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입력_시간외상세" sheetId="2" state="visible" r:id="rId2"/>
    <sheet xmlns:r="http://schemas.openxmlformats.org/officeDocument/2006/relationships" name="입력_시간외합계" sheetId="3" state="visible" r:id="rId3"/>
    <sheet xmlns:r="http://schemas.openxmlformats.org/officeDocument/2006/relationships" name="입력_기관명단" sheetId="4" state="visible" r:id="rId4"/>
    <sheet xmlns:r="http://schemas.openxmlformats.org/officeDocument/2006/relationships" name="입력_월별근무지" sheetId="5" state="visible" r:id="rId5"/>
    <sheet xmlns:r="http://schemas.openxmlformats.org/officeDocument/2006/relationships" name="출력_연속근무" sheetId="6" state="visible" r:id="rId6"/>
    <sheet xmlns:r="http://schemas.openxmlformats.org/officeDocument/2006/relationships" name="출력_월경계당직" sheetId="7" state="visible" r:id="rId7"/>
    <sheet xmlns:r="http://schemas.openxmlformats.org/officeDocument/2006/relationships" name="출력_서울급여판정" sheetId="8" state="visible" r:id="rId8"/>
    <sheet xmlns:r="http://schemas.openxmlformats.org/officeDocument/2006/relationships" name="출력_타병원발송" sheetId="9" state="visible" r:id="rId9"/>
    <sheet xmlns:r="http://schemas.openxmlformats.org/officeDocument/2006/relationships" name="설정" sheetId="10" state="visible" r:id="rId10"/>
  </sheets>
  <definedNames>
    <definedName name="연속허용분">'설정'!$B$2</definedName>
    <definedName name="대상월">'설정'!$B$4</definedName>
    <definedName name="대상월키">TEXT(대상월,"yyyy-mm")</definedName>
    <definedName name="공휴일목록">공휴일표[날짜]</definedName>
    <definedName name="익월초기관목록">익월초기관표[기관]</definedName>
    <definedName name="병원목록">병원표[병원]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"/>
    <numFmt numFmtId="165" formatCode="yyyy-mm-dd"/>
    <numFmt numFmtId="166" formatCode="yyyy-mm-dd hh:mm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color rgb="000000FF"/>
      <sz val="10"/>
    </font>
    <font>
      <name val="맑은 고딕"/>
      <color rgb="007F7F7F"/>
      <sz val="9"/>
    </font>
    <font>
      <name val="맑은 고딕"/>
      <b val="1"/>
      <sz val="14"/>
    </font>
    <font>
      <name val="맑은 고딕"/>
      <sz val="10"/>
    </font>
    <font>
      <name val="맑은 고딕"/>
      <b val="1"/>
      <color rgb="00C00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808080"/>
      </patternFill>
    </fill>
    <fill>
      <patternFill patternType="solid">
        <fgColor rgb="00833C0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0" borderId="1" pivotButton="0" quotePrefix="0" xfId="0"/>
    <xf numFmtId="2" fontId="3" fillId="0" borderId="1" pivotButton="0" quotePrefix="0" xfId="0"/>
    <xf numFmtId="1" fontId="6" fillId="5" borderId="1" pivotButton="0" quotePrefix="0" xfId="0"/>
    <xf numFmtId="0" fontId="6" fillId="5" borderId="1" pivotButton="0" quotePrefix="0" xfId="0"/>
    <xf numFmtId="166" fontId="6" fillId="5" borderId="1" pivotButton="0" quotePrefix="0" xfId="0"/>
    <xf numFmtId="2" fontId="6" fillId="5" borderId="1" pivotButton="0" quotePrefix="0" xfId="0"/>
    <xf numFmtId="165" fontId="6" fillId="5" borderId="1" pivotButton="0" quotePrefix="0" xfId="0"/>
    <xf numFmtId="49" fontId="3" fillId="0" borderId="1" pivotButton="0" quotePrefix="0" xfId="0"/>
    <xf numFmtId="164" fontId="3" fillId="0" borderId="1" pivotButton="0" quotePrefix="0" xfId="0"/>
    <xf numFmtId="0" fontId="2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5" fontId="3" fillId="0" borderId="1" pivotButton="0" quotePrefix="0" xfId="0"/>
  </cellXfs>
  <cellStyles count="1">
    <cellStyle name="Normal" xfId="0" builtinId="0" hidden="0"/>
  </cellStyles>
  <dxfs count="11"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CE4D6"/>
        </patternFill>
      </fill>
    </dxf>
    <dxf>
      <fill>
        <patternFill patternType="solid">
          <bgColor rgb="00FFF2CC"/>
        </patternFill>
      </fill>
    </dxf>
    <dxf>
      <font>
        <name val="맑은 고딕"/>
        <b val="1"/>
        <color rgb="002F5597"/>
      </font>
    </dxf>
    <dxf>
      <fill>
        <patternFill patternType="solid">
          <bgColor rgb="00F8CBAD"/>
        </patternFill>
      </fill>
    </dxf>
    <dxf>
      <font>
        <name val="맑은 고딕"/>
        <color rgb="007F7F7F"/>
      </font>
      <fill>
        <patternFill patternType="solid">
          <bgColor rgb="00EDEDED"/>
        </patternFill>
      </fill>
    </dxf>
    <dxf>
      <font>
        <name val="맑은 고딕"/>
        <b val="1"/>
        <color rgb="00833C0B"/>
      </font>
      <fill>
        <patternFill patternType="solid">
          <bgColor rgb="00F8CBAD"/>
        </patternFill>
      </fill>
    </dxf>
    <dxf>
      <font>
        <name val="맑은 고딕"/>
        <b val="1"/>
      </font>
      <fill>
        <patternFill patternType="solid">
          <bgColor rgb="00C6E0B4"/>
        </patternFill>
      </fill>
    </dxf>
    <dxf>
      <font>
        <name val="맑은 고딕"/>
        <b val="1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상세표" displayName="상세표" ref="A4:BF16" headerRowCount="1">
  <tableColumns count="58">
    <tableColumn id="1" name="부서"/>
    <tableColumn id="2" name="사번"/>
    <tableColumn id="3" name="성명"/>
    <tableColumn id="4" name="직위"/>
    <tableColumn id="5" name="근무일자"/>
    <tableColumn id="6" name="시작시간"/>
    <tableColumn id="7" name="종료시간"/>
    <tableColumn id="8" name="06~07시"/>
    <tableColumn id="9" name="07~18시"/>
    <tableColumn id="10" name="18~22시"/>
    <tableColumn id="11" name="22~06시"/>
    <tableColumn id="12" name="행">
      <calculatedColumnFormula>ROW()-ROW(상세표[#Headers])</calculatedColumnFormula>
    </tableColumn>
    <tableColumn id="13" name="사번키">
      <calculatedColumnFormula>IF(TRIM(상세표[[#This Row],[사번]]&amp;"")="","","S|"&amp;TRIM(상세표[[#This Row],[사번]]&amp;""))</calculatedColumnFormula>
    </tableColumn>
    <tableColumn id="14" name="시작">
      <calculatedColumnFormula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calculatedColumnFormula>
    </tableColumn>
    <tableColumn id="15" name="종료">
      <calculatedColumnFormula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calculatedColumnFormula>
    </tableColumn>
    <tableColumn id="16" name="이어짐">
      <calculatedColumnFormula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calculatedColumnFormula>
    </tableColumn>
    <tableColumn id="17" name="블록시작">
      <calculatedColumnFormula>IF(AND(ISNUMBER(상세표[[#This Row],[시작]]),ISNUMBER(상세표[[#This Row],[종료]]),상세표[[#This Row],[이어짐]]=""),1,0)</calculatedColumnFormula>
    </tableColumn>
    <tableColumn id="18" name="다음블록시작">
      <calculatedColumnFormula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calculatedColumnFormula>
    </tableColumn>
    <tableColumn id="19" name="블록종료">
      <calculatedColumnFormula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0" name="연속 시간">
      <calculatedColumnFormula>IF(상세표[[#This Row],[블록시작]]&lt;&gt;1,"",ROUND((상세표[[#This Row],[블록종료]]-상세표[[#This Row],[시작]])*24,2))</calculatedColumnFormula>
    </tableColumn>
    <tableColumn id="21" name="기록 수">
      <calculatedColumnFormula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2" name="블록 06~07시">
      <calculatedColumnFormula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3" name="블록 07~18시">
      <calculatedColumnFormula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4" name="블록 18~22시">
      <calculatedColumnFormula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5" name="블록 22~06시">
      <calculatedColumnFormula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6" name="주말·휴일 포함">
      <calculatedColumnFormula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calculatedColumnFormula>
    </tableColumn>
    <tableColumn id="27" name="시작월">
      <calculatedColumnFormula>IF(상세표[[#This Row],[블록시작]]&lt;&gt;1,"",TEXT(상세표[[#This Row],[시작]],"yyyy-mm"))</calculatedColumnFormula>
    </tableColumn>
    <tableColumn id="28" name="블록종료월">
      <calculatedColumnFormula>IF(상세표[[#This Row],[블록시작]]&lt;&gt;1,"",TEXT(상세표[[#This Row],[블록종료]]-1/86400,"yyyy-mm"))</calculatedColumnFormula>
    </tableColumn>
    <tableColumn id="29" name="월 넘김 포함">
      <calculatedColumnFormula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calculatedColumnFormula>
    </tableColumn>
    <tableColumn id="30" name="기록 시간외">
      <calculatedColumnFormula>N(상세표[[#This Row],[06~07시]])+N(상세표[[#This Row],[07~18시]])+N(상세표[[#This Row],[18~22시]])+N(상세표[[#This Row],[22~06시]])</calculatedColumnFormula>
    </tableColumn>
    <tableColumn id="31" name="야간 기준일">
      <calculatedColumnFormula>IF(AND(ISNUMBER(상세표[[#This Row],[시작]]),N(상세표[[#This Row],[22~06시]])&gt;0),INT(상세표[[#This Row],[시작]]-6/24),"")</calculatedColumnFormula>
    </tableColumn>
    <tableColumn id="32" name="야간 구분">
      <calculatedColumnFormula>IF(상세표[[#This Row],[야간 기준일]]="","",IF(OR(WEEKDAY(상세표[[#This Row],[야간 기준일]],2)&gt;5,COUNTIF(공휴일목록,상세표[[#This Row],[야간 기준일]])&gt;0),"휴일","평일"))</calculatedColumnFormula>
    </tableColumn>
    <tableColumn id="33" name="그 밤 22~06시">
      <calculatedColumnFormula>IF(상세표[[#This Row],[야간 구분]]="","",SUMIFS(상세표[22~06시],상세표[사번키],상세표[[#This Row],[사번키]],상세표[야간 기준일],상세표[[#This Row],[야간 기준일]]))</calculatedColumnFormula>
    </tableColumn>
    <tableColumn id="34" name="야간첫행">
      <calculatedColumnFormula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calculatedColumnFormula>
    </tableColumn>
    <tableColumn id="35" name="야간당직">
      <calculatedColumnFormula>IF(AND(상세표[[#This Row],[야간첫행]]=1,상세표[[#This Row],[그 밤 22~06시]]&gt;=8-0.001),1,0)</calculatedColumnFormula>
    </tableColumn>
    <tableColumn id="36" name="기록월">
      <calculatedColumnFormula>IF(ISNUMBER(상세표[[#This Row],[시작]]),TEXT(상세표[[#This Row],[시작]],"yyyy-mm"),"")</calculatedColumnFormula>
    </tableColumn>
    <tableColumn id="37" name="종료월">
      <calculatedColumnFormula>IF(ISNUMBER(상세표[[#This Row],[종료]]),TEXT(상세표[[#This Row],[종료]]-1/86400,"yyyy-mm"),"")</calculatedColumnFormula>
    </tableColumn>
    <tableColumn id="38" name="월 넘김">
      <calculatedColumnFormula>IF(AND(상세표[[#This Row],[기록월]]&lt;&gt;"",상세표[[#This Row],[종료월]]&lt;&gt;"",상세표[[#This Row],[기록월]]&lt;&gt;상세표[[#This Row],[종료월]]),"월 넘김","")</calculatedColumnFormula>
    </tableColumn>
    <tableColumn id="39" name="기관명단">
      <calculatedColumnFormula>IF(상세표[[#This Row],[사번키]]="","",IF(COUNTIF(기관표[사번키],상세표[[#This Row],[사번키]])&gt;0,"있음",IF(COUNTIF(월별근무지표[사번키],상세표[[#This Row],[사번키]])&gt;0,"직접 입력만","없음")))</calculatedColumnFormula>
    </tableColumn>
    <tableColumn id="40" name="시작월 직접행">
      <calculatedColumnFormula>IF(상세표[[#This Row],[기록월]]="","",IFERROR(MATCH(상세표[[#This Row],[사번키]]&amp;"|"&amp;상세표[[#This Row],[기록월]],월별근무지표[키],0),""))</calculatedColumnFormula>
    </tableColumn>
    <tableColumn id="41" name="종료월 직접행">
      <calculatedColumnFormula>IF(상세표[[#This Row],[종료월]]="","",IFERROR(MATCH(상세표[[#This Row],[사번키]]&amp;"|"&amp;상세표[[#This Row],[종료월]],월별근무지표[키],0),""))</calculatedColumnFormula>
    </tableColumn>
    <tableColumn id="42" name="시작월 기관">
      <calculatedColumnFormula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calculatedColumnFormula>
    </tableColumn>
    <tableColumn id="43" name="종료월 기관">
      <calculatedColumnFormula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calculatedColumnFormula>
    </tableColumn>
    <tableColumn id="44" name="기관 출처">
      <calculatedColumnFormula>IF(상세표[[#This Row],[기록월]]="","",IF(OR(상세표[[#This Row],[시작월 직접행]]&lt;&gt;"",AND(상세표[[#This Row],[월 넘김]]&lt;&gt;"",상세표[[#This Row],[종료월 직접행]]&lt;&gt;"")),"직접 입력","기관명단"))</calculatedColumnFormula>
    </tableColumn>
    <tableColumn id="45" name="월경계 판정">
      <calculatedColumnFormula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calculatedColumnFormula>
    </tableColumn>
    <tableColumn id="46" name="반영월">
      <calculatedColumnFormula>IF(상세표[[#This Row],[기록월]]="","",IF(상세표[[#This Row],[월경계 판정]]="익월초 급여 반영",상세표[[#This Row],[종료월]],상세표[[#This Row],[기록월]]))</calculatedColumnFormula>
    </tableColumn>
    <tableColumn id="47" name="반영 기관">
      <calculatedColumnFormula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calculatedColumnFormula>
    </tableColumn>
    <tableColumn id="48" name="연속표시">
      <calculatedColumnFormula>IF(AND(상세표[[#This Row],[블록시작]]=1,OR(상세표[[#This Row],[시작월]]=대상월키,상세표[[#This Row],[블록종료월]]=대상월키)),1,0)</calculatedColumnFormula>
    </tableColumn>
    <tableColumn id="49" name="연속순번">
      <calculatedColumnFormula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calculatedColumnFormula>
    </tableColumn>
    <tableColumn id="50" name="경계표시">
      <calculatedColumnFormula>IF(AND(상세표[[#This Row],[월 넘김]]="월 넘김",OR(상세표[[#This Row],[기록월]]=대상월키,상세표[[#This Row],[종료월]]=대상월키)),1,0)</calculatedColumnFormula>
    </tableColumn>
    <tableColumn id="51" name="경계순번">
      <calculatedColumnFormula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calculatedColumnFormula>
    </tableColumn>
    <tableColumn id="52" name="발송표시">
      <calculatedColumnFormula>IF(AND(상세표[[#This Row],[기관명단]]="없음",OR(상세표[[#This Row],[기록월]]=대상월키,상세표[[#This Row],[반영월]]=대상월키)),1,0)</calculatedColumnFormula>
    </tableColumn>
    <tableColumn id="53" name="발송순번">
      <calculatedColumnFormula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calculatedColumnFormula>
    </tableColumn>
    <tableColumn id="54" name="발송첫행">
      <calculatedColumnFormula>IF(상세표[[#This Row],[발송표시]]&lt;&gt;1,0,IF(COUNTIFS(상세표[발송표시],1,상세표[사번키],상세표[[#This Row],[사번키]],상세표[행],"&lt;"&amp;상세표[[#This Row],[행]])&gt;0,0,1))</calculatedColumnFormula>
    </tableColumn>
    <tableColumn id="55" name="발송인원순번">
      <calculatedColumnFormula>IF(상세표[[#This Row],[발송첫행]]&lt;&gt;1,"",COUNTIFS(상세표[발송첫행],1,상세표[행],"&lt;="&amp;상세표[[#This Row],[행]]))</calculatedColumnFormula>
    </tableColumn>
    <tableColumn id="56" name="합계없음표시">
      <calculatedColumnFormula>IF(AND(상세표[[#This Row],[반영월]]=대상월키,상세표[[#This Row],[사번키]]&lt;&gt;"",COUNTIF(합계표[사번키],상세표[[#This Row],[사번키]])=0),1,0)</calculatedColumnFormula>
    </tableColumn>
    <tableColumn id="57" name="합계없음첫행">
      <calculatedColumnFormula>IF(상세표[[#This Row],[합계없음표시]]&lt;&gt;1,0,IF(COUNTIFS(상세표[합계없음표시],1,상세표[사번키],상세표[[#This Row],[사번키]],상세표[행],"&lt;"&amp;상세표[[#This Row],[행]])&gt;0,0,1))</calculatedColumnFormula>
    </tableColumn>
    <tableColumn id="58" name="합계없음순번">
      <calculatedColumnFormula>IF(상세표[[#This Row],[합계없음첫행]]&lt;&gt;1,"",COUNTIFS(상세표[합계없음첫행],1,상세표[행],"&lt;="&amp;상세표[[#This Row],[행]]))</calculatedColumnFormula>
    </tableColumn>
  </tableColumns>
  <tableStyleInfo name="TableStyleLight9" showRowStripes="1"/>
</table>
</file>

<file path=xl/tables/table2.xml><?xml version="1.0" encoding="utf-8"?>
<table xmlns="http://schemas.openxmlformats.org/spreadsheetml/2006/main" id="2" name="합계표" displayName="합계표" ref="A4:O9" headerRowCount="1">
  <tableColumns count="15">
    <tableColumn id="1" name="부서"/>
    <tableColumn id="2" name="사번"/>
    <tableColumn id="3" name="성명"/>
    <tableColumn id="4" name="직위"/>
    <tableColumn id="5" name="직위(변환)"/>
    <tableColumn id="6" name="06~07시"/>
    <tableColumn id="7" name="07~18시"/>
    <tableColumn id="8" name="18~22시"/>
    <tableColumn id="9" name="22~06시"/>
    <tableColumn id="10" name="사번키">
      <calculatedColumnFormula>IF(TRIM(합계표[[#This Row],[사번]]&amp;"")="","","S|"&amp;TRIM(합계표[[#This Row],[사번]]&amp;""))</calculatedColumnFormula>
    </tableColumn>
    <tableColumn id="11" name="시스템 합계">
      <calculatedColumnFormula>IFERROR(VALUE(TRIM(합계표[[#This Row],[06~07시]]&amp;"")),0)+IFERROR(VALUE(TRIM(합계표[[#This Row],[07~18시]]&amp;"")),0)+IFERROR(VALUE(TRIM(합계표[[#This Row],[18~22시]]&amp;"")),0)+IFERROR(VALUE(TRIM(합계표[[#This Row],[22~06시]]&amp;"")),0)</calculatedColumnFormula>
    </tableColumn>
    <tableColumn id="12" name="사번내순서">
      <calculatedColumnFormula>IF(합계표[[#This Row],[사번키]]="","",COUNTIF(INDEX(합계표[사번키],1):합계표[[#This Row],[사번키]],합계표[[#This Row],[사번키]]))</calculatedColumnFormula>
    </tableColumn>
    <tableColumn id="13" name="순서키">
      <calculatedColumnFormula>IF(합계표[[#This Row],[사번키]]="","",합계표[[#This Row],[사번키]]&amp;"#"&amp;합계표[[#This Row],[사번내순서]])</calculatedColumnFormula>
    </tableColumn>
    <tableColumn id="14" name="직위(통합)">
      <calculatedColumnFormula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calculatedColumnFormula>
    </tableColumn>
    <tableColumn id="15" name="판정순번">
      <calculatedColumnFormula>IF(합계표[[#This Row],[사번내순서]]=1,COUNTIF(INDEX(합계표[사번내순서],1):합계표[[#This Row],[사번내순서]],1),"")</calculatedColumnFormula>
    </tableColumn>
  </tableColumns>
  <tableStyleInfo name="TableStyleLight9" showRowStripes="1"/>
</table>
</file>

<file path=xl/tables/table3.xml><?xml version="1.0" encoding="utf-8"?>
<table xmlns="http://schemas.openxmlformats.org/spreadsheetml/2006/main" id="3" name="기관표" displayName="기관표" ref="A1:L9" headerRowCount="1">
  <tableColumns count="12">
    <tableColumn id="1" name="기준월"/>
    <tableColumn id="2" name="사번"/>
    <tableColumn id="3" name="이름"/>
    <tableColumn id="4" name="수련과목"/>
    <tableColumn id="5" name="연차"/>
    <tableColumn id="6" name="소속병원"/>
    <tableColumn id="7" name="기준월 근무병원"/>
    <tableColumn id="8" name="급여지급병원(기준월)"/>
    <tableColumn id="9" name="급여 판정 근거"/>
    <tableColumn id="10" name="월키">
      <calculatedColumnFormula>IF(ISNUMBER(기관표[[#This Row],[기준월]]),TEXT(기관표[[#This Row],[기준월]],"yyyy-mm"),LEFT(TRIM(기관표[[#This Row],[기준월]]&amp;""),7))</calculatedColumnFormula>
    </tableColumn>
    <tableColumn id="11" name="사번키">
      <calculatedColumnFormula>IF(TRIM(기관표[[#This Row],[사번]]&amp;"")="","","S|"&amp;TRIM(기관표[[#This Row],[사번]]&amp;""))</calculatedColumnFormula>
    </tableColumn>
    <tableColumn id="12" name="키">
      <calculatedColumnFormula>IF(기관표[[#This Row],[사번키]]="","",기관표[[#This Row],[사번키]]&amp;"|"&amp;기관표[[#This Row],[월키]])</calculatedColumnFormula>
    </tableColumn>
  </tableColumns>
  <tableStyleInfo name="TableStyleLight9" showRowStripes="1"/>
</table>
</file>

<file path=xl/tables/table4.xml><?xml version="1.0" encoding="utf-8"?>
<table xmlns="http://schemas.openxmlformats.org/spreadsheetml/2006/main" id="4" name="월별근무지표" displayName="월별근무지표" ref="A3:K4" headerRowCount="1">
  <tableColumns count="11">
    <tableColumn id="1" name="월"/>
    <tableColumn id="2" name="사번"/>
    <tableColumn id="3" name="근무병원"/>
    <tableColumn id="4" name="급여지급병원"/>
    <tableColumn id="5" name="비고"/>
    <tableColumn id="6" name="월키">
      <calculatedColumnFormula>IF(월별근무지표[[#This Row],[월]]&amp;""="","",IFERROR(IF(ISNUMBER(월별근무지표[[#This Row],[월]]),IF(월별근무지표[[#This Row],[월]]&lt;10000,TEXT(DATE(INT(월별근무지표[[#This Row],[월]]),ROUND(MOD(월별근무지표[[#This Row],[월]],1)*100,0),1),"yyyy-mm"),TEXT(월별근무지표[[#This Row],[월]],"yyyy-mm")),TEXT(DATEVALUE(SUBSTITUTE(SUBSTITUTE(LEFT(TRIM(월별근무지표[[#This Row],[월]]),7),".","-"),"/","-")&amp;"-01"),"yyyy-mm")),"⚠형식 오류"))</calculatedColumnFormula>
    </tableColumn>
    <tableColumn id="7" name="사번키">
      <calculatedColumnFormula>IF(TRIM(월별근무지표[[#This Row],[사번]]&amp;"")="","","S|"&amp;TRIM(월별근무지표[[#This Row],[사번]]&amp;""))</calculatedColumnFormula>
    </tableColumn>
    <tableColumn id="8" name="키">
      <calculatedColumnFormula>IF(LEFT(월별근무지표[[#This Row],[월키]],1)="⚠","",IF(OR(월별근무지표[[#This Row],[사번키]]="",월별근무지표[[#This Row],[월키]]=""),"",월별근무지표[[#This Row],[사번키]]&amp;"|"&amp;월별근무지표[[#This Row],[월키]]))</calculatedColumnFormula>
    </tableColumn>
    <tableColumn id="9" name="이름(확인)">
      <calculatedColumnFormula>IF(월별근무지표[[#This Row],[사번키]]="","",IFERROR(INDEX(기관표[이름],MATCH(월별근무지표[[#This Row],[사번키]],기관표[사번키],0))&amp;"",IFERROR(INDEX(상세표[성명],MATCH(월별근무지표[[#This Row],[사번키]],상세표[사번키],0))&amp;"","(자료에 없음)")))</calculatedColumnFormula>
    </tableColumn>
    <tableColumn id="10" name="적용 급여병원">
      <calculatedColumnFormula>IF(월별근무지표[[#This Row],[근무병원]]="","",IF(월별근무지표[[#This Row],[급여지급병원]]="",월별근무지표[[#This Row],[근무병원]],월별근무지표[[#This Row],[급여지급병원]]))</calculatedColumnFormula>
    </tableColumn>
    <tableColumn id="11" name="점검">
      <calculatedColumnFormula>IF(AND(TRIM(월별근무지표[[#This Row],[사번]]&amp;"")="",월별근무지표[[#This Row],[월]]&amp;""=""),"",IF(OR(TRIM(월별근무지표[[#This Row],[사번]]&amp;"")="",월별근무지표[[#This Row],[월]]&amp;""=""),"월·사번 모두 입력",IF(LEFT(월별근무지표[[#This Row],[월키]],1)="⚠","월 형식 확인(예: 2026-10)",IF(월별근무지표[[#This Row],[근무병원]]="","근무병원 입력",IF(COUNTIF(월별근무지표[키],월별근무지표[[#This Row],[키]])&gt;1,"같은 사번·월 중복(위쪽 줄 적용)","정상")))))</calculatedColumnFormula>
    </tableColumn>
  </tableColumns>
  <tableStyleInfo name="TableStyleLight9" showRowStripes="1"/>
</table>
</file>

<file path=xl/tables/table5.xml><?xml version="1.0" encoding="utf-8"?>
<table xmlns="http://schemas.openxmlformats.org/spreadsheetml/2006/main" id="5" name="공휴일표" displayName="공휴일표" ref="A6:B26" headerRowCount="1">
  <tableColumns count="2">
    <tableColumn id="1" name="날짜"/>
    <tableColumn id="2" name="이름"/>
  </tableColumns>
  <tableStyleInfo name="TableStyleLight1" showRowStripes="1"/>
</table>
</file>

<file path=xl/tables/table6.xml><?xml version="1.0" encoding="utf-8"?>
<table xmlns="http://schemas.openxmlformats.org/spreadsheetml/2006/main" id="6" name="익월초기관표" displayName="익월초기관표" ref="D6:D10" headerRowCount="1">
  <tableColumns count="1">
    <tableColumn id="1" name="기관"/>
  </tableColumns>
  <tableStyleInfo name="TableStyleLight1" showRowStripes="1"/>
</table>
</file>

<file path=xl/tables/table7.xml><?xml version="1.0" encoding="utf-8"?>
<table xmlns="http://schemas.openxmlformats.org/spreadsheetml/2006/main" id="7" name="병원표" displayName="병원표" ref="F6:F12" headerRowCount="1">
  <tableColumns count="1">
    <tableColumn id="1" name="병원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Relationship Type="http://schemas.openxmlformats.org/officeDocument/2006/relationships/table" Target="/xl/tables/table7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5"/>
  <sheetViews>
    <sheetView showGridLines="0" workbookViewId="0">
      <selection activeCell="A1" sqref="A1"/>
    </sheetView>
  </sheetViews>
  <sheetFormatPr baseColWidth="8" defaultRowHeight="15"/>
  <cols>
    <col width="170" customWidth="1" min="1" max="1"/>
  </cols>
  <sheetData>
    <row r="1">
      <c r="A1" s="1" t="inlineStr">
        <is>
          <t>시간외 근무 — 연속 근무 · 월 넘김 당직 · 서울급여 판정 (Excel 2019 이상 · Microsoft 365 공통)</t>
        </is>
      </c>
    </row>
    <row r="2">
      <c r="A2" s="2" t="inlineStr"/>
    </row>
    <row r="3">
      <c r="A3" s="3" t="inlineStr">
        <is>
          <t>[매달 하는 일]</t>
        </is>
      </c>
    </row>
    <row r="4">
      <c r="A4" s="2" t="inlineStr">
        <is>
          <t>1) 설정 B4에 대상월(급여 처리할 달) 입력 — 기본값은 지난달</t>
        </is>
      </c>
    </row>
    <row r="5">
      <c r="A5" s="2" t="inlineStr">
        <is>
          <t>2) 입력_시간외상세: 대상월 상세내역 + 전월 상세내역 중 말일 기록(또는 전월 전체)을 A5부터 붙여넣기. 익월 상세가 이미 있으면 함께 넣어도 됩니다.</t>
        </is>
      </c>
    </row>
    <row r="6">
      <c r="A6" s="2" t="inlineStr">
        <is>
          <t>3) 입력_시간외합계: 대상월 '월별 전공의 시간외 근무'의 5행부터 끝까지를 A5에 붙여넣기</t>
        </is>
      </c>
    </row>
    <row r="7">
      <c r="A7" s="2" t="inlineStr">
        <is>
          <t>4) 입력_기관명단: 전공의 파견 모니터링 파일의 출력_기관명단을 값으로 복사해 붙여넣기 — 전월·대상월·익월 3개월치 (365판은 한 번에 3개월, 2019판은 급여 기준월을 바꿔 가며 복사)</t>
        </is>
      </c>
    </row>
    <row r="8">
      <c r="A8" s="2" t="inlineStr">
        <is>
          <t>5) 입력_월별근무지(필요할 때만): 기관명단에 없거나 다르게 처리할 사람의 그 달 근무병원(·급여지급병원)을 직접 입력 — 기관명단보다 우선합니다.</t>
        </is>
      </c>
    </row>
    <row r="9">
      <c r="A9" s="2" t="inlineStr"/>
    </row>
    <row r="10">
      <c r="A10" s="3" t="inlineStr">
        <is>
          <t>[월별 근무지 직접 입력]</t>
        </is>
      </c>
    </row>
    <row r="11">
      <c r="A11" s="2" t="inlineStr">
        <is>
          <t>• 월(예: 2026-10)·사번·근무병원을 넣고, 급여지급병원이 근무병원과 다를 때만 급여지급병원도 넣습니다. 판정에는 '적용 급여병원'(급여지급병원, 비면 근무병원)이 쓰입니다.</t>
        </is>
      </c>
    </row>
    <row r="12">
      <c r="A12" s="2" t="inlineStr">
        <is>
          <t>• 적용되는 곳: 월을 넘는 당직의 시작월·종료월 기관, 대상월 급여지급병원(서울급여 해당 여부). 출력_월경계당직·출력_서울급여판정의 '기관 출처' 열에 '직접 입력'으로 표시됩니다.</t>
        </is>
      </c>
    </row>
    <row r="13">
      <c r="A13" s="2" t="inlineStr">
        <is>
          <t>• 기관명단에 사번이 없어도 직접 입력이 있으면 '기관명단에 없음(다른 병원으로 발송)'으로 보내지 않습니다.</t>
        </is>
      </c>
    </row>
    <row r="14">
      <c r="A14" s="2" t="inlineStr">
        <is>
          <t>• 모니터링 파일(365판)의 입력_월별근무지와 열 순서(월·사번·근무병원·급여지급병원·비고)가 같아 그대로 복사해 붙여넣을 수 있습니다.</t>
        </is>
      </c>
    </row>
    <row r="15">
      <c r="A15" s="2" t="inlineStr"/>
    </row>
    <row r="16">
      <c r="A16" s="3" t="inlineStr">
        <is>
          <t>[출력 시트]</t>
        </is>
      </c>
    </row>
    <row r="17">
      <c r="A17" s="2" t="inlineStr">
        <is>
          <t>• 출력_연속근무: 대상월에 걸친 이어진 근무를 한 줄로(전월 말일에 시작한 당직 포함), 사번·시작 순, 빈 줄 없음. 주말·휴일, 36시간 초과, 월 넘김 표시</t>
        </is>
      </c>
    </row>
    <row r="18">
      <c r="A18" s="2" t="inlineStr">
        <is>
          <t>• 출력_월경계당직: 전월 말일→대상월, 대상월 말일→익월로 넘어가는 당직마다 시작월·종료월 기관, 판정, 반영 급여월·기관</t>
        </is>
      </c>
    </row>
    <row r="19">
      <c r="A19" s="2" t="inlineStr">
        <is>
          <t>• 출력_서울급여판정: 사번별(직위가 달라도 같은 사번이면 한 사람) 시스템 합계·상세 대조, 이월(−)/전입(+), 대상월 반영 시간, 대상월 급여지급병원, 서울 반영 시간(시간대별), 평일·휴일 야간 당직 건수</t>
        </is>
      </c>
    </row>
    <row r="20">
      <c r="A20" s="2" t="inlineStr">
        <is>
          <t>• 출력_타병원발송: 기관명단에 사번이 없는 시간외 근무자(다른 병원으로 발송할 대상)와 그 사람들의 대상월 상세 기록</t>
        </is>
      </c>
    </row>
    <row r="21">
      <c r="A21" s="2" t="inlineStr"/>
    </row>
    <row r="22">
      <c r="A22" s="3" t="inlineStr">
        <is>
          <t>[월을 넘는 당직 규칙] — 기록(당직 1건) 단위로 판단</t>
        </is>
      </c>
    </row>
    <row r="23">
      <c r="A23" s="2" t="inlineStr">
        <is>
          <t>• 시작한 달과 끝난 달의 기관(입력_월별근무지 직접 입력 → 입력_기관명단의 급여지급병원)이 같으면: 시작한 달 급여에 반영</t>
        </is>
      </c>
    </row>
    <row r="24">
      <c r="A24" s="2" t="inlineStr">
        <is>
          <t>• 서울↔구리: 시작한 달의 15일 이상 근무 기관(그 달 급여지급병원)에 반영</t>
        </is>
      </c>
    </row>
    <row r="25">
      <c r="A25" s="2" t="inlineStr">
        <is>
          <t>• 구리↔인천·오산·창원·제주(설정의 '익월초 기관' 표): '익월초 급여 반영' — 끝난 달(익월) 급여로 넘기고 반영 기관은 '확인 필요'로 표시</t>
        </is>
      </c>
    </row>
    <row r="26">
      <c r="A26" s="2" t="inlineStr">
        <is>
          <t>• 그 밖의 조합(예: 서울↔인천)은 '규정 확인 필요', 기관명단·직접 입력에 해당 월이 없으면 '기관 정보 없음', 사번이 기관명단·직접 입력에 아예 없으면 '기관명단에 없음(다른 병원으로 발송)'</t>
        </is>
      </c>
    </row>
    <row r="27">
      <c r="A27" s="2" t="inlineStr">
        <is>
          <t>• 예: 08-31 20:00~09-01 08:00 제주→구리 → 9월(익월초) 급여 반영 / 09-30 20:00~10-01 08:00 서울→구리 → 9월 15일 이상 근무 기관(9월 급여지급병원)</t>
        </is>
      </c>
    </row>
    <row r="28">
      <c r="A28" s="2" t="inlineStr"/>
    </row>
    <row r="29">
      <c r="A29" s="3" t="inlineStr">
        <is>
          <t>[야간 당직 건수] — 출력_서울급여판정의 평일/휴일 야간 당직(건)</t>
        </is>
      </c>
    </row>
    <row r="30">
      <c r="A30" s="2" t="inlineStr">
        <is>
          <t>• 22시부터 06시까지 모두 근무한 밤만 야간 당직 1건입니다: 같은 사람·같은 밤의 22~06시 시간 합계가 8시간이어야 합니다(기록이 여러 줄로 나뉘어도 합산, 1건으로 셈 — 그 밤의 가장 이른 기록의 반영 급여월에 셈). 8시간 미만인 밤은 세지 않고 판정 시트 R3에 따로 셉니다.</t>
        </is>
      </c>
    </row>
    <row r="31">
      <c r="A31" s="2" t="inlineStr">
        <is>
          <t>• 9/1 00:00에 시작한 기록처럼 밤의 앞부분(8/31 22~24시)이 전월 자료에 있으면, 전월 말일 기록도 함께 붙여넣어야 8시간이 채워져 1건으로 셉니다.</t>
        </is>
      </c>
    </row>
    <row r="32">
      <c r="A32" s="2" t="inlineStr">
        <is>
          <t>• 평일/휴일은 그 밤이 시작된 날(22시가 속한 날)로 나눕니다: 토·일·설정의 공휴일이면 휴일, 아니면 평일. 예: 금 20:00~토 08:00 = 평일 야간, 토 20:00~일 08:00 = 휴일 야간, 일 20:00~월 08:00 = 휴일 야간. 공휴일 전날 밤은 평일입니다.</t>
        </is>
      </c>
    </row>
    <row r="33">
      <c r="A33" s="2" t="inlineStr">
        <is>
          <t>• 건수는 반영 급여월이 대상월인 기록만 셉니다(월을 넘는 당직 규칙과 같음). '서울' 열은 그중 반영 기관이 서울병원인 건수입니다.</t>
        </is>
      </c>
    </row>
    <row r="34">
      <c r="A34" s="2" t="inlineStr"/>
    </row>
    <row r="35">
      <c r="A35" s="3" t="inlineStr">
        <is>
          <t>[연속 근무 판단]</t>
        </is>
      </c>
    </row>
    <row r="36">
      <c r="A36" s="2" t="inlineStr">
        <is>
          <t>• 같은 사번에서 시작 시각이 다른 근무의 종료 시각과 같거나 겹치면 이어진 근무입니다(설정의 허용 공백(분) 이내 포함). 행 순서와 관계없이 시작 시각으로 찾습니다.</t>
        </is>
      </c>
    </row>
    <row r="37">
      <c r="A37" s="2" t="inlineStr">
        <is>
          <t>• 주말·휴일 포함: 토·일 또는 설정의 공휴일에 하루라도 걸치면 '포함'. 36시간 초과 연속 근무는 빨간색(전공의법 연속수련 한도 참고).</t>
        </is>
      </c>
    </row>
    <row r="38">
      <c r="A38" s="2" t="inlineStr"/>
    </row>
    <row r="39">
      <c r="A39" s="3" t="inlineStr">
        <is>
          <t>[참고]</t>
        </is>
      </c>
    </row>
    <row r="40">
      <c r="A40" s="2" t="inlineStr">
        <is>
          <t>• 시스템 합계와 비교하는 '상세 합계'는 시작 시각이 대상월인 기록의 합입니다(전월 말일 기록은 제외).</t>
        </is>
      </c>
    </row>
    <row r="41">
      <c r="A41" s="2" t="inlineStr">
        <is>
          <t>• Excel 2019·2021·Microsoft 365에서 같은 결과가 나옵니다(FILTER·XLOOKUP 같은 365 전용 함수를 쓰지 않음). 2016 이하는 확인하지 않았습니다.</t>
        </is>
      </c>
    </row>
    <row r="42">
      <c r="A42" s="2" t="inlineStr">
        <is>
          <t>• 입력 표는 행 수 제한이 없고, 출력 목록은 미리 수식을 넣어 둔 행까지만 보입니다: 연속근무 3000건, 월경계당직 1000건, 서울급여판정 1000명, 타병원발송 300명·2000건. 넘으면 시트 위쪽에 ⚠ 경고가 뜹니다.</t>
        </is>
      </c>
    </row>
    <row r="43">
      <c r="A43" s="2" t="inlineStr">
        <is>
          <t>• 출력 시트의 셀은 지우거나 덮어쓰지 마세요. 회색 머리글 '(행)' 열은 목록을 만드는 보조 계산입니다. 입력 표의 초록 머리글 열(…순번·…표시 포함)도 수정 금지.</t>
        </is>
      </c>
    </row>
    <row r="44">
      <c r="A44" s="2" t="inlineStr">
        <is>
          <t>• 연속근무·월경계·발송 기록은 사번 → 시작 시각 순, 사람별 목록은 입력 순서입니다.</t>
        </is>
      </c>
    </row>
    <row r="45">
      <c r="A45" s="2" t="inlineStr">
        <is>
          <t>• 예시 데이터(ㅇㅇ)는 지우고 실제 자료를 넣으세요. 개인정보가 포함되므로 파일 암호와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1:BF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10" customWidth="1" min="4" max="4"/>
    <col width="11" customWidth="1" min="5" max="5"/>
    <col width="16" customWidth="1" min="6" max="6"/>
    <col width="16" customWidth="1" min="7" max="7"/>
    <col width="7" customWidth="1" min="8" max="8"/>
    <col width="7" customWidth="1" min="9" max="9"/>
    <col width="7" customWidth="1" min="10" max="10"/>
    <col width="7" customWidth="1" min="11" max="11"/>
    <col width="6" customWidth="1" min="12" max="12"/>
    <col width="10" customWidth="1" min="13" max="13"/>
    <col width="15" customWidth="1" min="14" max="14"/>
    <col width="15" customWidth="1" min="15" max="15"/>
    <col width="7" customWidth="1" min="16" max="16"/>
    <col width="7" customWidth="1" min="17" max="17"/>
    <col width="15" customWidth="1" min="18" max="18"/>
    <col width="15" customWidth="1" min="19" max="19"/>
    <col width="8" customWidth="1" min="20" max="20"/>
    <col width="6" customWidth="1" min="21" max="21"/>
    <col width="8" customWidth="1" min="22" max="22"/>
    <col width="8" customWidth="1" min="23" max="23"/>
    <col width="8" customWidth="1" min="24" max="24"/>
    <col width="8" customWidth="1" min="25" max="25"/>
    <col width="9" customWidth="1" min="26" max="26"/>
    <col width="8" customWidth="1" min="27" max="27"/>
    <col width="8" customWidth="1" min="28" max="28"/>
    <col width="8" customWidth="1" min="29" max="29"/>
    <col width="8" customWidth="1" min="30" max="30"/>
    <col width="11" customWidth="1" min="31" max="31"/>
    <col width="7" customWidth="1" min="32" max="32"/>
    <col width="7" customWidth="1" min="33" max="33"/>
    <col width="6" customWidth="1" min="34" max="34"/>
    <col width="6" customWidth="1" min="35" max="35"/>
    <col width="8" customWidth="1" min="36" max="36"/>
    <col width="8" customWidth="1" min="37" max="37"/>
    <col width="7" customWidth="1" min="38" max="38"/>
    <col width="8" customWidth="1" min="39" max="39"/>
    <col width="7" customWidth="1" min="40" max="40"/>
    <col width="7" customWidth="1" min="41" max="41"/>
    <col width="10" customWidth="1" min="42" max="42"/>
    <col width="10" customWidth="1" min="43" max="43"/>
    <col width="9" customWidth="1" min="44" max="44"/>
    <col width="24" customWidth="1" min="45" max="45"/>
    <col width="8" customWidth="1" min="46" max="46"/>
    <col width="22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</cols>
  <sheetData>
    <row r="1">
      <c r="A1" s="1" t="inlineStr">
        <is>
          <t>월별 전공의 시간외 근무 상세내역</t>
        </is>
      </c>
    </row>
    <row r="2">
      <c r="A2" s="4" t="inlineStr">
        <is>
          <t>※ 원본 파일의 5행(자료 첫 행)부터 마지막 행까지 복사해 A5에 붙여넣으세요. 표가 자동으로 늘어납니다. 초록 머리글 열은 자동 계산.</t>
        </is>
      </c>
    </row>
    <row r="3">
      <c r="A3" s="4" t="inlineStr">
        <is>
          <t>※ 여러 달을 이어 붙여도 됩니다(월이 바뀌어도 이어진 근무를 찾음).</t>
        </is>
      </c>
    </row>
    <row r="4">
      <c r="A4" s="5" t="inlineStr">
        <is>
          <t>부서</t>
        </is>
      </c>
      <c r="B4" s="5" t="inlineStr">
        <is>
          <t>사번</t>
        </is>
      </c>
      <c r="C4" s="5" t="inlineStr">
        <is>
          <t>성명</t>
        </is>
      </c>
      <c r="D4" s="5" t="inlineStr">
        <is>
          <t>직위</t>
        </is>
      </c>
      <c r="E4" s="5" t="inlineStr">
        <is>
          <t>근무일자</t>
        </is>
      </c>
      <c r="F4" s="5" t="inlineStr">
        <is>
          <t>시작시간</t>
        </is>
      </c>
      <c r="G4" s="5" t="inlineStr">
        <is>
          <t>종료시간</t>
        </is>
      </c>
      <c r="H4" s="5" t="inlineStr">
        <is>
          <t>06~07시</t>
        </is>
      </c>
      <c r="I4" s="5" t="inlineStr">
        <is>
          <t>07~18시</t>
        </is>
      </c>
      <c r="J4" s="5" t="inlineStr">
        <is>
          <t>18~22시</t>
        </is>
      </c>
      <c r="K4" s="5" t="inlineStr">
        <is>
          <t>22~06시</t>
        </is>
      </c>
      <c r="L4" s="6" t="inlineStr">
        <is>
          <t>행</t>
        </is>
      </c>
      <c r="M4" s="6" t="inlineStr">
        <is>
          <t>사번키</t>
        </is>
      </c>
      <c r="N4" s="6" t="inlineStr">
        <is>
          <t>시작</t>
        </is>
      </c>
      <c r="O4" s="6" t="inlineStr">
        <is>
          <t>종료</t>
        </is>
      </c>
      <c r="P4" s="6" t="inlineStr">
        <is>
          <t>이어짐</t>
        </is>
      </c>
      <c r="Q4" s="6" t="inlineStr">
        <is>
          <t>블록시작</t>
        </is>
      </c>
      <c r="R4" s="6" t="inlineStr">
        <is>
          <t>다음블록시작</t>
        </is>
      </c>
      <c r="S4" s="6" t="inlineStr">
        <is>
          <t>블록종료</t>
        </is>
      </c>
      <c r="T4" s="6" t="inlineStr">
        <is>
          <t>연속 시간</t>
        </is>
      </c>
      <c r="U4" s="6" t="inlineStr">
        <is>
          <t>기록 수</t>
        </is>
      </c>
      <c r="V4" s="6" t="inlineStr">
        <is>
          <t>블록 06~07시</t>
        </is>
      </c>
      <c r="W4" s="6" t="inlineStr">
        <is>
          <t>블록 07~18시</t>
        </is>
      </c>
      <c r="X4" s="6" t="inlineStr">
        <is>
          <t>블록 18~22시</t>
        </is>
      </c>
      <c r="Y4" s="6" t="inlineStr">
        <is>
          <t>블록 22~06시</t>
        </is>
      </c>
      <c r="Z4" s="6" t="inlineStr">
        <is>
          <t>주말·휴일 포함</t>
        </is>
      </c>
      <c r="AA4" s="6" t="inlineStr">
        <is>
          <t>시작월</t>
        </is>
      </c>
      <c r="AB4" s="6" t="inlineStr">
        <is>
          <t>블록종료월</t>
        </is>
      </c>
      <c r="AC4" s="6" t="inlineStr">
        <is>
          <t>월 넘김 포함</t>
        </is>
      </c>
      <c r="AD4" s="6" t="inlineStr">
        <is>
          <t>기록 시간외</t>
        </is>
      </c>
      <c r="AE4" s="6" t="inlineStr">
        <is>
          <t>야간 기준일</t>
        </is>
      </c>
      <c r="AF4" s="6" t="inlineStr">
        <is>
          <t>야간 구분</t>
        </is>
      </c>
      <c r="AG4" s="6" t="inlineStr">
        <is>
          <t>그 밤 22~06시</t>
        </is>
      </c>
      <c r="AH4" s="6" t="inlineStr">
        <is>
          <t>야간첫행</t>
        </is>
      </c>
      <c r="AI4" s="6" t="inlineStr">
        <is>
          <t>야간당직</t>
        </is>
      </c>
      <c r="AJ4" s="6" t="inlineStr">
        <is>
          <t>기록월</t>
        </is>
      </c>
      <c r="AK4" s="6" t="inlineStr">
        <is>
          <t>종료월</t>
        </is>
      </c>
      <c r="AL4" s="6" t="inlineStr">
        <is>
          <t>월 넘김</t>
        </is>
      </c>
      <c r="AM4" s="6" t="inlineStr">
        <is>
          <t>기관명단</t>
        </is>
      </c>
      <c r="AN4" s="6" t="inlineStr">
        <is>
          <t>시작월 직접행</t>
        </is>
      </c>
      <c r="AO4" s="6" t="inlineStr">
        <is>
          <t>종료월 직접행</t>
        </is>
      </c>
      <c r="AP4" s="6" t="inlineStr">
        <is>
          <t>시작월 기관</t>
        </is>
      </c>
      <c r="AQ4" s="6" t="inlineStr">
        <is>
          <t>종료월 기관</t>
        </is>
      </c>
      <c r="AR4" s="6" t="inlineStr">
        <is>
          <t>기관 출처</t>
        </is>
      </c>
      <c r="AS4" s="6" t="inlineStr">
        <is>
          <t>월경계 판정</t>
        </is>
      </c>
      <c r="AT4" s="6" t="inlineStr">
        <is>
          <t>반영월</t>
        </is>
      </c>
      <c r="AU4" s="6" t="inlineStr">
        <is>
          <t>반영 기관</t>
        </is>
      </c>
      <c r="AV4" s="6" t="inlineStr">
        <is>
          <t>연속표시</t>
        </is>
      </c>
      <c r="AW4" s="6" t="inlineStr">
        <is>
          <t>연속순번</t>
        </is>
      </c>
      <c r="AX4" s="6" t="inlineStr">
        <is>
          <t>경계표시</t>
        </is>
      </c>
      <c r="AY4" s="6" t="inlineStr">
        <is>
          <t>경계순번</t>
        </is>
      </c>
      <c r="AZ4" s="6" t="inlineStr">
        <is>
          <t>발송표시</t>
        </is>
      </c>
      <c r="BA4" s="6" t="inlineStr">
        <is>
          <t>발송순번</t>
        </is>
      </c>
      <c r="BB4" s="6" t="inlineStr">
        <is>
          <t>발송첫행</t>
        </is>
      </c>
      <c r="BC4" s="6" t="inlineStr">
        <is>
          <t>발송인원순번</t>
        </is>
      </c>
      <c r="BD4" s="6" t="inlineStr">
        <is>
          <t>합계없음표시</t>
        </is>
      </c>
      <c r="BE4" s="6" t="inlineStr">
        <is>
          <t>합계없음첫행</t>
        </is>
      </c>
      <c r="BF4" s="6" t="inlineStr">
        <is>
          <t>합계없음순번</t>
        </is>
      </c>
    </row>
    <row r="5">
      <c r="A5" s="7" t="inlineStr">
        <is>
          <t>ㅇㅇ과</t>
        </is>
      </c>
      <c r="B5" s="7" t="n">
        <v>2222222</v>
      </c>
      <c r="C5" s="7" t="inlineStr">
        <is>
          <t>김ㅇㅇ</t>
        </is>
      </c>
      <c r="D5" s="7" t="inlineStr">
        <is>
          <t>레지던트2</t>
        </is>
      </c>
      <c r="E5" s="7" t="inlineStr">
        <is>
          <t>2026-08-31</t>
        </is>
      </c>
      <c r="F5" s="7" t="inlineStr">
        <is>
          <t>2026-08-31 20:00</t>
        </is>
      </c>
      <c r="G5" s="7" t="inlineStr">
        <is>
          <t>2026-09-01 08:00</t>
        </is>
      </c>
      <c r="H5" s="8" t="n">
        <v>1</v>
      </c>
      <c r="I5" s="8" t="n">
        <v>1</v>
      </c>
      <c r="J5" s="8" t="n">
        <v>2</v>
      </c>
      <c r="K5" s="8" t="n">
        <v>8</v>
      </c>
      <c r="L5" s="9">
        <f>ROW()-ROW(상세표[#Headers])</f>
        <v/>
      </c>
      <c r="M5" s="10">
        <f>IF(TRIM(상세표[[#This Row],[사번]]&amp;"")="","","S|"&amp;TRIM(상세표[[#This Row],[사번]]&amp;""))</f>
        <v/>
      </c>
      <c r="N5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5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5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5" s="9">
        <f>IF(AND(ISNUMBER(상세표[[#This Row],[시작]]),ISNUMBER(상세표[[#This Row],[종료]]),상세표[[#This Row],[이어짐]]=""),1,0)</f>
        <v/>
      </c>
      <c r="R5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5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5" s="12">
        <f>IF(상세표[[#This Row],[블록시작]]&lt;&gt;1,"",ROUND((상세표[[#This Row],[블록종료]]-상세표[[#This Row],[시작]])*24,2))</f>
        <v/>
      </c>
      <c r="U5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5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5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5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5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5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5" s="10">
        <f>IF(상세표[[#This Row],[블록시작]]&lt;&gt;1,"",TEXT(상세표[[#This Row],[시작]],"yyyy-mm"))</f>
        <v/>
      </c>
      <c r="AB5" s="10">
        <f>IF(상세표[[#This Row],[블록시작]]&lt;&gt;1,"",TEXT(상세표[[#This Row],[블록종료]]-1/86400,"yyyy-mm"))</f>
        <v/>
      </c>
      <c r="AC5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5" s="12">
        <f>N(상세표[[#This Row],[06~07시]])+N(상세표[[#This Row],[07~18시]])+N(상세표[[#This Row],[18~22시]])+N(상세표[[#This Row],[22~06시]])</f>
        <v/>
      </c>
      <c r="AE5" s="13">
        <f>IF(AND(ISNUMBER(상세표[[#This Row],[시작]]),N(상세표[[#This Row],[22~06시]])&gt;0),INT(상세표[[#This Row],[시작]]-6/24),"")</f>
        <v/>
      </c>
      <c r="AF5" s="10">
        <f>IF(상세표[[#This Row],[야간 기준일]]="","",IF(OR(WEEKDAY(상세표[[#This Row],[야간 기준일]],2)&gt;5,COUNTIF(공휴일목록,상세표[[#This Row],[야간 기준일]])&gt;0),"휴일","평일"))</f>
        <v/>
      </c>
      <c r="AG5" s="12">
        <f>IF(상세표[[#This Row],[야간 구분]]="","",SUMIFS(상세표[22~06시],상세표[사번키],상세표[[#This Row],[사번키]],상세표[야간 기준일],상세표[[#This Row],[야간 기준일]]))</f>
        <v/>
      </c>
      <c r="AH5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5" s="9">
        <f>IF(AND(상세표[[#This Row],[야간첫행]]=1,상세표[[#This Row],[그 밤 22~06시]]&gt;=8-0.001),1,0)</f>
        <v/>
      </c>
      <c r="AJ5" s="10">
        <f>IF(ISNUMBER(상세표[[#This Row],[시작]]),TEXT(상세표[[#This Row],[시작]],"yyyy-mm"),"")</f>
        <v/>
      </c>
      <c r="AK5" s="10">
        <f>IF(ISNUMBER(상세표[[#This Row],[종료]]),TEXT(상세표[[#This Row],[종료]]-1/86400,"yyyy-mm"),"")</f>
        <v/>
      </c>
      <c r="AL5" s="10">
        <f>IF(AND(상세표[[#This Row],[기록월]]&lt;&gt;"",상세표[[#This Row],[종료월]]&lt;&gt;"",상세표[[#This Row],[기록월]]&lt;&gt;상세표[[#This Row],[종료월]]),"월 넘김","")</f>
        <v/>
      </c>
      <c r="AM5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5" s="9">
        <f>IF(상세표[[#This Row],[기록월]]="","",IFERROR(MATCH(상세표[[#This Row],[사번키]]&amp;"|"&amp;상세표[[#This Row],[기록월]],월별근무지표[키],0),""))</f>
        <v/>
      </c>
      <c r="AO5" s="9">
        <f>IF(상세표[[#This Row],[종료월]]="","",IFERROR(MATCH(상세표[[#This Row],[사번키]]&amp;"|"&amp;상세표[[#This Row],[종료월]],월별근무지표[키],0),""))</f>
        <v/>
      </c>
      <c r="AP5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5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5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5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T5" s="10">
        <f>IF(상세표[[#This Row],[기록월]]="","",IF(상세표[[#This Row],[월경계 판정]]="익월초 급여 반영",상세표[[#This Row],[종료월]],상세표[[#This Row],[기록월]]))</f>
        <v/>
      </c>
      <c r="AU5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V5" s="9">
        <f>IF(AND(상세표[[#This Row],[블록시작]]=1,OR(상세표[[#This Row],[시작월]]=대상월키,상세표[[#This Row],[블록종료월]]=대상월키)),1,0)</f>
        <v/>
      </c>
      <c r="AW5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5" s="9">
        <f>IF(AND(상세표[[#This Row],[월 넘김]]="월 넘김",OR(상세표[[#This Row],[기록월]]=대상월키,상세표[[#This Row],[종료월]]=대상월키)),1,0)</f>
        <v/>
      </c>
      <c r="AY5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5" s="9">
        <f>IF(AND(상세표[[#This Row],[기관명단]]="없음",OR(상세표[[#This Row],[기록월]]=대상월키,상세표[[#This Row],[반영월]]=대상월키)),1,0)</f>
        <v/>
      </c>
      <c r="BA5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5" s="9">
        <f>IF(상세표[[#This Row],[발송표시]]&lt;&gt;1,0,IF(COUNTIFS(상세표[발송표시],1,상세표[사번키],상세표[[#This Row],[사번키]],상세표[행],"&lt;"&amp;상세표[[#This Row],[행]])&gt;0,0,1))</f>
        <v/>
      </c>
      <c r="BC5" s="9">
        <f>IF(상세표[[#This Row],[발송첫행]]&lt;&gt;1,"",COUNTIFS(상세표[발송첫행],1,상세표[행],"&lt;="&amp;상세표[[#This Row],[행]]))</f>
        <v/>
      </c>
      <c r="BD5" s="9">
        <f>IF(AND(상세표[[#This Row],[반영월]]=대상월키,상세표[[#This Row],[사번키]]&lt;&gt;"",COUNTIF(합계표[사번키],상세표[[#This Row],[사번키]])=0),1,0)</f>
        <v/>
      </c>
      <c r="BE5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5" s="9">
        <f>IF(상세표[[#This Row],[합계없음첫행]]&lt;&gt;1,"",COUNTIFS(상세표[합계없음첫행],1,상세표[행],"&lt;="&amp;상세표[[#This Row],[행]]))</f>
        <v/>
      </c>
    </row>
    <row r="6">
      <c r="A6" s="7" t="inlineStr">
        <is>
          <t>ㅇㅇ과</t>
        </is>
      </c>
      <c r="B6" s="7" t="n">
        <v>2222222</v>
      </c>
      <c r="C6" s="7" t="inlineStr">
        <is>
          <t>김ㅇㅇ</t>
        </is>
      </c>
      <c r="D6" s="7" t="inlineStr">
        <is>
          <t>레지던트2</t>
        </is>
      </c>
      <c r="E6" s="7" t="inlineStr">
        <is>
          <t>2026-09-01</t>
        </is>
      </c>
      <c r="F6" s="7" t="inlineStr">
        <is>
          <t>2026-09-01 08:00</t>
        </is>
      </c>
      <c r="G6" s="7" t="inlineStr">
        <is>
          <t>2026-09-01 20:00</t>
        </is>
      </c>
      <c r="H6" s="8" t="n">
        <v>0</v>
      </c>
      <c r="I6" s="8" t="n">
        <v>10</v>
      </c>
      <c r="J6" s="8" t="n">
        <v>2</v>
      </c>
      <c r="K6" s="8" t="n">
        <v>0</v>
      </c>
      <c r="L6" s="9">
        <f>ROW()-ROW(상세표[#Headers])</f>
        <v/>
      </c>
      <c r="M6" s="10">
        <f>IF(TRIM(상세표[[#This Row],[사번]]&amp;"")="","","S|"&amp;TRIM(상세표[[#This Row],[사번]]&amp;""))</f>
        <v/>
      </c>
      <c r="N6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6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6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6" s="9">
        <f>IF(AND(ISNUMBER(상세표[[#This Row],[시작]]),ISNUMBER(상세표[[#This Row],[종료]]),상세표[[#This Row],[이어짐]]=""),1,0)</f>
        <v/>
      </c>
      <c r="R6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6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6" s="12">
        <f>IF(상세표[[#This Row],[블록시작]]&lt;&gt;1,"",ROUND((상세표[[#This Row],[블록종료]]-상세표[[#This Row],[시작]])*24,2))</f>
        <v/>
      </c>
      <c r="U6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6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6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6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6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6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6" s="10">
        <f>IF(상세표[[#This Row],[블록시작]]&lt;&gt;1,"",TEXT(상세표[[#This Row],[시작]],"yyyy-mm"))</f>
        <v/>
      </c>
      <c r="AB6" s="10">
        <f>IF(상세표[[#This Row],[블록시작]]&lt;&gt;1,"",TEXT(상세표[[#This Row],[블록종료]]-1/86400,"yyyy-mm"))</f>
        <v/>
      </c>
      <c r="AC6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6" s="12">
        <f>N(상세표[[#This Row],[06~07시]])+N(상세표[[#This Row],[07~18시]])+N(상세표[[#This Row],[18~22시]])+N(상세표[[#This Row],[22~06시]])</f>
        <v/>
      </c>
      <c r="AE6" s="13">
        <f>IF(AND(ISNUMBER(상세표[[#This Row],[시작]]),N(상세표[[#This Row],[22~06시]])&gt;0),INT(상세표[[#This Row],[시작]]-6/24),"")</f>
        <v/>
      </c>
      <c r="AF6" s="10">
        <f>IF(상세표[[#This Row],[야간 기준일]]="","",IF(OR(WEEKDAY(상세표[[#This Row],[야간 기준일]],2)&gt;5,COUNTIF(공휴일목록,상세표[[#This Row],[야간 기준일]])&gt;0),"휴일","평일"))</f>
        <v/>
      </c>
      <c r="AG6" s="12">
        <f>IF(상세표[[#This Row],[야간 구분]]="","",SUMIFS(상세표[22~06시],상세표[사번키],상세표[[#This Row],[사번키]],상세표[야간 기준일],상세표[[#This Row],[야간 기준일]]))</f>
        <v/>
      </c>
      <c r="AH6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6" s="9">
        <f>IF(AND(상세표[[#This Row],[야간첫행]]=1,상세표[[#This Row],[그 밤 22~06시]]&gt;=8-0.001),1,0)</f>
        <v/>
      </c>
      <c r="AJ6" s="10">
        <f>IF(ISNUMBER(상세표[[#This Row],[시작]]),TEXT(상세표[[#This Row],[시작]],"yyyy-mm"),"")</f>
        <v/>
      </c>
      <c r="AK6" s="10">
        <f>IF(ISNUMBER(상세표[[#This Row],[종료]]),TEXT(상세표[[#This Row],[종료]]-1/86400,"yyyy-mm"),"")</f>
        <v/>
      </c>
      <c r="AL6" s="10">
        <f>IF(AND(상세표[[#This Row],[기록월]]&lt;&gt;"",상세표[[#This Row],[종료월]]&lt;&gt;"",상세표[[#This Row],[기록월]]&lt;&gt;상세표[[#This Row],[종료월]]),"월 넘김","")</f>
        <v/>
      </c>
      <c r="AM6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6" s="9">
        <f>IF(상세표[[#This Row],[기록월]]="","",IFERROR(MATCH(상세표[[#This Row],[사번키]]&amp;"|"&amp;상세표[[#This Row],[기록월]],월별근무지표[키],0),""))</f>
        <v/>
      </c>
      <c r="AO6" s="9">
        <f>IF(상세표[[#This Row],[종료월]]="","",IFERROR(MATCH(상세표[[#This Row],[사번키]]&amp;"|"&amp;상세표[[#This Row],[종료월]],월별근무지표[키],0),""))</f>
        <v/>
      </c>
      <c r="AP6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6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6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6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T6" s="10">
        <f>IF(상세표[[#This Row],[기록월]]="","",IF(상세표[[#This Row],[월경계 판정]]="익월초 급여 반영",상세표[[#This Row],[종료월]],상세표[[#This Row],[기록월]]))</f>
        <v/>
      </c>
      <c r="AU6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V6" s="9">
        <f>IF(AND(상세표[[#This Row],[블록시작]]=1,OR(상세표[[#This Row],[시작월]]=대상월키,상세표[[#This Row],[블록종료월]]=대상월키)),1,0)</f>
        <v/>
      </c>
      <c r="AW6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6" s="9">
        <f>IF(AND(상세표[[#This Row],[월 넘김]]="월 넘김",OR(상세표[[#This Row],[기록월]]=대상월키,상세표[[#This Row],[종료월]]=대상월키)),1,0)</f>
        <v/>
      </c>
      <c r="AY6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6" s="9">
        <f>IF(AND(상세표[[#This Row],[기관명단]]="없음",OR(상세표[[#This Row],[기록월]]=대상월키,상세표[[#This Row],[반영월]]=대상월키)),1,0)</f>
        <v/>
      </c>
      <c r="BA6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6" s="9">
        <f>IF(상세표[[#This Row],[발송표시]]&lt;&gt;1,0,IF(COUNTIFS(상세표[발송표시],1,상세표[사번키],상세표[[#This Row],[사번키]],상세표[행],"&lt;"&amp;상세표[[#This Row],[행]])&gt;0,0,1))</f>
        <v/>
      </c>
      <c r="BC6" s="9">
        <f>IF(상세표[[#This Row],[발송첫행]]&lt;&gt;1,"",COUNTIFS(상세표[발송첫행],1,상세표[행],"&lt;="&amp;상세표[[#This Row],[행]]))</f>
        <v/>
      </c>
      <c r="BD6" s="9">
        <f>IF(AND(상세표[[#This Row],[반영월]]=대상월키,상세표[[#This Row],[사번키]]&lt;&gt;"",COUNTIF(합계표[사번키],상세표[[#This Row],[사번키]])=0),1,0)</f>
        <v/>
      </c>
      <c r="BE6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6" s="9">
        <f>IF(상세표[[#This Row],[합계없음첫행]]&lt;&gt;1,"",COUNTIFS(상세표[합계없음첫행],1,상세표[행],"&lt;="&amp;상세표[[#This Row],[행]]))</f>
        <v/>
      </c>
    </row>
    <row r="7">
      <c r="A7" s="7" t="inlineStr">
        <is>
          <t>ㅇㅇ과</t>
        </is>
      </c>
      <c r="B7" s="7" t="n">
        <v>2222222</v>
      </c>
      <c r="C7" s="7" t="inlineStr">
        <is>
          <t>김ㅇㅇ</t>
        </is>
      </c>
      <c r="D7" s="7" t="inlineStr">
        <is>
          <t>레지던트2</t>
        </is>
      </c>
      <c r="E7" s="7" t="inlineStr">
        <is>
          <t>2026-09-04</t>
        </is>
      </c>
      <c r="F7" s="7" t="inlineStr">
        <is>
          <t>2026-09-04 06:00</t>
        </is>
      </c>
      <c r="G7" s="7" t="inlineStr">
        <is>
          <t>2026-09-04 20:00</t>
        </is>
      </c>
      <c r="H7" s="8" t="n">
        <v>1</v>
      </c>
      <c r="I7" s="8" t="n">
        <v>11</v>
      </c>
      <c r="J7" s="8" t="n">
        <v>2</v>
      </c>
      <c r="K7" s="8" t="n">
        <v>0</v>
      </c>
      <c r="L7" s="9">
        <f>ROW()-ROW(상세표[#Headers])</f>
        <v/>
      </c>
      <c r="M7" s="10">
        <f>IF(TRIM(상세표[[#This Row],[사번]]&amp;"")="","","S|"&amp;TRIM(상세표[[#This Row],[사번]]&amp;""))</f>
        <v/>
      </c>
      <c r="N7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7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7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7" s="9">
        <f>IF(AND(ISNUMBER(상세표[[#This Row],[시작]]),ISNUMBER(상세표[[#This Row],[종료]]),상세표[[#This Row],[이어짐]]=""),1,0)</f>
        <v/>
      </c>
      <c r="R7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7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7" s="12">
        <f>IF(상세표[[#This Row],[블록시작]]&lt;&gt;1,"",ROUND((상세표[[#This Row],[블록종료]]-상세표[[#This Row],[시작]])*24,2))</f>
        <v/>
      </c>
      <c r="U7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7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7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7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7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7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7" s="10">
        <f>IF(상세표[[#This Row],[블록시작]]&lt;&gt;1,"",TEXT(상세표[[#This Row],[시작]],"yyyy-mm"))</f>
        <v/>
      </c>
      <c r="AB7" s="10">
        <f>IF(상세표[[#This Row],[블록시작]]&lt;&gt;1,"",TEXT(상세표[[#This Row],[블록종료]]-1/86400,"yyyy-mm"))</f>
        <v/>
      </c>
      <c r="AC7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7" s="12">
        <f>N(상세표[[#This Row],[06~07시]])+N(상세표[[#This Row],[07~18시]])+N(상세표[[#This Row],[18~22시]])+N(상세표[[#This Row],[22~06시]])</f>
        <v/>
      </c>
      <c r="AE7" s="13">
        <f>IF(AND(ISNUMBER(상세표[[#This Row],[시작]]),N(상세표[[#This Row],[22~06시]])&gt;0),INT(상세표[[#This Row],[시작]]-6/24),"")</f>
        <v/>
      </c>
      <c r="AF7" s="10">
        <f>IF(상세표[[#This Row],[야간 기준일]]="","",IF(OR(WEEKDAY(상세표[[#This Row],[야간 기준일]],2)&gt;5,COUNTIF(공휴일목록,상세표[[#This Row],[야간 기준일]])&gt;0),"휴일","평일"))</f>
        <v/>
      </c>
      <c r="AG7" s="12">
        <f>IF(상세표[[#This Row],[야간 구분]]="","",SUMIFS(상세표[22~06시],상세표[사번키],상세표[[#This Row],[사번키]],상세표[야간 기준일],상세표[[#This Row],[야간 기준일]]))</f>
        <v/>
      </c>
      <c r="AH7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7" s="9">
        <f>IF(AND(상세표[[#This Row],[야간첫행]]=1,상세표[[#This Row],[그 밤 22~06시]]&gt;=8-0.001),1,0)</f>
        <v/>
      </c>
      <c r="AJ7" s="10">
        <f>IF(ISNUMBER(상세표[[#This Row],[시작]]),TEXT(상세표[[#This Row],[시작]],"yyyy-mm"),"")</f>
        <v/>
      </c>
      <c r="AK7" s="10">
        <f>IF(ISNUMBER(상세표[[#This Row],[종료]]),TEXT(상세표[[#This Row],[종료]]-1/86400,"yyyy-mm"),"")</f>
        <v/>
      </c>
      <c r="AL7" s="10">
        <f>IF(AND(상세표[[#This Row],[기록월]]&lt;&gt;"",상세표[[#This Row],[종료월]]&lt;&gt;"",상세표[[#This Row],[기록월]]&lt;&gt;상세표[[#This Row],[종료월]]),"월 넘김","")</f>
        <v/>
      </c>
      <c r="AM7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7" s="9">
        <f>IF(상세표[[#This Row],[기록월]]="","",IFERROR(MATCH(상세표[[#This Row],[사번키]]&amp;"|"&amp;상세표[[#This Row],[기록월]],월별근무지표[키],0),""))</f>
        <v/>
      </c>
      <c r="AO7" s="9">
        <f>IF(상세표[[#This Row],[종료월]]="","",IFERROR(MATCH(상세표[[#This Row],[사번키]]&amp;"|"&amp;상세표[[#This Row],[종료월]],월별근무지표[키],0),""))</f>
        <v/>
      </c>
      <c r="AP7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7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7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7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T7" s="10">
        <f>IF(상세표[[#This Row],[기록월]]="","",IF(상세표[[#This Row],[월경계 판정]]="익월초 급여 반영",상세표[[#This Row],[종료월]],상세표[[#This Row],[기록월]]))</f>
        <v/>
      </c>
      <c r="AU7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V7" s="9">
        <f>IF(AND(상세표[[#This Row],[블록시작]]=1,OR(상세표[[#This Row],[시작월]]=대상월키,상세표[[#This Row],[블록종료월]]=대상월키)),1,0)</f>
        <v/>
      </c>
      <c r="AW7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7" s="9">
        <f>IF(AND(상세표[[#This Row],[월 넘김]]="월 넘김",OR(상세표[[#This Row],[기록월]]=대상월키,상세표[[#This Row],[종료월]]=대상월키)),1,0)</f>
        <v/>
      </c>
      <c r="AY7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7" s="9">
        <f>IF(AND(상세표[[#This Row],[기관명단]]="없음",OR(상세표[[#This Row],[기록월]]=대상월키,상세표[[#This Row],[반영월]]=대상월키)),1,0)</f>
        <v/>
      </c>
      <c r="BA7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7" s="9">
        <f>IF(상세표[[#This Row],[발송표시]]&lt;&gt;1,0,IF(COUNTIFS(상세표[발송표시],1,상세표[사번키],상세표[[#This Row],[사번키]],상세표[행],"&lt;"&amp;상세표[[#This Row],[행]])&gt;0,0,1))</f>
        <v/>
      </c>
      <c r="BC7" s="9">
        <f>IF(상세표[[#This Row],[발송첫행]]&lt;&gt;1,"",COUNTIFS(상세표[발송첫행],1,상세표[행],"&lt;="&amp;상세표[[#This Row],[행]]))</f>
        <v/>
      </c>
      <c r="BD7" s="9">
        <f>IF(AND(상세표[[#This Row],[반영월]]=대상월키,상세표[[#This Row],[사번키]]&lt;&gt;"",COUNTIF(합계표[사번키],상세표[[#This Row],[사번키]])=0),1,0)</f>
        <v/>
      </c>
      <c r="BE7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7" s="9">
        <f>IF(상세표[[#This Row],[합계없음첫행]]&lt;&gt;1,"",COUNTIFS(상세표[합계없음첫행],1,상세표[행],"&lt;="&amp;상세표[[#This Row],[행]]))</f>
        <v/>
      </c>
    </row>
    <row r="8">
      <c r="A8" s="7" t="inlineStr">
        <is>
          <t>ㅇㅇ과</t>
        </is>
      </c>
      <c r="B8" s="7" t="n">
        <v>2222222</v>
      </c>
      <c r="C8" s="7" t="inlineStr">
        <is>
          <t>김ㅇㅇ</t>
        </is>
      </c>
      <c r="D8" s="7" t="inlineStr">
        <is>
          <t>레지던트2</t>
        </is>
      </c>
      <c r="E8" s="7" t="inlineStr">
        <is>
          <t>2026-09-04</t>
        </is>
      </c>
      <c r="F8" s="7" t="inlineStr">
        <is>
          <t>2026-09-04 20:00</t>
        </is>
      </c>
      <c r="G8" s="7" t="inlineStr">
        <is>
          <t>2026-09-05 08:00</t>
        </is>
      </c>
      <c r="H8" s="8" t="n">
        <v>1</v>
      </c>
      <c r="I8" s="8" t="n">
        <v>1</v>
      </c>
      <c r="J8" s="8" t="n">
        <v>2</v>
      </c>
      <c r="K8" s="8" t="n">
        <v>8</v>
      </c>
      <c r="L8" s="9">
        <f>ROW()-ROW(상세표[#Headers])</f>
        <v/>
      </c>
      <c r="M8" s="10">
        <f>IF(TRIM(상세표[[#This Row],[사번]]&amp;"")="","","S|"&amp;TRIM(상세표[[#This Row],[사번]]&amp;""))</f>
        <v/>
      </c>
      <c r="N8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8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8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8" s="9">
        <f>IF(AND(ISNUMBER(상세표[[#This Row],[시작]]),ISNUMBER(상세표[[#This Row],[종료]]),상세표[[#This Row],[이어짐]]=""),1,0)</f>
        <v/>
      </c>
      <c r="R8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8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8" s="12">
        <f>IF(상세표[[#This Row],[블록시작]]&lt;&gt;1,"",ROUND((상세표[[#This Row],[블록종료]]-상세표[[#This Row],[시작]])*24,2))</f>
        <v/>
      </c>
      <c r="U8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8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8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8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8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8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8" s="10">
        <f>IF(상세표[[#This Row],[블록시작]]&lt;&gt;1,"",TEXT(상세표[[#This Row],[시작]],"yyyy-mm"))</f>
        <v/>
      </c>
      <c r="AB8" s="10">
        <f>IF(상세표[[#This Row],[블록시작]]&lt;&gt;1,"",TEXT(상세표[[#This Row],[블록종료]]-1/86400,"yyyy-mm"))</f>
        <v/>
      </c>
      <c r="AC8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8" s="12">
        <f>N(상세표[[#This Row],[06~07시]])+N(상세표[[#This Row],[07~18시]])+N(상세표[[#This Row],[18~22시]])+N(상세표[[#This Row],[22~06시]])</f>
        <v/>
      </c>
      <c r="AE8" s="13">
        <f>IF(AND(ISNUMBER(상세표[[#This Row],[시작]]),N(상세표[[#This Row],[22~06시]])&gt;0),INT(상세표[[#This Row],[시작]]-6/24),"")</f>
        <v/>
      </c>
      <c r="AF8" s="10">
        <f>IF(상세표[[#This Row],[야간 기준일]]="","",IF(OR(WEEKDAY(상세표[[#This Row],[야간 기준일]],2)&gt;5,COUNTIF(공휴일목록,상세표[[#This Row],[야간 기준일]])&gt;0),"휴일","평일"))</f>
        <v/>
      </c>
      <c r="AG8" s="12">
        <f>IF(상세표[[#This Row],[야간 구분]]="","",SUMIFS(상세표[22~06시],상세표[사번키],상세표[[#This Row],[사번키]],상세표[야간 기준일],상세표[[#This Row],[야간 기준일]]))</f>
        <v/>
      </c>
      <c r="AH8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8" s="9">
        <f>IF(AND(상세표[[#This Row],[야간첫행]]=1,상세표[[#This Row],[그 밤 22~06시]]&gt;=8-0.001),1,0)</f>
        <v/>
      </c>
      <c r="AJ8" s="10">
        <f>IF(ISNUMBER(상세표[[#This Row],[시작]]),TEXT(상세표[[#This Row],[시작]],"yyyy-mm"),"")</f>
        <v/>
      </c>
      <c r="AK8" s="10">
        <f>IF(ISNUMBER(상세표[[#This Row],[종료]]),TEXT(상세표[[#This Row],[종료]]-1/86400,"yyyy-mm"),"")</f>
        <v/>
      </c>
      <c r="AL8" s="10">
        <f>IF(AND(상세표[[#This Row],[기록월]]&lt;&gt;"",상세표[[#This Row],[종료월]]&lt;&gt;"",상세표[[#This Row],[기록월]]&lt;&gt;상세표[[#This Row],[종료월]]),"월 넘김","")</f>
        <v/>
      </c>
      <c r="AM8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8" s="9">
        <f>IF(상세표[[#This Row],[기록월]]="","",IFERROR(MATCH(상세표[[#This Row],[사번키]]&amp;"|"&amp;상세표[[#This Row],[기록월]],월별근무지표[키],0),""))</f>
        <v/>
      </c>
      <c r="AO8" s="9">
        <f>IF(상세표[[#This Row],[종료월]]="","",IFERROR(MATCH(상세표[[#This Row],[사번키]]&amp;"|"&amp;상세표[[#This Row],[종료월]],월별근무지표[키],0),""))</f>
        <v/>
      </c>
      <c r="AP8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8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8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8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T8" s="10">
        <f>IF(상세표[[#This Row],[기록월]]="","",IF(상세표[[#This Row],[월경계 판정]]="익월초 급여 반영",상세표[[#This Row],[종료월]],상세표[[#This Row],[기록월]]))</f>
        <v/>
      </c>
      <c r="AU8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V8" s="9">
        <f>IF(AND(상세표[[#This Row],[블록시작]]=1,OR(상세표[[#This Row],[시작월]]=대상월키,상세표[[#This Row],[블록종료월]]=대상월키)),1,0)</f>
        <v/>
      </c>
      <c r="AW8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8" s="9">
        <f>IF(AND(상세표[[#This Row],[월 넘김]]="월 넘김",OR(상세표[[#This Row],[기록월]]=대상월키,상세표[[#This Row],[종료월]]=대상월키)),1,0)</f>
        <v/>
      </c>
      <c r="AY8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8" s="9">
        <f>IF(AND(상세표[[#This Row],[기관명단]]="없음",OR(상세표[[#This Row],[기록월]]=대상월키,상세표[[#This Row],[반영월]]=대상월키)),1,0)</f>
        <v/>
      </c>
      <c r="BA8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8" s="9">
        <f>IF(상세표[[#This Row],[발송표시]]&lt;&gt;1,0,IF(COUNTIFS(상세표[발송표시],1,상세표[사번키],상세표[[#This Row],[사번키]],상세표[행],"&lt;"&amp;상세표[[#This Row],[행]])&gt;0,0,1))</f>
        <v/>
      </c>
      <c r="BC8" s="9">
        <f>IF(상세표[[#This Row],[발송첫행]]&lt;&gt;1,"",COUNTIFS(상세표[발송첫행],1,상세표[행],"&lt;="&amp;상세표[[#This Row],[행]]))</f>
        <v/>
      </c>
      <c r="BD8" s="9">
        <f>IF(AND(상세표[[#This Row],[반영월]]=대상월키,상세표[[#This Row],[사번키]]&lt;&gt;"",COUNTIF(합계표[사번키],상세표[[#This Row],[사번키]])=0),1,0)</f>
        <v/>
      </c>
      <c r="BE8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8" s="9">
        <f>IF(상세표[[#This Row],[합계없음첫행]]&lt;&gt;1,"",COUNTIFS(상세표[합계없음첫행],1,상세표[행],"&lt;="&amp;상세표[[#This Row],[행]]))</f>
        <v/>
      </c>
    </row>
    <row r="9">
      <c r="A9" s="7" t="inlineStr">
        <is>
          <t>ㅇㅇ과</t>
        </is>
      </c>
      <c r="B9" s="7" t="n">
        <v>2222222</v>
      </c>
      <c r="C9" s="7" t="inlineStr">
        <is>
          <t>김ㅇㅇ</t>
        </is>
      </c>
      <c r="D9" s="7" t="inlineStr">
        <is>
          <t>전임의</t>
        </is>
      </c>
      <c r="E9" s="7" t="inlineStr">
        <is>
          <t>2026-09-24</t>
        </is>
      </c>
      <c r="F9" s="7" t="inlineStr">
        <is>
          <t>2026-09-24 08:00</t>
        </is>
      </c>
      <c r="G9" s="7" t="inlineStr">
        <is>
          <t>2026-09-24 20:00</t>
        </is>
      </c>
      <c r="H9" s="8" t="n">
        <v>0</v>
      </c>
      <c r="I9" s="8" t="n">
        <v>10</v>
      </c>
      <c r="J9" s="8" t="n">
        <v>2</v>
      </c>
      <c r="K9" s="8" t="n">
        <v>0</v>
      </c>
      <c r="L9" s="9">
        <f>ROW()-ROW(상세표[#Headers])</f>
        <v/>
      </c>
      <c r="M9" s="10">
        <f>IF(TRIM(상세표[[#This Row],[사번]]&amp;"")="","","S|"&amp;TRIM(상세표[[#This Row],[사번]]&amp;""))</f>
        <v/>
      </c>
      <c r="N9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9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9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9" s="9">
        <f>IF(AND(ISNUMBER(상세표[[#This Row],[시작]]),ISNUMBER(상세표[[#This Row],[종료]]),상세표[[#This Row],[이어짐]]=""),1,0)</f>
        <v/>
      </c>
      <c r="R9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9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9" s="12">
        <f>IF(상세표[[#This Row],[블록시작]]&lt;&gt;1,"",ROUND((상세표[[#This Row],[블록종료]]-상세표[[#This Row],[시작]])*24,2))</f>
        <v/>
      </c>
      <c r="U9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9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9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9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9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9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9" s="10">
        <f>IF(상세표[[#This Row],[블록시작]]&lt;&gt;1,"",TEXT(상세표[[#This Row],[시작]],"yyyy-mm"))</f>
        <v/>
      </c>
      <c r="AB9" s="10">
        <f>IF(상세표[[#This Row],[블록시작]]&lt;&gt;1,"",TEXT(상세표[[#This Row],[블록종료]]-1/86400,"yyyy-mm"))</f>
        <v/>
      </c>
      <c r="AC9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9" s="12">
        <f>N(상세표[[#This Row],[06~07시]])+N(상세표[[#This Row],[07~18시]])+N(상세표[[#This Row],[18~22시]])+N(상세표[[#This Row],[22~06시]])</f>
        <v/>
      </c>
      <c r="AE9" s="13">
        <f>IF(AND(ISNUMBER(상세표[[#This Row],[시작]]),N(상세표[[#This Row],[22~06시]])&gt;0),INT(상세표[[#This Row],[시작]]-6/24),"")</f>
        <v/>
      </c>
      <c r="AF9" s="10">
        <f>IF(상세표[[#This Row],[야간 기준일]]="","",IF(OR(WEEKDAY(상세표[[#This Row],[야간 기준일]],2)&gt;5,COUNTIF(공휴일목록,상세표[[#This Row],[야간 기준일]])&gt;0),"휴일","평일"))</f>
        <v/>
      </c>
      <c r="AG9" s="12">
        <f>IF(상세표[[#This Row],[야간 구분]]="","",SUMIFS(상세표[22~06시],상세표[사번키],상세표[[#This Row],[사번키]],상세표[야간 기준일],상세표[[#This Row],[야간 기준일]]))</f>
        <v/>
      </c>
      <c r="AH9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9" s="9">
        <f>IF(AND(상세표[[#This Row],[야간첫행]]=1,상세표[[#This Row],[그 밤 22~06시]]&gt;=8-0.001),1,0)</f>
        <v/>
      </c>
      <c r="AJ9" s="10">
        <f>IF(ISNUMBER(상세표[[#This Row],[시작]]),TEXT(상세표[[#This Row],[시작]],"yyyy-mm"),"")</f>
        <v/>
      </c>
      <c r="AK9" s="10">
        <f>IF(ISNUMBER(상세표[[#This Row],[종료]]),TEXT(상세표[[#This Row],[종료]]-1/86400,"yyyy-mm"),"")</f>
        <v/>
      </c>
      <c r="AL9" s="10">
        <f>IF(AND(상세표[[#This Row],[기록월]]&lt;&gt;"",상세표[[#This Row],[종료월]]&lt;&gt;"",상세표[[#This Row],[기록월]]&lt;&gt;상세표[[#This Row],[종료월]]),"월 넘김","")</f>
        <v/>
      </c>
      <c r="AM9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9" s="9">
        <f>IF(상세표[[#This Row],[기록월]]="","",IFERROR(MATCH(상세표[[#This Row],[사번키]]&amp;"|"&amp;상세표[[#This Row],[기록월]],월별근무지표[키],0),""))</f>
        <v/>
      </c>
      <c r="AO9" s="9">
        <f>IF(상세표[[#This Row],[종료월]]="","",IFERROR(MATCH(상세표[[#This Row],[사번키]]&amp;"|"&amp;상세표[[#This Row],[종료월]],월별근무지표[키],0),""))</f>
        <v/>
      </c>
      <c r="AP9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9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9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9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T9" s="10">
        <f>IF(상세표[[#This Row],[기록월]]="","",IF(상세표[[#This Row],[월경계 판정]]="익월초 급여 반영",상세표[[#This Row],[종료월]],상세표[[#This Row],[기록월]]))</f>
        <v/>
      </c>
      <c r="AU9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V9" s="9">
        <f>IF(AND(상세표[[#This Row],[블록시작]]=1,OR(상세표[[#This Row],[시작월]]=대상월키,상세표[[#This Row],[블록종료월]]=대상월키)),1,0)</f>
        <v/>
      </c>
      <c r="AW9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9" s="9">
        <f>IF(AND(상세표[[#This Row],[월 넘김]]="월 넘김",OR(상세표[[#This Row],[기록월]]=대상월키,상세표[[#This Row],[종료월]]=대상월키)),1,0)</f>
        <v/>
      </c>
      <c r="AY9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9" s="9">
        <f>IF(AND(상세표[[#This Row],[기관명단]]="없음",OR(상세표[[#This Row],[기록월]]=대상월키,상세표[[#This Row],[반영월]]=대상월키)),1,0)</f>
        <v/>
      </c>
      <c r="BA9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9" s="9">
        <f>IF(상세표[[#This Row],[발송표시]]&lt;&gt;1,0,IF(COUNTIFS(상세표[발송표시],1,상세표[사번키],상세표[[#This Row],[사번키]],상세표[행],"&lt;"&amp;상세표[[#This Row],[행]])&gt;0,0,1))</f>
        <v/>
      </c>
      <c r="BC9" s="9">
        <f>IF(상세표[[#This Row],[발송첫행]]&lt;&gt;1,"",COUNTIFS(상세표[발송첫행],1,상세표[행],"&lt;="&amp;상세표[[#This Row],[행]]))</f>
        <v/>
      </c>
      <c r="BD9" s="9">
        <f>IF(AND(상세표[[#This Row],[반영월]]=대상월키,상세표[[#This Row],[사번키]]&lt;&gt;"",COUNTIF(합계표[사번키],상세표[[#This Row],[사번키]])=0),1,0)</f>
        <v/>
      </c>
      <c r="BE9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9" s="9">
        <f>IF(상세표[[#This Row],[합계없음첫행]]&lt;&gt;1,"",COUNTIFS(상세표[합계없음첫행],1,상세표[행],"&lt;="&amp;상세표[[#This Row],[행]]))</f>
        <v/>
      </c>
    </row>
    <row r="10">
      <c r="A10" s="7" t="inlineStr">
        <is>
          <t>ㅇㅇ과</t>
        </is>
      </c>
      <c r="B10" s="7" t="n">
        <v>2222222</v>
      </c>
      <c r="C10" s="7" t="inlineStr">
        <is>
          <t>김ㅇㅇ</t>
        </is>
      </c>
      <c r="D10" s="7" t="inlineStr">
        <is>
          <t>레지던트2</t>
        </is>
      </c>
      <c r="E10" s="7" t="inlineStr">
        <is>
          <t>2026-09-30</t>
        </is>
      </c>
      <c r="F10" s="7" t="inlineStr">
        <is>
          <t>2026-09-30 20:00</t>
        </is>
      </c>
      <c r="G10" s="7" t="inlineStr">
        <is>
          <t>2026-10-01 08:00</t>
        </is>
      </c>
      <c r="H10" s="8" t="n">
        <v>1</v>
      </c>
      <c r="I10" s="8" t="n">
        <v>1</v>
      </c>
      <c r="J10" s="8" t="n">
        <v>2</v>
      </c>
      <c r="K10" s="8" t="n">
        <v>8</v>
      </c>
      <c r="L10" s="9">
        <f>ROW()-ROW(상세표[#Headers])</f>
        <v/>
      </c>
      <c r="M10" s="10">
        <f>IF(TRIM(상세표[[#This Row],[사번]]&amp;"")="","","S|"&amp;TRIM(상세표[[#This Row],[사번]]&amp;""))</f>
        <v/>
      </c>
      <c r="N10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0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0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0" s="9">
        <f>IF(AND(ISNUMBER(상세표[[#This Row],[시작]]),ISNUMBER(상세표[[#This Row],[종료]]),상세표[[#This Row],[이어짐]]=""),1,0)</f>
        <v/>
      </c>
      <c r="R10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0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0" s="12">
        <f>IF(상세표[[#This Row],[블록시작]]&lt;&gt;1,"",ROUND((상세표[[#This Row],[블록종료]]-상세표[[#This Row],[시작]])*24,2))</f>
        <v/>
      </c>
      <c r="U10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0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0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0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0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0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0" s="10">
        <f>IF(상세표[[#This Row],[블록시작]]&lt;&gt;1,"",TEXT(상세표[[#This Row],[시작]],"yyyy-mm"))</f>
        <v/>
      </c>
      <c r="AB10" s="10">
        <f>IF(상세표[[#This Row],[블록시작]]&lt;&gt;1,"",TEXT(상세표[[#This Row],[블록종료]]-1/86400,"yyyy-mm"))</f>
        <v/>
      </c>
      <c r="AC10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0" s="12">
        <f>N(상세표[[#This Row],[06~07시]])+N(상세표[[#This Row],[07~18시]])+N(상세표[[#This Row],[18~22시]])+N(상세표[[#This Row],[22~06시]])</f>
        <v/>
      </c>
      <c r="AE10" s="13">
        <f>IF(AND(ISNUMBER(상세표[[#This Row],[시작]]),N(상세표[[#This Row],[22~06시]])&gt;0),INT(상세표[[#This Row],[시작]]-6/24),"")</f>
        <v/>
      </c>
      <c r="AF10" s="10">
        <f>IF(상세표[[#This Row],[야간 기준일]]="","",IF(OR(WEEKDAY(상세표[[#This Row],[야간 기준일]],2)&gt;5,COUNTIF(공휴일목록,상세표[[#This Row],[야간 기준일]])&gt;0),"휴일","평일"))</f>
        <v/>
      </c>
      <c r="AG10" s="12">
        <f>IF(상세표[[#This Row],[야간 구분]]="","",SUMIFS(상세표[22~06시],상세표[사번키],상세표[[#This Row],[사번키]],상세표[야간 기준일],상세표[[#This Row],[야간 기준일]]))</f>
        <v/>
      </c>
      <c r="AH10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10" s="9">
        <f>IF(AND(상세표[[#This Row],[야간첫행]]=1,상세표[[#This Row],[그 밤 22~06시]]&gt;=8-0.001),1,0)</f>
        <v/>
      </c>
      <c r="AJ10" s="10">
        <f>IF(ISNUMBER(상세표[[#This Row],[시작]]),TEXT(상세표[[#This Row],[시작]],"yyyy-mm"),"")</f>
        <v/>
      </c>
      <c r="AK10" s="10">
        <f>IF(ISNUMBER(상세표[[#This Row],[종료]]),TEXT(상세표[[#This Row],[종료]]-1/86400,"yyyy-mm"),"")</f>
        <v/>
      </c>
      <c r="AL10" s="10">
        <f>IF(AND(상세표[[#This Row],[기록월]]&lt;&gt;"",상세표[[#This Row],[종료월]]&lt;&gt;"",상세표[[#This Row],[기록월]]&lt;&gt;상세표[[#This Row],[종료월]]),"월 넘김","")</f>
        <v/>
      </c>
      <c r="AM10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10" s="9">
        <f>IF(상세표[[#This Row],[기록월]]="","",IFERROR(MATCH(상세표[[#This Row],[사번키]]&amp;"|"&amp;상세표[[#This Row],[기록월]],월별근무지표[키],0),""))</f>
        <v/>
      </c>
      <c r="AO10" s="9">
        <f>IF(상세표[[#This Row],[종료월]]="","",IFERROR(MATCH(상세표[[#This Row],[사번키]]&amp;"|"&amp;상세표[[#This Row],[종료월]],월별근무지표[키],0),""))</f>
        <v/>
      </c>
      <c r="AP10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10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10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10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T10" s="10">
        <f>IF(상세표[[#This Row],[기록월]]="","",IF(상세표[[#This Row],[월경계 판정]]="익월초 급여 반영",상세표[[#This Row],[종료월]],상세표[[#This Row],[기록월]]))</f>
        <v/>
      </c>
      <c r="AU10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V10" s="9">
        <f>IF(AND(상세표[[#This Row],[블록시작]]=1,OR(상세표[[#This Row],[시작월]]=대상월키,상세표[[#This Row],[블록종료월]]=대상월키)),1,0)</f>
        <v/>
      </c>
      <c r="AW10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0" s="9">
        <f>IF(AND(상세표[[#This Row],[월 넘김]]="월 넘김",OR(상세표[[#This Row],[기록월]]=대상월키,상세표[[#This Row],[종료월]]=대상월키)),1,0)</f>
        <v/>
      </c>
      <c r="AY10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0" s="9">
        <f>IF(AND(상세표[[#This Row],[기관명단]]="없음",OR(상세표[[#This Row],[기록월]]=대상월키,상세표[[#This Row],[반영월]]=대상월키)),1,0)</f>
        <v/>
      </c>
      <c r="BA10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10" s="9">
        <f>IF(상세표[[#This Row],[발송표시]]&lt;&gt;1,0,IF(COUNTIFS(상세표[발송표시],1,상세표[사번키],상세표[[#This Row],[사번키]],상세표[행],"&lt;"&amp;상세표[[#This Row],[행]])&gt;0,0,1))</f>
        <v/>
      </c>
      <c r="BC10" s="9">
        <f>IF(상세표[[#This Row],[발송첫행]]&lt;&gt;1,"",COUNTIFS(상세표[발송첫행],1,상세표[행],"&lt;="&amp;상세표[[#This Row],[행]]))</f>
        <v/>
      </c>
      <c r="BD10" s="9">
        <f>IF(AND(상세표[[#This Row],[반영월]]=대상월키,상세표[[#This Row],[사번키]]&lt;&gt;"",COUNTIF(합계표[사번키],상세표[[#This Row],[사번키]])=0),1,0)</f>
        <v/>
      </c>
      <c r="BE10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10" s="9">
        <f>IF(상세표[[#This Row],[합계없음첫행]]&lt;&gt;1,"",COUNTIFS(상세표[합계없음첫행],1,상세표[행],"&lt;="&amp;상세표[[#This Row],[행]]))</f>
        <v/>
      </c>
    </row>
    <row r="11">
      <c r="A11" s="7" t="inlineStr">
        <is>
          <t>수련교육부</t>
        </is>
      </c>
      <c r="B11" s="7" t="n">
        <v>3333333</v>
      </c>
      <c r="C11" s="7" t="inlineStr">
        <is>
          <t>이ㅇㅇ</t>
        </is>
      </c>
      <c r="D11" s="7" t="inlineStr">
        <is>
          <t>인턴</t>
        </is>
      </c>
      <c r="E11" s="7" t="inlineStr">
        <is>
          <t>2026-08-31</t>
        </is>
      </c>
      <c r="F11" s="7" t="inlineStr">
        <is>
          <t>2026-08-31 20:00</t>
        </is>
      </c>
      <c r="G11" s="7" t="inlineStr">
        <is>
          <t>2026-09-01 08:00</t>
        </is>
      </c>
      <c r="H11" s="8" t="n">
        <v>1</v>
      </c>
      <c r="I11" s="8" t="n">
        <v>1</v>
      </c>
      <c r="J11" s="8" t="n">
        <v>2</v>
      </c>
      <c r="K11" s="8" t="n">
        <v>8</v>
      </c>
      <c r="L11" s="9">
        <f>ROW()-ROW(상세표[#Headers])</f>
        <v/>
      </c>
      <c r="M11" s="10">
        <f>IF(TRIM(상세표[[#This Row],[사번]]&amp;"")="","","S|"&amp;TRIM(상세표[[#This Row],[사번]]&amp;""))</f>
        <v/>
      </c>
      <c r="N11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1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1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1" s="9">
        <f>IF(AND(ISNUMBER(상세표[[#This Row],[시작]]),ISNUMBER(상세표[[#This Row],[종료]]),상세표[[#This Row],[이어짐]]=""),1,0)</f>
        <v/>
      </c>
      <c r="R11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1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1" s="12">
        <f>IF(상세표[[#This Row],[블록시작]]&lt;&gt;1,"",ROUND((상세표[[#This Row],[블록종료]]-상세표[[#This Row],[시작]])*24,2))</f>
        <v/>
      </c>
      <c r="U11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1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1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1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1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1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1" s="10">
        <f>IF(상세표[[#This Row],[블록시작]]&lt;&gt;1,"",TEXT(상세표[[#This Row],[시작]],"yyyy-mm"))</f>
        <v/>
      </c>
      <c r="AB11" s="10">
        <f>IF(상세표[[#This Row],[블록시작]]&lt;&gt;1,"",TEXT(상세표[[#This Row],[블록종료]]-1/86400,"yyyy-mm"))</f>
        <v/>
      </c>
      <c r="AC11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1" s="12">
        <f>N(상세표[[#This Row],[06~07시]])+N(상세표[[#This Row],[07~18시]])+N(상세표[[#This Row],[18~22시]])+N(상세표[[#This Row],[22~06시]])</f>
        <v/>
      </c>
      <c r="AE11" s="13">
        <f>IF(AND(ISNUMBER(상세표[[#This Row],[시작]]),N(상세표[[#This Row],[22~06시]])&gt;0),INT(상세표[[#This Row],[시작]]-6/24),"")</f>
        <v/>
      </c>
      <c r="AF11" s="10">
        <f>IF(상세표[[#This Row],[야간 기준일]]="","",IF(OR(WEEKDAY(상세표[[#This Row],[야간 기준일]],2)&gt;5,COUNTIF(공휴일목록,상세표[[#This Row],[야간 기준일]])&gt;0),"휴일","평일"))</f>
        <v/>
      </c>
      <c r="AG11" s="12">
        <f>IF(상세표[[#This Row],[야간 구분]]="","",SUMIFS(상세표[22~06시],상세표[사번키],상세표[[#This Row],[사번키]],상세표[야간 기준일],상세표[[#This Row],[야간 기준일]]))</f>
        <v/>
      </c>
      <c r="AH11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11" s="9">
        <f>IF(AND(상세표[[#This Row],[야간첫행]]=1,상세표[[#This Row],[그 밤 22~06시]]&gt;=8-0.001),1,0)</f>
        <v/>
      </c>
      <c r="AJ11" s="10">
        <f>IF(ISNUMBER(상세표[[#This Row],[시작]]),TEXT(상세표[[#This Row],[시작]],"yyyy-mm"),"")</f>
        <v/>
      </c>
      <c r="AK11" s="10">
        <f>IF(ISNUMBER(상세표[[#This Row],[종료]]),TEXT(상세표[[#This Row],[종료]]-1/86400,"yyyy-mm"),"")</f>
        <v/>
      </c>
      <c r="AL11" s="10">
        <f>IF(AND(상세표[[#This Row],[기록월]]&lt;&gt;"",상세표[[#This Row],[종료월]]&lt;&gt;"",상세표[[#This Row],[기록월]]&lt;&gt;상세표[[#This Row],[종료월]]),"월 넘김","")</f>
        <v/>
      </c>
      <c r="AM11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11" s="9">
        <f>IF(상세표[[#This Row],[기록월]]="","",IFERROR(MATCH(상세표[[#This Row],[사번키]]&amp;"|"&amp;상세표[[#This Row],[기록월]],월별근무지표[키],0),""))</f>
        <v/>
      </c>
      <c r="AO11" s="9">
        <f>IF(상세표[[#This Row],[종료월]]="","",IFERROR(MATCH(상세표[[#This Row],[사번키]]&amp;"|"&amp;상세표[[#This Row],[종료월]],월별근무지표[키],0),""))</f>
        <v/>
      </c>
      <c r="AP11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11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11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11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T11" s="10">
        <f>IF(상세표[[#This Row],[기록월]]="","",IF(상세표[[#This Row],[월경계 판정]]="익월초 급여 반영",상세표[[#This Row],[종료월]],상세표[[#This Row],[기록월]]))</f>
        <v/>
      </c>
      <c r="AU11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V11" s="9">
        <f>IF(AND(상세표[[#This Row],[블록시작]]=1,OR(상세표[[#This Row],[시작월]]=대상월키,상세표[[#This Row],[블록종료월]]=대상월키)),1,0)</f>
        <v/>
      </c>
      <c r="AW11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1" s="9">
        <f>IF(AND(상세표[[#This Row],[월 넘김]]="월 넘김",OR(상세표[[#This Row],[기록월]]=대상월키,상세표[[#This Row],[종료월]]=대상월키)),1,0)</f>
        <v/>
      </c>
      <c r="AY11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1" s="9">
        <f>IF(AND(상세표[[#This Row],[기관명단]]="없음",OR(상세표[[#This Row],[기록월]]=대상월키,상세표[[#This Row],[반영월]]=대상월키)),1,0)</f>
        <v/>
      </c>
      <c r="BA11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11" s="9">
        <f>IF(상세표[[#This Row],[발송표시]]&lt;&gt;1,0,IF(COUNTIFS(상세표[발송표시],1,상세표[사번키],상세표[[#This Row],[사번키]],상세표[행],"&lt;"&amp;상세표[[#This Row],[행]])&gt;0,0,1))</f>
        <v/>
      </c>
      <c r="BC11" s="9">
        <f>IF(상세표[[#This Row],[발송첫행]]&lt;&gt;1,"",COUNTIFS(상세표[발송첫행],1,상세표[행],"&lt;="&amp;상세표[[#This Row],[행]]))</f>
        <v/>
      </c>
      <c r="BD11" s="9">
        <f>IF(AND(상세표[[#This Row],[반영월]]=대상월키,상세표[[#This Row],[사번키]]&lt;&gt;"",COUNTIF(합계표[사번키],상세표[[#This Row],[사번키]])=0),1,0)</f>
        <v/>
      </c>
      <c r="BE11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11" s="9">
        <f>IF(상세표[[#This Row],[합계없음첫행]]&lt;&gt;1,"",COUNTIFS(상세표[합계없음첫행],1,상세표[행],"&lt;="&amp;상세표[[#This Row],[행]]))</f>
        <v/>
      </c>
    </row>
    <row r="12">
      <c r="A12" s="7" t="inlineStr">
        <is>
          <t>수련교육부</t>
        </is>
      </c>
      <c r="B12" s="7" t="n">
        <v>3333333</v>
      </c>
      <c r="C12" s="7" t="inlineStr">
        <is>
          <t>이ㅇㅇ</t>
        </is>
      </c>
      <c r="D12" s="7" t="inlineStr">
        <is>
          <t>인턴</t>
        </is>
      </c>
      <c r="E12" s="7" t="inlineStr">
        <is>
          <t>2026-09-07</t>
        </is>
      </c>
      <c r="F12" s="7" t="inlineStr">
        <is>
          <t>2026-09-07 18:00</t>
        </is>
      </c>
      <c r="G12" s="7" t="inlineStr">
        <is>
          <t>2026-09-07 22:00</t>
        </is>
      </c>
      <c r="H12" s="8" t="n">
        <v>0</v>
      </c>
      <c r="I12" s="8" t="n">
        <v>0</v>
      </c>
      <c r="J12" s="8" t="n">
        <v>4</v>
      </c>
      <c r="K12" s="8" t="n">
        <v>0</v>
      </c>
      <c r="L12" s="9">
        <f>ROW()-ROW(상세표[#Headers])</f>
        <v/>
      </c>
      <c r="M12" s="10">
        <f>IF(TRIM(상세표[[#This Row],[사번]]&amp;"")="","","S|"&amp;TRIM(상세표[[#This Row],[사번]]&amp;""))</f>
        <v/>
      </c>
      <c r="N12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2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2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2" s="9">
        <f>IF(AND(ISNUMBER(상세표[[#This Row],[시작]]),ISNUMBER(상세표[[#This Row],[종료]]),상세표[[#This Row],[이어짐]]=""),1,0)</f>
        <v/>
      </c>
      <c r="R12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2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2" s="12">
        <f>IF(상세표[[#This Row],[블록시작]]&lt;&gt;1,"",ROUND((상세표[[#This Row],[블록종료]]-상세표[[#This Row],[시작]])*24,2))</f>
        <v/>
      </c>
      <c r="U12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2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2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2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2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2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2" s="10">
        <f>IF(상세표[[#This Row],[블록시작]]&lt;&gt;1,"",TEXT(상세표[[#This Row],[시작]],"yyyy-mm"))</f>
        <v/>
      </c>
      <c r="AB12" s="10">
        <f>IF(상세표[[#This Row],[블록시작]]&lt;&gt;1,"",TEXT(상세표[[#This Row],[블록종료]]-1/86400,"yyyy-mm"))</f>
        <v/>
      </c>
      <c r="AC12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2" s="12">
        <f>N(상세표[[#This Row],[06~07시]])+N(상세표[[#This Row],[07~18시]])+N(상세표[[#This Row],[18~22시]])+N(상세표[[#This Row],[22~06시]])</f>
        <v/>
      </c>
      <c r="AE12" s="13">
        <f>IF(AND(ISNUMBER(상세표[[#This Row],[시작]]),N(상세표[[#This Row],[22~06시]])&gt;0),INT(상세표[[#This Row],[시작]]-6/24),"")</f>
        <v/>
      </c>
      <c r="AF12" s="10">
        <f>IF(상세표[[#This Row],[야간 기준일]]="","",IF(OR(WEEKDAY(상세표[[#This Row],[야간 기준일]],2)&gt;5,COUNTIF(공휴일목록,상세표[[#This Row],[야간 기준일]])&gt;0),"휴일","평일"))</f>
        <v/>
      </c>
      <c r="AG12" s="12">
        <f>IF(상세표[[#This Row],[야간 구분]]="","",SUMIFS(상세표[22~06시],상세표[사번키],상세표[[#This Row],[사번키]],상세표[야간 기준일],상세표[[#This Row],[야간 기준일]]))</f>
        <v/>
      </c>
      <c r="AH12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12" s="9">
        <f>IF(AND(상세표[[#This Row],[야간첫행]]=1,상세표[[#This Row],[그 밤 22~06시]]&gt;=8-0.001),1,0)</f>
        <v/>
      </c>
      <c r="AJ12" s="10">
        <f>IF(ISNUMBER(상세표[[#This Row],[시작]]),TEXT(상세표[[#This Row],[시작]],"yyyy-mm"),"")</f>
        <v/>
      </c>
      <c r="AK12" s="10">
        <f>IF(ISNUMBER(상세표[[#This Row],[종료]]),TEXT(상세표[[#This Row],[종료]]-1/86400,"yyyy-mm"),"")</f>
        <v/>
      </c>
      <c r="AL12" s="10">
        <f>IF(AND(상세표[[#This Row],[기록월]]&lt;&gt;"",상세표[[#This Row],[종료월]]&lt;&gt;"",상세표[[#This Row],[기록월]]&lt;&gt;상세표[[#This Row],[종료월]]),"월 넘김","")</f>
        <v/>
      </c>
      <c r="AM12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12" s="9">
        <f>IF(상세표[[#This Row],[기록월]]="","",IFERROR(MATCH(상세표[[#This Row],[사번키]]&amp;"|"&amp;상세표[[#This Row],[기록월]],월별근무지표[키],0),""))</f>
        <v/>
      </c>
      <c r="AO12" s="9">
        <f>IF(상세표[[#This Row],[종료월]]="","",IFERROR(MATCH(상세표[[#This Row],[사번키]]&amp;"|"&amp;상세표[[#This Row],[종료월]],월별근무지표[키],0),""))</f>
        <v/>
      </c>
      <c r="AP12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12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12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12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T12" s="10">
        <f>IF(상세표[[#This Row],[기록월]]="","",IF(상세표[[#This Row],[월경계 판정]]="익월초 급여 반영",상세표[[#This Row],[종료월]],상세표[[#This Row],[기록월]]))</f>
        <v/>
      </c>
      <c r="AU12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V12" s="9">
        <f>IF(AND(상세표[[#This Row],[블록시작]]=1,OR(상세표[[#This Row],[시작월]]=대상월키,상세표[[#This Row],[블록종료월]]=대상월키)),1,0)</f>
        <v/>
      </c>
      <c r="AW12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2" s="9">
        <f>IF(AND(상세표[[#This Row],[월 넘김]]="월 넘김",OR(상세표[[#This Row],[기록월]]=대상월키,상세표[[#This Row],[종료월]]=대상월키)),1,0)</f>
        <v/>
      </c>
      <c r="AY12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2" s="9">
        <f>IF(AND(상세표[[#This Row],[기관명단]]="없음",OR(상세표[[#This Row],[기록월]]=대상월키,상세표[[#This Row],[반영월]]=대상월키)),1,0)</f>
        <v/>
      </c>
      <c r="BA12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12" s="9">
        <f>IF(상세표[[#This Row],[발송표시]]&lt;&gt;1,0,IF(COUNTIFS(상세표[발송표시],1,상세표[사번키],상세표[[#This Row],[사번키]],상세표[행],"&lt;"&amp;상세표[[#This Row],[행]])&gt;0,0,1))</f>
        <v/>
      </c>
      <c r="BC12" s="9">
        <f>IF(상세표[[#This Row],[발송첫행]]&lt;&gt;1,"",COUNTIFS(상세표[발송첫행],1,상세표[행],"&lt;="&amp;상세표[[#This Row],[행]]))</f>
        <v/>
      </c>
      <c r="BD12" s="9">
        <f>IF(AND(상세표[[#This Row],[반영월]]=대상월키,상세표[[#This Row],[사번키]]&lt;&gt;"",COUNTIF(합계표[사번키],상세표[[#This Row],[사번키]])=0),1,0)</f>
        <v/>
      </c>
      <c r="BE12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12" s="9">
        <f>IF(상세표[[#This Row],[합계없음첫행]]&lt;&gt;1,"",COUNTIFS(상세표[합계없음첫행],1,상세표[행],"&lt;="&amp;상세표[[#This Row],[행]]))</f>
        <v/>
      </c>
    </row>
    <row r="13">
      <c r="A13" s="7" t="inlineStr">
        <is>
          <t>수련교육부</t>
        </is>
      </c>
      <c r="B13" s="7" t="n">
        <v>3333333</v>
      </c>
      <c r="C13" s="7" t="inlineStr">
        <is>
          <t>이ㅇㅇ</t>
        </is>
      </c>
      <c r="D13" s="7" t="inlineStr">
        <is>
          <t>인턴</t>
        </is>
      </c>
      <c r="E13" s="7" t="inlineStr">
        <is>
          <t>2026-09-07</t>
        </is>
      </c>
      <c r="F13" s="7" t="inlineStr">
        <is>
          <t>2026-09-07 07:00</t>
        </is>
      </c>
      <c r="G13" s="7" t="inlineStr">
        <is>
          <t>2026-09-07 18:00</t>
        </is>
      </c>
      <c r="H13" s="8" t="n">
        <v>0</v>
      </c>
      <c r="I13" s="8" t="n">
        <v>11</v>
      </c>
      <c r="J13" s="8" t="n">
        <v>0</v>
      </c>
      <c r="K13" s="8" t="n">
        <v>0</v>
      </c>
      <c r="L13" s="9">
        <f>ROW()-ROW(상세표[#Headers])</f>
        <v/>
      </c>
      <c r="M13" s="10">
        <f>IF(TRIM(상세표[[#This Row],[사번]]&amp;"")="","","S|"&amp;TRIM(상세표[[#This Row],[사번]]&amp;""))</f>
        <v/>
      </c>
      <c r="N13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3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3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3" s="9">
        <f>IF(AND(ISNUMBER(상세표[[#This Row],[시작]]),ISNUMBER(상세표[[#This Row],[종료]]),상세표[[#This Row],[이어짐]]=""),1,0)</f>
        <v/>
      </c>
      <c r="R13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3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3" s="12">
        <f>IF(상세표[[#This Row],[블록시작]]&lt;&gt;1,"",ROUND((상세표[[#This Row],[블록종료]]-상세표[[#This Row],[시작]])*24,2))</f>
        <v/>
      </c>
      <c r="U13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3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3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3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3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3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3" s="10">
        <f>IF(상세표[[#This Row],[블록시작]]&lt;&gt;1,"",TEXT(상세표[[#This Row],[시작]],"yyyy-mm"))</f>
        <v/>
      </c>
      <c r="AB13" s="10">
        <f>IF(상세표[[#This Row],[블록시작]]&lt;&gt;1,"",TEXT(상세표[[#This Row],[블록종료]]-1/86400,"yyyy-mm"))</f>
        <v/>
      </c>
      <c r="AC13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3" s="12">
        <f>N(상세표[[#This Row],[06~07시]])+N(상세표[[#This Row],[07~18시]])+N(상세표[[#This Row],[18~22시]])+N(상세표[[#This Row],[22~06시]])</f>
        <v/>
      </c>
      <c r="AE13" s="13">
        <f>IF(AND(ISNUMBER(상세표[[#This Row],[시작]]),N(상세표[[#This Row],[22~06시]])&gt;0),INT(상세표[[#This Row],[시작]]-6/24),"")</f>
        <v/>
      </c>
      <c r="AF13" s="10">
        <f>IF(상세표[[#This Row],[야간 기준일]]="","",IF(OR(WEEKDAY(상세표[[#This Row],[야간 기준일]],2)&gt;5,COUNTIF(공휴일목록,상세표[[#This Row],[야간 기준일]])&gt;0),"휴일","평일"))</f>
        <v/>
      </c>
      <c r="AG13" s="12">
        <f>IF(상세표[[#This Row],[야간 구분]]="","",SUMIFS(상세표[22~06시],상세표[사번키],상세표[[#This Row],[사번키]],상세표[야간 기준일],상세표[[#This Row],[야간 기준일]]))</f>
        <v/>
      </c>
      <c r="AH13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13" s="9">
        <f>IF(AND(상세표[[#This Row],[야간첫행]]=1,상세표[[#This Row],[그 밤 22~06시]]&gt;=8-0.001),1,0)</f>
        <v/>
      </c>
      <c r="AJ13" s="10">
        <f>IF(ISNUMBER(상세표[[#This Row],[시작]]),TEXT(상세표[[#This Row],[시작]],"yyyy-mm"),"")</f>
        <v/>
      </c>
      <c r="AK13" s="10">
        <f>IF(ISNUMBER(상세표[[#This Row],[종료]]),TEXT(상세표[[#This Row],[종료]]-1/86400,"yyyy-mm"),"")</f>
        <v/>
      </c>
      <c r="AL13" s="10">
        <f>IF(AND(상세표[[#This Row],[기록월]]&lt;&gt;"",상세표[[#This Row],[종료월]]&lt;&gt;"",상세표[[#This Row],[기록월]]&lt;&gt;상세표[[#This Row],[종료월]]),"월 넘김","")</f>
        <v/>
      </c>
      <c r="AM13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13" s="9">
        <f>IF(상세표[[#This Row],[기록월]]="","",IFERROR(MATCH(상세표[[#This Row],[사번키]]&amp;"|"&amp;상세표[[#This Row],[기록월]],월별근무지표[키],0),""))</f>
        <v/>
      </c>
      <c r="AO13" s="9">
        <f>IF(상세표[[#This Row],[종료월]]="","",IFERROR(MATCH(상세표[[#This Row],[사번키]]&amp;"|"&amp;상세표[[#This Row],[종료월]],월별근무지표[키],0),""))</f>
        <v/>
      </c>
      <c r="AP13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13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13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13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T13" s="10">
        <f>IF(상세표[[#This Row],[기록월]]="","",IF(상세표[[#This Row],[월경계 판정]]="익월초 급여 반영",상세표[[#This Row],[종료월]],상세표[[#This Row],[기록월]]))</f>
        <v/>
      </c>
      <c r="AU13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V13" s="9">
        <f>IF(AND(상세표[[#This Row],[블록시작]]=1,OR(상세표[[#This Row],[시작월]]=대상월키,상세표[[#This Row],[블록종료월]]=대상월키)),1,0)</f>
        <v/>
      </c>
      <c r="AW13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3" s="9">
        <f>IF(AND(상세표[[#This Row],[월 넘김]]="월 넘김",OR(상세표[[#This Row],[기록월]]=대상월키,상세표[[#This Row],[종료월]]=대상월키)),1,0)</f>
        <v/>
      </c>
      <c r="AY13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3" s="9">
        <f>IF(AND(상세표[[#This Row],[기관명단]]="없음",OR(상세표[[#This Row],[기록월]]=대상월키,상세표[[#This Row],[반영월]]=대상월키)),1,0)</f>
        <v/>
      </c>
      <c r="BA13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13" s="9">
        <f>IF(상세표[[#This Row],[발송표시]]&lt;&gt;1,0,IF(COUNTIFS(상세표[발송표시],1,상세표[사번키],상세표[[#This Row],[사번키]],상세표[행],"&lt;"&amp;상세표[[#This Row],[행]])&gt;0,0,1))</f>
        <v/>
      </c>
      <c r="BC13" s="9">
        <f>IF(상세표[[#This Row],[발송첫행]]&lt;&gt;1,"",COUNTIFS(상세표[발송첫행],1,상세표[행],"&lt;="&amp;상세표[[#This Row],[행]]))</f>
        <v/>
      </c>
      <c r="BD13" s="9">
        <f>IF(AND(상세표[[#This Row],[반영월]]=대상월키,상세표[[#This Row],[사번키]]&lt;&gt;"",COUNTIF(합계표[사번키],상세표[[#This Row],[사번키]])=0),1,0)</f>
        <v/>
      </c>
      <c r="BE13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13" s="9">
        <f>IF(상세표[[#This Row],[합계없음첫행]]&lt;&gt;1,"",COUNTIFS(상세표[합계없음첫행],1,상세표[행],"&lt;="&amp;상세표[[#This Row],[행]]))</f>
        <v/>
      </c>
    </row>
    <row r="14">
      <c r="A14" s="7" t="inlineStr">
        <is>
          <t>수련교육부</t>
        </is>
      </c>
      <c r="B14" s="7" t="n">
        <v>4444444</v>
      </c>
      <c r="C14" s="7" t="inlineStr">
        <is>
          <t>박ㅇㅇ</t>
        </is>
      </c>
      <c r="D14" s="7" t="inlineStr">
        <is>
          <t>인턴</t>
        </is>
      </c>
      <c r="E14" s="7" t="inlineStr">
        <is>
          <t>2026-09-30</t>
        </is>
      </c>
      <c r="F14" s="7" t="inlineStr">
        <is>
          <t>2026-09-30 20:00</t>
        </is>
      </c>
      <c r="G14" s="7" t="inlineStr">
        <is>
          <t>2026-10-01 08:00</t>
        </is>
      </c>
      <c r="H14" s="8" t="n">
        <v>1</v>
      </c>
      <c r="I14" s="8" t="n">
        <v>1</v>
      </c>
      <c r="J14" s="8" t="n">
        <v>2</v>
      </c>
      <c r="K14" s="8" t="n">
        <v>8</v>
      </c>
      <c r="L14" s="9">
        <f>ROW()-ROW(상세표[#Headers])</f>
        <v/>
      </c>
      <c r="M14" s="10">
        <f>IF(TRIM(상세표[[#This Row],[사번]]&amp;"")="","","S|"&amp;TRIM(상세표[[#This Row],[사번]]&amp;""))</f>
        <v/>
      </c>
      <c r="N14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4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4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4" s="9">
        <f>IF(AND(ISNUMBER(상세표[[#This Row],[시작]]),ISNUMBER(상세표[[#This Row],[종료]]),상세표[[#This Row],[이어짐]]=""),1,0)</f>
        <v/>
      </c>
      <c r="R14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4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4" s="12">
        <f>IF(상세표[[#This Row],[블록시작]]&lt;&gt;1,"",ROUND((상세표[[#This Row],[블록종료]]-상세표[[#This Row],[시작]])*24,2))</f>
        <v/>
      </c>
      <c r="U14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4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4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4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4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4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4" s="10">
        <f>IF(상세표[[#This Row],[블록시작]]&lt;&gt;1,"",TEXT(상세표[[#This Row],[시작]],"yyyy-mm"))</f>
        <v/>
      </c>
      <c r="AB14" s="10">
        <f>IF(상세표[[#This Row],[블록시작]]&lt;&gt;1,"",TEXT(상세표[[#This Row],[블록종료]]-1/86400,"yyyy-mm"))</f>
        <v/>
      </c>
      <c r="AC14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4" s="12">
        <f>N(상세표[[#This Row],[06~07시]])+N(상세표[[#This Row],[07~18시]])+N(상세표[[#This Row],[18~22시]])+N(상세표[[#This Row],[22~06시]])</f>
        <v/>
      </c>
      <c r="AE14" s="13">
        <f>IF(AND(ISNUMBER(상세표[[#This Row],[시작]]),N(상세표[[#This Row],[22~06시]])&gt;0),INT(상세표[[#This Row],[시작]]-6/24),"")</f>
        <v/>
      </c>
      <c r="AF14" s="10">
        <f>IF(상세표[[#This Row],[야간 기준일]]="","",IF(OR(WEEKDAY(상세표[[#This Row],[야간 기준일]],2)&gt;5,COUNTIF(공휴일목록,상세표[[#This Row],[야간 기준일]])&gt;0),"휴일","평일"))</f>
        <v/>
      </c>
      <c r="AG14" s="12">
        <f>IF(상세표[[#This Row],[야간 구분]]="","",SUMIFS(상세표[22~06시],상세표[사번키],상세표[[#This Row],[사번키]],상세표[야간 기준일],상세표[[#This Row],[야간 기준일]]))</f>
        <v/>
      </c>
      <c r="AH14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14" s="9">
        <f>IF(AND(상세표[[#This Row],[야간첫행]]=1,상세표[[#This Row],[그 밤 22~06시]]&gt;=8-0.001),1,0)</f>
        <v/>
      </c>
      <c r="AJ14" s="10">
        <f>IF(ISNUMBER(상세표[[#This Row],[시작]]),TEXT(상세표[[#This Row],[시작]],"yyyy-mm"),"")</f>
        <v/>
      </c>
      <c r="AK14" s="10">
        <f>IF(ISNUMBER(상세표[[#This Row],[종료]]),TEXT(상세표[[#This Row],[종료]]-1/86400,"yyyy-mm"),"")</f>
        <v/>
      </c>
      <c r="AL14" s="10">
        <f>IF(AND(상세표[[#This Row],[기록월]]&lt;&gt;"",상세표[[#This Row],[종료월]]&lt;&gt;"",상세표[[#This Row],[기록월]]&lt;&gt;상세표[[#This Row],[종료월]]),"월 넘김","")</f>
        <v/>
      </c>
      <c r="AM14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14" s="9">
        <f>IF(상세표[[#This Row],[기록월]]="","",IFERROR(MATCH(상세표[[#This Row],[사번키]]&amp;"|"&amp;상세표[[#This Row],[기록월]],월별근무지표[키],0),""))</f>
        <v/>
      </c>
      <c r="AO14" s="9">
        <f>IF(상세표[[#This Row],[종료월]]="","",IFERROR(MATCH(상세표[[#This Row],[사번키]]&amp;"|"&amp;상세표[[#This Row],[종료월]],월별근무지표[키],0),""))</f>
        <v/>
      </c>
      <c r="AP14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14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14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14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T14" s="10">
        <f>IF(상세표[[#This Row],[기록월]]="","",IF(상세표[[#This Row],[월경계 판정]]="익월초 급여 반영",상세표[[#This Row],[종료월]],상세표[[#This Row],[기록월]]))</f>
        <v/>
      </c>
      <c r="AU14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V14" s="9">
        <f>IF(AND(상세표[[#This Row],[블록시작]]=1,OR(상세표[[#This Row],[시작월]]=대상월키,상세표[[#This Row],[블록종료월]]=대상월키)),1,0)</f>
        <v/>
      </c>
      <c r="AW14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4" s="9">
        <f>IF(AND(상세표[[#This Row],[월 넘김]]="월 넘김",OR(상세표[[#This Row],[기록월]]=대상월키,상세표[[#This Row],[종료월]]=대상월키)),1,0)</f>
        <v/>
      </c>
      <c r="AY14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4" s="9">
        <f>IF(AND(상세표[[#This Row],[기관명단]]="없음",OR(상세표[[#This Row],[기록월]]=대상월키,상세표[[#This Row],[반영월]]=대상월키)),1,0)</f>
        <v/>
      </c>
      <c r="BA14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14" s="9">
        <f>IF(상세표[[#This Row],[발송표시]]&lt;&gt;1,0,IF(COUNTIFS(상세표[발송표시],1,상세표[사번키],상세표[[#This Row],[사번키]],상세표[행],"&lt;"&amp;상세표[[#This Row],[행]])&gt;0,0,1))</f>
        <v/>
      </c>
      <c r="BC14" s="9">
        <f>IF(상세표[[#This Row],[발송첫행]]&lt;&gt;1,"",COUNTIFS(상세표[발송첫행],1,상세표[행],"&lt;="&amp;상세표[[#This Row],[행]]))</f>
        <v/>
      </c>
      <c r="BD14" s="9">
        <f>IF(AND(상세표[[#This Row],[반영월]]=대상월키,상세표[[#This Row],[사번키]]&lt;&gt;"",COUNTIF(합계표[사번키],상세표[[#This Row],[사번키]])=0),1,0)</f>
        <v/>
      </c>
      <c r="BE14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14" s="9">
        <f>IF(상세표[[#This Row],[합계없음첫행]]&lt;&gt;1,"",COUNTIFS(상세표[합계없음첫행],1,상세표[행],"&lt;="&amp;상세표[[#This Row],[행]]))</f>
        <v/>
      </c>
    </row>
    <row r="15">
      <c r="A15" s="7" t="inlineStr">
        <is>
          <t>△△과</t>
        </is>
      </c>
      <c r="B15" s="7" t="n">
        <v>5555555</v>
      </c>
      <c r="C15" s="7" t="inlineStr">
        <is>
          <t>정ㅇㅇ</t>
        </is>
      </c>
      <c r="D15" s="7" t="inlineStr">
        <is>
          <t>레지던트3</t>
        </is>
      </c>
      <c r="E15" s="7" t="inlineStr">
        <is>
          <t>2026-09-10</t>
        </is>
      </c>
      <c r="F15" s="7" t="inlineStr">
        <is>
          <t>2026-09-10 08:00</t>
        </is>
      </c>
      <c r="G15" s="7" t="inlineStr">
        <is>
          <t>2026-09-10 20:00</t>
        </is>
      </c>
      <c r="H15" s="8" t="n">
        <v>0</v>
      </c>
      <c r="I15" s="8" t="n">
        <v>10</v>
      </c>
      <c r="J15" s="8" t="n">
        <v>2</v>
      </c>
      <c r="K15" s="8" t="n">
        <v>0</v>
      </c>
      <c r="L15" s="9">
        <f>ROW()-ROW(상세표[#Headers])</f>
        <v/>
      </c>
      <c r="M15" s="10">
        <f>IF(TRIM(상세표[[#This Row],[사번]]&amp;"")="","","S|"&amp;TRIM(상세표[[#This Row],[사번]]&amp;""))</f>
        <v/>
      </c>
      <c r="N15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5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5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5" s="9">
        <f>IF(AND(ISNUMBER(상세표[[#This Row],[시작]]),ISNUMBER(상세표[[#This Row],[종료]]),상세표[[#This Row],[이어짐]]=""),1,0)</f>
        <v/>
      </c>
      <c r="R15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5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5" s="12">
        <f>IF(상세표[[#This Row],[블록시작]]&lt;&gt;1,"",ROUND((상세표[[#This Row],[블록종료]]-상세표[[#This Row],[시작]])*24,2))</f>
        <v/>
      </c>
      <c r="U15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5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5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5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5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5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5" s="10">
        <f>IF(상세표[[#This Row],[블록시작]]&lt;&gt;1,"",TEXT(상세표[[#This Row],[시작]],"yyyy-mm"))</f>
        <v/>
      </c>
      <c r="AB15" s="10">
        <f>IF(상세표[[#This Row],[블록시작]]&lt;&gt;1,"",TEXT(상세표[[#This Row],[블록종료]]-1/86400,"yyyy-mm"))</f>
        <v/>
      </c>
      <c r="AC15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5" s="12">
        <f>N(상세표[[#This Row],[06~07시]])+N(상세표[[#This Row],[07~18시]])+N(상세표[[#This Row],[18~22시]])+N(상세표[[#This Row],[22~06시]])</f>
        <v/>
      </c>
      <c r="AE15" s="13">
        <f>IF(AND(ISNUMBER(상세표[[#This Row],[시작]]),N(상세표[[#This Row],[22~06시]])&gt;0),INT(상세표[[#This Row],[시작]]-6/24),"")</f>
        <v/>
      </c>
      <c r="AF15" s="10">
        <f>IF(상세표[[#This Row],[야간 기준일]]="","",IF(OR(WEEKDAY(상세표[[#This Row],[야간 기준일]],2)&gt;5,COUNTIF(공휴일목록,상세표[[#This Row],[야간 기준일]])&gt;0),"휴일","평일"))</f>
        <v/>
      </c>
      <c r="AG15" s="12">
        <f>IF(상세표[[#This Row],[야간 구분]]="","",SUMIFS(상세표[22~06시],상세표[사번키],상세표[[#This Row],[사번키]],상세표[야간 기준일],상세표[[#This Row],[야간 기준일]]))</f>
        <v/>
      </c>
      <c r="AH15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15" s="9">
        <f>IF(AND(상세표[[#This Row],[야간첫행]]=1,상세표[[#This Row],[그 밤 22~06시]]&gt;=8-0.001),1,0)</f>
        <v/>
      </c>
      <c r="AJ15" s="10">
        <f>IF(ISNUMBER(상세표[[#This Row],[시작]]),TEXT(상세표[[#This Row],[시작]],"yyyy-mm"),"")</f>
        <v/>
      </c>
      <c r="AK15" s="10">
        <f>IF(ISNUMBER(상세표[[#This Row],[종료]]),TEXT(상세표[[#This Row],[종료]]-1/86400,"yyyy-mm"),"")</f>
        <v/>
      </c>
      <c r="AL15" s="10">
        <f>IF(AND(상세표[[#This Row],[기록월]]&lt;&gt;"",상세표[[#This Row],[종료월]]&lt;&gt;"",상세표[[#This Row],[기록월]]&lt;&gt;상세표[[#This Row],[종료월]]),"월 넘김","")</f>
        <v/>
      </c>
      <c r="AM15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15" s="9">
        <f>IF(상세표[[#This Row],[기록월]]="","",IFERROR(MATCH(상세표[[#This Row],[사번키]]&amp;"|"&amp;상세표[[#This Row],[기록월]],월별근무지표[키],0),""))</f>
        <v/>
      </c>
      <c r="AO15" s="9">
        <f>IF(상세표[[#This Row],[종료월]]="","",IFERROR(MATCH(상세표[[#This Row],[사번키]]&amp;"|"&amp;상세표[[#This Row],[종료월]],월별근무지표[키],0),""))</f>
        <v/>
      </c>
      <c r="AP15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15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15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15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T15" s="10">
        <f>IF(상세표[[#This Row],[기록월]]="","",IF(상세표[[#This Row],[월경계 판정]]="익월초 급여 반영",상세표[[#This Row],[종료월]],상세표[[#This Row],[기록월]]))</f>
        <v/>
      </c>
      <c r="AU15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V15" s="9">
        <f>IF(AND(상세표[[#This Row],[블록시작]]=1,OR(상세표[[#This Row],[시작월]]=대상월키,상세표[[#This Row],[블록종료월]]=대상월키)),1,0)</f>
        <v/>
      </c>
      <c r="AW15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5" s="9">
        <f>IF(AND(상세표[[#This Row],[월 넘김]]="월 넘김",OR(상세표[[#This Row],[기록월]]=대상월키,상세표[[#This Row],[종료월]]=대상월키)),1,0)</f>
        <v/>
      </c>
      <c r="AY15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5" s="9">
        <f>IF(AND(상세표[[#This Row],[기관명단]]="없음",OR(상세표[[#This Row],[기록월]]=대상월키,상세표[[#This Row],[반영월]]=대상월키)),1,0)</f>
        <v/>
      </c>
      <c r="BA15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15" s="9">
        <f>IF(상세표[[#This Row],[발송표시]]&lt;&gt;1,0,IF(COUNTIFS(상세표[발송표시],1,상세표[사번키],상세표[[#This Row],[사번키]],상세표[행],"&lt;"&amp;상세표[[#This Row],[행]])&gt;0,0,1))</f>
        <v/>
      </c>
      <c r="BC15" s="9">
        <f>IF(상세표[[#This Row],[발송첫행]]&lt;&gt;1,"",COUNTIFS(상세표[발송첫행],1,상세표[행],"&lt;="&amp;상세표[[#This Row],[행]]))</f>
        <v/>
      </c>
      <c r="BD15" s="9">
        <f>IF(AND(상세표[[#This Row],[반영월]]=대상월키,상세표[[#This Row],[사번키]]&lt;&gt;"",COUNTIF(합계표[사번키],상세표[[#This Row],[사번키]])=0),1,0)</f>
        <v/>
      </c>
      <c r="BE15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15" s="9">
        <f>IF(상세표[[#This Row],[합계없음첫행]]&lt;&gt;1,"",COUNTIFS(상세표[합계없음첫행],1,상세표[행],"&lt;="&amp;상세표[[#This Row],[행]]))</f>
        <v/>
      </c>
    </row>
    <row r="16">
      <c r="A16" s="7" t="inlineStr">
        <is>
          <t>△△과</t>
        </is>
      </c>
      <c r="B16" s="7" t="n">
        <v>5555555</v>
      </c>
      <c r="C16" s="7" t="inlineStr">
        <is>
          <t>정ㅇㅇ</t>
        </is>
      </c>
      <c r="D16" s="7" t="inlineStr">
        <is>
          <t>레지던트3</t>
        </is>
      </c>
      <c r="E16" s="7" t="inlineStr">
        <is>
          <t>2026-09-10</t>
        </is>
      </c>
      <c r="F16" s="7" t="inlineStr">
        <is>
          <t>2026-09-10 20:00</t>
        </is>
      </c>
      <c r="G16" s="7" t="inlineStr">
        <is>
          <t>2026-09-11 08:00</t>
        </is>
      </c>
      <c r="H16" s="8" t="n">
        <v>1</v>
      </c>
      <c r="I16" s="8" t="n">
        <v>1</v>
      </c>
      <c r="J16" s="8" t="n">
        <v>2</v>
      </c>
      <c r="K16" s="8" t="n">
        <v>8</v>
      </c>
      <c r="L16" s="9">
        <f>ROW()-ROW(상세표[#Headers])</f>
        <v/>
      </c>
      <c r="M16" s="10">
        <f>IF(TRIM(상세표[[#This Row],[사번]]&amp;"")="","","S|"&amp;TRIM(상세표[[#This Row],[사번]]&amp;""))</f>
        <v/>
      </c>
      <c r="N16" s="11">
        <f>IF(ISNUMBER(상세표[[#This Row],[시작시간]]),상세표[[#This Row],[시작시간]],IF(TRIM(상세표[[#This Row],[시작시간]]&amp;"")="","",IFERROR(VALUE(TRIM(상세표[[#This Row],[시작시간]])),IFERROR(DATEVALUE(LEFT(TRIM(상세표[[#This Row],[시작시간]]),10))+VALUE(MID(TRIM(상세표[[#This Row],[시작시간]]),12,2))/24+VALUE(MID(TRIM(상세표[[#This Row],[시작시간]]),15,2))/1440,"⚠"&amp;상세표[[#This Row],[시작시간]]))))</f>
        <v/>
      </c>
      <c r="O16" s="11">
        <f>IF(ISNUMBER(상세표[[#This Row],[종료시간]]),상세표[[#This Row],[종료시간]],IF(TRIM(상세표[[#This Row],[종료시간]]&amp;"")="","",IFERROR(VALUE(TRIM(상세표[[#This Row],[종료시간]])),IFERROR(DATEVALUE(LEFT(TRIM(상세표[[#This Row],[종료시간]]),10))+VALUE(MID(TRIM(상세표[[#This Row],[종료시간]]),12,2))/24+VALUE(MID(TRIM(상세표[[#This Row],[종료시간]]),15,2))/1440,"⚠"&amp;상세표[[#This Row],[종료시간]]))))</f>
        <v/>
      </c>
      <c r="P16" s="10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Q16" s="9">
        <f>IF(AND(ISNUMBER(상세표[[#This Row],[시작]]),ISNUMBER(상세표[[#This Row],[종료]]),상세표[[#This Row],[이어짐]]=""),1,0)</f>
        <v/>
      </c>
      <c r="R16" s="11">
        <f>IF(상세표[[#This Row],[블록시작]]&lt;&gt;1,"",IF(_xlfn.MINIFS(상세표[시작],상세표[사번키],상세표[[#This Row],[사번키]],상세표[블록시작],1,상세표[시작],"&gt;"&amp;(상세표[[#This Row],[시작]]+1/86400))=0,"",_xlfn.MINIFS(상세표[시작],상세표[사번키],상세표[[#This Row],[사번키]],상세표[블록시작],1,상세표[시작],"&gt;"&amp;(상세표[[#This Row],[시작]]+1/86400))))</f>
        <v/>
      </c>
      <c r="S16" s="11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T16" s="12">
        <f>IF(상세표[[#This Row],[블록시작]]&lt;&gt;1,"",ROUND((상세표[[#This Row],[블록종료]]-상세표[[#This Row],[시작]])*24,2))</f>
        <v/>
      </c>
      <c r="U16" s="9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6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6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6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6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Z16" s="10">
        <f>IF(상세표[[#This Row],[블록시작]]&lt;&gt;1,"",IF((INT(상세표[[#This Row],[블록종료]]-1/86400)-INT(상세표[[#This Row],[시작]])+1)-NETWORKDAYS(INT(상세표[[#This Row],[시작]]),INT(상세표[[#This Row],[블록종료]]-1/86400),공휴일목록)&gt;0,"포함",""))</f>
        <v/>
      </c>
      <c r="AA16" s="10">
        <f>IF(상세표[[#This Row],[블록시작]]&lt;&gt;1,"",TEXT(상세표[[#This Row],[시작]],"yyyy-mm"))</f>
        <v/>
      </c>
      <c r="AB16" s="10">
        <f>IF(상세표[[#This Row],[블록시작]]&lt;&gt;1,"",TEXT(상세표[[#This Row],[블록종료]]-1/86400,"yyyy-mm"))</f>
        <v/>
      </c>
      <c r="AC16" s="10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D16" s="12">
        <f>N(상세표[[#This Row],[06~07시]])+N(상세표[[#This Row],[07~18시]])+N(상세표[[#This Row],[18~22시]])+N(상세표[[#This Row],[22~06시]])</f>
        <v/>
      </c>
      <c r="AE16" s="13">
        <f>IF(AND(ISNUMBER(상세표[[#This Row],[시작]]),N(상세표[[#This Row],[22~06시]])&gt;0),INT(상세표[[#This Row],[시작]]-6/24),"")</f>
        <v/>
      </c>
      <c r="AF16" s="10">
        <f>IF(상세표[[#This Row],[야간 기준일]]="","",IF(OR(WEEKDAY(상세표[[#This Row],[야간 기준일]],2)&gt;5,COUNTIF(공휴일목록,상세표[[#This Row],[야간 기준일]])&gt;0),"휴일","평일"))</f>
        <v/>
      </c>
      <c r="AG16" s="12">
        <f>IF(상세표[[#This Row],[야간 구분]]="","",SUMIFS(상세표[22~06시],상세표[사번키],상세표[[#This Row],[사번키]],상세표[야간 기준일],상세표[[#This Row],[야간 기준일]]))</f>
        <v/>
      </c>
      <c r="AH16" s="9">
        <f>IF(상세표[[#This Row],[야간 구분]]="",0,IF(COUNTIFS(상세표[사번키],상세표[[#This Row],[사번키]],상세표[야간 기준일],상세표[[#This Row],[야간 기준일]],상세표[시작],"&lt;"&amp;(상세표[[#This Row],[시작]]-1/86400))+COUNTIFS(상세표[사번키],상세표[[#This Row],[사번키]],상세표[야간 기준일],상세표[[#This Row],[야간 기준일]],상세표[시작],"&gt;="&amp;(상세표[[#This Row],[시작]]-1/86400),상세표[시작],"&lt;="&amp;(상세표[[#This Row],[시작]]+1/86400),상세표[행],"&lt;"&amp;상세표[[#This Row],[행]])&gt;0,0,1))</f>
        <v/>
      </c>
      <c r="AI16" s="9">
        <f>IF(AND(상세표[[#This Row],[야간첫행]]=1,상세표[[#This Row],[그 밤 22~06시]]&gt;=8-0.001),1,0)</f>
        <v/>
      </c>
      <c r="AJ16" s="10">
        <f>IF(ISNUMBER(상세표[[#This Row],[시작]]),TEXT(상세표[[#This Row],[시작]],"yyyy-mm"),"")</f>
        <v/>
      </c>
      <c r="AK16" s="10">
        <f>IF(ISNUMBER(상세표[[#This Row],[종료]]),TEXT(상세표[[#This Row],[종료]]-1/86400,"yyyy-mm"),"")</f>
        <v/>
      </c>
      <c r="AL16" s="10">
        <f>IF(AND(상세표[[#This Row],[기록월]]&lt;&gt;"",상세표[[#This Row],[종료월]]&lt;&gt;"",상세표[[#This Row],[기록월]]&lt;&gt;상세표[[#This Row],[종료월]]),"월 넘김","")</f>
        <v/>
      </c>
      <c r="AM16" s="10">
        <f>IF(상세표[[#This Row],[사번키]]="","",IF(COUNTIF(기관표[사번키],상세표[[#This Row],[사번키]])&gt;0,"있음",IF(COUNTIF(월별근무지표[사번키],상세표[[#This Row],[사번키]])&gt;0,"직접 입력만","없음")))</f>
        <v/>
      </c>
      <c r="AN16" s="9">
        <f>IF(상세표[[#This Row],[기록월]]="","",IFERROR(MATCH(상세표[[#This Row],[사번키]]&amp;"|"&amp;상세표[[#This Row],[기록월]],월별근무지표[키],0),""))</f>
        <v/>
      </c>
      <c r="AO16" s="9">
        <f>IF(상세표[[#This Row],[종료월]]="","",IFERROR(MATCH(상세표[[#This Row],[사번키]]&amp;"|"&amp;상세표[[#This Row],[종료월]],월별근무지표[키],0),""))</f>
        <v/>
      </c>
      <c r="AP16" s="10">
        <f>IF(상세표[[#This Row],[기록월]]="","",IF(상세표[[#This Row],[시작월 직접행]]&lt;&gt;"",INDEX(월별근무지표[적용 급여병원],상세표[[#This Row],[시작월 직접행]])&amp;"",IFERROR(INDEX(기관표[급여지급병원(기준월)],MATCH(상세표[[#This Row],[사번키]]&amp;"|"&amp;상세표[[#This Row],[기록월]],기관표[키],0))&amp;"","")))</f>
        <v/>
      </c>
      <c r="AQ16" s="10">
        <f>IF(상세표[[#This Row],[월 넘김]]="",상세표[[#This Row],[시작월 기관]],IF(상세표[[#This Row],[종료월 직접행]]&lt;&gt;"",INDEX(월별근무지표[적용 급여병원],상세표[[#This Row],[종료월 직접행]])&amp;"",IFERROR(INDEX(기관표[급여지급병원(기준월)],MATCH(상세표[[#This Row],[사번키]]&amp;"|"&amp;상세표[[#This Row],[종료월]],기관표[키],0))&amp;"","")))</f>
        <v/>
      </c>
      <c r="AR16" s="10">
        <f>IF(상세표[[#This Row],[기록월]]="","",IF(OR(상세표[[#This Row],[시작월 직접행]]&lt;&gt;"",AND(상세표[[#This Row],[월 넘김]]&lt;&gt;"",상세표[[#This Row],[종료월 직접행]]&lt;&gt;"")),"직접 입력","기관명단"))</f>
        <v/>
      </c>
      <c r="AS16" s="10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기관명단·직접 입력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T16" s="10">
        <f>IF(상세표[[#This Row],[기록월]]="","",IF(상세표[[#This Row],[월경계 판정]]="익월초 급여 반영",상세표[[#This Row],[종료월]],상세표[[#This Row],[기록월]]))</f>
        <v/>
      </c>
      <c r="AU16" s="10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  <c r="AV16" s="9">
        <f>IF(AND(상세표[[#This Row],[블록시작]]=1,OR(상세표[[#This Row],[시작월]]=대상월키,상세표[[#This Row],[블록종료월]]=대상월키)),1,0)</f>
        <v/>
      </c>
      <c r="AW16" s="9">
        <f>IF(상세표[[#This Row],[연속표시]]&lt;&gt;1,"",COUNTIFS(상세표[연속표시],1,상세표[사번키],"&lt;"&amp;상세표[[#This Row],[사번키]])+COUNTIFS(상세표[연속표시],1,상세표[사번키],상세표[[#This Row],[사번키]],상세표[시작],"&lt;"&amp;(상세표[[#This Row],[시작]]-1/86400))+COUNTIFS(상세표[연속표시],1,상세표[사번키],상세표[[#This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X16" s="9">
        <f>IF(AND(상세표[[#This Row],[월 넘김]]="월 넘김",OR(상세표[[#This Row],[기록월]]=대상월키,상세표[[#This Row],[종료월]]=대상월키)),1,0)</f>
        <v/>
      </c>
      <c r="AY16" s="9">
        <f>IF(상세표[[#This Row],[경계표시]]&lt;&gt;1,"",COUNTIFS(상세표[경계표시],1,상세표[사번키],"&lt;"&amp;상세표[[#This Row],[사번키]])+COUNTIFS(상세표[경계표시],1,상세표[사번키],상세표[[#This Row],[사번키]],상세표[시작],"&lt;"&amp;(상세표[[#This Row],[시작]]-1/86400))+COUNTIFS(상세표[경계표시],1,상세표[사번키],상세표[[#This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AZ16" s="9">
        <f>IF(AND(상세표[[#This Row],[기관명단]]="없음",OR(상세표[[#This Row],[기록월]]=대상월키,상세표[[#This Row],[반영월]]=대상월키)),1,0)</f>
        <v/>
      </c>
      <c r="BA16" s="9">
        <f>IF(상세표[[#This Row],[발송표시]]&lt;&gt;1,"",COUNTIFS(상세표[발송표시],1,상세표[사번키],"&lt;"&amp;상세표[[#This Row],[사번키]])+COUNTIFS(상세표[발송표시],1,상세표[사번키],상세표[[#This Row],[사번키]],상세표[시작],"&lt;"&amp;(상세표[[#This Row],[시작]]-1/86400))+COUNTIFS(상세표[발송표시],1,상세표[사번키],상세표[[#This Row],[사번키]],상세표[시작],"&gt;="&amp;(상세표[[#This Row],[시작]]-1/86400),상세표[시작],"&lt;="&amp;(상세표[[#This Row],[시작]]+1/86400),상세표[행],"&lt;"&amp;상세표[[#This Row],[행]])+1)</f>
        <v/>
      </c>
      <c r="BB16" s="9">
        <f>IF(상세표[[#This Row],[발송표시]]&lt;&gt;1,0,IF(COUNTIFS(상세표[발송표시],1,상세표[사번키],상세표[[#This Row],[사번키]],상세표[행],"&lt;"&amp;상세표[[#This Row],[행]])&gt;0,0,1))</f>
        <v/>
      </c>
      <c r="BC16" s="9">
        <f>IF(상세표[[#This Row],[발송첫행]]&lt;&gt;1,"",COUNTIFS(상세표[발송첫행],1,상세표[행],"&lt;="&amp;상세표[[#This Row],[행]]))</f>
        <v/>
      </c>
      <c r="BD16" s="9">
        <f>IF(AND(상세표[[#This Row],[반영월]]=대상월키,상세표[[#This Row],[사번키]]&lt;&gt;"",COUNTIF(합계표[사번키],상세표[[#This Row],[사번키]])=0),1,0)</f>
        <v/>
      </c>
      <c r="BE16" s="9">
        <f>IF(상세표[[#This Row],[합계없음표시]]&lt;&gt;1,0,IF(COUNTIFS(상세표[합계없음표시],1,상세표[사번키],상세표[[#This Row],[사번키]],상세표[행],"&lt;"&amp;상세표[[#This Row],[행]])&gt;0,0,1))</f>
        <v/>
      </c>
      <c r="BF16" s="9">
        <f>IF(상세표[[#This Row],[합계없음첫행]]&lt;&gt;1,"",COUNTIFS(상세표[합계없음첫행],1,상세표[행],"&lt;="&amp;상세표[[#This Row],[행]]))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/>
  </sheetPr>
  <dimension ref="A1:O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10" customWidth="1" min="10" max="10"/>
    <col width="9" customWidth="1" min="11" max="11"/>
    <col width="7" customWidth="1" min="12" max="12"/>
    <col width="12" customWidth="1" min="13" max="13"/>
    <col width="18" customWidth="1" min="14" max="14"/>
    <col width="7" customWidth="1" min="15" max="15"/>
  </cols>
  <sheetData>
    <row r="1">
      <c r="A1" s="1" t="inlineStr">
        <is>
          <t>월별 전공의 시간외 근무 (합계)</t>
        </is>
      </c>
    </row>
    <row r="2">
      <c r="A2" s="4" t="inlineStr">
        <is>
          <t>※ 원본 파일의 5행부터 마지막 행까지 복사해 A5에 붙여넣으세요. 시간 칸이 '20.00' 같은 글자여도 숫자로 읽습니다.</t>
        </is>
      </c>
    </row>
    <row r="3"/>
    <row r="4">
      <c r="A4" s="5" t="inlineStr">
        <is>
          <t>부서</t>
        </is>
      </c>
      <c r="B4" s="5" t="inlineStr">
        <is>
          <t>사번</t>
        </is>
      </c>
      <c r="C4" s="5" t="inlineStr">
        <is>
          <t>성명</t>
        </is>
      </c>
      <c r="D4" s="5" t="inlineStr">
        <is>
          <t>직위</t>
        </is>
      </c>
      <c r="E4" s="5" t="inlineStr">
        <is>
          <t>직위(변환)</t>
        </is>
      </c>
      <c r="F4" s="5" t="inlineStr">
        <is>
          <t>06~07시</t>
        </is>
      </c>
      <c r="G4" s="5" t="inlineStr">
        <is>
          <t>07~18시</t>
        </is>
      </c>
      <c r="H4" s="5" t="inlineStr">
        <is>
          <t>18~22시</t>
        </is>
      </c>
      <c r="I4" s="5" t="inlineStr">
        <is>
          <t>22~06시</t>
        </is>
      </c>
      <c r="J4" s="6" t="inlineStr">
        <is>
          <t>사번키</t>
        </is>
      </c>
      <c r="K4" s="6" t="inlineStr">
        <is>
          <t>시스템 합계</t>
        </is>
      </c>
      <c r="L4" s="6" t="inlineStr">
        <is>
          <t>사번내순서</t>
        </is>
      </c>
      <c r="M4" s="6" t="inlineStr">
        <is>
          <t>순서키</t>
        </is>
      </c>
      <c r="N4" s="6" t="inlineStr">
        <is>
          <t>직위(통합)</t>
        </is>
      </c>
      <c r="O4" s="6" t="inlineStr">
        <is>
          <t>판정순번</t>
        </is>
      </c>
    </row>
    <row r="5">
      <c r="A5" s="7" t="inlineStr">
        <is>
          <t>ㅇㅇ과</t>
        </is>
      </c>
      <c r="B5" s="7" t="n">
        <v>2222222</v>
      </c>
      <c r="C5" s="7" t="inlineStr">
        <is>
          <t>김ㅇㅇ</t>
        </is>
      </c>
      <c r="D5" s="7" t="inlineStr">
        <is>
          <t>레지던트2</t>
        </is>
      </c>
      <c r="E5" s="7" t="inlineStr">
        <is>
          <t>레지던트2</t>
        </is>
      </c>
      <c r="F5" s="7" t="inlineStr">
        <is>
          <t>3.00</t>
        </is>
      </c>
      <c r="G5" s="7" t="inlineStr">
        <is>
          <t>23.00</t>
        </is>
      </c>
      <c r="H5" s="7" t="inlineStr">
        <is>
          <t>8.00</t>
        </is>
      </c>
      <c r="I5" s="7" t="inlineStr">
        <is>
          <t>16.00</t>
        </is>
      </c>
      <c r="J5" s="10">
        <f>IF(TRIM(합계표[[#This Row],[사번]]&amp;"")="","","S|"&amp;TRIM(합계표[[#This Row],[사번]]&amp;""))</f>
        <v/>
      </c>
      <c r="K5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5" s="9">
        <f>IF(합계표[[#This Row],[사번키]]="","",COUNTIF(INDEX(합계표[사번키],1):합계표[[#This Row],[사번키]],합계표[[#This Row],[사번키]]))</f>
        <v/>
      </c>
      <c r="M5" s="10">
        <f>IF(합계표[[#This Row],[사번키]]="","",합계표[[#This Row],[사번키]]&amp;"#"&amp;합계표[[#This Row],[사번내순서]])</f>
        <v/>
      </c>
      <c r="N5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5" s="9">
        <f>IF(합계표[[#This Row],[사번내순서]]=1,COUNTIF(INDEX(합계표[사번내순서],1):합계표[[#This Row],[사번내순서]],1),"")</f>
        <v/>
      </c>
    </row>
    <row r="6">
      <c r="A6" s="7" t="inlineStr">
        <is>
          <t>ㅇㅇ과</t>
        </is>
      </c>
      <c r="B6" s="7" t="n">
        <v>2222222</v>
      </c>
      <c r="C6" s="7" t="inlineStr">
        <is>
          <t>김ㅇㅇ</t>
        </is>
      </c>
      <c r="D6" s="7" t="inlineStr">
        <is>
          <t>전임의</t>
        </is>
      </c>
      <c r="E6" s="7" t="inlineStr">
        <is>
          <t>전임의</t>
        </is>
      </c>
      <c r="F6" s="7" t="inlineStr">
        <is>
          <t>0.00</t>
        </is>
      </c>
      <c r="G6" s="7" t="inlineStr">
        <is>
          <t>10.00</t>
        </is>
      </c>
      <c r="H6" s="7" t="inlineStr">
        <is>
          <t>2.00</t>
        </is>
      </c>
      <c r="I6" s="7" t="inlineStr">
        <is>
          <t>0.00</t>
        </is>
      </c>
      <c r="J6" s="10">
        <f>IF(TRIM(합계표[[#This Row],[사번]]&amp;"")="","","S|"&amp;TRIM(합계표[[#This Row],[사번]]&amp;""))</f>
        <v/>
      </c>
      <c r="K6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6" s="9">
        <f>IF(합계표[[#This Row],[사번키]]="","",COUNTIF(INDEX(합계표[사번키],1):합계표[[#This Row],[사번키]],합계표[[#This Row],[사번키]]))</f>
        <v/>
      </c>
      <c r="M6" s="10">
        <f>IF(합계표[[#This Row],[사번키]]="","",합계표[[#This Row],[사번키]]&amp;"#"&amp;합계표[[#This Row],[사번내순서]])</f>
        <v/>
      </c>
      <c r="N6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6" s="9">
        <f>IF(합계표[[#This Row],[사번내순서]]=1,COUNTIF(INDEX(합계표[사번내순서],1):합계표[[#This Row],[사번내순서]],1),"")</f>
        <v/>
      </c>
    </row>
    <row r="7">
      <c r="A7" s="7" t="inlineStr">
        <is>
          <t>수련교육부</t>
        </is>
      </c>
      <c r="B7" s="7" t="n">
        <v>3333333</v>
      </c>
      <c r="C7" s="7" t="inlineStr">
        <is>
          <t>이ㅇㅇ</t>
        </is>
      </c>
      <c r="D7" s="7" t="inlineStr">
        <is>
          <t>인턴</t>
        </is>
      </c>
      <c r="E7" s="7" t="inlineStr">
        <is>
          <t>인턴</t>
        </is>
      </c>
      <c r="F7" s="7" t="inlineStr">
        <is>
          <t>0.00</t>
        </is>
      </c>
      <c r="G7" s="7" t="inlineStr">
        <is>
          <t>11.00</t>
        </is>
      </c>
      <c r="H7" s="7" t="inlineStr">
        <is>
          <t>4.00</t>
        </is>
      </c>
      <c r="I7" s="7" t="inlineStr">
        <is>
          <t>0.00</t>
        </is>
      </c>
      <c r="J7" s="10">
        <f>IF(TRIM(합계표[[#This Row],[사번]]&amp;"")="","","S|"&amp;TRIM(합계표[[#This Row],[사번]]&amp;""))</f>
        <v/>
      </c>
      <c r="K7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7" s="9">
        <f>IF(합계표[[#This Row],[사번키]]="","",COUNTIF(INDEX(합계표[사번키],1):합계표[[#This Row],[사번키]],합계표[[#This Row],[사번키]]))</f>
        <v/>
      </c>
      <c r="M7" s="10">
        <f>IF(합계표[[#This Row],[사번키]]="","",합계표[[#This Row],[사번키]]&amp;"#"&amp;합계표[[#This Row],[사번내순서]])</f>
        <v/>
      </c>
      <c r="N7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7" s="9">
        <f>IF(합계표[[#This Row],[사번내순서]]=1,COUNTIF(INDEX(합계표[사번내순서],1):합계표[[#This Row],[사번내순서]],1),"")</f>
        <v/>
      </c>
    </row>
    <row r="8">
      <c r="A8" s="7" t="inlineStr">
        <is>
          <t>수련교육부</t>
        </is>
      </c>
      <c r="B8" s="7" t="n">
        <v>4444444</v>
      </c>
      <c r="C8" s="7" t="inlineStr">
        <is>
          <t>박ㅇㅇ</t>
        </is>
      </c>
      <c r="D8" s="7" t="inlineStr">
        <is>
          <t>인턴</t>
        </is>
      </c>
      <c r="E8" s="7" t="inlineStr">
        <is>
          <t>인턴</t>
        </is>
      </c>
      <c r="F8" s="7" t="inlineStr">
        <is>
          <t>1.00</t>
        </is>
      </c>
      <c r="G8" s="7" t="inlineStr">
        <is>
          <t>1.00</t>
        </is>
      </c>
      <c r="H8" s="7" t="inlineStr">
        <is>
          <t>2.00</t>
        </is>
      </c>
      <c r="I8" s="7" t="inlineStr">
        <is>
          <t>8.00</t>
        </is>
      </c>
      <c r="J8" s="10">
        <f>IF(TRIM(합계표[[#This Row],[사번]]&amp;"")="","","S|"&amp;TRIM(합계표[[#This Row],[사번]]&amp;""))</f>
        <v/>
      </c>
      <c r="K8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8" s="9">
        <f>IF(합계표[[#This Row],[사번키]]="","",COUNTIF(INDEX(합계표[사번키],1):합계표[[#This Row],[사번키]],합계표[[#This Row],[사번키]]))</f>
        <v/>
      </c>
      <c r="M8" s="10">
        <f>IF(합계표[[#This Row],[사번키]]="","",합계표[[#This Row],[사번키]]&amp;"#"&amp;합계표[[#This Row],[사번내순서]])</f>
        <v/>
      </c>
      <c r="N8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8" s="9">
        <f>IF(합계표[[#This Row],[사번내순서]]=1,COUNTIF(INDEX(합계표[사번내순서],1):합계표[[#This Row],[사번내순서]],1),"")</f>
        <v/>
      </c>
    </row>
    <row r="9">
      <c r="A9" s="7" t="inlineStr">
        <is>
          <t>△△과</t>
        </is>
      </c>
      <c r="B9" s="7" t="n">
        <v>5555555</v>
      </c>
      <c r="C9" s="7" t="inlineStr">
        <is>
          <t>정ㅇㅇ</t>
        </is>
      </c>
      <c r="D9" s="7" t="inlineStr">
        <is>
          <t>레지던트3</t>
        </is>
      </c>
      <c r="E9" s="7" t="inlineStr">
        <is>
          <t>레지던트3</t>
        </is>
      </c>
      <c r="F9" s="7" t="inlineStr">
        <is>
          <t>1.00</t>
        </is>
      </c>
      <c r="G9" s="7" t="inlineStr">
        <is>
          <t>11.00</t>
        </is>
      </c>
      <c r="H9" s="7" t="inlineStr">
        <is>
          <t>4.00</t>
        </is>
      </c>
      <c r="I9" s="7" t="inlineStr">
        <is>
          <t>8.00</t>
        </is>
      </c>
      <c r="J9" s="10">
        <f>IF(TRIM(합계표[[#This Row],[사번]]&amp;"")="","","S|"&amp;TRIM(합계표[[#This Row],[사번]]&amp;""))</f>
        <v/>
      </c>
      <c r="K9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9" s="9">
        <f>IF(합계표[[#This Row],[사번키]]="","",COUNTIF(INDEX(합계표[사번키],1):합계표[[#This Row],[사번키]],합계표[[#This Row],[사번키]]))</f>
        <v/>
      </c>
      <c r="M9" s="10">
        <f>IF(합계표[[#This Row],[사번키]]="","",합계표[[#This Row],[사번키]]&amp;"#"&amp;합계표[[#This Row],[사번내순서]])</f>
        <v/>
      </c>
      <c r="N9" s="10">
        <f>IF(합계표[[#This Row],[사번키]]="","",IF(INDEX(합계표[직위(변환)],MATCH(합계표[[#This Row],[사번키]]&amp;"#1",합계표[순서키],0))&amp;""=INDEX(합계표[직위(변환)],MATCH(합계표[[#This Row],[사번키]]&amp;"#"&amp;COUNTIF(합계표[사번키],합계표[[#This Row],[사번키]]),합계표[순서키],0))&amp;"",INDEX(합계표[직위(변환)],MATCH(합계표[[#This Row],[사번키]]&amp;"#1",합계표[순서키],0))&amp;"",INDEX(합계표[직위(변환)],MATCH(합계표[[#This Row],[사번키]]&amp;"#1",합계표[순서키],0))&amp;""&amp;", "&amp;INDEX(합계표[직위(변환)],MATCH(합계표[[#This Row],[사번키]]&amp;"#"&amp;COUNTIF(합계표[사번키],합계표[[#This Row],[사번키]]),합계표[순서키],0))&amp;""))</f>
        <v/>
      </c>
      <c r="O9" s="9">
        <f>IF(합계표[[#This Row],[사번내순서]]=1,COUNTIF(INDEX(합계표[사번내순서],1):합계표[[#This Row],[사번내순서]],1),"")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L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8" customWidth="1" min="3" max="3"/>
    <col width="12" customWidth="1" min="4" max="4"/>
    <col width="9" customWidth="1" min="5" max="5"/>
    <col width="10" customWidth="1" min="6" max="6"/>
    <col width="11" customWidth="1" min="7" max="7"/>
    <col width="13" customWidth="1" min="8" max="8"/>
    <col width="34" customWidth="1" min="9" max="9"/>
    <col width="8" customWidth="1" min="10" max="10"/>
    <col width="10" customWidth="1" min="11" max="11"/>
    <col width="16" customWidth="1" min="12" max="12"/>
  </cols>
  <sheetData>
    <row r="1">
      <c r="A1" s="5" t="inlineStr">
        <is>
          <t>기준월</t>
        </is>
      </c>
      <c r="B1" s="5" t="inlineStr">
        <is>
          <t>사번</t>
        </is>
      </c>
      <c r="C1" s="5" t="inlineStr">
        <is>
          <t>이름</t>
        </is>
      </c>
      <c r="D1" s="5" t="inlineStr">
        <is>
          <t>수련과목</t>
        </is>
      </c>
      <c r="E1" s="5" t="inlineStr">
        <is>
          <t>연차</t>
        </is>
      </c>
      <c r="F1" s="5" t="inlineStr">
        <is>
          <t>소속병원</t>
        </is>
      </c>
      <c r="G1" s="5" t="inlineStr">
        <is>
          <t>기준월 근무병원</t>
        </is>
      </c>
      <c r="H1" s="5" t="inlineStr">
        <is>
          <t>급여지급병원(기준월)</t>
        </is>
      </c>
      <c r="I1" s="5" t="inlineStr">
        <is>
          <t>급여 판정 근거</t>
        </is>
      </c>
      <c r="J1" s="6" t="inlineStr">
        <is>
          <t>월키</t>
        </is>
      </c>
      <c r="K1" s="6" t="inlineStr">
        <is>
          <t>사번키</t>
        </is>
      </c>
      <c r="L1" s="6" t="inlineStr">
        <is>
          <t>키</t>
        </is>
      </c>
    </row>
    <row r="2">
      <c r="A2" s="14" t="inlineStr">
        <is>
          <t>2026-08</t>
        </is>
      </c>
      <c r="B2" s="14" t="inlineStr">
        <is>
          <t>2222222</t>
        </is>
      </c>
      <c r="C2" s="7" t="inlineStr">
        <is>
          <t>김ㅇㅇ</t>
        </is>
      </c>
      <c r="D2" s="7" t="inlineStr">
        <is>
          <t>ㅇㅇ과</t>
        </is>
      </c>
      <c r="E2" s="7" t="inlineStr">
        <is>
          <t>레지던트2</t>
        </is>
      </c>
      <c r="F2" s="7" t="inlineStr">
        <is>
          <t>서울병원</t>
        </is>
      </c>
      <c r="G2" s="7" t="inlineStr">
        <is>
          <t>서울병원</t>
        </is>
      </c>
      <c r="H2" s="7" t="inlineStr">
        <is>
          <t>서울병원</t>
        </is>
      </c>
      <c r="I2" s="7" t="inlineStr">
        <is>
          <t>예시</t>
        </is>
      </c>
      <c r="J2" s="10">
        <f>IF(ISNUMBER(기관표[[#This Row],[기준월]]),TEXT(기관표[[#This Row],[기준월]],"yyyy-mm"),LEFT(TRIM(기관표[[#This Row],[기준월]]&amp;""),7))</f>
        <v/>
      </c>
      <c r="K2" s="10">
        <f>IF(TRIM(기관표[[#This Row],[사번]]&amp;"")="","","S|"&amp;TRIM(기관표[[#This Row],[사번]]&amp;""))</f>
        <v/>
      </c>
      <c r="L2" s="10">
        <f>IF(기관표[[#This Row],[사번키]]="","",기관표[[#This Row],[사번키]]&amp;"|"&amp;기관표[[#This Row],[월키]])</f>
        <v/>
      </c>
    </row>
    <row r="3">
      <c r="A3" s="14" t="inlineStr">
        <is>
          <t>2026-09</t>
        </is>
      </c>
      <c r="B3" s="14" t="inlineStr">
        <is>
          <t>2222222</t>
        </is>
      </c>
      <c r="C3" s="7" t="inlineStr">
        <is>
          <t>김ㅇㅇ</t>
        </is>
      </c>
      <c r="D3" s="7" t="inlineStr">
        <is>
          <t>ㅇㅇ과</t>
        </is>
      </c>
      <c r="E3" s="7" t="inlineStr">
        <is>
          <t>레지던트2</t>
        </is>
      </c>
      <c r="F3" s="7" t="inlineStr">
        <is>
          <t>서울병원</t>
        </is>
      </c>
      <c r="G3" s="7" t="inlineStr">
        <is>
          <t>서울병원</t>
        </is>
      </c>
      <c r="H3" s="7" t="inlineStr">
        <is>
          <t>서울병원</t>
        </is>
      </c>
      <c r="I3" s="7" t="inlineStr">
        <is>
          <t>예시</t>
        </is>
      </c>
      <c r="J3" s="10">
        <f>IF(ISNUMBER(기관표[[#This Row],[기준월]]),TEXT(기관표[[#This Row],[기준월]],"yyyy-mm"),LEFT(TRIM(기관표[[#This Row],[기준월]]&amp;""),7))</f>
        <v/>
      </c>
      <c r="K3" s="10">
        <f>IF(TRIM(기관표[[#This Row],[사번]]&amp;"")="","","S|"&amp;TRIM(기관표[[#This Row],[사번]]&amp;""))</f>
        <v/>
      </c>
      <c r="L3" s="10">
        <f>IF(기관표[[#This Row],[사번키]]="","",기관표[[#This Row],[사번키]]&amp;"|"&amp;기관표[[#This Row],[월키]])</f>
        <v/>
      </c>
    </row>
    <row r="4">
      <c r="A4" s="14" t="inlineStr">
        <is>
          <t>2026-10</t>
        </is>
      </c>
      <c r="B4" s="14" t="inlineStr">
        <is>
          <t>2222222</t>
        </is>
      </c>
      <c r="C4" s="7" t="inlineStr">
        <is>
          <t>김ㅇㅇ</t>
        </is>
      </c>
      <c r="D4" s="7" t="inlineStr">
        <is>
          <t>ㅇㅇ과</t>
        </is>
      </c>
      <c r="E4" s="7" t="inlineStr">
        <is>
          <t>레지던트2</t>
        </is>
      </c>
      <c r="F4" s="7" t="inlineStr">
        <is>
          <t>서울병원</t>
        </is>
      </c>
      <c r="G4" s="7" t="inlineStr">
        <is>
          <t>서울병원</t>
        </is>
      </c>
      <c r="H4" s="7" t="inlineStr">
        <is>
          <t>구리병원</t>
        </is>
      </c>
      <c r="I4" s="7" t="inlineStr">
        <is>
          <t>예시</t>
        </is>
      </c>
      <c r="J4" s="10">
        <f>IF(ISNUMBER(기관표[[#This Row],[기준월]]),TEXT(기관표[[#This Row],[기준월]],"yyyy-mm"),LEFT(TRIM(기관표[[#This Row],[기준월]]&amp;""),7))</f>
        <v/>
      </c>
      <c r="K4" s="10">
        <f>IF(TRIM(기관표[[#This Row],[사번]]&amp;"")="","","S|"&amp;TRIM(기관표[[#This Row],[사번]]&amp;""))</f>
        <v/>
      </c>
      <c r="L4" s="10">
        <f>IF(기관표[[#This Row],[사번키]]="","",기관표[[#This Row],[사번키]]&amp;"|"&amp;기관표[[#This Row],[월키]])</f>
        <v/>
      </c>
    </row>
    <row r="5">
      <c r="A5" s="14" t="inlineStr">
        <is>
          <t>2026-09</t>
        </is>
      </c>
      <c r="B5" s="14" t="inlineStr">
        <is>
          <t>3333333</t>
        </is>
      </c>
      <c r="C5" s="7" t="inlineStr">
        <is>
          <t>이ㅇㅇ</t>
        </is>
      </c>
      <c r="D5" s="7" t="inlineStr">
        <is>
          <t>인턴</t>
        </is>
      </c>
      <c r="E5" s="7" t="inlineStr">
        <is>
          <t>인턴</t>
        </is>
      </c>
      <c r="F5" s="7" t="inlineStr">
        <is>
          <t>서울병원</t>
        </is>
      </c>
      <c r="G5" s="7" t="inlineStr">
        <is>
          <t>구리병원</t>
        </is>
      </c>
      <c r="H5" s="7" t="inlineStr">
        <is>
          <t>구리병원</t>
        </is>
      </c>
      <c r="I5" s="7" t="inlineStr">
        <is>
          <t>예시</t>
        </is>
      </c>
      <c r="J5" s="10">
        <f>IF(ISNUMBER(기관표[[#This Row],[기준월]]),TEXT(기관표[[#This Row],[기준월]],"yyyy-mm"),LEFT(TRIM(기관표[[#This Row],[기준월]]&amp;""),7))</f>
        <v/>
      </c>
      <c r="K5" s="10">
        <f>IF(TRIM(기관표[[#This Row],[사번]]&amp;"")="","","S|"&amp;TRIM(기관표[[#This Row],[사번]]&amp;""))</f>
        <v/>
      </c>
      <c r="L5" s="10">
        <f>IF(기관표[[#This Row],[사번키]]="","",기관표[[#This Row],[사번키]]&amp;"|"&amp;기관표[[#This Row],[월키]])</f>
        <v/>
      </c>
    </row>
    <row r="6">
      <c r="A6" s="14" t="inlineStr">
        <is>
          <t>2026-10</t>
        </is>
      </c>
      <c r="B6" s="14" t="inlineStr">
        <is>
          <t>3333333</t>
        </is>
      </c>
      <c r="C6" s="7" t="inlineStr">
        <is>
          <t>이ㅇㅇ</t>
        </is>
      </c>
      <c r="D6" s="7" t="inlineStr">
        <is>
          <t>인턴</t>
        </is>
      </c>
      <c r="E6" s="7" t="inlineStr">
        <is>
          <t>인턴</t>
        </is>
      </c>
      <c r="F6" s="7" t="inlineStr">
        <is>
          <t>서울병원</t>
        </is>
      </c>
      <c r="G6" s="7" t="inlineStr">
        <is>
          <t>구리병원</t>
        </is>
      </c>
      <c r="H6" s="7" t="inlineStr">
        <is>
          <t>구리병원</t>
        </is>
      </c>
      <c r="I6" s="7" t="inlineStr">
        <is>
          <t>예시</t>
        </is>
      </c>
      <c r="J6" s="10">
        <f>IF(ISNUMBER(기관표[[#This Row],[기준월]]),TEXT(기관표[[#This Row],[기준월]],"yyyy-mm"),LEFT(TRIM(기관표[[#This Row],[기준월]]&amp;""),7))</f>
        <v/>
      </c>
      <c r="K6" s="10">
        <f>IF(TRIM(기관표[[#This Row],[사번]]&amp;"")="","","S|"&amp;TRIM(기관표[[#This Row],[사번]]&amp;""))</f>
        <v/>
      </c>
      <c r="L6" s="10">
        <f>IF(기관표[[#This Row],[사번키]]="","",기관표[[#This Row],[사번키]]&amp;"|"&amp;기관표[[#This Row],[월키]])</f>
        <v/>
      </c>
    </row>
    <row r="7">
      <c r="A7" s="14" t="inlineStr">
        <is>
          <t>2026-08</t>
        </is>
      </c>
      <c r="B7" s="14" t="inlineStr">
        <is>
          <t>4444444</t>
        </is>
      </c>
      <c r="C7" s="7" t="inlineStr">
        <is>
          <t>박ㅇㅇ</t>
        </is>
      </c>
      <c r="D7" s="7" t="inlineStr">
        <is>
          <t>인턴</t>
        </is>
      </c>
      <c r="E7" s="7" t="inlineStr">
        <is>
          <t>인턴</t>
        </is>
      </c>
      <c r="F7" s="7" t="inlineStr">
        <is>
          <t>구리병원</t>
        </is>
      </c>
      <c r="G7" s="7" t="inlineStr">
        <is>
          <t>구리병원</t>
        </is>
      </c>
      <c r="H7" s="7" t="inlineStr">
        <is>
          <t>구리병원</t>
        </is>
      </c>
      <c r="I7" s="7" t="inlineStr">
        <is>
          <t>예시</t>
        </is>
      </c>
      <c r="J7" s="10">
        <f>IF(ISNUMBER(기관표[[#This Row],[기준월]]),TEXT(기관표[[#This Row],[기준월]],"yyyy-mm"),LEFT(TRIM(기관표[[#This Row],[기준월]]&amp;""),7))</f>
        <v/>
      </c>
      <c r="K7" s="10">
        <f>IF(TRIM(기관표[[#This Row],[사번]]&amp;"")="","","S|"&amp;TRIM(기관표[[#This Row],[사번]]&amp;""))</f>
        <v/>
      </c>
      <c r="L7" s="10">
        <f>IF(기관표[[#This Row],[사번키]]="","",기관표[[#This Row],[사번키]]&amp;"|"&amp;기관표[[#This Row],[월키]])</f>
        <v/>
      </c>
    </row>
    <row r="8">
      <c r="A8" s="14" t="inlineStr">
        <is>
          <t>2026-09</t>
        </is>
      </c>
      <c r="B8" s="14" t="inlineStr">
        <is>
          <t>4444444</t>
        </is>
      </c>
      <c r="C8" s="7" t="inlineStr">
        <is>
          <t>박ㅇㅇ</t>
        </is>
      </c>
      <c r="D8" s="7" t="inlineStr">
        <is>
          <t>인턴</t>
        </is>
      </c>
      <c r="E8" s="7" t="inlineStr">
        <is>
          <t>인턴</t>
        </is>
      </c>
      <c r="F8" s="7" t="inlineStr">
        <is>
          <t>구리병원</t>
        </is>
      </c>
      <c r="G8" s="7" t="inlineStr">
        <is>
          <t>구리병원</t>
        </is>
      </c>
      <c r="H8" s="7" t="inlineStr">
        <is>
          <t>구리병원</t>
        </is>
      </c>
      <c r="I8" s="7" t="inlineStr">
        <is>
          <t>예시</t>
        </is>
      </c>
      <c r="J8" s="10">
        <f>IF(ISNUMBER(기관표[[#This Row],[기준월]]),TEXT(기관표[[#This Row],[기준월]],"yyyy-mm"),LEFT(TRIM(기관표[[#This Row],[기준월]]&amp;""),7))</f>
        <v/>
      </c>
      <c r="K8" s="10">
        <f>IF(TRIM(기관표[[#This Row],[사번]]&amp;"")="","","S|"&amp;TRIM(기관표[[#This Row],[사번]]&amp;""))</f>
        <v/>
      </c>
      <c r="L8" s="10">
        <f>IF(기관표[[#This Row],[사번키]]="","",기관표[[#This Row],[사번키]]&amp;"|"&amp;기관표[[#This Row],[월키]])</f>
        <v/>
      </c>
    </row>
    <row r="9">
      <c r="A9" s="14" t="inlineStr">
        <is>
          <t>2026-10</t>
        </is>
      </c>
      <c r="B9" s="14" t="inlineStr">
        <is>
          <t>4444444</t>
        </is>
      </c>
      <c r="C9" s="7" t="inlineStr">
        <is>
          <t>박ㅇㅇ</t>
        </is>
      </c>
      <c r="D9" s="7" t="inlineStr">
        <is>
          <t>인턴</t>
        </is>
      </c>
      <c r="E9" s="7" t="inlineStr">
        <is>
          <t>인턴</t>
        </is>
      </c>
      <c r="F9" s="7" t="inlineStr">
        <is>
          <t>구리병원</t>
        </is>
      </c>
      <c r="G9" s="7" t="inlineStr">
        <is>
          <t>인천병원</t>
        </is>
      </c>
      <c r="H9" s="7" t="inlineStr">
        <is>
          <t>인천병원</t>
        </is>
      </c>
      <c r="I9" s="7" t="inlineStr">
        <is>
          <t>예시</t>
        </is>
      </c>
      <c r="J9" s="10">
        <f>IF(ISNUMBER(기관표[[#This Row],[기준월]]),TEXT(기관표[[#This Row],[기준월]],"yyyy-mm"),LEFT(TRIM(기관표[[#This Row],[기준월]]&amp;""),7))</f>
        <v/>
      </c>
      <c r="K9" s="10">
        <f>IF(TRIM(기관표[[#This Row],[사번]]&amp;"")="","","S|"&amp;TRIM(기관표[[#This Row],[사번]]&amp;""))</f>
        <v/>
      </c>
      <c r="L9" s="10">
        <f>IF(기관표[[#This Row],[사번키]]="","",기관표[[#This Row],[사번키]]&amp;"|"&amp;기관표[[#This Row],[월키]])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/>
  </sheetPr>
  <dimension ref="A1:K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2" customWidth="1" min="4" max="4"/>
    <col width="28" customWidth="1" min="5" max="5"/>
    <col width="9" customWidth="1" min="6" max="6"/>
    <col width="11" customWidth="1" min="7" max="7"/>
    <col width="16" customWidth="1" min="8" max="8"/>
    <col width="9" customWidth="1" min="9" max="9"/>
    <col width="12" customWidth="1" min="10" max="10"/>
    <col width="26" customWidth="1" min="11" max="11"/>
  </cols>
  <sheetData>
    <row r="1">
      <c r="A1" s="1" t="inlineStr">
        <is>
          <t>월별 근무지 직접 입력 (입력_기관명단보다 우선)</t>
        </is>
      </c>
    </row>
    <row r="2">
      <c r="A2" s="4" t="inlineStr">
        <is>
          <t>※ 그 달 기관을 직접 정할 사람만 한 줄씩: 월(예: 2026-10)·사번·근무병원. 급여지급병원이 근무병원과 다를 때만 급여지급병원도 입력. 판정에는 '적용 급여병원'이 쓰입니다. 모니터링 파일(365판) 입력_월별근무지와 열 순서가 같아 A~E열을 그대로 복사해 와도 됩니다. 같은 사번·월이 두 줄이면 위쪽 줄이 적용됩니다.</t>
        </is>
      </c>
    </row>
    <row r="3">
      <c r="A3" s="5" t="inlineStr">
        <is>
          <t>월</t>
        </is>
      </c>
      <c r="B3" s="5" t="inlineStr">
        <is>
          <t>사번</t>
        </is>
      </c>
      <c r="C3" s="5" t="inlineStr">
        <is>
          <t>근무병원</t>
        </is>
      </c>
      <c r="D3" s="5" t="inlineStr">
        <is>
          <t>급여지급병원</t>
        </is>
      </c>
      <c r="E3" s="5" t="inlineStr">
        <is>
          <t>비고</t>
        </is>
      </c>
      <c r="F3" s="6" t="inlineStr">
        <is>
          <t>월키</t>
        </is>
      </c>
      <c r="G3" s="6" t="inlineStr">
        <is>
          <t>사번키</t>
        </is>
      </c>
      <c r="H3" s="6" t="inlineStr">
        <is>
          <t>키</t>
        </is>
      </c>
      <c r="I3" s="6" t="inlineStr">
        <is>
          <t>이름(확인)</t>
        </is>
      </c>
      <c r="J3" s="6" t="inlineStr">
        <is>
          <t>적용 급여병원</t>
        </is>
      </c>
      <c r="K3" s="6" t="inlineStr">
        <is>
          <t>점검</t>
        </is>
      </c>
    </row>
    <row r="4">
      <c r="A4" s="15" t="n">
        <v>46235</v>
      </c>
      <c r="B4" s="14" t="inlineStr">
        <is>
          <t>3333333</t>
        </is>
      </c>
      <c r="C4" s="7" t="inlineStr">
        <is>
          <t>제주병원</t>
        </is>
      </c>
      <c r="D4" s="7" t="n"/>
      <c r="E4" s="7" t="inlineStr">
        <is>
          <t>예시: 8월 기관명단 대신 직접 입력</t>
        </is>
      </c>
      <c r="F4" s="10">
        <f>IF(월별근무지표[[#This Row],[월]]&amp;""="","",IFERROR(IF(ISNUMBER(월별근무지표[[#This Row],[월]]),IF(월별근무지표[[#This Row],[월]]&lt;10000,TEXT(DATE(INT(월별근무지표[[#This Row],[월]]),ROUND(MOD(월별근무지표[[#This Row],[월]],1)*100,0),1),"yyyy-mm"),TEXT(월별근무지표[[#This Row],[월]],"yyyy-mm")),TEXT(DATEVALUE(SUBSTITUTE(SUBSTITUTE(LEFT(TRIM(월별근무지표[[#This Row],[월]]),7),".","-"),"/","-")&amp;"-01"),"yyyy-mm")),"⚠형식 오류"))</f>
        <v/>
      </c>
      <c r="G4" s="10">
        <f>IF(TRIM(월별근무지표[[#This Row],[사번]]&amp;"")="","","S|"&amp;TRIM(월별근무지표[[#This Row],[사번]]&amp;""))</f>
        <v/>
      </c>
      <c r="H4" s="10">
        <f>IF(LEFT(월별근무지표[[#This Row],[월키]],1)="⚠","",IF(OR(월별근무지표[[#This Row],[사번키]]="",월별근무지표[[#This Row],[월키]]=""),"",월별근무지표[[#This Row],[사번키]]&amp;"|"&amp;월별근무지표[[#This Row],[월키]]))</f>
        <v/>
      </c>
      <c r="I4" s="10">
        <f>IF(월별근무지표[[#This Row],[사번키]]="","",IFERROR(INDEX(기관표[이름],MATCH(월별근무지표[[#This Row],[사번키]],기관표[사번키],0))&amp;"",IFERROR(INDEX(상세표[성명],MATCH(월별근무지표[[#This Row],[사번키]],상세표[사번키],0))&amp;"","(자료에 없음)")))</f>
        <v/>
      </c>
      <c r="J4" s="10">
        <f>IF(월별근무지표[[#This Row],[근무병원]]="","",IF(월별근무지표[[#This Row],[급여지급병원]]="",월별근무지표[[#This Row],[근무병원]],월별근무지표[[#This Row],[급여지급병원]]))</f>
        <v/>
      </c>
      <c r="K4" s="10">
        <f>IF(AND(TRIM(월별근무지표[[#This Row],[사번]]&amp;"")="",월별근무지표[[#This Row],[월]]&amp;""=""),"",IF(OR(TRIM(월별근무지표[[#This Row],[사번]]&amp;"")="",월별근무지표[[#This Row],[월]]&amp;""=""),"월·사번 모두 입력",IF(LEFT(월별근무지표[[#This Row],[월키]],1)="⚠","월 형식 확인(예: 2026-10)",IF(월별근무지표[[#This Row],[근무병원]]="","근무병원 입력",IF(COUNTIF(월별근무지표[키],월별근무지표[[#This Row],[키]])&gt;1,"같은 사번·월 중복(위쪽 줄 적용)","정상")))))</f>
        <v/>
      </c>
    </row>
  </sheetData>
  <conditionalFormatting sqref="K4:K1048576">
    <cfRule type="expression" priority="1" dxfId="0">
      <formula>AND($K4&lt;&gt;"",$K4&lt;&gt;"정상")</formula>
    </cfRule>
  </conditionalFormatting>
  <dataValidations count="2">
    <dataValidation sqref="C4:C1048576" showDropDown="0" showInputMessage="0" showErrorMessage="1" allowBlank="1" errorTitle="등록되지 않은 병원" error="병원 목록에 없습니다. 새 병원이면 '설정' 시트의 병원 목록 표에 먼저 추가하세요." type="list" errorStyle="stop">
      <formula1>=병원목록</formula1>
    </dataValidation>
    <dataValidation sqref="D4:D1048576" showDropDown="0" showInputMessage="0" showErrorMessage="1" allowBlank="1" errorTitle="등록되지 않은 병원" error="병원 목록에 없습니다. 새 병원이면 '설정' 시트의 병원 목록 표에 먼저 추가하세요." type="list" errorStyle="stop">
      <formula1>=병원목록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P30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6" customWidth="1" min="5" max="5"/>
    <col width="16" customWidth="1" min="6" max="6"/>
    <col width="6" customWidth="1" min="7" max="7"/>
    <col width="8" customWidth="1" min="8" max="8"/>
    <col width="6" customWidth="1" min="9" max="9"/>
    <col width="8" customWidth="1" min="10" max="10"/>
    <col width="8" customWidth="1" min="11" max="11"/>
    <col width="8" customWidth="1" min="12" max="12"/>
    <col width="8" customWidth="1" min="13" max="13"/>
    <col width="9" customWidth="1" min="14" max="14"/>
    <col width="9" customWidth="1" min="15" max="15"/>
  </cols>
  <sheetData>
    <row r="1">
      <c r="A1" s="1" t="inlineStr">
        <is>
          <t>연속 근무 (이어진 시간외 근무를 한 줄로)</t>
        </is>
      </c>
    </row>
    <row r="2">
      <c r="A2" s="4" t="inlineStr">
        <is>
          <t>※ 자동 목록(입력 금지, 최대 3000건). 대상월에 걸친 연속 근무만 사번·시작 시각 순으로 빈 줄 없이 보여줍니다. 전월 말일에 시작한 당직도 포함됩니다. 월 넘김 표시가 있으면 출력_월경계당직에서 반영 급여월·기관을 확인하세요.</t>
        </is>
      </c>
    </row>
    <row r="3">
      <c r="A3" s="16" t="inlineStr">
        <is>
          <t>연속 근무 건수</t>
        </is>
      </c>
      <c r="B3" s="17">
        <f>SUM(상세표[연속표시])</f>
        <v/>
      </c>
      <c r="C3" s="16" t="inlineStr">
        <is>
          <t>2개 이상 기록을 묶은 건수</t>
        </is>
      </c>
      <c r="D3" s="17">
        <f>COUNTIFS(상세표[연속표시],1,상세표[기록 수],"&gt;1")</f>
        <v/>
      </c>
      <c r="E3" s="16" t="inlineStr">
        <is>
          <t>주말·휴일 포함</t>
        </is>
      </c>
      <c r="F3" s="17">
        <f>COUNTIFS(상세표[연속표시],1,상세표[주말·휴일 포함],"포함")</f>
        <v/>
      </c>
      <c r="G3" s="16" t="inlineStr">
        <is>
          <t>36시간 초과</t>
        </is>
      </c>
      <c r="H3" s="17">
        <f>COUNTIFS(상세표[연속표시],1,상세표[연속 시간],"&gt;36")</f>
        <v/>
      </c>
      <c r="I3" s="16" t="inlineStr">
        <is>
          <t>시각 형식 오류</t>
        </is>
      </c>
      <c r="J3" s="17">
        <f>COUNTIF(상세표[시작],"⚠*")+COUNTIF(상세표[종료],"⚠*")</f>
        <v/>
      </c>
      <c r="K3" s="18">
        <f>IF(B3&gt;3000,"⚠ 표시 한도(3000건) 초과","")</f>
        <v/>
      </c>
    </row>
    <row r="4"/>
    <row r="5" ht="30" customHeight="1">
      <c r="A5" s="5" t="inlineStr">
        <is>
          <t>사번</t>
        </is>
      </c>
      <c r="B5" s="5" t="inlineStr">
        <is>
          <t>성명</t>
        </is>
      </c>
      <c r="C5" s="5" t="inlineStr">
        <is>
          <t>부서</t>
        </is>
      </c>
      <c r="D5" s="5" t="inlineStr">
        <is>
          <t>직위</t>
        </is>
      </c>
      <c r="E5" s="5" t="inlineStr">
        <is>
          <t>시작</t>
        </is>
      </c>
      <c r="F5" s="5" t="inlineStr">
        <is>
          <t>종료</t>
        </is>
      </c>
      <c r="G5" s="5" t="inlineStr">
        <is>
          <t>시작 요일</t>
        </is>
      </c>
      <c r="H5" s="5" t="inlineStr">
        <is>
          <t>연속 시간</t>
        </is>
      </c>
      <c r="I5" s="5" t="inlineStr">
        <is>
          <t>기록 수</t>
        </is>
      </c>
      <c r="J5" s="5" t="inlineStr">
        <is>
          <t>06~07시</t>
        </is>
      </c>
      <c r="K5" s="5" t="inlineStr">
        <is>
          <t>07~18시</t>
        </is>
      </c>
      <c r="L5" s="5" t="inlineStr">
        <is>
          <t>18~22시</t>
        </is>
      </c>
      <c r="M5" s="5" t="inlineStr">
        <is>
          <t>22~06시</t>
        </is>
      </c>
      <c r="N5" s="5" t="inlineStr">
        <is>
          <t>주말·휴일 포함</t>
        </is>
      </c>
      <c r="O5" s="5" t="inlineStr">
        <is>
          <t>월 넘김 포함</t>
        </is>
      </c>
      <c r="P5" s="19" t="inlineStr">
        <is>
          <t>(행)</t>
        </is>
      </c>
    </row>
    <row r="6">
      <c r="A6">
        <f>IF($P6="",IF(SUM(상세표[연속표시])=0,"연속 근무 없음",""),INDEX(상세표[사번],$P6)&amp;"")</f>
        <v/>
      </c>
      <c r="B6">
        <f>IF($P6="","",INDEX(상세표[성명],$P6)&amp;"")</f>
        <v/>
      </c>
      <c r="C6">
        <f>IF($P6="","",INDEX(상세표[부서],$P6)&amp;"")</f>
        <v/>
      </c>
      <c r="D6">
        <f>IF($P6="","",INDEX(상세표[직위],$P6)&amp;"")</f>
        <v/>
      </c>
      <c r="E6">
        <f>IF($P6="","",IF(ISNUMBER(INDEX(상세표[시작],$P6)),TEXT(INDEX(상세표[시작],$P6),"yyyy-mm-dd hh:mm"),INDEX(상세표[시작],$P6)&amp;""))</f>
        <v/>
      </c>
      <c r="F6">
        <f>IF($P6="","",IF(ISNUMBER(INDEX(상세표[블록종료],$P6)),TEXT(INDEX(상세표[블록종료],$P6),"yyyy-mm-dd hh:mm"),INDEX(상세표[블록종료],$P6)&amp;""))</f>
        <v/>
      </c>
      <c r="G6">
        <f>IF($P6="","",CHOOSE(WEEKDAY(INDEX(상세표[시작],$P6)),"일","월","화","수","목","금","토"))</f>
        <v/>
      </c>
      <c r="H6">
        <f>IF($P6="","",INDEX(상세표[연속 시간],$P6))</f>
        <v/>
      </c>
      <c r="I6">
        <f>IF($P6="","",INDEX(상세표[기록 수],$P6))</f>
        <v/>
      </c>
      <c r="J6">
        <f>IF($P6="","",INDEX(상세표[블록 06~07시],$P6))</f>
        <v/>
      </c>
      <c r="K6">
        <f>IF($P6="","",INDEX(상세표[블록 07~18시],$P6))</f>
        <v/>
      </c>
      <c r="L6">
        <f>IF($P6="","",INDEX(상세표[블록 18~22시],$P6))</f>
        <v/>
      </c>
      <c r="M6">
        <f>IF($P6="","",INDEX(상세표[블록 22~06시],$P6))</f>
        <v/>
      </c>
      <c r="N6">
        <f>IF($P6="","",INDEX(상세표[주말·휴일 포함],$P6)&amp;"")</f>
        <v/>
      </c>
      <c r="O6">
        <f>IF($P6="","",INDEX(상세표[월 넘김 포함],$P6)&amp;"")</f>
        <v/>
      </c>
      <c r="P6" s="4">
        <f>IFERROR(MATCH(1,상세표[연속순번],0),"")</f>
        <v/>
      </c>
    </row>
    <row r="7">
      <c r="A7">
        <f>IF($P7="","",INDEX(상세표[사번],$P7)&amp;"")</f>
        <v/>
      </c>
      <c r="B7">
        <f>IF($P7="","",INDEX(상세표[성명],$P7)&amp;"")</f>
        <v/>
      </c>
      <c r="C7">
        <f>IF($P7="","",INDEX(상세표[부서],$P7)&amp;"")</f>
        <v/>
      </c>
      <c r="D7">
        <f>IF($P7="","",INDEX(상세표[직위],$P7)&amp;"")</f>
        <v/>
      </c>
      <c r="E7">
        <f>IF($P7="","",IF(ISNUMBER(INDEX(상세표[시작],$P7)),TEXT(INDEX(상세표[시작],$P7),"yyyy-mm-dd hh:mm"),INDEX(상세표[시작],$P7)&amp;""))</f>
        <v/>
      </c>
      <c r="F7">
        <f>IF($P7="","",IF(ISNUMBER(INDEX(상세표[블록종료],$P7)),TEXT(INDEX(상세표[블록종료],$P7),"yyyy-mm-dd hh:mm"),INDEX(상세표[블록종료],$P7)&amp;""))</f>
        <v/>
      </c>
      <c r="G7">
        <f>IF($P7="","",CHOOSE(WEEKDAY(INDEX(상세표[시작],$P7)),"일","월","화","수","목","금","토"))</f>
        <v/>
      </c>
      <c r="H7">
        <f>IF($P7="","",INDEX(상세표[연속 시간],$P7))</f>
        <v/>
      </c>
      <c r="I7">
        <f>IF($P7="","",INDEX(상세표[기록 수],$P7))</f>
        <v/>
      </c>
      <c r="J7">
        <f>IF($P7="","",INDEX(상세표[블록 06~07시],$P7))</f>
        <v/>
      </c>
      <c r="K7">
        <f>IF($P7="","",INDEX(상세표[블록 07~18시],$P7))</f>
        <v/>
      </c>
      <c r="L7">
        <f>IF($P7="","",INDEX(상세표[블록 18~22시],$P7))</f>
        <v/>
      </c>
      <c r="M7">
        <f>IF($P7="","",INDEX(상세표[블록 22~06시],$P7))</f>
        <v/>
      </c>
      <c r="N7">
        <f>IF($P7="","",INDEX(상세표[주말·휴일 포함],$P7)&amp;"")</f>
        <v/>
      </c>
      <c r="O7">
        <f>IF($P7="","",INDEX(상세표[월 넘김 포함],$P7)&amp;"")</f>
        <v/>
      </c>
      <c r="P7" s="4">
        <f>IFERROR(MATCH(2,상세표[연속순번],0),"")</f>
        <v/>
      </c>
    </row>
    <row r="8">
      <c r="A8">
        <f>IF($P8="","",INDEX(상세표[사번],$P8)&amp;"")</f>
        <v/>
      </c>
      <c r="B8">
        <f>IF($P8="","",INDEX(상세표[성명],$P8)&amp;"")</f>
        <v/>
      </c>
      <c r="C8">
        <f>IF($P8="","",INDEX(상세표[부서],$P8)&amp;"")</f>
        <v/>
      </c>
      <c r="D8">
        <f>IF($P8="","",INDEX(상세표[직위],$P8)&amp;"")</f>
        <v/>
      </c>
      <c r="E8">
        <f>IF($P8="","",IF(ISNUMBER(INDEX(상세표[시작],$P8)),TEXT(INDEX(상세표[시작],$P8),"yyyy-mm-dd hh:mm"),INDEX(상세표[시작],$P8)&amp;""))</f>
        <v/>
      </c>
      <c r="F8">
        <f>IF($P8="","",IF(ISNUMBER(INDEX(상세표[블록종료],$P8)),TEXT(INDEX(상세표[블록종료],$P8),"yyyy-mm-dd hh:mm"),INDEX(상세표[블록종료],$P8)&amp;""))</f>
        <v/>
      </c>
      <c r="G8">
        <f>IF($P8="","",CHOOSE(WEEKDAY(INDEX(상세표[시작],$P8)),"일","월","화","수","목","금","토"))</f>
        <v/>
      </c>
      <c r="H8">
        <f>IF($P8="","",INDEX(상세표[연속 시간],$P8))</f>
        <v/>
      </c>
      <c r="I8">
        <f>IF($P8="","",INDEX(상세표[기록 수],$P8))</f>
        <v/>
      </c>
      <c r="J8">
        <f>IF($P8="","",INDEX(상세표[블록 06~07시],$P8))</f>
        <v/>
      </c>
      <c r="K8">
        <f>IF($P8="","",INDEX(상세표[블록 07~18시],$P8))</f>
        <v/>
      </c>
      <c r="L8">
        <f>IF($P8="","",INDEX(상세표[블록 18~22시],$P8))</f>
        <v/>
      </c>
      <c r="M8">
        <f>IF($P8="","",INDEX(상세표[블록 22~06시],$P8))</f>
        <v/>
      </c>
      <c r="N8">
        <f>IF($P8="","",INDEX(상세표[주말·휴일 포함],$P8)&amp;"")</f>
        <v/>
      </c>
      <c r="O8">
        <f>IF($P8="","",INDEX(상세표[월 넘김 포함],$P8)&amp;"")</f>
        <v/>
      </c>
      <c r="P8" s="4">
        <f>IFERROR(MATCH(3,상세표[연속순번],0),"")</f>
        <v/>
      </c>
    </row>
    <row r="9">
      <c r="A9">
        <f>IF($P9="","",INDEX(상세표[사번],$P9)&amp;"")</f>
        <v/>
      </c>
      <c r="B9">
        <f>IF($P9="","",INDEX(상세표[성명],$P9)&amp;"")</f>
        <v/>
      </c>
      <c r="C9">
        <f>IF($P9="","",INDEX(상세표[부서],$P9)&amp;"")</f>
        <v/>
      </c>
      <c r="D9">
        <f>IF($P9="","",INDEX(상세표[직위],$P9)&amp;"")</f>
        <v/>
      </c>
      <c r="E9">
        <f>IF($P9="","",IF(ISNUMBER(INDEX(상세표[시작],$P9)),TEXT(INDEX(상세표[시작],$P9),"yyyy-mm-dd hh:mm"),INDEX(상세표[시작],$P9)&amp;""))</f>
        <v/>
      </c>
      <c r="F9">
        <f>IF($P9="","",IF(ISNUMBER(INDEX(상세표[블록종료],$P9)),TEXT(INDEX(상세표[블록종료],$P9),"yyyy-mm-dd hh:mm"),INDEX(상세표[블록종료],$P9)&amp;""))</f>
        <v/>
      </c>
      <c r="G9">
        <f>IF($P9="","",CHOOSE(WEEKDAY(INDEX(상세표[시작],$P9)),"일","월","화","수","목","금","토"))</f>
        <v/>
      </c>
      <c r="H9">
        <f>IF($P9="","",INDEX(상세표[연속 시간],$P9))</f>
        <v/>
      </c>
      <c r="I9">
        <f>IF($P9="","",INDEX(상세표[기록 수],$P9))</f>
        <v/>
      </c>
      <c r="J9">
        <f>IF($P9="","",INDEX(상세표[블록 06~07시],$P9))</f>
        <v/>
      </c>
      <c r="K9">
        <f>IF($P9="","",INDEX(상세표[블록 07~18시],$P9))</f>
        <v/>
      </c>
      <c r="L9">
        <f>IF($P9="","",INDEX(상세표[블록 18~22시],$P9))</f>
        <v/>
      </c>
      <c r="M9">
        <f>IF($P9="","",INDEX(상세표[블록 22~06시],$P9))</f>
        <v/>
      </c>
      <c r="N9">
        <f>IF($P9="","",INDEX(상세표[주말·휴일 포함],$P9)&amp;"")</f>
        <v/>
      </c>
      <c r="O9">
        <f>IF($P9="","",INDEX(상세표[월 넘김 포함],$P9)&amp;"")</f>
        <v/>
      </c>
      <c r="P9" s="4">
        <f>IFERROR(MATCH(4,상세표[연속순번],0),"")</f>
        <v/>
      </c>
    </row>
    <row r="10">
      <c r="A10">
        <f>IF($P10="","",INDEX(상세표[사번],$P10)&amp;"")</f>
        <v/>
      </c>
      <c r="B10">
        <f>IF($P10="","",INDEX(상세표[성명],$P10)&amp;"")</f>
        <v/>
      </c>
      <c r="C10">
        <f>IF($P10="","",INDEX(상세표[부서],$P10)&amp;"")</f>
        <v/>
      </c>
      <c r="D10">
        <f>IF($P10="","",INDEX(상세표[직위],$P10)&amp;"")</f>
        <v/>
      </c>
      <c r="E10">
        <f>IF($P10="","",IF(ISNUMBER(INDEX(상세표[시작],$P10)),TEXT(INDEX(상세표[시작],$P10),"yyyy-mm-dd hh:mm"),INDEX(상세표[시작],$P10)&amp;""))</f>
        <v/>
      </c>
      <c r="F10">
        <f>IF($P10="","",IF(ISNUMBER(INDEX(상세표[블록종료],$P10)),TEXT(INDEX(상세표[블록종료],$P10),"yyyy-mm-dd hh:mm"),INDEX(상세표[블록종료],$P10)&amp;""))</f>
        <v/>
      </c>
      <c r="G10">
        <f>IF($P10="","",CHOOSE(WEEKDAY(INDEX(상세표[시작],$P10)),"일","월","화","수","목","금","토"))</f>
        <v/>
      </c>
      <c r="H10">
        <f>IF($P10="","",INDEX(상세표[연속 시간],$P10))</f>
        <v/>
      </c>
      <c r="I10">
        <f>IF($P10="","",INDEX(상세표[기록 수],$P10))</f>
        <v/>
      </c>
      <c r="J10">
        <f>IF($P10="","",INDEX(상세표[블록 06~07시],$P10))</f>
        <v/>
      </c>
      <c r="K10">
        <f>IF($P10="","",INDEX(상세표[블록 07~18시],$P10))</f>
        <v/>
      </c>
      <c r="L10">
        <f>IF($P10="","",INDEX(상세표[블록 18~22시],$P10))</f>
        <v/>
      </c>
      <c r="M10">
        <f>IF($P10="","",INDEX(상세표[블록 22~06시],$P10))</f>
        <v/>
      </c>
      <c r="N10">
        <f>IF($P10="","",INDEX(상세표[주말·휴일 포함],$P10)&amp;"")</f>
        <v/>
      </c>
      <c r="O10">
        <f>IF($P10="","",INDEX(상세표[월 넘김 포함],$P10)&amp;"")</f>
        <v/>
      </c>
      <c r="P10" s="4">
        <f>IFERROR(MATCH(5,상세표[연속순번],0),"")</f>
        <v/>
      </c>
    </row>
    <row r="11">
      <c r="A11">
        <f>IF($P11="","",INDEX(상세표[사번],$P11)&amp;"")</f>
        <v/>
      </c>
      <c r="B11">
        <f>IF($P11="","",INDEX(상세표[성명],$P11)&amp;"")</f>
        <v/>
      </c>
      <c r="C11">
        <f>IF($P11="","",INDEX(상세표[부서],$P11)&amp;"")</f>
        <v/>
      </c>
      <c r="D11">
        <f>IF($P11="","",INDEX(상세표[직위],$P11)&amp;"")</f>
        <v/>
      </c>
      <c r="E11">
        <f>IF($P11="","",IF(ISNUMBER(INDEX(상세표[시작],$P11)),TEXT(INDEX(상세표[시작],$P11),"yyyy-mm-dd hh:mm"),INDEX(상세표[시작],$P11)&amp;""))</f>
        <v/>
      </c>
      <c r="F11">
        <f>IF($P11="","",IF(ISNUMBER(INDEX(상세표[블록종료],$P11)),TEXT(INDEX(상세표[블록종료],$P11),"yyyy-mm-dd hh:mm"),INDEX(상세표[블록종료],$P11)&amp;""))</f>
        <v/>
      </c>
      <c r="G11">
        <f>IF($P11="","",CHOOSE(WEEKDAY(INDEX(상세표[시작],$P11)),"일","월","화","수","목","금","토"))</f>
        <v/>
      </c>
      <c r="H11">
        <f>IF($P11="","",INDEX(상세표[연속 시간],$P11))</f>
        <v/>
      </c>
      <c r="I11">
        <f>IF($P11="","",INDEX(상세표[기록 수],$P11))</f>
        <v/>
      </c>
      <c r="J11">
        <f>IF($P11="","",INDEX(상세표[블록 06~07시],$P11))</f>
        <v/>
      </c>
      <c r="K11">
        <f>IF($P11="","",INDEX(상세표[블록 07~18시],$P11))</f>
        <v/>
      </c>
      <c r="L11">
        <f>IF($P11="","",INDEX(상세표[블록 18~22시],$P11))</f>
        <v/>
      </c>
      <c r="M11">
        <f>IF($P11="","",INDEX(상세표[블록 22~06시],$P11))</f>
        <v/>
      </c>
      <c r="N11">
        <f>IF($P11="","",INDEX(상세표[주말·휴일 포함],$P11)&amp;"")</f>
        <v/>
      </c>
      <c r="O11">
        <f>IF($P11="","",INDEX(상세표[월 넘김 포함],$P11)&amp;"")</f>
        <v/>
      </c>
      <c r="P11" s="4">
        <f>IFERROR(MATCH(6,상세표[연속순번],0),"")</f>
        <v/>
      </c>
    </row>
    <row r="12">
      <c r="A12">
        <f>IF($P12="","",INDEX(상세표[사번],$P12)&amp;"")</f>
        <v/>
      </c>
      <c r="B12">
        <f>IF($P12="","",INDEX(상세표[성명],$P12)&amp;"")</f>
        <v/>
      </c>
      <c r="C12">
        <f>IF($P12="","",INDEX(상세표[부서],$P12)&amp;"")</f>
        <v/>
      </c>
      <c r="D12">
        <f>IF($P12="","",INDEX(상세표[직위],$P12)&amp;"")</f>
        <v/>
      </c>
      <c r="E12">
        <f>IF($P12="","",IF(ISNUMBER(INDEX(상세표[시작],$P12)),TEXT(INDEX(상세표[시작],$P12),"yyyy-mm-dd hh:mm"),INDEX(상세표[시작],$P12)&amp;""))</f>
        <v/>
      </c>
      <c r="F12">
        <f>IF($P12="","",IF(ISNUMBER(INDEX(상세표[블록종료],$P12)),TEXT(INDEX(상세표[블록종료],$P12),"yyyy-mm-dd hh:mm"),INDEX(상세표[블록종료],$P12)&amp;""))</f>
        <v/>
      </c>
      <c r="G12">
        <f>IF($P12="","",CHOOSE(WEEKDAY(INDEX(상세표[시작],$P12)),"일","월","화","수","목","금","토"))</f>
        <v/>
      </c>
      <c r="H12">
        <f>IF($P12="","",INDEX(상세표[연속 시간],$P12))</f>
        <v/>
      </c>
      <c r="I12">
        <f>IF($P12="","",INDEX(상세표[기록 수],$P12))</f>
        <v/>
      </c>
      <c r="J12">
        <f>IF($P12="","",INDEX(상세표[블록 06~07시],$P12))</f>
        <v/>
      </c>
      <c r="K12">
        <f>IF($P12="","",INDEX(상세표[블록 07~18시],$P12))</f>
        <v/>
      </c>
      <c r="L12">
        <f>IF($P12="","",INDEX(상세표[블록 18~22시],$P12))</f>
        <v/>
      </c>
      <c r="M12">
        <f>IF($P12="","",INDEX(상세표[블록 22~06시],$P12))</f>
        <v/>
      </c>
      <c r="N12">
        <f>IF($P12="","",INDEX(상세표[주말·휴일 포함],$P12)&amp;"")</f>
        <v/>
      </c>
      <c r="O12">
        <f>IF($P12="","",INDEX(상세표[월 넘김 포함],$P12)&amp;"")</f>
        <v/>
      </c>
      <c r="P12" s="4">
        <f>IFERROR(MATCH(7,상세표[연속순번],0),"")</f>
        <v/>
      </c>
    </row>
    <row r="13">
      <c r="A13">
        <f>IF($P13="","",INDEX(상세표[사번],$P13)&amp;"")</f>
        <v/>
      </c>
      <c r="B13">
        <f>IF($P13="","",INDEX(상세표[성명],$P13)&amp;"")</f>
        <v/>
      </c>
      <c r="C13">
        <f>IF($P13="","",INDEX(상세표[부서],$P13)&amp;"")</f>
        <v/>
      </c>
      <c r="D13">
        <f>IF($P13="","",INDEX(상세표[직위],$P13)&amp;"")</f>
        <v/>
      </c>
      <c r="E13">
        <f>IF($P13="","",IF(ISNUMBER(INDEX(상세표[시작],$P13)),TEXT(INDEX(상세표[시작],$P13),"yyyy-mm-dd hh:mm"),INDEX(상세표[시작],$P13)&amp;""))</f>
        <v/>
      </c>
      <c r="F13">
        <f>IF($P13="","",IF(ISNUMBER(INDEX(상세표[블록종료],$P13)),TEXT(INDEX(상세표[블록종료],$P13),"yyyy-mm-dd hh:mm"),INDEX(상세표[블록종료],$P13)&amp;""))</f>
        <v/>
      </c>
      <c r="G13">
        <f>IF($P13="","",CHOOSE(WEEKDAY(INDEX(상세표[시작],$P13)),"일","월","화","수","목","금","토"))</f>
        <v/>
      </c>
      <c r="H13">
        <f>IF($P13="","",INDEX(상세표[연속 시간],$P13))</f>
        <v/>
      </c>
      <c r="I13">
        <f>IF($P13="","",INDEX(상세표[기록 수],$P13))</f>
        <v/>
      </c>
      <c r="J13">
        <f>IF($P13="","",INDEX(상세표[블록 06~07시],$P13))</f>
        <v/>
      </c>
      <c r="K13">
        <f>IF($P13="","",INDEX(상세표[블록 07~18시],$P13))</f>
        <v/>
      </c>
      <c r="L13">
        <f>IF($P13="","",INDEX(상세표[블록 18~22시],$P13))</f>
        <v/>
      </c>
      <c r="M13">
        <f>IF($P13="","",INDEX(상세표[블록 22~06시],$P13))</f>
        <v/>
      </c>
      <c r="N13">
        <f>IF($P13="","",INDEX(상세표[주말·휴일 포함],$P13)&amp;"")</f>
        <v/>
      </c>
      <c r="O13">
        <f>IF($P13="","",INDEX(상세표[월 넘김 포함],$P13)&amp;"")</f>
        <v/>
      </c>
      <c r="P13" s="4">
        <f>IFERROR(MATCH(8,상세표[연속순번],0),"")</f>
        <v/>
      </c>
    </row>
    <row r="14">
      <c r="A14">
        <f>IF($P14="","",INDEX(상세표[사번],$P14)&amp;"")</f>
        <v/>
      </c>
      <c r="B14">
        <f>IF($P14="","",INDEX(상세표[성명],$P14)&amp;"")</f>
        <v/>
      </c>
      <c r="C14">
        <f>IF($P14="","",INDEX(상세표[부서],$P14)&amp;"")</f>
        <v/>
      </c>
      <c r="D14">
        <f>IF($P14="","",INDEX(상세표[직위],$P14)&amp;"")</f>
        <v/>
      </c>
      <c r="E14">
        <f>IF($P14="","",IF(ISNUMBER(INDEX(상세표[시작],$P14)),TEXT(INDEX(상세표[시작],$P14),"yyyy-mm-dd hh:mm"),INDEX(상세표[시작],$P14)&amp;""))</f>
        <v/>
      </c>
      <c r="F14">
        <f>IF($P14="","",IF(ISNUMBER(INDEX(상세표[블록종료],$P14)),TEXT(INDEX(상세표[블록종료],$P14),"yyyy-mm-dd hh:mm"),INDEX(상세표[블록종료],$P14)&amp;""))</f>
        <v/>
      </c>
      <c r="G14">
        <f>IF($P14="","",CHOOSE(WEEKDAY(INDEX(상세표[시작],$P14)),"일","월","화","수","목","금","토"))</f>
        <v/>
      </c>
      <c r="H14">
        <f>IF($P14="","",INDEX(상세표[연속 시간],$P14))</f>
        <v/>
      </c>
      <c r="I14">
        <f>IF($P14="","",INDEX(상세표[기록 수],$P14))</f>
        <v/>
      </c>
      <c r="J14">
        <f>IF($P14="","",INDEX(상세표[블록 06~07시],$P14))</f>
        <v/>
      </c>
      <c r="K14">
        <f>IF($P14="","",INDEX(상세표[블록 07~18시],$P14))</f>
        <v/>
      </c>
      <c r="L14">
        <f>IF($P14="","",INDEX(상세표[블록 18~22시],$P14))</f>
        <v/>
      </c>
      <c r="M14">
        <f>IF($P14="","",INDEX(상세표[블록 22~06시],$P14))</f>
        <v/>
      </c>
      <c r="N14">
        <f>IF($P14="","",INDEX(상세표[주말·휴일 포함],$P14)&amp;"")</f>
        <v/>
      </c>
      <c r="O14">
        <f>IF($P14="","",INDEX(상세표[월 넘김 포함],$P14)&amp;"")</f>
        <v/>
      </c>
      <c r="P14" s="4">
        <f>IFERROR(MATCH(9,상세표[연속순번],0),"")</f>
        <v/>
      </c>
    </row>
    <row r="15">
      <c r="A15">
        <f>IF($P15="","",INDEX(상세표[사번],$P15)&amp;"")</f>
        <v/>
      </c>
      <c r="B15">
        <f>IF($P15="","",INDEX(상세표[성명],$P15)&amp;"")</f>
        <v/>
      </c>
      <c r="C15">
        <f>IF($P15="","",INDEX(상세표[부서],$P15)&amp;"")</f>
        <v/>
      </c>
      <c r="D15">
        <f>IF($P15="","",INDEX(상세표[직위],$P15)&amp;"")</f>
        <v/>
      </c>
      <c r="E15">
        <f>IF($P15="","",IF(ISNUMBER(INDEX(상세표[시작],$P15)),TEXT(INDEX(상세표[시작],$P15),"yyyy-mm-dd hh:mm"),INDEX(상세표[시작],$P15)&amp;""))</f>
        <v/>
      </c>
      <c r="F15">
        <f>IF($P15="","",IF(ISNUMBER(INDEX(상세표[블록종료],$P15)),TEXT(INDEX(상세표[블록종료],$P15),"yyyy-mm-dd hh:mm"),INDEX(상세표[블록종료],$P15)&amp;""))</f>
        <v/>
      </c>
      <c r="G15">
        <f>IF($P15="","",CHOOSE(WEEKDAY(INDEX(상세표[시작],$P15)),"일","월","화","수","목","금","토"))</f>
        <v/>
      </c>
      <c r="H15">
        <f>IF($P15="","",INDEX(상세표[연속 시간],$P15))</f>
        <v/>
      </c>
      <c r="I15">
        <f>IF($P15="","",INDEX(상세표[기록 수],$P15))</f>
        <v/>
      </c>
      <c r="J15">
        <f>IF($P15="","",INDEX(상세표[블록 06~07시],$P15))</f>
        <v/>
      </c>
      <c r="K15">
        <f>IF($P15="","",INDEX(상세표[블록 07~18시],$P15))</f>
        <v/>
      </c>
      <c r="L15">
        <f>IF($P15="","",INDEX(상세표[블록 18~22시],$P15))</f>
        <v/>
      </c>
      <c r="M15">
        <f>IF($P15="","",INDEX(상세표[블록 22~06시],$P15))</f>
        <v/>
      </c>
      <c r="N15">
        <f>IF($P15="","",INDEX(상세표[주말·휴일 포함],$P15)&amp;"")</f>
        <v/>
      </c>
      <c r="O15">
        <f>IF($P15="","",INDEX(상세표[월 넘김 포함],$P15)&amp;"")</f>
        <v/>
      </c>
      <c r="P15" s="4">
        <f>IFERROR(MATCH(10,상세표[연속순번],0),"")</f>
        <v/>
      </c>
    </row>
    <row r="16">
      <c r="A16">
        <f>IF($P16="","",INDEX(상세표[사번],$P16)&amp;"")</f>
        <v/>
      </c>
      <c r="B16">
        <f>IF($P16="","",INDEX(상세표[성명],$P16)&amp;"")</f>
        <v/>
      </c>
      <c r="C16">
        <f>IF($P16="","",INDEX(상세표[부서],$P16)&amp;"")</f>
        <v/>
      </c>
      <c r="D16">
        <f>IF($P16="","",INDEX(상세표[직위],$P16)&amp;"")</f>
        <v/>
      </c>
      <c r="E16">
        <f>IF($P16="","",IF(ISNUMBER(INDEX(상세표[시작],$P16)),TEXT(INDEX(상세표[시작],$P16),"yyyy-mm-dd hh:mm"),INDEX(상세표[시작],$P16)&amp;""))</f>
        <v/>
      </c>
      <c r="F16">
        <f>IF($P16="","",IF(ISNUMBER(INDEX(상세표[블록종료],$P16)),TEXT(INDEX(상세표[블록종료],$P16),"yyyy-mm-dd hh:mm"),INDEX(상세표[블록종료],$P16)&amp;""))</f>
        <v/>
      </c>
      <c r="G16">
        <f>IF($P16="","",CHOOSE(WEEKDAY(INDEX(상세표[시작],$P16)),"일","월","화","수","목","금","토"))</f>
        <v/>
      </c>
      <c r="H16">
        <f>IF($P16="","",INDEX(상세표[연속 시간],$P16))</f>
        <v/>
      </c>
      <c r="I16">
        <f>IF($P16="","",INDEX(상세표[기록 수],$P16))</f>
        <v/>
      </c>
      <c r="J16">
        <f>IF($P16="","",INDEX(상세표[블록 06~07시],$P16))</f>
        <v/>
      </c>
      <c r="K16">
        <f>IF($P16="","",INDEX(상세표[블록 07~18시],$P16))</f>
        <v/>
      </c>
      <c r="L16">
        <f>IF($P16="","",INDEX(상세표[블록 18~22시],$P16))</f>
        <v/>
      </c>
      <c r="M16">
        <f>IF($P16="","",INDEX(상세표[블록 22~06시],$P16))</f>
        <v/>
      </c>
      <c r="N16">
        <f>IF($P16="","",INDEX(상세표[주말·휴일 포함],$P16)&amp;"")</f>
        <v/>
      </c>
      <c r="O16">
        <f>IF($P16="","",INDEX(상세표[월 넘김 포함],$P16)&amp;"")</f>
        <v/>
      </c>
      <c r="P16" s="4">
        <f>IFERROR(MATCH(11,상세표[연속순번],0),"")</f>
        <v/>
      </c>
    </row>
    <row r="17">
      <c r="A17">
        <f>IF($P17="","",INDEX(상세표[사번],$P17)&amp;"")</f>
        <v/>
      </c>
      <c r="B17">
        <f>IF($P17="","",INDEX(상세표[성명],$P17)&amp;"")</f>
        <v/>
      </c>
      <c r="C17">
        <f>IF($P17="","",INDEX(상세표[부서],$P17)&amp;"")</f>
        <v/>
      </c>
      <c r="D17">
        <f>IF($P17="","",INDEX(상세표[직위],$P17)&amp;"")</f>
        <v/>
      </c>
      <c r="E17">
        <f>IF($P17="","",IF(ISNUMBER(INDEX(상세표[시작],$P17)),TEXT(INDEX(상세표[시작],$P17),"yyyy-mm-dd hh:mm"),INDEX(상세표[시작],$P17)&amp;""))</f>
        <v/>
      </c>
      <c r="F17">
        <f>IF($P17="","",IF(ISNUMBER(INDEX(상세표[블록종료],$P17)),TEXT(INDEX(상세표[블록종료],$P17),"yyyy-mm-dd hh:mm"),INDEX(상세표[블록종료],$P17)&amp;""))</f>
        <v/>
      </c>
      <c r="G17">
        <f>IF($P17="","",CHOOSE(WEEKDAY(INDEX(상세표[시작],$P17)),"일","월","화","수","목","금","토"))</f>
        <v/>
      </c>
      <c r="H17">
        <f>IF($P17="","",INDEX(상세표[연속 시간],$P17))</f>
        <v/>
      </c>
      <c r="I17">
        <f>IF($P17="","",INDEX(상세표[기록 수],$P17))</f>
        <v/>
      </c>
      <c r="J17">
        <f>IF($P17="","",INDEX(상세표[블록 06~07시],$P17))</f>
        <v/>
      </c>
      <c r="K17">
        <f>IF($P17="","",INDEX(상세표[블록 07~18시],$P17))</f>
        <v/>
      </c>
      <c r="L17">
        <f>IF($P17="","",INDEX(상세표[블록 18~22시],$P17))</f>
        <v/>
      </c>
      <c r="M17">
        <f>IF($P17="","",INDEX(상세표[블록 22~06시],$P17))</f>
        <v/>
      </c>
      <c r="N17">
        <f>IF($P17="","",INDEX(상세표[주말·휴일 포함],$P17)&amp;"")</f>
        <v/>
      </c>
      <c r="O17">
        <f>IF($P17="","",INDEX(상세표[월 넘김 포함],$P17)&amp;"")</f>
        <v/>
      </c>
      <c r="P17" s="4">
        <f>IFERROR(MATCH(12,상세표[연속순번],0),"")</f>
        <v/>
      </c>
    </row>
    <row r="18">
      <c r="A18">
        <f>IF($P18="","",INDEX(상세표[사번],$P18)&amp;"")</f>
        <v/>
      </c>
      <c r="B18">
        <f>IF($P18="","",INDEX(상세표[성명],$P18)&amp;"")</f>
        <v/>
      </c>
      <c r="C18">
        <f>IF($P18="","",INDEX(상세표[부서],$P18)&amp;"")</f>
        <v/>
      </c>
      <c r="D18">
        <f>IF($P18="","",INDEX(상세표[직위],$P18)&amp;"")</f>
        <v/>
      </c>
      <c r="E18">
        <f>IF($P18="","",IF(ISNUMBER(INDEX(상세표[시작],$P18)),TEXT(INDEX(상세표[시작],$P18),"yyyy-mm-dd hh:mm"),INDEX(상세표[시작],$P18)&amp;""))</f>
        <v/>
      </c>
      <c r="F18">
        <f>IF($P18="","",IF(ISNUMBER(INDEX(상세표[블록종료],$P18)),TEXT(INDEX(상세표[블록종료],$P18),"yyyy-mm-dd hh:mm"),INDEX(상세표[블록종료],$P18)&amp;""))</f>
        <v/>
      </c>
      <c r="G18">
        <f>IF($P18="","",CHOOSE(WEEKDAY(INDEX(상세표[시작],$P18)),"일","월","화","수","목","금","토"))</f>
        <v/>
      </c>
      <c r="H18">
        <f>IF($P18="","",INDEX(상세표[연속 시간],$P18))</f>
        <v/>
      </c>
      <c r="I18">
        <f>IF($P18="","",INDEX(상세표[기록 수],$P18))</f>
        <v/>
      </c>
      <c r="J18">
        <f>IF($P18="","",INDEX(상세표[블록 06~07시],$P18))</f>
        <v/>
      </c>
      <c r="K18">
        <f>IF($P18="","",INDEX(상세표[블록 07~18시],$P18))</f>
        <v/>
      </c>
      <c r="L18">
        <f>IF($P18="","",INDEX(상세표[블록 18~22시],$P18))</f>
        <v/>
      </c>
      <c r="M18">
        <f>IF($P18="","",INDEX(상세표[블록 22~06시],$P18))</f>
        <v/>
      </c>
      <c r="N18">
        <f>IF($P18="","",INDEX(상세표[주말·휴일 포함],$P18)&amp;"")</f>
        <v/>
      </c>
      <c r="O18">
        <f>IF($P18="","",INDEX(상세표[월 넘김 포함],$P18)&amp;"")</f>
        <v/>
      </c>
      <c r="P18" s="4">
        <f>IFERROR(MATCH(13,상세표[연속순번],0),"")</f>
        <v/>
      </c>
    </row>
    <row r="19">
      <c r="A19">
        <f>IF($P19="","",INDEX(상세표[사번],$P19)&amp;"")</f>
        <v/>
      </c>
      <c r="B19">
        <f>IF($P19="","",INDEX(상세표[성명],$P19)&amp;"")</f>
        <v/>
      </c>
      <c r="C19">
        <f>IF($P19="","",INDEX(상세표[부서],$P19)&amp;"")</f>
        <v/>
      </c>
      <c r="D19">
        <f>IF($P19="","",INDEX(상세표[직위],$P19)&amp;"")</f>
        <v/>
      </c>
      <c r="E19">
        <f>IF($P19="","",IF(ISNUMBER(INDEX(상세표[시작],$P19)),TEXT(INDEX(상세표[시작],$P19),"yyyy-mm-dd hh:mm"),INDEX(상세표[시작],$P19)&amp;""))</f>
        <v/>
      </c>
      <c r="F19">
        <f>IF($P19="","",IF(ISNUMBER(INDEX(상세표[블록종료],$P19)),TEXT(INDEX(상세표[블록종료],$P19),"yyyy-mm-dd hh:mm"),INDEX(상세표[블록종료],$P19)&amp;""))</f>
        <v/>
      </c>
      <c r="G19">
        <f>IF($P19="","",CHOOSE(WEEKDAY(INDEX(상세표[시작],$P19)),"일","월","화","수","목","금","토"))</f>
        <v/>
      </c>
      <c r="H19">
        <f>IF($P19="","",INDEX(상세표[연속 시간],$P19))</f>
        <v/>
      </c>
      <c r="I19">
        <f>IF($P19="","",INDEX(상세표[기록 수],$P19))</f>
        <v/>
      </c>
      <c r="J19">
        <f>IF($P19="","",INDEX(상세표[블록 06~07시],$P19))</f>
        <v/>
      </c>
      <c r="K19">
        <f>IF($P19="","",INDEX(상세표[블록 07~18시],$P19))</f>
        <v/>
      </c>
      <c r="L19">
        <f>IF($P19="","",INDEX(상세표[블록 18~22시],$P19))</f>
        <v/>
      </c>
      <c r="M19">
        <f>IF($P19="","",INDEX(상세표[블록 22~06시],$P19))</f>
        <v/>
      </c>
      <c r="N19">
        <f>IF($P19="","",INDEX(상세표[주말·휴일 포함],$P19)&amp;"")</f>
        <v/>
      </c>
      <c r="O19">
        <f>IF($P19="","",INDEX(상세표[월 넘김 포함],$P19)&amp;"")</f>
        <v/>
      </c>
      <c r="P19" s="4">
        <f>IFERROR(MATCH(14,상세표[연속순번],0),"")</f>
        <v/>
      </c>
    </row>
    <row r="20">
      <c r="A20">
        <f>IF($P20="","",INDEX(상세표[사번],$P20)&amp;"")</f>
        <v/>
      </c>
      <c r="B20">
        <f>IF($P20="","",INDEX(상세표[성명],$P20)&amp;"")</f>
        <v/>
      </c>
      <c r="C20">
        <f>IF($P20="","",INDEX(상세표[부서],$P20)&amp;"")</f>
        <v/>
      </c>
      <c r="D20">
        <f>IF($P20="","",INDEX(상세표[직위],$P20)&amp;"")</f>
        <v/>
      </c>
      <c r="E20">
        <f>IF($P20="","",IF(ISNUMBER(INDEX(상세표[시작],$P20)),TEXT(INDEX(상세표[시작],$P20),"yyyy-mm-dd hh:mm"),INDEX(상세표[시작],$P20)&amp;""))</f>
        <v/>
      </c>
      <c r="F20">
        <f>IF($P20="","",IF(ISNUMBER(INDEX(상세표[블록종료],$P20)),TEXT(INDEX(상세표[블록종료],$P20),"yyyy-mm-dd hh:mm"),INDEX(상세표[블록종료],$P20)&amp;""))</f>
        <v/>
      </c>
      <c r="G20">
        <f>IF($P20="","",CHOOSE(WEEKDAY(INDEX(상세표[시작],$P20)),"일","월","화","수","목","금","토"))</f>
        <v/>
      </c>
      <c r="H20">
        <f>IF($P20="","",INDEX(상세표[연속 시간],$P20))</f>
        <v/>
      </c>
      <c r="I20">
        <f>IF($P20="","",INDEX(상세표[기록 수],$P20))</f>
        <v/>
      </c>
      <c r="J20">
        <f>IF($P20="","",INDEX(상세표[블록 06~07시],$P20))</f>
        <v/>
      </c>
      <c r="K20">
        <f>IF($P20="","",INDEX(상세표[블록 07~18시],$P20))</f>
        <v/>
      </c>
      <c r="L20">
        <f>IF($P20="","",INDEX(상세표[블록 18~22시],$P20))</f>
        <v/>
      </c>
      <c r="M20">
        <f>IF($P20="","",INDEX(상세표[블록 22~06시],$P20))</f>
        <v/>
      </c>
      <c r="N20">
        <f>IF($P20="","",INDEX(상세표[주말·휴일 포함],$P20)&amp;"")</f>
        <v/>
      </c>
      <c r="O20">
        <f>IF($P20="","",INDEX(상세표[월 넘김 포함],$P20)&amp;"")</f>
        <v/>
      </c>
      <c r="P20" s="4">
        <f>IFERROR(MATCH(15,상세표[연속순번],0),"")</f>
        <v/>
      </c>
    </row>
    <row r="21">
      <c r="A21">
        <f>IF($P21="","",INDEX(상세표[사번],$P21)&amp;"")</f>
        <v/>
      </c>
      <c r="B21">
        <f>IF($P21="","",INDEX(상세표[성명],$P21)&amp;"")</f>
        <v/>
      </c>
      <c r="C21">
        <f>IF($P21="","",INDEX(상세표[부서],$P21)&amp;"")</f>
        <v/>
      </c>
      <c r="D21">
        <f>IF($P21="","",INDEX(상세표[직위],$P21)&amp;"")</f>
        <v/>
      </c>
      <c r="E21">
        <f>IF($P21="","",IF(ISNUMBER(INDEX(상세표[시작],$P21)),TEXT(INDEX(상세표[시작],$P21),"yyyy-mm-dd hh:mm"),INDEX(상세표[시작],$P21)&amp;""))</f>
        <v/>
      </c>
      <c r="F21">
        <f>IF($P21="","",IF(ISNUMBER(INDEX(상세표[블록종료],$P21)),TEXT(INDEX(상세표[블록종료],$P21),"yyyy-mm-dd hh:mm"),INDEX(상세표[블록종료],$P21)&amp;""))</f>
        <v/>
      </c>
      <c r="G21">
        <f>IF($P21="","",CHOOSE(WEEKDAY(INDEX(상세표[시작],$P21)),"일","월","화","수","목","금","토"))</f>
        <v/>
      </c>
      <c r="H21">
        <f>IF($P21="","",INDEX(상세표[연속 시간],$P21))</f>
        <v/>
      </c>
      <c r="I21">
        <f>IF($P21="","",INDEX(상세표[기록 수],$P21))</f>
        <v/>
      </c>
      <c r="J21">
        <f>IF($P21="","",INDEX(상세표[블록 06~07시],$P21))</f>
        <v/>
      </c>
      <c r="K21">
        <f>IF($P21="","",INDEX(상세표[블록 07~18시],$P21))</f>
        <v/>
      </c>
      <c r="L21">
        <f>IF($P21="","",INDEX(상세표[블록 18~22시],$P21))</f>
        <v/>
      </c>
      <c r="M21">
        <f>IF($P21="","",INDEX(상세표[블록 22~06시],$P21))</f>
        <v/>
      </c>
      <c r="N21">
        <f>IF($P21="","",INDEX(상세표[주말·휴일 포함],$P21)&amp;"")</f>
        <v/>
      </c>
      <c r="O21">
        <f>IF($P21="","",INDEX(상세표[월 넘김 포함],$P21)&amp;"")</f>
        <v/>
      </c>
      <c r="P21" s="4">
        <f>IFERROR(MATCH(16,상세표[연속순번],0),"")</f>
        <v/>
      </c>
    </row>
    <row r="22">
      <c r="A22">
        <f>IF($P22="","",INDEX(상세표[사번],$P22)&amp;"")</f>
        <v/>
      </c>
      <c r="B22">
        <f>IF($P22="","",INDEX(상세표[성명],$P22)&amp;"")</f>
        <v/>
      </c>
      <c r="C22">
        <f>IF($P22="","",INDEX(상세표[부서],$P22)&amp;"")</f>
        <v/>
      </c>
      <c r="D22">
        <f>IF($P22="","",INDEX(상세표[직위],$P22)&amp;"")</f>
        <v/>
      </c>
      <c r="E22">
        <f>IF($P22="","",IF(ISNUMBER(INDEX(상세표[시작],$P22)),TEXT(INDEX(상세표[시작],$P22),"yyyy-mm-dd hh:mm"),INDEX(상세표[시작],$P22)&amp;""))</f>
        <v/>
      </c>
      <c r="F22">
        <f>IF($P22="","",IF(ISNUMBER(INDEX(상세표[블록종료],$P22)),TEXT(INDEX(상세표[블록종료],$P22),"yyyy-mm-dd hh:mm"),INDEX(상세표[블록종료],$P22)&amp;""))</f>
        <v/>
      </c>
      <c r="G22">
        <f>IF($P22="","",CHOOSE(WEEKDAY(INDEX(상세표[시작],$P22)),"일","월","화","수","목","금","토"))</f>
        <v/>
      </c>
      <c r="H22">
        <f>IF($P22="","",INDEX(상세표[연속 시간],$P22))</f>
        <v/>
      </c>
      <c r="I22">
        <f>IF($P22="","",INDEX(상세표[기록 수],$P22))</f>
        <v/>
      </c>
      <c r="J22">
        <f>IF($P22="","",INDEX(상세표[블록 06~07시],$P22))</f>
        <v/>
      </c>
      <c r="K22">
        <f>IF($P22="","",INDEX(상세표[블록 07~18시],$P22))</f>
        <v/>
      </c>
      <c r="L22">
        <f>IF($P22="","",INDEX(상세표[블록 18~22시],$P22))</f>
        <v/>
      </c>
      <c r="M22">
        <f>IF($P22="","",INDEX(상세표[블록 22~06시],$P22))</f>
        <v/>
      </c>
      <c r="N22">
        <f>IF($P22="","",INDEX(상세표[주말·휴일 포함],$P22)&amp;"")</f>
        <v/>
      </c>
      <c r="O22">
        <f>IF($P22="","",INDEX(상세표[월 넘김 포함],$P22)&amp;"")</f>
        <v/>
      </c>
      <c r="P22" s="4">
        <f>IFERROR(MATCH(17,상세표[연속순번],0),"")</f>
        <v/>
      </c>
    </row>
    <row r="23">
      <c r="A23">
        <f>IF($P23="","",INDEX(상세표[사번],$P23)&amp;"")</f>
        <v/>
      </c>
      <c r="B23">
        <f>IF($P23="","",INDEX(상세표[성명],$P23)&amp;"")</f>
        <v/>
      </c>
      <c r="C23">
        <f>IF($P23="","",INDEX(상세표[부서],$P23)&amp;"")</f>
        <v/>
      </c>
      <c r="D23">
        <f>IF($P23="","",INDEX(상세표[직위],$P23)&amp;"")</f>
        <v/>
      </c>
      <c r="E23">
        <f>IF($P23="","",IF(ISNUMBER(INDEX(상세표[시작],$P23)),TEXT(INDEX(상세표[시작],$P23),"yyyy-mm-dd hh:mm"),INDEX(상세표[시작],$P23)&amp;""))</f>
        <v/>
      </c>
      <c r="F23">
        <f>IF($P23="","",IF(ISNUMBER(INDEX(상세표[블록종료],$P23)),TEXT(INDEX(상세표[블록종료],$P23),"yyyy-mm-dd hh:mm"),INDEX(상세표[블록종료],$P23)&amp;""))</f>
        <v/>
      </c>
      <c r="G23">
        <f>IF($P23="","",CHOOSE(WEEKDAY(INDEX(상세표[시작],$P23)),"일","월","화","수","목","금","토"))</f>
        <v/>
      </c>
      <c r="H23">
        <f>IF($P23="","",INDEX(상세표[연속 시간],$P23))</f>
        <v/>
      </c>
      <c r="I23">
        <f>IF($P23="","",INDEX(상세표[기록 수],$P23))</f>
        <v/>
      </c>
      <c r="J23">
        <f>IF($P23="","",INDEX(상세표[블록 06~07시],$P23))</f>
        <v/>
      </c>
      <c r="K23">
        <f>IF($P23="","",INDEX(상세표[블록 07~18시],$P23))</f>
        <v/>
      </c>
      <c r="L23">
        <f>IF($P23="","",INDEX(상세표[블록 18~22시],$P23))</f>
        <v/>
      </c>
      <c r="M23">
        <f>IF($P23="","",INDEX(상세표[블록 22~06시],$P23))</f>
        <v/>
      </c>
      <c r="N23">
        <f>IF($P23="","",INDEX(상세표[주말·휴일 포함],$P23)&amp;"")</f>
        <v/>
      </c>
      <c r="O23">
        <f>IF($P23="","",INDEX(상세표[월 넘김 포함],$P23)&amp;"")</f>
        <v/>
      </c>
      <c r="P23" s="4">
        <f>IFERROR(MATCH(18,상세표[연속순번],0),"")</f>
        <v/>
      </c>
    </row>
    <row r="24">
      <c r="A24">
        <f>IF($P24="","",INDEX(상세표[사번],$P24)&amp;"")</f>
        <v/>
      </c>
      <c r="B24">
        <f>IF($P24="","",INDEX(상세표[성명],$P24)&amp;"")</f>
        <v/>
      </c>
      <c r="C24">
        <f>IF($P24="","",INDEX(상세표[부서],$P24)&amp;"")</f>
        <v/>
      </c>
      <c r="D24">
        <f>IF($P24="","",INDEX(상세표[직위],$P24)&amp;"")</f>
        <v/>
      </c>
      <c r="E24">
        <f>IF($P24="","",IF(ISNUMBER(INDEX(상세표[시작],$P24)),TEXT(INDEX(상세표[시작],$P24),"yyyy-mm-dd hh:mm"),INDEX(상세표[시작],$P24)&amp;""))</f>
        <v/>
      </c>
      <c r="F24">
        <f>IF($P24="","",IF(ISNUMBER(INDEX(상세표[블록종료],$P24)),TEXT(INDEX(상세표[블록종료],$P24),"yyyy-mm-dd hh:mm"),INDEX(상세표[블록종료],$P24)&amp;""))</f>
        <v/>
      </c>
      <c r="G24">
        <f>IF($P24="","",CHOOSE(WEEKDAY(INDEX(상세표[시작],$P24)),"일","월","화","수","목","금","토"))</f>
        <v/>
      </c>
      <c r="H24">
        <f>IF($P24="","",INDEX(상세표[연속 시간],$P24))</f>
        <v/>
      </c>
      <c r="I24">
        <f>IF($P24="","",INDEX(상세표[기록 수],$P24))</f>
        <v/>
      </c>
      <c r="J24">
        <f>IF($P24="","",INDEX(상세표[블록 06~07시],$P24))</f>
        <v/>
      </c>
      <c r="K24">
        <f>IF($P24="","",INDEX(상세표[블록 07~18시],$P24))</f>
        <v/>
      </c>
      <c r="L24">
        <f>IF($P24="","",INDEX(상세표[블록 18~22시],$P24))</f>
        <v/>
      </c>
      <c r="M24">
        <f>IF($P24="","",INDEX(상세표[블록 22~06시],$P24))</f>
        <v/>
      </c>
      <c r="N24">
        <f>IF($P24="","",INDEX(상세표[주말·휴일 포함],$P24)&amp;"")</f>
        <v/>
      </c>
      <c r="O24">
        <f>IF($P24="","",INDEX(상세표[월 넘김 포함],$P24)&amp;"")</f>
        <v/>
      </c>
      <c r="P24" s="4">
        <f>IFERROR(MATCH(19,상세표[연속순번],0),"")</f>
        <v/>
      </c>
    </row>
    <row r="25">
      <c r="A25">
        <f>IF($P25="","",INDEX(상세표[사번],$P25)&amp;"")</f>
        <v/>
      </c>
      <c r="B25">
        <f>IF($P25="","",INDEX(상세표[성명],$P25)&amp;"")</f>
        <v/>
      </c>
      <c r="C25">
        <f>IF($P25="","",INDEX(상세표[부서],$P25)&amp;"")</f>
        <v/>
      </c>
      <c r="D25">
        <f>IF($P25="","",INDEX(상세표[직위],$P25)&amp;"")</f>
        <v/>
      </c>
      <c r="E25">
        <f>IF($P25="","",IF(ISNUMBER(INDEX(상세표[시작],$P25)),TEXT(INDEX(상세표[시작],$P25),"yyyy-mm-dd hh:mm"),INDEX(상세표[시작],$P25)&amp;""))</f>
        <v/>
      </c>
      <c r="F25">
        <f>IF($P25="","",IF(ISNUMBER(INDEX(상세표[블록종료],$P25)),TEXT(INDEX(상세표[블록종료],$P25),"yyyy-mm-dd hh:mm"),INDEX(상세표[블록종료],$P25)&amp;""))</f>
        <v/>
      </c>
      <c r="G25">
        <f>IF($P25="","",CHOOSE(WEEKDAY(INDEX(상세표[시작],$P25)),"일","월","화","수","목","금","토"))</f>
        <v/>
      </c>
      <c r="H25">
        <f>IF($P25="","",INDEX(상세표[연속 시간],$P25))</f>
        <v/>
      </c>
      <c r="I25">
        <f>IF($P25="","",INDEX(상세표[기록 수],$P25))</f>
        <v/>
      </c>
      <c r="J25">
        <f>IF($P25="","",INDEX(상세표[블록 06~07시],$P25))</f>
        <v/>
      </c>
      <c r="K25">
        <f>IF($P25="","",INDEX(상세표[블록 07~18시],$P25))</f>
        <v/>
      </c>
      <c r="L25">
        <f>IF($P25="","",INDEX(상세표[블록 18~22시],$P25))</f>
        <v/>
      </c>
      <c r="M25">
        <f>IF($P25="","",INDEX(상세표[블록 22~06시],$P25))</f>
        <v/>
      </c>
      <c r="N25">
        <f>IF($P25="","",INDEX(상세표[주말·휴일 포함],$P25)&amp;"")</f>
        <v/>
      </c>
      <c r="O25">
        <f>IF($P25="","",INDEX(상세표[월 넘김 포함],$P25)&amp;"")</f>
        <v/>
      </c>
      <c r="P25" s="4">
        <f>IFERROR(MATCH(20,상세표[연속순번],0),"")</f>
        <v/>
      </c>
    </row>
    <row r="26">
      <c r="A26">
        <f>IF($P26="","",INDEX(상세표[사번],$P26)&amp;"")</f>
        <v/>
      </c>
      <c r="B26">
        <f>IF($P26="","",INDEX(상세표[성명],$P26)&amp;"")</f>
        <v/>
      </c>
      <c r="C26">
        <f>IF($P26="","",INDEX(상세표[부서],$P26)&amp;"")</f>
        <v/>
      </c>
      <c r="D26">
        <f>IF($P26="","",INDEX(상세표[직위],$P26)&amp;"")</f>
        <v/>
      </c>
      <c r="E26">
        <f>IF($P26="","",IF(ISNUMBER(INDEX(상세표[시작],$P26)),TEXT(INDEX(상세표[시작],$P26),"yyyy-mm-dd hh:mm"),INDEX(상세표[시작],$P26)&amp;""))</f>
        <v/>
      </c>
      <c r="F26">
        <f>IF($P26="","",IF(ISNUMBER(INDEX(상세표[블록종료],$P26)),TEXT(INDEX(상세표[블록종료],$P26),"yyyy-mm-dd hh:mm"),INDEX(상세표[블록종료],$P26)&amp;""))</f>
        <v/>
      </c>
      <c r="G26">
        <f>IF($P26="","",CHOOSE(WEEKDAY(INDEX(상세표[시작],$P26)),"일","월","화","수","목","금","토"))</f>
        <v/>
      </c>
      <c r="H26">
        <f>IF($P26="","",INDEX(상세표[연속 시간],$P26))</f>
        <v/>
      </c>
      <c r="I26">
        <f>IF($P26="","",INDEX(상세표[기록 수],$P26))</f>
        <v/>
      </c>
      <c r="J26">
        <f>IF($P26="","",INDEX(상세표[블록 06~07시],$P26))</f>
        <v/>
      </c>
      <c r="K26">
        <f>IF($P26="","",INDEX(상세표[블록 07~18시],$P26))</f>
        <v/>
      </c>
      <c r="L26">
        <f>IF($P26="","",INDEX(상세표[블록 18~22시],$P26))</f>
        <v/>
      </c>
      <c r="M26">
        <f>IF($P26="","",INDEX(상세표[블록 22~06시],$P26))</f>
        <v/>
      </c>
      <c r="N26">
        <f>IF($P26="","",INDEX(상세표[주말·휴일 포함],$P26)&amp;"")</f>
        <v/>
      </c>
      <c r="O26">
        <f>IF($P26="","",INDEX(상세표[월 넘김 포함],$P26)&amp;"")</f>
        <v/>
      </c>
      <c r="P26" s="4">
        <f>IFERROR(MATCH(21,상세표[연속순번],0),"")</f>
        <v/>
      </c>
    </row>
    <row r="27">
      <c r="A27">
        <f>IF($P27="","",INDEX(상세표[사번],$P27)&amp;"")</f>
        <v/>
      </c>
      <c r="B27">
        <f>IF($P27="","",INDEX(상세표[성명],$P27)&amp;"")</f>
        <v/>
      </c>
      <c r="C27">
        <f>IF($P27="","",INDEX(상세표[부서],$P27)&amp;"")</f>
        <v/>
      </c>
      <c r="D27">
        <f>IF($P27="","",INDEX(상세표[직위],$P27)&amp;"")</f>
        <v/>
      </c>
      <c r="E27">
        <f>IF($P27="","",IF(ISNUMBER(INDEX(상세표[시작],$P27)),TEXT(INDEX(상세표[시작],$P27),"yyyy-mm-dd hh:mm"),INDEX(상세표[시작],$P27)&amp;""))</f>
        <v/>
      </c>
      <c r="F27">
        <f>IF($P27="","",IF(ISNUMBER(INDEX(상세표[블록종료],$P27)),TEXT(INDEX(상세표[블록종료],$P27),"yyyy-mm-dd hh:mm"),INDEX(상세표[블록종료],$P27)&amp;""))</f>
        <v/>
      </c>
      <c r="G27">
        <f>IF($P27="","",CHOOSE(WEEKDAY(INDEX(상세표[시작],$P27)),"일","월","화","수","목","금","토"))</f>
        <v/>
      </c>
      <c r="H27">
        <f>IF($P27="","",INDEX(상세표[연속 시간],$P27))</f>
        <v/>
      </c>
      <c r="I27">
        <f>IF($P27="","",INDEX(상세표[기록 수],$P27))</f>
        <v/>
      </c>
      <c r="J27">
        <f>IF($P27="","",INDEX(상세표[블록 06~07시],$P27))</f>
        <v/>
      </c>
      <c r="K27">
        <f>IF($P27="","",INDEX(상세표[블록 07~18시],$P27))</f>
        <v/>
      </c>
      <c r="L27">
        <f>IF($P27="","",INDEX(상세표[블록 18~22시],$P27))</f>
        <v/>
      </c>
      <c r="M27">
        <f>IF($P27="","",INDEX(상세표[블록 22~06시],$P27))</f>
        <v/>
      </c>
      <c r="N27">
        <f>IF($P27="","",INDEX(상세표[주말·휴일 포함],$P27)&amp;"")</f>
        <v/>
      </c>
      <c r="O27">
        <f>IF($P27="","",INDEX(상세표[월 넘김 포함],$P27)&amp;"")</f>
        <v/>
      </c>
      <c r="P27" s="4">
        <f>IFERROR(MATCH(22,상세표[연속순번],0),"")</f>
        <v/>
      </c>
    </row>
    <row r="28">
      <c r="A28">
        <f>IF($P28="","",INDEX(상세표[사번],$P28)&amp;"")</f>
        <v/>
      </c>
      <c r="B28">
        <f>IF($P28="","",INDEX(상세표[성명],$P28)&amp;"")</f>
        <v/>
      </c>
      <c r="C28">
        <f>IF($P28="","",INDEX(상세표[부서],$P28)&amp;"")</f>
        <v/>
      </c>
      <c r="D28">
        <f>IF($P28="","",INDEX(상세표[직위],$P28)&amp;"")</f>
        <v/>
      </c>
      <c r="E28">
        <f>IF($P28="","",IF(ISNUMBER(INDEX(상세표[시작],$P28)),TEXT(INDEX(상세표[시작],$P28),"yyyy-mm-dd hh:mm"),INDEX(상세표[시작],$P28)&amp;""))</f>
        <v/>
      </c>
      <c r="F28">
        <f>IF($P28="","",IF(ISNUMBER(INDEX(상세표[블록종료],$P28)),TEXT(INDEX(상세표[블록종료],$P28),"yyyy-mm-dd hh:mm"),INDEX(상세표[블록종료],$P28)&amp;""))</f>
        <v/>
      </c>
      <c r="G28">
        <f>IF($P28="","",CHOOSE(WEEKDAY(INDEX(상세표[시작],$P28)),"일","월","화","수","목","금","토"))</f>
        <v/>
      </c>
      <c r="H28">
        <f>IF($P28="","",INDEX(상세표[연속 시간],$P28))</f>
        <v/>
      </c>
      <c r="I28">
        <f>IF($P28="","",INDEX(상세표[기록 수],$P28))</f>
        <v/>
      </c>
      <c r="J28">
        <f>IF($P28="","",INDEX(상세표[블록 06~07시],$P28))</f>
        <v/>
      </c>
      <c r="K28">
        <f>IF($P28="","",INDEX(상세표[블록 07~18시],$P28))</f>
        <v/>
      </c>
      <c r="L28">
        <f>IF($P28="","",INDEX(상세표[블록 18~22시],$P28))</f>
        <v/>
      </c>
      <c r="M28">
        <f>IF($P28="","",INDEX(상세표[블록 22~06시],$P28))</f>
        <v/>
      </c>
      <c r="N28">
        <f>IF($P28="","",INDEX(상세표[주말·휴일 포함],$P28)&amp;"")</f>
        <v/>
      </c>
      <c r="O28">
        <f>IF($P28="","",INDEX(상세표[월 넘김 포함],$P28)&amp;"")</f>
        <v/>
      </c>
      <c r="P28" s="4">
        <f>IFERROR(MATCH(23,상세표[연속순번],0),"")</f>
        <v/>
      </c>
    </row>
    <row r="29">
      <c r="A29">
        <f>IF($P29="","",INDEX(상세표[사번],$P29)&amp;"")</f>
        <v/>
      </c>
      <c r="B29">
        <f>IF($P29="","",INDEX(상세표[성명],$P29)&amp;"")</f>
        <v/>
      </c>
      <c r="C29">
        <f>IF($P29="","",INDEX(상세표[부서],$P29)&amp;"")</f>
        <v/>
      </c>
      <c r="D29">
        <f>IF($P29="","",INDEX(상세표[직위],$P29)&amp;"")</f>
        <v/>
      </c>
      <c r="E29">
        <f>IF($P29="","",IF(ISNUMBER(INDEX(상세표[시작],$P29)),TEXT(INDEX(상세표[시작],$P29),"yyyy-mm-dd hh:mm"),INDEX(상세표[시작],$P29)&amp;""))</f>
        <v/>
      </c>
      <c r="F29">
        <f>IF($P29="","",IF(ISNUMBER(INDEX(상세표[블록종료],$P29)),TEXT(INDEX(상세표[블록종료],$P29),"yyyy-mm-dd hh:mm"),INDEX(상세표[블록종료],$P29)&amp;""))</f>
        <v/>
      </c>
      <c r="G29">
        <f>IF($P29="","",CHOOSE(WEEKDAY(INDEX(상세표[시작],$P29)),"일","월","화","수","목","금","토"))</f>
        <v/>
      </c>
      <c r="H29">
        <f>IF($P29="","",INDEX(상세표[연속 시간],$P29))</f>
        <v/>
      </c>
      <c r="I29">
        <f>IF($P29="","",INDEX(상세표[기록 수],$P29))</f>
        <v/>
      </c>
      <c r="J29">
        <f>IF($P29="","",INDEX(상세표[블록 06~07시],$P29))</f>
        <v/>
      </c>
      <c r="K29">
        <f>IF($P29="","",INDEX(상세표[블록 07~18시],$P29))</f>
        <v/>
      </c>
      <c r="L29">
        <f>IF($P29="","",INDEX(상세표[블록 18~22시],$P29))</f>
        <v/>
      </c>
      <c r="M29">
        <f>IF($P29="","",INDEX(상세표[블록 22~06시],$P29))</f>
        <v/>
      </c>
      <c r="N29">
        <f>IF($P29="","",INDEX(상세표[주말·휴일 포함],$P29)&amp;"")</f>
        <v/>
      </c>
      <c r="O29">
        <f>IF($P29="","",INDEX(상세표[월 넘김 포함],$P29)&amp;"")</f>
        <v/>
      </c>
      <c r="P29" s="4">
        <f>IFERROR(MATCH(24,상세표[연속순번],0),"")</f>
        <v/>
      </c>
    </row>
    <row r="30">
      <c r="A30">
        <f>IF($P30="","",INDEX(상세표[사번],$P30)&amp;"")</f>
        <v/>
      </c>
      <c r="B30">
        <f>IF($P30="","",INDEX(상세표[성명],$P30)&amp;"")</f>
        <v/>
      </c>
      <c r="C30">
        <f>IF($P30="","",INDEX(상세표[부서],$P30)&amp;"")</f>
        <v/>
      </c>
      <c r="D30">
        <f>IF($P30="","",INDEX(상세표[직위],$P30)&amp;"")</f>
        <v/>
      </c>
      <c r="E30">
        <f>IF($P30="","",IF(ISNUMBER(INDEX(상세표[시작],$P30)),TEXT(INDEX(상세표[시작],$P30),"yyyy-mm-dd hh:mm"),INDEX(상세표[시작],$P30)&amp;""))</f>
        <v/>
      </c>
      <c r="F30">
        <f>IF($P30="","",IF(ISNUMBER(INDEX(상세표[블록종료],$P30)),TEXT(INDEX(상세표[블록종료],$P30),"yyyy-mm-dd hh:mm"),INDEX(상세표[블록종료],$P30)&amp;""))</f>
        <v/>
      </c>
      <c r="G30">
        <f>IF($P30="","",CHOOSE(WEEKDAY(INDEX(상세표[시작],$P30)),"일","월","화","수","목","금","토"))</f>
        <v/>
      </c>
      <c r="H30">
        <f>IF($P30="","",INDEX(상세표[연속 시간],$P30))</f>
        <v/>
      </c>
      <c r="I30">
        <f>IF($P30="","",INDEX(상세표[기록 수],$P30))</f>
        <v/>
      </c>
      <c r="J30">
        <f>IF($P30="","",INDEX(상세표[블록 06~07시],$P30))</f>
        <v/>
      </c>
      <c r="K30">
        <f>IF($P30="","",INDEX(상세표[블록 07~18시],$P30))</f>
        <v/>
      </c>
      <c r="L30">
        <f>IF($P30="","",INDEX(상세표[블록 18~22시],$P30))</f>
        <v/>
      </c>
      <c r="M30">
        <f>IF($P30="","",INDEX(상세표[블록 22~06시],$P30))</f>
        <v/>
      </c>
      <c r="N30">
        <f>IF($P30="","",INDEX(상세표[주말·휴일 포함],$P30)&amp;"")</f>
        <v/>
      </c>
      <c r="O30">
        <f>IF($P30="","",INDEX(상세표[월 넘김 포함],$P30)&amp;"")</f>
        <v/>
      </c>
      <c r="P30" s="4">
        <f>IFERROR(MATCH(25,상세표[연속순번],0),"")</f>
        <v/>
      </c>
    </row>
    <row r="31">
      <c r="A31">
        <f>IF($P31="","",INDEX(상세표[사번],$P31)&amp;"")</f>
        <v/>
      </c>
      <c r="B31">
        <f>IF($P31="","",INDEX(상세표[성명],$P31)&amp;"")</f>
        <v/>
      </c>
      <c r="C31">
        <f>IF($P31="","",INDEX(상세표[부서],$P31)&amp;"")</f>
        <v/>
      </c>
      <c r="D31">
        <f>IF($P31="","",INDEX(상세표[직위],$P31)&amp;"")</f>
        <v/>
      </c>
      <c r="E31">
        <f>IF($P31="","",IF(ISNUMBER(INDEX(상세표[시작],$P31)),TEXT(INDEX(상세표[시작],$P31),"yyyy-mm-dd hh:mm"),INDEX(상세표[시작],$P31)&amp;""))</f>
        <v/>
      </c>
      <c r="F31">
        <f>IF($P31="","",IF(ISNUMBER(INDEX(상세표[블록종료],$P31)),TEXT(INDEX(상세표[블록종료],$P31),"yyyy-mm-dd hh:mm"),INDEX(상세표[블록종료],$P31)&amp;""))</f>
        <v/>
      </c>
      <c r="G31">
        <f>IF($P31="","",CHOOSE(WEEKDAY(INDEX(상세표[시작],$P31)),"일","월","화","수","목","금","토"))</f>
        <v/>
      </c>
      <c r="H31">
        <f>IF($P31="","",INDEX(상세표[연속 시간],$P31))</f>
        <v/>
      </c>
      <c r="I31">
        <f>IF($P31="","",INDEX(상세표[기록 수],$P31))</f>
        <v/>
      </c>
      <c r="J31">
        <f>IF($P31="","",INDEX(상세표[블록 06~07시],$P31))</f>
        <v/>
      </c>
      <c r="K31">
        <f>IF($P31="","",INDEX(상세표[블록 07~18시],$P31))</f>
        <v/>
      </c>
      <c r="L31">
        <f>IF($P31="","",INDEX(상세표[블록 18~22시],$P31))</f>
        <v/>
      </c>
      <c r="M31">
        <f>IF($P31="","",INDEX(상세표[블록 22~06시],$P31))</f>
        <v/>
      </c>
      <c r="N31">
        <f>IF($P31="","",INDEX(상세표[주말·휴일 포함],$P31)&amp;"")</f>
        <v/>
      </c>
      <c r="O31">
        <f>IF($P31="","",INDEX(상세표[월 넘김 포함],$P31)&amp;"")</f>
        <v/>
      </c>
      <c r="P31" s="4">
        <f>IFERROR(MATCH(26,상세표[연속순번],0),"")</f>
        <v/>
      </c>
    </row>
    <row r="32">
      <c r="A32">
        <f>IF($P32="","",INDEX(상세표[사번],$P32)&amp;"")</f>
        <v/>
      </c>
      <c r="B32">
        <f>IF($P32="","",INDEX(상세표[성명],$P32)&amp;"")</f>
        <v/>
      </c>
      <c r="C32">
        <f>IF($P32="","",INDEX(상세표[부서],$P32)&amp;"")</f>
        <v/>
      </c>
      <c r="D32">
        <f>IF($P32="","",INDEX(상세표[직위],$P32)&amp;"")</f>
        <v/>
      </c>
      <c r="E32">
        <f>IF($P32="","",IF(ISNUMBER(INDEX(상세표[시작],$P32)),TEXT(INDEX(상세표[시작],$P32),"yyyy-mm-dd hh:mm"),INDEX(상세표[시작],$P32)&amp;""))</f>
        <v/>
      </c>
      <c r="F32">
        <f>IF($P32="","",IF(ISNUMBER(INDEX(상세표[블록종료],$P32)),TEXT(INDEX(상세표[블록종료],$P32),"yyyy-mm-dd hh:mm"),INDEX(상세표[블록종료],$P32)&amp;""))</f>
        <v/>
      </c>
      <c r="G32">
        <f>IF($P32="","",CHOOSE(WEEKDAY(INDEX(상세표[시작],$P32)),"일","월","화","수","목","금","토"))</f>
        <v/>
      </c>
      <c r="H32">
        <f>IF($P32="","",INDEX(상세표[연속 시간],$P32))</f>
        <v/>
      </c>
      <c r="I32">
        <f>IF($P32="","",INDEX(상세표[기록 수],$P32))</f>
        <v/>
      </c>
      <c r="J32">
        <f>IF($P32="","",INDEX(상세표[블록 06~07시],$P32))</f>
        <v/>
      </c>
      <c r="K32">
        <f>IF($P32="","",INDEX(상세표[블록 07~18시],$P32))</f>
        <v/>
      </c>
      <c r="L32">
        <f>IF($P32="","",INDEX(상세표[블록 18~22시],$P32))</f>
        <v/>
      </c>
      <c r="M32">
        <f>IF($P32="","",INDEX(상세표[블록 22~06시],$P32))</f>
        <v/>
      </c>
      <c r="N32">
        <f>IF($P32="","",INDEX(상세표[주말·휴일 포함],$P32)&amp;"")</f>
        <v/>
      </c>
      <c r="O32">
        <f>IF($P32="","",INDEX(상세표[월 넘김 포함],$P32)&amp;"")</f>
        <v/>
      </c>
      <c r="P32" s="4">
        <f>IFERROR(MATCH(27,상세표[연속순번],0),"")</f>
        <v/>
      </c>
    </row>
    <row r="33">
      <c r="A33">
        <f>IF($P33="","",INDEX(상세표[사번],$P33)&amp;"")</f>
        <v/>
      </c>
      <c r="B33">
        <f>IF($P33="","",INDEX(상세표[성명],$P33)&amp;"")</f>
        <v/>
      </c>
      <c r="C33">
        <f>IF($P33="","",INDEX(상세표[부서],$P33)&amp;"")</f>
        <v/>
      </c>
      <c r="D33">
        <f>IF($P33="","",INDEX(상세표[직위],$P33)&amp;"")</f>
        <v/>
      </c>
      <c r="E33">
        <f>IF($P33="","",IF(ISNUMBER(INDEX(상세표[시작],$P33)),TEXT(INDEX(상세표[시작],$P33),"yyyy-mm-dd hh:mm"),INDEX(상세표[시작],$P33)&amp;""))</f>
        <v/>
      </c>
      <c r="F33">
        <f>IF($P33="","",IF(ISNUMBER(INDEX(상세표[블록종료],$P33)),TEXT(INDEX(상세표[블록종료],$P33),"yyyy-mm-dd hh:mm"),INDEX(상세표[블록종료],$P33)&amp;""))</f>
        <v/>
      </c>
      <c r="G33">
        <f>IF($P33="","",CHOOSE(WEEKDAY(INDEX(상세표[시작],$P33)),"일","월","화","수","목","금","토"))</f>
        <v/>
      </c>
      <c r="H33">
        <f>IF($P33="","",INDEX(상세표[연속 시간],$P33))</f>
        <v/>
      </c>
      <c r="I33">
        <f>IF($P33="","",INDEX(상세표[기록 수],$P33))</f>
        <v/>
      </c>
      <c r="J33">
        <f>IF($P33="","",INDEX(상세표[블록 06~07시],$P33))</f>
        <v/>
      </c>
      <c r="K33">
        <f>IF($P33="","",INDEX(상세표[블록 07~18시],$P33))</f>
        <v/>
      </c>
      <c r="L33">
        <f>IF($P33="","",INDEX(상세표[블록 18~22시],$P33))</f>
        <v/>
      </c>
      <c r="M33">
        <f>IF($P33="","",INDEX(상세표[블록 22~06시],$P33))</f>
        <v/>
      </c>
      <c r="N33">
        <f>IF($P33="","",INDEX(상세표[주말·휴일 포함],$P33)&amp;"")</f>
        <v/>
      </c>
      <c r="O33">
        <f>IF($P33="","",INDEX(상세표[월 넘김 포함],$P33)&amp;"")</f>
        <v/>
      </c>
      <c r="P33" s="4">
        <f>IFERROR(MATCH(28,상세표[연속순번],0),"")</f>
        <v/>
      </c>
    </row>
    <row r="34">
      <c r="A34">
        <f>IF($P34="","",INDEX(상세표[사번],$P34)&amp;"")</f>
        <v/>
      </c>
      <c r="B34">
        <f>IF($P34="","",INDEX(상세표[성명],$P34)&amp;"")</f>
        <v/>
      </c>
      <c r="C34">
        <f>IF($P34="","",INDEX(상세표[부서],$P34)&amp;"")</f>
        <v/>
      </c>
      <c r="D34">
        <f>IF($P34="","",INDEX(상세표[직위],$P34)&amp;"")</f>
        <v/>
      </c>
      <c r="E34">
        <f>IF($P34="","",IF(ISNUMBER(INDEX(상세표[시작],$P34)),TEXT(INDEX(상세표[시작],$P34),"yyyy-mm-dd hh:mm"),INDEX(상세표[시작],$P34)&amp;""))</f>
        <v/>
      </c>
      <c r="F34">
        <f>IF($P34="","",IF(ISNUMBER(INDEX(상세표[블록종료],$P34)),TEXT(INDEX(상세표[블록종료],$P34),"yyyy-mm-dd hh:mm"),INDEX(상세표[블록종료],$P34)&amp;""))</f>
        <v/>
      </c>
      <c r="G34">
        <f>IF($P34="","",CHOOSE(WEEKDAY(INDEX(상세표[시작],$P34)),"일","월","화","수","목","금","토"))</f>
        <v/>
      </c>
      <c r="H34">
        <f>IF($P34="","",INDEX(상세표[연속 시간],$P34))</f>
        <v/>
      </c>
      <c r="I34">
        <f>IF($P34="","",INDEX(상세표[기록 수],$P34))</f>
        <v/>
      </c>
      <c r="J34">
        <f>IF($P34="","",INDEX(상세표[블록 06~07시],$P34))</f>
        <v/>
      </c>
      <c r="K34">
        <f>IF($P34="","",INDEX(상세표[블록 07~18시],$P34))</f>
        <v/>
      </c>
      <c r="L34">
        <f>IF($P34="","",INDEX(상세표[블록 18~22시],$P34))</f>
        <v/>
      </c>
      <c r="M34">
        <f>IF($P34="","",INDEX(상세표[블록 22~06시],$P34))</f>
        <v/>
      </c>
      <c r="N34">
        <f>IF($P34="","",INDEX(상세표[주말·휴일 포함],$P34)&amp;"")</f>
        <v/>
      </c>
      <c r="O34">
        <f>IF($P34="","",INDEX(상세표[월 넘김 포함],$P34)&amp;"")</f>
        <v/>
      </c>
      <c r="P34" s="4">
        <f>IFERROR(MATCH(29,상세표[연속순번],0),"")</f>
        <v/>
      </c>
    </row>
    <row r="35">
      <c r="A35">
        <f>IF($P35="","",INDEX(상세표[사번],$P35)&amp;"")</f>
        <v/>
      </c>
      <c r="B35">
        <f>IF($P35="","",INDEX(상세표[성명],$P35)&amp;"")</f>
        <v/>
      </c>
      <c r="C35">
        <f>IF($P35="","",INDEX(상세표[부서],$P35)&amp;"")</f>
        <v/>
      </c>
      <c r="D35">
        <f>IF($P35="","",INDEX(상세표[직위],$P35)&amp;"")</f>
        <v/>
      </c>
      <c r="E35">
        <f>IF($P35="","",IF(ISNUMBER(INDEX(상세표[시작],$P35)),TEXT(INDEX(상세표[시작],$P35),"yyyy-mm-dd hh:mm"),INDEX(상세표[시작],$P35)&amp;""))</f>
        <v/>
      </c>
      <c r="F35">
        <f>IF($P35="","",IF(ISNUMBER(INDEX(상세표[블록종료],$P35)),TEXT(INDEX(상세표[블록종료],$P35),"yyyy-mm-dd hh:mm"),INDEX(상세표[블록종료],$P35)&amp;""))</f>
        <v/>
      </c>
      <c r="G35">
        <f>IF($P35="","",CHOOSE(WEEKDAY(INDEX(상세표[시작],$P35)),"일","월","화","수","목","금","토"))</f>
        <v/>
      </c>
      <c r="H35">
        <f>IF($P35="","",INDEX(상세표[연속 시간],$P35))</f>
        <v/>
      </c>
      <c r="I35">
        <f>IF($P35="","",INDEX(상세표[기록 수],$P35))</f>
        <v/>
      </c>
      <c r="J35">
        <f>IF($P35="","",INDEX(상세표[블록 06~07시],$P35))</f>
        <v/>
      </c>
      <c r="K35">
        <f>IF($P35="","",INDEX(상세표[블록 07~18시],$P35))</f>
        <v/>
      </c>
      <c r="L35">
        <f>IF($P35="","",INDEX(상세표[블록 18~22시],$P35))</f>
        <v/>
      </c>
      <c r="M35">
        <f>IF($P35="","",INDEX(상세표[블록 22~06시],$P35))</f>
        <v/>
      </c>
      <c r="N35">
        <f>IF($P35="","",INDEX(상세표[주말·휴일 포함],$P35)&amp;"")</f>
        <v/>
      </c>
      <c r="O35">
        <f>IF($P35="","",INDEX(상세표[월 넘김 포함],$P35)&amp;"")</f>
        <v/>
      </c>
      <c r="P35" s="4">
        <f>IFERROR(MATCH(30,상세표[연속순번],0),"")</f>
        <v/>
      </c>
    </row>
    <row r="36">
      <c r="A36">
        <f>IF($P36="","",INDEX(상세표[사번],$P36)&amp;"")</f>
        <v/>
      </c>
      <c r="B36">
        <f>IF($P36="","",INDEX(상세표[성명],$P36)&amp;"")</f>
        <v/>
      </c>
      <c r="C36">
        <f>IF($P36="","",INDEX(상세표[부서],$P36)&amp;"")</f>
        <v/>
      </c>
      <c r="D36">
        <f>IF($P36="","",INDEX(상세표[직위],$P36)&amp;"")</f>
        <v/>
      </c>
      <c r="E36">
        <f>IF($P36="","",IF(ISNUMBER(INDEX(상세표[시작],$P36)),TEXT(INDEX(상세표[시작],$P36),"yyyy-mm-dd hh:mm"),INDEX(상세표[시작],$P36)&amp;""))</f>
        <v/>
      </c>
      <c r="F36">
        <f>IF($P36="","",IF(ISNUMBER(INDEX(상세표[블록종료],$P36)),TEXT(INDEX(상세표[블록종료],$P36),"yyyy-mm-dd hh:mm"),INDEX(상세표[블록종료],$P36)&amp;""))</f>
        <v/>
      </c>
      <c r="G36">
        <f>IF($P36="","",CHOOSE(WEEKDAY(INDEX(상세표[시작],$P36)),"일","월","화","수","목","금","토"))</f>
        <v/>
      </c>
      <c r="H36">
        <f>IF($P36="","",INDEX(상세표[연속 시간],$P36))</f>
        <v/>
      </c>
      <c r="I36">
        <f>IF($P36="","",INDEX(상세표[기록 수],$P36))</f>
        <v/>
      </c>
      <c r="J36">
        <f>IF($P36="","",INDEX(상세표[블록 06~07시],$P36))</f>
        <v/>
      </c>
      <c r="K36">
        <f>IF($P36="","",INDEX(상세표[블록 07~18시],$P36))</f>
        <v/>
      </c>
      <c r="L36">
        <f>IF($P36="","",INDEX(상세표[블록 18~22시],$P36))</f>
        <v/>
      </c>
      <c r="M36">
        <f>IF($P36="","",INDEX(상세표[블록 22~06시],$P36))</f>
        <v/>
      </c>
      <c r="N36">
        <f>IF($P36="","",INDEX(상세표[주말·휴일 포함],$P36)&amp;"")</f>
        <v/>
      </c>
      <c r="O36">
        <f>IF($P36="","",INDEX(상세표[월 넘김 포함],$P36)&amp;"")</f>
        <v/>
      </c>
      <c r="P36" s="4">
        <f>IFERROR(MATCH(31,상세표[연속순번],0),"")</f>
        <v/>
      </c>
    </row>
    <row r="37">
      <c r="A37">
        <f>IF($P37="","",INDEX(상세표[사번],$P37)&amp;"")</f>
        <v/>
      </c>
      <c r="B37">
        <f>IF($P37="","",INDEX(상세표[성명],$P37)&amp;"")</f>
        <v/>
      </c>
      <c r="C37">
        <f>IF($P37="","",INDEX(상세표[부서],$P37)&amp;"")</f>
        <v/>
      </c>
      <c r="D37">
        <f>IF($P37="","",INDEX(상세표[직위],$P37)&amp;"")</f>
        <v/>
      </c>
      <c r="E37">
        <f>IF($P37="","",IF(ISNUMBER(INDEX(상세표[시작],$P37)),TEXT(INDEX(상세표[시작],$P37),"yyyy-mm-dd hh:mm"),INDEX(상세표[시작],$P37)&amp;""))</f>
        <v/>
      </c>
      <c r="F37">
        <f>IF($P37="","",IF(ISNUMBER(INDEX(상세표[블록종료],$P37)),TEXT(INDEX(상세표[블록종료],$P37),"yyyy-mm-dd hh:mm"),INDEX(상세표[블록종료],$P37)&amp;""))</f>
        <v/>
      </c>
      <c r="G37">
        <f>IF($P37="","",CHOOSE(WEEKDAY(INDEX(상세표[시작],$P37)),"일","월","화","수","목","금","토"))</f>
        <v/>
      </c>
      <c r="H37">
        <f>IF($P37="","",INDEX(상세표[연속 시간],$P37))</f>
        <v/>
      </c>
      <c r="I37">
        <f>IF($P37="","",INDEX(상세표[기록 수],$P37))</f>
        <v/>
      </c>
      <c r="J37">
        <f>IF($P37="","",INDEX(상세표[블록 06~07시],$P37))</f>
        <v/>
      </c>
      <c r="K37">
        <f>IF($P37="","",INDEX(상세표[블록 07~18시],$P37))</f>
        <v/>
      </c>
      <c r="L37">
        <f>IF($P37="","",INDEX(상세표[블록 18~22시],$P37))</f>
        <v/>
      </c>
      <c r="M37">
        <f>IF($P37="","",INDEX(상세표[블록 22~06시],$P37))</f>
        <v/>
      </c>
      <c r="N37">
        <f>IF($P37="","",INDEX(상세표[주말·휴일 포함],$P37)&amp;"")</f>
        <v/>
      </c>
      <c r="O37">
        <f>IF($P37="","",INDEX(상세표[월 넘김 포함],$P37)&amp;"")</f>
        <v/>
      </c>
      <c r="P37" s="4">
        <f>IFERROR(MATCH(32,상세표[연속순번],0),"")</f>
        <v/>
      </c>
    </row>
    <row r="38">
      <c r="A38">
        <f>IF($P38="","",INDEX(상세표[사번],$P38)&amp;"")</f>
        <v/>
      </c>
      <c r="B38">
        <f>IF($P38="","",INDEX(상세표[성명],$P38)&amp;"")</f>
        <v/>
      </c>
      <c r="C38">
        <f>IF($P38="","",INDEX(상세표[부서],$P38)&amp;"")</f>
        <v/>
      </c>
      <c r="D38">
        <f>IF($P38="","",INDEX(상세표[직위],$P38)&amp;"")</f>
        <v/>
      </c>
      <c r="E38">
        <f>IF($P38="","",IF(ISNUMBER(INDEX(상세표[시작],$P38)),TEXT(INDEX(상세표[시작],$P38),"yyyy-mm-dd hh:mm"),INDEX(상세표[시작],$P38)&amp;""))</f>
        <v/>
      </c>
      <c r="F38">
        <f>IF($P38="","",IF(ISNUMBER(INDEX(상세표[블록종료],$P38)),TEXT(INDEX(상세표[블록종료],$P38),"yyyy-mm-dd hh:mm"),INDEX(상세표[블록종료],$P38)&amp;""))</f>
        <v/>
      </c>
      <c r="G38">
        <f>IF($P38="","",CHOOSE(WEEKDAY(INDEX(상세표[시작],$P38)),"일","월","화","수","목","금","토"))</f>
        <v/>
      </c>
      <c r="H38">
        <f>IF($P38="","",INDEX(상세표[연속 시간],$P38))</f>
        <v/>
      </c>
      <c r="I38">
        <f>IF($P38="","",INDEX(상세표[기록 수],$P38))</f>
        <v/>
      </c>
      <c r="J38">
        <f>IF($P38="","",INDEX(상세표[블록 06~07시],$P38))</f>
        <v/>
      </c>
      <c r="K38">
        <f>IF($P38="","",INDEX(상세표[블록 07~18시],$P38))</f>
        <v/>
      </c>
      <c r="L38">
        <f>IF($P38="","",INDEX(상세표[블록 18~22시],$P38))</f>
        <v/>
      </c>
      <c r="M38">
        <f>IF($P38="","",INDEX(상세표[블록 22~06시],$P38))</f>
        <v/>
      </c>
      <c r="N38">
        <f>IF($P38="","",INDEX(상세표[주말·휴일 포함],$P38)&amp;"")</f>
        <v/>
      </c>
      <c r="O38">
        <f>IF($P38="","",INDEX(상세표[월 넘김 포함],$P38)&amp;"")</f>
        <v/>
      </c>
      <c r="P38" s="4">
        <f>IFERROR(MATCH(33,상세표[연속순번],0),"")</f>
        <v/>
      </c>
    </row>
    <row r="39">
      <c r="A39">
        <f>IF($P39="","",INDEX(상세표[사번],$P39)&amp;"")</f>
        <v/>
      </c>
      <c r="B39">
        <f>IF($P39="","",INDEX(상세표[성명],$P39)&amp;"")</f>
        <v/>
      </c>
      <c r="C39">
        <f>IF($P39="","",INDEX(상세표[부서],$P39)&amp;"")</f>
        <v/>
      </c>
      <c r="D39">
        <f>IF($P39="","",INDEX(상세표[직위],$P39)&amp;"")</f>
        <v/>
      </c>
      <c r="E39">
        <f>IF($P39="","",IF(ISNUMBER(INDEX(상세표[시작],$P39)),TEXT(INDEX(상세표[시작],$P39),"yyyy-mm-dd hh:mm"),INDEX(상세표[시작],$P39)&amp;""))</f>
        <v/>
      </c>
      <c r="F39">
        <f>IF($P39="","",IF(ISNUMBER(INDEX(상세표[블록종료],$P39)),TEXT(INDEX(상세표[블록종료],$P39),"yyyy-mm-dd hh:mm"),INDEX(상세표[블록종료],$P39)&amp;""))</f>
        <v/>
      </c>
      <c r="G39">
        <f>IF($P39="","",CHOOSE(WEEKDAY(INDEX(상세표[시작],$P39)),"일","월","화","수","목","금","토"))</f>
        <v/>
      </c>
      <c r="H39">
        <f>IF($P39="","",INDEX(상세표[연속 시간],$P39))</f>
        <v/>
      </c>
      <c r="I39">
        <f>IF($P39="","",INDEX(상세표[기록 수],$P39))</f>
        <v/>
      </c>
      <c r="J39">
        <f>IF($P39="","",INDEX(상세표[블록 06~07시],$P39))</f>
        <v/>
      </c>
      <c r="K39">
        <f>IF($P39="","",INDEX(상세표[블록 07~18시],$P39))</f>
        <v/>
      </c>
      <c r="L39">
        <f>IF($P39="","",INDEX(상세표[블록 18~22시],$P39))</f>
        <v/>
      </c>
      <c r="M39">
        <f>IF($P39="","",INDEX(상세표[블록 22~06시],$P39))</f>
        <v/>
      </c>
      <c r="N39">
        <f>IF($P39="","",INDEX(상세표[주말·휴일 포함],$P39)&amp;"")</f>
        <v/>
      </c>
      <c r="O39">
        <f>IF($P39="","",INDEX(상세표[월 넘김 포함],$P39)&amp;"")</f>
        <v/>
      </c>
      <c r="P39" s="4">
        <f>IFERROR(MATCH(34,상세표[연속순번],0),"")</f>
        <v/>
      </c>
    </row>
    <row r="40">
      <c r="A40">
        <f>IF($P40="","",INDEX(상세표[사번],$P40)&amp;"")</f>
        <v/>
      </c>
      <c r="B40">
        <f>IF($P40="","",INDEX(상세표[성명],$P40)&amp;"")</f>
        <v/>
      </c>
      <c r="C40">
        <f>IF($P40="","",INDEX(상세표[부서],$P40)&amp;"")</f>
        <v/>
      </c>
      <c r="D40">
        <f>IF($P40="","",INDEX(상세표[직위],$P40)&amp;"")</f>
        <v/>
      </c>
      <c r="E40">
        <f>IF($P40="","",IF(ISNUMBER(INDEX(상세표[시작],$P40)),TEXT(INDEX(상세표[시작],$P40),"yyyy-mm-dd hh:mm"),INDEX(상세표[시작],$P40)&amp;""))</f>
        <v/>
      </c>
      <c r="F40">
        <f>IF($P40="","",IF(ISNUMBER(INDEX(상세표[블록종료],$P40)),TEXT(INDEX(상세표[블록종료],$P40),"yyyy-mm-dd hh:mm"),INDEX(상세표[블록종료],$P40)&amp;""))</f>
        <v/>
      </c>
      <c r="G40">
        <f>IF($P40="","",CHOOSE(WEEKDAY(INDEX(상세표[시작],$P40)),"일","월","화","수","목","금","토"))</f>
        <v/>
      </c>
      <c r="H40">
        <f>IF($P40="","",INDEX(상세표[연속 시간],$P40))</f>
        <v/>
      </c>
      <c r="I40">
        <f>IF($P40="","",INDEX(상세표[기록 수],$P40))</f>
        <v/>
      </c>
      <c r="J40">
        <f>IF($P40="","",INDEX(상세표[블록 06~07시],$P40))</f>
        <v/>
      </c>
      <c r="K40">
        <f>IF($P40="","",INDEX(상세표[블록 07~18시],$P40))</f>
        <v/>
      </c>
      <c r="L40">
        <f>IF($P40="","",INDEX(상세표[블록 18~22시],$P40))</f>
        <v/>
      </c>
      <c r="M40">
        <f>IF($P40="","",INDEX(상세표[블록 22~06시],$P40))</f>
        <v/>
      </c>
      <c r="N40">
        <f>IF($P40="","",INDEX(상세표[주말·휴일 포함],$P40)&amp;"")</f>
        <v/>
      </c>
      <c r="O40">
        <f>IF($P40="","",INDEX(상세표[월 넘김 포함],$P40)&amp;"")</f>
        <v/>
      </c>
      <c r="P40" s="4">
        <f>IFERROR(MATCH(35,상세표[연속순번],0),"")</f>
        <v/>
      </c>
    </row>
    <row r="41">
      <c r="A41">
        <f>IF($P41="","",INDEX(상세표[사번],$P41)&amp;"")</f>
        <v/>
      </c>
      <c r="B41">
        <f>IF($P41="","",INDEX(상세표[성명],$P41)&amp;"")</f>
        <v/>
      </c>
      <c r="C41">
        <f>IF($P41="","",INDEX(상세표[부서],$P41)&amp;"")</f>
        <v/>
      </c>
      <c r="D41">
        <f>IF($P41="","",INDEX(상세표[직위],$P41)&amp;"")</f>
        <v/>
      </c>
      <c r="E41">
        <f>IF($P41="","",IF(ISNUMBER(INDEX(상세표[시작],$P41)),TEXT(INDEX(상세표[시작],$P41),"yyyy-mm-dd hh:mm"),INDEX(상세표[시작],$P41)&amp;""))</f>
        <v/>
      </c>
      <c r="F41">
        <f>IF($P41="","",IF(ISNUMBER(INDEX(상세표[블록종료],$P41)),TEXT(INDEX(상세표[블록종료],$P41),"yyyy-mm-dd hh:mm"),INDEX(상세표[블록종료],$P41)&amp;""))</f>
        <v/>
      </c>
      <c r="G41">
        <f>IF($P41="","",CHOOSE(WEEKDAY(INDEX(상세표[시작],$P41)),"일","월","화","수","목","금","토"))</f>
        <v/>
      </c>
      <c r="H41">
        <f>IF($P41="","",INDEX(상세표[연속 시간],$P41))</f>
        <v/>
      </c>
      <c r="I41">
        <f>IF($P41="","",INDEX(상세표[기록 수],$P41))</f>
        <v/>
      </c>
      <c r="J41">
        <f>IF($P41="","",INDEX(상세표[블록 06~07시],$P41))</f>
        <v/>
      </c>
      <c r="K41">
        <f>IF($P41="","",INDEX(상세표[블록 07~18시],$P41))</f>
        <v/>
      </c>
      <c r="L41">
        <f>IF($P41="","",INDEX(상세표[블록 18~22시],$P41))</f>
        <v/>
      </c>
      <c r="M41">
        <f>IF($P41="","",INDEX(상세표[블록 22~06시],$P41))</f>
        <v/>
      </c>
      <c r="N41">
        <f>IF($P41="","",INDEX(상세표[주말·휴일 포함],$P41)&amp;"")</f>
        <v/>
      </c>
      <c r="O41">
        <f>IF($P41="","",INDEX(상세표[월 넘김 포함],$P41)&amp;"")</f>
        <v/>
      </c>
      <c r="P41" s="4">
        <f>IFERROR(MATCH(36,상세표[연속순번],0),"")</f>
        <v/>
      </c>
    </row>
    <row r="42">
      <c r="A42">
        <f>IF($P42="","",INDEX(상세표[사번],$P42)&amp;"")</f>
        <v/>
      </c>
      <c r="B42">
        <f>IF($P42="","",INDEX(상세표[성명],$P42)&amp;"")</f>
        <v/>
      </c>
      <c r="C42">
        <f>IF($P42="","",INDEX(상세표[부서],$P42)&amp;"")</f>
        <v/>
      </c>
      <c r="D42">
        <f>IF($P42="","",INDEX(상세표[직위],$P42)&amp;"")</f>
        <v/>
      </c>
      <c r="E42">
        <f>IF($P42="","",IF(ISNUMBER(INDEX(상세표[시작],$P42)),TEXT(INDEX(상세표[시작],$P42),"yyyy-mm-dd hh:mm"),INDEX(상세표[시작],$P42)&amp;""))</f>
        <v/>
      </c>
      <c r="F42">
        <f>IF($P42="","",IF(ISNUMBER(INDEX(상세표[블록종료],$P42)),TEXT(INDEX(상세표[블록종료],$P42),"yyyy-mm-dd hh:mm"),INDEX(상세표[블록종료],$P42)&amp;""))</f>
        <v/>
      </c>
      <c r="G42">
        <f>IF($P42="","",CHOOSE(WEEKDAY(INDEX(상세표[시작],$P42)),"일","월","화","수","목","금","토"))</f>
        <v/>
      </c>
      <c r="H42">
        <f>IF($P42="","",INDEX(상세표[연속 시간],$P42))</f>
        <v/>
      </c>
      <c r="I42">
        <f>IF($P42="","",INDEX(상세표[기록 수],$P42))</f>
        <v/>
      </c>
      <c r="J42">
        <f>IF($P42="","",INDEX(상세표[블록 06~07시],$P42))</f>
        <v/>
      </c>
      <c r="K42">
        <f>IF($P42="","",INDEX(상세표[블록 07~18시],$P42))</f>
        <v/>
      </c>
      <c r="L42">
        <f>IF($P42="","",INDEX(상세표[블록 18~22시],$P42))</f>
        <v/>
      </c>
      <c r="M42">
        <f>IF($P42="","",INDEX(상세표[블록 22~06시],$P42))</f>
        <v/>
      </c>
      <c r="N42">
        <f>IF($P42="","",INDEX(상세표[주말·휴일 포함],$P42)&amp;"")</f>
        <v/>
      </c>
      <c r="O42">
        <f>IF($P42="","",INDEX(상세표[월 넘김 포함],$P42)&amp;"")</f>
        <v/>
      </c>
      <c r="P42" s="4">
        <f>IFERROR(MATCH(37,상세표[연속순번],0),"")</f>
        <v/>
      </c>
    </row>
    <row r="43">
      <c r="A43">
        <f>IF($P43="","",INDEX(상세표[사번],$P43)&amp;"")</f>
        <v/>
      </c>
      <c r="B43">
        <f>IF($P43="","",INDEX(상세표[성명],$P43)&amp;"")</f>
        <v/>
      </c>
      <c r="C43">
        <f>IF($P43="","",INDEX(상세표[부서],$P43)&amp;"")</f>
        <v/>
      </c>
      <c r="D43">
        <f>IF($P43="","",INDEX(상세표[직위],$P43)&amp;"")</f>
        <v/>
      </c>
      <c r="E43">
        <f>IF($P43="","",IF(ISNUMBER(INDEX(상세표[시작],$P43)),TEXT(INDEX(상세표[시작],$P43),"yyyy-mm-dd hh:mm"),INDEX(상세표[시작],$P43)&amp;""))</f>
        <v/>
      </c>
      <c r="F43">
        <f>IF($P43="","",IF(ISNUMBER(INDEX(상세표[블록종료],$P43)),TEXT(INDEX(상세표[블록종료],$P43),"yyyy-mm-dd hh:mm"),INDEX(상세표[블록종료],$P43)&amp;""))</f>
        <v/>
      </c>
      <c r="G43">
        <f>IF($P43="","",CHOOSE(WEEKDAY(INDEX(상세표[시작],$P43)),"일","월","화","수","목","금","토"))</f>
        <v/>
      </c>
      <c r="H43">
        <f>IF($P43="","",INDEX(상세표[연속 시간],$P43))</f>
        <v/>
      </c>
      <c r="I43">
        <f>IF($P43="","",INDEX(상세표[기록 수],$P43))</f>
        <v/>
      </c>
      <c r="J43">
        <f>IF($P43="","",INDEX(상세표[블록 06~07시],$P43))</f>
        <v/>
      </c>
      <c r="K43">
        <f>IF($P43="","",INDEX(상세표[블록 07~18시],$P43))</f>
        <v/>
      </c>
      <c r="L43">
        <f>IF($P43="","",INDEX(상세표[블록 18~22시],$P43))</f>
        <v/>
      </c>
      <c r="M43">
        <f>IF($P43="","",INDEX(상세표[블록 22~06시],$P43))</f>
        <v/>
      </c>
      <c r="N43">
        <f>IF($P43="","",INDEX(상세표[주말·휴일 포함],$P43)&amp;"")</f>
        <v/>
      </c>
      <c r="O43">
        <f>IF($P43="","",INDEX(상세표[월 넘김 포함],$P43)&amp;"")</f>
        <v/>
      </c>
      <c r="P43" s="4">
        <f>IFERROR(MATCH(38,상세표[연속순번],0),"")</f>
        <v/>
      </c>
    </row>
    <row r="44">
      <c r="A44">
        <f>IF($P44="","",INDEX(상세표[사번],$P44)&amp;"")</f>
        <v/>
      </c>
      <c r="B44">
        <f>IF($P44="","",INDEX(상세표[성명],$P44)&amp;"")</f>
        <v/>
      </c>
      <c r="C44">
        <f>IF($P44="","",INDEX(상세표[부서],$P44)&amp;"")</f>
        <v/>
      </c>
      <c r="D44">
        <f>IF($P44="","",INDEX(상세표[직위],$P44)&amp;"")</f>
        <v/>
      </c>
      <c r="E44">
        <f>IF($P44="","",IF(ISNUMBER(INDEX(상세표[시작],$P44)),TEXT(INDEX(상세표[시작],$P44),"yyyy-mm-dd hh:mm"),INDEX(상세표[시작],$P44)&amp;""))</f>
        <v/>
      </c>
      <c r="F44">
        <f>IF($P44="","",IF(ISNUMBER(INDEX(상세표[블록종료],$P44)),TEXT(INDEX(상세표[블록종료],$P44),"yyyy-mm-dd hh:mm"),INDEX(상세표[블록종료],$P44)&amp;""))</f>
        <v/>
      </c>
      <c r="G44">
        <f>IF($P44="","",CHOOSE(WEEKDAY(INDEX(상세표[시작],$P44)),"일","월","화","수","목","금","토"))</f>
        <v/>
      </c>
      <c r="H44">
        <f>IF($P44="","",INDEX(상세표[연속 시간],$P44))</f>
        <v/>
      </c>
      <c r="I44">
        <f>IF($P44="","",INDEX(상세표[기록 수],$P44))</f>
        <v/>
      </c>
      <c r="J44">
        <f>IF($P44="","",INDEX(상세표[블록 06~07시],$P44))</f>
        <v/>
      </c>
      <c r="K44">
        <f>IF($P44="","",INDEX(상세표[블록 07~18시],$P44))</f>
        <v/>
      </c>
      <c r="L44">
        <f>IF($P44="","",INDEX(상세표[블록 18~22시],$P44))</f>
        <v/>
      </c>
      <c r="M44">
        <f>IF($P44="","",INDEX(상세표[블록 22~06시],$P44))</f>
        <v/>
      </c>
      <c r="N44">
        <f>IF($P44="","",INDEX(상세표[주말·휴일 포함],$P44)&amp;"")</f>
        <v/>
      </c>
      <c r="O44">
        <f>IF($P44="","",INDEX(상세표[월 넘김 포함],$P44)&amp;"")</f>
        <v/>
      </c>
      <c r="P44" s="4">
        <f>IFERROR(MATCH(39,상세표[연속순번],0),"")</f>
        <v/>
      </c>
    </row>
    <row r="45">
      <c r="A45">
        <f>IF($P45="","",INDEX(상세표[사번],$P45)&amp;"")</f>
        <v/>
      </c>
      <c r="B45">
        <f>IF($P45="","",INDEX(상세표[성명],$P45)&amp;"")</f>
        <v/>
      </c>
      <c r="C45">
        <f>IF($P45="","",INDEX(상세표[부서],$P45)&amp;"")</f>
        <v/>
      </c>
      <c r="D45">
        <f>IF($P45="","",INDEX(상세표[직위],$P45)&amp;"")</f>
        <v/>
      </c>
      <c r="E45">
        <f>IF($P45="","",IF(ISNUMBER(INDEX(상세표[시작],$P45)),TEXT(INDEX(상세표[시작],$P45),"yyyy-mm-dd hh:mm"),INDEX(상세표[시작],$P45)&amp;""))</f>
        <v/>
      </c>
      <c r="F45">
        <f>IF($P45="","",IF(ISNUMBER(INDEX(상세표[블록종료],$P45)),TEXT(INDEX(상세표[블록종료],$P45),"yyyy-mm-dd hh:mm"),INDEX(상세표[블록종료],$P45)&amp;""))</f>
        <v/>
      </c>
      <c r="G45">
        <f>IF($P45="","",CHOOSE(WEEKDAY(INDEX(상세표[시작],$P45)),"일","월","화","수","목","금","토"))</f>
        <v/>
      </c>
      <c r="H45">
        <f>IF($P45="","",INDEX(상세표[연속 시간],$P45))</f>
        <v/>
      </c>
      <c r="I45">
        <f>IF($P45="","",INDEX(상세표[기록 수],$P45))</f>
        <v/>
      </c>
      <c r="J45">
        <f>IF($P45="","",INDEX(상세표[블록 06~07시],$P45))</f>
        <v/>
      </c>
      <c r="K45">
        <f>IF($P45="","",INDEX(상세표[블록 07~18시],$P45))</f>
        <v/>
      </c>
      <c r="L45">
        <f>IF($P45="","",INDEX(상세표[블록 18~22시],$P45))</f>
        <v/>
      </c>
      <c r="M45">
        <f>IF($P45="","",INDEX(상세표[블록 22~06시],$P45))</f>
        <v/>
      </c>
      <c r="N45">
        <f>IF($P45="","",INDEX(상세표[주말·휴일 포함],$P45)&amp;"")</f>
        <v/>
      </c>
      <c r="O45">
        <f>IF($P45="","",INDEX(상세표[월 넘김 포함],$P45)&amp;"")</f>
        <v/>
      </c>
      <c r="P45" s="4">
        <f>IFERROR(MATCH(40,상세표[연속순번],0),"")</f>
        <v/>
      </c>
    </row>
    <row r="46">
      <c r="A46">
        <f>IF($P46="","",INDEX(상세표[사번],$P46)&amp;"")</f>
        <v/>
      </c>
      <c r="B46">
        <f>IF($P46="","",INDEX(상세표[성명],$P46)&amp;"")</f>
        <v/>
      </c>
      <c r="C46">
        <f>IF($P46="","",INDEX(상세표[부서],$P46)&amp;"")</f>
        <v/>
      </c>
      <c r="D46">
        <f>IF($P46="","",INDEX(상세표[직위],$P46)&amp;"")</f>
        <v/>
      </c>
      <c r="E46">
        <f>IF($P46="","",IF(ISNUMBER(INDEX(상세표[시작],$P46)),TEXT(INDEX(상세표[시작],$P46),"yyyy-mm-dd hh:mm"),INDEX(상세표[시작],$P46)&amp;""))</f>
        <v/>
      </c>
      <c r="F46">
        <f>IF($P46="","",IF(ISNUMBER(INDEX(상세표[블록종료],$P46)),TEXT(INDEX(상세표[블록종료],$P46),"yyyy-mm-dd hh:mm"),INDEX(상세표[블록종료],$P46)&amp;""))</f>
        <v/>
      </c>
      <c r="G46">
        <f>IF($P46="","",CHOOSE(WEEKDAY(INDEX(상세표[시작],$P46)),"일","월","화","수","목","금","토"))</f>
        <v/>
      </c>
      <c r="H46">
        <f>IF($P46="","",INDEX(상세표[연속 시간],$P46))</f>
        <v/>
      </c>
      <c r="I46">
        <f>IF($P46="","",INDEX(상세표[기록 수],$P46))</f>
        <v/>
      </c>
      <c r="J46">
        <f>IF($P46="","",INDEX(상세표[블록 06~07시],$P46))</f>
        <v/>
      </c>
      <c r="K46">
        <f>IF($P46="","",INDEX(상세표[블록 07~18시],$P46))</f>
        <v/>
      </c>
      <c r="L46">
        <f>IF($P46="","",INDEX(상세표[블록 18~22시],$P46))</f>
        <v/>
      </c>
      <c r="M46">
        <f>IF($P46="","",INDEX(상세표[블록 22~06시],$P46))</f>
        <v/>
      </c>
      <c r="N46">
        <f>IF($P46="","",INDEX(상세표[주말·휴일 포함],$P46)&amp;"")</f>
        <v/>
      </c>
      <c r="O46">
        <f>IF($P46="","",INDEX(상세표[월 넘김 포함],$P46)&amp;"")</f>
        <v/>
      </c>
      <c r="P46" s="4">
        <f>IFERROR(MATCH(41,상세표[연속순번],0),"")</f>
        <v/>
      </c>
    </row>
    <row r="47">
      <c r="A47">
        <f>IF($P47="","",INDEX(상세표[사번],$P47)&amp;"")</f>
        <v/>
      </c>
      <c r="B47">
        <f>IF($P47="","",INDEX(상세표[성명],$P47)&amp;"")</f>
        <v/>
      </c>
      <c r="C47">
        <f>IF($P47="","",INDEX(상세표[부서],$P47)&amp;"")</f>
        <v/>
      </c>
      <c r="D47">
        <f>IF($P47="","",INDEX(상세표[직위],$P47)&amp;"")</f>
        <v/>
      </c>
      <c r="E47">
        <f>IF($P47="","",IF(ISNUMBER(INDEX(상세표[시작],$P47)),TEXT(INDEX(상세표[시작],$P47),"yyyy-mm-dd hh:mm"),INDEX(상세표[시작],$P47)&amp;""))</f>
        <v/>
      </c>
      <c r="F47">
        <f>IF($P47="","",IF(ISNUMBER(INDEX(상세표[블록종료],$P47)),TEXT(INDEX(상세표[블록종료],$P47),"yyyy-mm-dd hh:mm"),INDEX(상세표[블록종료],$P47)&amp;""))</f>
        <v/>
      </c>
      <c r="G47">
        <f>IF($P47="","",CHOOSE(WEEKDAY(INDEX(상세표[시작],$P47)),"일","월","화","수","목","금","토"))</f>
        <v/>
      </c>
      <c r="H47">
        <f>IF($P47="","",INDEX(상세표[연속 시간],$P47))</f>
        <v/>
      </c>
      <c r="I47">
        <f>IF($P47="","",INDEX(상세표[기록 수],$P47))</f>
        <v/>
      </c>
      <c r="J47">
        <f>IF($P47="","",INDEX(상세표[블록 06~07시],$P47))</f>
        <v/>
      </c>
      <c r="K47">
        <f>IF($P47="","",INDEX(상세표[블록 07~18시],$P47))</f>
        <v/>
      </c>
      <c r="L47">
        <f>IF($P47="","",INDEX(상세표[블록 18~22시],$P47))</f>
        <v/>
      </c>
      <c r="M47">
        <f>IF($P47="","",INDEX(상세표[블록 22~06시],$P47))</f>
        <v/>
      </c>
      <c r="N47">
        <f>IF($P47="","",INDEX(상세표[주말·휴일 포함],$P47)&amp;"")</f>
        <v/>
      </c>
      <c r="O47">
        <f>IF($P47="","",INDEX(상세표[월 넘김 포함],$P47)&amp;"")</f>
        <v/>
      </c>
      <c r="P47" s="4">
        <f>IFERROR(MATCH(42,상세표[연속순번],0),"")</f>
        <v/>
      </c>
    </row>
    <row r="48">
      <c r="A48">
        <f>IF($P48="","",INDEX(상세표[사번],$P48)&amp;"")</f>
        <v/>
      </c>
      <c r="B48">
        <f>IF($P48="","",INDEX(상세표[성명],$P48)&amp;"")</f>
        <v/>
      </c>
      <c r="C48">
        <f>IF($P48="","",INDEX(상세표[부서],$P48)&amp;"")</f>
        <v/>
      </c>
      <c r="D48">
        <f>IF($P48="","",INDEX(상세표[직위],$P48)&amp;"")</f>
        <v/>
      </c>
      <c r="E48">
        <f>IF($P48="","",IF(ISNUMBER(INDEX(상세표[시작],$P48)),TEXT(INDEX(상세표[시작],$P48),"yyyy-mm-dd hh:mm"),INDEX(상세표[시작],$P48)&amp;""))</f>
        <v/>
      </c>
      <c r="F48">
        <f>IF($P48="","",IF(ISNUMBER(INDEX(상세표[블록종료],$P48)),TEXT(INDEX(상세표[블록종료],$P48),"yyyy-mm-dd hh:mm"),INDEX(상세표[블록종료],$P48)&amp;""))</f>
        <v/>
      </c>
      <c r="G48">
        <f>IF($P48="","",CHOOSE(WEEKDAY(INDEX(상세표[시작],$P48)),"일","월","화","수","목","금","토"))</f>
        <v/>
      </c>
      <c r="H48">
        <f>IF($P48="","",INDEX(상세표[연속 시간],$P48))</f>
        <v/>
      </c>
      <c r="I48">
        <f>IF($P48="","",INDEX(상세표[기록 수],$P48))</f>
        <v/>
      </c>
      <c r="J48">
        <f>IF($P48="","",INDEX(상세표[블록 06~07시],$P48))</f>
        <v/>
      </c>
      <c r="K48">
        <f>IF($P48="","",INDEX(상세표[블록 07~18시],$P48))</f>
        <v/>
      </c>
      <c r="L48">
        <f>IF($P48="","",INDEX(상세표[블록 18~22시],$P48))</f>
        <v/>
      </c>
      <c r="M48">
        <f>IF($P48="","",INDEX(상세표[블록 22~06시],$P48))</f>
        <v/>
      </c>
      <c r="N48">
        <f>IF($P48="","",INDEX(상세표[주말·휴일 포함],$P48)&amp;"")</f>
        <v/>
      </c>
      <c r="O48">
        <f>IF($P48="","",INDEX(상세표[월 넘김 포함],$P48)&amp;"")</f>
        <v/>
      </c>
      <c r="P48" s="4">
        <f>IFERROR(MATCH(43,상세표[연속순번],0),"")</f>
        <v/>
      </c>
    </row>
    <row r="49">
      <c r="A49">
        <f>IF($P49="","",INDEX(상세표[사번],$P49)&amp;"")</f>
        <v/>
      </c>
      <c r="B49">
        <f>IF($P49="","",INDEX(상세표[성명],$P49)&amp;"")</f>
        <v/>
      </c>
      <c r="C49">
        <f>IF($P49="","",INDEX(상세표[부서],$P49)&amp;"")</f>
        <v/>
      </c>
      <c r="D49">
        <f>IF($P49="","",INDEX(상세표[직위],$P49)&amp;"")</f>
        <v/>
      </c>
      <c r="E49">
        <f>IF($P49="","",IF(ISNUMBER(INDEX(상세표[시작],$P49)),TEXT(INDEX(상세표[시작],$P49),"yyyy-mm-dd hh:mm"),INDEX(상세표[시작],$P49)&amp;""))</f>
        <v/>
      </c>
      <c r="F49">
        <f>IF($P49="","",IF(ISNUMBER(INDEX(상세표[블록종료],$P49)),TEXT(INDEX(상세표[블록종료],$P49),"yyyy-mm-dd hh:mm"),INDEX(상세표[블록종료],$P49)&amp;""))</f>
        <v/>
      </c>
      <c r="G49">
        <f>IF($P49="","",CHOOSE(WEEKDAY(INDEX(상세표[시작],$P49)),"일","월","화","수","목","금","토"))</f>
        <v/>
      </c>
      <c r="H49">
        <f>IF($P49="","",INDEX(상세표[연속 시간],$P49))</f>
        <v/>
      </c>
      <c r="I49">
        <f>IF($P49="","",INDEX(상세표[기록 수],$P49))</f>
        <v/>
      </c>
      <c r="J49">
        <f>IF($P49="","",INDEX(상세표[블록 06~07시],$P49))</f>
        <v/>
      </c>
      <c r="K49">
        <f>IF($P49="","",INDEX(상세표[블록 07~18시],$P49))</f>
        <v/>
      </c>
      <c r="L49">
        <f>IF($P49="","",INDEX(상세표[블록 18~22시],$P49))</f>
        <v/>
      </c>
      <c r="M49">
        <f>IF($P49="","",INDEX(상세표[블록 22~06시],$P49))</f>
        <v/>
      </c>
      <c r="N49">
        <f>IF($P49="","",INDEX(상세표[주말·휴일 포함],$P49)&amp;"")</f>
        <v/>
      </c>
      <c r="O49">
        <f>IF($P49="","",INDEX(상세표[월 넘김 포함],$P49)&amp;"")</f>
        <v/>
      </c>
      <c r="P49" s="4">
        <f>IFERROR(MATCH(44,상세표[연속순번],0),"")</f>
        <v/>
      </c>
    </row>
    <row r="50">
      <c r="A50">
        <f>IF($P50="","",INDEX(상세표[사번],$P50)&amp;"")</f>
        <v/>
      </c>
      <c r="B50">
        <f>IF($P50="","",INDEX(상세표[성명],$P50)&amp;"")</f>
        <v/>
      </c>
      <c r="C50">
        <f>IF($P50="","",INDEX(상세표[부서],$P50)&amp;"")</f>
        <v/>
      </c>
      <c r="D50">
        <f>IF($P50="","",INDEX(상세표[직위],$P50)&amp;"")</f>
        <v/>
      </c>
      <c r="E50">
        <f>IF($P50="","",IF(ISNUMBER(INDEX(상세표[시작],$P50)),TEXT(INDEX(상세표[시작],$P50),"yyyy-mm-dd hh:mm"),INDEX(상세표[시작],$P50)&amp;""))</f>
        <v/>
      </c>
      <c r="F50">
        <f>IF($P50="","",IF(ISNUMBER(INDEX(상세표[블록종료],$P50)),TEXT(INDEX(상세표[블록종료],$P50),"yyyy-mm-dd hh:mm"),INDEX(상세표[블록종료],$P50)&amp;""))</f>
        <v/>
      </c>
      <c r="G50">
        <f>IF($P50="","",CHOOSE(WEEKDAY(INDEX(상세표[시작],$P50)),"일","월","화","수","목","금","토"))</f>
        <v/>
      </c>
      <c r="H50">
        <f>IF($P50="","",INDEX(상세표[연속 시간],$P50))</f>
        <v/>
      </c>
      <c r="I50">
        <f>IF($P50="","",INDEX(상세표[기록 수],$P50))</f>
        <v/>
      </c>
      <c r="J50">
        <f>IF($P50="","",INDEX(상세표[블록 06~07시],$P50))</f>
        <v/>
      </c>
      <c r="K50">
        <f>IF($P50="","",INDEX(상세표[블록 07~18시],$P50))</f>
        <v/>
      </c>
      <c r="L50">
        <f>IF($P50="","",INDEX(상세표[블록 18~22시],$P50))</f>
        <v/>
      </c>
      <c r="M50">
        <f>IF($P50="","",INDEX(상세표[블록 22~06시],$P50))</f>
        <v/>
      </c>
      <c r="N50">
        <f>IF($P50="","",INDEX(상세표[주말·휴일 포함],$P50)&amp;"")</f>
        <v/>
      </c>
      <c r="O50">
        <f>IF($P50="","",INDEX(상세표[월 넘김 포함],$P50)&amp;"")</f>
        <v/>
      </c>
      <c r="P50" s="4">
        <f>IFERROR(MATCH(45,상세표[연속순번],0),"")</f>
        <v/>
      </c>
    </row>
    <row r="51">
      <c r="A51">
        <f>IF($P51="","",INDEX(상세표[사번],$P51)&amp;"")</f>
        <v/>
      </c>
      <c r="B51">
        <f>IF($P51="","",INDEX(상세표[성명],$P51)&amp;"")</f>
        <v/>
      </c>
      <c r="C51">
        <f>IF($P51="","",INDEX(상세표[부서],$P51)&amp;"")</f>
        <v/>
      </c>
      <c r="D51">
        <f>IF($P51="","",INDEX(상세표[직위],$P51)&amp;"")</f>
        <v/>
      </c>
      <c r="E51">
        <f>IF($P51="","",IF(ISNUMBER(INDEX(상세표[시작],$P51)),TEXT(INDEX(상세표[시작],$P51),"yyyy-mm-dd hh:mm"),INDEX(상세표[시작],$P51)&amp;""))</f>
        <v/>
      </c>
      <c r="F51">
        <f>IF($P51="","",IF(ISNUMBER(INDEX(상세표[블록종료],$P51)),TEXT(INDEX(상세표[블록종료],$P51),"yyyy-mm-dd hh:mm"),INDEX(상세표[블록종료],$P51)&amp;""))</f>
        <v/>
      </c>
      <c r="G51">
        <f>IF($P51="","",CHOOSE(WEEKDAY(INDEX(상세표[시작],$P51)),"일","월","화","수","목","금","토"))</f>
        <v/>
      </c>
      <c r="H51">
        <f>IF($P51="","",INDEX(상세표[연속 시간],$P51))</f>
        <v/>
      </c>
      <c r="I51">
        <f>IF($P51="","",INDEX(상세표[기록 수],$P51))</f>
        <v/>
      </c>
      <c r="J51">
        <f>IF($P51="","",INDEX(상세표[블록 06~07시],$P51))</f>
        <v/>
      </c>
      <c r="K51">
        <f>IF($P51="","",INDEX(상세표[블록 07~18시],$P51))</f>
        <v/>
      </c>
      <c r="L51">
        <f>IF($P51="","",INDEX(상세표[블록 18~22시],$P51))</f>
        <v/>
      </c>
      <c r="M51">
        <f>IF($P51="","",INDEX(상세표[블록 22~06시],$P51))</f>
        <v/>
      </c>
      <c r="N51">
        <f>IF($P51="","",INDEX(상세표[주말·휴일 포함],$P51)&amp;"")</f>
        <v/>
      </c>
      <c r="O51">
        <f>IF($P51="","",INDEX(상세표[월 넘김 포함],$P51)&amp;"")</f>
        <v/>
      </c>
      <c r="P51" s="4">
        <f>IFERROR(MATCH(46,상세표[연속순번],0),"")</f>
        <v/>
      </c>
    </row>
    <row r="52">
      <c r="A52">
        <f>IF($P52="","",INDEX(상세표[사번],$P52)&amp;"")</f>
        <v/>
      </c>
      <c r="B52">
        <f>IF($P52="","",INDEX(상세표[성명],$P52)&amp;"")</f>
        <v/>
      </c>
      <c r="C52">
        <f>IF($P52="","",INDEX(상세표[부서],$P52)&amp;"")</f>
        <v/>
      </c>
      <c r="D52">
        <f>IF($P52="","",INDEX(상세표[직위],$P52)&amp;"")</f>
        <v/>
      </c>
      <c r="E52">
        <f>IF($P52="","",IF(ISNUMBER(INDEX(상세표[시작],$P52)),TEXT(INDEX(상세표[시작],$P52),"yyyy-mm-dd hh:mm"),INDEX(상세표[시작],$P52)&amp;""))</f>
        <v/>
      </c>
      <c r="F52">
        <f>IF($P52="","",IF(ISNUMBER(INDEX(상세표[블록종료],$P52)),TEXT(INDEX(상세표[블록종료],$P52),"yyyy-mm-dd hh:mm"),INDEX(상세표[블록종료],$P52)&amp;""))</f>
        <v/>
      </c>
      <c r="G52">
        <f>IF($P52="","",CHOOSE(WEEKDAY(INDEX(상세표[시작],$P52)),"일","월","화","수","목","금","토"))</f>
        <v/>
      </c>
      <c r="H52">
        <f>IF($P52="","",INDEX(상세표[연속 시간],$P52))</f>
        <v/>
      </c>
      <c r="I52">
        <f>IF($P52="","",INDEX(상세표[기록 수],$P52))</f>
        <v/>
      </c>
      <c r="J52">
        <f>IF($P52="","",INDEX(상세표[블록 06~07시],$P52))</f>
        <v/>
      </c>
      <c r="K52">
        <f>IF($P52="","",INDEX(상세표[블록 07~18시],$P52))</f>
        <v/>
      </c>
      <c r="L52">
        <f>IF($P52="","",INDEX(상세표[블록 18~22시],$P52))</f>
        <v/>
      </c>
      <c r="M52">
        <f>IF($P52="","",INDEX(상세표[블록 22~06시],$P52))</f>
        <v/>
      </c>
      <c r="N52">
        <f>IF($P52="","",INDEX(상세표[주말·휴일 포함],$P52)&amp;"")</f>
        <v/>
      </c>
      <c r="O52">
        <f>IF($P52="","",INDEX(상세표[월 넘김 포함],$P52)&amp;"")</f>
        <v/>
      </c>
      <c r="P52" s="4">
        <f>IFERROR(MATCH(47,상세표[연속순번],0),"")</f>
        <v/>
      </c>
    </row>
    <row r="53">
      <c r="A53">
        <f>IF($P53="","",INDEX(상세표[사번],$P53)&amp;"")</f>
        <v/>
      </c>
      <c r="B53">
        <f>IF($P53="","",INDEX(상세표[성명],$P53)&amp;"")</f>
        <v/>
      </c>
      <c r="C53">
        <f>IF($P53="","",INDEX(상세표[부서],$P53)&amp;"")</f>
        <v/>
      </c>
      <c r="D53">
        <f>IF($P53="","",INDEX(상세표[직위],$P53)&amp;"")</f>
        <v/>
      </c>
      <c r="E53">
        <f>IF($P53="","",IF(ISNUMBER(INDEX(상세표[시작],$P53)),TEXT(INDEX(상세표[시작],$P53),"yyyy-mm-dd hh:mm"),INDEX(상세표[시작],$P53)&amp;""))</f>
        <v/>
      </c>
      <c r="F53">
        <f>IF($P53="","",IF(ISNUMBER(INDEX(상세표[블록종료],$P53)),TEXT(INDEX(상세표[블록종료],$P53),"yyyy-mm-dd hh:mm"),INDEX(상세표[블록종료],$P53)&amp;""))</f>
        <v/>
      </c>
      <c r="G53">
        <f>IF($P53="","",CHOOSE(WEEKDAY(INDEX(상세표[시작],$P53)),"일","월","화","수","목","금","토"))</f>
        <v/>
      </c>
      <c r="H53">
        <f>IF($P53="","",INDEX(상세표[연속 시간],$P53))</f>
        <v/>
      </c>
      <c r="I53">
        <f>IF($P53="","",INDEX(상세표[기록 수],$P53))</f>
        <v/>
      </c>
      <c r="J53">
        <f>IF($P53="","",INDEX(상세표[블록 06~07시],$P53))</f>
        <v/>
      </c>
      <c r="K53">
        <f>IF($P53="","",INDEX(상세표[블록 07~18시],$P53))</f>
        <v/>
      </c>
      <c r="L53">
        <f>IF($P53="","",INDEX(상세표[블록 18~22시],$P53))</f>
        <v/>
      </c>
      <c r="M53">
        <f>IF($P53="","",INDEX(상세표[블록 22~06시],$P53))</f>
        <v/>
      </c>
      <c r="N53">
        <f>IF($P53="","",INDEX(상세표[주말·휴일 포함],$P53)&amp;"")</f>
        <v/>
      </c>
      <c r="O53">
        <f>IF($P53="","",INDEX(상세표[월 넘김 포함],$P53)&amp;"")</f>
        <v/>
      </c>
      <c r="P53" s="4">
        <f>IFERROR(MATCH(48,상세표[연속순번],0),"")</f>
        <v/>
      </c>
    </row>
    <row r="54">
      <c r="A54">
        <f>IF($P54="","",INDEX(상세표[사번],$P54)&amp;"")</f>
        <v/>
      </c>
      <c r="B54">
        <f>IF($P54="","",INDEX(상세표[성명],$P54)&amp;"")</f>
        <v/>
      </c>
      <c r="C54">
        <f>IF($P54="","",INDEX(상세표[부서],$P54)&amp;"")</f>
        <v/>
      </c>
      <c r="D54">
        <f>IF($P54="","",INDEX(상세표[직위],$P54)&amp;"")</f>
        <v/>
      </c>
      <c r="E54">
        <f>IF($P54="","",IF(ISNUMBER(INDEX(상세표[시작],$P54)),TEXT(INDEX(상세표[시작],$P54),"yyyy-mm-dd hh:mm"),INDEX(상세표[시작],$P54)&amp;""))</f>
        <v/>
      </c>
      <c r="F54">
        <f>IF($P54="","",IF(ISNUMBER(INDEX(상세표[블록종료],$P54)),TEXT(INDEX(상세표[블록종료],$P54),"yyyy-mm-dd hh:mm"),INDEX(상세표[블록종료],$P54)&amp;""))</f>
        <v/>
      </c>
      <c r="G54">
        <f>IF($P54="","",CHOOSE(WEEKDAY(INDEX(상세표[시작],$P54)),"일","월","화","수","목","금","토"))</f>
        <v/>
      </c>
      <c r="H54">
        <f>IF($P54="","",INDEX(상세표[연속 시간],$P54))</f>
        <v/>
      </c>
      <c r="I54">
        <f>IF($P54="","",INDEX(상세표[기록 수],$P54))</f>
        <v/>
      </c>
      <c r="J54">
        <f>IF($P54="","",INDEX(상세표[블록 06~07시],$P54))</f>
        <v/>
      </c>
      <c r="K54">
        <f>IF($P54="","",INDEX(상세표[블록 07~18시],$P54))</f>
        <v/>
      </c>
      <c r="L54">
        <f>IF($P54="","",INDEX(상세표[블록 18~22시],$P54))</f>
        <v/>
      </c>
      <c r="M54">
        <f>IF($P54="","",INDEX(상세표[블록 22~06시],$P54))</f>
        <v/>
      </c>
      <c r="N54">
        <f>IF($P54="","",INDEX(상세표[주말·휴일 포함],$P54)&amp;"")</f>
        <v/>
      </c>
      <c r="O54">
        <f>IF($P54="","",INDEX(상세표[월 넘김 포함],$P54)&amp;"")</f>
        <v/>
      </c>
      <c r="P54" s="4">
        <f>IFERROR(MATCH(49,상세표[연속순번],0),"")</f>
        <v/>
      </c>
    </row>
    <row r="55">
      <c r="A55">
        <f>IF($P55="","",INDEX(상세표[사번],$P55)&amp;"")</f>
        <v/>
      </c>
      <c r="B55">
        <f>IF($P55="","",INDEX(상세표[성명],$P55)&amp;"")</f>
        <v/>
      </c>
      <c r="C55">
        <f>IF($P55="","",INDEX(상세표[부서],$P55)&amp;"")</f>
        <v/>
      </c>
      <c r="D55">
        <f>IF($P55="","",INDEX(상세표[직위],$P55)&amp;"")</f>
        <v/>
      </c>
      <c r="E55">
        <f>IF($P55="","",IF(ISNUMBER(INDEX(상세표[시작],$P55)),TEXT(INDEX(상세표[시작],$P55),"yyyy-mm-dd hh:mm"),INDEX(상세표[시작],$P55)&amp;""))</f>
        <v/>
      </c>
      <c r="F55">
        <f>IF($P55="","",IF(ISNUMBER(INDEX(상세표[블록종료],$P55)),TEXT(INDEX(상세표[블록종료],$P55),"yyyy-mm-dd hh:mm"),INDEX(상세표[블록종료],$P55)&amp;""))</f>
        <v/>
      </c>
      <c r="G55">
        <f>IF($P55="","",CHOOSE(WEEKDAY(INDEX(상세표[시작],$P55)),"일","월","화","수","목","금","토"))</f>
        <v/>
      </c>
      <c r="H55">
        <f>IF($P55="","",INDEX(상세표[연속 시간],$P55))</f>
        <v/>
      </c>
      <c r="I55">
        <f>IF($P55="","",INDEX(상세표[기록 수],$P55))</f>
        <v/>
      </c>
      <c r="J55">
        <f>IF($P55="","",INDEX(상세표[블록 06~07시],$P55))</f>
        <v/>
      </c>
      <c r="K55">
        <f>IF($P55="","",INDEX(상세표[블록 07~18시],$P55))</f>
        <v/>
      </c>
      <c r="L55">
        <f>IF($P55="","",INDEX(상세표[블록 18~22시],$P55))</f>
        <v/>
      </c>
      <c r="M55">
        <f>IF($P55="","",INDEX(상세표[블록 22~06시],$P55))</f>
        <v/>
      </c>
      <c r="N55">
        <f>IF($P55="","",INDEX(상세표[주말·휴일 포함],$P55)&amp;"")</f>
        <v/>
      </c>
      <c r="O55">
        <f>IF($P55="","",INDEX(상세표[월 넘김 포함],$P55)&amp;"")</f>
        <v/>
      </c>
      <c r="P55" s="4">
        <f>IFERROR(MATCH(50,상세표[연속순번],0),"")</f>
        <v/>
      </c>
    </row>
    <row r="56">
      <c r="A56">
        <f>IF($P56="","",INDEX(상세표[사번],$P56)&amp;"")</f>
        <v/>
      </c>
      <c r="B56">
        <f>IF($P56="","",INDEX(상세표[성명],$P56)&amp;"")</f>
        <v/>
      </c>
      <c r="C56">
        <f>IF($P56="","",INDEX(상세표[부서],$P56)&amp;"")</f>
        <v/>
      </c>
      <c r="D56">
        <f>IF($P56="","",INDEX(상세표[직위],$P56)&amp;"")</f>
        <v/>
      </c>
      <c r="E56">
        <f>IF($P56="","",IF(ISNUMBER(INDEX(상세표[시작],$P56)),TEXT(INDEX(상세표[시작],$P56),"yyyy-mm-dd hh:mm"),INDEX(상세표[시작],$P56)&amp;""))</f>
        <v/>
      </c>
      <c r="F56">
        <f>IF($P56="","",IF(ISNUMBER(INDEX(상세표[블록종료],$P56)),TEXT(INDEX(상세표[블록종료],$P56),"yyyy-mm-dd hh:mm"),INDEX(상세표[블록종료],$P56)&amp;""))</f>
        <v/>
      </c>
      <c r="G56">
        <f>IF($P56="","",CHOOSE(WEEKDAY(INDEX(상세표[시작],$P56)),"일","월","화","수","목","금","토"))</f>
        <v/>
      </c>
      <c r="H56">
        <f>IF($P56="","",INDEX(상세표[연속 시간],$P56))</f>
        <v/>
      </c>
      <c r="I56">
        <f>IF($P56="","",INDEX(상세표[기록 수],$P56))</f>
        <v/>
      </c>
      <c r="J56">
        <f>IF($P56="","",INDEX(상세표[블록 06~07시],$P56))</f>
        <v/>
      </c>
      <c r="K56">
        <f>IF($P56="","",INDEX(상세표[블록 07~18시],$P56))</f>
        <v/>
      </c>
      <c r="L56">
        <f>IF($P56="","",INDEX(상세표[블록 18~22시],$P56))</f>
        <v/>
      </c>
      <c r="M56">
        <f>IF($P56="","",INDEX(상세표[블록 22~06시],$P56))</f>
        <v/>
      </c>
      <c r="N56">
        <f>IF($P56="","",INDEX(상세표[주말·휴일 포함],$P56)&amp;"")</f>
        <v/>
      </c>
      <c r="O56">
        <f>IF($P56="","",INDEX(상세표[월 넘김 포함],$P56)&amp;"")</f>
        <v/>
      </c>
      <c r="P56" s="4">
        <f>IFERROR(MATCH(51,상세표[연속순번],0),"")</f>
        <v/>
      </c>
    </row>
    <row r="57">
      <c r="A57">
        <f>IF($P57="","",INDEX(상세표[사번],$P57)&amp;"")</f>
        <v/>
      </c>
      <c r="B57">
        <f>IF($P57="","",INDEX(상세표[성명],$P57)&amp;"")</f>
        <v/>
      </c>
      <c r="C57">
        <f>IF($P57="","",INDEX(상세표[부서],$P57)&amp;"")</f>
        <v/>
      </c>
      <c r="D57">
        <f>IF($P57="","",INDEX(상세표[직위],$P57)&amp;"")</f>
        <v/>
      </c>
      <c r="E57">
        <f>IF($P57="","",IF(ISNUMBER(INDEX(상세표[시작],$P57)),TEXT(INDEX(상세표[시작],$P57),"yyyy-mm-dd hh:mm"),INDEX(상세표[시작],$P57)&amp;""))</f>
        <v/>
      </c>
      <c r="F57">
        <f>IF($P57="","",IF(ISNUMBER(INDEX(상세표[블록종료],$P57)),TEXT(INDEX(상세표[블록종료],$P57),"yyyy-mm-dd hh:mm"),INDEX(상세표[블록종료],$P57)&amp;""))</f>
        <v/>
      </c>
      <c r="G57">
        <f>IF($P57="","",CHOOSE(WEEKDAY(INDEX(상세표[시작],$P57)),"일","월","화","수","목","금","토"))</f>
        <v/>
      </c>
      <c r="H57">
        <f>IF($P57="","",INDEX(상세표[연속 시간],$P57))</f>
        <v/>
      </c>
      <c r="I57">
        <f>IF($P57="","",INDEX(상세표[기록 수],$P57))</f>
        <v/>
      </c>
      <c r="J57">
        <f>IF($P57="","",INDEX(상세표[블록 06~07시],$P57))</f>
        <v/>
      </c>
      <c r="K57">
        <f>IF($P57="","",INDEX(상세표[블록 07~18시],$P57))</f>
        <v/>
      </c>
      <c r="L57">
        <f>IF($P57="","",INDEX(상세표[블록 18~22시],$P57))</f>
        <v/>
      </c>
      <c r="M57">
        <f>IF($P57="","",INDEX(상세표[블록 22~06시],$P57))</f>
        <v/>
      </c>
      <c r="N57">
        <f>IF($P57="","",INDEX(상세표[주말·휴일 포함],$P57)&amp;"")</f>
        <v/>
      </c>
      <c r="O57">
        <f>IF($P57="","",INDEX(상세표[월 넘김 포함],$P57)&amp;"")</f>
        <v/>
      </c>
      <c r="P57" s="4">
        <f>IFERROR(MATCH(52,상세표[연속순번],0),"")</f>
        <v/>
      </c>
    </row>
    <row r="58">
      <c r="A58">
        <f>IF($P58="","",INDEX(상세표[사번],$P58)&amp;"")</f>
        <v/>
      </c>
      <c r="B58">
        <f>IF($P58="","",INDEX(상세표[성명],$P58)&amp;"")</f>
        <v/>
      </c>
      <c r="C58">
        <f>IF($P58="","",INDEX(상세표[부서],$P58)&amp;"")</f>
        <v/>
      </c>
      <c r="D58">
        <f>IF($P58="","",INDEX(상세표[직위],$P58)&amp;"")</f>
        <v/>
      </c>
      <c r="E58">
        <f>IF($P58="","",IF(ISNUMBER(INDEX(상세표[시작],$P58)),TEXT(INDEX(상세표[시작],$P58),"yyyy-mm-dd hh:mm"),INDEX(상세표[시작],$P58)&amp;""))</f>
        <v/>
      </c>
      <c r="F58">
        <f>IF($P58="","",IF(ISNUMBER(INDEX(상세표[블록종료],$P58)),TEXT(INDEX(상세표[블록종료],$P58),"yyyy-mm-dd hh:mm"),INDEX(상세표[블록종료],$P58)&amp;""))</f>
        <v/>
      </c>
      <c r="G58">
        <f>IF($P58="","",CHOOSE(WEEKDAY(INDEX(상세표[시작],$P58)),"일","월","화","수","목","금","토"))</f>
        <v/>
      </c>
      <c r="H58">
        <f>IF($P58="","",INDEX(상세표[연속 시간],$P58))</f>
        <v/>
      </c>
      <c r="I58">
        <f>IF($P58="","",INDEX(상세표[기록 수],$P58))</f>
        <v/>
      </c>
      <c r="J58">
        <f>IF($P58="","",INDEX(상세표[블록 06~07시],$P58))</f>
        <v/>
      </c>
      <c r="K58">
        <f>IF($P58="","",INDEX(상세표[블록 07~18시],$P58))</f>
        <v/>
      </c>
      <c r="L58">
        <f>IF($P58="","",INDEX(상세표[블록 18~22시],$P58))</f>
        <v/>
      </c>
      <c r="M58">
        <f>IF($P58="","",INDEX(상세표[블록 22~06시],$P58))</f>
        <v/>
      </c>
      <c r="N58">
        <f>IF($P58="","",INDEX(상세표[주말·휴일 포함],$P58)&amp;"")</f>
        <v/>
      </c>
      <c r="O58">
        <f>IF($P58="","",INDEX(상세표[월 넘김 포함],$P58)&amp;"")</f>
        <v/>
      </c>
      <c r="P58" s="4">
        <f>IFERROR(MATCH(53,상세표[연속순번],0),"")</f>
        <v/>
      </c>
    </row>
    <row r="59">
      <c r="A59">
        <f>IF($P59="","",INDEX(상세표[사번],$P59)&amp;"")</f>
        <v/>
      </c>
      <c r="B59">
        <f>IF($P59="","",INDEX(상세표[성명],$P59)&amp;"")</f>
        <v/>
      </c>
      <c r="C59">
        <f>IF($P59="","",INDEX(상세표[부서],$P59)&amp;"")</f>
        <v/>
      </c>
      <c r="D59">
        <f>IF($P59="","",INDEX(상세표[직위],$P59)&amp;"")</f>
        <v/>
      </c>
      <c r="E59">
        <f>IF($P59="","",IF(ISNUMBER(INDEX(상세표[시작],$P59)),TEXT(INDEX(상세표[시작],$P59),"yyyy-mm-dd hh:mm"),INDEX(상세표[시작],$P59)&amp;""))</f>
        <v/>
      </c>
      <c r="F59">
        <f>IF($P59="","",IF(ISNUMBER(INDEX(상세표[블록종료],$P59)),TEXT(INDEX(상세표[블록종료],$P59),"yyyy-mm-dd hh:mm"),INDEX(상세표[블록종료],$P59)&amp;""))</f>
        <v/>
      </c>
      <c r="G59">
        <f>IF($P59="","",CHOOSE(WEEKDAY(INDEX(상세표[시작],$P59)),"일","월","화","수","목","금","토"))</f>
        <v/>
      </c>
      <c r="H59">
        <f>IF($P59="","",INDEX(상세표[연속 시간],$P59))</f>
        <v/>
      </c>
      <c r="I59">
        <f>IF($P59="","",INDEX(상세표[기록 수],$P59))</f>
        <v/>
      </c>
      <c r="J59">
        <f>IF($P59="","",INDEX(상세표[블록 06~07시],$P59))</f>
        <v/>
      </c>
      <c r="K59">
        <f>IF($P59="","",INDEX(상세표[블록 07~18시],$P59))</f>
        <v/>
      </c>
      <c r="L59">
        <f>IF($P59="","",INDEX(상세표[블록 18~22시],$P59))</f>
        <v/>
      </c>
      <c r="M59">
        <f>IF($P59="","",INDEX(상세표[블록 22~06시],$P59))</f>
        <v/>
      </c>
      <c r="N59">
        <f>IF($P59="","",INDEX(상세표[주말·휴일 포함],$P59)&amp;"")</f>
        <v/>
      </c>
      <c r="O59">
        <f>IF($P59="","",INDEX(상세표[월 넘김 포함],$P59)&amp;"")</f>
        <v/>
      </c>
      <c r="P59" s="4">
        <f>IFERROR(MATCH(54,상세표[연속순번],0),"")</f>
        <v/>
      </c>
    </row>
    <row r="60">
      <c r="A60">
        <f>IF($P60="","",INDEX(상세표[사번],$P60)&amp;"")</f>
        <v/>
      </c>
      <c r="B60">
        <f>IF($P60="","",INDEX(상세표[성명],$P60)&amp;"")</f>
        <v/>
      </c>
      <c r="C60">
        <f>IF($P60="","",INDEX(상세표[부서],$P60)&amp;"")</f>
        <v/>
      </c>
      <c r="D60">
        <f>IF($P60="","",INDEX(상세표[직위],$P60)&amp;"")</f>
        <v/>
      </c>
      <c r="E60">
        <f>IF($P60="","",IF(ISNUMBER(INDEX(상세표[시작],$P60)),TEXT(INDEX(상세표[시작],$P60),"yyyy-mm-dd hh:mm"),INDEX(상세표[시작],$P60)&amp;""))</f>
        <v/>
      </c>
      <c r="F60">
        <f>IF($P60="","",IF(ISNUMBER(INDEX(상세표[블록종료],$P60)),TEXT(INDEX(상세표[블록종료],$P60),"yyyy-mm-dd hh:mm"),INDEX(상세표[블록종료],$P60)&amp;""))</f>
        <v/>
      </c>
      <c r="G60">
        <f>IF($P60="","",CHOOSE(WEEKDAY(INDEX(상세표[시작],$P60)),"일","월","화","수","목","금","토"))</f>
        <v/>
      </c>
      <c r="H60">
        <f>IF($P60="","",INDEX(상세표[연속 시간],$P60))</f>
        <v/>
      </c>
      <c r="I60">
        <f>IF($P60="","",INDEX(상세표[기록 수],$P60))</f>
        <v/>
      </c>
      <c r="J60">
        <f>IF($P60="","",INDEX(상세표[블록 06~07시],$P60))</f>
        <v/>
      </c>
      <c r="K60">
        <f>IF($P60="","",INDEX(상세표[블록 07~18시],$P60))</f>
        <v/>
      </c>
      <c r="L60">
        <f>IF($P60="","",INDEX(상세표[블록 18~22시],$P60))</f>
        <v/>
      </c>
      <c r="M60">
        <f>IF($P60="","",INDEX(상세표[블록 22~06시],$P60))</f>
        <v/>
      </c>
      <c r="N60">
        <f>IF($P60="","",INDEX(상세표[주말·휴일 포함],$P60)&amp;"")</f>
        <v/>
      </c>
      <c r="O60">
        <f>IF($P60="","",INDEX(상세표[월 넘김 포함],$P60)&amp;"")</f>
        <v/>
      </c>
      <c r="P60" s="4">
        <f>IFERROR(MATCH(55,상세표[연속순번],0),"")</f>
        <v/>
      </c>
    </row>
    <row r="61">
      <c r="A61">
        <f>IF($P61="","",INDEX(상세표[사번],$P61)&amp;"")</f>
        <v/>
      </c>
      <c r="B61">
        <f>IF($P61="","",INDEX(상세표[성명],$P61)&amp;"")</f>
        <v/>
      </c>
      <c r="C61">
        <f>IF($P61="","",INDEX(상세표[부서],$P61)&amp;"")</f>
        <v/>
      </c>
      <c r="D61">
        <f>IF($P61="","",INDEX(상세표[직위],$P61)&amp;"")</f>
        <v/>
      </c>
      <c r="E61">
        <f>IF($P61="","",IF(ISNUMBER(INDEX(상세표[시작],$P61)),TEXT(INDEX(상세표[시작],$P61),"yyyy-mm-dd hh:mm"),INDEX(상세표[시작],$P61)&amp;""))</f>
        <v/>
      </c>
      <c r="F61">
        <f>IF($P61="","",IF(ISNUMBER(INDEX(상세표[블록종료],$P61)),TEXT(INDEX(상세표[블록종료],$P61),"yyyy-mm-dd hh:mm"),INDEX(상세표[블록종료],$P61)&amp;""))</f>
        <v/>
      </c>
      <c r="G61">
        <f>IF($P61="","",CHOOSE(WEEKDAY(INDEX(상세표[시작],$P61)),"일","월","화","수","목","금","토"))</f>
        <v/>
      </c>
      <c r="H61">
        <f>IF($P61="","",INDEX(상세표[연속 시간],$P61))</f>
        <v/>
      </c>
      <c r="I61">
        <f>IF($P61="","",INDEX(상세표[기록 수],$P61))</f>
        <v/>
      </c>
      <c r="J61">
        <f>IF($P61="","",INDEX(상세표[블록 06~07시],$P61))</f>
        <v/>
      </c>
      <c r="K61">
        <f>IF($P61="","",INDEX(상세표[블록 07~18시],$P61))</f>
        <v/>
      </c>
      <c r="L61">
        <f>IF($P61="","",INDEX(상세표[블록 18~22시],$P61))</f>
        <v/>
      </c>
      <c r="M61">
        <f>IF($P61="","",INDEX(상세표[블록 22~06시],$P61))</f>
        <v/>
      </c>
      <c r="N61">
        <f>IF($P61="","",INDEX(상세표[주말·휴일 포함],$P61)&amp;"")</f>
        <v/>
      </c>
      <c r="O61">
        <f>IF($P61="","",INDEX(상세표[월 넘김 포함],$P61)&amp;"")</f>
        <v/>
      </c>
      <c r="P61" s="4">
        <f>IFERROR(MATCH(56,상세표[연속순번],0),"")</f>
        <v/>
      </c>
    </row>
    <row r="62">
      <c r="A62">
        <f>IF($P62="","",INDEX(상세표[사번],$P62)&amp;"")</f>
        <v/>
      </c>
      <c r="B62">
        <f>IF($P62="","",INDEX(상세표[성명],$P62)&amp;"")</f>
        <v/>
      </c>
      <c r="C62">
        <f>IF($P62="","",INDEX(상세표[부서],$P62)&amp;"")</f>
        <v/>
      </c>
      <c r="D62">
        <f>IF($P62="","",INDEX(상세표[직위],$P62)&amp;"")</f>
        <v/>
      </c>
      <c r="E62">
        <f>IF($P62="","",IF(ISNUMBER(INDEX(상세표[시작],$P62)),TEXT(INDEX(상세표[시작],$P62),"yyyy-mm-dd hh:mm"),INDEX(상세표[시작],$P62)&amp;""))</f>
        <v/>
      </c>
      <c r="F62">
        <f>IF($P62="","",IF(ISNUMBER(INDEX(상세표[블록종료],$P62)),TEXT(INDEX(상세표[블록종료],$P62),"yyyy-mm-dd hh:mm"),INDEX(상세표[블록종료],$P62)&amp;""))</f>
        <v/>
      </c>
      <c r="G62">
        <f>IF($P62="","",CHOOSE(WEEKDAY(INDEX(상세표[시작],$P62)),"일","월","화","수","목","금","토"))</f>
        <v/>
      </c>
      <c r="H62">
        <f>IF($P62="","",INDEX(상세표[연속 시간],$P62))</f>
        <v/>
      </c>
      <c r="I62">
        <f>IF($P62="","",INDEX(상세표[기록 수],$P62))</f>
        <v/>
      </c>
      <c r="J62">
        <f>IF($P62="","",INDEX(상세표[블록 06~07시],$P62))</f>
        <v/>
      </c>
      <c r="K62">
        <f>IF($P62="","",INDEX(상세표[블록 07~18시],$P62))</f>
        <v/>
      </c>
      <c r="L62">
        <f>IF($P62="","",INDEX(상세표[블록 18~22시],$P62))</f>
        <v/>
      </c>
      <c r="M62">
        <f>IF($P62="","",INDEX(상세표[블록 22~06시],$P62))</f>
        <v/>
      </c>
      <c r="N62">
        <f>IF($P62="","",INDEX(상세표[주말·휴일 포함],$P62)&amp;"")</f>
        <v/>
      </c>
      <c r="O62">
        <f>IF($P62="","",INDEX(상세표[월 넘김 포함],$P62)&amp;"")</f>
        <v/>
      </c>
      <c r="P62" s="4">
        <f>IFERROR(MATCH(57,상세표[연속순번],0),"")</f>
        <v/>
      </c>
    </row>
    <row r="63">
      <c r="A63">
        <f>IF($P63="","",INDEX(상세표[사번],$P63)&amp;"")</f>
        <v/>
      </c>
      <c r="B63">
        <f>IF($P63="","",INDEX(상세표[성명],$P63)&amp;"")</f>
        <v/>
      </c>
      <c r="C63">
        <f>IF($P63="","",INDEX(상세표[부서],$P63)&amp;"")</f>
        <v/>
      </c>
      <c r="D63">
        <f>IF($P63="","",INDEX(상세표[직위],$P63)&amp;"")</f>
        <v/>
      </c>
      <c r="E63">
        <f>IF($P63="","",IF(ISNUMBER(INDEX(상세표[시작],$P63)),TEXT(INDEX(상세표[시작],$P63),"yyyy-mm-dd hh:mm"),INDEX(상세표[시작],$P63)&amp;""))</f>
        <v/>
      </c>
      <c r="F63">
        <f>IF($P63="","",IF(ISNUMBER(INDEX(상세표[블록종료],$P63)),TEXT(INDEX(상세표[블록종료],$P63),"yyyy-mm-dd hh:mm"),INDEX(상세표[블록종료],$P63)&amp;""))</f>
        <v/>
      </c>
      <c r="G63">
        <f>IF($P63="","",CHOOSE(WEEKDAY(INDEX(상세표[시작],$P63)),"일","월","화","수","목","금","토"))</f>
        <v/>
      </c>
      <c r="H63">
        <f>IF($P63="","",INDEX(상세표[연속 시간],$P63))</f>
        <v/>
      </c>
      <c r="I63">
        <f>IF($P63="","",INDEX(상세표[기록 수],$P63))</f>
        <v/>
      </c>
      <c r="J63">
        <f>IF($P63="","",INDEX(상세표[블록 06~07시],$P63))</f>
        <v/>
      </c>
      <c r="K63">
        <f>IF($P63="","",INDEX(상세표[블록 07~18시],$P63))</f>
        <v/>
      </c>
      <c r="L63">
        <f>IF($P63="","",INDEX(상세표[블록 18~22시],$P63))</f>
        <v/>
      </c>
      <c r="M63">
        <f>IF($P63="","",INDEX(상세표[블록 22~06시],$P63))</f>
        <v/>
      </c>
      <c r="N63">
        <f>IF($P63="","",INDEX(상세표[주말·휴일 포함],$P63)&amp;"")</f>
        <v/>
      </c>
      <c r="O63">
        <f>IF($P63="","",INDEX(상세표[월 넘김 포함],$P63)&amp;"")</f>
        <v/>
      </c>
      <c r="P63" s="4">
        <f>IFERROR(MATCH(58,상세표[연속순번],0),"")</f>
        <v/>
      </c>
    </row>
    <row r="64">
      <c r="A64">
        <f>IF($P64="","",INDEX(상세표[사번],$P64)&amp;"")</f>
        <v/>
      </c>
      <c r="B64">
        <f>IF($P64="","",INDEX(상세표[성명],$P64)&amp;"")</f>
        <v/>
      </c>
      <c r="C64">
        <f>IF($P64="","",INDEX(상세표[부서],$P64)&amp;"")</f>
        <v/>
      </c>
      <c r="D64">
        <f>IF($P64="","",INDEX(상세표[직위],$P64)&amp;"")</f>
        <v/>
      </c>
      <c r="E64">
        <f>IF($P64="","",IF(ISNUMBER(INDEX(상세표[시작],$P64)),TEXT(INDEX(상세표[시작],$P64),"yyyy-mm-dd hh:mm"),INDEX(상세표[시작],$P64)&amp;""))</f>
        <v/>
      </c>
      <c r="F64">
        <f>IF($P64="","",IF(ISNUMBER(INDEX(상세표[블록종료],$P64)),TEXT(INDEX(상세표[블록종료],$P64),"yyyy-mm-dd hh:mm"),INDEX(상세표[블록종료],$P64)&amp;""))</f>
        <v/>
      </c>
      <c r="G64">
        <f>IF($P64="","",CHOOSE(WEEKDAY(INDEX(상세표[시작],$P64)),"일","월","화","수","목","금","토"))</f>
        <v/>
      </c>
      <c r="H64">
        <f>IF($P64="","",INDEX(상세표[연속 시간],$P64))</f>
        <v/>
      </c>
      <c r="I64">
        <f>IF($P64="","",INDEX(상세표[기록 수],$P64))</f>
        <v/>
      </c>
      <c r="J64">
        <f>IF($P64="","",INDEX(상세표[블록 06~07시],$P64))</f>
        <v/>
      </c>
      <c r="K64">
        <f>IF($P64="","",INDEX(상세표[블록 07~18시],$P64))</f>
        <v/>
      </c>
      <c r="L64">
        <f>IF($P64="","",INDEX(상세표[블록 18~22시],$P64))</f>
        <v/>
      </c>
      <c r="M64">
        <f>IF($P64="","",INDEX(상세표[블록 22~06시],$P64))</f>
        <v/>
      </c>
      <c r="N64">
        <f>IF($P64="","",INDEX(상세표[주말·휴일 포함],$P64)&amp;"")</f>
        <v/>
      </c>
      <c r="O64">
        <f>IF($P64="","",INDEX(상세표[월 넘김 포함],$P64)&amp;"")</f>
        <v/>
      </c>
      <c r="P64" s="4">
        <f>IFERROR(MATCH(59,상세표[연속순번],0),"")</f>
        <v/>
      </c>
    </row>
    <row r="65">
      <c r="A65">
        <f>IF($P65="","",INDEX(상세표[사번],$P65)&amp;"")</f>
        <v/>
      </c>
      <c r="B65">
        <f>IF($P65="","",INDEX(상세표[성명],$P65)&amp;"")</f>
        <v/>
      </c>
      <c r="C65">
        <f>IF($P65="","",INDEX(상세표[부서],$P65)&amp;"")</f>
        <v/>
      </c>
      <c r="D65">
        <f>IF($P65="","",INDEX(상세표[직위],$P65)&amp;"")</f>
        <v/>
      </c>
      <c r="E65">
        <f>IF($P65="","",IF(ISNUMBER(INDEX(상세표[시작],$P65)),TEXT(INDEX(상세표[시작],$P65),"yyyy-mm-dd hh:mm"),INDEX(상세표[시작],$P65)&amp;""))</f>
        <v/>
      </c>
      <c r="F65">
        <f>IF($P65="","",IF(ISNUMBER(INDEX(상세표[블록종료],$P65)),TEXT(INDEX(상세표[블록종료],$P65),"yyyy-mm-dd hh:mm"),INDEX(상세표[블록종료],$P65)&amp;""))</f>
        <v/>
      </c>
      <c r="G65">
        <f>IF($P65="","",CHOOSE(WEEKDAY(INDEX(상세표[시작],$P65)),"일","월","화","수","목","금","토"))</f>
        <v/>
      </c>
      <c r="H65">
        <f>IF($P65="","",INDEX(상세표[연속 시간],$P65))</f>
        <v/>
      </c>
      <c r="I65">
        <f>IF($P65="","",INDEX(상세표[기록 수],$P65))</f>
        <v/>
      </c>
      <c r="J65">
        <f>IF($P65="","",INDEX(상세표[블록 06~07시],$P65))</f>
        <v/>
      </c>
      <c r="K65">
        <f>IF($P65="","",INDEX(상세표[블록 07~18시],$P65))</f>
        <v/>
      </c>
      <c r="L65">
        <f>IF($P65="","",INDEX(상세표[블록 18~22시],$P65))</f>
        <v/>
      </c>
      <c r="M65">
        <f>IF($P65="","",INDEX(상세표[블록 22~06시],$P65))</f>
        <v/>
      </c>
      <c r="N65">
        <f>IF($P65="","",INDEX(상세표[주말·휴일 포함],$P65)&amp;"")</f>
        <v/>
      </c>
      <c r="O65">
        <f>IF($P65="","",INDEX(상세표[월 넘김 포함],$P65)&amp;"")</f>
        <v/>
      </c>
      <c r="P65" s="4">
        <f>IFERROR(MATCH(60,상세표[연속순번],0),"")</f>
        <v/>
      </c>
    </row>
    <row r="66">
      <c r="A66">
        <f>IF($P66="","",INDEX(상세표[사번],$P66)&amp;"")</f>
        <v/>
      </c>
      <c r="B66">
        <f>IF($P66="","",INDEX(상세표[성명],$P66)&amp;"")</f>
        <v/>
      </c>
      <c r="C66">
        <f>IF($P66="","",INDEX(상세표[부서],$P66)&amp;"")</f>
        <v/>
      </c>
      <c r="D66">
        <f>IF($P66="","",INDEX(상세표[직위],$P66)&amp;"")</f>
        <v/>
      </c>
      <c r="E66">
        <f>IF($P66="","",IF(ISNUMBER(INDEX(상세표[시작],$P66)),TEXT(INDEX(상세표[시작],$P66),"yyyy-mm-dd hh:mm"),INDEX(상세표[시작],$P66)&amp;""))</f>
        <v/>
      </c>
      <c r="F66">
        <f>IF($P66="","",IF(ISNUMBER(INDEX(상세표[블록종료],$P66)),TEXT(INDEX(상세표[블록종료],$P66),"yyyy-mm-dd hh:mm"),INDEX(상세표[블록종료],$P66)&amp;""))</f>
        <v/>
      </c>
      <c r="G66">
        <f>IF($P66="","",CHOOSE(WEEKDAY(INDEX(상세표[시작],$P66)),"일","월","화","수","목","금","토"))</f>
        <v/>
      </c>
      <c r="H66">
        <f>IF($P66="","",INDEX(상세표[연속 시간],$P66))</f>
        <v/>
      </c>
      <c r="I66">
        <f>IF($P66="","",INDEX(상세표[기록 수],$P66))</f>
        <v/>
      </c>
      <c r="J66">
        <f>IF($P66="","",INDEX(상세표[블록 06~07시],$P66))</f>
        <v/>
      </c>
      <c r="K66">
        <f>IF($P66="","",INDEX(상세표[블록 07~18시],$P66))</f>
        <v/>
      </c>
      <c r="L66">
        <f>IF($P66="","",INDEX(상세표[블록 18~22시],$P66))</f>
        <v/>
      </c>
      <c r="M66">
        <f>IF($P66="","",INDEX(상세표[블록 22~06시],$P66))</f>
        <v/>
      </c>
      <c r="N66">
        <f>IF($P66="","",INDEX(상세표[주말·휴일 포함],$P66)&amp;"")</f>
        <v/>
      </c>
      <c r="O66">
        <f>IF($P66="","",INDEX(상세표[월 넘김 포함],$P66)&amp;"")</f>
        <v/>
      </c>
      <c r="P66" s="4">
        <f>IFERROR(MATCH(61,상세표[연속순번],0),"")</f>
        <v/>
      </c>
    </row>
    <row r="67">
      <c r="A67">
        <f>IF($P67="","",INDEX(상세표[사번],$P67)&amp;"")</f>
        <v/>
      </c>
      <c r="B67">
        <f>IF($P67="","",INDEX(상세표[성명],$P67)&amp;"")</f>
        <v/>
      </c>
      <c r="C67">
        <f>IF($P67="","",INDEX(상세표[부서],$P67)&amp;"")</f>
        <v/>
      </c>
      <c r="D67">
        <f>IF($P67="","",INDEX(상세표[직위],$P67)&amp;"")</f>
        <v/>
      </c>
      <c r="E67">
        <f>IF($P67="","",IF(ISNUMBER(INDEX(상세표[시작],$P67)),TEXT(INDEX(상세표[시작],$P67),"yyyy-mm-dd hh:mm"),INDEX(상세표[시작],$P67)&amp;""))</f>
        <v/>
      </c>
      <c r="F67">
        <f>IF($P67="","",IF(ISNUMBER(INDEX(상세표[블록종료],$P67)),TEXT(INDEX(상세표[블록종료],$P67),"yyyy-mm-dd hh:mm"),INDEX(상세표[블록종료],$P67)&amp;""))</f>
        <v/>
      </c>
      <c r="G67">
        <f>IF($P67="","",CHOOSE(WEEKDAY(INDEX(상세표[시작],$P67)),"일","월","화","수","목","금","토"))</f>
        <v/>
      </c>
      <c r="H67">
        <f>IF($P67="","",INDEX(상세표[연속 시간],$P67))</f>
        <v/>
      </c>
      <c r="I67">
        <f>IF($P67="","",INDEX(상세표[기록 수],$P67))</f>
        <v/>
      </c>
      <c r="J67">
        <f>IF($P67="","",INDEX(상세표[블록 06~07시],$P67))</f>
        <v/>
      </c>
      <c r="K67">
        <f>IF($P67="","",INDEX(상세표[블록 07~18시],$P67))</f>
        <v/>
      </c>
      <c r="L67">
        <f>IF($P67="","",INDEX(상세표[블록 18~22시],$P67))</f>
        <v/>
      </c>
      <c r="M67">
        <f>IF($P67="","",INDEX(상세표[블록 22~06시],$P67))</f>
        <v/>
      </c>
      <c r="N67">
        <f>IF($P67="","",INDEX(상세표[주말·휴일 포함],$P67)&amp;"")</f>
        <v/>
      </c>
      <c r="O67">
        <f>IF($P67="","",INDEX(상세표[월 넘김 포함],$P67)&amp;"")</f>
        <v/>
      </c>
      <c r="P67" s="4">
        <f>IFERROR(MATCH(62,상세표[연속순번],0),"")</f>
        <v/>
      </c>
    </row>
    <row r="68">
      <c r="A68">
        <f>IF($P68="","",INDEX(상세표[사번],$P68)&amp;"")</f>
        <v/>
      </c>
      <c r="B68">
        <f>IF($P68="","",INDEX(상세표[성명],$P68)&amp;"")</f>
        <v/>
      </c>
      <c r="C68">
        <f>IF($P68="","",INDEX(상세표[부서],$P68)&amp;"")</f>
        <v/>
      </c>
      <c r="D68">
        <f>IF($P68="","",INDEX(상세표[직위],$P68)&amp;"")</f>
        <v/>
      </c>
      <c r="E68">
        <f>IF($P68="","",IF(ISNUMBER(INDEX(상세표[시작],$P68)),TEXT(INDEX(상세표[시작],$P68),"yyyy-mm-dd hh:mm"),INDEX(상세표[시작],$P68)&amp;""))</f>
        <v/>
      </c>
      <c r="F68">
        <f>IF($P68="","",IF(ISNUMBER(INDEX(상세표[블록종료],$P68)),TEXT(INDEX(상세표[블록종료],$P68),"yyyy-mm-dd hh:mm"),INDEX(상세표[블록종료],$P68)&amp;""))</f>
        <v/>
      </c>
      <c r="G68">
        <f>IF($P68="","",CHOOSE(WEEKDAY(INDEX(상세표[시작],$P68)),"일","월","화","수","목","금","토"))</f>
        <v/>
      </c>
      <c r="H68">
        <f>IF($P68="","",INDEX(상세표[연속 시간],$P68))</f>
        <v/>
      </c>
      <c r="I68">
        <f>IF($P68="","",INDEX(상세표[기록 수],$P68))</f>
        <v/>
      </c>
      <c r="J68">
        <f>IF($P68="","",INDEX(상세표[블록 06~07시],$P68))</f>
        <v/>
      </c>
      <c r="K68">
        <f>IF($P68="","",INDEX(상세표[블록 07~18시],$P68))</f>
        <v/>
      </c>
      <c r="L68">
        <f>IF($P68="","",INDEX(상세표[블록 18~22시],$P68))</f>
        <v/>
      </c>
      <c r="M68">
        <f>IF($P68="","",INDEX(상세표[블록 22~06시],$P68))</f>
        <v/>
      </c>
      <c r="N68">
        <f>IF($P68="","",INDEX(상세표[주말·휴일 포함],$P68)&amp;"")</f>
        <v/>
      </c>
      <c r="O68">
        <f>IF($P68="","",INDEX(상세표[월 넘김 포함],$P68)&amp;"")</f>
        <v/>
      </c>
      <c r="P68" s="4">
        <f>IFERROR(MATCH(63,상세표[연속순번],0),"")</f>
        <v/>
      </c>
    </row>
    <row r="69">
      <c r="A69">
        <f>IF($P69="","",INDEX(상세표[사번],$P69)&amp;"")</f>
        <v/>
      </c>
      <c r="B69">
        <f>IF($P69="","",INDEX(상세표[성명],$P69)&amp;"")</f>
        <v/>
      </c>
      <c r="C69">
        <f>IF($P69="","",INDEX(상세표[부서],$P69)&amp;"")</f>
        <v/>
      </c>
      <c r="D69">
        <f>IF($P69="","",INDEX(상세표[직위],$P69)&amp;"")</f>
        <v/>
      </c>
      <c r="E69">
        <f>IF($P69="","",IF(ISNUMBER(INDEX(상세표[시작],$P69)),TEXT(INDEX(상세표[시작],$P69),"yyyy-mm-dd hh:mm"),INDEX(상세표[시작],$P69)&amp;""))</f>
        <v/>
      </c>
      <c r="F69">
        <f>IF($P69="","",IF(ISNUMBER(INDEX(상세표[블록종료],$P69)),TEXT(INDEX(상세표[블록종료],$P69),"yyyy-mm-dd hh:mm"),INDEX(상세표[블록종료],$P69)&amp;""))</f>
        <v/>
      </c>
      <c r="G69">
        <f>IF($P69="","",CHOOSE(WEEKDAY(INDEX(상세표[시작],$P69)),"일","월","화","수","목","금","토"))</f>
        <v/>
      </c>
      <c r="H69">
        <f>IF($P69="","",INDEX(상세표[연속 시간],$P69))</f>
        <v/>
      </c>
      <c r="I69">
        <f>IF($P69="","",INDEX(상세표[기록 수],$P69))</f>
        <v/>
      </c>
      <c r="J69">
        <f>IF($P69="","",INDEX(상세표[블록 06~07시],$P69))</f>
        <v/>
      </c>
      <c r="K69">
        <f>IF($P69="","",INDEX(상세표[블록 07~18시],$P69))</f>
        <v/>
      </c>
      <c r="L69">
        <f>IF($P69="","",INDEX(상세표[블록 18~22시],$P69))</f>
        <v/>
      </c>
      <c r="M69">
        <f>IF($P69="","",INDEX(상세표[블록 22~06시],$P69))</f>
        <v/>
      </c>
      <c r="N69">
        <f>IF($P69="","",INDEX(상세표[주말·휴일 포함],$P69)&amp;"")</f>
        <v/>
      </c>
      <c r="O69">
        <f>IF($P69="","",INDEX(상세표[월 넘김 포함],$P69)&amp;"")</f>
        <v/>
      </c>
      <c r="P69" s="4">
        <f>IFERROR(MATCH(64,상세표[연속순번],0),"")</f>
        <v/>
      </c>
    </row>
    <row r="70">
      <c r="A70">
        <f>IF($P70="","",INDEX(상세표[사번],$P70)&amp;"")</f>
        <v/>
      </c>
      <c r="B70">
        <f>IF($P70="","",INDEX(상세표[성명],$P70)&amp;"")</f>
        <v/>
      </c>
      <c r="C70">
        <f>IF($P70="","",INDEX(상세표[부서],$P70)&amp;"")</f>
        <v/>
      </c>
      <c r="D70">
        <f>IF($P70="","",INDEX(상세표[직위],$P70)&amp;"")</f>
        <v/>
      </c>
      <c r="E70">
        <f>IF($P70="","",IF(ISNUMBER(INDEX(상세표[시작],$P70)),TEXT(INDEX(상세표[시작],$P70),"yyyy-mm-dd hh:mm"),INDEX(상세표[시작],$P70)&amp;""))</f>
        <v/>
      </c>
      <c r="F70">
        <f>IF($P70="","",IF(ISNUMBER(INDEX(상세표[블록종료],$P70)),TEXT(INDEX(상세표[블록종료],$P70),"yyyy-mm-dd hh:mm"),INDEX(상세표[블록종료],$P70)&amp;""))</f>
        <v/>
      </c>
      <c r="G70">
        <f>IF($P70="","",CHOOSE(WEEKDAY(INDEX(상세표[시작],$P70)),"일","월","화","수","목","금","토"))</f>
        <v/>
      </c>
      <c r="H70">
        <f>IF($P70="","",INDEX(상세표[연속 시간],$P70))</f>
        <v/>
      </c>
      <c r="I70">
        <f>IF($P70="","",INDEX(상세표[기록 수],$P70))</f>
        <v/>
      </c>
      <c r="J70">
        <f>IF($P70="","",INDEX(상세표[블록 06~07시],$P70))</f>
        <v/>
      </c>
      <c r="K70">
        <f>IF($P70="","",INDEX(상세표[블록 07~18시],$P70))</f>
        <v/>
      </c>
      <c r="L70">
        <f>IF($P70="","",INDEX(상세표[블록 18~22시],$P70))</f>
        <v/>
      </c>
      <c r="M70">
        <f>IF($P70="","",INDEX(상세표[블록 22~06시],$P70))</f>
        <v/>
      </c>
      <c r="N70">
        <f>IF($P70="","",INDEX(상세표[주말·휴일 포함],$P70)&amp;"")</f>
        <v/>
      </c>
      <c r="O70">
        <f>IF($P70="","",INDEX(상세표[월 넘김 포함],$P70)&amp;"")</f>
        <v/>
      </c>
      <c r="P70" s="4">
        <f>IFERROR(MATCH(65,상세표[연속순번],0),"")</f>
        <v/>
      </c>
    </row>
    <row r="71">
      <c r="A71">
        <f>IF($P71="","",INDEX(상세표[사번],$P71)&amp;"")</f>
        <v/>
      </c>
      <c r="B71">
        <f>IF($P71="","",INDEX(상세표[성명],$P71)&amp;"")</f>
        <v/>
      </c>
      <c r="C71">
        <f>IF($P71="","",INDEX(상세표[부서],$P71)&amp;"")</f>
        <v/>
      </c>
      <c r="D71">
        <f>IF($P71="","",INDEX(상세표[직위],$P71)&amp;"")</f>
        <v/>
      </c>
      <c r="E71">
        <f>IF($P71="","",IF(ISNUMBER(INDEX(상세표[시작],$P71)),TEXT(INDEX(상세표[시작],$P71),"yyyy-mm-dd hh:mm"),INDEX(상세표[시작],$P71)&amp;""))</f>
        <v/>
      </c>
      <c r="F71">
        <f>IF($P71="","",IF(ISNUMBER(INDEX(상세표[블록종료],$P71)),TEXT(INDEX(상세표[블록종료],$P71),"yyyy-mm-dd hh:mm"),INDEX(상세표[블록종료],$P71)&amp;""))</f>
        <v/>
      </c>
      <c r="G71">
        <f>IF($P71="","",CHOOSE(WEEKDAY(INDEX(상세표[시작],$P71)),"일","월","화","수","목","금","토"))</f>
        <v/>
      </c>
      <c r="H71">
        <f>IF($P71="","",INDEX(상세표[연속 시간],$P71))</f>
        <v/>
      </c>
      <c r="I71">
        <f>IF($P71="","",INDEX(상세표[기록 수],$P71))</f>
        <v/>
      </c>
      <c r="J71">
        <f>IF($P71="","",INDEX(상세표[블록 06~07시],$P71))</f>
        <v/>
      </c>
      <c r="K71">
        <f>IF($P71="","",INDEX(상세표[블록 07~18시],$P71))</f>
        <v/>
      </c>
      <c r="L71">
        <f>IF($P71="","",INDEX(상세표[블록 18~22시],$P71))</f>
        <v/>
      </c>
      <c r="M71">
        <f>IF($P71="","",INDEX(상세표[블록 22~06시],$P71))</f>
        <v/>
      </c>
      <c r="N71">
        <f>IF($P71="","",INDEX(상세표[주말·휴일 포함],$P71)&amp;"")</f>
        <v/>
      </c>
      <c r="O71">
        <f>IF($P71="","",INDEX(상세표[월 넘김 포함],$P71)&amp;"")</f>
        <v/>
      </c>
      <c r="P71" s="4">
        <f>IFERROR(MATCH(66,상세표[연속순번],0),"")</f>
        <v/>
      </c>
    </row>
    <row r="72">
      <c r="A72">
        <f>IF($P72="","",INDEX(상세표[사번],$P72)&amp;"")</f>
        <v/>
      </c>
      <c r="B72">
        <f>IF($P72="","",INDEX(상세표[성명],$P72)&amp;"")</f>
        <v/>
      </c>
      <c r="C72">
        <f>IF($P72="","",INDEX(상세표[부서],$P72)&amp;"")</f>
        <v/>
      </c>
      <c r="D72">
        <f>IF($P72="","",INDEX(상세표[직위],$P72)&amp;"")</f>
        <v/>
      </c>
      <c r="E72">
        <f>IF($P72="","",IF(ISNUMBER(INDEX(상세표[시작],$P72)),TEXT(INDEX(상세표[시작],$P72),"yyyy-mm-dd hh:mm"),INDEX(상세표[시작],$P72)&amp;""))</f>
        <v/>
      </c>
      <c r="F72">
        <f>IF($P72="","",IF(ISNUMBER(INDEX(상세표[블록종료],$P72)),TEXT(INDEX(상세표[블록종료],$P72),"yyyy-mm-dd hh:mm"),INDEX(상세표[블록종료],$P72)&amp;""))</f>
        <v/>
      </c>
      <c r="G72">
        <f>IF($P72="","",CHOOSE(WEEKDAY(INDEX(상세표[시작],$P72)),"일","월","화","수","목","금","토"))</f>
        <v/>
      </c>
      <c r="H72">
        <f>IF($P72="","",INDEX(상세표[연속 시간],$P72))</f>
        <v/>
      </c>
      <c r="I72">
        <f>IF($P72="","",INDEX(상세표[기록 수],$P72))</f>
        <v/>
      </c>
      <c r="J72">
        <f>IF($P72="","",INDEX(상세표[블록 06~07시],$P72))</f>
        <v/>
      </c>
      <c r="K72">
        <f>IF($P72="","",INDEX(상세표[블록 07~18시],$P72))</f>
        <v/>
      </c>
      <c r="L72">
        <f>IF($P72="","",INDEX(상세표[블록 18~22시],$P72))</f>
        <v/>
      </c>
      <c r="M72">
        <f>IF($P72="","",INDEX(상세표[블록 22~06시],$P72))</f>
        <v/>
      </c>
      <c r="N72">
        <f>IF($P72="","",INDEX(상세표[주말·휴일 포함],$P72)&amp;"")</f>
        <v/>
      </c>
      <c r="O72">
        <f>IF($P72="","",INDEX(상세표[월 넘김 포함],$P72)&amp;"")</f>
        <v/>
      </c>
      <c r="P72" s="4">
        <f>IFERROR(MATCH(67,상세표[연속순번],0),"")</f>
        <v/>
      </c>
    </row>
    <row r="73">
      <c r="A73">
        <f>IF($P73="","",INDEX(상세표[사번],$P73)&amp;"")</f>
        <v/>
      </c>
      <c r="B73">
        <f>IF($P73="","",INDEX(상세표[성명],$P73)&amp;"")</f>
        <v/>
      </c>
      <c r="C73">
        <f>IF($P73="","",INDEX(상세표[부서],$P73)&amp;"")</f>
        <v/>
      </c>
      <c r="D73">
        <f>IF($P73="","",INDEX(상세표[직위],$P73)&amp;"")</f>
        <v/>
      </c>
      <c r="E73">
        <f>IF($P73="","",IF(ISNUMBER(INDEX(상세표[시작],$P73)),TEXT(INDEX(상세표[시작],$P73),"yyyy-mm-dd hh:mm"),INDEX(상세표[시작],$P73)&amp;""))</f>
        <v/>
      </c>
      <c r="F73">
        <f>IF($P73="","",IF(ISNUMBER(INDEX(상세표[블록종료],$P73)),TEXT(INDEX(상세표[블록종료],$P73),"yyyy-mm-dd hh:mm"),INDEX(상세표[블록종료],$P73)&amp;""))</f>
        <v/>
      </c>
      <c r="G73">
        <f>IF($P73="","",CHOOSE(WEEKDAY(INDEX(상세표[시작],$P73)),"일","월","화","수","목","금","토"))</f>
        <v/>
      </c>
      <c r="H73">
        <f>IF($P73="","",INDEX(상세표[연속 시간],$P73))</f>
        <v/>
      </c>
      <c r="I73">
        <f>IF($P73="","",INDEX(상세표[기록 수],$P73))</f>
        <v/>
      </c>
      <c r="J73">
        <f>IF($P73="","",INDEX(상세표[블록 06~07시],$P73))</f>
        <v/>
      </c>
      <c r="K73">
        <f>IF($P73="","",INDEX(상세표[블록 07~18시],$P73))</f>
        <v/>
      </c>
      <c r="L73">
        <f>IF($P73="","",INDEX(상세표[블록 18~22시],$P73))</f>
        <v/>
      </c>
      <c r="M73">
        <f>IF($P73="","",INDEX(상세표[블록 22~06시],$P73))</f>
        <v/>
      </c>
      <c r="N73">
        <f>IF($P73="","",INDEX(상세표[주말·휴일 포함],$P73)&amp;"")</f>
        <v/>
      </c>
      <c r="O73">
        <f>IF($P73="","",INDEX(상세표[월 넘김 포함],$P73)&amp;"")</f>
        <v/>
      </c>
      <c r="P73" s="4">
        <f>IFERROR(MATCH(68,상세표[연속순번],0),"")</f>
        <v/>
      </c>
    </row>
    <row r="74">
      <c r="A74">
        <f>IF($P74="","",INDEX(상세표[사번],$P74)&amp;"")</f>
        <v/>
      </c>
      <c r="B74">
        <f>IF($P74="","",INDEX(상세표[성명],$P74)&amp;"")</f>
        <v/>
      </c>
      <c r="C74">
        <f>IF($P74="","",INDEX(상세표[부서],$P74)&amp;"")</f>
        <v/>
      </c>
      <c r="D74">
        <f>IF($P74="","",INDEX(상세표[직위],$P74)&amp;"")</f>
        <v/>
      </c>
      <c r="E74">
        <f>IF($P74="","",IF(ISNUMBER(INDEX(상세표[시작],$P74)),TEXT(INDEX(상세표[시작],$P74),"yyyy-mm-dd hh:mm"),INDEX(상세표[시작],$P74)&amp;""))</f>
        <v/>
      </c>
      <c r="F74">
        <f>IF($P74="","",IF(ISNUMBER(INDEX(상세표[블록종료],$P74)),TEXT(INDEX(상세표[블록종료],$P74),"yyyy-mm-dd hh:mm"),INDEX(상세표[블록종료],$P74)&amp;""))</f>
        <v/>
      </c>
      <c r="G74">
        <f>IF($P74="","",CHOOSE(WEEKDAY(INDEX(상세표[시작],$P74)),"일","월","화","수","목","금","토"))</f>
        <v/>
      </c>
      <c r="H74">
        <f>IF($P74="","",INDEX(상세표[연속 시간],$P74))</f>
        <v/>
      </c>
      <c r="I74">
        <f>IF($P74="","",INDEX(상세표[기록 수],$P74))</f>
        <v/>
      </c>
      <c r="J74">
        <f>IF($P74="","",INDEX(상세표[블록 06~07시],$P74))</f>
        <v/>
      </c>
      <c r="K74">
        <f>IF($P74="","",INDEX(상세표[블록 07~18시],$P74))</f>
        <v/>
      </c>
      <c r="L74">
        <f>IF($P74="","",INDEX(상세표[블록 18~22시],$P74))</f>
        <v/>
      </c>
      <c r="M74">
        <f>IF($P74="","",INDEX(상세표[블록 22~06시],$P74))</f>
        <v/>
      </c>
      <c r="N74">
        <f>IF($P74="","",INDEX(상세표[주말·휴일 포함],$P74)&amp;"")</f>
        <v/>
      </c>
      <c r="O74">
        <f>IF($P74="","",INDEX(상세표[월 넘김 포함],$P74)&amp;"")</f>
        <v/>
      </c>
      <c r="P74" s="4">
        <f>IFERROR(MATCH(69,상세표[연속순번],0),"")</f>
        <v/>
      </c>
    </row>
    <row r="75">
      <c r="A75">
        <f>IF($P75="","",INDEX(상세표[사번],$P75)&amp;"")</f>
        <v/>
      </c>
      <c r="B75">
        <f>IF($P75="","",INDEX(상세표[성명],$P75)&amp;"")</f>
        <v/>
      </c>
      <c r="C75">
        <f>IF($P75="","",INDEX(상세표[부서],$P75)&amp;"")</f>
        <v/>
      </c>
      <c r="D75">
        <f>IF($P75="","",INDEX(상세표[직위],$P75)&amp;"")</f>
        <v/>
      </c>
      <c r="E75">
        <f>IF($P75="","",IF(ISNUMBER(INDEX(상세표[시작],$P75)),TEXT(INDEX(상세표[시작],$P75),"yyyy-mm-dd hh:mm"),INDEX(상세표[시작],$P75)&amp;""))</f>
        <v/>
      </c>
      <c r="F75">
        <f>IF($P75="","",IF(ISNUMBER(INDEX(상세표[블록종료],$P75)),TEXT(INDEX(상세표[블록종료],$P75),"yyyy-mm-dd hh:mm"),INDEX(상세표[블록종료],$P75)&amp;""))</f>
        <v/>
      </c>
      <c r="G75">
        <f>IF($P75="","",CHOOSE(WEEKDAY(INDEX(상세표[시작],$P75)),"일","월","화","수","목","금","토"))</f>
        <v/>
      </c>
      <c r="H75">
        <f>IF($P75="","",INDEX(상세표[연속 시간],$P75))</f>
        <v/>
      </c>
      <c r="I75">
        <f>IF($P75="","",INDEX(상세표[기록 수],$P75))</f>
        <v/>
      </c>
      <c r="J75">
        <f>IF($P75="","",INDEX(상세표[블록 06~07시],$P75))</f>
        <v/>
      </c>
      <c r="K75">
        <f>IF($P75="","",INDEX(상세표[블록 07~18시],$P75))</f>
        <v/>
      </c>
      <c r="L75">
        <f>IF($P75="","",INDEX(상세표[블록 18~22시],$P75))</f>
        <v/>
      </c>
      <c r="M75">
        <f>IF($P75="","",INDEX(상세표[블록 22~06시],$P75))</f>
        <v/>
      </c>
      <c r="N75">
        <f>IF($P75="","",INDEX(상세표[주말·휴일 포함],$P75)&amp;"")</f>
        <v/>
      </c>
      <c r="O75">
        <f>IF($P75="","",INDEX(상세표[월 넘김 포함],$P75)&amp;"")</f>
        <v/>
      </c>
      <c r="P75" s="4">
        <f>IFERROR(MATCH(70,상세표[연속순번],0),"")</f>
        <v/>
      </c>
    </row>
    <row r="76">
      <c r="A76">
        <f>IF($P76="","",INDEX(상세표[사번],$P76)&amp;"")</f>
        <v/>
      </c>
      <c r="B76">
        <f>IF($P76="","",INDEX(상세표[성명],$P76)&amp;"")</f>
        <v/>
      </c>
      <c r="C76">
        <f>IF($P76="","",INDEX(상세표[부서],$P76)&amp;"")</f>
        <v/>
      </c>
      <c r="D76">
        <f>IF($P76="","",INDEX(상세표[직위],$P76)&amp;"")</f>
        <v/>
      </c>
      <c r="E76">
        <f>IF($P76="","",IF(ISNUMBER(INDEX(상세표[시작],$P76)),TEXT(INDEX(상세표[시작],$P76),"yyyy-mm-dd hh:mm"),INDEX(상세표[시작],$P76)&amp;""))</f>
        <v/>
      </c>
      <c r="F76">
        <f>IF($P76="","",IF(ISNUMBER(INDEX(상세표[블록종료],$P76)),TEXT(INDEX(상세표[블록종료],$P76),"yyyy-mm-dd hh:mm"),INDEX(상세표[블록종료],$P76)&amp;""))</f>
        <v/>
      </c>
      <c r="G76">
        <f>IF($P76="","",CHOOSE(WEEKDAY(INDEX(상세표[시작],$P76)),"일","월","화","수","목","금","토"))</f>
        <v/>
      </c>
      <c r="H76">
        <f>IF($P76="","",INDEX(상세표[연속 시간],$P76))</f>
        <v/>
      </c>
      <c r="I76">
        <f>IF($P76="","",INDEX(상세표[기록 수],$P76))</f>
        <v/>
      </c>
      <c r="J76">
        <f>IF($P76="","",INDEX(상세표[블록 06~07시],$P76))</f>
        <v/>
      </c>
      <c r="K76">
        <f>IF($P76="","",INDEX(상세표[블록 07~18시],$P76))</f>
        <v/>
      </c>
      <c r="L76">
        <f>IF($P76="","",INDEX(상세표[블록 18~22시],$P76))</f>
        <v/>
      </c>
      <c r="M76">
        <f>IF($P76="","",INDEX(상세표[블록 22~06시],$P76))</f>
        <v/>
      </c>
      <c r="N76">
        <f>IF($P76="","",INDEX(상세표[주말·휴일 포함],$P76)&amp;"")</f>
        <v/>
      </c>
      <c r="O76">
        <f>IF($P76="","",INDEX(상세표[월 넘김 포함],$P76)&amp;"")</f>
        <v/>
      </c>
      <c r="P76" s="4">
        <f>IFERROR(MATCH(71,상세표[연속순번],0),"")</f>
        <v/>
      </c>
    </row>
    <row r="77">
      <c r="A77">
        <f>IF($P77="","",INDEX(상세표[사번],$P77)&amp;"")</f>
        <v/>
      </c>
      <c r="B77">
        <f>IF($P77="","",INDEX(상세표[성명],$P77)&amp;"")</f>
        <v/>
      </c>
      <c r="C77">
        <f>IF($P77="","",INDEX(상세표[부서],$P77)&amp;"")</f>
        <v/>
      </c>
      <c r="D77">
        <f>IF($P77="","",INDEX(상세표[직위],$P77)&amp;"")</f>
        <v/>
      </c>
      <c r="E77">
        <f>IF($P77="","",IF(ISNUMBER(INDEX(상세표[시작],$P77)),TEXT(INDEX(상세표[시작],$P77),"yyyy-mm-dd hh:mm"),INDEX(상세표[시작],$P77)&amp;""))</f>
        <v/>
      </c>
      <c r="F77">
        <f>IF($P77="","",IF(ISNUMBER(INDEX(상세표[블록종료],$P77)),TEXT(INDEX(상세표[블록종료],$P77),"yyyy-mm-dd hh:mm"),INDEX(상세표[블록종료],$P77)&amp;""))</f>
        <v/>
      </c>
      <c r="G77">
        <f>IF($P77="","",CHOOSE(WEEKDAY(INDEX(상세표[시작],$P77)),"일","월","화","수","목","금","토"))</f>
        <v/>
      </c>
      <c r="H77">
        <f>IF($P77="","",INDEX(상세표[연속 시간],$P77))</f>
        <v/>
      </c>
      <c r="I77">
        <f>IF($P77="","",INDEX(상세표[기록 수],$P77))</f>
        <v/>
      </c>
      <c r="J77">
        <f>IF($P77="","",INDEX(상세표[블록 06~07시],$P77))</f>
        <v/>
      </c>
      <c r="K77">
        <f>IF($P77="","",INDEX(상세표[블록 07~18시],$P77))</f>
        <v/>
      </c>
      <c r="L77">
        <f>IF($P77="","",INDEX(상세표[블록 18~22시],$P77))</f>
        <v/>
      </c>
      <c r="M77">
        <f>IF($P77="","",INDEX(상세표[블록 22~06시],$P77))</f>
        <v/>
      </c>
      <c r="N77">
        <f>IF($P77="","",INDEX(상세표[주말·휴일 포함],$P77)&amp;"")</f>
        <v/>
      </c>
      <c r="O77">
        <f>IF($P77="","",INDEX(상세표[월 넘김 포함],$P77)&amp;"")</f>
        <v/>
      </c>
      <c r="P77" s="4">
        <f>IFERROR(MATCH(72,상세표[연속순번],0),"")</f>
        <v/>
      </c>
    </row>
    <row r="78">
      <c r="A78">
        <f>IF($P78="","",INDEX(상세표[사번],$P78)&amp;"")</f>
        <v/>
      </c>
      <c r="B78">
        <f>IF($P78="","",INDEX(상세표[성명],$P78)&amp;"")</f>
        <v/>
      </c>
      <c r="C78">
        <f>IF($P78="","",INDEX(상세표[부서],$P78)&amp;"")</f>
        <v/>
      </c>
      <c r="D78">
        <f>IF($P78="","",INDEX(상세표[직위],$P78)&amp;"")</f>
        <v/>
      </c>
      <c r="E78">
        <f>IF($P78="","",IF(ISNUMBER(INDEX(상세표[시작],$P78)),TEXT(INDEX(상세표[시작],$P78),"yyyy-mm-dd hh:mm"),INDEX(상세표[시작],$P78)&amp;""))</f>
        <v/>
      </c>
      <c r="F78">
        <f>IF($P78="","",IF(ISNUMBER(INDEX(상세표[블록종료],$P78)),TEXT(INDEX(상세표[블록종료],$P78),"yyyy-mm-dd hh:mm"),INDEX(상세표[블록종료],$P78)&amp;""))</f>
        <v/>
      </c>
      <c r="G78">
        <f>IF($P78="","",CHOOSE(WEEKDAY(INDEX(상세표[시작],$P78)),"일","월","화","수","목","금","토"))</f>
        <v/>
      </c>
      <c r="H78">
        <f>IF($P78="","",INDEX(상세표[연속 시간],$P78))</f>
        <v/>
      </c>
      <c r="I78">
        <f>IF($P78="","",INDEX(상세표[기록 수],$P78))</f>
        <v/>
      </c>
      <c r="J78">
        <f>IF($P78="","",INDEX(상세표[블록 06~07시],$P78))</f>
        <v/>
      </c>
      <c r="K78">
        <f>IF($P78="","",INDEX(상세표[블록 07~18시],$P78))</f>
        <v/>
      </c>
      <c r="L78">
        <f>IF($P78="","",INDEX(상세표[블록 18~22시],$P78))</f>
        <v/>
      </c>
      <c r="M78">
        <f>IF($P78="","",INDEX(상세표[블록 22~06시],$P78))</f>
        <v/>
      </c>
      <c r="N78">
        <f>IF($P78="","",INDEX(상세표[주말·휴일 포함],$P78)&amp;"")</f>
        <v/>
      </c>
      <c r="O78">
        <f>IF($P78="","",INDEX(상세표[월 넘김 포함],$P78)&amp;"")</f>
        <v/>
      </c>
      <c r="P78" s="4">
        <f>IFERROR(MATCH(73,상세표[연속순번],0),"")</f>
        <v/>
      </c>
    </row>
    <row r="79">
      <c r="A79">
        <f>IF($P79="","",INDEX(상세표[사번],$P79)&amp;"")</f>
        <v/>
      </c>
      <c r="B79">
        <f>IF($P79="","",INDEX(상세표[성명],$P79)&amp;"")</f>
        <v/>
      </c>
      <c r="C79">
        <f>IF($P79="","",INDEX(상세표[부서],$P79)&amp;"")</f>
        <v/>
      </c>
      <c r="D79">
        <f>IF($P79="","",INDEX(상세표[직위],$P79)&amp;"")</f>
        <v/>
      </c>
      <c r="E79">
        <f>IF($P79="","",IF(ISNUMBER(INDEX(상세표[시작],$P79)),TEXT(INDEX(상세표[시작],$P79),"yyyy-mm-dd hh:mm"),INDEX(상세표[시작],$P79)&amp;""))</f>
        <v/>
      </c>
      <c r="F79">
        <f>IF($P79="","",IF(ISNUMBER(INDEX(상세표[블록종료],$P79)),TEXT(INDEX(상세표[블록종료],$P79),"yyyy-mm-dd hh:mm"),INDEX(상세표[블록종료],$P79)&amp;""))</f>
        <v/>
      </c>
      <c r="G79">
        <f>IF($P79="","",CHOOSE(WEEKDAY(INDEX(상세표[시작],$P79)),"일","월","화","수","목","금","토"))</f>
        <v/>
      </c>
      <c r="H79">
        <f>IF($P79="","",INDEX(상세표[연속 시간],$P79))</f>
        <v/>
      </c>
      <c r="I79">
        <f>IF($P79="","",INDEX(상세표[기록 수],$P79))</f>
        <v/>
      </c>
      <c r="J79">
        <f>IF($P79="","",INDEX(상세표[블록 06~07시],$P79))</f>
        <v/>
      </c>
      <c r="K79">
        <f>IF($P79="","",INDEX(상세표[블록 07~18시],$P79))</f>
        <v/>
      </c>
      <c r="L79">
        <f>IF($P79="","",INDEX(상세표[블록 18~22시],$P79))</f>
        <v/>
      </c>
      <c r="M79">
        <f>IF($P79="","",INDEX(상세표[블록 22~06시],$P79))</f>
        <v/>
      </c>
      <c r="N79">
        <f>IF($P79="","",INDEX(상세표[주말·휴일 포함],$P79)&amp;"")</f>
        <v/>
      </c>
      <c r="O79">
        <f>IF($P79="","",INDEX(상세표[월 넘김 포함],$P79)&amp;"")</f>
        <v/>
      </c>
      <c r="P79" s="4">
        <f>IFERROR(MATCH(74,상세표[연속순번],0),"")</f>
        <v/>
      </c>
    </row>
    <row r="80">
      <c r="A80">
        <f>IF($P80="","",INDEX(상세표[사번],$P80)&amp;"")</f>
        <v/>
      </c>
      <c r="B80">
        <f>IF($P80="","",INDEX(상세표[성명],$P80)&amp;"")</f>
        <v/>
      </c>
      <c r="C80">
        <f>IF($P80="","",INDEX(상세표[부서],$P80)&amp;"")</f>
        <v/>
      </c>
      <c r="D80">
        <f>IF($P80="","",INDEX(상세표[직위],$P80)&amp;"")</f>
        <v/>
      </c>
      <c r="E80">
        <f>IF($P80="","",IF(ISNUMBER(INDEX(상세표[시작],$P80)),TEXT(INDEX(상세표[시작],$P80),"yyyy-mm-dd hh:mm"),INDEX(상세표[시작],$P80)&amp;""))</f>
        <v/>
      </c>
      <c r="F80">
        <f>IF($P80="","",IF(ISNUMBER(INDEX(상세표[블록종료],$P80)),TEXT(INDEX(상세표[블록종료],$P80),"yyyy-mm-dd hh:mm"),INDEX(상세표[블록종료],$P80)&amp;""))</f>
        <v/>
      </c>
      <c r="G80">
        <f>IF($P80="","",CHOOSE(WEEKDAY(INDEX(상세표[시작],$P80)),"일","월","화","수","목","금","토"))</f>
        <v/>
      </c>
      <c r="H80">
        <f>IF($P80="","",INDEX(상세표[연속 시간],$P80))</f>
        <v/>
      </c>
      <c r="I80">
        <f>IF($P80="","",INDEX(상세표[기록 수],$P80))</f>
        <v/>
      </c>
      <c r="J80">
        <f>IF($P80="","",INDEX(상세표[블록 06~07시],$P80))</f>
        <v/>
      </c>
      <c r="K80">
        <f>IF($P80="","",INDEX(상세표[블록 07~18시],$P80))</f>
        <v/>
      </c>
      <c r="L80">
        <f>IF($P80="","",INDEX(상세표[블록 18~22시],$P80))</f>
        <v/>
      </c>
      <c r="M80">
        <f>IF($P80="","",INDEX(상세표[블록 22~06시],$P80))</f>
        <v/>
      </c>
      <c r="N80">
        <f>IF($P80="","",INDEX(상세표[주말·휴일 포함],$P80)&amp;"")</f>
        <v/>
      </c>
      <c r="O80">
        <f>IF($P80="","",INDEX(상세표[월 넘김 포함],$P80)&amp;"")</f>
        <v/>
      </c>
      <c r="P80" s="4">
        <f>IFERROR(MATCH(75,상세표[연속순번],0),"")</f>
        <v/>
      </c>
    </row>
    <row r="81">
      <c r="A81">
        <f>IF($P81="","",INDEX(상세표[사번],$P81)&amp;"")</f>
        <v/>
      </c>
      <c r="B81">
        <f>IF($P81="","",INDEX(상세표[성명],$P81)&amp;"")</f>
        <v/>
      </c>
      <c r="C81">
        <f>IF($P81="","",INDEX(상세표[부서],$P81)&amp;"")</f>
        <v/>
      </c>
      <c r="D81">
        <f>IF($P81="","",INDEX(상세표[직위],$P81)&amp;"")</f>
        <v/>
      </c>
      <c r="E81">
        <f>IF($P81="","",IF(ISNUMBER(INDEX(상세표[시작],$P81)),TEXT(INDEX(상세표[시작],$P81),"yyyy-mm-dd hh:mm"),INDEX(상세표[시작],$P81)&amp;""))</f>
        <v/>
      </c>
      <c r="F81">
        <f>IF($P81="","",IF(ISNUMBER(INDEX(상세표[블록종료],$P81)),TEXT(INDEX(상세표[블록종료],$P81),"yyyy-mm-dd hh:mm"),INDEX(상세표[블록종료],$P81)&amp;""))</f>
        <v/>
      </c>
      <c r="G81">
        <f>IF($P81="","",CHOOSE(WEEKDAY(INDEX(상세표[시작],$P81)),"일","월","화","수","목","금","토"))</f>
        <v/>
      </c>
      <c r="H81">
        <f>IF($P81="","",INDEX(상세표[연속 시간],$P81))</f>
        <v/>
      </c>
      <c r="I81">
        <f>IF($P81="","",INDEX(상세표[기록 수],$P81))</f>
        <v/>
      </c>
      <c r="J81">
        <f>IF($P81="","",INDEX(상세표[블록 06~07시],$P81))</f>
        <v/>
      </c>
      <c r="K81">
        <f>IF($P81="","",INDEX(상세표[블록 07~18시],$P81))</f>
        <v/>
      </c>
      <c r="L81">
        <f>IF($P81="","",INDEX(상세표[블록 18~22시],$P81))</f>
        <v/>
      </c>
      <c r="M81">
        <f>IF($P81="","",INDEX(상세표[블록 22~06시],$P81))</f>
        <v/>
      </c>
      <c r="N81">
        <f>IF($P81="","",INDEX(상세표[주말·휴일 포함],$P81)&amp;"")</f>
        <v/>
      </c>
      <c r="O81">
        <f>IF($P81="","",INDEX(상세표[월 넘김 포함],$P81)&amp;"")</f>
        <v/>
      </c>
      <c r="P81" s="4">
        <f>IFERROR(MATCH(76,상세표[연속순번],0),"")</f>
        <v/>
      </c>
    </row>
    <row r="82">
      <c r="A82">
        <f>IF($P82="","",INDEX(상세표[사번],$P82)&amp;"")</f>
        <v/>
      </c>
      <c r="B82">
        <f>IF($P82="","",INDEX(상세표[성명],$P82)&amp;"")</f>
        <v/>
      </c>
      <c r="C82">
        <f>IF($P82="","",INDEX(상세표[부서],$P82)&amp;"")</f>
        <v/>
      </c>
      <c r="D82">
        <f>IF($P82="","",INDEX(상세표[직위],$P82)&amp;"")</f>
        <v/>
      </c>
      <c r="E82">
        <f>IF($P82="","",IF(ISNUMBER(INDEX(상세표[시작],$P82)),TEXT(INDEX(상세표[시작],$P82),"yyyy-mm-dd hh:mm"),INDEX(상세표[시작],$P82)&amp;""))</f>
        <v/>
      </c>
      <c r="F82">
        <f>IF($P82="","",IF(ISNUMBER(INDEX(상세표[블록종료],$P82)),TEXT(INDEX(상세표[블록종료],$P82),"yyyy-mm-dd hh:mm"),INDEX(상세표[블록종료],$P82)&amp;""))</f>
        <v/>
      </c>
      <c r="G82">
        <f>IF($P82="","",CHOOSE(WEEKDAY(INDEX(상세표[시작],$P82)),"일","월","화","수","목","금","토"))</f>
        <v/>
      </c>
      <c r="H82">
        <f>IF($P82="","",INDEX(상세표[연속 시간],$P82))</f>
        <v/>
      </c>
      <c r="I82">
        <f>IF($P82="","",INDEX(상세표[기록 수],$P82))</f>
        <v/>
      </c>
      <c r="J82">
        <f>IF($P82="","",INDEX(상세표[블록 06~07시],$P82))</f>
        <v/>
      </c>
      <c r="K82">
        <f>IF($P82="","",INDEX(상세표[블록 07~18시],$P82))</f>
        <v/>
      </c>
      <c r="L82">
        <f>IF($P82="","",INDEX(상세표[블록 18~22시],$P82))</f>
        <v/>
      </c>
      <c r="M82">
        <f>IF($P82="","",INDEX(상세표[블록 22~06시],$P82))</f>
        <v/>
      </c>
      <c r="N82">
        <f>IF($P82="","",INDEX(상세표[주말·휴일 포함],$P82)&amp;"")</f>
        <v/>
      </c>
      <c r="O82">
        <f>IF($P82="","",INDEX(상세표[월 넘김 포함],$P82)&amp;"")</f>
        <v/>
      </c>
      <c r="P82" s="4">
        <f>IFERROR(MATCH(77,상세표[연속순번],0),"")</f>
        <v/>
      </c>
    </row>
    <row r="83">
      <c r="A83">
        <f>IF($P83="","",INDEX(상세표[사번],$P83)&amp;"")</f>
        <v/>
      </c>
      <c r="B83">
        <f>IF($P83="","",INDEX(상세표[성명],$P83)&amp;"")</f>
        <v/>
      </c>
      <c r="C83">
        <f>IF($P83="","",INDEX(상세표[부서],$P83)&amp;"")</f>
        <v/>
      </c>
      <c r="D83">
        <f>IF($P83="","",INDEX(상세표[직위],$P83)&amp;"")</f>
        <v/>
      </c>
      <c r="E83">
        <f>IF($P83="","",IF(ISNUMBER(INDEX(상세표[시작],$P83)),TEXT(INDEX(상세표[시작],$P83),"yyyy-mm-dd hh:mm"),INDEX(상세표[시작],$P83)&amp;""))</f>
        <v/>
      </c>
      <c r="F83">
        <f>IF($P83="","",IF(ISNUMBER(INDEX(상세표[블록종료],$P83)),TEXT(INDEX(상세표[블록종료],$P83),"yyyy-mm-dd hh:mm"),INDEX(상세표[블록종료],$P83)&amp;""))</f>
        <v/>
      </c>
      <c r="G83">
        <f>IF($P83="","",CHOOSE(WEEKDAY(INDEX(상세표[시작],$P83)),"일","월","화","수","목","금","토"))</f>
        <v/>
      </c>
      <c r="H83">
        <f>IF($P83="","",INDEX(상세표[연속 시간],$P83))</f>
        <v/>
      </c>
      <c r="I83">
        <f>IF($P83="","",INDEX(상세표[기록 수],$P83))</f>
        <v/>
      </c>
      <c r="J83">
        <f>IF($P83="","",INDEX(상세표[블록 06~07시],$P83))</f>
        <v/>
      </c>
      <c r="K83">
        <f>IF($P83="","",INDEX(상세표[블록 07~18시],$P83))</f>
        <v/>
      </c>
      <c r="L83">
        <f>IF($P83="","",INDEX(상세표[블록 18~22시],$P83))</f>
        <v/>
      </c>
      <c r="M83">
        <f>IF($P83="","",INDEX(상세표[블록 22~06시],$P83))</f>
        <v/>
      </c>
      <c r="N83">
        <f>IF($P83="","",INDEX(상세표[주말·휴일 포함],$P83)&amp;"")</f>
        <v/>
      </c>
      <c r="O83">
        <f>IF($P83="","",INDEX(상세표[월 넘김 포함],$P83)&amp;"")</f>
        <v/>
      </c>
      <c r="P83" s="4">
        <f>IFERROR(MATCH(78,상세표[연속순번],0),"")</f>
        <v/>
      </c>
    </row>
    <row r="84">
      <c r="A84">
        <f>IF($P84="","",INDEX(상세표[사번],$P84)&amp;"")</f>
        <v/>
      </c>
      <c r="B84">
        <f>IF($P84="","",INDEX(상세표[성명],$P84)&amp;"")</f>
        <v/>
      </c>
      <c r="C84">
        <f>IF($P84="","",INDEX(상세표[부서],$P84)&amp;"")</f>
        <v/>
      </c>
      <c r="D84">
        <f>IF($P84="","",INDEX(상세표[직위],$P84)&amp;"")</f>
        <v/>
      </c>
      <c r="E84">
        <f>IF($P84="","",IF(ISNUMBER(INDEX(상세표[시작],$P84)),TEXT(INDEX(상세표[시작],$P84),"yyyy-mm-dd hh:mm"),INDEX(상세표[시작],$P84)&amp;""))</f>
        <v/>
      </c>
      <c r="F84">
        <f>IF($P84="","",IF(ISNUMBER(INDEX(상세표[블록종료],$P84)),TEXT(INDEX(상세표[블록종료],$P84),"yyyy-mm-dd hh:mm"),INDEX(상세표[블록종료],$P84)&amp;""))</f>
        <v/>
      </c>
      <c r="G84">
        <f>IF($P84="","",CHOOSE(WEEKDAY(INDEX(상세표[시작],$P84)),"일","월","화","수","목","금","토"))</f>
        <v/>
      </c>
      <c r="H84">
        <f>IF($P84="","",INDEX(상세표[연속 시간],$P84))</f>
        <v/>
      </c>
      <c r="I84">
        <f>IF($P84="","",INDEX(상세표[기록 수],$P84))</f>
        <v/>
      </c>
      <c r="J84">
        <f>IF($P84="","",INDEX(상세표[블록 06~07시],$P84))</f>
        <v/>
      </c>
      <c r="K84">
        <f>IF($P84="","",INDEX(상세표[블록 07~18시],$P84))</f>
        <v/>
      </c>
      <c r="L84">
        <f>IF($P84="","",INDEX(상세표[블록 18~22시],$P84))</f>
        <v/>
      </c>
      <c r="M84">
        <f>IF($P84="","",INDEX(상세표[블록 22~06시],$P84))</f>
        <v/>
      </c>
      <c r="N84">
        <f>IF($P84="","",INDEX(상세표[주말·휴일 포함],$P84)&amp;"")</f>
        <v/>
      </c>
      <c r="O84">
        <f>IF($P84="","",INDEX(상세표[월 넘김 포함],$P84)&amp;"")</f>
        <v/>
      </c>
      <c r="P84" s="4">
        <f>IFERROR(MATCH(79,상세표[연속순번],0),"")</f>
        <v/>
      </c>
    </row>
    <row r="85">
      <c r="A85">
        <f>IF($P85="","",INDEX(상세표[사번],$P85)&amp;"")</f>
        <v/>
      </c>
      <c r="B85">
        <f>IF($P85="","",INDEX(상세표[성명],$P85)&amp;"")</f>
        <v/>
      </c>
      <c r="C85">
        <f>IF($P85="","",INDEX(상세표[부서],$P85)&amp;"")</f>
        <v/>
      </c>
      <c r="D85">
        <f>IF($P85="","",INDEX(상세표[직위],$P85)&amp;"")</f>
        <v/>
      </c>
      <c r="E85">
        <f>IF($P85="","",IF(ISNUMBER(INDEX(상세표[시작],$P85)),TEXT(INDEX(상세표[시작],$P85),"yyyy-mm-dd hh:mm"),INDEX(상세표[시작],$P85)&amp;""))</f>
        <v/>
      </c>
      <c r="F85">
        <f>IF($P85="","",IF(ISNUMBER(INDEX(상세표[블록종료],$P85)),TEXT(INDEX(상세표[블록종료],$P85),"yyyy-mm-dd hh:mm"),INDEX(상세표[블록종료],$P85)&amp;""))</f>
        <v/>
      </c>
      <c r="G85">
        <f>IF($P85="","",CHOOSE(WEEKDAY(INDEX(상세표[시작],$P85)),"일","월","화","수","목","금","토"))</f>
        <v/>
      </c>
      <c r="H85">
        <f>IF($P85="","",INDEX(상세표[연속 시간],$P85))</f>
        <v/>
      </c>
      <c r="I85">
        <f>IF($P85="","",INDEX(상세표[기록 수],$P85))</f>
        <v/>
      </c>
      <c r="J85">
        <f>IF($P85="","",INDEX(상세표[블록 06~07시],$P85))</f>
        <v/>
      </c>
      <c r="K85">
        <f>IF($P85="","",INDEX(상세표[블록 07~18시],$P85))</f>
        <v/>
      </c>
      <c r="L85">
        <f>IF($P85="","",INDEX(상세표[블록 18~22시],$P85))</f>
        <v/>
      </c>
      <c r="M85">
        <f>IF($P85="","",INDEX(상세표[블록 22~06시],$P85))</f>
        <v/>
      </c>
      <c r="N85">
        <f>IF($P85="","",INDEX(상세표[주말·휴일 포함],$P85)&amp;"")</f>
        <v/>
      </c>
      <c r="O85">
        <f>IF($P85="","",INDEX(상세표[월 넘김 포함],$P85)&amp;"")</f>
        <v/>
      </c>
      <c r="P85" s="4">
        <f>IFERROR(MATCH(80,상세표[연속순번],0),"")</f>
        <v/>
      </c>
    </row>
    <row r="86">
      <c r="A86">
        <f>IF($P86="","",INDEX(상세표[사번],$P86)&amp;"")</f>
        <v/>
      </c>
      <c r="B86">
        <f>IF($P86="","",INDEX(상세표[성명],$P86)&amp;"")</f>
        <v/>
      </c>
      <c r="C86">
        <f>IF($P86="","",INDEX(상세표[부서],$P86)&amp;"")</f>
        <v/>
      </c>
      <c r="D86">
        <f>IF($P86="","",INDEX(상세표[직위],$P86)&amp;"")</f>
        <v/>
      </c>
      <c r="E86">
        <f>IF($P86="","",IF(ISNUMBER(INDEX(상세표[시작],$P86)),TEXT(INDEX(상세표[시작],$P86),"yyyy-mm-dd hh:mm"),INDEX(상세표[시작],$P86)&amp;""))</f>
        <v/>
      </c>
      <c r="F86">
        <f>IF($P86="","",IF(ISNUMBER(INDEX(상세표[블록종료],$P86)),TEXT(INDEX(상세표[블록종료],$P86),"yyyy-mm-dd hh:mm"),INDEX(상세표[블록종료],$P86)&amp;""))</f>
        <v/>
      </c>
      <c r="G86">
        <f>IF($P86="","",CHOOSE(WEEKDAY(INDEX(상세표[시작],$P86)),"일","월","화","수","목","금","토"))</f>
        <v/>
      </c>
      <c r="H86">
        <f>IF($P86="","",INDEX(상세표[연속 시간],$P86))</f>
        <v/>
      </c>
      <c r="I86">
        <f>IF($P86="","",INDEX(상세표[기록 수],$P86))</f>
        <v/>
      </c>
      <c r="J86">
        <f>IF($P86="","",INDEX(상세표[블록 06~07시],$P86))</f>
        <v/>
      </c>
      <c r="K86">
        <f>IF($P86="","",INDEX(상세표[블록 07~18시],$P86))</f>
        <v/>
      </c>
      <c r="L86">
        <f>IF($P86="","",INDEX(상세표[블록 18~22시],$P86))</f>
        <v/>
      </c>
      <c r="M86">
        <f>IF($P86="","",INDEX(상세표[블록 22~06시],$P86))</f>
        <v/>
      </c>
      <c r="N86">
        <f>IF($P86="","",INDEX(상세표[주말·휴일 포함],$P86)&amp;"")</f>
        <v/>
      </c>
      <c r="O86">
        <f>IF($P86="","",INDEX(상세표[월 넘김 포함],$P86)&amp;"")</f>
        <v/>
      </c>
      <c r="P86" s="4">
        <f>IFERROR(MATCH(81,상세표[연속순번],0),"")</f>
        <v/>
      </c>
    </row>
    <row r="87">
      <c r="A87">
        <f>IF($P87="","",INDEX(상세표[사번],$P87)&amp;"")</f>
        <v/>
      </c>
      <c r="B87">
        <f>IF($P87="","",INDEX(상세표[성명],$P87)&amp;"")</f>
        <v/>
      </c>
      <c r="C87">
        <f>IF($P87="","",INDEX(상세표[부서],$P87)&amp;"")</f>
        <v/>
      </c>
      <c r="D87">
        <f>IF($P87="","",INDEX(상세표[직위],$P87)&amp;"")</f>
        <v/>
      </c>
      <c r="E87">
        <f>IF($P87="","",IF(ISNUMBER(INDEX(상세표[시작],$P87)),TEXT(INDEX(상세표[시작],$P87),"yyyy-mm-dd hh:mm"),INDEX(상세표[시작],$P87)&amp;""))</f>
        <v/>
      </c>
      <c r="F87">
        <f>IF($P87="","",IF(ISNUMBER(INDEX(상세표[블록종료],$P87)),TEXT(INDEX(상세표[블록종료],$P87),"yyyy-mm-dd hh:mm"),INDEX(상세표[블록종료],$P87)&amp;""))</f>
        <v/>
      </c>
      <c r="G87">
        <f>IF($P87="","",CHOOSE(WEEKDAY(INDEX(상세표[시작],$P87)),"일","월","화","수","목","금","토"))</f>
        <v/>
      </c>
      <c r="H87">
        <f>IF($P87="","",INDEX(상세표[연속 시간],$P87))</f>
        <v/>
      </c>
      <c r="I87">
        <f>IF($P87="","",INDEX(상세표[기록 수],$P87))</f>
        <v/>
      </c>
      <c r="J87">
        <f>IF($P87="","",INDEX(상세표[블록 06~07시],$P87))</f>
        <v/>
      </c>
      <c r="K87">
        <f>IF($P87="","",INDEX(상세표[블록 07~18시],$P87))</f>
        <v/>
      </c>
      <c r="L87">
        <f>IF($P87="","",INDEX(상세표[블록 18~22시],$P87))</f>
        <v/>
      </c>
      <c r="M87">
        <f>IF($P87="","",INDEX(상세표[블록 22~06시],$P87))</f>
        <v/>
      </c>
      <c r="N87">
        <f>IF($P87="","",INDEX(상세표[주말·휴일 포함],$P87)&amp;"")</f>
        <v/>
      </c>
      <c r="O87">
        <f>IF($P87="","",INDEX(상세표[월 넘김 포함],$P87)&amp;"")</f>
        <v/>
      </c>
      <c r="P87" s="4">
        <f>IFERROR(MATCH(82,상세표[연속순번],0),"")</f>
        <v/>
      </c>
    </row>
    <row r="88">
      <c r="A88">
        <f>IF($P88="","",INDEX(상세표[사번],$P88)&amp;"")</f>
        <v/>
      </c>
      <c r="B88">
        <f>IF($P88="","",INDEX(상세표[성명],$P88)&amp;"")</f>
        <v/>
      </c>
      <c r="C88">
        <f>IF($P88="","",INDEX(상세표[부서],$P88)&amp;"")</f>
        <v/>
      </c>
      <c r="D88">
        <f>IF($P88="","",INDEX(상세표[직위],$P88)&amp;"")</f>
        <v/>
      </c>
      <c r="E88">
        <f>IF($P88="","",IF(ISNUMBER(INDEX(상세표[시작],$P88)),TEXT(INDEX(상세표[시작],$P88),"yyyy-mm-dd hh:mm"),INDEX(상세표[시작],$P88)&amp;""))</f>
        <v/>
      </c>
      <c r="F88">
        <f>IF($P88="","",IF(ISNUMBER(INDEX(상세표[블록종료],$P88)),TEXT(INDEX(상세표[블록종료],$P88),"yyyy-mm-dd hh:mm"),INDEX(상세표[블록종료],$P88)&amp;""))</f>
        <v/>
      </c>
      <c r="G88">
        <f>IF($P88="","",CHOOSE(WEEKDAY(INDEX(상세표[시작],$P88)),"일","월","화","수","목","금","토"))</f>
        <v/>
      </c>
      <c r="H88">
        <f>IF($P88="","",INDEX(상세표[연속 시간],$P88))</f>
        <v/>
      </c>
      <c r="I88">
        <f>IF($P88="","",INDEX(상세표[기록 수],$P88))</f>
        <v/>
      </c>
      <c r="J88">
        <f>IF($P88="","",INDEX(상세표[블록 06~07시],$P88))</f>
        <v/>
      </c>
      <c r="K88">
        <f>IF($P88="","",INDEX(상세표[블록 07~18시],$P88))</f>
        <v/>
      </c>
      <c r="L88">
        <f>IF($P88="","",INDEX(상세표[블록 18~22시],$P88))</f>
        <v/>
      </c>
      <c r="M88">
        <f>IF($P88="","",INDEX(상세표[블록 22~06시],$P88))</f>
        <v/>
      </c>
      <c r="N88">
        <f>IF($P88="","",INDEX(상세표[주말·휴일 포함],$P88)&amp;"")</f>
        <v/>
      </c>
      <c r="O88">
        <f>IF($P88="","",INDEX(상세표[월 넘김 포함],$P88)&amp;"")</f>
        <v/>
      </c>
      <c r="P88" s="4">
        <f>IFERROR(MATCH(83,상세표[연속순번],0),"")</f>
        <v/>
      </c>
    </row>
    <row r="89">
      <c r="A89">
        <f>IF($P89="","",INDEX(상세표[사번],$P89)&amp;"")</f>
        <v/>
      </c>
      <c r="B89">
        <f>IF($P89="","",INDEX(상세표[성명],$P89)&amp;"")</f>
        <v/>
      </c>
      <c r="C89">
        <f>IF($P89="","",INDEX(상세표[부서],$P89)&amp;"")</f>
        <v/>
      </c>
      <c r="D89">
        <f>IF($P89="","",INDEX(상세표[직위],$P89)&amp;"")</f>
        <v/>
      </c>
      <c r="E89">
        <f>IF($P89="","",IF(ISNUMBER(INDEX(상세표[시작],$P89)),TEXT(INDEX(상세표[시작],$P89),"yyyy-mm-dd hh:mm"),INDEX(상세표[시작],$P89)&amp;""))</f>
        <v/>
      </c>
      <c r="F89">
        <f>IF($P89="","",IF(ISNUMBER(INDEX(상세표[블록종료],$P89)),TEXT(INDEX(상세표[블록종료],$P89),"yyyy-mm-dd hh:mm"),INDEX(상세표[블록종료],$P89)&amp;""))</f>
        <v/>
      </c>
      <c r="G89">
        <f>IF($P89="","",CHOOSE(WEEKDAY(INDEX(상세표[시작],$P89)),"일","월","화","수","목","금","토"))</f>
        <v/>
      </c>
      <c r="H89">
        <f>IF($P89="","",INDEX(상세표[연속 시간],$P89))</f>
        <v/>
      </c>
      <c r="I89">
        <f>IF($P89="","",INDEX(상세표[기록 수],$P89))</f>
        <v/>
      </c>
      <c r="J89">
        <f>IF($P89="","",INDEX(상세표[블록 06~07시],$P89))</f>
        <v/>
      </c>
      <c r="K89">
        <f>IF($P89="","",INDEX(상세표[블록 07~18시],$P89))</f>
        <v/>
      </c>
      <c r="L89">
        <f>IF($P89="","",INDEX(상세표[블록 18~22시],$P89))</f>
        <v/>
      </c>
      <c r="M89">
        <f>IF($P89="","",INDEX(상세표[블록 22~06시],$P89))</f>
        <v/>
      </c>
      <c r="N89">
        <f>IF($P89="","",INDEX(상세표[주말·휴일 포함],$P89)&amp;"")</f>
        <v/>
      </c>
      <c r="O89">
        <f>IF($P89="","",INDEX(상세표[월 넘김 포함],$P89)&amp;"")</f>
        <v/>
      </c>
      <c r="P89" s="4">
        <f>IFERROR(MATCH(84,상세표[연속순번],0),"")</f>
        <v/>
      </c>
    </row>
    <row r="90">
      <c r="A90">
        <f>IF($P90="","",INDEX(상세표[사번],$P90)&amp;"")</f>
        <v/>
      </c>
      <c r="B90">
        <f>IF($P90="","",INDEX(상세표[성명],$P90)&amp;"")</f>
        <v/>
      </c>
      <c r="C90">
        <f>IF($P90="","",INDEX(상세표[부서],$P90)&amp;"")</f>
        <v/>
      </c>
      <c r="D90">
        <f>IF($P90="","",INDEX(상세표[직위],$P90)&amp;"")</f>
        <v/>
      </c>
      <c r="E90">
        <f>IF($P90="","",IF(ISNUMBER(INDEX(상세표[시작],$P90)),TEXT(INDEX(상세표[시작],$P90),"yyyy-mm-dd hh:mm"),INDEX(상세표[시작],$P90)&amp;""))</f>
        <v/>
      </c>
      <c r="F90">
        <f>IF($P90="","",IF(ISNUMBER(INDEX(상세표[블록종료],$P90)),TEXT(INDEX(상세표[블록종료],$P90),"yyyy-mm-dd hh:mm"),INDEX(상세표[블록종료],$P90)&amp;""))</f>
        <v/>
      </c>
      <c r="G90">
        <f>IF($P90="","",CHOOSE(WEEKDAY(INDEX(상세표[시작],$P90)),"일","월","화","수","목","금","토"))</f>
        <v/>
      </c>
      <c r="H90">
        <f>IF($P90="","",INDEX(상세표[연속 시간],$P90))</f>
        <v/>
      </c>
      <c r="I90">
        <f>IF($P90="","",INDEX(상세표[기록 수],$P90))</f>
        <v/>
      </c>
      <c r="J90">
        <f>IF($P90="","",INDEX(상세표[블록 06~07시],$P90))</f>
        <v/>
      </c>
      <c r="K90">
        <f>IF($P90="","",INDEX(상세표[블록 07~18시],$P90))</f>
        <v/>
      </c>
      <c r="L90">
        <f>IF($P90="","",INDEX(상세표[블록 18~22시],$P90))</f>
        <v/>
      </c>
      <c r="M90">
        <f>IF($P90="","",INDEX(상세표[블록 22~06시],$P90))</f>
        <v/>
      </c>
      <c r="N90">
        <f>IF($P90="","",INDEX(상세표[주말·휴일 포함],$P90)&amp;"")</f>
        <v/>
      </c>
      <c r="O90">
        <f>IF($P90="","",INDEX(상세표[월 넘김 포함],$P90)&amp;"")</f>
        <v/>
      </c>
      <c r="P90" s="4">
        <f>IFERROR(MATCH(85,상세표[연속순번],0),"")</f>
        <v/>
      </c>
    </row>
    <row r="91">
      <c r="A91">
        <f>IF($P91="","",INDEX(상세표[사번],$P91)&amp;"")</f>
        <v/>
      </c>
      <c r="B91">
        <f>IF($P91="","",INDEX(상세표[성명],$P91)&amp;"")</f>
        <v/>
      </c>
      <c r="C91">
        <f>IF($P91="","",INDEX(상세표[부서],$P91)&amp;"")</f>
        <v/>
      </c>
      <c r="D91">
        <f>IF($P91="","",INDEX(상세표[직위],$P91)&amp;"")</f>
        <v/>
      </c>
      <c r="E91">
        <f>IF($P91="","",IF(ISNUMBER(INDEX(상세표[시작],$P91)),TEXT(INDEX(상세표[시작],$P91),"yyyy-mm-dd hh:mm"),INDEX(상세표[시작],$P91)&amp;""))</f>
        <v/>
      </c>
      <c r="F91">
        <f>IF($P91="","",IF(ISNUMBER(INDEX(상세표[블록종료],$P91)),TEXT(INDEX(상세표[블록종료],$P91),"yyyy-mm-dd hh:mm"),INDEX(상세표[블록종료],$P91)&amp;""))</f>
        <v/>
      </c>
      <c r="G91">
        <f>IF($P91="","",CHOOSE(WEEKDAY(INDEX(상세표[시작],$P91)),"일","월","화","수","목","금","토"))</f>
        <v/>
      </c>
      <c r="H91">
        <f>IF($P91="","",INDEX(상세표[연속 시간],$P91))</f>
        <v/>
      </c>
      <c r="I91">
        <f>IF($P91="","",INDEX(상세표[기록 수],$P91))</f>
        <v/>
      </c>
      <c r="J91">
        <f>IF($P91="","",INDEX(상세표[블록 06~07시],$P91))</f>
        <v/>
      </c>
      <c r="K91">
        <f>IF($P91="","",INDEX(상세표[블록 07~18시],$P91))</f>
        <v/>
      </c>
      <c r="L91">
        <f>IF($P91="","",INDEX(상세표[블록 18~22시],$P91))</f>
        <v/>
      </c>
      <c r="M91">
        <f>IF($P91="","",INDEX(상세표[블록 22~06시],$P91))</f>
        <v/>
      </c>
      <c r="N91">
        <f>IF($P91="","",INDEX(상세표[주말·휴일 포함],$P91)&amp;"")</f>
        <v/>
      </c>
      <c r="O91">
        <f>IF($P91="","",INDEX(상세표[월 넘김 포함],$P91)&amp;"")</f>
        <v/>
      </c>
      <c r="P91" s="4">
        <f>IFERROR(MATCH(86,상세표[연속순번],0),"")</f>
        <v/>
      </c>
    </row>
    <row r="92">
      <c r="A92">
        <f>IF($P92="","",INDEX(상세표[사번],$P92)&amp;"")</f>
        <v/>
      </c>
      <c r="B92">
        <f>IF($P92="","",INDEX(상세표[성명],$P92)&amp;"")</f>
        <v/>
      </c>
      <c r="C92">
        <f>IF($P92="","",INDEX(상세표[부서],$P92)&amp;"")</f>
        <v/>
      </c>
      <c r="D92">
        <f>IF($P92="","",INDEX(상세표[직위],$P92)&amp;"")</f>
        <v/>
      </c>
      <c r="E92">
        <f>IF($P92="","",IF(ISNUMBER(INDEX(상세표[시작],$P92)),TEXT(INDEX(상세표[시작],$P92),"yyyy-mm-dd hh:mm"),INDEX(상세표[시작],$P92)&amp;""))</f>
        <v/>
      </c>
      <c r="F92">
        <f>IF($P92="","",IF(ISNUMBER(INDEX(상세표[블록종료],$P92)),TEXT(INDEX(상세표[블록종료],$P92),"yyyy-mm-dd hh:mm"),INDEX(상세표[블록종료],$P92)&amp;""))</f>
        <v/>
      </c>
      <c r="G92">
        <f>IF($P92="","",CHOOSE(WEEKDAY(INDEX(상세표[시작],$P92)),"일","월","화","수","목","금","토"))</f>
        <v/>
      </c>
      <c r="H92">
        <f>IF($P92="","",INDEX(상세표[연속 시간],$P92))</f>
        <v/>
      </c>
      <c r="I92">
        <f>IF($P92="","",INDEX(상세표[기록 수],$P92))</f>
        <v/>
      </c>
      <c r="J92">
        <f>IF($P92="","",INDEX(상세표[블록 06~07시],$P92))</f>
        <v/>
      </c>
      <c r="K92">
        <f>IF($P92="","",INDEX(상세표[블록 07~18시],$P92))</f>
        <v/>
      </c>
      <c r="L92">
        <f>IF($P92="","",INDEX(상세표[블록 18~22시],$P92))</f>
        <v/>
      </c>
      <c r="M92">
        <f>IF($P92="","",INDEX(상세표[블록 22~06시],$P92))</f>
        <v/>
      </c>
      <c r="N92">
        <f>IF($P92="","",INDEX(상세표[주말·휴일 포함],$P92)&amp;"")</f>
        <v/>
      </c>
      <c r="O92">
        <f>IF($P92="","",INDEX(상세표[월 넘김 포함],$P92)&amp;"")</f>
        <v/>
      </c>
      <c r="P92" s="4">
        <f>IFERROR(MATCH(87,상세표[연속순번],0),"")</f>
        <v/>
      </c>
    </row>
    <row r="93">
      <c r="A93">
        <f>IF($P93="","",INDEX(상세표[사번],$P93)&amp;"")</f>
        <v/>
      </c>
      <c r="B93">
        <f>IF($P93="","",INDEX(상세표[성명],$P93)&amp;"")</f>
        <v/>
      </c>
      <c r="C93">
        <f>IF($P93="","",INDEX(상세표[부서],$P93)&amp;"")</f>
        <v/>
      </c>
      <c r="D93">
        <f>IF($P93="","",INDEX(상세표[직위],$P93)&amp;"")</f>
        <v/>
      </c>
      <c r="E93">
        <f>IF($P93="","",IF(ISNUMBER(INDEX(상세표[시작],$P93)),TEXT(INDEX(상세표[시작],$P93),"yyyy-mm-dd hh:mm"),INDEX(상세표[시작],$P93)&amp;""))</f>
        <v/>
      </c>
      <c r="F93">
        <f>IF($P93="","",IF(ISNUMBER(INDEX(상세표[블록종료],$P93)),TEXT(INDEX(상세표[블록종료],$P93),"yyyy-mm-dd hh:mm"),INDEX(상세표[블록종료],$P93)&amp;""))</f>
        <v/>
      </c>
      <c r="G93">
        <f>IF($P93="","",CHOOSE(WEEKDAY(INDEX(상세표[시작],$P93)),"일","월","화","수","목","금","토"))</f>
        <v/>
      </c>
      <c r="H93">
        <f>IF($P93="","",INDEX(상세표[연속 시간],$P93))</f>
        <v/>
      </c>
      <c r="I93">
        <f>IF($P93="","",INDEX(상세표[기록 수],$P93))</f>
        <v/>
      </c>
      <c r="J93">
        <f>IF($P93="","",INDEX(상세표[블록 06~07시],$P93))</f>
        <v/>
      </c>
      <c r="K93">
        <f>IF($P93="","",INDEX(상세표[블록 07~18시],$P93))</f>
        <v/>
      </c>
      <c r="L93">
        <f>IF($P93="","",INDEX(상세표[블록 18~22시],$P93))</f>
        <v/>
      </c>
      <c r="M93">
        <f>IF($P93="","",INDEX(상세표[블록 22~06시],$P93))</f>
        <v/>
      </c>
      <c r="N93">
        <f>IF($P93="","",INDEX(상세표[주말·휴일 포함],$P93)&amp;"")</f>
        <v/>
      </c>
      <c r="O93">
        <f>IF($P93="","",INDEX(상세표[월 넘김 포함],$P93)&amp;"")</f>
        <v/>
      </c>
      <c r="P93" s="4">
        <f>IFERROR(MATCH(88,상세표[연속순번],0),"")</f>
        <v/>
      </c>
    </row>
    <row r="94">
      <c r="A94">
        <f>IF($P94="","",INDEX(상세표[사번],$P94)&amp;"")</f>
        <v/>
      </c>
      <c r="B94">
        <f>IF($P94="","",INDEX(상세표[성명],$P94)&amp;"")</f>
        <v/>
      </c>
      <c r="C94">
        <f>IF($P94="","",INDEX(상세표[부서],$P94)&amp;"")</f>
        <v/>
      </c>
      <c r="D94">
        <f>IF($P94="","",INDEX(상세표[직위],$P94)&amp;"")</f>
        <v/>
      </c>
      <c r="E94">
        <f>IF($P94="","",IF(ISNUMBER(INDEX(상세표[시작],$P94)),TEXT(INDEX(상세표[시작],$P94),"yyyy-mm-dd hh:mm"),INDEX(상세표[시작],$P94)&amp;""))</f>
        <v/>
      </c>
      <c r="F94">
        <f>IF($P94="","",IF(ISNUMBER(INDEX(상세표[블록종료],$P94)),TEXT(INDEX(상세표[블록종료],$P94),"yyyy-mm-dd hh:mm"),INDEX(상세표[블록종료],$P94)&amp;""))</f>
        <v/>
      </c>
      <c r="G94">
        <f>IF($P94="","",CHOOSE(WEEKDAY(INDEX(상세표[시작],$P94)),"일","월","화","수","목","금","토"))</f>
        <v/>
      </c>
      <c r="H94">
        <f>IF($P94="","",INDEX(상세표[연속 시간],$P94))</f>
        <v/>
      </c>
      <c r="I94">
        <f>IF($P94="","",INDEX(상세표[기록 수],$P94))</f>
        <v/>
      </c>
      <c r="J94">
        <f>IF($P94="","",INDEX(상세표[블록 06~07시],$P94))</f>
        <v/>
      </c>
      <c r="K94">
        <f>IF($P94="","",INDEX(상세표[블록 07~18시],$P94))</f>
        <v/>
      </c>
      <c r="L94">
        <f>IF($P94="","",INDEX(상세표[블록 18~22시],$P94))</f>
        <v/>
      </c>
      <c r="M94">
        <f>IF($P94="","",INDEX(상세표[블록 22~06시],$P94))</f>
        <v/>
      </c>
      <c r="N94">
        <f>IF($P94="","",INDEX(상세표[주말·휴일 포함],$P94)&amp;"")</f>
        <v/>
      </c>
      <c r="O94">
        <f>IF($P94="","",INDEX(상세표[월 넘김 포함],$P94)&amp;"")</f>
        <v/>
      </c>
      <c r="P94" s="4">
        <f>IFERROR(MATCH(89,상세표[연속순번],0),"")</f>
        <v/>
      </c>
    </row>
    <row r="95">
      <c r="A95">
        <f>IF($P95="","",INDEX(상세표[사번],$P95)&amp;"")</f>
        <v/>
      </c>
      <c r="B95">
        <f>IF($P95="","",INDEX(상세표[성명],$P95)&amp;"")</f>
        <v/>
      </c>
      <c r="C95">
        <f>IF($P95="","",INDEX(상세표[부서],$P95)&amp;"")</f>
        <v/>
      </c>
      <c r="D95">
        <f>IF($P95="","",INDEX(상세표[직위],$P95)&amp;"")</f>
        <v/>
      </c>
      <c r="E95">
        <f>IF($P95="","",IF(ISNUMBER(INDEX(상세표[시작],$P95)),TEXT(INDEX(상세표[시작],$P95),"yyyy-mm-dd hh:mm"),INDEX(상세표[시작],$P95)&amp;""))</f>
        <v/>
      </c>
      <c r="F95">
        <f>IF($P95="","",IF(ISNUMBER(INDEX(상세표[블록종료],$P95)),TEXT(INDEX(상세표[블록종료],$P95),"yyyy-mm-dd hh:mm"),INDEX(상세표[블록종료],$P95)&amp;""))</f>
        <v/>
      </c>
      <c r="G95">
        <f>IF($P95="","",CHOOSE(WEEKDAY(INDEX(상세표[시작],$P95)),"일","월","화","수","목","금","토"))</f>
        <v/>
      </c>
      <c r="H95">
        <f>IF($P95="","",INDEX(상세표[연속 시간],$P95))</f>
        <v/>
      </c>
      <c r="I95">
        <f>IF($P95="","",INDEX(상세표[기록 수],$P95))</f>
        <v/>
      </c>
      <c r="J95">
        <f>IF($P95="","",INDEX(상세표[블록 06~07시],$P95))</f>
        <v/>
      </c>
      <c r="K95">
        <f>IF($P95="","",INDEX(상세표[블록 07~18시],$P95))</f>
        <v/>
      </c>
      <c r="L95">
        <f>IF($P95="","",INDEX(상세표[블록 18~22시],$P95))</f>
        <v/>
      </c>
      <c r="M95">
        <f>IF($P95="","",INDEX(상세표[블록 22~06시],$P95))</f>
        <v/>
      </c>
      <c r="N95">
        <f>IF($P95="","",INDEX(상세표[주말·휴일 포함],$P95)&amp;"")</f>
        <v/>
      </c>
      <c r="O95">
        <f>IF($P95="","",INDEX(상세표[월 넘김 포함],$P95)&amp;"")</f>
        <v/>
      </c>
      <c r="P95" s="4">
        <f>IFERROR(MATCH(90,상세표[연속순번],0),"")</f>
        <v/>
      </c>
    </row>
    <row r="96">
      <c r="A96">
        <f>IF($P96="","",INDEX(상세표[사번],$P96)&amp;"")</f>
        <v/>
      </c>
      <c r="B96">
        <f>IF($P96="","",INDEX(상세표[성명],$P96)&amp;"")</f>
        <v/>
      </c>
      <c r="C96">
        <f>IF($P96="","",INDEX(상세표[부서],$P96)&amp;"")</f>
        <v/>
      </c>
      <c r="D96">
        <f>IF($P96="","",INDEX(상세표[직위],$P96)&amp;"")</f>
        <v/>
      </c>
      <c r="E96">
        <f>IF($P96="","",IF(ISNUMBER(INDEX(상세표[시작],$P96)),TEXT(INDEX(상세표[시작],$P96),"yyyy-mm-dd hh:mm"),INDEX(상세표[시작],$P96)&amp;""))</f>
        <v/>
      </c>
      <c r="F96">
        <f>IF($P96="","",IF(ISNUMBER(INDEX(상세표[블록종료],$P96)),TEXT(INDEX(상세표[블록종료],$P96),"yyyy-mm-dd hh:mm"),INDEX(상세표[블록종료],$P96)&amp;""))</f>
        <v/>
      </c>
      <c r="G96">
        <f>IF($P96="","",CHOOSE(WEEKDAY(INDEX(상세표[시작],$P96)),"일","월","화","수","목","금","토"))</f>
        <v/>
      </c>
      <c r="H96">
        <f>IF($P96="","",INDEX(상세표[연속 시간],$P96))</f>
        <v/>
      </c>
      <c r="I96">
        <f>IF($P96="","",INDEX(상세표[기록 수],$P96))</f>
        <v/>
      </c>
      <c r="J96">
        <f>IF($P96="","",INDEX(상세표[블록 06~07시],$P96))</f>
        <v/>
      </c>
      <c r="K96">
        <f>IF($P96="","",INDEX(상세표[블록 07~18시],$P96))</f>
        <v/>
      </c>
      <c r="L96">
        <f>IF($P96="","",INDEX(상세표[블록 18~22시],$P96))</f>
        <v/>
      </c>
      <c r="M96">
        <f>IF($P96="","",INDEX(상세표[블록 22~06시],$P96))</f>
        <v/>
      </c>
      <c r="N96">
        <f>IF($P96="","",INDEX(상세표[주말·휴일 포함],$P96)&amp;"")</f>
        <v/>
      </c>
      <c r="O96">
        <f>IF($P96="","",INDEX(상세표[월 넘김 포함],$P96)&amp;"")</f>
        <v/>
      </c>
      <c r="P96" s="4">
        <f>IFERROR(MATCH(91,상세표[연속순번],0),"")</f>
        <v/>
      </c>
    </row>
    <row r="97">
      <c r="A97">
        <f>IF($P97="","",INDEX(상세표[사번],$P97)&amp;"")</f>
        <v/>
      </c>
      <c r="B97">
        <f>IF($P97="","",INDEX(상세표[성명],$P97)&amp;"")</f>
        <v/>
      </c>
      <c r="C97">
        <f>IF($P97="","",INDEX(상세표[부서],$P97)&amp;"")</f>
        <v/>
      </c>
      <c r="D97">
        <f>IF($P97="","",INDEX(상세표[직위],$P97)&amp;"")</f>
        <v/>
      </c>
      <c r="E97">
        <f>IF($P97="","",IF(ISNUMBER(INDEX(상세표[시작],$P97)),TEXT(INDEX(상세표[시작],$P97),"yyyy-mm-dd hh:mm"),INDEX(상세표[시작],$P97)&amp;""))</f>
        <v/>
      </c>
      <c r="F97">
        <f>IF($P97="","",IF(ISNUMBER(INDEX(상세표[블록종료],$P97)),TEXT(INDEX(상세표[블록종료],$P97),"yyyy-mm-dd hh:mm"),INDEX(상세표[블록종료],$P97)&amp;""))</f>
        <v/>
      </c>
      <c r="G97">
        <f>IF($P97="","",CHOOSE(WEEKDAY(INDEX(상세표[시작],$P97)),"일","월","화","수","목","금","토"))</f>
        <v/>
      </c>
      <c r="H97">
        <f>IF($P97="","",INDEX(상세표[연속 시간],$P97))</f>
        <v/>
      </c>
      <c r="I97">
        <f>IF($P97="","",INDEX(상세표[기록 수],$P97))</f>
        <v/>
      </c>
      <c r="J97">
        <f>IF($P97="","",INDEX(상세표[블록 06~07시],$P97))</f>
        <v/>
      </c>
      <c r="K97">
        <f>IF($P97="","",INDEX(상세표[블록 07~18시],$P97))</f>
        <v/>
      </c>
      <c r="L97">
        <f>IF($P97="","",INDEX(상세표[블록 18~22시],$P97))</f>
        <v/>
      </c>
      <c r="M97">
        <f>IF($P97="","",INDEX(상세표[블록 22~06시],$P97))</f>
        <v/>
      </c>
      <c r="N97">
        <f>IF($P97="","",INDEX(상세표[주말·휴일 포함],$P97)&amp;"")</f>
        <v/>
      </c>
      <c r="O97">
        <f>IF($P97="","",INDEX(상세표[월 넘김 포함],$P97)&amp;"")</f>
        <v/>
      </c>
      <c r="P97" s="4">
        <f>IFERROR(MATCH(92,상세표[연속순번],0),"")</f>
        <v/>
      </c>
    </row>
    <row r="98">
      <c r="A98">
        <f>IF($P98="","",INDEX(상세표[사번],$P98)&amp;"")</f>
        <v/>
      </c>
      <c r="B98">
        <f>IF($P98="","",INDEX(상세표[성명],$P98)&amp;"")</f>
        <v/>
      </c>
      <c r="C98">
        <f>IF($P98="","",INDEX(상세표[부서],$P98)&amp;"")</f>
        <v/>
      </c>
      <c r="D98">
        <f>IF($P98="","",INDEX(상세표[직위],$P98)&amp;"")</f>
        <v/>
      </c>
      <c r="E98">
        <f>IF($P98="","",IF(ISNUMBER(INDEX(상세표[시작],$P98)),TEXT(INDEX(상세표[시작],$P98),"yyyy-mm-dd hh:mm"),INDEX(상세표[시작],$P98)&amp;""))</f>
        <v/>
      </c>
      <c r="F98">
        <f>IF($P98="","",IF(ISNUMBER(INDEX(상세표[블록종료],$P98)),TEXT(INDEX(상세표[블록종료],$P98),"yyyy-mm-dd hh:mm"),INDEX(상세표[블록종료],$P98)&amp;""))</f>
        <v/>
      </c>
      <c r="G98">
        <f>IF($P98="","",CHOOSE(WEEKDAY(INDEX(상세표[시작],$P98)),"일","월","화","수","목","금","토"))</f>
        <v/>
      </c>
      <c r="H98">
        <f>IF($P98="","",INDEX(상세표[연속 시간],$P98))</f>
        <v/>
      </c>
      <c r="I98">
        <f>IF($P98="","",INDEX(상세표[기록 수],$P98))</f>
        <v/>
      </c>
      <c r="J98">
        <f>IF($P98="","",INDEX(상세표[블록 06~07시],$P98))</f>
        <v/>
      </c>
      <c r="K98">
        <f>IF($P98="","",INDEX(상세표[블록 07~18시],$P98))</f>
        <v/>
      </c>
      <c r="L98">
        <f>IF($P98="","",INDEX(상세표[블록 18~22시],$P98))</f>
        <v/>
      </c>
      <c r="M98">
        <f>IF($P98="","",INDEX(상세표[블록 22~06시],$P98))</f>
        <v/>
      </c>
      <c r="N98">
        <f>IF($P98="","",INDEX(상세표[주말·휴일 포함],$P98)&amp;"")</f>
        <v/>
      </c>
      <c r="O98">
        <f>IF($P98="","",INDEX(상세표[월 넘김 포함],$P98)&amp;"")</f>
        <v/>
      </c>
      <c r="P98" s="4">
        <f>IFERROR(MATCH(93,상세표[연속순번],0),"")</f>
        <v/>
      </c>
    </row>
    <row r="99">
      <c r="A99">
        <f>IF($P99="","",INDEX(상세표[사번],$P99)&amp;"")</f>
        <v/>
      </c>
      <c r="B99">
        <f>IF($P99="","",INDEX(상세표[성명],$P99)&amp;"")</f>
        <v/>
      </c>
      <c r="C99">
        <f>IF($P99="","",INDEX(상세표[부서],$P99)&amp;"")</f>
        <v/>
      </c>
      <c r="D99">
        <f>IF($P99="","",INDEX(상세표[직위],$P99)&amp;"")</f>
        <v/>
      </c>
      <c r="E99">
        <f>IF($P99="","",IF(ISNUMBER(INDEX(상세표[시작],$P99)),TEXT(INDEX(상세표[시작],$P99),"yyyy-mm-dd hh:mm"),INDEX(상세표[시작],$P99)&amp;""))</f>
        <v/>
      </c>
      <c r="F99">
        <f>IF($P99="","",IF(ISNUMBER(INDEX(상세표[블록종료],$P99)),TEXT(INDEX(상세표[블록종료],$P99),"yyyy-mm-dd hh:mm"),INDEX(상세표[블록종료],$P99)&amp;""))</f>
        <v/>
      </c>
      <c r="G99">
        <f>IF($P99="","",CHOOSE(WEEKDAY(INDEX(상세표[시작],$P99)),"일","월","화","수","목","금","토"))</f>
        <v/>
      </c>
      <c r="H99">
        <f>IF($P99="","",INDEX(상세표[연속 시간],$P99))</f>
        <v/>
      </c>
      <c r="I99">
        <f>IF($P99="","",INDEX(상세표[기록 수],$P99))</f>
        <v/>
      </c>
      <c r="J99">
        <f>IF($P99="","",INDEX(상세표[블록 06~07시],$P99))</f>
        <v/>
      </c>
      <c r="K99">
        <f>IF($P99="","",INDEX(상세표[블록 07~18시],$P99))</f>
        <v/>
      </c>
      <c r="L99">
        <f>IF($P99="","",INDEX(상세표[블록 18~22시],$P99))</f>
        <v/>
      </c>
      <c r="M99">
        <f>IF($P99="","",INDEX(상세표[블록 22~06시],$P99))</f>
        <v/>
      </c>
      <c r="N99">
        <f>IF($P99="","",INDEX(상세표[주말·휴일 포함],$P99)&amp;"")</f>
        <v/>
      </c>
      <c r="O99">
        <f>IF($P99="","",INDEX(상세표[월 넘김 포함],$P99)&amp;"")</f>
        <v/>
      </c>
      <c r="P99" s="4">
        <f>IFERROR(MATCH(94,상세표[연속순번],0),"")</f>
        <v/>
      </c>
    </row>
    <row r="100">
      <c r="A100">
        <f>IF($P100="","",INDEX(상세표[사번],$P100)&amp;"")</f>
        <v/>
      </c>
      <c r="B100">
        <f>IF($P100="","",INDEX(상세표[성명],$P100)&amp;"")</f>
        <v/>
      </c>
      <c r="C100">
        <f>IF($P100="","",INDEX(상세표[부서],$P100)&amp;"")</f>
        <v/>
      </c>
      <c r="D100">
        <f>IF($P100="","",INDEX(상세표[직위],$P100)&amp;"")</f>
        <v/>
      </c>
      <c r="E100">
        <f>IF($P100="","",IF(ISNUMBER(INDEX(상세표[시작],$P100)),TEXT(INDEX(상세표[시작],$P100),"yyyy-mm-dd hh:mm"),INDEX(상세표[시작],$P100)&amp;""))</f>
        <v/>
      </c>
      <c r="F100">
        <f>IF($P100="","",IF(ISNUMBER(INDEX(상세표[블록종료],$P100)),TEXT(INDEX(상세표[블록종료],$P100),"yyyy-mm-dd hh:mm"),INDEX(상세표[블록종료],$P100)&amp;""))</f>
        <v/>
      </c>
      <c r="G100">
        <f>IF($P100="","",CHOOSE(WEEKDAY(INDEX(상세표[시작],$P100)),"일","월","화","수","목","금","토"))</f>
        <v/>
      </c>
      <c r="H100">
        <f>IF($P100="","",INDEX(상세표[연속 시간],$P100))</f>
        <v/>
      </c>
      <c r="I100">
        <f>IF($P100="","",INDEX(상세표[기록 수],$P100))</f>
        <v/>
      </c>
      <c r="J100">
        <f>IF($P100="","",INDEX(상세표[블록 06~07시],$P100))</f>
        <v/>
      </c>
      <c r="K100">
        <f>IF($P100="","",INDEX(상세표[블록 07~18시],$P100))</f>
        <v/>
      </c>
      <c r="L100">
        <f>IF($P100="","",INDEX(상세표[블록 18~22시],$P100))</f>
        <v/>
      </c>
      <c r="M100">
        <f>IF($P100="","",INDEX(상세표[블록 22~06시],$P100))</f>
        <v/>
      </c>
      <c r="N100">
        <f>IF($P100="","",INDEX(상세표[주말·휴일 포함],$P100)&amp;"")</f>
        <v/>
      </c>
      <c r="O100">
        <f>IF($P100="","",INDEX(상세표[월 넘김 포함],$P100)&amp;"")</f>
        <v/>
      </c>
      <c r="P100" s="4">
        <f>IFERROR(MATCH(95,상세표[연속순번],0),"")</f>
        <v/>
      </c>
    </row>
    <row r="101">
      <c r="A101">
        <f>IF($P101="","",INDEX(상세표[사번],$P101)&amp;"")</f>
        <v/>
      </c>
      <c r="B101">
        <f>IF($P101="","",INDEX(상세표[성명],$P101)&amp;"")</f>
        <v/>
      </c>
      <c r="C101">
        <f>IF($P101="","",INDEX(상세표[부서],$P101)&amp;"")</f>
        <v/>
      </c>
      <c r="D101">
        <f>IF($P101="","",INDEX(상세표[직위],$P101)&amp;"")</f>
        <v/>
      </c>
      <c r="E101">
        <f>IF($P101="","",IF(ISNUMBER(INDEX(상세표[시작],$P101)),TEXT(INDEX(상세표[시작],$P101),"yyyy-mm-dd hh:mm"),INDEX(상세표[시작],$P101)&amp;""))</f>
        <v/>
      </c>
      <c r="F101">
        <f>IF($P101="","",IF(ISNUMBER(INDEX(상세표[블록종료],$P101)),TEXT(INDEX(상세표[블록종료],$P101),"yyyy-mm-dd hh:mm"),INDEX(상세표[블록종료],$P101)&amp;""))</f>
        <v/>
      </c>
      <c r="G101">
        <f>IF($P101="","",CHOOSE(WEEKDAY(INDEX(상세표[시작],$P101)),"일","월","화","수","목","금","토"))</f>
        <v/>
      </c>
      <c r="H101">
        <f>IF($P101="","",INDEX(상세표[연속 시간],$P101))</f>
        <v/>
      </c>
      <c r="I101">
        <f>IF($P101="","",INDEX(상세표[기록 수],$P101))</f>
        <v/>
      </c>
      <c r="J101">
        <f>IF($P101="","",INDEX(상세표[블록 06~07시],$P101))</f>
        <v/>
      </c>
      <c r="K101">
        <f>IF($P101="","",INDEX(상세표[블록 07~18시],$P101))</f>
        <v/>
      </c>
      <c r="L101">
        <f>IF($P101="","",INDEX(상세표[블록 18~22시],$P101))</f>
        <v/>
      </c>
      <c r="M101">
        <f>IF($P101="","",INDEX(상세표[블록 22~06시],$P101))</f>
        <v/>
      </c>
      <c r="N101">
        <f>IF($P101="","",INDEX(상세표[주말·휴일 포함],$P101)&amp;"")</f>
        <v/>
      </c>
      <c r="O101">
        <f>IF($P101="","",INDEX(상세표[월 넘김 포함],$P101)&amp;"")</f>
        <v/>
      </c>
      <c r="P101" s="4">
        <f>IFERROR(MATCH(96,상세표[연속순번],0),"")</f>
        <v/>
      </c>
    </row>
    <row r="102">
      <c r="A102">
        <f>IF($P102="","",INDEX(상세표[사번],$P102)&amp;"")</f>
        <v/>
      </c>
      <c r="B102">
        <f>IF($P102="","",INDEX(상세표[성명],$P102)&amp;"")</f>
        <v/>
      </c>
      <c r="C102">
        <f>IF($P102="","",INDEX(상세표[부서],$P102)&amp;"")</f>
        <v/>
      </c>
      <c r="D102">
        <f>IF($P102="","",INDEX(상세표[직위],$P102)&amp;"")</f>
        <v/>
      </c>
      <c r="E102">
        <f>IF($P102="","",IF(ISNUMBER(INDEX(상세표[시작],$P102)),TEXT(INDEX(상세표[시작],$P102),"yyyy-mm-dd hh:mm"),INDEX(상세표[시작],$P102)&amp;""))</f>
        <v/>
      </c>
      <c r="F102">
        <f>IF($P102="","",IF(ISNUMBER(INDEX(상세표[블록종료],$P102)),TEXT(INDEX(상세표[블록종료],$P102),"yyyy-mm-dd hh:mm"),INDEX(상세표[블록종료],$P102)&amp;""))</f>
        <v/>
      </c>
      <c r="G102">
        <f>IF($P102="","",CHOOSE(WEEKDAY(INDEX(상세표[시작],$P102)),"일","월","화","수","목","금","토"))</f>
        <v/>
      </c>
      <c r="H102">
        <f>IF($P102="","",INDEX(상세표[연속 시간],$P102))</f>
        <v/>
      </c>
      <c r="I102">
        <f>IF($P102="","",INDEX(상세표[기록 수],$P102))</f>
        <v/>
      </c>
      <c r="J102">
        <f>IF($P102="","",INDEX(상세표[블록 06~07시],$P102))</f>
        <v/>
      </c>
      <c r="K102">
        <f>IF($P102="","",INDEX(상세표[블록 07~18시],$P102))</f>
        <v/>
      </c>
      <c r="L102">
        <f>IF($P102="","",INDEX(상세표[블록 18~22시],$P102))</f>
        <v/>
      </c>
      <c r="M102">
        <f>IF($P102="","",INDEX(상세표[블록 22~06시],$P102))</f>
        <v/>
      </c>
      <c r="N102">
        <f>IF($P102="","",INDEX(상세표[주말·휴일 포함],$P102)&amp;"")</f>
        <v/>
      </c>
      <c r="O102">
        <f>IF($P102="","",INDEX(상세표[월 넘김 포함],$P102)&amp;"")</f>
        <v/>
      </c>
      <c r="P102" s="4">
        <f>IFERROR(MATCH(97,상세표[연속순번],0),"")</f>
        <v/>
      </c>
    </row>
    <row r="103">
      <c r="A103">
        <f>IF($P103="","",INDEX(상세표[사번],$P103)&amp;"")</f>
        <v/>
      </c>
      <c r="B103">
        <f>IF($P103="","",INDEX(상세표[성명],$P103)&amp;"")</f>
        <v/>
      </c>
      <c r="C103">
        <f>IF($P103="","",INDEX(상세표[부서],$P103)&amp;"")</f>
        <v/>
      </c>
      <c r="D103">
        <f>IF($P103="","",INDEX(상세표[직위],$P103)&amp;"")</f>
        <v/>
      </c>
      <c r="E103">
        <f>IF($P103="","",IF(ISNUMBER(INDEX(상세표[시작],$P103)),TEXT(INDEX(상세표[시작],$P103),"yyyy-mm-dd hh:mm"),INDEX(상세표[시작],$P103)&amp;""))</f>
        <v/>
      </c>
      <c r="F103">
        <f>IF($P103="","",IF(ISNUMBER(INDEX(상세표[블록종료],$P103)),TEXT(INDEX(상세표[블록종료],$P103),"yyyy-mm-dd hh:mm"),INDEX(상세표[블록종료],$P103)&amp;""))</f>
        <v/>
      </c>
      <c r="G103">
        <f>IF($P103="","",CHOOSE(WEEKDAY(INDEX(상세표[시작],$P103)),"일","월","화","수","목","금","토"))</f>
        <v/>
      </c>
      <c r="H103">
        <f>IF($P103="","",INDEX(상세표[연속 시간],$P103))</f>
        <v/>
      </c>
      <c r="I103">
        <f>IF($P103="","",INDEX(상세표[기록 수],$P103))</f>
        <v/>
      </c>
      <c r="J103">
        <f>IF($P103="","",INDEX(상세표[블록 06~07시],$P103))</f>
        <v/>
      </c>
      <c r="K103">
        <f>IF($P103="","",INDEX(상세표[블록 07~18시],$P103))</f>
        <v/>
      </c>
      <c r="L103">
        <f>IF($P103="","",INDEX(상세표[블록 18~22시],$P103))</f>
        <v/>
      </c>
      <c r="M103">
        <f>IF($P103="","",INDEX(상세표[블록 22~06시],$P103))</f>
        <v/>
      </c>
      <c r="N103">
        <f>IF($P103="","",INDEX(상세표[주말·휴일 포함],$P103)&amp;"")</f>
        <v/>
      </c>
      <c r="O103">
        <f>IF($P103="","",INDEX(상세표[월 넘김 포함],$P103)&amp;"")</f>
        <v/>
      </c>
      <c r="P103" s="4">
        <f>IFERROR(MATCH(98,상세표[연속순번],0),"")</f>
        <v/>
      </c>
    </row>
    <row r="104">
      <c r="A104">
        <f>IF($P104="","",INDEX(상세표[사번],$P104)&amp;"")</f>
        <v/>
      </c>
      <c r="B104">
        <f>IF($P104="","",INDEX(상세표[성명],$P104)&amp;"")</f>
        <v/>
      </c>
      <c r="C104">
        <f>IF($P104="","",INDEX(상세표[부서],$P104)&amp;"")</f>
        <v/>
      </c>
      <c r="D104">
        <f>IF($P104="","",INDEX(상세표[직위],$P104)&amp;"")</f>
        <v/>
      </c>
      <c r="E104">
        <f>IF($P104="","",IF(ISNUMBER(INDEX(상세표[시작],$P104)),TEXT(INDEX(상세표[시작],$P104),"yyyy-mm-dd hh:mm"),INDEX(상세표[시작],$P104)&amp;""))</f>
        <v/>
      </c>
      <c r="F104">
        <f>IF($P104="","",IF(ISNUMBER(INDEX(상세표[블록종료],$P104)),TEXT(INDEX(상세표[블록종료],$P104),"yyyy-mm-dd hh:mm"),INDEX(상세표[블록종료],$P104)&amp;""))</f>
        <v/>
      </c>
      <c r="G104">
        <f>IF($P104="","",CHOOSE(WEEKDAY(INDEX(상세표[시작],$P104)),"일","월","화","수","목","금","토"))</f>
        <v/>
      </c>
      <c r="H104">
        <f>IF($P104="","",INDEX(상세표[연속 시간],$P104))</f>
        <v/>
      </c>
      <c r="I104">
        <f>IF($P104="","",INDEX(상세표[기록 수],$P104))</f>
        <v/>
      </c>
      <c r="J104">
        <f>IF($P104="","",INDEX(상세표[블록 06~07시],$P104))</f>
        <v/>
      </c>
      <c r="K104">
        <f>IF($P104="","",INDEX(상세표[블록 07~18시],$P104))</f>
        <v/>
      </c>
      <c r="L104">
        <f>IF($P104="","",INDEX(상세표[블록 18~22시],$P104))</f>
        <v/>
      </c>
      <c r="M104">
        <f>IF($P104="","",INDEX(상세표[블록 22~06시],$P104))</f>
        <v/>
      </c>
      <c r="N104">
        <f>IF($P104="","",INDEX(상세표[주말·휴일 포함],$P104)&amp;"")</f>
        <v/>
      </c>
      <c r="O104">
        <f>IF($P104="","",INDEX(상세표[월 넘김 포함],$P104)&amp;"")</f>
        <v/>
      </c>
      <c r="P104" s="4">
        <f>IFERROR(MATCH(99,상세표[연속순번],0),"")</f>
        <v/>
      </c>
    </row>
    <row r="105">
      <c r="A105">
        <f>IF($P105="","",INDEX(상세표[사번],$P105)&amp;"")</f>
        <v/>
      </c>
      <c r="B105">
        <f>IF($P105="","",INDEX(상세표[성명],$P105)&amp;"")</f>
        <v/>
      </c>
      <c r="C105">
        <f>IF($P105="","",INDEX(상세표[부서],$P105)&amp;"")</f>
        <v/>
      </c>
      <c r="D105">
        <f>IF($P105="","",INDEX(상세표[직위],$P105)&amp;"")</f>
        <v/>
      </c>
      <c r="E105">
        <f>IF($P105="","",IF(ISNUMBER(INDEX(상세표[시작],$P105)),TEXT(INDEX(상세표[시작],$P105),"yyyy-mm-dd hh:mm"),INDEX(상세표[시작],$P105)&amp;""))</f>
        <v/>
      </c>
      <c r="F105">
        <f>IF($P105="","",IF(ISNUMBER(INDEX(상세표[블록종료],$P105)),TEXT(INDEX(상세표[블록종료],$P105),"yyyy-mm-dd hh:mm"),INDEX(상세표[블록종료],$P105)&amp;""))</f>
        <v/>
      </c>
      <c r="G105">
        <f>IF($P105="","",CHOOSE(WEEKDAY(INDEX(상세표[시작],$P105)),"일","월","화","수","목","금","토"))</f>
        <v/>
      </c>
      <c r="H105">
        <f>IF($P105="","",INDEX(상세표[연속 시간],$P105))</f>
        <v/>
      </c>
      <c r="I105">
        <f>IF($P105="","",INDEX(상세표[기록 수],$P105))</f>
        <v/>
      </c>
      <c r="J105">
        <f>IF($P105="","",INDEX(상세표[블록 06~07시],$P105))</f>
        <v/>
      </c>
      <c r="K105">
        <f>IF($P105="","",INDEX(상세표[블록 07~18시],$P105))</f>
        <v/>
      </c>
      <c r="L105">
        <f>IF($P105="","",INDEX(상세표[블록 18~22시],$P105))</f>
        <v/>
      </c>
      <c r="M105">
        <f>IF($P105="","",INDEX(상세표[블록 22~06시],$P105))</f>
        <v/>
      </c>
      <c r="N105">
        <f>IF($P105="","",INDEX(상세표[주말·휴일 포함],$P105)&amp;"")</f>
        <v/>
      </c>
      <c r="O105">
        <f>IF($P105="","",INDEX(상세표[월 넘김 포함],$P105)&amp;"")</f>
        <v/>
      </c>
      <c r="P105" s="4">
        <f>IFERROR(MATCH(100,상세표[연속순번],0),"")</f>
        <v/>
      </c>
    </row>
    <row r="106">
      <c r="A106">
        <f>IF($P106="","",INDEX(상세표[사번],$P106)&amp;"")</f>
        <v/>
      </c>
      <c r="B106">
        <f>IF($P106="","",INDEX(상세표[성명],$P106)&amp;"")</f>
        <v/>
      </c>
      <c r="C106">
        <f>IF($P106="","",INDEX(상세표[부서],$P106)&amp;"")</f>
        <v/>
      </c>
      <c r="D106">
        <f>IF($P106="","",INDEX(상세표[직위],$P106)&amp;"")</f>
        <v/>
      </c>
      <c r="E106">
        <f>IF($P106="","",IF(ISNUMBER(INDEX(상세표[시작],$P106)),TEXT(INDEX(상세표[시작],$P106),"yyyy-mm-dd hh:mm"),INDEX(상세표[시작],$P106)&amp;""))</f>
        <v/>
      </c>
      <c r="F106">
        <f>IF($P106="","",IF(ISNUMBER(INDEX(상세표[블록종료],$P106)),TEXT(INDEX(상세표[블록종료],$P106),"yyyy-mm-dd hh:mm"),INDEX(상세표[블록종료],$P106)&amp;""))</f>
        <v/>
      </c>
      <c r="G106">
        <f>IF($P106="","",CHOOSE(WEEKDAY(INDEX(상세표[시작],$P106)),"일","월","화","수","목","금","토"))</f>
        <v/>
      </c>
      <c r="H106">
        <f>IF($P106="","",INDEX(상세표[연속 시간],$P106))</f>
        <v/>
      </c>
      <c r="I106">
        <f>IF($P106="","",INDEX(상세표[기록 수],$P106))</f>
        <v/>
      </c>
      <c r="J106">
        <f>IF($P106="","",INDEX(상세표[블록 06~07시],$P106))</f>
        <v/>
      </c>
      <c r="K106">
        <f>IF($P106="","",INDEX(상세표[블록 07~18시],$P106))</f>
        <v/>
      </c>
      <c r="L106">
        <f>IF($P106="","",INDEX(상세표[블록 18~22시],$P106))</f>
        <v/>
      </c>
      <c r="M106">
        <f>IF($P106="","",INDEX(상세표[블록 22~06시],$P106))</f>
        <v/>
      </c>
      <c r="N106">
        <f>IF($P106="","",INDEX(상세표[주말·휴일 포함],$P106)&amp;"")</f>
        <v/>
      </c>
      <c r="O106">
        <f>IF($P106="","",INDEX(상세표[월 넘김 포함],$P106)&amp;"")</f>
        <v/>
      </c>
      <c r="P106" s="4">
        <f>IFERROR(MATCH(101,상세표[연속순번],0),"")</f>
        <v/>
      </c>
    </row>
    <row r="107">
      <c r="A107">
        <f>IF($P107="","",INDEX(상세표[사번],$P107)&amp;"")</f>
        <v/>
      </c>
      <c r="B107">
        <f>IF($P107="","",INDEX(상세표[성명],$P107)&amp;"")</f>
        <v/>
      </c>
      <c r="C107">
        <f>IF($P107="","",INDEX(상세표[부서],$P107)&amp;"")</f>
        <v/>
      </c>
      <c r="D107">
        <f>IF($P107="","",INDEX(상세표[직위],$P107)&amp;"")</f>
        <v/>
      </c>
      <c r="E107">
        <f>IF($P107="","",IF(ISNUMBER(INDEX(상세표[시작],$P107)),TEXT(INDEX(상세표[시작],$P107),"yyyy-mm-dd hh:mm"),INDEX(상세표[시작],$P107)&amp;""))</f>
        <v/>
      </c>
      <c r="F107">
        <f>IF($P107="","",IF(ISNUMBER(INDEX(상세표[블록종료],$P107)),TEXT(INDEX(상세표[블록종료],$P107),"yyyy-mm-dd hh:mm"),INDEX(상세표[블록종료],$P107)&amp;""))</f>
        <v/>
      </c>
      <c r="G107">
        <f>IF($P107="","",CHOOSE(WEEKDAY(INDEX(상세표[시작],$P107)),"일","월","화","수","목","금","토"))</f>
        <v/>
      </c>
      <c r="H107">
        <f>IF($P107="","",INDEX(상세표[연속 시간],$P107))</f>
        <v/>
      </c>
      <c r="I107">
        <f>IF($P107="","",INDEX(상세표[기록 수],$P107))</f>
        <v/>
      </c>
      <c r="J107">
        <f>IF($P107="","",INDEX(상세표[블록 06~07시],$P107))</f>
        <v/>
      </c>
      <c r="K107">
        <f>IF($P107="","",INDEX(상세표[블록 07~18시],$P107))</f>
        <v/>
      </c>
      <c r="L107">
        <f>IF($P107="","",INDEX(상세표[블록 18~22시],$P107))</f>
        <v/>
      </c>
      <c r="M107">
        <f>IF($P107="","",INDEX(상세표[블록 22~06시],$P107))</f>
        <v/>
      </c>
      <c r="N107">
        <f>IF($P107="","",INDEX(상세표[주말·휴일 포함],$P107)&amp;"")</f>
        <v/>
      </c>
      <c r="O107">
        <f>IF($P107="","",INDEX(상세표[월 넘김 포함],$P107)&amp;"")</f>
        <v/>
      </c>
      <c r="P107" s="4">
        <f>IFERROR(MATCH(102,상세표[연속순번],0),"")</f>
        <v/>
      </c>
    </row>
    <row r="108">
      <c r="A108">
        <f>IF($P108="","",INDEX(상세표[사번],$P108)&amp;"")</f>
        <v/>
      </c>
      <c r="B108">
        <f>IF($P108="","",INDEX(상세표[성명],$P108)&amp;"")</f>
        <v/>
      </c>
      <c r="C108">
        <f>IF($P108="","",INDEX(상세표[부서],$P108)&amp;"")</f>
        <v/>
      </c>
      <c r="D108">
        <f>IF($P108="","",INDEX(상세표[직위],$P108)&amp;"")</f>
        <v/>
      </c>
      <c r="E108">
        <f>IF($P108="","",IF(ISNUMBER(INDEX(상세표[시작],$P108)),TEXT(INDEX(상세표[시작],$P108),"yyyy-mm-dd hh:mm"),INDEX(상세표[시작],$P108)&amp;""))</f>
        <v/>
      </c>
      <c r="F108">
        <f>IF($P108="","",IF(ISNUMBER(INDEX(상세표[블록종료],$P108)),TEXT(INDEX(상세표[블록종료],$P108),"yyyy-mm-dd hh:mm"),INDEX(상세표[블록종료],$P108)&amp;""))</f>
        <v/>
      </c>
      <c r="G108">
        <f>IF($P108="","",CHOOSE(WEEKDAY(INDEX(상세표[시작],$P108)),"일","월","화","수","목","금","토"))</f>
        <v/>
      </c>
      <c r="H108">
        <f>IF($P108="","",INDEX(상세표[연속 시간],$P108))</f>
        <v/>
      </c>
      <c r="I108">
        <f>IF($P108="","",INDEX(상세표[기록 수],$P108))</f>
        <v/>
      </c>
      <c r="J108">
        <f>IF($P108="","",INDEX(상세표[블록 06~07시],$P108))</f>
        <v/>
      </c>
      <c r="K108">
        <f>IF($P108="","",INDEX(상세표[블록 07~18시],$P108))</f>
        <v/>
      </c>
      <c r="L108">
        <f>IF($P108="","",INDEX(상세표[블록 18~22시],$P108))</f>
        <v/>
      </c>
      <c r="M108">
        <f>IF($P108="","",INDEX(상세표[블록 22~06시],$P108))</f>
        <v/>
      </c>
      <c r="N108">
        <f>IF($P108="","",INDEX(상세표[주말·휴일 포함],$P108)&amp;"")</f>
        <v/>
      </c>
      <c r="O108">
        <f>IF($P108="","",INDEX(상세표[월 넘김 포함],$P108)&amp;"")</f>
        <v/>
      </c>
      <c r="P108" s="4">
        <f>IFERROR(MATCH(103,상세표[연속순번],0),"")</f>
        <v/>
      </c>
    </row>
    <row r="109">
      <c r="A109">
        <f>IF($P109="","",INDEX(상세표[사번],$P109)&amp;"")</f>
        <v/>
      </c>
      <c r="B109">
        <f>IF($P109="","",INDEX(상세표[성명],$P109)&amp;"")</f>
        <v/>
      </c>
      <c r="C109">
        <f>IF($P109="","",INDEX(상세표[부서],$P109)&amp;"")</f>
        <v/>
      </c>
      <c r="D109">
        <f>IF($P109="","",INDEX(상세표[직위],$P109)&amp;"")</f>
        <v/>
      </c>
      <c r="E109">
        <f>IF($P109="","",IF(ISNUMBER(INDEX(상세표[시작],$P109)),TEXT(INDEX(상세표[시작],$P109),"yyyy-mm-dd hh:mm"),INDEX(상세표[시작],$P109)&amp;""))</f>
        <v/>
      </c>
      <c r="F109">
        <f>IF($P109="","",IF(ISNUMBER(INDEX(상세표[블록종료],$P109)),TEXT(INDEX(상세표[블록종료],$P109),"yyyy-mm-dd hh:mm"),INDEX(상세표[블록종료],$P109)&amp;""))</f>
        <v/>
      </c>
      <c r="G109">
        <f>IF($P109="","",CHOOSE(WEEKDAY(INDEX(상세표[시작],$P109)),"일","월","화","수","목","금","토"))</f>
        <v/>
      </c>
      <c r="H109">
        <f>IF($P109="","",INDEX(상세표[연속 시간],$P109))</f>
        <v/>
      </c>
      <c r="I109">
        <f>IF($P109="","",INDEX(상세표[기록 수],$P109))</f>
        <v/>
      </c>
      <c r="J109">
        <f>IF($P109="","",INDEX(상세표[블록 06~07시],$P109))</f>
        <v/>
      </c>
      <c r="K109">
        <f>IF($P109="","",INDEX(상세표[블록 07~18시],$P109))</f>
        <v/>
      </c>
      <c r="L109">
        <f>IF($P109="","",INDEX(상세표[블록 18~22시],$P109))</f>
        <v/>
      </c>
      <c r="M109">
        <f>IF($P109="","",INDEX(상세표[블록 22~06시],$P109))</f>
        <v/>
      </c>
      <c r="N109">
        <f>IF($P109="","",INDEX(상세표[주말·휴일 포함],$P109)&amp;"")</f>
        <v/>
      </c>
      <c r="O109">
        <f>IF($P109="","",INDEX(상세표[월 넘김 포함],$P109)&amp;"")</f>
        <v/>
      </c>
      <c r="P109" s="4">
        <f>IFERROR(MATCH(104,상세표[연속순번],0),"")</f>
        <v/>
      </c>
    </row>
    <row r="110">
      <c r="A110">
        <f>IF($P110="","",INDEX(상세표[사번],$P110)&amp;"")</f>
        <v/>
      </c>
      <c r="B110">
        <f>IF($P110="","",INDEX(상세표[성명],$P110)&amp;"")</f>
        <v/>
      </c>
      <c r="C110">
        <f>IF($P110="","",INDEX(상세표[부서],$P110)&amp;"")</f>
        <v/>
      </c>
      <c r="D110">
        <f>IF($P110="","",INDEX(상세표[직위],$P110)&amp;"")</f>
        <v/>
      </c>
      <c r="E110">
        <f>IF($P110="","",IF(ISNUMBER(INDEX(상세표[시작],$P110)),TEXT(INDEX(상세표[시작],$P110),"yyyy-mm-dd hh:mm"),INDEX(상세표[시작],$P110)&amp;""))</f>
        <v/>
      </c>
      <c r="F110">
        <f>IF($P110="","",IF(ISNUMBER(INDEX(상세표[블록종료],$P110)),TEXT(INDEX(상세표[블록종료],$P110),"yyyy-mm-dd hh:mm"),INDEX(상세표[블록종료],$P110)&amp;""))</f>
        <v/>
      </c>
      <c r="G110">
        <f>IF($P110="","",CHOOSE(WEEKDAY(INDEX(상세표[시작],$P110)),"일","월","화","수","목","금","토"))</f>
        <v/>
      </c>
      <c r="H110">
        <f>IF($P110="","",INDEX(상세표[연속 시간],$P110))</f>
        <v/>
      </c>
      <c r="I110">
        <f>IF($P110="","",INDEX(상세표[기록 수],$P110))</f>
        <v/>
      </c>
      <c r="J110">
        <f>IF($P110="","",INDEX(상세표[블록 06~07시],$P110))</f>
        <v/>
      </c>
      <c r="K110">
        <f>IF($P110="","",INDEX(상세표[블록 07~18시],$P110))</f>
        <v/>
      </c>
      <c r="L110">
        <f>IF($P110="","",INDEX(상세표[블록 18~22시],$P110))</f>
        <v/>
      </c>
      <c r="M110">
        <f>IF($P110="","",INDEX(상세표[블록 22~06시],$P110))</f>
        <v/>
      </c>
      <c r="N110">
        <f>IF($P110="","",INDEX(상세표[주말·휴일 포함],$P110)&amp;"")</f>
        <v/>
      </c>
      <c r="O110">
        <f>IF($P110="","",INDEX(상세표[월 넘김 포함],$P110)&amp;"")</f>
        <v/>
      </c>
      <c r="P110" s="4">
        <f>IFERROR(MATCH(105,상세표[연속순번],0),"")</f>
        <v/>
      </c>
    </row>
    <row r="111">
      <c r="A111">
        <f>IF($P111="","",INDEX(상세표[사번],$P111)&amp;"")</f>
        <v/>
      </c>
      <c r="B111">
        <f>IF($P111="","",INDEX(상세표[성명],$P111)&amp;"")</f>
        <v/>
      </c>
      <c r="C111">
        <f>IF($P111="","",INDEX(상세표[부서],$P111)&amp;"")</f>
        <v/>
      </c>
      <c r="D111">
        <f>IF($P111="","",INDEX(상세표[직위],$P111)&amp;"")</f>
        <v/>
      </c>
      <c r="E111">
        <f>IF($P111="","",IF(ISNUMBER(INDEX(상세표[시작],$P111)),TEXT(INDEX(상세표[시작],$P111),"yyyy-mm-dd hh:mm"),INDEX(상세표[시작],$P111)&amp;""))</f>
        <v/>
      </c>
      <c r="F111">
        <f>IF($P111="","",IF(ISNUMBER(INDEX(상세표[블록종료],$P111)),TEXT(INDEX(상세표[블록종료],$P111),"yyyy-mm-dd hh:mm"),INDEX(상세표[블록종료],$P111)&amp;""))</f>
        <v/>
      </c>
      <c r="G111">
        <f>IF($P111="","",CHOOSE(WEEKDAY(INDEX(상세표[시작],$P111)),"일","월","화","수","목","금","토"))</f>
        <v/>
      </c>
      <c r="H111">
        <f>IF($P111="","",INDEX(상세표[연속 시간],$P111))</f>
        <v/>
      </c>
      <c r="I111">
        <f>IF($P111="","",INDEX(상세표[기록 수],$P111))</f>
        <v/>
      </c>
      <c r="J111">
        <f>IF($P111="","",INDEX(상세표[블록 06~07시],$P111))</f>
        <v/>
      </c>
      <c r="K111">
        <f>IF($P111="","",INDEX(상세표[블록 07~18시],$P111))</f>
        <v/>
      </c>
      <c r="L111">
        <f>IF($P111="","",INDEX(상세표[블록 18~22시],$P111))</f>
        <v/>
      </c>
      <c r="M111">
        <f>IF($P111="","",INDEX(상세표[블록 22~06시],$P111))</f>
        <v/>
      </c>
      <c r="N111">
        <f>IF($P111="","",INDEX(상세표[주말·휴일 포함],$P111)&amp;"")</f>
        <v/>
      </c>
      <c r="O111">
        <f>IF($P111="","",INDEX(상세표[월 넘김 포함],$P111)&amp;"")</f>
        <v/>
      </c>
      <c r="P111" s="4">
        <f>IFERROR(MATCH(106,상세표[연속순번],0),"")</f>
        <v/>
      </c>
    </row>
    <row r="112">
      <c r="A112">
        <f>IF($P112="","",INDEX(상세표[사번],$P112)&amp;"")</f>
        <v/>
      </c>
      <c r="B112">
        <f>IF($P112="","",INDEX(상세표[성명],$P112)&amp;"")</f>
        <v/>
      </c>
      <c r="C112">
        <f>IF($P112="","",INDEX(상세표[부서],$P112)&amp;"")</f>
        <v/>
      </c>
      <c r="D112">
        <f>IF($P112="","",INDEX(상세표[직위],$P112)&amp;"")</f>
        <v/>
      </c>
      <c r="E112">
        <f>IF($P112="","",IF(ISNUMBER(INDEX(상세표[시작],$P112)),TEXT(INDEX(상세표[시작],$P112),"yyyy-mm-dd hh:mm"),INDEX(상세표[시작],$P112)&amp;""))</f>
        <v/>
      </c>
      <c r="F112">
        <f>IF($P112="","",IF(ISNUMBER(INDEX(상세표[블록종료],$P112)),TEXT(INDEX(상세표[블록종료],$P112),"yyyy-mm-dd hh:mm"),INDEX(상세표[블록종료],$P112)&amp;""))</f>
        <v/>
      </c>
      <c r="G112">
        <f>IF($P112="","",CHOOSE(WEEKDAY(INDEX(상세표[시작],$P112)),"일","월","화","수","목","금","토"))</f>
        <v/>
      </c>
      <c r="H112">
        <f>IF($P112="","",INDEX(상세표[연속 시간],$P112))</f>
        <v/>
      </c>
      <c r="I112">
        <f>IF($P112="","",INDEX(상세표[기록 수],$P112))</f>
        <v/>
      </c>
      <c r="J112">
        <f>IF($P112="","",INDEX(상세표[블록 06~07시],$P112))</f>
        <v/>
      </c>
      <c r="K112">
        <f>IF($P112="","",INDEX(상세표[블록 07~18시],$P112))</f>
        <v/>
      </c>
      <c r="L112">
        <f>IF($P112="","",INDEX(상세표[블록 18~22시],$P112))</f>
        <v/>
      </c>
      <c r="M112">
        <f>IF($P112="","",INDEX(상세표[블록 22~06시],$P112))</f>
        <v/>
      </c>
      <c r="N112">
        <f>IF($P112="","",INDEX(상세표[주말·휴일 포함],$P112)&amp;"")</f>
        <v/>
      </c>
      <c r="O112">
        <f>IF($P112="","",INDEX(상세표[월 넘김 포함],$P112)&amp;"")</f>
        <v/>
      </c>
      <c r="P112" s="4">
        <f>IFERROR(MATCH(107,상세표[연속순번],0),"")</f>
        <v/>
      </c>
    </row>
    <row r="113">
      <c r="A113">
        <f>IF($P113="","",INDEX(상세표[사번],$P113)&amp;"")</f>
        <v/>
      </c>
      <c r="B113">
        <f>IF($P113="","",INDEX(상세표[성명],$P113)&amp;"")</f>
        <v/>
      </c>
      <c r="C113">
        <f>IF($P113="","",INDEX(상세표[부서],$P113)&amp;"")</f>
        <v/>
      </c>
      <c r="D113">
        <f>IF($P113="","",INDEX(상세표[직위],$P113)&amp;"")</f>
        <v/>
      </c>
      <c r="E113">
        <f>IF($P113="","",IF(ISNUMBER(INDEX(상세표[시작],$P113)),TEXT(INDEX(상세표[시작],$P113),"yyyy-mm-dd hh:mm"),INDEX(상세표[시작],$P113)&amp;""))</f>
        <v/>
      </c>
      <c r="F113">
        <f>IF($P113="","",IF(ISNUMBER(INDEX(상세표[블록종료],$P113)),TEXT(INDEX(상세표[블록종료],$P113),"yyyy-mm-dd hh:mm"),INDEX(상세표[블록종료],$P113)&amp;""))</f>
        <v/>
      </c>
      <c r="G113">
        <f>IF($P113="","",CHOOSE(WEEKDAY(INDEX(상세표[시작],$P113)),"일","월","화","수","목","금","토"))</f>
        <v/>
      </c>
      <c r="H113">
        <f>IF($P113="","",INDEX(상세표[연속 시간],$P113))</f>
        <v/>
      </c>
      <c r="I113">
        <f>IF($P113="","",INDEX(상세표[기록 수],$P113))</f>
        <v/>
      </c>
      <c r="J113">
        <f>IF($P113="","",INDEX(상세표[블록 06~07시],$P113))</f>
        <v/>
      </c>
      <c r="K113">
        <f>IF($P113="","",INDEX(상세표[블록 07~18시],$P113))</f>
        <v/>
      </c>
      <c r="L113">
        <f>IF($P113="","",INDEX(상세표[블록 18~22시],$P113))</f>
        <v/>
      </c>
      <c r="M113">
        <f>IF($P113="","",INDEX(상세표[블록 22~06시],$P113))</f>
        <v/>
      </c>
      <c r="N113">
        <f>IF($P113="","",INDEX(상세표[주말·휴일 포함],$P113)&amp;"")</f>
        <v/>
      </c>
      <c r="O113">
        <f>IF($P113="","",INDEX(상세표[월 넘김 포함],$P113)&amp;"")</f>
        <v/>
      </c>
      <c r="P113" s="4">
        <f>IFERROR(MATCH(108,상세표[연속순번],0),"")</f>
        <v/>
      </c>
    </row>
    <row r="114">
      <c r="A114">
        <f>IF($P114="","",INDEX(상세표[사번],$P114)&amp;"")</f>
        <v/>
      </c>
      <c r="B114">
        <f>IF($P114="","",INDEX(상세표[성명],$P114)&amp;"")</f>
        <v/>
      </c>
      <c r="C114">
        <f>IF($P114="","",INDEX(상세표[부서],$P114)&amp;"")</f>
        <v/>
      </c>
      <c r="D114">
        <f>IF($P114="","",INDEX(상세표[직위],$P114)&amp;"")</f>
        <v/>
      </c>
      <c r="E114">
        <f>IF($P114="","",IF(ISNUMBER(INDEX(상세표[시작],$P114)),TEXT(INDEX(상세표[시작],$P114),"yyyy-mm-dd hh:mm"),INDEX(상세표[시작],$P114)&amp;""))</f>
        <v/>
      </c>
      <c r="F114">
        <f>IF($P114="","",IF(ISNUMBER(INDEX(상세표[블록종료],$P114)),TEXT(INDEX(상세표[블록종료],$P114),"yyyy-mm-dd hh:mm"),INDEX(상세표[블록종료],$P114)&amp;""))</f>
        <v/>
      </c>
      <c r="G114">
        <f>IF($P114="","",CHOOSE(WEEKDAY(INDEX(상세표[시작],$P114)),"일","월","화","수","목","금","토"))</f>
        <v/>
      </c>
      <c r="H114">
        <f>IF($P114="","",INDEX(상세표[연속 시간],$P114))</f>
        <v/>
      </c>
      <c r="I114">
        <f>IF($P114="","",INDEX(상세표[기록 수],$P114))</f>
        <v/>
      </c>
      <c r="J114">
        <f>IF($P114="","",INDEX(상세표[블록 06~07시],$P114))</f>
        <v/>
      </c>
      <c r="K114">
        <f>IF($P114="","",INDEX(상세표[블록 07~18시],$P114))</f>
        <v/>
      </c>
      <c r="L114">
        <f>IF($P114="","",INDEX(상세표[블록 18~22시],$P114))</f>
        <v/>
      </c>
      <c r="M114">
        <f>IF($P114="","",INDEX(상세표[블록 22~06시],$P114))</f>
        <v/>
      </c>
      <c r="N114">
        <f>IF($P114="","",INDEX(상세표[주말·휴일 포함],$P114)&amp;"")</f>
        <v/>
      </c>
      <c r="O114">
        <f>IF($P114="","",INDEX(상세표[월 넘김 포함],$P114)&amp;"")</f>
        <v/>
      </c>
      <c r="P114" s="4">
        <f>IFERROR(MATCH(109,상세표[연속순번],0),"")</f>
        <v/>
      </c>
    </row>
    <row r="115">
      <c r="A115">
        <f>IF($P115="","",INDEX(상세표[사번],$P115)&amp;"")</f>
        <v/>
      </c>
      <c r="B115">
        <f>IF($P115="","",INDEX(상세표[성명],$P115)&amp;"")</f>
        <v/>
      </c>
      <c r="C115">
        <f>IF($P115="","",INDEX(상세표[부서],$P115)&amp;"")</f>
        <v/>
      </c>
      <c r="D115">
        <f>IF($P115="","",INDEX(상세표[직위],$P115)&amp;"")</f>
        <v/>
      </c>
      <c r="E115">
        <f>IF($P115="","",IF(ISNUMBER(INDEX(상세표[시작],$P115)),TEXT(INDEX(상세표[시작],$P115),"yyyy-mm-dd hh:mm"),INDEX(상세표[시작],$P115)&amp;""))</f>
        <v/>
      </c>
      <c r="F115">
        <f>IF($P115="","",IF(ISNUMBER(INDEX(상세표[블록종료],$P115)),TEXT(INDEX(상세표[블록종료],$P115),"yyyy-mm-dd hh:mm"),INDEX(상세표[블록종료],$P115)&amp;""))</f>
        <v/>
      </c>
      <c r="G115">
        <f>IF($P115="","",CHOOSE(WEEKDAY(INDEX(상세표[시작],$P115)),"일","월","화","수","목","금","토"))</f>
        <v/>
      </c>
      <c r="H115">
        <f>IF($P115="","",INDEX(상세표[연속 시간],$P115))</f>
        <v/>
      </c>
      <c r="I115">
        <f>IF($P115="","",INDEX(상세표[기록 수],$P115))</f>
        <v/>
      </c>
      <c r="J115">
        <f>IF($P115="","",INDEX(상세표[블록 06~07시],$P115))</f>
        <v/>
      </c>
      <c r="K115">
        <f>IF($P115="","",INDEX(상세표[블록 07~18시],$P115))</f>
        <v/>
      </c>
      <c r="L115">
        <f>IF($P115="","",INDEX(상세표[블록 18~22시],$P115))</f>
        <v/>
      </c>
      <c r="M115">
        <f>IF($P115="","",INDEX(상세표[블록 22~06시],$P115))</f>
        <v/>
      </c>
      <c r="N115">
        <f>IF($P115="","",INDEX(상세표[주말·휴일 포함],$P115)&amp;"")</f>
        <v/>
      </c>
      <c r="O115">
        <f>IF($P115="","",INDEX(상세표[월 넘김 포함],$P115)&amp;"")</f>
        <v/>
      </c>
      <c r="P115" s="4">
        <f>IFERROR(MATCH(110,상세표[연속순번],0),"")</f>
        <v/>
      </c>
    </row>
    <row r="116">
      <c r="A116">
        <f>IF($P116="","",INDEX(상세표[사번],$P116)&amp;"")</f>
        <v/>
      </c>
      <c r="B116">
        <f>IF($P116="","",INDEX(상세표[성명],$P116)&amp;"")</f>
        <v/>
      </c>
      <c r="C116">
        <f>IF($P116="","",INDEX(상세표[부서],$P116)&amp;"")</f>
        <v/>
      </c>
      <c r="D116">
        <f>IF($P116="","",INDEX(상세표[직위],$P116)&amp;"")</f>
        <v/>
      </c>
      <c r="E116">
        <f>IF($P116="","",IF(ISNUMBER(INDEX(상세표[시작],$P116)),TEXT(INDEX(상세표[시작],$P116),"yyyy-mm-dd hh:mm"),INDEX(상세표[시작],$P116)&amp;""))</f>
        <v/>
      </c>
      <c r="F116">
        <f>IF($P116="","",IF(ISNUMBER(INDEX(상세표[블록종료],$P116)),TEXT(INDEX(상세표[블록종료],$P116),"yyyy-mm-dd hh:mm"),INDEX(상세표[블록종료],$P116)&amp;""))</f>
        <v/>
      </c>
      <c r="G116">
        <f>IF($P116="","",CHOOSE(WEEKDAY(INDEX(상세표[시작],$P116)),"일","월","화","수","목","금","토"))</f>
        <v/>
      </c>
      <c r="H116">
        <f>IF($P116="","",INDEX(상세표[연속 시간],$P116))</f>
        <v/>
      </c>
      <c r="I116">
        <f>IF($P116="","",INDEX(상세표[기록 수],$P116))</f>
        <v/>
      </c>
      <c r="J116">
        <f>IF($P116="","",INDEX(상세표[블록 06~07시],$P116))</f>
        <v/>
      </c>
      <c r="K116">
        <f>IF($P116="","",INDEX(상세표[블록 07~18시],$P116))</f>
        <v/>
      </c>
      <c r="L116">
        <f>IF($P116="","",INDEX(상세표[블록 18~22시],$P116))</f>
        <v/>
      </c>
      <c r="M116">
        <f>IF($P116="","",INDEX(상세표[블록 22~06시],$P116))</f>
        <v/>
      </c>
      <c r="N116">
        <f>IF($P116="","",INDEX(상세표[주말·휴일 포함],$P116)&amp;"")</f>
        <v/>
      </c>
      <c r="O116">
        <f>IF($P116="","",INDEX(상세표[월 넘김 포함],$P116)&amp;"")</f>
        <v/>
      </c>
      <c r="P116" s="4">
        <f>IFERROR(MATCH(111,상세표[연속순번],0),"")</f>
        <v/>
      </c>
    </row>
    <row r="117">
      <c r="A117">
        <f>IF($P117="","",INDEX(상세표[사번],$P117)&amp;"")</f>
        <v/>
      </c>
      <c r="B117">
        <f>IF($P117="","",INDEX(상세표[성명],$P117)&amp;"")</f>
        <v/>
      </c>
      <c r="C117">
        <f>IF($P117="","",INDEX(상세표[부서],$P117)&amp;"")</f>
        <v/>
      </c>
      <c r="D117">
        <f>IF($P117="","",INDEX(상세표[직위],$P117)&amp;"")</f>
        <v/>
      </c>
      <c r="E117">
        <f>IF($P117="","",IF(ISNUMBER(INDEX(상세표[시작],$P117)),TEXT(INDEX(상세표[시작],$P117),"yyyy-mm-dd hh:mm"),INDEX(상세표[시작],$P117)&amp;""))</f>
        <v/>
      </c>
      <c r="F117">
        <f>IF($P117="","",IF(ISNUMBER(INDEX(상세표[블록종료],$P117)),TEXT(INDEX(상세표[블록종료],$P117),"yyyy-mm-dd hh:mm"),INDEX(상세표[블록종료],$P117)&amp;""))</f>
        <v/>
      </c>
      <c r="G117">
        <f>IF($P117="","",CHOOSE(WEEKDAY(INDEX(상세표[시작],$P117)),"일","월","화","수","목","금","토"))</f>
        <v/>
      </c>
      <c r="H117">
        <f>IF($P117="","",INDEX(상세표[연속 시간],$P117))</f>
        <v/>
      </c>
      <c r="I117">
        <f>IF($P117="","",INDEX(상세표[기록 수],$P117))</f>
        <v/>
      </c>
      <c r="J117">
        <f>IF($P117="","",INDEX(상세표[블록 06~07시],$P117))</f>
        <v/>
      </c>
      <c r="K117">
        <f>IF($P117="","",INDEX(상세표[블록 07~18시],$P117))</f>
        <v/>
      </c>
      <c r="L117">
        <f>IF($P117="","",INDEX(상세표[블록 18~22시],$P117))</f>
        <v/>
      </c>
      <c r="M117">
        <f>IF($P117="","",INDEX(상세표[블록 22~06시],$P117))</f>
        <v/>
      </c>
      <c r="N117">
        <f>IF($P117="","",INDEX(상세표[주말·휴일 포함],$P117)&amp;"")</f>
        <v/>
      </c>
      <c r="O117">
        <f>IF($P117="","",INDEX(상세표[월 넘김 포함],$P117)&amp;"")</f>
        <v/>
      </c>
      <c r="P117" s="4">
        <f>IFERROR(MATCH(112,상세표[연속순번],0),"")</f>
        <v/>
      </c>
    </row>
    <row r="118">
      <c r="A118">
        <f>IF($P118="","",INDEX(상세표[사번],$P118)&amp;"")</f>
        <v/>
      </c>
      <c r="B118">
        <f>IF($P118="","",INDEX(상세표[성명],$P118)&amp;"")</f>
        <v/>
      </c>
      <c r="C118">
        <f>IF($P118="","",INDEX(상세표[부서],$P118)&amp;"")</f>
        <v/>
      </c>
      <c r="D118">
        <f>IF($P118="","",INDEX(상세표[직위],$P118)&amp;"")</f>
        <v/>
      </c>
      <c r="E118">
        <f>IF($P118="","",IF(ISNUMBER(INDEX(상세표[시작],$P118)),TEXT(INDEX(상세표[시작],$P118),"yyyy-mm-dd hh:mm"),INDEX(상세표[시작],$P118)&amp;""))</f>
        <v/>
      </c>
      <c r="F118">
        <f>IF($P118="","",IF(ISNUMBER(INDEX(상세표[블록종료],$P118)),TEXT(INDEX(상세표[블록종료],$P118),"yyyy-mm-dd hh:mm"),INDEX(상세표[블록종료],$P118)&amp;""))</f>
        <v/>
      </c>
      <c r="G118">
        <f>IF($P118="","",CHOOSE(WEEKDAY(INDEX(상세표[시작],$P118)),"일","월","화","수","목","금","토"))</f>
        <v/>
      </c>
      <c r="H118">
        <f>IF($P118="","",INDEX(상세표[연속 시간],$P118))</f>
        <v/>
      </c>
      <c r="I118">
        <f>IF($P118="","",INDEX(상세표[기록 수],$P118))</f>
        <v/>
      </c>
      <c r="J118">
        <f>IF($P118="","",INDEX(상세표[블록 06~07시],$P118))</f>
        <v/>
      </c>
      <c r="K118">
        <f>IF($P118="","",INDEX(상세표[블록 07~18시],$P118))</f>
        <v/>
      </c>
      <c r="L118">
        <f>IF($P118="","",INDEX(상세표[블록 18~22시],$P118))</f>
        <v/>
      </c>
      <c r="M118">
        <f>IF($P118="","",INDEX(상세표[블록 22~06시],$P118))</f>
        <v/>
      </c>
      <c r="N118">
        <f>IF($P118="","",INDEX(상세표[주말·휴일 포함],$P118)&amp;"")</f>
        <v/>
      </c>
      <c r="O118">
        <f>IF($P118="","",INDEX(상세표[월 넘김 포함],$P118)&amp;"")</f>
        <v/>
      </c>
      <c r="P118" s="4">
        <f>IFERROR(MATCH(113,상세표[연속순번],0),"")</f>
        <v/>
      </c>
    </row>
    <row r="119">
      <c r="A119">
        <f>IF($P119="","",INDEX(상세표[사번],$P119)&amp;"")</f>
        <v/>
      </c>
      <c r="B119">
        <f>IF($P119="","",INDEX(상세표[성명],$P119)&amp;"")</f>
        <v/>
      </c>
      <c r="C119">
        <f>IF($P119="","",INDEX(상세표[부서],$P119)&amp;"")</f>
        <v/>
      </c>
      <c r="D119">
        <f>IF($P119="","",INDEX(상세표[직위],$P119)&amp;"")</f>
        <v/>
      </c>
      <c r="E119">
        <f>IF($P119="","",IF(ISNUMBER(INDEX(상세표[시작],$P119)),TEXT(INDEX(상세표[시작],$P119),"yyyy-mm-dd hh:mm"),INDEX(상세표[시작],$P119)&amp;""))</f>
        <v/>
      </c>
      <c r="F119">
        <f>IF($P119="","",IF(ISNUMBER(INDEX(상세표[블록종료],$P119)),TEXT(INDEX(상세표[블록종료],$P119),"yyyy-mm-dd hh:mm"),INDEX(상세표[블록종료],$P119)&amp;""))</f>
        <v/>
      </c>
      <c r="G119">
        <f>IF($P119="","",CHOOSE(WEEKDAY(INDEX(상세표[시작],$P119)),"일","월","화","수","목","금","토"))</f>
        <v/>
      </c>
      <c r="H119">
        <f>IF($P119="","",INDEX(상세표[연속 시간],$P119))</f>
        <v/>
      </c>
      <c r="I119">
        <f>IF($P119="","",INDEX(상세표[기록 수],$P119))</f>
        <v/>
      </c>
      <c r="J119">
        <f>IF($P119="","",INDEX(상세표[블록 06~07시],$P119))</f>
        <v/>
      </c>
      <c r="K119">
        <f>IF($P119="","",INDEX(상세표[블록 07~18시],$P119))</f>
        <v/>
      </c>
      <c r="L119">
        <f>IF($P119="","",INDEX(상세표[블록 18~22시],$P119))</f>
        <v/>
      </c>
      <c r="M119">
        <f>IF($P119="","",INDEX(상세표[블록 22~06시],$P119))</f>
        <v/>
      </c>
      <c r="N119">
        <f>IF($P119="","",INDEX(상세표[주말·휴일 포함],$P119)&amp;"")</f>
        <v/>
      </c>
      <c r="O119">
        <f>IF($P119="","",INDEX(상세표[월 넘김 포함],$P119)&amp;"")</f>
        <v/>
      </c>
      <c r="P119" s="4">
        <f>IFERROR(MATCH(114,상세표[연속순번],0),"")</f>
        <v/>
      </c>
    </row>
    <row r="120">
      <c r="A120">
        <f>IF($P120="","",INDEX(상세표[사번],$P120)&amp;"")</f>
        <v/>
      </c>
      <c r="B120">
        <f>IF($P120="","",INDEX(상세표[성명],$P120)&amp;"")</f>
        <v/>
      </c>
      <c r="C120">
        <f>IF($P120="","",INDEX(상세표[부서],$P120)&amp;"")</f>
        <v/>
      </c>
      <c r="D120">
        <f>IF($P120="","",INDEX(상세표[직위],$P120)&amp;"")</f>
        <v/>
      </c>
      <c r="E120">
        <f>IF($P120="","",IF(ISNUMBER(INDEX(상세표[시작],$P120)),TEXT(INDEX(상세표[시작],$P120),"yyyy-mm-dd hh:mm"),INDEX(상세표[시작],$P120)&amp;""))</f>
        <v/>
      </c>
      <c r="F120">
        <f>IF($P120="","",IF(ISNUMBER(INDEX(상세표[블록종료],$P120)),TEXT(INDEX(상세표[블록종료],$P120),"yyyy-mm-dd hh:mm"),INDEX(상세표[블록종료],$P120)&amp;""))</f>
        <v/>
      </c>
      <c r="G120">
        <f>IF($P120="","",CHOOSE(WEEKDAY(INDEX(상세표[시작],$P120)),"일","월","화","수","목","금","토"))</f>
        <v/>
      </c>
      <c r="H120">
        <f>IF($P120="","",INDEX(상세표[연속 시간],$P120))</f>
        <v/>
      </c>
      <c r="I120">
        <f>IF($P120="","",INDEX(상세표[기록 수],$P120))</f>
        <v/>
      </c>
      <c r="J120">
        <f>IF($P120="","",INDEX(상세표[블록 06~07시],$P120))</f>
        <v/>
      </c>
      <c r="K120">
        <f>IF($P120="","",INDEX(상세표[블록 07~18시],$P120))</f>
        <v/>
      </c>
      <c r="L120">
        <f>IF($P120="","",INDEX(상세표[블록 18~22시],$P120))</f>
        <v/>
      </c>
      <c r="M120">
        <f>IF($P120="","",INDEX(상세표[블록 22~06시],$P120))</f>
        <v/>
      </c>
      <c r="N120">
        <f>IF($P120="","",INDEX(상세표[주말·휴일 포함],$P120)&amp;"")</f>
        <v/>
      </c>
      <c r="O120">
        <f>IF($P120="","",INDEX(상세표[월 넘김 포함],$P120)&amp;"")</f>
        <v/>
      </c>
      <c r="P120" s="4">
        <f>IFERROR(MATCH(115,상세표[연속순번],0),"")</f>
        <v/>
      </c>
    </row>
    <row r="121">
      <c r="A121">
        <f>IF($P121="","",INDEX(상세표[사번],$P121)&amp;"")</f>
        <v/>
      </c>
      <c r="B121">
        <f>IF($P121="","",INDEX(상세표[성명],$P121)&amp;"")</f>
        <v/>
      </c>
      <c r="C121">
        <f>IF($P121="","",INDEX(상세표[부서],$P121)&amp;"")</f>
        <v/>
      </c>
      <c r="D121">
        <f>IF($P121="","",INDEX(상세표[직위],$P121)&amp;"")</f>
        <v/>
      </c>
      <c r="E121">
        <f>IF($P121="","",IF(ISNUMBER(INDEX(상세표[시작],$P121)),TEXT(INDEX(상세표[시작],$P121),"yyyy-mm-dd hh:mm"),INDEX(상세표[시작],$P121)&amp;""))</f>
        <v/>
      </c>
      <c r="F121">
        <f>IF($P121="","",IF(ISNUMBER(INDEX(상세표[블록종료],$P121)),TEXT(INDEX(상세표[블록종료],$P121),"yyyy-mm-dd hh:mm"),INDEX(상세표[블록종료],$P121)&amp;""))</f>
        <v/>
      </c>
      <c r="G121">
        <f>IF($P121="","",CHOOSE(WEEKDAY(INDEX(상세표[시작],$P121)),"일","월","화","수","목","금","토"))</f>
        <v/>
      </c>
      <c r="H121">
        <f>IF($P121="","",INDEX(상세표[연속 시간],$P121))</f>
        <v/>
      </c>
      <c r="I121">
        <f>IF($P121="","",INDEX(상세표[기록 수],$P121))</f>
        <v/>
      </c>
      <c r="J121">
        <f>IF($P121="","",INDEX(상세표[블록 06~07시],$P121))</f>
        <v/>
      </c>
      <c r="K121">
        <f>IF($P121="","",INDEX(상세표[블록 07~18시],$P121))</f>
        <v/>
      </c>
      <c r="L121">
        <f>IF($P121="","",INDEX(상세표[블록 18~22시],$P121))</f>
        <v/>
      </c>
      <c r="M121">
        <f>IF($P121="","",INDEX(상세표[블록 22~06시],$P121))</f>
        <v/>
      </c>
      <c r="N121">
        <f>IF($P121="","",INDEX(상세표[주말·휴일 포함],$P121)&amp;"")</f>
        <v/>
      </c>
      <c r="O121">
        <f>IF($P121="","",INDEX(상세표[월 넘김 포함],$P121)&amp;"")</f>
        <v/>
      </c>
      <c r="P121" s="4">
        <f>IFERROR(MATCH(116,상세표[연속순번],0),"")</f>
        <v/>
      </c>
    </row>
    <row r="122">
      <c r="A122">
        <f>IF($P122="","",INDEX(상세표[사번],$P122)&amp;"")</f>
        <v/>
      </c>
      <c r="B122">
        <f>IF($P122="","",INDEX(상세표[성명],$P122)&amp;"")</f>
        <v/>
      </c>
      <c r="C122">
        <f>IF($P122="","",INDEX(상세표[부서],$P122)&amp;"")</f>
        <v/>
      </c>
      <c r="D122">
        <f>IF($P122="","",INDEX(상세표[직위],$P122)&amp;"")</f>
        <v/>
      </c>
      <c r="E122">
        <f>IF($P122="","",IF(ISNUMBER(INDEX(상세표[시작],$P122)),TEXT(INDEX(상세표[시작],$P122),"yyyy-mm-dd hh:mm"),INDEX(상세표[시작],$P122)&amp;""))</f>
        <v/>
      </c>
      <c r="F122">
        <f>IF($P122="","",IF(ISNUMBER(INDEX(상세표[블록종료],$P122)),TEXT(INDEX(상세표[블록종료],$P122),"yyyy-mm-dd hh:mm"),INDEX(상세표[블록종료],$P122)&amp;""))</f>
        <v/>
      </c>
      <c r="G122">
        <f>IF($P122="","",CHOOSE(WEEKDAY(INDEX(상세표[시작],$P122)),"일","월","화","수","목","금","토"))</f>
        <v/>
      </c>
      <c r="H122">
        <f>IF($P122="","",INDEX(상세표[연속 시간],$P122))</f>
        <v/>
      </c>
      <c r="I122">
        <f>IF($P122="","",INDEX(상세표[기록 수],$P122))</f>
        <v/>
      </c>
      <c r="J122">
        <f>IF($P122="","",INDEX(상세표[블록 06~07시],$P122))</f>
        <v/>
      </c>
      <c r="K122">
        <f>IF($P122="","",INDEX(상세표[블록 07~18시],$P122))</f>
        <v/>
      </c>
      <c r="L122">
        <f>IF($P122="","",INDEX(상세표[블록 18~22시],$P122))</f>
        <v/>
      </c>
      <c r="M122">
        <f>IF($P122="","",INDEX(상세표[블록 22~06시],$P122))</f>
        <v/>
      </c>
      <c r="N122">
        <f>IF($P122="","",INDEX(상세표[주말·휴일 포함],$P122)&amp;"")</f>
        <v/>
      </c>
      <c r="O122">
        <f>IF($P122="","",INDEX(상세표[월 넘김 포함],$P122)&amp;"")</f>
        <v/>
      </c>
      <c r="P122" s="4">
        <f>IFERROR(MATCH(117,상세표[연속순번],0),"")</f>
        <v/>
      </c>
    </row>
    <row r="123">
      <c r="A123">
        <f>IF($P123="","",INDEX(상세표[사번],$P123)&amp;"")</f>
        <v/>
      </c>
      <c r="B123">
        <f>IF($P123="","",INDEX(상세표[성명],$P123)&amp;"")</f>
        <v/>
      </c>
      <c r="C123">
        <f>IF($P123="","",INDEX(상세표[부서],$P123)&amp;"")</f>
        <v/>
      </c>
      <c r="D123">
        <f>IF($P123="","",INDEX(상세표[직위],$P123)&amp;"")</f>
        <v/>
      </c>
      <c r="E123">
        <f>IF($P123="","",IF(ISNUMBER(INDEX(상세표[시작],$P123)),TEXT(INDEX(상세표[시작],$P123),"yyyy-mm-dd hh:mm"),INDEX(상세표[시작],$P123)&amp;""))</f>
        <v/>
      </c>
      <c r="F123">
        <f>IF($P123="","",IF(ISNUMBER(INDEX(상세표[블록종료],$P123)),TEXT(INDEX(상세표[블록종료],$P123),"yyyy-mm-dd hh:mm"),INDEX(상세표[블록종료],$P123)&amp;""))</f>
        <v/>
      </c>
      <c r="G123">
        <f>IF($P123="","",CHOOSE(WEEKDAY(INDEX(상세표[시작],$P123)),"일","월","화","수","목","금","토"))</f>
        <v/>
      </c>
      <c r="H123">
        <f>IF($P123="","",INDEX(상세표[연속 시간],$P123))</f>
        <v/>
      </c>
      <c r="I123">
        <f>IF($P123="","",INDEX(상세표[기록 수],$P123))</f>
        <v/>
      </c>
      <c r="J123">
        <f>IF($P123="","",INDEX(상세표[블록 06~07시],$P123))</f>
        <v/>
      </c>
      <c r="K123">
        <f>IF($P123="","",INDEX(상세표[블록 07~18시],$P123))</f>
        <v/>
      </c>
      <c r="L123">
        <f>IF($P123="","",INDEX(상세표[블록 18~22시],$P123))</f>
        <v/>
      </c>
      <c r="M123">
        <f>IF($P123="","",INDEX(상세표[블록 22~06시],$P123))</f>
        <v/>
      </c>
      <c r="N123">
        <f>IF($P123="","",INDEX(상세표[주말·휴일 포함],$P123)&amp;"")</f>
        <v/>
      </c>
      <c r="O123">
        <f>IF($P123="","",INDEX(상세표[월 넘김 포함],$P123)&amp;"")</f>
        <v/>
      </c>
      <c r="P123" s="4">
        <f>IFERROR(MATCH(118,상세표[연속순번],0),"")</f>
        <v/>
      </c>
    </row>
    <row r="124">
      <c r="A124">
        <f>IF($P124="","",INDEX(상세표[사번],$P124)&amp;"")</f>
        <v/>
      </c>
      <c r="B124">
        <f>IF($P124="","",INDEX(상세표[성명],$P124)&amp;"")</f>
        <v/>
      </c>
      <c r="C124">
        <f>IF($P124="","",INDEX(상세표[부서],$P124)&amp;"")</f>
        <v/>
      </c>
      <c r="D124">
        <f>IF($P124="","",INDEX(상세표[직위],$P124)&amp;"")</f>
        <v/>
      </c>
      <c r="E124">
        <f>IF($P124="","",IF(ISNUMBER(INDEX(상세표[시작],$P124)),TEXT(INDEX(상세표[시작],$P124),"yyyy-mm-dd hh:mm"),INDEX(상세표[시작],$P124)&amp;""))</f>
        <v/>
      </c>
      <c r="F124">
        <f>IF($P124="","",IF(ISNUMBER(INDEX(상세표[블록종료],$P124)),TEXT(INDEX(상세표[블록종료],$P124),"yyyy-mm-dd hh:mm"),INDEX(상세표[블록종료],$P124)&amp;""))</f>
        <v/>
      </c>
      <c r="G124">
        <f>IF($P124="","",CHOOSE(WEEKDAY(INDEX(상세표[시작],$P124)),"일","월","화","수","목","금","토"))</f>
        <v/>
      </c>
      <c r="H124">
        <f>IF($P124="","",INDEX(상세표[연속 시간],$P124))</f>
        <v/>
      </c>
      <c r="I124">
        <f>IF($P124="","",INDEX(상세표[기록 수],$P124))</f>
        <v/>
      </c>
      <c r="J124">
        <f>IF($P124="","",INDEX(상세표[블록 06~07시],$P124))</f>
        <v/>
      </c>
      <c r="K124">
        <f>IF($P124="","",INDEX(상세표[블록 07~18시],$P124))</f>
        <v/>
      </c>
      <c r="L124">
        <f>IF($P124="","",INDEX(상세표[블록 18~22시],$P124))</f>
        <v/>
      </c>
      <c r="M124">
        <f>IF($P124="","",INDEX(상세표[블록 22~06시],$P124))</f>
        <v/>
      </c>
      <c r="N124">
        <f>IF($P124="","",INDEX(상세표[주말·휴일 포함],$P124)&amp;"")</f>
        <v/>
      </c>
      <c r="O124">
        <f>IF($P124="","",INDEX(상세표[월 넘김 포함],$P124)&amp;"")</f>
        <v/>
      </c>
      <c r="P124" s="4">
        <f>IFERROR(MATCH(119,상세표[연속순번],0),"")</f>
        <v/>
      </c>
    </row>
    <row r="125">
      <c r="A125">
        <f>IF($P125="","",INDEX(상세표[사번],$P125)&amp;"")</f>
        <v/>
      </c>
      <c r="B125">
        <f>IF($P125="","",INDEX(상세표[성명],$P125)&amp;"")</f>
        <v/>
      </c>
      <c r="C125">
        <f>IF($P125="","",INDEX(상세표[부서],$P125)&amp;"")</f>
        <v/>
      </c>
      <c r="D125">
        <f>IF($P125="","",INDEX(상세표[직위],$P125)&amp;"")</f>
        <v/>
      </c>
      <c r="E125">
        <f>IF($P125="","",IF(ISNUMBER(INDEX(상세표[시작],$P125)),TEXT(INDEX(상세표[시작],$P125),"yyyy-mm-dd hh:mm"),INDEX(상세표[시작],$P125)&amp;""))</f>
        <v/>
      </c>
      <c r="F125">
        <f>IF($P125="","",IF(ISNUMBER(INDEX(상세표[블록종료],$P125)),TEXT(INDEX(상세표[블록종료],$P125),"yyyy-mm-dd hh:mm"),INDEX(상세표[블록종료],$P125)&amp;""))</f>
        <v/>
      </c>
      <c r="G125">
        <f>IF($P125="","",CHOOSE(WEEKDAY(INDEX(상세표[시작],$P125)),"일","월","화","수","목","금","토"))</f>
        <v/>
      </c>
      <c r="H125">
        <f>IF($P125="","",INDEX(상세표[연속 시간],$P125))</f>
        <v/>
      </c>
      <c r="I125">
        <f>IF($P125="","",INDEX(상세표[기록 수],$P125))</f>
        <v/>
      </c>
      <c r="J125">
        <f>IF($P125="","",INDEX(상세표[블록 06~07시],$P125))</f>
        <v/>
      </c>
      <c r="K125">
        <f>IF($P125="","",INDEX(상세표[블록 07~18시],$P125))</f>
        <v/>
      </c>
      <c r="L125">
        <f>IF($P125="","",INDEX(상세표[블록 18~22시],$P125))</f>
        <v/>
      </c>
      <c r="M125">
        <f>IF($P125="","",INDEX(상세표[블록 22~06시],$P125))</f>
        <v/>
      </c>
      <c r="N125">
        <f>IF($P125="","",INDEX(상세표[주말·휴일 포함],$P125)&amp;"")</f>
        <v/>
      </c>
      <c r="O125">
        <f>IF($P125="","",INDEX(상세표[월 넘김 포함],$P125)&amp;"")</f>
        <v/>
      </c>
      <c r="P125" s="4">
        <f>IFERROR(MATCH(120,상세표[연속순번],0),"")</f>
        <v/>
      </c>
    </row>
    <row r="126">
      <c r="A126">
        <f>IF($P126="","",INDEX(상세표[사번],$P126)&amp;"")</f>
        <v/>
      </c>
      <c r="B126">
        <f>IF($P126="","",INDEX(상세표[성명],$P126)&amp;"")</f>
        <v/>
      </c>
      <c r="C126">
        <f>IF($P126="","",INDEX(상세표[부서],$P126)&amp;"")</f>
        <v/>
      </c>
      <c r="D126">
        <f>IF($P126="","",INDEX(상세표[직위],$P126)&amp;"")</f>
        <v/>
      </c>
      <c r="E126">
        <f>IF($P126="","",IF(ISNUMBER(INDEX(상세표[시작],$P126)),TEXT(INDEX(상세표[시작],$P126),"yyyy-mm-dd hh:mm"),INDEX(상세표[시작],$P126)&amp;""))</f>
        <v/>
      </c>
      <c r="F126">
        <f>IF($P126="","",IF(ISNUMBER(INDEX(상세표[블록종료],$P126)),TEXT(INDEX(상세표[블록종료],$P126),"yyyy-mm-dd hh:mm"),INDEX(상세표[블록종료],$P126)&amp;""))</f>
        <v/>
      </c>
      <c r="G126">
        <f>IF($P126="","",CHOOSE(WEEKDAY(INDEX(상세표[시작],$P126)),"일","월","화","수","목","금","토"))</f>
        <v/>
      </c>
      <c r="H126">
        <f>IF($P126="","",INDEX(상세표[연속 시간],$P126))</f>
        <v/>
      </c>
      <c r="I126">
        <f>IF($P126="","",INDEX(상세표[기록 수],$P126))</f>
        <v/>
      </c>
      <c r="J126">
        <f>IF($P126="","",INDEX(상세표[블록 06~07시],$P126))</f>
        <v/>
      </c>
      <c r="K126">
        <f>IF($P126="","",INDEX(상세표[블록 07~18시],$P126))</f>
        <v/>
      </c>
      <c r="L126">
        <f>IF($P126="","",INDEX(상세표[블록 18~22시],$P126))</f>
        <v/>
      </c>
      <c r="M126">
        <f>IF($P126="","",INDEX(상세표[블록 22~06시],$P126))</f>
        <v/>
      </c>
      <c r="N126">
        <f>IF($P126="","",INDEX(상세표[주말·휴일 포함],$P126)&amp;"")</f>
        <v/>
      </c>
      <c r="O126">
        <f>IF($P126="","",INDEX(상세표[월 넘김 포함],$P126)&amp;"")</f>
        <v/>
      </c>
      <c r="P126" s="4">
        <f>IFERROR(MATCH(121,상세표[연속순번],0),"")</f>
        <v/>
      </c>
    </row>
    <row r="127">
      <c r="A127">
        <f>IF($P127="","",INDEX(상세표[사번],$P127)&amp;"")</f>
        <v/>
      </c>
      <c r="B127">
        <f>IF($P127="","",INDEX(상세표[성명],$P127)&amp;"")</f>
        <v/>
      </c>
      <c r="C127">
        <f>IF($P127="","",INDEX(상세표[부서],$P127)&amp;"")</f>
        <v/>
      </c>
      <c r="D127">
        <f>IF($P127="","",INDEX(상세표[직위],$P127)&amp;"")</f>
        <v/>
      </c>
      <c r="E127">
        <f>IF($P127="","",IF(ISNUMBER(INDEX(상세표[시작],$P127)),TEXT(INDEX(상세표[시작],$P127),"yyyy-mm-dd hh:mm"),INDEX(상세표[시작],$P127)&amp;""))</f>
        <v/>
      </c>
      <c r="F127">
        <f>IF($P127="","",IF(ISNUMBER(INDEX(상세표[블록종료],$P127)),TEXT(INDEX(상세표[블록종료],$P127),"yyyy-mm-dd hh:mm"),INDEX(상세표[블록종료],$P127)&amp;""))</f>
        <v/>
      </c>
      <c r="G127">
        <f>IF($P127="","",CHOOSE(WEEKDAY(INDEX(상세표[시작],$P127)),"일","월","화","수","목","금","토"))</f>
        <v/>
      </c>
      <c r="H127">
        <f>IF($P127="","",INDEX(상세표[연속 시간],$P127))</f>
        <v/>
      </c>
      <c r="I127">
        <f>IF($P127="","",INDEX(상세표[기록 수],$P127))</f>
        <v/>
      </c>
      <c r="J127">
        <f>IF($P127="","",INDEX(상세표[블록 06~07시],$P127))</f>
        <v/>
      </c>
      <c r="K127">
        <f>IF($P127="","",INDEX(상세표[블록 07~18시],$P127))</f>
        <v/>
      </c>
      <c r="L127">
        <f>IF($P127="","",INDEX(상세표[블록 18~22시],$P127))</f>
        <v/>
      </c>
      <c r="M127">
        <f>IF($P127="","",INDEX(상세표[블록 22~06시],$P127))</f>
        <v/>
      </c>
      <c r="N127">
        <f>IF($P127="","",INDEX(상세표[주말·휴일 포함],$P127)&amp;"")</f>
        <v/>
      </c>
      <c r="O127">
        <f>IF($P127="","",INDEX(상세표[월 넘김 포함],$P127)&amp;"")</f>
        <v/>
      </c>
      <c r="P127" s="4">
        <f>IFERROR(MATCH(122,상세표[연속순번],0),"")</f>
        <v/>
      </c>
    </row>
    <row r="128">
      <c r="A128">
        <f>IF($P128="","",INDEX(상세표[사번],$P128)&amp;"")</f>
        <v/>
      </c>
      <c r="B128">
        <f>IF($P128="","",INDEX(상세표[성명],$P128)&amp;"")</f>
        <v/>
      </c>
      <c r="C128">
        <f>IF($P128="","",INDEX(상세표[부서],$P128)&amp;"")</f>
        <v/>
      </c>
      <c r="D128">
        <f>IF($P128="","",INDEX(상세표[직위],$P128)&amp;"")</f>
        <v/>
      </c>
      <c r="E128">
        <f>IF($P128="","",IF(ISNUMBER(INDEX(상세표[시작],$P128)),TEXT(INDEX(상세표[시작],$P128),"yyyy-mm-dd hh:mm"),INDEX(상세표[시작],$P128)&amp;""))</f>
        <v/>
      </c>
      <c r="F128">
        <f>IF($P128="","",IF(ISNUMBER(INDEX(상세표[블록종료],$P128)),TEXT(INDEX(상세표[블록종료],$P128),"yyyy-mm-dd hh:mm"),INDEX(상세표[블록종료],$P128)&amp;""))</f>
        <v/>
      </c>
      <c r="G128">
        <f>IF($P128="","",CHOOSE(WEEKDAY(INDEX(상세표[시작],$P128)),"일","월","화","수","목","금","토"))</f>
        <v/>
      </c>
      <c r="H128">
        <f>IF($P128="","",INDEX(상세표[연속 시간],$P128))</f>
        <v/>
      </c>
      <c r="I128">
        <f>IF($P128="","",INDEX(상세표[기록 수],$P128))</f>
        <v/>
      </c>
      <c r="J128">
        <f>IF($P128="","",INDEX(상세표[블록 06~07시],$P128))</f>
        <v/>
      </c>
      <c r="K128">
        <f>IF($P128="","",INDEX(상세표[블록 07~18시],$P128))</f>
        <v/>
      </c>
      <c r="L128">
        <f>IF($P128="","",INDEX(상세표[블록 18~22시],$P128))</f>
        <v/>
      </c>
      <c r="M128">
        <f>IF($P128="","",INDEX(상세표[블록 22~06시],$P128))</f>
        <v/>
      </c>
      <c r="N128">
        <f>IF($P128="","",INDEX(상세표[주말·휴일 포함],$P128)&amp;"")</f>
        <v/>
      </c>
      <c r="O128">
        <f>IF($P128="","",INDEX(상세표[월 넘김 포함],$P128)&amp;"")</f>
        <v/>
      </c>
      <c r="P128" s="4">
        <f>IFERROR(MATCH(123,상세표[연속순번],0),"")</f>
        <v/>
      </c>
    </row>
    <row r="129">
      <c r="A129">
        <f>IF($P129="","",INDEX(상세표[사번],$P129)&amp;"")</f>
        <v/>
      </c>
      <c r="B129">
        <f>IF($P129="","",INDEX(상세표[성명],$P129)&amp;"")</f>
        <v/>
      </c>
      <c r="C129">
        <f>IF($P129="","",INDEX(상세표[부서],$P129)&amp;"")</f>
        <v/>
      </c>
      <c r="D129">
        <f>IF($P129="","",INDEX(상세표[직위],$P129)&amp;"")</f>
        <v/>
      </c>
      <c r="E129">
        <f>IF($P129="","",IF(ISNUMBER(INDEX(상세표[시작],$P129)),TEXT(INDEX(상세표[시작],$P129),"yyyy-mm-dd hh:mm"),INDEX(상세표[시작],$P129)&amp;""))</f>
        <v/>
      </c>
      <c r="F129">
        <f>IF($P129="","",IF(ISNUMBER(INDEX(상세표[블록종료],$P129)),TEXT(INDEX(상세표[블록종료],$P129),"yyyy-mm-dd hh:mm"),INDEX(상세표[블록종료],$P129)&amp;""))</f>
        <v/>
      </c>
      <c r="G129">
        <f>IF($P129="","",CHOOSE(WEEKDAY(INDEX(상세표[시작],$P129)),"일","월","화","수","목","금","토"))</f>
        <v/>
      </c>
      <c r="H129">
        <f>IF($P129="","",INDEX(상세표[연속 시간],$P129))</f>
        <v/>
      </c>
      <c r="I129">
        <f>IF($P129="","",INDEX(상세표[기록 수],$P129))</f>
        <v/>
      </c>
      <c r="J129">
        <f>IF($P129="","",INDEX(상세표[블록 06~07시],$P129))</f>
        <v/>
      </c>
      <c r="K129">
        <f>IF($P129="","",INDEX(상세표[블록 07~18시],$P129))</f>
        <v/>
      </c>
      <c r="L129">
        <f>IF($P129="","",INDEX(상세표[블록 18~22시],$P129))</f>
        <v/>
      </c>
      <c r="M129">
        <f>IF($P129="","",INDEX(상세표[블록 22~06시],$P129))</f>
        <v/>
      </c>
      <c r="N129">
        <f>IF($P129="","",INDEX(상세표[주말·휴일 포함],$P129)&amp;"")</f>
        <v/>
      </c>
      <c r="O129">
        <f>IF($P129="","",INDEX(상세표[월 넘김 포함],$P129)&amp;"")</f>
        <v/>
      </c>
      <c r="P129" s="4">
        <f>IFERROR(MATCH(124,상세표[연속순번],0),"")</f>
        <v/>
      </c>
    </row>
    <row r="130">
      <c r="A130">
        <f>IF($P130="","",INDEX(상세표[사번],$P130)&amp;"")</f>
        <v/>
      </c>
      <c r="B130">
        <f>IF($P130="","",INDEX(상세표[성명],$P130)&amp;"")</f>
        <v/>
      </c>
      <c r="C130">
        <f>IF($P130="","",INDEX(상세표[부서],$P130)&amp;"")</f>
        <v/>
      </c>
      <c r="D130">
        <f>IF($P130="","",INDEX(상세표[직위],$P130)&amp;"")</f>
        <v/>
      </c>
      <c r="E130">
        <f>IF($P130="","",IF(ISNUMBER(INDEX(상세표[시작],$P130)),TEXT(INDEX(상세표[시작],$P130),"yyyy-mm-dd hh:mm"),INDEX(상세표[시작],$P130)&amp;""))</f>
        <v/>
      </c>
      <c r="F130">
        <f>IF($P130="","",IF(ISNUMBER(INDEX(상세표[블록종료],$P130)),TEXT(INDEX(상세표[블록종료],$P130),"yyyy-mm-dd hh:mm"),INDEX(상세표[블록종료],$P130)&amp;""))</f>
        <v/>
      </c>
      <c r="G130">
        <f>IF($P130="","",CHOOSE(WEEKDAY(INDEX(상세표[시작],$P130)),"일","월","화","수","목","금","토"))</f>
        <v/>
      </c>
      <c r="H130">
        <f>IF($P130="","",INDEX(상세표[연속 시간],$P130))</f>
        <v/>
      </c>
      <c r="I130">
        <f>IF($P130="","",INDEX(상세표[기록 수],$P130))</f>
        <v/>
      </c>
      <c r="J130">
        <f>IF($P130="","",INDEX(상세표[블록 06~07시],$P130))</f>
        <v/>
      </c>
      <c r="K130">
        <f>IF($P130="","",INDEX(상세표[블록 07~18시],$P130))</f>
        <v/>
      </c>
      <c r="L130">
        <f>IF($P130="","",INDEX(상세표[블록 18~22시],$P130))</f>
        <v/>
      </c>
      <c r="M130">
        <f>IF($P130="","",INDEX(상세표[블록 22~06시],$P130))</f>
        <v/>
      </c>
      <c r="N130">
        <f>IF($P130="","",INDEX(상세표[주말·휴일 포함],$P130)&amp;"")</f>
        <v/>
      </c>
      <c r="O130">
        <f>IF($P130="","",INDEX(상세표[월 넘김 포함],$P130)&amp;"")</f>
        <v/>
      </c>
      <c r="P130" s="4">
        <f>IFERROR(MATCH(125,상세표[연속순번],0),"")</f>
        <v/>
      </c>
    </row>
    <row r="131">
      <c r="A131">
        <f>IF($P131="","",INDEX(상세표[사번],$P131)&amp;"")</f>
        <v/>
      </c>
      <c r="B131">
        <f>IF($P131="","",INDEX(상세표[성명],$P131)&amp;"")</f>
        <v/>
      </c>
      <c r="C131">
        <f>IF($P131="","",INDEX(상세표[부서],$P131)&amp;"")</f>
        <v/>
      </c>
      <c r="D131">
        <f>IF($P131="","",INDEX(상세표[직위],$P131)&amp;"")</f>
        <v/>
      </c>
      <c r="E131">
        <f>IF($P131="","",IF(ISNUMBER(INDEX(상세표[시작],$P131)),TEXT(INDEX(상세표[시작],$P131),"yyyy-mm-dd hh:mm"),INDEX(상세표[시작],$P131)&amp;""))</f>
        <v/>
      </c>
      <c r="F131">
        <f>IF($P131="","",IF(ISNUMBER(INDEX(상세표[블록종료],$P131)),TEXT(INDEX(상세표[블록종료],$P131),"yyyy-mm-dd hh:mm"),INDEX(상세표[블록종료],$P131)&amp;""))</f>
        <v/>
      </c>
      <c r="G131">
        <f>IF($P131="","",CHOOSE(WEEKDAY(INDEX(상세표[시작],$P131)),"일","월","화","수","목","금","토"))</f>
        <v/>
      </c>
      <c r="H131">
        <f>IF($P131="","",INDEX(상세표[연속 시간],$P131))</f>
        <v/>
      </c>
      <c r="I131">
        <f>IF($P131="","",INDEX(상세표[기록 수],$P131))</f>
        <v/>
      </c>
      <c r="J131">
        <f>IF($P131="","",INDEX(상세표[블록 06~07시],$P131))</f>
        <v/>
      </c>
      <c r="K131">
        <f>IF($P131="","",INDEX(상세표[블록 07~18시],$P131))</f>
        <v/>
      </c>
      <c r="L131">
        <f>IF($P131="","",INDEX(상세표[블록 18~22시],$P131))</f>
        <v/>
      </c>
      <c r="M131">
        <f>IF($P131="","",INDEX(상세표[블록 22~06시],$P131))</f>
        <v/>
      </c>
      <c r="N131">
        <f>IF($P131="","",INDEX(상세표[주말·휴일 포함],$P131)&amp;"")</f>
        <v/>
      </c>
      <c r="O131">
        <f>IF($P131="","",INDEX(상세표[월 넘김 포함],$P131)&amp;"")</f>
        <v/>
      </c>
      <c r="P131" s="4">
        <f>IFERROR(MATCH(126,상세표[연속순번],0),"")</f>
        <v/>
      </c>
    </row>
    <row r="132">
      <c r="A132">
        <f>IF($P132="","",INDEX(상세표[사번],$P132)&amp;"")</f>
        <v/>
      </c>
      <c r="B132">
        <f>IF($P132="","",INDEX(상세표[성명],$P132)&amp;"")</f>
        <v/>
      </c>
      <c r="C132">
        <f>IF($P132="","",INDEX(상세표[부서],$P132)&amp;"")</f>
        <v/>
      </c>
      <c r="D132">
        <f>IF($P132="","",INDEX(상세표[직위],$P132)&amp;"")</f>
        <v/>
      </c>
      <c r="E132">
        <f>IF($P132="","",IF(ISNUMBER(INDEX(상세표[시작],$P132)),TEXT(INDEX(상세표[시작],$P132),"yyyy-mm-dd hh:mm"),INDEX(상세표[시작],$P132)&amp;""))</f>
        <v/>
      </c>
      <c r="F132">
        <f>IF($P132="","",IF(ISNUMBER(INDEX(상세표[블록종료],$P132)),TEXT(INDEX(상세표[블록종료],$P132),"yyyy-mm-dd hh:mm"),INDEX(상세표[블록종료],$P132)&amp;""))</f>
        <v/>
      </c>
      <c r="G132">
        <f>IF($P132="","",CHOOSE(WEEKDAY(INDEX(상세표[시작],$P132)),"일","월","화","수","목","금","토"))</f>
        <v/>
      </c>
      <c r="H132">
        <f>IF($P132="","",INDEX(상세표[연속 시간],$P132))</f>
        <v/>
      </c>
      <c r="I132">
        <f>IF($P132="","",INDEX(상세표[기록 수],$P132))</f>
        <v/>
      </c>
      <c r="J132">
        <f>IF($P132="","",INDEX(상세표[블록 06~07시],$P132))</f>
        <v/>
      </c>
      <c r="K132">
        <f>IF($P132="","",INDEX(상세표[블록 07~18시],$P132))</f>
        <v/>
      </c>
      <c r="L132">
        <f>IF($P132="","",INDEX(상세표[블록 18~22시],$P132))</f>
        <v/>
      </c>
      <c r="M132">
        <f>IF($P132="","",INDEX(상세표[블록 22~06시],$P132))</f>
        <v/>
      </c>
      <c r="N132">
        <f>IF($P132="","",INDEX(상세표[주말·휴일 포함],$P132)&amp;"")</f>
        <v/>
      </c>
      <c r="O132">
        <f>IF($P132="","",INDEX(상세표[월 넘김 포함],$P132)&amp;"")</f>
        <v/>
      </c>
      <c r="P132" s="4">
        <f>IFERROR(MATCH(127,상세표[연속순번],0),"")</f>
        <v/>
      </c>
    </row>
    <row r="133">
      <c r="A133">
        <f>IF($P133="","",INDEX(상세표[사번],$P133)&amp;"")</f>
        <v/>
      </c>
      <c r="B133">
        <f>IF($P133="","",INDEX(상세표[성명],$P133)&amp;"")</f>
        <v/>
      </c>
      <c r="C133">
        <f>IF($P133="","",INDEX(상세표[부서],$P133)&amp;"")</f>
        <v/>
      </c>
      <c r="D133">
        <f>IF($P133="","",INDEX(상세표[직위],$P133)&amp;"")</f>
        <v/>
      </c>
      <c r="E133">
        <f>IF($P133="","",IF(ISNUMBER(INDEX(상세표[시작],$P133)),TEXT(INDEX(상세표[시작],$P133),"yyyy-mm-dd hh:mm"),INDEX(상세표[시작],$P133)&amp;""))</f>
        <v/>
      </c>
      <c r="F133">
        <f>IF($P133="","",IF(ISNUMBER(INDEX(상세표[블록종료],$P133)),TEXT(INDEX(상세표[블록종료],$P133),"yyyy-mm-dd hh:mm"),INDEX(상세표[블록종료],$P133)&amp;""))</f>
        <v/>
      </c>
      <c r="G133">
        <f>IF($P133="","",CHOOSE(WEEKDAY(INDEX(상세표[시작],$P133)),"일","월","화","수","목","금","토"))</f>
        <v/>
      </c>
      <c r="H133">
        <f>IF($P133="","",INDEX(상세표[연속 시간],$P133))</f>
        <v/>
      </c>
      <c r="I133">
        <f>IF($P133="","",INDEX(상세표[기록 수],$P133))</f>
        <v/>
      </c>
      <c r="J133">
        <f>IF($P133="","",INDEX(상세표[블록 06~07시],$P133))</f>
        <v/>
      </c>
      <c r="K133">
        <f>IF($P133="","",INDEX(상세표[블록 07~18시],$P133))</f>
        <v/>
      </c>
      <c r="L133">
        <f>IF($P133="","",INDEX(상세표[블록 18~22시],$P133))</f>
        <v/>
      </c>
      <c r="M133">
        <f>IF($P133="","",INDEX(상세표[블록 22~06시],$P133))</f>
        <v/>
      </c>
      <c r="N133">
        <f>IF($P133="","",INDEX(상세표[주말·휴일 포함],$P133)&amp;"")</f>
        <v/>
      </c>
      <c r="O133">
        <f>IF($P133="","",INDEX(상세표[월 넘김 포함],$P133)&amp;"")</f>
        <v/>
      </c>
      <c r="P133" s="4">
        <f>IFERROR(MATCH(128,상세표[연속순번],0),"")</f>
        <v/>
      </c>
    </row>
    <row r="134">
      <c r="A134">
        <f>IF($P134="","",INDEX(상세표[사번],$P134)&amp;"")</f>
        <v/>
      </c>
      <c r="B134">
        <f>IF($P134="","",INDEX(상세표[성명],$P134)&amp;"")</f>
        <v/>
      </c>
      <c r="C134">
        <f>IF($P134="","",INDEX(상세표[부서],$P134)&amp;"")</f>
        <v/>
      </c>
      <c r="D134">
        <f>IF($P134="","",INDEX(상세표[직위],$P134)&amp;"")</f>
        <v/>
      </c>
      <c r="E134">
        <f>IF($P134="","",IF(ISNUMBER(INDEX(상세표[시작],$P134)),TEXT(INDEX(상세표[시작],$P134),"yyyy-mm-dd hh:mm"),INDEX(상세표[시작],$P134)&amp;""))</f>
        <v/>
      </c>
      <c r="F134">
        <f>IF($P134="","",IF(ISNUMBER(INDEX(상세표[블록종료],$P134)),TEXT(INDEX(상세표[블록종료],$P134),"yyyy-mm-dd hh:mm"),INDEX(상세표[블록종료],$P134)&amp;""))</f>
        <v/>
      </c>
      <c r="G134">
        <f>IF($P134="","",CHOOSE(WEEKDAY(INDEX(상세표[시작],$P134)),"일","월","화","수","목","금","토"))</f>
        <v/>
      </c>
      <c r="H134">
        <f>IF($P134="","",INDEX(상세표[연속 시간],$P134))</f>
        <v/>
      </c>
      <c r="I134">
        <f>IF($P134="","",INDEX(상세표[기록 수],$P134))</f>
        <v/>
      </c>
      <c r="J134">
        <f>IF($P134="","",INDEX(상세표[블록 06~07시],$P134))</f>
        <v/>
      </c>
      <c r="K134">
        <f>IF($P134="","",INDEX(상세표[블록 07~18시],$P134))</f>
        <v/>
      </c>
      <c r="L134">
        <f>IF($P134="","",INDEX(상세표[블록 18~22시],$P134))</f>
        <v/>
      </c>
      <c r="M134">
        <f>IF($P134="","",INDEX(상세표[블록 22~06시],$P134))</f>
        <v/>
      </c>
      <c r="N134">
        <f>IF($P134="","",INDEX(상세표[주말·휴일 포함],$P134)&amp;"")</f>
        <v/>
      </c>
      <c r="O134">
        <f>IF($P134="","",INDEX(상세표[월 넘김 포함],$P134)&amp;"")</f>
        <v/>
      </c>
      <c r="P134" s="4">
        <f>IFERROR(MATCH(129,상세표[연속순번],0),"")</f>
        <v/>
      </c>
    </row>
    <row r="135">
      <c r="A135">
        <f>IF($P135="","",INDEX(상세표[사번],$P135)&amp;"")</f>
        <v/>
      </c>
      <c r="B135">
        <f>IF($P135="","",INDEX(상세표[성명],$P135)&amp;"")</f>
        <v/>
      </c>
      <c r="C135">
        <f>IF($P135="","",INDEX(상세표[부서],$P135)&amp;"")</f>
        <v/>
      </c>
      <c r="D135">
        <f>IF($P135="","",INDEX(상세표[직위],$P135)&amp;"")</f>
        <v/>
      </c>
      <c r="E135">
        <f>IF($P135="","",IF(ISNUMBER(INDEX(상세표[시작],$P135)),TEXT(INDEX(상세표[시작],$P135),"yyyy-mm-dd hh:mm"),INDEX(상세표[시작],$P135)&amp;""))</f>
        <v/>
      </c>
      <c r="F135">
        <f>IF($P135="","",IF(ISNUMBER(INDEX(상세표[블록종료],$P135)),TEXT(INDEX(상세표[블록종료],$P135),"yyyy-mm-dd hh:mm"),INDEX(상세표[블록종료],$P135)&amp;""))</f>
        <v/>
      </c>
      <c r="G135">
        <f>IF($P135="","",CHOOSE(WEEKDAY(INDEX(상세표[시작],$P135)),"일","월","화","수","목","금","토"))</f>
        <v/>
      </c>
      <c r="H135">
        <f>IF($P135="","",INDEX(상세표[연속 시간],$P135))</f>
        <v/>
      </c>
      <c r="I135">
        <f>IF($P135="","",INDEX(상세표[기록 수],$P135))</f>
        <v/>
      </c>
      <c r="J135">
        <f>IF($P135="","",INDEX(상세표[블록 06~07시],$P135))</f>
        <v/>
      </c>
      <c r="K135">
        <f>IF($P135="","",INDEX(상세표[블록 07~18시],$P135))</f>
        <v/>
      </c>
      <c r="L135">
        <f>IF($P135="","",INDEX(상세표[블록 18~22시],$P135))</f>
        <v/>
      </c>
      <c r="M135">
        <f>IF($P135="","",INDEX(상세표[블록 22~06시],$P135))</f>
        <v/>
      </c>
      <c r="N135">
        <f>IF($P135="","",INDEX(상세표[주말·휴일 포함],$P135)&amp;"")</f>
        <v/>
      </c>
      <c r="O135">
        <f>IF($P135="","",INDEX(상세표[월 넘김 포함],$P135)&amp;"")</f>
        <v/>
      </c>
      <c r="P135" s="4">
        <f>IFERROR(MATCH(130,상세표[연속순번],0),"")</f>
        <v/>
      </c>
    </row>
    <row r="136">
      <c r="A136">
        <f>IF($P136="","",INDEX(상세표[사번],$P136)&amp;"")</f>
        <v/>
      </c>
      <c r="B136">
        <f>IF($P136="","",INDEX(상세표[성명],$P136)&amp;"")</f>
        <v/>
      </c>
      <c r="C136">
        <f>IF($P136="","",INDEX(상세표[부서],$P136)&amp;"")</f>
        <v/>
      </c>
      <c r="D136">
        <f>IF($P136="","",INDEX(상세표[직위],$P136)&amp;"")</f>
        <v/>
      </c>
      <c r="E136">
        <f>IF($P136="","",IF(ISNUMBER(INDEX(상세표[시작],$P136)),TEXT(INDEX(상세표[시작],$P136),"yyyy-mm-dd hh:mm"),INDEX(상세표[시작],$P136)&amp;""))</f>
        <v/>
      </c>
      <c r="F136">
        <f>IF($P136="","",IF(ISNUMBER(INDEX(상세표[블록종료],$P136)),TEXT(INDEX(상세표[블록종료],$P136),"yyyy-mm-dd hh:mm"),INDEX(상세표[블록종료],$P136)&amp;""))</f>
        <v/>
      </c>
      <c r="G136">
        <f>IF($P136="","",CHOOSE(WEEKDAY(INDEX(상세표[시작],$P136)),"일","월","화","수","목","금","토"))</f>
        <v/>
      </c>
      <c r="H136">
        <f>IF($P136="","",INDEX(상세표[연속 시간],$P136))</f>
        <v/>
      </c>
      <c r="I136">
        <f>IF($P136="","",INDEX(상세표[기록 수],$P136))</f>
        <v/>
      </c>
      <c r="J136">
        <f>IF($P136="","",INDEX(상세표[블록 06~07시],$P136))</f>
        <v/>
      </c>
      <c r="K136">
        <f>IF($P136="","",INDEX(상세표[블록 07~18시],$P136))</f>
        <v/>
      </c>
      <c r="L136">
        <f>IF($P136="","",INDEX(상세표[블록 18~22시],$P136))</f>
        <v/>
      </c>
      <c r="M136">
        <f>IF($P136="","",INDEX(상세표[블록 22~06시],$P136))</f>
        <v/>
      </c>
      <c r="N136">
        <f>IF($P136="","",INDEX(상세표[주말·휴일 포함],$P136)&amp;"")</f>
        <v/>
      </c>
      <c r="O136">
        <f>IF($P136="","",INDEX(상세표[월 넘김 포함],$P136)&amp;"")</f>
        <v/>
      </c>
      <c r="P136" s="4">
        <f>IFERROR(MATCH(131,상세표[연속순번],0),"")</f>
        <v/>
      </c>
    </row>
    <row r="137">
      <c r="A137">
        <f>IF($P137="","",INDEX(상세표[사번],$P137)&amp;"")</f>
        <v/>
      </c>
      <c r="B137">
        <f>IF($P137="","",INDEX(상세표[성명],$P137)&amp;"")</f>
        <v/>
      </c>
      <c r="C137">
        <f>IF($P137="","",INDEX(상세표[부서],$P137)&amp;"")</f>
        <v/>
      </c>
      <c r="D137">
        <f>IF($P137="","",INDEX(상세표[직위],$P137)&amp;"")</f>
        <v/>
      </c>
      <c r="E137">
        <f>IF($P137="","",IF(ISNUMBER(INDEX(상세표[시작],$P137)),TEXT(INDEX(상세표[시작],$P137),"yyyy-mm-dd hh:mm"),INDEX(상세표[시작],$P137)&amp;""))</f>
        <v/>
      </c>
      <c r="F137">
        <f>IF($P137="","",IF(ISNUMBER(INDEX(상세표[블록종료],$P137)),TEXT(INDEX(상세표[블록종료],$P137),"yyyy-mm-dd hh:mm"),INDEX(상세표[블록종료],$P137)&amp;""))</f>
        <v/>
      </c>
      <c r="G137">
        <f>IF($P137="","",CHOOSE(WEEKDAY(INDEX(상세표[시작],$P137)),"일","월","화","수","목","금","토"))</f>
        <v/>
      </c>
      <c r="H137">
        <f>IF($P137="","",INDEX(상세표[연속 시간],$P137))</f>
        <v/>
      </c>
      <c r="I137">
        <f>IF($P137="","",INDEX(상세표[기록 수],$P137))</f>
        <v/>
      </c>
      <c r="J137">
        <f>IF($P137="","",INDEX(상세표[블록 06~07시],$P137))</f>
        <v/>
      </c>
      <c r="K137">
        <f>IF($P137="","",INDEX(상세표[블록 07~18시],$P137))</f>
        <v/>
      </c>
      <c r="L137">
        <f>IF($P137="","",INDEX(상세표[블록 18~22시],$P137))</f>
        <v/>
      </c>
      <c r="M137">
        <f>IF($P137="","",INDEX(상세표[블록 22~06시],$P137))</f>
        <v/>
      </c>
      <c r="N137">
        <f>IF($P137="","",INDEX(상세표[주말·휴일 포함],$P137)&amp;"")</f>
        <v/>
      </c>
      <c r="O137">
        <f>IF($P137="","",INDEX(상세표[월 넘김 포함],$P137)&amp;"")</f>
        <v/>
      </c>
      <c r="P137" s="4">
        <f>IFERROR(MATCH(132,상세표[연속순번],0),"")</f>
        <v/>
      </c>
    </row>
    <row r="138">
      <c r="A138">
        <f>IF($P138="","",INDEX(상세표[사번],$P138)&amp;"")</f>
        <v/>
      </c>
      <c r="B138">
        <f>IF($P138="","",INDEX(상세표[성명],$P138)&amp;"")</f>
        <v/>
      </c>
      <c r="C138">
        <f>IF($P138="","",INDEX(상세표[부서],$P138)&amp;"")</f>
        <v/>
      </c>
      <c r="D138">
        <f>IF($P138="","",INDEX(상세표[직위],$P138)&amp;"")</f>
        <v/>
      </c>
      <c r="E138">
        <f>IF($P138="","",IF(ISNUMBER(INDEX(상세표[시작],$P138)),TEXT(INDEX(상세표[시작],$P138),"yyyy-mm-dd hh:mm"),INDEX(상세표[시작],$P138)&amp;""))</f>
        <v/>
      </c>
      <c r="F138">
        <f>IF($P138="","",IF(ISNUMBER(INDEX(상세표[블록종료],$P138)),TEXT(INDEX(상세표[블록종료],$P138),"yyyy-mm-dd hh:mm"),INDEX(상세표[블록종료],$P138)&amp;""))</f>
        <v/>
      </c>
      <c r="G138">
        <f>IF($P138="","",CHOOSE(WEEKDAY(INDEX(상세표[시작],$P138)),"일","월","화","수","목","금","토"))</f>
        <v/>
      </c>
      <c r="H138">
        <f>IF($P138="","",INDEX(상세표[연속 시간],$P138))</f>
        <v/>
      </c>
      <c r="I138">
        <f>IF($P138="","",INDEX(상세표[기록 수],$P138))</f>
        <v/>
      </c>
      <c r="J138">
        <f>IF($P138="","",INDEX(상세표[블록 06~07시],$P138))</f>
        <v/>
      </c>
      <c r="K138">
        <f>IF($P138="","",INDEX(상세표[블록 07~18시],$P138))</f>
        <v/>
      </c>
      <c r="L138">
        <f>IF($P138="","",INDEX(상세표[블록 18~22시],$P138))</f>
        <v/>
      </c>
      <c r="M138">
        <f>IF($P138="","",INDEX(상세표[블록 22~06시],$P138))</f>
        <v/>
      </c>
      <c r="N138">
        <f>IF($P138="","",INDEX(상세표[주말·휴일 포함],$P138)&amp;"")</f>
        <v/>
      </c>
      <c r="O138">
        <f>IF($P138="","",INDEX(상세표[월 넘김 포함],$P138)&amp;"")</f>
        <v/>
      </c>
      <c r="P138" s="4">
        <f>IFERROR(MATCH(133,상세표[연속순번],0),"")</f>
        <v/>
      </c>
    </row>
    <row r="139">
      <c r="A139">
        <f>IF($P139="","",INDEX(상세표[사번],$P139)&amp;"")</f>
        <v/>
      </c>
      <c r="B139">
        <f>IF($P139="","",INDEX(상세표[성명],$P139)&amp;"")</f>
        <v/>
      </c>
      <c r="C139">
        <f>IF($P139="","",INDEX(상세표[부서],$P139)&amp;"")</f>
        <v/>
      </c>
      <c r="D139">
        <f>IF($P139="","",INDEX(상세표[직위],$P139)&amp;"")</f>
        <v/>
      </c>
      <c r="E139">
        <f>IF($P139="","",IF(ISNUMBER(INDEX(상세표[시작],$P139)),TEXT(INDEX(상세표[시작],$P139),"yyyy-mm-dd hh:mm"),INDEX(상세표[시작],$P139)&amp;""))</f>
        <v/>
      </c>
      <c r="F139">
        <f>IF($P139="","",IF(ISNUMBER(INDEX(상세표[블록종료],$P139)),TEXT(INDEX(상세표[블록종료],$P139),"yyyy-mm-dd hh:mm"),INDEX(상세표[블록종료],$P139)&amp;""))</f>
        <v/>
      </c>
      <c r="G139">
        <f>IF($P139="","",CHOOSE(WEEKDAY(INDEX(상세표[시작],$P139)),"일","월","화","수","목","금","토"))</f>
        <v/>
      </c>
      <c r="H139">
        <f>IF($P139="","",INDEX(상세표[연속 시간],$P139))</f>
        <v/>
      </c>
      <c r="I139">
        <f>IF($P139="","",INDEX(상세표[기록 수],$P139))</f>
        <v/>
      </c>
      <c r="J139">
        <f>IF($P139="","",INDEX(상세표[블록 06~07시],$P139))</f>
        <v/>
      </c>
      <c r="K139">
        <f>IF($P139="","",INDEX(상세표[블록 07~18시],$P139))</f>
        <v/>
      </c>
      <c r="L139">
        <f>IF($P139="","",INDEX(상세표[블록 18~22시],$P139))</f>
        <v/>
      </c>
      <c r="M139">
        <f>IF($P139="","",INDEX(상세표[블록 22~06시],$P139))</f>
        <v/>
      </c>
      <c r="N139">
        <f>IF($P139="","",INDEX(상세표[주말·휴일 포함],$P139)&amp;"")</f>
        <v/>
      </c>
      <c r="O139">
        <f>IF($P139="","",INDEX(상세표[월 넘김 포함],$P139)&amp;"")</f>
        <v/>
      </c>
      <c r="P139" s="4">
        <f>IFERROR(MATCH(134,상세표[연속순번],0),"")</f>
        <v/>
      </c>
    </row>
    <row r="140">
      <c r="A140">
        <f>IF($P140="","",INDEX(상세표[사번],$P140)&amp;"")</f>
        <v/>
      </c>
      <c r="B140">
        <f>IF($P140="","",INDEX(상세표[성명],$P140)&amp;"")</f>
        <v/>
      </c>
      <c r="C140">
        <f>IF($P140="","",INDEX(상세표[부서],$P140)&amp;"")</f>
        <v/>
      </c>
      <c r="D140">
        <f>IF($P140="","",INDEX(상세표[직위],$P140)&amp;"")</f>
        <v/>
      </c>
      <c r="E140">
        <f>IF($P140="","",IF(ISNUMBER(INDEX(상세표[시작],$P140)),TEXT(INDEX(상세표[시작],$P140),"yyyy-mm-dd hh:mm"),INDEX(상세표[시작],$P140)&amp;""))</f>
        <v/>
      </c>
      <c r="F140">
        <f>IF($P140="","",IF(ISNUMBER(INDEX(상세표[블록종료],$P140)),TEXT(INDEX(상세표[블록종료],$P140),"yyyy-mm-dd hh:mm"),INDEX(상세표[블록종료],$P140)&amp;""))</f>
        <v/>
      </c>
      <c r="G140">
        <f>IF($P140="","",CHOOSE(WEEKDAY(INDEX(상세표[시작],$P140)),"일","월","화","수","목","금","토"))</f>
        <v/>
      </c>
      <c r="H140">
        <f>IF($P140="","",INDEX(상세표[연속 시간],$P140))</f>
        <v/>
      </c>
      <c r="I140">
        <f>IF($P140="","",INDEX(상세표[기록 수],$P140))</f>
        <v/>
      </c>
      <c r="J140">
        <f>IF($P140="","",INDEX(상세표[블록 06~07시],$P140))</f>
        <v/>
      </c>
      <c r="K140">
        <f>IF($P140="","",INDEX(상세표[블록 07~18시],$P140))</f>
        <v/>
      </c>
      <c r="L140">
        <f>IF($P140="","",INDEX(상세표[블록 18~22시],$P140))</f>
        <v/>
      </c>
      <c r="M140">
        <f>IF($P140="","",INDEX(상세표[블록 22~06시],$P140))</f>
        <v/>
      </c>
      <c r="N140">
        <f>IF($P140="","",INDEX(상세표[주말·휴일 포함],$P140)&amp;"")</f>
        <v/>
      </c>
      <c r="O140">
        <f>IF($P140="","",INDEX(상세표[월 넘김 포함],$P140)&amp;"")</f>
        <v/>
      </c>
      <c r="P140" s="4">
        <f>IFERROR(MATCH(135,상세표[연속순번],0),"")</f>
        <v/>
      </c>
    </row>
    <row r="141">
      <c r="A141">
        <f>IF($P141="","",INDEX(상세표[사번],$P141)&amp;"")</f>
        <v/>
      </c>
      <c r="B141">
        <f>IF($P141="","",INDEX(상세표[성명],$P141)&amp;"")</f>
        <v/>
      </c>
      <c r="C141">
        <f>IF($P141="","",INDEX(상세표[부서],$P141)&amp;"")</f>
        <v/>
      </c>
      <c r="D141">
        <f>IF($P141="","",INDEX(상세표[직위],$P141)&amp;"")</f>
        <v/>
      </c>
      <c r="E141">
        <f>IF($P141="","",IF(ISNUMBER(INDEX(상세표[시작],$P141)),TEXT(INDEX(상세표[시작],$P141),"yyyy-mm-dd hh:mm"),INDEX(상세표[시작],$P141)&amp;""))</f>
        <v/>
      </c>
      <c r="F141">
        <f>IF($P141="","",IF(ISNUMBER(INDEX(상세표[블록종료],$P141)),TEXT(INDEX(상세표[블록종료],$P141),"yyyy-mm-dd hh:mm"),INDEX(상세표[블록종료],$P141)&amp;""))</f>
        <v/>
      </c>
      <c r="G141">
        <f>IF($P141="","",CHOOSE(WEEKDAY(INDEX(상세표[시작],$P141)),"일","월","화","수","목","금","토"))</f>
        <v/>
      </c>
      <c r="H141">
        <f>IF($P141="","",INDEX(상세표[연속 시간],$P141))</f>
        <v/>
      </c>
      <c r="I141">
        <f>IF($P141="","",INDEX(상세표[기록 수],$P141))</f>
        <v/>
      </c>
      <c r="J141">
        <f>IF($P141="","",INDEX(상세표[블록 06~07시],$P141))</f>
        <v/>
      </c>
      <c r="K141">
        <f>IF($P141="","",INDEX(상세표[블록 07~18시],$P141))</f>
        <v/>
      </c>
      <c r="L141">
        <f>IF($P141="","",INDEX(상세표[블록 18~22시],$P141))</f>
        <v/>
      </c>
      <c r="M141">
        <f>IF($P141="","",INDEX(상세표[블록 22~06시],$P141))</f>
        <v/>
      </c>
      <c r="N141">
        <f>IF($P141="","",INDEX(상세표[주말·휴일 포함],$P141)&amp;"")</f>
        <v/>
      </c>
      <c r="O141">
        <f>IF($P141="","",INDEX(상세표[월 넘김 포함],$P141)&amp;"")</f>
        <v/>
      </c>
      <c r="P141" s="4">
        <f>IFERROR(MATCH(136,상세표[연속순번],0),"")</f>
        <v/>
      </c>
    </row>
    <row r="142">
      <c r="A142">
        <f>IF($P142="","",INDEX(상세표[사번],$P142)&amp;"")</f>
        <v/>
      </c>
      <c r="B142">
        <f>IF($P142="","",INDEX(상세표[성명],$P142)&amp;"")</f>
        <v/>
      </c>
      <c r="C142">
        <f>IF($P142="","",INDEX(상세표[부서],$P142)&amp;"")</f>
        <v/>
      </c>
      <c r="D142">
        <f>IF($P142="","",INDEX(상세표[직위],$P142)&amp;"")</f>
        <v/>
      </c>
      <c r="E142">
        <f>IF($P142="","",IF(ISNUMBER(INDEX(상세표[시작],$P142)),TEXT(INDEX(상세표[시작],$P142),"yyyy-mm-dd hh:mm"),INDEX(상세표[시작],$P142)&amp;""))</f>
        <v/>
      </c>
      <c r="F142">
        <f>IF($P142="","",IF(ISNUMBER(INDEX(상세표[블록종료],$P142)),TEXT(INDEX(상세표[블록종료],$P142),"yyyy-mm-dd hh:mm"),INDEX(상세표[블록종료],$P142)&amp;""))</f>
        <v/>
      </c>
      <c r="G142">
        <f>IF($P142="","",CHOOSE(WEEKDAY(INDEX(상세표[시작],$P142)),"일","월","화","수","목","금","토"))</f>
        <v/>
      </c>
      <c r="H142">
        <f>IF($P142="","",INDEX(상세표[연속 시간],$P142))</f>
        <v/>
      </c>
      <c r="I142">
        <f>IF($P142="","",INDEX(상세표[기록 수],$P142))</f>
        <v/>
      </c>
      <c r="J142">
        <f>IF($P142="","",INDEX(상세표[블록 06~07시],$P142))</f>
        <v/>
      </c>
      <c r="K142">
        <f>IF($P142="","",INDEX(상세표[블록 07~18시],$P142))</f>
        <v/>
      </c>
      <c r="L142">
        <f>IF($P142="","",INDEX(상세표[블록 18~22시],$P142))</f>
        <v/>
      </c>
      <c r="M142">
        <f>IF($P142="","",INDEX(상세표[블록 22~06시],$P142))</f>
        <v/>
      </c>
      <c r="N142">
        <f>IF($P142="","",INDEX(상세표[주말·휴일 포함],$P142)&amp;"")</f>
        <v/>
      </c>
      <c r="O142">
        <f>IF($P142="","",INDEX(상세표[월 넘김 포함],$P142)&amp;"")</f>
        <v/>
      </c>
      <c r="P142" s="4">
        <f>IFERROR(MATCH(137,상세표[연속순번],0),"")</f>
        <v/>
      </c>
    </row>
    <row r="143">
      <c r="A143">
        <f>IF($P143="","",INDEX(상세표[사번],$P143)&amp;"")</f>
        <v/>
      </c>
      <c r="B143">
        <f>IF($P143="","",INDEX(상세표[성명],$P143)&amp;"")</f>
        <v/>
      </c>
      <c r="C143">
        <f>IF($P143="","",INDEX(상세표[부서],$P143)&amp;"")</f>
        <v/>
      </c>
      <c r="D143">
        <f>IF($P143="","",INDEX(상세표[직위],$P143)&amp;"")</f>
        <v/>
      </c>
      <c r="E143">
        <f>IF($P143="","",IF(ISNUMBER(INDEX(상세표[시작],$P143)),TEXT(INDEX(상세표[시작],$P143),"yyyy-mm-dd hh:mm"),INDEX(상세표[시작],$P143)&amp;""))</f>
        <v/>
      </c>
      <c r="F143">
        <f>IF($P143="","",IF(ISNUMBER(INDEX(상세표[블록종료],$P143)),TEXT(INDEX(상세표[블록종료],$P143),"yyyy-mm-dd hh:mm"),INDEX(상세표[블록종료],$P143)&amp;""))</f>
        <v/>
      </c>
      <c r="G143">
        <f>IF($P143="","",CHOOSE(WEEKDAY(INDEX(상세표[시작],$P143)),"일","월","화","수","목","금","토"))</f>
        <v/>
      </c>
      <c r="H143">
        <f>IF($P143="","",INDEX(상세표[연속 시간],$P143))</f>
        <v/>
      </c>
      <c r="I143">
        <f>IF($P143="","",INDEX(상세표[기록 수],$P143))</f>
        <v/>
      </c>
      <c r="J143">
        <f>IF($P143="","",INDEX(상세표[블록 06~07시],$P143))</f>
        <v/>
      </c>
      <c r="K143">
        <f>IF($P143="","",INDEX(상세표[블록 07~18시],$P143))</f>
        <v/>
      </c>
      <c r="L143">
        <f>IF($P143="","",INDEX(상세표[블록 18~22시],$P143))</f>
        <v/>
      </c>
      <c r="M143">
        <f>IF($P143="","",INDEX(상세표[블록 22~06시],$P143))</f>
        <v/>
      </c>
      <c r="N143">
        <f>IF($P143="","",INDEX(상세표[주말·휴일 포함],$P143)&amp;"")</f>
        <v/>
      </c>
      <c r="O143">
        <f>IF($P143="","",INDEX(상세표[월 넘김 포함],$P143)&amp;"")</f>
        <v/>
      </c>
      <c r="P143" s="4">
        <f>IFERROR(MATCH(138,상세표[연속순번],0),"")</f>
        <v/>
      </c>
    </row>
    <row r="144">
      <c r="A144">
        <f>IF($P144="","",INDEX(상세표[사번],$P144)&amp;"")</f>
        <v/>
      </c>
      <c r="B144">
        <f>IF($P144="","",INDEX(상세표[성명],$P144)&amp;"")</f>
        <v/>
      </c>
      <c r="C144">
        <f>IF($P144="","",INDEX(상세표[부서],$P144)&amp;"")</f>
        <v/>
      </c>
      <c r="D144">
        <f>IF($P144="","",INDEX(상세표[직위],$P144)&amp;"")</f>
        <v/>
      </c>
      <c r="E144">
        <f>IF($P144="","",IF(ISNUMBER(INDEX(상세표[시작],$P144)),TEXT(INDEX(상세표[시작],$P144),"yyyy-mm-dd hh:mm"),INDEX(상세표[시작],$P144)&amp;""))</f>
        <v/>
      </c>
      <c r="F144">
        <f>IF($P144="","",IF(ISNUMBER(INDEX(상세표[블록종료],$P144)),TEXT(INDEX(상세표[블록종료],$P144),"yyyy-mm-dd hh:mm"),INDEX(상세표[블록종료],$P144)&amp;""))</f>
        <v/>
      </c>
      <c r="G144">
        <f>IF($P144="","",CHOOSE(WEEKDAY(INDEX(상세표[시작],$P144)),"일","월","화","수","목","금","토"))</f>
        <v/>
      </c>
      <c r="H144">
        <f>IF($P144="","",INDEX(상세표[연속 시간],$P144))</f>
        <v/>
      </c>
      <c r="I144">
        <f>IF($P144="","",INDEX(상세표[기록 수],$P144))</f>
        <v/>
      </c>
      <c r="J144">
        <f>IF($P144="","",INDEX(상세표[블록 06~07시],$P144))</f>
        <v/>
      </c>
      <c r="K144">
        <f>IF($P144="","",INDEX(상세표[블록 07~18시],$P144))</f>
        <v/>
      </c>
      <c r="L144">
        <f>IF($P144="","",INDEX(상세표[블록 18~22시],$P144))</f>
        <v/>
      </c>
      <c r="M144">
        <f>IF($P144="","",INDEX(상세표[블록 22~06시],$P144))</f>
        <v/>
      </c>
      <c r="N144">
        <f>IF($P144="","",INDEX(상세표[주말·휴일 포함],$P144)&amp;"")</f>
        <v/>
      </c>
      <c r="O144">
        <f>IF($P144="","",INDEX(상세표[월 넘김 포함],$P144)&amp;"")</f>
        <v/>
      </c>
      <c r="P144" s="4">
        <f>IFERROR(MATCH(139,상세표[연속순번],0),"")</f>
        <v/>
      </c>
    </row>
    <row r="145">
      <c r="A145">
        <f>IF($P145="","",INDEX(상세표[사번],$P145)&amp;"")</f>
        <v/>
      </c>
      <c r="B145">
        <f>IF($P145="","",INDEX(상세표[성명],$P145)&amp;"")</f>
        <v/>
      </c>
      <c r="C145">
        <f>IF($P145="","",INDEX(상세표[부서],$P145)&amp;"")</f>
        <v/>
      </c>
      <c r="D145">
        <f>IF($P145="","",INDEX(상세표[직위],$P145)&amp;"")</f>
        <v/>
      </c>
      <c r="E145">
        <f>IF($P145="","",IF(ISNUMBER(INDEX(상세표[시작],$P145)),TEXT(INDEX(상세표[시작],$P145),"yyyy-mm-dd hh:mm"),INDEX(상세표[시작],$P145)&amp;""))</f>
        <v/>
      </c>
      <c r="F145">
        <f>IF($P145="","",IF(ISNUMBER(INDEX(상세표[블록종료],$P145)),TEXT(INDEX(상세표[블록종료],$P145),"yyyy-mm-dd hh:mm"),INDEX(상세표[블록종료],$P145)&amp;""))</f>
        <v/>
      </c>
      <c r="G145">
        <f>IF($P145="","",CHOOSE(WEEKDAY(INDEX(상세표[시작],$P145)),"일","월","화","수","목","금","토"))</f>
        <v/>
      </c>
      <c r="H145">
        <f>IF($P145="","",INDEX(상세표[연속 시간],$P145))</f>
        <v/>
      </c>
      <c r="I145">
        <f>IF($P145="","",INDEX(상세표[기록 수],$P145))</f>
        <v/>
      </c>
      <c r="J145">
        <f>IF($P145="","",INDEX(상세표[블록 06~07시],$P145))</f>
        <v/>
      </c>
      <c r="K145">
        <f>IF($P145="","",INDEX(상세표[블록 07~18시],$P145))</f>
        <v/>
      </c>
      <c r="L145">
        <f>IF($P145="","",INDEX(상세표[블록 18~22시],$P145))</f>
        <v/>
      </c>
      <c r="M145">
        <f>IF($P145="","",INDEX(상세표[블록 22~06시],$P145))</f>
        <v/>
      </c>
      <c r="N145">
        <f>IF($P145="","",INDEX(상세표[주말·휴일 포함],$P145)&amp;"")</f>
        <v/>
      </c>
      <c r="O145">
        <f>IF($P145="","",INDEX(상세표[월 넘김 포함],$P145)&amp;"")</f>
        <v/>
      </c>
      <c r="P145" s="4">
        <f>IFERROR(MATCH(140,상세표[연속순번],0),"")</f>
        <v/>
      </c>
    </row>
    <row r="146">
      <c r="A146">
        <f>IF($P146="","",INDEX(상세표[사번],$P146)&amp;"")</f>
        <v/>
      </c>
      <c r="B146">
        <f>IF($P146="","",INDEX(상세표[성명],$P146)&amp;"")</f>
        <v/>
      </c>
      <c r="C146">
        <f>IF($P146="","",INDEX(상세표[부서],$P146)&amp;"")</f>
        <v/>
      </c>
      <c r="D146">
        <f>IF($P146="","",INDEX(상세표[직위],$P146)&amp;"")</f>
        <v/>
      </c>
      <c r="E146">
        <f>IF($P146="","",IF(ISNUMBER(INDEX(상세표[시작],$P146)),TEXT(INDEX(상세표[시작],$P146),"yyyy-mm-dd hh:mm"),INDEX(상세표[시작],$P146)&amp;""))</f>
        <v/>
      </c>
      <c r="F146">
        <f>IF($P146="","",IF(ISNUMBER(INDEX(상세표[블록종료],$P146)),TEXT(INDEX(상세표[블록종료],$P146),"yyyy-mm-dd hh:mm"),INDEX(상세표[블록종료],$P146)&amp;""))</f>
        <v/>
      </c>
      <c r="G146">
        <f>IF($P146="","",CHOOSE(WEEKDAY(INDEX(상세표[시작],$P146)),"일","월","화","수","목","금","토"))</f>
        <v/>
      </c>
      <c r="H146">
        <f>IF($P146="","",INDEX(상세표[연속 시간],$P146))</f>
        <v/>
      </c>
      <c r="I146">
        <f>IF($P146="","",INDEX(상세표[기록 수],$P146))</f>
        <v/>
      </c>
      <c r="J146">
        <f>IF($P146="","",INDEX(상세표[블록 06~07시],$P146))</f>
        <v/>
      </c>
      <c r="K146">
        <f>IF($P146="","",INDEX(상세표[블록 07~18시],$P146))</f>
        <v/>
      </c>
      <c r="L146">
        <f>IF($P146="","",INDEX(상세표[블록 18~22시],$P146))</f>
        <v/>
      </c>
      <c r="M146">
        <f>IF($P146="","",INDEX(상세표[블록 22~06시],$P146))</f>
        <v/>
      </c>
      <c r="N146">
        <f>IF($P146="","",INDEX(상세표[주말·휴일 포함],$P146)&amp;"")</f>
        <v/>
      </c>
      <c r="O146">
        <f>IF($P146="","",INDEX(상세표[월 넘김 포함],$P146)&amp;"")</f>
        <v/>
      </c>
      <c r="P146" s="4">
        <f>IFERROR(MATCH(141,상세표[연속순번],0),"")</f>
        <v/>
      </c>
    </row>
    <row r="147">
      <c r="A147">
        <f>IF($P147="","",INDEX(상세표[사번],$P147)&amp;"")</f>
        <v/>
      </c>
      <c r="B147">
        <f>IF($P147="","",INDEX(상세표[성명],$P147)&amp;"")</f>
        <v/>
      </c>
      <c r="C147">
        <f>IF($P147="","",INDEX(상세표[부서],$P147)&amp;"")</f>
        <v/>
      </c>
      <c r="D147">
        <f>IF($P147="","",INDEX(상세표[직위],$P147)&amp;"")</f>
        <v/>
      </c>
      <c r="E147">
        <f>IF($P147="","",IF(ISNUMBER(INDEX(상세표[시작],$P147)),TEXT(INDEX(상세표[시작],$P147),"yyyy-mm-dd hh:mm"),INDEX(상세표[시작],$P147)&amp;""))</f>
        <v/>
      </c>
      <c r="F147">
        <f>IF($P147="","",IF(ISNUMBER(INDEX(상세표[블록종료],$P147)),TEXT(INDEX(상세표[블록종료],$P147),"yyyy-mm-dd hh:mm"),INDEX(상세표[블록종료],$P147)&amp;""))</f>
        <v/>
      </c>
      <c r="G147">
        <f>IF($P147="","",CHOOSE(WEEKDAY(INDEX(상세표[시작],$P147)),"일","월","화","수","목","금","토"))</f>
        <v/>
      </c>
      <c r="H147">
        <f>IF($P147="","",INDEX(상세표[연속 시간],$P147))</f>
        <v/>
      </c>
      <c r="I147">
        <f>IF($P147="","",INDEX(상세표[기록 수],$P147))</f>
        <v/>
      </c>
      <c r="J147">
        <f>IF($P147="","",INDEX(상세표[블록 06~07시],$P147))</f>
        <v/>
      </c>
      <c r="K147">
        <f>IF($P147="","",INDEX(상세표[블록 07~18시],$P147))</f>
        <v/>
      </c>
      <c r="L147">
        <f>IF($P147="","",INDEX(상세표[블록 18~22시],$P147))</f>
        <v/>
      </c>
      <c r="M147">
        <f>IF($P147="","",INDEX(상세표[블록 22~06시],$P147))</f>
        <v/>
      </c>
      <c r="N147">
        <f>IF($P147="","",INDEX(상세표[주말·휴일 포함],$P147)&amp;"")</f>
        <v/>
      </c>
      <c r="O147">
        <f>IF($P147="","",INDEX(상세표[월 넘김 포함],$P147)&amp;"")</f>
        <v/>
      </c>
      <c r="P147" s="4">
        <f>IFERROR(MATCH(142,상세표[연속순번],0),"")</f>
        <v/>
      </c>
    </row>
    <row r="148">
      <c r="A148">
        <f>IF($P148="","",INDEX(상세표[사번],$P148)&amp;"")</f>
        <v/>
      </c>
      <c r="B148">
        <f>IF($P148="","",INDEX(상세표[성명],$P148)&amp;"")</f>
        <v/>
      </c>
      <c r="C148">
        <f>IF($P148="","",INDEX(상세표[부서],$P148)&amp;"")</f>
        <v/>
      </c>
      <c r="D148">
        <f>IF($P148="","",INDEX(상세표[직위],$P148)&amp;"")</f>
        <v/>
      </c>
      <c r="E148">
        <f>IF($P148="","",IF(ISNUMBER(INDEX(상세표[시작],$P148)),TEXT(INDEX(상세표[시작],$P148),"yyyy-mm-dd hh:mm"),INDEX(상세표[시작],$P148)&amp;""))</f>
        <v/>
      </c>
      <c r="F148">
        <f>IF($P148="","",IF(ISNUMBER(INDEX(상세표[블록종료],$P148)),TEXT(INDEX(상세표[블록종료],$P148),"yyyy-mm-dd hh:mm"),INDEX(상세표[블록종료],$P148)&amp;""))</f>
        <v/>
      </c>
      <c r="G148">
        <f>IF($P148="","",CHOOSE(WEEKDAY(INDEX(상세표[시작],$P148)),"일","월","화","수","목","금","토"))</f>
        <v/>
      </c>
      <c r="H148">
        <f>IF($P148="","",INDEX(상세표[연속 시간],$P148))</f>
        <v/>
      </c>
      <c r="I148">
        <f>IF($P148="","",INDEX(상세표[기록 수],$P148))</f>
        <v/>
      </c>
      <c r="J148">
        <f>IF($P148="","",INDEX(상세표[블록 06~07시],$P148))</f>
        <v/>
      </c>
      <c r="K148">
        <f>IF($P148="","",INDEX(상세표[블록 07~18시],$P148))</f>
        <v/>
      </c>
      <c r="L148">
        <f>IF($P148="","",INDEX(상세표[블록 18~22시],$P148))</f>
        <v/>
      </c>
      <c r="M148">
        <f>IF($P148="","",INDEX(상세표[블록 22~06시],$P148))</f>
        <v/>
      </c>
      <c r="N148">
        <f>IF($P148="","",INDEX(상세표[주말·휴일 포함],$P148)&amp;"")</f>
        <v/>
      </c>
      <c r="O148">
        <f>IF($P148="","",INDEX(상세표[월 넘김 포함],$P148)&amp;"")</f>
        <v/>
      </c>
      <c r="P148" s="4">
        <f>IFERROR(MATCH(143,상세표[연속순번],0),"")</f>
        <v/>
      </c>
    </row>
    <row r="149">
      <c r="A149">
        <f>IF($P149="","",INDEX(상세표[사번],$P149)&amp;"")</f>
        <v/>
      </c>
      <c r="B149">
        <f>IF($P149="","",INDEX(상세표[성명],$P149)&amp;"")</f>
        <v/>
      </c>
      <c r="C149">
        <f>IF($P149="","",INDEX(상세표[부서],$P149)&amp;"")</f>
        <v/>
      </c>
      <c r="D149">
        <f>IF($P149="","",INDEX(상세표[직위],$P149)&amp;"")</f>
        <v/>
      </c>
      <c r="E149">
        <f>IF($P149="","",IF(ISNUMBER(INDEX(상세표[시작],$P149)),TEXT(INDEX(상세표[시작],$P149),"yyyy-mm-dd hh:mm"),INDEX(상세표[시작],$P149)&amp;""))</f>
        <v/>
      </c>
      <c r="F149">
        <f>IF($P149="","",IF(ISNUMBER(INDEX(상세표[블록종료],$P149)),TEXT(INDEX(상세표[블록종료],$P149),"yyyy-mm-dd hh:mm"),INDEX(상세표[블록종료],$P149)&amp;""))</f>
        <v/>
      </c>
      <c r="G149">
        <f>IF($P149="","",CHOOSE(WEEKDAY(INDEX(상세표[시작],$P149)),"일","월","화","수","목","금","토"))</f>
        <v/>
      </c>
      <c r="H149">
        <f>IF($P149="","",INDEX(상세표[연속 시간],$P149))</f>
        <v/>
      </c>
      <c r="I149">
        <f>IF($P149="","",INDEX(상세표[기록 수],$P149))</f>
        <v/>
      </c>
      <c r="J149">
        <f>IF($P149="","",INDEX(상세표[블록 06~07시],$P149))</f>
        <v/>
      </c>
      <c r="K149">
        <f>IF($P149="","",INDEX(상세표[블록 07~18시],$P149))</f>
        <v/>
      </c>
      <c r="L149">
        <f>IF($P149="","",INDEX(상세표[블록 18~22시],$P149))</f>
        <v/>
      </c>
      <c r="M149">
        <f>IF($P149="","",INDEX(상세표[블록 22~06시],$P149))</f>
        <v/>
      </c>
      <c r="N149">
        <f>IF($P149="","",INDEX(상세표[주말·휴일 포함],$P149)&amp;"")</f>
        <v/>
      </c>
      <c r="O149">
        <f>IF($P149="","",INDEX(상세표[월 넘김 포함],$P149)&amp;"")</f>
        <v/>
      </c>
      <c r="P149" s="4">
        <f>IFERROR(MATCH(144,상세표[연속순번],0),"")</f>
        <v/>
      </c>
    </row>
    <row r="150">
      <c r="A150">
        <f>IF($P150="","",INDEX(상세표[사번],$P150)&amp;"")</f>
        <v/>
      </c>
      <c r="B150">
        <f>IF($P150="","",INDEX(상세표[성명],$P150)&amp;"")</f>
        <v/>
      </c>
      <c r="C150">
        <f>IF($P150="","",INDEX(상세표[부서],$P150)&amp;"")</f>
        <v/>
      </c>
      <c r="D150">
        <f>IF($P150="","",INDEX(상세표[직위],$P150)&amp;"")</f>
        <v/>
      </c>
      <c r="E150">
        <f>IF($P150="","",IF(ISNUMBER(INDEX(상세표[시작],$P150)),TEXT(INDEX(상세표[시작],$P150),"yyyy-mm-dd hh:mm"),INDEX(상세표[시작],$P150)&amp;""))</f>
        <v/>
      </c>
      <c r="F150">
        <f>IF($P150="","",IF(ISNUMBER(INDEX(상세표[블록종료],$P150)),TEXT(INDEX(상세표[블록종료],$P150),"yyyy-mm-dd hh:mm"),INDEX(상세표[블록종료],$P150)&amp;""))</f>
        <v/>
      </c>
      <c r="G150">
        <f>IF($P150="","",CHOOSE(WEEKDAY(INDEX(상세표[시작],$P150)),"일","월","화","수","목","금","토"))</f>
        <v/>
      </c>
      <c r="H150">
        <f>IF($P150="","",INDEX(상세표[연속 시간],$P150))</f>
        <v/>
      </c>
      <c r="I150">
        <f>IF($P150="","",INDEX(상세표[기록 수],$P150))</f>
        <v/>
      </c>
      <c r="J150">
        <f>IF($P150="","",INDEX(상세표[블록 06~07시],$P150))</f>
        <v/>
      </c>
      <c r="K150">
        <f>IF($P150="","",INDEX(상세표[블록 07~18시],$P150))</f>
        <v/>
      </c>
      <c r="L150">
        <f>IF($P150="","",INDEX(상세표[블록 18~22시],$P150))</f>
        <v/>
      </c>
      <c r="M150">
        <f>IF($P150="","",INDEX(상세표[블록 22~06시],$P150))</f>
        <v/>
      </c>
      <c r="N150">
        <f>IF($P150="","",INDEX(상세표[주말·휴일 포함],$P150)&amp;"")</f>
        <v/>
      </c>
      <c r="O150">
        <f>IF($P150="","",INDEX(상세표[월 넘김 포함],$P150)&amp;"")</f>
        <v/>
      </c>
      <c r="P150" s="4">
        <f>IFERROR(MATCH(145,상세표[연속순번],0),"")</f>
        <v/>
      </c>
    </row>
    <row r="151">
      <c r="A151">
        <f>IF($P151="","",INDEX(상세표[사번],$P151)&amp;"")</f>
        <v/>
      </c>
      <c r="B151">
        <f>IF($P151="","",INDEX(상세표[성명],$P151)&amp;"")</f>
        <v/>
      </c>
      <c r="C151">
        <f>IF($P151="","",INDEX(상세표[부서],$P151)&amp;"")</f>
        <v/>
      </c>
      <c r="D151">
        <f>IF($P151="","",INDEX(상세표[직위],$P151)&amp;"")</f>
        <v/>
      </c>
      <c r="E151">
        <f>IF($P151="","",IF(ISNUMBER(INDEX(상세표[시작],$P151)),TEXT(INDEX(상세표[시작],$P151),"yyyy-mm-dd hh:mm"),INDEX(상세표[시작],$P151)&amp;""))</f>
        <v/>
      </c>
      <c r="F151">
        <f>IF($P151="","",IF(ISNUMBER(INDEX(상세표[블록종료],$P151)),TEXT(INDEX(상세표[블록종료],$P151),"yyyy-mm-dd hh:mm"),INDEX(상세표[블록종료],$P151)&amp;""))</f>
        <v/>
      </c>
      <c r="G151">
        <f>IF($P151="","",CHOOSE(WEEKDAY(INDEX(상세표[시작],$P151)),"일","월","화","수","목","금","토"))</f>
        <v/>
      </c>
      <c r="H151">
        <f>IF($P151="","",INDEX(상세표[연속 시간],$P151))</f>
        <v/>
      </c>
      <c r="I151">
        <f>IF($P151="","",INDEX(상세표[기록 수],$P151))</f>
        <v/>
      </c>
      <c r="J151">
        <f>IF($P151="","",INDEX(상세표[블록 06~07시],$P151))</f>
        <v/>
      </c>
      <c r="K151">
        <f>IF($P151="","",INDEX(상세표[블록 07~18시],$P151))</f>
        <v/>
      </c>
      <c r="L151">
        <f>IF($P151="","",INDEX(상세표[블록 18~22시],$P151))</f>
        <v/>
      </c>
      <c r="M151">
        <f>IF($P151="","",INDEX(상세표[블록 22~06시],$P151))</f>
        <v/>
      </c>
      <c r="N151">
        <f>IF($P151="","",INDEX(상세표[주말·휴일 포함],$P151)&amp;"")</f>
        <v/>
      </c>
      <c r="O151">
        <f>IF($P151="","",INDEX(상세표[월 넘김 포함],$P151)&amp;"")</f>
        <v/>
      </c>
      <c r="P151" s="4">
        <f>IFERROR(MATCH(146,상세표[연속순번],0),"")</f>
        <v/>
      </c>
    </row>
    <row r="152">
      <c r="A152">
        <f>IF($P152="","",INDEX(상세표[사번],$P152)&amp;"")</f>
        <v/>
      </c>
      <c r="B152">
        <f>IF($P152="","",INDEX(상세표[성명],$P152)&amp;"")</f>
        <v/>
      </c>
      <c r="C152">
        <f>IF($P152="","",INDEX(상세표[부서],$P152)&amp;"")</f>
        <v/>
      </c>
      <c r="D152">
        <f>IF($P152="","",INDEX(상세표[직위],$P152)&amp;"")</f>
        <v/>
      </c>
      <c r="E152">
        <f>IF($P152="","",IF(ISNUMBER(INDEX(상세표[시작],$P152)),TEXT(INDEX(상세표[시작],$P152),"yyyy-mm-dd hh:mm"),INDEX(상세표[시작],$P152)&amp;""))</f>
        <v/>
      </c>
      <c r="F152">
        <f>IF($P152="","",IF(ISNUMBER(INDEX(상세표[블록종료],$P152)),TEXT(INDEX(상세표[블록종료],$P152),"yyyy-mm-dd hh:mm"),INDEX(상세표[블록종료],$P152)&amp;""))</f>
        <v/>
      </c>
      <c r="G152">
        <f>IF($P152="","",CHOOSE(WEEKDAY(INDEX(상세표[시작],$P152)),"일","월","화","수","목","금","토"))</f>
        <v/>
      </c>
      <c r="H152">
        <f>IF($P152="","",INDEX(상세표[연속 시간],$P152))</f>
        <v/>
      </c>
      <c r="I152">
        <f>IF($P152="","",INDEX(상세표[기록 수],$P152))</f>
        <v/>
      </c>
      <c r="J152">
        <f>IF($P152="","",INDEX(상세표[블록 06~07시],$P152))</f>
        <v/>
      </c>
      <c r="K152">
        <f>IF($P152="","",INDEX(상세표[블록 07~18시],$P152))</f>
        <v/>
      </c>
      <c r="L152">
        <f>IF($P152="","",INDEX(상세표[블록 18~22시],$P152))</f>
        <v/>
      </c>
      <c r="M152">
        <f>IF($P152="","",INDEX(상세표[블록 22~06시],$P152))</f>
        <v/>
      </c>
      <c r="N152">
        <f>IF($P152="","",INDEX(상세표[주말·휴일 포함],$P152)&amp;"")</f>
        <v/>
      </c>
      <c r="O152">
        <f>IF($P152="","",INDEX(상세표[월 넘김 포함],$P152)&amp;"")</f>
        <v/>
      </c>
      <c r="P152" s="4">
        <f>IFERROR(MATCH(147,상세표[연속순번],0),"")</f>
        <v/>
      </c>
    </row>
    <row r="153">
      <c r="A153">
        <f>IF($P153="","",INDEX(상세표[사번],$P153)&amp;"")</f>
        <v/>
      </c>
      <c r="B153">
        <f>IF($P153="","",INDEX(상세표[성명],$P153)&amp;"")</f>
        <v/>
      </c>
      <c r="C153">
        <f>IF($P153="","",INDEX(상세표[부서],$P153)&amp;"")</f>
        <v/>
      </c>
      <c r="D153">
        <f>IF($P153="","",INDEX(상세표[직위],$P153)&amp;"")</f>
        <v/>
      </c>
      <c r="E153">
        <f>IF($P153="","",IF(ISNUMBER(INDEX(상세표[시작],$P153)),TEXT(INDEX(상세표[시작],$P153),"yyyy-mm-dd hh:mm"),INDEX(상세표[시작],$P153)&amp;""))</f>
        <v/>
      </c>
      <c r="F153">
        <f>IF($P153="","",IF(ISNUMBER(INDEX(상세표[블록종료],$P153)),TEXT(INDEX(상세표[블록종료],$P153),"yyyy-mm-dd hh:mm"),INDEX(상세표[블록종료],$P153)&amp;""))</f>
        <v/>
      </c>
      <c r="G153">
        <f>IF($P153="","",CHOOSE(WEEKDAY(INDEX(상세표[시작],$P153)),"일","월","화","수","목","금","토"))</f>
        <v/>
      </c>
      <c r="H153">
        <f>IF($P153="","",INDEX(상세표[연속 시간],$P153))</f>
        <v/>
      </c>
      <c r="I153">
        <f>IF($P153="","",INDEX(상세표[기록 수],$P153))</f>
        <v/>
      </c>
      <c r="J153">
        <f>IF($P153="","",INDEX(상세표[블록 06~07시],$P153))</f>
        <v/>
      </c>
      <c r="K153">
        <f>IF($P153="","",INDEX(상세표[블록 07~18시],$P153))</f>
        <v/>
      </c>
      <c r="L153">
        <f>IF($P153="","",INDEX(상세표[블록 18~22시],$P153))</f>
        <v/>
      </c>
      <c r="M153">
        <f>IF($P153="","",INDEX(상세표[블록 22~06시],$P153))</f>
        <v/>
      </c>
      <c r="N153">
        <f>IF($P153="","",INDEX(상세표[주말·휴일 포함],$P153)&amp;"")</f>
        <v/>
      </c>
      <c r="O153">
        <f>IF($P153="","",INDEX(상세표[월 넘김 포함],$P153)&amp;"")</f>
        <v/>
      </c>
      <c r="P153" s="4">
        <f>IFERROR(MATCH(148,상세표[연속순번],0),"")</f>
        <v/>
      </c>
    </row>
    <row r="154">
      <c r="A154">
        <f>IF($P154="","",INDEX(상세표[사번],$P154)&amp;"")</f>
        <v/>
      </c>
      <c r="B154">
        <f>IF($P154="","",INDEX(상세표[성명],$P154)&amp;"")</f>
        <v/>
      </c>
      <c r="C154">
        <f>IF($P154="","",INDEX(상세표[부서],$P154)&amp;"")</f>
        <v/>
      </c>
      <c r="D154">
        <f>IF($P154="","",INDEX(상세표[직위],$P154)&amp;"")</f>
        <v/>
      </c>
      <c r="E154">
        <f>IF($P154="","",IF(ISNUMBER(INDEX(상세표[시작],$P154)),TEXT(INDEX(상세표[시작],$P154),"yyyy-mm-dd hh:mm"),INDEX(상세표[시작],$P154)&amp;""))</f>
        <v/>
      </c>
      <c r="F154">
        <f>IF($P154="","",IF(ISNUMBER(INDEX(상세표[블록종료],$P154)),TEXT(INDEX(상세표[블록종료],$P154),"yyyy-mm-dd hh:mm"),INDEX(상세표[블록종료],$P154)&amp;""))</f>
        <v/>
      </c>
      <c r="G154">
        <f>IF($P154="","",CHOOSE(WEEKDAY(INDEX(상세표[시작],$P154)),"일","월","화","수","목","금","토"))</f>
        <v/>
      </c>
      <c r="H154">
        <f>IF($P154="","",INDEX(상세표[연속 시간],$P154))</f>
        <v/>
      </c>
      <c r="I154">
        <f>IF($P154="","",INDEX(상세표[기록 수],$P154))</f>
        <v/>
      </c>
      <c r="J154">
        <f>IF($P154="","",INDEX(상세표[블록 06~07시],$P154))</f>
        <v/>
      </c>
      <c r="K154">
        <f>IF($P154="","",INDEX(상세표[블록 07~18시],$P154))</f>
        <v/>
      </c>
      <c r="L154">
        <f>IF($P154="","",INDEX(상세표[블록 18~22시],$P154))</f>
        <v/>
      </c>
      <c r="M154">
        <f>IF($P154="","",INDEX(상세표[블록 22~06시],$P154))</f>
        <v/>
      </c>
      <c r="N154">
        <f>IF($P154="","",INDEX(상세표[주말·휴일 포함],$P154)&amp;"")</f>
        <v/>
      </c>
      <c r="O154">
        <f>IF($P154="","",INDEX(상세표[월 넘김 포함],$P154)&amp;"")</f>
        <v/>
      </c>
      <c r="P154" s="4">
        <f>IFERROR(MATCH(149,상세표[연속순번],0),"")</f>
        <v/>
      </c>
    </row>
    <row r="155">
      <c r="A155">
        <f>IF($P155="","",INDEX(상세표[사번],$P155)&amp;"")</f>
        <v/>
      </c>
      <c r="B155">
        <f>IF($P155="","",INDEX(상세표[성명],$P155)&amp;"")</f>
        <v/>
      </c>
      <c r="C155">
        <f>IF($P155="","",INDEX(상세표[부서],$P155)&amp;"")</f>
        <v/>
      </c>
      <c r="D155">
        <f>IF($P155="","",INDEX(상세표[직위],$P155)&amp;"")</f>
        <v/>
      </c>
      <c r="E155">
        <f>IF($P155="","",IF(ISNUMBER(INDEX(상세표[시작],$P155)),TEXT(INDEX(상세표[시작],$P155),"yyyy-mm-dd hh:mm"),INDEX(상세표[시작],$P155)&amp;""))</f>
        <v/>
      </c>
      <c r="F155">
        <f>IF($P155="","",IF(ISNUMBER(INDEX(상세표[블록종료],$P155)),TEXT(INDEX(상세표[블록종료],$P155),"yyyy-mm-dd hh:mm"),INDEX(상세표[블록종료],$P155)&amp;""))</f>
        <v/>
      </c>
      <c r="G155">
        <f>IF($P155="","",CHOOSE(WEEKDAY(INDEX(상세표[시작],$P155)),"일","월","화","수","목","금","토"))</f>
        <v/>
      </c>
      <c r="H155">
        <f>IF($P155="","",INDEX(상세표[연속 시간],$P155))</f>
        <v/>
      </c>
      <c r="I155">
        <f>IF($P155="","",INDEX(상세표[기록 수],$P155))</f>
        <v/>
      </c>
      <c r="J155">
        <f>IF($P155="","",INDEX(상세표[블록 06~07시],$P155))</f>
        <v/>
      </c>
      <c r="K155">
        <f>IF($P155="","",INDEX(상세표[블록 07~18시],$P155))</f>
        <v/>
      </c>
      <c r="L155">
        <f>IF($P155="","",INDEX(상세표[블록 18~22시],$P155))</f>
        <v/>
      </c>
      <c r="M155">
        <f>IF($P155="","",INDEX(상세표[블록 22~06시],$P155))</f>
        <v/>
      </c>
      <c r="N155">
        <f>IF($P155="","",INDEX(상세표[주말·휴일 포함],$P155)&amp;"")</f>
        <v/>
      </c>
      <c r="O155">
        <f>IF($P155="","",INDEX(상세표[월 넘김 포함],$P155)&amp;"")</f>
        <v/>
      </c>
      <c r="P155" s="4">
        <f>IFERROR(MATCH(150,상세표[연속순번],0),"")</f>
        <v/>
      </c>
    </row>
    <row r="156">
      <c r="A156">
        <f>IF($P156="","",INDEX(상세표[사번],$P156)&amp;"")</f>
        <v/>
      </c>
      <c r="B156">
        <f>IF($P156="","",INDEX(상세표[성명],$P156)&amp;"")</f>
        <v/>
      </c>
      <c r="C156">
        <f>IF($P156="","",INDEX(상세표[부서],$P156)&amp;"")</f>
        <v/>
      </c>
      <c r="D156">
        <f>IF($P156="","",INDEX(상세표[직위],$P156)&amp;"")</f>
        <v/>
      </c>
      <c r="E156">
        <f>IF($P156="","",IF(ISNUMBER(INDEX(상세표[시작],$P156)),TEXT(INDEX(상세표[시작],$P156),"yyyy-mm-dd hh:mm"),INDEX(상세표[시작],$P156)&amp;""))</f>
        <v/>
      </c>
      <c r="F156">
        <f>IF($P156="","",IF(ISNUMBER(INDEX(상세표[블록종료],$P156)),TEXT(INDEX(상세표[블록종료],$P156),"yyyy-mm-dd hh:mm"),INDEX(상세표[블록종료],$P156)&amp;""))</f>
        <v/>
      </c>
      <c r="G156">
        <f>IF($P156="","",CHOOSE(WEEKDAY(INDEX(상세표[시작],$P156)),"일","월","화","수","목","금","토"))</f>
        <v/>
      </c>
      <c r="H156">
        <f>IF($P156="","",INDEX(상세표[연속 시간],$P156))</f>
        <v/>
      </c>
      <c r="I156">
        <f>IF($P156="","",INDEX(상세표[기록 수],$P156))</f>
        <v/>
      </c>
      <c r="J156">
        <f>IF($P156="","",INDEX(상세표[블록 06~07시],$P156))</f>
        <v/>
      </c>
      <c r="K156">
        <f>IF($P156="","",INDEX(상세표[블록 07~18시],$P156))</f>
        <v/>
      </c>
      <c r="L156">
        <f>IF($P156="","",INDEX(상세표[블록 18~22시],$P156))</f>
        <v/>
      </c>
      <c r="M156">
        <f>IF($P156="","",INDEX(상세표[블록 22~06시],$P156))</f>
        <v/>
      </c>
      <c r="N156">
        <f>IF($P156="","",INDEX(상세표[주말·휴일 포함],$P156)&amp;"")</f>
        <v/>
      </c>
      <c r="O156">
        <f>IF($P156="","",INDEX(상세표[월 넘김 포함],$P156)&amp;"")</f>
        <v/>
      </c>
      <c r="P156" s="4">
        <f>IFERROR(MATCH(151,상세표[연속순번],0),"")</f>
        <v/>
      </c>
    </row>
    <row r="157">
      <c r="A157">
        <f>IF($P157="","",INDEX(상세표[사번],$P157)&amp;"")</f>
        <v/>
      </c>
      <c r="B157">
        <f>IF($P157="","",INDEX(상세표[성명],$P157)&amp;"")</f>
        <v/>
      </c>
      <c r="C157">
        <f>IF($P157="","",INDEX(상세표[부서],$P157)&amp;"")</f>
        <v/>
      </c>
      <c r="D157">
        <f>IF($P157="","",INDEX(상세표[직위],$P157)&amp;"")</f>
        <v/>
      </c>
      <c r="E157">
        <f>IF($P157="","",IF(ISNUMBER(INDEX(상세표[시작],$P157)),TEXT(INDEX(상세표[시작],$P157),"yyyy-mm-dd hh:mm"),INDEX(상세표[시작],$P157)&amp;""))</f>
        <v/>
      </c>
      <c r="F157">
        <f>IF($P157="","",IF(ISNUMBER(INDEX(상세표[블록종료],$P157)),TEXT(INDEX(상세표[블록종료],$P157),"yyyy-mm-dd hh:mm"),INDEX(상세표[블록종료],$P157)&amp;""))</f>
        <v/>
      </c>
      <c r="G157">
        <f>IF($P157="","",CHOOSE(WEEKDAY(INDEX(상세표[시작],$P157)),"일","월","화","수","목","금","토"))</f>
        <v/>
      </c>
      <c r="H157">
        <f>IF($P157="","",INDEX(상세표[연속 시간],$P157))</f>
        <v/>
      </c>
      <c r="I157">
        <f>IF($P157="","",INDEX(상세표[기록 수],$P157))</f>
        <v/>
      </c>
      <c r="J157">
        <f>IF($P157="","",INDEX(상세표[블록 06~07시],$P157))</f>
        <v/>
      </c>
      <c r="K157">
        <f>IF($P157="","",INDEX(상세표[블록 07~18시],$P157))</f>
        <v/>
      </c>
      <c r="L157">
        <f>IF($P157="","",INDEX(상세표[블록 18~22시],$P157))</f>
        <v/>
      </c>
      <c r="M157">
        <f>IF($P157="","",INDEX(상세표[블록 22~06시],$P157))</f>
        <v/>
      </c>
      <c r="N157">
        <f>IF($P157="","",INDEX(상세표[주말·휴일 포함],$P157)&amp;"")</f>
        <v/>
      </c>
      <c r="O157">
        <f>IF($P157="","",INDEX(상세표[월 넘김 포함],$P157)&amp;"")</f>
        <v/>
      </c>
      <c r="P157" s="4">
        <f>IFERROR(MATCH(152,상세표[연속순번],0),"")</f>
        <v/>
      </c>
    </row>
    <row r="158">
      <c r="A158">
        <f>IF($P158="","",INDEX(상세표[사번],$P158)&amp;"")</f>
        <v/>
      </c>
      <c r="B158">
        <f>IF($P158="","",INDEX(상세표[성명],$P158)&amp;"")</f>
        <v/>
      </c>
      <c r="C158">
        <f>IF($P158="","",INDEX(상세표[부서],$P158)&amp;"")</f>
        <v/>
      </c>
      <c r="D158">
        <f>IF($P158="","",INDEX(상세표[직위],$P158)&amp;"")</f>
        <v/>
      </c>
      <c r="E158">
        <f>IF($P158="","",IF(ISNUMBER(INDEX(상세표[시작],$P158)),TEXT(INDEX(상세표[시작],$P158),"yyyy-mm-dd hh:mm"),INDEX(상세표[시작],$P158)&amp;""))</f>
        <v/>
      </c>
      <c r="F158">
        <f>IF($P158="","",IF(ISNUMBER(INDEX(상세표[블록종료],$P158)),TEXT(INDEX(상세표[블록종료],$P158),"yyyy-mm-dd hh:mm"),INDEX(상세표[블록종료],$P158)&amp;""))</f>
        <v/>
      </c>
      <c r="G158">
        <f>IF($P158="","",CHOOSE(WEEKDAY(INDEX(상세표[시작],$P158)),"일","월","화","수","목","금","토"))</f>
        <v/>
      </c>
      <c r="H158">
        <f>IF($P158="","",INDEX(상세표[연속 시간],$P158))</f>
        <v/>
      </c>
      <c r="I158">
        <f>IF($P158="","",INDEX(상세표[기록 수],$P158))</f>
        <v/>
      </c>
      <c r="J158">
        <f>IF($P158="","",INDEX(상세표[블록 06~07시],$P158))</f>
        <v/>
      </c>
      <c r="K158">
        <f>IF($P158="","",INDEX(상세표[블록 07~18시],$P158))</f>
        <v/>
      </c>
      <c r="L158">
        <f>IF($P158="","",INDEX(상세표[블록 18~22시],$P158))</f>
        <v/>
      </c>
      <c r="M158">
        <f>IF($P158="","",INDEX(상세표[블록 22~06시],$P158))</f>
        <v/>
      </c>
      <c r="N158">
        <f>IF($P158="","",INDEX(상세표[주말·휴일 포함],$P158)&amp;"")</f>
        <v/>
      </c>
      <c r="O158">
        <f>IF($P158="","",INDEX(상세표[월 넘김 포함],$P158)&amp;"")</f>
        <v/>
      </c>
      <c r="P158" s="4">
        <f>IFERROR(MATCH(153,상세표[연속순번],0),"")</f>
        <v/>
      </c>
    </row>
    <row r="159">
      <c r="A159">
        <f>IF($P159="","",INDEX(상세표[사번],$P159)&amp;"")</f>
        <v/>
      </c>
      <c r="B159">
        <f>IF($P159="","",INDEX(상세표[성명],$P159)&amp;"")</f>
        <v/>
      </c>
      <c r="C159">
        <f>IF($P159="","",INDEX(상세표[부서],$P159)&amp;"")</f>
        <v/>
      </c>
      <c r="D159">
        <f>IF($P159="","",INDEX(상세표[직위],$P159)&amp;"")</f>
        <v/>
      </c>
      <c r="E159">
        <f>IF($P159="","",IF(ISNUMBER(INDEX(상세표[시작],$P159)),TEXT(INDEX(상세표[시작],$P159),"yyyy-mm-dd hh:mm"),INDEX(상세표[시작],$P159)&amp;""))</f>
        <v/>
      </c>
      <c r="F159">
        <f>IF($P159="","",IF(ISNUMBER(INDEX(상세표[블록종료],$P159)),TEXT(INDEX(상세표[블록종료],$P159),"yyyy-mm-dd hh:mm"),INDEX(상세표[블록종료],$P159)&amp;""))</f>
        <v/>
      </c>
      <c r="G159">
        <f>IF($P159="","",CHOOSE(WEEKDAY(INDEX(상세표[시작],$P159)),"일","월","화","수","목","금","토"))</f>
        <v/>
      </c>
      <c r="H159">
        <f>IF($P159="","",INDEX(상세표[연속 시간],$P159))</f>
        <v/>
      </c>
      <c r="I159">
        <f>IF($P159="","",INDEX(상세표[기록 수],$P159))</f>
        <v/>
      </c>
      <c r="J159">
        <f>IF($P159="","",INDEX(상세표[블록 06~07시],$P159))</f>
        <v/>
      </c>
      <c r="K159">
        <f>IF($P159="","",INDEX(상세표[블록 07~18시],$P159))</f>
        <v/>
      </c>
      <c r="L159">
        <f>IF($P159="","",INDEX(상세표[블록 18~22시],$P159))</f>
        <v/>
      </c>
      <c r="M159">
        <f>IF($P159="","",INDEX(상세표[블록 22~06시],$P159))</f>
        <v/>
      </c>
      <c r="N159">
        <f>IF($P159="","",INDEX(상세표[주말·휴일 포함],$P159)&amp;"")</f>
        <v/>
      </c>
      <c r="O159">
        <f>IF($P159="","",INDEX(상세표[월 넘김 포함],$P159)&amp;"")</f>
        <v/>
      </c>
      <c r="P159" s="4">
        <f>IFERROR(MATCH(154,상세표[연속순번],0),"")</f>
        <v/>
      </c>
    </row>
    <row r="160">
      <c r="A160">
        <f>IF($P160="","",INDEX(상세표[사번],$P160)&amp;"")</f>
        <v/>
      </c>
      <c r="B160">
        <f>IF($P160="","",INDEX(상세표[성명],$P160)&amp;"")</f>
        <v/>
      </c>
      <c r="C160">
        <f>IF($P160="","",INDEX(상세표[부서],$P160)&amp;"")</f>
        <v/>
      </c>
      <c r="D160">
        <f>IF($P160="","",INDEX(상세표[직위],$P160)&amp;"")</f>
        <v/>
      </c>
      <c r="E160">
        <f>IF($P160="","",IF(ISNUMBER(INDEX(상세표[시작],$P160)),TEXT(INDEX(상세표[시작],$P160),"yyyy-mm-dd hh:mm"),INDEX(상세표[시작],$P160)&amp;""))</f>
        <v/>
      </c>
      <c r="F160">
        <f>IF($P160="","",IF(ISNUMBER(INDEX(상세표[블록종료],$P160)),TEXT(INDEX(상세표[블록종료],$P160),"yyyy-mm-dd hh:mm"),INDEX(상세표[블록종료],$P160)&amp;""))</f>
        <v/>
      </c>
      <c r="G160">
        <f>IF($P160="","",CHOOSE(WEEKDAY(INDEX(상세표[시작],$P160)),"일","월","화","수","목","금","토"))</f>
        <v/>
      </c>
      <c r="H160">
        <f>IF($P160="","",INDEX(상세표[연속 시간],$P160))</f>
        <v/>
      </c>
      <c r="I160">
        <f>IF($P160="","",INDEX(상세표[기록 수],$P160))</f>
        <v/>
      </c>
      <c r="J160">
        <f>IF($P160="","",INDEX(상세표[블록 06~07시],$P160))</f>
        <v/>
      </c>
      <c r="K160">
        <f>IF($P160="","",INDEX(상세표[블록 07~18시],$P160))</f>
        <v/>
      </c>
      <c r="L160">
        <f>IF($P160="","",INDEX(상세표[블록 18~22시],$P160))</f>
        <v/>
      </c>
      <c r="M160">
        <f>IF($P160="","",INDEX(상세표[블록 22~06시],$P160))</f>
        <v/>
      </c>
      <c r="N160">
        <f>IF($P160="","",INDEX(상세표[주말·휴일 포함],$P160)&amp;"")</f>
        <v/>
      </c>
      <c r="O160">
        <f>IF($P160="","",INDEX(상세표[월 넘김 포함],$P160)&amp;"")</f>
        <v/>
      </c>
      <c r="P160" s="4">
        <f>IFERROR(MATCH(155,상세표[연속순번],0),"")</f>
        <v/>
      </c>
    </row>
    <row r="161">
      <c r="A161">
        <f>IF($P161="","",INDEX(상세표[사번],$P161)&amp;"")</f>
        <v/>
      </c>
      <c r="B161">
        <f>IF($P161="","",INDEX(상세표[성명],$P161)&amp;"")</f>
        <v/>
      </c>
      <c r="C161">
        <f>IF($P161="","",INDEX(상세표[부서],$P161)&amp;"")</f>
        <v/>
      </c>
      <c r="D161">
        <f>IF($P161="","",INDEX(상세표[직위],$P161)&amp;"")</f>
        <v/>
      </c>
      <c r="E161">
        <f>IF($P161="","",IF(ISNUMBER(INDEX(상세표[시작],$P161)),TEXT(INDEX(상세표[시작],$P161),"yyyy-mm-dd hh:mm"),INDEX(상세표[시작],$P161)&amp;""))</f>
        <v/>
      </c>
      <c r="F161">
        <f>IF($P161="","",IF(ISNUMBER(INDEX(상세표[블록종료],$P161)),TEXT(INDEX(상세표[블록종료],$P161),"yyyy-mm-dd hh:mm"),INDEX(상세표[블록종료],$P161)&amp;""))</f>
        <v/>
      </c>
      <c r="G161">
        <f>IF($P161="","",CHOOSE(WEEKDAY(INDEX(상세표[시작],$P161)),"일","월","화","수","목","금","토"))</f>
        <v/>
      </c>
      <c r="H161">
        <f>IF($P161="","",INDEX(상세표[연속 시간],$P161))</f>
        <v/>
      </c>
      <c r="I161">
        <f>IF($P161="","",INDEX(상세표[기록 수],$P161))</f>
        <v/>
      </c>
      <c r="J161">
        <f>IF($P161="","",INDEX(상세표[블록 06~07시],$P161))</f>
        <v/>
      </c>
      <c r="K161">
        <f>IF($P161="","",INDEX(상세표[블록 07~18시],$P161))</f>
        <v/>
      </c>
      <c r="L161">
        <f>IF($P161="","",INDEX(상세표[블록 18~22시],$P161))</f>
        <v/>
      </c>
      <c r="M161">
        <f>IF($P161="","",INDEX(상세표[블록 22~06시],$P161))</f>
        <v/>
      </c>
      <c r="N161">
        <f>IF($P161="","",INDEX(상세표[주말·휴일 포함],$P161)&amp;"")</f>
        <v/>
      </c>
      <c r="O161">
        <f>IF($P161="","",INDEX(상세표[월 넘김 포함],$P161)&amp;"")</f>
        <v/>
      </c>
      <c r="P161" s="4">
        <f>IFERROR(MATCH(156,상세표[연속순번],0),"")</f>
        <v/>
      </c>
    </row>
    <row r="162">
      <c r="A162">
        <f>IF($P162="","",INDEX(상세표[사번],$P162)&amp;"")</f>
        <v/>
      </c>
      <c r="B162">
        <f>IF($P162="","",INDEX(상세표[성명],$P162)&amp;"")</f>
        <v/>
      </c>
      <c r="C162">
        <f>IF($P162="","",INDEX(상세표[부서],$P162)&amp;"")</f>
        <v/>
      </c>
      <c r="D162">
        <f>IF($P162="","",INDEX(상세표[직위],$P162)&amp;"")</f>
        <v/>
      </c>
      <c r="E162">
        <f>IF($P162="","",IF(ISNUMBER(INDEX(상세표[시작],$P162)),TEXT(INDEX(상세표[시작],$P162),"yyyy-mm-dd hh:mm"),INDEX(상세표[시작],$P162)&amp;""))</f>
        <v/>
      </c>
      <c r="F162">
        <f>IF($P162="","",IF(ISNUMBER(INDEX(상세표[블록종료],$P162)),TEXT(INDEX(상세표[블록종료],$P162),"yyyy-mm-dd hh:mm"),INDEX(상세표[블록종료],$P162)&amp;""))</f>
        <v/>
      </c>
      <c r="G162">
        <f>IF($P162="","",CHOOSE(WEEKDAY(INDEX(상세표[시작],$P162)),"일","월","화","수","목","금","토"))</f>
        <v/>
      </c>
      <c r="H162">
        <f>IF($P162="","",INDEX(상세표[연속 시간],$P162))</f>
        <v/>
      </c>
      <c r="I162">
        <f>IF($P162="","",INDEX(상세표[기록 수],$P162))</f>
        <v/>
      </c>
      <c r="J162">
        <f>IF($P162="","",INDEX(상세표[블록 06~07시],$P162))</f>
        <v/>
      </c>
      <c r="K162">
        <f>IF($P162="","",INDEX(상세표[블록 07~18시],$P162))</f>
        <v/>
      </c>
      <c r="L162">
        <f>IF($P162="","",INDEX(상세표[블록 18~22시],$P162))</f>
        <v/>
      </c>
      <c r="M162">
        <f>IF($P162="","",INDEX(상세표[블록 22~06시],$P162))</f>
        <v/>
      </c>
      <c r="N162">
        <f>IF($P162="","",INDEX(상세표[주말·휴일 포함],$P162)&amp;"")</f>
        <v/>
      </c>
      <c r="O162">
        <f>IF($P162="","",INDEX(상세표[월 넘김 포함],$P162)&amp;"")</f>
        <v/>
      </c>
      <c r="P162" s="4">
        <f>IFERROR(MATCH(157,상세표[연속순번],0),"")</f>
        <v/>
      </c>
    </row>
    <row r="163">
      <c r="A163">
        <f>IF($P163="","",INDEX(상세표[사번],$P163)&amp;"")</f>
        <v/>
      </c>
      <c r="B163">
        <f>IF($P163="","",INDEX(상세표[성명],$P163)&amp;"")</f>
        <v/>
      </c>
      <c r="C163">
        <f>IF($P163="","",INDEX(상세표[부서],$P163)&amp;"")</f>
        <v/>
      </c>
      <c r="D163">
        <f>IF($P163="","",INDEX(상세표[직위],$P163)&amp;"")</f>
        <v/>
      </c>
      <c r="E163">
        <f>IF($P163="","",IF(ISNUMBER(INDEX(상세표[시작],$P163)),TEXT(INDEX(상세표[시작],$P163),"yyyy-mm-dd hh:mm"),INDEX(상세표[시작],$P163)&amp;""))</f>
        <v/>
      </c>
      <c r="F163">
        <f>IF($P163="","",IF(ISNUMBER(INDEX(상세표[블록종료],$P163)),TEXT(INDEX(상세표[블록종료],$P163),"yyyy-mm-dd hh:mm"),INDEX(상세표[블록종료],$P163)&amp;""))</f>
        <v/>
      </c>
      <c r="G163">
        <f>IF($P163="","",CHOOSE(WEEKDAY(INDEX(상세표[시작],$P163)),"일","월","화","수","목","금","토"))</f>
        <v/>
      </c>
      <c r="H163">
        <f>IF($P163="","",INDEX(상세표[연속 시간],$P163))</f>
        <v/>
      </c>
      <c r="I163">
        <f>IF($P163="","",INDEX(상세표[기록 수],$P163))</f>
        <v/>
      </c>
      <c r="J163">
        <f>IF($P163="","",INDEX(상세표[블록 06~07시],$P163))</f>
        <v/>
      </c>
      <c r="K163">
        <f>IF($P163="","",INDEX(상세표[블록 07~18시],$P163))</f>
        <v/>
      </c>
      <c r="L163">
        <f>IF($P163="","",INDEX(상세표[블록 18~22시],$P163))</f>
        <v/>
      </c>
      <c r="M163">
        <f>IF($P163="","",INDEX(상세표[블록 22~06시],$P163))</f>
        <v/>
      </c>
      <c r="N163">
        <f>IF($P163="","",INDEX(상세표[주말·휴일 포함],$P163)&amp;"")</f>
        <v/>
      </c>
      <c r="O163">
        <f>IF($P163="","",INDEX(상세표[월 넘김 포함],$P163)&amp;"")</f>
        <v/>
      </c>
      <c r="P163" s="4">
        <f>IFERROR(MATCH(158,상세표[연속순번],0),"")</f>
        <v/>
      </c>
    </row>
    <row r="164">
      <c r="A164">
        <f>IF($P164="","",INDEX(상세표[사번],$P164)&amp;"")</f>
        <v/>
      </c>
      <c r="B164">
        <f>IF($P164="","",INDEX(상세표[성명],$P164)&amp;"")</f>
        <v/>
      </c>
      <c r="C164">
        <f>IF($P164="","",INDEX(상세표[부서],$P164)&amp;"")</f>
        <v/>
      </c>
      <c r="D164">
        <f>IF($P164="","",INDEX(상세표[직위],$P164)&amp;"")</f>
        <v/>
      </c>
      <c r="E164">
        <f>IF($P164="","",IF(ISNUMBER(INDEX(상세표[시작],$P164)),TEXT(INDEX(상세표[시작],$P164),"yyyy-mm-dd hh:mm"),INDEX(상세표[시작],$P164)&amp;""))</f>
        <v/>
      </c>
      <c r="F164">
        <f>IF($P164="","",IF(ISNUMBER(INDEX(상세표[블록종료],$P164)),TEXT(INDEX(상세표[블록종료],$P164),"yyyy-mm-dd hh:mm"),INDEX(상세표[블록종료],$P164)&amp;""))</f>
        <v/>
      </c>
      <c r="G164">
        <f>IF($P164="","",CHOOSE(WEEKDAY(INDEX(상세표[시작],$P164)),"일","월","화","수","목","금","토"))</f>
        <v/>
      </c>
      <c r="H164">
        <f>IF($P164="","",INDEX(상세표[연속 시간],$P164))</f>
        <v/>
      </c>
      <c r="I164">
        <f>IF($P164="","",INDEX(상세표[기록 수],$P164))</f>
        <v/>
      </c>
      <c r="J164">
        <f>IF($P164="","",INDEX(상세표[블록 06~07시],$P164))</f>
        <v/>
      </c>
      <c r="K164">
        <f>IF($P164="","",INDEX(상세표[블록 07~18시],$P164))</f>
        <v/>
      </c>
      <c r="L164">
        <f>IF($P164="","",INDEX(상세표[블록 18~22시],$P164))</f>
        <v/>
      </c>
      <c r="M164">
        <f>IF($P164="","",INDEX(상세표[블록 22~06시],$P164))</f>
        <v/>
      </c>
      <c r="N164">
        <f>IF($P164="","",INDEX(상세표[주말·휴일 포함],$P164)&amp;"")</f>
        <v/>
      </c>
      <c r="O164">
        <f>IF($P164="","",INDEX(상세표[월 넘김 포함],$P164)&amp;"")</f>
        <v/>
      </c>
      <c r="P164" s="4">
        <f>IFERROR(MATCH(159,상세표[연속순번],0),"")</f>
        <v/>
      </c>
    </row>
    <row r="165">
      <c r="A165">
        <f>IF($P165="","",INDEX(상세표[사번],$P165)&amp;"")</f>
        <v/>
      </c>
      <c r="B165">
        <f>IF($P165="","",INDEX(상세표[성명],$P165)&amp;"")</f>
        <v/>
      </c>
      <c r="C165">
        <f>IF($P165="","",INDEX(상세표[부서],$P165)&amp;"")</f>
        <v/>
      </c>
      <c r="D165">
        <f>IF($P165="","",INDEX(상세표[직위],$P165)&amp;"")</f>
        <v/>
      </c>
      <c r="E165">
        <f>IF($P165="","",IF(ISNUMBER(INDEX(상세표[시작],$P165)),TEXT(INDEX(상세표[시작],$P165),"yyyy-mm-dd hh:mm"),INDEX(상세표[시작],$P165)&amp;""))</f>
        <v/>
      </c>
      <c r="F165">
        <f>IF($P165="","",IF(ISNUMBER(INDEX(상세표[블록종료],$P165)),TEXT(INDEX(상세표[블록종료],$P165),"yyyy-mm-dd hh:mm"),INDEX(상세표[블록종료],$P165)&amp;""))</f>
        <v/>
      </c>
      <c r="G165">
        <f>IF($P165="","",CHOOSE(WEEKDAY(INDEX(상세표[시작],$P165)),"일","월","화","수","목","금","토"))</f>
        <v/>
      </c>
      <c r="H165">
        <f>IF($P165="","",INDEX(상세표[연속 시간],$P165))</f>
        <v/>
      </c>
      <c r="I165">
        <f>IF($P165="","",INDEX(상세표[기록 수],$P165))</f>
        <v/>
      </c>
      <c r="J165">
        <f>IF($P165="","",INDEX(상세표[블록 06~07시],$P165))</f>
        <v/>
      </c>
      <c r="K165">
        <f>IF($P165="","",INDEX(상세표[블록 07~18시],$P165))</f>
        <v/>
      </c>
      <c r="L165">
        <f>IF($P165="","",INDEX(상세표[블록 18~22시],$P165))</f>
        <v/>
      </c>
      <c r="M165">
        <f>IF($P165="","",INDEX(상세표[블록 22~06시],$P165))</f>
        <v/>
      </c>
      <c r="N165">
        <f>IF($P165="","",INDEX(상세표[주말·휴일 포함],$P165)&amp;"")</f>
        <v/>
      </c>
      <c r="O165">
        <f>IF($P165="","",INDEX(상세표[월 넘김 포함],$P165)&amp;"")</f>
        <v/>
      </c>
      <c r="P165" s="4">
        <f>IFERROR(MATCH(160,상세표[연속순번],0),"")</f>
        <v/>
      </c>
    </row>
    <row r="166">
      <c r="A166">
        <f>IF($P166="","",INDEX(상세표[사번],$P166)&amp;"")</f>
        <v/>
      </c>
      <c r="B166">
        <f>IF($P166="","",INDEX(상세표[성명],$P166)&amp;"")</f>
        <v/>
      </c>
      <c r="C166">
        <f>IF($P166="","",INDEX(상세표[부서],$P166)&amp;"")</f>
        <v/>
      </c>
      <c r="D166">
        <f>IF($P166="","",INDEX(상세표[직위],$P166)&amp;"")</f>
        <v/>
      </c>
      <c r="E166">
        <f>IF($P166="","",IF(ISNUMBER(INDEX(상세표[시작],$P166)),TEXT(INDEX(상세표[시작],$P166),"yyyy-mm-dd hh:mm"),INDEX(상세표[시작],$P166)&amp;""))</f>
        <v/>
      </c>
      <c r="F166">
        <f>IF($P166="","",IF(ISNUMBER(INDEX(상세표[블록종료],$P166)),TEXT(INDEX(상세표[블록종료],$P166),"yyyy-mm-dd hh:mm"),INDEX(상세표[블록종료],$P166)&amp;""))</f>
        <v/>
      </c>
      <c r="G166">
        <f>IF($P166="","",CHOOSE(WEEKDAY(INDEX(상세표[시작],$P166)),"일","월","화","수","목","금","토"))</f>
        <v/>
      </c>
      <c r="H166">
        <f>IF($P166="","",INDEX(상세표[연속 시간],$P166))</f>
        <v/>
      </c>
      <c r="I166">
        <f>IF($P166="","",INDEX(상세표[기록 수],$P166))</f>
        <v/>
      </c>
      <c r="J166">
        <f>IF($P166="","",INDEX(상세표[블록 06~07시],$P166))</f>
        <v/>
      </c>
      <c r="K166">
        <f>IF($P166="","",INDEX(상세표[블록 07~18시],$P166))</f>
        <v/>
      </c>
      <c r="L166">
        <f>IF($P166="","",INDEX(상세표[블록 18~22시],$P166))</f>
        <v/>
      </c>
      <c r="M166">
        <f>IF($P166="","",INDEX(상세표[블록 22~06시],$P166))</f>
        <v/>
      </c>
      <c r="N166">
        <f>IF($P166="","",INDEX(상세표[주말·휴일 포함],$P166)&amp;"")</f>
        <v/>
      </c>
      <c r="O166">
        <f>IF($P166="","",INDEX(상세표[월 넘김 포함],$P166)&amp;"")</f>
        <v/>
      </c>
      <c r="P166" s="4">
        <f>IFERROR(MATCH(161,상세표[연속순번],0),"")</f>
        <v/>
      </c>
    </row>
    <row r="167">
      <c r="A167">
        <f>IF($P167="","",INDEX(상세표[사번],$P167)&amp;"")</f>
        <v/>
      </c>
      <c r="B167">
        <f>IF($P167="","",INDEX(상세표[성명],$P167)&amp;"")</f>
        <v/>
      </c>
      <c r="C167">
        <f>IF($P167="","",INDEX(상세표[부서],$P167)&amp;"")</f>
        <v/>
      </c>
      <c r="D167">
        <f>IF($P167="","",INDEX(상세표[직위],$P167)&amp;"")</f>
        <v/>
      </c>
      <c r="E167">
        <f>IF($P167="","",IF(ISNUMBER(INDEX(상세표[시작],$P167)),TEXT(INDEX(상세표[시작],$P167),"yyyy-mm-dd hh:mm"),INDEX(상세표[시작],$P167)&amp;""))</f>
        <v/>
      </c>
      <c r="F167">
        <f>IF($P167="","",IF(ISNUMBER(INDEX(상세표[블록종료],$P167)),TEXT(INDEX(상세표[블록종료],$P167),"yyyy-mm-dd hh:mm"),INDEX(상세표[블록종료],$P167)&amp;""))</f>
        <v/>
      </c>
      <c r="G167">
        <f>IF($P167="","",CHOOSE(WEEKDAY(INDEX(상세표[시작],$P167)),"일","월","화","수","목","금","토"))</f>
        <v/>
      </c>
      <c r="H167">
        <f>IF($P167="","",INDEX(상세표[연속 시간],$P167))</f>
        <v/>
      </c>
      <c r="I167">
        <f>IF($P167="","",INDEX(상세표[기록 수],$P167))</f>
        <v/>
      </c>
      <c r="J167">
        <f>IF($P167="","",INDEX(상세표[블록 06~07시],$P167))</f>
        <v/>
      </c>
      <c r="K167">
        <f>IF($P167="","",INDEX(상세표[블록 07~18시],$P167))</f>
        <v/>
      </c>
      <c r="L167">
        <f>IF($P167="","",INDEX(상세표[블록 18~22시],$P167))</f>
        <v/>
      </c>
      <c r="M167">
        <f>IF($P167="","",INDEX(상세표[블록 22~06시],$P167))</f>
        <v/>
      </c>
      <c r="N167">
        <f>IF($P167="","",INDEX(상세표[주말·휴일 포함],$P167)&amp;"")</f>
        <v/>
      </c>
      <c r="O167">
        <f>IF($P167="","",INDEX(상세표[월 넘김 포함],$P167)&amp;"")</f>
        <v/>
      </c>
      <c r="P167" s="4">
        <f>IFERROR(MATCH(162,상세표[연속순번],0),"")</f>
        <v/>
      </c>
    </row>
    <row r="168">
      <c r="A168">
        <f>IF($P168="","",INDEX(상세표[사번],$P168)&amp;"")</f>
        <v/>
      </c>
      <c r="B168">
        <f>IF($P168="","",INDEX(상세표[성명],$P168)&amp;"")</f>
        <v/>
      </c>
      <c r="C168">
        <f>IF($P168="","",INDEX(상세표[부서],$P168)&amp;"")</f>
        <v/>
      </c>
      <c r="D168">
        <f>IF($P168="","",INDEX(상세표[직위],$P168)&amp;"")</f>
        <v/>
      </c>
      <c r="E168">
        <f>IF($P168="","",IF(ISNUMBER(INDEX(상세표[시작],$P168)),TEXT(INDEX(상세표[시작],$P168),"yyyy-mm-dd hh:mm"),INDEX(상세표[시작],$P168)&amp;""))</f>
        <v/>
      </c>
      <c r="F168">
        <f>IF($P168="","",IF(ISNUMBER(INDEX(상세표[블록종료],$P168)),TEXT(INDEX(상세표[블록종료],$P168),"yyyy-mm-dd hh:mm"),INDEX(상세표[블록종료],$P168)&amp;""))</f>
        <v/>
      </c>
      <c r="G168">
        <f>IF($P168="","",CHOOSE(WEEKDAY(INDEX(상세표[시작],$P168)),"일","월","화","수","목","금","토"))</f>
        <v/>
      </c>
      <c r="H168">
        <f>IF($P168="","",INDEX(상세표[연속 시간],$P168))</f>
        <v/>
      </c>
      <c r="I168">
        <f>IF($P168="","",INDEX(상세표[기록 수],$P168))</f>
        <v/>
      </c>
      <c r="J168">
        <f>IF($P168="","",INDEX(상세표[블록 06~07시],$P168))</f>
        <v/>
      </c>
      <c r="K168">
        <f>IF($P168="","",INDEX(상세표[블록 07~18시],$P168))</f>
        <v/>
      </c>
      <c r="L168">
        <f>IF($P168="","",INDEX(상세표[블록 18~22시],$P168))</f>
        <v/>
      </c>
      <c r="M168">
        <f>IF($P168="","",INDEX(상세표[블록 22~06시],$P168))</f>
        <v/>
      </c>
      <c r="N168">
        <f>IF($P168="","",INDEX(상세표[주말·휴일 포함],$P168)&amp;"")</f>
        <v/>
      </c>
      <c r="O168">
        <f>IF($P168="","",INDEX(상세표[월 넘김 포함],$P168)&amp;"")</f>
        <v/>
      </c>
      <c r="P168" s="4">
        <f>IFERROR(MATCH(163,상세표[연속순번],0),"")</f>
        <v/>
      </c>
    </row>
    <row r="169">
      <c r="A169">
        <f>IF($P169="","",INDEX(상세표[사번],$P169)&amp;"")</f>
        <v/>
      </c>
      <c r="B169">
        <f>IF($P169="","",INDEX(상세표[성명],$P169)&amp;"")</f>
        <v/>
      </c>
      <c r="C169">
        <f>IF($P169="","",INDEX(상세표[부서],$P169)&amp;"")</f>
        <v/>
      </c>
      <c r="D169">
        <f>IF($P169="","",INDEX(상세표[직위],$P169)&amp;"")</f>
        <v/>
      </c>
      <c r="E169">
        <f>IF($P169="","",IF(ISNUMBER(INDEX(상세표[시작],$P169)),TEXT(INDEX(상세표[시작],$P169),"yyyy-mm-dd hh:mm"),INDEX(상세표[시작],$P169)&amp;""))</f>
        <v/>
      </c>
      <c r="F169">
        <f>IF($P169="","",IF(ISNUMBER(INDEX(상세표[블록종료],$P169)),TEXT(INDEX(상세표[블록종료],$P169),"yyyy-mm-dd hh:mm"),INDEX(상세표[블록종료],$P169)&amp;""))</f>
        <v/>
      </c>
      <c r="G169">
        <f>IF($P169="","",CHOOSE(WEEKDAY(INDEX(상세표[시작],$P169)),"일","월","화","수","목","금","토"))</f>
        <v/>
      </c>
      <c r="H169">
        <f>IF($P169="","",INDEX(상세표[연속 시간],$P169))</f>
        <v/>
      </c>
      <c r="I169">
        <f>IF($P169="","",INDEX(상세표[기록 수],$P169))</f>
        <v/>
      </c>
      <c r="J169">
        <f>IF($P169="","",INDEX(상세표[블록 06~07시],$P169))</f>
        <v/>
      </c>
      <c r="K169">
        <f>IF($P169="","",INDEX(상세표[블록 07~18시],$P169))</f>
        <v/>
      </c>
      <c r="L169">
        <f>IF($P169="","",INDEX(상세표[블록 18~22시],$P169))</f>
        <v/>
      </c>
      <c r="M169">
        <f>IF($P169="","",INDEX(상세표[블록 22~06시],$P169))</f>
        <v/>
      </c>
      <c r="N169">
        <f>IF($P169="","",INDEX(상세표[주말·휴일 포함],$P169)&amp;"")</f>
        <v/>
      </c>
      <c r="O169">
        <f>IF($P169="","",INDEX(상세표[월 넘김 포함],$P169)&amp;"")</f>
        <v/>
      </c>
      <c r="P169" s="4">
        <f>IFERROR(MATCH(164,상세표[연속순번],0),"")</f>
        <v/>
      </c>
    </row>
    <row r="170">
      <c r="A170">
        <f>IF($P170="","",INDEX(상세표[사번],$P170)&amp;"")</f>
        <v/>
      </c>
      <c r="B170">
        <f>IF($P170="","",INDEX(상세표[성명],$P170)&amp;"")</f>
        <v/>
      </c>
      <c r="C170">
        <f>IF($P170="","",INDEX(상세표[부서],$P170)&amp;"")</f>
        <v/>
      </c>
      <c r="D170">
        <f>IF($P170="","",INDEX(상세표[직위],$P170)&amp;"")</f>
        <v/>
      </c>
      <c r="E170">
        <f>IF($P170="","",IF(ISNUMBER(INDEX(상세표[시작],$P170)),TEXT(INDEX(상세표[시작],$P170),"yyyy-mm-dd hh:mm"),INDEX(상세표[시작],$P170)&amp;""))</f>
        <v/>
      </c>
      <c r="F170">
        <f>IF($P170="","",IF(ISNUMBER(INDEX(상세표[블록종료],$P170)),TEXT(INDEX(상세표[블록종료],$P170),"yyyy-mm-dd hh:mm"),INDEX(상세표[블록종료],$P170)&amp;""))</f>
        <v/>
      </c>
      <c r="G170">
        <f>IF($P170="","",CHOOSE(WEEKDAY(INDEX(상세표[시작],$P170)),"일","월","화","수","목","금","토"))</f>
        <v/>
      </c>
      <c r="H170">
        <f>IF($P170="","",INDEX(상세표[연속 시간],$P170))</f>
        <v/>
      </c>
      <c r="I170">
        <f>IF($P170="","",INDEX(상세표[기록 수],$P170))</f>
        <v/>
      </c>
      <c r="J170">
        <f>IF($P170="","",INDEX(상세표[블록 06~07시],$P170))</f>
        <v/>
      </c>
      <c r="K170">
        <f>IF($P170="","",INDEX(상세표[블록 07~18시],$P170))</f>
        <v/>
      </c>
      <c r="L170">
        <f>IF($P170="","",INDEX(상세표[블록 18~22시],$P170))</f>
        <v/>
      </c>
      <c r="M170">
        <f>IF($P170="","",INDEX(상세표[블록 22~06시],$P170))</f>
        <v/>
      </c>
      <c r="N170">
        <f>IF($P170="","",INDEX(상세표[주말·휴일 포함],$P170)&amp;"")</f>
        <v/>
      </c>
      <c r="O170">
        <f>IF($P170="","",INDEX(상세표[월 넘김 포함],$P170)&amp;"")</f>
        <v/>
      </c>
      <c r="P170" s="4">
        <f>IFERROR(MATCH(165,상세표[연속순번],0),"")</f>
        <v/>
      </c>
    </row>
    <row r="171">
      <c r="A171">
        <f>IF($P171="","",INDEX(상세표[사번],$P171)&amp;"")</f>
        <v/>
      </c>
      <c r="B171">
        <f>IF($P171="","",INDEX(상세표[성명],$P171)&amp;"")</f>
        <v/>
      </c>
      <c r="C171">
        <f>IF($P171="","",INDEX(상세표[부서],$P171)&amp;"")</f>
        <v/>
      </c>
      <c r="D171">
        <f>IF($P171="","",INDEX(상세표[직위],$P171)&amp;"")</f>
        <v/>
      </c>
      <c r="E171">
        <f>IF($P171="","",IF(ISNUMBER(INDEX(상세표[시작],$P171)),TEXT(INDEX(상세표[시작],$P171),"yyyy-mm-dd hh:mm"),INDEX(상세표[시작],$P171)&amp;""))</f>
        <v/>
      </c>
      <c r="F171">
        <f>IF($P171="","",IF(ISNUMBER(INDEX(상세표[블록종료],$P171)),TEXT(INDEX(상세표[블록종료],$P171),"yyyy-mm-dd hh:mm"),INDEX(상세표[블록종료],$P171)&amp;""))</f>
        <v/>
      </c>
      <c r="G171">
        <f>IF($P171="","",CHOOSE(WEEKDAY(INDEX(상세표[시작],$P171)),"일","월","화","수","목","금","토"))</f>
        <v/>
      </c>
      <c r="H171">
        <f>IF($P171="","",INDEX(상세표[연속 시간],$P171))</f>
        <v/>
      </c>
      <c r="I171">
        <f>IF($P171="","",INDEX(상세표[기록 수],$P171))</f>
        <v/>
      </c>
      <c r="J171">
        <f>IF($P171="","",INDEX(상세표[블록 06~07시],$P171))</f>
        <v/>
      </c>
      <c r="K171">
        <f>IF($P171="","",INDEX(상세표[블록 07~18시],$P171))</f>
        <v/>
      </c>
      <c r="L171">
        <f>IF($P171="","",INDEX(상세표[블록 18~22시],$P171))</f>
        <v/>
      </c>
      <c r="M171">
        <f>IF($P171="","",INDEX(상세표[블록 22~06시],$P171))</f>
        <v/>
      </c>
      <c r="N171">
        <f>IF($P171="","",INDEX(상세표[주말·휴일 포함],$P171)&amp;"")</f>
        <v/>
      </c>
      <c r="O171">
        <f>IF($P171="","",INDEX(상세표[월 넘김 포함],$P171)&amp;"")</f>
        <v/>
      </c>
      <c r="P171" s="4">
        <f>IFERROR(MATCH(166,상세표[연속순번],0),"")</f>
        <v/>
      </c>
    </row>
    <row r="172">
      <c r="A172">
        <f>IF($P172="","",INDEX(상세표[사번],$P172)&amp;"")</f>
        <v/>
      </c>
      <c r="B172">
        <f>IF($P172="","",INDEX(상세표[성명],$P172)&amp;"")</f>
        <v/>
      </c>
      <c r="C172">
        <f>IF($P172="","",INDEX(상세표[부서],$P172)&amp;"")</f>
        <v/>
      </c>
      <c r="D172">
        <f>IF($P172="","",INDEX(상세표[직위],$P172)&amp;"")</f>
        <v/>
      </c>
      <c r="E172">
        <f>IF($P172="","",IF(ISNUMBER(INDEX(상세표[시작],$P172)),TEXT(INDEX(상세표[시작],$P172),"yyyy-mm-dd hh:mm"),INDEX(상세표[시작],$P172)&amp;""))</f>
        <v/>
      </c>
      <c r="F172">
        <f>IF($P172="","",IF(ISNUMBER(INDEX(상세표[블록종료],$P172)),TEXT(INDEX(상세표[블록종료],$P172),"yyyy-mm-dd hh:mm"),INDEX(상세표[블록종료],$P172)&amp;""))</f>
        <v/>
      </c>
      <c r="G172">
        <f>IF($P172="","",CHOOSE(WEEKDAY(INDEX(상세표[시작],$P172)),"일","월","화","수","목","금","토"))</f>
        <v/>
      </c>
      <c r="H172">
        <f>IF($P172="","",INDEX(상세표[연속 시간],$P172))</f>
        <v/>
      </c>
      <c r="I172">
        <f>IF($P172="","",INDEX(상세표[기록 수],$P172))</f>
        <v/>
      </c>
      <c r="J172">
        <f>IF($P172="","",INDEX(상세표[블록 06~07시],$P172))</f>
        <v/>
      </c>
      <c r="K172">
        <f>IF($P172="","",INDEX(상세표[블록 07~18시],$P172))</f>
        <v/>
      </c>
      <c r="L172">
        <f>IF($P172="","",INDEX(상세표[블록 18~22시],$P172))</f>
        <v/>
      </c>
      <c r="M172">
        <f>IF($P172="","",INDEX(상세표[블록 22~06시],$P172))</f>
        <v/>
      </c>
      <c r="N172">
        <f>IF($P172="","",INDEX(상세표[주말·휴일 포함],$P172)&amp;"")</f>
        <v/>
      </c>
      <c r="O172">
        <f>IF($P172="","",INDEX(상세표[월 넘김 포함],$P172)&amp;"")</f>
        <v/>
      </c>
      <c r="P172" s="4">
        <f>IFERROR(MATCH(167,상세표[연속순번],0),"")</f>
        <v/>
      </c>
    </row>
    <row r="173">
      <c r="A173">
        <f>IF($P173="","",INDEX(상세표[사번],$P173)&amp;"")</f>
        <v/>
      </c>
      <c r="B173">
        <f>IF($P173="","",INDEX(상세표[성명],$P173)&amp;"")</f>
        <v/>
      </c>
      <c r="C173">
        <f>IF($P173="","",INDEX(상세표[부서],$P173)&amp;"")</f>
        <v/>
      </c>
      <c r="D173">
        <f>IF($P173="","",INDEX(상세표[직위],$P173)&amp;"")</f>
        <v/>
      </c>
      <c r="E173">
        <f>IF($P173="","",IF(ISNUMBER(INDEX(상세표[시작],$P173)),TEXT(INDEX(상세표[시작],$P173),"yyyy-mm-dd hh:mm"),INDEX(상세표[시작],$P173)&amp;""))</f>
        <v/>
      </c>
      <c r="F173">
        <f>IF($P173="","",IF(ISNUMBER(INDEX(상세표[블록종료],$P173)),TEXT(INDEX(상세표[블록종료],$P173),"yyyy-mm-dd hh:mm"),INDEX(상세표[블록종료],$P173)&amp;""))</f>
        <v/>
      </c>
      <c r="G173">
        <f>IF($P173="","",CHOOSE(WEEKDAY(INDEX(상세표[시작],$P173)),"일","월","화","수","목","금","토"))</f>
        <v/>
      </c>
      <c r="H173">
        <f>IF($P173="","",INDEX(상세표[연속 시간],$P173))</f>
        <v/>
      </c>
      <c r="I173">
        <f>IF($P173="","",INDEX(상세표[기록 수],$P173))</f>
        <v/>
      </c>
      <c r="J173">
        <f>IF($P173="","",INDEX(상세표[블록 06~07시],$P173))</f>
        <v/>
      </c>
      <c r="K173">
        <f>IF($P173="","",INDEX(상세표[블록 07~18시],$P173))</f>
        <v/>
      </c>
      <c r="L173">
        <f>IF($P173="","",INDEX(상세표[블록 18~22시],$P173))</f>
        <v/>
      </c>
      <c r="M173">
        <f>IF($P173="","",INDEX(상세표[블록 22~06시],$P173))</f>
        <v/>
      </c>
      <c r="N173">
        <f>IF($P173="","",INDEX(상세표[주말·휴일 포함],$P173)&amp;"")</f>
        <v/>
      </c>
      <c r="O173">
        <f>IF($P173="","",INDEX(상세표[월 넘김 포함],$P173)&amp;"")</f>
        <v/>
      </c>
      <c r="P173" s="4">
        <f>IFERROR(MATCH(168,상세표[연속순번],0),"")</f>
        <v/>
      </c>
    </row>
    <row r="174">
      <c r="A174">
        <f>IF($P174="","",INDEX(상세표[사번],$P174)&amp;"")</f>
        <v/>
      </c>
      <c r="B174">
        <f>IF($P174="","",INDEX(상세표[성명],$P174)&amp;"")</f>
        <v/>
      </c>
      <c r="C174">
        <f>IF($P174="","",INDEX(상세표[부서],$P174)&amp;"")</f>
        <v/>
      </c>
      <c r="D174">
        <f>IF($P174="","",INDEX(상세표[직위],$P174)&amp;"")</f>
        <v/>
      </c>
      <c r="E174">
        <f>IF($P174="","",IF(ISNUMBER(INDEX(상세표[시작],$P174)),TEXT(INDEX(상세표[시작],$P174),"yyyy-mm-dd hh:mm"),INDEX(상세표[시작],$P174)&amp;""))</f>
        <v/>
      </c>
      <c r="F174">
        <f>IF($P174="","",IF(ISNUMBER(INDEX(상세표[블록종료],$P174)),TEXT(INDEX(상세표[블록종료],$P174),"yyyy-mm-dd hh:mm"),INDEX(상세표[블록종료],$P174)&amp;""))</f>
        <v/>
      </c>
      <c r="G174">
        <f>IF($P174="","",CHOOSE(WEEKDAY(INDEX(상세표[시작],$P174)),"일","월","화","수","목","금","토"))</f>
        <v/>
      </c>
      <c r="H174">
        <f>IF($P174="","",INDEX(상세표[연속 시간],$P174))</f>
        <v/>
      </c>
      <c r="I174">
        <f>IF($P174="","",INDEX(상세표[기록 수],$P174))</f>
        <v/>
      </c>
      <c r="J174">
        <f>IF($P174="","",INDEX(상세표[블록 06~07시],$P174))</f>
        <v/>
      </c>
      <c r="K174">
        <f>IF($P174="","",INDEX(상세표[블록 07~18시],$P174))</f>
        <v/>
      </c>
      <c r="L174">
        <f>IF($P174="","",INDEX(상세표[블록 18~22시],$P174))</f>
        <v/>
      </c>
      <c r="M174">
        <f>IF($P174="","",INDEX(상세표[블록 22~06시],$P174))</f>
        <v/>
      </c>
      <c r="N174">
        <f>IF($P174="","",INDEX(상세표[주말·휴일 포함],$P174)&amp;"")</f>
        <v/>
      </c>
      <c r="O174">
        <f>IF($P174="","",INDEX(상세표[월 넘김 포함],$P174)&amp;"")</f>
        <v/>
      </c>
      <c r="P174" s="4">
        <f>IFERROR(MATCH(169,상세표[연속순번],0),"")</f>
        <v/>
      </c>
    </row>
    <row r="175">
      <c r="A175">
        <f>IF($P175="","",INDEX(상세표[사번],$P175)&amp;"")</f>
        <v/>
      </c>
      <c r="B175">
        <f>IF($P175="","",INDEX(상세표[성명],$P175)&amp;"")</f>
        <v/>
      </c>
      <c r="C175">
        <f>IF($P175="","",INDEX(상세표[부서],$P175)&amp;"")</f>
        <v/>
      </c>
      <c r="D175">
        <f>IF($P175="","",INDEX(상세표[직위],$P175)&amp;"")</f>
        <v/>
      </c>
      <c r="E175">
        <f>IF($P175="","",IF(ISNUMBER(INDEX(상세표[시작],$P175)),TEXT(INDEX(상세표[시작],$P175),"yyyy-mm-dd hh:mm"),INDEX(상세표[시작],$P175)&amp;""))</f>
        <v/>
      </c>
      <c r="F175">
        <f>IF($P175="","",IF(ISNUMBER(INDEX(상세표[블록종료],$P175)),TEXT(INDEX(상세표[블록종료],$P175),"yyyy-mm-dd hh:mm"),INDEX(상세표[블록종료],$P175)&amp;""))</f>
        <v/>
      </c>
      <c r="G175">
        <f>IF($P175="","",CHOOSE(WEEKDAY(INDEX(상세표[시작],$P175)),"일","월","화","수","목","금","토"))</f>
        <v/>
      </c>
      <c r="H175">
        <f>IF($P175="","",INDEX(상세표[연속 시간],$P175))</f>
        <v/>
      </c>
      <c r="I175">
        <f>IF($P175="","",INDEX(상세표[기록 수],$P175))</f>
        <v/>
      </c>
      <c r="J175">
        <f>IF($P175="","",INDEX(상세표[블록 06~07시],$P175))</f>
        <v/>
      </c>
      <c r="K175">
        <f>IF($P175="","",INDEX(상세표[블록 07~18시],$P175))</f>
        <v/>
      </c>
      <c r="L175">
        <f>IF($P175="","",INDEX(상세표[블록 18~22시],$P175))</f>
        <v/>
      </c>
      <c r="M175">
        <f>IF($P175="","",INDEX(상세표[블록 22~06시],$P175))</f>
        <v/>
      </c>
      <c r="N175">
        <f>IF($P175="","",INDEX(상세표[주말·휴일 포함],$P175)&amp;"")</f>
        <v/>
      </c>
      <c r="O175">
        <f>IF($P175="","",INDEX(상세표[월 넘김 포함],$P175)&amp;"")</f>
        <v/>
      </c>
      <c r="P175" s="4">
        <f>IFERROR(MATCH(170,상세표[연속순번],0),"")</f>
        <v/>
      </c>
    </row>
    <row r="176">
      <c r="A176">
        <f>IF($P176="","",INDEX(상세표[사번],$P176)&amp;"")</f>
        <v/>
      </c>
      <c r="B176">
        <f>IF($P176="","",INDEX(상세표[성명],$P176)&amp;"")</f>
        <v/>
      </c>
      <c r="C176">
        <f>IF($P176="","",INDEX(상세표[부서],$P176)&amp;"")</f>
        <v/>
      </c>
      <c r="D176">
        <f>IF($P176="","",INDEX(상세표[직위],$P176)&amp;"")</f>
        <v/>
      </c>
      <c r="E176">
        <f>IF($P176="","",IF(ISNUMBER(INDEX(상세표[시작],$P176)),TEXT(INDEX(상세표[시작],$P176),"yyyy-mm-dd hh:mm"),INDEX(상세표[시작],$P176)&amp;""))</f>
        <v/>
      </c>
      <c r="F176">
        <f>IF($P176="","",IF(ISNUMBER(INDEX(상세표[블록종료],$P176)),TEXT(INDEX(상세표[블록종료],$P176),"yyyy-mm-dd hh:mm"),INDEX(상세표[블록종료],$P176)&amp;""))</f>
        <v/>
      </c>
      <c r="G176">
        <f>IF($P176="","",CHOOSE(WEEKDAY(INDEX(상세표[시작],$P176)),"일","월","화","수","목","금","토"))</f>
        <v/>
      </c>
      <c r="H176">
        <f>IF($P176="","",INDEX(상세표[연속 시간],$P176))</f>
        <v/>
      </c>
      <c r="I176">
        <f>IF($P176="","",INDEX(상세표[기록 수],$P176))</f>
        <v/>
      </c>
      <c r="J176">
        <f>IF($P176="","",INDEX(상세표[블록 06~07시],$P176))</f>
        <v/>
      </c>
      <c r="K176">
        <f>IF($P176="","",INDEX(상세표[블록 07~18시],$P176))</f>
        <v/>
      </c>
      <c r="L176">
        <f>IF($P176="","",INDEX(상세표[블록 18~22시],$P176))</f>
        <v/>
      </c>
      <c r="M176">
        <f>IF($P176="","",INDEX(상세표[블록 22~06시],$P176))</f>
        <v/>
      </c>
      <c r="N176">
        <f>IF($P176="","",INDEX(상세표[주말·휴일 포함],$P176)&amp;"")</f>
        <v/>
      </c>
      <c r="O176">
        <f>IF($P176="","",INDEX(상세표[월 넘김 포함],$P176)&amp;"")</f>
        <v/>
      </c>
      <c r="P176" s="4">
        <f>IFERROR(MATCH(171,상세표[연속순번],0),"")</f>
        <v/>
      </c>
    </row>
    <row r="177">
      <c r="A177">
        <f>IF($P177="","",INDEX(상세표[사번],$P177)&amp;"")</f>
        <v/>
      </c>
      <c r="B177">
        <f>IF($P177="","",INDEX(상세표[성명],$P177)&amp;"")</f>
        <v/>
      </c>
      <c r="C177">
        <f>IF($P177="","",INDEX(상세표[부서],$P177)&amp;"")</f>
        <v/>
      </c>
      <c r="D177">
        <f>IF($P177="","",INDEX(상세표[직위],$P177)&amp;"")</f>
        <v/>
      </c>
      <c r="E177">
        <f>IF($P177="","",IF(ISNUMBER(INDEX(상세표[시작],$P177)),TEXT(INDEX(상세표[시작],$P177),"yyyy-mm-dd hh:mm"),INDEX(상세표[시작],$P177)&amp;""))</f>
        <v/>
      </c>
      <c r="F177">
        <f>IF($P177="","",IF(ISNUMBER(INDEX(상세표[블록종료],$P177)),TEXT(INDEX(상세표[블록종료],$P177),"yyyy-mm-dd hh:mm"),INDEX(상세표[블록종료],$P177)&amp;""))</f>
        <v/>
      </c>
      <c r="G177">
        <f>IF($P177="","",CHOOSE(WEEKDAY(INDEX(상세표[시작],$P177)),"일","월","화","수","목","금","토"))</f>
        <v/>
      </c>
      <c r="H177">
        <f>IF($P177="","",INDEX(상세표[연속 시간],$P177))</f>
        <v/>
      </c>
      <c r="I177">
        <f>IF($P177="","",INDEX(상세표[기록 수],$P177))</f>
        <v/>
      </c>
      <c r="J177">
        <f>IF($P177="","",INDEX(상세표[블록 06~07시],$P177))</f>
        <v/>
      </c>
      <c r="K177">
        <f>IF($P177="","",INDEX(상세표[블록 07~18시],$P177))</f>
        <v/>
      </c>
      <c r="L177">
        <f>IF($P177="","",INDEX(상세표[블록 18~22시],$P177))</f>
        <v/>
      </c>
      <c r="M177">
        <f>IF($P177="","",INDEX(상세표[블록 22~06시],$P177))</f>
        <v/>
      </c>
      <c r="N177">
        <f>IF($P177="","",INDEX(상세표[주말·휴일 포함],$P177)&amp;"")</f>
        <v/>
      </c>
      <c r="O177">
        <f>IF($P177="","",INDEX(상세표[월 넘김 포함],$P177)&amp;"")</f>
        <v/>
      </c>
      <c r="P177" s="4">
        <f>IFERROR(MATCH(172,상세표[연속순번],0),"")</f>
        <v/>
      </c>
    </row>
    <row r="178">
      <c r="A178">
        <f>IF($P178="","",INDEX(상세표[사번],$P178)&amp;"")</f>
        <v/>
      </c>
      <c r="B178">
        <f>IF($P178="","",INDEX(상세표[성명],$P178)&amp;"")</f>
        <v/>
      </c>
      <c r="C178">
        <f>IF($P178="","",INDEX(상세표[부서],$P178)&amp;"")</f>
        <v/>
      </c>
      <c r="D178">
        <f>IF($P178="","",INDEX(상세표[직위],$P178)&amp;"")</f>
        <v/>
      </c>
      <c r="E178">
        <f>IF($P178="","",IF(ISNUMBER(INDEX(상세표[시작],$P178)),TEXT(INDEX(상세표[시작],$P178),"yyyy-mm-dd hh:mm"),INDEX(상세표[시작],$P178)&amp;""))</f>
        <v/>
      </c>
      <c r="F178">
        <f>IF($P178="","",IF(ISNUMBER(INDEX(상세표[블록종료],$P178)),TEXT(INDEX(상세표[블록종료],$P178),"yyyy-mm-dd hh:mm"),INDEX(상세표[블록종료],$P178)&amp;""))</f>
        <v/>
      </c>
      <c r="G178">
        <f>IF($P178="","",CHOOSE(WEEKDAY(INDEX(상세표[시작],$P178)),"일","월","화","수","목","금","토"))</f>
        <v/>
      </c>
      <c r="H178">
        <f>IF($P178="","",INDEX(상세표[연속 시간],$P178))</f>
        <v/>
      </c>
      <c r="I178">
        <f>IF($P178="","",INDEX(상세표[기록 수],$P178))</f>
        <v/>
      </c>
      <c r="J178">
        <f>IF($P178="","",INDEX(상세표[블록 06~07시],$P178))</f>
        <v/>
      </c>
      <c r="K178">
        <f>IF($P178="","",INDEX(상세표[블록 07~18시],$P178))</f>
        <v/>
      </c>
      <c r="L178">
        <f>IF($P178="","",INDEX(상세표[블록 18~22시],$P178))</f>
        <v/>
      </c>
      <c r="M178">
        <f>IF($P178="","",INDEX(상세표[블록 22~06시],$P178))</f>
        <v/>
      </c>
      <c r="N178">
        <f>IF($P178="","",INDEX(상세표[주말·휴일 포함],$P178)&amp;"")</f>
        <v/>
      </c>
      <c r="O178">
        <f>IF($P178="","",INDEX(상세표[월 넘김 포함],$P178)&amp;"")</f>
        <v/>
      </c>
      <c r="P178" s="4">
        <f>IFERROR(MATCH(173,상세표[연속순번],0),"")</f>
        <v/>
      </c>
    </row>
    <row r="179">
      <c r="A179">
        <f>IF($P179="","",INDEX(상세표[사번],$P179)&amp;"")</f>
        <v/>
      </c>
      <c r="B179">
        <f>IF($P179="","",INDEX(상세표[성명],$P179)&amp;"")</f>
        <v/>
      </c>
      <c r="C179">
        <f>IF($P179="","",INDEX(상세표[부서],$P179)&amp;"")</f>
        <v/>
      </c>
      <c r="D179">
        <f>IF($P179="","",INDEX(상세표[직위],$P179)&amp;"")</f>
        <v/>
      </c>
      <c r="E179">
        <f>IF($P179="","",IF(ISNUMBER(INDEX(상세표[시작],$P179)),TEXT(INDEX(상세표[시작],$P179),"yyyy-mm-dd hh:mm"),INDEX(상세표[시작],$P179)&amp;""))</f>
        <v/>
      </c>
      <c r="F179">
        <f>IF($P179="","",IF(ISNUMBER(INDEX(상세표[블록종료],$P179)),TEXT(INDEX(상세표[블록종료],$P179),"yyyy-mm-dd hh:mm"),INDEX(상세표[블록종료],$P179)&amp;""))</f>
        <v/>
      </c>
      <c r="G179">
        <f>IF($P179="","",CHOOSE(WEEKDAY(INDEX(상세표[시작],$P179)),"일","월","화","수","목","금","토"))</f>
        <v/>
      </c>
      <c r="H179">
        <f>IF($P179="","",INDEX(상세표[연속 시간],$P179))</f>
        <v/>
      </c>
      <c r="I179">
        <f>IF($P179="","",INDEX(상세표[기록 수],$P179))</f>
        <v/>
      </c>
      <c r="J179">
        <f>IF($P179="","",INDEX(상세표[블록 06~07시],$P179))</f>
        <v/>
      </c>
      <c r="K179">
        <f>IF($P179="","",INDEX(상세표[블록 07~18시],$P179))</f>
        <v/>
      </c>
      <c r="L179">
        <f>IF($P179="","",INDEX(상세표[블록 18~22시],$P179))</f>
        <v/>
      </c>
      <c r="M179">
        <f>IF($P179="","",INDEX(상세표[블록 22~06시],$P179))</f>
        <v/>
      </c>
      <c r="N179">
        <f>IF($P179="","",INDEX(상세표[주말·휴일 포함],$P179)&amp;"")</f>
        <v/>
      </c>
      <c r="O179">
        <f>IF($P179="","",INDEX(상세표[월 넘김 포함],$P179)&amp;"")</f>
        <v/>
      </c>
      <c r="P179" s="4">
        <f>IFERROR(MATCH(174,상세표[연속순번],0),"")</f>
        <v/>
      </c>
    </row>
    <row r="180">
      <c r="A180">
        <f>IF($P180="","",INDEX(상세표[사번],$P180)&amp;"")</f>
        <v/>
      </c>
      <c r="B180">
        <f>IF($P180="","",INDEX(상세표[성명],$P180)&amp;"")</f>
        <v/>
      </c>
      <c r="C180">
        <f>IF($P180="","",INDEX(상세표[부서],$P180)&amp;"")</f>
        <v/>
      </c>
      <c r="D180">
        <f>IF($P180="","",INDEX(상세표[직위],$P180)&amp;"")</f>
        <v/>
      </c>
      <c r="E180">
        <f>IF($P180="","",IF(ISNUMBER(INDEX(상세표[시작],$P180)),TEXT(INDEX(상세표[시작],$P180),"yyyy-mm-dd hh:mm"),INDEX(상세표[시작],$P180)&amp;""))</f>
        <v/>
      </c>
      <c r="F180">
        <f>IF($P180="","",IF(ISNUMBER(INDEX(상세표[블록종료],$P180)),TEXT(INDEX(상세표[블록종료],$P180),"yyyy-mm-dd hh:mm"),INDEX(상세표[블록종료],$P180)&amp;""))</f>
        <v/>
      </c>
      <c r="G180">
        <f>IF($P180="","",CHOOSE(WEEKDAY(INDEX(상세표[시작],$P180)),"일","월","화","수","목","금","토"))</f>
        <v/>
      </c>
      <c r="H180">
        <f>IF($P180="","",INDEX(상세표[연속 시간],$P180))</f>
        <v/>
      </c>
      <c r="I180">
        <f>IF($P180="","",INDEX(상세표[기록 수],$P180))</f>
        <v/>
      </c>
      <c r="J180">
        <f>IF($P180="","",INDEX(상세표[블록 06~07시],$P180))</f>
        <v/>
      </c>
      <c r="K180">
        <f>IF($P180="","",INDEX(상세표[블록 07~18시],$P180))</f>
        <v/>
      </c>
      <c r="L180">
        <f>IF($P180="","",INDEX(상세표[블록 18~22시],$P180))</f>
        <v/>
      </c>
      <c r="M180">
        <f>IF($P180="","",INDEX(상세표[블록 22~06시],$P180))</f>
        <v/>
      </c>
      <c r="N180">
        <f>IF($P180="","",INDEX(상세표[주말·휴일 포함],$P180)&amp;"")</f>
        <v/>
      </c>
      <c r="O180">
        <f>IF($P180="","",INDEX(상세표[월 넘김 포함],$P180)&amp;"")</f>
        <v/>
      </c>
      <c r="P180" s="4">
        <f>IFERROR(MATCH(175,상세표[연속순번],0),"")</f>
        <v/>
      </c>
    </row>
    <row r="181">
      <c r="A181">
        <f>IF($P181="","",INDEX(상세표[사번],$P181)&amp;"")</f>
        <v/>
      </c>
      <c r="B181">
        <f>IF($P181="","",INDEX(상세표[성명],$P181)&amp;"")</f>
        <v/>
      </c>
      <c r="C181">
        <f>IF($P181="","",INDEX(상세표[부서],$P181)&amp;"")</f>
        <v/>
      </c>
      <c r="D181">
        <f>IF($P181="","",INDEX(상세표[직위],$P181)&amp;"")</f>
        <v/>
      </c>
      <c r="E181">
        <f>IF($P181="","",IF(ISNUMBER(INDEX(상세표[시작],$P181)),TEXT(INDEX(상세표[시작],$P181),"yyyy-mm-dd hh:mm"),INDEX(상세표[시작],$P181)&amp;""))</f>
        <v/>
      </c>
      <c r="F181">
        <f>IF($P181="","",IF(ISNUMBER(INDEX(상세표[블록종료],$P181)),TEXT(INDEX(상세표[블록종료],$P181),"yyyy-mm-dd hh:mm"),INDEX(상세표[블록종료],$P181)&amp;""))</f>
        <v/>
      </c>
      <c r="G181">
        <f>IF($P181="","",CHOOSE(WEEKDAY(INDEX(상세표[시작],$P181)),"일","월","화","수","목","금","토"))</f>
        <v/>
      </c>
      <c r="H181">
        <f>IF($P181="","",INDEX(상세표[연속 시간],$P181))</f>
        <v/>
      </c>
      <c r="I181">
        <f>IF($P181="","",INDEX(상세표[기록 수],$P181))</f>
        <v/>
      </c>
      <c r="J181">
        <f>IF($P181="","",INDEX(상세표[블록 06~07시],$P181))</f>
        <v/>
      </c>
      <c r="K181">
        <f>IF($P181="","",INDEX(상세표[블록 07~18시],$P181))</f>
        <v/>
      </c>
      <c r="L181">
        <f>IF($P181="","",INDEX(상세표[블록 18~22시],$P181))</f>
        <v/>
      </c>
      <c r="M181">
        <f>IF($P181="","",INDEX(상세표[블록 22~06시],$P181))</f>
        <v/>
      </c>
      <c r="N181">
        <f>IF($P181="","",INDEX(상세표[주말·휴일 포함],$P181)&amp;"")</f>
        <v/>
      </c>
      <c r="O181">
        <f>IF($P181="","",INDEX(상세표[월 넘김 포함],$P181)&amp;"")</f>
        <v/>
      </c>
      <c r="P181" s="4">
        <f>IFERROR(MATCH(176,상세표[연속순번],0),"")</f>
        <v/>
      </c>
    </row>
    <row r="182">
      <c r="A182">
        <f>IF($P182="","",INDEX(상세표[사번],$P182)&amp;"")</f>
        <v/>
      </c>
      <c r="B182">
        <f>IF($P182="","",INDEX(상세표[성명],$P182)&amp;"")</f>
        <v/>
      </c>
      <c r="C182">
        <f>IF($P182="","",INDEX(상세표[부서],$P182)&amp;"")</f>
        <v/>
      </c>
      <c r="D182">
        <f>IF($P182="","",INDEX(상세표[직위],$P182)&amp;"")</f>
        <v/>
      </c>
      <c r="E182">
        <f>IF($P182="","",IF(ISNUMBER(INDEX(상세표[시작],$P182)),TEXT(INDEX(상세표[시작],$P182),"yyyy-mm-dd hh:mm"),INDEX(상세표[시작],$P182)&amp;""))</f>
        <v/>
      </c>
      <c r="F182">
        <f>IF($P182="","",IF(ISNUMBER(INDEX(상세표[블록종료],$P182)),TEXT(INDEX(상세표[블록종료],$P182),"yyyy-mm-dd hh:mm"),INDEX(상세표[블록종료],$P182)&amp;""))</f>
        <v/>
      </c>
      <c r="G182">
        <f>IF($P182="","",CHOOSE(WEEKDAY(INDEX(상세표[시작],$P182)),"일","월","화","수","목","금","토"))</f>
        <v/>
      </c>
      <c r="H182">
        <f>IF($P182="","",INDEX(상세표[연속 시간],$P182))</f>
        <v/>
      </c>
      <c r="I182">
        <f>IF($P182="","",INDEX(상세표[기록 수],$P182))</f>
        <v/>
      </c>
      <c r="J182">
        <f>IF($P182="","",INDEX(상세표[블록 06~07시],$P182))</f>
        <v/>
      </c>
      <c r="K182">
        <f>IF($P182="","",INDEX(상세표[블록 07~18시],$P182))</f>
        <v/>
      </c>
      <c r="L182">
        <f>IF($P182="","",INDEX(상세표[블록 18~22시],$P182))</f>
        <v/>
      </c>
      <c r="M182">
        <f>IF($P182="","",INDEX(상세표[블록 22~06시],$P182))</f>
        <v/>
      </c>
      <c r="N182">
        <f>IF($P182="","",INDEX(상세표[주말·휴일 포함],$P182)&amp;"")</f>
        <v/>
      </c>
      <c r="O182">
        <f>IF($P182="","",INDEX(상세표[월 넘김 포함],$P182)&amp;"")</f>
        <v/>
      </c>
      <c r="P182" s="4">
        <f>IFERROR(MATCH(177,상세표[연속순번],0),"")</f>
        <v/>
      </c>
    </row>
    <row r="183">
      <c r="A183">
        <f>IF($P183="","",INDEX(상세표[사번],$P183)&amp;"")</f>
        <v/>
      </c>
      <c r="B183">
        <f>IF($P183="","",INDEX(상세표[성명],$P183)&amp;"")</f>
        <v/>
      </c>
      <c r="C183">
        <f>IF($P183="","",INDEX(상세표[부서],$P183)&amp;"")</f>
        <v/>
      </c>
      <c r="D183">
        <f>IF($P183="","",INDEX(상세표[직위],$P183)&amp;"")</f>
        <v/>
      </c>
      <c r="E183">
        <f>IF($P183="","",IF(ISNUMBER(INDEX(상세표[시작],$P183)),TEXT(INDEX(상세표[시작],$P183),"yyyy-mm-dd hh:mm"),INDEX(상세표[시작],$P183)&amp;""))</f>
        <v/>
      </c>
      <c r="F183">
        <f>IF($P183="","",IF(ISNUMBER(INDEX(상세표[블록종료],$P183)),TEXT(INDEX(상세표[블록종료],$P183),"yyyy-mm-dd hh:mm"),INDEX(상세표[블록종료],$P183)&amp;""))</f>
        <v/>
      </c>
      <c r="G183">
        <f>IF($P183="","",CHOOSE(WEEKDAY(INDEX(상세표[시작],$P183)),"일","월","화","수","목","금","토"))</f>
        <v/>
      </c>
      <c r="H183">
        <f>IF($P183="","",INDEX(상세표[연속 시간],$P183))</f>
        <v/>
      </c>
      <c r="I183">
        <f>IF($P183="","",INDEX(상세표[기록 수],$P183))</f>
        <v/>
      </c>
      <c r="J183">
        <f>IF($P183="","",INDEX(상세표[블록 06~07시],$P183))</f>
        <v/>
      </c>
      <c r="K183">
        <f>IF($P183="","",INDEX(상세표[블록 07~18시],$P183))</f>
        <v/>
      </c>
      <c r="L183">
        <f>IF($P183="","",INDEX(상세표[블록 18~22시],$P183))</f>
        <v/>
      </c>
      <c r="M183">
        <f>IF($P183="","",INDEX(상세표[블록 22~06시],$P183))</f>
        <v/>
      </c>
      <c r="N183">
        <f>IF($P183="","",INDEX(상세표[주말·휴일 포함],$P183)&amp;"")</f>
        <v/>
      </c>
      <c r="O183">
        <f>IF($P183="","",INDEX(상세표[월 넘김 포함],$P183)&amp;"")</f>
        <v/>
      </c>
      <c r="P183" s="4">
        <f>IFERROR(MATCH(178,상세표[연속순번],0),"")</f>
        <v/>
      </c>
    </row>
    <row r="184">
      <c r="A184">
        <f>IF($P184="","",INDEX(상세표[사번],$P184)&amp;"")</f>
        <v/>
      </c>
      <c r="B184">
        <f>IF($P184="","",INDEX(상세표[성명],$P184)&amp;"")</f>
        <v/>
      </c>
      <c r="C184">
        <f>IF($P184="","",INDEX(상세표[부서],$P184)&amp;"")</f>
        <v/>
      </c>
      <c r="D184">
        <f>IF($P184="","",INDEX(상세표[직위],$P184)&amp;"")</f>
        <v/>
      </c>
      <c r="E184">
        <f>IF($P184="","",IF(ISNUMBER(INDEX(상세표[시작],$P184)),TEXT(INDEX(상세표[시작],$P184),"yyyy-mm-dd hh:mm"),INDEX(상세표[시작],$P184)&amp;""))</f>
        <v/>
      </c>
      <c r="F184">
        <f>IF($P184="","",IF(ISNUMBER(INDEX(상세표[블록종료],$P184)),TEXT(INDEX(상세표[블록종료],$P184),"yyyy-mm-dd hh:mm"),INDEX(상세표[블록종료],$P184)&amp;""))</f>
        <v/>
      </c>
      <c r="G184">
        <f>IF($P184="","",CHOOSE(WEEKDAY(INDEX(상세표[시작],$P184)),"일","월","화","수","목","금","토"))</f>
        <v/>
      </c>
      <c r="H184">
        <f>IF($P184="","",INDEX(상세표[연속 시간],$P184))</f>
        <v/>
      </c>
      <c r="I184">
        <f>IF($P184="","",INDEX(상세표[기록 수],$P184))</f>
        <v/>
      </c>
      <c r="J184">
        <f>IF($P184="","",INDEX(상세표[블록 06~07시],$P184))</f>
        <v/>
      </c>
      <c r="K184">
        <f>IF($P184="","",INDEX(상세표[블록 07~18시],$P184))</f>
        <v/>
      </c>
      <c r="L184">
        <f>IF($P184="","",INDEX(상세표[블록 18~22시],$P184))</f>
        <v/>
      </c>
      <c r="M184">
        <f>IF($P184="","",INDEX(상세표[블록 22~06시],$P184))</f>
        <v/>
      </c>
      <c r="N184">
        <f>IF($P184="","",INDEX(상세표[주말·휴일 포함],$P184)&amp;"")</f>
        <v/>
      </c>
      <c r="O184">
        <f>IF($P184="","",INDEX(상세표[월 넘김 포함],$P184)&amp;"")</f>
        <v/>
      </c>
      <c r="P184" s="4">
        <f>IFERROR(MATCH(179,상세표[연속순번],0),"")</f>
        <v/>
      </c>
    </row>
    <row r="185">
      <c r="A185">
        <f>IF($P185="","",INDEX(상세표[사번],$P185)&amp;"")</f>
        <v/>
      </c>
      <c r="B185">
        <f>IF($P185="","",INDEX(상세표[성명],$P185)&amp;"")</f>
        <v/>
      </c>
      <c r="C185">
        <f>IF($P185="","",INDEX(상세표[부서],$P185)&amp;"")</f>
        <v/>
      </c>
      <c r="D185">
        <f>IF($P185="","",INDEX(상세표[직위],$P185)&amp;"")</f>
        <v/>
      </c>
      <c r="E185">
        <f>IF($P185="","",IF(ISNUMBER(INDEX(상세표[시작],$P185)),TEXT(INDEX(상세표[시작],$P185),"yyyy-mm-dd hh:mm"),INDEX(상세표[시작],$P185)&amp;""))</f>
        <v/>
      </c>
      <c r="F185">
        <f>IF($P185="","",IF(ISNUMBER(INDEX(상세표[블록종료],$P185)),TEXT(INDEX(상세표[블록종료],$P185),"yyyy-mm-dd hh:mm"),INDEX(상세표[블록종료],$P185)&amp;""))</f>
        <v/>
      </c>
      <c r="G185">
        <f>IF($P185="","",CHOOSE(WEEKDAY(INDEX(상세표[시작],$P185)),"일","월","화","수","목","금","토"))</f>
        <v/>
      </c>
      <c r="H185">
        <f>IF($P185="","",INDEX(상세표[연속 시간],$P185))</f>
        <v/>
      </c>
      <c r="I185">
        <f>IF($P185="","",INDEX(상세표[기록 수],$P185))</f>
        <v/>
      </c>
      <c r="J185">
        <f>IF($P185="","",INDEX(상세표[블록 06~07시],$P185))</f>
        <v/>
      </c>
      <c r="K185">
        <f>IF($P185="","",INDEX(상세표[블록 07~18시],$P185))</f>
        <v/>
      </c>
      <c r="L185">
        <f>IF($P185="","",INDEX(상세표[블록 18~22시],$P185))</f>
        <v/>
      </c>
      <c r="M185">
        <f>IF($P185="","",INDEX(상세표[블록 22~06시],$P185))</f>
        <v/>
      </c>
      <c r="N185">
        <f>IF($P185="","",INDEX(상세표[주말·휴일 포함],$P185)&amp;"")</f>
        <v/>
      </c>
      <c r="O185">
        <f>IF($P185="","",INDEX(상세표[월 넘김 포함],$P185)&amp;"")</f>
        <v/>
      </c>
      <c r="P185" s="4">
        <f>IFERROR(MATCH(180,상세표[연속순번],0),"")</f>
        <v/>
      </c>
    </row>
    <row r="186">
      <c r="A186">
        <f>IF($P186="","",INDEX(상세표[사번],$P186)&amp;"")</f>
        <v/>
      </c>
      <c r="B186">
        <f>IF($P186="","",INDEX(상세표[성명],$P186)&amp;"")</f>
        <v/>
      </c>
      <c r="C186">
        <f>IF($P186="","",INDEX(상세표[부서],$P186)&amp;"")</f>
        <v/>
      </c>
      <c r="D186">
        <f>IF($P186="","",INDEX(상세표[직위],$P186)&amp;"")</f>
        <v/>
      </c>
      <c r="E186">
        <f>IF($P186="","",IF(ISNUMBER(INDEX(상세표[시작],$P186)),TEXT(INDEX(상세표[시작],$P186),"yyyy-mm-dd hh:mm"),INDEX(상세표[시작],$P186)&amp;""))</f>
        <v/>
      </c>
      <c r="F186">
        <f>IF($P186="","",IF(ISNUMBER(INDEX(상세표[블록종료],$P186)),TEXT(INDEX(상세표[블록종료],$P186),"yyyy-mm-dd hh:mm"),INDEX(상세표[블록종료],$P186)&amp;""))</f>
        <v/>
      </c>
      <c r="G186">
        <f>IF($P186="","",CHOOSE(WEEKDAY(INDEX(상세표[시작],$P186)),"일","월","화","수","목","금","토"))</f>
        <v/>
      </c>
      <c r="H186">
        <f>IF($P186="","",INDEX(상세표[연속 시간],$P186))</f>
        <v/>
      </c>
      <c r="I186">
        <f>IF($P186="","",INDEX(상세표[기록 수],$P186))</f>
        <v/>
      </c>
      <c r="J186">
        <f>IF($P186="","",INDEX(상세표[블록 06~07시],$P186))</f>
        <v/>
      </c>
      <c r="K186">
        <f>IF($P186="","",INDEX(상세표[블록 07~18시],$P186))</f>
        <v/>
      </c>
      <c r="L186">
        <f>IF($P186="","",INDEX(상세표[블록 18~22시],$P186))</f>
        <v/>
      </c>
      <c r="M186">
        <f>IF($P186="","",INDEX(상세표[블록 22~06시],$P186))</f>
        <v/>
      </c>
      <c r="N186">
        <f>IF($P186="","",INDEX(상세표[주말·휴일 포함],$P186)&amp;"")</f>
        <v/>
      </c>
      <c r="O186">
        <f>IF($P186="","",INDEX(상세표[월 넘김 포함],$P186)&amp;"")</f>
        <v/>
      </c>
      <c r="P186" s="4">
        <f>IFERROR(MATCH(181,상세표[연속순번],0),"")</f>
        <v/>
      </c>
    </row>
    <row r="187">
      <c r="A187">
        <f>IF($P187="","",INDEX(상세표[사번],$P187)&amp;"")</f>
        <v/>
      </c>
      <c r="B187">
        <f>IF($P187="","",INDEX(상세표[성명],$P187)&amp;"")</f>
        <v/>
      </c>
      <c r="C187">
        <f>IF($P187="","",INDEX(상세표[부서],$P187)&amp;"")</f>
        <v/>
      </c>
      <c r="D187">
        <f>IF($P187="","",INDEX(상세표[직위],$P187)&amp;"")</f>
        <v/>
      </c>
      <c r="E187">
        <f>IF($P187="","",IF(ISNUMBER(INDEX(상세표[시작],$P187)),TEXT(INDEX(상세표[시작],$P187),"yyyy-mm-dd hh:mm"),INDEX(상세표[시작],$P187)&amp;""))</f>
        <v/>
      </c>
      <c r="F187">
        <f>IF($P187="","",IF(ISNUMBER(INDEX(상세표[블록종료],$P187)),TEXT(INDEX(상세표[블록종료],$P187),"yyyy-mm-dd hh:mm"),INDEX(상세표[블록종료],$P187)&amp;""))</f>
        <v/>
      </c>
      <c r="G187">
        <f>IF($P187="","",CHOOSE(WEEKDAY(INDEX(상세표[시작],$P187)),"일","월","화","수","목","금","토"))</f>
        <v/>
      </c>
      <c r="H187">
        <f>IF($P187="","",INDEX(상세표[연속 시간],$P187))</f>
        <v/>
      </c>
      <c r="I187">
        <f>IF($P187="","",INDEX(상세표[기록 수],$P187))</f>
        <v/>
      </c>
      <c r="J187">
        <f>IF($P187="","",INDEX(상세표[블록 06~07시],$P187))</f>
        <v/>
      </c>
      <c r="K187">
        <f>IF($P187="","",INDEX(상세표[블록 07~18시],$P187))</f>
        <v/>
      </c>
      <c r="L187">
        <f>IF($P187="","",INDEX(상세표[블록 18~22시],$P187))</f>
        <v/>
      </c>
      <c r="M187">
        <f>IF($P187="","",INDEX(상세표[블록 22~06시],$P187))</f>
        <v/>
      </c>
      <c r="N187">
        <f>IF($P187="","",INDEX(상세표[주말·휴일 포함],$P187)&amp;"")</f>
        <v/>
      </c>
      <c r="O187">
        <f>IF($P187="","",INDEX(상세표[월 넘김 포함],$P187)&amp;"")</f>
        <v/>
      </c>
      <c r="P187" s="4">
        <f>IFERROR(MATCH(182,상세표[연속순번],0),"")</f>
        <v/>
      </c>
    </row>
    <row r="188">
      <c r="A188">
        <f>IF($P188="","",INDEX(상세표[사번],$P188)&amp;"")</f>
        <v/>
      </c>
      <c r="B188">
        <f>IF($P188="","",INDEX(상세표[성명],$P188)&amp;"")</f>
        <v/>
      </c>
      <c r="C188">
        <f>IF($P188="","",INDEX(상세표[부서],$P188)&amp;"")</f>
        <v/>
      </c>
      <c r="D188">
        <f>IF($P188="","",INDEX(상세표[직위],$P188)&amp;"")</f>
        <v/>
      </c>
      <c r="E188">
        <f>IF($P188="","",IF(ISNUMBER(INDEX(상세표[시작],$P188)),TEXT(INDEX(상세표[시작],$P188),"yyyy-mm-dd hh:mm"),INDEX(상세표[시작],$P188)&amp;""))</f>
        <v/>
      </c>
      <c r="F188">
        <f>IF($P188="","",IF(ISNUMBER(INDEX(상세표[블록종료],$P188)),TEXT(INDEX(상세표[블록종료],$P188),"yyyy-mm-dd hh:mm"),INDEX(상세표[블록종료],$P188)&amp;""))</f>
        <v/>
      </c>
      <c r="G188">
        <f>IF($P188="","",CHOOSE(WEEKDAY(INDEX(상세표[시작],$P188)),"일","월","화","수","목","금","토"))</f>
        <v/>
      </c>
      <c r="H188">
        <f>IF($P188="","",INDEX(상세표[연속 시간],$P188))</f>
        <v/>
      </c>
      <c r="I188">
        <f>IF($P188="","",INDEX(상세표[기록 수],$P188))</f>
        <v/>
      </c>
      <c r="J188">
        <f>IF($P188="","",INDEX(상세표[블록 06~07시],$P188))</f>
        <v/>
      </c>
      <c r="K188">
        <f>IF($P188="","",INDEX(상세표[블록 07~18시],$P188))</f>
        <v/>
      </c>
      <c r="L188">
        <f>IF($P188="","",INDEX(상세표[블록 18~22시],$P188))</f>
        <v/>
      </c>
      <c r="M188">
        <f>IF($P188="","",INDEX(상세표[블록 22~06시],$P188))</f>
        <v/>
      </c>
      <c r="N188">
        <f>IF($P188="","",INDEX(상세표[주말·휴일 포함],$P188)&amp;"")</f>
        <v/>
      </c>
      <c r="O188">
        <f>IF($P188="","",INDEX(상세표[월 넘김 포함],$P188)&amp;"")</f>
        <v/>
      </c>
      <c r="P188" s="4">
        <f>IFERROR(MATCH(183,상세표[연속순번],0),"")</f>
        <v/>
      </c>
    </row>
    <row r="189">
      <c r="A189">
        <f>IF($P189="","",INDEX(상세표[사번],$P189)&amp;"")</f>
        <v/>
      </c>
      <c r="B189">
        <f>IF($P189="","",INDEX(상세표[성명],$P189)&amp;"")</f>
        <v/>
      </c>
      <c r="C189">
        <f>IF($P189="","",INDEX(상세표[부서],$P189)&amp;"")</f>
        <v/>
      </c>
      <c r="D189">
        <f>IF($P189="","",INDEX(상세표[직위],$P189)&amp;"")</f>
        <v/>
      </c>
      <c r="E189">
        <f>IF($P189="","",IF(ISNUMBER(INDEX(상세표[시작],$P189)),TEXT(INDEX(상세표[시작],$P189),"yyyy-mm-dd hh:mm"),INDEX(상세표[시작],$P189)&amp;""))</f>
        <v/>
      </c>
      <c r="F189">
        <f>IF($P189="","",IF(ISNUMBER(INDEX(상세표[블록종료],$P189)),TEXT(INDEX(상세표[블록종료],$P189),"yyyy-mm-dd hh:mm"),INDEX(상세표[블록종료],$P189)&amp;""))</f>
        <v/>
      </c>
      <c r="G189">
        <f>IF($P189="","",CHOOSE(WEEKDAY(INDEX(상세표[시작],$P189)),"일","월","화","수","목","금","토"))</f>
        <v/>
      </c>
      <c r="H189">
        <f>IF($P189="","",INDEX(상세표[연속 시간],$P189))</f>
        <v/>
      </c>
      <c r="I189">
        <f>IF($P189="","",INDEX(상세표[기록 수],$P189))</f>
        <v/>
      </c>
      <c r="J189">
        <f>IF($P189="","",INDEX(상세표[블록 06~07시],$P189))</f>
        <v/>
      </c>
      <c r="K189">
        <f>IF($P189="","",INDEX(상세표[블록 07~18시],$P189))</f>
        <v/>
      </c>
      <c r="L189">
        <f>IF($P189="","",INDEX(상세표[블록 18~22시],$P189))</f>
        <v/>
      </c>
      <c r="M189">
        <f>IF($P189="","",INDEX(상세표[블록 22~06시],$P189))</f>
        <v/>
      </c>
      <c r="N189">
        <f>IF($P189="","",INDEX(상세표[주말·휴일 포함],$P189)&amp;"")</f>
        <v/>
      </c>
      <c r="O189">
        <f>IF($P189="","",INDEX(상세표[월 넘김 포함],$P189)&amp;"")</f>
        <v/>
      </c>
      <c r="P189" s="4">
        <f>IFERROR(MATCH(184,상세표[연속순번],0),"")</f>
        <v/>
      </c>
    </row>
    <row r="190">
      <c r="A190">
        <f>IF($P190="","",INDEX(상세표[사번],$P190)&amp;"")</f>
        <v/>
      </c>
      <c r="B190">
        <f>IF($P190="","",INDEX(상세표[성명],$P190)&amp;"")</f>
        <v/>
      </c>
      <c r="C190">
        <f>IF($P190="","",INDEX(상세표[부서],$P190)&amp;"")</f>
        <v/>
      </c>
      <c r="D190">
        <f>IF($P190="","",INDEX(상세표[직위],$P190)&amp;"")</f>
        <v/>
      </c>
      <c r="E190">
        <f>IF($P190="","",IF(ISNUMBER(INDEX(상세표[시작],$P190)),TEXT(INDEX(상세표[시작],$P190),"yyyy-mm-dd hh:mm"),INDEX(상세표[시작],$P190)&amp;""))</f>
        <v/>
      </c>
      <c r="F190">
        <f>IF($P190="","",IF(ISNUMBER(INDEX(상세표[블록종료],$P190)),TEXT(INDEX(상세표[블록종료],$P190),"yyyy-mm-dd hh:mm"),INDEX(상세표[블록종료],$P190)&amp;""))</f>
        <v/>
      </c>
      <c r="G190">
        <f>IF($P190="","",CHOOSE(WEEKDAY(INDEX(상세표[시작],$P190)),"일","월","화","수","목","금","토"))</f>
        <v/>
      </c>
      <c r="H190">
        <f>IF($P190="","",INDEX(상세표[연속 시간],$P190))</f>
        <v/>
      </c>
      <c r="I190">
        <f>IF($P190="","",INDEX(상세표[기록 수],$P190))</f>
        <v/>
      </c>
      <c r="J190">
        <f>IF($P190="","",INDEX(상세표[블록 06~07시],$P190))</f>
        <v/>
      </c>
      <c r="K190">
        <f>IF($P190="","",INDEX(상세표[블록 07~18시],$P190))</f>
        <v/>
      </c>
      <c r="L190">
        <f>IF($P190="","",INDEX(상세표[블록 18~22시],$P190))</f>
        <v/>
      </c>
      <c r="M190">
        <f>IF($P190="","",INDEX(상세표[블록 22~06시],$P190))</f>
        <v/>
      </c>
      <c r="N190">
        <f>IF($P190="","",INDEX(상세표[주말·휴일 포함],$P190)&amp;"")</f>
        <v/>
      </c>
      <c r="O190">
        <f>IF($P190="","",INDEX(상세표[월 넘김 포함],$P190)&amp;"")</f>
        <v/>
      </c>
      <c r="P190" s="4">
        <f>IFERROR(MATCH(185,상세표[연속순번],0),"")</f>
        <v/>
      </c>
    </row>
    <row r="191">
      <c r="A191">
        <f>IF($P191="","",INDEX(상세표[사번],$P191)&amp;"")</f>
        <v/>
      </c>
      <c r="B191">
        <f>IF($P191="","",INDEX(상세표[성명],$P191)&amp;"")</f>
        <v/>
      </c>
      <c r="C191">
        <f>IF($P191="","",INDEX(상세표[부서],$P191)&amp;"")</f>
        <v/>
      </c>
      <c r="D191">
        <f>IF($P191="","",INDEX(상세표[직위],$P191)&amp;"")</f>
        <v/>
      </c>
      <c r="E191">
        <f>IF($P191="","",IF(ISNUMBER(INDEX(상세표[시작],$P191)),TEXT(INDEX(상세표[시작],$P191),"yyyy-mm-dd hh:mm"),INDEX(상세표[시작],$P191)&amp;""))</f>
        <v/>
      </c>
      <c r="F191">
        <f>IF($P191="","",IF(ISNUMBER(INDEX(상세표[블록종료],$P191)),TEXT(INDEX(상세표[블록종료],$P191),"yyyy-mm-dd hh:mm"),INDEX(상세표[블록종료],$P191)&amp;""))</f>
        <v/>
      </c>
      <c r="G191">
        <f>IF($P191="","",CHOOSE(WEEKDAY(INDEX(상세표[시작],$P191)),"일","월","화","수","목","금","토"))</f>
        <v/>
      </c>
      <c r="H191">
        <f>IF($P191="","",INDEX(상세표[연속 시간],$P191))</f>
        <v/>
      </c>
      <c r="I191">
        <f>IF($P191="","",INDEX(상세표[기록 수],$P191))</f>
        <v/>
      </c>
      <c r="J191">
        <f>IF($P191="","",INDEX(상세표[블록 06~07시],$P191))</f>
        <v/>
      </c>
      <c r="K191">
        <f>IF($P191="","",INDEX(상세표[블록 07~18시],$P191))</f>
        <v/>
      </c>
      <c r="L191">
        <f>IF($P191="","",INDEX(상세표[블록 18~22시],$P191))</f>
        <v/>
      </c>
      <c r="M191">
        <f>IF($P191="","",INDEX(상세표[블록 22~06시],$P191))</f>
        <v/>
      </c>
      <c r="N191">
        <f>IF($P191="","",INDEX(상세표[주말·휴일 포함],$P191)&amp;"")</f>
        <v/>
      </c>
      <c r="O191">
        <f>IF($P191="","",INDEX(상세표[월 넘김 포함],$P191)&amp;"")</f>
        <v/>
      </c>
      <c r="P191" s="4">
        <f>IFERROR(MATCH(186,상세표[연속순번],0),"")</f>
        <v/>
      </c>
    </row>
    <row r="192">
      <c r="A192">
        <f>IF($P192="","",INDEX(상세표[사번],$P192)&amp;"")</f>
        <v/>
      </c>
      <c r="B192">
        <f>IF($P192="","",INDEX(상세표[성명],$P192)&amp;"")</f>
        <v/>
      </c>
      <c r="C192">
        <f>IF($P192="","",INDEX(상세표[부서],$P192)&amp;"")</f>
        <v/>
      </c>
      <c r="D192">
        <f>IF($P192="","",INDEX(상세표[직위],$P192)&amp;"")</f>
        <v/>
      </c>
      <c r="E192">
        <f>IF($P192="","",IF(ISNUMBER(INDEX(상세표[시작],$P192)),TEXT(INDEX(상세표[시작],$P192),"yyyy-mm-dd hh:mm"),INDEX(상세표[시작],$P192)&amp;""))</f>
        <v/>
      </c>
      <c r="F192">
        <f>IF($P192="","",IF(ISNUMBER(INDEX(상세표[블록종료],$P192)),TEXT(INDEX(상세표[블록종료],$P192),"yyyy-mm-dd hh:mm"),INDEX(상세표[블록종료],$P192)&amp;""))</f>
        <v/>
      </c>
      <c r="G192">
        <f>IF($P192="","",CHOOSE(WEEKDAY(INDEX(상세표[시작],$P192)),"일","월","화","수","목","금","토"))</f>
        <v/>
      </c>
      <c r="H192">
        <f>IF($P192="","",INDEX(상세표[연속 시간],$P192))</f>
        <v/>
      </c>
      <c r="I192">
        <f>IF($P192="","",INDEX(상세표[기록 수],$P192))</f>
        <v/>
      </c>
      <c r="J192">
        <f>IF($P192="","",INDEX(상세표[블록 06~07시],$P192))</f>
        <v/>
      </c>
      <c r="K192">
        <f>IF($P192="","",INDEX(상세표[블록 07~18시],$P192))</f>
        <v/>
      </c>
      <c r="L192">
        <f>IF($P192="","",INDEX(상세표[블록 18~22시],$P192))</f>
        <v/>
      </c>
      <c r="M192">
        <f>IF($P192="","",INDEX(상세표[블록 22~06시],$P192))</f>
        <v/>
      </c>
      <c r="N192">
        <f>IF($P192="","",INDEX(상세표[주말·휴일 포함],$P192)&amp;"")</f>
        <v/>
      </c>
      <c r="O192">
        <f>IF($P192="","",INDEX(상세표[월 넘김 포함],$P192)&amp;"")</f>
        <v/>
      </c>
      <c r="P192" s="4">
        <f>IFERROR(MATCH(187,상세표[연속순번],0),"")</f>
        <v/>
      </c>
    </row>
    <row r="193">
      <c r="A193">
        <f>IF($P193="","",INDEX(상세표[사번],$P193)&amp;"")</f>
        <v/>
      </c>
      <c r="B193">
        <f>IF($P193="","",INDEX(상세표[성명],$P193)&amp;"")</f>
        <v/>
      </c>
      <c r="C193">
        <f>IF($P193="","",INDEX(상세표[부서],$P193)&amp;"")</f>
        <v/>
      </c>
      <c r="D193">
        <f>IF($P193="","",INDEX(상세표[직위],$P193)&amp;"")</f>
        <v/>
      </c>
      <c r="E193">
        <f>IF($P193="","",IF(ISNUMBER(INDEX(상세표[시작],$P193)),TEXT(INDEX(상세표[시작],$P193),"yyyy-mm-dd hh:mm"),INDEX(상세표[시작],$P193)&amp;""))</f>
        <v/>
      </c>
      <c r="F193">
        <f>IF($P193="","",IF(ISNUMBER(INDEX(상세표[블록종료],$P193)),TEXT(INDEX(상세표[블록종료],$P193),"yyyy-mm-dd hh:mm"),INDEX(상세표[블록종료],$P193)&amp;""))</f>
        <v/>
      </c>
      <c r="G193">
        <f>IF($P193="","",CHOOSE(WEEKDAY(INDEX(상세표[시작],$P193)),"일","월","화","수","목","금","토"))</f>
        <v/>
      </c>
      <c r="H193">
        <f>IF($P193="","",INDEX(상세표[연속 시간],$P193))</f>
        <v/>
      </c>
      <c r="I193">
        <f>IF($P193="","",INDEX(상세표[기록 수],$P193))</f>
        <v/>
      </c>
      <c r="J193">
        <f>IF($P193="","",INDEX(상세표[블록 06~07시],$P193))</f>
        <v/>
      </c>
      <c r="K193">
        <f>IF($P193="","",INDEX(상세표[블록 07~18시],$P193))</f>
        <v/>
      </c>
      <c r="L193">
        <f>IF($P193="","",INDEX(상세표[블록 18~22시],$P193))</f>
        <v/>
      </c>
      <c r="M193">
        <f>IF($P193="","",INDEX(상세표[블록 22~06시],$P193))</f>
        <v/>
      </c>
      <c r="N193">
        <f>IF($P193="","",INDEX(상세표[주말·휴일 포함],$P193)&amp;"")</f>
        <v/>
      </c>
      <c r="O193">
        <f>IF($P193="","",INDEX(상세표[월 넘김 포함],$P193)&amp;"")</f>
        <v/>
      </c>
      <c r="P193" s="4">
        <f>IFERROR(MATCH(188,상세표[연속순번],0),"")</f>
        <v/>
      </c>
    </row>
    <row r="194">
      <c r="A194">
        <f>IF($P194="","",INDEX(상세표[사번],$P194)&amp;"")</f>
        <v/>
      </c>
      <c r="B194">
        <f>IF($P194="","",INDEX(상세표[성명],$P194)&amp;"")</f>
        <v/>
      </c>
      <c r="C194">
        <f>IF($P194="","",INDEX(상세표[부서],$P194)&amp;"")</f>
        <v/>
      </c>
      <c r="D194">
        <f>IF($P194="","",INDEX(상세표[직위],$P194)&amp;"")</f>
        <v/>
      </c>
      <c r="E194">
        <f>IF($P194="","",IF(ISNUMBER(INDEX(상세표[시작],$P194)),TEXT(INDEX(상세표[시작],$P194),"yyyy-mm-dd hh:mm"),INDEX(상세표[시작],$P194)&amp;""))</f>
        <v/>
      </c>
      <c r="F194">
        <f>IF($P194="","",IF(ISNUMBER(INDEX(상세표[블록종료],$P194)),TEXT(INDEX(상세표[블록종료],$P194),"yyyy-mm-dd hh:mm"),INDEX(상세표[블록종료],$P194)&amp;""))</f>
        <v/>
      </c>
      <c r="G194">
        <f>IF($P194="","",CHOOSE(WEEKDAY(INDEX(상세표[시작],$P194)),"일","월","화","수","목","금","토"))</f>
        <v/>
      </c>
      <c r="H194">
        <f>IF($P194="","",INDEX(상세표[연속 시간],$P194))</f>
        <v/>
      </c>
      <c r="I194">
        <f>IF($P194="","",INDEX(상세표[기록 수],$P194))</f>
        <v/>
      </c>
      <c r="J194">
        <f>IF($P194="","",INDEX(상세표[블록 06~07시],$P194))</f>
        <v/>
      </c>
      <c r="K194">
        <f>IF($P194="","",INDEX(상세표[블록 07~18시],$P194))</f>
        <v/>
      </c>
      <c r="L194">
        <f>IF($P194="","",INDEX(상세표[블록 18~22시],$P194))</f>
        <v/>
      </c>
      <c r="M194">
        <f>IF($P194="","",INDEX(상세표[블록 22~06시],$P194))</f>
        <v/>
      </c>
      <c r="N194">
        <f>IF($P194="","",INDEX(상세표[주말·휴일 포함],$P194)&amp;"")</f>
        <v/>
      </c>
      <c r="O194">
        <f>IF($P194="","",INDEX(상세표[월 넘김 포함],$P194)&amp;"")</f>
        <v/>
      </c>
      <c r="P194" s="4">
        <f>IFERROR(MATCH(189,상세표[연속순번],0),"")</f>
        <v/>
      </c>
    </row>
    <row r="195">
      <c r="A195">
        <f>IF($P195="","",INDEX(상세표[사번],$P195)&amp;"")</f>
        <v/>
      </c>
      <c r="B195">
        <f>IF($P195="","",INDEX(상세표[성명],$P195)&amp;"")</f>
        <v/>
      </c>
      <c r="C195">
        <f>IF($P195="","",INDEX(상세표[부서],$P195)&amp;"")</f>
        <v/>
      </c>
      <c r="D195">
        <f>IF($P195="","",INDEX(상세표[직위],$P195)&amp;"")</f>
        <v/>
      </c>
      <c r="E195">
        <f>IF($P195="","",IF(ISNUMBER(INDEX(상세표[시작],$P195)),TEXT(INDEX(상세표[시작],$P195),"yyyy-mm-dd hh:mm"),INDEX(상세표[시작],$P195)&amp;""))</f>
        <v/>
      </c>
      <c r="F195">
        <f>IF($P195="","",IF(ISNUMBER(INDEX(상세표[블록종료],$P195)),TEXT(INDEX(상세표[블록종료],$P195),"yyyy-mm-dd hh:mm"),INDEX(상세표[블록종료],$P195)&amp;""))</f>
        <v/>
      </c>
      <c r="G195">
        <f>IF($P195="","",CHOOSE(WEEKDAY(INDEX(상세표[시작],$P195)),"일","월","화","수","목","금","토"))</f>
        <v/>
      </c>
      <c r="H195">
        <f>IF($P195="","",INDEX(상세표[연속 시간],$P195))</f>
        <v/>
      </c>
      <c r="I195">
        <f>IF($P195="","",INDEX(상세표[기록 수],$P195))</f>
        <v/>
      </c>
      <c r="J195">
        <f>IF($P195="","",INDEX(상세표[블록 06~07시],$P195))</f>
        <v/>
      </c>
      <c r="K195">
        <f>IF($P195="","",INDEX(상세표[블록 07~18시],$P195))</f>
        <v/>
      </c>
      <c r="L195">
        <f>IF($P195="","",INDEX(상세표[블록 18~22시],$P195))</f>
        <v/>
      </c>
      <c r="M195">
        <f>IF($P195="","",INDEX(상세표[블록 22~06시],$P195))</f>
        <v/>
      </c>
      <c r="N195">
        <f>IF($P195="","",INDEX(상세표[주말·휴일 포함],$P195)&amp;"")</f>
        <v/>
      </c>
      <c r="O195">
        <f>IF($P195="","",INDEX(상세표[월 넘김 포함],$P195)&amp;"")</f>
        <v/>
      </c>
      <c r="P195" s="4">
        <f>IFERROR(MATCH(190,상세표[연속순번],0),"")</f>
        <v/>
      </c>
    </row>
    <row r="196">
      <c r="A196">
        <f>IF($P196="","",INDEX(상세표[사번],$P196)&amp;"")</f>
        <v/>
      </c>
      <c r="B196">
        <f>IF($P196="","",INDEX(상세표[성명],$P196)&amp;"")</f>
        <v/>
      </c>
      <c r="C196">
        <f>IF($P196="","",INDEX(상세표[부서],$P196)&amp;"")</f>
        <v/>
      </c>
      <c r="D196">
        <f>IF($P196="","",INDEX(상세표[직위],$P196)&amp;"")</f>
        <v/>
      </c>
      <c r="E196">
        <f>IF($P196="","",IF(ISNUMBER(INDEX(상세표[시작],$P196)),TEXT(INDEX(상세표[시작],$P196),"yyyy-mm-dd hh:mm"),INDEX(상세표[시작],$P196)&amp;""))</f>
        <v/>
      </c>
      <c r="F196">
        <f>IF($P196="","",IF(ISNUMBER(INDEX(상세표[블록종료],$P196)),TEXT(INDEX(상세표[블록종료],$P196),"yyyy-mm-dd hh:mm"),INDEX(상세표[블록종료],$P196)&amp;""))</f>
        <v/>
      </c>
      <c r="G196">
        <f>IF($P196="","",CHOOSE(WEEKDAY(INDEX(상세표[시작],$P196)),"일","월","화","수","목","금","토"))</f>
        <v/>
      </c>
      <c r="H196">
        <f>IF($P196="","",INDEX(상세표[연속 시간],$P196))</f>
        <v/>
      </c>
      <c r="I196">
        <f>IF($P196="","",INDEX(상세표[기록 수],$P196))</f>
        <v/>
      </c>
      <c r="J196">
        <f>IF($P196="","",INDEX(상세표[블록 06~07시],$P196))</f>
        <v/>
      </c>
      <c r="K196">
        <f>IF($P196="","",INDEX(상세표[블록 07~18시],$P196))</f>
        <v/>
      </c>
      <c r="L196">
        <f>IF($P196="","",INDEX(상세표[블록 18~22시],$P196))</f>
        <v/>
      </c>
      <c r="M196">
        <f>IF($P196="","",INDEX(상세표[블록 22~06시],$P196))</f>
        <v/>
      </c>
      <c r="N196">
        <f>IF($P196="","",INDEX(상세표[주말·휴일 포함],$P196)&amp;"")</f>
        <v/>
      </c>
      <c r="O196">
        <f>IF($P196="","",INDEX(상세표[월 넘김 포함],$P196)&amp;"")</f>
        <v/>
      </c>
      <c r="P196" s="4">
        <f>IFERROR(MATCH(191,상세표[연속순번],0),"")</f>
        <v/>
      </c>
    </row>
    <row r="197">
      <c r="A197">
        <f>IF($P197="","",INDEX(상세표[사번],$P197)&amp;"")</f>
        <v/>
      </c>
      <c r="B197">
        <f>IF($P197="","",INDEX(상세표[성명],$P197)&amp;"")</f>
        <v/>
      </c>
      <c r="C197">
        <f>IF($P197="","",INDEX(상세표[부서],$P197)&amp;"")</f>
        <v/>
      </c>
      <c r="D197">
        <f>IF($P197="","",INDEX(상세표[직위],$P197)&amp;"")</f>
        <v/>
      </c>
      <c r="E197">
        <f>IF($P197="","",IF(ISNUMBER(INDEX(상세표[시작],$P197)),TEXT(INDEX(상세표[시작],$P197),"yyyy-mm-dd hh:mm"),INDEX(상세표[시작],$P197)&amp;""))</f>
        <v/>
      </c>
      <c r="F197">
        <f>IF($P197="","",IF(ISNUMBER(INDEX(상세표[블록종료],$P197)),TEXT(INDEX(상세표[블록종료],$P197),"yyyy-mm-dd hh:mm"),INDEX(상세표[블록종료],$P197)&amp;""))</f>
        <v/>
      </c>
      <c r="G197">
        <f>IF($P197="","",CHOOSE(WEEKDAY(INDEX(상세표[시작],$P197)),"일","월","화","수","목","금","토"))</f>
        <v/>
      </c>
      <c r="H197">
        <f>IF($P197="","",INDEX(상세표[연속 시간],$P197))</f>
        <v/>
      </c>
      <c r="I197">
        <f>IF($P197="","",INDEX(상세표[기록 수],$P197))</f>
        <v/>
      </c>
      <c r="J197">
        <f>IF($P197="","",INDEX(상세표[블록 06~07시],$P197))</f>
        <v/>
      </c>
      <c r="K197">
        <f>IF($P197="","",INDEX(상세표[블록 07~18시],$P197))</f>
        <v/>
      </c>
      <c r="L197">
        <f>IF($P197="","",INDEX(상세표[블록 18~22시],$P197))</f>
        <v/>
      </c>
      <c r="M197">
        <f>IF($P197="","",INDEX(상세표[블록 22~06시],$P197))</f>
        <v/>
      </c>
      <c r="N197">
        <f>IF($P197="","",INDEX(상세표[주말·휴일 포함],$P197)&amp;"")</f>
        <v/>
      </c>
      <c r="O197">
        <f>IF($P197="","",INDEX(상세표[월 넘김 포함],$P197)&amp;"")</f>
        <v/>
      </c>
      <c r="P197" s="4">
        <f>IFERROR(MATCH(192,상세표[연속순번],0),"")</f>
        <v/>
      </c>
    </row>
    <row r="198">
      <c r="A198">
        <f>IF($P198="","",INDEX(상세표[사번],$P198)&amp;"")</f>
        <v/>
      </c>
      <c r="B198">
        <f>IF($P198="","",INDEX(상세표[성명],$P198)&amp;"")</f>
        <v/>
      </c>
      <c r="C198">
        <f>IF($P198="","",INDEX(상세표[부서],$P198)&amp;"")</f>
        <v/>
      </c>
      <c r="D198">
        <f>IF($P198="","",INDEX(상세표[직위],$P198)&amp;"")</f>
        <v/>
      </c>
      <c r="E198">
        <f>IF($P198="","",IF(ISNUMBER(INDEX(상세표[시작],$P198)),TEXT(INDEX(상세표[시작],$P198),"yyyy-mm-dd hh:mm"),INDEX(상세표[시작],$P198)&amp;""))</f>
        <v/>
      </c>
      <c r="F198">
        <f>IF($P198="","",IF(ISNUMBER(INDEX(상세표[블록종료],$P198)),TEXT(INDEX(상세표[블록종료],$P198),"yyyy-mm-dd hh:mm"),INDEX(상세표[블록종료],$P198)&amp;""))</f>
        <v/>
      </c>
      <c r="G198">
        <f>IF($P198="","",CHOOSE(WEEKDAY(INDEX(상세표[시작],$P198)),"일","월","화","수","목","금","토"))</f>
        <v/>
      </c>
      <c r="H198">
        <f>IF($P198="","",INDEX(상세표[연속 시간],$P198))</f>
        <v/>
      </c>
      <c r="I198">
        <f>IF($P198="","",INDEX(상세표[기록 수],$P198))</f>
        <v/>
      </c>
      <c r="J198">
        <f>IF($P198="","",INDEX(상세표[블록 06~07시],$P198))</f>
        <v/>
      </c>
      <c r="K198">
        <f>IF($P198="","",INDEX(상세표[블록 07~18시],$P198))</f>
        <v/>
      </c>
      <c r="L198">
        <f>IF($P198="","",INDEX(상세표[블록 18~22시],$P198))</f>
        <v/>
      </c>
      <c r="M198">
        <f>IF($P198="","",INDEX(상세표[블록 22~06시],$P198))</f>
        <v/>
      </c>
      <c r="N198">
        <f>IF($P198="","",INDEX(상세표[주말·휴일 포함],$P198)&amp;"")</f>
        <v/>
      </c>
      <c r="O198">
        <f>IF($P198="","",INDEX(상세표[월 넘김 포함],$P198)&amp;"")</f>
        <v/>
      </c>
      <c r="P198" s="4">
        <f>IFERROR(MATCH(193,상세표[연속순번],0),"")</f>
        <v/>
      </c>
    </row>
    <row r="199">
      <c r="A199">
        <f>IF($P199="","",INDEX(상세표[사번],$P199)&amp;"")</f>
        <v/>
      </c>
      <c r="B199">
        <f>IF($P199="","",INDEX(상세표[성명],$P199)&amp;"")</f>
        <v/>
      </c>
      <c r="C199">
        <f>IF($P199="","",INDEX(상세표[부서],$P199)&amp;"")</f>
        <v/>
      </c>
      <c r="D199">
        <f>IF($P199="","",INDEX(상세표[직위],$P199)&amp;"")</f>
        <v/>
      </c>
      <c r="E199">
        <f>IF($P199="","",IF(ISNUMBER(INDEX(상세표[시작],$P199)),TEXT(INDEX(상세표[시작],$P199),"yyyy-mm-dd hh:mm"),INDEX(상세표[시작],$P199)&amp;""))</f>
        <v/>
      </c>
      <c r="F199">
        <f>IF($P199="","",IF(ISNUMBER(INDEX(상세표[블록종료],$P199)),TEXT(INDEX(상세표[블록종료],$P199),"yyyy-mm-dd hh:mm"),INDEX(상세표[블록종료],$P199)&amp;""))</f>
        <v/>
      </c>
      <c r="G199">
        <f>IF($P199="","",CHOOSE(WEEKDAY(INDEX(상세표[시작],$P199)),"일","월","화","수","목","금","토"))</f>
        <v/>
      </c>
      <c r="H199">
        <f>IF($P199="","",INDEX(상세표[연속 시간],$P199))</f>
        <v/>
      </c>
      <c r="I199">
        <f>IF($P199="","",INDEX(상세표[기록 수],$P199))</f>
        <v/>
      </c>
      <c r="J199">
        <f>IF($P199="","",INDEX(상세표[블록 06~07시],$P199))</f>
        <v/>
      </c>
      <c r="K199">
        <f>IF($P199="","",INDEX(상세표[블록 07~18시],$P199))</f>
        <v/>
      </c>
      <c r="L199">
        <f>IF($P199="","",INDEX(상세표[블록 18~22시],$P199))</f>
        <v/>
      </c>
      <c r="M199">
        <f>IF($P199="","",INDEX(상세표[블록 22~06시],$P199))</f>
        <v/>
      </c>
      <c r="N199">
        <f>IF($P199="","",INDEX(상세표[주말·휴일 포함],$P199)&amp;"")</f>
        <v/>
      </c>
      <c r="O199">
        <f>IF($P199="","",INDEX(상세표[월 넘김 포함],$P199)&amp;"")</f>
        <v/>
      </c>
      <c r="P199" s="4">
        <f>IFERROR(MATCH(194,상세표[연속순번],0),"")</f>
        <v/>
      </c>
    </row>
    <row r="200">
      <c r="A200">
        <f>IF($P200="","",INDEX(상세표[사번],$P200)&amp;"")</f>
        <v/>
      </c>
      <c r="B200">
        <f>IF($P200="","",INDEX(상세표[성명],$P200)&amp;"")</f>
        <v/>
      </c>
      <c r="C200">
        <f>IF($P200="","",INDEX(상세표[부서],$P200)&amp;"")</f>
        <v/>
      </c>
      <c r="D200">
        <f>IF($P200="","",INDEX(상세표[직위],$P200)&amp;"")</f>
        <v/>
      </c>
      <c r="E200">
        <f>IF($P200="","",IF(ISNUMBER(INDEX(상세표[시작],$P200)),TEXT(INDEX(상세표[시작],$P200),"yyyy-mm-dd hh:mm"),INDEX(상세표[시작],$P200)&amp;""))</f>
        <v/>
      </c>
      <c r="F200">
        <f>IF($P200="","",IF(ISNUMBER(INDEX(상세표[블록종료],$P200)),TEXT(INDEX(상세표[블록종료],$P200),"yyyy-mm-dd hh:mm"),INDEX(상세표[블록종료],$P200)&amp;""))</f>
        <v/>
      </c>
      <c r="G200">
        <f>IF($P200="","",CHOOSE(WEEKDAY(INDEX(상세표[시작],$P200)),"일","월","화","수","목","금","토"))</f>
        <v/>
      </c>
      <c r="H200">
        <f>IF($P200="","",INDEX(상세표[연속 시간],$P200))</f>
        <v/>
      </c>
      <c r="I200">
        <f>IF($P200="","",INDEX(상세표[기록 수],$P200))</f>
        <v/>
      </c>
      <c r="J200">
        <f>IF($P200="","",INDEX(상세표[블록 06~07시],$P200))</f>
        <v/>
      </c>
      <c r="K200">
        <f>IF($P200="","",INDEX(상세표[블록 07~18시],$P200))</f>
        <v/>
      </c>
      <c r="L200">
        <f>IF($P200="","",INDEX(상세표[블록 18~22시],$P200))</f>
        <v/>
      </c>
      <c r="M200">
        <f>IF($P200="","",INDEX(상세표[블록 22~06시],$P200))</f>
        <v/>
      </c>
      <c r="N200">
        <f>IF($P200="","",INDEX(상세표[주말·휴일 포함],$P200)&amp;"")</f>
        <v/>
      </c>
      <c r="O200">
        <f>IF($P200="","",INDEX(상세표[월 넘김 포함],$P200)&amp;"")</f>
        <v/>
      </c>
      <c r="P200" s="4">
        <f>IFERROR(MATCH(195,상세표[연속순번],0),"")</f>
        <v/>
      </c>
    </row>
    <row r="201">
      <c r="A201">
        <f>IF($P201="","",INDEX(상세표[사번],$P201)&amp;"")</f>
        <v/>
      </c>
      <c r="B201">
        <f>IF($P201="","",INDEX(상세표[성명],$P201)&amp;"")</f>
        <v/>
      </c>
      <c r="C201">
        <f>IF($P201="","",INDEX(상세표[부서],$P201)&amp;"")</f>
        <v/>
      </c>
      <c r="D201">
        <f>IF($P201="","",INDEX(상세표[직위],$P201)&amp;"")</f>
        <v/>
      </c>
      <c r="E201">
        <f>IF($P201="","",IF(ISNUMBER(INDEX(상세표[시작],$P201)),TEXT(INDEX(상세표[시작],$P201),"yyyy-mm-dd hh:mm"),INDEX(상세표[시작],$P201)&amp;""))</f>
        <v/>
      </c>
      <c r="F201">
        <f>IF($P201="","",IF(ISNUMBER(INDEX(상세표[블록종료],$P201)),TEXT(INDEX(상세표[블록종료],$P201),"yyyy-mm-dd hh:mm"),INDEX(상세표[블록종료],$P201)&amp;""))</f>
        <v/>
      </c>
      <c r="G201">
        <f>IF($P201="","",CHOOSE(WEEKDAY(INDEX(상세표[시작],$P201)),"일","월","화","수","목","금","토"))</f>
        <v/>
      </c>
      <c r="H201">
        <f>IF($P201="","",INDEX(상세표[연속 시간],$P201))</f>
        <v/>
      </c>
      <c r="I201">
        <f>IF($P201="","",INDEX(상세표[기록 수],$P201))</f>
        <v/>
      </c>
      <c r="J201">
        <f>IF($P201="","",INDEX(상세표[블록 06~07시],$P201))</f>
        <v/>
      </c>
      <c r="K201">
        <f>IF($P201="","",INDEX(상세표[블록 07~18시],$P201))</f>
        <v/>
      </c>
      <c r="L201">
        <f>IF($P201="","",INDEX(상세표[블록 18~22시],$P201))</f>
        <v/>
      </c>
      <c r="M201">
        <f>IF($P201="","",INDEX(상세표[블록 22~06시],$P201))</f>
        <v/>
      </c>
      <c r="N201">
        <f>IF($P201="","",INDEX(상세표[주말·휴일 포함],$P201)&amp;"")</f>
        <v/>
      </c>
      <c r="O201">
        <f>IF($P201="","",INDEX(상세표[월 넘김 포함],$P201)&amp;"")</f>
        <v/>
      </c>
      <c r="P201" s="4">
        <f>IFERROR(MATCH(196,상세표[연속순번],0),"")</f>
        <v/>
      </c>
    </row>
    <row r="202">
      <c r="A202">
        <f>IF($P202="","",INDEX(상세표[사번],$P202)&amp;"")</f>
        <v/>
      </c>
      <c r="B202">
        <f>IF($P202="","",INDEX(상세표[성명],$P202)&amp;"")</f>
        <v/>
      </c>
      <c r="C202">
        <f>IF($P202="","",INDEX(상세표[부서],$P202)&amp;"")</f>
        <v/>
      </c>
      <c r="D202">
        <f>IF($P202="","",INDEX(상세표[직위],$P202)&amp;"")</f>
        <v/>
      </c>
      <c r="E202">
        <f>IF($P202="","",IF(ISNUMBER(INDEX(상세표[시작],$P202)),TEXT(INDEX(상세표[시작],$P202),"yyyy-mm-dd hh:mm"),INDEX(상세표[시작],$P202)&amp;""))</f>
        <v/>
      </c>
      <c r="F202">
        <f>IF($P202="","",IF(ISNUMBER(INDEX(상세표[블록종료],$P202)),TEXT(INDEX(상세표[블록종료],$P202),"yyyy-mm-dd hh:mm"),INDEX(상세표[블록종료],$P202)&amp;""))</f>
        <v/>
      </c>
      <c r="G202">
        <f>IF($P202="","",CHOOSE(WEEKDAY(INDEX(상세표[시작],$P202)),"일","월","화","수","목","금","토"))</f>
        <v/>
      </c>
      <c r="H202">
        <f>IF($P202="","",INDEX(상세표[연속 시간],$P202))</f>
        <v/>
      </c>
      <c r="I202">
        <f>IF($P202="","",INDEX(상세표[기록 수],$P202))</f>
        <v/>
      </c>
      <c r="J202">
        <f>IF($P202="","",INDEX(상세표[블록 06~07시],$P202))</f>
        <v/>
      </c>
      <c r="K202">
        <f>IF($P202="","",INDEX(상세표[블록 07~18시],$P202))</f>
        <v/>
      </c>
      <c r="L202">
        <f>IF($P202="","",INDEX(상세표[블록 18~22시],$P202))</f>
        <v/>
      </c>
      <c r="M202">
        <f>IF($P202="","",INDEX(상세표[블록 22~06시],$P202))</f>
        <v/>
      </c>
      <c r="N202">
        <f>IF($P202="","",INDEX(상세표[주말·휴일 포함],$P202)&amp;"")</f>
        <v/>
      </c>
      <c r="O202">
        <f>IF($P202="","",INDEX(상세표[월 넘김 포함],$P202)&amp;"")</f>
        <v/>
      </c>
      <c r="P202" s="4">
        <f>IFERROR(MATCH(197,상세표[연속순번],0),"")</f>
        <v/>
      </c>
    </row>
    <row r="203">
      <c r="A203">
        <f>IF($P203="","",INDEX(상세표[사번],$P203)&amp;"")</f>
        <v/>
      </c>
      <c r="B203">
        <f>IF($P203="","",INDEX(상세표[성명],$P203)&amp;"")</f>
        <v/>
      </c>
      <c r="C203">
        <f>IF($P203="","",INDEX(상세표[부서],$P203)&amp;"")</f>
        <v/>
      </c>
      <c r="D203">
        <f>IF($P203="","",INDEX(상세표[직위],$P203)&amp;"")</f>
        <v/>
      </c>
      <c r="E203">
        <f>IF($P203="","",IF(ISNUMBER(INDEX(상세표[시작],$P203)),TEXT(INDEX(상세표[시작],$P203),"yyyy-mm-dd hh:mm"),INDEX(상세표[시작],$P203)&amp;""))</f>
        <v/>
      </c>
      <c r="F203">
        <f>IF($P203="","",IF(ISNUMBER(INDEX(상세표[블록종료],$P203)),TEXT(INDEX(상세표[블록종료],$P203),"yyyy-mm-dd hh:mm"),INDEX(상세표[블록종료],$P203)&amp;""))</f>
        <v/>
      </c>
      <c r="G203">
        <f>IF($P203="","",CHOOSE(WEEKDAY(INDEX(상세표[시작],$P203)),"일","월","화","수","목","금","토"))</f>
        <v/>
      </c>
      <c r="H203">
        <f>IF($P203="","",INDEX(상세표[연속 시간],$P203))</f>
        <v/>
      </c>
      <c r="I203">
        <f>IF($P203="","",INDEX(상세표[기록 수],$P203))</f>
        <v/>
      </c>
      <c r="J203">
        <f>IF($P203="","",INDEX(상세표[블록 06~07시],$P203))</f>
        <v/>
      </c>
      <c r="K203">
        <f>IF($P203="","",INDEX(상세표[블록 07~18시],$P203))</f>
        <v/>
      </c>
      <c r="L203">
        <f>IF($P203="","",INDEX(상세표[블록 18~22시],$P203))</f>
        <v/>
      </c>
      <c r="M203">
        <f>IF($P203="","",INDEX(상세표[블록 22~06시],$P203))</f>
        <v/>
      </c>
      <c r="N203">
        <f>IF($P203="","",INDEX(상세표[주말·휴일 포함],$P203)&amp;"")</f>
        <v/>
      </c>
      <c r="O203">
        <f>IF($P203="","",INDEX(상세표[월 넘김 포함],$P203)&amp;"")</f>
        <v/>
      </c>
      <c r="P203" s="4">
        <f>IFERROR(MATCH(198,상세표[연속순번],0),"")</f>
        <v/>
      </c>
    </row>
    <row r="204">
      <c r="A204">
        <f>IF($P204="","",INDEX(상세표[사번],$P204)&amp;"")</f>
        <v/>
      </c>
      <c r="B204">
        <f>IF($P204="","",INDEX(상세표[성명],$P204)&amp;"")</f>
        <v/>
      </c>
      <c r="C204">
        <f>IF($P204="","",INDEX(상세표[부서],$P204)&amp;"")</f>
        <v/>
      </c>
      <c r="D204">
        <f>IF($P204="","",INDEX(상세표[직위],$P204)&amp;"")</f>
        <v/>
      </c>
      <c r="E204">
        <f>IF($P204="","",IF(ISNUMBER(INDEX(상세표[시작],$P204)),TEXT(INDEX(상세표[시작],$P204),"yyyy-mm-dd hh:mm"),INDEX(상세표[시작],$P204)&amp;""))</f>
        <v/>
      </c>
      <c r="F204">
        <f>IF($P204="","",IF(ISNUMBER(INDEX(상세표[블록종료],$P204)),TEXT(INDEX(상세표[블록종료],$P204),"yyyy-mm-dd hh:mm"),INDEX(상세표[블록종료],$P204)&amp;""))</f>
        <v/>
      </c>
      <c r="G204">
        <f>IF($P204="","",CHOOSE(WEEKDAY(INDEX(상세표[시작],$P204)),"일","월","화","수","목","금","토"))</f>
        <v/>
      </c>
      <c r="H204">
        <f>IF($P204="","",INDEX(상세표[연속 시간],$P204))</f>
        <v/>
      </c>
      <c r="I204">
        <f>IF($P204="","",INDEX(상세표[기록 수],$P204))</f>
        <v/>
      </c>
      <c r="J204">
        <f>IF($P204="","",INDEX(상세표[블록 06~07시],$P204))</f>
        <v/>
      </c>
      <c r="K204">
        <f>IF($P204="","",INDEX(상세표[블록 07~18시],$P204))</f>
        <v/>
      </c>
      <c r="L204">
        <f>IF($P204="","",INDEX(상세표[블록 18~22시],$P204))</f>
        <v/>
      </c>
      <c r="M204">
        <f>IF($P204="","",INDEX(상세표[블록 22~06시],$P204))</f>
        <v/>
      </c>
      <c r="N204">
        <f>IF($P204="","",INDEX(상세표[주말·휴일 포함],$P204)&amp;"")</f>
        <v/>
      </c>
      <c r="O204">
        <f>IF($P204="","",INDEX(상세표[월 넘김 포함],$P204)&amp;"")</f>
        <v/>
      </c>
      <c r="P204" s="4">
        <f>IFERROR(MATCH(199,상세표[연속순번],0),"")</f>
        <v/>
      </c>
    </row>
    <row r="205">
      <c r="A205">
        <f>IF($P205="","",INDEX(상세표[사번],$P205)&amp;"")</f>
        <v/>
      </c>
      <c r="B205">
        <f>IF($P205="","",INDEX(상세표[성명],$P205)&amp;"")</f>
        <v/>
      </c>
      <c r="C205">
        <f>IF($P205="","",INDEX(상세표[부서],$P205)&amp;"")</f>
        <v/>
      </c>
      <c r="D205">
        <f>IF($P205="","",INDEX(상세표[직위],$P205)&amp;"")</f>
        <v/>
      </c>
      <c r="E205">
        <f>IF($P205="","",IF(ISNUMBER(INDEX(상세표[시작],$P205)),TEXT(INDEX(상세표[시작],$P205),"yyyy-mm-dd hh:mm"),INDEX(상세표[시작],$P205)&amp;""))</f>
        <v/>
      </c>
      <c r="F205">
        <f>IF($P205="","",IF(ISNUMBER(INDEX(상세표[블록종료],$P205)),TEXT(INDEX(상세표[블록종료],$P205),"yyyy-mm-dd hh:mm"),INDEX(상세표[블록종료],$P205)&amp;""))</f>
        <v/>
      </c>
      <c r="G205">
        <f>IF($P205="","",CHOOSE(WEEKDAY(INDEX(상세표[시작],$P205)),"일","월","화","수","목","금","토"))</f>
        <v/>
      </c>
      <c r="H205">
        <f>IF($P205="","",INDEX(상세표[연속 시간],$P205))</f>
        <v/>
      </c>
      <c r="I205">
        <f>IF($P205="","",INDEX(상세표[기록 수],$P205))</f>
        <v/>
      </c>
      <c r="J205">
        <f>IF($P205="","",INDEX(상세표[블록 06~07시],$P205))</f>
        <v/>
      </c>
      <c r="K205">
        <f>IF($P205="","",INDEX(상세표[블록 07~18시],$P205))</f>
        <v/>
      </c>
      <c r="L205">
        <f>IF($P205="","",INDEX(상세표[블록 18~22시],$P205))</f>
        <v/>
      </c>
      <c r="M205">
        <f>IF($P205="","",INDEX(상세표[블록 22~06시],$P205))</f>
        <v/>
      </c>
      <c r="N205">
        <f>IF($P205="","",INDEX(상세표[주말·휴일 포함],$P205)&amp;"")</f>
        <v/>
      </c>
      <c r="O205">
        <f>IF($P205="","",INDEX(상세표[월 넘김 포함],$P205)&amp;"")</f>
        <v/>
      </c>
      <c r="P205" s="4">
        <f>IFERROR(MATCH(200,상세표[연속순번],0),"")</f>
        <v/>
      </c>
    </row>
    <row r="206">
      <c r="A206">
        <f>IF($P206="","",INDEX(상세표[사번],$P206)&amp;"")</f>
        <v/>
      </c>
      <c r="B206">
        <f>IF($P206="","",INDEX(상세표[성명],$P206)&amp;"")</f>
        <v/>
      </c>
      <c r="C206">
        <f>IF($P206="","",INDEX(상세표[부서],$P206)&amp;"")</f>
        <v/>
      </c>
      <c r="D206">
        <f>IF($P206="","",INDEX(상세표[직위],$P206)&amp;"")</f>
        <v/>
      </c>
      <c r="E206">
        <f>IF($P206="","",IF(ISNUMBER(INDEX(상세표[시작],$P206)),TEXT(INDEX(상세표[시작],$P206),"yyyy-mm-dd hh:mm"),INDEX(상세표[시작],$P206)&amp;""))</f>
        <v/>
      </c>
      <c r="F206">
        <f>IF($P206="","",IF(ISNUMBER(INDEX(상세표[블록종료],$P206)),TEXT(INDEX(상세표[블록종료],$P206),"yyyy-mm-dd hh:mm"),INDEX(상세표[블록종료],$P206)&amp;""))</f>
        <v/>
      </c>
      <c r="G206">
        <f>IF($P206="","",CHOOSE(WEEKDAY(INDEX(상세표[시작],$P206)),"일","월","화","수","목","금","토"))</f>
        <v/>
      </c>
      <c r="H206">
        <f>IF($P206="","",INDEX(상세표[연속 시간],$P206))</f>
        <v/>
      </c>
      <c r="I206">
        <f>IF($P206="","",INDEX(상세표[기록 수],$P206))</f>
        <v/>
      </c>
      <c r="J206">
        <f>IF($P206="","",INDEX(상세표[블록 06~07시],$P206))</f>
        <v/>
      </c>
      <c r="K206">
        <f>IF($P206="","",INDEX(상세표[블록 07~18시],$P206))</f>
        <v/>
      </c>
      <c r="L206">
        <f>IF($P206="","",INDEX(상세표[블록 18~22시],$P206))</f>
        <v/>
      </c>
      <c r="M206">
        <f>IF($P206="","",INDEX(상세표[블록 22~06시],$P206))</f>
        <v/>
      </c>
      <c r="N206">
        <f>IF($P206="","",INDEX(상세표[주말·휴일 포함],$P206)&amp;"")</f>
        <v/>
      </c>
      <c r="O206">
        <f>IF($P206="","",INDEX(상세표[월 넘김 포함],$P206)&amp;"")</f>
        <v/>
      </c>
      <c r="P206" s="4">
        <f>IFERROR(MATCH(201,상세표[연속순번],0),"")</f>
        <v/>
      </c>
    </row>
    <row r="207">
      <c r="A207">
        <f>IF($P207="","",INDEX(상세표[사번],$P207)&amp;"")</f>
        <v/>
      </c>
      <c r="B207">
        <f>IF($P207="","",INDEX(상세표[성명],$P207)&amp;"")</f>
        <v/>
      </c>
      <c r="C207">
        <f>IF($P207="","",INDEX(상세표[부서],$P207)&amp;"")</f>
        <v/>
      </c>
      <c r="D207">
        <f>IF($P207="","",INDEX(상세표[직위],$P207)&amp;"")</f>
        <v/>
      </c>
      <c r="E207">
        <f>IF($P207="","",IF(ISNUMBER(INDEX(상세표[시작],$P207)),TEXT(INDEX(상세표[시작],$P207),"yyyy-mm-dd hh:mm"),INDEX(상세표[시작],$P207)&amp;""))</f>
        <v/>
      </c>
      <c r="F207">
        <f>IF($P207="","",IF(ISNUMBER(INDEX(상세표[블록종료],$P207)),TEXT(INDEX(상세표[블록종료],$P207),"yyyy-mm-dd hh:mm"),INDEX(상세표[블록종료],$P207)&amp;""))</f>
        <v/>
      </c>
      <c r="G207">
        <f>IF($P207="","",CHOOSE(WEEKDAY(INDEX(상세표[시작],$P207)),"일","월","화","수","목","금","토"))</f>
        <v/>
      </c>
      <c r="H207">
        <f>IF($P207="","",INDEX(상세표[연속 시간],$P207))</f>
        <v/>
      </c>
      <c r="I207">
        <f>IF($P207="","",INDEX(상세표[기록 수],$P207))</f>
        <v/>
      </c>
      <c r="J207">
        <f>IF($P207="","",INDEX(상세표[블록 06~07시],$P207))</f>
        <v/>
      </c>
      <c r="K207">
        <f>IF($P207="","",INDEX(상세표[블록 07~18시],$P207))</f>
        <v/>
      </c>
      <c r="L207">
        <f>IF($P207="","",INDEX(상세표[블록 18~22시],$P207))</f>
        <v/>
      </c>
      <c r="M207">
        <f>IF($P207="","",INDEX(상세표[블록 22~06시],$P207))</f>
        <v/>
      </c>
      <c r="N207">
        <f>IF($P207="","",INDEX(상세표[주말·휴일 포함],$P207)&amp;"")</f>
        <v/>
      </c>
      <c r="O207">
        <f>IF($P207="","",INDEX(상세표[월 넘김 포함],$P207)&amp;"")</f>
        <v/>
      </c>
      <c r="P207" s="4">
        <f>IFERROR(MATCH(202,상세표[연속순번],0),"")</f>
        <v/>
      </c>
    </row>
    <row r="208">
      <c r="A208">
        <f>IF($P208="","",INDEX(상세표[사번],$P208)&amp;"")</f>
        <v/>
      </c>
      <c r="B208">
        <f>IF($P208="","",INDEX(상세표[성명],$P208)&amp;"")</f>
        <v/>
      </c>
      <c r="C208">
        <f>IF($P208="","",INDEX(상세표[부서],$P208)&amp;"")</f>
        <v/>
      </c>
      <c r="D208">
        <f>IF($P208="","",INDEX(상세표[직위],$P208)&amp;"")</f>
        <v/>
      </c>
      <c r="E208">
        <f>IF($P208="","",IF(ISNUMBER(INDEX(상세표[시작],$P208)),TEXT(INDEX(상세표[시작],$P208),"yyyy-mm-dd hh:mm"),INDEX(상세표[시작],$P208)&amp;""))</f>
        <v/>
      </c>
      <c r="F208">
        <f>IF($P208="","",IF(ISNUMBER(INDEX(상세표[블록종료],$P208)),TEXT(INDEX(상세표[블록종료],$P208),"yyyy-mm-dd hh:mm"),INDEX(상세표[블록종료],$P208)&amp;""))</f>
        <v/>
      </c>
      <c r="G208">
        <f>IF($P208="","",CHOOSE(WEEKDAY(INDEX(상세표[시작],$P208)),"일","월","화","수","목","금","토"))</f>
        <v/>
      </c>
      <c r="H208">
        <f>IF($P208="","",INDEX(상세표[연속 시간],$P208))</f>
        <v/>
      </c>
      <c r="I208">
        <f>IF($P208="","",INDEX(상세표[기록 수],$P208))</f>
        <v/>
      </c>
      <c r="J208">
        <f>IF($P208="","",INDEX(상세표[블록 06~07시],$P208))</f>
        <v/>
      </c>
      <c r="K208">
        <f>IF($P208="","",INDEX(상세표[블록 07~18시],$P208))</f>
        <v/>
      </c>
      <c r="L208">
        <f>IF($P208="","",INDEX(상세표[블록 18~22시],$P208))</f>
        <v/>
      </c>
      <c r="M208">
        <f>IF($P208="","",INDEX(상세표[블록 22~06시],$P208))</f>
        <v/>
      </c>
      <c r="N208">
        <f>IF($P208="","",INDEX(상세표[주말·휴일 포함],$P208)&amp;"")</f>
        <v/>
      </c>
      <c r="O208">
        <f>IF($P208="","",INDEX(상세표[월 넘김 포함],$P208)&amp;"")</f>
        <v/>
      </c>
      <c r="P208" s="4">
        <f>IFERROR(MATCH(203,상세표[연속순번],0),"")</f>
        <v/>
      </c>
    </row>
    <row r="209">
      <c r="A209">
        <f>IF($P209="","",INDEX(상세표[사번],$P209)&amp;"")</f>
        <v/>
      </c>
      <c r="B209">
        <f>IF($P209="","",INDEX(상세표[성명],$P209)&amp;"")</f>
        <v/>
      </c>
      <c r="C209">
        <f>IF($P209="","",INDEX(상세표[부서],$P209)&amp;"")</f>
        <v/>
      </c>
      <c r="D209">
        <f>IF($P209="","",INDEX(상세표[직위],$P209)&amp;"")</f>
        <v/>
      </c>
      <c r="E209">
        <f>IF($P209="","",IF(ISNUMBER(INDEX(상세표[시작],$P209)),TEXT(INDEX(상세표[시작],$P209),"yyyy-mm-dd hh:mm"),INDEX(상세표[시작],$P209)&amp;""))</f>
        <v/>
      </c>
      <c r="F209">
        <f>IF($P209="","",IF(ISNUMBER(INDEX(상세표[블록종료],$P209)),TEXT(INDEX(상세표[블록종료],$P209),"yyyy-mm-dd hh:mm"),INDEX(상세표[블록종료],$P209)&amp;""))</f>
        <v/>
      </c>
      <c r="G209">
        <f>IF($P209="","",CHOOSE(WEEKDAY(INDEX(상세표[시작],$P209)),"일","월","화","수","목","금","토"))</f>
        <v/>
      </c>
      <c r="H209">
        <f>IF($P209="","",INDEX(상세표[연속 시간],$P209))</f>
        <v/>
      </c>
      <c r="I209">
        <f>IF($P209="","",INDEX(상세표[기록 수],$P209))</f>
        <v/>
      </c>
      <c r="J209">
        <f>IF($P209="","",INDEX(상세표[블록 06~07시],$P209))</f>
        <v/>
      </c>
      <c r="K209">
        <f>IF($P209="","",INDEX(상세표[블록 07~18시],$P209))</f>
        <v/>
      </c>
      <c r="L209">
        <f>IF($P209="","",INDEX(상세표[블록 18~22시],$P209))</f>
        <v/>
      </c>
      <c r="M209">
        <f>IF($P209="","",INDEX(상세표[블록 22~06시],$P209))</f>
        <v/>
      </c>
      <c r="N209">
        <f>IF($P209="","",INDEX(상세표[주말·휴일 포함],$P209)&amp;"")</f>
        <v/>
      </c>
      <c r="O209">
        <f>IF($P209="","",INDEX(상세표[월 넘김 포함],$P209)&amp;"")</f>
        <v/>
      </c>
      <c r="P209" s="4">
        <f>IFERROR(MATCH(204,상세표[연속순번],0),"")</f>
        <v/>
      </c>
    </row>
    <row r="210">
      <c r="A210">
        <f>IF($P210="","",INDEX(상세표[사번],$P210)&amp;"")</f>
        <v/>
      </c>
      <c r="B210">
        <f>IF($P210="","",INDEX(상세표[성명],$P210)&amp;"")</f>
        <v/>
      </c>
      <c r="C210">
        <f>IF($P210="","",INDEX(상세표[부서],$P210)&amp;"")</f>
        <v/>
      </c>
      <c r="D210">
        <f>IF($P210="","",INDEX(상세표[직위],$P210)&amp;"")</f>
        <v/>
      </c>
      <c r="E210">
        <f>IF($P210="","",IF(ISNUMBER(INDEX(상세표[시작],$P210)),TEXT(INDEX(상세표[시작],$P210),"yyyy-mm-dd hh:mm"),INDEX(상세표[시작],$P210)&amp;""))</f>
        <v/>
      </c>
      <c r="F210">
        <f>IF($P210="","",IF(ISNUMBER(INDEX(상세표[블록종료],$P210)),TEXT(INDEX(상세표[블록종료],$P210),"yyyy-mm-dd hh:mm"),INDEX(상세표[블록종료],$P210)&amp;""))</f>
        <v/>
      </c>
      <c r="G210">
        <f>IF($P210="","",CHOOSE(WEEKDAY(INDEX(상세표[시작],$P210)),"일","월","화","수","목","금","토"))</f>
        <v/>
      </c>
      <c r="H210">
        <f>IF($P210="","",INDEX(상세표[연속 시간],$P210))</f>
        <v/>
      </c>
      <c r="I210">
        <f>IF($P210="","",INDEX(상세표[기록 수],$P210))</f>
        <v/>
      </c>
      <c r="J210">
        <f>IF($P210="","",INDEX(상세표[블록 06~07시],$P210))</f>
        <v/>
      </c>
      <c r="K210">
        <f>IF($P210="","",INDEX(상세표[블록 07~18시],$P210))</f>
        <v/>
      </c>
      <c r="L210">
        <f>IF($P210="","",INDEX(상세표[블록 18~22시],$P210))</f>
        <v/>
      </c>
      <c r="M210">
        <f>IF($P210="","",INDEX(상세표[블록 22~06시],$P210))</f>
        <v/>
      </c>
      <c r="N210">
        <f>IF($P210="","",INDEX(상세표[주말·휴일 포함],$P210)&amp;"")</f>
        <v/>
      </c>
      <c r="O210">
        <f>IF($P210="","",INDEX(상세표[월 넘김 포함],$P210)&amp;"")</f>
        <v/>
      </c>
      <c r="P210" s="4">
        <f>IFERROR(MATCH(205,상세표[연속순번],0),"")</f>
        <v/>
      </c>
    </row>
    <row r="211">
      <c r="A211">
        <f>IF($P211="","",INDEX(상세표[사번],$P211)&amp;"")</f>
        <v/>
      </c>
      <c r="B211">
        <f>IF($P211="","",INDEX(상세표[성명],$P211)&amp;"")</f>
        <v/>
      </c>
      <c r="C211">
        <f>IF($P211="","",INDEX(상세표[부서],$P211)&amp;"")</f>
        <v/>
      </c>
      <c r="D211">
        <f>IF($P211="","",INDEX(상세표[직위],$P211)&amp;"")</f>
        <v/>
      </c>
      <c r="E211">
        <f>IF($P211="","",IF(ISNUMBER(INDEX(상세표[시작],$P211)),TEXT(INDEX(상세표[시작],$P211),"yyyy-mm-dd hh:mm"),INDEX(상세표[시작],$P211)&amp;""))</f>
        <v/>
      </c>
      <c r="F211">
        <f>IF($P211="","",IF(ISNUMBER(INDEX(상세표[블록종료],$P211)),TEXT(INDEX(상세표[블록종료],$P211),"yyyy-mm-dd hh:mm"),INDEX(상세표[블록종료],$P211)&amp;""))</f>
        <v/>
      </c>
      <c r="G211">
        <f>IF($P211="","",CHOOSE(WEEKDAY(INDEX(상세표[시작],$P211)),"일","월","화","수","목","금","토"))</f>
        <v/>
      </c>
      <c r="H211">
        <f>IF($P211="","",INDEX(상세표[연속 시간],$P211))</f>
        <v/>
      </c>
      <c r="I211">
        <f>IF($P211="","",INDEX(상세표[기록 수],$P211))</f>
        <v/>
      </c>
      <c r="J211">
        <f>IF($P211="","",INDEX(상세표[블록 06~07시],$P211))</f>
        <v/>
      </c>
      <c r="K211">
        <f>IF($P211="","",INDEX(상세표[블록 07~18시],$P211))</f>
        <v/>
      </c>
      <c r="L211">
        <f>IF($P211="","",INDEX(상세표[블록 18~22시],$P211))</f>
        <v/>
      </c>
      <c r="M211">
        <f>IF($P211="","",INDEX(상세표[블록 22~06시],$P211))</f>
        <v/>
      </c>
      <c r="N211">
        <f>IF($P211="","",INDEX(상세표[주말·휴일 포함],$P211)&amp;"")</f>
        <v/>
      </c>
      <c r="O211">
        <f>IF($P211="","",INDEX(상세표[월 넘김 포함],$P211)&amp;"")</f>
        <v/>
      </c>
      <c r="P211" s="4">
        <f>IFERROR(MATCH(206,상세표[연속순번],0),"")</f>
        <v/>
      </c>
    </row>
    <row r="212">
      <c r="A212">
        <f>IF($P212="","",INDEX(상세표[사번],$P212)&amp;"")</f>
        <v/>
      </c>
      <c r="B212">
        <f>IF($P212="","",INDEX(상세표[성명],$P212)&amp;"")</f>
        <v/>
      </c>
      <c r="C212">
        <f>IF($P212="","",INDEX(상세표[부서],$P212)&amp;"")</f>
        <v/>
      </c>
      <c r="D212">
        <f>IF($P212="","",INDEX(상세표[직위],$P212)&amp;"")</f>
        <v/>
      </c>
      <c r="E212">
        <f>IF($P212="","",IF(ISNUMBER(INDEX(상세표[시작],$P212)),TEXT(INDEX(상세표[시작],$P212),"yyyy-mm-dd hh:mm"),INDEX(상세표[시작],$P212)&amp;""))</f>
        <v/>
      </c>
      <c r="F212">
        <f>IF($P212="","",IF(ISNUMBER(INDEX(상세표[블록종료],$P212)),TEXT(INDEX(상세표[블록종료],$P212),"yyyy-mm-dd hh:mm"),INDEX(상세표[블록종료],$P212)&amp;""))</f>
        <v/>
      </c>
      <c r="G212">
        <f>IF($P212="","",CHOOSE(WEEKDAY(INDEX(상세표[시작],$P212)),"일","월","화","수","목","금","토"))</f>
        <v/>
      </c>
      <c r="H212">
        <f>IF($P212="","",INDEX(상세표[연속 시간],$P212))</f>
        <v/>
      </c>
      <c r="I212">
        <f>IF($P212="","",INDEX(상세표[기록 수],$P212))</f>
        <v/>
      </c>
      <c r="J212">
        <f>IF($P212="","",INDEX(상세표[블록 06~07시],$P212))</f>
        <v/>
      </c>
      <c r="K212">
        <f>IF($P212="","",INDEX(상세표[블록 07~18시],$P212))</f>
        <v/>
      </c>
      <c r="L212">
        <f>IF($P212="","",INDEX(상세표[블록 18~22시],$P212))</f>
        <v/>
      </c>
      <c r="M212">
        <f>IF($P212="","",INDEX(상세표[블록 22~06시],$P212))</f>
        <v/>
      </c>
      <c r="N212">
        <f>IF($P212="","",INDEX(상세표[주말·휴일 포함],$P212)&amp;"")</f>
        <v/>
      </c>
      <c r="O212">
        <f>IF($P212="","",INDEX(상세표[월 넘김 포함],$P212)&amp;"")</f>
        <v/>
      </c>
      <c r="P212" s="4">
        <f>IFERROR(MATCH(207,상세표[연속순번],0),"")</f>
        <v/>
      </c>
    </row>
    <row r="213">
      <c r="A213">
        <f>IF($P213="","",INDEX(상세표[사번],$P213)&amp;"")</f>
        <v/>
      </c>
      <c r="B213">
        <f>IF($P213="","",INDEX(상세표[성명],$P213)&amp;"")</f>
        <v/>
      </c>
      <c r="C213">
        <f>IF($P213="","",INDEX(상세표[부서],$P213)&amp;"")</f>
        <v/>
      </c>
      <c r="D213">
        <f>IF($P213="","",INDEX(상세표[직위],$P213)&amp;"")</f>
        <v/>
      </c>
      <c r="E213">
        <f>IF($P213="","",IF(ISNUMBER(INDEX(상세표[시작],$P213)),TEXT(INDEX(상세표[시작],$P213),"yyyy-mm-dd hh:mm"),INDEX(상세표[시작],$P213)&amp;""))</f>
        <v/>
      </c>
      <c r="F213">
        <f>IF($P213="","",IF(ISNUMBER(INDEX(상세표[블록종료],$P213)),TEXT(INDEX(상세표[블록종료],$P213),"yyyy-mm-dd hh:mm"),INDEX(상세표[블록종료],$P213)&amp;""))</f>
        <v/>
      </c>
      <c r="G213">
        <f>IF($P213="","",CHOOSE(WEEKDAY(INDEX(상세표[시작],$P213)),"일","월","화","수","목","금","토"))</f>
        <v/>
      </c>
      <c r="H213">
        <f>IF($P213="","",INDEX(상세표[연속 시간],$P213))</f>
        <v/>
      </c>
      <c r="I213">
        <f>IF($P213="","",INDEX(상세표[기록 수],$P213))</f>
        <v/>
      </c>
      <c r="J213">
        <f>IF($P213="","",INDEX(상세표[블록 06~07시],$P213))</f>
        <v/>
      </c>
      <c r="K213">
        <f>IF($P213="","",INDEX(상세표[블록 07~18시],$P213))</f>
        <v/>
      </c>
      <c r="L213">
        <f>IF($P213="","",INDEX(상세표[블록 18~22시],$P213))</f>
        <v/>
      </c>
      <c r="M213">
        <f>IF($P213="","",INDEX(상세표[블록 22~06시],$P213))</f>
        <v/>
      </c>
      <c r="N213">
        <f>IF($P213="","",INDEX(상세표[주말·휴일 포함],$P213)&amp;"")</f>
        <v/>
      </c>
      <c r="O213">
        <f>IF($P213="","",INDEX(상세표[월 넘김 포함],$P213)&amp;"")</f>
        <v/>
      </c>
      <c r="P213" s="4">
        <f>IFERROR(MATCH(208,상세표[연속순번],0),"")</f>
        <v/>
      </c>
    </row>
    <row r="214">
      <c r="A214">
        <f>IF($P214="","",INDEX(상세표[사번],$P214)&amp;"")</f>
        <v/>
      </c>
      <c r="B214">
        <f>IF($P214="","",INDEX(상세표[성명],$P214)&amp;"")</f>
        <v/>
      </c>
      <c r="C214">
        <f>IF($P214="","",INDEX(상세표[부서],$P214)&amp;"")</f>
        <v/>
      </c>
      <c r="D214">
        <f>IF($P214="","",INDEX(상세표[직위],$P214)&amp;"")</f>
        <v/>
      </c>
      <c r="E214">
        <f>IF($P214="","",IF(ISNUMBER(INDEX(상세표[시작],$P214)),TEXT(INDEX(상세표[시작],$P214),"yyyy-mm-dd hh:mm"),INDEX(상세표[시작],$P214)&amp;""))</f>
        <v/>
      </c>
      <c r="F214">
        <f>IF($P214="","",IF(ISNUMBER(INDEX(상세표[블록종료],$P214)),TEXT(INDEX(상세표[블록종료],$P214),"yyyy-mm-dd hh:mm"),INDEX(상세표[블록종료],$P214)&amp;""))</f>
        <v/>
      </c>
      <c r="G214">
        <f>IF($P214="","",CHOOSE(WEEKDAY(INDEX(상세표[시작],$P214)),"일","월","화","수","목","금","토"))</f>
        <v/>
      </c>
      <c r="H214">
        <f>IF($P214="","",INDEX(상세표[연속 시간],$P214))</f>
        <v/>
      </c>
      <c r="I214">
        <f>IF($P214="","",INDEX(상세표[기록 수],$P214))</f>
        <v/>
      </c>
      <c r="J214">
        <f>IF($P214="","",INDEX(상세표[블록 06~07시],$P214))</f>
        <v/>
      </c>
      <c r="K214">
        <f>IF($P214="","",INDEX(상세표[블록 07~18시],$P214))</f>
        <v/>
      </c>
      <c r="L214">
        <f>IF($P214="","",INDEX(상세표[블록 18~22시],$P214))</f>
        <v/>
      </c>
      <c r="M214">
        <f>IF($P214="","",INDEX(상세표[블록 22~06시],$P214))</f>
        <v/>
      </c>
      <c r="N214">
        <f>IF($P214="","",INDEX(상세표[주말·휴일 포함],$P214)&amp;"")</f>
        <v/>
      </c>
      <c r="O214">
        <f>IF($P214="","",INDEX(상세표[월 넘김 포함],$P214)&amp;"")</f>
        <v/>
      </c>
      <c r="P214" s="4">
        <f>IFERROR(MATCH(209,상세표[연속순번],0),"")</f>
        <v/>
      </c>
    </row>
    <row r="215">
      <c r="A215">
        <f>IF($P215="","",INDEX(상세표[사번],$P215)&amp;"")</f>
        <v/>
      </c>
      <c r="B215">
        <f>IF($P215="","",INDEX(상세표[성명],$P215)&amp;"")</f>
        <v/>
      </c>
      <c r="C215">
        <f>IF($P215="","",INDEX(상세표[부서],$P215)&amp;"")</f>
        <v/>
      </c>
      <c r="D215">
        <f>IF($P215="","",INDEX(상세표[직위],$P215)&amp;"")</f>
        <v/>
      </c>
      <c r="E215">
        <f>IF($P215="","",IF(ISNUMBER(INDEX(상세표[시작],$P215)),TEXT(INDEX(상세표[시작],$P215),"yyyy-mm-dd hh:mm"),INDEX(상세표[시작],$P215)&amp;""))</f>
        <v/>
      </c>
      <c r="F215">
        <f>IF($P215="","",IF(ISNUMBER(INDEX(상세표[블록종료],$P215)),TEXT(INDEX(상세표[블록종료],$P215),"yyyy-mm-dd hh:mm"),INDEX(상세표[블록종료],$P215)&amp;""))</f>
        <v/>
      </c>
      <c r="G215">
        <f>IF($P215="","",CHOOSE(WEEKDAY(INDEX(상세표[시작],$P215)),"일","월","화","수","목","금","토"))</f>
        <v/>
      </c>
      <c r="H215">
        <f>IF($P215="","",INDEX(상세표[연속 시간],$P215))</f>
        <v/>
      </c>
      <c r="I215">
        <f>IF($P215="","",INDEX(상세표[기록 수],$P215))</f>
        <v/>
      </c>
      <c r="J215">
        <f>IF($P215="","",INDEX(상세표[블록 06~07시],$P215))</f>
        <v/>
      </c>
      <c r="K215">
        <f>IF($P215="","",INDEX(상세표[블록 07~18시],$P215))</f>
        <v/>
      </c>
      <c r="L215">
        <f>IF($P215="","",INDEX(상세표[블록 18~22시],$P215))</f>
        <v/>
      </c>
      <c r="M215">
        <f>IF($P215="","",INDEX(상세표[블록 22~06시],$P215))</f>
        <v/>
      </c>
      <c r="N215">
        <f>IF($P215="","",INDEX(상세표[주말·휴일 포함],$P215)&amp;"")</f>
        <v/>
      </c>
      <c r="O215">
        <f>IF($P215="","",INDEX(상세표[월 넘김 포함],$P215)&amp;"")</f>
        <v/>
      </c>
      <c r="P215" s="4">
        <f>IFERROR(MATCH(210,상세표[연속순번],0),"")</f>
        <v/>
      </c>
    </row>
    <row r="216">
      <c r="A216">
        <f>IF($P216="","",INDEX(상세표[사번],$P216)&amp;"")</f>
        <v/>
      </c>
      <c r="B216">
        <f>IF($P216="","",INDEX(상세표[성명],$P216)&amp;"")</f>
        <v/>
      </c>
      <c r="C216">
        <f>IF($P216="","",INDEX(상세표[부서],$P216)&amp;"")</f>
        <v/>
      </c>
      <c r="D216">
        <f>IF($P216="","",INDEX(상세표[직위],$P216)&amp;"")</f>
        <v/>
      </c>
      <c r="E216">
        <f>IF($P216="","",IF(ISNUMBER(INDEX(상세표[시작],$P216)),TEXT(INDEX(상세표[시작],$P216),"yyyy-mm-dd hh:mm"),INDEX(상세표[시작],$P216)&amp;""))</f>
        <v/>
      </c>
      <c r="F216">
        <f>IF($P216="","",IF(ISNUMBER(INDEX(상세표[블록종료],$P216)),TEXT(INDEX(상세표[블록종료],$P216),"yyyy-mm-dd hh:mm"),INDEX(상세표[블록종료],$P216)&amp;""))</f>
        <v/>
      </c>
      <c r="G216">
        <f>IF($P216="","",CHOOSE(WEEKDAY(INDEX(상세표[시작],$P216)),"일","월","화","수","목","금","토"))</f>
        <v/>
      </c>
      <c r="H216">
        <f>IF($P216="","",INDEX(상세표[연속 시간],$P216))</f>
        <v/>
      </c>
      <c r="I216">
        <f>IF($P216="","",INDEX(상세표[기록 수],$P216))</f>
        <v/>
      </c>
      <c r="J216">
        <f>IF($P216="","",INDEX(상세표[블록 06~07시],$P216))</f>
        <v/>
      </c>
      <c r="K216">
        <f>IF($P216="","",INDEX(상세표[블록 07~18시],$P216))</f>
        <v/>
      </c>
      <c r="L216">
        <f>IF($P216="","",INDEX(상세표[블록 18~22시],$P216))</f>
        <v/>
      </c>
      <c r="M216">
        <f>IF($P216="","",INDEX(상세표[블록 22~06시],$P216))</f>
        <v/>
      </c>
      <c r="N216">
        <f>IF($P216="","",INDEX(상세표[주말·휴일 포함],$P216)&amp;"")</f>
        <v/>
      </c>
      <c r="O216">
        <f>IF($P216="","",INDEX(상세표[월 넘김 포함],$P216)&amp;"")</f>
        <v/>
      </c>
      <c r="P216" s="4">
        <f>IFERROR(MATCH(211,상세표[연속순번],0),"")</f>
        <v/>
      </c>
    </row>
    <row r="217">
      <c r="A217">
        <f>IF($P217="","",INDEX(상세표[사번],$P217)&amp;"")</f>
        <v/>
      </c>
      <c r="B217">
        <f>IF($P217="","",INDEX(상세표[성명],$P217)&amp;"")</f>
        <v/>
      </c>
      <c r="C217">
        <f>IF($P217="","",INDEX(상세표[부서],$P217)&amp;"")</f>
        <v/>
      </c>
      <c r="D217">
        <f>IF($P217="","",INDEX(상세표[직위],$P217)&amp;"")</f>
        <v/>
      </c>
      <c r="E217">
        <f>IF($P217="","",IF(ISNUMBER(INDEX(상세표[시작],$P217)),TEXT(INDEX(상세표[시작],$P217),"yyyy-mm-dd hh:mm"),INDEX(상세표[시작],$P217)&amp;""))</f>
        <v/>
      </c>
      <c r="F217">
        <f>IF($P217="","",IF(ISNUMBER(INDEX(상세표[블록종료],$P217)),TEXT(INDEX(상세표[블록종료],$P217),"yyyy-mm-dd hh:mm"),INDEX(상세표[블록종료],$P217)&amp;""))</f>
        <v/>
      </c>
      <c r="G217">
        <f>IF($P217="","",CHOOSE(WEEKDAY(INDEX(상세표[시작],$P217)),"일","월","화","수","목","금","토"))</f>
        <v/>
      </c>
      <c r="H217">
        <f>IF($P217="","",INDEX(상세표[연속 시간],$P217))</f>
        <v/>
      </c>
      <c r="I217">
        <f>IF($P217="","",INDEX(상세표[기록 수],$P217))</f>
        <v/>
      </c>
      <c r="J217">
        <f>IF($P217="","",INDEX(상세표[블록 06~07시],$P217))</f>
        <v/>
      </c>
      <c r="K217">
        <f>IF($P217="","",INDEX(상세표[블록 07~18시],$P217))</f>
        <v/>
      </c>
      <c r="L217">
        <f>IF($P217="","",INDEX(상세표[블록 18~22시],$P217))</f>
        <v/>
      </c>
      <c r="M217">
        <f>IF($P217="","",INDEX(상세표[블록 22~06시],$P217))</f>
        <v/>
      </c>
      <c r="N217">
        <f>IF($P217="","",INDEX(상세표[주말·휴일 포함],$P217)&amp;"")</f>
        <v/>
      </c>
      <c r="O217">
        <f>IF($P217="","",INDEX(상세표[월 넘김 포함],$P217)&amp;"")</f>
        <v/>
      </c>
      <c r="P217" s="4">
        <f>IFERROR(MATCH(212,상세표[연속순번],0),"")</f>
        <v/>
      </c>
    </row>
    <row r="218">
      <c r="A218">
        <f>IF($P218="","",INDEX(상세표[사번],$P218)&amp;"")</f>
        <v/>
      </c>
      <c r="B218">
        <f>IF($P218="","",INDEX(상세표[성명],$P218)&amp;"")</f>
        <v/>
      </c>
      <c r="C218">
        <f>IF($P218="","",INDEX(상세표[부서],$P218)&amp;"")</f>
        <v/>
      </c>
      <c r="D218">
        <f>IF($P218="","",INDEX(상세표[직위],$P218)&amp;"")</f>
        <v/>
      </c>
      <c r="E218">
        <f>IF($P218="","",IF(ISNUMBER(INDEX(상세표[시작],$P218)),TEXT(INDEX(상세표[시작],$P218),"yyyy-mm-dd hh:mm"),INDEX(상세표[시작],$P218)&amp;""))</f>
        <v/>
      </c>
      <c r="F218">
        <f>IF($P218="","",IF(ISNUMBER(INDEX(상세표[블록종료],$P218)),TEXT(INDEX(상세표[블록종료],$P218),"yyyy-mm-dd hh:mm"),INDEX(상세표[블록종료],$P218)&amp;""))</f>
        <v/>
      </c>
      <c r="G218">
        <f>IF($P218="","",CHOOSE(WEEKDAY(INDEX(상세표[시작],$P218)),"일","월","화","수","목","금","토"))</f>
        <v/>
      </c>
      <c r="H218">
        <f>IF($P218="","",INDEX(상세표[연속 시간],$P218))</f>
        <v/>
      </c>
      <c r="I218">
        <f>IF($P218="","",INDEX(상세표[기록 수],$P218))</f>
        <v/>
      </c>
      <c r="J218">
        <f>IF($P218="","",INDEX(상세표[블록 06~07시],$P218))</f>
        <v/>
      </c>
      <c r="K218">
        <f>IF($P218="","",INDEX(상세표[블록 07~18시],$P218))</f>
        <v/>
      </c>
      <c r="L218">
        <f>IF($P218="","",INDEX(상세표[블록 18~22시],$P218))</f>
        <v/>
      </c>
      <c r="M218">
        <f>IF($P218="","",INDEX(상세표[블록 22~06시],$P218))</f>
        <v/>
      </c>
      <c r="N218">
        <f>IF($P218="","",INDEX(상세표[주말·휴일 포함],$P218)&amp;"")</f>
        <v/>
      </c>
      <c r="O218">
        <f>IF($P218="","",INDEX(상세표[월 넘김 포함],$P218)&amp;"")</f>
        <v/>
      </c>
      <c r="P218" s="4">
        <f>IFERROR(MATCH(213,상세표[연속순번],0),"")</f>
        <v/>
      </c>
    </row>
    <row r="219">
      <c r="A219">
        <f>IF($P219="","",INDEX(상세표[사번],$P219)&amp;"")</f>
        <v/>
      </c>
      <c r="B219">
        <f>IF($P219="","",INDEX(상세표[성명],$P219)&amp;"")</f>
        <v/>
      </c>
      <c r="C219">
        <f>IF($P219="","",INDEX(상세표[부서],$P219)&amp;"")</f>
        <v/>
      </c>
      <c r="D219">
        <f>IF($P219="","",INDEX(상세표[직위],$P219)&amp;"")</f>
        <v/>
      </c>
      <c r="E219">
        <f>IF($P219="","",IF(ISNUMBER(INDEX(상세표[시작],$P219)),TEXT(INDEX(상세표[시작],$P219),"yyyy-mm-dd hh:mm"),INDEX(상세표[시작],$P219)&amp;""))</f>
        <v/>
      </c>
      <c r="F219">
        <f>IF($P219="","",IF(ISNUMBER(INDEX(상세표[블록종료],$P219)),TEXT(INDEX(상세표[블록종료],$P219),"yyyy-mm-dd hh:mm"),INDEX(상세표[블록종료],$P219)&amp;""))</f>
        <v/>
      </c>
      <c r="G219">
        <f>IF($P219="","",CHOOSE(WEEKDAY(INDEX(상세표[시작],$P219)),"일","월","화","수","목","금","토"))</f>
        <v/>
      </c>
      <c r="H219">
        <f>IF($P219="","",INDEX(상세표[연속 시간],$P219))</f>
        <v/>
      </c>
      <c r="I219">
        <f>IF($P219="","",INDEX(상세표[기록 수],$P219))</f>
        <v/>
      </c>
      <c r="J219">
        <f>IF($P219="","",INDEX(상세표[블록 06~07시],$P219))</f>
        <v/>
      </c>
      <c r="K219">
        <f>IF($P219="","",INDEX(상세표[블록 07~18시],$P219))</f>
        <v/>
      </c>
      <c r="L219">
        <f>IF($P219="","",INDEX(상세표[블록 18~22시],$P219))</f>
        <v/>
      </c>
      <c r="M219">
        <f>IF($P219="","",INDEX(상세표[블록 22~06시],$P219))</f>
        <v/>
      </c>
      <c r="N219">
        <f>IF($P219="","",INDEX(상세표[주말·휴일 포함],$P219)&amp;"")</f>
        <v/>
      </c>
      <c r="O219">
        <f>IF($P219="","",INDEX(상세표[월 넘김 포함],$P219)&amp;"")</f>
        <v/>
      </c>
      <c r="P219" s="4">
        <f>IFERROR(MATCH(214,상세표[연속순번],0),"")</f>
        <v/>
      </c>
    </row>
    <row r="220">
      <c r="A220">
        <f>IF($P220="","",INDEX(상세표[사번],$P220)&amp;"")</f>
        <v/>
      </c>
      <c r="B220">
        <f>IF($P220="","",INDEX(상세표[성명],$P220)&amp;"")</f>
        <v/>
      </c>
      <c r="C220">
        <f>IF($P220="","",INDEX(상세표[부서],$P220)&amp;"")</f>
        <v/>
      </c>
      <c r="D220">
        <f>IF($P220="","",INDEX(상세표[직위],$P220)&amp;"")</f>
        <v/>
      </c>
      <c r="E220">
        <f>IF($P220="","",IF(ISNUMBER(INDEX(상세표[시작],$P220)),TEXT(INDEX(상세표[시작],$P220),"yyyy-mm-dd hh:mm"),INDEX(상세표[시작],$P220)&amp;""))</f>
        <v/>
      </c>
      <c r="F220">
        <f>IF($P220="","",IF(ISNUMBER(INDEX(상세표[블록종료],$P220)),TEXT(INDEX(상세표[블록종료],$P220),"yyyy-mm-dd hh:mm"),INDEX(상세표[블록종료],$P220)&amp;""))</f>
        <v/>
      </c>
      <c r="G220">
        <f>IF($P220="","",CHOOSE(WEEKDAY(INDEX(상세표[시작],$P220)),"일","월","화","수","목","금","토"))</f>
        <v/>
      </c>
      <c r="H220">
        <f>IF($P220="","",INDEX(상세표[연속 시간],$P220))</f>
        <v/>
      </c>
      <c r="I220">
        <f>IF($P220="","",INDEX(상세표[기록 수],$P220))</f>
        <v/>
      </c>
      <c r="J220">
        <f>IF($P220="","",INDEX(상세표[블록 06~07시],$P220))</f>
        <v/>
      </c>
      <c r="K220">
        <f>IF($P220="","",INDEX(상세표[블록 07~18시],$P220))</f>
        <v/>
      </c>
      <c r="L220">
        <f>IF($P220="","",INDEX(상세표[블록 18~22시],$P220))</f>
        <v/>
      </c>
      <c r="M220">
        <f>IF($P220="","",INDEX(상세표[블록 22~06시],$P220))</f>
        <v/>
      </c>
      <c r="N220">
        <f>IF($P220="","",INDEX(상세표[주말·휴일 포함],$P220)&amp;"")</f>
        <v/>
      </c>
      <c r="O220">
        <f>IF($P220="","",INDEX(상세표[월 넘김 포함],$P220)&amp;"")</f>
        <v/>
      </c>
      <c r="P220" s="4">
        <f>IFERROR(MATCH(215,상세표[연속순번],0),"")</f>
        <v/>
      </c>
    </row>
    <row r="221">
      <c r="A221">
        <f>IF($P221="","",INDEX(상세표[사번],$P221)&amp;"")</f>
        <v/>
      </c>
      <c r="B221">
        <f>IF($P221="","",INDEX(상세표[성명],$P221)&amp;"")</f>
        <v/>
      </c>
      <c r="C221">
        <f>IF($P221="","",INDEX(상세표[부서],$P221)&amp;"")</f>
        <v/>
      </c>
      <c r="D221">
        <f>IF($P221="","",INDEX(상세표[직위],$P221)&amp;"")</f>
        <v/>
      </c>
      <c r="E221">
        <f>IF($P221="","",IF(ISNUMBER(INDEX(상세표[시작],$P221)),TEXT(INDEX(상세표[시작],$P221),"yyyy-mm-dd hh:mm"),INDEX(상세표[시작],$P221)&amp;""))</f>
        <v/>
      </c>
      <c r="F221">
        <f>IF($P221="","",IF(ISNUMBER(INDEX(상세표[블록종료],$P221)),TEXT(INDEX(상세표[블록종료],$P221),"yyyy-mm-dd hh:mm"),INDEX(상세표[블록종료],$P221)&amp;""))</f>
        <v/>
      </c>
      <c r="G221">
        <f>IF($P221="","",CHOOSE(WEEKDAY(INDEX(상세표[시작],$P221)),"일","월","화","수","목","금","토"))</f>
        <v/>
      </c>
      <c r="H221">
        <f>IF($P221="","",INDEX(상세표[연속 시간],$P221))</f>
        <v/>
      </c>
      <c r="I221">
        <f>IF($P221="","",INDEX(상세표[기록 수],$P221))</f>
        <v/>
      </c>
      <c r="J221">
        <f>IF($P221="","",INDEX(상세표[블록 06~07시],$P221))</f>
        <v/>
      </c>
      <c r="K221">
        <f>IF($P221="","",INDEX(상세표[블록 07~18시],$P221))</f>
        <v/>
      </c>
      <c r="L221">
        <f>IF($P221="","",INDEX(상세표[블록 18~22시],$P221))</f>
        <v/>
      </c>
      <c r="M221">
        <f>IF($P221="","",INDEX(상세표[블록 22~06시],$P221))</f>
        <v/>
      </c>
      <c r="N221">
        <f>IF($P221="","",INDEX(상세표[주말·휴일 포함],$P221)&amp;"")</f>
        <v/>
      </c>
      <c r="O221">
        <f>IF($P221="","",INDEX(상세표[월 넘김 포함],$P221)&amp;"")</f>
        <v/>
      </c>
      <c r="P221" s="4">
        <f>IFERROR(MATCH(216,상세표[연속순번],0),"")</f>
        <v/>
      </c>
    </row>
    <row r="222">
      <c r="A222">
        <f>IF($P222="","",INDEX(상세표[사번],$P222)&amp;"")</f>
        <v/>
      </c>
      <c r="B222">
        <f>IF($P222="","",INDEX(상세표[성명],$P222)&amp;"")</f>
        <v/>
      </c>
      <c r="C222">
        <f>IF($P222="","",INDEX(상세표[부서],$P222)&amp;"")</f>
        <v/>
      </c>
      <c r="D222">
        <f>IF($P222="","",INDEX(상세표[직위],$P222)&amp;"")</f>
        <v/>
      </c>
      <c r="E222">
        <f>IF($P222="","",IF(ISNUMBER(INDEX(상세표[시작],$P222)),TEXT(INDEX(상세표[시작],$P222),"yyyy-mm-dd hh:mm"),INDEX(상세표[시작],$P222)&amp;""))</f>
        <v/>
      </c>
      <c r="F222">
        <f>IF($P222="","",IF(ISNUMBER(INDEX(상세표[블록종료],$P222)),TEXT(INDEX(상세표[블록종료],$P222),"yyyy-mm-dd hh:mm"),INDEX(상세표[블록종료],$P222)&amp;""))</f>
        <v/>
      </c>
      <c r="G222">
        <f>IF($P222="","",CHOOSE(WEEKDAY(INDEX(상세표[시작],$P222)),"일","월","화","수","목","금","토"))</f>
        <v/>
      </c>
      <c r="H222">
        <f>IF($P222="","",INDEX(상세표[연속 시간],$P222))</f>
        <v/>
      </c>
      <c r="I222">
        <f>IF($P222="","",INDEX(상세표[기록 수],$P222))</f>
        <v/>
      </c>
      <c r="J222">
        <f>IF($P222="","",INDEX(상세표[블록 06~07시],$P222))</f>
        <v/>
      </c>
      <c r="K222">
        <f>IF($P222="","",INDEX(상세표[블록 07~18시],$P222))</f>
        <v/>
      </c>
      <c r="L222">
        <f>IF($P222="","",INDEX(상세표[블록 18~22시],$P222))</f>
        <v/>
      </c>
      <c r="M222">
        <f>IF($P222="","",INDEX(상세표[블록 22~06시],$P222))</f>
        <v/>
      </c>
      <c r="N222">
        <f>IF($P222="","",INDEX(상세표[주말·휴일 포함],$P222)&amp;"")</f>
        <v/>
      </c>
      <c r="O222">
        <f>IF($P222="","",INDEX(상세표[월 넘김 포함],$P222)&amp;"")</f>
        <v/>
      </c>
      <c r="P222" s="4">
        <f>IFERROR(MATCH(217,상세표[연속순번],0),"")</f>
        <v/>
      </c>
    </row>
    <row r="223">
      <c r="A223">
        <f>IF($P223="","",INDEX(상세표[사번],$P223)&amp;"")</f>
        <v/>
      </c>
      <c r="B223">
        <f>IF($P223="","",INDEX(상세표[성명],$P223)&amp;"")</f>
        <v/>
      </c>
      <c r="C223">
        <f>IF($P223="","",INDEX(상세표[부서],$P223)&amp;"")</f>
        <v/>
      </c>
      <c r="D223">
        <f>IF($P223="","",INDEX(상세표[직위],$P223)&amp;"")</f>
        <v/>
      </c>
      <c r="E223">
        <f>IF($P223="","",IF(ISNUMBER(INDEX(상세표[시작],$P223)),TEXT(INDEX(상세표[시작],$P223),"yyyy-mm-dd hh:mm"),INDEX(상세표[시작],$P223)&amp;""))</f>
        <v/>
      </c>
      <c r="F223">
        <f>IF($P223="","",IF(ISNUMBER(INDEX(상세표[블록종료],$P223)),TEXT(INDEX(상세표[블록종료],$P223),"yyyy-mm-dd hh:mm"),INDEX(상세표[블록종료],$P223)&amp;""))</f>
        <v/>
      </c>
      <c r="G223">
        <f>IF($P223="","",CHOOSE(WEEKDAY(INDEX(상세표[시작],$P223)),"일","월","화","수","목","금","토"))</f>
        <v/>
      </c>
      <c r="H223">
        <f>IF($P223="","",INDEX(상세표[연속 시간],$P223))</f>
        <v/>
      </c>
      <c r="I223">
        <f>IF($P223="","",INDEX(상세표[기록 수],$P223))</f>
        <v/>
      </c>
      <c r="J223">
        <f>IF($P223="","",INDEX(상세표[블록 06~07시],$P223))</f>
        <v/>
      </c>
      <c r="K223">
        <f>IF($P223="","",INDEX(상세표[블록 07~18시],$P223))</f>
        <v/>
      </c>
      <c r="L223">
        <f>IF($P223="","",INDEX(상세표[블록 18~22시],$P223))</f>
        <v/>
      </c>
      <c r="M223">
        <f>IF($P223="","",INDEX(상세표[블록 22~06시],$P223))</f>
        <v/>
      </c>
      <c r="N223">
        <f>IF($P223="","",INDEX(상세표[주말·휴일 포함],$P223)&amp;"")</f>
        <v/>
      </c>
      <c r="O223">
        <f>IF($P223="","",INDEX(상세표[월 넘김 포함],$P223)&amp;"")</f>
        <v/>
      </c>
      <c r="P223" s="4">
        <f>IFERROR(MATCH(218,상세표[연속순번],0),"")</f>
        <v/>
      </c>
    </row>
    <row r="224">
      <c r="A224">
        <f>IF($P224="","",INDEX(상세표[사번],$P224)&amp;"")</f>
        <v/>
      </c>
      <c r="B224">
        <f>IF($P224="","",INDEX(상세표[성명],$P224)&amp;"")</f>
        <v/>
      </c>
      <c r="C224">
        <f>IF($P224="","",INDEX(상세표[부서],$P224)&amp;"")</f>
        <v/>
      </c>
      <c r="D224">
        <f>IF($P224="","",INDEX(상세표[직위],$P224)&amp;"")</f>
        <v/>
      </c>
      <c r="E224">
        <f>IF($P224="","",IF(ISNUMBER(INDEX(상세표[시작],$P224)),TEXT(INDEX(상세표[시작],$P224),"yyyy-mm-dd hh:mm"),INDEX(상세표[시작],$P224)&amp;""))</f>
        <v/>
      </c>
      <c r="F224">
        <f>IF($P224="","",IF(ISNUMBER(INDEX(상세표[블록종료],$P224)),TEXT(INDEX(상세표[블록종료],$P224),"yyyy-mm-dd hh:mm"),INDEX(상세표[블록종료],$P224)&amp;""))</f>
        <v/>
      </c>
      <c r="G224">
        <f>IF($P224="","",CHOOSE(WEEKDAY(INDEX(상세표[시작],$P224)),"일","월","화","수","목","금","토"))</f>
        <v/>
      </c>
      <c r="H224">
        <f>IF($P224="","",INDEX(상세표[연속 시간],$P224))</f>
        <v/>
      </c>
      <c r="I224">
        <f>IF($P224="","",INDEX(상세표[기록 수],$P224))</f>
        <v/>
      </c>
      <c r="J224">
        <f>IF($P224="","",INDEX(상세표[블록 06~07시],$P224))</f>
        <v/>
      </c>
      <c r="K224">
        <f>IF($P224="","",INDEX(상세표[블록 07~18시],$P224))</f>
        <v/>
      </c>
      <c r="L224">
        <f>IF($P224="","",INDEX(상세표[블록 18~22시],$P224))</f>
        <v/>
      </c>
      <c r="M224">
        <f>IF($P224="","",INDEX(상세표[블록 22~06시],$P224))</f>
        <v/>
      </c>
      <c r="N224">
        <f>IF($P224="","",INDEX(상세표[주말·휴일 포함],$P224)&amp;"")</f>
        <v/>
      </c>
      <c r="O224">
        <f>IF($P224="","",INDEX(상세표[월 넘김 포함],$P224)&amp;"")</f>
        <v/>
      </c>
      <c r="P224" s="4">
        <f>IFERROR(MATCH(219,상세표[연속순번],0),"")</f>
        <v/>
      </c>
    </row>
    <row r="225">
      <c r="A225">
        <f>IF($P225="","",INDEX(상세표[사번],$P225)&amp;"")</f>
        <v/>
      </c>
      <c r="B225">
        <f>IF($P225="","",INDEX(상세표[성명],$P225)&amp;"")</f>
        <v/>
      </c>
      <c r="C225">
        <f>IF($P225="","",INDEX(상세표[부서],$P225)&amp;"")</f>
        <v/>
      </c>
      <c r="D225">
        <f>IF($P225="","",INDEX(상세표[직위],$P225)&amp;"")</f>
        <v/>
      </c>
      <c r="E225">
        <f>IF($P225="","",IF(ISNUMBER(INDEX(상세표[시작],$P225)),TEXT(INDEX(상세표[시작],$P225),"yyyy-mm-dd hh:mm"),INDEX(상세표[시작],$P225)&amp;""))</f>
        <v/>
      </c>
      <c r="F225">
        <f>IF($P225="","",IF(ISNUMBER(INDEX(상세표[블록종료],$P225)),TEXT(INDEX(상세표[블록종료],$P225),"yyyy-mm-dd hh:mm"),INDEX(상세표[블록종료],$P225)&amp;""))</f>
        <v/>
      </c>
      <c r="G225">
        <f>IF($P225="","",CHOOSE(WEEKDAY(INDEX(상세표[시작],$P225)),"일","월","화","수","목","금","토"))</f>
        <v/>
      </c>
      <c r="H225">
        <f>IF($P225="","",INDEX(상세표[연속 시간],$P225))</f>
        <v/>
      </c>
      <c r="I225">
        <f>IF($P225="","",INDEX(상세표[기록 수],$P225))</f>
        <v/>
      </c>
      <c r="J225">
        <f>IF($P225="","",INDEX(상세표[블록 06~07시],$P225))</f>
        <v/>
      </c>
      <c r="K225">
        <f>IF($P225="","",INDEX(상세표[블록 07~18시],$P225))</f>
        <v/>
      </c>
      <c r="L225">
        <f>IF($P225="","",INDEX(상세표[블록 18~22시],$P225))</f>
        <v/>
      </c>
      <c r="M225">
        <f>IF($P225="","",INDEX(상세표[블록 22~06시],$P225))</f>
        <v/>
      </c>
      <c r="N225">
        <f>IF($P225="","",INDEX(상세표[주말·휴일 포함],$P225)&amp;"")</f>
        <v/>
      </c>
      <c r="O225">
        <f>IF($P225="","",INDEX(상세표[월 넘김 포함],$P225)&amp;"")</f>
        <v/>
      </c>
      <c r="P225" s="4">
        <f>IFERROR(MATCH(220,상세표[연속순번],0),"")</f>
        <v/>
      </c>
    </row>
    <row r="226">
      <c r="A226">
        <f>IF($P226="","",INDEX(상세표[사번],$P226)&amp;"")</f>
        <v/>
      </c>
      <c r="B226">
        <f>IF($P226="","",INDEX(상세표[성명],$P226)&amp;"")</f>
        <v/>
      </c>
      <c r="C226">
        <f>IF($P226="","",INDEX(상세표[부서],$P226)&amp;"")</f>
        <v/>
      </c>
      <c r="D226">
        <f>IF($P226="","",INDEX(상세표[직위],$P226)&amp;"")</f>
        <v/>
      </c>
      <c r="E226">
        <f>IF($P226="","",IF(ISNUMBER(INDEX(상세표[시작],$P226)),TEXT(INDEX(상세표[시작],$P226),"yyyy-mm-dd hh:mm"),INDEX(상세표[시작],$P226)&amp;""))</f>
        <v/>
      </c>
      <c r="F226">
        <f>IF($P226="","",IF(ISNUMBER(INDEX(상세표[블록종료],$P226)),TEXT(INDEX(상세표[블록종료],$P226),"yyyy-mm-dd hh:mm"),INDEX(상세표[블록종료],$P226)&amp;""))</f>
        <v/>
      </c>
      <c r="G226">
        <f>IF($P226="","",CHOOSE(WEEKDAY(INDEX(상세표[시작],$P226)),"일","월","화","수","목","금","토"))</f>
        <v/>
      </c>
      <c r="H226">
        <f>IF($P226="","",INDEX(상세표[연속 시간],$P226))</f>
        <v/>
      </c>
      <c r="I226">
        <f>IF($P226="","",INDEX(상세표[기록 수],$P226))</f>
        <v/>
      </c>
      <c r="J226">
        <f>IF($P226="","",INDEX(상세표[블록 06~07시],$P226))</f>
        <v/>
      </c>
      <c r="K226">
        <f>IF($P226="","",INDEX(상세표[블록 07~18시],$P226))</f>
        <v/>
      </c>
      <c r="L226">
        <f>IF($P226="","",INDEX(상세표[블록 18~22시],$P226))</f>
        <v/>
      </c>
      <c r="M226">
        <f>IF($P226="","",INDEX(상세표[블록 22~06시],$P226))</f>
        <v/>
      </c>
      <c r="N226">
        <f>IF($P226="","",INDEX(상세표[주말·휴일 포함],$P226)&amp;"")</f>
        <v/>
      </c>
      <c r="O226">
        <f>IF($P226="","",INDEX(상세표[월 넘김 포함],$P226)&amp;"")</f>
        <v/>
      </c>
      <c r="P226" s="4">
        <f>IFERROR(MATCH(221,상세표[연속순번],0),"")</f>
        <v/>
      </c>
    </row>
    <row r="227">
      <c r="A227">
        <f>IF($P227="","",INDEX(상세표[사번],$P227)&amp;"")</f>
        <v/>
      </c>
      <c r="B227">
        <f>IF($P227="","",INDEX(상세표[성명],$P227)&amp;"")</f>
        <v/>
      </c>
      <c r="C227">
        <f>IF($P227="","",INDEX(상세표[부서],$P227)&amp;"")</f>
        <v/>
      </c>
      <c r="D227">
        <f>IF($P227="","",INDEX(상세표[직위],$P227)&amp;"")</f>
        <v/>
      </c>
      <c r="E227">
        <f>IF($P227="","",IF(ISNUMBER(INDEX(상세표[시작],$P227)),TEXT(INDEX(상세표[시작],$P227),"yyyy-mm-dd hh:mm"),INDEX(상세표[시작],$P227)&amp;""))</f>
        <v/>
      </c>
      <c r="F227">
        <f>IF($P227="","",IF(ISNUMBER(INDEX(상세표[블록종료],$P227)),TEXT(INDEX(상세표[블록종료],$P227),"yyyy-mm-dd hh:mm"),INDEX(상세표[블록종료],$P227)&amp;""))</f>
        <v/>
      </c>
      <c r="G227">
        <f>IF($P227="","",CHOOSE(WEEKDAY(INDEX(상세표[시작],$P227)),"일","월","화","수","목","금","토"))</f>
        <v/>
      </c>
      <c r="H227">
        <f>IF($P227="","",INDEX(상세표[연속 시간],$P227))</f>
        <v/>
      </c>
      <c r="I227">
        <f>IF($P227="","",INDEX(상세표[기록 수],$P227))</f>
        <v/>
      </c>
      <c r="J227">
        <f>IF($P227="","",INDEX(상세표[블록 06~07시],$P227))</f>
        <v/>
      </c>
      <c r="K227">
        <f>IF($P227="","",INDEX(상세표[블록 07~18시],$P227))</f>
        <v/>
      </c>
      <c r="L227">
        <f>IF($P227="","",INDEX(상세표[블록 18~22시],$P227))</f>
        <v/>
      </c>
      <c r="M227">
        <f>IF($P227="","",INDEX(상세표[블록 22~06시],$P227))</f>
        <v/>
      </c>
      <c r="N227">
        <f>IF($P227="","",INDEX(상세표[주말·휴일 포함],$P227)&amp;"")</f>
        <v/>
      </c>
      <c r="O227">
        <f>IF($P227="","",INDEX(상세표[월 넘김 포함],$P227)&amp;"")</f>
        <v/>
      </c>
      <c r="P227" s="4">
        <f>IFERROR(MATCH(222,상세표[연속순번],0),"")</f>
        <v/>
      </c>
    </row>
    <row r="228">
      <c r="A228">
        <f>IF($P228="","",INDEX(상세표[사번],$P228)&amp;"")</f>
        <v/>
      </c>
      <c r="B228">
        <f>IF($P228="","",INDEX(상세표[성명],$P228)&amp;"")</f>
        <v/>
      </c>
      <c r="C228">
        <f>IF($P228="","",INDEX(상세표[부서],$P228)&amp;"")</f>
        <v/>
      </c>
      <c r="D228">
        <f>IF($P228="","",INDEX(상세표[직위],$P228)&amp;"")</f>
        <v/>
      </c>
      <c r="E228">
        <f>IF($P228="","",IF(ISNUMBER(INDEX(상세표[시작],$P228)),TEXT(INDEX(상세표[시작],$P228),"yyyy-mm-dd hh:mm"),INDEX(상세표[시작],$P228)&amp;""))</f>
        <v/>
      </c>
      <c r="F228">
        <f>IF($P228="","",IF(ISNUMBER(INDEX(상세표[블록종료],$P228)),TEXT(INDEX(상세표[블록종료],$P228),"yyyy-mm-dd hh:mm"),INDEX(상세표[블록종료],$P228)&amp;""))</f>
        <v/>
      </c>
      <c r="G228">
        <f>IF($P228="","",CHOOSE(WEEKDAY(INDEX(상세표[시작],$P228)),"일","월","화","수","목","금","토"))</f>
        <v/>
      </c>
      <c r="H228">
        <f>IF($P228="","",INDEX(상세표[연속 시간],$P228))</f>
        <v/>
      </c>
      <c r="I228">
        <f>IF($P228="","",INDEX(상세표[기록 수],$P228))</f>
        <v/>
      </c>
      <c r="J228">
        <f>IF($P228="","",INDEX(상세표[블록 06~07시],$P228))</f>
        <v/>
      </c>
      <c r="K228">
        <f>IF($P228="","",INDEX(상세표[블록 07~18시],$P228))</f>
        <v/>
      </c>
      <c r="L228">
        <f>IF($P228="","",INDEX(상세표[블록 18~22시],$P228))</f>
        <v/>
      </c>
      <c r="M228">
        <f>IF($P228="","",INDEX(상세표[블록 22~06시],$P228))</f>
        <v/>
      </c>
      <c r="N228">
        <f>IF($P228="","",INDEX(상세표[주말·휴일 포함],$P228)&amp;"")</f>
        <v/>
      </c>
      <c r="O228">
        <f>IF($P228="","",INDEX(상세표[월 넘김 포함],$P228)&amp;"")</f>
        <v/>
      </c>
      <c r="P228" s="4">
        <f>IFERROR(MATCH(223,상세표[연속순번],0),"")</f>
        <v/>
      </c>
    </row>
    <row r="229">
      <c r="A229">
        <f>IF($P229="","",INDEX(상세표[사번],$P229)&amp;"")</f>
        <v/>
      </c>
      <c r="B229">
        <f>IF($P229="","",INDEX(상세표[성명],$P229)&amp;"")</f>
        <v/>
      </c>
      <c r="C229">
        <f>IF($P229="","",INDEX(상세표[부서],$P229)&amp;"")</f>
        <v/>
      </c>
      <c r="D229">
        <f>IF($P229="","",INDEX(상세표[직위],$P229)&amp;"")</f>
        <v/>
      </c>
      <c r="E229">
        <f>IF($P229="","",IF(ISNUMBER(INDEX(상세표[시작],$P229)),TEXT(INDEX(상세표[시작],$P229),"yyyy-mm-dd hh:mm"),INDEX(상세표[시작],$P229)&amp;""))</f>
        <v/>
      </c>
      <c r="F229">
        <f>IF($P229="","",IF(ISNUMBER(INDEX(상세표[블록종료],$P229)),TEXT(INDEX(상세표[블록종료],$P229),"yyyy-mm-dd hh:mm"),INDEX(상세표[블록종료],$P229)&amp;""))</f>
        <v/>
      </c>
      <c r="G229">
        <f>IF($P229="","",CHOOSE(WEEKDAY(INDEX(상세표[시작],$P229)),"일","월","화","수","목","금","토"))</f>
        <v/>
      </c>
      <c r="H229">
        <f>IF($P229="","",INDEX(상세표[연속 시간],$P229))</f>
        <v/>
      </c>
      <c r="I229">
        <f>IF($P229="","",INDEX(상세표[기록 수],$P229))</f>
        <v/>
      </c>
      <c r="J229">
        <f>IF($P229="","",INDEX(상세표[블록 06~07시],$P229))</f>
        <v/>
      </c>
      <c r="K229">
        <f>IF($P229="","",INDEX(상세표[블록 07~18시],$P229))</f>
        <v/>
      </c>
      <c r="L229">
        <f>IF($P229="","",INDEX(상세표[블록 18~22시],$P229))</f>
        <v/>
      </c>
      <c r="M229">
        <f>IF($P229="","",INDEX(상세표[블록 22~06시],$P229))</f>
        <v/>
      </c>
      <c r="N229">
        <f>IF($P229="","",INDEX(상세표[주말·휴일 포함],$P229)&amp;"")</f>
        <v/>
      </c>
      <c r="O229">
        <f>IF($P229="","",INDEX(상세표[월 넘김 포함],$P229)&amp;"")</f>
        <v/>
      </c>
      <c r="P229" s="4">
        <f>IFERROR(MATCH(224,상세표[연속순번],0),"")</f>
        <v/>
      </c>
    </row>
    <row r="230">
      <c r="A230">
        <f>IF($P230="","",INDEX(상세표[사번],$P230)&amp;"")</f>
        <v/>
      </c>
      <c r="B230">
        <f>IF($P230="","",INDEX(상세표[성명],$P230)&amp;"")</f>
        <v/>
      </c>
      <c r="C230">
        <f>IF($P230="","",INDEX(상세표[부서],$P230)&amp;"")</f>
        <v/>
      </c>
      <c r="D230">
        <f>IF($P230="","",INDEX(상세표[직위],$P230)&amp;"")</f>
        <v/>
      </c>
      <c r="E230">
        <f>IF($P230="","",IF(ISNUMBER(INDEX(상세표[시작],$P230)),TEXT(INDEX(상세표[시작],$P230),"yyyy-mm-dd hh:mm"),INDEX(상세표[시작],$P230)&amp;""))</f>
        <v/>
      </c>
      <c r="F230">
        <f>IF($P230="","",IF(ISNUMBER(INDEX(상세표[블록종료],$P230)),TEXT(INDEX(상세표[블록종료],$P230),"yyyy-mm-dd hh:mm"),INDEX(상세표[블록종료],$P230)&amp;""))</f>
        <v/>
      </c>
      <c r="G230">
        <f>IF($P230="","",CHOOSE(WEEKDAY(INDEX(상세표[시작],$P230)),"일","월","화","수","목","금","토"))</f>
        <v/>
      </c>
      <c r="H230">
        <f>IF($P230="","",INDEX(상세표[연속 시간],$P230))</f>
        <v/>
      </c>
      <c r="I230">
        <f>IF($P230="","",INDEX(상세표[기록 수],$P230))</f>
        <v/>
      </c>
      <c r="J230">
        <f>IF($P230="","",INDEX(상세표[블록 06~07시],$P230))</f>
        <v/>
      </c>
      <c r="K230">
        <f>IF($P230="","",INDEX(상세표[블록 07~18시],$P230))</f>
        <v/>
      </c>
      <c r="L230">
        <f>IF($P230="","",INDEX(상세표[블록 18~22시],$P230))</f>
        <v/>
      </c>
      <c r="M230">
        <f>IF($P230="","",INDEX(상세표[블록 22~06시],$P230))</f>
        <v/>
      </c>
      <c r="N230">
        <f>IF($P230="","",INDEX(상세표[주말·휴일 포함],$P230)&amp;"")</f>
        <v/>
      </c>
      <c r="O230">
        <f>IF($P230="","",INDEX(상세표[월 넘김 포함],$P230)&amp;"")</f>
        <v/>
      </c>
      <c r="P230" s="4">
        <f>IFERROR(MATCH(225,상세표[연속순번],0),"")</f>
        <v/>
      </c>
    </row>
    <row r="231">
      <c r="A231">
        <f>IF($P231="","",INDEX(상세표[사번],$P231)&amp;"")</f>
        <v/>
      </c>
      <c r="B231">
        <f>IF($P231="","",INDEX(상세표[성명],$P231)&amp;"")</f>
        <v/>
      </c>
      <c r="C231">
        <f>IF($P231="","",INDEX(상세표[부서],$P231)&amp;"")</f>
        <v/>
      </c>
      <c r="D231">
        <f>IF($P231="","",INDEX(상세표[직위],$P231)&amp;"")</f>
        <v/>
      </c>
      <c r="E231">
        <f>IF($P231="","",IF(ISNUMBER(INDEX(상세표[시작],$P231)),TEXT(INDEX(상세표[시작],$P231),"yyyy-mm-dd hh:mm"),INDEX(상세표[시작],$P231)&amp;""))</f>
        <v/>
      </c>
      <c r="F231">
        <f>IF($P231="","",IF(ISNUMBER(INDEX(상세표[블록종료],$P231)),TEXT(INDEX(상세표[블록종료],$P231),"yyyy-mm-dd hh:mm"),INDEX(상세표[블록종료],$P231)&amp;""))</f>
        <v/>
      </c>
      <c r="G231">
        <f>IF($P231="","",CHOOSE(WEEKDAY(INDEX(상세표[시작],$P231)),"일","월","화","수","목","금","토"))</f>
        <v/>
      </c>
      <c r="H231">
        <f>IF($P231="","",INDEX(상세표[연속 시간],$P231))</f>
        <v/>
      </c>
      <c r="I231">
        <f>IF($P231="","",INDEX(상세표[기록 수],$P231))</f>
        <v/>
      </c>
      <c r="J231">
        <f>IF($P231="","",INDEX(상세표[블록 06~07시],$P231))</f>
        <v/>
      </c>
      <c r="K231">
        <f>IF($P231="","",INDEX(상세표[블록 07~18시],$P231))</f>
        <v/>
      </c>
      <c r="L231">
        <f>IF($P231="","",INDEX(상세표[블록 18~22시],$P231))</f>
        <v/>
      </c>
      <c r="M231">
        <f>IF($P231="","",INDEX(상세표[블록 22~06시],$P231))</f>
        <v/>
      </c>
      <c r="N231">
        <f>IF($P231="","",INDEX(상세표[주말·휴일 포함],$P231)&amp;"")</f>
        <v/>
      </c>
      <c r="O231">
        <f>IF($P231="","",INDEX(상세표[월 넘김 포함],$P231)&amp;"")</f>
        <v/>
      </c>
      <c r="P231" s="4">
        <f>IFERROR(MATCH(226,상세표[연속순번],0),"")</f>
        <v/>
      </c>
    </row>
    <row r="232">
      <c r="A232">
        <f>IF($P232="","",INDEX(상세표[사번],$P232)&amp;"")</f>
        <v/>
      </c>
      <c r="B232">
        <f>IF($P232="","",INDEX(상세표[성명],$P232)&amp;"")</f>
        <v/>
      </c>
      <c r="C232">
        <f>IF($P232="","",INDEX(상세표[부서],$P232)&amp;"")</f>
        <v/>
      </c>
      <c r="D232">
        <f>IF($P232="","",INDEX(상세표[직위],$P232)&amp;"")</f>
        <v/>
      </c>
      <c r="E232">
        <f>IF($P232="","",IF(ISNUMBER(INDEX(상세표[시작],$P232)),TEXT(INDEX(상세표[시작],$P232),"yyyy-mm-dd hh:mm"),INDEX(상세표[시작],$P232)&amp;""))</f>
        <v/>
      </c>
      <c r="F232">
        <f>IF($P232="","",IF(ISNUMBER(INDEX(상세표[블록종료],$P232)),TEXT(INDEX(상세표[블록종료],$P232),"yyyy-mm-dd hh:mm"),INDEX(상세표[블록종료],$P232)&amp;""))</f>
        <v/>
      </c>
      <c r="G232">
        <f>IF($P232="","",CHOOSE(WEEKDAY(INDEX(상세표[시작],$P232)),"일","월","화","수","목","금","토"))</f>
        <v/>
      </c>
      <c r="H232">
        <f>IF($P232="","",INDEX(상세표[연속 시간],$P232))</f>
        <v/>
      </c>
      <c r="I232">
        <f>IF($P232="","",INDEX(상세표[기록 수],$P232))</f>
        <v/>
      </c>
      <c r="J232">
        <f>IF($P232="","",INDEX(상세표[블록 06~07시],$P232))</f>
        <v/>
      </c>
      <c r="K232">
        <f>IF($P232="","",INDEX(상세표[블록 07~18시],$P232))</f>
        <v/>
      </c>
      <c r="L232">
        <f>IF($P232="","",INDEX(상세표[블록 18~22시],$P232))</f>
        <v/>
      </c>
      <c r="M232">
        <f>IF($P232="","",INDEX(상세표[블록 22~06시],$P232))</f>
        <v/>
      </c>
      <c r="N232">
        <f>IF($P232="","",INDEX(상세표[주말·휴일 포함],$P232)&amp;"")</f>
        <v/>
      </c>
      <c r="O232">
        <f>IF($P232="","",INDEX(상세표[월 넘김 포함],$P232)&amp;"")</f>
        <v/>
      </c>
      <c r="P232" s="4">
        <f>IFERROR(MATCH(227,상세표[연속순번],0),"")</f>
        <v/>
      </c>
    </row>
    <row r="233">
      <c r="A233">
        <f>IF($P233="","",INDEX(상세표[사번],$P233)&amp;"")</f>
        <v/>
      </c>
      <c r="B233">
        <f>IF($P233="","",INDEX(상세표[성명],$P233)&amp;"")</f>
        <v/>
      </c>
      <c r="C233">
        <f>IF($P233="","",INDEX(상세표[부서],$P233)&amp;"")</f>
        <v/>
      </c>
      <c r="D233">
        <f>IF($P233="","",INDEX(상세표[직위],$P233)&amp;"")</f>
        <v/>
      </c>
      <c r="E233">
        <f>IF($P233="","",IF(ISNUMBER(INDEX(상세표[시작],$P233)),TEXT(INDEX(상세표[시작],$P233),"yyyy-mm-dd hh:mm"),INDEX(상세표[시작],$P233)&amp;""))</f>
        <v/>
      </c>
      <c r="F233">
        <f>IF($P233="","",IF(ISNUMBER(INDEX(상세표[블록종료],$P233)),TEXT(INDEX(상세표[블록종료],$P233),"yyyy-mm-dd hh:mm"),INDEX(상세표[블록종료],$P233)&amp;""))</f>
        <v/>
      </c>
      <c r="G233">
        <f>IF($P233="","",CHOOSE(WEEKDAY(INDEX(상세표[시작],$P233)),"일","월","화","수","목","금","토"))</f>
        <v/>
      </c>
      <c r="H233">
        <f>IF($P233="","",INDEX(상세표[연속 시간],$P233))</f>
        <v/>
      </c>
      <c r="I233">
        <f>IF($P233="","",INDEX(상세표[기록 수],$P233))</f>
        <v/>
      </c>
      <c r="J233">
        <f>IF($P233="","",INDEX(상세표[블록 06~07시],$P233))</f>
        <v/>
      </c>
      <c r="K233">
        <f>IF($P233="","",INDEX(상세표[블록 07~18시],$P233))</f>
        <v/>
      </c>
      <c r="L233">
        <f>IF($P233="","",INDEX(상세표[블록 18~22시],$P233))</f>
        <v/>
      </c>
      <c r="M233">
        <f>IF($P233="","",INDEX(상세표[블록 22~06시],$P233))</f>
        <v/>
      </c>
      <c r="N233">
        <f>IF($P233="","",INDEX(상세표[주말·휴일 포함],$P233)&amp;"")</f>
        <v/>
      </c>
      <c r="O233">
        <f>IF($P233="","",INDEX(상세표[월 넘김 포함],$P233)&amp;"")</f>
        <v/>
      </c>
      <c r="P233" s="4">
        <f>IFERROR(MATCH(228,상세표[연속순번],0),"")</f>
        <v/>
      </c>
    </row>
    <row r="234">
      <c r="A234">
        <f>IF($P234="","",INDEX(상세표[사번],$P234)&amp;"")</f>
        <v/>
      </c>
      <c r="B234">
        <f>IF($P234="","",INDEX(상세표[성명],$P234)&amp;"")</f>
        <v/>
      </c>
      <c r="C234">
        <f>IF($P234="","",INDEX(상세표[부서],$P234)&amp;"")</f>
        <v/>
      </c>
      <c r="D234">
        <f>IF($P234="","",INDEX(상세표[직위],$P234)&amp;"")</f>
        <v/>
      </c>
      <c r="E234">
        <f>IF($P234="","",IF(ISNUMBER(INDEX(상세표[시작],$P234)),TEXT(INDEX(상세표[시작],$P234),"yyyy-mm-dd hh:mm"),INDEX(상세표[시작],$P234)&amp;""))</f>
        <v/>
      </c>
      <c r="F234">
        <f>IF($P234="","",IF(ISNUMBER(INDEX(상세표[블록종료],$P234)),TEXT(INDEX(상세표[블록종료],$P234),"yyyy-mm-dd hh:mm"),INDEX(상세표[블록종료],$P234)&amp;""))</f>
        <v/>
      </c>
      <c r="G234">
        <f>IF($P234="","",CHOOSE(WEEKDAY(INDEX(상세표[시작],$P234)),"일","월","화","수","목","금","토"))</f>
        <v/>
      </c>
      <c r="H234">
        <f>IF($P234="","",INDEX(상세표[연속 시간],$P234))</f>
        <v/>
      </c>
      <c r="I234">
        <f>IF($P234="","",INDEX(상세표[기록 수],$P234))</f>
        <v/>
      </c>
      <c r="J234">
        <f>IF($P234="","",INDEX(상세표[블록 06~07시],$P234))</f>
        <v/>
      </c>
      <c r="K234">
        <f>IF($P234="","",INDEX(상세표[블록 07~18시],$P234))</f>
        <v/>
      </c>
      <c r="L234">
        <f>IF($P234="","",INDEX(상세표[블록 18~22시],$P234))</f>
        <v/>
      </c>
      <c r="M234">
        <f>IF($P234="","",INDEX(상세표[블록 22~06시],$P234))</f>
        <v/>
      </c>
      <c r="N234">
        <f>IF($P234="","",INDEX(상세표[주말·휴일 포함],$P234)&amp;"")</f>
        <v/>
      </c>
      <c r="O234">
        <f>IF($P234="","",INDEX(상세표[월 넘김 포함],$P234)&amp;"")</f>
        <v/>
      </c>
      <c r="P234" s="4">
        <f>IFERROR(MATCH(229,상세표[연속순번],0),"")</f>
        <v/>
      </c>
    </row>
    <row r="235">
      <c r="A235">
        <f>IF($P235="","",INDEX(상세표[사번],$P235)&amp;"")</f>
        <v/>
      </c>
      <c r="B235">
        <f>IF($P235="","",INDEX(상세표[성명],$P235)&amp;"")</f>
        <v/>
      </c>
      <c r="C235">
        <f>IF($P235="","",INDEX(상세표[부서],$P235)&amp;"")</f>
        <v/>
      </c>
      <c r="D235">
        <f>IF($P235="","",INDEX(상세표[직위],$P235)&amp;"")</f>
        <v/>
      </c>
      <c r="E235">
        <f>IF($P235="","",IF(ISNUMBER(INDEX(상세표[시작],$P235)),TEXT(INDEX(상세표[시작],$P235),"yyyy-mm-dd hh:mm"),INDEX(상세표[시작],$P235)&amp;""))</f>
        <v/>
      </c>
      <c r="F235">
        <f>IF($P235="","",IF(ISNUMBER(INDEX(상세표[블록종료],$P235)),TEXT(INDEX(상세표[블록종료],$P235),"yyyy-mm-dd hh:mm"),INDEX(상세표[블록종료],$P235)&amp;""))</f>
        <v/>
      </c>
      <c r="G235">
        <f>IF($P235="","",CHOOSE(WEEKDAY(INDEX(상세표[시작],$P235)),"일","월","화","수","목","금","토"))</f>
        <v/>
      </c>
      <c r="H235">
        <f>IF($P235="","",INDEX(상세표[연속 시간],$P235))</f>
        <v/>
      </c>
      <c r="I235">
        <f>IF($P235="","",INDEX(상세표[기록 수],$P235))</f>
        <v/>
      </c>
      <c r="J235">
        <f>IF($P235="","",INDEX(상세표[블록 06~07시],$P235))</f>
        <v/>
      </c>
      <c r="K235">
        <f>IF($P235="","",INDEX(상세표[블록 07~18시],$P235))</f>
        <v/>
      </c>
      <c r="L235">
        <f>IF($P235="","",INDEX(상세표[블록 18~22시],$P235))</f>
        <v/>
      </c>
      <c r="M235">
        <f>IF($P235="","",INDEX(상세표[블록 22~06시],$P235))</f>
        <v/>
      </c>
      <c r="N235">
        <f>IF($P235="","",INDEX(상세표[주말·휴일 포함],$P235)&amp;"")</f>
        <v/>
      </c>
      <c r="O235">
        <f>IF($P235="","",INDEX(상세표[월 넘김 포함],$P235)&amp;"")</f>
        <v/>
      </c>
      <c r="P235" s="4">
        <f>IFERROR(MATCH(230,상세표[연속순번],0),"")</f>
        <v/>
      </c>
    </row>
    <row r="236">
      <c r="A236">
        <f>IF($P236="","",INDEX(상세표[사번],$P236)&amp;"")</f>
        <v/>
      </c>
      <c r="B236">
        <f>IF($P236="","",INDEX(상세표[성명],$P236)&amp;"")</f>
        <v/>
      </c>
      <c r="C236">
        <f>IF($P236="","",INDEX(상세표[부서],$P236)&amp;"")</f>
        <v/>
      </c>
      <c r="D236">
        <f>IF($P236="","",INDEX(상세표[직위],$P236)&amp;"")</f>
        <v/>
      </c>
      <c r="E236">
        <f>IF($P236="","",IF(ISNUMBER(INDEX(상세표[시작],$P236)),TEXT(INDEX(상세표[시작],$P236),"yyyy-mm-dd hh:mm"),INDEX(상세표[시작],$P236)&amp;""))</f>
        <v/>
      </c>
      <c r="F236">
        <f>IF($P236="","",IF(ISNUMBER(INDEX(상세표[블록종료],$P236)),TEXT(INDEX(상세표[블록종료],$P236),"yyyy-mm-dd hh:mm"),INDEX(상세표[블록종료],$P236)&amp;""))</f>
        <v/>
      </c>
      <c r="G236">
        <f>IF($P236="","",CHOOSE(WEEKDAY(INDEX(상세표[시작],$P236)),"일","월","화","수","목","금","토"))</f>
        <v/>
      </c>
      <c r="H236">
        <f>IF($P236="","",INDEX(상세표[연속 시간],$P236))</f>
        <v/>
      </c>
      <c r="I236">
        <f>IF($P236="","",INDEX(상세표[기록 수],$P236))</f>
        <v/>
      </c>
      <c r="J236">
        <f>IF($P236="","",INDEX(상세표[블록 06~07시],$P236))</f>
        <v/>
      </c>
      <c r="K236">
        <f>IF($P236="","",INDEX(상세표[블록 07~18시],$P236))</f>
        <v/>
      </c>
      <c r="L236">
        <f>IF($P236="","",INDEX(상세표[블록 18~22시],$P236))</f>
        <v/>
      </c>
      <c r="M236">
        <f>IF($P236="","",INDEX(상세표[블록 22~06시],$P236))</f>
        <v/>
      </c>
      <c r="N236">
        <f>IF($P236="","",INDEX(상세표[주말·휴일 포함],$P236)&amp;"")</f>
        <v/>
      </c>
      <c r="O236">
        <f>IF($P236="","",INDEX(상세표[월 넘김 포함],$P236)&amp;"")</f>
        <v/>
      </c>
      <c r="P236" s="4">
        <f>IFERROR(MATCH(231,상세표[연속순번],0),"")</f>
        <v/>
      </c>
    </row>
    <row r="237">
      <c r="A237">
        <f>IF($P237="","",INDEX(상세표[사번],$P237)&amp;"")</f>
        <v/>
      </c>
      <c r="B237">
        <f>IF($P237="","",INDEX(상세표[성명],$P237)&amp;"")</f>
        <v/>
      </c>
      <c r="C237">
        <f>IF($P237="","",INDEX(상세표[부서],$P237)&amp;"")</f>
        <v/>
      </c>
      <c r="D237">
        <f>IF($P237="","",INDEX(상세표[직위],$P237)&amp;"")</f>
        <v/>
      </c>
      <c r="E237">
        <f>IF($P237="","",IF(ISNUMBER(INDEX(상세표[시작],$P237)),TEXT(INDEX(상세표[시작],$P237),"yyyy-mm-dd hh:mm"),INDEX(상세표[시작],$P237)&amp;""))</f>
        <v/>
      </c>
      <c r="F237">
        <f>IF($P237="","",IF(ISNUMBER(INDEX(상세표[블록종료],$P237)),TEXT(INDEX(상세표[블록종료],$P237),"yyyy-mm-dd hh:mm"),INDEX(상세표[블록종료],$P237)&amp;""))</f>
        <v/>
      </c>
      <c r="G237">
        <f>IF($P237="","",CHOOSE(WEEKDAY(INDEX(상세표[시작],$P237)),"일","월","화","수","목","금","토"))</f>
        <v/>
      </c>
      <c r="H237">
        <f>IF($P237="","",INDEX(상세표[연속 시간],$P237))</f>
        <v/>
      </c>
      <c r="I237">
        <f>IF($P237="","",INDEX(상세표[기록 수],$P237))</f>
        <v/>
      </c>
      <c r="J237">
        <f>IF($P237="","",INDEX(상세표[블록 06~07시],$P237))</f>
        <v/>
      </c>
      <c r="K237">
        <f>IF($P237="","",INDEX(상세표[블록 07~18시],$P237))</f>
        <v/>
      </c>
      <c r="L237">
        <f>IF($P237="","",INDEX(상세표[블록 18~22시],$P237))</f>
        <v/>
      </c>
      <c r="M237">
        <f>IF($P237="","",INDEX(상세표[블록 22~06시],$P237))</f>
        <v/>
      </c>
      <c r="N237">
        <f>IF($P237="","",INDEX(상세표[주말·휴일 포함],$P237)&amp;"")</f>
        <v/>
      </c>
      <c r="O237">
        <f>IF($P237="","",INDEX(상세표[월 넘김 포함],$P237)&amp;"")</f>
        <v/>
      </c>
      <c r="P237" s="4">
        <f>IFERROR(MATCH(232,상세표[연속순번],0),"")</f>
        <v/>
      </c>
    </row>
    <row r="238">
      <c r="A238">
        <f>IF($P238="","",INDEX(상세표[사번],$P238)&amp;"")</f>
        <v/>
      </c>
      <c r="B238">
        <f>IF($P238="","",INDEX(상세표[성명],$P238)&amp;"")</f>
        <v/>
      </c>
      <c r="C238">
        <f>IF($P238="","",INDEX(상세표[부서],$P238)&amp;"")</f>
        <v/>
      </c>
      <c r="D238">
        <f>IF($P238="","",INDEX(상세표[직위],$P238)&amp;"")</f>
        <v/>
      </c>
      <c r="E238">
        <f>IF($P238="","",IF(ISNUMBER(INDEX(상세표[시작],$P238)),TEXT(INDEX(상세표[시작],$P238),"yyyy-mm-dd hh:mm"),INDEX(상세표[시작],$P238)&amp;""))</f>
        <v/>
      </c>
      <c r="F238">
        <f>IF($P238="","",IF(ISNUMBER(INDEX(상세표[블록종료],$P238)),TEXT(INDEX(상세표[블록종료],$P238),"yyyy-mm-dd hh:mm"),INDEX(상세표[블록종료],$P238)&amp;""))</f>
        <v/>
      </c>
      <c r="G238">
        <f>IF($P238="","",CHOOSE(WEEKDAY(INDEX(상세표[시작],$P238)),"일","월","화","수","목","금","토"))</f>
        <v/>
      </c>
      <c r="H238">
        <f>IF($P238="","",INDEX(상세표[연속 시간],$P238))</f>
        <v/>
      </c>
      <c r="I238">
        <f>IF($P238="","",INDEX(상세표[기록 수],$P238))</f>
        <v/>
      </c>
      <c r="J238">
        <f>IF($P238="","",INDEX(상세표[블록 06~07시],$P238))</f>
        <v/>
      </c>
      <c r="K238">
        <f>IF($P238="","",INDEX(상세표[블록 07~18시],$P238))</f>
        <v/>
      </c>
      <c r="L238">
        <f>IF($P238="","",INDEX(상세표[블록 18~22시],$P238))</f>
        <v/>
      </c>
      <c r="M238">
        <f>IF($P238="","",INDEX(상세표[블록 22~06시],$P238))</f>
        <v/>
      </c>
      <c r="N238">
        <f>IF($P238="","",INDEX(상세표[주말·휴일 포함],$P238)&amp;"")</f>
        <v/>
      </c>
      <c r="O238">
        <f>IF($P238="","",INDEX(상세표[월 넘김 포함],$P238)&amp;"")</f>
        <v/>
      </c>
      <c r="P238" s="4">
        <f>IFERROR(MATCH(233,상세표[연속순번],0),"")</f>
        <v/>
      </c>
    </row>
    <row r="239">
      <c r="A239">
        <f>IF($P239="","",INDEX(상세표[사번],$P239)&amp;"")</f>
        <v/>
      </c>
      <c r="B239">
        <f>IF($P239="","",INDEX(상세표[성명],$P239)&amp;"")</f>
        <v/>
      </c>
      <c r="C239">
        <f>IF($P239="","",INDEX(상세표[부서],$P239)&amp;"")</f>
        <v/>
      </c>
      <c r="D239">
        <f>IF($P239="","",INDEX(상세표[직위],$P239)&amp;"")</f>
        <v/>
      </c>
      <c r="E239">
        <f>IF($P239="","",IF(ISNUMBER(INDEX(상세표[시작],$P239)),TEXT(INDEX(상세표[시작],$P239),"yyyy-mm-dd hh:mm"),INDEX(상세표[시작],$P239)&amp;""))</f>
        <v/>
      </c>
      <c r="F239">
        <f>IF($P239="","",IF(ISNUMBER(INDEX(상세표[블록종료],$P239)),TEXT(INDEX(상세표[블록종료],$P239),"yyyy-mm-dd hh:mm"),INDEX(상세표[블록종료],$P239)&amp;""))</f>
        <v/>
      </c>
      <c r="G239">
        <f>IF($P239="","",CHOOSE(WEEKDAY(INDEX(상세표[시작],$P239)),"일","월","화","수","목","금","토"))</f>
        <v/>
      </c>
      <c r="H239">
        <f>IF($P239="","",INDEX(상세표[연속 시간],$P239))</f>
        <v/>
      </c>
      <c r="I239">
        <f>IF($P239="","",INDEX(상세표[기록 수],$P239))</f>
        <v/>
      </c>
      <c r="J239">
        <f>IF($P239="","",INDEX(상세표[블록 06~07시],$P239))</f>
        <v/>
      </c>
      <c r="K239">
        <f>IF($P239="","",INDEX(상세표[블록 07~18시],$P239))</f>
        <v/>
      </c>
      <c r="L239">
        <f>IF($P239="","",INDEX(상세표[블록 18~22시],$P239))</f>
        <v/>
      </c>
      <c r="M239">
        <f>IF($P239="","",INDEX(상세표[블록 22~06시],$P239))</f>
        <v/>
      </c>
      <c r="N239">
        <f>IF($P239="","",INDEX(상세표[주말·휴일 포함],$P239)&amp;"")</f>
        <v/>
      </c>
      <c r="O239">
        <f>IF($P239="","",INDEX(상세표[월 넘김 포함],$P239)&amp;"")</f>
        <v/>
      </c>
      <c r="P239" s="4">
        <f>IFERROR(MATCH(234,상세표[연속순번],0),"")</f>
        <v/>
      </c>
    </row>
    <row r="240">
      <c r="A240">
        <f>IF($P240="","",INDEX(상세표[사번],$P240)&amp;"")</f>
        <v/>
      </c>
      <c r="B240">
        <f>IF($P240="","",INDEX(상세표[성명],$P240)&amp;"")</f>
        <v/>
      </c>
      <c r="C240">
        <f>IF($P240="","",INDEX(상세표[부서],$P240)&amp;"")</f>
        <v/>
      </c>
      <c r="D240">
        <f>IF($P240="","",INDEX(상세표[직위],$P240)&amp;"")</f>
        <v/>
      </c>
      <c r="E240">
        <f>IF($P240="","",IF(ISNUMBER(INDEX(상세표[시작],$P240)),TEXT(INDEX(상세표[시작],$P240),"yyyy-mm-dd hh:mm"),INDEX(상세표[시작],$P240)&amp;""))</f>
        <v/>
      </c>
      <c r="F240">
        <f>IF($P240="","",IF(ISNUMBER(INDEX(상세표[블록종료],$P240)),TEXT(INDEX(상세표[블록종료],$P240),"yyyy-mm-dd hh:mm"),INDEX(상세표[블록종료],$P240)&amp;""))</f>
        <v/>
      </c>
      <c r="G240">
        <f>IF($P240="","",CHOOSE(WEEKDAY(INDEX(상세표[시작],$P240)),"일","월","화","수","목","금","토"))</f>
        <v/>
      </c>
      <c r="H240">
        <f>IF($P240="","",INDEX(상세표[연속 시간],$P240))</f>
        <v/>
      </c>
      <c r="I240">
        <f>IF($P240="","",INDEX(상세표[기록 수],$P240))</f>
        <v/>
      </c>
      <c r="J240">
        <f>IF($P240="","",INDEX(상세표[블록 06~07시],$P240))</f>
        <v/>
      </c>
      <c r="K240">
        <f>IF($P240="","",INDEX(상세표[블록 07~18시],$P240))</f>
        <v/>
      </c>
      <c r="L240">
        <f>IF($P240="","",INDEX(상세표[블록 18~22시],$P240))</f>
        <v/>
      </c>
      <c r="M240">
        <f>IF($P240="","",INDEX(상세표[블록 22~06시],$P240))</f>
        <v/>
      </c>
      <c r="N240">
        <f>IF($P240="","",INDEX(상세표[주말·휴일 포함],$P240)&amp;"")</f>
        <v/>
      </c>
      <c r="O240">
        <f>IF($P240="","",INDEX(상세표[월 넘김 포함],$P240)&amp;"")</f>
        <v/>
      </c>
      <c r="P240" s="4">
        <f>IFERROR(MATCH(235,상세표[연속순번],0),"")</f>
        <v/>
      </c>
    </row>
    <row r="241">
      <c r="A241">
        <f>IF($P241="","",INDEX(상세표[사번],$P241)&amp;"")</f>
        <v/>
      </c>
      <c r="B241">
        <f>IF($P241="","",INDEX(상세표[성명],$P241)&amp;"")</f>
        <v/>
      </c>
      <c r="C241">
        <f>IF($P241="","",INDEX(상세표[부서],$P241)&amp;"")</f>
        <v/>
      </c>
      <c r="D241">
        <f>IF($P241="","",INDEX(상세표[직위],$P241)&amp;"")</f>
        <v/>
      </c>
      <c r="E241">
        <f>IF($P241="","",IF(ISNUMBER(INDEX(상세표[시작],$P241)),TEXT(INDEX(상세표[시작],$P241),"yyyy-mm-dd hh:mm"),INDEX(상세표[시작],$P241)&amp;""))</f>
        <v/>
      </c>
      <c r="F241">
        <f>IF($P241="","",IF(ISNUMBER(INDEX(상세표[블록종료],$P241)),TEXT(INDEX(상세표[블록종료],$P241),"yyyy-mm-dd hh:mm"),INDEX(상세표[블록종료],$P241)&amp;""))</f>
        <v/>
      </c>
      <c r="G241">
        <f>IF($P241="","",CHOOSE(WEEKDAY(INDEX(상세표[시작],$P241)),"일","월","화","수","목","금","토"))</f>
        <v/>
      </c>
      <c r="H241">
        <f>IF($P241="","",INDEX(상세표[연속 시간],$P241))</f>
        <v/>
      </c>
      <c r="I241">
        <f>IF($P241="","",INDEX(상세표[기록 수],$P241))</f>
        <v/>
      </c>
      <c r="J241">
        <f>IF($P241="","",INDEX(상세표[블록 06~07시],$P241))</f>
        <v/>
      </c>
      <c r="K241">
        <f>IF($P241="","",INDEX(상세표[블록 07~18시],$P241))</f>
        <v/>
      </c>
      <c r="L241">
        <f>IF($P241="","",INDEX(상세표[블록 18~22시],$P241))</f>
        <v/>
      </c>
      <c r="M241">
        <f>IF($P241="","",INDEX(상세표[블록 22~06시],$P241))</f>
        <v/>
      </c>
      <c r="N241">
        <f>IF($P241="","",INDEX(상세표[주말·휴일 포함],$P241)&amp;"")</f>
        <v/>
      </c>
      <c r="O241">
        <f>IF($P241="","",INDEX(상세표[월 넘김 포함],$P241)&amp;"")</f>
        <v/>
      </c>
      <c r="P241" s="4">
        <f>IFERROR(MATCH(236,상세표[연속순번],0),"")</f>
        <v/>
      </c>
    </row>
    <row r="242">
      <c r="A242">
        <f>IF($P242="","",INDEX(상세표[사번],$P242)&amp;"")</f>
        <v/>
      </c>
      <c r="B242">
        <f>IF($P242="","",INDEX(상세표[성명],$P242)&amp;"")</f>
        <v/>
      </c>
      <c r="C242">
        <f>IF($P242="","",INDEX(상세표[부서],$P242)&amp;"")</f>
        <v/>
      </c>
      <c r="D242">
        <f>IF($P242="","",INDEX(상세표[직위],$P242)&amp;"")</f>
        <v/>
      </c>
      <c r="E242">
        <f>IF($P242="","",IF(ISNUMBER(INDEX(상세표[시작],$P242)),TEXT(INDEX(상세표[시작],$P242),"yyyy-mm-dd hh:mm"),INDEX(상세표[시작],$P242)&amp;""))</f>
        <v/>
      </c>
      <c r="F242">
        <f>IF($P242="","",IF(ISNUMBER(INDEX(상세표[블록종료],$P242)),TEXT(INDEX(상세표[블록종료],$P242),"yyyy-mm-dd hh:mm"),INDEX(상세표[블록종료],$P242)&amp;""))</f>
        <v/>
      </c>
      <c r="G242">
        <f>IF($P242="","",CHOOSE(WEEKDAY(INDEX(상세표[시작],$P242)),"일","월","화","수","목","금","토"))</f>
        <v/>
      </c>
      <c r="H242">
        <f>IF($P242="","",INDEX(상세표[연속 시간],$P242))</f>
        <v/>
      </c>
      <c r="I242">
        <f>IF($P242="","",INDEX(상세표[기록 수],$P242))</f>
        <v/>
      </c>
      <c r="J242">
        <f>IF($P242="","",INDEX(상세표[블록 06~07시],$P242))</f>
        <v/>
      </c>
      <c r="K242">
        <f>IF($P242="","",INDEX(상세표[블록 07~18시],$P242))</f>
        <v/>
      </c>
      <c r="L242">
        <f>IF($P242="","",INDEX(상세표[블록 18~22시],$P242))</f>
        <v/>
      </c>
      <c r="M242">
        <f>IF($P242="","",INDEX(상세표[블록 22~06시],$P242))</f>
        <v/>
      </c>
      <c r="N242">
        <f>IF($P242="","",INDEX(상세표[주말·휴일 포함],$P242)&amp;"")</f>
        <v/>
      </c>
      <c r="O242">
        <f>IF($P242="","",INDEX(상세표[월 넘김 포함],$P242)&amp;"")</f>
        <v/>
      </c>
      <c r="P242" s="4">
        <f>IFERROR(MATCH(237,상세표[연속순번],0),"")</f>
        <v/>
      </c>
    </row>
    <row r="243">
      <c r="A243">
        <f>IF($P243="","",INDEX(상세표[사번],$P243)&amp;"")</f>
        <v/>
      </c>
      <c r="B243">
        <f>IF($P243="","",INDEX(상세표[성명],$P243)&amp;"")</f>
        <v/>
      </c>
      <c r="C243">
        <f>IF($P243="","",INDEX(상세표[부서],$P243)&amp;"")</f>
        <v/>
      </c>
      <c r="D243">
        <f>IF($P243="","",INDEX(상세표[직위],$P243)&amp;"")</f>
        <v/>
      </c>
      <c r="E243">
        <f>IF($P243="","",IF(ISNUMBER(INDEX(상세표[시작],$P243)),TEXT(INDEX(상세표[시작],$P243),"yyyy-mm-dd hh:mm"),INDEX(상세표[시작],$P243)&amp;""))</f>
        <v/>
      </c>
      <c r="F243">
        <f>IF($P243="","",IF(ISNUMBER(INDEX(상세표[블록종료],$P243)),TEXT(INDEX(상세표[블록종료],$P243),"yyyy-mm-dd hh:mm"),INDEX(상세표[블록종료],$P243)&amp;""))</f>
        <v/>
      </c>
      <c r="G243">
        <f>IF($P243="","",CHOOSE(WEEKDAY(INDEX(상세표[시작],$P243)),"일","월","화","수","목","금","토"))</f>
        <v/>
      </c>
      <c r="H243">
        <f>IF($P243="","",INDEX(상세표[연속 시간],$P243))</f>
        <v/>
      </c>
      <c r="I243">
        <f>IF($P243="","",INDEX(상세표[기록 수],$P243))</f>
        <v/>
      </c>
      <c r="J243">
        <f>IF($P243="","",INDEX(상세표[블록 06~07시],$P243))</f>
        <v/>
      </c>
      <c r="K243">
        <f>IF($P243="","",INDEX(상세표[블록 07~18시],$P243))</f>
        <v/>
      </c>
      <c r="L243">
        <f>IF($P243="","",INDEX(상세표[블록 18~22시],$P243))</f>
        <v/>
      </c>
      <c r="M243">
        <f>IF($P243="","",INDEX(상세표[블록 22~06시],$P243))</f>
        <v/>
      </c>
      <c r="N243">
        <f>IF($P243="","",INDEX(상세표[주말·휴일 포함],$P243)&amp;"")</f>
        <v/>
      </c>
      <c r="O243">
        <f>IF($P243="","",INDEX(상세표[월 넘김 포함],$P243)&amp;"")</f>
        <v/>
      </c>
      <c r="P243" s="4">
        <f>IFERROR(MATCH(238,상세표[연속순번],0),"")</f>
        <v/>
      </c>
    </row>
    <row r="244">
      <c r="A244">
        <f>IF($P244="","",INDEX(상세표[사번],$P244)&amp;"")</f>
        <v/>
      </c>
      <c r="B244">
        <f>IF($P244="","",INDEX(상세표[성명],$P244)&amp;"")</f>
        <v/>
      </c>
      <c r="C244">
        <f>IF($P244="","",INDEX(상세표[부서],$P244)&amp;"")</f>
        <v/>
      </c>
      <c r="D244">
        <f>IF($P244="","",INDEX(상세표[직위],$P244)&amp;"")</f>
        <v/>
      </c>
      <c r="E244">
        <f>IF($P244="","",IF(ISNUMBER(INDEX(상세표[시작],$P244)),TEXT(INDEX(상세표[시작],$P244),"yyyy-mm-dd hh:mm"),INDEX(상세표[시작],$P244)&amp;""))</f>
        <v/>
      </c>
      <c r="F244">
        <f>IF($P244="","",IF(ISNUMBER(INDEX(상세표[블록종료],$P244)),TEXT(INDEX(상세표[블록종료],$P244),"yyyy-mm-dd hh:mm"),INDEX(상세표[블록종료],$P244)&amp;""))</f>
        <v/>
      </c>
      <c r="G244">
        <f>IF($P244="","",CHOOSE(WEEKDAY(INDEX(상세표[시작],$P244)),"일","월","화","수","목","금","토"))</f>
        <v/>
      </c>
      <c r="H244">
        <f>IF($P244="","",INDEX(상세표[연속 시간],$P244))</f>
        <v/>
      </c>
      <c r="I244">
        <f>IF($P244="","",INDEX(상세표[기록 수],$P244))</f>
        <v/>
      </c>
      <c r="J244">
        <f>IF($P244="","",INDEX(상세표[블록 06~07시],$P244))</f>
        <v/>
      </c>
      <c r="K244">
        <f>IF($P244="","",INDEX(상세표[블록 07~18시],$P244))</f>
        <v/>
      </c>
      <c r="L244">
        <f>IF($P244="","",INDEX(상세표[블록 18~22시],$P244))</f>
        <v/>
      </c>
      <c r="M244">
        <f>IF($P244="","",INDEX(상세표[블록 22~06시],$P244))</f>
        <v/>
      </c>
      <c r="N244">
        <f>IF($P244="","",INDEX(상세표[주말·휴일 포함],$P244)&amp;"")</f>
        <v/>
      </c>
      <c r="O244">
        <f>IF($P244="","",INDEX(상세표[월 넘김 포함],$P244)&amp;"")</f>
        <v/>
      </c>
      <c r="P244" s="4">
        <f>IFERROR(MATCH(239,상세표[연속순번],0),"")</f>
        <v/>
      </c>
    </row>
    <row r="245">
      <c r="A245">
        <f>IF($P245="","",INDEX(상세표[사번],$P245)&amp;"")</f>
        <v/>
      </c>
      <c r="B245">
        <f>IF($P245="","",INDEX(상세표[성명],$P245)&amp;"")</f>
        <v/>
      </c>
      <c r="C245">
        <f>IF($P245="","",INDEX(상세표[부서],$P245)&amp;"")</f>
        <v/>
      </c>
      <c r="D245">
        <f>IF($P245="","",INDEX(상세표[직위],$P245)&amp;"")</f>
        <v/>
      </c>
      <c r="E245">
        <f>IF($P245="","",IF(ISNUMBER(INDEX(상세표[시작],$P245)),TEXT(INDEX(상세표[시작],$P245),"yyyy-mm-dd hh:mm"),INDEX(상세표[시작],$P245)&amp;""))</f>
        <v/>
      </c>
      <c r="F245">
        <f>IF($P245="","",IF(ISNUMBER(INDEX(상세표[블록종료],$P245)),TEXT(INDEX(상세표[블록종료],$P245),"yyyy-mm-dd hh:mm"),INDEX(상세표[블록종료],$P245)&amp;""))</f>
        <v/>
      </c>
      <c r="G245">
        <f>IF($P245="","",CHOOSE(WEEKDAY(INDEX(상세표[시작],$P245)),"일","월","화","수","목","금","토"))</f>
        <v/>
      </c>
      <c r="H245">
        <f>IF($P245="","",INDEX(상세표[연속 시간],$P245))</f>
        <v/>
      </c>
      <c r="I245">
        <f>IF($P245="","",INDEX(상세표[기록 수],$P245))</f>
        <v/>
      </c>
      <c r="J245">
        <f>IF($P245="","",INDEX(상세표[블록 06~07시],$P245))</f>
        <v/>
      </c>
      <c r="K245">
        <f>IF($P245="","",INDEX(상세표[블록 07~18시],$P245))</f>
        <v/>
      </c>
      <c r="L245">
        <f>IF($P245="","",INDEX(상세표[블록 18~22시],$P245))</f>
        <v/>
      </c>
      <c r="M245">
        <f>IF($P245="","",INDEX(상세표[블록 22~06시],$P245))</f>
        <v/>
      </c>
      <c r="N245">
        <f>IF($P245="","",INDEX(상세표[주말·휴일 포함],$P245)&amp;"")</f>
        <v/>
      </c>
      <c r="O245">
        <f>IF($P245="","",INDEX(상세표[월 넘김 포함],$P245)&amp;"")</f>
        <v/>
      </c>
      <c r="P245" s="4">
        <f>IFERROR(MATCH(240,상세표[연속순번],0),"")</f>
        <v/>
      </c>
    </row>
    <row r="246">
      <c r="A246">
        <f>IF($P246="","",INDEX(상세표[사번],$P246)&amp;"")</f>
        <v/>
      </c>
      <c r="B246">
        <f>IF($P246="","",INDEX(상세표[성명],$P246)&amp;"")</f>
        <v/>
      </c>
      <c r="C246">
        <f>IF($P246="","",INDEX(상세표[부서],$P246)&amp;"")</f>
        <v/>
      </c>
      <c r="D246">
        <f>IF($P246="","",INDEX(상세표[직위],$P246)&amp;"")</f>
        <v/>
      </c>
      <c r="E246">
        <f>IF($P246="","",IF(ISNUMBER(INDEX(상세표[시작],$P246)),TEXT(INDEX(상세표[시작],$P246),"yyyy-mm-dd hh:mm"),INDEX(상세표[시작],$P246)&amp;""))</f>
        <v/>
      </c>
      <c r="F246">
        <f>IF($P246="","",IF(ISNUMBER(INDEX(상세표[블록종료],$P246)),TEXT(INDEX(상세표[블록종료],$P246),"yyyy-mm-dd hh:mm"),INDEX(상세표[블록종료],$P246)&amp;""))</f>
        <v/>
      </c>
      <c r="G246">
        <f>IF($P246="","",CHOOSE(WEEKDAY(INDEX(상세표[시작],$P246)),"일","월","화","수","목","금","토"))</f>
        <v/>
      </c>
      <c r="H246">
        <f>IF($P246="","",INDEX(상세표[연속 시간],$P246))</f>
        <v/>
      </c>
      <c r="I246">
        <f>IF($P246="","",INDEX(상세표[기록 수],$P246))</f>
        <v/>
      </c>
      <c r="J246">
        <f>IF($P246="","",INDEX(상세표[블록 06~07시],$P246))</f>
        <v/>
      </c>
      <c r="K246">
        <f>IF($P246="","",INDEX(상세표[블록 07~18시],$P246))</f>
        <v/>
      </c>
      <c r="L246">
        <f>IF($P246="","",INDEX(상세표[블록 18~22시],$P246))</f>
        <v/>
      </c>
      <c r="M246">
        <f>IF($P246="","",INDEX(상세표[블록 22~06시],$P246))</f>
        <v/>
      </c>
      <c r="N246">
        <f>IF($P246="","",INDEX(상세표[주말·휴일 포함],$P246)&amp;"")</f>
        <v/>
      </c>
      <c r="O246">
        <f>IF($P246="","",INDEX(상세표[월 넘김 포함],$P246)&amp;"")</f>
        <v/>
      </c>
      <c r="P246" s="4">
        <f>IFERROR(MATCH(241,상세표[연속순번],0),"")</f>
        <v/>
      </c>
    </row>
    <row r="247">
      <c r="A247">
        <f>IF($P247="","",INDEX(상세표[사번],$P247)&amp;"")</f>
        <v/>
      </c>
      <c r="B247">
        <f>IF($P247="","",INDEX(상세표[성명],$P247)&amp;"")</f>
        <v/>
      </c>
      <c r="C247">
        <f>IF($P247="","",INDEX(상세표[부서],$P247)&amp;"")</f>
        <v/>
      </c>
      <c r="D247">
        <f>IF($P247="","",INDEX(상세표[직위],$P247)&amp;"")</f>
        <v/>
      </c>
      <c r="E247">
        <f>IF($P247="","",IF(ISNUMBER(INDEX(상세표[시작],$P247)),TEXT(INDEX(상세표[시작],$P247),"yyyy-mm-dd hh:mm"),INDEX(상세표[시작],$P247)&amp;""))</f>
        <v/>
      </c>
      <c r="F247">
        <f>IF($P247="","",IF(ISNUMBER(INDEX(상세표[블록종료],$P247)),TEXT(INDEX(상세표[블록종료],$P247),"yyyy-mm-dd hh:mm"),INDEX(상세표[블록종료],$P247)&amp;""))</f>
        <v/>
      </c>
      <c r="G247">
        <f>IF($P247="","",CHOOSE(WEEKDAY(INDEX(상세표[시작],$P247)),"일","월","화","수","목","금","토"))</f>
        <v/>
      </c>
      <c r="H247">
        <f>IF($P247="","",INDEX(상세표[연속 시간],$P247))</f>
        <v/>
      </c>
      <c r="I247">
        <f>IF($P247="","",INDEX(상세표[기록 수],$P247))</f>
        <v/>
      </c>
      <c r="J247">
        <f>IF($P247="","",INDEX(상세표[블록 06~07시],$P247))</f>
        <v/>
      </c>
      <c r="K247">
        <f>IF($P247="","",INDEX(상세표[블록 07~18시],$P247))</f>
        <v/>
      </c>
      <c r="L247">
        <f>IF($P247="","",INDEX(상세표[블록 18~22시],$P247))</f>
        <v/>
      </c>
      <c r="M247">
        <f>IF($P247="","",INDEX(상세표[블록 22~06시],$P247))</f>
        <v/>
      </c>
      <c r="N247">
        <f>IF($P247="","",INDEX(상세표[주말·휴일 포함],$P247)&amp;"")</f>
        <v/>
      </c>
      <c r="O247">
        <f>IF($P247="","",INDEX(상세표[월 넘김 포함],$P247)&amp;"")</f>
        <v/>
      </c>
      <c r="P247" s="4">
        <f>IFERROR(MATCH(242,상세표[연속순번],0),"")</f>
        <v/>
      </c>
    </row>
    <row r="248">
      <c r="A248">
        <f>IF($P248="","",INDEX(상세표[사번],$P248)&amp;"")</f>
        <v/>
      </c>
      <c r="B248">
        <f>IF($P248="","",INDEX(상세표[성명],$P248)&amp;"")</f>
        <v/>
      </c>
      <c r="C248">
        <f>IF($P248="","",INDEX(상세표[부서],$P248)&amp;"")</f>
        <v/>
      </c>
      <c r="D248">
        <f>IF($P248="","",INDEX(상세표[직위],$P248)&amp;"")</f>
        <v/>
      </c>
      <c r="E248">
        <f>IF($P248="","",IF(ISNUMBER(INDEX(상세표[시작],$P248)),TEXT(INDEX(상세표[시작],$P248),"yyyy-mm-dd hh:mm"),INDEX(상세표[시작],$P248)&amp;""))</f>
        <v/>
      </c>
      <c r="F248">
        <f>IF($P248="","",IF(ISNUMBER(INDEX(상세표[블록종료],$P248)),TEXT(INDEX(상세표[블록종료],$P248),"yyyy-mm-dd hh:mm"),INDEX(상세표[블록종료],$P248)&amp;""))</f>
        <v/>
      </c>
      <c r="G248">
        <f>IF($P248="","",CHOOSE(WEEKDAY(INDEX(상세표[시작],$P248)),"일","월","화","수","목","금","토"))</f>
        <v/>
      </c>
      <c r="H248">
        <f>IF($P248="","",INDEX(상세표[연속 시간],$P248))</f>
        <v/>
      </c>
      <c r="I248">
        <f>IF($P248="","",INDEX(상세표[기록 수],$P248))</f>
        <v/>
      </c>
      <c r="J248">
        <f>IF($P248="","",INDEX(상세표[블록 06~07시],$P248))</f>
        <v/>
      </c>
      <c r="K248">
        <f>IF($P248="","",INDEX(상세표[블록 07~18시],$P248))</f>
        <v/>
      </c>
      <c r="L248">
        <f>IF($P248="","",INDEX(상세표[블록 18~22시],$P248))</f>
        <v/>
      </c>
      <c r="M248">
        <f>IF($P248="","",INDEX(상세표[블록 22~06시],$P248))</f>
        <v/>
      </c>
      <c r="N248">
        <f>IF($P248="","",INDEX(상세표[주말·휴일 포함],$P248)&amp;"")</f>
        <v/>
      </c>
      <c r="O248">
        <f>IF($P248="","",INDEX(상세표[월 넘김 포함],$P248)&amp;"")</f>
        <v/>
      </c>
      <c r="P248" s="4">
        <f>IFERROR(MATCH(243,상세표[연속순번],0),"")</f>
        <v/>
      </c>
    </row>
    <row r="249">
      <c r="A249">
        <f>IF($P249="","",INDEX(상세표[사번],$P249)&amp;"")</f>
        <v/>
      </c>
      <c r="B249">
        <f>IF($P249="","",INDEX(상세표[성명],$P249)&amp;"")</f>
        <v/>
      </c>
      <c r="C249">
        <f>IF($P249="","",INDEX(상세표[부서],$P249)&amp;"")</f>
        <v/>
      </c>
      <c r="D249">
        <f>IF($P249="","",INDEX(상세표[직위],$P249)&amp;"")</f>
        <v/>
      </c>
      <c r="E249">
        <f>IF($P249="","",IF(ISNUMBER(INDEX(상세표[시작],$P249)),TEXT(INDEX(상세표[시작],$P249),"yyyy-mm-dd hh:mm"),INDEX(상세표[시작],$P249)&amp;""))</f>
        <v/>
      </c>
      <c r="F249">
        <f>IF($P249="","",IF(ISNUMBER(INDEX(상세표[블록종료],$P249)),TEXT(INDEX(상세표[블록종료],$P249),"yyyy-mm-dd hh:mm"),INDEX(상세표[블록종료],$P249)&amp;""))</f>
        <v/>
      </c>
      <c r="G249">
        <f>IF($P249="","",CHOOSE(WEEKDAY(INDEX(상세표[시작],$P249)),"일","월","화","수","목","금","토"))</f>
        <v/>
      </c>
      <c r="H249">
        <f>IF($P249="","",INDEX(상세표[연속 시간],$P249))</f>
        <v/>
      </c>
      <c r="I249">
        <f>IF($P249="","",INDEX(상세표[기록 수],$P249))</f>
        <v/>
      </c>
      <c r="J249">
        <f>IF($P249="","",INDEX(상세표[블록 06~07시],$P249))</f>
        <v/>
      </c>
      <c r="K249">
        <f>IF($P249="","",INDEX(상세표[블록 07~18시],$P249))</f>
        <v/>
      </c>
      <c r="L249">
        <f>IF($P249="","",INDEX(상세표[블록 18~22시],$P249))</f>
        <v/>
      </c>
      <c r="M249">
        <f>IF($P249="","",INDEX(상세표[블록 22~06시],$P249))</f>
        <v/>
      </c>
      <c r="N249">
        <f>IF($P249="","",INDEX(상세표[주말·휴일 포함],$P249)&amp;"")</f>
        <v/>
      </c>
      <c r="O249">
        <f>IF($P249="","",INDEX(상세표[월 넘김 포함],$P249)&amp;"")</f>
        <v/>
      </c>
      <c r="P249" s="4">
        <f>IFERROR(MATCH(244,상세표[연속순번],0),"")</f>
        <v/>
      </c>
    </row>
    <row r="250">
      <c r="A250">
        <f>IF($P250="","",INDEX(상세표[사번],$P250)&amp;"")</f>
        <v/>
      </c>
      <c r="B250">
        <f>IF($P250="","",INDEX(상세표[성명],$P250)&amp;"")</f>
        <v/>
      </c>
      <c r="C250">
        <f>IF($P250="","",INDEX(상세표[부서],$P250)&amp;"")</f>
        <v/>
      </c>
      <c r="D250">
        <f>IF($P250="","",INDEX(상세표[직위],$P250)&amp;"")</f>
        <v/>
      </c>
      <c r="E250">
        <f>IF($P250="","",IF(ISNUMBER(INDEX(상세표[시작],$P250)),TEXT(INDEX(상세표[시작],$P250),"yyyy-mm-dd hh:mm"),INDEX(상세표[시작],$P250)&amp;""))</f>
        <v/>
      </c>
      <c r="F250">
        <f>IF($P250="","",IF(ISNUMBER(INDEX(상세표[블록종료],$P250)),TEXT(INDEX(상세표[블록종료],$P250),"yyyy-mm-dd hh:mm"),INDEX(상세표[블록종료],$P250)&amp;""))</f>
        <v/>
      </c>
      <c r="G250">
        <f>IF($P250="","",CHOOSE(WEEKDAY(INDEX(상세표[시작],$P250)),"일","월","화","수","목","금","토"))</f>
        <v/>
      </c>
      <c r="H250">
        <f>IF($P250="","",INDEX(상세표[연속 시간],$P250))</f>
        <v/>
      </c>
      <c r="I250">
        <f>IF($P250="","",INDEX(상세표[기록 수],$P250))</f>
        <v/>
      </c>
      <c r="J250">
        <f>IF($P250="","",INDEX(상세표[블록 06~07시],$P250))</f>
        <v/>
      </c>
      <c r="K250">
        <f>IF($P250="","",INDEX(상세표[블록 07~18시],$P250))</f>
        <v/>
      </c>
      <c r="L250">
        <f>IF($P250="","",INDEX(상세표[블록 18~22시],$P250))</f>
        <v/>
      </c>
      <c r="M250">
        <f>IF($P250="","",INDEX(상세표[블록 22~06시],$P250))</f>
        <v/>
      </c>
      <c r="N250">
        <f>IF($P250="","",INDEX(상세표[주말·휴일 포함],$P250)&amp;"")</f>
        <v/>
      </c>
      <c r="O250">
        <f>IF($P250="","",INDEX(상세표[월 넘김 포함],$P250)&amp;"")</f>
        <v/>
      </c>
      <c r="P250" s="4">
        <f>IFERROR(MATCH(245,상세표[연속순번],0),"")</f>
        <v/>
      </c>
    </row>
    <row r="251">
      <c r="A251">
        <f>IF($P251="","",INDEX(상세표[사번],$P251)&amp;"")</f>
        <v/>
      </c>
      <c r="B251">
        <f>IF($P251="","",INDEX(상세표[성명],$P251)&amp;"")</f>
        <v/>
      </c>
      <c r="C251">
        <f>IF($P251="","",INDEX(상세표[부서],$P251)&amp;"")</f>
        <v/>
      </c>
      <c r="D251">
        <f>IF($P251="","",INDEX(상세표[직위],$P251)&amp;"")</f>
        <v/>
      </c>
      <c r="E251">
        <f>IF($P251="","",IF(ISNUMBER(INDEX(상세표[시작],$P251)),TEXT(INDEX(상세표[시작],$P251),"yyyy-mm-dd hh:mm"),INDEX(상세표[시작],$P251)&amp;""))</f>
        <v/>
      </c>
      <c r="F251">
        <f>IF($P251="","",IF(ISNUMBER(INDEX(상세표[블록종료],$P251)),TEXT(INDEX(상세표[블록종료],$P251),"yyyy-mm-dd hh:mm"),INDEX(상세표[블록종료],$P251)&amp;""))</f>
        <v/>
      </c>
      <c r="G251">
        <f>IF($P251="","",CHOOSE(WEEKDAY(INDEX(상세표[시작],$P251)),"일","월","화","수","목","금","토"))</f>
        <v/>
      </c>
      <c r="H251">
        <f>IF($P251="","",INDEX(상세표[연속 시간],$P251))</f>
        <v/>
      </c>
      <c r="I251">
        <f>IF($P251="","",INDEX(상세표[기록 수],$P251))</f>
        <v/>
      </c>
      <c r="J251">
        <f>IF($P251="","",INDEX(상세표[블록 06~07시],$P251))</f>
        <v/>
      </c>
      <c r="K251">
        <f>IF($P251="","",INDEX(상세표[블록 07~18시],$P251))</f>
        <v/>
      </c>
      <c r="L251">
        <f>IF($P251="","",INDEX(상세표[블록 18~22시],$P251))</f>
        <v/>
      </c>
      <c r="M251">
        <f>IF($P251="","",INDEX(상세표[블록 22~06시],$P251))</f>
        <v/>
      </c>
      <c r="N251">
        <f>IF($P251="","",INDEX(상세표[주말·휴일 포함],$P251)&amp;"")</f>
        <v/>
      </c>
      <c r="O251">
        <f>IF($P251="","",INDEX(상세표[월 넘김 포함],$P251)&amp;"")</f>
        <v/>
      </c>
      <c r="P251" s="4">
        <f>IFERROR(MATCH(246,상세표[연속순번],0),"")</f>
        <v/>
      </c>
    </row>
    <row r="252">
      <c r="A252">
        <f>IF($P252="","",INDEX(상세표[사번],$P252)&amp;"")</f>
        <v/>
      </c>
      <c r="B252">
        <f>IF($P252="","",INDEX(상세표[성명],$P252)&amp;"")</f>
        <v/>
      </c>
      <c r="C252">
        <f>IF($P252="","",INDEX(상세표[부서],$P252)&amp;"")</f>
        <v/>
      </c>
      <c r="D252">
        <f>IF($P252="","",INDEX(상세표[직위],$P252)&amp;"")</f>
        <v/>
      </c>
      <c r="E252">
        <f>IF($P252="","",IF(ISNUMBER(INDEX(상세표[시작],$P252)),TEXT(INDEX(상세표[시작],$P252),"yyyy-mm-dd hh:mm"),INDEX(상세표[시작],$P252)&amp;""))</f>
        <v/>
      </c>
      <c r="F252">
        <f>IF($P252="","",IF(ISNUMBER(INDEX(상세표[블록종료],$P252)),TEXT(INDEX(상세표[블록종료],$P252),"yyyy-mm-dd hh:mm"),INDEX(상세표[블록종료],$P252)&amp;""))</f>
        <v/>
      </c>
      <c r="G252">
        <f>IF($P252="","",CHOOSE(WEEKDAY(INDEX(상세표[시작],$P252)),"일","월","화","수","목","금","토"))</f>
        <v/>
      </c>
      <c r="H252">
        <f>IF($P252="","",INDEX(상세표[연속 시간],$P252))</f>
        <v/>
      </c>
      <c r="I252">
        <f>IF($P252="","",INDEX(상세표[기록 수],$P252))</f>
        <v/>
      </c>
      <c r="J252">
        <f>IF($P252="","",INDEX(상세표[블록 06~07시],$P252))</f>
        <v/>
      </c>
      <c r="K252">
        <f>IF($P252="","",INDEX(상세표[블록 07~18시],$P252))</f>
        <v/>
      </c>
      <c r="L252">
        <f>IF($P252="","",INDEX(상세표[블록 18~22시],$P252))</f>
        <v/>
      </c>
      <c r="M252">
        <f>IF($P252="","",INDEX(상세표[블록 22~06시],$P252))</f>
        <v/>
      </c>
      <c r="N252">
        <f>IF($P252="","",INDEX(상세표[주말·휴일 포함],$P252)&amp;"")</f>
        <v/>
      </c>
      <c r="O252">
        <f>IF($P252="","",INDEX(상세표[월 넘김 포함],$P252)&amp;"")</f>
        <v/>
      </c>
      <c r="P252" s="4">
        <f>IFERROR(MATCH(247,상세표[연속순번],0),"")</f>
        <v/>
      </c>
    </row>
    <row r="253">
      <c r="A253">
        <f>IF($P253="","",INDEX(상세표[사번],$P253)&amp;"")</f>
        <v/>
      </c>
      <c r="B253">
        <f>IF($P253="","",INDEX(상세표[성명],$P253)&amp;"")</f>
        <v/>
      </c>
      <c r="C253">
        <f>IF($P253="","",INDEX(상세표[부서],$P253)&amp;"")</f>
        <v/>
      </c>
      <c r="D253">
        <f>IF($P253="","",INDEX(상세표[직위],$P253)&amp;"")</f>
        <v/>
      </c>
      <c r="E253">
        <f>IF($P253="","",IF(ISNUMBER(INDEX(상세표[시작],$P253)),TEXT(INDEX(상세표[시작],$P253),"yyyy-mm-dd hh:mm"),INDEX(상세표[시작],$P253)&amp;""))</f>
        <v/>
      </c>
      <c r="F253">
        <f>IF($P253="","",IF(ISNUMBER(INDEX(상세표[블록종료],$P253)),TEXT(INDEX(상세표[블록종료],$P253),"yyyy-mm-dd hh:mm"),INDEX(상세표[블록종료],$P253)&amp;""))</f>
        <v/>
      </c>
      <c r="G253">
        <f>IF($P253="","",CHOOSE(WEEKDAY(INDEX(상세표[시작],$P253)),"일","월","화","수","목","금","토"))</f>
        <v/>
      </c>
      <c r="H253">
        <f>IF($P253="","",INDEX(상세표[연속 시간],$P253))</f>
        <v/>
      </c>
      <c r="I253">
        <f>IF($P253="","",INDEX(상세표[기록 수],$P253))</f>
        <v/>
      </c>
      <c r="J253">
        <f>IF($P253="","",INDEX(상세표[블록 06~07시],$P253))</f>
        <v/>
      </c>
      <c r="K253">
        <f>IF($P253="","",INDEX(상세표[블록 07~18시],$P253))</f>
        <v/>
      </c>
      <c r="L253">
        <f>IF($P253="","",INDEX(상세표[블록 18~22시],$P253))</f>
        <v/>
      </c>
      <c r="M253">
        <f>IF($P253="","",INDEX(상세표[블록 22~06시],$P253))</f>
        <v/>
      </c>
      <c r="N253">
        <f>IF($P253="","",INDEX(상세표[주말·휴일 포함],$P253)&amp;"")</f>
        <v/>
      </c>
      <c r="O253">
        <f>IF($P253="","",INDEX(상세표[월 넘김 포함],$P253)&amp;"")</f>
        <v/>
      </c>
      <c r="P253" s="4">
        <f>IFERROR(MATCH(248,상세표[연속순번],0),"")</f>
        <v/>
      </c>
    </row>
    <row r="254">
      <c r="A254">
        <f>IF($P254="","",INDEX(상세표[사번],$P254)&amp;"")</f>
        <v/>
      </c>
      <c r="B254">
        <f>IF($P254="","",INDEX(상세표[성명],$P254)&amp;"")</f>
        <v/>
      </c>
      <c r="C254">
        <f>IF($P254="","",INDEX(상세표[부서],$P254)&amp;"")</f>
        <v/>
      </c>
      <c r="D254">
        <f>IF($P254="","",INDEX(상세표[직위],$P254)&amp;"")</f>
        <v/>
      </c>
      <c r="E254">
        <f>IF($P254="","",IF(ISNUMBER(INDEX(상세표[시작],$P254)),TEXT(INDEX(상세표[시작],$P254),"yyyy-mm-dd hh:mm"),INDEX(상세표[시작],$P254)&amp;""))</f>
        <v/>
      </c>
      <c r="F254">
        <f>IF($P254="","",IF(ISNUMBER(INDEX(상세표[블록종료],$P254)),TEXT(INDEX(상세표[블록종료],$P254),"yyyy-mm-dd hh:mm"),INDEX(상세표[블록종료],$P254)&amp;""))</f>
        <v/>
      </c>
      <c r="G254">
        <f>IF($P254="","",CHOOSE(WEEKDAY(INDEX(상세표[시작],$P254)),"일","월","화","수","목","금","토"))</f>
        <v/>
      </c>
      <c r="H254">
        <f>IF($P254="","",INDEX(상세표[연속 시간],$P254))</f>
        <v/>
      </c>
      <c r="I254">
        <f>IF($P254="","",INDEX(상세표[기록 수],$P254))</f>
        <v/>
      </c>
      <c r="J254">
        <f>IF($P254="","",INDEX(상세표[블록 06~07시],$P254))</f>
        <v/>
      </c>
      <c r="K254">
        <f>IF($P254="","",INDEX(상세표[블록 07~18시],$P254))</f>
        <v/>
      </c>
      <c r="L254">
        <f>IF($P254="","",INDEX(상세표[블록 18~22시],$P254))</f>
        <v/>
      </c>
      <c r="M254">
        <f>IF($P254="","",INDEX(상세표[블록 22~06시],$P254))</f>
        <v/>
      </c>
      <c r="N254">
        <f>IF($P254="","",INDEX(상세표[주말·휴일 포함],$P254)&amp;"")</f>
        <v/>
      </c>
      <c r="O254">
        <f>IF($P254="","",INDEX(상세표[월 넘김 포함],$P254)&amp;"")</f>
        <v/>
      </c>
      <c r="P254" s="4">
        <f>IFERROR(MATCH(249,상세표[연속순번],0),"")</f>
        <v/>
      </c>
    </row>
    <row r="255">
      <c r="A255">
        <f>IF($P255="","",INDEX(상세표[사번],$P255)&amp;"")</f>
        <v/>
      </c>
      <c r="B255">
        <f>IF($P255="","",INDEX(상세표[성명],$P255)&amp;"")</f>
        <v/>
      </c>
      <c r="C255">
        <f>IF($P255="","",INDEX(상세표[부서],$P255)&amp;"")</f>
        <v/>
      </c>
      <c r="D255">
        <f>IF($P255="","",INDEX(상세표[직위],$P255)&amp;"")</f>
        <v/>
      </c>
      <c r="E255">
        <f>IF($P255="","",IF(ISNUMBER(INDEX(상세표[시작],$P255)),TEXT(INDEX(상세표[시작],$P255),"yyyy-mm-dd hh:mm"),INDEX(상세표[시작],$P255)&amp;""))</f>
        <v/>
      </c>
      <c r="F255">
        <f>IF($P255="","",IF(ISNUMBER(INDEX(상세표[블록종료],$P255)),TEXT(INDEX(상세표[블록종료],$P255),"yyyy-mm-dd hh:mm"),INDEX(상세표[블록종료],$P255)&amp;""))</f>
        <v/>
      </c>
      <c r="G255">
        <f>IF($P255="","",CHOOSE(WEEKDAY(INDEX(상세표[시작],$P255)),"일","월","화","수","목","금","토"))</f>
        <v/>
      </c>
      <c r="H255">
        <f>IF($P255="","",INDEX(상세표[연속 시간],$P255))</f>
        <v/>
      </c>
      <c r="I255">
        <f>IF($P255="","",INDEX(상세표[기록 수],$P255))</f>
        <v/>
      </c>
      <c r="J255">
        <f>IF($P255="","",INDEX(상세표[블록 06~07시],$P255))</f>
        <v/>
      </c>
      <c r="K255">
        <f>IF($P255="","",INDEX(상세표[블록 07~18시],$P255))</f>
        <v/>
      </c>
      <c r="L255">
        <f>IF($P255="","",INDEX(상세표[블록 18~22시],$P255))</f>
        <v/>
      </c>
      <c r="M255">
        <f>IF($P255="","",INDEX(상세표[블록 22~06시],$P255))</f>
        <v/>
      </c>
      <c r="N255">
        <f>IF($P255="","",INDEX(상세표[주말·휴일 포함],$P255)&amp;"")</f>
        <v/>
      </c>
      <c r="O255">
        <f>IF($P255="","",INDEX(상세표[월 넘김 포함],$P255)&amp;"")</f>
        <v/>
      </c>
      <c r="P255" s="4">
        <f>IFERROR(MATCH(250,상세표[연속순번],0),"")</f>
        <v/>
      </c>
    </row>
    <row r="256">
      <c r="A256">
        <f>IF($P256="","",INDEX(상세표[사번],$P256)&amp;"")</f>
        <v/>
      </c>
      <c r="B256">
        <f>IF($P256="","",INDEX(상세표[성명],$P256)&amp;"")</f>
        <v/>
      </c>
      <c r="C256">
        <f>IF($P256="","",INDEX(상세표[부서],$P256)&amp;"")</f>
        <v/>
      </c>
      <c r="D256">
        <f>IF($P256="","",INDEX(상세표[직위],$P256)&amp;"")</f>
        <v/>
      </c>
      <c r="E256">
        <f>IF($P256="","",IF(ISNUMBER(INDEX(상세표[시작],$P256)),TEXT(INDEX(상세표[시작],$P256),"yyyy-mm-dd hh:mm"),INDEX(상세표[시작],$P256)&amp;""))</f>
        <v/>
      </c>
      <c r="F256">
        <f>IF($P256="","",IF(ISNUMBER(INDEX(상세표[블록종료],$P256)),TEXT(INDEX(상세표[블록종료],$P256),"yyyy-mm-dd hh:mm"),INDEX(상세표[블록종료],$P256)&amp;""))</f>
        <v/>
      </c>
      <c r="G256">
        <f>IF($P256="","",CHOOSE(WEEKDAY(INDEX(상세표[시작],$P256)),"일","월","화","수","목","금","토"))</f>
        <v/>
      </c>
      <c r="H256">
        <f>IF($P256="","",INDEX(상세표[연속 시간],$P256))</f>
        <v/>
      </c>
      <c r="I256">
        <f>IF($P256="","",INDEX(상세표[기록 수],$P256))</f>
        <v/>
      </c>
      <c r="J256">
        <f>IF($P256="","",INDEX(상세표[블록 06~07시],$P256))</f>
        <v/>
      </c>
      <c r="K256">
        <f>IF($P256="","",INDEX(상세표[블록 07~18시],$P256))</f>
        <v/>
      </c>
      <c r="L256">
        <f>IF($P256="","",INDEX(상세표[블록 18~22시],$P256))</f>
        <v/>
      </c>
      <c r="M256">
        <f>IF($P256="","",INDEX(상세표[블록 22~06시],$P256))</f>
        <v/>
      </c>
      <c r="N256">
        <f>IF($P256="","",INDEX(상세표[주말·휴일 포함],$P256)&amp;"")</f>
        <v/>
      </c>
      <c r="O256">
        <f>IF($P256="","",INDEX(상세표[월 넘김 포함],$P256)&amp;"")</f>
        <v/>
      </c>
      <c r="P256" s="4">
        <f>IFERROR(MATCH(251,상세표[연속순번],0),"")</f>
        <v/>
      </c>
    </row>
    <row r="257">
      <c r="A257">
        <f>IF($P257="","",INDEX(상세표[사번],$P257)&amp;"")</f>
        <v/>
      </c>
      <c r="B257">
        <f>IF($P257="","",INDEX(상세표[성명],$P257)&amp;"")</f>
        <v/>
      </c>
      <c r="C257">
        <f>IF($P257="","",INDEX(상세표[부서],$P257)&amp;"")</f>
        <v/>
      </c>
      <c r="D257">
        <f>IF($P257="","",INDEX(상세표[직위],$P257)&amp;"")</f>
        <v/>
      </c>
      <c r="E257">
        <f>IF($P257="","",IF(ISNUMBER(INDEX(상세표[시작],$P257)),TEXT(INDEX(상세표[시작],$P257),"yyyy-mm-dd hh:mm"),INDEX(상세표[시작],$P257)&amp;""))</f>
        <v/>
      </c>
      <c r="F257">
        <f>IF($P257="","",IF(ISNUMBER(INDEX(상세표[블록종료],$P257)),TEXT(INDEX(상세표[블록종료],$P257),"yyyy-mm-dd hh:mm"),INDEX(상세표[블록종료],$P257)&amp;""))</f>
        <v/>
      </c>
      <c r="G257">
        <f>IF($P257="","",CHOOSE(WEEKDAY(INDEX(상세표[시작],$P257)),"일","월","화","수","목","금","토"))</f>
        <v/>
      </c>
      <c r="H257">
        <f>IF($P257="","",INDEX(상세표[연속 시간],$P257))</f>
        <v/>
      </c>
      <c r="I257">
        <f>IF($P257="","",INDEX(상세표[기록 수],$P257))</f>
        <v/>
      </c>
      <c r="J257">
        <f>IF($P257="","",INDEX(상세표[블록 06~07시],$P257))</f>
        <v/>
      </c>
      <c r="K257">
        <f>IF($P257="","",INDEX(상세표[블록 07~18시],$P257))</f>
        <v/>
      </c>
      <c r="L257">
        <f>IF($P257="","",INDEX(상세표[블록 18~22시],$P257))</f>
        <v/>
      </c>
      <c r="M257">
        <f>IF($P257="","",INDEX(상세표[블록 22~06시],$P257))</f>
        <v/>
      </c>
      <c r="N257">
        <f>IF($P257="","",INDEX(상세표[주말·휴일 포함],$P257)&amp;"")</f>
        <v/>
      </c>
      <c r="O257">
        <f>IF($P257="","",INDEX(상세표[월 넘김 포함],$P257)&amp;"")</f>
        <v/>
      </c>
      <c r="P257" s="4">
        <f>IFERROR(MATCH(252,상세표[연속순번],0),"")</f>
        <v/>
      </c>
    </row>
    <row r="258">
      <c r="A258">
        <f>IF($P258="","",INDEX(상세표[사번],$P258)&amp;"")</f>
        <v/>
      </c>
      <c r="B258">
        <f>IF($P258="","",INDEX(상세표[성명],$P258)&amp;"")</f>
        <v/>
      </c>
      <c r="C258">
        <f>IF($P258="","",INDEX(상세표[부서],$P258)&amp;"")</f>
        <v/>
      </c>
      <c r="D258">
        <f>IF($P258="","",INDEX(상세표[직위],$P258)&amp;"")</f>
        <v/>
      </c>
      <c r="E258">
        <f>IF($P258="","",IF(ISNUMBER(INDEX(상세표[시작],$P258)),TEXT(INDEX(상세표[시작],$P258),"yyyy-mm-dd hh:mm"),INDEX(상세표[시작],$P258)&amp;""))</f>
        <v/>
      </c>
      <c r="F258">
        <f>IF($P258="","",IF(ISNUMBER(INDEX(상세표[블록종료],$P258)),TEXT(INDEX(상세표[블록종료],$P258),"yyyy-mm-dd hh:mm"),INDEX(상세표[블록종료],$P258)&amp;""))</f>
        <v/>
      </c>
      <c r="G258">
        <f>IF($P258="","",CHOOSE(WEEKDAY(INDEX(상세표[시작],$P258)),"일","월","화","수","목","금","토"))</f>
        <v/>
      </c>
      <c r="H258">
        <f>IF($P258="","",INDEX(상세표[연속 시간],$P258))</f>
        <v/>
      </c>
      <c r="I258">
        <f>IF($P258="","",INDEX(상세표[기록 수],$P258))</f>
        <v/>
      </c>
      <c r="J258">
        <f>IF($P258="","",INDEX(상세표[블록 06~07시],$P258))</f>
        <v/>
      </c>
      <c r="K258">
        <f>IF($P258="","",INDEX(상세표[블록 07~18시],$P258))</f>
        <v/>
      </c>
      <c r="L258">
        <f>IF($P258="","",INDEX(상세표[블록 18~22시],$P258))</f>
        <v/>
      </c>
      <c r="M258">
        <f>IF($P258="","",INDEX(상세표[블록 22~06시],$P258))</f>
        <v/>
      </c>
      <c r="N258">
        <f>IF($P258="","",INDEX(상세표[주말·휴일 포함],$P258)&amp;"")</f>
        <v/>
      </c>
      <c r="O258">
        <f>IF($P258="","",INDEX(상세표[월 넘김 포함],$P258)&amp;"")</f>
        <v/>
      </c>
      <c r="P258" s="4">
        <f>IFERROR(MATCH(253,상세표[연속순번],0),"")</f>
        <v/>
      </c>
    </row>
    <row r="259">
      <c r="A259">
        <f>IF($P259="","",INDEX(상세표[사번],$P259)&amp;"")</f>
        <v/>
      </c>
      <c r="B259">
        <f>IF($P259="","",INDEX(상세표[성명],$P259)&amp;"")</f>
        <v/>
      </c>
      <c r="C259">
        <f>IF($P259="","",INDEX(상세표[부서],$P259)&amp;"")</f>
        <v/>
      </c>
      <c r="D259">
        <f>IF($P259="","",INDEX(상세표[직위],$P259)&amp;"")</f>
        <v/>
      </c>
      <c r="E259">
        <f>IF($P259="","",IF(ISNUMBER(INDEX(상세표[시작],$P259)),TEXT(INDEX(상세표[시작],$P259),"yyyy-mm-dd hh:mm"),INDEX(상세표[시작],$P259)&amp;""))</f>
        <v/>
      </c>
      <c r="F259">
        <f>IF($P259="","",IF(ISNUMBER(INDEX(상세표[블록종료],$P259)),TEXT(INDEX(상세표[블록종료],$P259),"yyyy-mm-dd hh:mm"),INDEX(상세표[블록종료],$P259)&amp;""))</f>
        <v/>
      </c>
      <c r="G259">
        <f>IF($P259="","",CHOOSE(WEEKDAY(INDEX(상세표[시작],$P259)),"일","월","화","수","목","금","토"))</f>
        <v/>
      </c>
      <c r="H259">
        <f>IF($P259="","",INDEX(상세표[연속 시간],$P259))</f>
        <v/>
      </c>
      <c r="I259">
        <f>IF($P259="","",INDEX(상세표[기록 수],$P259))</f>
        <v/>
      </c>
      <c r="J259">
        <f>IF($P259="","",INDEX(상세표[블록 06~07시],$P259))</f>
        <v/>
      </c>
      <c r="K259">
        <f>IF($P259="","",INDEX(상세표[블록 07~18시],$P259))</f>
        <v/>
      </c>
      <c r="L259">
        <f>IF($P259="","",INDEX(상세표[블록 18~22시],$P259))</f>
        <v/>
      </c>
      <c r="M259">
        <f>IF($P259="","",INDEX(상세표[블록 22~06시],$P259))</f>
        <v/>
      </c>
      <c r="N259">
        <f>IF($P259="","",INDEX(상세표[주말·휴일 포함],$P259)&amp;"")</f>
        <v/>
      </c>
      <c r="O259">
        <f>IF($P259="","",INDEX(상세표[월 넘김 포함],$P259)&amp;"")</f>
        <v/>
      </c>
      <c r="P259" s="4">
        <f>IFERROR(MATCH(254,상세표[연속순번],0),"")</f>
        <v/>
      </c>
    </row>
    <row r="260">
      <c r="A260">
        <f>IF($P260="","",INDEX(상세표[사번],$P260)&amp;"")</f>
        <v/>
      </c>
      <c r="B260">
        <f>IF($P260="","",INDEX(상세표[성명],$P260)&amp;"")</f>
        <v/>
      </c>
      <c r="C260">
        <f>IF($P260="","",INDEX(상세표[부서],$P260)&amp;"")</f>
        <v/>
      </c>
      <c r="D260">
        <f>IF($P260="","",INDEX(상세표[직위],$P260)&amp;"")</f>
        <v/>
      </c>
      <c r="E260">
        <f>IF($P260="","",IF(ISNUMBER(INDEX(상세표[시작],$P260)),TEXT(INDEX(상세표[시작],$P260),"yyyy-mm-dd hh:mm"),INDEX(상세표[시작],$P260)&amp;""))</f>
        <v/>
      </c>
      <c r="F260">
        <f>IF($P260="","",IF(ISNUMBER(INDEX(상세표[블록종료],$P260)),TEXT(INDEX(상세표[블록종료],$P260),"yyyy-mm-dd hh:mm"),INDEX(상세표[블록종료],$P260)&amp;""))</f>
        <v/>
      </c>
      <c r="G260">
        <f>IF($P260="","",CHOOSE(WEEKDAY(INDEX(상세표[시작],$P260)),"일","월","화","수","목","금","토"))</f>
        <v/>
      </c>
      <c r="H260">
        <f>IF($P260="","",INDEX(상세표[연속 시간],$P260))</f>
        <v/>
      </c>
      <c r="I260">
        <f>IF($P260="","",INDEX(상세표[기록 수],$P260))</f>
        <v/>
      </c>
      <c r="J260">
        <f>IF($P260="","",INDEX(상세표[블록 06~07시],$P260))</f>
        <v/>
      </c>
      <c r="K260">
        <f>IF($P260="","",INDEX(상세표[블록 07~18시],$P260))</f>
        <v/>
      </c>
      <c r="L260">
        <f>IF($P260="","",INDEX(상세표[블록 18~22시],$P260))</f>
        <v/>
      </c>
      <c r="M260">
        <f>IF($P260="","",INDEX(상세표[블록 22~06시],$P260))</f>
        <v/>
      </c>
      <c r="N260">
        <f>IF($P260="","",INDEX(상세표[주말·휴일 포함],$P260)&amp;"")</f>
        <v/>
      </c>
      <c r="O260">
        <f>IF($P260="","",INDEX(상세표[월 넘김 포함],$P260)&amp;"")</f>
        <v/>
      </c>
      <c r="P260" s="4">
        <f>IFERROR(MATCH(255,상세표[연속순번],0),"")</f>
        <v/>
      </c>
    </row>
    <row r="261">
      <c r="A261">
        <f>IF($P261="","",INDEX(상세표[사번],$P261)&amp;"")</f>
        <v/>
      </c>
      <c r="B261">
        <f>IF($P261="","",INDEX(상세표[성명],$P261)&amp;"")</f>
        <v/>
      </c>
      <c r="C261">
        <f>IF($P261="","",INDEX(상세표[부서],$P261)&amp;"")</f>
        <v/>
      </c>
      <c r="D261">
        <f>IF($P261="","",INDEX(상세표[직위],$P261)&amp;"")</f>
        <v/>
      </c>
      <c r="E261">
        <f>IF($P261="","",IF(ISNUMBER(INDEX(상세표[시작],$P261)),TEXT(INDEX(상세표[시작],$P261),"yyyy-mm-dd hh:mm"),INDEX(상세표[시작],$P261)&amp;""))</f>
        <v/>
      </c>
      <c r="F261">
        <f>IF($P261="","",IF(ISNUMBER(INDEX(상세표[블록종료],$P261)),TEXT(INDEX(상세표[블록종료],$P261),"yyyy-mm-dd hh:mm"),INDEX(상세표[블록종료],$P261)&amp;""))</f>
        <v/>
      </c>
      <c r="G261">
        <f>IF($P261="","",CHOOSE(WEEKDAY(INDEX(상세표[시작],$P261)),"일","월","화","수","목","금","토"))</f>
        <v/>
      </c>
      <c r="H261">
        <f>IF($P261="","",INDEX(상세표[연속 시간],$P261))</f>
        <v/>
      </c>
      <c r="I261">
        <f>IF($P261="","",INDEX(상세표[기록 수],$P261))</f>
        <v/>
      </c>
      <c r="J261">
        <f>IF($P261="","",INDEX(상세표[블록 06~07시],$P261))</f>
        <v/>
      </c>
      <c r="K261">
        <f>IF($P261="","",INDEX(상세표[블록 07~18시],$P261))</f>
        <v/>
      </c>
      <c r="L261">
        <f>IF($P261="","",INDEX(상세표[블록 18~22시],$P261))</f>
        <v/>
      </c>
      <c r="M261">
        <f>IF($P261="","",INDEX(상세표[블록 22~06시],$P261))</f>
        <v/>
      </c>
      <c r="N261">
        <f>IF($P261="","",INDEX(상세표[주말·휴일 포함],$P261)&amp;"")</f>
        <v/>
      </c>
      <c r="O261">
        <f>IF($P261="","",INDEX(상세표[월 넘김 포함],$P261)&amp;"")</f>
        <v/>
      </c>
      <c r="P261" s="4">
        <f>IFERROR(MATCH(256,상세표[연속순번],0),"")</f>
        <v/>
      </c>
    </row>
    <row r="262">
      <c r="A262">
        <f>IF($P262="","",INDEX(상세표[사번],$P262)&amp;"")</f>
        <v/>
      </c>
      <c r="B262">
        <f>IF($P262="","",INDEX(상세표[성명],$P262)&amp;"")</f>
        <v/>
      </c>
      <c r="C262">
        <f>IF($P262="","",INDEX(상세표[부서],$P262)&amp;"")</f>
        <v/>
      </c>
      <c r="D262">
        <f>IF($P262="","",INDEX(상세표[직위],$P262)&amp;"")</f>
        <v/>
      </c>
      <c r="E262">
        <f>IF($P262="","",IF(ISNUMBER(INDEX(상세표[시작],$P262)),TEXT(INDEX(상세표[시작],$P262),"yyyy-mm-dd hh:mm"),INDEX(상세표[시작],$P262)&amp;""))</f>
        <v/>
      </c>
      <c r="F262">
        <f>IF($P262="","",IF(ISNUMBER(INDEX(상세표[블록종료],$P262)),TEXT(INDEX(상세표[블록종료],$P262),"yyyy-mm-dd hh:mm"),INDEX(상세표[블록종료],$P262)&amp;""))</f>
        <v/>
      </c>
      <c r="G262">
        <f>IF($P262="","",CHOOSE(WEEKDAY(INDEX(상세표[시작],$P262)),"일","월","화","수","목","금","토"))</f>
        <v/>
      </c>
      <c r="H262">
        <f>IF($P262="","",INDEX(상세표[연속 시간],$P262))</f>
        <v/>
      </c>
      <c r="I262">
        <f>IF($P262="","",INDEX(상세표[기록 수],$P262))</f>
        <v/>
      </c>
      <c r="J262">
        <f>IF($P262="","",INDEX(상세표[블록 06~07시],$P262))</f>
        <v/>
      </c>
      <c r="K262">
        <f>IF($P262="","",INDEX(상세표[블록 07~18시],$P262))</f>
        <v/>
      </c>
      <c r="L262">
        <f>IF($P262="","",INDEX(상세표[블록 18~22시],$P262))</f>
        <v/>
      </c>
      <c r="M262">
        <f>IF($P262="","",INDEX(상세표[블록 22~06시],$P262))</f>
        <v/>
      </c>
      <c r="N262">
        <f>IF($P262="","",INDEX(상세표[주말·휴일 포함],$P262)&amp;"")</f>
        <v/>
      </c>
      <c r="O262">
        <f>IF($P262="","",INDEX(상세표[월 넘김 포함],$P262)&amp;"")</f>
        <v/>
      </c>
      <c r="P262" s="4">
        <f>IFERROR(MATCH(257,상세표[연속순번],0),"")</f>
        <v/>
      </c>
    </row>
    <row r="263">
      <c r="A263">
        <f>IF($P263="","",INDEX(상세표[사번],$P263)&amp;"")</f>
        <v/>
      </c>
      <c r="B263">
        <f>IF($P263="","",INDEX(상세표[성명],$P263)&amp;"")</f>
        <v/>
      </c>
      <c r="C263">
        <f>IF($P263="","",INDEX(상세표[부서],$P263)&amp;"")</f>
        <v/>
      </c>
      <c r="D263">
        <f>IF($P263="","",INDEX(상세표[직위],$P263)&amp;"")</f>
        <v/>
      </c>
      <c r="E263">
        <f>IF($P263="","",IF(ISNUMBER(INDEX(상세표[시작],$P263)),TEXT(INDEX(상세표[시작],$P263),"yyyy-mm-dd hh:mm"),INDEX(상세표[시작],$P263)&amp;""))</f>
        <v/>
      </c>
      <c r="F263">
        <f>IF($P263="","",IF(ISNUMBER(INDEX(상세표[블록종료],$P263)),TEXT(INDEX(상세표[블록종료],$P263),"yyyy-mm-dd hh:mm"),INDEX(상세표[블록종료],$P263)&amp;""))</f>
        <v/>
      </c>
      <c r="G263">
        <f>IF($P263="","",CHOOSE(WEEKDAY(INDEX(상세표[시작],$P263)),"일","월","화","수","목","금","토"))</f>
        <v/>
      </c>
      <c r="H263">
        <f>IF($P263="","",INDEX(상세표[연속 시간],$P263))</f>
        <v/>
      </c>
      <c r="I263">
        <f>IF($P263="","",INDEX(상세표[기록 수],$P263))</f>
        <v/>
      </c>
      <c r="J263">
        <f>IF($P263="","",INDEX(상세표[블록 06~07시],$P263))</f>
        <v/>
      </c>
      <c r="K263">
        <f>IF($P263="","",INDEX(상세표[블록 07~18시],$P263))</f>
        <v/>
      </c>
      <c r="L263">
        <f>IF($P263="","",INDEX(상세표[블록 18~22시],$P263))</f>
        <v/>
      </c>
      <c r="M263">
        <f>IF($P263="","",INDEX(상세표[블록 22~06시],$P263))</f>
        <v/>
      </c>
      <c r="N263">
        <f>IF($P263="","",INDEX(상세표[주말·휴일 포함],$P263)&amp;"")</f>
        <v/>
      </c>
      <c r="O263">
        <f>IF($P263="","",INDEX(상세표[월 넘김 포함],$P263)&amp;"")</f>
        <v/>
      </c>
      <c r="P263" s="4">
        <f>IFERROR(MATCH(258,상세표[연속순번],0),"")</f>
        <v/>
      </c>
    </row>
    <row r="264">
      <c r="A264">
        <f>IF($P264="","",INDEX(상세표[사번],$P264)&amp;"")</f>
        <v/>
      </c>
      <c r="B264">
        <f>IF($P264="","",INDEX(상세표[성명],$P264)&amp;"")</f>
        <v/>
      </c>
      <c r="C264">
        <f>IF($P264="","",INDEX(상세표[부서],$P264)&amp;"")</f>
        <v/>
      </c>
      <c r="D264">
        <f>IF($P264="","",INDEX(상세표[직위],$P264)&amp;"")</f>
        <v/>
      </c>
      <c r="E264">
        <f>IF($P264="","",IF(ISNUMBER(INDEX(상세표[시작],$P264)),TEXT(INDEX(상세표[시작],$P264),"yyyy-mm-dd hh:mm"),INDEX(상세표[시작],$P264)&amp;""))</f>
        <v/>
      </c>
      <c r="F264">
        <f>IF($P264="","",IF(ISNUMBER(INDEX(상세표[블록종료],$P264)),TEXT(INDEX(상세표[블록종료],$P264),"yyyy-mm-dd hh:mm"),INDEX(상세표[블록종료],$P264)&amp;""))</f>
        <v/>
      </c>
      <c r="G264">
        <f>IF($P264="","",CHOOSE(WEEKDAY(INDEX(상세표[시작],$P264)),"일","월","화","수","목","금","토"))</f>
        <v/>
      </c>
      <c r="H264">
        <f>IF($P264="","",INDEX(상세표[연속 시간],$P264))</f>
        <v/>
      </c>
      <c r="I264">
        <f>IF($P264="","",INDEX(상세표[기록 수],$P264))</f>
        <v/>
      </c>
      <c r="J264">
        <f>IF($P264="","",INDEX(상세표[블록 06~07시],$P264))</f>
        <v/>
      </c>
      <c r="K264">
        <f>IF($P264="","",INDEX(상세표[블록 07~18시],$P264))</f>
        <v/>
      </c>
      <c r="L264">
        <f>IF($P264="","",INDEX(상세표[블록 18~22시],$P264))</f>
        <v/>
      </c>
      <c r="M264">
        <f>IF($P264="","",INDEX(상세표[블록 22~06시],$P264))</f>
        <v/>
      </c>
      <c r="N264">
        <f>IF($P264="","",INDEX(상세표[주말·휴일 포함],$P264)&amp;"")</f>
        <v/>
      </c>
      <c r="O264">
        <f>IF($P264="","",INDEX(상세표[월 넘김 포함],$P264)&amp;"")</f>
        <v/>
      </c>
      <c r="P264" s="4">
        <f>IFERROR(MATCH(259,상세표[연속순번],0),"")</f>
        <v/>
      </c>
    </row>
    <row r="265">
      <c r="A265">
        <f>IF($P265="","",INDEX(상세표[사번],$P265)&amp;"")</f>
        <v/>
      </c>
      <c r="B265">
        <f>IF($P265="","",INDEX(상세표[성명],$P265)&amp;"")</f>
        <v/>
      </c>
      <c r="C265">
        <f>IF($P265="","",INDEX(상세표[부서],$P265)&amp;"")</f>
        <v/>
      </c>
      <c r="D265">
        <f>IF($P265="","",INDEX(상세표[직위],$P265)&amp;"")</f>
        <v/>
      </c>
      <c r="E265">
        <f>IF($P265="","",IF(ISNUMBER(INDEX(상세표[시작],$P265)),TEXT(INDEX(상세표[시작],$P265),"yyyy-mm-dd hh:mm"),INDEX(상세표[시작],$P265)&amp;""))</f>
        <v/>
      </c>
      <c r="F265">
        <f>IF($P265="","",IF(ISNUMBER(INDEX(상세표[블록종료],$P265)),TEXT(INDEX(상세표[블록종료],$P265),"yyyy-mm-dd hh:mm"),INDEX(상세표[블록종료],$P265)&amp;""))</f>
        <v/>
      </c>
      <c r="G265">
        <f>IF($P265="","",CHOOSE(WEEKDAY(INDEX(상세표[시작],$P265)),"일","월","화","수","목","금","토"))</f>
        <v/>
      </c>
      <c r="H265">
        <f>IF($P265="","",INDEX(상세표[연속 시간],$P265))</f>
        <v/>
      </c>
      <c r="I265">
        <f>IF($P265="","",INDEX(상세표[기록 수],$P265))</f>
        <v/>
      </c>
      <c r="J265">
        <f>IF($P265="","",INDEX(상세표[블록 06~07시],$P265))</f>
        <v/>
      </c>
      <c r="K265">
        <f>IF($P265="","",INDEX(상세표[블록 07~18시],$P265))</f>
        <v/>
      </c>
      <c r="L265">
        <f>IF($P265="","",INDEX(상세표[블록 18~22시],$P265))</f>
        <v/>
      </c>
      <c r="M265">
        <f>IF($P265="","",INDEX(상세표[블록 22~06시],$P265))</f>
        <v/>
      </c>
      <c r="N265">
        <f>IF($P265="","",INDEX(상세표[주말·휴일 포함],$P265)&amp;"")</f>
        <v/>
      </c>
      <c r="O265">
        <f>IF($P265="","",INDEX(상세표[월 넘김 포함],$P265)&amp;"")</f>
        <v/>
      </c>
      <c r="P265" s="4">
        <f>IFERROR(MATCH(260,상세표[연속순번],0),"")</f>
        <v/>
      </c>
    </row>
    <row r="266">
      <c r="A266">
        <f>IF($P266="","",INDEX(상세표[사번],$P266)&amp;"")</f>
        <v/>
      </c>
      <c r="B266">
        <f>IF($P266="","",INDEX(상세표[성명],$P266)&amp;"")</f>
        <v/>
      </c>
      <c r="C266">
        <f>IF($P266="","",INDEX(상세표[부서],$P266)&amp;"")</f>
        <v/>
      </c>
      <c r="D266">
        <f>IF($P266="","",INDEX(상세표[직위],$P266)&amp;"")</f>
        <v/>
      </c>
      <c r="E266">
        <f>IF($P266="","",IF(ISNUMBER(INDEX(상세표[시작],$P266)),TEXT(INDEX(상세표[시작],$P266),"yyyy-mm-dd hh:mm"),INDEX(상세표[시작],$P266)&amp;""))</f>
        <v/>
      </c>
      <c r="F266">
        <f>IF($P266="","",IF(ISNUMBER(INDEX(상세표[블록종료],$P266)),TEXT(INDEX(상세표[블록종료],$P266),"yyyy-mm-dd hh:mm"),INDEX(상세표[블록종료],$P266)&amp;""))</f>
        <v/>
      </c>
      <c r="G266">
        <f>IF($P266="","",CHOOSE(WEEKDAY(INDEX(상세표[시작],$P266)),"일","월","화","수","목","금","토"))</f>
        <v/>
      </c>
      <c r="H266">
        <f>IF($P266="","",INDEX(상세표[연속 시간],$P266))</f>
        <v/>
      </c>
      <c r="I266">
        <f>IF($P266="","",INDEX(상세표[기록 수],$P266))</f>
        <v/>
      </c>
      <c r="J266">
        <f>IF($P266="","",INDEX(상세표[블록 06~07시],$P266))</f>
        <v/>
      </c>
      <c r="K266">
        <f>IF($P266="","",INDEX(상세표[블록 07~18시],$P266))</f>
        <v/>
      </c>
      <c r="L266">
        <f>IF($P266="","",INDEX(상세표[블록 18~22시],$P266))</f>
        <v/>
      </c>
      <c r="M266">
        <f>IF($P266="","",INDEX(상세표[블록 22~06시],$P266))</f>
        <v/>
      </c>
      <c r="N266">
        <f>IF($P266="","",INDEX(상세표[주말·휴일 포함],$P266)&amp;"")</f>
        <v/>
      </c>
      <c r="O266">
        <f>IF($P266="","",INDEX(상세표[월 넘김 포함],$P266)&amp;"")</f>
        <v/>
      </c>
      <c r="P266" s="4">
        <f>IFERROR(MATCH(261,상세표[연속순번],0),"")</f>
        <v/>
      </c>
    </row>
    <row r="267">
      <c r="A267">
        <f>IF($P267="","",INDEX(상세표[사번],$P267)&amp;"")</f>
        <v/>
      </c>
      <c r="B267">
        <f>IF($P267="","",INDEX(상세표[성명],$P267)&amp;"")</f>
        <v/>
      </c>
      <c r="C267">
        <f>IF($P267="","",INDEX(상세표[부서],$P267)&amp;"")</f>
        <v/>
      </c>
      <c r="D267">
        <f>IF($P267="","",INDEX(상세표[직위],$P267)&amp;"")</f>
        <v/>
      </c>
      <c r="E267">
        <f>IF($P267="","",IF(ISNUMBER(INDEX(상세표[시작],$P267)),TEXT(INDEX(상세표[시작],$P267),"yyyy-mm-dd hh:mm"),INDEX(상세표[시작],$P267)&amp;""))</f>
        <v/>
      </c>
      <c r="F267">
        <f>IF($P267="","",IF(ISNUMBER(INDEX(상세표[블록종료],$P267)),TEXT(INDEX(상세표[블록종료],$P267),"yyyy-mm-dd hh:mm"),INDEX(상세표[블록종료],$P267)&amp;""))</f>
        <v/>
      </c>
      <c r="G267">
        <f>IF($P267="","",CHOOSE(WEEKDAY(INDEX(상세표[시작],$P267)),"일","월","화","수","목","금","토"))</f>
        <v/>
      </c>
      <c r="H267">
        <f>IF($P267="","",INDEX(상세표[연속 시간],$P267))</f>
        <v/>
      </c>
      <c r="I267">
        <f>IF($P267="","",INDEX(상세표[기록 수],$P267))</f>
        <v/>
      </c>
      <c r="J267">
        <f>IF($P267="","",INDEX(상세표[블록 06~07시],$P267))</f>
        <v/>
      </c>
      <c r="K267">
        <f>IF($P267="","",INDEX(상세표[블록 07~18시],$P267))</f>
        <v/>
      </c>
      <c r="L267">
        <f>IF($P267="","",INDEX(상세표[블록 18~22시],$P267))</f>
        <v/>
      </c>
      <c r="M267">
        <f>IF($P267="","",INDEX(상세표[블록 22~06시],$P267))</f>
        <v/>
      </c>
      <c r="N267">
        <f>IF($P267="","",INDEX(상세표[주말·휴일 포함],$P267)&amp;"")</f>
        <v/>
      </c>
      <c r="O267">
        <f>IF($P267="","",INDEX(상세표[월 넘김 포함],$P267)&amp;"")</f>
        <v/>
      </c>
      <c r="P267" s="4">
        <f>IFERROR(MATCH(262,상세표[연속순번],0),"")</f>
        <v/>
      </c>
    </row>
    <row r="268">
      <c r="A268">
        <f>IF($P268="","",INDEX(상세표[사번],$P268)&amp;"")</f>
        <v/>
      </c>
      <c r="B268">
        <f>IF($P268="","",INDEX(상세표[성명],$P268)&amp;"")</f>
        <v/>
      </c>
      <c r="C268">
        <f>IF($P268="","",INDEX(상세표[부서],$P268)&amp;"")</f>
        <v/>
      </c>
      <c r="D268">
        <f>IF($P268="","",INDEX(상세표[직위],$P268)&amp;"")</f>
        <v/>
      </c>
      <c r="E268">
        <f>IF($P268="","",IF(ISNUMBER(INDEX(상세표[시작],$P268)),TEXT(INDEX(상세표[시작],$P268),"yyyy-mm-dd hh:mm"),INDEX(상세표[시작],$P268)&amp;""))</f>
        <v/>
      </c>
      <c r="F268">
        <f>IF($P268="","",IF(ISNUMBER(INDEX(상세표[블록종료],$P268)),TEXT(INDEX(상세표[블록종료],$P268),"yyyy-mm-dd hh:mm"),INDEX(상세표[블록종료],$P268)&amp;""))</f>
        <v/>
      </c>
      <c r="G268">
        <f>IF($P268="","",CHOOSE(WEEKDAY(INDEX(상세표[시작],$P268)),"일","월","화","수","목","금","토"))</f>
        <v/>
      </c>
      <c r="H268">
        <f>IF($P268="","",INDEX(상세표[연속 시간],$P268))</f>
        <v/>
      </c>
      <c r="I268">
        <f>IF($P268="","",INDEX(상세표[기록 수],$P268))</f>
        <v/>
      </c>
      <c r="J268">
        <f>IF($P268="","",INDEX(상세표[블록 06~07시],$P268))</f>
        <v/>
      </c>
      <c r="K268">
        <f>IF($P268="","",INDEX(상세표[블록 07~18시],$P268))</f>
        <v/>
      </c>
      <c r="L268">
        <f>IF($P268="","",INDEX(상세표[블록 18~22시],$P268))</f>
        <v/>
      </c>
      <c r="M268">
        <f>IF($P268="","",INDEX(상세표[블록 22~06시],$P268))</f>
        <v/>
      </c>
      <c r="N268">
        <f>IF($P268="","",INDEX(상세표[주말·휴일 포함],$P268)&amp;"")</f>
        <v/>
      </c>
      <c r="O268">
        <f>IF($P268="","",INDEX(상세표[월 넘김 포함],$P268)&amp;"")</f>
        <v/>
      </c>
      <c r="P268" s="4">
        <f>IFERROR(MATCH(263,상세표[연속순번],0),"")</f>
        <v/>
      </c>
    </row>
    <row r="269">
      <c r="A269">
        <f>IF($P269="","",INDEX(상세표[사번],$P269)&amp;"")</f>
        <v/>
      </c>
      <c r="B269">
        <f>IF($P269="","",INDEX(상세표[성명],$P269)&amp;"")</f>
        <v/>
      </c>
      <c r="C269">
        <f>IF($P269="","",INDEX(상세표[부서],$P269)&amp;"")</f>
        <v/>
      </c>
      <c r="D269">
        <f>IF($P269="","",INDEX(상세표[직위],$P269)&amp;"")</f>
        <v/>
      </c>
      <c r="E269">
        <f>IF($P269="","",IF(ISNUMBER(INDEX(상세표[시작],$P269)),TEXT(INDEX(상세표[시작],$P269),"yyyy-mm-dd hh:mm"),INDEX(상세표[시작],$P269)&amp;""))</f>
        <v/>
      </c>
      <c r="F269">
        <f>IF($P269="","",IF(ISNUMBER(INDEX(상세표[블록종료],$P269)),TEXT(INDEX(상세표[블록종료],$P269),"yyyy-mm-dd hh:mm"),INDEX(상세표[블록종료],$P269)&amp;""))</f>
        <v/>
      </c>
      <c r="G269">
        <f>IF($P269="","",CHOOSE(WEEKDAY(INDEX(상세표[시작],$P269)),"일","월","화","수","목","금","토"))</f>
        <v/>
      </c>
      <c r="H269">
        <f>IF($P269="","",INDEX(상세표[연속 시간],$P269))</f>
        <v/>
      </c>
      <c r="I269">
        <f>IF($P269="","",INDEX(상세표[기록 수],$P269))</f>
        <v/>
      </c>
      <c r="J269">
        <f>IF($P269="","",INDEX(상세표[블록 06~07시],$P269))</f>
        <v/>
      </c>
      <c r="K269">
        <f>IF($P269="","",INDEX(상세표[블록 07~18시],$P269))</f>
        <v/>
      </c>
      <c r="L269">
        <f>IF($P269="","",INDEX(상세표[블록 18~22시],$P269))</f>
        <v/>
      </c>
      <c r="M269">
        <f>IF($P269="","",INDEX(상세표[블록 22~06시],$P269))</f>
        <v/>
      </c>
      <c r="N269">
        <f>IF($P269="","",INDEX(상세표[주말·휴일 포함],$P269)&amp;"")</f>
        <v/>
      </c>
      <c r="O269">
        <f>IF($P269="","",INDEX(상세표[월 넘김 포함],$P269)&amp;"")</f>
        <v/>
      </c>
      <c r="P269" s="4">
        <f>IFERROR(MATCH(264,상세표[연속순번],0),"")</f>
        <v/>
      </c>
    </row>
    <row r="270">
      <c r="A270">
        <f>IF($P270="","",INDEX(상세표[사번],$P270)&amp;"")</f>
        <v/>
      </c>
      <c r="B270">
        <f>IF($P270="","",INDEX(상세표[성명],$P270)&amp;"")</f>
        <v/>
      </c>
      <c r="C270">
        <f>IF($P270="","",INDEX(상세표[부서],$P270)&amp;"")</f>
        <v/>
      </c>
      <c r="D270">
        <f>IF($P270="","",INDEX(상세표[직위],$P270)&amp;"")</f>
        <v/>
      </c>
      <c r="E270">
        <f>IF($P270="","",IF(ISNUMBER(INDEX(상세표[시작],$P270)),TEXT(INDEX(상세표[시작],$P270),"yyyy-mm-dd hh:mm"),INDEX(상세표[시작],$P270)&amp;""))</f>
        <v/>
      </c>
      <c r="F270">
        <f>IF($P270="","",IF(ISNUMBER(INDEX(상세표[블록종료],$P270)),TEXT(INDEX(상세표[블록종료],$P270),"yyyy-mm-dd hh:mm"),INDEX(상세표[블록종료],$P270)&amp;""))</f>
        <v/>
      </c>
      <c r="G270">
        <f>IF($P270="","",CHOOSE(WEEKDAY(INDEX(상세표[시작],$P270)),"일","월","화","수","목","금","토"))</f>
        <v/>
      </c>
      <c r="H270">
        <f>IF($P270="","",INDEX(상세표[연속 시간],$P270))</f>
        <v/>
      </c>
      <c r="I270">
        <f>IF($P270="","",INDEX(상세표[기록 수],$P270))</f>
        <v/>
      </c>
      <c r="J270">
        <f>IF($P270="","",INDEX(상세표[블록 06~07시],$P270))</f>
        <v/>
      </c>
      <c r="K270">
        <f>IF($P270="","",INDEX(상세표[블록 07~18시],$P270))</f>
        <v/>
      </c>
      <c r="L270">
        <f>IF($P270="","",INDEX(상세표[블록 18~22시],$P270))</f>
        <v/>
      </c>
      <c r="M270">
        <f>IF($P270="","",INDEX(상세표[블록 22~06시],$P270))</f>
        <v/>
      </c>
      <c r="N270">
        <f>IF($P270="","",INDEX(상세표[주말·휴일 포함],$P270)&amp;"")</f>
        <v/>
      </c>
      <c r="O270">
        <f>IF($P270="","",INDEX(상세표[월 넘김 포함],$P270)&amp;"")</f>
        <v/>
      </c>
      <c r="P270" s="4">
        <f>IFERROR(MATCH(265,상세표[연속순번],0),"")</f>
        <v/>
      </c>
    </row>
    <row r="271">
      <c r="A271">
        <f>IF($P271="","",INDEX(상세표[사번],$P271)&amp;"")</f>
        <v/>
      </c>
      <c r="B271">
        <f>IF($P271="","",INDEX(상세표[성명],$P271)&amp;"")</f>
        <v/>
      </c>
      <c r="C271">
        <f>IF($P271="","",INDEX(상세표[부서],$P271)&amp;"")</f>
        <v/>
      </c>
      <c r="D271">
        <f>IF($P271="","",INDEX(상세표[직위],$P271)&amp;"")</f>
        <v/>
      </c>
      <c r="E271">
        <f>IF($P271="","",IF(ISNUMBER(INDEX(상세표[시작],$P271)),TEXT(INDEX(상세표[시작],$P271),"yyyy-mm-dd hh:mm"),INDEX(상세표[시작],$P271)&amp;""))</f>
        <v/>
      </c>
      <c r="F271">
        <f>IF($P271="","",IF(ISNUMBER(INDEX(상세표[블록종료],$P271)),TEXT(INDEX(상세표[블록종료],$P271),"yyyy-mm-dd hh:mm"),INDEX(상세표[블록종료],$P271)&amp;""))</f>
        <v/>
      </c>
      <c r="G271">
        <f>IF($P271="","",CHOOSE(WEEKDAY(INDEX(상세표[시작],$P271)),"일","월","화","수","목","금","토"))</f>
        <v/>
      </c>
      <c r="H271">
        <f>IF($P271="","",INDEX(상세표[연속 시간],$P271))</f>
        <v/>
      </c>
      <c r="I271">
        <f>IF($P271="","",INDEX(상세표[기록 수],$P271))</f>
        <v/>
      </c>
      <c r="J271">
        <f>IF($P271="","",INDEX(상세표[블록 06~07시],$P271))</f>
        <v/>
      </c>
      <c r="K271">
        <f>IF($P271="","",INDEX(상세표[블록 07~18시],$P271))</f>
        <v/>
      </c>
      <c r="L271">
        <f>IF($P271="","",INDEX(상세표[블록 18~22시],$P271))</f>
        <v/>
      </c>
      <c r="M271">
        <f>IF($P271="","",INDEX(상세표[블록 22~06시],$P271))</f>
        <v/>
      </c>
      <c r="N271">
        <f>IF($P271="","",INDEX(상세표[주말·휴일 포함],$P271)&amp;"")</f>
        <v/>
      </c>
      <c r="O271">
        <f>IF($P271="","",INDEX(상세표[월 넘김 포함],$P271)&amp;"")</f>
        <v/>
      </c>
      <c r="P271" s="4">
        <f>IFERROR(MATCH(266,상세표[연속순번],0),"")</f>
        <v/>
      </c>
    </row>
    <row r="272">
      <c r="A272">
        <f>IF($P272="","",INDEX(상세표[사번],$P272)&amp;"")</f>
        <v/>
      </c>
      <c r="B272">
        <f>IF($P272="","",INDEX(상세표[성명],$P272)&amp;"")</f>
        <v/>
      </c>
      <c r="C272">
        <f>IF($P272="","",INDEX(상세표[부서],$P272)&amp;"")</f>
        <v/>
      </c>
      <c r="D272">
        <f>IF($P272="","",INDEX(상세표[직위],$P272)&amp;"")</f>
        <v/>
      </c>
      <c r="E272">
        <f>IF($P272="","",IF(ISNUMBER(INDEX(상세표[시작],$P272)),TEXT(INDEX(상세표[시작],$P272),"yyyy-mm-dd hh:mm"),INDEX(상세표[시작],$P272)&amp;""))</f>
        <v/>
      </c>
      <c r="F272">
        <f>IF($P272="","",IF(ISNUMBER(INDEX(상세표[블록종료],$P272)),TEXT(INDEX(상세표[블록종료],$P272),"yyyy-mm-dd hh:mm"),INDEX(상세표[블록종료],$P272)&amp;""))</f>
        <v/>
      </c>
      <c r="G272">
        <f>IF($P272="","",CHOOSE(WEEKDAY(INDEX(상세표[시작],$P272)),"일","월","화","수","목","금","토"))</f>
        <v/>
      </c>
      <c r="H272">
        <f>IF($P272="","",INDEX(상세표[연속 시간],$P272))</f>
        <v/>
      </c>
      <c r="I272">
        <f>IF($P272="","",INDEX(상세표[기록 수],$P272))</f>
        <v/>
      </c>
      <c r="J272">
        <f>IF($P272="","",INDEX(상세표[블록 06~07시],$P272))</f>
        <v/>
      </c>
      <c r="K272">
        <f>IF($P272="","",INDEX(상세표[블록 07~18시],$P272))</f>
        <v/>
      </c>
      <c r="L272">
        <f>IF($P272="","",INDEX(상세표[블록 18~22시],$P272))</f>
        <v/>
      </c>
      <c r="M272">
        <f>IF($P272="","",INDEX(상세표[블록 22~06시],$P272))</f>
        <v/>
      </c>
      <c r="N272">
        <f>IF($P272="","",INDEX(상세표[주말·휴일 포함],$P272)&amp;"")</f>
        <v/>
      </c>
      <c r="O272">
        <f>IF($P272="","",INDEX(상세표[월 넘김 포함],$P272)&amp;"")</f>
        <v/>
      </c>
      <c r="P272" s="4">
        <f>IFERROR(MATCH(267,상세표[연속순번],0),"")</f>
        <v/>
      </c>
    </row>
    <row r="273">
      <c r="A273">
        <f>IF($P273="","",INDEX(상세표[사번],$P273)&amp;"")</f>
        <v/>
      </c>
      <c r="B273">
        <f>IF($P273="","",INDEX(상세표[성명],$P273)&amp;"")</f>
        <v/>
      </c>
      <c r="C273">
        <f>IF($P273="","",INDEX(상세표[부서],$P273)&amp;"")</f>
        <v/>
      </c>
      <c r="D273">
        <f>IF($P273="","",INDEX(상세표[직위],$P273)&amp;"")</f>
        <v/>
      </c>
      <c r="E273">
        <f>IF($P273="","",IF(ISNUMBER(INDEX(상세표[시작],$P273)),TEXT(INDEX(상세표[시작],$P273),"yyyy-mm-dd hh:mm"),INDEX(상세표[시작],$P273)&amp;""))</f>
        <v/>
      </c>
      <c r="F273">
        <f>IF($P273="","",IF(ISNUMBER(INDEX(상세표[블록종료],$P273)),TEXT(INDEX(상세표[블록종료],$P273),"yyyy-mm-dd hh:mm"),INDEX(상세표[블록종료],$P273)&amp;""))</f>
        <v/>
      </c>
      <c r="G273">
        <f>IF($P273="","",CHOOSE(WEEKDAY(INDEX(상세표[시작],$P273)),"일","월","화","수","목","금","토"))</f>
        <v/>
      </c>
      <c r="H273">
        <f>IF($P273="","",INDEX(상세표[연속 시간],$P273))</f>
        <v/>
      </c>
      <c r="I273">
        <f>IF($P273="","",INDEX(상세표[기록 수],$P273))</f>
        <v/>
      </c>
      <c r="J273">
        <f>IF($P273="","",INDEX(상세표[블록 06~07시],$P273))</f>
        <v/>
      </c>
      <c r="K273">
        <f>IF($P273="","",INDEX(상세표[블록 07~18시],$P273))</f>
        <v/>
      </c>
      <c r="L273">
        <f>IF($P273="","",INDEX(상세표[블록 18~22시],$P273))</f>
        <v/>
      </c>
      <c r="M273">
        <f>IF($P273="","",INDEX(상세표[블록 22~06시],$P273))</f>
        <v/>
      </c>
      <c r="N273">
        <f>IF($P273="","",INDEX(상세표[주말·휴일 포함],$P273)&amp;"")</f>
        <v/>
      </c>
      <c r="O273">
        <f>IF($P273="","",INDEX(상세표[월 넘김 포함],$P273)&amp;"")</f>
        <v/>
      </c>
      <c r="P273" s="4">
        <f>IFERROR(MATCH(268,상세표[연속순번],0),"")</f>
        <v/>
      </c>
    </row>
    <row r="274">
      <c r="A274">
        <f>IF($P274="","",INDEX(상세표[사번],$P274)&amp;"")</f>
        <v/>
      </c>
      <c r="B274">
        <f>IF($P274="","",INDEX(상세표[성명],$P274)&amp;"")</f>
        <v/>
      </c>
      <c r="C274">
        <f>IF($P274="","",INDEX(상세표[부서],$P274)&amp;"")</f>
        <v/>
      </c>
      <c r="D274">
        <f>IF($P274="","",INDEX(상세표[직위],$P274)&amp;"")</f>
        <v/>
      </c>
      <c r="E274">
        <f>IF($P274="","",IF(ISNUMBER(INDEX(상세표[시작],$P274)),TEXT(INDEX(상세표[시작],$P274),"yyyy-mm-dd hh:mm"),INDEX(상세표[시작],$P274)&amp;""))</f>
        <v/>
      </c>
      <c r="F274">
        <f>IF($P274="","",IF(ISNUMBER(INDEX(상세표[블록종료],$P274)),TEXT(INDEX(상세표[블록종료],$P274),"yyyy-mm-dd hh:mm"),INDEX(상세표[블록종료],$P274)&amp;""))</f>
        <v/>
      </c>
      <c r="G274">
        <f>IF($P274="","",CHOOSE(WEEKDAY(INDEX(상세표[시작],$P274)),"일","월","화","수","목","금","토"))</f>
        <v/>
      </c>
      <c r="H274">
        <f>IF($P274="","",INDEX(상세표[연속 시간],$P274))</f>
        <v/>
      </c>
      <c r="I274">
        <f>IF($P274="","",INDEX(상세표[기록 수],$P274))</f>
        <v/>
      </c>
      <c r="J274">
        <f>IF($P274="","",INDEX(상세표[블록 06~07시],$P274))</f>
        <v/>
      </c>
      <c r="K274">
        <f>IF($P274="","",INDEX(상세표[블록 07~18시],$P274))</f>
        <v/>
      </c>
      <c r="L274">
        <f>IF($P274="","",INDEX(상세표[블록 18~22시],$P274))</f>
        <v/>
      </c>
      <c r="M274">
        <f>IF($P274="","",INDEX(상세표[블록 22~06시],$P274))</f>
        <v/>
      </c>
      <c r="N274">
        <f>IF($P274="","",INDEX(상세표[주말·휴일 포함],$P274)&amp;"")</f>
        <v/>
      </c>
      <c r="O274">
        <f>IF($P274="","",INDEX(상세표[월 넘김 포함],$P274)&amp;"")</f>
        <v/>
      </c>
      <c r="P274" s="4">
        <f>IFERROR(MATCH(269,상세표[연속순번],0),"")</f>
        <v/>
      </c>
    </row>
    <row r="275">
      <c r="A275">
        <f>IF($P275="","",INDEX(상세표[사번],$P275)&amp;"")</f>
        <v/>
      </c>
      <c r="B275">
        <f>IF($P275="","",INDEX(상세표[성명],$P275)&amp;"")</f>
        <v/>
      </c>
      <c r="C275">
        <f>IF($P275="","",INDEX(상세표[부서],$P275)&amp;"")</f>
        <v/>
      </c>
      <c r="D275">
        <f>IF($P275="","",INDEX(상세표[직위],$P275)&amp;"")</f>
        <v/>
      </c>
      <c r="E275">
        <f>IF($P275="","",IF(ISNUMBER(INDEX(상세표[시작],$P275)),TEXT(INDEX(상세표[시작],$P275),"yyyy-mm-dd hh:mm"),INDEX(상세표[시작],$P275)&amp;""))</f>
        <v/>
      </c>
      <c r="F275">
        <f>IF($P275="","",IF(ISNUMBER(INDEX(상세표[블록종료],$P275)),TEXT(INDEX(상세표[블록종료],$P275),"yyyy-mm-dd hh:mm"),INDEX(상세표[블록종료],$P275)&amp;""))</f>
        <v/>
      </c>
      <c r="G275">
        <f>IF($P275="","",CHOOSE(WEEKDAY(INDEX(상세표[시작],$P275)),"일","월","화","수","목","금","토"))</f>
        <v/>
      </c>
      <c r="H275">
        <f>IF($P275="","",INDEX(상세표[연속 시간],$P275))</f>
        <v/>
      </c>
      <c r="I275">
        <f>IF($P275="","",INDEX(상세표[기록 수],$P275))</f>
        <v/>
      </c>
      <c r="J275">
        <f>IF($P275="","",INDEX(상세표[블록 06~07시],$P275))</f>
        <v/>
      </c>
      <c r="K275">
        <f>IF($P275="","",INDEX(상세표[블록 07~18시],$P275))</f>
        <v/>
      </c>
      <c r="L275">
        <f>IF($P275="","",INDEX(상세표[블록 18~22시],$P275))</f>
        <v/>
      </c>
      <c r="M275">
        <f>IF($P275="","",INDEX(상세표[블록 22~06시],$P275))</f>
        <v/>
      </c>
      <c r="N275">
        <f>IF($P275="","",INDEX(상세표[주말·휴일 포함],$P275)&amp;"")</f>
        <v/>
      </c>
      <c r="O275">
        <f>IF($P275="","",INDEX(상세표[월 넘김 포함],$P275)&amp;"")</f>
        <v/>
      </c>
      <c r="P275" s="4">
        <f>IFERROR(MATCH(270,상세표[연속순번],0),"")</f>
        <v/>
      </c>
    </row>
    <row r="276">
      <c r="A276">
        <f>IF($P276="","",INDEX(상세표[사번],$P276)&amp;"")</f>
        <v/>
      </c>
      <c r="B276">
        <f>IF($P276="","",INDEX(상세표[성명],$P276)&amp;"")</f>
        <v/>
      </c>
      <c r="C276">
        <f>IF($P276="","",INDEX(상세표[부서],$P276)&amp;"")</f>
        <v/>
      </c>
      <c r="D276">
        <f>IF($P276="","",INDEX(상세표[직위],$P276)&amp;"")</f>
        <v/>
      </c>
      <c r="E276">
        <f>IF($P276="","",IF(ISNUMBER(INDEX(상세표[시작],$P276)),TEXT(INDEX(상세표[시작],$P276),"yyyy-mm-dd hh:mm"),INDEX(상세표[시작],$P276)&amp;""))</f>
        <v/>
      </c>
      <c r="F276">
        <f>IF($P276="","",IF(ISNUMBER(INDEX(상세표[블록종료],$P276)),TEXT(INDEX(상세표[블록종료],$P276),"yyyy-mm-dd hh:mm"),INDEX(상세표[블록종료],$P276)&amp;""))</f>
        <v/>
      </c>
      <c r="G276">
        <f>IF($P276="","",CHOOSE(WEEKDAY(INDEX(상세표[시작],$P276)),"일","월","화","수","목","금","토"))</f>
        <v/>
      </c>
      <c r="H276">
        <f>IF($P276="","",INDEX(상세표[연속 시간],$P276))</f>
        <v/>
      </c>
      <c r="I276">
        <f>IF($P276="","",INDEX(상세표[기록 수],$P276))</f>
        <v/>
      </c>
      <c r="J276">
        <f>IF($P276="","",INDEX(상세표[블록 06~07시],$P276))</f>
        <v/>
      </c>
      <c r="K276">
        <f>IF($P276="","",INDEX(상세표[블록 07~18시],$P276))</f>
        <v/>
      </c>
      <c r="L276">
        <f>IF($P276="","",INDEX(상세표[블록 18~22시],$P276))</f>
        <v/>
      </c>
      <c r="M276">
        <f>IF($P276="","",INDEX(상세표[블록 22~06시],$P276))</f>
        <v/>
      </c>
      <c r="N276">
        <f>IF($P276="","",INDEX(상세표[주말·휴일 포함],$P276)&amp;"")</f>
        <v/>
      </c>
      <c r="O276">
        <f>IF($P276="","",INDEX(상세표[월 넘김 포함],$P276)&amp;"")</f>
        <v/>
      </c>
      <c r="P276" s="4">
        <f>IFERROR(MATCH(271,상세표[연속순번],0),"")</f>
        <v/>
      </c>
    </row>
    <row r="277">
      <c r="A277">
        <f>IF($P277="","",INDEX(상세표[사번],$P277)&amp;"")</f>
        <v/>
      </c>
      <c r="B277">
        <f>IF($P277="","",INDEX(상세표[성명],$P277)&amp;"")</f>
        <v/>
      </c>
      <c r="C277">
        <f>IF($P277="","",INDEX(상세표[부서],$P277)&amp;"")</f>
        <v/>
      </c>
      <c r="D277">
        <f>IF($P277="","",INDEX(상세표[직위],$P277)&amp;"")</f>
        <v/>
      </c>
      <c r="E277">
        <f>IF($P277="","",IF(ISNUMBER(INDEX(상세표[시작],$P277)),TEXT(INDEX(상세표[시작],$P277),"yyyy-mm-dd hh:mm"),INDEX(상세표[시작],$P277)&amp;""))</f>
        <v/>
      </c>
      <c r="F277">
        <f>IF($P277="","",IF(ISNUMBER(INDEX(상세표[블록종료],$P277)),TEXT(INDEX(상세표[블록종료],$P277),"yyyy-mm-dd hh:mm"),INDEX(상세표[블록종료],$P277)&amp;""))</f>
        <v/>
      </c>
      <c r="G277">
        <f>IF($P277="","",CHOOSE(WEEKDAY(INDEX(상세표[시작],$P277)),"일","월","화","수","목","금","토"))</f>
        <v/>
      </c>
      <c r="H277">
        <f>IF($P277="","",INDEX(상세표[연속 시간],$P277))</f>
        <v/>
      </c>
      <c r="I277">
        <f>IF($P277="","",INDEX(상세표[기록 수],$P277))</f>
        <v/>
      </c>
      <c r="J277">
        <f>IF($P277="","",INDEX(상세표[블록 06~07시],$P277))</f>
        <v/>
      </c>
      <c r="K277">
        <f>IF($P277="","",INDEX(상세표[블록 07~18시],$P277))</f>
        <v/>
      </c>
      <c r="L277">
        <f>IF($P277="","",INDEX(상세표[블록 18~22시],$P277))</f>
        <v/>
      </c>
      <c r="M277">
        <f>IF($P277="","",INDEX(상세표[블록 22~06시],$P277))</f>
        <v/>
      </c>
      <c r="N277">
        <f>IF($P277="","",INDEX(상세표[주말·휴일 포함],$P277)&amp;"")</f>
        <v/>
      </c>
      <c r="O277">
        <f>IF($P277="","",INDEX(상세표[월 넘김 포함],$P277)&amp;"")</f>
        <v/>
      </c>
      <c r="P277" s="4">
        <f>IFERROR(MATCH(272,상세표[연속순번],0),"")</f>
        <v/>
      </c>
    </row>
    <row r="278">
      <c r="A278">
        <f>IF($P278="","",INDEX(상세표[사번],$P278)&amp;"")</f>
        <v/>
      </c>
      <c r="B278">
        <f>IF($P278="","",INDEX(상세표[성명],$P278)&amp;"")</f>
        <v/>
      </c>
      <c r="C278">
        <f>IF($P278="","",INDEX(상세표[부서],$P278)&amp;"")</f>
        <v/>
      </c>
      <c r="D278">
        <f>IF($P278="","",INDEX(상세표[직위],$P278)&amp;"")</f>
        <v/>
      </c>
      <c r="E278">
        <f>IF($P278="","",IF(ISNUMBER(INDEX(상세표[시작],$P278)),TEXT(INDEX(상세표[시작],$P278),"yyyy-mm-dd hh:mm"),INDEX(상세표[시작],$P278)&amp;""))</f>
        <v/>
      </c>
      <c r="F278">
        <f>IF($P278="","",IF(ISNUMBER(INDEX(상세표[블록종료],$P278)),TEXT(INDEX(상세표[블록종료],$P278),"yyyy-mm-dd hh:mm"),INDEX(상세표[블록종료],$P278)&amp;""))</f>
        <v/>
      </c>
      <c r="G278">
        <f>IF($P278="","",CHOOSE(WEEKDAY(INDEX(상세표[시작],$P278)),"일","월","화","수","목","금","토"))</f>
        <v/>
      </c>
      <c r="H278">
        <f>IF($P278="","",INDEX(상세표[연속 시간],$P278))</f>
        <v/>
      </c>
      <c r="I278">
        <f>IF($P278="","",INDEX(상세표[기록 수],$P278))</f>
        <v/>
      </c>
      <c r="J278">
        <f>IF($P278="","",INDEX(상세표[블록 06~07시],$P278))</f>
        <v/>
      </c>
      <c r="K278">
        <f>IF($P278="","",INDEX(상세표[블록 07~18시],$P278))</f>
        <v/>
      </c>
      <c r="L278">
        <f>IF($P278="","",INDEX(상세표[블록 18~22시],$P278))</f>
        <v/>
      </c>
      <c r="M278">
        <f>IF($P278="","",INDEX(상세표[블록 22~06시],$P278))</f>
        <v/>
      </c>
      <c r="N278">
        <f>IF($P278="","",INDEX(상세표[주말·휴일 포함],$P278)&amp;"")</f>
        <v/>
      </c>
      <c r="O278">
        <f>IF($P278="","",INDEX(상세표[월 넘김 포함],$P278)&amp;"")</f>
        <v/>
      </c>
      <c r="P278" s="4">
        <f>IFERROR(MATCH(273,상세표[연속순번],0),"")</f>
        <v/>
      </c>
    </row>
    <row r="279">
      <c r="A279">
        <f>IF($P279="","",INDEX(상세표[사번],$P279)&amp;"")</f>
        <v/>
      </c>
      <c r="B279">
        <f>IF($P279="","",INDEX(상세표[성명],$P279)&amp;"")</f>
        <v/>
      </c>
      <c r="C279">
        <f>IF($P279="","",INDEX(상세표[부서],$P279)&amp;"")</f>
        <v/>
      </c>
      <c r="D279">
        <f>IF($P279="","",INDEX(상세표[직위],$P279)&amp;"")</f>
        <v/>
      </c>
      <c r="E279">
        <f>IF($P279="","",IF(ISNUMBER(INDEX(상세표[시작],$P279)),TEXT(INDEX(상세표[시작],$P279),"yyyy-mm-dd hh:mm"),INDEX(상세표[시작],$P279)&amp;""))</f>
        <v/>
      </c>
      <c r="F279">
        <f>IF($P279="","",IF(ISNUMBER(INDEX(상세표[블록종료],$P279)),TEXT(INDEX(상세표[블록종료],$P279),"yyyy-mm-dd hh:mm"),INDEX(상세표[블록종료],$P279)&amp;""))</f>
        <v/>
      </c>
      <c r="G279">
        <f>IF($P279="","",CHOOSE(WEEKDAY(INDEX(상세표[시작],$P279)),"일","월","화","수","목","금","토"))</f>
        <v/>
      </c>
      <c r="H279">
        <f>IF($P279="","",INDEX(상세표[연속 시간],$P279))</f>
        <v/>
      </c>
      <c r="I279">
        <f>IF($P279="","",INDEX(상세표[기록 수],$P279))</f>
        <v/>
      </c>
      <c r="J279">
        <f>IF($P279="","",INDEX(상세표[블록 06~07시],$P279))</f>
        <v/>
      </c>
      <c r="K279">
        <f>IF($P279="","",INDEX(상세표[블록 07~18시],$P279))</f>
        <v/>
      </c>
      <c r="L279">
        <f>IF($P279="","",INDEX(상세표[블록 18~22시],$P279))</f>
        <v/>
      </c>
      <c r="M279">
        <f>IF($P279="","",INDEX(상세표[블록 22~06시],$P279))</f>
        <v/>
      </c>
      <c r="N279">
        <f>IF($P279="","",INDEX(상세표[주말·휴일 포함],$P279)&amp;"")</f>
        <v/>
      </c>
      <c r="O279">
        <f>IF($P279="","",INDEX(상세표[월 넘김 포함],$P279)&amp;"")</f>
        <v/>
      </c>
      <c r="P279" s="4">
        <f>IFERROR(MATCH(274,상세표[연속순번],0),"")</f>
        <v/>
      </c>
    </row>
    <row r="280">
      <c r="A280">
        <f>IF($P280="","",INDEX(상세표[사번],$P280)&amp;"")</f>
        <v/>
      </c>
      <c r="B280">
        <f>IF($P280="","",INDEX(상세표[성명],$P280)&amp;"")</f>
        <v/>
      </c>
      <c r="C280">
        <f>IF($P280="","",INDEX(상세표[부서],$P280)&amp;"")</f>
        <v/>
      </c>
      <c r="D280">
        <f>IF($P280="","",INDEX(상세표[직위],$P280)&amp;"")</f>
        <v/>
      </c>
      <c r="E280">
        <f>IF($P280="","",IF(ISNUMBER(INDEX(상세표[시작],$P280)),TEXT(INDEX(상세표[시작],$P280),"yyyy-mm-dd hh:mm"),INDEX(상세표[시작],$P280)&amp;""))</f>
        <v/>
      </c>
      <c r="F280">
        <f>IF($P280="","",IF(ISNUMBER(INDEX(상세표[블록종료],$P280)),TEXT(INDEX(상세표[블록종료],$P280),"yyyy-mm-dd hh:mm"),INDEX(상세표[블록종료],$P280)&amp;""))</f>
        <v/>
      </c>
      <c r="G280">
        <f>IF($P280="","",CHOOSE(WEEKDAY(INDEX(상세표[시작],$P280)),"일","월","화","수","목","금","토"))</f>
        <v/>
      </c>
      <c r="H280">
        <f>IF($P280="","",INDEX(상세표[연속 시간],$P280))</f>
        <v/>
      </c>
      <c r="I280">
        <f>IF($P280="","",INDEX(상세표[기록 수],$P280))</f>
        <v/>
      </c>
      <c r="J280">
        <f>IF($P280="","",INDEX(상세표[블록 06~07시],$P280))</f>
        <v/>
      </c>
      <c r="K280">
        <f>IF($P280="","",INDEX(상세표[블록 07~18시],$P280))</f>
        <v/>
      </c>
      <c r="L280">
        <f>IF($P280="","",INDEX(상세표[블록 18~22시],$P280))</f>
        <v/>
      </c>
      <c r="M280">
        <f>IF($P280="","",INDEX(상세표[블록 22~06시],$P280))</f>
        <v/>
      </c>
      <c r="N280">
        <f>IF($P280="","",INDEX(상세표[주말·휴일 포함],$P280)&amp;"")</f>
        <v/>
      </c>
      <c r="O280">
        <f>IF($P280="","",INDEX(상세표[월 넘김 포함],$P280)&amp;"")</f>
        <v/>
      </c>
      <c r="P280" s="4">
        <f>IFERROR(MATCH(275,상세표[연속순번],0),"")</f>
        <v/>
      </c>
    </row>
    <row r="281">
      <c r="A281">
        <f>IF($P281="","",INDEX(상세표[사번],$P281)&amp;"")</f>
        <v/>
      </c>
      <c r="B281">
        <f>IF($P281="","",INDEX(상세표[성명],$P281)&amp;"")</f>
        <v/>
      </c>
      <c r="C281">
        <f>IF($P281="","",INDEX(상세표[부서],$P281)&amp;"")</f>
        <v/>
      </c>
      <c r="D281">
        <f>IF($P281="","",INDEX(상세표[직위],$P281)&amp;"")</f>
        <v/>
      </c>
      <c r="E281">
        <f>IF($P281="","",IF(ISNUMBER(INDEX(상세표[시작],$P281)),TEXT(INDEX(상세표[시작],$P281),"yyyy-mm-dd hh:mm"),INDEX(상세표[시작],$P281)&amp;""))</f>
        <v/>
      </c>
      <c r="F281">
        <f>IF($P281="","",IF(ISNUMBER(INDEX(상세표[블록종료],$P281)),TEXT(INDEX(상세표[블록종료],$P281),"yyyy-mm-dd hh:mm"),INDEX(상세표[블록종료],$P281)&amp;""))</f>
        <v/>
      </c>
      <c r="G281">
        <f>IF($P281="","",CHOOSE(WEEKDAY(INDEX(상세표[시작],$P281)),"일","월","화","수","목","금","토"))</f>
        <v/>
      </c>
      <c r="H281">
        <f>IF($P281="","",INDEX(상세표[연속 시간],$P281))</f>
        <v/>
      </c>
      <c r="I281">
        <f>IF($P281="","",INDEX(상세표[기록 수],$P281))</f>
        <v/>
      </c>
      <c r="J281">
        <f>IF($P281="","",INDEX(상세표[블록 06~07시],$P281))</f>
        <v/>
      </c>
      <c r="K281">
        <f>IF($P281="","",INDEX(상세표[블록 07~18시],$P281))</f>
        <v/>
      </c>
      <c r="L281">
        <f>IF($P281="","",INDEX(상세표[블록 18~22시],$P281))</f>
        <v/>
      </c>
      <c r="M281">
        <f>IF($P281="","",INDEX(상세표[블록 22~06시],$P281))</f>
        <v/>
      </c>
      <c r="N281">
        <f>IF($P281="","",INDEX(상세표[주말·휴일 포함],$P281)&amp;"")</f>
        <v/>
      </c>
      <c r="O281">
        <f>IF($P281="","",INDEX(상세표[월 넘김 포함],$P281)&amp;"")</f>
        <v/>
      </c>
      <c r="P281" s="4">
        <f>IFERROR(MATCH(276,상세표[연속순번],0),"")</f>
        <v/>
      </c>
    </row>
    <row r="282">
      <c r="A282">
        <f>IF($P282="","",INDEX(상세표[사번],$P282)&amp;"")</f>
        <v/>
      </c>
      <c r="B282">
        <f>IF($P282="","",INDEX(상세표[성명],$P282)&amp;"")</f>
        <v/>
      </c>
      <c r="C282">
        <f>IF($P282="","",INDEX(상세표[부서],$P282)&amp;"")</f>
        <v/>
      </c>
      <c r="D282">
        <f>IF($P282="","",INDEX(상세표[직위],$P282)&amp;"")</f>
        <v/>
      </c>
      <c r="E282">
        <f>IF($P282="","",IF(ISNUMBER(INDEX(상세표[시작],$P282)),TEXT(INDEX(상세표[시작],$P282),"yyyy-mm-dd hh:mm"),INDEX(상세표[시작],$P282)&amp;""))</f>
        <v/>
      </c>
      <c r="F282">
        <f>IF($P282="","",IF(ISNUMBER(INDEX(상세표[블록종료],$P282)),TEXT(INDEX(상세표[블록종료],$P282),"yyyy-mm-dd hh:mm"),INDEX(상세표[블록종료],$P282)&amp;""))</f>
        <v/>
      </c>
      <c r="G282">
        <f>IF($P282="","",CHOOSE(WEEKDAY(INDEX(상세표[시작],$P282)),"일","월","화","수","목","금","토"))</f>
        <v/>
      </c>
      <c r="H282">
        <f>IF($P282="","",INDEX(상세표[연속 시간],$P282))</f>
        <v/>
      </c>
      <c r="I282">
        <f>IF($P282="","",INDEX(상세표[기록 수],$P282))</f>
        <v/>
      </c>
      <c r="J282">
        <f>IF($P282="","",INDEX(상세표[블록 06~07시],$P282))</f>
        <v/>
      </c>
      <c r="K282">
        <f>IF($P282="","",INDEX(상세표[블록 07~18시],$P282))</f>
        <v/>
      </c>
      <c r="L282">
        <f>IF($P282="","",INDEX(상세표[블록 18~22시],$P282))</f>
        <v/>
      </c>
      <c r="M282">
        <f>IF($P282="","",INDEX(상세표[블록 22~06시],$P282))</f>
        <v/>
      </c>
      <c r="N282">
        <f>IF($P282="","",INDEX(상세표[주말·휴일 포함],$P282)&amp;"")</f>
        <v/>
      </c>
      <c r="O282">
        <f>IF($P282="","",INDEX(상세표[월 넘김 포함],$P282)&amp;"")</f>
        <v/>
      </c>
      <c r="P282" s="4">
        <f>IFERROR(MATCH(277,상세표[연속순번],0),"")</f>
        <v/>
      </c>
    </row>
    <row r="283">
      <c r="A283">
        <f>IF($P283="","",INDEX(상세표[사번],$P283)&amp;"")</f>
        <v/>
      </c>
      <c r="B283">
        <f>IF($P283="","",INDEX(상세표[성명],$P283)&amp;"")</f>
        <v/>
      </c>
      <c r="C283">
        <f>IF($P283="","",INDEX(상세표[부서],$P283)&amp;"")</f>
        <v/>
      </c>
      <c r="D283">
        <f>IF($P283="","",INDEX(상세표[직위],$P283)&amp;"")</f>
        <v/>
      </c>
      <c r="E283">
        <f>IF($P283="","",IF(ISNUMBER(INDEX(상세표[시작],$P283)),TEXT(INDEX(상세표[시작],$P283),"yyyy-mm-dd hh:mm"),INDEX(상세표[시작],$P283)&amp;""))</f>
        <v/>
      </c>
      <c r="F283">
        <f>IF($P283="","",IF(ISNUMBER(INDEX(상세표[블록종료],$P283)),TEXT(INDEX(상세표[블록종료],$P283),"yyyy-mm-dd hh:mm"),INDEX(상세표[블록종료],$P283)&amp;""))</f>
        <v/>
      </c>
      <c r="G283">
        <f>IF($P283="","",CHOOSE(WEEKDAY(INDEX(상세표[시작],$P283)),"일","월","화","수","목","금","토"))</f>
        <v/>
      </c>
      <c r="H283">
        <f>IF($P283="","",INDEX(상세표[연속 시간],$P283))</f>
        <v/>
      </c>
      <c r="I283">
        <f>IF($P283="","",INDEX(상세표[기록 수],$P283))</f>
        <v/>
      </c>
      <c r="J283">
        <f>IF($P283="","",INDEX(상세표[블록 06~07시],$P283))</f>
        <v/>
      </c>
      <c r="K283">
        <f>IF($P283="","",INDEX(상세표[블록 07~18시],$P283))</f>
        <v/>
      </c>
      <c r="L283">
        <f>IF($P283="","",INDEX(상세표[블록 18~22시],$P283))</f>
        <v/>
      </c>
      <c r="M283">
        <f>IF($P283="","",INDEX(상세표[블록 22~06시],$P283))</f>
        <v/>
      </c>
      <c r="N283">
        <f>IF($P283="","",INDEX(상세표[주말·휴일 포함],$P283)&amp;"")</f>
        <v/>
      </c>
      <c r="O283">
        <f>IF($P283="","",INDEX(상세표[월 넘김 포함],$P283)&amp;"")</f>
        <v/>
      </c>
      <c r="P283" s="4">
        <f>IFERROR(MATCH(278,상세표[연속순번],0),"")</f>
        <v/>
      </c>
    </row>
    <row r="284">
      <c r="A284">
        <f>IF($P284="","",INDEX(상세표[사번],$P284)&amp;"")</f>
        <v/>
      </c>
      <c r="B284">
        <f>IF($P284="","",INDEX(상세표[성명],$P284)&amp;"")</f>
        <v/>
      </c>
      <c r="C284">
        <f>IF($P284="","",INDEX(상세표[부서],$P284)&amp;"")</f>
        <v/>
      </c>
      <c r="D284">
        <f>IF($P284="","",INDEX(상세표[직위],$P284)&amp;"")</f>
        <v/>
      </c>
      <c r="E284">
        <f>IF($P284="","",IF(ISNUMBER(INDEX(상세표[시작],$P284)),TEXT(INDEX(상세표[시작],$P284),"yyyy-mm-dd hh:mm"),INDEX(상세표[시작],$P284)&amp;""))</f>
        <v/>
      </c>
      <c r="F284">
        <f>IF($P284="","",IF(ISNUMBER(INDEX(상세표[블록종료],$P284)),TEXT(INDEX(상세표[블록종료],$P284),"yyyy-mm-dd hh:mm"),INDEX(상세표[블록종료],$P284)&amp;""))</f>
        <v/>
      </c>
      <c r="G284">
        <f>IF($P284="","",CHOOSE(WEEKDAY(INDEX(상세표[시작],$P284)),"일","월","화","수","목","금","토"))</f>
        <v/>
      </c>
      <c r="H284">
        <f>IF($P284="","",INDEX(상세표[연속 시간],$P284))</f>
        <v/>
      </c>
      <c r="I284">
        <f>IF($P284="","",INDEX(상세표[기록 수],$P284))</f>
        <v/>
      </c>
      <c r="J284">
        <f>IF($P284="","",INDEX(상세표[블록 06~07시],$P284))</f>
        <v/>
      </c>
      <c r="K284">
        <f>IF($P284="","",INDEX(상세표[블록 07~18시],$P284))</f>
        <v/>
      </c>
      <c r="L284">
        <f>IF($P284="","",INDEX(상세표[블록 18~22시],$P284))</f>
        <v/>
      </c>
      <c r="M284">
        <f>IF($P284="","",INDEX(상세표[블록 22~06시],$P284))</f>
        <v/>
      </c>
      <c r="N284">
        <f>IF($P284="","",INDEX(상세표[주말·휴일 포함],$P284)&amp;"")</f>
        <v/>
      </c>
      <c r="O284">
        <f>IF($P284="","",INDEX(상세표[월 넘김 포함],$P284)&amp;"")</f>
        <v/>
      </c>
      <c r="P284" s="4">
        <f>IFERROR(MATCH(279,상세표[연속순번],0),"")</f>
        <v/>
      </c>
    </row>
    <row r="285">
      <c r="A285">
        <f>IF($P285="","",INDEX(상세표[사번],$P285)&amp;"")</f>
        <v/>
      </c>
      <c r="B285">
        <f>IF($P285="","",INDEX(상세표[성명],$P285)&amp;"")</f>
        <v/>
      </c>
      <c r="C285">
        <f>IF($P285="","",INDEX(상세표[부서],$P285)&amp;"")</f>
        <v/>
      </c>
      <c r="D285">
        <f>IF($P285="","",INDEX(상세표[직위],$P285)&amp;"")</f>
        <v/>
      </c>
      <c r="E285">
        <f>IF($P285="","",IF(ISNUMBER(INDEX(상세표[시작],$P285)),TEXT(INDEX(상세표[시작],$P285),"yyyy-mm-dd hh:mm"),INDEX(상세표[시작],$P285)&amp;""))</f>
        <v/>
      </c>
      <c r="F285">
        <f>IF($P285="","",IF(ISNUMBER(INDEX(상세표[블록종료],$P285)),TEXT(INDEX(상세표[블록종료],$P285),"yyyy-mm-dd hh:mm"),INDEX(상세표[블록종료],$P285)&amp;""))</f>
        <v/>
      </c>
      <c r="G285">
        <f>IF($P285="","",CHOOSE(WEEKDAY(INDEX(상세표[시작],$P285)),"일","월","화","수","목","금","토"))</f>
        <v/>
      </c>
      <c r="H285">
        <f>IF($P285="","",INDEX(상세표[연속 시간],$P285))</f>
        <v/>
      </c>
      <c r="I285">
        <f>IF($P285="","",INDEX(상세표[기록 수],$P285))</f>
        <v/>
      </c>
      <c r="J285">
        <f>IF($P285="","",INDEX(상세표[블록 06~07시],$P285))</f>
        <v/>
      </c>
      <c r="K285">
        <f>IF($P285="","",INDEX(상세표[블록 07~18시],$P285))</f>
        <v/>
      </c>
      <c r="L285">
        <f>IF($P285="","",INDEX(상세표[블록 18~22시],$P285))</f>
        <v/>
      </c>
      <c r="M285">
        <f>IF($P285="","",INDEX(상세표[블록 22~06시],$P285))</f>
        <v/>
      </c>
      <c r="N285">
        <f>IF($P285="","",INDEX(상세표[주말·휴일 포함],$P285)&amp;"")</f>
        <v/>
      </c>
      <c r="O285">
        <f>IF($P285="","",INDEX(상세표[월 넘김 포함],$P285)&amp;"")</f>
        <v/>
      </c>
      <c r="P285" s="4">
        <f>IFERROR(MATCH(280,상세표[연속순번],0),"")</f>
        <v/>
      </c>
    </row>
    <row r="286">
      <c r="A286">
        <f>IF($P286="","",INDEX(상세표[사번],$P286)&amp;"")</f>
        <v/>
      </c>
      <c r="B286">
        <f>IF($P286="","",INDEX(상세표[성명],$P286)&amp;"")</f>
        <v/>
      </c>
      <c r="C286">
        <f>IF($P286="","",INDEX(상세표[부서],$P286)&amp;"")</f>
        <v/>
      </c>
      <c r="D286">
        <f>IF($P286="","",INDEX(상세표[직위],$P286)&amp;"")</f>
        <v/>
      </c>
      <c r="E286">
        <f>IF($P286="","",IF(ISNUMBER(INDEX(상세표[시작],$P286)),TEXT(INDEX(상세표[시작],$P286),"yyyy-mm-dd hh:mm"),INDEX(상세표[시작],$P286)&amp;""))</f>
        <v/>
      </c>
      <c r="F286">
        <f>IF($P286="","",IF(ISNUMBER(INDEX(상세표[블록종료],$P286)),TEXT(INDEX(상세표[블록종료],$P286),"yyyy-mm-dd hh:mm"),INDEX(상세표[블록종료],$P286)&amp;""))</f>
        <v/>
      </c>
      <c r="G286">
        <f>IF($P286="","",CHOOSE(WEEKDAY(INDEX(상세표[시작],$P286)),"일","월","화","수","목","금","토"))</f>
        <v/>
      </c>
      <c r="H286">
        <f>IF($P286="","",INDEX(상세표[연속 시간],$P286))</f>
        <v/>
      </c>
      <c r="I286">
        <f>IF($P286="","",INDEX(상세표[기록 수],$P286))</f>
        <v/>
      </c>
      <c r="J286">
        <f>IF($P286="","",INDEX(상세표[블록 06~07시],$P286))</f>
        <v/>
      </c>
      <c r="K286">
        <f>IF($P286="","",INDEX(상세표[블록 07~18시],$P286))</f>
        <v/>
      </c>
      <c r="L286">
        <f>IF($P286="","",INDEX(상세표[블록 18~22시],$P286))</f>
        <v/>
      </c>
      <c r="M286">
        <f>IF($P286="","",INDEX(상세표[블록 22~06시],$P286))</f>
        <v/>
      </c>
      <c r="N286">
        <f>IF($P286="","",INDEX(상세표[주말·휴일 포함],$P286)&amp;"")</f>
        <v/>
      </c>
      <c r="O286">
        <f>IF($P286="","",INDEX(상세표[월 넘김 포함],$P286)&amp;"")</f>
        <v/>
      </c>
      <c r="P286" s="4">
        <f>IFERROR(MATCH(281,상세표[연속순번],0),"")</f>
        <v/>
      </c>
    </row>
    <row r="287">
      <c r="A287">
        <f>IF($P287="","",INDEX(상세표[사번],$P287)&amp;"")</f>
        <v/>
      </c>
      <c r="B287">
        <f>IF($P287="","",INDEX(상세표[성명],$P287)&amp;"")</f>
        <v/>
      </c>
      <c r="C287">
        <f>IF($P287="","",INDEX(상세표[부서],$P287)&amp;"")</f>
        <v/>
      </c>
      <c r="D287">
        <f>IF($P287="","",INDEX(상세표[직위],$P287)&amp;"")</f>
        <v/>
      </c>
      <c r="E287">
        <f>IF($P287="","",IF(ISNUMBER(INDEX(상세표[시작],$P287)),TEXT(INDEX(상세표[시작],$P287),"yyyy-mm-dd hh:mm"),INDEX(상세표[시작],$P287)&amp;""))</f>
        <v/>
      </c>
      <c r="F287">
        <f>IF($P287="","",IF(ISNUMBER(INDEX(상세표[블록종료],$P287)),TEXT(INDEX(상세표[블록종료],$P287),"yyyy-mm-dd hh:mm"),INDEX(상세표[블록종료],$P287)&amp;""))</f>
        <v/>
      </c>
      <c r="G287">
        <f>IF($P287="","",CHOOSE(WEEKDAY(INDEX(상세표[시작],$P287)),"일","월","화","수","목","금","토"))</f>
        <v/>
      </c>
      <c r="H287">
        <f>IF($P287="","",INDEX(상세표[연속 시간],$P287))</f>
        <v/>
      </c>
      <c r="I287">
        <f>IF($P287="","",INDEX(상세표[기록 수],$P287))</f>
        <v/>
      </c>
      <c r="J287">
        <f>IF($P287="","",INDEX(상세표[블록 06~07시],$P287))</f>
        <v/>
      </c>
      <c r="K287">
        <f>IF($P287="","",INDEX(상세표[블록 07~18시],$P287))</f>
        <v/>
      </c>
      <c r="L287">
        <f>IF($P287="","",INDEX(상세표[블록 18~22시],$P287))</f>
        <v/>
      </c>
      <c r="M287">
        <f>IF($P287="","",INDEX(상세표[블록 22~06시],$P287))</f>
        <v/>
      </c>
      <c r="N287">
        <f>IF($P287="","",INDEX(상세표[주말·휴일 포함],$P287)&amp;"")</f>
        <v/>
      </c>
      <c r="O287">
        <f>IF($P287="","",INDEX(상세표[월 넘김 포함],$P287)&amp;"")</f>
        <v/>
      </c>
      <c r="P287" s="4">
        <f>IFERROR(MATCH(282,상세표[연속순번],0),"")</f>
        <v/>
      </c>
    </row>
    <row r="288">
      <c r="A288">
        <f>IF($P288="","",INDEX(상세표[사번],$P288)&amp;"")</f>
        <v/>
      </c>
      <c r="B288">
        <f>IF($P288="","",INDEX(상세표[성명],$P288)&amp;"")</f>
        <v/>
      </c>
      <c r="C288">
        <f>IF($P288="","",INDEX(상세표[부서],$P288)&amp;"")</f>
        <v/>
      </c>
      <c r="D288">
        <f>IF($P288="","",INDEX(상세표[직위],$P288)&amp;"")</f>
        <v/>
      </c>
      <c r="E288">
        <f>IF($P288="","",IF(ISNUMBER(INDEX(상세표[시작],$P288)),TEXT(INDEX(상세표[시작],$P288),"yyyy-mm-dd hh:mm"),INDEX(상세표[시작],$P288)&amp;""))</f>
        <v/>
      </c>
      <c r="F288">
        <f>IF($P288="","",IF(ISNUMBER(INDEX(상세표[블록종료],$P288)),TEXT(INDEX(상세표[블록종료],$P288),"yyyy-mm-dd hh:mm"),INDEX(상세표[블록종료],$P288)&amp;""))</f>
        <v/>
      </c>
      <c r="G288">
        <f>IF($P288="","",CHOOSE(WEEKDAY(INDEX(상세표[시작],$P288)),"일","월","화","수","목","금","토"))</f>
        <v/>
      </c>
      <c r="H288">
        <f>IF($P288="","",INDEX(상세표[연속 시간],$P288))</f>
        <v/>
      </c>
      <c r="I288">
        <f>IF($P288="","",INDEX(상세표[기록 수],$P288))</f>
        <v/>
      </c>
      <c r="J288">
        <f>IF($P288="","",INDEX(상세표[블록 06~07시],$P288))</f>
        <v/>
      </c>
      <c r="K288">
        <f>IF($P288="","",INDEX(상세표[블록 07~18시],$P288))</f>
        <v/>
      </c>
      <c r="L288">
        <f>IF($P288="","",INDEX(상세표[블록 18~22시],$P288))</f>
        <v/>
      </c>
      <c r="M288">
        <f>IF($P288="","",INDEX(상세표[블록 22~06시],$P288))</f>
        <v/>
      </c>
      <c r="N288">
        <f>IF($P288="","",INDEX(상세표[주말·휴일 포함],$P288)&amp;"")</f>
        <v/>
      </c>
      <c r="O288">
        <f>IF($P288="","",INDEX(상세표[월 넘김 포함],$P288)&amp;"")</f>
        <v/>
      </c>
      <c r="P288" s="4">
        <f>IFERROR(MATCH(283,상세표[연속순번],0),"")</f>
        <v/>
      </c>
    </row>
    <row r="289">
      <c r="A289">
        <f>IF($P289="","",INDEX(상세표[사번],$P289)&amp;"")</f>
        <v/>
      </c>
      <c r="B289">
        <f>IF($P289="","",INDEX(상세표[성명],$P289)&amp;"")</f>
        <v/>
      </c>
      <c r="C289">
        <f>IF($P289="","",INDEX(상세표[부서],$P289)&amp;"")</f>
        <v/>
      </c>
      <c r="D289">
        <f>IF($P289="","",INDEX(상세표[직위],$P289)&amp;"")</f>
        <v/>
      </c>
      <c r="E289">
        <f>IF($P289="","",IF(ISNUMBER(INDEX(상세표[시작],$P289)),TEXT(INDEX(상세표[시작],$P289),"yyyy-mm-dd hh:mm"),INDEX(상세표[시작],$P289)&amp;""))</f>
        <v/>
      </c>
      <c r="F289">
        <f>IF($P289="","",IF(ISNUMBER(INDEX(상세표[블록종료],$P289)),TEXT(INDEX(상세표[블록종료],$P289),"yyyy-mm-dd hh:mm"),INDEX(상세표[블록종료],$P289)&amp;""))</f>
        <v/>
      </c>
      <c r="G289">
        <f>IF($P289="","",CHOOSE(WEEKDAY(INDEX(상세표[시작],$P289)),"일","월","화","수","목","금","토"))</f>
        <v/>
      </c>
      <c r="H289">
        <f>IF($P289="","",INDEX(상세표[연속 시간],$P289))</f>
        <v/>
      </c>
      <c r="I289">
        <f>IF($P289="","",INDEX(상세표[기록 수],$P289))</f>
        <v/>
      </c>
      <c r="J289">
        <f>IF($P289="","",INDEX(상세표[블록 06~07시],$P289))</f>
        <v/>
      </c>
      <c r="K289">
        <f>IF($P289="","",INDEX(상세표[블록 07~18시],$P289))</f>
        <v/>
      </c>
      <c r="L289">
        <f>IF($P289="","",INDEX(상세표[블록 18~22시],$P289))</f>
        <v/>
      </c>
      <c r="M289">
        <f>IF($P289="","",INDEX(상세표[블록 22~06시],$P289))</f>
        <v/>
      </c>
      <c r="N289">
        <f>IF($P289="","",INDEX(상세표[주말·휴일 포함],$P289)&amp;"")</f>
        <v/>
      </c>
      <c r="O289">
        <f>IF($P289="","",INDEX(상세표[월 넘김 포함],$P289)&amp;"")</f>
        <v/>
      </c>
      <c r="P289" s="4">
        <f>IFERROR(MATCH(284,상세표[연속순번],0),"")</f>
        <v/>
      </c>
    </row>
    <row r="290">
      <c r="A290">
        <f>IF($P290="","",INDEX(상세표[사번],$P290)&amp;"")</f>
        <v/>
      </c>
      <c r="B290">
        <f>IF($P290="","",INDEX(상세표[성명],$P290)&amp;"")</f>
        <v/>
      </c>
      <c r="C290">
        <f>IF($P290="","",INDEX(상세표[부서],$P290)&amp;"")</f>
        <v/>
      </c>
      <c r="D290">
        <f>IF($P290="","",INDEX(상세표[직위],$P290)&amp;"")</f>
        <v/>
      </c>
      <c r="E290">
        <f>IF($P290="","",IF(ISNUMBER(INDEX(상세표[시작],$P290)),TEXT(INDEX(상세표[시작],$P290),"yyyy-mm-dd hh:mm"),INDEX(상세표[시작],$P290)&amp;""))</f>
        <v/>
      </c>
      <c r="F290">
        <f>IF($P290="","",IF(ISNUMBER(INDEX(상세표[블록종료],$P290)),TEXT(INDEX(상세표[블록종료],$P290),"yyyy-mm-dd hh:mm"),INDEX(상세표[블록종료],$P290)&amp;""))</f>
        <v/>
      </c>
      <c r="G290">
        <f>IF($P290="","",CHOOSE(WEEKDAY(INDEX(상세표[시작],$P290)),"일","월","화","수","목","금","토"))</f>
        <v/>
      </c>
      <c r="H290">
        <f>IF($P290="","",INDEX(상세표[연속 시간],$P290))</f>
        <v/>
      </c>
      <c r="I290">
        <f>IF($P290="","",INDEX(상세표[기록 수],$P290))</f>
        <v/>
      </c>
      <c r="J290">
        <f>IF($P290="","",INDEX(상세표[블록 06~07시],$P290))</f>
        <v/>
      </c>
      <c r="K290">
        <f>IF($P290="","",INDEX(상세표[블록 07~18시],$P290))</f>
        <v/>
      </c>
      <c r="L290">
        <f>IF($P290="","",INDEX(상세표[블록 18~22시],$P290))</f>
        <v/>
      </c>
      <c r="M290">
        <f>IF($P290="","",INDEX(상세표[블록 22~06시],$P290))</f>
        <v/>
      </c>
      <c r="N290">
        <f>IF($P290="","",INDEX(상세표[주말·휴일 포함],$P290)&amp;"")</f>
        <v/>
      </c>
      <c r="O290">
        <f>IF($P290="","",INDEX(상세표[월 넘김 포함],$P290)&amp;"")</f>
        <v/>
      </c>
      <c r="P290" s="4">
        <f>IFERROR(MATCH(285,상세표[연속순번],0),"")</f>
        <v/>
      </c>
    </row>
    <row r="291">
      <c r="A291">
        <f>IF($P291="","",INDEX(상세표[사번],$P291)&amp;"")</f>
        <v/>
      </c>
      <c r="B291">
        <f>IF($P291="","",INDEX(상세표[성명],$P291)&amp;"")</f>
        <v/>
      </c>
      <c r="C291">
        <f>IF($P291="","",INDEX(상세표[부서],$P291)&amp;"")</f>
        <v/>
      </c>
      <c r="D291">
        <f>IF($P291="","",INDEX(상세표[직위],$P291)&amp;"")</f>
        <v/>
      </c>
      <c r="E291">
        <f>IF($P291="","",IF(ISNUMBER(INDEX(상세표[시작],$P291)),TEXT(INDEX(상세표[시작],$P291),"yyyy-mm-dd hh:mm"),INDEX(상세표[시작],$P291)&amp;""))</f>
        <v/>
      </c>
      <c r="F291">
        <f>IF($P291="","",IF(ISNUMBER(INDEX(상세표[블록종료],$P291)),TEXT(INDEX(상세표[블록종료],$P291),"yyyy-mm-dd hh:mm"),INDEX(상세표[블록종료],$P291)&amp;""))</f>
        <v/>
      </c>
      <c r="G291">
        <f>IF($P291="","",CHOOSE(WEEKDAY(INDEX(상세표[시작],$P291)),"일","월","화","수","목","금","토"))</f>
        <v/>
      </c>
      <c r="H291">
        <f>IF($P291="","",INDEX(상세표[연속 시간],$P291))</f>
        <v/>
      </c>
      <c r="I291">
        <f>IF($P291="","",INDEX(상세표[기록 수],$P291))</f>
        <v/>
      </c>
      <c r="J291">
        <f>IF($P291="","",INDEX(상세표[블록 06~07시],$P291))</f>
        <v/>
      </c>
      <c r="K291">
        <f>IF($P291="","",INDEX(상세표[블록 07~18시],$P291))</f>
        <v/>
      </c>
      <c r="L291">
        <f>IF($P291="","",INDEX(상세표[블록 18~22시],$P291))</f>
        <v/>
      </c>
      <c r="M291">
        <f>IF($P291="","",INDEX(상세표[블록 22~06시],$P291))</f>
        <v/>
      </c>
      <c r="N291">
        <f>IF($P291="","",INDEX(상세표[주말·휴일 포함],$P291)&amp;"")</f>
        <v/>
      </c>
      <c r="O291">
        <f>IF($P291="","",INDEX(상세표[월 넘김 포함],$P291)&amp;"")</f>
        <v/>
      </c>
      <c r="P291" s="4">
        <f>IFERROR(MATCH(286,상세표[연속순번],0),"")</f>
        <v/>
      </c>
    </row>
    <row r="292">
      <c r="A292">
        <f>IF($P292="","",INDEX(상세표[사번],$P292)&amp;"")</f>
        <v/>
      </c>
      <c r="B292">
        <f>IF($P292="","",INDEX(상세표[성명],$P292)&amp;"")</f>
        <v/>
      </c>
      <c r="C292">
        <f>IF($P292="","",INDEX(상세표[부서],$P292)&amp;"")</f>
        <v/>
      </c>
      <c r="D292">
        <f>IF($P292="","",INDEX(상세표[직위],$P292)&amp;"")</f>
        <v/>
      </c>
      <c r="E292">
        <f>IF($P292="","",IF(ISNUMBER(INDEX(상세표[시작],$P292)),TEXT(INDEX(상세표[시작],$P292),"yyyy-mm-dd hh:mm"),INDEX(상세표[시작],$P292)&amp;""))</f>
        <v/>
      </c>
      <c r="F292">
        <f>IF($P292="","",IF(ISNUMBER(INDEX(상세표[블록종료],$P292)),TEXT(INDEX(상세표[블록종료],$P292),"yyyy-mm-dd hh:mm"),INDEX(상세표[블록종료],$P292)&amp;""))</f>
        <v/>
      </c>
      <c r="G292">
        <f>IF($P292="","",CHOOSE(WEEKDAY(INDEX(상세표[시작],$P292)),"일","월","화","수","목","금","토"))</f>
        <v/>
      </c>
      <c r="H292">
        <f>IF($P292="","",INDEX(상세표[연속 시간],$P292))</f>
        <v/>
      </c>
      <c r="I292">
        <f>IF($P292="","",INDEX(상세표[기록 수],$P292))</f>
        <v/>
      </c>
      <c r="J292">
        <f>IF($P292="","",INDEX(상세표[블록 06~07시],$P292))</f>
        <v/>
      </c>
      <c r="K292">
        <f>IF($P292="","",INDEX(상세표[블록 07~18시],$P292))</f>
        <v/>
      </c>
      <c r="L292">
        <f>IF($P292="","",INDEX(상세표[블록 18~22시],$P292))</f>
        <v/>
      </c>
      <c r="M292">
        <f>IF($P292="","",INDEX(상세표[블록 22~06시],$P292))</f>
        <v/>
      </c>
      <c r="N292">
        <f>IF($P292="","",INDEX(상세표[주말·휴일 포함],$P292)&amp;"")</f>
        <v/>
      </c>
      <c r="O292">
        <f>IF($P292="","",INDEX(상세표[월 넘김 포함],$P292)&amp;"")</f>
        <v/>
      </c>
      <c r="P292" s="4">
        <f>IFERROR(MATCH(287,상세표[연속순번],0),"")</f>
        <v/>
      </c>
    </row>
    <row r="293">
      <c r="A293">
        <f>IF($P293="","",INDEX(상세표[사번],$P293)&amp;"")</f>
        <v/>
      </c>
      <c r="B293">
        <f>IF($P293="","",INDEX(상세표[성명],$P293)&amp;"")</f>
        <v/>
      </c>
      <c r="C293">
        <f>IF($P293="","",INDEX(상세표[부서],$P293)&amp;"")</f>
        <v/>
      </c>
      <c r="D293">
        <f>IF($P293="","",INDEX(상세표[직위],$P293)&amp;"")</f>
        <v/>
      </c>
      <c r="E293">
        <f>IF($P293="","",IF(ISNUMBER(INDEX(상세표[시작],$P293)),TEXT(INDEX(상세표[시작],$P293),"yyyy-mm-dd hh:mm"),INDEX(상세표[시작],$P293)&amp;""))</f>
        <v/>
      </c>
      <c r="F293">
        <f>IF($P293="","",IF(ISNUMBER(INDEX(상세표[블록종료],$P293)),TEXT(INDEX(상세표[블록종료],$P293),"yyyy-mm-dd hh:mm"),INDEX(상세표[블록종료],$P293)&amp;""))</f>
        <v/>
      </c>
      <c r="G293">
        <f>IF($P293="","",CHOOSE(WEEKDAY(INDEX(상세표[시작],$P293)),"일","월","화","수","목","금","토"))</f>
        <v/>
      </c>
      <c r="H293">
        <f>IF($P293="","",INDEX(상세표[연속 시간],$P293))</f>
        <v/>
      </c>
      <c r="I293">
        <f>IF($P293="","",INDEX(상세표[기록 수],$P293))</f>
        <v/>
      </c>
      <c r="J293">
        <f>IF($P293="","",INDEX(상세표[블록 06~07시],$P293))</f>
        <v/>
      </c>
      <c r="K293">
        <f>IF($P293="","",INDEX(상세표[블록 07~18시],$P293))</f>
        <v/>
      </c>
      <c r="L293">
        <f>IF($P293="","",INDEX(상세표[블록 18~22시],$P293))</f>
        <v/>
      </c>
      <c r="M293">
        <f>IF($P293="","",INDEX(상세표[블록 22~06시],$P293))</f>
        <v/>
      </c>
      <c r="N293">
        <f>IF($P293="","",INDEX(상세표[주말·휴일 포함],$P293)&amp;"")</f>
        <v/>
      </c>
      <c r="O293">
        <f>IF($P293="","",INDEX(상세표[월 넘김 포함],$P293)&amp;"")</f>
        <v/>
      </c>
      <c r="P293" s="4">
        <f>IFERROR(MATCH(288,상세표[연속순번],0),"")</f>
        <v/>
      </c>
    </row>
    <row r="294">
      <c r="A294">
        <f>IF($P294="","",INDEX(상세표[사번],$P294)&amp;"")</f>
        <v/>
      </c>
      <c r="B294">
        <f>IF($P294="","",INDEX(상세표[성명],$P294)&amp;"")</f>
        <v/>
      </c>
      <c r="C294">
        <f>IF($P294="","",INDEX(상세표[부서],$P294)&amp;"")</f>
        <v/>
      </c>
      <c r="D294">
        <f>IF($P294="","",INDEX(상세표[직위],$P294)&amp;"")</f>
        <v/>
      </c>
      <c r="E294">
        <f>IF($P294="","",IF(ISNUMBER(INDEX(상세표[시작],$P294)),TEXT(INDEX(상세표[시작],$P294),"yyyy-mm-dd hh:mm"),INDEX(상세표[시작],$P294)&amp;""))</f>
        <v/>
      </c>
      <c r="F294">
        <f>IF($P294="","",IF(ISNUMBER(INDEX(상세표[블록종료],$P294)),TEXT(INDEX(상세표[블록종료],$P294),"yyyy-mm-dd hh:mm"),INDEX(상세표[블록종료],$P294)&amp;""))</f>
        <v/>
      </c>
      <c r="G294">
        <f>IF($P294="","",CHOOSE(WEEKDAY(INDEX(상세표[시작],$P294)),"일","월","화","수","목","금","토"))</f>
        <v/>
      </c>
      <c r="H294">
        <f>IF($P294="","",INDEX(상세표[연속 시간],$P294))</f>
        <v/>
      </c>
      <c r="I294">
        <f>IF($P294="","",INDEX(상세표[기록 수],$P294))</f>
        <v/>
      </c>
      <c r="J294">
        <f>IF($P294="","",INDEX(상세표[블록 06~07시],$P294))</f>
        <v/>
      </c>
      <c r="K294">
        <f>IF($P294="","",INDEX(상세표[블록 07~18시],$P294))</f>
        <v/>
      </c>
      <c r="L294">
        <f>IF($P294="","",INDEX(상세표[블록 18~22시],$P294))</f>
        <v/>
      </c>
      <c r="M294">
        <f>IF($P294="","",INDEX(상세표[블록 22~06시],$P294))</f>
        <v/>
      </c>
      <c r="N294">
        <f>IF($P294="","",INDEX(상세표[주말·휴일 포함],$P294)&amp;"")</f>
        <v/>
      </c>
      <c r="O294">
        <f>IF($P294="","",INDEX(상세표[월 넘김 포함],$P294)&amp;"")</f>
        <v/>
      </c>
      <c r="P294" s="4">
        <f>IFERROR(MATCH(289,상세표[연속순번],0),"")</f>
        <v/>
      </c>
    </row>
    <row r="295">
      <c r="A295">
        <f>IF($P295="","",INDEX(상세표[사번],$P295)&amp;"")</f>
        <v/>
      </c>
      <c r="B295">
        <f>IF($P295="","",INDEX(상세표[성명],$P295)&amp;"")</f>
        <v/>
      </c>
      <c r="C295">
        <f>IF($P295="","",INDEX(상세표[부서],$P295)&amp;"")</f>
        <v/>
      </c>
      <c r="D295">
        <f>IF($P295="","",INDEX(상세표[직위],$P295)&amp;"")</f>
        <v/>
      </c>
      <c r="E295">
        <f>IF($P295="","",IF(ISNUMBER(INDEX(상세표[시작],$P295)),TEXT(INDEX(상세표[시작],$P295),"yyyy-mm-dd hh:mm"),INDEX(상세표[시작],$P295)&amp;""))</f>
        <v/>
      </c>
      <c r="F295">
        <f>IF($P295="","",IF(ISNUMBER(INDEX(상세표[블록종료],$P295)),TEXT(INDEX(상세표[블록종료],$P295),"yyyy-mm-dd hh:mm"),INDEX(상세표[블록종료],$P295)&amp;""))</f>
        <v/>
      </c>
      <c r="G295">
        <f>IF($P295="","",CHOOSE(WEEKDAY(INDEX(상세표[시작],$P295)),"일","월","화","수","목","금","토"))</f>
        <v/>
      </c>
      <c r="H295">
        <f>IF($P295="","",INDEX(상세표[연속 시간],$P295))</f>
        <v/>
      </c>
      <c r="I295">
        <f>IF($P295="","",INDEX(상세표[기록 수],$P295))</f>
        <v/>
      </c>
      <c r="J295">
        <f>IF($P295="","",INDEX(상세표[블록 06~07시],$P295))</f>
        <v/>
      </c>
      <c r="K295">
        <f>IF($P295="","",INDEX(상세표[블록 07~18시],$P295))</f>
        <v/>
      </c>
      <c r="L295">
        <f>IF($P295="","",INDEX(상세표[블록 18~22시],$P295))</f>
        <v/>
      </c>
      <c r="M295">
        <f>IF($P295="","",INDEX(상세표[블록 22~06시],$P295))</f>
        <v/>
      </c>
      <c r="N295">
        <f>IF($P295="","",INDEX(상세표[주말·휴일 포함],$P295)&amp;"")</f>
        <v/>
      </c>
      <c r="O295">
        <f>IF($P295="","",INDEX(상세표[월 넘김 포함],$P295)&amp;"")</f>
        <v/>
      </c>
      <c r="P295" s="4">
        <f>IFERROR(MATCH(290,상세표[연속순번],0),"")</f>
        <v/>
      </c>
    </row>
    <row r="296">
      <c r="A296">
        <f>IF($P296="","",INDEX(상세표[사번],$P296)&amp;"")</f>
        <v/>
      </c>
      <c r="B296">
        <f>IF($P296="","",INDEX(상세표[성명],$P296)&amp;"")</f>
        <v/>
      </c>
      <c r="C296">
        <f>IF($P296="","",INDEX(상세표[부서],$P296)&amp;"")</f>
        <v/>
      </c>
      <c r="D296">
        <f>IF($P296="","",INDEX(상세표[직위],$P296)&amp;"")</f>
        <v/>
      </c>
      <c r="E296">
        <f>IF($P296="","",IF(ISNUMBER(INDEX(상세표[시작],$P296)),TEXT(INDEX(상세표[시작],$P296),"yyyy-mm-dd hh:mm"),INDEX(상세표[시작],$P296)&amp;""))</f>
        <v/>
      </c>
      <c r="F296">
        <f>IF($P296="","",IF(ISNUMBER(INDEX(상세표[블록종료],$P296)),TEXT(INDEX(상세표[블록종료],$P296),"yyyy-mm-dd hh:mm"),INDEX(상세표[블록종료],$P296)&amp;""))</f>
        <v/>
      </c>
      <c r="G296">
        <f>IF($P296="","",CHOOSE(WEEKDAY(INDEX(상세표[시작],$P296)),"일","월","화","수","목","금","토"))</f>
        <v/>
      </c>
      <c r="H296">
        <f>IF($P296="","",INDEX(상세표[연속 시간],$P296))</f>
        <v/>
      </c>
      <c r="I296">
        <f>IF($P296="","",INDEX(상세표[기록 수],$P296))</f>
        <v/>
      </c>
      <c r="J296">
        <f>IF($P296="","",INDEX(상세표[블록 06~07시],$P296))</f>
        <v/>
      </c>
      <c r="K296">
        <f>IF($P296="","",INDEX(상세표[블록 07~18시],$P296))</f>
        <v/>
      </c>
      <c r="L296">
        <f>IF($P296="","",INDEX(상세표[블록 18~22시],$P296))</f>
        <v/>
      </c>
      <c r="M296">
        <f>IF($P296="","",INDEX(상세표[블록 22~06시],$P296))</f>
        <v/>
      </c>
      <c r="N296">
        <f>IF($P296="","",INDEX(상세표[주말·휴일 포함],$P296)&amp;"")</f>
        <v/>
      </c>
      <c r="O296">
        <f>IF($P296="","",INDEX(상세표[월 넘김 포함],$P296)&amp;"")</f>
        <v/>
      </c>
      <c r="P296" s="4">
        <f>IFERROR(MATCH(291,상세표[연속순번],0),"")</f>
        <v/>
      </c>
    </row>
    <row r="297">
      <c r="A297">
        <f>IF($P297="","",INDEX(상세표[사번],$P297)&amp;"")</f>
        <v/>
      </c>
      <c r="B297">
        <f>IF($P297="","",INDEX(상세표[성명],$P297)&amp;"")</f>
        <v/>
      </c>
      <c r="C297">
        <f>IF($P297="","",INDEX(상세표[부서],$P297)&amp;"")</f>
        <v/>
      </c>
      <c r="D297">
        <f>IF($P297="","",INDEX(상세표[직위],$P297)&amp;"")</f>
        <v/>
      </c>
      <c r="E297">
        <f>IF($P297="","",IF(ISNUMBER(INDEX(상세표[시작],$P297)),TEXT(INDEX(상세표[시작],$P297),"yyyy-mm-dd hh:mm"),INDEX(상세표[시작],$P297)&amp;""))</f>
        <v/>
      </c>
      <c r="F297">
        <f>IF($P297="","",IF(ISNUMBER(INDEX(상세표[블록종료],$P297)),TEXT(INDEX(상세표[블록종료],$P297),"yyyy-mm-dd hh:mm"),INDEX(상세표[블록종료],$P297)&amp;""))</f>
        <v/>
      </c>
      <c r="G297">
        <f>IF($P297="","",CHOOSE(WEEKDAY(INDEX(상세표[시작],$P297)),"일","월","화","수","목","금","토"))</f>
        <v/>
      </c>
      <c r="H297">
        <f>IF($P297="","",INDEX(상세표[연속 시간],$P297))</f>
        <v/>
      </c>
      <c r="I297">
        <f>IF($P297="","",INDEX(상세표[기록 수],$P297))</f>
        <v/>
      </c>
      <c r="J297">
        <f>IF($P297="","",INDEX(상세표[블록 06~07시],$P297))</f>
        <v/>
      </c>
      <c r="K297">
        <f>IF($P297="","",INDEX(상세표[블록 07~18시],$P297))</f>
        <v/>
      </c>
      <c r="L297">
        <f>IF($P297="","",INDEX(상세표[블록 18~22시],$P297))</f>
        <v/>
      </c>
      <c r="M297">
        <f>IF($P297="","",INDEX(상세표[블록 22~06시],$P297))</f>
        <v/>
      </c>
      <c r="N297">
        <f>IF($P297="","",INDEX(상세표[주말·휴일 포함],$P297)&amp;"")</f>
        <v/>
      </c>
      <c r="O297">
        <f>IF($P297="","",INDEX(상세표[월 넘김 포함],$P297)&amp;"")</f>
        <v/>
      </c>
      <c r="P297" s="4">
        <f>IFERROR(MATCH(292,상세표[연속순번],0),"")</f>
        <v/>
      </c>
    </row>
    <row r="298">
      <c r="A298">
        <f>IF($P298="","",INDEX(상세표[사번],$P298)&amp;"")</f>
        <v/>
      </c>
      <c r="B298">
        <f>IF($P298="","",INDEX(상세표[성명],$P298)&amp;"")</f>
        <v/>
      </c>
      <c r="C298">
        <f>IF($P298="","",INDEX(상세표[부서],$P298)&amp;"")</f>
        <v/>
      </c>
      <c r="D298">
        <f>IF($P298="","",INDEX(상세표[직위],$P298)&amp;"")</f>
        <v/>
      </c>
      <c r="E298">
        <f>IF($P298="","",IF(ISNUMBER(INDEX(상세표[시작],$P298)),TEXT(INDEX(상세표[시작],$P298),"yyyy-mm-dd hh:mm"),INDEX(상세표[시작],$P298)&amp;""))</f>
        <v/>
      </c>
      <c r="F298">
        <f>IF($P298="","",IF(ISNUMBER(INDEX(상세표[블록종료],$P298)),TEXT(INDEX(상세표[블록종료],$P298),"yyyy-mm-dd hh:mm"),INDEX(상세표[블록종료],$P298)&amp;""))</f>
        <v/>
      </c>
      <c r="G298">
        <f>IF($P298="","",CHOOSE(WEEKDAY(INDEX(상세표[시작],$P298)),"일","월","화","수","목","금","토"))</f>
        <v/>
      </c>
      <c r="H298">
        <f>IF($P298="","",INDEX(상세표[연속 시간],$P298))</f>
        <v/>
      </c>
      <c r="I298">
        <f>IF($P298="","",INDEX(상세표[기록 수],$P298))</f>
        <v/>
      </c>
      <c r="J298">
        <f>IF($P298="","",INDEX(상세표[블록 06~07시],$P298))</f>
        <v/>
      </c>
      <c r="K298">
        <f>IF($P298="","",INDEX(상세표[블록 07~18시],$P298))</f>
        <v/>
      </c>
      <c r="L298">
        <f>IF($P298="","",INDEX(상세표[블록 18~22시],$P298))</f>
        <v/>
      </c>
      <c r="M298">
        <f>IF($P298="","",INDEX(상세표[블록 22~06시],$P298))</f>
        <v/>
      </c>
      <c r="N298">
        <f>IF($P298="","",INDEX(상세표[주말·휴일 포함],$P298)&amp;"")</f>
        <v/>
      </c>
      <c r="O298">
        <f>IF($P298="","",INDEX(상세표[월 넘김 포함],$P298)&amp;"")</f>
        <v/>
      </c>
      <c r="P298" s="4">
        <f>IFERROR(MATCH(293,상세표[연속순번],0),"")</f>
        <v/>
      </c>
    </row>
    <row r="299">
      <c r="A299">
        <f>IF($P299="","",INDEX(상세표[사번],$P299)&amp;"")</f>
        <v/>
      </c>
      <c r="B299">
        <f>IF($P299="","",INDEX(상세표[성명],$P299)&amp;"")</f>
        <v/>
      </c>
      <c r="C299">
        <f>IF($P299="","",INDEX(상세표[부서],$P299)&amp;"")</f>
        <v/>
      </c>
      <c r="D299">
        <f>IF($P299="","",INDEX(상세표[직위],$P299)&amp;"")</f>
        <v/>
      </c>
      <c r="E299">
        <f>IF($P299="","",IF(ISNUMBER(INDEX(상세표[시작],$P299)),TEXT(INDEX(상세표[시작],$P299),"yyyy-mm-dd hh:mm"),INDEX(상세표[시작],$P299)&amp;""))</f>
        <v/>
      </c>
      <c r="F299">
        <f>IF($P299="","",IF(ISNUMBER(INDEX(상세표[블록종료],$P299)),TEXT(INDEX(상세표[블록종료],$P299),"yyyy-mm-dd hh:mm"),INDEX(상세표[블록종료],$P299)&amp;""))</f>
        <v/>
      </c>
      <c r="G299">
        <f>IF($P299="","",CHOOSE(WEEKDAY(INDEX(상세표[시작],$P299)),"일","월","화","수","목","금","토"))</f>
        <v/>
      </c>
      <c r="H299">
        <f>IF($P299="","",INDEX(상세표[연속 시간],$P299))</f>
        <v/>
      </c>
      <c r="I299">
        <f>IF($P299="","",INDEX(상세표[기록 수],$P299))</f>
        <v/>
      </c>
      <c r="J299">
        <f>IF($P299="","",INDEX(상세표[블록 06~07시],$P299))</f>
        <v/>
      </c>
      <c r="K299">
        <f>IF($P299="","",INDEX(상세표[블록 07~18시],$P299))</f>
        <v/>
      </c>
      <c r="L299">
        <f>IF($P299="","",INDEX(상세표[블록 18~22시],$P299))</f>
        <v/>
      </c>
      <c r="M299">
        <f>IF($P299="","",INDEX(상세표[블록 22~06시],$P299))</f>
        <v/>
      </c>
      <c r="N299">
        <f>IF($P299="","",INDEX(상세표[주말·휴일 포함],$P299)&amp;"")</f>
        <v/>
      </c>
      <c r="O299">
        <f>IF($P299="","",INDEX(상세표[월 넘김 포함],$P299)&amp;"")</f>
        <v/>
      </c>
      <c r="P299" s="4">
        <f>IFERROR(MATCH(294,상세표[연속순번],0),"")</f>
        <v/>
      </c>
    </row>
    <row r="300">
      <c r="A300">
        <f>IF($P300="","",INDEX(상세표[사번],$P300)&amp;"")</f>
        <v/>
      </c>
      <c r="B300">
        <f>IF($P300="","",INDEX(상세표[성명],$P300)&amp;"")</f>
        <v/>
      </c>
      <c r="C300">
        <f>IF($P300="","",INDEX(상세표[부서],$P300)&amp;"")</f>
        <v/>
      </c>
      <c r="D300">
        <f>IF($P300="","",INDEX(상세표[직위],$P300)&amp;"")</f>
        <v/>
      </c>
      <c r="E300">
        <f>IF($P300="","",IF(ISNUMBER(INDEX(상세표[시작],$P300)),TEXT(INDEX(상세표[시작],$P300),"yyyy-mm-dd hh:mm"),INDEX(상세표[시작],$P300)&amp;""))</f>
        <v/>
      </c>
      <c r="F300">
        <f>IF($P300="","",IF(ISNUMBER(INDEX(상세표[블록종료],$P300)),TEXT(INDEX(상세표[블록종료],$P300),"yyyy-mm-dd hh:mm"),INDEX(상세표[블록종료],$P300)&amp;""))</f>
        <v/>
      </c>
      <c r="G300">
        <f>IF($P300="","",CHOOSE(WEEKDAY(INDEX(상세표[시작],$P300)),"일","월","화","수","목","금","토"))</f>
        <v/>
      </c>
      <c r="H300">
        <f>IF($P300="","",INDEX(상세표[연속 시간],$P300))</f>
        <v/>
      </c>
      <c r="I300">
        <f>IF($P300="","",INDEX(상세표[기록 수],$P300))</f>
        <v/>
      </c>
      <c r="J300">
        <f>IF($P300="","",INDEX(상세표[블록 06~07시],$P300))</f>
        <v/>
      </c>
      <c r="K300">
        <f>IF($P300="","",INDEX(상세표[블록 07~18시],$P300))</f>
        <v/>
      </c>
      <c r="L300">
        <f>IF($P300="","",INDEX(상세표[블록 18~22시],$P300))</f>
        <v/>
      </c>
      <c r="M300">
        <f>IF($P300="","",INDEX(상세표[블록 22~06시],$P300))</f>
        <v/>
      </c>
      <c r="N300">
        <f>IF($P300="","",INDEX(상세표[주말·휴일 포함],$P300)&amp;"")</f>
        <v/>
      </c>
      <c r="O300">
        <f>IF($P300="","",INDEX(상세표[월 넘김 포함],$P300)&amp;"")</f>
        <v/>
      </c>
      <c r="P300" s="4">
        <f>IFERROR(MATCH(295,상세표[연속순번],0),"")</f>
        <v/>
      </c>
    </row>
    <row r="301">
      <c r="A301">
        <f>IF($P301="","",INDEX(상세표[사번],$P301)&amp;"")</f>
        <v/>
      </c>
      <c r="B301">
        <f>IF($P301="","",INDEX(상세표[성명],$P301)&amp;"")</f>
        <v/>
      </c>
      <c r="C301">
        <f>IF($P301="","",INDEX(상세표[부서],$P301)&amp;"")</f>
        <v/>
      </c>
      <c r="D301">
        <f>IF($P301="","",INDEX(상세표[직위],$P301)&amp;"")</f>
        <v/>
      </c>
      <c r="E301">
        <f>IF($P301="","",IF(ISNUMBER(INDEX(상세표[시작],$P301)),TEXT(INDEX(상세표[시작],$P301),"yyyy-mm-dd hh:mm"),INDEX(상세표[시작],$P301)&amp;""))</f>
        <v/>
      </c>
      <c r="F301">
        <f>IF($P301="","",IF(ISNUMBER(INDEX(상세표[블록종료],$P301)),TEXT(INDEX(상세표[블록종료],$P301),"yyyy-mm-dd hh:mm"),INDEX(상세표[블록종료],$P301)&amp;""))</f>
        <v/>
      </c>
      <c r="G301">
        <f>IF($P301="","",CHOOSE(WEEKDAY(INDEX(상세표[시작],$P301)),"일","월","화","수","목","금","토"))</f>
        <v/>
      </c>
      <c r="H301">
        <f>IF($P301="","",INDEX(상세표[연속 시간],$P301))</f>
        <v/>
      </c>
      <c r="I301">
        <f>IF($P301="","",INDEX(상세표[기록 수],$P301))</f>
        <v/>
      </c>
      <c r="J301">
        <f>IF($P301="","",INDEX(상세표[블록 06~07시],$P301))</f>
        <v/>
      </c>
      <c r="K301">
        <f>IF($P301="","",INDEX(상세표[블록 07~18시],$P301))</f>
        <v/>
      </c>
      <c r="L301">
        <f>IF($P301="","",INDEX(상세표[블록 18~22시],$P301))</f>
        <v/>
      </c>
      <c r="M301">
        <f>IF($P301="","",INDEX(상세표[블록 22~06시],$P301))</f>
        <v/>
      </c>
      <c r="N301">
        <f>IF($P301="","",INDEX(상세표[주말·휴일 포함],$P301)&amp;"")</f>
        <v/>
      </c>
      <c r="O301">
        <f>IF($P301="","",INDEX(상세표[월 넘김 포함],$P301)&amp;"")</f>
        <v/>
      </c>
      <c r="P301" s="4">
        <f>IFERROR(MATCH(296,상세표[연속순번],0),"")</f>
        <v/>
      </c>
    </row>
    <row r="302">
      <c r="A302">
        <f>IF($P302="","",INDEX(상세표[사번],$P302)&amp;"")</f>
        <v/>
      </c>
      <c r="B302">
        <f>IF($P302="","",INDEX(상세표[성명],$P302)&amp;"")</f>
        <v/>
      </c>
      <c r="C302">
        <f>IF($P302="","",INDEX(상세표[부서],$P302)&amp;"")</f>
        <v/>
      </c>
      <c r="D302">
        <f>IF($P302="","",INDEX(상세표[직위],$P302)&amp;"")</f>
        <v/>
      </c>
      <c r="E302">
        <f>IF($P302="","",IF(ISNUMBER(INDEX(상세표[시작],$P302)),TEXT(INDEX(상세표[시작],$P302),"yyyy-mm-dd hh:mm"),INDEX(상세표[시작],$P302)&amp;""))</f>
        <v/>
      </c>
      <c r="F302">
        <f>IF($P302="","",IF(ISNUMBER(INDEX(상세표[블록종료],$P302)),TEXT(INDEX(상세표[블록종료],$P302),"yyyy-mm-dd hh:mm"),INDEX(상세표[블록종료],$P302)&amp;""))</f>
        <v/>
      </c>
      <c r="G302">
        <f>IF($P302="","",CHOOSE(WEEKDAY(INDEX(상세표[시작],$P302)),"일","월","화","수","목","금","토"))</f>
        <v/>
      </c>
      <c r="H302">
        <f>IF($P302="","",INDEX(상세표[연속 시간],$P302))</f>
        <v/>
      </c>
      <c r="I302">
        <f>IF($P302="","",INDEX(상세표[기록 수],$P302))</f>
        <v/>
      </c>
      <c r="J302">
        <f>IF($P302="","",INDEX(상세표[블록 06~07시],$P302))</f>
        <v/>
      </c>
      <c r="K302">
        <f>IF($P302="","",INDEX(상세표[블록 07~18시],$P302))</f>
        <v/>
      </c>
      <c r="L302">
        <f>IF($P302="","",INDEX(상세표[블록 18~22시],$P302))</f>
        <v/>
      </c>
      <c r="M302">
        <f>IF($P302="","",INDEX(상세표[블록 22~06시],$P302))</f>
        <v/>
      </c>
      <c r="N302">
        <f>IF($P302="","",INDEX(상세표[주말·휴일 포함],$P302)&amp;"")</f>
        <v/>
      </c>
      <c r="O302">
        <f>IF($P302="","",INDEX(상세표[월 넘김 포함],$P302)&amp;"")</f>
        <v/>
      </c>
      <c r="P302" s="4">
        <f>IFERROR(MATCH(297,상세표[연속순번],0),"")</f>
        <v/>
      </c>
    </row>
    <row r="303">
      <c r="A303">
        <f>IF($P303="","",INDEX(상세표[사번],$P303)&amp;"")</f>
        <v/>
      </c>
      <c r="B303">
        <f>IF($P303="","",INDEX(상세표[성명],$P303)&amp;"")</f>
        <v/>
      </c>
      <c r="C303">
        <f>IF($P303="","",INDEX(상세표[부서],$P303)&amp;"")</f>
        <v/>
      </c>
      <c r="D303">
        <f>IF($P303="","",INDEX(상세표[직위],$P303)&amp;"")</f>
        <v/>
      </c>
      <c r="E303">
        <f>IF($P303="","",IF(ISNUMBER(INDEX(상세표[시작],$P303)),TEXT(INDEX(상세표[시작],$P303),"yyyy-mm-dd hh:mm"),INDEX(상세표[시작],$P303)&amp;""))</f>
        <v/>
      </c>
      <c r="F303">
        <f>IF($P303="","",IF(ISNUMBER(INDEX(상세표[블록종료],$P303)),TEXT(INDEX(상세표[블록종료],$P303),"yyyy-mm-dd hh:mm"),INDEX(상세표[블록종료],$P303)&amp;""))</f>
        <v/>
      </c>
      <c r="G303">
        <f>IF($P303="","",CHOOSE(WEEKDAY(INDEX(상세표[시작],$P303)),"일","월","화","수","목","금","토"))</f>
        <v/>
      </c>
      <c r="H303">
        <f>IF($P303="","",INDEX(상세표[연속 시간],$P303))</f>
        <v/>
      </c>
      <c r="I303">
        <f>IF($P303="","",INDEX(상세표[기록 수],$P303))</f>
        <v/>
      </c>
      <c r="J303">
        <f>IF($P303="","",INDEX(상세표[블록 06~07시],$P303))</f>
        <v/>
      </c>
      <c r="K303">
        <f>IF($P303="","",INDEX(상세표[블록 07~18시],$P303))</f>
        <v/>
      </c>
      <c r="L303">
        <f>IF($P303="","",INDEX(상세표[블록 18~22시],$P303))</f>
        <v/>
      </c>
      <c r="M303">
        <f>IF($P303="","",INDEX(상세표[블록 22~06시],$P303))</f>
        <v/>
      </c>
      <c r="N303">
        <f>IF($P303="","",INDEX(상세표[주말·휴일 포함],$P303)&amp;"")</f>
        <v/>
      </c>
      <c r="O303">
        <f>IF($P303="","",INDEX(상세표[월 넘김 포함],$P303)&amp;"")</f>
        <v/>
      </c>
      <c r="P303" s="4">
        <f>IFERROR(MATCH(298,상세표[연속순번],0),"")</f>
        <v/>
      </c>
    </row>
    <row r="304">
      <c r="A304">
        <f>IF($P304="","",INDEX(상세표[사번],$P304)&amp;"")</f>
        <v/>
      </c>
      <c r="B304">
        <f>IF($P304="","",INDEX(상세표[성명],$P304)&amp;"")</f>
        <v/>
      </c>
      <c r="C304">
        <f>IF($P304="","",INDEX(상세표[부서],$P304)&amp;"")</f>
        <v/>
      </c>
      <c r="D304">
        <f>IF($P304="","",INDEX(상세표[직위],$P304)&amp;"")</f>
        <v/>
      </c>
      <c r="E304">
        <f>IF($P304="","",IF(ISNUMBER(INDEX(상세표[시작],$P304)),TEXT(INDEX(상세표[시작],$P304),"yyyy-mm-dd hh:mm"),INDEX(상세표[시작],$P304)&amp;""))</f>
        <v/>
      </c>
      <c r="F304">
        <f>IF($P304="","",IF(ISNUMBER(INDEX(상세표[블록종료],$P304)),TEXT(INDEX(상세표[블록종료],$P304),"yyyy-mm-dd hh:mm"),INDEX(상세표[블록종료],$P304)&amp;""))</f>
        <v/>
      </c>
      <c r="G304">
        <f>IF($P304="","",CHOOSE(WEEKDAY(INDEX(상세표[시작],$P304)),"일","월","화","수","목","금","토"))</f>
        <v/>
      </c>
      <c r="H304">
        <f>IF($P304="","",INDEX(상세표[연속 시간],$P304))</f>
        <v/>
      </c>
      <c r="I304">
        <f>IF($P304="","",INDEX(상세표[기록 수],$P304))</f>
        <v/>
      </c>
      <c r="J304">
        <f>IF($P304="","",INDEX(상세표[블록 06~07시],$P304))</f>
        <v/>
      </c>
      <c r="K304">
        <f>IF($P304="","",INDEX(상세표[블록 07~18시],$P304))</f>
        <v/>
      </c>
      <c r="L304">
        <f>IF($P304="","",INDEX(상세표[블록 18~22시],$P304))</f>
        <v/>
      </c>
      <c r="M304">
        <f>IF($P304="","",INDEX(상세표[블록 22~06시],$P304))</f>
        <v/>
      </c>
      <c r="N304">
        <f>IF($P304="","",INDEX(상세표[주말·휴일 포함],$P304)&amp;"")</f>
        <v/>
      </c>
      <c r="O304">
        <f>IF($P304="","",INDEX(상세표[월 넘김 포함],$P304)&amp;"")</f>
        <v/>
      </c>
      <c r="P304" s="4">
        <f>IFERROR(MATCH(299,상세표[연속순번],0),"")</f>
        <v/>
      </c>
    </row>
    <row r="305">
      <c r="A305">
        <f>IF($P305="","",INDEX(상세표[사번],$P305)&amp;"")</f>
        <v/>
      </c>
      <c r="B305">
        <f>IF($P305="","",INDEX(상세표[성명],$P305)&amp;"")</f>
        <v/>
      </c>
      <c r="C305">
        <f>IF($P305="","",INDEX(상세표[부서],$P305)&amp;"")</f>
        <v/>
      </c>
      <c r="D305">
        <f>IF($P305="","",INDEX(상세표[직위],$P305)&amp;"")</f>
        <v/>
      </c>
      <c r="E305">
        <f>IF($P305="","",IF(ISNUMBER(INDEX(상세표[시작],$P305)),TEXT(INDEX(상세표[시작],$P305),"yyyy-mm-dd hh:mm"),INDEX(상세표[시작],$P305)&amp;""))</f>
        <v/>
      </c>
      <c r="F305">
        <f>IF($P305="","",IF(ISNUMBER(INDEX(상세표[블록종료],$P305)),TEXT(INDEX(상세표[블록종료],$P305),"yyyy-mm-dd hh:mm"),INDEX(상세표[블록종료],$P305)&amp;""))</f>
        <v/>
      </c>
      <c r="G305">
        <f>IF($P305="","",CHOOSE(WEEKDAY(INDEX(상세표[시작],$P305)),"일","월","화","수","목","금","토"))</f>
        <v/>
      </c>
      <c r="H305">
        <f>IF($P305="","",INDEX(상세표[연속 시간],$P305))</f>
        <v/>
      </c>
      <c r="I305">
        <f>IF($P305="","",INDEX(상세표[기록 수],$P305))</f>
        <v/>
      </c>
      <c r="J305">
        <f>IF($P305="","",INDEX(상세표[블록 06~07시],$P305))</f>
        <v/>
      </c>
      <c r="K305">
        <f>IF($P305="","",INDEX(상세표[블록 07~18시],$P305))</f>
        <v/>
      </c>
      <c r="L305">
        <f>IF($P305="","",INDEX(상세표[블록 18~22시],$P305))</f>
        <v/>
      </c>
      <c r="M305">
        <f>IF($P305="","",INDEX(상세표[블록 22~06시],$P305))</f>
        <v/>
      </c>
      <c r="N305">
        <f>IF($P305="","",INDEX(상세표[주말·휴일 포함],$P305)&amp;"")</f>
        <v/>
      </c>
      <c r="O305">
        <f>IF($P305="","",INDEX(상세표[월 넘김 포함],$P305)&amp;"")</f>
        <v/>
      </c>
      <c r="P305" s="4">
        <f>IFERROR(MATCH(300,상세표[연속순번],0),"")</f>
        <v/>
      </c>
    </row>
    <row r="306">
      <c r="A306">
        <f>IF($P306="","",INDEX(상세표[사번],$P306)&amp;"")</f>
        <v/>
      </c>
      <c r="B306">
        <f>IF($P306="","",INDEX(상세표[성명],$P306)&amp;"")</f>
        <v/>
      </c>
      <c r="C306">
        <f>IF($P306="","",INDEX(상세표[부서],$P306)&amp;"")</f>
        <v/>
      </c>
      <c r="D306">
        <f>IF($P306="","",INDEX(상세표[직위],$P306)&amp;"")</f>
        <v/>
      </c>
      <c r="E306">
        <f>IF($P306="","",IF(ISNUMBER(INDEX(상세표[시작],$P306)),TEXT(INDEX(상세표[시작],$P306),"yyyy-mm-dd hh:mm"),INDEX(상세표[시작],$P306)&amp;""))</f>
        <v/>
      </c>
      <c r="F306">
        <f>IF($P306="","",IF(ISNUMBER(INDEX(상세표[블록종료],$P306)),TEXT(INDEX(상세표[블록종료],$P306),"yyyy-mm-dd hh:mm"),INDEX(상세표[블록종료],$P306)&amp;""))</f>
        <v/>
      </c>
      <c r="G306">
        <f>IF($P306="","",CHOOSE(WEEKDAY(INDEX(상세표[시작],$P306)),"일","월","화","수","목","금","토"))</f>
        <v/>
      </c>
      <c r="H306">
        <f>IF($P306="","",INDEX(상세표[연속 시간],$P306))</f>
        <v/>
      </c>
      <c r="I306">
        <f>IF($P306="","",INDEX(상세표[기록 수],$P306))</f>
        <v/>
      </c>
      <c r="J306">
        <f>IF($P306="","",INDEX(상세표[블록 06~07시],$P306))</f>
        <v/>
      </c>
      <c r="K306">
        <f>IF($P306="","",INDEX(상세표[블록 07~18시],$P306))</f>
        <v/>
      </c>
      <c r="L306">
        <f>IF($P306="","",INDEX(상세표[블록 18~22시],$P306))</f>
        <v/>
      </c>
      <c r="M306">
        <f>IF($P306="","",INDEX(상세표[블록 22~06시],$P306))</f>
        <v/>
      </c>
      <c r="N306">
        <f>IF($P306="","",INDEX(상세표[주말·휴일 포함],$P306)&amp;"")</f>
        <v/>
      </c>
      <c r="O306">
        <f>IF($P306="","",INDEX(상세표[월 넘김 포함],$P306)&amp;"")</f>
        <v/>
      </c>
      <c r="P306" s="4">
        <f>IFERROR(MATCH(301,상세표[연속순번],0),"")</f>
        <v/>
      </c>
    </row>
    <row r="307">
      <c r="A307">
        <f>IF($P307="","",INDEX(상세표[사번],$P307)&amp;"")</f>
        <v/>
      </c>
      <c r="B307">
        <f>IF($P307="","",INDEX(상세표[성명],$P307)&amp;"")</f>
        <v/>
      </c>
      <c r="C307">
        <f>IF($P307="","",INDEX(상세표[부서],$P307)&amp;"")</f>
        <v/>
      </c>
      <c r="D307">
        <f>IF($P307="","",INDEX(상세표[직위],$P307)&amp;"")</f>
        <v/>
      </c>
      <c r="E307">
        <f>IF($P307="","",IF(ISNUMBER(INDEX(상세표[시작],$P307)),TEXT(INDEX(상세표[시작],$P307),"yyyy-mm-dd hh:mm"),INDEX(상세표[시작],$P307)&amp;""))</f>
        <v/>
      </c>
      <c r="F307">
        <f>IF($P307="","",IF(ISNUMBER(INDEX(상세표[블록종료],$P307)),TEXT(INDEX(상세표[블록종료],$P307),"yyyy-mm-dd hh:mm"),INDEX(상세표[블록종료],$P307)&amp;""))</f>
        <v/>
      </c>
      <c r="G307">
        <f>IF($P307="","",CHOOSE(WEEKDAY(INDEX(상세표[시작],$P307)),"일","월","화","수","목","금","토"))</f>
        <v/>
      </c>
      <c r="H307">
        <f>IF($P307="","",INDEX(상세표[연속 시간],$P307))</f>
        <v/>
      </c>
      <c r="I307">
        <f>IF($P307="","",INDEX(상세표[기록 수],$P307))</f>
        <v/>
      </c>
      <c r="J307">
        <f>IF($P307="","",INDEX(상세표[블록 06~07시],$P307))</f>
        <v/>
      </c>
      <c r="K307">
        <f>IF($P307="","",INDEX(상세표[블록 07~18시],$P307))</f>
        <v/>
      </c>
      <c r="L307">
        <f>IF($P307="","",INDEX(상세표[블록 18~22시],$P307))</f>
        <v/>
      </c>
      <c r="M307">
        <f>IF($P307="","",INDEX(상세표[블록 22~06시],$P307))</f>
        <v/>
      </c>
      <c r="N307">
        <f>IF($P307="","",INDEX(상세표[주말·휴일 포함],$P307)&amp;"")</f>
        <v/>
      </c>
      <c r="O307">
        <f>IF($P307="","",INDEX(상세표[월 넘김 포함],$P307)&amp;"")</f>
        <v/>
      </c>
      <c r="P307" s="4">
        <f>IFERROR(MATCH(302,상세표[연속순번],0),"")</f>
        <v/>
      </c>
    </row>
    <row r="308">
      <c r="A308">
        <f>IF($P308="","",INDEX(상세표[사번],$P308)&amp;"")</f>
        <v/>
      </c>
      <c r="B308">
        <f>IF($P308="","",INDEX(상세표[성명],$P308)&amp;"")</f>
        <v/>
      </c>
      <c r="C308">
        <f>IF($P308="","",INDEX(상세표[부서],$P308)&amp;"")</f>
        <v/>
      </c>
      <c r="D308">
        <f>IF($P308="","",INDEX(상세표[직위],$P308)&amp;"")</f>
        <v/>
      </c>
      <c r="E308">
        <f>IF($P308="","",IF(ISNUMBER(INDEX(상세표[시작],$P308)),TEXT(INDEX(상세표[시작],$P308),"yyyy-mm-dd hh:mm"),INDEX(상세표[시작],$P308)&amp;""))</f>
        <v/>
      </c>
      <c r="F308">
        <f>IF($P308="","",IF(ISNUMBER(INDEX(상세표[블록종료],$P308)),TEXT(INDEX(상세표[블록종료],$P308),"yyyy-mm-dd hh:mm"),INDEX(상세표[블록종료],$P308)&amp;""))</f>
        <v/>
      </c>
      <c r="G308">
        <f>IF($P308="","",CHOOSE(WEEKDAY(INDEX(상세표[시작],$P308)),"일","월","화","수","목","금","토"))</f>
        <v/>
      </c>
      <c r="H308">
        <f>IF($P308="","",INDEX(상세표[연속 시간],$P308))</f>
        <v/>
      </c>
      <c r="I308">
        <f>IF($P308="","",INDEX(상세표[기록 수],$P308))</f>
        <v/>
      </c>
      <c r="J308">
        <f>IF($P308="","",INDEX(상세표[블록 06~07시],$P308))</f>
        <v/>
      </c>
      <c r="K308">
        <f>IF($P308="","",INDEX(상세표[블록 07~18시],$P308))</f>
        <v/>
      </c>
      <c r="L308">
        <f>IF($P308="","",INDEX(상세표[블록 18~22시],$P308))</f>
        <v/>
      </c>
      <c r="M308">
        <f>IF($P308="","",INDEX(상세표[블록 22~06시],$P308))</f>
        <v/>
      </c>
      <c r="N308">
        <f>IF($P308="","",INDEX(상세표[주말·휴일 포함],$P308)&amp;"")</f>
        <v/>
      </c>
      <c r="O308">
        <f>IF($P308="","",INDEX(상세표[월 넘김 포함],$P308)&amp;"")</f>
        <v/>
      </c>
      <c r="P308" s="4">
        <f>IFERROR(MATCH(303,상세표[연속순번],0),"")</f>
        <v/>
      </c>
    </row>
    <row r="309">
      <c r="A309">
        <f>IF($P309="","",INDEX(상세표[사번],$P309)&amp;"")</f>
        <v/>
      </c>
      <c r="B309">
        <f>IF($P309="","",INDEX(상세표[성명],$P309)&amp;"")</f>
        <v/>
      </c>
      <c r="C309">
        <f>IF($P309="","",INDEX(상세표[부서],$P309)&amp;"")</f>
        <v/>
      </c>
      <c r="D309">
        <f>IF($P309="","",INDEX(상세표[직위],$P309)&amp;"")</f>
        <v/>
      </c>
      <c r="E309">
        <f>IF($P309="","",IF(ISNUMBER(INDEX(상세표[시작],$P309)),TEXT(INDEX(상세표[시작],$P309),"yyyy-mm-dd hh:mm"),INDEX(상세표[시작],$P309)&amp;""))</f>
        <v/>
      </c>
      <c r="F309">
        <f>IF($P309="","",IF(ISNUMBER(INDEX(상세표[블록종료],$P309)),TEXT(INDEX(상세표[블록종료],$P309),"yyyy-mm-dd hh:mm"),INDEX(상세표[블록종료],$P309)&amp;""))</f>
        <v/>
      </c>
      <c r="G309">
        <f>IF($P309="","",CHOOSE(WEEKDAY(INDEX(상세표[시작],$P309)),"일","월","화","수","목","금","토"))</f>
        <v/>
      </c>
      <c r="H309">
        <f>IF($P309="","",INDEX(상세표[연속 시간],$P309))</f>
        <v/>
      </c>
      <c r="I309">
        <f>IF($P309="","",INDEX(상세표[기록 수],$P309))</f>
        <v/>
      </c>
      <c r="J309">
        <f>IF($P309="","",INDEX(상세표[블록 06~07시],$P309))</f>
        <v/>
      </c>
      <c r="K309">
        <f>IF($P309="","",INDEX(상세표[블록 07~18시],$P309))</f>
        <v/>
      </c>
      <c r="L309">
        <f>IF($P309="","",INDEX(상세표[블록 18~22시],$P309))</f>
        <v/>
      </c>
      <c r="M309">
        <f>IF($P309="","",INDEX(상세표[블록 22~06시],$P309))</f>
        <v/>
      </c>
      <c r="N309">
        <f>IF($P309="","",INDEX(상세표[주말·휴일 포함],$P309)&amp;"")</f>
        <v/>
      </c>
      <c r="O309">
        <f>IF($P309="","",INDEX(상세표[월 넘김 포함],$P309)&amp;"")</f>
        <v/>
      </c>
      <c r="P309" s="4">
        <f>IFERROR(MATCH(304,상세표[연속순번],0),"")</f>
        <v/>
      </c>
    </row>
    <row r="310">
      <c r="A310">
        <f>IF($P310="","",INDEX(상세표[사번],$P310)&amp;"")</f>
        <v/>
      </c>
      <c r="B310">
        <f>IF($P310="","",INDEX(상세표[성명],$P310)&amp;"")</f>
        <v/>
      </c>
      <c r="C310">
        <f>IF($P310="","",INDEX(상세표[부서],$P310)&amp;"")</f>
        <v/>
      </c>
      <c r="D310">
        <f>IF($P310="","",INDEX(상세표[직위],$P310)&amp;"")</f>
        <v/>
      </c>
      <c r="E310">
        <f>IF($P310="","",IF(ISNUMBER(INDEX(상세표[시작],$P310)),TEXT(INDEX(상세표[시작],$P310),"yyyy-mm-dd hh:mm"),INDEX(상세표[시작],$P310)&amp;""))</f>
        <v/>
      </c>
      <c r="F310">
        <f>IF($P310="","",IF(ISNUMBER(INDEX(상세표[블록종료],$P310)),TEXT(INDEX(상세표[블록종료],$P310),"yyyy-mm-dd hh:mm"),INDEX(상세표[블록종료],$P310)&amp;""))</f>
        <v/>
      </c>
      <c r="G310">
        <f>IF($P310="","",CHOOSE(WEEKDAY(INDEX(상세표[시작],$P310)),"일","월","화","수","목","금","토"))</f>
        <v/>
      </c>
      <c r="H310">
        <f>IF($P310="","",INDEX(상세표[연속 시간],$P310))</f>
        <v/>
      </c>
      <c r="I310">
        <f>IF($P310="","",INDEX(상세표[기록 수],$P310))</f>
        <v/>
      </c>
      <c r="J310">
        <f>IF($P310="","",INDEX(상세표[블록 06~07시],$P310))</f>
        <v/>
      </c>
      <c r="K310">
        <f>IF($P310="","",INDEX(상세표[블록 07~18시],$P310))</f>
        <v/>
      </c>
      <c r="L310">
        <f>IF($P310="","",INDEX(상세표[블록 18~22시],$P310))</f>
        <v/>
      </c>
      <c r="M310">
        <f>IF($P310="","",INDEX(상세표[블록 22~06시],$P310))</f>
        <v/>
      </c>
      <c r="N310">
        <f>IF($P310="","",INDEX(상세표[주말·휴일 포함],$P310)&amp;"")</f>
        <v/>
      </c>
      <c r="O310">
        <f>IF($P310="","",INDEX(상세표[월 넘김 포함],$P310)&amp;"")</f>
        <v/>
      </c>
      <c r="P310" s="4">
        <f>IFERROR(MATCH(305,상세표[연속순번],0),"")</f>
        <v/>
      </c>
    </row>
    <row r="311">
      <c r="A311">
        <f>IF($P311="","",INDEX(상세표[사번],$P311)&amp;"")</f>
        <v/>
      </c>
      <c r="B311">
        <f>IF($P311="","",INDEX(상세표[성명],$P311)&amp;"")</f>
        <v/>
      </c>
      <c r="C311">
        <f>IF($P311="","",INDEX(상세표[부서],$P311)&amp;"")</f>
        <v/>
      </c>
      <c r="D311">
        <f>IF($P311="","",INDEX(상세표[직위],$P311)&amp;"")</f>
        <v/>
      </c>
      <c r="E311">
        <f>IF($P311="","",IF(ISNUMBER(INDEX(상세표[시작],$P311)),TEXT(INDEX(상세표[시작],$P311),"yyyy-mm-dd hh:mm"),INDEX(상세표[시작],$P311)&amp;""))</f>
        <v/>
      </c>
      <c r="F311">
        <f>IF($P311="","",IF(ISNUMBER(INDEX(상세표[블록종료],$P311)),TEXT(INDEX(상세표[블록종료],$P311),"yyyy-mm-dd hh:mm"),INDEX(상세표[블록종료],$P311)&amp;""))</f>
        <v/>
      </c>
      <c r="G311">
        <f>IF($P311="","",CHOOSE(WEEKDAY(INDEX(상세표[시작],$P311)),"일","월","화","수","목","금","토"))</f>
        <v/>
      </c>
      <c r="H311">
        <f>IF($P311="","",INDEX(상세표[연속 시간],$P311))</f>
        <v/>
      </c>
      <c r="I311">
        <f>IF($P311="","",INDEX(상세표[기록 수],$P311))</f>
        <v/>
      </c>
      <c r="J311">
        <f>IF($P311="","",INDEX(상세표[블록 06~07시],$P311))</f>
        <v/>
      </c>
      <c r="K311">
        <f>IF($P311="","",INDEX(상세표[블록 07~18시],$P311))</f>
        <v/>
      </c>
      <c r="L311">
        <f>IF($P311="","",INDEX(상세표[블록 18~22시],$P311))</f>
        <v/>
      </c>
      <c r="M311">
        <f>IF($P311="","",INDEX(상세표[블록 22~06시],$P311))</f>
        <v/>
      </c>
      <c r="N311">
        <f>IF($P311="","",INDEX(상세표[주말·휴일 포함],$P311)&amp;"")</f>
        <v/>
      </c>
      <c r="O311">
        <f>IF($P311="","",INDEX(상세표[월 넘김 포함],$P311)&amp;"")</f>
        <v/>
      </c>
      <c r="P311" s="4">
        <f>IFERROR(MATCH(306,상세표[연속순번],0),"")</f>
        <v/>
      </c>
    </row>
    <row r="312">
      <c r="A312">
        <f>IF($P312="","",INDEX(상세표[사번],$P312)&amp;"")</f>
        <v/>
      </c>
      <c r="B312">
        <f>IF($P312="","",INDEX(상세표[성명],$P312)&amp;"")</f>
        <v/>
      </c>
      <c r="C312">
        <f>IF($P312="","",INDEX(상세표[부서],$P312)&amp;"")</f>
        <v/>
      </c>
      <c r="D312">
        <f>IF($P312="","",INDEX(상세표[직위],$P312)&amp;"")</f>
        <v/>
      </c>
      <c r="E312">
        <f>IF($P312="","",IF(ISNUMBER(INDEX(상세표[시작],$P312)),TEXT(INDEX(상세표[시작],$P312),"yyyy-mm-dd hh:mm"),INDEX(상세표[시작],$P312)&amp;""))</f>
        <v/>
      </c>
      <c r="F312">
        <f>IF($P312="","",IF(ISNUMBER(INDEX(상세표[블록종료],$P312)),TEXT(INDEX(상세표[블록종료],$P312),"yyyy-mm-dd hh:mm"),INDEX(상세표[블록종료],$P312)&amp;""))</f>
        <v/>
      </c>
      <c r="G312">
        <f>IF($P312="","",CHOOSE(WEEKDAY(INDEX(상세표[시작],$P312)),"일","월","화","수","목","금","토"))</f>
        <v/>
      </c>
      <c r="H312">
        <f>IF($P312="","",INDEX(상세표[연속 시간],$P312))</f>
        <v/>
      </c>
      <c r="I312">
        <f>IF($P312="","",INDEX(상세표[기록 수],$P312))</f>
        <v/>
      </c>
      <c r="J312">
        <f>IF($P312="","",INDEX(상세표[블록 06~07시],$P312))</f>
        <v/>
      </c>
      <c r="K312">
        <f>IF($P312="","",INDEX(상세표[블록 07~18시],$P312))</f>
        <v/>
      </c>
      <c r="L312">
        <f>IF($P312="","",INDEX(상세표[블록 18~22시],$P312))</f>
        <v/>
      </c>
      <c r="M312">
        <f>IF($P312="","",INDEX(상세표[블록 22~06시],$P312))</f>
        <v/>
      </c>
      <c r="N312">
        <f>IF($P312="","",INDEX(상세표[주말·휴일 포함],$P312)&amp;"")</f>
        <v/>
      </c>
      <c r="O312">
        <f>IF($P312="","",INDEX(상세표[월 넘김 포함],$P312)&amp;"")</f>
        <v/>
      </c>
      <c r="P312" s="4">
        <f>IFERROR(MATCH(307,상세표[연속순번],0),"")</f>
        <v/>
      </c>
    </row>
    <row r="313">
      <c r="A313">
        <f>IF($P313="","",INDEX(상세표[사번],$P313)&amp;"")</f>
        <v/>
      </c>
      <c r="B313">
        <f>IF($P313="","",INDEX(상세표[성명],$P313)&amp;"")</f>
        <v/>
      </c>
      <c r="C313">
        <f>IF($P313="","",INDEX(상세표[부서],$P313)&amp;"")</f>
        <v/>
      </c>
      <c r="D313">
        <f>IF($P313="","",INDEX(상세표[직위],$P313)&amp;"")</f>
        <v/>
      </c>
      <c r="E313">
        <f>IF($P313="","",IF(ISNUMBER(INDEX(상세표[시작],$P313)),TEXT(INDEX(상세표[시작],$P313),"yyyy-mm-dd hh:mm"),INDEX(상세표[시작],$P313)&amp;""))</f>
        <v/>
      </c>
      <c r="F313">
        <f>IF($P313="","",IF(ISNUMBER(INDEX(상세표[블록종료],$P313)),TEXT(INDEX(상세표[블록종료],$P313),"yyyy-mm-dd hh:mm"),INDEX(상세표[블록종료],$P313)&amp;""))</f>
        <v/>
      </c>
      <c r="G313">
        <f>IF($P313="","",CHOOSE(WEEKDAY(INDEX(상세표[시작],$P313)),"일","월","화","수","목","금","토"))</f>
        <v/>
      </c>
      <c r="H313">
        <f>IF($P313="","",INDEX(상세표[연속 시간],$P313))</f>
        <v/>
      </c>
      <c r="I313">
        <f>IF($P313="","",INDEX(상세표[기록 수],$P313))</f>
        <v/>
      </c>
      <c r="J313">
        <f>IF($P313="","",INDEX(상세표[블록 06~07시],$P313))</f>
        <v/>
      </c>
      <c r="K313">
        <f>IF($P313="","",INDEX(상세표[블록 07~18시],$P313))</f>
        <v/>
      </c>
      <c r="L313">
        <f>IF($P313="","",INDEX(상세표[블록 18~22시],$P313))</f>
        <v/>
      </c>
      <c r="M313">
        <f>IF($P313="","",INDEX(상세표[블록 22~06시],$P313))</f>
        <v/>
      </c>
      <c r="N313">
        <f>IF($P313="","",INDEX(상세표[주말·휴일 포함],$P313)&amp;"")</f>
        <v/>
      </c>
      <c r="O313">
        <f>IF($P313="","",INDEX(상세표[월 넘김 포함],$P313)&amp;"")</f>
        <v/>
      </c>
      <c r="P313" s="4">
        <f>IFERROR(MATCH(308,상세표[연속순번],0),"")</f>
        <v/>
      </c>
    </row>
    <row r="314">
      <c r="A314">
        <f>IF($P314="","",INDEX(상세표[사번],$P314)&amp;"")</f>
        <v/>
      </c>
      <c r="B314">
        <f>IF($P314="","",INDEX(상세표[성명],$P314)&amp;"")</f>
        <v/>
      </c>
      <c r="C314">
        <f>IF($P314="","",INDEX(상세표[부서],$P314)&amp;"")</f>
        <v/>
      </c>
      <c r="D314">
        <f>IF($P314="","",INDEX(상세표[직위],$P314)&amp;"")</f>
        <v/>
      </c>
      <c r="E314">
        <f>IF($P314="","",IF(ISNUMBER(INDEX(상세표[시작],$P314)),TEXT(INDEX(상세표[시작],$P314),"yyyy-mm-dd hh:mm"),INDEX(상세표[시작],$P314)&amp;""))</f>
        <v/>
      </c>
      <c r="F314">
        <f>IF($P314="","",IF(ISNUMBER(INDEX(상세표[블록종료],$P314)),TEXT(INDEX(상세표[블록종료],$P314),"yyyy-mm-dd hh:mm"),INDEX(상세표[블록종료],$P314)&amp;""))</f>
        <v/>
      </c>
      <c r="G314">
        <f>IF($P314="","",CHOOSE(WEEKDAY(INDEX(상세표[시작],$P314)),"일","월","화","수","목","금","토"))</f>
        <v/>
      </c>
      <c r="H314">
        <f>IF($P314="","",INDEX(상세표[연속 시간],$P314))</f>
        <v/>
      </c>
      <c r="I314">
        <f>IF($P314="","",INDEX(상세표[기록 수],$P314))</f>
        <v/>
      </c>
      <c r="J314">
        <f>IF($P314="","",INDEX(상세표[블록 06~07시],$P314))</f>
        <v/>
      </c>
      <c r="K314">
        <f>IF($P314="","",INDEX(상세표[블록 07~18시],$P314))</f>
        <v/>
      </c>
      <c r="L314">
        <f>IF($P314="","",INDEX(상세표[블록 18~22시],$P314))</f>
        <v/>
      </c>
      <c r="M314">
        <f>IF($P314="","",INDEX(상세표[블록 22~06시],$P314))</f>
        <v/>
      </c>
      <c r="N314">
        <f>IF($P314="","",INDEX(상세표[주말·휴일 포함],$P314)&amp;"")</f>
        <v/>
      </c>
      <c r="O314">
        <f>IF($P314="","",INDEX(상세표[월 넘김 포함],$P314)&amp;"")</f>
        <v/>
      </c>
      <c r="P314" s="4">
        <f>IFERROR(MATCH(309,상세표[연속순번],0),"")</f>
        <v/>
      </c>
    </row>
    <row r="315">
      <c r="A315">
        <f>IF($P315="","",INDEX(상세표[사번],$P315)&amp;"")</f>
        <v/>
      </c>
      <c r="B315">
        <f>IF($P315="","",INDEX(상세표[성명],$P315)&amp;"")</f>
        <v/>
      </c>
      <c r="C315">
        <f>IF($P315="","",INDEX(상세표[부서],$P315)&amp;"")</f>
        <v/>
      </c>
      <c r="D315">
        <f>IF($P315="","",INDEX(상세표[직위],$P315)&amp;"")</f>
        <v/>
      </c>
      <c r="E315">
        <f>IF($P315="","",IF(ISNUMBER(INDEX(상세표[시작],$P315)),TEXT(INDEX(상세표[시작],$P315),"yyyy-mm-dd hh:mm"),INDEX(상세표[시작],$P315)&amp;""))</f>
        <v/>
      </c>
      <c r="F315">
        <f>IF($P315="","",IF(ISNUMBER(INDEX(상세표[블록종료],$P315)),TEXT(INDEX(상세표[블록종료],$P315),"yyyy-mm-dd hh:mm"),INDEX(상세표[블록종료],$P315)&amp;""))</f>
        <v/>
      </c>
      <c r="G315">
        <f>IF($P315="","",CHOOSE(WEEKDAY(INDEX(상세표[시작],$P315)),"일","월","화","수","목","금","토"))</f>
        <v/>
      </c>
      <c r="H315">
        <f>IF($P315="","",INDEX(상세표[연속 시간],$P315))</f>
        <v/>
      </c>
      <c r="I315">
        <f>IF($P315="","",INDEX(상세표[기록 수],$P315))</f>
        <v/>
      </c>
      <c r="J315">
        <f>IF($P315="","",INDEX(상세표[블록 06~07시],$P315))</f>
        <v/>
      </c>
      <c r="K315">
        <f>IF($P315="","",INDEX(상세표[블록 07~18시],$P315))</f>
        <v/>
      </c>
      <c r="L315">
        <f>IF($P315="","",INDEX(상세표[블록 18~22시],$P315))</f>
        <v/>
      </c>
      <c r="M315">
        <f>IF($P315="","",INDEX(상세표[블록 22~06시],$P315))</f>
        <v/>
      </c>
      <c r="N315">
        <f>IF($P315="","",INDEX(상세표[주말·휴일 포함],$P315)&amp;"")</f>
        <v/>
      </c>
      <c r="O315">
        <f>IF($P315="","",INDEX(상세표[월 넘김 포함],$P315)&amp;"")</f>
        <v/>
      </c>
      <c r="P315" s="4">
        <f>IFERROR(MATCH(310,상세표[연속순번],0),"")</f>
        <v/>
      </c>
    </row>
    <row r="316">
      <c r="A316">
        <f>IF($P316="","",INDEX(상세표[사번],$P316)&amp;"")</f>
        <v/>
      </c>
      <c r="B316">
        <f>IF($P316="","",INDEX(상세표[성명],$P316)&amp;"")</f>
        <v/>
      </c>
      <c r="C316">
        <f>IF($P316="","",INDEX(상세표[부서],$P316)&amp;"")</f>
        <v/>
      </c>
      <c r="D316">
        <f>IF($P316="","",INDEX(상세표[직위],$P316)&amp;"")</f>
        <v/>
      </c>
      <c r="E316">
        <f>IF($P316="","",IF(ISNUMBER(INDEX(상세표[시작],$P316)),TEXT(INDEX(상세표[시작],$P316),"yyyy-mm-dd hh:mm"),INDEX(상세표[시작],$P316)&amp;""))</f>
        <v/>
      </c>
      <c r="F316">
        <f>IF($P316="","",IF(ISNUMBER(INDEX(상세표[블록종료],$P316)),TEXT(INDEX(상세표[블록종료],$P316),"yyyy-mm-dd hh:mm"),INDEX(상세표[블록종료],$P316)&amp;""))</f>
        <v/>
      </c>
      <c r="G316">
        <f>IF($P316="","",CHOOSE(WEEKDAY(INDEX(상세표[시작],$P316)),"일","월","화","수","목","금","토"))</f>
        <v/>
      </c>
      <c r="H316">
        <f>IF($P316="","",INDEX(상세표[연속 시간],$P316))</f>
        <v/>
      </c>
      <c r="I316">
        <f>IF($P316="","",INDEX(상세표[기록 수],$P316))</f>
        <v/>
      </c>
      <c r="J316">
        <f>IF($P316="","",INDEX(상세표[블록 06~07시],$P316))</f>
        <v/>
      </c>
      <c r="K316">
        <f>IF($P316="","",INDEX(상세표[블록 07~18시],$P316))</f>
        <v/>
      </c>
      <c r="L316">
        <f>IF($P316="","",INDEX(상세표[블록 18~22시],$P316))</f>
        <v/>
      </c>
      <c r="M316">
        <f>IF($P316="","",INDEX(상세표[블록 22~06시],$P316))</f>
        <v/>
      </c>
      <c r="N316">
        <f>IF($P316="","",INDEX(상세표[주말·휴일 포함],$P316)&amp;"")</f>
        <v/>
      </c>
      <c r="O316">
        <f>IF($P316="","",INDEX(상세표[월 넘김 포함],$P316)&amp;"")</f>
        <v/>
      </c>
      <c r="P316" s="4">
        <f>IFERROR(MATCH(311,상세표[연속순번],0),"")</f>
        <v/>
      </c>
    </row>
    <row r="317">
      <c r="A317">
        <f>IF($P317="","",INDEX(상세표[사번],$P317)&amp;"")</f>
        <v/>
      </c>
      <c r="B317">
        <f>IF($P317="","",INDEX(상세표[성명],$P317)&amp;"")</f>
        <v/>
      </c>
      <c r="C317">
        <f>IF($P317="","",INDEX(상세표[부서],$P317)&amp;"")</f>
        <v/>
      </c>
      <c r="D317">
        <f>IF($P317="","",INDEX(상세표[직위],$P317)&amp;"")</f>
        <v/>
      </c>
      <c r="E317">
        <f>IF($P317="","",IF(ISNUMBER(INDEX(상세표[시작],$P317)),TEXT(INDEX(상세표[시작],$P317),"yyyy-mm-dd hh:mm"),INDEX(상세표[시작],$P317)&amp;""))</f>
        <v/>
      </c>
      <c r="F317">
        <f>IF($P317="","",IF(ISNUMBER(INDEX(상세표[블록종료],$P317)),TEXT(INDEX(상세표[블록종료],$P317),"yyyy-mm-dd hh:mm"),INDEX(상세표[블록종료],$P317)&amp;""))</f>
        <v/>
      </c>
      <c r="G317">
        <f>IF($P317="","",CHOOSE(WEEKDAY(INDEX(상세표[시작],$P317)),"일","월","화","수","목","금","토"))</f>
        <v/>
      </c>
      <c r="H317">
        <f>IF($P317="","",INDEX(상세표[연속 시간],$P317))</f>
        <v/>
      </c>
      <c r="I317">
        <f>IF($P317="","",INDEX(상세표[기록 수],$P317))</f>
        <v/>
      </c>
      <c r="J317">
        <f>IF($P317="","",INDEX(상세표[블록 06~07시],$P317))</f>
        <v/>
      </c>
      <c r="K317">
        <f>IF($P317="","",INDEX(상세표[블록 07~18시],$P317))</f>
        <v/>
      </c>
      <c r="L317">
        <f>IF($P317="","",INDEX(상세표[블록 18~22시],$P317))</f>
        <v/>
      </c>
      <c r="M317">
        <f>IF($P317="","",INDEX(상세표[블록 22~06시],$P317))</f>
        <v/>
      </c>
      <c r="N317">
        <f>IF($P317="","",INDEX(상세표[주말·휴일 포함],$P317)&amp;"")</f>
        <v/>
      </c>
      <c r="O317">
        <f>IF($P317="","",INDEX(상세표[월 넘김 포함],$P317)&amp;"")</f>
        <v/>
      </c>
      <c r="P317" s="4">
        <f>IFERROR(MATCH(312,상세표[연속순번],0),"")</f>
        <v/>
      </c>
    </row>
    <row r="318">
      <c r="A318">
        <f>IF($P318="","",INDEX(상세표[사번],$P318)&amp;"")</f>
        <v/>
      </c>
      <c r="B318">
        <f>IF($P318="","",INDEX(상세표[성명],$P318)&amp;"")</f>
        <v/>
      </c>
      <c r="C318">
        <f>IF($P318="","",INDEX(상세표[부서],$P318)&amp;"")</f>
        <v/>
      </c>
      <c r="D318">
        <f>IF($P318="","",INDEX(상세표[직위],$P318)&amp;"")</f>
        <v/>
      </c>
      <c r="E318">
        <f>IF($P318="","",IF(ISNUMBER(INDEX(상세표[시작],$P318)),TEXT(INDEX(상세표[시작],$P318),"yyyy-mm-dd hh:mm"),INDEX(상세표[시작],$P318)&amp;""))</f>
        <v/>
      </c>
      <c r="F318">
        <f>IF($P318="","",IF(ISNUMBER(INDEX(상세표[블록종료],$P318)),TEXT(INDEX(상세표[블록종료],$P318),"yyyy-mm-dd hh:mm"),INDEX(상세표[블록종료],$P318)&amp;""))</f>
        <v/>
      </c>
      <c r="G318">
        <f>IF($P318="","",CHOOSE(WEEKDAY(INDEX(상세표[시작],$P318)),"일","월","화","수","목","금","토"))</f>
        <v/>
      </c>
      <c r="H318">
        <f>IF($P318="","",INDEX(상세표[연속 시간],$P318))</f>
        <v/>
      </c>
      <c r="I318">
        <f>IF($P318="","",INDEX(상세표[기록 수],$P318))</f>
        <v/>
      </c>
      <c r="J318">
        <f>IF($P318="","",INDEX(상세표[블록 06~07시],$P318))</f>
        <v/>
      </c>
      <c r="K318">
        <f>IF($P318="","",INDEX(상세표[블록 07~18시],$P318))</f>
        <v/>
      </c>
      <c r="L318">
        <f>IF($P318="","",INDEX(상세표[블록 18~22시],$P318))</f>
        <v/>
      </c>
      <c r="M318">
        <f>IF($P318="","",INDEX(상세표[블록 22~06시],$P318))</f>
        <v/>
      </c>
      <c r="N318">
        <f>IF($P318="","",INDEX(상세표[주말·휴일 포함],$P318)&amp;"")</f>
        <v/>
      </c>
      <c r="O318">
        <f>IF($P318="","",INDEX(상세표[월 넘김 포함],$P318)&amp;"")</f>
        <v/>
      </c>
      <c r="P318" s="4">
        <f>IFERROR(MATCH(313,상세표[연속순번],0),"")</f>
        <v/>
      </c>
    </row>
    <row r="319">
      <c r="A319">
        <f>IF($P319="","",INDEX(상세표[사번],$P319)&amp;"")</f>
        <v/>
      </c>
      <c r="B319">
        <f>IF($P319="","",INDEX(상세표[성명],$P319)&amp;"")</f>
        <v/>
      </c>
      <c r="C319">
        <f>IF($P319="","",INDEX(상세표[부서],$P319)&amp;"")</f>
        <v/>
      </c>
      <c r="D319">
        <f>IF($P319="","",INDEX(상세표[직위],$P319)&amp;"")</f>
        <v/>
      </c>
      <c r="E319">
        <f>IF($P319="","",IF(ISNUMBER(INDEX(상세표[시작],$P319)),TEXT(INDEX(상세표[시작],$P319),"yyyy-mm-dd hh:mm"),INDEX(상세표[시작],$P319)&amp;""))</f>
        <v/>
      </c>
      <c r="F319">
        <f>IF($P319="","",IF(ISNUMBER(INDEX(상세표[블록종료],$P319)),TEXT(INDEX(상세표[블록종료],$P319),"yyyy-mm-dd hh:mm"),INDEX(상세표[블록종료],$P319)&amp;""))</f>
        <v/>
      </c>
      <c r="G319">
        <f>IF($P319="","",CHOOSE(WEEKDAY(INDEX(상세표[시작],$P319)),"일","월","화","수","목","금","토"))</f>
        <v/>
      </c>
      <c r="H319">
        <f>IF($P319="","",INDEX(상세표[연속 시간],$P319))</f>
        <v/>
      </c>
      <c r="I319">
        <f>IF($P319="","",INDEX(상세표[기록 수],$P319))</f>
        <v/>
      </c>
      <c r="J319">
        <f>IF($P319="","",INDEX(상세표[블록 06~07시],$P319))</f>
        <v/>
      </c>
      <c r="K319">
        <f>IF($P319="","",INDEX(상세표[블록 07~18시],$P319))</f>
        <v/>
      </c>
      <c r="L319">
        <f>IF($P319="","",INDEX(상세표[블록 18~22시],$P319))</f>
        <v/>
      </c>
      <c r="M319">
        <f>IF($P319="","",INDEX(상세표[블록 22~06시],$P319))</f>
        <v/>
      </c>
      <c r="N319">
        <f>IF($P319="","",INDEX(상세표[주말·휴일 포함],$P319)&amp;"")</f>
        <v/>
      </c>
      <c r="O319">
        <f>IF($P319="","",INDEX(상세표[월 넘김 포함],$P319)&amp;"")</f>
        <v/>
      </c>
      <c r="P319" s="4">
        <f>IFERROR(MATCH(314,상세표[연속순번],0),"")</f>
        <v/>
      </c>
    </row>
    <row r="320">
      <c r="A320">
        <f>IF($P320="","",INDEX(상세표[사번],$P320)&amp;"")</f>
        <v/>
      </c>
      <c r="B320">
        <f>IF($P320="","",INDEX(상세표[성명],$P320)&amp;"")</f>
        <v/>
      </c>
      <c r="C320">
        <f>IF($P320="","",INDEX(상세표[부서],$P320)&amp;"")</f>
        <v/>
      </c>
      <c r="D320">
        <f>IF($P320="","",INDEX(상세표[직위],$P320)&amp;"")</f>
        <v/>
      </c>
      <c r="E320">
        <f>IF($P320="","",IF(ISNUMBER(INDEX(상세표[시작],$P320)),TEXT(INDEX(상세표[시작],$P320),"yyyy-mm-dd hh:mm"),INDEX(상세표[시작],$P320)&amp;""))</f>
        <v/>
      </c>
      <c r="F320">
        <f>IF($P320="","",IF(ISNUMBER(INDEX(상세표[블록종료],$P320)),TEXT(INDEX(상세표[블록종료],$P320),"yyyy-mm-dd hh:mm"),INDEX(상세표[블록종료],$P320)&amp;""))</f>
        <v/>
      </c>
      <c r="G320">
        <f>IF($P320="","",CHOOSE(WEEKDAY(INDEX(상세표[시작],$P320)),"일","월","화","수","목","금","토"))</f>
        <v/>
      </c>
      <c r="H320">
        <f>IF($P320="","",INDEX(상세표[연속 시간],$P320))</f>
        <v/>
      </c>
      <c r="I320">
        <f>IF($P320="","",INDEX(상세표[기록 수],$P320))</f>
        <v/>
      </c>
      <c r="J320">
        <f>IF($P320="","",INDEX(상세표[블록 06~07시],$P320))</f>
        <v/>
      </c>
      <c r="K320">
        <f>IF($P320="","",INDEX(상세표[블록 07~18시],$P320))</f>
        <v/>
      </c>
      <c r="L320">
        <f>IF($P320="","",INDEX(상세표[블록 18~22시],$P320))</f>
        <v/>
      </c>
      <c r="M320">
        <f>IF($P320="","",INDEX(상세표[블록 22~06시],$P320))</f>
        <v/>
      </c>
      <c r="N320">
        <f>IF($P320="","",INDEX(상세표[주말·휴일 포함],$P320)&amp;"")</f>
        <v/>
      </c>
      <c r="O320">
        <f>IF($P320="","",INDEX(상세표[월 넘김 포함],$P320)&amp;"")</f>
        <v/>
      </c>
      <c r="P320" s="4">
        <f>IFERROR(MATCH(315,상세표[연속순번],0),"")</f>
        <v/>
      </c>
    </row>
    <row r="321">
      <c r="A321">
        <f>IF($P321="","",INDEX(상세표[사번],$P321)&amp;"")</f>
        <v/>
      </c>
      <c r="B321">
        <f>IF($P321="","",INDEX(상세표[성명],$P321)&amp;"")</f>
        <v/>
      </c>
      <c r="C321">
        <f>IF($P321="","",INDEX(상세표[부서],$P321)&amp;"")</f>
        <v/>
      </c>
      <c r="D321">
        <f>IF($P321="","",INDEX(상세표[직위],$P321)&amp;"")</f>
        <v/>
      </c>
      <c r="E321">
        <f>IF($P321="","",IF(ISNUMBER(INDEX(상세표[시작],$P321)),TEXT(INDEX(상세표[시작],$P321),"yyyy-mm-dd hh:mm"),INDEX(상세표[시작],$P321)&amp;""))</f>
        <v/>
      </c>
      <c r="F321">
        <f>IF($P321="","",IF(ISNUMBER(INDEX(상세표[블록종료],$P321)),TEXT(INDEX(상세표[블록종료],$P321),"yyyy-mm-dd hh:mm"),INDEX(상세표[블록종료],$P321)&amp;""))</f>
        <v/>
      </c>
      <c r="G321">
        <f>IF($P321="","",CHOOSE(WEEKDAY(INDEX(상세표[시작],$P321)),"일","월","화","수","목","금","토"))</f>
        <v/>
      </c>
      <c r="H321">
        <f>IF($P321="","",INDEX(상세표[연속 시간],$P321))</f>
        <v/>
      </c>
      <c r="I321">
        <f>IF($P321="","",INDEX(상세표[기록 수],$P321))</f>
        <v/>
      </c>
      <c r="J321">
        <f>IF($P321="","",INDEX(상세표[블록 06~07시],$P321))</f>
        <v/>
      </c>
      <c r="K321">
        <f>IF($P321="","",INDEX(상세표[블록 07~18시],$P321))</f>
        <v/>
      </c>
      <c r="L321">
        <f>IF($P321="","",INDEX(상세표[블록 18~22시],$P321))</f>
        <v/>
      </c>
      <c r="M321">
        <f>IF($P321="","",INDEX(상세표[블록 22~06시],$P321))</f>
        <v/>
      </c>
      <c r="N321">
        <f>IF($P321="","",INDEX(상세표[주말·휴일 포함],$P321)&amp;"")</f>
        <v/>
      </c>
      <c r="O321">
        <f>IF($P321="","",INDEX(상세표[월 넘김 포함],$P321)&amp;"")</f>
        <v/>
      </c>
      <c r="P321" s="4">
        <f>IFERROR(MATCH(316,상세표[연속순번],0),"")</f>
        <v/>
      </c>
    </row>
    <row r="322">
      <c r="A322">
        <f>IF($P322="","",INDEX(상세표[사번],$P322)&amp;"")</f>
        <v/>
      </c>
      <c r="B322">
        <f>IF($P322="","",INDEX(상세표[성명],$P322)&amp;"")</f>
        <v/>
      </c>
      <c r="C322">
        <f>IF($P322="","",INDEX(상세표[부서],$P322)&amp;"")</f>
        <v/>
      </c>
      <c r="D322">
        <f>IF($P322="","",INDEX(상세표[직위],$P322)&amp;"")</f>
        <v/>
      </c>
      <c r="E322">
        <f>IF($P322="","",IF(ISNUMBER(INDEX(상세표[시작],$P322)),TEXT(INDEX(상세표[시작],$P322),"yyyy-mm-dd hh:mm"),INDEX(상세표[시작],$P322)&amp;""))</f>
        <v/>
      </c>
      <c r="F322">
        <f>IF($P322="","",IF(ISNUMBER(INDEX(상세표[블록종료],$P322)),TEXT(INDEX(상세표[블록종료],$P322),"yyyy-mm-dd hh:mm"),INDEX(상세표[블록종료],$P322)&amp;""))</f>
        <v/>
      </c>
      <c r="G322">
        <f>IF($P322="","",CHOOSE(WEEKDAY(INDEX(상세표[시작],$P322)),"일","월","화","수","목","금","토"))</f>
        <v/>
      </c>
      <c r="H322">
        <f>IF($P322="","",INDEX(상세표[연속 시간],$P322))</f>
        <v/>
      </c>
      <c r="I322">
        <f>IF($P322="","",INDEX(상세표[기록 수],$P322))</f>
        <v/>
      </c>
      <c r="J322">
        <f>IF($P322="","",INDEX(상세표[블록 06~07시],$P322))</f>
        <v/>
      </c>
      <c r="K322">
        <f>IF($P322="","",INDEX(상세표[블록 07~18시],$P322))</f>
        <v/>
      </c>
      <c r="L322">
        <f>IF($P322="","",INDEX(상세표[블록 18~22시],$P322))</f>
        <v/>
      </c>
      <c r="M322">
        <f>IF($P322="","",INDEX(상세표[블록 22~06시],$P322))</f>
        <v/>
      </c>
      <c r="N322">
        <f>IF($P322="","",INDEX(상세표[주말·휴일 포함],$P322)&amp;"")</f>
        <v/>
      </c>
      <c r="O322">
        <f>IF($P322="","",INDEX(상세표[월 넘김 포함],$P322)&amp;"")</f>
        <v/>
      </c>
      <c r="P322" s="4">
        <f>IFERROR(MATCH(317,상세표[연속순번],0),"")</f>
        <v/>
      </c>
    </row>
    <row r="323">
      <c r="A323">
        <f>IF($P323="","",INDEX(상세표[사번],$P323)&amp;"")</f>
        <v/>
      </c>
      <c r="B323">
        <f>IF($P323="","",INDEX(상세표[성명],$P323)&amp;"")</f>
        <v/>
      </c>
      <c r="C323">
        <f>IF($P323="","",INDEX(상세표[부서],$P323)&amp;"")</f>
        <v/>
      </c>
      <c r="D323">
        <f>IF($P323="","",INDEX(상세표[직위],$P323)&amp;"")</f>
        <v/>
      </c>
      <c r="E323">
        <f>IF($P323="","",IF(ISNUMBER(INDEX(상세표[시작],$P323)),TEXT(INDEX(상세표[시작],$P323),"yyyy-mm-dd hh:mm"),INDEX(상세표[시작],$P323)&amp;""))</f>
        <v/>
      </c>
      <c r="F323">
        <f>IF($P323="","",IF(ISNUMBER(INDEX(상세표[블록종료],$P323)),TEXT(INDEX(상세표[블록종료],$P323),"yyyy-mm-dd hh:mm"),INDEX(상세표[블록종료],$P323)&amp;""))</f>
        <v/>
      </c>
      <c r="G323">
        <f>IF($P323="","",CHOOSE(WEEKDAY(INDEX(상세표[시작],$P323)),"일","월","화","수","목","금","토"))</f>
        <v/>
      </c>
      <c r="H323">
        <f>IF($P323="","",INDEX(상세표[연속 시간],$P323))</f>
        <v/>
      </c>
      <c r="I323">
        <f>IF($P323="","",INDEX(상세표[기록 수],$P323))</f>
        <v/>
      </c>
      <c r="J323">
        <f>IF($P323="","",INDEX(상세표[블록 06~07시],$P323))</f>
        <v/>
      </c>
      <c r="K323">
        <f>IF($P323="","",INDEX(상세표[블록 07~18시],$P323))</f>
        <v/>
      </c>
      <c r="L323">
        <f>IF($P323="","",INDEX(상세표[블록 18~22시],$P323))</f>
        <v/>
      </c>
      <c r="M323">
        <f>IF($P323="","",INDEX(상세표[블록 22~06시],$P323))</f>
        <v/>
      </c>
      <c r="N323">
        <f>IF($P323="","",INDEX(상세표[주말·휴일 포함],$P323)&amp;"")</f>
        <v/>
      </c>
      <c r="O323">
        <f>IF($P323="","",INDEX(상세표[월 넘김 포함],$P323)&amp;"")</f>
        <v/>
      </c>
      <c r="P323" s="4">
        <f>IFERROR(MATCH(318,상세표[연속순번],0),"")</f>
        <v/>
      </c>
    </row>
    <row r="324">
      <c r="A324">
        <f>IF($P324="","",INDEX(상세표[사번],$P324)&amp;"")</f>
        <v/>
      </c>
      <c r="B324">
        <f>IF($P324="","",INDEX(상세표[성명],$P324)&amp;"")</f>
        <v/>
      </c>
      <c r="C324">
        <f>IF($P324="","",INDEX(상세표[부서],$P324)&amp;"")</f>
        <v/>
      </c>
      <c r="D324">
        <f>IF($P324="","",INDEX(상세표[직위],$P324)&amp;"")</f>
        <v/>
      </c>
      <c r="E324">
        <f>IF($P324="","",IF(ISNUMBER(INDEX(상세표[시작],$P324)),TEXT(INDEX(상세표[시작],$P324),"yyyy-mm-dd hh:mm"),INDEX(상세표[시작],$P324)&amp;""))</f>
        <v/>
      </c>
      <c r="F324">
        <f>IF($P324="","",IF(ISNUMBER(INDEX(상세표[블록종료],$P324)),TEXT(INDEX(상세표[블록종료],$P324),"yyyy-mm-dd hh:mm"),INDEX(상세표[블록종료],$P324)&amp;""))</f>
        <v/>
      </c>
      <c r="G324">
        <f>IF($P324="","",CHOOSE(WEEKDAY(INDEX(상세표[시작],$P324)),"일","월","화","수","목","금","토"))</f>
        <v/>
      </c>
      <c r="H324">
        <f>IF($P324="","",INDEX(상세표[연속 시간],$P324))</f>
        <v/>
      </c>
      <c r="I324">
        <f>IF($P324="","",INDEX(상세표[기록 수],$P324))</f>
        <v/>
      </c>
      <c r="J324">
        <f>IF($P324="","",INDEX(상세표[블록 06~07시],$P324))</f>
        <v/>
      </c>
      <c r="K324">
        <f>IF($P324="","",INDEX(상세표[블록 07~18시],$P324))</f>
        <v/>
      </c>
      <c r="L324">
        <f>IF($P324="","",INDEX(상세표[블록 18~22시],$P324))</f>
        <v/>
      </c>
      <c r="M324">
        <f>IF($P324="","",INDEX(상세표[블록 22~06시],$P324))</f>
        <v/>
      </c>
      <c r="N324">
        <f>IF($P324="","",INDEX(상세표[주말·휴일 포함],$P324)&amp;"")</f>
        <v/>
      </c>
      <c r="O324">
        <f>IF($P324="","",INDEX(상세표[월 넘김 포함],$P324)&amp;"")</f>
        <v/>
      </c>
      <c r="P324" s="4">
        <f>IFERROR(MATCH(319,상세표[연속순번],0),"")</f>
        <v/>
      </c>
    </row>
    <row r="325">
      <c r="A325">
        <f>IF($P325="","",INDEX(상세표[사번],$P325)&amp;"")</f>
        <v/>
      </c>
      <c r="B325">
        <f>IF($P325="","",INDEX(상세표[성명],$P325)&amp;"")</f>
        <v/>
      </c>
      <c r="C325">
        <f>IF($P325="","",INDEX(상세표[부서],$P325)&amp;"")</f>
        <v/>
      </c>
      <c r="D325">
        <f>IF($P325="","",INDEX(상세표[직위],$P325)&amp;"")</f>
        <v/>
      </c>
      <c r="E325">
        <f>IF($P325="","",IF(ISNUMBER(INDEX(상세표[시작],$P325)),TEXT(INDEX(상세표[시작],$P325),"yyyy-mm-dd hh:mm"),INDEX(상세표[시작],$P325)&amp;""))</f>
        <v/>
      </c>
      <c r="F325">
        <f>IF($P325="","",IF(ISNUMBER(INDEX(상세표[블록종료],$P325)),TEXT(INDEX(상세표[블록종료],$P325),"yyyy-mm-dd hh:mm"),INDEX(상세표[블록종료],$P325)&amp;""))</f>
        <v/>
      </c>
      <c r="G325">
        <f>IF($P325="","",CHOOSE(WEEKDAY(INDEX(상세표[시작],$P325)),"일","월","화","수","목","금","토"))</f>
        <v/>
      </c>
      <c r="H325">
        <f>IF($P325="","",INDEX(상세표[연속 시간],$P325))</f>
        <v/>
      </c>
      <c r="I325">
        <f>IF($P325="","",INDEX(상세표[기록 수],$P325))</f>
        <v/>
      </c>
      <c r="J325">
        <f>IF($P325="","",INDEX(상세표[블록 06~07시],$P325))</f>
        <v/>
      </c>
      <c r="K325">
        <f>IF($P325="","",INDEX(상세표[블록 07~18시],$P325))</f>
        <v/>
      </c>
      <c r="L325">
        <f>IF($P325="","",INDEX(상세표[블록 18~22시],$P325))</f>
        <v/>
      </c>
      <c r="M325">
        <f>IF($P325="","",INDEX(상세표[블록 22~06시],$P325))</f>
        <v/>
      </c>
      <c r="N325">
        <f>IF($P325="","",INDEX(상세표[주말·휴일 포함],$P325)&amp;"")</f>
        <v/>
      </c>
      <c r="O325">
        <f>IF($P325="","",INDEX(상세표[월 넘김 포함],$P325)&amp;"")</f>
        <v/>
      </c>
      <c r="P325" s="4">
        <f>IFERROR(MATCH(320,상세표[연속순번],0),"")</f>
        <v/>
      </c>
    </row>
    <row r="326">
      <c r="A326">
        <f>IF($P326="","",INDEX(상세표[사번],$P326)&amp;"")</f>
        <v/>
      </c>
      <c r="B326">
        <f>IF($P326="","",INDEX(상세표[성명],$P326)&amp;"")</f>
        <v/>
      </c>
      <c r="C326">
        <f>IF($P326="","",INDEX(상세표[부서],$P326)&amp;"")</f>
        <v/>
      </c>
      <c r="D326">
        <f>IF($P326="","",INDEX(상세표[직위],$P326)&amp;"")</f>
        <v/>
      </c>
      <c r="E326">
        <f>IF($P326="","",IF(ISNUMBER(INDEX(상세표[시작],$P326)),TEXT(INDEX(상세표[시작],$P326),"yyyy-mm-dd hh:mm"),INDEX(상세표[시작],$P326)&amp;""))</f>
        <v/>
      </c>
      <c r="F326">
        <f>IF($P326="","",IF(ISNUMBER(INDEX(상세표[블록종료],$P326)),TEXT(INDEX(상세표[블록종료],$P326),"yyyy-mm-dd hh:mm"),INDEX(상세표[블록종료],$P326)&amp;""))</f>
        <v/>
      </c>
      <c r="G326">
        <f>IF($P326="","",CHOOSE(WEEKDAY(INDEX(상세표[시작],$P326)),"일","월","화","수","목","금","토"))</f>
        <v/>
      </c>
      <c r="H326">
        <f>IF($P326="","",INDEX(상세표[연속 시간],$P326))</f>
        <v/>
      </c>
      <c r="I326">
        <f>IF($P326="","",INDEX(상세표[기록 수],$P326))</f>
        <v/>
      </c>
      <c r="J326">
        <f>IF($P326="","",INDEX(상세표[블록 06~07시],$P326))</f>
        <v/>
      </c>
      <c r="K326">
        <f>IF($P326="","",INDEX(상세표[블록 07~18시],$P326))</f>
        <v/>
      </c>
      <c r="L326">
        <f>IF($P326="","",INDEX(상세표[블록 18~22시],$P326))</f>
        <v/>
      </c>
      <c r="M326">
        <f>IF($P326="","",INDEX(상세표[블록 22~06시],$P326))</f>
        <v/>
      </c>
      <c r="N326">
        <f>IF($P326="","",INDEX(상세표[주말·휴일 포함],$P326)&amp;"")</f>
        <v/>
      </c>
      <c r="O326">
        <f>IF($P326="","",INDEX(상세표[월 넘김 포함],$P326)&amp;"")</f>
        <v/>
      </c>
      <c r="P326" s="4">
        <f>IFERROR(MATCH(321,상세표[연속순번],0),"")</f>
        <v/>
      </c>
    </row>
    <row r="327">
      <c r="A327">
        <f>IF($P327="","",INDEX(상세표[사번],$P327)&amp;"")</f>
        <v/>
      </c>
      <c r="B327">
        <f>IF($P327="","",INDEX(상세표[성명],$P327)&amp;"")</f>
        <v/>
      </c>
      <c r="C327">
        <f>IF($P327="","",INDEX(상세표[부서],$P327)&amp;"")</f>
        <v/>
      </c>
      <c r="D327">
        <f>IF($P327="","",INDEX(상세표[직위],$P327)&amp;"")</f>
        <v/>
      </c>
      <c r="E327">
        <f>IF($P327="","",IF(ISNUMBER(INDEX(상세표[시작],$P327)),TEXT(INDEX(상세표[시작],$P327),"yyyy-mm-dd hh:mm"),INDEX(상세표[시작],$P327)&amp;""))</f>
        <v/>
      </c>
      <c r="F327">
        <f>IF($P327="","",IF(ISNUMBER(INDEX(상세표[블록종료],$P327)),TEXT(INDEX(상세표[블록종료],$P327),"yyyy-mm-dd hh:mm"),INDEX(상세표[블록종료],$P327)&amp;""))</f>
        <v/>
      </c>
      <c r="G327">
        <f>IF($P327="","",CHOOSE(WEEKDAY(INDEX(상세표[시작],$P327)),"일","월","화","수","목","금","토"))</f>
        <v/>
      </c>
      <c r="H327">
        <f>IF($P327="","",INDEX(상세표[연속 시간],$P327))</f>
        <v/>
      </c>
      <c r="I327">
        <f>IF($P327="","",INDEX(상세표[기록 수],$P327))</f>
        <v/>
      </c>
      <c r="J327">
        <f>IF($P327="","",INDEX(상세표[블록 06~07시],$P327))</f>
        <v/>
      </c>
      <c r="K327">
        <f>IF($P327="","",INDEX(상세표[블록 07~18시],$P327))</f>
        <v/>
      </c>
      <c r="L327">
        <f>IF($P327="","",INDEX(상세표[블록 18~22시],$P327))</f>
        <v/>
      </c>
      <c r="M327">
        <f>IF($P327="","",INDEX(상세표[블록 22~06시],$P327))</f>
        <v/>
      </c>
      <c r="N327">
        <f>IF($P327="","",INDEX(상세표[주말·휴일 포함],$P327)&amp;"")</f>
        <v/>
      </c>
      <c r="O327">
        <f>IF($P327="","",INDEX(상세표[월 넘김 포함],$P327)&amp;"")</f>
        <v/>
      </c>
      <c r="P327" s="4">
        <f>IFERROR(MATCH(322,상세표[연속순번],0),"")</f>
        <v/>
      </c>
    </row>
    <row r="328">
      <c r="A328">
        <f>IF($P328="","",INDEX(상세표[사번],$P328)&amp;"")</f>
        <v/>
      </c>
      <c r="B328">
        <f>IF($P328="","",INDEX(상세표[성명],$P328)&amp;"")</f>
        <v/>
      </c>
      <c r="C328">
        <f>IF($P328="","",INDEX(상세표[부서],$P328)&amp;"")</f>
        <v/>
      </c>
      <c r="D328">
        <f>IF($P328="","",INDEX(상세표[직위],$P328)&amp;"")</f>
        <v/>
      </c>
      <c r="E328">
        <f>IF($P328="","",IF(ISNUMBER(INDEX(상세표[시작],$P328)),TEXT(INDEX(상세표[시작],$P328),"yyyy-mm-dd hh:mm"),INDEX(상세표[시작],$P328)&amp;""))</f>
        <v/>
      </c>
      <c r="F328">
        <f>IF($P328="","",IF(ISNUMBER(INDEX(상세표[블록종료],$P328)),TEXT(INDEX(상세표[블록종료],$P328),"yyyy-mm-dd hh:mm"),INDEX(상세표[블록종료],$P328)&amp;""))</f>
        <v/>
      </c>
      <c r="G328">
        <f>IF($P328="","",CHOOSE(WEEKDAY(INDEX(상세표[시작],$P328)),"일","월","화","수","목","금","토"))</f>
        <v/>
      </c>
      <c r="H328">
        <f>IF($P328="","",INDEX(상세표[연속 시간],$P328))</f>
        <v/>
      </c>
      <c r="I328">
        <f>IF($P328="","",INDEX(상세표[기록 수],$P328))</f>
        <v/>
      </c>
      <c r="J328">
        <f>IF($P328="","",INDEX(상세표[블록 06~07시],$P328))</f>
        <v/>
      </c>
      <c r="K328">
        <f>IF($P328="","",INDEX(상세표[블록 07~18시],$P328))</f>
        <v/>
      </c>
      <c r="L328">
        <f>IF($P328="","",INDEX(상세표[블록 18~22시],$P328))</f>
        <v/>
      </c>
      <c r="M328">
        <f>IF($P328="","",INDEX(상세표[블록 22~06시],$P328))</f>
        <v/>
      </c>
      <c r="N328">
        <f>IF($P328="","",INDEX(상세표[주말·휴일 포함],$P328)&amp;"")</f>
        <v/>
      </c>
      <c r="O328">
        <f>IF($P328="","",INDEX(상세표[월 넘김 포함],$P328)&amp;"")</f>
        <v/>
      </c>
      <c r="P328" s="4">
        <f>IFERROR(MATCH(323,상세표[연속순번],0),"")</f>
        <v/>
      </c>
    </row>
    <row r="329">
      <c r="A329">
        <f>IF($P329="","",INDEX(상세표[사번],$P329)&amp;"")</f>
        <v/>
      </c>
      <c r="B329">
        <f>IF($P329="","",INDEX(상세표[성명],$P329)&amp;"")</f>
        <v/>
      </c>
      <c r="C329">
        <f>IF($P329="","",INDEX(상세표[부서],$P329)&amp;"")</f>
        <v/>
      </c>
      <c r="D329">
        <f>IF($P329="","",INDEX(상세표[직위],$P329)&amp;"")</f>
        <v/>
      </c>
      <c r="E329">
        <f>IF($P329="","",IF(ISNUMBER(INDEX(상세표[시작],$P329)),TEXT(INDEX(상세표[시작],$P329),"yyyy-mm-dd hh:mm"),INDEX(상세표[시작],$P329)&amp;""))</f>
        <v/>
      </c>
      <c r="F329">
        <f>IF($P329="","",IF(ISNUMBER(INDEX(상세표[블록종료],$P329)),TEXT(INDEX(상세표[블록종료],$P329),"yyyy-mm-dd hh:mm"),INDEX(상세표[블록종료],$P329)&amp;""))</f>
        <v/>
      </c>
      <c r="G329">
        <f>IF($P329="","",CHOOSE(WEEKDAY(INDEX(상세표[시작],$P329)),"일","월","화","수","목","금","토"))</f>
        <v/>
      </c>
      <c r="H329">
        <f>IF($P329="","",INDEX(상세표[연속 시간],$P329))</f>
        <v/>
      </c>
      <c r="I329">
        <f>IF($P329="","",INDEX(상세표[기록 수],$P329))</f>
        <v/>
      </c>
      <c r="J329">
        <f>IF($P329="","",INDEX(상세표[블록 06~07시],$P329))</f>
        <v/>
      </c>
      <c r="K329">
        <f>IF($P329="","",INDEX(상세표[블록 07~18시],$P329))</f>
        <v/>
      </c>
      <c r="L329">
        <f>IF($P329="","",INDEX(상세표[블록 18~22시],$P329))</f>
        <v/>
      </c>
      <c r="M329">
        <f>IF($P329="","",INDEX(상세표[블록 22~06시],$P329))</f>
        <v/>
      </c>
      <c r="N329">
        <f>IF($P329="","",INDEX(상세표[주말·휴일 포함],$P329)&amp;"")</f>
        <v/>
      </c>
      <c r="O329">
        <f>IF($P329="","",INDEX(상세표[월 넘김 포함],$P329)&amp;"")</f>
        <v/>
      </c>
      <c r="P329" s="4">
        <f>IFERROR(MATCH(324,상세표[연속순번],0),"")</f>
        <v/>
      </c>
    </row>
    <row r="330">
      <c r="A330">
        <f>IF($P330="","",INDEX(상세표[사번],$P330)&amp;"")</f>
        <v/>
      </c>
      <c r="B330">
        <f>IF($P330="","",INDEX(상세표[성명],$P330)&amp;"")</f>
        <v/>
      </c>
      <c r="C330">
        <f>IF($P330="","",INDEX(상세표[부서],$P330)&amp;"")</f>
        <v/>
      </c>
      <c r="D330">
        <f>IF($P330="","",INDEX(상세표[직위],$P330)&amp;"")</f>
        <v/>
      </c>
      <c r="E330">
        <f>IF($P330="","",IF(ISNUMBER(INDEX(상세표[시작],$P330)),TEXT(INDEX(상세표[시작],$P330),"yyyy-mm-dd hh:mm"),INDEX(상세표[시작],$P330)&amp;""))</f>
        <v/>
      </c>
      <c r="F330">
        <f>IF($P330="","",IF(ISNUMBER(INDEX(상세표[블록종료],$P330)),TEXT(INDEX(상세표[블록종료],$P330),"yyyy-mm-dd hh:mm"),INDEX(상세표[블록종료],$P330)&amp;""))</f>
        <v/>
      </c>
      <c r="G330">
        <f>IF($P330="","",CHOOSE(WEEKDAY(INDEX(상세표[시작],$P330)),"일","월","화","수","목","금","토"))</f>
        <v/>
      </c>
      <c r="H330">
        <f>IF($P330="","",INDEX(상세표[연속 시간],$P330))</f>
        <v/>
      </c>
      <c r="I330">
        <f>IF($P330="","",INDEX(상세표[기록 수],$P330))</f>
        <v/>
      </c>
      <c r="J330">
        <f>IF($P330="","",INDEX(상세표[블록 06~07시],$P330))</f>
        <v/>
      </c>
      <c r="K330">
        <f>IF($P330="","",INDEX(상세표[블록 07~18시],$P330))</f>
        <v/>
      </c>
      <c r="L330">
        <f>IF($P330="","",INDEX(상세표[블록 18~22시],$P330))</f>
        <v/>
      </c>
      <c r="M330">
        <f>IF($P330="","",INDEX(상세표[블록 22~06시],$P330))</f>
        <v/>
      </c>
      <c r="N330">
        <f>IF($P330="","",INDEX(상세표[주말·휴일 포함],$P330)&amp;"")</f>
        <v/>
      </c>
      <c r="O330">
        <f>IF($P330="","",INDEX(상세표[월 넘김 포함],$P330)&amp;"")</f>
        <v/>
      </c>
      <c r="P330" s="4">
        <f>IFERROR(MATCH(325,상세표[연속순번],0),"")</f>
        <v/>
      </c>
    </row>
    <row r="331">
      <c r="A331">
        <f>IF($P331="","",INDEX(상세표[사번],$P331)&amp;"")</f>
        <v/>
      </c>
      <c r="B331">
        <f>IF($P331="","",INDEX(상세표[성명],$P331)&amp;"")</f>
        <v/>
      </c>
      <c r="C331">
        <f>IF($P331="","",INDEX(상세표[부서],$P331)&amp;"")</f>
        <v/>
      </c>
      <c r="D331">
        <f>IF($P331="","",INDEX(상세표[직위],$P331)&amp;"")</f>
        <v/>
      </c>
      <c r="E331">
        <f>IF($P331="","",IF(ISNUMBER(INDEX(상세표[시작],$P331)),TEXT(INDEX(상세표[시작],$P331),"yyyy-mm-dd hh:mm"),INDEX(상세표[시작],$P331)&amp;""))</f>
        <v/>
      </c>
      <c r="F331">
        <f>IF($P331="","",IF(ISNUMBER(INDEX(상세표[블록종료],$P331)),TEXT(INDEX(상세표[블록종료],$P331),"yyyy-mm-dd hh:mm"),INDEX(상세표[블록종료],$P331)&amp;""))</f>
        <v/>
      </c>
      <c r="G331">
        <f>IF($P331="","",CHOOSE(WEEKDAY(INDEX(상세표[시작],$P331)),"일","월","화","수","목","금","토"))</f>
        <v/>
      </c>
      <c r="H331">
        <f>IF($P331="","",INDEX(상세표[연속 시간],$P331))</f>
        <v/>
      </c>
      <c r="I331">
        <f>IF($P331="","",INDEX(상세표[기록 수],$P331))</f>
        <v/>
      </c>
      <c r="J331">
        <f>IF($P331="","",INDEX(상세표[블록 06~07시],$P331))</f>
        <v/>
      </c>
      <c r="K331">
        <f>IF($P331="","",INDEX(상세표[블록 07~18시],$P331))</f>
        <v/>
      </c>
      <c r="L331">
        <f>IF($P331="","",INDEX(상세표[블록 18~22시],$P331))</f>
        <v/>
      </c>
      <c r="M331">
        <f>IF($P331="","",INDEX(상세표[블록 22~06시],$P331))</f>
        <v/>
      </c>
      <c r="N331">
        <f>IF($P331="","",INDEX(상세표[주말·휴일 포함],$P331)&amp;"")</f>
        <v/>
      </c>
      <c r="O331">
        <f>IF($P331="","",INDEX(상세표[월 넘김 포함],$P331)&amp;"")</f>
        <v/>
      </c>
      <c r="P331" s="4">
        <f>IFERROR(MATCH(326,상세표[연속순번],0),"")</f>
        <v/>
      </c>
    </row>
    <row r="332">
      <c r="A332">
        <f>IF($P332="","",INDEX(상세표[사번],$P332)&amp;"")</f>
        <v/>
      </c>
      <c r="B332">
        <f>IF($P332="","",INDEX(상세표[성명],$P332)&amp;"")</f>
        <v/>
      </c>
      <c r="C332">
        <f>IF($P332="","",INDEX(상세표[부서],$P332)&amp;"")</f>
        <v/>
      </c>
      <c r="D332">
        <f>IF($P332="","",INDEX(상세표[직위],$P332)&amp;"")</f>
        <v/>
      </c>
      <c r="E332">
        <f>IF($P332="","",IF(ISNUMBER(INDEX(상세표[시작],$P332)),TEXT(INDEX(상세표[시작],$P332),"yyyy-mm-dd hh:mm"),INDEX(상세표[시작],$P332)&amp;""))</f>
        <v/>
      </c>
      <c r="F332">
        <f>IF($P332="","",IF(ISNUMBER(INDEX(상세표[블록종료],$P332)),TEXT(INDEX(상세표[블록종료],$P332),"yyyy-mm-dd hh:mm"),INDEX(상세표[블록종료],$P332)&amp;""))</f>
        <v/>
      </c>
      <c r="G332">
        <f>IF($P332="","",CHOOSE(WEEKDAY(INDEX(상세표[시작],$P332)),"일","월","화","수","목","금","토"))</f>
        <v/>
      </c>
      <c r="H332">
        <f>IF($P332="","",INDEX(상세표[연속 시간],$P332))</f>
        <v/>
      </c>
      <c r="I332">
        <f>IF($P332="","",INDEX(상세표[기록 수],$P332))</f>
        <v/>
      </c>
      <c r="J332">
        <f>IF($P332="","",INDEX(상세표[블록 06~07시],$P332))</f>
        <v/>
      </c>
      <c r="K332">
        <f>IF($P332="","",INDEX(상세표[블록 07~18시],$P332))</f>
        <v/>
      </c>
      <c r="L332">
        <f>IF($P332="","",INDEX(상세표[블록 18~22시],$P332))</f>
        <v/>
      </c>
      <c r="M332">
        <f>IF($P332="","",INDEX(상세표[블록 22~06시],$P332))</f>
        <v/>
      </c>
      <c r="N332">
        <f>IF($P332="","",INDEX(상세표[주말·휴일 포함],$P332)&amp;"")</f>
        <v/>
      </c>
      <c r="O332">
        <f>IF($P332="","",INDEX(상세표[월 넘김 포함],$P332)&amp;"")</f>
        <v/>
      </c>
      <c r="P332" s="4">
        <f>IFERROR(MATCH(327,상세표[연속순번],0),"")</f>
        <v/>
      </c>
    </row>
    <row r="333">
      <c r="A333">
        <f>IF($P333="","",INDEX(상세표[사번],$P333)&amp;"")</f>
        <v/>
      </c>
      <c r="B333">
        <f>IF($P333="","",INDEX(상세표[성명],$P333)&amp;"")</f>
        <v/>
      </c>
      <c r="C333">
        <f>IF($P333="","",INDEX(상세표[부서],$P333)&amp;"")</f>
        <v/>
      </c>
      <c r="D333">
        <f>IF($P333="","",INDEX(상세표[직위],$P333)&amp;"")</f>
        <v/>
      </c>
      <c r="E333">
        <f>IF($P333="","",IF(ISNUMBER(INDEX(상세표[시작],$P333)),TEXT(INDEX(상세표[시작],$P333),"yyyy-mm-dd hh:mm"),INDEX(상세표[시작],$P333)&amp;""))</f>
        <v/>
      </c>
      <c r="F333">
        <f>IF($P333="","",IF(ISNUMBER(INDEX(상세표[블록종료],$P333)),TEXT(INDEX(상세표[블록종료],$P333),"yyyy-mm-dd hh:mm"),INDEX(상세표[블록종료],$P333)&amp;""))</f>
        <v/>
      </c>
      <c r="G333">
        <f>IF($P333="","",CHOOSE(WEEKDAY(INDEX(상세표[시작],$P333)),"일","월","화","수","목","금","토"))</f>
        <v/>
      </c>
      <c r="H333">
        <f>IF($P333="","",INDEX(상세표[연속 시간],$P333))</f>
        <v/>
      </c>
      <c r="I333">
        <f>IF($P333="","",INDEX(상세표[기록 수],$P333))</f>
        <v/>
      </c>
      <c r="J333">
        <f>IF($P333="","",INDEX(상세표[블록 06~07시],$P333))</f>
        <v/>
      </c>
      <c r="K333">
        <f>IF($P333="","",INDEX(상세표[블록 07~18시],$P333))</f>
        <v/>
      </c>
      <c r="L333">
        <f>IF($P333="","",INDEX(상세표[블록 18~22시],$P333))</f>
        <v/>
      </c>
      <c r="M333">
        <f>IF($P333="","",INDEX(상세표[블록 22~06시],$P333))</f>
        <v/>
      </c>
      <c r="N333">
        <f>IF($P333="","",INDEX(상세표[주말·휴일 포함],$P333)&amp;"")</f>
        <v/>
      </c>
      <c r="O333">
        <f>IF($P333="","",INDEX(상세표[월 넘김 포함],$P333)&amp;"")</f>
        <v/>
      </c>
      <c r="P333" s="4">
        <f>IFERROR(MATCH(328,상세표[연속순번],0),"")</f>
        <v/>
      </c>
    </row>
    <row r="334">
      <c r="A334">
        <f>IF($P334="","",INDEX(상세표[사번],$P334)&amp;"")</f>
        <v/>
      </c>
      <c r="B334">
        <f>IF($P334="","",INDEX(상세표[성명],$P334)&amp;"")</f>
        <v/>
      </c>
      <c r="C334">
        <f>IF($P334="","",INDEX(상세표[부서],$P334)&amp;"")</f>
        <v/>
      </c>
      <c r="D334">
        <f>IF($P334="","",INDEX(상세표[직위],$P334)&amp;"")</f>
        <v/>
      </c>
      <c r="E334">
        <f>IF($P334="","",IF(ISNUMBER(INDEX(상세표[시작],$P334)),TEXT(INDEX(상세표[시작],$P334),"yyyy-mm-dd hh:mm"),INDEX(상세표[시작],$P334)&amp;""))</f>
        <v/>
      </c>
      <c r="F334">
        <f>IF($P334="","",IF(ISNUMBER(INDEX(상세표[블록종료],$P334)),TEXT(INDEX(상세표[블록종료],$P334),"yyyy-mm-dd hh:mm"),INDEX(상세표[블록종료],$P334)&amp;""))</f>
        <v/>
      </c>
      <c r="G334">
        <f>IF($P334="","",CHOOSE(WEEKDAY(INDEX(상세표[시작],$P334)),"일","월","화","수","목","금","토"))</f>
        <v/>
      </c>
      <c r="H334">
        <f>IF($P334="","",INDEX(상세표[연속 시간],$P334))</f>
        <v/>
      </c>
      <c r="I334">
        <f>IF($P334="","",INDEX(상세표[기록 수],$P334))</f>
        <v/>
      </c>
      <c r="J334">
        <f>IF($P334="","",INDEX(상세표[블록 06~07시],$P334))</f>
        <v/>
      </c>
      <c r="K334">
        <f>IF($P334="","",INDEX(상세표[블록 07~18시],$P334))</f>
        <v/>
      </c>
      <c r="L334">
        <f>IF($P334="","",INDEX(상세표[블록 18~22시],$P334))</f>
        <v/>
      </c>
      <c r="M334">
        <f>IF($P334="","",INDEX(상세표[블록 22~06시],$P334))</f>
        <v/>
      </c>
      <c r="N334">
        <f>IF($P334="","",INDEX(상세표[주말·휴일 포함],$P334)&amp;"")</f>
        <v/>
      </c>
      <c r="O334">
        <f>IF($P334="","",INDEX(상세표[월 넘김 포함],$P334)&amp;"")</f>
        <v/>
      </c>
      <c r="P334" s="4">
        <f>IFERROR(MATCH(329,상세표[연속순번],0),"")</f>
        <v/>
      </c>
    </row>
    <row r="335">
      <c r="A335">
        <f>IF($P335="","",INDEX(상세표[사번],$P335)&amp;"")</f>
        <v/>
      </c>
      <c r="B335">
        <f>IF($P335="","",INDEX(상세표[성명],$P335)&amp;"")</f>
        <v/>
      </c>
      <c r="C335">
        <f>IF($P335="","",INDEX(상세표[부서],$P335)&amp;"")</f>
        <v/>
      </c>
      <c r="D335">
        <f>IF($P335="","",INDEX(상세표[직위],$P335)&amp;"")</f>
        <v/>
      </c>
      <c r="E335">
        <f>IF($P335="","",IF(ISNUMBER(INDEX(상세표[시작],$P335)),TEXT(INDEX(상세표[시작],$P335),"yyyy-mm-dd hh:mm"),INDEX(상세표[시작],$P335)&amp;""))</f>
        <v/>
      </c>
      <c r="F335">
        <f>IF($P335="","",IF(ISNUMBER(INDEX(상세표[블록종료],$P335)),TEXT(INDEX(상세표[블록종료],$P335),"yyyy-mm-dd hh:mm"),INDEX(상세표[블록종료],$P335)&amp;""))</f>
        <v/>
      </c>
      <c r="G335">
        <f>IF($P335="","",CHOOSE(WEEKDAY(INDEX(상세표[시작],$P335)),"일","월","화","수","목","금","토"))</f>
        <v/>
      </c>
      <c r="H335">
        <f>IF($P335="","",INDEX(상세표[연속 시간],$P335))</f>
        <v/>
      </c>
      <c r="I335">
        <f>IF($P335="","",INDEX(상세표[기록 수],$P335))</f>
        <v/>
      </c>
      <c r="J335">
        <f>IF($P335="","",INDEX(상세표[블록 06~07시],$P335))</f>
        <v/>
      </c>
      <c r="K335">
        <f>IF($P335="","",INDEX(상세표[블록 07~18시],$P335))</f>
        <v/>
      </c>
      <c r="L335">
        <f>IF($P335="","",INDEX(상세표[블록 18~22시],$P335))</f>
        <v/>
      </c>
      <c r="M335">
        <f>IF($P335="","",INDEX(상세표[블록 22~06시],$P335))</f>
        <v/>
      </c>
      <c r="N335">
        <f>IF($P335="","",INDEX(상세표[주말·휴일 포함],$P335)&amp;"")</f>
        <v/>
      </c>
      <c r="O335">
        <f>IF($P335="","",INDEX(상세표[월 넘김 포함],$P335)&amp;"")</f>
        <v/>
      </c>
      <c r="P335" s="4">
        <f>IFERROR(MATCH(330,상세표[연속순번],0),"")</f>
        <v/>
      </c>
    </row>
    <row r="336">
      <c r="A336">
        <f>IF($P336="","",INDEX(상세표[사번],$P336)&amp;"")</f>
        <v/>
      </c>
      <c r="B336">
        <f>IF($P336="","",INDEX(상세표[성명],$P336)&amp;"")</f>
        <v/>
      </c>
      <c r="C336">
        <f>IF($P336="","",INDEX(상세표[부서],$P336)&amp;"")</f>
        <v/>
      </c>
      <c r="D336">
        <f>IF($P336="","",INDEX(상세표[직위],$P336)&amp;"")</f>
        <v/>
      </c>
      <c r="E336">
        <f>IF($P336="","",IF(ISNUMBER(INDEX(상세표[시작],$P336)),TEXT(INDEX(상세표[시작],$P336),"yyyy-mm-dd hh:mm"),INDEX(상세표[시작],$P336)&amp;""))</f>
        <v/>
      </c>
      <c r="F336">
        <f>IF($P336="","",IF(ISNUMBER(INDEX(상세표[블록종료],$P336)),TEXT(INDEX(상세표[블록종료],$P336),"yyyy-mm-dd hh:mm"),INDEX(상세표[블록종료],$P336)&amp;""))</f>
        <v/>
      </c>
      <c r="G336">
        <f>IF($P336="","",CHOOSE(WEEKDAY(INDEX(상세표[시작],$P336)),"일","월","화","수","목","금","토"))</f>
        <v/>
      </c>
      <c r="H336">
        <f>IF($P336="","",INDEX(상세표[연속 시간],$P336))</f>
        <v/>
      </c>
      <c r="I336">
        <f>IF($P336="","",INDEX(상세표[기록 수],$P336))</f>
        <v/>
      </c>
      <c r="J336">
        <f>IF($P336="","",INDEX(상세표[블록 06~07시],$P336))</f>
        <v/>
      </c>
      <c r="K336">
        <f>IF($P336="","",INDEX(상세표[블록 07~18시],$P336))</f>
        <v/>
      </c>
      <c r="L336">
        <f>IF($P336="","",INDEX(상세표[블록 18~22시],$P336))</f>
        <v/>
      </c>
      <c r="M336">
        <f>IF($P336="","",INDEX(상세표[블록 22~06시],$P336))</f>
        <v/>
      </c>
      <c r="N336">
        <f>IF($P336="","",INDEX(상세표[주말·휴일 포함],$P336)&amp;"")</f>
        <v/>
      </c>
      <c r="O336">
        <f>IF($P336="","",INDEX(상세표[월 넘김 포함],$P336)&amp;"")</f>
        <v/>
      </c>
      <c r="P336" s="4">
        <f>IFERROR(MATCH(331,상세표[연속순번],0),"")</f>
        <v/>
      </c>
    </row>
    <row r="337">
      <c r="A337">
        <f>IF($P337="","",INDEX(상세표[사번],$P337)&amp;"")</f>
        <v/>
      </c>
      <c r="B337">
        <f>IF($P337="","",INDEX(상세표[성명],$P337)&amp;"")</f>
        <v/>
      </c>
      <c r="C337">
        <f>IF($P337="","",INDEX(상세표[부서],$P337)&amp;"")</f>
        <v/>
      </c>
      <c r="D337">
        <f>IF($P337="","",INDEX(상세표[직위],$P337)&amp;"")</f>
        <v/>
      </c>
      <c r="E337">
        <f>IF($P337="","",IF(ISNUMBER(INDEX(상세표[시작],$P337)),TEXT(INDEX(상세표[시작],$P337),"yyyy-mm-dd hh:mm"),INDEX(상세표[시작],$P337)&amp;""))</f>
        <v/>
      </c>
      <c r="F337">
        <f>IF($P337="","",IF(ISNUMBER(INDEX(상세표[블록종료],$P337)),TEXT(INDEX(상세표[블록종료],$P337),"yyyy-mm-dd hh:mm"),INDEX(상세표[블록종료],$P337)&amp;""))</f>
        <v/>
      </c>
      <c r="G337">
        <f>IF($P337="","",CHOOSE(WEEKDAY(INDEX(상세표[시작],$P337)),"일","월","화","수","목","금","토"))</f>
        <v/>
      </c>
      <c r="H337">
        <f>IF($P337="","",INDEX(상세표[연속 시간],$P337))</f>
        <v/>
      </c>
      <c r="I337">
        <f>IF($P337="","",INDEX(상세표[기록 수],$P337))</f>
        <v/>
      </c>
      <c r="J337">
        <f>IF($P337="","",INDEX(상세표[블록 06~07시],$P337))</f>
        <v/>
      </c>
      <c r="K337">
        <f>IF($P337="","",INDEX(상세표[블록 07~18시],$P337))</f>
        <v/>
      </c>
      <c r="L337">
        <f>IF($P337="","",INDEX(상세표[블록 18~22시],$P337))</f>
        <v/>
      </c>
      <c r="M337">
        <f>IF($P337="","",INDEX(상세표[블록 22~06시],$P337))</f>
        <v/>
      </c>
      <c r="N337">
        <f>IF($P337="","",INDEX(상세표[주말·휴일 포함],$P337)&amp;"")</f>
        <v/>
      </c>
      <c r="O337">
        <f>IF($P337="","",INDEX(상세표[월 넘김 포함],$P337)&amp;"")</f>
        <v/>
      </c>
      <c r="P337" s="4">
        <f>IFERROR(MATCH(332,상세표[연속순번],0),"")</f>
        <v/>
      </c>
    </row>
    <row r="338">
      <c r="A338">
        <f>IF($P338="","",INDEX(상세표[사번],$P338)&amp;"")</f>
        <v/>
      </c>
      <c r="B338">
        <f>IF($P338="","",INDEX(상세표[성명],$P338)&amp;"")</f>
        <v/>
      </c>
      <c r="C338">
        <f>IF($P338="","",INDEX(상세표[부서],$P338)&amp;"")</f>
        <v/>
      </c>
      <c r="D338">
        <f>IF($P338="","",INDEX(상세표[직위],$P338)&amp;"")</f>
        <v/>
      </c>
      <c r="E338">
        <f>IF($P338="","",IF(ISNUMBER(INDEX(상세표[시작],$P338)),TEXT(INDEX(상세표[시작],$P338),"yyyy-mm-dd hh:mm"),INDEX(상세표[시작],$P338)&amp;""))</f>
        <v/>
      </c>
      <c r="F338">
        <f>IF($P338="","",IF(ISNUMBER(INDEX(상세표[블록종료],$P338)),TEXT(INDEX(상세표[블록종료],$P338),"yyyy-mm-dd hh:mm"),INDEX(상세표[블록종료],$P338)&amp;""))</f>
        <v/>
      </c>
      <c r="G338">
        <f>IF($P338="","",CHOOSE(WEEKDAY(INDEX(상세표[시작],$P338)),"일","월","화","수","목","금","토"))</f>
        <v/>
      </c>
      <c r="H338">
        <f>IF($P338="","",INDEX(상세표[연속 시간],$P338))</f>
        <v/>
      </c>
      <c r="I338">
        <f>IF($P338="","",INDEX(상세표[기록 수],$P338))</f>
        <v/>
      </c>
      <c r="J338">
        <f>IF($P338="","",INDEX(상세표[블록 06~07시],$P338))</f>
        <v/>
      </c>
      <c r="K338">
        <f>IF($P338="","",INDEX(상세표[블록 07~18시],$P338))</f>
        <v/>
      </c>
      <c r="L338">
        <f>IF($P338="","",INDEX(상세표[블록 18~22시],$P338))</f>
        <v/>
      </c>
      <c r="M338">
        <f>IF($P338="","",INDEX(상세표[블록 22~06시],$P338))</f>
        <v/>
      </c>
      <c r="N338">
        <f>IF($P338="","",INDEX(상세표[주말·휴일 포함],$P338)&amp;"")</f>
        <v/>
      </c>
      <c r="O338">
        <f>IF($P338="","",INDEX(상세표[월 넘김 포함],$P338)&amp;"")</f>
        <v/>
      </c>
      <c r="P338" s="4">
        <f>IFERROR(MATCH(333,상세표[연속순번],0),"")</f>
        <v/>
      </c>
    </row>
    <row r="339">
      <c r="A339">
        <f>IF($P339="","",INDEX(상세표[사번],$P339)&amp;"")</f>
        <v/>
      </c>
      <c r="B339">
        <f>IF($P339="","",INDEX(상세표[성명],$P339)&amp;"")</f>
        <v/>
      </c>
      <c r="C339">
        <f>IF($P339="","",INDEX(상세표[부서],$P339)&amp;"")</f>
        <v/>
      </c>
      <c r="D339">
        <f>IF($P339="","",INDEX(상세표[직위],$P339)&amp;"")</f>
        <v/>
      </c>
      <c r="E339">
        <f>IF($P339="","",IF(ISNUMBER(INDEX(상세표[시작],$P339)),TEXT(INDEX(상세표[시작],$P339),"yyyy-mm-dd hh:mm"),INDEX(상세표[시작],$P339)&amp;""))</f>
        <v/>
      </c>
      <c r="F339">
        <f>IF($P339="","",IF(ISNUMBER(INDEX(상세표[블록종료],$P339)),TEXT(INDEX(상세표[블록종료],$P339),"yyyy-mm-dd hh:mm"),INDEX(상세표[블록종료],$P339)&amp;""))</f>
        <v/>
      </c>
      <c r="G339">
        <f>IF($P339="","",CHOOSE(WEEKDAY(INDEX(상세표[시작],$P339)),"일","월","화","수","목","금","토"))</f>
        <v/>
      </c>
      <c r="H339">
        <f>IF($P339="","",INDEX(상세표[연속 시간],$P339))</f>
        <v/>
      </c>
      <c r="I339">
        <f>IF($P339="","",INDEX(상세표[기록 수],$P339))</f>
        <v/>
      </c>
      <c r="J339">
        <f>IF($P339="","",INDEX(상세표[블록 06~07시],$P339))</f>
        <v/>
      </c>
      <c r="K339">
        <f>IF($P339="","",INDEX(상세표[블록 07~18시],$P339))</f>
        <v/>
      </c>
      <c r="L339">
        <f>IF($P339="","",INDEX(상세표[블록 18~22시],$P339))</f>
        <v/>
      </c>
      <c r="M339">
        <f>IF($P339="","",INDEX(상세표[블록 22~06시],$P339))</f>
        <v/>
      </c>
      <c r="N339">
        <f>IF($P339="","",INDEX(상세표[주말·휴일 포함],$P339)&amp;"")</f>
        <v/>
      </c>
      <c r="O339">
        <f>IF($P339="","",INDEX(상세표[월 넘김 포함],$P339)&amp;"")</f>
        <v/>
      </c>
      <c r="P339" s="4">
        <f>IFERROR(MATCH(334,상세표[연속순번],0),"")</f>
        <v/>
      </c>
    </row>
    <row r="340">
      <c r="A340">
        <f>IF($P340="","",INDEX(상세표[사번],$P340)&amp;"")</f>
        <v/>
      </c>
      <c r="B340">
        <f>IF($P340="","",INDEX(상세표[성명],$P340)&amp;"")</f>
        <v/>
      </c>
      <c r="C340">
        <f>IF($P340="","",INDEX(상세표[부서],$P340)&amp;"")</f>
        <v/>
      </c>
      <c r="D340">
        <f>IF($P340="","",INDEX(상세표[직위],$P340)&amp;"")</f>
        <v/>
      </c>
      <c r="E340">
        <f>IF($P340="","",IF(ISNUMBER(INDEX(상세표[시작],$P340)),TEXT(INDEX(상세표[시작],$P340),"yyyy-mm-dd hh:mm"),INDEX(상세표[시작],$P340)&amp;""))</f>
        <v/>
      </c>
      <c r="F340">
        <f>IF($P340="","",IF(ISNUMBER(INDEX(상세표[블록종료],$P340)),TEXT(INDEX(상세표[블록종료],$P340),"yyyy-mm-dd hh:mm"),INDEX(상세표[블록종료],$P340)&amp;""))</f>
        <v/>
      </c>
      <c r="G340">
        <f>IF($P340="","",CHOOSE(WEEKDAY(INDEX(상세표[시작],$P340)),"일","월","화","수","목","금","토"))</f>
        <v/>
      </c>
      <c r="H340">
        <f>IF($P340="","",INDEX(상세표[연속 시간],$P340))</f>
        <v/>
      </c>
      <c r="I340">
        <f>IF($P340="","",INDEX(상세표[기록 수],$P340))</f>
        <v/>
      </c>
      <c r="J340">
        <f>IF($P340="","",INDEX(상세표[블록 06~07시],$P340))</f>
        <v/>
      </c>
      <c r="K340">
        <f>IF($P340="","",INDEX(상세표[블록 07~18시],$P340))</f>
        <v/>
      </c>
      <c r="L340">
        <f>IF($P340="","",INDEX(상세표[블록 18~22시],$P340))</f>
        <v/>
      </c>
      <c r="M340">
        <f>IF($P340="","",INDEX(상세표[블록 22~06시],$P340))</f>
        <v/>
      </c>
      <c r="N340">
        <f>IF($P340="","",INDEX(상세표[주말·휴일 포함],$P340)&amp;"")</f>
        <v/>
      </c>
      <c r="O340">
        <f>IF($P340="","",INDEX(상세표[월 넘김 포함],$P340)&amp;"")</f>
        <v/>
      </c>
      <c r="P340" s="4">
        <f>IFERROR(MATCH(335,상세표[연속순번],0),"")</f>
        <v/>
      </c>
    </row>
    <row r="341">
      <c r="A341">
        <f>IF($P341="","",INDEX(상세표[사번],$P341)&amp;"")</f>
        <v/>
      </c>
      <c r="B341">
        <f>IF($P341="","",INDEX(상세표[성명],$P341)&amp;"")</f>
        <v/>
      </c>
      <c r="C341">
        <f>IF($P341="","",INDEX(상세표[부서],$P341)&amp;"")</f>
        <v/>
      </c>
      <c r="D341">
        <f>IF($P341="","",INDEX(상세표[직위],$P341)&amp;"")</f>
        <v/>
      </c>
      <c r="E341">
        <f>IF($P341="","",IF(ISNUMBER(INDEX(상세표[시작],$P341)),TEXT(INDEX(상세표[시작],$P341),"yyyy-mm-dd hh:mm"),INDEX(상세표[시작],$P341)&amp;""))</f>
        <v/>
      </c>
      <c r="F341">
        <f>IF($P341="","",IF(ISNUMBER(INDEX(상세표[블록종료],$P341)),TEXT(INDEX(상세표[블록종료],$P341),"yyyy-mm-dd hh:mm"),INDEX(상세표[블록종료],$P341)&amp;""))</f>
        <v/>
      </c>
      <c r="G341">
        <f>IF($P341="","",CHOOSE(WEEKDAY(INDEX(상세표[시작],$P341)),"일","월","화","수","목","금","토"))</f>
        <v/>
      </c>
      <c r="H341">
        <f>IF($P341="","",INDEX(상세표[연속 시간],$P341))</f>
        <v/>
      </c>
      <c r="I341">
        <f>IF($P341="","",INDEX(상세표[기록 수],$P341))</f>
        <v/>
      </c>
      <c r="J341">
        <f>IF($P341="","",INDEX(상세표[블록 06~07시],$P341))</f>
        <v/>
      </c>
      <c r="K341">
        <f>IF($P341="","",INDEX(상세표[블록 07~18시],$P341))</f>
        <v/>
      </c>
      <c r="L341">
        <f>IF($P341="","",INDEX(상세표[블록 18~22시],$P341))</f>
        <v/>
      </c>
      <c r="M341">
        <f>IF($P341="","",INDEX(상세표[블록 22~06시],$P341))</f>
        <v/>
      </c>
      <c r="N341">
        <f>IF($P341="","",INDEX(상세표[주말·휴일 포함],$P341)&amp;"")</f>
        <v/>
      </c>
      <c r="O341">
        <f>IF($P341="","",INDEX(상세표[월 넘김 포함],$P341)&amp;"")</f>
        <v/>
      </c>
      <c r="P341" s="4">
        <f>IFERROR(MATCH(336,상세표[연속순번],0),"")</f>
        <v/>
      </c>
    </row>
    <row r="342">
      <c r="A342">
        <f>IF($P342="","",INDEX(상세표[사번],$P342)&amp;"")</f>
        <v/>
      </c>
      <c r="B342">
        <f>IF($P342="","",INDEX(상세표[성명],$P342)&amp;"")</f>
        <v/>
      </c>
      <c r="C342">
        <f>IF($P342="","",INDEX(상세표[부서],$P342)&amp;"")</f>
        <v/>
      </c>
      <c r="D342">
        <f>IF($P342="","",INDEX(상세표[직위],$P342)&amp;"")</f>
        <v/>
      </c>
      <c r="E342">
        <f>IF($P342="","",IF(ISNUMBER(INDEX(상세표[시작],$P342)),TEXT(INDEX(상세표[시작],$P342),"yyyy-mm-dd hh:mm"),INDEX(상세표[시작],$P342)&amp;""))</f>
        <v/>
      </c>
      <c r="F342">
        <f>IF($P342="","",IF(ISNUMBER(INDEX(상세표[블록종료],$P342)),TEXT(INDEX(상세표[블록종료],$P342),"yyyy-mm-dd hh:mm"),INDEX(상세표[블록종료],$P342)&amp;""))</f>
        <v/>
      </c>
      <c r="G342">
        <f>IF($P342="","",CHOOSE(WEEKDAY(INDEX(상세표[시작],$P342)),"일","월","화","수","목","금","토"))</f>
        <v/>
      </c>
      <c r="H342">
        <f>IF($P342="","",INDEX(상세표[연속 시간],$P342))</f>
        <v/>
      </c>
      <c r="I342">
        <f>IF($P342="","",INDEX(상세표[기록 수],$P342))</f>
        <v/>
      </c>
      <c r="J342">
        <f>IF($P342="","",INDEX(상세표[블록 06~07시],$P342))</f>
        <v/>
      </c>
      <c r="K342">
        <f>IF($P342="","",INDEX(상세표[블록 07~18시],$P342))</f>
        <v/>
      </c>
      <c r="L342">
        <f>IF($P342="","",INDEX(상세표[블록 18~22시],$P342))</f>
        <v/>
      </c>
      <c r="M342">
        <f>IF($P342="","",INDEX(상세표[블록 22~06시],$P342))</f>
        <v/>
      </c>
      <c r="N342">
        <f>IF($P342="","",INDEX(상세표[주말·휴일 포함],$P342)&amp;"")</f>
        <v/>
      </c>
      <c r="O342">
        <f>IF($P342="","",INDEX(상세표[월 넘김 포함],$P342)&amp;"")</f>
        <v/>
      </c>
      <c r="P342" s="4">
        <f>IFERROR(MATCH(337,상세표[연속순번],0),"")</f>
        <v/>
      </c>
    </row>
    <row r="343">
      <c r="A343">
        <f>IF($P343="","",INDEX(상세표[사번],$P343)&amp;"")</f>
        <v/>
      </c>
      <c r="B343">
        <f>IF($P343="","",INDEX(상세표[성명],$P343)&amp;"")</f>
        <v/>
      </c>
      <c r="C343">
        <f>IF($P343="","",INDEX(상세표[부서],$P343)&amp;"")</f>
        <v/>
      </c>
      <c r="D343">
        <f>IF($P343="","",INDEX(상세표[직위],$P343)&amp;"")</f>
        <v/>
      </c>
      <c r="E343">
        <f>IF($P343="","",IF(ISNUMBER(INDEX(상세표[시작],$P343)),TEXT(INDEX(상세표[시작],$P343),"yyyy-mm-dd hh:mm"),INDEX(상세표[시작],$P343)&amp;""))</f>
        <v/>
      </c>
      <c r="F343">
        <f>IF($P343="","",IF(ISNUMBER(INDEX(상세표[블록종료],$P343)),TEXT(INDEX(상세표[블록종료],$P343),"yyyy-mm-dd hh:mm"),INDEX(상세표[블록종료],$P343)&amp;""))</f>
        <v/>
      </c>
      <c r="G343">
        <f>IF($P343="","",CHOOSE(WEEKDAY(INDEX(상세표[시작],$P343)),"일","월","화","수","목","금","토"))</f>
        <v/>
      </c>
      <c r="H343">
        <f>IF($P343="","",INDEX(상세표[연속 시간],$P343))</f>
        <v/>
      </c>
      <c r="I343">
        <f>IF($P343="","",INDEX(상세표[기록 수],$P343))</f>
        <v/>
      </c>
      <c r="J343">
        <f>IF($P343="","",INDEX(상세표[블록 06~07시],$P343))</f>
        <v/>
      </c>
      <c r="K343">
        <f>IF($P343="","",INDEX(상세표[블록 07~18시],$P343))</f>
        <v/>
      </c>
      <c r="L343">
        <f>IF($P343="","",INDEX(상세표[블록 18~22시],$P343))</f>
        <v/>
      </c>
      <c r="M343">
        <f>IF($P343="","",INDEX(상세표[블록 22~06시],$P343))</f>
        <v/>
      </c>
      <c r="N343">
        <f>IF($P343="","",INDEX(상세표[주말·휴일 포함],$P343)&amp;"")</f>
        <v/>
      </c>
      <c r="O343">
        <f>IF($P343="","",INDEX(상세표[월 넘김 포함],$P343)&amp;"")</f>
        <v/>
      </c>
      <c r="P343" s="4">
        <f>IFERROR(MATCH(338,상세표[연속순번],0),"")</f>
        <v/>
      </c>
    </row>
    <row r="344">
      <c r="A344">
        <f>IF($P344="","",INDEX(상세표[사번],$P344)&amp;"")</f>
        <v/>
      </c>
      <c r="B344">
        <f>IF($P344="","",INDEX(상세표[성명],$P344)&amp;"")</f>
        <v/>
      </c>
      <c r="C344">
        <f>IF($P344="","",INDEX(상세표[부서],$P344)&amp;"")</f>
        <v/>
      </c>
      <c r="D344">
        <f>IF($P344="","",INDEX(상세표[직위],$P344)&amp;"")</f>
        <v/>
      </c>
      <c r="E344">
        <f>IF($P344="","",IF(ISNUMBER(INDEX(상세표[시작],$P344)),TEXT(INDEX(상세표[시작],$P344),"yyyy-mm-dd hh:mm"),INDEX(상세표[시작],$P344)&amp;""))</f>
        <v/>
      </c>
      <c r="F344">
        <f>IF($P344="","",IF(ISNUMBER(INDEX(상세표[블록종료],$P344)),TEXT(INDEX(상세표[블록종료],$P344),"yyyy-mm-dd hh:mm"),INDEX(상세표[블록종료],$P344)&amp;""))</f>
        <v/>
      </c>
      <c r="G344">
        <f>IF($P344="","",CHOOSE(WEEKDAY(INDEX(상세표[시작],$P344)),"일","월","화","수","목","금","토"))</f>
        <v/>
      </c>
      <c r="H344">
        <f>IF($P344="","",INDEX(상세표[연속 시간],$P344))</f>
        <v/>
      </c>
      <c r="I344">
        <f>IF($P344="","",INDEX(상세표[기록 수],$P344))</f>
        <v/>
      </c>
      <c r="J344">
        <f>IF($P344="","",INDEX(상세표[블록 06~07시],$P344))</f>
        <v/>
      </c>
      <c r="K344">
        <f>IF($P344="","",INDEX(상세표[블록 07~18시],$P344))</f>
        <v/>
      </c>
      <c r="L344">
        <f>IF($P344="","",INDEX(상세표[블록 18~22시],$P344))</f>
        <v/>
      </c>
      <c r="M344">
        <f>IF($P344="","",INDEX(상세표[블록 22~06시],$P344))</f>
        <v/>
      </c>
      <c r="N344">
        <f>IF($P344="","",INDEX(상세표[주말·휴일 포함],$P344)&amp;"")</f>
        <v/>
      </c>
      <c r="O344">
        <f>IF($P344="","",INDEX(상세표[월 넘김 포함],$P344)&amp;"")</f>
        <v/>
      </c>
      <c r="P344" s="4">
        <f>IFERROR(MATCH(339,상세표[연속순번],0),"")</f>
        <v/>
      </c>
    </row>
    <row r="345">
      <c r="A345">
        <f>IF($P345="","",INDEX(상세표[사번],$P345)&amp;"")</f>
        <v/>
      </c>
      <c r="B345">
        <f>IF($P345="","",INDEX(상세표[성명],$P345)&amp;"")</f>
        <v/>
      </c>
      <c r="C345">
        <f>IF($P345="","",INDEX(상세표[부서],$P345)&amp;"")</f>
        <v/>
      </c>
      <c r="D345">
        <f>IF($P345="","",INDEX(상세표[직위],$P345)&amp;"")</f>
        <v/>
      </c>
      <c r="E345">
        <f>IF($P345="","",IF(ISNUMBER(INDEX(상세표[시작],$P345)),TEXT(INDEX(상세표[시작],$P345),"yyyy-mm-dd hh:mm"),INDEX(상세표[시작],$P345)&amp;""))</f>
        <v/>
      </c>
      <c r="F345">
        <f>IF($P345="","",IF(ISNUMBER(INDEX(상세표[블록종료],$P345)),TEXT(INDEX(상세표[블록종료],$P345),"yyyy-mm-dd hh:mm"),INDEX(상세표[블록종료],$P345)&amp;""))</f>
        <v/>
      </c>
      <c r="G345">
        <f>IF($P345="","",CHOOSE(WEEKDAY(INDEX(상세표[시작],$P345)),"일","월","화","수","목","금","토"))</f>
        <v/>
      </c>
      <c r="H345">
        <f>IF($P345="","",INDEX(상세표[연속 시간],$P345))</f>
        <v/>
      </c>
      <c r="I345">
        <f>IF($P345="","",INDEX(상세표[기록 수],$P345))</f>
        <v/>
      </c>
      <c r="J345">
        <f>IF($P345="","",INDEX(상세표[블록 06~07시],$P345))</f>
        <v/>
      </c>
      <c r="K345">
        <f>IF($P345="","",INDEX(상세표[블록 07~18시],$P345))</f>
        <v/>
      </c>
      <c r="L345">
        <f>IF($P345="","",INDEX(상세표[블록 18~22시],$P345))</f>
        <v/>
      </c>
      <c r="M345">
        <f>IF($P345="","",INDEX(상세표[블록 22~06시],$P345))</f>
        <v/>
      </c>
      <c r="N345">
        <f>IF($P345="","",INDEX(상세표[주말·휴일 포함],$P345)&amp;"")</f>
        <v/>
      </c>
      <c r="O345">
        <f>IF($P345="","",INDEX(상세표[월 넘김 포함],$P345)&amp;"")</f>
        <v/>
      </c>
      <c r="P345" s="4">
        <f>IFERROR(MATCH(340,상세표[연속순번],0),"")</f>
        <v/>
      </c>
    </row>
    <row r="346">
      <c r="A346">
        <f>IF($P346="","",INDEX(상세표[사번],$P346)&amp;"")</f>
        <v/>
      </c>
      <c r="B346">
        <f>IF($P346="","",INDEX(상세표[성명],$P346)&amp;"")</f>
        <v/>
      </c>
      <c r="C346">
        <f>IF($P346="","",INDEX(상세표[부서],$P346)&amp;"")</f>
        <v/>
      </c>
      <c r="D346">
        <f>IF($P346="","",INDEX(상세표[직위],$P346)&amp;"")</f>
        <v/>
      </c>
      <c r="E346">
        <f>IF($P346="","",IF(ISNUMBER(INDEX(상세표[시작],$P346)),TEXT(INDEX(상세표[시작],$P346),"yyyy-mm-dd hh:mm"),INDEX(상세표[시작],$P346)&amp;""))</f>
        <v/>
      </c>
      <c r="F346">
        <f>IF($P346="","",IF(ISNUMBER(INDEX(상세표[블록종료],$P346)),TEXT(INDEX(상세표[블록종료],$P346),"yyyy-mm-dd hh:mm"),INDEX(상세표[블록종료],$P346)&amp;""))</f>
        <v/>
      </c>
      <c r="G346">
        <f>IF($P346="","",CHOOSE(WEEKDAY(INDEX(상세표[시작],$P346)),"일","월","화","수","목","금","토"))</f>
        <v/>
      </c>
      <c r="H346">
        <f>IF($P346="","",INDEX(상세표[연속 시간],$P346))</f>
        <v/>
      </c>
      <c r="I346">
        <f>IF($P346="","",INDEX(상세표[기록 수],$P346))</f>
        <v/>
      </c>
      <c r="J346">
        <f>IF($P346="","",INDEX(상세표[블록 06~07시],$P346))</f>
        <v/>
      </c>
      <c r="K346">
        <f>IF($P346="","",INDEX(상세표[블록 07~18시],$P346))</f>
        <v/>
      </c>
      <c r="L346">
        <f>IF($P346="","",INDEX(상세표[블록 18~22시],$P346))</f>
        <v/>
      </c>
      <c r="M346">
        <f>IF($P346="","",INDEX(상세표[블록 22~06시],$P346))</f>
        <v/>
      </c>
      <c r="N346">
        <f>IF($P346="","",INDEX(상세표[주말·휴일 포함],$P346)&amp;"")</f>
        <v/>
      </c>
      <c r="O346">
        <f>IF($P346="","",INDEX(상세표[월 넘김 포함],$P346)&amp;"")</f>
        <v/>
      </c>
      <c r="P346" s="4">
        <f>IFERROR(MATCH(341,상세표[연속순번],0),"")</f>
        <v/>
      </c>
    </row>
    <row r="347">
      <c r="A347">
        <f>IF($P347="","",INDEX(상세표[사번],$P347)&amp;"")</f>
        <v/>
      </c>
      <c r="B347">
        <f>IF($P347="","",INDEX(상세표[성명],$P347)&amp;"")</f>
        <v/>
      </c>
      <c r="C347">
        <f>IF($P347="","",INDEX(상세표[부서],$P347)&amp;"")</f>
        <v/>
      </c>
      <c r="D347">
        <f>IF($P347="","",INDEX(상세표[직위],$P347)&amp;"")</f>
        <v/>
      </c>
      <c r="E347">
        <f>IF($P347="","",IF(ISNUMBER(INDEX(상세표[시작],$P347)),TEXT(INDEX(상세표[시작],$P347),"yyyy-mm-dd hh:mm"),INDEX(상세표[시작],$P347)&amp;""))</f>
        <v/>
      </c>
      <c r="F347">
        <f>IF($P347="","",IF(ISNUMBER(INDEX(상세표[블록종료],$P347)),TEXT(INDEX(상세표[블록종료],$P347),"yyyy-mm-dd hh:mm"),INDEX(상세표[블록종료],$P347)&amp;""))</f>
        <v/>
      </c>
      <c r="G347">
        <f>IF($P347="","",CHOOSE(WEEKDAY(INDEX(상세표[시작],$P347)),"일","월","화","수","목","금","토"))</f>
        <v/>
      </c>
      <c r="H347">
        <f>IF($P347="","",INDEX(상세표[연속 시간],$P347))</f>
        <v/>
      </c>
      <c r="I347">
        <f>IF($P347="","",INDEX(상세표[기록 수],$P347))</f>
        <v/>
      </c>
      <c r="J347">
        <f>IF($P347="","",INDEX(상세표[블록 06~07시],$P347))</f>
        <v/>
      </c>
      <c r="K347">
        <f>IF($P347="","",INDEX(상세표[블록 07~18시],$P347))</f>
        <v/>
      </c>
      <c r="L347">
        <f>IF($P347="","",INDEX(상세표[블록 18~22시],$P347))</f>
        <v/>
      </c>
      <c r="M347">
        <f>IF($P347="","",INDEX(상세표[블록 22~06시],$P347))</f>
        <v/>
      </c>
      <c r="N347">
        <f>IF($P347="","",INDEX(상세표[주말·휴일 포함],$P347)&amp;"")</f>
        <v/>
      </c>
      <c r="O347">
        <f>IF($P347="","",INDEX(상세표[월 넘김 포함],$P347)&amp;"")</f>
        <v/>
      </c>
      <c r="P347" s="4">
        <f>IFERROR(MATCH(342,상세표[연속순번],0),"")</f>
        <v/>
      </c>
    </row>
    <row r="348">
      <c r="A348">
        <f>IF($P348="","",INDEX(상세표[사번],$P348)&amp;"")</f>
        <v/>
      </c>
      <c r="B348">
        <f>IF($P348="","",INDEX(상세표[성명],$P348)&amp;"")</f>
        <v/>
      </c>
      <c r="C348">
        <f>IF($P348="","",INDEX(상세표[부서],$P348)&amp;"")</f>
        <v/>
      </c>
      <c r="D348">
        <f>IF($P348="","",INDEX(상세표[직위],$P348)&amp;"")</f>
        <v/>
      </c>
      <c r="E348">
        <f>IF($P348="","",IF(ISNUMBER(INDEX(상세표[시작],$P348)),TEXT(INDEX(상세표[시작],$P348),"yyyy-mm-dd hh:mm"),INDEX(상세표[시작],$P348)&amp;""))</f>
        <v/>
      </c>
      <c r="F348">
        <f>IF($P348="","",IF(ISNUMBER(INDEX(상세표[블록종료],$P348)),TEXT(INDEX(상세표[블록종료],$P348),"yyyy-mm-dd hh:mm"),INDEX(상세표[블록종료],$P348)&amp;""))</f>
        <v/>
      </c>
      <c r="G348">
        <f>IF($P348="","",CHOOSE(WEEKDAY(INDEX(상세표[시작],$P348)),"일","월","화","수","목","금","토"))</f>
        <v/>
      </c>
      <c r="H348">
        <f>IF($P348="","",INDEX(상세표[연속 시간],$P348))</f>
        <v/>
      </c>
      <c r="I348">
        <f>IF($P348="","",INDEX(상세표[기록 수],$P348))</f>
        <v/>
      </c>
      <c r="J348">
        <f>IF($P348="","",INDEX(상세표[블록 06~07시],$P348))</f>
        <v/>
      </c>
      <c r="K348">
        <f>IF($P348="","",INDEX(상세표[블록 07~18시],$P348))</f>
        <v/>
      </c>
      <c r="L348">
        <f>IF($P348="","",INDEX(상세표[블록 18~22시],$P348))</f>
        <v/>
      </c>
      <c r="M348">
        <f>IF($P348="","",INDEX(상세표[블록 22~06시],$P348))</f>
        <v/>
      </c>
      <c r="N348">
        <f>IF($P348="","",INDEX(상세표[주말·휴일 포함],$P348)&amp;"")</f>
        <v/>
      </c>
      <c r="O348">
        <f>IF($P348="","",INDEX(상세표[월 넘김 포함],$P348)&amp;"")</f>
        <v/>
      </c>
      <c r="P348" s="4">
        <f>IFERROR(MATCH(343,상세표[연속순번],0),"")</f>
        <v/>
      </c>
    </row>
    <row r="349">
      <c r="A349">
        <f>IF($P349="","",INDEX(상세표[사번],$P349)&amp;"")</f>
        <v/>
      </c>
      <c r="B349">
        <f>IF($P349="","",INDEX(상세표[성명],$P349)&amp;"")</f>
        <v/>
      </c>
      <c r="C349">
        <f>IF($P349="","",INDEX(상세표[부서],$P349)&amp;"")</f>
        <v/>
      </c>
      <c r="D349">
        <f>IF($P349="","",INDEX(상세표[직위],$P349)&amp;"")</f>
        <v/>
      </c>
      <c r="E349">
        <f>IF($P349="","",IF(ISNUMBER(INDEX(상세표[시작],$P349)),TEXT(INDEX(상세표[시작],$P349),"yyyy-mm-dd hh:mm"),INDEX(상세표[시작],$P349)&amp;""))</f>
        <v/>
      </c>
      <c r="F349">
        <f>IF($P349="","",IF(ISNUMBER(INDEX(상세표[블록종료],$P349)),TEXT(INDEX(상세표[블록종료],$P349),"yyyy-mm-dd hh:mm"),INDEX(상세표[블록종료],$P349)&amp;""))</f>
        <v/>
      </c>
      <c r="G349">
        <f>IF($P349="","",CHOOSE(WEEKDAY(INDEX(상세표[시작],$P349)),"일","월","화","수","목","금","토"))</f>
        <v/>
      </c>
      <c r="H349">
        <f>IF($P349="","",INDEX(상세표[연속 시간],$P349))</f>
        <v/>
      </c>
      <c r="I349">
        <f>IF($P349="","",INDEX(상세표[기록 수],$P349))</f>
        <v/>
      </c>
      <c r="J349">
        <f>IF($P349="","",INDEX(상세표[블록 06~07시],$P349))</f>
        <v/>
      </c>
      <c r="K349">
        <f>IF($P349="","",INDEX(상세표[블록 07~18시],$P349))</f>
        <v/>
      </c>
      <c r="L349">
        <f>IF($P349="","",INDEX(상세표[블록 18~22시],$P349))</f>
        <v/>
      </c>
      <c r="M349">
        <f>IF($P349="","",INDEX(상세표[블록 22~06시],$P349))</f>
        <v/>
      </c>
      <c r="N349">
        <f>IF($P349="","",INDEX(상세표[주말·휴일 포함],$P349)&amp;"")</f>
        <v/>
      </c>
      <c r="O349">
        <f>IF($P349="","",INDEX(상세표[월 넘김 포함],$P349)&amp;"")</f>
        <v/>
      </c>
      <c r="P349" s="4">
        <f>IFERROR(MATCH(344,상세표[연속순번],0),"")</f>
        <v/>
      </c>
    </row>
    <row r="350">
      <c r="A350">
        <f>IF($P350="","",INDEX(상세표[사번],$P350)&amp;"")</f>
        <v/>
      </c>
      <c r="B350">
        <f>IF($P350="","",INDEX(상세표[성명],$P350)&amp;"")</f>
        <v/>
      </c>
      <c r="C350">
        <f>IF($P350="","",INDEX(상세표[부서],$P350)&amp;"")</f>
        <v/>
      </c>
      <c r="D350">
        <f>IF($P350="","",INDEX(상세표[직위],$P350)&amp;"")</f>
        <v/>
      </c>
      <c r="E350">
        <f>IF($P350="","",IF(ISNUMBER(INDEX(상세표[시작],$P350)),TEXT(INDEX(상세표[시작],$P350),"yyyy-mm-dd hh:mm"),INDEX(상세표[시작],$P350)&amp;""))</f>
        <v/>
      </c>
      <c r="F350">
        <f>IF($P350="","",IF(ISNUMBER(INDEX(상세표[블록종료],$P350)),TEXT(INDEX(상세표[블록종료],$P350),"yyyy-mm-dd hh:mm"),INDEX(상세표[블록종료],$P350)&amp;""))</f>
        <v/>
      </c>
      <c r="G350">
        <f>IF($P350="","",CHOOSE(WEEKDAY(INDEX(상세표[시작],$P350)),"일","월","화","수","목","금","토"))</f>
        <v/>
      </c>
      <c r="H350">
        <f>IF($P350="","",INDEX(상세표[연속 시간],$P350))</f>
        <v/>
      </c>
      <c r="I350">
        <f>IF($P350="","",INDEX(상세표[기록 수],$P350))</f>
        <v/>
      </c>
      <c r="J350">
        <f>IF($P350="","",INDEX(상세표[블록 06~07시],$P350))</f>
        <v/>
      </c>
      <c r="K350">
        <f>IF($P350="","",INDEX(상세표[블록 07~18시],$P350))</f>
        <v/>
      </c>
      <c r="L350">
        <f>IF($P350="","",INDEX(상세표[블록 18~22시],$P350))</f>
        <v/>
      </c>
      <c r="M350">
        <f>IF($P350="","",INDEX(상세표[블록 22~06시],$P350))</f>
        <v/>
      </c>
      <c r="N350">
        <f>IF($P350="","",INDEX(상세표[주말·휴일 포함],$P350)&amp;"")</f>
        <v/>
      </c>
      <c r="O350">
        <f>IF($P350="","",INDEX(상세표[월 넘김 포함],$P350)&amp;"")</f>
        <v/>
      </c>
      <c r="P350" s="4">
        <f>IFERROR(MATCH(345,상세표[연속순번],0),"")</f>
        <v/>
      </c>
    </row>
    <row r="351">
      <c r="A351">
        <f>IF($P351="","",INDEX(상세표[사번],$P351)&amp;"")</f>
        <v/>
      </c>
      <c r="B351">
        <f>IF($P351="","",INDEX(상세표[성명],$P351)&amp;"")</f>
        <v/>
      </c>
      <c r="C351">
        <f>IF($P351="","",INDEX(상세표[부서],$P351)&amp;"")</f>
        <v/>
      </c>
      <c r="D351">
        <f>IF($P351="","",INDEX(상세표[직위],$P351)&amp;"")</f>
        <v/>
      </c>
      <c r="E351">
        <f>IF($P351="","",IF(ISNUMBER(INDEX(상세표[시작],$P351)),TEXT(INDEX(상세표[시작],$P351),"yyyy-mm-dd hh:mm"),INDEX(상세표[시작],$P351)&amp;""))</f>
        <v/>
      </c>
      <c r="F351">
        <f>IF($P351="","",IF(ISNUMBER(INDEX(상세표[블록종료],$P351)),TEXT(INDEX(상세표[블록종료],$P351),"yyyy-mm-dd hh:mm"),INDEX(상세표[블록종료],$P351)&amp;""))</f>
        <v/>
      </c>
      <c r="G351">
        <f>IF($P351="","",CHOOSE(WEEKDAY(INDEX(상세표[시작],$P351)),"일","월","화","수","목","금","토"))</f>
        <v/>
      </c>
      <c r="H351">
        <f>IF($P351="","",INDEX(상세표[연속 시간],$P351))</f>
        <v/>
      </c>
      <c r="I351">
        <f>IF($P351="","",INDEX(상세표[기록 수],$P351))</f>
        <v/>
      </c>
      <c r="J351">
        <f>IF($P351="","",INDEX(상세표[블록 06~07시],$P351))</f>
        <v/>
      </c>
      <c r="K351">
        <f>IF($P351="","",INDEX(상세표[블록 07~18시],$P351))</f>
        <v/>
      </c>
      <c r="L351">
        <f>IF($P351="","",INDEX(상세표[블록 18~22시],$P351))</f>
        <v/>
      </c>
      <c r="M351">
        <f>IF($P351="","",INDEX(상세표[블록 22~06시],$P351))</f>
        <v/>
      </c>
      <c r="N351">
        <f>IF($P351="","",INDEX(상세표[주말·휴일 포함],$P351)&amp;"")</f>
        <v/>
      </c>
      <c r="O351">
        <f>IF($P351="","",INDEX(상세표[월 넘김 포함],$P351)&amp;"")</f>
        <v/>
      </c>
      <c r="P351" s="4">
        <f>IFERROR(MATCH(346,상세표[연속순번],0),"")</f>
        <v/>
      </c>
    </row>
    <row r="352">
      <c r="A352">
        <f>IF($P352="","",INDEX(상세표[사번],$P352)&amp;"")</f>
        <v/>
      </c>
      <c r="B352">
        <f>IF($P352="","",INDEX(상세표[성명],$P352)&amp;"")</f>
        <v/>
      </c>
      <c r="C352">
        <f>IF($P352="","",INDEX(상세표[부서],$P352)&amp;"")</f>
        <v/>
      </c>
      <c r="D352">
        <f>IF($P352="","",INDEX(상세표[직위],$P352)&amp;"")</f>
        <v/>
      </c>
      <c r="E352">
        <f>IF($P352="","",IF(ISNUMBER(INDEX(상세표[시작],$P352)),TEXT(INDEX(상세표[시작],$P352),"yyyy-mm-dd hh:mm"),INDEX(상세표[시작],$P352)&amp;""))</f>
        <v/>
      </c>
      <c r="F352">
        <f>IF($P352="","",IF(ISNUMBER(INDEX(상세표[블록종료],$P352)),TEXT(INDEX(상세표[블록종료],$P352),"yyyy-mm-dd hh:mm"),INDEX(상세표[블록종료],$P352)&amp;""))</f>
        <v/>
      </c>
      <c r="G352">
        <f>IF($P352="","",CHOOSE(WEEKDAY(INDEX(상세표[시작],$P352)),"일","월","화","수","목","금","토"))</f>
        <v/>
      </c>
      <c r="H352">
        <f>IF($P352="","",INDEX(상세표[연속 시간],$P352))</f>
        <v/>
      </c>
      <c r="I352">
        <f>IF($P352="","",INDEX(상세표[기록 수],$P352))</f>
        <v/>
      </c>
      <c r="J352">
        <f>IF($P352="","",INDEX(상세표[블록 06~07시],$P352))</f>
        <v/>
      </c>
      <c r="K352">
        <f>IF($P352="","",INDEX(상세표[블록 07~18시],$P352))</f>
        <v/>
      </c>
      <c r="L352">
        <f>IF($P352="","",INDEX(상세표[블록 18~22시],$P352))</f>
        <v/>
      </c>
      <c r="M352">
        <f>IF($P352="","",INDEX(상세표[블록 22~06시],$P352))</f>
        <v/>
      </c>
      <c r="N352">
        <f>IF($P352="","",INDEX(상세표[주말·휴일 포함],$P352)&amp;"")</f>
        <v/>
      </c>
      <c r="O352">
        <f>IF($P352="","",INDEX(상세표[월 넘김 포함],$P352)&amp;"")</f>
        <v/>
      </c>
      <c r="P352" s="4">
        <f>IFERROR(MATCH(347,상세표[연속순번],0),"")</f>
        <v/>
      </c>
    </row>
    <row r="353">
      <c r="A353">
        <f>IF($P353="","",INDEX(상세표[사번],$P353)&amp;"")</f>
        <v/>
      </c>
      <c r="B353">
        <f>IF($P353="","",INDEX(상세표[성명],$P353)&amp;"")</f>
        <v/>
      </c>
      <c r="C353">
        <f>IF($P353="","",INDEX(상세표[부서],$P353)&amp;"")</f>
        <v/>
      </c>
      <c r="D353">
        <f>IF($P353="","",INDEX(상세표[직위],$P353)&amp;"")</f>
        <v/>
      </c>
      <c r="E353">
        <f>IF($P353="","",IF(ISNUMBER(INDEX(상세표[시작],$P353)),TEXT(INDEX(상세표[시작],$P353),"yyyy-mm-dd hh:mm"),INDEX(상세표[시작],$P353)&amp;""))</f>
        <v/>
      </c>
      <c r="F353">
        <f>IF($P353="","",IF(ISNUMBER(INDEX(상세표[블록종료],$P353)),TEXT(INDEX(상세표[블록종료],$P353),"yyyy-mm-dd hh:mm"),INDEX(상세표[블록종료],$P353)&amp;""))</f>
        <v/>
      </c>
      <c r="G353">
        <f>IF($P353="","",CHOOSE(WEEKDAY(INDEX(상세표[시작],$P353)),"일","월","화","수","목","금","토"))</f>
        <v/>
      </c>
      <c r="H353">
        <f>IF($P353="","",INDEX(상세표[연속 시간],$P353))</f>
        <v/>
      </c>
      <c r="I353">
        <f>IF($P353="","",INDEX(상세표[기록 수],$P353))</f>
        <v/>
      </c>
      <c r="J353">
        <f>IF($P353="","",INDEX(상세표[블록 06~07시],$P353))</f>
        <v/>
      </c>
      <c r="K353">
        <f>IF($P353="","",INDEX(상세표[블록 07~18시],$P353))</f>
        <v/>
      </c>
      <c r="L353">
        <f>IF($P353="","",INDEX(상세표[블록 18~22시],$P353))</f>
        <v/>
      </c>
      <c r="M353">
        <f>IF($P353="","",INDEX(상세표[블록 22~06시],$P353))</f>
        <v/>
      </c>
      <c r="N353">
        <f>IF($P353="","",INDEX(상세표[주말·휴일 포함],$P353)&amp;"")</f>
        <v/>
      </c>
      <c r="O353">
        <f>IF($P353="","",INDEX(상세표[월 넘김 포함],$P353)&amp;"")</f>
        <v/>
      </c>
      <c r="P353" s="4">
        <f>IFERROR(MATCH(348,상세표[연속순번],0),"")</f>
        <v/>
      </c>
    </row>
    <row r="354">
      <c r="A354">
        <f>IF($P354="","",INDEX(상세표[사번],$P354)&amp;"")</f>
        <v/>
      </c>
      <c r="B354">
        <f>IF($P354="","",INDEX(상세표[성명],$P354)&amp;"")</f>
        <v/>
      </c>
      <c r="C354">
        <f>IF($P354="","",INDEX(상세표[부서],$P354)&amp;"")</f>
        <v/>
      </c>
      <c r="D354">
        <f>IF($P354="","",INDEX(상세표[직위],$P354)&amp;"")</f>
        <v/>
      </c>
      <c r="E354">
        <f>IF($P354="","",IF(ISNUMBER(INDEX(상세표[시작],$P354)),TEXT(INDEX(상세표[시작],$P354),"yyyy-mm-dd hh:mm"),INDEX(상세표[시작],$P354)&amp;""))</f>
        <v/>
      </c>
      <c r="F354">
        <f>IF($P354="","",IF(ISNUMBER(INDEX(상세표[블록종료],$P354)),TEXT(INDEX(상세표[블록종료],$P354),"yyyy-mm-dd hh:mm"),INDEX(상세표[블록종료],$P354)&amp;""))</f>
        <v/>
      </c>
      <c r="G354">
        <f>IF($P354="","",CHOOSE(WEEKDAY(INDEX(상세표[시작],$P354)),"일","월","화","수","목","금","토"))</f>
        <v/>
      </c>
      <c r="H354">
        <f>IF($P354="","",INDEX(상세표[연속 시간],$P354))</f>
        <v/>
      </c>
      <c r="I354">
        <f>IF($P354="","",INDEX(상세표[기록 수],$P354))</f>
        <v/>
      </c>
      <c r="J354">
        <f>IF($P354="","",INDEX(상세표[블록 06~07시],$P354))</f>
        <v/>
      </c>
      <c r="K354">
        <f>IF($P354="","",INDEX(상세표[블록 07~18시],$P354))</f>
        <v/>
      </c>
      <c r="L354">
        <f>IF($P354="","",INDEX(상세표[블록 18~22시],$P354))</f>
        <v/>
      </c>
      <c r="M354">
        <f>IF($P354="","",INDEX(상세표[블록 22~06시],$P354))</f>
        <v/>
      </c>
      <c r="N354">
        <f>IF($P354="","",INDEX(상세표[주말·휴일 포함],$P354)&amp;"")</f>
        <v/>
      </c>
      <c r="O354">
        <f>IF($P354="","",INDEX(상세표[월 넘김 포함],$P354)&amp;"")</f>
        <v/>
      </c>
      <c r="P354" s="4">
        <f>IFERROR(MATCH(349,상세표[연속순번],0),"")</f>
        <v/>
      </c>
    </row>
    <row r="355">
      <c r="A355">
        <f>IF($P355="","",INDEX(상세표[사번],$P355)&amp;"")</f>
        <v/>
      </c>
      <c r="B355">
        <f>IF($P355="","",INDEX(상세표[성명],$P355)&amp;"")</f>
        <v/>
      </c>
      <c r="C355">
        <f>IF($P355="","",INDEX(상세표[부서],$P355)&amp;"")</f>
        <v/>
      </c>
      <c r="D355">
        <f>IF($P355="","",INDEX(상세표[직위],$P355)&amp;"")</f>
        <v/>
      </c>
      <c r="E355">
        <f>IF($P355="","",IF(ISNUMBER(INDEX(상세표[시작],$P355)),TEXT(INDEX(상세표[시작],$P355),"yyyy-mm-dd hh:mm"),INDEX(상세표[시작],$P355)&amp;""))</f>
        <v/>
      </c>
      <c r="F355">
        <f>IF($P355="","",IF(ISNUMBER(INDEX(상세표[블록종료],$P355)),TEXT(INDEX(상세표[블록종료],$P355),"yyyy-mm-dd hh:mm"),INDEX(상세표[블록종료],$P355)&amp;""))</f>
        <v/>
      </c>
      <c r="G355">
        <f>IF($P355="","",CHOOSE(WEEKDAY(INDEX(상세표[시작],$P355)),"일","월","화","수","목","금","토"))</f>
        <v/>
      </c>
      <c r="H355">
        <f>IF($P355="","",INDEX(상세표[연속 시간],$P355))</f>
        <v/>
      </c>
      <c r="I355">
        <f>IF($P355="","",INDEX(상세표[기록 수],$P355))</f>
        <v/>
      </c>
      <c r="J355">
        <f>IF($P355="","",INDEX(상세표[블록 06~07시],$P355))</f>
        <v/>
      </c>
      <c r="K355">
        <f>IF($P355="","",INDEX(상세표[블록 07~18시],$P355))</f>
        <v/>
      </c>
      <c r="L355">
        <f>IF($P355="","",INDEX(상세표[블록 18~22시],$P355))</f>
        <v/>
      </c>
      <c r="M355">
        <f>IF($P355="","",INDEX(상세표[블록 22~06시],$P355))</f>
        <v/>
      </c>
      <c r="N355">
        <f>IF($P355="","",INDEX(상세표[주말·휴일 포함],$P355)&amp;"")</f>
        <v/>
      </c>
      <c r="O355">
        <f>IF($P355="","",INDEX(상세표[월 넘김 포함],$P355)&amp;"")</f>
        <v/>
      </c>
      <c r="P355" s="4">
        <f>IFERROR(MATCH(350,상세표[연속순번],0),"")</f>
        <v/>
      </c>
    </row>
    <row r="356">
      <c r="A356">
        <f>IF($P356="","",INDEX(상세표[사번],$P356)&amp;"")</f>
        <v/>
      </c>
      <c r="B356">
        <f>IF($P356="","",INDEX(상세표[성명],$P356)&amp;"")</f>
        <v/>
      </c>
      <c r="C356">
        <f>IF($P356="","",INDEX(상세표[부서],$P356)&amp;"")</f>
        <v/>
      </c>
      <c r="D356">
        <f>IF($P356="","",INDEX(상세표[직위],$P356)&amp;"")</f>
        <v/>
      </c>
      <c r="E356">
        <f>IF($P356="","",IF(ISNUMBER(INDEX(상세표[시작],$P356)),TEXT(INDEX(상세표[시작],$P356),"yyyy-mm-dd hh:mm"),INDEX(상세표[시작],$P356)&amp;""))</f>
        <v/>
      </c>
      <c r="F356">
        <f>IF($P356="","",IF(ISNUMBER(INDEX(상세표[블록종료],$P356)),TEXT(INDEX(상세표[블록종료],$P356),"yyyy-mm-dd hh:mm"),INDEX(상세표[블록종료],$P356)&amp;""))</f>
        <v/>
      </c>
      <c r="G356">
        <f>IF($P356="","",CHOOSE(WEEKDAY(INDEX(상세표[시작],$P356)),"일","월","화","수","목","금","토"))</f>
        <v/>
      </c>
      <c r="H356">
        <f>IF($P356="","",INDEX(상세표[연속 시간],$P356))</f>
        <v/>
      </c>
      <c r="I356">
        <f>IF($P356="","",INDEX(상세표[기록 수],$P356))</f>
        <v/>
      </c>
      <c r="J356">
        <f>IF($P356="","",INDEX(상세표[블록 06~07시],$P356))</f>
        <v/>
      </c>
      <c r="K356">
        <f>IF($P356="","",INDEX(상세표[블록 07~18시],$P356))</f>
        <v/>
      </c>
      <c r="L356">
        <f>IF($P356="","",INDEX(상세표[블록 18~22시],$P356))</f>
        <v/>
      </c>
      <c r="M356">
        <f>IF($P356="","",INDEX(상세표[블록 22~06시],$P356))</f>
        <v/>
      </c>
      <c r="N356">
        <f>IF($P356="","",INDEX(상세표[주말·휴일 포함],$P356)&amp;"")</f>
        <v/>
      </c>
      <c r="O356">
        <f>IF($P356="","",INDEX(상세표[월 넘김 포함],$P356)&amp;"")</f>
        <v/>
      </c>
      <c r="P356" s="4">
        <f>IFERROR(MATCH(351,상세표[연속순번],0),"")</f>
        <v/>
      </c>
    </row>
    <row r="357">
      <c r="A357">
        <f>IF($P357="","",INDEX(상세표[사번],$P357)&amp;"")</f>
        <v/>
      </c>
      <c r="B357">
        <f>IF($P357="","",INDEX(상세표[성명],$P357)&amp;"")</f>
        <v/>
      </c>
      <c r="C357">
        <f>IF($P357="","",INDEX(상세표[부서],$P357)&amp;"")</f>
        <v/>
      </c>
      <c r="D357">
        <f>IF($P357="","",INDEX(상세표[직위],$P357)&amp;"")</f>
        <v/>
      </c>
      <c r="E357">
        <f>IF($P357="","",IF(ISNUMBER(INDEX(상세표[시작],$P357)),TEXT(INDEX(상세표[시작],$P357),"yyyy-mm-dd hh:mm"),INDEX(상세표[시작],$P357)&amp;""))</f>
        <v/>
      </c>
      <c r="F357">
        <f>IF($P357="","",IF(ISNUMBER(INDEX(상세표[블록종료],$P357)),TEXT(INDEX(상세표[블록종료],$P357),"yyyy-mm-dd hh:mm"),INDEX(상세표[블록종료],$P357)&amp;""))</f>
        <v/>
      </c>
      <c r="G357">
        <f>IF($P357="","",CHOOSE(WEEKDAY(INDEX(상세표[시작],$P357)),"일","월","화","수","목","금","토"))</f>
        <v/>
      </c>
      <c r="H357">
        <f>IF($P357="","",INDEX(상세표[연속 시간],$P357))</f>
        <v/>
      </c>
      <c r="I357">
        <f>IF($P357="","",INDEX(상세표[기록 수],$P357))</f>
        <v/>
      </c>
      <c r="J357">
        <f>IF($P357="","",INDEX(상세표[블록 06~07시],$P357))</f>
        <v/>
      </c>
      <c r="K357">
        <f>IF($P357="","",INDEX(상세표[블록 07~18시],$P357))</f>
        <v/>
      </c>
      <c r="L357">
        <f>IF($P357="","",INDEX(상세표[블록 18~22시],$P357))</f>
        <v/>
      </c>
      <c r="M357">
        <f>IF($P357="","",INDEX(상세표[블록 22~06시],$P357))</f>
        <v/>
      </c>
      <c r="N357">
        <f>IF($P357="","",INDEX(상세표[주말·휴일 포함],$P357)&amp;"")</f>
        <v/>
      </c>
      <c r="O357">
        <f>IF($P357="","",INDEX(상세표[월 넘김 포함],$P357)&amp;"")</f>
        <v/>
      </c>
      <c r="P357" s="4">
        <f>IFERROR(MATCH(352,상세표[연속순번],0),"")</f>
        <v/>
      </c>
    </row>
    <row r="358">
      <c r="A358">
        <f>IF($P358="","",INDEX(상세표[사번],$P358)&amp;"")</f>
        <v/>
      </c>
      <c r="B358">
        <f>IF($P358="","",INDEX(상세표[성명],$P358)&amp;"")</f>
        <v/>
      </c>
      <c r="C358">
        <f>IF($P358="","",INDEX(상세표[부서],$P358)&amp;"")</f>
        <v/>
      </c>
      <c r="D358">
        <f>IF($P358="","",INDEX(상세표[직위],$P358)&amp;"")</f>
        <v/>
      </c>
      <c r="E358">
        <f>IF($P358="","",IF(ISNUMBER(INDEX(상세표[시작],$P358)),TEXT(INDEX(상세표[시작],$P358),"yyyy-mm-dd hh:mm"),INDEX(상세표[시작],$P358)&amp;""))</f>
        <v/>
      </c>
      <c r="F358">
        <f>IF($P358="","",IF(ISNUMBER(INDEX(상세표[블록종료],$P358)),TEXT(INDEX(상세표[블록종료],$P358),"yyyy-mm-dd hh:mm"),INDEX(상세표[블록종료],$P358)&amp;""))</f>
        <v/>
      </c>
      <c r="G358">
        <f>IF($P358="","",CHOOSE(WEEKDAY(INDEX(상세표[시작],$P358)),"일","월","화","수","목","금","토"))</f>
        <v/>
      </c>
      <c r="H358">
        <f>IF($P358="","",INDEX(상세표[연속 시간],$P358))</f>
        <v/>
      </c>
      <c r="I358">
        <f>IF($P358="","",INDEX(상세표[기록 수],$P358))</f>
        <v/>
      </c>
      <c r="J358">
        <f>IF($P358="","",INDEX(상세표[블록 06~07시],$P358))</f>
        <v/>
      </c>
      <c r="K358">
        <f>IF($P358="","",INDEX(상세표[블록 07~18시],$P358))</f>
        <v/>
      </c>
      <c r="L358">
        <f>IF($P358="","",INDEX(상세표[블록 18~22시],$P358))</f>
        <v/>
      </c>
      <c r="M358">
        <f>IF($P358="","",INDEX(상세표[블록 22~06시],$P358))</f>
        <v/>
      </c>
      <c r="N358">
        <f>IF($P358="","",INDEX(상세표[주말·휴일 포함],$P358)&amp;"")</f>
        <v/>
      </c>
      <c r="O358">
        <f>IF($P358="","",INDEX(상세표[월 넘김 포함],$P358)&amp;"")</f>
        <v/>
      </c>
      <c r="P358" s="4">
        <f>IFERROR(MATCH(353,상세표[연속순번],0),"")</f>
        <v/>
      </c>
    </row>
    <row r="359">
      <c r="A359">
        <f>IF($P359="","",INDEX(상세표[사번],$P359)&amp;"")</f>
        <v/>
      </c>
      <c r="B359">
        <f>IF($P359="","",INDEX(상세표[성명],$P359)&amp;"")</f>
        <v/>
      </c>
      <c r="C359">
        <f>IF($P359="","",INDEX(상세표[부서],$P359)&amp;"")</f>
        <v/>
      </c>
      <c r="D359">
        <f>IF($P359="","",INDEX(상세표[직위],$P359)&amp;"")</f>
        <v/>
      </c>
      <c r="E359">
        <f>IF($P359="","",IF(ISNUMBER(INDEX(상세표[시작],$P359)),TEXT(INDEX(상세표[시작],$P359),"yyyy-mm-dd hh:mm"),INDEX(상세표[시작],$P359)&amp;""))</f>
        <v/>
      </c>
      <c r="F359">
        <f>IF($P359="","",IF(ISNUMBER(INDEX(상세표[블록종료],$P359)),TEXT(INDEX(상세표[블록종료],$P359),"yyyy-mm-dd hh:mm"),INDEX(상세표[블록종료],$P359)&amp;""))</f>
        <v/>
      </c>
      <c r="G359">
        <f>IF($P359="","",CHOOSE(WEEKDAY(INDEX(상세표[시작],$P359)),"일","월","화","수","목","금","토"))</f>
        <v/>
      </c>
      <c r="H359">
        <f>IF($P359="","",INDEX(상세표[연속 시간],$P359))</f>
        <v/>
      </c>
      <c r="I359">
        <f>IF($P359="","",INDEX(상세표[기록 수],$P359))</f>
        <v/>
      </c>
      <c r="J359">
        <f>IF($P359="","",INDEX(상세표[블록 06~07시],$P359))</f>
        <v/>
      </c>
      <c r="K359">
        <f>IF($P359="","",INDEX(상세표[블록 07~18시],$P359))</f>
        <v/>
      </c>
      <c r="L359">
        <f>IF($P359="","",INDEX(상세표[블록 18~22시],$P359))</f>
        <v/>
      </c>
      <c r="M359">
        <f>IF($P359="","",INDEX(상세표[블록 22~06시],$P359))</f>
        <v/>
      </c>
      <c r="N359">
        <f>IF($P359="","",INDEX(상세표[주말·휴일 포함],$P359)&amp;"")</f>
        <v/>
      </c>
      <c r="O359">
        <f>IF($P359="","",INDEX(상세표[월 넘김 포함],$P359)&amp;"")</f>
        <v/>
      </c>
      <c r="P359" s="4">
        <f>IFERROR(MATCH(354,상세표[연속순번],0),"")</f>
        <v/>
      </c>
    </row>
    <row r="360">
      <c r="A360">
        <f>IF($P360="","",INDEX(상세표[사번],$P360)&amp;"")</f>
        <v/>
      </c>
      <c r="B360">
        <f>IF($P360="","",INDEX(상세표[성명],$P360)&amp;"")</f>
        <v/>
      </c>
      <c r="C360">
        <f>IF($P360="","",INDEX(상세표[부서],$P360)&amp;"")</f>
        <v/>
      </c>
      <c r="D360">
        <f>IF($P360="","",INDEX(상세표[직위],$P360)&amp;"")</f>
        <v/>
      </c>
      <c r="E360">
        <f>IF($P360="","",IF(ISNUMBER(INDEX(상세표[시작],$P360)),TEXT(INDEX(상세표[시작],$P360),"yyyy-mm-dd hh:mm"),INDEX(상세표[시작],$P360)&amp;""))</f>
        <v/>
      </c>
      <c r="F360">
        <f>IF($P360="","",IF(ISNUMBER(INDEX(상세표[블록종료],$P360)),TEXT(INDEX(상세표[블록종료],$P360),"yyyy-mm-dd hh:mm"),INDEX(상세표[블록종료],$P360)&amp;""))</f>
        <v/>
      </c>
      <c r="G360">
        <f>IF($P360="","",CHOOSE(WEEKDAY(INDEX(상세표[시작],$P360)),"일","월","화","수","목","금","토"))</f>
        <v/>
      </c>
      <c r="H360">
        <f>IF($P360="","",INDEX(상세표[연속 시간],$P360))</f>
        <v/>
      </c>
      <c r="I360">
        <f>IF($P360="","",INDEX(상세표[기록 수],$P360))</f>
        <v/>
      </c>
      <c r="J360">
        <f>IF($P360="","",INDEX(상세표[블록 06~07시],$P360))</f>
        <v/>
      </c>
      <c r="K360">
        <f>IF($P360="","",INDEX(상세표[블록 07~18시],$P360))</f>
        <v/>
      </c>
      <c r="L360">
        <f>IF($P360="","",INDEX(상세표[블록 18~22시],$P360))</f>
        <v/>
      </c>
      <c r="M360">
        <f>IF($P360="","",INDEX(상세표[블록 22~06시],$P360))</f>
        <v/>
      </c>
      <c r="N360">
        <f>IF($P360="","",INDEX(상세표[주말·휴일 포함],$P360)&amp;"")</f>
        <v/>
      </c>
      <c r="O360">
        <f>IF($P360="","",INDEX(상세표[월 넘김 포함],$P360)&amp;"")</f>
        <v/>
      </c>
      <c r="P360" s="4">
        <f>IFERROR(MATCH(355,상세표[연속순번],0),"")</f>
        <v/>
      </c>
    </row>
    <row r="361">
      <c r="A361">
        <f>IF($P361="","",INDEX(상세표[사번],$P361)&amp;"")</f>
        <v/>
      </c>
      <c r="B361">
        <f>IF($P361="","",INDEX(상세표[성명],$P361)&amp;"")</f>
        <v/>
      </c>
      <c r="C361">
        <f>IF($P361="","",INDEX(상세표[부서],$P361)&amp;"")</f>
        <v/>
      </c>
      <c r="D361">
        <f>IF($P361="","",INDEX(상세표[직위],$P361)&amp;"")</f>
        <v/>
      </c>
      <c r="E361">
        <f>IF($P361="","",IF(ISNUMBER(INDEX(상세표[시작],$P361)),TEXT(INDEX(상세표[시작],$P361),"yyyy-mm-dd hh:mm"),INDEX(상세표[시작],$P361)&amp;""))</f>
        <v/>
      </c>
      <c r="F361">
        <f>IF($P361="","",IF(ISNUMBER(INDEX(상세표[블록종료],$P361)),TEXT(INDEX(상세표[블록종료],$P361),"yyyy-mm-dd hh:mm"),INDEX(상세표[블록종료],$P361)&amp;""))</f>
        <v/>
      </c>
      <c r="G361">
        <f>IF($P361="","",CHOOSE(WEEKDAY(INDEX(상세표[시작],$P361)),"일","월","화","수","목","금","토"))</f>
        <v/>
      </c>
      <c r="H361">
        <f>IF($P361="","",INDEX(상세표[연속 시간],$P361))</f>
        <v/>
      </c>
      <c r="I361">
        <f>IF($P361="","",INDEX(상세표[기록 수],$P361))</f>
        <v/>
      </c>
      <c r="J361">
        <f>IF($P361="","",INDEX(상세표[블록 06~07시],$P361))</f>
        <v/>
      </c>
      <c r="K361">
        <f>IF($P361="","",INDEX(상세표[블록 07~18시],$P361))</f>
        <v/>
      </c>
      <c r="L361">
        <f>IF($P361="","",INDEX(상세표[블록 18~22시],$P361))</f>
        <v/>
      </c>
      <c r="M361">
        <f>IF($P361="","",INDEX(상세표[블록 22~06시],$P361))</f>
        <v/>
      </c>
      <c r="N361">
        <f>IF($P361="","",INDEX(상세표[주말·휴일 포함],$P361)&amp;"")</f>
        <v/>
      </c>
      <c r="O361">
        <f>IF($P361="","",INDEX(상세표[월 넘김 포함],$P361)&amp;"")</f>
        <v/>
      </c>
      <c r="P361" s="4">
        <f>IFERROR(MATCH(356,상세표[연속순번],0),"")</f>
        <v/>
      </c>
    </row>
    <row r="362">
      <c r="A362">
        <f>IF($P362="","",INDEX(상세표[사번],$P362)&amp;"")</f>
        <v/>
      </c>
      <c r="B362">
        <f>IF($P362="","",INDEX(상세표[성명],$P362)&amp;"")</f>
        <v/>
      </c>
      <c r="C362">
        <f>IF($P362="","",INDEX(상세표[부서],$P362)&amp;"")</f>
        <v/>
      </c>
      <c r="D362">
        <f>IF($P362="","",INDEX(상세표[직위],$P362)&amp;"")</f>
        <v/>
      </c>
      <c r="E362">
        <f>IF($P362="","",IF(ISNUMBER(INDEX(상세표[시작],$P362)),TEXT(INDEX(상세표[시작],$P362),"yyyy-mm-dd hh:mm"),INDEX(상세표[시작],$P362)&amp;""))</f>
        <v/>
      </c>
      <c r="F362">
        <f>IF($P362="","",IF(ISNUMBER(INDEX(상세표[블록종료],$P362)),TEXT(INDEX(상세표[블록종료],$P362),"yyyy-mm-dd hh:mm"),INDEX(상세표[블록종료],$P362)&amp;""))</f>
        <v/>
      </c>
      <c r="G362">
        <f>IF($P362="","",CHOOSE(WEEKDAY(INDEX(상세표[시작],$P362)),"일","월","화","수","목","금","토"))</f>
        <v/>
      </c>
      <c r="H362">
        <f>IF($P362="","",INDEX(상세표[연속 시간],$P362))</f>
        <v/>
      </c>
      <c r="I362">
        <f>IF($P362="","",INDEX(상세표[기록 수],$P362))</f>
        <v/>
      </c>
      <c r="J362">
        <f>IF($P362="","",INDEX(상세표[블록 06~07시],$P362))</f>
        <v/>
      </c>
      <c r="K362">
        <f>IF($P362="","",INDEX(상세표[블록 07~18시],$P362))</f>
        <v/>
      </c>
      <c r="L362">
        <f>IF($P362="","",INDEX(상세표[블록 18~22시],$P362))</f>
        <v/>
      </c>
      <c r="M362">
        <f>IF($P362="","",INDEX(상세표[블록 22~06시],$P362))</f>
        <v/>
      </c>
      <c r="N362">
        <f>IF($P362="","",INDEX(상세표[주말·휴일 포함],$P362)&amp;"")</f>
        <v/>
      </c>
      <c r="O362">
        <f>IF($P362="","",INDEX(상세표[월 넘김 포함],$P362)&amp;"")</f>
        <v/>
      </c>
      <c r="P362" s="4">
        <f>IFERROR(MATCH(357,상세표[연속순번],0),"")</f>
        <v/>
      </c>
    </row>
    <row r="363">
      <c r="A363">
        <f>IF($P363="","",INDEX(상세표[사번],$P363)&amp;"")</f>
        <v/>
      </c>
      <c r="B363">
        <f>IF($P363="","",INDEX(상세표[성명],$P363)&amp;"")</f>
        <v/>
      </c>
      <c r="C363">
        <f>IF($P363="","",INDEX(상세표[부서],$P363)&amp;"")</f>
        <v/>
      </c>
      <c r="D363">
        <f>IF($P363="","",INDEX(상세표[직위],$P363)&amp;"")</f>
        <v/>
      </c>
      <c r="E363">
        <f>IF($P363="","",IF(ISNUMBER(INDEX(상세표[시작],$P363)),TEXT(INDEX(상세표[시작],$P363),"yyyy-mm-dd hh:mm"),INDEX(상세표[시작],$P363)&amp;""))</f>
        <v/>
      </c>
      <c r="F363">
        <f>IF($P363="","",IF(ISNUMBER(INDEX(상세표[블록종료],$P363)),TEXT(INDEX(상세표[블록종료],$P363),"yyyy-mm-dd hh:mm"),INDEX(상세표[블록종료],$P363)&amp;""))</f>
        <v/>
      </c>
      <c r="G363">
        <f>IF($P363="","",CHOOSE(WEEKDAY(INDEX(상세표[시작],$P363)),"일","월","화","수","목","금","토"))</f>
        <v/>
      </c>
      <c r="H363">
        <f>IF($P363="","",INDEX(상세표[연속 시간],$P363))</f>
        <v/>
      </c>
      <c r="I363">
        <f>IF($P363="","",INDEX(상세표[기록 수],$P363))</f>
        <v/>
      </c>
      <c r="J363">
        <f>IF($P363="","",INDEX(상세표[블록 06~07시],$P363))</f>
        <v/>
      </c>
      <c r="K363">
        <f>IF($P363="","",INDEX(상세표[블록 07~18시],$P363))</f>
        <v/>
      </c>
      <c r="L363">
        <f>IF($P363="","",INDEX(상세표[블록 18~22시],$P363))</f>
        <v/>
      </c>
      <c r="M363">
        <f>IF($P363="","",INDEX(상세표[블록 22~06시],$P363))</f>
        <v/>
      </c>
      <c r="N363">
        <f>IF($P363="","",INDEX(상세표[주말·휴일 포함],$P363)&amp;"")</f>
        <v/>
      </c>
      <c r="O363">
        <f>IF($P363="","",INDEX(상세표[월 넘김 포함],$P363)&amp;"")</f>
        <v/>
      </c>
      <c r="P363" s="4">
        <f>IFERROR(MATCH(358,상세표[연속순번],0),"")</f>
        <v/>
      </c>
    </row>
    <row r="364">
      <c r="A364">
        <f>IF($P364="","",INDEX(상세표[사번],$P364)&amp;"")</f>
        <v/>
      </c>
      <c r="B364">
        <f>IF($P364="","",INDEX(상세표[성명],$P364)&amp;"")</f>
        <v/>
      </c>
      <c r="C364">
        <f>IF($P364="","",INDEX(상세표[부서],$P364)&amp;"")</f>
        <v/>
      </c>
      <c r="D364">
        <f>IF($P364="","",INDEX(상세표[직위],$P364)&amp;"")</f>
        <v/>
      </c>
      <c r="E364">
        <f>IF($P364="","",IF(ISNUMBER(INDEX(상세표[시작],$P364)),TEXT(INDEX(상세표[시작],$P364),"yyyy-mm-dd hh:mm"),INDEX(상세표[시작],$P364)&amp;""))</f>
        <v/>
      </c>
      <c r="F364">
        <f>IF($P364="","",IF(ISNUMBER(INDEX(상세표[블록종료],$P364)),TEXT(INDEX(상세표[블록종료],$P364),"yyyy-mm-dd hh:mm"),INDEX(상세표[블록종료],$P364)&amp;""))</f>
        <v/>
      </c>
      <c r="G364">
        <f>IF($P364="","",CHOOSE(WEEKDAY(INDEX(상세표[시작],$P364)),"일","월","화","수","목","금","토"))</f>
        <v/>
      </c>
      <c r="H364">
        <f>IF($P364="","",INDEX(상세표[연속 시간],$P364))</f>
        <v/>
      </c>
      <c r="I364">
        <f>IF($P364="","",INDEX(상세표[기록 수],$P364))</f>
        <v/>
      </c>
      <c r="J364">
        <f>IF($P364="","",INDEX(상세표[블록 06~07시],$P364))</f>
        <v/>
      </c>
      <c r="K364">
        <f>IF($P364="","",INDEX(상세표[블록 07~18시],$P364))</f>
        <v/>
      </c>
      <c r="L364">
        <f>IF($P364="","",INDEX(상세표[블록 18~22시],$P364))</f>
        <v/>
      </c>
      <c r="M364">
        <f>IF($P364="","",INDEX(상세표[블록 22~06시],$P364))</f>
        <v/>
      </c>
      <c r="N364">
        <f>IF($P364="","",INDEX(상세표[주말·휴일 포함],$P364)&amp;"")</f>
        <v/>
      </c>
      <c r="O364">
        <f>IF($P364="","",INDEX(상세표[월 넘김 포함],$P364)&amp;"")</f>
        <v/>
      </c>
      <c r="P364" s="4">
        <f>IFERROR(MATCH(359,상세표[연속순번],0),"")</f>
        <v/>
      </c>
    </row>
    <row r="365">
      <c r="A365">
        <f>IF($P365="","",INDEX(상세표[사번],$P365)&amp;"")</f>
        <v/>
      </c>
      <c r="B365">
        <f>IF($P365="","",INDEX(상세표[성명],$P365)&amp;"")</f>
        <v/>
      </c>
      <c r="C365">
        <f>IF($P365="","",INDEX(상세표[부서],$P365)&amp;"")</f>
        <v/>
      </c>
      <c r="D365">
        <f>IF($P365="","",INDEX(상세표[직위],$P365)&amp;"")</f>
        <v/>
      </c>
      <c r="E365">
        <f>IF($P365="","",IF(ISNUMBER(INDEX(상세표[시작],$P365)),TEXT(INDEX(상세표[시작],$P365),"yyyy-mm-dd hh:mm"),INDEX(상세표[시작],$P365)&amp;""))</f>
        <v/>
      </c>
      <c r="F365">
        <f>IF($P365="","",IF(ISNUMBER(INDEX(상세표[블록종료],$P365)),TEXT(INDEX(상세표[블록종료],$P365),"yyyy-mm-dd hh:mm"),INDEX(상세표[블록종료],$P365)&amp;""))</f>
        <v/>
      </c>
      <c r="G365">
        <f>IF($P365="","",CHOOSE(WEEKDAY(INDEX(상세표[시작],$P365)),"일","월","화","수","목","금","토"))</f>
        <v/>
      </c>
      <c r="H365">
        <f>IF($P365="","",INDEX(상세표[연속 시간],$P365))</f>
        <v/>
      </c>
      <c r="I365">
        <f>IF($P365="","",INDEX(상세표[기록 수],$P365))</f>
        <v/>
      </c>
      <c r="J365">
        <f>IF($P365="","",INDEX(상세표[블록 06~07시],$P365))</f>
        <v/>
      </c>
      <c r="K365">
        <f>IF($P365="","",INDEX(상세표[블록 07~18시],$P365))</f>
        <v/>
      </c>
      <c r="L365">
        <f>IF($P365="","",INDEX(상세표[블록 18~22시],$P365))</f>
        <v/>
      </c>
      <c r="M365">
        <f>IF($P365="","",INDEX(상세표[블록 22~06시],$P365))</f>
        <v/>
      </c>
      <c r="N365">
        <f>IF($P365="","",INDEX(상세표[주말·휴일 포함],$P365)&amp;"")</f>
        <v/>
      </c>
      <c r="O365">
        <f>IF($P365="","",INDEX(상세표[월 넘김 포함],$P365)&amp;"")</f>
        <v/>
      </c>
      <c r="P365" s="4">
        <f>IFERROR(MATCH(360,상세표[연속순번],0),"")</f>
        <v/>
      </c>
    </row>
    <row r="366">
      <c r="A366">
        <f>IF($P366="","",INDEX(상세표[사번],$P366)&amp;"")</f>
        <v/>
      </c>
      <c r="B366">
        <f>IF($P366="","",INDEX(상세표[성명],$P366)&amp;"")</f>
        <v/>
      </c>
      <c r="C366">
        <f>IF($P366="","",INDEX(상세표[부서],$P366)&amp;"")</f>
        <v/>
      </c>
      <c r="D366">
        <f>IF($P366="","",INDEX(상세표[직위],$P366)&amp;"")</f>
        <v/>
      </c>
      <c r="E366">
        <f>IF($P366="","",IF(ISNUMBER(INDEX(상세표[시작],$P366)),TEXT(INDEX(상세표[시작],$P366),"yyyy-mm-dd hh:mm"),INDEX(상세표[시작],$P366)&amp;""))</f>
        <v/>
      </c>
      <c r="F366">
        <f>IF($P366="","",IF(ISNUMBER(INDEX(상세표[블록종료],$P366)),TEXT(INDEX(상세표[블록종료],$P366),"yyyy-mm-dd hh:mm"),INDEX(상세표[블록종료],$P366)&amp;""))</f>
        <v/>
      </c>
      <c r="G366">
        <f>IF($P366="","",CHOOSE(WEEKDAY(INDEX(상세표[시작],$P366)),"일","월","화","수","목","금","토"))</f>
        <v/>
      </c>
      <c r="H366">
        <f>IF($P366="","",INDEX(상세표[연속 시간],$P366))</f>
        <v/>
      </c>
      <c r="I366">
        <f>IF($P366="","",INDEX(상세표[기록 수],$P366))</f>
        <v/>
      </c>
      <c r="J366">
        <f>IF($P366="","",INDEX(상세표[블록 06~07시],$P366))</f>
        <v/>
      </c>
      <c r="K366">
        <f>IF($P366="","",INDEX(상세표[블록 07~18시],$P366))</f>
        <v/>
      </c>
      <c r="L366">
        <f>IF($P366="","",INDEX(상세표[블록 18~22시],$P366))</f>
        <v/>
      </c>
      <c r="M366">
        <f>IF($P366="","",INDEX(상세표[블록 22~06시],$P366))</f>
        <v/>
      </c>
      <c r="N366">
        <f>IF($P366="","",INDEX(상세표[주말·휴일 포함],$P366)&amp;"")</f>
        <v/>
      </c>
      <c r="O366">
        <f>IF($P366="","",INDEX(상세표[월 넘김 포함],$P366)&amp;"")</f>
        <v/>
      </c>
      <c r="P366" s="4">
        <f>IFERROR(MATCH(361,상세표[연속순번],0),"")</f>
        <v/>
      </c>
    </row>
    <row r="367">
      <c r="A367">
        <f>IF($P367="","",INDEX(상세표[사번],$P367)&amp;"")</f>
        <v/>
      </c>
      <c r="B367">
        <f>IF($P367="","",INDEX(상세표[성명],$P367)&amp;"")</f>
        <v/>
      </c>
      <c r="C367">
        <f>IF($P367="","",INDEX(상세표[부서],$P367)&amp;"")</f>
        <v/>
      </c>
      <c r="D367">
        <f>IF($P367="","",INDEX(상세표[직위],$P367)&amp;"")</f>
        <v/>
      </c>
      <c r="E367">
        <f>IF($P367="","",IF(ISNUMBER(INDEX(상세표[시작],$P367)),TEXT(INDEX(상세표[시작],$P367),"yyyy-mm-dd hh:mm"),INDEX(상세표[시작],$P367)&amp;""))</f>
        <v/>
      </c>
      <c r="F367">
        <f>IF($P367="","",IF(ISNUMBER(INDEX(상세표[블록종료],$P367)),TEXT(INDEX(상세표[블록종료],$P367),"yyyy-mm-dd hh:mm"),INDEX(상세표[블록종료],$P367)&amp;""))</f>
        <v/>
      </c>
      <c r="G367">
        <f>IF($P367="","",CHOOSE(WEEKDAY(INDEX(상세표[시작],$P367)),"일","월","화","수","목","금","토"))</f>
        <v/>
      </c>
      <c r="H367">
        <f>IF($P367="","",INDEX(상세표[연속 시간],$P367))</f>
        <v/>
      </c>
      <c r="I367">
        <f>IF($P367="","",INDEX(상세표[기록 수],$P367))</f>
        <v/>
      </c>
      <c r="J367">
        <f>IF($P367="","",INDEX(상세표[블록 06~07시],$P367))</f>
        <v/>
      </c>
      <c r="K367">
        <f>IF($P367="","",INDEX(상세표[블록 07~18시],$P367))</f>
        <v/>
      </c>
      <c r="L367">
        <f>IF($P367="","",INDEX(상세표[블록 18~22시],$P367))</f>
        <v/>
      </c>
      <c r="M367">
        <f>IF($P367="","",INDEX(상세표[블록 22~06시],$P367))</f>
        <v/>
      </c>
      <c r="N367">
        <f>IF($P367="","",INDEX(상세표[주말·휴일 포함],$P367)&amp;"")</f>
        <v/>
      </c>
      <c r="O367">
        <f>IF($P367="","",INDEX(상세표[월 넘김 포함],$P367)&amp;"")</f>
        <v/>
      </c>
      <c r="P367" s="4">
        <f>IFERROR(MATCH(362,상세표[연속순번],0),"")</f>
        <v/>
      </c>
    </row>
    <row r="368">
      <c r="A368">
        <f>IF($P368="","",INDEX(상세표[사번],$P368)&amp;"")</f>
        <v/>
      </c>
      <c r="B368">
        <f>IF($P368="","",INDEX(상세표[성명],$P368)&amp;"")</f>
        <v/>
      </c>
      <c r="C368">
        <f>IF($P368="","",INDEX(상세표[부서],$P368)&amp;"")</f>
        <v/>
      </c>
      <c r="D368">
        <f>IF($P368="","",INDEX(상세표[직위],$P368)&amp;"")</f>
        <v/>
      </c>
      <c r="E368">
        <f>IF($P368="","",IF(ISNUMBER(INDEX(상세표[시작],$P368)),TEXT(INDEX(상세표[시작],$P368),"yyyy-mm-dd hh:mm"),INDEX(상세표[시작],$P368)&amp;""))</f>
        <v/>
      </c>
      <c r="F368">
        <f>IF($P368="","",IF(ISNUMBER(INDEX(상세표[블록종료],$P368)),TEXT(INDEX(상세표[블록종료],$P368),"yyyy-mm-dd hh:mm"),INDEX(상세표[블록종료],$P368)&amp;""))</f>
        <v/>
      </c>
      <c r="G368">
        <f>IF($P368="","",CHOOSE(WEEKDAY(INDEX(상세표[시작],$P368)),"일","월","화","수","목","금","토"))</f>
        <v/>
      </c>
      <c r="H368">
        <f>IF($P368="","",INDEX(상세표[연속 시간],$P368))</f>
        <v/>
      </c>
      <c r="I368">
        <f>IF($P368="","",INDEX(상세표[기록 수],$P368))</f>
        <v/>
      </c>
      <c r="J368">
        <f>IF($P368="","",INDEX(상세표[블록 06~07시],$P368))</f>
        <v/>
      </c>
      <c r="K368">
        <f>IF($P368="","",INDEX(상세표[블록 07~18시],$P368))</f>
        <v/>
      </c>
      <c r="L368">
        <f>IF($P368="","",INDEX(상세표[블록 18~22시],$P368))</f>
        <v/>
      </c>
      <c r="M368">
        <f>IF($P368="","",INDEX(상세표[블록 22~06시],$P368))</f>
        <v/>
      </c>
      <c r="N368">
        <f>IF($P368="","",INDEX(상세표[주말·휴일 포함],$P368)&amp;"")</f>
        <v/>
      </c>
      <c r="O368">
        <f>IF($P368="","",INDEX(상세표[월 넘김 포함],$P368)&amp;"")</f>
        <v/>
      </c>
      <c r="P368" s="4">
        <f>IFERROR(MATCH(363,상세표[연속순번],0),"")</f>
        <v/>
      </c>
    </row>
    <row r="369">
      <c r="A369">
        <f>IF($P369="","",INDEX(상세표[사번],$P369)&amp;"")</f>
        <v/>
      </c>
      <c r="B369">
        <f>IF($P369="","",INDEX(상세표[성명],$P369)&amp;"")</f>
        <v/>
      </c>
      <c r="C369">
        <f>IF($P369="","",INDEX(상세표[부서],$P369)&amp;"")</f>
        <v/>
      </c>
      <c r="D369">
        <f>IF($P369="","",INDEX(상세표[직위],$P369)&amp;"")</f>
        <v/>
      </c>
      <c r="E369">
        <f>IF($P369="","",IF(ISNUMBER(INDEX(상세표[시작],$P369)),TEXT(INDEX(상세표[시작],$P369),"yyyy-mm-dd hh:mm"),INDEX(상세표[시작],$P369)&amp;""))</f>
        <v/>
      </c>
      <c r="F369">
        <f>IF($P369="","",IF(ISNUMBER(INDEX(상세표[블록종료],$P369)),TEXT(INDEX(상세표[블록종료],$P369),"yyyy-mm-dd hh:mm"),INDEX(상세표[블록종료],$P369)&amp;""))</f>
        <v/>
      </c>
      <c r="G369">
        <f>IF($P369="","",CHOOSE(WEEKDAY(INDEX(상세표[시작],$P369)),"일","월","화","수","목","금","토"))</f>
        <v/>
      </c>
      <c r="H369">
        <f>IF($P369="","",INDEX(상세표[연속 시간],$P369))</f>
        <v/>
      </c>
      <c r="I369">
        <f>IF($P369="","",INDEX(상세표[기록 수],$P369))</f>
        <v/>
      </c>
      <c r="J369">
        <f>IF($P369="","",INDEX(상세표[블록 06~07시],$P369))</f>
        <v/>
      </c>
      <c r="K369">
        <f>IF($P369="","",INDEX(상세표[블록 07~18시],$P369))</f>
        <v/>
      </c>
      <c r="L369">
        <f>IF($P369="","",INDEX(상세표[블록 18~22시],$P369))</f>
        <v/>
      </c>
      <c r="M369">
        <f>IF($P369="","",INDEX(상세표[블록 22~06시],$P369))</f>
        <v/>
      </c>
      <c r="N369">
        <f>IF($P369="","",INDEX(상세표[주말·휴일 포함],$P369)&amp;"")</f>
        <v/>
      </c>
      <c r="O369">
        <f>IF($P369="","",INDEX(상세표[월 넘김 포함],$P369)&amp;"")</f>
        <v/>
      </c>
      <c r="P369" s="4">
        <f>IFERROR(MATCH(364,상세표[연속순번],0),"")</f>
        <v/>
      </c>
    </row>
    <row r="370">
      <c r="A370">
        <f>IF($P370="","",INDEX(상세표[사번],$P370)&amp;"")</f>
        <v/>
      </c>
      <c r="B370">
        <f>IF($P370="","",INDEX(상세표[성명],$P370)&amp;"")</f>
        <v/>
      </c>
      <c r="C370">
        <f>IF($P370="","",INDEX(상세표[부서],$P370)&amp;"")</f>
        <v/>
      </c>
      <c r="D370">
        <f>IF($P370="","",INDEX(상세표[직위],$P370)&amp;"")</f>
        <v/>
      </c>
      <c r="E370">
        <f>IF($P370="","",IF(ISNUMBER(INDEX(상세표[시작],$P370)),TEXT(INDEX(상세표[시작],$P370),"yyyy-mm-dd hh:mm"),INDEX(상세표[시작],$P370)&amp;""))</f>
        <v/>
      </c>
      <c r="F370">
        <f>IF($P370="","",IF(ISNUMBER(INDEX(상세표[블록종료],$P370)),TEXT(INDEX(상세표[블록종료],$P370),"yyyy-mm-dd hh:mm"),INDEX(상세표[블록종료],$P370)&amp;""))</f>
        <v/>
      </c>
      <c r="G370">
        <f>IF($P370="","",CHOOSE(WEEKDAY(INDEX(상세표[시작],$P370)),"일","월","화","수","목","금","토"))</f>
        <v/>
      </c>
      <c r="H370">
        <f>IF($P370="","",INDEX(상세표[연속 시간],$P370))</f>
        <v/>
      </c>
      <c r="I370">
        <f>IF($P370="","",INDEX(상세표[기록 수],$P370))</f>
        <v/>
      </c>
      <c r="J370">
        <f>IF($P370="","",INDEX(상세표[블록 06~07시],$P370))</f>
        <v/>
      </c>
      <c r="K370">
        <f>IF($P370="","",INDEX(상세표[블록 07~18시],$P370))</f>
        <v/>
      </c>
      <c r="L370">
        <f>IF($P370="","",INDEX(상세표[블록 18~22시],$P370))</f>
        <v/>
      </c>
      <c r="M370">
        <f>IF($P370="","",INDEX(상세표[블록 22~06시],$P370))</f>
        <v/>
      </c>
      <c r="N370">
        <f>IF($P370="","",INDEX(상세표[주말·휴일 포함],$P370)&amp;"")</f>
        <v/>
      </c>
      <c r="O370">
        <f>IF($P370="","",INDEX(상세표[월 넘김 포함],$P370)&amp;"")</f>
        <v/>
      </c>
      <c r="P370" s="4">
        <f>IFERROR(MATCH(365,상세표[연속순번],0),"")</f>
        <v/>
      </c>
    </row>
    <row r="371">
      <c r="A371">
        <f>IF($P371="","",INDEX(상세표[사번],$P371)&amp;"")</f>
        <v/>
      </c>
      <c r="B371">
        <f>IF($P371="","",INDEX(상세표[성명],$P371)&amp;"")</f>
        <v/>
      </c>
      <c r="C371">
        <f>IF($P371="","",INDEX(상세표[부서],$P371)&amp;"")</f>
        <v/>
      </c>
      <c r="D371">
        <f>IF($P371="","",INDEX(상세표[직위],$P371)&amp;"")</f>
        <v/>
      </c>
      <c r="E371">
        <f>IF($P371="","",IF(ISNUMBER(INDEX(상세표[시작],$P371)),TEXT(INDEX(상세표[시작],$P371),"yyyy-mm-dd hh:mm"),INDEX(상세표[시작],$P371)&amp;""))</f>
        <v/>
      </c>
      <c r="F371">
        <f>IF($P371="","",IF(ISNUMBER(INDEX(상세표[블록종료],$P371)),TEXT(INDEX(상세표[블록종료],$P371),"yyyy-mm-dd hh:mm"),INDEX(상세표[블록종료],$P371)&amp;""))</f>
        <v/>
      </c>
      <c r="G371">
        <f>IF($P371="","",CHOOSE(WEEKDAY(INDEX(상세표[시작],$P371)),"일","월","화","수","목","금","토"))</f>
        <v/>
      </c>
      <c r="H371">
        <f>IF($P371="","",INDEX(상세표[연속 시간],$P371))</f>
        <v/>
      </c>
      <c r="I371">
        <f>IF($P371="","",INDEX(상세표[기록 수],$P371))</f>
        <v/>
      </c>
      <c r="J371">
        <f>IF($P371="","",INDEX(상세표[블록 06~07시],$P371))</f>
        <v/>
      </c>
      <c r="K371">
        <f>IF($P371="","",INDEX(상세표[블록 07~18시],$P371))</f>
        <v/>
      </c>
      <c r="L371">
        <f>IF($P371="","",INDEX(상세표[블록 18~22시],$P371))</f>
        <v/>
      </c>
      <c r="M371">
        <f>IF($P371="","",INDEX(상세표[블록 22~06시],$P371))</f>
        <v/>
      </c>
      <c r="N371">
        <f>IF($P371="","",INDEX(상세표[주말·휴일 포함],$P371)&amp;"")</f>
        <v/>
      </c>
      <c r="O371">
        <f>IF($P371="","",INDEX(상세표[월 넘김 포함],$P371)&amp;"")</f>
        <v/>
      </c>
      <c r="P371" s="4">
        <f>IFERROR(MATCH(366,상세표[연속순번],0),"")</f>
        <v/>
      </c>
    </row>
    <row r="372">
      <c r="A372">
        <f>IF($P372="","",INDEX(상세표[사번],$P372)&amp;"")</f>
        <v/>
      </c>
      <c r="B372">
        <f>IF($P372="","",INDEX(상세표[성명],$P372)&amp;"")</f>
        <v/>
      </c>
      <c r="C372">
        <f>IF($P372="","",INDEX(상세표[부서],$P372)&amp;"")</f>
        <v/>
      </c>
      <c r="D372">
        <f>IF($P372="","",INDEX(상세표[직위],$P372)&amp;"")</f>
        <v/>
      </c>
      <c r="E372">
        <f>IF($P372="","",IF(ISNUMBER(INDEX(상세표[시작],$P372)),TEXT(INDEX(상세표[시작],$P372),"yyyy-mm-dd hh:mm"),INDEX(상세표[시작],$P372)&amp;""))</f>
        <v/>
      </c>
      <c r="F372">
        <f>IF($P372="","",IF(ISNUMBER(INDEX(상세표[블록종료],$P372)),TEXT(INDEX(상세표[블록종료],$P372),"yyyy-mm-dd hh:mm"),INDEX(상세표[블록종료],$P372)&amp;""))</f>
        <v/>
      </c>
      <c r="G372">
        <f>IF($P372="","",CHOOSE(WEEKDAY(INDEX(상세표[시작],$P372)),"일","월","화","수","목","금","토"))</f>
        <v/>
      </c>
      <c r="H372">
        <f>IF($P372="","",INDEX(상세표[연속 시간],$P372))</f>
        <v/>
      </c>
      <c r="I372">
        <f>IF($P372="","",INDEX(상세표[기록 수],$P372))</f>
        <v/>
      </c>
      <c r="J372">
        <f>IF($P372="","",INDEX(상세표[블록 06~07시],$P372))</f>
        <v/>
      </c>
      <c r="K372">
        <f>IF($P372="","",INDEX(상세표[블록 07~18시],$P372))</f>
        <v/>
      </c>
      <c r="L372">
        <f>IF($P372="","",INDEX(상세표[블록 18~22시],$P372))</f>
        <v/>
      </c>
      <c r="M372">
        <f>IF($P372="","",INDEX(상세표[블록 22~06시],$P372))</f>
        <v/>
      </c>
      <c r="N372">
        <f>IF($P372="","",INDEX(상세표[주말·휴일 포함],$P372)&amp;"")</f>
        <v/>
      </c>
      <c r="O372">
        <f>IF($P372="","",INDEX(상세표[월 넘김 포함],$P372)&amp;"")</f>
        <v/>
      </c>
      <c r="P372" s="4">
        <f>IFERROR(MATCH(367,상세표[연속순번],0),"")</f>
        <v/>
      </c>
    </row>
    <row r="373">
      <c r="A373">
        <f>IF($P373="","",INDEX(상세표[사번],$P373)&amp;"")</f>
        <v/>
      </c>
      <c r="B373">
        <f>IF($P373="","",INDEX(상세표[성명],$P373)&amp;"")</f>
        <v/>
      </c>
      <c r="C373">
        <f>IF($P373="","",INDEX(상세표[부서],$P373)&amp;"")</f>
        <v/>
      </c>
      <c r="D373">
        <f>IF($P373="","",INDEX(상세표[직위],$P373)&amp;"")</f>
        <v/>
      </c>
      <c r="E373">
        <f>IF($P373="","",IF(ISNUMBER(INDEX(상세표[시작],$P373)),TEXT(INDEX(상세표[시작],$P373),"yyyy-mm-dd hh:mm"),INDEX(상세표[시작],$P373)&amp;""))</f>
        <v/>
      </c>
      <c r="F373">
        <f>IF($P373="","",IF(ISNUMBER(INDEX(상세표[블록종료],$P373)),TEXT(INDEX(상세표[블록종료],$P373),"yyyy-mm-dd hh:mm"),INDEX(상세표[블록종료],$P373)&amp;""))</f>
        <v/>
      </c>
      <c r="G373">
        <f>IF($P373="","",CHOOSE(WEEKDAY(INDEX(상세표[시작],$P373)),"일","월","화","수","목","금","토"))</f>
        <v/>
      </c>
      <c r="H373">
        <f>IF($P373="","",INDEX(상세표[연속 시간],$P373))</f>
        <v/>
      </c>
      <c r="I373">
        <f>IF($P373="","",INDEX(상세표[기록 수],$P373))</f>
        <v/>
      </c>
      <c r="J373">
        <f>IF($P373="","",INDEX(상세표[블록 06~07시],$P373))</f>
        <v/>
      </c>
      <c r="K373">
        <f>IF($P373="","",INDEX(상세표[블록 07~18시],$P373))</f>
        <v/>
      </c>
      <c r="L373">
        <f>IF($P373="","",INDEX(상세표[블록 18~22시],$P373))</f>
        <v/>
      </c>
      <c r="M373">
        <f>IF($P373="","",INDEX(상세표[블록 22~06시],$P373))</f>
        <v/>
      </c>
      <c r="N373">
        <f>IF($P373="","",INDEX(상세표[주말·휴일 포함],$P373)&amp;"")</f>
        <v/>
      </c>
      <c r="O373">
        <f>IF($P373="","",INDEX(상세표[월 넘김 포함],$P373)&amp;"")</f>
        <v/>
      </c>
      <c r="P373" s="4">
        <f>IFERROR(MATCH(368,상세표[연속순번],0),"")</f>
        <v/>
      </c>
    </row>
    <row r="374">
      <c r="A374">
        <f>IF($P374="","",INDEX(상세표[사번],$P374)&amp;"")</f>
        <v/>
      </c>
      <c r="B374">
        <f>IF($P374="","",INDEX(상세표[성명],$P374)&amp;"")</f>
        <v/>
      </c>
      <c r="C374">
        <f>IF($P374="","",INDEX(상세표[부서],$P374)&amp;"")</f>
        <v/>
      </c>
      <c r="D374">
        <f>IF($P374="","",INDEX(상세표[직위],$P374)&amp;"")</f>
        <v/>
      </c>
      <c r="E374">
        <f>IF($P374="","",IF(ISNUMBER(INDEX(상세표[시작],$P374)),TEXT(INDEX(상세표[시작],$P374),"yyyy-mm-dd hh:mm"),INDEX(상세표[시작],$P374)&amp;""))</f>
        <v/>
      </c>
      <c r="F374">
        <f>IF($P374="","",IF(ISNUMBER(INDEX(상세표[블록종료],$P374)),TEXT(INDEX(상세표[블록종료],$P374),"yyyy-mm-dd hh:mm"),INDEX(상세표[블록종료],$P374)&amp;""))</f>
        <v/>
      </c>
      <c r="G374">
        <f>IF($P374="","",CHOOSE(WEEKDAY(INDEX(상세표[시작],$P374)),"일","월","화","수","목","금","토"))</f>
        <v/>
      </c>
      <c r="H374">
        <f>IF($P374="","",INDEX(상세표[연속 시간],$P374))</f>
        <v/>
      </c>
      <c r="I374">
        <f>IF($P374="","",INDEX(상세표[기록 수],$P374))</f>
        <v/>
      </c>
      <c r="J374">
        <f>IF($P374="","",INDEX(상세표[블록 06~07시],$P374))</f>
        <v/>
      </c>
      <c r="K374">
        <f>IF($P374="","",INDEX(상세표[블록 07~18시],$P374))</f>
        <v/>
      </c>
      <c r="L374">
        <f>IF($P374="","",INDEX(상세표[블록 18~22시],$P374))</f>
        <v/>
      </c>
      <c r="M374">
        <f>IF($P374="","",INDEX(상세표[블록 22~06시],$P374))</f>
        <v/>
      </c>
      <c r="N374">
        <f>IF($P374="","",INDEX(상세표[주말·휴일 포함],$P374)&amp;"")</f>
        <v/>
      </c>
      <c r="O374">
        <f>IF($P374="","",INDEX(상세표[월 넘김 포함],$P374)&amp;"")</f>
        <v/>
      </c>
      <c r="P374" s="4">
        <f>IFERROR(MATCH(369,상세표[연속순번],0),"")</f>
        <v/>
      </c>
    </row>
    <row r="375">
      <c r="A375">
        <f>IF($P375="","",INDEX(상세표[사번],$P375)&amp;"")</f>
        <v/>
      </c>
      <c r="B375">
        <f>IF($P375="","",INDEX(상세표[성명],$P375)&amp;"")</f>
        <v/>
      </c>
      <c r="C375">
        <f>IF($P375="","",INDEX(상세표[부서],$P375)&amp;"")</f>
        <v/>
      </c>
      <c r="D375">
        <f>IF($P375="","",INDEX(상세표[직위],$P375)&amp;"")</f>
        <v/>
      </c>
      <c r="E375">
        <f>IF($P375="","",IF(ISNUMBER(INDEX(상세표[시작],$P375)),TEXT(INDEX(상세표[시작],$P375),"yyyy-mm-dd hh:mm"),INDEX(상세표[시작],$P375)&amp;""))</f>
        <v/>
      </c>
      <c r="F375">
        <f>IF($P375="","",IF(ISNUMBER(INDEX(상세표[블록종료],$P375)),TEXT(INDEX(상세표[블록종료],$P375),"yyyy-mm-dd hh:mm"),INDEX(상세표[블록종료],$P375)&amp;""))</f>
        <v/>
      </c>
      <c r="G375">
        <f>IF($P375="","",CHOOSE(WEEKDAY(INDEX(상세표[시작],$P375)),"일","월","화","수","목","금","토"))</f>
        <v/>
      </c>
      <c r="H375">
        <f>IF($P375="","",INDEX(상세표[연속 시간],$P375))</f>
        <v/>
      </c>
      <c r="I375">
        <f>IF($P375="","",INDEX(상세표[기록 수],$P375))</f>
        <v/>
      </c>
      <c r="J375">
        <f>IF($P375="","",INDEX(상세표[블록 06~07시],$P375))</f>
        <v/>
      </c>
      <c r="K375">
        <f>IF($P375="","",INDEX(상세표[블록 07~18시],$P375))</f>
        <v/>
      </c>
      <c r="L375">
        <f>IF($P375="","",INDEX(상세표[블록 18~22시],$P375))</f>
        <v/>
      </c>
      <c r="M375">
        <f>IF($P375="","",INDEX(상세표[블록 22~06시],$P375))</f>
        <v/>
      </c>
      <c r="N375">
        <f>IF($P375="","",INDEX(상세표[주말·휴일 포함],$P375)&amp;"")</f>
        <v/>
      </c>
      <c r="O375">
        <f>IF($P375="","",INDEX(상세표[월 넘김 포함],$P375)&amp;"")</f>
        <v/>
      </c>
      <c r="P375" s="4">
        <f>IFERROR(MATCH(370,상세표[연속순번],0),"")</f>
        <v/>
      </c>
    </row>
    <row r="376">
      <c r="A376">
        <f>IF($P376="","",INDEX(상세표[사번],$P376)&amp;"")</f>
        <v/>
      </c>
      <c r="B376">
        <f>IF($P376="","",INDEX(상세표[성명],$P376)&amp;"")</f>
        <v/>
      </c>
      <c r="C376">
        <f>IF($P376="","",INDEX(상세표[부서],$P376)&amp;"")</f>
        <v/>
      </c>
      <c r="D376">
        <f>IF($P376="","",INDEX(상세표[직위],$P376)&amp;"")</f>
        <v/>
      </c>
      <c r="E376">
        <f>IF($P376="","",IF(ISNUMBER(INDEX(상세표[시작],$P376)),TEXT(INDEX(상세표[시작],$P376),"yyyy-mm-dd hh:mm"),INDEX(상세표[시작],$P376)&amp;""))</f>
        <v/>
      </c>
      <c r="F376">
        <f>IF($P376="","",IF(ISNUMBER(INDEX(상세표[블록종료],$P376)),TEXT(INDEX(상세표[블록종료],$P376),"yyyy-mm-dd hh:mm"),INDEX(상세표[블록종료],$P376)&amp;""))</f>
        <v/>
      </c>
      <c r="G376">
        <f>IF($P376="","",CHOOSE(WEEKDAY(INDEX(상세표[시작],$P376)),"일","월","화","수","목","금","토"))</f>
        <v/>
      </c>
      <c r="H376">
        <f>IF($P376="","",INDEX(상세표[연속 시간],$P376))</f>
        <v/>
      </c>
      <c r="I376">
        <f>IF($P376="","",INDEX(상세표[기록 수],$P376))</f>
        <v/>
      </c>
      <c r="J376">
        <f>IF($P376="","",INDEX(상세표[블록 06~07시],$P376))</f>
        <v/>
      </c>
      <c r="K376">
        <f>IF($P376="","",INDEX(상세표[블록 07~18시],$P376))</f>
        <v/>
      </c>
      <c r="L376">
        <f>IF($P376="","",INDEX(상세표[블록 18~22시],$P376))</f>
        <v/>
      </c>
      <c r="M376">
        <f>IF($P376="","",INDEX(상세표[블록 22~06시],$P376))</f>
        <v/>
      </c>
      <c r="N376">
        <f>IF($P376="","",INDEX(상세표[주말·휴일 포함],$P376)&amp;"")</f>
        <v/>
      </c>
      <c r="O376">
        <f>IF($P376="","",INDEX(상세표[월 넘김 포함],$P376)&amp;"")</f>
        <v/>
      </c>
      <c r="P376" s="4">
        <f>IFERROR(MATCH(371,상세표[연속순번],0),"")</f>
        <v/>
      </c>
    </row>
    <row r="377">
      <c r="A377">
        <f>IF($P377="","",INDEX(상세표[사번],$P377)&amp;"")</f>
        <v/>
      </c>
      <c r="B377">
        <f>IF($P377="","",INDEX(상세표[성명],$P377)&amp;"")</f>
        <v/>
      </c>
      <c r="C377">
        <f>IF($P377="","",INDEX(상세표[부서],$P377)&amp;"")</f>
        <v/>
      </c>
      <c r="D377">
        <f>IF($P377="","",INDEX(상세표[직위],$P377)&amp;"")</f>
        <v/>
      </c>
      <c r="E377">
        <f>IF($P377="","",IF(ISNUMBER(INDEX(상세표[시작],$P377)),TEXT(INDEX(상세표[시작],$P377),"yyyy-mm-dd hh:mm"),INDEX(상세표[시작],$P377)&amp;""))</f>
        <v/>
      </c>
      <c r="F377">
        <f>IF($P377="","",IF(ISNUMBER(INDEX(상세표[블록종료],$P377)),TEXT(INDEX(상세표[블록종료],$P377),"yyyy-mm-dd hh:mm"),INDEX(상세표[블록종료],$P377)&amp;""))</f>
        <v/>
      </c>
      <c r="G377">
        <f>IF($P377="","",CHOOSE(WEEKDAY(INDEX(상세표[시작],$P377)),"일","월","화","수","목","금","토"))</f>
        <v/>
      </c>
      <c r="H377">
        <f>IF($P377="","",INDEX(상세표[연속 시간],$P377))</f>
        <v/>
      </c>
      <c r="I377">
        <f>IF($P377="","",INDEX(상세표[기록 수],$P377))</f>
        <v/>
      </c>
      <c r="J377">
        <f>IF($P377="","",INDEX(상세표[블록 06~07시],$P377))</f>
        <v/>
      </c>
      <c r="K377">
        <f>IF($P377="","",INDEX(상세표[블록 07~18시],$P377))</f>
        <v/>
      </c>
      <c r="L377">
        <f>IF($P377="","",INDEX(상세표[블록 18~22시],$P377))</f>
        <v/>
      </c>
      <c r="M377">
        <f>IF($P377="","",INDEX(상세표[블록 22~06시],$P377))</f>
        <v/>
      </c>
      <c r="N377">
        <f>IF($P377="","",INDEX(상세표[주말·휴일 포함],$P377)&amp;"")</f>
        <v/>
      </c>
      <c r="O377">
        <f>IF($P377="","",INDEX(상세표[월 넘김 포함],$P377)&amp;"")</f>
        <v/>
      </c>
      <c r="P377" s="4">
        <f>IFERROR(MATCH(372,상세표[연속순번],0),"")</f>
        <v/>
      </c>
    </row>
    <row r="378">
      <c r="A378">
        <f>IF($P378="","",INDEX(상세표[사번],$P378)&amp;"")</f>
        <v/>
      </c>
      <c r="B378">
        <f>IF($P378="","",INDEX(상세표[성명],$P378)&amp;"")</f>
        <v/>
      </c>
      <c r="C378">
        <f>IF($P378="","",INDEX(상세표[부서],$P378)&amp;"")</f>
        <v/>
      </c>
      <c r="D378">
        <f>IF($P378="","",INDEX(상세표[직위],$P378)&amp;"")</f>
        <v/>
      </c>
      <c r="E378">
        <f>IF($P378="","",IF(ISNUMBER(INDEX(상세표[시작],$P378)),TEXT(INDEX(상세표[시작],$P378),"yyyy-mm-dd hh:mm"),INDEX(상세표[시작],$P378)&amp;""))</f>
        <v/>
      </c>
      <c r="F378">
        <f>IF($P378="","",IF(ISNUMBER(INDEX(상세표[블록종료],$P378)),TEXT(INDEX(상세표[블록종료],$P378),"yyyy-mm-dd hh:mm"),INDEX(상세표[블록종료],$P378)&amp;""))</f>
        <v/>
      </c>
      <c r="G378">
        <f>IF($P378="","",CHOOSE(WEEKDAY(INDEX(상세표[시작],$P378)),"일","월","화","수","목","금","토"))</f>
        <v/>
      </c>
      <c r="H378">
        <f>IF($P378="","",INDEX(상세표[연속 시간],$P378))</f>
        <v/>
      </c>
      <c r="I378">
        <f>IF($P378="","",INDEX(상세표[기록 수],$P378))</f>
        <v/>
      </c>
      <c r="J378">
        <f>IF($P378="","",INDEX(상세표[블록 06~07시],$P378))</f>
        <v/>
      </c>
      <c r="K378">
        <f>IF($P378="","",INDEX(상세표[블록 07~18시],$P378))</f>
        <v/>
      </c>
      <c r="L378">
        <f>IF($P378="","",INDEX(상세표[블록 18~22시],$P378))</f>
        <v/>
      </c>
      <c r="M378">
        <f>IF($P378="","",INDEX(상세표[블록 22~06시],$P378))</f>
        <v/>
      </c>
      <c r="N378">
        <f>IF($P378="","",INDEX(상세표[주말·휴일 포함],$P378)&amp;"")</f>
        <v/>
      </c>
      <c r="O378">
        <f>IF($P378="","",INDEX(상세표[월 넘김 포함],$P378)&amp;"")</f>
        <v/>
      </c>
      <c r="P378" s="4">
        <f>IFERROR(MATCH(373,상세표[연속순번],0),"")</f>
        <v/>
      </c>
    </row>
    <row r="379">
      <c r="A379">
        <f>IF($P379="","",INDEX(상세표[사번],$P379)&amp;"")</f>
        <v/>
      </c>
      <c r="B379">
        <f>IF($P379="","",INDEX(상세표[성명],$P379)&amp;"")</f>
        <v/>
      </c>
      <c r="C379">
        <f>IF($P379="","",INDEX(상세표[부서],$P379)&amp;"")</f>
        <v/>
      </c>
      <c r="D379">
        <f>IF($P379="","",INDEX(상세표[직위],$P379)&amp;"")</f>
        <v/>
      </c>
      <c r="E379">
        <f>IF($P379="","",IF(ISNUMBER(INDEX(상세표[시작],$P379)),TEXT(INDEX(상세표[시작],$P379),"yyyy-mm-dd hh:mm"),INDEX(상세표[시작],$P379)&amp;""))</f>
        <v/>
      </c>
      <c r="F379">
        <f>IF($P379="","",IF(ISNUMBER(INDEX(상세표[블록종료],$P379)),TEXT(INDEX(상세표[블록종료],$P379),"yyyy-mm-dd hh:mm"),INDEX(상세표[블록종료],$P379)&amp;""))</f>
        <v/>
      </c>
      <c r="G379">
        <f>IF($P379="","",CHOOSE(WEEKDAY(INDEX(상세표[시작],$P379)),"일","월","화","수","목","금","토"))</f>
        <v/>
      </c>
      <c r="H379">
        <f>IF($P379="","",INDEX(상세표[연속 시간],$P379))</f>
        <v/>
      </c>
      <c r="I379">
        <f>IF($P379="","",INDEX(상세표[기록 수],$P379))</f>
        <v/>
      </c>
      <c r="J379">
        <f>IF($P379="","",INDEX(상세표[블록 06~07시],$P379))</f>
        <v/>
      </c>
      <c r="K379">
        <f>IF($P379="","",INDEX(상세표[블록 07~18시],$P379))</f>
        <v/>
      </c>
      <c r="L379">
        <f>IF($P379="","",INDEX(상세표[블록 18~22시],$P379))</f>
        <v/>
      </c>
      <c r="M379">
        <f>IF($P379="","",INDEX(상세표[블록 22~06시],$P379))</f>
        <v/>
      </c>
      <c r="N379">
        <f>IF($P379="","",INDEX(상세표[주말·휴일 포함],$P379)&amp;"")</f>
        <v/>
      </c>
      <c r="O379">
        <f>IF($P379="","",INDEX(상세표[월 넘김 포함],$P379)&amp;"")</f>
        <v/>
      </c>
      <c r="P379" s="4">
        <f>IFERROR(MATCH(374,상세표[연속순번],0),"")</f>
        <v/>
      </c>
    </row>
    <row r="380">
      <c r="A380">
        <f>IF($P380="","",INDEX(상세표[사번],$P380)&amp;"")</f>
        <v/>
      </c>
      <c r="B380">
        <f>IF($P380="","",INDEX(상세표[성명],$P380)&amp;"")</f>
        <v/>
      </c>
      <c r="C380">
        <f>IF($P380="","",INDEX(상세표[부서],$P380)&amp;"")</f>
        <v/>
      </c>
      <c r="D380">
        <f>IF($P380="","",INDEX(상세표[직위],$P380)&amp;"")</f>
        <v/>
      </c>
      <c r="E380">
        <f>IF($P380="","",IF(ISNUMBER(INDEX(상세표[시작],$P380)),TEXT(INDEX(상세표[시작],$P380),"yyyy-mm-dd hh:mm"),INDEX(상세표[시작],$P380)&amp;""))</f>
        <v/>
      </c>
      <c r="F380">
        <f>IF($P380="","",IF(ISNUMBER(INDEX(상세표[블록종료],$P380)),TEXT(INDEX(상세표[블록종료],$P380),"yyyy-mm-dd hh:mm"),INDEX(상세표[블록종료],$P380)&amp;""))</f>
        <v/>
      </c>
      <c r="G380">
        <f>IF($P380="","",CHOOSE(WEEKDAY(INDEX(상세표[시작],$P380)),"일","월","화","수","목","금","토"))</f>
        <v/>
      </c>
      <c r="H380">
        <f>IF($P380="","",INDEX(상세표[연속 시간],$P380))</f>
        <v/>
      </c>
      <c r="I380">
        <f>IF($P380="","",INDEX(상세표[기록 수],$P380))</f>
        <v/>
      </c>
      <c r="J380">
        <f>IF($P380="","",INDEX(상세표[블록 06~07시],$P380))</f>
        <v/>
      </c>
      <c r="K380">
        <f>IF($P380="","",INDEX(상세표[블록 07~18시],$P380))</f>
        <v/>
      </c>
      <c r="L380">
        <f>IF($P380="","",INDEX(상세표[블록 18~22시],$P380))</f>
        <v/>
      </c>
      <c r="M380">
        <f>IF($P380="","",INDEX(상세표[블록 22~06시],$P380))</f>
        <v/>
      </c>
      <c r="N380">
        <f>IF($P380="","",INDEX(상세표[주말·휴일 포함],$P380)&amp;"")</f>
        <v/>
      </c>
      <c r="O380">
        <f>IF($P380="","",INDEX(상세표[월 넘김 포함],$P380)&amp;"")</f>
        <v/>
      </c>
      <c r="P380" s="4">
        <f>IFERROR(MATCH(375,상세표[연속순번],0),"")</f>
        <v/>
      </c>
    </row>
    <row r="381">
      <c r="A381">
        <f>IF($P381="","",INDEX(상세표[사번],$P381)&amp;"")</f>
        <v/>
      </c>
      <c r="B381">
        <f>IF($P381="","",INDEX(상세표[성명],$P381)&amp;"")</f>
        <v/>
      </c>
      <c r="C381">
        <f>IF($P381="","",INDEX(상세표[부서],$P381)&amp;"")</f>
        <v/>
      </c>
      <c r="D381">
        <f>IF($P381="","",INDEX(상세표[직위],$P381)&amp;"")</f>
        <v/>
      </c>
      <c r="E381">
        <f>IF($P381="","",IF(ISNUMBER(INDEX(상세표[시작],$P381)),TEXT(INDEX(상세표[시작],$P381),"yyyy-mm-dd hh:mm"),INDEX(상세표[시작],$P381)&amp;""))</f>
        <v/>
      </c>
      <c r="F381">
        <f>IF($P381="","",IF(ISNUMBER(INDEX(상세표[블록종료],$P381)),TEXT(INDEX(상세표[블록종료],$P381),"yyyy-mm-dd hh:mm"),INDEX(상세표[블록종료],$P381)&amp;""))</f>
        <v/>
      </c>
      <c r="G381">
        <f>IF($P381="","",CHOOSE(WEEKDAY(INDEX(상세표[시작],$P381)),"일","월","화","수","목","금","토"))</f>
        <v/>
      </c>
      <c r="H381">
        <f>IF($P381="","",INDEX(상세표[연속 시간],$P381))</f>
        <v/>
      </c>
      <c r="I381">
        <f>IF($P381="","",INDEX(상세표[기록 수],$P381))</f>
        <v/>
      </c>
      <c r="J381">
        <f>IF($P381="","",INDEX(상세표[블록 06~07시],$P381))</f>
        <v/>
      </c>
      <c r="K381">
        <f>IF($P381="","",INDEX(상세표[블록 07~18시],$P381))</f>
        <v/>
      </c>
      <c r="L381">
        <f>IF($P381="","",INDEX(상세표[블록 18~22시],$P381))</f>
        <v/>
      </c>
      <c r="M381">
        <f>IF($P381="","",INDEX(상세표[블록 22~06시],$P381))</f>
        <v/>
      </c>
      <c r="N381">
        <f>IF($P381="","",INDEX(상세표[주말·휴일 포함],$P381)&amp;"")</f>
        <v/>
      </c>
      <c r="O381">
        <f>IF($P381="","",INDEX(상세표[월 넘김 포함],$P381)&amp;"")</f>
        <v/>
      </c>
      <c r="P381" s="4">
        <f>IFERROR(MATCH(376,상세표[연속순번],0),"")</f>
        <v/>
      </c>
    </row>
    <row r="382">
      <c r="A382">
        <f>IF($P382="","",INDEX(상세표[사번],$P382)&amp;"")</f>
        <v/>
      </c>
      <c r="B382">
        <f>IF($P382="","",INDEX(상세표[성명],$P382)&amp;"")</f>
        <v/>
      </c>
      <c r="C382">
        <f>IF($P382="","",INDEX(상세표[부서],$P382)&amp;"")</f>
        <v/>
      </c>
      <c r="D382">
        <f>IF($P382="","",INDEX(상세표[직위],$P382)&amp;"")</f>
        <v/>
      </c>
      <c r="E382">
        <f>IF($P382="","",IF(ISNUMBER(INDEX(상세표[시작],$P382)),TEXT(INDEX(상세표[시작],$P382),"yyyy-mm-dd hh:mm"),INDEX(상세표[시작],$P382)&amp;""))</f>
        <v/>
      </c>
      <c r="F382">
        <f>IF($P382="","",IF(ISNUMBER(INDEX(상세표[블록종료],$P382)),TEXT(INDEX(상세표[블록종료],$P382),"yyyy-mm-dd hh:mm"),INDEX(상세표[블록종료],$P382)&amp;""))</f>
        <v/>
      </c>
      <c r="G382">
        <f>IF($P382="","",CHOOSE(WEEKDAY(INDEX(상세표[시작],$P382)),"일","월","화","수","목","금","토"))</f>
        <v/>
      </c>
      <c r="H382">
        <f>IF($P382="","",INDEX(상세표[연속 시간],$P382))</f>
        <v/>
      </c>
      <c r="I382">
        <f>IF($P382="","",INDEX(상세표[기록 수],$P382))</f>
        <v/>
      </c>
      <c r="J382">
        <f>IF($P382="","",INDEX(상세표[블록 06~07시],$P382))</f>
        <v/>
      </c>
      <c r="K382">
        <f>IF($P382="","",INDEX(상세표[블록 07~18시],$P382))</f>
        <v/>
      </c>
      <c r="L382">
        <f>IF($P382="","",INDEX(상세표[블록 18~22시],$P382))</f>
        <v/>
      </c>
      <c r="M382">
        <f>IF($P382="","",INDEX(상세표[블록 22~06시],$P382))</f>
        <v/>
      </c>
      <c r="N382">
        <f>IF($P382="","",INDEX(상세표[주말·휴일 포함],$P382)&amp;"")</f>
        <v/>
      </c>
      <c r="O382">
        <f>IF($P382="","",INDEX(상세표[월 넘김 포함],$P382)&amp;"")</f>
        <v/>
      </c>
      <c r="P382" s="4">
        <f>IFERROR(MATCH(377,상세표[연속순번],0),"")</f>
        <v/>
      </c>
    </row>
    <row r="383">
      <c r="A383">
        <f>IF($P383="","",INDEX(상세표[사번],$P383)&amp;"")</f>
        <v/>
      </c>
      <c r="B383">
        <f>IF($P383="","",INDEX(상세표[성명],$P383)&amp;"")</f>
        <v/>
      </c>
      <c r="C383">
        <f>IF($P383="","",INDEX(상세표[부서],$P383)&amp;"")</f>
        <v/>
      </c>
      <c r="D383">
        <f>IF($P383="","",INDEX(상세표[직위],$P383)&amp;"")</f>
        <v/>
      </c>
      <c r="E383">
        <f>IF($P383="","",IF(ISNUMBER(INDEX(상세표[시작],$P383)),TEXT(INDEX(상세표[시작],$P383),"yyyy-mm-dd hh:mm"),INDEX(상세표[시작],$P383)&amp;""))</f>
        <v/>
      </c>
      <c r="F383">
        <f>IF($P383="","",IF(ISNUMBER(INDEX(상세표[블록종료],$P383)),TEXT(INDEX(상세표[블록종료],$P383),"yyyy-mm-dd hh:mm"),INDEX(상세표[블록종료],$P383)&amp;""))</f>
        <v/>
      </c>
      <c r="G383">
        <f>IF($P383="","",CHOOSE(WEEKDAY(INDEX(상세표[시작],$P383)),"일","월","화","수","목","금","토"))</f>
        <v/>
      </c>
      <c r="H383">
        <f>IF($P383="","",INDEX(상세표[연속 시간],$P383))</f>
        <v/>
      </c>
      <c r="I383">
        <f>IF($P383="","",INDEX(상세표[기록 수],$P383))</f>
        <v/>
      </c>
      <c r="J383">
        <f>IF($P383="","",INDEX(상세표[블록 06~07시],$P383))</f>
        <v/>
      </c>
      <c r="K383">
        <f>IF($P383="","",INDEX(상세표[블록 07~18시],$P383))</f>
        <v/>
      </c>
      <c r="L383">
        <f>IF($P383="","",INDEX(상세표[블록 18~22시],$P383))</f>
        <v/>
      </c>
      <c r="M383">
        <f>IF($P383="","",INDEX(상세표[블록 22~06시],$P383))</f>
        <v/>
      </c>
      <c r="N383">
        <f>IF($P383="","",INDEX(상세표[주말·휴일 포함],$P383)&amp;"")</f>
        <v/>
      </c>
      <c r="O383">
        <f>IF($P383="","",INDEX(상세표[월 넘김 포함],$P383)&amp;"")</f>
        <v/>
      </c>
      <c r="P383" s="4">
        <f>IFERROR(MATCH(378,상세표[연속순번],0),"")</f>
        <v/>
      </c>
    </row>
    <row r="384">
      <c r="A384">
        <f>IF($P384="","",INDEX(상세표[사번],$P384)&amp;"")</f>
        <v/>
      </c>
      <c r="B384">
        <f>IF($P384="","",INDEX(상세표[성명],$P384)&amp;"")</f>
        <v/>
      </c>
      <c r="C384">
        <f>IF($P384="","",INDEX(상세표[부서],$P384)&amp;"")</f>
        <v/>
      </c>
      <c r="D384">
        <f>IF($P384="","",INDEX(상세표[직위],$P384)&amp;"")</f>
        <v/>
      </c>
      <c r="E384">
        <f>IF($P384="","",IF(ISNUMBER(INDEX(상세표[시작],$P384)),TEXT(INDEX(상세표[시작],$P384),"yyyy-mm-dd hh:mm"),INDEX(상세표[시작],$P384)&amp;""))</f>
        <v/>
      </c>
      <c r="F384">
        <f>IF($P384="","",IF(ISNUMBER(INDEX(상세표[블록종료],$P384)),TEXT(INDEX(상세표[블록종료],$P384),"yyyy-mm-dd hh:mm"),INDEX(상세표[블록종료],$P384)&amp;""))</f>
        <v/>
      </c>
      <c r="G384">
        <f>IF($P384="","",CHOOSE(WEEKDAY(INDEX(상세표[시작],$P384)),"일","월","화","수","목","금","토"))</f>
        <v/>
      </c>
      <c r="H384">
        <f>IF($P384="","",INDEX(상세표[연속 시간],$P384))</f>
        <v/>
      </c>
      <c r="I384">
        <f>IF($P384="","",INDEX(상세표[기록 수],$P384))</f>
        <v/>
      </c>
      <c r="J384">
        <f>IF($P384="","",INDEX(상세표[블록 06~07시],$P384))</f>
        <v/>
      </c>
      <c r="K384">
        <f>IF($P384="","",INDEX(상세표[블록 07~18시],$P384))</f>
        <v/>
      </c>
      <c r="L384">
        <f>IF($P384="","",INDEX(상세표[블록 18~22시],$P384))</f>
        <v/>
      </c>
      <c r="M384">
        <f>IF($P384="","",INDEX(상세표[블록 22~06시],$P384))</f>
        <v/>
      </c>
      <c r="N384">
        <f>IF($P384="","",INDEX(상세표[주말·휴일 포함],$P384)&amp;"")</f>
        <v/>
      </c>
      <c r="O384">
        <f>IF($P384="","",INDEX(상세표[월 넘김 포함],$P384)&amp;"")</f>
        <v/>
      </c>
      <c r="P384" s="4">
        <f>IFERROR(MATCH(379,상세표[연속순번],0),"")</f>
        <v/>
      </c>
    </row>
    <row r="385">
      <c r="A385">
        <f>IF($P385="","",INDEX(상세표[사번],$P385)&amp;"")</f>
        <v/>
      </c>
      <c r="B385">
        <f>IF($P385="","",INDEX(상세표[성명],$P385)&amp;"")</f>
        <v/>
      </c>
      <c r="C385">
        <f>IF($P385="","",INDEX(상세표[부서],$P385)&amp;"")</f>
        <v/>
      </c>
      <c r="D385">
        <f>IF($P385="","",INDEX(상세표[직위],$P385)&amp;"")</f>
        <v/>
      </c>
      <c r="E385">
        <f>IF($P385="","",IF(ISNUMBER(INDEX(상세표[시작],$P385)),TEXT(INDEX(상세표[시작],$P385),"yyyy-mm-dd hh:mm"),INDEX(상세표[시작],$P385)&amp;""))</f>
        <v/>
      </c>
      <c r="F385">
        <f>IF($P385="","",IF(ISNUMBER(INDEX(상세표[블록종료],$P385)),TEXT(INDEX(상세표[블록종료],$P385),"yyyy-mm-dd hh:mm"),INDEX(상세표[블록종료],$P385)&amp;""))</f>
        <v/>
      </c>
      <c r="G385">
        <f>IF($P385="","",CHOOSE(WEEKDAY(INDEX(상세표[시작],$P385)),"일","월","화","수","목","금","토"))</f>
        <v/>
      </c>
      <c r="H385">
        <f>IF($P385="","",INDEX(상세표[연속 시간],$P385))</f>
        <v/>
      </c>
      <c r="I385">
        <f>IF($P385="","",INDEX(상세표[기록 수],$P385))</f>
        <v/>
      </c>
      <c r="J385">
        <f>IF($P385="","",INDEX(상세표[블록 06~07시],$P385))</f>
        <v/>
      </c>
      <c r="K385">
        <f>IF($P385="","",INDEX(상세표[블록 07~18시],$P385))</f>
        <v/>
      </c>
      <c r="L385">
        <f>IF($P385="","",INDEX(상세표[블록 18~22시],$P385))</f>
        <v/>
      </c>
      <c r="M385">
        <f>IF($P385="","",INDEX(상세표[블록 22~06시],$P385))</f>
        <v/>
      </c>
      <c r="N385">
        <f>IF($P385="","",INDEX(상세표[주말·휴일 포함],$P385)&amp;"")</f>
        <v/>
      </c>
      <c r="O385">
        <f>IF($P385="","",INDEX(상세표[월 넘김 포함],$P385)&amp;"")</f>
        <v/>
      </c>
      <c r="P385" s="4">
        <f>IFERROR(MATCH(380,상세표[연속순번],0),"")</f>
        <v/>
      </c>
    </row>
    <row r="386">
      <c r="A386">
        <f>IF($P386="","",INDEX(상세표[사번],$P386)&amp;"")</f>
        <v/>
      </c>
      <c r="B386">
        <f>IF($P386="","",INDEX(상세표[성명],$P386)&amp;"")</f>
        <v/>
      </c>
      <c r="C386">
        <f>IF($P386="","",INDEX(상세표[부서],$P386)&amp;"")</f>
        <v/>
      </c>
      <c r="D386">
        <f>IF($P386="","",INDEX(상세표[직위],$P386)&amp;"")</f>
        <v/>
      </c>
      <c r="E386">
        <f>IF($P386="","",IF(ISNUMBER(INDEX(상세표[시작],$P386)),TEXT(INDEX(상세표[시작],$P386),"yyyy-mm-dd hh:mm"),INDEX(상세표[시작],$P386)&amp;""))</f>
        <v/>
      </c>
      <c r="F386">
        <f>IF($P386="","",IF(ISNUMBER(INDEX(상세표[블록종료],$P386)),TEXT(INDEX(상세표[블록종료],$P386),"yyyy-mm-dd hh:mm"),INDEX(상세표[블록종료],$P386)&amp;""))</f>
        <v/>
      </c>
      <c r="G386">
        <f>IF($P386="","",CHOOSE(WEEKDAY(INDEX(상세표[시작],$P386)),"일","월","화","수","목","금","토"))</f>
        <v/>
      </c>
      <c r="H386">
        <f>IF($P386="","",INDEX(상세표[연속 시간],$P386))</f>
        <v/>
      </c>
      <c r="I386">
        <f>IF($P386="","",INDEX(상세표[기록 수],$P386))</f>
        <v/>
      </c>
      <c r="J386">
        <f>IF($P386="","",INDEX(상세표[블록 06~07시],$P386))</f>
        <v/>
      </c>
      <c r="K386">
        <f>IF($P386="","",INDEX(상세표[블록 07~18시],$P386))</f>
        <v/>
      </c>
      <c r="L386">
        <f>IF($P386="","",INDEX(상세표[블록 18~22시],$P386))</f>
        <v/>
      </c>
      <c r="M386">
        <f>IF($P386="","",INDEX(상세표[블록 22~06시],$P386))</f>
        <v/>
      </c>
      <c r="N386">
        <f>IF($P386="","",INDEX(상세표[주말·휴일 포함],$P386)&amp;"")</f>
        <v/>
      </c>
      <c r="O386">
        <f>IF($P386="","",INDEX(상세표[월 넘김 포함],$P386)&amp;"")</f>
        <v/>
      </c>
      <c r="P386" s="4">
        <f>IFERROR(MATCH(381,상세표[연속순번],0),"")</f>
        <v/>
      </c>
    </row>
    <row r="387">
      <c r="A387">
        <f>IF($P387="","",INDEX(상세표[사번],$P387)&amp;"")</f>
        <v/>
      </c>
      <c r="B387">
        <f>IF($P387="","",INDEX(상세표[성명],$P387)&amp;"")</f>
        <v/>
      </c>
      <c r="C387">
        <f>IF($P387="","",INDEX(상세표[부서],$P387)&amp;"")</f>
        <v/>
      </c>
      <c r="D387">
        <f>IF($P387="","",INDEX(상세표[직위],$P387)&amp;"")</f>
        <v/>
      </c>
      <c r="E387">
        <f>IF($P387="","",IF(ISNUMBER(INDEX(상세표[시작],$P387)),TEXT(INDEX(상세표[시작],$P387),"yyyy-mm-dd hh:mm"),INDEX(상세표[시작],$P387)&amp;""))</f>
        <v/>
      </c>
      <c r="F387">
        <f>IF($P387="","",IF(ISNUMBER(INDEX(상세표[블록종료],$P387)),TEXT(INDEX(상세표[블록종료],$P387),"yyyy-mm-dd hh:mm"),INDEX(상세표[블록종료],$P387)&amp;""))</f>
        <v/>
      </c>
      <c r="G387">
        <f>IF($P387="","",CHOOSE(WEEKDAY(INDEX(상세표[시작],$P387)),"일","월","화","수","목","금","토"))</f>
        <v/>
      </c>
      <c r="H387">
        <f>IF($P387="","",INDEX(상세표[연속 시간],$P387))</f>
        <v/>
      </c>
      <c r="I387">
        <f>IF($P387="","",INDEX(상세표[기록 수],$P387))</f>
        <v/>
      </c>
      <c r="J387">
        <f>IF($P387="","",INDEX(상세표[블록 06~07시],$P387))</f>
        <v/>
      </c>
      <c r="K387">
        <f>IF($P387="","",INDEX(상세표[블록 07~18시],$P387))</f>
        <v/>
      </c>
      <c r="L387">
        <f>IF($P387="","",INDEX(상세표[블록 18~22시],$P387))</f>
        <v/>
      </c>
      <c r="M387">
        <f>IF($P387="","",INDEX(상세표[블록 22~06시],$P387))</f>
        <v/>
      </c>
      <c r="N387">
        <f>IF($P387="","",INDEX(상세표[주말·휴일 포함],$P387)&amp;"")</f>
        <v/>
      </c>
      <c r="O387">
        <f>IF($P387="","",INDEX(상세표[월 넘김 포함],$P387)&amp;"")</f>
        <v/>
      </c>
      <c r="P387" s="4">
        <f>IFERROR(MATCH(382,상세표[연속순번],0),"")</f>
        <v/>
      </c>
    </row>
    <row r="388">
      <c r="A388">
        <f>IF($P388="","",INDEX(상세표[사번],$P388)&amp;"")</f>
        <v/>
      </c>
      <c r="B388">
        <f>IF($P388="","",INDEX(상세표[성명],$P388)&amp;"")</f>
        <v/>
      </c>
      <c r="C388">
        <f>IF($P388="","",INDEX(상세표[부서],$P388)&amp;"")</f>
        <v/>
      </c>
      <c r="D388">
        <f>IF($P388="","",INDEX(상세표[직위],$P388)&amp;"")</f>
        <v/>
      </c>
      <c r="E388">
        <f>IF($P388="","",IF(ISNUMBER(INDEX(상세표[시작],$P388)),TEXT(INDEX(상세표[시작],$P388),"yyyy-mm-dd hh:mm"),INDEX(상세표[시작],$P388)&amp;""))</f>
        <v/>
      </c>
      <c r="F388">
        <f>IF($P388="","",IF(ISNUMBER(INDEX(상세표[블록종료],$P388)),TEXT(INDEX(상세표[블록종료],$P388),"yyyy-mm-dd hh:mm"),INDEX(상세표[블록종료],$P388)&amp;""))</f>
        <v/>
      </c>
      <c r="G388">
        <f>IF($P388="","",CHOOSE(WEEKDAY(INDEX(상세표[시작],$P388)),"일","월","화","수","목","금","토"))</f>
        <v/>
      </c>
      <c r="H388">
        <f>IF($P388="","",INDEX(상세표[연속 시간],$P388))</f>
        <v/>
      </c>
      <c r="I388">
        <f>IF($P388="","",INDEX(상세표[기록 수],$P388))</f>
        <v/>
      </c>
      <c r="J388">
        <f>IF($P388="","",INDEX(상세표[블록 06~07시],$P388))</f>
        <v/>
      </c>
      <c r="K388">
        <f>IF($P388="","",INDEX(상세표[블록 07~18시],$P388))</f>
        <v/>
      </c>
      <c r="L388">
        <f>IF($P388="","",INDEX(상세표[블록 18~22시],$P388))</f>
        <v/>
      </c>
      <c r="M388">
        <f>IF($P388="","",INDEX(상세표[블록 22~06시],$P388))</f>
        <v/>
      </c>
      <c r="N388">
        <f>IF($P388="","",INDEX(상세표[주말·휴일 포함],$P388)&amp;"")</f>
        <v/>
      </c>
      <c r="O388">
        <f>IF($P388="","",INDEX(상세표[월 넘김 포함],$P388)&amp;"")</f>
        <v/>
      </c>
      <c r="P388" s="4">
        <f>IFERROR(MATCH(383,상세표[연속순번],0),"")</f>
        <v/>
      </c>
    </row>
    <row r="389">
      <c r="A389">
        <f>IF($P389="","",INDEX(상세표[사번],$P389)&amp;"")</f>
        <v/>
      </c>
      <c r="B389">
        <f>IF($P389="","",INDEX(상세표[성명],$P389)&amp;"")</f>
        <v/>
      </c>
      <c r="C389">
        <f>IF($P389="","",INDEX(상세표[부서],$P389)&amp;"")</f>
        <v/>
      </c>
      <c r="D389">
        <f>IF($P389="","",INDEX(상세표[직위],$P389)&amp;"")</f>
        <v/>
      </c>
      <c r="E389">
        <f>IF($P389="","",IF(ISNUMBER(INDEX(상세표[시작],$P389)),TEXT(INDEX(상세표[시작],$P389),"yyyy-mm-dd hh:mm"),INDEX(상세표[시작],$P389)&amp;""))</f>
        <v/>
      </c>
      <c r="F389">
        <f>IF($P389="","",IF(ISNUMBER(INDEX(상세표[블록종료],$P389)),TEXT(INDEX(상세표[블록종료],$P389),"yyyy-mm-dd hh:mm"),INDEX(상세표[블록종료],$P389)&amp;""))</f>
        <v/>
      </c>
      <c r="G389">
        <f>IF($P389="","",CHOOSE(WEEKDAY(INDEX(상세표[시작],$P389)),"일","월","화","수","목","금","토"))</f>
        <v/>
      </c>
      <c r="H389">
        <f>IF($P389="","",INDEX(상세표[연속 시간],$P389))</f>
        <v/>
      </c>
      <c r="I389">
        <f>IF($P389="","",INDEX(상세표[기록 수],$P389))</f>
        <v/>
      </c>
      <c r="J389">
        <f>IF($P389="","",INDEX(상세표[블록 06~07시],$P389))</f>
        <v/>
      </c>
      <c r="K389">
        <f>IF($P389="","",INDEX(상세표[블록 07~18시],$P389))</f>
        <v/>
      </c>
      <c r="L389">
        <f>IF($P389="","",INDEX(상세표[블록 18~22시],$P389))</f>
        <v/>
      </c>
      <c r="M389">
        <f>IF($P389="","",INDEX(상세표[블록 22~06시],$P389))</f>
        <v/>
      </c>
      <c r="N389">
        <f>IF($P389="","",INDEX(상세표[주말·휴일 포함],$P389)&amp;"")</f>
        <v/>
      </c>
      <c r="O389">
        <f>IF($P389="","",INDEX(상세표[월 넘김 포함],$P389)&amp;"")</f>
        <v/>
      </c>
      <c r="P389" s="4">
        <f>IFERROR(MATCH(384,상세표[연속순번],0),"")</f>
        <v/>
      </c>
    </row>
    <row r="390">
      <c r="A390">
        <f>IF($P390="","",INDEX(상세표[사번],$P390)&amp;"")</f>
        <v/>
      </c>
      <c r="B390">
        <f>IF($P390="","",INDEX(상세표[성명],$P390)&amp;"")</f>
        <v/>
      </c>
      <c r="C390">
        <f>IF($P390="","",INDEX(상세표[부서],$P390)&amp;"")</f>
        <v/>
      </c>
      <c r="D390">
        <f>IF($P390="","",INDEX(상세표[직위],$P390)&amp;"")</f>
        <v/>
      </c>
      <c r="E390">
        <f>IF($P390="","",IF(ISNUMBER(INDEX(상세표[시작],$P390)),TEXT(INDEX(상세표[시작],$P390),"yyyy-mm-dd hh:mm"),INDEX(상세표[시작],$P390)&amp;""))</f>
        <v/>
      </c>
      <c r="F390">
        <f>IF($P390="","",IF(ISNUMBER(INDEX(상세표[블록종료],$P390)),TEXT(INDEX(상세표[블록종료],$P390),"yyyy-mm-dd hh:mm"),INDEX(상세표[블록종료],$P390)&amp;""))</f>
        <v/>
      </c>
      <c r="G390">
        <f>IF($P390="","",CHOOSE(WEEKDAY(INDEX(상세표[시작],$P390)),"일","월","화","수","목","금","토"))</f>
        <v/>
      </c>
      <c r="H390">
        <f>IF($P390="","",INDEX(상세표[연속 시간],$P390))</f>
        <v/>
      </c>
      <c r="I390">
        <f>IF($P390="","",INDEX(상세표[기록 수],$P390))</f>
        <v/>
      </c>
      <c r="J390">
        <f>IF($P390="","",INDEX(상세표[블록 06~07시],$P390))</f>
        <v/>
      </c>
      <c r="K390">
        <f>IF($P390="","",INDEX(상세표[블록 07~18시],$P390))</f>
        <v/>
      </c>
      <c r="L390">
        <f>IF($P390="","",INDEX(상세표[블록 18~22시],$P390))</f>
        <v/>
      </c>
      <c r="M390">
        <f>IF($P390="","",INDEX(상세표[블록 22~06시],$P390))</f>
        <v/>
      </c>
      <c r="N390">
        <f>IF($P390="","",INDEX(상세표[주말·휴일 포함],$P390)&amp;"")</f>
        <v/>
      </c>
      <c r="O390">
        <f>IF($P390="","",INDEX(상세표[월 넘김 포함],$P390)&amp;"")</f>
        <v/>
      </c>
      <c r="P390" s="4">
        <f>IFERROR(MATCH(385,상세표[연속순번],0),"")</f>
        <v/>
      </c>
    </row>
    <row r="391">
      <c r="A391">
        <f>IF($P391="","",INDEX(상세표[사번],$P391)&amp;"")</f>
        <v/>
      </c>
      <c r="B391">
        <f>IF($P391="","",INDEX(상세표[성명],$P391)&amp;"")</f>
        <v/>
      </c>
      <c r="C391">
        <f>IF($P391="","",INDEX(상세표[부서],$P391)&amp;"")</f>
        <v/>
      </c>
      <c r="D391">
        <f>IF($P391="","",INDEX(상세표[직위],$P391)&amp;"")</f>
        <v/>
      </c>
      <c r="E391">
        <f>IF($P391="","",IF(ISNUMBER(INDEX(상세표[시작],$P391)),TEXT(INDEX(상세표[시작],$P391),"yyyy-mm-dd hh:mm"),INDEX(상세표[시작],$P391)&amp;""))</f>
        <v/>
      </c>
      <c r="F391">
        <f>IF($P391="","",IF(ISNUMBER(INDEX(상세표[블록종료],$P391)),TEXT(INDEX(상세표[블록종료],$P391),"yyyy-mm-dd hh:mm"),INDEX(상세표[블록종료],$P391)&amp;""))</f>
        <v/>
      </c>
      <c r="G391">
        <f>IF($P391="","",CHOOSE(WEEKDAY(INDEX(상세표[시작],$P391)),"일","월","화","수","목","금","토"))</f>
        <v/>
      </c>
      <c r="H391">
        <f>IF($P391="","",INDEX(상세표[연속 시간],$P391))</f>
        <v/>
      </c>
      <c r="I391">
        <f>IF($P391="","",INDEX(상세표[기록 수],$P391))</f>
        <v/>
      </c>
      <c r="J391">
        <f>IF($P391="","",INDEX(상세표[블록 06~07시],$P391))</f>
        <v/>
      </c>
      <c r="K391">
        <f>IF($P391="","",INDEX(상세표[블록 07~18시],$P391))</f>
        <v/>
      </c>
      <c r="L391">
        <f>IF($P391="","",INDEX(상세표[블록 18~22시],$P391))</f>
        <v/>
      </c>
      <c r="M391">
        <f>IF($P391="","",INDEX(상세표[블록 22~06시],$P391))</f>
        <v/>
      </c>
      <c r="N391">
        <f>IF($P391="","",INDEX(상세표[주말·휴일 포함],$P391)&amp;"")</f>
        <v/>
      </c>
      <c r="O391">
        <f>IF($P391="","",INDEX(상세표[월 넘김 포함],$P391)&amp;"")</f>
        <v/>
      </c>
      <c r="P391" s="4">
        <f>IFERROR(MATCH(386,상세표[연속순번],0),"")</f>
        <v/>
      </c>
    </row>
    <row r="392">
      <c r="A392">
        <f>IF($P392="","",INDEX(상세표[사번],$P392)&amp;"")</f>
        <v/>
      </c>
      <c r="B392">
        <f>IF($P392="","",INDEX(상세표[성명],$P392)&amp;"")</f>
        <v/>
      </c>
      <c r="C392">
        <f>IF($P392="","",INDEX(상세표[부서],$P392)&amp;"")</f>
        <v/>
      </c>
      <c r="D392">
        <f>IF($P392="","",INDEX(상세표[직위],$P392)&amp;"")</f>
        <v/>
      </c>
      <c r="E392">
        <f>IF($P392="","",IF(ISNUMBER(INDEX(상세표[시작],$P392)),TEXT(INDEX(상세표[시작],$P392),"yyyy-mm-dd hh:mm"),INDEX(상세표[시작],$P392)&amp;""))</f>
        <v/>
      </c>
      <c r="F392">
        <f>IF($P392="","",IF(ISNUMBER(INDEX(상세표[블록종료],$P392)),TEXT(INDEX(상세표[블록종료],$P392),"yyyy-mm-dd hh:mm"),INDEX(상세표[블록종료],$P392)&amp;""))</f>
        <v/>
      </c>
      <c r="G392">
        <f>IF($P392="","",CHOOSE(WEEKDAY(INDEX(상세표[시작],$P392)),"일","월","화","수","목","금","토"))</f>
        <v/>
      </c>
      <c r="H392">
        <f>IF($P392="","",INDEX(상세표[연속 시간],$P392))</f>
        <v/>
      </c>
      <c r="I392">
        <f>IF($P392="","",INDEX(상세표[기록 수],$P392))</f>
        <v/>
      </c>
      <c r="J392">
        <f>IF($P392="","",INDEX(상세표[블록 06~07시],$P392))</f>
        <v/>
      </c>
      <c r="K392">
        <f>IF($P392="","",INDEX(상세표[블록 07~18시],$P392))</f>
        <v/>
      </c>
      <c r="L392">
        <f>IF($P392="","",INDEX(상세표[블록 18~22시],$P392))</f>
        <v/>
      </c>
      <c r="M392">
        <f>IF($P392="","",INDEX(상세표[블록 22~06시],$P392))</f>
        <v/>
      </c>
      <c r="N392">
        <f>IF($P392="","",INDEX(상세표[주말·휴일 포함],$P392)&amp;"")</f>
        <v/>
      </c>
      <c r="O392">
        <f>IF($P392="","",INDEX(상세표[월 넘김 포함],$P392)&amp;"")</f>
        <v/>
      </c>
      <c r="P392" s="4">
        <f>IFERROR(MATCH(387,상세표[연속순번],0),"")</f>
        <v/>
      </c>
    </row>
    <row r="393">
      <c r="A393">
        <f>IF($P393="","",INDEX(상세표[사번],$P393)&amp;"")</f>
        <v/>
      </c>
      <c r="B393">
        <f>IF($P393="","",INDEX(상세표[성명],$P393)&amp;"")</f>
        <v/>
      </c>
      <c r="C393">
        <f>IF($P393="","",INDEX(상세표[부서],$P393)&amp;"")</f>
        <v/>
      </c>
      <c r="D393">
        <f>IF($P393="","",INDEX(상세표[직위],$P393)&amp;"")</f>
        <v/>
      </c>
      <c r="E393">
        <f>IF($P393="","",IF(ISNUMBER(INDEX(상세표[시작],$P393)),TEXT(INDEX(상세표[시작],$P393),"yyyy-mm-dd hh:mm"),INDEX(상세표[시작],$P393)&amp;""))</f>
        <v/>
      </c>
      <c r="F393">
        <f>IF($P393="","",IF(ISNUMBER(INDEX(상세표[블록종료],$P393)),TEXT(INDEX(상세표[블록종료],$P393),"yyyy-mm-dd hh:mm"),INDEX(상세표[블록종료],$P393)&amp;""))</f>
        <v/>
      </c>
      <c r="G393">
        <f>IF($P393="","",CHOOSE(WEEKDAY(INDEX(상세표[시작],$P393)),"일","월","화","수","목","금","토"))</f>
        <v/>
      </c>
      <c r="H393">
        <f>IF($P393="","",INDEX(상세표[연속 시간],$P393))</f>
        <v/>
      </c>
      <c r="I393">
        <f>IF($P393="","",INDEX(상세표[기록 수],$P393))</f>
        <v/>
      </c>
      <c r="J393">
        <f>IF($P393="","",INDEX(상세표[블록 06~07시],$P393))</f>
        <v/>
      </c>
      <c r="K393">
        <f>IF($P393="","",INDEX(상세표[블록 07~18시],$P393))</f>
        <v/>
      </c>
      <c r="L393">
        <f>IF($P393="","",INDEX(상세표[블록 18~22시],$P393))</f>
        <v/>
      </c>
      <c r="M393">
        <f>IF($P393="","",INDEX(상세표[블록 22~06시],$P393))</f>
        <v/>
      </c>
      <c r="N393">
        <f>IF($P393="","",INDEX(상세표[주말·휴일 포함],$P393)&amp;"")</f>
        <v/>
      </c>
      <c r="O393">
        <f>IF($P393="","",INDEX(상세표[월 넘김 포함],$P393)&amp;"")</f>
        <v/>
      </c>
      <c r="P393" s="4">
        <f>IFERROR(MATCH(388,상세표[연속순번],0),"")</f>
        <v/>
      </c>
    </row>
    <row r="394">
      <c r="A394">
        <f>IF($P394="","",INDEX(상세표[사번],$P394)&amp;"")</f>
        <v/>
      </c>
      <c r="B394">
        <f>IF($P394="","",INDEX(상세표[성명],$P394)&amp;"")</f>
        <v/>
      </c>
      <c r="C394">
        <f>IF($P394="","",INDEX(상세표[부서],$P394)&amp;"")</f>
        <v/>
      </c>
      <c r="D394">
        <f>IF($P394="","",INDEX(상세표[직위],$P394)&amp;"")</f>
        <v/>
      </c>
      <c r="E394">
        <f>IF($P394="","",IF(ISNUMBER(INDEX(상세표[시작],$P394)),TEXT(INDEX(상세표[시작],$P394),"yyyy-mm-dd hh:mm"),INDEX(상세표[시작],$P394)&amp;""))</f>
        <v/>
      </c>
      <c r="F394">
        <f>IF($P394="","",IF(ISNUMBER(INDEX(상세표[블록종료],$P394)),TEXT(INDEX(상세표[블록종료],$P394),"yyyy-mm-dd hh:mm"),INDEX(상세표[블록종료],$P394)&amp;""))</f>
        <v/>
      </c>
      <c r="G394">
        <f>IF($P394="","",CHOOSE(WEEKDAY(INDEX(상세표[시작],$P394)),"일","월","화","수","목","금","토"))</f>
        <v/>
      </c>
      <c r="H394">
        <f>IF($P394="","",INDEX(상세표[연속 시간],$P394))</f>
        <v/>
      </c>
      <c r="I394">
        <f>IF($P394="","",INDEX(상세표[기록 수],$P394))</f>
        <v/>
      </c>
      <c r="J394">
        <f>IF($P394="","",INDEX(상세표[블록 06~07시],$P394))</f>
        <v/>
      </c>
      <c r="K394">
        <f>IF($P394="","",INDEX(상세표[블록 07~18시],$P394))</f>
        <v/>
      </c>
      <c r="L394">
        <f>IF($P394="","",INDEX(상세표[블록 18~22시],$P394))</f>
        <v/>
      </c>
      <c r="M394">
        <f>IF($P394="","",INDEX(상세표[블록 22~06시],$P394))</f>
        <v/>
      </c>
      <c r="N394">
        <f>IF($P394="","",INDEX(상세표[주말·휴일 포함],$P394)&amp;"")</f>
        <v/>
      </c>
      <c r="O394">
        <f>IF($P394="","",INDEX(상세표[월 넘김 포함],$P394)&amp;"")</f>
        <v/>
      </c>
      <c r="P394" s="4">
        <f>IFERROR(MATCH(389,상세표[연속순번],0),"")</f>
        <v/>
      </c>
    </row>
    <row r="395">
      <c r="A395">
        <f>IF($P395="","",INDEX(상세표[사번],$P395)&amp;"")</f>
        <v/>
      </c>
      <c r="B395">
        <f>IF($P395="","",INDEX(상세표[성명],$P395)&amp;"")</f>
        <v/>
      </c>
      <c r="C395">
        <f>IF($P395="","",INDEX(상세표[부서],$P395)&amp;"")</f>
        <v/>
      </c>
      <c r="D395">
        <f>IF($P395="","",INDEX(상세표[직위],$P395)&amp;"")</f>
        <v/>
      </c>
      <c r="E395">
        <f>IF($P395="","",IF(ISNUMBER(INDEX(상세표[시작],$P395)),TEXT(INDEX(상세표[시작],$P395),"yyyy-mm-dd hh:mm"),INDEX(상세표[시작],$P395)&amp;""))</f>
        <v/>
      </c>
      <c r="F395">
        <f>IF($P395="","",IF(ISNUMBER(INDEX(상세표[블록종료],$P395)),TEXT(INDEX(상세표[블록종료],$P395),"yyyy-mm-dd hh:mm"),INDEX(상세표[블록종료],$P395)&amp;""))</f>
        <v/>
      </c>
      <c r="G395">
        <f>IF($P395="","",CHOOSE(WEEKDAY(INDEX(상세표[시작],$P395)),"일","월","화","수","목","금","토"))</f>
        <v/>
      </c>
      <c r="H395">
        <f>IF($P395="","",INDEX(상세표[연속 시간],$P395))</f>
        <v/>
      </c>
      <c r="I395">
        <f>IF($P395="","",INDEX(상세표[기록 수],$P395))</f>
        <v/>
      </c>
      <c r="J395">
        <f>IF($P395="","",INDEX(상세표[블록 06~07시],$P395))</f>
        <v/>
      </c>
      <c r="K395">
        <f>IF($P395="","",INDEX(상세표[블록 07~18시],$P395))</f>
        <v/>
      </c>
      <c r="L395">
        <f>IF($P395="","",INDEX(상세표[블록 18~22시],$P395))</f>
        <v/>
      </c>
      <c r="M395">
        <f>IF($P395="","",INDEX(상세표[블록 22~06시],$P395))</f>
        <v/>
      </c>
      <c r="N395">
        <f>IF($P395="","",INDEX(상세표[주말·휴일 포함],$P395)&amp;"")</f>
        <v/>
      </c>
      <c r="O395">
        <f>IF($P395="","",INDEX(상세표[월 넘김 포함],$P395)&amp;"")</f>
        <v/>
      </c>
      <c r="P395" s="4">
        <f>IFERROR(MATCH(390,상세표[연속순번],0),"")</f>
        <v/>
      </c>
    </row>
    <row r="396">
      <c r="A396">
        <f>IF($P396="","",INDEX(상세표[사번],$P396)&amp;"")</f>
        <v/>
      </c>
      <c r="B396">
        <f>IF($P396="","",INDEX(상세표[성명],$P396)&amp;"")</f>
        <v/>
      </c>
      <c r="C396">
        <f>IF($P396="","",INDEX(상세표[부서],$P396)&amp;"")</f>
        <v/>
      </c>
      <c r="D396">
        <f>IF($P396="","",INDEX(상세표[직위],$P396)&amp;"")</f>
        <v/>
      </c>
      <c r="E396">
        <f>IF($P396="","",IF(ISNUMBER(INDEX(상세표[시작],$P396)),TEXT(INDEX(상세표[시작],$P396),"yyyy-mm-dd hh:mm"),INDEX(상세표[시작],$P396)&amp;""))</f>
        <v/>
      </c>
      <c r="F396">
        <f>IF($P396="","",IF(ISNUMBER(INDEX(상세표[블록종료],$P396)),TEXT(INDEX(상세표[블록종료],$P396),"yyyy-mm-dd hh:mm"),INDEX(상세표[블록종료],$P396)&amp;""))</f>
        <v/>
      </c>
      <c r="G396">
        <f>IF($P396="","",CHOOSE(WEEKDAY(INDEX(상세표[시작],$P396)),"일","월","화","수","목","금","토"))</f>
        <v/>
      </c>
      <c r="H396">
        <f>IF($P396="","",INDEX(상세표[연속 시간],$P396))</f>
        <v/>
      </c>
      <c r="I396">
        <f>IF($P396="","",INDEX(상세표[기록 수],$P396))</f>
        <v/>
      </c>
      <c r="J396">
        <f>IF($P396="","",INDEX(상세표[블록 06~07시],$P396))</f>
        <v/>
      </c>
      <c r="K396">
        <f>IF($P396="","",INDEX(상세표[블록 07~18시],$P396))</f>
        <v/>
      </c>
      <c r="L396">
        <f>IF($P396="","",INDEX(상세표[블록 18~22시],$P396))</f>
        <v/>
      </c>
      <c r="M396">
        <f>IF($P396="","",INDEX(상세표[블록 22~06시],$P396))</f>
        <v/>
      </c>
      <c r="N396">
        <f>IF($P396="","",INDEX(상세표[주말·휴일 포함],$P396)&amp;"")</f>
        <v/>
      </c>
      <c r="O396">
        <f>IF($P396="","",INDEX(상세표[월 넘김 포함],$P396)&amp;"")</f>
        <v/>
      </c>
      <c r="P396" s="4">
        <f>IFERROR(MATCH(391,상세표[연속순번],0),"")</f>
        <v/>
      </c>
    </row>
    <row r="397">
      <c r="A397">
        <f>IF($P397="","",INDEX(상세표[사번],$P397)&amp;"")</f>
        <v/>
      </c>
      <c r="B397">
        <f>IF($P397="","",INDEX(상세표[성명],$P397)&amp;"")</f>
        <v/>
      </c>
      <c r="C397">
        <f>IF($P397="","",INDEX(상세표[부서],$P397)&amp;"")</f>
        <v/>
      </c>
      <c r="D397">
        <f>IF($P397="","",INDEX(상세표[직위],$P397)&amp;"")</f>
        <v/>
      </c>
      <c r="E397">
        <f>IF($P397="","",IF(ISNUMBER(INDEX(상세표[시작],$P397)),TEXT(INDEX(상세표[시작],$P397),"yyyy-mm-dd hh:mm"),INDEX(상세표[시작],$P397)&amp;""))</f>
        <v/>
      </c>
      <c r="F397">
        <f>IF($P397="","",IF(ISNUMBER(INDEX(상세표[블록종료],$P397)),TEXT(INDEX(상세표[블록종료],$P397),"yyyy-mm-dd hh:mm"),INDEX(상세표[블록종료],$P397)&amp;""))</f>
        <v/>
      </c>
      <c r="G397">
        <f>IF($P397="","",CHOOSE(WEEKDAY(INDEX(상세표[시작],$P397)),"일","월","화","수","목","금","토"))</f>
        <v/>
      </c>
      <c r="H397">
        <f>IF($P397="","",INDEX(상세표[연속 시간],$P397))</f>
        <v/>
      </c>
      <c r="I397">
        <f>IF($P397="","",INDEX(상세표[기록 수],$P397))</f>
        <v/>
      </c>
      <c r="J397">
        <f>IF($P397="","",INDEX(상세표[블록 06~07시],$P397))</f>
        <v/>
      </c>
      <c r="K397">
        <f>IF($P397="","",INDEX(상세표[블록 07~18시],$P397))</f>
        <v/>
      </c>
      <c r="L397">
        <f>IF($P397="","",INDEX(상세표[블록 18~22시],$P397))</f>
        <v/>
      </c>
      <c r="M397">
        <f>IF($P397="","",INDEX(상세표[블록 22~06시],$P397))</f>
        <v/>
      </c>
      <c r="N397">
        <f>IF($P397="","",INDEX(상세표[주말·휴일 포함],$P397)&amp;"")</f>
        <v/>
      </c>
      <c r="O397">
        <f>IF($P397="","",INDEX(상세표[월 넘김 포함],$P397)&amp;"")</f>
        <v/>
      </c>
      <c r="P397" s="4">
        <f>IFERROR(MATCH(392,상세표[연속순번],0),"")</f>
        <v/>
      </c>
    </row>
    <row r="398">
      <c r="A398">
        <f>IF($P398="","",INDEX(상세표[사번],$P398)&amp;"")</f>
        <v/>
      </c>
      <c r="B398">
        <f>IF($P398="","",INDEX(상세표[성명],$P398)&amp;"")</f>
        <v/>
      </c>
      <c r="C398">
        <f>IF($P398="","",INDEX(상세표[부서],$P398)&amp;"")</f>
        <v/>
      </c>
      <c r="D398">
        <f>IF($P398="","",INDEX(상세표[직위],$P398)&amp;"")</f>
        <v/>
      </c>
      <c r="E398">
        <f>IF($P398="","",IF(ISNUMBER(INDEX(상세표[시작],$P398)),TEXT(INDEX(상세표[시작],$P398),"yyyy-mm-dd hh:mm"),INDEX(상세표[시작],$P398)&amp;""))</f>
        <v/>
      </c>
      <c r="F398">
        <f>IF($P398="","",IF(ISNUMBER(INDEX(상세표[블록종료],$P398)),TEXT(INDEX(상세표[블록종료],$P398),"yyyy-mm-dd hh:mm"),INDEX(상세표[블록종료],$P398)&amp;""))</f>
        <v/>
      </c>
      <c r="G398">
        <f>IF($P398="","",CHOOSE(WEEKDAY(INDEX(상세표[시작],$P398)),"일","월","화","수","목","금","토"))</f>
        <v/>
      </c>
      <c r="H398">
        <f>IF($P398="","",INDEX(상세표[연속 시간],$P398))</f>
        <v/>
      </c>
      <c r="I398">
        <f>IF($P398="","",INDEX(상세표[기록 수],$P398))</f>
        <v/>
      </c>
      <c r="J398">
        <f>IF($P398="","",INDEX(상세표[블록 06~07시],$P398))</f>
        <v/>
      </c>
      <c r="K398">
        <f>IF($P398="","",INDEX(상세표[블록 07~18시],$P398))</f>
        <v/>
      </c>
      <c r="L398">
        <f>IF($P398="","",INDEX(상세표[블록 18~22시],$P398))</f>
        <v/>
      </c>
      <c r="M398">
        <f>IF($P398="","",INDEX(상세표[블록 22~06시],$P398))</f>
        <v/>
      </c>
      <c r="N398">
        <f>IF($P398="","",INDEX(상세표[주말·휴일 포함],$P398)&amp;"")</f>
        <v/>
      </c>
      <c r="O398">
        <f>IF($P398="","",INDEX(상세표[월 넘김 포함],$P398)&amp;"")</f>
        <v/>
      </c>
      <c r="P398" s="4">
        <f>IFERROR(MATCH(393,상세표[연속순번],0),"")</f>
        <v/>
      </c>
    </row>
    <row r="399">
      <c r="A399">
        <f>IF($P399="","",INDEX(상세표[사번],$P399)&amp;"")</f>
        <v/>
      </c>
      <c r="B399">
        <f>IF($P399="","",INDEX(상세표[성명],$P399)&amp;"")</f>
        <v/>
      </c>
      <c r="C399">
        <f>IF($P399="","",INDEX(상세표[부서],$P399)&amp;"")</f>
        <v/>
      </c>
      <c r="D399">
        <f>IF($P399="","",INDEX(상세표[직위],$P399)&amp;"")</f>
        <v/>
      </c>
      <c r="E399">
        <f>IF($P399="","",IF(ISNUMBER(INDEX(상세표[시작],$P399)),TEXT(INDEX(상세표[시작],$P399),"yyyy-mm-dd hh:mm"),INDEX(상세표[시작],$P399)&amp;""))</f>
        <v/>
      </c>
      <c r="F399">
        <f>IF($P399="","",IF(ISNUMBER(INDEX(상세표[블록종료],$P399)),TEXT(INDEX(상세표[블록종료],$P399),"yyyy-mm-dd hh:mm"),INDEX(상세표[블록종료],$P399)&amp;""))</f>
        <v/>
      </c>
      <c r="G399">
        <f>IF($P399="","",CHOOSE(WEEKDAY(INDEX(상세표[시작],$P399)),"일","월","화","수","목","금","토"))</f>
        <v/>
      </c>
      <c r="H399">
        <f>IF($P399="","",INDEX(상세표[연속 시간],$P399))</f>
        <v/>
      </c>
      <c r="I399">
        <f>IF($P399="","",INDEX(상세표[기록 수],$P399))</f>
        <v/>
      </c>
      <c r="J399">
        <f>IF($P399="","",INDEX(상세표[블록 06~07시],$P399))</f>
        <v/>
      </c>
      <c r="K399">
        <f>IF($P399="","",INDEX(상세표[블록 07~18시],$P399))</f>
        <v/>
      </c>
      <c r="L399">
        <f>IF($P399="","",INDEX(상세표[블록 18~22시],$P399))</f>
        <v/>
      </c>
      <c r="M399">
        <f>IF($P399="","",INDEX(상세표[블록 22~06시],$P399))</f>
        <v/>
      </c>
      <c r="N399">
        <f>IF($P399="","",INDEX(상세표[주말·휴일 포함],$P399)&amp;"")</f>
        <v/>
      </c>
      <c r="O399">
        <f>IF($P399="","",INDEX(상세표[월 넘김 포함],$P399)&amp;"")</f>
        <v/>
      </c>
      <c r="P399" s="4">
        <f>IFERROR(MATCH(394,상세표[연속순번],0),"")</f>
        <v/>
      </c>
    </row>
    <row r="400">
      <c r="A400">
        <f>IF($P400="","",INDEX(상세표[사번],$P400)&amp;"")</f>
        <v/>
      </c>
      <c r="B400">
        <f>IF($P400="","",INDEX(상세표[성명],$P400)&amp;"")</f>
        <v/>
      </c>
      <c r="C400">
        <f>IF($P400="","",INDEX(상세표[부서],$P400)&amp;"")</f>
        <v/>
      </c>
      <c r="D400">
        <f>IF($P400="","",INDEX(상세표[직위],$P400)&amp;"")</f>
        <v/>
      </c>
      <c r="E400">
        <f>IF($P400="","",IF(ISNUMBER(INDEX(상세표[시작],$P400)),TEXT(INDEX(상세표[시작],$P400),"yyyy-mm-dd hh:mm"),INDEX(상세표[시작],$P400)&amp;""))</f>
        <v/>
      </c>
      <c r="F400">
        <f>IF($P400="","",IF(ISNUMBER(INDEX(상세표[블록종료],$P400)),TEXT(INDEX(상세표[블록종료],$P400),"yyyy-mm-dd hh:mm"),INDEX(상세표[블록종료],$P400)&amp;""))</f>
        <v/>
      </c>
      <c r="G400">
        <f>IF($P400="","",CHOOSE(WEEKDAY(INDEX(상세표[시작],$P400)),"일","월","화","수","목","금","토"))</f>
        <v/>
      </c>
      <c r="H400">
        <f>IF($P400="","",INDEX(상세표[연속 시간],$P400))</f>
        <v/>
      </c>
      <c r="I400">
        <f>IF($P400="","",INDEX(상세표[기록 수],$P400))</f>
        <v/>
      </c>
      <c r="J400">
        <f>IF($P400="","",INDEX(상세표[블록 06~07시],$P400))</f>
        <v/>
      </c>
      <c r="K400">
        <f>IF($P400="","",INDEX(상세표[블록 07~18시],$P400))</f>
        <v/>
      </c>
      <c r="L400">
        <f>IF($P400="","",INDEX(상세표[블록 18~22시],$P400))</f>
        <v/>
      </c>
      <c r="M400">
        <f>IF($P400="","",INDEX(상세표[블록 22~06시],$P400))</f>
        <v/>
      </c>
      <c r="N400">
        <f>IF($P400="","",INDEX(상세표[주말·휴일 포함],$P400)&amp;"")</f>
        <v/>
      </c>
      <c r="O400">
        <f>IF($P400="","",INDEX(상세표[월 넘김 포함],$P400)&amp;"")</f>
        <v/>
      </c>
      <c r="P400" s="4">
        <f>IFERROR(MATCH(395,상세표[연속순번],0),"")</f>
        <v/>
      </c>
    </row>
    <row r="401">
      <c r="A401">
        <f>IF($P401="","",INDEX(상세표[사번],$P401)&amp;"")</f>
        <v/>
      </c>
      <c r="B401">
        <f>IF($P401="","",INDEX(상세표[성명],$P401)&amp;"")</f>
        <v/>
      </c>
      <c r="C401">
        <f>IF($P401="","",INDEX(상세표[부서],$P401)&amp;"")</f>
        <v/>
      </c>
      <c r="D401">
        <f>IF($P401="","",INDEX(상세표[직위],$P401)&amp;"")</f>
        <v/>
      </c>
      <c r="E401">
        <f>IF($P401="","",IF(ISNUMBER(INDEX(상세표[시작],$P401)),TEXT(INDEX(상세표[시작],$P401),"yyyy-mm-dd hh:mm"),INDEX(상세표[시작],$P401)&amp;""))</f>
        <v/>
      </c>
      <c r="F401">
        <f>IF($P401="","",IF(ISNUMBER(INDEX(상세표[블록종료],$P401)),TEXT(INDEX(상세표[블록종료],$P401),"yyyy-mm-dd hh:mm"),INDEX(상세표[블록종료],$P401)&amp;""))</f>
        <v/>
      </c>
      <c r="G401">
        <f>IF($P401="","",CHOOSE(WEEKDAY(INDEX(상세표[시작],$P401)),"일","월","화","수","목","금","토"))</f>
        <v/>
      </c>
      <c r="H401">
        <f>IF($P401="","",INDEX(상세표[연속 시간],$P401))</f>
        <v/>
      </c>
      <c r="I401">
        <f>IF($P401="","",INDEX(상세표[기록 수],$P401))</f>
        <v/>
      </c>
      <c r="J401">
        <f>IF($P401="","",INDEX(상세표[블록 06~07시],$P401))</f>
        <v/>
      </c>
      <c r="K401">
        <f>IF($P401="","",INDEX(상세표[블록 07~18시],$P401))</f>
        <v/>
      </c>
      <c r="L401">
        <f>IF($P401="","",INDEX(상세표[블록 18~22시],$P401))</f>
        <v/>
      </c>
      <c r="M401">
        <f>IF($P401="","",INDEX(상세표[블록 22~06시],$P401))</f>
        <v/>
      </c>
      <c r="N401">
        <f>IF($P401="","",INDEX(상세표[주말·휴일 포함],$P401)&amp;"")</f>
        <v/>
      </c>
      <c r="O401">
        <f>IF($P401="","",INDEX(상세표[월 넘김 포함],$P401)&amp;"")</f>
        <v/>
      </c>
      <c r="P401" s="4">
        <f>IFERROR(MATCH(396,상세표[연속순번],0),"")</f>
        <v/>
      </c>
    </row>
    <row r="402">
      <c r="A402">
        <f>IF($P402="","",INDEX(상세표[사번],$P402)&amp;"")</f>
        <v/>
      </c>
      <c r="B402">
        <f>IF($P402="","",INDEX(상세표[성명],$P402)&amp;"")</f>
        <v/>
      </c>
      <c r="C402">
        <f>IF($P402="","",INDEX(상세표[부서],$P402)&amp;"")</f>
        <v/>
      </c>
      <c r="D402">
        <f>IF($P402="","",INDEX(상세표[직위],$P402)&amp;"")</f>
        <v/>
      </c>
      <c r="E402">
        <f>IF($P402="","",IF(ISNUMBER(INDEX(상세표[시작],$P402)),TEXT(INDEX(상세표[시작],$P402),"yyyy-mm-dd hh:mm"),INDEX(상세표[시작],$P402)&amp;""))</f>
        <v/>
      </c>
      <c r="F402">
        <f>IF($P402="","",IF(ISNUMBER(INDEX(상세표[블록종료],$P402)),TEXT(INDEX(상세표[블록종료],$P402),"yyyy-mm-dd hh:mm"),INDEX(상세표[블록종료],$P402)&amp;""))</f>
        <v/>
      </c>
      <c r="G402">
        <f>IF($P402="","",CHOOSE(WEEKDAY(INDEX(상세표[시작],$P402)),"일","월","화","수","목","금","토"))</f>
        <v/>
      </c>
      <c r="H402">
        <f>IF($P402="","",INDEX(상세표[연속 시간],$P402))</f>
        <v/>
      </c>
      <c r="I402">
        <f>IF($P402="","",INDEX(상세표[기록 수],$P402))</f>
        <v/>
      </c>
      <c r="J402">
        <f>IF($P402="","",INDEX(상세표[블록 06~07시],$P402))</f>
        <v/>
      </c>
      <c r="K402">
        <f>IF($P402="","",INDEX(상세표[블록 07~18시],$P402))</f>
        <v/>
      </c>
      <c r="L402">
        <f>IF($P402="","",INDEX(상세표[블록 18~22시],$P402))</f>
        <v/>
      </c>
      <c r="M402">
        <f>IF($P402="","",INDEX(상세표[블록 22~06시],$P402))</f>
        <v/>
      </c>
      <c r="N402">
        <f>IF($P402="","",INDEX(상세표[주말·휴일 포함],$P402)&amp;"")</f>
        <v/>
      </c>
      <c r="O402">
        <f>IF($P402="","",INDEX(상세표[월 넘김 포함],$P402)&amp;"")</f>
        <v/>
      </c>
      <c r="P402" s="4">
        <f>IFERROR(MATCH(397,상세표[연속순번],0),"")</f>
        <v/>
      </c>
    </row>
    <row r="403">
      <c r="A403">
        <f>IF($P403="","",INDEX(상세표[사번],$P403)&amp;"")</f>
        <v/>
      </c>
      <c r="B403">
        <f>IF($P403="","",INDEX(상세표[성명],$P403)&amp;"")</f>
        <v/>
      </c>
      <c r="C403">
        <f>IF($P403="","",INDEX(상세표[부서],$P403)&amp;"")</f>
        <v/>
      </c>
      <c r="D403">
        <f>IF($P403="","",INDEX(상세표[직위],$P403)&amp;"")</f>
        <v/>
      </c>
      <c r="E403">
        <f>IF($P403="","",IF(ISNUMBER(INDEX(상세표[시작],$P403)),TEXT(INDEX(상세표[시작],$P403),"yyyy-mm-dd hh:mm"),INDEX(상세표[시작],$P403)&amp;""))</f>
        <v/>
      </c>
      <c r="F403">
        <f>IF($P403="","",IF(ISNUMBER(INDEX(상세표[블록종료],$P403)),TEXT(INDEX(상세표[블록종료],$P403),"yyyy-mm-dd hh:mm"),INDEX(상세표[블록종료],$P403)&amp;""))</f>
        <v/>
      </c>
      <c r="G403">
        <f>IF($P403="","",CHOOSE(WEEKDAY(INDEX(상세표[시작],$P403)),"일","월","화","수","목","금","토"))</f>
        <v/>
      </c>
      <c r="H403">
        <f>IF($P403="","",INDEX(상세표[연속 시간],$P403))</f>
        <v/>
      </c>
      <c r="I403">
        <f>IF($P403="","",INDEX(상세표[기록 수],$P403))</f>
        <v/>
      </c>
      <c r="J403">
        <f>IF($P403="","",INDEX(상세표[블록 06~07시],$P403))</f>
        <v/>
      </c>
      <c r="K403">
        <f>IF($P403="","",INDEX(상세표[블록 07~18시],$P403))</f>
        <v/>
      </c>
      <c r="L403">
        <f>IF($P403="","",INDEX(상세표[블록 18~22시],$P403))</f>
        <v/>
      </c>
      <c r="M403">
        <f>IF($P403="","",INDEX(상세표[블록 22~06시],$P403))</f>
        <v/>
      </c>
      <c r="N403">
        <f>IF($P403="","",INDEX(상세표[주말·휴일 포함],$P403)&amp;"")</f>
        <v/>
      </c>
      <c r="O403">
        <f>IF($P403="","",INDEX(상세표[월 넘김 포함],$P403)&amp;"")</f>
        <v/>
      </c>
      <c r="P403" s="4">
        <f>IFERROR(MATCH(398,상세표[연속순번],0),"")</f>
        <v/>
      </c>
    </row>
    <row r="404">
      <c r="A404">
        <f>IF($P404="","",INDEX(상세표[사번],$P404)&amp;"")</f>
        <v/>
      </c>
      <c r="B404">
        <f>IF($P404="","",INDEX(상세표[성명],$P404)&amp;"")</f>
        <v/>
      </c>
      <c r="C404">
        <f>IF($P404="","",INDEX(상세표[부서],$P404)&amp;"")</f>
        <v/>
      </c>
      <c r="D404">
        <f>IF($P404="","",INDEX(상세표[직위],$P404)&amp;"")</f>
        <v/>
      </c>
      <c r="E404">
        <f>IF($P404="","",IF(ISNUMBER(INDEX(상세표[시작],$P404)),TEXT(INDEX(상세표[시작],$P404),"yyyy-mm-dd hh:mm"),INDEX(상세표[시작],$P404)&amp;""))</f>
        <v/>
      </c>
      <c r="F404">
        <f>IF($P404="","",IF(ISNUMBER(INDEX(상세표[블록종료],$P404)),TEXT(INDEX(상세표[블록종료],$P404),"yyyy-mm-dd hh:mm"),INDEX(상세표[블록종료],$P404)&amp;""))</f>
        <v/>
      </c>
      <c r="G404">
        <f>IF($P404="","",CHOOSE(WEEKDAY(INDEX(상세표[시작],$P404)),"일","월","화","수","목","금","토"))</f>
        <v/>
      </c>
      <c r="H404">
        <f>IF($P404="","",INDEX(상세표[연속 시간],$P404))</f>
        <v/>
      </c>
      <c r="I404">
        <f>IF($P404="","",INDEX(상세표[기록 수],$P404))</f>
        <v/>
      </c>
      <c r="J404">
        <f>IF($P404="","",INDEX(상세표[블록 06~07시],$P404))</f>
        <v/>
      </c>
      <c r="K404">
        <f>IF($P404="","",INDEX(상세표[블록 07~18시],$P404))</f>
        <v/>
      </c>
      <c r="L404">
        <f>IF($P404="","",INDEX(상세표[블록 18~22시],$P404))</f>
        <v/>
      </c>
      <c r="M404">
        <f>IF($P404="","",INDEX(상세표[블록 22~06시],$P404))</f>
        <v/>
      </c>
      <c r="N404">
        <f>IF($P404="","",INDEX(상세표[주말·휴일 포함],$P404)&amp;"")</f>
        <v/>
      </c>
      <c r="O404">
        <f>IF($P404="","",INDEX(상세표[월 넘김 포함],$P404)&amp;"")</f>
        <v/>
      </c>
      <c r="P404" s="4">
        <f>IFERROR(MATCH(399,상세표[연속순번],0),"")</f>
        <v/>
      </c>
    </row>
    <row r="405">
      <c r="A405">
        <f>IF($P405="","",INDEX(상세표[사번],$P405)&amp;"")</f>
        <v/>
      </c>
      <c r="B405">
        <f>IF($P405="","",INDEX(상세표[성명],$P405)&amp;"")</f>
        <v/>
      </c>
      <c r="C405">
        <f>IF($P405="","",INDEX(상세표[부서],$P405)&amp;"")</f>
        <v/>
      </c>
      <c r="D405">
        <f>IF($P405="","",INDEX(상세표[직위],$P405)&amp;"")</f>
        <v/>
      </c>
      <c r="E405">
        <f>IF($P405="","",IF(ISNUMBER(INDEX(상세표[시작],$P405)),TEXT(INDEX(상세표[시작],$P405),"yyyy-mm-dd hh:mm"),INDEX(상세표[시작],$P405)&amp;""))</f>
        <v/>
      </c>
      <c r="F405">
        <f>IF($P405="","",IF(ISNUMBER(INDEX(상세표[블록종료],$P405)),TEXT(INDEX(상세표[블록종료],$P405),"yyyy-mm-dd hh:mm"),INDEX(상세표[블록종료],$P405)&amp;""))</f>
        <v/>
      </c>
      <c r="G405">
        <f>IF($P405="","",CHOOSE(WEEKDAY(INDEX(상세표[시작],$P405)),"일","월","화","수","목","금","토"))</f>
        <v/>
      </c>
      <c r="H405">
        <f>IF($P405="","",INDEX(상세표[연속 시간],$P405))</f>
        <v/>
      </c>
      <c r="I405">
        <f>IF($P405="","",INDEX(상세표[기록 수],$P405))</f>
        <v/>
      </c>
      <c r="J405">
        <f>IF($P405="","",INDEX(상세표[블록 06~07시],$P405))</f>
        <v/>
      </c>
      <c r="K405">
        <f>IF($P405="","",INDEX(상세표[블록 07~18시],$P405))</f>
        <v/>
      </c>
      <c r="L405">
        <f>IF($P405="","",INDEX(상세표[블록 18~22시],$P405))</f>
        <v/>
      </c>
      <c r="M405">
        <f>IF($P405="","",INDEX(상세표[블록 22~06시],$P405))</f>
        <v/>
      </c>
      <c r="N405">
        <f>IF($P405="","",INDEX(상세표[주말·휴일 포함],$P405)&amp;"")</f>
        <v/>
      </c>
      <c r="O405">
        <f>IF($P405="","",INDEX(상세표[월 넘김 포함],$P405)&amp;"")</f>
        <v/>
      </c>
      <c r="P405" s="4">
        <f>IFERROR(MATCH(400,상세표[연속순번],0),"")</f>
        <v/>
      </c>
    </row>
    <row r="406">
      <c r="A406">
        <f>IF($P406="","",INDEX(상세표[사번],$P406)&amp;"")</f>
        <v/>
      </c>
      <c r="B406">
        <f>IF($P406="","",INDEX(상세표[성명],$P406)&amp;"")</f>
        <v/>
      </c>
      <c r="C406">
        <f>IF($P406="","",INDEX(상세표[부서],$P406)&amp;"")</f>
        <v/>
      </c>
      <c r="D406">
        <f>IF($P406="","",INDEX(상세표[직위],$P406)&amp;"")</f>
        <v/>
      </c>
      <c r="E406">
        <f>IF($P406="","",IF(ISNUMBER(INDEX(상세표[시작],$P406)),TEXT(INDEX(상세표[시작],$P406),"yyyy-mm-dd hh:mm"),INDEX(상세표[시작],$P406)&amp;""))</f>
        <v/>
      </c>
      <c r="F406">
        <f>IF($P406="","",IF(ISNUMBER(INDEX(상세표[블록종료],$P406)),TEXT(INDEX(상세표[블록종료],$P406),"yyyy-mm-dd hh:mm"),INDEX(상세표[블록종료],$P406)&amp;""))</f>
        <v/>
      </c>
      <c r="G406">
        <f>IF($P406="","",CHOOSE(WEEKDAY(INDEX(상세표[시작],$P406)),"일","월","화","수","목","금","토"))</f>
        <v/>
      </c>
      <c r="H406">
        <f>IF($P406="","",INDEX(상세표[연속 시간],$P406))</f>
        <v/>
      </c>
      <c r="I406">
        <f>IF($P406="","",INDEX(상세표[기록 수],$P406))</f>
        <v/>
      </c>
      <c r="J406">
        <f>IF($P406="","",INDEX(상세표[블록 06~07시],$P406))</f>
        <v/>
      </c>
      <c r="K406">
        <f>IF($P406="","",INDEX(상세표[블록 07~18시],$P406))</f>
        <v/>
      </c>
      <c r="L406">
        <f>IF($P406="","",INDEX(상세표[블록 18~22시],$P406))</f>
        <v/>
      </c>
      <c r="M406">
        <f>IF($P406="","",INDEX(상세표[블록 22~06시],$P406))</f>
        <v/>
      </c>
      <c r="N406">
        <f>IF($P406="","",INDEX(상세표[주말·휴일 포함],$P406)&amp;"")</f>
        <v/>
      </c>
      <c r="O406">
        <f>IF($P406="","",INDEX(상세표[월 넘김 포함],$P406)&amp;"")</f>
        <v/>
      </c>
      <c r="P406" s="4">
        <f>IFERROR(MATCH(401,상세표[연속순번],0),"")</f>
        <v/>
      </c>
    </row>
    <row r="407">
      <c r="A407">
        <f>IF($P407="","",INDEX(상세표[사번],$P407)&amp;"")</f>
        <v/>
      </c>
      <c r="B407">
        <f>IF($P407="","",INDEX(상세표[성명],$P407)&amp;"")</f>
        <v/>
      </c>
      <c r="C407">
        <f>IF($P407="","",INDEX(상세표[부서],$P407)&amp;"")</f>
        <v/>
      </c>
      <c r="D407">
        <f>IF($P407="","",INDEX(상세표[직위],$P407)&amp;"")</f>
        <v/>
      </c>
      <c r="E407">
        <f>IF($P407="","",IF(ISNUMBER(INDEX(상세표[시작],$P407)),TEXT(INDEX(상세표[시작],$P407),"yyyy-mm-dd hh:mm"),INDEX(상세표[시작],$P407)&amp;""))</f>
        <v/>
      </c>
      <c r="F407">
        <f>IF($P407="","",IF(ISNUMBER(INDEX(상세표[블록종료],$P407)),TEXT(INDEX(상세표[블록종료],$P407),"yyyy-mm-dd hh:mm"),INDEX(상세표[블록종료],$P407)&amp;""))</f>
        <v/>
      </c>
      <c r="G407">
        <f>IF($P407="","",CHOOSE(WEEKDAY(INDEX(상세표[시작],$P407)),"일","월","화","수","목","금","토"))</f>
        <v/>
      </c>
      <c r="H407">
        <f>IF($P407="","",INDEX(상세표[연속 시간],$P407))</f>
        <v/>
      </c>
      <c r="I407">
        <f>IF($P407="","",INDEX(상세표[기록 수],$P407))</f>
        <v/>
      </c>
      <c r="J407">
        <f>IF($P407="","",INDEX(상세표[블록 06~07시],$P407))</f>
        <v/>
      </c>
      <c r="K407">
        <f>IF($P407="","",INDEX(상세표[블록 07~18시],$P407))</f>
        <v/>
      </c>
      <c r="L407">
        <f>IF($P407="","",INDEX(상세표[블록 18~22시],$P407))</f>
        <v/>
      </c>
      <c r="M407">
        <f>IF($P407="","",INDEX(상세표[블록 22~06시],$P407))</f>
        <v/>
      </c>
      <c r="N407">
        <f>IF($P407="","",INDEX(상세표[주말·휴일 포함],$P407)&amp;"")</f>
        <v/>
      </c>
      <c r="O407">
        <f>IF($P407="","",INDEX(상세표[월 넘김 포함],$P407)&amp;"")</f>
        <v/>
      </c>
      <c r="P407" s="4">
        <f>IFERROR(MATCH(402,상세표[연속순번],0),"")</f>
        <v/>
      </c>
    </row>
    <row r="408">
      <c r="A408">
        <f>IF($P408="","",INDEX(상세표[사번],$P408)&amp;"")</f>
        <v/>
      </c>
      <c r="B408">
        <f>IF($P408="","",INDEX(상세표[성명],$P408)&amp;"")</f>
        <v/>
      </c>
      <c r="C408">
        <f>IF($P408="","",INDEX(상세표[부서],$P408)&amp;"")</f>
        <v/>
      </c>
      <c r="D408">
        <f>IF($P408="","",INDEX(상세표[직위],$P408)&amp;"")</f>
        <v/>
      </c>
      <c r="E408">
        <f>IF($P408="","",IF(ISNUMBER(INDEX(상세표[시작],$P408)),TEXT(INDEX(상세표[시작],$P408),"yyyy-mm-dd hh:mm"),INDEX(상세표[시작],$P408)&amp;""))</f>
        <v/>
      </c>
      <c r="F408">
        <f>IF($P408="","",IF(ISNUMBER(INDEX(상세표[블록종료],$P408)),TEXT(INDEX(상세표[블록종료],$P408),"yyyy-mm-dd hh:mm"),INDEX(상세표[블록종료],$P408)&amp;""))</f>
        <v/>
      </c>
      <c r="G408">
        <f>IF($P408="","",CHOOSE(WEEKDAY(INDEX(상세표[시작],$P408)),"일","월","화","수","목","금","토"))</f>
        <v/>
      </c>
      <c r="H408">
        <f>IF($P408="","",INDEX(상세표[연속 시간],$P408))</f>
        <v/>
      </c>
      <c r="I408">
        <f>IF($P408="","",INDEX(상세표[기록 수],$P408))</f>
        <v/>
      </c>
      <c r="J408">
        <f>IF($P408="","",INDEX(상세표[블록 06~07시],$P408))</f>
        <v/>
      </c>
      <c r="K408">
        <f>IF($P408="","",INDEX(상세표[블록 07~18시],$P408))</f>
        <v/>
      </c>
      <c r="L408">
        <f>IF($P408="","",INDEX(상세표[블록 18~22시],$P408))</f>
        <v/>
      </c>
      <c r="M408">
        <f>IF($P408="","",INDEX(상세표[블록 22~06시],$P408))</f>
        <v/>
      </c>
      <c r="N408">
        <f>IF($P408="","",INDEX(상세표[주말·휴일 포함],$P408)&amp;"")</f>
        <v/>
      </c>
      <c r="O408">
        <f>IF($P408="","",INDEX(상세표[월 넘김 포함],$P408)&amp;"")</f>
        <v/>
      </c>
      <c r="P408" s="4">
        <f>IFERROR(MATCH(403,상세표[연속순번],0),"")</f>
        <v/>
      </c>
    </row>
    <row r="409">
      <c r="A409">
        <f>IF($P409="","",INDEX(상세표[사번],$P409)&amp;"")</f>
        <v/>
      </c>
      <c r="B409">
        <f>IF($P409="","",INDEX(상세표[성명],$P409)&amp;"")</f>
        <v/>
      </c>
      <c r="C409">
        <f>IF($P409="","",INDEX(상세표[부서],$P409)&amp;"")</f>
        <v/>
      </c>
      <c r="D409">
        <f>IF($P409="","",INDEX(상세표[직위],$P409)&amp;"")</f>
        <v/>
      </c>
      <c r="E409">
        <f>IF($P409="","",IF(ISNUMBER(INDEX(상세표[시작],$P409)),TEXT(INDEX(상세표[시작],$P409),"yyyy-mm-dd hh:mm"),INDEX(상세표[시작],$P409)&amp;""))</f>
        <v/>
      </c>
      <c r="F409">
        <f>IF($P409="","",IF(ISNUMBER(INDEX(상세표[블록종료],$P409)),TEXT(INDEX(상세표[블록종료],$P409),"yyyy-mm-dd hh:mm"),INDEX(상세표[블록종료],$P409)&amp;""))</f>
        <v/>
      </c>
      <c r="G409">
        <f>IF($P409="","",CHOOSE(WEEKDAY(INDEX(상세표[시작],$P409)),"일","월","화","수","목","금","토"))</f>
        <v/>
      </c>
      <c r="H409">
        <f>IF($P409="","",INDEX(상세표[연속 시간],$P409))</f>
        <v/>
      </c>
      <c r="I409">
        <f>IF($P409="","",INDEX(상세표[기록 수],$P409))</f>
        <v/>
      </c>
      <c r="J409">
        <f>IF($P409="","",INDEX(상세표[블록 06~07시],$P409))</f>
        <v/>
      </c>
      <c r="K409">
        <f>IF($P409="","",INDEX(상세표[블록 07~18시],$P409))</f>
        <v/>
      </c>
      <c r="L409">
        <f>IF($P409="","",INDEX(상세표[블록 18~22시],$P409))</f>
        <v/>
      </c>
      <c r="M409">
        <f>IF($P409="","",INDEX(상세표[블록 22~06시],$P409))</f>
        <v/>
      </c>
      <c r="N409">
        <f>IF($P409="","",INDEX(상세표[주말·휴일 포함],$P409)&amp;"")</f>
        <v/>
      </c>
      <c r="O409">
        <f>IF($P409="","",INDEX(상세표[월 넘김 포함],$P409)&amp;"")</f>
        <v/>
      </c>
      <c r="P409" s="4">
        <f>IFERROR(MATCH(404,상세표[연속순번],0),"")</f>
        <v/>
      </c>
    </row>
    <row r="410">
      <c r="A410">
        <f>IF($P410="","",INDEX(상세표[사번],$P410)&amp;"")</f>
        <v/>
      </c>
      <c r="B410">
        <f>IF($P410="","",INDEX(상세표[성명],$P410)&amp;"")</f>
        <v/>
      </c>
      <c r="C410">
        <f>IF($P410="","",INDEX(상세표[부서],$P410)&amp;"")</f>
        <v/>
      </c>
      <c r="D410">
        <f>IF($P410="","",INDEX(상세표[직위],$P410)&amp;"")</f>
        <v/>
      </c>
      <c r="E410">
        <f>IF($P410="","",IF(ISNUMBER(INDEX(상세표[시작],$P410)),TEXT(INDEX(상세표[시작],$P410),"yyyy-mm-dd hh:mm"),INDEX(상세표[시작],$P410)&amp;""))</f>
        <v/>
      </c>
      <c r="F410">
        <f>IF($P410="","",IF(ISNUMBER(INDEX(상세표[블록종료],$P410)),TEXT(INDEX(상세표[블록종료],$P410),"yyyy-mm-dd hh:mm"),INDEX(상세표[블록종료],$P410)&amp;""))</f>
        <v/>
      </c>
      <c r="G410">
        <f>IF($P410="","",CHOOSE(WEEKDAY(INDEX(상세표[시작],$P410)),"일","월","화","수","목","금","토"))</f>
        <v/>
      </c>
      <c r="H410">
        <f>IF($P410="","",INDEX(상세표[연속 시간],$P410))</f>
        <v/>
      </c>
      <c r="I410">
        <f>IF($P410="","",INDEX(상세표[기록 수],$P410))</f>
        <v/>
      </c>
      <c r="J410">
        <f>IF($P410="","",INDEX(상세표[블록 06~07시],$P410))</f>
        <v/>
      </c>
      <c r="K410">
        <f>IF($P410="","",INDEX(상세표[블록 07~18시],$P410))</f>
        <v/>
      </c>
      <c r="L410">
        <f>IF($P410="","",INDEX(상세표[블록 18~22시],$P410))</f>
        <v/>
      </c>
      <c r="M410">
        <f>IF($P410="","",INDEX(상세표[블록 22~06시],$P410))</f>
        <v/>
      </c>
      <c r="N410">
        <f>IF($P410="","",INDEX(상세표[주말·휴일 포함],$P410)&amp;"")</f>
        <v/>
      </c>
      <c r="O410">
        <f>IF($P410="","",INDEX(상세표[월 넘김 포함],$P410)&amp;"")</f>
        <v/>
      </c>
      <c r="P410" s="4">
        <f>IFERROR(MATCH(405,상세표[연속순번],0),"")</f>
        <v/>
      </c>
    </row>
    <row r="411">
      <c r="A411">
        <f>IF($P411="","",INDEX(상세표[사번],$P411)&amp;"")</f>
        <v/>
      </c>
      <c r="B411">
        <f>IF($P411="","",INDEX(상세표[성명],$P411)&amp;"")</f>
        <v/>
      </c>
      <c r="C411">
        <f>IF($P411="","",INDEX(상세표[부서],$P411)&amp;"")</f>
        <v/>
      </c>
      <c r="D411">
        <f>IF($P411="","",INDEX(상세표[직위],$P411)&amp;"")</f>
        <v/>
      </c>
      <c r="E411">
        <f>IF($P411="","",IF(ISNUMBER(INDEX(상세표[시작],$P411)),TEXT(INDEX(상세표[시작],$P411),"yyyy-mm-dd hh:mm"),INDEX(상세표[시작],$P411)&amp;""))</f>
        <v/>
      </c>
      <c r="F411">
        <f>IF($P411="","",IF(ISNUMBER(INDEX(상세표[블록종료],$P411)),TEXT(INDEX(상세표[블록종료],$P411),"yyyy-mm-dd hh:mm"),INDEX(상세표[블록종료],$P411)&amp;""))</f>
        <v/>
      </c>
      <c r="G411">
        <f>IF($P411="","",CHOOSE(WEEKDAY(INDEX(상세표[시작],$P411)),"일","월","화","수","목","금","토"))</f>
        <v/>
      </c>
      <c r="H411">
        <f>IF($P411="","",INDEX(상세표[연속 시간],$P411))</f>
        <v/>
      </c>
      <c r="I411">
        <f>IF($P411="","",INDEX(상세표[기록 수],$P411))</f>
        <v/>
      </c>
      <c r="J411">
        <f>IF($P411="","",INDEX(상세표[블록 06~07시],$P411))</f>
        <v/>
      </c>
      <c r="K411">
        <f>IF($P411="","",INDEX(상세표[블록 07~18시],$P411))</f>
        <v/>
      </c>
      <c r="L411">
        <f>IF($P411="","",INDEX(상세표[블록 18~22시],$P411))</f>
        <v/>
      </c>
      <c r="M411">
        <f>IF($P411="","",INDEX(상세표[블록 22~06시],$P411))</f>
        <v/>
      </c>
      <c r="N411">
        <f>IF($P411="","",INDEX(상세표[주말·휴일 포함],$P411)&amp;"")</f>
        <v/>
      </c>
      <c r="O411">
        <f>IF($P411="","",INDEX(상세표[월 넘김 포함],$P411)&amp;"")</f>
        <v/>
      </c>
      <c r="P411" s="4">
        <f>IFERROR(MATCH(406,상세표[연속순번],0),"")</f>
        <v/>
      </c>
    </row>
    <row r="412">
      <c r="A412">
        <f>IF($P412="","",INDEX(상세표[사번],$P412)&amp;"")</f>
        <v/>
      </c>
      <c r="B412">
        <f>IF($P412="","",INDEX(상세표[성명],$P412)&amp;"")</f>
        <v/>
      </c>
      <c r="C412">
        <f>IF($P412="","",INDEX(상세표[부서],$P412)&amp;"")</f>
        <v/>
      </c>
      <c r="D412">
        <f>IF($P412="","",INDEX(상세표[직위],$P412)&amp;"")</f>
        <v/>
      </c>
      <c r="E412">
        <f>IF($P412="","",IF(ISNUMBER(INDEX(상세표[시작],$P412)),TEXT(INDEX(상세표[시작],$P412),"yyyy-mm-dd hh:mm"),INDEX(상세표[시작],$P412)&amp;""))</f>
        <v/>
      </c>
      <c r="F412">
        <f>IF($P412="","",IF(ISNUMBER(INDEX(상세표[블록종료],$P412)),TEXT(INDEX(상세표[블록종료],$P412),"yyyy-mm-dd hh:mm"),INDEX(상세표[블록종료],$P412)&amp;""))</f>
        <v/>
      </c>
      <c r="G412">
        <f>IF($P412="","",CHOOSE(WEEKDAY(INDEX(상세표[시작],$P412)),"일","월","화","수","목","금","토"))</f>
        <v/>
      </c>
      <c r="H412">
        <f>IF($P412="","",INDEX(상세표[연속 시간],$P412))</f>
        <v/>
      </c>
      <c r="I412">
        <f>IF($P412="","",INDEX(상세표[기록 수],$P412))</f>
        <v/>
      </c>
      <c r="J412">
        <f>IF($P412="","",INDEX(상세표[블록 06~07시],$P412))</f>
        <v/>
      </c>
      <c r="K412">
        <f>IF($P412="","",INDEX(상세표[블록 07~18시],$P412))</f>
        <v/>
      </c>
      <c r="L412">
        <f>IF($P412="","",INDEX(상세표[블록 18~22시],$P412))</f>
        <v/>
      </c>
      <c r="M412">
        <f>IF($P412="","",INDEX(상세표[블록 22~06시],$P412))</f>
        <v/>
      </c>
      <c r="N412">
        <f>IF($P412="","",INDEX(상세표[주말·휴일 포함],$P412)&amp;"")</f>
        <v/>
      </c>
      <c r="O412">
        <f>IF($P412="","",INDEX(상세표[월 넘김 포함],$P412)&amp;"")</f>
        <v/>
      </c>
      <c r="P412" s="4">
        <f>IFERROR(MATCH(407,상세표[연속순번],0),"")</f>
        <v/>
      </c>
    </row>
    <row r="413">
      <c r="A413">
        <f>IF($P413="","",INDEX(상세표[사번],$P413)&amp;"")</f>
        <v/>
      </c>
      <c r="B413">
        <f>IF($P413="","",INDEX(상세표[성명],$P413)&amp;"")</f>
        <v/>
      </c>
      <c r="C413">
        <f>IF($P413="","",INDEX(상세표[부서],$P413)&amp;"")</f>
        <v/>
      </c>
      <c r="D413">
        <f>IF($P413="","",INDEX(상세표[직위],$P413)&amp;"")</f>
        <v/>
      </c>
      <c r="E413">
        <f>IF($P413="","",IF(ISNUMBER(INDEX(상세표[시작],$P413)),TEXT(INDEX(상세표[시작],$P413),"yyyy-mm-dd hh:mm"),INDEX(상세표[시작],$P413)&amp;""))</f>
        <v/>
      </c>
      <c r="F413">
        <f>IF($P413="","",IF(ISNUMBER(INDEX(상세표[블록종료],$P413)),TEXT(INDEX(상세표[블록종료],$P413),"yyyy-mm-dd hh:mm"),INDEX(상세표[블록종료],$P413)&amp;""))</f>
        <v/>
      </c>
      <c r="G413">
        <f>IF($P413="","",CHOOSE(WEEKDAY(INDEX(상세표[시작],$P413)),"일","월","화","수","목","금","토"))</f>
        <v/>
      </c>
      <c r="H413">
        <f>IF($P413="","",INDEX(상세표[연속 시간],$P413))</f>
        <v/>
      </c>
      <c r="I413">
        <f>IF($P413="","",INDEX(상세표[기록 수],$P413))</f>
        <v/>
      </c>
      <c r="J413">
        <f>IF($P413="","",INDEX(상세표[블록 06~07시],$P413))</f>
        <v/>
      </c>
      <c r="K413">
        <f>IF($P413="","",INDEX(상세표[블록 07~18시],$P413))</f>
        <v/>
      </c>
      <c r="L413">
        <f>IF($P413="","",INDEX(상세표[블록 18~22시],$P413))</f>
        <v/>
      </c>
      <c r="M413">
        <f>IF($P413="","",INDEX(상세표[블록 22~06시],$P413))</f>
        <v/>
      </c>
      <c r="N413">
        <f>IF($P413="","",INDEX(상세표[주말·휴일 포함],$P413)&amp;"")</f>
        <v/>
      </c>
      <c r="O413">
        <f>IF($P413="","",INDEX(상세표[월 넘김 포함],$P413)&amp;"")</f>
        <v/>
      </c>
      <c r="P413" s="4">
        <f>IFERROR(MATCH(408,상세표[연속순번],0),"")</f>
        <v/>
      </c>
    </row>
    <row r="414">
      <c r="A414">
        <f>IF($P414="","",INDEX(상세표[사번],$P414)&amp;"")</f>
        <v/>
      </c>
      <c r="B414">
        <f>IF($P414="","",INDEX(상세표[성명],$P414)&amp;"")</f>
        <v/>
      </c>
      <c r="C414">
        <f>IF($P414="","",INDEX(상세표[부서],$P414)&amp;"")</f>
        <v/>
      </c>
      <c r="D414">
        <f>IF($P414="","",INDEX(상세표[직위],$P414)&amp;"")</f>
        <v/>
      </c>
      <c r="E414">
        <f>IF($P414="","",IF(ISNUMBER(INDEX(상세표[시작],$P414)),TEXT(INDEX(상세표[시작],$P414),"yyyy-mm-dd hh:mm"),INDEX(상세표[시작],$P414)&amp;""))</f>
        <v/>
      </c>
      <c r="F414">
        <f>IF($P414="","",IF(ISNUMBER(INDEX(상세표[블록종료],$P414)),TEXT(INDEX(상세표[블록종료],$P414),"yyyy-mm-dd hh:mm"),INDEX(상세표[블록종료],$P414)&amp;""))</f>
        <v/>
      </c>
      <c r="G414">
        <f>IF($P414="","",CHOOSE(WEEKDAY(INDEX(상세표[시작],$P414)),"일","월","화","수","목","금","토"))</f>
        <v/>
      </c>
      <c r="H414">
        <f>IF($P414="","",INDEX(상세표[연속 시간],$P414))</f>
        <v/>
      </c>
      <c r="I414">
        <f>IF($P414="","",INDEX(상세표[기록 수],$P414))</f>
        <v/>
      </c>
      <c r="J414">
        <f>IF($P414="","",INDEX(상세표[블록 06~07시],$P414))</f>
        <v/>
      </c>
      <c r="K414">
        <f>IF($P414="","",INDEX(상세표[블록 07~18시],$P414))</f>
        <v/>
      </c>
      <c r="L414">
        <f>IF($P414="","",INDEX(상세표[블록 18~22시],$P414))</f>
        <v/>
      </c>
      <c r="M414">
        <f>IF($P414="","",INDEX(상세표[블록 22~06시],$P414))</f>
        <v/>
      </c>
      <c r="N414">
        <f>IF($P414="","",INDEX(상세표[주말·휴일 포함],$P414)&amp;"")</f>
        <v/>
      </c>
      <c r="O414">
        <f>IF($P414="","",INDEX(상세표[월 넘김 포함],$P414)&amp;"")</f>
        <v/>
      </c>
      <c r="P414" s="4">
        <f>IFERROR(MATCH(409,상세표[연속순번],0),"")</f>
        <v/>
      </c>
    </row>
    <row r="415">
      <c r="A415">
        <f>IF($P415="","",INDEX(상세표[사번],$P415)&amp;"")</f>
        <v/>
      </c>
      <c r="B415">
        <f>IF($P415="","",INDEX(상세표[성명],$P415)&amp;"")</f>
        <v/>
      </c>
      <c r="C415">
        <f>IF($P415="","",INDEX(상세표[부서],$P415)&amp;"")</f>
        <v/>
      </c>
      <c r="D415">
        <f>IF($P415="","",INDEX(상세표[직위],$P415)&amp;"")</f>
        <v/>
      </c>
      <c r="E415">
        <f>IF($P415="","",IF(ISNUMBER(INDEX(상세표[시작],$P415)),TEXT(INDEX(상세표[시작],$P415),"yyyy-mm-dd hh:mm"),INDEX(상세표[시작],$P415)&amp;""))</f>
        <v/>
      </c>
      <c r="F415">
        <f>IF($P415="","",IF(ISNUMBER(INDEX(상세표[블록종료],$P415)),TEXT(INDEX(상세표[블록종료],$P415),"yyyy-mm-dd hh:mm"),INDEX(상세표[블록종료],$P415)&amp;""))</f>
        <v/>
      </c>
      <c r="G415">
        <f>IF($P415="","",CHOOSE(WEEKDAY(INDEX(상세표[시작],$P415)),"일","월","화","수","목","금","토"))</f>
        <v/>
      </c>
      <c r="H415">
        <f>IF($P415="","",INDEX(상세표[연속 시간],$P415))</f>
        <v/>
      </c>
      <c r="I415">
        <f>IF($P415="","",INDEX(상세표[기록 수],$P415))</f>
        <v/>
      </c>
      <c r="J415">
        <f>IF($P415="","",INDEX(상세표[블록 06~07시],$P415))</f>
        <v/>
      </c>
      <c r="K415">
        <f>IF($P415="","",INDEX(상세표[블록 07~18시],$P415))</f>
        <v/>
      </c>
      <c r="L415">
        <f>IF($P415="","",INDEX(상세표[블록 18~22시],$P415))</f>
        <v/>
      </c>
      <c r="M415">
        <f>IF($P415="","",INDEX(상세표[블록 22~06시],$P415))</f>
        <v/>
      </c>
      <c r="N415">
        <f>IF($P415="","",INDEX(상세표[주말·휴일 포함],$P415)&amp;"")</f>
        <v/>
      </c>
      <c r="O415">
        <f>IF($P415="","",INDEX(상세표[월 넘김 포함],$P415)&amp;"")</f>
        <v/>
      </c>
      <c r="P415" s="4">
        <f>IFERROR(MATCH(410,상세표[연속순번],0),"")</f>
        <v/>
      </c>
    </row>
    <row r="416">
      <c r="A416">
        <f>IF($P416="","",INDEX(상세표[사번],$P416)&amp;"")</f>
        <v/>
      </c>
      <c r="B416">
        <f>IF($P416="","",INDEX(상세표[성명],$P416)&amp;"")</f>
        <v/>
      </c>
      <c r="C416">
        <f>IF($P416="","",INDEX(상세표[부서],$P416)&amp;"")</f>
        <v/>
      </c>
      <c r="D416">
        <f>IF($P416="","",INDEX(상세표[직위],$P416)&amp;"")</f>
        <v/>
      </c>
      <c r="E416">
        <f>IF($P416="","",IF(ISNUMBER(INDEX(상세표[시작],$P416)),TEXT(INDEX(상세표[시작],$P416),"yyyy-mm-dd hh:mm"),INDEX(상세표[시작],$P416)&amp;""))</f>
        <v/>
      </c>
      <c r="F416">
        <f>IF($P416="","",IF(ISNUMBER(INDEX(상세표[블록종료],$P416)),TEXT(INDEX(상세표[블록종료],$P416),"yyyy-mm-dd hh:mm"),INDEX(상세표[블록종료],$P416)&amp;""))</f>
        <v/>
      </c>
      <c r="G416">
        <f>IF($P416="","",CHOOSE(WEEKDAY(INDEX(상세표[시작],$P416)),"일","월","화","수","목","금","토"))</f>
        <v/>
      </c>
      <c r="H416">
        <f>IF($P416="","",INDEX(상세표[연속 시간],$P416))</f>
        <v/>
      </c>
      <c r="I416">
        <f>IF($P416="","",INDEX(상세표[기록 수],$P416))</f>
        <v/>
      </c>
      <c r="J416">
        <f>IF($P416="","",INDEX(상세표[블록 06~07시],$P416))</f>
        <v/>
      </c>
      <c r="K416">
        <f>IF($P416="","",INDEX(상세표[블록 07~18시],$P416))</f>
        <v/>
      </c>
      <c r="L416">
        <f>IF($P416="","",INDEX(상세표[블록 18~22시],$P416))</f>
        <v/>
      </c>
      <c r="M416">
        <f>IF($P416="","",INDEX(상세표[블록 22~06시],$P416))</f>
        <v/>
      </c>
      <c r="N416">
        <f>IF($P416="","",INDEX(상세표[주말·휴일 포함],$P416)&amp;"")</f>
        <v/>
      </c>
      <c r="O416">
        <f>IF($P416="","",INDEX(상세표[월 넘김 포함],$P416)&amp;"")</f>
        <v/>
      </c>
      <c r="P416" s="4">
        <f>IFERROR(MATCH(411,상세표[연속순번],0),"")</f>
        <v/>
      </c>
    </row>
    <row r="417">
      <c r="A417">
        <f>IF($P417="","",INDEX(상세표[사번],$P417)&amp;"")</f>
        <v/>
      </c>
      <c r="B417">
        <f>IF($P417="","",INDEX(상세표[성명],$P417)&amp;"")</f>
        <v/>
      </c>
      <c r="C417">
        <f>IF($P417="","",INDEX(상세표[부서],$P417)&amp;"")</f>
        <v/>
      </c>
      <c r="D417">
        <f>IF($P417="","",INDEX(상세표[직위],$P417)&amp;"")</f>
        <v/>
      </c>
      <c r="E417">
        <f>IF($P417="","",IF(ISNUMBER(INDEX(상세표[시작],$P417)),TEXT(INDEX(상세표[시작],$P417),"yyyy-mm-dd hh:mm"),INDEX(상세표[시작],$P417)&amp;""))</f>
        <v/>
      </c>
      <c r="F417">
        <f>IF($P417="","",IF(ISNUMBER(INDEX(상세표[블록종료],$P417)),TEXT(INDEX(상세표[블록종료],$P417),"yyyy-mm-dd hh:mm"),INDEX(상세표[블록종료],$P417)&amp;""))</f>
        <v/>
      </c>
      <c r="G417">
        <f>IF($P417="","",CHOOSE(WEEKDAY(INDEX(상세표[시작],$P417)),"일","월","화","수","목","금","토"))</f>
        <v/>
      </c>
      <c r="H417">
        <f>IF($P417="","",INDEX(상세표[연속 시간],$P417))</f>
        <v/>
      </c>
      <c r="I417">
        <f>IF($P417="","",INDEX(상세표[기록 수],$P417))</f>
        <v/>
      </c>
      <c r="J417">
        <f>IF($P417="","",INDEX(상세표[블록 06~07시],$P417))</f>
        <v/>
      </c>
      <c r="K417">
        <f>IF($P417="","",INDEX(상세표[블록 07~18시],$P417))</f>
        <v/>
      </c>
      <c r="L417">
        <f>IF($P417="","",INDEX(상세표[블록 18~22시],$P417))</f>
        <v/>
      </c>
      <c r="M417">
        <f>IF($P417="","",INDEX(상세표[블록 22~06시],$P417))</f>
        <v/>
      </c>
      <c r="N417">
        <f>IF($P417="","",INDEX(상세표[주말·휴일 포함],$P417)&amp;"")</f>
        <v/>
      </c>
      <c r="O417">
        <f>IF($P417="","",INDEX(상세표[월 넘김 포함],$P417)&amp;"")</f>
        <v/>
      </c>
      <c r="P417" s="4">
        <f>IFERROR(MATCH(412,상세표[연속순번],0),"")</f>
        <v/>
      </c>
    </row>
    <row r="418">
      <c r="A418">
        <f>IF($P418="","",INDEX(상세표[사번],$P418)&amp;"")</f>
        <v/>
      </c>
      <c r="B418">
        <f>IF($P418="","",INDEX(상세표[성명],$P418)&amp;"")</f>
        <v/>
      </c>
      <c r="C418">
        <f>IF($P418="","",INDEX(상세표[부서],$P418)&amp;"")</f>
        <v/>
      </c>
      <c r="D418">
        <f>IF($P418="","",INDEX(상세표[직위],$P418)&amp;"")</f>
        <v/>
      </c>
      <c r="E418">
        <f>IF($P418="","",IF(ISNUMBER(INDEX(상세표[시작],$P418)),TEXT(INDEX(상세표[시작],$P418),"yyyy-mm-dd hh:mm"),INDEX(상세표[시작],$P418)&amp;""))</f>
        <v/>
      </c>
      <c r="F418">
        <f>IF($P418="","",IF(ISNUMBER(INDEX(상세표[블록종료],$P418)),TEXT(INDEX(상세표[블록종료],$P418),"yyyy-mm-dd hh:mm"),INDEX(상세표[블록종료],$P418)&amp;""))</f>
        <v/>
      </c>
      <c r="G418">
        <f>IF($P418="","",CHOOSE(WEEKDAY(INDEX(상세표[시작],$P418)),"일","월","화","수","목","금","토"))</f>
        <v/>
      </c>
      <c r="H418">
        <f>IF($P418="","",INDEX(상세표[연속 시간],$P418))</f>
        <v/>
      </c>
      <c r="I418">
        <f>IF($P418="","",INDEX(상세표[기록 수],$P418))</f>
        <v/>
      </c>
      <c r="J418">
        <f>IF($P418="","",INDEX(상세표[블록 06~07시],$P418))</f>
        <v/>
      </c>
      <c r="K418">
        <f>IF($P418="","",INDEX(상세표[블록 07~18시],$P418))</f>
        <v/>
      </c>
      <c r="L418">
        <f>IF($P418="","",INDEX(상세표[블록 18~22시],$P418))</f>
        <v/>
      </c>
      <c r="M418">
        <f>IF($P418="","",INDEX(상세표[블록 22~06시],$P418))</f>
        <v/>
      </c>
      <c r="N418">
        <f>IF($P418="","",INDEX(상세표[주말·휴일 포함],$P418)&amp;"")</f>
        <v/>
      </c>
      <c r="O418">
        <f>IF($P418="","",INDEX(상세표[월 넘김 포함],$P418)&amp;"")</f>
        <v/>
      </c>
      <c r="P418" s="4">
        <f>IFERROR(MATCH(413,상세표[연속순번],0),"")</f>
        <v/>
      </c>
    </row>
    <row r="419">
      <c r="A419">
        <f>IF($P419="","",INDEX(상세표[사번],$P419)&amp;"")</f>
        <v/>
      </c>
      <c r="B419">
        <f>IF($P419="","",INDEX(상세표[성명],$P419)&amp;"")</f>
        <v/>
      </c>
      <c r="C419">
        <f>IF($P419="","",INDEX(상세표[부서],$P419)&amp;"")</f>
        <v/>
      </c>
      <c r="D419">
        <f>IF($P419="","",INDEX(상세표[직위],$P419)&amp;"")</f>
        <v/>
      </c>
      <c r="E419">
        <f>IF($P419="","",IF(ISNUMBER(INDEX(상세표[시작],$P419)),TEXT(INDEX(상세표[시작],$P419),"yyyy-mm-dd hh:mm"),INDEX(상세표[시작],$P419)&amp;""))</f>
        <v/>
      </c>
      <c r="F419">
        <f>IF($P419="","",IF(ISNUMBER(INDEX(상세표[블록종료],$P419)),TEXT(INDEX(상세표[블록종료],$P419),"yyyy-mm-dd hh:mm"),INDEX(상세표[블록종료],$P419)&amp;""))</f>
        <v/>
      </c>
      <c r="G419">
        <f>IF($P419="","",CHOOSE(WEEKDAY(INDEX(상세표[시작],$P419)),"일","월","화","수","목","금","토"))</f>
        <v/>
      </c>
      <c r="H419">
        <f>IF($P419="","",INDEX(상세표[연속 시간],$P419))</f>
        <v/>
      </c>
      <c r="I419">
        <f>IF($P419="","",INDEX(상세표[기록 수],$P419))</f>
        <v/>
      </c>
      <c r="J419">
        <f>IF($P419="","",INDEX(상세표[블록 06~07시],$P419))</f>
        <v/>
      </c>
      <c r="K419">
        <f>IF($P419="","",INDEX(상세표[블록 07~18시],$P419))</f>
        <v/>
      </c>
      <c r="L419">
        <f>IF($P419="","",INDEX(상세표[블록 18~22시],$P419))</f>
        <v/>
      </c>
      <c r="M419">
        <f>IF($P419="","",INDEX(상세표[블록 22~06시],$P419))</f>
        <v/>
      </c>
      <c r="N419">
        <f>IF($P419="","",INDEX(상세표[주말·휴일 포함],$P419)&amp;"")</f>
        <v/>
      </c>
      <c r="O419">
        <f>IF($P419="","",INDEX(상세표[월 넘김 포함],$P419)&amp;"")</f>
        <v/>
      </c>
      <c r="P419" s="4">
        <f>IFERROR(MATCH(414,상세표[연속순번],0),"")</f>
        <v/>
      </c>
    </row>
    <row r="420">
      <c r="A420">
        <f>IF($P420="","",INDEX(상세표[사번],$P420)&amp;"")</f>
        <v/>
      </c>
      <c r="B420">
        <f>IF($P420="","",INDEX(상세표[성명],$P420)&amp;"")</f>
        <v/>
      </c>
      <c r="C420">
        <f>IF($P420="","",INDEX(상세표[부서],$P420)&amp;"")</f>
        <v/>
      </c>
      <c r="D420">
        <f>IF($P420="","",INDEX(상세표[직위],$P420)&amp;"")</f>
        <v/>
      </c>
      <c r="E420">
        <f>IF($P420="","",IF(ISNUMBER(INDEX(상세표[시작],$P420)),TEXT(INDEX(상세표[시작],$P420),"yyyy-mm-dd hh:mm"),INDEX(상세표[시작],$P420)&amp;""))</f>
        <v/>
      </c>
      <c r="F420">
        <f>IF($P420="","",IF(ISNUMBER(INDEX(상세표[블록종료],$P420)),TEXT(INDEX(상세표[블록종료],$P420),"yyyy-mm-dd hh:mm"),INDEX(상세표[블록종료],$P420)&amp;""))</f>
        <v/>
      </c>
      <c r="G420">
        <f>IF($P420="","",CHOOSE(WEEKDAY(INDEX(상세표[시작],$P420)),"일","월","화","수","목","금","토"))</f>
        <v/>
      </c>
      <c r="H420">
        <f>IF($P420="","",INDEX(상세표[연속 시간],$P420))</f>
        <v/>
      </c>
      <c r="I420">
        <f>IF($P420="","",INDEX(상세표[기록 수],$P420))</f>
        <v/>
      </c>
      <c r="J420">
        <f>IF($P420="","",INDEX(상세표[블록 06~07시],$P420))</f>
        <v/>
      </c>
      <c r="K420">
        <f>IF($P420="","",INDEX(상세표[블록 07~18시],$P420))</f>
        <v/>
      </c>
      <c r="L420">
        <f>IF($P420="","",INDEX(상세표[블록 18~22시],$P420))</f>
        <v/>
      </c>
      <c r="M420">
        <f>IF($P420="","",INDEX(상세표[블록 22~06시],$P420))</f>
        <v/>
      </c>
      <c r="N420">
        <f>IF($P420="","",INDEX(상세표[주말·휴일 포함],$P420)&amp;"")</f>
        <v/>
      </c>
      <c r="O420">
        <f>IF($P420="","",INDEX(상세표[월 넘김 포함],$P420)&amp;"")</f>
        <v/>
      </c>
      <c r="P420" s="4">
        <f>IFERROR(MATCH(415,상세표[연속순번],0),"")</f>
        <v/>
      </c>
    </row>
    <row r="421">
      <c r="A421">
        <f>IF($P421="","",INDEX(상세표[사번],$P421)&amp;"")</f>
        <v/>
      </c>
      <c r="B421">
        <f>IF($P421="","",INDEX(상세표[성명],$P421)&amp;"")</f>
        <v/>
      </c>
      <c r="C421">
        <f>IF($P421="","",INDEX(상세표[부서],$P421)&amp;"")</f>
        <v/>
      </c>
      <c r="D421">
        <f>IF($P421="","",INDEX(상세표[직위],$P421)&amp;"")</f>
        <v/>
      </c>
      <c r="E421">
        <f>IF($P421="","",IF(ISNUMBER(INDEX(상세표[시작],$P421)),TEXT(INDEX(상세표[시작],$P421),"yyyy-mm-dd hh:mm"),INDEX(상세표[시작],$P421)&amp;""))</f>
        <v/>
      </c>
      <c r="F421">
        <f>IF($P421="","",IF(ISNUMBER(INDEX(상세표[블록종료],$P421)),TEXT(INDEX(상세표[블록종료],$P421),"yyyy-mm-dd hh:mm"),INDEX(상세표[블록종료],$P421)&amp;""))</f>
        <v/>
      </c>
      <c r="G421">
        <f>IF($P421="","",CHOOSE(WEEKDAY(INDEX(상세표[시작],$P421)),"일","월","화","수","목","금","토"))</f>
        <v/>
      </c>
      <c r="H421">
        <f>IF($P421="","",INDEX(상세표[연속 시간],$P421))</f>
        <v/>
      </c>
      <c r="I421">
        <f>IF($P421="","",INDEX(상세표[기록 수],$P421))</f>
        <v/>
      </c>
      <c r="J421">
        <f>IF($P421="","",INDEX(상세표[블록 06~07시],$P421))</f>
        <v/>
      </c>
      <c r="K421">
        <f>IF($P421="","",INDEX(상세표[블록 07~18시],$P421))</f>
        <v/>
      </c>
      <c r="L421">
        <f>IF($P421="","",INDEX(상세표[블록 18~22시],$P421))</f>
        <v/>
      </c>
      <c r="M421">
        <f>IF($P421="","",INDEX(상세표[블록 22~06시],$P421))</f>
        <v/>
      </c>
      <c r="N421">
        <f>IF($P421="","",INDEX(상세표[주말·휴일 포함],$P421)&amp;"")</f>
        <v/>
      </c>
      <c r="O421">
        <f>IF($P421="","",INDEX(상세표[월 넘김 포함],$P421)&amp;"")</f>
        <v/>
      </c>
      <c r="P421" s="4">
        <f>IFERROR(MATCH(416,상세표[연속순번],0),"")</f>
        <v/>
      </c>
    </row>
    <row r="422">
      <c r="A422">
        <f>IF($P422="","",INDEX(상세표[사번],$P422)&amp;"")</f>
        <v/>
      </c>
      <c r="B422">
        <f>IF($P422="","",INDEX(상세표[성명],$P422)&amp;"")</f>
        <v/>
      </c>
      <c r="C422">
        <f>IF($P422="","",INDEX(상세표[부서],$P422)&amp;"")</f>
        <v/>
      </c>
      <c r="D422">
        <f>IF($P422="","",INDEX(상세표[직위],$P422)&amp;"")</f>
        <v/>
      </c>
      <c r="E422">
        <f>IF($P422="","",IF(ISNUMBER(INDEX(상세표[시작],$P422)),TEXT(INDEX(상세표[시작],$P422),"yyyy-mm-dd hh:mm"),INDEX(상세표[시작],$P422)&amp;""))</f>
        <v/>
      </c>
      <c r="F422">
        <f>IF($P422="","",IF(ISNUMBER(INDEX(상세표[블록종료],$P422)),TEXT(INDEX(상세표[블록종료],$P422),"yyyy-mm-dd hh:mm"),INDEX(상세표[블록종료],$P422)&amp;""))</f>
        <v/>
      </c>
      <c r="G422">
        <f>IF($P422="","",CHOOSE(WEEKDAY(INDEX(상세표[시작],$P422)),"일","월","화","수","목","금","토"))</f>
        <v/>
      </c>
      <c r="H422">
        <f>IF($P422="","",INDEX(상세표[연속 시간],$P422))</f>
        <v/>
      </c>
      <c r="I422">
        <f>IF($P422="","",INDEX(상세표[기록 수],$P422))</f>
        <v/>
      </c>
      <c r="J422">
        <f>IF($P422="","",INDEX(상세표[블록 06~07시],$P422))</f>
        <v/>
      </c>
      <c r="K422">
        <f>IF($P422="","",INDEX(상세표[블록 07~18시],$P422))</f>
        <v/>
      </c>
      <c r="L422">
        <f>IF($P422="","",INDEX(상세표[블록 18~22시],$P422))</f>
        <v/>
      </c>
      <c r="M422">
        <f>IF($P422="","",INDEX(상세표[블록 22~06시],$P422))</f>
        <v/>
      </c>
      <c r="N422">
        <f>IF($P422="","",INDEX(상세표[주말·휴일 포함],$P422)&amp;"")</f>
        <v/>
      </c>
      <c r="O422">
        <f>IF($P422="","",INDEX(상세표[월 넘김 포함],$P422)&amp;"")</f>
        <v/>
      </c>
      <c r="P422" s="4">
        <f>IFERROR(MATCH(417,상세표[연속순번],0),"")</f>
        <v/>
      </c>
    </row>
    <row r="423">
      <c r="A423">
        <f>IF($P423="","",INDEX(상세표[사번],$P423)&amp;"")</f>
        <v/>
      </c>
      <c r="B423">
        <f>IF($P423="","",INDEX(상세표[성명],$P423)&amp;"")</f>
        <v/>
      </c>
      <c r="C423">
        <f>IF($P423="","",INDEX(상세표[부서],$P423)&amp;"")</f>
        <v/>
      </c>
      <c r="D423">
        <f>IF($P423="","",INDEX(상세표[직위],$P423)&amp;"")</f>
        <v/>
      </c>
      <c r="E423">
        <f>IF($P423="","",IF(ISNUMBER(INDEX(상세표[시작],$P423)),TEXT(INDEX(상세표[시작],$P423),"yyyy-mm-dd hh:mm"),INDEX(상세표[시작],$P423)&amp;""))</f>
        <v/>
      </c>
      <c r="F423">
        <f>IF($P423="","",IF(ISNUMBER(INDEX(상세표[블록종료],$P423)),TEXT(INDEX(상세표[블록종료],$P423),"yyyy-mm-dd hh:mm"),INDEX(상세표[블록종료],$P423)&amp;""))</f>
        <v/>
      </c>
      <c r="G423">
        <f>IF($P423="","",CHOOSE(WEEKDAY(INDEX(상세표[시작],$P423)),"일","월","화","수","목","금","토"))</f>
        <v/>
      </c>
      <c r="H423">
        <f>IF($P423="","",INDEX(상세표[연속 시간],$P423))</f>
        <v/>
      </c>
      <c r="I423">
        <f>IF($P423="","",INDEX(상세표[기록 수],$P423))</f>
        <v/>
      </c>
      <c r="J423">
        <f>IF($P423="","",INDEX(상세표[블록 06~07시],$P423))</f>
        <v/>
      </c>
      <c r="K423">
        <f>IF($P423="","",INDEX(상세표[블록 07~18시],$P423))</f>
        <v/>
      </c>
      <c r="L423">
        <f>IF($P423="","",INDEX(상세표[블록 18~22시],$P423))</f>
        <v/>
      </c>
      <c r="M423">
        <f>IF($P423="","",INDEX(상세표[블록 22~06시],$P423))</f>
        <v/>
      </c>
      <c r="N423">
        <f>IF($P423="","",INDEX(상세표[주말·휴일 포함],$P423)&amp;"")</f>
        <v/>
      </c>
      <c r="O423">
        <f>IF($P423="","",INDEX(상세표[월 넘김 포함],$P423)&amp;"")</f>
        <v/>
      </c>
      <c r="P423" s="4">
        <f>IFERROR(MATCH(418,상세표[연속순번],0),"")</f>
        <v/>
      </c>
    </row>
    <row r="424">
      <c r="A424">
        <f>IF($P424="","",INDEX(상세표[사번],$P424)&amp;"")</f>
        <v/>
      </c>
      <c r="B424">
        <f>IF($P424="","",INDEX(상세표[성명],$P424)&amp;"")</f>
        <v/>
      </c>
      <c r="C424">
        <f>IF($P424="","",INDEX(상세표[부서],$P424)&amp;"")</f>
        <v/>
      </c>
      <c r="D424">
        <f>IF($P424="","",INDEX(상세표[직위],$P424)&amp;"")</f>
        <v/>
      </c>
      <c r="E424">
        <f>IF($P424="","",IF(ISNUMBER(INDEX(상세표[시작],$P424)),TEXT(INDEX(상세표[시작],$P424),"yyyy-mm-dd hh:mm"),INDEX(상세표[시작],$P424)&amp;""))</f>
        <v/>
      </c>
      <c r="F424">
        <f>IF($P424="","",IF(ISNUMBER(INDEX(상세표[블록종료],$P424)),TEXT(INDEX(상세표[블록종료],$P424),"yyyy-mm-dd hh:mm"),INDEX(상세표[블록종료],$P424)&amp;""))</f>
        <v/>
      </c>
      <c r="G424">
        <f>IF($P424="","",CHOOSE(WEEKDAY(INDEX(상세표[시작],$P424)),"일","월","화","수","목","금","토"))</f>
        <v/>
      </c>
      <c r="H424">
        <f>IF($P424="","",INDEX(상세표[연속 시간],$P424))</f>
        <v/>
      </c>
      <c r="I424">
        <f>IF($P424="","",INDEX(상세표[기록 수],$P424))</f>
        <v/>
      </c>
      <c r="J424">
        <f>IF($P424="","",INDEX(상세표[블록 06~07시],$P424))</f>
        <v/>
      </c>
      <c r="K424">
        <f>IF($P424="","",INDEX(상세표[블록 07~18시],$P424))</f>
        <v/>
      </c>
      <c r="L424">
        <f>IF($P424="","",INDEX(상세표[블록 18~22시],$P424))</f>
        <v/>
      </c>
      <c r="M424">
        <f>IF($P424="","",INDEX(상세표[블록 22~06시],$P424))</f>
        <v/>
      </c>
      <c r="N424">
        <f>IF($P424="","",INDEX(상세표[주말·휴일 포함],$P424)&amp;"")</f>
        <v/>
      </c>
      <c r="O424">
        <f>IF($P424="","",INDEX(상세표[월 넘김 포함],$P424)&amp;"")</f>
        <v/>
      </c>
      <c r="P424" s="4">
        <f>IFERROR(MATCH(419,상세표[연속순번],0),"")</f>
        <v/>
      </c>
    </row>
    <row r="425">
      <c r="A425">
        <f>IF($P425="","",INDEX(상세표[사번],$P425)&amp;"")</f>
        <v/>
      </c>
      <c r="B425">
        <f>IF($P425="","",INDEX(상세표[성명],$P425)&amp;"")</f>
        <v/>
      </c>
      <c r="C425">
        <f>IF($P425="","",INDEX(상세표[부서],$P425)&amp;"")</f>
        <v/>
      </c>
      <c r="D425">
        <f>IF($P425="","",INDEX(상세표[직위],$P425)&amp;"")</f>
        <v/>
      </c>
      <c r="E425">
        <f>IF($P425="","",IF(ISNUMBER(INDEX(상세표[시작],$P425)),TEXT(INDEX(상세표[시작],$P425),"yyyy-mm-dd hh:mm"),INDEX(상세표[시작],$P425)&amp;""))</f>
        <v/>
      </c>
      <c r="F425">
        <f>IF($P425="","",IF(ISNUMBER(INDEX(상세표[블록종료],$P425)),TEXT(INDEX(상세표[블록종료],$P425),"yyyy-mm-dd hh:mm"),INDEX(상세표[블록종료],$P425)&amp;""))</f>
        <v/>
      </c>
      <c r="G425">
        <f>IF($P425="","",CHOOSE(WEEKDAY(INDEX(상세표[시작],$P425)),"일","월","화","수","목","금","토"))</f>
        <v/>
      </c>
      <c r="H425">
        <f>IF($P425="","",INDEX(상세표[연속 시간],$P425))</f>
        <v/>
      </c>
      <c r="I425">
        <f>IF($P425="","",INDEX(상세표[기록 수],$P425))</f>
        <v/>
      </c>
      <c r="J425">
        <f>IF($P425="","",INDEX(상세표[블록 06~07시],$P425))</f>
        <v/>
      </c>
      <c r="K425">
        <f>IF($P425="","",INDEX(상세표[블록 07~18시],$P425))</f>
        <v/>
      </c>
      <c r="L425">
        <f>IF($P425="","",INDEX(상세표[블록 18~22시],$P425))</f>
        <v/>
      </c>
      <c r="M425">
        <f>IF($P425="","",INDEX(상세표[블록 22~06시],$P425))</f>
        <v/>
      </c>
      <c r="N425">
        <f>IF($P425="","",INDEX(상세표[주말·휴일 포함],$P425)&amp;"")</f>
        <v/>
      </c>
      <c r="O425">
        <f>IF($P425="","",INDEX(상세표[월 넘김 포함],$P425)&amp;"")</f>
        <v/>
      </c>
      <c r="P425" s="4">
        <f>IFERROR(MATCH(420,상세표[연속순번],0),"")</f>
        <v/>
      </c>
    </row>
    <row r="426">
      <c r="A426">
        <f>IF($P426="","",INDEX(상세표[사번],$P426)&amp;"")</f>
        <v/>
      </c>
      <c r="B426">
        <f>IF($P426="","",INDEX(상세표[성명],$P426)&amp;"")</f>
        <v/>
      </c>
      <c r="C426">
        <f>IF($P426="","",INDEX(상세표[부서],$P426)&amp;"")</f>
        <v/>
      </c>
      <c r="D426">
        <f>IF($P426="","",INDEX(상세표[직위],$P426)&amp;"")</f>
        <v/>
      </c>
      <c r="E426">
        <f>IF($P426="","",IF(ISNUMBER(INDEX(상세표[시작],$P426)),TEXT(INDEX(상세표[시작],$P426),"yyyy-mm-dd hh:mm"),INDEX(상세표[시작],$P426)&amp;""))</f>
        <v/>
      </c>
      <c r="F426">
        <f>IF($P426="","",IF(ISNUMBER(INDEX(상세표[블록종료],$P426)),TEXT(INDEX(상세표[블록종료],$P426),"yyyy-mm-dd hh:mm"),INDEX(상세표[블록종료],$P426)&amp;""))</f>
        <v/>
      </c>
      <c r="G426">
        <f>IF($P426="","",CHOOSE(WEEKDAY(INDEX(상세표[시작],$P426)),"일","월","화","수","목","금","토"))</f>
        <v/>
      </c>
      <c r="H426">
        <f>IF($P426="","",INDEX(상세표[연속 시간],$P426))</f>
        <v/>
      </c>
      <c r="I426">
        <f>IF($P426="","",INDEX(상세표[기록 수],$P426))</f>
        <v/>
      </c>
      <c r="J426">
        <f>IF($P426="","",INDEX(상세표[블록 06~07시],$P426))</f>
        <v/>
      </c>
      <c r="K426">
        <f>IF($P426="","",INDEX(상세표[블록 07~18시],$P426))</f>
        <v/>
      </c>
      <c r="L426">
        <f>IF($P426="","",INDEX(상세표[블록 18~22시],$P426))</f>
        <v/>
      </c>
      <c r="M426">
        <f>IF($P426="","",INDEX(상세표[블록 22~06시],$P426))</f>
        <v/>
      </c>
      <c r="N426">
        <f>IF($P426="","",INDEX(상세표[주말·휴일 포함],$P426)&amp;"")</f>
        <v/>
      </c>
      <c r="O426">
        <f>IF($P426="","",INDEX(상세표[월 넘김 포함],$P426)&amp;"")</f>
        <v/>
      </c>
      <c r="P426" s="4">
        <f>IFERROR(MATCH(421,상세표[연속순번],0),"")</f>
        <v/>
      </c>
    </row>
    <row r="427">
      <c r="A427">
        <f>IF($P427="","",INDEX(상세표[사번],$P427)&amp;"")</f>
        <v/>
      </c>
      <c r="B427">
        <f>IF($P427="","",INDEX(상세표[성명],$P427)&amp;"")</f>
        <v/>
      </c>
      <c r="C427">
        <f>IF($P427="","",INDEX(상세표[부서],$P427)&amp;"")</f>
        <v/>
      </c>
      <c r="D427">
        <f>IF($P427="","",INDEX(상세표[직위],$P427)&amp;"")</f>
        <v/>
      </c>
      <c r="E427">
        <f>IF($P427="","",IF(ISNUMBER(INDEX(상세표[시작],$P427)),TEXT(INDEX(상세표[시작],$P427),"yyyy-mm-dd hh:mm"),INDEX(상세표[시작],$P427)&amp;""))</f>
        <v/>
      </c>
      <c r="F427">
        <f>IF($P427="","",IF(ISNUMBER(INDEX(상세표[블록종료],$P427)),TEXT(INDEX(상세표[블록종료],$P427),"yyyy-mm-dd hh:mm"),INDEX(상세표[블록종료],$P427)&amp;""))</f>
        <v/>
      </c>
      <c r="G427">
        <f>IF($P427="","",CHOOSE(WEEKDAY(INDEX(상세표[시작],$P427)),"일","월","화","수","목","금","토"))</f>
        <v/>
      </c>
      <c r="H427">
        <f>IF($P427="","",INDEX(상세표[연속 시간],$P427))</f>
        <v/>
      </c>
      <c r="I427">
        <f>IF($P427="","",INDEX(상세표[기록 수],$P427))</f>
        <v/>
      </c>
      <c r="J427">
        <f>IF($P427="","",INDEX(상세표[블록 06~07시],$P427))</f>
        <v/>
      </c>
      <c r="K427">
        <f>IF($P427="","",INDEX(상세표[블록 07~18시],$P427))</f>
        <v/>
      </c>
      <c r="L427">
        <f>IF($P427="","",INDEX(상세표[블록 18~22시],$P427))</f>
        <v/>
      </c>
      <c r="M427">
        <f>IF($P427="","",INDEX(상세표[블록 22~06시],$P427))</f>
        <v/>
      </c>
      <c r="N427">
        <f>IF($P427="","",INDEX(상세표[주말·휴일 포함],$P427)&amp;"")</f>
        <v/>
      </c>
      <c r="O427">
        <f>IF($P427="","",INDEX(상세표[월 넘김 포함],$P427)&amp;"")</f>
        <v/>
      </c>
      <c r="P427" s="4">
        <f>IFERROR(MATCH(422,상세표[연속순번],0),"")</f>
        <v/>
      </c>
    </row>
    <row r="428">
      <c r="A428">
        <f>IF($P428="","",INDEX(상세표[사번],$P428)&amp;"")</f>
        <v/>
      </c>
      <c r="B428">
        <f>IF($P428="","",INDEX(상세표[성명],$P428)&amp;"")</f>
        <v/>
      </c>
      <c r="C428">
        <f>IF($P428="","",INDEX(상세표[부서],$P428)&amp;"")</f>
        <v/>
      </c>
      <c r="D428">
        <f>IF($P428="","",INDEX(상세표[직위],$P428)&amp;"")</f>
        <v/>
      </c>
      <c r="E428">
        <f>IF($P428="","",IF(ISNUMBER(INDEX(상세표[시작],$P428)),TEXT(INDEX(상세표[시작],$P428),"yyyy-mm-dd hh:mm"),INDEX(상세표[시작],$P428)&amp;""))</f>
        <v/>
      </c>
      <c r="F428">
        <f>IF($P428="","",IF(ISNUMBER(INDEX(상세표[블록종료],$P428)),TEXT(INDEX(상세표[블록종료],$P428),"yyyy-mm-dd hh:mm"),INDEX(상세표[블록종료],$P428)&amp;""))</f>
        <v/>
      </c>
      <c r="G428">
        <f>IF($P428="","",CHOOSE(WEEKDAY(INDEX(상세표[시작],$P428)),"일","월","화","수","목","금","토"))</f>
        <v/>
      </c>
      <c r="H428">
        <f>IF($P428="","",INDEX(상세표[연속 시간],$P428))</f>
        <v/>
      </c>
      <c r="I428">
        <f>IF($P428="","",INDEX(상세표[기록 수],$P428))</f>
        <v/>
      </c>
      <c r="J428">
        <f>IF($P428="","",INDEX(상세표[블록 06~07시],$P428))</f>
        <v/>
      </c>
      <c r="K428">
        <f>IF($P428="","",INDEX(상세표[블록 07~18시],$P428))</f>
        <v/>
      </c>
      <c r="L428">
        <f>IF($P428="","",INDEX(상세표[블록 18~22시],$P428))</f>
        <v/>
      </c>
      <c r="M428">
        <f>IF($P428="","",INDEX(상세표[블록 22~06시],$P428))</f>
        <v/>
      </c>
      <c r="N428">
        <f>IF($P428="","",INDEX(상세표[주말·휴일 포함],$P428)&amp;"")</f>
        <v/>
      </c>
      <c r="O428">
        <f>IF($P428="","",INDEX(상세표[월 넘김 포함],$P428)&amp;"")</f>
        <v/>
      </c>
      <c r="P428" s="4">
        <f>IFERROR(MATCH(423,상세표[연속순번],0),"")</f>
        <v/>
      </c>
    </row>
    <row r="429">
      <c r="A429">
        <f>IF($P429="","",INDEX(상세표[사번],$P429)&amp;"")</f>
        <v/>
      </c>
      <c r="B429">
        <f>IF($P429="","",INDEX(상세표[성명],$P429)&amp;"")</f>
        <v/>
      </c>
      <c r="C429">
        <f>IF($P429="","",INDEX(상세표[부서],$P429)&amp;"")</f>
        <v/>
      </c>
      <c r="D429">
        <f>IF($P429="","",INDEX(상세표[직위],$P429)&amp;"")</f>
        <v/>
      </c>
      <c r="E429">
        <f>IF($P429="","",IF(ISNUMBER(INDEX(상세표[시작],$P429)),TEXT(INDEX(상세표[시작],$P429),"yyyy-mm-dd hh:mm"),INDEX(상세표[시작],$P429)&amp;""))</f>
        <v/>
      </c>
      <c r="F429">
        <f>IF($P429="","",IF(ISNUMBER(INDEX(상세표[블록종료],$P429)),TEXT(INDEX(상세표[블록종료],$P429),"yyyy-mm-dd hh:mm"),INDEX(상세표[블록종료],$P429)&amp;""))</f>
        <v/>
      </c>
      <c r="G429">
        <f>IF($P429="","",CHOOSE(WEEKDAY(INDEX(상세표[시작],$P429)),"일","월","화","수","목","금","토"))</f>
        <v/>
      </c>
      <c r="H429">
        <f>IF($P429="","",INDEX(상세표[연속 시간],$P429))</f>
        <v/>
      </c>
      <c r="I429">
        <f>IF($P429="","",INDEX(상세표[기록 수],$P429))</f>
        <v/>
      </c>
      <c r="J429">
        <f>IF($P429="","",INDEX(상세표[블록 06~07시],$P429))</f>
        <v/>
      </c>
      <c r="K429">
        <f>IF($P429="","",INDEX(상세표[블록 07~18시],$P429))</f>
        <v/>
      </c>
      <c r="L429">
        <f>IF($P429="","",INDEX(상세표[블록 18~22시],$P429))</f>
        <v/>
      </c>
      <c r="M429">
        <f>IF($P429="","",INDEX(상세표[블록 22~06시],$P429))</f>
        <v/>
      </c>
      <c r="N429">
        <f>IF($P429="","",INDEX(상세표[주말·휴일 포함],$P429)&amp;"")</f>
        <v/>
      </c>
      <c r="O429">
        <f>IF($P429="","",INDEX(상세표[월 넘김 포함],$P429)&amp;"")</f>
        <v/>
      </c>
      <c r="P429" s="4">
        <f>IFERROR(MATCH(424,상세표[연속순번],0),"")</f>
        <v/>
      </c>
    </row>
    <row r="430">
      <c r="A430">
        <f>IF($P430="","",INDEX(상세표[사번],$P430)&amp;"")</f>
        <v/>
      </c>
      <c r="B430">
        <f>IF($P430="","",INDEX(상세표[성명],$P430)&amp;"")</f>
        <v/>
      </c>
      <c r="C430">
        <f>IF($P430="","",INDEX(상세표[부서],$P430)&amp;"")</f>
        <v/>
      </c>
      <c r="D430">
        <f>IF($P430="","",INDEX(상세표[직위],$P430)&amp;"")</f>
        <v/>
      </c>
      <c r="E430">
        <f>IF($P430="","",IF(ISNUMBER(INDEX(상세표[시작],$P430)),TEXT(INDEX(상세표[시작],$P430),"yyyy-mm-dd hh:mm"),INDEX(상세표[시작],$P430)&amp;""))</f>
        <v/>
      </c>
      <c r="F430">
        <f>IF($P430="","",IF(ISNUMBER(INDEX(상세표[블록종료],$P430)),TEXT(INDEX(상세표[블록종료],$P430),"yyyy-mm-dd hh:mm"),INDEX(상세표[블록종료],$P430)&amp;""))</f>
        <v/>
      </c>
      <c r="G430">
        <f>IF($P430="","",CHOOSE(WEEKDAY(INDEX(상세표[시작],$P430)),"일","월","화","수","목","금","토"))</f>
        <v/>
      </c>
      <c r="H430">
        <f>IF($P430="","",INDEX(상세표[연속 시간],$P430))</f>
        <v/>
      </c>
      <c r="I430">
        <f>IF($P430="","",INDEX(상세표[기록 수],$P430))</f>
        <v/>
      </c>
      <c r="J430">
        <f>IF($P430="","",INDEX(상세표[블록 06~07시],$P430))</f>
        <v/>
      </c>
      <c r="K430">
        <f>IF($P430="","",INDEX(상세표[블록 07~18시],$P430))</f>
        <v/>
      </c>
      <c r="L430">
        <f>IF($P430="","",INDEX(상세표[블록 18~22시],$P430))</f>
        <v/>
      </c>
      <c r="M430">
        <f>IF($P430="","",INDEX(상세표[블록 22~06시],$P430))</f>
        <v/>
      </c>
      <c r="N430">
        <f>IF($P430="","",INDEX(상세표[주말·휴일 포함],$P430)&amp;"")</f>
        <v/>
      </c>
      <c r="O430">
        <f>IF($P430="","",INDEX(상세표[월 넘김 포함],$P430)&amp;"")</f>
        <v/>
      </c>
      <c r="P430" s="4">
        <f>IFERROR(MATCH(425,상세표[연속순번],0),"")</f>
        <v/>
      </c>
    </row>
    <row r="431">
      <c r="A431">
        <f>IF($P431="","",INDEX(상세표[사번],$P431)&amp;"")</f>
        <v/>
      </c>
      <c r="B431">
        <f>IF($P431="","",INDEX(상세표[성명],$P431)&amp;"")</f>
        <v/>
      </c>
      <c r="C431">
        <f>IF($P431="","",INDEX(상세표[부서],$P431)&amp;"")</f>
        <v/>
      </c>
      <c r="D431">
        <f>IF($P431="","",INDEX(상세표[직위],$P431)&amp;"")</f>
        <v/>
      </c>
      <c r="E431">
        <f>IF($P431="","",IF(ISNUMBER(INDEX(상세표[시작],$P431)),TEXT(INDEX(상세표[시작],$P431),"yyyy-mm-dd hh:mm"),INDEX(상세표[시작],$P431)&amp;""))</f>
        <v/>
      </c>
      <c r="F431">
        <f>IF($P431="","",IF(ISNUMBER(INDEX(상세표[블록종료],$P431)),TEXT(INDEX(상세표[블록종료],$P431),"yyyy-mm-dd hh:mm"),INDEX(상세표[블록종료],$P431)&amp;""))</f>
        <v/>
      </c>
      <c r="G431">
        <f>IF($P431="","",CHOOSE(WEEKDAY(INDEX(상세표[시작],$P431)),"일","월","화","수","목","금","토"))</f>
        <v/>
      </c>
      <c r="H431">
        <f>IF($P431="","",INDEX(상세표[연속 시간],$P431))</f>
        <v/>
      </c>
      <c r="I431">
        <f>IF($P431="","",INDEX(상세표[기록 수],$P431))</f>
        <v/>
      </c>
      <c r="J431">
        <f>IF($P431="","",INDEX(상세표[블록 06~07시],$P431))</f>
        <v/>
      </c>
      <c r="K431">
        <f>IF($P431="","",INDEX(상세표[블록 07~18시],$P431))</f>
        <v/>
      </c>
      <c r="L431">
        <f>IF($P431="","",INDEX(상세표[블록 18~22시],$P431))</f>
        <v/>
      </c>
      <c r="M431">
        <f>IF($P431="","",INDEX(상세표[블록 22~06시],$P431))</f>
        <v/>
      </c>
      <c r="N431">
        <f>IF($P431="","",INDEX(상세표[주말·휴일 포함],$P431)&amp;"")</f>
        <v/>
      </c>
      <c r="O431">
        <f>IF($P431="","",INDEX(상세표[월 넘김 포함],$P431)&amp;"")</f>
        <v/>
      </c>
      <c r="P431" s="4">
        <f>IFERROR(MATCH(426,상세표[연속순번],0),"")</f>
        <v/>
      </c>
    </row>
    <row r="432">
      <c r="A432">
        <f>IF($P432="","",INDEX(상세표[사번],$P432)&amp;"")</f>
        <v/>
      </c>
      <c r="B432">
        <f>IF($P432="","",INDEX(상세표[성명],$P432)&amp;"")</f>
        <v/>
      </c>
      <c r="C432">
        <f>IF($P432="","",INDEX(상세표[부서],$P432)&amp;"")</f>
        <v/>
      </c>
      <c r="D432">
        <f>IF($P432="","",INDEX(상세표[직위],$P432)&amp;"")</f>
        <v/>
      </c>
      <c r="E432">
        <f>IF($P432="","",IF(ISNUMBER(INDEX(상세표[시작],$P432)),TEXT(INDEX(상세표[시작],$P432),"yyyy-mm-dd hh:mm"),INDEX(상세표[시작],$P432)&amp;""))</f>
        <v/>
      </c>
      <c r="F432">
        <f>IF($P432="","",IF(ISNUMBER(INDEX(상세표[블록종료],$P432)),TEXT(INDEX(상세표[블록종료],$P432),"yyyy-mm-dd hh:mm"),INDEX(상세표[블록종료],$P432)&amp;""))</f>
        <v/>
      </c>
      <c r="G432">
        <f>IF($P432="","",CHOOSE(WEEKDAY(INDEX(상세표[시작],$P432)),"일","월","화","수","목","금","토"))</f>
        <v/>
      </c>
      <c r="H432">
        <f>IF($P432="","",INDEX(상세표[연속 시간],$P432))</f>
        <v/>
      </c>
      <c r="I432">
        <f>IF($P432="","",INDEX(상세표[기록 수],$P432))</f>
        <v/>
      </c>
      <c r="J432">
        <f>IF($P432="","",INDEX(상세표[블록 06~07시],$P432))</f>
        <v/>
      </c>
      <c r="K432">
        <f>IF($P432="","",INDEX(상세표[블록 07~18시],$P432))</f>
        <v/>
      </c>
      <c r="L432">
        <f>IF($P432="","",INDEX(상세표[블록 18~22시],$P432))</f>
        <v/>
      </c>
      <c r="M432">
        <f>IF($P432="","",INDEX(상세표[블록 22~06시],$P432))</f>
        <v/>
      </c>
      <c r="N432">
        <f>IF($P432="","",INDEX(상세표[주말·휴일 포함],$P432)&amp;"")</f>
        <v/>
      </c>
      <c r="O432">
        <f>IF($P432="","",INDEX(상세표[월 넘김 포함],$P432)&amp;"")</f>
        <v/>
      </c>
      <c r="P432" s="4">
        <f>IFERROR(MATCH(427,상세표[연속순번],0),"")</f>
        <v/>
      </c>
    </row>
    <row r="433">
      <c r="A433">
        <f>IF($P433="","",INDEX(상세표[사번],$P433)&amp;"")</f>
        <v/>
      </c>
      <c r="B433">
        <f>IF($P433="","",INDEX(상세표[성명],$P433)&amp;"")</f>
        <v/>
      </c>
      <c r="C433">
        <f>IF($P433="","",INDEX(상세표[부서],$P433)&amp;"")</f>
        <v/>
      </c>
      <c r="D433">
        <f>IF($P433="","",INDEX(상세표[직위],$P433)&amp;"")</f>
        <v/>
      </c>
      <c r="E433">
        <f>IF($P433="","",IF(ISNUMBER(INDEX(상세표[시작],$P433)),TEXT(INDEX(상세표[시작],$P433),"yyyy-mm-dd hh:mm"),INDEX(상세표[시작],$P433)&amp;""))</f>
        <v/>
      </c>
      <c r="F433">
        <f>IF($P433="","",IF(ISNUMBER(INDEX(상세표[블록종료],$P433)),TEXT(INDEX(상세표[블록종료],$P433),"yyyy-mm-dd hh:mm"),INDEX(상세표[블록종료],$P433)&amp;""))</f>
        <v/>
      </c>
      <c r="G433">
        <f>IF($P433="","",CHOOSE(WEEKDAY(INDEX(상세표[시작],$P433)),"일","월","화","수","목","금","토"))</f>
        <v/>
      </c>
      <c r="H433">
        <f>IF($P433="","",INDEX(상세표[연속 시간],$P433))</f>
        <v/>
      </c>
      <c r="I433">
        <f>IF($P433="","",INDEX(상세표[기록 수],$P433))</f>
        <v/>
      </c>
      <c r="J433">
        <f>IF($P433="","",INDEX(상세표[블록 06~07시],$P433))</f>
        <v/>
      </c>
      <c r="K433">
        <f>IF($P433="","",INDEX(상세표[블록 07~18시],$P433))</f>
        <v/>
      </c>
      <c r="L433">
        <f>IF($P433="","",INDEX(상세표[블록 18~22시],$P433))</f>
        <v/>
      </c>
      <c r="M433">
        <f>IF($P433="","",INDEX(상세표[블록 22~06시],$P433))</f>
        <v/>
      </c>
      <c r="N433">
        <f>IF($P433="","",INDEX(상세표[주말·휴일 포함],$P433)&amp;"")</f>
        <v/>
      </c>
      <c r="O433">
        <f>IF($P433="","",INDEX(상세표[월 넘김 포함],$P433)&amp;"")</f>
        <v/>
      </c>
      <c r="P433" s="4">
        <f>IFERROR(MATCH(428,상세표[연속순번],0),"")</f>
        <v/>
      </c>
    </row>
    <row r="434">
      <c r="A434">
        <f>IF($P434="","",INDEX(상세표[사번],$P434)&amp;"")</f>
        <v/>
      </c>
      <c r="B434">
        <f>IF($P434="","",INDEX(상세표[성명],$P434)&amp;"")</f>
        <v/>
      </c>
      <c r="C434">
        <f>IF($P434="","",INDEX(상세표[부서],$P434)&amp;"")</f>
        <v/>
      </c>
      <c r="D434">
        <f>IF($P434="","",INDEX(상세표[직위],$P434)&amp;"")</f>
        <v/>
      </c>
      <c r="E434">
        <f>IF($P434="","",IF(ISNUMBER(INDEX(상세표[시작],$P434)),TEXT(INDEX(상세표[시작],$P434),"yyyy-mm-dd hh:mm"),INDEX(상세표[시작],$P434)&amp;""))</f>
        <v/>
      </c>
      <c r="F434">
        <f>IF($P434="","",IF(ISNUMBER(INDEX(상세표[블록종료],$P434)),TEXT(INDEX(상세표[블록종료],$P434),"yyyy-mm-dd hh:mm"),INDEX(상세표[블록종료],$P434)&amp;""))</f>
        <v/>
      </c>
      <c r="G434">
        <f>IF($P434="","",CHOOSE(WEEKDAY(INDEX(상세표[시작],$P434)),"일","월","화","수","목","금","토"))</f>
        <v/>
      </c>
      <c r="H434">
        <f>IF($P434="","",INDEX(상세표[연속 시간],$P434))</f>
        <v/>
      </c>
      <c r="I434">
        <f>IF($P434="","",INDEX(상세표[기록 수],$P434))</f>
        <v/>
      </c>
      <c r="J434">
        <f>IF($P434="","",INDEX(상세표[블록 06~07시],$P434))</f>
        <v/>
      </c>
      <c r="K434">
        <f>IF($P434="","",INDEX(상세표[블록 07~18시],$P434))</f>
        <v/>
      </c>
      <c r="L434">
        <f>IF($P434="","",INDEX(상세표[블록 18~22시],$P434))</f>
        <v/>
      </c>
      <c r="M434">
        <f>IF($P434="","",INDEX(상세표[블록 22~06시],$P434))</f>
        <v/>
      </c>
      <c r="N434">
        <f>IF($P434="","",INDEX(상세표[주말·휴일 포함],$P434)&amp;"")</f>
        <v/>
      </c>
      <c r="O434">
        <f>IF($P434="","",INDEX(상세표[월 넘김 포함],$P434)&amp;"")</f>
        <v/>
      </c>
      <c r="P434" s="4">
        <f>IFERROR(MATCH(429,상세표[연속순번],0),"")</f>
        <v/>
      </c>
    </row>
    <row r="435">
      <c r="A435">
        <f>IF($P435="","",INDEX(상세표[사번],$P435)&amp;"")</f>
        <v/>
      </c>
      <c r="B435">
        <f>IF($P435="","",INDEX(상세표[성명],$P435)&amp;"")</f>
        <v/>
      </c>
      <c r="C435">
        <f>IF($P435="","",INDEX(상세표[부서],$P435)&amp;"")</f>
        <v/>
      </c>
      <c r="D435">
        <f>IF($P435="","",INDEX(상세표[직위],$P435)&amp;"")</f>
        <v/>
      </c>
      <c r="E435">
        <f>IF($P435="","",IF(ISNUMBER(INDEX(상세표[시작],$P435)),TEXT(INDEX(상세표[시작],$P435),"yyyy-mm-dd hh:mm"),INDEX(상세표[시작],$P435)&amp;""))</f>
        <v/>
      </c>
      <c r="F435">
        <f>IF($P435="","",IF(ISNUMBER(INDEX(상세표[블록종료],$P435)),TEXT(INDEX(상세표[블록종료],$P435),"yyyy-mm-dd hh:mm"),INDEX(상세표[블록종료],$P435)&amp;""))</f>
        <v/>
      </c>
      <c r="G435">
        <f>IF($P435="","",CHOOSE(WEEKDAY(INDEX(상세표[시작],$P435)),"일","월","화","수","목","금","토"))</f>
        <v/>
      </c>
      <c r="H435">
        <f>IF($P435="","",INDEX(상세표[연속 시간],$P435))</f>
        <v/>
      </c>
      <c r="I435">
        <f>IF($P435="","",INDEX(상세표[기록 수],$P435))</f>
        <v/>
      </c>
      <c r="J435">
        <f>IF($P435="","",INDEX(상세표[블록 06~07시],$P435))</f>
        <v/>
      </c>
      <c r="K435">
        <f>IF($P435="","",INDEX(상세표[블록 07~18시],$P435))</f>
        <v/>
      </c>
      <c r="L435">
        <f>IF($P435="","",INDEX(상세표[블록 18~22시],$P435))</f>
        <v/>
      </c>
      <c r="M435">
        <f>IF($P435="","",INDEX(상세표[블록 22~06시],$P435))</f>
        <v/>
      </c>
      <c r="N435">
        <f>IF($P435="","",INDEX(상세표[주말·휴일 포함],$P435)&amp;"")</f>
        <v/>
      </c>
      <c r="O435">
        <f>IF($P435="","",INDEX(상세표[월 넘김 포함],$P435)&amp;"")</f>
        <v/>
      </c>
      <c r="P435" s="4">
        <f>IFERROR(MATCH(430,상세표[연속순번],0),"")</f>
        <v/>
      </c>
    </row>
    <row r="436">
      <c r="A436">
        <f>IF($P436="","",INDEX(상세표[사번],$P436)&amp;"")</f>
        <v/>
      </c>
      <c r="B436">
        <f>IF($P436="","",INDEX(상세표[성명],$P436)&amp;"")</f>
        <v/>
      </c>
      <c r="C436">
        <f>IF($P436="","",INDEX(상세표[부서],$P436)&amp;"")</f>
        <v/>
      </c>
      <c r="D436">
        <f>IF($P436="","",INDEX(상세표[직위],$P436)&amp;"")</f>
        <v/>
      </c>
      <c r="E436">
        <f>IF($P436="","",IF(ISNUMBER(INDEX(상세표[시작],$P436)),TEXT(INDEX(상세표[시작],$P436),"yyyy-mm-dd hh:mm"),INDEX(상세표[시작],$P436)&amp;""))</f>
        <v/>
      </c>
      <c r="F436">
        <f>IF($P436="","",IF(ISNUMBER(INDEX(상세표[블록종료],$P436)),TEXT(INDEX(상세표[블록종료],$P436),"yyyy-mm-dd hh:mm"),INDEX(상세표[블록종료],$P436)&amp;""))</f>
        <v/>
      </c>
      <c r="G436">
        <f>IF($P436="","",CHOOSE(WEEKDAY(INDEX(상세표[시작],$P436)),"일","월","화","수","목","금","토"))</f>
        <v/>
      </c>
      <c r="H436">
        <f>IF($P436="","",INDEX(상세표[연속 시간],$P436))</f>
        <v/>
      </c>
      <c r="I436">
        <f>IF($P436="","",INDEX(상세표[기록 수],$P436))</f>
        <v/>
      </c>
      <c r="J436">
        <f>IF($P436="","",INDEX(상세표[블록 06~07시],$P436))</f>
        <v/>
      </c>
      <c r="K436">
        <f>IF($P436="","",INDEX(상세표[블록 07~18시],$P436))</f>
        <v/>
      </c>
      <c r="L436">
        <f>IF($P436="","",INDEX(상세표[블록 18~22시],$P436))</f>
        <v/>
      </c>
      <c r="M436">
        <f>IF($P436="","",INDEX(상세표[블록 22~06시],$P436))</f>
        <v/>
      </c>
      <c r="N436">
        <f>IF($P436="","",INDEX(상세표[주말·휴일 포함],$P436)&amp;"")</f>
        <v/>
      </c>
      <c r="O436">
        <f>IF($P436="","",INDEX(상세표[월 넘김 포함],$P436)&amp;"")</f>
        <v/>
      </c>
      <c r="P436" s="4">
        <f>IFERROR(MATCH(431,상세표[연속순번],0),"")</f>
        <v/>
      </c>
    </row>
    <row r="437">
      <c r="A437">
        <f>IF($P437="","",INDEX(상세표[사번],$P437)&amp;"")</f>
        <v/>
      </c>
      <c r="B437">
        <f>IF($P437="","",INDEX(상세표[성명],$P437)&amp;"")</f>
        <v/>
      </c>
      <c r="C437">
        <f>IF($P437="","",INDEX(상세표[부서],$P437)&amp;"")</f>
        <v/>
      </c>
      <c r="D437">
        <f>IF($P437="","",INDEX(상세표[직위],$P437)&amp;"")</f>
        <v/>
      </c>
      <c r="E437">
        <f>IF($P437="","",IF(ISNUMBER(INDEX(상세표[시작],$P437)),TEXT(INDEX(상세표[시작],$P437),"yyyy-mm-dd hh:mm"),INDEX(상세표[시작],$P437)&amp;""))</f>
        <v/>
      </c>
      <c r="F437">
        <f>IF($P437="","",IF(ISNUMBER(INDEX(상세표[블록종료],$P437)),TEXT(INDEX(상세표[블록종료],$P437),"yyyy-mm-dd hh:mm"),INDEX(상세표[블록종료],$P437)&amp;""))</f>
        <v/>
      </c>
      <c r="G437">
        <f>IF($P437="","",CHOOSE(WEEKDAY(INDEX(상세표[시작],$P437)),"일","월","화","수","목","금","토"))</f>
        <v/>
      </c>
      <c r="H437">
        <f>IF($P437="","",INDEX(상세표[연속 시간],$P437))</f>
        <v/>
      </c>
      <c r="I437">
        <f>IF($P437="","",INDEX(상세표[기록 수],$P437))</f>
        <v/>
      </c>
      <c r="J437">
        <f>IF($P437="","",INDEX(상세표[블록 06~07시],$P437))</f>
        <v/>
      </c>
      <c r="K437">
        <f>IF($P437="","",INDEX(상세표[블록 07~18시],$P437))</f>
        <v/>
      </c>
      <c r="L437">
        <f>IF($P437="","",INDEX(상세표[블록 18~22시],$P437))</f>
        <v/>
      </c>
      <c r="M437">
        <f>IF($P437="","",INDEX(상세표[블록 22~06시],$P437))</f>
        <v/>
      </c>
      <c r="N437">
        <f>IF($P437="","",INDEX(상세표[주말·휴일 포함],$P437)&amp;"")</f>
        <v/>
      </c>
      <c r="O437">
        <f>IF($P437="","",INDEX(상세표[월 넘김 포함],$P437)&amp;"")</f>
        <v/>
      </c>
      <c r="P437" s="4">
        <f>IFERROR(MATCH(432,상세표[연속순번],0),"")</f>
        <v/>
      </c>
    </row>
    <row r="438">
      <c r="A438">
        <f>IF($P438="","",INDEX(상세표[사번],$P438)&amp;"")</f>
        <v/>
      </c>
      <c r="B438">
        <f>IF($P438="","",INDEX(상세표[성명],$P438)&amp;"")</f>
        <v/>
      </c>
      <c r="C438">
        <f>IF($P438="","",INDEX(상세표[부서],$P438)&amp;"")</f>
        <v/>
      </c>
      <c r="D438">
        <f>IF($P438="","",INDEX(상세표[직위],$P438)&amp;"")</f>
        <v/>
      </c>
      <c r="E438">
        <f>IF($P438="","",IF(ISNUMBER(INDEX(상세표[시작],$P438)),TEXT(INDEX(상세표[시작],$P438),"yyyy-mm-dd hh:mm"),INDEX(상세표[시작],$P438)&amp;""))</f>
        <v/>
      </c>
      <c r="F438">
        <f>IF($P438="","",IF(ISNUMBER(INDEX(상세표[블록종료],$P438)),TEXT(INDEX(상세표[블록종료],$P438),"yyyy-mm-dd hh:mm"),INDEX(상세표[블록종료],$P438)&amp;""))</f>
        <v/>
      </c>
      <c r="G438">
        <f>IF($P438="","",CHOOSE(WEEKDAY(INDEX(상세표[시작],$P438)),"일","월","화","수","목","금","토"))</f>
        <v/>
      </c>
      <c r="H438">
        <f>IF($P438="","",INDEX(상세표[연속 시간],$P438))</f>
        <v/>
      </c>
      <c r="I438">
        <f>IF($P438="","",INDEX(상세표[기록 수],$P438))</f>
        <v/>
      </c>
      <c r="J438">
        <f>IF($P438="","",INDEX(상세표[블록 06~07시],$P438))</f>
        <v/>
      </c>
      <c r="K438">
        <f>IF($P438="","",INDEX(상세표[블록 07~18시],$P438))</f>
        <v/>
      </c>
      <c r="L438">
        <f>IF($P438="","",INDEX(상세표[블록 18~22시],$P438))</f>
        <v/>
      </c>
      <c r="M438">
        <f>IF($P438="","",INDEX(상세표[블록 22~06시],$P438))</f>
        <v/>
      </c>
      <c r="N438">
        <f>IF($P438="","",INDEX(상세표[주말·휴일 포함],$P438)&amp;"")</f>
        <v/>
      </c>
      <c r="O438">
        <f>IF($P438="","",INDEX(상세표[월 넘김 포함],$P438)&amp;"")</f>
        <v/>
      </c>
      <c r="P438" s="4">
        <f>IFERROR(MATCH(433,상세표[연속순번],0),"")</f>
        <v/>
      </c>
    </row>
    <row r="439">
      <c r="A439">
        <f>IF($P439="","",INDEX(상세표[사번],$P439)&amp;"")</f>
        <v/>
      </c>
      <c r="B439">
        <f>IF($P439="","",INDEX(상세표[성명],$P439)&amp;"")</f>
        <v/>
      </c>
      <c r="C439">
        <f>IF($P439="","",INDEX(상세표[부서],$P439)&amp;"")</f>
        <v/>
      </c>
      <c r="D439">
        <f>IF($P439="","",INDEX(상세표[직위],$P439)&amp;"")</f>
        <v/>
      </c>
      <c r="E439">
        <f>IF($P439="","",IF(ISNUMBER(INDEX(상세표[시작],$P439)),TEXT(INDEX(상세표[시작],$P439),"yyyy-mm-dd hh:mm"),INDEX(상세표[시작],$P439)&amp;""))</f>
        <v/>
      </c>
      <c r="F439">
        <f>IF($P439="","",IF(ISNUMBER(INDEX(상세표[블록종료],$P439)),TEXT(INDEX(상세표[블록종료],$P439),"yyyy-mm-dd hh:mm"),INDEX(상세표[블록종료],$P439)&amp;""))</f>
        <v/>
      </c>
      <c r="G439">
        <f>IF($P439="","",CHOOSE(WEEKDAY(INDEX(상세표[시작],$P439)),"일","월","화","수","목","금","토"))</f>
        <v/>
      </c>
      <c r="H439">
        <f>IF($P439="","",INDEX(상세표[연속 시간],$P439))</f>
        <v/>
      </c>
      <c r="I439">
        <f>IF($P439="","",INDEX(상세표[기록 수],$P439))</f>
        <v/>
      </c>
      <c r="J439">
        <f>IF($P439="","",INDEX(상세표[블록 06~07시],$P439))</f>
        <v/>
      </c>
      <c r="K439">
        <f>IF($P439="","",INDEX(상세표[블록 07~18시],$P439))</f>
        <v/>
      </c>
      <c r="L439">
        <f>IF($P439="","",INDEX(상세표[블록 18~22시],$P439))</f>
        <v/>
      </c>
      <c r="M439">
        <f>IF($P439="","",INDEX(상세표[블록 22~06시],$P439))</f>
        <v/>
      </c>
      <c r="N439">
        <f>IF($P439="","",INDEX(상세표[주말·휴일 포함],$P439)&amp;"")</f>
        <v/>
      </c>
      <c r="O439">
        <f>IF($P439="","",INDEX(상세표[월 넘김 포함],$P439)&amp;"")</f>
        <v/>
      </c>
      <c r="P439" s="4">
        <f>IFERROR(MATCH(434,상세표[연속순번],0),"")</f>
        <v/>
      </c>
    </row>
    <row r="440">
      <c r="A440">
        <f>IF($P440="","",INDEX(상세표[사번],$P440)&amp;"")</f>
        <v/>
      </c>
      <c r="B440">
        <f>IF($P440="","",INDEX(상세표[성명],$P440)&amp;"")</f>
        <v/>
      </c>
      <c r="C440">
        <f>IF($P440="","",INDEX(상세표[부서],$P440)&amp;"")</f>
        <v/>
      </c>
      <c r="D440">
        <f>IF($P440="","",INDEX(상세표[직위],$P440)&amp;"")</f>
        <v/>
      </c>
      <c r="E440">
        <f>IF($P440="","",IF(ISNUMBER(INDEX(상세표[시작],$P440)),TEXT(INDEX(상세표[시작],$P440),"yyyy-mm-dd hh:mm"),INDEX(상세표[시작],$P440)&amp;""))</f>
        <v/>
      </c>
      <c r="F440">
        <f>IF($P440="","",IF(ISNUMBER(INDEX(상세표[블록종료],$P440)),TEXT(INDEX(상세표[블록종료],$P440),"yyyy-mm-dd hh:mm"),INDEX(상세표[블록종료],$P440)&amp;""))</f>
        <v/>
      </c>
      <c r="G440">
        <f>IF($P440="","",CHOOSE(WEEKDAY(INDEX(상세표[시작],$P440)),"일","월","화","수","목","금","토"))</f>
        <v/>
      </c>
      <c r="H440">
        <f>IF($P440="","",INDEX(상세표[연속 시간],$P440))</f>
        <v/>
      </c>
      <c r="I440">
        <f>IF($P440="","",INDEX(상세표[기록 수],$P440))</f>
        <v/>
      </c>
      <c r="J440">
        <f>IF($P440="","",INDEX(상세표[블록 06~07시],$P440))</f>
        <v/>
      </c>
      <c r="K440">
        <f>IF($P440="","",INDEX(상세표[블록 07~18시],$P440))</f>
        <v/>
      </c>
      <c r="L440">
        <f>IF($P440="","",INDEX(상세표[블록 18~22시],$P440))</f>
        <v/>
      </c>
      <c r="M440">
        <f>IF($P440="","",INDEX(상세표[블록 22~06시],$P440))</f>
        <v/>
      </c>
      <c r="N440">
        <f>IF($P440="","",INDEX(상세표[주말·휴일 포함],$P440)&amp;"")</f>
        <v/>
      </c>
      <c r="O440">
        <f>IF($P440="","",INDEX(상세표[월 넘김 포함],$P440)&amp;"")</f>
        <v/>
      </c>
      <c r="P440" s="4">
        <f>IFERROR(MATCH(435,상세표[연속순번],0),"")</f>
        <v/>
      </c>
    </row>
    <row r="441">
      <c r="A441">
        <f>IF($P441="","",INDEX(상세표[사번],$P441)&amp;"")</f>
        <v/>
      </c>
      <c r="B441">
        <f>IF($P441="","",INDEX(상세표[성명],$P441)&amp;"")</f>
        <v/>
      </c>
      <c r="C441">
        <f>IF($P441="","",INDEX(상세표[부서],$P441)&amp;"")</f>
        <v/>
      </c>
      <c r="D441">
        <f>IF($P441="","",INDEX(상세표[직위],$P441)&amp;"")</f>
        <v/>
      </c>
      <c r="E441">
        <f>IF($P441="","",IF(ISNUMBER(INDEX(상세표[시작],$P441)),TEXT(INDEX(상세표[시작],$P441),"yyyy-mm-dd hh:mm"),INDEX(상세표[시작],$P441)&amp;""))</f>
        <v/>
      </c>
      <c r="F441">
        <f>IF($P441="","",IF(ISNUMBER(INDEX(상세표[블록종료],$P441)),TEXT(INDEX(상세표[블록종료],$P441),"yyyy-mm-dd hh:mm"),INDEX(상세표[블록종료],$P441)&amp;""))</f>
        <v/>
      </c>
      <c r="G441">
        <f>IF($P441="","",CHOOSE(WEEKDAY(INDEX(상세표[시작],$P441)),"일","월","화","수","목","금","토"))</f>
        <v/>
      </c>
      <c r="H441">
        <f>IF($P441="","",INDEX(상세표[연속 시간],$P441))</f>
        <v/>
      </c>
      <c r="I441">
        <f>IF($P441="","",INDEX(상세표[기록 수],$P441))</f>
        <v/>
      </c>
      <c r="J441">
        <f>IF($P441="","",INDEX(상세표[블록 06~07시],$P441))</f>
        <v/>
      </c>
      <c r="K441">
        <f>IF($P441="","",INDEX(상세표[블록 07~18시],$P441))</f>
        <v/>
      </c>
      <c r="L441">
        <f>IF($P441="","",INDEX(상세표[블록 18~22시],$P441))</f>
        <v/>
      </c>
      <c r="M441">
        <f>IF($P441="","",INDEX(상세표[블록 22~06시],$P441))</f>
        <v/>
      </c>
      <c r="N441">
        <f>IF($P441="","",INDEX(상세표[주말·휴일 포함],$P441)&amp;"")</f>
        <v/>
      </c>
      <c r="O441">
        <f>IF($P441="","",INDEX(상세표[월 넘김 포함],$P441)&amp;"")</f>
        <v/>
      </c>
      <c r="P441" s="4">
        <f>IFERROR(MATCH(436,상세표[연속순번],0),"")</f>
        <v/>
      </c>
    </row>
    <row r="442">
      <c r="A442">
        <f>IF($P442="","",INDEX(상세표[사번],$P442)&amp;"")</f>
        <v/>
      </c>
      <c r="B442">
        <f>IF($P442="","",INDEX(상세표[성명],$P442)&amp;"")</f>
        <v/>
      </c>
      <c r="C442">
        <f>IF($P442="","",INDEX(상세표[부서],$P442)&amp;"")</f>
        <v/>
      </c>
      <c r="D442">
        <f>IF($P442="","",INDEX(상세표[직위],$P442)&amp;"")</f>
        <v/>
      </c>
      <c r="E442">
        <f>IF($P442="","",IF(ISNUMBER(INDEX(상세표[시작],$P442)),TEXT(INDEX(상세표[시작],$P442),"yyyy-mm-dd hh:mm"),INDEX(상세표[시작],$P442)&amp;""))</f>
        <v/>
      </c>
      <c r="F442">
        <f>IF($P442="","",IF(ISNUMBER(INDEX(상세표[블록종료],$P442)),TEXT(INDEX(상세표[블록종료],$P442),"yyyy-mm-dd hh:mm"),INDEX(상세표[블록종료],$P442)&amp;""))</f>
        <v/>
      </c>
      <c r="G442">
        <f>IF($P442="","",CHOOSE(WEEKDAY(INDEX(상세표[시작],$P442)),"일","월","화","수","목","금","토"))</f>
        <v/>
      </c>
      <c r="H442">
        <f>IF($P442="","",INDEX(상세표[연속 시간],$P442))</f>
        <v/>
      </c>
      <c r="I442">
        <f>IF($P442="","",INDEX(상세표[기록 수],$P442))</f>
        <v/>
      </c>
      <c r="J442">
        <f>IF($P442="","",INDEX(상세표[블록 06~07시],$P442))</f>
        <v/>
      </c>
      <c r="K442">
        <f>IF($P442="","",INDEX(상세표[블록 07~18시],$P442))</f>
        <v/>
      </c>
      <c r="L442">
        <f>IF($P442="","",INDEX(상세표[블록 18~22시],$P442))</f>
        <v/>
      </c>
      <c r="M442">
        <f>IF($P442="","",INDEX(상세표[블록 22~06시],$P442))</f>
        <v/>
      </c>
      <c r="N442">
        <f>IF($P442="","",INDEX(상세표[주말·휴일 포함],$P442)&amp;"")</f>
        <v/>
      </c>
      <c r="O442">
        <f>IF($P442="","",INDEX(상세표[월 넘김 포함],$P442)&amp;"")</f>
        <v/>
      </c>
      <c r="P442" s="4">
        <f>IFERROR(MATCH(437,상세표[연속순번],0),"")</f>
        <v/>
      </c>
    </row>
    <row r="443">
      <c r="A443">
        <f>IF($P443="","",INDEX(상세표[사번],$P443)&amp;"")</f>
        <v/>
      </c>
      <c r="B443">
        <f>IF($P443="","",INDEX(상세표[성명],$P443)&amp;"")</f>
        <v/>
      </c>
      <c r="C443">
        <f>IF($P443="","",INDEX(상세표[부서],$P443)&amp;"")</f>
        <v/>
      </c>
      <c r="D443">
        <f>IF($P443="","",INDEX(상세표[직위],$P443)&amp;"")</f>
        <v/>
      </c>
      <c r="E443">
        <f>IF($P443="","",IF(ISNUMBER(INDEX(상세표[시작],$P443)),TEXT(INDEX(상세표[시작],$P443),"yyyy-mm-dd hh:mm"),INDEX(상세표[시작],$P443)&amp;""))</f>
        <v/>
      </c>
      <c r="F443">
        <f>IF($P443="","",IF(ISNUMBER(INDEX(상세표[블록종료],$P443)),TEXT(INDEX(상세표[블록종료],$P443),"yyyy-mm-dd hh:mm"),INDEX(상세표[블록종료],$P443)&amp;""))</f>
        <v/>
      </c>
      <c r="G443">
        <f>IF($P443="","",CHOOSE(WEEKDAY(INDEX(상세표[시작],$P443)),"일","월","화","수","목","금","토"))</f>
        <v/>
      </c>
      <c r="H443">
        <f>IF($P443="","",INDEX(상세표[연속 시간],$P443))</f>
        <v/>
      </c>
      <c r="I443">
        <f>IF($P443="","",INDEX(상세표[기록 수],$P443))</f>
        <v/>
      </c>
      <c r="J443">
        <f>IF($P443="","",INDEX(상세표[블록 06~07시],$P443))</f>
        <v/>
      </c>
      <c r="K443">
        <f>IF($P443="","",INDEX(상세표[블록 07~18시],$P443))</f>
        <v/>
      </c>
      <c r="L443">
        <f>IF($P443="","",INDEX(상세표[블록 18~22시],$P443))</f>
        <v/>
      </c>
      <c r="M443">
        <f>IF($P443="","",INDEX(상세표[블록 22~06시],$P443))</f>
        <v/>
      </c>
      <c r="N443">
        <f>IF($P443="","",INDEX(상세표[주말·휴일 포함],$P443)&amp;"")</f>
        <v/>
      </c>
      <c r="O443">
        <f>IF($P443="","",INDEX(상세표[월 넘김 포함],$P443)&amp;"")</f>
        <v/>
      </c>
      <c r="P443" s="4">
        <f>IFERROR(MATCH(438,상세표[연속순번],0),"")</f>
        <v/>
      </c>
    </row>
    <row r="444">
      <c r="A444">
        <f>IF($P444="","",INDEX(상세표[사번],$P444)&amp;"")</f>
        <v/>
      </c>
      <c r="B444">
        <f>IF($P444="","",INDEX(상세표[성명],$P444)&amp;"")</f>
        <v/>
      </c>
      <c r="C444">
        <f>IF($P444="","",INDEX(상세표[부서],$P444)&amp;"")</f>
        <v/>
      </c>
      <c r="D444">
        <f>IF($P444="","",INDEX(상세표[직위],$P444)&amp;"")</f>
        <v/>
      </c>
      <c r="E444">
        <f>IF($P444="","",IF(ISNUMBER(INDEX(상세표[시작],$P444)),TEXT(INDEX(상세표[시작],$P444),"yyyy-mm-dd hh:mm"),INDEX(상세표[시작],$P444)&amp;""))</f>
        <v/>
      </c>
      <c r="F444">
        <f>IF($P444="","",IF(ISNUMBER(INDEX(상세표[블록종료],$P444)),TEXT(INDEX(상세표[블록종료],$P444),"yyyy-mm-dd hh:mm"),INDEX(상세표[블록종료],$P444)&amp;""))</f>
        <v/>
      </c>
      <c r="G444">
        <f>IF($P444="","",CHOOSE(WEEKDAY(INDEX(상세표[시작],$P444)),"일","월","화","수","목","금","토"))</f>
        <v/>
      </c>
      <c r="H444">
        <f>IF($P444="","",INDEX(상세표[연속 시간],$P444))</f>
        <v/>
      </c>
      <c r="I444">
        <f>IF($P444="","",INDEX(상세표[기록 수],$P444))</f>
        <v/>
      </c>
      <c r="J444">
        <f>IF($P444="","",INDEX(상세표[블록 06~07시],$P444))</f>
        <v/>
      </c>
      <c r="K444">
        <f>IF($P444="","",INDEX(상세표[블록 07~18시],$P444))</f>
        <v/>
      </c>
      <c r="L444">
        <f>IF($P444="","",INDEX(상세표[블록 18~22시],$P444))</f>
        <v/>
      </c>
      <c r="M444">
        <f>IF($P444="","",INDEX(상세표[블록 22~06시],$P444))</f>
        <v/>
      </c>
      <c r="N444">
        <f>IF($P444="","",INDEX(상세표[주말·휴일 포함],$P444)&amp;"")</f>
        <v/>
      </c>
      <c r="O444">
        <f>IF($P444="","",INDEX(상세표[월 넘김 포함],$P444)&amp;"")</f>
        <v/>
      </c>
      <c r="P444" s="4">
        <f>IFERROR(MATCH(439,상세표[연속순번],0),"")</f>
        <v/>
      </c>
    </row>
    <row r="445">
      <c r="A445">
        <f>IF($P445="","",INDEX(상세표[사번],$P445)&amp;"")</f>
        <v/>
      </c>
      <c r="B445">
        <f>IF($P445="","",INDEX(상세표[성명],$P445)&amp;"")</f>
        <v/>
      </c>
      <c r="C445">
        <f>IF($P445="","",INDEX(상세표[부서],$P445)&amp;"")</f>
        <v/>
      </c>
      <c r="D445">
        <f>IF($P445="","",INDEX(상세표[직위],$P445)&amp;"")</f>
        <v/>
      </c>
      <c r="E445">
        <f>IF($P445="","",IF(ISNUMBER(INDEX(상세표[시작],$P445)),TEXT(INDEX(상세표[시작],$P445),"yyyy-mm-dd hh:mm"),INDEX(상세표[시작],$P445)&amp;""))</f>
        <v/>
      </c>
      <c r="F445">
        <f>IF($P445="","",IF(ISNUMBER(INDEX(상세표[블록종료],$P445)),TEXT(INDEX(상세표[블록종료],$P445),"yyyy-mm-dd hh:mm"),INDEX(상세표[블록종료],$P445)&amp;""))</f>
        <v/>
      </c>
      <c r="G445">
        <f>IF($P445="","",CHOOSE(WEEKDAY(INDEX(상세표[시작],$P445)),"일","월","화","수","목","금","토"))</f>
        <v/>
      </c>
      <c r="H445">
        <f>IF($P445="","",INDEX(상세표[연속 시간],$P445))</f>
        <v/>
      </c>
      <c r="I445">
        <f>IF($P445="","",INDEX(상세표[기록 수],$P445))</f>
        <v/>
      </c>
      <c r="J445">
        <f>IF($P445="","",INDEX(상세표[블록 06~07시],$P445))</f>
        <v/>
      </c>
      <c r="K445">
        <f>IF($P445="","",INDEX(상세표[블록 07~18시],$P445))</f>
        <v/>
      </c>
      <c r="L445">
        <f>IF($P445="","",INDEX(상세표[블록 18~22시],$P445))</f>
        <v/>
      </c>
      <c r="M445">
        <f>IF($P445="","",INDEX(상세표[블록 22~06시],$P445))</f>
        <v/>
      </c>
      <c r="N445">
        <f>IF($P445="","",INDEX(상세표[주말·휴일 포함],$P445)&amp;"")</f>
        <v/>
      </c>
      <c r="O445">
        <f>IF($P445="","",INDEX(상세표[월 넘김 포함],$P445)&amp;"")</f>
        <v/>
      </c>
      <c r="P445" s="4">
        <f>IFERROR(MATCH(440,상세표[연속순번],0),"")</f>
        <v/>
      </c>
    </row>
    <row r="446">
      <c r="A446">
        <f>IF($P446="","",INDEX(상세표[사번],$P446)&amp;"")</f>
        <v/>
      </c>
      <c r="B446">
        <f>IF($P446="","",INDEX(상세표[성명],$P446)&amp;"")</f>
        <v/>
      </c>
      <c r="C446">
        <f>IF($P446="","",INDEX(상세표[부서],$P446)&amp;"")</f>
        <v/>
      </c>
      <c r="D446">
        <f>IF($P446="","",INDEX(상세표[직위],$P446)&amp;"")</f>
        <v/>
      </c>
      <c r="E446">
        <f>IF($P446="","",IF(ISNUMBER(INDEX(상세표[시작],$P446)),TEXT(INDEX(상세표[시작],$P446),"yyyy-mm-dd hh:mm"),INDEX(상세표[시작],$P446)&amp;""))</f>
        <v/>
      </c>
      <c r="F446">
        <f>IF($P446="","",IF(ISNUMBER(INDEX(상세표[블록종료],$P446)),TEXT(INDEX(상세표[블록종료],$P446),"yyyy-mm-dd hh:mm"),INDEX(상세표[블록종료],$P446)&amp;""))</f>
        <v/>
      </c>
      <c r="G446">
        <f>IF($P446="","",CHOOSE(WEEKDAY(INDEX(상세표[시작],$P446)),"일","월","화","수","목","금","토"))</f>
        <v/>
      </c>
      <c r="H446">
        <f>IF($P446="","",INDEX(상세표[연속 시간],$P446))</f>
        <v/>
      </c>
      <c r="I446">
        <f>IF($P446="","",INDEX(상세표[기록 수],$P446))</f>
        <v/>
      </c>
      <c r="J446">
        <f>IF($P446="","",INDEX(상세표[블록 06~07시],$P446))</f>
        <v/>
      </c>
      <c r="K446">
        <f>IF($P446="","",INDEX(상세표[블록 07~18시],$P446))</f>
        <v/>
      </c>
      <c r="L446">
        <f>IF($P446="","",INDEX(상세표[블록 18~22시],$P446))</f>
        <v/>
      </c>
      <c r="M446">
        <f>IF($P446="","",INDEX(상세표[블록 22~06시],$P446))</f>
        <v/>
      </c>
      <c r="N446">
        <f>IF($P446="","",INDEX(상세표[주말·휴일 포함],$P446)&amp;"")</f>
        <v/>
      </c>
      <c r="O446">
        <f>IF($P446="","",INDEX(상세표[월 넘김 포함],$P446)&amp;"")</f>
        <v/>
      </c>
      <c r="P446" s="4">
        <f>IFERROR(MATCH(441,상세표[연속순번],0),"")</f>
        <v/>
      </c>
    </row>
    <row r="447">
      <c r="A447">
        <f>IF($P447="","",INDEX(상세표[사번],$P447)&amp;"")</f>
        <v/>
      </c>
      <c r="B447">
        <f>IF($P447="","",INDEX(상세표[성명],$P447)&amp;"")</f>
        <v/>
      </c>
      <c r="C447">
        <f>IF($P447="","",INDEX(상세표[부서],$P447)&amp;"")</f>
        <v/>
      </c>
      <c r="D447">
        <f>IF($P447="","",INDEX(상세표[직위],$P447)&amp;"")</f>
        <v/>
      </c>
      <c r="E447">
        <f>IF($P447="","",IF(ISNUMBER(INDEX(상세표[시작],$P447)),TEXT(INDEX(상세표[시작],$P447),"yyyy-mm-dd hh:mm"),INDEX(상세표[시작],$P447)&amp;""))</f>
        <v/>
      </c>
      <c r="F447">
        <f>IF($P447="","",IF(ISNUMBER(INDEX(상세표[블록종료],$P447)),TEXT(INDEX(상세표[블록종료],$P447),"yyyy-mm-dd hh:mm"),INDEX(상세표[블록종료],$P447)&amp;""))</f>
        <v/>
      </c>
      <c r="G447">
        <f>IF($P447="","",CHOOSE(WEEKDAY(INDEX(상세표[시작],$P447)),"일","월","화","수","목","금","토"))</f>
        <v/>
      </c>
      <c r="H447">
        <f>IF($P447="","",INDEX(상세표[연속 시간],$P447))</f>
        <v/>
      </c>
      <c r="I447">
        <f>IF($P447="","",INDEX(상세표[기록 수],$P447))</f>
        <v/>
      </c>
      <c r="J447">
        <f>IF($P447="","",INDEX(상세표[블록 06~07시],$P447))</f>
        <v/>
      </c>
      <c r="K447">
        <f>IF($P447="","",INDEX(상세표[블록 07~18시],$P447))</f>
        <v/>
      </c>
      <c r="L447">
        <f>IF($P447="","",INDEX(상세표[블록 18~22시],$P447))</f>
        <v/>
      </c>
      <c r="M447">
        <f>IF($P447="","",INDEX(상세표[블록 22~06시],$P447))</f>
        <v/>
      </c>
      <c r="N447">
        <f>IF($P447="","",INDEX(상세표[주말·휴일 포함],$P447)&amp;"")</f>
        <v/>
      </c>
      <c r="O447">
        <f>IF($P447="","",INDEX(상세표[월 넘김 포함],$P447)&amp;"")</f>
        <v/>
      </c>
      <c r="P447" s="4">
        <f>IFERROR(MATCH(442,상세표[연속순번],0),"")</f>
        <v/>
      </c>
    </row>
    <row r="448">
      <c r="A448">
        <f>IF($P448="","",INDEX(상세표[사번],$P448)&amp;"")</f>
        <v/>
      </c>
      <c r="B448">
        <f>IF($P448="","",INDEX(상세표[성명],$P448)&amp;"")</f>
        <v/>
      </c>
      <c r="C448">
        <f>IF($P448="","",INDEX(상세표[부서],$P448)&amp;"")</f>
        <v/>
      </c>
      <c r="D448">
        <f>IF($P448="","",INDEX(상세표[직위],$P448)&amp;"")</f>
        <v/>
      </c>
      <c r="E448">
        <f>IF($P448="","",IF(ISNUMBER(INDEX(상세표[시작],$P448)),TEXT(INDEX(상세표[시작],$P448),"yyyy-mm-dd hh:mm"),INDEX(상세표[시작],$P448)&amp;""))</f>
        <v/>
      </c>
      <c r="F448">
        <f>IF($P448="","",IF(ISNUMBER(INDEX(상세표[블록종료],$P448)),TEXT(INDEX(상세표[블록종료],$P448),"yyyy-mm-dd hh:mm"),INDEX(상세표[블록종료],$P448)&amp;""))</f>
        <v/>
      </c>
      <c r="G448">
        <f>IF($P448="","",CHOOSE(WEEKDAY(INDEX(상세표[시작],$P448)),"일","월","화","수","목","금","토"))</f>
        <v/>
      </c>
      <c r="H448">
        <f>IF($P448="","",INDEX(상세표[연속 시간],$P448))</f>
        <v/>
      </c>
      <c r="I448">
        <f>IF($P448="","",INDEX(상세표[기록 수],$P448))</f>
        <v/>
      </c>
      <c r="J448">
        <f>IF($P448="","",INDEX(상세표[블록 06~07시],$P448))</f>
        <v/>
      </c>
      <c r="K448">
        <f>IF($P448="","",INDEX(상세표[블록 07~18시],$P448))</f>
        <v/>
      </c>
      <c r="L448">
        <f>IF($P448="","",INDEX(상세표[블록 18~22시],$P448))</f>
        <v/>
      </c>
      <c r="M448">
        <f>IF($P448="","",INDEX(상세표[블록 22~06시],$P448))</f>
        <v/>
      </c>
      <c r="N448">
        <f>IF($P448="","",INDEX(상세표[주말·휴일 포함],$P448)&amp;"")</f>
        <v/>
      </c>
      <c r="O448">
        <f>IF($P448="","",INDEX(상세표[월 넘김 포함],$P448)&amp;"")</f>
        <v/>
      </c>
      <c r="P448" s="4">
        <f>IFERROR(MATCH(443,상세표[연속순번],0),"")</f>
        <v/>
      </c>
    </row>
    <row r="449">
      <c r="A449">
        <f>IF($P449="","",INDEX(상세표[사번],$P449)&amp;"")</f>
        <v/>
      </c>
      <c r="B449">
        <f>IF($P449="","",INDEX(상세표[성명],$P449)&amp;"")</f>
        <v/>
      </c>
      <c r="C449">
        <f>IF($P449="","",INDEX(상세표[부서],$P449)&amp;"")</f>
        <v/>
      </c>
      <c r="D449">
        <f>IF($P449="","",INDEX(상세표[직위],$P449)&amp;"")</f>
        <v/>
      </c>
      <c r="E449">
        <f>IF($P449="","",IF(ISNUMBER(INDEX(상세표[시작],$P449)),TEXT(INDEX(상세표[시작],$P449),"yyyy-mm-dd hh:mm"),INDEX(상세표[시작],$P449)&amp;""))</f>
        <v/>
      </c>
      <c r="F449">
        <f>IF($P449="","",IF(ISNUMBER(INDEX(상세표[블록종료],$P449)),TEXT(INDEX(상세표[블록종료],$P449),"yyyy-mm-dd hh:mm"),INDEX(상세표[블록종료],$P449)&amp;""))</f>
        <v/>
      </c>
      <c r="G449">
        <f>IF($P449="","",CHOOSE(WEEKDAY(INDEX(상세표[시작],$P449)),"일","월","화","수","목","금","토"))</f>
        <v/>
      </c>
      <c r="H449">
        <f>IF($P449="","",INDEX(상세표[연속 시간],$P449))</f>
        <v/>
      </c>
      <c r="I449">
        <f>IF($P449="","",INDEX(상세표[기록 수],$P449))</f>
        <v/>
      </c>
      <c r="J449">
        <f>IF($P449="","",INDEX(상세표[블록 06~07시],$P449))</f>
        <v/>
      </c>
      <c r="K449">
        <f>IF($P449="","",INDEX(상세표[블록 07~18시],$P449))</f>
        <v/>
      </c>
      <c r="L449">
        <f>IF($P449="","",INDEX(상세표[블록 18~22시],$P449))</f>
        <v/>
      </c>
      <c r="M449">
        <f>IF($P449="","",INDEX(상세표[블록 22~06시],$P449))</f>
        <v/>
      </c>
      <c r="N449">
        <f>IF($P449="","",INDEX(상세표[주말·휴일 포함],$P449)&amp;"")</f>
        <v/>
      </c>
      <c r="O449">
        <f>IF($P449="","",INDEX(상세표[월 넘김 포함],$P449)&amp;"")</f>
        <v/>
      </c>
      <c r="P449" s="4">
        <f>IFERROR(MATCH(444,상세표[연속순번],0),"")</f>
        <v/>
      </c>
    </row>
    <row r="450">
      <c r="A450">
        <f>IF($P450="","",INDEX(상세표[사번],$P450)&amp;"")</f>
        <v/>
      </c>
      <c r="B450">
        <f>IF($P450="","",INDEX(상세표[성명],$P450)&amp;"")</f>
        <v/>
      </c>
      <c r="C450">
        <f>IF($P450="","",INDEX(상세표[부서],$P450)&amp;"")</f>
        <v/>
      </c>
      <c r="D450">
        <f>IF($P450="","",INDEX(상세표[직위],$P450)&amp;"")</f>
        <v/>
      </c>
      <c r="E450">
        <f>IF($P450="","",IF(ISNUMBER(INDEX(상세표[시작],$P450)),TEXT(INDEX(상세표[시작],$P450),"yyyy-mm-dd hh:mm"),INDEX(상세표[시작],$P450)&amp;""))</f>
        <v/>
      </c>
      <c r="F450">
        <f>IF($P450="","",IF(ISNUMBER(INDEX(상세표[블록종료],$P450)),TEXT(INDEX(상세표[블록종료],$P450),"yyyy-mm-dd hh:mm"),INDEX(상세표[블록종료],$P450)&amp;""))</f>
        <v/>
      </c>
      <c r="G450">
        <f>IF($P450="","",CHOOSE(WEEKDAY(INDEX(상세표[시작],$P450)),"일","월","화","수","목","금","토"))</f>
        <v/>
      </c>
      <c r="H450">
        <f>IF($P450="","",INDEX(상세표[연속 시간],$P450))</f>
        <v/>
      </c>
      <c r="I450">
        <f>IF($P450="","",INDEX(상세표[기록 수],$P450))</f>
        <v/>
      </c>
      <c r="J450">
        <f>IF($P450="","",INDEX(상세표[블록 06~07시],$P450))</f>
        <v/>
      </c>
      <c r="K450">
        <f>IF($P450="","",INDEX(상세표[블록 07~18시],$P450))</f>
        <v/>
      </c>
      <c r="L450">
        <f>IF($P450="","",INDEX(상세표[블록 18~22시],$P450))</f>
        <v/>
      </c>
      <c r="M450">
        <f>IF($P450="","",INDEX(상세표[블록 22~06시],$P450))</f>
        <v/>
      </c>
      <c r="N450">
        <f>IF($P450="","",INDEX(상세표[주말·휴일 포함],$P450)&amp;"")</f>
        <v/>
      </c>
      <c r="O450">
        <f>IF($P450="","",INDEX(상세표[월 넘김 포함],$P450)&amp;"")</f>
        <v/>
      </c>
      <c r="P450" s="4">
        <f>IFERROR(MATCH(445,상세표[연속순번],0),"")</f>
        <v/>
      </c>
    </row>
    <row r="451">
      <c r="A451">
        <f>IF($P451="","",INDEX(상세표[사번],$P451)&amp;"")</f>
        <v/>
      </c>
      <c r="B451">
        <f>IF($P451="","",INDEX(상세표[성명],$P451)&amp;"")</f>
        <v/>
      </c>
      <c r="C451">
        <f>IF($P451="","",INDEX(상세표[부서],$P451)&amp;"")</f>
        <v/>
      </c>
      <c r="D451">
        <f>IF($P451="","",INDEX(상세표[직위],$P451)&amp;"")</f>
        <v/>
      </c>
      <c r="E451">
        <f>IF($P451="","",IF(ISNUMBER(INDEX(상세표[시작],$P451)),TEXT(INDEX(상세표[시작],$P451),"yyyy-mm-dd hh:mm"),INDEX(상세표[시작],$P451)&amp;""))</f>
        <v/>
      </c>
      <c r="F451">
        <f>IF($P451="","",IF(ISNUMBER(INDEX(상세표[블록종료],$P451)),TEXT(INDEX(상세표[블록종료],$P451),"yyyy-mm-dd hh:mm"),INDEX(상세표[블록종료],$P451)&amp;""))</f>
        <v/>
      </c>
      <c r="G451">
        <f>IF($P451="","",CHOOSE(WEEKDAY(INDEX(상세표[시작],$P451)),"일","월","화","수","목","금","토"))</f>
        <v/>
      </c>
      <c r="H451">
        <f>IF($P451="","",INDEX(상세표[연속 시간],$P451))</f>
        <v/>
      </c>
      <c r="I451">
        <f>IF($P451="","",INDEX(상세표[기록 수],$P451))</f>
        <v/>
      </c>
      <c r="J451">
        <f>IF($P451="","",INDEX(상세표[블록 06~07시],$P451))</f>
        <v/>
      </c>
      <c r="K451">
        <f>IF($P451="","",INDEX(상세표[블록 07~18시],$P451))</f>
        <v/>
      </c>
      <c r="L451">
        <f>IF($P451="","",INDEX(상세표[블록 18~22시],$P451))</f>
        <v/>
      </c>
      <c r="M451">
        <f>IF($P451="","",INDEX(상세표[블록 22~06시],$P451))</f>
        <v/>
      </c>
      <c r="N451">
        <f>IF($P451="","",INDEX(상세표[주말·휴일 포함],$P451)&amp;"")</f>
        <v/>
      </c>
      <c r="O451">
        <f>IF($P451="","",INDEX(상세표[월 넘김 포함],$P451)&amp;"")</f>
        <v/>
      </c>
      <c r="P451" s="4">
        <f>IFERROR(MATCH(446,상세표[연속순번],0),"")</f>
        <v/>
      </c>
    </row>
    <row r="452">
      <c r="A452">
        <f>IF($P452="","",INDEX(상세표[사번],$P452)&amp;"")</f>
        <v/>
      </c>
      <c r="B452">
        <f>IF($P452="","",INDEX(상세표[성명],$P452)&amp;"")</f>
        <v/>
      </c>
      <c r="C452">
        <f>IF($P452="","",INDEX(상세표[부서],$P452)&amp;"")</f>
        <v/>
      </c>
      <c r="D452">
        <f>IF($P452="","",INDEX(상세표[직위],$P452)&amp;"")</f>
        <v/>
      </c>
      <c r="E452">
        <f>IF($P452="","",IF(ISNUMBER(INDEX(상세표[시작],$P452)),TEXT(INDEX(상세표[시작],$P452),"yyyy-mm-dd hh:mm"),INDEX(상세표[시작],$P452)&amp;""))</f>
        <v/>
      </c>
      <c r="F452">
        <f>IF($P452="","",IF(ISNUMBER(INDEX(상세표[블록종료],$P452)),TEXT(INDEX(상세표[블록종료],$P452),"yyyy-mm-dd hh:mm"),INDEX(상세표[블록종료],$P452)&amp;""))</f>
        <v/>
      </c>
      <c r="G452">
        <f>IF($P452="","",CHOOSE(WEEKDAY(INDEX(상세표[시작],$P452)),"일","월","화","수","목","금","토"))</f>
        <v/>
      </c>
      <c r="H452">
        <f>IF($P452="","",INDEX(상세표[연속 시간],$P452))</f>
        <v/>
      </c>
      <c r="I452">
        <f>IF($P452="","",INDEX(상세표[기록 수],$P452))</f>
        <v/>
      </c>
      <c r="J452">
        <f>IF($P452="","",INDEX(상세표[블록 06~07시],$P452))</f>
        <v/>
      </c>
      <c r="K452">
        <f>IF($P452="","",INDEX(상세표[블록 07~18시],$P452))</f>
        <v/>
      </c>
      <c r="L452">
        <f>IF($P452="","",INDEX(상세표[블록 18~22시],$P452))</f>
        <v/>
      </c>
      <c r="M452">
        <f>IF($P452="","",INDEX(상세표[블록 22~06시],$P452))</f>
        <v/>
      </c>
      <c r="N452">
        <f>IF($P452="","",INDEX(상세표[주말·휴일 포함],$P452)&amp;"")</f>
        <v/>
      </c>
      <c r="O452">
        <f>IF($P452="","",INDEX(상세표[월 넘김 포함],$P452)&amp;"")</f>
        <v/>
      </c>
      <c r="P452" s="4">
        <f>IFERROR(MATCH(447,상세표[연속순번],0),"")</f>
        <v/>
      </c>
    </row>
    <row r="453">
      <c r="A453">
        <f>IF($P453="","",INDEX(상세표[사번],$P453)&amp;"")</f>
        <v/>
      </c>
      <c r="B453">
        <f>IF($P453="","",INDEX(상세표[성명],$P453)&amp;"")</f>
        <v/>
      </c>
      <c r="C453">
        <f>IF($P453="","",INDEX(상세표[부서],$P453)&amp;"")</f>
        <v/>
      </c>
      <c r="D453">
        <f>IF($P453="","",INDEX(상세표[직위],$P453)&amp;"")</f>
        <v/>
      </c>
      <c r="E453">
        <f>IF($P453="","",IF(ISNUMBER(INDEX(상세표[시작],$P453)),TEXT(INDEX(상세표[시작],$P453),"yyyy-mm-dd hh:mm"),INDEX(상세표[시작],$P453)&amp;""))</f>
        <v/>
      </c>
      <c r="F453">
        <f>IF($P453="","",IF(ISNUMBER(INDEX(상세표[블록종료],$P453)),TEXT(INDEX(상세표[블록종료],$P453),"yyyy-mm-dd hh:mm"),INDEX(상세표[블록종료],$P453)&amp;""))</f>
        <v/>
      </c>
      <c r="G453">
        <f>IF($P453="","",CHOOSE(WEEKDAY(INDEX(상세표[시작],$P453)),"일","월","화","수","목","금","토"))</f>
        <v/>
      </c>
      <c r="H453">
        <f>IF($P453="","",INDEX(상세표[연속 시간],$P453))</f>
        <v/>
      </c>
      <c r="I453">
        <f>IF($P453="","",INDEX(상세표[기록 수],$P453))</f>
        <v/>
      </c>
      <c r="J453">
        <f>IF($P453="","",INDEX(상세표[블록 06~07시],$P453))</f>
        <v/>
      </c>
      <c r="K453">
        <f>IF($P453="","",INDEX(상세표[블록 07~18시],$P453))</f>
        <v/>
      </c>
      <c r="L453">
        <f>IF($P453="","",INDEX(상세표[블록 18~22시],$P453))</f>
        <v/>
      </c>
      <c r="M453">
        <f>IF($P453="","",INDEX(상세표[블록 22~06시],$P453))</f>
        <v/>
      </c>
      <c r="N453">
        <f>IF($P453="","",INDEX(상세표[주말·휴일 포함],$P453)&amp;"")</f>
        <v/>
      </c>
      <c r="O453">
        <f>IF($P453="","",INDEX(상세표[월 넘김 포함],$P453)&amp;"")</f>
        <v/>
      </c>
      <c r="P453" s="4">
        <f>IFERROR(MATCH(448,상세표[연속순번],0),"")</f>
        <v/>
      </c>
    </row>
    <row r="454">
      <c r="A454">
        <f>IF($P454="","",INDEX(상세표[사번],$P454)&amp;"")</f>
        <v/>
      </c>
      <c r="B454">
        <f>IF($P454="","",INDEX(상세표[성명],$P454)&amp;"")</f>
        <v/>
      </c>
      <c r="C454">
        <f>IF($P454="","",INDEX(상세표[부서],$P454)&amp;"")</f>
        <v/>
      </c>
      <c r="D454">
        <f>IF($P454="","",INDEX(상세표[직위],$P454)&amp;"")</f>
        <v/>
      </c>
      <c r="E454">
        <f>IF($P454="","",IF(ISNUMBER(INDEX(상세표[시작],$P454)),TEXT(INDEX(상세표[시작],$P454),"yyyy-mm-dd hh:mm"),INDEX(상세표[시작],$P454)&amp;""))</f>
        <v/>
      </c>
      <c r="F454">
        <f>IF($P454="","",IF(ISNUMBER(INDEX(상세표[블록종료],$P454)),TEXT(INDEX(상세표[블록종료],$P454),"yyyy-mm-dd hh:mm"),INDEX(상세표[블록종료],$P454)&amp;""))</f>
        <v/>
      </c>
      <c r="G454">
        <f>IF($P454="","",CHOOSE(WEEKDAY(INDEX(상세표[시작],$P454)),"일","월","화","수","목","금","토"))</f>
        <v/>
      </c>
      <c r="H454">
        <f>IF($P454="","",INDEX(상세표[연속 시간],$P454))</f>
        <v/>
      </c>
      <c r="I454">
        <f>IF($P454="","",INDEX(상세표[기록 수],$P454))</f>
        <v/>
      </c>
      <c r="J454">
        <f>IF($P454="","",INDEX(상세표[블록 06~07시],$P454))</f>
        <v/>
      </c>
      <c r="K454">
        <f>IF($P454="","",INDEX(상세표[블록 07~18시],$P454))</f>
        <v/>
      </c>
      <c r="L454">
        <f>IF($P454="","",INDEX(상세표[블록 18~22시],$P454))</f>
        <v/>
      </c>
      <c r="M454">
        <f>IF($P454="","",INDEX(상세표[블록 22~06시],$P454))</f>
        <v/>
      </c>
      <c r="N454">
        <f>IF($P454="","",INDEX(상세표[주말·휴일 포함],$P454)&amp;"")</f>
        <v/>
      </c>
      <c r="O454">
        <f>IF($P454="","",INDEX(상세표[월 넘김 포함],$P454)&amp;"")</f>
        <v/>
      </c>
      <c r="P454" s="4">
        <f>IFERROR(MATCH(449,상세표[연속순번],0),"")</f>
        <v/>
      </c>
    </row>
    <row r="455">
      <c r="A455">
        <f>IF($P455="","",INDEX(상세표[사번],$P455)&amp;"")</f>
        <v/>
      </c>
      <c r="B455">
        <f>IF($P455="","",INDEX(상세표[성명],$P455)&amp;"")</f>
        <v/>
      </c>
      <c r="C455">
        <f>IF($P455="","",INDEX(상세표[부서],$P455)&amp;"")</f>
        <v/>
      </c>
      <c r="D455">
        <f>IF($P455="","",INDEX(상세표[직위],$P455)&amp;"")</f>
        <v/>
      </c>
      <c r="E455">
        <f>IF($P455="","",IF(ISNUMBER(INDEX(상세표[시작],$P455)),TEXT(INDEX(상세표[시작],$P455),"yyyy-mm-dd hh:mm"),INDEX(상세표[시작],$P455)&amp;""))</f>
        <v/>
      </c>
      <c r="F455">
        <f>IF($P455="","",IF(ISNUMBER(INDEX(상세표[블록종료],$P455)),TEXT(INDEX(상세표[블록종료],$P455),"yyyy-mm-dd hh:mm"),INDEX(상세표[블록종료],$P455)&amp;""))</f>
        <v/>
      </c>
      <c r="G455">
        <f>IF($P455="","",CHOOSE(WEEKDAY(INDEX(상세표[시작],$P455)),"일","월","화","수","목","금","토"))</f>
        <v/>
      </c>
      <c r="H455">
        <f>IF($P455="","",INDEX(상세표[연속 시간],$P455))</f>
        <v/>
      </c>
      <c r="I455">
        <f>IF($P455="","",INDEX(상세표[기록 수],$P455))</f>
        <v/>
      </c>
      <c r="J455">
        <f>IF($P455="","",INDEX(상세표[블록 06~07시],$P455))</f>
        <v/>
      </c>
      <c r="K455">
        <f>IF($P455="","",INDEX(상세표[블록 07~18시],$P455))</f>
        <v/>
      </c>
      <c r="L455">
        <f>IF($P455="","",INDEX(상세표[블록 18~22시],$P455))</f>
        <v/>
      </c>
      <c r="M455">
        <f>IF($P455="","",INDEX(상세표[블록 22~06시],$P455))</f>
        <v/>
      </c>
      <c r="N455">
        <f>IF($P455="","",INDEX(상세표[주말·휴일 포함],$P455)&amp;"")</f>
        <v/>
      </c>
      <c r="O455">
        <f>IF($P455="","",INDEX(상세표[월 넘김 포함],$P455)&amp;"")</f>
        <v/>
      </c>
      <c r="P455" s="4">
        <f>IFERROR(MATCH(450,상세표[연속순번],0),"")</f>
        <v/>
      </c>
    </row>
    <row r="456">
      <c r="A456">
        <f>IF($P456="","",INDEX(상세표[사번],$P456)&amp;"")</f>
        <v/>
      </c>
      <c r="B456">
        <f>IF($P456="","",INDEX(상세표[성명],$P456)&amp;"")</f>
        <v/>
      </c>
      <c r="C456">
        <f>IF($P456="","",INDEX(상세표[부서],$P456)&amp;"")</f>
        <v/>
      </c>
      <c r="D456">
        <f>IF($P456="","",INDEX(상세표[직위],$P456)&amp;"")</f>
        <v/>
      </c>
      <c r="E456">
        <f>IF($P456="","",IF(ISNUMBER(INDEX(상세표[시작],$P456)),TEXT(INDEX(상세표[시작],$P456),"yyyy-mm-dd hh:mm"),INDEX(상세표[시작],$P456)&amp;""))</f>
        <v/>
      </c>
      <c r="F456">
        <f>IF($P456="","",IF(ISNUMBER(INDEX(상세표[블록종료],$P456)),TEXT(INDEX(상세표[블록종료],$P456),"yyyy-mm-dd hh:mm"),INDEX(상세표[블록종료],$P456)&amp;""))</f>
        <v/>
      </c>
      <c r="G456">
        <f>IF($P456="","",CHOOSE(WEEKDAY(INDEX(상세표[시작],$P456)),"일","월","화","수","목","금","토"))</f>
        <v/>
      </c>
      <c r="H456">
        <f>IF($P456="","",INDEX(상세표[연속 시간],$P456))</f>
        <v/>
      </c>
      <c r="I456">
        <f>IF($P456="","",INDEX(상세표[기록 수],$P456))</f>
        <v/>
      </c>
      <c r="J456">
        <f>IF($P456="","",INDEX(상세표[블록 06~07시],$P456))</f>
        <v/>
      </c>
      <c r="K456">
        <f>IF($P456="","",INDEX(상세표[블록 07~18시],$P456))</f>
        <v/>
      </c>
      <c r="L456">
        <f>IF($P456="","",INDEX(상세표[블록 18~22시],$P456))</f>
        <v/>
      </c>
      <c r="M456">
        <f>IF($P456="","",INDEX(상세표[블록 22~06시],$P456))</f>
        <v/>
      </c>
      <c r="N456">
        <f>IF($P456="","",INDEX(상세표[주말·휴일 포함],$P456)&amp;"")</f>
        <v/>
      </c>
      <c r="O456">
        <f>IF($P456="","",INDEX(상세표[월 넘김 포함],$P456)&amp;"")</f>
        <v/>
      </c>
      <c r="P456" s="4">
        <f>IFERROR(MATCH(451,상세표[연속순번],0),"")</f>
        <v/>
      </c>
    </row>
    <row r="457">
      <c r="A457">
        <f>IF($P457="","",INDEX(상세표[사번],$P457)&amp;"")</f>
        <v/>
      </c>
      <c r="B457">
        <f>IF($P457="","",INDEX(상세표[성명],$P457)&amp;"")</f>
        <v/>
      </c>
      <c r="C457">
        <f>IF($P457="","",INDEX(상세표[부서],$P457)&amp;"")</f>
        <v/>
      </c>
      <c r="D457">
        <f>IF($P457="","",INDEX(상세표[직위],$P457)&amp;"")</f>
        <v/>
      </c>
      <c r="E457">
        <f>IF($P457="","",IF(ISNUMBER(INDEX(상세표[시작],$P457)),TEXT(INDEX(상세표[시작],$P457),"yyyy-mm-dd hh:mm"),INDEX(상세표[시작],$P457)&amp;""))</f>
        <v/>
      </c>
      <c r="F457">
        <f>IF($P457="","",IF(ISNUMBER(INDEX(상세표[블록종료],$P457)),TEXT(INDEX(상세표[블록종료],$P457),"yyyy-mm-dd hh:mm"),INDEX(상세표[블록종료],$P457)&amp;""))</f>
        <v/>
      </c>
      <c r="G457">
        <f>IF($P457="","",CHOOSE(WEEKDAY(INDEX(상세표[시작],$P457)),"일","월","화","수","목","금","토"))</f>
        <v/>
      </c>
      <c r="H457">
        <f>IF($P457="","",INDEX(상세표[연속 시간],$P457))</f>
        <v/>
      </c>
      <c r="I457">
        <f>IF($P457="","",INDEX(상세표[기록 수],$P457))</f>
        <v/>
      </c>
      <c r="J457">
        <f>IF($P457="","",INDEX(상세표[블록 06~07시],$P457))</f>
        <v/>
      </c>
      <c r="K457">
        <f>IF($P457="","",INDEX(상세표[블록 07~18시],$P457))</f>
        <v/>
      </c>
      <c r="L457">
        <f>IF($P457="","",INDEX(상세표[블록 18~22시],$P457))</f>
        <v/>
      </c>
      <c r="M457">
        <f>IF($P457="","",INDEX(상세표[블록 22~06시],$P457))</f>
        <v/>
      </c>
      <c r="N457">
        <f>IF($P457="","",INDEX(상세표[주말·휴일 포함],$P457)&amp;"")</f>
        <v/>
      </c>
      <c r="O457">
        <f>IF($P457="","",INDEX(상세표[월 넘김 포함],$P457)&amp;"")</f>
        <v/>
      </c>
      <c r="P457" s="4">
        <f>IFERROR(MATCH(452,상세표[연속순번],0),"")</f>
        <v/>
      </c>
    </row>
    <row r="458">
      <c r="A458">
        <f>IF($P458="","",INDEX(상세표[사번],$P458)&amp;"")</f>
        <v/>
      </c>
      <c r="B458">
        <f>IF($P458="","",INDEX(상세표[성명],$P458)&amp;"")</f>
        <v/>
      </c>
      <c r="C458">
        <f>IF($P458="","",INDEX(상세표[부서],$P458)&amp;"")</f>
        <v/>
      </c>
      <c r="D458">
        <f>IF($P458="","",INDEX(상세표[직위],$P458)&amp;"")</f>
        <v/>
      </c>
      <c r="E458">
        <f>IF($P458="","",IF(ISNUMBER(INDEX(상세표[시작],$P458)),TEXT(INDEX(상세표[시작],$P458),"yyyy-mm-dd hh:mm"),INDEX(상세표[시작],$P458)&amp;""))</f>
        <v/>
      </c>
      <c r="F458">
        <f>IF($P458="","",IF(ISNUMBER(INDEX(상세표[블록종료],$P458)),TEXT(INDEX(상세표[블록종료],$P458),"yyyy-mm-dd hh:mm"),INDEX(상세표[블록종료],$P458)&amp;""))</f>
        <v/>
      </c>
      <c r="G458">
        <f>IF($P458="","",CHOOSE(WEEKDAY(INDEX(상세표[시작],$P458)),"일","월","화","수","목","금","토"))</f>
        <v/>
      </c>
      <c r="H458">
        <f>IF($P458="","",INDEX(상세표[연속 시간],$P458))</f>
        <v/>
      </c>
      <c r="I458">
        <f>IF($P458="","",INDEX(상세표[기록 수],$P458))</f>
        <v/>
      </c>
      <c r="J458">
        <f>IF($P458="","",INDEX(상세표[블록 06~07시],$P458))</f>
        <v/>
      </c>
      <c r="K458">
        <f>IF($P458="","",INDEX(상세표[블록 07~18시],$P458))</f>
        <v/>
      </c>
      <c r="L458">
        <f>IF($P458="","",INDEX(상세표[블록 18~22시],$P458))</f>
        <v/>
      </c>
      <c r="M458">
        <f>IF($P458="","",INDEX(상세표[블록 22~06시],$P458))</f>
        <v/>
      </c>
      <c r="N458">
        <f>IF($P458="","",INDEX(상세표[주말·휴일 포함],$P458)&amp;"")</f>
        <v/>
      </c>
      <c r="O458">
        <f>IF($P458="","",INDEX(상세표[월 넘김 포함],$P458)&amp;"")</f>
        <v/>
      </c>
      <c r="P458" s="4">
        <f>IFERROR(MATCH(453,상세표[연속순번],0),"")</f>
        <v/>
      </c>
    </row>
    <row r="459">
      <c r="A459">
        <f>IF($P459="","",INDEX(상세표[사번],$P459)&amp;"")</f>
        <v/>
      </c>
      <c r="B459">
        <f>IF($P459="","",INDEX(상세표[성명],$P459)&amp;"")</f>
        <v/>
      </c>
      <c r="C459">
        <f>IF($P459="","",INDEX(상세표[부서],$P459)&amp;"")</f>
        <v/>
      </c>
      <c r="D459">
        <f>IF($P459="","",INDEX(상세표[직위],$P459)&amp;"")</f>
        <v/>
      </c>
      <c r="E459">
        <f>IF($P459="","",IF(ISNUMBER(INDEX(상세표[시작],$P459)),TEXT(INDEX(상세표[시작],$P459),"yyyy-mm-dd hh:mm"),INDEX(상세표[시작],$P459)&amp;""))</f>
        <v/>
      </c>
      <c r="F459">
        <f>IF($P459="","",IF(ISNUMBER(INDEX(상세표[블록종료],$P459)),TEXT(INDEX(상세표[블록종료],$P459),"yyyy-mm-dd hh:mm"),INDEX(상세표[블록종료],$P459)&amp;""))</f>
        <v/>
      </c>
      <c r="G459">
        <f>IF($P459="","",CHOOSE(WEEKDAY(INDEX(상세표[시작],$P459)),"일","월","화","수","목","금","토"))</f>
        <v/>
      </c>
      <c r="H459">
        <f>IF($P459="","",INDEX(상세표[연속 시간],$P459))</f>
        <v/>
      </c>
      <c r="I459">
        <f>IF($P459="","",INDEX(상세표[기록 수],$P459))</f>
        <v/>
      </c>
      <c r="J459">
        <f>IF($P459="","",INDEX(상세표[블록 06~07시],$P459))</f>
        <v/>
      </c>
      <c r="K459">
        <f>IF($P459="","",INDEX(상세표[블록 07~18시],$P459))</f>
        <v/>
      </c>
      <c r="L459">
        <f>IF($P459="","",INDEX(상세표[블록 18~22시],$P459))</f>
        <v/>
      </c>
      <c r="M459">
        <f>IF($P459="","",INDEX(상세표[블록 22~06시],$P459))</f>
        <v/>
      </c>
      <c r="N459">
        <f>IF($P459="","",INDEX(상세표[주말·휴일 포함],$P459)&amp;"")</f>
        <v/>
      </c>
      <c r="O459">
        <f>IF($P459="","",INDEX(상세표[월 넘김 포함],$P459)&amp;"")</f>
        <v/>
      </c>
      <c r="P459" s="4">
        <f>IFERROR(MATCH(454,상세표[연속순번],0),"")</f>
        <v/>
      </c>
    </row>
    <row r="460">
      <c r="A460">
        <f>IF($P460="","",INDEX(상세표[사번],$P460)&amp;"")</f>
        <v/>
      </c>
      <c r="B460">
        <f>IF($P460="","",INDEX(상세표[성명],$P460)&amp;"")</f>
        <v/>
      </c>
      <c r="C460">
        <f>IF($P460="","",INDEX(상세표[부서],$P460)&amp;"")</f>
        <v/>
      </c>
      <c r="D460">
        <f>IF($P460="","",INDEX(상세표[직위],$P460)&amp;"")</f>
        <v/>
      </c>
      <c r="E460">
        <f>IF($P460="","",IF(ISNUMBER(INDEX(상세표[시작],$P460)),TEXT(INDEX(상세표[시작],$P460),"yyyy-mm-dd hh:mm"),INDEX(상세표[시작],$P460)&amp;""))</f>
        <v/>
      </c>
      <c r="F460">
        <f>IF($P460="","",IF(ISNUMBER(INDEX(상세표[블록종료],$P460)),TEXT(INDEX(상세표[블록종료],$P460),"yyyy-mm-dd hh:mm"),INDEX(상세표[블록종료],$P460)&amp;""))</f>
        <v/>
      </c>
      <c r="G460">
        <f>IF($P460="","",CHOOSE(WEEKDAY(INDEX(상세표[시작],$P460)),"일","월","화","수","목","금","토"))</f>
        <v/>
      </c>
      <c r="H460">
        <f>IF($P460="","",INDEX(상세표[연속 시간],$P460))</f>
        <v/>
      </c>
      <c r="I460">
        <f>IF($P460="","",INDEX(상세표[기록 수],$P460))</f>
        <v/>
      </c>
      <c r="J460">
        <f>IF($P460="","",INDEX(상세표[블록 06~07시],$P460))</f>
        <v/>
      </c>
      <c r="K460">
        <f>IF($P460="","",INDEX(상세표[블록 07~18시],$P460))</f>
        <v/>
      </c>
      <c r="L460">
        <f>IF($P460="","",INDEX(상세표[블록 18~22시],$P460))</f>
        <v/>
      </c>
      <c r="M460">
        <f>IF($P460="","",INDEX(상세표[블록 22~06시],$P460))</f>
        <v/>
      </c>
      <c r="N460">
        <f>IF($P460="","",INDEX(상세표[주말·휴일 포함],$P460)&amp;"")</f>
        <v/>
      </c>
      <c r="O460">
        <f>IF($P460="","",INDEX(상세표[월 넘김 포함],$P460)&amp;"")</f>
        <v/>
      </c>
      <c r="P460" s="4">
        <f>IFERROR(MATCH(455,상세표[연속순번],0),"")</f>
        <v/>
      </c>
    </row>
    <row r="461">
      <c r="A461">
        <f>IF($P461="","",INDEX(상세표[사번],$P461)&amp;"")</f>
        <v/>
      </c>
      <c r="B461">
        <f>IF($P461="","",INDEX(상세표[성명],$P461)&amp;"")</f>
        <v/>
      </c>
      <c r="C461">
        <f>IF($P461="","",INDEX(상세표[부서],$P461)&amp;"")</f>
        <v/>
      </c>
      <c r="D461">
        <f>IF($P461="","",INDEX(상세표[직위],$P461)&amp;"")</f>
        <v/>
      </c>
      <c r="E461">
        <f>IF($P461="","",IF(ISNUMBER(INDEX(상세표[시작],$P461)),TEXT(INDEX(상세표[시작],$P461),"yyyy-mm-dd hh:mm"),INDEX(상세표[시작],$P461)&amp;""))</f>
        <v/>
      </c>
      <c r="F461">
        <f>IF($P461="","",IF(ISNUMBER(INDEX(상세표[블록종료],$P461)),TEXT(INDEX(상세표[블록종료],$P461),"yyyy-mm-dd hh:mm"),INDEX(상세표[블록종료],$P461)&amp;""))</f>
        <v/>
      </c>
      <c r="G461">
        <f>IF($P461="","",CHOOSE(WEEKDAY(INDEX(상세표[시작],$P461)),"일","월","화","수","목","금","토"))</f>
        <v/>
      </c>
      <c r="H461">
        <f>IF($P461="","",INDEX(상세표[연속 시간],$P461))</f>
        <v/>
      </c>
      <c r="I461">
        <f>IF($P461="","",INDEX(상세표[기록 수],$P461))</f>
        <v/>
      </c>
      <c r="J461">
        <f>IF($P461="","",INDEX(상세표[블록 06~07시],$P461))</f>
        <v/>
      </c>
      <c r="K461">
        <f>IF($P461="","",INDEX(상세표[블록 07~18시],$P461))</f>
        <v/>
      </c>
      <c r="L461">
        <f>IF($P461="","",INDEX(상세표[블록 18~22시],$P461))</f>
        <v/>
      </c>
      <c r="M461">
        <f>IF($P461="","",INDEX(상세표[블록 22~06시],$P461))</f>
        <v/>
      </c>
      <c r="N461">
        <f>IF($P461="","",INDEX(상세표[주말·휴일 포함],$P461)&amp;"")</f>
        <v/>
      </c>
      <c r="O461">
        <f>IF($P461="","",INDEX(상세표[월 넘김 포함],$P461)&amp;"")</f>
        <v/>
      </c>
      <c r="P461" s="4">
        <f>IFERROR(MATCH(456,상세표[연속순번],0),"")</f>
        <v/>
      </c>
    </row>
    <row r="462">
      <c r="A462">
        <f>IF($P462="","",INDEX(상세표[사번],$P462)&amp;"")</f>
        <v/>
      </c>
      <c r="B462">
        <f>IF($P462="","",INDEX(상세표[성명],$P462)&amp;"")</f>
        <v/>
      </c>
      <c r="C462">
        <f>IF($P462="","",INDEX(상세표[부서],$P462)&amp;"")</f>
        <v/>
      </c>
      <c r="D462">
        <f>IF($P462="","",INDEX(상세표[직위],$P462)&amp;"")</f>
        <v/>
      </c>
      <c r="E462">
        <f>IF($P462="","",IF(ISNUMBER(INDEX(상세표[시작],$P462)),TEXT(INDEX(상세표[시작],$P462),"yyyy-mm-dd hh:mm"),INDEX(상세표[시작],$P462)&amp;""))</f>
        <v/>
      </c>
      <c r="F462">
        <f>IF($P462="","",IF(ISNUMBER(INDEX(상세표[블록종료],$P462)),TEXT(INDEX(상세표[블록종료],$P462),"yyyy-mm-dd hh:mm"),INDEX(상세표[블록종료],$P462)&amp;""))</f>
        <v/>
      </c>
      <c r="G462">
        <f>IF($P462="","",CHOOSE(WEEKDAY(INDEX(상세표[시작],$P462)),"일","월","화","수","목","금","토"))</f>
        <v/>
      </c>
      <c r="H462">
        <f>IF($P462="","",INDEX(상세표[연속 시간],$P462))</f>
        <v/>
      </c>
      <c r="I462">
        <f>IF($P462="","",INDEX(상세표[기록 수],$P462))</f>
        <v/>
      </c>
      <c r="J462">
        <f>IF($P462="","",INDEX(상세표[블록 06~07시],$P462))</f>
        <v/>
      </c>
      <c r="K462">
        <f>IF($P462="","",INDEX(상세표[블록 07~18시],$P462))</f>
        <v/>
      </c>
      <c r="L462">
        <f>IF($P462="","",INDEX(상세표[블록 18~22시],$P462))</f>
        <v/>
      </c>
      <c r="M462">
        <f>IF($P462="","",INDEX(상세표[블록 22~06시],$P462))</f>
        <v/>
      </c>
      <c r="N462">
        <f>IF($P462="","",INDEX(상세표[주말·휴일 포함],$P462)&amp;"")</f>
        <v/>
      </c>
      <c r="O462">
        <f>IF($P462="","",INDEX(상세표[월 넘김 포함],$P462)&amp;"")</f>
        <v/>
      </c>
      <c r="P462" s="4">
        <f>IFERROR(MATCH(457,상세표[연속순번],0),"")</f>
        <v/>
      </c>
    </row>
    <row r="463">
      <c r="A463">
        <f>IF($P463="","",INDEX(상세표[사번],$P463)&amp;"")</f>
        <v/>
      </c>
      <c r="B463">
        <f>IF($P463="","",INDEX(상세표[성명],$P463)&amp;"")</f>
        <v/>
      </c>
      <c r="C463">
        <f>IF($P463="","",INDEX(상세표[부서],$P463)&amp;"")</f>
        <v/>
      </c>
      <c r="D463">
        <f>IF($P463="","",INDEX(상세표[직위],$P463)&amp;"")</f>
        <v/>
      </c>
      <c r="E463">
        <f>IF($P463="","",IF(ISNUMBER(INDEX(상세표[시작],$P463)),TEXT(INDEX(상세표[시작],$P463),"yyyy-mm-dd hh:mm"),INDEX(상세표[시작],$P463)&amp;""))</f>
        <v/>
      </c>
      <c r="F463">
        <f>IF($P463="","",IF(ISNUMBER(INDEX(상세표[블록종료],$P463)),TEXT(INDEX(상세표[블록종료],$P463),"yyyy-mm-dd hh:mm"),INDEX(상세표[블록종료],$P463)&amp;""))</f>
        <v/>
      </c>
      <c r="G463">
        <f>IF($P463="","",CHOOSE(WEEKDAY(INDEX(상세표[시작],$P463)),"일","월","화","수","목","금","토"))</f>
        <v/>
      </c>
      <c r="H463">
        <f>IF($P463="","",INDEX(상세표[연속 시간],$P463))</f>
        <v/>
      </c>
      <c r="I463">
        <f>IF($P463="","",INDEX(상세표[기록 수],$P463))</f>
        <v/>
      </c>
      <c r="J463">
        <f>IF($P463="","",INDEX(상세표[블록 06~07시],$P463))</f>
        <v/>
      </c>
      <c r="K463">
        <f>IF($P463="","",INDEX(상세표[블록 07~18시],$P463))</f>
        <v/>
      </c>
      <c r="L463">
        <f>IF($P463="","",INDEX(상세표[블록 18~22시],$P463))</f>
        <v/>
      </c>
      <c r="M463">
        <f>IF($P463="","",INDEX(상세표[블록 22~06시],$P463))</f>
        <v/>
      </c>
      <c r="N463">
        <f>IF($P463="","",INDEX(상세표[주말·휴일 포함],$P463)&amp;"")</f>
        <v/>
      </c>
      <c r="O463">
        <f>IF($P463="","",INDEX(상세표[월 넘김 포함],$P463)&amp;"")</f>
        <v/>
      </c>
      <c r="P463" s="4">
        <f>IFERROR(MATCH(458,상세표[연속순번],0),"")</f>
        <v/>
      </c>
    </row>
    <row r="464">
      <c r="A464">
        <f>IF($P464="","",INDEX(상세표[사번],$P464)&amp;"")</f>
        <v/>
      </c>
      <c r="B464">
        <f>IF($P464="","",INDEX(상세표[성명],$P464)&amp;"")</f>
        <v/>
      </c>
      <c r="C464">
        <f>IF($P464="","",INDEX(상세표[부서],$P464)&amp;"")</f>
        <v/>
      </c>
      <c r="D464">
        <f>IF($P464="","",INDEX(상세표[직위],$P464)&amp;"")</f>
        <v/>
      </c>
      <c r="E464">
        <f>IF($P464="","",IF(ISNUMBER(INDEX(상세표[시작],$P464)),TEXT(INDEX(상세표[시작],$P464),"yyyy-mm-dd hh:mm"),INDEX(상세표[시작],$P464)&amp;""))</f>
        <v/>
      </c>
      <c r="F464">
        <f>IF($P464="","",IF(ISNUMBER(INDEX(상세표[블록종료],$P464)),TEXT(INDEX(상세표[블록종료],$P464),"yyyy-mm-dd hh:mm"),INDEX(상세표[블록종료],$P464)&amp;""))</f>
        <v/>
      </c>
      <c r="G464">
        <f>IF($P464="","",CHOOSE(WEEKDAY(INDEX(상세표[시작],$P464)),"일","월","화","수","목","금","토"))</f>
        <v/>
      </c>
      <c r="H464">
        <f>IF($P464="","",INDEX(상세표[연속 시간],$P464))</f>
        <v/>
      </c>
      <c r="I464">
        <f>IF($P464="","",INDEX(상세표[기록 수],$P464))</f>
        <v/>
      </c>
      <c r="J464">
        <f>IF($P464="","",INDEX(상세표[블록 06~07시],$P464))</f>
        <v/>
      </c>
      <c r="K464">
        <f>IF($P464="","",INDEX(상세표[블록 07~18시],$P464))</f>
        <v/>
      </c>
      <c r="L464">
        <f>IF($P464="","",INDEX(상세표[블록 18~22시],$P464))</f>
        <v/>
      </c>
      <c r="M464">
        <f>IF($P464="","",INDEX(상세표[블록 22~06시],$P464))</f>
        <v/>
      </c>
      <c r="N464">
        <f>IF($P464="","",INDEX(상세표[주말·휴일 포함],$P464)&amp;"")</f>
        <v/>
      </c>
      <c r="O464">
        <f>IF($P464="","",INDEX(상세표[월 넘김 포함],$P464)&amp;"")</f>
        <v/>
      </c>
      <c r="P464" s="4">
        <f>IFERROR(MATCH(459,상세표[연속순번],0),"")</f>
        <v/>
      </c>
    </row>
    <row r="465">
      <c r="A465">
        <f>IF($P465="","",INDEX(상세표[사번],$P465)&amp;"")</f>
        <v/>
      </c>
      <c r="B465">
        <f>IF($P465="","",INDEX(상세표[성명],$P465)&amp;"")</f>
        <v/>
      </c>
      <c r="C465">
        <f>IF($P465="","",INDEX(상세표[부서],$P465)&amp;"")</f>
        <v/>
      </c>
      <c r="D465">
        <f>IF($P465="","",INDEX(상세표[직위],$P465)&amp;"")</f>
        <v/>
      </c>
      <c r="E465">
        <f>IF($P465="","",IF(ISNUMBER(INDEX(상세표[시작],$P465)),TEXT(INDEX(상세표[시작],$P465),"yyyy-mm-dd hh:mm"),INDEX(상세표[시작],$P465)&amp;""))</f>
        <v/>
      </c>
      <c r="F465">
        <f>IF($P465="","",IF(ISNUMBER(INDEX(상세표[블록종료],$P465)),TEXT(INDEX(상세표[블록종료],$P465),"yyyy-mm-dd hh:mm"),INDEX(상세표[블록종료],$P465)&amp;""))</f>
        <v/>
      </c>
      <c r="G465">
        <f>IF($P465="","",CHOOSE(WEEKDAY(INDEX(상세표[시작],$P465)),"일","월","화","수","목","금","토"))</f>
        <v/>
      </c>
      <c r="H465">
        <f>IF($P465="","",INDEX(상세표[연속 시간],$P465))</f>
        <v/>
      </c>
      <c r="I465">
        <f>IF($P465="","",INDEX(상세표[기록 수],$P465))</f>
        <v/>
      </c>
      <c r="J465">
        <f>IF($P465="","",INDEX(상세표[블록 06~07시],$P465))</f>
        <v/>
      </c>
      <c r="K465">
        <f>IF($P465="","",INDEX(상세표[블록 07~18시],$P465))</f>
        <v/>
      </c>
      <c r="L465">
        <f>IF($P465="","",INDEX(상세표[블록 18~22시],$P465))</f>
        <v/>
      </c>
      <c r="M465">
        <f>IF($P465="","",INDEX(상세표[블록 22~06시],$P465))</f>
        <v/>
      </c>
      <c r="N465">
        <f>IF($P465="","",INDEX(상세표[주말·휴일 포함],$P465)&amp;"")</f>
        <v/>
      </c>
      <c r="O465">
        <f>IF($P465="","",INDEX(상세표[월 넘김 포함],$P465)&amp;"")</f>
        <v/>
      </c>
      <c r="P465" s="4">
        <f>IFERROR(MATCH(460,상세표[연속순번],0),"")</f>
        <v/>
      </c>
    </row>
    <row r="466">
      <c r="A466">
        <f>IF($P466="","",INDEX(상세표[사번],$P466)&amp;"")</f>
        <v/>
      </c>
      <c r="B466">
        <f>IF($P466="","",INDEX(상세표[성명],$P466)&amp;"")</f>
        <v/>
      </c>
      <c r="C466">
        <f>IF($P466="","",INDEX(상세표[부서],$P466)&amp;"")</f>
        <v/>
      </c>
      <c r="D466">
        <f>IF($P466="","",INDEX(상세표[직위],$P466)&amp;"")</f>
        <v/>
      </c>
      <c r="E466">
        <f>IF($P466="","",IF(ISNUMBER(INDEX(상세표[시작],$P466)),TEXT(INDEX(상세표[시작],$P466),"yyyy-mm-dd hh:mm"),INDEX(상세표[시작],$P466)&amp;""))</f>
        <v/>
      </c>
      <c r="F466">
        <f>IF($P466="","",IF(ISNUMBER(INDEX(상세표[블록종료],$P466)),TEXT(INDEX(상세표[블록종료],$P466),"yyyy-mm-dd hh:mm"),INDEX(상세표[블록종료],$P466)&amp;""))</f>
        <v/>
      </c>
      <c r="G466">
        <f>IF($P466="","",CHOOSE(WEEKDAY(INDEX(상세표[시작],$P466)),"일","월","화","수","목","금","토"))</f>
        <v/>
      </c>
      <c r="H466">
        <f>IF($P466="","",INDEX(상세표[연속 시간],$P466))</f>
        <v/>
      </c>
      <c r="I466">
        <f>IF($P466="","",INDEX(상세표[기록 수],$P466))</f>
        <v/>
      </c>
      <c r="J466">
        <f>IF($P466="","",INDEX(상세표[블록 06~07시],$P466))</f>
        <v/>
      </c>
      <c r="K466">
        <f>IF($P466="","",INDEX(상세표[블록 07~18시],$P466))</f>
        <v/>
      </c>
      <c r="L466">
        <f>IF($P466="","",INDEX(상세표[블록 18~22시],$P466))</f>
        <v/>
      </c>
      <c r="M466">
        <f>IF($P466="","",INDEX(상세표[블록 22~06시],$P466))</f>
        <v/>
      </c>
      <c r="N466">
        <f>IF($P466="","",INDEX(상세표[주말·휴일 포함],$P466)&amp;"")</f>
        <v/>
      </c>
      <c r="O466">
        <f>IF($P466="","",INDEX(상세표[월 넘김 포함],$P466)&amp;"")</f>
        <v/>
      </c>
      <c r="P466" s="4">
        <f>IFERROR(MATCH(461,상세표[연속순번],0),"")</f>
        <v/>
      </c>
    </row>
    <row r="467">
      <c r="A467">
        <f>IF($P467="","",INDEX(상세표[사번],$P467)&amp;"")</f>
        <v/>
      </c>
      <c r="B467">
        <f>IF($P467="","",INDEX(상세표[성명],$P467)&amp;"")</f>
        <v/>
      </c>
      <c r="C467">
        <f>IF($P467="","",INDEX(상세표[부서],$P467)&amp;"")</f>
        <v/>
      </c>
      <c r="D467">
        <f>IF($P467="","",INDEX(상세표[직위],$P467)&amp;"")</f>
        <v/>
      </c>
      <c r="E467">
        <f>IF($P467="","",IF(ISNUMBER(INDEX(상세표[시작],$P467)),TEXT(INDEX(상세표[시작],$P467),"yyyy-mm-dd hh:mm"),INDEX(상세표[시작],$P467)&amp;""))</f>
        <v/>
      </c>
      <c r="F467">
        <f>IF($P467="","",IF(ISNUMBER(INDEX(상세표[블록종료],$P467)),TEXT(INDEX(상세표[블록종료],$P467),"yyyy-mm-dd hh:mm"),INDEX(상세표[블록종료],$P467)&amp;""))</f>
        <v/>
      </c>
      <c r="G467">
        <f>IF($P467="","",CHOOSE(WEEKDAY(INDEX(상세표[시작],$P467)),"일","월","화","수","목","금","토"))</f>
        <v/>
      </c>
      <c r="H467">
        <f>IF($P467="","",INDEX(상세표[연속 시간],$P467))</f>
        <v/>
      </c>
      <c r="I467">
        <f>IF($P467="","",INDEX(상세표[기록 수],$P467))</f>
        <v/>
      </c>
      <c r="J467">
        <f>IF($P467="","",INDEX(상세표[블록 06~07시],$P467))</f>
        <v/>
      </c>
      <c r="K467">
        <f>IF($P467="","",INDEX(상세표[블록 07~18시],$P467))</f>
        <v/>
      </c>
      <c r="L467">
        <f>IF($P467="","",INDEX(상세표[블록 18~22시],$P467))</f>
        <v/>
      </c>
      <c r="M467">
        <f>IF($P467="","",INDEX(상세표[블록 22~06시],$P467))</f>
        <v/>
      </c>
      <c r="N467">
        <f>IF($P467="","",INDEX(상세표[주말·휴일 포함],$P467)&amp;"")</f>
        <v/>
      </c>
      <c r="O467">
        <f>IF($P467="","",INDEX(상세표[월 넘김 포함],$P467)&amp;"")</f>
        <v/>
      </c>
      <c r="P467" s="4">
        <f>IFERROR(MATCH(462,상세표[연속순번],0),"")</f>
        <v/>
      </c>
    </row>
    <row r="468">
      <c r="A468">
        <f>IF($P468="","",INDEX(상세표[사번],$P468)&amp;"")</f>
        <v/>
      </c>
      <c r="B468">
        <f>IF($P468="","",INDEX(상세표[성명],$P468)&amp;"")</f>
        <v/>
      </c>
      <c r="C468">
        <f>IF($P468="","",INDEX(상세표[부서],$P468)&amp;"")</f>
        <v/>
      </c>
      <c r="D468">
        <f>IF($P468="","",INDEX(상세표[직위],$P468)&amp;"")</f>
        <v/>
      </c>
      <c r="E468">
        <f>IF($P468="","",IF(ISNUMBER(INDEX(상세표[시작],$P468)),TEXT(INDEX(상세표[시작],$P468),"yyyy-mm-dd hh:mm"),INDEX(상세표[시작],$P468)&amp;""))</f>
        <v/>
      </c>
      <c r="F468">
        <f>IF($P468="","",IF(ISNUMBER(INDEX(상세표[블록종료],$P468)),TEXT(INDEX(상세표[블록종료],$P468),"yyyy-mm-dd hh:mm"),INDEX(상세표[블록종료],$P468)&amp;""))</f>
        <v/>
      </c>
      <c r="G468">
        <f>IF($P468="","",CHOOSE(WEEKDAY(INDEX(상세표[시작],$P468)),"일","월","화","수","목","금","토"))</f>
        <v/>
      </c>
      <c r="H468">
        <f>IF($P468="","",INDEX(상세표[연속 시간],$P468))</f>
        <v/>
      </c>
      <c r="I468">
        <f>IF($P468="","",INDEX(상세표[기록 수],$P468))</f>
        <v/>
      </c>
      <c r="J468">
        <f>IF($P468="","",INDEX(상세표[블록 06~07시],$P468))</f>
        <v/>
      </c>
      <c r="K468">
        <f>IF($P468="","",INDEX(상세표[블록 07~18시],$P468))</f>
        <v/>
      </c>
      <c r="L468">
        <f>IF($P468="","",INDEX(상세표[블록 18~22시],$P468))</f>
        <v/>
      </c>
      <c r="M468">
        <f>IF($P468="","",INDEX(상세표[블록 22~06시],$P468))</f>
        <v/>
      </c>
      <c r="N468">
        <f>IF($P468="","",INDEX(상세표[주말·휴일 포함],$P468)&amp;"")</f>
        <v/>
      </c>
      <c r="O468">
        <f>IF($P468="","",INDEX(상세표[월 넘김 포함],$P468)&amp;"")</f>
        <v/>
      </c>
      <c r="P468" s="4">
        <f>IFERROR(MATCH(463,상세표[연속순번],0),"")</f>
        <v/>
      </c>
    </row>
    <row r="469">
      <c r="A469">
        <f>IF($P469="","",INDEX(상세표[사번],$P469)&amp;"")</f>
        <v/>
      </c>
      <c r="B469">
        <f>IF($P469="","",INDEX(상세표[성명],$P469)&amp;"")</f>
        <v/>
      </c>
      <c r="C469">
        <f>IF($P469="","",INDEX(상세표[부서],$P469)&amp;"")</f>
        <v/>
      </c>
      <c r="D469">
        <f>IF($P469="","",INDEX(상세표[직위],$P469)&amp;"")</f>
        <v/>
      </c>
      <c r="E469">
        <f>IF($P469="","",IF(ISNUMBER(INDEX(상세표[시작],$P469)),TEXT(INDEX(상세표[시작],$P469),"yyyy-mm-dd hh:mm"),INDEX(상세표[시작],$P469)&amp;""))</f>
        <v/>
      </c>
      <c r="F469">
        <f>IF($P469="","",IF(ISNUMBER(INDEX(상세표[블록종료],$P469)),TEXT(INDEX(상세표[블록종료],$P469),"yyyy-mm-dd hh:mm"),INDEX(상세표[블록종료],$P469)&amp;""))</f>
        <v/>
      </c>
      <c r="G469">
        <f>IF($P469="","",CHOOSE(WEEKDAY(INDEX(상세표[시작],$P469)),"일","월","화","수","목","금","토"))</f>
        <v/>
      </c>
      <c r="H469">
        <f>IF($P469="","",INDEX(상세표[연속 시간],$P469))</f>
        <v/>
      </c>
      <c r="I469">
        <f>IF($P469="","",INDEX(상세표[기록 수],$P469))</f>
        <v/>
      </c>
      <c r="J469">
        <f>IF($P469="","",INDEX(상세표[블록 06~07시],$P469))</f>
        <v/>
      </c>
      <c r="K469">
        <f>IF($P469="","",INDEX(상세표[블록 07~18시],$P469))</f>
        <v/>
      </c>
      <c r="L469">
        <f>IF($P469="","",INDEX(상세표[블록 18~22시],$P469))</f>
        <v/>
      </c>
      <c r="M469">
        <f>IF($P469="","",INDEX(상세표[블록 22~06시],$P469))</f>
        <v/>
      </c>
      <c r="N469">
        <f>IF($P469="","",INDEX(상세표[주말·휴일 포함],$P469)&amp;"")</f>
        <v/>
      </c>
      <c r="O469">
        <f>IF($P469="","",INDEX(상세표[월 넘김 포함],$P469)&amp;"")</f>
        <v/>
      </c>
      <c r="P469" s="4">
        <f>IFERROR(MATCH(464,상세표[연속순번],0),"")</f>
        <v/>
      </c>
    </row>
    <row r="470">
      <c r="A470">
        <f>IF($P470="","",INDEX(상세표[사번],$P470)&amp;"")</f>
        <v/>
      </c>
      <c r="B470">
        <f>IF($P470="","",INDEX(상세표[성명],$P470)&amp;"")</f>
        <v/>
      </c>
      <c r="C470">
        <f>IF($P470="","",INDEX(상세표[부서],$P470)&amp;"")</f>
        <v/>
      </c>
      <c r="D470">
        <f>IF($P470="","",INDEX(상세표[직위],$P470)&amp;"")</f>
        <v/>
      </c>
      <c r="E470">
        <f>IF($P470="","",IF(ISNUMBER(INDEX(상세표[시작],$P470)),TEXT(INDEX(상세표[시작],$P470),"yyyy-mm-dd hh:mm"),INDEX(상세표[시작],$P470)&amp;""))</f>
        <v/>
      </c>
      <c r="F470">
        <f>IF($P470="","",IF(ISNUMBER(INDEX(상세표[블록종료],$P470)),TEXT(INDEX(상세표[블록종료],$P470),"yyyy-mm-dd hh:mm"),INDEX(상세표[블록종료],$P470)&amp;""))</f>
        <v/>
      </c>
      <c r="G470">
        <f>IF($P470="","",CHOOSE(WEEKDAY(INDEX(상세표[시작],$P470)),"일","월","화","수","목","금","토"))</f>
        <v/>
      </c>
      <c r="H470">
        <f>IF($P470="","",INDEX(상세표[연속 시간],$P470))</f>
        <v/>
      </c>
      <c r="I470">
        <f>IF($P470="","",INDEX(상세표[기록 수],$P470))</f>
        <v/>
      </c>
      <c r="J470">
        <f>IF($P470="","",INDEX(상세표[블록 06~07시],$P470))</f>
        <v/>
      </c>
      <c r="K470">
        <f>IF($P470="","",INDEX(상세표[블록 07~18시],$P470))</f>
        <v/>
      </c>
      <c r="L470">
        <f>IF($P470="","",INDEX(상세표[블록 18~22시],$P470))</f>
        <v/>
      </c>
      <c r="M470">
        <f>IF($P470="","",INDEX(상세표[블록 22~06시],$P470))</f>
        <v/>
      </c>
      <c r="N470">
        <f>IF($P470="","",INDEX(상세표[주말·휴일 포함],$P470)&amp;"")</f>
        <v/>
      </c>
      <c r="O470">
        <f>IF($P470="","",INDEX(상세표[월 넘김 포함],$P470)&amp;"")</f>
        <v/>
      </c>
      <c r="P470" s="4">
        <f>IFERROR(MATCH(465,상세표[연속순번],0),"")</f>
        <v/>
      </c>
    </row>
    <row r="471">
      <c r="A471">
        <f>IF($P471="","",INDEX(상세표[사번],$P471)&amp;"")</f>
        <v/>
      </c>
      <c r="B471">
        <f>IF($P471="","",INDEX(상세표[성명],$P471)&amp;"")</f>
        <v/>
      </c>
      <c r="C471">
        <f>IF($P471="","",INDEX(상세표[부서],$P471)&amp;"")</f>
        <v/>
      </c>
      <c r="D471">
        <f>IF($P471="","",INDEX(상세표[직위],$P471)&amp;"")</f>
        <v/>
      </c>
      <c r="E471">
        <f>IF($P471="","",IF(ISNUMBER(INDEX(상세표[시작],$P471)),TEXT(INDEX(상세표[시작],$P471),"yyyy-mm-dd hh:mm"),INDEX(상세표[시작],$P471)&amp;""))</f>
        <v/>
      </c>
      <c r="F471">
        <f>IF($P471="","",IF(ISNUMBER(INDEX(상세표[블록종료],$P471)),TEXT(INDEX(상세표[블록종료],$P471),"yyyy-mm-dd hh:mm"),INDEX(상세표[블록종료],$P471)&amp;""))</f>
        <v/>
      </c>
      <c r="G471">
        <f>IF($P471="","",CHOOSE(WEEKDAY(INDEX(상세표[시작],$P471)),"일","월","화","수","목","금","토"))</f>
        <v/>
      </c>
      <c r="H471">
        <f>IF($P471="","",INDEX(상세표[연속 시간],$P471))</f>
        <v/>
      </c>
      <c r="I471">
        <f>IF($P471="","",INDEX(상세표[기록 수],$P471))</f>
        <v/>
      </c>
      <c r="J471">
        <f>IF($P471="","",INDEX(상세표[블록 06~07시],$P471))</f>
        <v/>
      </c>
      <c r="K471">
        <f>IF($P471="","",INDEX(상세표[블록 07~18시],$P471))</f>
        <v/>
      </c>
      <c r="L471">
        <f>IF($P471="","",INDEX(상세표[블록 18~22시],$P471))</f>
        <v/>
      </c>
      <c r="M471">
        <f>IF($P471="","",INDEX(상세표[블록 22~06시],$P471))</f>
        <v/>
      </c>
      <c r="N471">
        <f>IF($P471="","",INDEX(상세표[주말·휴일 포함],$P471)&amp;"")</f>
        <v/>
      </c>
      <c r="O471">
        <f>IF($P471="","",INDEX(상세표[월 넘김 포함],$P471)&amp;"")</f>
        <v/>
      </c>
      <c r="P471" s="4">
        <f>IFERROR(MATCH(466,상세표[연속순번],0),"")</f>
        <v/>
      </c>
    </row>
    <row r="472">
      <c r="A472">
        <f>IF($P472="","",INDEX(상세표[사번],$P472)&amp;"")</f>
        <v/>
      </c>
      <c r="B472">
        <f>IF($P472="","",INDEX(상세표[성명],$P472)&amp;"")</f>
        <v/>
      </c>
      <c r="C472">
        <f>IF($P472="","",INDEX(상세표[부서],$P472)&amp;"")</f>
        <v/>
      </c>
      <c r="D472">
        <f>IF($P472="","",INDEX(상세표[직위],$P472)&amp;"")</f>
        <v/>
      </c>
      <c r="E472">
        <f>IF($P472="","",IF(ISNUMBER(INDEX(상세표[시작],$P472)),TEXT(INDEX(상세표[시작],$P472),"yyyy-mm-dd hh:mm"),INDEX(상세표[시작],$P472)&amp;""))</f>
        <v/>
      </c>
      <c r="F472">
        <f>IF($P472="","",IF(ISNUMBER(INDEX(상세표[블록종료],$P472)),TEXT(INDEX(상세표[블록종료],$P472),"yyyy-mm-dd hh:mm"),INDEX(상세표[블록종료],$P472)&amp;""))</f>
        <v/>
      </c>
      <c r="G472">
        <f>IF($P472="","",CHOOSE(WEEKDAY(INDEX(상세표[시작],$P472)),"일","월","화","수","목","금","토"))</f>
        <v/>
      </c>
      <c r="H472">
        <f>IF($P472="","",INDEX(상세표[연속 시간],$P472))</f>
        <v/>
      </c>
      <c r="I472">
        <f>IF($P472="","",INDEX(상세표[기록 수],$P472))</f>
        <v/>
      </c>
      <c r="J472">
        <f>IF($P472="","",INDEX(상세표[블록 06~07시],$P472))</f>
        <v/>
      </c>
      <c r="K472">
        <f>IF($P472="","",INDEX(상세표[블록 07~18시],$P472))</f>
        <v/>
      </c>
      <c r="L472">
        <f>IF($P472="","",INDEX(상세표[블록 18~22시],$P472))</f>
        <v/>
      </c>
      <c r="M472">
        <f>IF($P472="","",INDEX(상세표[블록 22~06시],$P472))</f>
        <v/>
      </c>
      <c r="N472">
        <f>IF($P472="","",INDEX(상세표[주말·휴일 포함],$P472)&amp;"")</f>
        <v/>
      </c>
      <c r="O472">
        <f>IF($P472="","",INDEX(상세표[월 넘김 포함],$P472)&amp;"")</f>
        <v/>
      </c>
      <c r="P472" s="4">
        <f>IFERROR(MATCH(467,상세표[연속순번],0),"")</f>
        <v/>
      </c>
    </row>
    <row r="473">
      <c r="A473">
        <f>IF($P473="","",INDEX(상세표[사번],$P473)&amp;"")</f>
        <v/>
      </c>
      <c r="B473">
        <f>IF($P473="","",INDEX(상세표[성명],$P473)&amp;"")</f>
        <v/>
      </c>
      <c r="C473">
        <f>IF($P473="","",INDEX(상세표[부서],$P473)&amp;"")</f>
        <v/>
      </c>
      <c r="D473">
        <f>IF($P473="","",INDEX(상세표[직위],$P473)&amp;"")</f>
        <v/>
      </c>
      <c r="E473">
        <f>IF($P473="","",IF(ISNUMBER(INDEX(상세표[시작],$P473)),TEXT(INDEX(상세표[시작],$P473),"yyyy-mm-dd hh:mm"),INDEX(상세표[시작],$P473)&amp;""))</f>
        <v/>
      </c>
      <c r="F473">
        <f>IF($P473="","",IF(ISNUMBER(INDEX(상세표[블록종료],$P473)),TEXT(INDEX(상세표[블록종료],$P473),"yyyy-mm-dd hh:mm"),INDEX(상세표[블록종료],$P473)&amp;""))</f>
        <v/>
      </c>
      <c r="G473">
        <f>IF($P473="","",CHOOSE(WEEKDAY(INDEX(상세표[시작],$P473)),"일","월","화","수","목","금","토"))</f>
        <v/>
      </c>
      <c r="H473">
        <f>IF($P473="","",INDEX(상세표[연속 시간],$P473))</f>
        <v/>
      </c>
      <c r="I473">
        <f>IF($P473="","",INDEX(상세표[기록 수],$P473))</f>
        <v/>
      </c>
      <c r="J473">
        <f>IF($P473="","",INDEX(상세표[블록 06~07시],$P473))</f>
        <v/>
      </c>
      <c r="K473">
        <f>IF($P473="","",INDEX(상세표[블록 07~18시],$P473))</f>
        <v/>
      </c>
      <c r="L473">
        <f>IF($P473="","",INDEX(상세표[블록 18~22시],$P473))</f>
        <v/>
      </c>
      <c r="M473">
        <f>IF($P473="","",INDEX(상세표[블록 22~06시],$P473))</f>
        <v/>
      </c>
      <c r="N473">
        <f>IF($P473="","",INDEX(상세표[주말·휴일 포함],$P473)&amp;"")</f>
        <v/>
      </c>
      <c r="O473">
        <f>IF($P473="","",INDEX(상세표[월 넘김 포함],$P473)&amp;"")</f>
        <v/>
      </c>
      <c r="P473" s="4">
        <f>IFERROR(MATCH(468,상세표[연속순번],0),"")</f>
        <v/>
      </c>
    </row>
    <row r="474">
      <c r="A474">
        <f>IF($P474="","",INDEX(상세표[사번],$P474)&amp;"")</f>
        <v/>
      </c>
      <c r="B474">
        <f>IF($P474="","",INDEX(상세표[성명],$P474)&amp;"")</f>
        <v/>
      </c>
      <c r="C474">
        <f>IF($P474="","",INDEX(상세표[부서],$P474)&amp;"")</f>
        <v/>
      </c>
      <c r="D474">
        <f>IF($P474="","",INDEX(상세표[직위],$P474)&amp;"")</f>
        <v/>
      </c>
      <c r="E474">
        <f>IF($P474="","",IF(ISNUMBER(INDEX(상세표[시작],$P474)),TEXT(INDEX(상세표[시작],$P474),"yyyy-mm-dd hh:mm"),INDEX(상세표[시작],$P474)&amp;""))</f>
        <v/>
      </c>
      <c r="F474">
        <f>IF($P474="","",IF(ISNUMBER(INDEX(상세표[블록종료],$P474)),TEXT(INDEX(상세표[블록종료],$P474),"yyyy-mm-dd hh:mm"),INDEX(상세표[블록종료],$P474)&amp;""))</f>
        <v/>
      </c>
      <c r="G474">
        <f>IF($P474="","",CHOOSE(WEEKDAY(INDEX(상세표[시작],$P474)),"일","월","화","수","목","금","토"))</f>
        <v/>
      </c>
      <c r="H474">
        <f>IF($P474="","",INDEX(상세표[연속 시간],$P474))</f>
        <v/>
      </c>
      <c r="I474">
        <f>IF($P474="","",INDEX(상세표[기록 수],$P474))</f>
        <v/>
      </c>
      <c r="J474">
        <f>IF($P474="","",INDEX(상세표[블록 06~07시],$P474))</f>
        <v/>
      </c>
      <c r="K474">
        <f>IF($P474="","",INDEX(상세표[블록 07~18시],$P474))</f>
        <v/>
      </c>
      <c r="L474">
        <f>IF($P474="","",INDEX(상세표[블록 18~22시],$P474))</f>
        <v/>
      </c>
      <c r="M474">
        <f>IF($P474="","",INDEX(상세표[블록 22~06시],$P474))</f>
        <v/>
      </c>
      <c r="N474">
        <f>IF($P474="","",INDEX(상세표[주말·휴일 포함],$P474)&amp;"")</f>
        <v/>
      </c>
      <c r="O474">
        <f>IF($P474="","",INDEX(상세표[월 넘김 포함],$P474)&amp;"")</f>
        <v/>
      </c>
      <c r="P474" s="4">
        <f>IFERROR(MATCH(469,상세표[연속순번],0),"")</f>
        <v/>
      </c>
    </row>
    <row r="475">
      <c r="A475">
        <f>IF($P475="","",INDEX(상세표[사번],$P475)&amp;"")</f>
        <v/>
      </c>
      <c r="B475">
        <f>IF($P475="","",INDEX(상세표[성명],$P475)&amp;"")</f>
        <v/>
      </c>
      <c r="C475">
        <f>IF($P475="","",INDEX(상세표[부서],$P475)&amp;"")</f>
        <v/>
      </c>
      <c r="D475">
        <f>IF($P475="","",INDEX(상세표[직위],$P475)&amp;"")</f>
        <v/>
      </c>
      <c r="E475">
        <f>IF($P475="","",IF(ISNUMBER(INDEX(상세표[시작],$P475)),TEXT(INDEX(상세표[시작],$P475),"yyyy-mm-dd hh:mm"),INDEX(상세표[시작],$P475)&amp;""))</f>
        <v/>
      </c>
      <c r="F475">
        <f>IF($P475="","",IF(ISNUMBER(INDEX(상세표[블록종료],$P475)),TEXT(INDEX(상세표[블록종료],$P475),"yyyy-mm-dd hh:mm"),INDEX(상세표[블록종료],$P475)&amp;""))</f>
        <v/>
      </c>
      <c r="G475">
        <f>IF($P475="","",CHOOSE(WEEKDAY(INDEX(상세표[시작],$P475)),"일","월","화","수","목","금","토"))</f>
        <v/>
      </c>
      <c r="H475">
        <f>IF($P475="","",INDEX(상세표[연속 시간],$P475))</f>
        <v/>
      </c>
      <c r="I475">
        <f>IF($P475="","",INDEX(상세표[기록 수],$P475))</f>
        <v/>
      </c>
      <c r="J475">
        <f>IF($P475="","",INDEX(상세표[블록 06~07시],$P475))</f>
        <v/>
      </c>
      <c r="K475">
        <f>IF($P475="","",INDEX(상세표[블록 07~18시],$P475))</f>
        <v/>
      </c>
      <c r="L475">
        <f>IF($P475="","",INDEX(상세표[블록 18~22시],$P475))</f>
        <v/>
      </c>
      <c r="M475">
        <f>IF($P475="","",INDEX(상세표[블록 22~06시],$P475))</f>
        <v/>
      </c>
      <c r="N475">
        <f>IF($P475="","",INDEX(상세표[주말·휴일 포함],$P475)&amp;"")</f>
        <v/>
      </c>
      <c r="O475">
        <f>IF($P475="","",INDEX(상세표[월 넘김 포함],$P475)&amp;"")</f>
        <v/>
      </c>
      <c r="P475" s="4">
        <f>IFERROR(MATCH(470,상세표[연속순번],0),"")</f>
        <v/>
      </c>
    </row>
    <row r="476">
      <c r="A476">
        <f>IF($P476="","",INDEX(상세표[사번],$P476)&amp;"")</f>
        <v/>
      </c>
      <c r="B476">
        <f>IF($P476="","",INDEX(상세표[성명],$P476)&amp;"")</f>
        <v/>
      </c>
      <c r="C476">
        <f>IF($P476="","",INDEX(상세표[부서],$P476)&amp;"")</f>
        <v/>
      </c>
      <c r="D476">
        <f>IF($P476="","",INDEX(상세표[직위],$P476)&amp;"")</f>
        <v/>
      </c>
      <c r="E476">
        <f>IF($P476="","",IF(ISNUMBER(INDEX(상세표[시작],$P476)),TEXT(INDEX(상세표[시작],$P476),"yyyy-mm-dd hh:mm"),INDEX(상세표[시작],$P476)&amp;""))</f>
        <v/>
      </c>
      <c r="F476">
        <f>IF($P476="","",IF(ISNUMBER(INDEX(상세표[블록종료],$P476)),TEXT(INDEX(상세표[블록종료],$P476),"yyyy-mm-dd hh:mm"),INDEX(상세표[블록종료],$P476)&amp;""))</f>
        <v/>
      </c>
      <c r="G476">
        <f>IF($P476="","",CHOOSE(WEEKDAY(INDEX(상세표[시작],$P476)),"일","월","화","수","목","금","토"))</f>
        <v/>
      </c>
      <c r="H476">
        <f>IF($P476="","",INDEX(상세표[연속 시간],$P476))</f>
        <v/>
      </c>
      <c r="I476">
        <f>IF($P476="","",INDEX(상세표[기록 수],$P476))</f>
        <v/>
      </c>
      <c r="J476">
        <f>IF($P476="","",INDEX(상세표[블록 06~07시],$P476))</f>
        <v/>
      </c>
      <c r="K476">
        <f>IF($P476="","",INDEX(상세표[블록 07~18시],$P476))</f>
        <v/>
      </c>
      <c r="L476">
        <f>IF($P476="","",INDEX(상세표[블록 18~22시],$P476))</f>
        <v/>
      </c>
      <c r="M476">
        <f>IF($P476="","",INDEX(상세표[블록 22~06시],$P476))</f>
        <v/>
      </c>
      <c r="N476">
        <f>IF($P476="","",INDEX(상세표[주말·휴일 포함],$P476)&amp;"")</f>
        <v/>
      </c>
      <c r="O476">
        <f>IF($P476="","",INDEX(상세표[월 넘김 포함],$P476)&amp;"")</f>
        <v/>
      </c>
      <c r="P476" s="4">
        <f>IFERROR(MATCH(471,상세표[연속순번],0),"")</f>
        <v/>
      </c>
    </row>
    <row r="477">
      <c r="A477">
        <f>IF($P477="","",INDEX(상세표[사번],$P477)&amp;"")</f>
        <v/>
      </c>
      <c r="B477">
        <f>IF($P477="","",INDEX(상세표[성명],$P477)&amp;"")</f>
        <v/>
      </c>
      <c r="C477">
        <f>IF($P477="","",INDEX(상세표[부서],$P477)&amp;"")</f>
        <v/>
      </c>
      <c r="D477">
        <f>IF($P477="","",INDEX(상세표[직위],$P477)&amp;"")</f>
        <v/>
      </c>
      <c r="E477">
        <f>IF($P477="","",IF(ISNUMBER(INDEX(상세표[시작],$P477)),TEXT(INDEX(상세표[시작],$P477),"yyyy-mm-dd hh:mm"),INDEX(상세표[시작],$P477)&amp;""))</f>
        <v/>
      </c>
      <c r="F477">
        <f>IF($P477="","",IF(ISNUMBER(INDEX(상세표[블록종료],$P477)),TEXT(INDEX(상세표[블록종료],$P477),"yyyy-mm-dd hh:mm"),INDEX(상세표[블록종료],$P477)&amp;""))</f>
        <v/>
      </c>
      <c r="G477">
        <f>IF($P477="","",CHOOSE(WEEKDAY(INDEX(상세표[시작],$P477)),"일","월","화","수","목","금","토"))</f>
        <v/>
      </c>
      <c r="H477">
        <f>IF($P477="","",INDEX(상세표[연속 시간],$P477))</f>
        <v/>
      </c>
      <c r="I477">
        <f>IF($P477="","",INDEX(상세표[기록 수],$P477))</f>
        <v/>
      </c>
      <c r="J477">
        <f>IF($P477="","",INDEX(상세표[블록 06~07시],$P477))</f>
        <v/>
      </c>
      <c r="K477">
        <f>IF($P477="","",INDEX(상세표[블록 07~18시],$P477))</f>
        <v/>
      </c>
      <c r="L477">
        <f>IF($P477="","",INDEX(상세표[블록 18~22시],$P477))</f>
        <v/>
      </c>
      <c r="M477">
        <f>IF($P477="","",INDEX(상세표[블록 22~06시],$P477))</f>
        <v/>
      </c>
      <c r="N477">
        <f>IF($P477="","",INDEX(상세표[주말·휴일 포함],$P477)&amp;"")</f>
        <v/>
      </c>
      <c r="O477">
        <f>IF($P477="","",INDEX(상세표[월 넘김 포함],$P477)&amp;"")</f>
        <v/>
      </c>
      <c r="P477" s="4">
        <f>IFERROR(MATCH(472,상세표[연속순번],0),"")</f>
        <v/>
      </c>
    </row>
    <row r="478">
      <c r="A478">
        <f>IF($P478="","",INDEX(상세표[사번],$P478)&amp;"")</f>
        <v/>
      </c>
      <c r="B478">
        <f>IF($P478="","",INDEX(상세표[성명],$P478)&amp;"")</f>
        <v/>
      </c>
      <c r="C478">
        <f>IF($P478="","",INDEX(상세표[부서],$P478)&amp;"")</f>
        <v/>
      </c>
      <c r="D478">
        <f>IF($P478="","",INDEX(상세표[직위],$P478)&amp;"")</f>
        <v/>
      </c>
      <c r="E478">
        <f>IF($P478="","",IF(ISNUMBER(INDEX(상세표[시작],$P478)),TEXT(INDEX(상세표[시작],$P478),"yyyy-mm-dd hh:mm"),INDEX(상세표[시작],$P478)&amp;""))</f>
        <v/>
      </c>
      <c r="F478">
        <f>IF($P478="","",IF(ISNUMBER(INDEX(상세표[블록종료],$P478)),TEXT(INDEX(상세표[블록종료],$P478),"yyyy-mm-dd hh:mm"),INDEX(상세표[블록종료],$P478)&amp;""))</f>
        <v/>
      </c>
      <c r="G478">
        <f>IF($P478="","",CHOOSE(WEEKDAY(INDEX(상세표[시작],$P478)),"일","월","화","수","목","금","토"))</f>
        <v/>
      </c>
      <c r="H478">
        <f>IF($P478="","",INDEX(상세표[연속 시간],$P478))</f>
        <v/>
      </c>
      <c r="I478">
        <f>IF($P478="","",INDEX(상세표[기록 수],$P478))</f>
        <v/>
      </c>
      <c r="J478">
        <f>IF($P478="","",INDEX(상세표[블록 06~07시],$P478))</f>
        <v/>
      </c>
      <c r="K478">
        <f>IF($P478="","",INDEX(상세표[블록 07~18시],$P478))</f>
        <v/>
      </c>
      <c r="L478">
        <f>IF($P478="","",INDEX(상세표[블록 18~22시],$P478))</f>
        <v/>
      </c>
      <c r="M478">
        <f>IF($P478="","",INDEX(상세표[블록 22~06시],$P478))</f>
        <v/>
      </c>
      <c r="N478">
        <f>IF($P478="","",INDEX(상세표[주말·휴일 포함],$P478)&amp;"")</f>
        <v/>
      </c>
      <c r="O478">
        <f>IF($P478="","",INDEX(상세표[월 넘김 포함],$P478)&amp;"")</f>
        <v/>
      </c>
      <c r="P478" s="4">
        <f>IFERROR(MATCH(473,상세표[연속순번],0),"")</f>
        <v/>
      </c>
    </row>
    <row r="479">
      <c r="A479">
        <f>IF($P479="","",INDEX(상세표[사번],$P479)&amp;"")</f>
        <v/>
      </c>
      <c r="B479">
        <f>IF($P479="","",INDEX(상세표[성명],$P479)&amp;"")</f>
        <v/>
      </c>
      <c r="C479">
        <f>IF($P479="","",INDEX(상세표[부서],$P479)&amp;"")</f>
        <v/>
      </c>
      <c r="D479">
        <f>IF($P479="","",INDEX(상세표[직위],$P479)&amp;"")</f>
        <v/>
      </c>
      <c r="E479">
        <f>IF($P479="","",IF(ISNUMBER(INDEX(상세표[시작],$P479)),TEXT(INDEX(상세표[시작],$P479),"yyyy-mm-dd hh:mm"),INDEX(상세표[시작],$P479)&amp;""))</f>
        <v/>
      </c>
      <c r="F479">
        <f>IF($P479="","",IF(ISNUMBER(INDEX(상세표[블록종료],$P479)),TEXT(INDEX(상세표[블록종료],$P479),"yyyy-mm-dd hh:mm"),INDEX(상세표[블록종료],$P479)&amp;""))</f>
        <v/>
      </c>
      <c r="G479">
        <f>IF($P479="","",CHOOSE(WEEKDAY(INDEX(상세표[시작],$P479)),"일","월","화","수","목","금","토"))</f>
        <v/>
      </c>
      <c r="H479">
        <f>IF($P479="","",INDEX(상세표[연속 시간],$P479))</f>
        <v/>
      </c>
      <c r="I479">
        <f>IF($P479="","",INDEX(상세표[기록 수],$P479))</f>
        <v/>
      </c>
      <c r="J479">
        <f>IF($P479="","",INDEX(상세표[블록 06~07시],$P479))</f>
        <v/>
      </c>
      <c r="K479">
        <f>IF($P479="","",INDEX(상세표[블록 07~18시],$P479))</f>
        <v/>
      </c>
      <c r="L479">
        <f>IF($P479="","",INDEX(상세표[블록 18~22시],$P479))</f>
        <v/>
      </c>
      <c r="M479">
        <f>IF($P479="","",INDEX(상세표[블록 22~06시],$P479))</f>
        <v/>
      </c>
      <c r="N479">
        <f>IF($P479="","",INDEX(상세표[주말·휴일 포함],$P479)&amp;"")</f>
        <v/>
      </c>
      <c r="O479">
        <f>IF($P479="","",INDEX(상세표[월 넘김 포함],$P479)&amp;"")</f>
        <v/>
      </c>
      <c r="P479" s="4">
        <f>IFERROR(MATCH(474,상세표[연속순번],0),"")</f>
        <v/>
      </c>
    </row>
    <row r="480">
      <c r="A480">
        <f>IF($P480="","",INDEX(상세표[사번],$P480)&amp;"")</f>
        <v/>
      </c>
      <c r="B480">
        <f>IF($P480="","",INDEX(상세표[성명],$P480)&amp;"")</f>
        <v/>
      </c>
      <c r="C480">
        <f>IF($P480="","",INDEX(상세표[부서],$P480)&amp;"")</f>
        <v/>
      </c>
      <c r="D480">
        <f>IF($P480="","",INDEX(상세표[직위],$P480)&amp;"")</f>
        <v/>
      </c>
      <c r="E480">
        <f>IF($P480="","",IF(ISNUMBER(INDEX(상세표[시작],$P480)),TEXT(INDEX(상세표[시작],$P480),"yyyy-mm-dd hh:mm"),INDEX(상세표[시작],$P480)&amp;""))</f>
        <v/>
      </c>
      <c r="F480">
        <f>IF($P480="","",IF(ISNUMBER(INDEX(상세표[블록종료],$P480)),TEXT(INDEX(상세표[블록종료],$P480),"yyyy-mm-dd hh:mm"),INDEX(상세표[블록종료],$P480)&amp;""))</f>
        <v/>
      </c>
      <c r="G480">
        <f>IF($P480="","",CHOOSE(WEEKDAY(INDEX(상세표[시작],$P480)),"일","월","화","수","목","금","토"))</f>
        <v/>
      </c>
      <c r="H480">
        <f>IF($P480="","",INDEX(상세표[연속 시간],$P480))</f>
        <v/>
      </c>
      <c r="I480">
        <f>IF($P480="","",INDEX(상세표[기록 수],$P480))</f>
        <v/>
      </c>
      <c r="J480">
        <f>IF($P480="","",INDEX(상세표[블록 06~07시],$P480))</f>
        <v/>
      </c>
      <c r="K480">
        <f>IF($P480="","",INDEX(상세표[블록 07~18시],$P480))</f>
        <v/>
      </c>
      <c r="L480">
        <f>IF($P480="","",INDEX(상세표[블록 18~22시],$P480))</f>
        <v/>
      </c>
      <c r="M480">
        <f>IF($P480="","",INDEX(상세표[블록 22~06시],$P480))</f>
        <v/>
      </c>
      <c r="N480">
        <f>IF($P480="","",INDEX(상세표[주말·휴일 포함],$P480)&amp;"")</f>
        <v/>
      </c>
      <c r="O480">
        <f>IF($P480="","",INDEX(상세표[월 넘김 포함],$P480)&amp;"")</f>
        <v/>
      </c>
      <c r="P480" s="4">
        <f>IFERROR(MATCH(475,상세표[연속순번],0),"")</f>
        <v/>
      </c>
    </row>
    <row r="481">
      <c r="A481">
        <f>IF($P481="","",INDEX(상세표[사번],$P481)&amp;"")</f>
        <v/>
      </c>
      <c r="B481">
        <f>IF($P481="","",INDEX(상세표[성명],$P481)&amp;"")</f>
        <v/>
      </c>
      <c r="C481">
        <f>IF($P481="","",INDEX(상세표[부서],$P481)&amp;"")</f>
        <v/>
      </c>
      <c r="D481">
        <f>IF($P481="","",INDEX(상세표[직위],$P481)&amp;"")</f>
        <v/>
      </c>
      <c r="E481">
        <f>IF($P481="","",IF(ISNUMBER(INDEX(상세표[시작],$P481)),TEXT(INDEX(상세표[시작],$P481),"yyyy-mm-dd hh:mm"),INDEX(상세표[시작],$P481)&amp;""))</f>
        <v/>
      </c>
      <c r="F481">
        <f>IF($P481="","",IF(ISNUMBER(INDEX(상세표[블록종료],$P481)),TEXT(INDEX(상세표[블록종료],$P481),"yyyy-mm-dd hh:mm"),INDEX(상세표[블록종료],$P481)&amp;""))</f>
        <v/>
      </c>
      <c r="G481">
        <f>IF($P481="","",CHOOSE(WEEKDAY(INDEX(상세표[시작],$P481)),"일","월","화","수","목","금","토"))</f>
        <v/>
      </c>
      <c r="H481">
        <f>IF($P481="","",INDEX(상세표[연속 시간],$P481))</f>
        <v/>
      </c>
      <c r="I481">
        <f>IF($P481="","",INDEX(상세표[기록 수],$P481))</f>
        <v/>
      </c>
      <c r="J481">
        <f>IF($P481="","",INDEX(상세표[블록 06~07시],$P481))</f>
        <v/>
      </c>
      <c r="K481">
        <f>IF($P481="","",INDEX(상세표[블록 07~18시],$P481))</f>
        <v/>
      </c>
      <c r="L481">
        <f>IF($P481="","",INDEX(상세표[블록 18~22시],$P481))</f>
        <v/>
      </c>
      <c r="M481">
        <f>IF($P481="","",INDEX(상세표[블록 22~06시],$P481))</f>
        <v/>
      </c>
      <c r="N481">
        <f>IF($P481="","",INDEX(상세표[주말·휴일 포함],$P481)&amp;"")</f>
        <v/>
      </c>
      <c r="O481">
        <f>IF($P481="","",INDEX(상세표[월 넘김 포함],$P481)&amp;"")</f>
        <v/>
      </c>
      <c r="P481" s="4">
        <f>IFERROR(MATCH(476,상세표[연속순번],0),"")</f>
        <v/>
      </c>
    </row>
    <row r="482">
      <c r="A482">
        <f>IF($P482="","",INDEX(상세표[사번],$P482)&amp;"")</f>
        <v/>
      </c>
      <c r="B482">
        <f>IF($P482="","",INDEX(상세표[성명],$P482)&amp;"")</f>
        <v/>
      </c>
      <c r="C482">
        <f>IF($P482="","",INDEX(상세표[부서],$P482)&amp;"")</f>
        <v/>
      </c>
      <c r="D482">
        <f>IF($P482="","",INDEX(상세표[직위],$P482)&amp;"")</f>
        <v/>
      </c>
      <c r="E482">
        <f>IF($P482="","",IF(ISNUMBER(INDEX(상세표[시작],$P482)),TEXT(INDEX(상세표[시작],$P482),"yyyy-mm-dd hh:mm"),INDEX(상세표[시작],$P482)&amp;""))</f>
        <v/>
      </c>
      <c r="F482">
        <f>IF($P482="","",IF(ISNUMBER(INDEX(상세표[블록종료],$P482)),TEXT(INDEX(상세표[블록종료],$P482),"yyyy-mm-dd hh:mm"),INDEX(상세표[블록종료],$P482)&amp;""))</f>
        <v/>
      </c>
      <c r="G482">
        <f>IF($P482="","",CHOOSE(WEEKDAY(INDEX(상세표[시작],$P482)),"일","월","화","수","목","금","토"))</f>
        <v/>
      </c>
      <c r="H482">
        <f>IF($P482="","",INDEX(상세표[연속 시간],$P482))</f>
        <v/>
      </c>
      <c r="I482">
        <f>IF($P482="","",INDEX(상세표[기록 수],$P482))</f>
        <v/>
      </c>
      <c r="J482">
        <f>IF($P482="","",INDEX(상세표[블록 06~07시],$P482))</f>
        <v/>
      </c>
      <c r="K482">
        <f>IF($P482="","",INDEX(상세표[블록 07~18시],$P482))</f>
        <v/>
      </c>
      <c r="L482">
        <f>IF($P482="","",INDEX(상세표[블록 18~22시],$P482))</f>
        <v/>
      </c>
      <c r="M482">
        <f>IF($P482="","",INDEX(상세표[블록 22~06시],$P482))</f>
        <v/>
      </c>
      <c r="N482">
        <f>IF($P482="","",INDEX(상세표[주말·휴일 포함],$P482)&amp;"")</f>
        <v/>
      </c>
      <c r="O482">
        <f>IF($P482="","",INDEX(상세표[월 넘김 포함],$P482)&amp;"")</f>
        <v/>
      </c>
      <c r="P482" s="4">
        <f>IFERROR(MATCH(477,상세표[연속순번],0),"")</f>
        <v/>
      </c>
    </row>
    <row r="483">
      <c r="A483">
        <f>IF($P483="","",INDEX(상세표[사번],$P483)&amp;"")</f>
        <v/>
      </c>
      <c r="B483">
        <f>IF($P483="","",INDEX(상세표[성명],$P483)&amp;"")</f>
        <v/>
      </c>
      <c r="C483">
        <f>IF($P483="","",INDEX(상세표[부서],$P483)&amp;"")</f>
        <v/>
      </c>
      <c r="D483">
        <f>IF($P483="","",INDEX(상세표[직위],$P483)&amp;"")</f>
        <v/>
      </c>
      <c r="E483">
        <f>IF($P483="","",IF(ISNUMBER(INDEX(상세표[시작],$P483)),TEXT(INDEX(상세표[시작],$P483),"yyyy-mm-dd hh:mm"),INDEX(상세표[시작],$P483)&amp;""))</f>
        <v/>
      </c>
      <c r="F483">
        <f>IF($P483="","",IF(ISNUMBER(INDEX(상세표[블록종료],$P483)),TEXT(INDEX(상세표[블록종료],$P483),"yyyy-mm-dd hh:mm"),INDEX(상세표[블록종료],$P483)&amp;""))</f>
        <v/>
      </c>
      <c r="G483">
        <f>IF($P483="","",CHOOSE(WEEKDAY(INDEX(상세표[시작],$P483)),"일","월","화","수","목","금","토"))</f>
        <v/>
      </c>
      <c r="H483">
        <f>IF($P483="","",INDEX(상세표[연속 시간],$P483))</f>
        <v/>
      </c>
      <c r="I483">
        <f>IF($P483="","",INDEX(상세표[기록 수],$P483))</f>
        <v/>
      </c>
      <c r="J483">
        <f>IF($P483="","",INDEX(상세표[블록 06~07시],$P483))</f>
        <v/>
      </c>
      <c r="K483">
        <f>IF($P483="","",INDEX(상세표[블록 07~18시],$P483))</f>
        <v/>
      </c>
      <c r="L483">
        <f>IF($P483="","",INDEX(상세표[블록 18~22시],$P483))</f>
        <v/>
      </c>
      <c r="M483">
        <f>IF($P483="","",INDEX(상세표[블록 22~06시],$P483))</f>
        <v/>
      </c>
      <c r="N483">
        <f>IF($P483="","",INDEX(상세표[주말·휴일 포함],$P483)&amp;"")</f>
        <v/>
      </c>
      <c r="O483">
        <f>IF($P483="","",INDEX(상세표[월 넘김 포함],$P483)&amp;"")</f>
        <v/>
      </c>
      <c r="P483" s="4">
        <f>IFERROR(MATCH(478,상세표[연속순번],0),"")</f>
        <v/>
      </c>
    </row>
    <row r="484">
      <c r="A484">
        <f>IF($P484="","",INDEX(상세표[사번],$P484)&amp;"")</f>
        <v/>
      </c>
      <c r="B484">
        <f>IF($P484="","",INDEX(상세표[성명],$P484)&amp;"")</f>
        <v/>
      </c>
      <c r="C484">
        <f>IF($P484="","",INDEX(상세표[부서],$P484)&amp;"")</f>
        <v/>
      </c>
      <c r="D484">
        <f>IF($P484="","",INDEX(상세표[직위],$P484)&amp;"")</f>
        <v/>
      </c>
      <c r="E484">
        <f>IF($P484="","",IF(ISNUMBER(INDEX(상세표[시작],$P484)),TEXT(INDEX(상세표[시작],$P484),"yyyy-mm-dd hh:mm"),INDEX(상세표[시작],$P484)&amp;""))</f>
        <v/>
      </c>
      <c r="F484">
        <f>IF($P484="","",IF(ISNUMBER(INDEX(상세표[블록종료],$P484)),TEXT(INDEX(상세표[블록종료],$P484),"yyyy-mm-dd hh:mm"),INDEX(상세표[블록종료],$P484)&amp;""))</f>
        <v/>
      </c>
      <c r="G484">
        <f>IF($P484="","",CHOOSE(WEEKDAY(INDEX(상세표[시작],$P484)),"일","월","화","수","목","금","토"))</f>
        <v/>
      </c>
      <c r="H484">
        <f>IF($P484="","",INDEX(상세표[연속 시간],$P484))</f>
        <v/>
      </c>
      <c r="I484">
        <f>IF($P484="","",INDEX(상세표[기록 수],$P484))</f>
        <v/>
      </c>
      <c r="J484">
        <f>IF($P484="","",INDEX(상세표[블록 06~07시],$P484))</f>
        <v/>
      </c>
      <c r="K484">
        <f>IF($P484="","",INDEX(상세표[블록 07~18시],$P484))</f>
        <v/>
      </c>
      <c r="L484">
        <f>IF($P484="","",INDEX(상세표[블록 18~22시],$P484))</f>
        <v/>
      </c>
      <c r="M484">
        <f>IF($P484="","",INDEX(상세표[블록 22~06시],$P484))</f>
        <v/>
      </c>
      <c r="N484">
        <f>IF($P484="","",INDEX(상세표[주말·휴일 포함],$P484)&amp;"")</f>
        <v/>
      </c>
      <c r="O484">
        <f>IF($P484="","",INDEX(상세표[월 넘김 포함],$P484)&amp;"")</f>
        <v/>
      </c>
      <c r="P484" s="4">
        <f>IFERROR(MATCH(479,상세표[연속순번],0),"")</f>
        <v/>
      </c>
    </row>
    <row r="485">
      <c r="A485">
        <f>IF($P485="","",INDEX(상세표[사번],$P485)&amp;"")</f>
        <v/>
      </c>
      <c r="B485">
        <f>IF($P485="","",INDEX(상세표[성명],$P485)&amp;"")</f>
        <v/>
      </c>
      <c r="C485">
        <f>IF($P485="","",INDEX(상세표[부서],$P485)&amp;"")</f>
        <v/>
      </c>
      <c r="D485">
        <f>IF($P485="","",INDEX(상세표[직위],$P485)&amp;"")</f>
        <v/>
      </c>
      <c r="E485">
        <f>IF($P485="","",IF(ISNUMBER(INDEX(상세표[시작],$P485)),TEXT(INDEX(상세표[시작],$P485),"yyyy-mm-dd hh:mm"),INDEX(상세표[시작],$P485)&amp;""))</f>
        <v/>
      </c>
      <c r="F485">
        <f>IF($P485="","",IF(ISNUMBER(INDEX(상세표[블록종료],$P485)),TEXT(INDEX(상세표[블록종료],$P485),"yyyy-mm-dd hh:mm"),INDEX(상세표[블록종료],$P485)&amp;""))</f>
        <v/>
      </c>
      <c r="G485">
        <f>IF($P485="","",CHOOSE(WEEKDAY(INDEX(상세표[시작],$P485)),"일","월","화","수","목","금","토"))</f>
        <v/>
      </c>
      <c r="H485">
        <f>IF($P485="","",INDEX(상세표[연속 시간],$P485))</f>
        <v/>
      </c>
      <c r="I485">
        <f>IF($P485="","",INDEX(상세표[기록 수],$P485))</f>
        <v/>
      </c>
      <c r="J485">
        <f>IF($P485="","",INDEX(상세표[블록 06~07시],$P485))</f>
        <v/>
      </c>
      <c r="K485">
        <f>IF($P485="","",INDEX(상세표[블록 07~18시],$P485))</f>
        <v/>
      </c>
      <c r="L485">
        <f>IF($P485="","",INDEX(상세표[블록 18~22시],$P485))</f>
        <v/>
      </c>
      <c r="M485">
        <f>IF($P485="","",INDEX(상세표[블록 22~06시],$P485))</f>
        <v/>
      </c>
      <c r="N485">
        <f>IF($P485="","",INDEX(상세표[주말·휴일 포함],$P485)&amp;"")</f>
        <v/>
      </c>
      <c r="O485">
        <f>IF($P485="","",INDEX(상세표[월 넘김 포함],$P485)&amp;"")</f>
        <v/>
      </c>
      <c r="P485" s="4">
        <f>IFERROR(MATCH(480,상세표[연속순번],0),"")</f>
        <v/>
      </c>
    </row>
    <row r="486">
      <c r="A486">
        <f>IF($P486="","",INDEX(상세표[사번],$P486)&amp;"")</f>
        <v/>
      </c>
      <c r="B486">
        <f>IF($P486="","",INDEX(상세표[성명],$P486)&amp;"")</f>
        <v/>
      </c>
      <c r="C486">
        <f>IF($P486="","",INDEX(상세표[부서],$P486)&amp;"")</f>
        <v/>
      </c>
      <c r="D486">
        <f>IF($P486="","",INDEX(상세표[직위],$P486)&amp;"")</f>
        <v/>
      </c>
      <c r="E486">
        <f>IF($P486="","",IF(ISNUMBER(INDEX(상세표[시작],$P486)),TEXT(INDEX(상세표[시작],$P486),"yyyy-mm-dd hh:mm"),INDEX(상세표[시작],$P486)&amp;""))</f>
        <v/>
      </c>
      <c r="F486">
        <f>IF($P486="","",IF(ISNUMBER(INDEX(상세표[블록종료],$P486)),TEXT(INDEX(상세표[블록종료],$P486),"yyyy-mm-dd hh:mm"),INDEX(상세표[블록종료],$P486)&amp;""))</f>
        <v/>
      </c>
      <c r="G486">
        <f>IF($P486="","",CHOOSE(WEEKDAY(INDEX(상세표[시작],$P486)),"일","월","화","수","목","금","토"))</f>
        <v/>
      </c>
      <c r="H486">
        <f>IF($P486="","",INDEX(상세표[연속 시간],$P486))</f>
        <v/>
      </c>
      <c r="I486">
        <f>IF($P486="","",INDEX(상세표[기록 수],$P486))</f>
        <v/>
      </c>
      <c r="J486">
        <f>IF($P486="","",INDEX(상세표[블록 06~07시],$P486))</f>
        <v/>
      </c>
      <c r="K486">
        <f>IF($P486="","",INDEX(상세표[블록 07~18시],$P486))</f>
        <v/>
      </c>
      <c r="L486">
        <f>IF($P486="","",INDEX(상세표[블록 18~22시],$P486))</f>
        <v/>
      </c>
      <c r="M486">
        <f>IF($P486="","",INDEX(상세표[블록 22~06시],$P486))</f>
        <v/>
      </c>
      <c r="N486">
        <f>IF($P486="","",INDEX(상세표[주말·휴일 포함],$P486)&amp;"")</f>
        <v/>
      </c>
      <c r="O486">
        <f>IF($P486="","",INDEX(상세표[월 넘김 포함],$P486)&amp;"")</f>
        <v/>
      </c>
      <c r="P486" s="4">
        <f>IFERROR(MATCH(481,상세표[연속순번],0),"")</f>
        <v/>
      </c>
    </row>
    <row r="487">
      <c r="A487">
        <f>IF($P487="","",INDEX(상세표[사번],$P487)&amp;"")</f>
        <v/>
      </c>
      <c r="B487">
        <f>IF($P487="","",INDEX(상세표[성명],$P487)&amp;"")</f>
        <v/>
      </c>
      <c r="C487">
        <f>IF($P487="","",INDEX(상세표[부서],$P487)&amp;"")</f>
        <v/>
      </c>
      <c r="D487">
        <f>IF($P487="","",INDEX(상세표[직위],$P487)&amp;"")</f>
        <v/>
      </c>
      <c r="E487">
        <f>IF($P487="","",IF(ISNUMBER(INDEX(상세표[시작],$P487)),TEXT(INDEX(상세표[시작],$P487),"yyyy-mm-dd hh:mm"),INDEX(상세표[시작],$P487)&amp;""))</f>
        <v/>
      </c>
      <c r="F487">
        <f>IF($P487="","",IF(ISNUMBER(INDEX(상세표[블록종료],$P487)),TEXT(INDEX(상세표[블록종료],$P487),"yyyy-mm-dd hh:mm"),INDEX(상세표[블록종료],$P487)&amp;""))</f>
        <v/>
      </c>
      <c r="G487">
        <f>IF($P487="","",CHOOSE(WEEKDAY(INDEX(상세표[시작],$P487)),"일","월","화","수","목","금","토"))</f>
        <v/>
      </c>
      <c r="H487">
        <f>IF($P487="","",INDEX(상세표[연속 시간],$P487))</f>
        <v/>
      </c>
      <c r="I487">
        <f>IF($P487="","",INDEX(상세표[기록 수],$P487))</f>
        <v/>
      </c>
      <c r="J487">
        <f>IF($P487="","",INDEX(상세표[블록 06~07시],$P487))</f>
        <v/>
      </c>
      <c r="K487">
        <f>IF($P487="","",INDEX(상세표[블록 07~18시],$P487))</f>
        <v/>
      </c>
      <c r="L487">
        <f>IF($P487="","",INDEX(상세표[블록 18~22시],$P487))</f>
        <v/>
      </c>
      <c r="M487">
        <f>IF($P487="","",INDEX(상세표[블록 22~06시],$P487))</f>
        <v/>
      </c>
      <c r="N487">
        <f>IF($P487="","",INDEX(상세표[주말·휴일 포함],$P487)&amp;"")</f>
        <v/>
      </c>
      <c r="O487">
        <f>IF($P487="","",INDEX(상세표[월 넘김 포함],$P487)&amp;"")</f>
        <v/>
      </c>
      <c r="P487" s="4">
        <f>IFERROR(MATCH(482,상세표[연속순번],0),"")</f>
        <v/>
      </c>
    </row>
    <row r="488">
      <c r="A488">
        <f>IF($P488="","",INDEX(상세표[사번],$P488)&amp;"")</f>
        <v/>
      </c>
      <c r="B488">
        <f>IF($P488="","",INDEX(상세표[성명],$P488)&amp;"")</f>
        <v/>
      </c>
      <c r="C488">
        <f>IF($P488="","",INDEX(상세표[부서],$P488)&amp;"")</f>
        <v/>
      </c>
      <c r="D488">
        <f>IF($P488="","",INDEX(상세표[직위],$P488)&amp;"")</f>
        <v/>
      </c>
      <c r="E488">
        <f>IF($P488="","",IF(ISNUMBER(INDEX(상세표[시작],$P488)),TEXT(INDEX(상세표[시작],$P488),"yyyy-mm-dd hh:mm"),INDEX(상세표[시작],$P488)&amp;""))</f>
        <v/>
      </c>
      <c r="F488">
        <f>IF($P488="","",IF(ISNUMBER(INDEX(상세표[블록종료],$P488)),TEXT(INDEX(상세표[블록종료],$P488),"yyyy-mm-dd hh:mm"),INDEX(상세표[블록종료],$P488)&amp;""))</f>
        <v/>
      </c>
      <c r="G488">
        <f>IF($P488="","",CHOOSE(WEEKDAY(INDEX(상세표[시작],$P488)),"일","월","화","수","목","금","토"))</f>
        <v/>
      </c>
      <c r="H488">
        <f>IF($P488="","",INDEX(상세표[연속 시간],$P488))</f>
        <v/>
      </c>
      <c r="I488">
        <f>IF($P488="","",INDEX(상세표[기록 수],$P488))</f>
        <v/>
      </c>
      <c r="J488">
        <f>IF($P488="","",INDEX(상세표[블록 06~07시],$P488))</f>
        <v/>
      </c>
      <c r="K488">
        <f>IF($P488="","",INDEX(상세표[블록 07~18시],$P488))</f>
        <v/>
      </c>
      <c r="L488">
        <f>IF($P488="","",INDEX(상세표[블록 18~22시],$P488))</f>
        <v/>
      </c>
      <c r="M488">
        <f>IF($P488="","",INDEX(상세표[블록 22~06시],$P488))</f>
        <v/>
      </c>
      <c r="N488">
        <f>IF($P488="","",INDEX(상세표[주말·휴일 포함],$P488)&amp;"")</f>
        <v/>
      </c>
      <c r="O488">
        <f>IF($P488="","",INDEX(상세표[월 넘김 포함],$P488)&amp;"")</f>
        <v/>
      </c>
      <c r="P488" s="4">
        <f>IFERROR(MATCH(483,상세표[연속순번],0),"")</f>
        <v/>
      </c>
    </row>
    <row r="489">
      <c r="A489">
        <f>IF($P489="","",INDEX(상세표[사번],$P489)&amp;"")</f>
        <v/>
      </c>
      <c r="B489">
        <f>IF($P489="","",INDEX(상세표[성명],$P489)&amp;"")</f>
        <v/>
      </c>
      <c r="C489">
        <f>IF($P489="","",INDEX(상세표[부서],$P489)&amp;"")</f>
        <v/>
      </c>
      <c r="D489">
        <f>IF($P489="","",INDEX(상세표[직위],$P489)&amp;"")</f>
        <v/>
      </c>
      <c r="E489">
        <f>IF($P489="","",IF(ISNUMBER(INDEX(상세표[시작],$P489)),TEXT(INDEX(상세표[시작],$P489),"yyyy-mm-dd hh:mm"),INDEX(상세표[시작],$P489)&amp;""))</f>
        <v/>
      </c>
      <c r="F489">
        <f>IF($P489="","",IF(ISNUMBER(INDEX(상세표[블록종료],$P489)),TEXT(INDEX(상세표[블록종료],$P489),"yyyy-mm-dd hh:mm"),INDEX(상세표[블록종료],$P489)&amp;""))</f>
        <v/>
      </c>
      <c r="G489">
        <f>IF($P489="","",CHOOSE(WEEKDAY(INDEX(상세표[시작],$P489)),"일","월","화","수","목","금","토"))</f>
        <v/>
      </c>
      <c r="H489">
        <f>IF($P489="","",INDEX(상세표[연속 시간],$P489))</f>
        <v/>
      </c>
      <c r="I489">
        <f>IF($P489="","",INDEX(상세표[기록 수],$P489))</f>
        <v/>
      </c>
      <c r="J489">
        <f>IF($P489="","",INDEX(상세표[블록 06~07시],$P489))</f>
        <v/>
      </c>
      <c r="K489">
        <f>IF($P489="","",INDEX(상세표[블록 07~18시],$P489))</f>
        <v/>
      </c>
      <c r="L489">
        <f>IF($P489="","",INDEX(상세표[블록 18~22시],$P489))</f>
        <v/>
      </c>
      <c r="M489">
        <f>IF($P489="","",INDEX(상세표[블록 22~06시],$P489))</f>
        <v/>
      </c>
      <c r="N489">
        <f>IF($P489="","",INDEX(상세표[주말·휴일 포함],$P489)&amp;"")</f>
        <v/>
      </c>
      <c r="O489">
        <f>IF($P489="","",INDEX(상세표[월 넘김 포함],$P489)&amp;"")</f>
        <v/>
      </c>
      <c r="P489" s="4">
        <f>IFERROR(MATCH(484,상세표[연속순번],0),"")</f>
        <v/>
      </c>
    </row>
    <row r="490">
      <c r="A490">
        <f>IF($P490="","",INDEX(상세표[사번],$P490)&amp;"")</f>
        <v/>
      </c>
      <c r="B490">
        <f>IF($P490="","",INDEX(상세표[성명],$P490)&amp;"")</f>
        <v/>
      </c>
      <c r="C490">
        <f>IF($P490="","",INDEX(상세표[부서],$P490)&amp;"")</f>
        <v/>
      </c>
      <c r="D490">
        <f>IF($P490="","",INDEX(상세표[직위],$P490)&amp;"")</f>
        <v/>
      </c>
      <c r="E490">
        <f>IF($P490="","",IF(ISNUMBER(INDEX(상세표[시작],$P490)),TEXT(INDEX(상세표[시작],$P490),"yyyy-mm-dd hh:mm"),INDEX(상세표[시작],$P490)&amp;""))</f>
        <v/>
      </c>
      <c r="F490">
        <f>IF($P490="","",IF(ISNUMBER(INDEX(상세표[블록종료],$P490)),TEXT(INDEX(상세표[블록종료],$P490),"yyyy-mm-dd hh:mm"),INDEX(상세표[블록종료],$P490)&amp;""))</f>
        <v/>
      </c>
      <c r="G490">
        <f>IF($P490="","",CHOOSE(WEEKDAY(INDEX(상세표[시작],$P490)),"일","월","화","수","목","금","토"))</f>
        <v/>
      </c>
      <c r="H490">
        <f>IF($P490="","",INDEX(상세표[연속 시간],$P490))</f>
        <v/>
      </c>
      <c r="I490">
        <f>IF($P490="","",INDEX(상세표[기록 수],$P490))</f>
        <v/>
      </c>
      <c r="J490">
        <f>IF($P490="","",INDEX(상세표[블록 06~07시],$P490))</f>
        <v/>
      </c>
      <c r="K490">
        <f>IF($P490="","",INDEX(상세표[블록 07~18시],$P490))</f>
        <v/>
      </c>
      <c r="L490">
        <f>IF($P490="","",INDEX(상세표[블록 18~22시],$P490))</f>
        <v/>
      </c>
      <c r="M490">
        <f>IF($P490="","",INDEX(상세표[블록 22~06시],$P490))</f>
        <v/>
      </c>
      <c r="N490">
        <f>IF($P490="","",INDEX(상세표[주말·휴일 포함],$P490)&amp;"")</f>
        <v/>
      </c>
      <c r="O490">
        <f>IF($P490="","",INDEX(상세표[월 넘김 포함],$P490)&amp;"")</f>
        <v/>
      </c>
      <c r="P490" s="4">
        <f>IFERROR(MATCH(485,상세표[연속순번],0),"")</f>
        <v/>
      </c>
    </row>
    <row r="491">
      <c r="A491">
        <f>IF($P491="","",INDEX(상세표[사번],$P491)&amp;"")</f>
        <v/>
      </c>
      <c r="B491">
        <f>IF($P491="","",INDEX(상세표[성명],$P491)&amp;"")</f>
        <v/>
      </c>
      <c r="C491">
        <f>IF($P491="","",INDEX(상세표[부서],$P491)&amp;"")</f>
        <v/>
      </c>
      <c r="D491">
        <f>IF($P491="","",INDEX(상세표[직위],$P491)&amp;"")</f>
        <v/>
      </c>
      <c r="E491">
        <f>IF($P491="","",IF(ISNUMBER(INDEX(상세표[시작],$P491)),TEXT(INDEX(상세표[시작],$P491),"yyyy-mm-dd hh:mm"),INDEX(상세표[시작],$P491)&amp;""))</f>
        <v/>
      </c>
      <c r="F491">
        <f>IF($P491="","",IF(ISNUMBER(INDEX(상세표[블록종료],$P491)),TEXT(INDEX(상세표[블록종료],$P491),"yyyy-mm-dd hh:mm"),INDEX(상세표[블록종료],$P491)&amp;""))</f>
        <v/>
      </c>
      <c r="G491">
        <f>IF($P491="","",CHOOSE(WEEKDAY(INDEX(상세표[시작],$P491)),"일","월","화","수","목","금","토"))</f>
        <v/>
      </c>
      <c r="H491">
        <f>IF($P491="","",INDEX(상세표[연속 시간],$P491))</f>
        <v/>
      </c>
      <c r="I491">
        <f>IF($P491="","",INDEX(상세표[기록 수],$P491))</f>
        <v/>
      </c>
      <c r="J491">
        <f>IF($P491="","",INDEX(상세표[블록 06~07시],$P491))</f>
        <v/>
      </c>
      <c r="K491">
        <f>IF($P491="","",INDEX(상세표[블록 07~18시],$P491))</f>
        <v/>
      </c>
      <c r="L491">
        <f>IF($P491="","",INDEX(상세표[블록 18~22시],$P491))</f>
        <v/>
      </c>
      <c r="M491">
        <f>IF($P491="","",INDEX(상세표[블록 22~06시],$P491))</f>
        <v/>
      </c>
      <c r="N491">
        <f>IF($P491="","",INDEX(상세표[주말·휴일 포함],$P491)&amp;"")</f>
        <v/>
      </c>
      <c r="O491">
        <f>IF($P491="","",INDEX(상세표[월 넘김 포함],$P491)&amp;"")</f>
        <v/>
      </c>
      <c r="P491" s="4">
        <f>IFERROR(MATCH(486,상세표[연속순번],0),"")</f>
        <v/>
      </c>
    </row>
    <row r="492">
      <c r="A492">
        <f>IF($P492="","",INDEX(상세표[사번],$P492)&amp;"")</f>
        <v/>
      </c>
      <c r="B492">
        <f>IF($P492="","",INDEX(상세표[성명],$P492)&amp;"")</f>
        <v/>
      </c>
      <c r="C492">
        <f>IF($P492="","",INDEX(상세표[부서],$P492)&amp;"")</f>
        <v/>
      </c>
      <c r="D492">
        <f>IF($P492="","",INDEX(상세표[직위],$P492)&amp;"")</f>
        <v/>
      </c>
      <c r="E492">
        <f>IF($P492="","",IF(ISNUMBER(INDEX(상세표[시작],$P492)),TEXT(INDEX(상세표[시작],$P492),"yyyy-mm-dd hh:mm"),INDEX(상세표[시작],$P492)&amp;""))</f>
        <v/>
      </c>
      <c r="F492">
        <f>IF($P492="","",IF(ISNUMBER(INDEX(상세표[블록종료],$P492)),TEXT(INDEX(상세표[블록종료],$P492),"yyyy-mm-dd hh:mm"),INDEX(상세표[블록종료],$P492)&amp;""))</f>
        <v/>
      </c>
      <c r="G492">
        <f>IF($P492="","",CHOOSE(WEEKDAY(INDEX(상세표[시작],$P492)),"일","월","화","수","목","금","토"))</f>
        <v/>
      </c>
      <c r="H492">
        <f>IF($P492="","",INDEX(상세표[연속 시간],$P492))</f>
        <v/>
      </c>
      <c r="I492">
        <f>IF($P492="","",INDEX(상세표[기록 수],$P492))</f>
        <v/>
      </c>
      <c r="J492">
        <f>IF($P492="","",INDEX(상세표[블록 06~07시],$P492))</f>
        <v/>
      </c>
      <c r="K492">
        <f>IF($P492="","",INDEX(상세표[블록 07~18시],$P492))</f>
        <v/>
      </c>
      <c r="L492">
        <f>IF($P492="","",INDEX(상세표[블록 18~22시],$P492))</f>
        <v/>
      </c>
      <c r="M492">
        <f>IF($P492="","",INDEX(상세표[블록 22~06시],$P492))</f>
        <v/>
      </c>
      <c r="N492">
        <f>IF($P492="","",INDEX(상세표[주말·휴일 포함],$P492)&amp;"")</f>
        <v/>
      </c>
      <c r="O492">
        <f>IF($P492="","",INDEX(상세표[월 넘김 포함],$P492)&amp;"")</f>
        <v/>
      </c>
      <c r="P492" s="4">
        <f>IFERROR(MATCH(487,상세표[연속순번],0),"")</f>
        <v/>
      </c>
    </row>
    <row r="493">
      <c r="A493">
        <f>IF($P493="","",INDEX(상세표[사번],$P493)&amp;"")</f>
        <v/>
      </c>
      <c r="B493">
        <f>IF($P493="","",INDEX(상세표[성명],$P493)&amp;"")</f>
        <v/>
      </c>
      <c r="C493">
        <f>IF($P493="","",INDEX(상세표[부서],$P493)&amp;"")</f>
        <v/>
      </c>
      <c r="D493">
        <f>IF($P493="","",INDEX(상세표[직위],$P493)&amp;"")</f>
        <v/>
      </c>
      <c r="E493">
        <f>IF($P493="","",IF(ISNUMBER(INDEX(상세표[시작],$P493)),TEXT(INDEX(상세표[시작],$P493),"yyyy-mm-dd hh:mm"),INDEX(상세표[시작],$P493)&amp;""))</f>
        <v/>
      </c>
      <c r="F493">
        <f>IF($P493="","",IF(ISNUMBER(INDEX(상세표[블록종료],$P493)),TEXT(INDEX(상세표[블록종료],$P493),"yyyy-mm-dd hh:mm"),INDEX(상세표[블록종료],$P493)&amp;""))</f>
        <v/>
      </c>
      <c r="G493">
        <f>IF($P493="","",CHOOSE(WEEKDAY(INDEX(상세표[시작],$P493)),"일","월","화","수","목","금","토"))</f>
        <v/>
      </c>
      <c r="H493">
        <f>IF($P493="","",INDEX(상세표[연속 시간],$P493))</f>
        <v/>
      </c>
      <c r="I493">
        <f>IF($P493="","",INDEX(상세표[기록 수],$P493))</f>
        <v/>
      </c>
      <c r="J493">
        <f>IF($P493="","",INDEX(상세표[블록 06~07시],$P493))</f>
        <v/>
      </c>
      <c r="K493">
        <f>IF($P493="","",INDEX(상세표[블록 07~18시],$P493))</f>
        <v/>
      </c>
      <c r="L493">
        <f>IF($P493="","",INDEX(상세표[블록 18~22시],$P493))</f>
        <v/>
      </c>
      <c r="M493">
        <f>IF($P493="","",INDEX(상세표[블록 22~06시],$P493))</f>
        <v/>
      </c>
      <c r="N493">
        <f>IF($P493="","",INDEX(상세표[주말·휴일 포함],$P493)&amp;"")</f>
        <v/>
      </c>
      <c r="O493">
        <f>IF($P493="","",INDEX(상세표[월 넘김 포함],$P493)&amp;"")</f>
        <v/>
      </c>
      <c r="P493" s="4">
        <f>IFERROR(MATCH(488,상세표[연속순번],0),"")</f>
        <v/>
      </c>
    </row>
    <row r="494">
      <c r="A494">
        <f>IF($P494="","",INDEX(상세표[사번],$P494)&amp;"")</f>
        <v/>
      </c>
      <c r="B494">
        <f>IF($P494="","",INDEX(상세표[성명],$P494)&amp;"")</f>
        <v/>
      </c>
      <c r="C494">
        <f>IF($P494="","",INDEX(상세표[부서],$P494)&amp;"")</f>
        <v/>
      </c>
      <c r="D494">
        <f>IF($P494="","",INDEX(상세표[직위],$P494)&amp;"")</f>
        <v/>
      </c>
      <c r="E494">
        <f>IF($P494="","",IF(ISNUMBER(INDEX(상세표[시작],$P494)),TEXT(INDEX(상세표[시작],$P494),"yyyy-mm-dd hh:mm"),INDEX(상세표[시작],$P494)&amp;""))</f>
        <v/>
      </c>
      <c r="F494">
        <f>IF($P494="","",IF(ISNUMBER(INDEX(상세표[블록종료],$P494)),TEXT(INDEX(상세표[블록종료],$P494),"yyyy-mm-dd hh:mm"),INDEX(상세표[블록종료],$P494)&amp;""))</f>
        <v/>
      </c>
      <c r="G494">
        <f>IF($P494="","",CHOOSE(WEEKDAY(INDEX(상세표[시작],$P494)),"일","월","화","수","목","금","토"))</f>
        <v/>
      </c>
      <c r="H494">
        <f>IF($P494="","",INDEX(상세표[연속 시간],$P494))</f>
        <v/>
      </c>
      <c r="I494">
        <f>IF($P494="","",INDEX(상세표[기록 수],$P494))</f>
        <v/>
      </c>
      <c r="J494">
        <f>IF($P494="","",INDEX(상세표[블록 06~07시],$P494))</f>
        <v/>
      </c>
      <c r="K494">
        <f>IF($P494="","",INDEX(상세표[블록 07~18시],$P494))</f>
        <v/>
      </c>
      <c r="L494">
        <f>IF($P494="","",INDEX(상세표[블록 18~22시],$P494))</f>
        <v/>
      </c>
      <c r="M494">
        <f>IF($P494="","",INDEX(상세표[블록 22~06시],$P494))</f>
        <v/>
      </c>
      <c r="N494">
        <f>IF($P494="","",INDEX(상세표[주말·휴일 포함],$P494)&amp;"")</f>
        <v/>
      </c>
      <c r="O494">
        <f>IF($P494="","",INDEX(상세표[월 넘김 포함],$P494)&amp;"")</f>
        <v/>
      </c>
      <c r="P494" s="4">
        <f>IFERROR(MATCH(489,상세표[연속순번],0),"")</f>
        <v/>
      </c>
    </row>
    <row r="495">
      <c r="A495">
        <f>IF($P495="","",INDEX(상세표[사번],$P495)&amp;"")</f>
        <v/>
      </c>
      <c r="B495">
        <f>IF($P495="","",INDEX(상세표[성명],$P495)&amp;"")</f>
        <v/>
      </c>
      <c r="C495">
        <f>IF($P495="","",INDEX(상세표[부서],$P495)&amp;"")</f>
        <v/>
      </c>
      <c r="D495">
        <f>IF($P495="","",INDEX(상세표[직위],$P495)&amp;"")</f>
        <v/>
      </c>
      <c r="E495">
        <f>IF($P495="","",IF(ISNUMBER(INDEX(상세표[시작],$P495)),TEXT(INDEX(상세표[시작],$P495),"yyyy-mm-dd hh:mm"),INDEX(상세표[시작],$P495)&amp;""))</f>
        <v/>
      </c>
      <c r="F495">
        <f>IF($P495="","",IF(ISNUMBER(INDEX(상세표[블록종료],$P495)),TEXT(INDEX(상세표[블록종료],$P495),"yyyy-mm-dd hh:mm"),INDEX(상세표[블록종료],$P495)&amp;""))</f>
        <v/>
      </c>
      <c r="G495">
        <f>IF($P495="","",CHOOSE(WEEKDAY(INDEX(상세표[시작],$P495)),"일","월","화","수","목","금","토"))</f>
        <v/>
      </c>
      <c r="H495">
        <f>IF($P495="","",INDEX(상세표[연속 시간],$P495))</f>
        <v/>
      </c>
      <c r="I495">
        <f>IF($P495="","",INDEX(상세표[기록 수],$P495))</f>
        <v/>
      </c>
      <c r="J495">
        <f>IF($P495="","",INDEX(상세표[블록 06~07시],$P495))</f>
        <v/>
      </c>
      <c r="K495">
        <f>IF($P495="","",INDEX(상세표[블록 07~18시],$P495))</f>
        <v/>
      </c>
      <c r="L495">
        <f>IF($P495="","",INDEX(상세표[블록 18~22시],$P495))</f>
        <v/>
      </c>
      <c r="M495">
        <f>IF($P495="","",INDEX(상세표[블록 22~06시],$P495))</f>
        <v/>
      </c>
      <c r="N495">
        <f>IF($P495="","",INDEX(상세표[주말·휴일 포함],$P495)&amp;"")</f>
        <v/>
      </c>
      <c r="O495">
        <f>IF($P495="","",INDEX(상세표[월 넘김 포함],$P495)&amp;"")</f>
        <v/>
      </c>
      <c r="P495" s="4">
        <f>IFERROR(MATCH(490,상세표[연속순번],0),"")</f>
        <v/>
      </c>
    </row>
    <row r="496">
      <c r="A496">
        <f>IF($P496="","",INDEX(상세표[사번],$P496)&amp;"")</f>
        <v/>
      </c>
      <c r="B496">
        <f>IF($P496="","",INDEX(상세표[성명],$P496)&amp;"")</f>
        <v/>
      </c>
      <c r="C496">
        <f>IF($P496="","",INDEX(상세표[부서],$P496)&amp;"")</f>
        <v/>
      </c>
      <c r="D496">
        <f>IF($P496="","",INDEX(상세표[직위],$P496)&amp;"")</f>
        <v/>
      </c>
      <c r="E496">
        <f>IF($P496="","",IF(ISNUMBER(INDEX(상세표[시작],$P496)),TEXT(INDEX(상세표[시작],$P496),"yyyy-mm-dd hh:mm"),INDEX(상세표[시작],$P496)&amp;""))</f>
        <v/>
      </c>
      <c r="F496">
        <f>IF($P496="","",IF(ISNUMBER(INDEX(상세표[블록종료],$P496)),TEXT(INDEX(상세표[블록종료],$P496),"yyyy-mm-dd hh:mm"),INDEX(상세표[블록종료],$P496)&amp;""))</f>
        <v/>
      </c>
      <c r="G496">
        <f>IF($P496="","",CHOOSE(WEEKDAY(INDEX(상세표[시작],$P496)),"일","월","화","수","목","금","토"))</f>
        <v/>
      </c>
      <c r="H496">
        <f>IF($P496="","",INDEX(상세표[연속 시간],$P496))</f>
        <v/>
      </c>
      <c r="I496">
        <f>IF($P496="","",INDEX(상세표[기록 수],$P496))</f>
        <v/>
      </c>
      <c r="J496">
        <f>IF($P496="","",INDEX(상세표[블록 06~07시],$P496))</f>
        <v/>
      </c>
      <c r="K496">
        <f>IF($P496="","",INDEX(상세표[블록 07~18시],$P496))</f>
        <v/>
      </c>
      <c r="L496">
        <f>IF($P496="","",INDEX(상세표[블록 18~22시],$P496))</f>
        <v/>
      </c>
      <c r="M496">
        <f>IF($P496="","",INDEX(상세표[블록 22~06시],$P496))</f>
        <v/>
      </c>
      <c r="N496">
        <f>IF($P496="","",INDEX(상세표[주말·휴일 포함],$P496)&amp;"")</f>
        <v/>
      </c>
      <c r="O496">
        <f>IF($P496="","",INDEX(상세표[월 넘김 포함],$P496)&amp;"")</f>
        <v/>
      </c>
      <c r="P496" s="4">
        <f>IFERROR(MATCH(491,상세표[연속순번],0),"")</f>
        <v/>
      </c>
    </row>
    <row r="497">
      <c r="A497">
        <f>IF($P497="","",INDEX(상세표[사번],$P497)&amp;"")</f>
        <v/>
      </c>
      <c r="B497">
        <f>IF($P497="","",INDEX(상세표[성명],$P497)&amp;"")</f>
        <v/>
      </c>
      <c r="C497">
        <f>IF($P497="","",INDEX(상세표[부서],$P497)&amp;"")</f>
        <v/>
      </c>
      <c r="D497">
        <f>IF($P497="","",INDEX(상세표[직위],$P497)&amp;"")</f>
        <v/>
      </c>
      <c r="E497">
        <f>IF($P497="","",IF(ISNUMBER(INDEX(상세표[시작],$P497)),TEXT(INDEX(상세표[시작],$P497),"yyyy-mm-dd hh:mm"),INDEX(상세표[시작],$P497)&amp;""))</f>
        <v/>
      </c>
      <c r="F497">
        <f>IF($P497="","",IF(ISNUMBER(INDEX(상세표[블록종료],$P497)),TEXT(INDEX(상세표[블록종료],$P497),"yyyy-mm-dd hh:mm"),INDEX(상세표[블록종료],$P497)&amp;""))</f>
        <v/>
      </c>
      <c r="G497">
        <f>IF($P497="","",CHOOSE(WEEKDAY(INDEX(상세표[시작],$P497)),"일","월","화","수","목","금","토"))</f>
        <v/>
      </c>
      <c r="H497">
        <f>IF($P497="","",INDEX(상세표[연속 시간],$P497))</f>
        <v/>
      </c>
      <c r="I497">
        <f>IF($P497="","",INDEX(상세표[기록 수],$P497))</f>
        <v/>
      </c>
      <c r="J497">
        <f>IF($P497="","",INDEX(상세표[블록 06~07시],$P497))</f>
        <v/>
      </c>
      <c r="K497">
        <f>IF($P497="","",INDEX(상세표[블록 07~18시],$P497))</f>
        <v/>
      </c>
      <c r="L497">
        <f>IF($P497="","",INDEX(상세표[블록 18~22시],$P497))</f>
        <v/>
      </c>
      <c r="M497">
        <f>IF($P497="","",INDEX(상세표[블록 22~06시],$P497))</f>
        <v/>
      </c>
      <c r="N497">
        <f>IF($P497="","",INDEX(상세표[주말·휴일 포함],$P497)&amp;"")</f>
        <v/>
      </c>
      <c r="O497">
        <f>IF($P497="","",INDEX(상세표[월 넘김 포함],$P497)&amp;"")</f>
        <v/>
      </c>
      <c r="P497" s="4">
        <f>IFERROR(MATCH(492,상세표[연속순번],0),"")</f>
        <v/>
      </c>
    </row>
    <row r="498">
      <c r="A498">
        <f>IF($P498="","",INDEX(상세표[사번],$P498)&amp;"")</f>
        <v/>
      </c>
      <c r="B498">
        <f>IF($P498="","",INDEX(상세표[성명],$P498)&amp;"")</f>
        <v/>
      </c>
      <c r="C498">
        <f>IF($P498="","",INDEX(상세표[부서],$P498)&amp;"")</f>
        <v/>
      </c>
      <c r="D498">
        <f>IF($P498="","",INDEX(상세표[직위],$P498)&amp;"")</f>
        <v/>
      </c>
      <c r="E498">
        <f>IF($P498="","",IF(ISNUMBER(INDEX(상세표[시작],$P498)),TEXT(INDEX(상세표[시작],$P498),"yyyy-mm-dd hh:mm"),INDEX(상세표[시작],$P498)&amp;""))</f>
        <v/>
      </c>
      <c r="F498">
        <f>IF($P498="","",IF(ISNUMBER(INDEX(상세표[블록종료],$P498)),TEXT(INDEX(상세표[블록종료],$P498),"yyyy-mm-dd hh:mm"),INDEX(상세표[블록종료],$P498)&amp;""))</f>
        <v/>
      </c>
      <c r="G498">
        <f>IF($P498="","",CHOOSE(WEEKDAY(INDEX(상세표[시작],$P498)),"일","월","화","수","목","금","토"))</f>
        <v/>
      </c>
      <c r="H498">
        <f>IF($P498="","",INDEX(상세표[연속 시간],$P498))</f>
        <v/>
      </c>
      <c r="I498">
        <f>IF($P498="","",INDEX(상세표[기록 수],$P498))</f>
        <v/>
      </c>
      <c r="J498">
        <f>IF($P498="","",INDEX(상세표[블록 06~07시],$P498))</f>
        <v/>
      </c>
      <c r="K498">
        <f>IF($P498="","",INDEX(상세표[블록 07~18시],$P498))</f>
        <v/>
      </c>
      <c r="L498">
        <f>IF($P498="","",INDEX(상세표[블록 18~22시],$P498))</f>
        <v/>
      </c>
      <c r="M498">
        <f>IF($P498="","",INDEX(상세표[블록 22~06시],$P498))</f>
        <v/>
      </c>
      <c r="N498">
        <f>IF($P498="","",INDEX(상세표[주말·휴일 포함],$P498)&amp;"")</f>
        <v/>
      </c>
      <c r="O498">
        <f>IF($P498="","",INDEX(상세표[월 넘김 포함],$P498)&amp;"")</f>
        <v/>
      </c>
      <c r="P498" s="4">
        <f>IFERROR(MATCH(493,상세표[연속순번],0),"")</f>
        <v/>
      </c>
    </row>
    <row r="499">
      <c r="A499">
        <f>IF($P499="","",INDEX(상세표[사번],$P499)&amp;"")</f>
        <v/>
      </c>
      <c r="B499">
        <f>IF($P499="","",INDEX(상세표[성명],$P499)&amp;"")</f>
        <v/>
      </c>
      <c r="C499">
        <f>IF($P499="","",INDEX(상세표[부서],$P499)&amp;"")</f>
        <v/>
      </c>
      <c r="D499">
        <f>IF($P499="","",INDEX(상세표[직위],$P499)&amp;"")</f>
        <v/>
      </c>
      <c r="E499">
        <f>IF($P499="","",IF(ISNUMBER(INDEX(상세표[시작],$P499)),TEXT(INDEX(상세표[시작],$P499),"yyyy-mm-dd hh:mm"),INDEX(상세표[시작],$P499)&amp;""))</f>
        <v/>
      </c>
      <c r="F499">
        <f>IF($P499="","",IF(ISNUMBER(INDEX(상세표[블록종료],$P499)),TEXT(INDEX(상세표[블록종료],$P499),"yyyy-mm-dd hh:mm"),INDEX(상세표[블록종료],$P499)&amp;""))</f>
        <v/>
      </c>
      <c r="G499">
        <f>IF($P499="","",CHOOSE(WEEKDAY(INDEX(상세표[시작],$P499)),"일","월","화","수","목","금","토"))</f>
        <v/>
      </c>
      <c r="H499">
        <f>IF($P499="","",INDEX(상세표[연속 시간],$P499))</f>
        <v/>
      </c>
      <c r="I499">
        <f>IF($P499="","",INDEX(상세표[기록 수],$P499))</f>
        <v/>
      </c>
      <c r="J499">
        <f>IF($P499="","",INDEX(상세표[블록 06~07시],$P499))</f>
        <v/>
      </c>
      <c r="K499">
        <f>IF($P499="","",INDEX(상세표[블록 07~18시],$P499))</f>
        <v/>
      </c>
      <c r="L499">
        <f>IF($P499="","",INDEX(상세표[블록 18~22시],$P499))</f>
        <v/>
      </c>
      <c r="M499">
        <f>IF($P499="","",INDEX(상세표[블록 22~06시],$P499))</f>
        <v/>
      </c>
      <c r="N499">
        <f>IF($P499="","",INDEX(상세표[주말·휴일 포함],$P499)&amp;"")</f>
        <v/>
      </c>
      <c r="O499">
        <f>IF($P499="","",INDEX(상세표[월 넘김 포함],$P499)&amp;"")</f>
        <v/>
      </c>
      <c r="P499" s="4">
        <f>IFERROR(MATCH(494,상세표[연속순번],0),"")</f>
        <v/>
      </c>
    </row>
    <row r="500">
      <c r="A500">
        <f>IF($P500="","",INDEX(상세표[사번],$P500)&amp;"")</f>
        <v/>
      </c>
      <c r="B500">
        <f>IF($P500="","",INDEX(상세표[성명],$P500)&amp;"")</f>
        <v/>
      </c>
      <c r="C500">
        <f>IF($P500="","",INDEX(상세표[부서],$P500)&amp;"")</f>
        <v/>
      </c>
      <c r="D500">
        <f>IF($P500="","",INDEX(상세표[직위],$P500)&amp;"")</f>
        <v/>
      </c>
      <c r="E500">
        <f>IF($P500="","",IF(ISNUMBER(INDEX(상세표[시작],$P500)),TEXT(INDEX(상세표[시작],$P500),"yyyy-mm-dd hh:mm"),INDEX(상세표[시작],$P500)&amp;""))</f>
        <v/>
      </c>
      <c r="F500">
        <f>IF($P500="","",IF(ISNUMBER(INDEX(상세표[블록종료],$P500)),TEXT(INDEX(상세표[블록종료],$P500),"yyyy-mm-dd hh:mm"),INDEX(상세표[블록종료],$P500)&amp;""))</f>
        <v/>
      </c>
      <c r="G500">
        <f>IF($P500="","",CHOOSE(WEEKDAY(INDEX(상세표[시작],$P500)),"일","월","화","수","목","금","토"))</f>
        <v/>
      </c>
      <c r="H500">
        <f>IF($P500="","",INDEX(상세표[연속 시간],$P500))</f>
        <v/>
      </c>
      <c r="I500">
        <f>IF($P500="","",INDEX(상세표[기록 수],$P500))</f>
        <v/>
      </c>
      <c r="J500">
        <f>IF($P500="","",INDEX(상세표[블록 06~07시],$P500))</f>
        <v/>
      </c>
      <c r="K500">
        <f>IF($P500="","",INDEX(상세표[블록 07~18시],$P500))</f>
        <v/>
      </c>
      <c r="L500">
        <f>IF($P500="","",INDEX(상세표[블록 18~22시],$P500))</f>
        <v/>
      </c>
      <c r="M500">
        <f>IF($P500="","",INDEX(상세표[블록 22~06시],$P500))</f>
        <v/>
      </c>
      <c r="N500">
        <f>IF($P500="","",INDEX(상세표[주말·휴일 포함],$P500)&amp;"")</f>
        <v/>
      </c>
      <c r="O500">
        <f>IF($P500="","",INDEX(상세표[월 넘김 포함],$P500)&amp;"")</f>
        <v/>
      </c>
      <c r="P500" s="4">
        <f>IFERROR(MATCH(495,상세표[연속순번],0),"")</f>
        <v/>
      </c>
    </row>
    <row r="501">
      <c r="A501">
        <f>IF($P501="","",INDEX(상세표[사번],$P501)&amp;"")</f>
        <v/>
      </c>
      <c r="B501">
        <f>IF($P501="","",INDEX(상세표[성명],$P501)&amp;"")</f>
        <v/>
      </c>
      <c r="C501">
        <f>IF($P501="","",INDEX(상세표[부서],$P501)&amp;"")</f>
        <v/>
      </c>
      <c r="D501">
        <f>IF($P501="","",INDEX(상세표[직위],$P501)&amp;"")</f>
        <v/>
      </c>
      <c r="E501">
        <f>IF($P501="","",IF(ISNUMBER(INDEX(상세표[시작],$P501)),TEXT(INDEX(상세표[시작],$P501),"yyyy-mm-dd hh:mm"),INDEX(상세표[시작],$P501)&amp;""))</f>
        <v/>
      </c>
      <c r="F501">
        <f>IF($P501="","",IF(ISNUMBER(INDEX(상세표[블록종료],$P501)),TEXT(INDEX(상세표[블록종료],$P501),"yyyy-mm-dd hh:mm"),INDEX(상세표[블록종료],$P501)&amp;""))</f>
        <v/>
      </c>
      <c r="G501">
        <f>IF($P501="","",CHOOSE(WEEKDAY(INDEX(상세표[시작],$P501)),"일","월","화","수","목","금","토"))</f>
        <v/>
      </c>
      <c r="H501">
        <f>IF($P501="","",INDEX(상세표[연속 시간],$P501))</f>
        <v/>
      </c>
      <c r="I501">
        <f>IF($P501="","",INDEX(상세표[기록 수],$P501))</f>
        <v/>
      </c>
      <c r="J501">
        <f>IF($P501="","",INDEX(상세표[블록 06~07시],$P501))</f>
        <v/>
      </c>
      <c r="K501">
        <f>IF($P501="","",INDEX(상세표[블록 07~18시],$P501))</f>
        <v/>
      </c>
      <c r="L501">
        <f>IF($P501="","",INDEX(상세표[블록 18~22시],$P501))</f>
        <v/>
      </c>
      <c r="M501">
        <f>IF($P501="","",INDEX(상세표[블록 22~06시],$P501))</f>
        <v/>
      </c>
      <c r="N501">
        <f>IF($P501="","",INDEX(상세표[주말·휴일 포함],$P501)&amp;"")</f>
        <v/>
      </c>
      <c r="O501">
        <f>IF($P501="","",INDEX(상세표[월 넘김 포함],$P501)&amp;"")</f>
        <v/>
      </c>
      <c r="P501" s="4">
        <f>IFERROR(MATCH(496,상세표[연속순번],0),"")</f>
        <v/>
      </c>
    </row>
    <row r="502">
      <c r="A502">
        <f>IF($P502="","",INDEX(상세표[사번],$P502)&amp;"")</f>
        <v/>
      </c>
      <c r="B502">
        <f>IF($P502="","",INDEX(상세표[성명],$P502)&amp;"")</f>
        <v/>
      </c>
      <c r="C502">
        <f>IF($P502="","",INDEX(상세표[부서],$P502)&amp;"")</f>
        <v/>
      </c>
      <c r="D502">
        <f>IF($P502="","",INDEX(상세표[직위],$P502)&amp;"")</f>
        <v/>
      </c>
      <c r="E502">
        <f>IF($P502="","",IF(ISNUMBER(INDEX(상세표[시작],$P502)),TEXT(INDEX(상세표[시작],$P502),"yyyy-mm-dd hh:mm"),INDEX(상세표[시작],$P502)&amp;""))</f>
        <v/>
      </c>
      <c r="F502">
        <f>IF($P502="","",IF(ISNUMBER(INDEX(상세표[블록종료],$P502)),TEXT(INDEX(상세표[블록종료],$P502),"yyyy-mm-dd hh:mm"),INDEX(상세표[블록종료],$P502)&amp;""))</f>
        <v/>
      </c>
      <c r="G502">
        <f>IF($P502="","",CHOOSE(WEEKDAY(INDEX(상세표[시작],$P502)),"일","월","화","수","목","금","토"))</f>
        <v/>
      </c>
      <c r="H502">
        <f>IF($P502="","",INDEX(상세표[연속 시간],$P502))</f>
        <v/>
      </c>
      <c r="I502">
        <f>IF($P502="","",INDEX(상세표[기록 수],$P502))</f>
        <v/>
      </c>
      <c r="J502">
        <f>IF($P502="","",INDEX(상세표[블록 06~07시],$P502))</f>
        <v/>
      </c>
      <c r="K502">
        <f>IF($P502="","",INDEX(상세표[블록 07~18시],$P502))</f>
        <v/>
      </c>
      <c r="L502">
        <f>IF($P502="","",INDEX(상세표[블록 18~22시],$P502))</f>
        <v/>
      </c>
      <c r="M502">
        <f>IF($P502="","",INDEX(상세표[블록 22~06시],$P502))</f>
        <v/>
      </c>
      <c r="N502">
        <f>IF($P502="","",INDEX(상세표[주말·휴일 포함],$P502)&amp;"")</f>
        <v/>
      </c>
      <c r="O502">
        <f>IF($P502="","",INDEX(상세표[월 넘김 포함],$P502)&amp;"")</f>
        <v/>
      </c>
      <c r="P502" s="4">
        <f>IFERROR(MATCH(497,상세표[연속순번],0),"")</f>
        <v/>
      </c>
    </row>
    <row r="503">
      <c r="A503">
        <f>IF($P503="","",INDEX(상세표[사번],$P503)&amp;"")</f>
        <v/>
      </c>
      <c r="B503">
        <f>IF($P503="","",INDEX(상세표[성명],$P503)&amp;"")</f>
        <v/>
      </c>
      <c r="C503">
        <f>IF($P503="","",INDEX(상세표[부서],$P503)&amp;"")</f>
        <v/>
      </c>
      <c r="D503">
        <f>IF($P503="","",INDEX(상세표[직위],$P503)&amp;"")</f>
        <v/>
      </c>
      <c r="E503">
        <f>IF($P503="","",IF(ISNUMBER(INDEX(상세표[시작],$P503)),TEXT(INDEX(상세표[시작],$P503),"yyyy-mm-dd hh:mm"),INDEX(상세표[시작],$P503)&amp;""))</f>
        <v/>
      </c>
      <c r="F503">
        <f>IF($P503="","",IF(ISNUMBER(INDEX(상세표[블록종료],$P503)),TEXT(INDEX(상세표[블록종료],$P503),"yyyy-mm-dd hh:mm"),INDEX(상세표[블록종료],$P503)&amp;""))</f>
        <v/>
      </c>
      <c r="G503">
        <f>IF($P503="","",CHOOSE(WEEKDAY(INDEX(상세표[시작],$P503)),"일","월","화","수","목","금","토"))</f>
        <v/>
      </c>
      <c r="H503">
        <f>IF($P503="","",INDEX(상세표[연속 시간],$P503))</f>
        <v/>
      </c>
      <c r="I503">
        <f>IF($P503="","",INDEX(상세표[기록 수],$P503))</f>
        <v/>
      </c>
      <c r="J503">
        <f>IF($P503="","",INDEX(상세표[블록 06~07시],$P503))</f>
        <v/>
      </c>
      <c r="K503">
        <f>IF($P503="","",INDEX(상세표[블록 07~18시],$P503))</f>
        <v/>
      </c>
      <c r="L503">
        <f>IF($P503="","",INDEX(상세표[블록 18~22시],$P503))</f>
        <v/>
      </c>
      <c r="M503">
        <f>IF($P503="","",INDEX(상세표[블록 22~06시],$P503))</f>
        <v/>
      </c>
      <c r="N503">
        <f>IF($P503="","",INDEX(상세표[주말·휴일 포함],$P503)&amp;"")</f>
        <v/>
      </c>
      <c r="O503">
        <f>IF($P503="","",INDEX(상세표[월 넘김 포함],$P503)&amp;"")</f>
        <v/>
      </c>
      <c r="P503" s="4">
        <f>IFERROR(MATCH(498,상세표[연속순번],0),"")</f>
        <v/>
      </c>
    </row>
    <row r="504">
      <c r="A504">
        <f>IF($P504="","",INDEX(상세표[사번],$P504)&amp;"")</f>
        <v/>
      </c>
      <c r="B504">
        <f>IF($P504="","",INDEX(상세표[성명],$P504)&amp;"")</f>
        <v/>
      </c>
      <c r="C504">
        <f>IF($P504="","",INDEX(상세표[부서],$P504)&amp;"")</f>
        <v/>
      </c>
      <c r="D504">
        <f>IF($P504="","",INDEX(상세표[직위],$P504)&amp;"")</f>
        <v/>
      </c>
      <c r="E504">
        <f>IF($P504="","",IF(ISNUMBER(INDEX(상세표[시작],$P504)),TEXT(INDEX(상세표[시작],$P504),"yyyy-mm-dd hh:mm"),INDEX(상세표[시작],$P504)&amp;""))</f>
        <v/>
      </c>
      <c r="F504">
        <f>IF($P504="","",IF(ISNUMBER(INDEX(상세표[블록종료],$P504)),TEXT(INDEX(상세표[블록종료],$P504),"yyyy-mm-dd hh:mm"),INDEX(상세표[블록종료],$P504)&amp;""))</f>
        <v/>
      </c>
      <c r="G504">
        <f>IF($P504="","",CHOOSE(WEEKDAY(INDEX(상세표[시작],$P504)),"일","월","화","수","목","금","토"))</f>
        <v/>
      </c>
      <c r="H504">
        <f>IF($P504="","",INDEX(상세표[연속 시간],$P504))</f>
        <v/>
      </c>
      <c r="I504">
        <f>IF($P504="","",INDEX(상세표[기록 수],$P504))</f>
        <v/>
      </c>
      <c r="J504">
        <f>IF($P504="","",INDEX(상세표[블록 06~07시],$P504))</f>
        <v/>
      </c>
      <c r="K504">
        <f>IF($P504="","",INDEX(상세표[블록 07~18시],$P504))</f>
        <v/>
      </c>
      <c r="L504">
        <f>IF($P504="","",INDEX(상세표[블록 18~22시],$P504))</f>
        <v/>
      </c>
      <c r="M504">
        <f>IF($P504="","",INDEX(상세표[블록 22~06시],$P504))</f>
        <v/>
      </c>
      <c r="N504">
        <f>IF($P504="","",INDEX(상세표[주말·휴일 포함],$P504)&amp;"")</f>
        <v/>
      </c>
      <c r="O504">
        <f>IF($P504="","",INDEX(상세표[월 넘김 포함],$P504)&amp;"")</f>
        <v/>
      </c>
      <c r="P504" s="4">
        <f>IFERROR(MATCH(499,상세표[연속순번],0),"")</f>
        <v/>
      </c>
    </row>
    <row r="505">
      <c r="A505">
        <f>IF($P505="","",INDEX(상세표[사번],$P505)&amp;"")</f>
        <v/>
      </c>
      <c r="B505">
        <f>IF($P505="","",INDEX(상세표[성명],$P505)&amp;"")</f>
        <v/>
      </c>
      <c r="C505">
        <f>IF($P505="","",INDEX(상세표[부서],$P505)&amp;"")</f>
        <v/>
      </c>
      <c r="D505">
        <f>IF($P505="","",INDEX(상세표[직위],$P505)&amp;"")</f>
        <v/>
      </c>
      <c r="E505">
        <f>IF($P505="","",IF(ISNUMBER(INDEX(상세표[시작],$P505)),TEXT(INDEX(상세표[시작],$P505),"yyyy-mm-dd hh:mm"),INDEX(상세표[시작],$P505)&amp;""))</f>
        <v/>
      </c>
      <c r="F505">
        <f>IF($P505="","",IF(ISNUMBER(INDEX(상세표[블록종료],$P505)),TEXT(INDEX(상세표[블록종료],$P505),"yyyy-mm-dd hh:mm"),INDEX(상세표[블록종료],$P505)&amp;""))</f>
        <v/>
      </c>
      <c r="G505">
        <f>IF($P505="","",CHOOSE(WEEKDAY(INDEX(상세표[시작],$P505)),"일","월","화","수","목","금","토"))</f>
        <v/>
      </c>
      <c r="H505">
        <f>IF($P505="","",INDEX(상세표[연속 시간],$P505))</f>
        <v/>
      </c>
      <c r="I505">
        <f>IF($P505="","",INDEX(상세표[기록 수],$P505))</f>
        <v/>
      </c>
      <c r="J505">
        <f>IF($P505="","",INDEX(상세표[블록 06~07시],$P505))</f>
        <v/>
      </c>
      <c r="K505">
        <f>IF($P505="","",INDEX(상세표[블록 07~18시],$P505))</f>
        <v/>
      </c>
      <c r="L505">
        <f>IF($P505="","",INDEX(상세표[블록 18~22시],$P505))</f>
        <v/>
      </c>
      <c r="M505">
        <f>IF($P505="","",INDEX(상세표[블록 22~06시],$P505))</f>
        <v/>
      </c>
      <c r="N505">
        <f>IF($P505="","",INDEX(상세표[주말·휴일 포함],$P505)&amp;"")</f>
        <v/>
      </c>
      <c r="O505">
        <f>IF($P505="","",INDEX(상세표[월 넘김 포함],$P505)&amp;"")</f>
        <v/>
      </c>
      <c r="P505" s="4">
        <f>IFERROR(MATCH(500,상세표[연속순번],0),"")</f>
        <v/>
      </c>
    </row>
    <row r="506">
      <c r="A506">
        <f>IF($P506="","",INDEX(상세표[사번],$P506)&amp;"")</f>
        <v/>
      </c>
      <c r="B506">
        <f>IF($P506="","",INDEX(상세표[성명],$P506)&amp;"")</f>
        <v/>
      </c>
      <c r="C506">
        <f>IF($P506="","",INDEX(상세표[부서],$P506)&amp;"")</f>
        <v/>
      </c>
      <c r="D506">
        <f>IF($P506="","",INDEX(상세표[직위],$P506)&amp;"")</f>
        <v/>
      </c>
      <c r="E506">
        <f>IF($P506="","",IF(ISNUMBER(INDEX(상세표[시작],$P506)),TEXT(INDEX(상세표[시작],$P506),"yyyy-mm-dd hh:mm"),INDEX(상세표[시작],$P506)&amp;""))</f>
        <v/>
      </c>
      <c r="F506">
        <f>IF($P506="","",IF(ISNUMBER(INDEX(상세표[블록종료],$P506)),TEXT(INDEX(상세표[블록종료],$P506),"yyyy-mm-dd hh:mm"),INDEX(상세표[블록종료],$P506)&amp;""))</f>
        <v/>
      </c>
      <c r="G506">
        <f>IF($P506="","",CHOOSE(WEEKDAY(INDEX(상세표[시작],$P506)),"일","월","화","수","목","금","토"))</f>
        <v/>
      </c>
      <c r="H506">
        <f>IF($P506="","",INDEX(상세표[연속 시간],$P506))</f>
        <v/>
      </c>
      <c r="I506">
        <f>IF($P506="","",INDEX(상세표[기록 수],$P506))</f>
        <v/>
      </c>
      <c r="J506">
        <f>IF($P506="","",INDEX(상세표[블록 06~07시],$P506))</f>
        <v/>
      </c>
      <c r="K506">
        <f>IF($P506="","",INDEX(상세표[블록 07~18시],$P506))</f>
        <v/>
      </c>
      <c r="L506">
        <f>IF($P506="","",INDEX(상세표[블록 18~22시],$P506))</f>
        <v/>
      </c>
      <c r="M506">
        <f>IF($P506="","",INDEX(상세표[블록 22~06시],$P506))</f>
        <v/>
      </c>
      <c r="N506">
        <f>IF($P506="","",INDEX(상세표[주말·휴일 포함],$P506)&amp;"")</f>
        <v/>
      </c>
      <c r="O506">
        <f>IF($P506="","",INDEX(상세표[월 넘김 포함],$P506)&amp;"")</f>
        <v/>
      </c>
      <c r="P506" s="4">
        <f>IFERROR(MATCH(501,상세표[연속순번],0),"")</f>
        <v/>
      </c>
    </row>
    <row r="507">
      <c r="A507">
        <f>IF($P507="","",INDEX(상세표[사번],$P507)&amp;"")</f>
        <v/>
      </c>
      <c r="B507">
        <f>IF($P507="","",INDEX(상세표[성명],$P507)&amp;"")</f>
        <v/>
      </c>
      <c r="C507">
        <f>IF($P507="","",INDEX(상세표[부서],$P507)&amp;"")</f>
        <v/>
      </c>
      <c r="D507">
        <f>IF($P507="","",INDEX(상세표[직위],$P507)&amp;"")</f>
        <v/>
      </c>
      <c r="E507">
        <f>IF($P507="","",IF(ISNUMBER(INDEX(상세표[시작],$P507)),TEXT(INDEX(상세표[시작],$P507),"yyyy-mm-dd hh:mm"),INDEX(상세표[시작],$P507)&amp;""))</f>
        <v/>
      </c>
      <c r="F507">
        <f>IF($P507="","",IF(ISNUMBER(INDEX(상세표[블록종료],$P507)),TEXT(INDEX(상세표[블록종료],$P507),"yyyy-mm-dd hh:mm"),INDEX(상세표[블록종료],$P507)&amp;""))</f>
        <v/>
      </c>
      <c r="G507">
        <f>IF($P507="","",CHOOSE(WEEKDAY(INDEX(상세표[시작],$P507)),"일","월","화","수","목","금","토"))</f>
        <v/>
      </c>
      <c r="H507">
        <f>IF($P507="","",INDEX(상세표[연속 시간],$P507))</f>
        <v/>
      </c>
      <c r="I507">
        <f>IF($P507="","",INDEX(상세표[기록 수],$P507))</f>
        <v/>
      </c>
      <c r="J507">
        <f>IF($P507="","",INDEX(상세표[블록 06~07시],$P507))</f>
        <v/>
      </c>
      <c r="K507">
        <f>IF($P507="","",INDEX(상세표[블록 07~18시],$P507))</f>
        <v/>
      </c>
      <c r="L507">
        <f>IF($P507="","",INDEX(상세표[블록 18~22시],$P507))</f>
        <v/>
      </c>
      <c r="M507">
        <f>IF($P507="","",INDEX(상세표[블록 22~06시],$P507))</f>
        <v/>
      </c>
      <c r="N507">
        <f>IF($P507="","",INDEX(상세표[주말·휴일 포함],$P507)&amp;"")</f>
        <v/>
      </c>
      <c r="O507">
        <f>IF($P507="","",INDEX(상세표[월 넘김 포함],$P507)&amp;"")</f>
        <v/>
      </c>
      <c r="P507" s="4">
        <f>IFERROR(MATCH(502,상세표[연속순번],0),"")</f>
        <v/>
      </c>
    </row>
    <row r="508">
      <c r="A508">
        <f>IF($P508="","",INDEX(상세표[사번],$P508)&amp;"")</f>
        <v/>
      </c>
      <c r="B508">
        <f>IF($P508="","",INDEX(상세표[성명],$P508)&amp;"")</f>
        <v/>
      </c>
      <c r="C508">
        <f>IF($P508="","",INDEX(상세표[부서],$P508)&amp;"")</f>
        <v/>
      </c>
      <c r="D508">
        <f>IF($P508="","",INDEX(상세표[직위],$P508)&amp;"")</f>
        <v/>
      </c>
      <c r="E508">
        <f>IF($P508="","",IF(ISNUMBER(INDEX(상세표[시작],$P508)),TEXT(INDEX(상세표[시작],$P508),"yyyy-mm-dd hh:mm"),INDEX(상세표[시작],$P508)&amp;""))</f>
        <v/>
      </c>
      <c r="F508">
        <f>IF($P508="","",IF(ISNUMBER(INDEX(상세표[블록종료],$P508)),TEXT(INDEX(상세표[블록종료],$P508),"yyyy-mm-dd hh:mm"),INDEX(상세표[블록종료],$P508)&amp;""))</f>
        <v/>
      </c>
      <c r="G508">
        <f>IF($P508="","",CHOOSE(WEEKDAY(INDEX(상세표[시작],$P508)),"일","월","화","수","목","금","토"))</f>
        <v/>
      </c>
      <c r="H508">
        <f>IF($P508="","",INDEX(상세표[연속 시간],$P508))</f>
        <v/>
      </c>
      <c r="I508">
        <f>IF($P508="","",INDEX(상세표[기록 수],$P508))</f>
        <v/>
      </c>
      <c r="J508">
        <f>IF($P508="","",INDEX(상세표[블록 06~07시],$P508))</f>
        <v/>
      </c>
      <c r="K508">
        <f>IF($P508="","",INDEX(상세표[블록 07~18시],$P508))</f>
        <v/>
      </c>
      <c r="L508">
        <f>IF($P508="","",INDEX(상세표[블록 18~22시],$P508))</f>
        <v/>
      </c>
      <c r="M508">
        <f>IF($P508="","",INDEX(상세표[블록 22~06시],$P508))</f>
        <v/>
      </c>
      <c r="N508">
        <f>IF($P508="","",INDEX(상세표[주말·휴일 포함],$P508)&amp;"")</f>
        <v/>
      </c>
      <c r="O508">
        <f>IF($P508="","",INDEX(상세표[월 넘김 포함],$P508)&amp;"")</f>
        <v/>
      </c>
      <c r="P508" s="4">
        <f>IFERROR(MATCH(503,상세표[연속순번],0),"")</f>
        <v/>
      </c>
    </row>
    <row r="509">
      <c r="A509">
        <f>IF($P509="","",INDEX(상세표[사번],$P509)&amp;"")</f>
        <v/>
      </c>
      <c r="B509">
        <f>IF($P509="","",INDEX(상세표[성명],$P509)&amp;"")</f>
        <v/>
      </c>
      <c r="C509">
        <f>IF($P509="","",INDEX(상세표[부서],$P509)&amp;"")</f>
        <v/>
      </c>
      <c r="D509">
        <f>IF($P509="","",INDEX(상세표[직위],$P509)&amp;"")</f>
        <v/>
      </c>
      <c r="E509">
        <f>IF($P509="","",IF(ISNUMBER(INDEX(상세표[시작],$P509)),TEXT(INDEX(상세표[시작],$P509),"yyyy-mm-dd hh:mm"),INDEX(상세표[시작],$P509)&amp;""))</f>
        <v/>
      </c>
      <c r="F509">
        <f>IF($P509="","",IF(ISNUMBER(INDEX(상세표[블록종료],$P509)),TEXT(INDEX(상세표[블록종료],$P509),"yyyy-mm-dd hh:mm"),INDEX(상세표[블록종료],$P509)&amp;""))</f>
        <v/>
      </c>
      <c r="G509">
        <f>IF($P509="","",CHOOSE(WEEKDAY(INDEX(상세표[시작],$P509)),"일","월","화","수","목","금","토"))</f>
        <v/>
      </c>
      <c r="H509">
        <f>IF($P509="","",INDEX(상세표[연속 시간],$P509))</f>
        <v/>
      </c>
      <c r="I509">
        <f>IF($P509="","",INDEX(상세표[기록 수],$P509))</f>
        <v/>
      </c>
      <c r="J509">
        <f>IF($P509="","",INDEX(상세표[블록 06~07시],$P509))</f>
        <v/>
      </c>
      <c r="K509">
        <f>IF($P509="","",INDEX(상세표[블록 07~18시],$P509))</f>
        <v/>
      </c>
      <c r="L509">
        <f>IF($P509="","",INDEX(상세표[블록 18~22시],$P509))</f>
        <v/>
      </c>
      <c r="M509">
        <f>IF($P509="","",INDEX(상세표[블록 22~06시],$P509))</f>
        <v/>
      </c>
      <c r="N509">
        <f>IF($P509="","",INDEX(상세표[주말·휴일 포함],$P509)&amp;"")</f>
        <v/>
      </c>
      <c r="O509">
        <f>IF($P509="","",INDEX(상세표[월 넘김 포함],$P509)&amp;"")</f>
        <v/>
      </c>
      <c r="P509" s="4">
        <f>IFERROR(MATCH(504,상세표[연속순번],0),"")</f>
        <v/>
      </c>
    </row>
    <row r="510">
      <c r="A510">
        <f>IF($P510="","",INDEX(상세표[사번],$P510)&amp;"")</f>
        <v/>
      </c>
      <c r="B510">
        <f>IF($P510="","",INDEX(상세표[성명],$P510)&amp;"")</f>
        <v/>
      </c>
      <c r="C510">
        <f>IF($P510="","",INDEX(상세표[부서],$P510)&amp;"")</f>
        <v/>
      </c>
      <c r="D510">
        <f>IF($P510="","",INDEX(상세표[직위],$P510)&amp;"")</f>
        <v/>
      </c>
      <c r="E510">
        <f>IF($P510="","",IF(ISNUMBER(INDEX(상세표[시작],$P510)),TEXT(INDEX(상세표[시작],$P510),"yyyy-mm-dd hh:mm"),INDEX(상세표[시작],$P510)&amp;""))</f>
        <v/>
      </c>
      <c r="F510">
        <f>IF($P510="","",IF(ISNUMBER(INDEX(상세표[블록종료],$P510)),TEXT(INDEX(상세표[블록종료],$P510),"yyyy-mm-dd hh:mm"),INDEX(상세표[블록종료],$P510)&amp;""))</f>
        <v/>
      </c>
      <c r="G510">
        <f>IF($P510="","",CHOOSE(WEEKDAY(INDEX(상세표[시작],$P510)),"일","월","화","수","목","금","토"))</f>
        <v/>
      </c>
      <c r="H510">
        <f>IF($P510="","",INDEX(상세표[연속 시간],$P510))</f>
        <v/>
      </c>
      <c r="I510">
        <f>IF($P510="","",INDEX(상세표[기록 수],$P510))</f>
        <v/>
      </c>
      <c r="J510">
        <f>IF($P510="","",INDEX(상세표[블록 06~07시],$P510))</f>
        <v/>
      </c>
      <c r="K510">
        <f>IF($P510="","",INDEX(상세표[블록 07~18시],$P510))</f>
        <v/>
      </c>
      <c r="L510">
        <f>IF($P510="","",INDEX(상세표[블록 18~22시],$P510))</f>
        <v/>
      </c>
      <c r="M510">
        <f>IF($P510="","",INDEX(상세표[블록 22~06시],$P510))</f>
        <v/>
      </c>
      <c r="N510">
        <f>IF($P510="","",INDEX(상세표[주말·휴일 포함],$P510)&amp;"")</f>
        <v/>
      </c>
      <c r="O510">
        <f>IF($P510="","",INDEX(상세표[월 넘김 포함],$P510)&amp;"")</f>
        <v/>
      </c>
      <c r="P510" s="4">
        <f>IFERROR(MATCH(505,상세표[연속순번],0),"")</f>
        <v/>
      </c>
    </row>
    <row r="511">
      <c r="A511">
        <f>IF($P511="","",INDEX(상세표[사번],$P511)&amp;"")</f>
        <v/>
      </c>
      <c r="B511">
        <f>IF($P511="","",INDEX(상세표[성명],$P511)&amp;"")</f>
        <v/>
      </c>
      <c r="C511">
        <f>IF($P511="","",INDEX(상세표[부서],$P511)&amp;"")</f>
        <v/>
      </c>
      <c r="D511">
        <f>IF($P511="","",INDEX(상세표[직위],$P511)&amp;"")</f>
        <v/>
      </c>
      <c r="E511">
        <f>IF($P511="","",IF(ISNUMBER(INDEX(상세표[시작],$P511)),TEXT(INDEX(상세표[시작],$P511),"yyyy-mm-dd hh:mm"),INDEX(상세표[시작],$P511)&amp;""))</f>
        <v/>
      </c>
      <c r="F511">
        <f>IF($P511="","",IF(ISNUMBER(INDEX(상세표[블록종료],$P511)),TEXT(INDEX(상세표[블록종료],$P511),"yyyy-mm-dd hh:mm"),INDEX(상세표[블록종료],$P511)&amp;""))</f>
        <v/>
      </c>
      <c r="G511">
        <f>IF($P511="","",CHOOSE(WEEKDAY(INDEX(상세표[시작],$P511)),"일","월","화","수","목","금","토"))</f>
        <v/>
      </c>
      <c r="H511">
        <f>IF($P511="","",INDEX(상세표[연속 시간],$P511))</f>
        <v/>
      </c>
      <c r="I511">
        <f>IF($P511="","",INDEX(상세표[기록 수],$P511))</f>
        <v/>
      </c>
      <c r="J511">
        <f>IF($P511="","",INDEX(상세표[블록 06~07시],$P511))</f>
        <v/>
      </c>
      <c r="K511">
        <f>IF($P511="","",INDEX(상세표[블록 07~18시],$P511))</f>
        <v/>
      </c>
      <c r="L511">
        <f>IF($P511="","",INDEX(상세표[블록 18~22시],$P511))</f>
        <v/>
      </c>
      <c r="M511">
        <f>IF($P511="","",INDEX(상세표[블록 22~06시],$P511))</f>
        <v/>
      </c>
      <c r="N511">
        <f>IF($P511="","",INDEX(상세표[주말·휴일 포함],$P511)&amp;"")</f>
        <v/>
      </c>
      <c r="O511">
        <f>IF($P511="","",INDEX(상세표[월 넘김 포함],$P511)&amp;"")</f>
        <v/>
      </c>
      <c r="P511" s="4">
        <f>IFERROR(MATCH(506,상세표[연속순번],0),"")</f>
        <v/>
      </c>
    </row>
    <row r="512">
      <c r="A512">
        <f>IF($P512="","",INDEX(상세표[사번],$P512)&amp;"")</f>
        <v/>
      </c>
      <c r="B512">
        <f>IF($P512="","",INDEX(상세표[성명],$P512)&amp;"")</f>
        <v/>
      </c>
      <c r="C512">
        <f>IF($P512="","",INDEX(상세표[부서],$P512)&amp;"")</f>
        <v/>
      </c>
      <c r="D512">
        <f>IF($P512="","",INDEX(상세표[직위],$P512)&amp;"")</f>
        <v/>
      </c>
      <c r="E512">
        <f>IF($P512="","",IF(ISNUMBER(INDEX(상세표[시작],$P512)),TEXT(INDEX(상세표[시작],$P512),"yyyy-mm-dd hh:mm"),INDEX(상세표[시작],$P512)&amp;""))</f>
        <v/>
      </c>
      <c r="F512">
        <f>IF($P512="","",IF(ISNUMBER(INDEX(상세표[블록종료],$P512)),TEXT(INDEX(상세표[블록종료],$P512),"yyyy-mm-dd hh:mm"),INDEX(상세표[블록종료],$P512)&amp;""))</f>
        <v/>
      </c>
      <c r="G512">
        <f>IF($P512="","",CHOOSE(WEEKDAY(INDEX(상세표[시작],$P512)),"일","월","화","수","목","금","토"))</f>
        <v/>
      </c>
      <c r="H512">
        <f>IF($P512="","",INDEX(상세표[연속 시간],$P512))</f>
        <v/>
      </c>
      <c r="I512">
        <f>IF($P512="","",INDEX(상세표[기록 수],$P512))</f>
        <v/>
      </c>
      <c r="J512">
        <f>IF($P512="","",INDEX(상세표[블록 06~07시],$P512))</f>
        <v/>
      </c>
      <c r="K512">
        <f>IF($P512="","",INDEX(상세표[블록 07~18시],$P512))</f>
        <v/>
      </c>
      <c r="L512">
        <f>IF($P512="","",INDEX(상세표[블록 18~22시],$P512))</f>
        <v/>
      </c>
      <c r="M512">
        <f>IF($P512="","",INDEX(상세표[블록 22~06시],$P512))</f>
        <v/>
      </c>
      <c r="N512">
        <f>IF($P512="","",INDEX(상세표[주말·휴일 포함],$P512)&amp;"")</f>
        <v/>
      </c>
      <c r="O512">
        <f>IF($P512="","",INDEX(상세표[월 넘김 포함],$P512)&amp;"")</f>
        <v/>
      </c>
      <c r="P512" s="4">
        <f>IFERROR(MATCH(507,상세표[연속순번],0),"")</f>
        <v/>
      </c>
    </row>
    <row r="513">
      <c r="A513">
        <f>IF($P513="","",INDEX(상세표[사번],$P513)&amp;"")</f>
        <v/>
      </c>
      <c r="B513">
        <f>IF($P513="","",INDEX(상세표[성명],$P513)&amp;"")</f>
        <v/>
      </c>
      <c r="C513">
        <f>IF($P513="","",INDEX(상세표[부서],$P513)&amp;"")</f>
        <v/>
      </c>
      <c r="D513">
        <f>IF($P513="","",INDEX(상세표[직위],$P513)&amp;"")</f>
        <v/>
      </c>
      <c r="E513">
        <f>IF($P513="","",IF(ISNUMBER(INDEX(상세표[시작],$P513)),TEXT(INDEX(상세표[시작],$P513),"yyyy-mm-dd hh:mm"),INDEX(상세표[시작],$P513)&amp;""))</f>
        <v/>
      </c>
      <c r="F513">
        <f>IF($P513="","",IF(ISNUMBER(INDEX(상세표[블록종료],$P513)),TEXT(INDEX(상세표[블록종료],$P513),"yyyy-mm-dd hh:mm"),INDEX(상세표[블록종료],$P513)&amp;""))</f>
        <v/>
      </c>
      <c r="G513">
        <f>IF($P513="","",CHOOSE(WEEKDAY(INDEX(상세표[시작],$P513)),"일","월","화","수","목","금","토"))</f>
        <v/>
      </c>
      <c r="H513">
        <f>IF($P513="","",INDEX(상세표[연속 시간],$P513))</f>
        <v/>
      </c>
      <c r="I513">
        <f>IF($P513="","",INDEX(상세표[기록 수],$P513))</f>
        <v/>
      </c>
      <c r="J513">
        <f>IF($P513="","",INDEX(상세표[블록 06~07시],$P513))</f>
        <v/>
      </c>
      <c r="K513">
        <f>IF($P513="","",INDEX(상세표[블록 07~18시],$P513))</f>
        <v/>
      </c>
      <c r="L513">
        <f>IF($P513="","",INDEX(상세표[블록 18~22시],$P513))</f>
        <v/>
      </c>
      <c r="M513">
        <f>IF($P513="","",INDEX(상세표[블록 22~06시],$P513))</f>
        <v/>
      </c>
      <c r="N513">
        <f>IF($P513="","",INDEX(상세표[주말·휴일 포함],$P513)&amp;"")</f>
        <v/>
      </c>
      <c r="O513">
        <f>IF($P513="","",INDEX(상세표[월 넘김 포함],$P513)&amp;"")</f>
        <v/>
      </c>
      <c r="P513" s="4">
        <f>IFERROR(MATCH(508,상세표[연속순번],0),"")</f>
        <v/>
      </c>
    </row>
    <row r="514">
      <c r="A514">
        <f>IF($P514="","",INDEX(상세표[사번],$P514)&amp;"")</f>
        <v/>
      </c>
      <c r="B514">
        <f>IF($P514="","",INDEX(상세표[성명],$P514)&amp;"")</f>
        <v/>
      </c>
      <c r="C514">
        <f>IF($P514="","",INDEX(상세표[부서],$P514)&amp;"")</f>
        <v/>
      </c>
      <c r="D514">
        <f>IF($P514="","",INDEX(상세표[직위],$P514)&amp;"")</f>
        <v/>
      </c>
      <c r="E514">
        <f>IF($P514="","",IF(ISNUMBER(INDEX(상세표[시작],$P514)),TEXT(INDEX(상세표[시작],$P514),"yyyy-mm-dd hh:mm"),INDEX(상세표[시작],$P514)&amp;""))</f>
        <v/>
      </c>
      <c r="F514">
        <f>IF($P514="","",IF(ISNUMBER(INDEX(상세표[블록종료],$P514)),TEXT(INDEX(상세표[블록종료],$P514),"yyyy-mm-dd hh:mm"),INDEX(상세표[블록종료],$P514)&amp;""))</f>
        <v/>
      </c>
      <c r="G514">
        <f>IF($P514="","",CHOOSE(WEEKDAY(INDEX(상세표[시작],$P514)),"일","월","화","수","목","금","토"))</f>
        <v/>
      </c>
      <c r="H514">
        <f>IF($P514="","",INDEX(상세표[연속 시간],$P514))</f>
        <v/>
      </c>
      <c r="I514">
        <f>IF($P514="","",INDEX(상세표[기록 수],$P514))</f>
        <v/>
      </c>
      <c r="J514">
        <f>IF($P514="","",INDEX(상세표[블록 06~07시],$P514))</f>
        <v/>
      </c>
      <c r="K514">
        <f>IF($P514="","",INDEX(상세표[블록 07~18시],$P514))</f>
        <v/>
      </c>
      <c r="L514">
        <f>IF($P514="","",INDEX(상세표[블록 18~22시],$P514))</f>
        <v/>
      </c>
      <c r="M514">
        <f>IF($P514="","",INDEX(상세표[블록 22~06시],$P514))</f>
        <v/>
      </c>
      <c r="N514">
        <f>IF($P514="","",INDEX(상세표[주말·휴일 포함],$P514)&amp;"")</f>
        <v/>
      </c>
      <c r="O514">
        <f>IF($P514="","",INDEX(상세표[월 넘김 포함],$P514)&amp;"")</f>
        <v/>
      </c>
      <c r="P514" s="4">
        <f>IFERROR(MATCH(509,상세표[연속순번],0),"")</f>
        <v/>
      </c>
    </row>
    <row r="515">
      <c r="A515">
        <f>IF($P515="","",INDEX(상세표[사번],$P515)&amp;"")</f>
        <v/>
      </c>
      <c r="B515">
        <f>IF($P515="","",INDEX(상세표[성명],$P515)&amp;"")</f>
        <v/>
      </c>
      <c r="C515">
        <f>IF($P515="","",INDEX(상세표[부서],$P515)&amp;"")</f>
        <v/>
      </c>
      <c r="D515">
        <f>IF($P515="","",INDEX(상세표[직위],$P515)&amp;"")</f>
        <v/>
      </c>
      <c r="E515">
        <f>IF($P515="","",IF(ISNUMBER(INDEX(상세표[시작],$P515)),TEXT(INDEX(상세표[시작],$P515),"yyyy-mm-dd hh:mm"),INDEX(상세표[시작],$P515)&amp;""))</f>
        <v/>
      </c>
      <c r="F515">
        <f>IF($P515="","",IF(ISNUMBER(INDEX(상세표[블록종료],$P515)),TEXT(INDEX(상세표[블록종료],$P515),"yyyy-mm-dd hh:mm"),INDEX(상세표[블록종료],$P515)&amp;""))</f>
        <v/>
      </c>
      <c r="G515">
        <f>IF($P515="","",CHOOSE(WEEKDAY(INDEX(상세표[시작],$P515)),"일","월","화","수","목","금","토"))</f>
        <v/>
      </c>
      <c r="H515">
        <f>IF($P515="","",INDEX(상세표[연속 시간],$P515))</f>
        <v/>
      </c>
      <c r="I515">
        <f>IF($P515="","",INDEX(상세표[기록 수],$P515))</f>
        <v/>
      </c>
      <c r="J515">
        <f>IF($P515="","",INDEX(상세표[블록 06~07시],$P515))</f>
        <v/>
      </c>
      <c r="K515">
        <f>IF($P515="","",INDEX(상세표[블록 07~18시],$P515))</f>
        <v/>
      </c>
      <c r="L515">
        <f>IF($P515="","",INDEX(상세표[블록 18~22시],$P515))</f>
        <v/>
      </c>
      <c r="M515">
        <f>IF($P515="","",INDEX(상세표[블록 22~06시],$P515))</f>
        <v/>
      </c>
      <c r="N515">
        <f>IF($P515="","",INDEX(상세표[주말·휴일 포함],$P515)&amp;"")</f>
        <v/>
      </c>
      <c r="O515">
        <f>IF($P515="","",INDEX(상세표[월 넘김 포함],$P515)&amp;"")</f>
        <v/>
      </c>
      <c r="P515" s="4">
        <f>IFERROR(MATCH(510,상세표[연속순번],0),"")</f>
        <v/>
      </c>
    </row>
    <row r="516">
      <c r="A516">
        <f>IF($P516="","",INDEX(상세표[사번],$P516)&amp;"")</f>
        <v/>
      </c>
      <c r="B516">
        <f>IF($P516="","",INDEX(상세표[성명],$P516)&amp;"")</f>
        <v/>
      </c>
      <c r="C516">
        <f>IF($P516="","",INDEX(상세표[부서],$P516)&amp;"")</f>
        <v/>
      </c>
      <c r="D516">
        <f>IF($P516="","",INDEX(상세표[직위],$P516)&amp;"")</f>
        <v/>
      </c>
      <c r="E516">
        <f>IF($P516="","",IF(ISNUMBER(INDEX(상세표[시작],$P516)),TEXT(INDEX(상세표[시작],$P516),"yyyy-mm-dd hh:mm"),INDEX(상세표[시작],$P516)&amp;""))</f>
        <v/>
      </c>
      <c r="F516">
        <f>IF($P516="","",IF(ISNUMBER(INDEX(상세표[블록종료],$P516)),TEXT(INDEX(상세표[블록종료],$P516),"yyyy-mm-dd hh:mm"),INDEX(상세표[블록종료],$P516)&amp;""))</f>
        <v/>
      </c>
      <c r="G516">
        <f>IF($P516="","",CHOOSE(WEEKDAY(INDEX(상세표[시작],$P516)),"일","월","화","수","목","금","토"))</f>
        <v/>
      </c>
      <c r="H516">
        <f>IF($P516="","",INDEX(상세표[연속 시간],$P516))</f>
        <v/>
      </c>
      <c r="I516">
        <f>IF($P516="","",INDEX(상세표[기록 수],$P516))</f>
        <v/>
      </c>
      <c r="J516">
        <f>IF($P516="","",INDEX(상세표[블록 06~07시],$P516))</f>
        <v/>
      </c>
      <c r="K516">
        <f>IF($P516="","",INDEX(상세표[블록 07~18시],$P516))</f>
        <v/>
      </c>
      <c r="L516">
        <f>IF($P516="","",INDEX(상세표[블록 18~22시],$P516))</f>
        <v/>
      </c>
      <c r="M516">
        <f>IF($P516="","",INDEX(상세표[블록 22~06시],$P516))</f>
        <v/>
      </c>
      <c r="N516">
        <f>IF($P516="","",INDEX(상세표[주말·휴일 포함],$P516)&amp;"")</f>
        <v/>
      </c>
      <c r="O516">
        <f>IF($P516="","",INDEX(상세표[월 넘김 포함],$P516)&amp;"")</f>
        <v/>
      </c>
      <c r="P516" s="4">
        <f>IFERROR(MATCH(511,상세표[연속순번],0),"")</f>
        <v/>
      </c>
    </row>
    <row r="517">
      <c r="A517">
        <f>IF($P517="","",INDEX(상세표[사번],$P517)&amp;"")</f>
        <v/>
      </c>
      <c r="B517">
        <f>IF($P517="","",INDEX(상세표[성명],$P517)&amp;"")</f>
        <v/>
      </c>
      <c r="C517">
        <f>IF($P517="","",INDEX(상세표[부서],$P517)&amp;"")</f>
        <v/>
      </c>
      <c r="D517">
        <f>IF($P517="","",INDEX(상세표[직위],$P517)&amp;"")</f>
        <v/>
      </c>
      <c r="E517">
        <f>IF($P517="","",IF(ISNUMBER(INDEX(상세표[시작],$P517)),TEXT(INDEX(상세표[시작],$P517),"yyyy-mm-dd hh:mm"),INDEX(상세표[시작],$P517)&amp;""))</f>
        <v/>
      </c>
      <c r="F517">
        <f>IF($P517="","",IF(ISNUMBER(INDEX(상세표[블록종료],$P517)),TEXT(INDEX(상세표[블록종료],$P517),"yyyy-mm-dd hh:mm"),INDEX(상세표[블록종료],$P517)&amp;""))</f>
        <v/>
      </c>
      <c r="G517">
        <f>IF($P517="","",CHOOSE(WEEKDAY(INDEX(상세표[시작],$P517)),"일","월","화","수","목","금","토"))</f>
        <v/>
      </c>
      <c r="H517">
        <f>IF($P517="","",INDEX(상세표[연속 시간],$P517))</f>
        <v/>
      </c>
      <c r="I517">
        <f>IF($P517="","",INDEX(상세표[기록 수],$P517))</f>
        <v/>
      </c>
      <c r="J517">
        <f>IF($P517="","",INDEX(상세표[블록 06~07시],$P517))</f>
        <v/>
      </c>
      <c r="K517">
        <f>IF($P517="","",INDEX(상세표[블록 07~18시],$P517))</f>
        <v/>
      </c>
      <c r="L517">
        <f>IF($P517="","",INDEX(상세표[블록 18~22시],$P517))</f>
        <v/>
      </c>
      <c r="M517">
        <f>IF($P517="","",INDEX(상세표[블록 22~06시],$P517))</f>
        <v/>
      </c>
      <c r="N517">
        <f>IF($P517="","",INDEX(상세표[주말·휴일 포함],$P517)&amp;"")</f>
        <v/>
      </c>
      <c r="O517">
        <f>IF($P517="","",INDEX(상세표[월 넘김 포함],$P517)&amp;"")</f>
        <v/>
      </c>
      <c r="P517" s="4">
        <f>IFERROR(MATCH(512,상세표[연속순번],0),"")</f>
        <v/>
      </c>
    </row>
    <row r="518">
      <c r="A518">
        <f>IF($P518="","",INDEX(상세표[사번],$P518)&amp;"")</f>
        <v/>
      </c>
      <c r="B518">
        <f>IF($P518="","",INDEX(상세표[성명],$P518)&amp;"")</f>
        <v/>
      </c>
      <c r="C518">
        <f>IF($P518="","",INDEX(상세표[부서],$P518)&amp;"")</f>
        <v/>
      </c>
      <c r="D518">
        <f>IF($P518="","",INDEX(상세표[직위],$P518)&amp;"")</f>
        <v/>
      </c>
      <c r="E518">
        <f>IF($P518="","",IF(ISNUMBER(INDEX(상세표[시작],$P518)),TEXT(INDEX(상세표[시작],$P518),"yyyy-mm-dd hh:mm"),INDEX(상세표[시작],$P518)&amp;""))</f>
        <v/>
      </c>
      <c r="F518">
        <f>IF($P518="","",IF(ISNUMBER(INDEX(상세표[블록종료],$P518)),TEXT(INDEX(상세표[블록종료],$P518),"yyyy-mm-dd hh:mm"),INDEX(상세표[블록종료],$P518)&amp;""))</f>
        <v/>
      </c>
      <c r="G518">
        <f>IF($P518="","",CHOOSE(WEEKDAY(INDEX(상세표[시작],$P518)),"일","월","화","수","목","금","토"))</f>
        <v/>
      </c>
      <c r="H518">
        <f>IF($P518="","",INDEX(상세표[연속 시간],$P518))</f>
        <v/>
      </c>
      <c r="I518">
        <f>IF($P518="","",INDEX(상세표[기록 수],$P518))</f>
        <v/>
      </c>
      <c r="J518">
        <f>IF($P518="","",INDEX(상세표[블록 06~07시],$P518))</f>
        <v/>
      </c>
      <c r="K518">
        <f>IF($P518="","",INDEX(상세표[블록 07~18시],$P518))</f>
        <v/>
      </c>
      <c r="L518">
        <f>IF($P518="","",INDEX(상세표[블록 18~22시],$P518))</f>
        <v/>
      </c>
      <c r="M518">
        <f>IF($P518="","",INDEX(상세표[블록 22~06시],$P518))</f>
        <v/>
      </c>
      <c r="N518">
        <f>IF($P518="","",INDEX(상세표[주말·휴일 포함],$P518)&amp;"")</f>
        <v/>
      </c>
      <c r="O518">
        <f>IF($P518="","",INDEX(상세표[월 넘김 포함],$P518)&amp;"")</f>
        <v/>
      </c>
      <c r="P518" s="4">
        <f>IFERROR(MATCH(513,상세표[연속순번],0),"")</f>
        <v/>
      </c>
    </row>
    <row r="519">
      <c r="A519">
        <f>IF($P519="","",INDEX(상세표[사번],$P519)&amp;"")</f>
        <v/>
      </c>
      <c r="B519">
        <f>IF($P519="","",INDEX(상세표[성명],$P519)&amp;"")</f>
        <v/>
      </c>
      <c r="C519">
        <f>IF($P519="","",INDEX(상세표[부서],$P519)&amp;"")</f>
        <v/>
      </c>
      <c r="D519">
        <f>IF($P519="","",INDEX(상세표[직위],$P519)&amp;"")</f>
        <v/>
      </c>
      <c r="E519">
        <f>IF($P519="","",IF(ISNUMBER(INDEX(상세표[시작],$P519)),TEXT(INDEX(상세표[시작],$P519),"yyyy-mm-dd hh:mm"),INDEX(상세표[시작],$P519)&amp;""))</f>
        <v/>
      </c>
      <c r="F519">
        <f>IF($P519="","",IF(ISNUMBER(INDEX(상세표[블록종료],$P519)),TEXT(INDEX(상세표[블록종료],$P519),"yyyy-mm-dd hh:mm"),INDEX(상세표[블록종료],$P519)&amp;""))</f>
        <v/>
      </c>
      <c r="G519">
        <f>IF($P519="","",CHOOSE(WEEKDAY(INDEX(상세표[시작],$P519)),"일","월","화","수","목","금","토"))</f>
        <v/>
      </c>
      <c r="H519">
        <f>IF($P519="","",INDEX(상세표[연속 시간],$P519))</f>
        <v/>
      </c>
      <c r="I519">
        <f>IF($P519="","",INDEX(상세표[기록 수],$P519))</f>
        <v/>
      </c>
      <c r="J519">
        <f>IF($P519="","",INDEX(상세표[블록 06~07시],$P519))</f>
        <v/>
      </c>
      <c r="K519">
        <f>IF($P519="","",INDEX(상세표[블록 07~18시],$P519))</f>
        <v/>
      </c>
      <c r="L519">
        <f>IF($P519="","",INDEX(상세표[블록 18~22시],$P519))</f>
        <v/>
      </c>
      <c r="M519">
        <f>IF($P519="","",INDEX(상세표[블록 22~06시],$P519))</f>
        <v/>
      </c>
      <c r="N519">
        <f>IF($P519="","",INDEX(상세표[주말·휴일 포함],$P519)&amp;"")</f>
        <v/>
      </c>
      <c r="O519">
        <f>IF($P519="","",INDEX(상세표[월 넘김 포함],$P519)&amp;"")</f>
        <v/>
      </c>
      <c r="P519" s="4">
        <f>IFERROR(MATCH(514,상세표[연속순번],0),"")</f>
        <v/>
      </c>
    </row>
    <row r="520">
      <c r="A520">
        <f>IF($P520="","",INDEX(상세표[사번],$P520)&amp;"")</f>
        <v/>
      </c>
      <c r="B520">
        <f>IF($P520="","",INDEX(상세표[성명],$P520)&amp;"")</f>
        <v/>
      </c>
      <c r="C520">
        <f>IF($P520="","",INDEX(상세표[부서],$P520)&amp;"")</f>
        <v/>
      </c>
      <c r="D520">
        <f>IF($P520="","",INDEX(상세표[직위],$P520)&amp;"")</f>
        <v/>
      </c>
      <c r="E520">
        <f>IF($P520="","",IF(ISNUMBER(INDEX(상세표[시작],$P520)),TEXT(INDEX(상세표[시작],$P520),"yyyy-mm-dd hh:mm"),INDEX(상세표[시작],$P520)&amp;""))</f>
        <v/>
      </c>
      <c r="F520">
        <f>IF($P520="","",IF(ISNUMBER(INDEX(상세표[블록종료],$P520)),TEXT(INDEX(상세표[블록종료],$P520),"yyyy-mm-dd hh:mm"),INDEX(상세표[블록종료],$P520)&amp;""))</f>
        <v/>
      </c>
      <c r="G520">
        <f>IF($P520="","",CHOOSE(WEEKDAY(INDEX(상세표[시작],$P520)),"일","월","화","수","목","금","토"))</f>
        <v/>
      </c>
      <c r="H520">
        <f>IF($P520="","",INDEX(상세표[연속 시간],$P520))</f>
        <v/>
      </c>
      <c r="I520">
        <f>IF($P520="","",INDEX(상세표[기록 수],$P520))</f>
        <v/>
      </c>
      <c r="J520">
        <f>IF($P520="","",INDEX(상세표[블록 06~07시],$P520))</f>
        <v/>
      </c>
      <c r="K520">
        <f>IF($P520="","",INDEX(상세표[블록 07~18시],$P520))</f>
        <v/>
      </c>
      <c r="L520">
        <f>IF($P520="","",INDEX(상세표[블록 18~22시],$P520))</f>
        <v/>
      </c>
      <c r="M520">
        <f>IF($P520="","",INDEX(상세표[블록 22~06시],$P520))</f>
        <v/>
      </c>
      <c r="N520">
        <f>IF($P520="","",INDEX(상세표[주말·휴일 포함],$P520)&amp;"")</f>
        <v/>
      </c>
      <c r="O520">
        <f>IF($P520="","",INDEX(상세표[월 넘김 포함],$P520)&amp;"")</f>
        <v/>
      </c>
      <c r="P520" s="4">
        <f>IFERROR(MATCH(515,상세표[연속순번],0),"")</f>
        <v/>
      </c>
    </row>
    <row r="521">
      <c r="A521">
        <f>IF($P521="","",INDEX(상세표[사번],$P521)&amp;"")</f>
        <v/>
      </c>
      <c r="B521">
        <f>IF($P521="","",INDEX(상세표[성명],$P521)&amp;"")</f>
        <v/>
      </c>
      <c r="C521">
        <f>IF($P521="","",INDEX(상세표[부서],$P521)&amp;"")</f>
        <v/>
      </c>
      <c r="D521">
        <f>IF($P521="","",INDEX(상세표[직위],$P521)&amp;"")</f>
        <v/>
      </c>
      <c r="E521">
        <f>IF($P521="","",IF(ISNUMBER(INDEX(상세표[시작],$P521)),TEXT(INDEX(상세표[시작],$P521),"yyyy-mm-dd hh:mm"),INDEX(상세표[시작],$P521)&amp;""))</f>
        <v/>
      </c>
      <c r="F521">
        <f>IF($P521="","",IF(ISNUMBER(INDEX(상세표[블록종료],$P521)),TEXT(INDEX(상세표[블록종료],$P521),"yyyy-mm-dd hh:mm"),INDEX(상세표[블록종료],$P521)&amp;""))</f>
        <v/>
      </c>
      <c r="G521">
        <f>IF($P521="","",CHOOSE(WEEKDAY(INDEX(상세표[시작],$P521)),"일","월","화","수","목","금","토"))</f>
        <v/>
      </c>
      <c r="H521">
        <f>IF($P521="","",INDEX(상세표[연속 시간],$P521))</f>
        <v/>
      </c>
      <c r="I521">
        <f>IF($P521="","",INDEX(상세표[기록 수],$P521))</f>
        <v/>
      </c>
      <c r="J521">
        <f>IF($P521="","",INDEX(상세표[블록 06~07시],$P521))</f>
        <v/>
      </c>
      <c r="K521">
        <f>IF($P521="","",INDEX(상세표[블록 07~18시],$P521))</f>
        <v/>
      </c>
      <c r="L521">
        <f>IF($P521="","",INDEX(상세표[블록 18~22시],$P521))</f>
        <v/>
      </c>
      <c r="M521">
        <f>IF($P521="","",INDEX(상세표[블록 22~06시],$P521))</f>
        <v/>
      </c>
      <c r="N521">
        <f>IF($P521="","",INDEX(상세표[주말·휴일 포함],$P521)&amp;"")</f>
        <v/>
      </c>
      <c r="O521">
        <f>IF($P521="","",INDEX(상세표[월 넘김 포함],$P521)&amp;"")</f>
        <v/>
      </c>
      <c r="P521" s="4">
        <f>IFERROR(MATCH(516,상세표[연속순번],0),"")</f>
        <v/>
      </c>
    </row>
    <row r="522">
      <c r="A522">
        <f>IF($P522="","",INDEX(상세표[사번],$P522)&amp;"")</f>
        <v/>
      </c>
      <c r="B522">
        <f>IF($P522="","",INDEX(상세표[성명],$P522)&amp;"")</f>
        <v/>
      </c>
      <c r="C522">
        <f>IF($P522="","",INDEX(상세표[부서],$P522)&amp;"")</f>
        <v/>
      </c>
      <c r="D522">
        <f>IF($P522="","",INDEX(상세표[직위],$P522)&amp;"")</f>
        <v/>
      </c>
      <c r="E522">
        <f>IF($P522="","",IF(ISNUMBER(INDEX(상세표[시작],$P522)),TEXT(INDEX(상세표[시작],$P522),"yyyy-mm-dd hh:mm"),INDEX(상세표[시작],$P522)&amp;""))</f>
        <v/>
      </c>
      <c r="F522">
        <f>IF($P522="","",IF(ISNUMBER(INDEX(상세표[블록종료],$P522)),TEXT(INDEX(상세표[블록종료],$P522),"yyyy-mm-dd hh:mm"),INDEX(상세표[블록종료],$P522)&amp;""))</f>
        <v/>
      </c>
      <c r="G522">
        <f>IF($P522="","",CHOOSE(WEEKDAY(INDEX(상세표[시작],$P522)),"일","월","화","수","목","금","토"))</f>
        <v/>
      </c>
      <c r="H522">
        <f>IF($P522="","",INDEX(상세표[연속 시간],$P522))</f>
        <v/>
      </c>
      <c r="I522">
        <f>IF($P522="","",INDEX(상세표[기록 수],$P522))</f>
        <v/>
      </c>
      <c r="J522">
        <f>IF($P522="","",INDEX(상세표[블록 06~07시],$P522))</f>
        <v/>
      </c>
      <c r="K522">
        <f>IF($P522="","",INDEX(상세표[블록 07~18시],$P522))</f>
        <v/>
      </c>
      <c r="L522">
        <f>IF($P522="","",INDEX(상세표[블록 18~22시],$P522))</f>
        <v/>
      </c>
      <c r="M522">
        <f>IF($P522="","",INDEX(상세표[블록 22~06시],$P522))</f>
        <v/>
      </c>
      <c r="N522">
        <f>IF($P522="","",INDEX(상세표[주말·휴일 포함],$P522)&amp;"")</f>
        <v/>
      </c>
      <c r="O522">
        <f>IF($P522="","",INDEX(상세표[월 넘김 포함],$P522)&amp;"")</f>
        <v/>
      </c>
      <c r="P522" s="4">
        <f>IFERROR(MATCH(517,상세표[연속순번],0),"")</f>
        <v/>
      </c>
    </row>
    <row r="523">
      <c r="A523">
        <f>IF($P523="","",INDEX(상세표[사번],$P523)&amp;"")</f>
        <v/>
      </c>
      <c r="B523">
        <f>IF($P523="","",INDEX(상세표[성명],$P523)&amp;"")</f>
        <v/>
      </c>
      <c r="C523">
        <f>IF($P523="","",INDEX(상세표[부서],$P523)&amp;"")</f>
        <v/>
      </c>
      <c r="D523">
        <f>IF($P523="","",INDEX(상세표[직위],$P523)&amp;"")</f>
        <v/>
      </c>
      <c r="E523">
        <f>IF($P523="","",IF(ISNUMBER(INDEX(상세표[시작],$P523)),TEXT(INDEX(상세표[시작],$P523),"yyyy-mm-dd hh:mm"),INDEX(상세표[시작],$P523)&amp;""))</f>
        <v/>
      </c>
      <c r="F523">
        <f>IF($P523="","",IF(ISNUMBER(INDEX(상세표[블록종료],$P523)),TEXT(INDEX(상세표[블록종료],$P523),"yyyy-mm-dd hh:mm"),INDEX(상세표[블록종료],$P523)&amp;""))</f>
        <v/>
      </c>
      <c r="G523">
        <f>IF($P523="","",CHOOSE(WEEKDAY(INDEX(상세표[시작],$P523)),"일","월","화","수","목","금","토"))</f>
        <v/>
      </c>
      <c r="H523">
        <f>IF($P523="","",INDEX(상세표[연속 시간],$P523))</f>
        <v/>
      </c>
      <c r="I523">
        <f>IF($P523="","",INDEX(상세표[기록 수],$P523))</f>
        <v/>
      </c>
      <c r="J523">
        <f>IF($P523="","",INDEX(상세표[블록 06~07시],$P523))</f>
        <v/>
      </c>
      <c r="K523">
        <f>IF($P523="","",INDEX(상세표[블록 07~18시],$P523))</f>
        <v/>
      </c>
      <c r="L523">
        <f>IF($P523="","",INDEX(상세표[블록 18~22시],$P523))</f>
        <v/>
      </c>
      <c r="M523">
        <f>IF($P523="","",INDEX(상세표[블록 22~06시],$P523))</f>
        <v/>
      </c>
      <c r="N523">
        <f>IF($P523="","",INDEX(상세표[주말·휴일 포함],$P523)&amp;"")</f>
        <v/>
      </c>
      <c r="O523">
        <f>IF($P523="","",INDEX(상세표[월 넘김 포함],$P523)&amp;"")</f>
        <v/>
      </c>
      <c r="P523" s="4">
        <f>IFERROR(MATCH(518,상세표[연속순번],0),"")</f>
        <v/>
      </c>
    </row>
    <row r="524">
      <c r="A524">
        <f>IF($P524="","",INDEX(상세표[사번],$P524)&amp;"")</f>
        <v/>
      </c>
      <c r="B524">
        <f>IF($P524="","",INDEX(상세표[성명],$P524)&amp;"")</f>
        <v/>
      </c>
      <c r="C524">
        <f>IF($P524="","",INDEX(상세표[부서],$P524)&amp;"")</f>
        <v/>
      </c>
      <c r="D524">
        <f>IF($P524="","",INDEX(상세표[직위],$P524)&amp;"")</f>
        <v/>
      </c>
      <c r="E524">
        <f>IF($P524="","",IF(ISNUMBER(INDEX(상세표[시작],$P524)),TEXT(INDEX(상세표[시작],$P524),"yyyy-mm-dd hh:mm"),INDEX(상세표[시작],$P524)&amp;""))</f>
        <v/>
      </c>
      <c r="F524">
        <f>IF($P524="","",IF(ISNUMBER(INDEX(상세표[블록종료],$P524)),TEXT(INDEX(상세표[블록종료],$P524),"yyyy-mm-dd hh:mm"),INDEX(상세표[블록종료],$P524)&amp;""))</f>
        <v/>
      </c>
      <c r="G524">
        <f>IF($P524="","",CHOOSE(WEEKDAY(INDEX(상세표[시작],$P524)),"일","월","화","수","목","금","토"))</f>
        <v/>
      </c>
      <c r="H524">
        <f>IF($P524="","",INDEX(상세표[연속 시간],$P524))</f>
        <v/>
      </c>
      <c r="I524">
        <f>IF($P524="","",INDEX(상세표[기록 수],$P524))</f>
        <v/>
      </c>
      <c r="J524">
        <f>IF($P524="","",INDEX(상세표[블록 06~07시],$P524))</f>
        <v/>
      </c>
      <c r="K524">
        <f>IF($P524="","",INDEX(상세표[블록 07~18시],$P524))</f>
        <v/>
      </c>
      <c r="L524">
        <f>IF($P524="","",INDEX(상세표[블록 18~22시],$P524))</f>
        <v/>
      </c>
      <c r="M524">
        <f>IF($P524="","",INDEX(상세표[블록 22~06시],$P524))</f>
        <v/>
      </c>
      <c r="N524">
        <f>IF($P524="","",INDEX(상세표[주말·휴일 포함],$P524)&amp;"")</f>
        <v/>
      </c>
      <c r="O524">
        <f>IF($P524="","",INDEX(상세표[월 넘김 포함],$P524)&amp;"")</f>
        <v/>
      </c>
      <c r="P524" s="4">
        <f>IFERROR(MATCH(519,상세표[연속순번],0),"")</f>
        <v/>
      </c>
    </row>
    <row r="525">
      <c r="A525">
        <f>IF($P525="","",INDEX(상세표[사번],$P525)&amp;"")</f>
        <v/>
      </c>
      <c r="B525">
        <f>IF($P525="","",INDEX(상세표[성명],$P525)&amp;"")</f>
        <v/>
      </c>
      <c r="C525">
        <f>IF($P525="","",INDEX(상세표[부서],$P525)&amp;"")</f>
        <v/>
      </c>
      <c r="D525">
        <f>IF($P525="","",INDEX(상세표[직위],$P525)&amp;"")</f>
        <v/>
      </c>
      <c r="E525">
        <f>IF($P525="","",IF(ISNUMBER(INDEX(상세표[시작],$P525)),TEXT(INDEX(상세표[시작],$P525),"yyyy-mm-dd hh:mm"),INDEX(상세표[시작],$P525)&amp;""))</f>
        <v/>
      </c>
      <c r="F525">
        <f>IF($P525="","",IF(ISNUMBER(INDEX(상세표[블록종료],$P525)),TEXT(INDEX(상세표[블록종료],$P525),"yyyy-mm-dd hh:mm"),INDEX(상세표[블록종료],$P525)&amp;""))</f>
        <v/>
      </c>
      <c r="G525">
        <f>IF($P525="","",CHOOSE(WEEKDAY(INDEX(상세표[시작],$P525)),"일","월","화","수","목","금","토"))</f>
        <v/>
      </c>
      <c r="H525">
        <f>IF($P525="","",INDEX(상세표[연속 시간],$P525))</f>
        <v/>
      </c>
      <c r="I525">
        <f>IF($P525="","",INDEX(상세표[기록 수],$P525))</f>
        <v/>
      </c>
      <c r="J525">
        <f>IF($P525="","",INDEX(상세표[블록 06~07시],$P525))</f>
        <v/>
      </c>
      <c r="K525">
        <f>IF($P525="","",INDEX(상세표[블록 07~18시],$P525))</f>
        <v/>
      </c>
      <c r="L525">
        <f>IF($P525="","",INDEX(상세표[블록 18~22시],$P525))</f>
        <v/>
      </c>
      <c r="M525">
        <f>IF($P525="","",INDEX(상세표[블록 22~06시],$P525))</f>
        <v/>
      </c>
      <c r="N525">
        <f>IF($P525="","",INDEX(상세표[주말·휴일 포함],$P525)&amp;"")</f>
        <v/>
      </c>
      <c r="O525">
        <f>IF($P525="","",INDEX(상세표[월 넘김 포함],$P525)&amp;"")</f>
        <v/>
      </c>
      <c r="P525" s="4">
        <f>IFERROR(MATCH(520,상세표[연속순번],0),"")</f>
        <v/>
      </c>
    </row>
    <row r="526">
      <c r="A526">
        <f>IF($P526="","",INDEX(상세표[사번],$P526)&amp;"")</f>
        <v/>
      </c>
      <c r="B526">
        <f>IF($P526="","",INDEX(상세표[성명],$P526)&amp;"")</f>
        <v/>
      </c>
      <c r="C526">
        <f>IF($P526="","",INDEX(상세표[부서],$P526)&amp;"")</f>
        <v/>
      </c>
      <c r="D526">
        <f>IF($P526="","",INDEX(상세표[직위],$P526)&amp;"")</f>
        <v/>
      </c>
      <c r="E526">
        <f>IF($P526="","",IF(ISNUMBER(INDEX(상세표[시작],$P526)),TEXT(INDEX(상세표[시작],$P526),"yyyy-mm-dd hh:mm"),INDEX(상세표[시작],$P526)&amp;""))</f>
        <v/>
      </c>
      <c r="F526">
        <f>IF($P526="","",IF(ISNUMBER(INDEX(상세표[블록종료],$P526)),TEXT(INDEX(상세표[블록종료],$P526),"yyyy-mm-dd hh:mm"),INDEX(상세표[블록종료],$P526)&amp;""))</f>
        <v/>
      </c>
      <c r="G526">
        <f>IF($P526="","",CHOOSE(WEEKDAY(INDEX(상세표[시작],$P526)),"일","월","화","수","목","금","토"))</f>
        <v/>
      </c>
      <c r="H526">
        <f>IF($P526="","",INDEX(상세표[연속 시간],$P526))</f>
        <v/>
      </c>
      <c r="I526">
        <f>IF($P526="","",INDEX(상세표[기록 수],$P526))</f>
        <v/>
      </c>
      <c r="J526">
        <f>IF($P526="","",INDEX(상세표[블록 06~07시],$P526))</f>
        <v/>
      </c>
      <c r="K526">
        <f>IF($P526="","",INDEX(상세표[블록 07~18시],$P526))</f>
        <v/>
      </c>
      <c r="L526">
        <f>IF($P526="","",INDEX(상세표[블록 18~22시],$P526))</f>
        <v/>
      </c>
      <c r="M526">
        <f>IF($P526="","",INDEX(상세표[블록 22~06시],$P526))</f>
        <v/>
      </c>
      <c r="N526">
        <f>IF($P526="","",INDEX(상세표[주말·휴일 포함],$P526)&amp;"")</f>
        <v/>
      </c>
      <c r="O526">
        <f>IF($P526="","",INDEX(상세표[월 넘김 포함],$P526)&amp;"")</f>
        <v/>
      </c>
      <c r="P526" s="4">
        <f>IFERROR(MATCH(521,상세표[연속순번],0),"")</f>
        <v/>
      </c>
    </row>
    <row r="527">
      <c r="A527">
        <f>IF($P527="","",INDEX(상세표[사번],$P527)&amp;"")</f>
        <v/>
      </c>
      <c r="B527">
        <f>IF($P527="","",INDEX(상세표[성명],$P527)&amp;"")</f>
        <v/>
      </c>
      <c r="C527">
        <f>IF($P527="","",INDEX(상세표[부서],$P527)&amp;"")</f>
        <v/>
      </c>
      <c r="D527">
        <f>IF($P527="","",INDEX(상세표[직위],$P527)&amp;"")</f>
        <v/>
      </c>
      <c r="E527">
        <f>IF($P527="","",IF(ISNUMBER(INDEX(상세표[시작],$P527)),TEXT(INDEX(상세표[시작],$P527),"yyyy-mm-dd hh:mm"),INDEX(상세표[시작],$P527)&amp;""))</f>
        <v/>
      </c>
      <c r="F527">
        <f>IF($P527="","",IF(ISNUMBER(INDEX(상세표[블록종료],$P527)),TEXT(INDEX(상세표[블록종료],$P527),"yyyy-mm-dd hh:mm"),INDEX(상세표[블록종료],$P527)&amp;""))</f>
        <v/>
      </c>
      <c r="G527">
        <f>IF($P527="","",CHOOSE(WEEKDAY(INDEX(상세표[시작],$P527)),"일","월","화","수","목","금","토"))</f>
        <v/>
      </c>
      <c r="H527">
        <f>IF($P527="","",INDEX(상세표[연속 시간],$P527))</f>
        <v/>
      </c>
      <c r="I527">
        <f>IF($P527="","",INDEX(상세표[기록 수],$P527))</f>
        <v/>
      </c>
      <c r="J527">
        <f>IF($P527="","",INDEX(상세표[블록 06~07시],$P527))</f>
        <v/>
      </c>
      <c r="K527">
        <f>IF($P527="","",INDEX(상세표[블록 07~18시],$P527))</f>
        <v/>
      </c>
      <c r="L527">
        <f>IF($P527="","",INDEX(상세표[블록 18~22시],$P527))</f>
        <v/>
      </c>
      <c r="M527">
        <f>IF($P527="","",INDEX(상세표[블록 22~06시],$P527))</f>
        <v/>
      </c>
      <c r="N527">
        <f>IF($P527="","",INDEX(상세표[주말·휴일 포함],$P527)&amp;"")</f>
        <v/>
      </c>
      <c r="O527">
        <f>IF($P527="","",INDEX(상세표[월 넘김 포함],$P527)&amp;"")</f>
        <v/>
      </c>
      <c r="P527" s="4">
        <f>IFERROR(MATCH(522,상세표[연속순번],0),"")</f>
        <v/>
      </c>
    </row>
    <row r="528">
      <c r="A528">
        <f>IF($P528="","",INDEX(상세표[사번],$P528)&amp;"")</f>
        <v/>
      </c>
      <c r="B528">
        <f>IF($P528="","",INDEX(상세표[성명],$P528)&amp;"")</f>
        <v/>
      </c>
      <c r="C528">
        <f>IF($P528="","",INDEX(상세표[부서],$P528)&amp;"")</f>
        <v/>
      </c>
      <c r="D528">
        <f>IF($P528="","",INDEX(상세표[직위],$P528)&amp;"")</f>
        <v/>
      </c>
      <c r="E528">
        <f>IF($P528="","",IF(ISNUMBER(INDEX(상세표[시작],$P528)),TEXT(INDEX(상세표[시작],$P528),"yyyy-mm-dd hh:mm"),INDEX(상세표[시작],$P528)&amp;""))</f>
        <v/>
      </c>
      <c r="F528">
        <f>IF($P528="","",IF(ISNUMBER(INDEX(상세표[블록종료],$P528)),TEXT(INDEX(상세표[블록종료],$P528),"yyyy-mm-dd hh:mm"),INDEX(상세표[블록종료],$P528)&amp;""))</f>
        <v/>
      </c>
      <c r="G528">
        <f>IF($P528="","",CHOOSE(WEEKDAY(INDEX(상세표[시작],$P528)),"일","월","화","수","목","금","토"))</f>
        <v/>
      </c>
      <c r="H528">
        <f>IF($P528="","",INDEX(상세표[연속 시간],$P528))</f>
        <v/>
      </c>
      <c r="I528">
        <f>IF($P528="","",INDEX(상세표[기록 수],$P528))</f>
        <v/>
      </c>
      <c r="J528">
        <f>IF($P528="","",INDEX(상세표[블록 06~07시],$P528))</f>
        <v/>
      </c>
      <c r="K528">
        <f>IF($P528="","",INDEX(상세표[블록 07~18시],$P528))</f>
        <v/>
      </c>
      <c r="L528">
        <f>IF($P528="","",INDEX(상세표[블록 18~22시],$P528))</f>
        <v/>
      </c>
      <c r="M528">
        <f>IF($P528="","",INDEX(상세표[블록 22~06시],$P528))</f>
        <v/>
      </c>
      <c r="N528">
        <f>IF($P528="","",INDEX(상세표[주말·휴일 포함],$P528)&amp;"")</f>
        <v/>
      </c>
      <c r="O528">
        <f>IF($P528="","",INDEX(상세표[월 넘김 포함],$P528)&amp;"")</f>
        <v/>
      </c>
      <c r="P528" s="4">
        <f>IFERROR(MATCH(523,상세표[연속순번],0),"")</f>
        <v/>
      </c>
    </row>
    <row r="529">
      <c r="A529">
        <f>IF($P529="","",INDEX(상세표[사번],$P529)&amp;"")</f>
        <v/>
      </c>
      <c r="B529">
        <f>IF($P529="","",INDEX(상세표[성명],$P529)&amp;"")</f>
        <v/>
      </c>
      <c r="C529">
        <f>IF($P529="","",INDEX(상세표[부서],$P529)&amp;"")</f>
        <v/>
      </c>
      <c r="D529">
        <f>IF($P529="","",INDEX(상세표[직위],$P529)&amp;"")</f>
        <v/>
      </c>
      <c r="E529">
        <f>IF($P529="","",IF(ISNUMBER(INDEX(상세표[시작],$P529)),TEXT(INDEX(상세표[시작],$P529),"yyyy-mm-dd hh:mm"),INDEX(상세표[시작],$P529)&amp;""))</f>
        <v/>
      </c>
      <c r="F529">
        <f>IF($P529="","",IF(ISNUMBER(INDEX(상세표[블록종료],$P529)),TEXT(INDEX(상세표[블록종료],$P529),"yyyy-mm-dd hh:mm"),INDEX(상세표[블록종료],$P529)&amp;""))</f>
        <v/>
      </c>
      <c r="G529">
        <f>IF($P529="","",CHOOSE(WEEKDAY(INDEX(상세표[시작],$P529)),"일","월","화","수","목","금","토"))</f>
        <v/>
      </c>
      <c r="H529">
        <f>IF($P529="","",INDEX(상세표[연속 시간],$P529))</f>
        <v/>
      </c>
      <c r="I529">
        <f>IF($P529="","",INDEX(상세표[기록 수],$P529))</f>
        <v/>
      </c>
      <c r="J529">
        <f>IF($P529="","",INDEX(상세표[블록 06~07시],$P529))</f>
        <v/>
      </c>
      <c r="K529">
        <f>IF($P529="","",INDEX(상세표[블록 07~18시],$P529))</f>
        <v/>
      </c>
      <c r="L529">
        <f>IF($P529="","",INDEX(상세표[블록 18~22시],$P529))</f>
        <v/>
      </c>
      <c r="M529">
        <f>IF($P529="","",INDEX(상세표[블록 22~06시],$P529))</f>
        <v/>
      </c>
      <c r="N529">
        <f>IF($P529="","",INDEX(상세표[주말·휴일 포함],$P529)&amp;"")</f>
        <v/>
      </c>
      <c r="O529">
        <f>IF($P529="","",INDEX(상세표[월 넘김 포함],$P529)&amp;"")</f>
        <v/>
      </c>
      <c r="P529" s="4">
        <f>IFERROR(MATCH(524,상세표[연속순번],0),"")</f>
        <v/>
      </c>
    </row>
    <row r="530">
      <c r="A530">
        <f>IF($P530="","",INDEX(상세표[사번],$P530)&amp;"")</f>
        <v/>
      </c>
      <c r="B530">
        <f>IF($P530="","",INDEX(상세표[성명],$P530)&amp;"")</f>
        <v/>
      </c>
      <c r="C530">
        <f>IF($P530="","",INDEX(상세표[부서],$P530)&amp;"")</f>
        <v/>
      </c>
      <c r="D530">
        <f>IF($P530="","",INDEX(상세표[직위],$P530)&amp;"")</f>
        <v/>
      </c>
      <c r="E530">
        <f>IF($P530="","",IF(ISNUMBER(INDEX(상세표[시작],$P530)),TEXT(INDEX(상세표[시작],$P530),"yyyy-mm-dd hh:mm"),INDEX(상세표[시작],$P530)&amp;""))</f>
        <v/>
      </c>
      <c r="F530">
        <f>IF($P530="","",IF(ISNUMBER(INDEX(상세표[블록종료],$P530)),TEXT(INDEX(상세표[블록종료],$P530),"yyyy-mm-dd hh:mm"),INDEX(상세표[블록종료],$P530)&amp;""))</f>
        <v/>
      </c>
      <c r="G530">
        <f>IF($P530="","",CHOOSE(WEEKDAY(INDEX(상세표[시작],$P530)),"일","월","화","수","목","금","토"))</f>
        <v/>
      </c>
      <c r="H530">
        <f>IF($P530="","",INDEX(상세표[연속 시간],$P530))</f>
        <v/>
      </c>
      <c r="I530">
        <f>IF($P530="","",INDEX(상세표[기록 수],$P530))</f>
        <v/>
      </c>
      <c r="J530">
        <f>IF($P530="","",INDEX(상세표[블록 06~07시],$P530))</f>
        <v/>
      </c>
      <c r="K530">
        <f>IF($P530="","",INDEX(상세표[블록 07~18시],$P530))</f>
        <v/>
      </c>
      <c r="L530">
        <f>IF($P530="","",INDEX(상세표[블록 18~22시],$P530))</f>
        <v/>
      </c>
      <c r="M530">
        <f>IF($P530="","",INDEX(상세표[블록 22~06시],$P530))</f>
        <v/>
      </c>
      <c r="N530">
        <f>IF($P530="","",INDEX(상세표[주말·휴일 포함],$P530)&amp;"")</f>
        <v/>
      </c>
      <c r="O530">
        <f>IF($P530="","",INDEX(상세표[월 넘김 포함],$P530)&amp;"")</f>
        <v/>
      </c>
      <c r="P530" s="4">
        <f>IFERROR(MATCH(525,상세표[연속순번],0),"")</f>
        <v/>
      </c>
    </row>
    <row r="531">
      <c r="A531">
        <f>IF($P531="","",INDEX(상세표[사번],$P531)&amp;"")</f>
        <v/>
      </c>
      <c r="B531">
        <f>IF($P531="","",INDEX(상세표[성명],$P531)&amp;"")</f>
        <v/>
      </c>
      <c r="C531">
        <f>IF($P531="","",INDEX(상세표[부서],$P531)&amp;"")</f>
        <v/>
      </c>
      <c r="D531">
        <f>IF($P531="","",INDEX(상세표[직위],$P531)&amp;"")</f>
        <v/>
      </c>
      <c r="E531">
        <f>IF($P531="","",IF(ISNUMBER(INDEX(상세표[시작],$P531)),TEXT(INDEX(상세표[시작],$P531),"yyyy-mm-dd hh:mm"),INDEX(상세표[시작],$P531)&amp;""))</f>
        <v/>
      </c>
      <c r="F531">
        <f>IF($P531="","",IF(ISNUMBER(INDEX(상세표[블록종료],$P531)),TEXT(INDEX(상세표[블록종료],$P531),"yyyy-mm-dd hh:mm"),INDEX(상세표[블록종료],$P531)&amp;""))</f>
        <v/>
      </c>
      <c r="G531">
        <f>IF($P531="","",CHOOSE(WEEKDAY(INDEX(상세표[시작],$P531)),"일","월","화","수","목","금","토"))</f>
        <v/>
      </c>
      <c r="H531">
        <f>IF($P531="","",INDEX(상세표[연속 시간],$P531))</f>
        <v/>
      </c>
      <c r="I531">
        <f>IF($P531="","",INDEX(상세표[기록 수],$P531))</f>
        <v/>
      </c>
      <c r="J531">
        <f>IF($P531="","",INDEX(상세표[블록 06~07시],$P531))</f>
        <v/>
      </c>
      <c r="K531">
        <f>IF($P531="","",INDEX(상세표[블록 07~18시],$P531))</f>
        <v/>
      </c>
      <c r="L531">
        <f>IF($P531="","",INDEX(상세표[블록 18~22시],$P531))</f>
        <v/>
      </c>
      <c r="M531">
        <f>IF($P531="","",INDEX(상세표[블록 22~06시],$P531))</f>
        <v/>
      </c>
      <c r="N531">
        <f>IF($P531="","",INDEX(상세표[주말·휴일 포함],$P531)&amp;"")</f>
        <v/>
      </c>
      <c r="O531">
        <f>IF($P531="","",INDEX(상세표[월 넘김 포함],$P531)&amp;"")</f>
        <v/>
      </c>
      <c r="P531" s="4">
        <f>IFERROR(MATCH(526,상세표[연속순번],0),"")</f>
        <v/>
      </c>
    </row>
    <row r="532">
      <c r="A532">
        <f>IF($P532="","",INDEX(상세표[사번],$P532)&amp;"")</f>
        <v/>
      </c>
      <c r="B532">
        <f>IF($P532="","",INDEX(상세표[성명],$P532)&amp;"")</f>
        <v/>
      </c>
      <c r="C532">
        <f>IF($P532="","",INDEX(상세표[부서],$P532)&amp;"")</f>
        <v/>
      </c>
      <c r="D532">
        <f>IF($P532="","",INDEX(상세표[직위],$P532)&amp;"")</f>
        <v/>
      </c>
      <c r="E532">
        <f>IF($P532="","",IF(ISNUMBER(INDEX(상세표[시작],$P532)),TEXT(INDEX(상세표[시작],$P532),"yyyy-mm-dd hh:mm"),INDEX(상세표[시작],$P532)&amp;""))</f>
        <v/>
      </c>
      <c r="F532">
        <f>IF($P532="","",IF(ISNUMBER(INDEX(상세표[블록종료],$P532)),TEXT(INDEX(상세표[블록종료],$P532),"yyyy-mm-dd hh:mm"),INDEX(상세표[블록종료],$P532)&amp;""))</f>
        <v/>
      </c>
      <c r="G532">
        <f>IF($P532="","",CHOOSE(WEEKDAY(INDEX(상세표[시작],$P532)),"일","월","화","수","목","금","토"))</f>
        <v/>
      </c>
      <c r="H532">
        <f>IF($P532="","",INDEX(상세표[연속 시간],$P532))</f>
        <v/>
      </c>
      <c r="I532">
        <f>IF($P532="","",INDEX(상세표[기록 수],$P532))</f>
        <v/>
      </c>
      <c r="J532">
        <f>IF($P532="","",INDEX(상세표[블록 06~07시],$P532))</f>
        <v/>
      </c>
      <c r="K532">
        <f>IF($P532="","",INDEX(상세표[블록 07~18시],$P532))</f>
        <v/>
      </c>
      <c r="L532">
        <f>IF($P532="","",INDEX(상세표[블록 18~22시],$P532))</f>
        <v/>
      </c>
      <c r="M532">
        <f>IF($P532="","",INDEX(상세표[블록 22~06시],$P532))</f>
        <v/>
      </c>
      <c r="N532">
        <f>IF($P532="","",INDEX(상세표[주말·휴일 포함],$P532)&amp;"")</f>
        <v/>
      </c>
      <c r="O532">
        <f>IF($P532="","",INDEX(상세표[월 넘김 포함],$P532)&amp;"")</f>
        <v/>
      </c>
      <c r="P532" s="4">
        <f>IFERROR(MATCH(527,상세표[연속순번],0),"")</f>
        <v/>
      </c>
    </row>
    <row r="533">
      <c r="A533">
        <f>IF($P533="","",INDEX(상세표[사번],$P533)&amp;"")</f>
        <v/>
      </c>
      <c r="B533">
        <f>IF($P533="","",INDEX(상세표[성명],$P533)&amp;"")</f>
        <v/>
      </c>
      <c r="C533">
        <f>IF($P533="","",INDEX(상세표[부서],$P533)&amp;"")</f>
        <v/>
      </c>
      <c r="D533">
        <f>IF($P533="","",INDEX(상세표[직위],$P533)&amp;"")</f>
        <v/>
      </c>
      <c r="E533">
        <f>IF($P533="","",IF(ISNUMBER(INDEX(상세표[시작],$P533)),TEXT(INDEX(상세표[시작],$P533),"yyyy-mm-dd hh:mm"),INDEX(상세표[시작],$P533)&amp;""))</f>
        <v/>
      </c>
      <c r="F533">
        <f>IF($P533="","",IF(ISNUMBER(INDEX(상세표[블록종료],$P533)),TEXT(INDEX(상세표[블록종료],$P533),"yyyy-mm-dd hh:mm"),INDEX(상세표[블록종료],$P533)&amp;""))</f>
        <v/>
      </c>
      <c r="G533">
        <f>IF($P533="","",CHOOSE(WEEKDAY(INDEX(상세표[시작],$P533)),"일","월","화","수","목","금","토"))</f>
        <v/>
      </c>
      <c r="H533">
        <f>IF($P533="","",INDEX(상세표[연속 시간],$P533))</f>
        <v/>
      </c>
      <c r="I533">
        <f>IF($P533="","",INDEX(상세표[기록 수],$P533))</f>
        <v/>
      </c>
      <c r="J533">
        <f>IF($P533="","",INDEX(상세표[블록 06~07시],$P533))</f>
        <v/>
      </c>
      <c r="K533">
        <f>IF($P533="","",INDEX(상세표[블록 07~18시],$P533))</f>
        <v/>
      </c>
      <c r="L533">
        <f>IF($P533="","",INDEX(상세표[블록 18~22시],$P533))</f>
        <v/>
      </c>
      <c r="M533">
        <f>IF($P533="","",INDEX(상세표[블록 22~06시],$P533))</f>
        <v/>
      </c>
      <c r="N533">
        <f>IF($P533="","",INDEX(상세표[주말·휴일 포함],$P533)&amp;"")</f>
        <v/>
      </c>
      <c r="O533">
        <f>IF($P533="","",INDEX(상세표[월 넘김 포함],$P533)&amp;"")</f>
        <v/>
      </c>
      <c r="P533" s="4">
        <f>IFERROR(MATCH(528,상세표[연속순번],0),"")</f>
        <v/>
      </c>
    </row>
    <row r="534">
      <c r="A534">
        <f>IF($P534="","",INDEX(상세표[사번],$P534)&amp;"")</f>
        <v/>
      </c>
      <c r="B534">
        <f>IF($P534="","",INDEX(상세표[성명],$P534)&amp;"")</f>
        <v/>
      </c>
      <c r="C534">
        <f>IF($P534="","",INDEX(상세표[부서],$P534)&amp;"")</f>
        <v/>
      </c>
      <c r="D534">
        <f>IF($P534="","",INDEX(상세표[직위],$P534)&amp;"")</f>
        <v/>
      </c>
      <c r="E534">
        <f>IF($P534="","",IF(ISNUMBER(INDEX(상세표[시작],$P534)),TEXT(INDEX(상세표[시작],$P534),"yyyy-mm-dd hh:mm"),INDEX(상세표[시작],$P534)&amp;""))</f>
        <v/>
      </c>
      <c r="F534">
        <f>IF($P534="","",IF(ISNUMBER(INDEX(상세표[블록종료],$P534)),TEXT(INDEX(상세표[블록종료],$P534),"yyyy-mm-dd hh:mm"),INDEX(상세표[블록종료],$P534)&amp;""))</f>
        <v/>
      </c>
      <c r="G534">
        <f>IF($P534="","",CHOOSE(WEEKDAY(INDEX(상세표[시작],$P534)),"일","월","화","수","목","금","토"))</f>
        <v/>
      </c>
      <c r="H534">
        <f>IF($P534="","",INDEX(상세표[연속 시간],$P534))</f>
        <v/>
      </c>
      <c r="I534">
        <f>IF($P534="","",INDEX(상세표[기록 수],$P534))</f>
        <v/>
      </c>
      <c r="J534">
        <f>IF($P534="","",INDEX(상세표[블록 06~07시],$P534))</f>
        <v/>
      </c>
      <c r="K534">
        <f>IF($P534="","",INDEX(상세표[블록 07~18시],$P534))</f>
        <v/>
      </c>
      <c r="L534">
        <f>IF($P534="","",INDEX(상세표[블록 18~22시],$P534))</f>
        <v/>
      </c>
      <c r="M534">
        <f>IF($P534="","",INDEX(상세표[블록 22~06시],$P534))</f>
        <v/>
      </c>
      <c r="N534">
        <f>IF($P534="","",INDEX(상세표[주말·휴일 포함],$P534)&amp;"")</f>
        <v/>
      </c>
      <c r="O534">
        <f>IF($P534="","",INDEX(상세표[월 넘김 포함],$P534)&amp;"")</f>
        <v/>
      </c>
      <c r="P534" s="4">
        <f>IFERROR(MATCH(529,상세표[연속순번],0),"")</f>
        <v/>
      </c>
    </row>
    <row r="535">
      <c r="A535">
        <f>IF($P535="","",INDEX(상세표[사번],$P535)&amp;"")</f>
        <v/>
      </c>
      <c r="B535">
        <f>IF($P535="","",INDEX(상세표[성명],$P535)&amp;"")</f>
        <v/>
      </c>
      <c r="C535">
        <f>IF($P535="","",INDEX(상세표[부서],$P535)&amp;"")</f>
        <v/>
      </c>
      <c r="D535">
        <f>IF($P535="","",INDEX(상세표[직위],$P535)&amp;"")</f>
        <v/>
      </c>
      <c r="E535">
        <f>IF($P535="","",IF(ISNUMBER(INDEX(상세표[시작],$P535)),TEXT(INDEX(상세표[시작],$P535),"yyyy-mm-dd hh:mm"),INDEX(상세표[시작],$P535)&amp;""))</f>
        <v/>
      </c>
      <c r="F535">
        <f>IF($P535="","",IF(ISNUMBER(INDEX(상세표[블록종료],$P535)),TEXT(INDEX(상세표[블록종료],$P535),"yyyy-mm-dd hh:mm"),INDEX(상세표[블록종료],$P535)&amp;""))</f>
        <v/>
      </c>
      <c r="G535">
        <f>IF($P535="","",CHOOSE(WEEKDAY(INDEX(상세표[시작],$P535)),"일","월","화","수","목","금","토"))</f>
        <v/>
      </c>
      <c r="H535">
        <f>IF($P535="","",INDEX(상세표[연속 시간],$P535))</f>
        <v/>
      </c>
      <c r="I535">
        <f>IF($P535="","",INDEX(상세표[기록 수],$P535))</f>
        <v/>
      </c>
      <c r="J535">
        <f>IF($P535="","",INDEX(상세표[블록 06~07시],$P535))</f>
        <v/>
      </c>
      <c r="K535">
        <f>IF($P535="","",INDEX(상세표[블록 07~18시],$P535))</f>
        <v/>
      </c>
      <c r="L535">
        <f>IF($P535="","",INDEX(상세표[블록 18~22시],$P535))</f>
        <v/>
      </c>
      <c r="M535">
        <f>IF($P535="","",INDEX(상세표[블록 22~06시],$P535))</f>
        <v/>
      </c>
      <c r="N535">
        <f>IF($P535="","",INDEX(상세표[주말·휴일 포함],$P535)&amp;"")</f>
        <v/>
      </c>
      <c r="O535">
        <f>IF($P535="","",INDEX(상세표[월 넘김 포함],$P535)&amp;"")</f>
        <v/>
      </c>
      <c r="P535" s="4">
        <f>IFERROR(MATCH(530,상세표[연속순번],0),"")</f>
        <v/>
      </c>
    </row>
    <row r="536">
      <c r="A536">
        <f>IF($P536="","",INDEX(상세표[사번],$P536)&amp;"")</f>
        <v/>
      </c>
      <c r="B536">
        <f>IF($P536="","",INDEX(상세표[성명],$P536)&amp;"")</f>
        <v/>
      </c>
      <c r="C536">
        <f>IF($P536="","",INDEX(상세표[부서],$P536)&amp;"")</f>
        <v/>
      </c>
      <c r="D536">
        <f>IF($P536="","",INDEX(상세표[직위],$P536)&amp;"")</f>
        <v/>
      </c>
      <c r="E536">
        <f>IF($P536="","",IF(ISNUMBER(INDEX(상세표[시작],$P536)),TEXT(INDEX(상세표[시작],$P536),"yyyy-mm-dd hh:mm"),INDEX(상세표[시작],$P536)&amp;""))</f>
        <v/>
      </c>
      <c r="F536">
        <f>IF($P536="","",IF(ISNUMBER(INDEX(상세표[블록종료],$P536)),TEXT(INDEX(상세표[블록종료],$P536),"yyyy-mm-dd hh:mm"),INDEX(상세표[블록종료],$P536)&amp;""))</f>
        <v/>
      </c>
      <c r="G536">
        <f>IF($P536="","",CHOOSE(WEEKDAY(INDEX(상세표[시작],$P536)),"일","월","화","수","목","금","토"))</f>
        <v/>
      </c>
      <c r="H536">
        <f>IF($P536="","",INDEX(상세표[연속 시간],$P536))</f>
        <v/>
      </c>
      <c r="I536">
        <f>IF($P536="","",INDEX(상세표[기록 수],$P536))</f>
        <v/>
      </c>
      <c r="J536">
        <f>IF($P536="","",INDEX(상세표[블록 06~07시],$P536))</f>
        <v/>
      </c>
      <c r="K536">
        <f>IF($P536="","",INDEX(상세표[블록 07~18시],$P536))</f>
        <v/>
      </c>
      <c r="L536">
        <f>IF($P536="","",INDEX(상세표[블록 18~22시],$P536))</f>
        <v/>
      </c>
      <c r="M536">
        <f>IF($P536="","",INDEX(상세표[블록 22~06시],$P536))</f>
        <v/>
      </c>
      <c r="N536">
        <f>IF($P536="","",INDEX(상세표[주말·휴일 포함],$P536)&amp;"")</f>
        <v/>
      </c>
      <c r="O536">
        <f>IF($P536="","",INDEX(상세표[월 넘김 포함],$P536)&amp;"")</f>
        <v/>
      </c>
      <c r="P536" s="4">
        <f>IFERROR(MATCH(531,상세표[연속순번],0),"")</f>
        <v/>
      </c>
    </row>
    <row r="537">
      <c r="A537">
        <f>IF($P537="","",INDEX(상세표[사번],$P537)&amp;"")</f>
        <v/>
      </c>
      <c r="B537">
        <f>IF($P537="","",INDEX(상세표[성명],$P537)&amp;"")</f>
        <v/>
      </c>
      <c r="C537">
        <f>IF($P537="","",INDEX(상세표[부서],$P537)&amp;"")</f>
        <v/>
      </c>
      <c r="D537">
        <f>IF($P537="","",INDEX(상세표[직위],$P537)&amp;"")</f>
        <v/>
      </c>
      <c r="E537">
        <f>IF($P537="","",IF(ISNUMBER(INDEX(상세표[시작],$P537)),TEXT(INDEX(상세표[시작],$P537),"yyyy-mm-dd hh:mm"),INDEX(상세표[시작],$P537)&amp;""))</f>
        <v/>
      </c>
      <c r="F537">
        <f>IF($P537="","",IF(ISNUMBER(INDEX(상세표[블록종료],$P537)),TEXT(INDEX(상세표[블록종료],$P537),"yyyy-mm-dd hh:mm"),INDEX(상세표[블록종료],$P537)&amp;""))</f>
        <v/>
      </c>
      <c r="G537">
        <f>IF($P537="","",CHOOSE(WEEKDAY(INDEX(상세표[시작],$P537)),"일","월","화","수","목","금","토"))</f>
        <v/>
      </c>
      <c r="H537">
        <f>IF($P537="","",INDEX(상세표[연속 시간],$P537))</f>
        <v/>
      </c>
      <c r="I537">
        <f>IF($P537="","",INDEX(상세표[기록 수],$P537))</f>
        <v/>
      </c>
      <c r="J537">
        <f>IF($P537="","",INDEX(상세표[블록 06~07시],$P537))</f>
        <v/>
      </c>
      <c r="K537">
        <f>IF($P537="","",INDEX(상세표[블록 07~18시],$P537))</f>
        <v/>
      </c>
      <c r="L537">
        <f>IF($P537="","",INDEX(상세표[블록 18~22시],$P537))</f>
        <v/>
      </c>
      <c r="M537">
        <f>IF($P537="","",INDEX(상세표[블록 22~06시],$P537))</f>
        <v/>
      </c>
      <c r="N537">
        <f>IF($P537="","",INDEX(상세표[주말·휴일 포함],$P537)&amp;"")</f>
        <v/>
      </c>
      <c r="O537">
        <f>IF($P537="","",INDEX(상세표[월 넘김 포함],$P537)&amp;"")</f>
        <v/>
      </c>
      <c r="P537" s="4">
        <f>IFERROR(MATCH(532,상세표[연속순번],0),"")</f>
        <v/>
      </c>
    </row>
    <row r="538">
      <c r="A538">
        <f>IF($P538="","",INDEX(상세표[사번],$P538)&amp;"")</f>
        <v/>
      </c>
      <c r="B538">
        <f>IF($P538="","",INDEX(상세표[성명],$P538)&amp;"")</f>
        <v/>
      </c>
      <c r="C538">
        <f>IF($P538="","",INDEX(상세표[부서],$P538)&amp;"")</f>
        <v/>
      </c>
      <c r="D538">
        <f>IF($P538="","",INDEX(상세표[직위],$P538)&amp;"")</f>
        <v/>
      </c>
      <c r="E538">
        <f>IF($P538="","",IF(ISNUMBER(INDEX(상세표[시작],$P538)),TEXT(INDEX(상세표[시작],$P538),"yyyy-mm-dd hh:mm"),INDEX(상세표[시작],$P538)&amp;""))</f>
        <v/>
      </c>
      <c r="F538">
        <f>IF($P538="","",IF(ISNUMBER(INDEX(상세표[블록종료],$P538)),TEXT(INDEX(상세표[블록종료],$P538),"yyyy-mm-dd hh:mm"),INDEX(상세표[블록종료],$P538)&amp;""))</f>
        <v/>
      </c>
      <c r="G538">
        <f>IF($P538="","",CHOOSE(WEEKDAY(INDEX(상세표[시작],$P538)),"일","월","화","수","목","금","토"))</f>
        <v/>
      </c>
      <c r="H538">
        <f>IF($P538="","",INDEX(상세표[연속 시간],$P538))</f>
        <v/>
      </c>
      <c r="I538">
        <f>IF($P538="","",INDEX(상세표[기록 수],$P538))</f>
        <v/>
      </c>
      <c r="J538">
        <f>IF($P538="","",INDEX(상세표[블록 06~07시],$P538))</f>
        <v/>
      </c>
      <c r="K538">
        <f>IF($P538="","",INDEX(상세표[블록 07~18시],$P538))</f>
        <v/>
      </c>
      <c r="L538">
        <f>IF($P538="","",INDEX(상세표[블록 18~22시],$P538))</f>
        <v/>
      </c>
      <c r="M538">
        <f>IF($P538="","",INDEX(상세표[블록 22~06시],$P538))</f>
        <v/>
      </c>
      <c r="N538">
        <f>IF($P538="","",INDEX(상세표[주말·휴일 포함],$P538)&amp;"")</f>
        <v/>
      </c>
      <c r="O538">
        <f>IF($P538="","",INDEX(상세표[월 넘김 포함],$P538)&amp;"")</f>
        <v/>
      </c>
      <c r="P538" s="4">
        <f>IFERROR(MATCH(533,상세표[연속순번],0),"")</f>
        <v/>
      </c>
    </row>
    <row r="539">
      <c r="A539">
        <f>IF($P539="","",INDEX(상세표[사번],$P539)&amp;"")</f>
        <v/>
      </c>
      <c r="B539">
        <f>IF($P539="","",INDEX(상세표[성명],$P539)&amp;"")</f>
        <v/>
      </c>
      <c r="C539">
        <f>IF($P539="","",INDEX(상세표[부서],$P539)&amp;"")</f>
        <v/>
      </c>
      <c r="D539">
        <f>IF($P539="","",INDEX(상세표[직위],$P539)&amp;"")</f>
        <v/>
      </c>
      <c r="E539">
        <f>IF($P539="","",IF(ISNUMBER(INDEX(상세표[시작],$P539)),TEXT(INDEX(상세표[시작],$P539),"yyyy-mm-dd hh:mm"),INDEX(상세표[시작],$P539)&amp;""))</f>
        <v/>
      </c>
      <c r="F539">
        <f>IF($P539="","",IF(ISNUMBER(INDEX(상세표[블록종료],$P539)),TEXT(INDEX(상세표[블록종료],$P539),"yyyy-mm-dd hh:mm"),INDEX(상세표[블록종료],$P539)&amp;""))</f>
        <v/>
      </c>
      <c r="G539">
        <f>IF($P539="","",CHOOSE(WEEKDAY(INDEX(상세표[시작],$P539)),"일","월","화","수","목","금","토"))</f>
        <v/>
      </c>
      <c r="H539">
        <f>IF($P539="","",INDEX(상세표[연속 시간],$P539))</f>
        <v/>
      </c>
      <c r="I539">
        <f>IF($P539="","",INDEX(상세표[기록 수],$P539))</f>
        <v/>
      </c>
      <c r="J539">
        <f>IF($P539="","",INDEX(상세표[블록 06~07시],$P539))</f>
        <v/>
      </c>
      <c r="K539">
        <f>IF($P539="","",INDEX(상세표[블록 07~18시],$P539))</f>
        <v/>
      </c>
      <c r="L539">
        <f>IF($P539="","",INDEX(상세표[블록 18~22시],$P539))</f>
        <v/>
      </c>
      <c r="M539">
        <f>IF($P539="","",INDEX(상세표[블록 22~06시],$P539))</f>
        <v/>
      </c>
      <c r="N539">
        <f>IF($P539="","",INDEX(상세표[주말·휴일 포함],$P539)&amp;"")</f>
        <v/>
      </c>
      <c r="O539">
        <f>IF($P539="","",INDEX(상세표[월 넘김 포함],$P539)&amp;"")</f>
        <v/>
      </c>
      <c r="P539" s="4">
        <f>IFERROR(MATCH(534,상세표[연속순번],0),"")</f>
        <v/>
      </c>
    </row>
    <row r="540">
      <c r="A540">
        <f>IF($P540="","",INDEX(상세표[사번],$P540)&amp;"")</f>
        <v/>
      </c>
      <c r="B540">
        <f>IF($P540="","",INDEX(상세표[성명],$P540)&amp;"")</f>
        <v/>
      </c>
      <c r="C540">
        <f>IF($P540="","",INDEX(상세표[부서],$P540)&amp;"")</f>
        <v/>
      </c>
      <c r="D540">
        <f>IF($P540="","",INDEX(상세표[직위],$P540)&amp;"")</f>
        <v/>
      </c>
      <c r="E540">
        <f>IF($P540="","",IF(ISNUMBER(INDEX(상세표[시작],$P540)),TEXT(INDEX(상세표[시작],$P540),"yyyy-mm-dd hh:mm"),INDEX(상세표[시작],$P540)&amp;""))</f>
        <v/>
      </c>
      <c r="F540">
        <f>IF($P540="","",IF(ISNUMBER(INDEX(상세표[블록종료],$P540)),TEXT(INDEX(상세표[블록종료],$P540),"yyyy-mm-dd hh:mm"),INDEX(상세표[블록종료],$P540)&amp;""))</f>
        <v/>
      </c>
      <c r="G540">
        <f>IF($P540="","",CHOOSE(WEEKDAY(INDEX(상세표[시작],$P540)),"일","월","화","수","목","금","토"))</f>
        <v/>
      </c>
      <c r="H540">
        <f>IF($P540="","",INDEX(상세표[연속 시간],$P540))</f>
        <v/>
      </c>
      <c r="I540">
        <f>IF($P540="","",INDEX(상세표[기록 수],$P540))</f>
        <v/>
      </c>
      <c r="J540">
        <f>IF($P540="","",INDEX(상세표[블록 06~07시],$P540))</f>
        <v/>
      </c>
      <c r="K540">
        <f>IF($P540="","",INDEX(상세표[블록 07~18시],$P540))</f>
        <v/>
      </c>
      <c r="L540">
        <f>IF($P540="","",INDEX(상세표[블록 18~22시],$P540))</f>
        <v/>
      </c>
      <c r="M540">
        <f>IF($P540="","",INDEX(상세표[블록 22~06시],$P540))</f>
        <v/>
      </c>
      <c r="N540">
        <f>IF($P540="","",INDEX(상세표[주말·휴일 포함],$P540)&amp;"")</f>
        <v/>
      </c>
      <c r="O540">
        <f>IF($P540="","",INDEX(상세표[월 넘김 포함],$P540)&amp;"")</f>
        <v/>
      </c>
      <c r="P540" s="4">
        <f>IFERROR(MATCH(535,상세표[연속순번],0),"")</f>
        <v/>
      </c>
    </row>
    <row r="541">
      <c r="A541">
        <f>IF($P541="","",INDEX(상세표[사번],$P541)&amp;"")</f>
        <v/>
      </c>
      <c r="B541">
        <f>IF($P541="","",INDEX(상세표[성명],$P541)&amp;"")</f>
        <v/>
      </c>
      <c r="C541">
        <f>IF($P541="","",INDEX(상세표[부서],$P541)&amp;"")</f>
        <v/>
      </c>
      <c r="D541">
        <f>IF($P541="","",INDEX(상세표[직위],$P541)&amp;"")</f>
        <v/>
      </c>
      <c r="E541">
        <f>IF($P541="","",IF(ISNUMBER(INDEX(상세표[시작],$P541)),TEXT(INDEX(상세표[시작],$P541),"yyyy-mm-dd hh:mm"),INDEX(상세표[시작],$P541)&amp;""))</f>
        <v/>
      </c>
      <c r="F541">
        <f>IF($P541="","",IF(ISNUMBER(INDEX(상세표[블록종료],$P541)),TEXT(INDEX(상세표[블록종료],$P541),"yyyy-mm-dd hh:mm"),INDEX(상세표[블록종료],$P541)&amp;""))</f>
        <v/>
      </c>
      <c r="G541">
        <f>IF($P541="","",CHOOSE(WEEKDAY(INDEX(상세표[시작],$P541)),"일","월","화","수","목","금","토"))</f>
        <v/>
      </c>
      <c r="H541">
        <f>IF($P541="","",INDEX(상세표[연속 시간],$P541))</f>
        <v/>
      </c>
      <c r="I541">
        <f>IF($P541="","",INDEX(상세표[기록 수],$P541))</f>
        <v/>
      </c>
      <c r="J541">
        <f>IF($P541="","",INDEX(상세표[블록 06~07시],$P541))</f>
        <v/>
      </c>
      <c r="K541">
        <f>IF($P541="","",INDEX(상세표[블록 07~18시],$P541))</f>
        <v/>
      </c>
      <c r="L541">
        <f>IF($P541="","",INDEX(상세표[블록 18~22시],$P541))</f>
        <v/>
      </c>
      <c r="M541">
        <f>IF($P541="","",INDEX(상세표[블록 22~06시],$P541))</f>
        <v/>
      </c>
      <c r="N541">
        <f>IF($P541="","",INDEX(상세표[주말·휴일 포함],$P541)&amp;"")</f>
        <v/>
      </c>
      <c r="O541">
        <f>IF($P541="","",INDEX(상세표[월 넘김 포함],$P541)&amp;"")</f>
        <v/>
      </c>
      <c r="P541" s="4">
        <f>IFERROR(MATCH(536,상세표[연속순번],0),"")</f>
        <v/>
      </c>
    </row>
    <row r="542">
      <c r="A542">
        <f>IF($P542="","",INDEX(상세표[사번],$P542)&amp;"")</f>
        <v/>
      </c>
      <c r="B542">
        <f>IF($P542="","",INDEX(상세표[성명],$P542)&amp;"")</f>
        <v/>
      </c>
      <c r="C542">
        <f>IF($P542="","",INDEX(상세표[부서],$P542)&amp;"")</f>
        <v/>
      </c>
      <c r="D542">
        <f>IF($P542="","",INDEX(상세표[직위],$P542)&amp;"")</f>
        <v/>
      </c>
      <c r="E542">
        <f>IF($P542="","",IF(ISNUMBER(INDEX(상세표[시작],$P542)),TEXT(INDEX(상세표[시작],$P542),"yyyy-mm-dd hh:mm"),INDEX(상세표[시작],$P542)&amp;""))</f>
        <v/>
      </c>
      <c r="F542">
        <f>IF($P542="","",IF(ISNUMBER(INDEX(상세표[블록종료],$P542)),TEXT(INDEX(상세표[블록종료],$P542),"yyyy-mm-dd hh:mm"),INDEX(상세표[블록종료],$P542)&amp;""))</f>
        <v/>
      </c>
      <c r="G542">
        <f>IF($P542="","",CHOOSE(WEEKDAY(INDEX(상세표[시작],$P542)),"일","월","화","수","목","금","토"))</f>
        <v/>
      </c>
      <c r="H542">
        <f>IF($P542="","",INDEX(상세표[연속 시간],$P542))</f>
        <v/>
      </c>
      <c r="I542">
        <f>IF($P542="","",INDEX(상세표[기록 수],$P542))</f>
        <v/>
      </c>
      <c r="J542">
        <f>IF($P542="","",INDEX(상세표[블록 06~07시],$P542))</f>
        <v/>
      </c>
      <c r="K542">
        <f>IF($P542="","",INDEX(상세표[블록 07~18시],$P542))</f>
        <v/>
      </c>
      <c r="L542">
        <f>IF($P542="","",INDEX(상세표[블록 18~22시],$P542))</f>
        <v/>
      </c>
      <c r="M542">
        <f>IF($P542="","",INDEX(상세표[블록 22~06시],$P542))</f>
        <v/>
      </c>
      <c r="N542">
        <f>IF($P542="","",INDEX(상세표[주말·휴일 포함],$P542)&amp;"")</f>
        <v/>
      </c>
      <c r="O542">
        <f>IF($P542="","",INDEX(상세표[월 넘김 포함],$P542)&amp;"")</f>
        <v/>
      </c>
      <c r="P542" s="4">
        <f>IFERROR(MATCH(537,상세표[연속순번],0),"")</f>
        <v/>
      </c>
    </row>
    <row r="543">
      <c r="A543">
        <f>IF($P543="","",INDEX(상세표[사번],$P543)&amp;"")</f>
        <v/>
      </c>
      <c r="B543">
        <f>IF($P543="","",INDEX(상세표[성명],$P543)&amp;"")</f>
        <v/>
      </c>
      <c r="C543">
        <f>IF($P543="","",INDEX(상세표[부서],$P543)&amp;"")</f>
        <v/>
      </c>
      <c r="D543">
        <f>IF($P543="","",INDEX(상세표[직위],$P543)&amp;"")</f>
        <v/>
      </c>
      <c r="E543">
        <f>IF($P543="","",IF(ISNUMBER(INDEX(상세표[시작],$P543)),TEXT(INDEX(상세표[시작],$P543),"yyyy-mm-dd hh:mm"),INDEX(상세표[시작],$P543)&amp;""))</f>
        <v/>
      </c>
      <c r="F543">
        <f>IF($P543="","",IF(ISNUMBER(INDEX(상세표[블록종료],$P543)),TEXT(INDEX(상세표[블록종료],$P543),"yyyy-mm-dd hh:mm"),INDEX(상세표[블록종료],$P543)&amp;""))</f>
        <v/>
      </c>
      <c r="G543">
        <f>IF($P543="","",CHOOSE(WEEKDAY(INDEX(상세표[시작],$P543)),"일","월","화","수","목","금","토"))</f>
        <v/>
      </c>
      <c r="H543">
        <f>IF($P543="","",INDEX(상세표[연속 시간],$P543))</f>
        <v/>
      </c>
      <c r="I543">
        <f>IF($P543="","",INDEX(상세표[기록 수],$P543))</f>
        <v/>
      </c>
      <c r="J543">
        <f>IF($P543="","",INDEX(상세표[블록 06~07시],$P543))</f>
        <v/>
      </c>
      <c r="K543">
        <f>IF($P543="","",INDEX(상세표[블록 07~18시],$P543))</f>
        <v/>
      </c>
      <c r="L543">
        <f>IF($P543="","",INDEX(상세표[블록 18~22시],$P543))</f>
        <v/>
      </c>
      <c r="M543">
        <f>IF($P543="","",INDEX(상세표[블록 22~06시],$P543))</f>
        <v/>
      </c>
      <c r="N543">
        <f>IF($P543="","",INDEX(상세표[주말·휴일 포함],$P543)&amp;"")</f>
        <v/>
      </c>
      <c r="O543">
        <f>IF($P543="","",INDEX(상세표[월 넘김 포함],$P543)&amp;"")</f>
        <v/>
      </c>
      <c r="P543" s="4">
        <f>IFERROR(MATCH(538,상세표[연속순번],0),"")</f>
        <v/>
      </c>
    </row>
    <row r="544">
      <c r="A544">
        <f>IF($P544="","",INDEX(상세표[사번],$P544)&amp;"")</f>
        <v/>
      </c>
      <c r="B544">
        <f>IF($P544="","",INDEX(상세표[성명],$P544)&amp;"")</f>
        <v/>
      </c>
      <c r="C544">
        <f>IF($P544="","",INDEX(상세표[부서],$P544)&amp;"")</f>
        <v/>
      </c>
      <c r="D544">
        <f>IF($P544="","",INDEX(상세표[직위],$P544)&amp;"")</f>
        <v/>
      </c>
      <c r="E544">
        <f>IF($P544="","",IF(ISNUMBER(INDEX(상세표[시작],$P544)),TEXT(INDEX(상세표[시작],$P544),"yyyy-mm-dd hh:mm"),INDEX(상세표[시작],$P544)&amp;""))</f>
        <v/>
      </c>
      <c r="F544">
        <f>IF($P544="","",IF(ISNUMBER(INDEX(상세표[블록종료],$P544)),TEXT(INDEX(상세표[블록종료],$P544),"yyyy-mm-dd hh:mm"),INDEX(상세표[블록종료],$P544)&amp;""))</f>
        <v/>
      </c>
      <c r="G544">
        <f>IF($P544="","",CHOOSE(WEEKDAY(INDEX(상세표[시작],$P544)),"일","월","화","수","목","금","토"))</f>
        <v/>
      </c>
      <c r="H544">
        <f>IF($P544="","",INDEX(상세표[연속 시간],$P544))</f>
        <v/>
      </c>
      <c r="I544">
        <f>IF($P544="","",INDEX(상세표[기록 수],$P544))</f>
        <v/>
      </c>
      <c r="J544">
        <f>IF($P544="","",INDEX(상세표[블록 06~07시],$P544))</f>
        <v/>
      </c>
      <c r="K544">
        <f>IF($P544="","",INDEX(상세표[블록 07~18시],$P544))</f>
        <v/>
      </c>
      <c r="L544">
        <f>IF($P544="","",INDEX(상세표[블록 18~22시],$P544))</f>
        <v/>
      </c>
      <c r="M544">
        <f>IF($P544="","",INDEX(상세표[블록 22~06시],$P544))</f>
        <v/>
      </c>
      <c r="N544">
        <f>IF($P544="","",INDEX(상세표[주말·휴일 포함],$P544)&amp;"")</f>
        <v/>
      </c>
      <c r="O544">
        <f>IF($P544="","",INDEX(상세표[월 넘김 포함],$P544)&amp;"")</f>
        <v/>
      </c>
      <c r="P544" s="4">
        <f>IFERROR(MATCH(539,상세표[연속순번],0),"")</f>
        <v/>
      </c>
    </row>
    <row r="545">
      <c r="A545">
        <f>IF($P545="","",INDEX(상세표[사번],$P545)&amp;"")</f>
        <v/>
      </c>
      <c r="B545">
        <f>IF($P545="","",INDEX(상세표[성명],$P545)&amp;"")</f>
        <v/>
      </c>
      <c r="C545">
        <f>IF($P545="","",INDEX(상세표[부서],$P545)&amp;"")</f>
        <v/>
      </c>
      <c r="D545">
        <f>IF($P545="","",INDEX(상세표[직위],$P545)&amp;"")</f>
        <v/>
      </c>
      <c r="E545">
        <f>IF($P545="","",IF(ISNUMBER(INDEX(상세표[시작],$P545)),TEXT(INDEX(상세표[시작],$P545),"yyyy-mm-dd hh:mm"),INDEX(상세표[시작],$P545)&amp;""))</f>
        <v/>
      </c>
      <c r="F545">
        <f>IF($P545="","",IF(ISNUMBER(INDEX(상세표[블록종료],$P545)),TEXT(INDEX(상세표[블록종료],$P545),"yyyy-mm-dd hh:mm"),INDEX(상세표[블록종료],$P545)&amp;""))</f>
        <v/>
      </c>
      <c r="G545">
        <f>IF($P545="","",CHOOSE(WEEKDAY(INDEX(상세표[시작],$P545)),"일","월","화","수","목","금","토"))</f>
        <v/>
      </c>
      <c r="H545">
        <f>IF($P545="","",INDEX(상세표[연속 시간],$P545))</f>
        <v/>
      </c>
      <c r="I545">
        <f>IF($P545="","",INDEX(상세표[기록 수],$P545))</f>
        <v/>
      </c>
      <c r="J545">
        <f>IF($P545="","",INDEX(상세표[블록 06~07시],$P545))</f>
        <v/>
      </c>
      <c r="K545">
        <f>IF($P545="","",INDEX(상세표[블록 07~18시],$P545))</f>
        <v/>
      </c>
      <c r="L545">
        <f>IF($P545="","",INDEX(상세표[블록 18~22시],$P545))</f>
        <v/>
      </c>
      <c r="M545">
        <f>IF($P545="","",INDEX(상세표[블록 22~06시],$P545))</f>
        <v/>
      </c>
      <c r="N545">
        <f>IF($P545="","",INDEX(상세표[주말·휴일 포함],$P545)&amp;"")</f>
        <v/>
      </c>
      <c r="O545">
        <f>IF($P545="","",INDEX(상세표[월 넘김 포함],$P545)&amp;"")</f>
        <v/>
      </c>
      <c r="P545" s="4">
        <f>IFERROR(MATCH(540,상세표[연속순번],0),"")</f>
        <v/>
      </c>
    </row>
    <row r="546">
      <c r="A546">
        <f>IF($P546="","",INDEX(상세표[사번],$P546)&amp;"")</f>
        <v/>
      </c>
      <c r="B546">
        <f>IF($P546="","",INDEX(상세표[성명],$P546)&amp;"")</f>
        <v/>
      </c>
      <c r="C546">
        <f>IF($P546="","",INDEX(상세표[부서],$P546)&amp;"")</f>
        <v/>
      </c>
      <c r="D546">
        <f>IF($P546="","",INDEX(상세표[직위],$P546)&amp;"")</f>
        <v/>
      </c>
      <c r="E546">
        <f>IF($P546="","",IF(ISNUMBER(INDEX(상세표[시작],$P546)),TEXT(INDEX(상세표[시작],$P546),"yyyy-mm-dd hh:mm"),INDEX(상세표[시작],$P546)&amp;""))</f>
        <v/>
      </c>
      <c r="F546">
        <f>IF($P546="","",IF(ISNUMBER(INDEX(상세표[블록종료],$P546)),TEXT(INDEX(상세표[블록종료],$P546),"yyyy-mm-dd hh:mm"),INDEX(상세표[블록종료],$P546)&amp;""))</f>
        <v/>
      </c>
      <c r="G546">
        <f>IF($P546="","",CHOOSE(WEEKDAY(INDEX(상세표[시작],$P546)),"일","월","화","수","목","금","토"))</f>
        <v/>
      </c>
      <c r="H546">
        <f>IF($P546="","",INDEX(상세표[연속 시간],$P546))</f>
        <v/>
      </c>
      <c r="I546">
        <f>IF($P546="","",INDEX(상세표[기록 수],$P546))</f>
        <v/>
      </c>
      <c r="J546">
        <f>IF($P546="","",INDEX(상세표[블록 06~07시],$P546))</f>
        <v/>
      </c>
      <c r="K546">
        <f>IF($P546="","",INDEX(상세표[블록 07~18시],$P546))</f>
        <v/>
      </c>
      <c r="L546">
        <f>IF($P546="","",INDEX(상세표[블록 18~22시],$P546))</f>
        <v/>
      </c>
      <c r="M546">
        <f>IF($P546="","",INDEX(상세표[블록 22~06시],$P546))</f>
        <v/>
      </c>
      <c r="N546">
        <f>IF($P546="","",INDEX(상세표[주말·휴일 포함],$P546)&amp;"")</f>
        <v/>
      </c>
      <c r="O546">
        <f>IF($P546="","",INDEX(상세표[월 넘김 포함],$P546)&amp;"")</f>
        <v/>
      </c>
      <c r="P546" s="4">
        <f>IFERROR(MATCH(541,상세표[연속순번],0),"")</f>
        <v/>
      </c>
    </row>
    <row r="547">
      <c r="A547">
        <f>IF($P547="","",INDEX(상세표[사번],$P547)&amp;"")</f>
        <v/>
      </c>
      <c r="B547">
        <f>IF($P547="","",INDEX(상세표[성명],$P547)&amp;"")</f>
        <v/>
      </c>
      <c r="C547">
        <f>IF($P547="","",INDEX(상세표[부서],$P547)&amp;"")</f>
        <v/>
      </c>
      <c r="D547">
        <f>IF($P547="","",INDEX(상세표[직위],$P547)&amp;"")</f>
        <v/>
      </c>
      <c r="E547">
        <f>IF($P547="","",IF(ISNUMBER(INDEX(상세표[시작],$P547)),TEXT(INDEX(상세표[시작],$P547),"yyyy-mm-dd hh:mm"),INDEX(상세표[시작],$P547)&amp;""))</f>
        <v/>
      </c>
      <c r="F547">
        <f>IF($P547="","",IF(ISNUMBER(INDEX(상세표[블록종료],$P547)),TEXT(INDEX(상세표[블록종료],$P547),"yyyy-mm-dd hh:mm"),INDEX(상세표[블록종료],$P547)&amp;""))</f>
        <v/>
      </c>
      <c r="G547">
        <f>IF($P547="","",CHOOSE(WEEKDAY(INDEX(상세표[시작],$P547)),"일","월","화","수","목","금","토"))</f>
        <v/>
      </c>
      <c r="H547">
        <f>IF($P547="","",INDEX(상세표[연속 시간],$P547))</f>
        <v/>
      </c>
      <c r="I547">
        <f>IF($P547="","",INDEX(상세표[기록 수],$P547))</f>
        <v/>
      </c>
      <c r="J547">
        <f>IF($P547="","",INDEX(상세표[블록 06~07시],$P547))</f>
        <v/>
      </c>
      <c r="K547">
        <f>IF($P547="","",INDEX(상세표[블록 07~18시],$P547))</f>
        <v/>
      </c>
      <c r="L547">
        <f>IF($P547="","",INDEX(상세표[블록 18~22시],$P547))</f>
        <v/>
      </c>
      <c r="M547">
        <f>IF($P547="","",INDEX(상세표[블록 22~06시],$P547))</f>
        <v/>
      </c>
      <c r="N547">
        <f>IF($P547="","",INDEX(상세표[주말·휴일 포함],$P547)&amp;"")</f>
        <v/>
      </c>
      <c r="O547">
        <f>IF($P547="","",INDEX(상세표[월 넘김 포함],$P547)&amp;"")</f>
        <v/>
      </c>
      <c r="P547" s="4">
        <f>IFERROR(MATCH(542,상세표[연속순번],0),"")</f>
        <v/>
      </c>
    </row>
    <row r="548">
      <c r="A548">
        <f>IF($P548="","",INDEX(상세표[사번],$P548)&amp;"")</f>
        <v/>
      </c>
      <c r="B548">
        <f>IF($P548="","",INDEX(상세표[성명],$P548)&amp;"")</f>
        <v/>
      </c>
      <c r="C548">
        <f>IF($P548="","",INDEX(상세표[부서],$P548)&amp;"")</f>
        <v/>
      </c>
      <c r="D548">
        <f>IF($P548="","",INDEX(상세표[직위],$P548)&amp;"")</f>
        <v/>
      </c>
      <c r="E548">
        <f>IF($P548="","",IF(ISNUMBER(INDEX(상세표[시작],$P548)),TEXT(INDEX(상세표[시작],$P548),"yyyy-mm-dd hh:mm"),INDEX(상세표[시작],$P548)&amp;""))</f>
        <v/>
      </c>
      <c r="F548">
        <f>IF($P548="","",IF(ISNUMBER(INDEX(상세표[블록종료],$P548)),TEXT(INDEX(상세표[블록종료],$P548),"yyyy-mm-dd hh:mm"),INDEX(상세표[블록종료],$P548)&amp;""))</f>
        <v/>
      </c>
      <c r="G548">
        <f>IF($P548="","",CHOOSE(WEEKDAY(INDEX(상세표[시작],$P548)),"일","월","화","수","목","금","토"))</f>
        <v/>
      </c>
      <c r="H548">
        <f>IF($P548="","",INDEX(상세표[연속 시간],$P548))</f>
        <v/>
      </c>
      <c r="I548">
        <f>IF($P548="","",INDEX(상세표[기록 수],$P548))</f>
        <v/>
      </c>
      <c r="J548">
        <f>IF($P548="","",INDEX(상세표[블록 06~07시],$P548))</f>
        <v/>
      </c>
      <c r="K548">
        <f>IF($P548="","",INDEX(상세표[블록 07~18시],$P548))</f>
        <v/>
      </c>
      <c r="L548">
        <f>IF($P548="","",INDEX(상세표[블록 18~22시],$P548))</f>
        <v/>
      </c>
      <c r="M548">
        <f>IF($P548="","",INDEX(상세표[블록 22~06시],$P548))</f>
        <v/>
      </c>
      <c r="N548">
        <f>IF($P548="","",INDEX(상세표[주말·휴일 포함],$P548)&amp;"")</f>
        <v/>
      </c>
      <c r="O548">
        <f>IF($P548="","",INDEX(상세표[월 넘김 포함],$P548)&amp;"")</f>
        <v/>
      </c>
      <c r="P548" s="4">
        <f>IFERROR(MATCH(543,상세표[연속순번],0),"")</f>
        <v/>
      </c>
    </row>
    <row r="549">
      <c r="A549">
        <f>IF($P549="","",INDEX(상세표[사번],$P549)&amp;"")</f>
        <v/>
      </c>
      <c r="B549">
        <f>IF($P549="","",INDEX(상세표[성명],$P549)&amp;"")</f>
        <v/>
      </c>
      <c r="C549">
        <f>IF($P549="","",INDEX(상세표[부서],$P549)&amp;"")</f>
        <v/>
      </c>
      <c r="D549">
        <f>IF($P549="","",INDEX(상세표[직위],$P549)&amp;"")</f>
        <v/>
      </c>
      <c r="E549">
        <f>IF($P549="","",IF(ISNUMBER(INDEX(상세표[시작],$P549)),TEXT(INDEX(상세표[시작],$P549),"yyyy-mm-dd hh:mm"),INDEX(상세표[시작],$P549)&amp;""))</f>
        <v/>
      </c>
      <c r="F549">
        <f>IF($P549="","",IF(ISNUMBER(INDEX(상세표[블록종료],$P549)),TEXT(INDEX(상세표[블록종료],$P549),"yyyy-mm-dd hh:mm"),INDEX(상세표[블록종료],$P549)&amp;""))</f>
        <v/>
      </c>
      <c r="G549">
        <f>IF($P549="","",CHOOSE(WEEKDAY(INDEX(상세표[시작],$P549)),"일","월","화","수","목","금","토"))</f>
        <v/>
      </c>
      <c r="H549">
        <f>IF($P549="","",INDEX(상세표[연속 시간],$P549))</f>
        <v/>
      </c>
      <c r="I549">
        <f>IF($P549="","",INDEX(상세표[기록 수],$P549))</f>
        <v/>
      </c>
      <c r="J549">
        <f>IF($P549="","",INDEX(상세표[블록 06~07시],$P549))</f>
        <v/>
      </c>
      <c r="K549">
        <f>IF($P549="","",INDEX(상세표[블록 07~18시],$P549))</f>
        <v/>
      </c>
      <c r="L549">
        <f>IF($P549="","",INDEX(상세표[블록 18~22시],$P549))</f>
        <v/>
      </c>
      <c r="M549">
        <f>IF($P549="","",INDEX(상세표[블록 22~06시],$P549))</f>
        <v/>
      </c>
      <c r="N549">
        <f>IF($P549="","",INDEX(상세표[주말·휴일 포함],$P549)&amp;"")</f>
        <v/>
      </c>
      <c r="O549">
        <f>IF($P549="","",INDEX(상세표[월 넘김 포함],$P549)&amp;"")</f>
        <v/>
      </c>
      <c r="P549" s="4">
        <f>IFERROR(MATCH(544,상세표[연속순번],0),"")</f>
        <v/>
      </c>
    </row>
    <row r="550">
      <c r="A550">
        <f>IF($P550="","",INDEX(상세표[사번],$P550)&amp;"")</f>
        <v/>
      </c>
      <c r="B550">
        <f>IF($P550="","",INDEX(상세표[성명],$P550)&amp;"")</f>
        <v/>
      </c>
      <c r="C550">
        <f>IF($P550="","",INDEX(상세표[부서],$P550)&amp;"")</f>
        <v/>
      </c>
      <c r="D550">
        <f>IF($P550="","",INDEX(상세표[직위],$P550)&amp;"")</f>
        <v/>
      </c>
      <c r="E550">
        <f>IF($P550="","",IF(ISNUMBER(INDEX(상세표[시작],$P550)),TEXT(INDEX(상세표[시작],$P550),"yyyy-mm-dd hh:mm"),INDEX(상세표[시작],$P550)&amp;""))</f>
        <v/>
      </c>
      <c r="F550">
        <f>IF($P550="","",IF(ISNUMBER(INDEX(상세표[블록종료],$P550)),TEXT(INDEX(상세표[블록종료],$P550),"yyyy-mm-dd hh:mm"),INDEX(상세표[블록종료],$P550)&amp;""))</f>
        <v/>
      </c>
      <c r="G550">
        <f>IF($P550="","",CHOOSE(WEEKDAY(INDEX(상세표[시작],$P550)),"일","월","화","수","목","금","토"))</f>
        <v/>
      </c>
      <c r="H550">
        <f>IF($P550="","",INDEX(상세표[연속 시간],$P550))</f>
        <v/>
      </c>
      <c r="I550">
        <f>IF($P550="","",INDEX(상세표[기록 수],$P550))</f>
        <v/>
      </c>
      <c r="J550">
        <f>IF($P550="","",INDEX(상세표[블록 06~07시],$P550))</f>
        <v/>
      </c>
      <c r="K550">
        <f>IF($P550="","",INDEX(상세표[블록 07~18시],$P550))</f>
        <v/>
      </c>
      <c r="L550">
        <f>IF($P550="","",INDEX(상세표[블록 18~22시],$P550))</f>
        <v/>
      </c>
      <c r="M550">
        <f>IF($P550="","",INDEX(상세표[블록 22~06시],$P550))</f>
        <v/>
      </c>
      <c r="N550">
        <f>IF($P550="","",INDEX(상세표[주말·휴일 포함],$P550)&amp;"")</f>
        <v/>
      </c>
      <c r="O550">
        <f>IF($P550="","",INDEX(상세표[월 넘김 포함],$P550)&amp;"")</f>
        <v/>
      </c>
      <c r="P550" s="4">
        <f>IFERROR(MATCH(545,상세표[연속순번],0),"")</f>
        <v/>
      </c>
    </row>
    <row r="551">
      <c r="A551">
        <f>IF($P551="","",INDEX(상세표[사번],$P551)&amp;"")</f>
        <v/>
      </c>
      <c r="B551">
        <f>IF($P551="","",INDEX(상세표[성명],$P551)&amp;"")</f>
        <v/>
      </c>
      <c r="C551">
        <f>IF($P551="","",INDEX(상세표[부서],$P551)&amp;"")</f>
        <v/>
      </c>
      <c r="D551">
        <f>IF($P551="","",INDEX(상세표[직위],$P551)&amp;"")</f>
        <v/>
      </c>
      <c r="E551">
        <f>IF($P551="","",IF(ISNUMBER(INDEX(상세표[시작],$P551)),TEXT(INDEX(상세표[시작],$P551),"yyyy-mm-dd hh:mm"),INDEX(상세표[시작],$P551)&amp;""))</f>
        <v/>
      </c>
      <c r="F551">
        <f>IF($P551="","",IF(ISNUMBER(INDEX(상세표[블록종료],$P551)),TEXT(INDEX(상세표[블록종료],$P551),"yyyy-mm-dd hh:mm"),INDEX(상세표[블록종료],$P551)&amp;""))</f>
        <v/>
      </c>
      <c r="G551">
        <f>IF($P551="","",CHOOSE(WEEKDAY(INDEX(상세표[시작],$P551)),"일","월","화","수","목","금","토"))</f>
        <v/>
      </c>
      <c r="H551">
        <f>IF($P551="","",INDEX(상세표[연속 시간],$P551))</f>
        <v/>
      </c>
      <c r="I551">
        <f>IF($P551="","",INDEX(상세표[기록 수],$P551))</f>
        <v/>
      </c>
      <c r="J551">
        <f>IF($P551="","",INDEX(상세표[블록 06~07시],$P551))</f>
        <v/>
      </c>
      <c r="K551">
        <f>IF($P551="","",INDEX(상세표[블록 07~18시],$P551))</f>
        <v/>
      </c>
      <c r="L551">
        <f>IF($P551="","",INDEX(상세표[블록 18~22시],$P551))</f>
        <v/>
      </c>
      <c r="M551">
        <f>IF($P551="","",INDEX(상세표[블록 22~06시],$P551))</f>
        <v/>
      </c>
      <c r="N551">
        <f>IF($P551="","",INDEX(상세표[주말·휴일 포함],$P551)&amp;"")</f>
        <v/>
      </c>
      <c r="O551">
        <f>IF($P551="","",INDEX(상세표[월 넘김 포함],$P551)&amp;"")</f>
        <v/>
      </c>
      <c r="P551" s="4">
        <f>IFERROR(MATCH(546,상세표[연속순번],0),"")</f>
        <v/>
      </c>
    </row>
    <row r="552">
      <c r="A552">
        <f>IF($P552="","",INDEX(상세표[사번],$P552)&amp;"")</f>
        <v/>
      </c>
      <c r="B552">
        <f>IF($P552="","",INDEX(상세표[성명],$P552)&amp;"")</f>
        <v/>
      </c>
      <c r="C552">
        <f>IF($P552="","",INDEX(상세표[부서],$P552)&amp;"")</f>
        <v/>
      </c>
      <c r="D552">
        <f>IF($P552="","",INDEX(상세표[직위],$P552)&amp;"")</f>
        <v/>
      </c>
      <c r="E552">
        <f>IF($P552="","",IF(ISNUMBER(INDEX(상세표[시작],$P552)),TEXT(INDEX(상세표[시작],$P552),"yyyy-mm-dd hh:mm"),INDEX(상세표[시작],$P552)&amp;""))</f>
        <v/>
      </c>
      <c r="F552">
        <f>IF($P552="","",IF(ISNUMBER(INDEX(상세표[블록종료],$P552)),TEXT(INDEX(상세표[블록종료],$P552),"yyyy-mm-dd hh:mm"),INDEX(상세표[블록종료],$P552)&amp;""))</f>
        <v/>
      </c>
      <c r="G552">
        <f>IF($P552="","",CHOOSE(WEEKDAY(INDEX(상세표[시작],$P552)),"일","월","화","수","목","금","토"))</f>
        <v/>
      </c>
      <c r="H552">
        <f>IF($P552="","",INDEX(상세표[연속 시간],$P552))</f>
        <v/>
      </c>
      <c r="I552">
        <f>IF($P552="","",INDEX(상세표[기록 수],$P552))</f>
        <v/>
      </c>
      <c r="J552">
        <f>IF($P552="","",INDEX(상세표[블록 06~07시],$P552))</f>
        <v/>
      </c>
      <c r="K552">
        <f>IF($P552="","",INDEX(상세표[블록 07~18시],$P552))</f>
        <v/>
      </c>
      <c r="L552">
        <f>IF($P552="","",INDEX(상세표[블록 18~22시],$P552))</f>
        <v/>
      </c>
      <c r="M552">
        <f>IF($P552="","",INDEX(상세표[블록 22~06시],$P552))</f>
        <v/>
      </c>
      <c r="N552">
        <f>IF($P552="","",INDEX(상세표[주말·휴일 포함],$P552)&amp;"")</f>
        <v/>
      </c>
      <c r="O552">
        <f>IF($P552="","",INDEX(상세표[월 넘김 포함],$P552)&amp;"")</f>
        <v/>
      </c>
      <c r="P552" s="4">
        <f>IFERROR(MATCH(547,상세표[연속순번],0),"")</f>
        <v/>
      </c>
    </row>
    <row r="553">
      <c r="A553">
        <f>IF($P553="","",INDEX(상세표[사번],$P553)&amp;"")</f>
        <v/>
      </c>
      <c r="B553">
        <f>IF($P553="","",INDEX(상세표[성명],$P553)&amp;"")</f>
        <v/>
      </c>
      <c r="C553">
        <f>IF($P553="","",INDEX(상세표[부서],$P553)&amp;"")</f>
        <v/>
      </c>
      <c r="D553">
        <f>IF($P553="","",INDEX(상세표[직위],$P553)&amp;"")</f>
        <v/>
      </c>
      <c r="E553">
        <f>IF($P553="","",IF(ISNUMBER(INDEX(상세표[시작],$P553)),TEXT(INDEX(상세표[시작],$P553),"yyyy-mm-dd hh:mm"),INDEX(상세표[시작],$P553)&amp;""))</f>
        <v/>
      </c>
      <c r="F553">
        <f>IF($P553="","",IF(ISNUMBER(INDEX(상세표[블록종료],$P553)),TEXT(INDEX(상세표[블록종료],$P553),"yyyy-mm-dd hh:mm"),INDEX(상세표[블록종료],$P553)&amp;""))</f>
        <v/>
      </c>
      <c r="G553">
        <f>IF($P553="","",CHOOSE(WEEKDAY(INDEX(상세표[시작],$P553)),"일","월","화","수","목","금","토"))</f>
        <v/>
      </c>
      <c r="H553">
        <f>IF($P553="","",INDEX(상세표[연속 시간],$P553))</f>
        <v/>
      </c>
      <c r="I553">
        <f>IF($P553="","",INDEX(상세표[기록 수],$P553))</f>
        <v/>
      </c>
      <c r="J553">
        <f>IF($P553="","",INDEX(상세표[블록 06~07시],$P553))</f>
        <v/>
      </c>
      <c r="K553">
        <f>IF($P553="","",INDEX(상세표[블록 07~18시],$P553))</f>
        <v/>
      </c>
      <c r="L553">
        <f>IF($P553="","",INDEX(상세표[블록 18~22시],$P553))</f>
        <v/>
      </c>
      <c r="M553">
        <f>IF($P553="","",INDEX(상세표[블록 22~06시],$P553))</f>
        <v/>
      </c>
      <c r="N553">
        <f>IF($P553="","",INDEX(상세표[주말·휴일 포함],$P553)&amp;"")</f>
        <v/>
      </c>
      <c r="O553">
        <f>IF($P553="","",INDEX(상세표[월 넘김 포함],$P553)&amp;"")</f>
        <v/>
      </c>
      <c r="P553" s="4">
        <f>IFERROR(MATCH(548,상세표[연속순번],0),"")</f>
        <v/>
      </c>
    </row>
    <row r="554">
      <c r="A554">
        <f>IF($P554="","",INDEX(상세표[사번],$P554)&amp;"")</f>
        <v/>
      </c>
      <c r="B554">
        <f>IF($P554="","",INDEX(상세표[성명],$P554)&amp;"")</f>
        <v/>
      </c>
      <c r="C554">
        <f>IF($P554="","",INDEX(상세표[부서],$P554)&amp;"")</f>
        <v/>
      </c>
      <c r="D554">
        <f>IF($P554="","",INDEX(상세표[직위],$P554)&amp;"")</f>
        <v/>
      </c>
      <c r="E554">
        <f>IF($P554="","",IF(ISNUMBER(INDEX(상세표[시작],$P554)),TEXT(INDEX(상세표[시작],$P554),"yyyy-mm-dd hh:mm"),INDEX(상세표[시작],$P554)&amp;""))</f>
        <v/>
      </c>
      <c r="F554">
        <f>IF($P554="","",IF(ISNUMBER(INDEX(상세표[블록종료],$P554)),TEXT(INDEX(상세표[블록종료],$P554),"yyyy-mm-dd hh:mm"),INDEX(상세표[블록종료],$P554)&amp;""))</f>
        <v/>
      </c>
      <c r="G554">
        <f>IF($P554="","",CHOOSE(WEEKDAY(INDEX(상세표[시작],$P554)),"일","월","화","수","목","금","토"))</f>
        <v/>
      </c>
      <c r="H554">
        <f>IF($P554="","",INDEX(상세표[연속 시간],$P554))</f>
        <v/>
      </c>
      <c r="I554">
        <f>IF($P554="","",INDEX(상세표[기록 수],$P554))</f>
        <v/>
      </c>
      <c r="J554">
        <f>IF($P554="","",INDEX(상세표[블록 06~07시],$P554))</f>
        <v/>
      </c>
      <c r="K554">
        <f>IF($P554="","",INDEX(상세표[블록 07~18시],$P554))</f>
        <v/>
      </c>
      <c r="L554">
        <f>IF($P554="","",INDEX(상세표[블록 18~22시],$P554))</f>
        <v/>
      </c>
      <c r="M554">
        <f>IF($P554="","",INDEX(상세표[블록 22~06시],$P554))</f>
        <v/>
      </c>
      <c r="N554">
        <f>IF($P554="","",INDEX(상세표[주말·휴일 포함],$P554)&amp;"")</f>
        <v/>
      </c>
      <c r="O554">
        <f>IF($P554="","",INDEX(상세표[월 넘김 포함],$P554)&amp;"")</f>
        <v/>
      </c>
      <c r="P554" s="4">
        <f>IFERROR(MATCH(549,상세표[연속순번],0),"")</f>
        <v/>
      </c>
    </row>
    <row r="555">
      <c r="A555">
        <f>IF($P555="","",INDEX(상세표[사번],$P555)&amp;"")</f>
        <v/>
      </c>
      <c r="B555">
        <f>IF($P555="","",INDEX(상세표[성명],$P555)&amp;"")</f>
        <v/>
      </c>
      <c r="C555">
        <f>IF($P555="","",INDEX(상세표[부서],$P555)&amp;"")</f>
        <v/>
      </c>
      <c r="D555">
        <f>IF($P555="","",INDEX(상세표[직위],$P555)&amp;"")</f>
        <v/>
      </c>
      <c r="E555">
        <f>IF($P555="","",IF(ISNUMBER(INDEX(상세표[시작],$P555)),TEXT(INDEX(상세표[시작],$P555),"yyyy-mm-dd hh:mm"),INDEX(상세표[시작],$P555)&amp;""))</f>
        <v/>
      </c>
      <c r="F555">
        <f>IF($P555="","",IF(ISNUMBER(INDEX(상세표[블록종료],$P555)),TEXT(INDEX(상세표[블록종료],$P555),"yyyy-mm-dd hh:mm"),INDEX(상세표[블록종료],$P555)&amp;""))</f>
        <v/>
      </c>
      <c r="G555">
        <f>IF($P555="","",CHOOSE(WEEKDAY(INDEX(상세표[시작],$P555)),"일","월","화","수","목","금","토"))</f>
        <v/>
      </c>
      <c r="H555">
        <f>IF($P555="","",INDEX(상세표[연속 시간],$P555))</f>
        <v/>
      </c>
      <c r="I555">
        <f>IF($P555="","",INDEX(상세표[기록 수],$P555))</f>
        <v/>
      </c>
      <c r="J555">
        <f>IF($P555="","",INDEX(상세표[블록 06~07시],$P555))</f>
        <v/>
      </c>
      <c r="K555">
        <f>IF($P555="","",INDEX(상세표[블록 07~18시],$P555))</f>
        <v/>
      </c>
      <c r="L555">
        <f>IF($P555="","",INDEX(상세표[블록 18~22시],$P555))</f>
        <v/>
      </c>
      <c r="M555">
        <f>IF($P555="","",INDEX(상세표[블록 22~06시],$P555))</f>
        <v/>
      </c>
      <c r="N555">
        <f>IF($P555="","",INDEX(상세표[주말·휴일 포함],$P555)&amp;"")</f>
        <v/>
      </c>
      <c r="O555">
        <f>IF($P555="","",INDEX(상세표[월 넘김 포함],$P555)&amp;"")</f>
        <v/>
      </c>
      <c r="P555" s="4">
        <f>IFERROR(MATCH(550,상세표[연속순번],0),"")</f>
        <v/>
      </c>
    </row>
    <row r="556">
      <c r="A556">
        <f>IF($P556="","",INDEX(상세표[사번],$P556)&amp;"")</f>
        <v/>
      </c>
      <c r="B556">
        <f>IF($P556="","",INDEX(상세표[성명],$P556)&amp;"")</f>
        <v/>
      </c>
      <c r="C556">
        <f>IF($P556="","",INDEX(상세표[부서],$P556)&amp;"")</f>
        <v/>
      </c>
      <c r="D556">
        <f>IF($P556="","",INDEX(상세표[직위],$P556)&amp;"")</f>
        <v/>
      </c>
      <c r="E556">
        <f>IF($P556="","",IF(ISNUMBER(INDEX(상세표[시작],$P556)),TEXT(INDEX(상세표[시작],$P556),"yyyy-mm-dd hh:mm"),INDEX(상세표[시작],$P556)&amp;""))</f>
        <v/>
      </c>
      <c r="F556">
        <f>IF($P556="","",IF(ISNUMBER(INDEX(상세표[블록종료],$P556)),TEXT(INDEX(상세표[블록종료],$P556),"yyyy-mm-dd hh:mm"),INDEX(상세표[블록종료],$P556)&amp;""))</f>
        <v/>
      </c>
      <c r="G556">
        <f>IF($P556="","",CHOOSE(WEEKDAY(INDEX(상세표[시작],$P556)),"일","월","화","수","목","금","토"))</f>
        <v/>
      </c>
      <c r="H556">
        <f>IF($P556="","",INDEX(상세표[연속 시간],$P556))</f>
        <v/>
      </c>
      <c r="I556">
        <f>IF($P556="","",INDEX(상세표[기록 수],$P556))</f>
        <v/>
      </c>
      <c r="J556">
        <f>IF($P556="","",INDEX(상세표[블록 06~07시],$P556))</f>
        <v/>
      </c>
      <c r="K556">
        <f>IF($P556="","",INDEX(상세표[블록 07~18시],$P556))</f>
        <v/>
      </c>
      <c r="L556">
        <f>IF($P556="","",INDEX(상세표[블록 18~22시],$P556))</f>
        <v/>
      </c>
      <c r="M556">
        <f>IF($P556="","",INDEX(상세표[블록 22~06시],$P556))</f>
        <v/>
      </c>
      <c r="N556">
        <f>IF($P556="","",INDEX(상세표[주말·휴일 포함],$P556)&amp;"")</f>
        <v/>
      </c>
      <c r="O556">
        <f>IF($P556="","",INDEX(상세표[월 넘김 포함],$P556)&amp;"")</f>
        <v/>
      </c>
      <c r="P556" s="4">
        <f>IFERROR(MATCH(551,상세표[연속순번],0),"")</f>
        <v/>
      </c>
    </row>
    <row r="557">
      <c r="A557">
        <f>IF($P557="","",INDEX(상세표[사번],$P557)&amp;"")</f>
        <v/>
      </c>
      <c r="B557">
        <f>IF($P557="","",INDEX(상세표[성명],$P557)&amp;"")</f>
        <v/>
      </c>
      <c r="C557">
        <f>IF($P557="","",INDEX(상세표[부서],$P557)&amp;"")</f>
        <v/>
      </c>
      <c r="D557">
        <f>IF($P557="","",INDEX(상세표[직위],$P557)&amp;"")</f>
        <v/>
      </c>
      <c r="E557">
        <f>IF($P557="","",IF(ISNUMBER(INDEX(상세표[시작],$P557)),TEXT(INDEX(상세표[시작],$P557),"yyyy-mm-dd hh:mm"),INDEX(상세표[시작],$P557)&amp;""))</f>
        <v/>
      </c>
      <c r="F557">
        <f>IF($P557="","",IF(ISNUMBER(INDEX(상세표[블록종료],$P557)),TEXT(INDEX(상세표[블록종료],$P557),"yyyy-mm-dd hh:mm"),INDEX(상세표[블록종료],$P557)&amp;""))</f>
        <v/>
      </c>
      <c r="G557">
        <f>IF($P557="","",CHOOSE(WEEKDAY(INDEX(상세표[시작],$P557)),"일","월","화","수","목","금","토"))</f>
        <v/>
      </c>
      <c r="H557">
        <f>IF($P557="","",INDEX(상세표[연속 시간],$P557))</f>
        <v/>
      </c>
      <c r="I557">
        <f>IF($P557="","",INDEX(상세표[기록 수],$P557))</f>
        <v/>
      </c>
      <c r="J557">
        <f>IF($P557="","",INDEX(상세표[블록 06~07시],$P557))</f>
        <v/>
      </c>
      <c r="K557">
        <f>IF($P557="","",INDEX(상세표[블록 07~18시],$P557))</f>
        <v/>
      </c>
      <c r="L557">
        <f>IF($P557="","",INDEX(상세표[블록 18~22시],$P557))</f>
        <v/>
      </c>
      <c r="M557">
        <f>IF($P557="","",INDEX(상세표[블록 22~06시],$P557))</f>
        <v/>
      </c>
      <c r="N557">
        <f>IF($P557="","",INDEX(상세표[주말·휴일 포함],$P557)&amp;"")</f>
        <v/>
      </c>
      <c r="O557">
        <f>IF($P557="","",INDEX(상세표[월 넘김 포함],$P557)&amp;"")</f>
        <v/>
      </c>
      <c r="P557" s="4">
        <f>IFERROR(MATCH(552,상세표[연속순번],0),"")</f>
        <v/>
      </c>
    </row>
    <row r="558">
      <c r="A558">
        <f>IF($P558="","",INDEX(상세표[사번],$P558)&amp;"")</f>
        <v/>
      </c>
      <c r="B558">
        <f>IF($P558="","",INDEX(상세표[성명],$P558)&amp;"")</f>
        <v/>
      </c>
      <c r="C558">
        <f>IF($P558="","",INDEX(상세표[부서],$P558)&amp;"")</f>
        <v/>
      </c>
      <c r="D558">
        <f>IF($P558="","",INDEX(상세표[직위],$P558)&amp;"")</f>
        <v/>
      </c>
      <c r="E558">
        <f>IF($P558="","",IF(ISNUMBER(INDEX(상세표[시작],$P558)),TEXT(INDEX(상세표[시작],$P558),"yyyy-mm-dd hh:mm"),INDEX(상세표[시작],$P558)&amp;""))</f>
        <v/>
      </c>
      <c r="F558">
        <f>IF($P558="","",IF(ISNUMBER(INDEX(상세표[블록종료],$P558)),TEXT(INDEX(상세표[블록종료],$P558),"yyyy-mm-dd hh:mm"),INDEX(상세표[블록종료],$P558)&amp;""))</f>
        <v/>
      </c>
      <c r="G558">
        <f>IF($P558="","",CHOOSE(WEEKDAY(INDEX(상세표[시작],$P558)),"일","월","화","수","목","금","토"))</f>
        <v/>
      </c>
      <c r="H558">
        <f>IF($P558="","",INDEX(상세표[연속 시간],$P558))</f>
        <v/>
      </c>
      <c r="I558">
        <f>IF($P558="","",INDEX(상세표[기록 수],$P558))</f>
        <v/>
      </c>
      <c r="J558">
        <f>IF($P558="","",INDEX(상세표[블록 06~07시],$P558))</f>
        <v/>
      </c>
      <c r="K558">
        <f>IF($P558="","",INDEX(상세표[블록 07~18시],$P558))</f>
        <v/>
      </c>
      <c r="L558">
        <f>IF($P558="","",INDEX(상세표[블록 18~22시],$P558))</f>
        <v/>
      </c>
      <c r="M558">
        <f>IF($P558="","",INDEX(상세표[블록 22~06시],$P558))</f>
        <v/>
      </c>
      <c r="N558">
        <f>IF($P558="","",INDEX(상세표[주말·휴일 포함],$P558)&amp;"")</f>
        <v/>
      </c>
      <c r="O558">
        <f>IF($P558="","",INDEX(상세표[월 넘김 포함],$P558)&amp;"")</f>
        <v/>
      </c>
      <c r="P558" s="4">
        <f>IFERROR(MATCH(553,상세표[연속순번],0),"")</f>
        <v/>
      </c>
    </row>
    <row r="559">
      <c r="A559">
        <f>IF($P559="","",INDEX(상세표[사번],$P559)&amp;"")</f>
        <v/>
      </c>
      <c r="B559">
        <f>IF($P559="","",INDEX(상세표[성명],$P559)&amp;"")</f>
        <v/>
      </c>
      <c r="C559">
        <f>IF($P559="","",INDEX(상세표[부서],$P559)&amp;"")</f>
        <v/>
      </c>
      <c r="D559">
        <f>IF($P559="","",INDEX(상세표[직위],$P559)&amp;"")</f>
        <v/>
      </c>
      <c r="E559">
        <f>IF($P559="","",IF(ISNUMBER(INDEX(상세표[시작],$P559)),TEXT(INDEX(상세표[시작],$P559),"yyyy-mm-dd hh:mm"),INDEX(상세표[시작],$P559)&amp;""))</f>
        <v/>
      </c>
      <c r="F559">
        <f>IF($P559="","",IF(ISNUMBER(INDEX(상세표[블록종료],$P559)),TEXT(INDEX(상세표[블록종료],$P559),"yyyy-mm-dd hh:mm"),INDEX(상세표[블록종료],$P559)&amp;""))</f>
        <v/>
      </c>
      <c r="G559">
        <f>IF($P559="","",CHOOSE(WEEKDAY(INDEX(상세표[시작],$P559)),"일","월","화","수","목","금","토"))</f>
        <v/>
      </c>
      <c r="H559">
        <f>IF($P559="","",INDEX(상세표[연속 시간],$P559))</f>
        <v/>
      </c>
      <c r="I559">
        <f>IF($P559="","",INDEX(상세표[기록 수],$P559))</f>
        <v/>
      </c>
      <c r="J559">
        <f>IF($P559="","",INDEX(상세표[블록 06~07시],$P559))</f>
        <v/>
      </c>
      <c r="K559">
        <f>IF($P559="","",INDEX(상세표[블록 07~18시],$P559))</f>
        <v/>
      </c>
      <c r="L559">
        <f>IF($P559="","",INDEX(상세표[블록 18~22시],$P559))</f>
        <v/>
      </c>
      <c r="M559">
        <f>IF($P559="","",INDEX(상세표[블록 22~06시],$P559))</f>
        <v/>
      </c>
      <c r="N559">
        <f>IF($P559="","",INDEX(상세표[주말·휴일 포함],$P559)&amp;"")</f>
        <v/>
      </c>
      <c r="O559">
        <f>IF($P559="","",INDEX(상세표[월 넘김 포함],$P559)&amp;"")</f>
        <v/>
      </c>
      <c r="P559" s="4">
        <f>IFERROR(MATCH(554,상세표[연속순번],0),"")</f>
        <v/>
      </c>
    </row>
    <row r="560">
      <c r="A560">
        <f>IF($P560="","",INDEX(상세표[사번],$P560)&amp;"")</f>
        <v/>
      </c>
      <c r="B560">
        <f>IF($P560="","",INDEX(상세표[성명],$P560)&amp;"")</f>
        <v/>
      </c>
      <c r="C560">
        <f>IF($P560="","",INDEX(상세표[부서],$P560)&amp;"")</f>
        <v/>
      </c>
      <c r="D560">
        <f>IF($P560="","",INDEX(상세표[직위],$P560)&amp;"")</f>
        <v/>
      </c>
      <c r="E560">
        <f>IF($P560="","",IF(ISNUMBER(INDEX(상세표[시작],$P560)),TEXT(INDEX(상세표[시작],$P560),"yyyy-mm-dd hh:mm"),INDEX(상세표[시작],$P560)&amp;""))</f>
        <v/>
      </c>
      <c r="F560">
        <f>IF($P560="","",IF(ISNUMBER(INDEX(상세표[블록종료],$P560)),TEXT(INDEX(상세표[블록종료],$P560),"yyyy-mm-dd hh:mm"),INDEX(상세표[블록종료],$P560)&amp;""))</f>
        <v/>
      </c>
      <c r="G560">
        <f>IF($P560="","",CHOOSE(WEEKDAY(INDEX(상세표[시작],$P560)),"일","월","화","수","목","금","토"))</f>
        <v/>
      </c>
      <c r="H560">
        <f>IF($P560="","",INDEX(상세표[연속 시간],$P560))</f>
        <v/>
      </c>
      <c r="I560">
        <f>IF($P560="","",INDEX(상세표[기록 수],$P560))</f>
        <v/>
      </c>
      <c r="J560">
        <f>IF($P560="","",INDEX(상세표[블록 06~07시],$P560))</f>
        <v/>
      </c>
      <c r="K560">
        <f>IF($P560="","",INDEX(상세표[블록 07~18시],$P560))</f>
        <v/>
      </c>
      <c r="L560">
        <f>IF($P560="","",INDEX(상세표[블록 18~22시],$P560))</f>
        <v/>
      </c>
      <c r="M560">
        <f>IF($P560="","",INDEX(상세표[블록 22~06시],$P560))</f>
        <v/>
      </c>
      <c r="N560">
        <f>IF($P560="","",INDEX(상세표[주말·휴일 포함],$P560)&amp;"")</f>
        <v/>
      </c>
      <c r="O560">
        <f>IF($P560="","",INDEX(상세표[월 넘김 포함],$P560)&amp;"")</f>
        <v/>
      </c>
      <c r="P560" s="4">
        <f>IFERROR(MATCH(555,상세표[연속순번],0),"")</f>
        <v/>
      </c>
    </row>
    <row r="561">
      <c r="A561">
        <f>IF($P561="","",INDEX(상세표[사번],$P561)&amp;"")</f>
        <v/>
      </c>
      <c r="B561">
        <f>IF($P561="","",INDEX(상세표[성명],$P561)&amp;"")</f>
        <v/>
      </c>
      <c r="C561">
        <f>IF($P561="","",INDEX(상세표[부서],$P561)&amp;"")</f>
        <v/>
      </c>
      <c r="D561">
        <f>IF($P561="","",INDEX(상세표[직위],$P561)&amp;"")</f>
        <v/>
      </c>
      <c r="E561">
        <f>IF($P561="","",IF(ISNUMBER(INDEX(상세표[시작],$P561)),TEXT(INDEX(상세표[시작],$P561),"yyyy-mm-dd hh:mm"),INDEX(상세표[시작],$P561)&amp;""))</f>
        <v/>
      </c>
      <c r="F561">
        <f>IF($P561="","",IF(ISNUMBER(INDEX(상세표[블록종료],$P561)),TEXT(INDEX(상세표[블록종료],$P561),"yyyy-mm-dd hh:mm"),INDEX(상세표[블록종료],$P561)&amp;""))</f>
        <v/>
      </c>
      <c r="G561">
        <f>IF($P561="","",CHOOSE(WEEKDAY(INDEX(상세표[시작],$P561)),"일","월","화","수","목","금","토"))</f>
        <v/>
      </c>
      <c r="H561">
        <f>IF($P561="","",INDEX(상세표[연속 시간],$P561))</f>
        <v/>
      </c>
      <c r="I561">
        <f>IF($P561="","",INDEX(상세표[기록 수],$P561))</f>
        <v/>
      </c>
      <c r="J561">
        <f>IF($P561="","",INDEX(상세표[블록 06~07시],$P561))</f>
        <v/>
      </c>
      <c r="K561">
        <f>IF($P561="","",INDEX(상세표[블록 07~18시],$P561))</f>
        <v/>
      </c>
      <c r="L561">
        <f>IF($P561="","",INDEX(상세표[블록 18~22시],$P561))</f>
        <v/>
      </c>
      <c r="M561">
        <f>IF($P561="","",INDEX(상세표[블록 22~06시],$P561))</f>
        <v/>
      </c>
      <c r="N561">
        <f>IF($P561="","",INDEX(상세표[주말·휴일 포함],$P561)&amp;"")</f>
        <v/>
      </c>
      <c r="O561">
        <f>IF($P561="","",INDEX(상세표[월 넘김 포함],$P561)&amp;"")</f>
        <v/>
      </c>
      <c r="P561" s="4">
        <f>IFERROR(MATCH(556,상세표[연속순번],0),"")</f>
        <v/>
      </c>
    </row>
    <row r="562">
      <c r="A562">
        <f>IF($P562="","",INDEX(상세표[사번],$P562)&amp;"")</f>
        <v/>
      </c>
      <c r="B562">
        <f>IF($P562="","",INDEX(상세표[성명],$P562)&amp;"")</f>
        <v/>
      </c>
      <c r="C562">
        <f>IF($P562="","",INDEX(상세표[부서],$P562)&amp;"")</f>
        <v/>
      </c>
      <c r="D562">
        <f>IF($P562="","",INDEX(상세표[직위],$P562)&amp;"")</f>
        <v/>
      </c>
      <c r="E562">
        <f>IF($P562="","",IF(ISNUMBER(INDEX(상세표[시작],$P562)),TEXT(INDEX(상세표[시작],$P562),"yyyy-mm-dd hh:mm"),INDEX(상세표[시작],$P562)&amp;""))</f>
        <v/>
      </c>
      <c r="F562">
        <f>IF($P562="","",IF(ISNUMBER(INDEX(상세표[블록종료],$P562)),TEXT(INDEX(상세표[블록종료],$P562),"yyyy-mm-dd hh:mm"),INDEX(상세표[블록종료],$P562)&amp;""))</f>
        <v/>
      </c>
      <c r="G562">
        <f>IF($P562="","",CHOOSE(WEEKDAY(INDEX(상세표[시작],$P562)),"일","월","화","수","목","금","토"))</f>
        <v/>
      </c>
      <c r="H562">
        <f>IF($P562="","",INDEX(상세표[연속 시간],$P562))</f>
        <v/>
      </c>
      <c r="I562">
        <f>IF($P562="","",INDEX(상세표[기록 수],$P562))</f>
        <v/>
      </c>
      <c r="J562">
        <f>IF($P562="","",INDEX(상세표[블록 06~07시],$P562))</f>
        <v/>
      </c>
      <c r="K562">
        <f>IF($P562="","",INDEX(상세표[블록 07~18시],$P562))</f>
        <v/>
      </c>
      <c r="L562">
        <f>IF($P562="","",INDEX(상세표[블록 18~22시],$P562))</f>
        <v/>
      </c>
      <c r="M562">
        <f>IF($P562="","",INDEX(상세표[블록 22~06시],$P562))</f>
        <v/>
      </c>
      <c r="N562">
        <f>IF($P562="","",INDEX(상세표[주말·휴일 포함],$P562)&amp;"")</f>
        <v/>
      </c>
      <c r="O562">
        <f>IF($P562="","",INDEX(상세표[월 넘김 포함],$P562)&amp;"")</f>
        <v/>
      </c>
      <c r="P562" s="4">
        <f>IFERROR(MATCH(557,상세표[연속순번],0),"")</f>
        <v/>
      </c>
    </row>
    <row r="563">
      <c r="A563">
        <f>IF($P563="","",INDEX(상세표[사번],$P563)&amp;"")</f>
        <v/>
      </c>
      <c r="B563">
        <f>IF($P563="","",INDEX(상세표[성명],$P563)&amp;"")</f>
        <v/>
      </c>
      <c r="C563">
        <f>IF($P563="","",INDEX(상세표[부서],$P563)&amp;"")</f>
        <v/>
      </c>
      <c r="D563">
        <f>IF($P563="","",INDEX(상세표[직위],$P563)&amp;"")</f>
        <v/>
      </c>
      <c r="E563">
        <f>IF($P563="","",IF(ISNUMBER(INDEX(상세표[시작],$P563)),TEXT(INDEX(상세표[시작],$P563),"yyyy-mm-dd hh:mm"),INDEX(상세표[시작],$P563)&amp;""))</f>
        <v/>
      </c>
      <c r="F563">
        <f>IF($P563="","",IF(ISNUMBER(INDEX(상세표[블록종료],$P563)),TEXT(INDEX(상세표[블록종료],$P563),"yyyy-mm-dd hh:mm"),INDEX(상세표[블록종료],$P563)&amp;""))</f>
        <v/>
      </c>
      <c r="G563">
        <f>IF($P563="","",CHOOSE(WEEKDAY(INDEX(상세표[시작],$P563)),"일","월","화","수","목","금","토"))</f>
        <v/>
      </c>
      <c r="H563">
        <f>IF($P563="","",INDEX(상세표[연속 시간],$P563))</f>
        <v/>
      </c>
      <c r="I563">
        <f>IF($P563="","",INDEX(상세표[기록 수],$P563))</f>
        <v/>
      </c>
      <c r="J563">
        <f>IF($P563="","",INDEX(상세표[블록 06~07시],$P563))</f>
        <v/>
      </c>
      <c r="K563">
        <f>IF($P563="","",INDEX(상세표[블록 07~18시],$P563))</f>
        <v/>
      </c>
      <c r="L563">
        <f>IF($P563="","",INDEX(상세표[블록 18~22시],$P563))</f>
        <v/>
      </c>
      <c r="M563">
        <f>IF($P563="","",INDEX(상세표[블록 22~06시],$P563))</f>
        <v/>
      </c>
      <c r="N563">
        <f>IF($P563="","",INDEX(상세표[주말·휴일 포함],$P563)&amp;"")</f>
        <v/>
      </c>
      <c r="O563">
        <f>IF($P563="","",INDEX(상세표[월 넘김 포함],$P563)&amp;"")</f>
        <v/>
      </c>
      <c r="P563" s="4">
        <f>IFERROR(MATCH(558,상세표[연속순번],0),"")</f>
        <v/>
      </c>
    </row>
    <row r="564">
      <c r="A564">
        <f>IF($P564="","",INDEX(상세표[사번],$P564)&amp;"")</f>
        <v/>
      </c>
      <c r="B564">
        <f>IF($P564="","",INDEX(상세표[성명],$P564)&amp;"")</f>
        <v/>
      </c>
      <c r="C564">
        <f>IF($P564="","",INDEX(상세표[부서],$P564)&amp;"")</f>
        <v/>
      </c>
      <c r="D564">
        <f>IF($P564="","",INDEX(상세표[직위],$P564)&amp;"")</f>
        <v/>
      </c>
      <c r="E564">
        <f>IF($P564="","",IF(ISNUMBER(INDEX(상세표[시작],$P564)),TEXT(INDEX(상세표[시작],$P564),"yyyy-mm-dd hh:mm"),INDEX(상세표[시작],$P564)&amp;""))</f>
        <v/>
      </c>
      <c r="F564">
        <f>IF($P564="","",IF(ISNUMBER(INDEX(상세표[블록종료],$P564)),TEXT(INDEX(상세표[블록종료],$P564),"yyyy-mm-dd hh:mm"),INDEX(상세표[블록종료],$P564)&amp;""))</f>
        <v/>
      </c>
      <c r="G564">
        <f>IF($P564="","",CHOOSE(WEEKDAY(INDEX(상세표[시작],$P564)),"일","월","화","수","목","금","토"))</f>
        <v/>
      </c>
      <c r="H564">
        <f>IF($P564="","",INDEX(상세표[연속 시간],$P564))</f>
        <v/>
      </c>
      <c r="I564">
        <f>IF($P564="","",INDEX(상세표[기록 수],$P564))</f>
        <v/>
      </c>
      <c r="J564">
        <f>IF($P564="","",INDEX(상세표[블록 06~07시],$P564))</f>
        <v/>
      </c>
      <c r="K564">
        <f>IF($P564="","",INDEX(상세표[블록 07~18시],$P564))</f>
        <v/>
      </c>
      <c r="L564">
        <f>IF($P564="","",INDEX(상세표[블록 18~22시],$P564))</f>
        <v/>
      </c>
      <c r="M564">
        <f>IF($P564="","",INDEX(상세표[블록 22~06시],$P564))</f>
        <v/>
      </c>
      <c r="N564">
        <f>IF($P564="","",INDEX(상세표[주말·휴일 포함],$P564)&amp;"")</f>
        <v/>
      </c>
      <c r="O564">
        <f>IF($P564="","",INDEX(상세표[월 넘김 포함],$P564)&amp;"")</f>
        <v/>
      </c>
      <c r="P564" s="4">
        <f>IFERROR(MATCH(559,상세표[연속순번],0),"")</f>
        <v/>
      </c>
    </row>
    <row r="565">
      <c r="A565">
        <f>IF($P565="","",INDEX(상세표[사번],$P565)&amp;"")</f>
        <v/>
      </c>
      <c r="B565">
        <f>IF($P565="","",INDEX(상세표[성명],$P565)&amp;"")</f>
        <v/>
      </c>
      <c r="C565">
        <f>IF($P565="","",INDEX(상세표[부서],$P565)&amp;"")</f>
        <v/>
      </c>
      <c r="D565">
        <f>IF($P565="","",INDEX(상세표[직위],$P565)&amp;"")</f>
        <v/>
      </c>
      <c r="E565">
        <f>IF($P565="","",IF(ISNUMBER(INDEX(상세표[시작],$P565)),TEXT(INDEX(상세표[시작],$P565),"yyyy-mm-dd hh:mm"),INDEX(상세표[시작],$P565)&amp;""))</f>
        <v/>
      </c>
      <c r="F565">
        <f>IF($P565="","",IF(ISNUMBER(INDEX(상세표[블록종료],$P565)),TEXT(INDEX(상세표[블록종료],$P565),"yyyy-mm-dd hh:mm"),INDEX(상세표[블록종료],$P565)&amp;""))</f>
        <v/>
      </c>
      <c r="G565">
        <f>IF($P565="","",CHOOSE(WEEKDAY(INDEX(상세표[시작],$P565)),"일","월","화","수","목","금","토"))</f>
        <v/>
      </c>
      <c r="H565">
        <f>IF($P565="","",INDEX(상세표[연속 시간],$P565))</f>
        <v/>
      </c>
      <c r="I565">
        <f>IF($P565="","",INDEX(상세표[기록 수],$P565))</f>
        <v/>
      </c>
      <c r="J565">
        <f>IF($P565="","",INDEX(상세표[블록 06~07시],$P565))</f>
        <v/>
      </c>
      <c r="K565">
        <f>IF($P565="","",INDEX(상세표[블록 07~18시],$P565))</f>
        <v/>
      </c>
      <c r="L565">
        <f>IF($P565="","",INDEX(상세표[블록 18~22시],$P565))</f>
        <v/>
      </c>
      <c r="M565">
        <f>IF($P565="","",INDEX(상세표[블록 22~06시],$P565))</f>
        <v/>
      </c>
      <c r="N565">
        <f>IF($P565="","",INDEX(상세표[주말·휴일 포함],$P565)&amp;"")</f>
        <v/>
      </c>
      <c r="O565">
        <f>IF($P565="","",INDEX(상세표[월 넘김 포함],$P565)&amp;"")</f>
        <v/>
      </c>
      <c r="P565" s="4">
        <f>IFERROR(MATCH(560,상세표[연속순번],0),"")</f>
        <v/>
      </c>
    </row>
    <row r="566">
      <c r="A566">
        <f>IF($P566="","",INDEX(상세표[사번],$P566)&amp;"")</f>
        <v/>
      </c>
      <c r="B566">
        <f>IF($P566="","",INDEX(상세표[성명],$P566)&amp;"")</f>
        <v/>
      </c>
      <c r="C566">
        <f>IF($P566="","",INDEX(상세표[부서],$P566)&amp;"")</f>
        <v/>
      </c>
      <c r="D566">
        <f>IF($P566="","",INDEX(상세표[직위],$P566)&amp;"")</f>
        <v/>
      </c>
      <c r="E566">
        <f>IF($P566="","",IF(ISNUMBER(INDEX(상세표[시작],$P566)),TEXT(INDEX(상세표[시작],$P566),"yyyy-mm-dd hh:mm"),INDEX(상세표[시작],$P566)&amp;""))</f>
        <v/>
      </c>
      <c r="F566">
        <f>IF($P566="","",IF(ISNUMBER(INDEX(상세표[블록종료],$P566)),TEXT(INDEX(상세표[블록종료],$P566),"yyyy-mm-dd hh:mm"),INDEX(상세표[블록종료],$P566)&amp;""))</f>
        <v/>
      </c>
      <c r="G566">
        <f>IF($P566="","",CHOOSE(WEEKDAY(INDEX(상세표[시작],$P566)),"일","월","화","수","목","금","토"))</f>
        <v/>
      </c>
      <c r="H566">
        <f>IF($P566="","",INDEX(상세표[연속 시간],$P566))</f>
        <v/>
      </c>
      <c r="I566">
        <f>IF($P566="","",INDEX(상세표[기록 수],$P566))</f>
        <v/>
      </c>
      <c r="J566">
        <f>IF($P566="","",INDEX(상세표[블록 06~07시],$P566))</f>
        <v/>
      </c>
      <c r="K566">
        <f>IF($P566="","",INDEX(상세표[블록 07~18시],$P566))</f>
        <v/>
      </c>
      <c r="L566">
        <f>IF($P566="","",INDEX(상세표[블록 18~22시],$P566))</f>
        <v/>
      </c>
      <c r="M566">
        <f>IF($P566="","",INDEX(상세표[블록 22~06시],$P566))</f>
        <v/>
      </c>
      <c r="N566">
        <f>IF($P566="","",INDEX(상세표[주말·휴일 포함],$P566)&amp;"")</f>
        <v/>
      </c>
      <c r="O566">
        <f>IF($P566="","",INDEX(상세표[월 넘김 포함],$P566)&amp;"")</f>
        <v/>
      </c>
      <c r="P566" s="4">
        <f>IFERROR(MATCH(561,상세표[연속순번],0),"")</f>
        <v/>
      </c>
    </row>
    <row r="567">
      <c r="A567">
        <f>IF($P567="","",INDEX(상세표[사번],$P567)&amp;"")</f>
        <v/>
      </c>
      <c r="B567">
        <f>IF($P567="","",INDEX(상세표[성명],$P567)&amp;"")</f>
        <v/>
      </c>
      <c r="C567">
        <f>IF($P567="","",INDEX(상세표[부서],$P567)&amp;"")</f>
        <v/>
      </c>
      <c r="D567">
        <f>IF($P567="","",INDEX(상세표[직위],$P567)&amp;"")</f>
        <v/>
      </c>
      <c r="E567">
        <f>IF($P567="","",IF(ISNUMBER(INDEX(상세표[시작],$P567)),TEXT(INDEX(상세표[시작],$P567),"yyyy-mm-dd hh:mm"),INDEX(상세표[시작],$P567)&amp;""))</f>
        <v/>
      </c>
      <c r="F567">
        <f>IF($P567="","",IF(ISNUMBER(INDEX(상세표[블록종료],$P567)),TEXT(INDEX(상세표[블록종료],$P567),"yyyy-mm-dd hh:mm"),INDEX(상세표[블록종료],$P567)&amp;""))</f>
        <v/>
      </c>
      <c r="G567">
        <f>IF($P567="","",CHOOSE(WEEKDAY(INDEX(상세표[시작],$P567)),"일","월","화","수","목","금","토"))</f>
        <v/>
      </c>
      <c r="H567">
        <f>IF($P567="","",INDEX(상세표[연속 시간],$P567))</f>
        <v/>
      </c>
      <c r="I567">
        <f>IF($P567="","",INDEX(상세표[기록 수],$P567))</f>
        <v/>
      </c>
      <c r="J567">
        <f>IF($P567="","",INDEX(상세표[블록 06~07시],$P567))</f>
        <v/>
      </c>
      <c r="K567">
        <f>IF($P567="","",INDEX(상세표[블록 07~18시],$P567))</f>
        <v/>
      </c>
      <c r="L567">
        <f>IF($P567="","",INDEX(상세표[블록 18~22시],$P567))</f>
        <v/>
      </c>
      <c r="M567">
        <f>IF($P567="","",INDEX(상세표[블록 22~06시],$P567))</f>
        <v/>
      </c>
      <c r="N567">
        <f>IF($P567="","",INDEX(상세표[주말·휴일 포함],$P567)&amp;"")</f>
        <v/>
      </c>
      <c r="O567">
        <f>IF($P567="","",INDEX(상세표[월 넘김 포함],$P567)&amp;"")</f>
        <v/>
      </c>
      <c r="P567" s="4">
        <f>IFERROR(MATCH(562,상세표[연속순번],0),"")</f>
        <v/>
      </c>
    </row>
    <row r="568">
      <c r="A568">
        <f>IF($P568="","",INDEX(상세표[사번],$P568)&amp;"")</f>
        <v/>
      </c>
      <c r="B568">
        <f>IF($P568="","",INDEX(상세표[성명],$P568)&amp;"")</f>
        <v/>
      </c>
      <c r="C568">
        <f>IF($P568="","",INDEX(상세표[부서],$P568)&amp;"")</f>
        <v/>
      </c>
      <c r="D568">
        <f>IF($P568="","",INDEX(상세표[직위],$P568)&amp;"")</f>
        <v/>
      </c>
      <c r="E568">
        <f>IF($P568="","",IF(ISNUMBER(INDEX(상세표[시작],$P568)),TEXT(INDEX(상세표[시작],$P568),"yyyy-mm-dd hh:mm"),INDEX(상세표[시작],$P568)&amp;""))</f>
        <v/>
      </c>
      <c r="F568">
        <f>IF($P568="","",IF(ISNUMBER(INDEX(상세표[블록종료],$P568)),TEXT(INDEX(상세표[블록종료],$P568),"yyyy-mm-dd hh:mm"),INDEX(상세표[블록종료],$P568)&amp;""))</f>
        <v/>
      </c>
      <c r="G568">
        <f>IF($P568="","",CHOOSE(WEEKDAY(INDEX(상세표[시작],$P568)),"일","월","화","수","목","금","토"))</f>
        <v/>
      </c>
      <c r="H568">
        <f>IF($P568="","",INDEX(상세표[연속 시간],$P568))</f>
        <v/>
      </c>
      <c r="I568">
        <f>IF($P568="","",INDEX(상세표[기록 수],$P568))</f>
        <v/>
      </c>
      <c r="J568">
        <f>IF($P568="","",INDEX(상세표[블록 06~07시],$P568))</f>
        <v/>
      </c>
      <c r="K568">
        <f>IF($P568="","",INDEX(상세표[블록 07~18시],$P568))</f>
        <v/>
      </c>
      <c r="L568">
        <f>IF($P568="","",INDEX(상세표[블록 18~22시],$P568))</f>
        <v/>
      </c>
      <c r="M568">
        <f>IF($P568="","",INDEX(상세표[블록 22~06시],$P568))</f>
        <v/>
      </c>
      <c r="N568">
        <f>IF($P568="","",INDEX(상세표[주말·휴일 포함],$P568)&amp;"")</f>
        <v/>
      </c>
      <c r="O568">
        <f>IF($P568="","",INDEX(상세표[월 넘김 포함],$P568)&amp;"")</f>
        <v/>
      </c>
      <c r="P568" s="4">
        <f>IFERROR(MATCH(563,상세표[연속순번],0),"")</f>
        <v/>
      </c>
    </row>
    <row r="569">
      <c r="A569">
        <f>IF($P569="","",INDEX(상세표[사번],$P569)&amp;"")</f>
        <v/>
      </c>
      <c r="B569">
        <f>IF($P569="","",INDEX(상세표[성명],$P569)&amp;"")</f>
        <v/>
      </c>
      <c r="C569">
        <f>IF($P569="","",INDEX(상세표[부서],$P569)&amp;"")</f>
        <v/>
      </c>
      <c r="D569">
        <f>IF($P569="","",INDEX(상세표[직위],$P569)&amp;"")</f>
        <v/>
      </c>
      <c r="E569">
        <f>IF($P569="","",IF(ISNUMBER(INDEX(상세표[시작],$P569)),TEXT(INDEX(상세표[시작],$P569),"yyyy-mm-dd hh:mm"),INDEX(상세표[시작],$P569)&amp;""))</f>
        <v/>
      </c>
      <c r="F569">
        <f>IF($P569="","",IF(ISNUMBER(INDEX(상세표[블록종료],$P569)),TEXT(INDEX(상세표[블록종료],$P569),"yyyy-mm-dd hh:mm"),INDEX(상세표[블록종료],$P569)&amp;""))</f>
        <v/>
      </c>
      <c r="G569">
        <f>IF($P569="","",CHOOSE(WEEKDAY(INDEX(상세표[시작],$P569)),"일","월","화","수","목","금","토"))</f>
        <v/>
      </c>
      <c r="H569">
        <f>IF($P569="","",INDEX(상세표[연속 시간],$P569))</f>
        <v/>
      </c>
      <c r="I569">
        <f>IF($P569="","",INDEX(상세표[기록 수],$P569))</f>
        <v/>
      </c>
      <c r="J569">
        <f>IF($P569="","",INDEX(상세표[블록 06~07시],$P569))</f>
        <v/>
      </c>
      <c r="K569">
        <f>IF($P569="","",INDEX(상세표[블록 07~18시],$P569))</f>
        <v/>
      </c>
      <c r="L569">
        <f>IF($P569="","",INDEX(상세표[블록 18~22시],$P569))</f>
        <v/>
      </c>
      <c r="M569">
        <f>IF($P569="","",INDEX(상세표[블록 22~06시],$P569))</f>
        <v/>
      </c>
      <c r="N569">
        <f>IF($P569="","",INDEX(상세표[주말·휴일 포함],$P569)&amp;"")</f>
        <v/>
      </c>
      <c r="O569">
        <f>IF($P569="","",INDEX(상세표[월 넘김 포함],$P569)&amp;"")</f>
        <v/>
      </c>
      <c r="P569" s="4">
        <f>IFERROR(MATCH(564,상세표[연속순번],0),"")</f>
        <v/>
      </c>
    </row>
    <row r="570">
      <c r="A570">
        <f>IF($P570="","",INDEX(상세표[사번],$P570)&amp;"")</f>
        <v/>
      </c>
      <c r="B570">
        <f>IF($P570="","",INDEX(상세표[성명],$P570)&amp;"")</f>
        <v/>
      </c>
      <c r="C570">
        <f>IF($P570="","",INDEX(상세표[부서],$P570)&amp;"")</f>
        <v/>
      </c>
      <c r="D570">
        <f>IF($P570="","",INDEX(상세표[직위],$P570)&amp;"")</f>
        <v/>
      </c>
      <c r="E570">
        <f>IF($P570="","",IF(ISNUMBER(INDEX(상세표[시작],$P570)),TEXT(INDEX(상세표[시작],$P570),"yyyy-mm-dd hh:mm"),INDEX(상세표[시작],$P570)&amp;""))</f>
        <v/>
      </c>
      <c r="F570">
        <f>IF($P570="","",IF(ISNUMBER(INDEX(상세표[블록종료],$P570)),TEXT(INDEX(상세표[블록종료],$P570),"yyyy-mm-dd hh:mm"),INDEX(상세표[블록종료],$P570)&amp;""))</f>
        <v/>
      </c>
      <c r="G570">
        <f>IF($P570="","",CHOOSE(WEEKDAY(INDEX(상세표[시작],$P570)),"일","월","화","수","목","금","토"))</f>
        <v/>
      </c>
      <c r="H570">
        <f>IF($P570="","",INDEX(상세표[연속 시간],$P570))</f>
        <v/>
      </c>
      <c r="I570">
        <f>IF($P570="","",INDEX(상세표[기록 수],$P570))</f>
        <v/>
      </c>
      <c r="J570">
        <f>IF($P570="","",INDEX(상세표[블록 06~07시],$P570))</f>
        <v/>
      </c>
      <c r="K570">
        <f>IF($P570="","",INDEX(상세표[블록 07~18시],$P570))</f>
        <v/>
      </c>
      <c r="L570">
        <f>IF($P570="","",INDEX(상세표[블록 18~22시],$P570))</f>
        <v/>
      </c>
      <c r="M570">
        <f>IF($P570="","",INDEX(상세표[블록 22~06시],$P570))</f>
        <v/>
      </c>
      <c r="N570">
        <f>IF($P570="","",INDEX(상세표[주말·휴일 포함],$P570)&amp;"")</f>
        <v/>
      </c>
      <c r="O570">
        <f>IF($P570="","",INDEX(상세표[월 넘김 포함],$P570)&amp;"")</f>
        <v/>
      </c>
      <c r="P570" s="4">
        <f>IFERROR(MATCH(565,상세표[연속순번],0),"")</f>
        <v/>
      </c>
    </row>
    <row r="571">
      <c r="A571">
        <f>IF($P571="","",INDEX(상세표[사번],$P571)&amp;"")</f>
        <v/>
      </c>
      <c r="B571">
        <f>IF($P571="","",INDEX(상세표[성명],$P571)&amp;"")</f>
        <v/>
      </c>
      <c r="C571">
        <f>IF($P571="","",INDEX(상세표[부서],$P571)&amp;"")</f>
        <v/>
      </c>
      <c r="D571">
        <f>IF($P571="","",INDEX(상세표[직위],$P571)&amp;"")</f>
        <v/>
      </c>
      <c r="E571">
        <f>IF($P571="","",IF(ISNUMBER(INDEX(상세표[시작],$P571)),TEXT(INDEX(상세표[시작],$P571),"yyyy-mm-dd hh:mm"),INDEX(상세표[시작],$P571)&amp;""))</f>
        <v/>
      </c>
      <c r="F571">
        <f>IF($P571="","",IF(ISNUMBER(INDEX(상세표[블록종료],$P571)),TEXT(INDEX(상세표[블록종료],$P571),"yyyy-mm-dd hh:mm"),INDEX(상세표[블록종료],$P571)&amp;""))</f>
        <v/>
      </c>
      <c r="G571">
        <f>IF($P571="","",CHOOSE(WEEKDAY(INDEX(상세표[시작],$P571)),"일","월","화","수","목","금","토"))</f>
        <v/>
      </c>
      <c r="H571">
        <f>IF($P571="","",INDEX(상세표[연속 시간],$P571))</f>
        <v/>
      </c>
      <c r="I571">
        <f>IF($P571="","",INDEX(상세표[기록 수],$P571))</f>
        <v/>
      </c>
      <c r="J571">
        <f>IF($P571="","",INDEX(상세표[블록 06~07시],$P571))</f>
        <v/>
      </c>
      <c r="K571">
        <f>IF($P571="","",INDEX(상세표[블록 07~18시],$P571))</f>
        <v/>
      </c>
      <c r="L571">
        <f>IF($P571="","",INDEX(상세표[블록 18~22시],$P571))</f>
        <v/>
      </c>
      <c r="M571">
        <f>IF($P571="","",INDEX(상세표[블록 22~06시],$P571))</f>
        <v/>
      </c>
      <c r="N571">
        <f>IF($P571="","",INDEX(상세표[주말·휴일 포함],$P571)&amp;"")</f>
        <v/>
      </c>
      <c r="O571">
        <f>IF($P571="","",INDEX(상세표[월 넘김 포함],$P571)&amp;"")</f>
        <v/>
      </c>
      <c r="P571" s="4">
        <f>IFERROR(MATCH(566,상세표[연속순번],0),"")</f>
        <v/>
      </c>
    </row>
    <row r="572">
      <c r="A572">
        <f>IF($P572="","",INDEX(상세표[사번],$P572)&amp;"")</f>
        <v/>
      </c>
      <c r="B572">
        <f>IF($P572="","",INDEX(상세표[성명],$P572)&amp;"")</f>
        <v/>
      </c>
      <c r="C572">
        <f>IF($P572="","",INDEX(상세표[부서],$P572)&amp;"")</f>
        <v/>
      </c>
      <c r="D572">
        <f>IF($P572="","",INDEX(상세표[직위],$P572)&amp;"")</f>
        <v/>
      </c>
      <c r="E572">
        <f>IF($P572="","",IF(ISNUMBER(INDEX(상세표[시작],$P572)),TEXT(INDEX(상세표[시작],$P572),"yyyy-mm-dd hh:mm"),INDEX(상세표[시작],$P572)&amp;""))</f>
        <v/>
      </c>
      <c r="F572">
        <f>IF($P572="","",IF(ISNUMBER(INDEX(상세표[블록종료],$P572)),TEXT(INDEX(상세표[블록종료],$P572),"yyyy-mm-dd hh:mm"),INDEX(상세표[블록종료],$P572)&amp;""))</f>
        <v/>
      </c>
      <c r="G572">
        <f>IF($P572="","",CHOOSE(WEEKDAY(INDEX(상세표[시작],$P572)),"일","월","화","수","목","금","토"))</f>
        <v/>
      </c>
      <c r="H572">
        <f>IF($P572="","",INDEX(상세표[연속 시간],$P572))</f>
        <v/>
      </c>
      <c r="I572">
        <f>IF($P572="","",INDEX(상세표[기록 수],$P572))</f>
        <v/>
      </c>
      <c r="J572">
        <f>IF($P572="","",INDEX(상세표[블록 06~07시],$P572))</f>
        <v/>
      </c>
      <c r="K572">
        <f>IF($P572="","",INDEX(상세표[블록 07~18시],$P572))</f>
        <v/>
      </c>
      <c r="L572">
        <f>IF($P572="","",INDEX(상세표[블록 18~22시],$P572))</f>
        <v/>
      </c>
      <c r="M572">
        <f>IF($P572="","",INDEX(상세표[블록 22~06시],$P572))</f>
        <v/>
      </c>
      <c r="N572">
        <f>IF($P572="","",INDEX(상세표[주말·휴일 포함],$P572)&amp;"")</f>
        <v/>
      </c>
      <c r="O572">
        <f>IF($P572="","",INDEX(상세표[월 넘김 포함],$P572)&amp;"")</f>
        <v/>
      </c>
      <c r="P572" s="4">
        <f>IFERROR(MATCH(567,상세표[연속순번],0),"")</f>
        <v/>
      </c>
    </row>
    <row r="573">
      <c r="A573">
        <f>IF($P573="","",INDEX(상세표[사번],$P573)&amp;"")</f>
        <v/>
      </c>
      <c r="B573">
        <f>IF($P573="","",INDEX(상세표[성명],$P573)&amp;"")</f>
        <v/>
      </c>
      <c r="C573">
        <f>IF($P573="","",INDEX(상세표[부서],$P573)&amp;"")</f>
        <v/>
      </c>
      <c r="D573">
        <f>IF($P573="","",INDEX(상세표[직위],$P573)&amp;"")</f>
        <v/>
      </c>
      <c r="E573">
        <f>IF($P573="","",IF(ISNUMBER(INDEX(상세표[시작],$P573)),TEXT(INDEX(상세표[시작],$P573),"yyyy-mm-dd hh:mm"),INDEX(상세표[시작],$P573)&amp;""))</f>
        <v/>
      </c>
      <c r="F573">
        <f>IF($P573="","",IF(ISNUMBER(INDEX(상세표[블록종료],$P573)),TEXT(INDEX(상세표[블록종료],$P573),"yyyy-mm-dd hh:mm"),INDEX(상세표[블록종료],$P573)&amp;""))</f>
        <v/>
      </c>
      <c r="G573">
        <f>IF($P573="","",CHOOSE(WEEKDAY(INDEX(상세표[시작],$P573)),"일","월","화","수","목","금","토"))</f>
        <v/>
      </c>
      <c r="H573">
        <f>IF($P573="","",INDEX(상세표[연속 시간],$P573))</f>
        <v/>
      </c>
      <c r="I573">
        <f>IF($P573="","",INDEX(상세표[기록 수],$P573))</f>
        <v/>
      </c>
      <c r="J573">
        <f>IF($P573="","",INDEX(상세표[블록 06~07시],$P573))</f>
        <v/>
      </c>
      <c r="K573">
        <f>IF($P573="","",INDEX(상세표[블록 07~18시],$P573))</f>
        <v/>
      </c>
      <c r="L573">
        <f>IF($P573="","",INDEX(상세표[블록 18~22시],$P573))</f>
        <v/>
      </c>
      <c r="M573">
        <f>IF($P573="","",INDEX(상세표[블록 22~06시],$P573))</f>
        <v/>
      </c>
      <c r="N573">
        <f>IF($P573="","",INDEX(상세표[주말·휴일 포함],$P573)&amp;"")</f>
        <v/>
      </c>
      <c r="O573">
        <f>IF($P573="","",INDEX(상세표[월 넘김 포함],$P573)&amp;"")</f>
        <v/>
      </c>
      <c r="P573" s="4">
        <f>IFERROR(MATCH(568,상세표[연속순번],0),"")</f>
        <v/>
      </c>
    </row>
    <row r="574">
      <c r="A574">
        <f>IF($P574="","",INDEX(상세표[사번],$P574)&amp;"")</f>
        <v/>
      </c>
      <c r="B574">
        <f>IF($P574="","",INDEX(상세표[성명],$P574)&amp;"")</f>
        <v/>
      </c>
      <c r="C574">
        <f>IF($P574="","",INDEX(상세표[부서],$P574)&amp;"")</f>
        <v/>
      </c>
      <c r="D574">
        <f>IF($P574="","",INDEX(상세표[직위],$P574)&amp;"")</f>
        <v/>
      </c>
      <c r="E574">
        <f>IF($P574="","",IF(ISNUMBER(INDEX(상세표[시작],$P574)),TEXT(INDEX(상세표[시작],$P574),"yyyy-mm-dd hh:mm"),INDEX(상세표[시작],$P574)&amp;""))</f>
        <v/>
      </c>
      <c r="F574">
        <f>IF($P574="","",IF(ISNUMBER(INDEX(상세표[블록종료],$P574)),TEXT(INDEX(상세표[블록종료],$P574),"yyyy-mm-dd hh:mm"),INDEX(상세표[블록종료],$P574)&amp;""))</f>
        <v/>
      </c>
      <c r="G574">
        <f>IF($P574="","",CHOOSE(WEEKDAY(INDEX(상세표[시작],$P574)),"일","월","화","수","목","금","토"))</f>
        <v/>
      </c>
      <c r="H574">
        <f>IF($P574="","",INDEX(상세표[연속 시간],$P574))</f>
        <v/>
      </c>
      <c r="I574">
        <f>IF($P574="","",INDEX(상세표[기록 수],$P574))</f>
        <v/>
      </c>
      <c r="J574">
        <f>IF($P574="","",INDEX(상세표[블록 06~07시],$P574))</f>
        <v/>
      </c>
      <c r="K574">
        <f>IF($P574="","",INDEX(상세표[블록 07~18시],$P574))</f>
        <v/>
      </c>
      <c r="L574">
        <f>IF($P574="","",INDEX(상세표[블록 18~22시],$P574))</f>
        <v/>
      </c>
      <c r="M574">
        <f>IF($P574="","",INDEX(상세표[블록 22~06시],$P574))</f>
        <v/>
      </c>
      <c r="N574">
        <f>IF($P574="","",INDEX(상세표[주말·휴일 포함],$P574)&amp;"")</f>
        <v/>
      </c>
      <c r="O574">
        <f>IF($P574="","",INDEX(상세표[월 넘김 포함],$P574)&amp;"")</f>
        <v/>
      </c>
      <c r="P574" s="4">
        <f>IFERROR(MATCH(569,상세표[연속순번],0),"")</f>
        <v/>
      </c>
    </row>
    <row r="575">
      <c r="A575">
        <f>IF($P575="","",INDEX(상세표[사번],$P575)&amp;"")</f>
        <v/>
      </c>
      <c r="B575">
        <f>IF($P575="","",INDEX(상세표[성명],$P575)&amp;"")</f>
        <v/>
      </c>
      <c r="C575">
        <f>IF($P575="","",INDEX(상세표[부서],$P575)&amp;"")</f>
        <v/>
      </c>
      <c r="D575">
        <f>IF($P575="","",INDEX(상세표[직위],$P575)&amp;"")</f>
        <v/>
      </c>
      <c r="E575">
        <f>IF($P575="","",IF(ISNUMBER(INDEX(상세표[시작],$P575)),TEXT(INDEX(상세표[시작],$P575),"yyyy-mm-dd hh:mm"),INDEX(상세표[시작],$P575)&amp;""))</f>
        <v/>
      </c>
      <c r="F575">
        <f>IF($P575="","",IF(ISNUMBER(INDEX(상세표[블록종료],$P575)),TEXT(INDEX(상세표[블록종료],$P575),"yyyy-mm-dd hh:mm"),INDEX(상세표[블록종료],$P575)&amp;""))</f>
        <v/>
      </c>
      <c r="G575">
        <f>IF($P575="","",CHOOSE(WEEKDAY(INDEX(상세표[시작],$P575)),"일","월","화","수","목","금","토"))</f>
        <v/>
      </c>
      <c r="H575">
        <f>IF($P575="","",INDEX(상세표[연속 시간],$P575))</f>
        <v/>
      </c>
      <c r="I575">
        <f>IF($P575="","",INDEX(상세표[기록 수],$P575))</f>
        <v/>
      </c>
      <c r="J575">
        <f>IF($P575="","",INDEX(상세표[블록 06~07시],$P575))</f>
        <v/>
      </c>
      <c r="K575">
        <f>IF($P575="","",INDEX(상세표[블록 07~18시],$P575))</f>
        <v/>
      </c>
      <c r="L575">
        <f>IF($P575="","",INDEX(상세표[블록 18~22시],$P575))</f>
        <v/>
      </c>
      <c r="M575">
        <f>IF($P575="","",INDEX(상세표[블록 22~06시],$P575))</f>
        <v/>
      </c>
      <c r="N575">
        <f>IF($P575="","",INDEX(상세표[주말·휴일 포함],$P575)&amp;"")</f>
        <v/>
      </c>
      <c r="O575">
        <f>IF($P575="","",INDEX(상세표[월 넘김 포함],$P575)&amp;"")</f>
        <v/>
      </c>
      <c r="P575" s="4">
        <f>IFERROR(MATCH(570,상세표[연속순번],0),"")</f>
        <v/>
      </c>
    </row>
    <row r="576">
      <c r="A576">
        <f>IF($P576="","",INDEX(상세표[사번],$P576)&amp;"")</f>
        <v/>
      </c>
      <c r="B576">
        <f>IF($P576="","",INDEX(상세표[성명],$P576)&amp;"")</f>
        <v/>
      </c>
      <c r="C576">
        <f>IF($P576="","",INDEX(상세표[부서],$P576)&amp;"")</f>
        <v/>
      </c>
      <c r="D576">
        <f>IF($P576="","",INDEX(상세표[직위],$P576)&amp;"")</f>
        <v/>
      </c>
      <c r="E576">
        <f>IF($P576="","",IF(ISNUMBER(INDEX(상세표[시작],$P576)),TEXT(INDEX(상세표[시작],$P576),"yyyy-mm-dd hh:mm"),INDEX(상세표[시작],$P576)&amp;""))</f>
        <v/>
      </c>
      <c r="F576">
        <f>IF($P576="","",IF(ISNUMBER(INDEX(상세표[블록종료],$P576)),TEXT(INDEX(상세표[블록종료],$P576),"yyyy-mm-dd hh:mm"),INDEX(상세표[블록종료],$P576)&amp;""))</f>
        <v/>
      </c>
      <c r="G576">
        <f>IF($P576="","",CHOOSE(WEEKDAY(INDEX(상세표[시작],$P576)),"일","월","화","수","목","금","토"))</f>
        <v/>
      </c>
      <c r="H576">
        <f>IF($P576="","",INDEX(상세표[연속 시간],$P576))</f>
        <v/>
      </c>
      <c r="I576">
        <f>IF($P576="","",INDEX(상세표[기록 수],$P576))</f>
        <v/>
      </c>
      <c r="J576">
        <f>IF($P576="","",INDEX(상세표[블록 06~07시],$P576))</f>
        <v/>
      </c>
      <c r="K576">
        <f>IF($P576="","",INDEX(상세표[블록 07~18시],$P576))</f>
        <v/>
      </c>
      <c r="L576">
        <f>IF($P576="","",INDEX(상세표[블록 18~22시],$P576))</f>
        <v/>
      </c>
      <c r="M576">
        <f>IF($P576="","",INDEX(상세표[블록 22~06시],$P576))</f>
        <v/>
      </c>
      <c r="N576">
        <f>IF($P576="","",INDEX(상세표[주말·휴일 포함],$P576)&amp;"")</f>
        <v/>
      </c>
      <c r="O576">
        <f>IF($P576="","",INDEX(상세표[월 넘김 포함],$P576)&amp;"")</f>
        <v/>
      </c>
      <c r="P576" s="4">
        <f>IFERROR(MATCH(571,상세표[연속순번],0),"")</f>
        <v/>
      </c>
    </row>
    <row r="577">
      <c r="A577">
        <f>IF($P577="","",INDEX(상세표[사번],$P577)&amp;"")</f>
        <v/>
      </c>
      <c r="B577">
        <f>IF($P577="","",INDEX(상세표[성명],$P577)&amp;"")</f>
        <v/>
      </c>
      <c r="C577">
        <f>IF($P577="","",INDEX(상세표[부서],$P577)&amp;"")</f>
        <v/>
      </c>
      <c r="D577">
        <f>IF($P577="","",INDEX(상세표[직위],$P577)&amp;"")</f>
        <v/>
      </c>
      <c r="E577">
        <f>IF($P577="","",IF(ISNUMBER(INDEX(상세표[시작],$P577)),TEXT(INDEX(상세표[시작],$P577),"yyyy-mm-dd hh:mm"),INDEX(상세표[시작],$P577)&amp;""))</f>
        <v/>
      </c>
      <c r="F577">
        <f>IF($P577="","",IF(ISNUMBER(INDEX(상세표[블록종료],$P577)),TEXT(INDEX(상세표[블록종료],$P577),"yyyy-mm-dd hh:mm"),INDEX(상세표[블록종료],$P577)&amp;""))</f>
        <v/>
      </c>
      <c r="G577">
        <f>IF($P577="","",CHOOSE(WEEKDAY(INDEX(상세표[시작],$P577)),"일","월","화","수","목","금","토"))</f>
        <v/>
      </c>
      <c r="H577">
        <f>IF($P577="","",INDEX(상세표[연속 시간],$P577))</f>
        <v/>
      </c>
      <c r="I577">
        <f>IF($P577="","",INDEX(상세표[기록 수],$P577))</f>
        <v/>
      </c>
      <c r="J577">
        <f>IF($P577="","",INDEX(상세표[블록 06~07시],$P577))</f>
        <v/>
      </c>
      <c r="K577">
        <f>IF($P577="","",INDEX(상세표[블록 07~18시],$P577))</f>
        <v/>
      </c>
      <c r="L577">
        <f>IF($P577="","",INDEX(상세표[블록 18~22시],$P577))</f>
        <v/>
      </c>
      <c r="M577">
        <f>IF($P577="","",INDEX(상세표[블록 22~06시],$P577))</f>
        <v/>
      </c>
      <c r="N577">
        <f>IF($P577="","",INDEX(상세표[주말·휴일 포함],$P577)&amp;"")</f>
        <v/>
      </c>
      <c r="O577">
        <f>IF($P577="","",INDEX(상세표[월 넘김 포함],$P577)&amp;"")</f>
        <v/>
      </c>
      <c r="P577" s="4">
        <f>IFERROR(MATCH(572,상세표[연속순번],0),"")</f>
        <v/>
      </c>
    </row>
    <row r="578">
      <c r="A578">
        <f>IF($P578="","",INDEX(상세표[사번],$P578)&amp;"")</f>
        <v/>
      </c>
      <c r="B578">
        <f>IF($P578="","",INDEX(상세표[성명],$P578)&amp;"")</f>
        <v/>
      </c>
      <c r="C578">
        <f>IF($P578="","",INDEX(상세표[부서],$P578)&amp;"")</f>
        <v/>
      </c>
      <c r="D578">
        <f>IF($P578="","",INDEX(상세표[직위],$P578)&amp;"")</f>
        <v/>
      </c>
      <c r="E578">
        <f>IF($P578="","",IF(ISNUMBER(INDEX(상세표[시작],$P578)),TEXT(INDEX(상세표[시작],$P578),"yyyy-mm-dd hh:mm"),INDEX(상세표[시작],$P578)&amp;""))</f>
        <v/>
      </c>
      <c r="F578">
        <f>IF($P578="","",IF(ISNUMBER(INDEX(상세표[블록종료],$P578)),TEXT(INDEX(상세표[블록종료],$P578),"yyyy-mm-dd hh:mm"),INDEX(상세표[블록종료],$P578)&amp;""))</f>
        <v/>
      </c>
      <c r="G578">
        <f>IF($P578="","",CHOOSE(WEEKDAY(INDEX(상세표[시작],$P578)),"일","월","화","수","목","금","토"))</f>
        <v/>
      </c>
      <c r="H578">
        <f>IF($P578="","",INDEX(상세표[연속 시간],$P578))</f>
        <v/>
      </c>
      <c r="I578">
        <f>IF($P578="","",INDEX(상세표[기록 수],$P578))</f>
        <v/>
      </c>
      <c r="J578">
        <f>IF($P578="","",INDEX(상세표[블록 06~07시],$P578))</f>
        <v/>
      </c>
      <c r="K578">
        <f>IF($P578="","",INDEX(상세표[블록 07~18시],$P578))</f>
        <v/>
      </c>
      <c r="L578">
        <f>IF($P578="","",INDEX(상세표[블록 18~22시],$P578))</f>
        <v/>
      </c>
      <c r="M578">
        <f>IF($P578="","",INDEX(상세표[블록 22~06시],$P578))</f>
        <v/>
      </c>
      <c r="N578">
        <f>IF($P578="","",INDEX(상세표[주말·휴일 포함],$P578)&amp;"")</f>
        <v/>
      </c>
      <c r="O578">
        <f>IF($P578="","",INDEX(상세표[월 넘김 포함],$P578)&amp;"")</f>
        <v/>
      </c>
      <c r="P578" s="4">
        <f>IFERROR(MATCH(573,상세표[연속순번],0),"")</f>
        <v/>
      </c>
    </row>
    <row r="579">
      <c r="A579">
        <f>IF($P579="","",INDEX(상세표[사번],$P579)&amp;"")</f>
        <v/>
      </c>
      <c r="B579">
        <f>IF($P579="","",INDEX(상세표[성명],$P579)&amp;"")</f>
        <v/>
      </c>
      <c r="C579">
        <f>IF($P579="","",INDEX(상세표[부서],$P579)&amp;"")</f>
        <v/>
      </c>
      <c r="D579">
        <f>IF($P579="","",INDEX(상세표[직위],$P579)&amp;"")</f>
        <v/>
      </c>
      <c r="E579">
        <f>IF($P579="","",IF(ISNUMBER(INDEX(상세표[시작],$P579)),TEXT(INDEX(상세표[시작],$P579),"yyyy-mm-dd hh:mm"),INDEX(상세표[시작],$P579)&amp;""))</f>
        <v/>
      </c>
      <c r="F579">
        <f>IF($P579="","",IF(ISNUMBER(INDEX(상세표[블록종료],$P579)),TEXT(INDEX(상세표[블록종료],$P579),"yyyy-mm-dd hh:mm"),INDEX(상세표[블록종료],$P579)&amp;""))</f>
        <v/>
      </c>
      <c r="G579">
        <f>IF($P579="","",CHOOSE(WEEKDAY(INDEX(상세표[시작],$P579)),"일","월","화","수","목","금","토"))</f>
        <v/>
      </c>
      <c r="H579">
        <f>IF($P579="","",INDEX(상세표[연속 시간],$P579))</f>
        <v/>
      </c>
      <c r="I579">
        <f>IF($P579="","",INDEX(상세표[기록 수],$P579))</f>
        <v/>
      </c>
      <c r="J579">
        <f>IF($P579="","",INDEX(상세표[블록 06~07시],$P579))</f>
        <v/>
      </c>
      <c r="K579">
        <f>IF($P579="","",INDEX(상세표[블록 07~18시],$P579))</f>
        <v/>
      </c>
      <c r="L579">
        <f>IF($P579="","",INDEX(상세표[블록 18~22시],$P579))</f>
        <v/>
      </c>
      <c r="M579">
        <f>IF($P579="","",INDEX(상세표[블록 22~06시],$P579))</f>
        <v/>
      </c>
      <c r="N579">
        <f>IF($P579="","",INDEX(상세표[주말·휴일 포함],$P579)&amp;"")</f>
        <v/>
      </c>
      <c r="O579">
        <f>IF($P579="","",INDEX(상세표[월 넘김 포함],$P579)&amp;"")</f>
        <v/>
      </c>
      <c r="P579" s="4">
        <f>IFERROR(MATCH(574,상세표[연속순번],0),"")</f>
        <v/>
      </c>
    </row>
    <row r="580">
      <c r="A580">
        <f>IF($P580="","",INDEX(상세표[사번],$P580)&amp;"")</f>
        <v/>
      </c>
      <c r="B580">
        <f>IF($P580="","",INDEX(상세표[성명],$P580)&amp;"")</f>
        <v/>
      </c>
      <c r="C580">
        <f>IF($P580="","",INDEX(상세표[부서],$P580)&amp;"")</f>
        <v/>
      </c>
      <c r="D580">
        <f>IF($P580="","",INDEX(상세표[직위],$P580)&amp;"")</f>
        <v/>
      </c>
      <c r="E580">
        <f>IF($P580="","",IF(ISNUMBER(INDEX(상세표[시작],$P580)),TEXT(INDEX(상세표[시작],$P580),"yyyy-mm-dd hh:mm"),INDEX(상세표[시작],$P580)&amp;""))</f>
        <v/>
      </c>
      <c r="F580">
        <f>IF($P580="","",IF(ISNUMBER(INDEX(상세표[블록종료],$P580)),TEXT(INDEX(상세표[블록종료],$P580),"yyyy-mm-dd hh:mm"),INDEX(상세표[블록종료],$P580)&amp;""))</f>
        <v/>
      </c>
      <c r="G580">
        <f>IF($P580="","",CHOOSE(WEEKDAY(INDEX(상세표[시작],$P580)),"일","월","화","수","목","금","토"))</f>
        <v/>
      </c>
      <c r="H580">
        <f>IF($P580="","",INDEX(상세표[연속 시간],$P580))</f>
        <v/>
      </c>
      <c r="I580">
        <f>IF($P580="","",INDEX(상세표[기록 수],$P580))</f>
        <v/>
      </c>
      <c r="J580">
        <f>IF($P580="","",INDEX(상세표[블록 06~07시],$P580))</f>
        <v/>
      </c>
      <c r="K580">
        <f>IF($P580="","",INDEX(상세표[블록 07~18시],$P580))</f>
        <v/>
      </c>
      <c r="L580">
        <f>IF($P580="","",INDEX(상세표[블록 18~22시],$P580))</f>
        <v/>
      </c>
      <c r="M580">
        <f>IF($P580="","",INDEX(상세표[블록 22~06시],$P580))</f>
        <v/>
      </c>
      <c r="N580">
        <f>IF($P580="","",INDEX(상세표[주말·휴일 포함],$P580)&amp;"")</f>
        <v/>
      </c>
      <c r="O580">
        <f>IF($P580="","",INDEX(상세표[월 넘김 포함],$P580)&amp;"")</f>
        <v/>
      </c>
      <c r="P580" s="4">
        <f>IFERROR(MATCH(575,상세표[연속순번],0),"")</f>
        <v/>
      </c>
    </row>
    <row r="581">
      <c r="A581">
        <f>IF($P581="","",INDEX(상세표[사번],$P581)&amp;"")</f>
        <v/>
      </c>
      <c r="B581">
        <f>IF($P581="","",INDEX(상세표[성명],$P581)&amp;"")</f>
        <v/>
      </c>
      <c r="C581">
        <f>IF($P581="","",INDEX(상세표[부서],$P581)&amp;"")</f>
        <v/>
      </c>
      <c r="D581">
        <f>IF($P581="","",INDEX(상세표[직위],$P581)&amp;"")</f>
        <v/>
      </c>
      <c r="E581">
        <f>IF($P581="","",IF(ISNUMBER(INDEX(상세표[시작],$P581)),TEXT(INDEX(상세표[시작],$P581),"yyyy-mm-dd hh:mm"),INDEX(상세표[시작],$P581)&amp;""))</f>
        <v/>
      </c>
      <c r="F581">
        <f>IF($P581="","",IF(ISNUMBER(INDEX(상세표[블록종료],$P581)),TEXT(INDEX(상세표[블록종료],$P581),"yyyy-mm-dd hh:mm"),INDEX(상세표[블록종료],$P581)&amp;""))</f>
        <v/>
      </c>
      <c r="G581">
        <f>IF($P581="","",CHOOSE(WEEKDAY(INDEX(상세표[시작],$P581)),"일","월","화","수","목","금","토"))</f>
        <v/>
      </c>
      <c r="H581">
        <f>IF($P581="","",INDEX(상세표[연속 시간],$P581))</f>
        <v/>
      </c>
      <c r="I581">
        <f>IF($P581="","",INDEX(상세표[기록 수],$P581))</f>
        <v/>
      </c>
      <c r="J581">
        <f>IF($P581="","",INDEX(상세표[블록 06~07시],$P581))</f>
        <v/>
      </c>
      <c r="K581">
        <f>IF($P581="","",INDEX(상세표[블록 07~18시],$P581))</f>
        <v/>
      </c>
      <c r="L581">
        <f>IF($P581="","",INDEX(상세표[블록 18~22시],$P581))</f>
        <v/>
      </c>
      <c r="M581">
        <f>IF($P581="","",INDEX(상세표[블록 22~06시],$P581))</f>
        <v/>
      </c>
      <c r="N581">
        <f>IF($P581="","",INDEX(상세표[주말·휴일 포함],$P581)&amp;"")</f>
        <v/>
      </c>
      <c r="O581">
        <f>IF($P581="","",INDEX(상세표[월 넘김 포함],$P581)&amp;"")</f>
        <v/>
      </c>
      <c r="P581" s="4">
        <f>IFERROR(MATCH(576,상세표[연속순번],0),"")</f>
        <v/>
      </c>
    </row>
    <row r="582">
      <c r="A582">
        <f>IF($P582="","",INDEX(상세표[사번],$P582)&amp;"")</f>
        <v/>
      </c>
      <c r="B582">
        <f>IF($P582="","",INDEX(상세표[성명],$P582)&amp;"")</f>
        <v/>
      </c>
      <c r="C582">
        <f>IF($P582="","",INDEX(상세표[부서],$P582)&amp;"")</f>
        <v/>
      </c>
      <c r="D582">
        <f>IF($P582="","",INDEX(상세표[직위],$P582)&amp;"")</f>
        <v/>
      </c>
      <c r="E582">
        <f>IF($P582="","",IF(ISNUMBER(INDEX(상세표[시작],$P582)),TEXT(INDEX(상세표[시작],$P582),"yyyy-mm-dd hh:mm"),INDEX(상세표[시작],$P582)&amp;""))</f>
        <v/>
      </c>
      <c r="F582">
        <f>IF($P582="","",IF(ISNUMBER(INDEX(상세표[블록종료],$P582)),TEXT(INDEX(상세표[블록종료],$P582),"yyyy-mm-dd hh:mm"),INDEX(상세표[블록종료],$P582)&amp;""))</f>
        <v/>
      </c>
      <c r="G582">
        <f>IF($P582="","",CHOOSE(WEEKDAY(INDEX(상세표[시작],$P582)),"일","월","화","수","목","금","토"))</f>
        <v/>
      </c>
      <c r="H582">
        <f>IF($P582="","",INDEX(상세표[연속 시간],$P582))</f>
        <v/>
      </c>
      <c r="I582">
        <f>IF($P582="","",INDEX(상세표[기록 수],$P582))</f>
        <v/>
      </c>
      <c r="J582">
        <f>IF($P582="","",INDEX(상세표[블록 06~07시],$P582))</f>
        <v/>
      </c>
      <c r="K582">
        <f>IF($P582="","",INDEX(상세표[블록 07~18시],$P582))</f>
        <v/>
      </c>
      <c r="L582">
        <f>IF($P582="","",INDEX(상세표[블록 18~22시],$P582))</f>
        <v/>
      </c>
      <c r="M582">
        <f>IF($P582="","",INDEX(상세표[블록 22~06시],$P582))</f>
        <v/>
      </c>
      <c r="N582">
        <f>IF($P582="","",INDEX(상세표[주말·휴일 포함],$P582)&amp;"")</f>
        <v/>
      </c>
      <c r="O582">
        <f>IF($P582="","",INDEX(상세표[월 넘김 포함],$P582)&amp;"")</f>
        <v/>
      </c>
      <c r="P582" s="4">
        <f>IFERROR(MATCH(577,상세표[연속순번],0),"")</f>
        <v/>
      </c>
    </row>
    <row r="583">
      <c r="A583">
        <f>IF($P583="","",INDEX(상세표[사번],$P583)&amp;"")</f>
        <v/>
      </c>
      <c r="B583">
        <f>IF($P583="","",INDEX(상세표[성명],$P583)&amp;"")</f>
        <v/>
      </c>
      <c r="C583">
        <f>IF($P583="","",INDEX(상세표[부서],$P583)&amp;"")</f>
        <v/>
      </c>
      <c r="D583">
        <f>IF($P583="","",INDEX(상세표[직위],$P583)&amp;"")</f>
        <v/>
      </c>
      <c r="E583">
        <f>IF($P583="","",IF(ISNUMBER(INDEX(상세표[시작],$P583)),TEXT(INDEX(상세표[시작],$P583),"yyyy-mm-dd hh:mm"),INDEX(상세표[시작],$P583)&amp;""))</f>
        <v/>
      </c>
      <c r="F583">
        <f>IF($P583="","",IF(ISNUMBER(INDEX(상세표[블록종료],$P583)),TEXT(INDEX(상세표[블록종료],$P583),"yyyy-mm-dd hh:mm"),INDEX(상세표[블록종료],$P583)&amp;""))</f>
        <v/>
      </c>
      <c r="G583">
        <f>IF($P583="","",CHOOSE(WEEKDAY(INDEX(상세표[시작],$P583)),"일","월","화","수","목","금","토"))</f>
        <v/>
      </c>
      <c r="H583">
        <f>IF($P583="","",INDEX(상세표[연속 시간],$P583))</f>
        <v/>
      </c>
      <c r="I583">
        <f>IF($P583="","",INDEX(상세표[기록 수],$P583))</f>
        <v/>
      </c>
      <c r="J583">
        <f>IF($P583="","",INDEX(상세표[블록 06~07시],$P583))</f>
        <v/>
      </c>
      <c r="K583">
        <f>IF($P583="","",INDEX(상세표[블록 07~18시],$P583))</f>
        <v/>
      </c>
      <c r="L583">
        <f>IF($P583="","",INDEX(상세표[블록 18~22시],$P583))</f>
        <v/>
      </c>
      <c r="M583">
        <f>IF($P583="","",INDEX(상세표[블록 22~06시],$P583))</f>
        <v/>
      </c>
      <c r="N583">
        <f>IF($P583="","",INDEX(상세표[주말·휴일 포함],$P583)&amp;"")</f>
        <v/>
      </c>
      <c r="O583">
        <f>IF($P583="","",INDEX(상세표[월 넘김 포함],$P583)&amp;"")</f>
        <v/>
      </c>
      <c r="P583" s="4">
        <f>IFERROR(MATCH(578,상세표[연속순번],0),"")</f>
        <v/>
      </c>
    </row>
    <row r="584">
      <c r="A584">
        <f>IF($P584="","",INDEX(상세표[사번],$P584)&amp;"")</f>
        <v/>
      </c>
      <c r="B584">
        <f>IF($P584="","",INDEX(상세표[성명],$P584)&amp;"")</f>
        <v/>
      </c>
      <c r="C584">
        <f>IF($P584="","",INDEX(상세표[부서],$P584)&amp;"")</f>
        <v/>
      </c>
      <c r="D584">
        <f>IF($P584="","",INDEX(상세표[직위],$P584)&amp;"")</f>
        <v/>
      </c>
      <c r="E584">
        <f>IF($P584="","",IF(ISNUMBER(INDEX(상세표[시작],$P584)),TEXT(INDEX(상세표[시작],$P584),"yyyy-mm-dd hh:mm"),INDEX(상세표[시작],$P584)&amp;""))</f>
        <v/>
      </c>
      <c r="F584">
        <f>IF($P584="","",IF(ISNUMBER(INDEX(상세표[블록종료],$P584)),TEXT(INDEX(상세표[블록종료],$P584),"yyyy-mm-dd hh:mm"),INDEX(상세표[블록종료],$P584)&amp;""))</f>
        <v/>
      </c>
      <c r="G584">
        <f>IF($P584="","",CHOOSE(WEEKDAY(INDEX(상세표[시작],$P584)),"일","월","화","수","목","금","토"))</f>
        <v/>
      </c>
      <c r="H584">
        <f>IF($P584="","",INDEX(상세표[연속 시간],$P584))</f>
        <v/>
      </c>
      <c r="I584">
        <f>IF($P584="","",INDEX(상세표[기록 수],$P584))</f>
        <v/>
      </c>
      <c r="J584">
        <f>IF($P584="","",INDEX(상세표[블록 06~07시],$P584))</f>
        <v/>
      </c>
      <c r="K584">
        <f>IF($P584="","",INDEX(상세표[블록 07~18시],$P584))</f>
        <v/>
      </c>
      <c r="L584">
        <f>IF($P584="","",INDEX(상세표[블록 18~22시],$P584))</f>
        <v/>
      </c>
      <c r="M584">
        <f>IF($P584="","",INDEX(상세표[블록 22~06시],$P584))</f>
        <v/>
      </c>
      <c r="N584">
        <f>IF($P584="","",INDEX(상세표[주말·휴일 포함],$P584)&amp;"")</f>
        <v/>
      </c>
      <c r="O584">
        <f>IF($P584="","",INDEX(상세표[월 넘김 포함],$P584)&amp;"")</f>
        <v/>
      </c>
      <c r="P584" s="4">
        <f>IFERROR(MATCH(579,상세표[연속순번],0),"")</f>
        <v/>
      </c>
    </row>
    <row r="585">
      <c r="A585">
        <f>IF($P585="","",INDEX(상세표[사번],$P585)&amp;"")</f>
        <v/>
      </c>
      <c r="B585">
        <f>IF($P585="","",INDEX(상세표[성명],$P585)&amp;"")</f>
        <v/>
      </c>
      <c r="C585">
        <f>IF($P585="","",INDEX(상세표[부서],$P585)&amp;"")</f>
        <v/>
      </c>
      <c r="D585">
        <f>IF($P585="","",INDEX(상세표[직위],$P585)&amp;"")</f>
        <v/>
      </c>
      <c r="E585">
        <f>IF($P585="","",IF(ISNUMBER(INDEX(상세표[시작],$P585)),TEXT(INDEX(상세표[시작],$P585),"yyyy-mm-dd hh:mm"),INDEX(상세표[시작],$P585)&amp;""))</f>
        <v/>
      </c>
      <c r="F585">
        <f>IF($P585="","",IF(ISNUMBER(INDEX(상세표[블록종료],$P585)),TEXT(INDEX(상세표[블록종료],$P585),"yyyy-mm-dd hh:mm"),INDEX(상세표[블록종료],$P585)&amp;""))</f>
        <v/>
      </c>
      <c r="G585">
        <f>IF($P585="","",CHOOSE(WEEKDAY(INDEX(상세표[시작],$P585)),"일","월","화","수","목","금","토"))</f>
        <v/>
      </c>
      <c r="H585">
        <f>IF($P585="","",INDEX(상세표[연속 시간],$P585))</f>
        <v/>
      </c>
      <c r="I585">
        <f>IF($P585="","",INDEX(상세표[기록 수],$P585))</f>
        <v/>
      </c>
      <c r="J585">
        <f>IF($P585="","",INDEX(상세표[블록 06~07시],$P585))</f>
        <v/>
      </c>
      <c r="K585">
        <f>IF($P585="","",INDEX(상세표[블록 07~18시],$P585))</f>
        <v/>
      </c>
      <c r="L585">
        <f>IF($P585="","",INDEX(상세표[블록 18~22시],$P585))</f>
        <v/>
      </c>
      <c r="M585">
        <f>IF($P585="","",INDEX(상세표[블록 22~06시],$P585))</f>
        <v/>
      </c>
      <c r="N585">
        <f>IF($P585="","",INDEX(상세표[주말·휴일 포함],$P585)&amp;"")</f>
        <v/>
      </c>
      <c r="O585">
        <f>IF($P585="","",INDEX(상세표[월 넘김 포함],$P585)&amp;"")</f>
        <v/>
      </c>
      <c r="P585" s="4">
        <f>IFERROR(MATCH(580,상세표[연속순번],0),"")</f>
        <v/>
      </c>
    </row>
    <row r="586">
      <c r="A586">
        <f>IF($P586="","",INDEX(상세표[사번],$P586)&amp;"")</f>
        <v/>
      </c>
      <c r="B586">
        <f>IF($P586="","",INDEX(상세표[성명],$P586)&amp;"")</f>
        <v/>
      </c>
      <c r="C586">
        <f>IF($P586="","",INDEX(상세표[부서],$P586)&amp;"")</f>
        <v/>
      </c>
      <c r="D586">
        <f>IF($P586="","",INDEX(상세표[직위],$P586)&amp;"")</f>
        <v/>
      </c>
      <c r="E586">
        <f>IF($P586="","",IF(ISNUMBER(INDEX(상세표[시작],$P586)),TEXT(INDEX(상세표[시작],$P586),"yyyy-mm-dd hh:mm"),INDEX(상세표[시작],$P586)&amp;""))</f>
        <v/>
      </c>
      <c r="F586">
        <f>IF($P586="","",IF(ISNUMBER(INDEX(상세표[블록종료],$P586)),TEXT(INDEX(상세표[블록종료],$P586),"yyyy-mm-dd hh:mm"),INDEX(상세표[블록종료],$P586)&amp;""))</f>
        <v/>
      </c>
      <c r="G586">
        <f>IF($P586="","",CHOOSE(WEEKDAY(INDEX(상세표[시작],$P586)),"일","월","화","수","목","금","토"))</f>
        <v/>
      </c>
      <c r="H586">
        <f>IF($P586="","",INDEX(상세표[연속 시간],$P586))</f>
        <v/>
      </c>
      <c r="I586">
        <f>IF($P586="","",INDEX(상세표[기록 수],$P586))</f>
        <v/>
      </c>
      <c r="J586">
        <f>IF($P586="","",INDEX(상세표[블록 06~07시],$P586))</f>
        <v/>
      </c>
      <c r="K586">
        <f>IF($P586="","",INDEX(상세표[블록 07~18시],$P586))</f>
        <v/>
      </c>
      <c r="L586">
        <f>IF($P586="","",INDEX(상세표[블록 18~22시],$P586))</f>
        <v/>
      </c>
      <c r="M586">
        <f>IF($P586="","",INDEX(상세표[블록 22~06시],$P586))</f>
        <v/>
      </c>
      <c r="N586">
        <f>IF($P586="","",INDEX(상세표[주말·휴일 포함],$P586)&amp;"")</f>
        <v/>
      </c>
      <c r="O586">
        <f>IF($P586="","",INDEX(상세표[월 넘김 포함],$P586)&amp;"")</f>
        <v/>
      </c>
      <c r="P586" s="4">
        <f>IFERROR(MATCH(581,상세표[연속순번],0),"")</f>
        <v/>
      </c>
    </row>
    <row r="587">
      <c r="A587">
        <f>IF($P587="","",INDEX(상세표[사번],$P587)&amp;"")</f>
        <v/>
      </c>
      <c r="B587">
        <f>IF($P587="","",INDEX(상세표[성명],$P587)&amp;"")</f>
        <v/>
      </c>
      <c r="C587">
        <f>IF($P587="","",INDEX(상세표[부서],$P587)&amp;"")</f>
        <v/>
      </c>
      <c r="D587">
        <f>IF($P587="","",INDEX(상세표[직위],$P587)&amp;"")</f>
        <v/>
      </c>
      <c r="E587">
        <f>IF($P587="","",IF(ISNUMBER(INDEX(상세표[시작],$P587)),TEXT(INDEX(상세표[시작],$P587),"yyyy-mm-dd hh:mm"),INDEX(상세표[시작],$P587)&amp;""))</f>
        <v/>
      </c>
      <c r="F587">
        <f>IF($P587="","",IF(ISNUMBER(INDEX(상세표[블록종료],$P587)),TEXT(INDEX(상세표[블록종료],$P587),"yyyy-mm-dd hh:mm"),INDEX(상세표[블록종료],$P587)&amp;""))</f>
        <v/>
      </c>
      <c r="G587">
        <f>IF($P587="","",CHOOSE(WEEKDAY(INDEX(상세표[시작],$P587)),"일","월","화","수","목","금","토"))</f>
        <v/>
      </c>
      <c r="H587">
        <f>IF($P587="","",INDEX(상세표[연속 시간],$P587))</f>
        <v/>
      </c>
      <c r="I587">
        <f>IF($P587="","",INDEX(상세표[기록 수],$P587))</f>
        <v/>
      </c>
      <c r="J587">
        <f>IF($P587="","",INDEX(상세표[블록 06~07시],$P587))</f>
        <v/>
      </c>
      <c r="K587">
        <f>IF($P587="","",INDEX(상세표[블록 07~18시],$P587))</f>
        <v/>
      </c>
      <c r="L587">
        <f>IF($P587="","",INDEX(상세표[블록 18~22시],$P587))</f>
        <v/>
      </c>
      <c r="M587">
        <f>IF($P587="","",INDEX(상세표[블록 22~06시],$P587))</f>
        <v/>
      </c>
      <c r="N587">
        <f>IF($P587="","",INDEX(상세표[주말·휴일 포함],$P587)&amp;"")</f>
        <v/>
      </c>
      <c r="O587">
        <f>IF($P587="","",INDEX(상세표[월 넘김 포함],$P587)&amp;"")</f>
        <v/>
      </c>
      <c r="P587" s="4">
        <f>IFERROR(MATCH(582,상세표[연속순번],0),"")</f>
        <v/>
      </c>
    </row>
    <row r="588">
      <c r="A588">
        <f>IF($P588="","",INDEX(상세표[사번],$P588)&amp;"")</f>
        <v/>
      </c>
      <c r="B588">
        <f>IF($P588="","",INDEX(상세표[성명],$P588)&amp;"")</f>
        <v/>
      </c>
      <c r="C588">
        <f>IF($P588="","",INDEX(상세표[부서],$P588)&amp;"")</f>
        <v/>
      </c>
      <c r="D588">
        <f>IF($P588="","",INDEX(상세표[직위],$P588)&amp;"")</f>
        <v/>
      </c>
      <c r="E588">
        <f>IF($P588="","",IF(ISNUMBER(INDEX(상세표[시작],$P588)),TEXT(INDEX(상세표[시작],$P588),"yyyy-mm-dd hh:mm"),INDEX(상세표[시작],$P588)&amp;""))</f>
        <v/>
      </c>
      <c r="F588">
        <f>IF($P588="","",IF(ISNUMBER(INDEX(상세표[블록종료],$P588)),TEXT(INDEX(상세표[블록종료],$P588),"yyyy-mm-dd hh:mm"),INDEX(상세표[블록종료],$P588)&amp;""))</f>
        <v/>
      </c>
      <c r="G588">
        <f>IF($P588="","",CHOOSE(WEEKDAY(INDEX(상세표[시작],$P588)),"일","월","화","수","목","금","토"))</f>
        <v/>
      </c>
      <c r="H588">
        <f>IF($P588="","",INDEX(상세표[연속 시간],$P588))</f>
        <v/>
      </c>
      <c r="I588">
        <f>IF($P588="","",INDEX(상세표[기록 수],$P588))</f>
        <v/>
      </c>
      <c r="J588">
        <f>IF($P588="","",INDEX(상세표[블록 06~07시],$P588))</f>
        <v/>
      </c>
      <c r="K588">
        <f>IF($P588="","",INDEX(상세표[블록 07~18시],$P588))</f>
        <v/>
      </c>
      <c r="L588">
        <f>IF($P588="","",INDEX(상세표[블록 18~22시],$P588))</f>
        <v/>
      </c>
      <c r="M588">
        <f>IF($P588="","",INDEX(상세표[블록 22~06시],$P588))</f>
        <v/>
      </c>
      <c r="N588">
        <f>IF($P588="","",INDEX(상세표[주말·휴일 포함],$P588)&amp;"")</f>
        <v/>
      </c>
      <c r="O588">
        <f>IF($P588="","",INDEX(상세표[월 넘김 포함],$P588)&amp;"")</f>
        <v/>
      </c>
      <c r="P588" s="4">
        <f>IFERROR(MATCH(583,상세표[연속순번],0),"")</f>
        <v/>
      </c>
    </row>
    <row r="589">
      <c r="A589">
        <f>IF($P589="","",INDEX(상세표[사번],$P589)&amp;"")</f>
        <v/>
      </c>
      <c r="B589">
        <f>IF($P589="","",INDEX(상세표[성명],$P589)&amp;"")</f>
        <v/>
      </c>
      <c r="C589">
        <f>IF($P589="","",INDEX(상세표[부서],$P589)&amp;"")</f>
        <v/>
      </c>
      <c r="D589">
        <f>IF($P589="","",INDEX(상세표[직위],$P589)&amp;"")</f>
        <v/>
      </c>
      <c r="E589">
        <f>IF($P589="","",IF(ISNUMBER(INDEX(상세표[시작],$P589)),TEXT(INDEX(상세표[시작],$P589),"yyyy-mm-dd hh:mm"),INDEX(상세표[시작],$P589)&amp;""))</f>
        <v/>
      </c>
      <c r="F589">
        <f>IF($P589="","",IF(ISNUMBER(INDEX(상세표[블록종료],$P589)),TEXT(INDEX(상세표[블록종료],$P589),"yyyy-mm-dd hh:mm"),INDEX(상세표[블록종료],$P589)&amp;""))</f>
        <v/>
      </c>
      <c r="G589">
        <f>IF($P589="","",CHOOSE(WEEKDAY(INDEX(상세표[시작],$P589)),"일","월","화","수","목","금","토"))</f>
        <v/>
      </c>
      <c r="H589">
        <f>IF($P589="","",INDEX(상세표[연속 시간],$P589))</f>
        <v/>
      </c>
      <c r="I589">
        <f>IF($P589="","",INDEX(상세표[기록 수],$P589))</f>
        <v/>
      </c>
      <c r="J589">
        <f>IF($P589="","",INDEX(상세표[블록 06~07시],$P589))</f>
        <v/>
      </c>
      <c r="K589">
        <f>IF($P589="","",INDEX(상세표[블록 07~18시],$P589))</f>
        <v/>
      </c>
      <c r="L589">
        <f>IF($P589="","",INDEX(상세표[블록 18~22시],$P589))</f>
        <v/>
      </c>
      <c r="M589">
        <f>IF($P589="","",INDEX(상세표[블록 22~06시],$P589))</f>
        <v/>
      </c>
      <c r="N589">
        <f>IF($P589="","",INDEX(상세표[주말·휴일 포함],$P589)&amp;"")</f>
        <v/>
      </c>
      <c r="O589">
        <f>IF($P589="","",INDEX(상세표[월 넘김 포함],$P589)&amp;"")</f>
        <v/>
      </c>
      <c r="P589" s="4">
        <f>IFERROR(MATCH(584,상세표[연속순번],0),"")</f>
        <v/>
      </c>
    </row>
    <row r="590">
      <c r="A590">
        <f>IF($P590="","",INDEX(상세표[사번],$P590)&amp;"")</f>
        <v/>
      </c>
      <c r="B590">
        <f>IF($P590="","",INDEX(상세표[성명],$P590)&amp;"")</f>
        <v/>
      </c>
      <c r="C590">
        <f>IF($P590="","",INDEX(상세표[부서],$P590)&amp;"")</f>
        <v/>
      </c>
      <c r="D590">
        <f>IF($P590="","",INDEX(상세표[직위],$P590)&amp;"")</f>
        <v/>
      </c>
      <c r="E590">
        <f>IF($P590="","",IF(ISNUMBER(INDEX(상세표[시작],$P590)),TEXT(INDEX(상세표[시작],$P590),"yyyy-mm-dd hh:mm"),INDEX(상세표[시작],$P590)&amp;""))</f>
        <v/>
      </c>
      <c r="F590">
        <f>IF($P590="","",IF(ISNUMBER(INDEX(상세표[블록종료],$P590)),TEXT(INDEX(상세표[블록종료],$P590),"yyyy-mm-dd hh:mm"),INDEX(상세표[블록종료],$P590)&amp;""))</f>
        <v/>
      </c>
      <c r="G590">
        <f>IF($P590="","",CHOOSE(WEEKDAY(INDEX(상세표[시작],$P590)),"일","월","화","수","목","금","토"))</f>
        <v/>
      </c>
      <c r="H590">
        <f>IF($P590="","",INDEX(상세표[연속 시간],$P590))</f>
        <v/>
      </c>
      <c r="I590">
        <f>IF($P590="","",INDEX(상세표[기록 수],$P590))</f>
        <v/>
      </c>
      <c r="J590">
        <f>IF($P590="","",INDEX(상세표[블록 06~07시],$P590))</f>
        <v/>
      </c>
      <c r="K590">
        <f>IF($P590="","",INDEX(상세표[블록 07~18시],$P590))</f>
        <v/>
      </c>
      <c r="L590">
        <f>IF($P590="","",INDEX(상세표[블록 18~22시],$P590))</f>
        <v/>
      </c>
      <c r="M590">
        <f>IF($P590="","",INDEX(상세표[블록 22~06시],$P590))</f>
        <v/>
      </c>
      <c r="N590">
        <f>IF($P590="","",INDEX(상세표[주말·휴일 포함],$P590)&amp;"")</f>
        <v/>
      </c>
      <c r="O590">
        <f>IF($P590="","",INDEX(상세표[월 넘김 포함],$P590)&amp;"")</f>
        <v/>
      </c>
      <c r="P590" s="4">
        <f>IFERROR(MATCH(585,상세표[연속순번],0),"")</f>
        <v/>
      </c>
    </row>
    <row r="591">
      <c r="A591">
        <f>IF($P591="","",INDEX(상세표[사번],$P591)&amp;"")</f>
        <v/>
      </c>
      <c r="B591">
        <f>IF($P591="","",INDEX(상세표[성명],$P591)&amp;"")</f>
        <v/>
      </c>
      <c r="C591">
        <f>IF($P591="","",INDEX(상세표[부서],$P591)&amp;"")</f>
        <v/>
      </c>
      <c r="D591">
        <f>IF($P591="","",INDEX(상세표[직위],$P591)&amp;"")</f>
        <v/>
      </c>
      <c r="E591">
        <f>IF($P591="","",IF(ISNUMBER(INDEX(상세표[시작],$P591)),TEXT(INDEX(상세표[시작],$P591),"yyyy-mm-dd hh:mm"),INDEX(상세표[시작],$P591)&amp;""))</f>
        <v/>
      </c>
      <c r="F591">
        <f>IF($P591="","",IF(ISNUMBER(INDEX(상세표[블록종료],$P591)),TEXT(INDEX(상세표[블록종료],$P591),"yyyy-mm-dd hh:mm"),INDEX(상세표[블록종료],$P591)&amp;""))</f>
        <v/>
      </c>
      <c r="G591">
        <f>IF($P591="","",CHOOSE(WEEKDAY(INDEX(상세표[시작],$P591)),"일","월","화","수","목","금","토"))</f>
        <v/>
      </c>
      <c r="H591">
        <f>IF($P591="","",INDEX(상세표[연속 시간],$P591))</f>
        <v/>
      </c>
      <c r="I591">
        <f>IF($P591="","",INDEX(상세표[기록 수],$P591))</f>
        <v/>
      </c>
      <c r="J591">
        <f>IF($P591="","",INDEX(상세표[블록 06~07시],$P591))</f>
        <v/>
      </c>
      <c r="K591">
        <f>IF($P591="","",INDEX(상세표[블록 07~18시],$P591))</f>
        <v/>
      </c>
      <c r="L591">
        <f>IF($P591="","",INDEX(상세표[블록 18~22시],$P591))</f>
        <v/>
      </c>
      <c r="M591">
        <f>IF($P591="","",INDEX(상세표[블록 22~06시],$P591))</f>
        <v/>
      </c>
      <c r="N591">
        <f>IF($P591="","",INDEX(상세표[주말·휴일 포함],$P591)&amp;"")</f>
        <v/>
      </c>
      <c r="O591">
        <f>IF($P591="","",INDEX(상세표[월 넘김 포함],$P591)&amp;"")</f>
        <v/>
      </c>
      <c r="P591" s="4">
        <f>IFERROR(MATCH(586,상세표[연속순번],0),"")</f>
        <v/>
      </c>
    </row>
    <row r="592">
      <c r="A592">
        <f>IF($P592="","",INDEX(상세표[사번],$P592)&amp;"")</f>
        <v/>
      </c>
      <c r="B592">
        <f>IF($P592="","",INDEX(상세표[성명],$P592)&amp;"")</f>
        <v/>
      </c>
      <c r="C592">
        <f>IF($P592="","",INDEX(상세표[부서],$P592)&amp;"")</f>
        <v/>
      </c>
      <c r="D592">
        <f>IF($P592="","",INDEX(상세표[직위],$P592)&amp;"")</f>
        <v/>
      </c>
      <c r="E592">
        <f>IF($P592="","",IF(ISNUMBER(INDEX(상세표[시작],$P592)),TEXT(INDEX(상세표[시작],$P592),"yyyy-mm-dd hh:mm"),INDEX(상세표[시작],$P592)&amp;""))</f>
        <v/>
      </c>
      <c r="F592">
        <f>IF($P592="","",IF(ISNUMBER(INDEX(상세표[블록종료],$P592)),TEXT(INDEX(상세표[블록종료],$P592),"yyyy-mm-dd hh:mm"),INDEX(상세표[블록종료],$P592)&amp;""))</f>
        <v/>
      </c>
      <c r="G592">
        <f>IF($P592="","",CHOOSE(WEEKDAY(INDEX(상세표[시작],$P592)),"일","월","화","수","목","금","토"))</f>
        <v/>
      </c>
      <c r="H592">
        <f>IF($P592="","",INDEX(상세표[연속 시간],$P592))</f>
        <v/>
      </c>
      <c r="I592">
        <f>IF($P592="","",INDEX(상세표[기록 수],$P592))</f>
        <v/>
      </c>
      <c r="J592">
        <f>IF($P592="","",INDEX(상세표[블록 06~07시],$P592))</f>
        <v/>
      </c>
      <c r="K592">
        <f>IF($P592="","",INDEX(상세표[블록 07~18시],$P592))</f>
        <v/>
      </c>
      <c r="L592">
        <f>IF($P592="","",INDEX(상세표[블록 18~22시],$P592))</f>
        <v/>
      </c>
      <c r="M592">
        <f>IF($P592="","",INDEX(상세표[블록 22~06시],$P592))</f>
        <v/>
      </c>
      <c r="N592">
        <f>IF($P592="","",INDEX(상세표[주말·휴일 포함],$P592)&amp;"")</f>
        <v/>
      </c>
      <c r="O592">
        <f>IF($P592="","",INDEX(상세표[월 넘김 포함],$P592)&amp;"")</f>
        <v/>
      </c>
      <c r="P592" s="4">
        <f>IFERROR(MATCH(587,상세표[연속순번],0),"")</f>
        <v/>
      </c>
    </row>
    <row r="593">
      <c r="A593">
        <f>IF($P593="","",INDEX(상세표[사번],$P593)&amp;"")</f>
        <v/>
      </c>
      <c r="B593">
        <f>IF($P593="","",INDEX(상세표[성명],$P593)&amp;"")</f>
        <v/>
      </c>
      <c r="C593">
        <f>IF($P593="","",INDEX(상세표[부서],$P593)&amp;"")</f>
        <v/>
      </c>
      <c r="D593">
        <f>IF($P593="","",INDEX(상세표[직위],$P593)&amp;"")</f>
        <v/>
      </c>
      <c r="E593">
        <f>IF($P593="","",IF(ISNUMBER(INDEX(상세표[시작],$P593)),TEXT(INDEX(상세표[시작],$P593),"yyyy-mm-dd hh:mm"),INDEX(상세표[시작],$P593)&amp;""))</f>
        <v/>
      </c>
      <c r="F593">
        <f>IF($P593="","",IF(ISNUMBER(INDEX(상세표[블록종료],$P593)),TEXT(INDEX(상세표[블록종료],$P593),"yyyy-mm-dd hh:mm"),INDEX(상세표[블록종료],$P593)&amp;""))</f>
        <v/>
      </c>
      <c r="G593">
        <f>IF($P593="","",CHOOSE(WEEKDAY(INDEX(상세표[시작],$P593)),"일","월","화","수","목","금","토"))</f>
        <v/>
      </c>
      <c r="H593">
        <f>IF($P593="","",INDEX(상세표[연속 시간],$P593))</f>
        <v/>
      </c>
      <c r="I593">
        <f>IF($P593="","",INDEX(상세표[기록 수],$P593))</f>
        <v/>
      </c>
      <c r="J593">
        <f>IF($P593="","",INDEX(상세표[블록 06~07시],$P593))</f>
        <v/>
      </c>
      <c r="K593">
        <f>IF($P593="","",INDEX(상세표[블록 07~18시],$P593))</f>
        <v/>
      </c>
      <c r="L593">
        <f>IF($P593="","",INDEX(상세표[블록 18~22시],$P593))</f>
        <v/>
      </c>
      <c r="M593">
        <f>IF($P593="","",INDEX(상세표[블록 22~06시],$P593))</f>
        <v/>
      </c>
      <c r="N593">
        <f>IF($P593="","",INDEX(상세표[주말·휴일 포함],$P593)&amp;"")</f>
        <v/>
      </c>
      <c r="O593">
        <f>IF($P593="","",INDEX(상세표[월 넘김 포함],$P593)&amp;"")</f>
        <v/>
      </c>
      <c r="P593" s="4">
        <f>IFERROR(MATCH(588,상세표[연속순번],0),"")</f>
        <v/>
      </c>
    </row>
    <row r="594">
      <c r="A594">
        <f>IF($P594="","",INDEX(상세표[사번],$P594)&amp;"")</f>
        <v/>
      </c>
      <c r="B594">
        <f>IF($P594="","",INDEX(상세표[성명],$P594)&amp;"")</f>
        <v/>
      </c>
      <c r="C594">
        <f>IF($P594="","",INDEX(상세표[부서],$P594)&amp;"")</f>
        <v/>
      </c>
      <c r="D594">
        <f>IF($P594="","",INDEX(상세표[직위],$P594)&amp;"")</f>
        <v/>
      </c>
      <c r="E594">
        <f>IF($P594="","",IF(ISNUMBER(INDEX(상세표[시작],$P594)),TEXT(INDEX(상세표[시작],$P594),"yyyy-mm-dd hh:mm"),INDEX(상세표[시작],$P594)&amp;""))</f>
        <v/>
      </c>
      <c r="F594">
        <f>IF($P594="","",IF(ISNUMBER(INDEX(상세표[블록종료],$P594)),TEXT(INDEX(상세표[블록종료],$P594),"yyyy-mm-dd hh:mm"),INDEX(상세표[블록종료],$P594)&amp;""))</f>
        <v/>
      </c>
      <c r="G594">
        <f>IF($P594="","",CHOOSE(WEEKDAY(INDEX(상세표[시작],$P594)),"일","월","화","수","목","금","토"))</f>
        <v/>
      </c>
      <c r="H594">
        <f>IF($P594="","",INDEX(상세표[연속 시간],$P594))</f>
        <v/>
      </c>
      <c r="I594">
        <f>IF($P594="","",INDEX(상세표[기록 수],$P594))</f>
        <v/>
      </c>
      <c r="J594">
        <f>IF($P594="","",INDEX(상세표[블록 06~07시],$P594))</f>
        <v/>
      </c>
      <c r="K594">
        <f>IF($P594="","",INDEX(상세표[블록 07~18시],$P594))</f>
        <v/>
      </c>
      <c r="L594">
        <f>IF($P594="","",INDEX(상세표[블록 18~22시],$P594))</f>
        <v/>
      </c>
      <c r="M594">
        <f>IF($P594="","",INDEX(상세표[블록 22~06시],$P594))</f>
        <v/>
      </c>
      <c r="N594">
        <f>IF($P594="","",INDEX(상세표[주말·휴일 포함],$P594)&amp;"")</f>
        <v/>
      </c>
      <c r="O594">
        <f>IF($P594="","",INDEX(상세표[월 넘김 포함],$P594)&amp;"")</f>
        <v/>
      </c>
      <c r="P594" s="4">
        <f>IFERROR(MATCH(589,상세표[연속순번],0),"")</f>
        <v/>
      </c>
    </row>
    <row r="595">
      <c r="A595">
        <f>IF($P595="","",INDEX(상세표[사번],$P595)&amp;"")</f>
        <v/>
      </c>
      <c r="B595">
        <f>IF($P595="","",INDEX(상세표[성명],$P595)&amp;"")</f>
        <v/>
      </c>
      <c r="C595">
        <f>IF($P595="","",INDEX(상세표[부서],$P595)&amp;"")</f>
        <v/>
      </c>
      <c r="D595">
        <f>IF($P595="","",INDEX(상세표[직위],$P595)&amp;"")</f>
        <v/>
      </c>
      <c r="E595">
        <f>IF($P595="","",IF(ISNUMBER(INDEX(상세표[시작],$P595)),TEXT(INDEX(상세표[시작],$P595),"yyyy-mm-dd hh:mm"),INDEX(상세표[시작],$P595)&amp;""))</f>
        <v/>
      </c>
      <c r="F595">
        <f>IF($P595="","",IF(ISNUMBER(INDEX(상세표[블록종료],$P595)),TEXT(INDEX(상세표[블록종료],$P595),"yyyy-mm-dd hh:mm"),INDEX(상세표[블록종료],$P595)&amp;""))</f>
        <v/>
      </c>
      <c r="G595">
        <f>IF($P595="","",CHOOSE(WEEKDAY(INDEX(상세표[시작],$P595)),"일","월","화","수","목","금","토"))</f>
        <v/>
      </c>
      <c r="H595">
        <f>IF($P595="","",INDEX(상세표[연속 시간],$P595))</f>
        <v/>
      </c>
      <c r="I595">
        <f>IF($P595="","",INDEX(상세표[기록 수],$P595))</f>
        <v/>
      </c>
      <c r="J595">
        <f>IF($P595="","",INDEX(상세표[블록 06~07시],$P595))</f>
        <v/>
      </c>
      <c r="K595">
        <f>IF($P595="","",INDEX(상세표[블록 07~18시],$P595))</f>
        <v/>
      </c>
      <c r="L595">
        <f>IF($P595="","",INDEX(상세표[블록 18~22시],$P595))</f>
        <v/>
      </c>
      <c r="M595">
        <f>IF($P595="","",INDEX(상세표[블록 22~06시],$P595))</f>
        <v/>
      </c>
      <c r="N595">
        <f>IF($P595="","",INDEX(상세표[주말·휴일 포함],$P595)&amp;"")</f>
        <v/>
      </c>
      <c r="O595">
        <f>IF($P595="","",INDEX(상세표[월 넘김 포함],$P595)&amp;"")</f>
        <v/>
      </c>
      <c r="P595" s="4">
        <f>IFERROR(MATCH(590,상세표[연속순번],0),"")</f>
        <v/>
      </c>
    </row>
    <row r="596">
      <c r="A596">
        <f>IF($P596="","",INDEX(상세표[사번],$P596)&amp;"")</f>
        <v/>
      </c>
      <c r="B596">
        <f>IF($P596="","",INDEX(상세표[성명],$P596)&amp;"")</f>
        <v/>
      </c>
      <c r="C596">
        <f>IF($P596="","",INDEX(상세표[부서],$P596)&amp;"")</f>
        <v/>
      </c>
      <c r="D596">
        <f>IF($P596="","",INDEX(상세표[직위],$P596)&amp;"")</f>
        <v/>
      </c>
      <c r="E596">
        <f>IF($P596="","",IF(ISNUMBER(INDEX(상세표[시작],$P596)),TEXT(INDEX(상세표[시작],$P596),"yyyy-mm-dd hh:mm"),INDEX(상세표[시작],$P596)&amp;""))</f>
        <v/>
      </c>
      <c r="F596">
        <f>IF($P596="","",IF(ISNUMBER(INDEX(상세표[블록종료],$P596)),TEXT(INDEX(상세표[블록종료],$P596),"yyyy-mm-dd hh:mm"),INDEX(상세표[블록종료],$P596)&amp;""))</f>
        <v/>
      </c>
      <c r="G596">
        <f>IF($P596="","",CHOOSE(WEEKDAY(INDEX(상세표[시작],$P596)),"일","월","화","수","목","금","토"))</f>
        <v/>
      </c>
      <c r="H596">
        <f>IF($P596="","",INDEX(상세표[연속 시간],$P596))</f>
        <v/>
      </c>
      <c r="I596">
        <f>IF($P596="","",INDEX(상세표[기록 수],$P596))</f>
        <v/>
      </c>
      <c r="J596">
        <f>IF($P596="","",INDEX(상세표[블록 06~07시],$P596))</f>
        <v/>
      </c>
      <c r="K596">
        <f>IF($P596="","",INDEX(상세표[블록 07~18시],$P596))</f>
        <v/>
      </c>
      <c r="L596">
        <f>IF($P596="","",INDEX(상세표[블록 18~22시],$P596))</f>
        <v/>
      </c>
      <c r="M596">
        <f>IF($P596="","",INDEX(상세표[블록 22~06시],$P596))</f>
        <v/>
      </c>
      <c r="N596">
        <f>IF($P596="","",INDEX(상세표[주말·휴일 포함],$P596)&amp;"")</f>
        <v/>
      </c>
      <c r="O596">
        <f>IF($P596="","",INDEX(상세표[월 넘김 포함],$P596)&amp;"")</f>
        <v/>
      </c>
      <c r="P596" s="4">
        <f>IFERROR(MATCH(591,상세표[연속순번],0),"")</f>
        <v/>
      </c>
    </row>
    <row r="597">
      <c r="A597">
        <f>IF($P597="","",INDEX(상세표[사번],$P597)&amp;"")</f>
        <v/>
      </c>
      <c r="B597">
        <f>IF($P597="","",INDEX(상세표[성명],$P597)&amp;"")</f>
        <v/>
      </c>
      <c r="C597">
        <f>IF($P597="","",INDEX(상세표[부서],$P597)&amp;"")</f>
        <v/>
      </c>
      <c r="D597">
        <f>IF($P597="","",INDEX(상세표[직위],$P597)&amp;"")</f>
        <v/>
      </c>
      <c r="E597">
        <f>IF($P597="","",IF(ISNUMBER(INDEX(상세표[시작],$P597)),TEXT(INDEX(상세표[시작],$P597),"yyyy-mm-dd hh:mm"),INDEX(상세표[시작],$P597)&amp;""))</f>
        <v/>
      </c>
      <c r="F597">
        <f>IF($P597="","",IF(ISNUMBER(INDEX(상세표[블록종료],$P597)),TEXT(INDEX(상세표[블록종료],$P597),"yyyy-mm-dd hh:mm"),INDEX(상세표[블록종료],$P597)&amp;""))</f>
        <v/>
      </c>
      <c r="G597">
        <f>IF($P597="","",CHOOSE(WEEKDAY(INDEX(상세표[시작],$P597)),"일","월","화","수","목","금","토"))</f>
        <v/>
      </c>
      <c r="H597">
        <f>IF($P597="","",INDEX(상세표[연속 시간],$P597))</f>
        <v/>
      </c>
      <c r="I597">
        <f>IF($P597="","",INDEX(상세표[기록 수],$P597))</f>
        <v/>
      </c>
      <c r="J597">
        <f>IF($P597="","",INDEX(상세표[블록 06~07시],$P597))</f>
        <v/>
      </c>
      <c r="K597">
        <f>IF($P597="","",INDEX(상세표[블록 07~18시],$P597))</f>
        <v/>
      </c>
      <c r="L597">
        <f>IF($P597="","",INDEX(상세표[블록 18~22시],$P597))</f>
        <v/>
      </c>
      <c r="M597">
        <f>IF($P597="","",INDEX(상세표[블록 22~06시],$P597))</f>
        <v/>
      </c>
      <c r="N597">
        <f>IF($P597="","",INDEX(상세표[주말·휴일 포함],$P597)&amp;"")</f>
        <v/>
      </c>
      <c r="O597">
        <f>IF($P597="","",INDEX(상세표[월 넘김 포함],$P597)&amp;"")</f>
        <v/>
      </c>
      <c r="P597" s="4">
        <f>IFERROR(MATCH(592,상세표[연속순번],0),"")</f>
        <v/>
      </c>
    </row>
    <row r="598">
      <c r="A598">
        <f>IF($P598="","",INDEX(상세표[사번],$P598)&amp;"")</f>
        <v/>
      </c>
      <c r="B598">
        <f>IF($P598="","",INDEX(상세표[성명],$P598)&amp;"")</f>
        <v/>
      </c>
      <c r="C598">
        <f>IF($P598="","",INDEX(상세표[부서],$P598)&amp;"")</f>
        <v/>
      </c>
      <c r="D598">
        <f>IF($P598="","",INDEX(상세표[직위],$P598)&amp;"")</f>
        <v/>
      </c>
      <c r="E598">
        <f>IF($P598="","",IF(ISNUMBER(INDEX(상세표[시작],$P598)),TEXT(INDEX(상세표[시작],$P598),"yyyy-mm-dd hh:mm"),INDEX(상세표[시작],$P598)&amp;""))</f>
        <v/>
      </c>
      <c r="F598">
        <f>IF($P598="","",IF(ISNUMBER(INDEX(상세표[블록종료],$P598)),TEXT(INDEX(상세표[블록종료],$P598),"yyyy-mm-dd hh:mm"),INDEX(상세표[블록종료],$P598)&amp;""))</f>
        <v/>
      </c>
      <c r="G598">
        <f>IF($P598="","",CHOOSE(WEEKDAY(INDEX(상세표[시작],$P598)),"일","월","화","수","목","금","토"))</f>
        <v/>
      </c>
      <c r="H598">
        <f>IF($P598="","",INDEX(상세표[연속 시간],$P598))</f>
        <v/>
      </c>
      <c r="I598">
        <f>IF($P598="","",INDEX(상세표[기록 수],$P598))</f>
        <v/>
      </c>
      <c r="J598">
        <f>IF($P598="","",INDEX(상세표[블록 06~07시],$P598))</f>
        <v/>
      </c>
      <c r="K598">
        <f>IF($P598="","",INDEX(상세표[블록 07~18시],$P598))</f>
        <v/>
      </c>
      <c r="L598">
        <f>IF($P598="","",INDEX(상세표[블록 18~22시],$P598))</f>
        <v/>
      </c>
      <c r="M598">
        <f>IF($P598="","",INDEX(상세표[블록 22~06시],$P598))</f>
        <v/>
      </c>
      <c r="N598">
        <f>IF($P598="","",INDEX(상세표[주말·휴일 포함],$P598)&amp;"")</f>
        <v/>
      </c>
      <c r="O598">
        <f>IF($P598="","",INDEX(상세표[월 넘김 포함],$P598)&amp;"")</f>
        <v/>
      </c>
      <c r="P598" s="4">
        <f>IFERROR(MATCH(593,상세표[연속순번],0),"")</f>
        <v/>
      </c>
    </row>
    <row r="599">
      <c r="A599">
        <f>IF($P599="","",INDEX(상세표[사번],$P599)&amp;"")</f>
        <v/>
      </c>
      <c r="B599">
        <f>IF($P599="","",INDEX(상세표[성명],$P599)&amp;"")</f>
        <v/>
      </c>
      <c r="C599">
        <f>IF($P599="","",INDEX(상세표[부서],$P599)&amp;"")</f>
        <v/>
      </c>
      <c r="D599">
        <f>IF($P599="","",INDEX(상세표[직위],$P599)&amp;"")</f>
        <v/>
      </c>
      <c r="E599">
        <f>IF($P599="","",IF(ISNUMBER(INDEX(상세표[시작],$P599)),TEXT(INDEX(상세표[시작],$P599),"yyyy-mm-dd hh:mm"),INDEX(상세표[시작],$P599)&amp;""))</f>
        <v/>
      </c>
      <c r="F599">
        <f>IF($P599="","",IF(ISNUMBER(INDEX(상세표[블록종료],$P599)),TEXT(INDEX(상세표[블록종료],$P599),"yyyy-mm-dd hh:mm"),INDEX(상세표[블록종료],$P599)&amp;""))</f>
        <v/>
      </c>
      <c r="G599">
        <f>IF($P599="","",CHOOSE(WEEKDAY(INDEX(상세표[시작],$P599)),"일","월","화","수","목","금","토"))</f>
        <v/>
      </c>
      <c r="H599">
        <f>IF($P599="","",INDEX(상세표[연속 시간],$P599))</f>
        <v/>
      </c>
      <c r="I599">
        <f>IF($P599="","",INDEX(상세표[기록 수],$P599))</f>
        <v/>
      </c>
      <c r="J599">
        <f>IF($P599="","",INDEX(상세표[블록 06~07시],$P599))</f>
        <v/>
      </c>
      <c r="K599">
        <f>IF($P599="","",INDEX(상세표[블록 07~18시],$P599))</f>
        <v/>
      </c>
      <c r="L599">
        <f>IF($P599="","",INDEX(상세표[블록 18~22시],$P599))</f>
        <v/>
      </c>
      <c r="M599">
        <f>IF($P599="","",INDEX(상세표[블록 22~06시],$P599))</f>
        <v/>
      </c>
      <c r="N599">
        <f>IF($P599="","",INDEX(상세표[주말·휴일 포함],$P599)&amp;"")</f>
        <v/>
      </c>
      <c r="O599">
        <f>IF($P599="","",INDEX(상세표[월 넘김 포함],$P599)&amp;"")</f>
        <v/>
      </c>
      <c r="P599" s="4">
        <f>IFERROR(MATCH(594,상세표[연속순번],0),"")</f>
        <v/>
      </c>
    </row>
    <row r="600">
      <c r="A600">
        <f>IF($P600="","",INDEX(상세표[사번],$P600)&amp;"")</f>
        <v/>
      </c>
      <c r="B600">
        <f>IF($P600="","",INDEX(상세표[성명],$P600)&amp;"")</f>
        <v/>
      </c>
      <c r="C600">
        <f>IF($P600="","",INDEX(상세표[부서],$P600)&amp;"")</f>
        <v/>
      </c>
      <c r="D600">
        <f>IF($P600="","",INDEX(상세표[직위],$P600)&amp;"")</f>
        <v/>
      </c>
      <c r="E600">
        <f>IF($P600="","",IF(ISNUMBER(INDEX(상세표[시작],$P600)),TEXT(INDEX(상세표[시작],$P600),"yyyy-mm-dd hh:mm"),INDEX(상세표[시작],$P600)&amp;""))</f>
        <v/>
      </c>
      <c r="F600">
        <f>IF($P600="","",IF(ISNUMBER(INDEX(상세표[블록종료],$P600)),TEXT(INDEX(상세표[블록종료],$P600),"yyyy-mm-dd hh:mm"),INDEX(상세표[블록종료],$P600)&amp;""))</f>
        <v/>
      </c>
      <c r="G600">
        <f>IF($P600="","",CHOOSE(WEEKDAY(INDEX(상세표[시작],$P600)),"일","월","화","수","목","금","토"))</f>
        <v/>
      </c>
      <c r="H600">
        <f>IF($P600="","",INDEX(상세표[연속 시간],$P600))</f>
        <v/>
      </c>
      <c r="I600">
        <f>IF($P600="","",INDEX(상세표[기록 수],$P600))</f>
        <v/>
      </c>
      <c r="J600">
        <f>IF($P600="","",INDEX(상세표[블록 06~07시],$P600))</f>
        <v/>
      </c>
      <c r="K600">
        <f>IF($P600="","",INDEX(상세표[블록 07~18시],$P600))</f>
        <v/>
      </c>
      <c r="L600">
        <f>IF($P600="","",INDEX(상세표[블록 18~22시],$P600))</f>
        <v/>
      </c>
      <c r="M600">
        <f>IF($P600="","",INDEX(상세표[블록 22~06시],$P600))</f>
        <v/>
      </c>
      <c r="N600">
        <f>IF($P600="","",INDEX(상세표[주말·휴일 포함],$P600)&amp;"")</f>
        <v/>
      </c>
      <c r="O600">
        <f>IF($P600="","",INDEX(상세표[월 넘김 포함],$P600)&amp;"")</f>
        <v/>
      </c>
      <c r="P600" s="4">
        <f>IFERROR(MATCH(595,상세표[연속순번],0),"")</f>
        <v/>
      </c>
    </row>
    <row r="601">
      <c r="A601">
        <f>IF($P601="","",INDEX(상세표[사번],$P601)&amp;"")</f>
        <v/>
      </c>
      <c r="B601">
        <f>IF($P601="","",INDEX(상세표[성명],$P601)&amp;"")</f>
        <v/>
      </c>
      <c r="C601">
        <f>IF($P601="","",INDEX(상세표[부서],$P601)&amp;"")</f>
        <v/>
      </c>
      <c r="D601">
        <f>IF($P601="","",INDEX(상세표[직위],$P601)&amp;"")</f>
        <v/>
      </c>
      <c r="E601">
        <f>IF($P601="","",IF(ISNUMBER(INDEX(상세표[시작],$P601)),TEXT(INDEX(상세표[시작],$P601),"yyyy-mm-dd hh:mm"),INDEX(상세표[시작],$P601)&amp;""))</f>
        <v/>
      </c>
      <c r="F601">
        <f>IF($P601="","",IF(ISNUMBER(INDEX(상세표[블록종료],$P601)),TEXT(INDEX(상세표[블록종료],$P601),"yyyy-mm-dd hh:mm"),INDEX(상세표[블록종료],$P601)&amp;""))</f>
        <v/>
      </c>
      <c r="G601">
        <f>IF($P601="","",CHOOSE(WEEKDAY(INDEX(상세표[시작],$P601)),"일","월","화","수","목","금","토"))</f>
        <v/>
      </c>
      <c r="H601">
        <f>IF($P601="","",INDEX(상세표[연속 시간],$P601))</f>
        <v/>
      </c>
      <c r="I601">
        <f>IF($P601="","",INDEX(상세표[기록 수],$P601))</f>
        <v/>
      </c>
      <c r="J601">
        <f>IF($P601="","",INDEX(상세표[블록 06~07시],$P601))</f>
        <v/>
      </c>
      <c r="K601">
        <f>IF($P601="","",INDEX(상세표[블록 07~18시],$P601))</f>
        <v/>
      </c>
      <c r="L601">
        <f>IF($P601="","",INDEX(상세표[블록 18~22시],$P601))</f>
        <v/>
      </c>
      <c r="M601">
        <f>IF($P601="","",INDEX(상세표[블록 22~06시],$P601))</f>
        <v/>
      </c>
      <c r="N601">
        <f>IF($P601="","",INDEX(상세표[주말·휴일 포함],$P601)&amp;"")</f>
        <v/>
      </c>
      <c r="O601">
        <f>IF($P601="","",INDEX(상세표[월 넘김 포함],$P601)&amp;"")</f>
        <v/>
      </c>
      <c r="P601" s="4">
        <f>IFERROR(MATCH(596,상세표[연속순번],0),"")</f>
        <v/>
      </c>
    </row>
    <row r="602">
      <c r="A602">
        <f>IF($P602="","",INDEX(상세표[사번],$P602)&amp;"")</f>
        <v/>
      </c>
      <c r="B602">
        <f>IF($P602="","",INDEX(상세표[성명],$P602)&amp;"")</f>
        <v/>
      </c>
      <c r="C602">
        <f>IF($P602="","",INDEX(상세표[부서],$P602)&amp;"")</f>
        <v/>
      </c>
      <c r="D602">
        <f>IF($P602="","",INDEX(상세표[직위],$P602)&amp;"")</f>
        <v/>
      </c>
      <c r="E602">
        <f>IF($P602="","",IF(ISNUMBER(INDEX(상세표[시작],$P602)),TEXT(INDEX(상세표[시작],$P602),"yyyy-mm-dd hh:mm"),INDEX(상세표[시작],$P602)&amp;""))</f>
        <v/>
      </c>
      <c r="F602">
        <f>IF($P602="","",IF(ISNUMBER(INDEX(상세표[블록종료],$P602)),TEXT(INDEX(상세표[블록종료],$P602),"yyyy-mm-dd hh:mm"),INDEX(상세표[블록종료],$P602)&amp;""))</f>
        <v/>
      </c>
      <c r="G602">
        <f>IF($P602="","",CHOOSE(WEEKDAY(INDEX(상세표[시작],$P602)),"일","월","화","수","목","금","토"))</f>
        <v/>
      </c>
      <c r="H602">
        <f>IF($P602="","",INDEX(상세표[연속 시간],$P602))</f>
        <v/>
      </c>
      <c r="I602">
        <f>IF($P602="","",INDEX(상세표[기록 수],$P602))</f>
        <v/>
      </c>
      <c r="J602">
        <f>IF($P602="","",INDEX(상세표[블록 06~07시],$P602))</f>
        <v/>
      </c>
      <c r="K602">
        <f>IF($P602="","",INDEX(상세표[블록 07~18시],$P602))</f>
        <v/>
      </c>
      <c r="L602">
        <f>IF($P602="","",INDEX(상세표[블록 18~22시],$P602))</f>
        <v/>
      </c>
      <c r="M602">
        <f>IF($P602="","",INDEX(상세표[블록 22~06시],$P602))</f>
        <v/>
      </c>
      <c r="N602">
        <f>IF($P602="","",INDEX(상세표[주말·휴일 포함],$P602)&amp;"")</f>
        <v/>
      </c>
      <c r="O602">
        <f>IF($P602="","",INDEX(상세표[월 넘김 포함],$P602)&amp;"")</f>
        <v/>
      </c>
      <c r="P602" s="4">
        <f>IFERROR(MATCH(597,상세표[연속순번],0),"")</f>
        <v/>
      </c>
    </row>
    <row r="603">
      <c r="A603">
        <f>IF($P603="","",INDEX(상세표[사번],$P603)&amp;"")</f>
        <v/>
      </c>
      <c r="B603">
        <f>IF($P603="","",INDEX(상세표[성명],$P603)&amp;"")</f>
        <v/>
      </c>
      <c r="C603">
        <f>IF($P603="","",INDEX(상세표[부서],$P603)&amp;"")</f>
        <v/>
      </c>
      <c r="D603">
        <f>IF($P603="","",INDEX(상세표[직위],$P603)&amp;"")</f>
        <v/>
      </c>
      <c r="E603">
        <f>IF($P603="","",IF(ISNUMBER(INDEX(상세표[시작],$P603)),TEXT(INDEX(상세표[시작],$P603),"yyyy-mm-dd hh:mm"),INDEX(상세표[시작],$P603)&amp;""))</f>
        <v/>
      </c>
      <c r="F603">
        <f>IF($P603="","",IF(ISNUMBER(INDEX(상세표[블록종료],$P603)),TEXT(INDEX(상세표[블록종료],$P603),"yyyy-mm-dd hh:mm"),INDEX(상세표[블록종료],$P603)&amp;""))</f>
        <v/>
      </c>
      <c r="G603">
        <f>IF($P603="","",CHOOSE(WEEKDAY(INDEX(상세표[시작],$P603)),"일","월","화","수","목","금","토"))</f>
        <v/>
      </c>
      <c r="H603">
        <f>IF($P603="","",INDEX(상세표[연속 시간],$P603))</f>
        <v/>
      </c>
      <c r="I603">
        <f>IF($P603="","",INDEX(상세표[기록 수],$P603))</f>
        <v/>
      </c>
      <c r="J603">
        <f>IF($P603="","",INDEX(상세표[블록 06~07시],$P603))</f>
        <v/>
      </c>
      <c r="K603">
        <f>IF($P603="","",INDEX(상세표[블록 07~18시],$P603))</f>
        <v/>
      </c>
      <c r="L603">
        <f>IF($P603="","",INDEX(상세표[블록 18~22시],$P603))</f>
        <v/>
      </c>
      <c r="M603">
        <f>IF($P603="","",INDEX(상세표[블록 22~06시],$P603))</f>
        <v/>
      </c>
      <c r="N603">
        <f>IF($P603="","",INDEX(상세표[주말·휴일 포함],$P603)&amp;"")</f>
        <v/>
      </c>
      <c r="O603">
        <f>IF($P603="","",INDEX(상세표[월 넘김 포함],$P603)&amp;"")</f>
        <v/>
      </c>
      <c r="P603" s="4">
        <f>IFERROR(MATCH(598,상세표[연속순번],0),"")</f>
        <v/>
      </c>
    </row>
    <row r="604">
      <c r="A604">
        <f>IF($P604="","",INDEX(상세표[사번],$P604)&amp;"")</f>
        <v/>
      </c>
      <c r="B604">
        <f>IF($P604="","",INDEX(상세표[성명],$P604)&amp;"")</f>
        <v/>
      </c>
      <c r="C604">
        <f>IF($P604="","",INDEX(상세표[부서],$P604)&amp;"")</f>
        <v/>
      </c>
      <c r="D604">
        <f>IF($P604="","",INDEX(상세표[직위],$P604)&amp;"")</f>
        <v/>
      </c>
      <c r="E604">
        <f>IF($P604="","",IF(ISNUMBER(INDEX(상세표[시작],$P604)),TEXT(INDEX(상세표[시작],$P604),"yyyy-mm-dd hh:mm"),INDEX(상세표[시작],$P604)&amp;""))</f>
        <v/>
      </c>
      <c r="F604">
        <f>IF($P604="","",IF(ISNUMBER(INDEX(상세표[블록종료],$P604)),TEXT(INDEX(상세표[블록종료],$P604),"yyyy-mm-dd hh:mm"),INDEX(상세표[블록종료],$P604)&amp;""))</f>
        <v/>
      </c>
      <c r="G604">
        <f>IF($P604="","",CHOOSE(WEEKDAY(INDEX(상세표[시작],$P604)),"일","월","화","수","목","금","토"))</f>
        <v/>
      </c>
      <c r="H604">
        <f>IF($P604="","",INDEX(상세표[연속 시간],$P604))</f>
        <v/>
      </c>
      <c r="I604">
        <f>IF($P604="","",INDEX(상세표[기록 수],$P604))</f>
        <v/>
      </c>
      <c r="J604">
        <f>IF($P604="","",INDEX(상세표[블록 06~07시],$P604))</f>
        <v/>
      </c>
      <c r="K604">
        <f>IF($P604="","",INDEX(상세표[블록 07~18시],$P604))</f>
        <v/>
      </c>
      <c r="L604">
        <f>IF($P604="","",INDEX(상세표[블록 18~22시],$P604))</f>
        <v/>
      </c>
      <c r="M604">
        <f>IF($P604="","",INDEX(상세표[블록 22~06시],$P604))</f>
        <v/>
      </c>
      <c r="N604">
        <f>IF($P604="","",INDEX(상세표[주말·휴일 포함],$P604)&amp;"")</f>
        <v/>
      </c>
      <c r="O604">
        <f>IF($P604="","",INDEX(상세표[월 넘김 포함],$P604)&amp;"")</f>
        <v/>
      </c>
      <c r="P604" s="4">
        <f>IFERROR(MATCH(599,상세표[연속순번],0),"")</f>
        <v/>
      </c>
    </row>
    <row r="605">
      <c r="A605">
        <f>IF($P605="","",INDEX(상세표[사번],$P605)&amp;"")</f>
        <v/>
      </c>
      <c r="B605">
        <f>IF($P605="","",INDEX(상세표[성명],$P605)&amp;"")</f>
        <v/>
      </c>
      <c r="C605">
        <f>IF($P605="","",INDEX(상세표[부서],$P605)&amp;"")</f>
        <v/>
      </c>
      <c r="D605">
        <f>IF($P605="","",INDEX(상세표[직위],$P605)&amp;"")</f>
        <v/>
      </c>
      <c r="E605">
        <f>IF($P605="","",IF(ISNUMBER(INDEX(상세표[시작],$P605)),TEXT(INDEX(상세표[시작],$P605),"yyyy-mm-dd hh:mm"),INDEX(상세표[시작],$P605)&amp;""))</f>
        <v/>
      </c>
      <c r="F605">
        <f>IF($P605="","",IF(ISNUMBER(INDEX(상세표[블록종료],$P605)),TEXT(INDEX(상세표[블록종료],$P605),"yyyy-mm-dd hh:mm"),INDEX(상세표[블록종료],$P605)&amp;""))</f>
        <v/>
      </c>
      <c r="G605">
        <f>IF($P605="","",CHOOSE(WEEKDAY(INDEX(상세표[시작],$P605)),"일","월","화","수","목","금","토"))</f>
        <v/>
      </c>
      <c r="H605">
        <f>IF($P605="","",INDEX(상세표[연속 시간],$P605))</f>
        <v/>
      </c>
      <c r="I605">
        <f>IF($P605="","",INDEX(상세표[기록 수],$P605))</f>
        <v/>
      </c>
      <c r="J605">
        <f>IF($P605="","",INDEX(상세표[블록 06~07시],$P605))</f>
        <v/>
      </c>
      <c r="K605">
        <f>IF($P605="","",INDEX(상세표[블록 07~18시],$P605))</f>
        <v/>
      </c>
      <c r="L605">
        <f>IF($P605="","",INDEX(상세표[블록 18~22시],$P605))</f>
        <v/>
      </c>
      <c r="M605">
        <f>IF($P605="","",INDEX(상세표[블록 22~06시],$P605))</f>
        <v/>
      </c>
      <c r="N605">
        <f>IF($P605="","",INDEX(상세표[주말·휴일 포함],$P605)&amp;"")</f>
        <v/>
      </c>
      <c r="O605">
        <f>IF($P605="","",INDEX(상세표[월 넘김 포함],$P605)&amp;"")</f>
        <v/>
      </c>
      <c r="P605" s="4">
        <f>IFERROR(MATCH(600,상세표[연속순번],0),"")</f>
        <v/>
      </c>
    </row>
    <row r="606">
      <c r="A606">
        <f>IF($P606="","",INDEX(상세표[사번],$P606)&amp;"")</f>
        <v/>
      </c>
      <c r="B606">
        <f>IF($P606="","",INDEX(상세표[성명],$P606)&amp;"")</f>
        <v/>
      </c>
      <c r="C606">
        <f>IF($P606="","",INDEX(상세표[부서],$P606)&amp;"")</f>
        <v/>
      </c>
      <c r="D606">
        <f>IF($P606="","",INDEX(상세표[직위],$P606)&amp;"")</f>
        <v/>
      </c>
      <c r="E606">
        <f>IF($P606="","",IF(ISNUMBER(INDEX(상세표[시작],$P606)),TEXT(INDEX(상세표[시작],$P606),"yyyy-mm-dd hh:mm"),INDEX(상세표[시작],$P606)&amp;""))</f>
        <v/>
      </c>
      <c r="F606">
        <f>IF($P606="","",IF(ISNUMBER(INDEX(상세표[블록종료],$P606)),TEXT(INDEX(상세표[블록종료],$P606),"yyyy-mm-dd hh:mm"),INDEX(상세표[블록종료],$P606)&amp;""))</f>
        <v/>
      </c>
      <c r="G606">
        <f>IF($P606="","",CHOOSE(WEEKDAY(INDEX(상세표[시작],$P606)),"일","월","화","수","목","금","토"))</f>
        <v/>
      </c>
      <c r="H606">
        <f>IF($P606="","",INDEX(상세표[연속 시간],$P606))</f>
        <v/>
      </c>
      <c r="I606">
        <f>IF($P606="","",INDEX(상세표[기록 수],$P606))</f>
        <v/>
      </c>
      <c r="J606">
        <f>IF($P606="","",INDEX(상세표[블록 06~07시],$P606))</f>
        <v/>
      </c>
      <c r="K606">
        <f>IF($P606="","",INDEX(상세표[블록 07~18시],$P606))</f>
        <v/>
      </c>
      <c r="L606">
        <f>IF($P606="","",INDEX(상세표[블록 18~22시],$P606))</f>
        <v/>
      </c>
      <c r="M606">
        <f>IF($P606="","",INDEX(상세표[블록 22~06시],$P606))</f>
        <v/>
      </c>
      <c r="N606">
        <f>IF($P606="","",INDEX(상세표[주말·휴일 포함],$P606)&amp;"")</f>
        <v/>
      </c>
      <c r="O606">
        <f>IF($P606="","",INDEX(상세표[월 넘김 포함],$P606)&amp;"")</f>
        <v/>
      </c>
      <c r="P606" s="4">
        <f>IFERROR(MATCH(601,상세표[연속순번],0),"")</f>
        <v/>
      </c>
    </row>
    <row r="607">
      <c r="A607">
        <f>IF($P607="","",INDEX(상세표[사번],$P607)&amp;"")</f>
        <v/>
      </c>
      <c r="B607">
        <f>IF($P607="","",INDEX(상세표[성명],$P607)&amp;"")</f>
        <v/>
      </c>
      <c r="C607">
        <f>IF($P607="","",INDEX(상세표[부서],$P607)&amp;"")</f>
        <v/>
      </c>
      <c r="D607">
        <f>IF($P607="","",INDEX(상세표[직위],$P607)&amp;"")</f>
        <v/>
      </c>
      <c r="E607">
        <f>IF($P607="","",IF(ISNUMBER(INDEX(상세표[시작],$P607)),TEXT(INDEX(상세표[시작],$P607),"yyyy-mm-dd hh:mm"),INDEX(상세표[시작],$P607)&amp;""))</f>
        <v/>
      </c>
      <c r="F607">
        <f>IF($P607="","",IF(ISNUMBER(INDEX(상세표[블록종료],$P607)),TEXT(INDEX(상세표[블록종료],$P607),"yyyy-mm-dd hh:mm"),INDEX(상세표[블록종료],$P607)&amp;""))</f>
        <v/>
      </c>
      <c r="G607">
        <f>IF($P607="","",CHOOSE(WEEKDAY(INDEX(상세표[시작],$P607)),"일","월","화","수","목","금","토"))</f>
        <v/>
      </c>
      <c r="H607">
        <f>IF($P607="","",INDEX(상세표[연속 시간],$P607))</f>
        <v/>
      </c>
      <c r="I607">
        <f>IF($P607="","",INDEX(상세표[기록 수],$P607))</f>
        <v/>
      </c>
      <c r="J607">
        <f>IF($P607="","",INDEX(상세표[블록 06~07시],$P607))</f>
        <v/>
      </c>
      <c r="K607">
        <f>IF($P607="","",INDEX(상세표[블록 07~18시],$P607))</f>
        <v/>
      </c>
      <c r="L607">
        <f>IF($P607="","",INDEX(상세표[블록 18~22시],$P607))</f>
        <v/>
      </c>
      <c r="M607">
        <f>IF($P607="","",INDEX(상세표[블록 22~06시],$P607))</f>
        <v/>
      </c>
      <c r="N607">
        <f>IF($P607="","",INDEX(상세표[주말·휴일 포함],$P607)&amp;"")</f>
        <v/>
      </c>
      <c r="O607">
        <f>IF($P607="","",INDEX(상세표[월 넘김 포함],$P607)&amp;"")</f>
        <v/>
      </c>
      <c r="P607" s="4">
        <f>IFERROR(MATCH(602,상세표[연속순번],0),"")</f>
        <v/>
      </c>
    </row>
    <row r="608">
      <c r="A608">
        <f>IF($P608="","",INDEX(상세표[사번],$P608)&amp;"")</f>
        <v/>
      </c>
      <c r="B608">
        <f>IF($P608="","",INDEX(상세표[성명],$P608)&amp;"")</f>
        <v/>
      </c>
      <c r="C608">
        <f>IF($P608="","",INDEX(상세표[부서],$P608)&amp;"")</f>
        <v/>
      </c>
      <c r="D608">
        <f>IF($P608="","",INDEX(상세표[직위],$P608)&amp;"")</f>
        <v/>
      </c>
      <c r="E608">
        <f>IF($P608="","",IF(ISNUMBER(INDEX(상세표[시작],$P608)),TEXT(INDEX(상세표[시작],$P608),"yyyy-mm-dd hh:mm"),INDEX(상세표[시작],$P608)&amp;""))</f>
        <v/>
      </c>
      <c r="F608">
        <f>IF($P608="","",IF(ISNUMBER(INDEX(상세표[블록종료],$P608)),TEXT(INDEX(상세표[블록종료],$P608),"yyyy-mm-dd hh:mm"),INDEX(상세표[블록종료],$P608)&amp;""))</f>
        <v/>
      </c>
      <c r="G608">
        <f>IF($P608="","",CHOOSE(WEEKDAY(INDEX(상세표[시작],$P608)),"일","월","화","수","목","금","토"))</f>
        <v/>
      </c>
      <c r="H608">
        <f>IF($P608="","",INDEX(상세표[연속 시간],$P608))</f>
        <v/>
      </c>
      <c r="I608">
        <f>IF($P608="","",INDEX(상세표[기록 수],$P608))</f>
        <v/>
      </c>
      <c r="J608">
        <f>IF($P608="","",INDEX(상세표[블록 06~07시],$P608))</f>
        <v/>
      </c>
      <c r="K608">
        <f>IF($P608="","",INDEX(상세표[블록 07~18시],$P608))</f>
        <v/>
      </c>
      <c r="L608">
        <f>IF($P608="","",INDEX(상세표[블록 18~22시],$P608))</f>
        <v/>
      </c>
      <c r="M608">
        <f>IF($P608="","",INDEX(상세표[블록 22~06시],$P608))</f>
        <v/>
      </c>
      <c r="N608">
        <f>IF($P608="","",INDEX(상세표[주말·휴일 포함],$P608)&amp;"")</f>
        <v/>
      </c>
      <c r="O608">
        <f>IF($P608="","",INDEX(상세표[월 넘김 포함],$P608)&amp;"")</f>
        <v/>
      </c>
      <c r="P608" s="4">
        <f>IFERROR(MATCH(603,상세표[연속순번],0),"")</f>
        <v/>
      </c>
    </row>
    <row r="609">
      <c r="A609">
        <f>IF($P609="","",INDEX(상세표[사번],$P609)&amp;"")</f>
        <v/>
      </c>
      <c r="B609">
        <f>IF($P609="","",INDEX(상세표[성명],$P609)&amp;"")</f>
        <v/>
      </c>
      <c r="C609">
        <f>IF($P609="","",INDEX(상세표[부서],$P609)&amp;"")</f>
        <v/>
      </c>
      <c r="D609">
        <f>IF($P609="","",INDEX(상세표[직위],$P609)&amp;"")</f>
        <v/>
      </c>
      <c r="E609">
        <f>IF($P609="","",IF(ISNUMBER(INDEX(상세표[시작],$P609)),TEXT(INDEX(상세표[시작],$P609),"yyyy-mm-dd hh:mm"),INDEX(상세표[시작],$P609)&amp;""))</f>
        <v/>
      </c>
      <c r="F609">
        <f>IF($P609="","",IF(ISNUMBER(INDEX(상세표[블록종료],$P609)),TEXT(INDEX(상세표[블록종료],$P609),"yyyy-mm-dd hh:mm"),INDEX(상세표[블록종료],$P609)&amp;""))</f>
        <v/>
      </c>
      <c r="G609">
        <f>IF($P609="","",CHOOSE(WEEKDAY(INDEX(상세표[시작],$P609)),"일","월","화","수","목","금","토"))</f>
        <v/>
      </c>
      <c r="H609">
        <f>IF($P609="","",INDEX(상세표[연속 시간],$P609))</f>
        <v/>
      </c>
      <c r="I609">
        <f>IF($P609="","",INDEX(상세표[기록 수],$P609))</f>
        <v/>
      </c>
      <c r="J609">
        <f>IF($P609="","",INDEX(상세표[블록 06~07시],$P609))</f>
        <v/>
      </c>
      <c r="K609">
        <f>IF($P609="","",INDEX(상세표[블록 07~18시],$P609))</f>
        <v/>
      </c>
      <c r="L609">
        <f>IF($P609="","",INDEX(상세표[블록 18~22시],$P609))</f>
        <v/>
      </c>
      <c r="M609">
        <f>IF($P609="","",INDEX(상세표[블록 22~06시],$P609))</f>
        <v/>
      </c>
      <c r="N609">
        <f>IF($P609="","",INDEX(상세표[주말·휴일 포함],$P609)&amp;"")</f>
        <v/>
      </c>
      <c r="O609">
        <f>IF($P609="","",INDEX(상세표[월 넘김 포함],$P609)&amp;"")</f>
        <v/>
      </c>
      <c r="P609" s="4">
        <f>IFERROR(MATCH(604,상세표[연속순번],0),"")</f>
        <v/>
      </c>
    </row>
    <row r="610">
      <c r="A610">
        <f>IF($P610="","",INDEX(상세표[사번],$P610)&amp;"")</f>
        <v/>
      </c>
      <c r="B610">
        <f>IF($P610="","",INDEX(상세표[성명],$P610)&amp;"")</f>
        <v/>
      </c>
      <c r="C610">
        <f>IF($P610="","",INDEX(상세표[부서],$P610)&amp;"")</f>
        <v/>
      </c>
      <c r="D610">
        <f>IF($P610="","",INDEX(상세표[직위],$P610)&amp;"")</f>
        <v/>
      </c>
      <c r="E610">
        <f>IF($P610="","",IF(ISNUMBER(INDEX(상세표[시작],$P610)),TEXT(INDEX(상세표[시작],$P610),"yyyy-mm-dd hh:mm"),INDEX(상세표[시작],$P610)&amp;""))</f>
        <v/>
      </c>
      <c r="F610">
        <f>IF($P610="","",IF(ISNUMBER(INDEX(상세표[블록종료],$P610)),TEXT(INDEX(상세표[블록종료],$P610),"yyyy-mm-dd hh:mm"),INDEX(상세표[블록종료],$P610)&amp;""))</f>
        <v/>
      </c>
      <c r="G610">
        <f>IF($P610="","",CHOOSE(WEEKDAY(INDEX(상세표[시작],$P610)),"일","월","화","수","목","금","토"))</f>
        <v/>
      </c>
      <c r="H610">
        <f>IF($P610="","",INDEX(상세표[연속 시간],$P610))</f>
        <v/>
      </c>
      <c r="I610">
        <f>IF($P610="","",INDEX(상세표[기록 수],$P610))</f>
        <v/>
      </c>
      <c r="J610">
        <f>IF($P610="","",INDEX(상세표[블록 06~07시],$P610))</f>
        <v/>
      </c>
      <c r="K610">
        <f>IF($P610="","",INDEX(상세표[블록 07~18시],$P610))</f>
        <v/>
      </c>
      <c r="L610">
        <f>IF($P610="","",INDEX(상세표[블록 18~22시],$P610))</f>
        <v/>
      </c>
      <c r="M610">
        <f>IF($P610="","",INDEX(상세표[블록 22~06시],$P610))</f>
        <v/>
      </c>
      <c r="N610">
        <f>IF($P610="","",INDEX(상세표[주말·휴일 포함],$P610)&amp;"")</f>
        <v/>
      </c>
      <c r="O610">
        <f>IF($P610="","",INDEX(상세표[월 넘김 포함],$P610)&amp;"")</f>
        <v/>
      </c>
      <c r="P610" s="4">
        <f>IFERROR(MATCH(605,상세표[연속순번],0),"")</f>
        <v/>
      </c>
    </row>
    <row r="611">
      <c r="A611">
        <f>IF($P611="","",INDEX(상세표[사번],$P611)&amp;"")</f>
        <v/>
      </c>
      <c r="B611">
        <f>IF($P611="","",INDEX(상세표[성명],$P611)&amp;"")</f>
        <v/>
      </c>
      <c r="C611">
        <f>IF($P611="","",INDEX(상세표[부서],$P611)&amp;"")</f>
        <v/>
      </c>
      <c r="D611">
        <f>IF($P611="","",INDEX(상세표[직위],$P611)&amp;"")</f>
        <v/>
      </c>
      <c r="E611">
        <f>IF($P611="","",IF(ISNUMBER(INDEX(상세표[시작],$P611)),TEXT(INDEX(상세표[시작],$P611),"yyyy-mm-dd hh:mm"),INDEX(상세표[시작],$P611)&amp;""))</f>
        <v/>
      </c>
      <c r="F611">
        <f>IF($P611="","",IF(ISNUMBER(INDEX(상세표[블록종료],$P611)),TEXT(INDEX(상세표[블록종료],$P611),"yyyy-mm-dd hh:mm"),INDEX(상세표[블록종료],$P611)&amp;""))</f>
        <v/>
      </c>
      <c r="G611">
        <f>IF($P611="","",CHOOSE(WEEKDAY(INDEX(상세표[시작],$P611)),"일","월","화","수","목","금","토"))</f>
        <v/>
      </c>
      <c r="H611">
        <f>IF($P611="","",INDEX(상세표[연속 시간],$P611))</f>
        <v/>
      </c>
      <c r="I611">
        <f>IF($P611="","",INDEX(상세표[기록 수],$P611))</f>
        <v/>
      </c>
      <c r="J611">
        <f>IF($P611="","",INDEX(상세표[블록 06~07시],$P611))</f>
        <v/>
      </c>
      <c r="K611">
        <f>IF($P611="","",INDEX(상세표[블록 07~18시],$P611))</f>
        <v/>
      </c>
      <c r="L611">
        <f>IF($P611="","",INDEX(상세표[블록 18~22시],$P611))</f>
        <v/>
      </c>
      <c r="M611">
        <f>IF($P611="","",INDEX(상세표[블록 22~06시],$P611))</f>
        <v/>
      </c>
      <c r="N611">
        <f>IF($P611="","",INDEX(상세표[주말·휴일 포함],$P611)&amp;"")</f>
        <v/>
      </c>
      <c r="O611">
        <f>IF($P611="","",INDEX(상세표[월 넘김 포함],$P611)&amp;"")</f>
        <v/>
      </c>
      <c r="P611" s="4">
        <f>IFERROR(MATCH(606,상세표[연속순번],0),"")</f>
        <v/>
      </c>
    </row>
    <row r="612">
      <c r="A612">
        <f>IF($P612="","",INDEX(상세표[사번],$P612)&amp;"")</f>
        <v/>
      </c>
      <c r="B612">
        <f>IF($P612="","",INDEX(상세표[성명],$P612)&amp;"")</f>
        <v/>
      </c>
      <c r="C612">
        <f>IF($P612="","",INDEX(상세표[부서],$P612)&amp;"")</f>
        <v/>
      </c>
      <c r="D612">
        <f>IF($P612="","",INDEX(상세표[직위],$P612)&amp;"")</f>
        <v/>
      </c>
      <c r="E612">
        <f>IF($P612="","",IF(ISNUMBER(INDEX(상세표[시작],$P612)),TEXT(INDEX(상세표[시작],$P612),"yyyy-mm-dd hh:mm"),INDEX(상세표[시작],$P612)&amp;""))</f>
        <v/>
      </c>
      <c r="F612">
        <f>IF($P612="","",IF(ISNUMBER(INDEX(상세표[블록종료],$P612)),TEXT(INDEX(상세표[블록종료],$P612),"yyyy-mm-dd hh:mm"),INDEX(상세표[블록종료],$P612)&amp;""))</f>
        <v/>
      </c>
      <c r="G612">
        <f>IF($P612="","",CHOOSE(WEEKDAY(INDEX(상세표[시작],$P612)),"일","월","화","수","목","금","토"))</f>
        <v/>
      </c>
      <c r="H612">
        <f>IF($P612="","",INDEX(상세표[연속 시간],$P612))</f>
        <v/>
      </c>
      <c r="I612">
        <f>IF($P612="","",INDEX(상세표[기록 수],$P612))</f>
        <v/>
      </c>
      <c r="J612">
        <f>IF($P612="","",INDEX(상세표[블록 06~07시],$P612))</f>
        <v/>
      </c>
      <c r="K612">
        <f>IF($P612="","",INDEX(상세표[블록 07~18시],$P612))</f>
        <v/>
      </c>
      <c r="L612">
        <f>IF($P612="","",INDEX(상세표[블록 18~22시],$P612))</f>
        <v/>
      </c>
      <c r="M612">
        <f>IF($P612="","",INDEX(상세표[블록 22~06시],$P612))</f>
        <v/>
      </c>
      <c r="N612">
        <f>IF($P612="","",INDEX(상세표[주말·휴일 포함],$P612)&amp;"")</f>
        <v/>
      </c>
      <c r="O612">
        <f>IF($P612="","",INDEX(상세표[월 넘김 포함],$P612)&amp;"")</f>
        <v/>
      </c>
      <c r="P612" s="4">
        <f>IFERROR(MATCH(607,상세표[연속순번],0),"")</f>
        <v/>
      </c>
    </row>
    <row r="613">
      <c r="A613">
        <f>IF($P613="","",INDEX(상세표[사번],$P613)&amp;"")</f>
        <v/>
      </c>
      <c r="B613">
        <f>IF($P613="","",INDEX(상세표[성명],$P613)&amp;"")</f>
        <v/>
      </c>
      <c r="C613">
        <f>IF($P613="","",INDEX(상세표[부서],$P613)&amp;"")</f>
        <v/>
      </c>
      <c r="D613">
        <f>IF($P613="","",INDEX(상세표[직위],$P613)&amp;"")</f>
        <v/>
      </c>
      <c r="E613">
        <f>IF($P613="","",IF(ISNUMBER(INDEX(상세표[시작],$P613)),TEXT(INDEX(상세표[시작],$P613),"yyyy-mm-dd hh:mm"),INDEX(상세표[시작],$P613)&amp;""))</f>
        <v/>
      </c>
      <c r="F613">
        <f>IF($P613="","",IF(ISNUMBER(INDEX(상세표[블록종료],$P613)),TEXT(INDEX(상세표[블록종료],$P613),"yyyy-mm-dd hh:mm"),INDEX(상세표[블록종료],$P613)&amp;""))</f>
        <v/>
      </c>
      <c r="G613">
        <f>IF($P613="","",CHOOSE(WEEKDAY(INDEX(상세표[시작],$P613)),"일","월","화","수","목","금","토"))</f>
        <v/>
      </c>
      <c r="H613">
        <f>IF($P613="","",INDEX(상세표[연속 시간],$P613))</f>
        <v/>
      </c>
      <c r="I613">
        <f>IF($P613="","",INDEX(상세표[기록 수],$P613))</f>
        <v/>
      </c>
      <c r="J613">
        <f>IF($P613="","",INDEX(상세표[블록 06~07시],$P613))</f>
        <v/>
      </c>
      <c r="K613">
        <f>IF($P613="","",INDEX(상세표[블록 07~18시],$P613))</f>
        <v/>
      </c>
      <c r="L613">
        <f>IF($P613="","",INDEX(상세표[블록 18~22시],$P613))</f>
        <v/>
      </c>
      <c r="M613">
        <f>IF($P613="","",INDEX(상세표[블록 22~06시],$P613))</f>
        <v/>
      </c>
      <c r="N613">
        <f>IF($P613="","",INDEX(상세표[주말·휴일 포함],$P613)&amp;"")</f>
        <v/>
      </c>
      <c r="O613">
        <f>IF($P613="","",INDEX(상세표[월 넘김 포함],$P613)&amp;"")</f>
        <v/>
      </c>
      <c r="P613" s="4">
        <f>IFERROR(MATCH(608,상세표[연속순번],0),"")</f>
        <v/>
      </c>
    </row>
    <row r="614">
      <c r="A614">
        <f>IF($P614="","",INDEX(상세표[사번],$P614)&amp;"")</f>
        <v/>
      </c>
      <c r="B614">
        <f>IF($P614="","",INDEX(상세표[성명],$P614)&amp;"")</f>
        <v/>
      </c>
      <c r="C614">
        <f>IF($P614="","",INDEX(상세표[부서],$P614)&amp;"")</f>
        <v/>
      </c>
      <c r="D614">
        <f>IF($P614="","",INDEX(상세표[직위],$P614)&amp;"")</f>
        <v/>
      </c>
      <c r="E614">
        <f>IF($P614="","",IF(ISNUMBER(INDEX(상세표[시작],$P614)),TEXT(INDEX(상세표[시작],$P614),"yyyy-mm-dd hh:mm"),INDEX(상세표[시작],$P614)&amp;""))</f>
        <v/>
      </c>
      <c r="F614">
        <f>IF($P614="","",IF(ISNUMBER(INDEX(상세표[블록종료],$P614)),TEXT(INDEX(상세표[블록종료],$P614),"yyyy-mm-dd hh:mm"),INDEX(상세표[블록종료],$P614)&amp;""))</f>
        <v/>
      </c>
      <c r="G614">
        <f>IF($P614="","",CHOOSE(WEEKDAY(INDEX(상세표[시작],$P614)),"일","월","화","수","목","금","토"))</f>
        <v/>
      </c>
      <c r="H614">
        <f>IF($P614="","",INDEX(상세표[연속 시간],$P614))</f>
        <v/>
      </c>
      <c r="I614">
        <f>IF($P614="","",INDEX(상세표[기록 수],$P614))</f>
        <v/>
      </c>
      <c r="J614">
        <f>IF($P614="","",INDEX(상세표[블록 06~07시],$P614))</f>
        <v/>
      </c>
      <c r="K614">
        <f>IF($P614="","",INDEX(상세표[블록 07~18시],$P614))</f>
        <v/>
      </c>
      <c r="L614">
        <f>IF($P614="","",INDEX(상세표[블록 18~22시],$P614))</f>
        <v/>
      </c>
      <c r="M614">
        <f>IF($P614="","",INDEX(상세표[블록 22~06시],$P614))</f>
        <v/>
      </c>
      <c r="N614">
        <f>IF($P614="","",INDEX(상세표[주말·휴일 포함],$P614)&amp;"")</f>
        <v/>
      </c>
      <c r="O614">
        <f>IF($P614="","",INDEX(상세표[월 넘김 포함],$P614)&amp;"")</f>
        <v/>
      </c>
      <c r="P614" s="4">
        <f>IFERROR(MATCH(609,상세표[연속순번],0),"")</f>
        <v/>
      </c>
    </row>
    <row r="615">
      <c r="A615">
        <f>IF($P615="","",INDEX(상세표[사번],$P615)&amp;"")</f>
        <v/>
      </c>
      <c r="B615">
        <f>IF($P615="","",INDEX(상세표[성명],$P615)&amp;"")</f>
        <v/>
      </c>
      <c r="C615">
        <f>IF($P615="","",INDEX(상세표[부서],$P615)&amp;"")</f>
        <v/>
      </c>
      <c r="D615">
        <f>IF($P615="","",INDEX(상세표[직위],$P615)&amp;"")</f>
        <v/>
      </c>
      <c r="E615">
        <f>IF($P615="","",IF(ISNUMBER(INDEX(상세표[시작],$P615)),TEXT(INDEX(상세표[시작],$P615),"yyyy-mm-dd hh:mm"),INDEX(상세표[시작],$P615)&amp;""))</f>
        <v/>
      </c>
      <c r="F615">
        <f>IF($P615="","",IF(ISNUMBER(INDEX(상세표[블록종료],$P615)),TEXT(INDEX(상세표[블록종료],$P615),"yyyy-mm-dd hh:mm"),INDEX(상세표[블록종료],$P615)&amp;""))</f>
        <v/>
      </c>
      <c r="G615">
        <f>IF($P615="","",CHOOSE(WEEKDAY(INDEX(상세표[시작],$P615)),"일","월","화","수","목","금","토"))</f>
        <v/>
      </c>
      <c r="H615">
        <f>IF($P615="","",INDEX(상세표[연속 시간],$P615))</f>
        <v/>
      </c>
      <c r="I615">
        <f>IF($P615="","",INDEX(상세표[기록 수],$P615))</f>
        <v/>
      </c>
      <c r="J615">
        <f>IF($P615="","",INDEX(상세표[블록 06~07시],$P615))</f>
        <v/>
      </c>
      <c r="K615">
        <f>IF($P615="","",INDEX(상세표[블록 07~18시],$P615))</f>
        <v/>
      </c>
      <c r="L615">
        <f>IF($P615="","",INDEX(상세표[블록 18~22시],$P615))</f>
        <v/>
      </c>
      <c r="M615">
        <f>IF($P615="","",INDEX(상세표[블록 22~06시],$P615))</f>
        <v/>
      </c>
      <c r="N615">
        <f>IF($P615="","",INDEX(상세표[주말·휴일 포함],$P615)&amp;"")</f>
        <v/>
      </c>
      <c r="O615">
        <f>IF($P615="","",INDEX(상세표[월 넘김 포함],$P615)&amp;"")</f>
        <v/>
      </c>
      <c r="P615" s="4">
        <f>IFERROR(MATCH(610,상세표[연속순번],0),"")</f>
        <v/>
      </c>
    </row>
    <row r="616">
      <c r="A616">
        <f>IF($P616="","",INDEX(상세표[사번],$P616)&amp;"")</f>
        <v/>
      </c>
      <c r="B616">
        <f>IF($P616="","",INDEX(상세표[성명],$P616)&amp;"")</f>
        <v/>
      </c>
      <c r="C616">
        <f>IF($P616="","",INDEX(상세표[부서],$P616)&amp;"")</f>
        <v/>
      </c>
      <c r="D616">
        <f>IF($P616="","",INDEX(상세표[직위],$P616)&amp;"")</f>
        <v/>
      </c>
      <c r="E616">
        <f>IF($P616="","",IF(ISNUMBER(INDEX(상세표[시작],$P616)),TEXT(INDEX(상세표[시작],$P616),"yyyy-mm-dd hh:mm"),INDEX(상세표[시작],$P616)&amp;""))</f>
        <v/>
      </c>
      <c r="F616">
        <f>IF($P616="","",IF(ISNUMBER(INDEX(상세표[블록종료],$P616)),TEXT(INDEX(상세표[블록종료],$P616),"yyyy-mm-dd hh:mm"),INDEX(상세표[블록종료],$P616)&amp;""))</f>
        <v/>
      </c>
      <c r="G616">
        <f>IF($P616="","",CHOOSE(WEEKDAY(INDEX(상세표[시작],$P616)),"일","월","화","수","목","금","토"))</f>
        <v/>
      </c>
      <c r="H616">
        <f>IF($P616="","",INDEX(상세표[연속 시간],$P616))</f>
        <v/>
      </c>
      <c r="I616">
        <f>IF($P616="","",INDEX(상세표[기록 수],$P616))</f>
        <v/>
      </c>
      <c r="J616">
        <f>IF($P616="","",INDEX(상세표[블록 06~07시],$P616))</f>
        <v/>
      </c>
      <c r="K616">
        <f>IF($P616="","",INDEX(상세표[블록 07~18시],$P616))</f>
        <v/>
      </c>
      <c r="L616">
        <f>IF($P616="","",INDEX(상세표[블록 18~22시],$P616))</f>
        <v/>
      </c>
      <c r="M616">
        <f>IF($P616="","",INDEX(상세표[블록 22~06시],$P616))</f>
        <v/>
      </c>
      <c r="N616">
        <f>IF($P616="","",INDEX(상세표[주말·휴일 포함],$P616)&amp;"")</f>
        <v/>
      </c>
      <c r="O616">
        <f>IF($P616="","",INDEX(상세표[월 넘김 포함],$P616)&amp;"")</f>
        <v/>
      </c>
      <c r="P616" s="4">
        <f>IFERROR(MATCH(611,상세표[연속순번],0),"")</f>
        <v/>
      </c>
    </row>
    <row r="617">
      <c r="A617">
        <f>IF($P617="","",INDEX(상세표[사번],$P617)&amp;"")</f>
        <v/>
      </c>
      <c r="B617">
        <f>IF($P617="","",INDEX(상세표[성명],$P617)&amp;"")</f>
        <v/>
      </c>
      <c r="C617">
        <f>IF($P617="","",INDEX(상세표[부서],$P617)&amp;"")</f>
        <v/>
      </c>
      <c r="D617">
        <f>IF($P617="","",INDEX(상세표[직위],$P617)&amp;"")</f>
        <v/>
      </c>
      <c r="E617">
        <f>IF($P617="","",IF(ISNUMBER(INDEX(상세표[시작],$P617)),TEXT(INDEX(상세표[시작],$P617),"yyyy-mm-dd hh:mm"),INDEX(상세표[시작],$P617)&amp;""))</f>
        <v/>
      </c>
      <c r="F617">
        <f>IF($P617="","",IF(ISNUMBER(INDEX(상세표[블록종료],$P617)),TEXT(INDEX(상세표[블록종료],$P617),"yyyy-mm-dd hh:mm"),INDEX(상세표[블록종료],$P617)&amp;""))</f>
        <v/>
      </c>
      <c r="G617">
        <f>IF($P617="","",CHOOSE(WEEKDAY(INDEX(상세표[시작],$P617)),"일","월","화","수","목","금","토"))</f>
        <v/>
      </c>
      <c r="H617">
        <f>IF($P617="","",INDEX(상세표[연속 시간],$P617))</f>
        <v/>
      </c>
      <c r="I617">
        <f>IF($P617="","",INDEX(상세표[기록 수],$P617))</f>
        <v/>
      </c>
      <c r="J617">
        <f>IF($P617="","",INDEX(상세표[블록 06~07시],$P617))</f>
        <v/>
      </c>
      <c r="K617">
        <f>IF($P617="","",INDEX(상세표[블록 07~18시],$P617))</f>
        <v/>
      </c>
      <c r="L617">
        <f>IF($P617="","",INDEX(상세표[블록 18~22시],$P617))</f>
        <v/>
      </c>
      <c r="M617">
        <f>IF($P617="","",INDEX(상세표[블록 22~06시],$P617))</f>
        <v/>
      </c>
      <c r="N617">
        <f>IF($P617="","",INDEX(상세표[주말·휴일 포함],$P617)&amp;"")</f>
        <v/>
      </c>
      <c r="O617">
        <f>IF($P617="","",INDEX(상세표[월 넘김 포함],$P617)&amp;"")</f>
        <v/>
      </c>
      <c r="P617" s="4">
        <f>IFERROR(MATCH(612,상세표[연속순번],0),"")</f>
        <v/>
      </c>
    </row>
    <row r="618">
      <c r="A618">
        <f>IF($P618="","",INDEX(상세표[사번],$P618)&amp;"")</f>
        <v/>
      </c>
      <c r="B618">
        <f>IF($P618="","",INDEX(상세표[성명],$P618)&amp;"")</f>
        <v/>
      </c>
      <c r="C618">
        <f>IF($P618="","",INDEX(상세표[부서],$P618)&amp;"")</f>
        <v/>
      </c>
      <c r="D618">
        <f>IF($P618="","",INDEX(상세표[직위],$P618)&amp;"")</f>
        <v/>
      </c>
      <c r="E618">
        <f>IF($P618="","",IF(ISNUMBER(INDEX(상세표[시작],$P618)),TEXT(INDEX(상세표[시작],$P618),"yyyy-mm-dd hh:mm"),INDEX(상세표[시작],$P618)&amp;""))</f>
        <v/>
      </c>
      <c r="F618">
        <f>IF($P618="","",IF(ISNUMBER(INDEX(상세표[블록종료],$P618)),TEXT(INDEX(상세표[블록종료],$P618),"yyyy-mm-dd hh:mm"),INDEX(상세표[블록종료],$P618)&amp;""))</f>
        <v/>
      </c>
      <c r="G618">
        <f>IF($P618="","",CHOOSE(WEEKDAY(INDEX(상세표[시작],$P618)),"일","월","화","수","목","금","토"))</f>
        <v/>
      </c>
      <c r="H618">
        <f>IF($P618="","",INDEX(상세표[연속 시간],$P618))</f>
        <v/>
      </c>
      <c r="I618">
        <f>IF($P618="","",INDEX(상세표[기록 수],$P618))</f>
        <v/>
      </c>
      <c r="J618">
        <f>IF($P618="","",INDEX(상세표[블록 06~07시],$P618))</f>
        <v/>
      </c>
      <c r="K618">
        <f>IF($P618="","",INDEX(상세표[블록 07~18시],$P618))</f>
        <v/>
      </c>
      <c r="L618">
        <f>IF($P618="","",INDEX(상세표[블록 18~22시],$P618))</f>
        <v/>
      </c>
      <c r="M618">
        <f>IF($P618="","",INDEX(상세표[블록 22~06시],$P618))</f>
        <v/>
      </c>
      <c r="N618">
        <f>IF($P618="","",INDEX(상세표[주말·휴일 포함],$P618)&amp;"")</f>
        <v/>
      </c>
      <c r="O618">
        <f>IF($P618="","",INDEX(상세표[월 넘김 포함],$P618)&amp;"")</f>
        <v/>
      </c>
      <c r="P618" s="4">
        <f>IFERROR(MATCH(613,상세표[연속순번],0),"")</f>
        <v/>
      </c>
    </row>
    <row r="619">
      <c r="A619">
        <f>IF($P619="","",INDEX(상세표[사번],$P619)&amp;"")</f>
        <v/>
      </c>
      <c r="B619">
        <f>IF($P619="","",INDEX(상세표[성명],$P619)&amp;"")</f>
        <v/>
      </c>
      <c r="C619">
        <f>IF($P619="","",INDEX(상세표[부서],$P619)&amp;"")</f>
        <v/>
      </c>
      <c r="D619">
        <f>IF($P619="","",INDEX(상세표[직위],$P619)&amp;"")</f>
        <v/>
      </c>
      <c r="E619">
        <f>IF($P619="","",IF(ISNUMBER(INDEX(상세표[시작],$P619)),TEXT(INDEX(상세표[시작],$P619),"yyyy-mm-dd hh:mm"),INDEX(상세표[시작],$P619)&amp;""))</f>
        <v/>
      </c>
      <c r="F619">
        <f>IF($P619="","",IF(ISNUMBER(INDEX(상세표[블록종료],$P619)),TEXT(INDEX(상세표[블록종료],$P619),"yyyy-mm-dd hh:mm"),INDEX(상세표[블록종료],$P619)&amp;""))</f>
        <v/>
      </c>
      <c r="G619">
        <f>IF($P619="","",CHOOSE(WEEKDAY(INDEX(상세표[시작],$P619)),"일","월","화","수","목","금","토"))</f>
        <v/>
      </c>
      <c r="H619">
        <f>IF($P619="","",INDEX(상세표[연속 시간],$P619))</f>
        <v/>
      </c>
      <c r="I619">
        <f>IF($P619="","",INDEX(상세표[기록 수],$P619))</f>
        <v/>
      </c>
      <c r="J619">
        <f>IF($P619="","",INDEX(상세표[블록 06~07시],$P619))</f>
        <v/>
      </c>
      <c r="K619">
        <f>IF($P619="","",INDEX(상세표[블록 07~18시],$P619))</f>
        <v/>
      </c>
      <c r="L619">
        <f>IF($P619="","",INDEX(상세표[블록 18~22시],$P619))</f>
        <v/>
      </c>
      <c r="M619">
        <f>IF($P619="","",INDEX(상세표[블록 22~06시],$P619))</f>
        <v/>
      </c>
      <c r="N619">
        <f>IF($P619="","",INDEX(상세표[주말·휴일 포함],$P619)&amp;"")</f>
        <v/>
      </c>
      <c r="O619">
        <f>IF($P619="","",INDEX(상세표[월 넘김 포함],$P619)&amp;"")</f>
        <v/>
      </c>
      <c r="P619" s="4">
        <f>IFERROR(MATCH(614,상세표[연속순번],0),"")</f>
        <v/>
      </c>
    </row>
    <row r="620">
      <c r="A620">
        <f>IF($P620="","",INDEX(상세표[사번],$P620)&amp;"")</f>
        <v/>
      </c>
      <c r="B620">
        <f>IF($P620="","",INDEX(상세표[성명],$P620)&amp;"")</f>
        <v/>
      </c>
      <c r="C620">
        <f>IF($P620="","",INDEX(상세표[부서],$P620)&amp;"")</f>
        <v/>
      </c>
      <c r="D620">
        <f>IF($P620="","",INDEX(상세표[직위],$P620)&amp;"")</f>
        <v/>
      </c>
      <c r="E620">
        <f>IF($P620="","",IF(ISNUMBER(INDEX(상세표[시작],$P620)),TEXT(INDEX(상세표[시작],$P620),"yyyy-mm-dd hh:mm"),INDEX(상세표[시작],$P620)&amp;""))</f>
        <v/>
      </c>
      <c r="F620">
        <f>IF($P620="","",IF(ISNUMBER(INDEX(상세표[블록종료],$P620)),TEXT(INDEX(상세표[블록종료],$P620),"yyyy-mm-dd hh:mm"),INDEX(상세표[블록종료],$P620)&amp;""))</f>
        <v/>
      </c>
      <c r="G620">
        <f>IF($P620="","",CHOOSE(WEEKDAY(INDEX(상세표[시작],$P620)),"일","월","화","수","목","금","토"))</f>
        <v/>
      </c>
      <c r="H620">
        <f>IF($P620="","",INDEX(상세표[연속 시간],$P620))</f>
        <v/>
      </c>
      <c r="I620">
        <f>IF($P620="","",INDEX(상세표[기록 수],$P620))</f>
        <v/>
      </c>
      <c r="J620">
        <f>IF($P620="","",INDEX(상세표[블록 06~07시],$P620))</f>
        <v/>
      </c>
      <c r="K620">
        <f>IF($P620="","",INDEX(상세표[블록 07~18시],$P620))</f>
        <v/>
      </c>
      <c r="L620">
        <f>IF($P620="","",INDEX(상세표[블록 18~22시],$P620))</f>
        <v/>
      </c>
      <c r="M620">
        <f>IF($P620="","",INDEX(상세표[블록 22~06시],$P620))</f>
        <v/>
      </c>
      <c r="N620">
        <f>IF($P620="","",INDEX(상세표[주말·휴일 포함],$P620)&amp;"")</f>
        <v/>
      </c>
      <c r="O620">
        <f>IF($P620="","",INDEX(상세표[월 넘김 포함],$P620)&amp;"")</f>
        <v/>
      </c>
      <c r="P620" s="4">
        <f>IFERROR(MATCH(615,상세표[연속순번],0),"")</f>
        <v/>
      </c>
    </row>
    <row r="621">
      <c r="A621">
        <f>IF($P621="","",INDEX(상세표[사번],$P621)&amp;"")</f>
        <v/>
      </c>
      <c r="B621">
        <f>IF($P621="","",INDEX(상세표[성명],$P621)&amp;"")</f>
        <v/>
      </c>
      <c r="C621">
        <f>IF($P621="","",INDEX(상세표[부서],$P621)&amp;"")</f>
        <v/>
      </c>
      <c r="D621">
        <f>IF($P621="","",INDEX(상세표[직위],$P621)&amp;"")</f>
        <v/>
      </c>
      <c r="E621">
        <f>IF($P621="","",IF(ISNUMBER(INDEX(상세표[시작],$P621)),TEXT(INDEX(상세표[시작],$P621),"yyyy-mm-dd hh:mm"),INDEX(상세표[시작],$P621)&amp;""))</f>
        <v/>
      </c>
      <c r="F621">
        <f>IF($P621="","",IF(ISNUMBER(INDEX(상세표[블록종료],$P621)),TEXT(INDEX(상세표[블록종료],$P621),"yyyy-mm-dd hh:mm"),INDEX(상세표[블록종료],$P621)&amp;""))</f>
        <v/>
      </c>
      <c r="G621">
        <f>IF($P621="","",CHOOSE(WEEKDAY(INDEX(상세표[시작],$P621)),"일","월","화","수","목","금","토"))</f>
        <v/>
      </c>
      <c r="H621">
        <f>IF($P621="","",INDEX(상세표[연속 시간],$P621))</f>
        <v/>
      </c>
      <c r="I621">
        <f>IF($P621="","",INDEX(상세표[기록 수],$P621))</f>
        <v/>
      </c>
      <c r="J621">
        <f>IF($P621="","",INDEX(상세표[블록 06~07시],$P621))</f>
        <v/>
      </c>
      <c r="K621">
        <f>IF($P621="","",INDEX(상세표[블록 07~18시],$P621))</f>
        <v/>
      </c>
      <c r="L621">
        <f>IF($P621="","",INDEX(상세표[블록 18~22시],$P621))</f>
        <v/>
      </c>
      <c r="M621">
        <f>IF($P621="","",INDEX(상세표[블록 22~06시],$P621))</f>
        <v/>
      </c>
      <c r="N621">
        <f>IF($P621="","",INDEX(상세표[주말·휴일 포함],$P621)&amp;"")</f>
        <v/>
      </c>
      <c r="O621">
        <f>IF($P621="","",INDEX(상세표[월 넘김 포함],$P621)&amp;"")</f>
        <v/>
      </c>
      <c r="P621" s="4">
        <f>IFERROR(MATCH(616,상세표[연속순번],0),"")</f>
        <v/>
      </c>
    </row>
    <row r="622">
      <c r="A622">
        <f>IF($P622="","",INDEX(상세표[사번],$P622)&amp;"")</f>
        <v/>
      </c>
      <c r="B622">
        <f>IF($P622="","",INDEX(상세표[성명],$P622)&amp;"")</f>
        <v/>
      </c>
      <c r="C622">
        <f>IF($P622="","",INDEX(상세표[부서],$P622)&amp;"")</f>
        <v/>
      </c>
      <c r="D622">
        <f>IF($P622="","",INDEX(상세표[직위],$P622)&amp;"")</f>
        <v/>
      </c>
      <c r="E622">
        <f>IF($P622="","",IF(ISNUMBER(INDEX(상세표[시작],$P622)),TEXT(INDEX(상세표[시작],$P622),"yyyy-mm-dd hh:mm"),INDEX(상세표[시작],$P622)&amp;""))</f>
        <v/>
      </c>
      <c r="F622">
        <f>IF($P622="","",IF(ISNUMBER(INDEX(상세표[블록종료],$P622)),TEXT(INDEX(상세표[블록종료],$P622),"yyyy-mm-dd hh:mm"),INDEX(상세표[블록종료],$P622)&amp;""))</f>
        <v/>
      </c>
      <c r="G622">
        <f>IF($P622="","",CHOOSE(WEEKDAY(INDEX(상세표[시작],$P622)),"일","월","화","수","목","금","토"))</f>
        <v/>
      </c>
      <c r="H622">
        <f>IF($P622="","",INDEX(상세표[연속 시간],$P622))</f>
        <v/>
      </c>
      <c r="I622">
        <f>IF($P622="","",INDEX(상세표[기록 수],$P622))</f>
        <v/>
      </c>
      <c r="J622">
        <f>IF($P622="","",INDEX(상세표[블록 06~07시],$P622))</f>
        <v/>
      </c>
      <c r="K622">
        <f>IF($P622="","",INDEX(상세표[블록 07~18시],$P622))</f>
        <v/>
      </c>
      <c r="L622">
        <f>IF($P622="","",INDEX(상세표[블록 18~22시],$P622))</f>
        <v/>
      </c>
      <c r="M622">
        <f>IF($P622="","",INDEX(상세표[블록 22~06시],$P622))</f>
        <v/>
      </c>
      <c r="N622">
        <f>IF($P622="","",INDEX(상세표[주말·휴일 포함],$P622)&amp;"")</f>
        <v/>
      </c>
      <c r="O622">
        <f>IF($P622="","",INDEX(상세표[월 넘김 포함],$P622)&amp;"")</f>
        <v/>
      </c>
      <c r="P622" s="4">
        <f>IFERROR(MATCH(617,상세표[연속순번],0),"")</f>
        <v/>
      </c>
    </row>
    <row r="623">
      <c r="A623">
        <f>IF($P623="","",INDEX(상세표[사번],$P623)&amp;"")</f>
        <v/>
      </c>
      <c r="B623">
        <f>IF($P623="","",INDEX(상세표[성명],$P623)&amp;"")</f>
        <v/>
      </c>
      <c r="C623">
        <f>IF($P623="","",INDEX(상세표[부서],$P623)&amp;"")</f>
        <v/>
      </c>
      <c r="D623">
        <f>IF($P623="","",INDEX(상세표[직위],$P623)&amp;"")</f>
        <v/>
      </c>
      <c r="E623">
        <f>IF($P623="","",IF(ISNUMBER(INDEX(상세표[시작],$P623)),TEXT(INDEX(상세표[시작],$P623),"yyyy-mm-dd hh:mm"),INDEX(상세표[시작],$P623)&amp;""))</f>
        <v/>
      </c>
      <c r="F623">
        <f>IF($P623="","",IF(ISNUMBER(INDEX(상세표[블록종료],$P623)),TEXT(INDEX(상세표[블록종료],$P623),"yyyy-mm-dd hh:mm"),INDEX(상세표[블록종료],$P623)&amp;""))</f>
        <v/>
      </c>
      <c r="G623">
        <f>IF($P623="","",CHOOSE(WEEKDAY(INDEX(상세표[시작],$P623)),"일","월","화","수","목","금","토"))</f>
        <v/>
      </c>
      <c r="H623">
        <f>IF($P623="","",INDEX(상세표[연속 시간],$P623))</f>
        <v/>
      </c>
      <c r="I623">
        <f>IF($P623="","",INDEX(상세표[기록 수],$P623))</f>
        <v/>
      </c>
      <c r="J623">
        <f>IF($P623="","",INDEX(상세표[블록 06~07시],$P623))</f>
        <v/>
      </c>
      <c r="K623">
        <f>IF($P623="","",INDEX(상세표[블록 07~18시],$P623))</f>
        <v/>
      </c>
      <c r="L623">
        <f>IF($P623="","",INDEX(상세표[블록 18~22시],$P623))</f>
        <v/>
      </c>
      <c r="M623">
        <f>IF($P623="","",INDEX(상세표[블록 22~06시],$P623))</f>
        <v/>
      </c>
      <c r="N623">
        <f>IF($P623="","",INDEX(상세표[주말·휴일 포함],$P623)&amp;"")</f>
        <v/>
      </c>
      <c r="O623">
        <f>IF($P623="","",INDEX(상세표[월 넘김 포함],$P623)&amp;"")</f>
        <v/>
      </c>
      <c r="P623" s="4">
        <f>IFERROR(MATCH(618,상세표[연속순번],0),"")</f>
        <v/>
      </c>
    </row>
    <row r="624">
      <c r="A624">
        <f>IF($P624="","",INDEX(상세표[사번],$P624)&amp;"")</f>
        <v/>
      </c>
      <c r="B624">
        <f>IF($P624="","",INDEX(상세표[성명],$P624)&amp;"")</f>
        <v/>
      </c>
      <c r="C624">
        <f>IF($P624="","",INDEX(상세표[부서],$P624)&amp;"")</f>
        <v/>
      </c>
      <c r="D624">
        <f>IF($P624="","",INDEX(상세표[직위],$P624)&amp;"")</f>
        <v/>
      </c>
      <c r="E624">
        <f>IF($P624="","",IF(ISNUMBER(INDEX(상세표[시작],$P624)),TEXT(INDEX(상세표[시작],$P624),"yyyy-mm-dd hh:mm"),INDEX(상세표[시작],$P624)&amp;""))</f>
        <v/>
      </c>
      <c r="F624">
        <f>IF($P624="","",IF(ISNUMBER(INDEX(상세표[블록종료],$P624)),TEXT(INDEX(상세표[블록종료],$P624),"yyyy-mm-dd hh:mm"),INDEX(상세표[블록종료],$P624)&amp;""))</f>
        <v/>
      </c>
      <c r="G624">
        <f>IF($P624="","",CHOOSE(WEEKDAY(INDEX(상세표[시작],$P624)),"일","월","화","수","목","금","토"))</f>
        <v/>
      </c>
      <c r="H624">
        <f>IF($P624="","",INDEX(상세표[연속 시간],$P624))</f>
        <v/>
      </c>
      <c r="I624">
        <f>IF($P624="","",INDEX(상세표[기록 수],$P624))</f>
        <v/>
      </c>
      <c r="J624">
        <f>IF($P624="","",INDEX(상세표[블록 06~07시],$P624))</f>
        <v/>
      </c>
      <c r="K624">
        <f>IF($P624="","",INDEX(상세표[블록 07~18시],$P624))</f>
        <v/>
      </c>
      <c r="L624">
        <f>IF($P624="","",INDEX(상세표[블록 18~22시],$P624))</f>
        <v/>
      </c>
      <c r="M624">
        <f>IF($P624="","",INDEX(상세표[블록 22~06시],$P624))</f>
        <v/>
      </c>
      <c r="N624">
        <f>IF($P624="","",INDEX(상세표[주말·휴일 포함],$P624)&amp;"")</f>
        <v/>
      </c>
      <c r="O624">
        <f>IF($P624="","",INDEX(상세표[월 넘김 포함],$P624)&amp;"")</f>
        <v/>
      </c>
      <c r="P624" s="4">
        <f>IFERROR(MATCH(619,상세표[연속순번],0),"")</f>
        <v/>
      </c>
    </row>
    <row r="625">
      <c r="A625">
        <f>IF($P625="","",INDEX(상세표[사번],$P625)&amp;"")</f>
        <v/>
      </c>
      <c r="B625">
        <f>IF($P625="","",INDEX(상세표[성명],$P625)&amp;"")</f>
        <v/>
      </c>
      <c r="C625">
        <f>IF($P625="","",INDEX(상세표[부서],$P625)&amp;"")</f>
        <v/>
      </c>
      <c r="D625">
        <f>IF($P625="","",INDEX(상세표[직위],$P625)&amp;"")</f>
        <v/>
      </c>
      <c r="E625">
        <f>IF($P625="","",IF(ISNUMBER(INDEX(상세표[시작],$P625)),TEXT(INDEX(상세표[시작],$P625),"yyyy-mm-dd hh:mm"),INDEX(상세표[시작],$P625)&amp;""))</f>
        <v/>
      </c>
      <c r="F625">
        <f>IF($P625="","",IF(ISNUMBER(INDEX(상세표[블록종료],$P625)),TEXT(INDEX(상세표[블록종료],$P625),"yyyy-mm-dd hh:mm"),INDEX(상세표[블록종료],$P625)&amp;""))</f>
        <v/>
      </c>
      <c r="G625">
        <f>IF($P625="","",CHOOSE(WEEKDAY(INDEX(상세표[시작],$P625)),"일","월","화","수","목","금","토"))</f>
        <v/>
      </c>
      <c r="H625">
        <f>IF($P625="","",INDEX(상세표[연속 시간],$P625))</f>
        <v/>
      </c>
      <c r="I625">
        <f>IF($P625="","",INDEX(상세표[기록 수],$P625))</f>
        <v/>
      </c>
      <c r="J625">
        <f>IF($P625="","",INDEX(상세표[블록 06~07시],$P625))</f>
        <v/>
      </c>
      <c r="K625">
        <f>IF($P625="","",INDEX(상세표[블록 07~18시],$P625))</f>
        <v/>
      </c>
      <c r="L625">
        <f>IF($P625="","",INDEX(상세표[블록 18~22시],$P625))</f>
        <v/>
      </c>
      <c r="M625">
        <f>IF($P625="","",INDEX(상세표[블록 22~06시],$P625))</f>
        <v/>
      </c>
      <c r="N625">
        <f>IF($P625="","",INDEX(상세표[주말·휴일 포함],$P625)&amp;"")</f>
        <v/>
      </c>
      <c r="O625">
        <f>IF($P625="","",INDEX(상세표[월 넘김 포함],$P625)&amp;"")</f>
        <v/>
      </c>
      <c r="P625" s="4">
        <f>IFERROR(MATCH(620,상세표[연속순번],0),"")</f>
        <v/>
      </c>
    </row>
    <row r="626">
      <c r="A626">
        <f>IF($P626="","",INDEX(상세표[사번],$P626)&amp;"")</f>
        <v/>
      </c>
      <c r="B626">
        <f>IF($P626="","",INDEX(상세표[성명],$P626)&amp;"")</f>
        <v/>
      </c>
      <c r="C626">
        <f>IF($P626="","",INDEX(상세표[부서],$P626)&amp;"")</f>
        <v/>
      </c>
      <c r="D626">
        <f>IF($P626="","",INDEX(상세표[직위],$P626)&amp;"")</f>
        <v/>
      </c>
      <c r="E626">
        <f>IF($P626="","",IF(ISNUMBER(INDEX(상세표[시작],$P626)),TEXT(INDEX(상세표[시작],$P626),"yyyy-mm-dd hh:mm"),INDEX(상세표[시작],$P626)&amp;""))</f>
        <v/>
      </c>
      <c r="F626">
        <f>IF($P626="","",IF(ISNUMBER(INDEX(상세표[블록종료],$P626)),TEXT(INDEX(상세표[블록종료],$P626),"yyyy-mm-dd hh:mm"),INDEX(상세표[블록종료],$P626)&amp;""))</f>
        <v/>
      </c>
      <c r="G626">
        <f>IF($P626="","",CHOOSE(WEEKDAY(INDEX(상세표[시작],$P626)),"일","월","화","수","목","금","토"))</f>
        <v/>
      </c>
      <c r="H626">
        <f>IF($P626="","",INDEX(상세표[연속 시간],$P626))</f>
        <v/>
      </c>
      <c r="I626">
        <f>IF($P626="","",INDEX(상세표[기록 수],$P626))</f>
        <v/>
      </c>
      <c r="J626">
        <f>IF($P626="","",INDEX(상세표[블록 06~07시],$P626))</f>
        <v/>
      </c>
      <c r="K626">
        <f>IF($P626="","",INDEX(상세표[블록 07~18시],$P626))</f>
        <v/>
      </c>
      <c r="L626">
        <f>IF($P626="","",INDEX(상세표[블록 18~22시],$P626))</f>
        <v/>
      </c>
      <c r="M626">
        <f>IF($P626="","",INDEX(상세표[블록 22~06시],$P626))</f>
        <v/>
      </c>
      <c r="N626">
        <f>IF($P626="","",INDEX(상세표[주말·휴일 포함],$P626)&amp;"")</f>
        <v/>
      </c>
      <c r="O626">
        <f>IF($P626="","",INDEX(상세표[월 넘김 포함],$P626)&amp;"")</f>
        <v/>
      </c>
      <c r="P626" s="4">
        <f>IFERROR(MATCH(621,상세표[연속순번],0),"")</f>
        <v/>
      </c>
    </row>
    <row r="627">
      <c r="A627">
        <f>IF($P627="","",INDEX(상세표[사번],$P627)&amp;"")</f>
        <v/>
      </c>
      <c r="B627">
        <f>IF($P627="","",INDEX(상세표[성명],$P627)&amp;"")</f>
        <v/>
      </c>
      <c r="C627">
        <f>IF($P627="","",INDEX(상세표[부서],$P627)&amp;"")</f>
        <v/>
      </c>
      <c r="D627">
        <f>IF($P627="","",INDEX(상세표[직위],$P627)&amp;"")</f>
        <v/>
      </c>
      <c r="E627">
        <f>IF($P627="","",IF(ISNUMBER(INDEX(상세표[시작],$P627)),TEXT(INDEX(상세표[시작],$P627),"yyyy-mm-dd hh:mm"),INDEX(상세표[시작],$P627)&amp;""))</f>
        <v/>
      </c>
      <c r="F627">
        <f>IF($P627="","",IF(ISNUMBER(INDEX(상세표[블록종료],$P627)),TEXT(INDEX(상세표[블록종료],$P627),"yyyy-mm-dd hh:mm"),INDEX(상세표[블록종료],$P627)&amp;""))</f>
        <v/>
      </c>
      <c r="G627">
        <f>IF($P627="","",CHOOSE(WEEKDAY(INDEX(상세표[시작],$P627)),"일","월","화","수","목","금","토"))</f>
        <v/>
      </c>
      <c r="H627">
        <f>IF($P627="","",INDEX(상세표[연속 시간],$P627))</f>
        <v/>
      </c>
      <c r="I627">
        <f>IF($P627="","",INDEX(상세표[기록 수],$P627))</f>
        <v/>
      </c>
      <c r="J627">
        <f>IF($P627="","",INDEX(상세표[블록 06~07시],$P627))</f>
        <v/>
      </c>
      <c r="K627">
        <f>IF($P627="","",INDEX(상세표[블록 07~18시],$P627))</f>
        <v/>
      </c>
      <c r="L627">
        <f>IF($P627="","",INDEX(상세표[블록 18~22시],$P627))</f>
        <v/>
      </c>
      <c r="M627">
        <f>IF($P627="","",INDEX(상세표[블록 22~06시],$P627))</f>
        <v/>
      </c>
      <c r="N627">
        <f>IF($P627="","",INDEX(상세표[주말·휴일 포함],$P627)&amp;"")</f>
        <v/>
      </c>
      <c r="O627">
        <f>IF($P627="","",INDEX(상세표[월 넘김 포함],$P627)&amp;"")</f>
        <v/>
      </c>
      <c r="P627" s="4">
        <f>IFERROR(MATCH(622,상세표[연속순번],0),"")</f>
        <v/>
      </c>
    </row>
    <row r="628">
      <c r="A628">
        <f>IF($P628="","",INDEX(상세표[사번],$P628)&amp;"")</f>
        <v/>
      </c>
      <c r="B628">
        <f>IF($P628="","",INDEX(상세표[성명],$P628)&amp;"")</f>
        <v/>
      </c>
      <c r="C628">
        <f>IF($P628="","",INDEX(상세표[부서],$P628)&amp;"")</f>
        <v/>
      </c>
      <c r="D628">
        <f>IF($P628="","",INDEX(상세표[직위],$P628)&amp;"")</f>
        <v/>
      </c>
      <c r="E628">
        <f>IF($P628="","",IF(ISNUMBER(INDEX(상세표[시작],$P628)),TEXT(INDEX(상세표[시작],$P628),"yyyy-mm-dd hh:mm"),INDEX(상세표[시작],$P628)&amp;""))</f>
        <v/>
      </c>
      <c r="F628">
        <f>IF($P628="","",IF(ISNUMBER(INDEX(상세표[블록종료],$P628)),TEXT(INDEX(상세표[블록종료],$P628),"yyyy-mm-dd hh:mm"),INDEX(상세표[블록종료],$P628)&amp;""))</f>
        <v/>
      </c>
      <c r="G628">
        <f>IF($P628="","",CHOOSE(WEEKDAY(INDEX(상세표[시작],$P628)),"일","월","화","수","목","금","토"))</f>
        <v/>
      </c>
      <c r="H628">
        <f>IF($P628="","",INDEX(상세표[연속 시간],$P628))</f>
        <v/>
      </c>
      <c r="I628">
        <f>IF($P628="","",INDEX(상세표[기록 수],$P628))</f>
        <v/>
      </c>
      <c r="J628">
        <f>IF($P628="","",INDEX(상세표[블록 06~07시],$P628))</f>
        <v/>
      </c>
      <c r="K628">
        <f>IF($P628="","",INDEX(상세표[블록 07~18시],$P628))</f>
        <v/>
      </c>
      <c r="L628">
        <f>IF($P628="","",INDEX(상세표[블록 18~22시],$P628))</f>
        <v/>
      </c>
      <c r="M628">
        <f>IF($P628="","",INDEX(상세표[블록 22~06시],$P628))</f>
        <v/>
      </c>
      <c r="N628">
        <f>IF($P628="","",INDEX(상세표[주말·휴일 포함],$P628)&amp;"")</f>
        <v/>
      </c>
      <c r="O628">
        <f>IF($P628="","",INDEX(상세표[월 넘김 포함],$P628)&amp;"")</f>
        <v/>
      </c>
      <c r="P628" s="4">
        <f>IFERROR(MATCH(623,상세표[연속순번],0),"")</f>
        <v/>
      </c>
    </row>
    <row r="629">
      <c r="A629">
        <f>IF($P629="","",INDEX(상세표[사번],$P629)&amp;"")</f>
        <v/>
      </c>
      <c r="B629">
        <f>IF($P629="","",INDEX(상세표[성명],$P629)&amp;"")</f>
        <v/>
      </c>
      <c r="C629">
        <f>IF($P629="","",INDEX(상세표[부서],$P629)&amp;"")</f>
        <v/>
      </c>
      <c r="D629">
        <f>IF($P629="","",INDEX(상세표[직위],$P629)&amp;"")</f>
        <v/>
      </c>
      <c r="E629">
        <f>IF($P629="","",IF(ISNUMBER(INDEX(상세표[시작],$P629)),TEXT(INDEX(상세표[시작],$P629),"yyyy-mm-dd hh:mm"),INDEX(상세표[시작],$P629)&amp;""))</f>
        <v/>
      </c>
      <c r="F629">
        <f>IF($P629="","",IF(ISNUMBER(INDEX(상세표[블록종료],$P629)),TEXT(INDEX(상세표[블록종료],$P629),"yyyy-mm-dd hh:mm"),INDEX(상세표[블록종료],$P629)&amp;""))</f>
        <v/>
      </c>
      <c r="G629">
        <f>IF($P629="","",CHOOSE(WEEKDAY(INDEX(상세표[시작],$P629)),"일","월","화","수","목","금","토"))</f>
        <v/>
      </c>
      <c r="H629">
        <f>IF($P629="","",INDEX(상세표[연속 시간],$P629))</f>
        <v/>
      </c>
      <c r="I629">
        <f>IF($P629="","",INDEX(상세표[기록 수],$P629))</f>
        <v/>
      </c>
      <c r="J629">
        <f>IF($P629="","",INDEX(상세표[블록 06~07시],$P629))</f>
        <v/>
      </c>
      <c r="K629">
        <f>IF($P629="","",INDEX(상세표[블록 07~18시],$P629))</f>
        <v/>
      </c>
      <c r="L629">
        <f>IF($P629="","",INDEX(상세표[블록 18~22시],$P629))</f>
        <v/>
      </c>
      <c r="M629">
        <f>IF($P629="","",INDEX(상세표[블록 22~06시],$P629))</f>
        <v/>
      </c>
      <c r="N629">
        <f>IF($P629="","",INDEX(상세표[주말·휴일 포함],$P629)&amp;"")</f>
        <v/>
      </c>
      <c r="O629">
        <f>IF($P629="","",INDEX(상세표[월 넘김 포함],$P629)&amp;"")</f>
        <v/>
      </c>
      <c r="P629" s="4">
        <f>IFERROR(MATCH(624,상세표[연속순번],0),"")</f>
        <v/>
      </c>
    </row>
    <row r="630">
      <c r="A630">
        <f>IF($P630="","",INDEX(상세표[사번],$P630)&amp;"")</f>
        <v/>
      </c>
      <c r="B630">
        <f>IF($P630="","",INDEX(상세표[성명],$P630)&amp;"")</f>
        <v/>
      </c>
      <c r="C630">
        <f>IF($P630="","",INDEX(상세표[부서],$P630)&amp;"")</f>
        <v/>
      </c>
      <c r="D630">
        <f>IF($P630="","",INDEX(상세표[직위],$P630)&amp;"")</f>
        <v/>
      </c>
      <c r="E630">
        <f>IF($P630="","",IF(ISNUMBER(INDEX(상세표[시작],$P630)),TEXT(INDEX(상세표[시작],$P630),"yyyy-mm-dd hh:mm"),INDEX(상세표[시작],$P630)&amp;""))</f>
        <v/>
      </c>
      <c r="F630">
        <f>IF($P630="","",IF(ISNUMBER(INDEX(상세표[블록종료],$P630)),TEXT(INDEX(상세표[블록종료],$P630),"yyyy-mm-dd hh:mm"),INDEX(상세표[블록종료],$P630)&amp;""))</f>
        <v/>
      </c>
      <c r="G630">
        <f>IF($P630="","",CHOOSE(WEEKDAY(INDEX(상세표[시작],$P630)),"일","월","화","수","목","금","토"))</f>
        <v/>
      </c>
      <c r="H630">
        <f>IF($P630="","",INDEX(상세표[연속 시간],$P630))</f>
        <v/>
      </c>
      <c r="I630">
        <f>IF($P630="","",INDEX(상세표[기록 수],$P630))</f>
        <v/>
      </c>
      <c r="J630">
        <f>IF($P630="","",INDEX(상세표[블록 06~07시],$P630))</f>
        <v/>
      </c>
      <c r="K630">
        <f>IF($P630="","",INDEX(상세표[블록 07~18시],$P630))</f>
        <v/>
      </c>
      <c r="L630">
        <f>IF($P630="","",INDEX(상세표[블록 18~22시],$P630))</f>
        <v/>
      </c>
      <c r="M630">
        <f>IF($P630="","",INDEX(상세표[블록 22~06시],$P630))</f>
        <v/>
      </c>
      <c r="N630">
        <f>IF($P630="","",INDEX(상세표[주말·휴일 포함],$P630)&amp;"")</f>
        <v/>
      </c>
      <c r="O630">
        <f>IF($P630="","",INDEX(상세표[월 넘김 포함],$P630)&amp;"")</f>
        <v/>
      </c>
      <c r="P630" s="4">
        <f>IFERROR(MATCH(625,상세표[연속순번],0),"")</f>
        <v/>
      </c>
    </row>
    <row r="631">
      <c r="A631">
        <f>IF($P631="","",INDEX(상세표[사번],$P631)&amp;"")</f>
        <v/>
      </c>
      <c r="B631">
        <f>IF($P631="","",INDEX(상세표[성명],$P631)&amp;"")</f>
        <v/>
      </c>
      <c r="C631">
        <f>IF($P631="","",INDEX(상세표[부서],$P631)&amp;"")</f>
        <v/>
      </c>
      <c r="D631">
        <f>IF($P631="","",INDEX(상세표[직위],$P631)&amp;"")</f>
        <v/>
      </c>
      <c r="E631">
        <f>IF($P631="","",IF(ISNUMBER(INDEX(상세표[시작],$P631)),TEXT(INDEX(상세표[시작],$P631),"yyyy-mm-dd hh:mm"),INDEX(상세표[시작],$P631)&amp;""))</f>
        <v/>
      </c>
      <c r="F631">
        <f>IF($P631="","",IF(ISNUMBER(INDEX(상세표[블록종료],$P631)),TEXT(INDEX(상세표[블록종료],$P631),"yyyy-mm-dd hh:mm"),INDEX(상세표[블록종료],$P631)&amp;""))</f>
        <v/>
      </c>
      <c r="G631">
        <f>IF($P631="","",CHOOSE(WEEKDAY(INDEX(상세표[시작],$P631)),"일","월","화","수","목","금","토"))</f>
        <v/>
      </c>
      <c r="H631">
        <f>IF($P631="","",INDEX(상세표[연속 시간],$P631))</f>
        <v/>
      </c>
      <c r="I631">
        <f>IF($P631="","",INDEX(상세표[기록 수],$P631))</f>
        <v/>
      </c>
      <c r="J631">
        <f>IF($P631="","",INDEX(상세표[블록 06~07시],$P631))</f>
        <v/>
      </c>
      <c r="K631">
        <f>IF($P631="","",INDEX(상세표[블록 07~18시],$P631))</f>
        <v/>
      </c>
      <c r="L631">
        <f>IF($P631="","",INDEX(상세표[블록 18~22시],$P631))</f>
        <v/>
      </c>
      <c r="M631">
        <f>IF($P631="","",INDEX(상세표[블록 22~06시],$P631))</f>
        <v/>
      </c>
      <c r="N631">
        <f>IF($P631="","",INDEX(상세표[주말·휴일 포함],$P631)&amp;"")</f>
        <v/>
      </c>
      <c r="O631">
        <f>IF($P631="","",INDEX(상세표[월 넘김 포함],$P631)&amp;"")</f>
        <v/>
      </c>
      <c r="P631" s="4">
        <f>IFERROR(MATCH(626,상세표[연속순번],0),"")</f>
        <v/>
      </c>
    </row>
    <row r="632">
      <c r="A632">
        <f>IF($P632="","",INDEX(상세표[사번],$P632)&amp;"")</f>
        <v/>
      </c>
      <c r="B632">
        <f>IF($P632="","",INDEX(상세표[성명],$P632)&amp;"")</f>
        <v/>
      </c>
      <c r="C632">
        <f>IF($P632="","",INDEX(상세표[부서],$P632)&amp;"")</f>
        <v/>
      </c>
      <c r="D632">
        <f>IF($P632="","",INDEX(상세표[직위],$P632)&amp;"")</f>
        <v/>
      </c>
      <c r="E632">
        <f>IF($P632="","",IF(ISNUMBER(INDEX(상세표[시작],$P632)),TEXT(INDEX(상세표[시작],$P632),"yyyy-mm-dd hh:mm"),INDEX(상세표[시작],$P632)&amp;""))</f>
        <v/>
      </c>
      <c r="F632">
        <f>IF($P632="","",IF(ISNUMBER(INDEX(상세표[블록종료],$P632)),TEXT(INDEX(상세표[블록종료],$P632),"yyyy-mm-dd hh:mm"),INDEX(상세표[블록종료],$P632)&amp;""))</f>
        <v/>
      </c>
      <c r="G632">
        <f>IF($P632="","",CHOOSE(WEEKDAY(INDEX(상세표[시작],$P632)),"일","월","화","수","목","금","토"))</f>
        <v/>
      </c>
      <c r="H632">
        <f>IF($P632="","",INDEX(상세표[연속 시간],$P632))</f>
        <v/>
      </c>
      <c r="I632">
        <f>IF($P632="","",INDEX(상세표[기록 수],$P632))</f>
        <v/>
      </c>
      <c r="J632">
        <f>IF($P632="","",INDEX(상세표[블록 06~07시],$P632))</f>
        <v/>
      </c>
      <c r="K632">
        <f>IF($P632="","",INDEX(상세표[블록 07~18시],$P632))</f>
        <v/>
      </c>
      <c r="L632">
        <f>IF($P632="","",INDEX(상세표[블록 18~22시],$P632))</f>
        <v/>
      </c>
      <c r="M632">
        <f>IF($P632="","",INDEX(상세표[블록 22~06시],$P632))</f>
        <v/>
      </c>
      <c r="N632">
        <f>IF($P632="","",INDEX(상세표[주말·휴일 포함],$P632)&amp;"")</f>
        <v/>
      </c>
      <c r="O632">
        <f>IF($P632="","",INDEX(상세표[월 넘김 포함],$P632)&amp;"")</f>
        <v/>
      </c>
      <c r="P632" s="4">
        <f>IFERROR(MATCH(627,상세표[연속순번],0),"")</f>
        <v/>
      </c>
    </row>
    <row r="633">
      <c r="A633">
        <f>IF($P633="","",INDEX(상세표[사번],$P633)&amp;"")</f>
        <v/>
      </c>
      <c r="B633">
        <f>IF($P633="","",INDEX(상세표[성명],$P633)&amp;"")</f>
        <v/>
      </c>
      <c r="C633">
        <f>IF($P633="","",INDEX(상세표[부서],$P633)&amp;"")</f>
        <v/>
      </c>
      <c r="D633">
        <f>IF($P633="","",INDEX(상세표[직위],$P633)&amp;"")</f>
        <v/>
      </c>
      <c r="E633">
        <f>IF($P633="","",IF(ISNUMBER(INDEX(상세표[시작],$P633)),TEXT(INDEX(상세표[시작],$P633),"yyyy-mm-dd hh:mm"),INDEX(상세표[시작],$P633)&amp;""))</f>
        <v/>
      </c>
      <c r="F633">
        <f>IF($P633="","",IF(ISNUMBER(INDEX(상세표[블록종료],$P633)),TEXT(INDEX(상세표[블록종료],$P633),"yyyy-mm-dd hh:mm"),INDEX(상세표[블록종료],$P633)&amp;""))</f>
        <v/>
      </c>
      <c r="G633">
        <f>IF($P633="","",CHOOSE(WEEKDAY(INDEX(상세표[시작],$P633)),"일","월","화","수","목","금","토"))</f>
        <v/>
      </c>
      <c r="H633">
        <f>IF($P633="","",INDEX(상세표[연속 시간],$P633))</f>
        <v/>
      </c>
      <c r="I633">
        <f>IF($P633="","",INDEX(상세표[기록 수],$P633))</f>
        <v/>
      </c>
      <c r="J633">
        <f>IF($P633="","",INDEX(상세표[블록 06~07시],$P633))</f>
        <v/>
      </c>
      <c r="K633">
        <f>IF($P633="","",INDEX(상세표[블록 07~18시],$P633))</f>
        <v/>
      </c>
      <c r="L633">
        <f>IF($P633="","",INDEX(상세표[블록 18~22시],$P633))</f>
        <v/>
      </c>
      <c r="M633">
        <f>IF($P633="","",INDEX(상세표[블록 22~06시],$P633))</f>
        <v/>
      </c>
      <c r="N633">
        <f>IF($P633="","",INDEX(상세표[주말·휴일 포함],$P633)&amp;"")</f>
        <v/>
      </c>
      <c r="O633">
        <f>IF($P633="","",INDEX(상세표[월 넘김 포함],$P633)&amp;"")</f>
        <v/>
      </c>
      <c r="P633" s="4">
        <f>IFERROR(MATCH(628,상세표[연속순번],0),"")</f>
        <v/>
      </c>
    </row>
    <row r="634">
      <c r="A634">
        <f>IF($P634="","",INDEX(상세표[사번],$P634)&amp;"")</f>
        <v/>
      </c>
      <c r="B634">
        <f>IF($P634="","",INDEX(상세표[성명],$P634)&amp;"")</f>
        <v/>
      </c>
      <c r="C634">
        <f>IF($P634="","",INDEX(상세표[부서],$P634)&amp;"")</f>
        <v/>
      </c>
      <c r="D634">
        <f>IF($P634="","",INDEX(상세표[직위],$P634)&amp;"")</f>
        <v/>
      </c>
      <c r="E634">
        <f>IF($P634="","",IF(ISNUMBER(INDEX(상세표[시작],$P634)),TEXT(INDEX(상세표[시작],$P634),"yyyy-mm-dd hh:mm"),INDEX(상세표[시작],$P634)&amp;""))</f>
        <v/>
      </c>
      <c r="F634">
        <f>IF($P634="","",IF(ISNUMBER(INDEX(상세표[블록종료],$P634)),TEXT(INDEX(상세표[블록종료],$P634),"yyyy-mm-dd hh:mm"),INDEX(상세표[블록종료],$P634)&amp;""))</f>
        <v/>
      </c>
      <c r="G634">
        <f>IF($P634="","",CHOOSE(WEEKDAY(INDEX(상세표[시작],$P634)),"일","월","화","수","목","금","토"))</f>
        <v/>
      </c>
      <c r="H634">
        <f>IF($P634="","",INDEX(상세표[연속 시간],$P634))</f>
        <v/>
      </c>
      <c r="I634">
        <f>IF($P634="","",INDEX(상세표[기록 수],$P634))</f>
        <v/>
      </c>
      <c r="J634">
        <f>IF($P634="","",INDEX(상세표[블록 06~07시],$P634))</f>
        <v/>
      </c>
      <c r="K634">
        <f>IF($P634="","",INDEX(상세표[블록 07~18시],$P634))</f>
        <v/>
      </c>
      <c r="L634">
        <f>IF($P634="","",INDEX(상세표[블록 18~22시],$P634))</f>
        <v/>
      </c>
      <c r="M634">
        <f>IF($P634="","",INDEX(상세표[블록 22~06시],$P634))</f>
        <v/>
      </c>
      <c r="N634">
        <f>IF($P634="","",INDEX(상세표[주말·휴일 포함],$P634)&amp;"")</f>
        <v/>
      </c>
      <c r="O634">
        <f>IF($P634="","",INDEX(상세표[월 넘김 포함],$P634)&amp;"")</f>
        <v/>
      </c>
      <c r="P634" s="4">
        <f>IFERROR(MATCH(629,상세표[연속순번],0),"")</f>
        <v/>
      </c>
    </row>
    <row r="635">
      <c r="A635">
        <f>IF($P635="","",INDEX(상세표[사번],$P635)&amp;"")</f>
        <v/>
      </c>
      <c r="B635">
        <f>IF($P635="","",INDEX(상세표[성명],$P635)&amp;"")</f>
        <v/>
      </c>
      <c r="C635">
        <f>IF($P635="","",INDEX(상세표[부서],$P635)&amp;"")</f>
        <v/>
      </c>
      <c r="D635">
        <f>IF($P635="","",INDEX(상세표[직위],$P635)&amp;"")</f>
        <v/>
      </c>
      <c r="E635">
        <f>IF($P635="","",IF(ISNUMBER(INDEX(상세표[시작],$P635)),TEXT(INDEX(상세표[시작],$P635),"yyyy-mm-dd hh:mm"),INDEX(상세표[시작],$P635)&amp;""))</f>
        <v/>
      </c>
      <c r="F635">
        <f>IF($P635="","",IF(ISNUMBER(INDEX(상세표[블록종료],$P635)),TEXT(INDEX(상세표[블록종료],$P635),"yyyy-mm-dd hh:mm"),INDEX(상세표[블록종료],$P635)&amp;""))</f>
        <v/>
      </c>
      <c r="G635">
        <f>IF($P635="","",CHOOSE(WEEKDAY(INDEX(상세표[시작],$P635)),"일","월","화","수","목","금","토"))</f>
        <v/>
      </c>
      <c r="H635">
        <f>IF($P635="","",INDEX(상세표[연속 시간],$P635))</f>
        <v/>
      </c>
      <c r="I635">
        <f>IF($P635="","",INDEX(상세표[기록 수],$P635))</f>
        <v/>
      </c>
      <c r="J635">
        <f>IF($P635="","",INDEX(상세표[블록 06~07시],$P635))</f>
        <v/>
      </c>
      <c r="K635">
        <f>IF($P635="","",INDEX(상세표[블록 07~18시],$P635))</f>
        <v/>
      </c>
      <c r="L635">
        <f>IF($P635="","",INDEX(상세표[블록 18~22시],$P635))</f>
        <v/>
      </c>
      <c r="M635">
        <f>IF($P635="","",INDEX(상세표[블록 22~06시],$P635))</f>
        <v/>
      </c>
      <c r="N635">
        <f>IF($P635="","",INDEX(상세표[주말·휴일 포함],$P635)&amp;"")</f>
        <v/>
      </c>
      <c r="O635">
        <f>IF($P635="","",INDEX(상세표[월 넘김 포함],$P635)&amp;"")</f>
        <v/>
      </c>
      <c r="P635" s="4">
        <f>IFERROR(MATCH(630,상세표[연속순번],0),"")</f>
        <v/>
      </c>
    </row>
    <row r="636">
      <c r="A636">
        <f>IF($P636="","",INDEX(상세표[사번],$P636)&amp;"")</f>
        <v/>
      </c>
      <c r="B636">
        <f>IF($P636="","",INDEX(상세표[성명],$P636)&amp;"")</f>
        <v/>
      </c>
      <c r="C636">
        <f>IF($P636="","",INDEX(상세표[부서],$P636)&amp;"")</f>
        <v/>
      </c>
      <c r="D636">
        <f>IF($P636="","",INDEX(상세표[직위],$P636)&amp;"")</f>
        <v/>
      </c>
      <c r="E636">
        <f>IF($P636="","",IF(ISNUMBER(INDEX(상세표[시작],$P636)),TEXT(INDEX(상세표[시작],$P636),"yyyy-mm-dd hh:mm"),INDEX(상세표[시작],$P636)&amp;""))</f>
        <v/>
      </c>
      <c r="F636">
        <f>IF($P636="","",IF(ISNUMBER(INDEX(상세표[블록종료],$P636)),TEXT(INDEX(상세표[블록종료],$P636),"yyyy-mm-dd hh:mm"),INDEX(상세표[블록종료],$P636)&amp;""))</f>
        <v/>
      </c>
      <c r="G636">
        <f>IF($P636="","",CHOOSE(WEEKDAY(INDEX(상세표[시작],$P636)),"일","월","화","수","목","금","토"))</f>
        <v/>
      </c>
      <c r="H636">
        <f>IF($P636="","",INDEX(상세표[연속 시간],$P636))</f>
        <v/>
      </c>
      <c r="I636">
        <f>IF($P636="","",INDEX(상세표[기록 수],$P636))</f>
        <v/>
      </c>
      <c r="J636">
        <f>IF($P636="","",INDEX(상세표[블록 06~07시],$P636))</f>
        <v/>
      </c>
      <c r="K636">
        <f>IF($P636="","",INDEX(상세표[블록 07~18시],$P636))</f>
        <v/>
      </c>
      <c r="L636">
        <f>IF($P636="","",INDEX(상세표[블록 18~22시],$P636))</f>
        <v/>
      </c>
      <c r="M636">
        <f>IF($P636="","",INDEX(상세표[블록 22~06시],$P636))</f>
        <v/>
      </c>
      <c r="N636">
        <f>IF($P636="","",INDEX(상세표[주말·휴일 포함],$P636)&amp;"")</f>
        <v/>
      </c>
      <c r="O636">
        <f>IF($P636="","",INDEX(상세표[월 넘김 포함],$P636)&amp;"")</f>
        <v/>
      </c>
      <c r="P636" s="4">
        <f>IFERROR(MATCH(631,상세표[연속순번],0),"")</f>
        <v/>
      </c>
    </row>
    <row r="637">
      <c r="A637">
        <f>IF($P637="","",INDEX(상세표[사번],$P637)&amp;"")</f>
        <v/>
      </c>
      <c r="B637">
        <f>IF($P637="","",INDEX(상세표[성명],$P637)&amp;"")</f>
        <v/>
      </c>
      <c r="C637">
        <f>IF($P637="","",INDEX(상세표[부서],$P637)&amp;"")</f>
        <v/>
      </c>
      <c r="D637">
        <f>IF($P637="","",INDEX(상세표[직위],$P637)&amp;"")</f>
        <v/>
      </c>
      <c r="E637">
        <f>IF($P637="","",IF(ISNUMBER(INDEX(상세표[시작],$P637)),TEXT(INDEX(상세표[시작],$P637),"yyyy-mm-dd hh:mm"),INDEX(상세표[시작],$P637)&amp;""))</f>
        <v/>
      </c>
      <c r="F637">
        <f>IF($P637="","",IF(ISNUMBER(INDEX(상세표[블록종료],$P637)),TEXT(INDEX(상세표[블록종료],$P637),"yyyy-mm-dd hh:mm"),INDEX(상세표[블록종료],$P637)&amp;""))</f>
        <v/>
      </c>
      <c r="G637">
        <f>IF($P637="","",CHOOSE(WEEKDAY(INDEX(상세표[시작],$P637)),"일","월","화","수","목","금","토"))</f>
        <v/>
      </c>
      <c r="H637">
        <f>IF($P637="","",INDEX(상세표[연속 시간],$P637))</f>
        <v/>
      </c>
      <c r="I637">
        <f>IF($P637="","",INDEX(상세표[기록 수],$P637))</f>
        <v/>
      </c>
      <c r="J637">
        <f>IF($P637="","",INDEX(상세표[블록 06~07시],$P637))</f>
        <v/>
      </c>
      <c r="K637">
        <f>IF($P637="","",INDEX(상세표[블록 07~18시],$P637))</f>
        <v/>
      </c>
      <c r="L637">
        <f>IF($P637="","",INDEX(상세표[블록 18~22시],$P637))</f>
        <v/>
      </c>
      <c r="M637">
        <f>IF($P637="","",INDEX(상세표[블록 22~06시],$P637))</f>
        <v/>
      </c>
      <c r="N637">
        <f>IF($P637="","",INDEX(상세표[주말·휴일 포함],$P637)&amp;"")</f>
        <v/>
      </c>
      <c r="O637">
        <f>IF($P637="","",INDEX(상세표[월 넘김 포함],$P637)&amp;"")</f>
        <v/>
      </c>
      <c r="P637" s="4">
        <f>IFERROR(MATCH(632,상세표[연속순번],0),"")</f>
        <v/>
      </c>
    </row>
    <row r="638">
      <c r="A638">
        <f>IF($P638="","",INDEX(상세표[사번],$P638)&amp;"")</f>
        <v/>
      </c>
      <c r="B638">
        <f>IF($P638="","",INDEX(상세표[성명],$P638)&amp;"")</f>
        <v/>
      </c>
      <c r="C638">
        <f>IF($P638="","",INDEX(상세표[부서],$P638)&amp;"")</f>
        <v/>
      </c>
      <c r="D638">
        <f>IF($P638="","",INDEX(상세표[직위],$P638)&amp;"")</f>
        <v/>
      </c>
      <c r="E638">
        <f>IF($P638="","",IF(ISNUMBER(INDEX(상세표[시작],$P638)),TEXT(INDEX(상세표[시작],$P638),"yyyy-mm-dd hh:mm"),INDEX(상세표[시작],$P638)&amp;""))</f>
        <v/>
      </c>
      <c r="F638">
        <f>IF($P638="","",IF(ISNUMBER(INDEX(상세표[블록종료],$P638)),TEXT(INDEX(상세표[블록종료],$P638),"yyyy-mm-dd hh:mm"),INDEX(상세표[블록종료],$P638)&amp;""))</f>
        <v/>
      </c>
      <c r="G638">
        <f>IF($P638="","",CHOOSE(WEEKDAY(INDEX(상세표[시작],$P638)),"일","월","화","수","목","금","토"))</f>
        <v/>
      </c>
      <c r="H638">
        <f>IF($P638="","",INDEX(상세표[연속 시간],$P638))</f>
        <v/>
      </c>
      <c r="I638">
        <f>IF($P638="","",INDEX(상세표[기록 수],$P638))</f>
        <v/>
      </c>
      <c r="J638">
        <f>IF($P638="","",INDEX(상세표[블록 06~07시],$P638))</f>
        <v/>
      </c>
      <c r="K638">
        <f>IF($P638="","",INDEX(상세표[블록 07~18시],$P638))</f>
        <v/>
      </c>
      <c r="L638">
        <f>IF($P638="","",INDEX(상세표[블록 18~22시],$P638))</f>
        <v/>
      </c>
      <c r="M638">
        <f>IF($P638="","",INDEX(상세표[블록 22~06시],$P638))</f>
        <v/>
      </c>
      <c r="N638">
        <f>IF($P638="","",INDEX(상세표[주말·휴일 포함],$P638)&amp;"")</f>
        <v/>
      </c>
      <c r="O638">
        <f>IF($P638="","",INDEX(상세표[월 넘김 포함],$P638)&amp;"")</f>
        <v/>
      </c>
      <c r="P638" s="4">
        <f>IFERROR(MATCH(633,상세표[연속순번],0),"")</f>
        <v/>
      </c>
    </row>
    <row r="639">
      <c r="A639">
        <f>IF($P639="","",INDEX(상세표[사번],$P639)&amp;"")</f>
        <v/>
      </c>
      <c r="B639">
        <f>IF($P639="","",INDEX(상세표[성명],$P639)&amp;"")</f>
        <v/>
      </c>
      <c r="C639">
        <f>IF($P639="","",INDEX(상세표[부서],$P639)&amp;"")</f>
        <v/>
      </c>
      <c r="D639">
        <f>IF($P639="","",INDEX(상세표[직위],$P639)&amp;"")</f>
        <v/>
      </c>
      <c r="E639">
        <f>IF($P639="","",IF(ISNUMBER(INDEX(상세표[시작],$P639)),TEXT(INDEX(상세표[시작],$P639),"yyyy-mm-dd hh:mm"),INDEX(상세표[시작],$P639)&amp;""))</f>
        <v/>
      </c>
      <c r="F639">
        <f>IF($P639="","",IF(ISNUMBER(INDEX(상세표[블록종료],$P639)),TEXT(INDEX(상세표[블록종료],$P639),"yyyy-mm-dd hh:mm"),INDEX(상세표[블록종료],$P639)&amp;""))</f>
        <v/>
      </c>
      <c r="G639">
        <f>IF($P639="","",CHOOSE(WEEKDAY(INDEX(상세표[시작],$P639)),"일","월","화","수","목","금","토"))</f>
        <v/>
      </c>
      <c r="H639">
        <f>IF($P639="","",INDEX(상세표[연속 시간],$P639))</f>
        <v/>
      </c>
      <c r="I639">
        <f>IF($P639="","",INDEX(상세표[기록 수],$P639))</f>
        <v/>
      </c>
      <c r="J639">
        <f>IF($P639="","",INDEX(상세표[블록 06~07시],$P639))</f>
        <v/>
      </c>
      <c r="K639">
        <f>IF($P639="","",INDEX(상세표[블록 07~18시],$P639))</f>
        <v/>
      </c>
      <c r="L639">
        <f>IF($P639="","",INDEX(상세표[블록 18~22시],$P639))</f>
        <v/>
      </c>
      <c r="M639">
        <f>IF($P639="","",INDEX(상세표[블록 22~06시],$P639))</f>
        <v/>
      </c>
      <c r="N639">
        <f>IF($P639="","",INDEX(상세표[주말·휴일 포함],$P639)&amp;"")</f>
        <v/>
      </c>
      <c r="O639">
        <f>IF($P639="","",INDEX(상세표[월 넘김 포함],$P639)&amp;"")</f>
        <v/>
      </c>
      <c r="P639" s="4">
        <f>IFERROR(MATCH(634,상세표[연속순번],0),"")</f>
        <v/>
      </c>
    </row>
    <row r="640">
      <c r="A640">
        <f>IF($P640="","",INDEX(상세표[사번],$P640)&amp;"")</f>
        <v/>
      </c>
      <c r="B640">
        <f>IF($P640="","",INDEX(상세표[성명],$P640)&amp;"")</f>
        <v/>
      </c>
      <c r="C640">
        <f>IF($P640="","",INDEX(상세표[부서],$P640)&amp;"")</f>
        <v/>
      </c>
      <c r="D640">
        <f>IF($P640="","",INDEX(상세표[직위],$P640)&amp;"")</f>
        <v/>
      </c>
      <c r="E640">
        <f>IF($P640="","",IF(ISNUMBER(INDEX(상세표[시작],$P640)),TEXT(INDEX(상세표[시작],$P640),"yyyy-mm-dd hh:mm"),INDEX(상세표[시작],$P640)&amp;""))</f>
        <v/>
      </c>
      <c r="F640">
        <f>IF($P640="","",IF(ISNUMBER(INDEX(상세표[블록종료],$P640)),TEXT(INDEX(상세표[블록종료],$P640),"yyyy-mm-dd hh:mm"),INDEX(상세표[블록종료],$P640)&amp;""))</f>
        <v/>
      </c>
      <c r="G640">
        <f>IF($P640="","",CHOOSE(WEEKDAY(INDEX(상세표[시작],$P640)),"일","월","화","수","목","금","토"))</f>
        <v/>
      </c>
      <c r="H640">
        <f>IF($P640="","",INDEX(상세표[연속 시간],$P640))</f>
        <v/>
      </c>
      <c r="I640">
        <f>IF($P640="","",INDEX(상세표[기록 수],$P640))</f>
        <v/>
      </c>
      <c r="J640">
        <f>IF($P640="","",INDEX(상세표[블록 06~07시],$P640))</f>
        <v/>
      </c>
      <c r="K640">
        <f>IF($P640="","",INDEX(상세표[블록 07~18시],$P640))</f>
        <v/>
      </c>
      <c r="L640">
        <f>IF($P640="","",INDEX(상세표[블록 18~22시],$P640))</f>
        <v/>
      </c>
      <c r="M640">
        <f>IF($P640="","",INDEX(상세표[블록 22~06시],$P640))</f>
        <v/>
      </c>
      <c r="N640">
        <f>IF($P640="","",INDEX(상세표[주말·휴일 포함],$P640)&amp;"")</f>
        <v/>
      </c>
      <c r="O640">
        <f>IF($P640="","",INDEX(상세표[월 넘김 포함],$P640)&amp;"")</f>
        <v/>
      </c>
      <c r="P640" s="4">
        <f>IFERROR(MATCH(635,상세표[연속순번],0),"")</f>
        <v/>
      </c>
    </row>
    <row r="641">
      <c r="A641">
        <f>IF($P641="","",INDEX(상세표[사번],$P641)&amp;"")</f>
        <v/>
      </c>
      <c r="B641">
        <f>IF($P641="","",INDEX(상세표[성명],$P641)&amp;"")</f>
        <v/>
      </c>
      <c r="C641">
        <f>IF($P641="","",INDEX(상세표[부서],$P641)&amp;"")</f>
        <v/>
      </c>
      <c r="D641">
        <f>IF($P641="","",INDEX(상세표[직위],$P641)&amp;"")</f>
        <v/>
      </c>
      <c r="E641">
        <f>IF($P641="","",IF(ISNUMBER(INDEX(상세표[시작],$P641)),TEXT(INDEX(상세표[시작],$P641),"yyyy-mm-dd hh:mm"),INDEX(상세표[시작],$P641)&amp;""))</f>
        <v/>
      </c>
      <c r="F641">
        <f>IF($P641="","",IF(ISNUMBER(INDEX(상세표[블록종료],$P641)),TEXT(INDEX(상세표[블록종료],$P641),"yyyy-mm-dd hh:mm"),INDEX(상세표[블록종료],$P641)&amp;""))</f>
        <v/>
      </c>
      <c r="G641">
        <f>IF($P641="","",CHOOSE(WEEKDAY(INDEX(상세표[시작],$P641)),"일","월","화","수","목","금","토"))</f>
        <v/>
      </c>
      <c r="H641">
        <f>IF($P641="","",INDEX(상세표[연속 시간],$P641))</f>
        <v/>
      </c>
      <c r="I641">
        <f>IF($P641="","",INDEX(상세표[기록 수],$P641))</f>
        <v/>
      </c>
      <c r="J641">
        <f>IF($P641="","",INDEX(상세표[블록 06~07시],$P641))</f>
        <v/>
      </c>
      <c r="K641">
        <f>IF($P641="","",INDEX(상세표[블록 07~18시],$P641))</f>
        <v/>
      </c>
      <c r="L641">
        <f>IF($P641="","",INDEX(상세표[블록 18~22시],$P641))</f>
        <v/>
      </c>
      <c r="M641">
        <f>IF($P641="","",INDEX(상세표[블록 22~06시],$P641))</f>
        <v/>
      </c>
      <c r="N641">
        <f>IF($P641="","",INDEX(상세표[주말·휴일 포함],$P641)&amp;"")</f>
        <v/>
      </c>
      <c r="O641">
        <f>IF($P641="","",INDEX(상세표[월 넘김 포함],$P641)&amp;"")</f>
        <v/>
      </c>
      <c r="P641" s="4">
        <f>IFERROR(MATCH(636,상세표[연속순번],0),"")</f>
        <v/>
      </c>
    </row>
    <row r="642">
      <c r="A642">
        <f>IF($P642="","",INDEX(상세표[사번],$P642)&amp;"")</f>
        <v/>
      </c>
      <c r="B642">
        <f>IF($P642="","",INDEX(상세표[성명],$P642)&amp;"")</f>
        <v/>
      </c>
      <c r="C642">
        <f>IF($P642="","",INDEX(상세표[부서],$P642)&amp;"")</f>
        <v/>
      </c>
      <c r="D642">
        <f>IF($P642="","",INDEX(상세표[직위],$P642)&amp;"")</f>
        <v/>
      </c>
      <c r="E642">
        <f>IF($P642="","",IF(ISNUMBER(INDEX(상세표[시작],$P642)),TEXT(INDEX(상세표[시작],$P642),"yyyy-mm-dd hh:mm"),INDEX(상세표[시작],$P642)&amp;""))</f>
        <v/>
      </c>
      <c r="F642">
        <f>IF($P642="","",IF(ISNUMBER(INDEX(상세표[블록종료],$P642)),TEXT(INDEX(상세표[블록종료],$P642),"yyyy-mm-dd hh:mm"),INDEX(상세표[블록종료],$P642)&amp;""))</f>
        <v/>
      </c>
      <c r="G642">
        <f>IF($P642="","",CHOOSE(WEEKDAY(INDEX(상세표[시작],$P642)),"일","월","화","수","목","금","토"))</f>
        <v/>
      </c>
      <c r="H642">
        <f>IF($P642="","",INDEX(상세표[연속 시간],$P642))</f>
        <v/>
      </c>
      <c r="I642">
        <f>IF($P642="","",INDEX(상세표[기록 수],$P642))</f>
        <v/>
      </c>
      <c r="J642">
        <f>IF($P642="","",INDEX(상세표[블록 06~07시],$P642))</f>
        <v/>
      </c>
      <c r="K642">
        <f>IF($P642="","",INDEX(상세표[블록 07~18시],$P642))</f>
        <v/>
      </c>
      <c r="L642">
        <f>IF($P642="","",INDEX(상세표[블록 18~22시],$P642))</f>
        <v/>
      </c>
      <c r="M642">
        <f>IF($P642="","",INDEX(상세표[블록 22~06시],$P642))</f>
        <v/>
      </c>
      <c r="N642">
        <f>IF($P642="","",INDEX(상세표[주말·휴일 포함],$P642)&amp;"")</f>
        <v/>
      </c>
      <c r="O642">
        <f>IF($P642="","",INDEX(상세표[월 넘김 포함],$P642)&amp;"")</f>
        <v/>
      </c>
      <c r="P642" s="4">
        <f>IFERROR(MATCH(637,상세표[연속순번],0),"")</f>
        <v/>
      </c>
    </row>
    <row r="643">
      <c r="A643">
        <f>IF($P643="","",INDEX(상세표[사번],$P643)&amp;"")</f>
        <v/>
      </c>
      <c r="B643">
        <f>IF($P643="","",INDEX(상세표[성명],$P643)&amp;"")</f>
        <v/>
      </c>
      <c r="C643">
        <f>IF($P643="","",INDEX(상세표[부서],$P643)&amp;"")</f>
        <v/>
      </c>
      <c r="D643">
        <f>IF($P643="","",INDEX(상세표[직위],$P643)&amp;"")</f>
        <v/>
      </c>
      <c r="E643">
        <f>IF($P643="","",IF(ISNUMBER(INDEX(상세표[시작],$P643)),TEXT(INDEX(상세표[시작],$P643),"yyyy-mm-dd hh:mm"),INDEX(상세표[시작],$P643)&amp;""))</f>
        <v/>
      </c>
      <c r="F643">
        <f>IF($P643="","",IF(ISNUMBER(INDEX(상세표[블록종료],$P643)),TEXT(INDEX(상세표[블록종료],$P643),"yyyy-mm-dd hh:mm"),INDEX(상세표[블록종료],$P643)&amp;""))</f>
        <v/>
      </c>
      <c r="G643">
        <f>IF($P643="","",CHOOSE(WEEKDAY(INDEX(상세표[시작],$P643)),"일","월","화","수","목","금","토"))</f>
        <v/>
      </c>
      <c r="H643">
        <f>IF($P643="","",INDEX(상세표[연속 시간],$P643))</f>
        <v/>
      </c>
      <c r="I643">
        <f>IF($P643="","",INDEX(상세표[기록 수],$P643))</f>
        <v/>
      </c>
      <c r="J643">
        <f>IF($P643="","",INDEX(상세표[블록 06~07시],$P643))</f>
        <v/>
      </c>
      <c r="K643">
        <f>IF($P643="","",INDEX(상세표[블록 07~18시],$P643))</f>
        <v/>
      </c>
      <c r="L643">
        <f>IF($P643="","",INDEX(상세표[블록 18~22시],$P643))</f>
        <v/>
      </c>
      <c r="M643">
        <f>IF($P643="","",INDEX(상세표[블록 22~06시],$P643))</f>
        <v/>
      </c>
      <c r="N643">
        <f>IF($P643="","",INDEX(상세표[주말·휴일 포함],$P643)&amp;"")</f>
        <v/>
      </c>
      <c r="O643">
        <f>IF($P643="","",INDEX(상세표[월 넘김 포함],$P643)&amp;"")</f>
        <v/>
      </c>
      <c r="P643" s="4">
        <f>IFERROR(MATCH(638,상세표[연속순번],0),"")</f>
        <v/>
      </c>
    </row>
    <row r="644">
      <c r="A644">
        <f>IF($P644="","",INDEX(상세표[사번],$P644)&amp;"")</f>
        <v/>
      </c>
      <c r="B644">
        <f>IF($P644="","",INDEX(상세표[성명],$P644)&amp;"")</f>
        <v/>
      </c>
      <c r="C644">
        <f>IF($P644="","",INDEX(상세표[부서],$P644)&amp;"")</f>
        <v/>
      </c>
      <c r="D644">
        <f>IF($P644="","",INDEX(상세표[직위],$P644)&amp;"")</f>
        <v/>
      </c>
      <c r="E644">
        <f>IF($P644="","",IF(ISNUMBER(INDEX(상세표[시작],$P644)),TEXT(INDEX(상세표[시작],$P644),"yyyy-mm-dd hh:mm"),INDEX(상세표[시작],$P644)&amp;""))</f>
        <v/>
      </c>
      <c r="F644">
        <f>IF($P644="","",IF(ISNUMBER(INDEX(상세표[블록종료],$P644)),TEXT(INDEX(상세표[블록종료],$P644),"yyyy-mm-dd hh:mm"),INDEX(상세표[블록종료],$P644)&amp;""))</f>
        <v/>
      </c>
      <c r="G644">
        <f>IF($P644="","",CHOOSE(WEEKDAY(INDEX(상세표[시작],$P644)),"일","월","화","수","목","금","토"))</f>
        <v/>
      </c>
      <c r="H644">
        <f>IF($P644="","",INDEX(상세표[연속 시간],$P644))</f>
        <v/>
      </c>
      <c r="I644">
        <f>IF($P644="","",INDEX(상세표[기록 수],$P644))</f>
        <v/>
      </c>
      <c r="J644">
        <f>IF($P644="","",INDEX(상세표[블록 06~07시],$P644))</f>
        <v/>
      </c>
      <c r="K644">
        <f>IF($P644="","",INDEX(상세표[블록 07~18시],$P644))</f>
        <v/>
      </c>
      <c r="L644">
        <f>IF($P644="","",INDEX(상세표[블록 18~22시],$P644))</f>
        <v/>
      </c>
      <c r="M644">
        <f>IF($P644="","",INDEX(상세표[블록 22~06시],$P644))</f>
        <v/>
      </c>
      <c r="N644">
        <f>IF($P644="","",INDEX(상세표[주말·휴일 포함],$P644)&amp;"")</f>
        <v/>
      </c>
      <c r="O644">
        <f>IF($P644="","",INDEX(상세표[월 넘김 포함],$P644)&amp;"")</f>
        <v/>
      </c>
      <c r="P644" s="4">
        <f>IFERROR(MATCH(639,상세표[연속순번],0),"")</f>
        <v/>
      </c>
    </row>
    <row r="645">
      <c r="A645">
        <f>IF($P645="","",INDEX(상세표[사번],$P645)&amp;"")</f>
        <v/>
      </c>
      <c r="B645">
        <f>IF($P645="","",INDEX(상세표[성명],$P645)&amp;"")</f>
        <v/>
      </c>
      <c r="C645">
        <f>IF($P645="","",INDEX(상세표[부서],$P645)&amp;"")</f>
        <v/>
      </c>
      <c r="D645">
        <f>IF($P645="","",INDEX(상세표[직위],$P645)&amp;"")</f>
        <v/>
      </c>
      <c r="E645">
        <f>IF($P645="","",IF(ISNUMBER(INDEX(상세표[시작],$P645)),TEXT(INDEX(상세표[시작],$P645),"yyyy-mm-dd hh:mm"),INDEX(상세표[시작],$P645)&amp;""))</f>
        <v/>
      </c>
      <c r="F645">
        <f>IF($P645="","",IF(ISNUMBER(INDEX(상세표[블록종료],$P645)),TEXT(INDEX(상세표[블록종료],$P645),"yyyy-mm-dd hh:mm"),INDEX(상세표[블록종료],$P645)&amp;""))</f>
        <v/>
      </c>
      <c r="G645">
        <f>IF($P645="","",CHOOSE(WEEKDAY(INDEX(상세표[시작],$P645)),"일","월","화","수","목","금","토"))</f>
        <v/>
      </c>
      <c r="H645">
        <f>IF($P645="","",INDEX(상세표[연속 시간],$P645))</f>
        <v/>
      </c>
      <c r="I645">
        <f>IF($P645="","",INDEX(상세표[기록 수],$P645))</f>
        <v/>
      </c>
      <c r="J645">
        <f>IF($P645="","",INDEX(상세표[블록 06~07시],$P645))</f>
        <v/>
      </c>
      <c r="K645">
        <f>IF($P645="","",INDEX(상세표[블록 07~18시],$P645))</f>
        <v/>
      </c>
      <c r="L645">
        <f>IF($P645="","",INDEX(상세표[블록 18~22시],$P645))</f>
        <v/>
      </c>
      <c r="M645">
        <f>IF($P645="","",INDEX(상세표[블록 22~06시],$P645))</f>
        <v/>
      </c>
      <c r="N645">
        <f>IF($P645="","",INDEX(상세표[주말·휴일 포함],$P645)&amp;"")</f>
        <v/>
      </c>
      <c r="O645">
        <f>IF($P645="","",INDEX(상세표[월 넘김 포함],$P645)&amp;"")</f>
        <v/>
      </c>
      <c r="P645" s="4">
        <f>IFERROR(MATCH(640,상세표[연속순번],0),"")</f>
        <v/>
      </c>
    </row>
    <row r="646">
      <c r="A646">
        <f>IF($P646="","",INDEX(상세표[사번],$P646)&amp;"")</f>
        <v/>
      </c>
      <c r="B646">
        <f>IF($P646="","",INDEX(상세표[성명],$P646)&amp;"")</f>
        <v/>
      </c>
      <c r="C646">
        <f>IF($P646="","",INDEX(상세표[부서],$P646)&amp;"")</f>
        <v/>
      </c>
      <c r="D646">
        <f>IF($P646="","",INDEX(상세표[직위],$P646)&amp;"")</f>
        <v/>
      </c>
      <c r="E646">
        <f>IF($P646="","",IF(ISNUMBER(INDEX(상세표[시작],$P646)),TEXT(INDEX(상세표[시작],$P646),"yyyy-mm-dd hh:mm"),INDEX(상세표[시작],$P646)&amp;""))</f>
        <v/>
      </c>
      <c r="F646">
        <f>IF($P646="","",IF(ISNUMBER(INDEX(상세표[블록종료],$P646)),TEXT(INDEX(상세표[블록종료],$P646),"yyyy-mm-dd hh:mm"),INDEX(상세표[블록종료],$P646)&amp;""))</f>
        <v/>
      </c>
      <c r="G646">
        <f>IF($P646="","",CHOOSE(WEEKDAY(INDEX(상세표[시작],$P646)),"일","월","화","수","목","금","토"))</f>
        <v/>
      </c>
      <c r="H646">
        <f>IF($P646="","",INDEX(상세표[연속 시간],$P646))</f>
        <v/>
      </c>
      <c r="I646">
        <f>IF($P646="","",INDEX(상세표[기록 수],$P646))</f>
        <v/>
      </c>
      <c r="J646">
        <f>IF($P646="","",INDEX(상세표[블록 06~07시],$P646))</f>
        <v/>
      </c>
      <c r="K646">
        <f>IF($P646="","",INDEX(상세표[블록 07~18시],$P646))</f>
        <v/>
      </c>
      <c r="L646">
        <f>IF($P646="","",INDEX(상세표[블록 18~22시],$P646))</f>
        <v/>
      </c>
      <c r="M646">
        <f>IF($P646="","",INDEX(상세표[블록 22~06시],$P646))</f>
        <v/>
      </c>
      <c r="N646">
        <f>IF($P646="","",INDEX(상세표[주말·휴일 포함],$P646)&amp;"")</f>
        <v/>
      </c>
      <c r="O646">
        <f>IF($P646="","",INDEX(상세표[월 넘김 포함],$P646)&amp;"")</f>
        <v/>
      </c>
      <c r="P646" s="4">
        <f>IFERROR(MATCH(641,상세표[연속순번],0),"")</f>
        <v/>
      </c>
    </row>
    <row r="647">
      <c r="A647">
        <f>IF($P647="","",INDEX(상세표[사번],$P647)&amp;"")</f>
        <v/>
      </c>
      <c r="B647">
        <f>IF($P647="","",INDEX(상세표[성명],$P647)&amp;"")</f>
        <v/>
      </c>
      <c r="C647">
        <f>IF($P647="","",INDEX(상세표[부서],$P647)&amp;"")</f>
        <v/>
      </c>
      <c r="D647">
        <f>IF($P647="","",INDEX(상세표[직위],$P647)&amp;"")</f>
        <v/>
      </c>
      <c r="E647">
        <f>IF($P647="","",IF(ISNUMBER(INDEX(상세표[시작],$P647)),TEXT(INDEX(상세표[시작],$P647),"yyyy-mm-dd hh:mm"),INDEX(상세표[시작],$P647)&amp;""))</f>
        <v/>
      </c>
      <c r="F647">
        <f>IF($P647="","",IF(ISNUMBER(INDEX(상세표[블록종료],$P647)),TEXT(INDEX(상세표[블록종료],$P647),"yyyy-mm-dd hh:mm"),INDEX(상세표[블록종료],$P647)&amp;""))</f>
        <v/>
      </c>
      <c r="G647">
        <f>IF($P647="","",CHOOSE(WEEKDAY(INDEX(상세표[시작],$P647)),"일","월","화","수","목","금","토"))</f>
        <v/>
      </c>
      <c r="H647">
        <f>IF($P647="","",INDEX(상세표[연속 시간],$P647))</f>
        <v/>
      </c>
      <c r="I647">
        <f>IF($P647="","",INDEX(상세표[기록 수],$P647))</f>
        <v/>
      </c>
      <c r="J647">
        <f>IF($P647="","",INDEX(상세표[블록 06~07시],$P647))</f>
        <v/>
      </c>
      <c r="K647">
        <f>IF($P647="","",INDEX(상세표[블록 07~18시],$P647))</f>
        <v/>
      </c>
      <c r="L647">
        <f>IF($P647="","",INDEX(상세표[블록 18~22시],$P647))</f>
        <v/>
      </c>
      <c r="M647">
        <f>IF($P647="","",INDEX(상세표[블록 22~06시],$P647))</f>
        <v/>
      </c>
      <c r="N647">
        <f>IF($P647="","",INDEX(상세표[주말·휴일 포함],$P647)&amp;"")</f>
        <v/>
      </c>
      <c r="O647">
        <f>IF($P647="","",INDEX(상세표[월 넘김 포함],$P647)&amp;"")</f>
        <v/>
      </c>
      <c r="P647" s="4">
        <f>IFERROR(MATCH(642,상세표[연속순번],0),"")</f>
        <v/>
      </c>
    </row>
    <row r="648">
      <c r="A648">
        <f>IF($P648="","",INDEX(상세표[사번],$P648)&amp;"")</f>
        <v/>
      </c>
      <c r="B648">
        <f>IF($P648="","",INDEX(상세표[성명],$P648)&amp;"")</f>
        <v/>
      </c>
      <c r="C648">
        <f>IF($P648="","",INDEX(상세표[부서],$P648)&amp;"")</f>
        <v/>
      </c>
      <c r="D648">
        <f>IF($P648="","",INDEX(상세표[직위],$P648)&amp;"")</f>
        <v/>
      </c>
      <c r="E648">
        <f>IF($P648="","",IF(ISNUMBER(INDEX(상세표[시작],$P648)),TEXT(INDEX(상세표[시작],$P648),"yyyy-mm-dd hh:mm"),INDEX(상세표[시작],$P648)&amp;""))</f>
        <v/>
      </c>
      <c r="F648">
        <f>IF($P648="","",IF(ISNUMBER(INDEX(상세표[블록종료],$P648)),TEXT(INDEX(상세표[블록종료],$P648),"yyyy-mm-dd hh:mm"),INDEX(상세표[블록종료],$P648)&amp;""))</f>
        <v/>
      </c>
      <c r="G648">
        <f>IF($P648="","",CHOOSE(WEEKDAY(INDEX(상세표[시작],$P648)),"일","월","화","수","목","금","토"))</f>
        <v/>
      </c>
      <c r="H648">
        <f>IF($P648="","",INDEX(상세표[연속 시간],$P648))</f>
        <v/>
      </c>
      <c r="I648">
        <f>IF($P648="","",INDEX(상세표[기록 수],$P648))</f>
        <v/>
      </c>
      <c r="J648">
        <f>IF($P648="","",INDEX(상세표[블록 06~07시],$P648))</f>
        <v/>
      </c>
      <c r="K648">
        <f>IF($P648="","",INDEX(상세표[블록 07~18시],$P648))</f>
        <v/>
      </c>
      <c r="L648">
        <f>IF($P648="","",INDEX(상세표[블록 18~22시],$P648))</f>
        <v/>
      </c>
      <c r="M648">
        <f>IF($P648="","",INDEX(상세표[블록 22~06시],$P648))</f>
        <v/>
      </c>
      <c r="N648">
        <f>IF($P648="","",INDEX(상세표[주말·휴일 포함],$P648)&amp;"")</f>
        <v/>
      </c>
      <c r="O648">
        <f>IF($P648="","",INDEX(상세표[월 넘김 포함],$P648)&amp;"")</f>
        <v/>
      </c>
      <c r="P648" s="4">
        <f>IFERROR(MATCH(643,상세표[연속순번],0),"")</f>
        <v/>
      </c>
    </row>
    <row r="649">
      <c r="A649">
        <f>IF($P649="","",INDEX(상세표[사번],$P649)&amp;"")</f>
        <v/>
      </c>
      <c r="B649">
        <f>IF($P649="","",INDEX(상세표[성명],$P649)&amp;"")</f>
        <v/>
      </c>
      <c r="C649">
        <f>IF($P649="","",INDEX(상세표[부서],$P649)&amp;"")</f>
        <v/>
      </c>
      <c r="D649">
        <f>IF($P649="","",INDEX(상세표[직위],$P649)&amp;"")</f>
        <v/>
      </c>
      <c r="E649">
        <f>IF($P649="","",IF(ISNUMBER(INDEX(상세표[시작],$P649)),TEXT(INDEX(상세표[시작],$P649),"yyyy-mm-dd hh:mm"),INDEX(상세표[시작],$P649)&amp;""))</f>
        <v/>
      </c>
      <c r="F649">
        <f>IF($P649="","",IF(ISNUMBER(INDEX(상세표[블록종료],$P649)),TEXT(INDEX(상세표[블록종료],$P649),"yyyy-mm-dd hh:mm"),INDEX(상세표[블록종료],$P649)&amp;""))</f>
        <v/>
      </c>
      <c r="G649">
        <f>IF($P649="","",CHOOSE(WEEKDAY(INDEX(상세표[시작],$P649)),"일","월","화","수","목","금","토"))</f>
        <v/>
      </c>
      <c r="H649">
        <f>IF($P649="","",INDEX(상세표[연속 시간],$P649))</f>
        <v/>
      </c>
      <c r="I649">
        <f>IF($P649="","",INDEX(상세표[기록 수],$P649))</f>
        <v/>
      </c>
      <c r="J649">
        <f>IF($P649="","",INDEX(상세표[블록 06~07시],$P649))</f>
        <v/>
      </c>
      <c r="K649">
        <f>IF($P649="","",INDEX(상세표[블록 07~18시],$P649))</f>
        <v/>
      </c>
      <c r="L649">
        <f>IF($P649="","",INDEX(상세표[블록 18~22시],$P649))</f>
        <v/>
      </c>
      <c r="M649">
        <f>IF($P649="","",INDEX(상세표[블록 22~06시],$P649))</f>
        <v/>
      </c>
      <c r="N649">
        <f>IF($P649="","",INDEX(상세표[주말·휴일 포함],$P649)&amp;"")</f>
        <v/>
      </c>
      <c r="O649">
        <f>IF($P649="","",INDEX(상세표[월 넘김 포함],$P649)&amp;"")</f>
        <v/>
      </c>
      <c r="P649" s="4">
        <f>IFERROR(MATCH(644,상세표[연속순번],0),"")</f>
        <v/>
      </c>
    </row>
    <row r="650">
      <c r="A650">
        <f>IF($P650="","",INDEX(상세표[사번],$P650)&amp;"")</f>
        <v/>
      </c>
      <c r="B650">
        <f>IF($P650="","",INDEX(상세표[성명],$P650)&amp;"")</f>
        <v/>
      </c>
      <c r="C650">
        <f>IF($P650="","",INDEX(상세표[부서],$P650)&amp;"")</f>
        <v/>
      </c>
      <c r="D650">
        <f>IF($P650="","",INDEX(상세표[직위],$P650)&amp;"")</f>
        <v/>
      </c>
      <c r="E650">
        <f>IF($P650="","",IF(ISNUMBER(INDEX(상세표[시작],$P650)),TEXT(INDEX(상세표[시작],$P650),"yyyy-mm-dd hh:mm"),INDEX(상세표[시작],$P650)&amp;""))</f>
        <v/>
      </c>
      <c r="F650">
        <f>IF($P650="","",IF(ISNUMBER(INDEX(상세표[블록종료],$P650)),TEXT(INDEX(상세표[블록종료],$P650),"yyyy-mm-dd hh:mm"),INDEX(상세표[블록종료],$P650)&amp;""))</f>
        <v/>
      </c>
      <c r="G650">
        <f>IF($P650="","",CHOOSE(WEEKDAY(INDEX(상세표[시작],$P650)),"일","월","화","수","목","금","토"))</f>
        <v/>
      </c>
      <c r="H650">
        <f>IF($P650="","",INDEX(상세표[연속 시간],$P650))</f>
        <v/>
      </c>
      <c r="I650">
        <f>IF($P650="","",INDEX(상세표[기록 수],$P650))</f>
        <v/>
      </c>
      <c r="J650">
        <f>IF($P650="","",INDEX(상세표[블록 06~07시],$P650))</f>
        <v/>
      </c>
      <c r="K650">
        <f>IF($P650="","",INDEX(상세표[블록 07~18시],$P650))</f>
        <v/>
      </c>
      <c r="L650">
        <f>IF($P650="","",INDEX(상세표[블록 18~22시],$P650))</f>
        <v/>
      </c>
      <c r="M650">
        <f>IF($P650="","",INDEX(상세표[블록 22~06시],$P650))</f>
        <v/>
      </c>
      <c r="N650">
        <f>IF($P650="","",INDEX(상세표[주말·휴일 포함],$P650)&amp;"")</f>
        <v/>
      </c>
      <c r="O650">
        <f>IF($P650="","",INDEX(상세표[월 넘김 포함],$P650)&amp;"")</f>
        <v/>
      </c>
      <c r="P650" s="4">
        <f>IFERROR(MATCH(645,상세표[연속순번],0),"")</f>
        <v/>
      </c>
    </row>
    <row r="651">
      <c r="A651">
        <f>IF($P651="","",INDEX(상세표[사번],$P651)&amp;"")</f>
        <v/>
      </c>
      <c r="B651">
        <f>IF($P651="","",INDEX(상세표[성명],$P651)&amp;"")</f>
        <v/>
      </c>
      <c r="C651">
        <f>IF($P651="","",INDEX(상세표[부서],$P651)&amp;"")</f>
        <v/>
      </c>
      <c r="D651">
        <f>IF($P651="","",INDEX(상세표[직위],$P651)&amp;"")</f>
        <v/>
      </c>
      <c r="E651">
        <f>IF($P651="","",IF(ISNUMBER(INDEX(상세표[시작],$P651)),TEXT(INDEX(상세표[시작],$P651),"yyyy-mm-dd hh:mm"),INDEX(상세표[시작],$P651)&amp;""))</f>
        <v/>
      </c>
      <c r="F651">
        <f>IF($P651="","",IF(ISNUMBER(INDEX(상세표[블록종료],$P651)),TEXT(INDEX(상세표[블록종료],$P651),"yyyy-mm-dd hh:mm"),INDEX(상세표[블록종료],$P651)&amp;""))</f>
        <v/>
      </c>
      <c r="G651">
        <f>IF($P651="","",CHOOSE(WEEKDAY(INDEX(상세표[시작],$P651)),"일","월","화","수","목","금","토"))</f>
        <v/>
      </c>
      <c r="H651">
        <f>IF($P651="","",INDEX(상세표[연속 시간],$P651))</f>
        <v/>
      </c>
      <c r="I651">
        <f>IF($P651="","",INDEX(상세표[기록 수],$P651))</f>
        <v/>
      </c>
      <c r="J651">
        <f>IF($P651="","",INDEX(상세표[블록 06~07시],$P651))</f>
        <v/>
      </c>
      <c r="K651">
        <f>IF($P651="","",INDEX(상세표[블록 07~18시],$P651))</f>
        <v/>
      </c>
      <c r="L651">
        <f>IF($P651="","",INDEX(상세표[블록 18~22시],$P651))</f>
        <v/>
      </c>
      <c r="M651">
        <f>IF($P651="","",INDEX(상세표[블록 22~06시],$P651))</f>
        <v/>
      </c>
      <c r="N651">
        <f>IF($P651="","",INDEX(상세표[주말·휴일 포함],$P651)&amp;"")</f>
        <v/>
      </c>
      <c r="O651">
        <f>IF($P651="","",INDEX(상세표[월 넘김 포함],$P651)&amp;"")</f>
        <v/>
      </c>
      <c r="P651" s="4">
        <f>IFERROR(MATCH(646,상세표[연속순번],0),"")</f>
        <v/>
      </c>
    </row>
    <row r="652">
      <c r="A652">
        <f>IF($P652="","",INDEX(상세표[사번],$P652)&amp;"")</f>
        <v/>
      </c>
      <c r="B652">
        <f>IF($P652="","",INDEX(상세표[성명],$P652)&amp;"")</f>
        <v/>
      </c>
      <c r="C652">
        <f>IF($P652="","",INDEX(상세표[부서],$P652)&amp;"")</f>
        <v/>
      </c>
      <c r="D652">
        <f>IF($P652="","",INDEX(상세표[직위],$P652)&amp;"")</f>
        <v/>
      </c>
      <c r="E652">
        <f>IF($P652="","",IF(ISNUMBER(INDEX(상세표[시작],$P652)),TEXT(INDEX(상세표[시작],$P652),"yyyy-mm-dd hh:mm"),INDEX(상세표[시작],$P652)&amp;""))</f>
        <v/>
      </c>
      <c r="F652">
        <f>IF($P652="","",IF(ISNUMBER(INDEX(상세표[블록종료],$P652)),TEXT(INDEX(상세표[블록종료],$P652),"yyyy-mm-dd hh:mm"),INDEX(상세표[블록종료],$P652)&amp;""))</f>
        <v/>
      </c>
      <c r="G652">
        <f>IF($P652="","",CHOOSE(WEEKDAY(INDEX(상세표[시작],$P652)),"일","월","화","수","목","금","토"))</f>
        <v/>
      </c>
      <c r="H652">
        <f>IF($P652="","",INDEX(상세표[연속 시간],$P652))</f>
        <v/>
      </c>
      <c r="I652">
        <f>IF($P652="","",INDEX(상세표[기록 수],$P652))</f>
        <v/>
      </c>
      <c r="J652">
        <f>IF($P652="","",INDEX(상세표[블록 06~07시],$P652))</f>
        <v/>
      </c>
      <c r="K652">
        <f>IF($P652="","",INDEX(상세표[블록 07~18시],$P652))</f>
        <v/>
      </c>
      <c r="L652">
        <f>IF($P652="","",INDEX(상세표[블록 18~22시],$P652))</f>
        <v/>
      </c>
      <c r="M652">
        <f>IF($P652="","",INDEX(상세표[블록 22~06시],$P652))</f>
        <v/>
      </c>
      <c r="N652">
        <f>IF($P652="","",INDEX(상세표[주말·휴일 포함],$P652)&amp;"")</f>
        <v/>
      </c>
      <c r="O652">
        <f>IF($P652="","",INDEX(상세표[월 넘김 포함],$P652)&amp;"")</f>
        <v/>
      </c>
      <c r="P652" s="4">
        <f>IFERROR(MATCH(647,상세표[연속순번],0),"")</f>
        <v/>
      </c>
    </row>
    <row r="653">
      <c r="A653">
        <f>IF($P653="","",INDEX(상세표[사번],$P653)&amp;"")</f>
        <v/>
      </c>
      <c r="B653">
        <f>IF($P653="","",INDEX(상세표[성명],$P653)&amp;"")</f>
        <v/>
      </c>
      <c r="C653">
        <f>IF($P653="","",INDEX(상세표[부서],$P653)&amp;"")</f>
        <v/>
      </c>
      <c r="D653">
        <f>IF($P653="","",INDEX(상세표[직위],$P653)&amp;"")</f>
        <v/>
      </c>
      <c r="E653">
        <f>IF($P653="","",IF(ISNUMBER(INDEX(상세표[시작],$P653)),TEXT(INDEX(상세표[시작],$P653),"yyyy-mm-dd hh:mm"),INDEX(상세표[시작],$P653)&amp;""))</f>
        <v/>
      </c>
      <c r="F653">
        <f>IF($P653="","",IF(ISNUMBER(INDEX(상세표[블록종료],$P653)),TEXT(INDEX(상세표[블록종료],$P653),"yyyy-mm-dd hh:mm"),INDEX(상세표[블록종료],$P653)&amp;""))</f>
        <v/>
      </c>
      <c r="G653">
        <f>IF($P653="","",CHOOSE(WEEKDAY(INDEX(상세표[시작],$P653)),"일","월","화","수","목","금","토"))</f>
        <v/>
      </c>
      <c r="H653">
        <f>IF($P653="","",INDEX(상세표[연속 시간],$P653))</f>
        <v/>
      </c>
      <c r="I653">
        <f>IF($P653="","",INDEX(상세표[기록 수],$P653))</f>
        <v/>
      </c>
      <c r="J653">
        <f>IF($P653="","",INDEX(상세표[블록 06~07시],$P653))</f>
        <v/>
      </c>
      <c r="K653">
        <f>IF($P653="","",INDEX(상세표[블록 07~18시],$P653))</f>
        <v/>
      </c>
      <c r="L653">
        <f>IF($P653="","",INDEX(상세표[블록 18~22시],$P653))</f>
        <v/>
      </c>
      <c r="M653">
        <f>IF($P653="","",INDEX(상세표[블록 22~06시],$P653))</f>
        <v/>
      </c>
      <c r="N653">
        <f>IF($P653="","",INDEX(상세표[주말·휴일 포함],$P653)&amp;"")</f>
        <v/>
      </c>
      <c r="O653">
        <f>IF($P653="","",INDEX(상세표[월 넘김 포함],$P653)&amp;"")</f>
        <v/>
      </c>
      <c r="P653" s="4">
        <f>IFERROR(MATCH(648,상세표[연속순번],0),"")</f>
        <v/>
      </c>
    </row>
    <row r="654">
      <c r="A654">
        <f>IF($P654="","",INDEX(상세표[사번],$P654)&amp;"")</f>
        <v/>
      </c>
      <c r="B654">
        <f>IF($P654="","",INDEX(상세표[성명],$P654)&amp;"")</f>
        <v/>
      </c>
      <c r="C654">
        <f>IF($P654="","",INDEX(상세표[부서],$P654)&amp;"")</f>
        <v/>
      </c>
      <c r="D654">
        <f>IF($P654="","",INDEX(상세표[직위],$P654)&amp;"")</f>
        <v/>
      </c>
      <c r="E654">
        <f>IF($P654="","",IF(ISNUMBER(INDEX(상세표[시작],$P654)),TEXT(INDEX(상세표[시작],$P654),"yyyy-mm-dd hh:mm"),INDEX(상세표[시작],$P654)&amp;""))</f>
        <v/>
      </c>
      <c r="F654">
        <f>IF($P654="","",IF(ISNUMBER(INDEX(상세표[블록종료],$P654)),TEXT(INDEX(상세표[블록종료],$P654),"yyyy-mm-dd hh:mm"),INDEX(상세표[블록종료],$P654)&amp;""))</f>
        <v/>
      </c>
      <c r="G654">
        <f>IF($P654="","",CHOOSE(WEEKDAY(INDEX(상세표[시작],$P654)),"일","월","화","수","목","금","토"))</f>
        <v/>
      </c>
      <c r="H654">
        <f>IF($P654="","",INDEX(상세표[연속 시간],$P654))</f>
        <v/>
      </c>
      <c r="I654">
        <f>IF($P654="","",INDEX(상세표[기록 수],$P654))</f>
        <v/>
      </c>
      <c r="J654">
        <f>IF($P654="","",INDEX(상세표[블록 06~07시],$P654))</f>
        <v/>
      </c>
      <c r="K654">
        <f>IF($P654="","",INDEX(상세표[블록 07~18시],$P654))</f>
        <v/>
      </c>
      <c r="L654">
        <f>IF($P654="","",INDEX(상세표[블록 18~22시],$P654))</f>
        <v/>
      </c>
      <c r="M654">
        <f>IF($P654="","",INDEX(상세표[블록 22~06시],$P654))</f>
        <v/>
      </c>
      <c r="N654">
        <f>IF($P654="","",INDEX(상세표[주말·휴일 포함],$P654)&amp;"")</f>
        <v/>
      </c>
      <c r="O654">
        <f>IF($P654="","",INDEX(상세표[월 넘김 포함],$P654)&amp;"")</f>
        <v/>
      </c>
      <c r="P654" s="4">
        <f>IFERROR(MATCH(649,상세표[연속순번],0),"")</f>
        <v/>
      </c>
    </row>
    <row r="655">
      <c r="A655">
        <f>IF($P655="","",INDEX(상세표[사번],$P655)&amp;"")</f>
        <v/>
      </c>
      <c r="B655">
        <f>IF($P655="","",INDEX(상세표[성명],$P655)&amp;"")</f>
        <v/>
      </c>
      <c r="C655">
        <f>IF($P655="","",INDEX(상세표[부서],$P655)&amp;"")</f>
        <v/>
      </c>
      <c r="D655">
        <f>IF($P655="","",INDEX(상세표[직위],$P655)&amp;"")</f>
        <v/>
      </c>
      <c r="E655">
        <f>IF($P655="","",IF(ISNUMBER(INDEX(상세표[시작],$P655)),TEXT(INDEX(상세표[시작],$P655),"yyyy-mm-dd hh:mm"),INDEX(상세표[시작],$P655)&amp;""))</f>
        <v/>
      </c>
      <c r="F655">
        <f>IF($P655="","",IF(ISNUMBER(INDEX(상세표[블록종료],$P655)),TEXT(INDEX(상세표[블록종료],$P655),"yyyy-mm-dd hh:mm"),INDEX(상세표[블록종료],$P655)&amp;""))</f>
        <v/>
      </c>
      <c r="G655">
        <f>IF($P655="","",CHOOSE(WEEKDAY(INDEX(상세표[시작],$P655)),"일","월","화","수","목","금","토"))</f>
        <v/>
      </c>
      <c r="H655">
        <f>IF($P655="","",INDEX(상세표[연속 시간],$P655))</f>
        <v/>
      </c>
      <c r="I655">
        <f>IF($P655="","",INDEX(상세표[기록 수],$P655))</f>
        <v/>
      </c>
      <c r="J655">
        <f>IF($P655="","",INDEX(상세표[블록 06~07시],$P655))</f>
        <v/>
      </c>
      <c r="K655">
        <f>IF($P655="","",INDEX(상세표[블록 07~18시],$P655))</f>
        <v/>
      </c>
      <c r="L655">
        <f>IF($P655="","",INDEX(상세표[블록 18~22시],$P655))</f>
        <v/>
      </c>
      <c r="M655">
        <f>IF($P655="","",INDEX(상세표[블록 22~06시],$P655))</f>
        <v/>
      </c>
      <c r="N655">
        <f>IF($P655="","",INDEX(상세표[주말·휴일 포함],$P655)&amp;"")</f>
        <v/>
      </c>
      <c r="O655">
        <f>IF($P655="","",INDEX(상세표[월 넘김 포함],$P655)&amp;"")</f>
        <v/>
      </c>
      <c r="P655" s="4">
        <f>IFERROR(MATCH(650,상세표[연속순번],0),"")</f>
        <v/>
      </c>
    </row>
    <row r="656">
      <c r="A656">
        <f>IF($P656="","",INDEX(상세표[사번],$P656)&amp;"")</f>
        <v/>
      </c>
      <c r="B656">
        <f>IF($P656="","",INDEX(상세표[성명],$P656)&amp;"")</f>
        <v/>
      </c>
      <c r="C656">
        <f>IF($P656="","",INDEX(상세표[부서],$P656)&amp;"")</f>
        <v/>
      </c>
      <c r="D656">
        <f>IF($P656="","",INDEX(상세표[직위],$P656)&amp;"")</f>
        <v/>
      </c>
      <c r="E656">
        <f>IF($P656="","",IF(ISNUMBER(INDEX(상세표[시작],$P656)),TEXT(INDEX(상세표[시작],$P656),"yyyy-mm-dd hh:mm"),INDEX(상세표[시작],$P656)&amp;""))</f>
        <v/>
      </c>
      <c r="F656">
        <f>IF($P656="","",IF(ISNUMBER(INDEX(상세표[블록종료],$P656)),TEXT(INDEX(상세표[블록종료],$P656),"yyyy-mm-dd hh:mm"),INDEX(상세표[블록종료],$P656)&amp;""))</f>
        <v/>
      </c>
      <c r="G656">
        <f>IF($P656="","",CHOOSE(WEEKDAY(INDEX(상세표[시작],$P656)),"일","월","화","수","목","금","토"))</f>
        <v/>
      </c>
      <c r="H656">
        <f>IF($P656="","",INDEX(상세표[연속 시간],$P656))</f>
        <v/>
      </c>
      <c r="I656">
        <f>IF($P656="","",INDEX(상세표[기록 수],$P656))</f>
        <v/>
      </c>
      <c r="J656">
        <f>IF($P656="","",INDEX(상세표[블록 06~07시],$P656))</f>
        <v/>
      </c>
      <c r="K656">
        <f>IF($P656="","",INDEX(상세표[블록 07~18시],$P656))</f>
        <v/>
      </c>
      <c r="L656">
        <f>IF($P656="","",INDEX(상세표[블록 18~22시],$P656))</f>
        <v/>
      </c>
      <c r="M656">
        <f>IF($P656="","",INDEX(상세표[블록 22~06시],$P656))</f>
        <v/>
      </c>
      <c r="N656">
        <f>IF($P656="","",INDEX(상세표[주말·휴일 포함],$P656)&amp;"")</f>
        <v/>
      </c>
      <c r="O656">
        <f>IF($P656="","",INDEX(상세표[월 넘김 포함],$P656)&amp;"")</f>
        <v/>
      </c>
      <c r="P656" s="4">
        <f>IFERROR(MATCH(651,상세표[연속순번],0),"")</f>
        <v/>
      </c>
    </row>
    <row r="657">
      <c r="A657">
        <f>IF($P657="","",INDEX(상세표[사번],$P657)&amp;"")</f>
        <v/>
      </c>
      <c r="B657">
        <f>IF($P657="","",INDEX(상세표[성명],$P657)&amp;"")</f>
        <v/>
      </c>
      <c r="C657">
        <f>IF($P657="","",INDEX(상세표[부서],$P657)&amp;"")</f>
        <v/>
      </c>
      <c r="D657">
        <f>IF($P657="","",INDEX(상세표[직위],$P657)&amp;"")</f>
        <v/>
      </c>
      <c r="E657">
        <f>IF($P657="","",IF(ISNUMBER(INDEX(상세표[시작],$P657)),TEXT(INDEX(상세표[시작],$P657),"yyyy-mm-dd hh:mm"),INDEX(상세표[시작],$P657)&amp;""))</f>
        <v/>
      </c>
      <c r="F657">
        <f>IF($P657="","",IF(ISNUMBER(INDEX(상세표[블록종료],$P657)),TEXT(INDEX(상세표[블록종료],$P657),"yyyy-mm-dd hh:mm"),INDEX(상세표[블록종료],$P657)&amp;""))</f>
        <v/>
      </c>
      <c r="G657">
        <f>IF($P657="","",CHOOSE(WEEKDAY(INDEX(상세표[시작],$P657)),"일","월","화","수","목","금","토"))</f>
        <v/>
      </c>
      <c r="H657">
        <f>IF($P657="","",INDEX(상세표[연속 시간],$P657))</f>
        <v/>
      </c>
      <c r="I657">
        <f>IF($P657="","",INDEX(상세표[기록 수],$P657))</f>
        <v/>
      </c>
      <c r="J657">
        <f>IF($P657="","",INDEX(상세표[블록 06~07시],$P657))</f>
        <v/>
      </c>
      <c r="K657">
        <f>IF($P657="","",INDEX(상세표[블록 07~18시],$P657))</f>
        <v/>
      </c>
      <c r="L657">
        <f>IF($P657="","",INDEX(상세표[블록 18~22시],$P657))</f>
        <v/>
      </c>
      <c r="M657">
        <f>IF($P657="","",INDEX(상세표[블록 22~06시],$P657))</f>
        <v/>
      </c>
      <c r="N657">
        <f>IF($P657="","",INDEX(상세표[주말·휴일 포함],$P657)&amp;"")</f>
        <v/>
      </c>
      <c r="O657">
        <f>IF($P657="","",INDEX(상세표[월 넘김 포함],$P657)&amp;"")</f>
        <v/>
      </c>
      <c r="P657" s="4">
        <f>IFERROR(MATCH(652,상세표[연속순번],0),"")</f>
        <v/>
      </c>
    </row>
    <row r="658">
      <c r="A658">
        <f>IF($P658="","",INDEX(상세표[사번],$P658)&amp;"")</f>
        <v/>
      </c>
      <c r="B658">
        <f>IF($P658="","",INDEX(상세표[성명],$P658)&amp;"")</f>
        <v/>
      </c>
      <c r="C658">
        <f>IF($P658="","",INDEX(상세표[부서],$P658)&amp;"")</f>
        <v/>
      </c>
      <c r="D658">
        <f>IF($P658="","",INDEX(상세표[직위],$P658)&amp;"")</f>
        <v/>
      </c>
      <c r="E658">
        <f>IF($P658="","",IF(ISNUMBER(INDEX(상세표[시작],$P658)),TEXT(INDEX(상세표[시작],$P658),"yyyy-mm-dd hh:mm"),INDEX(상세표[시작],$P658)&amp;""))</f>
        <v/>
      </c>
      <c r="F658">
        <f>IF($P658="","",IF(ISNUMBER(INDEX(상세표[블록종료],$P658)),TEXT(INDEX(상세표[블록종료],$P658),"yyyy-mm-dd hh:mm"),INDEX(상세표[블록종료],$P658)&amp;""))</f>
        <v/>
      </c>
      <c r="G658">
        <f>IF($P658="","",CHOOSE(WEEKDAY(INDEX(상세표[시작],$P658)),"일","월","화","수","목","금","토"))</f>
        <v/>
      </c>
      <c r="H658">
        <f>IF($P658="","",INDEX(상세표[연속 시간],$P658))</f>
        <v/>
      </c>
      <c r="I658">
        <f>IF($P658="","",INDEX(상세표[기록 수],$P658))</f>
        <v/>
      </c>
      <c r="J658">
        <f>IF($P658="","",INDEX(상세표[블록 06~07시],$P658))</f>
        <v/>
      </c>
      <c r="K658">
        <f>IF($P658="","",INDEX(상세표[블록 07~18시],$P658))</f>
        <v/>
      </c>
      <c r="L658">
        <f>IF($P658="","",INDEX(상세표[블록 18~22시],$P658))</f>
        <v/>
      </c>
      <c r="M658">
        <f>IF($P658="","",INDEX(상세표[블록 22~06시],$P658))</f>
        <v/>
      </c>
      <c r="N658">
        <f>IF($P658="","",INDEX(상세표[주말·휴일 포함],$P658)&amp;"")</f>
        <v/>
      </c>
      <c r="O658">
        <f>IF($P658="","",INDEX(상세표[월 넘김 포함],$P658)&amp;"")</f>
        <v/>
      </c>
      <c r="P658" s="4">
        <f>IFERROR(MATCH(653,상세표[연속순번],0),"")</f>
        <v/>
      </c>
    </row>
    <row r="659">
      <c r="A659">
        <f>IF($P659="","",INDEX(상세표[사번],$P659)&amp;"")</f>
        <v/>
      </c>
      <c r="B659">
        <f>IF($P659="","",INDEX(상세표[성명],$P659)&amp;"")</f>
        <v/>
      </c>
      <c r="C659">
        <f>IF($P659="","",INDEX(상세표[부서],$P659)&amp;"")</f>
        <v/>
      </c>
      <c r="D659">
        <f>IF($P659="","",INDEX(상세표[직위],$P659)&amp;"")</f>
        <v/>
      </c>
      <c r="E659">
        <f>IF($P659="","",IF(ISNUMBER(INDEX(상세표[시작],$P659)),TEXT(INDEX(상세표[시작],$P659),"yyyy-mm-dd hh:mm"),INDEX(상세표[시작],$P659)&amp;""))</f>
        <v/>
      </c>
      <c r="F659">
        <f>IF($P659="","",IF(ISNUMBER(INDEX(상세표[블록종료],$P659)),TEXT(INDEX(상세표[블록종료],$P659),"yyyy-mm-dd hh:mm"),INDEX(상세표[블록종료],$P659)&amp;""))</f>
        <v/>
      </c>
      <c r="G659">
        <f>IF($P659="","",CHOOSE(WEEKDAY(INDEX(상세표[시작],$P659)),"일","월","화","수","목","금","토"))</f>
        <v/>
      </c>
      <c r="H659">
        <f>IF($P659="","",INDEX(상세표[연속 시간],$P659))</f>
        <v/>
      </c>
      <c r="I659">
        <f>IF($P659="","",INDEX(상세표[기록 수],$P659))</f>
        <v/>
      </c>
      <c r="J659">
        <f>IF($P659="","",INDEX(상세표[블록 06~07시],$P659))</f>
        <v/>
      </c>
      <c r="K659">
        <f>IF($P659="","",INDEX(상세표[블록 07~18시],$P659))</f>
        <v/>
      </c>
      <c r="L659">
        <f>IF($P659="","",INDEX(상세표[블록 18~22시],$P659))</f>
        <v/>
      </c>
      <c r="M659">
        <f>IF($P659="","",INDEX(상세표[블록 22~06시],$P659))</f>
        <v/>
      </c>
      <c r="N659">
        <f>IF($P659="","",INDEX(상세표[주말·휴일 포함],$P659)&amp;"")</f>
        <v/>
      </c>
      <c r="O659">
        <f>IF($P659="","",INDEX(상세표[월 넘김 포함],$P659)&amp;"")</f>
        <v/>
      </c>
      <c r="P659" s="4">
        <f>IFERROR(MATCH(654,상세표[연속순번],0),"")</f>
        <v/>
      </c>
    </row>
    <row r="660">
      <c r="A660">
        <f>IF($P660="","",INDEX(상세표[사번],$P660)&amp;"")</f>
        <v/>
      </c>
      <c r="B660">
        <f>IF($P660="","",INDEX(상세표[성명],$P660)&amp;"")</f>
        <v/>
      </c>
      <c r="C660">
        <f>IF($P660="","",INDEX(상세표[부서],$P660)&amp;"")</f>
        <v/>
      </c>
      <c r="D660">
        <f>IF($P660="","",INDEX(상세표[직위],$P660)&amp;"")</f>
        <v/>
      </c>
      <c r="E660">
        <f>IF($P660="","",IF(ISNUMBER(INDEX(상세표[시작],$P660)),TEXT(INDEX(상세표[시작],$P660),"yyyy-mm-dd hh:mm"),INDEX(상세표[시작],$P660)&amp;""))</f>
        <v/>
      </c>
      <c r="F660">
        <f>IF($P660="","",IF(ISNUMBER(INDEX(상세표[블록종료],$P660)),TEXT(INDEX(상세표[블록종료],$P660),"yyyy-mm-dd hh:mm"),INDEX(상세표[블록종료],$P660)&amp;""))</f>
        <v/>
      </c>
      <c r="G660">
        <f>IF($P660="","",CHOOSE(WEEKDAY(INDEX(상세표[시작],$P660)),"일","월","화","수","목","금","토"))</f>
        <v/>
      </c>
      <c r="H660">
        <f>IF($P660="","",INDEX(상세표[연속 시간],$P660))</f>
        <v/>
      </c>
      <c r="I660">
        <f>IF($P660="","",INDEX(상세표[기록 수],$P660))</f>
        <v/>
      </c>
      <c r="J660">
        <f>IF($P660="","",INDEX(상세표[블록 06~07시],$P660))</f>
        <v/>
      </c>
      <c r="K660">
        <f>IF($P660="","",INDEX(상세표[블록 07~18시],$P660))</f>
        <v/>
      </c>
      <c r="L660">
        <f>IF($P660="","",INDEX(상세표[블록 18~22시],$P660))</f>
        <v/>
      </c>
      <c r="M660">
        <f>IF($P660="","",INDEX(상세표[블록 22~06시],$P660))</f>
        <v/>
      </c>
      <c r="N660">
        <f>IF($P660="","",INDEX(상세표[주말·휴일 포함],$P660)&amp;"")</f>
        <v/>
      </c>
      <c r="O660">
        <f>IF($P660="","",INDEX(상세표[월 넘김 포함],$P660)&amp;"")</f>
        <v/>
      </c>
      <c r="P660" s="4">
        <f>IFERROR(MATCH(655,상세표[연속순번],0),"")</f>
        <v/>
      </c>
    </row>
    <row r="661">
      <c r="A661">
        <f>IF($P661="","",INDEX(상세표[사번],$P661)&amp;"")</f>
        <v/>
      </c>
      <c r="B661">
        <f>IF($P661="","",INDEX(상세표[성명],$P661)&amp;"")</f>
        <v/>
      </c>
      <c r="C661">
        <f>IF($P661="","",INDEX(상세표[부서],$P661)&amp;"")</f>
        <v/>
      </c>
      <c r="D661">
        <f>IF($P661="","",INDEX(상세표[직위],$P661)&amp;"")</f>
        <v/>
      </c>
      <c r="E661">
        <f>IF($P661="","",IF(ISNUMBER(INDEX(상세표[시작],$P661)),TEXT(INDEX(상세표[시작],$P661),"yyyy-mm-dd hh:mm"),INDEX(상세표[시작],$P661)&amp;""))</f>
        <v/>
      </c>
      <c r="F661">
        <f>IF($P661="","",IF(ISNUMBER(INDEX(상세표[블록종료],$P661)),TEXT(INDEX(상세표[블록종료],$P661),"yyyy-mm-dd hh:mm"),INDEX(상세표[블록종료],$P661)&amp;""))</f>
        <v/>
      </c>
      <c r="G661">
        <f>IF($P661="","",CHOOSE(WEEKDAY(INDEX(상세표[시작],$P661)),"일","월","화","수","목","금","토"))</f>
        <v/>
      </c>
      <c r="H661">
        <f>IF($P661="","",INDEX(상세표[연속 시간],$P661))</f>
        <v/>
      </c>
      <c r="I661">
        <f>IF($P661="","",INDEX(상세표[기록 수],$P661))</f>
        <v/>
      </c>
      <c r="J661">
        <f>IF($P661="","",INDEX(상세표[블록 06~07시],$P661))</f>
        <v/>
      </c>
      <c r="K661">
        <f>IF($P661="","",INDEX(상세표[블록 07~18시],$P661))</f>
        <v/>
      </c>
      <c r="L661">
        <f>IF($P661="","",INDEX(상세표[블록 18~22시],$P661))</f>
        <v/>
      </c>
      <c r="M661">
        <f>IF($P661="","",INDEX(상세표[블록 22~06시],$P661))</f>
        <v/>
      </c>
      <c r="N661">
        <f>IF($P661="","",INDEX(상세표[주말·휴일 포함],$P661)&amp;"")</f>
        <v/>
      </c>
      <c r="O661">
        <f>IF($P661="","",INDEX(상세표[월 넘김 포함],$P661)&amp;"")</f>
        <v/>
      </c>
      <c r="P661" s="4">
        <f>IFERROR(MATCH(656,상세표[연속순번],0),"")</f>
        <v/>
      </c>
    </row>
    <row r="662">
      <c r="A662">
        <f>IF($P662="","",INDEX(상세표[사번],$P662)&amp;"")</f>
        <v/>
      </c>
      <c r="B662">
        <f>IF($P662="","",INDEX(상세표[성명],$P662)&amp;"")</f>
        <v/>
      </c>
      <c r="C662">
        <f>IF($P662="","",INDEX(상세표[부서],$P662)&amp;"")</f>
        <v/>
      </c>
      <c r="D662">
        <f>IF($P662="","",INDEX(상세표[직위],$P662)&amp;"")</f>
        <v/>
      </c>
      <c r="E662">
        <f>IF($P662="","",IF(ISNUMBER(INDEX(상세표[시작],$P662)),TEXT(INDEX(상세표[시작],$P662),"yyyy-mm-dd hh:mm"),INDEX(상세표[시작],$P662)&amp;""))</f>
        <v/>
      </c>
      <c r="F662">
        <f>IF($P662="","",IF(ISNUMBER(INDEX(상세표[블록종료],$P662)),TEXT(INDEX(상세표[블록종료],$P662),"yyyy-mm-dd hh:mm"),INDEX(상세표[블록종료],$P662)&amp;""))</f>
        <v/>
      </c>
      <c r="G662">
        <f>IF($P662="","",CHOOSE(WEEKDAY(INDEX(상세표[시작],$P662)),"일","월","화","수","목","금","토"))</f>
        <v/>
      </c>
      <c r="H662">
        <f>IF($P662="","",INDEX(상세표[연속 시간],$P662))</f>
        <v/>
      </c>
      <c r="I662">
        <f>IF($P662="","",INDEX(상세표[기록 수],$P662))</f>
        <v/>
      </c>
      <c r="J662">
        <f>IF($P662="","",INDEX(상세표[블록 06~07시],$P662))</f>
        <v/>
      </c>
      <c r="K662">
        <f>IF($P662="","",INDEX(상세표[블록 07~18시],$P662))</f>
        <v/>
      </c>
      <c r="L662">
        <f>IF($P662="","",INDEX(상세표[블록 18~22시],$P662))</f>
        <v/>
      </c>
      <c r="M662">
        <f>IF($P662="","",INDEX(상세표[블록 22~06시],$P662))</f>
        <v/>
      </c>
      <c r="N662">
        <f>IF($P662="","",INDEX(상세표[주말·휴일 포함],$P662)&amp;"")</f>
        <v/>
      </c>
      <c r="O662">
        <f>IF($P662="","",INDEX(상세표[월 넘김 포함],$P662)&amp;"")</f>
        <v/>
      </c>
      <c r="P662" s="4">
        <f>IFERROR(MATCH(657,상세표[연속순번],0),"")</f>
        <v/>
      </c>
    </row>
    <row r="663">
      <c r="A663">
        <f>IF($P663="","",INDEX(상세표[사번],$P663)&amp;"")</f>
        <v/>
      </c>
      <c r="B663">
        <f>IF($P663="","",INDEX(상세표[성명],$P663)&amp;"")</f>
        <v/>
      </c>
      <c r="C663">
        <f>IF($P663="","",INDEX(상세표[부서],$P663)&amp;"")</f>
        <v/>
      </c>
      <c r="D663">
        <f>IF($P663="","",INDEX(상세표[직위],$P663)&amp;"")</f>
        <v/>
      </c>
      <c r="E663">
        <f>IF($P663="","",IF(ISNUMBER(INDEX(상세표[시작],$P663)),TEXT(INDEX(상세표[시작],$P663),"yyyy-mm-dd hh:mm"),INDEX(상세표[시작],$P663)&amp;""))</f>
        <v/>
      </c>
      <c r="F663">
        <f>IF($P663="","",IF(ISNUMBER(INDEX(상세표[블록종료],$P663)),TEXT(INDEX(상세표[블록종료],$P663),"yyyy-mm-dd hh:mm"),INDEX(상세표[블록종료],$P663)&amp;""))</f>
        <v/>
      </c>
      <c r="G663">
        <f>IF($P663="","",CHOOSE(WEEKDAY(INDEX(상세표[시작],$P663)),"일","월","화","수","목","금","토"))</f>
        <v/>
      </c>
      <c r="H663">
        <f>IF($P663="","",INDEX(상세표[연속 시간],$P663))</f>
        <v/>
      </c>
      <c r="I663">
        <f>IF($P663="","",INDEX(상세표[기록 수],$P663))</f>
        <v/>
      </c>
      <c r="J663">
        <f>IF($P663="","",INDEX(상세표[블록 06~07시],$P663))</f>
        <v/>
      </c>
      <c r="K663">
        <f>IF($P663="","",INDEX(상세표[블록 07~18시],$P663))</f>
        <v/>
      </c>
      <c r="L663">
        <f>IF($P663="","",INDEX(상세표[블록 18~22시],$P663))</f>
        <v/>
      </c>
      <c r="M663">
        <f>IF($P663="","",INDEX(상세표[블록 22~06시],$P663))</f>
        <v/>
      </c>
      <c r="N663">
        <f>IF($P663="","",INDEX(상세표[주말·휴일 포함],$P663)&amp;"")</f>
        <v/>
      </c>
      <c r="O663">
        <f>IF($P663="","",INDEX(상세표[월 넘김 포함],$P663)&amp;"")</f>
        <v/>
      </c>
      <c r="P663" s="4">
        <f>IFERROR(MATCH(658,상세표[연속순번],0),"")</f>
        <v/>
      </c>
    </row>
    <row r="664">
      <c r="A664">
        <f>IF($P664="","",INDEX(상세표[사번],$P664)&amp;"")</f>
        <v/>
      </c>
      <c r="B664">
        <f>IF($P664="","",INDEX(상세표[성명],$P664)&amp;"")</f>
        <v/>
      </c>
      <c r="C664">
        <f>IF($P664="","",INDEX(상세표[부서],$P664)&amp;"")</f>
        <v/>
      </c>
      <c r="D664">
        <f>IF($P664="","",INDEX(상세표[직위],$P664)&amp;"")</f>
        <v/>
      </c>
      <c r="E664">
        <f>IF($P664="","",IF(ISNUMBER(INDEX(상세표[시작],$P664)),TEXT(INDEX(상세표[시작],$P664),"yyyy-mm-dd hh:mm"),INDEX(상세표[시작],$P664)&amp;""))</f>
        <v/>
      </c>
      <c r="F664">
        <f>IF($P664="","",IF(ISNUMBER(INDEX(상세표[블록종료],$P664)),TEXT(INDEX(상세표[블록종료],$P664),"yyyy-mm-dd hh:mm"),INDEX(상세표[블록종료],$P664)&amp;""))</f>
        <v/>
      </c>
      <c r="G664">
        <f>IF($P664="","",CHOOSE(WEEKDAY(INDEX(상세표[시작],$P664)),"일","월","화","수","목","금","토"))</f>
        <v/>
      </c>
      <c r="H664">
        <f>IF($P664="","",INDEX(상세표[연속 시간],$P664))</f>
        <v/>
      </c>
      <c r="I664">
        <f>IF($P664="","",INDEX(상세표[기록 수],$P664))</f>
        <v/>
      </c>
      <c r="J664">
        <f>IF($P664="","",INDEX(상세표[블록 06~07시],$P664))</f>
        <v/>
      </c>
      <c r="K664">
        <f>IF($P664="","",INDEX(상세표[블록 07~18시],$P664))</f>
        <v/>
      </c>
      <c r="L664">
        <f>IF($P664="","",INDEX(상세표[블록 18~22시],$P664))</f>
        <v/>
      </c>
      <c r="M664">
        <f>IF($P664="","",INDEX(상세표[블록 22~06시],$P664))</f>
        <v/>
      </c>
      <c r="N664">
        <f>IF($P664="","",INDEX(상세표[주말·휴일 포함],$P664)&amp;"")</f>
        <v/>
      </c>
      <c r="O664">
        <f>IF($P664="","",INDEX(상세표[월 넘김 포함],$P664)&amp;"")</f>
        <v/>
      </c>
      <c r="P664" s="4">
        <f>IFERROR(MATCH(659,상세표[연속순번],0),"")</f>
        <v/>
      </c>
    </row>
    <row r="665">
      <c r="A665">
        <f>IF($P665="","",INDEX(상세표[사번],$P665)&amp;"")</f>
        <v/>
      </c>
      <c r="B665">
        <f>IF($P665="","",INDEX(상세표[성명],$P665)&amp;"")</f>
        <v/>
      </c>
      <c r="C665">
        <f>IF($P665="","",INDEX(상세표[부서],$P665)&amp;"")</f>
        <v/>
      </c>
      <c r="D665">
        <f>IF($P665="","",INDEX(상세표[직위],$P665)&amp;"")</f>
        <v/>
      </c>
      <c r="E665">
        <f>IF($P665="","",IF(ISNUMBER(INDEX(상세표[시작],$P665)),TEXT(INDEX(상세표[시작],$P665),"yyyy-mm-dd hh:mm"),INDEX(상세표[시작],$P665)&amp;""))</f>
        <v/>
      </c>
      <c r="F665">
        <f>IF($P665="","",IF(ISNUMBER(INDEX(상세표[블록종료],$P665)),TEXT(INDEX(상세표[블록종료],$P665),"yyyy-mm-dd hh:mm"),INDEX(상세표[블록종료],$P665)&amp;""))</f>
        <v/>
      </c>
      <c r="G665">
        <f>IF($P665="","",CHOOSE(WEEKDAY(INDEX(상세표[시작],$P665)),"일","월","화","수","목","금","토"))</f>
        <v/>
      </c>
      <c r="H665">
        <f>IF($P665="","",INDEX(상세표[연속 시간],$P665))</f>
        <v/>
      </c>
      <c r="I665">
        <f>IF($P665="","",INDEX(상세표[기록 수],$P665))</f>
        <v/>
      </c>
      <c r="J665">
        <f>IF($P665="","",INDEX(상세표[블록 06~07시],$P665))</f>
        <v/>
      </c>
      <c r="K665">
        <f>IF($P665="","",INDEX(상세표[블록 07~18시],$P665))</f>
        <v/>
      </c>
      <c r="L665">
        <f>IF($P665="","",INDEX(상세표[블록 18~22시],$P665))</f>
        <v/>
      </c>
      <c r="M665">
        <f>IF($P665="","",INDEX(상세표[블록 22~06시],$P665))</f>
        <v/>
      </c>
      <c r="N665">
        <f>IF($P665="","",INDEX(상세표[주말·휴일 포함],$P665)&amp;"")</f>
        <v/>
      </c>
      <c r="O665">
        <f>IF($P665="","",INDEX(상세표[월 넘김 포함],$P665)&amp;"")</f>
        <v/>
      </c>
      <c r="P665" s="4">
        <f>IFERROR(MATCH(660,상세표[연속순번],0),"")</f>
        <v/>
      </c>
    </row>
    <row r="666">
      <c r="A666">
        <f>IF($P666="","",INDEX(상세표[사번],$P666)&amp;"")</f>
        <v/>
      </c>
      <c r="B666">
        <f>IF($P666="","",INDEX(상세표[성명],$P666)&amp;"")</f>
        <v/>
      </c>
      <c r="C666">
        <f>IF($P666="","",INDEX(상세표[부서],$P666)&amp;"")</f>
        <v/>
      </c>
      <c r="D666">
        <f>IF($P666="","",INDEX(상세표[직위],$P666)&amp;"")</f>
        <v/>
      </c>
      <c r="E666">
        <f>IF($P666="","",IF(ISNUMBER(INDEX(상세표[시작],$P666)),TEXT(INDEX(상세표[시작],$P666),"yyyy-mm-dd hh:mm"),INDEX(상세표[시작],$P666)&amp;""))</f>
        <v/>
      </c>
      <c r="F666">
        <f>IF($P666="","",IF(ISNUMBER(INDEX(상세표[블록종료],$P666)),TEXT(INDEX(상세표[블록종료],$P666),"yyyy-mm-dd hh:mm"),INDEX(상세표[블록종료],$P666)&amp;""))</f>
        <v/>
      </c>
      <c r="G666">
        <f>IF($P666="","",CHOOSE(WEEKDAY(INDEX(상세표[시작],$P666)),"일","월","화","수","목","금","토"))</f>
        <v/>
      </c>
      <c r="H666">
        <f>IF($P666="","",INDEX(상세표[연속 시간],$P666))</f>
        <v/>
      </c>
      <c r="I666">
        <f>IF($P666="","",INDEX(상세표[기록 수],$P666))</f>
        <v/>
      </c>
      <c r="J666">
        <f>IF($P666="","",INDEX(상세표[블록 06~07시],$P666))</f>
        <v/>
      </c>
      <c r="K666">
        <f>IF($P666="","",INDEX(상세표[블록 07~18시],$P666))</f>
        <v/>
      </c>
      <c r="L666">
        <f>IF($P666="","",INDEX(상세표[블록 18~22시],$P666))</f>
        <v/>
      </c>
      <c r="M666">
        <f>IF($P666="","",INDEX(상세표[블록 22~06시],$P666))</f>
        <v/>
      </c>
      <c r="N666">
        <f>IF($P666="","",INDEX(상세표[주말·휴일 포함],$P666)&amp;"")</f>
        <v/>
      </c>
      <c r="O666">
        <f>IF($P666="","",INDEX(상세표[월 넘김 포함],$P666)&amp;"")</f>
        <v/>
      </c>
      <c r="P666" s="4">
        <f>IFERROR(MATCH(661,상세표[연속순번],0),"")</f>
        <v/>
      </c>
    </row>
    <row r="667">
      <c r="A667">
        <f>IF($P667="","",INDEX(상세표[사번],$P667)&amp;"")</f>
        <v/>
      </c>
      <c r="B667">
        <f>IF($P667="","",INDEX(상세표[성명],$P667)&amp;"")</f>
        <v/>
      </c>
      <c r="C667">
        <f>IF($P667="","",INDEX(상세표[부서],$P667)&amp;"")</f>
        <v/>
      </c>
      <c r="D667">
        <f>IF($P667="","",INDEX(상세표[직위],$P667)&amp;"")</f>
        <v/>
      </c>
      <c r="E667">
        <f>IF($P667="","",IF(ISNUMBER(INDEX(상세표[시작],$P667)),TEXT(INDEX(상세표[시작],$P667),"yyyy-mm-dd hh:mm"),INDEX(상세표[시작],$P667)&amp;""))</f>
        <v/>
      </c>
      <c r="F667">
        <f>IF($P667="","",IF(ISNUMBER(INDEX(상세표[블록종료],$P667)),TEXT(INDEX(상세표[블록종료],$P667),"yyyy-mm-dd hh:mm"),INDEX(상세표[블록종료],$P667)&amp;""))</f>
        <v/>
      </c>
      <c r="G667">
        <f>IF($P667="","",CHOOSE(WEEKDAY(INDEX(상세표[시작],$P667)),"일","월","화","수","목","금","토"))</f>
        <v/>
      </c>
      <c r="H667">
        <f>IF($P667="","",INDEX(상세표[연속 시간],$P667))</f>
        <v/>
      </c>
      <c r="I667">
        <f>IF($P667="","",INDEX(상세표[기록 수],$P667))</f>
        <v/>
      </c>
      <c r="J667">
        <f>IF($P667="","",INDEX(상세표[블록 06~07시],$P667))</f>
        <v/>
      </c>
      <c r="K667">
        <f>IF($P667="","",INDEX(상세표[블록 07~18시],$P667))</f>
        <v/>
      </c>
      <c r="L667">
        <f>IF($P667="","",INDEX(상세표[블록 18~22시],$P667))</f>
        <v/>
      </c>
      <c r="M667">
        <f>IF($P667="","",INDEX(상세표[블록 22~06시],$P667))</f>
        <v/>
      </c>
      <c r="N667">
        <f>IF($P667="","",INDEX(상세표[주말·휴일 포함],$P667)&amp;"")</f>
        <v/>
      </c>
      <c r="O667">
        <f>IF($P667="","",INDEX(상세표[월 넘김 포함],$P667)&amp;"")</f>
        <v/>
      </c>
      <c r="P667" s="4">
        <f>IFERROR(MATCH(662,상세표[연속순번],0),"")</f>
        <v/>
      </c>
    </row>
    <row r="668">
      <c r="A668">
        <f>IF($P668="","",INDEX(상세표[사번],$P668)&amp;"")</f>
        <v/>
      </c>
      <c r="B668">
        <f>IF($P668="","",INDEX(상세표[성명],$P668)&amp;"")</f>
        <v/>
      </c>
      <c r="C668">
        <f>IF($P668="","",INDEX(상세표[부서],$P668)&amp;"")</f>
        <v/>
      </c>
      <c r="D668">
        <f>IF($P668="","",INDEX(상세표[직위],$P668)&amp;"")</f>
        <v/>
      </c>
      <c r="E668">
        <f>IF($P668="","",IF(ISNUMBER(INDEX(상세표[시작],$P668)),TEXT(INDEX(상세표[시작],$P668),"yyyy-mm-dd hh:mm"),INDEX(상세표[시작],$P668)&amp;""))</f>
        <v/>
      </c>
      <c r="F668">
        <f>IF($P668="","",IF(ISNUMBER(INDEX(상세표[블록종료],$P668)),TEXT(INDEX(상세표[블록종료],$P668),"yyyy-mm-dd hh:mm"),INDEX(상세표[블록종료],$P668)&amp;""))</f>
        <v/>
      </c>
      <c r="G668">
        <f>IF($P668="","",CHOOSE(WEEKDAY(INDEX(상세표[시작],$P668)),"일","월","화","수","목","금","토"))</f>
        <v/>
      </c>
      <c r="H668">
        <f>IF($P668="","",INDEX(상세표[연속 시간],$P668))</f>
        <v/>
      </c>
      <c r="I668">
        <f>IF($P668="","",INDEX(상세표[기록 수],$P668))</f>
        <v/>
      </c>
      <c r="J668">
        <f>IF($P668="","",INDEX(상세표[블록 06~07시],$P668))</f>
        <v/>
      </c>
      <c r="K668">
        <f>IF($P668="","",INDEX(상세표[블록 07~18시],$P668))</f>
        <v/>
      </c>
      <c r="L668">
        <f>IF($P668="","",INDEX(상세표[블록 18~22시],$P668))</f>
        <v/>
      </c>
      <c r="M668">
        <f>IF($P668="","",INDEX(상세표[블록 22~06시],$P668))</f>
        <v/>
      </c>
      <c r="N668">
        <f>IF($P668="","",INDEX(상세표[주말·휴일 포함],$P668)&amp;"")</f>
        <v/>
      </c>
      <c r="O668">
        <f>IF($P668="","",INDEX(상세표[월 넘김 포함],$P668)&amp;"")</f>
        <v/>
      </c>
      <c r="P668" s="4">
        <f>IFERROR(MATCH(663,상세표[연속순번],0),"")</f>
        <v/>
      </c>
    </row>
    <row r="669">
      <c r="A669">
        <f>IF($P669="","",INDEX(상세표[사번],$P669)&amp;"")</f>
        <v/>
      </c>
      <c r="B669">
        <f>IF($P669="","",INDEX(상세표[성명],$P669)&amp;"")</f>
        <v/>
      </c>
      <c r="C669">
        <f>IF($P669="","",INDEX(상세표[부서],$P669)&amp;"")</f>
        <v/>
      </c>
      <c r="D669">
        <f>IF($P669="","",INDEX(상세표[직위],$P669)&amp;"")</f>
        <v/>
      </c>
      <c r="E669">
        <f>IF($P669="","",IF(ISNUMBER(INDEX(상세표[시작],$P669)),TEXT(INDEX(상세표[시작],$P669),"yyyy-mm-dd hh:mm"),INDEX(상세표[시작],$P669)&amp;""))</f>
        <v/>
      </c>
      <c r="F669">
        <f>IF($P669="","",IF(ISNUMBER(INDEX(상세표[블록종료],$P669)),TEXT(INDEX(상세표[블록종료],$P669),"yyyy-mm-dd hh:mm"),INDEX(상세표[블록종료],$P669)&amp;""))</f>
        <v/>
      </c>
      <c r="G669">
        <f>IF($P669="","",CHOOSE(WEEKDAY(INDEX(상세표[시작],$P669)),"일","월","화","수","목","금","토"))</f>
        <v/>
      </c>
      <c r="H669">
        <f>IF($P669="","",INDEX(상세표[연속 시간],$P669))</f>
        <v/>
      </c>
      <c r="I669">
        <f>IF($P669="","",INDEX(상세표[기록 수],$P669))</f>
        <v/>
      </c>
      <c r="J669">
        <f>IF($P669="","",INDEX(상세표[블록 06~07시],$P669))</f>
        <v/>
      </c>
      <c r="K669">
        <f>IF($P669="","",INDEX(상세표[블록 07~18시],$P669))</f>
        <v/>
      </c>
      <c r="L669">
        <f>IF($P669="","",INDEX(상세표[블록 18~22시],$P669))</f>
        <v/>
      </c>
      <c r="M669">
        <f>IF($P669="","",INDEX(상세표[블록 22~06시],$P669))</f>
        <v/>
      </c>
      <c r="N669">
        <f>IF($P669="","",INDEX(상세표[주말·휴일 포함],$P669)&amp;"")</f>
        <v/>
      </c>
      <c r="O669">
        <f>IF($P669="","",INDEX(상세표[월 넘김 포함],$P669)&amp;"")</f>
        <v/>
      </c>
      <c r="P669" s="4">
        <f>IFERROR(MATCH(664,상세표[연속순번],0),"")</f>
        <v/>
      </c>
    </row>
    <row r="670">
      <c r="A670">
        <f>IF($P670="","",INDEX(상세표[사번],$P670)&amp;"")</f>
        <v/>
      </c>
      <c r="B670">
        <f>IF($P670="","",INDEX(상세표[성명],$P670)&amp;"")</f>
        <v/>
      </c>
      <c r="C670">
        <f>IF($P670="","",INDEX(상세표[부서],$P670)&amp;"")</f>
        <v/>
      </c>
      <c r="D670">
        <f>IF($P670="","",INDEX(상세표[직위],$P670)&amp;"")</f>
        <v/>
      </c>
      <c r="E670">
        <f>IF($P670="","",IF(ISNUMBER(INDEX(상세표[시작],$P670)),TEXT(INDEX(상세표[시작],$P670),"yyyy-mm-dd hh:mm"),INDEX(상세표[시작],$P670)&amp;""))</f>
        <v/>
      </c>
      <c r="F670">
        <f>IF($P670="","",IF(ISNUMBER(INDEX(상세표[블록종료],$P670)),TEXT(INDEX(상세표[블록종료],$P670),"yyyy-mm-dd hh:mm"),INDEX(상세표[블록종료],$P670)&amp;""))</f>
        <v/>
      </c>
      <c r="G670">
        <f>IF($P670="","",CHOOSE(WEEKDAY(INDEX(상세표[시작],$P670)),"일","월","화","수","목","금","토"))</f>
        <v/>
      </c>
      <c r="H670">
        <f>IF($P670="","",INDEX(상세표[연속 시간],$P670))</f>
        <v/>
      </c>
      <c r="I670">
        <f>IF($P670="","",INDEX(상세표[기록 수],$P670))</f>
        <v/>
      </c>
      <c r="J670">
        <f>IF($P670="","",INDEX(상세표[블록 06~07시],$P670))</f>
        <v/>
      </c>
      <c r="K670">
        <f>IF($P670="","",INDEX(상세표[블록 07~18시],$P670))</f>
        <v/>
      </c>
      <c r="L670">
        <f>IF($P670="","",INDEX(상세표[블록 18~22시],$P670))</f>
        <v/>
      </c>
      <c r="M670">
        <f>IF($P670="","",INDEX(상세표[블록 22~06시],$P670))</f>
        <v/>
      </c>
      <c r="N670">
        <f>IF($P670="","",INDEX(상세표[주말·휴일 포함],$P670)&amp;"")</f>
        <v/>
      </c>
      <c r="O670">
        <f>IF($P670="","",INDEX(상세표[월 넘김 포함],$P670)&amp;"")</f>
        <v/>
      </c>
      <c r="P670" s="4">
        <f>IFERROR(MATCH(665,상세표[연속순번],0),"")</f>
        <v/>
      </c>
    </row>
    <row r="671">
      <c r="A671">
        <f>IF($P671="","",INDEX(상세표[사번],$P671)&amp;"")</f>
        <v/>
      </c>
      <c r="B671">
        <f>IF($P671="","",INDEX(상세표[성명],$P671)&amp;"")</f>
        <v/>
      </c>
      <c r="C671">
        <f>IF($P671="","",INDEX(상세표[부서],$P671)&amp;"")</f>
        <v/>
      </c>
      <c r="D671">
        <f>IF($P671="","",INDEX(상세표[직위],$P671)&amp;"")</f>
        <v/>
      </c>
      <c r="E671">
        <f>IF($P671="","",IF(ISNUMBER(INDEX(상세표[시작],$P671)),TEXT(INDEX(상세표[시작],$P671),"yyyy-mm-dd hh:mm"),INDEX(상세표[시작],$P671)&amp;""))</f>
        <v/>
      </c>
      <c r="F671">
        <f>IF($P671="","",IF(ISNUMBER(INDEX(상세표[블록종료],$P671)),TEXT(INDEX(상세표[블록종료],$P671),"yyyy-mm-dd hh:mm"),INDEX(상세표[블록종료],$P671)&amp;""))</f>
        <v/>
      </c>
      <c r="G671">
        <f>IF($P671="","",CHOOSE(WEEKDAY(INDEX(상세표[시작],$P671)),"일","월","화","수","목","금","토"))</f>
        <v/>
      </c>
      <c r="H671">
        <f>IF($P671="","",INDEX(상세표[연속 시간],$P671))</f>
        <v/>
      </c>
      <c r="I671">
        <f>IF($P671="","",INDEX(상세표[기록 수],$P671))</f>
        <v/>
      </c>
      <c r="J671">
        <f>IF($P671="","",INDEX(상세표[블록 06~07시],$P671))</f>
        <v/>
      </c>
      <c r="K671">
        <f>IF($P671="","",INDEX(상세표[블록 07~18시],$P671))</f>
        <v/>
      </c>
      <c r="L671">
        <f>IF($P671="","",INDEX(상세표[블록 18~22시],$P671))</f>
        <v/>
      </c>
      <c r="M671">
        <f>IF($P671="","",INDEX(상세표[블록 22~06시],$P671))</f>
        <v/>
      </c>
      <c r="N671">
        <f>IF($P671="","",INDEX(상세표[주말·휴일 포함],$P671)&amp;"")</f>
        <v/>
      </c>
      <c r="O671">
        <f>IF($P671="","",INDEX(상세표[월 넘김 포함],$P671)&amp;"")</f>
        <v/>
      </c>
      <c r="P671" s="4">
        <f>IFERROR(MATCH(666,상세표[연속순번],0),"")</f>
        <v/>
      </c>
    </row>
    <row r="672">
      <c r="A672">
        <f>IF($P672="","",INDEX(상세표[사번],$P672)&amp;"")</f>
        <v/>
      </c>
      <c r="B672">
        <f>IF($P672="","",INDEX(상세표[성명],$P672)&amp;"")</f>
        <v/>
      </c>
      <c r="C672">
        <f>IF($P672="","",INDEX(상세표[부서],$P672)&amp;"")</f>
        <v/>
      </c>
      <c r="D672">
        <f>IF($P672="","",INDEX(상세표[직위],$P672)&amp;"")</f>
        <v/>
      </c>
      <c r="E672">
        <f>IF($P672="","",IF(ISNUMBER(INDEX(상세표[시작],$P672)),TEXT(INDEX(상세표[시작],$P672),"yyyy-mm-dd hh:mm"),INDEX(상세표[시작],$P672)&amp;""))</f>
        <v/>
      </c>
      <c r="F672">
        <f>IF($P672="","",IF(ISNUMBER(INDEX(상세표[블록종료],$P672)),TEXT(INDEX(상세표[블록종료],$P672),"yyyy-mm-dd hh:mm"),INDEX(상세표[블록종료],$P672)&amp;""))</f>
        <v/>
      </c>
      <c r="G672">
        <f>IF($P672="","",CHOOSE(WEEKDAY(INDEX(상세표[시작],$P672)),"일","월","화","수","목","금","토"))</f>
        <v/>
      </c>
      <c r="H672">
        <f>IF($P672="","",INDEX(상세표[연속 시간],$P672))</f>
        <v/>
      </c>
      <c r="I672">
        <f>IF($P672="","",INDEX(상세표[기록 수],$P672))</f>
        <v/>
      </c>
      <c r="J672">
        <f>IF($P672="","",INDEX(상세표[블록 06~07시],$P672))</f>
        <v/>
      </c>
      <c r="K672">
        <f>IF($P672="","",INDEX(상세표[블록 07~18시],$P672))</f>
        <v/>
      </c>
      <c r="L672">
        <f>IF($P672="","",INDEX(상세표[블록 18~22시],$P672))</f>
        <v/>
      </c>
      <c r="M672">
        <f>IF($P672="","",INDEX(상세표[블록 22~06시],$P672))</f>
        <v/>
      </c>
      <c r="N672">
        <f>IF($P672="","",INDEX(상세표[주말·휴일 포함],$P672)&amp;"")</f>
        <v/>
      </c>
      <c r="O672">
        <f>IF($P672="","",INDEX(상세표[월 넘김 포함],$P672)&amp;"")</f>
        <v/>
      </c>
      <c r="P672" s="4">
        <f>IFERROR(MATCH(667,상세표[연속순번],0),"")</f>
        <v/>
      </c>
    </row>
    <row r="673">
      <c r="A673">
        <f>IF($P673="","",INDEX(상세표[사번],$P673)&amp;"")</f>
        <v/>
      </c>
      <c r="B673">
        <f>IF($P673="","",INDEX(상세표[성명],$P673)&amp;"")</f>
        <v/>
      </c>
      <c r="C673">
        <f>IF($P673="","",INDEX(상세표[부서],$P673)&amp;"")</f>
        <v/>
      </c>
      <c r="D673">
        <f>IF($P673="","",INDEX(상세표[직위],$P673)&amp;"")</f>
        <v/>
      </c>
      <c r="E673">
        <f>IF($P673="","",IF(ISNUMBER(INDEX(상세표[시작],$P673)),TEXT(INDEX(상세표[시작],$P673),"yyyy-mm-dd hh:mm"),INDEX(상세표[시작],$P673)&amp;""))</f>
        <v/>
      </c>
      <c r="F673">
        <f>IF($P673="","",IF(ISNUMBER(INDEX(상세표[블록종료],$P673)),TEXT(INDEX(상세표[블록종료],$P673),"yyyy-mm-dd hh:mm"),INDEX(상세표[블록종료],$P673)&amp;""))</f>
        <v/>
      </c>
      <c r="G673">
        <f>IF($P673="","",CHOOSE(WEEKDAY(INDEX(상세표[시작],$P673)),"일","월","화","수","목","금","토"))</f>
        <v/>
      </c>
      <c r="H673">
        <f>IF($P673="","",INDEX(상세표[연속 시간],$P673))</f>
        <v/>
      </c>
      <c r="I673">
        <f>IF($P673="","",INDEX(상세표[기록 수],$P673))</f>
        <v/>
      </c>
      <c r="J673">
        <f>IF($P673="","",INDEX(상세표[블록 06~07시],$P673))</f>
        <v/>
      </c>
      <c r="K673">
        <f>IF($P673="","",INDEX(상세표[블록 07~18시],$P673))</f>
        <v/>
      </c>
      <c r="L673">
        <f>IF($P673="","",INDEX(상세표[블록 18~22시],$P673))</f>
        <v/>
      </c>
      <c r="M673">
        <f>IF($P673="","",INDEX(상세표[블록 22~06시],$P673))</f>
        <v/>
      </c>
      <c r="N673">
        <f>IF($P673="","",INDEX(상세표[주말·휴일 포함],$P673)&amp;"")</f>
        <v/>
      </c>
      <c r="O673">
        <f>IF($P673="","",INDEX(상세표[월 넘김 포함],$P673)&amp;"")</f>
        <v/>
      </c>
      <c r="P673" s="4">
        <f>IFERROR(MATCH(668,상세표[연속순번],0),"")</f>
        <v/>
      </c>
    </row>
    <row r="674">
      <c r="A674">
        <f>IF($P674="","",INDEX(상세표[사번],$P674)&amp;"")</f>
        <v/>
      </c>
      <c r="B674">
        <f>IF($P674="","",INDEX(상세표[성명],$P674)&amp;"")</f>
        <v/>
      </c>
      <c r="C674">
        <f>IF($P674="","",INDEX(상세표[부서],$P674)&amp;"")</f>
        <v/>
      </c>
      <c r="D674">
        <f>IF($P674="","",INDEX(상세표[직위],$P674)&amp;"")</f>
        <v/>
      </c>
      <c r="E674">
        <f>IF($P674="","",IF(ISNUMBER(INDEX(상세표[시작],$P674)),TEXT(INDEX(상세표[시작],$P674),"yyyy-mm-dd hh:mm"),INDEX(상세표[시작],$P674)&amp;""))</f>
        <v/>
      </c>
      <c r="F674">
        <f>IF($P674="","",IF(ISNUMBER(INDEX(상세표[블록종료],$P674)),TEXT(INDEX(상세표[블록종료],$P674),"yyyy-mm-dd hh:mm"),INDEX(상세표[블록종료],$P674)&amp;""))</f>
        <v/>
      </c>
      <c r="G674">
        <f>IF($P674="","",CHOOSE(WEEKDAY(INDEX(상세표[시작],$P674)),"일","월","화","수","목","금","토"))</f>
        <v/>
      </c>
      <c r="H674">
        <f>IF($P674="","",INDEX(상세표[연속 시간],$P674))</f>
        <v/>
      </c>
      <c r="I674">
        <f>IF($P674="","",INDEX(상세표[기록 수],$P674))</f>
        <v/>
      </c>
      <c r="J674">
        <f>IF($P674="","",INDEX(상세표[블록 06~07시],$P674))</f>
        <v/>
      </c>
      <c r="K674">
        <f>IF($P674="","",INDEX(상세표[블록 07~18시],$P674))</f>
        <v/>
      </c>
      <c r="L674">
        <f>IF($P674="","",INDEX(상세표[블록 18~22시],$P674))</f>
        <v/>
      </c>
      <c r="M674">
        <f>IF($P674="","",INDEX(상세표[블록 22~06시],$P674))</f>
        <v/>
      </c>
      <c r="N674">
        <f>IF($P674="","",INDEX(상세표[주말·휴일 포함],$P674)&amp;"")</f>
        <v/>
      </c>
      <c r="O674">
        <f>IF($P674="","",INDEX(상세표[월 넘김 포함],$P674)&amp;"")</f>
        <v/>
      </c>
      <c r="P674" s="4">
        <f>IFERROR(MATCH(669,상세표[연속순번],0),"")</f>
        <v/>
      </c>
    </row>
    <row r="675">
      <c r="A675">
        <f>IF($P675="","",INDEX(상세표[사번],$P675)&amp;"")</f>
        <v/>
      </c>
      <c r="B675">
        <f>IF($P675="","",INDEX(상세표[성명],$P675)&amp;"")</f>
        <v/>
      </c>
      <c r="C675">
        <f>IF($P675="","",INDEX(상세표[부서],$P675)&amp;"")</f>
        <v/>
      </c>
      <c r="D675">
        <f>IF($P675="","",INDEX(상세표[직위],$P675)&amp;"")</f>
        <v/>
      </c>
      <c r="E675">
        <f>IF($P675="","",IF(ISNUMBER(INDEX(상세표[시작],$P675)),TEXT(INDEX(상세표[시작],$P675),"yyyy-mm-dd hh:mm"),INDEX(상세표[시작],$P675)&amp;""))</f>
        <v/>
      </c>
      <c r="F675">
        <f>IF($P675="","",IF(ISNUMBER(INDEX(상세표[블록종료],$P675)),TEXT(INDEX(상세표[블록종료],$P675),"yyyy-mm-dd hh:mm"),INDEX(상세표[블록종료],$P675)&amp;""))</f>
        <v/>
      </c>
      <c r="G675">
        <f>IF($P675="","",CHOOSE(WEEKDAY(INDEX(상세표[시작],$P675)),"일","월","화","수","목","금","토"))</f>
        <v/>
      </c>
      <c r="H675">
        <f>IF($P675="","",INDEX(상세표[연속 시간],$P675))</f>
        <v/>
      </c>
      <c r="I675">
        <f>IF($P675="","",INDEX(상세표[기록 수],$P675))</f>
        <v/>
      </c>
      <c r="J675">
        <f>IF($P675="","",INDEX(상세표[블록 06~07시],$P675))</f>
        <v/>
      </c>
      <c r="K675">
        <f>IF($P675="","",INDEX(상세표[블록 07~18시],$P675))</f>
        <v/>
      </c>
      <c r="L675">
        <f>IF($P675="","",INDEX(상세표[블록 18~22시],$P675))</f>
        <v/>
      </c>
      <c r="M675">
        <f>IF($P675="","",INDEX(상세표[블록 22~06시],$P675))</f>
        <v/>
      </c>
      <c r="N675">
        <f>IF($P675="","",INDEX(상세표[주말·휴일 포함],$P675)&amp;"")</f>
        <v/>
      </c>
      <c r="O675">
        <f>IF($P675="","",INDEX(상세표[월 넘김 포함],$P675)&amp;"")</f>
        <v/>
      </c>
      <c r="P675" s="4">
        <f>IFERROR(MATCH(670,상세표[연속순번],0),"")</f>
        <v/>
      </c>
    </row>
    <row r="676">
      <c r="A676">
        <f>IF($P676="","",INDEX(상세표[사번],$P676)&amp;"")</f>
        <v/>
      </c>
      <c r="B676">
        <f>IF($P676="","",INDEX(상세표[성명],$P676)&amp;"")</f>
        <v/>
      </c>
      <c r="C676">
        <f>IF($P676="","",INDEX(상세표[부서],$P676)&amp;"")</f>
        <v/>
      </c>
      <c r="D676">
        <f>IF($P676="","",INDEX(상세표[직위],$P676)&amp;"")</f>
        <v/>
      </c>
      <c r="E676">
        <f>IF($P676="","",IF(ISNUMBER(INDEX(상세표[시작],$P676)),TEXT(INDEX(상세표[시작],$P676),"yyyy-mm-dd hh:mm"),INDEX(상세표[시작],$P676)&amp;""))</f>
        <v/>
      </c>
      <c r="F676">
        <f>IF($P676="","",IF(ISNUMBER(INDEX(상세표[블록종료],$P676)),TEXT(INDEX(상세표[블록종료],$P676),"yyyy-mm-dd hh:mm"),INDEX(상세표[블록종료],$P676)&amp;""))</f>
        <v/>
      </c>
      <c r="G676">
        <f>IF($P676="","",CHOOSE(WEEKDAY(INDEX(상세표[시작],$P676)),"일","월","화","수","목","금","토"))</f>
        <v/>
      </c>
      <c r="H676">
        <f>IF($P676="","",INDEX(상세표[연속 시간],$P676))</f>
        <v/>
      </c>
      <c r="I676">
        <f>IF($P676="","",INDEX(상세표[기록 수],$P676))</f>
        <v/>
      </c>
      <c r="J676">
        <f>IF($P676="","",INDEX(상세표[블록 06~07시],$P676))</f>
        <v/>
      </c>
      <c r="K676">
        <f>IF($P676="","",INDEX(상세표[블록 07~18시],$P676))</f>
        <v/>
      </c>
      <c r="L676">
        <f>IF($P676="","",INDEX(상세표[블록 18~22시],$P676))</f>
        <v/>
      </c>
      <c r="M676">
        <f>IF($P676="","",INDEX(상세표[블록 22~06시],$P676))</f>
        <v/>
      </c>
      <c r="N676">
        <f>IF($P676="","",INDEX(상세표[주말·휴일 포함],$P676)&amp;"")</f>
        <v/>
      </c>
      <c r="O676">
        <f>IF($P676="","",INDEX(상세표[월 넘김 포함],$P676)&amp;"")</f>
        <v/>
      </c>
      <c r="P676" s="4">
        <f>IFERROR(MATCH(671,상세표[연속순번],0),"")</f>
        <v/>
      </c>
    </row>
    <row r="677">
      <c r="A677">
        <f>IF($P677="","",INDEX(상세표[사번],$P677)&amp;"")</f>
        <v/>
      </c>
      <c r="B677">
        <f>IF($P677="","",INDEX(상세표[성명],$P677)&amp;"")</f>
        <v/>
      </c>
      <c r="C677">
        <f>IF($P677="","",INDEX(상세표[부서],$P677)&amp;"")</f>
        <v/>
      </c>
      <c r="D677">
        <f>IF($P677="","",INDEX(상세표[직위],$P677)&amp;"")</f>
        <v/>
      </c>
      <c r="E677">
        <f>IF($P677="","",IF(ISNUMBER(INDEX(상세표[시작],$P677)),TEXT(INDEX(상세표[시작],$P677),"yyyy-mm-dd hh:mm"),INDEX(상세표[시작],$P677)&amp;""))</f>
        <v/>
      </c>
      <c r="F677">
        <f>IF($P677="","",IF(ISNUMBER(INDEX(상세표[블록종료],$P677)),TEXT(INDEX(상세표[블록종료],$P677),"yyyy-mm-dd hh:mm"),INDEX(상세표[블록종료],$P677)&amp;""))</f>
        <v/>
      </c>
      <c r="G677">
        <f>IF($P677="","",CHOOSE(WEEKDAY(INDEX(상세표[시작],$P677)),"일","월","화","수","목","금","토"))</f>
        <v/>
      </c>
      <c r="H677">
        <f>IF($P677="","",INDEX(상세표[연속 시간],$P677))</f>
        <v/>
      </c>
      <c r="I677">
        <f>IF($P677="","",INDEX(상세표[기록 수],$P677))</f>
        <v/>
      </c>
      <c r="J677">
        <f>IF($P677="","",INDEX(상세표[블록 06~07시],$P677))</f>
        <v/>
      </c>
      <c r="K677">
        <f>IF($P677="","",INDEX(상세표[블록 07~18시],$P677))</f>
        <v/>
      </c>
      <c r="L677">
        <f>IF($P677="","",INDEX(상세표[블록 18~22시],$P677))</f>
        <v/>
      </c>
      <c r="M677">
        <f>IF($P677="","",INDEX(상세표[블록 22~06시],$P677))</f>
        <v/>
      </c>
      <c r="N677">
        <f>IF($P677="","",INDEX(상세표[주말·휴일 포함],$P677)&amp;"")</f>
        <v/>
      </c>
      <c r="O677">
        <f>IF($P677="","",INDEX(상세표[월 넘김 포함],$P677)&amp;"")</f>
        <v/>
      </c>
      <c r="P677" s="4">
        <f>IFERROR(MATCH(672,상세표[연속순번],0),"")</f>
        <v/>
      </c>
    </row>
    <row r="678">
      <c r="A678">
        <f>IF($P678="","",INDEX(상세표[사번],$P678)&amp;"")</f>
        <v/>
      </c>
      <c r="B678">
        <f>IF($P678="","",INDEX(상세표[성명],$P678)&amp;"")</f>
        <v/>
      </c>
      <c r="C678">
        <f>IF($P678="","",INDEX(상세표[부서],$P678)&amp;"")</f>
        <v/>
      </c>
      <c r="D678">
        <f>IF($P678="","",INDEX(상세표[직위],$P678)&amp;"")</f>
        <v/>
      </c>
      <c r="E678">
        <f>IF($P678="","",IF(ISNUMBER(INDEX(상세표[시작],$P678)),TEXT(INDEX(상세표[시작],$P678),"yyyy-mm-dd hh:mm"),INDEX(상세표[시작],$P678)&amp;""))</f>
        <v/>
      </c>
      <c r="F678">
        <f>IF($P678="","",IF(ISNUMBER(INDEX(상세표[블록종료],$P678)),TEXT(INDEX(상세표[블록종료],$P678),"yyyy-mm-dd hh:mm"),INDEX(상세표[블록종료],$P678)&amp;""))</f>
        <v/>
      </c>
      <c r="G678">
        <f>IF($P678="","",CHOOSE(WEEKDAY(INDEX(상세표[시작],$P678)),"일","월","화","수","목","금","토"))</f>
        <v/>
      </c>
      <c r="H678">
        <f>IF($P678="","",INDEX(상세표[연속 시간],$P678))</f>
        <v/>
      </c>
      <c r="I678">
        <f>IF($P678="","",INDEX(상세표[기록 수],$P678))</f>
        <v/>
      </c>
      <c r="J678">
        <f>IF($P678="","",INDEX(상세표[블록 06~07시],$P678))</f>
        <v/>
      </c>
      <c r="K678">
        <f>IF($P678="","",INDEX(상세표[블록 07~18시],$P678))</f>
        <v/>
      </c>
      <c r="L678">
        <f>IF($P678="","",INDEX(상세표[블록 18~22시],$P678))</f>
        <v/>
      </c>
      <c r="M678">
        <f>IF($P678="","",INDEX(상세표[블록 22~06시],$P678))</f>
        <v/>
      </c>
      <c r="N678">
        <f>IF($P678="","",INDEX(상세표[주말·휴일 포함],$P678)&amp;"")</f>
        <v/>
      </c>
      <c r="O678">
        <f>IF($P678="","",INDEX(상세표[월 넘김 포함],$P678)&amp;"")</f>
        <v/>
      </c>
      <c r="P678" s="4">
        <f>IFERROR(MATCH(673,상세표[연속순번],0),"")</f>
        <v/>
      </c>
    </row>
    <row r="679">
      <c r="A679">
        <f>IF($P679="","",INDEX(상세표[사번],$P679)&amp;"")</f>
        <v/>
      </c>
      <c r="B679">
        <f>IF($P679="","",INDEX(상세표[성명],$P679)&amp;"")</f>
        <v/>
      </c>
      <c r="C679">
        <f>IF($P679="","",INDEX(상세표[부서],$P679)&amp;"")</f>
        <v/>
      </c>
      <c r="D679">
        <f>IF($P679="","",INDEX(상세표[직위],$P679)&amp;"")</f>
        <v/>
      </c>
      <c r="E679">
        <f>IF($P679="","",IF(ISNUMBER(INDEX(상세표[시작],$P679)),TEXT(INDEX(상세표[시작],$P679),"yyyy-mm-dd hh:mm"),INDEX(상세표[시작],$P679)&amp;""))</f>
        <v/>
      </c>
      <c r="F679">
        <f>IF($P679="","",IF(ISNUMBER(INDEX(상세표[블록종료],$P679)),TEXT(INDEX(상세표[블록종료],$P679),"yyyy-mm-dd hh:mm"),INDEX(상세표[블록종료],$P679)&amp;""))</f>
        <v/>
      </c>
      <c r="G679">
        <f>IF($P679="","",CHOOSE(WEEKDAY(INDEX(상세표[시작],$P679)),"일","월","화","수","목","금","토"))</f>
        <v/>
      </c>
      <c r="H679">
        <f>IF($P679="","",INDEX(상세표[연속 시간],$P679))</f>
        <v/>
      </c>
      <c r="I679">
        <f>IF($P679="","",INDEX(상세표[기록 수],$P679))</f>
        <v/>
      </c>
      <c r="J679">
        <f>IF($P679="","",INDEX(상세표[블록 06~07시],$P679))</f>
        <v/>
      </c>
      <c r="K679">
        <f>IF($P679="","",INDEX(상세표[블록 07~18시],$P679))</f>
        <v/>
      </c>
      <c r="L679">
        <f>IF($P679="","",INDEX(상세표[블록 18~22시],$P679))</f>
        <v/>
      </c>
      <c r="M679">
        <f>IF($P679="","",INDEX(상세표[블록 22~06시],$P679))</f>
        <v/>
      </c>
      <c r="N679">
        <f>IF($P679="","",INDEX(상세표[주말·휴일 포함],$P679)&amp;"")</f>
        <v/>
      </c>
      <c r="O679">
        <f>IF($P679="","",INDEX(상세표[월 넘김 포함],$P679)&amp;"")</f>
        <v/>
      </c>
      <c r="P679" s="4">
        <f>IFERROR(MATCH(674,상세표[연속순번],0),"")</f>
        <v/>
      </c>
    </row>
    <row r="680">
      <c r="A680">
        <f>IF($P680="","",INDEX(상세표[사번],$P680)&amp;"")</f>
        <v/>
      </c>
      <c r="B680">
        <f>IF($P680="","",INDEX(상세표[성명],$P680)&amp;"")</f>
        <v/>
      </c>
      <c r="C680">
        <f>IF($P680="","",INDEX(상세표[부서],$P680)&amp;"")</f>
        <v/>
      </c>
      <c r="D680">
        <f>IF($P680="","",INDEX(상세표[직위],$P680)&amp;"")</f>
        <v/>
      </c>
      <c r="E680">
        <f>IF($P680="","",IF(ISNUMBER(INDEX(상세표[시작],$P680)),TEXT(INDEX(상세표[시작],$P680),"yyyy-mm-dd hh:mm"),INDEX(상세표[시작],$P680)&amp;""))</f>
        <v/>
      </c>
      <c r="F680">
        <f>IF($P680="","",IF(ISNUMBER(INDEX(상세표[블록종료],$P680)),TEXT(INDEX(상세표[블록종료],$P680),"yyyy-mm-dd hh:mm"),INDEX(상세표[블록종료],$P680)&amp;""))</f>
        <v/>
      </c>
      <c r="G680">
        <f>IF($P680="","",CHOOSE(WEEKDAY(INDEX(상세표[시작],$P680)),"일","월","화","수","목","금","토"))</f>
        <v/>
      </c>
      <c r="H680">
        <f>IF($P680="","",INDEX(상세표[연속 시간],$P680))</f>
        <v/>
      </c>
      <c r="I680">
        <f>IF($P680="","",INDEX(상세표[기록 수],$P680))</f>
        <v/>
      </c>
      <c r="J680">
        <f>IF($P680="","",INDEX(상세표[블록 06~07시],$P680))</f>
        <v/>
      </c>
      <c r="K680">
        <f>IF($P680="","",INDEX(상세표[블록 07~18시],$P680))</f>
        <v/>
      </c>
      <c r="L680">
        <f>IF($P680="","",INDEX(상세표[블록 18~22시],$P680))</f>
        <v/>
      </c>
      <c r="M680">
        <f>IF($P680="","",INDEX(상세표[블록 22~06시],$P680))</f>
        <v/>
      </c>
      <c r="N680">
        <f>IF($P680="","",INDEX(상세표[주말·휴일 포함],$P680)&amp;"")</f>
        <v/>
      </c>
      <c r="O680">
        <f>IF($P680="","",INDEX(상세표[월 넘김 포함],$P680)&amp;"")</f>
        <v/>
      </c>
      <c r="P680" s="4">
        <f>IFERROR(MATCH(675,상세표[연속순번],0),"")</f>
        <v/>
      </c>
    </row>
    <row r="681">
      <c r="A681">
        <f>IF($P681="","",INDEX(상세표[사번],$P681)&amp;"")</f>
        <v/>
      </c>
      <c r="B681">
        <f>IF($P681="","",INDEX(상세표[성명],$P681)&amp;"")</f>
        <v/>
      </c>
      <c r="C681">
        <f>IF($P681="","",INDEX(상세표[부서],$P681)&amp;"")</f>
        <v/>
      </c>
      <c r="D681">
        <f>IF($P681="","",INDEX(상세표[직위],$P681)&amp;"")</f>
        <v/>
      </c>
      <c r="E681">
        <f>IF($P681="","",IF(ISNUMBER(INDEX(상세표[시작],$P681)),TEXT(INDEX(상세표[시작],$P681),"yyyy-mm-dd hh:mm"),INDEX(상세표[시작],$P681)&amp;""))</f>
        <v/>
      </c>
      <c r="F681">
        <f>IF($P681="","",IF(ISNUMBER(INDEX(상세표[블록종료],$P681)),TEXT(INDEX(상세표[블록종료],$P681),"yyyy-mm-dd hh:mm"),INDEX(상세표[블록종료],$P681)&amp;""))</f>
        <v/>
      </c>
      <c r="G681">
        <f>IF($P681="","",CHOOSE(WEEKDAY(INDEX(상세표[시작],$P681)),"일","월","화","수","목","금","토"))</f>
        <v/>
      </c>
      <c r="H681">
        <f>IF($P681="","",INDEX(상세표[연속 시간],$P681))</f>
        <v/>
      </c>
      <c r="I681">
        <f>IF($P681="","",INDEX(상세표[기록 수],$P681))</f>
        <v/>
      </c>
      <c r="J681">
        <f>IF($P681="","",INDEX(상세표[블록 06~07시],$P681))</f>
        <v/>
      </c>
      <c r="K681">
        <f>IF($P681="","",INDEX(상세표[블록 07~18시],$P681))</f>
        <v/>
      </c>
      <c r="L681">
        <f>IF($P681="","",INDEX(상세표[블록 18~22시],$P681))</f>
        <v/>
      </c>
      <c r="M681">
        <f>IF($P681="","",INDEX(상세표[블록 22~06시],$P681))</f>
        <v/>
      </c>
      <c r="N681">
        <f>IF($P681="","",INDEX(상세표[주말·휴일 포함],$P681)&amp;"")</f>
        <v/>
      </c>
      <c r="O681">
        <f>IF($P681="","",INDEX(상세표[월 넘김 포함],$P681)&amp;"")</f>
        <v/>
      </c>
      <c r="P681" s="4">
        <f>IFERROR(MATCH(676,상세표[연속순번],0),"")</f>
        <v/>
      </c>
    </row>
    <row r="682">
      <c r="A682">
        <f>IF($P682="","",INDEX(상세표[사번],$P682)&amp;"")</f>
        <v/>
      </c>
      <c r="B682">
        <f>IF($P682="","",INDEX(상세표[성명],$P682)&amp;"")</f>
        <v/>
      </c>
      <c r="C682">
        <f>IF($P682="","",INDEX(상세표[부서],$P682)&amp;"")</f>
        <v/>
      </c>
      <c r="D682">
        <f>IF($P682="","",INDEX(상세표[직위],$P682)&amp;"")</f>
        <v/>
      </c>
      <c r="E682">
        <f>IF($P682="","",IF(ISNUMBER(INDEX(상세표[시작],$P682)),TEXT(INDEX(상세표[시작],$P682),"yyyy-mm-dd hh:mm"),INDEX(상세표[시작],$P682)&amp;""))</f>
        <v/>
      </c>
      <c r="F682">
        <f>IF($P682="","",IF(ISNUMBER(INDEX(상세표[블록종료],$P682)),TEXT(INDEX(상세표[블록종료],$P682),"yyyy-mm-dd hh:mm"),INDEX(상세표[블록종료],$P682)&amp;""))</f>
        <v/>
      </c>
      <c r="G682">
        <f>IF($P682="","",CHOOSE(WEEKDAY(INDEX(상세표[시작],$P682)),"일","월","화","수","목","금","토"))</f>
        <v/>
      </c>
      <c r="H682">
        <f>IF($P682="","",INDEX(상세표[연속 시간],$P682))</f>
        <v/>
      </c>
      <c r="I682">
        <f>IF($P682="","",INDEX(상세표[기록 수],$P682))</f>
        <v/>
      </c>
      <c r="J682">
        <f>IF($P682="","",INDEX(상세표[블록 06~07시],$P682))</f>
        <v/>
      </c>
      <c r="K682">
        <f>IF($P682="","",INDEX(상세표[블록 07~18시],$P682))</f>
        <v/>
      </c>
      <c r="L682">
        <f>IF($P682="","",INDEX(상세표[블록 18~22시],$P682))</f>
        <v/>
      </c>
      <c r="M682">
        <f>IF($P682="","",INDEX(상세표[블록 22~06시],$P682))</f>
        <v/>
      </c>
      <c r="N682">
        <f>IF($P682="","",INDEX(상세표[주말·휴일 포함],$P682)&amp;"")</f>
        <v/>
      </c>
      <c r="O682">
        <f>IF($P682="","",INDEX(상세표[월 넘김 포함],$P682)&amp;"")</f>
        <v/>
      </c>
      <c r="P682" s="4">
        <f>IFERROR(MATCH(677,상세표[연속순번],0),"")</f>
        <v/>
      </c>
    </row>
    <row r="683">
      <c r="A683">
        <f>IF($P683="","",INDEX(상세표[사번],$P683)&amp;"")</f>
        <v/>
      </c>
      <c r="B683">
        <f>IF($P683="","",INDEX(상세표[성명],$P683)&amp;"")</f>
        <v/>
      </c>
      <c r="C683">
        <f>IF($P683="","",INDEX(상세표[부서],$P683)&amp;"")</f>
        <v/>
      </c>
      <c r="D683">
        <f>IF($P683="","",INDEX(상세표[직위],$P683)&amp;"")</f>
        <v/>
      </c>
      <c r="E683">
        <f>IF($P683="","",IF(ISNUMBER(INDEX(상세표[시작],$P683)),TEXT(INDEX(상세표[시작],$P683),"yyyy-mm-dd hh:mm"),INDEX(상세표[시작],$P683)&amp;""))</f>
        <v/>
      </c>
      <c r="F683">
        <f>IF($P683="","",IF(ISNUMBER(INDEX(상세표[블록종료],$P683)),TEXT(INDEX(상세표[블록종료],$P683),"yyyy-mm-dd hh:mm"),INDEX(상세표[블록종료],$P683)&amp;""))</f>
        <v/>
      </c>
      <c r="G683">
        <f>IF($P683="","",CHOOSE(WEEKDAY(INDEX(상세표[시작],$P683)),"일","월","화","수","목","금","토"))</f>
        <v/>
      </c>
      <c r="H683">
        <f>IF($P683="","",INDEX(상세표[연속 시간],$P683))</f>
        <v/>
      </c>
      <c r="I683">
        <f>IF($P683="","",INDEX(상세표[기록 수],$P683))</f>
        <v/>
      </c>
      <c r="J683">
        <f>IF($P683="","",INDEX(상세표[블록 06~07시],$P683))</f>
        <v/>
      </c>
      <c r="K683">
        <f>IF($P683="","",INDEX(상세표[블록 07~18시],$P683))</f>
        <v/>
      </c>
      <c r="L683">
        <f>IF($P683="","",INDEX(상세표[블록 18~22시],$P683))</f>
        <v/>
      </c>
      <c r="M683">
        <f>IF($P683="","",INDEX(상세표[블록 22~06시],$P683))</f>
        <v/>
      </c>
      <c r="N683">
        <f>IF($P683="","",INDEX(상세표[주말·휴일 포함],$P683)&amp;"")</f>
        <v/>
      </c>
      <c r="O683">
        <f>IF($P683="","",INDEX(상세표[월 넘김 포함],$P683)&amp;"")</f>
        <v/>
      </c>
      <c r="P683" s="4">
        <f>IFERROR(MATCH(678,상세표[연속순번],0),"")</f>
        <v/>
      </c>
    </row>
    <row r="684">
      <c r="A684">
        <f>IF($P684="","",INDEX(상세표[사번],$P684)&amp;"")</f>
        <v/>
      </c>
      <c r="B684">
        <f>IF($P684="","",INDEX(상세표[성명],$P684)&amp;"")</f>
        <v/>
      </c>
      <c r="C684">
        <f>IF($P684="","",INDEX(상세표[부서],$P684)&amp;"")</f>
        <v/>
      </c>
      <c r="D684">
        <f>IF($P684="","",INDEX(상세표[직위],$P684)&amp;"")</f>
        <v/>
      </c>
      <c r="E684">
        <f>IF($P684="","",IF(ISNUMBER(INDEX(상세표[시작],$P684)),TEXT(INDEX(상세표[시작],$P684),"yyyy-mm-dd hh:mm"),INDEX(상세표[시작],$P684)&amp;""))</f>
        <v/>
      </c>
      <c r="F684">
        <f>IF($P684="","",IF(ISNUMBER(INDEX(상세표[블록종료],$P684)),TEXT(INDEX(상세표[블록종료],$P684),"yyyy-mm-dd hh:mm"),INDEX(상세표[블록종료],$P684)&amp;""))</f>
        <v/>
      </c>
      <c r="G684">
        <f>IF($P684="","",CHOOSE(WEEKDAY(INDEX(상세표[시작],$P684)),"일","월","화","수","목","금","토"))</f>
        <v/>
      </c>
      <c r="H684">
        <f>IF($P684="","",INDEX(상세표[연속 시간],$P684))</f>
        <v/>
      </c>
      <c r="I684">
        <f>IF($P684="","",INDEX(상세표[기록 수],$P684))</f>
        <v/>
      </c>
      <c r="J684">
        <f>IF($P684="","",INDEX(상세표[블록 06~07시],$P684))</f>
        <v/>
      </c>
      <c r="K684">
        <f>IF($P684="","",INDEX(상세표[블록 07~18시],$P684))</f>
        <v/>
      </c>
      <c r="L684">
        <f>IF($P684="","",INDEX(상세표[블록 18~22시],$P684))</f>
        <v/>
      </c>
      <c r="M684">
        <f>IF($P684="","",INDEX(상세표[블록 22~06시],$P684))</f>
        <v/>
      </c>
      <c r="N684">
        <f>IF($P684="","",INDEX(상세표[주말·휴일 포함],$P684)&amp;"")</f>
        <v/>
      </c>
      <c r="O684">
        <f>IF($P684="","",INDEX(상세표[월 넘김 포함],$P684)&amp;"")</f>
        <v/>
      </c>
      <c r="P684" s="4">
        <f>IFERROR(MATCH(679,상세표[연속순번],0),"")</f>
        <v/>
      </c>
    </row>
    <row r="685">
      <c r="A685">
        <f>IF($P685="","",INDEX(상세표[사번],$P685)&amp;"")</f>
        <v/>
      </c>
      <c r="B685">
        <f>IF($P685="","",INDEX(상세표[성명],$P685)&amp;"")</f>
        <v/>
      </c>
      <c r="C685">
        <f>IF($P685="","",INDEX(상세표[부서],$P685)&amp;"")</f>
        <v/>
      </c>
      <c r="D685">
        <f>IF($P685="","",INDEX(상세표[직위],$P685)&amp;"")</f>
        <v/>
      </c>
      <c r="E685">
        <f>IF($P685="","",IF(ISNUMBER(INDEX(상세표[시작],$P685)),TEXT(INDEX(상세표[시작],$P685),"yyyy-mm-dd hh:mm"),INDEX(상세표[시작],$P685)&amp;""))</f>
        <v/>
      </c>
      <c r="F685">
        <f>IF($P685="","",IF(ISNUMBER(INDEX(상세표[블록종료],$P685)),TEXT(INDEX(상세표[블록종료],$P685),"yyyy-mm-dd hh:mm"),INDEX(상세표[블록종료],$P685)&amp;""))</f>
        <v/>
      </c>
      <c r="G685">
        <f>IF($P685="","",CHOOSE(WEEKDAY(INDEX(상세표[시작],$P685)),"일","월","화","수","목","금","토"))</f>
        <v/>
      </c>
      <c r="H685">
        <f>IF($P685="","",INDEX(상세표[연속 시간],$P685))</f>
        <v/>
      </c>
      <c r="I685">
        <f>IF($P685="","",INDEX(상세표[기록 수],$P685))</f>
        <v/>
      </c>
      <c r="J685">
        <f>IF($P685="","",INDEX(상세표[블록 06~07시],$P685))</f>
        <v/>
      </c>
      <c r="K685">
        <f>IF($P685="","",INDEX(상세표[블록 07~18시],$P685))</f>
        <v/>
      </c>
      <c r="L685">
        <f>IF($P685="","",INDEX(상세표[블록 18~22시],$P685))</f>
        <v/>
      </c>
      <c r="M685">
        <f>IF($P685="","",INDEX(상세표[블록 22~06시],$P685))</f>
        <v/>
      </c>
      <c r="N685">
        <f>IF($P685="","",INDEX(상세표[주말·휴일 포함],$P685)&amp;"")</f>
        <v/>
      </c>
      <c r="O685">
        <f>IF($P685="","",INDEX(상세표[월 넘김 포함],$P685)&amp;"")</f>
        <v/>
      </c>
      <c r="P685" s="4">
        <f>IFERROR(MATCH(680,상세표[연속순번],0),"")</f>
        <v/>
      </c>
    </row>
    <row r="686">
      <c r="A686">
        <f>IF($P686="","",INDEX(상세표[사번],$P686)&amp;"")</f>
        <v/>
      </c>
      <c r="B686">
        <f>IF($P686="","",INDEX(상세표[성명],$P686)&amp;"")</f>
        <v/>
      </c>
      <c r="C686">
        <f>IF($P686="","",INDEX(상세표[부서],$P686)&amp;"")</f>
        <v/>
      </c>
      <c r="D686">
        <f>IF($P686="","",INDEX(상세표[직위],$P686)&amp;"")</f>
        <v/>
      </c>
      <c r="E686">
        <f>IF($P686="","",IF(ISNUMBER(INDEX(상세표[시작],$P686)),TEXT(INDEX(상세표[시작],$P686),"yyyy-mm-dd hh:mm"),INDEX(상세표[시작],$P686)&amp;""))</f>
        <v/>
      </c>
      <c r="F686">
        <f>IF($P686="","",IF(ISNUMBER(INDEX(상세표[블록종료],$P686)),TEXT(INDEX(상세표[블록종료],$P686),"yyyy-mm-dd hh:mm"),INDEX(상세표[블록종료],$P686)&amp;""))</f>
        <v/>
      </c>
      <c r="G686">
        <f>IF($P686="","",CHOOSE(WEEKDAY(INDEX(상세표[시작],$P686)),"일","월","화","수","목","금","토"))</f>
        <v/>
      </c>
      <c r="H686">
        <f>IF($P686="","",INDEX(상세표[연속 시간],$P686))</f>
        <v/>
      </c>
      <c r="I686">
        <f>IF($P686="","",INDEX(상세표[기록 수],$P686))</f>
        <v/>
      </c>
      <c r="J686">
        <f>IF($P686="","",INDEX(상세표[블록 06~07시],$P686))</f>
        <v/>
      </c>
      <c r="K686">
        <f>IF($P686="","",INDEX(상세표[블록 07~18시],$P686))</f>
        <v/>
      </c>
      <c r="L686">
        <f>IF($P686="","",INDEX(상세표[블록 18~22시],$P686))</f>
        <v/>
      </c>
      <c r="M686">
        <f>IF($P686="","",INDEX(상세표[블록 22~06시],$P686))</f>
        <v/>
      </c>
      <c r="N686">
        <f>IF($P686="","",INDEX(상세표[주말·휴일 포함],$P686)&amp;"")</f>
        <v/>
      </c>
      <c r="O686">
        <f>IF($P686="","",INDEX(상세표[월 넘김 포함],$P686)&amp;"")</f>
        <v/>
      </c>
      <c r="P686" s="4">
        <f>IFERROR(MATCH(681,상세표[연속순번],0),"")</f>
        <v/>
      </c>
    </row>
    <row r="687">
      <c r="A687">
        <f>IF($P687="","",INDEX(상세표[사번],$P687)&amp;"")</f>
        <v/>
      </c>
      <c r="B687">
        <f>IF($P687="","",INDEX(상세표[성명],$P687)&amp;"")</f>
        <v/>
      </c>
      <c r="C687">
        <f>IF($P687="","",INDEX(상세표[부서],$P687)&amp;"")</f>
        <v/>
      </c>
      <c r="D687">
        <f>IF($P687="","",INDEX(상세표[직위],$P687)&amp;"")</f>
        <v/>
      </c>
      <c r="E687">
        <f>IF($P687="","",IF(ISNUMBER(INDEX(상세표[시작],$P687)),TEXT(INDEX(상세표[시작],$P687),"yyyy-mm-dd hh:mm"),INDEX(상세표[시작],$P687)&amp;""))</f>
        <v/>
      </c>
      <c r="F687">
        <f>IF($P687="","",IF(ISNUMBER(INDEX(상세표[블록종료],$P687)),TEXT(INDEX(상세표[블록종료],$P687),"yyyy-mm-dd hh:mm"),INDEX(상세표[블록종료],$P687)&amp;""))</f>
        <v/>
      </c>
      <c r="G687">
        <f>IF($P687="","",CHOOSE(WEEKDAY(INDEX(상세표[시작],$P687)),"일","월","화","수","목","금","토"))</f>
        <v/>
      </c>
      <c r="H687">
        <f>IF($P687="","",INDEX(상세표[연속 시간],$P687))</f>
        <v/>
      </c>
      <c r="I687">
        <f>IF($P687="","",INDEX(상세표[기록 수],$P687))</f>
        <v/>
      </c>
      <c r="J687">
        <f>IF($P687="","",INDEX(상세표[블록 06~07시],$P687))</f>
        <v/>
      </c>
      <c r="K687">
        <f>IF($P687="","",INDEX(상세표[블록 07~18시],$P687))</f>
        <v/>
      </c>
      <c r="L687">
        <f>IF($P687="","",INDEX(상세표[블록 18~22시],$P687))</f>
        <v/>
      </c>
      <c r="M687">
        <f>IF($P687="","",INDEX(상세표[블록 22~06시],$P687))</f>
        <v/>
      </c>
      <c r="N687">
        <f>IF($P687="","",INDEX(상세표[주말·휴일 포함],$P687)&amp;"")</f>
        <v/>
      </c>
      <c r="O687">
        <f>IF($P687="","",INDEX(상세표[월 넘김 포함],$P687)&amp;"")</f>
        <v/>
      </c>
      <c r="P687" s="4">
        <f>IFERROR(MATCH(682,상세표[연속순번],0),"")</f>
        <v/>
      </c>
    </row>
    <row r="688">
      <c r="A688">
        <f>IF($P688="","",INDEX(상세표[사번],$P688)&amp;"")</f>
        <v/>
      </c>
      <c r="B688">
        <f>IF($P688="","",INDEX(상세표[성명],$P688)&amp;"")</f>
        <v/>
      </c>
      <c r="C688">
        <f>IF($P688="","",INDEX(상세표[부서],$P688)&amp;"")</f>
        <v/>
      </c>
      <c r="D688">
        <f>IF($P688="","",INDEX(상세표[직위],$P688)&amp;"")</f>
        <v/>
      </c>
      <c r="E688">
        <f>IF($P688="","",IF(ISNUMBER(INDEX(상세표[시작],$P688)),TEXT(INDEX(상세표[시작],$P688),"yyyy-mm-dd hh:mm"),INDEX(상세표[시작],$P688)&amp;""))</f>
        <v/>
      </c>
      <c r="F688">
        <f>IF($P688="","",IF(ISNUMBER(INDEX(상세표[블록종료],$P688)),TEXT(INDEX(상세표[블록종료],$P688),"yyyy-mm-dd hh:mm"),INDEX(상세표[블록종료],$P688)&amp;""))</f>
        <v/>
      </c>
      <c r="G688">
        <f>IF($P688="","",CHOOSE(WEEKDAY(INDEX(상세표[시작],$P688)),"일","월","화","수","목","금","토"))</f>
        <v/>
      </c>
      <c r="H688">
        <f>IF($P688="","",INDEX(상세표[연속 시간],$P688))</f>
        <v/>
      </c>
      <c r="I688">
        <f>IF($P688="","",INDEX(상세표[기록 수],$P688))</f>
        <v/>
      </c>
      <c r="J688">
        <f>IF($P688="","",INDEX(상세표[블록 06~07시],$P688))</f>
        <v/>
      </c>
      <c r="K688">
        <f>IF($P688="","",INDEX(상세표[블록 07~18시],$P688))</f>
        <v/>
      </c>
      <c r="L688">
        <f>IF($P688="","",INDEX(상세표[블록 18~22시],$P688))</f>
        <v/>
      </c>
      <c r="M688">
        <f>IF($P688="","",INDEX(상세표[블록 22~06시],$P688))</f>
        <v/>
      </c>
      <c r="N688">
        <f>IF($P688="","",INDEX(상세표[주말·휴일 포함],$P688)&amp;"")</f>
        <v/>
      </c>
      <c r="O688">
        <f>IF($P688="","",INDEX(상세표[월 넘김 포함],$P688)&amp;"")</f>
        <v/>
      </c>
      <c r="P688" s="4">
        <f>IFERROR(MATCH(683,상세표[연속순번],0),"")</f>
        <v/>
      </c>
    </row>
    <row r="689">
      <c r="A689">
        <f>IF($P689="","",INDEX(상세표[사번],$P689)&amp;"")</f>
        <v/>
      </c>
      <c r="B689">
        <f>IF($P689="","",INDEX(상세표[성명],$P689)&amp;"")</f>
        <v/>
      </c>
      <c r="C689">
        <f>IF($P689="","",INDEX(상세표[부서],$P689)&amp;"")</f>
        <v/>
      </c>
      <c r="D689">
        <f>IF($P689="","",INDEX(상세표[직위],$P689)&amp;"")</f>
        <v/>
      </c>
      <c r="E689">
        <f>IF($P689="","",IF(ISNUMBER(INDEX(상세표[시작],$P689)),TEXT(INDEX(상세표[시작],$P689),"yyyy-mm-dd hh:mm"),INDEX(상세표[시작],$P689)&amp;""))</f>
        <v/>
      </c>
      <c r="F689">
        <f>IF($P689="","",IF(ISNUMBER(INDEX(상세표[블록종료],$P689)),TEXT(INDEX(상세표[블록종료],$P689),"yyyy-mm-dd hh:mm"),INDEX(상세표[블록종료],$P689)&amp;""))</f>
        <v/>
      </c>
      <c r="G689">
        <f>IF($P689="","",CHOOSE(WEEKDAY(INDEX(상세표[시작],$P689)),"일","월","화","수","목","금","토"))</f>
        <v/>
      </c>
      <c r="H689">
        <f>IF($P689="","",INDEX(상세표[연속 시간],$P689))</f>
        <v/>
      </c>
      <c r="I689">
        <f>IF($P689="","",INDEX(상세표[기록 수],$P689))</f>
        <v/>
      </c>
      <c r="J689">
        <f>IF($P689="","",INDEX(상세표[블록 06~07시],$P689))</f>
        <v/>
      </c>
      <c r="K689">
        <f>IF($P689="","",INDEX(상세표[블록 07~18시],$P689))</f>
        <v/>
      </c>
      <c r="L689">
        <f>IF($P689="","",INDEX(상세표[블록 18~22시],$P689))</f>
        <v/>
      </c>
      <c r="M689">
        <f>IF($P689="","",INDEX(상세표[블록 22~06시],$P689))</f>
        <v/>
      </c>
      <c r="N689">
        <f>IF($P689="","",INDEX(상세표[주말·휴일 포함],$P689)&amp;"")</f>
        <v/>
      </c>
      <c r="O689">
        <f>IF($P689="","",INDEX(상세표[월 넘김 포함],$P689)&amp;"")</f>
        <v/>
      </c>
      <c r="P689" s="4">
        <f>IFERROR(MATCH(684,상세표[연속순번],0),"")</f>
        <v/>
      </c>
    </row>
    <row r="690">
      <c r="A690">
        <f>IF($P690="","",INDEX(상세표[사번],$P690)&amp;"")</f>
        <v/>
      </c>
      <c r="B690">
        <f>IF($P690="","",INDEX(상세표[성명],$P690)&amp;"")</f>
        <v/>
      </c>
      <c r="C690">
        <f>IF($P690="","",INDEX(상세표[부서],$P690)&amp;"")</f>
        <v/>
      </c>
      <c r="D690">
        <f>IF($P690="","",INDEX(상세표[직위],$P690)&amp;"")</f>
        <v/>
      </c>
      <c r="E690">
        <f>IF($P690="","",IF(ISNUMBER(INDEX(상세표[시작],$P690)),TEXT(INDEX(상세표[시작],$P690),"yyyy-mm-dd hh:mm"),INDEX(상세표[시작],$P690)&amp;""))</f>
        <v/>
      </c>
      <c r="F690">
        <f>IF($P690="","",IF(ISNUMBER(INDEX(상세표[블록종료],$P690)),TEXT(INDEX(상세표[블록종료],$P690),"yyyy-mm-dd hh:mm"),INDEX(상세표[블록종료],$P690)&amp;""))</f>
        <v/>
      </c>
      <c r="G690">
        <f>IF($P690="","",CHOOSE(WEEKDAY(INDEX(상세표[시작],$P690)),"일","월","화","수","목","금","토"))</f>
        <v/>
      </c>
      <c r="H690">
        <f>IF($P690="","",INDEX(상세표[연속 시간],$P690))</f>
        <v/>
      </c>
      <c r="I690">
        <f>IF($P690="","",INDEX(상세표[기록 수],$P690))</f>
        <v/>
      </c>
      <c r="J690">
        <f>IF($P690="","",INDEX(상세표[블록 06~07시],$P690))</f>
        <v/>
      </c>
      <c r="K690">
        <f>IF($P690="","",INDEX(상세표[블록 07~18시],$P690))</f>
        <v/>
      </c>
      <c r="L690">
        <f>IF($P690="","",INDEX(상세표[블록 18~22시],$P690))</f>
        <v/>
      </c>
      <c r="M690">
        <f>IF($P690="","",INDEX(상세표[블록 22~06시],$P690))</f>
        <v/>
      </c>
      <c r="N690">
        <f>IF($P690="","",INDEX(상세표[주말·휴일 포함],$P690)&amp;"")</f>
        <v/>
      </c>
      <c r="O690">
        <f>IF($P690="","",INDEX(상세표[월 넘김 포함],$P690)&amp;"")</f>
        <v/>
      </c>
      <c r="P690" s="4">
        <f>IFERROR(MATCH(685,상세표[연속순번],0),"")</f>
        <v/>
      </c>
    </row>
    <row r="691">
      <c r="A691">
        <f>IF($P691="","",INDEX(상세표[사번],$P691)&amp;"")</f>
        <v/>
      </c>
      <c r="B691">
        <f>IF($P691="","",INDEX(상세표[성명],$P691)&amp;"")</f>
        <v/>
      </c>
      <c r="C691">
        <f>IF($P691="","",INDEX(상세표[부서],$P691)&amp;"")</f>
        <v/>
      </c>
      <c r="D691">
        <f>IF($P691="","",INDEX(상세표[직위],$P691)&amp;"")</f>
        <v/>
      </c>
      <c r="E691">
        <f>IF($P691="","",IF(ISNUMBER(INDEX(상세표[시작],$P691)),TEXT(INDEX(상세표[시작],$P691),"yyyy-mm-dd hh:mm"),INDEX(상세표[시작],$P691)&amp;""))</f>
        <v/>
      </c>
      <c r="F691">
        <f>IF($P691="","",IF(ISNUMBER(INDEX(상세표[블록종료],$P691)),TEXT(INDEX(상세표[블록종료],$P691),"yyyy-mm-dd hh:mm"),INDEX(상세표[블록종료],$P691)&amp;""))</f>
        <v/>
      </c>
      <c r="G691">
        <f>IF($P691="","",CHOOSE(WEEKDAY(INDEX(상세표[시작],$P691)),"일","월","화","수","목","금","토"))</f>
        <v/>
      </c>
      <c r="H691">
        <f>IF($P691="","",INDEX(상세표[연속 시간],$P691))</f>
        <v/>
      </c>
      <c r="I691">
        <f>IF($P691="","",INDEX(상세표[기록 수],$P691))</f>
        <v/>
      </c>
      <c r="J691">
        <f>IF($P691="","",INDEX(상세표[블록 06~07시],$P691))</f>
        <v/>
      </c>
      <c r="K691">
        <f>IF($P691="","",INDEX(상세표[블록 07~18시],$P691))</f>
        <v/>
      </c>
      <c r="L691">
        <f>IF($P691="","",INDEX(상세표[블록 18~22시],$P691))</f>
        <v/>
      </c>
      <c r="M691">
        <f>IF($P691="","",INDEX(상세표[블록 22~06시],$P691))</f>
        <v/>
      </c>
      <c r="N691">
        <f>IF($P691="","",INDEX(상세표[주말·휴일 포함],$P691)&amp;"")</f>
        <v/>
      </c>
      <c r="O691">
        <f>IF($P691="","",INDEX(상세표[월 넘김 포함],$P691)&amp;"")</f>
        <v/>
      </c>
      <c r="P691" s="4">
        <f>IFERROR(MATCH(686,상세표[연속순번],0),"")</f>
        <v/>
      </c>
    </row>
    <row r="692">
      <c r="A692">
        <f>IF($P692="","",INDEX(상세표[사번],$P692)&amp;"")</f>
        <v/>
      </c>
      <c r="B692">
        <f>IF($P692="","",INDEX(상세표[성명],$P692)&amp;"")</f>
        <v/>
      </c>
      <c r="C692">
        <f>IF($P692="","",INDEX(상세표[부서],$P692)&amp;"")</f>
        <v/>
      </c>
      <c r="D692">
        <f>IF($P692="","",INDEX(상세표[직위],$P692)&amp;"")</f>
        <v/>
      </c>
      <c r="E692">
        <f>IF($P692="","",IF(ISNUMBER(INDEX(상세표[시작],$P692)),TEXT(INDEX(상세표[시작],$P692),"yyyy-mm-dd hh:mm"),INDEX(상세표[시작],$P692)&amp;""))</f>
        <v/>
      </c>
      <c r="F692">
        <f>IF($P692="","",IF(ISNUMBER(INDEX(상세표[블록종료],$P692)),TEXT(INDEX(상세표[블록종료],$P692),"yyyy-mm-dd hh:mm"),INDEX(상세표[블록종료],$P692)&amp;""))</f>
        <v/>
      </c>
      <c r="G692">
        <f>IF($P692="","",CHOOSE(WEEKDAY(INDEX(상세표[시작],$P692)),"일","월","화","수","목","금","토"))</f>
        <v/>
      </c>
      <c r="H692">
        <f>IF($P692="","",INDEX(상세표[연속 시간],$P692))</f>
        <v/>
      </c>
      <c r="I692">
        <f>IF($P692="","",INDEX(상세표[기록 수],$P692))</f>
        <v/>
      </c>
      <c r="J692">
        <f>IF($P692="","",INDEX(상세표[블록 06~07시],$P692))</f>
        <v/>
      </c>
      <c r="K692">
        <f>IF($P692="","",INDEX(상세표[블록 07~18시],$P692))</f>
        <v/>
      </c>
      <c r="L692">
        <f>IF($P692="","",INDEX(상세표[블록 18~22시],$P692))</f>
        <v/>
      </c>
      <c r="M692">
        <f>IF($P692="","",INDEX(상세표[블록 22~06시],$P692))</f>
        <v/>
      </c>
      <c r="N692">
        <f>IF($P692="","",INDEX(상세표[주말·휴일 포함],$P692)&amp;"")</f>
        <v/>
      </c>
      <c r="O692">
        <f>IF($P692="","",INDEX(상세표[월 넘김 포함],$P692)&amp;"")</f>
        <v/>
      </c>
      <c r="P692" s="4">
        <f>IFERROR(MATCH(687,상세표[연속순번],0),"")</f>
        <v/>
      </c>
    </row>
    <row r="693">
      <c r="A693">
        <f>IF($P693="","",INDEX(상세표[사번],$P693)&amp;"")</f>
        <v/>
      </c>
      <c r="B693">
        <f>IF($P693="","",INDEX(상세표[성명],$P693)&amp;"")</f>
        <v/>
      </c>
      <c r="C693">
        <f>IF($P693="","",INDEX(상세표[부서],$P693)&amp;"")</f>
        <v/>
      </c>
      <c r="D693">
        <f>IF($P693="","",INDEX(상세표[직위],$P693)&amp;"")</f>
        <v/>
      </c>
      <c r="E693">
        <f>IF($P693="","",IF(ISNUMBER(INDEX(상세표[시작],$P693)),TEXT(INDEX(상세표[시작],$P693),"yyyy-mm-dd hh:mm"),INDEX(상세표[시작],$P693)&amp;""))</f>
        <v/>
      </c>
      <c r="F693">
        <f>IF($P693="","",IF(ISNUMBER(INDEX(상세표[블록종료],$P693)),TEXT(INDEX(상세표[블록종료],$P693),"yyyy-mm-dd hh:mm"),INDEX(상세표[블록종료],$P693)&amp;""))</f>
        <v/>
      </c>
      <c r="G693">
        <f>IF($P693="","",CHOOSE(WEEKDAY(INDEX(상세표[시작],$P693)),"일","월","화","수","목","금","토"))</f>
        <v/>
      </c>
      <c r="H693">
        <f>IF($P693="","",INDEX(상세표[연속 시간],$P693))</f>
        <v/>
      </c>
      <c r="I693">
        <f>IF($P693="","",INDEX(상세표[기록 수],$P693))</f>
        <v/>
      </c>
      <c r="J693">
        <f>IF($P693="","",INDEX(상세표[블록 06~07시],$P693))</f>
        <v/>
      </c>
      <c r="K693">
        <f>IF($P693="","",INDEX(상세표[블록 07~18시],$P693))</f>
        <v/>
      </c>
      <c r="L693">
        <f>IF($P693="","",INDEX(상세표[블록 18~22시],$P693))</f>
        <v/>
      </c>
      <c r="M693">
        <f>IF($P693="","",INDEX(상세표[블록 22~06시],$P693))</f>
        <v/>
      </c>
      <c r="N693">
        <f>IF($P693="","",INDEX(상세표[주말·휴일 포함],$P693)&amp;"")</f>
        <v/>
      </c>
      <c r="O693">
        <f>IF($P693="","",INDEX(상세표[월 넘김 포함],$P693)&amp;"")</f>
        <v/>
      </c>
      <c r="P693" s="4">
        <f>IFERROR(MATCH(688,상세표[연속순번],0),"")</f>
        <v/>
      </c>
    </row>
    <row r="694">
      <c r="A694">
        <f>IF($P694="","",INDEX(상세표[사번],$P694)&amp;"")</f>
        <v/>
      </c>
      <c r="B694">
        <f>IF($P694="","",INDEX(상세표[성명],$P694)&amp;"")</f>
        <v/>
      </c>
      <c r="C694">
        <f>IF($P694="","",INDEX(상세표[부서],$P694)&amp;"")</f>
        <v/>
      </c>
      <c r="D694">
        <f>IF($P694="","",INDEX(상세표[직위],$P694)&amp;"")</f>
        <v/>
      </c>
      <c r="E694">
        <f>IF($P694="","",IF(ISNUMBER(INDEX(상세표[시작],$P694)),TEXT(INDEX(상세표[시작],$P694),"yyyy-mm-dd hh:mm"),INDEX(상세표[시작],$P694)&amp;""))</f>
        <v/>
      </c>
      <c r="F694">
        <f>IF($P694="","",IF(ISNUMBER(INDEX(상세표[블록종료],$P694)),TEXT(INDEX(상세표[블록종료],$P694),"yyyy-mm-dd hh:mm"),INDEX(상세표[블록종료],$P694)&amp;""))</f>
        <v/>
      </c>
      <c r="G694">
        <f>IF($P694="","",CHOOSE(WEEKDAY(INDEX(상세표[시작],$P694)),"일","월","화","수","목","금","토"))</f>
        <v/>
      </c>
      <c r="H694">
        <f>IF($P694="","",INDEX(상세표[연속 시간],$P694))</f>
        <v/>
      </c>
      <c r="I694">
        <f>IF($P694="","",INDEX(상세표[기록 수],$P694))</f>
        <v/>
      </c>
      <c r="J694">
        <f>IF($P694="","",INDEX(상세표[블록 06~07시],$P694))</f>
        <v/>
      </c>
      <c r="K694">
        <f>IF($P694="","",INDEX(상세표[블록 07~18시],$P694))</f>
        <v/>
      </c>
      <c r="L694">
        <f>IF($P694="","",INDEX(상세표[블록 18~22시],$P694))</f>
        <v/>
      </c>
      <c r="M694">
        <f>IF($P694="","",INDEX(상세표[블록 22~06시],$P694))</f>
        <v/>
      </c>
      <c r="N694">
        <f>IF($P694="","",INDEX(상세표[주말·휴일 포함],$P694)&amp;"")</f>
        <v/>
      </c>
      <c r="O694">
        <f>IF($P694="","",INDEX(상세표[월 넘김 포함],$P694)&amp;"")</f>
        <v/>
      </c>
      <c r="P694" s="4">
        <f>IFERROR(MATCH(689,상세표[연속순번],0),"")</f>
        <v/>
      </c>
    </row>
    <row r="695">
      <c r="A695">
        <f>IF($P695="","",INDEX(상세표[사번],$P695)&amp;"")</f>
        <v/>
      </c>
      <c r="B695">
        <f>IF($P695="","",INDEX(상세표[성명],$P695)&amp;"")</f>
        <v/>
      </c>
      <c r="C695">
        <f>IF($P695="","",INDEX(상세표[부서],$P695)&amp;"")</f>
        <v/>
      </c>
      <c r="D695">
        <f>IF($P695="","",INDEX(상세표[직위],$P695)&amp;"")</f>
        <v/>
      </c>
      <c r="E695">
        <f>IF($P695="","",IF(ISNUMBER(INDEX(상세표[시작],$P695)),TEXT(INDEX(상세표[시작],$P695),"yyyy-mm-dd hh:mm"),INDEX(상세표[시작],$P695)&amp;""))</f>
        <v/>
      </c>
      <c r="F695">
        <f>IF($P695="","",IF(ISNUMBER(INDEX(상세표[블록종료],$P695)),TEXT(INDEX(상세표[블록종료],$P695),"yyyy-mm-dd hh:mm"),INDEX(상세표[블록종료],$P695)&amp;""))</f>
        <v/>
      </c>
      <c r="G695">
        <f>IF($P695="","",CHOOSE(WEEKDAY(INDEX(상세표[시작],$P695)),"일","월","화","수","목","금","토"))</f>
        <v/>
      </c>
      <c r="H695">
        <f>IF($P695="","",INDEX(상세표[연속 시간],$P695))</f>
        <v/>
      </c>
      <c r="I695">
        <f>IF($P695="","",INDEX(상세표[기록 수],$P695))</f>
        <v/>
      </c>
      <c r="J695">
        <f>IF($P695="","",INDEX(상세표[블록 06~07시],$P695))</f>
        <v/>
      </c>
      <c r="K695">
        <f>IF($P695="","",INDEX(상세표[블록 07~18시],$P695))</f>
        <v/>
      </c>
      <c r="L695">
        <f>IF($P695="","",INDEX(상세표[블록 18~22시],$P695))</f>
        <v/>
      </c>
      <c r="M695">
        <f>IF($P695="","",INDEX(상세표[블록 22~06시],$P695))</f>
        <v/>
      </c>
      <c r="N695">
        <f>IF($P695="","",INDEX(상세표[주말·휴일 포함],$P695)&amp;"")</f>
        <v/>
      </c>
      <c r="O695">
        <f>IF($P695="","",INDEX(상세표[월 넘김 포함],$P695)&amp;"")</f>
        <v/>
      </c>
      <c r="P695" s="4">
        <f>IFERROR(MATCH(690,상세표[연속순번],0),"")</f>
        <v/>
      </c>
    </row>
    <row r="696">
      <c r="A696">
        <f>IF($P696="","",INDEX(상세표[사번],$P696)&amp;"")</f>
        <v/>
      </c>
      <c r="B696">
        <f>IF($P696="","",INDEX(상세표[성명],$P696)&amp;"")</f>
        <v/>
      </c>
      <c r="C696">
        <f>IF($P696="","",INDEX(상세표[부서],$P696)&amp;"")</f>
        <v/>
      </c>
      <c r="D696">
        <f>IF($P696="","",INDEX(상세표[직위],$P696)&amp;"")</f>
        <v/>
      </c>
      <c r="E696">
        <f>IF($P696="","",IF(ISNUMBER(INDEX(상세표[시작],$P696)),TEXT(INDEX(상세표[시작],$P696),"yyyy-mm-dd hh:mm"),INDEX(상세표[시작],$P696)&amp;""))</f>
        <v/>
      </c>
      <c r="F696">
        <f>IF($P696="","",IF(ISNUMBER(INDEX(상세표[블록종료],$P696)),TEXT(INDEX(상세표[블록종료],$P696),"yyyy-mm-dd hh:mm"),INDEX(상세표[블록종료],$P696)&amp;""))</f>
        <v/>
      </c>
      <c r="G696">
        <f>IF($P696="","",CHOOSE(WEEKDAY(INDEX(상세표[시작],$P696)),"일","월","화","수","목","금","토"))</f>
        <v/>
      </c>
      <c r="H696">
        <f>IF($P696="","",INDEX(상세표[연속 시간],$P696))</f>
        <v/>
      </c>
      <c r="I696">
        <f>IF($P696="","",INDEX(상세표[기록 수],$P696))</f>
        <v/>
      </c>
      <c r="J696">
        <f>IF($P696="","",INDEX(상세표[블록 06~07시],$P696))</f>
        <v/>
      </c>
      <c r="K696">
        <f>IF($P696="","",INDEX(상세표[블록 07~18시],$P696))</f>
        <v/>
      </c>
      <c r="L696">
        <f>IF($P696="","",INDEX(상세표[블록 18~22시],$P696))</f>
        <v/>
      </c>
      <c r="M696">
        <f>IF($P696="","",INDEX(상세표[블록 22~06시],$P696))</f>
        <v/>
      </c>
      <c r="N696">
        <f>IF($P696="","",INDEX(상세표[주말·휴일 포함],$P696)&amp;"")</f>
        <v/>
      </c>
      <c r="O696">
        <f>IF($P696="","",INDEX(상세표[월 넘김 포함],$P696)&amp;"")</f>
        <v/>
      </c>
      <c r="P696" s="4">
        <f>IFERROR(MATCH(691,상세표[연속순번],0),"")</f>
        <v/>
      </c>
    </row>
    <row r="697">
      <c r="A697">
        <f>IF($P697="","",INDEX(상세표[사번],$P697)&amp;"")</f>
        <v/>
      </c>
      <c r="B697">
        <f>IF($P697="","",INDEX(상세표[성명],$P697)&amp;"")</f>
        <v/>
      </c>
      <c r="C697">
        <f>IF($P697="","",INDEX(상세표[부서],$P697)&amp;"")</f>
        <v/>
      </c>
      <c r="D697">
        <f>IF($P697="","",INDEX(상세표[직위],$P697)&amp;"")</f>
        <v/>
      </c>
      <c r="E697">
        <f>IF($P697="","",IF(ISNUMBER(INDEX(상세표[시작],$P697)),TEXT(INDEX(상세표[시작],$P697),"yyyy-mm-dd hh:mm"),INDEX(상세표[시작],$P697)&amp;""))</f>
        <v/>
      </c>
      <c r="F697">
        <f>IF($P697="","",IF(ISNUMBER(INDEX(상세표[블록종료],$P697)),TEXT(INDEX(상세표[블록종료],$P697),"yyyy-mm-dd hh:mm"),INDEX(상세표[블록종료],$P697)&amp;""))</f>
        <v/>
      </c>
      <c r="G697">
        <f>IF($P697="","",CHOOSE(WEEKDAY(INDEX(상세표[시작],$P697)),"일","월","화","수","목","금","토"))</f>
        <v/>
      </c>
      <c r="H697">
        <f>IF($P697="","",INDEX(상세표[연속 시간],$P697))</f>
        <v/>
      </c>
      <c r="I697">
        <f>IF($P697="","",INDEX(상세표[기록 수],$P697))</f>
        <v/>
      </c>
      <c r="J697">
        <f>IF($P697="","",INDEX(상세표[블록 06~07시],$P697))</f>
        <v/>
      </c>
      <c r="K697">
        <f>IF($P697="","",INDEX(상세표[블록 07~18시],$P697))</f>
        <v/>
      </c>
      <c r="L697">
        <f>IF($P697="","",INDEX(상세표[블록 18~22시],$P697))</f>
        <v/>
      </c>
      <c r="M697">
        <f>IF($P697="","",INDEX(상세표[블록 22~06시],$P697))</f>
        <v/>
      </c>
      <c r="N697">
        <f>IF($P697="","",INDEX(상세표[주말·휴일 포함],$P697)&amp;"")</f>
        <v/>
      </c>
      <c r="O697">
        <f>IF($P697="","",INDEX(상세표[월 넘김 포함],$P697)&amp;"")</f>
        <v/>
      </c>
      <c r="P697" s="4">
        <f>IFERROR(MATCH(692,상세표[연속순번],0),"")</f>
        <v/>
      </c>
    </row>
    <row r="698">
      <c r="A698">
        <f>IF($P698="","",INDEX(상세표[사번],$P698)&amp;"")</f>
        <v/>
      </c>
      <c r="B698">
        <f>IF($P698="","",INDEX(상세표[성명],$P698)&amp;"")</f>
        <v/>
      </c>
      <c r="C698">
        <f>IF($P698="","",INDEX(상세표[부서],$P698)&amp;"")</f>
        <v/>
      </c>
      <c r="D698">
        <f>IF($P698="","",INDEX(상세표[직위],$P698)&amp;"")</f>
        <v/>
      </c>
      <c r="E698">
        <f>IF($P698="","",IF(ISNUMBER(INDEX(상세표[시작],$P698)),TEXT(INDEX(상세표[시작],$P698),"yyyy-mm-dd hh:mm"),INDEX(상세표[시작],$P698)&amp;""))</f>
        <v/>
      </c>
      <c r="F698">
        <f>IF($P698="","",IF(ISNUMBER(INDEX(상세표[블록종료],$P698)),TEXT(INDEX(상세표[블록종료],$P698),"yyyy-mm-dd hh:mm"),INDEX(상세표[블록종료],$P698)&amp;""))</f>
        <v/>
      </c>
      <c r="G698">
        <f>IF($P698="","",CHOOSE(WEEKDAY(INDEX(상세표[시작],$P698)),"일","월","화","수","목","금","토"))</f>
        <v/>
      </c>
      <c r="H698">
        <f>IF($P698="","",INDEX(상세표[연속 시간],$P698))</f>
        <v/>
      </c>
      <c r="I698">
        <f>IF($P698="","",INDEX(상세표[기록 수],$P698))</f>
        <v/>
      </c>
      <c r="J698">
        <f>IF($P698="","",INDEX(상세표[블록 06~07시],$P698))</f>
        <v/>
      </c>
      <c r="K698">
        <f>IF($P698="","",INDEX(상세표[블록 07~18시],$P698))</f>
        <v/>
      </c>
      <c r="L698">
        <f>IF($P698="","",INDEX(상세표[블록 18~22시],$P698))</f>
        <v/>
      </c>
      <c r="M698">
        <f>IF($P698="","",INDEX(상세표[블록 22~06시],$P698))</f>
        <v/>
      </c>
      <c r="N698">
        <f>IF($P698="","",INDEX(상세표[주말·휴일 포함],$P698)&amp;"")</f>
        <v/>
      </c>
      <c r="O698">
        <f>IF($P698="","",INDEX(상세표[월 넘김 포함],$P698)&amp;"")</f>
        <v/>
      </c>
      <c r="P698" s="4">
        <f>IFERROR(MATCH(693,상세표[연속순번],0),"")</f>
        <v/>
      </c>
    </row>
    <row r="699">
      <c r="A699">
        <f>IF($P699="","",INDEX(상세표[사번],$P699)&amp;"")</f>
        <v/>
      </c>
      <c r="B699">
        <f>IF($P699="","",INDEX(상세표[성명],$P699)&amp;"")</f>
        <v/>
      </c>
      <c r="C699">
        <f>IF($P699="","",INDEX(상세표[부서],$P699)&amp;"")</f>
        <v/>
      </c>
      <c r="D699">
        <f>IF($P699="","",INDEX(상세표[직위],$P699)&amp;"")</f>
        <v/>
      </c>
      <c r="E699">
        <f>IF($P699="","",IF(ISNUMBER(INDEX(상세표[시작],$P699)),TEXT(INDEX(상세표[시작],$P699),"yyyy-mm-dd hh:mm"),INDEX(상세표[시작],$P699)&amp;""))</f>
        <v/>
      </c>
      <c r="F699">
        <f>IF($P699="","",IF(ISNUMBER(INDEX(상세표[블록종료],$P699)),TEXT(INDEX(상세표[블록종료],$P699),"yyyy-mm-dd hh:mm"),INDEX(상세표[블록종료],$P699)&amp;""))</f>
        <v/>
      </c>
      <c r="G699">
        <f>IF($P699="","",CHOOSE(WEEKDAY(INDEX(상세표[시작],$P699)),"일","월","화","수","목","금","토"))</f>
        <v/>
      </c>
      <c r="H699">
        <f>IF($P699="","",INDEX(상세표[연속 시간],$P699))</f>
        <v/>
      </c>
      <c r="I699">
        <f>IF($P699="","",INDEX(상세표[기록 수],$P699))</f>
        <v/>
      </c>
      <c r="J699">
        <f>IF($P699="","",INDEX(상세표[블록 06~07시],$P699))</f>
        <v/>
      </c>
      <c r="K699">
        <f>IF($P699="","",INDEX(상세표[블록 07~18시],$P699))</f>
        <v/>
      </c>
      <c r="L699">
        <f>IF($P699="","",INDEX(상세표[블록 18~22시],$P699))</f>
        <v/>
      </c>
      <c r="M699">
        <f>IF($P699="","",INDEX(상세표[블록 22~06시],$P699))</f>
        <v/>
      </c>
      <c r="N699">
        <f>IF($P699="","",INDEX(상세표[주말·휴일 포함],$P699)&amp;"")</f>
        <v/>
      </c>
      <c r="O699">
        <f>IF($P699="","",INDEX(상세표[월 넘김 포함],$P699)&amp;"")</f>
        <v/>
      </c>
      <c r="P699" s="4">
        <f>IFERROR(MATCH(694,상세표[연속순번],0),"")</f>
        <v/>
      </c>
    </row>
    <row r="700">
      <c r="A700">
        <f>IF($P700="","",INDEX(상세표[사번],$P700)&amp;"")</f>
        <v/>
      </c>
      <c r="B700">
        <f>IF($P700="","",INDEX(상세표[성명],$P700)&amp;"")</f>
        <v/>
      </c>
      <c r="C700">
        <f>IF($P700="","",INDEX(상세표[부서],$P700)&amp;"")</f>
        <v/>
      </c>
      <c r="D700">
        <f>IF($P700="","",INDEX(상세표[직위],$P700)&amp;"")</f>
        <v/>
      </c>
      <c r="E700">
        <f>IF($P700="","",IF(ISNUMBER(INDEX(상세표[시작],$P700)),TEXT(INDEX(상세표[시작],$P700),"yyyy-mm-dd hh:mm"),INDEX(상세표[시작],$P700)&amp;""))</f>
        <v/>
      </c>
      <c r="F700">
        <f>IF($P700="","",IF(ISNUMBER(INDEX(상세표[블록종료],$P700)),TEXT(INDEX(상세표[블록종료],$P700),"yyyy-mm-dd hh:mm"),INDEX(상세표[블록종료],$P700)&amp;""))</f>
        <v/>
      </c>
      <c r="G700">
        <f>IF($P700="","",CHOOSE(WEEKDAY(INDEX(상세표[시작],$P700)),"일","월","화","수","목","금","토"))</f>
        <v/>
      </c>
      <c r="H700">
        <f>IF($P700="","",INDEX(상세표[연속 시간],$P700))</f>
        <v/>
      </c>
      <c r="I700">
        <f>IF($P700="","",INDEX(상세표[기록 수],$P700))</f>
        <v/>
      </c>
      <c r="J700">
        <f>IF($P700="","",INDEX(상세표[블록 06~07시],$P700))</f>
        <v/>
      </c>
      <c r="K700">
        <f>IF($P700="","",INDEX(상세표[블록 07~18시],$P700))</f>
        <v/>
      </c>
      <c r="L700">
        <f>IF($P700="","",INDEX(상세표[블록 18~22시],$P700))</f>
        <v/>
      </c>
      <c r="M700">
        <f>IF($P700="","",INDEX(상세표[블록 22~06시],$P700))</f>
        <v/>
      </c>
      <c r="N700">
        <f>IF($P700="","",INDEX(상세표[주말·휴일 포함],$P700)&amp;"")</f>
        <v/>
      </c>
      <c r="O700">
        <f>IF($P700="","",INDEX(상세표[월 넘김 포함],$P700)&amp;"")</f>
        <v/>
      </c>
      <c r="P700" s="4">
        <f>IFERROR(MATCH(695,상세표[연속순번],0),"")</f>
        <v/>
      </c>
    </row>
    <row r="701">
      <c r="A701">
        <f>IF($P701="","",INDEX(상세표[사번],$P701)&amp;"")</f>
        <v/>
      </c>
      <c r="B701">
        <f>IF($P701="","",INDEX(상세표[성명],$P701)&amp;"")</f>
        <v/>
      </c>
      <c r="C701">
        <f>IF($P701="","",INDEX(상세표[부서],$P701)&amp;"")</f>
        <v/>
      </c>
      <c r="D701">
        <f>IF($P701="","",INDEX(상세표[직위],$P701)&amp;"")</f>
        <v/>
      </c>
      <c r="E701">
        <f>IF($P701="","",IF(ISNUMBER(INDEX(상세표[시작],$P701)),TEXT(INDEX(상세표[시작],$P701),"yyyy-mm-dd hh:mm"),INDEX(상세표[시작],$P701)&amp;""))</f>
        <v/>
      </c>
      <c r="F701">
        <f>IF($P701="","",IF(ISNUMBER(INDEX(상세표[블록종료],$P701)),TEXT(INDEX(상세표[블록종료],$P701),"yyyy-mm-dd hh:mm"),INDEX(상세표[블록종료],$P701)&amp;""))</f>
        <v/>
      </c>
      <c r="G701">
        <f>IF($P701="","",CHOOSE(WEEKDAY(INDEX(상세표[시작],$P701)),"일","월","화","수","목","금","토"))</f>
        <v/>
      </c>
      <c r="H701">
        <f>IF($P701="","",INDEX(상세표[연속 시간],$P701))</f>
        <v/>
      </c>
      <c r="I701">
        <f>IF($P701="","",INDEX(상세표[기록 수],$P701))</f>
        <v/>
      </c>
      <c r="J701">
        <f>IF($P701="","",INDEX(상세표[블록 06~07시],$P701))</f>
        <v/>
      </c>
      <c r="K701">
        <f>IF($P701="","",INDEX(상세표[블록 07~18시],$P701))</f>
        <v/>
      </c>
      <c r="L701">
        <f>IF($P701="","",INDEX(상세표[블록 18~22시],$P701))</f>
        <v/>
      </c>
      <c r="M701">
        <f>IF($P701="","",INDEX(상세표[블록 22~06시],$P701))</f>
        <v/>
      </c>
      <c r="N701">
        <f>IF($P701="","",INDEX(상세표[주말·휴일 포함],$P701)&amp;"")</f>
        <v/>
      </c>
      <c r="O701">
        <f>IF($P701="","",INDEX(상세표[월 넘김 포함],$P701)&amp;"")</f>
        <v/>
      </c>
      <c r="P701" s="4">
        <f>IFERROR(MATCH(696,상세표[연속순번],0),"")</f>
        <v/>
      </c>
    </row>
    <row r="702">
      <c r="A702">
        <f>IF($P702="","",INDEX(상세표[사번],$P702)&amp;"")</f>
        <v/>
      </c>
      <c r="B702">
        <f>IF($P702="","",INDEX(상세표[성명],$P702)&amp;"")</f>
        <v/>
      </c>
      <c r="C702">
        <f>IF($P702="","",INDEX(상세표[부서],$P702)&amp;"")</f>
        <v/>
      </c>
      <c r="D702">
        <f>IF($P702="","",INDEX(상세표[직위],$P702)&amp;"")</f>
        <v/>
      </c>
      <c r="E702">
        <f>IF($P702="","",IF(ISNUMBER(INDEX(상세표[시작],$P702)),TEXT(INDEX(상세표[시작],$P702),"yyyy-mm-dd hh:mm"),INDEX(상세표[시작],$P702)&amp;""))</f>
        <v/>
      </c>
      <c r="F702">
        <f>IF($P702="","",IF(ISNUMBER(INDEX(상세표[블록종료],$P702)),TEXT(INDEX(상세표[블록종료],$P702),"yyyy-mm-dd hh:mm"),INDEX(상세표[블록종료],$P702)&amp;""))</f>
        <v/>
      </c>
      <c r="G702">
        <f>IF($P702="","",CHOOSE(WEEKDAY(INDEX(상세표[시작],$P702)),"일","월","화","수","목","금","토"))</f>
        <v/>
      </c>
      <c r="H702">
        <f>IF($P702="","",INDEX(상세표[연속 시간],$P702))</f>
        <v/>
      </c>
      <c r="I702">
        <f>IF($P702="","",INDEX(상세표[기록 수],$P702))</f>
        <v/>
      </c>
      <c r="J702">
        <f>IF($P702="","",INDEX(상세표[블록 06~07시],$P702))</f>
        <v/>
      </c>
      <c r="K702">
        <f>IF($P702="","",INDEX(상세표[블록 07~18시],$P702))</f>
        <v/>
      </c>
      <c r="L702">
        <f>IF($P702="","",INDEX(상세표[블록 18~22시],$P702))</f>
        <v/>
      </c>
      <c r="M702">
        <f>IF($P702="","",INDEX(상세표[블록 22~06시],$P702))</f>
        <v/>
      </c>
      <c r="N702">
        <f>IF($P702="","",INDEX(상세표[주말·휴일 포함],$P702)&amp;"")</f>
        <v/>
      </c>
      <c r="O702">
        <f>IF($P702="","",INDEX(상세표[월 넘김 포함],$P702)&amp;"")</f>
        <v/>
      </c>
      <c r="P702" s="4">
        <f>IFERROR(MATCH(697,상세표[연속순번],0),"")</f>
        <v/>
      </c>
    </row>
    <row r="703">
      <c r="A703">
        <f>IF($P703="","",INDEX(상세표[사번],$P703)&amp;"")</f>
        <v/>
      </c>
      <c r="B703">
        <f>IF($P703="","",INDEX(상세표[성명],$P703)&amp;"")</f>
        <v/>
      </c>
      <c r="C703">
        <f>IF($P703="","",INDEX(상세표[부서],$P703)&amp;"")</f>
        <v/>
      </c>
      <c r="D703">
        <f>IF($P703="","",INDEX(상세표[직위],$P703)&amp;"")</f>
        <v/>
      </c>
      <c r="E703">
        <f>IF($P703="","",IF(ISNUMBER(INDEX(상세표[시작],$P703)),TEXT(INDEX(상세표[시작],$P703),"yyyy-mm-dd hh:mm"),INDEX(상세표[시작],$P703)&amp;""))</f>
        <v/>
      </c>
      <c r="F703">
        <f>IF($P703="","",IF(ISNUMBER(INDEX(상세표[블록종료],$P703)),TEXT(INDEX(상세표[블록종료],$P703),"yyyy-mm-dd hh:mm"),INDEX(상세표[블록종료],$P703)&amp;""))</f>
        <v/>
      </c>
      <c r="G703">
        <f>IF($P703="","",CHOOSE(WEEKDAY(INDEX(상세표[시작],$P703)),"일","월","화","수","목","금","토"))</f>
        <v/>
      </c>
      <c r="H703">
        <f>IF($P703="","",INDEX(상세표[연속 시간],$P703))</f>
        <v/>
      </c>
      <c r="I703">
        <f>IF($P703="","",INDEX(상세표[기록 수],$P703))</f>
        <v/>
      </c>
      <c r="J703">
        <f>IF($P703="","",INDEX(상세표[블록 06~07시],$P703))</f>
        <v/>
      </c>
      <c r="K703">
        <f>IF($P703="","",INDEX(상세표[블록 07~18시],$P703))</f>
        <v/>
      </c>
      <c r="L703">
        <f>IF($P703="","",INDEX(상세표[블록 18~22시],$P703))</f>
        <v/>
      </c>
      <c r="M703">
        <f>IF($P703="","",INDEX(상세표[블록 22~06시],$P703))</f>
        <v/>
      </c>
      <c r="N703">
        <f>IF($P703="","",INDEX(상세표[주말·휴일 포함],$P703)&amp;"")</f>
        <v/>
      </c>
      <c r="O703">
        <f>IF($P703="","",INDEX(상세표[월 넘김 포함],$P703)&amp;"")</f>
        <v/>
      </c>
      <c r="P703" s="4">
        <f>IFERROR(MATCH(698,상세표[연속순번],0),"")</f>
        <v/>
      </c>
    </row>
    <row r="704">
      <c r="A704">
        <f>IF($P704="","",INDEX(상세표[사번],$P704)&amp;"")</f>
        <v/>
      </c>
      <c r="B704">
        <f>IF($P704="","",INDEX(상세표[성명],$P704)&amp;"")</f>
        <v/>
      </c>
      <c r="C704">
        <f>IF($P704="","",INDEX(상세표[부서],$P704)&amp;"")</f>
        <v/>
      </c>
      <c r="D704">
        <f>IF($P704="","",INDEX(상세표[직위],$P704)&amp;"")</f>
        <v/>
      </c>
      <c r="E704">
        <f>IF($P704="","",IF(ISNUMBER(INDEX(상세표[시작],$P704)),TEXT(INDEX(상세표[시작],$P704),"yyyy-mm-dd hh:mm"),INDEX(상세표[시작],$P704)&amp;""))</f>
        <v/>
      </c>
      <c r="F704">
        <f>IF($P704="","",IF(ISNUMBER(INDEX(상세표[블록종료],$P704)),TEXT(INDEX(상세표[블록종료],$P704),"yyyy-mm-dd hh:mm"),INDEX(상세표[블록종료],$P704)&amp;""))</f>
        <v/>
      </c>
      <c r="G704">
        <f>IF($P704="","",CHOOSE(WEEKDAY(INDEX(상세표[시작],$P704)),"일","월","화","수","목","금","토"))</f>
        <v/>
      </c>
      <c r="H704">
        <f>IF($P704="","",INDEX(상세표[연속 시간],$P704))</f>
        <v/>
      </c>
      <c r="I704">
        <f>IF($P704="","",INDEX(상세표[기록 수],$P704))</f>
        <v/>
      </c>
      <c r="J704">
        <f>IF($P704="","",INDEX(상세표[블록 06~07시],$P704))</f>
        <v/>
      </c>
      <c r="K704">
        <f>IF($P704="","",INDEX(상세표[블록 07~18시],$P704))</f>
        <v/>
      </c>
      <c r="L704">
        <f>IF($P704="","",INDEX(상세표[블록 18~22시],$P704))</f>
        <v/>
      </c>
      <c r="M704">
        <f>IF($P704="","",INDEX(상세표[블록 22~06시],$P704))</f>
        <v/>
      </c>
      <c r="N704">
        <f>IF($P704="","",INDEX(상세표[주말·휴일 포함],$P704)&amp;"")</f>
        <v/>
      </c>
      <c r="O704">
        <f>IF($P704="","",INDEX(상세표[월 넘김 포함],$P704)&amp;"")</f>
        <v/>
      </c>
      <c r="P704" s="4">
        <f>IFERROR(MATCH(699,상세표[연속순번],0),"")</f>
        <v/>
      </c>
    </row>
    <row r="705">
      <c r="A705">
        <f>IF($P705="","",INDEX(상세표[사번],$P705)&amp;"")</f>
        <v/>
      </c>
      <c r="B705">
        <f>IF($P705="","",INDEX(상세표[성명],$P705)&amp;"")</f>
        <v/>
      </c>
      <c r="C705">
        <f>IF($P705="","",INDEX(상세표[부서],$P705)&amp;"")</f>
        <v/>
      </c>
      <c r="D705">
        <f>IF($P705="","",INDEX(상세표[직위],$P705)&amp;"")</f>
        <v/>
      </c>
      <c r="E705">
        <f>IF($P705="","",IF(ISNUMBER(INDEX(상세표[시작],$P705)),TEXT(INDEX(상세표[시작],$P705),"yyyy-mm-dd hh:mm"),INDEX(상세표[시작],$P705)&amp;""))</f>
        <v/>
      </c>
      <c r="F705">
        <f>IF($P705="","",IF(ISNUMBER(INDEX(상세표[블록종료],$P705)),TEXT(INDEX(상세표[블록종료],$P705),"yyyy-mm-dd hh:mm"),INDEX(상세표[블록종료],$P705)&amp;""))</f>
        <v/>
      </c>
      <c r="G705">
        <f>IF($P705="","",CHOOSE(WEEKDAY(INDEX(상세표[시작],$P705)),"일","월","화","수","목","금","토"))</f>
        <v/>
      </c>
      <c r="H705">
        <f>IF($P705="","",INDEX(상세표[연속 시간],$P705))</f>
        <v/>
      </c>
      <c r="I705">
        <f>IF($P705="","",INDEX(상세표[기록 수],$P705))</f>
        <v/>
      </c>
      <c r="J705">
        <f>IF($P705="","",INDEX(상세표[블록 06~07시],$P705))</f>
        <v/>
      </c>
      <c r="K705">
        <f>IF($P705="","",INDEX(상세표[블록 07~18시],$P705))</f>
        <v/>
      </c>
      <c r="L705">
        <f>IF($P705="","",INDEX(상세표[블록 18~22시],$P705))</f>
        <v/>
      </c>
      <c r="M705">
        <f>IF($P705="","",INDEX(상세표[블록 22~06시],$P705))</f>
        <v/>
      </c>
      <c r="N705">
        <f>IF($P705="","",INDEX(상세표[주말·휴일 포함],$P705)&amp;"")</f>
        <v/>
      </c>
      <c r="O705">
        <f>IF($P705="","",INDEX(상세표[월 넘김 포함],$P705)&amp;"")</f>
        <v/>
      </c>
      <c r="P705" s="4">
        <f>IFERROR(MATCH(700,상세표[연속순번],0),"")</f>
        <v/>
      </c>
    </row>
    <row r="706">
      <c r="A706">
        <f>IF($P706="","",INDEX(상세표[사번],$P706)&amp;"")</f>
        <v/>
      </c>
      <c r="B706">
        <f>IF($P706="","",INDEX(상세표[성명],$P706)&amp;"")</f>
        <v/>
      </c>
      <c r="C706">
        <f>IF($P706="","",INDEX(상세표[부서],$P706)&amp;"")</f>
        <v/>
      </c>
      <c r="D706">
        <f>IF($P706="","",INDEX(상세표[직위],$P706)&amp;"")</f>
        <v/>
      </c>
      <c r="E706">
        <f>IF($P706="","",IF(ISNUMBER(INDEX(상세표[시작],$P706)),TEXT(INDEX(상세표[시작],$P706),"yyyy-mm-dd hh:mm"),INDEX(상세표[시작],$P706)&amp;""))</f>
        <v/>
      </c>
      <c r="F706">
        <f>IF($P706="","",IF(ISNUMBER(INDEX(상세표[블록종료],$P706)),TEXT(INDEX(상세표[블록종료],$P706),"yyyy-mm-dd hh:mm"),INDEX(상세표[블록종료],$P706)&amp;""))</f>
        <v/>
      </c>
      <c r="G706">
        <f>IF($P706="","",CHOOSE(WEEKDAY(INDEX(상세표[시작],$P706)),"일","월","화","수","목","금","토"))</f>
        <v/>
      </c>
      <c r="H706">
        <f>IF($P706="","",INDEX(상세표[연속 시간],$P706))</f>
        <v/>
      </c>
      <c r="I706">
        <f>IF($P706="","",INDEX(상세표[기록 수],$P706))</f>
        <v/>
      </c>
      <c r="J706">
        <f>IF($P706="","",INDEX(상세표[블록 06~07시],$P706))</f>
        <v/>
      </c>
      <c r="K706">
        <f>IF($P706="","",INDEX(상세표[블록 07~18시],$P706))</f>
        <v/>
      </c>
      <c r="L706">
        <f>IF($P706="","",INDEX(상세표[블록 18~22시],$P706))</f>
        <v/>
      </c>
      <c r="M706">
        <f>IF($P706="","",INDEX(상세표[블록 22~06시],$P706))</f>
        <v/>
      </c>
      <c r="N706">
        <f>IF($P706="","",INDEX(상세표[주말·휴일 포함],$P706)&amp;"")</f>
        <v/>
      </c>
      <c r="O706">
        <f>IF($P706="","",INDEX(상세표[월 넘김 포함],$P706)&amp;"")</f>
        <v/>
      </c>
      <c r="P706" s="4">
        <f>IFERROR(MATCH(701,상세표[연속순번],0),"")</f>
        <v/>
      </c>
    </row>
    <row r="707">
      <c r="A707">
        <f>IF($P707="","",INDEX(상세표[사번],$P707)&amp;"")</f>
        <v/>
      </c>
      <c r="B707">
        <f>IF($P707="","",INDEX(상세표[성명],$P707)&amp;"")</f>
        <v/>
      </c>
      <c r="C707">
        <f>IF($P707="","",INDEX(상세표[부서],$P707)&amp;"")</f>
        <v/>
      </c>
      <c r="D707">
        <f>IF($P707="","",INDEX(상세표[직위],$P707)&amp;"")</f>
        <v/>
      </c>
      <c r="E707">
        <f>IF($P707="","",IF(ISNUMBER(INDEX(상세표[시작],$P707)),TEXT(INDEX(상세표[시작],$P707),"yyyy-mm-dd hh:mm"),INDEX(상세표[시작],$P707)&amp;""))</f>
        <v/>
      </c>
      <c r="F707">
        <f>IF($P707="","",IF(ISNUMBER(INDEX(상세표[블록종료],$P707)),TEXT(INDEX(상세표[블록종료],$P707),"yyyy-mm-dd hh:mm"),INDEX(상세표[블록종료],$P707)&amp;""))</f>
        <v/>
      </c>
      <c r="G707">
        <f>IF($P707="","",CHOOSE(WEEKDAY(INDEX(상세표[시작],$P707)),"일","월","화","수","목","금","토"))</f>
        <v/>
      </c>
      <c r="H707">
        <f>IF($P707="","",INDEX(상세표[연속 시간],$P707))</f>
        <v/>
      </c>
      <c r="I707">
        <f>IF($P707="","",INDEX(상세표[기록 수],$P707))</f>
        <v/>
      </c>
      <c r="J707">
        <f>IF($P707="","",INDEX(상세표[블록 06~07시],$P707))</f>
        <v/>
      </c>
      <c r="K707">
        <f>IF($P707="","",INDEX(상세표[블록 07~18시],$P707))</f>
        <v/>
      </c>
      <c r="L707">
        <f>IF($P707="","",INDEX(상세표[블록 18~22시],$P707))</f>
        <v/>
      </c>
      <c r="M707">
        <f>IF($P707="","",INDEX(상세표[블록 22~06시],$P707))</f>
        <v/>
      </c>
      <c r="N707">
        <f>IF($P707="","",INDEX(상세표[주말·휴일 포함],$P707)&amp;"")</f>
        <v/>
      </c>
      <c r="O707">
        <f>IF($P707="","",INDEX(상세표[월 넘김 포함],$P707)&amp;"")</f>
        <v/>
      </c>
      <c r="P707" s="4">
        <f>IFERROR(MATCH(702,상세표[연속순번],0),"")</f>
        <v/>
      </c>
    </row>
    <row r="708">
      <c r="A708">
        <f>IF($P708="","",INDEX(상세표[사번],$P708)&amp;"")</f>
        <v/>
      </c>
      <c r="B708">
        <f>IF($P708="","",INDEX(상세표[성명],$P708)&amp;"")</f>
        <v/>
      </c>
      <c r="C708">
        <f>IF($P708="","",INDEX(상세표[부서],$P708)&amp;"")</f>
        <v/>
      </c>
      <c r="D708">
        <f>IF($P708="","",INDEX(상세표[직위],$P708)&amp;"")</f>
        <v/>
      </c>
      <c r="E708">
        <f>IF($P708="","",IF(ISNUMBER(INDEX(상세표[시작],$P708)),TEXT(INDEX(상세표[시작],$P708),"yyyy-mm-dd hh:mm"),INDEX(상세표[시작],$P708)&amp;""))</f>
        <v/>
      </c>
      <c r="F708">
        <f>IF($P708="","",IF(ISNUMBER(INDEX(상세표[블록종료],$P708)),TEXT(INDEX(상세표[블록종료],$P708),"yyyy-mm-dd hh:mm"),INDEX(상세표[블록종료],$P708)&amp;""))</f>
        <v/>
      </c>
      <c r="G708">
        <f>IF($P708="","",CHOOSE(WEEKDAY(INDEX(상세표[시작],$P708)),"일","월","화","수","목","금","토"))</f>
        <v/>
      </c>
      <c r="H708">
        <f>IF($P708="","",INDEX(상세표[연속 시간],$P708))</f>
        <v/>
      </c>
      <c r="I708">
        <f>IF($P708="","",INDEX(상세표[기록 수],$P708))</f>
        <v/>
      </c>
      <c r="J708">
        <f>IF($P708="","",INDEX(상세표[블록 06~07시],$P708))</f>
        <v/>
      </c>
      <c r="K708">
        <f>IF($P708="","",INDEX(상세표[블록 07~18시],$P708))</f>
        <v/>
      </c>
      <c r="L708">
        <f>IF($P708="","",INDEX(상세표[블록 18~22시],$P708))</f>
        <v/>
      </c>
      <c r="M708">
        <f>IF($P708="","",INDEX(상세표[블록 22~06시],$P708))</f>
        <v/>
      </c>
      <c r="N708">
        <f>IF($P708="","",INDEX(상세표[주말·휴일 포함],$P708)&amp;"")</f>
        <v/>
      </c>
      <c r="O708">
        <f>IF($P708="","",INDEX(상세표[월 넘김 포함],$P708)&amp;"")</f>
        <v/>
      </c>
      <c r="P708" s="4">
        <f>IFERROR(MATCH(703,상세표[연속순번],0),"")</f>
        <v/>
      </c>
    </row>
    <row r="709">
      <c r="A709">
        <f>IF($P709="","",INDEX(상세표[사번],$P709)&amp;"")</f>
        <v/>
      </c>
      <c r="B709">
        <f>IF($P709="","",INDEX(상세표[성명],$P709)&amp;"")</f>
        <v/>
      </c>
      <c r="C709">
        <f>IF($P709="","",INDEX(상세표[부서],$P709)&amp;"")</f>
        <v/>
      </c>
      <c r="D709">
        <f>IF($P709="","",INDEX(상세표[직위],$P709)&amp;"")</f>
        <v/>
      </c>
      <c r="E709">
        <f>IF($P709="","",IF(ISNUMBER(INDEX(상세표[시작],$P709)),TEXT(INDEX(상세표[시작],$P709),"yyyy-mm-dd hh:mm"),INDEX(상세표[시작],$P709)&amp;""))</f>
        <v/>
      </c>
      <c r="F709">
        <f>IF($P709="","",IF(ISNUMBER(INDEX(상세표[블록종료],$P709)),TEXT(INDEX(상세표[블록종료],$P709),"yyyy-mm-dd hh:mm"),INDEX(상세표[블록종료],$P709)&amp;""))</f>
        <v/>
      </c>
      <c r="G709">
        <f>IF($P709="","",CHOOSE(WEEKDAY(INDEX(상세표[시작],$P709)),"일","월","화","수","목","금","토"))</f>
        <v/>
      </c>
      <c r="H709">
        <f>IF($P709="","",INDEX(상세표[연속 시간],$P709))</f>
        <v/>
      </c>
      <c r="I709">
        <f>IF($P709="","",INDEX(상세표[기록 수],$P709))</f>
        <v/>
      </c>
      <c r="J709">
        <f>IF($P709="","",INDEX(상세표[블록 06~07시],$P709))</f>
        <v/>
      </c>
      <c r="K709">
        <f>IF($P709="","",INDEX(상세표[블록 07~18시],$P709))</f>
        <v/>
      </c>
      <c r="L709">
        <f>IF($P709="","",INDEX(상세표[블록 18~22시],$P709))</f>
        <v/>
      </c>
      <c r="M709">
        <f>IF($P709="","",INDEX(상세표[블록 22~06시],$P709))</f>
        <v/>
      </c>
      <c r="N709">
        <f>IF($P709="","",INDEX(상세표[주말·휴일 포함],$P709)&amp;"")</f>
        <v/>
      </c>
      <c r="O709">
        <f>IF($P709="","",INDEX(상세표[월 넘김 포함],$P709)&amp;"")</f>
        <v/>
      </c>
      <c r="P709" s="4">
        <f>IFERROR(MATCH(704,상세표[연속순번],0),"")</f>
        <v/>
      </c>
    </row>
    <row r="710">
      <c r="A710">
        <f>IF($P710="","",INDEX(상세표[사번],$P710)&amp;"")</f>
        <v/>
      </c>
      <c r="B710">
        <f>IF($P710="","",INDEX(상세표[성명],$P710)&amp;"")</f>
        <v/>
      </c>
      <c r="C710">
        <f>IF($P710="","",INDEX(상세표[부서],$P710)&amp;"")</f>
        <v/>
      </c>
      <c r="D710">
        <f>IF($P710="","",INDEX(상세표[직위],$P710)&amp;"")</f>
        <v/>
      </c>
      <c r="E710">
        <f>IF($P710="","",IF(ISNUMBER(INDEX(상세표[시작],$P710)),TEXT(INDEX(상세표[시작],$P710),"yyyy-mm-dd hh:mm"),INDEX(상세표[시작],$P710)&amp;""))</f>
        <v/>
      </c>
      <c r="F710">
        <f>IF($P710="","",IF(ISNUMBER(INDEX(상세표[블록종료],$P710)),TEXT(INDEX(상세표[블록종료],$P710),"yyyy-mm-dd hh:mm"),INDEX(상세표[블록종료],$P710)&amp;""))</f>
        <v/>
      </c>
      <c r="G710">
        <f>IF($P710="","",CHOOSE(WEEKDAY(INDEX(상세표[시작],$P710)),"일","월","화","수","목","금","토"))</f>
        <v/>
      </c>
      <c r="H710">
        <f>IF($P710="","",INDEX(상세표[연속 시간],$P710))</f>
        <v/>
      </c>
      <c r="I710">
        <f>IF($P710="","",INDEX(상세표[기록 수],$P710))</f>
        <v/>
      </c>
      <c r="J710">
        <f>IF($P710="","",INDEX(상세표[블록 06~07시],$P710))</f>
        <v/>
      </c>
      <c r="K710">
        <f>IF($P710="","",INDEX(상세표[블록 07~18시],$P710))</f>
        <v/>
      </c>
      <c r="L710">
        <f>IF($P710="","",INDEX(상세표[블록 18~22시],$P710))</f>
        <v/>
      </c>
      <c r="M710">
        <f>IF($P710="","",INDEX(상세표[블록 22~06시],$P710))</f>
        <v/>
      </c>
      <c r="N710">
        <f>IF($P710="","",INDEX(상세표[주말·휴일 포함],$P710)&amp;"")</f>
        <v/>
      </c>
      <c r="O710">
        <f>IF($P710="","",INDEX(상세표[월 넘김 포함],$P710)&amp;"")</f>
        <v/>
      </c>
      <c r="P710" s="4">
        <f>IFERROR(MATCH(705,상세표[연속순번],0),"")</f>
        <v/>
      </c>
    </row>
    <row r="711">
      <c r="A711">
        <f>IF($P711="","",INDEX(상세표[사번],$P711)&amp;"")</f>
        <v/>
      </c>
      <c r="B711">
        <f>IF($P711="","",INDEX(상세표[성명],$P711)&amp;"")</f>
        <v/>
      </c>
      <c r="C711">
        <f>IF($P711="","",INDEX(상세표[부서],$P711)&amp;"")</f>
        <v/>
      </c>
      <c r="D711">
        <f>IF($P711="","",INDEX(상세표[직위],$P711)&amp;"")</f>
        <v/>
      </c>
      <c r="E711">
        <f>IF($P711="","",IF(ISNUMBER(INDEX(상세표[시작],$P711)),TEXT(INDEX(상세표[시작],$P711),"yyyy-mm-dd hh:mm"),INDEX(상세표[시작],$P711)&amp;""))</f>
        <v/>
      </c>
      <c r="F711">
        <f>IF($P711="","",IF(ISNUMBER(INDEX(상세표[블록종료],$P711)),TEXT(INDEX(상세표[블록종료],$P711),"yyyy-mm-dd hh:mm"),INDEX(상세표[블록종료],$P711)&amp;""))</f>
        <v/>
      </c>
      <c r="G711">
        <f>IF($P711="","",CHOOSE(WEEKDAY(INDEX(상세표[시작],$P711)),"일","월","화","수","목","금","토"))</f>
        <v/>
      </c>
      <c r="H711">
        <f>IF($P711="","",INDEX(상세표[연속 시간],$P711))</f>
        <v/>
      </c>
      <c r="I711">
        <f>IF($P711="","",INDEX(상세표[기록 수],$P711))</f>
        <v/>
      </c>
      <c r="J711">
        <f>IF($P711="","",INDEX(상세표[블록 06~07시],$P711))</f>
        <v/>
      </c>
      <c r="K711">
        <f>IF($P711="","",INDEX(상세표[블록 07~18시],$P711))</f>
        <v/>
      </c>
      <c r="L711">
        <f>IF($P711="","",INDEX(상세표[블록 18~22시],$P711))</f>
        <v/>
      </c>
      <c r="M711">
        <f>IF($P711="","",INDEX(상세표[블록 22~06시],$P711))</f>
        <v/>
      </c>
      <c r="N711">
        <f>IF($P711="","",INDEX(상세표[주말·휴일 포함],$P711)&amp;"")</f>
        <v/>
      </c>
      <c r="O711">
        <f>IF($P711="","",INDEX(상세표[월 넘김 포함],$P711)&amp;"")</f>
        <v/>
      </c>
      <c r="P711" s="4">
        <f>IFERROR(MATCH(706,상세표[연속순번],0),"")</f>
        <v/>
      </c>
    </row>
    <row r="712">
      <c r="A712">
        <f>IF($P712="","",INDEX(상세표[사번],$P712)&amp;"")</f>
        <v/>
      </c>
      <c r="B712">
        <f>IF($P712="","",INDEX(상세표[성명],$P712)&amp;"")</f>
        <v/>
      </c>
      <c r="C712">
        <f>IF($P712="","",INDEX(상세표[부서],$P712)&amp;"")</f>
        <v/>
      </c>
      <c r="D712">
        <f>IF($P712="","",INDEX(상세표[직위],$P712)&amp;"")</f>
        <v/>
      </c>
      <c r="E712">
        <f>IF($P712="","",IF(ISNUMBER(INDEX(상세표[시작],$P712)),TEXT(INDEX(상세표[시작],$P712),"yyyy-mm-dd hh:mm"),INDEX(상세표[시작],$P712)&amp;""))</f>
        <v/>
      </c>
      <c r="F712">
        <f>IF($P712="","",IF(ISNUMBER(INDEX(상세표[블록종료],$P712)),TEXT(INDEX(상세표[블록종료],$P712),"yyyy-mm-dd hh:mm"),INDEX(상세표[블록종료],$P712)&amp;""))</f>
        <v/>
      </c>
      <c r="G712">
        <f>IF($P712="","",CHOOSE(WEEKDAY(INDEX(상세표[시작],$P712)),"일","월","화","수","목","금","토"))</f>
        <v/>
      </c>
      <c r="H712">
        <f>IF($P712="","",INDEX(상세표[연속 시간],$P712))</f>
        <v/>
      </c>
      <c r="I712">
        <f>IF($P712="","",INDEX(상세표[기록 수],$P712))</f>
        <v/>
      </c>
      <c r="J712">
        <f>IF($P712="","",INDEX(상세표[블록 06~07시],$P712))</f>
        <v/>
      </c>
      <c r="K712">
        <f>IF($P712="","",INDEX(상세표[블록 07~18시],$P712))</f>
        <v/>
      </c>
      <c r="L712">
        <f>IF($P712="","",INDEX(상세표[블록 18~22시],$P712))</f>
        <v/>
      </c>
      <c r="M712">
        <f>IF($P712="","",INDEX(상세표[블록 22~06시],$P712))</f>
        <v/>
      </c>
      <c r="N712">
        <f>IF($P712="","",INDEX(상세표[주말·휴일 포함],$P712)&amp;"")</f>
        <v/>
      </c>
      <c r="O712">
        <f>IF($P712="","",INDEX(상세표[월 넘김 포함],$P712)&amp;"")</f>
        <v/>
      </c>
      <c r="P712" s="4">
        <f>IFERROR(MATCH(707,상세표[연속순번],0),"")</f>
        <v/>
      </c>
    </row>
    <row r="713">
      <c r="A713">
        <f>IF($P713="","",INDEX(상세표[사번],$P713)&amp;"")</f>
        <v/>
      </c>
      <c r="B713">
        <f>IF($P713="","",INDEX(상세표[성명],$P713)&amp;"")</f>
        <v/>
      </c>
      <c r="C713">
        <f>IF($P713="","",INDEX(상세표[부서],$P713)&amp;"")</f>
        <v/>
      </c>
      <c r="D713">
        <f>IF($P713="","",INDEX(상세표[직위],$P713)&amp;"")</f>
        <v/>
      </c>
      <c r="E713">
        <f>IF($P713="","",IF(ISNUMBER(INDEX(상세표[시작],$P713)),TEXT(INDEX(상세표[시작],$P713),"yyyy-mm-dd hh:mm"),INDEX(상세표[시작],$P713)&amp;""))</f>
        <v/>
      </c>
      <c r="F713">
        <f>IF($P713="","",IF(ISNUMBER(INDEX(상세표[블록종료],$P713)),TEXT(INDEX(상세표[블록종료],$P713),"yyyy-mm-dd hh:mm"),INDEX(상세표[블록종료],$P713)&amp;""))</f>
        <v/>
      </c>
      <c r="G713">
        <f>IF($P713="","",CHOOSE(WEEKDAY(INDEX(상세표[시작],$P713)),"일","월","화","수","목","금","토"))</f>
        <v/>
      </c>
      <c r="H713">
        <f>IF($P713="","",INDEX(상세표[연속 시간],$P713))</f>
        <v/>
      </c>
      <c r="I713">
        <f>IF($P713="","",INDEX(상세표[기록 수],$P713))</f>
        <v/>
      </c>
      <c r="J713">
        <f>IF($P713="","",INDEX(상세표[블록 06~07시],$P713))</f>
        <v/>
      </c>
      <c r="K713">
        <f>IF($P713="","",INDEX(상세표[블록 07~18시],$P713))</f>
        <v/>
      </c>
      <c r="L713">
        <f>IF($P713="","",INDEX(상세표[블록 18~22시],$P713))</f>
        <v/>
      </c>
      <c r="M713">
        <f>IF($P713="","",INDEX(상세표[블록 22~06시],$P713))</f>
        <v/>
      </c>
      <c r="N713">
        <f>IF($P713="","",INDEX(상세표[주말·휴일 포함],$P713)&amp;"")</f>
        <v/>
      </c>
      <c r="O713">
        <f>IF($P713="","",INDEX(상세표[월 넘김 포함],$P713)&amp;"")</f>
        <v/>
      </c>
      <c r="P713" s="4">
        <f>IFERROR(MATCH(708,상세표[연속순번],0),"")</f>
        <v/>
      </c>
    </row>
    <row r="714">
      <c r="A714">
        <f>IF($P714="","",INDEX(상세표[사번],$P714)&amp;"")</f>
        <v/>
      </c>
      <c r="B714">
        <f>IF($P714="","",INDEX(상세표[성명],$P714)&amp;"")</f>
        <v/>
      </c>
      <c r="C714">
        <f>IF($P714="","",INDEX(상세표[부서],$P714)&amp;"")</f>
        <v/>
      </c>
      <c r="D714">
        <f>IF($P714="","",INDEX(상세표[직위],$P714)&amp;"")</f>
        <v/>
      </c>
      <c r="E714">
        <f>IF($P714="","",IF(ISNUMBER(INDEX(상세표[시작],$P714)),TEXT(INDEX(상세표[시작],$P714),"yyyy-mm-dd hh:mm"),INDEX(상세표[시작],$P714)&amp;""))</f>
        <v/>
      </c>
      <c r="F714">
        <f>IF($P714="","",IF(ISNUMBER(INDEX(상세표[블록종료],$P714)),TEXT(INDEX(상세표[블록종료],$P714),"yyyy-mm-dd hh:mm"),INDEX(상세표[블록종료],$P714)&amp;""))</f>
        <v/>
      </c>
      <c r="G714">
        <f>IF($P714="","",CHOOSE(WEEKDAY(INDEX(상세표[시작],$P714)),"일","월","화","수","목","금","토"))</f>
        <v/>
      </c>
      <c r="H714">
        <f>IF($P714="","",INDEX(상세표[연속 시간],$P714))</f>
        <v/>
      </c>
      <c r="I714">
        <f>IF($P714="","",INDEX(상세표[기록 수],$P714))</f>
        <v/>
      </c>
      <c r="J714">
        <f>IF($P714="","",INDEX(상세표[블록 06~07시],$P714))</f>
        <v/>
      </c>
      <c r="K714">
        <f>IF($P714="","",INDEX(상세표[블록 07~18시],$P714))</f>
        <v/>
      </c>
      <c r="L714">
        <f>IF($P714="","",INDEX(상세표[블록 18~22시],$P714))</f>
        <v/>
      </c>
      <c r="M714">
        <f>IF($P714="","",INDEX(상세표[블록 22~06시],$P714))</f>
        <v/>
      </c>
      <c r="N714">
        <f>IF($P714="","",INDEX(상세표[주말·휴일 포함],$P714)&amp;"")</f>
        <v/>
      </c>
      <c r="O714">
        <f>IF($P714="","",INDEX(상세표[월 넘김 포함],$P714)&amp;"")</f>
        <v/>
      </c>
      <c r="P714" s="4">
        <f>IFERROR(MATCH(709,상세표[연속순번],0),"")</f>
        <v/>
      </c>
    </row>
    <row r="715">
      <c r="A715">
        <f>IF($P715="","",INDEX(상세표[사번],$P715)&amp;"")</f>
        <v/>
      </c>
      <c r="B715">
        <f>IF($P715="","",INDEX(상세표[성명],$P715)&amp;"")</f>
        <v/>
      </c>
      <c r="C715">
        <f>IF($P715="","",INDEX(상세표[부서],$P715)&amp;"")</f>
        <v/>
      </c>
      <c r="D715">
        <f>IF($P715="","",INDEX(상세표[직위],$P715)&amp;"")</f>
        <v/>
      </c>
      <c r="E715">
        <f>IF($P715="","",IF(ISNUMBER(INDEX(상세표[시작],$P715)),TEXT(INDEX(상세표[시작],$P715),"yyyy-mm-dd hh:mm"),INDEX(상세표[시작],$P715)&amp;""))</f>
        <v/>
      </c>
      <c r="F715">
        <f>IF($P715="","",IF(ISNUMBER(INDEX(상세표[블록종료],$P715)),TEXT(INDEX(상세표[블록종료],$P715),"yyyy-mm-dd hh:mm"),INDEX(상세표[블록종료],$P715)&amp;""))</f>
        <v/>
      </c>
      <c r="G715">
        <f>IF($P715="","",CHOOSE(WEEKDAY(INDEX(상세표[시작],$P715)),"일","월","화","수","목","금","토"))</f>
        <v/>
      </c>
      <c r="H715">
        <f>IF($P715="","",INDEX(상세표[연속 시간],$P715))</f>
        <v/>
      </c>
      <c r="I715">
        <f>IF($P715="","",INDEX(상세표[기록 수],$P715))</f>
        <v/>
      </c>
      <c r="J715">
        <f>IF($P715="","",INDEX(상세표[블록 06~07시],$P715))</f>
        <v/>
      </c>
      <c r="K715">
        <f>IF($P715="","",INDEX(상세표[블록 07~18시],$P715))</f>
        <v/>
      </c>
      <c r="L715">
        <f>IF($P715="","",INDEX(상세표[블록 18~22시],$P715))</f>
        <v/>
      </c>
      <c r="M715">
        <f>IF($P715="","",INDEX(상세표[블록 22~06시],$P715))</f>
        <v/>
      </c>
      <c r="N715">
        <f>IF($P715="","",INDEX(상세표[주말·휴일 포함],$P715)&amp;"")</f>
        <v/>
      </c>
      <c r="O715">
        <f>IF($P715="","",INDEX(상세표[월 넘김 포함],$P715)&amp;"")</f>
        <v/>
      </c>
      <c r="P715" s="4">
        <f>IFERROR(MATCH(710,상세표[연속순번],0),"")</f>
        <v/>
      </c>
    </row>
    <row r="716">
      <c r="A716">
        <f>IF($P716="","",INDEX(상세표[사번],$P716)&amp;"")</f>
        <v/>
      </c>
      <c r="B716">
        <f>IF($P716="","",INDEX(상세표[성명],$P716)&amp;"")</f>
        <v/>
      </c>
      <c r="C716">
        <f>IF($P716="","",INDEX(상세표[부서],$P716)&amp;"")</f>
        <v/>
      </c>
      <c r="D716">
        <f>IF($P716="","",INDEX(상세표[직위],$P716)&amp;"")</f>
        <v/>
      </c>
      <c r="E716">
        <f>IF($P716="","",IF(ISNUMBER(INDEX(상세표[시작],$P716)),TEXT(INDEX(상세표[시작],$P716),"yyyy-mm-dd hh:mm"),INDEX(상세표[시작],$P716)&amp;""))</f>
        <v/>
      </c>
      <c r="F716">
        <f>IF($P716="","",IF(ISNUMBER(INDEX(상세표[블록종료],$P716)),TEXT(INDEX(상세표[블록종료],$P716),"yyyy-mm-dd hh:mm"),INDEX(상세표[블록종료],$P716)&amp;""))</f>
        <v/>
      </c>
      <c r="G716">
        <f>IF($P716="","",CHOOSE(WEEKDAY(INDEX(상세표[시작],$P716)),"일","월","화","수","목","금","토"))</f>
        <v/>
      </c>
      <c r="H716">
        <f>IF($P716="","",INDEX(상세표[연속 시간],$P716))</f>
        <v/>
      </c>
      <c r="I716">
        <f>IF($P716="","",INDEX(상세표[기록 수],$P716))</f>
        <v/>
      </c>
      <c r="J716">
        <f>IF($P716="","",INDEX(상세표[블록 06~07시],$P716))</f>
        <v/>
      </c>
      <c r="K716">
        <f>IF($P716="","",INDEX(상세표[블록 07~18시],$P716))</f>
        <v/>
      </c>
      <c r="L716">
        <f>IF($P716="","",INDEX(상세표[블록 18~22시],$P716))</f>
        <v/>
      </c>
      <c r="M716">
        <f>IF($P716="","",INDEX(상세표[블록 22~06시],$P716))</f>
        <v/>
      </c>
      <c r="N716">
        <f>IF($P716="","",INDEX(상세표[주말·휴일 포함],$P716)&amp;"")</f>
        <v/>
      </c>
      <c r="O716">
        <f>IF($P716="","",INDEX(상세표[월 넘김 포함],$P716)&amp;"")</f>
        <v/>
      </c>
      <c r="P716" s="4">
        <f>IFERROR(MATCH(711,상세표[연속순번],0),"")</f>
        <v/>
      </c>
    </row>
    <row r="717">
      <c r="A717">
        <f>IF($P717="","",INDEX(상세표[사번],$P717)&amp;"")</f>
        <v/>
      </c>
      <c r="B717">
        <f>IF($P717="","",INDEX(상세표[성명],$P717)&amp;"")</f>
        <v/>
      </c>
      <c r="C717">
        <f>IF($P717="","",INDEX(상세표[부서],$P717)&amp;"")</f>
        <v/>
      </c>
      <c r="D717">
        <f>IF($P717="","",INDEX(상세표[직위],$P717)&amp;"")</f>
        <v/>
      </c>
      <c r="E717">
        <f>IF($P717="","",IF(ISNUMBER(INDEX(상세표[시작],$P717)),TEXT(INDEX(상세표[시작],$P717),"yyyy-mm-dd hh:mm"),INDEX(상세표[시작],$P717)&amp;""))</f>
        <v/>
      </c>
      <c r="F717">
        <f>IF($P717="","",IF(ISNUMBER(INDEX(상세표[블록종료],$P717)),TEXT(INDEX(상세표[블록종료],$P717),"yyyy-mm-dd hh:mm"),INDEX(상세표[블록종료],$P717)&amp;""))</f>
        <v/>
      </c>
      <c r="G717">
        <f>IF($P717="","",CHOOSE(WEEKDAY(INDEX(상세표[시작],$P717)),"일","월","화","수","목","금","토"))</f>
        <v/>
      </c>
      <c r="H717">
        <f>IF($P717="","",INDEX(상세표[연속 시간],$P717))</f>
        <v/>
      </c>
      <c r="I717">
        <f>IF($P717="","",INDEX(상세표[기록 수],$P717))</f>
        <v/>
      </c>
      <c r="J717">
        <f>IF($P717="","",INDEX(상세표[블록 06~07시],$P717))</f>
        <v/>
      </c>
      <c r="K717">
        <f>IF($P717="","",INDEX(상세표[블록 07~18시],$P717))</f>
        <v/>
      </c>
      <c r="L717">
        <f>IF($P717="","",INDEX(상세표[블록 18~22시],$P717))</f>
        <v/>
      </c>
      <c r="M717">
        <f>IF($P717="","",INDEX(상세표[블록 22~06시],$P717))</f>
        <v/>
      </c>
      <c r="N717">
        <f>IF($P717="","",INDEX(상세표[주말·휴일 포함],$P717)&amp;"")</f>
        <v/>
      </c>
      <c r="O717">
        <f>IF($P717="","",INDEX(상세표[월 넘김 포함],$P717)&amp;"")</f>
        <v/>
      </c>
      <c r="P717" s="4">
        <f>IFERROR(MATCH(712,상세표[연속순번],0),"")</f>
        <v/>
      </c>
    </row>
    <row r="718">
      <c r="A718">
        <f>IF($P718="","",INDEX(상세표[사번],$P718)&amp;"")</f>
        <v/>
      </c>
      <c r="B718">
        <f>IF($P718="","",INDEX(상세표[성명],$P718)&amp;"")</f>
        <v/>
      </c>
      <c r="C718">
        <f>IF($P718="","",INDEX(상세표[부서],$P718)&amp;"")</f>
        <v/>
      </c>
      <c r="D718">
        <f>IF($P718="","",INDEX(상세표[직위],$P718)&amp;"")</f>
        <v/>
      </c>
      <c r="E718">
        <f>IF($P718="","",IF(ISNUMBER(INDEX(상세표[시작],$P718)),TEXT(INDEX(상세표[시작],$P718),"yyyy-mm-dd hh:mm"),INDEX(상세표[시작],$P718)&amp;""))</f>
        <v/>
      </c>
      <c r="F718">
        <f>IF($P718="","",IF(ISNUMBER(INDEX(상세표[블록종료],$P718)),TEXT(INDEX(상세표[블록종료],$P718),"yyyy-mm-dd hh:mm"),INDEX(상세표[블록종료],$P718)&amp;""))</f>
        <v/>
      </c>
      <c r="G718">
        <f>IF($P718="","",CHOOSE(WEEKDAY(INDEX(상세표[시작],$P718)),"일","월","화","수","목","금","토"))</f>
        <v/>
      </c>
      <c r="H718">
        <f>IF($P718="","",INDEX(상세표[연속 시간],$P718))</f>
        <v/>
      </c>
      <c r="I718">
        <f>IF($P718="","",INDEX(상세표[기록 수],$P718))</f>
        <v/>
      </c>
      <c r="J718">
        <f>IF($P718="","",INDEX(상세표[블록 06~07시],$P718))</f>
        <v/>
      </c>
      <c r="K718">
        <f>IF($P718="","",INDEX(상세표[블록 07~18시],$P718))</f>
        <v/>
      </c>
      <c r="L718">
        <f>IF($P718="","",INDEX(상세표[블록 18~22시],$P718))</f>
        <v/>
      </c>
      <c r="M718">
        <f>IF($P718="","",INDEX(상세표[블록 22~06시],$P718))</f>
        <v/>
      </c>
      <c r="N718">
        <f>IF($P718="","",INDEX(상세표[주말·휴일 포함],$P718)&amp;"")</f>
        <v/>
      </c>
      <c r="O718">
        <f>IF($P718="","",INDEX(상세표[월 넘김 포함],$P718)&amp;"")</f>
        <v/>
      </c>
      <c r="P718" s="4">
        <f>IFERROR(MATCH(713,상세표[연속순번],0),"")</f>
        <v/>
      </c>
    </row>
    <row r="719">
      <c r="A719">
        <f>IF($P719="","",INDEX(상세표[사번],$P719)&amp;"")</f>
        <v/>
      </c>
      <c r="B719">
        <f>IF($P719="","",INDEX(상세표[성명],$P719)&amp;"")</f>
        <v/>
      </c>
      <c r="C719">
        <f>IF($P719="","",INDEX(상세표[부서],$P719)&amp;"")</f>
        <v/>
      </c>
      <c r="D719">
        <f>IF($P719="","",INDEX(상세표[직위],$P719)&amp;"")</f>
        <v/>
      </c>
      <c r="E719">
        <f>IF($P719="","",IF(ISNUMBER(INDEX(상세표[시작],$P719)),TEXT(INDEX(상세표[시작],$P719),"yyyy-mm-dd hh:mm"),INDEX(상세표[시작],$P719)&amp;""))</f>
        <v/>
      </c>
      <c r="F719">
        <f>IF($P719="","",IF(ISNUMBER(INDEX(상세표[블록종료],$P719)),TEXT(INDEX(상세표[블록종료],$P719),"yyyy-mm-dd hh:mm"),INDEX(상세표[블록종료],$P719)&amp;""))</f>
        <v/>
      </c>
      <c r="G719">
        <f>IF($P719="","",CHOOSE(WEEKDAY(INDEX(상세표[시작],$P719)),"일","월","화","수","목","금","토"))</f>
        <v/>
      </c>
      <c r="H719">
        <f>IF($P719="","",INDEX(상세표[연속 시간],$P719))</f>
        <v/>
      </c>
      <c r="I719">
        <f>IF($P719="","",INDEX(상세표[기록 수],$P719))</f>
        <v/>
      </c>
      <c r="J719">
        <f>IF($P719="","",INDEX(상세표[블록 06~07시],$P719))</f>
        <v/>
      </c>
      <c r="K719">
        <f>IF($P719="","",INDEX(상세표[블록 07~18시],$P719))</f>
        <v/>
      </c>
      <c r="L719">
        <f>IF($P719="","",INDEX(상세표[블록 18~22시],$P719))</f>
        <v/>
      </c>
      <c r="M719">
        <f>IF($P719="","",INDEX(상세표[블록 22~06시],$P719))</f>
        <v/>
      </c>
      <c r="N719">
        <f>IF($P719="","",INDEX(상세표[주말·휴일 포함],$P719)&amp;"")</f>
        <v/>
      </c>
      <c r="O719">
        <f>IF($P719="","",INDEX(상세표[월 넘김 포함],$P719)&amp;"")</f>
        <v/>
      </c>
      <c r="P719" s="4">
        <f>IFERROR(MATCH(714,상세표[연속순번],0),"")</f>
        <v/>
      </c>
    </row>
    <row r="720">
      <c r="A720">
        <f>IF($P720="","",INDEX(상세표[사번],$P720)&amp;"")</f>
        <v/>
      </c>
      <c r="B720">
        <f>IF($P720="","",INDEX(상세표[성명],$P720)&amp;"")</f>
        <v/>
      </c>
      <c r="C720">
        <f>IF($P720="","",INDEX(상세표[부서],$P720)&amp;"")</f>
        <v/>
      </c>
      <c r="D720">
        <f>IF($P720="","",INDEX(상세표[직위],$P720)&amp;"")</f>
        <v/>
      </c>
      <c r="E720">
        <f>IF($P720="","",IF(ISNUMBER(INDEX(상세표[시작],$P720)),TEXT(INDEX(상세표[시작],$P720),"yyyy-mm-dd hh:mm"),INDEX(상세표[시작],$P720)&amp;""))</f>
        <v/>
      </c>
      <c r="F720">
        <f>IF($P720="","",IF(ISNUMBER(INDEX(상세표[블록종료],$P720)),TEXT(INDEX(상세표[블록종료],$P720),"yyyy-mm-dd hh:mm"),INDEX(상세표[블록종료],$P720)&amp;""))</f>
        <v/>
      </c>
      <c r="G720">
        <f>IF($P720="","",CHOOSE(WEEKDAY(INDEX(상세표[시작],$P720)),"일","월","화","수","목","금","토"))</f>
        <v/>
      </c>
      <c r="H720">
        <f>IF($P720="","",INDEX(상세표[연속 시간],$P720))</f>
        <v/>
      </c>
      <c r="I720">
        <f>IF($P720="","",INDEX(상세표[기록 수],$P720))</f>
        <v/>
      </c>
      <c r="J720">
        <f>IF($P720="","",INDEX(상세표[블록 06~07시],$P720))</f>
        <v/>
      </c>
      <c r="K720">
        <f>IF($P720="","",INDEX(상세표[블록 07~18시],$P720))</f>
        <v/>
      </c>
      <c r="L720">
        <f>IF($P720="","",INDEX(상세표[블록 18~22시],$P720))</f>
        <v/>
      </c>
      <c r="M720">
        <f>IF($P720="","",INDEX(상세표[블록 22~06시],$P720))</f>
        <v/>
      </c>
      <c r="N720">
        <f>IF($P720="","",INDEX(상세표[주말·휴일 포함],$P720)&amp;"")</f>
        <v/>
      </c>
      <c r="O720">
        <f>IF($P720="","",INDEX(상세표[월 넘김 포함],$P720)&amp;"")</f>
        <v/>
      </c>
      <c r="P720" s="4">
        <f>IFERROR(MATCH(715,상세표[연속순번],0),"")</f>
        <v/>
      </c>
    </row>
    <row r="721">
      <c r="A721">
        <f>IF($P721="","",INDEX(상세표[사번],$P721)&amp;"")</f>
        <v/>
      </c>
      <c r="B721">
        <f>IF($P721="","",INDEX(상세표[성명],$P721)&amp;"")</f>
        <v/>
      </c>
      <c r="C721">
        <f>IF($P721="","",INDEX(상세표[부서],$P721)&amp;"")</f>
        <v/>
      </c>
      <c r="D721">
        <f>IF($P721="","",INDEX(상세표[직위],$P721)&amp;"")</f>
        <v/>
      </c>
      <c r="E721">
        <f>IF($P721="","",IF(ISNUMBER(INDEX(상세표[시작],$P721)),TEXT(INDEX(상세표[시작],$P721),"yyyy-mm-dd hh:mm"),INDEX(상세표[시작],$P721)&amp;""))</f>
        <v/>
      </c>
      <c r="F721">
        <f>IF($P721="","",IF(ISNUMBER(INDEX(상세표[블록종료],$P721)),TEXT(INDEX(상세표[블록종료],$P721),"yyyy-mm-dd hh:mm"),INDEX(상세표[블록종료],$P721)&amp;""))</f>
        <v/>
      </c>
      <c r="G721">
        <f>IF($P721="","",CHOOSE(WEEKDAY(INDEX(상세표[시작],$P721)),"일","월","화","수","목","금","토"))</f>
        <v/>
      </c>
      <c r="H721">
        <f>IF($P721="","",INDEX(상세표[연속 시간],$P721))</f>
        <v/>
      </c>
      <c r="I721">
        <f>IF($P721="","",INDEX(상세표[기록 수],$P721))</f>
        <v/>
      </c>
      <c r="J721">
        <f>IF($P721="","",INDEX(상세표[블록 06~07시],$P721))</f>
        <v/>
      </c>
      <c r="K721">
        <f>IF($P721="","",INDEX(상세표[블록 07~18시],$P721))</f>
        <v/>
      </c>
      <c r="L721">
        <f>IF($P721="","",INDEX(상세표[블록 18~22시],$P721))</f>
        <v/>
      </c>
      <c r="M721">
        <f>IF($P721="","",INDEX(상세표[블록 22~06시],$P721))</f>
        <v/>
      </c>
      <c r="N721">
        <f>IF($P721="","",INDEX(상세표[주말·휴일 포함],$P721)&amp;"")</f>
        <v/>
      </c>
      <c r="O721">
        <f>IF($P721="","",INDEX(상세표[월 넘김 포함],$P721)&amp;"")</f>
        <v/>
      </c>
      <c r="P721" s="4">
        <f>IFERROR(MATCH(716,상세표[연속순번],0),"")</f>
        <v/>
      </c>
    </row>
    <row r="722">
      <c r="A722">
        <f>IF($P722="","",INDEX(상세표[사번],$P722)&amp;"")</f>
        <v/>
      </c>
      <c r="B722">
        <f>IF($P722="","",INDEX(상세표[성명],$P722)&amp;"")</f>
        <v/>
      </c>
      <c r="C722">
        <f>IF($P722="","",INDEX(상세표[부서],$P722)&amp;"")</f>
        <v/>
      </c>
      <c r="D722">
        <f>IF($P722="","",INDEX(상세표[직위],$P722)&amp;"")</f>
        <v/>
      </c>
      <c r="E722">
        <f>IF($P722="","",IF(ISNUMBER(INDEX(상세표[시작],$P722)),TEXT(INDEX(상세표[시작],$P722),"yyyy-mm-dd hh:mm"),INDEX(상세표[시작],$P722)&amp;""))</f>
        <v/>
      </c>
      <c r="F722">
        <f>IF($P722="","",IF(ISNUMBER(INDEX(상세표[블록종료],$P722)),TEXT(INDEX(상세표[블록종료],$P722),"yyyy-mm-dd hh:mm"),INDEX(상세표[블록종료],$P722)&amp;""))</f>
        <v/>
      </c>
      <c r="G722">
        <f>IF($P722="","",CHOOSE(WEEKDAY(INDEX(상세표[시작],$P722)),"일","월","화","수","목","금","토"))</f>
        <v/>
      </c>
      <c r="H722">
        <f>IF($P722="","",INDEX(상세표[연속 시간],$P722))</f>
        <v/>
      </c>
      <c r="I722">
        <f>IF($P722="","",INDEX(상세표[기록 수],$P722))</f>
        <v/>
      </c>
      <c r="J722">
        <f>IF($P722="","",INDEX(상세표[블록 06~07시],$P722))</f>
        <v/>
      </c>
      <c r="K722">
        <f>IF($P722="","",INDEX(상세표[블록 07~18시],$P722))</f>
        <v/>
      </c>
      <c r="L722">
        <f>IF($P722="","",INDEX(상세표[블록 18~22시],$P722))</f>
        <v/>
      </c>
      <c r="M722">
        <f>IF($P722="","",INDEX(상세표[블록 22~06시],$P722))</f>
        <v/>
      </c>
      <c r="N722">
        <f>IF($P722="","",INDEX(상세표[주말·휴일 포함],$P722)&amp;"")</f>
        <v/>
      </c>
      <c r="O722">
        <f>IF($P722="","",INDEX(상세표[월 넘김 포함],$P722)&amp;"")</f>
        <v/>
      </c>
      <c r="P722" s="4">
        <f>IFERROR(MATCH(717,상세표[연속순번],0),"")</f>
        <v/>
      </c>
    </row>
    <row r="723">
      <c r="A723">
        <f>IF($P723="","",INDEX(상세표[사번],$P723)&amp;"")</f>
        <v/>
      </c>
      <c r="B723">
        <f>IF($P723="","",INDEX(상세표[성명],$P723)&amp;"")</f>
        <v/>
      </c>
      <c r="C723">
        <f>IF($P723="","",INDEX(상세표[부서],$P723)&amp;"")</f>
        <v/>
      </c>
      <c r="D723">
        <f>IF($P723="","",INDEX(상세표[직위],$P723)&amp;"")</f>
        <v/>
      </c>
      <c r="E723">
        <f>IF($P723="","",IF(ISNUMBER(INDEX(상세표[시작],$P723)),TEXT(INDEX(상세표[시작],$P723),"yyyy-mm-dd hh:mm"),INDEX(상세표[시작],$P723)&amp;""))</f>
        <v/>
      </c>
      <c r="F723">
        <f>IF($P723="","",IF(ISNUMBER(INDEX(상세표[블록종료],$P723)),TEXT(INDEX(상세표[블록종료],$P723),"yyyy-mm-dd hh:mm"),INDEX(상세표[블록종료],$P723)&amp;""))</f>
        <v/>
      </c>
      <c r="G723">
        <f>IF($P723="","",CHOOSE(WEEKDAY(INDEX(상세표[시작],$P723)),"일","월","화","수","목","금","토"))</f>
        <v/>
      </c>
      <c r="H723">
        <f>IF($P723="","",INDEX(상세표[연속 시간],$P723))</f>
        <v/>
      </c>
      <c r="I723">
        <f>IF($P723="","",INDEX(상세표[기록 수],$P723))</f>
        <v/>
      </c>
      <c r="J723">
        <f>IF($P723="","",INDEX(상세표[블록 06~07시],$P723))</f>
        <v/>
      </c>
      <c r="K723">
        <f>IF($P723="","",INDEX(상세표[블록 07~18시],$P723))</f>
        <v/>
      </c>
      <c r="L723">
        <f>IF($P723="","",INDEX(상세표[블록 18~22시],$P723))</f>
        <v/>
      </c>
      <c r="M723">
        <f>IF($P723="","",INDEX(상세표[블록 22~06시],$P723))</f>
        <v/>
      </c>
      <c r="N723">
        <f>IF($P723="","",INDEX(상세표[주말·휴일 포함],$P723)&amp;"")</f>
        <v/>
      </c>
      <c r="O723">
        <f>IF($P723="","",INDEX(상세표[월 넘김 포함],$P723)&amp;"")</f>
        <v/>
      </c>
      <c r="P723" s="4">
        <f>IFERROR(MATCH(718,상세표[연속순번],0),"")</f>
        <v/>
      </c>
    </row>
    <row r="724">
      <c r="A724">
        <f>IF($P724="","",INDEX(상세표[사번],$P724)&amp;"")</f>
        <v/>
      </c>
      <c r="B724">
        <f>IF($P724="","",INDEX(상세표[성명],$P724)&amp;"")</f>
        <v/>
      </c>
      <c r="C724">
        <f>IF($P724="","",INDEX(상세표[부서],$P724)&amp;"")</f>
        <v/>
      </c>
      <c r="D724">
        <f>IF($P724="","",INDEX(상세표[직위],$P724)&amp;"")</f>
        <v/>
      </c>
      <c r="E724">
        <f>IF($P724="","",IF(ISNUMBER(INDEX(상세표[시작],$P724)),TEXT(INDEX(상세표[시작],$P724),"yyyy-mm-dd hh:mm"),INDEX(상세표[시작],$P724)&amp;""))</f>
        <v/>
      </c>
      <c r="F724">
        <f>IF($P724="","",IF(ISNUMBER(INDEX(상세표[블록종료],$P724)),TEXT(INDEX(상세표[블록종료],$P724),"yyyy-mm-dd hh:mm"),INDEX(상세표[블록종료],$P724)&amp;""))</f>
        <v/>
      </c>
      <c r="G724">
        <f>IF($P724="","",CHOOSE(WEEKDAY(INDEX(상세표[시작],$P724)),"일","월","화","수","목","금","토"))</f>
        <v/>
      </c>
      <c r="H724">
        <f>IF($P724="","",INDEX(상세표[연속 시간],$P724))</f>
        <v/>
      </c>
      <c r="I724">
        <f>IF($P724="","",INDEX(상세표[기록 수],$P724))</f>
        <v/>
      </c>
      <c r="J724">
        <f>IF($P724="","",INDEX(상세표[블록 06~07시],$P724))</f>
        <v/>
      </c>
      <c r="K724">
        <f>IF($P724="","",INDEX(상세표[블록 07~18시],$P724))</f>
        <v/>
      </c>
      <c r="L724">
        <f>IF($P724="","",INDEX(상세표[블록 18~22시],$P724))</f>
        <v/>
      </c>
      <c r="M724">
        <f>IF($P724="","",INDEX(상세표[블록 22~06시],$P724))</f>
        <v/>
      </c>
      <c r="N724">
        <f>IF($P724="","",INDEX(상세표[주말·휴일 포함],$P724)&amp;"")</f>
        <v/>
      </c>
      <c r="O724">
        <f>IF($P724="","",INDEX(상세표[월 넘김 포함],$P724)&amp;"")</f>
        <v/>
      </c>
      <c r="P724" s="4">
        <f>IFERROR(MATCH(719,상세표[연속순번],0),"")</f>
        <v/>
      </c>
    </row>
    <row r="725">
      <c r="A725">
        <f>IF($P725="","",INDEX(상세표[사번],$P725)&amp;"")</f>
        <v/>
      </c>
      <c r="B725">
        <f>IF($P725="","",INDEX(상세표[성명],$P725)&amp;"")</f>
        <v/>
      </c>
      <c r="C725">
        <f>IF($P725="","",INDEX(상세표[부서],$P725)&amp;"")</f>
        <v/>
      </c>
      <c r="D725">
        <f>IF($P725="","",INDEX(상세표[직위],$P725)&amp;"")</f>
        <v/>
      </c>
      <c r="E725">
        <f>IF($P725="","",IF(ISNUMBER(INDEX(상세표[시작],$P725)),TEXT(INDEX(상세표[시작],$P725),"yyyy-mm-dd hh:mm"),INDEX(상세표[시작],$P725)&amp;""))</f>
        <v/>
      </c>
      <c r="F725">
        <f>IF($P725="","",IF(ISNUMBER(INDEX(상세표[블록종료],$P725)),TEXT(INDEX(상세표[블록종료],$P725),"yyyy-mm-dd hh:mm"),INDEX(상세표[블록종료],$P725)&amp;""))</f>
        <v/>
      </c>
      <c r="G725">
        <f>IF($P725="","",CHOOSE(WEEKDAY(INDEX(상세표[시작],$P725)),"일","월","화","수","목","금","토"))</f>
        <v/>
      </c>
      <c r="H725">
        <f>IF($P725="","",INDEX(상세표[연속 시간],$P725))</f>
        <v/>
      </c>
      <c r="I725">
        <f>IF($P725="","",INDEX(상세표[기록 수],$P725))</f>
        <v/>
      </c>
      <c r="J725">
        <f>IF($P725="","",INDEX(상세표[블록 06~07시],$P725))</f>
        <v/>
      </c>
      <c r="K725">
        <f>IF($P725="","",INDEX(상세표[블록 07~18시],$P725))</f>
        <v/>
      </c>
      <c r="L725">
        <f>IF($P725="","",INDEX(상세표[블록 18~22시],$P725))</f>
        <v/>
      </c>
      <c r="M725">
        <f>IF($P725="","",INDEX(상세표[블록 22~06시],$P725))</f>
        <v/>
      </c>
      <c r="N725">
        <f>IF($P725="","",INDEX(상세표[주말·휴일 포함],$P725)&amp;"")</f>
        <v/>
      </c>
      <c r="O725">
        <f>IF($P725="","",INDEX(상세표[월 넘김 포함],$P725)&amp;"")</f>
        <v/>
      </c>
      <c r="P725" s="4">
        <f>IFERROR(MATCH(720,상세표[연속순번],0),"")</f>
        <v/>
      </c>
    </row>
    <row r="726">
      <c r="A726">
        <f>IF($P726="","",INDEX(상세표[사번],$P726)&amp;"")</f>
        <v/>
      </c>
      <c r="B726">
        <f>IF($P726="","",INDEX(상세표[성명],$P726)&amp;"")</f>
        <v/>
      </c>
      <c r="C726">
        <f>IF($P726="","",INDEX(상세표[부서],$P726)&amp;"")</f>
        <v/>
      </c>
      <c r="D726">
        <f>IF($P726="","",INDEX(상세표[직위],$P726)&amp;"")</f>
        <v/>
      </c>
      <c r="E726">
        <f>IF($P726="","",IF(ISNUMBER(INDEX(상세표[시작],$P726)),TEXT(INDEX(상세표[시작],$P726),"yyyy-mm-dd hh:mm"),INDEX(상세표[시작],$P726)&amp;""))</f>
        <v/>
      </c>
      <c r="F726">
        <f>IF($P726="","",IF(ISNUMBER(INDEX(상세표[블록종료],$P726)),TEXT(INDEX(상세표[블록종료],$P726),"yyyy-mm-dd hh:mm"),INDEX(상세표[블록종료],$P726)&amp;""))</f>
        <v/>
      </c>
      <c r="G726">
        <f>IF($P726="","",CHOOSE(WEEKDAY(INDEX(상세표[시작],$P726)),"일","월","화","수","목","금","토"))</f>
        <v/>
      </c>
      <c r="H726">
        <f>IF($P726="","",INDEX(상세표[연속 시간],$P726))</f>
        <v/>
      </c>
      <c r="I726">
        <f>IF($P726="","",INDEX(상세표[기록 수],$P726))</f>
        <v/>
      </c>
      <c r="J726">
        <f>IF($P726="","",INDEX(상세표[블록 06~07시],$P726))</f>
        <v/>
      </c>
      <c r="K726">
        <f>IF($P726="","",INDEX(상세표[블록 07~18시],$P726))</f>
        <v/>
      </c>
      <c r="L726">
        <f>IF($P726="","",INDEX(상세표[블록 18~22시],$P726))</f>
        <v/>
      </c>
      <c r="M726">
        <f>IF($P726="","",INDEX(상세표[블록 22~06시],$P726))</f>
        <v/>
      </c>
      <c r="N726">
        <f>IF($P726="","",INDEX(상세표[주말·휴일 포함],$P726)&amp;"")</f>
        <v/>
      </c>
      <c r="O726">
        <f>IF($P726="","",INDEX(상세표[월 넘김 포함],$P726)&amp;"")</f>
        <v/>
      </c>
      <c r="P726" s="4">
        <f>IFERROR(MATCH(721,상세표[연속순번],0),"")</f>
        <v/>
      </c>
    </row>
    <row r="727">
      <c r="A727">
        <f>IF($P727="","",INDEX(상세표[사번],$P727)&amp;"")</f>
        <v/>
      </c>
      <c r="B727">
        <f>IF($P727="","",INDEX(상세표[성명],$P727)&amp;"")</f>
        <v/>
      </c>
      <c r="C727">
        <f>IF($P727="","",INDEX(상세표[부서],$P727)&amp;"")</f>
        <v/>
      </c>
      <c r="D727">
        <f>IF($P727="","",INDEX(상세표[직위],$P727)&amp;"")</f>
        <v/>
      </c>
      <c r="E727">
        <f>IF($P727="","",IF(ISNUMBER(INDEX(상세표[시작],$P727)),TEXT(INDEX(상세표[시작],$P727),"yyyy-mm-dd hh:mm"),INDEX(상세표[시작],$P727)&amp;""))</f>
        <v/>
      </c>
      <c r="F727">
        <f>IF($P727="","",IF(ISNUMBER(INDEX(상세표[블록종료],$P727)),TEXT(INDEX(상세표[블록종료],$P727),"yyyy-mm-dd hh:mm"),INDEX(상세표[블록종료],$P727)&amp;""))</f>
        <v/>
      </c>
      <c r="G727">
        <f>IF($P727="","",CHOOSE(WEEKDAY(INDEX(상세표[시작],$P727)),"일","월","화","수","목","금","토"))</f>
        <v/>
      </c>
      <c r="H727">
        <f>IF($P727="","",INDEX(상세표[연속 시간],$P727))</f>
        <v/>
      </c>
      <c r="I727">
        <f>IF($P727="","",INDEX(상세표[기록 수],$P727))</f>
        <v/>
      </c>
      <c r="J727">
        <f>IF($P727="","",INDEX(상세표[블록 06~07시],$P727))</f>
        <v/>
      </c>
      <c r="K727">
        <f>IF($P727="","",INDEX(상세표[블록 07~18시],$P727))</f>
        <v/>
      </c>
      <c r="L727">
        <f>IF($P727="","",INDEX(상세표[블록 18~22시],$P727))</f>
        <v/>
      </c>
      <c r="M727">
        <f>IF($P727="","",INDEX(상세표[블록 22~06시],$P727))</f>
        <v/>
      </c>
      <c r="N727">
        <f>IF($P727="","",INDEX(상세표[주말·휴일 포함],$P727)&amp;"")</f>
        <v/>
      </c>
      <c r="O727">
        <f>IF($P727="","",INDEX(상세표[월 넘김 포함],$P727)&amp;"")</f>
        <v/>
      </c>
      <c r="P727" s="4">
        <f>IFERROR(MATCH(722,상세표[연속순번],0),"")</f>
        <v/>
      </c>
    </row>
    <row r="728">
      <c r="A728">
        <f>IF($P728="","",INDEX(상세표[사번],$P728)&amp;"")</f>
        <v/>
      </c>
      <c r="B728">
        <f>IF($P728="","",INDEX(상세표[성명],$P728)&amp;"")</f>
        <v/>
      </c>
      <c r="C728">
        <f>IF($P728="","",INDEX(상세표[부서],$P728)&amp;"")</f>
        <v/>
      </c>
      <c r="D728">
        <f>IF($P728="","",INDEX(상세표[직위],$P728)&amp;"")</f>
        <v/>
      </c>
      <c r="E728">
        <f>IF($P728="","",IF(ISNUMBER(INDEX(상세표[시작],$P728)),TEXT(INDEX(상세표[시작],$P728),"yyyy-mm-dd hh:mm"),INDEX(상세표[시작],$P728)&amp;""))</f>
        <v/>
      </c>
      <c r="F728">
        <f>IF($P728="","",IF(ISNUMBER(INDEX(상세표[블록종료],$P728)),TEXT(INDEX(상세표[블록종료],$P728),"yyyy-mm-dd hh:mm"),INDEX(상세표[블록종료],$P728)&amp;""))</f>
        <v/>
      </c>
      <c r="G728">
        <f>IF($P728="","",CHOOSE(WEEKDAY(INDEX(상세표[시작],$P728)),"일","월","화","수","목","금","토"))</f>
        <v/>
      </c>
      <c r="H728">
        <f>IF($P728="","",INDEX(상세표[연속 시간],$P728))</f>
        <v/>
      </c>
      <c r="I728">
        <f>IF($P728="","",INDEX(상세표[기록 수],$P728))</f>
        <v/>
      </c>
      <c r="J728">
        <f>IF($P728="","",INDEX(상세표[블록 06~07시],$P728))</f>
        <v/>
      </c>
      <c r="K728">
        <f>IF($P728="","",INDEX(상세표[블록 07~18시],$P728))</f>
        <v/>
      </c>
      <c r="L728">
        <f>IF($P728="","",INDEX(상세표[블록 18~22시],$P728))</f>
        <v/>
      </c>
      <c r="M728">
        <f>IF($P728="","",INDEX(상세표[블록 22~06시],$P728))</f>
        <v/>
      </c>
      <c r="N728">
        <f>IF($P728="","",INDEX(상세표[주말·휴일 포함],$P728)&amp;"")</f>
        <v/>
      </c>
      <c r="O728">
        <f>IF($P728="","",INDEX(상세표[월 넘김 포함],$P728)&amp;"")</f>
        <v/>
      </c>
      <c r="P728" s="4">
        <f>IFERROR(MATCH(723,상세표[연속순번],0),"")</f>
        <v/>
      </c>
    </row>
    <row r="729">
      <c r="A729">
        <f>IF($P729="","",INDEX(상세표[사번],$P729)&amp;"")</f>
        <v/>
      </c>
      <c r="B729">
        <f>IF($P729="","",INDEX(상세표[성명],$P729)&amp;"")</f>
        <v/>
      </c>
      <c r="C729">
        <f>IF($P729="","",INDEX(상세표[부서],$P729)&amp;"")</f>
        <v/>
      </c>
      <c r="D729">
        <f>IF($P729="","",INDEX(상세표[직위],$P729)&amp;"")</f>
        <v/>
      </c>
      <c r="E729">
        <f>IF($P729="","",IF(ISNUMBER(INDEX(상세표[시작],$P729)),TEXT(INDEX(상세표[시작],$P729),"yyyy-mm-dd hh:mm"),INDEX(상세표[시작],$P729)&amp;""))</f>
        <v/>
      </c>
      <c r="F729">
        <f>IF($P729="","",IF(ISNUMBER(INDEX(상세표[블록종료],$P729)),TEXT(INDEX(상세표[블록종료],$P729),"yyyy-mm-dd hh:mm"),INDEX(상세표[블록종료],$P729)&amp;""))</f>
        <v/>
      </c>
      <c r="G729">
        <f>IF($P729="","",CHOOSE(WEEKDAY(INDEX(상세표[시작],$P729)),"일","월","화","수","목","금","토"))</f>
        <v/>
      </c>
      <c r="H729">
        <f>IF($P729="","",INDEX(상세표[연속 시간],$P729))</f>
        <v/>
      </c>
      <c r="I729">
        <f>IF($P729="","",INDEX(상세표[기록 수],$P729))</f>
        <v/>
      </c>
      <c r="J729">
        <f>IF($P729="","",INDEX(상세표[블록 06~07시],$P729))</f>
        <v/>
      </c>
      <c r="K729">
        <f>IF($P729="","",INDEX(상세표[블록 07~18시],$P729))</f>
        <v/>
      </c>
      <c r="L729">
        <f>IF($P729="","",INDEX(상세표[블록 18~22시],$P729))</f>
        <v/>
      </c>
      <c r="M729">
        <f>IF($P729="","",INDEX(상세표[블록 22~06시],$P729))</f>
        <v/>
      </c>
      <c r="N729">
        <f>IF($P729="","",INDEX(상세표[주말·휴일 포함],$P729)&amp;"")</f>
        <v/>
      </c>
      <c r="O729">
        <f>IF($P729="","",INDEX(상세표[월 넘김 포함],$P729)&amp;"")</f>
        <v/>
      </c>
      <c r="P729" s="4">
        <f>IFERROR(MATCH(724,상세표[연속순번],0),"")</f>
        <v/>
      </c>
    </row>
    <row r="730">
      <c r="A730">
        <f>IF($P730="","",INDEX(상세표[사번],$P730)&amp;"")</f>
        <v/>
      </c>
      <c r="B730">
        <f>IF($P730="","",INDEX(상세표[성명],$P730)&amp;"")</f>
        <v/>
      </c>
      <c r="C730">
        <f>IF($P730="","",INDEX(상세표[부서],$P730)&amp;"")</f>
        <v/>
      </c>
      <c r="D730">
        <f>IF($P730="","",INDEX(상세표[직위],$P730)&amp;"")</f>
        <v/>
      </c>
      <c r="E730">
        <f>IF($P730="","",IF(ISNUMBER(INDEX(상세표[시작],$P730)),TEXT(INDEX(상세표[시작],$P730),"yyyy-mm-dd hh:mm"),INDEX(상세표[시작],$P730)&amp;""))</f>
        <v/>
      </c>
      <c r="F730">
        <f>IF($P730="","",IF(ISNUMBER(INDEX(상세표[블록종료],$P730)),TEXT(INDEX(상세표[블록종료],$P730),"yyyy-mm-dd hh:mm"),INDEX(상세표[블록종료],$P730)&amp;""))</f>
        <v/>
      </c>
      <c r="G730">
        <f>IF($P730="","",CHOOSE(WEEKDAY(INDEX(상세표[시작],$P730)),"일","월","화","수","목","금","토"))</f>
        <v/>
      </c>
      <c r="H730">
        <f>IF($P730="","",INDEX(상세표[연속 시간],$P730))</f>
        <v/>
      </c>
      <c r="I730">
        <f>IF($P730="","",INDEX(상세표[기록 수],$P730))</f>
        <v/>
      </c>
      <c r="J730">
        <f>IF($P730="","",INDEX(상세표[블록 06~07시],$P730))</f>
        <v/>
      </c>
      <c r="K730">
        <f>IF($P730="","",INDEX(상세표[블록 07~18시],$P730))</f>
        <v/>
      </c>
      <c r="L730">
        <f>IF($P730="","",INDEX(상세표[블록 18~22시],$P730))</f>
        <v/>
      </c>
      <c r="M730">
        <f>IF($P730="","",INDEX(상세표[블록 22~06시],$P730))</f>
        <v/>
      </c>
      <c r="N730">
        <f>IF($P730="","",INDEX(상세표[주말·휴일 포함],$P730)&amp;"")</f>
        <v/>
      </c>
      <c r="O730">
        <f>IF($P730="","",INDEX(상세표[월 넘김 포함],$P730)&amp;"")</f>
        <v/>
      </c>
      <c r="P730" s="4">
        <f>IFERROR(MATCH(725,상세표[연속순번],0),"")</f>
        <v/>
      </c>
    </row>
    <row r="731">
      <c r="A731">
        <f>IF($P731="","",INDEX(상세표[사번],$P731)&amp;"")</f>
        <v/>
      </c>
      <c r="B731">
        <f>IF($P731="","",INDEX(상세표[성명],$P731)&amp;"")</f>
        <v/>
      </c>
      <c r="C731">
        <f>IF($P731="","",INDEX(상세표[부서],$P731)&amp;"")</f>
        <v/>
      </c>
      <c r="D731">
        <f>IF($P731="","",INDEX(상세표[직위],$P731)&amp;"")</f>
        <v/>
      </c>
      <c r="E731">
        <f>IF($P731="","",IF(ISNUMBER(INDEX(상세표[시작],$P731)),TEXT(INDEX(상세표[시작],$P731),"yyyy-mm-dd hh:mm"),INDEX(상세표[시작],$P731)&amp;""))</f>
        <v/>
      </c>
      <c r="F731">
        <f>IF($P731="","",IF(ISNUMBER(INDEX(상세표[블록종료],$P731)),TEXT(INDEX(상세표[블록종료],$P731),"yyyy-mm-dd hh:mm"),INDEX(상세표[블록종료],$P731)&amp;""))</f>
        <v/>
      </c>
      <c r="G731">
        <f>IF($P731="","",CHOOSE(WEEKDAY(INDEX(상세표[시작],$P731)),"일","월","화","수","목","금","토"))</f>
        <v/>
      </c>
      <c r="H731">
        <f>IF($P731="","",INDEX(상세표[연속 시간],$P731))</f>
        <v/>
      </c>
      <c r="I731">
        <f>IF($P731="","",INDEX(상세표[기록 수],$P731))</f>
        <v/>
      </c>
      <c r="J731">
        <f>IF($P731="","",INDEX(상세표[블록 06~07시],$P731))</f>
        <v/>
      </c>
      <c r="K731">
        <f>IF($P731="","",INDEX(상세표[블록 07~18시],$P731))</f>
        <v/>
      </c>
      <c r="L731">
        <f>IF($P731="","",INDEX(상세표[블록 18~22시],$P731))</f>
        <v/>
      </c>
      <c r="M731">
        <f>IF($P731="","",INDEX(상세표[블록 22~06시],$P731))</f>
        <v/>
      </c>
      <c r="N731">
        <f>IF($P731="","",INDEX(상세표[주말·휴일 포함],$P731)&amp;"")</f>
        <v/>
      </c>
      <c r="O731">
        <f>IF($P731="","",INDEX(상세표[월 넘김 포함],$P731)&amp;"")</f>
        <v/>
      </c>
      <c r="P731" s="4">
        <f>IFERROR(MATCH(726,상세표[연속순번],0),"")</f>
        <v/>
      </c>
    </row>
    <row r="732">
      <c r="A732">
        <f>IF($P732="","",INDEX(상세표[사번],$P732)&amp;"")</f>
        <v/>
      </c>
      <c r="B732">
        <f>IF($P732="","",INDEX(상세표[성명],$P732)&amp;"")</f>
        <v/>
      </c>
      <c r="C732">
        <f>IF($P732="","",INDEX(상세표[부서],$P732)&amp;"")</f>
        <v/>
      </c>
      <c r="D732">
        <f>IF($P732="","",INDEX(상세표[직위],$P732)&amp;"")</f>
        <v/>
      </c>
      <c r="E732">
        <f>IF($P732="","",IF(ISNUMBER(INDEX(상세표[시작],$P732)),TEXT(INDEX(상세표[시작],$P732),"yyyy-mm-dd hh:mm"),INDEX(상세표[시작],$P732)&amp;""))</f>
        <v/>
      </c>
      <c r="F732">
        <f>IF($P732="","",IF(ISNUMBER(INDEX(상세표[블록종료],$P732)),TEXT(INDEX(상세표[블록종료],$P732),"yyyy-mm-dd hh:mm"),INDEX(상세표[블록종료],$P732)&amp;""))</f>
        <v/>
      </c>
      <c r="G732">
        <f>IF($P732="","",CHOOSE(WEEKDAY(INDEX(상세표[시작],$P732)),"일","월","화","수","목","금","토"))</f>
        <v/>
      </c>
      <c r="H732">
        <f>IF($P732="","",INDEX(상세표[연속 시간],$P732))</f>
        <v/>
      </c>
      <c r="I732">
        <f>IF($P732="","",INDEX(상세표[기록 수],$P732))</f>
        <v/>
      </c>
      <c r="J732">
        <f>IF($P732="","",INDEX(상세표[블록 06~07시],$P732))</f>
        <v/>
      </c>
      <c r="K732">
        <f>IF($P732="","",INDEX(상세표[블록 07~18시],$P732))</f>
        <v/>
      </c>
      <c r="L732">
        <f>IF($P732="","",INDEX(상세표[블록 18~22시],$P732))</f>
        <v/>
      </c>
      <c r="M732">
        <f>IF($P732="","",INDEX(상세표[블록 22~06시],$P732))</f>
        <v/>
      </c>
      <c r="N732">
        <f>IF($P732="","",INDEX(상세표[주말·휴일 포함],$P732)&amp;"")</f>
        <v/>
      </c>
      <c r="O732">
        <f>IF($P732="","",INDEX(상세표[월 넘김 포함],$P732)&amp;"")</f>
        <v/>
      </c>
      <c r="P732" s="4">
        <f>IFERROR(MATCH(727,상세표[연속순번],0),"")</f>
        <v/>
      </c>
    </row>
    <row r="733">
      <c r="A733">
        <f>IF($P733="","",INDEX(상세표[사번],$P733)&amp;"")</f>
        <v/>
      </c>
      <c r="B733">
        <f>IF($P733="","",INDEX(상세표[성명],$P733)&amp;"")</f>
        <v/>
      </c>
      <c r="C733">
        <f>IF($P733="","",INDEX(상세표[부서],$P733)&amp;"")</f>
        <v/>
      </c>
      <c r="D733">
        <f>IF($P733="","",INDEX(상세표[직위],$P733)&amp;"")</f>
        <v/>
      </c>
      <c r="E733">
        <f>IF($P733="","",IF(ISNUMBER(INDEX(상세표[시작],$P733)),TEXT(INDEX(상세표[시작],$P733),"yyyy-mm-dd hh:mm"),INDEX(상세표[시작],$P733)&amp;""))</f>
        <v/>
      </c>
      <c r="F733">
        <f>IF($P733="","",IF(ISNUMBER(INDEX(상세표[블록종료],$P733)),TEXT(INDEX(상세표[블록종료],$P733),"yyyy-mm-dd hh:mm"),INDEX(상세표[블록종료],$P733)&amp;""))</f>
        <v/>
      </c>
      <c r="G733">
        <f>IF($P733="","",CHOOSE(WEEKDAY(INDEX(상세표[시작],$P733)),"일","월","화","수","목","금","토"))</f>
        <v/>
      </c>
      <c r="H733">
        <f>IF($P733="","",INDEX(상세표[연속 시간],$P733))</f>
        <v/>
      </c>
      <c r="I733">
        <f>IF($P733="","",INDEX(상세표[기록 수],$P733))</f>
        <v/>
      </c>
      <c r="J733">
        <f>IF($P733="","",INDEX(상세표[블록 06~07시],$P733))</f>
        <v/>
      </c>
      <c r="K733">
        <f>IF($P733="","",INDEX(상세표[블록 07~18시],$P733))</f>
        <v/>
      </c>
      <c r="L733">
        <f>IF($P733="","",INDEX(상세표[블록 18~22시],$P733))</f>
        <v/>
      </c>
      <c r="M733">
        <f>IF($P733="","",INDEX(상세표[블록 22~06시],$P733))</f>
        <v/>
      </c>
      <c r="N733">
        <f>IF($P733="","",INDEX(상세표[주말·휴일 포함],$P733)&amp;"")</f>
        <v/>
      </c>
      <c r="O733">
        <f>IF($P733="","",INDEX(상세표[월 넘김 포함],$P733)&amp;"")</f>
        <v/>
      </c>
      <c r="P733" s="4">
        <f>IFERROR(MATCH(728,상세표[연속순번],0),"")</f>
        <v/>
      </c>
    </row>
    <row r="734">
      <c r="A734">
        <f>IF($P734="","",INDEX(상세표[사번],$P734)&amp;"")</f>
        <v/>
      </c>
      <c r="B734">
        <f>IF($P734="","",INDEX(상세표[성명],$P734)&amp;"")</f>
        <v/>
      </c>
      <c r="C734">
        <f>IF($P734="","",INDEX(상세표[부서],$P734)&amp;"")</f>
        <v/>
      </c>
      <c r="D734">
        <f>IF($P734="","",INDEX(상세표[직위],$P734)&amp;"")</f>
        <v/>
      </c>
      <c r="E734">
        <f>IF($P734="","",IF(ISNUMBER(INDEX(상세표[시작],$P734)),TEXT(INDEX(상세표[시작],$P734),"yyyy-mm-dd hh:mm"),INDEX(상세표[시작],$P734)&amp;""))</f>
        <v/>
      </c>
      <c r="F734">
        <f>IF($P734="","",IF(ISNUMBER(INDEX(상세표[블록종료],$P734)),TEXT(INDEX(상세표[블록종료],$P734),"yyyy-mm-dd hh:mm"),INDEX(상세표[블록종료],$P734)&amp;""))</f>
        <v/>
      </c>
      <c r="G734">
        <f>IF($P734="","",CHOOSE(WEEKDAY(INDEX(상세표[시작],$P734)),"일","월","화","수","목","금","토"))</f>
        <v/>
      </c>
      <c r="H734">
        <f>IF($P734="","",INDEX(상세표[연속 시간],$P734))</f>
        <v/>
      </c>
      <c r="I734">
        <f>IF($P734="","",INDEX(상세표[기록 수],$P734))</f>
        <v/>
      </c>
      <c r="J734">
        <f>IF($P734="","",INDEX(상세표[블록 06~07시],$P734))</f>
        <v/>
      </c>
      <c r="K734">
        <f>IF($P734="","",INDEX(상세표[블록 07~18시],$P734))</f>
        <v/>
      </c>
      <c r="L734">
        <f>IF($P734="","",INDEX(상세표[블록 18~22시],$P734))</f>
        <v/>
      </c>
      <c r="M734">
        <f>IF($P734="","",INDEX(상세표[블록 22~06시],$P734))</f>
        <v/>
      </c>
      <c r="N734">
        <f>IF($P734="","",INDEX(상세표[주말·휴일 포함],$P734)&amp;"")</f>
        <v/>
      </c>
      <c r="O734">
        <f>IF($P734="","",INDEX(상세표[월 넘김 포함],$P734)&amp;"")</f>
        <v/>
      </c>
      <c r="P734" s="4">
        <f>IFERROR(MATCH(729,상세표[연속순번],0),"")</f>
        <v/>
      </c>
    </row>
    <row r="735">
      <c r="A735">
        <f>IF($P735="","",INDEX(상세표[사번],$P735)&amp;"")</f>
        <v/>
      </c>
      <c r="B735">
        <f>IF($P735="","",INDEX(상세표[성명],$P735)&amp;"")</f>
        <v/>
      </c>
      <c r="C735">
        <f>IF($P735="","",INDEX(상세표[부서],$P735)&amp;"")</f>
        <v/>
      </c>
      <c r="D735">
        <f>IF($P735="","",INDEX(상세표[직위],$P735)&amp;"")</f>
        <v/>
      </c>
      <c r="E735">
        <f>IF($P735="","",IF(ISNUMBER(INDEX(상세표[시작],$P735)),TEXT(INDEX(상세표[시작],$P735),"yyyy-mm-dd hh:mm"),INDEX(상세표[시작],$P735)&amp;""))</f>
        <v/>
      </c>
      <c r="F735">
        <f>IF($P735="","",IF(ISNUMBER(INDEX(상세표[블록종료],$P735)),TEXT(INDEX(상세표[블록종료],$P735),"yyyy-mm-dd hh:mm"),INDEX(상세표[블록종료],$P735)&amp;""))</f>
        <v/>
      </c>
      <c r="G735">
        <f>IF($P735="","",CHOOSE(WEEKDAY(INDEX(상세표[시작],$P735)),"일","월","화","수","목","금","토"))</f>
        <v/>
      </c>
      <c r="H735">
        <f>IF($P735="","",INDEX(상세표[연속 시간],$P735))</f>
        <v/>
      </c>
      <c r="I735">
        <f>IF($P735="","",INDEX(상세표[기록 수],$P735))</f>
        <v/>
      </c>
      <c r="J735">
        <f>IF($P735="","",INDEX(상세표[블록 06~07시],$P735))</f>
        <v/>
      </c>
      <c r="K735">
        <f>IF($P735="","",INDEX(상세표[블록 07~18시],$P735))</f>
        <v/>
      </c>
      <c r="L735">
        <f>IF($P735="","",INDEX(상세표[블록 18~22시],$P735))</f>
        <v/>
      </c>
      <c r="M735">
        <f>IF($P735="","",INDEX(상세표[블록 22~06시],$P735))</f>
        <v/>
      </c>
      <c r="N735">
        <f>IF($P735="","",INDEX(상세표[주말·휴일 포함],$P735)&amp;"")</f>
        <v/>
      </c>
      <c r="O735">
        <f>IF($P735="","",INDEX(상세표[월 넘김 포함],$P735)&amp;"")</f>
        <v/>
      </c>
      <c r="P735" s="4">
        <f>IFERROR(MATCH(730,상세표[연속순번],0),"")</f>
        <v/>
      </c>
    </row>
    <row r="736">
      <c r="A736">
        <f>IF($P736="","",INDEX(상세표[사번],$P736)&amp;"")</f>
        <v/>
      </c>
      <c r="B736">
        <f>IF($P736="","",INDEX(상세표[성명],$P736)&amp;"")</f>
        <v/>
      </c>
      <c r="C736">
        <f>IF($P736="","",INDEX(상세표[부서],$P736)&amp;"")</f>
        <v/>
      </c>
      <c r="D736">
        <f>IF($P736="","",INDEX(상세표[직위],$P736)&amp;"")</f>
        <v/>
      </c>
      <c r="E736">
        <f>IF($P736="","",IF(ISNUMBER(INDEX(상세표[시작],$P736)),TEXT(INDEX(상세표[시작],$P736),"yyyy-mm-dd hh:mm"),INDEX(상세표[시작],$P736)&amp;""))</f>
        <v/>
      </c>
      <c r="F736">
        <f>IF($P736="","",IF(ISNUMBER(INDEX(상세표[블록종료],$P736)),TEXT(INDEX(상세표[블록종료],$P736),"yyyy-mm-dd hh:mm"),INDEX(상세표[블록종료],$P736)&amp;""))</f>
        <v/>
      </c>
      <c r="G736">
        <f>IF($P736="","",CHOOSE(WEEKDAY(INDEX(상세표[시작],$P736)),"일","월","화","수","목","금","토"))</f>
        <v/>
      </c>
      <c r="H736">
        <f>IF($P736="","",INDEX(상세표[연속 시간],$P736))</f>
        <v/>
      </c>
      <c r="I736">
        <f>IF($P736="","",INDEX(상세표[기록 수],$P736))</f>
        <v/>
      </c>
      <c r="J736">
        <f>IF($P736="","",INDEX(상세표[블록 06~07시],$P736))</f>
        <v/>
      </c>
      <c r="K736">
        <f>IF($P736="","",INDEX(상세표[블록 07~18시],$P736))</f>
        <v/>
      </c>
      <c r="L736">
        <f>IF($P736="","",INDEX(상세표[블록 18~22시],$P736))</f>
        <v/>
      </c>
      <c r="M736">
        <f>IF($P736="","",INDEX(상세표[블록 22~06시],$P736))</f>
        <v/>
      </c>
      <c r="N736">
        <f>IF($P736="","",INDEX(상세표[주말·휴일 포함],$P736)&amp;"")</f>
        <v/>
      </c>
      <c r="O736">
        <f>IF($P736="","",INDEX(상세표[월 넘김 포함],$P736)&amp;"")</f>
        <v/>
      </c>
      <c r="P736" s="4">
        <f>IFERROR(MATCH(731,상세표[연속순번],0),"")</f>
        <v/>
      </c>
    </row>
    <row r="737">
      <c r="A737">
        <f>IF($P737="","",INDEX(상세표[사번],$P737)&amp;"")</f>
        <v/>
      </c>
      <c r="B737">
        <f>IF($P737="","",INDEX(상세표[성명],$P737)&amp;"")</f>
        <v/>
      </c>
      <c r="C737">
        <f>IF($P737="","",INDEX(상세표[부서],$P737)&amp;"")</f>
        <v/>
      </c>
      <c r="D737">
        <f>IF($P737="","",INDEX(상세표[직위],$P737)&amp;"")</f>
        <v/>
      </c>
      <c r="E737">
        <f>IF($P737="","",IF(ISNUMBER(INDEX(상세표[시작],$P737)),TEXT(INDEX(상세표[시작],$P737),"yyyy-mm-dd hh:mm"),INDEX(상세표[시작],$P737)&amp;""))</f>
        <v/>
      </c>
      <c r="F737">
        <f>IF($P737="","",IF(ISNUMBER(INDEX(상세표[블록종료],$P737)),TEXT(INDEX(상세표[블록종료],$P737),"yyyy-mm-dd hh:mm"),INDEX(상세표[블록종료],$P737)&amp;""))</f>
        <v/>
      </c>
      <c r="G737">
        <f>IF($P737="","",CHOOSE(WEEKDAY(INDEX(상세표[시작],$P737)),"일","월","화","수","목","금","토"))</f>
        <v/>
      </c>
      <c r="H737">
        <f>IF($P737="","",INDEX(상세표[연속 시간],$P737))</f>
        <v/>
      </c>
      <c r="I737">
        <f>IF($P737="","",INDEX(상세표[기록 수],$P737))</f>
        <v/>
      </c>
      <c r="J737">
        <f>IF($P737="","",INDEX(상세표[블록 06~07시],$P737))</f>
        <v/>
      </c>
      <c r="K737">
        <f>IF($P737="","",INDEX(상세표[블록 07~18시],$P737))</f>
        <v/>
      </c>
      <c r="L737">
        <f>IF($P737="","",INDEX(상세표[블록 18~22시],$P737))</f>
        <v/>
      </c>
      <c r="M737">
        <f>IF($P737="","",INDEX(상세표[블록 22~06시],$P737))</f>
        <v/>
      </c>
      <c r="N737">
        <f>IF($P737="","",INDEX(상세표[주말·휴일 포함],$P737)&amp;"")</f>
        <v/>
      </c>
      <c r="O737">
        <f>IF($P737="","",INDEX(상세표[월 넘김 포함],$P737)&amp;"")</f>
        <v/>
      </c>
      <c r="P737" s="4">
        <f>IFERROR(MATCH(732,상세표[연속순번],0),"")</f>
        <v/>
      </c>
    </row>
    <row r="738">
      <c r="A738">
        <f>IF($P738="","",INDEX(상세표[사번],$P738)&amp;"")</f>
        <v/>
      </c>
      <c r="B738">
        <f>IF($P738="","",INDEX(상세표[성명],$P738)&amp;"")</f>
        <v/>
      </c>
      <c r="C738">
        <f>IF($P738="","",INDEX(상세표[부서],$P738)&amp;"")</f>
        <v/>
      </c>
      <c r="D738">
        <f>IF($P738="","",INDEX(상세표[직위],$P738)&amp;"")</f>
        <v/>
      </c>
      <c r="E738">
        <f>IF($P738="","",IF(ISNUMBER(INDEX(상세표[시작],$P738)),TEXT(INDEX(상세표[시작],$P738),"yyyy-mm-dd hh:mm"),INDEX(상세표[시작],$P738)&amp;""))</f>
        <v/>
      </c>
      <c r="F738">
        <f>IF($P738="","",IF(ISNUMBER(INDEX(상세표[블록종료],$P738)),TEXT(INDEX(상세표[블록종료],$P738),"yyyy-mm-dd hh:mm"),INDEX(상세표[블록종료],$P738)&amp;""))</f>
        <v/>
      </c>
      <c r="G738">
        <f>IF($P738="","",CHOOSE(WEEKDAY(INDEX(상세표[시작],$P738)),"일","월","화","수","목","금","토"))</f>
        <v/>
      </c>
      <c r="H738">
        <f>IF($P738="","",INDEX(상세표[연속 시간],$P738))</f>
        <v/>
      </c>
      <c r="I738">
        <f>IF($P738="","",INDEX(상세표[기록 수],$P738))</f>
        <v/>
      </c>
      <c r="J738">
        <f>IF($P738="","",INDEX(상세표[블록 06~07시],$P738))</f>
        <v/>
      </c>
      <c r="K738">
        <f>IF($P738="","",INDEX(상세표[블록 07~18시],$P738))</f>
        <v/>
      </c>
      <c r="L738">
        <f>IF($P738="","",INDEX(상세표[블록 18~22시],$P738))</f>
        <v/>
      </c>
      <c r="M738">
        <f>IF($P738="","",INDEX(상세표[블록 22~06시],$P738))</f>
        <v/>
      </c>
      <c r="N738">
        <f>IF($P738="","",INDEX(상세표[주말·휴일 포함],$P738)&amp;"")</f>
        <v/>
      </c>
      <c r="O738">
        <f>IF($P738="","",INDEX(상세표[월 넘김 포함],$P738)&amp;"")</f>
        <v/>
      </c>
      <c r="P738" s="4">
        <f>IFERROR(MATCH(733,상세표[연속순번],0),"")</f>
        <v/>
      </c>
    </row>
    <row r="739">
      <c r="A739">
        <f>IF($P739="","",INDEX(상세표[사번],$P739)&amp;"")</f>
        <v/>
      </c>
      <c r="B739">
        <f>IF($P739="","",INDEX(상세표[성명],$P739)&amp;"")</f>
        <v/>
      </c>
      <c r="C739">
        <f>IF($P739="","",INDEX(상세표[부서],$P739)&amp;"")</f>
        <v/>
      </c>
      <c r="D739">
        <f>IF($P739="","",INDEX(상세표[직위],$P739)&amp;"")</f>
        <v/>
      </c>
      <c r="E739">
        <f>IF($P739="","",IF(ISNUMBER(INDEX(상세표[시작],$P739)),TEXT(INDEX(상세표[시작],$P739),"yyyy-mm-dd hh:mm"),INDEX(상세표[시작],$P739)&amp;""))</f>
        <v/>
      </c>
      <c r="F739">
        <f>IF($P739="","",IF(ISNUMBER(INDEX(상세표[블록종료],$P739)),TEXT(INDEX(상세표[블록종료],$P739),"yyyy-mm-dd hh:mm"),INDEX(상세표[블록종료],$P739)&amp;""))</f>
        <v/>
      </c>
      <c r="G739">
        <f>IF($P739="","",CHOOSE(WEEKDAY(INDEX(상세표[시작],$P739)),"일","월","화","수","목","금","토"))</f>
        <v/>
      </c>
      <c r="H739">
        <f>IF($P739="","",INDEX(상세표[연속 시간],$P739))</f>
        <v/>
      </c>
      <c r="I739">
        <f>IF($P739="","",INDEX(상세표[기록 수],$P739))</f>
        <v/>
      </c>
      <c r="J739">
        <f>IF($P739="","",INDEX(상세표[블록 06~07시],$P739))</f>
        <v/>
      </c>
      <c r="K739">
        <f>IF($P739="","",INDEX(상세표[블록 07~18시],$P739))</f>
        <v/>
      </c>
      <c r="L739">
        <f>IF($P739="","",INDEX(상세표[블록 18~22시],$P739))</f>
        <v/>
      </c>
      <c r="M739">
        <f>IF($P739="","",INDEX(상세표[블록 22~06시],$P739))</f>
        <v/>
      </c>
      <c r="N739">
        <f>IF($P739="","",INDEX(상세표[주말·휴일 포함],$P739)&amp;"")</f>
        <v/>
      </c>
      <c r="O739">
        <f>IF($P739="","",INDEX(상세표[월 넘김 포함],$P739)&amp;"")</f>
        <v/>
      </c>
      <c r="P739" s="4">
        <f>IFERROR(MATCH(734,상세표[연속순번],0),"")</f>
        <v/>
      </c>
    </row>
    <row r="740">
      <c r="A740">
        <f>IF($P740="","",INDEX(상세표[사번],$P740)&amp;"")</f>
        <v/>
      </c>
      <c r="B740">
        <f>IF($P740="","",INDEX(상세표[성명],$P740)&amp;"")</f>
        <v/>
      </c>
      <c r="C740">
        <f>IF($P740="","",INDEX(상세표[부서],$P740)&amp;"")</f>
        <v/>
      </c>
      <c r="D740">
        <f>IF($P740="","",INDEX(상세표[직위],$P740)&amp;"")</f>
        <v/>
      </c>
      <c r="E740">
        <f>IF($P740="","",IF(ISNUMBER(INDEX(상세표[시작],$P740)),TEXT(INDEX(상세표[시작],$P740),"yyyy-mm-dd hh:mm"),INDEX(상세표[시작],$P740)&amp;""))</f>
        <v/>
      </c>
      <c r="F740">
        <f>IF($P740="","",IF(ISNUMBER(INDEX(상세표[블록종료],$P740)),TEXT(INDEX(상세표[블록종료],$P740),"yyyy-mm-dd hh:mm"),INDEX(상세표[블록종료],$P740)&amp;""))</f>
        <v/>
      </c>
      <c r="G740">
        <f>IF($P740="","",CHOOSE(WEEKDAY(INDEX(상세표[시작],$P740)),"일","월","화","수","목","금","토"))</f>
        <v/>
      </c>
      <c r="H740">
        <f>IF($P740="","",INDEX(상세표[연속 시간],$P740))</f>
        <v/>
      </c>
      <c r="I740">
        <f>IF($P740="","",INDEX(상세표[기록 수],$P740))</f>
        <v/>
      </c>
      <c r="J740">
        <f>IF($P740="","",INDEX(상세표[블록 06~07시],$P740))</f>
        <v/>
      </c>
      <c r="K740">
        <f>IF($P740="","",INDEX(상세표[블록 07~18시],$P740))</f>
        <v/>
      </c>
      <c r="L740">
        <f>IF($P740="","",INDEX(상세표[블록 18~22시],$P740))</f>
        <v/>
      </c>
      <c r="M740">
        <f>IF($P740="","",INDEX(상세표[블록 22~06시],$P740))</f>
        <v/>
      </c>
      <c r="N740">
        <f>IF($P740="","",INDEX(상세표[주말·휴일 포함],$P740)&amp;"")</f>
        <v/>
      </c>
      <c r="O740">
        <f>IF($P740="","",INDEX(상세표[월 넘김 포함],$P740)&amp;"")</f>
        <v/>
      </c>
      <c r="P740" s="4">
        <f>IFERROR(MATCH(735,상세표[연속순번],0),"")</f>
        <v/>
      </c>
    </row>
    <row r="741">
      <c r="A741">
        <f>IF($P741="","",INDEX(상세표[사번],$P741)&amp;"")</f>
        <v/>
      </c>
      <c r="B741">
        <f>IF($P741="","",INDEX(상세표[성명],$P741)&amp;"")</f>
        <v/>
      </c>
      <c r="C741">
        <f>IF($P741="","",INDEX(상세표[부서],$P741)&amp;"")</f>
        <v/>
      </c>
      <c r="D741">
        <f>IF($P741="","",INDEX(상세표[직위],$P741)&amp;"")</f>
        <v/>
      </c>
      <c r="E741">
        <f>IF($P741="","",IF(ISNUMBER(INDEX(상세표[시작],$P741)),TEXT(INDEX(상세표[시작],$P741),"yyyy-mm-dd hh:mm"),INDEX(상세표[시작],$P741)&amp;""))</f>
        <v/>
      </c>
      <c r="F741">
        <f>IF($P741="","",IF(ISNUMBER(INDEX(상세표[블록종료],$P741)),TEXT(INDEX(상세표[블록종료],$P741),"yyyy-mm-dd hh:mm"),INDEX(상세표[블록종료],$P741)&amp;""))</f>
        <v/>
      </c>
      <c r="G741">
        <f>IF($P741="","",CHOOSE(WEEKDAY(INDEX(상세표[시작],$P741)),"일","월","화","수","목","금","토"))</f>
        <v/>
      </c>
      <c r="H741">
        <f>IF($P741="","",INDEX(상세표[연속 시간],$P741))</f>
        <v/>
      </c>
      <c r="I741">
        <f>IF($P741="","",INDEX(상세표[기록 수],$P741))</f>
        <v/>
      </c>
      <c r="J741">
        <f>IF($P741="","",INDEX(상세표[블록 06~07시],$P741))</f>
        <v/>
      </c>
      <c r="K741">
        <f>IF($P741="","",INDEX(상세표[블록 07~18시],$P741))</f>
        <v/>
      </c>
      <c r="L741">
        <f>IF($P741="","",INDEX(상세표[블록 18~22시],$P741))</f>
        <v/>
      </c>
      <c r="M741">
        <f>IF($P741="","",INDEX(상세표[블록 22~06시],$P741))</f>
        <v/>
      </c>
      <c r="N741">
        <f>IF($P741="","",INDEX(상세표[주말·휴일 포함],$P741)&amp;"")</f>
        <v/>
      </c>
      <c r="O741">
        <f>IF($P741="","",INDEX(상세표[월 넘김 포함],$P741)&amp;"")</f>
        <v/>
      </c>
      <c r="P741" s="4">
        <f>IFERROR(MATCH(736,상세표[연속순번],0),"")</f>
        <v/>
      </c>
    </row>
    <row r="742">
      <c r="A742">
        <f>IF($P742="","",INDEX(상세표[사번],$P742)&amp;"")</f>
        <v/>
      </c>
      <c r="B742">
        <f>IF($P742="","",INDEX(상세표[성명],$P742)&amp;"")</f>
        <v/>
      </c>
      <c r="C742">
        <f>IF($P742="","",INDEX(상세표[부서],$P742)&amp;"")</f>
        <v/>
      </c>
      <c r="D742">
        <f>IF($P742="","",INDEX(상세표[직위],$P742)&amp;"")</f>
        <v/>
      </c>
      <c r="E742">
        <f>IF($P742="","",IF(ISNUMBER(INDEX(상세표[시작],$P742)),TEXT(INDEX(상세표[시작],$P742),"yyyy-mm-dd hh:mm"),INDEX(상세표[시작],$P742)&amp;""))</f>
        <v/>
      </c>
      <c r="F742">
        <f>IF($P742="","",IF(ISNUMBER(INDEX(상세표[블록종료],$P742)),TEXT(INDEX(상세표[블록종료],$P742),"yyyy-mm-dd hh:mm"),INDEX(상세표[블록종료],$P742)&amp;""))</f>
        <v/>
      </c>
      <c r="G742">
        <f>IF($P742="","",CHOOSE(WEEKDAY(INDEX(상세표[시작],$P742)),"일","월","화","수","목","금","토"))</f>
        <v/>
      </c>
      <c r="H742">
        <f>IF($P742="","",INDEX(상세표[연속 시간],$P742))</f>
        <v/>
      </c>
      <c r="I742">
        <f>IF($P742="","",INDEX(상세표[기록 수],$P742))</f>
        <v/>
      </c>
      <c r="J742">
        <f>IF($P742="","",INDEX(상세표[블록 06~07시],$P742))</f>
        <v/>
      </c>
      <c r="K742">
        <f>IF($P742="","",INDEX(상세표[블록 07~18시],$P742))</f>
        <v/>
      </c>
      <c r="L742">
        <f>IF($P742="","",INDEX(상세표[블록 18~22시],$P742))</f>
        <v/>
      </c>
      <c r="M742">
        <f>IF($P742="","",INDEX(상세표[블록 22~06시],$P742))</f>
        <v/>
      </c>
      <c r="N742">
        <f>IF($P742="","",INDEX(상세표[주말·휴일 포함],$P742)&amp;"")</f>
        <v/>
      </c>
      <c r="O742">
        <f>IF($P742="","",INDEX(상세표[월 넘김 포함],$P742)&amp;"")</f>
        <v/>
      </c>
      <c r="P742" s="4">
        <f>IFERROR(MATCH(737,상세표[연속순번],0),"")</f>
        <v/>
      </c>
    </row>
    <row r="743">
      <c r="A743">
        <f>IF($P743="","",INDEX(상세표[사번],$P743)&amp;"")</f>
        <v/>
      </c>
      <c r="B743">
        <f>IF($P743="","",INDEX(상세표[성명],$P743)&amp;"")</f>
        <v/>
      </c>
      <c r="C743">
        <f>IF($P743="","",INDEX(상세표[부서],$P743)&amp;"")</f>
        <v/>
      </c>
      <c r="D743">
        <f>IF($P743="","",INDEX(상세표[직위],$P743)&amp;"")</f>
        <v/>
      </c>
      <c r="E743">
        <f>IF($P743="","",IF(ISNUMBER(INDEX(상세표[시작],$P743)),TEXT(INDEX(상세표[시작],$P743),"yyyy-mm-dd hh:mm"),INDEX(상세표[시작],$P743)&amp;""))</f>
        <v/>
      </c>
      <c r="F743">
        <f>IF($P743="","",IF(ISNUMBER(INDEX(상세표[블록종료],$P743)),TEXT(INDEX(상세표[블록종료],$P743),"yyyy-mm-dd hh:mm"),INDEX(상세표[블록종료],$P743)&amp;""))</f>
        <v/>
      </c>
      <c r="G743">
        <f>IF($P743="","",CHOOSE(WEEKDAY(INDEX(상세표[시작],$P743)),"일","월","화","수","목","금","토"))</f>
        <v/>
      </c>
      <c r="H743">
        <f>IF($P743="","",INDEX(상세표[연속 시간],$P743))</f>
        <v/>
      </c>
      <c r="I743">
        <f>IF($P743="","",INDEX(상세표[기록 수],$P743))</f>
        <v/>
      </c>
      <c r="J743">
        <f>IF($P743="","",INDEX(상세표[블록 06~07시],$P743))</f>
        <v/>
      </c>
      <c r="K743">
        <f>IF($P743="","",INDEX(상세표[블록 07~18시],$P743))</f>
        <v/>
      </c>
      <c r="L743">
        <f>IF($P743="","",INDEX(상세표[블록 18~22시],$P743))</f>
        <v/>
      </c>
      <c r="M743">
        <f>IF($P743="","",INDEX(상세표[블록 22~06시],$P743))</f>
        <v/>
      </c>
      <c r="N743">
        <f>IF($P743="","",INDEX(상세표[주말·휴일 포함],$P743)&amp;"")</f>
        <v/>
      </c>
      <c r="O743">
        <f>IF($P743="","",INDEX(상세표[월 넘김 포함],$P743)&amp;"")</f>
        <v/>
      </c>
      <c r="P743" s="4">
        <f>IFERROR(MATCH(738,상세표[연속순번],0),"")</f>
        <v/>
      </c>
    </row>
    <row r="744">
      <c r="A744">
        <f>IF($P744="","",INDEX(상세표[사번],$P744)&amp;"")</f>
        <v/>
      </c>
      <c r="B744">
        <f>IF($P744="","",INDEX(상세표[성명],$P744)&amp;"")</f>
        <v/>
      </c>
      <c r="C744">
        <f>IF($P744="","",INDEX(상세표[부서],$P744)&amp;"")</f>
        <v/>
      </c>
      <c r="D744">
        <f>IF($P744="","",INDEX(상세표[직위],$P744)&amp;"")</f>
        <v/>
      </c>
      <c r="E744">
        <f>IF($P744="","",IF(ISNUMBER(INDEX(상세표[시작],$P744)),TEXT(INDEX(상세표[시작],$P744),"yyyy-mm-dd hh:mm"),INDEX(상세표[시작],$P744)&amp;""))</f>
        <v/>
      </c>
      <c r="F744">
        <f>IF($P744="","",IF(ISNUMBER(INDEX(상세표[블록종료],$P744)),TEXT(INDEX(상세표[블록종료],$P744),"yyyy-mm-dd hh:mm"),INDEX(상세표[블록종료],$P744)&amp;""))</f>
        <v/>
      </c>
      <c r="G744">
        <f>IF($P744="","",CHOOSE(WEEKDAY(INDEX(상세표[시작],$P744)),"일","월","화","수","목","금","토"))</f>
        <v/>
      </c>
      <c r="H744">
        <f>IF($P744="","",INDEX(상세표[연속 시간],$P744))</f>
        <v/>
      </c>
      <c r="I744">
        <f>IF($P744="","",INDEX(상세표[기록 수],$P744))</f>
        <v/>
      </c>
      <c r="J744">
        <f>IF($P744="","",INDEX(상세표[블록 06~07시],$P744))</f>
        <v/>
      </c>
      <c r="K744">
        <f>IF($P744="","",INDEX(상세표[블록 07~18시],$P744))</f>
        <v/>
      </c>
      <c r="L744">
        <f>IF($P744="","",INDEX(상세표[블록 18~22시],$P744))</f>
        <v/>
      </c>
      <c r="M744">
        <f>IF($P744="","",INDEX(상세표[블록 22~06시],$P744))</f>
        <v/>
      </c>
      <c r="N744">
        <f>IF($P744="","",INDEX(상세표[주말·휴일 포함],$P744)&amp;"")</f>
        <v/>
      </c>
      <c r="O744">
        <f>IF($P744="","",INDEX(상세표[월 넘김 포함],$P744)&amp;"")</f>
        <v/>
      </c>
      <c r="P744" s="4">
        <f>IFERROR(MATCH(739,상세표[연속순번],0),"")</f>
        <v/>
      </c>
    </row>
    <row r="745">
      <c r="A745">
        <f>IF($P745="","",INDEX(상세표[사번],$P745)&amp;"")</f>
        <v/>
      </c>
      <c r="B745">
        <f>IF($P745="","",INDEX(상세표[성명],$P745)&amp;"")</f>
        <v/>
      </c>
      <c r="C745">
        <f>IF($P745="","",INDEX(상세표[부서],$P745)&amp;"")</f>
        <v/>
      </c>
      <c r="D745">
        <f>IF($P745="","",INDEX(상세표[직위],$P745)&amp;"")</f>
        <v/>
      </c>
      <c r="E745">
        <f>IF($P745="","",IF(ISNUMBER(INDEX(상세표[시작],$P745)),TEXT(INDEX(상세표[시작],$P745),"yyyy-mm-dd hh:mm"),INDEX(상세표[시작],$P745)&amp;""))</f>
        <v/>
      </c>
      <c r="F745">
        <f>IF($P745="","",IF(ISNUMBER(INDEX(상세표[블록종료],$P745)),TEXT(INDEX(상세표[블록종료],$P745),"yyyy-mm-dd hh:mm"),INDEX(상세표[블록종료],$P745)&amp;""))</f>
        <v/>
      </c>
      <c r="G745">
        <f>IF($P745="","",CHOOSE(WEEKDAY(INDEX(상세표[시작],$P745)),"일","월","화","수","목","금","토"))</f>
        <v/>
      </c>
      <c r="H745">
        <f>IF($P745="","",INDEX(상세표[연속 시간],$P745))</f>
        <v/>
      </c>
      <c r="I745">
        <f>IF($P745="","",INDEX(상세표[기록 수],$P745))</f>
        <v/>
      </c>
      <c r="J745">
        <f>IF($P745="","",INDEX(상세표[블록 06~07시],$P745))</f>
        <v/>
      </c>
      <c r="K745">
        <f>IF($P745="","",INDEX(상세표[블록 07~18시],$P745))</f>
        <v/>
      </c>
      <c r="L745">
        <f>IF($P745="","",INDEX(상세표[블록 18~22시],$P745))</f>
        <v/>
      </c>
      <c r="M745">
        <f>IF($P745="","",INDEX(상세표[블록 22~06시],$P745))</f>
        <v/>
      </c>
      <c r="N745">
        <f>IF($P745="","",INDEX(상세표[주말·휴일 포함],$P745)&amp;"")</f>
        <v/>
      </c>
      <c r="O745">
        <f>IF($P745="","",INDEX(상세표[월 넘김 포함],$P745)&amp;"")</f>
        <v/>
      </c>
      <c r="P745" s="4">
        <f>IFERROR(MATCH(740,상세표[연속순번],0),"")</f>
        <v/>
      </c>
    </row>
    <row r="746">
      <c r="A746">
        <f>IF($P746="","",INDEX(상세표[사번],$P746)&amp;"")</f>
        <v/>
      </c>
      <c r="B746">
        <f>IF($P746="","",INDEX(상세표[성명],$P746)&amp;"")</f>
        <v/>
      </c>
      <c r="C746">
        <f>IF($P746="","",INDEX(상세표[부서],$P746)&amp;"")</f>
        <v/>
      </c>
      <c r="D746">
        <f>IF($P746="","",INDEX(상세표[직위],$P746)&amp;"")</f>
        <v/>
      </c>
      <c r="E746">
        <f>IF($P746="","",IF(ISNUMBER(INDEX(상세표[시작],$P746)),TEXT(INDEX(상세표[시작],$P746),"yyyy-mm-dd hh:mm"),INDEX(상세표[시작],$P746)&amp;""))</f>
        <v/>
      </c>
      <c r="F746">
        <f>IF($P746="","",IF(ISNUMBER(INDEX(상세표[블록종료],$P746)),TEXT(INDEX(상세표[블록종료],$P746),"yyyy-mm-dd hh:mm"),INDEX(상세표[블록종료],$P746)&amp;""))</f>
        <v/>
      </c>
      <c r="G746">
        <f>IF($P746="","",CHOOSE(WEEKDAY(INDEX(상세표[시작],$P746)),"일","월","화","수","목","금","토"))</f>
        <v/>
      </c>
      <c r="H746">
        <f>IF($P746="","",INDEX(상세표[연속 시간],$P746))</f>
        <v/>
      </c>
      <c r="I746">
        <f>IF($P746="","",INDEX(상세표[기록 수],$P746))</f>
        <v/>
      </c>
      <c r="J746">
        <f>IF($P746="","",INDEX(상세표[블록 06~07시],$P746))</f>
        <v/>
      </c>
      <c r="K746">
        <f>IF($P746="","",INDEX(상세표[블록 07~18시],$P746))</f>
        <v/>
      </c>
      <c r="L746">
        <f>IF($P746="","",INDEX(상세표[블록 18~22시],$P746))</f>
        <v/>
      </c>
      <c r="M746">
        <f>IF($P746="","",INDEX(상세표[블록 22~06시],$P746))</f>
        <v/>
      </c>
      <c r="N746">
        <f>IF($P746="","",INDEX(상세표[주말·휴일 포함],$P746)&amp;"")</f>
        <v/>
      </c>
      <c r="O746">
        <f>IF($P746="","",INDEX(상세표[월 넘김 포함],$P746)&amp;"")</f>
        <v/>
      </c>
      <c r="P746" s="4">
        <f>IFERROR(MATCH(741,상세표[연속순번],0),"")</f>
        <v/>
      </c>
    </row>
    <row r="747">
      <c r="A747">
        <f>IF($P747="","",INDEX(상세표[사번],$P747)&amp;"")</f>
        <v/>
      </c>
      <c r="B747">
        <f>IF($P747="","",INDEX(상세표[성명],$P747)&amp;"")</f>
        <v/>
      </c>
      <c r="C747">
        <f>IF($P747="","",INDEX(상세표[부서],$P747)&amp;"")</f>
        <v/>
      </c>
      <c r="D747">
        <f>IF($P747="","",INDEX(상세표[직위],$P747)&amp;"")</f>
        <v/>
      </c>
      <c r="E747">
        <f>IF($P747="","",IF(ISNUMBER(INDEX(상세표[시작],$P747)),TEXT(INDEX(상세표[시작],$P747),"yyyy-mm-dd hh:mm"),INDEX(상세표[시작],$P747)&amp;""))</f>
        <v/>
      </c>
      <c r="F747">
        <f>IF($P747="","",IF(ISNUMBER(INDEX(상세표[블록종료],$P747)),TEXT(INDEX(상세표[블록종료],$P747),"yyyy-mm-dd hh:mm"),INDEX(상세표[블록종료],$P747)&amp;""))</f>
        <v/>
      </c>
      <c r="G747">
        <f>IF($P747="","",CHOOSE(WEEKDAY(INDEX(상세표[시작],$P747)),"일","월","화","수","목","금","토"))</f>
        <v/>
      </c>
      <c r="H747">
        <f>IF($P747="","",INDEX(상세표[연속 시간],$P747))</f>
        <v/>
      </c>
      <c r="I747">
        <f>IF($P747="","",INDEX(상세표[기록 수],$P747))</f>
        <v/>
      </c>
      <c r="J747">
        <f>IF($P747="","",INDEX(상세표[블록 06~07시],$P747))</f>
        <v/>
      </c>
      <c r="K747">
        <f>IF($P747="","",INDEX(상세표[블록 07~18시],$P747))</f>
        <v/>
      </c>
      <c r="L747">
        <f>IF($P747="","",INDEX(상세표[블록 18~22시],$P747))</f>
        <v/>
      </c>
      <c r="M747">
        <f>IF($P747="","",INDEX(상세표[블록 22~06시],$P747))</f>
        <v/>
      </c>
      <c r="N747">
        <f>IF($P747="","",INDEX(상세표[주말·휴일 포함],$P747)&amp;"")</f>
        <v/>
      </c>
      <c r="O747">
        <f>IF($P747="","",INDEX(상세표[월 넘김 포함],$P747)&amp;"")</f>
        <v/>
      </c>
      <c r="P747" s="4">
        <f>IFERROR(MATCH(742,상세표[연속순번],0),"")</f>
        <v/>
      </c>
    </row>
    <row r="748">
      <c r="A748">
        <f>IF($P748="","",INDEX(상세표[사번],$P748)&amp;"")</f>
        <v/>
      </c>
      <c r="B748">
        <f>IF($P748="","",INDEX(상세표[성명],$P748)&amp;"")</f>
        <v/>
      </c>
      <c r="C748">
        <f>IF($P748="","",INDEX(상세표[부서],$P748)&amp;"")</f>
        <v/>
      </c>
      <c r="D748">
        <f>IF($P748="","",INDEX(상세표[직위],$P748)&amp;"")</f>
        <v/>
      </c>
      <c r="E748">
        <f>IF($P748="","",IF(ISNUMBER(INDEX(상세표[시작],$P748)),TEXT(INDEX(상세표[시작],$P748),"yyyy-mm-dd hh:mm"),INDEX(상세표[시작],$P748)&amp;""))</f>
        <v/>
      </c>
      <c r="F748">
        <f>IF($P748="","",IF(ISNUMBER(INDEX(상세표[블록종료],$P748)),TEXT(INDEX(상세표[블록종료],$P748),"yyyy-mm-dd hh:mm"),INDEX(상세표[블록종료],$P748)&amp;""))</f>
        <v/>
      </c>
      <c r="G748">
        <f>IF($P748="","",CHOOSE(WEEKDAY(INDEX(상세표[시작],$P748)),"일","월","화","수","목","금","토"))</f>
        <v/>
      </c>
      <c r="H748">
        <f>IF($P748="","",INDEX(상세표[연속 시간],$P748))</f>
        <v/>
      </c>
      <c r="I748">
        <f>IF($P748="","",INDEX(상세표[기록 수],$P748))</f>
        <v/>
      </c>
      <c r="J748">
        <f>IF($P748="","",INDEX(상세표[블록 06~07시],$P748))</f>
        <v/>
      </c>
      <c r="K748">
        <f>IF($P748="","",INDEX(상세표[블록 07~18시],$P748))</f>
        <v/>
      </c>
      <c r="L748">
        <f>IF($P748="","",INDEX(상세표[블록 18~22시],$P748))</f>
        <v/>
      </c>
      <c r="M748">
        <f>IF($P748="","",INDEX(상세표[블록 22~06시],$P748))</f>
        <v/>
      </c>
      <c r="N748">
        <f>IF($P748="","",INDEX(상세표[주말·휴일 포함],$P748)&amp;"")</f>
        <v/>
      </c>
      <c r="O748">
        <f>IF($P748="","",INDEX(상세표[월 넘김 포함],$P748)&amp;"")</f>
        <v/>
      </c>
      <c r="P748" s="4">
        <f>IFERROR(MATCH(743,상세표[연속순번],0),"")</f>
        <v/>
      </c>
    </row>
    <row r="749">
      <c r="A749">
        <f>IF($P749="","",INDEX(상세표[사번],$P749)&amp;"")</f>
        <v/>
      </c>
      <c r="B749">
        <f>IF($P749="","",INDEX(상세표[성명],$P749)&amp;"")</f>
        <v/>
      </c>
      <c r="C749">
        <f>IF($P749="","",INDEX(상세표[부서],$P749)&amp;"")</f>
        <v/>
      </c>
      <c r="D749">
        <f>IF($P749="","",INDEX(상세표[직위],$P749)&amp;"")</f>
        <v/>
      </c>
      <c r="E749">
        <f>IF($P749="","",IF(ISNUMBER(INDEX(상세표[시작],$P749)),TEXT(INDEX(상세표[시작],$P749),"yyyy-mm-dd hh:mm"),INDEX(상세표[시작],$P749)&amp;""))</f>
        <v/>
      </c>
      <c r="F749">
        <f>IF($P749="","",IF(ISNUMBER(INDEX(상세표[블록종료],$P749)),TEXT(INDEX(상세표[블록종료],$P749),"yyyy-mm-dd hh:mm"),INDEX(상세표[블록종료],$P749)&amp;""))</f>
        <v/>
      </c>
      <c r="G749">
        <f>IF($P749="","",CHOOSE(WEEKDAY(INDEX(상세표[시작],$P749)),"일","월","화","수","목","금","토"))</f>
        <v/>
      </c>
      <c r="H749">
        <f>IF($P749="","",INDEX(상세표[연속 시간],$P749))</f>
        <v/>
      </c>
      <c r="I749">
        <f>IF($P749="","",INDEX(상세표[기록 수],$P749))</f>
        <v/>
      </c>
      <c r="J749">
        <f>IF($P749="","",INDEX(상세표[블록 06~07시],$P749))</f>
        <v/>
      </c>
      <c r="K749">
        <f>IF($P749="","",INDEX(상세표[블록 07~18시],$P749))</f>
        <v/>
      </c>
      <c r="L749">
        <f>IF($P749="","",INDEX(상세표[블록 18~22시],$P749))</f>
        <v/>
      </c>
      <c r="M749">
        <f>IF($P749="","",INDEX(상세표[블록 22~06시],$P749))</f>
        <v/>
      </c>
      <c r="N749">
        <f>IF($P749="","",INDEX(상세표[주말·휴일 포함],$P749)&amp;"")</f>
        <v/>
      </c>
      <c r="O749">
        <f>IF($P749="","",INDEX(상세표[월 넘김 포함],$P749)&amp;"")</f>
        <v/>
      </c>
      <c r="P749" s="4">
        <f>IFERROR(MATCH(744,상세표[연속순번],0),"")</f>
        <v/>
      </c>
    </row>
    <row r="750">
      <c r="A750">
        <f>IF($P750="","",INDEX(상세표[사번],$P750)&amp;"")</f>
        <v/>
      </c>
      <c r="B750">
        <f>IF($P750="","",INDEX(상세표[성명],$P750)&amp;"")</f>
        <v/>
      </c>
      <c r="C750">
        <f>IF($P750="","",INDEX(상세표[부서],$P750)&amp;"")</f>
        <v/>
      </c>
      <c r="D750">
        <f>IF($P750="","",INDEX(상세표[직위],$P750)&amp;"")</f>
        <v/>
      </c>
      <c r="E750">
        <f>IF($P750="","",IF(ISNUMBER(INDEX(상세표[시작],$P750)),TEXT(INDEX(상세표[시작],$P750),"yyyy-mm-dd hh:mm"),INDEX(상세표[시작],$P750)&amp;""))</f>
        <v/>
      </c>
      <c r="F750">
        <f>IF($P750="","",IF(ISNUMBER(INDEX(상세표[블록종료],$P750)),TEXT(INDEX(상세표[블록종료],$P750),"yyyy-mm-dd hh:mm"),INDEX(상세표[블록종료],$P750)&amp;""))</f>
        <v/>
      </c>
      <c r="G750">
        <f>IF($P750="","",CHOOSE(WEEKDAY(INDEX(상세표[시작],$P750)),"일","월","화","수","목","금","토"))</f>
        <v/>
      </c>
      <c r="H750">
        <f>IF($P750="","",INDEX(상세표[연속 시간],$P750))</f>
        <v/>
      </c>
      <c r="I750">
        <f>IF($P750="","",INDEX(상세표[기록 수],$P750))</f>
        <v/>
      </c>
      <c r="J750">
        <f>IF($P750="","",INDEX(상세표[블록 06~07시],$P750))</f>
        <v/>
      </c>
      <c r="K750">
        <f>IF($P750="","",INDEX(상세표[블록 07~18시],$P750))</f>
        <v/>
      </c>
      <c r="L750">
        <f>IF($P750="","",INDEX(상세표[블록 18~22시],$P750))</f>
        <v/>
      </c>
      <c r="M750">
        <f>IF($P750="","",INDEX(상세표[블록 22~06시],$P750))</f>
        <v/>
      </c>
      <c r="N750">
        <f>IF($P750="","",INDEX(상세표[주말·휴일 포함],$P750)&amp;"")</f>
        <v/>
      </c>
      <c r="O750">
        <f>IF($P750="","",INDEX(상세표[월 넘김 포함],$P750)&amp;"")</f>
        <v/>
      </c>
      <c r="P750" s="4">
        <f>IFERROR(MATCH(745,상세표[연속순번],0),"")</f>
        <v/>
      </c>
    </row>
    <row r="751">
      <c r="A751">
        <f>IF($P751="","",INDEX(상세표[사번],$P751)&amp;"")</f>
        <v/>
      </c>
      <c r="B751">
        <f>IF($P751="","",INDEX(상세표[성명],$P751)&amp;"")</f>
        <v/>
      </c>
      <c r="C751">
        <f>IF($P751="","",INDEX(상세표[부서],$P751)&amp;"")</f>
        <v/>
      </c>
      <c r="D751">
        <f>IF($P751="","",INDEX(상세표[직위],$P751)&amp;"")</f>
        <v/>
      </c>
      <c r="E751">
        <f>IF($P751="","",IF(ISNUMBER(INDEX(상세표[시작],$P751)),TEXT(INDEX(상세표[시작],$P751),"yyyy-mm-dd hh:mm"),INDEX(상세표[시작],$P751)&amp;""))</f>
        <v/>
      </c>
      <c r="F751">
        <f>IF($P751="","",IF(ISNUMBER(INDEX(상세표[블록종료],$P751)),TEXT(INDEX(상세표[블록종료],$P751),"yyyy-mm-dd hh:mm"),INDEX(상세표[블록종료],$P751)&amp;""))</f>
        <v/>
      </c>
      <c r="G751">
        <f>IF($P751="","",CHOOSE(WEEKDAY(INDEX(상세표[시작],$P751)),"일","월","화","수","목","금","토"))</f>
        <v/>
      </c>
      <c r="H751">
        <f>IF($P751="","",INDEX(상세표[연속 시간],$P751))</f>
        <v/>
      </c>
      <c r="I751">
        <f>IF($P751="","",INDEX(상세표[기록 수],$P751))</f>
        <v/>
      </c>
      <c r="J751">
        <f>IF($P751="","",INDEX(상세표[블록 06~07시],$P751))</f>
        <v/>
      </c>
      <c r="K751">
        <f>IF($P751="","",INDEX(상세표[블록 07~18시],$P751))</f>
        <v/>
      </c>
      <c r="L751">
        <f>IF($P751="","",INDEX(상세표[블록 18~22시],$P751))</f>
        <v/>
      </c>
      <c r="M751">
        <f>IF($P751="","",INDEX(상세표[블록 22~06시],$P751))</f>
        <v/>
      </c>
      <c r="N751">
        <f>IF($P751="","",INDEX(상세표[주말·휴일 포함],$P751)&amp;"")</f>
        <v/>
      </c>
      <c r="O751">
        <f>IF($P751="","",INDEX(상세표[월 넘김 포함],$P751)&amp;"")</f>
        <v/>
      </c>
      <c r="P751" s="4">
        <f>IFERROR(MATCH(746,상세표[연속순번],0),"")</f>
        <v/>
      </c>
    </row>
    <row r="752">
      <c r="A752">
        <f>IF($P752="","",INDEX(상세표[사번],$P752)&amp;"")</f>
        <v/>
      </c>
      <c r="B752">
        <f>IF($P752="","",INDEX(상세표[성명],$P752)&amp;"")</f>
        <v/>
      </c>
      <c r="C752">
        <f>IF($P752="","",INDEX(상세표[부서],$P752)&amp;"")</f>
        <v/>
      </c>
      <c r="D752">
        <f>IF($P752="","",INDEX(상세표[직위],$P752)&amp;"")</f>
        <v/>
      </c>
      <c r="E752">
        <f>IF($P752="","",IF(ISNUMBER(INDEX(상세표[시작],$P752)),TEXT(INDEX(상세표[시작],$P752),"yyyy-mm-dd hh:mm"),INDEX(상세표[시작],$P752)&amp;""))</f>
        <v/>
      </c>
      <c r="F752">
        <f>IF($P752="","",IF(ISNUMBER(INDEX(상세표[블록종료],$P752)),TEXT(INDEX(상세표[블록종료],$P752),"yyyy-mm-dd hh:mm"),INDEX(상세표[블록종료],$P752)&amp;""))</f>
        <v/>
      </c>
      <c r="G752">
        <f>IF($P752="","",CHOOSE(WEEKDAY(INDEX(상세표[시작],$P752)),"일","월","화","수","목","금","토"))</f>
        <v/>
      </c>
      <c r="H752">
        <f>IF($P752="","",INDEX(상세표[연속 시간],$P752))</f>
        <v/>
      </c>
      <c r="I752">
        <f>IF($P752="","",INDEX(상세표[기록 수],$P752))</f>
        <v/>
      </c>
      <c r="J752">
        <f>IF($P752="","",INDEX(상세표[블록 06~07시],$P752))</f>
        <v/>
      </c>
      <c r="K752">
        <f>IF($P752="","",INDEX(상세표[블록 07~18시],$P752))</f>
        <v/>
      </c>
      <c r="L752">
        <f>IF($P752="","",INDEX(상세표[블록 18~22시],$P752))</f>
        <v/>
      </c>
      <c r="M752">
        <f>IF($P752="","",INDEX(상세표[블록 22~06시],$P752))</f>
        <v/>
      </c>
      <c r="N752">
        <f>IF($P752="","",INDEX(상세표[주말·휴일 포함],$P752)&amp;"")</f>
        <v/>
      </c>
      <c r="O752">
        <f>IF($P752="","",INDEX(상세표[월 넘김 포함],$P752)&amp;"")</f>
        <v/>
      </c>
      <c r="P752" s="4">
        <f>IFERROR(MATCH(747,상세표[연속순번],0),"")</f>
        <v/>
      </c>
    </row>
    <row r="753">
      <c r="A753">
        <f>IF($P753="","",INDEX(상세표[사번],$P753)&amp;"")</f>
        <v/>
      </c>
      <c r="B753">
        <f>IF($P753="","",INDEX(상세표[성명],$P753)&amp;"")</f>
        <v/>
      </c>
      <c r="C753">
        <f>IF($P753="","",INDEX(상세표[부서],$P753)&amp;"")</f>
        <v/>
      </c>
      <c r="D753">
        <f>IF($P753="","",INDEX(상세표[직위],$P753)&amp;"")</f>
        <v/>
      </c>
      <c r="E753">
        <f>IF($P753="","",IF(ISNUMBER(INDEX(상세표[시작],$P753)),TEXT(INDEX(상세표[시작],$P753),"yyyy-mm-dd hh:mm"),INDEX(상세표[시작],$P753)&amp;""))</f>
        <v/>
      </c>
      <c r="F753">
        <f>IF($P753="","",IF(ISNUMBER(INDEX(상세표[블록종료],$P753)),TEXT(INDEX(상세표[블록종료],$P753),"yyyy-mm-dd hh:mm"),INDEX(상세표[블록종료],$P753)&amp;""))</f>
        <v/>
      </c>
      <c r="G753">
        <f>IF($P753="","",CHOOSE(WEEKDAY(INDEX(상세표[시작],$P753)),"일","월","화","수","목","금","토"))</f>
        <v/>
      </c>
      <c r="H753">
        <f>IF($P753="","",INDEX(상세표[연속 시간],$P753))</f>
        <v/>
      </c>
      <c r="I753">
        <f>IF($P753="","",INDEX(상세표[기록 수],$P753))</f>
        <v/>
      </c>
      <c r="J753">
        <f>IF($P753="","",INDEX(상세표[블록 06~07시],$P753))</f>
        <v/>
      </c>
      <c r="K753">
        <f>IF($P753="","",INDEX(상세표[블록 07~18시],$P753))</f>
        <v/>
      </c>
      <c r="L753">
        <f>IF($P753="","",INDEX(상세표[블록 18~22시],$P753))</f>
        <v/>
      </c>
      <c r="M753">
        <f>IF($P753="","",INDEX(상세표[블록 22~06시],$P753))</f>
        <v/>
      </c>
      <c r="N753">
        <f>IF($P753="","",INDEX(상세표[주말·휴일 포함],$P753)&amp;"")</f>
        <v/>
      </c>
      <c r="O753">
        <f>IF($P753="","",INDEX(상세표[월 넘김 포함],$P753)&amp;"")</f>
        <v/>
      </c>
      <c r="P753" s="4">
        <f>IFERROR(MATCH(748,상세표[연속순번],0),"")</f>
        <v/>
      </c>
    </row>
    <row r="754">
      <c r="A754">
        <f>IF($P754="","",INDEX(상세표[사번],$P754)&amp;"")</f>
        <v/>
      </c>
      <c r="B754">
        <f>IF($P754="","",INDEX(상세표[성명],$P754)&amp;"")</f>
        <v/>
      </c>
      <c r="C754">
        <f>IF($P754="","",INDEX(상세표[부서],$P754)&amp;"")</f>
        <v/>
      </c>
      <c r="D754">
        <f>IF($P754="","",INDEX(상세표[직위],$P754)&amp;"")</f>
        <v/>
      </c>
      <c r="E754">
        <f>IF($P754="","",IF(ISNUMBER(INDEX(상세표[시작],$P754)),TEXT(INDEX(상세표[시작],$P754),"yyyy-mm-dd hh:mm"),INDEX(상세표[시작],$P754)&amp;""))</f>
        <v/>
      </c>
      <c r="F754">
        <f>IF($P754="","",IF(ISNUMBER(INDEX(상세표[블록종료],$P754)),TEXT(INDEX(상세표[블록종료],$P754),"yyyy-mm-dd hh:mm"),INDEX(상세표[블록종료],$P754)&amp;""))</f>
        <v/>
      </c>
      <c r="G754">
        <f>IF($P754="","",CHOOSE(WEEKDAY(INDEX(상세표[시작],$P754)),"일","월","화","수","목","금","토"))</f>
        <v/>
      </c>
      <c r="H754">
        <f>IF($P754="","",INDEX(상세표[연속 시간],$P754))</f>
        <v/>
      </c>
      <c r="I754">
        <f>IF($P754="","",INDEX(상세표[기록 수],$P754))</f>
        <v/>
      </c>
      <c r="J754">
        <f>IF($P754="","",INDEX(상세표[블록 06~07시],$P754))</f>
        <v/>
      </c>
      <c r="K754">
        <f>IF($P754="","",INDEX(상세표[블록 07~18시],$P754))</f>
        <v/>
      </c>
      <c r="L754">
        <f>IF($P754="","",INDEX(상세표[블록 18~22시],$P754))</f>
        <v/>
      </c>
      <c r="M754">
        <f>IF($P754="","",INDEX(상세표[블록 22~06시],$P754))</f>
        <v/>
      </c>
      <c r="N754">
        <f>IF($P754="","",INDEX(상세표[주말·휴일 포함],$P754)&amp;"")</f>
        <v/>
      </c>
      <c r="O754">
        <f>IF($P754="","",INDEX(상세표[월 넘김 포함],$P754)&amp;"")</f>
        <v/>
      </c>
      <c r="P754" s="4">
        <f>IFERROR(MATCH(749,상세표[연속순번],0),"")</f>
        <v/>
      </c>
    </row>
    <row r="755">
      <c r="A755">
        <f>IF($P755="","",INDEX(상세표[사번],$P755)&amp;"")</f>
        <v/>
      </c>
      <c r="B755">
        <f>IF($P755="","",INDEX(상세표[성명],$P755)&amp;"")</f>
        <v/>
      </c>
      <c r="C755">
        <f>IF($P755="","",INDEX(상세표[부서],$P755)&amp;"")</f>
        <v/>
      </c>
      <c r="D755">
        <f>IF($P755="","",INDEX(상세표[직위],$P755)&amp;"")</f>
        <v/>
      </c>
      <c r="E755">
        <f>IF($P755="","",IF(ISNUMBER(INDEX(상세표[시작],$P755)),TEXT(INDEX(상세표[시작],$P755),"yyyy-mm-dd hh:mm"),INDEX(상세표[시작],$P755)&amp;""))</f>
        <v/>
      </c>
      <c r="F755">
        <f>IF($P755="","",IF(ISNUMBER(INDEX(상세표[블록종료],$P755)),TEXT(INDEX(상세표[블록종료],$P755),"yyyy-mm-dd hh:mm"),INDEX(상세표[블록종료],$P755)&amp;""))</f>
        <v/>
      </c>
      <c r="G755">
        <f>IF($P755="","",CHOOSE(WEEKDAY(INDEX(상세표[시작],$P755)),"일","월","화","수","목","금","토"))</f>
        <v/>
      </c>
      <c r="H755">
        <f>IF($P755="","",INDEX(상세표[연속 시간],$P755))</f>
        <v/>
      </c>
      <c r="I755">
        <f>IF($P755="","",INDEX(상세표[기록 수],$P755))</f>
        <v/>
      </c>
      <c r="J755">
        <f>IF($P755="","",INDEX(상세표[블록 06~07시],$P755))</f>
        <v/>
      </c>
      <c r="K755">
        <f>IF($P755="","",INDEX(상세표[블록 07~18시],$P755))</f>
        <v/>
      </c>
      <c r="L755">
        <f>IF($P755="","",INDEX(상세표[블록 18~22시],$P755))</f>
        <v/>
      </c>
      <c r="M755">
        <f>IF($P755="","",INDEX(상세표[블록 22~06시],$P755))</f>
        <v/>
      </c>
      <c r="N755">
        <f>IF($P755="","",INDEX(상세표[주말·휴일 포함],$P755)&amp;"")</f>
        <v/>
      </c>
      <c r="O755">
        <f>IF($P755="","",INDEX(상세표[월 넘김 포함],$P755)&amp;"")</f>
        <v/>
      </c>
      <c r="P755" s="4">
        <f>IFERROR(MATCH(750,상세표[연속순번],0),"")</f>
        <v/>
      </c>
    </row>
    <row r="756">
      <c r="A756">
        <f>IF($P756="","",INDEX(상세표[사번],$P756)&amp;"")</f>
        <v/>
      </c>
      <c r="B756">
        <f>IF($P756="","",INDEX(상세표[성명],$P756)&amp;"")</f>
        <v/>
      </c>
      <c r="C756">
        <f>IF($P756="","",INDEX(상세표[부서],$P756)&amp;"")</f>
        <v/>
      </c>
      <c r="D756">
        <f>IF($P756="","",INDEX(상세표[직위],$P756)&amp;"")</f>
        <v/>
      </c>
      <c r="E756">
        <f>IF($P756="","",IF(ISNUMBER(INDEX(상세표[시작],$P756)),TEXT(INDEX(상세표[시작],$P756),"yyyy-mm-dd hh:mm"),INDEX(상세표[시작],$P756)&amp;""))</f>
        <v/>
      </c>
      <c r="F756">
        <f>IF($P756="","",IF(ISNUMBER(INDEX(상세표[블록종료],$P756)),TEXT(INDEX(상세표[블록종료],$P756),"yyyy-mm-dd hh:mm"),INDEX(상세표[블록종료],$P756)&amp;""))</f>
        <v/>
      </c>
      <c r="G756">
        <f>IF($P756="","",CHOOSE(WEEKDAY(INDEX(상세표[시작],$P756)),"일","월","화","수","목","금","토"))</f>
        <v/>
      </c>
      <c r="H756">
        <f>IF($P756="","",INDEX(상세표[연속 시간],$P756))</f>
        <v/>
      </c>
      <c r="I756">
        <f>IF($P756="","",INDEX(상세표[기록 수],$P756))</f>
        <v/>
      </c>
      <c r="J756">
        <f>IF($P756="","",INDEX(상세표[블록 06~07시],$P756))</f>
        <v/>
      </c>
      <c r="K756">
        <f>IF($P756="","",INDEX(상세표[블록 07~18시],$P756))</f>
        <v/>
      </c>
      <c r="L756">
        <f>IF($P756="","",INDEX(상세표[블록 18~22시],$P756))</f>
        <v/>
      </c>
      <c r="M756">
        <f>IF($P756="","",INDEX(상세표[블록 22~06시],$P756))</f>
        <v/>
      </c>
      <c r="N756">
        <f>IF($P756="","",INDEX(상세표[주말·휴일 포함],$P756)&amp;"")</f>
        <v/>
      </c>
      <c r="O756">
        <f>IF($P756="","",INDEX(상세표[월 넘김 포함],$P756)&amp;"")</f>
        <v/>
      </c>
      <c r="P756" s="4">
        <f>IFERROR(MATCH(751,상세표[연속순번],0),"")</f>
        <v/>
      </c>
    </row>
    <row r="757">
      <c r="A757">
        <f>IF($P757="","",INDEX(상세표[사번],$P757)&amp;"")</f>
        <v/>
      </c>
      <c r="B757">
        <f>IF($P757="","",INDEX(상세표[성명],$P757)&amp;"")</f>
        <v/>
      </c>
      <c r="C757">
        <f>IF($P757="","",INDEX(상세표[부서],$P757)&amp;"")</f>
        <v/>
      </c>
      <c r="D757">
        <f>IF($P757="","",INDEX(상세표[직위],$P757)&amp;"")</f>
        <v/>
      </c>
      <c r="E757">
        <f>IF($P757="","",IF(ISNUMBER(INDEX(상세표[시작],$P757)),TEXT(INDEX(상세표[시작],$P757),"yyyy-mm-dd hh:mm"),INDEX(상세표[시작],$P757)&amp;""))</f>
        <v/>
      </c>
      <c r="F757">
        <f>IF($P757="","",IF(ISNUMBER(INDEX(상세표[블록종료],$P757)),TEXT(INDEX(상세표[블록종료],$P757),"yyyy-mm-dd hh:mm"),INDEX(상세표[블록종료],$P757)&amp;""))</f>
        <v/>
      </c>
      <c r="G757">
        <f>IF($P757="","",CHOOSE(WEEKDAY(INDEX(상세표[시작],$P757)),"일","월","화","수","목","금","토"))</f>
        <v/>
      </c>
      <c r="H757">
        <f>IF($P757="","",INDEX(상세표[연속 시간],$P757))</f>
        <v/>
      </c>
      <c r="I757">
        <f>IF($P757="","",INDEX(상세표[기록 수],$P757))</f>
        <v/>
      </c>
      <c r="J757">
        <f>IF($P757="","",INDEX(상세표[블록 06~07시],$P757))</f>
        <v/>
      </c>
      <c r="K757">
        <f>IF($P757="","",INDEX(상세표[블록 07~18시],$P757))</f>
        <v/>
      </c>
      <c r="L757">
        <f>IF($P757="","",INDEX(상세표[블록 18~22시],$P757))</f>
        <v/>
      </c>
      <c r="M757">
        <f>IF($P757="","",INDEX(상세표[블록 22~06시],$P757))</f>
        <v/>
      </c>
      <c r="N757">
        <f>IF($P757="","",INDEX(상세표[주말·휴일 포함],$P757)&amp;"")</f>
        <v/>
      </c>
      <c r="O757">
        <f>IF($P757="","",INDEX(상세표[월 넘김 포함],$P757)&amp;"")</f>
        <v/>
      </c>
      <c r="P757" s="4">
        <f>IFERROR(MATCH(752,상세표[연속순번],0),"")</f>
        <v/>
      </c>
    </row>
    <row r="758">
      <c r="A758">
        <f>IF($P758="","",INDEX(상세표[사번],$P758)&amp;"")</f>
        <v/>
      </c>
      <c r="B758">
        <f>IF($P758="","",INDEX(상세표[성명],$P758)&amp;"")</f>
        <v/>
      </c>
      <c r="C758">
        <f>IF($P758="","",INDEX(상세표[부서],$P758)&amp;"")</f>
        <v/>
      </c>
      <c r="D758">
        <f>IF($P758="","",INDEX(상세표[직위],$P758)&amp;"")</f>
        <v/>
      </c>
      <c r="E758">
        <f>IF($P758="","",IF(ISNUMBER(INDEX(상세표[시작],$P758)),TEXT(INDEX(상세표[시작],$P758),"yyyy-mm-dd hh:mm"),INDEX(상세표[시작],$P758)&amp;""))</f>
        <v/>
      </c>
      <c r="F758">
        <f>IF($P758="","",IF(ISNUMBER(INDEX(상세표[블록종료],$P758)),TEXT(INDEX(상세표[블록종료],$P758),"yyyy-mm-dd hh:mm"),INDEX(상세표[블록종료],$P758)&amp;""))</f>
        <v/>
      </c>
      <c r="G758">
        <f>IF($P758="","",CHOOSE(WEEKDAY(INDEX(상세표[시작],$P758)),"일","월","화","수","목","금","토"))</f>
        <v/>
      </c>
      <c r="H758">
        <f>IF($P758="","",INDEX(상세표[연속 시간],$P758))</f>
        <v/>
      </c>
      <c r="I758">
        <f>IF($P758="","",INDEX(상세표[기록 수],$P758))</f>
        <v/>
      </c>
      <c r="J758">
        <f>IF($P758="","",INDEX(상세표[블록 06~07시],$P758))</f>
        <v/>
      </c>
      <c r="K758">
        <f>IF($P758="","",INDEX(상세표[블록 07~18시],$P758))</f>
        <v/>
      </c>
      <c r="L758">
        <f>IF($P758="","",INDEX(상세표[블록 18~22시],$P758))</f>
        <v/>
      </c>
      <c r="M758">
        <f>IF($P758="","",INDEX(상세표[블록 22~06시],$P758))</f>
        <v/>
      </c>
      <c r="N758">
        <f>IF($P758="","",INDEX(상세표[주말·휴일 포함],$P758)&amp;"")</f>
        <v/>
      </c>
      <c r="O758">
        <f>IF($P758="","",INDEX(상세표[월 넘김 포함],$P758)&amp;"")</f>
        <v/>
      </c>
      <c r="P758" s="4">
        <f>IFERROR(MATCH(753,상세표[연속순번],0),"")</f>
        <v/>
      </c>
    </row>
    <row r="759">
      <c r="A759">
        <f>IF($P759="","",INDEX(상세표[사번],$P759)&amp;"")</f>
        <v/>
      </c>
      <c r="B759">
        <f>IF($P759="","",INDEX(상세표[성명],$P759)&amp;"")</f>
        <v/>
      </c>
      <c r="C759">
        <f>IF($P759="","",INDEX(상세표[부서],$P759)&amp;"")</f>
        <v/>
      </c>
      <c r="D759">
        <f>IF($P759="","",INDEX(상세표[직위],$P759)&amp;"")</f>
        <v/>
      </c>
      <c r="E759">
        <f>IF($P759="","",IF(ISNUMBER(INDEX(상세표[시작],$P759)),TEXT(INDEX(상세표[시작],$P759),"yyyy-mm-dd hh:mm"),INDEX(상세표[시작],$P759)&amp;""))</f>
        <v/>
      </c>
      <c r="F759">
        <f>IF($P759="","",IF(ISNUMBER(INDEX(상세표[블록종료],$P759)),TEXT(INDEX(상세표[블록종료],$P759),"yyyy-mm-dd hh:mm"),INDEX(상세표[블록종료],$P759)&amp;""))</f>
        <v/>
      </c>
      <c r="G759">
        <f>IF($P759="","",CHOOSE(WEEKDAY(INDEX(상세표[시작],$P759)),"일","월","화","수","목","금","토"))</f>
        <v/>
      </c>
      <c r="H759">
        <f>IF($P759="","",INDEX(상세표[연속 시간],$P759))</f>
        <v/>
      </c>
      <c r="I759">
        <f>IF($P759="","",INDEX(상세표[기록 수],$P759))</f>
        <v/>
      </c>
      <c r="J759">
        <f>IF($P759="","",INDEX(상세표[블록 06~07시],$P759))</f>
        <v/>
      </c>
      <c r="K759">
        <f>IF($P759="","",INDEX(상세표[블록 07~18시],$P759))</f>
        <v/>
      </c>
      <c r="L759">
        <f>IF($P759="","",INDEX(상세표[블록 18~22시],$P759))</f>
        <v/>
      </c>
      <c r="M759">
        <f>IF($P759="","",INDEX(상세표[블록 22~06시],$P759))</f>
        <v/>
      </c>
      <c r="N759">
        <f>IF($P759="","",INDEX(상세표[주말·휴일 포함],$P759)&amp;"")</f>
        <v/>
      </c>
      <c r="O759">
        <f>IF($P759="","",INDEX(상세표[월 넘김 포함],$P759)&amp;"")</f>
        <v/>
      </c>
      <c r="P759" s="4">
        <f>IFERROR(MATCH(754,상세표[연속순번],0),"")</f>
        <v/>
      </c>
    </row>
    <row r="760">
      <c r="A760">
        <f>IF($P760="","",INDEX(상세표[사번],$P760)&amp;"")</f>
        <v/>
      </c>
      <c r="B760">
        <f>IF($P760="","",INDEX(상세표[성명],$P760)&amp;"")</f>
        <v/>
      </c>
      <c r="C760">
        <f>IF($P760="","",INDEX(상세표[부서],$P760)&amp;"")</f>
        <v/>
      </c>
      <c r="D760">
        <f>IF($P760="","",INDEX(상세표[직위],$P760)&amp;"")</f>
        <v/>
      </c>
      <c r="E760">
        <f>IF($P760="","",IF(ISNUMBER(INDEX(상세표[시작],$P760)),TEXT(INDEX(상세표[시작],$P760),"yyyy-mm-dd hh:mm"),INDEX(상세표[시작],$P760)&amp;""))</f>
        <v/>
      </c>
      <c r="F760">
        <f>IF($P760="","",IF(ISNUMBER(INDEX(상세표[블록종료],$P760)),TEXT(INDEX(상세표[블록종료],$P760),"yyyy-mm-dd hh:mm"),INDEX(상세표[블록종료],$P760)&amp;""))</f>
        <v/>
      </c>
      <c r="G760">
        <f>IF($P760="","",CHOOSE(WEEKDAY(INDEX(상세표[시작],$P760)),"일","월","화","수","목","금","토"))</f>
        <v/>
      </c>
      <c r="H760">
        <f>IF($P760="","",INDEX(상세표[연속 시간],$P760))</f>
        <v/>
      </c>
      <c r="I760">
        <f>IF($P760="","",INDEX(상세표[기록 수],$P760))</f>
        <v/>
      </c>
      <c r="J760">
        <f>IF($P760="","",INDEX(상세표[블록 06~07시],$P760))</f>
        <v/>
      </c>
      <c r="K760">
        <f>IF($P760="","",INDEX(상세표[블록 07~18시],$P760))</f>
        <v/>
      </c>
      <c r="L760">
        <f>IF($P760="","",INDEX(상세표[블록 18~22시],$P760))</f>
        <v/>
      </c>
      <c r="M760">
        <f>IF($P760="","",INDEX(상세표[블록 22~06시],$P760))</f>
        <v/>
      </c>
      <c r="N760">
        <f>IF($P760="","",INDEX(상세표[주말·휴일 포함],$P760)&amp;"")</f>
        <v/>
      </c>
      <c r="O760">
        <f>IF($P760="","",INDEX(상세표[월 넘김 포함],$P760)&amp;"")</f>
        <v/>
      </c>
      <c r="P760" s="4">
        <f>IFERROR(MATCH(755,상세표[연속순번],0),"")</f>
        <v/>
      </c>
    </row>
    <row r="761">
      <c r="A761">
        <f>IF($P761="","",INDEX(상세표[사번],$P761)&amp;"")</f>
        <v/>
      </c>
      <c r="B761">
        <f>IF($P761="","",INDEX(상세표[성명],$P761)&amp;"")</f>
        <v/>
      </c>
      <c r="C761">
        <f>IF($P761="","",INDEX(상세표[부서],$P761)&amp;"")</f>
        <v/>
      </c>
      <c r="D761">
        <f>IF($P761="","",INDEX(상세표[직위],$P761)&amp;"")</f>
        <v/>
      </c>
      <c r="E761">
        <f>IF($P761="","",IF(ISNUMBER(INDEX(상세표[시작],$P761)),TEXT(INDEX(상세표[시작],$P761),"yyyy-mm-dd hh:mm"),INDEX(상세표[시작],$P761)&amp;""))</f>
        <v/>
      </c>
      <c r="F761">
        <f>IF($P761="","",IF(ISNUMBER(INDEX(상세표[블록종료],$P761)),TEXT(INDEX(상세표[블록종료],$P761),"yyyy-mm-dd hh:mm"),INDEX(상세표[블록종료],$P761)&amp;""))</f>
        <v/>
      </c>
      <c r="G761">
        <f>IF($P761="","",CHOOSE(WEEKDAY(INDEX(상세표[시작],$P761)),"일","월","화","수","목","금","토"))</f>
        <v/>
      </c>
      <c r="H761">
        <f>IF($P761="","",INDEX(상세표[연속 시간],$P761))</f>
        <v/>
      </c>
      <c r="I761">
        <f>IF($P761="","",INDEX(상세표[기록 수],$P761))</f>
        <v/>
      </c>
      <c r="J761">
        <f>IF($P761="","",INDEX(상세표[블록 06~07시],$P761))</f>
        <v/>
      </c>
      <c r="K761">
        <f>IF($P761="","",INDEX(상세표[블록 07~18시],$P761))</f>
        <v/>
      </c>
      <c r="L761">
        <f>IF($P761="","",INDEX(상세표[블록 18~22시],$P761))</f>
        <v/>
      </c>
      <c r="M761">
        <f>IF($P761="","",INDEX(상세표[블록 22~06시],$P761))</f>
        <v/>
      </c>
      <c r="N761">
        <f>IF($P761="","",INDEX(상세표[주말·휴일 포함],$P761)&amp;"")</f>
        <v/>
      </c>
      <c r="O761">
        <f>IF($P761="","",INDEX(상세표[월 넘김 포함],$P761)&amp;"")</f>
        <v/>
      </c>
      <c r="P761" s="4">
        <f>IFERROR(MATCH(756,상세표[연속순번],0),"")</f>
        <v/>
      </c>
    </row>
    <row r="762">
      <c r="A762">
        <f>IF($P762="","",INDEX(상세표[사번],$P762)&amp;"")</f>
        <v/>
      </c>
      <c r="B762">
        <f>IF($P762="","",INDEX(상세표[성명],$P762)&amp;"")</f>
        <v/>
      </c>
      <c r="C762">
        <f>IF($P762="","",INDEX(상세표[부서],$P762)&amp;"")</f>
        <v/>
      </c>
      <c r="D762">
        <f>IF($P762="","",INDEX(상세표[직위],$P762)&amp;"")</f>
        <v/>
      </c>
      <c r="E762">
        <f>IF($P762="","",IF(ISNUMBER(INDEX(상세표[시작],$P762)),TEXT(INDEX(상세표[시작],$P762),"yyyy-mm-dd hh:mm"),INDEX(상세표[시작],$P762)&amp;""))</f>
        <v/>
      </c>
      <c r="F762">
        <f>IF($P762="","",IF(ISNUMBER(INDEX(상세표[블록종료],$P762)),TEXT(INDEX(상세표[블록종료],$P762),"yyyy-mm-dd hh:mm"),INDEX(상세표[블록종료],$P762)&amp;""))</f>
        <v/>
      </c>
      <c r="G762">
        <f>IF($P762="","",CHOOSE(WEEKDAY(INDEX(상세표[시작],$P762)),"일","월","화","수","목","금","토"))</f>
        <v/>
      </c>
      <c r="H762">
        <f>IF($P762="","",INDEX(상세표[연속 시간],$P762))</f>
        <v/>
      </c>
      <c r="I762">
        <f>IF($P762="","",INDEX(상세표[기록 수],$P762))</f>
        <v/>
      </c>
      <c r="J762">
        <f>IF($P762="","",INDEX(상세표[블록 06~07시],$P762))</f>
        <v/>
      </c>
      <c r="K762">
        <f>IF($P762="","",INDEX(상세표[블록 07~18시],$P762))</f>
        <v/>
      </c>
      <c r="L762">
        <f>IF($P762="","",INDEX(상세표[블록 18~22시],$P762))</f>
        <v/>
      </c>
      <c r="M762">
        <f>IF($P762="","",INDEX(상세표[블록 22~06시],$P762))</f>
        <v/>
      </c>
      <c r="N762">
        <f>IF($P762="","",INDEX(상세표[주말·휴일 포함],$P762)&amp;"")</f>
        <v/>
      </c>
      <c r="O762">
        <f>IF($P762="","",INDEX(상세표[월 넘김 포함],$P762)&amp;"")</f>
        <v/>
      </c>
      <c r="P762" s="4">
        <f>IFERROR(MATCH(757,상세표[연속순번],0),"")</f>
        <v/>
      </c>
    </row>
    <row r="763">
      <c r="A763">
        <f>IF($P763="","",INDEX(상세표[사번],$P763)&amp;"")</f>
        <v/>
      </c>
      <c r="B763">
        <f>IF($P763="","",INDEX(상세표[성명],$P763)&amp;"")</f>
        <v/>
      </c>
      <c r="C763">
        <f>IF($P763="","",INDEX(상세표[부서],$P763)&amp;"")</f>
        <v/>
      </c>
      <c r="D763">
        <f>IF($P763="","",INDEX(상세표[직위],$P763)&amp;"")</f>
        <v/>
      </c>
      <c r="E763">
        <f>IF($P763="","",IF(ISNUMBER(INDEX(상세표[시작],$P763)),TEXT(INDEX(상세표[시작],$P763),"yyyy-mm-dd hh:mm"),INDEX(상세표[시작],$P763)&amp;""))</f>
        <v/>
      </c>
      <c r="F763">
        <f>IF($P763="","",IF(ISNUMBER(INDEX(상세표[블록종료],$P763)),TEXT(INDEX(상세표[블록종료],$P763),"yyyy-mm-dd hh:mm"),INDEX(상세표[블록종료],$P763)&amp;""))</f>
        <v/>
      </c>
      <c r="G763">
        <f>IF($P763="","",CHOOSE(WEEKDAY(INDEX(상세표[시작],$P763)),"일","월","화","수","목","금","토"))</f>
        <v/>
      </c>
      <c r="H763">
        <f>IF($P763="","",INDEX(상세표[연속 시간],$P763))</f>
        <v/>
      </c>
      <c r="I763">
        <f>IF($P763="","",INDEX(상세표[기록 수],$P763))</f>
        <v/>
      </c>
      <c r="J763">
        <f>IF($P763="","",INDEX(상세표[블록 06~07시],$P763))</f>
        <v/>
      </c>
      <c r="K763">
        <f>IF($P763="","",INDEX(상세표[블록 07~18시],$P763))</f>
        <v/>
      </c>
      <c r="L763">
        <f>IF($P763="","",INDEX(상세표[블록 18~22시],$P763))</f>
        <v/>
      </c>
      <c r="M763">
        <f>IF($P763="","",INDEX(상세표[블록 22~06시],$P763))</f>
        <v/>
      </c>
      <c r="N763">
        <f>IF($P763="","",INDEX(상세표[주말·휴일 포함],$P763)&amp;"")</f>
        <v/>
      </c>
      <c r="O763">
        <f>IF($P763="","",INDEX(상세표[월 넘김 포함],$P763)&amp;"")</f>
        <v/>
      </c>
      <c r="P763" s="4">
        <f>IFERROR(MATCH(758,상세표[연속순번],0),"")</f>
        <v/>
      </c>
    </row>
    <row r="764">
      <c r="A764">
        <f>IF($P764="","",INDEX(상세표[사번],$P764)&amp;"")</f>
        <v/>
      </c>
      <c r="B764">
        <f>IF($P764="","",INDEX(상세표[성명],$P764)&amp;"")</f>
        <v/>
      </c>
      <c r="C764">
        <f>IF($P764="","",INDEX(상세표[부서],$P764)&amp;"")</f>
        <v/>
      </c>
      <c r="D764">
        <f>IF($P764="","",INDEX(상세표[직위],$P764)&amp;"")</f>
        <v/>
      </c>
      <c r="E764">
        <f>IF($P764="","",IF(ISNUMBER(INDEX(상세표[시작],$P764)),TEXT(INDEX(상세표[시작],$P764),"yyyy-mm-dd hh:mm"),INDEX(상세표[시작],$P764)&amp;""))</f>
        <v/>
      </c>
      <c r="F764">
        <f>IF($P764="","",IF(ISNUMBER(INDEX(상세표[블록종료],$P764)),TEXT(INDEX(상세표[블록종료],$P764),"yyyy-mm-dd hh:mm"),INDEX(상세표[블록종료],$P764)&amp;""))</f>
        <v/>
      </c>
      <c r="G764">
        <f>IF($P764="","",CHOOSE(WEEKDAY(INDEX(상세표[시작],$P764)),"일","월","화","수","목","금","토"))</f>
        <v/>
      </c>
      <c r="H764">
        <f>IF($P764="","",INDEX(상세표[연속 시간],$P764))</f>
        <v/>
      </c>
      <c r="I764">
        <f>IF($P764="","",INDEX(상세표[기록 수],$P764))</f>
        <v/>
      </c>
      <c r="J764">
        <f>IF($P764="","",INDEX(상세표[블록 06~07시],$P764))</f>
        <v/>
      </c>
      <c r="K764">
        <f>IF($P764="","",INDEX(상세표[블록 07~18시],$P764))</f>
        <v/>
      </c>
      <c r="L764">
        <f>IF($P764="","",INDEX(상세표[블록 18~22시],$P764))</f>
        <v/>
      </c>
      <c r="M764">
        <f>IF($P764="","",INDEX(상세표[블록 22~06시],$P764))</f>
        <v/>
      </c>
      <c r="N764">
        <f>IF($P764="","",INDEX(상세표[주말·휴일 포함],$P764)&amp;"")</f>
        <v/>
      </c>
      <c r="O764">
        <f>IF($P764="","",INDEX(상세표[월 넘김 포함],$P764)&amp;"")</f>
        <v/>
      </c>
      <c r="P764" s="4">
        <f>IFERROR(MATCH(759,상세표[연속순번],0),"")</f>
        <v/>
      </c>
    </row>
    <row r="765">
      <c r="A765">
        <f>IF($P765="","",INDEX(상세표[사번],$P765)&amp;"")</f>
        <v/>
      </c>
      <c r="B765">
        <f>IF($P765="","",INDEX(상세표[성명],$P765)&amp;"")</f>
        <v/>
      </c>
      <c r="C765">
        <f>IF($P765="","",INDEX(상세표[부서],$P765)&amp;"")</f>
        <v/>
      </c>
      <c r="D765">
        <f>IF($P765="","",INDEX(상세표[직위],$P765)&amp;"")</f>
        <v/>
      </c>
      <c r="E765">
        <f>IF($P765="","",IF(ISNUMBER(INDEX(상세표[시작],$P765)),TEXT(INDEX(상세표[시작],$P765),"yyyy-mm-dd hh:mm"),INDEX(상세표[시작],$P765)&amp;""))</f>
        <v/>
      </c>
      <c r="F765">
        <f>IF($P765="","",IF(ISNUMBER(INDEX(상세표[블록종료],$P765)),TEXT(INDEX(상세표[블록종료],$P765),"yyyy-mm-dd hh:mm"),INDEX(상세표[블록종료],$P765)&amp;""))</f>
        <v/>
      </c>
      <c r="G765">
        <f>IF($P765="","",CHOOSE(WEEKDAY(INDEX(상세표[시작],$P765)),"일","월","화","수","목","금","토"))</f>
        <v/>
      </c>
      <c r="H765">
        <f>IF($P765="","",INDEX(상세표[연속 시간],$P765))</f>
        <v/>
      </c>
      <c r="I765">
        <f>IF($P765="","",INDEX(상세표[기록 수],$P765))</f>
        <v/>
      </c>
      <c r="J765">
        <f>IF($P765="","",INDEX(상세표[블록 06~07시],$P765))</f>
        <v/>
      </c>
      <c r="K765">
        <f>IF($P765="","",INDEX(상세표[블록 07~18시],$P765))</f>
        <v/>
      </c>
      <c r="L765">
        <f>IF($P765="","",INDEX(상세표[블록 18~22시],$P765))</f>
        <v/>
      </c>
      <c r="M765">
        <f>IF($P765="","",INDEX(상세표[블록 22~06시],$P765))</f>
        <v/>
      </c>
      <c r="N765">
        <f>IF($P765="","",INDEX(상세표[주말·휴일 포함],$P765)&amp;"")</f>
        <v/>
      </c>
      <c r="O765">
        <f>IF($P765="","",INDEX(상세표[월 넘김 포함],$P765)&amp;"")</f>
        <v/>
      </c>
      <c r="P765" s="4">
        <f>IFERROR(MATCH(760,상세표[연속순번],0),"")</f>
        <v/>
      </c>
    </row>
    <row r="766">
      <c r="A766">
        <f>IF($P766="","",INDEX(상세표[사번],$P766)&amp;"")</f>
        <v/>
      </c>
      <c r="B766">
        <f>IF($P766="","",INDEX(상세표[성명],$P766)&amp;"")</f>
        <v/>
      </c>
      <c r="C766">
        <f>IF($P766="","",INDEX(상세표[부서],$P766)&amp;"")</f>
        <v/>
      </c>
      <c r="D766">
        <f>IF($P766="","",INDEX(상세표[직위],$P766)&amp;"")</f>
        <v/>
      </c>
      <c r="E766">
        <f>IF($P766="","",IF(ISNUMBER(INDEX(상세표[시작],$P766)),TEXT(INDEX(상세표[시작],$P766),"yyyy-mm-dd hh:mm"),INDEX(상세표[시작],$P766)&amp;""))</f>
        <v/>
      </c>
      <c r="F766">
        <f>IF($P766="","",IF(ISNUMBER(INDEX(상세표[블록종료],$P766)),TEXT(INDEX(상세표[블록종료],$P766),"yyyy-mm-dd hh:mm"),INDEX(상세표[블록종료],$P766)&amp;""))</f>
        <v/>
      </c>
      <c r="G766">
        <f>IF($P766="","",CHOOSE(WEEKDAY(INDEX(상세표[시작],$P766)),"일","월","화","수","목","금","토"))</f>
        <v/>
      </c>
      <c r="H766">
        <f>IF($P766="","",INDEX(상세표[연속 시간],$P766))</f>
        <v/>
      </c>
      <c r="I766">
        <f>IF($P766="","",INDEX(상세표[기록 수],$P766))</f>
        <v/>
      </c>
      <c r="J766">
        <f>IF($P766="","",INDEX(상세표[블록 06~07시],$P766))</f>
        <v/>
      </c>
      <c r="K766">
        <f>IF($P766="","",INDEX(상세표[블록 07~18시],$P766))</f>
        <v/>
      </c>
      <c r="L766">
        <f>IF($P766="","",INDEX(상세표[블록 18~22시],$P766))</f>
        <v/>
      </c>
      <c r="M766">
        <f>IF($P766="","",INDEX(상세표[블록 22~06시],$P766))</f>
        <v/>
      </c>
      <c r="N766">
        <f>IF($P766="","",INDEX(상세표[주말·휴일 포함],$P766)&amp;"")</f>
        <v/>
      </c>
      <c r="O766">
        <f>IF($P766="","",INDEX(상세표[월 넘김 포함],$P766)&amp;"")</f>
        <v/>
      </c>
      <c r="P766" s="4">
        <f>IFERROR(MATCH(761,상세표[연속순번],0),"")</f>
        <v/>
      </c>
    </row>
    <row r="767">
      <c r="A767">
        <f>IF($P767="","",INDEX(상세표[사번],$P767)&amp;"")</f>
        <v/>
      </c>
      <c r="B767">
        <f>IF($P767="","",INDEX(상세표[성명],$P767)&amp;"")</f>
        <v/>
      </c>
      <c r="C767">
        <f>IF($P767="","",INDEX(상세표[부서],$P767)&amp;"")</f>
        <v/>
      </c>
      <c r="D767">
        <f>IF($P767="","",INDEX(상세표[직위],$P767)&amp;"")</f>
        <v/>
      </c>
      <c r="E767">
        <f>IF($P767="","",IF(ISNUMBER(INDEX(상세표[시작],$P767)),TEXT(INDEX(상세표[시작],$P767),"yyyy-mm-dd hh:mm"),INDEX(상세표[시작],$P767)&amp;""))</f>
        <v/>
      </c>
      <c r="F767">
        <f>IF($P767="","",IF(ISNUMBER(INDEX(상세표[블록종료],$P767)),TEXT(INDEX(상세표[블록종료],$P767),"yyyy-mm-dd hh:mm"),INDEX(상세표[블록종료],$P767)&amp;""))</f>
        <v/>
      </c>
      <c r="G767">
        <f>IF($P767="","",CHOOSE(WEEKDAY(INDEX(상세표[시작],$P767)),"일","월","화","수","목","금","토"))</f>
        <v/>
      </c>
      <c r="H767">
        <f>IF($P767="","",INDEX(상세표[연속 시간],$P767))</f>
        <v/>
      </c>
      <c r="I767">
        <f>IF($P767="","",INDEX(상세표[기록 수],$P767))</f>
        <v/>
      </c>
      <c r="J767">
        <f>IF($P767="","",INDEX(상세표[블록 06~07시],$P767))</f>
        <v/>
      </c>
      <c r="K767">
        <f>IF($P767="","",INDEX(상세표[블록 07~18시],$P767))</f>
        <v/>
      </c>
      <c r="L767">
        <f>IF($P767="","",INDEX(상세표[블록 18~22시],$P767))</f>
        <v/>
      </c>
      <c r="M767">
        <f>IF($P767="","",INDEX(상세표[블록 22~06시],$P767))</f>
        <v/>
      </c>
      <c r="N767">
        <f>IF($P767="","",INDEX(상세표[주말·휴일 포함],$P767)&amp;"")</f>
        <v/>
      </c>
      <c r="O767">
        <f>IF($P767="","",INDEX(상세표[월 넘김 포함],$P767)&amp;"")</f>
        <v/>
      </c>
      <c r="P767" s="4">
        <f>IFERROR(MATCH(762,상세표[연속순번],0),"")</f>
        <v/>
      </c>
    </row>
    <row r="768">
      <c r="A768">
        <f>IF($P768="","",INDEX(상세표[사번],$P768)&amp;"")</f>
        <v/>
      </c>
      <c r="B768">
        <f>IF($P768="","",INDEX(상세표[성명],$P768)&amp;"")</f>
        <v/>
      </c>
      <c r="C768">
        <f>IF($P768="","",INDEX(상세표[부서],$P768)&amp;"")</f>
        <v/>
      </c>
      <c r="D768">
        <f>IF($P768="","",INDEX(상세표[직위],$P768)&amp;"")</f>
        <v/>
      </c>
      <c r="E768">
        <f>IF($P768="","",IF(ISNUMBER(INDEX(상세표[시작],$P768)),TEXT(INDEX(상세표[시작],$P768),"yyyy-mm-dd hh:mm"),INDEX(상세표[시작],$P768)&amp;""))</f>
        <v/>
      </c>
      <c r="F768">
        <f>IF($P768="","",IF(ISNUMBER(INDEX(상세표[블록종료],$P768)),TEXT(INDEX(상세표[블록종료],$P768),"yyyy-mm-dd hh:mm"),INDEX(상세표[블록종료],$P768)&amp;""))</f>
        <v/>
      </c>
      <c r="G768">
        <f>IF($P768="","",CHOOSE(WEEKDAY(INDEX(상세표[시작],$P768)),"일","월","화","수","목","금","토"))</f>
        <v/>
      </c>
      <c r="H768">
        <f>IF($P768="","",INDEX(상세표[연속 시간],$P768))</f>
        <v/>
      </c>
      <c r="I768">
        <f>IF($P768="","",INDEX(상세표[기록 수],$P768))</f>
        <v/>
      </c>
      <c r="J768">
        <f>IF($P768="","",INDEX(상세표[블록 06~07시],$P768))</f>
        <v/>
      </c>
      <c r="K768">
        <f>IF($P768="","",INDEX(상세표[블록 07~18시],$P768))</f>
        <v/>
      </c>
      <c r="L768">
        <f>IF($P768="","",INDEX(상세표[블록 18~22시],$P768))</f>
        <v/>
      </c>
      <c r="M768">
        <f>IF($P768="","",INDEX(상세표[블록 22~06시],$P768))</f>
        <v/>
      </c>
      <c r="N768">
        <f>IF($P768="","",INDEX(상세표[주말·휴일 포함],$P768)&amp;"")</f>
        <v/>
      </c>
      <c r="O768">
        <f>IF($P768="","",INDEX(상세표[월 넘김 포함],$P768)&amp;"")</f>
        <v/>
      </c>
      <c r="P768" s="4">
        <f>IFERROR(MATCH(763,상세표[연속순번],0),"")</f>
        <v/>
      </c>
    </row>
    <row r="769">
      <c r="A769">
        <f>IF($P769="","",INDEX(상세표[사번],$P769)&amp;"")</f>
        <v/>
      </c>
      <c r="B769">
        <f>IF($P769="","",INDEX(상세표[성명],$P769)&amp;"")</f>
        <v/>
      </c>
      <c r="C769">
        <f>IF($P769="","",INDEX(상세표[부서],$P769)&amp;"")</f>
        <v/>
      </c>
      <c r="D769">
        <f>IF($P769="","",INDEX(상세표[직위],$P769)&amp;"")</f>
        <v/>
      </c>
      <c r="E769">
        <f>IF($P769="","",IF(ISNUMBER(INDEX(상세표[시작],$P769)),TEXT(INDEX(상세표[시작],$P769),"yyyy-mm-dd hh:mm"),INDEX(상세표[시작],$P769)&amp;""))</f>
        <v/>
      </c>
      <c r="F769">
        <f>IF($P769="","",IF(ISNUMBER(INDEX(상세표[블록종료],$P769)),TEXT(INDEX(상세표[블록종료],$P769),"yyyy-mm-dd hh:mm"),INDEX(상세표[블록종료],$P769)&amp;""))</f>
        <v/>
      </c>
      <c r="G769">
        <f>IF($P769="","",CHOOSE(WEEKDAY(INDEX(상세표[시작],$P769)),"일","월","화","수","목","금","토"))</f>
        <v/>
      </c>
      <c r="H769">
        <f>IF($P769="","",INDEX(상세표[연속 시간],$P769))</f>
        <v/>
      </c>
      <c r="I769">
        <f>IF($P769="","",INDEX(상세표[기록 수],$P769))</f>
        <v/>
      </c>
      <c r="J769">
        <f>IF($P769="","",INDEX(상세표[블록 06~07시],$P769))</f>
        <v/>
      </c>
      <c r="K769">
        <f>IF($P769="","",INDEX(상세표[블록 07~18시],$P769))</f>
        <v/>
      </c>
      <c r="L769">
        <f>IF($P769="","",INDEX(상세표[블록 18~22시],$P769))</f>
        <v/>
      </c>
      <c r="M769">
        <f>IF($P769="","",INDEX(상세표[블록 22~06시],$P769))</f>
        <v/>
      </c>
      <c r="N769">
        <f>IF($P769="","",INDEX(상세표[주말·휴일 포함],$P769)&amp;"")</f>
        <v/>
      </c>
      <c r="O769">
        <f>IF($P769="","",INDEX(상세표[월 넘김 포함],$P769)&amp;"")</f>
        <v/>
      </c>
      <c r="P769" s="4">
        <f>IFERROR(MATCH(764,상세표[연속순번],0),"")</f>
        <v/>
      </c>
    </row>
    <row r="770">
      <c r="A770">
        <f>IF($P770="","",INDEX(상세표[사번],$P770)&amp;"")</f>
        <v/>
      </c>
      <c r="B770">
        <f>IF($P770="","",INDEX(상세표[성명],$P770)&amp;"")</f>
        <v/>
      </c>
      <c r="C770">
        <f>IF($P770="","",INDEX(상세표[부서],$P770)&amp;"")</f>
        <v/>
      </c>
      <c r="D770">
        <f>IF($P770="","",INDEX(상세표[직위],$P770)&amp;"")</f>
        <v/>
      </c>
      <c r="E770">
        <f>IF($P770="","",IF(ISNUMBER(INDEX(상세표[시작],$P770)),TEXT(INDEX(상세표[시작],$P770),"yyyy-mm-dd hh:mm"),INDEX(상세표[시작],$P770)&amp;""))</f>
        <v/>
      </c>
      <c r="F770">
        <f>IF($P770="","",IF(ISNUMBER(INDEX(상세표[블록종료],$P770)),TEXT(INDEX(상세표[블록종료],$P770),"yyyy-mm-dd hh:mm"),INDEX(상세표[블록종료],$P770)&amp;""))</f>
        <v/>
      </c>
      <c r="G770">
        <f>IF($P770="","",CHOOSE(WEEKDAY(INDEX(상세표[시작],$P770)),"일","월","화","수","목","금","토"))</f>
        <v/>
      </c>
      <c r="H770">
        <f>IF($P770="","",INDEX(상세표[연속 시간],$P770))</f>
        <v/>
      </c>
      <c r="I770">
        <f>IF($P770="","",INDEX(상세표[기록 수],$P770))</f>
        <v/>
      </c>
      <c r="J770">
        <f>IF($P770="","",INDEX(상세표[블록 06~07시],$P770))</f>
        <v/>
      </c>
      <c r="K770">
        <f>IF($P770="","",INDEX(상세표[블록 07~18시],$P770))</f>
        <v/>
      </c>
      <c r="L770">
        <f>IF($P770="","",INDEX(상세표[블록 18~22시],$P770))</f>
        <v/>
      </c>
      <c r="M770">
        <f>IF($P770="","",INDEX(상세표[블록 22~06시],$P770))</f>
        <v/>
      </c>
      <c r="N770">
        <f>IF($P770="","",INDEX(상세표[주말·휴일 포함],$P770)&amp;"")</f>
        <v/>
      </c>
      <c r="O770">
        <f>IF($P770="","",INDEX(상세표[월 넘김 포함],$P770)&amp;"")</f>
        <v/>
      </c>
      <c r="P770" s="4">
        <f>IFERROR(MATCH(765,상세표[연속순번],0),"")</f>
        <v/>
      </c>
    </row>
    <row r="771">
      <c r="A771">
        <f>IF($P771="","",INDEX(상세표[사번],$P771)&amp;"")</f>
        <v/>
      </c>
      <c r="B771">
        <f>IF($P771="","",INDEX(상세표[성명],$P771)&amp;"")</f>
        <v/>
      </c>
      <c r="C771">
        <f>IF($P771="","",INDEX(상세표[부서],$P771)&amp;"")</f>
        <v/>
      </c>
      <c r="D771">
        <f>IF($P771="","",INDEX(상세표[직위],$P771)&amp;"")</f>
        <v/>
      </c>
      <c r="E771">
        <f>IF($P771="","",IF(ISNUMBER(INDEX(상세표[시작],$P771)),TEXT(INDEX(상세표[시작],$P771),"yyyy-mm-dd hh:mm"),INDEX(상세표[시작],$P771)&amp;""))</f>
        <v/>
      </c>
      <c r="F771">
        <f>IF($P771="","",IF(ISNUMBER(INDEX(상세표[블록종료],$P771)),TEXT(INDEX(상세표[블록종료],$P771),"yyyy-mm-dd hh:mm"),INDEX(상세표[블록종료],$P771)&amp;""))</f>
        <v/>
      </c>
      <c r="G771">
        <f>IF($P771="","",CHOOSE(WEEKDAY(INDEX(상세표[시작],$P771)),"일","월","화","수","목","금","토"))</f>
        <v/>
      </c>
      <c r="H771">
        <f>IF($P771="","",INDEX(상세표[연속 시간],$P771))</f>
        <v/>
      </c>
      <c r="I771">
        <f>IF($P771="","",INDEX(상세표[기록 수],$P771))</f>
        <v/>
      </c>
      <c r="J771">
        <f>IF($P771="","",INDEX(상세표[블록 06~07시],$P771))</f>
        <v/>
      </c>
      <c r="K771">
        <f>IF($P771="","",INDEX(상세표[블록 07~18시],$P771))</f>
        <v/>
      </c>
      <c r="L771">
        <f>IF($P771="","",INDEX(상세표[블록 18~22시],$P771))</f>
        <v/>
      </c>
      <c r="M771">
        <f>IF($P771="","",INDEX(상세표[블록 22~06시],$P771))</f>
        <v/>
      </c>
      <c r="N771">
        <f>IF($P771="","",INDEX(상세표[주말·휴일 포함],$P771)&amp;"")</f>
        <v/>
      </c>
      <c r="O771">
        <f>IF($P771="","",INDEX(상세표[월 넘김 포함],$P771)&amp;"")</f>
        <v/>
      </c>
      <c r="P771" s="4">
        <f>IFERROR(MATCH(766,상세표[연속순번],0),"")</f>
        <v/>
      </c>
    </row>
    <row r="772">
      <c r="A772">
        <f>IF($P772="","",INDEX(상세표[사번],$P772)&amp;"")</f>
        <v/>
      </c>
      <c r="B772">
        <f>IF($P772="","",INDEX(상세표[성명],$P772)&amp;"")</f>
        <v/>
      </c>
      <c r="C772">
        <f>IF($P772="","",INDEX(상세표[부서],$P772)&amp;"")</f>
        <v/>
      </c>
      <c r="D772">
        <f>IF($P772="","",INDEX(상세표[직위],$P772)&amp;"")</f>
        <v/>
      </c>
      <c r="E772">
        <f>IF($P772="","",IF(ISNUMBER(INDEX(상세표[시작],$P772)),TEXT(INDEX(상세표[시작],$P772),"yyyy-mm-dd hh:mm"),INDEX(상세표[시작],$P772)&amp;""))</f>
        <v/>
      </c>
      <c r="F772">
        <f>IF($P772="","",IF(ISNUMBER(INDEX(상세표[블록종료],$P772)),TEXT(INDEX(상세표[블록종료],$P772),"yyyy-mm-dd hh:mm"),INDEX(상세표[블록종료],$P772)&amp;""))</f>
        <v/>
      </c>
      <c r="G772">
        <f>IF($P772="","",CHOOSE(WEEKDAY(INDEX(상세표[시작],$P772)),"일","월","화","수","목","금","토"))</f>
        <v/>
      </c>
      <c r="H772">
        <f>IF($P772="","",INDEX(상세표[연속 시간],$P772))</f>
        <v/>
      </c>
      <c r="I772">
        <f>IF($P772="","",INDEX(상세표[기록 수],$P772))</f>
        <v/>
      </c>
      <c r="J772">
        <f>IF($P772="","",INDEX(상세표[블록 06~07시],$P772))</f>
        <v/>
      </c>
      <c r="K772">
        <f>IF($P772="","",INDEX(상세표[블록 07~18시],$P772))</f>
        <v/>
      </c>
      <c r="L772">
        <f>IF($P772="","",INDEX(상세표[블록 18~22시],$P772))</f>
        <v/>
      </c>
      <c r="M772">
        <f>IF($P772="","",INDEX(상세표[블록 22~06시],$P772))</f>
        <v/>
      </c>
      <c r="N772">
        <f>IF($P772="","",INDEX(상세표[주말·휴일 포함],$P772)&amp;"")</f>
        <v/>
      </c>
      <c r="O772">
        <f>IF($P772="","",INDEX(상세표[월 넘김 포함],$P772)&amp;"")</f>
        <v/>
      </c>
      <c r="P772" s="4">
        <f>IFERROR(MATCH(767,상세표[연속순번],0),"")</f>
        <v/>
      </c>
    </row>
    <row r="773">
      <c r="A773">
        <f>IF($P773="","",INDEX(상세표[사번],$P773)&amp;"")</f>
        <v/>
      </c>
      <c r="B773">
        <f>IF($P773="","",INDEX(상세표[성명],$P773)&amp;"")</f>
        <v/>
      </c>
      <c r="C773">
        <f>IF($P773="","",INDEX(상세표[부서],$P773)&amp;"")</f>
        <v/>
      </c>
      <c r="D773">
        <f>IF($P773="","",INDEX(상세표[직위],$P773)&amp;"")</f>
        <v/>
      </c>
      <c r="E773">
        <f>IF($P773="","",IF(ISNUMBER(INDEX(상세표[시작],$P773)),TEXT(INDEX(상세표[시작],$P773),"yyyy-mm-dd hh:mm"),INDEX(상세표[시작],$P773)&amp;""))</f>
        <v/>
      </c>
      <c r="F773">
        <f>IF($P773="","",IF(ISNUMBER(INDEX(상세표[블록종료],$P773)),TEXT(INDEX(상세표[블록종료],$P773),"yyyy-mm-dd hh:mm"),INDEX(상세표[블록종료],$P773)&amp;""))</f>
        <v/>
      </c>
      <c r="G773">
        <f>IF($P773="","",CHOOSE(WEEKDAY(INDEX(상세표[시작],$P773)),"일","월","화","수","목","금","토"))</f>
        <v/>
      </c>
      <c r="H773">
        <f>IF($P773="","",INDEX(상세표[연속 시간],$P773))</f>
        <v/>
      </c>
      <c r="I773">
        <f>IF($P773="","",INDEX(상세표[기록 수],$P773))</f>
        <v/>
      </c>
      <c r="J773">
        <f>IF($P773="","",INDEX(상세표[블록 06~07시],$P773))</f>
        <v/>
      </c>
      <c r="K773">
        <f>IF($P773="","",INDEX(상세표[블록 07~18시],$P773))</f>
        <v/>
      </c>
      <c r="L773">
        <f>IF($P773="","",INDEX(상세표[블록 18~22시],$P773))</f>
        <v/>
      </c>
      <c r="M773">
        <f>IF($P773="","",INDEX(상세표[블록 22~06시],$P773))</f>
        <v/>
      </c>
      <c r="N773">
        <f>IF($P773="","",INDEX(상세표[주말·휴일 포함],$P773)&amp;"")</f>
        <v/>
      </c>
      <c r="O773">
        <f>IF($P773="","",INDEX(상세표[월 넘김 포함],$P773)&amp;"")</f>
        <v/>
      </c>
      <c r="P773" s="4">
        <f>IFERROR(MATCH(768,상세표[연속순번],0),"")</f>
        <v/>
      </c>
    </row>
    <row r="774">
      <c r="A774">
        <f>IF($P774="","",INDEX(상세표[사번],$P774)&amp;"")</f>
        <v/>
      </c>
      <c r="B774">
        <f>IF($P774="","",INDEX(상세표[성명],$P774)&amp;"")</f>
        <v/>
      </c>
      <c r="C774">
        <f>IF($P774="","",INDEX(상세표[부서],$P774)&amp;"")</f>
        <v/>
      </c>
      <c r="D774">
        <f>IF($P774="","",INDEX(상세표[직위],$P774)&amp;"")</f>
        <v/>
      </c>
      <c r="E774">
        <f>IF($P774="","",IF(ISNUMBER(INDEX(상세표[시작],$P774)),TEXT(INDEX(상세표[시작],$P774),"yyyy-mm-dd hh:mm"),INDEX(상세표[시작],$P774)&amp;""))</f>
        <v/>
      </c>
      <c r="F774">
        <f>IF($P774="","",IF(ISNUMBER(INDEX(상세표[블록종료],$P774)),TEXT(INDEX(상세표[블록종료],$P774),"yyyy-mm-dd hh:mm"),INDEX(상세표[블록종료],$P774)&amp;""))</f>
        <v/>
      </c>
      <c r="G774">
        <f>IF($P774="","",CHOOSE(WEEKDAY(INDEX(상세표[시작],$P774)),"일","월","화","수","목","금","토"))</f>
        <v/>
      </c>
      <c r="H774">
        <f>IF($P774="","",INDEX(상세표[연속 시간],$P774))</f>
        <v/>
      </c>
      <c r="I774">
        <f>IF($P774="","",INDEX(상세표[기록 수],$P774))</f>
        <v/>
      </c>
      <c r="J774">
        <f>IF($P774="","",INDEX(상세표[블록 06~07시],$P774))</f>
        <v/>
      </c>
      <c r="K774">
        <f>IF($P774="","",INDEX(상세표[블록 07~18시],$P774))</f>
        <v/>
      </c>
      <c r="L774">
        <f>IF($P774="","",INDEX(상세표[블록 18~22시],$P774))</f>
        <v/>
      </c>
      <c r="M774">
        <f>IF($P774="","",INDEX(상세표[블록 22~06시],$P774))</f>
        <v/>
      </c>
      <c r="N774">
        <f>IF($P774="","",INDEX(상세표[주말·휴일 포함],$P774)&amp;"")</f>
        <v/>
      </c>
      <c r="O774">
        <f>IF($P774="","",INDEX(상세표[월 넘김 포함],$P774)&amp;"")</f>
        <v/>
      </c>
      <c r="P774" s="4">
        <f>IFERROR(MATCH(769,상세표[연속순번],0),"")</f>
        <v/>
      </c>
    </row>
    <row r="775">
      <c r="A775">
        <f>IF($P775="","",INDEX(상세표[사번],$P775)&amp;"")</f>
        <v/>
      </c>
      <c r="B775">
        <f>IF($P775="","",INDEX(상세표[성명],$P775)&amp;"")</f>
        <v/>
      </c>
      <c r="C775">
        <f>IF($P775="","",INDEX(상세표[부서],$P775)&amp;"")</f>
        <v/>
      </c>
      <c r="D775">
        <f>IF($P775="","",INDEX(상세표[직위],$P775)&amp;"")</f>
        <v/>
      </c>
      <c r="E775">
        <f>IF($P775="","",IF(ISNUMBER(INDEX(상세표[시작],$P775)),TEXT(INDEX(상세표[시작],$P775),"yyyy-mm-dd hh:mm"),INDEX(상세표[시작],$P775)&amp;""))</f>
        <v/>
      </c>
      <c r="F775">
        <f>IF($P775="","",IF(ISNUMBER(INDEX(상세표[블록종료],$P775)),TEXT(INDEX(상세표[블록종료],$P775),"yyyy-mm-dd hh:mm"),INDEX(상세표[블록종료],$P775)&amp;""))</f>
        <v/>
      </c>
      <c r="G775">
        <f>IF($P775="","",CHOOSE(WEEKDAY(INDEX(상세표[시작],$P775)),"일","월","화","수","목","금","토"))</f>
        <v/>
      </c>
      <c r="H775">
        <f>IF($P775="","",INDEX(상세표[연속 시간],$P775))</f>
        <v/>
      </c>
      <c r="I775">
        <f>IF($P775="","",INDEX(상세표[기록 수],$P775))</f>
        <v/>
      </c>
      <c r="J775">
        <f>IF($P775="","",INDEX(상세표[블록 06~07시],$P775))</f>
        <v/>
      </c>
      <c r="K775">
        <f>IF($P775="","",INDEX(상세표[블록 07~18시],$P775))</f>
        <v/>
      </c>
      <c r="L775">
        <f>IF($P775="","",INDEX(상세표[블록 18~22시],$P775))</f>
        <v/>
      </c>
      <c r="M775">
        <f>IF($P775="","",INDEX(상세표[블록 22~06시],$P775))</f>
        <v/>
      </c>
      <c r="N775">
        <f>IF($P775="","",INDEX(상세표[주말·휴일 포함],$P775)&amp;"")</f>
        <v/>
      </c>
      <c r="O775">
        <f>IF($P775="","",INDEX(상세표[월 넘김 포함],$P775)&amp;"")</f>
        <v/>
      </c>
      <c r="P775" s="4">
        <f>IFERROR(MATCH(770,상세표[연속순번],0),"")</f>
        <v/>
      </c>
    </row>
    <row r="776">
      <c r="A776">
        <f>IF($P776="","",INDEX(상세표[사번],$P776)&amp;"")</f>
        <v/>
      </c>
      <c r="B776">
        <f>IF($P776="","",INDEX(상세표[성명],$P776)&amp;"")</f>
        <v/>
      </c>
      <c r="C776">
        <f>IF($P776="","",INDEX(상세표[부서],$P776)&amp;"")</f>
        <v/>
      </c>
      <c r="D776">
        <f>IF($P776="","",INDEX(상세표[직위],$P776)&amp;"")</f>
        <v/>
      </c>
      <c r="E776">
        <f>IF($P776="","",IF(ISNUMBER(INDEX(상세표[시작],$P776)),TEXT(INDEX(상세표[시작],$P776),"yyyy-mm-dd hh:mm"),INDEX(상세표[시작],$P776)&amp;""))</f>
        <v/>
      </c>
      <c r="F776">
        <f>IF($P776="","",IF(ISNUMBER(INDEX(상세표[블록종료],$P776)),TEXT(INDEX(상세표[블록종료],$P776),"yyyy-mm-dd hh:mm"),INDEX(상세표[블록종료],$P776)&amp;""))</f>
        <v/>
      </c>
      <c r="G776">
        <f>IF($P776="","",CHOOSE(WEEKDAY(INDEX(상세표[시작],$P776)),"일","월","화","수","목","금","토"))</f>
        <v/>
      </c>
      <c r="H776">
        <f>IF($P776="","",INDEX(상세표[연속 시간],$P776))</f>
        <v/>
      </c>
      <c r="I776">
        <f>IF($P776="","",INDEX(상세표[기록 수],$P776))</f>
        <v/>
      </c>
      <c r="J776">
        <f>IF($P776="","",INDEX(상세표[블록 06~07시],$P776))</f>
        <v/>
      </c>
      <c r="K776">
        <f>IF($P776="","",INDEX(상세표[블록 07~18시],$P776))</f>
        <v/>
      </c>
      <c r="L776">
        <f>IF($P776="","",INDEX(상세표[블록 18~22시],$P776))</f>
        <v/>
      </c>
      <c r="M776">
        <f>IF($P776="","",INDEX(상세표[블록 22~06시],$P776))</f>
        <v/>
      </c>
      <c r="N776">
        <f>IF($P776="","",INDEX(상세표[주말·휴일 포함],$P776)&amp;"")</f>
        <v/>
      </c>
      <c r="O776">
        <f>IF($P776="","",INDEX(상세표[월 넘김 포함],$P776)&amp;"")</f>
        <v/>
      </c>
      <c r="P776" s="4">
        <f>IFERROR(MATCH(771,상세표[연속순번],0),"")</f>
        <v/>
      </c>
    </row>
    <row r="777">
      <c r="A777">
        <f>IF($P777="","",INDEX(상세표[사번],$P777)&amp;"")</f>
        <v/>
      </c>
      <c r="B777">
        <f>IF($P777="","",INDEX(상세표[성명],$P777)&amp;"")</f>
        <v/>
      </c>
      <c r="C777">
        <f>IF($P777="","",INDEX(상세표[부서],$P777)&amp;"")</f>
        <v/>
      </c>
      <c r="D777">
        <f>IF($P777="","",INDEX(상세표[직위],$P777)&amp;"")</f>
        <v/>
      </c>
      <c r="E777">
        <f>IF($P777="","",IF(ISNUMBER(INDEX(상세표[시작],$P777)),TEXT(INDEX(상세표[시작],$P777),"yyyy-mm-dd hh:mm"),INDEX(상세표[시작],$P777)&amp;""))</f>
        <v/>
      </c>
      <c r="F777">
        <f>IF($P777="","",IF(ISNUMBER(INDEX(상세표[블록종료],$P777)),TEXT(INDEX(상세표[블록종료],$P777),"yyyy-mm-dd hh:mm"),INDEX(상세표[블록종료],$P777)&amp;""))</f>
        <v/>
      </c>
      <c r="G777">
        <f>IF($P777="","",CHOOSE(WEEKDAY(INDEX(상세표[시작],$P777)),"일","월","화","수","목","금","토"))</f>
        <v/>
      </c>
      <c r="H777">
        <f>IF($P777="","",INDEX(상세표[연속 시간],$P777))</f>
        <v/>
      </c>
      <c r="I777">
        <f>IF($P777="","",INDEX(상세표[기록 수],$P777))</f>
        <v/>
      </c>
      <c r="J777">
        <f>IF($P777="","",INDEX(상세표[블록 06~07시],$P777))</f>
        <v/>
      </c>
      <c r="K777">
        <f>IF($P777="","",INDEX(상세표[블록 07~18시],$P777))</f>
        <v/>
      </c>
      <c r="L777">
        <f>IF($P777="","",INDEX(상세표[블록 18~22시],$P777))</f>
        <v/>
      </c>
      <c r="M777">
        <f>IF($P777="","",INDEX(상세표[블록 22~06시],$P777))</f>
        <v/>
      </c>
      <c r="N777">
        <f>IF($P777="","",INDEX(상세표[주말·휴일 포함],$P777)&amp;"")</f>
        <v/>
      </c>
      <c r="O777">
        <f>IF($P777="","",INDEX(상세표[월 넘김 포함],$P777)&amp;"")</f>
        <v/>
      </c>
      <c r="P777" s="4">
        <f>IFERROR(MATCH(772,상세표[연속순번],0),"")</f>
        <v/>
      </c>
    </row>
    <row r="778">
      <c r="A778">
        <f>IF($P778="","",INDEX(상세표[사번],$P778)&amp;"")</f>
        <v/>
      </c>
      <c r="B778">
        <f>IF($P778="","",INDEX(상세표[성명],$P778)&amp;"")</f>
        <v/>
      </c>
      <c r="C778">
        <f>IF($P778="","",INDEX(상세표[부서],$P778)&amp;"")</f>
        <v/>
      </c>
      <c r="D778">
        <f>IF($P778="","",INDEX(상세표[직위],$P778)&amp;"")</f>
        <v/>
      </c>
      <c r="E778">
        <f>IF($P778="","",IF(ISNUMBER(INDEX(상세표[시작],$P778)),TEXT(INDEX(상세표[시작],$P778),"yyyy-mm-dd hh:mm"),INDEX(상세표[시작],$P778)&amp;""))</f>
        <v/>
      </c>
      <c r="F778">
        <f>IF($P778="","",IF(ISNUMBER(INDEX(상세표[블록종료],$P778)),TEXT(INDEX(상세표[블록종료],$P778),"yyyy-mm-dd hh:mm"),INDEX(상세표[블록종료],$P778)&amp;""))</f>
        <v/>
      </c>
      <c r="G778">
        <f>IF($P778="","",CHOOSE(WEEKDAY(INDEX(상세표[시작],$P778)),"일","월","화","수","목","금","토"))</f>
        <v/>
      </c>
      <c r="H778">
        <f>IF($P778="","",INDEX(상세표[연속 시간],$P778))</f>
        <v/>
      </c>
      <c r="I778">
        <f>IF($P778="","",INDEX(상세표[기록 수],$P778))</f>
        <v/>
      </c>
      <c r="J778">
        <f>IF($P778="","",INDEX(상세표[블록 06~07시],$P778))</f>
        <v/>
      </c>
      <c r="K778">
        <f>IF($P778="","",INDEX(상세표[블록 07~18시],$P778))</f>
        <v/>
      </c>
      <c r="L778">
        <f>IF($P778="","",INDEX(상세표[블록 18~22시],$P778))</f>
        <v/>
      </c>
      <c r="M778">
        <f>IF($P778="","",INDEX(상세표[블록 22~06시],$P778))</f>
        <v/>
      </c>
      <c r="N778">
        <f>IF($P778="","",INDEX(상세표[주말·휴일 포함],$P778)&amp;"")</f>
        <v/>
      </c>
      <c r="O778">
        <f>IF($P778="","",INDEX(상세표[월 넘김 포함],$P778)&amp;"")</f>
        <v/>
      </c>
      <c r="P778" s="4">
        <f>IFERROR(MATCH(773,상세표[연속순번],0),"")</f>
        <v/>
      </c>
    </row>
    <row r="779">
      <c r="A779">
        <f>IF($P779="","",INDEX(상세표[사번],$P779)&amp;"")</f>
        <v/>
      </c>
      <c r="B779">
        <f>IF($P779="","",INDEX(상세표[성명],$P779)&amp;"")</f>
        <v/>
      </c>
      <c r="C779">
        <f>IF($P779="","",INDEX(상세표[부서],$P779)&amp;"")</f>
        <v/>
      </c>
      <c r="D779">
        <f>IF($P779="","",INDEX(상세표[직위],$P779)&amp;"")</f>
        <v/>
      </c>
      <c r="E779">
        <f>IF($P779="","",IF(ISNUMBER(INDEX(상세표[시작],$P779)),TEXT(INDEX(상세표[시작],$P779),"yyyy-mm-dd hh:mm"),INDEX(상세표[시작],$P779)&amp;""))</f>
        <v/>
      </c>
      <c r="F779">
        <f>IF($P779="","",IF(ISNUMBER(INDEX(상세표[블록종료],$P779)),TEXT(INDEX(상세표[블록종료],$P779),"yyyy-mm-dd hh:mm"),INDEX(상세표[블록종료],$P779)&amp;""))</f>
        <v/>
      </c>
      <c r="G779">
        <f>IF($P779="","",CHOOSE(WEEKDAY(INDEX(상세표[시작],$P779)),"일","월","화","수","목","금","토"))</f>
        <v/>
      </c>
      <c r="H779">
        <f>IF($P779="","",INDEX(상세표[연속 시간],$P779))</f>
        <v/>
      </c>
      <c r="I779">
        <f>IF($P779="","",INDEX(상세표[기록 수],$P779))</f>
        <v/>
      </c>
      <c r="J779">
        <f>IF($P779="","",INDEX(상세표[블록 06~07시],$P779))</f>
        <v/>
      </c>
      <c r="K779">
        <f>IF($P779="","",INDEX(상세표[블록 07~18시],$P779))</f>
        <v/>
      </c>
      <c r="L779">
        <f>IF($P779="","",INDEX(상세표[블록 18~22시],$P779))</f>
        <v/>
      </c>
      <c r="M779">
        <f>IF($P779="","",INDEX(상세표[블록 22~06시],$P779))</f>
        <v/>
      </c>
      <c r="N779">
        <f>IF($P779="","",INDEX(상세표[주말·휴일 포함],$P779)&amp;"")</f>
        <v/>
      </c>
      <c r="O779">
        <f>IF($P779="","",INDEX(상세표[월 넘김 포함],$P779)&amp;"")</f>
        <v/>
      </c>
      <c r="P779" s="4">
        <f>IFERROR(MATCH(774,상세표[연속순번],0),"")</f>
        <v/>
      </c>
    </row>
    <row r="780">
      <c r="A780">
        <f>IF($P780="","",INDEX(상세표[사번],$P780)&amp;"")</f>
        <v/>
      </c>
      <c r="B780">
        <f>IF($P780="","",INDEX(상세표[성명],$P780)&amp;"")</f>
        <v/>
      </c>
      <c r="C780">
        <f>IF($P780="","",INDEX(상세표[부서],$P780)&amp;"")</f>
        <v/>
      </c>
      <c r="D780">
        <f>IF($P780="","",INDEX(상세표[직위],$P780)&amp;"")</f>
        <v/>
      </c>
      <c r="E780">
        <f>IF($P780="","",IF(ISNUMBER(INDEX(상세표[시작],$P780)),TEXT(INDEX(상세표[시작],$P780),"yyyy-mm-dd hh:mm"),INDEX(상세표[시작],$P780)&amp;""))</f>
        <v/>
      </c>
      <c r="F780">
        <f>IF($P780="","",IF(ISNUMBER(INDEX(상세표[블록종료],$P780)),TEXT(INDEX(상세표[블록종료],$P780),"yyyy-mm-dd hh:mm"),INDEX(상세표[블록종료],$P780)&amp;""))</f>
        <v/>
      </c>
      <c r="G780">
        <f>IF($P780="","",CHOOSE(WEEKDAY(INDEX(상세표[시작],$P780)),"일","월","화","수","목","금","토"))</f>
        <v/>
      </c>
      <c r="H780">
        <f>IF($P780="","",INDEX(상세표[연속 시간],$P780))</f>
        <v/>
      </c>
      <c r="I780">
        <f>IF($P780="","",INDEX(상세표[기록 수],$P780))</f>
        <v/>
      </c>
      <c r="J780">
        <f>IF($P780="","",INDEX(상세표[블록 06~07시],$P780))</f>
        <v/>
      </c>
      <c r="K780">
        <f>IF($P780="","",INDEX(상세표[블록 07~18시],$P780))</f>
        <v/>
      </c>
      <c r="L780">
        <f>IF($P780="","",INDEX(상세표[블록 18~22시],$P780))</f>
        <v/>
      </c>
      <c r="M780">
        <f>IF($P780="","",INDEX(상세표[블록 22~06시],$P780))</f>
        <v/>
      </c>
      <c r="N780">
        <f>IF($P780="","",INDEX(상세표[주말·휴일 포함],$P780)&amp;"")</f>
        <v/>
      </c>
      <c r="O780">
        <f>IF($P780="","",INDEX(상세표[월 넘김 포함],$P780)&amp;"")</f>
        <v/>
      </c>
      <c r="P780" s="4">
        <f>IFERROR(MATCH(775,상세표[연속순번],0),"")</f>
        <v/>
      </c>
    </row>
    <row r="781">
      <c r="A781">
        <f>IF($P781="","",INDEX(상세표[사번],$P781)&amp;"")</f>
        <v/>
      </c>
      <c r="B781">
        <f>IF($P781="","",INDEX(상세표[성명],$P781)&amp;"")</f>
        <v/>
      </c>
      <c r="C781">
        <f>IF($P781="","",INDEX(상세표[부서],$P781)&amp;"")</f>
        <v/>
      </c>
      <c r="D781">
        <f>IF($P781="","",INDEX(상세표[직위],$P781)&amp;"")</f>
        <v/>
      </c>
      <c r="E781">
        <f>IF($P781="","",IF(ISNUMBER(INDEX(상세표[시작],$P781)),TEXT(INDEX(상세표[시작],$P781),"yyyy-mm-dd hh:mm"),INDEX(상세표[시작],$P781)&amp;""))</f>
        <v/>
      </c>
      <c r="F781">
        <f>IF($P781="","",IF(ISNUMBER(INDEX(상세표[블록종료],$P781)),TEXT(INDEX(상세표[블록종료],$P781),"yyyy-mm-dd hh:mm"),INDEX(상세표[블록종료],$P781)&amp;""))</f>
        <v/>
      </c>
      <c r="G781">
        <f>IF($P781="","",CHOOSE(WEEKDAY(INDEX(상세표[시작],$P781)),"일","월","화","수","목","금","토"))</f>
        <v/>
      </c>
      <c r="H781">
        <f>IF($P781="","",INDEX(상세표[연속 시간],$P781))</f>
        <v/>
      </c>
      <c r="I781">
        <f>IF($P781="","",INDEX(상세표[기록 수],$P781))</f>
        <v/>
      </c>
      <c r="J781">
        <f>IF($P781="","",INDEX(상세표[블록 06~07시],$P781))</f>
        <v/>
      </c>
      <c r="K781">
        <f>IF($P781="","",INDEX(상세표[블록 07~18시],$P781))</f>
        <v/>
      </c>
      <c r="L781">
        <f>IF($P781="","",INDEX(상세표[블록 18~22시],$P781))</f>
        <v/>
      </c>
      <c r="M781">
        <f>IF($P781="","",INDEX(상세표[블록 22~06시],$P781))</f>
        <v/>
      </c>
      <c r="N781">
        <f>IF($P781="","",INDEX(상세표[주말·휴일 포함],$P781)&amp;"")</f>
        <v/>
      </c>
      <c r="O781">
        <f>IF($P781="","",INDEX(상세표[월 넘김 포함],$P781)&amp;"")</f>
        <v/>
      </c>
      <c r="P781" s="4">
        <f>IFERROR(MATCH(776,상세표[연속순번],0),"")</f>
        <v/>
      </c>
    </row>
    <row r="782">
      <c r="A782">
        <f>IF($P782="","",INDEX(상세표[사번],$P782)&amp;"")</f>
        <v/>
      </c>
      <c r="B782">
        <f>IF($P782="","",INDEX(상세표[성명],$P782)&amp;"")</f>
        <v/>
      </c>
      <c r="C782">
        <f>IF($P782="","",INDEX(상세표[부서],$P782)&amp;"")</f>
        <v/>
      </c>
      <c r="D782">
        <f>IF($P782="","",INDEX(상세표[직위],$P782)&amp;"")</f>
        <v/>
      </c>
      <c r="E782">
        <f>IF($P782="","",IF(ISNUMBER(INDEX(상세표[시작],$P782)),TEXT(INDEX(상세표[시작],$P782),"yyyy-mm-dd hh:mm"),INDEX(상세표[시작],$P782)&amp;""))</f>
        <v/>
      </c>
      <c r="F782">
        <f>IF($P782="","",IF(ISNUMBER(INDEX(상세표[블록종료],$P782)),TEXT(INDEX(상세표[블록종료],$P782),"yyyy-mm-dd hh:mm"),INDEX(상세표[블록종료],$P782)&amp;""))</f>
        <v/>
      </c>
      <c r="G782">
        <f>IF($P782="","",CHOOSE(WEEKDAY(INDEX(상세표[시작],$P782)),"일","월","화","수","목","금","토"))</f>
        <v/>
      </c>
      <c r="H782">
        <f>IF($P782="","",INDEX(상세표[연속 시간],$P782))</f>
        <v/>
      </c>
      <c r="I782">
        <f>IF($P782="","",INDEX(상세표[기록 수],$P782))</f>
        <v/>
      </c>
      <c r="J782">
        <f>IF($P782="","",INDEX(상세표[블록 06~07시],$P782))</f>
        <v/>
      </c>
      <c r="K782">
        <f>IF($P782="","",INDEX(상세표[블록 07~18시],$P782))</f>
        <v/>
      </c>
      <c r="L782">
        <f>IF($P782="","",INDEX(상세표[블록 18~22시],$P782))</f>
        <v/>
      </c>
      <c r="M782">
        <f>IF($P782="","",INDEX(상세표[블록 22~06시],$P782))</f>
        <v/>
      </c>
      <c r="N782">
        <f>IF($P782="","",INDEX(상세표[주말·휴일 포함],$P782)&amp;"")</f>
        <v/>
      </c>
      <c r="O782">
        <f>IF($P782="","",INDEX(상세표[월 넘김 포함],$P782)&amp;"")</f>
        <v/>
      </c>
      <c r="P782" s="4">
        <f>IFERROR(MATCH(777,상세표[연속순번],0),"")</f>
        <v/>
      </c>
    </row>
    <row r="783">
      <c r="A783">
        <f>IF($P783="","",INDEX(상세표[사번],$P783)&amp;"")</f>
        <v/>
      </c>
      <c r="B783">
        <f>IF($P783="","",INDEX(상세표[성명],$P783)&amp;"")</f>
        <v/>
      </c>
      <c r="C783">
        <f>IF($P783="","",INDEX(상세표[부서],$P783)&amp;"")</f>
        <v/>
      </c>
      <c r="D783">
        <f>IF($P783="","",INDEX(상세표[직위],$P783)&amp;"")</f>
        <v/>
      </c>
      <c r="E783">
        <f>IF($P783="","",IF(ISNUMBER(INDEX(상세표[시작],$P783)),TEXT(INDEX(상세표[시작],$P783),"yyyy-mm-dd hh:mm"),INDEX(상세표[시작],$P783)&amp;""))</f>
        <v/>
      </c>
      <c r="F783">
        <f>IF($P783="","",IF(ISNUMBER(INDEX(상세표[블록종료],$P783)),TEXT(INDEX(상세표[블록종료],$P783),"yyyy-mm-dd hh:mm"),INDEX(상세표[블록종료],$P783)&amp;""))</f>
        <v/>
      </c>
      <c r="G783">
        <f>IF($P783="","",CHOOSE(WEEKDAY(INDEX(상세표[시작],$P783)),"일","월","화","수","목","금","토"))</f>
        <v/>
      </c>
      <c r="H783">
        <f>IF($P783="","",INDEX(상세표[연속 시간],$P783))</f>
        <v/>
      </c>
      <c r="I783">
        <f>IF($P783="","",INDEX(상세표[기록 수],$P783))</f>
        <v/>
      </c>
      <c r="J783">
        <f>IF($P783="","",INDEX(상세표[블록 06~07시],$P783))</f>
        <v/>
      </c>
      <c r="K783">
        <f>IF($P783="","",INDEX(상세표[블록 07~18시],$P783))</f>
        <v/>
      </c>
      <c r="L783">
        <f>IF($P783="","",INDEX(상세표[블록 18~22시],$P783))</f>
        <v/>
      </c>
      <c r="M783">
        <f>IF($P783="","",INDEX(상세표[블록 22~06시],$P783))</f>
        <v/>
      </c>
      <c r="N783">
        <f>IF($P783="","",INDEX(상세표[주말·휴일 포함],$P783)&amp;"")</f>
        <v/>
      </c>
      <c r="O783">
        <f>IF($P783="","",INDEX(상세표[월 넘김 포함],$P783)&amp;"")</f>
        <v/>
      </c>
      <c r="P783" s="4">
        <f>IFERROR(MATCH(778,상세표[연속순번],0),"")</f>
        <v/>
      </c>
    </row>
    <row r="784">
      <c r="A784">
        <f>IF($P784="","",INDEX(상세표[사번],$P784)&amp;"")</f>
        <v/>
      </c>
      <c r="B784">
        <f>IF($P784="","",INDEX(상세표[성명],$P784)&amp;"")</f>
        <v/>
      </c>
      <c r="C784">
        <f>IF($P784="","",INDEX(상세표[부서],$P784)&amp;"")</f>
        <v/>
      </c>
      <c r="D784">
        <f>IF($P784="","",INDEX(상세표[직위],$P784)&amp;"")</f>
        <v/>
      </c>
      <c r="E784">
        <f>IF($P784="","",IF(ISNUMBER(INDEX(상세표[시작],$P784)),TEXT(INDEX(상세표[시작],$P784),"yyyy-mm-dd hh:mm"),INDEX(상세표[시작],$P784)&amp;""))</f>
        <v/>
      </c>
      <c r="F784">
        <f>IF($P784="","",IF(ISNUMBER(INDEX(상세표[블록종료],$P784)),TEXT(INDEX(상세표[블록종료],$P784),"yyyy-mm-dd hh:mm"),INDEX(상세표[블록종료],$P784)&amp;""))</f>
        <v/>
      </c>
      <c r="G784">
        <f>IF($P784="","",CHOOSE(WEEKDAY(INDEX(상세표[시작],$P784)),"일","월","화","수","목","금","토"))</f>
        <v/>
      </c>
      <c r="H784">
        <f>IF($P784="","",INDEX(상세표[연속 시간],$P784))</f>
        <v/>
      </c>
      <c r="I784">
        <f>IF($P784="","",INDEX(상세표[기록 수],$P784))</f>
        <v/>
      </c>
      <c r="J784">
        <f>IF($P784="","",INDEX(상세표[블록 06~07시],$P784))</f>
        <v/>
      </c>
      <c r="K784">
        <f>IF($P784="","",INDEX(상세표[블록 07~18시],$P784))</f>
        <v/>
      </c>
      <c r="L784">
        <f>IF($P784="","",INDEX(상세표[블록 18~22시],$P784))</f>
        <v/>
      </c>
      <c r="M784">
        <f>IF($P784="","",INDEX(상세표[블록 22~06시],$P784))</f>
        <v/>
      </c>
      <c r="N784">
        <f>IF($P784="","",INDEX(상세표[주말·휴일 포함],$P784)&amp;"")</f>
        <v/>
      </c>
      <c r="O784">
        <f>IF($P784="","",INDEX(상세표[월 넘김 포함],$P784)&amp;"")</f>
        <v/>
      </c>
      <c r="P784" s="4">
        <f>IFERROR(MATCH(779,상세표[연속순번],0),"")</f>
        <v/>
      </c>
    </row>
    <row r="785">
      <c r="A785">
        <f>IF($P785="","",INDEX(상세표[사번],$P785)&amp;"")</f>
        <v/>
      </c>
      <c r="B785">
        <f>IF($P785="","",INDEX(상세표[성명],$P785)&amp;"")</f>
        <v/>
      </c>
      <c r="C785">
        <f>IF($P785="","",INDEX(상세표[부서],$P785)&amp;"")</f>
        <v/>
      </c>
      <c r="D785">
        <f>IF($P785="","",INDEX(상세표[직위],$P785)&amp;"")</f>
        <v/>
      </c>
      <c r="E785">
        <f>IF($P785="","",IF(ISNUMBER(INDEX(상세표[시작],$P785)),TEXT(INDEX(상세표[시작],$P785),"yyyy-mm-dd hh:mm"),INDEX(상세표[시작],$P785)&amp;""))</f>
        <v/>
      </c>
      <c r="F785">
        <f>IF($P785="","",IF(ISNUMBER(INDEX(상세표[블록종료],$P785)),TEXT(INDEX(상세표[블록종료],$P785),"yyyy-mm-dd hh:mm"),INDEX(상세표[블록종료],$P785)&amp;""))</f>
        <v/>
      </c>
      <c r="G785">
        <f>IF($P785="","",CHOOSE(WEEKDAY(INDEX(상세표[시작],$P785)),"일","월","화","수","목","금","토"))</f>
        <v/>
      </c>
      <c r="H785">
        <f>IF($P785="","",INDEX(상세표[연속 시간],$P785))</f>
        <v/>
      </c>
      <c r="I785">
        <f>IF($P785="","",INDEX(상세표[기록 수],$P785))</f>
        <v/>
      </c>
      <c r="J785">
        <f>IF($P785="","",INDEX(상세표[블록 06~07시],$P785))</f>
        <v/>
      </c>
      <c r="K785">
        <f>IF($P785="","",INDEX(상세표[블록 07~18시],$P785))</f>
        <v/>
      </c>
      <c r="L785">
        <f>IF($P785="","",INDEX(상세표[블록 18~22시],$P785))</f>
        <v/>
      </c>
      <c r="M785">
        <f>IF($P785="","",INDEX(상세표[블록 22~06시],$P785))</f>
        <v/>
      </c>
      <c r="N785">
        <f>IF($P785="","",INDEX(상세표[주말·휴일 포함],$P785)&amp;"")</f>
        <v/>
      </c>
      <c r="O785">
        <f>IF($P785="","",INDEX(상세표[월 넘김 포함],$P785)&amp;"")</f>
        <v/>
      </c>
      <c r="P785" s="4">
        <f>IFERROR(MATCH(780,상세표[연속순번],0),"")</f>
        <v/>
      </c>
    </row>
    <row r="786">
      <c r="A786">
        <f>IF($P786="","",INDEX(상세표[사번],$P786)&amp;"")</f>
        <v/>
      </c>
      <c r="B786">
        <f>IF($P786="","",INDEX(상세표[성명],$P786)&amp;"")</f>
        <v/>
      </c>
      <c r="C786">
        <f>IF($P786="","",INDEX(상세표[부서],$P786)&amp;"")</f>
        <v/>
      </c>
      <c r="D786">
        <f>IF($P786="","",INDEX(상세표[직위],$P786)&amp;"")</f>
        <v/>
      </c>
      <c r="E786">
        <f>IF($P786="","",IF(ISNUMBER(INDEX(상세표[시작],$P786)),TEXT(INDEX(상세표[시작],$P786),"yyyy-mm-dd hh:mm"),INDEX(상세표[시작],$P786)&amp;""))</f>
        <v/>
      </c>
      <c r="F786">
        <f>IF($P786="","",IF(ISNUMBER(INDEX(상세표[블록종료],$P786)),TEXT(INDEX(상세표[블록종료],$P786),"yyyy-mm-dd hh:mm"),INDEX(상세표[블록종료],$P786)&amp;""))</f>
        <v/>
      </c>
      <c r="G786">
        <f>IF($P786="","",CHOOSE(WEEKDAY(INDEX(상세표[시작],$P786)),"일","월","화","수","목","금","토"))</f>
        <v/>
      </c>
      <c r="H786">
        <f>IF($P786="","",INDEX(상세표[연속 시간],$P786))</f>
        <v/>
      </c>
      <c r="I786">
        <f>IF($P786="","",INDEX(상세표[기록 수],$P786))</f>
        <v/>
      </c>
      <c r="J786">
        <f>IF($P786="","",INDEX(상세표[블록 06~07시],$P786))</f>
        <v/>
      </c>
      <c r="K786">
        <f>IF($P786="","",INDEX(상세표[블록 07~18시],$P786))</f>
        <v/>
      </c>
      <c r="L786">
        <f>IF($P786="","",INDEX(상세표[블록 18~22시],$P786))</f>
        <v/>
      </c>
      <c r="M786">
        <f>IF($P786="","",INDEX(상세표[블록 22~06시],$P786))</f>
        <v/>
      </c>
      <c r="N786">
        <f>IF($P786="","",INDEX(상세표[주말·휴일 포함],$P786)&amp;"")</f>
        <v/>
      </c>
      <c r="O786">
        <f>IF($P786="","",INDEX(상세표[월 넘김 포함],$P786)&amp;"")</f>
        <v/>
      </c>
      <c r="P786" s="4">
        <f>IFERROR(MATCH(781,상세표[연속순번],0),"")</f>
        <v/>
      </c>
    </row>
    <row r="787">
      <c r="A787">
        <f>IF($P787="","",INDEX(상세표[사번],$P787)&amp;"")</f>
        <v/>
      </c>
      <c r="B787">
        <f>IF($P787="","",INDEX(상세표[성명],$P787)&amp;"")</f>
        <v/>
      </c>
      <c r="C787">
        <f>IF($P787="","",INDEX(상세표[부서],$P787)&amp;"")</f>
        <v/>
      </c>
      <c r="D787">
        <f>IF($P787="","",INDEX(상세표[직위],$P787)&amp;"")</f>
        <v/>
      </c>
      <c r="E787">
        <f>IF($P787="","",IF(ISNUMBER(INDEX(상세표[시작],$P787)),TEXT(INDEX(상세표[시작],$P787),"yyyy-mm-dd hh:mm"),INDEX(상세표[시작],$P787)&amp;""))</f>
        <v/>
      </c>
      <c r="F787">
        <f>IF($P787="","",IF(ISNUMBER(INDEX(상세표[블록종료],$P787)),TEXT(INDEX(상세표[블록종료],$P787),"yyyy-mm-dd hh:mm"),INDEX(상세표[블록종료],$P787)&amp;""))</f>
        <v/>
      </c>
      <c r="G787">
        <f>IF($P787="","",CHOOSE(WEEKDAY(INDEX(상세표[시작],$P787)),"일","월","화","수","목","금","토"))</f>
        <v/>
      </c>
      <c r="H787">
        <f>IF($P787="","",INDEX(상세표[연속 시간],$P787))</f>
        <v/>
      </c>
      <c r="I787">
        <f>IF($P787="","",INDEX(상세표[기록 수],$P787))</f>
        <v/>
      </c>
      <c r="J787">
        <f>IF($P787="","",INDEX(상세표[블록 06~07시],$P787))</f>
        <v/>
      </c>
      <c r="K787">
        <f>IF($P787="","",INDEX(상세표[블록 07~18시],$P787))</f>
        <v/>
      </c>
      <c r="L787">
        <f>IF($P787="","",INDEX(상세표[블록 18~22시],$P787))</f>
        <v/>
      </c>
      <c r="M787">
        <f>IF($P787="","",INDEX(상세표[블록 22~06시],$P787))</f>
        <v/>
      </c>
      <c r="N787">
        <f>IF($P787="","",INDEX(상세표[주말·휴일 포함],$P787)&amp;"")</f>
        <v/>
      </c>
      <c r="O787">
        <f>IF($P787="","",INDEX(상세표[월 넘김 포함],$P787)&amp;"")</f>
        <v/>
      </c>
      <c r="P787" s="4">
        <f>IFERROR(MATCH(782,상세표[연속순번],0),"")</f>
        <v/>
      </c>
    </row>
    <row r="788">
      <c r="A788">
        <f>IF($P788="","",INDEX(상세표[사번],$P788)&amp;"")</f>
        <v/>
      </c>
      <c r="B788">
        <f>IF($P788="","",INDEX(상세표[성명],$P788)&amp;"")</f>
        <v/>
      </c>
      <c r="C788">
        <f>IF($P788="","",INDEX(상세표[부서],$P788)&amp;"")</f>
        <v/>
      </c>
      <c r="D788">
        <f>IF($P788="","",INDEX(상세표[직위],$P788)&amp;"")</f>
        <v/>
      </c>
      <c r="E788">
        <f>IF($P788="","",IF(ISNUMBER(INDEX(상세표[시작],$P788)),TEXT(INDEX(상세표[시작],$P788),"yyyy-mm-dd hh:mm"),INDEX(상세표[시작],$P788)&amp;""))</f>
        <v/>
      </c>
      <c r="F788">
        <f>IF($P788="","",IF(ISNUMBER(INDEX(상세표[블록종료],$P788)),TEXT(INDEX(상세표[블록종료],$P788),"yyyy-mm-dd hh:mm"),INDEX(상세표[블록종료],$P788)&amp;""))</f>
        <v/>
      </c>
      <c r="G788">
        <f>IF($P788="","",CHOOSE(WEEKDAY(INDEX(상세표[시작],$P788)),"일","월","화","수","목","금","토"))</f>
        <v/>
      </c>
      <c r="H788">
        <f>IF($P788="","",INDEX(상세표[연속 시간],$P788))</f>
        <v/>
      </c>
      <c r="I788">
        <f>IF($P788="","",INDEX(상세표[기록 수],$P788))</f>
        <v/>
      </c>
      <c r="J788">
        <f>IF($P788="","",INDEX(상세표[블록 06~07시],$P788))</f>
        <v/>
      </c>
      <c r="K788">
        <f>IF($P788="","",INDEX(상세표[블록 07~18시],$P788))</f>
        <v/>
      </c>
      <c r="L788">
        <f>IF($P788="","",INDEX(상세표[블록 18~22시],$P788))</f>
        <v/>
      </c>
      <c r="M788">
        <f>IF($P788="","",INDEX(상세표[블록 22~06시],$P788))</f>
        <v/>
      </c>
      <c r="N788">
        <f>IF($P788="","",INDEX(상세표[주말·휴일 포함],$P788)&amp;"")</f>
        <v/>
      </c>
      <c r="O788">
        <f>IF($P788="","",INDEX(상세표[월 넘김 포함],$P788)&amp;"")</f>
        <v/>
      </c>
      <c r="P788" s="4">
        <f>IFERROR(MATCH(783,상세표[연속순번],0),"")</f>
        <v/>
      </c>
    </row>
    <row r="789">
      <c r="A789">
        <f>IF($P789="","",INDEX(상세표[사번],$P789)&amp;"")</f>
        <v/>
      </c>
      <c r="B789">
        <f>IF($P789="","",INDEX(상세표[성명],$P789)&amp;"")</f>
        <v/>
      </c>
      <c r="C789">
        <f>IF($P789="","",INDEX(상세표[부서],$P789)&amp;"")</f>
        <v/>
      </c>
      <c r="D789">
        <f>IF($P789="","",INDEX(상세표[직위],$P789)&amp;"")</f>
        <v/>
      </c>
      <c r="E789">
        <f>IF($P789="","",IF(ISNUMBER(INDEX(상세표[시작],$P789)),TEXT(INDEX(상세표[시작],$P789),"yyyy-mm-dd hh:mm"),INDEX(상세표[시작],$P789)&amp;""))</f>
        <v/>
      </c>
      <c r="F789">
        <f>IF($P789="","",IF(ISNUMBER(INDEX(상세표[블록종료],$P789)),TEXT(INDEX(상세표[블록종료],$P789),"yyyy-mm-dd hh:mm"),INDEX(상세표[블록종료],$P789)&amp;""))</f>
        <v/>
      </c>
      <c r="G789">
        <f>IF($P789="","",CHOOSE(WEEKDAY(INDEX(상세표[시작],$P789)),"일","월","화","수","목","금","토"))</f>
        <v/>
      </c>
      <c r="H789">
        <f>IF($P789="","",INDEX(상세표[연속 시간],$P789))</f>
        <v/>
      </c>
      <c r="I789">
        <f>IF($P789="","",INDEX(상세표[기록 수],$P789))</f>
        <v/>
      </c>
      <c r="J789">
        <f>IF($P789="","",INDEX(상세표[블록 06~07시],$P789))</f>
        <v/>
      </c>
      <c r="K789">
        <f>IF($P789="","",INDEX(상세표[블록 07~18시],$P789))</f>
        <v/>
      </c>
      <c r="L789">
        <f>IF($P789="","",INDEX(상세표[블록 18~22시],$P789))</f>
        <v/>
      </c>
      <c r="M789">
        <f>IF($P789="","",INDEX(상세표[블록 22~06시],$P789))</f>
        <v/>
      </c>
      <c r="N789">
        <f>IF($P789="","",INDEX(상세표[주말·휴일 포함],$P789)&amp;"")</f>
        <v/>
      </c>
      <c r="O789">
        <f>IF($P789="","",INDEX(상세표[월 넘김 포함],$P789)&amp;"")</f>
        <v/>
      </c>
      <c r="P789" s="4">
        <f>IFERROR(MATCH(784,상세표[연속순번],0),"")</f>
        <v/>
      </c>
    </row>
    <row r="790">
      <c r="A790">
        <f>IF($P790="","",INDEX(상세표[사번],$P790)&amp;"")</f>
        <v/>
      </c>
      <c r="B790">
        <f>IF($P790="","",INDEX(상세표[성명],$P790)&amp;"")</f>
        <v/>
      </c>
      <c r="C790">
        <f>IF($P790="","",INDEX(상세표[부서],$P790)&amp;"")</f>
        <v/>
      </c>
      <c r="D790">
        <f>IF($P790="","",INDEX(상세표[직위],$P790)&amp;"")</f>
        <v/>
      </c>
      <c r="E790">
        <f>IF($P790="","",IF(ISNUMBER(INDEX(상세표[시작],$P790)),TEXT(INDEX(상세표[시작],$P790),"yyyy-mm-dd hh:mm"),INDEX(상세표[시작],$P790)&amp;""))</f>
        <v/>
      </c>
      <c r="F790">
        <f>IF($P790="","",IF(ISNUMBER(INDEX(상세표[블록종료],$P790)),TEXT(INDEX(상세표[블록종료],$P790),"yyyy-mm-dd hh:mm"),INDEX(상세표[블록종료],$P790)&amp;""))</f>
        <v/>
      </c>
      <c r="G790">
        <f>IF($P790="","",CHOOSE(WEEKDAY(INDEX(상세표[시작],$P790)),"일","월","화","수","목","금","토"))</f>
        <v/>
      </c>
      <c r="H790">
        <f>IF($P790="","",INDEX(상세표[연속 시간],$P790))</f>
        <v/>
      </c>
      <c r="I790">
        <f>IF($P790="","",INDEX(상세표[기록 수],$P790))</f>
        <v/>
      </c>
      <c r="J790">
        <f>IF($P790="","",INDEX(상세표[블록 06~07시],$P790))</f>
        <v/>
      </c>
      <c r="K790">
        <f>IF($P790="","",INDEX(상세표[블록 07~18시],$P790))</f>
        <v/>
      </c>
      <c r="L790">
        <f>IF($P790="","",INDEX(상세표[블록 18~22시],$P790))</f>
        <v/>
      </c>
      <c r="M790">
        <f>IF($P790="","",INDEX(상세표[블록 22~06시],$P790))</f>
        <v/>
      </c>
      <c r="N790">
        <f>IF($P790="","",INDEX(상세표[주말·휴일 포함],$P790)&amp;"")</f>
        <v/>
      </c>
      <c r="O790">
        <f>IF($P790="","",INDEX(상세표[월 넘김 포함],$P790)&amp;"")</f>
        <v/>
      </c>
      <c r="P790" s="4">
        <f>IFERROR(MATCH(785,상세표[연속순번],0),"")</f>
        <v/>
      </c>
    </row>
    <row r="791">
      <c r="A791">
        <f>IF($P791="","",INDEX(상세표[사번],$P791)&amp;"")</f>
        <v/>
      </c>
      <c r="B791">
        <f>IF($P791="","",INDEX(상세표[성명],$P791)&amp;"")</f>
        <v/>
      </c>
      <c r="C791">
        <f>IF($P791="","",INDEX(상세표[부서],$P791)&amp;"")</f>
        <v/>
      </c>
      <c r="D791">
        <f>IF($P791="","",INDEX(상세표[직위],$P791)&amp;"")</f>
        <v/>
      </c>
      <c r="E791">
        <f>IF($P791="","",IF(ISNUMBER(INDEX(상세표[시작],$P791)),TEXT(INDEX(상세표[시작],$P791),"yyyy-mm-dd hh:mm"),INDEX(상세표[시작],$P791)&amp;""))</f>
        <v/>
      </c>
      <c r="F791">
        <f>IF($P791="","",IF(ISNUMBER(INDEX(상세표[블록종료],$P791)),TEXT(INDEX(상세표[블록종료],$P791),"yyyy-mm-dd hh:mm"),INDEX(상세표[블록종료],$P791)&amp;""))</f>
        <v/>
      </c>
      <c r="G791">
        <f>IF($P791="","",CHOOSE(WEEKDAY(INDEX(상세표[시작],$P791)),"일","월","화","수","목","금","토"))</f>
        <v/>
      </c>
      <c r="H791">
        <f>IF($P791="","",INDEX(상세표[연속 시간],$P791))</f>
        <v/>
      </c>
      <c r="I791">
        <f>IF($P791="","",INDEX(상세표[기록 수],$P791))</f>
        <v/>
      </c>
      <c r="J791">
        <f>IF($P791="","",INDEX(상세표[블록 06~07시],$P791))</f>
        <v/>
      </c>
      <c r="K791">
        <f>IF($P791="","",INDEX(상세표[블록 07~18시],$P791))</f>
        <v/>
      </c>
      <c r="L791">
        <f>IF($P791="","",INDEX(상세표[블록 18~22시],$P791))</f>
        <v/>
      </c>
      <c r="M791">
        <f>IF($P791="","",INDEX(상세표[블록 22~06시],$P791))</f>
        <v/>
      </c>
      <c r="N791">
        <f>IF($P791="","",INDEX(상세표[주말·휴일 포함],$P791)&amp;"")</f>
        <v/>
      </c>
      <c r="O791">
        <f>IF($P791="","",INDEX(상세표[월 넘김 포함],$P791)&amp;"")</f>
        <v/>
      </c>
      <c r="P791" s="4">
        <f>IFERROR(MATCH(786,상세표[연속순번],0),"")</f>
        <v/>
      </c>
    </row>
    <row r="792">
      <c r="A792">
        <f>IF($P792="","",INDEX(상세표[사번],$P792)&amp;"")</f>
        <v/>
      </c>
      <c r="B792">
        <f>IF($P792="","",INDEX(상세표[성명],$P792)&amp;"")</f>
        <v/>
      </c>
      <c r="C792">
        <f>IF($P792="","",INDEX(상세표[부서],$P792)&amp;"")</f>
        <v/>
      </c>
      <c r="D792">
        <f>IF($P792="","",INDEX(상세표[직위],$P792)&amp;"")</f>
        <v/>
      </c>
      <c r="E792">
        <f>IF($P792="","",IF(ISNUMBER(INDEX(상세표[시작],$P792)),TEXT(INDEX(상세표[시작],$P792),"yyyy-mm-dd hh:mm"),INDEX(상세표[시작],$P792)&amp;""))</f>
        <v/>
      </c>
      <c r="F792">
        <f>IF($P792="","",IF(ISNUMBER(INDEX(상세표[블록종료],$P792)),TEXT(INDEX(상세표[블록종료],$P792),"yyyy-mm-dd hh:mm"),INDEX(상세표[블록종료],$P792)&amp;""))</f>
        <v/>
      </c>
      <c r="G792">
        <f>IF($P792="","",CHOOSE(WEEKDAY(INDEX(상세표[시작],$P792)),"일","월","화","수","목","금","토"))</f>
        <v/>
      </c>
      <c r="H792">
        <f>IF($P792="","",INDEX(상세표[연속 시간],$P792))</f>
        <v/>
      </c>
      <c r="I792">
        <f>IF($P792="","",INDEX(상세표[기록 수],$P792))</f>
        <v/>
      </c>
      <c r="J792">
        <f>IF($P792="","",INDEX(상세표[블록 06~07시],$P792))</f>
        <v/>
      </c>
      <c r="K792">
        <f>IF($P792="","",INDEX(상세표[블록 07~18시],$P792))</f>
        <v/>
      </c>
      <c r="L792">
        <f>IF($P792="","",INDEX(상세표[블록 18~22시],$P792))</f>
        <v/>
      </c>
      <c r="M792">
        <f>IF($P792="","",INDEX(상세표[블록 22~06시],$P792))</f>
        <v/>
      </c>
      <c r="N792">
        <f>IF($P792="","",INDEX(상세표[주말·휴일 포함],$P792)&amp;"")</f>
        <v/>
      </c>
      <c r="O792">
        <f>IF($P792="","",INDEX(상세표[월 넘김 포함],$P792)&amp;"")</f>
        <v/>
      </c>
      <c r="P792" s="4">
        <f>IFERROR(MATCH(787,상세표[연속순번],0),"")</f>
        <v/>
      </c>
    </row>
    <row r="793">
      <c r="A793">
        <f>IF($P793="","",INDEX(상세표[사번],$P793)&amp;"")</f>
        <v/>
      </c>
      <c r="B793">
        <f>IF($P793="","",INDEX(상세표[성명],$P793)&amp;"")</f>
        <v/>
      </c>
      <c r="C793">
        <f>IF($P793="","",INDEX(상세표[부서],$P793)&amp;"")</f>
        <v/>
      </c>
      <c r="D793">
        <f>IF($P793="","",INDEX(상세표[직위],$P793)&amp;"")</f>
        <v/>
      </c>
      <c r="E793">
        <f>IF($P793="","",IF(ISNUMBER(INDEX(상세표[시작],$P793)),TEXT(INDEX(상세표[시작],$P793),"yyyy-mm-dd hh:mm"),INDEX(상세표[시작],$P793)&amp;""))</f>
        <v/>
      </c>
      <c r="F793">
        <f>IF($P793="","",IF(ISNUMBER(INDEX(상세표[블록종료],$P793)),TEXT(INDEX(상세표[블록종료],$P793),"yyyy-mm-dd hh:mm"),INDEX(상세표[블록종료],$P793)&amp;""))</f>
        <v/>
      </c>
      <c r="G793">
        <f>IF($P793="","",CHOOSE(WEEKDAY(INDEX(상세표[시작],$P793)),"일","월","화","수","목","금","토"))</f>
        <v/>
      </c>
      <c r="H793">
        <f>IF($P793="","",INDEX(상세표[연속 시간],$P793))</f>
        <v/>
      </c>
      <c r="I793">
        <f>IF($P793="","",INDEX(상세표[기록 수],$P793))</f>
        <v/>
      </c>
      <c r="J793">
        <f>IF($P793="","",INDEX(상세표[블록 06~07시],$P793))</f>
        <v/>
      </c>
      <c r="K793">
        <f>IF($P793="","",INDEX(상세표[블록 07~18시],$P793))</f>
        <v/>
      </c>
      <c r="L793">
        <f>IF($P793="","",INDEX(상세표[블록 18~22시],$P793))</f>
        <v/>
      </c>
      <c r="M793">
        <f>IF($P793="","",INDEX(상세표[블록 22~06시],$P793))</f>
        <v/>
      </c>
      <c r="N793">
        <f>IF($P793="","",INDEX(상세표[주말·휴일 포함],$P793)&amp;"")</f>
        <v/>
      </c>
      <c r="O793">
        <f>IF($P793="","",INDEX(상세표[월 넘김 포함],$P793)&amp;"")</f>
        <v/>
      </c>
      <c r="P793" s="4">
        <f>IFERROR(MATCH(788,상세표[연속순번],0),"")</f>
        <v/>
      </c>
    </row>
    <row r="794">
      <c r="A794">
        <f>IF($P794="","",INDEX(상세표[사번],$P794)&amp;"")</f>
        <v/>
      </c>
      <c r="B794">
        <f>IF($P794="","",INDEX(상세표[성명],$P794)&amp;"")</f>
        <v/>
      </c>
      <c r="C794">
        <f>IF($P794="","",INDEX(상세표[부서],$P794)&amp;"")</f>
        <v/>
      </c>
      <c r="D794">
        <f>IF($P794="","",INDEX(상세표[직위],$P794)&amp;"")</f>
        <v/>
      </c>
      <c r="E794">
        <f>IF($P794="","",IF(ISNUMBER(INDEX(상세표[시작],$P794)),TEXT(INDEX(상세표[시작],$P794),"yyyy-mm-dd hh:mm"),INDEX(상세표[시작],$P794)&amp;""))</f>
        <v/>
      </c>
      <c r="F794">
        <f>IF($P794="","",IF(ISNUMBER(INDEX(상세표[블록종료],$P794)),TEXT(INDEX(상세표[블록종료],$P794),"yyyy-mm-dd hh:mm"),INDEX(상세표[블록종료],$P794)&amp;""))</f>
        <v/>
      </c>
      <c r="G794">
        <f>IF($P794="","",CHOOSE(WEEKDAY(INDEX(상세표[시작],$P794)),"일","월","화","수","목","금","토"))</f>
        <v/>
      </c>
      <c r="H794">
        <f>IF($P794="","",INDEX(상세표[연속 시간],$P794))</f>
        <v/>
      </c>
      <c r="I794">
        <f>IF($P794="","",INDEX(상세표[기록 수],$P794))</f>
        <v/>
      </c>
      <c r="J794">
        <f>IF($P794="","",INDEX(상세표[블록 06~07시],$P794))</f>
        <v/>
      </c>
      <c r="K794">
        <f>IF($P794="","",INDEX(상세표[블록 07~18시],$P794))</f>
        <v/>
      </c>
      <c r="L794">
        <f>IF($P794="","",INDEX(상세표[블록 18~22시],$P794))</f>
        <v/>
      </c>
      <c r="M794">
        <f>IF($P794="","",INDEX(상세표[블록 22~06시],$P794))</f>
        <v/>
      </c>
      <c r="N794">
        <f>IF($P794="","",INDEX(상세표[주말·휴일 포함],$P794)&amp;"")</f>
        <v/>
      </c>
      <c r="O794">
        <f>IF($P794="","",INDEX(상세표[월 넘김 포함],$P794)&amp;"")</f>
        <v/>
      </c>
      <c r="P794" s="4">
        <f>IFERROR(MATCH(789,상세표[연속순번],0),"")</f>
        <v/>
      </c>
    </row>
    <row r="795">
      <c r="A795">
        <f>IF($P795="","",INDEX(상세표[사번],$P795)&amp;"")</f>
        <v/>
      </c>
      <c r="B795">
        <f>IF($P795="","",INDEX(상세표[성명],$P795)&amp;"")</f>
        <v/>
      </c>
      <c r="C795">
        <f>IF($P795="","",INDEX(상세표[부서],$P795)&amp;"")</f>
        <v/>
      </c>
      <c r="D795">
        <f>IF($P795="","",INDEX(상세표[직위],$P795)&amp;"")</f>
        <v/>
      </c>
      <c r="E795">
        <f>IF($P795="","",IF(ISNUMBER(INDEX(상세표[시작],$P795)),TEXT(INDEX(상세표[시작],$P795),"yyyy-mm-dd hh:mm"),INDEX(상세표[시작],$P795)&amp;""))</f>
        <v/>
      </c>
      <c r="F795">
        <f>IF($P795="","",IF(ISNUMBER(INDEX(상세표[블록종료],$P795)),TEXT(INDEX(상세표[블록종료],$P795),"yyyy-mm-dd hh:mm"),INDEX(상세표[블록종료],$P795)&amp;""))</f>
        <v/>
      </c>
      <c r="G795">
        <f>IF($P795="","",CHOOSE(WEEKDAY(INDEX(상세표[시작],$P795)),"일","월","화","수","목","금","토"))</f>
        <v/>
      </c>
      <c r="H795">
        <f>IF($P795="","",INDEX(상세표[연속 시간],$P795))</f>
        <v/>
      </c>
      <c r="I795">
        <f>IF($P795="","",INDEX(상세표[기록 수],$P795))</f>
        <v/>
      </c>
      <c r="J795">
        <f>IF($P795="","",INDEX(상세표[블록 06~07시],$P795))</f>
        <v/>
      </c>
      <c r="K795">
        <f>IF($P795="","",INDEX(상세표[블록 07~18시],$P795))</f>
        <v/>
      </c>
      <c r="L795">
        <f>IF($P795="","",INDEX(상세표[블록 18~22시],$P795))</f>
        <v/>
      </c>
      <c r="M795">
        <f>IF($P795="","",INDEX(상세표[블록 22~06시],$P795))</f>
        <v/>
      </c>
      <c r="N795">
        <f>IF($P795="","",INDEX(상세표[주말·휴일 포함],$P795)&amp;"")</f>
        <v/>
      </c>
      <c r="O795">
        <f>IF($P795="","",INDEX(상세표[월 넘김 포함],$P795)&amp;"")</f>
        <v/>
      </c>
      <c r="P795" s="4">
        <f>IFERROR(MATCH(790,상세표[연속순번],0),"")</f>
        <v/>
      </c>
    </row>
    <row r="796">
      <c r="A796">
        <f>IF($P796="","",INDEX(상세표[사번],$P796)&amp;"")</f>
        <v/>
      </c>
      <c r="B796">
        <f>IF($P796="","",INDEX(상세표[성명],$P796)&amp;"")</f>
        <v/>
      </c>
      <c r="C796">
        <f>IF($P796="","",INDEX(상세표[부서],$P796)&amp;"")</f>
        <v/>
      </c>
      <c r="D796">
        <f>IF($P796="","",INDEX(상세표[직위],$P796)&amp;"")</f>
        <v/>
      </c>
      <c r="E796">
        <f>IF($P796="","",IF(ISNUMBER(INDEX(상세표[시작],$P796)),TEXT(INDEX(상세표[시작],$P796),"yyyy-mm-dd hh:mm"),INDEX(상세표[시작],$P796)&amp;""))</f>
        <v/>
      </c>
      <c r="F796">
        <f>IF($P796="","",IF(ISNUMBER(INDEX(상세표[블록종료],$P796)),TEXT(INDEX(상세표[블록종료],$P796),"yyyy-mm-dd hh:mm"),INDEX(상세표[블록종료],$P796)&amp;""))</f>
        <v/>
      </c>
      <c r="G796">
        <f>IF($P796="","",CHOOSE(WEEKDAY(INDEX(상세표[시작],$P796)),"일","월","화","수","목","금","토"))</f>
        <v/>
      </c>
      <c r="H796">
        <f>IF($P796="","",INDEX(상세표[연속 시간],$P796))</f>
        <v/>
      </c>
      <c r="I796">
        <f>IF($P796="","",INDEX(상세표[기록 수],$P796))</f>
        <v/>
      </c>
      <c r="J796">
        <f>IF($P796="","",INDEX(상세표[블록 06~07시],$P796))</f>
        <v/>
      </c>
      <c r="K796">
        <f>IF($P796="","",INDEX(상세표[블록 07~18시],$P796))</f>
        <v/>
      </c>
      <c r="L796">
        <f>IF($P796="","",INDEX(상세표[블록 18~22시],$P796))</f>
        <v/>
      </c>
      <c r="M796">
        <f>IF($P796="","",INDEX(상세표[블록 22~06시],$P796))</f>
        <v/>
      </c>
      <c r="N796">
        <f>IF($P796="","",INDEX(상세표[주말·휴일 포함],$P796)&amp;"")</f>
        <v/>
      </c>
      <c r="O796">
        <f>IF($P796="","",INDEX(상세표[월 넘김 포함],$P796)&amp;"")</f>
        <v/>
      </c>
      <c r="P796" s="4">
        <f>IFERROR(MATCH(791,상세표[연속순번],0),"")</f>
        <v/>
      </c>
    </row>
    <row r="797">
      <c r="A797">
        <f>IF($P797="","",INDEX(상세표[사번],$P797)&amp;"")</f>
        <v/>
      </c>
      <c r="B797">
        <f>IF($P797="","",INDEX(상세표[성명],$P797)&amp;"")</f>
        <v/>
      </c>
      <c r="C797">
        <f>IF($P797="","",INDEX(상세표[부서],$P797)&amp;"")</f>
        <v/>
      </c>
      <c r="D797">
        <f>IF($P797="","",INDEX(상세표[직위],$P797)&amp;"")</f>
        <v/>
      </c>
      <c r="E797">
        <f>IF($P797="","",IF(ISNUMBER(INDEX(상세표[시작],$P797)),TEXT(INDEX(상세표[시작],$P797),"yyyy-mm-dd hh:mm"),INDEX(상세표[시작],$P797)&amp;""))</f>
        <v/>
      </c>
      <c r="F797">
        <f>IF($P797="","",IF(ISNUMBER(INDEX(상세표[블록종료],$P797)),TEXT(INDEX(상세표[블록종료],$P797),"yyyy-mm-dd hh:mm"),INDEX(상세표[블록종료],$P797)&amp;""))</f>
        <v/>
      </c>
      <c r="G797">
        <f>IF($P797="","",CHOOSE(WEEKDAY(INDEX(상세표[시작],$P797)),"일","월","화","수","목","금","토"))</f>
        <v/>
      </c>
      <c r="H797">
        <f>IF($P797="","",INDEX(상세표[연속 시간],$P797))</f>
        <v/>
      </c>
      <c r="I797">
        <f>IF($P797="","",INDEX(상세표[기록 수],$P797))</f>
        <v/>
      </c>
      <c r="J797">
        <f>IF($P797="","",INDEX(상세표[블록 06~07시],$P797))</f>
        <v/>
      </c>
      <c r="K797">
        <f>IF($P797="","",INDEX(상세표[블록 07~18시],$P797))</f>
        <v/>
      </c>
      <c r="L797">
        <f>IF($P797="","",INDEX(상세표[블록 18~22시],$P797))</f>
        <v/>
      </c>
      <c r="M797">
        <f>IF($P797="","",INDEX(상세표[블록 22~06시],$P797))</f>
        <v/>
      </c>
      <c r="N797">
        <f>IF($P797="","",INDEX(상세표[주말·휴일 포함],$P797)&amp;"")</f>
        <v/>
      </c>
      <c r="O797">
        <f>IF($P797="","",INDEX(상세표[월 넘김 포함],$P797)&amp;"")</f>
        <v/>
      </c>
      <c r="P797" s="4">
        <f>IFERROR(MATCH(792,상세표[연속순번],0),"")</f>
        <v/>
      </c>
    </row>
    <row r="798">
      <c r="A798">
        <f>IF($P798="","",INDEX(상세표[사번],$P798)&amp;"")</f>
        <v/>
      </c>
      <c r="B798">
        <f>IF($P798="","",INDEX(상세표[성명],$P798)&amp;"")</f>
        <v/>
      </c>
      <c r="C798">
        <f>IF($P798="","",INDEX(상세표[부서],$P798)&amp;"")</f>
        <v/>
      </c>
      <c r="D798">
        <f>IF($P798="","",INDEX(상세표[직위],$P798)&amp;"")</f>
        <v/>
      </c>
      <c r="E798">
        <f>IF($P798="","",IF(ISNUMBER(INDEX(상세표[시작],$P798)),TEXT(INDEX(상세표[시작],$P798),"yyyy-mm-dd hh:mm"),INDEX(상세표[시작],$P798)&amp;""))</f>
        <v/>
      </c>
      <c r="F798">
        <f>IF($P798="","",IF(ISNUMBER(INDEX(상세표[블록종료],$P798)),TEXT(INDEX(상세표[블록종료],$P798),"yyyy-mm-dd hh:mm"),INDEX(상세표[블록종료],$P798)&amp;""))</f>
        <v/>
      </c>
      <c r="G798">
        <f>IF($P798="","",CHOOSE(WEEKDAY(INDEX(상세표[시작],$P798)),"일","월","화","수","목","금","토"))</f>
        <v/>
      </c>
      <c r="H798">
        <f>IF($P798="","",INDEX(상세표[연속 시간],$P798))</f>
        <v/>
      </c>
      <c r="I798">
        <f>IF($P798="","",INDEX(상세표[기록 수],$P798))</f>
        <v/>
      </c>
      <c r="J798">
        <f>IF($P798="","",INDEX(상세표[블록 06~07시],$P798))</f>
        <v/>
      </c>
      <c r="K798">
        <f>IF($P798="","",INDEX(상세표[블록 07~18시],$P798))</f>
        <v/>
      </c>
      <c r="L798">
        <f>IF($P798="","",INDEX(상세표[블록 18~22시],$P798))</f>
        <v/>
      </c>
      <c r="M798">
        <f>IF($P798="","",INDEX(상세표[블록 22~06시],$P798))</f>
        <v/>
      </c>
      <c r="N798">
        <f>IF($P798="","",INDEX(상세표[주말·휴일 포함],$P798)&amp;"")</f>
        <v/>
      </c>
      <c r="O798">
        <f>IF($P798="","",INDEX(상세표[월 넘김 포함],$P798)&amp;"")</f>
        <v/>
      </c>
      <c r="P798" s="4">
        <f>IFERROR(MATCH(793,상세표[연속순번],0),"")</f>
        <v/>
      </c>
    </row>
    <row r="799">
      <c r="A799">
        <f>IF($P799="","",INDEX(상세표[사번],$P799)&amp;"")</f>
        <v/>
      </c>
      <c r="B799">
        <f>IF($P799="","",INDEX(상세표[성명],$P799)&amp;"")</f>
        <v/>
      </c>
      <c r="C799">
        <f>IF($P799="","",INDEX(상세표[부서],$P799)&amp;"")</f>
        <v/>
      </c>
      <c r="D799">
        <f>IF($P799="","",INDEX(상세표[직위],$P799)&amp;"")</f>
        <v/>
      </c>
      <c r="E799">
        <f>IF($P799="","",IF(ISNUMBER(INDEX(상세표[시작],$P799)),TEXT(INDEX(상세표[시작],$P799),"yyyy-mm-dd hh:mm"),INDEX(상세표[시작],$P799)&amp;""))</f>
        <v/>
      </c>
      <c r="F799">
        <f>IF($P799="","",IF(ISNUMBER(INDEX(상세표[블록종료],$P799)),TEXT(INDEX(상세표[블록종료],$P799),"yyyy-mm-dd hh:mm"),INDEX(상세표[블록종료],$P799)&amp;""))</f>
        <v/>
      </c>
      <c r="G799">
        <f>IF($P799="","",CHOOSE(WEEKDAY(INDEX(상세표[시작],$P799)),"일","월","화","수","목","금","토"))</f>
        <v/>
      </c>
      <c r="H799">
        <f>IF($P799="","",INDEX(상세표[연속 시간],$P799))</f>
        <v/>
      </c>
      <c r="I799">
        <f>IF($P799="","",INDEX(상세표[기록 수],$P799))</f>
        <v/>
      </c>
      <c r="J799">
        <f>IF($P799="","",INDEX(상세표[블록 06~07시],$P799))</f>
        <v/>
      </c>
      <c r="K799">
        <f>IF($P799="","",INDEX(상세표[블록 07~18시],$P799))</f>
        <v/>
      </c>
      <c r="L799">
        <f>IF($P799="","",INDEX(상세표[블록 18~22시],$P799))</f>
        <v/>
      </c>
      <c r="M799">
        <f>IF($P799="","",INDEX(상세표[블록 22~06시],$P799))</f>
        <v/>
      </c>
      <c r="N799">
        <f>IF($P799="","",INDEX(상세표[주말·휴일 포함],$P799)&amp;"")</f>
        <v/>
      </c>
      <c r="O799">
        <f>IF($P799="","",INDEX(상세표[월 넘김 포함],$P799)&amp;"")</f>
        <v/>
      </c>
      <c r="P799" s="4">
        <f>IFERROR(MATCH(794,상세표[연속순번],0),"")</f>
        <v/>
      </c>
    </row>
    <row r="800">
      <c r="A800">
        <f>IF($P800="","",INDEX(상세표[사번],$P800)&amp;"")</f>
        <v/>
      </c>
      <c r="B800">
        <f>IF($P800="","",INDEX(상세표[성명],$P800)&amp;"")</f>
        <v/>
      </c>
      <c r="C800">
        <f>IF($P800="","",INDEX(상세표[부서],$P800)&amp;"")</f>
        <v/>
      </c>
      <c r="D800">
        <f>IF($P800="","",INDEX(상세표[직위],$P800)&amp;"")</f>
        <v/>
      </c>
      <c r="E800">
        <f>IF($P800="","",IF(ISNUMBER(INDEX(상세표[시작],$P800)),TEXT(INDEX(상세표[시작],$P800),"yyyy-mm-dd hh:mm"),INDEX(상세표[시작],$P800)&amp;""))</f>
        <v/>
      </c>
      <c r="F800">
        <f>IF($P800="","",IF(ISNUMBER(INDEX(상세표[블록종료],$P800)),TEXT(INDEX(상세표[블록종료],$P800),"yyyy-mm-dd hh:mm"),INDEX(상세표[블록종료],$P800)&amp;""))</f>
        <v/>
      </c>
      <c r="G800">
        <f>IF($P800="","",CHOOSE(WEEKDAY(INDEX(상세표[시작],$P800)),"일","월","화","수","목","금","토"))</f>
        <v/>
      </c>
      <c r="H800">
        <f>IF($P800="","",INDEX(상세표[연속 시간],$P800))</f>
        <v/>
      </c>
      <c r="I800">
        <f>IF($P800="","",INDEX(상세표[기록 수],$P800))</f>
        <v/>
      </c>
      <c r="J800">
        <f>IF($P800="","",INDEX(상세표[블록 06~07시],$P800))</f>
        <v/>
      </c>
      <c r="K800">
        <f>IF($P800="","",INDEX(상세표[블록 07~18시],$P800))</f>
        <v/>
      </c>
      <c r="L800">
        <f>IF($P800="","",INDEX(상세표[블록 18~22시],$P800))</f>
        <v/>
      </c>
      <c r="M800">
        <f>IF($P800="","",INDEX(상세표[블록 22~06시],$P800))</f>
        <v/>
      </c>
      <c r="N800">
        <f>IF($P800="","",INDEX(상세표[주말·휴일 포함],$P800)&amp;"")</f>
        <v/>
      </c>
      <c r="O800">
        <f>IF($P800="","",INDEX(상세표[월 넘김 포함],$P800)&amp;"")</f>
        <v/>
      </c>
      <c r="P800" s="4">
        <f>IFERROR(MATCH(795,상세표[연속순번],0),"")</f>
        <v/>
      </c>
    </row>
    <row r="801">
      <c r="A801">
        <f>IF($P801="","",INDEX(상세표[사번],$P801)&amp;"")</f>
        <v/>
      </c>
      <c r="B801">
        <f>IF($P801="","",INDEX(상세표[성명],$P801)&amp;"")</f>
        <v/>
      </c>
      <c r="C801">
        <f>IF($P801="","",INDEX(상세표[부서],$P801)&amp;"")</f>
        <v/>
      </c>
      <c r="D801">
        <f>IF($P801="","",INDEX(상세표[직위],$P801)&amp;"")</f>
        <v/>
      </c>
      <c r="E801">
        <f>IF($P801="","",IF(ISNUMBER(INDEX(상세표[시작],$P801)),TEXT(INDEX(상세표[시작],$P801),"yyyy-mm-dd hh:mm"),INDEX(상세표[시작],$P801)&amp;""))</f>
        <v/>
      </c>
      <c r="F801">
        <f>IF($P801="","",IF(ISNUMBER(INDEX(상세표[블록종료],$P801)),TEXT(INDEX(상세표[블록종료],$P801),"yyyy-mm-dd hh:mm"),INDEX(상세표[블록종료],$P801)&amp;""))</f>
        <v/>
      </c>
      <c r="G801">
        <f>IF($P801="","",CHOOSE(WEEKDAY(INDEX(상세표[시작],$P801)),"일","월","화","수","목","금","토"))</f>
        <v/>
      </c>
      <c r="H801">
        <f>IF($P801="","",INDEX(상세표[연속 시간],$P801))</f>
        <v/>
      </c>
      <c r="I801">
        <f>IF($P801="","",INDEX(상세표[기록 수],$P801))</f>
        <v/>
      </c>
      <c r="J801">
        <f>IF($P801="","",INDEX(상세표[블록 06~07시],$P801))</f>
        <v/>
      </c>
      <c r="K801">
        <f>IF($P801="","",INDEX(상세표[블록 07~18시],$P801))</f>
        <v/>
      </c>
      <c r="L801">
        <f>IF($P801="","",INDEX(상세표[블록 18~22시],$P801))</f>
        <v/>
      </c>
      <c r="M801">
        <f>IF($P801="","",INDEX(상세표[블록 22~06시],$P801))</f>
        <v/>
      </c>
      <c r="N801">
        <f>IF($P801="","",INDEX(상세표[주말·휴일 포함],$P801)&amp;"")</f>
        <v/>
      </c>
      <c r="O801">
        <f>IF($P801="","",INDEX(상세표[월 넘김 포함],$P801)&amp;"")</f>
        <v/>
      </c>
      <c r="P801" s="4">
        <f>IFERROR(MATCH(796,상세표[연속순번],0),"")</f>
        <v/>
      </c>
    </row>
    <row r="802">
      <c r="A802">
        <f>IF($P802="","",INDEX(상세표[사번],$P802)&amp;"")</f>
        <v/>
      </c>
      <c r="B802">
        <f>IF($P802="","",INDEX(상세표[성명],$P802)&amp;"")</f>
        <v/>
      </c>
      <c r="C802">
        <f>IF($P802="","",INDEX(상세표[부서],$P802)&amp;"")</f>
        <v/>
      </c>
      <c r="D802">
        <f>IF($P802="","",INDEX(상세표[직위],$P802)&amp;"")</f>
        <v/>
      </c>
      <c r="E802">
        <f>IF($P802="","",IF(ISNUMBER(INDEX(상세표[시작],$P802)),TEXT(INDEX(상세표[시작],$P802),"yyyy-mm-dd hh:mm"),INDEX(상세표[시작],$P802)&amp;""))</f>
        <v/>
      </c>
      <c r="F802">
        <f>IF($P802="","",IF(ISNUMBER(INDEX(상세표[블록종료],$P802)),TEXT(INDEX(상세표[블록종료],$P802),"yyyy-mm-dd hh:mm"),INDEX(상세표[블록종료],$P802)&amp;""))</f>
        <v/>
      </c>
      <c r="G802">
        <f>IF($P802="","",CHOOSE(WEEKDAY(INDEX(상세표[시작],$P802)),"일","월","화","수","목","금","토"))</f>
        <v/>
      </c>
      <c r="H802">
        <f>IF($P802="","",INDEX(상세표[연속 시간],$P802))</f>
        <v/>
      </c>
      <c r="I802">
        <f>IF($P802="","",INDEX(상세표[기록 수],$P802))</f>
        <v/>
      </c>
      <c r="J802">
        <f>IF($P802="","",INDEX(상세표[블록 06~07시],$P802))</f>
        <v/>
      </c>
      <c r="K802">
        <f>IF($P802="","",INDEX(상세표[블록 07~18시],$P802))</f>
        <v/>
      </c>
      <c r="L802">
        <f>IF($P802="","",INDEX(상세표[블록 18~22시],$P802))</f>
        <v/>
      </c>
      <c r="M802">
        <f>IF($P802="","",INDEX(상세표[블록 22~06시],$P802))</f>
        <v/>
      </c>
      <c r="N802">
        <f>IF($P802="","",INDEX(상세표[주말·휴일 포함],$P802)&amp;"")</f>
        <v/>
      </c>
      <c r="O802">
        <f>IF($P802="","",INDEX(상세표[월 넘김 포함],$P802)&amp;"")</f>
        <v/>
      </c>
      <c r="P802" s="4">
        <f>IFERROR(MATCH(797,상세표[연속순번],0),"")</f>
        <v/>
      </c>
    </row>
    <row r="803">
      <c r="A803">
        <f>IF($P803="","",INDEX(상세표[사번],$P803)&amp;"")</f>
        <v/>
      </c>
      <c r="B803">
        <f>IF($P803="","",INDEX(상세표[성명],$P803)&amp;"")</f>
        <v/>
      </c>
      <c r="C803">
        <f>IF($P803="","",INDEX(상세표[부서],$P803)&amp;"")</f>
        <v/>
      </c>
      <c r="D803">
        <f>IF($P803="","",INDEX(상세표[직위],$P803)&amp;"")</f>
        <v/>
      </c>
      <c r="E803">
        <f>IF($P803="","",IF(ISNUMBER(INDEX(상세표[시작],$P803)),TEXT(INDEX(상세표[시작],$P803),"yyyy-mm-dd hh:mm"),INDEX(상세표[시작],$P803)&amp;""))</f>
        <v/>
      </c>
      <c r="F803">
        <f>IF($P803="","",IF(ISNUMBER(INDEX(상세표[블록종료],$P803)),TEXT(INDEX(상세표[블록종료],$P803),"yyyy-mm-dd hh:mm"),INDEX(상세표[블록종료],$P803)&amp;""))</f>
        <v/>
      </c>
      <c r="G803">
        <f>IF($P803="","",CHOOSE(WEEKDAY(INDEX(상세표[시작],$P803)),"일","월","화","수","목","금","토"))</f>
        <v/>
      </c>
      <c r="H803">
        <f>IF($P803="","",INDEX(상세표[연속 시간],$P803))</f>
        <v/>
      </c>
      <c r="I803">
        <f>IF($P803="","",INDEX(상세표[기록 수],$P803))</f>
        <v/>
      </c>
      <c r="J803">
        <f>IF($P803="","",INDEX(상세표[블록 06~07시],$P803))</f>
        <v/>
      </c>
      <c r="K803">
        <f>IF($P803="","",INDEX(상세표[블록 07~18시],$P803))</f>
        <v/>
      </c>
      <c r="L803">
        <f>IF($P803="","",INDEX(상세표[블록 18~22시],$P803))</f>
        <v/>
      </c>
      <c r="M803">
        <f>IF($P803="","",INDEX(상세표[블록 22~06시],$P803))</f>
        <v/>
      </c>
      <c r="N803">
        <f>IF($P803="","",INDEX(상세표[주말·휴일 포함],$P803)&amp;"")</f>
        <v/>
      </c>
      <c r="O803">
        <f>IF($P803="","",INDEX(상세표[월 넘김 포함],$P803)&amp;"")</f>
        <v/>
      </c>
      <c r="P803" s="4">
        <f>IFERROR(MATCH(798,상세표[연속순번],0),"")</f>
        <v/>
      </c>
    </row>
    <row r="804">
      <c r="A804">
        <f>IF($P804="","",INDEX(상세표[사번],$P804)&amp;"")</f>
        <v/>
      </c>
      <c r="B804">
        <f>IF($P804="","",INDEX(상세표[성명],$P804)&amp;"")</f>
        <v/>
      </c>
      <c r="C804">
        <f>IF($P804="","",INDEX(상세표[부서],$P804)&amp;"")</f>
        <v/>
      </c>
      <c r="D804">
        <f>IF($P804="","",INDEX(상세표[직위],$P804)&amp;"")</f>
        <v/>
      </c>
      <c r="E804">
        <f>IF($P804="","",IF(ISNUMBER(INDEX(상세표[시작],$P804)),TEXT(INDEX(상세표[시작],$P804),"yyyy-mm-dd hh:mm"),INDEX(상세표[시작],$P804)&amp;""))</f>
        <v/>
      </c>
      <c r="F804">
        <f>IF($P804="","",IF(ISNUMBER(INDEX(상세표[블록종료],$P804)),TEXT(INDEX(상세표[블록종료],$P804),"yyyy-mm-dd hh:mm"),INDEX(상세표[블록종료],$P804)&amp;""))</f>
        <v/>
      </c>
      <c r="G804">
        <f>IF($P804="","",CHOOSE(WEEKDAY(INDEX(상세표[시작],$P804)),"일","월","화","수","목","금","토"))</f>
        <v/>
      </c>
      <c r="H804">
        <f>IF($P804="","",INDEX(상세표[연속 시간],$P804))</f>
        <v/>
      </c>
      <c r="I804">
        <f>IF($P804="","",INDEX(상세표[기록 수],$P804))</f>
        <v/>
      </c>
      <c r="J804">
        <f>IF($P804="","",INDEX(상세표[블록 06~07시],$P804))</f>
        <v/>
      </c>
      <c r="K804">
        <f>IF($P804="","",INDEX(상세표[블록 07~18시],$P804))</f>
        <v/>
      </c>
      <c r="L804">
        <f>IF($P804="","",INDEX(상세표[블록 18~22시],$P804))</f>
        <v/>
      </c>
      <c r="M804">
        <f>IF($P804="","",INDEX(상세표[블록 22~06시],$P804))</f>
        <v/>
      </c>
      <c r="N804">
        <f>IF($P804="","",INDEX(상세표[주말·휴일 포함],$P804)&amp;"")</f>
        <v/>
      </c>
      <c r="O804">
        <f>IF($P804="","",INDEX(상세표[월 넘김 포함],$P804)&amp;"")</f>
        <v/>
      </c>
      <c r="P804" s="4">
        <f>IFERROR(MATCH(799,상세표[연속순번],0),"")</f>
        <v/>
      </c>
    </row>
    <row r="805">
      <c r="A805">
        <f>IF($P805="","",INDEX(상세표[사번],$P805)&amp;"")</f>
        <v/>
      </c>
      <c r="B805">
        <f>IF($P805="","",INDEX(상세표[성명],$P805)&amp;"")</f>
        <v/>
      </c>
      <c r="C805">
        <f>IF($P805="","",INDEX(상세표[부서],$P805)&amp;"")</f>
        <v/>
      </c>
      <c r="D805">
        <f>IF($P805="","",INDEX(상세표[직위],$P805)&amp;"")</f>
        <v/>
      </c>
      <c r="E805">
        <f>IF($P805="","",IF(ISNUMBER(INDEX(상세표[시작],$P805)),TEXT(INDEX(상세표[시작],$P805),"yyyy-mm-dd hh:mm"),INDEX(상세표[시작],$P805)&amp;""))</f>
        <v/>
      </c>
      <c r="F805">
        <f>IF($P805="","",IF(ISNUMBER(INDEX(상세표[블록종료],$P805)),TEXT(INDEX(상세표[블록종료],$P805),"yyyy-mm-dd hh:mm"),INDEX(상세표[블록종료],$P805)&amp;""))</f>
        <v/>
      </c>
      <c r="G805">
        <f>IF($P805="","",CHOOSE(WEEKDAY(INDEX(상세표[시작],$P805)),"일","월","화","수","목","금","토"))</f>
        <v/>
      </c>
      <c r="H805">
        <f>IF($P805="","",INDEX(상세표[연속 시간],$P805))</f>
        <v/>
      </c>
      <c r="I805">
        <f>IF($P805="","",INDEX(상세표[기록 수],$P805))</f>
        <v/>
      </c>
      <c r="J805">
        <f>IF($P805="","",INDEX(상세표[블록 06~07시],$P805))</f>
        <v/>
      </c>
      <c r="K805">
        <f>IF($P805="","",INDEX(상세표[블록 07~18시],$P805))</f>
        <v/>
      </c>
      <c r="L805">
        <f>IF($P805="","",INDEX(상세표[블록 18~22시],$P805))</f>
        <v/>
      </c>
      <c r="M805">
        <f>IF($P805="","",INDEX(상세표[블록 22~06시],$P805))</f>
        <v/>
      </c>
      <c r="N805">
        <f>IF($P805="","",INDEX(상세표[주말·휴일 포함],$P805)&amp;"")</f>
        <v/>
      </c>
      <c r="O805">
        <f>IF($P805="","",INDEX(상세표[월 넘김 포함],$P805)&amp;"")</f>
        <v/>
      </c>
      <c r="P805" s="4">
        <f>IFERROR(MATCH(800,상세표[연속순번],0),"")</f>
        <v/>
      </c>
    </row>
    <row r="806">
      <c r="A806">
        <f>IF($P806="","",INDEX(상세표[사번],$P806)&amp;"")</f>
        <v/>
      </c>
      <c r="B806">
        <f>IF($P806="","",INDEX(상세표[성명],$P806)&amp;"")</f>
        <v/>
      </c>
      <c r="C806">
        <f>IF($P806="","",INDEX(상세표[부서],$P806)&amp;"")</f>
        <v/>
      </c>
      <c r="D806">
        <f>IF($P806="","",INDEX(상세표[직위],$P806)&amp;"")</f>
        <v/>
      </c>
      <c r="E806">
        <f>IF($P806="","",IF(ISNUMBER(INDEX(상세표[시작],$P806)),TEXT(INDEX(상세표[시작],$P806),"yyyy-mm-dd hh:mm"),INDEX(상세표[시작],$P806)&amp;""))</f>
        <v/>
      </c>
      <c r="F806">
        <f>IF($P806="","",IF(ISNUMBER(INDEX(상세표[블록종료],$P806)),TEXT(INDEX(상세표[블록종료],$P806),"yyyy-mm-dd hh:mm"),INDEX(상세표[블록종료],$P806)&amp;""))</f>
        <v/>
      </c>
      <c r="G806">
        <f>IF($P806="","",CHOOSE(WEEKDAY(INDEX(상세표[시작],$P806)),"일","월","화","수","목","금","토"))</f>
        <v/>
      </c>
      <c r="H806">
        <f>IF($P806="","",INDEX(상세표[연속 시간],$P806))</f>
        <v/>
      </c>
      <c r="I806">
        <f>IF($P806="","",INDEX(상세표[기록 수],$P806))</f>
        <v/>
      </c>
      <c r="J806">
        <f>IF($P806="","",INDEX(상세표[블록 06~07시],$P806))</f>
        <v/>
      </c>
      <c r="K806">
        <f>IF($P806="","",INDEX(상세표[블록 07~18시],$P806))</f>
        <v/>
      </c>
      <c r="L806">
        <f>IF($P806="","",INDEX(상세표[블록 18~22시],$P806))</f>
        <v/>
      </c>
      <c r="M806">
        <f>IF($P806="","",INDEX(상세표[블록 22~06시],$P806))</f>
        <v/>
      </c>
      <c r="N806">
        <f>IF($P806="","",INDEX(상세표[주말·휴일 포함],$P806)&amp;"")</f>
        <v/>
      </c>
      <c r="O806">
        <f>IF($P806="","",INDEX(상세표[월 넘김 포함],$P806)&amp;"")</f>
        <v/>
      </c>
      <c r="P806" s="4">
        <f>IFERROR(MATCH(801,상세표[연속순번],0),"")</f>
        <v/>
      </c>
    </row>
    <row r="807">
      <c r="A807">
        <f>IF($P807="","",INDEX(상세표[사번],$P807)&amp;"")</f>
        <v/>
      </c>
      <c r="B807">
        <f>IF($P807="","",INDEX(상세표[성명],$P807)&amp;"")</f>
        <v/>
      </c>
      <c r="C807">
        <f>IF($P807="","",INDEX(상세표[부서],$P807)&amp;"")</f>
        <v/>
      </c>
      <c r="D807">
        <f>IF($P807="","",INDEX(상세표[직위],$P807)&amp;"")</f>
        <v/>
      </c>
      <c r="E807">
        <f>IF($P807="","",IF(ISNUMBER(INDEX(상세표[시작],$P807)),TEXT(INDEX(상세표[시작],$P807),"yyyy-mm-dd hh:mm"),INDEX(상세표[시작],$P807)&amp;""))</f>
        <v/>
      </c>
      <c r="F807">
        <f>IF($P807="","",IF(ISNUMBER(INDEX(상세표[블록종료],$P807)),TEXT(INDEX(상세표[블록종료],$P807),"yyyy-mm-dd hh:mm"),INDEX(상세표[블록종료],$P807)&amp;""))</f>
        <v/>
      </c>
      <c r="G807">
        <f>IF($P807="","",CHOOSE(WEEKDAY(INDEX(상세표[시작],$P807)),"일","월","화","수","목","금","토"))</f>
        <v/>
      </c>
      <c r="H807">
        <f>IF($P807="","",INDEX(상세표[연속 시간],$P807))</f>
        <v/>
      </c>
      <c r="I807">
        <f>IF($P807="","",INDEX(상세표[기록 수],$P807))</f>
        <v/>
      </c>
      <c r="J807">
        <f>IF($P807="","",INDEX(상세표[블록 06~07시],$P807))</f>
        <v/>
      </c>
      <c r="K807">
        <f>IF($P807="","",INDEX(상세표[블록 07~18시],$P807))</f>
        <v/>
      </c>
      <c r="L807">
        <f>IF($P807="","",INDEX(상세표[블록 18~22시],$P807))</f>
        <v/>
      </c>
      <c r="M807">
        <f>IF($P807="","",INDEX(상세표[블록 22~06시],$P807))</f>
        <v/>
      </c>
      <c r="N807">
        <f>IF($P807="","",INDEX(상세표[주말·휴일 포함],$P807)&amp;"")</f>
        <v/>
      </c>
      <c r="O807">
        <f>IF($P807="","",INDEX(상세표[월 넘김 포함],$P807)&amp;"")</f>
        <v/>
      </c>
      <c r="P807" s="4">
        <f>IFERROR(MATCH(802,상세표[연속순번],0),"")</f>
        <v/>
      </c>
    </row>
    <row r="808">
      <c r="A808">
        <f>IF($P808="","",INDEX(상세표[사번],$P808)&amp;"")</f>
        <v/>
      </c>
      <c r="B808">
        <f>IF($P808="","",INDEX(상세표[성명],$P808)&amp;"")</f>
        <v/>
      </c>
      <c r="C808">
        <f>IF($P808="","",INDEX(상세표[부서],$P808)&amp;"")</f>
        <v/>
      </c>
      <c r="D808">
        <f>IF($P808="","",INDEX(상세표[직위],$P808)&amp;"")</f>
        <v/>
      </c>
      <c r="E808">
        <f>IF($P808="","",IF(ISNUMBER(INDEX(상세표[시작],$P808)),TEXT(INDEX(상세표[시작],$P808),"yyyy-mm-dd hh:mm"),INDEX(상세표[시작],$P808)&amp;""))</f>
        <v/>
      </c>
      <c r="F808">
        <f>IF($P808="","",IF(ISNUMBER(INDEX(상세표[블록종료],$P808)),TEXT(INDEX(상세표[블록종료],$P808),"yyyy-mm-dd hh:mm"),INDEX(상세표[블록종료],$P808)&amp;""))</f>
        <v/>
      </c>
      <c r="G808">
        <f>IF($P808="","",CHOOSE(WEEKDAY(INDEX(상세표[시작],$P808)),"일","월","화","수","목","금","토"))</f>
        <v/>
      </c>
      <c r="H808">
        <f>IF($P808="","",INDEX(상세표[연속 시간],$P808))</f>
        <v/>
      </c>
      <c r="I808">
        <f>IF($P808="","",INDEX(상세표[기록 수],$P808))</f>
        <v/>
      </c>
      <c r="J808">
        <f>IF($P808="","",INDEX(상세표[블록 06~07시],$P808))</f>
        <v/>
      </c>
      <c r="K808">
        <f>IF($P808="","",INDEX(상세표[블록 07~18시],$P808))</f>
        <v/>
      </c>
      <c r="L808">
        <f>IF($P808="","",INDEX(상세표[블록 18~22시],$P808))</f>
        <v/>
      </c>
      <c r="M808">
        <f>IF($P808="","",INDEX(상세표[블록 22~06시],$P808))</f>
        <v/>
      </c>
      <c r="N808">
        <f>IF($P808="","",INDEX(상세표[주말·휴일 포함],$P808)&amp;"")</f>
        <v/>
      </c>
      <c r="O808">
        <f>IF($P808="","",INDEX(상세표[월 넘김 포함],$P808)&amp;"")</f>
        <v/>
      </c>
      <c r="P808" s="4">
        <f>IFERROR(MATCH(803,상세표[연속순번],0),"")</f>
        <v/>
      </c>
    </row>
    <row r="809">
      <c r="A809">
        <f>IF($P809="","",INDEX(상세표[사번],$P809)&amp;"")</f>
        <v/>
      </c>
      <c r="B809">
        <f>IF($P809="","",INDEX(상세표[성명],$P809)&amp;"")</f>
        <v/>
      </c>
      <c r="C809">
        <f>IF($P809="","",INDEX(상세표[부서],$P809)&amp;"")</f>
        <v/>
      </c>
      <c r="D809">
        <f>IF($P809="","",INDEX(상세표[직위],$P809)&amp;"")</f>
        <v/>
      </c>
      <c r="E809">
        <f>IF($P809="","",IF(ISNUMBER(INDEX(상세표[시작],$P809)),TEXT(INDEX(상세표[시작],$P809),"yyyy-mm-dd hh:mm"),INDEX(상세표[시작],$P809)&amp;""))</f>
        <v/>
      </c>
      <c r="F809">
        <f>IF($P809="","",IF(ISNUMBER(INDEX(상세표[블록종료],$P809)),TEXT(INDEX(상세표[블록종료],$P809),"yyyy-mm-dd hh:mm"),INDEX(상세표[블록종료],$P809)&amp;""))</f>
        <v/>
      </c>
      <c r="G809">
        <f>IF($P809="","",CHOOSE(WEEKDAY(INDEX(상세표[시작],$P809)),"일","월","화","수","목","금","토"))</f>
        <v/>
      </c>
      <c r="H809">
        <f>IF($P809="","",INDEX(상세표[연속 시간],$P809))</f>
        <v/>
      </c>
      <c r="I809">
        <f>IF($P809="","",INDEX(상세표[기록 수],$P809))</f>
        <v/>
      </c>
      <c r="J809">
        <f>IF($P809="","",INDEX(상세표[블록 06~07시],$P809))</f>
        <v/>
      </c>
      <c r="K809">
        <f>IF($P809="","",INDEX(상세표[블록 07~18시],$P809))</f>
        <v/>
      </c>
      <c r="L809">
        <f>IF($P809="","",INDEX(상세표[블록 18~22시],$P809))</f>
        <v/>
      </c>
      <c r="M809">
        <f>IF($P809="","",INDEX(상세표[블록 22~06시],$P809))</f>
        <v/>
      </c>
      <c r="N809">
        <f>IF($P809="","",INDEX(상세표[주말·휴일 포함],$P809)&amp;"")</f>
        <v/>
      </c>
      <c r="O809">
        <f>IF($P809="","",INDEX(상세표[월 넘김 포함],$P809)&amp;"")</f>
        <v/>
      </c>
      <c r="P809" s="4">
        <f>IFERROR(MATCH(804,상세표[연속순번],0),"")</f>
        <v/>
      </c>
    </row>
    <row r="810">
      <c r="A810">
        <f>IF($P810="","",INDEX(상세표[사번],$P810)&amp;"")</f>
        <v/>
      </c>
      <c r="B810">
        <f>IF($P810="","",INDEX(상세표[성명],$P810)&amp;"")</f>
        <v/>
      </c>
      <c r="C810">
        <f>IF($P810="","",INDEX(상세표[부서],$P810)&amp;"")</f>
        <v/>
      </c>
      <c r="D810">
        <f>IF($P810="","",INDEX(상세표[직위],$P810)&amp;"")</f>
        <v/>
      </c>
      <c r="E810">
        <f>IF($P810="","",IF(ISNUMBER(INDEX(상세표[시작],$P810)),TEXT(INDEX(상세표[시작],$P810),"yyyy-mm-dd hh:mm"),INDEX(상세표[시작],$P810)&amp;""))</f>
        <v/>
      </c>
      <c r="F810">
        <f>IF($P810="","",IF(ISNUMBER(INDEX(상세표[블록종료],$P810)),TEXT(INDEX(상세표[블록종료],$P810),"yyyy-mm-dd hh:mm"),INDEX(상세표[블록종료],$P810)&amp;""))</f>
        <v/>
      </c>
      <c r="G810">
        <f>IF($P810="","",CHOOSE(WEEKDAY(INDEX(상세표[시작],$P810)),"일","월","화","수","목","금","토"))</f>
        <v/>
      </c>
      <c r="H810">
        <f>IF($P810="","",INDEX(상세표[연속 시간],$P810))</f>
        <v/>
      </c>
      <c r="I810">
        <f>IF($P810="","",INDEX(상세표[기록 수],$P810))</f>
        <v/>
      </c>
      <c r="J810">
        <f>IF($P810="","",INDEX(상세표[블록 06~07시],$P810))</f>
        <v/>
      </c>
      <c r="K810">
        <f>IF($P810="","",INDEX(상세표[블록 07~18시],$P810))</f>
        <v/>
      </c>
      <c r="L810">
        <f>IF($P810="","",INDEX(상세표[블록 18~22시],$P810))</f>
        <v/>
      </c>
      <c r="M810">
        <f>IF($P810="","",INDEX(상세표[블록 22~06시],$P810))</f>
        <v/>
      </c>
      <c r="N810">
        <f>IF($P810="","",INDEX(상세표[주말·휴일 포함],$P810)&amp;"")</f>
        <v/>
      </c>
      <c r="O810">
        <f>IF($P810="","",INDEX(상세표[월 넘김 포함],$P810)&amp;"")</f>
        <v/>
      </c>
      <c r="P810" s="4">
        <f>IFERROR(MATCH(805,상세표[연속순번],0),"")</f>
        <v/>
      </c>
    </row>
    <row r="811">
      <c r="A811">
        <f>IF($P811="","",INDEX(상세표[사번],$P811)&amp;"")</f>
        <v/>
      </c>
      <c r="B811">
        <f>IF($P811="","",INDEX(상세표[성명],$P811)&amp;"")</f>
        <v/>
      </c>
      <c r="C811">
        <f>IF($P811="","",INDEX(상세표[부서],$P811)&amp;"")</f>
        <v/>
      </c>
      <c r="D811">
        <f>IF($P811="","",INDEX(상세표[직위],$P811)&amp;"")</f>
        <v/>
      </c>
      <c r="E811">
        <f>IF($P811="","",IF(ISNUMBER(INDEX(상세표[시작],$P811)),TEXT(INDEX(상세표[시작],$P811),"yyyy-mm-dd hh:mm"),INDEX(상세표[시작],$P811)&amp;""))</f>
        <v/>
      </c>
      <c r="F811">
        <f>IF($P811="","",IF(ISNUMBER(INDEX(상세표[블록종료],$P811)),TEXT(INDEX(상세표[블록종료],$P811),"yyyy-mm-dd hh:mm"),INDEX(상세표[블록종료],$P811)&amp;""))</f>
        <v/>
      </c>
      <c r="G811">
        <f>IF($P811="","",CHOOSE(WEEKDAY(INDEX(상세표[시작],$P811)),"일","월","화","수","목","금","토"))</f>
        <v/>
      </c>
      <c r="H811">
        <f>IF($P811="","",INDEX(상세표[연속 시간],$P811))</f>
        <v/>
      </c>
      <c r="I811">
        <f>IF($P811="","",INDEX(상세표[기록 수],$P811))</f>
        <v/>
      </c>
      <c r="J811">
        <f>IF($P811="","",INDEX(상세표[블록 06~07시],$P811))</f>
        <v/>
      </c>
      <c r="K811">
        <f>IF($P811="","",INDEX(상세표[블록 07~18시],$P811))</f>
        <v/>
      </c>
      <c r="L811">
        <f>IF($P811="","",INDEX(상세표[블록 18~22시],$P811))</f>
        <v/>
      </c>
      <c r="M811">
        <f>IF($P811="","",INDEX(상세표[블록 22~06시],$P811))</f>
        <v/>
      </c>
      <c r="N811">
        <f>IF($P811="","",INDEX(상세표[주말·휴일 포함],$P811)&amp;"")</f>
        <v/>
      </c>
      <c r="O811">
        <f>IF($P811="","",INDEX(상세표[월 넘김 포함],$P811)&amp;"")</f>
        <v/>
      </c>
      <c r="P811" s="4">
        <f>IFERROR(MATCH(806,상세표[연속순번],0),"")</f>
        <v/>
      </c>
    </row>
    <row r="812">
      <c r="A812">
        <f>IF($P812="","",INDEX(상세표[사번],$P812)&amp;"")</f>
        <v/>
      </c>
      <c r="B812">
        <f>IF($P812="","",INDEX(상세표[성명],$P812)&amp;"")</f>
        <v/>
      </c>
      <c r="C812">
        <f>IF($P812="","",INDEX(상세표[부서],$P812)&amp;"")</f>
        <v/>
      </c>
      <c r="D812">
        <f>IF($P812="","",INDEX(상세표[직위],$P812)&amp;"")</f>
        <v/>
      </c>
      <c r="E812">
        <f>IF($P812="","",IF(ISNUMBER(INDEX(상세표[시작],$P812)),TEXT(INDEX(상세표[시작],$P812),"yyyy-mm-dd hh:mm"),INDEX(상세표[시작],$P812)&amp;""))</f>
        <v/>
      </c>
      <c r="F812">
        <f>IF($P812="","",IF(ISNUMBER(INDEX(상세표[블록종료],$P812)),TEXT(INDEX(상세표[블록종료],$P812),"yyyy-mm-dd hh:mm"),INDEX(상세표[블록종료],$P812)&amp;""))</f>
        <v/>
      </c>
      <c r="G812">
        <f>IF($P812="","",CHOOSE(WEEKDAY(INDEX(상세표[시작],$P812)),"일","월","화","수","목","금","토"))</f>
        <v/>
      </c>
      <c r="H812">
        <f>IF($P812="","",INDEX(상세표[연속 시간],$P812))</f>
        <v/>
      </c>
      <c r="I812">
        <f>IF($P812="","",INDEX(상세표[기록 수],$P812))</f>
        <v/>
      </c>
      <c r="J812">
        <f>IF($P812="","",INDEX(상세표[블록 06~07시],$P812))</f>
        <v/>
      </c>
      <c r="K812">
        <f>IF($P812="","",INDEX(상세표[블록 07~18시],$P812))</f>
        <v/>
      </c>
      <c r="L812">
        <f>IF($P812="","",INDEX(상세표[블록 18~22시],$P812))</f>
        <v/>
      </c>
      <c r="M812">
        <f>IF($P812="","",INDEX(상세표[블록 22~06시],$P812))</f>
        <v/>
      </c>
      <c r="N812">
        <f>IF($P812="","",INDEX(상세표[주말·휴일 포함],$P812)&amp;"")</f>
        <v/>
      </c>
      <c r="O812">
        <f>IF($P812="","",INDEX(상세표[월 넘김 포함],$P812)&amp;"")</f>
        <v/>
      </c>
      <c r="P812" s="4">
        <f>IFERROR(MATCH(807,상세표[연속순번],0),"")</f>
        <v/>
      </c>
    </row>
    <row r="813">
      <c r="A813">
        <f>IF($P813="","",INDEX(상세표[사번],$P813)&amp;"")</f>
        <v/>
      </c>
      <c r="B813">
        <f>IF($P813="","",INDEX(상세표[성명],$P813)&amp;"")</f>
        <v/>
      </c>
      <c r="C813">
        <f>IF($P813="","",INDEX(상세표[부서],$P813)&amp;"")</f>
        <v/>
      </c>
      <c r="D813">
        <f>IF($P813="","",INDEX(상세표[직위],$P813)&amp;"")</f>
        <v/>
      </c>
      <c r="E813">
        <f>IF($P813="","",IF(ISNUMBER(INDEX(상세표[시작],$P813)),TEXT(INDEX(상세표[시작],$P813),"yyyy-mm-dd hh:mm"),INDEX(상세표[시작],$P813)&amp;""))</f>
        <v/>
      </c>
      <c r="F813">
        <f>IF($P813="","",IF(ISNUMBER(INDEX(상세표[블록종료],$P813)),TEXT(INDEX(상세표[블록종료],$P813),"yyyy-mm-dd hh:mm"),INDEX(상세표[블록종료],$P813)&amp;""))</f>
        <v/>
      </c>
      <c r="G813">
        <f>IF($P813="","",CHOOSE(WEEKDAY(INDEX(상세표[시작],$P813)),"일","월","화","수","목","금","토"))</f>
        <v/>
      </c>
      <c r="H813">
        <f>IF($P813="","",INDEX(상세표[연속 시간],$P813))</f>
        <v/>
      </c>
      <c r="I813">
        <f>IF($P813="","",INDEX(상세표[기록 수],$P813))</f>
        <v/>
      </c>
      <c r="J813">
        <f>IF($P813="","",INDEX(상세표[블록 06~07시],$P813))</f>
        <v/>
      </c>
      <c r="K813">
        <f>IF($P813="","",INDEX(상세표[블록 07~18시],$P813))</f>
        <v/>
      </c>
      <c r="L813">
        <f>IF($P813="","",INDEX(상세표[블록 18~22시],$P813))</f>
        <v/>
      </c>
      <c r="M813">
        <f>IF($P813="","",INDEX(상세표[블록 22~06시],$P813))</f>
        <v/>
      </c>
      <c r="N813">
        <f>IF($P813="","",INDEX(상세표[주말·휴일 포함],$P813)&amp;"")</f>
        <v/>
      </c>
      <c r="O813">
        <f>IF($P813="","",INDEX(상세표[월 넘김 포함],$P813)&amp;"")</f>
        <v/>
      </c>
      <c r="P813" s="4">
        <f>IFERROR(MATCH(808,상세표[연속순번],0),"")</f>
        <v/>
      </c>
    </row>
    <row r="814">
      <c r="A814">
        <f>IF($P814="","",INDEX(상세표[사번],$P814)&amp;"")</f>
        <v/>
      </c>
      <c r="B814">
        <f>IF($P814="","",INDEX(상세표[성명],$P814)&amp;"")</f>
        <v/>
      </c>
      <c r="C814">
        <f>IF($P814="","",INDEX(상세표[부서],$P814)&amp;"")</f>
        <v/>
      </c>
      <c r="D814">
        <f>IF($P814="","",INDEX(상세표[직위],$P814)&amp;"")</f>
        <v/>
      </c>
      <c r="E814">
        <f>IF($P814="","",IF(ISNUMBER(INDEX(상세표[시작],$P814)),TEXT(INDEX(상세표[시작],$P814),"yyyy-mm-dd hh:mm"),INDEX(상세표[시작],$P814)&amp;""))</f>
        <v/>
      </c>
      <c r="F814">
        <f>IF($P814="","",IF(ISNUMBER(INDEX(상세표[블록종료],$P814)),TEXT(INDEX(상세표[블록종료],$P814),"yyyy-mm-dd hh:mm"),INDEX(상세표[블록종료],$P814)&amp;""))</f>
        <v/>
      </c>
      <c r="G814">
        <f>IF($P814="","",CHOOSE(WEEKDAY(INDEX(상세표[시작],$P814)),"일","월","화","수","목","금","토"))</f>
        <v/>
      </c>
      <c r="H814">
        <f>IF($P814="","",INDEX(상세표[연속 시간],$P814))</f>
        <v/>
      </c>
      <c r="I814">
        <f>IF($P814="","",INDEX(상세표[기록 수],$P814))</f>
        <v/>
      </c>
      <c r="J814">
        <f>IF($P814="","",INDEX(상세표[블록 06~07시],$P814))</f>
        <v/>
      </c>
      <c r="K814">
        <f>IF($P814="","",INDEX(상세표[블록 07~18시],$P814))</f>
        <v/>
      </c>
      <c r="L814">
        <f>IF($P814="","",INDEX(상세표[블록 18~22시],$P814))</f>
        <v/>
      </c>
      <c r="M814">
        <f>IF($P814="","",INDEX(상세표[블록 22~06시],$P814))</f>
        <v/>
      </c>
      <c r="N814">
        <f>IF($P814="","",INDEX(상세표[주말·휴일 포함],$P814)&amp;"")</f>
        <v/>
      </c>
      <c r="O814">
        <f>IF($P814="","",INDEX(상세표[월 넘김 포함],$P814)&amp;"")</f>
        <v/>
      </c>
      <c r="P814" s="4">
        <f>IFERROR(MATCH(809,상세표[연속순번],0),"")</f>
        <v/>
      </c>
    </row>
    <row r="815">
      <c r="A815">
        <f>IF($P815="","",INDEX(상세표[사번],$P815)&amp;"")</f>
        <v/>
      </c>
      <c r="B815">
        <f>IF($P815="","",INDEX(상세표[성명],$P815)&amp;"")</f>
        <v/>
      </c>
      <c r="C815">
        <f>IF($P815="","",INDEX(상세표[부서],$P815)&amp;"")</f>
        <v/>
      </c>
      <c r="D815">
        <f>IF($P815="","",INDEX(상세표[직위],$P815)&amp;"")</f>
        <v/>
      </c>
      <c r="E815">
        <f>IF($P815="","",IF(ISNUMBER(INDEX(상세표[시작],$P815)),TEXT(INDEX(상세표[시작],$P815),"yyyy-mm-dd hh:mm"),INDEX(상세표[시작],$P815)&amp;""))</f>
        <v/>
      </c>
      <c r="F815">
        <f>IF($P815="","",IF(ISNUMBER(INDEX(상세표[블록종료],$P815)),TEXT(INDEX(상세표[블록종료],$P815),"yyyy-mm-dd hh:mm"),INDEX(상세표[블록종료],$P815)&amp;""))</f>
        <v/>
      </c>
      <c r="G815">
        <f>IF($P815="","",CHOOSE(WEEKDAY(INDEX(상세표[시작],$P815)),"일","월","화","수","목","금","토"))</f>
        <v/>
      </c>
      <c r="H815">
        <f>IF($P815="","",INDEX(상세표[연속 시간],$P815))</f>
        <v/>
      </c>
      <c r="I815">
        <f>IF($P815="","",INDEX(상세표[기록 수],$P815))</f>
        <v/>
      </c>
      <c r="J815">
        <f>IF($P815="","",INDEX(상세표[블록 06~07시],$P815))</f>
        <v/>
      </c>
      <c r="K815">
        <f>IF($P815="","",INDEX(상세표[블록 07~18시],$P815))</f>
        <v/>
      </c>
      <c r="L815">
        <f>IF($P815="","",INDEX(상세표[블록 18~22시],$P815))</f>
        <v/>
      </c>
      <c r="M815">
        <f>IF($P815="","",INDEX(상세표[블록 22~06시],$P815))</f>
        <v/>
      </c>
      <c r="N815">
        <f>IF($P815="","",INDEX(상세표[주말·휴일 포함],$P815)&amp;"")</f>
        <v/>
      </c>
      <c r="O815">
        <f>IF($P815="","",INDEX(상세표[월 넘김 포함],$P815)&amp;"")</f>
        <v/>
      </c>
      <c r="P815" s="4">
        <f>IFERROR(MATCH(810,상세표[연속순번],0),"")</f>
        <v/>
      </c>
    </row>
    <row r="816">
      <c r="A816">
        <f>IF($P816="","",INDEX(상세표[사번],$P816)&amp;"")</f>
        <v/>
      </c>
      <c r="B816">
        <f>IF($P816="","",INDEX(상세표[성명],$P816)&amp;"")</f>
        <v/>
      </c>
      <c r="C816">
        <f>IF($P816="","",INDEX(상세표[부서],$P816)&amp;"")</f>
        <v/>
      </c>
      <c r="D816">
        <f>IF($P816="","",INDEX(상세표[직위],$P816)&amp;"")</f>
        <v/>
      </c>
      <c r="E816">
        <f>IF($P816="","",IF(ISNUMBER(INDEX(상세표[시작],$P816)),TEXT(INDEX(상세표[시작],$P816),"yyyy-mm-dd hh:mm"),INDEX(상세표[시작],$P816)&amp;""))</f>
        <v/>
      </c>
      <c r="F816">
        <f>IF($P816="","",IF(ISNUMBER(INDEX(상세표[블록종료],$P816)),TEXT(INDEX(상세표[블록종료],$P816),"yyyy-mm-dd hh:mm"),INDEX(상세표[블록종료],$P816)&amp;""))</f>
        <v/>
      </c>
      <c r="G816">
        <f>IF($P816="","",CHOOSE(WEEKDAY(INDEX(상세표[시작],$P816)),"일","월","화","수","목","금","토"))</f>
        <v/>
      </c>
      <c r="H816">
        <f>IF($P816="","",INDEX(상세표[연속 시간],$P816))</f>
        <v/>
      </c>
      <c r="I816">
        <f>IF($P816="","",INDEX(상세표[기록 수],$P816))</f>
        <v/>
      </c>
      <c r="J816">
        <f>IF($P816="","",INDEX(상세표[블록 06~07시],$P816))</f>
        <v/>
      </c>
      <c r="K816">
        <f>IF($P816="","",INDEX(상세표[블록 07~18시],$P816))</f>
        <v/>
      </c>
      <c r="L816">
        <f>IF($P816="","",INDEX(상세표[블록 18~22시],$P816))</f>
        <v/>
      </c>
      <c r="M816">
        <f>IF($P816="","",INDEX(상세표[블록 22~06시],$P816))</f>
        <v/>
      </c>
      <c r="N816">
        <f>IF($P816="","",INDEX(상세표[주말·휴일 포함],$P816)&amp;"")</f>
        <v/>
      </c>
      <c r="O816">
        <f>IF($P816="","",INDEX(상세표[월 넘김 포함],$P816)&amp;"")</f>
        <v/>
      </c>
      <c r="P816" s="4">
        <f>IFERROR(MATCH(811,상세표[연속순번],0),"")</f>
        <v/>
      </c>
    </row>
    <row r="817">
      <c r="A817">
        <f>IF($P817="","",INDEX(상세표[사번],$P817)&amp;"")</f>
        <v/>
      </c>
      <c r="B817">
        <f>IF($P817="","",INDEX(상세표[성명],$P817)&amp;"")</f>
        <v/>
      </c>
      <c r="C817">
        <f>IF($P817="","",INDEX(상세표[부서],$P817)&amp;"")</f>
        <v/>
      </c>
      <c r="D817">
        <f>IF($P817="","",INDEX(상세표[직위],$P817)&amp;"")</f>
        <v/>
      </c>
      <c r="E817">
        <f>IF($P817="","",IF(ISNUMBER(INDEX(상세표[시작],$P817)),TEXT(INDEX(상세표[시작],$P817),"yyyy-mm-dd hh:mm"),INDEX(상세표[시작],$P817)&amp;""))</f>
        <v/>
      </c>
      <c r="F817">
        <f>IF($P817="","",IF(ISNUMBER(INDEX(상세표[블록종료],$P817)),TEXT(INDEX(상세표[블록종료],$P817),"yyyy-mm-dd hh:mm"),INDEX(상세표[블록종료],$P817)&amp;""))</f>
        <v/>
      </c>
      <c r="G817">
        <f>IF($P817="","",CHOOSE(WEEKDAY(INDEX(상세표[시작],$P817)),"일","월","화","수","목","금","토"))</f>
        <v/>
      </c>
      <c r="H817">
        <f>IF($P817="","",INDEX(상세표[연속 시간],$P817))</f>
        <v/>
      </c>
      <c r="I817">
        <f>IF($P817="","",INDEX(상세표[기록 수],$P817))</f>
        <v/>
      </c>
      <c r="J817">
        <f>IF($P817="","",INDEX(상세표[블록 06~07시],$P817))</f>
        <v/>
      </c>
      <c r="K817">
        <f>IF($P817="","",INDEX(상세표[블록 07~18시],$P817))</f>
        <v/>
      </c>
      <c r="L817">
        <f>IF($P817="","",INDEX(상세표[블록 18~22시],$P817))</f>
        <v/>
      </c>
      <c r="M817">
        <f>IF($P817="","",INDEX(상세표[블록 22~06시],$P817))</f>
        <v/>
      </c>
      <c r="N817">
        <f>IF($P817="","",INDEX(상세표[주말·휴일 포함],$P817)&amp;"")</f>
        <v/>
      </c>
      <c r="O817">
        <f>IF($P817="","",INDEX(상세표[월 넘김 포함],$P817)&amp;"")</f>
        <v/>
      </c>
      <c r="P817" s="4">
        <f>IFERROR(MATCH(812,상세표[연속순번],0),"")</f>
        <v/>
      </c>
    </row>
    <row r="818">
      <c r="A818">
        <f>IF($P818="","",INDEX(상세표[사번],$P818)&amp;"")</f>
        <v/>
      </c>
      <c r="B818">
        <f>IF($P818="","",INDEX(상세표[성명],$P818)&amp;"")</f>
        <v/>
      </c>
      <c r="C818">
        <f>IF($P818="","",INDEX(상세표[부서],$P818)&amp;"")</f>
        <v/>
      </c>
      <c r="D818">
        <f>IF($P818="","",INDEX(상세표[직위],$P818)&amp;"")</f>
        <v/>
      </c>
      <c r="E818">
        <f>IF($P818="","",IF(ISNUMBER(INDEX(상세표[시작],$P818)),TEXT(INDEX(상세표[시작],$P818),"yyyy-mm-dd hh:mm"),INDEX(상세표[시작],$P818)&amp;""))</f>
        <v/>
      </c>
      <c r="F818">
        <f>IF($P818="","",IF(ISNUMBER(INDEX(상세표[블록종료],$P818)),TEXT(INDEX(상세표[블록종료],$P818),"yyyy-mm-dd hh:mm"),INDEX(상세표[블록종료],$P818)&amp;""))</f>
        <v/>
      </c>
      <c r="G818">
        <f>IF($P818="","",CHOOSE(WEEKDAY(INDEX(상세표[시작],$P818)),"일","월","화","수","목","금","토"))</f>
        <v/>
      </c>
      <c r="H818">
        <f>IF($P818="","",INDEX(상세표[연속 시간],$P818))</f>
        <v/>
      </c>
      <c r="I818">
        <f>IF($P818="","",INDEX(상세표[기록 수],$P818))</f>
        <v/>
      </c>
      <c r="J818">
        <f>IF($P818="","",INDEX(상세표[블록 06~07시],$P818))</f>
        <v/>
      </c>
      <c r="K818">
        <f>IF($P818="","",INDEX(상세표[블록 07~18시],$P818))</f>
        <v/>
      </c>
      <c r="L818">
        <f>IF($P818="","",INDEX(상세표[블록 18~22시],$P818))</f>
        <v/>
      </c>
      <c r="M818">
        <f>IF($P818="","",INDEX(상세표[블록 22~06시],$P818))</f>
        <v/>
      </c>
      <c r="N818">
        <f>IF($P818="","",INDEX(상세표[주말·휴일 포함],$P818)&amp;"")</f>
        <v/>
      </c>
      <c r="O818">
        <f>IF($P818="","",INDEX(상세표[월 넘김 포함],$P818)&amp;"")</f>
        <v/>
      </c>
      <c r="P818" s="4">
        <f>IFERROR(MATCH(813,상세표[연속순번],0),"")</f>
        <v/>
      </c>
    </row>
    <row r="819">
      <c r="A819">
        <f>IF($P819="","",INDEX(상세표[사번],$P819)&amp;"")</f>
        <v/>
      </c>
      <c r="B819">
        <f>IF($P819="","",INDEX(상세표[성명],$P819)&amp;"")</f>
        <v/>
      </c>
      <c r="C819">
        <f>IF($P819="","",INDEX(상세표[부서],$P819)&amp;"")</f>
        <v/>
      </c>
      <c r="D819">
        <f>IF($P819="","",INDEX(상세표[직위],$P819)&amp;"")</f>
        <v/>
      </c>
      <c r="E819">
        <f>IF($P819="","",IF(ISNUMBER(INDEX(상세표[시작],$P819)),TEXT(INDEX(상세표[시작],$P819),"yyyy-mm-dd hh:mm"),INDEX(상세표[시작],$P819)&amp;""))</f>
        <v/>
      </c>
      <c r="F819">
        <f>IF($P819="","",IF(ISNUMBER(INDEX(상세표[블록종료],$P819)),TEXT(INDEX(상세표[블록종료],$P819),"yyyy-mm-dd hh:mm"),INDEX(상세표[블록종료],$P819)&amp;""))</f>
        <v/>
      </c>
      <c r="G819">
        <f>IF($P819="","",CHOOSE(WEEKDAY(INDEX(상세표[시작],$P819)),"일","월","화","수","목","금","토"))</f>
        <v/>
      </c>
      <c r="H819">
        <f>IF($P819="","",INDEX(상세표[연속 시간],$P819))</f>
        <v/>
      </c>
      <c r="I819">
        <f>IF($P819="","",INDEX(상세표[기록 수],$P819))</f>
        <v/>
      </c>
      <c r="J819">
        <f>IF($P819="","",INDEX(상세표[블록 06~07시],$P819))</f>
        <v/>
      </c>
      <c r="K819">
        <f>IF($P819="","",INDEX(상세표[블록 07~18시],$P819))</f>
        <v/>
      </c>
      <c r="L819">
        <f>IF($P819="","",INDEX(상세표[블록 18~22시],$P819))</f>
        <v/>
      </c>
      <c r="M819">
        <f>IF($P819="","",INDEX(상세표[블록 22~06시],$P819))</f>
        <v/>
      </c>
      <c r="N819">
        <f>IF($P819="","",INDEX(상세표[주말·휴일 포함],$P819)&amp;"")</f>
        <v/>
      </c>
      <c r="O819">
        <f>IF($P819="","",INDEX(상세표[월 넘김 포함],$P819)&amp;"")</f>
        <v/>
      </c>
      <c r="P819" s="4">
        <f>IFERROR(MATCH(814,상세표[연속순번],0),"")</f>
        <v/>
      </c>
    </row>
    <row r="820">
      <c r="A820">
        <f>IF($P820="","",INDEX(상세표[사번],$P820)&amp;"")</f>
        <v/>
      </c>
      <c r="B820">
        <f>IF($P820="","",INDEX(상세표[성명],$P820)&amp;"")</f>
        <v/>
      </c>
      <c r="C820">
        <f>IF($P820="","",INDEX(상세표[부서],$P820)&amp;"")</f>
        <v/>
      </c>
      <c r="D820">
        <f>IF($P820="","",INDEX(상세표[직위],$P820)&amp;"")</f>
        <v/>
      </c>
      <c r="E820">
        <f>IF($P820="","",IF(ISNUMBER(INDEX(상세표[시작],$P820)),TEXT(INDEX(상세표[시작],$P820),"yyyy-mm-dd hh:mm"),INDEX(상세표[시작],$P820)&amp;""))</f>
        <v/>
      </c>
      <c r="F820">
        <f>IF($P820="","",IF(ISNUMBER(INDEX(상세표[블록종료],$P820)),TEXT(INDEX(상세표[블록종료],$P820),"yyyy-mm-dd hh:mm"),INDEX(상세표[블록종료],$P820)&amp;""))</f>
        <v/>
      </c>
      <c r="G820">
        <f>IF($P820="","",CHOOSE(WEEKDAY(INDEX(상세표[시작],$P820)),"일","월","화","수","목","금","토"))</f>
        <v/>
      </c>
      <c r="H820">
        <f>IF($P820="","",INDEX(상세표[연속 시간],$P820))</f>
        <v/>
      </c>
      <c r="I820">
        <f>IF($P820="","",INDEX(상세표[기록 수],$P820))</f>
        <v/>
      </c>
      <c r="J820">
        <f>IF($P820="","",INDEX(상세표[블록 06~07시],$P820))</f>
        <v/>
      </c>
      <c r="K820">
        <f>IF($P820="","",INDEX(상세표[블록 07~18시],$P820))</f>
        <v/>
      </c>
      <c r="L820">
        <f>IF($P820="","",INDEX(상세표[블록 18~22시],$P820))</f>
        <v/>
      </c>
      <c r="M820">
        <f>IF($P820="","",INDEX(상세표[블록 22~06시],$P820))</f>
        <v/>
      </c>
      <c r="N820">
        <f>IF($P820="","",INDEX(상세표[주말·휴일 포함],$P820)&amp;"")</f>
        <v/>
      </c>
      <c r="O820">
        <f>IF($P820="","",INDEX(상세표[월 넘김 포함],$P820)&amp;"")</f>
        <v/>
      </c>
      <c r="P820" s="4">
        <f>IFERROR(MATCH(815,상세표[연속순번],0),"")</f>
        <v/>
      </c>
    </row>
    <row r="821">
      <c r="A821">
        <f>IF($P821="","",INDEX(상세표[사번],$P821)&amp;"")</f>
        <v/>
      </c>
      <c r="B821">
        <f>IF($P821="","",INDEX(상세표[성명],$P821)&amp;"")</f>
        <v/>
      </c>
      <c r="C821">
        <f>IF($P821="","",INDEX(상세표[부서],$P821)&amp;"")</f>
        <v/>
      </c>
      <c r="D821">
        <f>IF($P821="","",INDEX(상세표[직위],$P821)&amp;"")</f>
        <v/>
      </c>
      <c r="E821">
        <f>IF($P821="","",IF(ISNUMBER(INDEX(상세표[시작],$P821)),TEXT(INDEX(상세표[시작],$P821),"yyyy-mm-dd hh:mm"),INDEX(상세표[시작],$P821)&amp;""))</f>
        <v/>
      </c>
      <c r="F821">
        <f>IF($P821="","",IF(ISNUMBER(INDEX(상세표[블록종료],$P821)),TEXT(INDEX(상세표[블록종료],$P821),"yyyy-mm-dd hh:mm"),INDEX(상세표[블록종료],$P821)&amp;""))</f>
        <v/>
      </c>
      <c r="G821">
        <f>IF($P821="","",CHOOSE(WEEKDAY(INDEX(상세표[시작],$P821)),"일","월","화","수","목","금","토"))</f>
        <v/>
      </c>
      <c r="H821">
        <f>IF($P821="","",INDEX(상세표[연속 시간],$P821))</f>
        <v/>
      </c>
      <c r="I821">
        <f>IF($P821="","",INDEX(상세표[기록 수],$P821))</f>
        <v/>
      </c>
      <c r="J821">
        <f>IF($P821="","",INDEX(상세표[블록 06~07시],$P821))</f>
        <v/>
      </c>
      <c r="K821">
        <f>IF($P821="","",INDEX(상세표[블록 07~18시],$P821))</f>
        <v/>
      </c>
      <c r="L821">
        <f>IF($P821="","",INDEX(상세표[블록 18~22시],$P821))</f>
        <v/>
      </c>
      <c r="M821">
        <f>IF($P821="","",INDEX(상세표[블록 22~06시],$P821))</f>
        <v/>
      </c>
      <c r="N821">
        <f>IF($P821="","",INDEX(상세표[주말·휴일 포함],$P821)&amp;"")</f>
        <v/>
      </c>
      <c r="O821">
        <f>IF($P821="","",INDEX(상세표[월 넘김 포함],$P821)&amp;"")</f>
        <v/>
      </c>
      <c r="P821" s="4">
        <f>IFERROR(MATCH(816,상세표[연속순번],0),"")</f>
        <v/>
      </c>
    </row>
    <row r="822">
      <c r="A822">
        <f>IF($P822="","",INDEX(상세표[사번],$P822)&amp;"")</f>
        <v/>
      </c>
      <c r="B822">
        <f>IF($P822="","",INDEX(상세표[성명],$P822)&amp;"")</f>
        <v/>
      </c>
      <c r="C822">
        <f>IF($P822="","",INDEX(상세표[부서],$P822)&amp;"")</f>
        <v/>
      </c>
      <c r="D822">
        <f>IF($P822="","",INDEX(상세표[직위],$P822)&amp;"")</f>
        <v/>
      </c>
      <c r="E822">
        <f>IF($P822="","",IF(ISNUMBER(INDEX(상세표[시작],$P822)),TEXT(INDEX(상세표[시작],$P822),"yyyy-mm-dd hh:mm"),INDEX(상세표[시작],$P822)&amp;""))</f>
        <v/>
      </c>
      <c r="F822">
        <f>IF($P822="","",IF(ISNUMBER(INDEX(상세표[블록종료],$P822)),TEXT(INDEX(상세표[블록종료],$P822),"yyyy-mm-dd hh:mm"),INDEX(상세표[블록종료],$P822)&amp;""))</f>
        <v/>
      </c>
      <c r="G822">
        <f>IF($P822="","",CHOOSE(WEEKDAY(INDEX(상세표[시작],$P822)),"일","월","화","수","목","금","토"))</f>
        <v/>
      </c>
      <c r="H822">
        <f>IF($P822="","",INDEX(상세표[연속 시간],$P822))</f>
        <v/>
      </c>
      <c r="I822">
        <f>IF($P822="","",INDEX(상세표[기록 수],$P822))</f>
        <v/>
      </c>
      <c r="J822">
        <f>IF($P822="","",INDEX(상세표[블록 06~07시],$P822))</f>
        <v/>
      </c>
      <c r="K822">
        <f>IF($P822="","",INDEX(상세표[블록 07~18시],$P822))</f>
        <v/>
      </c>
      <c r="L822">
        <f>IF($P822="","",INDEX(상세표[블록 18~22시],$P822))</f>
        <v/>
      </c>
      <c r="M822">
        <f>IF($P822="","",INDEX(상세표[블록 22~06시],$P822))</f>
        <v/>
      </c>
      <c r="N822">
        <f>IF($P822="","",INDEX(상세표[주말·휴일 포함],$P822)&amp;"")</f>
        <v/>
      </c>
      <c r="O822">
        <f>IF($P822="","",INDEX(상세표[월 넘김 포함],$P822)&amp;"")</f>
        <v/>
      </c>
      <c r="P822" s="4">
        <f>IFERROR(MATCH(817,상세표[연속순번],0),"")</f>
        <v/>
      </c>
    </row>
    <row r="823">
      <c r="A823">
        <f>IF($P823="","",INDEX(상세표[사번],$P823)&amp;"")</f>
        <v/>
      </c>
      <c r="B823">
        <f>IF($P823="","",INDEX(상세표[성명],$P823)&amp;"")</f>
        <v/>
      </c>
      <c r="C823">
        <f>IF($P823="","",INDEX(상세표[부서],$P823)&amp;"")</f>
        <v/>
      </c>
      <c r="D823">
        <f>IF($P823="","",INDEX(상세표[직위],$P823)&amp;"")</f>
        <v/>
      </c>
      <c r="E823">
        <f>IF($P823="","",IF(ISNUMBER(INDEX(상세표[시작],$P823)),TEXT(INDEX(상세표[시작],$P823),"yyyy-mm-dd hh:mm"),INDEX(상세표[시작],$P823)&amp;""))</f>
        <v/>
      </c>
      <c r="F823">
        <f>IF($P823="","",IF(ISNUMBER(INDEX(상세표[블록종료],$P823)),TEXT(INDEX(상세표[블록종료],$P823),"yyyy-mm-dd hh:mm"),INDEX(상세표[블록종료],$P823)&amp;""))</f>
        <v/>
      </c>
      <c r="G823">
        <f>IF($P823="","",CHOOSE(WEEKDAY(INDEX(상세표[시작],$P823)),"일","월","화","수","목","금","토"))</f>
        <v/>
      </c>
      <c r="H823">
        <f>IF($P823="","",INDEX(상세표[연속 시간],$P823))</f>
        <v/>
      </c>
      <c r="I823">
        <f>IF($P823="","",INDEX(상세표[기록 수],$P823))</f>
        <v/>
      </c>
      <c r="J823">
        <f>IF($P823="","",INDEX(상세표[블록 06~07시],$P823))</f>
        <v/>
      </c>
      <c r="K823">
        <f>IF($P823="","",INDEX(상세표[블록 07~18시],$P823))</f>
        <v/>
      </c>
      <c r="L823">
        <f>IF($P823="","",INDEX(상세표[블록 18~22시],$P823))</f>
        <v/>
      </c>
      <c r="M823">
        <f>IF($P823="","",INDEX(상세표[블록 22~06시],$P823))</f>
        <v/>
      </c>
      <c r="N823">
        <f>IF($P823="","",INDEX(상세표[주말·휴일 포함],$P823)&amp;"")</f>
        <v/>
      </c>
      <c r="O823">
        <f>IF($P823="","",INDEX(상세표[월 넘김 포함],$P823)&amp;"")</f>
        <v/>
      </c>
      <c r="P823" s="4">
        <f>IFERROR(MATCH(818,상세표[연속순번],0),"")</f>
        <v/>
      </c>
    </row>
    <row r="824">
      <c r="A824">
        <f>IF($P824="","",INDEX(상세표[사번],$P824)&amp;"")</f>
        <v/>
      </c>
      <c r="B824">
        <f>IF($P824="","",INDEX(상세표[성명],$P824)&amp;"")</f>
        <v/>
      </c>
      <c r="C824">
        <f>IF($P824="","",INDEX(상세표[부서],$P824)&amp;"")</f>
        <v/>
      </c>
      <c r="D824">
        <f>IF($P824="","",INDEX(상세표[직위],$P824)&amp;"")</f>
        <v/>
      </c>
      <c r="E824">
        <f>IF($P824="","",IF(ISNUMBER(INDEX(상세표[시작],$P824)),TEXT(INDEX(상세표[시작],$P824),"yyyy-mm-dd hh:mm"),INDEX(상세표[시작],$P824)&amp;""))</f>
        <v/>
      </c>
      <c r="F824">
        <f>IF($P824="","",IF(ISNUMBER(INDEX(상세표[블록종료],$P824)),TEXT(INDEX(상세표[블록종료],$P824),"yyyy-mm-dd hh:mm"),INDEX(상세표[블록종료],$P824)&amp;""))</f>
        <v/>
      </c>
      <c r="G824">
        <f>IF($P824="","",CHOOSE(WEEKDAY(INDEX(상세표[시작],$P824)),"일","월","화","수","목","금","토"))</f>
        <v/>
      </c>
      <c r="H824">
        <f>IF($P824="","",INDEX(상세표[연속 시간],$P824))</f>
        <v/>
      </c>
      <c r="I824">
        <f>IF($P824="","",INDEX(상세표[기록 수],$P824))</f>
        <v/>
      </c>
      <c r="J824">
        <f>IF($P824="","",INDEX(상세표[블록 06~07시],$P824))</f>
        <v/>
      </c>
      <c r="K824">
        <f>IF($P824="","",INDEX(상세표[블록 07~18시],$P824))</f>
        <v/>
      </c>
      <c r="L824">
        <f>IF($P824="","",INDEX(상세표[블록 18~22시],$P824))</f>
        <v/>
      </c>
      <c r="M824">
        <f>IF($P824="","",INDEX(상세표[블록 22~06시],$P824))</f>
        <v/>
      </c>
      <c r="N824">
        <f>IF($P824="","",INDEX(상세표[주말·휴일 포함],$P824)&amp;"")</f>
        <v/>
      </c>
      <c r="O824">
        <f>IF($P824="","",INDEX(상세표[월 넘김 포함],$P824)&amp;"")</f>
        <v/>
      </c>
      <c r="P824" s="4">
        <f>IFERROR(MATCH(819,상세표[연속순번],0),"")</f>
        <v/>
      </c>
    </row>
    <row r="825">
      <c r="A825">
        <f>IF($P825="","",INDEX(상세표[사번],$P825)&amp;"")</f>
        <v/>
      </c>
      <c r="B825">
        <f>IF($P825="","",INDEX(상세표[성명],$P825)&amp;"")</f>
        <v/>
      </c>
      <c r="C825">
        <f>IF($P825="","",INDEX(상세표[부서],$P825)&amp;"")</f>
        <v/>
      </c>
      <c r="D825">
        <f>IF($P825="","",INDEX(상세표[직위],$P825)&amp;"")</f>
        <v/>
      </c>
      <c r="E825">
        <f>IF($P825="","",IF(ISNUMBER(INDEX(상세표[시작],$P825)),TEXT(INDEX(상세표[시작],$P825),"yyyy-mm-dd hh:mm"),INDEX(상세표[시작],$P825)&amp;""))</f>
        <v/>
      </c>
      <c r="F825">
        <f>IF($P825="","",IF(ISNUMBER(INDEX(상세표[블록종료],$P825)),TEXT(INDEX(상세표[블록종료],$P825),"yyyy-mm-dd hh:mm"),INDEX(상세표[블록종료],$P825)&amp;""))</f>
        <v/>
      </c>
      <c r="G825">
        <f>IF($P825="","",CHOOSE(WEEKDAY(INDEX(상세표[시작],$P825)),"일","월","화","수","목","금","토"))</f>
        <v/>
      </c>
      <c r="H825">
        <f>IF($P825="","",INDEX(상세표[연속 시간],$P825))</f>
        <v/>
      </c>
      <c r="I825">
        <f>IF($P825="","",INDEX(상세표[기록 수],$P825))</f>
        <v/>
      </c>
      <c r="J825">
        <f>IF($P825="","",INDEX(상세표[블록 06~07시],$P825))</f>
        <v/>
      </c>
      <c r="K825">
        <f>IF($P825="","",INDEX(상세표[블록 07~18시],$P825))</f>
        <v/>
      </c>
      <c r="L825">
        <f>IF($P825="","",INDEX(상세표[블록 18~22시],$P825))</f>
        <v/>
      </c>
      <c r="M825">
        <f>IF($P825="","",INDEX(상세표[블록 22~06시],$P825))</f>
        <v/>
      </c>
      <c r="N825">
        <f>IF($P825="","",INDEX(상세표[주말·휴일 포함],$P825)&amp;"")</f>
        <v/>
      </c>
      <c r="O825">
        <f>IF($P825="","",INDEX(상세표[월 넘김 포함],$P825)&amp;"")</f>
        <v/>
      </c>
      <c r="P825" s="4">
        <f>IFERROR(MATCH(820,상세표[연속순번],0),"")</f>
        <v/>
      </c>
    </row>
    <row r="826">
      <c r="A826">
        <f>IF($P826="","",INDEX(상세표[사번],$P826)&amp;"")</f>
        <v/>
      </c>
      <c r="B826">
        <f>IF($P826="","",INDEX(상세표[성명],$P826)&amp;"")</f>
        <v/>
      </c>
      <c r="C826">
        <f>IF($P826="","",INDEX(상세표[부서],$P826)&amp;"")</f>
        <v/>
      </c>
      <c r="D826">
        <f>IF($P826="","",INDEX(상세표[직위],$P826)&amp;"")</f>
        <v/>
      </c>
      <c r="E826">
        <f>IF($P826="","",IF(ISNUMBER(INDEX(상세표[시작],$P826)),TEXT(INDEX(상세표[시작],$P826),"yyyy-mm-dd hh:mm"),INDEX(상세표[시작],$P826)&amp;""))</f>
        <v/>
      </c>
      <c r="F826">
        <f>IF($P826="","",IF(ISNUMBER(INDEX(상세표[블록종료],$P826)),TEXT(INDEX(상세표[블록종료],$P826),"yyyy-mm-dd hh:mm"),INDEX(상세표[블록종료],$P826)&amp;""))</f>
        <v/>
      </c>
      <c r="G826">
        <f>IF($P826="","",CHOOSE(WEEKDAY(INDEX(상세표[시작],$P826)),"일","월","화","수","목","금","토"))</f>
        <v/>
      </c>
      <c r="H826">
        <f>IF($P826="","",INDEX(상세표[연속 시간],$P826))</f>
        <v/>
      </c>
      <c r="I826">
        <f>IF($P826="","",INDEX(상세표[기록 수],$P826))</f>
        <v/>
      </c>
      <c r="J826">
        <f>IF($P826="","",INDEX(상세표[블록 06~07시],$P826))</f>
        <v/>
      </c>
      <c r="K826">
        <f>IF($P826="","",INDEX(상세표[블록 07~18시],$P826))</f>
        <v/>
      </c>
      <c r="L826">
        <f>IF($P826="","",INDEX(상세표[블록 18~22시],$P826))</f>
        <v/>
      </c>
      <c r="M826">
        <f>IF($P826="","",INDEX(상세표[블록 22~06시],$P826))</f>
        <v/>
      </c>
      <c r="N826">
        <f>IF($P826="","",INDEX(상세표[주말·휴일 포함],$P826)&amp;"")</f>
        <v/>
      </c>
      <c r="O826">
        <f>IF($P826="","",INDEX(상세표[월 넘김 포함],$P826)&amp;"")</f>
        <v/>
      </c>
      <c r="P826" s="4">
        <f>IFERROR(MATCH(821,상세표[연속순번],0),"")</f>
        <v/>
      </c>
    </row>
    <row r="827">
      <c r="A827">
        <f>IF($P827="","",INDEX(상세표[사번],$P827)&amp;"")</f>
        <v/>
      </c>
      <c r="B827">
        <f>IF($P827="","",INDEX(상세표[성명],$P827)&amp;"")</f>
        <v/>
      </c>
      <c r="C827">
        <f>IF($P827="","",INDEX(상세표[부서],$P827)&amp;"")</f>
        <v/>
      </c>
      <c r="D827">
        <f>IF($P827="","",INDEX(상세표[직위],$P827)&amp;"")</f>
        <v/>
      </c>
      <c r="E827">
        <f>IF($P827="","",IF(ISNUMBER(INDEX(상세표[시작],$P827)),TEXT(INDEX(상세표[시작],$P827),"yyyy-mm-dd hh:mm"),INDEX(상세표[시작],$P827)&amp;""))</f>
        <v/>
      </c>
      <c r="F827">
        <f>IF($P827="","",IF(ISNUMBER(INDEX(상세표[블록종료],$P827)),TEXT(INDEX(상세표[블록종료],$P827),"yyyy-mm-dd hh:mm"),INDEX(상세표[블록종료],$P827)&amp;""))</f>
        <v/>
      </c>
      <c r="G827">
        <f>IF($P827="","",CHOOSE(WEEKDAY(INDEX(상세표[시작],$P827)),"일","월","화","수","목","금","토"))</f>
        <v/>
      </c>
      <c r="H827">
        <f>IF($P827="","",INDEX(상세표[연속 시간],$P827))</f>
        <v/>
      </c>
      <c r="I827">
        <f>IF($P827="","",INDEX(상세표[기록 수],$P827))</f>
        <v/>
      </c>
      <c r="J827">
        <f>IF($P827="","",INDEX(상세표[블록 06~07시],$P827))</f>
        <v/>
      </c>
      <c r="K827">
        <f>IF($P827="","",INDEX(상세표[블록 07~18시],$P827))</f>
        <v/>
      </c>
      <c r="L827">
        <f>IF($P827="","",INDEX(상세표[블록 18~22시],$P827))</f>
        <v/>
      </c>
      <c r="M827">
        <f>IF($P827="","",INDEX(상세표[블록 22~06시],$P827))</f>
        <v/>
      </c>
      <c r="N827">
        <f>IF($P827="","",INDEX(상세표[주말·휴일 포함],$P827)&amp;"")</f>
        <v/>
      </c>
      <c r="O827">
        <f>IF($P827="","",INDEX(상세표[월 넘김 포함],$P827)&amp;"")</f>
        <v/>
      </c>
      <c r="P827" s="4">
        <f>IFERROR(MATCH(822,상세표[연속순번],0),"")</f>
        <v/>
      </c>
    </row>
    <row r="828">
      <c r="A828">
        <f>IF($P828="","",INDEX(상세표[사번],$P828)&amp;"")</f>
        <v/>
      </c>
      <c r="B828">
        <f>IF($P828="","",INDEX(상세표[성명],$P828)&amp;"")</f>
        <v/>
      </c>
      <c r="C828">
        <f>IF($P828="","",INDEX(상세표[부서],$P828)&amp;"")</f>
        <v/>
      </c>
      <c r="D828">
        <f>IF($P828="","",INDEX(상세표[직위],$P828)&amp;"")</f>
        <v/>
      </c>
      <c r="E828">
        <f>IF($P828="","",IF(ISNUMBER(INDEX(상세표[시작],$P828)),TEXT(INDEX(상세표[시작],$P828),"yyyy-mm-dd hh:mm"),INDEX(상세표[시작],$P828)&amp;""))</f>
        <v/>
      </c>
      <c r="F828">
        <f>IF($P828="","",IF(ISNUMBER(INDEX(상세표[블록종료],$P828)),TEXT(INDEX(상세표[블록종료],$P828),"yyyy-mm-dd hh:mm"),INDEX(상세표[블록종료],$P828)&amp;""))</f>
        <v/>
      </c>
      <c r="G828">
        <f>IF($P828="","",CHOOSE(WEEKDAY(INDEX(상세표[시작],$P828)),"일","월","화","수","목","금","토"))</f>
        <v/>
      </c>
      <c r="H828">
        <f>IF($P828="","",INDEX(상세표[연속 시간],$P828))</f>
        <v/>
      </c>
      <c r="I828">
        <f>IF($P828="","",INDEX(상세표[기록 수],$P828))</f>
        <v/>
      </c>
      <c r="J828">
        <f>IF($P828="","",INDEX(상세표[블록 06~07시],$P828))</f>
        <v/>
      </c>
      <c r="K828">
        <f>IF($P828="","",INDEX(상세표[블록 07~18시],$P828))</f>
        <v/>
      </c>
      <c r="L828">
        <f>IF($P828="","",INDEX(상세표[블록 18~22시],$P828))</f>
        <v/>
      </c>
      <c r="M828">
        <f>IF($P828="","",INDEX(상세표[블록 22~06시],$P828))</f>
        <v/>
      </c>
      <c r="N828">
        <f>IF($P828="","",INDEX(상세표[주말·휴일 포함],$P828)&amp;"")</f>
        <v/>
      </c>
      <c r="O828">
        <f>IF($P828="","",INDEX(상세표[월 넘김 포함],$P828)&amp;"")</f>
        <v/>
      </c>
      <c r="P828" s="4">
        <f>IFERROR(MATCH(823,상세표[연속순번],0),"")</f>
        <v/>
      </c>
    </row>
    <row r="829">
      <c r="A829">
        <f>IF($P829="","",INDEX(상세표[사번],$P829)&amp;"")</f>
        <v/>
      </c>
      <c r="B829">
        <f>IF($P829="","",INDEX(상세표[성명],$P829)&amp;"")</f>
        <v/>
      </c>
      <c r="C829">
        <f>IF($P829="","",INDEX(상세표[부서],$P829)&amp;"")</f>
        <v/>
      </c>
      <c r="D829">
        <f>IF($P829="","",INDEX(상세표[직위],$P829)&amp;"")</f>
        <v/>
      </c>
      <c r="E829">
        <f>IF($P829="","",IF(ISNUMBER(INDEX(상세표[시작],$P829)),TEXT(INDEX(상세표[시작],$P829),"yyyy-mm-dd hh:mm"),INDEX(상세표[시작],$P829)&amp;""))</f>
        <v/>
      </c>
      <c r="F829">
        <f>IF($P829="","",IF(ISNUMBER(INDEX(상세표[블록종료],$P829)),TEXT(INDEX(상세표[블록종료],$P829),"yyyy-mm-dd hh:mm"),INDEX(상세표[블록종료],$P829)&amp;""))</f>
        <v/>
      </c>
      <c r="G829">
        <f>IF($P829="","",CHOOSE(WEEKDAY(INDEX(상세표[시작],$P829)),"일","월","화","수","목","금","토"))</f>
        <v/>
      </c>
      <c r="H829">
        <f>IF($P829="","",INDEX(상세표[연속 시간],$P829))</f>
        <v/>
      </c>
      <c r="I829">
        <f>IF($P829="","",INDEX(상세표[기록 수],$P829))</f>
        <v/>
      </c>
      <c r="J829">
        <f>IF($P829="","",INDEX(상세표[블록 06~07시],$P829))</f>
        <v/>
      </c>
      <c r="K829">
        <f>IF($P829="","",INDEX(상세표[블록 07~18시],$P829))</f>
        <v/>
      </c>
      <c r="L829">
        <f>IF($P829="","",INDEX(상세표[블록 18~22시],$P829))</f>
        <v/>
      </c>
      <c r="M829">
        <f>IF($P829="","",INDEX(상세표[블록 22~06시],$P829))</f>
        <v/>
      </c>
      <c r="N829">
        <f>IF($P829="","",INDEX(상세표[주말·휴일 포함],$P829)&amp;"")</f>
        <v/>
      </c>
      <c r="O829">
        <f>IF($P829="","",INDEX(상세표[월 넘김 포함],$P829)&amp;"")</f>
        <v/>
      </c>
      <c r="P829" s="4">
        <f>IFERROR(MATCH(824,상세표[연속순번],0),"")</f>
        <v/>
      </c>
    </row>
    <row r="830">
      <c r="A830">
        <f>IF($P830="","",INDEX(상세표[사번],$P830)&amp;"")</f>
        <v/>
      </c>
      <c r="B830">
        <f>IF($P830="","",INDEX(상세표[성명],$P830)&amp;"")</f>
        <v/>
      </c>
      <c r="C830">
        <f>IF($P830="","",INDEX(상세표[부서],$P830)&amp;"")</f>
        <v/>
      </c>
      <c r="D830">
        <f>IF($P830="","",INDEX(상세표[직위],$P830)&amp;"")</f>
        <v/>
      </c>
      <c r="E830">
        <f>IF($P830="","",IF(ISNUMBER(INDEX(상세표[시작],$P830)),TEXT(INDEX(상세표[시작],$P830),"yyyy-mm-dd hh:mm"),INDEX(상세표[시작],$P830)&amp;""))</f>
        <v/>
      </c>
      <c r="F830">
        <f>IF($P830="","",IF(ISNUMBER(INDEX(상세표[블록종료],$P830)),TEXT(INDEX(상세표[블록종료],$P830),"yyyy-mm-dd hh:mm"),INDEX(상세표[블록종료],$P830)&amp;""))</f>
        <v/>
      </c>
      <c r="G830">
        <f>IF($P830="","",CHOOSE(WEEKDAY(INDEX(상세표[시작],$P830)),"일","월","화","수","목","금","토"))</f>
        <v/>
      </c>
      <c r="H830">
        <f>IF($P830="","",INDEX(상세표[연속 시간],$P830))</f>
        <v/>
      </c>
      <c r="I830">
        <f>IF($P830="","",INDEX(상세표[기록 수],$P830))</f>
        <v/>
      </c>
      <c r="J830">
        <f>IF($P830="","",INDEX(상세표[블록 06~07시],$P830))</f>
        <v/>
      </c>
      <c r="K830">
        <f>IF($P830="","",INDEX(상세표[블록 07~18시],$P830))</f>
        <v/>
      </c>
      <c r="L830">
        <f>IF($P830="","",INDEX(상세표[블록 18~22시],$P830))</f>
        <v/>
      </c>
      <c r="M830">
        <f>IF($P830="","",INDEX(상세표[블록 22~06시],$P830))</f>
        <v/>
      </c>
      <c r="N830">
        <f>IF($P830="","",INDEX(상세표[주말·휴일 포함],$P830)&amp;"")</f>
        <v/>
      </c>
      <c r="O830">
        <f>IF($P830="","",INDEX(상세표[월 넘김 포함],$P830)&amp;"")</f>
        <v/>
      </c>
      <c r="P830" s="4">
        <f>IFERROR(MATCH(825,상세표[연속순번],0),"")</f>
        <v/>
      </c>
    </row>
    <row r="831">
      <c r="A831">
        <f>IF($P831="","",INDEX(상세표[사번],$P831)&amp;"")</f>
        <v/>
      </c>
      <c r="B831">
        <f>IF($P831="","",INDEX(상세표[성명],$P831)&amp;"")</f>
        <v/>
      </c>
      <c r="C831">
        <f>IF($P831="","",INDEX(상세표[부서],$P831)&amp;"")</f>
        <v/>
      </c>
      <c r="D831">
        <f>IF($P831="","",INDEX(상세표[직위],$P831)&amp;"")</f>
        <v/>
      </c>
      <c r="E831">
        <f>IF($P831="","",IF(ISNUMBER(INDEX(상세표[시작],$P831)),TEXT(INDEX(상세표[시작],$P831),"yyyy-mm-dd hh:mm"),INDEX(상세표[시작],$P831)&amp;""))</f>
        <v/>
      </c>
      <c r="F831">
        <f>IF($P831="","",IF(ISNUMBER(INDEX(상세표[블록종료],$P831)),TEXT(INDEX(상세표[블록종료],$P831),"yyyy-mm-dd hh:mm"),INDEX(상세표[블록종료],$P831)&amp;""))</f>
        <v/>
      </c>
      <c r="G831">
        <f>IF($P831="","",CHOOSE(WEEKDAY(INDEX(상세표[시작],$P831)),"일","월","화","수","목","금","토"))</f>
        <v/>
      </c>
      <c r="H831">
        <f>IF($P831="","",INDEX(상세표[연속 시간],$P831))</f>
        <v/>
      </c>
      <c r="I831">
        <f>IF($P831="","",INDEX(상세표[기록 수],$P831))</f>
        <v/>
      </c>
      <c r="J831">
        <f>IF($P831="","",INDEX(상세표[블록 06~07시],$P831))</f>
        <v/>
      </c>
      <c r="K831">
        <f>IF($P831="","",INDEX(상세표[블록 07~18시],$P831))</f>
        <v/>
      </c>
      <c r="L831">
        <f>IF($P831="","",INDEX(상세표[블록 18~22시],$P831))</f>
        <v/>
      </c>
      <c r="M831">
        <f>IF($P831="","",INDEX(상세표[블록 22~06시],$P831))</f>
        <v/>
      </c>
      <c r="N831">
        <f>IF($P831="","",INDEX(상세표[주말·휴일 포함],$P831)&amp;"")</f>
        <v/>
      </c>
      <c r="O831">
        <f>IF($P831="","",INDEX(상세표[월 넘김 포함],$P831)&amp;"")</f>
        <v/>
      </c>
      <c r="P831" s="4">
        <f>IFERROR(MATCH(826,상세표[연속순번],0),"")</f>
        <v/>
      </c>
    </row>
    <row r="832">
      <c r="A832">
        <f>IF($P832="","",INDEX(상세표[사번],$P832)&amp;"")</f>
        <v/>
      </c>
      <c r="B832">
        <f>IF($P832="","",INDEX(상세표[성명],$P832)&amp;"")</f>
        <v/>
      </c>
      <c r="C832">
        <f>IF($P832="","",INDEX(상세표[부서],$P832)&amp;"")</f>
        <v/>
      </c>
      <c r="D832">
        <f>IF($P832="","",INDEX(상세표[직위],$P832)&amp;"")</f>
        <v/>
      </c>
      <c r="E832">
        <f>IF($P832="","",IF(ISNUMBER(INDEX(상세표[시작],$P832)),TEXT(INDEX(상세표[시작],$P832),"yyyy-mm-dd hh:mm"),INDEX(상세표[시작],$P832)&amp;""))</f>
        <v/>
      </c>
      <c r="F832">
        <f>IF($P832="","",IF(ISNUMBER(INDEX(상세표[블록종료],$P832)),TEXT(INDEX(상세표[블록종료],$P832),"yyyy-mm-dd hh:mm"),INDEX(상세표[블록종료],$P832)&amp;""))</f>
        <v/>
      </c>
      <c r="G832">
        <f>IF($P832="","",CHOOSE(WEEKDAY(INDEX(상세표[시작],$P832)),"일","월","화","수","목","금","토"))</f>
        <v/>
      </c>
      <c r="H832">
        <f>IF($P832="","",INDEX(상세표[연속 시간],$P832))</f>
        <v/>
      </c>
      <c r="I832">
        <f>IF($P832="","",INDEX(상세표[기록 수],$P832))</f>
        <v/>
      </c>
      <c r="J832">
        <f>IF($P832="","",INDEX(상세표[블록 06~07시],$P832))</f>
        <v/>
      </c>
      <c r="K832">
        <f>IF($P832="","",INDEX(상세표[블록 07~18시],$P832))</f>
        <v/>
      </c>
      <c r="L832">
        <f>IF($P832="","",INDEX(상세표[블록 18~22시],$P832))</f>
        <v/>
      </c>
      <c r="M832">
        <f>IF($P832="","",INDEX(상세표[블록 22~06시],$P832))</f>
        <v/>
      </c>
      <c r="N832">
        <f>IF($P832="","",INDEX(상세표[주말·휴일 포함],$P832)&amp;"")</f>
        <v/>
      </c>
      <c r="O832">
        <f>IF($P832="","",INDEX(상세표[월 넘김 포함],$P832)&amp;"")</f>
        <v/>
      </c>
      <c r="P832" s="4">
        <f>IFERROR(MATCH(827,상세표[연속순번],0),"")</f>
        <v/>
      </c>
    </row>
    <row r="833">
      <c r="A833">
        <f>IF($P833="","",INDEX(상세표[사번],$P833)&amp;"")</f>
        <v/>
      </c>
      <c r="B833">
        <f>IF($P833="","",INDEX(상세표[성명],$P833)&amp;"")</f>
        <v/>
      </c>
      <c r="C833">
        <f>IF($P833="","",INDEX(상세표[부서],$P833)&amp;"")</f>
        <v/>
      </c>
      <c r="D833">
        <f>IF($P833="","",INDEX(상세표[직위],$P833)&amp;"")</f>
        <v/>
      </c>
      <c r="E833">
        <f>IF($P833="","",IF(ISNUMBER(INDEX(상세표[시작],$P833)),TEXT(INDEX(상세표[시작],$P833),"yyyy-mm-dd hh:mm"),INDEX(상세표[시작],$P833)&amp;""))</f>
        <v/>
      </c>
      <c r="F833">
        <f>IF($P833="","",IF(ISNUMBER(INDEX(상세표[블록종료],$P833)),TEXT(INDEX(상세표[블록종료],$P833),"yyyy-mm-dd hh:mm"),INDEX(상세표[블록종료],$P833)&amp;""))</f>
        <v/>
      </c>
      <c r="G833">
        <f>IF($P833="","",CHOOSE(WEEKDAY(INDEX(상세표[시작],$P833)),"일","월","화","수","목","금","토"))</f>
        <v/>
      </c>
      <c r="H833">
        <f>IF($P833="","",INDEX(상세표[연속 시간],$P833))</f>
        <v/>
      </c>
      <c r="I833">
        <f>IF($P833="","",INDEX(상세표[기록 수],$P833))</f>
        <v/>
      </c>
      <c r="J833">
        <f>IF($P833="","",INDEX(상세표[블록 06~07시],$P833))</f>
        <v/>
      </c>
      <c r="K833">
        <f>IF($P833="","",INDEX(상세표[블록 07~18시],$P833))</f>
        <v/>
      </c>
      <c r="L833">
        <f>IF($P833="","",INDEX(상세표[블록 18~22시],$P833))</f>
        <v/>
      </c>
      <c r="M833">
        <f>IF($P833="","",INDEX(상세표[블록 22~06시],$P833))</f>
        <v/>
      </c>
      <c r="N833">
        <f>IF($P833="","",INDEX(상세표[주말·휴일 포함],$P833)&amp;"")</f>
        <v/>
      </c>
      <c r="O833">
        <f>IF($P833="","",INDEX(상세표[월 넘김 포함],$P833)&amp;"")</f>
        <v/>
      </c>
      <c r="P833" s="4">
        <f>IFERROR(MATCH(828,상세표[연속순번],0),"")</f>
        <v/>
      </c>
    </row>
    <row r="834">
      <c r="A834">
        <f>IF($P834="","",INDEX(상세표[사번],$P834)&amp;"")</f>
        <v/>
      </c>
      <c r="B834">
        <f>IF($P834="","",INDEX(상세표[성명],$P834)&amp;"")</f>
        <v/>
      </c>
      <c r="C834">
        <f>IF($P834="","",INDEX(상세표[부서],$P834)&amp;"")</f>
        <v/>
      </c>
      <c r="D834">
        <f>IF($P834="","",INDEX(상세표[직위],$P834)&amp;"")</f>
        <v/>
      </c>
      <c r="E834">
        <f>IF($P834="","",IF(ISNUMBER(INDEX(상세표[시작],$P834)),TEXT(INDEX(상세표[시작],$P834),"yyyy-mm-dd hh:mm"),INDEX(상세표[시작],$P834)&amp;""))</f>
        <v/>
      </c>
      <c r="F834">
        <f>IF($P834="","",IF(ISNUMBER(INDEX(상세표[블록종료],$P834)),TEXT(INDEX(상세표[블록종료],$P834),"yyyy-mm-dd hh:mm"),INDEX(상세표[블록종료],$P834)&amp;""))</f>
        <v/>
      </c>
      <c r="G834">
        <f>IF($P834="","",CHOOSE(WEEKDAY(INDEX(상세표[시작],$P834)),"일","월","화","수","목","금","토"))</f>
        <v/>
      </c>
      <c r="H834">
        <f>IF($P834="","",INDEX(상세표[연속 시간],$P834))</f>
        <v/>
      </c>
      <c r="I834">
        <f>IF($P834="","",INDEX(상세표[기록 수],$P834))</f>
        <v/>
      </c>
      <c r="J834">
        <f>IF($P834="","",INDEX(상세표[블록 06~07시],$P834))</f>
        <v/>
      </c>
      <c r="K834">
        <f>IF($P834="","",INDEX(상세표[블록 07~18시],$P834))</f>
        <v/>
      </c>
      <c r="L834">
        <f>IF($P834="","",INDEX(상세표[블록 18~22시],$P834))</f>
        <v/>
      </c>
      <c r="M834">
        <f>IF($P834="","",INDEX(상세표[블록 22~06시],$P834))</f>
        <v/>
      </c>
      <c r="N834">
        <f>IF($P834="","",INDEX(상세표[주말·휴일 포함],$P834)&amp;"")</f>
        <v/>
      </c>
      <c r="O834">
        <f>IF($P834="","",INDEX(상세표[월 넘김 포함],$P834)&amp;"")</f>
        <v/>
      </c>
      <c r="P834" s="4">
        <f>IFERROR(MATCH(829,상세표[연속순번],0),"")</f>
        <v/>
      </c>
    </row>
    <row r="835">
      <c r="A835">
        <f>IF($P835="","",INDEX(상세표[사번],$P835)&amp;"")</f>
        <v/>
      </c>
      <c r="B835">
        <f>IF($P835="","",INDEX(상세표[성명],$P835)&amp;"")</f>
        <v/>
      </c>
      <c r="C835">
        <f>IF($P835="","",INDEX(상세표[부서],$P835)&amp;"")</f>
        <v/>
      </c>
      <c r="D835">
        <f>IF($P835="","",INDEX(상세표[직위],$P835)&amp;"")</f>
        <v/>
      </c>
      <c r="E835">
        <f>IF($P835="","",IF(ISNUMBER(INDEX(상세표[시작],$P835)),TEXT(INDEX(상세표[시작],$P835),"yyyy-mm-dd hh:mm"),INDEX(상세표[시작],$P835)&amp;""))</f>
        <v/>
      </c>
      <c r="F835">
        <f>IF($P835="","",IF(ISNUMBER(INDEX(상세표[블록종료],$P835)),TEXT(INDEX(상세표[블록종료],$P835),"yyyy-mm-dd hh:mm"),INDEX(상세표[블록종료],$P835)&amp;""))</f>
        <v/>
      </c>
      <c r="G835">
        <f>IF($P835="","",CHOOSE(WEEKDAY(INDEX(상세표[시작],$P835)),"일","월","화","수","목","금","토"))</f>
        <v/>
      </c>
      <c r="H835">
        <f>IF($P835="","",INDEX(상세표[연속 시간],$P835))</f>
        <v/>
      </c>
      <c r="I835">
        <f>IF($P835="","",INDEX(상세표[기록 수],$P835))</f>
        <v/>
      </c>
      <c r="J835">
        <f>IF($P835="","",INDEX(상세표[블록 06~07시],$P835))</f>
        <v/>
      </c>
      <c r="K835">
        <f>IF($P835="","",INDEX(상세표[블록 07~18시],$P835))</f>
        <v/>
      </c>
      <c r="L835">
        <f>IF($P835="","",INDEX(상세표[블록 18~22시],$P835))</f>
        <v/>
      </c>
      <c r="M835">
        <f>IF($P835="","",INDEX(상세표[블록 22~06시],$P835))</f>
        <v/>
      </c>
      <c r="N835">
        <f>IF($P835="","",INDEX(상세표[주말·휴일 포함],$P835)&amp;"")</f>
        <v/>
      </c>
      <c r="O835">
        <f>IF($P835="","",INDEX(상세표[월 넘김 포함],$P835)&amp;"")</f>
        <v/>
      </c>
      <c r="P835" s="4">
        <f>IFERROR(MATCH(830,상세표[연속순번],0),"")</f>
        <v/>
      </c>
    </row>
    <row r="836">
      <c r="A836">
        <f>IF($P836="","",INDEX(상세표[사번],$P836)&amp;"")</f>
        <v/>
      </c>
      <c r="B836">
        <f>IF($P836="","",INDEX(상세표[성명],$P836)&amp;"")</f>
        <v/>
      </c>
      <c r="C836">
        <f>IF($P836="","",INDEX(상세표[부서],$P836)&amp;"")</f>
        <v/>
      </c>
      <c r="D836">
        <f>IF($P836="","",INDEX(상세표[직위],$P836)&amp;"")</f>
        <v/>
      </c>
      <c r="E836">
        <f>IF($P836="","",IF(ISNUMBER(INDEX(상세표[시작],$P836)),TEXT(INDEX(상세표[시작],$P836),"yyyy-mm-dd hh:mm"),INDEX(상세표[시작],$P836)&amp;""))</f>
        <v/>
      </c>
      <c r="F836">
        <f>IF($P836="","",IF(ISNUMBER(INDEX(상세표[블록종료],$P836)),TEXT(INDEX(상세표[블록종료],$P836),"yyyy-mm-dd hh:mm"),INDEX(상세표[블록종료],$P836)&amp;""))</f>
        <v/>
      </c>
      <c r="G836">
        <f>IF($P836="","",CHOOSE(WEEKDAY(INDEX(상세표[시작],$P836)),"일","월","화","수","목","금","토"))</f>
        <v/>
      </c>
      <c r="H836">
        <f>IF($P836="","",INDEX(상세표[연속 시간],$P836))</f>
        <v/>
      </c>
      <c r="I836">
        <f>IF($P836="","",INDEX(상세표[기록 수],$P836))</f>
        <v/>
      </c>
      <c r="J836">
        <f>IF($P836="","",INDEX(상세표[블록 06~07시],$P836))</f>
        <v/>
      </c>
      <c r="K836">
        <f>IF($P836="","",INDEX(상세표[블록 07~18시],$P836))</f>
        <v/>
      </c>
      <c r="L836">
        <f>IF($P836="","",INDEX(상세표[블록 18~22시],$P836))</f>
        <v/>
      </c>
      <c r="M836">
        <f>IF($P836="","",INDEX(상세표[블록 22~06시],$P836))</f>
        <v/>
      </c>
      <c r="N836">
        <f>IF($P836="","",INDEX(상세표[주말·휴일 포함],$P836)&amp;"")</f>
        <v/>
      </c>
      <c r="O836">
        <f>IF($P836="","",INDEX(상세표[월 넘김 포함],$P836)&amp;"")</f>
        <v/>
      </c>
      <c r="P836" s="4">
        <f>IFERROR(MATCH(831,상세표[연속순번],0),"")</f>
        <v/>
      </c>
    </row>
    <row r="837">
      <c r="A837">
        <f>IF($P837="","",INDEX(상세표[사번],$P837)&amp;"")</f>
        <v/>
      </c>
      <c r="B837">
        <f>IF($P837="","",INDEX(상세표[성명],$P837)&amp;"")</f>
        <v/>
      </c>
      <c r="C837">
        <f>IF($P837="","",INDEX(상세표[부서],$P837)&amp;"")</f>
        <v/>
      </c>
      <c r="D837">
        <f>IF($P837="","",INDEX(상세표[직위],$P837)&amp;"")</f>
        <v/>
      </c>
      <c r="E837">
        <f>IF($P837="","",IF(ISNUMBER(INDEX(상세표[시작],$P837)),TEXT(INDEX(상세표[시작],$P837),"yyyy-mm-dd hh:mm"),INDEX(상세표[시작],$P837)&amp;""))</f>
        <v/>
      </c>
      <c r="F837">
        <f>IF($P837="","",IF(ISNUMBER(INDEX(상세표[블록종료],$P837)),TEXT(INDEX(상세표[블록종료],$P837),"yyyy-mm-dd hh:mm"),INDEX(상세표[블록종료],$P837)&amp;""))</f>
        <v/>
      </c>
      <c r="G837">
        <f>IF($P837="","",CHOOSE(WEEKDAY(INDEX(상세표[시작],$P837)),"일","월","화","수","목","금","토"))</f>
        <v/>
      </c>
      <c r="H837">
        <f>IF($P837="","",INDEX(상세표[연속 시간],$P837))</f>
        <v/>
      </c>
      <c r="I837">
        <f>IF($P837="","",INDEX(상세표[기록 수],$P837))</f>
        <v/>
      </c>
      <c r="J837">
        <f>IF($P837="","",INDEX(상세표[블록 06~07시],$P837))</f>
        <v/>
      </c>
      <c r="K837">
        <f>IF($P837="","",INDEX(상세표[블록 07~18시],$P837))</f>
        <v/>
      </c>
      <c r="L837">
        <f>IF($P837="","",INDEX(상세표[블록 18~22시],$P837))</f>
        <v/>
      </c>
      <c r="M837">
        <f>IF($P837="","",INDEX(상세표[블록 22~06시],$P837))</f>
        <v/>
      </c>
      <c r="N837">
        <f>IF($P837="","",INDEX(상세표[주말·휴일 포함],$P837)&amp;"")</f>
        <v/>
      </c>
      <c r="O837">
        <f>IF($P837="","",INDEX(상세표[월 넘김 포함],$P837)&amp;"")</f>
        <v/>
      </c>
      <c r="P837" s="4">
        <f>IFERROR(MATCH(832,상세표[연속순번],0),"")</f>
        <v/>
      </c>
    </row>
    <row r="838">
      <c r="A838">
        <f>IF($P838="","",INDEX(상세표[사번],$P838)&amp;"")</f>
        <v/>
      </c>
      <c r="B838">
        <f>IF($P838="","",INDEX(상세표[성명],$P838)&amp;"")</f>
        <v/>
      </c>
      <c r="C838">
        <f>IF($P838="","",INDEX(상세표[부서],$P838)&amp;"")</f>
        <v/>
      </c>
      <c r="D838">
        <f>IF($P838="","",INDEX(상세표[직위],$P838)&amp;"")</f>
        <v/>
      </c>
      <c r="E838">
        <f>IF($P838="","",IF(ISNUMBER(INDEX(상세표[시작],$P838)),TEXT(INDEX(상세표[시작],$P838),"yyyy-mm-dd hh:mm"),INDEX(상세표[시작],$P838)&amp;""))</f>
        <v/>
      </c>
      <c r="F838">
        <f>IF($P838="","",IF(ISNUMBER(INDEX(상세표[블록종료],$P838)),TEXT(INDEX(상세표[블록종료],$P838),"yyyy-mm-dd hh:mm"),INDEX(상세표[블록종료],$P838)&amp;""))</f>
        <v/>
      </c>
      <c r="G838">
        <f>IF($P838="","",CHOOSE(WEEKDAY(INDEX(상세표[시작],$P838)),"일","월","화","수","목","금","토"))</f>
        <v/>
      </c>
      <c r="H838">
        <f>IF($P838="","",INDEX(상세표[연속 시간],$P838))</f>
        <v/>
      </c>
      <c r="I838">
        <f>IF($P838="","",INDEX(상세표[기록 수],$P838))</f>
        <v/>
      </c>
      <c r="J838">
        <f>IF($P838="","",INDEX(상세표[블록 06~07시],$P838))</f>
        <v/>
      </c>
      <c r="K838">
        <f>IF($P838="","",INDEX(상세표[블록 07~18시],$P838))</f>
        <v/>
      </c>
      <c r="L838">
        <f>IF($P838="","",INDEX(상세표[블록 18~22시],$P838))</f>
        <v/>
      </c>
      <c r="M838">
        <f>IF($P838="","",INDEX(상세표[블록 22~06시],$P838))</f>
        <v/>
      </c>
      <c r="N838">
        <f>IF($P838="","",INDEX(상세표[주말·휴일 포함],$P838)&amp;"")</f>
        <v/>
      </c>
      <c r="O838">
        <f>IF($P838="","",INDEX(상세표[월 넘김 포함],$P838)&amp;"")</f>
        <v/>
      </c>
      <c r="P838" s="4">
        <f>IFERROR(MATCH(833,상세표[연속순번],0),"")</f>
        <v/>
      </c>
    </row>
    <row r="839">
      <c r="A839">
        <f>IF($P839="","",INDEX(상세표[사번],$P839)&amp;"")</f>
        <v/>
      </c>
      <c r="B839">
        <f>IF($P839="","",INDEX(상세표[성명],$P839)&amp;"")</f>
        <v/>
      </c>
      <c r="C839">
        <f>IF($P839="","",INDEX(상세표[부서],$P839)&amp;"")</f>
        <v/>
      </c>
      <c r="D839">
        <f>IF($P839="","",INDEX(상세표[직위],$P839)&amp;"")</f>
        <v/>
      </c>
      <c r="E839">
        <f>IF($P839="","",IF(ISNUMBER(INDEX(상세표[시작],$P839)),TEXT(INDEX(상세표[시작],$P839),"yyyy-mm-dd hh:mm"),INDEX(상세표[시작],$P839)&amp;""))</f>
        <v/>
      </c>
      <c r="F839">
        <f>IF($P839="","",IF(ISNUMBER(INDEX(상세표[블록종료],$P839)),TEXT(INDEX(상세표[블록종료],$P839),"yyyy-mm-dd hh:mm"),INDEX(상세표[블록종료],$P839)&amp;""))</f>
        <v/>
      </c>
      <c r="G839">
        <f>IF($P839="","",CHOOSE(WEEKDAY(INDEX(상세표[시작],$P839)),"일","월","화","수","목","금","토"))</f>
        <v/>
      </c>
      <c r="H839">
        <f>IF($P839="","",INDEX(상세표[연속 시간],$P839))</f>
        <v/>
      </c>
      <c r="I839">
        <f>IF($P839="","",INDEX(상세표[기록 수],$P839))</f>
        <v/>
      </c>
      <c r="J839">
        <f>IF($P839="","",INDEX(상세표[블록 06~07시],$P839))</f>
        <v/>
      </c>
      <c r="K839">
        <f>IF($P839="","",INDEX(상세표[블록 07~18시],$P839))</f>
        <v/>
      </c>
      <c r="L839">
        <f>IF($P839="","",INDEX(상세표[블록 18~22시],$P839))</f>
        <v/>
      </c>
      <c r="M839">
        <f>IF($P839="","",INDEX(상세표[블록 22~06시],$P839))</f>
        <v/>
      </c>
      <c r="N839">
        <f>IF($P839="","",INDEX(상세표[주말·휴일 포함],$P839)&amp;"")</f>
        <v/>
      </c>
      <c r="O839">
        <f>IF($P839="","",INDEX(상세표[월 넘김 포함],$P839)&amp;"")</f>
        <v/>
      </c>
      <c r="P839" s="4">
        <f>IFERROR(MATCH(834,상세표[연속순번],0),"")</f>
        <v/>
      </c>
    </row>
    <row r="840">
      <c r="A840">
        <f>IF($P840="","",INDEX(상세표[사번],$P840)&amp;"")</f>
        <v/>
      </c>
      <c r="B840">
        <f>IF($P840="","",INDEX(상세표[성명],$P840)&amp;"")</f>
        <v/>
      </c>
      <c r="C840">
        <f>IF($P840="","",INDEX(상세표[부서],$P840)&amp;"")</f>
        <v/>
      </c>
      <c r="D840">
        <f>IF($P840="","",INDEX(상세표[직위],$P840)&amp;"")</f>
        <v/>
      </c>
      <c r="E840">
        <f>IF($P840="","",IF(ISNUMBER(INDEX(상세표[시작],$P840)),TEXT(INDEX(상세표[시작],$P840),"yyyy-mm-dd hh:mm"),INDEX(상세표[시작],$P840)&amp;""))</f>
        <v/>
      </c>
      <c r="F840">
        <f>IF($P840="","",IF(ISNUMBER(INDEX(상세표[블록종료],$P840)),TEXT(INDEX(상세표[블록종료],$P840),"yyyy-mm-dd hh:mm"),INDEX(상세표[블록종료],$P840)&amp;""))</f>
        <v/>
      </c>
      <c r="G840">
        <f>IF($P840="","",CHOOSE(WEEKDAY(INDEX(상세표[시작],$P840)),"일","월","화","수","목","금","토"))</f>
        <v/>
      </c>
      <c r="H840">
        <f>IF($P840="","",INDEX(상세표[연속 시간],$P840))</f>
        <v/>
      </c>
      <c r="I840">
        <f>IF($P840="","",INDEX(상세표[기록 수],$P840))</f>
        <v/>
      </c>
      <c r="J840">
        <f>IF($P840="","",INDEX(상세표[블록 06~07시],$P840))</f>
        <v/>
      </c>
      <c r="K840">
        <f>IF($P840="","",INDEX(상세표[블록 07~18시],$P840))</f>
        <v/>
      </c>
      <c r="L840">
        <f>IF($P840="","",INDEX(상세표[블록 18~22시],$P840))</f>
        <v/>
      </c>
      <c r="M840">
        <f>IF($P840="","",INDEX(상세표[블록 22~06시],$P840))</f>
        <v/>
      </c>
      <c r="N840">
        <f>IF($P840="","",INDEX(상세표[주말·휴일 포함],$P840)&amp;"")</f>
        <v/>
      </c>
      <c r="O840">
        <f>IF($P840="","",INDEX(상세표[월 넘김 포함],$P840)&amp;"")</f>
        <v/>
      </c>
      <c r="P840" s="4">
        <f>IFERROR(MATCH(835,상세표[연속순번],0),"")</f>
        <v/>
      </c>
    </row>
    <row r="841">
      <c r="A841">
        <f>IF($P841="","",INDEX(상세표[사번],$P841)&amp;"")</f>
        <v/>
      </c>
      <c r="B841">
        <f>IF($P841="","",INDEX(상세표[성명],$P841)&amp;"")</f>
        <v/>
      </c>
      <c r="C841">
        <f>IF($P841="","",INDEX(상세표[부서],$P841)&amp;"")</f>
        <v/>
      </c>
      <c r="D841">
        <f>IF($P841="","",INDEX(상세표[직위],$P841)&amp;"")</f>
        <v/>
      </c>
      <c r="E841">
        <f>IF($P841="","",IF(ISNUMBER(INDEX(상세표[시작],$P841)),TEXT(INDEX(상세표[시작],$P841),"yyyy-mm-dd hh:mm"),INDEX(상세표[시작],$P841)&amp;""))</f>
        <v/>
      </c>
      <c r="F841">
        <f>IF($P841="","",IF(ISNUMBER(INDEX(상세표[블록종료],$P841)),TEXT(INDEX(상세표[블록종료],$P841),"yyyy-mm-dd hh:mm"),INDEX(상세표[블록종료],$P841)&amp;""))</f>
        <v/>
      </c>
      <c r="G841">
        <f>IF($P841="","",CHOOSE(WEEKDAY(INDEX(상세표[시작],$P841)),"일","월","화","수","목","금","토"))</f>
        <v/>
      </c>
      <c r="H841">
        <f>IF($P841="","",INDEX(상세표[연속 시간],$P841))</f>
        <v/>
      </c>
      <c r="I841">
        <f>IF($P841="","",INDEX(상세표[기록 수],$P841))</f>
        <v/>
      </c>
      <c r="J841">
        <f>IF($P841="","",INDEX(상세표[블록 06~07시],$P841))</f>
        <v/>
      </c>
      <c r="K841">
        <f>IF($P841="","",INDEX(상세표[블록 07~18시],$P841))</f>
        <v/>
      </c>
      <c r="L841">
        <f>IF($P841="","",INDEX(상세표[블록 18~22시],$P841))</f>
        <v/>
      </c>
      <c r="M841">
        <f>IF($P841="","",INDEX(상세표[블록 22~06시],$P841))</f>
        <v/>
      </c>
      <c r="N841">
        <f>IF($P841="","",INDEX(상세표[주말·휴일 포함],$P841)&amp;"")</f>
        <v/>
      </c>
      <c r="O841">
        <f>IF($P841="","",INDEX(상세표[월 넘김 포함],$P841)&amp;"")</f>
        <v/>
      </c>
      <c r="P841" s="4">
        <f>IFERROR(MATCH(836,상세표[연속순번],0),"")</f>
        <v/>
      </c>
    </row>
    <row r="842">
      <c r="A842">
        <f>IF($P842="","",INDEX(상세표[사번],$P842)&amp;"")</f>
        <v/>
      </c>
      <c r="B842">
        <f>IF($P842="","",INDEX(상세표[성명],$P842)&amp;"")</f>
        <v/>
      </c>
      <c r="C842">
        <f>IF($P842="","",INDEX(상세표[부서],$P842)&amp;"")</f>
        <v/>
      </c>
      <c r="D842">
        <f>IF($P842="","",INDEX(상세표[직위],$P842)&amp;"")</f>
        <v/>
      </c>
      <c r="E842">
        <f>IF($P842="","",IF(ISNUMBER(INDEX(상세표[시작],$P842)),TEXT(INDEX(상세표[시작],$P842),"yyyy-mm-dd hh:mm"),INDEX(상세표[시작],$P842)&amp;""))</f>
        <v/>
      </c>
      <c r="F842">
        <f>IF($P842="","",IF(ISNUMBER(INDEX(상세표[블록종료],$P842)),TEXT(INDEX(상세표[블록종료],$P842),"yyyy-mm-dd hh:mm"),INDEX(상세표[블록종료],$P842)&amp;""))</f>
        <v/>
      </c>
      <c r="G842">
        <f>IF($P842="","",CHOOSE(WEEKDAY(INDEX(상세표[시작],$P842)),"일","월","화","수","목","금","토"))</f>
        <v/>
      </c>
      <c r="H842">
        <f>IF($P842="","",INDEX(상세표[연속 시간],$P842))</f>
        <v/>
      </c>
      <c r="I842">
        <f>IF($P842="","",INDEX(상세표[기록 수],$P842))</f>
        <v/>
      </c>
      <c r="J842">
        <f>IF($P842="","",INDEX(상세표[블록 06~07시],$P842))</f>
        <v/>
      </c>
      <c r="K842">
        <f>IF($P842="","",INDEX(상세표[블록 07~18시],$P842))</f>
        <v/>
      </c>
      <c r="L842">
        <f>IF($P842="","",INDEX(상세표[블록 18~22시],$P842))</f>
        <v/>
      </c>
      <c r="M842">
        <f>IF($P842="","",INDEX(상세표[블록 22~06시],$P842))</f>
        <v/>
      </c>
      <c r="N842">
        <f>IF($P842="","",INDEX(상세표[주말·휴일 포함],$P842)&amp;"")</f>
        <v/>
      </c>
      <c r="O842">
        <f>IF($P842="","",INDEX(상세표[월 넘김 포함],$P842)&amp;"")</f>
        <v/>
      </c>
      <c r="P842" s="4">
        <f>IFERROR(MATCH(837,상세표[연속순번],0),"")</f>
        <v/>
      </c>
    </row>
    <row r="843">
      <c r="A843">
        <f>IF($P843="","",INDEX(상세표[사번],$P843)&amp;"")</f>
        <v/>
      </c>
      <c r="B843">
        <f>IF($P843="","",INDEX(상세표[성명],$P843)&amp;"")</f>
        <v/>
      </c>
      <c r="C843">
        <f>IF($P843="","",INDEX(상세표[부서],$P843)&amp;"")</f>
        <v/>
      </c>
      <c r="D843">
        <f>IF($P843="","",INDEX(상세표[직위],$P843)&amp;"")</f>
        <v/>
      </c>
      <c r="E843">
        <f>IF($P843="","",IF(ISNUMBER(INDEX(상세표[시작],$P843)),TEXT(INDEX(상세표[시작],$P843),"yyyy-mm-dd hh:mm"),INDEX(상세표[시작],$P843)&amp;""))</f>
        <v/>
      </c>
      <c r="F843">
        <f>IF($P843="","",IF(ISNUMBER(INDEX(상세표[블록종료],$P843)),TEXT(INDEX(상세표[블록종료],$P843),"yyyy-mm-dd hh:mm"),INDEX(상세표[블록종료],$P843)&amp;""))</f>
        <v/>
      </c>
      <c r="G843">
        <f>IF($P843="","",CHOOSE(WEEKDAY(INDEX(상세표[시작],$P843)),"일","월","화","수","목","금","토"))</f>
        <v/>
      </c>
      <c r="H843">
        <f>IF($P843="","",INDEX(상세표[연속 시간],$P843))</f>
        <v/>
      </c>
      <c r="I843">
        <f>IF($P843="","",INDEX(상세표[기록 수],$P843))</f>
        <v/>
      </c>
      <c r="J843">
        <f>IF($P843="","",INDEX(상세표[블록 06~07시],$P843))</f>
        <v/>
      </c>
      <c r="K843">
        <f>IF($P843="","",INDEX(상세표[블록 07~18시],$P843))</f>
        <v/>
      </c>
      <c r="L843">
        <f>IF($P843="","",INDEX(상세표[블록 18~22시],$P843))</f>
        <v/>
      </c>
      <c r="M843">
        <f>IF($P843="","",INDEX(상세표[블록 22~06시],$P843))</f>
        <v/>
      </c>
      <c r="N843">
        <f>IF($P843="","",INDEX(상세표[주말·휴일 포함],$P843)&amp;"")</f>
        <v/>
      </c>
      <c r="O843">
        <f>IF($P843="","",INDEX(상세표[월 넘김 포함],$P843)&amp;"")</f>
        <v/>
      </c>
      <c r="P843" s="4">
        <f>IFERROR(MATCH(838,상세표[연속순번],0),"")</f>
        <v/>
      </c>
    </row>
    <row r="844">
      <c r="A844">
        <f>IF($P844="","",INDEX(상세표[사번],$P844)&amp;"")</f>
        <v/>
      </c>
      <c r="B844">
        <f>IF($P844="","",INDEX(상세표[성명],$P844)&amp;"")</f>
        <v/>
      </c>
      <c r="C844">
        <f>IF($P844="","",INDEX(상세표[부서],$P844)&amp;"")</f>
        <v/>
      </c>
      <c r="D844">
        <f>IF($P844="","",INDEX(상세표[직위],$P844)&amp;"")</f>
        <v/>
      </c>
      <c r="E844">
        <f>IF($P844="","",IF(ISNUMBER(INDEX(상세표[시작],$P844)),TEXT(INDEX(상세표[시작],$P844),"yyyy-mm-dd hh:mm"),INDEX(상세표[시작],$P844)&amp;""))</f>
        <v/>
      </c>
      <c r="F844">
        <f>IF($P844="","",IF(ISNUMBER(INDEX(상세표[블록종료],$P844)),TEXT(INDEX(상세표[블록종료],$P844),"yyyy-mm-dd hh:mm"),INDEX(상세표[블록종료],$P844)&amp;""))</f>
        <v/>
      </c>
      <c r="G844">
        <f>IF($P844="","",CHOOSE(WEEKDAY(INDEX(상세표[시작],$P844)),"일","월","화","수","목","금","토"))</f>
        <v/>
      </c>
      <c r="H844">
        <f>IF($P844="","",INDEX(상세표[연속 시간],$P844))</f>
        <v/>
      </c>
      <c r="I844">
        <f>IF($P844="","",INDEX(상세표[기록 수],$P844))</f>
        <v/>
      </c>
      <c r="J844">
        <f>IF($P844="","",INDEX(상세표[블록 06~07시],$P844))</f>
        <v/>
      </c>
      <c r="K844">
        <f>IF($P844="","",INDEX(상세표[블록 07~18시],$P844))</f>
        <v/>
      </c>
      <c r="L844">
        <f>IF($P844="","",INDEX(상세표[블록 18~22시],$P844))</f>
        <v/>
      </c>
      <c r="M844">
        <f>IF($P844="","",INDEX(상세표[블록 22~06시],$P844))</f>
        <v/>
      </c>
      <c r="N844">
        <f>IF($P844="","",INDEX(상세표[주말·휴일 포함],$P844)&amp;"")</f>
        <v/>
      </c>
      <c r="O844">
        <f>IF($P844="","",INDEX(상세표[월 넘김 포함],$P844)&amp;"")</f>
        <v/>
      </c>
      <c r="P844" s="4">
        <f>IFERROR(MATCH(839,상세표[연속순번],0),"")</f>
        <v/>
      </c>
    </row>
    <row r="845">
      <c r="A845">
        <f>IF($P845="","",INDEX(상세표[사번],$P845)&amp;"")</f>
        <v/>
      </c>
      <c r="B845">
        <f>IF($P845="","",INDEX(상세표[성명],$P845)&amp;"")</f>
        <v/>
      </c>
      <c r="C845">
        <f>IF($P845="","",INDEX(상세표[부서],$P845)&amp;"")</f>
        <v/>
      </c>
      <c r="D845">
        <f>IF($P845="","",INDEX(상세표[직위],$P845)&amp;"")</f>
        <v/>
      </c>
      <c r="E845">
        <f>IF($P845="","",IF(ISNUMBER(INDEX(상세표[시작],$P845)),TEXT(INDEX(상세표[시작],$P845),"yyyy-mm-dd hh:mm"),INDEX(상세표[시작],$P845)&amp;""))</f>
        <v/>
      </c>
      <c r="F845">
        <f>IF($P845="","",IF(ISNUMBER(INDEX(상세표[블록종료],$P845)),TEXT(INDEX(상세표[블록종료],$P845),"yyyy-mm-dd hh:mm"),INDEX(상세표[블록종료],$P845)&amp;""))</f>
        <v/>
      </c>
      <c r="G845">
        <f>IF($P845="","",CHOOSE(WEEKDAY(INDEX(상세표[시작],$P845)),"일","월","화","수","목","금","토"))</f>
        <v/>
      </c>
      <c r="H845">
        <f>IF($P845="","",INDEX(상세표[연속 시간],$P845))</f>
        <v/>
      </c>
      <c r="I845">
        <f>IF($P845="","",INDEX(상세표[기록 수],$P845))</f>
        <v/>
      </c>
      <c r="J845">
        <f>IF($P845="","",INDEX(상세표[블록 06~07시],$P845))</f>
        <v/>
      </c>
      <c r="K845">
        <f>IF($P845="","",INDEX(상세표[블록 07~18시],$P845))</f>
        <v/>
      </c>
      <c r="L845">
        <f>IF($P845="","",INDEX(상세표[블록 18~22시],$P845))</f>
        <v/>
      </c>
      <c r="M845">
        <f>IF($P845="","",INDEX(상세표[블록 22~06시],$P845))</f>
        <v/>
      </c>
      <c r="N845">
        <f>IF($P845="","",INDEX(상세표[주말·휴일 포함],$P845)&amp;"")</f>
        <v/>
      </c>
      <c r="O845">
        <f>IF($P845="","",INDEX(상세표[월 넘김 포함],$P845)&amp;"")</f>
        <v/>
      </c>
      <c r="P845" s="4">
        <f>IFERROR(MATCH(840,상세표[연속순번],0),"")</f>
        <v/>
      </c>
    </row>
    <row r="846">
      <c r="A846">
        <f>IF($P846="","",INDEX(상세표[사번],$P846)&amp;"")</f>
        <v/>
      </c>
      <c r="B846">
        <f>IF($P846="","",INDEX(상세표[성명],$P846)&amp;"")</f>
        <v/>
      </c>
      <c r="C846">
        <f>IF($P846="","",INDEX(상세표[부서],$P846)&amp;"")</f>
        <v/>
      </c>
      <c r="D846">
        <f>IF($P846="","",INDEX(상세표[직위],$P846)&amp;"")</f>
        <v/>
      </c>
      <c r="E846">
        <f>IF($P846="","",IF(ISNUMBER(INDEX(상세표[시작],$P846)),TEXT(INDEX(상세표[시작],$P846),"yyyy-mm-dd hh:mm"),INDEX(상세표[시작],$P846)&amp;""))</f>
        <v/>
      </c>
      <c r="F846">
        <f>IF($P846="","",IF(ISNUMBER(INDEX(상세표[블록종료],$P846)),TEXT(INDEX(상세표[블록종료],$P846),"yyyy-mm-dd hh:mm"),INDEX(상세표[블록종료],$P846)&amp;""))</f>
        <v/>
      </c>
      <c r="G846">
        <f>IF($P846="","",CHOOSE(WEEKDAY(INDEX(상세표[시작],$P846)),"일","월","화","수","목","금","토"))</f>
        <v/>
      </c>
      <c r="H846">
        <f>IF($P846="","",INDEX(상세표[연속 시간],$P846))</f>
        <v/>
      </c>
      <c r="I846">
        <f>IF($P846="","",INDEX(상세표[기록 수],$P846))</f>
        <v/>
      </c>
      <c r="J846">
        <f>IF($P846="","",INDEX(상세표[블록 06~07시],$P846))</f>
        <v/>
      </c>
      <c r="K846">
        <f>IF($P846="","",INDEX(상세표[블록 07~18시],$P846))</f>
        <v/>
      </c>
      <c r="L846">
        <f>IF($P846="","",INDEX(상세표[블록 18~22시],$P846))</f>
        <v/>
      </c>
      <c r="M846">
        <f>IF($P846="","",INDEX(상세표[블록 22~06시],$P846))</f>
        <v/>
      </c>
      <c r="N846">
        <f>IF($P846="","",INDEX(상세표[주말·휴일 포함],$P846)&amp;"")</f>
        <v/>
      </c>
      <c r="O846">
        <f>IF($P846="","",INDEX(상세표[월 넘김 포함],$P846)&amp;"")</f>
        <v/>
      </c>
      <c r="P846" s="4">
        <f>IFERROR(MATCH(841,상세표[연속순번],0),"")</f>
        <v/>
      </c>
    </row>
    <row r="847">
      <c r="A847">
        <f>IF($P847="","",INDEX(상세표[사번],$P847)&amp;"")</f>
        <v/>
      </c>
      <c r="B847">
        <f>IF($P847="","",INDEX(상세표[성명],$P847)&amp;"")</f>
        <v/>
      </c>
      <c r="C847">
        <f>IF($P847="","",INDEX(상세표[부서],$P847)&amp;"")</f>
        <v/>
      </c>
      <c r="D847">
        <f>IF($P847="","",INDEX(상세표[직위],$P847)&amp;"")</f>
        <v/>
      </c>
      <c r="E847">
        <f>IF($P847="","",IF(ISNUMBER(INDEX(상세표[시작],$P847)),TEXT(INDEX(상세표[시작],$P847),"yyyy-mm-dd hh:mm"),INDEX(상세표[시작],$P847)&amp;""))</f>
        <v/>
      </c>
      <c r="F847">
        <f>IF($P847="","",IF(ISNUMBER(INDEX(상세표[블록종료],$P847)),TEXT(INDEX(상세표[블록종료],$P847),"yyyy-mm-dd hh:mm"),INDEX(상세표[블록종료],$P847)&amp;""))</f>
        <v/>
      </c>
      <c r="G847">
        <f>IF($P847="","",CHOOSE(WEEKDAY(INDEX(상세표[시작],$P847)),"일","월","화","수","목","금","토"))</f>
        <v/>
      </c>
      <c r="H847">
        <f>IF($P847="","",INDEX(상세표[연속 시간],$P847))</f>
        <v/>
      </c>
      <c r="I847">
        <f>IF($P847="","",INDEX(상세표[기록 수],$P847))</f>
        <v/>
      </c>
      <c r="J847">
        <f>IF($P847="","",INDEX(상세표[블록 06~07시],$P847))</f>
        <v/>
      </c>
      <c r="K847">
        <f>IF($P847="","",INDEX(상세표[블록 07~18시],$P847))</f>
        <v/>
      </c>
      <c r="L847">
        <f>IF($P847="","",INDEX(상세표[블록 18~22시],$P847))</f>
        <v/>
      </c>
      <c r="M847">
        <f>IF($P847="","",INDEX(상세표[블록 22~06시],$P847))</f>
        <v/>
      </c>
      <c r="N847">
        <f>IF($P847="","",INDEX(상세표[주말·휴일 포함],$P847)&amp;"")</f>
        <v/>
      </c>
      <c r="O847">
        <f>IF($P847="","",INDEX(상세표[월 넘김 포함],$P847)&amp;"")</f>
        <v/>
      </c>
      <c r="P847" s="4">
        <f>IFERROR(MATCH(842,상세표[연속순번],0),"")</f>
        <v/>
      </c>
    </row>
    <row r="848">
      <c r="A848">
        <f>IF($P848="","",INDEX(상세표[사번],$P848)&amp;"")</f>
        <v/>
      </c>
      <c r="B848">
        <f>IF($P848="","",INDEX(상세표[성명],$P848)&amp;"")</f>
        <v/>
      </c>
      <c r="C848">
        <f>IF($P848="","",INDEX(상세표[부서],$P848)&amp;"")</f>
        <v/>
      </c>
      <c r="D848">
        <f>IF($P848="","",INDEX(상세표[직위],$P848)&amp;"")</f>
        <v/>
      </c>
      <c r="E848">
        <f>IF($P848="","",IF(ISNUMBER(INDEX(상세표[시작],$P848)),TEXT(INDEX(상세표[시작],$P848),"yyyy-mm-dd hh:mm"),INDEX(상세표[시작],$P848)&amp;""))</f>
        <v/>
      </c>
      <c r="F848">
        <f>IF($P848="","",IF(ISNUMBER(INDEX(상세표[블록종료],$P848)),TEXT(INDEX(상세표[블록종료],$P848),"yyyy-mm-dd hh:mm"),INDEX(상세표[블록종료],$P848)&amp;""))</f>
        <v/>
      </c>
      <c r="G848">
        <f>IF($P848="","",CHOOSE(WEEKDAY(INDEX(상세표[시작],$P848)),"일","월","화","수","목","금","토"))</f>
        <v/>
      </c>
      <c r="H848">
        <f>IF($P848="","",INDEX(상세표[연속 시간],$P848))</f>
        <v/>
      </c>
      <c r="I848">
        <f>IF($P848="","",INDEX(상세표[기록 수],$P848))</f>
        <v/>
      </c>
      <c r="J848">
        <f>IF($P848="","",INDEX(상세표[블록 06~07시],$P848))</f>
        <v/>
      </c>
      <c r="K848">
        <f>IF($P848="","",INDEX(상세표[블록 07~18시],$P848))</f>
        <v/>
      </c>
      <c r="L848">
        <f>IF($P848="","",INDEX(상세표[블록 18~22시],$P848))</f>
        <v/>
      </c>
      <c r="M848">
        <f>IF($P848="","",INDEX(상세표[블록 22~06시],$P848))</f>
        <v/>
      </c>
      <c r="N848">
        <f>IF($P848="","",INDEX(상세표[주말·휴일 포함],$P848)&amp;"")</f>
        <v/>
      </c>
      <c r="O848">
        <f>IF($P848="","",INDEX(상세표[월 넘김 포함],$P848)&amp;"")</f>
        <v/>
      </c>
      <c r="P848" s="4">
        <f>IFERROR(MATCH(843,상세표[연속순번],0),"")</f>
        <v/>
      </c>
    </row>
    <row r="849">
      <c r="A849">
        <f>IF($P849="","",INDEX(상세표[사번],$P849)&amp;"")</f>
        <v/>
      </c>
      <c r="B849">
        <f>IF($P849="","",INDEX(상세표[성명],$P849)&amp;"")</f>
        <v/>
      </c>
      <c r="C849">
        <f>IF($P849="","",INDEX(상세표[부서],$P849)&amp;"")</f>
        <v/>
      </c>
      <c r="D849">
        <f>IF($P849="","",INDEX(상세표[직위],$P849)&amp;"")</f>
        <v/>
      </c>
      <c r="E849">
        <f>IF($P849="","",IF(ISNUMBER(INDEX(상세표[시작],$P849)),TEXT(INDEX(상세표[시작],$P849),"yyyy-mm-dd hh:mm"),INDEX(상세표[시작],$P849)&amp;""))</f>
        <v/>
      </c>
      <c r="F849">
        <f>IF($P849="","",IF(ISNUMBER(INDEX(상세표[블록종료],$P849)),TEXT(INDEX(상세표[블록종료],$P849),"yyyy-mm-dd hh:mm"),INDEX(상세표[블록종료],$P849)&amp;""))</f>
        <v/>
      </c>
      <c r="G849">
        <f>IF($P849="","",CHOOSE(WEEKDAY(INDEX(상세표[시작],$P849)),"일","월","화","수","목","금","토"))</f>
        <v/>
      </c>
      <c r="H849">
        <f>IF($P849="","",INDEX(상세표[연속 시간],$P849))</f>
        <v/>
      </c>
      <c r="I849">
        <f>IF($P849="","",INDEX(상세표[기록 수],$P849))</f>
        <v/>
      </c>
      <c r="J849">
        <f>IF($P849="","",INDEX(상세표[블록 06~07시],$P849))</f>
        <v/>
      </c>
      <c r="K849">
        <f>IF($P849="","",INDEX(상세표[블록 07~18시],$P849))</f>
        <v/>
      </c>
      <c r="L849">
        <f>IF($P849="","",INDEX(상세표[블록 18~22시],$P849))</f>
        <v/>
      </c>
      <c r="M849">
        <f>IF($P849="","",INDEX(상세표[블록 22~06시],$P849))</f>
        <v/>
      </c>
      <c r="N849">
        <f>IF($P849="","",INDEX(상세표[주말·휴일 포함],$P849)&amp;"")</f>
        <v/>
      </c>
      <c r="O849">
        <f>IF($P849="","",INDEX(상세표[월 넘김 포함],$P849)&amp;"")</f>
        <v/>
      </c>
      <c r="P849" s="4">
        <f>IFERROR(MATCH(844,상세표[연속순번],0),"")</f>
        <v/>
      </c>
    </row>
    <row r="850">
      <c r="A850">
        <f>IF($P850="","",INDEX(상세표[사번],$P850)&amp;"")</f>
        <v/>
      </c>
      <c r="B850">
        <f>IF($P850="","",INDEX(상세표[성명],$P850)&amp;"")</f>
        <v/>
      </c>
      <c r="C850">
        <f>IF($P850="","",INDEX(상세표[부서],$P850)&amp;"")</f>
        <v/>
      </c>
      <c r="D850">
        <f>IF($P850="","",INDEX(상세표[직위],$P850)&amp;"")</f>
        <v/>
      </c>
      <c r="E850">
        <f>IF($P850="","",IF(ISNUMBER(INDEX(상세표[시작],$P850)),TEXT(INDEX(상세표[시작],$P850),"yyyy-mm-dd hh:mm"),INDEX(상세표[시작],$P850)&amp;""))</f>
        <v/>
      </c>
      <c r="F850">
        <f>IF($P850="","",IF(ISNUMBER(INDEX(상세표[블록종료],$P850)),TEXT(INDEX(상세표[블록종료],$P850),"yyyy-mm-dd hh:mm"),INDEX(상세표[블록종료],$P850)&amp;""))</f>
        <v/>
      </c>
      <c r="G850">
        <f>IF($P850="","",CHOOSE(WEEKDAY(INDEX(상세표[시작],$P850)),"일","월","화","수","목","금","토"))</f>
        <v/>
      </c>
      <c r="H850">
        <f>IF($P850="","",INDEX(상세표[연속 시간],$P850))</f>
        <v/>
      </c>
      <c r="I850">
        <f>IF($P850="","",INDEX(상세표[기록 수],$P850))</f>
        <v/>
      </c>
      <c r="J850">
        <f>IF($P850="","",INDEX(상세표[블록 06~07시],$P850))</f>
        <v/>
      </c>
      <c r="K850">
        <f>IF($P850="","",INDEX(상세표[블록 07~18시],$P850))</f>
        <v/>
      </c>
      <c r="L850">
        <f>IF($P850="","",INDEX(상세표[블록 18~22시],$P850))</f>
        <v/>
      </c>
      <c r="M850">
        <f>IF($P850="","",INDEX(상세표[블록 22~06시],$P850))</f>
        <v/>
      </c>
      <c r="N850">
        <f>IF($P850="","",INDEX(상세표[주말·휴일 포함],$P850)&amp;"")</f>
        <v/>
      </c>
      <c r="O850">
        <f>IF($P850="","",INDEX(상세표[월 넘김 포함],$P850)&amp;"")</f>
        <v/>
      </c>
      <c r="P850" s="4">
        <f>IFERROR(MATCH(845,상세표[연속순번],0),"")</f>
        <v/>
      </c>
    </row>
    <row r="851">
      <c r="A851">
        <f>IF($P851="","",INDEX(상세표[사번],$P851)&amp;"")</f>
        <v/>
      </c>
      <c r="B851">
        <f>IF($P851="","",INDEX(상세표[성명],$P851)&amp;"")</f>
        <v/>
      </c>
      <c r="C851">
        <f>IF($P851="","",INDEX(상세표[부서],$P851)&amp;"")</f>
        <v/>
      </c>
      <c r="D851">
        <f>IF($P851="","",INDEX(상세표[직위],$P851)&amp;"")</f>
        <v/>
      </c>
      <c r="E851">
        <f>IF($P851="","",IF(ISNUMBER(INDEX(상세표[시작],$P851)),TEXT(INDEX(상세표[시작],$P851),"yyyy-mm-dd hh:mm"),INDEX(상세표[시작],$P851)&amp;""))</f>
        <v/>
      </c>
      <c r="F851">
        <f>IF($P851="","",IF(ISNUMBER(INDEX(상세표[블록종료],$P851)),TEXT(INDEX(상세표[블록종료],$P851),"yyyy-mm-dd hh:mm"),INDEX(상세표[블록종료],$P851)&amp;""))</f>
        <v/>
      </c>
      <c r="G851">
        <f>IF($P851="","",CHOOSE(WEEKDAY(INDEX(상세표[시작],$P851)),"일","월","화","수","목","금","토"))</f>
        <v/>
      </c>
      <c r="H851">
        <f>IF($P851="","",INDEX(상세표[연속 시간],$P851))</f>
        <v/>
      </c>
      <c r="I851">
        <f>IF($P851="","",INDEX(상세표[기록 수],$P851))</f>
        <v/>
      </c>
      <c r="J851">
        <f>IF($P851="","",INDEX(상세표[블록 06~07시],$P851))</f>
        <v/>
      </c>
      <c r="K851">
        <f>IF($P851="","",INDEX(상세표[블록 07~18시],$P851))</f>
        <v/>
      </c>
      <c r="L851">
        <f>IF($P851="","",INDEX(상세표[블록 18~22시],$P851))</f>
        <v/>
      </c>
      <c r="M851">
        <f>IF($P851="","",INDEX(상세표[블록 22~06시],$P851))</f>
        <v/>
      </c>
      <c r="N851">
        <f>IF($P851="","",INDEX(상세표[주말·휴일 포함],$P851)&amp;"")</f>
        <v/>
      </c>
      <c r="O851">
        <f>IF($P851="","",INDEX(상세표[월 넘김 포함],$P851)&amp;"")</f>
        <v/>
      </c>
      <c r="P851" s="4">
        <f>IFERROR(MATCH(846,상세표[연속순번],0),"")</f>
        <v/>
      </c>
    </row>
    <row r="852">
      <c r="A852">
        <f>IF($P852="","",INDEX(상세표[사번],$P852)&amp;"")</f>
        <v/>
      </c>
      <c r="B852">
        <f>IF($P852="","",INDEX(상세표[성명],$P852)&amp;"")</f>
        <v/>
      </c>
      <c r="C852">
        <f>IF($P852="","",INDEX(상세표[부서],$P852)&amp;"")</f>
        <v/>
      </c>
      <c r="D852">
        <f>IF($P852="","",INDEX(상세표[직위],$P852)&amp;"")</f>
        <v/>
      </c>
      <c r="E852">
        <f>IF($P852="","",IF(ISNUMBER(INDEX(상세표[시작],$P852)),TEXT(INDEX(상세표[시작],$P852),"yyyy-mm-dd hh:mm"),INDEX(상세표[시작],$P852)&amp;""))</f>
        <v/>
      </c>
      <c r="F852">
        <f>IF($P852="","",IF(ISNUMBER(INDEX(상세표[블록종료],$P852)),TEXT(INDEX(상세표[블록종료],$P852),"yyyy-mm-dd hh:mm"),INDEX(상세표[블록종료],$P852)&amp;""))</f>
        <v/>
      </c>
      <c r="G852">
        <f>IF($P852="","",CHOOSE(WEEKDAY(INDEX(상세표[시작],$P852)),"일","월","화","수","목","금","토"))</f>
        <v/>
      </c>
      <c r="H852">
        <f>IF($P852="","",INDEX(상세표[연속 시간],$P852))</f>
        <v/>
      </c>
      <c r="I852">
        <f>IF($P852="","",INDEX(상세표[기록 수],$P852))</f>
        <v/>
      </c>
      <c r="J852">
        <f>IF($P852="","",INDEX(상세표[블록 06~07시],$P852))</f>
        <v/>
      </c>
      <c r="K852">
        <f>IF($P852="","",INDEX(상세표[블록 07~18시],$P852))</f>
        <v/>
      </c>
      <c r="L852">
        <f>IF($P852="","",INDEX(상세표[블록 18~22시],$P852))</f>
        <v/>
      </c>
      <c r="M852">
        <f>IF($P852="","",INDEX(상세표[블록 22~06시],$P852))</f>
        <v/>
      </c>
      <c r="N852">
        <f>IF($P852="","",INDEX(상세표[주말·휴일 포함],$P852)&amp;"")</f>
        <v/>
      </c>
      <c r="O852">
        <f>IF($P852="","",INDEX(상세표[월 넘김 포함],$P852)&amp;"")</f>
        <v/>
      </c>
      <c r="P852" s="4">
        <f>IFERROR(MATCH(847,상세표[연속순번],0),"")</f>
        <v/>
      </c>
    </row>
    <row r="853">
      <c r="A853">
        <f>IF($P853="","",INDEX(상세표[사번],$P853)&amp;"")</f>
        <v/>
      </c>
      <c r="B853">
        <f>IF($P853="","",INDEX(상세표[성명],$P853)&amp;"")</f>
        <v/>
      </c>
      <c r="C853">
        <f>IF($P853="","",INDEX(상세표[부서],$P853)&amp;"")</f>
        <v/>
      </c>
      <c r="D853">
        <f>IF($P853="","",INDEX(상세표[직위],$P853)&amp;"")</f>
        <v/>
      </c>
      <c r="E853">
        <f>IF($P853="","",IF(ISNUMBER(INDEX(상세표[시작],$P853)),TEXT(INDEX(상세표[시작],$P853),"yyyy-mm-dd hh:mm"),INDEX(상세표[시작],$P853)&amp;""))</f>
        <v/>
      </c>
      <c r="F853">
        <f>IF($P853="","",IF(ISNUMBER(INDEX(상세표[블록종료],$P853)),TEXT(INDEX(상세표[블록종료],$P853),"yyyy-mm-dd hh:mm"),INDEX(상세표[블록종료],$P853)&amp;""))</f>
        <v/>
      </c>
      <c r="G853">
        <f>IF($P853="","",CHOOSE(WEEKDAY(INDEX(상세표[시작],$P853)),"일","월","화","수","목","금","토"))</f>
        <v/>
      </c>
      <c r="H853">
        <f>IF($P853="","",INDEX(상세표[연속 시간],$P853))</f>
        <v/>
      </c>
      <c r="I853">
        <f>IF($P853="","",INDEX(상세표[기록 수],$P853))</f>
        <v/>
      </c>
      <c r="J853">
        <f>IF($P853="","",INDEX(상세표[블록 06~07시],$P853))</f>
        <v/>
      </c>
      <c r="K853">
        <f>IF($P853="","",INDEX(상세표[블록 07~18시],$P853))</f>
        <v/>
      </c>
      <c r="L853">
        <f>IF($P853="","",INDEX(상세표[블록 18~22시],$P853))</f>
        <v/>
      </c>
      <c r="M853">
        <f>IF($P853="","",INDEX(상세표[블록 22~06시],$P853))</f>
        <v/>
      </c>
      <c r="N853">
        <f>IF($P853="","",INDEX(상세표[주말·휴일 포함],$P853)&amp;"")</f>
        <v/>
      </c>
      <c r="O853">
        <f>IF($P853="","",INDEX(상세표[월 넘김 포함],$P853)&amp;"")</f>
        <v/>
      </c>
      <c r="P853" s="4">
        <f>IFERROR(MATCH(848,상세표[연속순번],0),"")</f>
        <v/>
      </c>
    </row>
    <row r="854">
      <c r="A854">
        <f>IF($P854="","",INDEX(상세표[사번],$P854)&amp;"")</f>
        <v/>
      </c>
      <c r="B854">
        <f>IF($P854="","",INDEX(상세표[성명],$P854)&amp;"")</f>
        <v/>
      </c>
      <c r="C854">
        <f>IF($P854="","",INDEX(상세표[부서],$P854)&amp;"")</f>
        <v/>
      </c>
      <c r="D854">
        <f>IF($P854="","",INDEX(상세표[직위],$P854)&amp;"")</f>
        <v/>
      </c>
      <c r="E854">
        <f>IF($P854="","",IF(ISNUMBER(INDEX(상세표[시작],$P854)),TEXT(INDEX(상세표[시작],$P854),"yyyy-mm-dd hh:mm"),INDEX(상세표[시작],$P854)&amp;""))</f>
        <v/>
      </c>
      <c r="F854">
        <f>IF($P854="","",IF(ISNUMBER(INDEX(상세표[블록종료],$P854)),TEXT(INDEX(상세표[블록종료],$P854),"yyyy-mm-dd hh:mm"),INDEX(상세표[블록종료],$P854)&amp;""))</f>
        <v/>
      </c>
      <c r="G854">
        <f>IF($P854="","",CHOOSE(WEEKDAY(INDEX(상세표[시작],$P854)),"일","월","화","수","목","금","토"))</f>
        <v/>
      </c>
      <c r="H854">
        <f>IF($P854="","",INDEX(상세표[연속 시간],$P854))</f>
        <v/>
      </c>
      <c r="I854">
        <f>IF($P854="","",INDEX(상세표[기록 수],$P854))</f>
        <v/>
      </c>
      <c r="J854">
        <f>IF($P854="","",INDEX(상세표[블록 06~07시],$P854))</f>
        <v/>
      </c>
      <c r="K854">
        <f>IF($P854="","",INDEX(상세표[블록 07~18시],$P854))</f>
        <v/>
      </c>
      <c r="L854">
        <f>IF($P854="","",INDEX(상세표[블록 18~22시],$P854))</f>
        <v/>
      </c>
      <c r="M854">
        <f>IF($P854="","",INDEX(상세표[블록 22~06시],$P854))</f>
        <v/>
      </c>
      <c r="N854">
        <f>IF($P854="","",INDEX(상세표[주말·휴일 포함],$P854)&amp;"")</f>
        <v/>
      </c>
      <c r="O854">
        <f>IF($P854="","",INDEX(상세표[월 넘김 포함],$P854)&amp;"")</f>
        <v/>
      </c>
      <c r="P854" s="4">
        <f>IFERROR(MATCH(849,상세표[연속순번],0),"")</f>
        <v/>
      </c>
    </row>
    <row r="855">
      <c r="A855">
        <f>IF($P855="","",INDEX(상세표[사번],$P855)&amp;"")</f>
        <v/>
      </c>
      <c r="B855">
        <f>IF($P855="","",INDEX(상세표[성명],$P855)&amp;"")</f>
        <v/>
      </c>
      <c r="C855">
        <f>IF($P855="","",INDEX(상세표[부서],$P855)&amp;"")</f>
        <v/>
      </c>
      <c r="D855">
        <f>IF($P855="","",INDEX(상세표[직위],$P855)&amp;"")</f>
        <v/>
      </c>
      <c r="E855">
        <f>IF($P855="","",IF(ISNUMBER(INDEX(상세표[시작],$P855)),TEXT(INDEX(상세표[시작],$P855),"yyyy-mm-dd hh:mm"),INDEX(상세표[시작],$P855)&amp;""))</f>
        <v/>
      </c>
      <c r="F855">
        <f>IF($P855="","",IF(ISNUMBER(INDEX(상세표[블록종료],$P855)),TEXT(INDEX(상세표[블록종료],$P855),"yyyy-mm-dd hh:mm"),INDEX(상세표[블록종료],$P855)&amp;""))</f>
        <v/>
      </c>
      <c r="G855">
        <f>IF($P855="","",CHOOSE(WEEKDAY(INDEX(상세표[시작],$P855)),"일","월","화","수","목","금","토"))</f>
        <v/>
      </c>
      <c r="H855">
        <f>IF($P855="","",INDEX(상세표[연속 시간],$P855))</f>
        <v/>
      </c>
      <c r="I855">
        <f>IF($P855="","",INDEX(상세표[기록 수],$P855))</f>
        <v/>
      </c>
      <c r="J855">
        <f>IF($P855="","",INDEX(상세표[블록 06~07시],$P855))</f>
        <v/>
      </c>
      <c r="K855">
        <f>IF($P855="","",INDEX(상세표[블록 07~18시],$P855))</f>
        <v/>
      </c>
      <c r="L855">
        <f>IF($P855="","",INDEX(상세표[블록 18~22시],$P855))</f>
        <v/>
      </c>
      <c r="M855">
        <f>IF($P855="","",INDEX(상세표[블록 22~06시],$P855))</f>
        <v/>
      </c>
      <c r="N855">
        <f>IF($P855="","",INDEX(상세표[주말·휴일 포함],$P855)&amp;"")</f>
        <v/>
      </c>
      <c r="O855">
        <f>IF($P855="","",INDEX(상세표[월 넘김 포함],$P855)&amp;"")</f>
        <v/>
      </c>
      <c r="P855" s="4">
        <f>IFERROR(MATCH(850,상세표[연속순번],0),"")</f>
        <v/>
      </c>
    </row>
    <row r="856">
      <c r="A856">
        <f>IF($P856="","",INDEX(상세표[사번],$P856)&amp;"")</f>
        <v/>
      </c>
      <c r="B856">
        <f>IF($P856="","",INDEX(상세표[성명],$P856)&amp;"")</f>
        <v/>
      </c>
      <c r="C856">
        <f>IF($P856="","",INDEX(상세표[부서],$P856)&amp;"")</f>
        <v/>
      </c>
      <c r="D856">
        <f>IF($P856="","",INDEX(상세표[직위],$P856)&amp;"")</f>
        <v/>
      </c>
      <c r="E856">
        <f>IF($P856="","",IF(ISNUMBER(INDEX(상세표[시작],$P856)),TEXT(INDEX(상세표[시작],$P856),"yyyy-mm-dd hh:mm"),INDEX(상세표[시작],$P856)&amp;""))</f>
        <v/>
      </c>
      <c r="F856">
        <f>IF($P856="","",IF(ISNUMBER(INDEX(상세표[블록종료],$P856)),TEXT(INDEX(상세표[블록종료],$P856),"yyyy-mm-dd hh:mm"),INDEX(상세표[블록종료],$P856)&amp;""))</f>
        <v/>
      </c>
      <c r="G856">
        <f>IF($P856="","",CHOOSE(WEEKDAY(INDEX(상세표[시작],$P856)),"일","월","화","수","목","금","토"))</f>
        <v/>
      </c>
      <c r="H856">
        <f>IF($P856="","",INDEX(상세표[연속 시간],$P856))</f>
        <v/>
      </c>
      <c r="I856">
        <f>IF($P856="","",INDEX(상세표[기록 수],$P856))</f>
        <v/>
      </c>
      <c r="J856">
        <f>IF($P856="","",INDEX(상세표[블록 06~07시],$P856))</f>
        <v/>
      </c>
      <c r="K856">
        <f>IF($P856="","",INDEX(상세표[블록 07~18시],$P856))</f>
        <v/>
      </c>
      <c r="L856">
        <f>IF($P856="","",INDEX(상세표[블록 18~22시],$P856))</f>
        <v/>
      </c>
      <c r="M856">
        <f>IF($P856="","",INDEX(상세표[블록 22~06시],$P856))</f>
        <v/>
      </c>
      <c r="N856">
        <f>IF($P856="","",INDEX(상세표[주말·휴일 포함],$P856)&amp;"")</f>
        <v/>
      </c>
      <c r="O856">
        <f>IF($P856="","",INDEX(상세표[월 넘김 포함],$P856)&amp;"")</f>
        <v/>
      </c>
      <c r="P856" s="4">
        <f>IFERROR(MATCH(851,상세표[연속순번],0),"")</f>
        <v/>
      </c>
    </row>
    <row r="857">
      <c r="A857">
        <f>IF($P857="","",INDEX(상세표[사번],$P857)&amp;"")</f>
        <v/>
      </c>
      <c r="B857">
        <f>IF($P857="","",INDEX(상세표[성명],$P857)&amp;"")</f>
        <v/>
      </c>
      <c r="C857">
        <f>IF($P857="","",INDEX(상세표[부서],$P857)&amp;"")</f>
        <v/>
      </c>
      <c r="D857">
        <f>IF($P857="","",INDEX(상세표[직위],$P857)&amp;"")</f>
        <v/>
      </c>
      <c r="E857">
        <f>IF($P857="","",IF(ISNUMBER(INDEX(상세표[시작],$P857)),TEXT(INDEX(상세표[시작],$P857),"yyyy-mm-dd hh:mm"),INDEX(상세표[시작],$P857)&amp;""))</f>
        <v/>
      </c>
      <c r="F857">
        <f>IF($P857="","",IF(ISNUMBER(INDEX(상세표[블록종료],$P857)),TEXT(INDEX(상세표[블록종료],$P857),"yyyy-mm-dd hh:mm"),INDEX(상세표[블록종료],$P857)&amp;""))</f>
        <v/>
      </c>
      <c r="G857">
        <f>IF($P857="","",CHOOSE(WEEKDAY(INDEX(상세표[시작],$P857)),"일","월","화","수","목","금","토"))</f>
        <v/>
      </c>
      <c r="H857">
        <f>IF($P857="","",INDEX(상세표[연속 시간],$P857))</f>
        <v/>
      </c>
      <c r="I857">
        <f>IF($P857="","",INDEX(상세표[기록 수],$P857))</f>
        <v/>
      </c>
      <c r="J857">
        <f>IF($P857="","",INDEX(상세표[블록 06~07시],$P857))</f>
        <v/>
      </c>
      <c r="K857">
        <f>IF($P857="","",INDEX(상세표[블록 07~18시],$P857))</f>
        <v/>
      </c>
      <c r="L857">
        <f>IF($P857="","",INDEX(상세표[블록 18~22시],$P857))</f>
        <v/>
      </c>
      <c r="M857">
        <f>IF($P857="","",INDEX(상세표[블록 22~06시],$P857))</f>
        <v/>
      </c>
      <c r="N857">
        <f>IF($P857="","",INDEX(상세표[주말·휴일 포함],$P857)&amp;"")</f>
        <v/>
      </c>
      <c r="O857">
        <f>IF($P857="","",INDEX(상세표[월 넘김 포함],$P857)&amp;"")</f>
        <v/>
      </c>
      <c r="P857" s="4">
        <f>IFERROR(MATCH(852,상세표[연속순번],0),"")</f>
        <v/>
      </c>
    </row>
    <row r="858">
      <c r="A858">
        <f>IF($P858="","",INDEX(상세표[사번],$P858)&amp;"")</f>
        <v/>
      </c>
      <c r="B858">
        <f>IF($P858="","",INDEX(상세표[성명],$P858)&amp;"")</f>
        <v/>
      </c>
      <c r="C858">
        <f>IF($P858="","",INDEX(상세표[부서],$P858)&amp;"")</f>
        <v/>
      </c>
      <c r="D858">
        <f>IF($P858="","",INDEX(상세표[직위],$P858)&amp;"")</f>
        <v/>
      </c>
      <c r="E858">
        <f>IF($P858="","",IF(ISNUMBER(INDEX(상세표[시작],$P858)),TEXT(INDEX(상세표[시작],$P858),"yyyy-mm-dd hh:mm"),INDEX(상세표[시작],$P858)&amp;""))</f>
        <v/>
      </c>
      <c r="F858">
        <f>IF($P858="","",IF(ISNUMBER(INDEX(상세표[블록종료],$P858)),TEXT(INDEX(상세표[블록종료],$P858),"yyyy-mm-dd hh:mm"),INDEX(상세표[블록종료],$P858)&amp;""))</f>
        <v/>
      </c>
      <c r="G858">
        <f>IF($P858="","",CHOOSE(WEEKDAY(INDEX(상세표[시작],$P858)),"일","월","화","수","목","금","토"))</f>
        <v/>
      </c>
      <c r="H858">
        <f>IF($P858="","",INDEX(상세표[연속 시간],$P858))</f>
        <v/>
      </c>
      <c r="I858">
        <f>IF($P858="","",INDEX(상세표[기록 수],$P858))</f>
        <v/>
      </c>
      <c r="J858">
        <f>IF($P858="","",INDEX(상세표[블록 06~07시],$P858))</f>
        <v/>
      </c>
      <c r="K858">
        <f>IF($P858="","",INDEX(상세표[블록 07~18시],$P858))</f>
        <v/>
      </c>
      <c r="L858">
        <f>IF($P858="","",INDEX(상세표[블록 18~22시],$P858))</f>
        <v/>
      </c>
      <c r="M858">
        <f>IF($P858="","",INDEX(상세표[블록 22~06시],$P858))</f>
        <v/>
      </c>
      <c r="N858">
        <f>IF($P858="","",INDEX(상세표[주말·휴일 포함],$P858)&amp;"")</f>
        <v/>
      </c>
      <c r="O858">
        <f>IF($P858="","",INDEX(상세표[월 넘김 포함],$P858)&amp;"")</f>
        <v/>
      </c>
      <c r="P858" s="4">
        <f>IFERROR(MATCH(853,상세표[연속순번],0),"")</f>
        <v/>
      </c>
    </row>
    <row r="859">
      <c r="A859">
        <f>IF($P859="","",INDEX(상세표[사번],$P859)&amp;"")</f>
        <v/>
      </c>
      <c r="B859">
        <f>IF($P859="","",INDEX(상세표[성명],$P859)&amp;"")</f>
        <v/>
      </c>
      <c r="C859">
        <f>IF($P859="","",INDEX(상세표[부서],$P859)&amp;"")</f>
        <v/>
      </c>
      <c r="D859">
        <f>IF($P859="","",INDEX(상세표[직위],$P859)&amp;"")</f>
        <v/>
      </c>
      <c r="E859">
        <f>IF($P859="","",IF(ISNUMBER(INDEX(상세표[시작],$P859)),TEXT(INDEX(상세표[시작],$P859),"yyyy-mm-dd hh:mm"),INDEX(상세표[시작],$P859)&amp;""))</f>
        <v/>
      </c>
      <c r="F859">
        <f>IF($P859="","",IF(ISNUMBER(INDEX(상세표[블록종료],$P859)),TEXT(INDEX(상세표[블록종료],$P859),"yyyy-mm-dd hh:mm"),INDEX(상세표[블록종료],$P859)&amp;""))</f>
        <v/>
      </c>
      <c r="G859">
        <f>IF($P859="","",CHOOSE(WEEKDAY(INDEX(상세표[시작],$P859)),"일","월","화","수","목","금","토"))</f>
        <v/>
      </c>
      <c r="H859">
        <f>IF($P859="","",INDEX(상세표[연속 시간],$P859))</f>
        <v/>
      </c>
      <c r="I859">
        <f>IF($P859="","",INDEX(상세표[기록 수],$P859))</f>
        <v/>
      </c>
      <c r="J859">
        <f>IF($P859="","",INDEX(상세표[블록 06~07시],$P859))</f>
        <v/>
      </c>
      <c r="K859">
        <f>IF($P859="","",INDEX(상세표[블록 07~18시],$P859))</f>
        <v/>
      </c>
      <c r="L859">
        <f>IF($P859="","",INDEX(상세표[블록 18~22시],$P859))</f>
        <v/>
      </c>
      <c r="M859">
        <f>IF($P859="","",INDEX(상세표[블록 22~06시],$P859))</f>
        <v/>
      </c>
      <c r="N859">
        <f>IF($P859="","",INDEX(상세표[주말·휴일 포함],$P859)&amp;"")</f>
        <v/>
      </c>
      <c r="O859">
        <f>IF($P859="","",INDEX(상세표[월 넘김 포함],$P859)&amp;"")</f>
        <v/>
      </c>
      <c r="P859" s="4">
        <f>IFERROR(MATCH(854,상세표[연속순번],0),"")</f>
        <v/>
      </c>
    </row>
    <row r="860">
      <c r="A860">
        <f>IF($P860="","",INDEX(상세표[사번],$P860)&amp;"")</f>
        <v/>
      </c>
      <c r="B860">
        <f>IF($P860="","",INDEX(상세표[성명],$P860)&amp;"")</f>
        <v/>
      </c>
      <c r="C860">
        <f>IF($P860="","",INDEX(상세표[부서],$P860)&amp;"")</f>
        <v/>
      </c>
      <c r="D860">
        <f>IF($P860="","",INDEX(상세표[직위],$P860)&amp;"")</f>
        <v/>
      </c>
      <c r="E860">
        <f>IF($P860="","",IF(ISNUMBER(INDEX(상세표[시작],$P860)),TEXT(INDEX(상세표[시작],$P860),"yyyy-mm-dd hh:mm"),INDEX(상세표[시작],$P860)&amp;""))</f>
        <v/>
      </c>
      <c r="F860">
        <f>IF($P860="","",IF(ISNUMBER(INDEX(상세표[블록종료],$P860)),TEXT(INDEX(상세표[블록종료],$P860),"yyyy-mm-dd hh:mm"),INDEX(상세표[블록종료],$P860)&amp;""))</f>
        <v/>
      </c>
      <c r="G860">
        <f>IF($P860="","",CHOOSE(WEEKDAY(INDEX(상세표[시작],$P860)),"일","월","화","수","목","금","토"))</f>
        <v/>
      </c>
      <c r="H860">
        <f>IF($P860="","",INDEX(상세표[연속 시간],$P860))</f>
        <v/>
      </c>
      <c r="I860">
        <f>IF($P860="","",INDEX(상세표[기록 수],$P860))</f>
        <v/>
      </c>
      <c r="J860">
        <f>IF($P860="","",INDEX(상세표[블록 06~07시],$P860))</f>
        <v/>
      </c>
      <c r="K860">
        <f>IF($P860="","",INDEX(상세표[블록 07~18시],$P860))</f>
        <v/>
      </c>
      <c r="L860">
        <f>IF($P860="","",INDEX(상세표[블록 18~22시],$P860))</f>
        <v/>
      </c>
      <c r="M860">
        <f>IF($P860="","",INDEX(상세표[블록 22~06시],$P860))</f>
        <v/>
      </c>
      <c r="N860">
        <f>IF($P860="","",INDEX(상세표[주말·휴일 포함],$P860)&amp;"")</f>
        <v/>
      </c>
      <c r="O860">
        <f>IF($P860="","",INDEX(상세표[월 넘김 포함],$P860)&amp;"")</f>
        <v/>
      </c>
      <c r="P860" s="4">
        <f>IFERROR(MATCH(855,상세표[연속순번],0),"")</f>
        <v/>
      </c>
    </row>
    <row r="861">
      <c r="A861">
        <f>IF($P861="","",INDEX(상세표[사번],$P861)&amp;"")</f>
        <v/>
      </c>
      <c r="B861">
        <f>IF($P861="","",INDEX(상세표[성명],$P861)&amp;"")</f>
        <v/>
      </c>
      <c r="C861">
        <f>IF($P861="","",INDEX(상세표[부서],$P861)&amp;"")</f>
        <v/>
      </c>
      <c r="D861">
        <f>IF($P861="","",INDEX(상세표[직위],$P861)&amp;"")</f>
        <v/>
      </c>
      <c r="E861">
        <f>IF($P861="","",IF(ISNUMBER(INDEX(상세표[시작],$P861)),TEXT(INDEX(상세표[시작],$P861),"yyyy-mm-dd hh:mm"),INDEX(상세표[시작],$P861)&amp;""))</f>
        <v/>
      </c>
      <c r="F861">
        <f>IF($P861="","",IF(ISNUMBER(INDEX(상세표[블록종료],$P861)),TEXT(INDEX(상세표[블록종료],$P861),"yyyy-mm-dd hh:mm"),INDEX(상세표[블록종료],$P861)&amp;""))</f>
        <v/>
      </c>
      <c r="G861">
        <f>IF($P861="","",CHOOSE(WEEKDAY(INDEX(상세표[시작],$P861)),"일","월","화","수","목","금","토"))</f>
        <v/>
      </c>
      <c r="H861">
        <f>IF($P861="","",INDEX(상세표[연속 시간],$P861))</f>
        <v/>
      </c>
      <c r="I861">
        <f>IF($P861="","",INDEX(상세표[기록 수],$P861))</f>
        <v/>
      </c>
      <c r="J861">
        <f>IF($P861="","",INDEX(상세표[블록 06~07시],$P861))</f>
        <v/>
      </c>
      <c r="K861">
        <f>IF($P861="","",INDEX(상세표[블록 07~18시],$P861))</f>
        <v/>
      </c>
      <c r="L861">
        <f>IF($P861="","",INDEX(상세표[블록 18~22시],$P861))</f>
        <v/>
      </c>
      <c r="M861">
        <f>IF($P861="","",INDEX(상세표[블록 22~06시],$P861))</f>
        <v/>
      </c>
      <c r="N861">
        <f>IF($P861="","",INDEX(상세표[주말·휴일 포함],$P861)&amp;"")</f>
        <v/>
      </c>
      <c r="O861">
        <f>IF($P861="","",INDEX(상세표[월 넘김 포함],$P861)&amp;"")</f>
        <v/>
      </c>
      <c r="P861" s="4">
        <f>IFERROR(MATCH(856,상세표[연속순번],0),"")</f>
        <v/>
      </c>
    </row>
    <row r="862">
      <c r="A862">
        <f>IF($P862="","",INDEX(상세표[사번],$P862)&amp;"")</f>
        <v/>
      </c>
      <c r="B862">
        <f>IF($P862="","",INDEX(상세표[성명],$P862)&amp;"")</f>
        <v/>
      </c>
      <c r="C862">
        <f>IF($P862="","",INDEX(상세표[부서],$P862)&amp;"")</f>
        <v/>
      </c>
      <c r="D862">
        <f>IF($P862="","",INDEX(상세표[직위],$P862)&amp;"")</f>
        <v/>
      </c>
      <c r="E862">
        <f>IF($P862="","",IF(ISNUMBER(INDEX(상세표[시작],$P862)),TEXT(INDEX(상세표[시작],$P862),"yyyy-mm-dd hh:mm"),INDEX(상세표[시작],$P862)&amp;""))</f>
        <v/>
      </c>
      <c r="F862">
        <f>IF($P862="","",IF(ISNUMBER(INDEX(상세표[블록종료],$P862)),TEXT(INDEX(상세표[블록종료],$P862),"yyyy-mm-dd hh:mm"),INDEX(상세표[블록종료],$P862)&amp;""))</f>
        <v/>
      </c>
      <c r="G862">
        <f>IF($P862="","",CHOOSE(WEEKDAY(INDEX(상세표[시작],$P862)),"일","월","화","수","목","금","토"))</f>
        <v/>
      </c>
      <c r="H862">
        <f>IF($P862="","",INDEX(상세표[연속 시간],$P862))</f>
        <v/>
      </c>
      <c r="I862">
        <f>IF($P862="","",INDEX(상세표[기록 수],$P862))</f>
        <v/>
      </c>
      <c r="J862">
        <f>IF($P862="","",INDEX(상세표[블록 06~07시],$P862))</f>
        <v/>
      </c>
      <c r="K862">
        <f>IF($P862="","",INDEX(상세표[블록 07~18시],$P862))</f>
        <v/>
      </c>
      <c r="L862">
        <f>IF($P862="","",INDEX(상세표[블록 18~22시],$P862))</f>
        <v/>
      </c>
      <c r="M862">
        <f>IF($P862="","",INDEX(상세표[블록 22~06시],$P862))</f>
        <v/>
      </c>
      <c r="N862">
        <f>IF($P862="","",INDEX(상세표[주말·휴일 포함],$P862)&amp;"")</f>
        <v/>
      </c>
      <c r="O862">
        <f>IF($P862="","",INDEX(상세표[월 넘김 포함],$P862)&amp;"")</f>
        <v/>
      </c>
      <c r="P862" s="4">
        <f>IFERROR(MATCH(857,상세표[연속순번],0),"")</f>
        <v/>
      </c>
    </row>
    <row r="863">
      <c r="A863">
        <f>IF($P863="","",INDEX(상세표[사번],$P863)&amp;"")</f>
        <v/>
      </c>
      <c r="B863">
        <f>IF($P863="","",INDEX(상세표[성명],$P863)&amp;"")</f>
        <v/>
      </c>
      <c r="C863">
        <f>IF($P863="","",INDEX(상세표[부서],$P863)&amp;"")</f>
        <v/>
      </c>
      <c r="D863">
        <f>IF($P863="","",INDEX(상세표[직위],$P863)&amp;"")</f>
        <v/>
      </c>
      <c r="E863">
        <f>IF($P863="","",IF(ISNUMBER(INDEX(상세표[시작],$P863)),TEXT(INDEX(상세표[시작],$P863),"yyyy-mm-dd hh:mm"),INDEX(상세표[시작],$P863)&amp;""))</f>
        <v/>
      </c>
      <c r="F863">
        <f>IF($P863="","",IF(ISNUMBER(INDEX(상세표[블록종료],$P863)),TEXT(INDEX(상세표[블록종료],$P863),"yyyy-mm-dd hh:mm"),INDEX(상세표[블록종료],$P863)&amp;""))</f>
        <v/>
      </c>
      <c r="G863">
        <f>IF($P863="","",CHOOSE(WEEKDAY(INDEX(상세표[시작],$P863)),"일","월","화","수","목","금","토"))</f>
        <v/>
      </c>
      <c r="H863">
        <f>IF($P863="","",INDEX(상세표[연속 시간],$P863))</f>
        <v/>
      </c>
      <c r="I863">
        <f>IF($P863="","",INDEX(상세표[기록 수],$P863))</f>
        <v/>
      </c>
      <c r="J863">
        <f>IF($P863="","",INDEX(상세표[블록 06~07시],$P863))</f>
        <v/>
      </c>
      <c r="K863">
        <f>IF($P863="","",INDEX(상세표[블록 07~18시],$P863))</f>
        <v/>
      </c>
      <c r="L863">
        <f>IF($P863="","",INDEX(상세표[블록 18~22시],$P863))</f>
        <v/>
      </c>
      <c r="M863">
        <f>IF($P863="","",INDEX(상세표[블록 22~06시],$P863))</f>
        <v/>
      </c>
      <c r="N863">
        <f>IF($P863="","",INDEX(상세표[주말·휴일 포함],$P863)&amp;"")</f>
        <v/>
      </c>
      <c r="O863">
        <f>IF($P863="","",INDEX(상세표[월 넘김 포함],$P863)&amp;"")</f>
        <v/>
      </c>
      <c r="P863" s="4">
        <f>IFERROR(MATCH(858,상세표[연속순번],0),"")</f>
        <v/>
      </c>
    </row>
    <row r="864">
      <c r="A864">
        <f>IF($P864="","",INDEX(상세표[사번],$P864)&amp;"")</f>
        <v/>
      </c>
      <c r="B864">
        <f>IF($P864="","",INDEX(상세표[성명],$P864)&amp;"")</f>
        <v/>
      </c>
      <c r="C864">
        <f>IF($P864="","",INDEX(상세표[부서],$P864)&amp;"")</f>
        <v/>
      </c>
      <c r="D864">
        <f>IF($P864="","",INDEX(상세표[직위],$P864)&amp;"")</f>
        <v/>
      </c>
      <c r="E864">
        <f>IF($P864="","",IF(ISNUMBER(INDEX(상세표[시작],$P864)),TEXT(INDEX(상세표[시작],$P864),"yyyy-mm-dd hh:mm"),INDEX(상세표[시작],$P864)&amp;""))</f>
        <v/>
      </c>
      <c r="F864">
        <f>IF($P864="","",IF(ISNUMBER(INDEX(상세표[블록종료],$P864)),TEXT(INDEX(상세표[블록종료],$P864),"yyyy-mm-dd hh:mm"),INDEX(상세표[블록종료],$P864)&amp;""))</f>
        <v/>
      </c>
      <c r="G864">
        <f>IF($P864="","",CHOOSE(WEEKDAY(INDEX(상세표[시작],$P864)),"일","월","화","수","목","금","토"))</f>
        <v/>
      </c>
      <c r="H864">
        <f>IF($P864="","",INDEX(상세표[연속 시간],$P864))</f>
        <v/>
      </c>
      <c r="I864">
        <f>IF($P864="","",INDEX(상세표[기록 수],$P864))</f>
        <v/>
      </c>
      <c r="J864">
        <f>IF($P864="","",INDEX(상세표[블록 06~07시],$P864))</f>
        <v/>
      </c>
      <c r="K864">
        <f>IF($P864="","",INDEX(상세표[블록 07~18시],$P864))</f>
        <v/>
      </c>
      <c r="L864">
        <f>IF($P864="","",INDEX(상세표[블록 18~22시],$P864))</f>
        <v/>
      </c>
      <c r="M864">
        <f>IF($P864="","",INDEX(상세표[블록 22~06시],$P864))</f>
        <v/>
      </c>
      <c r="N864">
        <f>IF($P864="","",INDEX(상세표[주말·휴일 포함],$P864)&amp;"")</f>
        <v/>
      </c>
      <c r="O864">
        <f>IF($P864="","",INDEX(상세표[월 넘김 포함],$P864)&amp;"")</f>
        <v/>
      </c>
      <c r="P864" s="4">
        <f>IFERROR(MATCH(859,상세표[연속순번],0),"")</f>
        <v/>
      </c>
    </row>
    <row r="865">
      <c r="A865">
        <f>IF($P865="","",INDEX(상세표[사번],$P865)&amp;"")</f>
        <v/>
      </c>
      <c r="B865">
        <f>IF($P865="","",INDEX(상세표[성명],$P865)&amp;"")</f>
        <v/>
      </c>
      <c r="C865">
        <f>IF($P865="","",INDEX(상세표[부서],$P865)&amp;"")</f>
        <v/>
      </c>
      <c r="D865">
        <f>IF($P865="","",INDEX(상세표[직위],$P865)&amp;"")</f>
        <v/>
      </c>
      <c r="E865">
        <f>IF($P865="","",IF(ISNUMBER(INDEX(상세표[시작],$P865)),TEXT(INDEX(상세표[시작],$P865),"yyyy-mm-dd hh:mm"),INDEX(상세표[시작],$P865)&amp;""))</f>
        <v/>
      </c>
      <c r="F865">
        <f>IF($P865="","",IF(ISNUMBER(INDEX(상세표[블록종료],$P865)),TEXT(INDEX(상세표[블록종료],$P865),"yyyy-mm-dd hh:mm"),INDEX(상세표[블록종료],$P865)&amp;""))</f>
        <v/>
      </c>
      <c r="G865">
        <f>IF($P865="","",CHOOSE(WEEKDAY(INDEX(상세표[시작],$P865)),"일","월","화","수","목","금","토"))</f>
        <v/>
      </c>
      <c r="H865">
        <f>IF($P865="","",INDEX(상세표[연속 시간],$P865))</f>
        <v/>
      </c>
      <c r="I865">
        <f>IF($P865="","",INDEX(상세표[기록 수],$P865))</f>
        <v/>
      </c>
      <c r="J865">
        <f>IF($P865="","",INDEX(상세표[블록 06~07시],$P865))</f>
        <v/>
      </c>
      <c r="K865">
        <f>IF($P865="","",INDEX(상세표[블록 07~18시],$P865))</f>
        <v/>
      </c>
      <c r="L865">
        <f>IF($P865="","",INDEX(상세표[블록 18~22시],$P865))</f>
        <v/>
      </c>
      <c r="M865">
        <f>IF($P865="","",INDEX(상세표[블록 22~06시],$P865))</f>
        <v/>
      </c>
      <c r="N865">
        <f>IF($P865="","",INDEX(상세표[주말·휴일 포함],$P865)&amp;"")</f>
        <v/>
      </c>
      <c r="O865">
        <f>IF($P865="","",INDEX(상세표[월 넘김 포함],$P865)&amp;"")</f>
        <v/>
      </c>
      <c r="P865" s="4">
        <f>IFERROR(MATCH(860,상세표[연속순번],0),"")</f>
        <v/>
      </c>
    </row>
    <row r="866">
      <c r="A866">
        <f>IF($P866="","",INDEX(상세표[사번],$P866)&amp;"")</f>
        <v/>
      </c>
      <c r="B866">
        <f>IF($P866="","",INDEX(상세표[성명],$P866)&amp;"")</f>
        <v/>
      </c>
      <c r="C866">
        <f>IF($P866="","",INDEX(상세표[부서],$P866)&amp;"")</f>
        <v/>
      </c>
      <c r="D866">
        <f>IF($P866="","",INDEX(상세표[직위],$P866)&amp;"")</f>
        <v/>
      </c>
      <c r="E866">
        <f>IF($P866="","",IF(ISNUMBER(INDEX(상세표[시작],$P866)),TEXT(INDEX(상세표[시작],$P866),"yyyy-mm-dd hh:mm"),INDEX(상세표[시작],$P866)&amp;""))</f>
        <v/>
      </c>
      <c r="F866">
        <f>IF($P866="","",IF(ISNUMBER(INDEX(상세표[블록종료],$P866)),TEXT(INDEX(상세표[블록종료],$P866),"yyyy-mm-dd hh:mm"),INDEX(상세표[블록종료],$P866)&amp;""))</f>
        <v/>
      </c>
      <c r="G866">
        <f>IF($P866="","",CHOOSE(WEEKDAY(INDEX(상세표[시작],$P866)),"일","월","화","수","목","금","토"))</f>
        <v/>
      </c>
      <c r="H866">
        <f>IF($P866="","",INDEX(상세표[연속 시간],$P866))</f>
        <v/>
      </c>
      <c r="I866">
        <f>IF($P866="","",INDEX(상세표[기록 수],$P866))</f>
        <v/>
      </c>
      <c r="J866">
        <f>IF($P866="","",INDEX(상세표[블록 06~07시],$P866))</f>
        <v/>
      </c>
      <c r="K866">
        <f>IF($P866="","",INDEX(상세표[블록 07~18시],$P866))</f>
        <v/>
      </c>
      <c r="L866">
        <f>IF($P866="","",INDEX(상세표[블록 18~22시],$P866))</f>
        <v/>
      </c>
      <c r="M866">
        <f>IF($P866="","",INDEX(상세표[블록 22~06시],$P866))</f>
        <v/>
      </c>
      <c r="N866">
        <f>IF($P866="","",INDEX(상세표[주말·휴일 포함],$P866)&amp;"")</f>
        <v/>
      </c>
      <c r="O866">
        <f>IF($P866="","",INDEX(상세표[월 넘김 포함],$P866)&amp;"")</f>
        <v/>
      </c>
      <c r="P866" s="4">
        <f>IFERROR(MATCH(861,상세표[연속순번],0),"")</f>
        <v/>
      </c>
    </row>
    <row r="867">
      <c r="A867">
        <f>IF($P867="","",INDEX(상세표[사번],$P867)&amp;"")</f>
        <v/>
      </c>
      <c r="B867">
        <f>IF($P867="","",INDEX(상세표[성명],$P867)&amp;"")</f>
        <v/>
      </c>
      <c r="C867">
        <f>IF($P867="","",INDEX(상세표[부서],$P867)&amp;"")</f>
        <v/>
      </c>
      <c r="D867">
        <f>IF($P867="","",INDEX(상세표[직위],$P867)&amp;"")</f>
        <v/>
      </c>
      <c r="E867">
        <f>IF($P867="","",IF(ISNUMBER(INDEX(상세표[시작],$P867)),TEXT(INDEX(상세표[시작],$P867),"yyyy-mm-dd hh:mm"),INDEX(상세표[시작],$P867)&amp;""))</f>
        <v/>
      </c>
      <c r="F867">
        <f>IF($P867="","",IF(ISNUMBER(INDEX(상세표[블록종료],$P867)),TEXT(INDEX(상세표[블록종료],$P867),"yyyy-mm-dd hh:mm"),INDEX(상세표[블록종료],$P867)&amp;""))</f>
        <v/>
      </c>
      <c r="G867">
        <f>IF($P867="","",CHOOSE(WEEKDAY(INDEX(상세표[시작],$P867)),"일","월","화","수","목","금","토"))</f>
        <v/>
      </c>
      <c r="H867">
        <f>IF($P867="","",INDEX(상세표[연속 시간],$P867))</f>
        <v/>
      </c>
      <c r="I867">
        <f>IF($P867="","",INDEX(상세표[기록 수],$P867))</f>
        <v/>
      </c>
      <c r="J867">
        <f>IF($P867="","",INDEX(상세표[블록 06~07시],$P867))</f>
        <v/>
      </c>
      <c r="K867">
        <f>IF($P867="","",INDEX(상세표[블록 07~18시],$P867))</f>
        <v/>
      </c>
      <c r="L867">
        <f>IF($P867="","",INDEX(상세표[블록 18~22시],$P867))</f>
        <v/>
      </c>
      <c r="M867">
        <f>IF($P867="","",INDEX(상세표[블록 22~06시],$P867))</f>
        <v/>
      </c>
      <c r="N867">
        <f>IF($P867="","",INDEX(상세표[주말·휴일 포함],$P867)&amp;"")</f>
        <v/>
      </c>
      <c r="O867">
        <f>IF($P867="","",INDEX(상세표[월 넘김 포함],$P867)&amp;"")</f>
        <v/>
      </c>
      <c r="P867" s="4">
        <f>IFERROR(MATCH(862,상세표[연속순번],0),"")</f>
        <v/>
      </c>
    </row>
    <row r="868">
      <c r="A868">
        <f>IF($P868="","",INDEX(상세표[사번],$P868)&amp;"")</f>
        <v/>
      </c>
      <c r="B868">
        <f>IF($P868="","",INDEX(상세표[성명],$P868)&amp;"")</f>
        <v/>
      </c>
      <c r="C868">
        <f>IF($P868="","",INDEX(상세표[부서],$P868)&amp;"")</f>
        <v/>
      </c>
      <c r="D868">
        <f>IF($P868="","",INDEX(상세표[직위],$P868)&amp;"")</f>
        <v/>
      </c>
      <c r="E868">
        <f>IF($P868="","",IF(ISNUMBER(INDEX(상세표[시작],$P868)),TEXT(INDEX(상세표[시작],$P868),"yyyy-mm-dd hh:mm"),INDEX(상세표[시작],$P868)&amp;""))</f>
        <v/>
      </c>
      <c r="F868">
        <f>IF($P868="","",IF(ISNUMBER(INDEX(상세표[블록종료],$P868)),TEXT(INDEX(상세표[블록종료],$P868),"yyyy-mm-dd hh:mm"),INDEX(상세표[블록종료],$P868)&amp;""))</f>
        <v/>
      </c>
      <c r="G868">
        <f>IF($P868="","",CHOOSE(WEEKDAY(INDEX(상세표[시작],$P868)),"일","월","화","수","목","금","토"))</f>
        <v/>
      </c>
      <c r="H868">
        <f>IF($P868="","",INDEX(상세표[연속 시간],$P868))</f>
        <v/>
      </c>
      <c r="I868">
        <f>IF($P868="","",INDEX(상세표[기록 수],$P868))</f>
        <v/>
      </c>
      <c r="J868">
        <f>IF($P868="","",INDEX(상세표[블록 06~07시],$P868))</f>
        <v/>
      </c>
      <c r="K868">
        <f>IF($P868="","",INDEX(상세표[블록 07~18시],$P868))</f>
        <v/>
      </c>
      <c r="L868">
        <f>IF($P868="","",INDEX(상세표[블록 18~22시],$P868))</f>
        <v/>
      </c>
      <c r="M868">
        <f>IF($P868="","",INDEX(상세표[블록 22~06시],$P868))</f>
        <v/>
      </c>
      <c r="N868">
        <f>IF($P868="","",INDEX(상세표[주말·휴일 포함],$P868)&amp;"")</f>
        <v/>
      </c>
      <c r="O868">
        <f>IF($P868="","",INDEX(상세표[월 넘김 포함],$P868)&amp;"")</f>
        <v/>
      </c>
      <c r="P868" s="4">
        <f>IFERROR(MATCH(863,상세표[연속순번],0),"")</f>
        <v/>
      </c>
    </row>
    <row r="869">
      <c r="A869">
        <f>IF($P869="","",INDEX(상세표[사번],$P869)&amp;"")</f>
        <v/>
      </c>
      <c r="B869">
        <f>IF($P869="","",INDEX(상세표[성명],$P869)&amp;"")</f>
        <v/>
      </c>
      <c r="C869">
        <f>IF($P869="","",INDEX(상세표[부서],$P869)&amp;"")</f>
        <v/>
      </c>
      <c r="D869">
        <f>IF($P869="","",INDEX(상세표[직위],$P869)&amp;"")</f>
        <v/>
      </c>
      <c r="E869">
        <f>IF($P869="","",IF(ISNUMBER(INDEX(상세표[시작],$P869)),TEXT(INDEX(상세표[시작],$P869),"yyyy-mm-dd hh:mm"),INDEX(상세표[시작],$P869)&amp;""))</f>
        <v/>
      </c>
      <c r="F869">
        <f>IF($P869="","",IF(ISNUMBER(INDEX(상세표[블록종료],$P869)),TEXT(INDEX(상세표[블록종료],$P869),"yyyy-mm-dd hh:mm"),INDEX(상세표[블록종료],$P869)&amp;""))</f>
        <v/>
      </c>
      <c r="G869">
        <f>IF($P869="","",CHOOSE(WEEKDAY(INDEX(상세표[시작],$P869)),"일","월","화","수","목","금","토"))</f>
        <v/>
      </c>
      <c r="H869">
        <f>IF($P869="","",INDEX(상세표[연속 시간],$P869))</f>
        <v/>
      </c>
      <c r="I869">
        <f>IF($P869="","",INDEX(상세표[기록 수],$P869))</f>
        <v/>
      </c>
      <c r="J869">
        <f>IF($P869="","",INDEX(상세표[블록 06~07시],$P869))</f>
        <v/>
      </c>
      <c r="K869">
        <f>IF($P869="","",INDEX(상세표[블록 07~18시],$P869))</f>
        <v/>
      </c>
      <c r="L869">
        <f>IF($P869="","",INDEX(상세표[블록 18~22시],$P869))</f>
        <v/>
      </c>
      <c r="M869">
        <f>IF($P869="","",INDEX(상세표[블록 22~06시],$P869))</f>
        <v/>
      </c>
      <c r="N869">
        <f>IF($P869="","",INDEX(상세표[주말·휴일 포함],$P869)&amp;"")</f>
        <v/>
      </c>
      <c r="O869">
        <f>IF($P869="","",INDEX(상세표[월 넘김 포함],$P869)&amp;"")</f>
        <v/>
      </c>
      <c r="P869" s="4">
        <f>IFERROR(MATCH(864,상세표[연속순번],0),"")</f>
        <v/>
      </c>
    </row>
    <row r="870">
      <c r="A870">
        <f>IF($P870="","",INDEX(상세표[사번],$P870)&amp;"")</f>
        <v/>
      </c>
      <c r="B870">
        <f>IF($P870="","",INDEX(상세표[성명],$P870)&amp;"")</f>
        <v/>
      </c>
      <c r="C870">
        <f>IF($P870="","",INDEX(상세표[부서],$P870)&amp;"")</f>
        <v/>
      </c>
      <c r="D870">
        <f>IF($P870="","",INDEX(상세표[직위],$P870)&amp;"")</f>
        <v/>
      </c>
      <c r="E870">
        <f>IF($P870="","",IF(ISNUMBER(INDEX(상세표[시작],$P870)),TEXT(INDEX(상세표[시작],$P870),"yyyy-mm-dd hh:mm"),INDEX(상세표[시작],$P870)&amp;""))</f>
        <v/>
      </c>
      <c r="F870">
        <f>IF($P870="","",IF(ISNUMBER(INDEX(상세표[블록종료],$P870)),TEXT(INDEX(상세표[블록종료],$P870),"yyyy-mm-dd hh:mm"),INDEX(상세표[블록종료],$P870)&amp;""))</f>
        <v/>
      </c>
      <c r="G870">
        <f>IF($P870="","",CHOOSE(WEEKDAY(INDEX(상세표[시작],$P870)),"일","월","화","수","목","금","토"))</f>
        <v/>
      </c>
      <c r="H870">
        <f>IF($P870="","",INDEX(상세표[연속 시간],$P870))</f>
        <v/>
      </c>
      <c r="I870">
        <f>IF($P870="","",INDEX(상세표[기록 수],$P870))</f>
        <v/>
      </c>
      <c r="J870">
        <f>IF($P870="","",INDEX(상세표[블록 06~07시],$P870))</f>
        <v/>
      </c>
      <c r="K870">
        <f>IF($P870="","",INDEX(상세표[블록 07~18시],$P870))</f>
        <v/>
      </c>
      <c r="L870">
        <f>IF($P870="","",INDEX(상세표[블록 18~22시],$P870))</f>
        <v/>
      </c>
      <c r="M870">
        <f>IF($P870="","",INDEX(상세표[블록 22~06시],$P870))</f>
        <v/>
      </c>
      <c r="N870">
        <f>IF($P870="","",INDEX(상세표[주말·휴일 포함],$P870)&amp;"")</f>
        <v/>
      </c>
      <c r="O870">
        <f>IF($P870="","",INDEX(상세표[월 넘김 포함],$P870)&amp;"")</f>
        <v/>
      </c>
      <c r="P870" s="4">
        <f>IFERROR(MATCH(865,상세표[연속순번],0),"")</f>
        <v/>
      </c>
    </row>
    <row r="871">
      <c r="A871">
        <f>IF($P871="","",INDEX(상세표[사번],$P871)&amp;"")</f>
        <v/>
      </c>
      <c r="B871">
        <f>IF($P871="","",INDEX(상세표[성명],$P871)&amp;"")</f>
        <v/>
      </c>
      <c r="C871">
        <f>IF($P871="","",INDEX(상세표[부서],$P871)&amp;"")</f>
        <v/>
      </c>
      <c r="D871">
        <f>IF($P871="","",INDEX(상세표[직위],$P871)&amp;"")</f>
        <v/>
      </c>
      <c r="E871">
        <f>IF($P871="","",IF(ISNUMBER(INDEX(상세표[시작],$P871)),TEXT(INDEX(상세표[시작],$P871),"yyyy-mm-dd hh:mm"),INDEX(상세표[시작],$P871)&amp;""))</f>
        <v/>
      </c>
      <c r="F871">
        <f>IF($P871="","",IF(ISNUMBER(INDEX(상세표[블록종료],$P871)),TEXT(INDEX(상세표[블록종료],$P871),"yyyy-mm-dd hh:mm"),INDEX(상세표[블록종료],$P871)&amp;""))</f>
        <v/>
      </c>
      <c r="G871">
        <f>IF($P871="","",CHOOSE(WEEKDAY(INDEX(상세표[시작],$P871)),"일","월","화","수","목","금","토"))</f>
        <v/>
      </c>
      <c r="H871">
        <f>IF($P871="","",INDEX(상세표[연속 시간],$P871))</f>
        <v/>
      </c>
      <c r="I871">
        <f>IF($P871="","",INDEX(상세표[기록 수],$P871))</f>
        <v/>
      </c>
      <c r="J871">
        <f>IF($P871="","",INDEX(상세표[블록 06~07시],$P871))</f>
        <v/>
      </c>
      <c r="K871">
        <f>IF($P871="","",INDEX(상세표[블록 07~18시],$P871))</f>
        <v/>
      </c>
      <c r="L871">
        <f>IF($P871="","",INDEX(상세표[블록 18~22시],$P871))</f>
        <v/>
      </c>
      <c r="M871">
        <f>IF($P871="","",INDEX(상세표[블록 22~06시],$P871))</f>
        <v/>
      </c>
      <c r="N871">
        <f>IF($P871="","",INDEX(상세표[주말·휴일 포함],$P871)&amp;"")</f>
        <v/>
      </c>
      <c r="O871">
        <f>IF($P871="","",INDEX(상세표[월 넘김 포함],$P871)&amp;"")</f>
        <v/>
      </c>
      <c r="P871" s="4">
        <f>IFERROR(MATCH(866,상세표[연속순번],0),"")</f>
        <v/>
      </c>
    </row>
    <row r="872">
      <c r="A872">
        <f>IF($P872="","",INDEX(상세표[사번],$P872)&amp;"")</f>
        <v/>
      </c>
      <c r="B872">
        <f>IF($P872="","",INDEX(상세표[성명],$P872)&amp;"")</f>
        <v/>
      </c>
      <c r="C872">
        <f>IF($P872="","",INDEX(상세표[부서],$P872)&amp;"")</f>
        <v/>
      </c>
      <c r="D872">
        <f>IF($P872="","",INDEX(상세표[직위],$P872)&amp;"")</f>
        <v/>
      </c>
      <c r="E872">
        <f>IF($P872="","",IF(ISNUMBER(INDEX(상세표[시작],$P872)),TEXT(INDEX(상세표[시작],$P872),"yyyy-mm-dd hh:mm"),INDEX(상세표[시작],$P872)&amp;""))</f>
        <v/>
      </c>
      <c r="F872">
        <f>IF($P872="","",IF(ISNUMBER(INDEX(상세표[블록종료],$P872)),TEXT(INDEX(상세표[블록종료],$P872),"yyyy-mm-dd hh:mm"),INDEX(상세표[블록종료],$P872)&amp;""))</f>
        <v/>
      </c>
      <c r="G872">
        <f>IF($P872="","",CHOOSE(WEEKDAY(INDEX(상세표[시작],$P872)),"일","월","화","수","목","금","토"))</f>
        <v/>
      </c>
      <c r="H872">
        <f>IF($P872="","",INDEX(상세표[연속 시간],$P872))</f>
        <v/>
      </c>
      <c r="I872">
        <f>IF($P872="","",INDEX(상세표[기록 수],$P872))</f>
        <v/>
      </c>
      <c r="J872">
        <f>IF($P872="","",INDEX(상세표[블록 06~07시],$P872))</f>
        <v/>
      </c>
      <c r="K872">
        <f>IF($P872="","",INDEX(상세표[블록 07~18시],$P872))</f>
        <v/>
      </c>
      <c r="L872">
        <f>IF($P872="","",INDEX(상세표[블록 18~22시],$P872))</f>
        <v/>
      </c>
      <c r="M872">
        <f>IF($P872="","",INDEX(상세표[블록 22~06시],$P872))</f>
        <v/>
      </c>
      <c r="N872">
        <f>IF($P872="","",INDEX(상세표[주말·휴일 포함],$P872)&amp;"")</f>
        <v/>
      </c>
      <c r="O872">
        <f>IF($P872="","",INDEX(상세표[월 넘김 포함],$P872)&amp;"")</f>
        <v/>
      </c>
      <c r="P872" s="4">
        <f>IFERROR(MATCH(867,상세표[연속순번],0),"")</f>
        <v/>
      </c>
    </row>
    <row r="873">
      <c r="A873">
        <f>IF($P873="","",INDEX(상세표[사번],$P873)&amp;"")</f>
        <v/>
      </c>
      <c r="B873">
        <f>IF($P873="","",INDEX(상세표[성명],$P873)&amp;"")</f>
        <v/>
      </c>
      <c r="C873">
        <f>IF($P873="","",INDEX(상세표[부서],$P873)&amp;"")</f>
        <v/>
      </c>
      <c r="D873">
        <f>IF($P873="","",INDEX(상세표[직위],$P873)&amp;"")</f>
        <v/>
      </c>
      <c r="E873">
        <f>IF($P873="","",IF(ISNUMBER(INDEX(상세표[시작],$P873)),TEXT(INDEX(상세표[시작],$P873),"yyyy-mm-dd hh:mm"),INDEX(상세표[시작],$P873)&amp;""))</f>
        <v/>
      </c>
      <c r="F873">
        <f>IF($P873="","",IF(ISNUMBER(INDEX(상세표[블록종료],$P873)),TEXT(INDEX(상세표[블록종료],$P873),"yyyy-mm-dd hh:mm"),INDEX(상세표[블록종료],$P873)&amp;""))</f>
        <v/>
      </c>
      <c r="G873">
        <f>IF($P873="","",CHOOSE(WEEKDAY(INDEX(상세표[시작],$P873)),"일","월","화","수","목","금","토"))</f>
        <v/>
      </c>
      <c r="H873">
        <f>IF($P873="","",INDEX(상세표[연속 시간],$P873))</f>
        <v/>
      </c>
      <c r="I873">
        <f>IF($P873="","",INDEX(상세표[기록 수],$P873))</f>
        <v/>
      </c>
      <c r="J873">
        <f>IF($P873="","",INDEX(상세표[블록 06~07시],$P873))</f>
        <v/>
      </c>
      <c r="K873">
        <f>IF($P873="","",INDEX(상세표[블록 07~18시],$P873))</f>
        <v/>
      </c>
      <c r="L873">
        <f>IF($P873="","",INDEX(상세표[블록 18~22시],$P873))</f>
        <v/>
      </c>
      <c r="M873">
        <f>IF($P873="","",INDEX(상세표[블록 22~06시],$P873))</f>
        <v/>
      </c>
      <c r="N873">
        <f>IF($P873="","",INDEX(상세표[주말·휴일 포함],$P873)&amp;"")</f>
        <v/>
      </c>
      <c r="O873">
        <f>IF($P873="","",INDEX(상세표[월 넘김 포함],$P873)&amp;"")</f>
        <v/>
      </c>
      <c r="P873" s="4">
        <f>IFERROR(MATCH(868,상세표[연속순번],0),"")</f>
        <v/>
      </c>
    </row>
    <row r="874">
      <c r="A874">
        <f>IF($P874="","",INDEX(상세표[사번],$P874)&amp;"")</f>
        <v/>
      </c>
      <c r="B874">
        <f>IF($P874="","",INDEX(상세표[성명],$P874)&amp;"")</f>
        <v/>
      </c>
      <c r="C874">
        <f>IF($P874="","",INDEX(상세표[부서],$P874)&amp;"")</f>
        <v/>
      </c>
      <c r="D874">
        <f>IF($P874="","",INDEX(상세표[직위],$P874)&amp;"")</f>
        <v/>
      </c>
      <c r="E874">
        <f>IF($P874="","",IF(ISNUMBER(INDEX(상세표[시작],$P874)),TEXT(INDEX(상세표[시작],$P874),"yyyy-mm-dd hh:mm"),INDEX(상세표[시작],$P874)&amp;""))</f>
        <v/>
      </c>
      <c r="F874">
        <f>IF($P874="","",IF(ISNUMBER(INDEX(상세표[블록종료],$P874)),TEXT(INDEX(상세표[블록종료],$P874),"yyyy-mm-dd hh:mm"),INDEX(상세표[블록종료],$P874)&amp;""))</f>
        <v/>
      </c>
      <c r="G874">
        <f>IF($P874="","",CHOOSE(WEEKDAY(INDEX(상세표[시작],$P874)),"일","월","화","수","목","금","토"))</f>
        <v/>
      </c>
      <c r="H874">
        <f>IF($P874="","",INDEX(상세표[연속 시간],$P874))</f>
        <v/>
      </c>
      <c r="I874">
        <f>IF($P874="","",INDEX(상세표[기록 수],$P874))</f>
        <v/>
      </c>
      <c r="J874">
        <f>IF($P874="","",INDEX(상세표[블록 06~07시],$P874))</f>
        <v/>
      </c>
      <c r="K874">
        <f>IF($P874="","",INDEX(상세표[블록 07~18시],$P874))</f>
        <v/>
      </c>
      <c r="L874">
        <f>IF($P874="","",INDEX(상세표[블록 18~22시],$P874))</f>
        <v/>
      </c>
      <c r="M874">
        <f>IF($P874="","",INDEX(상세표[블록 22~06시],$P874))</f>
        <v/>
      </c>
      <c r="N874">
        <f>IF($P874="","",INDEX(상세표[주말·휴일 포함],$P874)&amp;"")</f>
        <v/>
      </c>
      <c r="O874">
        <f>IF($P874="","",INDEX(상세표[월 넘김 포함],$P874)&amp;"")</f>
        <v/>
      </c>
      <c r="P874" s="4">
        <f>IFERROR(MATCH(869,상세표[연속순번],0),"")</f>
        <v/>
      </c>
    </row>
    <row r="875">
      <c r="A875">
        <f>IF($P875="","",INDEX(상세표[사번],$P875)&amp;"")</f>
        <v/>
      </c>
      <c r="B875">
        <f>IF($P875="","",INDEX(상세표[성명],$P875)&amp;"")</f>
        <v/>
      </c>
      <c r="C875">
        <f>IF($P875="","",INDEX(상세표[부서],$P875)&amp;"")</f>
        <v/>
      </c>
      <c r="D875">
        <f>IF($P875="","",INDEX(상세표[직위],$P875)&amp;"")</f>
        <v/>
      </c>
      <c r="E875">
        <f>IF($P875="","",IF(ISNUMBER(INDEX(상세표[시작],$P875)),TEXT(INDEX(상세표[시작],$P875),"yyyy-mm-dd hh:mm"),INDEX(상세표[시작],$P875)&amp;""))</f>
        <v/>
      </c>
      <c r="F875">
        <f>IF($P875="","",IF(ISNUMBER(INDEX(상세표[블록종료],$P875)),TEXT(INDEX(상세표[블록종료],$P875),"yyyy-mm-dd hh:mm"),INDEX(상세표[블록종료],$P875)&amp;""))</f>
        <v/>
      </c>
      <c r="G875">
        <f>IF($P875="","",CHOOSE(WEEKDAY(INDEX(상세표[시작],$P875)),"일","월","화","수","목","금","토"))</f>
        <v/>
      </c>
      <c r="H875">
        <f>IF($P875="","",INDEX(상세표[연속 시간],$P875))</f>
        <v/>
      </c>
      <c r="I875">
        <f>IF($P875="","",INDEX(상세표[기록 수],$P875))</f>
        <v/>
      </c>
      <c r="J875">
        <f>IF($P875="","",INDEX(상세표[블록 06~07시],$P875))</f>
        <v/>
      </c>
      <c r="K875">
        <f>IF($P875="","",INDEX(상세표[블록 07~18시],$P875))</f>
        <v/>
      </c>
      <c r="L875">
        <f>IF($P875="","",INDEX(상세표[블록 18~22시],$P875))</f>
        <v/>
      </c>
      <c r="M875">
        <f>IF($P875="","",INDEX(상세표[블록 22~06시],$P875))</f>
        <v/>
      </c>
      <c r="N875">
        <f>IF($P875="","",INDEX(상세표[주말·휴일 포함],$P875)&amp;"")</f>
        <v/>
      </c>
      <c r="O875">
        <f>IF($P875="","",INDEX(상세표[월 넘김 포함],$P875)&amp;"")</f>
        <v/>
      </c>
      <c r="P875" s="4">
        <f>IFERROR(MATCH(870,상세표[연속순번],0),"")</f>
        <v/>
      </c>
    </row>
    <row r="876">
      <c r="A876">
        <f>IF($P876="","",INDEX(상세표[사번],$P876)&amp;"")</f>
        <v/>
      </c>
      <c r="B876">
        <f>IF($P876="","",INDEX(상세표[성명],$P876)&amp;"")</f>
        <v/>
      </c>
      <c r="C876">
        <f>IF($P876="","",INDEX(상세표[부서],$P876)&amp;"")</f>
        <v/>
      </c>
      <c r="D876">
        <f>IF($P876="","",INDEX(상세표[직위],$P876)&amp;"")</f>
        <v/>
      </c>
      <c r="E876">
        <f>IF($P876="","",IF(ISNUMBER(INDEX(상세표[시작],$P876)),TEXT(INDEX(상세표[시작],$P876),"yyyy-mm-dd hh:mm"),INDEX(상세표[시작],$P876)&amp;""))</f>
        <v/>
      </c>
      <c r="F876">
        <f>IF($P876="","",IF(ISNUMBER(INDEX(상세표[블록종료],$P876)),TEXT(INDEX(상세표[블록종료],$P876),"yyyy-mm-dd hh:mm"),INDEX(상세표[블록종료],$P876)&amp;""))</f>
        <v/>
      </c>
      <c r="G876">
        <f>IF($P876="","",CHOOSE(WEEKDAY(INDEX(상세표[시작],$P876)),"일","월","화","수","목","금","토"))</f>
        <v/>
      </c>
      <c r="H876">
        <f>IF($P876="","",INDEX(상세표[연속 시간],$P876))</f>
        <v/>
      </c>
      <c r="I876">
        <f>IF($P876="","",INDEX(상세표[기록 수],$P876))</f>
        <v/>
      </c>
      <c r="J876">
        <f>IF($P876="","",INDEX(상세표[블록 06~07시],$P876))</f>
        <v/>
      </c>
      <c r="K876">
        <f>IF($P876="","",INDEX(상세표[블록 07~18시],$P876))</f>
        <v/>
      </c>
      <c r="L876">
        <f>IF($P876="","",INDEX(상세표[블록 18~22시],$P876))</f>
        <v/>
      </c>
      <c r="M876">
        <f>IF($P876="","",INDEX(상세표[블록 22~06시],$P876))</f>
        <v/>
      </c>
      <c r="N876">
        <f>IF($P876="","",INDEX(상세표[주말·휴일 포함],$P876)&amp;"")</f>
        <v/>
      </c>
      <c r="O876">
        <f>IF($P876="","",INDEX(상세표[월 넘김 포함],$P876)&amp;"")</f>
        <v/>
      </c>
      <c r="P876" s="4">
        <f>IFERROR(MATCH(871,상세표[연속순번],0),"")</f>
        <v/>
      </c>
    </row>
    <row r="877">
      <c r="A877">
        <f>IF($P877="","",INDEX(상세표[사번],$P877)&amp;"")</f>
        <v/>
      </c>
      <c r="B877">
        <f>IF($P877="","",INDEX(상세표[성명],$P877)&amp;"")</f>
        <v/>
      </c>
      <c r="C877">
        <f>IF($P877="","",INDEX(상세표[부서],$P877)&amp;"")</f>
        <v/>
      </c>
      <c r="D877">
        <f>IF($P877="","",INDEX(상세표[직위],$P877)&amp;"")</f>
        <v/>
      </c>
      <c r="E877">
        <f>IF($P877="","",IF(ISNUMBER(INDEX(상세표[시작],$P877)),TEXT(INDEX(상세표[시작],$P877),"yyyy-mm-dd hh:mm"),INDEX(상세표[시작],$P877)&amp;""))</f>
        <v/>
      </c>
      <c r="F877">
        <f>IF($P877="","",IF(ISNUMBER(INDEX(상세표[블록종료],$P877)),TEXT(INDEX(상세표[블록종료],$P877),"yyyy-mm-dd hh:mm"),INDEX(상세표[블록종료],$P877)&amp;""))</f>
        <v/>
      </c>
      <c r="G877">
        <f>IF($P877="","",CHOOSE(WEEKDAY(INDEX(상세표[시작],$P877)),"일","월","화","수","목","금","토"))</f>
        <v/>
      </c>
      <c r="H877">
        <f>IF($P877="","",INDEX(상세표[연속 시간],$P877))</f>
        <v/>
      </c>
      <c r="I877">
        <f>IF($P877="","",INDEX(상세표[기록 수],$P877))</f>
        <v/>
      </c>
      <c r="J877">
        <f>IF($P877="","",INDEX(상세표[블록 06~07시],$P877))</f>
        <v/>
      </c>
      <c r="K877">
        <f>IF($P877="","",INDEX(상세표[블록 07~18시],$P877))</f>
        <v/>
      </c>
      <c r="L877">
        <f>IF($P877="","",INDEX(상세표[블록 18~22시],$P877))</f>
        <v/>
      </c>
      <c r="M877">
        <f>IF($P877="","",INDEX(상세표[블록 22~06시],$P877))</f>
        <v/>
      </c>
      <c r="N877">
        <f>IF($P877="","",INDEX(상세표[주말·휴일 포함],$P877)&amp;"")</f>
        <v/>
      </c>
      <c r="O877">
        <f>IF($P877="","",INDEX(상세표[월 넘김 포함],$P877)&amp;"")</f>
        <v/>
      </c>
      <c r="P877" s="4">
        <f>IFERROR(MATCH(872,상세표[연속순번],0),"")</f>
        <v/>
      </c>
    </row>
    <row r="878">
      <c r="A878">
        <f>IF($P878="","",INDEX(상세표[사번],$P878)&amp;"")</f>
        <v/>
      </c>
      <c r="B878">
        <f>IF($P878="","",INDEX(상세표[성명],$P878)&amp;"")</f>
        <v/>
      </c>
      <c r="C878">
        <f>IF($P878="","",INDEX(상세표[부서],$P878)&amp;"")</f>
        <v/>
      </c>
      <c r="D878">
        <f>IF($P878="","",INDEX(상세표[직위],$P878)&amp;"")</f>
        <v/>
      </c>
      <c r="E878">
        <f>IF($P878="","",IF(ISNUMBER(INDEX(상세표[시작],$P878)),TEXT(INDEX(상세표[시작],$P878),"yyyy-mm-dd hh:mm"),INDEX(상세표[시작],$P878)&amp;""))</f>
        <v/>
      </c>
      <c r="F878">
        <f>IF($P878="","",IF(ISNUMBER(INDEX(상세표[블록종료],$P878)),TEXT(INDEX(상세표[블록종료],$P878),"yyyy-mm-dd hh:mm"),INDEX(상세표[블록종료],$P878)&amp;""))</f>
        <v/>
      </c>
      <c r="G878">
        <f>IF($P878="","",CHOOSE(WEEKDAY(INDEX(상세표[시작],$P878)),"일","월","화","수","목","금","토"))</f>
        <v/>
      </c>
      <c r="H878">
        <f>IF($P878="","",INDEX(상세표[연속 시간],$P878))</f>
        <v/>
      </c>
      <c r="I878">
        <f>IF($P878="","",INDEX(상세표[기록 수],$P878))</f>
        <v/>
      </c>
      <c r="J878">
        <f>IF($P878="","",INDEX(상세표[블록 06~07시],$P878))</f>
        <v/>
      </c>
      <c r="K878">
        <f>IF($P878="","",INDEX(상세표[블록 07~18시],$P878))</f>
        <v/>
      </c>
      <c r="L878">
        <f>IF($P878="","",INDEX(상세표[블록 18~22시],$P878))</f>
        <v/>
      </c>
      <c r="M878">
        <f>IF($P878="","",INDEX(상세표[블록 22~06시],$P878))</f>
        <v/>
      </c>
      <c r="N878">
        <f>IF($P878="","",INDEX(상세표[주말·휴일 포함],$P878)&amp;"")</f>
        <v/>
      </c>
      <c r="O878">
        <f>IF($P878="","",INDEX(상세표[월 넘김 포함],$P878)&amp;"")</f>
        <v/>
      </c>
      <c r="P878" s="4">
        <f>IFERROR(MATCH(873,상세표[연속순번],0),"")</f>
        <v/>
      </c>
    </row>
    <row r="879">
      <c r="A879">
        <f>IF($P879="","",INDEX(상세표[사번],$P879)&amp;"")</f>
        <v/>
      </c>
      <c r="B879">
        <f>IF($P879="","",INDEX(상세표[성명],$P879)&amp;"")</f>
        <v/>
      </c>
      <c r="C879">
        <f>IF($P879="","",INDEX(상세표[부서],$P879)&amp;"")</f>
        <v/>
      </c>
      <c r="D879">
        <f>IF($P879="","",INDEX(상세표[직위],$P879)&amp;"")</f>
        <v/>
      </c>
      <c r="E879">
        <f>IF($P879="","",IF(ISNUMBER(INDEX(상세표[시작],$P879)),TEXT(INDEX(상세표[시작],$P879),"yyyy-mm-dd hh:mm"),INDEX(상세표[시작],$P879)&amp;""))</f>
        <v/>
      </c>
      <c r="F879">
        <f>IF($P879="","",IF(ISNUMBER(INDEX(상세표[블록종료],$P879)),TEXT(INDEX(상세표[블록종료],$P879),"yyyy-mm-dd hh:mm"),INDEX(상세표[블록종료],$P879)&amp;""))</f>
        <v/>
      </c>
      <c r="G879">
        <f>IF($P879="","",CHOOSE(WEEKDAY(INDEX(상세표[시작],$P879)),"일","월","화","수","목","금","토"))</f>
        <v/>
      </c>
      <c r="H879">
        <f>IF($P879="","",INDEX(상세표[연속 시간],$P879))</f>
        <v/>
      </c>
      <c r="I879">
        <f>IF($P879="","",INDEX(상세표[기록 수],$P879))</f>
        <v/>
      </c>
      <c r="J879">
        <f>IF($P879="","",INDEX(상세표[블록 06~07시],$P879))</f>
        <v/>
      </c>
      <c r="K879">
        <f>IF($P879="","",INDEX(상세표[블록 07~18시],$P879))</f>
        <v/>
      </c>
      <c r="L879">
        <f>IF($P879="","",INDEX(상세표[블록 18~22시],$P879))</f>
        <v/>
      </c>
      <c r="M879">
        <f>IF($P879="","",INDEX(상세표[블록 22~06시],$P879))</f>
        <v/>
      </c>
      <c r="N879">
        <f>IF($P879="","",INDEX(상세표[주말·휴일 포함],$P879)&amp;"")</f>
        <v/>
      </c>
      <c r="O879">
        <f>IF($P879="","",INDEX(상세표[월 넘김 포함],$P879)&amp;"")</f>
        <v/>
      </c>
      <c r="P879" s="4">
        <f>IFERROR(MATCH(874,상세표[연속순번],0),"")</f>
        <v/>
      </c>
    </row>
    <row r="880">
      <c r="A880">
        <f>IF($P880="","",INDEX(상세표[사번],$P880)&amp;"")</f>
        <v/>
      </c>
      <c r="B880">
        <f>IF($P880="","",INDEX(상세표[성명],$P880)&amp;"")</f>
        <v/>
      </c>
      <c r="C880">
        <f>IF($P880="","",INDEX(상세표[부서],$P880)&amp;"")</f>
        <v/>
      </c>
      <c r="D880">
        <f>IF($P880="","",INDEX(상세표[직위],$P880)&amp;"")</f>
        <v/>
      </c>
      <c r="E880">
        <f>IF($P880="","",IF(ISNUMBER(INDEX(상세표[시작],$P880)),TEXT(INDEX(상세표[시작],$P880),"yyyy-mm-dd hh:mm"),INDEX(상세표[시작],$P880)&amp;""))</f>
        <v/>
      </c>
      <c r="F880">
        <f>IF($P880="","",IF(ISNUMBER(INDEX(상세표[블록종료],$P880)),TEXT(INDEX(상세표[블록종료],$P880),"yyyy-mm-dd hh:mm"),INDEX(상세표[블록종료],$P880)&amp;""))</f>
        <v/>
      </c>
      <c r="G880">
        <f>IF($P880="","",CHOOSE(WEEKDAY(INDEX(상세표[시작],$P880)),"일","월","화","수","목","금","토"))</f>
        <v/>
      </c>
      <c r="H880">
        <f>IF($P880="","",INDEX(상세표[연속 시간],$P880))</f>
        <v/>
      </c>
      <c r="I880">
        <f>IF($P880="","",INDEX(상세표[기록 수],$P880))</f>
        <v/>
      </c>
      <c r="J880">
        <f>IF($P880="","",INDEX(상세표[블록 06~07시],$P880))</f>
        <v/>
      </c>
      <c r="K880">
        <f>IF($P880="","",INDEX(상세표[블록 07~18시],$P880))</f>
        <v/>
      </c>
      <c r="L880">
        <f>IF($P880="","",INDEX(상세표[블록 18~22시],$P880))</f>
        <v/>
      </c>
      <c r="M880">
        <f>IF($P880="","",INDEX(상세표[블록 22~06시],$P880))</f>
        <v/>
      </c>
      <c r="N880">
        <f>IF($P880="","",INDEX(상세표[주말·휴일 포함],$P880)&amp;"")</f>
        <v/>
      </c>
      <c r="O880">
        <f>IF($P880="","",INDEX(상세표[월 넘김 포함],$P880)&amp;"")</f>
        <v/>
      </c>
      <c r="P880" s="4">
        <f>IFERROR(MATCH(875,상세표[연속순번],0),"")</f>
        <v/>
      </c>
    </row>
    <row r="881">
      <c r="A881">
        <f>IF($P881="","",INDEX(상세표[사번],$P881)&amp;"")</f>
        <v/>
      </c>
      <c r="B881">
        <f>IF($P881="","",INDEX(상세표[성명],$P881)&amp;"")</f>
        <v/>
      </c>
      <c r="C881">
        <f>IF($P881="","",INDEX(상세표[부서],$P881)&amp;"")</f>
        <v/>
      </c>
      <c r="D881">
        <f>IF($P881="","",INDEX(상세표[직위],$P881)&amp;"")</f>
        <v/>
      </c>
      <c r="E881">
        <f>IF($P881="","",IF(ISNUMBER(INDEX(상세표[시작],$P881)),TEXT(INDEX(상세표[시작],$P881),"yyyy-mm-dd hh:mm"),INDEX(상세표[시작],$P881)&amp;""))</f>
        <v/>
      </c>
      <c r="F881">
        <f>IF($P881="","",IF(ISNUMBER(INDEX(상세표[블록종료],$P881)),TEXT(INDEX(상세표[블록종료],$P881),"yyyy-mm-dd hh:mm"),INDEX(상세표[블록종료],$P881)&amp;""))</f>
        <v/>
      </c>
      <c r="G881">
        <f>IF($P881="","",CHOOSE(WEEKDAY(INDEX(상세표[시작],$P881)),"일","월","화","수","목","금","토"))</f>
        <v/>
      </c>
      <c r="H881">
        <f>IF($P881="","",INDEX(상세표[연속 시간],$P881))</f>
        <v/>
      </c>
      <c r="I881">
        <f>IF($P881="","",INDEX(상세표[기록 수],$P881))</f>
        <v/>
      </c>
      <c r="J881">
        <f>IF($P881="","",INDEX(상세표[블록 06~07시],$P881))</f>
        <v/>
      </c>
      <c r="K881">
        <f>IF($P881="","",INDEX(상세표[블록 07~18시],$P881))</f>
        <v/>
      </c>
      <c r="L881">
        <f>IF($P881="","",INDEX(상세표[블록 18~22시],$P881))</f>
        <v/>
      </c>
      <c r="M881">
        <f>IF($P881="","",INDEX(상세표[블록 22~06시],$P881))</f>
        <v/>
      </c>
      <c r="N881">
        <f>IF($P881="","",INDEX(상세표[주말·휴일 포함],$P881)&amp;"")</f>
        <v/>
      </c>
      <c r="O881">
        <f>IF($P881="","",INDEX(상세표[월 넘김 포함],$P881)&amp;"")</f>
        <v/>
      </c>
      <c r="P881" s="4">
        <f>IFERROR(MATCH(876,상세표[연속순번],0),"")</f>
        <v/>
      </c>
    </row>
    <row r="882">
      <c r="A882">
        <f>IF($P882="","",INDEX(상세표[사번],$P882)&amp;"")</f>
        <v/>
      </c>
      <c r="B882">
        <f>IF($P882="","",INDEX(상세표[성명],$P882)&amp;"")</f>
        <v/>
      </c>
      <c r="C882">
        <f>IF($P882="","",INDEX(상세표[부서],$P882)&amp;"")</f>
        <v/>
      </c>
      <c r="D882">
        <f>IF($P882="","",INDEX(상세표[직위],$P882)&amp;"")</f>
        <v/>
      </c>
      <c r="E882">
        <f>IF($P882="","",IF(ISNUMBER(INDEX(상세표[시작],$P882)),TEXT(INDEX(상세표[시작],$P882),"yyyy-mm-dd hh:mm"),INDEX(상세표[시작],$P882)&amp;""))</f>
        <v/>
      </c>
      <c r="F882">
        <f>IF($P882="","",IF(ISNUMBER(INDEX(상세표[블록종료],$P882)),TEXT(INDEX(상세표[블록종료],$P882),"yyyy-mm-dd hh:mm"),INDEX(상세표[블록종료],$P882)&amp;""))</f>
        <v/>
      </c>
      <c r="G882">
        <f>IF($P882="","",CHOOSE(WEEKDAY(INDEX(상세표[시작],$P882)),"일","월","화","수","목","금","토"))</f>
        <v/>
      </c>
      <c r="H882">
        <f>IF($P882="","",INDEX(상세표[연속 시간],$P882))</f>
        <v/>
      </c>
      <c r="I882">
        <f>IF($P882="","",INDEX(상세표[기록 수],$P882))</f>
        <v/>
      </c>
      <c r="J882">
        <f>IF($P882="","",INDEX(상세표[블록 06~07시],$P882))</f>
        <v/>
      </c>
      <c r="K882">
        <f>IF($P882="","",INDEX(상세표[블록 07~18시],$P882))</f>
        <v/>
      </c>
      <c r="L882">
        <f>IF($P882="","",INDEX(상세표[블록 18~22시],$P882))</f>
        <v/>
      </c>
      <c r="M882">
        <f>IF($P882="","",INDEX(상세표[블록 22~06시],$P882))</f>
        <v/>
      </c>
      <c r="N882">
        <f>IF($P882="","",INDEX(상세표[주말·휴일 포함],$P882)&amp;"")</f>
        <v/>
      </c>
      <c r="O882">
        <f>IF($P882="","",INDEX(상세표[월 넘김 포함],$P882)&amp;"")</f>
        <v/>
      </c>
      <c r="P882" s="4">
        <f>IFERROR(MATCH(877,상세표[연속순번],0),"")</f>
        <v/>
      </c>
    </row>
    <row r="883">
      <c r="A883">
        <f>IF($P883="","",INDEX(상세표[사번],$P883)&amp;"")</f>
        <v/>
      </c>
      <c r="B883">
        <f>IF($P883="","",INDEX(상세표[성명],$P883)&amp;"")</f>
        <v/>
      </c>
      <c r="C883">
        <f>IF($P883="","",INDEX(상세표[부서],$P883)&amp;"")</f>
        <v/>
      </c>
      <c r="D883">
        <f>IF($P883="","",INDEX(상세표[직위],$P883)&amp;"")</f>
        <v/>
      </c>
      <c r="E883">
        <f>IF($P883="","",IF(ISNUMBER(INDEX(상세표[시작],$P883)),TEXT(INDEX(상세표[시작],$P883),"yyyy-mm-dd hh:mm"),INDEX(상세표[시작],$P883)&amp;""))</f>
        <v/>
      </c>
      <c r="F883">
        <f>IF($P883="","",IF(ISNUMBER(INDEX(상세표[블록종료],$P883)),TEXT(INDEX(상세표[블록종료],$P883),"yyyy-mm-dd hh:mm"),INDEX(상세표[블록종료],$P883)&amp;""))</f>
        <v/>
      </c>
      <c r="G883">
        <f>IF($P883="","",CHOOSE(WEEKDAY(INDEX(상세표[시작],$P883)),"일","월","화","수","목","금","토"))</f>
        <v/>
      </c>
      <c r="H883">
        <f>IF($P883="","",INDEX(상세표[연속 시간],$P883))</f>
        <v/>
      </c>
      <c r="I883">
        <f>IF($P883="","",INDEX(상세표[기록 수],$P883))</f>
        <v/>
      </c>
      <c r="J883">
        <f>IF($P883="","",INDEX(상세표[블록 06~07시],$P883))</f>
        <v/>
      </c>
      <c r="K883">
        <f>IF($P883="","",INDEX(상세표[블록 07~18시],$P883))</f>
        <v/>
      </c>
      <c r="L883">
        <f>IF($P883="","",INDEX(상세표[블록 18~22시],$P883))</f>
        <v/>
      </c>
      <c r="M883">
        <f>IF($P883="","",INDEX(상세표[블록 22~06시],$P883))</f>
        <v/>
      </c>
      <c r="N883">
        <f>IF($P883="","",INDEX(상세표[주말·휴일 포함],$P883)&amp;"")</f>
        <v/>
      </c>
      <c r="O883">
        <f>IF($P883="","",INDEX(상세표[월 넘김 포함],$P883)&amp;"")</f>
        <v/>
      </c>
      <c r="P883" s="4">
        <f>IFERROR(MATCH(878,상세표[연속순번],0),"")</f>
        <v/>
      </c>
    </row>
    <row r="884">
      <c r="A884">
        <f>IF($P884="","",INDEX(상세표[사번],$P884)&amp;"")</f>
        <v/>
      </c>
      <c r="B884">
        <f>IF($P884="","",INDEX(상세표[성명],$P884)&amp;"")</f>
        <v/>
      </c>
      <c r="C884">
        <f>IF($P884="","",INDEX(상세표[부서],$P884)&amp;"")</f>
        <v/>
      </c>
      <c r="D884">
        <f>IF($P884="","",INDEX(상세표[직위],$P884)&amp;"")</f>
        <v/>
      </c>
      <c r="E884">
        <f>IF($P884="","",IF(ISNUMBER(INDEX(상세표[시작],$P884)),TEXT(INDEX(상세표[시작],$P884),"yyyy-mm-dd hh:mm"),INDEX(상세표[시작],$P884)&amp;""))</f>
        <v/>
      </c>
      <c r="F884">
        <f>IF($P884="","",IF(ISNUMBER(INDEX(상세표[블록종료],$P884)),TEXT(INDEX(상세표[블록종료],$P884),"yyyy-mm-dd hh:mm"),INDEX(상세표[블록종료],$P884)&amp;""))</f>
        <v/>
      </c>
      <c r="G884">
        <f>IF($P884="","",CHOOSE(WEEKDAY(INDEX(상세표[시작],$P884)),"일","월","화","수","목","금","토"))</f>
        <v/>
      </c>
      <c r="H884">
        <f>IF($P884="","",INDEX(상세표[연속 시간],$P884))</f>
        <v/>
      </c>
      <c r="I884">
        <f>IF($P884="","",INDEX(상세표[기록 수],$P884))</f>
        <v/>
      </c>
      <c r="J884">
        <f>IF($P884="","",INDEX(상세표[블록 06~07시],$P884))</f>
        <v/>
      </c>
      <c r="K884">
        <f>IF($P884="","",INDEX(상세표[블록 07~18시],$P884))</f>
        <v/>
      </c>
      <c r="L884">
        <f>IF($P884="","",INDEX(상세표[블록 18~22시],$P884))</f>
        <v/>
      </c>
      <c r="M884">
        <f>IF($P884="","",INDEX(상세표[블록 22~06시],$P884))</f>
        <v/>
      </c>
      <c r="N884">
        <f>IF($P884="","",INDEX(상세표[주말·휴일 포함],$P884)&amp;"")</f>
        <v/>
      </c>
      <c r="O884">
        <f>IF($P884="","",INDEX(상세표[월 넘김 포함],$P884)&amp;"")</f>
        <v/>
      </c>
      <c r="P884" s="4">
        <f>IFERROR(MATCH(879,상세표[연속순번],0),"")</f>
        <v/>
      </c>
    </row>
    <row r="885">
      <c r="A885">
        <f>IF($P885="","",INDEX(상세표[사번],$P885)&amp;"")</f>
        <v/>
      </c>
      <c r="B885">
        <f>IF($P885="","",INDEX(상세표[성명],$P885)&amp;"")</f>
        <v/>
      </c>
      <c r="C885">
        <f>IF($P885="","",INDEX(상세표[부서],$P885)&amp;"")</f>
        <v/>
      </c>
      <c r="D885">
        <f>IF($P885="","",INDEX(상세표[직위],$P885)&amp;"")</f>
        <v/>
      </c>
      <c r="E885">
        <f>IF($P885="","",IF(ISNUMBER(INDEX(상세표[시작],$P885)),TEXT(INDEX(상세표[시작],$P885),"yyyy-mm-dd hh:mm"),INDEX(상세표[시작],$P885)&amp;""))</f>
        <v/>
      </c>
      <c r="F885">
        <f>IF($P885="","",IF(ISNUMBER(INDEX(상세표[블록종료],$P885)),TEXT(INDEX(상세표[블록종료],$P885),"yyyy-mm-dd hh:mm"),INDEX(상세표[블록종료],$P885)&amp;""))</f>
        <v/>
      </c>
      <c r="G885">
        <f>IF($P885="","",CHOOSE(WEEKDAY(INDEX(상세표[시작],$P885)),"일","월","화","수","목","금","토"))</f>
        <v/>
      </c>
      <c r="H885">
        <f>IF($P885="","",INDEX(상세표[연속 시간],$P885))</f>
        <v/>
      </c>
      <c r="I885">
        <f>IF($P885="","",INDEX(상세표[기록 수],$P885))</f>
        <v/>
      </c>
      <c r="J885">
        <f>IF($P885="","",INDEX(상세표[블록 06~07시],$P885))</f>
        <v/>
      </c>
      <c r="K885">
        <f>IF($P885="","",INDEX(상세표[블록 07~18시],$P885))</f>
        <v/>
      </c>
      <c r="L885">
        <f>IF($P885="","",INDEX(상세표[블록 18~22시],$P885))</f>
        <v/>
      </c>
      <c r="M885">
        <f>IF($P885="","",INDEX(상세표[블록 22~06시],$P885))</f>
        <v/>
      </c>
      <c r="N885">
        <f>IF($P885="","",INDEX(상세표[주말·휴일 포함],$P885)&amp;"")</f>
        <v/>
      </c>
      <c r="O885">
        <f>IF($P885="","",INDEX(상세표[월 넘김 포함],$P885)&amp;"")</f>
        <v/>
      </c>
      <c r="P885" s="4">
        <f>IFERROR(MATCH(880,상세표[연속순번],0),"")</f>
        <v/>
      </c>
    </row>
    <row r="886">
      <c r="A886">
        <f>IF($P886="","",INDEX(상세표[사번],$P886)&amp;"")</f>
        <v/>
      </c>
      <c r="B886">
        <f>IF($P886="","",INDEX(상세표[성명],$P886)&amp;"")</f>
        <v/>
      </c>
      <c r="C886">
        <f>IF($P886="","",INDEX(상세표[부서],$P886)&amp;"")</f>
        <v/>
      </c>
      <c r="D886">
        <f>IF($P886="","",INDEX(상세표[직위],$P886)&amp;"")</f>
        <v/>
      </c>
      <c r="E886">
        <f>IF($P886="","",IF(ISNUMBER(INDEX(상세표[시작],$P886)),TEXT(INDEX(상세표[시작],$P886),"yyyy-mm-dd hh:mm"),INDEX(상세표[시작],$P886)&amp;""))</f>
        <v/>
      </c>
      <c r="F886">
        <f>IF($P886="","",IF(ISNUMBER(INDEX(상세표[블록종료],$P886)),TEXT(INDEX(상세표[블록종료],$P886),"yyyy-mm-dd hh:mm"),INDEX(상세표[블록종료],$P886)&amp;""))</f>
        <v/>
      </c>
      <c r="G886">
        <f>IF($P886="","",CHOOSE(WEEKDAY(INDEX(상세표[시작],$P886)),"일","월","화","수","목","금","토"))</f>
        <v/>
      </c>
      <c r="H886">
        <f>IF($P886="","",INDEX(상세표[연속 시간],$P886))</f>
        <v/>
      </c>
      <c r="I886">
        <f>IF($P886="","",INDEX(상세표[기록 수],$P886))</f>
        <v/>
      </c>
      <c r="J886">
        <f>IF($P886="","",INDEX(상세표[블록 06~07시],$P886))</f>
        <v/>
      </c>
      <c r="K886">
        <f>IF($P886="","",INDEX(상세표[블록 07~18시],$P886))</f>
        <v/>
      </c>
      <c r="L886">
        <f>IF($P886="","",INDEX(상세표[블록 18~22시],$P886))</f>
        <v/>
      </c>
      <c r="M886">
        <f>IF($P886="","",INDEX(상세표[블록 22~06시],$P886))</f>
        <v/>
      </c>
      <c r="N886">
        <f>IF($P886="","",INDEX(상세표[주말·휴일 포함],$P886)&amp;"")</f>
        <v/>
      </c>
      <c r="O886">
        <f>IF($P886="","",INDEX(상세표[월 넘김 포함],$P886)&amp;"")</f>
        <v/>
      </c>
      <c r="P886" s="4">
        <f>IFERROR(MATCH(881,상세표[연속순번],0),"")</f>
        <v/>
      </c>
    </row>
    <row r="887">
      <c r="A887">
        <f>IF($P887="","",INDEX(상세표[사번],$P887)&amp;"")</f>
        <v/>
      </c>
      <c r="B887">
        <f>IF($P887="","",INDEX(상세표[성명],$P887)&amp;"")</f>
        <v/>
      </c>
      <c r="C887">
        <f>IF($P887="","",INDEX(상세표[부서],$P887)&amp;"")</f>
        <v/>
      </c>
      <c r="D887">
        <f>IF($P887="","",INDEX(상세표[직위],$P887)&amp;"")</f>
        <v/>
      </c>
      <c r="E887">
        <f>IF($P887="","",IF(ISNUMBER(INDEX(상세표[시작],$P887)),TEXT(INDEX(상세표[시작],$P887),"yyyy-mm-dd hh:mm"),INDEX(상세표[시작],$P887)&amp;""))</f>
        <v/>
      </c>
      <c r="F887">
        <f>IF($P887="","",IF(ISNUMBER(INDEX(상세표[블록종료],$P887)),TEXT(INDEX(상세표[블록종료],$P887),"yyyy-mm-dd hh:mm"),INDEX(상세표[블록종료],$P887)&amp;""))</f>
        <v/>
      </c>
      <c r="G887">
        <f>IF($P887="","",CHOOSE(WEEKDAY(INDEX(상세표[시작],$P887)),"일","월","화","수","목","금","토"))</f>
        <v/>
      </c>
      <c r="H887">
        <f>IF($P887="","",INDEX(상세표[연속 시간],$P887))</f>
        <v/>
      </c>
      <c r="I887">
        <f>IF($P887="","",INDEX(상세표[기록 수],$P887))</f>
        <v/>
      </c>
      <c r="J887">
        <f>IF($P887="","",INDEX(상세표[블록 06~07시],$P887))</f>
        <v/>
      </c>
      <c r="K887">
        <f>IF($P887="","",INDEX(상세표[블록 07~18시],$P887))</f>
        <v/>
      </c>
      <c r="L887">
        <f>IF($P887="","",INDEX(상세표[블록 18~22시],$P887))</f>
        <v/>
      </c>
      <c r="M887">
        <f>IF($P887="","",INDEX(상세표[블록 22~06시],$P887))</f>
        <v/>
      </c>
      <c r="N887">
        <f>IF($P887="","",INDEX(상세표[주말·휴일 포함],$P887)&amp;"")</f>
        <v/>
      </c>
      <c r="O887">
        <f>IF($P887="","",INDEX(상세표[월 넘김 포함],$P887)&amp;"")</f>
        <v/>
      </c>
      <c r="P887" s="4">
        <f>IFERROR(MATCH(882,상세표[연속순번],0),"")</f>
        <v/>
      </c>
    </row>
    <row r="888">
      <c r="A888">
        <f>IF($P888="","",INDEX(상세표[사번],$P888)&amp;"")</f>
        <v/>
      </c>
      <c r="B888">
        <f>IF($P888="","",INDEX(상세표[성명],$P888)&amp;"")</f>
        <v/>
      </c>
      <c r="C888">
        <f>IF($P888="","",INDEX(상세표[부서],$P888)&amp;"")</f>
        <v/>
      </c>
      <c r="D888">
        <f>IF($P888="","",INDEX(상세표[직위],$P888)&amp;"")</f>
        <v/>
      </c>
      <c r="E888">
        <f>IF($P888="","",IF(ISNUMBER(INDEX(상세표[시작],$P888)),TEXT(INDEX(상세표[시작],$P888),"yyyy-mm-dd hh:mm"),INDEX(상세표[시작],$P888)&amp;""))</f>
        <v/>
      </c>
      <c r="F888">
        <f>IF($P888="","",IF(ISNUMBER(INDEX(상세표[블록종료],$P888)),TEXT(INDEX(상세표[블록종료],$P888),"yyyy-mm-dd hh:mm"),INDEX(상세표[블록종료],$P888)&amp;""))</f>
        <v/>
      </c>
      <c r="G888">
        <f>IF($P888="","",CHOOSE(WEEKDAY(INDEX(상세표[시작],$P888)),"일","월","화","수","목","금","토"))</f>
        <v/>
      </c>
      <c r="H888">
        <f>IF($P888="","",INDEX(상세표[연속 시간],$P888))</f>
        <v/>
      </c>
      <c r="I888">
        <f>IF($P888="","",INDEX(상세표[기록 수],$P888))</f>
        <v/>
      </c>
      <c r="J888">
        <f>IF($P888="","",INDEX(상세표[블록 06~07시],$P888))</f>
        <v/>
      </c>
      <c r="K888">
        <f>IF($P888="","",INDEX(상세표[블록 07~18시],$P888))</f>
        <v/>
      </c>
      <c r="L888">
        <f>IF($P888="","",INDEX(상세표[블록 18~22시],$P888))</f>
        <v/>
      </c>
      <c r="M888">
        <f>IF($P888="","",INDEX(상세표[블록 22~06시],$P888))</f>
        <v/>
      </c>
      <c r="N888">
        <f>IF($P888="","",INDEX(상세표[주말·휴일 포함],$P888)&amp;"")</f>
        <v/>
      </c>
      <c r="O888">
        <f>IF($P888="","",INDEX(상세표[월 넘김 포함],$P888)&amp;"")</f>
        <v/>
      </c>
      <c r="P888" s="4">
        <f>IFERROR(MATCH(883,상세표[연속순번],0),"")</f>
        <v/>
      </c>
    </row>
    <row r="889">
      <c r="A889">
        <f>IF($P889="","",INDEX(상세표[사번],$P889)&amp;"")</f>
        <v/>
      </c>
      <c r="B889">
        <f>IF($P889="","",INDEX(상세표[성명],$P889)&amp;"")</f>
        <v/>
      </c>
      <c r="C889">
        <f>IF($P889="","",INDEX(상세표[부서],$P889)&amp;"")</f>
        <v/>
      </c>
      <c r="D889">
        <f>IF($P889="","",INDEX(상세표[직위],$P889)&amp;"")</f>
        <v/>
      </c>
      <c r="E889">
        <f>IF($P889="","",IF(ISNUMBER(INDEX(상세표[시작],$P889)),TEXT(INDEX(상세표[시작],$P889),"yyyy-mm-dd hh:mm"),INDEX(상세표[시작],$P889)&amp;""))</f>
        <v/>
      </c>
      <c r="F889">
        <f>IF($P889="","",IF(ISNUMBER(INDEX(상세표[블록종료],$P889)),TEXT(INDEX(상세표[블록종료],$P889),"yyyy-mm-dd hh:mm"),INDEX(상세표[블록종료],$P889)&amp;""))</f>
        <v/>
      </c>
      <c r="G889">
        <f>IF($P889="","",CHOOSE(WEEKDAY(INDEX(상세표[시작],$P889)),"일","월","화","수","목","금","토"))</f>
        <v/>
      </c>
      <c r="H889">
        <f>IF($P889="","",INDEX(상세표[연속 시간],$P889))</f>
        <v/>
      </c>
      <c r="I889">
        <f>IF($P889="","",INDEX(상세표[기록 수],$P889))</f>
        <v/>
      </c>
      <c r="J889">
        <f>IF($P889="","",INDEX(상세표[블록 06~07시],$P889))</f>
        <v/>
      </c>
      <c r="K889">
        <f>IF($P889="","",INDEX(상세표[블록 07~18시],$P889))</f>
        <v/>
      </c>
      <c r="L889">
        <f>IF($P889="","",INDEX(상세표[블록 18~22시],$P889))</f>
        <v/>
      </c>
      <c r="M889">
        <f>IF($P889="","",INDEX(상세표[블록 22~06시],$P889))</f>
        <v/>
      </c>
      <c r="N889">
        <f>IF($P889="","",INDEX(상세표[주말·휴일 포함],$P889)&amp;"")</f>
        <v/>
      </c>
      <c r="O889">
        <f>IF($P889="","",INDEX(상세표[월 넘김 포함],$P889)&amp;"")</f>
        <v/>
      </c>
      <c r="P889" s="4">
        <f>IFERROR(MATCH(884,상세표[연속순번],0),"")</f>
        <v/>
      </c>
    </row>
    <row r="890">
      <c r="A890">
        <f>IF($P890="","",INDEX(상세표[사번],$P890)&amp;"")</f>
        <v/>
      </c>
      <c r="B890">
        <f>IF($P890="","",INDEX(상세표[성명],$P890)&amp;"")</f>
        <v/>
      </c>
      <c r="C890">
        <f>IF($P890="","",INDEX(상세표[부서],$P890)&amp;"")</f>
        <v/>
      </c>
      <c r="D890">
        <f>IF($P890="","",INDEX(상세표[직위],$P890)&amp;"")</f>
        <v/>
      </c>
      <c r="E890">
        <f>IF($P890="","",IF(ISNUMBER(INDEX(상세표[시작],$P890)),TEXT(INDEX(상세표[시작],$P890),"yyyy-mm-dd hh:mm"),INDEX(상세표[시작],$P890)&amp;""))</f>
        <v/>
      </c>
      <c r="F890">
        <f>IF($P890="","",IF(ISNUMBER(INDEX(상세표[블록종료],$P890)),TEXT(INDEX(상세표[블록종료],$P890),"yyyy-mm-dd hh:mm"),INDEX(상세표[블록종료],$P890)&amp;""))</f>
        <v/>
      </c>
      <c r="G890">
        <f>IF($P890="","",CHOOSE(WEEKDAY(INDEX(상세표[시작],$P890)),"일","월","화","수","목","금","토"))</f>
        <v/>
      </c>
      <c r="H890">
        <f>IF($P890="","",INDEX(상세표[연속 시간],$P890))</f>
        <v/>
      </c>
      <c r="I890">
        <f>IF($P890="","",INDEX(상세표[기록 수],$P890))</f>
        <v/>
      </c>
      <c r="J890">
        <f>IF($P890="","",INDEX(상세표[블록 06~07시],$P890))</f>
        <v/>
      </c>
      <c r="K890">
        <f>IF($P890="","",INDEX(상세표[블록 07~18시],$P890))</f>
        <v/>
      </c>
      <c r="L890">
        <f>IF($P890="","",INDEX(상세표[블록 18~22시],$P890))</f>
        <v/>
      </c>
      <c r="M890">
        <f>IF($P890="","",INDEX(상세표[블록 22~06시],$P890))</f>
        <v/>
      </c>
      <c r="N890">
        <f>IF($P890="","",INDEX(상세표[주말·휴일 포함],$P890)&amp;"")</f>
        <v/>
      </c>
      <c r="O890">
        <f>IF($P890="","",INDEX(상세표[월 넘김 포함],$P890)&amp;"")</f>
        <v/>
      </c>
      <c r="P890" s="4">
        <f>IFERROR(MATCH(885,상세표[연속순번],0),"")</f>
        <v/>
      </c>
    </row>
    <row r="891">
      <c r="A891">
        <f>IF($P891="","",INDEX(상세표[사번],$P891)&amp;"")</f>
        <v/>
      </c>
      <c r="B891">
        <f>IF($P891="","",INDEX(상세표[성명],$P891)&amp;"")</f>
        <v/>
      </c>
      <c r="C891">
        <f>IF($P891="","",INDEX(상세표[부서],$P891)&amp;"")</f>
        <v/>
      </c>
      <c r="D891">
        <f>IF($P891="","",INDEX(상세표[직위],$P891)&amp;"")</f>
        <v/>
      </c>
      <c r="E891">
        <f>IF($P891="","",IF(ISNUMBER(INDEX(상세표[시작],$P891)),TEXT(INDEX(상세표[시작],$P891),"yyyy-mm-dd hh:mm"),INDEX(상세표[시작],$P891)&amp;""))</f>
        <v/>
      </c>
      <c r="F891">
        <f>IF($P891="","",IF(ISNUMBER(INDEX(상세표[블록종료],$P891)),TEXT(INDEX(상세표[블록종료],$P891),"yyyy-mm-dd hh:mm"),INDEX(상세표[블록종료],$P891)&amp;""))</f>
        <v/>
      </c>
      <c r="G891">
        <f>IF($P891="","",CHOOSE(WEEKDAY(INDEX(상세표[시작],$P891)),"일","월","화","수","목","금","토"))</f>
        <v/>
      </c>
      <c r="H891">
        <f>IF($P891="","",INDEX(상세표[연속 시간],$P891))</f>
        <v/>
      </c>
      <c r="I891">
        <f>IF($P891="","",INDEX(상세표[기록 수],$P891))</f>
        <v/>
      </c>
      <c r="J891">
        <f>IF($P891="","",INDEX(상세표[블록 06~07시],$P891))</f>
        <v/>
      </c>
      <c r="K891">
        <f>IF($P891="","",INDEX(상세표[블록 07~18시],$P891))</f>
        <v/>
      </c>
      <c r="L891">
        <f>IF($P891="","",INDEX(상세표[블록 18~22시],$P891))</f>
        <v/>
      </c>
      <c r="M891">
        <f>IF($P891="","",INDEX(상세표[블록 22~06시],$P891))</f>
        <v/>
      </c>
      <c r="N891">
        <f>IF($P891="","",INDEX(상세표[주말·휴일 포함],$P891)&amp;"")</f>
        <v/>
      </c>
      <c r="O891">
        <f>IF($P891="","",INDEX(상세표[월 넘김 포함],$P891)&amp;"")</f>
        <v/>
      </c>
      <c r="P891" s="4">
        <f>IFERROR(MATCH(886,상세표[연속순번],0),"")</f>
        <v/>
      </c>
    </row>
    <row r="892">
      <c r="A892">
        <f>IF($P892="","",INDEX(상세표[사번],$P892)&amp;"")</f>
        <v/>
      </c>
      <c r="B892">
        <f>IF($P892="","",INDEX(상세표[성명],$P892)&amp;"")</f>
        <v/>
      </c>
      <c r="C892">
        <f>IF($P892="","",INDEX(상세표[부서],$P892)&amp;"")</f>
        <v/>
      </c>
      <c r="D892">
        <f>IF($P892="","",INDEX(상세표[직위],$P892)&amp;"")</f>
        <v/>
      </c>
      <c r="E892">
        <f>IF($P892="","",IF(ISNUMBER(INDEX(상세표[시작],$P892)),TEXT(INDEX(상세표[시작],$P892),"yyyy-mm-dd hh:mm"),INDEX(상세표[시작],$P892)&amp;""))</f>
        <v/>
      </c>
      <c r="F892">
        <f>IF($P892="","",IF(ISNUMBER(INDEX(상세표[블록종료],$P892)),TEXT(INDEX(상세표[블록종료],$P892),"yyyy-mm-dd hh:mm"),INDEX(상세표[블록종료],$P892)&amp;""))</f>
        <v/>
      </c>
      <c r="G892">
        <f>IF($P892="","",CHOOSE(WEEKDAY(INDEX(상세표[시작],$P892)),"일","월","화","수","목","금","토"))</f>
        <v/>
      </c>
      <c r="H892">
        <f>IF($P892="","",INDEX(상세표[연속 시간],$P892))</f>
        <v/>
      </c>
      <c r="I892">
        <f>IF($P892="","",INDEX(상세표[기록 수],$P892))</f>
        <v/>
      </c>
      <c r="J892">
        <f>IF($P892="","",INDEX(상세표[블록 06~07시],$P892))</f>
        <v/>
      </c>
      <c r="K892">
        <f>IF($P892="","",INDEX(상세표[블록 07~18시],$P892))</f>
        <v/>
      </c>
      <c r="L892">
        <f>IF($P892="","",INDEX(상세표[블록 18~22시],$P892))</f>
        <v/>
      </c>
      <c r="M892">
        <f>IF($P892="","",INDEX(상세표[블록 22~06시],$P892))</f>
        <v/>
      </c>
      <c r="N892">
        <f>IF($P892="","",INDEX(상세표[주말·휴일 포함],$P892)&amp;"")</f>
        <v/>
      </c>
      <c r="O892">
        <f>IF($P892="","",INDEX(상세표[월 넘김 포함],$P892)&amp;"")</f>
        <v/>
      </c>
      <c r="P892" s="4">
        <f>IFERROR(MATCH(887,상세표[연속순번],0),"")</f>
        <v/>
      </c>
    </row>
    <row r="893">
      <c r="A893">
        <f>IF($P893="","",INDEX(상세표[사번],$P893)&amp;"")</f>
        <v/>
      </c>
      <c r="B893">
        <f>IF($P893="","",INDEX(상세표[성명],$P893)&amp;"")</f>
        <v/>
      </c>
      <c r="C893">
        <f>IF($P893="","",INDEX(상세표[부서],$P893)&amp;"")</f>
        <v/>
      </c>
      <c r="D893">
        <f>IF($P893="","",INDEX(상세표[직위],$P893)&amp;"")</f>
        <v/>
      </c>
      <c r="E893">
        <f>IF($P893="","",IF(ISNUMBER(INDEX(상세표[시작],$P893)),TEXT(INDEX(상세표[시작],$P893),"yyyy-mm-dd hh:mm"),INDEX(상세표[시작],$P893)&amp;""))</f>
        <v/>
      </c>
      <c r="F893">
        <f>IF($P893="","",IF(ISNUMBER(INDEX(상세표[블록종료],$P893)),TEXT(INDEX(상세표[블록종료],$P893),"yyyy-mm-dd hh:mm"),INDEX(상세표[블록종료],$P893)&amp;""))</f>
        <v/>
      </c>
      <c r="G893">
        <f>IF($P893="","",CHOOSE(WEEKDAY(INDEX(상세표[시작],$P893)),"일","월","화","수","목","금","토"))</f>
        <v/>
      </c>
      <c r="H893">
        <f>IF($P893="","",INDEX(상세표[연속 시간],$P893))</f>
        <v/>
      </c>
      <c r="I893">
        <f>IF($P893="","",INDEX(상세표[기록 수],$P893))</f>
        <v/>
      </c>
      <c r="J893">
        <f>IF($P893="","",INDEX(상세표[블록 06~07시],$P893))</f>
        <v/>
      </c>
      <c r="K893">
        <f>IF($P893="","",INDEX(상세표[블록 07~18시],$P893))</f>
        <v/>
      </c>
      <c r="L893">
        <f>IF($P893="","",INDEX(상세표[블록 18~22시],$P893))</f>
        <v/>
      </c>
      <c r="M893">
        <f>IF($P893="","",INDEX(상세표[블록 22~06시],$P893))</f>
        <v/>
      </c>
      <c r="N893">
        <f>IF($P893="","",INDEX(상세표[주말·휴일 포함],$P893)&amp;"")</f>
        <v/>
      </c>
      <c r="O893">
        <f>IF($P893="","",INDEX(상세표[월 넘김 포함],$P893)&amp;"")</f>
        <v/>
      </c>
      <c r="P893" s="4">
        <f>IFERROR(MATCH(888,상세표[연속순번],0),"")</f>
        <v/>
      </c>
    </row>
    <row r="894">
      <c r="A894">
        <f>IF($P894="","",INDEX(상세표[사번],$P894)&amp;"")</f>
        <v/>
      </c>
      <c r="B894">
        <f>IF($P894="","",INDEX(상세표[성명],$P894)&amp;"")</f>
        <v/>
      </c>
      <c r="C894">
        <f>IF($P894="","",INDEX(상세표[부서],$P894)&amp;"")</f>
        <v/>
      </c>
      <c r="D894">
        <f>IF($P894="","",INDEX(상세표[직위],$P894)&amp;"")</f>
        <v/>
      </c>
      <c r="E894">
        <f>IF($P894="","",IF(ISNUMBER(INDEX(상세표[시작],$P894)),TEXT(INDEX(상세표[시작],$P894),"yyyy-mm-dd hh:mm"),INDEX(상세표[시작],$P894)&amp;""))</f>
        <v/>
      </c>
      <c r="F894">
        <f>IF($P894="","",IF(ISNUMBER(INDEX(상세표[블록종료],$P894)),TEXT(INDEX(상세표[블록종료],$P894),"yyyy-mm-dd hh:mm"),INDEX(상세표[블록종료],$P894)&amp;""))</f>
        <v/>
      </c>
      <c r="G894">
        <f>IF($P894="","",CHOOSE(WEEKDAY(INDEX(상세표[시작],$P894)),"일","월","화","수","목","금","토"))</f>
        <v/>
      </c>
      <c r="H894">
        <f>IF($P894="","",INDEX(상세표[연속 시간],$P894))</f>
        <v/>
      </c>
      <c r="I894">
        <f>IF($P894="","",INDEX(상세표[기록 수],$P894))</f>
        <v/>
      </c>
      <c r="J894">
        <f>IF($P894="","",INDEX(상세표[블록 06~07시],$P894))</f>
        <v/>
      </c>
      <c r="K894">
        <f>IF($P894="","",INDEX(상세표[블록 07~18시],$P894))</f>
        <v/>
      </c>
      <c r="L894">
        <f>IF($P894="","",INDEX(상세표[블록 18~22시],$P894))</f>
        <v/>
      </c>
      <c r="M894">
        <f>IF($P894="","",INDEX(상세표[블록 22~06시],$P894))</f>
        <v/>
      </c>
      <c r="N894">
        <f>IF($P894="","",INDEX(상세표[주말·휴일 포함],$P894)&amp;"")</f>
        <v/>
      </c>
      <c r="O894">
        <f>IF($P894="","",INDEX(상세표[월 넘김 포함],$P894)&amp;"")</f>
        <v/>
      </c>
      <c r="P894" s="4">
        <f>IFERROR(MATCH(889,상세표[연속순번],0),"")</f>
        <v/>
      </c>
    </row>
    <row r="895">
      <c r="A895">
        <f>IF($P895="","",INDEX(상세표[사번],$P895)&amp;"")</f>
        <v/>
      </c>
      <c r="B895">
        <f>IF($P895="","",INDEX(상세표[성명],$P895)&amp;"")</f>
        <v/>
      </c>
      <c r="C895">
        <f>IF($P895="","",INDEX(상세표[부서],$P895)&amp;"")</f>
        <v/>
      </c>
      <c r="D895">
        <f>IF($P895="","",INDEX(상세표[직위],$P895)&amp;"")</f>
        <v/>
      </c>
      <c r="E895">
        <f>IF($P895="","",IF(ISNUMBER(INDEX(상세표[시작],$P895)),TEXT(INDEX(상세표[시작],$P895),"yyyy-mm-dd hh:mm"),INDEX(상세표[시작],$P895)&amp;""))</f>
        <v/>
      </c>
      <c r="F895">
        <f>IF($P895="","",IF(ISNUMBER(INDEX(상세표[블록종료],$P895)),TEXT(INDEX(상세표[블록종료],$P895),"yyyy-mm-dd hh:mm"),INDEX(상세표[블록종료],$P895)&amp;""))</f>
        <v/>
      </c>
      <c r="G895">
        <f>IF($P895="","",CHOOSE(WEEKDAY(INDEX(상세표[시작],$P895)),"일","월","화","수","목","금","토"))</f>
        <v/>
      </c>
      <c r="H895">
        <f>IF($P895="","",INDEX(상세표[연속 시간],$P895))</f>
        <v/>
      </c>
      <c r="I895">
        <f>IF($P895="","",INDEX(상세표[기록 수],$P895))</f>
        <v/>
      </c>
      <c r="J895">
        <f>IF($P895="","",INDEX(상세표[블록 06~07시],$P895))</f>
        <v/>
      </c>
      <c r="K895">
        <f>IF($P895="","",INDEX(상세표[블록 07~18시],$P895))</f>
        <v/>
      </c>
      <c r="L895">
        <f>IF($P895="","",INDEX(상세표[블록 18~22시],$P895))</f>
        <v/>
      </c>
      <c r="M895">
        <f>IF($P895="","",INDEX(상세표[블록 22~06시],$P895))</f>
        <v/>
      </c>
      <c r="N895">
        <f>IF($P895="","",INDEX(상세표[주말·휴일 포함],$P895)&amp;"")</f>
        <v/>
      </c>
      <c r="O895">
        <f>IF($P895="","",INDEX(상세표[월 넘김 포함],$P895)&amp;"")</f>
        <v/>
      </c>
      <c r="P895" s="4">
        <f>IFERROR(MATCH(890,상세표[연속순번],0),"")</f>
        <v/>
      </c>
    </row>
    <row r="896">
      <c r="A896">
        <f>IF($P896="","",INDEX(상세표[사번],$P896)&amp;"")</f>
        <v/>
      </c>
      <c r="B896">
        <f>IF($P896="","",INDEX(상세표[성명],$P896)&amp;"")</f>
        <v/>
      </c>
      <c r="C896">
        <f>IF($P896="","",INDEX(상세표[부서],$P896)&amp;"")</f>
        <v/>
      </c>
      <c r="D896">
        <f>IF($P896="","",INDEX(상세표[직위],$P896)&amp;"")</f>
        <v/>
      </c>
      <c r="E896">
        <f>IF($P896="","",IF(ISNUMBER(INDEX(상세표[시작],$P896)),TEXT(INDEX(상세표[시작],$P896),"yyyy-mm-dd hh:mm"),INDEX(상세표[시작],$P896)&amp;""))</f>
        <v/>
      </c>
      <c r="F896">
        <f>IF($P896="","",IF(ISNUMBER(INDEX(상세표[블록종료],$P896)),TEXT(INDEX(상세표[블록종료],$P896),"yyyy-mm-dd hh:mm"),INDEX(상세표[블록종료],$P896)&amp;""))</f>
        <v/>
      </c>
      <c r="G896">
        <f>IF($P896="","",CHOOSE(WEEKDAY(INDEX(상세표[시작],$P896)),"일","월","화","수","목","금","토"))</f>
        <v/>
      </c>
      <c r="H896">
        <f>IF($P896="","",INDEX(상세표[연속 시간],$P896))</f>
        <v/>
      </c>
      <c r="I896">
        <f>IF($P896="","",INDEX(상세표[기록 수],$P896))</f>
        <v/>
      </c>
      <c r="J896">
        <f>IF($P896="","",INDEX(상세표[블록 06~07시],$P896))</f>
        <v/>
      </c>
      <c r="K896">
        <f>IF($P896="","",INDEX(상세표[블록 07~18시],$P896))</f>
        <v/>
      </c>
      <c r="L896">
        <f>IF($P896="","",INDEX(상세표[블록 18~22시],$P896))</f>
        <v/>
      </c>
      <c r="M896">
        <f>IF($P896="","",INDEX(상세표[블록 22~06시],$P896))</f>
        <v/>
      </c>
      <c r="N896">
        <f>IF($P896="","",INDEX(상세표[주말·휴일 포함],$P896)&amp;"")</f>
        <v/>
      </c>
      <c r="O896">
        <f>IF($P896="","",INDEX(상세표[월 넘김 포함],$P896)&amp;"")</f>
        <v/>
      </c>
      <c r="P896" s="4">
        <f>IFERROR(MATCH(891,상세표[연속순번],0),"")</f>
        <v/>
      </c>
    </row>
    <row r="897">
      <c r="A897">
        <f>IF($P897="","",INDEX(상세표[사번],$P897)&amp;"")</f>
        <v/>
      </c>
      <c r="B897">
        <f>IF($P897="","",INDEX(상세표[성명],$P897)&amp;"")</f>
        <v/>
      </c>
      <c r="C897">
        <f>IF($P897="","",INDEX(상세표[부서],$P897)&amp;"")</f>
        <v/>
      </c>
      <c r="D897">
        <f>IF($P897="","",INDEX(상세표[직위],$P897)&amp;"")</f>
        <v/>
      </c>
      <c r="E897">
        <f>IF($P897="","",IF(ISNUMBER(INDEX(상세표[시작],$P897)),TEXT(INDEX(상세표[시작],$P897),"yyyy-mm-dd hh:mm"),INDEX(상세표[시작],$P897)&amp;""))</f>
        <v/>
      </c>
      <c r="F897">
        <f>IF($P897="","",IF(ISNUMBER(INDEX(상세표[블록종료],$P897)),TEXT(INDEX(상세표[블록종료],$P897),"yyyy-mm-dd hh:mm"),INDEX(상세표[블록종료],$P897)&amp;""))</f>
        <v/>
      </c>
      <c r="G897">
        <f>IF($P897="","",CHOOSE(WEEKDAY(INDEX(상세표[시작],$P897)),"일","월","화","수","목","금","토"))</f>
        <v/>
      </c>
      <c r="H897">
        <f>IF($P897="","",INDEX(상세표[연속 시간],$P897))</f>
        <v/>
      </c>
      <c r="I897">
        <f>IF($P897="","",INDEX(상세표[기록 수],$P897))</f>
        <v/>
      </c>
      <c r="J897">
        <f>IF($P897="","",INDEX(상세표[블록 06~07시],$P897))</f>
        <v/>
      </c>
      <c r="K897">
        <f>IF($P897="","",INDEX(상세표[블록 07~18시],$P897))</f>
        <v/>
      </c>
      <c r="L897">
        <f>IF($P897="","",INDEX(상세표[블록 18~22시],$P897))</f>
        <v/>
      </c>
      <c r="M897">
        <f>IF($P897="","",INDEX(상세표[블록 22~06시],$P897))</f>
        <v/>
      </c>
      <c r="N897">
        <f>IF($P897="","",INDEX(상세표[주말·휴일 포함],$P897)&amp;"")</f>
        <v/>
      </c>
      <c r="O897">
        <f>IF($P897="","",INDEX(상세표[월 넘김 포함],$P897)&amp;"")</f>
        <v/>
      </c>
      <c r="P897" s="4">
        <f>IFERROR(MATCH(892,상세표[연속순번],0),"")</f>
        <v/>
      </c>
    </row>
    <row r="898">
      <c r="A898">
        <f>IF($P898="","",INDEX(상세표[사번],$P898)&amp;"")</f>
        <v/>
      </c>
      <c r="B898">
        <f>IF($P898="","",INDEX(상세표[성명],$P898)&amp;"")</f>
        <v/>
      </c>
      <c r="C898">
        <f>IF($P898="","",INDEX(상세표[부서],$P898)&amp;"")</f>
        <v/>
      </c>
      <c r="D898">
        <f>IF($P898="","",INDEX(상세표[직위],$P898)&amp;"")</f>
        <v/>
      </c>
      <c r="E898">
        <f>IF($P898="","",IF(ISNUMBER(INDEX(상세표[시작],$P898)),TEXT(INDEX(상세표[시작],$P898),"yyyy-mm-dd hh:mm"),INDEX(상세표[시작],$P898)&amp;""))</f>
        <v/>
      </c>
      <c r="F898">
        <f>IF($P898="","",IF(ISNUMBER(INDEX(상세표[블록종료],$P898)),TEXT(INDEX(상세표[블록종료],$P898),"yyyy-mm-dd hh:mm"),INDEX(상세표[블록종료],$P898)&amp;""))</f>
        <v/>
      </c>
      <c r="G898">
        <f>IF($P898="","",CHOOSE(WEEKDAY(INDEX(상세표[시작],$P898)),"일","월","화","수","목","금","토"))</f>
        <v/>
      </c>
      <c r="H898">
        <f>IF($P898="","",INDEX(상세표[연속 시간],$P898))</f>
        <v/>
      </c>
      <c r="I898">
        <f>IF($P898="","",INDEX(상세표[기록 수],$P898))</f>
        <v/>
      </c>
      <c r="J898">
        <f>IF($P898="","",INDEX(상세표[블록 06~07시],$P898))</f>
        <v/>
      </c>
      <c r="K898">
        <f>IF($P898="","",INDEX(상세표[블록 07~18시],$P898))</f>
        <v/>
      </c>
      <c r="L898">
        <f>IF($P898="","",INDEX(상세표[블록 18~22시],$P898))</f>
        <v/>
      </c>
      <c r="M898">
        <f>IF($P898="","",INDEX(상세표[블록 22~06시],$P898))</f>
        <v/>
      </c>
      <c r="N898">
        <f>IF($P898="","",INDEX(상세표[주말·휴일 포함],$P898)&amp;"")</f>
        <v/>
      </c>
      <c r="O898">
        <f>IF($P898="","",INDEX(상세표[월 넘김 포함],$P898)&amp;"")</f>
        <v/>
      </c>
      <c r="P898" s="4">
        <f>IFERROR(MATCH(893,상세표[연속순번],0),"")</f>
        <v/>
      </c>
    </row>
    <row r="899">
      <c r="A899">
        <f>IF($P899="","",INDEX(상세표[사번],$P899)&amp;"")</f>
        <v/>
      </c>
      <c r="B899">
        <f>IF($P899="","",INDEX(상세표[성명],$P899)&amp;"")</f>
        <v/>
      </c>
      <c r="C899">
        <f>IF($P899="","",INDEX(상세표[부서],$P899)&amp;"")</f>
        <v/>
      </c>
      <c r="D899">
        <f>IF($P899="","",INDEX(상세표[직위],$P899)&amp;"")</f>
        <v/>
      </c>
      <c r="E899">
        <f>IF($P899="","",IF(ISNUMBER(INDEX(상세표[시작],$P899)),TEXT(INDEX(상세표[시작],$P899),"yyyy-mm-dd hh:mm"),INDEX(상세표[시작],$P899)&amp;""))</f>
        <v/>
      </c>
      <c r="F899">
        <f>IF($P899="","",IF(ISNUMBER(INDEX(상세표[블록종료],$P899)),TEXT(INDEX(상세표[블록종료],$P899),"yyyy-mm-dd hh:mm"),INDEX(상세표[블록종료],$P899)&amp;""))</f>
        <v/>
      </c>
      <c r="G899">
        <f>IF($P899="","",CHOOSE(WEEKDAY(INDEX(상세표[시작],$P899)),"일","월","화","수","목","금","토"))</f>
        <v/>
      </c>
      <c r="H899">
        <f>IF($P899="","",INDEX(상세표[연속 시간],$P899))</f>
        <v/>
      </c>
      <c r="I899">
        <f>IF($P899="","",INDEX(상세표[기록 수],$P899))</f>
        <v/>
      </c>
      <c r="J899">
        <f>IF($P899="","",INDEX(상세표[블록 06~07시],$P899))</f>
        <v/>
      </c>
      <c r="K899">
        <f>IF($P899="","",INDEX(상세표[블록 07~18시],$P899))</f>
        <v/>
      </c>
      <c r="L899">
        <f>IF($P899="","",INDEX(상세표[블록 18~22시],$P899))</f>
        <v/>
      </c>
      <c r="M899">
        <f>IF($P899="","",INDEX(상세표[블록 22~06시],$P899))</f>
        <v/>
      </c>
      <c r="N899">
        <f>IF($P899="","",INDEX(상세표[주말·휴일 포함],$P899)&amp;"")</f>
        <v/>
      </c>
      <c r="O899">
        <f>IF($P899="","",INDEX(상세표[월 넘김 포함],$P899)&amp;"")</f>
        <v/>
      </c>
      <c r="P899" s="4">
        <f>IFERROR(MATCH(894,상세표[연속순번],0),"")</f>
        <v/>
      </c>
    </row>
    <row r="900">
      <c r="A900">
        <f>IF($P900="","",INDEX(상세표[사번],$P900)&amp;"")</f>
        <v/>
      </c>
      <c r="B900">
        <f>IF($P900="","",INDEX(상세표[성명],$P900)&amp;"")</f>
        <v/>
      </c>
      <c r="C900">
        <f>IF($P900="","",INDEX(상세표[부서],$P900)&amp;"")</f>
        <v/>
      </c>
      <c r="D900">
        <f>IF($P900="","",INDEX(상세표[직위],$P900)&amp;"")</f>
        <v/>
      </c>
      <c r="E900">
        <f>IF($P900="","",IF(ISNUMBER(INDEX(상세표[시작],$P900)),TEXT(INDEX(상세표[시작],$P900),"yyyy-mm-dd hh:mm"),INDEX(상세표[시작],$P900)&amp;""))</f>
        <v/>
      </c>
      <c r="F900">
        <f>IF($P900="","",IF(ISNUMBER(INDEX(상세표[블록종료],$P900)),TEXT(INDEX(상세표[블록종료],$P900),"yyyy-mm-dd hh:mm"),INDEX(상세표[블록종료],$P900)&amp;""))</f>
        <v/>
      </c>
      <c r="G900">
        <f>IF($P900="","",CHOOSE(WEEKDAY(INDEX(상세표[시작],$P900)),"일","월","화","수","목","금","토"))</f>
        <v/>
      </c>
      <c r="H900">
        <f>IF($P900="","",INDEX(상세표[연속 시간],$P900))</f>
        <v/>
      </c>
      <c r="I900">
        <f>IF($P900="","",INDEX(상세표[기록 수],$P900))</f>
        <v/>
      </c>
      <c r="J900">
        <f>IF($P900="","",INDEX(상세표[블록 06~07시],$P900))</f>
        <v/>
      </c>
      <c r="K900">
        <f>IF($P900="","",INDEX(상세표[블록 07~18시],$P900))</f>
        <v/>
      </c>
      <c r="L900">
        <f>IF($P900="","",INDEX(상세표[블록 18~22시],$P900))</f>
        <v/>
      </c>
      <c r="M900">
        <f>IF($P900="","",INDEX(상세표[블록 22~06시],$P900))</f>
        <v/>
      </c>
      <c r="N900">
        <f>IF($P900="","",INDEX(상세표[주말·휴일 포함],$P900)&amp;"")</f>
        <v/>
      </c>
      <c r="O900">
        <f>IF($P900="","",INDEX(상세표[월 넘김 포함],$P900)&amp;"")</f>
        <v/>
      </c>
      <c r="P900" s="4">
        <f>IFERROR(MATCH(895,상세표[연속순번],0),"")</f>
        <v/>
      </c>
    </row>
    <row r="901">
      <c r="A901">
        <f>IF($P901="","",INDEX(상세표[사번],$P901)&amp;"")</f>
        <v/>
      </c>
      <c r="B901">
        <f>IF($P901="","",INDEX(상세표[성명],$P901)&amp;"")</f>
        <v/>
      </c>
      <c r="C901">
        <f>IF($P901="","",INDEX(상세표[부서],$P901)&amp;"")</f>
        <v/>
      </c>
      <c r="D901">
        <f>IF($P901="","",INDEX(상세표[직위],$P901)&amp;"")</f>
        <v/>
      </c>
      <c r="E901">
        <f>IF($P901="","",IF(ISNUMBER(INDEX(상세표[시작],$P901)),TEXT(INDEX(상세표[시작],$P901),"yyyy-mm-dd hh:mm"),INDEX(상세표[시작],$P901)&amp;""))</f>
        <v/>
      </c>
      <c r="F901">
        <f>IF($P901="","",IF(ISNUMBER(INDEX(상세표[블록종료],$P901)),TEXT(INDEX(상세표[블록종료],$P901),"yyyy-mm-dd hh:mm"),INDEX(상세표[블록종료],$P901)&amp;""))</f>
        <v/>
      </c>
      <c r="G901">
        <f>IF($P901="","",CHOOSE(WEEKDAY(INDEX(상세표[시작],$P901)),"일","월","화","수","목","금","토"))</f>
        <v/>
      </c>
      <c r="H901">
        <f>IF($P901="","",INDEX(상세표[연속 시간],$P901))</f>
        <v/>
      </c>
      <c r="I901">
        <f>IF($P901="","",INDEX(상세표[기록 수],$P901))</f>
        <v/>
      </c>
      <c r="J901">
        <f>IF($P901="","",INDEX(상세표[블록 06~07시],$P901))</f>
        <v/>
      </c>
      <c r="K901">
        <f>IF($P901="","",INDEX(상세표[블록 07~18시],$P901))</f>
        <v/>
      </c>
      <c r="L901">
        <f>IF($P901="","",INDEX(상세표[블록 18~22시],$P901))</f>
        <v/>
      </c>
      <c r="M901">
        <f>IF($P901="","",INDEX(상세표[블록 22~06시],$P901))</f>
        <v/>
      </c>
      <c r="N901">
        <f>IF($P901="","",INDEX(상세표[주말·휴일 포함],$P901)&amp;"")</f>
        <v/>
      </c>
      <c r="O901">
        <f>IF($P901="","",INDEX(상세표[월 넘김 포함],$P901)&amp;"")</f>
        <v/>
      </c>
      <c r="P901" s="4">
        <f>IFERROR(MATCH(896,상세표[연속순번],0),"")</f>
        <v/>
      </c>
    </row>
    <row r="902">
      <c r="A902">
        <f>IF($P902="","",INDEX(상세표[사번],$P902)&amp;"")</f>
        <v/>
      </c>
      <c r="B902">
        <f>IF($P902="","",INDEX(상세표[성명],$P902)&amp;"")</f>
        <v/>
      </c>
      <c r="C902">
        <f>IF($P902="","",INDEX(상세표[부서],$P902)&amp;"")</f>
        <v/>
      </c>
      <c r="D902">
        <f>IF($P902="","",INDEX(상세표[직위],$P902)&amp;"")</f>
        <v/>
      </c>
      <c r="E902">
        <f>IF($P902="","",IF(ISNUMBER(INDEX(상세표[시작],$P902)),TEXT(INDEX(상세표[시작],$P902),"yyyy-mm-dd hh:mm"),INDEX(상세표[시작],$P902)&amp;""))</f>
        <v/>
      </c>
      <c r="F902">
        <f>IF($P902="","",IF(ISNUMBER(INDEX(상세표[블록종료],$P902)),TEXT(INDEX(상세표[블록종료],$P902),"yyyy-mm-dd hh:mm"),INDEX(상세표[블록종료],$P902)&amp;""))</f>
        <v/>
      </c>
      <c r="G902">
        <f>IF($P902="","",CHOOSE(WEEKDAY(INDEX(상세표[시작],$P902)),"일","월","화","수","목","금","토"))</f>
        <v/>
      </c>
      <c r="H902">
        <f>IF($P902="","",INDEX(상세표[연속 시간],$P902))</f>
        <v/>
      </c>
      <c r="I902">
        <f>IF($P902="","",INDEX(상세표[기록 수],$P902))</f>
        <v/>
      </c>
      <c r="J902">
        <f>IF($P902="","",INDEX(상세표[블록 06~07시],$P902))</f>
        <v/>
      </c>
      <c r="K902">
        <f>IF($P902="","",INDEX(상세표[블록 07~18시],$P902))</f>
        <v/>
      </c>
      <c r="L902">
        <f>IF($P902="","",INDEX(상세표[블록 18~22시],$P902))</f>
        <v/>
      </c>
      <c r="M902">
        <f>IF($P902="","",INDEX(상세표[블록 22~06시],$P902))</f>
        <v/>
      </c>
      <c r="N902">
        <f>IF($P902="","",INDEX(상세표[주말·휴일 포함],$P902)&amp;"")</f>
        <v/>
      </c>
      <c r="O902">
        <f>IF($P902="","",INDEX(상세표[월 넘김 포함],$P902)&amp;"")</f>
        <v/>
      </c>
      <c r="P902" s="4">
        <f>IFERROR(MATCH(897,상세표[연속순번],0),"")</f>
        <v/>
      </c>
    </row>
    <row r="903">
      <c r="A903">
        <f>IF($P903="","",INDEX(상세표[사번],$P903)&amp;"")</f>
        <v/>
      </c>
      <c r="B903">
        <f>IF($P903="","",INDEX(상세표[성명],$P903)&amp;"")</f>
        <v/>
      </c>
      <c r="C903">
        <f>IF($P903="","",INDEX(상세표[부서],$P903)&amp;"")</f>
        <v/>
      </c>
      <c r="D903">
        <f>IF($P903="","",INDEX(상세표[직위],$P903)&amp;"")</f>
        <v/>
      </c>
      <c r="E903">
        <f>IF($P903="","",IF(ISNUMBER(INDEX(상세표[시작],$P903)),TEXT(INDEX(상세표[시작],$P903),"yyyy-mm-dd hh:mm"),INDEX(상세표[시작],$P903)&amp;""))</f>
        <v/>
      </c>
      <c r="F903">
        <f>IF($P903="","",IF(ISNUMBER(INDEX(상세표[블록종료],$P903)),TEXT(INDEX(상세표[블록종료],$P903),"yyyy-mm-dd hh:mm"),INDEX(상세표[블록종료],$P903)&amp;""))</f>
        <v/>
      </c>
      <c r="G903">
        <f>IF($P903="","",CHOOSE(WEEKDAY(INDEX(상세표[시작],$P903)),"일","월","화","수","목","금","토"))</f>
        <v/>
      </c>
      <c r="H903">
        <f>IF($P903="","",INDEX(상세표[연속 시간],$P903))</f>
        <v/>
      </c>
      <c r="I903">
        <f>IF($P903="","",INDEX(상세표[기록 수],$P903))</f>
        <v/>
      </c>
      <c r="J903">
        <f>IF($P903="","",INDEX(상세표[블록 06~07시],$P903))</f>
        <v/>
      </c>
      <c r="K903">
        <f>IF($P903="","",INDEX(상세표[블록 07~18시],$P903))</f>
        <v/>
      </c>
      <c r="L903">
        <f>IF($P903="","",INDEX(상세표[블록 18~22시],$P903))</f>
        <v/>
      </c>
      <c r="M903">
        <f>IF($P903="","",INDEX(상세표[블록 22~06시],$P903))</f>
        <v/>
      </c>
      <c r="N903">
        <f>IF($P903="","",INDEX(상세표[주말·휴일 포함],$P903)&amp;"")</f>
        <v/>
      </c>
      <c r="O903">
        <f>IF($P903="","",INDEX(상세표[월 넘김 포함],$P903)&amp;"")</f>
        <v/>
      </c>
      <c r="P903" s="4">
        <f>IFERROR(MATCH(898,상세표[연속순번],0),"")</f>
        <v/>
      </c>
    </row>
    <row r="904">
      <c r="A904">
        <f>IF($P904="","",INDEX(상세표[사번],$P904)&amp;"")</f>
        <v/>
      </c>
      <c r="B904">
        <f>IF($P904="","",INDEX(상세표[성명],$P904)&amp;"")</f>
        <v/>
      </c>
      <c r="C904">
        <f>IF($P904="","",INDEX(상세표[부서],$P904)&amp;"")</f>
        <v/>
      </c>
      <c r="D904">
        <f>IF($P904="","",INDEX(상세표[직위],$P904)&amp;"")</f>
        <v/>
      </c>
      <c r="E904">
        <f>IF($P904="","",IF(ISNUMBER(INDEX(상세표[시작],$P904)),TEXT(INDEX(상세표[시작],$P904),"yyyy-mm-dd hh:mm"),INDEX(상세표[시작],$P904)&amp;""))</f>
        <v/>
      </c>
      <c r="F904">
        <f>IF($P904="","",IF(ISNUMBER(INDEX(상세표[블록종료],$P904)),TEXT(INDEX(상세표[블록종료],$P904),"yyyy-mm-dd hh:mm"),INDEX(상세표[블록종료],$P904)&amp;""))</f>
        <v/>
      </c>
      <c r="G904">
        <f>IF($P904="","",CHOOSE(WEEKDAY(INDEX(상세표[시작],$P904)),"일","월","화","수","목","금","토"))</f>
        <v/>
      </c>
      <c r="H904">
        <f>IF($P904="","",INDEX(상세표[연속 시간],$P904))</f>
        <v/>
      </c>
      <c r="I904">
        <f>IF($P904="","",INDEX(상세표[기록 수],$P904))</f>
        <v/>
      </c>
      <c r="J904">
        <f>IF($P904="","",INDEX(상세표[블록 06~07시],$P904))</f>
        <v/>
      </c>
      <c r="K904">
        <f>IF($P904="","",INDEX(상세표[블록 07~18시],$P904))</f>
        <v/>
      </c>
      <c r="L904">
        <f>IF($P904="","",INDEX(상세표[블록 18~22시],$P904))</f>
        <v/>
      </c>
      <c r="M904">
        <f>IF($P904="","",INDEX(상세표[블록 22~06시],$P904))</f>
        <v/>
      </c>
      <c r="N904">
        <f>IF($P904="","",INDEX(상세표[주말·휴일 포함],$P904)&amp;"")</f>
        <v/>
      </c>
      <c r="O904">
        <f>IF($P904="","",INDEX(상세표[월 넘김 포함],$P904)&amp;"")</f>
        <v/>
      </c>
      <c r="P904" s="4">
        <f>IFERROR(MATCH(899,상세표[연속순번],0),"")</f>
        <v/>
      </c>
    </row>
    <row r="905">
      <c r="A905">
        <f>IF($P905="","",INDEX(상세표[사번],$P905)&amp;"")</f>
        <v/>
      </c>
      <c r="B905">
        <f>IF($P905="","",INDEX(상세표[성명],$P905)&amp;"")</f>
        <v/>
      </c>
      <c r="C905">
        <f>IF($P905="","",INDEX(상세표[부서],$P905)&amp;"")</f>
        <v/>
      </c>
      <c r="D905">
        <f>IF($P905="","",INDEX(상세표[직위],$P905)&amp;"")</f>
        <v/>
      </c>
      <c r="E905">
        <f>IF($P905="","",IF(ISNUMBER(INDEX(상세표[시작],$P905)),TEXT(INDEX(상세표[시작],$P905),"yyyy-mm-dd hh:mm"),INDEX(상세표[시작],$P905)&amp;""))</f>
        <v/>
      </c>
      <c r="F905">
        <f>IF($P905="","",IF(ISNUMBER(INDEX(상세표[블록종료],$P905)),TEXT(INDEX(상세표[블록종료],$P905),"yyyy-mm-dd hh:mm"),INDEX(상세표[블록종료],$P905)&amp;""))</f>
        <v/>
      </c>
      <c r="G905">
        <f>IF($P905="","",CHOOSE(WEEKDAY(INDEX(상세표[시작],$P905)),"일","월","화","수","목","금","토"))</f>
        <v/>
      </c>
      <c r="H905">
        <f>IF($P905="","",INDEX(상세표[연속 시간],$P905))</f>
        <v/>
      </c>
      <c r="I905">
        <f>IF($P905="","",INDEX(상세표[기록 수],$P905))</f>
        <v/>
      </c>
      <c r="J905">
        <f>IF($P905="","",INDEX(상세표[블록 06~07시],$P905))</f>
        <v/>
      </c>
      <c r="K905">
        <f>IF($P905="","",INDEX(상세표[블록 07~18시],$P905))</f>
        <v/>
      </c>
      <c r="L905">
        <f>IF($P905="","",INDEX(상세표[블록 18~22시],$P905))</f>
        <v/>
      </c>
      <c r="M905">
        <f>IF($P905="","",INDEX(상세표[블록 22~06시],$P905))</f>
        <v/>
      </c>
      <c r="N905">
        <f>IF($P905="","",INDEX(상세표[주말·휴일 포함],$P905)&amp;"")</f>
        <v/>
      </c>
      <c r="O905">
        <f>IF($P905="","",INDEX(상세표[월 넘김 포함],$P905)&amp;"")</f>
        <v/>
      </c>
      <c r="P905" s="4">
        <f>IFERROR(MATCH(900,상세표[연속순번],0),"")</f>
        <v/>
      </c>
    </row>
    <row r="906">
      <c r="A906">
        <f>IF($P906="","",INDEX(상세표[사번],$P906)&amp;"")</f>
        <v/>
      </c>
      <c r="B906">
        <f>IF($P906="","",INDEX(상세표[성명],$P906)&amp;"")</f>
        <v/>
      </c>
      <c r="C906">
        <f>IF($P906="","",INDEX(상세표[부서],$P906)&amp;"")</f>
        <v/>
      </c>
      <c r="D906">
        <f>IF($P906="","",INDEX(상세표[직위],$P906)&amp;"")</f>
        <v/>
      </c>
      <c r="E906">
        <f>IF($P906="","",IF(ISNUMBER(INDEX(상세표[시작],$P906)),TEXT(INDEX(상세표[시작],$P906),"yyyy-mm-dd hh:mm"),INDEX(상세표[시작],$P906)&amp;""))</f>
        <v/>
      </c>
      <c r="F906">
        <f>IF($P906="","",IF(ISNUMBER(INDEX(상세표[블록종료],$P906)),TEXT(INDEX(상세표[블록종료],$P906),"yyyy-mm-dd hh:mm"),INDEX(상세표[블록종료],$P906)&amp;""))</f>
        <v/>
      </c>
      <c r="G906">
        <f>IF($P906="","",CHOOSE(WEEKDAY(INDEX(상세표[시작],$P906)),"일","월","화","수","목","금","토"))</f>
        <v/>
      </c>
      <c r="H906">
        <f>IF($P906="","",INDEX(상세표[연속 시간],$P906))</f>
        <v/>
      </c>
      <c r="I906">
        <f>IF($P906="","",INDEX(상세표[기록 수],$P906))</f>
        <v/>
      </c>
      <c r="J906">
        <f>IF($P906="","",INDEX(상세표[블록 06~07시],$P906))</f>
        <v/>
      </c>
      <c r="K906">
        <f>IF($P906="","",INDEX(상세표[블록 07~18시],$P906))</f>
        <v/>
      </c>
      <c r="L906">
        <f>IF($P906="","",INDEX(상세표[블록 18~22시],$P906))</f>
        <v/>
      </c>
      <c r="M906">
        <f>IF($P906="","",INDEX(상세표[블록 22~06시],$P906))</f>
        <v/>
      </c>
      <c r="N906">
        <f>IF($P906="","",INDEX(상세표[주말·휴일 포함],$P906)&amp;"")</f>
        <v/>
      </c>
      <c r="O906">
        <f>IF($P906="","",INDEX(상세표[월 넘김 포함],$P906)&amp;"")</f>
        <v/>
      </c>
      <c r="P906" s="4">
        <f>IFERROR(MATCH(901,상세표[연속순번],0),"")</f>
        <v/>
      </c>
    </row>
    <row r="907">
      <c r="A907">
        <f>IF($P907="","",INDEX(상세표[사번],$P907)&amp;"")</f>
        <v/>
      </c>
      <c r="B907">
        <f>IF($P907="","",INDEX(상세표[성명],$P907)&amp;"")</f>
        <v/>
      </c>
      <c r="C907">
        <f>IF($P907="","",INDEX(상세표[부서],$P907)&amp;"")</f>
        <v/>
      </c>
      <c r="D907">
        <f>IF($P907="","",INDEX(상세표[직위],$P907)&amp;"")</f>
        <v/>
      </c>
      <c r="E907">
        <f>IF($P907="","",IF(ISNUMBER(INDEX(상세표[시작],$P907)),TEXT(INDEX(상세표[시작],$P907),"yyyy-mm-dd hh:mm"),INDEX(상세표[시작],$P907)&amp;""))</f>
        <v/>
      </c>
      <c r="F907">
        <f>IF($P907="","",IF(ISNUMBER(INDEX(상세표[블록종료],$P907)),TEXT(INDEX(상세표[블록종료],$P907),"yyyy-mm-dd hh:mm"),INDEX(상세표[블록종료],$P907)&amp;""))</f>
        <v/>
      </c>
      <c r="G907">
        <f>IF($P907="","",CHOOSE(WEEKDAY(INDEX(상세표[시작],$P907)),"일","월","화","수","목","금","토"))</f>
        <v/>
      </c>
      <c r="H907">
        <f>IF($P907="","",INDEX(상세표[연속 시간],$P907))</f>
        <v/>
      </c>
      <c r="I907">
        <f>IF($P907="","",INDEX(상세표[기록 수],$P907))</f>
        <v/>
      </c>
      <c r="J907">
        <f>IF($P907="","",INDEX(상세표[블록 06~07시],$P907))</f>
        <v/>
      </c>
      <c r="K907">
        <f>IF($P907="","",INDEX(상세표[블록 07~18시],$P907))</f>
        <v/>
      </c>
      <c r="L907">
        <f>IF($P907="","",INDEX(상세표[블록 18~22시],$P907))</f>
        <v/>
      </c>
      <c r="M907">
        <f>IF($P907="","",INDEX(상세표[블록 22~06시],$P907))</f>
        <v/>
      </c>
      <c r="N907">
        <f>IF($P907="","",INDEX(상세표[주말·휴일 포함],$P907)&amp;"")</f>
        <v/>
      </c>
      <c r="O907">
        <f>IF($P907="","",INDEX(상세표[월 넘김 포함],$P907)&amp;"")</f>
        <v/>
      </c>
      <c r="P907" s="4">
        <f>IFERROR(MATCH(902,상세표[연속순번],0),"")</f>
        <v/>
      </c>
    </row>
    <row r="908">
      <c r="A908">
        <f>IF($P908="","",INDEX(상세표[사번],$P908)&amp;"")</f>
        <v/>
      </c>
      <c r="B908">
        <f>IF($P908="","",INDEX(상세표[성명],$P908)&amp;"")</f>
        <v/>
      </c>
      <c r="C908">
        <f>IF($P908="","",INDEX(상세표[부서],$P908)&amp;"")</f>
        <v/>
      </c>
      <c r="D908">
        <f>IF($P908="","",INDEX(상세표[직위],$P908)&amp;"")</f>
        <v/>
      </c>
      <c r="E908">
        <f>IF($P908="","",IF(ISNUMBER(INDEX(상세표[시작],$P908)),TEXT(INDEX(상세표[시작],$P908),"yyyy-mm-dd hh:mm"),INDEX(상세표[시작],$P908)&amp;""))</f>
        <v/>
      </c>
      <c r="F908">
        <f>IF($P908="","",IF(ISNUMBER(INDEX(상세표[블록종료],$P908)),TEXT(INDEX(상세표[블록종료],$P908),"yyyy-mm-dd hh:mm"),INDEX(상세표[블록종료],$P908)&amp;""))</f>
        <v/>
      </c>
      <c r="G908">
        <f>IF($P908="","",CHOOSE(WEEKDAY(INDEX(상세표[시작],$P908)),"일","월","화","수","목","금","토"))</f>
        <v/>
      </c>
      <c r="H908">
        <f>IF($P908="","",INDEX(상세표[연속 시간],$P908))</f>
        <v/>
      </c>
      <c r="I908">
        <f>IF($P908="","",INDEX(상세표[기록 수],$P908))</f>
        <v/>
      </c>
      <c r="J908">
        <f>IF($P908="","",INDEX(상세표[블록 06~07시],$P908))</f>
        <v/>
      </c>
      <c r="K908">
        <f>IF($P908="","",INDEX(상세표[블록 07~18시],$P908))</f>
        <v/>
      </c>
      <c r="L908">
        <f>IF($P908="","",INDEX(상세표[블록 18~22시],$P908))</f>
        <v/>
      </c>
      <c r="M908">
        <f>IF($P908="","",INDEX(상세표[블록 22~06시],$P908))</f>
        <v/>
      </c>
      <c r="N908">
        <f>IF($P908="","",INDEX(상세표[주말·휴일 포함],$P908)&amp;"")</f>
        <v/>
      </c>
      <c r="O908">
        <f>IF($P908="","",INDEX(상세표[월 넘김 포함],$P908)&amp;"")</f>
        <v/>
      </c>
      <c r="P908" s="4">
        <f>IFERROR(MATCH(903,상세표[연속순번],0),"")</f>
        <v/>
      </c>
    </row>
    <row r="909">
      <c r="A909">
        <f>IF($P909="","",INDEX(상세표[사번],$P909)&amp;"")</f>
        <v/>
      </c>
      <c r="B909">
        <f>IF($P909="","",INDEX(상세표[성명],$P909)&amp;"")</f>
        <v/>
      </c>
      <c r="C909">
        <f>IF($P909="","",INDEX(상세표[부서],$P909)&amp;"")</f>
        <v/>
      </c>
      <c r="D909">
        <f>IF($P909="","",INDEX(상세표[직위],$P909)&amp;"")</f>
        <v/>
      </c>
      <c r="E909">
        <f>IF($P909="","",IF(ISNUMBER(INDEX(상세표[시작],$P909)),TEXT(INDEX(상세표[시작],$P909),"yyyy-mm-dd hh:mm"),INDEX(상세표[시작],$P909)&amp;""))</f>
        <v/>
      </c>
      <c r="F909">
        <f>IF($P909="","",IF(ISNUMBER(INDEX(상세표[블록종료],$P909)),TEXT(INDEX(상세표[블록종료],$P909),"yyyy-mm-dd hh:mm"),INDEX(상세표[블록종료],$P909)&amp;""))</f>
        <v/>
      </c>
      <c r="G909">
        <f>IF($P909="","",CHOOSE(WEEKDAY(INDEX(상세표[시작],$P909)),"일","월","화","수","목","금","토"))</f>
        <v/>
      </c>
      <c r="H909">
        <f>IF($P909="","",INDEX(상세표[연속 시간],$P909))</f>
        <v/>
      </c>
      <c r="I909">
        <f>IF($P909="","",INDEX(상세표[기록 수],$P909))</f>
        <v/>
      </c>
      <c r="J909">
        <f>IF($P909="","",INDEX(상세표[블록 06~07시],$P909))</f>
        <v/>
      </c>
      <c r="K909">
        <f>IF($P909="","",INDEX(상세표[블록 07~18시],$P909))</f>
        <v/>
      </c>
      <c r="L909">
        <f>IF($P909="","",INDEX(상세표[블록 18~22시],$P909))</f>
        <v/>
      </c>
      <c r="M909">
        <f>IF($P909="","",INDEX(상세표[블록 22~06시],$P909))</f>
        <v/>
      </c>
      <c r="N909">
        <f>IF($P909="","",INDEX(상세표[주말·휴일 포함],$P909)&amp;"")</f>
        <v/>
      </c>
      <c r="O909">
        <f>IF($P909="","",INDEX(상세표[월 넘김 포함],$P909)&amp;"")</f>
        <v/>
      </c>
      <c r="P909" s="4">
        <f>IFERROR(MATCH(904,상세표[연속순번],0),"")</f>
        <v/>
      </c>
    </row>
    <row r="910">
      <c r="A910">
        <f>IF($P910="","",INDEX(상세표[사번],$P910)&amp;"")</f>
        <v/>
      </c>
      <c r="B910">
        <f>IF($P910="","",INDEX(상세표[성명],$P910)&amp;"")</f>
        <v/>
      </c>
      <c r="C910">
        <f>IF($P910="","",INDEX(상세표[부서],$P910)&amp;"")</f>
        <v/>
      </c>
      <c r="D910">
        <f>IF($P910="","",INDEX(상세표[직위],$P910)&amp;"")</f>
        <v/>
      </c>
      <c r="E910">
        <f>IF($P910="","",IF(ISNUMBER(INDEX(상세표[시작],$P910)),TEXT(INDEX(상세표[시작],$P910),"yyyy-mm-dd hh:mm"),INDEX(상세표[시작],$P910)&amp;""))</f>
        <v/>
      </c>
      <c r="F910">
        <f>IF($P910="","",IF(ISNUMBER(INDEX(상세표[블록종료],$P910)),TEXT(INDEX(상세표[블록종료],$P910),"yyyy-mm-dd hh:mm"),INDEX(상세표[블록종료],$P910)&amp;""))</f>
        <v/>
      </c>
      <c r="G910">
        <f>IF($P910="","",CHOOSE(WEEKDAY(INDEX(상세표[시작],$P910)),"일","월","화","수","목","금","토"))</f>
        <v/>
      </c>
      <c r="H910">
        <f>IF($P910="","",INDEX(상세표[연속 시간],$P910))</f>
        <v/>
      </c>
      <c r="I910">
        <f>IF($P910="","",INDEX(상세표[기록 수],$P910))</f>
        <v/>
      </c>
      <c r="J910">
        <f>IF($P910="","",INDEX(상세표[블록 06~07시],$P910))</f>
        <v/>
      </c>
      <c r="K910">
        <f>IF($P910="","",INDEX(상세표[블록 07~18시],$P910))</f>
        <v/>
      </c>
      <c r="L910">
        <f>IF($P910="","",INDEX(상세표[블록 18~22시],$P910))</f>
        <v/>
      </c>
      <c r="M910">
        <f>IF($P910="","",INDEX(상세표[블록 22~06시],$P910))</f>
        <v/>
      </c>
      <c r="N910">
        <f>IF($P910="","",INDEX(상세표[주말·휴일 포함],$P910)&amp;"")</f>
        <v/>
      </c>
      <c r="O910">
        <f>IF($P910="","",INDEX(상세표[월 넘김 포함],$P910)&amp;"")</f>
        <v/>
      </c>
      <c r="P910" s="4">
        <f>IFERROR(MATCH(905,상세표[연속순번],0),"")</f>
        <v/>
      </c>
    </row>
    <row r="911">
      <c r="A911">
        <f>IF($P911="","",INDEX(상세표[사번],$P911)&amp;"")</f>
        <v/>
      </c>
      <c r="B911">
        <f>IF($P911="","",INDEX(상세표[성명],$P911)&amp;"")</f>
        <v/>
      </c>
      <c r="C911">
        <f>IF($P911="","",INDEX(상세표[부서],$P911)&amp;"")</f>
        <v/>
      </c>
      <c r="D911">
        <f>IF($P911="","",INDEX(상세표[직위],$P911)&amp;"")</f>
        <v/>
      </c>
      <c r="E911">
        <f>IF($P911="","",IF(ISNUMBER(INDEX(상세표[시작],$P911)),TEXT(INDEX(상세표[시작],$P911),"yyyy-mm-dd hh:mm"),INDEX(상세표[시작],$P911)&amp;""))</f>
        <v/>
      </c>
      <c r="F911">
        <f>IF($P911="","",IF(ISNUMBER(INDEX(상세표[블록종료],$P911)),TEXT(INDEX(상세표[블록종료],$P911),"yyyy-mm-dd hh:mm"),INDEX(상세표[블록종료],$P911)&amp;""))</f>
        <v/>
      </c>
      <c r="G911">
        <f>IF($P911="","",CHOOSE(WEEKDAY(INDEX(상세표[시작],$P911)),"일","월","화","수","목","금","토"))</f>
        <v/>
      </c>
      <c r="H911">
        <f>IF($P911="","",INDEX(상세표[연속 시간],$P911))</f>
        <v/>
      </c>
      <c r="I911">
        <f>IF($P911="","",INDEX(상세표[기록 수],$P911))</f>
        <v/>
      </c>
      <c r="J911">
        <f>IF($P911="","",INDEX(상세표[블록 06~07시],$P911))</f>
        <v/>
      </c>
      <c r="K911">
        <f>IF($P911="","",INDEX(상세표[블록 07~18시],$P911))</f>
        <v/>
      </c>
      <c r="L911">
        <f>IF($P911="","",INDEX(상세표[블록 18~22시],$P911))</f>
        <v/>
      </c>
      <c r="M911">
        <f>IF($P911="","",INDEX(상세표[블록 22~06시],$P911))</f>
        <v/>
      </c>
      <c r="N911">
        <f>IF($P911="","",INDEX(상세표[주말·휴일 포함],$P911)&amp;"")</f>
        <v/>
      </c>
      <c r="O911">
        <f>IF($P911="","",INDEX(상세표[월 넘김 포함],$P911)&amp;"")</f>
        <v/>
      </c>
      <c r="P911" s="4">
        <f>IFERROR(MATCH(906,상세표[연속순번],0),"")</f>
        <v/>
      </c>
    </row>
    <row r="912">
      <c r="A912">
        <f>IF($P912="","",INDEX(상세표[사번],$P912)&amp;"")</f>
        <v/>
      </c>
      <c r="B912">
        <f>IF($P912="","",INDEX(상세표[성명],$P912)&amp;"")</f>
        <v/>
      </c>
      <c r="C912">
        <f>IF($P912="","",INDEX(상세표[부서],$P912)&amp;"")</f>
        <v/>
      </c>
      <c r="D912">
        <f>IF($P912="","",INDEX(상세표[직위],$P912)&amp;"")</f>
        <v/>
      </c>
      <c r="E912">
        <f>IF($P912="","",IF(ISNUMBER(INDEX(상세표[시작],$P912)),TEXT(INDEX(상세표[시작],$P912),"yyyy-mm-dd hh:mm"),INDEX(상세표[시작],$P912)&amp;""))</f>
        <v/>
      </c>
      <c r="F912">
        <f>IF($P912="","",IF(ISNUMBER(INDEX(상세표[블록종료],$P912)),TEXT(INDEX(상세표[블록종료],$P912),"yyyy-mm-dd hh:mm"),INDEX(상세표[블록종료],$P912)&amp;""))</f>
        <v/>
      </c>
      <c r="G912">
        <f>IF($P912="","",CHOOSE(WEEKDAY(INDEX(상세표[시작],$P912)),"일","월","화","수","목","금","토"))</f>
        <v/>
      </c>
      <c r="H912">
        <f>IF($P912="","",INDEX(상세표[연속 시간],$P912))</f>
        <v/>
      </c>
      <c r="I912">
        <f>IF($P912="","",INDEX(상세표[기록 수],$P912))</f>
        <v/>
      </c>
      <c r="J912">
        <f>IF($P912="","",INDEX(상세표[블록 06~07시],$P912))</f>
        <v/>
      </c>
      <c r="K912">
        <f>IF($P912="","",INDEX(상세표[블록 07~18시],$P912))</f>
        <v/>
      </c>
      <c r="L912">
        <f>IF($P912="","",INDEX(상세표[블록 18~22시],$P912))</f>
        <v/>
      </c>
      <c r="M912">
        <f>IF($P912="","",INDEX(상세표[블록 22~06시],$P912))</f>
        <v/>
      </c>
      <c r="N912">
        <f>IF($P912="","",INDEX(상세표[주말·휴일 포함],$P912)&amp;"")</f>
        <v/>
      </c>
      <c r="O912">
        <f>IF($P912="","",INDEX(상세표[월 넘김 포함],$P912)&amp;"")</f>
        <v/>
      </c>
      <c r="P912" s="4">
        <f>IFERROR(MATCH(907,상세표[연속순번],0),"")</f>
        <v/>
      </c>
    </row>
    <row r="913">
      <c r="A913">
        <f>IF($P913="","",INDEX(상세표[사번],$P913)&amp;"")</f>
        <v/>
      </c>
      <c r="B913">
        <f>IF($P913="","",INDEX(상세표[성명],$P913)&amp;"")</f>
        <v/>
      </c>
      <c r="C913">
        <f>IF($P913="","",INDEX(상세표[부서],$P913)&amp;"")</f>
        <v/>
      </c>
      <c r="D913">
        <f>IF($P913="","",INDEX(상세표[직위],$P913)&amp;"")</f>
        <v/>
      </c>
      <c r="E913">
        <f>IF($P913="","",IF(ISNUMBER(INDEX(상세표[시작],$P913)),TEXT(INDEX(상세표[시작],$P913),"yyyy-mm-dd hh:mm"),INDEX(상세표[시작],$P913)&amp;""))</f>
        <v/>
      </c>
      <c r="F913">
        <f>IF($P913="","",IF(ISNUMBER(INDEX(상세표[블록종료],$P913)),TEXT(INDEX(상세표[블록종료],$P913),"yyyy-mm-dd hh:mm"),INDEX(상세표[블록종료],$P913)&amp;""))</f>
        <v/>
      </c>
      <c r="G913">
        <f>IF($P913="","",CHOOSE(WEEKDAY(INDEX(상세표[시작],$P913)),"일","월","화","수","목","금","토"))</f>
        <v/>
      </c>
      <c r="H913">
        <f>IF($P913="","",INDEX(상세표[연속 시간],$P913))</f>
        <v/>
      </c>
      <c r="I913">
        <f>IF($P913="","",INDEX(상세표[기록 수],$P913))</f>
        <v/>
      </c>
      <c r="J913">
        <f>IF($P913="","",INDEX(상세표[블록 06~07시],$P913))</f>
        <v/>
      </c>
      <c r="K913">
        <f>IF($P913="","",INDEX(상세표[블록 07~18시],$P913))</f>
        <v/>
      </c>
      <c r="L913">
        <f>IF($P913="","",INDEX(상세표[블록 18~22시],$P913))</f>
        <v/>
      </c>
      <c r="M913">
        <f>IF($P913="","",INDEX(상세표[블록 22~06시],$P913))</f>
        <v/>
      </c>
      <c r="N913">
        <f>IF($P913="","",INDEX(상세표[주말·휴일 포함],$P913)&amp;"")</f>
        <v/>
      </c>
      <c r="O913">
        <f>IF($P913="","",INDEX(상세표[월 넘김 포함],$P913)&amp;"")</f>
        <v/>
      </c>
      <c r="P913" s="4">
        <f>IFERROR(MATCH(908,상세표[연속순번],0),"")</f>
        <v/>
      </c>
    </row>
    <row r="914">
      <c r="A914">
        <f>IF($P914="","",INDEX(상세표[사번],$P914)&amp;"")</f>
        <v/>
      </c>
      <c r="B914">
        <f>IF($P914="","",INDEX(상세표[성명],$P914)&amp;"")</f>
        <v/>
      </c>
      <c r="C914">
        <f>IF($P914="","",INDEX(상세표[부서],$P914)&amp;"")</f>
        <v/>
      </c>
      <c r="D914">
        <f>IF($P914="","",INDEX(상세표[직위],$P914)&amp;"")</f>
        <v/>
      </c>
      <c r="E914">
        <f>IF($P914="","",IF(ISNUMBER(INDEX(상세표[시작],$P914)),TEXT(INDEX(상세표[시작],$P914),"yyyy-mm-dd hh:mm"),INDEX(상세표[시작],$P914)&amp;""))</f>
        <v/>
      </c>
      <c r="F914">
        <f>IF($P914="","",IF(ISNUMBER(INDEX(상세표[블록종료],$P914)),TEXT(INDEX(상세표[블록종료],$P914),"yyyy-mm-dd hh:mm"),INDEX(상세표[블록종료],$P914)&amp;""))</f>
        <v/>
      </c>
      <c r="G914">
        <f>IF($P914="","",CHOOSE(WEEKDAY(INDEX(상세표[시작],$P914)),"일","월","화","수","목","금","토"))</f>
        <v/>
      </c>
      <c r="H914">
        <f>IF($P914="","",INDEX(상세표[연속 시간],$P914))</f>
        <v/>
      </c>
      <c r="I914">
        <f>IF($P914="","",INDEX(상세표[기록 수],$P914))</f>
        <v/>
      </c>
      <c r="J914">
        <f>IF($P914="","",INDEX(상세표[블록 06~07시],$P914))</f>
        <v/>
      </c>
      <c r="K914">
        <f>IF($P914="","",INDEX(상세표[블록 07~18시],$P914))</f>
        <v/>
      </c>
      <c r="L914">
        <f>IF($P914="","",INDEX(상세표[블록 18~22시],$P914))</f>
        <v/>
      </c>
      <c r="M914">
        <f>IF($P914="","",INDEX(상세표[블록 22~06시],$P914))</f>
        <v/>
      </c>
      <c r="N914">
        <f>IF($P914="","",INDEX(상세표[주말·휴일 포함],$P914)&amp;"")</f>
        <v/>
      </c>
      <c r="O914">
        <f>IF($P914="","",INDEX(상세표[월 넘김 포함],$P914)&amp;"")</f>
        <v/>
      </c>
      <c r="P914" s="4">
        <f>IFERROR(MATCH(909,상세표[연속순번],0),"")</f>
        <v/>
      </c>
    </row>
    <row r="915">
      <c r="A915">
        <f>IF($P915="","",INDEX(상세표[사번],$P915)&amp;"")</f>
        <v/>
      </c>
      <c r="B915">
        <f>IF($P915="","",INDEX(상세표[성명],$P915)&amp;"")</f>
        <v/>
      </c>
      <c r="C915">
        <f>IF($P915="","",INDEX(상세표[부서],$P915)&amp;"")</f>
        <v/>
      </c>
      <c r="D915">
        <f>IF($P915="","",INDEX(상세표[직위],$P915)&amp;"")</f>
        <v/>
      </c>
      <c r="E915">
        <f>IF($P915="","",IF(ISNUMBER(INDEX(상세표[시작],$P915)),TEXT(INDEX(상세표[시작],$P915),"yyyy-mm-dd hh:mm"),INDEX(상세표[시작],$P915)&amp;""))</f>
        <v/>
      </c>
      <c r="F915">
        <f>IF($P915="","",IF(ISNUMBER(INDEX(상세표[블록종료],$P915)),TEXT(INDEX(상세표[블록종료],$P915),"yyyy-mm-dd hh:mm"),INDEX(상세표[블록종료],$P915)&amp;""))</f>
        <v/>
      </c>
      <c r="G915">
        <f>IF($P915="","",CHOOSE(WEEKDAY(INDEX(상세표[시작],$P915)),"일","월","화","수","목","금","토"))</f>
        <v/>
      </c>
      <c r="H915">
        <f>IF($P915="","",INDEX(상세표[연속 시간],$P915))</f>
        <v/>
      </c>
      <c r="I915">
        <f>IF($P915="","",INDEX(상세표[기록 수],$P915))</f>
        <v/>
      </c>
      <c r="J915">
        <f>IF($P915="","",INDEX(상세표[블록 06~07시],$P915))</f>
        <v/>
      </c>
      <c r="K915">
        <f>IF($P915="","",INDEX(상세표[블록 07~18시],$P915))</f>
        <v/>
      </c>
      <c r="L915">
        <f>IF($P915="","",INDEX(상세표[블록 18~22시],$P915))</f>
        <v/>
      </c>
      <c r="M915">
        <f>IF($P915="","",INDEX(상세표[블록 22~06시],$P915))</f>
        <v/>
      </c>
      <c r="N915">
        <f>IF($P915="","",INDEX(상세표[주말·휴일 포함],$P915)&amp;"")</f>
        <v/>
      </c>
      <c r="O915">
        <f>IF($P915="","",INDEX(상세표[월 넘김 포함],$P915)&amp;"")</f>
        <v/>
      </c>
      <c r="P915" s="4">
        <f>IFERROR(MATCH(910,상세표[연속순번],0),"")</f>
        <v/>
      </c>
    </row>
    <row r="916">
      <c r="A916">
        <f>IF($P916="","",INDEX(상세표[사번],$P916)&amp;"")</f>
        <v/>
      </c>
      <c r="B916">
        <f>IF($P916="","",INDEX(상세표[성명],$P916)&amp;"")</f>
        <v/>
      </c>
      <c r="C916">
        <f>IF($P916="","",INDEX(상세표[부서],$P916)&amp;"")</f>
        <v/>
      </c>
      <c r="D916">
        <f>IF($P916="","",INDEX(상세표[직위],$P916)&amp;"")</f>
        <v/>
      </c>
      <c r="E916">
        <f>IF($P916="","",IF(ISNUMBER(INDEX(상세표[시작],$P916)),TEXT(INDEX(상세표[시작],$P916),"yyyy-mm-dd hh:mm"),INDEX(상세표[시작],$P916)&amp;""))</f>
        <v/>
      </c>
      <c r="F916">
        <f>IF($P916="","",IF(ISNUMBER(INDEX(상세표[블록종료],$P916)),TEXT(INDEX(상세표[블록종료],$P916),"yyyy-mm-dd hh:mm"),INDEX(상세표[블록종료],$P916)&amp;""))</f>
        <v/>
      </c>
      <c r="G916">
        <f>IF($P916="","",CHOOSE(WEEKDAY(INDEX(상세표[시작],$P916)),"일","월","화","수","목","금","토"))</f>
        <v/>
      </c>
      <c r="H916">
        <f>IF($P916="","",INDEX(상세표[연속 시간],$P916))</f>
        <v/>
      </c>
      <c r="I916">
        <f>IF($P916="","",INDEX(상세표[기록 수],$P916))</f>
        <v/>
      </c>
      <c r="J916">
        <f>IF($P916="","",INDEX(상세표[블록 06~07시],$P916))</f>
        <v/>
      </c>
      <c r="K916">
        <f>IF($P916="","",INDEX(상세표[블록 07~18시],$P916))</f>
        <v/>
      </c>
      <c r="L916">
        <f>IF($P916="","",INDEX(상세표[블록 18~22시],$P916))</f>
        <v/>
      </c>
      <c r="M916">
        <f>IF($P916="","",INDEX(상세표[블록 22~06시],$P916))</f>
        <v/>
      </c>
      <c r="N916">
        <f>IF($P916="","",INDEX(상세표[주말·휴일 포함],$P916)&amp;"")</f>
        <v/>
      </c>
      <c r="O916">
        <f>IF($P916="","",INDEX(상세표[월 넘김 포함],$P916)&amp;"")</f>
        <v/>
      </c>
      <c r="P916" s="4">
        <f>IFERROR(MATCH(911,상세표[연속순번],0),"")</f>
        <v/>
      </c>
    </row>
    <row r="917">
      <c r="A917">
        <f>IF($P917="","",INDEX(상세표[사번],$P917)&amp;"")</f>
        <v/>
      </c>
      <c r="B917">
        <f>IF($P917="","",INDEX(상세표[성명],$P917)&amp;"")</f>
        <v/>
      </c>
      <c r="C917">
        <f>IF($P917="","",INDEX(상세표[부서],$P917)&amp;"")</f>
        <v/>
      </c>
      <c r="D917">
        <f>IF($P917="","",INDEX(상세표[직위],$P917)&amp;"")</f>
        <v/>
      </c>
      <c r="E917">
        <f>IF($P917="","",IF(ISNUMBER(INDEX(상세표[시작],$P917)),TEXT(INDEX(상세표[시작],$P917),"yyyy-mm-dd hh:mm"),INDEX(상세표[시작],$P917)&amp;""))</f>
        <v/>
      </c>
      <c r="F917">
        <f>IF($P917="","",IF(ISNUMBER(INDEX(상세표[블록종료],$P917)),TEXT(INDEX(상세표[블록종료],$P917),"yyyy-mm-dd hh:mm"),INDEX(상세표[블록종료],$P917)&amp;""))</f>
        <v/>
      </c>
      <c r="G917">
        <f>IF($P917="","",CHOOSE(WEEKDAY(INDEX(상세표[시작],$P917)),"일","월","화","수","목","금","토"))</f>
        <v/>
      </c>
      <c r="H917">
        <f>IF($P917="","",INDEX(상세표[연속 시간],$P917))</f>
        <v/>
      </c>
      <c r="I917">
        <f>IF($P917="","",INDEX(상세표[기록 수],$P917))</f>
        <v/>
      </c>
      <c r="J917">
        <f>IF($P917="","",INDEX(상세표[블록 06~07시],$P917))</f>
        <v/>
      </c>
      <c r="K917">
        <f>IF($P917="","",INDEX(상세표[블록 07~18시],$P917))</f>
        <v/>
      </c>
      <c r="L917">
        <f>IF($P917="","",INDEX(상세표[블록 18~22시],$P917))</f>
        <v/>
      </c>
      <c r="M917">
        <f>IF($P917="","",INDEX(상세표[블록 22~06시],$P917))</f>
        <v/>
      </c>
      <c r="N917">
        <f>IF($P917="","",INDEX(상세표[주말·휴일 포함],$P917)&amp;"")</f>
        <v/>
      </c>
      <c r="O917">
        <f>IF($P917="","",INDEX(상세표[월 넘김 포함],$P917)&amp;"")</f>
        <v/>
      </c>
      <c r="P917" s="4">
        <f>IFERROR(MATCH(912,상세표[연속순번],0),"")</f>
        <v/>
      </c>
    </row>
    <row r="918">
      <c r="A918">
        <f>IF($P918="","",INDEX(상세표[사번],$P918)&amp;"")</f>
        <v/>
      </c>
      <c r="B918">
        <f>IF($P918="","",INDEX(상세표[성명],$P918)&amp;"")</f>
        <v/>
      </c>
      <c r="C918">
        <f>IF($P918="","",INDEX(상세표[부서],$P918)&amp;"")</f>
        <v/>
      </c>
      <c r="D918">
        <f>IF($P918="","",INDEX(상세표[직위],$P918)&amp;"")</f>
        <v/>
      </c>
      <c r="E918">
        <f>IF($P918="","",IF(ISNUMBER(INDEX(상세표[시작],$P918)),TEXT(INDEX(상세표[시작],$P918),"yyyy-mm-dd hh:mm"),INDEX(상세표[시작],$P918)&amp;""))</f>
        <v/>
      </c>
      <c r="F918">
        <f>IF($P918="","",IF(ISNUMBER(INDEX(상세표[블록종료],$P918)),TEXT(INDEX(상세표[블록종료],$P918),"yyyy-mm-dd hh:mm"),INDEX(상세표[블록종료],$P918)&amp;""))</f>
        <v/>
      </c>
      <c r="G918">
        <f>IF($P918="","",CHOOSE(WEEKDAY(INDEX(상세표[시작],$P918)),"일","월","화","수","목","금","토"))</f>
        <v/>
      </c>
      <c r="H918">
        <f>IF($P918="","",INDEX(상세표[연속 시간],$P918))</f>
        <v/>
      </c>
      <c r="I918">
        <f>IF($P918="","",INDEX(상세표[기록 수],$P918))</f>
        <v/>
      </c>
      <c r="J918">
        <f>IF($P918="","",INDEX(상세표[블록 06~07시],$P918))</f>
        <v/>
      </c>
      <c r="K918">
        <f>IF($P918="","",INDEX(상세표[블록 07~18시],$P918))</f>
        <v/>
      </c>
      <c r="L918">
        <f>IF($P918="","",INDEX(상세표[블록 18~22시],$P918))</f>
        <v/>
      </c>
      <c r="M918">
        <f>IF($P918="","",INDEX(상세표[블록 22~06시],$P918))</f>
        <v/>
      </c>
      <c r="N918">
        <f>IF($P918="","",INDEX(상세표[주말·휴일 포함],$P918)&amp;"")</f>
        <v/>
      </c>
      <c r="O918">
        <f>IF($P918="","",INDEX(상세표[월 넘김 포함],$P918)&amp;"")</f>
        <v/>
      </c>
      <c r="P918" s="4">
        <f>IFERROR(MATCH(913,상세표[연속순번],0),"")</f>
        <v/>
      </c>
    </row>
    <row r="919">
      <c r="A919">
        <f>IF($P919="","",INDEX(상세표[사번],$P919)&amp;"")</f>
        <v/>
      </c>
      <c r="B919">
        <f>IF($P919="","",INDEX(상세표[성명],$P919)&amp;"")</f>
        <v/>
      </c>
      <c r="C919">
        <f>IF($P919="","",INDEX(상세표[부서],$P919)&amp;"")</f>
        <v/>
      </c>
      <c r="D919">
        <f>IF($P919="","",INDEX(상세표[직위],$P919)&amp;"")</f>
        <v/>
      </c>
      <c r="E919">
        <f>IF($P919="","",IF(ISNUMBER(INDEX(상세표[시작],$P919)),TEXT(INDEX(상세표[시작],$P919),"yyyy-mm-dd hh:mm"),INDEX(상세표[시작],$P919)&amp;""))</f>
        <v/>
      </c>
      <c r="F919">
        <f>IF($P919="","",IF(ISNUMBER(INDEX(상세표[블록종료],$P919)),TEXT(INDEX(상세표[블록종료],$P919),"yyyy-mm-dd hh:mm"),INDEX(상세표[블록종료],$P919)&amp;""))</f>
        <v/>
      </c>
      <c r="G919">
        <f>IF($P919="","",CHOOSE(WEEKDAY(INDEX(상세표[시작],$P919)),"일","월","화","수","목","금","토"))</f>
        <v/>
      </c>
      <c r="H919">
        <f>IF($P919="","",INDEX(상세표[연속 시간],$P919))</f>
        <v/>
      </c>
      <c r="I919">
        <f>IF($P919="","",INDEX(상세표[기록 수],$P919))</f>
        <v/>
      </c>
      <c r="J919">
        <f>IF($P919="","",INDEX(상세표[블록 06~07시],$P919))</f>
        <v/>
      </c>
      <c r="K919">
        <f>IF($P919="","",INDEX(상세표[블록 07~18시],$P919))</f>
        <v/>
      </c>
      <c r="L919">
        <f>IF($P919="","",INDEX(상세표[블록 18~22시],$P919))</f>
        <v/>
      </c>
      <c r="M919">
        <f>IF($P919="","",INDEX(상세표[블록 22~06시],$P919))</f>
        <v/>
      </c>
      <c r="N919">
        <f>IF($P919="","",INDEX(상세표[주말·휴일 포함],$P919)&amp;"")</f>
        <v/>
      </c>
      <c r="O919">
        <f>IF($P919="","",INDEX(상세표[월 넘김 포함],$P919)&amp;"")</f>
        <v/>
      </c>
      <c r="P919" s="4">
        <f>IFERROR(MATCH(914,상세표[연속순번],0),"")</f>
        <v/>
      </c>
    </row>
    <row r="920">
      <c r="A920">
        <f>IF($P920="","",INDEX(상세표[사번],$P920)&amp;"")</f>
        <v/>
      </c>
      <c r="B920">
        <f>IF($P920="","",INDEX(상세표[성명],$P920)&amp;"")</f>
        <v/>
      </c>
      <c r="C920">
        <f>IF($P920="","",INDEX(상세표[부서],$P920)&amp;"")</f>
        <v/>
      </c>
      <c r="D920">
        <f>IF($P920="","",INDEX(상세표[직위],$P920)&amp;"")</f>
        <v/>
      </c>
      <c r="E920">
        <f>IF($P920="","",IF(ISNUMBER(INDEX(상세표[시작],$P920)),TEXT(INDEX(상세표[시작],$P920),"yyyy-mm-dd hh:mm"),INDEX(상세표[시작],$P920)&amp;""))</f>
        <v/>
      </c>
      <c r="F920">
        <f>IF($P920="","",IF(ISNUMBER(INDEX(상세표[블록종료],$P920)),TEXT(INDEX(상세표[블록종료],$P920),"yyyy-mm-dd hh:mm"),INDEX(상세표[블록종료],$P920)&amp;""))</f>
        <v/>
      </c>
      <c r="G920">
        <f>IF($P920="","",CHOOSE(WEEKDAY(INDEX(상세표[시작],$P920)),"일","월","화","수","목","금","토"))</f>
        <v/>
      </c>
      <c r="H920">
        <f>IF($P920="","",INDEX(상세표[연속 시간],$P920))</f>
        <v/>
      </c>
      <c r="I920">
        <f>IF($P920="","",INDEX(상세표[기록 수],$P920))</f>
        <v/>
      </c>
      <c r="J920">
        <f>IF($P920="","",INDEX(상세표[블록 06~07시],$P920))</f>
        <v/>
      </c>
      <c r="K920">
        <f>IF($P920="","",INDEX(상세표[블록 07~18시],$P920))</f>
        <v/>
      </c>
      <c r="L920">
        <f>IF($P920="","",INDEX(상세표[블록 18~22시],$P920))</f>
        <v/>
      </c>
      <c r="M920">
        <f>IF($P920="","",INDEX(상세표[블록 22~06시],$P920))</f>
        <v/>
      </c>
      <c r="N920">
        <f>IF($P920="","",INDEX(상세표[주말·휴일 포함],$P920)&amp;"")</f>
        <v/>
      </c>
      <c r="O920">
        <f>IF($P920="","",INDEX(상세표[월 넘김 포함],$P920)&amp;"")</f>
        <v/>
      </c>
      <c r="P920" s="4">
        <f>IFERROR(MATCH(915,상세표[연속순번],0),"")</f>
        <v/>
      </c>
    </row>
    <row r="921">
      <c r="A921">
        <f>IF($P921="","",INDEX(상세표[사번],$P921)&amp;"")</f>
        <v/>
      </c>
      <c r="B921">
        <f>IF($P921="","",INDEX(상세표[성명],$P921)&amp;"")</f>
        <v/>
      </c>
      <c r="C921">
        <f>IF($P921="","",INDEX(상세표[부서],$P921)&amp;"")</f>
        <v/>
      </c>
      <c r="D921">
        <f>IF($P921="","",INDEX(상세표[직위],$P921)&amp;"")</f>
        <v/>
      </c>
      <c r="E921">
        <f>IF($P921="","",IF(ISNUMBER(INDEX(상세표[시작],$P921)),TEXT(INDEX(상세표[시작],$P921),"yyyy-mm-dd hh:mm"),INDEX(상세표[시작],$P921)&amp;""))</f>
        <v/>
      </c>
      <c r="F921">
        <f>IF($P921="","",IF(ISNUMBER(INDEX(상세표[블록종료],$P921)),TEXT(INDEX(상세표[블록종료],$P921),"yyyy-mm-dd hh:mm"),INDEX(상세표[블록종료],$P921)&amp;""))</f>
        <v/>
      </c>
      <c r="G921">
        <f>IF($P921="","",CHOOSE(WEEKDAY(INDEX(상세표[시작],$P921)),"일","월","화","수","목","금","토"))</f>
        <v/>
      </c>
      <c r="H921">
        <f>IF($P921="","",INDEX(상세표[연속 시간],$P921))</f>
        <v/>
      </c>
      <c r="I921">
        <f>IF($P921="","",INDEX(상세표[기록 수],$P921))</f>
        <v/>
      </c>
      <c r="J921">
        <f>IF($P921="","",INDEX(상세표[블록 06~07시],$P921))</f>
        <v/>
      </c>
      <c r="K921">
        <f>IF($P921="","",INDEX(상세표[블록 07~18시],$P921))</f>
        <v/>
      </c>
      <c r="L921">
        <f>IF($P921="","",INDEX(상세표[블록 18~22시],$P921))</f>
        <v/>
      </c>
      <c r="M921">
        <f>IF($P921="","",INDEX(상세표[블록 22~06시],$P921))</f>
        <v/>
      </c>
      <c r="N921">
        <f>IF($P921="","",INDEX(상세표[주말·휴일 포함],$P921)&amp;"")</f>
        <v/>
      </c>
      <c r="O921">
        <f>IF($P921="","",INDEX(상세표[월 넘김 포함],$P921)&amp;"")</f>
        <v/>
      </c>
      <c r="P921" s="4">
        <f>IFERROR(MATCH(916,상세표[연속순번],0),"")</f>
        <v/>
      </c>
    </row>
    <row r="922">
      <c r="A922">
        <f>IF($P922="","",INDEX(상세표[사번],$P922)&amp;"")</f>
        <v/>
      </c>
      <c r="B922">
        <f>IF($P922="","",INDEX(상세표[성명],$P922)&amp;"")</f>
        <v/>
      </c>
      <c r="C922">
        <f>IF($P922="","",INDEX(상세표[부서],$P922)&amp;"")</f>
        <v/>
      </c>
      <c r="D922">
        <f>IF($P922="","",INDEX(상세표[직위],$P922)&amp;"")</f>
        <v/>
      </c>
      <c r="E922">
        <f>IF($P922="","",IF(ISNUMBER(INDEX(상세표[시작],$P922)),TEXT(INDEX(상세표[시작],$P922),"yyyy-mm-dd hh:mm"),INDEX(상세표[시작],$P922)&amp;""))</f>
        <v/>
      </c>
      <c r="F922">
        <f>IF($P922="","",IF(ISNUMBER(INDEX(상세표[블록종료],$P922)),TEXT(INDEX(상세표[블록종료],$P922),"yyyy-mm-dd hh:mm"),INDEX(상세표[블록종료],$P922)&amp;""))</f>
        <v/>
      </c>
      <c r="G922">
        <f>IF($P922="","",CHOOSE(WEEKDAY(INDEX(상세표[시작],$P922)),"일","월","화","수","목","금","토"))</f>
        <v/>
      </c>
      <c r="H922">
        <f>IF($P922="","",INDEX(상세표[연속 시간],$P922))</f>
        <v/>
      </c>
      <c r="I922">
        <f>IF($P922="","",INDEX(상세표[기록 수],$P922))</f>
        <v/>
      </c>
      <c r="J922">
        <f>IF($P922="","",INDEX(상세표[블록 06~07시],$P922))</f>
        <v/>
      </c>
      <c r="K922">
        <f>IF($P922="","",INDEX(상세표[블록 07~18시],$P922))</f>
        <v/>
      </c>
      <c r="L922">
        <f>IF($P922="","",INDEX(상세표[블록 18~22시],$P922))</f>
        <v/>
      </c>
      <c r="M922">
        <f>IF($P922="","",INDEX(상세표[블록 22~06시],$P922))</f>
        <v/>
      </c>
      <c r="N922">
        <f>IF($P922="","",INDEX(상세표[주말·휴일 포함],$P922)&amp;"")</f>
        <v/>
      </c>
      <c r="O922">
        <f>IF($P922="","",INDEX(상세표[월 넘김 포함],$P922)&amp;"")</f>
        <v/>
      </c>
      <c r="P922" s="4">
        <f>IFERROR(MATCH(917,상세표[연속순번],0),"")</f>
        <v/>
      </c>
    </row>
    <row r="923">
      <c r="A923">
        <f>IF($P923="","",INDEX(상세표[사번],$P923)&amp;"")</f>
        <v/>
      </c>
      <c r="B923">
        <f>IF($P923="","",INDEX(상세표[성명],$P923)&amp;"")</f>
        <v/>
      </c>
      <c r="C923">
        <f>IF($P923="","",INDEX(상세표[부서],$P923)&amp;"")</f>
        <v/>
      </c>
      <c r="D923">
        <f>IF($P923="","",INDEX(상세표[직위],$P923)&amp;"")</f>
        <v/>
      </c>
      <c r="E923">
        <f>IF($P923="","",IF(ISNUMBER(INDEX(상세표[시작],$P923)),TEXT(INDEX(상세표[시작],$P923),"yyyy-mm-dd hh:mm"),INDEX(상세표[시작],$P923)&amp;""))</f>
        <v/>
      </c>
      <c r="F923">
        <f>IF($P923="","",IF(ISNUMBER(INDEX(상세표[블록종료],$P923)),TEXT(INDEX(상세표[블록종료],$P923),"yyyy-mm-dd hh:mm"),INDEX(상세표[블록종료],$P923)&amp;""))</f>
        <v/>
      </c>
      <c r="G923">
        <f>IF($P923="","",CHOOSE(WEEKDAY(INDEX(상세표[시작],$P923)),"일","월","화","수","목","금","토"))</f>
        <v/>
      </c>
      <c r="H923">
        <f>IF($P923="","",INDEX(상세표[연속 시간],$P923))</f>
        <v/>
      </c>
      <c r="I923">
        <f>IF($P923="","",INDEX(상세표[기록 수],$P923))</f>
        <v/>
      </c>
      <c r="J923">
        <f>IF($P923="","",INDEX(상세표[블록 06~07시],$P923))</f>
        <v/>
      </c>
      <c r="K923">
        <f>IF($P923="","",INDEX(상세표[블록 07~18시],$P923))</f>
        <v/>
      </c>
      <c r="L923">
        <f>IF($P923="","",INDEX(상세표[블록 18~22시],$P923))</f>
        <v/>
      </c>
      <c r="M923">
        <f>IF($P923="","",INDEX(상세표[블록 22~06시],$P923))</f>
        <v/>
      </c>
      <c r="N923">
        <f>IF($P923="","",INDEX(상세표[주말·휴일 포함],$P923)&amp;"")</f>
        <v/>
      </c>
      <c r="O923">
        <f>IF($P923="","",INDEX(상세표[월 넘김 포함],$P923)&amp;"")</f>
        <v/>
      </c>
      <c r="P923" s="4">
        <f>IFERROR(MATCH(918,상세표[연속순번],0),"")</f>
        <v/>
      </c>
    </row>
    <row r="924">
      <c r="A924">
        <f>IF($P924="","",INDEX(상세표[사번],$P924)&amp;"")</f>
        <v/>
      </c>
      <c r="B924">
        <f>IF($P924="","",INDEX(상세표[성명],$P924)&amp;"")</f>
        <v/>
      </c>
      <c r="C924">
        <f>IF($P924="","",INDEX(상세표[부서],$P924)&amp;"")</f>
        <v/>
      </c>
      <c r="D924">
        <f>IF($P924="","",INDEX(상세표[직위],$P924)&amp;"")</f>
        <v/>
      </c>
      <c r="E924">
        <f>IF($P924="","",IF(ISNUMBER(INDEX(상세표[시작],$P924)),TEXT(INDEX(상세표[시작],$P924),"yyyy-mm-dd hh:mm"),INDEX(상세표[시작],$P924)&amp;""))</f>
        <v/>
      </c>
      <c r="F924">
        <f>IF($P924="","",IF(ISNUMBER(INDEX(상세표[블록종료],$P924)),TEXT(INDEX(상세표[블록종료],$P924),"yyyy-mm-dd hh:mm"),INDEX(상세표[블록종료],$P924)&amp;""))</f>
        <v/>
      </c>
      <c r="G924">
        <f>IF($P924="","",CHOOSE(WEEKDAY(INDEX(상세표[시작],$P924)),"일","월","화","수","목","금","토"))</f>
        <v/>
      </c>
      <c r="H924">
        <f>IF($P924="","",INDEX(상세표[연속 시간],$P924))</f>
        <v/>
      </c>
      <c r="I924">
        <f>IF($P924="","",INDEX(상세표[기록 수],$P924))</f>
        <v/>
      </c>
      <c r="J924">
        <f>IF($P924="","",INDEX(상세표[블록 06~07시],$P924))</f>
        <v/>
      </c>
      <c r="K924">
        <f>IF($P924="","",INDEX(상세표[블록 07~18시],$P924))</f>
        <v/>
      </c>
      <c r="L924">
        <f>IF($P924="","",INDEX(상세표[블록 18~22시],$P924))</f>
        <v/>
      </c>
      <c r="M924">
        <f>IF($P924="","",INDEX(상세표[블록 22~06시],$P924))</f>
        <v/>
      </c>
      <c r="N924">
        <f>IF($P924="","",INDEX(상세표[주말·휴일 포함],$P924)&amp;"")</f>
        <v/>
      </c>
      <c r="O924">
        <f>IF($P924="","",INDEX(상세표[월 넘김 포함],$P924)&amp;"")</f>
        <v/>
      </c>
      <c r="P924" s="4">
        <f>IFERROR(MATCH(919,상세표[연속순번],0),"")</f>
        <v/>
      </c>
    </row>
    <row r="925">
      <c r="A925">
        <f>IF($P925="","",INDEX(상세표[사번],$P925)&amp;"")</f>
        <v/>
      </c>
      <c r="B925">
        <f>IF($P925="","",INDEX(상세표[성명],$P925)&amp;"")</f>
        <v/>
      </c>
      <c r="C925">
        <f>IF($P925="","",INDEX(상세표[부서],$P925)&amp;"")</f>
        <v/>
      </c>
      <c r="D925">
        <f>IF($P925="","",INDEX(상세표[직위],$P925)&amp;"")</f>
        <v/>
      </c>
      <c r="E925">
        <f>IF($P925="","",IF(ISNUMBER(INDEX(상세표[시작],$P925)),TEXT(INDEX(상세표[시작],$P925),"yyyy-mm-dd hh:mm"),INDEX(상세표[시작],$P925)&amp;""))</f>
        <v/>
      </c>
      <c r="F925">
        <f>IF($P925="","",IF(ISNUMBER(INDEX(상세표[블록종료],$P925)),TEXT(INDEX(상세표[블록종료],$P925),"yyyy-mm-dd hh:mm"),INDEX(상세표[블록종료],$P925)&amp;""))</f>
        <v/>
      </c>
      <c r="G925">
        <f>IF($P925="","",CHOOSE(WEEKDAY(INDEX(상세표[시작],$P925)),"일","월","화","수","목","금","토"))</f>
        <v/>
      </c>
      <c r="H925">
        <f>IF($P925="","",INDEX(상세표[연속 시간],$P925))</f>
        <v/>
      </c>
      <c r="I925">
        <f>IF($P925="","",INDEX(상세표[기록 수],$P925))</f>
        <v/>
      </c>
      <c r="J925">
        <f>IF($P925="","",INDEX(상세표[블록 06~07시],$P925))</f>
        <v/>
      </c>
      <c r="K925">
        <f>IF($P925="","",INDEX(상세표[블록 07~18시],$P925))</f>
        <v/>
      </c>
      <c r="L925">
        <f>IF($P925="","",INDEX(상세표[블록 18~22시],$P925))</f>
        <v/>
      </c>
      <c r="M925">
        <f>IF($P925="","",INDEX(상세표[블록 22~06시],$P925))</f>
        <v/>
      </c>
      <c r="N925">
        <f>IF($P925="","",INDEX(상세표[주말·휴일 포함],$P925)&amp;"")</f>
        <v/>
      </c>
      <c r="O925">
        <f>IF($P925="","",INDEX(상세표[월 넘김 포함],$P925)&amp;"")</f>
        <v/>
      </c>
      <c r="P925" s="4">
        <f>IFERROR(MATCH(920,상세표[연속순번],0),"")</f>
        <v/>
      </c>
    </row>
    <row r="926">
      <c r="A926">
        <f>IF($P926="","",INDEX(상세표[사번],$P926)&amp;"")</f>
        <v/>
      </c>
      <c r="B926">
        <f>IF($P926="","",INDEX(상세표[성명],$P926)&amp;"")</f>
        <v/>
      </c>
      <c r="C926">
        <f>IF($P926="","",INDEX(상세표[부서],$P926)&amp;"")</f>
        <v/>
      </c>
      <c r="D926">
        <f>IF($P926="","",INDEX(상세표[직위],$P926)&amp;"")</f>
        <v/>
      </c>
      <c r="E926">
        <f>IF($P926="","",IF(ISNUMBER(INDEX(상세표[시작],$P926)),TEXT(INDEX(상세표[시작],$P926),"yyyy-mm-dd hh:mm"),INDEX(상세표[시작],$P926)&amp;""))</f>
        <v/>
      </c>
      <c r="F926">
        <f>IF($P926="","",IF(ISNUMBER(INDEX(상세표[블록종료],$P926)),TEXT(INDEX(상세표[블록종료],$P926),"yyyy-mm-dd hh:mm"),INDEX(상세표[블록종료],$P926)&amp;""))</f>
        <v/>
      </c>
      <c r="G926">
        <f>IF($P926="","",CHOOSE(WEEKDAY(INDEX(상세표[시작],$P926)),"일","월","화","수","목","금","토"))</f>
        <v/>
      </c>
      <c r="H926">
        <f>IF($P926="","",INDEX(상세표[연속 시간],$P926))</f>
        <v/>
      </c>
      <c r="I926">
        <f>IF($P926="","",INDEX(상세표[기록 수],$P926))</f>
        <v/>
      </c>
      <c r="J926">
        <f>IF($P926="","",INDEX(상세표[블록 06~07시],$P926))</f>
        <v/>
      </c>
      <c r="K926">
        <f>IF($P926="","",INDEX(상세표[블록 07~18시],$P926))</f>
        <v/>
      </c>
      <c r="L926">
        <f>IF($P926="","",INDEX(상세표[블록 18~22시],$P926))</f>
        <v/>
      </c>
      <c r="M926">
        <f>IF($P926="","",INDEX(상세표[블록 22~06시],$P926))</f>
        <v/>
      </c>
      <c r="N926">
        <f>IF($P926="","",INDEX(상세표[주말·휴일 포함],$P926)&amp;"")</f>
        <v/>
      </c>
      <c r="O926">
        <f>IF($P926="","",INDEX(상세표[월 넘김 포함],$P926)&amp;"")</f>
        <v/>
      </c>
      <c r="P926" s="4">
        <f>IFERROR(MATCH(921,상세표[연속순번],0),"")</f>
        <v/>
      </c>
    </row>
    <row r="927">
      <c r="A927">
        <f>IF($P927="","",INDEX(상세표[사번],$P927)&amp;"")</f>
        <v/>
      </c>
      <c r="B927">
        <f>IF($P927="","",INDEX(상세표[성명],$P927)&amp;"")</f>
        <v/>
      </c>
      <c r="C927">
        <f>IF($P927="","",INDEX(상세표[부서],$P927)&amp;"")</f>
        <v/>
      </c>
      <c r="D927">
        <f>IF($P927="","",INDEX(상세표[직위],$P927)&amp;"")</f>
        <v/>
      </c>
      <c r="E927">
        <f>IF($P927="","",IF(ISNUMBER(INDEX(상세표[시작],$P927)),TEXT(INDEX(상세표[시작],$P927),"yyyy-mm-dd hh:mm"),INDEX(상세표[시작],$P927)&amp;""))</f>
        <v/>
      </c>
      <c r="F927">
        <f>IF($P927="","",IF(ISNUMBER(INDEX(상세표[블록종료],$P927)),TEXT(INDEX(상세표[블록종료],$P927),"yyyy-mm-dd hh:mm"),INDEX(상세표[블록종료],$P927)&amp;""))</f>
        <v/>
      </c>
      <c r="G927">
        <f>IF($P927="","",CHOOSE(WEEKDAY(INDEX(상세표[시작],$P927)),"일","월","화","수","목","금","토"))</f>
        <v/>
      </c>
      <c r="H927">
        <f>IF($P927="","",INDEX(상세표[연속 시간],$P927))</f>
        <v/>
      </c>
      <c r="I927">
        <f>IF($P927="","",INDEX(상세표[기록 수],$P927))</f>
        <v/>
      </c>
      <c r="J927">
        <f>IF($P927="","",INDEX(상세표[블록 06~07시],$P927))</f>
        <v/>
      </c>
      <c r="K927">
        <f>IF($P927="","",INDEX(상세표[블록 07~18시],$P927))</f>
        <v/>
      </c>
      <c r="L927">
        <f>IF($P927="","",INDEX(상세표[블록 18~22시],$P927))</f>
        <v/>
      </c>
      <c r="M927">
        <f>IF($P927="","",INDEX(상세표[블록 22~06시],$P927))</f>
        <v/>
      </c>
      <c r="N927">
        <f>IF($P927="","",INDEX(상세표[주말·휴일 포함],$P927)&amp;"")</f>
        <v/>
      </c>
      <c r="O927">
        <f>IF($P927="","",INDEX(상세표[월 넘김 포함],$P927)&amp;"")</f>
        <v/>
      </c>
      <c r="P927" s="4">
        <f>IFERROR(MATCH(922,상세표[연속순번],0),"")</f>
        <v/>
      </c>
    </row>
    <row r="928">
      <c r="A928">
        <f>IF($P928="","",INDEX(상세표[사번],$P928)&amp;"")</f>
        <v/>
      </c>
      <c r="B928">
        <f>IF($P928="","",INDEX(상세표[성명],$P928)&amp;"")</f>
        <v/>
      </c>
      <c r="C928">
        <f>IF($P928="","",INDEX(상세표[부서],$P928)&amp;"")</f>
        <v/>
      </c>
      <c r="D928">
        <f>IF($P928="","",INDEX(상세표[직위],$P928)&amp;"")</f>
        <v/>
      </c>
      <c r="E928">
        <f>IF($P928="","",IF(ISNUMBER(INDEX(상세표[시작],$P928)),TEXT(INDEX(상세표[시작],$P928),"yyyy-mm-dd hh:mm"),INDEX(상세표[시작],$P928)&amp;""))</f>
        <v/>
      </c>
      <c r="F928">
        <f>IF($P928="","",IF(ISNUMBER(INDEX(상세표[블록종료],$P928)),TEXT(INDEX(상세표[블록종료],$P928),"yyyy-mm-dd hh:mm"),INDEX(상세표[블록종료],$P928)&amp;""))</f>
        <v/>
      </c>
      <c r="G928">
        <f>IF($P928="","",CHOOSE(WEEKDAY(INDEX(상세표[시작],$P928)),"일","월","화","수","목","금","토"))</f>
        <v/>
      </c>
      <c r="H928">
        <f>IF($P928="","",INDEX(상세표[연속 시간],$P928))</f>
        <v/>
      </c>
      <c r="I928">
        <f>IF($P928="","",INDEX(상세표[기록 수],$P928))</f>
        <v/>
      </c>
      <c r="J928">
        <f>IF($P928="","",INDEX(상세표[블록 06~07시],$P928))</f>
        <v/>
      </c>
      <c r="K928">
        <f>IF($P928="","",INDEX(상세표[블록 07~18시],$P928))</f>
        <v/>
      </c>
      <c r="L928">
        <f>IF($P928="","",INDEX(상세표[블록 18~22시],$P928))</f>
        <v/>
      </c>
      <c r="M928">
        <f>IF($P928="","",INDEX(상세표[블록 22~06시],$P928))</f>
        <v/>
      </c>
      <c r="N928">
        <f>IF($P928="","",INDEX(상세표[주말·휴일 포함],$P928)&amp;"")</f>
        <v/>
      </c>
      <c r="O928">
        <f>IF($P928="","",INDEX(상세표[월 넘김 포함],$P928)&amp;"")</f>
        <v/>
      </c>
      <c r="P928" s="4">
        <f>IFERROR(MATCH(923,상세표[연속순번],0),"")</f>
        <v/>
      </c>
    </row>
    <row r="929">
      <c r="A929">
        <f>IF($P929="","",INDEX(상세표[사번],$P929)&amp;"")</f>
        <v/>
      </c>
      <c r="B929">
        <f>IF($P929="","",INDEX(상세표[성명],$P929)&amp;"")</f>
        <v/>
      </c>
      <c r="C929">
        <f>IF($P929="","",INDEX(상세표[부서],$P929)&amp;"")</f>
        <v/>
      </c>
      <c r="D929">
        <f>IF($P929="","",INDEX(상세표[직위],$P929)&amp;"")</f>
        <v/>
      </c>
      <c r="E929">
        <f>IF($P929="","",IF(ISNUMBER(INDEX(상세표[시작],$P929)),TEXT(INDEX(상세표[시작],$P929),"yyyy-mm-dd hh:mm"),INDEX(상세표[시작],$P929)&amp;""))</f>
        <v/>
      </c>
      <c r="F929">
        <f>IF($P929="","",IF(ISNUMBER(INDEX(상세표[블록종료],$P929)),TEXT(INDEX(상세표[블록종료],$P929),"yyyy-mm-dd hh:mm"),INDEX(상세표[블록종료],$P929)&amp;""))</f>
        <v/>
      </c>
      <c r="G929">
        <f>IF($P929="","",CHOOSE(WEEKDAY(INDEX(상세표[시작],$P929)),"일","월","화","수","목","금","토"))</f>
        <v/>
      </c>
      <c r="H929">
        <f>IF($P929="","",INDEX(상세표[연속 시간],$P929))</f>
        <v/>
      </c>
      <c r="I929">
        <f>IF($P929="","",INDEX(상세표[기록 수],$P929))</f>
        <v/>
      </c>
      <c r="J929">
        <f>IF($P929="","",INDEX(상세표[블록 06~07시],$P929))</f>
        <v/>
      </c>
      <c r="K929">
        <f>IF($P929="","",INDEX(상세표[블록 07~18시],$P929))</f>
        <v/>
      </c>
      <c r="L929">
        <f>IF($P929="","",INDEX(상세표[블록 18~22시],$P929))</f>
        <v/>
      </c>
      <c r="M929">
        <f>IF($P929="","",INDEX(상세표[블록 22~06시],$P929))</f>
        <v/>
      </c>
      <c r="N929">
        <f>IF($P929="","",INDEX(상세표[주말·휴일 포함],$P929)&amp;"")</f>
        <v/>
      </c>
      <c r="O929">
        <f>IF($P929="","",INDEX(상세표[월 넘김 포함],$P929)&amp;"")</f>
        <v/>
      </c>
      <c r="P929" s="4">
        <f>IFERROR(MATCH(924,상세표[연속순번],0),"")</f>
        <v/>
      </c>
    </row>
    <row r="930">
      <c r="A930">
        <f>IF($P930="","",INDEX(상세표[사번],$P930)&amp;"")</f>
        <v/>
      </c>
      <c r="B930">
        <f>IF($P930="","",INDEX(상세표[성명],$P930)&amp;"")</f>
        <v/>
      </c>
      <c r="C930">
        <f>IF($P930="","",INDEX(상세표[부서],$P930)&amp;"")</f>
        <v/>
      </c>
      <c r="D930">
        <f>IF($P930="","",INDEX(상세표[직위],$P930)&amp;"")</f>
        <v/>
      </c>
      <c r="E930">
        <f>IF($P930="","",IF(ISNUMBER(INDEX(상세표[시작],$P930)),TEXT(INDEX(상세표[시작],$P930),"yyyy-mm-dd hh:mm"),INDEX(상세표[시작],$P930)&amp;""))</f>
        <v/>
      </c>
      <c r="F930">
        <f>IF($P930="","",IF(ISNUMBER(INDEX(상세표[블록종료],$P930)),TEXT(INDEX(상세표[블록종료],$P930),"yyyy-mm-dd hh:mm"),INDEX(상세표[블록종료],$P930)&amp;""))</f>
        <v/>
      </c>
      <c r="G930">
        <f>IF($P930="","",CHOOSE(WEEKDAY(INDEX(상세표[시작],$P930)),"일","월","화","수","목","금","토"))</f>
        <v/>
      </c>
      <c r="H930">
        <f>IF($P930="","",INDEX(상세표[연속 시간],$P930))</f>
        <v/>
      </c>
      <c r="I930">
        <f>IF($P930="","",INDEX(상세표[기록 수],$P930))</f>
        <v/>
      </c>
      <c r="J930">
        <f>IF($P930="","",INDEX(상세표[블록 06~07시],$P930))</f>
        <v/>
      </c>
      <c r="K930">
        <f>IF($P930="","",INDEX(상세표[블록 07~18시],$P930))</f>
        <v/>
      </c>
      <c r="L930">
        <f>IF($P930="","",INDEX(상세표[블록 18~22시],$P930))</f>
        <v/>
      </c>
      <c r="M930">
        <f>IF($P930="","",INDEX(상세표[블록 22~06시],$P930))</f>
        <v/>
      </c>
      <c r="N930">
        <f>IF($P930="","",INDEX(상세표[주말·휴일 포함],$P930)&amp;"")</f>
        <v/>
      </c>
      <c r="O930">
        <f>IF($P930="","",INDEX(상세표[월 넘김 포함],$P930)&amp;"")</f>
        <v/>
      </c>
      <c r="P930" s="4">
        <f>IFERROR(MATCH(925,상세표[연속순번],0),"")</f>
        <v/>
      </c>
    </row>
    <row r="931">
      <c r="A931">
        <f>IF($P931="","",INDEX(상세표[사번],$P931)&amp;"")</f>
        <v/>
      </c>
      <c r="B931">
        <f>IF($P931="","",INDEX(상세표[성명],$P931)&amp;"")</f>
        <v/>
      </c>
      <c r="C931">
        <f>IF($P931="","",INDEX(상세표[부서],$P931)&amp;"")</f>
        <v/>
      </c>
      <c r="D931">
        <f>IF($P931="","",INDEX(상세표[직위],$P931)&amp;"")</f>
        <v/>
      </c>
      <c r="E931">
        <f>IF($P931="","",IF(ISNUMBER(INDEX(상세표[시작],$P931)),TEXT(INDEX(상세표[시작],$P931),"yyyy-mm-dd hh:mm"),INDEX(상세표[시작],$P931)&amp;""))</f>
        <v/>
      </c>
      <c r="F931">
        <f>IF($P931="","",IF(ISNUMBER(INDEX(상세표[블록종료],$P931)),TEXT(INDEX(상세표[블록종료],$P931),"yyyy-mm-dd hh:mm"),INDEX(상세표[블록종료],$P931)&amp;""))</f>
        <v/>
      </c>
      <c r="G931">
        <f>IF($P931="","",CHOOSE(WEEKDAY(INDEX(상세표[시작],$P931)),"일","월","화","수","목","금","토"))</f>
        <v/>
      </c>
      <c r="H931">
        <f>IF($P931="","",INDEX(상세표[연속 시간],$P931))</f>
        <v/>
      </c>
      <c r="I931">
        <f>IF($P931="","",INDEX(상세표[기록 수],$P931))</f>
        <v/>
      </c>
      <c r="J931">
        <f>IF($P931="","",INDEX(상세표[블록 06~07시],$P931))</f>
        <v/>
      </c>
      <c r="K931">
        <f>IF($P931="","",INDEX(상세표[블록 07~18시],$P931))</f>
        <v/>
      </c>
      <c r="L931">
        <f>IF($P931="","",INDEX(상세표[블록 18~22시],$P931))</f>
        <v/>
      </c>
      <c r="M931">
        <f>IF($P931="","",INDEX(상세표[블록 22~06시],$P931))</f>
        <v/>
      </c>
      <c r="N931">
        <f>IF($P931="","",INDEX(상세표[주말·휴일 포함],$P931)&amp;"")</f>
        <v/>
      </c>
      <c r="O931">
        <f>IF($P931="","",INDEX(상세표[월 넘김 포함],$P931)&amp;"")</f>
        <v/>
      </c>
      <c r="P931" s="4">
        <f>IFERROR(MATCH(926,상세표[연속순번],0),"")</f>
        <v/>
      </c>
    </row>
    <row r="932">
      <c r="A932">
        <f>IF($P932="","",INDEX(상세표[사번],$P932)&amp;"")</f>
        <v/>
      </c>
      <c r="B932">
        <f>IF($P932="","",INDEX(상세표[성명],$P932)&amp;"")</f>
        <v/>
      </c>
      <c r="C932">
        <f>IF($P932="","",INDEX(상세표[부서],$P932)&amp;"")</f>
        <v/>
      </c>
      <c r="D932">
        <f>IF($P932="","",INDEX(상세표[직위],$P932)&amp;"")</f>
        <v/>
      </c>
      <c r="E932">
        <f>IF($P932="","",IF(ISNUMBER(INDEX(상세표[시작],$P932)),TEXT(INDEX(상세표[시작],$P932),"yyyy-mm-dd hh:mm"),INDEX(상세표[시작],$P932)&amp;""))</f>
        <v/>
      </c>
      <c r="F932">
        <f>IF($P932="","",IF(ISNUMBER(INDEX(상세표[블록종료],$P932)),TEXT(INDEX(상세표[블록종료],$P932),"yyyy-mm-dd hh:mm"),INDEX(상세표[블록종료],$P932)&amp;""))</f>
        <v/>
      </c>
      <c r="G932">
        <f>IF($P932="","",CHOOSE(WEEKDAY(INDEX(상세표[시작],$P932)),"일","월","화","수","목","금","토"))</f>
        <v/>
      </c>
      <c r="H932">
        <f>IF($P932="","",INDEX(상세표[연속 시간],$P932))</f>
        <v/>
      </c>
      <c r="I932">
        <f>IF($P932="","",INDEX(상세표[기록 수],$P932))</f>
        <v/>
      </c>
      <c r="J932">
        <f>IF($P932="","",INDEX(상세표[블록 06~07시],$P932))</f>
        <v/>
      </c>
      <c r="K932">
        <f>IF($P932="","",INDEX(상세표[블록 07~18시],$P932))</f>
        <v/>
      </c>
      <c r="L932">
        <f>IF($P932="","",INDEX(상세표[블록 18~22시],$P932))</f>
        <v/>
      </c>
      <c r="M932">
        <f>IF($P932="","",INDEX(상세표[블록 22~06시],$P932))</f>
        <v/>
      </c>
      <c r="N932">
        <f>IF($P932="","",INDEX(상세표[주말·휴일 포함],$P932)&amp;"")</f>
        <v/>
      </c>
      <c r="O932">
        <f>IF($P932="","",INDEX(상세표[월 넘김 포함],$P932)&amp;"")</f>
        <v/>
      </c>
      <c r="P932" s="4">
        <f>IFERROR(MATCH(927,상세표[연속순번],0),"")</f>
        <v/>
      </c>
    </row>
    <row r="933">
      <c r="A933">
        <f>IF($P933="","",INDEX(상세표[사번],$P933)&amp;"")</f>
        <v/>
      </c>
      <c r="B933">
        <f>IF($P933="","",INDEX(상세표[성명],$P933)&amp;"")</f>
        <v/>
      </c>
      <c r="C933">
        <f>IF($P933="","",INDEX(상세표[부서],$P933)&amp;"")</f>
        <v/>
      </c>
      <c r="D933">
        <f>IF($P933="","",INDEX(상세표[직위],$P933)&amp;"")</f>
        <v/>
      </c>
      <c r="E933">
        <f>IF($P933="","",IF(ISNUMBER(INDEX(상세표[시작],$P933)),TEXT(INDEX(상세표[시작],$P933),"yyyy-mm-dd hh:mm"),INDEX(상세표[시작],$P933)&amp;""))</f>
        <v/>
      </c>
      <c r="F933">
        <f>IF($P933="","",IF(ISNUMBER(INDEX(상세표[블록종료],$P933)),TEXT(INDEX(상세표[블록종료],$P933),"yyyy-mm-dd hh:mm"),INDEX(상세표[블록종료],$P933)&amp;""))</f>
        <v/>
      </c>
      <c r="G933">
        <f>IF($P933="","",CHOOSE(WEEKDAY(INDEX(상세표[시작],$P933)),"일","월","화","수","목","금","토"))</f>
        <v/>
      </c>
      <c r="H933">
        <f>IF($P933="","",INDEX(상세표[연속 시간],$P933))</f>
        <v/>
      </c>
      <c r="I933">
        <f>IF($P933="","",INDEX(상세표[기록 수],$P933))</f>
        <v/>
      </c>
      <c r="J933">
        <f>IF($P933="","",INDEX(상세표[블록 06~07시],$P933))</f>
        <v/>
      </c>
      <c r="K933">
        <f>IF($P933="","",INDEX(상세표[블록 07~18시],$P933))</f>
        <v/>
      </c>
      <c r="L933">
        <f>IF($P933="","",INDEX(상세표[블록 18~22시],$P933))</f>
        <v/>
      </c>
      <c r="M933">
        <f>IF($P933="","",INDEX(상세표[블록 22~06시],$P933))</f>
        <v/>
      </c>
      <c r="N933">
        <f>IF($P933="","",INDEX(상세표[주말·휴일 포함],$P933)&amp;"")</f>
        <v/>
      </c>
      <c r="O933">
        <f>IF($P933="","",INDEX(상세표[월 넘김 포함],$P933)&amp;"")</f>
        <v/>
      </c>
      <c r="P933" s="4">
        <f>IFERROR(MATCH(928,상세표[연속순번],0),"")</f>
        <v/>
      </c>
    </row>
    <row r="934">
      <c r="A934">
        <f>IF($P934="","",INDEX(상세표[사번],$P934)&amp;"")</f>
        <v/>
      </c>
      <c r="B934">
        <f>IF($P934="","",INDEX(상세표[성명],$P934)&amp;"")</f>
        <v/>
      </c>
      <c r="C934">
        <f>IF($P934="","",INDEX(상세표[부서],$P934)&amp;"")</f>
        <v/>
      </c>
      <c r="D934">
        <f>IF($P934="","",INDEX(상세표[직위],$P934)&amp;"")</f>
        <v/>
      </c>
      <c r="E934">
        <f>IF($P934="","",IF(ISNUMBER(INDEX(상세표[시작],$P934)),TEXT(INDEX(상세표[시작],$P934),"yyyy-mm-dd hh:mm"),INDEX(상세표[시작],$P934)&amp;""))</f>
        <v/>
      </c>
      <c r="F934">
        <f>IF($P934="","",IF(ISNUMBER(INDEX(상세표[블록종료],$P934)),TEXT(INDEX(상세표[블록종료],$P934),"yyyy-mm-dd hh:mm"),INDEX(상세표[블록종료],$P934)&amp;""))</f>
        <v/>
      </c>
      <c r="G934">
        <f>IF($P934="","",CHOOSE(WEEKDAY(INDEX(상세표[시작],$P934)),"일","월","화","수","목","금","토"))</f>
        <v/>
      </c>
      <c r="H934">
        <f>IF($P934="","",INDEX(상세표[연속 시간],$P934))</f>
        <v/>
      </c>
      <c r="I934">
        <f>IF($P934="","",INDEX(상세표[기록 수],$P934))</f>
        <v/>
      </c>
      <c r="J934">
        <f>IF($P934="","",INDEX(상세표[블록 06~07시],$P934))</f>
        <v/>
      </c>
      <c r="K934">
        <f>IF($P934="","",INDEX(상세표[블록 07~18시],$P934))</f>
        <v/>
      </c>
      <c r="L934">
        <f>IF($P934="","",INDEX(상세표[블록 18~22시],$P934))</f>
        <v/>
      </c>
      <c r="M934">
        <f>IF($P934="","",INDEX(상세표[블록 22~06시],$P934))</f>
        <v/>
      </c>
      <c r="N934">
        <f>IF($P934="","",INDEX(상세표[주말·휴일 포함],$P934)&amp;"")</f>
        <v/>
      </c>
      <c r="O934">
        <f>IF($P934="","",INDEX(상세표[월 넘김 포함],$P934)&amp;"")</f>
        <v/>
      </c>
      <c r="P934" s="4">
        <f>IFERROR(MATCH(929,상세표[연속순번],0),"")</f>
        <v/>
      </c>
    </row>
    <row r="935">
      <c r="A935">
        <f>IF($P935="","",INDEX(상세표[사번],$P935)&amp;"")</f>
        <v/>
      </c>
      <c r="B935">
        <f>IF($P935="","",INDEX(상세표[성명],$P935)&amp;"")</f>
        <v/>
      </c>
      <c r="C935">
        <f>IF($P935="","",INDEX(상세표[부서],$P935)&amp;"")</f>
        <v/>
      </c>
      <c r="D935">
        <f>IF($P935="","",INDEX(상세표[직위],$P935)&amp;"")</f>
        <v/>
      </c>
      <c r="E935">
        <f>IF($P935="","",IF(ISNUMBER(INDEX(상세표[시작],$P935)),TEXT(INDEX(상세표[시작],$P935),"yyyy-mm-dd hh:mm"),INDEX(상세표[시작],$P935)&amp;""))</f>
        <v/>
      </c>
      <c r="F935">
        <f>IF($P935="","",IF(ISNUMBER(INDEX(상세표[블록종료],$P935)),TEXT(INDEX(상세표[블록종료],$P935),"yyyy-mm-dd hh:mm"),INDEX(상세표[블록종료],$P935)&amp;""))</f>
        <v/>
      </c>
      <c r="G935">
        <f>IF($P935="","",CHOOSE(WEEKDAY(INDEX(상세표[시작],$P935)),"일","월","화","수","목","금","토"))</f>
        <v/>
      </c>
      <c r="H935">
        <f>IF($P935="","",INDEX(상세표[연속 시간],$P935))</f>
        <v/>
      </c>
      <c r="I935">
        <f>IF($P935="","",INDEX(상세표[기록 수],$P935))</f>
        <v/>
      </c>
      <c r="J935">
        <f>IF($P935="","",INDEX(상세표[블록 06~07시],$P935))</f>
        <v/>
      </c>
      <c r="K935">
        <f>IF($P935="","",INDEX(상세표[블록 07~18시],$P935))</f>
        <v/>
      </c>
      <c r="L935">
        <f>IF($P935="","",INDEX(상세표[블록 18~22시],$P935))</f>
        <v/>
      </c>
      <c r="M935">
        <f>IF($P935="","",INDEX(상세표[블록 22~06시],$P935))</f>
        <v/>
      </c>
      <c r="N935">
        <f>IF($P935="","",INDEX(상세표[주말·휴일 포함],$P935)&amp;"")</f>
        <v/>
      </c>
      <c r="O935">
        <f>IF($P935="","",INDEX(상세표[월 넘김 포함],$P935)&amp;"")</f>
        <v/>
      </c>
      <c r="P935" s="4">
        <f>IFERROR(MATCH(930,상세표[연속순번],0),"")</f>
        <v/>
      </c>
    </row>
    <row r="936">
      <c r="A936">
        <f>IF($P936="","",INDEX(상세표[사번],$P936)&amp;"")</f>
        <v/>
      </c>
      <c r="B936">
        <f>IF($P936="","",INDEX(상세표[성명],$P936)&amp;"")</f>
        <v/>
      </c>
      <c r="C936">
        <f>IF($P936="","",INDEX(상세표[부서],$P936)&amp;"")</f>
        <v/>
      </c>
      <c r="D936">
        <f>IF($P936="","",INDEX(상세표[직위],$P936)&amp;"")</f>
        <v/>
      </c>
      <c r="E936">
        <f>IF($P936="","",IF(ISNUMBER(INDEX(상세표[시작],$P936)),TEXT(INDEX(상세표[시작],$P936),"yyyy-mm-dd hh:mm"),INDEX(상세표[시작],$P936)&amp;""))</f>
        <v/>
      </c>
      <c r="F936">
        <f>IF($P936="","",IF(ISNUMBER(INDEX(상세표[블록종료],$P936)),TEXT(INDEX(상세표[블록종료],$P936),"yyyy-mm-dd hh:mm"),INDEX(상세표[블록종료],$P936)&amp;""))</f>
        <v/>
      </c>
      <c r="G936">
        <f>IF($P936="","",CHOOSE(WEEKDAY(INDEX(상세표[시작],$P936)),"일","월","화","수","목","금","토"))</f>
        <v/>
      </c>
      <c r="H936">
        <f>IF($P936="","",INDEX(상세표[연속 시간],$P936))</f>
        <v/>
      </c>
      <c r="I936">
        <f>IF($P936="","",INDEX(상세표[기록 수],$P936))</f>
        <v/>
      </c>
      <c r="J936">
        <f>IF($P936="","",INDEX(상세표[블록 06~07시],$P936))</f>
        <v/>
      </c>
      <c r="K936">
        <f>IF($P936="","",INDEX(상세표[블록 07~18시],$P936))</f>
        <v/>
      </c>
      <c r="L936">
        <f>IF($P936="","",INDEX(상세표[블록 18~22시],$P936))</f>
        <v/>
      </c>
      <c r="M936">
        <f>IF($P936="","",INDEX(상세표[블록 22~06시],$P936))</f>
        <v/>
      </c>
      <c r="N936">
        <f>IF($P936="","",INDEX(상세표[주말·휴일 포함],$P936)&amp;"")</f>
        <v/>
      </c>
      <c r="O936">
        <f>IF($P936="","",INDEX(상세표[월 넘김 포함],$P936)&amp;"")</f>
        <v/>
      </c>
      <c r="P936" s="4">
        <f>IFERROR(MATCH(931,상세표[연속순번],0),"")</f>
        <v/>
      </c>
    </row>
    <row r="937">
      <c r="A937">
        <f>IF($P937="","",INDEX(상세표[사번],$P937)&amp;"")</f>
        <v/>
      </c>
      <c r="B937">
        <f>IF($P937="","",INDEX(상세표[성명],$P937)&amp;"")</f>
        <v/>
      </c>
      <c r="C937">
        <f>IF($P937="","",INDEX(상세표[부서],$P937)&amp;"")</f>
        <v/>
      </c>
      <c r="D937">
        <f>IF($P937="","",INDEX(상세표[직위],$P937)&amp;"")</f>
        <v/>
      </c>
      <c r="E937">
        <f>IF($P937="","",IF(ISNUMBER(INDEX(상세표[시작],$P937)),TEXT(INDEX(상세표[시작],$P937),"yyyy-mm-dd hh:mm"),INDEX(상세표[시작],$P937)&amp;""))</f>
        <v/>
      </c>
      <c r="F937">
        <f>IF($P937="","",IF(ISNUMBER(INDEX(상세표[블록종료],$P937)),TEXT(INDEX(상세표[블록종료],$P937),"yyyy-mm-dd hh:mm"),INDEX(상세표[블록종료],$P937)&amp;""))</f>
        <v/>
      </c>
      <c r="G937">
        <f>IF($P937="","",CHOOSE(WEEKDAY(INDEX(상세표[시작],$P937)),"일","월","화","수","목","금","토"))</f>
        <v/>
      </c>
      <c r="H937">
        <f>IF($P937="","",INDEX(상세표[연속 시간],$P937))</f>
        <v/>
      </c>
      <c r="I937">
        <f>IF($P937="","",INDEX(상세표[기록 수],$P937))</f>
        <v/>
      </c>
      <c r="J937">
        <f>IF($P937="","",INDEX(상세표[블록 06~07시],$P937))</f>
        <v/>
      </c>
      <c r="K937">
        <f>IF($P937="","",INDEX(상세표[블록 07~18시],$P937))</f>
        <v/>
      </c>
      <c r="L937">
        <f>IF($P937="","",INDEX(상세표[블록 18~22시],$P937))</f>
        <v/>
      </c>
      <c r="M937">
        <f>IF($P937="","",INDEX(상세표[블록 22~06시],$P937))</f>
        <v/>
      </c>
      <c r="N937">
        <f>IF($P937="","",INDEX(상세표[주말·휴일 포함],$P937)&amp;"")</f>
        <v/>
      </c>
      <c r="O937">
        <f>IF($P937="","",INDEX(상세표[월 넘김 포함],$P937)&amp;"")</f>
        <v/>
      </c>
      <c r="P937" s="4">
        <f>IFERROR(MATCH(932,상세표[연속순번],0),"")</f>
        <v/>
      </c>
    </row>
    <row r="938">
      <c r="A938">
        <f>IF($P938="","",INDEX(상세표[사번],$P938)&amp;"")</f>
        <v/>
      </c>
      <c r="B938">
        <f>IF($P938="","",INDEX(상세표[성명],$P938)&amp;"")</f>
        <v/>
      </c>
      <c r="C938">
        <f>IF($P938="","",INDEX(상세표[부서],$P938)&amp;"")</f>
        <v/>
      </c>
      <c r="D938">
        <f>IF($P938="","",INDEX(상세표[직위],$P938)&amp;"")</f>
        <v/>
      </c>
      <c r="E938">
        <f>IF($P938="","",IF(ISNUMBER(INDEX(상세표[시작],$P938)),TEXT(INDEX(상세표[시작],$P938),"yyyy-mm-dd hh:mm"),INDEX(상세표[시작],$P938)&amp;""))</f>
        <v/>
      </c>
      <c r="F938">
        <f>IF($P938="","",IF(ISNUMBER(INDEX(상세표[블록종료],$P938)),TEXT(INDEX(상세표[블록종료],$P938),"yyyy-mm-dd hh:mm"),INDEX(상세표[블록종료],$P938)&amp;""))</f>
        <v/>
      </c>
      <c r="G938">
        <f>IF($P938="","",CHOOSE(WEEKDAY(INDEX(상세표[시작],$P938)),"일","월","화","수","목","금","토"))</f>
        <v/>
      </c>
      <c r="H938">
        <f>IF($P938="","",INDEX(상세표[연속 시간],$P938))</f>
        <v/>
      </c>
      <c r="I938">
        <f>IF($P938="","",INDEX(상세표[기록 수],$P938))</f>
        <v/>
      </c>
      <c r="J938">
        <f>IF($P938="","",INDEX(상세표[블록 06~07시],$P938))</f>
        <v/>
      </c>
      <c r="K938">
        <f>IF($P938="","",INDEX(상세표[블록 07~18시],$P938))</f>
        <v/>
      </c>
      <c r="L938">
        <f>IF($P938="","",INDEX(상세표[블록 18~22시],$P938))</f>
        <v/>
      </c>
      <c r="M938">
        <f>IF($P938="","",INDEX(상세표[블록 22~06시],$P938))</f>
        <v/>
      </c>
      <c r="N938">
        <f>IF($P938="","",INDEX(상세표[주말·휴일 포함],$P938)&amp;"")</f>
        <v/>
      </c>
      <c r="O938">
        <f>IF($P938="","",INDEX(상세표[월 넘김 포함],$P938)&amp;"")</f>
        <v/>
      </c>
      <c r="P938" s="4">
        <f>IFERROR(MATCH(933,상세표[연속순번],0),"")</f>
        <v/>
      </c>
    </row>
    <row r="939">
      <c r="A939">
        <f>IF($P939="","",INDEX(상세표[사번],$P939)&amp;"")</f>
        <v/>
      </c>
      <c r="B939">
        <f>IF($P939="","",INDEX(상세표[성명],$P939)&amp;"")</f>
        <v/>
      </c>
      <c r="C939">
        <f>IF($P939="","",INDEX(상세표[부서],$P939)&amp;"")</f>
        <v/>
      </c>
      <c r="D939">
        <f>IF($P939="","",INDEX(상세표[직위],$P939)&amp;"")</f>
        <v/>
      </c>
      <c r="E939">
        <f>IF($P939="","",IF(ISNUMBER(INDEX(상세표[시작],$P939)),TEXT(INDEX(상세표[시작],$P939),"yyyy-mm-dd hh:mm"),INDEX(상세표[시작],$P939)&amp;""))</f>
        <v/>
      </c>
      <c r="F939">
        <f>IF($P939="","",IF(ISNUMBER(INDEX(상세표[블록종료],$P939)),TEXT(INDEX(상세표[블록종료],$P939),"yyyy-mm-dd hh:mm"),INDEX(상세표[블록종료],$P939)&amp;""))</f>
        <v/>
      </c>
      <c r="G939">
        <f>IF($P939="","",CHOOSE(WEEKDAY(INDEX(상세표[시작],$P939)),"일","월","화","수","목","금","토"))</f>
        <v/>
      </c>
      <c r="H939">
        <f>IF($P939="","",INDEX(상세표[연속 시간],$P939))</f>
        <v/>
      </c>
      <c r="I939">
        <f>IF($P939="","",INDEX(상세표[기록 수],$P939))</f>
        <v/>
      </c>
      <c r="J939">
        <f>IF($P939="","",INDEX(상세표[블록 06~07시],$P939))</f>
        <v/>
      </c>
      <c r="K939">
        <f>IF($P939="","",INDEX(상세표[블록 07~18시],$P939))</f>
        <v/>
      </c>
      <c r="L939">
        <f>IF($P939="","",INDEX(상세표[블록 18~22시],$P939))</f>
        <v/>
      </c>
      <c r="M939">
        <f>IF($P939="","",INDEX(상세표[블록 22~06시],$P939))</f>
        <v/>
      </c>
      <c r="N939">
        <f>IF($P939="","",INDEX(상세표[주말·휴일 포함],$P939)&amp;"")</f>
        <v/>
      </c>
      <c r="O939">
        <f>IF($P939="","",INDEX(상세표[월 넘김 포함],$P939)&amp;"")</f>
        <v/>
      </c>
      <c r="P939" s="4">
        <f>IFERROR(MATCH(934,상세표[연속순번],0),"")</f>
        <v/>
      </c>
    </row>
    <row r="940">
      <c r="A940">
        <f>IF($P940="","",INDEX(상세표[사번],$P940)&amp;"")</f>
        <v/>
      </c>
      <c r="B940">
        <f>IF($P940="","",INDEX(상세표[성명],$P940)&amp;"")</f>
        <v/>
      </c>
      <c r="C940">
        <f>IF($P940="","",INDEX(상세표[부서],$P940)&amp;"")</f>
        <v/>
      </c>
      <c r="D940">
        <f>IF($P940="","",INDEX(상세표[직위],$P940)&amp;"")</f>
        <v/>
      </c>
      <c r="E940">
        <f>IF($P940="","",IF(ISNUMBER(INDEX(상세표[시작],$P940)),TEXT(INDEX(상세표[시작],$P940),"yyyy-mm-dd hh:mm"),INDEX(상세표[시작],$P940)&amp;""))</f>
        <v/>
      </c>
      <c r="F940">
        <f>IF($P940="","",IF(ISNUMBER(INDEX(상세표[블록종료],$P940)),TEXT(INDEX(상세표[블록종료],$P940),"yyyy-mm-dd hh:mm"),INDEX(상세표[블록종료],$P940)&amp;""))</f>
        <v/>
      </c>
      <c r="G940">
        <f>IF($P940="","",CHOOSE(WEEKDAY(INDEX(상세표[시작],$P940)),"일","월","화","수","목","금","토"))</f>
        <v/>
      </c>
      <c r="H940">
        <f>IF($P940="","",INDEX(상세표[연속 시간],$P940))</f>
        <v/>
      </c>
      <c r="I940">
        <f>IF($P940="","",INDEX(상세표[기록 수],$P940))</f>
        <v/>
      </c>
      <c r="J940">
        <f>IF($P940="","",INDEX(상세표[블록 06~07시],$P940))</f>
        <v/>
      </c>
      <c r="K940">
        <f>IF($P940="","",INDEX(상세표[블록 07~18시],$P940))</f>
        <v/>
      </c>
      <c r="L940">
        <f>IF($P940="","",INDEX(상세표[블록 18~22시],$P940))</f>
        <v/>
      </c>
      <c r="M940">
        <f>IF($P940="","",INDEX(상세표[블록 22~06시],$P940))</f>
        <v/>
      </c>
      <c r="N940">
        <f>IF($P940="","",INDEX(상세표[주말·휴일 포함],$P940)&amp;"")</f>
        <v/>
      </c>
      <c r="O940">
        <f>IF($P940="","",INDEX(상세표[월 넘김 포함],$P940)&amp;"")</f>
        <v/>
      </c>
      <c r="P940" s="4">
        <f>IFERROR(MATCH(935,상세표[연속순번],0),"")</f>
        <v/>
      </c>
    </row>
    <row r="941">
      <c r="A941">
        <f>IF($P941="","",INDEX(상세표[사번],$P941)&amp;"")</f>
        <v/>
      </c>
      <c r="B941">
        <f>IF($P941="","",INDEX(상세표[성명],$P941)&amp;"")</f>
        <v/>
      </c>
      <c r="C941">
        <f>IF($P941="","",INDEX(상세표[부서],$P941)&amp;"")</f>
        <v/>
      </c>
      <c r="D941">
        <f>IF($P941="","",INDEX(상세표[직위],$P941)&amp;"")</f>
        <v/>
      </c>
      <c r="E941">
        <f>IF($P941="","",IF(ISNUMBER(INDEX(상세표[시작],$P941)),TEXT(INDEX(상세표[시작],$P941),"yyyy-mm-dd hh:mm"),INDEX(상세표[시작],$P941)&amp;""))</f>
        <v/>
      </c>
      <c r="F941">
        <f>IF($P941="","",IF(ISNUMBER(INDEX(상세표[블록종료],$P941)),TEXT(INDEX(상세표[블록종료],$P941),"yyyy-mm-dd hh:mm"),INDEX(상세표[블록종료],$P941)&amp;""))</f>
        <v/>
      </c>
      <c r="G941">
        <f>IF($P941="","",CHOOSE(WEEKDAY(INDEX(상세표[시작],$P941)),"일","월","화","수","목","금","토"))</f>
        <v/>
      </c>
      <c r="H941">
        <f>IF($P941="","",INDEX(상세표[연속 시간],$P941))</f>
        <v/>
      </c>
      <c r="I941">
        <f>IF($P941="","",INDEX(상세표[기록 수],$P941))</f>
        <v/>
      </c>
      <c r="J941">
        <f>IF($P941="","",INDEX(상세표[블록 06~07시],$P941))</f>
        <v/>
      </c>
      <c r="K941">
        <f>IF($P941="","",INDEX(상세표[블록 07~18시],$P941))</f>
        <v/>
      </c>
      <c r="L941">
        <f>IF($P941="","",INDEX(상세표[블록 18~22시],$P941))</f>
        <v/>
      </c>
      <c r="M941">
        <f>IF($P941="","",INDEX(상세표[블록 22~06시],$P941))</f>
        <v/>
      </c>
      <c r="N941">
        <f>IF($P941="","",INDEX(상세표[주말·휴일 포함],$P941)&amp;"")</f>
        <v/>
      </c>
      <c r="O941">
        <f>IF($P941="","",INDEX(상세표[월 넘김 포함],$P941)&amp;"")</f>
        <v/>
      </c>
      <c r="P941" s="4">
        <f>IFERROR(MATCH(936,상세표[연속순번],0),"")</f>
        <v/>
      </c>
    </row>
    <row r="942">
      <c r="A942">
        <f>IF($P942="","",INDEX(상세표[사번],$P942)&amp;"")</f>
        <v/>
      </c>
      <c r="B942">
        <f>IF($P942="","",INDEX(상세표[성명],$P942)&amp;"")</f>
        <v/>
      </c>
      <c r="C942">
        <f>IF($P942="","",INDEX(상세표[부서],$P942)&amp;"")</f>
        <v/>
      </c>
      <c r="D942">
        <f>IF($P942="","",INDEX(상세표[직위],$P942)&amp;"")</f>
        <v/>
      </c>
      <c r="E942">
        <f>IF($P942="","",IF(ISNUMBER(INDEX(상세표[시작],$P942)),TEXT(INDEX(상세표[시작],$P942),"yyyy-mm-dd hh:mm"),INDEX(상세표[시작],$P942)&amp;""))</f>
        <v/>
      </c>
      <c r="F942">
        <f>IF($P942="","",IF(ISNUMBER(INDEX(상세표[블록종료],$P942)),TEXT(INDEX(상세표[블록종료],$P942),"yyyy-mm-dd hh:mm"),INDEX(상세표[블록종료],$P942)&amp;""))</f>
        <v/>
      </c>
      <c r="G942">
        <f>IF($P942="","",CHOOSE(WEEKDAY(INDEX(상세표[시작],$P942)),"일","월","화","수","목","금","토"))</f>
        <v/>
      </c>
      <c r="H942">
        <f>IF($P942="","",INDEX(상세표[연속 시간],$P942))</f>
        <v/>
      </c>
      <c r="I942">
        <f>IF($P942="","",INDEX(상세표[기록 수],$P942))</f>
        <v/>
      </c>
      <c r="J942">
        <f>IF($P942="","",INDEX(상세표[블록 06~07시],$P942))</f>
        <v/>
      </c>
      <c r="K942">
        <f>IF($P942="","",INDEX(상세표[블록 07~18시],$P942))</f>
        <v/>
      </c>
      <c r="L942">
        <f>IF($P942="","",INDEX(상세표[블록 18~22시],$P942))</f>
        <v/>
      </c>
      <c r="M942">
        <f>IF($P942="","",INDEX(상세표[블록 22~06시],$P942))</f>
        <v/>
      </c>
      <c r="N942">
        <f>IF($P942="","",INDEX(상세표[주말·휴일 포함],$P942)&amp;"")</f>
        <v/>
      </c>
      <c r="O942">
        <f>IF($P942="","",INDEX(상세표[월 넘김 포함],$P942)&amp;"")</f>
        <v/>
      </c>
      <c r="P942" s="4">
        <f>IFERROR(MATCH(937,상세표[연속순번],0),"")</f>
        <v/>
      </c>
    </row>
    <row r="943">
      <c r="A943">
        <f>IF($P943="","",INDEX(상세표[사번],$P943)&amp;"")</f>
        <v/>
      </c>
      <c r="B943">
        <f>IF($P943="","",INDEX(상세표[성명],$P943)&amp;"")</f>
        <v/>
      </c>
      <c r="C943">
        <f>IF($P943="","",INDEX(상세표[부서],$P943)&amp;"")</f>
        <v/>
      </c>
      <c r="D943">
        <f>IF($P943="","",INDEX(상세표[직위],$P943)&amp;"")</f>
        <v/>
      </c>
      <c r="E943">
        <f>IF($P943="","",IF(ISNUMBER(INDEX(상세표[시작],$P943)),TEXT(INDEX(상세표[시작],$P943),"yyyy-mm-dd hh:mm"),INDEX(상세표[시작],$P943)&amp;""))</f>
        <v/>
      </c>
      <c r="F943">
        <f>IF($P943="","",IF(ISNUMBER(INDEX(상세표[블록종료],$P943)),TEXT(INDEX(상세표[블록종료],$P943),"yyyy-mm-dd hh:mm"),INDEX(상세표[블록종료],$P943)&amp;""))</f>
        <v/>
      </c>
      <c r="G943">
        <f>IF($P943="","",CHOOSE(WEEKDAY(INDEX(상세표[시작],$P943)),"일","월","화","수","목","금","토"))</f>
        <v/>
      </c>
      <c r="H943">
        <f>IF($P943="","",INDEX(상세표[연속 시간],$P943))</f>
        <v/>
      </c>
      <c r="I943">
        <f>IF($P943="","",INDEX(상세표[기록 수],$P943))</f>
        <v/>
      </c>
      <c r="J943">
        <f>IF($P943="","",INDEX(상세표[블록 06~07시],$P943))</f>
        <v/>
      </c>
      <c r="K943">
        <f>IF($P943="","",INDEX(상세표[블록 07~18시],$P943))</f>
        <v/>
      </c>
      <c r="L943">
        <f>IF($P943="","",INDEX(상세표[블록 18~22시],$P943))</f>
        <v/>
      </c>
      <c r="M943">
        <f>IF($P943="","",INDEX(상세표[블록 22~06시],$P943))</f>
        <v/>
      </c>
      <c r="N943">
        <f>IF($P943="","",INDEX(상세표[주말·휴일 포함],$P943)&amp;"")</f>
        <v/>
      </c>
      <c r="O943">
        <f>IF($P943="","",INDEX(상세표[월 넘김 포함],$P943)&amp;"")</f>
        <v/>
      </c>
      <c r="P943" s="4">
        <f>IFERROR(MATCH(938,상세표[연속순번],0),"")</f>
        <v/>
      </c>
    </row>
    <row r="944">
      <c r="A944">
        <f>IF($P944="","",INDEX(상세표[사번],$P944)&amp;"")</f>
        <v/>
      </c>
      <c r="B944">
        <f>IF($P944="","",INDEX(상세표[성명],$P944)&amp;"")</f>
        <v/>
      </c>
      <c r="C944">
        <f>IF($P944="","",INDEX(상세표[부서],$P944)&amp;"")</f>
        <v/>
      </c>
      <c r="D944">
        <f>IF($P944="","",INDEX(상세표[직위],$P944)&amp;"")</f>
        <v/>
      </c>
      <c r="E944">
        <f>IF($P944="","",IF(ISNUMBER(INDEX(상세표[시작],$P944)),TEXT(INDEX(상세표[시작],$P944),"yyyy-mm-dd hh:mm"),INDEX(상세표[시작],$P944)&amp;""))</f>
        <v/>
      </c>
      <c r="F944">
        <f>IF($P944="","",IF(ISNUMBER(INDEX(상세표[블록종료],$P944)),TEXT(INDEX(상세표[블록종료],$P944),"yyyy-mm-dd hh:mm"),INDEX(상세표[블록종료],$P944)&amp;""))</f>
        <v/>
      </c>
      <c r="G944">
        <f>IF($P944="","",CHOOSE(WEEKDAY(INDEX(상세표[시작],$P944)),"일","월","화","수","목","금","토"))</f>
        <v/>
      </c>
      <c r="H944">
        <f>IF($P944="","",INDEX(상세표[연속 시간],$P944))</f>
        <v/>
      </c>
      <c r="I944">
        <f>IF($P944="","",INDEX(상세표[기록 수],$P944))</f>
        <v/>
      </c>
      <c r="J944">
        <f>IF($P944="","",INDEX(상세표[블록 06~07시],$P944))</f>
        <v/>
      </c>
      <c r="K944">
        <f>IF($P944="","",INDEX(상세표[블록 07~18시],$P944))</f>
        <v/>
      </c>
      <c r="L944">
        <f>IF($P944="","",INDEX(상세표[블록 18~22시],$P944))</f>
        <v/>
      </c>
      <c r="M944">
        <f>IF($P944="","",INDEX(상세표[블록 22~06시],$P944))</f>
        <v/>
      </c>
      <c r="N944">
        <f>IF($P944="","",INDEX(상세표[주말·휴일 포함],$P944)&amp;"")</f>
        <v/>
      </c>
      <c r="O944">
        <f>IF($P944="","",INDEX(상세표[월 넘김 포함],$P944)&amp;"")</f>
        <v/>
      </c>
      <c r="P944" s="4">
        <f>IFERROR(MATCH(939,상세표[연속순번],0),"")</f>
        <v/>
      </c>
    </row>
    <row r="945">
      <c r="A945">
        <f>IF($P945="","",INDEX(상세표[사번],$P945)&amp;"")</f>
        <v/>
      </c>
      <c r="B945">
        <f>IF($P945="","",INDEX(상세표[성명],$P945)&amp;"")</f>
        <v/>
      </c>
      <c r="C945">
        <f>IF($P945="","",INDEX(상세표[부서],$P945)&amp;"")</f>
        <v/>
      </c>
      <c r="D945">
        <f>IF($P945="","",INDEX(상세표[직위],$P945)&amp;"")</f>
        <v/>
      </c>
      <c r="E945">
        <f>IF($P945="","",IF(ISNUMBER(INDEX(상세표[시작],$P945)),TEXT(INDEX(상세표[시작],$P945),"yyyy-mm-dd hh:mm"),INDEX(상세표[시작],$P945)&amp;""))</f>
        <v/>
      </c>
      <c r="F945">
        <f>IF($P945="","",IF(ISNUMBER(INDEX(상세표[블록종료],$P945)),TEXT(INDEX(상세표[블록종료],$P945),"yyyy-mm-dd hh:mm"),INDEX(상세표[블록종료],$P945)&amp;""))</f>
        <v/>
      </c>
      <c r="G945">
        <f>IF($P945="","",CHOOSE(WEEKDAY(INDEX(상세표[시작],$P945)),"일","월","화","수","목","금","토"))</f>
        <v/>
      </c>
      <c r="H945">
        <f>IF($P945="","",INDEX(상세표[연속 시간],$P945))</f>
        <v/>
      </c>
      <c r="I945">
        <f>IF($P945="","",INDEX(상세표[기록 수],$P945))</f>
        <v/>
      </c>
      <c r="J945">
        <f>IF($P945="","",INDEX(상세표[블록 06~07시],$P945))</f>
        <v/>
      </c>
      <c r="K945">
        <f>IF($P945="","",INDEX(상세표[블록 07~18시],$P945))</f>
        <v/>
      </c>
      <c r="L945">
        <f>IF($P945="","",INDEX(상세표[블록 18~22시],$P945))</f>
        <v/>
      </c>
      <c r="M945">
        <f>IF($P945="","",INDEX(상세표[블록 22~06시],$P945))</f>
        <v/>
      </c>
      <c r="N945">
        <f>IF($P945="","",INDEX(상세표[주말·휴일 포함],$P945)&amp;"")</f>
        <v/>
      </c>
      <c r="O945">
        <f>IF($P945="","",INDEX(상세표[월 넘김 포함],$P945)&amp;"")</f>
        <v/>
      </c>
      <c r="P945" s="4">
        <f>IFERROR(MATCH(940,상세표[연속순번],0),"")</f>
        <v/>
      </c>
    </row>
    <row r="946">
      <c r="A946">
        <f>IF($P946="","",INDEX(상세표[사번],$P946)&amp;"")</f>
        <v/>
      </c>
      <c r="B946">
        <f>IF($P946="","",INDEX(상세표[성명],$P946)&amp;"")</f>
        <v/>
      </c>
      <c r="C946">
        <f>IF($P946="","",INDEX(상세표[부서],$P946)&amp;"")</f>
        <v/>
      </c>
      <c r="D946">
        <f>IF($P946="","",INDEX(상세표[직위],$P946)&amp;"")</f>
        <v/>
      </c>
      <c r="E946">
        <f>IF($P946="","",IF(ISNUMBER(INDEX(상세표[시작],$P946)),TEXT(INDEX(상세표[시작],$P946),"yyyy-mm-dd hh:mm"),INDEX(상세표[시작],$P946)&amp;""))</f>
        <v/>
      </c>
      <c r="F946">
        <f>IF($P946="","",IF(ISNUMBER(INDEX(상세표[블록종료],$P946)),TEXT(INDEX(상세표[블록종료],$P946),"yyyy-mm-dd hh:mm"),INDEX(상세표[블록종료],$P946)&amp;""))</f>
        <v/>
      </c>
      <c r="G946">
        <f>IF($P946="","",CHOOSE(WEEKDAY(INDEX(상세표[시작],$P946)),"일","월","화","수","목","금","토"))</f>
        <v/>
      </c>
      <c r="H946">
        <f>IF($P946="","",INDEX(상세표[연속 시간],$P946))</f>
        <v/>
      </c>
      <c r="I946">
        <f>IF($P946="","",INDEX(상세표[기록 수],$P946))</f>
        <v/>
      </c>
      <c r="J946">
        <f>IF($P946="","",INDEX(상세표[블록 06~07시],$P946))</f>
        <v/>
      </c>
      <c r="K946">
        <f>IF($P946="","",INDEX(상세표[블록 07~18시],$P946))</f>
        <v/>
      </c>
      <c r="L946">
        <f>IF($P946="","",INDEX(상세표[블록 18~22시],$P946))</f>
        <v/>
      </c>
      <c r="M946">
        <f>IF($P946="","",INDEX(상세표[블록 22~06시],$P946))</f>
        <v/>
      </c>
      <c r="N946">
        <f>IF($P946="","",INDEX(상세표[주말·휴일 포함],$P946)&amp;"")</f>
        <v/>
      </c>
      <c r="O946">
        <f>IF($P946="","",INDEX(상세표[월 넘김 포함],$P946)&amp;"")</f>
        <v/>
      </c>
      <c r="P946" s="4">
        <f>IFERROR(MATCH(941,상세표[연속순번],0),"")</f>
        <v/>
      </c>
    </row>
    <row r="947">
      <c r="A947">
        <f>IF($P947="","",INDEX(상세표[사번],$P947)&amp;"")</f>
        <v/>
      </c>
      <c r="B947">
        <f>IF($P947="","",INDEX(상세표[성명],$P947)&amp;"")</f>
        <v/>
      </c>
      <c r="C947">
        <f>IF($P947="","",INDEX(상세표[부서],$P947)&amp;"")</f>
        <v/>
      </c>
      <c r="D947">
        <f>IF($P947="","",INDEX(상세표[직위],$P947)&amp;"")</f>
        <v/>
      </c>
      <c r="E947">
        <f>IF($P947="","",IF(ISNUMBER(INDEX(상세표[시작],$P947)),TEXT(INDEX(상세표[시작],$P947),"yyyy-mm-dd hh:mm"),INDEX(상세표[시작],$P947)&amp;""))</f>
        <v/>
      </c>
      <c r="F947">
        <f>IF($P947="","",IF(ISNUMBER(INDEX(상세표[블록종료],$P947)),TEXT(INDEX(상세표[블록종료],$P947),"yyyy-mm-dd hh:mm"),INDEX(상세표[블록종료],$P947)&amp;""))</f>
        <v/>
      </c>
      <c r="G947">
        <f>IF($P947="","",CHOOSE(WEEKDAY(INDEX(상세표[시작],$P947)),"일","월","화","수","목","금","토"))</f>
        <v/>
      </c>
      <c r="H947">
        <f>IF($P947="","",INDEX(상세표[연속 시간],$P947))</f>
        <v/>
      </c>
      <c r="I947">
        <f>IF($P947="","",INDEX(상세표[기록 수],$P947))</f>
        <v/>
      </c>
      <c r="J947">
        <f>IF($P947="","",INDEX(상세표[블록 06~07시],$P947))</f>
        <v/>
      </c>
      <c r="K947">
        <f>IF($P947="","",INDEX(상세표[블록 07~18시],$P947))</f>
        <v/>
      </c>
      <c r="L947">
        <f>IF($P947="","",INDEX(상세표[블록 18~22시],$P947))</f>
        <v/>
      </c>
      <c r="M947">
        <f>IF($P947="","",INDEX(상세표[블록 22~06시],$P947))</f>
        <v/>
      </c>
      <c r="N947">
        <f>IF($P947="","",INDEX(상세표[주말·휴일 포함],$P947)&amp;"")</f>
        <v/>
      </c>
      <c r="O947">
        <f>IF($P947="","",INDEX(상세표[월 넘김 포함],$P947)&amp;"")</f>
        <v/>
      </c>
      <c r="P947" s="4">
        <f>IFERROR(MATCH(942,상세표[연속순번],0),"")</f>
        <v/>
      </c>
    </row>
    <row r="948">
      <c r="A948">
        <f>IF($P948="","",INDEX(상세표[사번],$P948)&amp;"")</f>
        <v/>
      </c>
      <c r="B948">
        <f>IF($P948="","",INDEX(상세표[성명],$P948)&amp;"")</f>
        <v/>
      </c>
      <c r="C948">
        <f>IF($P948="","",INDEX(상세표[부서],$P948)&amp;"")</f>
        <v/>
      </c>
      <c r="D948">
        <f>IF($P948="","",INDEX(상세표[직위],$P948)&amp;"")</f>
        <v/>
      </c>
      <c r="E948">
        <f>IF($P948="","",IF(ISNUMBER(INDEX(상세표[시작],$P948)),TEXT(INDEX(상세표[시작],$P948),"yyyy-mm-dd hh:mm"),INDEX(상세표[시작],$P948)&amp;""))</f>
        <v/>
      </c>
      <c r="F948">
        <f>IF($P948="","",IF(ISNUMBER(INDEX(상세표[블록종료],$P948)),TEXT(INDEX(상세표[블록종료],$P948),"yyyy-mm-dd hh:mm"),INDEX(상세표[블록종료],$P948)&amp;""))</f>
        <v/>
      </c>
      <c r="G948">
        <f>IF($P948="","",CHOOSE(WEEKDAY(INDEX(상세표[시작],$P948)),"일","월","화","수","목","금","토"))</f>
        <v/>
      </c>
      <c r="H948">
        <f>IF($P948="","",INDEX(상세표[연속 시간],$P948))</f>
        <v/>
      </c>
      <c r="I948">
        <f>IF($P948="","",INDEX(상세표[기록 수],$P948))</f>
        <v/>
      </c>
      <c r="J948">
        <f>IF($P948="","",INDEX(상세표[블록 06~07시],$P948))</f>
        <v/>
      </c>
      <c r="K948">
        <f>IF($P948="","",INDEX(상세표[블록 07~18시],$P948))</f>
        <v/>
      </c>
      <c r="L948">
        <f>IF($P948="","",INDEX(상세표[블록 18~22시],$P948))</f>
        <v/>
      </c>
      <c r="M948">
        <f>IF($P948="","",INDEX(상세표[블록 22~06시],$P948))</f>
        <v/>
      </c>
      <c r="N948">
        <f>IF($P948="","",INDEX(상세표[주말·휴일 포함],$P948)&amp;"")</f>
        <v/>
      </c>
      <c r="O948">
        <f>IF($P948="","",INDEX(상세표[월 넘김 포함],$P948)&amp;"")</f>
        <v/>
      </c>
      <c r="P948" s="4">
        <f>IFERROR(MATCH(943,상세표[연속순번],0),"")</f>
        <v/>
      </c>
    </row>
    <row r="949">
      <c r="A949">
        <f>IF($P949="","",INDEX(상세표[사번],$P949)&amp;"")</f>
        <v/>
      </c>
      <c r="B949">
        <f>IF($P949="","",INDEX(상세표[성명],$P949)&amp;"")</f>
        <v/>
      </c>
      <c r="C949">
        <f>IF($P949="","",INDEX(상세표[부서],$P949)&amp;"")</f>
        <v/>
      </c>
      <c r="D949">
        <f>IF($P949="","",INDEX(상세표[직위],$P949)&amp;"")</f>
        <v/>
      </c>
      <c r="E949">
        <f>IF($P949="","",IF(ISNUMBER(INDEX(상세표[시작],$P949)),TEXT(INDEX(상세표[시작],$P949),"yyyy-mm-dd hh:mm"),INDEX(상세표[시작],$P949)&amp;""))</f>
        <v/>
      </c>
      <c r="F949">
        <f>IF($P949="","",IF(ISNUMBER(INDEX(상세표[블록종료],$P949)),TEXT(INDEX(상세표[블록종료],$P949),"yyyy-mm-dd hh:mm"),INDEX(상세표[블록종료],$P949)&amp;""))</f>
        <v/>
      </c>
      <c r="G949">
        <f>IF($P949="","",CHOOSE(WEEKDAY(INDEX(상세표[시작],$P949)),"일","월","화","수","목","금","토"))</f>
        <v/>
      </c>
      <c r="H949">
        <f>IF($P949="","",INDEX(상세표[연속 시간],$P949))</f>
        <v/>
      </c>
      <c r="I949">
        <f>IF($P949="","",INDEX(상세표[기록 수],$P949))</f>
        <v/>
      </c>
      <c r="J949">
        <f>IF($P949="","",INDEX(상세표[블록 06~07시],$P949))</f>
        <v/>
      </c>
      <c r="K949">
        <f>IF($P949="","",INDEX(상세표[블록 07~18시],$P949))</f>
        <v/>
      </c>
      <c r="L949">
        <f>IF($P949="","",INDEX(상세표[블록 18~22시],$P949))</f>
        <v/>
      </c>
      <c r="M949">
        <f>IF($P949="","",INDEX(상세표[블록 22~06시],$P949))</f>
        <v/>
      </c>
      <c r="N949">
        <f>IF($P949="","",INDEX(상세표[주말·휴일 포함],$P949)&amp;"")</f>
        <v/>
      </c>
      <c r="O949">
        <f>IF($P949="","",INDEX(상세표[월 넘김 포함],$P949)&amp;"")</f>
        <v/>
      </c>
      <c r="P949" s="4">
        <f>IFERROR(MATCH(944,상세표[연속순번],0),"")</f>
        <v/>
      </c>
    </row>
    <row r="950">
      <c r="A950">
        <f>IF($P950="","",INDEX(상세표[사번],$P950)&amp;"")</f>
        <v/>
      </c>
      <c r="B950">
        <f>IF($P950="","",INDEX(상세표[성명],$P950)&amp;"")</f>
        <v/>
      </c>
      <c r="C950">
        <f>IF($P950="","",INDEX(상세표[부서],$P950)&amp;"")</f>
        <v/>
      </c>
      <c r="D950">
        <f>IF($P950="","",INDEX(상세표[직위],$P950)&amp;"")</f>
        <v/>
      </c>
      <c r="E950">
        <f>IF($P950="","",IF(ISNUMBER(INDEX(상세표[시작],$P950)),TEXT(INDEX(상세표[시작],$P950),"yyyy-mm-dd hh:mm"),INDEX(상세표[시작],$P950)&amp;""))</f>
        <v/>
      </c>
      <c r="F950">
        <f>IF($P950="","",IF(ISNUMBER(INDEX(상세표[블록종료],$P950)),TEXT(INDEX(상세표[블록종료],$P950),"yyyy-mm-dd hh:mm"),INDEX(상세표[블록종료],$P950)&amp;""))</f>
        <v/>
      </c>
      <c r="G950">
        <f>IF($P950="","",CHOOSE(WEEKDAY(INDEX(상세표[시작],$P950)),"일","월","화","수","목","금","토"))</f>
        <v/>
      </c>
      <c r="H950">
        <f>IF($P950="","",INDEX(상세표[연속 시간],$P950))</f>
        <v/>
      </c>
      <c r="I950">
        <f>IF($P950="","",INDEX(상세표[기록 수],$P950))</f>
        <v/>
      </c>
      <c r="J950">
        <f>IF($P950="","",INDEX(상세표[블록 06~07시],$P950))</f>
        <v/>
      </c>
      <c r="K950">
        <f>IF($P950="","",INDEX(상세표[블록 07~18시],$P950))</f>
        <v/>
      </c>
      <c r="L950">
        <f>IF($P950="","",INDEX(상세표[블록 18~22시],$P950))</f>
        <v/>
      </c>
      <c r="M950">
        <f>IF($P950="","",INDEX(상세표[블록 22~06시],$P950))</f>
        <v/>
      </c>
      <c r="N950">
        <f>IF($P950="","",INDEX(상세표[주말·휴일 포함],$P950)&amp;"")</f>
        <v/>
      </c>
      <c r="O950">
        <f>IF($P950="","",INDEX(상세표[월 넘김 포함],$P950)&amp;"")</f>
        <v/>
      </c>
      <c r="P950" s="4">
        <f>IFERROR(MATCH(945,상세표[연속순번],0),"")</f>
        <v/>
      </c>
    </row>
    <row r="951">
      <c r="A951">
        <f>IF($P951="","",INDEX(상세표[사번],$P951)&amp;"")</f>
        <v/>
      </c>
      <c r="B951">
        <f>IF($P951="","",INDEX(상세표[성명],$P951)&amp;"")</f>
        <v/>
      </c>
      <c r="C951">
        <f>IF($P951="","",INDEX(상세표[부서],$P951)&amp;"")</f>
        <v/>
      </c>
      <c r="D951">
        <f>IF($P951="","",INDEX(상세표[직위],$P951)&amp;"")</f>
        <v/>
      </c>
      <c r="E951">
        <f>IF($P951="","",IF(ISNUMBER(INDEX(상세표[시작],$P951)),TEXT(INDEX(상세표[시작],$P951),"yyyy-mm-dd hh:mm"),INDEX(상세표[시작],$P951)&amp;""))</f>
        <v/>
      </c>
      <c r="F951">
        <f>IF($P951="","",IF(ISNUMBER(INDEX(상세표[블록종료],$P951)),TEXT(INDEX(상세표[블록종료],$P951),"yyyy-mm-dd hh:mm"),INDEX(상세표[블록종료],$P951)&amp;""))</f>
        <v/>
      </c>
      <c r="G951">
        <f>IF($P951="","",CHOOSE(WEEKDAY(INDEX(상세표[시작],$P951)),"일","월","화","수","목","금","토"))</f>
        <v/>
      </c>
      <c r="H951">
        <f>IF($P951="","",INDEX(상세표[연속 시간],$P951))</f>
        <v/>
      </c>
      <c r="I951">
        <f>IF($P951="","",INDEX(상세표[기록 수],$P951))</f>
        <v/>
      </c>
      <c r="J951">
        <f>IF($P951="","",INDEX(상세표[블록 06~07시],$P951))</f>
        <v/>
      </c>
      <c r="K951">
        <f>IF($P951="","",INDEX(상세표[블록 07~18시],$P951))</f>
        <v/>
      </c>
      <c r="L951">
        <f>IF($P951="","",INDEX(상세표[블록 18~22시],$P951))</f>
        <v/>
      </c>
      <c r="M951">
        <f>IF($P951="","",INDEX(상세표[블록 22~06시],$P951))</f>
        <v/>
      </c>
      <c r="N951">
        <f>IF($P951="","",INDEX(상세표[주말·휴일 포함],$P951)&amp;"")</f>
        <v/>
      </c>
      <c r="O951">
        <f>IF($P951="","",INDEX(상세표[월 넘김 포함],$P951)&amp;"")</f>
        <v/>
      </c>
      <c r="P951" s="4">
        <f>IFERROR(MATCH(946,상세표[연속순번],0),"")</f>
        <v/>
      </c>
    </row>
    <row r="952">
      <c r="A952">
        <f>IF($P952="","",INDEX(상세표[사번],$P952)&amp;"")</f>
        <v/>
      </c>
      <c r="B952">
        <f>IF($P952="","",INDEX(상세표[성명],$P952)&amp;"")</f>
        <v/>
      </c>
      <c r="C952">
        <f>IF($P952="","",INDEX(상세표[부서],$P952)&amp;"")</f>
        <v/>
      </c>
      <c r="D952">
        <f>IF($P952="","",INDEX(상세표[직위],$P952)&amp;"")</f>
        <v/>
      </c>
      <c r="E952">
        <f>IF($P952="","",IF(ISNUMBER(INDEX(상세표[시작],$P952)),TEXT(INDEX(상세표[시작],$P952),"yyyy-mm-dd hh:mm"),INDEX(상세표[시작],$P952)&amp;""))</f>
        <v/>
      </c>
      <c r="F952">
        <f>IF($P952="","",IF(ISNUMBER(INDEX(상세표[블록종료],$P952)),TEXT(INDEX(상세표[블록종료],$P952),"yyyy-mm-dd hh:mm"),INDEX(상세표[블록종료],$P952)&amp;""))</f>
        <v/>
      </c>
      <c r="G952">
        <f>IF($P952="","",CHOOSE(WEEKDAY(INDEX(상세표[시작],$P952)),"일","월","화","수","목","금","토"))</f>
        <v/>
      </c>
      <c r="H952">
        <f>IF($P952="","",INDEX(상세표[연속 시간],$P952))</f>
        <v/>
      </c>
      <c r="I952">
        <f>IF($P952="","",INDEX(상세표[기록 수],$P952))</f>
        <v/>
      </c>
      <c r="J952">
        <f>IF($P952="","",INDEX(상세표[블록 06~07시],$P952))</f>
        <v/>
      </c>
      <c r="K952">
        <f>IF($P952="","",INDEX(상세표[블록 07~18시],$P952))</f>
        <v/>
      </c>
      <c r="L952">
        <f>IF($P952="","",INDEX(상세표[블록 18~22시],$P952))</f>
        <v/>
      </c>
      <c r="M952">
        <f>IF($P952="","",INDEX(상세표[블록 22~06시],$P952))</f>
        <v/>
      </c>
      <c r="N952">
        <f>IF($P952="","",INDEX(상세표[주말·휴일 포함],$P952)&amp;"")</f>
        <v/>
      </c>
      <c r="O952">
        <f>IF($P952="","",INDEX(상세표[월 넘김 포함],$P952)&amp;"")</f>
        <v/>
      </c>
      <c r="P952" s="4">
        <f>IFERROR(MATCH(947,상세표[연속순번],0),"")</f>
        <v/>
      </c>
    </row>
    <row r="953">
      <c r="A953">
        <f>IF($P953="","",INDEX(상세표[사번],$P953)&amp;"")</f>
        <v/>
      </c>
      <c r="B953">
        <f>IF($P953="","",INDEX(상세표[성명],$P953)&amp;"")</f>
        <v/>
      </c>
      <c r="C953">
        <f>IF($P953="","",INDEX(상세표[부서],$P953)&amp;"")</f>
        <v/>
      </c>
      <c r="D953">
        <f>IF($P953="","",INDEX(상세표[직위],$P953)&amp;"")</f>
        <v/>
      </c>
      <c r="E953">
        <f>IF($P953="","",IF(ISNUMBER(INDEX(상세표[시작],$P953)),TEXT(INDEX(상세표[시작],$P953),"yyyy-mm-dd hh:mm"),INDEX(상세표[시작],$P953)&amp;""))</f>
        <v/>
      </c>
      <c r="F953">
        <f>IF($P953="","",IF(ISNUMBER(INDEX(상세표[블록종료],$P953)),TEXT(INDEX(상세표[블록종료],$P953),"yyyy-mm-dd hh:mm"),INDEX(상세표[블록종료],$P953)&amp;""))</f>
        <v/>
      </c>
      <c r="G953">
        <f>IF($P953="","",CHOOSE(WEEKDAY(INDEX(상세표[시작],$P953)),"일","월","화","수","목","금","토"))</f>
        <v/>
      </c>
      <c r="H953">
        <f>IF($P953="","",INDEX(상세표[연속 시간],$P953))</f>
        <v/>
      </c>
      <c r="I953">
        <f>IF($P953="","",INDEX(상세표[기록 수],$P953))</f>
        <v/>
      </c>
      <c r="J953">
        <f>IF($P953="","",INDEX(상세표[블록 06~07시],$P953))</f>
        <v/>
      </c>
      <c r="K953">
        <f>IF($P953="","",INDEX(상세표[블록 07~18시],$P953))</f>
        <v/>
      </c>
      <c r="L953">
        <f>IF($P953="","",INDEX(상세표[블록 18~22시],$P953))</f>
        <v/>
      </c>
      <c r="M953">
        <f>IF($P953="","",INDEX(상세표[블록 22~06시],$P953))</f>
        <v/>
      </c>
      <c r="N953">
        <f>IF($P953="","",INDEX(상세표[주말·휴일 포함],$P953)&amp;"")</f>
        <v/>
      </c>
      <c r="O953">
        <f>IF($P953="","",INDEX(상세표[월 넘김 포함],$P953)&amp;"")</f>
        <v/>
      </c>
      <c r="P953" s="4">
        <f>IFERROR(MATCH(948,상세표[연속순번],0),"")</f>
        <v/>
      </c>
    </row>
    <row r="954">
      <c r="A954">
        <f>IF($P954="","",INDEX(상세표[사번],$P954)&amp;"")</f>
        <v/>
      </c>
      <c r="B954">
        <f>IF($P954="","",INDEX(상세표[성명],$P954)&amp;"")</f>
        <v/>
      </c>
      <c r="C954">
        <f>IF($P954="","",INDEX(상세표[부서],$P954)&amp;"")</f>
        <v/>
      </c>
      <c r="D954">
        <f>IF($P954="","",INDEX(상세표[직위],$P954)&amp;"")</f>
        <v/>
      </c>
      <c r="E954">
        <f>IF($P954="","",IF(ISNUMBER(INDEX(상세표[시작],$P954)),TEXT(INDEX(상세표[시작],$P954),"yyyy-mm-dd hh:mm"),INDEX(상세표[시작],$P954)&amp;""))</f>
        <v/>
      </c>
      <c r="F954">
        <f>IF($P954="","",IF(ISNUMBER(INDEX(상세표[블록종료],$P954)),TEXT(INDEX(상세표[블록종료],$P954),"yyyy-mm-dd hh:mm"),INDEX(상세표[블록종료],$P954)&amp;""))</f>
        <v/>
      </c>
      <c r="G954">
        <f>IF($P954="","",CHOOSE(WEEKDAY(INDEX(상세표[시작],$P954)),"일","월","화","수","목","금","토"))</f>
        <v/>
      </c>
      <c r="H954">
        <f>IF($P954="","",INDEX(상세표[연속 시간],$P954))</f>
        <v/>
      </c>
      <c r="I954">
        <f>IF($P954="","",INDEX(상세표[기록 수],$P954))</f>
        <v/>
      </c>
      <c r="J954">
        <f>IF($P954="","",INDEX(상세표[블록 06~07시],$P954))</f>
        <v/>
      </c>
      <c r="K954">
        <f>IF($P954="","",INDEX(상세표[블록 07~18시],$P954))</f>
        <v/>
      </c>
      <c r="L954">
        <f>IF($P954="","",INDEX(상세표[블록 18~22시],$P954))</f>
        <v/>
      </c>
      <c r="M954">
        <f>IF($P954="","",INDEX(상세표[블록 22~06시],$P954))</f>
        <v/>
      </c>
      <c r="N954">
        <f>IF($P954="","",INDEX(상세표[주말·휴일 포함],$P954)&amp;"")</f>
        <v/>
      </c>
      <c r="O954">
        <f>IF($P954="","",INDEX(상세표[월 넘김 포함],$P954)&amp;"")</f>
        <v/>
      </c>
      <c r="P954" s="4">
        <f>IFERROR(MATCH(949,상세표[연속순번],0),"")</f>
        <v/>
      </c>
    </row>
    <row r="955">
      <c r="A955">
        <f>IF($P955="","",INDEX(상세표[사번],$P955)&amp;"")</f>
        <v/>
      </c>
      <c r="B955">
        <f>IF($P955="","",INDEX(상세표[성명],$P955)&amp;"")</f>
        <v/>
      </c>
      <c r="C955">
        <f>IF($P955="","",INDEX(상세표[부서],$P955)&amp;"")</f>
        <v/>
      </c>
      <c r="D955">
        <f>IF($P955="","",INDEX(상세표[직위],$P955)&amp;"")</f>
        <v/>
      </c>
      <c r="E955">
        <f>IF($P955="","",IF(ISNUMBER(INDEX(상세표[시작],$P955)),TEXT(INDEX(상세표[시작],$P955),"yyyy-mm-dd hh:mm"),INDEX(상세표[시작],$P955)&amp;""))</f>
        <v/>
      </c>
      <c r="F955">
        <f>IF($P955="","",IF(ISNUMBER(INDEX(상세표[블록종료],$P955)),TEXT(INDEX(상세표[블록종료],$P955),"yyyy-mm-dd hh:mm"),INDEX(상세표[블록종료],$P955)&amp;""))</f>
        <v/>
      </c>
      <c r="G955">
        <f>IF($P955="","",CHOOSE(WEEKDAY(INDEX(상세표[시작],$P955)),"일","월","화","수","목","금","토"))</f>
        <v/>
      </c>
      <c r="H955">
        <f>IF($P955="","",INDEX(상세표[연속 시간],$P955))</f>
        <v/>
      </c>
      <c r="I955">
        <f>IF($P955="","",INDEX(상세표[기록 수],$P955))</f>
        <v/>
      </c>
      <c r="J955">
        <f>IF($P955="","",INDEX(상세표[블록 06~07시],$P955))</f>
        <v/>
      </c>
      <c r="K955">
        <f>IF($P955="","",INDEX(상세표[블록 07~18시],$P955))</f>
        <v/>
      </c>
      <c r="L955">
        <f>IF($P955="","",INDEX(상세표[블록 18~22시],$P955))</f>
        <v/>
      </c>
      <c r="M955">
        <f>IF($P955="","",INDEX(상세표[블록 22~06시],$P955))</f>
        <v/>
      </c>
      <c r="N955">
        <f>IF($P955="","",INDEX(상세표[주말·휴일 포함],$P955)&amp;"")</f>
        <v/>
      </c>
      <c r="O955">
        <f>IF($P955="","",INDEX(상세표[월 넘김 포함],$P955)&amp;"")</f>
        <v/>
      </c>
      <c r="P955" s="4">
        <f>IFERROR(MATCH(950,상세표[연속순번],0),"")</f>
        <v/>
      </c>
    </row>
    <row r="956">
      <c r="A956">
        <f>IF($P956="","",INDEX(상세표[사번],$P956)&amp;"")</f>
        <v/>
      </c>
      <c r="B956">
        <f>IF($P956="","",INDEX(상세표[성명],$P956)&amp;"")</f>
        <v/>
      </c>
      <c r="C956">
        <f>IF($P956="","",INDEX(상세표[부서],$P956)&amp;"")</f>
        <v/>
      </c>
      <c r="D956">
        <f>IF($P956="","",INDEX(상세표[직위],$P956)&amp;"")</f>
        <v/>
      </c>
      <c r="E956">
        <f>IF($P956="","",IF(ISNUMBER(INDEX(상세표[시작],$P956)),TEXT(INDEX(상세표[시작],$P956),"yyyy-mm-dd hh:mm"),INDEX(상세표[시작],$P956)&amp;""))</f>
        <v/>
      </c>
      <c r="F956">
        <f>IF($P956="","",IF(ISNUMBER(INDEX(상세표[블록종료],$P956)),TEXT(INDEX(상세표[블록종료],$P956),"yyyy-mm-dd hh:mm"),INDEX(상세표[블록종료],$P956)&amp;""))</f>
        <v/>
      </c>
      <c r="G956">
        <f>IF($P956="","",CHOOSE(WEEKDAY(INDEX(상세표[시작],$P956)),"일","월","화","수","목","금","토"))</f>
        <v/>
      </c>
      <c r="H956">
        <f>IF($P956="","",INDEX(상세표[연속 시간],$P956))</f>
        <v/>
      </c>
      <c r="I956">
        <f>IF($P956="","",INDEX(상세표[기록 수],$P956))</f>
        <v/>
      </c>
      <c r="J956">
        <f>IF($P956="","",INDEX(상세표[블록 06~07시],$P956))</f>
        <v/>
      </c>
      <c r="K956">
        <f>IF($P956="","",INDEX(상세표[블록 07~18시],$P956))</f>
        <v/>
      </c>
      <c r="L956">
        <f>IF($P956="","",INDEX(상세표[블록 18~22시],$P956))</f>
        <v/>
      </c>
      <c r="M956">
        <f>IF($P956="","",INDEX(상세표[블록 22~06시],$P956))</f>
        <v/>
      </c>
      <c r="N956">
        <f>IF($P956="","",INDEX(상세표[주말·휴일 포함],$P956)&amp;"")</f>
        <v/>
      </c>
      <c r="O956">
        <f>IF($P956="","",INDEX(상세표[월 넘김 포함],$P956)&amp;"")</f>
        <v/>
      </c>
      <c r="P956" s="4">
        <f>IFERROR(MATCH(951,상세표[연속순번],0),"")</f>
        <v/>
      </c>
    </row>
    <row r="957">
      <c r="A957">
        <f>IF($P957="","",INDEX(상세표[사번],$P957)&amp;"")</f>
        <v/>
      </c>
      <c r="B957">
        <f>IF($P957="","",INDEX(상세표[성명],$P957)&amp;"")</f>
        <v/>
      </c>
      <c r="C957">
        <f>IF($P957="","",INDEX(상세표[부서],$P957)&amp;"")</f>
        <v/>
      </c>
      <c r="D957">
        <f>IF($P957="","",INDEX(상세표[직위],$P957)&amp;"")</f>
        <v/>
      </c>
      <c r="E957">
        <f>IF($P957="","",IF(ISNUMBER(INDEX(상세표[시작],$P957)),TEXT(INDEX(상세표[시작],$P957),"yyyy-mm-dd hh:mm"),INDEX(상세표[시작],$P957)&amp;""))</f>
        <v/>
      </c>
      <c r="F957">
        <f>IF($P957="","",IF(ISNUMBER(INDEX(상세표[블록종료],$P957)),TEXT(INDEX(상세표[블록종료],$P957),"yyyy-mm-dd hh:mm"),INDEX(상세표[블록종료],$P957)&amp;""))</f>
        <v/>
      </c>
      <c r="G957">
        <f>IF($P957="","",CHOOSE(WEEKDAY(INDEX(상세표[시작],$P957)),"일","월","화","수","목","금","토"))</f>
        <v/>
      </c>
      <c r="H957">
        <f>IF($P957="","",INDEX(상세표[연속 시간],$P957))</f>
        <v/>
      </c>
      <c r="I957">
        <f>IF($P957="","",INDEX(상세표[기록 수],$P957))</f>
        <v/>
      </c>
      <c r="J957">
        <f>IF($P957="","",INDEX(상세표[블록 06~07시],$P957))</f>
        <v/>
      </c>
      <c r="K957">
        <f>IF($P957="","",INDEX(상세표[블록 07~18시],$P957))</f>
        <v/>
      </c>
      <c r="L957">
        <f>IF($P957="","",INDEX(상세표[블록 18~22시],$P957))</f>
        <v/>
      </c>
      <c r="M957">
        <f>IF($P957="","",INDEX(상세표[블록 22~06시],$P957))</f>
        <v/>
      </c>
      <c r="N957">
        <f>IF($P957="","",INDEX(상세표[주말·휴일 포함],$P957)&amp;"")</f>
        <v/>
      </c>
      <c r="O957">
        <f>IF($P957="","",INDEX(상세표[월 넘김 포함],$P957)&amp;"")</f>
        <v/>
      </c>
      <c r="P957" s="4">
        <f>IFERROR(MATCH(952,상세표[연속순번],0),"")</f>
        <v/>
      </c>
    </row>
    <row r="958">
      <c r="A958">
        <f>IF($P958="","",INDEX(상세표[사번],$P958)&amp;"")</f>
        <v/>
      </c>
      <c r="B958">
        <f>IF($P958="","",INDEX(상세표[성명],$P958)&amp;"")</f>
        <v/>
      </c>
      <c r="C958">
        <f>IF($P958="","",INDEX(상세표[부서],$P958)&amp;"")</f>
        <v/>
      </c>
      <c r="D958">
        <f>IF($P958="","",INDEX(상세표[직위],$P958)&amp;"")</f>
        <v/>
      </c>
      <c r="E958">
        <f>IF($P958="","",IF(ISNUMBER(INDEX(상세표[시작],$P958)),TEXT(INDEX(상세표[시작],$P958),"yyyy-mm-dd hh:mm"),INDEX(상세표[시작],$P958)&amp;""))</f>
        <v/>
      </c>
      <c r="F958">
        <f>IF($P958="","",IF(ISNUMBER(INDEX(상세표[블록종료],$P958)),TEXT(INDEX(상세표[블록종료],$P958),"yyyy-mm-dd hh:mm"),INDEX(상세표[블록종료],$P958)&amp;""))</f>
        <v/>
      </c>
      <c r="G958">
        <f>IF($P958="","",CHOOSE(WEEKDAY(INDEX(상세표[시작],$P958)),"일","월","화","수","목","금","토"))</f>
        <v/>
      </c>
      <c r="H958">
        <f>IF($P958="","",INDEX(상세표[연속 시간],$P958))</f>
        <v/>
      </c>
      <c r="I958">
        <f>IF($P958="","",INDEX(상세표[기록 수],$P958))</f>
        <v/>
      </c>
      <c r="J958">
        <f>IF($P958="","",INDEX(상세표[블록 06~07시],$P958))</f>
        <v/>
      </c>
      <c r="K958">
        <f>IF($P958="","",INDEX(상세표[블록 07~18시],$P958))</f>
        <v/>
      </c>
      <c r="L958">
        <f>IF($P958="","",INDEX(상세표[블록 18~22시],$P958))</f>
        <v/>
      </c>
      <c r="M958">
        <f>IF($P958="","",INDEX(상세표[블록 22~06시],$P958))</f>
        <v/>
      </c>
      <c r="N958">
        <f>IF($P958="","",INDEX(상세표[주말·휴일 포함],$P958)&amp;"")</f>
        <v/>
      </c>
      <c r="O958">
        <f>IF($P958="","",INDEX(상세표[월 넘김 포함],$P958)&amp;"")</f>
        <v/>
      </c>
      <c r="P958" s="4">
        <f>IFERROR(MATCH(953,상세표[연속순번],0),"")</f>
        <v/>
      </c>
    </row>
    <row r="959">
      <c r="A959">
        <f>IF($P959="","",INDEX(상세표[사번],$P959)&amp;"")</f>
        <v/>
      </c>
      <c r="B959">
        <f>IF($P959="","",INDEX(상세표[성명],$P959)&amp;"")</f>
        <v/>
      </c>
      <c r="C959">
        <f>IF($P959="","",INDEX(상세표[부서],$P959)&amp;"")</f>
        <v/>
      </c>
      <c r="D959">
        <f>IF($P959="","",INDEX(상세표[직위],$P959)&amp;"")</f>
        <v/>
      </c>
      <c r="E959">
        <f>IF($P959="","",IF(ISNUMBER(INDEX(상세표[시작],$P959)),TEXT(INDEX(상세표[시작],$P959),"yyyy-mm-dd hh:mm"),INDEX(상세표[시작],$P959)&amp;""))</f>
        <v/>
      </c>
      <c r="F959">
        <f>IF($P959="","",IF(ISNUMBER(INDEX(상세표[블록종료],$P959)),TEXT(INDEX(상세표[블록종료],$P959),"yyyy-mm-dd hh:mm"),INDEX(상세표[블록종료],$P959)&amp;""))</f>
        <v/>
      </c>
      <c r="G959">
        <f>IF($P959="","",CHOOSE(WEEKDAY(INDEX(상세표[시작],$P959)),"일","월","화","수","목","금","토"))</f>
        <v/>
      </c>
      <c r="H959">
        <f>IF($P959="","",INDEX(상세표[연속 시간],$P959))</f>
        <v/>
      </c>
      <c r="I959">
        <f>IF($P959="","",INDEX(상세표[기록 수],$P959))</f>
        <v/>
      </c>
      <c r="J959">
        <f>IF($P959="","",INDEX(상세표[블록 06~07시],$P959))</f>
        <v/>
      </c>
      <c r="K959">
        <f>IF($P959="","",INDEX(상세표[블록 07~18시],$P959))</f>
        <v/>
      </c>
      <c r="L959">
        <f>IF($P959="","",INDEX(상세표[블록 18~22시],$P959))</f>
        <v/>
      </c>
      <c r="M959">
        <f>IF($P959="","",INDEX(상세표[블록 22~06시],$P959))</f>
        <v/>
      </c>
      <c r="N959">
        <f>IF($P959="","",INDEX(상세표[주말·휴일 포함],$P959)&amp;"")</f>
        <v/>
      </c>
      <c r="O959">
        <f>IF($P959="","",INDEX(상세표[월 넘김 포함],$P959)&amp;"")</f>
        <v/>
      </c>
      <c r="P959" s="4">
        <f>IFERROR(MATCH(954,상세표[연속순번],0),"")</f>
        <v/>
      </c>
    </row>
    <row r="960">
      <c r="A960">
        <f>IF($P960="","",INDEX(상세표[사번],$P960)&amp;"")</f>
        <v/>
      </c>
      <c r="B960">
        <f>IF($P960="","",INDEX(상세표[성명],$P960)&amp;"")</f>
        <v/>
      </c>
      <c r="C960">
        <f>IF($P960="","",INDEX(상세표[부서],$P960)&amp;"")</f>
        <v/>
      </c>
      <c r="D960">
        <f>IF($P960="","",INDEX(상세표[직위],$P960)&amp;"")</f>
        <v/>
      </c>
      <c r="E960">
        <f>IF($P960="","",IF(ISNUMBER(INDEX(상세표[시작],$P960)),TEXT(INDEX(상세표[시작],$P960),"yyyy-mm-dd hh:mm"),INDEX(상세표[시작],$P960)&amp;""))</f>
        <v/>
      </c>
      <c r="F960">
        <f>IF($P960="","",IF(ISNUMBER(INDEX(상세표[블록종료],$P960)),TEXT(INDEX(상세표[블록종료],$P960),"yyyy-mm-dd hh:mm"),INDEX(상세표[블록종료],$P960)&amp;""))</f>
        <v/>
      </c>
      <c r="G960">
        <f>IF($P960="","",CHOOSE(WEEKDAY(INDEX(상세표[시작],$P960)),"일","월","화","수","목","금","토"))</f>
        <v/>
      </c>
      <c r="H960">
        <f>IF($P960="","",INDEX(상세표[연속 시간],$P960))</f>
        <v/>
      </c>
      <c r="I960">
        <f>IF($P960="","",INDEX(상세표[기록 수],$P960))</f>
        <v/>
      </c>
      <c r="J960">
        <f>IF($P960="","",INDEX(상세표[블록 06~07시],$P960))</f>
        <v/>
      </c>
      <c r="K960">
        <f>IF($P960="","",INDEX(상세표[블록 07~18시],$P960))</f>
        <v/>
      </c>
      <c r="L960">
        <f>IF($P960="","",INDEX(상세표[블록 18~22시],$P960))</f>
        <v/>
      </c>
      <c r="M960">
        <f>IF($P960="","",INDEX(상세표[블록 22~06시],$P960))</f>
        <v/>
      </c>
      <c r="N960">
        <f>IF($P960="","",INDEX(상세표[주말·휴일 포함],$P960)&amp;"")</f>
        <v/>
      </c>
      <c r="O960">
        <f>IF($P960="","",INDEX(상세표[월 넘김 포함],$P960)&amp;"")</f>
        <v/>
      </c>
      <c r="P960" s="4">
        <f>IFERROR(MATCH(955,상세표[연속순번],0),"")</f>
        <v/>
      </c>
    </row>
    <row r="961">
      <c r="A961">
        <f>IF($P961="","",INDEX(상세표[사번],$P961)&amp;"")</f>
        <v/>
      </c>
      <c r="B961">
        <f>IF($P961="","",INDEX(상세표[성명],$P961)&amp;"")</f>
        <v/>
      </c>
      <c r="C961">
        <f>IF($P961="","",INDEX(상세표[부서],$P961)&amp;"")</f>
        <v/>
      </c>
      <c r="D961">
        <f>IF($P961="","",INDEX(상세표[직위],$P961)&amp;"")</f>
        <v/>
      </c>
      <c r="E961">
        <f>IF($P961="","",IF(ISNUMBER(INDEX(상세표[시작],$P961)),TEXT(INDEX(상세표[시작],$P961),"yyyy-mm-dd hh:mm"),INDEX(상세표[시작],$P961)&amp;""))</f>
        <v/>
      </c>
      <c r="F961">
        <f>IF($P961="","",IF(ISNUMBER(INDEX(상세표[블록종료],$P961)),TEXT(INDEX(상세표[블록종료],$P961),"yyyy-mm-dd hh:mm"),INDEX(상세표[블록종료],$P961)&amp;""))</f>
        <v/>
      </c>
      <c r="G961">
        <f>IF($P961="","",CHOOSE(WEEKDAY(INDEX(상세표[시작],$P961)),"일","월","화","수","목","금","토"))</f>
        <v/>
      </c>
      <c r="H961">
        <f>IF($P961="","",INDEX(상세표[연속 시간],$P961))</f>
        <v/>
      </c>
      <c r="I961">
        <f>IF($P961="","",INDEX(상세표[기록 수],$P961))</f>
        <v/>
      </c>
      <c r="J961">
        <f>IF($P961="","",INDEX(상세표[블록 06~07시],$P961))</f>
        <v/>
      </c>
      <c r="K961">
        <f>IF($P961="","",INDEX(상세표[블록 07~18시],$P961))</f>
        <v/>
      </c>
      <c r="L961">
        <f>IF($P961="","",INDEX(상세표[블록 18~22시],$P961))</f>
        <v/>
      </c>
      <c r="M961">
        <f>IF($P961="","",INDEX(상세표[블록 22~06시],$P961))</f>
        <v/>
      </c>
      <c r="N961">
        <f>IF($P961="","",INDEX(상세표[주말·휴일 포함],$P961)&amp;"")</f>
        <v/>
      </c>
      <c r="O961">
        <f>IF($P961="","",INDEX(상세표[월 넘김 포함],$P961)&amp;"")</f>
        <v/>
      </c>
      <c r="P961" s="4">
        <f>IFERROR(MATCH(956,상세표[연속순번],0),"")</f>
        <v/>
      </c>
    </row>
    <row r="962">
      <c r="A962">
        <f>IF($P962="","",INDEX(상세표[사번],$P962)&amp;"")</f>
        <v/>
      </c>
      <c r="B962">
        <f>IF($P962="","",INDEX(상세표[성명],$P962)&amp;"")</f>
        <v/>
      </c>
      <c r="C962">
        <f>IF($P962="","",INDEX(상세표[부서],$P962)&amp;"")</f>
        <v/>
      </c>
      <c r="D962">
        <f>IF($P962="","",INDEX(상세표[직위],$P962)&amp;"")</f>
        <v/>
      </c>
      <c r="E962">
        <f>IF($P962="","",IF(ISNUMBER(INDEX(상세표[시작],$P962)),TEXT(INDEX(상세표[시작],$P962),"yyyy-mm-dd hh:mm"),INDEX(상세표[시작],$P962)&amp;""))</f>
        <v/>
      </c>
      <c r="F962">
        <f>IF($P962="","",IF(ISNUMBER(INDEX(상세표[블록종료],$P962)),TEXT(INDEX(상세표[블록종료],$P962),"yyyy-mm-dd hh:mm"),INDEX(상세표[블록종료],$P962)&amp;""))</f>
        <v/>
      </c>
      <c r="G962">
        <f>IF($P962="","",CHOOSE(WEEKDAY(INDEX(상세표[시작],$P962)),"일","월","화","수","목","금","토"))</f>
        <v/>
      </c>
      <c r="H962">
        <f>IF($P962="","",INDEX(상세표[연속 시간],$P962))</f>
        <v/>
      </c>
      <c r="I962">
        <f>IF($P962="","",INDEX(상세표[기록 수],$P962))</f>
        <v/>
      </c>
      <c r="J962">
        <f>IF($P962="","",INDEX(상세표[블록 06~07시],$P962))</f>
        <v/>
      </c>
      <c r="K962">
        <f>IF($P962="","",INDEX(상세표[블록 07~18시],$P962))</f>
        <v/>
      </c>
      <c r="L962">
        <f>IF($P962="","",INDEX(상세표[블록 18~22시],$P962))</f>
        <v/>
      </c>
      <c r="M962">
        <f>IF($P962="","",INDEX(상세표[블록 22~06시],$P962))</f>
        <v/>
      </c>
      <c r="N962">
        <f>IF($P962="","",INDEX(상세표[주말·휴일 포함],$P962)&amp;"")</f>
        <v/>
      </c>
      <c r="O962">
        <f>IF($P962="","",INDEX(상세표[월 넘김 포함],$P962)&amp;"")</f>
        <v/>
      </c>
      <c r="P962" s="4">
        <f>IFERROR(MATCH(957,상세표[연속순번],0),"")</f>
        <v/>
      </c>
    </row>
    <row r="963">
      <c r="A963">
        <f>IF($P963="","",INDEX(상세표[사번],$P963)&amp;"")</f>
        <v/>
      </c>
      <c r="B963">
        <f>IF($P963="","",INDEX(상세표[성명],$P963)&amp;"")</f>
        <v/>
      </c>
      <c r="C963">
        <f>IF($P963="","",INDEX(상세표[부서],$P963)&amp;"")</f>
        <v/>
      </c>
      <c r="D963">
        <f>IF($P963="","",INDEX(상세표[직위],$P963)&amp;"")</f>
        <v/>
      </c>
      <c r="E963">
        <f>IF($P963="","",IF(ISNUMBER(INDEX(상세표[시작],$P963)),TEXT(INDEX(상세표[시작],$P963),"yyyy-mm-dd hh:mm"),INDEX(상세표[시작],$P963)&amp;""))</f>
        <v/>
      </c>
      <c r="F963">
        <f>IF($P963="","",IF(ISNUMBER(INDEX(상세표[블록종료],$P963)),TEXT(INDEX(상세표[블록종료],$P963),"yyyy-mm-dd hh:mm"),INDEX(상세표[블록종료],$P963)&amp;""))</f>
        <v/>
      </c>
      <c r="G963">
        <f>IF($P963="","",CHOOSE(WEEKDAY(INDEX(상세표[시작],$P963)),"일","월","화","수","목","금","토"))</f>
        <v/>
      </c>
      <c r="H963">
        <f>IF($P963="","",INDEX(상세표[연속 시간],$P963))</f>
        <v/>
      </c>
      <c r="I963">
        <f>IF($P963="","",INDEX(상세표[기록 수],$P963))</f>
        <v/>
      </c>
      <c r="J963">
        <f>IF($P963="","",INDEX(상세표[블록 06~07시],$P963))</f>
        <v/>
      </c>
      <c r="K963">
        <f>IF($P963="","",INDEX(상세표[블록 07~18시],$P963))</f>
        <v/>
      </c>
      <c r="L963">
        <f>IF($P963="","",INDEX(상세표[블록 18~22시],$P963))</f>
        <v/>
      </c>
      <c r="M963">
        <f>IF($P963="","",INDEX(상세표[블록 22~06시],$P963))</f>
        <v/>
      </c>
      <c r="N963">
        <f>IF($P963="","",INDEX(상세표[주말·휴일 포함],$P963)&amp;"")</f>
        <v/>
      </c>
      <c r="O963">
        <f>IF($P963="","",INDEX(상세표[월 넘김 포함],$P963)&amp;"")</f>
        <v/>
      </c>
      <c r="P963" s="4">
        <f>IFERROR(MATCH(958,상세표[연속순번],0),"")</f>
        <v/>
      </c>
    </row>
    <row r="964">
      <c r="A964">
        <f>IF($P964="","",INDEX(상세표[사번],$P964)&amp;"")</f>
        <v/>
      </c>
      <c r="B964">
        <f>IF($P964="","",INDEX(상세표[성명],$P964)&amp;"")</f>
        <v/>
      </c>
      <c r="C964">
        <f>IF($P964="","",INDEX(상세표[부서],$P964)&amp;"")</f>
        <v/>
      </c>
      <c r="D964">
        <f>IF($P964="","",INDEX(상세표[직위],$P964)&amp;"")</f>
        <v/>
      </c>
      <c r="E964">
        <f>IF($P964="","",IF(ISNUMBER(INDEX(상세표[시작],$P964)),TEXT(INDEX(상세표[시작],$P964),"yyyy-mm-dd hh:mm"),INDEX(상세표[시작],$P964)&amp;""))</f>
        <v/>
      </c>
      <c r="F964">
        <f>IF($P964="","",IF(ISNUMBER(INDEX(상세표[블록종료],$P964)),TEXT(INDEX(상세표[블록종료],$P964),"yyyy-mm-dd hh:mm"),INDEX(상세표[블록종료],$P964)&amp;""))</f>
        <v/>
      </c>
      <c r="G964">
        <f>IF($P964="","",CHOOSE(WEEKDAY(INDEX(상세표[시작],$P964)),"일","월","화","수","목","금","토"))</f>
        <v/>
      </c>
      <c r="H964">
        <f>IF($P964="","",INDEX(상세표[연속 시간],$P964))</f>
        <v/>
      </c>
      <c r="I964">
        <f>IF($P964="","",INDEX(상세표[기록 수],$P964))</f>
        <v/>
      </c>
      <c r="J964">
        <f>IF($P964="","",INDEX(상세표[블록 06~07시],$P964))</f>
        <v/>
      </c>
      <c r="K964">
        <f>IF($P964="","",INDEX(상세표[블록 07~18시],$P964))</f>
        <v/>
      </c>
      <c r="L964">
        <f>IF($P964="","",INDEX(상세표[블록 18~22시],$P964))</f>
        <v/>
      </c>
      <c r="M964">
        <f>IF($P964="","",INDEX(상세표[블록 22~06시],$P964))</f>
        <v/>
      </c>
      <c r="N964">
        <f>IF($P964="","",INDEX(상세표[주말·휴일 포함],$P964)&amp;"")</f>
        <v/>
      </c>
      <c r="O964">
        <f>IF($P964="","",INDEX(상세표[월 넘김 포함],$P964)&amp;"")</f>
        <v/>
      </c>
      <c r="P964" s="4">
        <f>IFERROR(MATCH(959,상세표[연속순번],0),"")</f>
        <v/>
      </c>
    </row>
    <row r="965">
      <c r="A965">
        <f>IF($P965="","",INDEX(상세표[사번],$P965)&amp;"")</f>
        <v/>
      </c>
      <c r="B965">
        <f>IF($P965="","",INDEX(상세표[성명],$P965)&amp;"")</f>
        <v/>
      </c>
      <c r="C965">
        <f>IF($P965="","",INDEX(상세표[부서],$P965)&amp;"")</f>
        <v/>
      </c>
      <c r="D965">
        <f>IF($P965="","",INDEX(상세표[직위],$P965)&amp;"")</f>
        <v/>
      </c>
      <c r="E965">
        <f>IF($P965="","",IF(ISNUMBER(INDEX(상세표[시작],$P965)),TEXT(INDEX(상세표[시작],$P965),"yyyy-mm-dd hh:mm"),INDEX(상세표[시작],$P965)&amp;""))</f>
        <v/>
      </c>
      <c r="F965">
        <f>IF($P965="","",IF(ISNUMBER(INDEX(상세표[블록종료],$P965)),TEXT(INDEX(상세표[블록종료],$P965),"yyyy-mm-dd hh:mm"),INDEX(상세표[블록종료],$P965)&amp;""))</f>
        <v/>
      </c>
      <c r="G965">
        <f>IF($P965="","",CHOOSE(WEEKDAY(INDEX(상세표[시작],$P965)),"일","월","화","수","목","금","토"))</f>
        <v/>
      </c>
      <c r="H965">
        <f>IF($P965="","",INDEX(상세표[연속 시간],$P965))</f>
        <v/>
      </c>
      <c r="I965">
        <f>IF($P965="","",INDEX(상세표[기록 수],$P965))</f>
        <v/>
      </c>
      <c r="J965">
        <f>IF($P965="","",INDEX(상세표[블록 06~07시],$P965))</f>
        <v/>
      </c>
      <c r="K965">
        <f>IF($P965="","",INDEX(상세표[블록 07~18시],$P965))</f>
        <v/>
      </c>
      <c r="L965">
        <f>IF($P965="","",INDEX(상세표[블록 18~22시],$P965))</f>
        <v/>
      </c>
      <c r="M965">
        <f>IF($P965="","",INDEX(상세표[블록 22~06시],$P965))</f>
        <v/>
      </c>
      <c r="N965">
        <f>IF($P965="","",INDEX(상세표[주말·휴일 포함],$P965)&amp;"")</f>
        <v/>
      </c>
      <c r="O965">
        <f>IF($P965="","",INDEX(상세표[월 넘김 포함],$P965)&amp;"")</f>
        <v/>
      </c>
      <c r="P965" s="4">
        <f>IFERROR(MATCH(960,상세표[연속순번],0),"")</f>
        <v/>
      </c>
    </row>
    <row r="966">
      <c r="A966">
        <f>IF($P966="","",INDEX(상세표[사번],$P966)&amp;"")</f>
        <v/>
      </c>
      <c r="B966">
        <f>IF($P966="","",INDEX(상세표[성명],$P966)&amp;"")</f>
        <v/>
      </c>
      <c r="C966">
        <f>IF($P966="","",INDEX(상세표[부서],$P966)&amp;"")</f>
        <v/>
      </c>
      <c r="D966">
        <f>IF($P966="","",INDEX(상세표[직위],$P966)&amp;"")</f>
        <v/>
      </c>
      <c r="E966">
        <f>IF($P966="","",IF(ISNUMBER(INDEX(상세표[시작],$P966)),TEXT(INDEX(상세표[시작],$P966),"yyyy-mm-dd hh:mm"),INDEX(상세표[시작],$P966)&amp;""))</f>
        <v/>
      </c>
      <c r="F966">
        <f>IF($P966="","",IF(ISNUMBER(INDEX(상세표[블록종료],$P966)),TEXT(INDEX(상세표[블록종료],$P966),"yyyy-mm-dd hh:mm"),INDEX(상세표[블록종료],$P966)&amp;""))</f>
        <v/>
      </c>
      <c r="G966">
        <f>IF($P966="","",CHOOSE(WEEKDAY(INDEX(상세표[시작],$P966)),"일","월","화","수","목","금","토"))</f>
        <v/>
      </c>
      <c r="H966">
        <f>IF($P966="","",INDEX(상세표[연속 시간],$P966))</f>
        <v/>
      </c>
      <c r="I966">
        <f>IF($P966="","",INDEX(상세표[기록 수],$P966))</f>
        <v/>
      </c>
      <c r="J966">
        <f>IF($P966="","",INDEX(상세표[블록 06~07시],$P966))</f>
        <v/>
      </c>
      <c r="K966">
        <f>IF($P966="","",INDEX(상세표[블록 07~18시],$P966))</f>
        <v/>
      </c>
      <c r="L966">
        <f>IF($P966="","",INDEX(상세표[블록 18~22시],$P966))</f>
        <v/>
      </c>
      <c r="M966">
        <f>IF($P966="","",INDEX(상세표[블록 22~06시],$P966))</f>
        <v/>
      </c>
      <c r="N966">
        <f>IF($P966="","",INDEX(상세표[주말·휴일 포함],$P966)&amp;"")</f>
        <v/>
      </c>
      <c r="O966">
        <f>IF($P966="","",INDEX(상세표[월 넘김 포함],$P966)&amp;"")</f>
        <v/>
      </c>
      <c r="P966" s="4">
        <f>IFERROR(MATCH(961,상세표[연속순번],0),"")</f>
        <v/>
      </c>
    </row>
    <row r="967">
      <c r="A967">
        <f>IF($P967="","",INDEX(상세표[사번],$P967)&amp;"")</f>
        <v/>
      </c>
      <c r="B967">
        <f>IF($P967="","",INDEX(상세표[성명],$P967)&amp;"")</f>
        <v/>
      </c>
      <c r="C967">
        <f>IF($P967="","",INDEX(상세표[부서],$P967)&amp;"")</f>
        <v/>
      </c>
      <c r="D967">
        <f>IF($P967="","",INDEX(상세표[직위],$P967)&amp;"")</f>
        <v/>
      </c>
      <c r="E967">
        <f>IF($P967="","",IF(ISNUMBER(INDEX(상세표[시작],$P967)),TEXT(INDEX(상세표[시작],$P967),"yyyy-mm-dd hh:mm"),INDEX(상세표[시작],$P967)&amp;""))</f>
        <v/>
      </c>
      <c r="F967">
        <f>IF($P967="","",IF(ISNUMBER(INDEX(상세표[블록종료],$P967)),TEXT(INDEX(상세표[블록종료],$P967),"yyyy-mm-dd hh:mm"),INDEX(상세표[블록종료],$P967)&amp;""))</f>
        <v/>
      </c>
      <c r="G967">
        <f>IF($P967="","",CHOOSE(WEEKDAY(INDEX(상세표[시작],$P967)),"일","월","화","수","목","금","토"))</f>
        <v/>
      </c>
      <c r="H967">
        <f>IF($P967="","",INDEX(상세표[연속 시간],$P967))</f>
        <v/>
      </c>
      <c r="I967">
        <f>IF($P967="","",INDEX(상세표[기록 수],$P967))</f>
        <v/>
      </c>
      <c r="J967">
        <f>IF($P967="","",INDEX(상세표[블록 06~07시],$P967))</f>
        <v/>
      </c>
      <c r="K967">
        <f>IF($P967="","",INDEX(상세표[블록 07~18시],$P967))</f>
        <v/>
      </c>
      <c r="L967">
        <f>IF($P967="","",INDEX(상세표[블록 18~22시],$P967))</f>
        <v/>
      </c>
      <c r="M967">
        <f>IF($P967="","",INDEX(상세표[블록 22~06시],$P967))</f>
        <v/>
      </c>
      <c r="N967">
        <f>IF($P967="","",INDEX(상세표[주말·휴일 포함],$P967)&amp;"")</f>
        <v/>
      </c>
      <c r="O967">
        <f>IF($P967="","",INDEX(상세표[월 넘김 포함],$P967)&amp;"")</f>
        <v/>
      </c>
      <c r="P967" s="4">
        <f>IFERROR(MATCH(962,상세표[연속순번],0),"")</f>
        <v/>
      </c>
    </row>
    <row r="968">
      <c r="A968">
        <f>IF($P968="","",INDEX(상세표[사번],$P968)&amp;"")</f>
        <v/>
      </c>
      <c r="B968">
        <f>IF($P968="","",INDEX(상세표[성명],$P968)&amp;"")</f>
        <v/>
      </c>
      <c r="C968">
        <f>IF($P968="","",INDEX(상세표[부서],$P968)&amp;"")</f>
        <v/>
      </c>
      <c r="D968">
        <f>IF($P968="","",INDEX(상세표[직위],$P968)&amp;"")</f>
        <v/>
      </c>
      <c r="E968">
        <f>IF($P968="","",IF(ISNUMBER(INDEX(상세표[시작],$P968)),TEXT(INDEX(상세표[시작],$P968),"yyyy-mm-dd hh:mm"),INDEX(상세표[시작],$P968)&amp;""))</f>
        <v/>
      </c>
      <c r="F968">
        <f>IF($P968="","",IF(ISNUMBER(INDEX(상세표[블록종료],$P968)),TEXT(INDEX(상세표[블록종료],$P968),"yyyy-mm-dd hh:mm"),INDEX(상세표[블록종료],$P968)&amp;""))</f>
        <v/>
      </c>
      <c r="G968">
        <f>IF($P968="","",CHOOSE(WEEKDAY(INDEX(상세표[시작],$P968)),"일","월","화","수","목","금","토"))</f>
        <v/>
      </c>
      <c r="H968">
        <f>IF($P968="","",INDEX(상세표[연속 시간],$P968))</f>
        <v/>
      </c>
      <c r="I968">
        <f>IF($P968="","",INDEX(상세표[기록 수],$P968))</f>
        <v/>
      </c>
      <c r="J968">
        <f>IF($P968="","",INDEX(상세표[블록 06~07시],$P968))</f>
        <v/>
      </c>
      <c r="K968">
        <f>IF($P968="","",INDEX(상세표[블록 07~18시],$P968))</f>
        <v/>
      </c>
      <c r="L968">
        <f>IF($P968="","",INDEX(상세표[블록 18~22시],$P968))</f>
        <v/>
      </c>
      <c r="M968">
        <f>IF($P968="","",INDEX(상세표[블록 22~06시],$P968))</f>
        <v/>
      </c>
      <c r="N968">
        <f>IF($P968="","",INDEX(상세표[주말·휴일 포함],$P968)&amp;"")</f>
        <v/>
      </c>
      <c r="O968">
        <f>IF($P968="","",INDEX(상세표[월 넘김 포함],$P968)&amp;"")</f>
        <v/>
      </c>
      <c r="P968" s="4">
        <f>IFERROR(MATCH(963,상세표[연속순번],0),"")</f>
        <v/>
      </c>
    </row>
    <row r="969">
      <c r="A969">
        <f>IF($P969="","",INDEX(상세표[사번],$P969)&amp;"")</f>
        <v/>
      </c>
      <c r="B969">
        <f>IF($P969="","",INDEX(상세표[성명],$P969)&amp;"")</f>
        <v/>
      </c>
      <c r="C969">
        <f>IF($P969="","",INDEX(상세표[부서],$P969)&amp;"")</f>
        <v/>
      </c>
      <c r="D969">
        <f>IF($P969="","",INDEX(상세표[직위],$P969)&amp;"")</f>
        <v/>
      </c>
      <c r="E969">
        <f>IF($P969="","",IF(ISNUMBER(INDEX(상세표[시작],$P969)),TEXT(INDEX(상세표[시작],$P969),"yyyy-mm-dd hh:mm"),INDEX(상세표[시작],$P969)&amp;""))</f>
        <v/>
      </c>
      <c r="F969">
        <f>IF($P969="","",IF(ISNUMBER(INDEX(상세표[블록종료],$P969)),TEXT(INDEX(상세표[블록종료],$P969),"yyyy-mm-dd hh:mm"),INDEX(상세표[블록종료],$P969)&amp;""))</f>
        <v/>
      </c>
      <c r="G969">
        <f>IF($P969="","",CHOOSE(WEEKDAY(INDEX(상세표[시작],$P969)),"일","월","화","수","목","금","토"))</f>
        <v/>
      </c>
      <c r="H969">
        <f>IF($P969="","",INDEX(상세표[연속 시간],$P969))</f>
        <v/>
      </c>
      <c r="I969">
        <f>IF($P969="","",INDEX(상세표[기록 수],$P969))</f>
        <v/>
      </c>
      <c r="J969">
        <f>IF($P969="","",INDEX(상세표[블록 06~07시],$P969))</f>
        <v/>
      </c>
      <c r="K969">
        <f>IF($P969="","",INDEX(상세표[블록 07~18시],$P969))</f>
        <v/>
      </c>
      <c r="L969">
        <f>IF($P969="","",INDEX(상세표[블록 18~22시],$P969))</f>
        <v/>
      </c>
      <c r="M969">
        <f>IF($P969="","",INDEX(상세표[블록 22~06시],$P969))</f>
        <v/>
      </c>
      <c r="N969">
        <f>IF($P969="","",INDEX(상세표[주말·휴일 포함],$P969)&amp;"")</f>
        <v/>
      </c>
      <c r="O969">
        <f>IF($P969="","",INDEX(상세표[월 넘김 포함],$P969)&amp;"")</f>
        <v/>
      </c>
      <c r="P969" s="4">
        <f>IFERROR(MATCH(964,상세표[연속순번],0),"")</f>
        <v/>
      </c>
    </row>
    <row r="970">
      <c r="A970">
        <f>IF($P970="","",INDEX(상세표[사번],$P970)&amp;"")</f>
        <v/>
      </c>
      <c r="B970">
        <f>IF($P970="","",INDEX(상세표[성명],$P970)&amp;"")</f>
        <v/>
      </c>
      <c r="C970">
        <f>IF($P970="","",INDEX(상세표[부서],$P970)&amp;"")</f>
        <v/>
      </c>
      <c r="D970">
        <f>IF($P970="","",INDEX(상세표[직위],$P970)&amp;"")</f>
        <v/>
      </c>
      <c r="E970">
        <f>IF($P970="","",IF(ISNUMBER(INDEX(상세표[시작],$P970)),TEXT(INDEX(상세표[시작],$P970),"yyyy-mm-dd hh:mm"),INDEX(상세표[시작],$P970)&amp;""))</f>
        <v/>
      </c>
      <c r="F970">
        <f>IF($P970="","",IF(ISNUMBER(INDEX(상세표[블록종료],$P970)),TEXT(INDEX(상세표[블록종료],$P970),"yyyy-mm-dd hh:mm"),INDEX(상세표[블록종료],$P970)&amp;""))</f>
        <v/>
      </c>
      <c r="G970">
        <f>IF($P970="","",CHOOSE(WEEKDAY(INDEX(상세표[시작],$P970)),"일","월","화","수","목","금","토"))</f>
        <v/>
      </c>
      <c r="H970">
        <f>IF($P970="","",INDEX(상세표[연속 시간],$P970))</f>
        <v/>
      </c>
      <c r="I970">
        <f>IF($P970="","",INDEX(상세표[기록 수],$P970))</f>
        <v/>
      </c>
      <c r="J970">
        <f>IF($P970="","",INDEX(상세표[블록 06~07시],$P970))</f>
        <v/>
      </c>
      <c r="K970">
        <f>IF($P970="","",INDEX(상세표[블록 07~18시],$P970))</f>
        <v/>
      </c>
      <c r="L970">
        <f>IF($P970="","",INDEX(상세표[블록 18~22시],$P970))</f>
        <v/>
      </c>
      <c r="M970">
        <f>IF($P970="","",INDEX(상세표[블록 22~06시],$P970))</f>
        <v/>
      </c>
      <c r="N970">
        <f>IF($P970="","",INDEX(상세표[주말·휴일 포함],$P970)&amp;"")</f>
        <v/>
      </c>
      <c r="O970">
        <f>IF($P970="","",INDEX(상세표[월 넘김 포함],$P970)&amp;"")</f>
        <v/>
      </c>
      <c r="P970" s="4">
        <f>IFERROR(MATCH(965,상세표[연속순번],0),"")</f>
        <v/>
      </c>
    </row>
    <row r="971">
      <c r="A971">
        <f>IF($P971="","",INDEX(상세표[사번],$P971)&amp;"")</f>
        <v/>
      </c>
      <c r="B971">
        <f>IF($P971="","",INDEX(상세표[성명],$P971)&amp;"")</f>
        <v/>
      </c>
      <c r="C971">
        <f>IF($P971="","",INDEX(상세표[부서],$P971)&amp;"")</f>
        <v/>
      </c>
      <c r="D971">
        <f>IF($P971="","",INDEX(상세표[직위],$P971)&amp;"")</f>
        <v/>
      </c>
      <c r="E971">
        <f>IF($P971="","",IF(ISNUMBER(INDEX(상세표[시작],$P971)),TEXT(INDEX(상세표[시작],$P971),"yyyy-mm-dd hh:mm"),INDEX(상세표[시작],$P971)&amp;""))</f>
        <v/>
      </c>
      <c r="F971">
        <f>IF($P971="","",IF(ISNUMBER(INDEX(상세표[블록종료],$P971)),TEXT(INDEX(상세표[블록종료],$P971),"yyyy-mm-dd hh:mm"),INDEX(상세표[블록종료],$P971)&amp;""))</f>
        <v/>
      </c>
      <c r="G971">
        <f>IF($P971="","",CHOOSE(WEEKDAY(INDEX(상세표[시작],$P971)),"일","월","화","수","목","금","토"))</f>
        <v/>
      </c>
      <c r="H971">
        <f>IF($P971="","",INDEX(상세표[연속 시간],$P971))</f>
        <v/>
      </c>
      <c r="I971">
        <f>IF($P971="","",INDEX(상세표[기록 수],$P971))</f>
        <v/>
      </c>
      <c r="J971">
        <f>IF($P971="","",INDEX(상세표[블록 06~07시],$P971))</f>
        <v/>
      </c>
      <c r="K971">
        <f>IF($P971="","",INDEX(상세표[블록 07~18시],$P971))</f>
        <v/>
      </c>
      <c r="L971">
        <f>IF($P971="","",INDEX(상세표[블록 18~22시],$P971))</f>
        <v/>
      </c>
      <c r="M971">
        <f>IF($P971="","",INDEX(상세표[블록 22~06시],$P971))</f>
        <v/>
      </c>
      <c r="N971">
        <f>IF($P971="","",INDEX(상세표[주말·휴일 포함],$P971)&amp;"")</f>
        <v/>
      </c>
      <c r="O971">
        <f>IF($P971="","",INDEX(상세표[월 넘김 포함],$P971)&amp;"")</f>
        <v/>
      </c>
      <c r="P971" s="4">
        <f>IFERROR(MATCH(966,상세표[연속순번],0),"")</f>
        <v/>
      </c>
    </row>
    <row r="972">
      <c r="A972">
        <f>IF($P972="","",INDEX(상세표[사번],$P972)&amp;"")</f>
        <v/>
      </c>
      <c r="B972">
        <f>IF($P972="","",INDEX(상세표[성명],$P972)&amp;"")</f>
        <v/>
      </c>
      <c r="C972">
        <f>IF($P972="","",INDEX(상세표[부서],$P972)&amp;"")</f>
        <v/>
      </c>
      <c r="D972">
        <f>IF($P972="","",INDEX(상세표[직위],$P972)&amp;"")</f>
        <v/>
      </c>
      <c r="E972">
        <f>IF($P972="","",IF(ISNUMBER(INDEX(상세표[시작],$P972)),TEXT(INDEX(상세표[시작],$P972),"yyyy-mm-dd hh:mm"),INDEX(상세표[시작],$P972)&amp;""))</f>
        <v/>
      </c>
      <c r="F972">
        <f>IF($P972="","",IF(ISNUMBER(INDEX(상세표[블록종료],$P972)),TEXT(INDEX(상세표[블록종료],$P972),"yyyy-mm-dd hh:mm"),INDEX(상세표[블록종료],$P972)&amp;""))</f>
        <v/>
      </c>
      <c r="G972">
        <f>IF($P972="","",CHOOSE(WEEKDAY(INDEX(상세표[시작],$P972)),"일","월","화","수","목","금","토"))</f>
        <v/>
      </c>
      <c r="H972">
        <f>IF($P972="","",INDEX(상세표[연속 시간],$P972))</f>
        <v/>
      </c>
      <c r="I972">
        <f>IF($P972="","",INDEX(상세표[기록 수],$P972))</f>
        <v/>
      </c>
      <c r="J972">
        <f>IF($P972="","",INDEX(상세표[블록 06~07시],$P972))</f>
        <v/>
      </c>
      <c r="K972">
        <f>IF($P972="","",INDEX(상세표[블록 07~18시],$P972))</f>
        <v/>
      </c>
      <c r="L972">
        <f>IF($P972="","",INDEX(상세표[블록 18~22시],$P972))</f>
        <v/>
      </c>
      <c r="M972">
        <f>IF($P972="","",INDEX(상세표[블록 22~06시],$P972))</f>
        <v/>
      </c>
      <c r="N972">
        <f>IF($P972="","",INDEX(상세표[주말·휴일 포함],$P972)&amp;"")</f>
        <v/>
      </c>
      <c r="O972">
        <f>IF($P972="","",INDEX(상세표[월 넘김 포함],$P972)&amp;"")</f>
        <v/>
      </c>
      <c r="P972" s="4">
        <f>IFERROR(MATCH(967,상세표[연속순번],0),"")</f>
        <v/>
      </c>
    </row>
    <row r="973">
      <c r="A973">
        <f>IF($P973="","",INDEX(상세표[사번],$P973)&amp;"")</f>
        <v/>
      </c>
      <c r="B973">
        <f>IF($P973="","",INDEX(상세표[성명],$P973)&amp;"")</f>
        <v/>
      </c>
      <c r="C973">
        <f>IF($P973="","",INDEX(상세표[부서],$P973)&amp;"")</f>
        <v/>
      </c>
      <c r="D973">
        <f>IF($P973="","",INDEX(상세표[직위],$P973)&amp;"")</f>
        <v/>
      </c>
      <c r="E973">
        <f>IF($P973="","",IF(ISNUMBER(INDEX(상세표[시작],$P973)),TEXT(INDEX(상세표[시작],$P973),"yyyy-mm-dd hh:mm"),INDEX(상세표[시작],$P973)&amp;""))</f>
        <v/>
      </c>
      <c r="F973">
        <f>IF($P973="","",IF(ISNUMBER(INDEX(상세표[블록종료],$P973)),TEXT(INDEX(상세표[블록종료],$P973),"yyyy-mm-dd hh:mm"),INDEX(상세표[블록종료],$P973)&amp;""))</f>
        <v/>
      </c>
      <c r="G973">
        <f>IF($P973="","",CHOOSE(WEEKDAY(INDEX(상세표[시작],$P973)),"일","월","화","수","목","금","토"))</f>
        <v/>
      </c>
      <c r="H973">
        <f>IF($P973="","",INDEX(상세표[연속 시간],$P973))</f>
        <v/>
      </c>
      <c r="I973">
        <f>IF($P973="","",INDEX(상세표[기록 수],$P973))</f>
        <v/>
      </c>
      <c r="J973">
        <f>IF($P973="","",INDEX(상세표[블록 06~07시],$P973))</f>
        <v/>
      </c>
      <c r="K973">
        <f>IF($P973="","",INDEX(상세표[블록 07~18시],$P973))</f>
        <v/>
      </c>
      <c r="L973">
        <f>IF($P973="","",INDEX(상세표[블록 18~22시],$P973))</f>
        <v/>
      </c>
      <c r="M973">
        <f>IF($P973="","",INDEX(상세표[블록 22~06시],$P973))</f>
        <v/>
      </c>
      <c r="N973">
        <f>IF($P973="","",INDEX(상세표[주말·휴일 포함],$P973)&amp;"")</f>
        <v/>
      </c>
      <c r="O973">
        <f>IF($P973="","",INDEX(상세표[월 넘김 포함],$P973)&amp;"")</f>
        <v/>
      </c>
      <c r="P973" s="4">
        <f>IFERROR(MATCH(968,상세표[연속순번],0),"")</f>
        <v/>
      </c>
    </row>
    <row r="974">
      <c r="A974">
        <f>IF($P974="","",INDEX(상세표[사번],$P974)&amp;"")</f>
        <v/>
      </c>
      <c r="B974">
        <f>IF($P974="","",INDEX(상세표[성명],$P974)&amp;"")</f>
        <v/>
      </c>
      <c r="C974">
        <f>IF($P974="","",INDEX(상세표[부서],$P974)&amp;"")</f>
        <v/>
      </c>
      <c r="D974">
        <f>IF($P974="","",INDEX(상세표[직위],$P974)&amp;"")</f>
        <v/>
      </c>
      <c r="E974">
        <f>IF($P974="","",IF(ISNUMBER(INDEX(상세표[시작],$P974)),TEXT(INDEX(상세표[시작],$P974),"yyyy-mm-dd hh:mm"),INDEX(상세표[시작],$P974)&amp;""))</f>
        <v/>
      </c>
      <c r="F974">
        <f>IF($P974="","",IF(ISNUMBER(INDEX(상세표[블록종료],$P974)),TEXT(INDEX(상세표[블록종료],$P974),"yyyy-mm-dd hh:mm"),INDEX(상세표[블록종료],$P974)&amp;""))</f>
        <v/>
      </c>
      <c r="G974">
        <f>IF($P974="","",CHOOSE(WEEKDAY(INDEX(상세표[시작],$P974)),"일","월","화","수","목","금","토"))</f>
        <v/>
      </c>
      <c r="H974">
        <f>IF($P974="","",INDEX(상세표[연속 시간],$P974))</f>
        <v/>
      </c>
      <c r="I974">
        <f>IF($P974="","",INDEX(상세표[기록 수],$P974))</f>
        <v/>
      </c>
      <c r="J974">
        <f>IF($P974="","",INDEX(상세표[블록 06~07시],$P974))</f>
        <v/>
      </c>
      <c r="K974">
        <f>IF($P974="","",INDEX(상세표[블록 07~18시],$P974))</f>
        <v/>
      </c>
      <c r="L974">
        <f>IF($P974="","",INDEX(상세표[블록 18~22시],$P974))</f>
        <v/>
      </c>
      <c r="M974">
        <f>IF($P974="","",INDEX(상세표[블록 22~06시],$P974))</f>
        <v/>
      </c>
      <c r="N974">
        <f>IF($P974="","",INDEX(상세표[주말·휴일 포함],$P974)&amp;"")</f>
        <v/>
      </c>
      <c r="O974">
        <f>IF($P974="","",INDEX(상세표[월 넘김 포함],$P974)&amp;"")</f>
        <v/>
      </c>
      <c r="P974" s="4">
        <f>IFERROR(MATCH(969,상세표[연속순번],0),"")</f>
        <v/>
      </c>
    </row>
    <row r="975">
      <c r="A975">
        <f>IF($P975="","",INDEX(상세표[사번],$P975)&amp;"")</f>
        <v/>
      </c>
      <c r="B975">
        <f>IF($P975="","",INDEX(상세표[성명],$P975)&amp;"")</f>
        <v/>
      </c>
      <c r="C975">
        <f>IF($P975="","",INDEX(상세표[부서],$P975)&amp;"")</f>
        <v/>
      </c>
      <c r="D975">
        <f>IF($P975="","",INDEX(상세표[직위],$P975)&amp;"")</f>
        <v/>
      </c>
      <c r="E975">
        <f>IF($P975="","",IF(ISNUMBER(INDEX(상세표[시작],$P975)),TEXT(INDEX(상세표[시작],$P975),"yyyy-mm-dd hh:mm"),INDEX(상세표[시작],$P975)&amp;""))</f>
        <v/>
      </c>
      <c r="F975">
        <f>IF($P975="","",IF(ISNUMBER(INDEX(상세표[블록종료],$P975)),TEXT(INDEX(상세표[블록종료],$P975),"yyyy-mm-dd hh:mm"),INDEX(상세표[블록종료],$P975)&amp;""))</f>
        <v/>
      </c>
      <c r="G975">
        <f>IF($P975="","",CHOOSE(WEEKDAY(INDEX(상세표[시작],$P975)),"일","월","화","수","목","금","토"))</f>
        <v/>
      </c>
      <c r="H975">
        <f>IF($P975="","",INDEX(상세표[연속 시간],$P975))</f>
        <v/>
      </c>
      <c r="I975">
        <f>IF($P975="","",INDEX(상세표[기록 수],$P975))</f>
        <v/>
      </c>
      <c r="J975">
        <f>IF($P975="","",INDEX(상세표[블록 06~07시],$P975))</f>
        <v/>
      </c>
      <c r="K975">
        <f>IF($P975="","",INDEX(상세표[블록 07~18시],$P975))</f>
        <v/>
      </c>
      <c r="L975">
        <f>IF($P975="","",INDEX(상세표[블록 18~22시],$P975))</f>
        <v/>
      </c>
      <c r="M975">
        <f>IF($P975="","",INDEX(상세표[블록 22~06시],$P975))</f>
        <v/>
      </c>
      <c r="N975">
        <f>IF($P975="","",INDEX(상세표[주말·휴일 포함],$P975)&amp;"")</f>
        <v/>
      </c>
      <c r="O975">
        <f>IF($P975="","",INDEX(상세표[월 넘김 포함],$P975)&amp;"")</f>
        <v/>
      </c>
      <c r="P975" s="4">
        <f>IFERROR(MATCH(970,상세표[연속순번],0),"")</f>
        <v/>
      </c>
    </row>
    <row r="976">
      <c r="A976">
        <f>IF($P976="","",INDEX(상세표[사번],$P976)&amp;"")</f>
        <v/>
      </c>
      <c r="B976">
        <f>IF($P976="","",INDEX(상세표[성명],$P976)&amp;"")</f>
        <v/>
      </c>
      <c r="C976">
        <f>IF($P976="","",INDEX(상세표[부서],$P976)&amp;"")</f>
        <v/>
      </c>
      <c r="D976">
        <f>IF($P976="","",INDEX(상세표[직위],$P976)&amp;"")</f>
        <v/>
      </c>
      <c r="E976">
        <f>IF($P976="","",IF(ISNUMBER(INDEX(상세표[시작],$P976)),TEXT(INDEX(상세표[시작],$P976),"yyyy-mm-dd hh:mm"),INDEX(상세표[시작],$P976)&amp;""))</f>
        <v/>
      </c>
      <c r="F976">
        <f>IF($P976="","",IF(ISNUMBER(INDEX(상세표[블록종료],$P976)),TEXT(INDEX(상세표[블록종료],$P976),"yyyy-mm-dd hh:mm"),INDEX(상세표[블록종료],$P976)&amp;""))</f>
        <v/>
      </c>
      <c r="G976">
        <f>IF($P976="","",CHOOSE(WEEKDAY(INDEX(상세표[시작],$P976)),"일","월","화","수","목","금","토"))</f>
        <v/>
      </c>
      <c r="H976">
        <f>IF($P976="","",INDEX(상세표[연속 시간],$P976))</f>
        <v/>
      </c>
      <c r="I976">
        <f>IF($P976="","",INDEX(상세표[기록 수],$P976))</f>
        <v/>
      </c>
      <c r="J976">
        <f>IF($P976="","",INDEX(상세표[블록 06~07시],$P976))</f>
        <v/>
      </c>
      <c r="K976">
        <f>IF($P976="","",INDEX(상세표[블록 07~18시],$P976))</f>
        <v/>
      </c>
      <c r="L976">
        <f>IF($P976="","",INDEX(상세표[블록 18~22시],$P976))</f>
        <v/>
      </c>
      <c r="M976">
        <f>IF($P976="","",INDEX(상세표[블록 22~06시],$P976))</f>
        <v/>
      </c>
      <c r="N976">
        <f>IF($P976="","",INDEX(상세표[주말·휴일 포함],$P976)&amp;"")</f>
        <v/>
      </c>
      <c r="O976">
        <f>IF($P976="","",INDEX(상세표[월 넘김 포함],$P976)&amp;"")</f>
        <v/>
      </c>
      <c r="P976" s="4">
        <f>IFERROR(MATCH(971,상세표[연속순번],0),"")</f>
        <v/>
      </c>
    </row>
    <row r="977">
      <c r="A977">
        <f>IF($P977="","",INDEX(상세표[사번],$P977)&amp;"")</f>
        <v/>
      </c>
      <c r="B977">
        <f>IF($P977="","",INDEX(상세표[성명],$P977)&amp;"")</f>
        <v/>
      </c>
      <c r="C977">
        <f>IF($P977="","",INDEX(상세표[부서],$P977)&amp;"")</f>
        <v/>
      </c>
      <c r="D977">
        <f>IF($P977="","",INDEX(상세표[직위],$P977)&amp;"")</f>
        <v/>
      </c>
      <c r="E977">
        <f>IF($P977="","",IF(ISNUMBER(INDEX(상세표[시작],$P977)),TEXT(INDEX(상세표[시작],$P977),"yyyy-mm-dd hh:mm"),INDEX(상세표[시작],$P977)&amp;""))</f>
        <v/>
      </c>
      <c r="F977">
        <f>IF($P977="","",IF(ISNUMBER(INDEX(상세표[블록종료],$P977)),TEXT(INDEX(상세표[블록종료],$P977),"yyyy-mm-dd hh:mm"),INDEX(상세표[블록종료],$P977)&amp;""))</f>
        <v/>
      </c>
      <c r="G977">
        <f>IF($P977="","",CHOOSE(WEEKDAY(INDEX(상세표[시작],$P977)),"일","월","화","수","목","금","토"))</f>
        <v/>
      </c>
      <c r="H977">
        <f>IF($P977="","",INDEX(상세표[연속 시간],$P977))</f>
        <v/>
      </c>
      <c r="I977">
        <f>IF($P977="","",INDEX(상세표[기록 수],$P977))</f>
        <v/>
      </c>
      <c r="J977">
        <f>IF($P977="","",INDEX(상세표[블록 06~07시],$P977))</f>
        <v/>
      </c>
      <c r="K977">
        <f>IF($P977="","",INDEX(상세표[블록 07~18시],$P977))</f>
        <v/>
      </c>
      <c r="L977">
        <f>IF($P977="","",INDEX(상세표[블록 18~22시],$P977))</f>
        <v/>
      </c>
      <c r="M977">
        <f>IF($P977="","",INDEX(상세표[블록 22~06시],$P977))</f>
        <v/>
      </c>
      <c r="N977">
        <f>IF($P977="","",INDEX(상세표[주말·휴일 포함],$P977)&amp;"")</f>
        <v/>
      </c>
      <c r="O977">
        <f>IF($P977="","",INDEX(상세표[월 넘김 포함],$P977)&amp;"")</f>
        <v/>
      </c>
      <c r="P977" s="4">
        <f>IFERROR(MATCH(972,상세표[연속순번],0),"")</f>
        <v/>
      </c>
    </row>
    <row r="978">
      <c r="A978">
        <f>IF($P978="","",INDEX(상세표[사번],$P978)&amp;"")</f>
        <v/>
      </c>
      <c r="B978">
        <f>IF($P978="","",INDEX(상세표[성명],$P978)&amp;"")</f>
        <v/>
      </c>
      <c r="C978">
        <f>IF($P978="","",INDEX(상세표[부서],$P978)&amp;"")</f>
        <v/>
      </c>
      <c r="D978">
        <f>IF($P978="","",INDEX(상세표[직위],$P978)&amp;"")</f>
        <v/>
      </c>
      <c r="E978">
        <f>IF($P978="","",IF(ISNUMBER(INDEX(상세표[시작],$P978)),TEXT(INDEX(상세표[시작],$P978),"yyyy-mm-dd hh:mm"),INDEX(상세표[시작],$P978)&amp;""))</f>
        <v/>
      </c>
      <c r="F978">
        <f>IF($P978="","",IF(ISNUMBER(INDEX(상세표[블록종료],$P978)),TEXT(INDEX(상세표[블록종료],$P978),"yyyy-mm-dd hh:mm"),INDEX(상세표[블록종료],$P978)&amp;""))</f>
        <v/>
      </c>
      <c r="G978">
        <f>IF($P978="","",CHOOSE(WEEKDAY(INDEX(상세표[시작],$P978)),"일","월","화","수","목","금","토"))</f>
        <v/>
      </c>
      <c r="H978">
        <f>IF($P978="","",INDEX(상세표[연속 시간],$P978))</f>
        <v/>
      </c>
      <c r="I978">
        <f>IF($P978="","",INDEX(상세표[기록 수],$P978))</f>
        <v/>
      </c>
      <c r="J978">
        <f>IF($P978="","",INDEX(상세표[블록 06~07시],$P978))</f>
        <v/>
      </c>
      <c r="K978">
        <f>IF($P978="","",INDEX(상세표[블록 07~18시],$P978))</f>
        <v/>
      </c>
      <c r="L978">
        <f>IF($P978="","",INDEX(상세표[블록 18~22시],$P978))</f>
        <v/>
      </c>
      <c r="M978">
        <f>IF($P978="","",INDEX(상세표[블록 22~06시],$P978))</f>
        <v/>
      </c>
      <c r="N978">
        <f>IF($P978="","",INDEX(상세표[주말·휴일 포함],$P978)&amp;"")</f>
        <v/>
      </c>
      <c r="O978">
        <f>IF($P978="","",INDEX(상세표[월 넘김 포함],$P978)&amp;"")</f>
        <v/>
      </c>
      <c r="P978" s="4">
        <f>IFERROR(MATCH(973,상세표[연속순번],0),"")</f>
        <v/>
      </c>
    </row>
    <row r="979">
      <c r="A979">
        <f>IF($P979="","",INDEX(상세표[사번],$P979)&amp;"")</f>
        <v/>
      </c>
      <c r="B979">
        <f>IF($P979="","",INDEX(상세표[성명],$P979)&amp;"")</f>
        <v/>
      </c>
      <c r="C979">
        <f>IF($P979="","",INDEX(상세표[부서],$P979)&amp;"")</f>
        <v/>
      </c>
      <c r="D979">
        <f>IF($P979="","",INDEX(상세표[직위],$P979)&amp;"")</f>
        <v/>
      </c>
      <c r="E979">
        <f>IF($P979="","",IF(ISNUMBER(INDEX(상세표[시작],$P979)),TEXT(INDEX(상세표[시작],$P979),"yyyy-mm-dd hh:mm"),INDEX(상세표[시작],$P979)&amp;""))</f>
        <v/>
      </c>
      <c r="F979">
        <f>IF($P979="","",IF(ISNUMBER(INDEX(상세표[블록종료],$P979)),TEXT(INDEX(상세표[블록종료],$P979),"yyyy-mm-dd hh:mm"),INDEX(상세표[블록종료],$P979)&amp;""))</f>
        <v/>
      </c>
      <c r="G979">
        <f>IF($P979="","",CHOOSE(WEEKDAY(INDEX(상세표[시작],$P979)),"일","월","화","수","목","금","토"))</f>
        <v/>
      </c>
      <c r="H979">
        <f>IF($P979="","",INDEX(상세표[연속 시간],$P979))</f>
        <v/>
      </c>
      <c r="I979">
        <f>IF($P979="","",INDEX(상세표[기록 수],$P979))</f>
        <v/>
      </c>
      <c r="J979">
        <f>IF($P979="","",INDEX(상세표[블록 06~07시],$P979))</f>
        <v/>
      </c>
      <c r="K979">
        <f>IF($P979="","",INDEX(상세표[블록 07~18시],$P979))</f>
        <v/>
      </c>
      <c r="L979">
        <f>IF($P979="","",INDEX(상세표[블록 18~22시],$P979))</f>
        <v/>
      </c>
      <c r="M979">
        <f>IF($P979="","",INDEX(상세표[블록 22~06시],$P979))</f>
        <v/>
      </c>
      <c r="N979">
        <f>IF($P979="","",INDEX(상세표[주말·휴일 포함],$P979)&amp;"")</f>
        <v/>
      </c>
      <c r="O979">
        <f>IF($P979="","",INDEX(상세표[월 넘김 포함],$P979)&amp;"")</f>
        <v/>
      </c>
      <c r="P979" s="4">
        <f>IFERROR(MATCH(974,상세표[연속순번],0),"")</f>
        <v/>
      </c>
    </row>
    <row r="980">
      <c r="A980">
        <f>IF($P980="","",INDEX(상세표[사번],$P980)&amp;"")</f>
        <v/>
      </c>
      <c r="B980">
        <f>IF($P980="","",INDEX(상세표[성명],$P980)&amp;"")</f>
        <v/>
      </c>
      <c r="C980">
        <f>IF($P980="","",INDEX(상세표[부서],$P980)&amp;"")</f>
        <v/>
      </c>
      <c r="D980">
        <f>IF($P980="","",INDEX(상세표[직위],$P980)&amp;"")</f>
        <v/>
      </c>
      <c r="E980">
        <f>IF($P980="","",IF(ISNUMBER(INDEX(상세표[시작],$P980)),TEXT(INDEX(상세표[시작],$P980),"yyyy-mm-dd hh:mm"),INDEX(상세표[시작],$P980)&amp;""))</f>
        <v/>
      </c>
      <c r="F980">
        <f>IF($P980="","",IF(ISNUMBER(INDEX(상세표[블록종료],$P980)),TEXT(INDEX(상세표[블록종료],$P980),"yyyy-mm-dd hh:mm"),INDEX(상세표[블록종료],$P980)&amp;""))</f>
        <v/>
      </c>
      <c r="G980">
        <f>IF($P980="","",CHOOSE(WEEKDAY(INDEX(상세표[시작],$P980)),"일","월","화","수","목","금","토"))</f>
        <v/>
      </c>
      <c r="H980">
        <f>IF($P980="","",INDEX(상세표[연속 시간],$P980))</f>
        <v/>
      </c>
      <c r="I980">
        <f>IF($P980="","",INDEX(상세표[기록 수],$P980))</f>
        <v/>
      </c>
      <c r="J980">
        <f>IF($P980="","",INDEX(상세표[블록 06~07시],$P980))</f>
        <v/>
      </c>
      <c r="K980">
        <f>IF($P980="","",INDEX(상세표[블록 07~18시],$P980))</f>
        <v/>
      </c>
      <c r="L980">
        <f>IF($P980="","",INDEX(상세표[블록 18~22시],$P980))</f>
        <v/>
      </c>
      <c r="M980">
        <f>IF($P980="","",INDEX(상세표[블록 22~06시],$P980))</f>
        <v/>
      </c>
      <c r="N980">
        <f>IF($P980="","",INDEX(상세표[주말·휴일 포함],$P980)&amp;"")</f>
        <v/>
      </c>
      <c r="O980">
        <f>IF($P980="","",INDEX(상세표[월 넘김 포함],$P980)&amp;"")</f>
        <v/>
      </c>
      <c r="P980" s="4">
        <f>IFERROR(MATCH(975,상세표[연속순번],0),"")</f>
        <v/>
      </c>
    </row>
    <row r="981">
      <c r="A981">
        <f>IF($P981="","",INDEX(상세표[사번],$P981)&amp;"")</f>
        <v/>
      </c>
      <c r="B981">
        <f>IF($P981="","",INDEX(상세표[성명],$P981)&amp;"")</f>
        <v/>
      </c>
      <c r="C981">
        <f>IF($P981="","",INDEX(상세표[부서],$P981)&amp;"")</f>
        <v/>
      </c>
      <c r="D981">
        <f>IF($P981="","",INDEX(상세표[직위],$P981)&amp;"")</f>
        <v/>
      </c>
      <c r="E981">
        <f>IF($P981="","",IF(ISNUMBER(INDEX(상세표[시작],$P981)),TEXT(INDEX(상세표[시작],$P981),"yyyy-mm-dd hh:mm"),INDEX(상세표[시작],$P981)&amp;""))</f>
        <v/>
      </c>
      <c r="F981">
        <f>IF($P981="","",IF(ISNUMBER(INDEX(상세표[블록종료],$P981)),TEXT(INDEX(상세표[블록종료],$P981),"yyyy-mm-dd hh:mm"),INDEX(상세표[블록종료],$P981)&amp;""))</f>
        <v/>
      </c>
      <c r="G981">
        <f>IF($P981="","",CHOOSE(WEEKDAY(INDEX(상세표[시작],$P981)),"일","월","화","수","목","금","토"))</f>
        <v/>
      </c>
      <c r="H981">
        <f>IF($P981="","",INDEX(상세표[연속 시간],$P981))</f>
        <v/>
      </c>
      <c r="I981">
        <f>IF($P981="","",INDEX(상세표[기록 수],$P981))</f>
        <v/>
      </c>
      <c r="J981">
        <f>IF($P981="","",INDEX(상세표[블록 06~07시],$P981))</f>
        <v/>
      </c>
      <c r="K981">
        <f>IF($P981="","",INDEX(상세표[블록 07~18시],$P981))</f>
        <v/>
      </c>
      <c r="L981">
        <f>IF($P981="","",INDEX(상세표[블록 18~22시],$P981))</f>
        <v/>
      </c>
      <c r="M981">
        <f>IF($P981="","",INDEX(상세표[블록 22~06시],$P981))</f>
        <v/>
      </c>
      <c r="N981">
        <f>IF($P981="","",INDEX(상세표[주말·휴일 포함],$P981)&amp;"")</f>
        <v/>
      </c>
      <c r="O981">
        <f>IF($P981="","",INDEX(상세표[월 넘김 포함],$P981)&amp;"")</f>
        <v/>
      </c>
      <c r="P981" s="4">
        <f>IFERROR(MATCH(976,상세표[연속순번],0),"")</f>
        <v/>
      </c>
    </row>
    <row r="982">
      <c r="A982">
        <f>IF($P982="","",INDEX(상세표[사번],$P982)&amp;"")</f>
        <v/>
      </c>
      <c r="B982">
        <f>IF($P982="","",INDEX(상세표[성명],$P982)&amp;"")</f>
        <v/>
      </c>
      <c r="C982">
        <f>IF($P982="","",INDEX(상세표[부서],$P982)&amp;"")</f>
        <v/>
      </c>
      <c r="D982">
        <f>IF($P982="","",INDEX(상세표[직위],$P982)&amp;"")</f>
        <v/>
      </c>
      <c r="E982">
        <f>IF($P982="","",IF(ISNUMBER(INDEX(상세표[시작],$P982)),TEXT(INDEX(상세표[시작],$P982),"yyyy-mm-dd hh:mm"),INDEX(상세표[시작],$P982)&amp;""))</f>
        <v/>
      </c>
      <c r="F982">
        <f>IF($P982="","",IF(ISNUMBER(INDEX(상세표[블록종료],$P982)),TEXT(INDEX(상세표[블록종료],$P982),"yyyy-mm-dd hh:mm"),INDEX(상세표[블록종료],$P982)&amp;""))</f>
        <v/>
      </c>
      <c r="G982">
        <f>IF($P982="","",CHOOSE(WEEKDAY(INDEX(상세표[시작],$P982)),"일","월","화","수","목","금","토"))</f>
        <v/>
      </c>
      <c r="H982">
        <f>IF($P982="","",INDEX(상세표[연속 시간],$P982))</f>
        <v/>
      </c>
      <c r="I982">
        <f>IF($P982="","",INDEX(상세표[기록 수],$P982))</f>
        <v/>
      </c>
      <c r="J982">
        <f>IF($P982="","",INDEX(상세표[블록 06~07시],$P982))</f>
        <v/>
      </c>
      <c r="K982">
        <f>IF($P982="","",INDEX(상세표[블록 07~18시],$P982))</f>
        <v/>
      </c>
      <c r="L982">
        <f>IF($P982="","",INDEX(상세표[블록 18~22시],$P982))</f>
        <v/>
      </c>
      <c r="M982">
        <f>IF($P982="","",INDEX(상세표[블록 22~06시],$P982))</f>
        <v/>
      </c>
      <c r="N982">
        <f>IF($P982="","",INDEX(상세표[주말·휴일 포함],$P982)&amp;"")</f>
        <v/>
      </c>
      <c r="O982">
        <f>IF($P982="","",INDEX(상세표[월 넘김 포함],$P982)&amp;"")</f>
        <v/>
      </c>
      <c r="P982" s="4">
        <f>IFERROR(MATCH(977,상세표[연속순번],0),"")</f>
        <v/>
      </c>
    </row>
    <row r="983">
      <c r="A983">
        <f>IF($P983="","",INDEX(상세표[사번],$P983)&amp;"")</f>
        <v/>
      </c>
      <c r="B983">
        <f>IF($P983="","",INDEX(상세표[성명],$P983)&amp;"")</f>
        <v/>
      </c>
      <c r="C983">
        <f>IF($P983="","",INDEX(상세표[부서],$P983)&amp;"")</f>
        <v/>
      </c>
      <c r="D983">
        <f>IF($P983="","",INDEX(상세표[직위],$P983)&amp;"")</f>
        <v/>
      </c>
      <c r="E983">
        <f>IF($P983="","",IF(ISNUMBER(INDEX(상세표[시작],$P983)),TEXT(INDEX(상세표[시작],$P983),"yyyy-mm-dd hh:mm"),INDEX(상세표[시작],$P983)&amp;""))</f>
        <v/>
      </c>
      <c r="F983">
        <f>IF($P983="","",IF(ISNUMBER(INDEX(상세표[블록종료],$P983)),TEXT(INDEX(상세표[블록종료],$P983),"yyyy-mm-dd hh:mm"),INDEX(상세표[블록종료],$P983)&amp;""))</f>
        <v/>
      </c>
      <c r="G983">
        <f>IF($P983="","",CHOOSE(WEEKDAY(INDEX(상세표[시작],$P983)),"일","월","화","수","목","금","토"))</f>
        <v/>
      </c>
      <c r="H983">
        <f>IF($P983="","",INDEX(상세표[연속 시간],$P983))</f>
        <v/>
      </c>
      <c r="I983">
        <f>IF($P983="","",INDEX(상세표[기록 수],$P983))</f>
        <v/>
      </c>
      <c r="J983">
        <f>IF($P983="","",INDEX(상세표[블록 06~07시],$P983))</f>
        <v/>
      </c>
      <c r="K983">
        <f>IF($P983="","",INDEX(상세표[블록 07~18시],$P983))</f>
        <v/>
      </c>
      <c r="L983">
        <f>IF($P983="","",INDEX(상세표[블록 18~22시],$P983))</f>
        <v/>
      </c>
      <c r="M983">
        <f>IF($P983="","",INDEX(상세표[블록 22~06시],$P983))</f>
        <v/>
      </c>
      <c r="N983">
        <f>IF($P983="","",INDEX(상세표[주말·휴일 포함],$P983)&amp;"")</f>
        <v/>
      </c>
      <c r="O983">
        <f>IF($P983="","",INDEX(상세표[월 넘김 포함],$P983)&amp;"")</f>
        <v/>
      </c>
      <c r="P983" s="4">
        <f>IFERROR(MATCH(978,상세표[연속순번],0),"")</f>
        <v/>
      </c>
    </row>
    <row r="984">
      <c r="A984">
        <f>IF($P984="","",INDEX(상세표[사번],$P984)&amp;"")</f>
        <v/>
      </c>
      <c r="B984">
        <f>IF($P984="","",INDEX(상세표[성명],$P984)&amp;"")</f>
        <v/>
      </c>
      <c r="C984">
        <f>IF($P984="","",INDEX(상세표[부서],$P984)&amp;"")</f>
        <v/>
      </c>
      <c r="D984">
        <f>IF($P984="","",INDEX(상세표[직위],$P984)&amp;"")</f>
        <v/>
      </c>
      <c r="E984">
        <f>IF($P984="","",IF(ISNUMBER(INDEX(상세표[시작],$P984)),TEXT(INDEX(상세표[시작],$P984),"yyyy-mm-dd hh:mm"),INDEX(상세표[시작],$P984)&amp;""))</f>
        <v/>
      </c>
      <c r="F984">
        <f>IF($P984="","",IF(ISNUMBER(INDEX(상세표[블록종료],$P984)),TEXT(INDEX(상세표[블록종료],$P984),"yyyy-mm-dd hh:mm"),INDEX(상세표[블록종료],$P984)&amp;""))</f>
        <v/>
      </c>
      <c r="G984">
        <f>IF($P984="","",CHOOSE(WEEKDAY(INDEX(상세표[시작],$P984)),"일","월","화","수","목","금","토"))</f>
        <v/>
      </c>
      <c r="H984">
        <f>IF($P984="","",INDEX(상세표[연속 시간],$P984))</f>
        <v/>
      </c>
      <c r="I984">
        <f>IF($P984="","",INDEX(상세표[기록 수],$P984))</f>
        <v/>
      </c>
      <c r="J984">
        <f>IF($P984="","",INDEX(상세표[블록 06~07시],$P984))</f>
        <v/>
      </c>
      <c r="K984">
        <f>IF($P984="","",INDEX(상세표[블록 07~18시],$P984))</f>
        <v/>
      </c>
      <c r="L984">
        <f>IF($P984="","",INDEX(상세표[블록 18~22시],$P984))</f>
        <v/>
      </c>
      <c r="M984">
        <f>IF($P984="","",INDEX(상세표[블록 22~06시],$P984))</f>
        <v/>
      </c>
      <c r="N984">
        <f>IF($P984="","",INDEX(상세표[주말·휴일 포함],$P984)&amp;"")</f>
        <v/>
      </c>
      <c r="O984">
        <f>IF($P984="","",INDEX(상세표[월 넘김 포함],$P984)&amp;"")</f>
        <v/>
      </c>
      <c r="P984" s="4">
        <f>IFERROR(MATCH(979,상세표[연속순번],0),"")</f>
        <v/>
      </c>
    </row>
    <row r="985">
      <c r="A985">
        <f>IF($P985="","",INDEX(상세표[사번],$P985)&amp;"")</f>
        <v/>
      </c>
      <c r="B985">
        <f>IF($P985="","",INDEX(상세표[성명],$P985)&amp;"")</f>
        <v/>
      </c>
      <c r="C985">
        <f>IF($P985="","",INDEX(상세표[부서],$P985)&amp;"")</f>
        <v/>
      </c>
      <c r="D985">
        <f>IF($P985="","",INDEX(상세표[직위],$P985)&amp;"")</f>
        <v/>
      </c>
      <c r="E985">
        <f>IF($P985="","",IF(ISNUMBER(INDEX(상세표[시작],$P985)),TEXT(INDEX(상세표[시작],$P985),"yyyy-mm-dd hh:mm"),INDEX(상세표[시작],$P985)&amp;""))</f>
        <v/>
      </c>
      <c r="F985">
        <f>IF($P985="","",IF(ISNUMBER(INDEX(상세표[블록종료],$P985)),TEXT(INDEX(상세표[블록종료],$P985),"yyyy-mm-dd hh:mm"),INDEX(상세표[블록종료],$P985)&amp;""))</f>
        <v/>
      </c>
      <c r="G985">
        <f>IF($P985="","",CHOOSE(WEEKDAY(INDEX(상세표[시작],$P985)),"일","월","화","수","목","금","토"))</f>
        <v/>
      </c>
      <c r="H985">
        <f>IF($P985="","",INDEX(상세표[연속 시간],$P985))</f>
        <v/>
      </c>
      <c r="I985">
        <f>IF($P985="","",INDEX(상세표[기록 수],$P985))</f>
        <v/>
      </c>
      <c r="J985">
        <f>IF($P985="","",INDEX(상세표[블록 06~07시],$P985))</f>
        <v/>
      </c>
      <c r="K985">
        <f>IF($P985="","",INDEX(상세표[블록 07~18시],$P985))</f>
        <v/>
      </c>
      <c r="L985">
        <f>IF($P985="","",INDEX(상세표[블록 18~22시],$P985))</f>
        <v/>
      </c>
      <c r="M985">
        <f>IF($P985="","",INDEX(상세표[블록 22~06시],$P985))</f>
        <v/>
      </c>
      <c r="N985">
        <f>IF($P985="","",INDEX(상세표[주말·휴일 포함],$P985)&amp;"")</f>
        <v/>
      </c>
      <c r="O985">
        <f>IF($P985="","",INDEX(상세표[월 넘김 포함],$P985)&amp;"")</f>
        <v/>
      </c>
      <c r="P985" s="4">
        <f>IFERROR(MATCH(980,상세표[연속순번],0),"")</f>
        <v/>
      </c>
    </row>
    <row r="986">
      <c r="A986">
        <f>IF($P986="","",INDEX(상세표[사번],$P986)&amp;"")</f>
        <v/>
      </c>
      <c r="B986">
        <f>IF($P986="","",INDEX(상세표[성명],$P986)&amp;"")</f>
        <v/>
      </c>
      <c r="C986">
        <f>IF($P986="","",INDEX(상세표[부서],$P986)&amp;"")</f>
        <v/>
      </c>
      <c r="D986">
        <f>IF($P986="","",INDEX(상세표[직위],$P986)&amp;"")</f>
        <v/>
      </c>
      <c r="E986">
        <f>IF($P986="","",IF(ISNUMBER(INDEX(상세표[시작],$P986)),TEXT(INDEX(상세표[시작],$P986),"yyyy-mm-dd hh:mm"),INDEX(상세표[시작],$P986)&amp;""))</f>
        <v/>
      </c>
      <c r="F986">
        <f>IF($P986="","",IF(ISNUMBER(INDEX(상세표[블록종료],$P986)),TEXT(INDEX(상세표[블록종료],$P986),"yyyy-mm-dd hh:mm"),INDEX(상세표[블록종료],$P986)&amp;""))</f>
        <v/>
      </c>
      <c r="G986">
        <f>IF($P986="","",CHOOSE(WEEKDAY(INDEX(상세표[시작],$P986)),"일","월","화","수","목","금","토"))</f>
        <v/>
      </c>
      <c r="H986">
        <f>IF($P986="","",INDEX(상세표[연속 시간],$P986))</f>
        <v/>
      </c>
      <c r="I986">
        <f>IF($P986="","",INDEX(상세표[기록 수],$P986))</f>
        <v/>
      </c>
      <c r="J986">
        <f>IF($P986="","",INDEX(상세표[블록 06~07시],$P986))</f>
        <v/>
      </c>
      <c r="K986">
        <f>IF($P986="","",INDEX(상세표[블록 07~18시],$P986))</f>
        <v/>
      </c>
      <c r="L986">
        <f>IF($P986="","",INDEX(상세표[블록 18~22시],$P986))</f>
        <v/>
      </c>
      <c r="M986">
        <f>IF($P986="","",INDEX(상세표[블록 22~06시],$P986))</f>
        <v/>
      </c>
      <c r="N986">
        <f>IF($P986="","",INDEX(상세표[주말·휴일 포함],$P986)&amp;"")</f>
        <v/>
      </c>
      <c r="O986">
        <f>IF($P986="","",INDEX(상세표[월 넘김 포함],$P986)&amp;"")</f>
        <v/>
      </c>
      <c r="P986" s="4">
        <f>IFERROR(MATCH(981,상세표[연속순번],0),"")</f>
        <v/>
      </c>
    </row>
    <row r="987">
      <c r="A987">
        <f>IF($P987="","",INDEX(상세표[사번],$P987)&amp;"")</f>
        <v/>
      </c>
      <c r="B987">
        <f>IF($P987="","",INDEX(상세표[성명],$P987)&amp;"")</f>
        <v/>
      </c>
      <c r="C987">
        <f>IF($P987="","",INDEX(상세표[부서],$P987)&amp;"")</f>
        <v/>
      </c>
      <c r="D987">
        <f>IF($P987="","",INDEX(상세표[직위],$P987)&amp;"")</f>
        <v/>
      </c>
      <c r="E987">
        <f>IF($P987="","",IF(ISNUMBER(INDEX(상세표[시작],$P987)),TEXT(INDEX(상세표[시작],$P987),"yyyy-mm-dd hh:mm"),INDEX(상세표[시작],$P987)&amp;""))</f>
        <v/>
      </c>
      <c r="F987">
        <f>IF($P987="","",IF(ISNUMBER(INDEX(상세표[블록종료],$P987)),TEXT(INDEX(상세표[블록종료],$P987),"yyyy-mm-dd hh:mm"),INDEX(상세표[블록종료],$P987)&amp;""))</f>
        <v/>
      </c>
      <c r="G987">
        <f>IF($P987="","",CHOOSE(WEEKDAY(INDEX(상세표[시작],$P987)),"일","월","화","수","목","금","토"))</f>
        <v/>
      </c>
      <c r="H987">
        <f>IF($P987="","",INDEX(상세표[연속 시간],$P987))</f>
        <v/>
      </c>
      <c r="I987">
        <f>IF($P987="","",INDEX(상세표[기록 수],$P987))</f>
        <v/>
      </c>
      <c r="J987">
        <f>IF($P987="","",INDEX(상세표[블록 06~07시],$P987))</f>
        <v/>
      </c>
      <c r="K987">
        <f>IF($P987="","",INDEX(상세표[블록 07~18시],$P987))</f>
        <v/>
      </c>
      <c r="L987">
        <f>IF($P987="","",INDEX(상세표[블록 18~22시],$P987))</f>
        <v/>
      </c>
      <c r="M987">
        <f>IF($P987="","",INDEX(상세표[블록 22~06시],$P987))</f>
        <v/>
      </c>
      <c r="N987">
        <f>IF($P987="","",INDEX(상세표[주말·휴일 포함],$P987)&amp;"")</f>
        <v/>
      </c>
      <c r="O987">
        <f>IF($P987="","",INDEX(상세표[월 넘김 포함],$P987)&amp;"")</f>
        <v/>
      </c>
      <c r="P987" s="4">
        <f>IFERROR(MATCH(982,상세표[연속순번],0),"")</f>
        <v/>
      </c>
    </row>
    <row r="988">
      <c r="A988">
        <f>IF($P988="","",INDEX(상세표[사번],$P988)&amp;"")</f>
        <v/>
      </c>
      <c r="B988">
        <f>IF($P988="","",INDEX(상세표[성명],$P988)&amp;"")</f>
        <v/>
      </c>
      <c r="C988">
        <f>IF($P988="","",INDEX(상세표[부서],$P988)&amp;"")</f>
        <v/>
      </c>
      <c r="D988">
        <f>IF($P988="","",INDEX(상세표[직위],$P988)&amp;"")</f>
        <v/>
      </c>
      <c r="E988">
        <f>IF($P988="","",IF(ISNUMBER(INDEX(상세표[시작],$P988)),TEXT(INDEX(상세표[시작],$P988),"yyyy-mm-dd hh:mm"),INDEX(상세표[시작],$P988)&amp;""))</f>
        <v/>
      </c>
      <c r="F988">
        <f>IF($P988="","",IF(ISNUMBER(INDEX(상세표[블록종료],$P988)),TEXT(INDEX(상세표[블록종료],$P988),"yyyy-mm-dd hh:mm"),INDEX(상세표[블록종료],$P988)&amp;""))</f>
        <v/>
      </c>
      <c r="G988">
        <f>IF($P988="","",CHOOSE(WEEKDAY(INDEX(상세표[시작],$P988)),"일","월","화","수","목","금","토"))</f>
        <v/>
      </c>
      <c r="H988">
        <f>IF($P988="","",INDEX(상세표[연속 시간],$P988))</f>
        <v/>
      </c>
      <c r="I988">
        <f>IF($P988="","",INDEX(상세표[기록 수],$P988))</f>
        <v/>
      </c>
      <c r="J988">
        <f>IF($P988="","",INDEX(상세표[블록 06~07시],$P988))</f>
        <v/>
      </c>
      <c r="K988">
        <f>IF($P988="","",INDEX(상세표[블록 07~18시],$P988))</f>
        <v/>
      </c>
      <c r="L988">
        <f>IF($P988="","",INDEX(상세표[블록 18~22시],$P988))</f>
        <v/>
      </c>
      <c r="M988">
        <f>IF($P988="","",INDEX(상세표[블록 22~06시],$P988))</f>
        <v/>
      </c>
      <c r="N988">
        <f>IF($P988="","",INDEX(상세표[주말·휴일 포함],$P988)&amp;"")</f>
        <v/>
      </c>
      <c r="O988">
        <f>IF($P988="","",INDEX(상세표[월 넘김 포함],$P988)&amp;"")</f>
        <v/>
      </c>
      <c r="P988" s="4">
        <f>IFERROR(MATCH(983,상세표[연속순번],0),"")</f>
        <v/>
      </c>
    </row>
    <row r="989">
      <c r="A989">
        <f>IF($P989="","",INDEX(상세표[사번],$P989)&amp;"")</f>
        <v/>
      </c>
      <c r="B989">
        <f>IF($P989="","",INDEX(상세표[성명],$P989)&amp;"")</f>
        <v/>
      </c>
      <c r="C989">
        <f>IF($P989="","",INDEX(상세표[부서],$P989)&amp;"")</f>
        <v/>
      </c>
      <c r="D989">
        <f>IF($P989="","",INDEX(상세표[직위],$P989)&amp;"")</f>
        <v/>
      </c>
      <c r="E989">
        <f>IF($P989="","",IF(ISNUMBER(INDEX(상세표[시작],$P989)),TEXT(INDEX(상세표[시작],$P989),"yyyy-mm-dd hh:mm"),INDEX(상세표[시작],$P989)&amp;""))</f>
        <v/>
      </c>
      <c r="F989">
        <f>IF($P989="","",IF(ISNUMBER(INDEX(상세표[블록종료],$P989)),TEXT(INDEX(상세표[블록종료],$P989),"yyyy-mm-dd hh:mm"),INDEX(상세표[블록종료],$P989)&amp;""))</f>
        <v/>
      </c>
      <c r="G989">
        <f>IF($P989="","",CHOOSE(WEEKDAY(INDEX(상세표[시작],$P989)),"일","월","화","수","목","금","토"))</f>
        <v/>
      </c>
      <c r="H989">
        <f>IF($P989="","",INDEX(상세표[연속 시간],$P989))</f>
        <v/>
      </c>
      <c r="I989">
        <f>IF($P989="","",INDEX(상세표[기록 수],$P989))</f>
        <v/>
      </c>
      <c r="J989">
        <f>IF($P989="","",INDEX(상세표[블록 06~07시],$P989))</f>
        <v/>
      </c>
      <c r="K989">
        <f>IF($P989="","",INDEX(상세표[블록 07~18시],$P989))</f>
        <v/>
      </c>
      <c r="L989">
        <f>IF($P989="","",INDEX(상세표[블록 18~22시],$P989))</f>
        <v/>
      </c>
      <c r="M989">
        <f>IF($P989="","",INDEX(상세표[블록 22~06시],$P989))</f>
        <v/>
      </c>
      <c r="N989">
        <f>IF($P989="","",INDEX(상세표[주말·휴일 포함],$P989)&amp;"")</f>
        <v/>
      </c>
      <c r="O989">
        <f>IF($P989="","",INDEX(상세표[월 넘김 포함],$P989)&amp;"")</f>
        <v/>
      </c>
      <c r="P989" s="4">
        <f>IFERROR(MATCH(984,상세표[연속순번],0),"")</f>
        <v/>
      </c>
    </row>
    <row r="990">
      <c r="A990">
        <f>IF($P990="","",INDEX(상세표[사번],$P990)&amp;"")</f>
        <v/>
      </c>
      <c r="B990">
        <f>IF($P990="","",INDEX(상세표[성명],$P990)&amp;"")</f>
        <v/>
      </c>
      <c r="C990">
        <f>IF($P990="","",INDEX(상세표[부서],$P990)&amp;"")</f>
        <v/>
      </c>
      <c r="D990">
        <f>IF($P990="","",INDEX(상세표[직위],$P990)&amp;"")</f>
        <v/>
      </c>
      <c r="E990">
        <f>IF($P990="","",IF(ISNUMBER(INDEX(상세표[시작],$P990)),TEXT(INDEX(상세표[시작],$P990),"yyyy-mm-dd hh:mm"),INDEX(상세표[시작],$P990)&amp;""))</f>
        <v/>
      </c>
      <c r="F990">
        <f>IF($P990="","",IF(ISNUMBER(INDEX(상세표[블록종료],$P990)),TEXT(INDEX(상세표[블록종료],$P990),"yyyy-mm-dd hh:mm"),INDEX(상세표[블록종료],$P990)&amp;""))</f>
        <v/>
      </c>
      <c r="G990">
        <f>IF($P990="","",CHOOSE(WEEKDAY(INDEX(상세표[시작],$P990)),"일","월","화","수","목","금","토"))</f>
        <v/>
      </c>
      <c r="H990">
        <f>IF($P990="","",INDEX(상세표[연속 시간],$P990))</f>
        <v/>
      </c>
      <c r="I990">
        <f>IF($P990="","",INDEX(상세표[기록 수],$P990))</f>
        <v/>
      </c>
      <c r="J990">
        <f>IF($P990="","",INDEX(상세표[블록 06~07시],$P990))</f>
        <v/>
      </c>
      <c r="K990">
        <f>IF($P990="","",INDEX(상세표[블록 07~18시],$P990))</f>
        <v/>
      </c>
      <c r="L990">
        <f>IF($P990="","",INDEX(상세표[블록 18~22시],$P990))</f>
        <v/>
      </c>
      <c r="M990">
        <f>IF($P990="","",INDEX(상세표[블록 22~06시],$P990))</f>
        <v/>
      </c>
      <c r="N990">
        <f>IF($P990="","",INDEX(상세표[주말·휴일 포함],$P990)&amp;"")</f>
        <v/>
      </c>
      <c r="O990">
        <f>IF($P990="","",INDEX(상세표[월 넘김 포함],$P990)&amp;"")</f>
        <v/>
      </c>
      <c r="P990" s="4">
        <f>IFERROR(MATCH(985,상세표[연속순번],0),"")</f>
        <v/>
      </c>
    </row>
    <row r="991">
      <c r="A991">
        <f>IF($P991="","",INDEX(상세표[사번],$P991)&amp;"")</f>
        <v/>
      </c>
      <c r="B991">
        <f>IF($P991="","",INDEX(상세표[성명],$P991)&amp;"")</f>
        <v/>
      </c>
      <c r="C991">
        <f>IF($P991="","",INDEX(상세표[부서],$P991)&amp;"")</f>
        <v/>
      </c>
      <c r="D991">
        <f>IF($P991="","",INDEX(상세표[직위],$P991)&amp;"")</f>
        <v/>
      </c>
      <c r="E991">
        <f>IF($P991="","",IF(ISNUMBER(INDEX(상세표[시작],$P991)),TEXT(INDEX(상세표[시작],$P991),"yyyy-mm-dd hh:mm"),INDEX(상세표[시작],$P991)&amp;""))</f>
        <v/>
      </c>
      <c r="F991">
        <f>IF($P991="","",IF(ISNUMBER(INDEX(상세표[블록종료],$P991)),TEXT(INDEX(상세표[블록종료],$P991),"yyyy-mm-dd hh:mm"),INDEX(상세표[블록종료],$P991)&amp;""))</f>
        <v/>
      </c>
      <c r="G991">
        <f>IF($P991="","",CHOOSE(WEEKDAY(INDEX(상세표[시작],$P991)),"일","월","화","수","목","금","토"))</f>
        <v/>
      </c>
      <c r="H991">
        <f>IF($P991="","",INDEX(상세표[연속 시간],$P991))</f>
        <v/>
      </c>
      <c r="I991">
        <f>IF($P991="","",INDEX(상세표[기록 수],$P991))</f>
        <v/>
      </c>
      <c r="J991">
        <f>IF($P991="","",INDEX(상세표[블록 06~07시],$P991))</f>
        <v/>
      </c>
      <c r="K991">
        <f>IF($P991="","",INDEX(상세표[블록 07~18시],$P991))</f>
        <v/>
      </c>
      <c r="L991">
        <f>IF($P991="","",INDEX(상세표[블록 18~22시],$P991))</f>
        <v/>
      </c>
      <c r="M991">
        <f>IF($P991="","",INDEX(상세표[블록 22~06시],$P991))</f>
        <v/>
      </c>
      <c r="N991">
        <f>IF($P991="","",INDEX(상세표[주말·휴일 포함],$P991)&amp;"")</f>
        <v/>
      </c>
      <c r="O991">
        <f>IF($P991="","",INDEX(상세표[월 넘김 포함],$P991)&amp;"")</f>
        <v/>
      </c>
      <c r="P991" s="4">
        <f>IFERROR(MATCH(986,상세표[연속순번],0),"")</f>
        <v/>
      </c>
    </row>
    <row r="992">
      <c r="A992">
        <f>IF($P992="","",INDEX(상세표[사번],$P992)&amp;"")</f>
        <v/>
      </c>
      <c r="B992">
        <f>IF($P992="","",INDEX(상세표[성명],$P992)&amp;"")</f>
        <v/>
      </c>
      <c r="C992">
        <f>IF($P992="","",INDEX(상세표[부서],$P992)&amp;"")</f>
        <v/>
      </c>
      <c r="D992">
        <f>IF($P992="","",INDEX(상세표[직위],$P992)&amp;"")</f>
        <v/>
      </c>
      <c r="E992">
        <f>IF($P992="","",IF(ISNUMBER(INDEX(상세표[시작],$P992)),TEXT(INDEX(상세표[시작],$P992),"yyyy-mm-dd hh:mm"),INDEX(상세표[시작],$P992)&amp;""))</f>
        <v/>
      </c>
      <c r="F992">
        <f>IF($P992="","",IF(ISNUMBER(INDEX(상세표[블록종료],$P992)),TEXT(INDEX(상세표[블록종료],$P992),"yyyy-mm-dd hh:mm"),INDEX(상세표[블록종료],$P992)&amp;""))</f>
        <v/>
      </c>
      <c r="G992">
        <f>IF($P992="","",CHOOSE(WEEKDAY(INDEX(상세표[시작],$P992)),"일","월","화","수","목","금","토"))</f>
        <v/>
      </c>
      <c r="H992">
        <f>IF($P992="","",INDEX(상세표[연속 시간],$P992))</f>
        <v/>
      </c>
      <c r="I992">
        <f>IF($P992="","",INDEX(상세표[기록 수],$P992))</f>
        <v/>
      </c>
      <c r="J992">
        <f>IF($P992="","",INDEX(상세표[블록 06~07시],$P992))</f>
        <v/>
      </c>
      <c r="K992">
        <f>IF($P992="","",INDEX(상세표[블록 07~18시],$P992))</f>
        <v/>
      </c>
      <c r="L992">
        <f>IF($P992="","",INDEX(상세표[블록 18~22시],$P992))</f>
        <v/>
      </c>
      <c r="M992">
        <f>IF($P992="","",INDEX(상세표[블록 22~06시],$P992))</f>
        <v/>
      </c>
      <c r="N992">
        <f>IF($P992="","",INDEX(상세표[주말·휴일 포함],$P992)&amp;"")</f>
        <v/>
      </c>
      <c r="O992">
        <f>IF($P992="","",INDEX(상세표[월 넘김 포함],$P992)&amp;"")</f>
        <v/>
      </c>
      <c r="P992" s="4">
        <f>IFERROR(MATCH(987,상세표[연속순번],0),"")</f>
        <v/>
      </c>
    </row>
    <row r="993">
      <c r="A993">
        <f>IF($P993="","",INDEX(상세표[사번],$P993)&amp;"")</f>
        <v/>
      </c>
      <c r="B993">
        <f>IF($P993="","",INDEX(상세표[성명],$P993)&amp;"")</f>
        <v/>
      </c>
      <c r="C993">
        <f>IF($P993="","",INDEX(상세표[부서],$P993)&amp;"")</f>
        <v/>
      </c>
      <c r="D993">
        <f>IF($P993="","",INDEX(상세표[직위],$P993)&amp;"")</f>
        <v/>
      </c>
      <c r="E993">
        <f>IF($P993="","",IF(ISNUMBER(INDEX(상세표[시작],$P993)),TEXT(INDEX(상세표[시작],$P993),"yyyy-mm-dd hh:mm"),INDEX(상세표[시작],$P993)&amp;""))</f>
        <v/>
      </c>
      <c r="F993">
        <f>IF($P993="","",IF(ISNUMBER(INDEX(상세표[블록종료],$P993)),TEXT(INDEX(상세표[블록종료],$P993),"yyyy-mm-dd hh:mm"),INDEX(상세표[블록종료],$P993)&amp;""))</f>
        <v/>
      </c>
      <c r="G993">
        <f>IF($P993="","",CHOOSE(WEEKDAY(INDEX(상세표[시작],$P993)),"일","월","화","수","목","금","토"))</f>
        <v/>
      </c>
      <c r="H993">
        <f>IF($P993="","",INDEX(상세표[연속 시간],$P993))</f>
        <v/>
      </c>
      <c r="I993">
        <f>IF($P993="","",INDEX(상세표[기록 수],$P993))</f>
        <v/>
      </c>
      <c r="J993">
        <f>IF($P993="","",INDEX(상세표[블록 06~07시],$P993))</f>
        <v/>
      </c>
      <c r="K993">
        <f>IF($P993="","",INDEX(상세표[블록 07~18시],$P993))</f>
        <v/>
      </c>
      <c r="L993">
        <f>IF($P993="","",INDEX(상세표[블록 18~22시],$P993))</f>
        <v/>
      </c>
      <c r="M993">
        <f>IF($P993="","",INDEX(상세표[블록 22~06시],$P993))</f>
        <v/>
      </c>
      <c r="N993">
        <f>IF($P993="","",INDEX(상세표[주말·휴일 포함],$P993)&amp;"")</f>
        <v/>
      </c>
      <c r="O993">
        <f>IF($P993="","",INDEX(상세표[월 넘김 포함],$P993)&amp;"")</f>
        <v/>
      </c>
      <c r="P993" s="4">
        <f>IFERROR(MATCH(988,상세표[연속순번],0),"")</f>
        <v/>
      </c>
    </row>
    <row r="994">
      <c r="A994">
        <f>IF($P994="","",INDEX(상세표[사번],$P994)&amp;"")</f>
        <v/>
      </c>
      <c r="B994">
        <f>IF($P994="","",INDEX(상세표[성명],$P994)&amp;"")</f>
        <v/>
      </c>
      <c r="C994">
        <f>IF($P994="","",INDEX(상세표[부서],$P994)&amp;"")</f>
        <v/>
      </c>
      <c r="D994">
        <f>IF($P994="","",INDEX(상세표[직위],$P994)&amp;"")</f>
        <v/>
      </c>
      <c r="E994">
        <f>IF($P994="","",IF(ISNUMBER(INDEX(상세표[시작],$P994)),TEXT(INDEX(상세표[시작],$P994),"yyyy-mm-dd hh:mm"),INDEX(상세표[시작],$P994)&amp;""))</f>
        <v/>
      </c>
      <c r="F994">
        <f>IF($P994="","",IF(ISNUMBER(INDEX(상세표[블록종료],$P994)),TEXT(INDEX(상세표[블록종료],$P994),"yyyy-mm-dd hh:mm"),INDEX(상세표[블록종료],$P994)&amp;""))</f>
        <v/>
      </c>
      <c r="G994">
        <f>IF($P994="","",CHOOSE(WEEKDAY(INDEX(상세표[시작],$P994)),"일","월","화","수","목","금","토"))</f>
        <v/>
      </c>
      <c r="H994">
        <f>IF($P994="","",INDEX(상세표[연속 시간],$P994))</f>
        <v/>
      </c>
      <c r="I994">
        <f>IF($P994="","",INDEX(상세표[기록 수],$P994))</f>
        <v/>
      </c>
      <c r="J994">
        <f>IF($P994="","",INDEX(상세표[블록 06~07시],$P994))</f>
        <v/>
      </c>
      <c r="K994">
        <f>IF($P994="","",INDEX(상세표[블록 07~18시],$P994))</f>
        <v/>
      </c>
      <c r="L994">
        <f>IF($P994="","",INDEX(상세표[블록 18~22시],$P994))</f>
        <v/>
      </c>
      <c r="M994">
        <f>IF($P994="","",INDEX(상세표[블록 22~06시],$P994))</f>
        <v/>
      </c>
      <c r="N994">
        <f>IF($P994="","",INDEX(상세표[주말·휴일 포함],$P994)&amp;"")</f>
        <v/>
      </c>
      <c r="O994">
        <f>IF($P994="","",INDEX(상세표[월 넘김 포함],$P994)&amp;"")</f>
        <v/>
      </c>
      <c r="P994" s="4">
        <f>IFERROR(MATCH(989,상세표[연속순번],0),"")</f>
        <v/>
      </c>
    </row>
    <row r="995">
      <c r="A995">
        <f>IF($P995="","",INDEX(상세표[사번],$P995)&amp;"")</f>
        <v/>
      </c>
      <c r="B995">
        <f>IF($P995="","",INDEX(상세표[성명],$P995)&amp;"")</f>
        <v/>
      </c>
      <c r="C995">
        <f>IF($P995="","",INDEX(상세표[부서],$P995)&amp;"")</f>
        <v/>
      </c>
      <c r="D995">
        <f>IF($P995="","",INDEX(상세표[직위],$P995)&amp;"")</f>
        <v/>
      </c>
      <c r="E995">
        <f>IF($P995="","",IF(ISNUMBER(INDEX(상세표[시작],$P995)),TEXT(INDEX(상세표[시작],$P995),"yyyy-mm-dd hh:mm"),INDEX(상세표[시작],$P995)&amp;""))</f>
        <v/>
      </c>
      <c r="F995">
        <f>IF($P995="","",IF(ISNUMBER(INDEX(상세표[블록종료],$P995)),TEXT(INDEX(상세표[블록종료],$P995),"yyyy-mm-dd hh:mm"),INDEX(상세표[블록종료],$P995)&amp;""))</f>
        <v/>
      </c>
      <c r="G995">
        <f>IF($P995="","",CHOOSE(WEEKDAY(INDEX(상세표[시작],$P995)),"일","월","화","수","목","금","토"))</f>
        <v/>
      </c>
      <c r="H995">
        <f>IF($P995="","",INDEX(상세표[연속 시간],$P995))</f>
        <v/>
      </c>
      <c r="I995">
        <f>IF($P995="","",INDEX(상세표[기록 수],$P995))</f>
        <v/>
      </c>
      <c r="J995">
        <f>IF($P995="","",INDEX(상세표[블록 06~07시],$P995))</f>
        <v/>
      </c>
      <c r="K995">
        <f>IF($P995="","",INDEX(상세표[블록 07~18시],$P995))</f>
        <v/>
      </c>
      <c r="L995">
        <f>IF($P995="","",INDEX(상세표[블록 18~22시],$P995))</f>
        <v/>
      </c>
      <c r="M995">
        <f>IF($P995="","",INDEX(상세표[블록 22~06시],$P995))</f>
        <v/>
      </c>
      <c r="N995">
        <f>IF($P995="","",INDEX(상세표[주말·휴일 포함],$P995)&amp;"")</f>
        <v/>
      </c>
      <c r="O995">
        <f>IF($P995="","",INDEX(상세표[월 넘김 포함],$P995)&amp;"")</f>
        <v/>
      </c>
      <c r="P995" s="4">
        <f>IFERROR(MATCH(990,상세표[연속순번],0),"")</f>
        <v/>
      </c>
    </row>
    <row r="996">
      <c r="A996">
        <f>IF($P996="","",INDEX(상세표[사번],$P996)&amp;"")</f>
        <v/>
      </c>
      <c r="B996">
        <f>IF($P996="","",INDEX(상세표[성명],$P996)&amp;"")</f>
        <v/>
      </c>
      <c r="C996">
        <f>IF($P996="","",INDEX(상세표[부서],$P996)&amp;"")</f>
        <v/>
      </c>
      <c r="D996">
        <f>IF($P996="","",INDEX(상세표[직위],$P996)&amp;"")</f>
        <v/>
      </c>
      <c r="E996">
        <f>IF($P996="","",IF(ISNUMBER(INDEX(상세표[시작],$P996)),TEXT(INDEX(상세표[시작],$P996),"yyyy-mm-dd hh:mm"),INDEX(상세표[시작],$P996)&amp;""))</f>
        <v/>
      </c>
      <c r="F996">
        <f>IF($P996="","",IF(ISNUMBER(INDEX(상세표[블록종료],$P996)),TEXT(INDEX(상세표[블록종료],$P996),"yyyy-mm-dd hh:mm"),INDEX(상세표[블록종료],$P996)&amp;""))</f>
        <v/>
      </c>
      <c r="G996">
        <f>IF($P996="","",CHOOSE(WEEKDAY(INDEX(상세표[시작],$P996)),"일","월","화","수","목","금","토"))</f>
        <v/>
      </c>
      <c r="H996">
        <f>IF($P996="","",INDEX(상세표[연속 시간],$P996))</f>
        <v/>
      </c>
      <c r="I996">
        <f>IF($P996="","",INDEX(상세표[기록 수],$P996))</f>
        <v/>
      </c>
      <c r="J996">
        <f>IF($P996="","",INDEX(상세표[블록 06~07시],$P996))</f>
        <v/>
      </c>
      <c r="K996">
        <f>IF($P996="","",INDEX(상세표[블록 07~18시],$P996))</f>
        <v/>
      </c>
      <c r="L996">
        <f>IF($P996="","",INDEX(상세표[블록 18~22시],$P996))</f>
        <v/>
      </c>
      <c r="M996">
        <f>IF($P996="","",INDEX(상세표[블록 22~06시],$P996))</f>
        <v/>
      </c>
      <c r="N996">
        <f>IF($P996="","",INDEX(상세표[주말·휴일 포함],$P996)&amp;"")</f>
        <v/>
      </c>
      <c r="O996">
        <f>IF($P996="","",INDEX(상세표[월 넘김 포함],$P996)&amp;"")</f>
        <v/>
      </c>
      <c r="P996" s="4">
        <f>IFERROR(MATCH(991,상세표[연속순번],0),"")</f>
        <v/>
      </c>
    </row>
    <row r="997">
      <c r="A997">
        <f>IF($P997="","",INDEX(상세표[사번],$P997)&amp;"")</f>
        <v/>
      </c>
      <c r="B997">
        <f>IF($P997="","",INDEX(상세표[성명],$P997)&amp;"")</f>
        <v/>
      </c>
      <c r="C997">
        <f>IF($P997="","",INDEX(상세표[부서],$P997)&amp;"")</f>
        <v/>
      </c>
      <c r="D997">
        <f>IF($P997="","",INDEX(상세표[직위],$P997)&amp;"")</f>
        <v/>
      </c>
      <c r="E997">
        <f>IF($P997="","",IF(ISNUMBER(INDEX(상세표[시작],$P997)),TEXT(INDEX(상세표[시작],$P997),"yyyy-mm-dd hh:mm"),INDEX(상세표[시작],$P997)&amp;""))</f>
        <v/>
      </c>
      <c r="F997">
        <f>IF($P997="","",IF(ISNUMBER(INDEX(상세표[블록종료],$P997)),TEXT(INDEX(상세표[블록종료],$P997),"yyyy-mm-dd hh:mm"),INDEX(상세표[블록종료],$P997)&amp;""))</f>
        <v/>
      </c>
      <c r="G997">
        <f>IF($P997="","",CHOOSE(WEEKDAY(INDEX(상세표[시작],$P997)),"일","월","화","수","목","금","토"))</f>
        <v/>
      </c>
      <c r="H997">
        <f>IF($P997="","",INDEX(상세표[연속 시간],$P997))</f>
        <v/>
      </c>
      <c r="I997">
        <f>IF($P997="","",INDEX(상세표[기록 수],$P997))</f>
        <v/>
      </c>
      <c r="J997">
        <f>IF($P997="","",INDEX(상세표[블록 06~07시],$P997))</f>
        <v/>
      </c>
      <c r="K997">
        <f>IF($P997="","",INDEX(상세표[블록 07~18시],$P997))</f>
        <v/>
      </c>
      <c r="L997">
        <f>IF($P997="","",INDEX(상세표[블록 18~22시],$P997))</f>
        <v/>
      </c>
      <c r="M997">
        <f>IF($P997="","",INDEX(상세표[블록 22~06시],$P997))</f>
        <v/>
      </c>
      <c r="N997">
        <f>IF($P997="","",INDEX(상세표[주말·휴일 포함],$P997)&amp;"")</f>
        <v/>
      </c>
      <c r="O997">
        <f>IF($P997="","",INDEX(상세표[월 넘김 포함],$P997)&amp;"")</f>
        <v/>
      </c>
      <c r="P997" s="4">
        <f>IFERROR(MATCH(992,상세표[연속순번],0),"")</f>
        <v/>
      </c>
    </row>
    <row r="998">
      <c r="A998">
        <f>IF($P998="","",INDEX(상세표[사번],$P998)&amp;"")</f>
        <v/>
      </c>
      <c r="B998">
        <f>IF($P998="","",INDEX(상세표[성명],$P998)&amp;"")</f>
        <v/>
      </c>
      <c r="C998">
        <f>IF($P998="","",INDEX(상세표[부서],$P998)&amp;"")</f>
        <v/>
      </c>
      <c r="D998">
        <f>IF($P998="","",INDEX(상세표[직위],$P998)&amp;"")</f>
        <v/>
      </c>
      <c r="E998">
        <f>IF($P998="","",IF(ISNUMBER(INDEX(상세표[시작],$P998)),TEXT(INDEX(상세표[시작],$P998),"yyyy-mm-dd hh:mm"),INDEX(상세표[시작],$P998)&amp;""))</f>
        <v/>
      </c>
      <c r="F998">
        <f>IF($P998="","",IF(ISNUMBER(INDEX(상세표[블록종료],$P998)),TEXT(INDEX(상세표[블록종료],$P998),"yyyy-mm-dd hh:mm"),INDEX(상세표[블록종료],$P998)&amp;""))</f>
        <v/>
      </c>
      <c r="G998">
        <f>IF($P998="","",CHOOSE(WEEKDAY(INDEX(상세표[시작],$P998)),"일","월","화","수","목","금","토"))</f>
        <v/>
      </c>
      <c r="H998">
        <f>IF($P998="","",INDEX(상세표[연속 시간],$P998))</f>
        <v/>
      </c>
      <c r="I998">
        <f>IF($P998="","",INDEX(상세표[기록 수],$P998))</f>
        <v/>
      </c>
      <c r="J998">
        <f>IF($P998="","",INDEX(상세표[블록 06~07시],$P998))</f>
        <v/>
      </c>
      <c r="K998">
        <f>IF($P998="","",INDEX(상세표[블록 07~18시],$P998))</f>
        <v/>
      </c>
      <c r="L998">
        <f>IF($P998="","",INDEX(상세표[블록 18~22시],$P998))</f>
        <v/>
      </c>
      <c r="M998">
        <f>IF($P998="","",INDEX(상세표[블록 22~06시],$P998))</f>
        <v/>
      </c>
      <c r="N998">
        <f>IF($P998="","",INDEX(상세표[주말·휴일 포함],$P998)&amp;"")</f>
        <v/>
      </c>
      <c r="O998">
        <f>IF($P998="","",INDEX(상세표[월 넘김 포함],$P998)&amp;"")</f>
        <v/>
      </c>
      <c r="P998" s="4">
        <f>IFERROR(MATCH(993,상세표[연속순번],0),"")</f>
        <v/>
      </c>
    </row>
    <row r="999">
      <c r="A999">
        <f>IF($P999="","",INDEX(상세표[사번],$P999)&amp;"")</f>
        <v/>
      </c>
      <c r="B999">
        <f>IF($P999="","",INDEX(상세표[성명],$P999)&amp;"")</f>
        <v/>
      </c>
      <c r="C999">
        <f>IF($P999="","",INDEX(상세표[부서],$P999)&amp;"")</f>
        <v/>
      </c>
      <c r="D999">
        <f>IF($P999="","",INDEX(상세표[직위],$P999)&amp;"")</f>
        <v/>
      </c>
      <c r="E999">
        <f>IF($P999="","",IF(ISNUMBER(INDEX(상세표[시작],$P999)),TEXT(INDEX(상세표[시작],$P999),"yyyy-mm-dd hh:mm"),INDEX(상세표[시작],$P999)&amp;""))</f>
        <v/>
      </c>
      <c r="F999">
        <f>IF($P999="","",IF(ISNUMBER(INDEX(상세표[블록종료],$P999)),TEXT(INDEX(상세표[블록종료],$P999),"yyyy-mm-dd hh:mm"),INDEX(상세표[블록종료],$P999)&amp;""))</f>
        <v/>
      </c>
      <c r="G999">
        <f>IF($P999="","",CHOOSE(WEEKDAY(INDEX(상세표[시작],$P999)),"일","월","화","수","목","금","토"))</f>
        <v/>
      </c>
      <c r="H999">
        <f>IF($P999="","",INDEX(상세표[연속 시간],$P999))</f>
        <v/>
      </c>
      <c r="I999">
        <f>IF($P999="","",INDEX(상세표[기록 수],$P999))</f>
        <v/>
      </c>
      <c r="J999">
        <f>IF($P999="","",INDEX(상세표[블록 06~07시],$P999))</f>
        <v/>
      </c>
      <c r="K999">
        <f>IF($P999="","",INDEX(상세표[블록 07~18시],$P999))</f>
        <v/>
      </c>
      <c r="L999">
        <f>IF($P999="","",INDEX(상세표[블록 18~22시],$P999))</f>
        <v/>
      </c>
      <c r="M999">
        <f>IF($P999="","",INDEX(상세표[블록 22~06시],$P999))</f>
        <v/>
      </c>
      <c r="N999">
        <f>IF($P999="","",INDEX(상세표[주말·휴일 포함],$P999)&amp;"")</f>
        <v/>
      </c>
      <c r="O999">
        <f>IF($P999="","",INDEX(상세표[월 넘김 포함],$P999)&amp;"")</f>
        <v/>
      </c>
      <c r="P999" s="4">
        <f>IFERROR(MATCH(994,상세표[연속순번],0),"")</f>
        <v/>
      </c>
    </row>
    <row r="1000">
      <c r="A1000">
        <f>IF($P1000="","",INDEX(상세표[사번],$P1000)&amp;"")</f>
        <v/>
      </c>
      <c r="B1000">
        <f>IF($P1000="","",INDEX(상세표[성명],$P1000)&amp;"")</f>
        <v/>
      </c>
      <c r="C1000">
        <f>IF($P1000="","",INDEX(상세표[부서],$P1000)&amp;"")</f>
        <v/>
      </c>
      <c r="D1000">
        <f>IF($P1000="","",INDEX(상세표[직위],$P1000)&amp;"")</f>
        <v/>
      </c>
      <c r="E1000">
        <f>IF($P1000="","",IF(ISNUMBER(INDEX(상세표[시작],$P1000)),TEXT(INDEX(상세표[시작],$P1000),"yyyy-mm-dd hh:mm"),INDEX(상세표[시작],$P1000)&amp;""))</f>
        <v/>
      </c>
      <c r="F1000">
        <f>IF($P1000="","",IF(ISNUMBER(INDEX(상세표[블록종료],$P1000)),TEXT(INDEX(상세표[블록종료],$P1000),"yyyy-mm-dd hh:mm"),INDEX(상세표[블록종료],$P1000)&amp;""))</f>
        <v/>
      </c>
      <c r="G1000">
        <f>IF($P1000="","",CHOOSE(WEEKDAY(INDEX(상세표[시작],$P1000)),"일","월","화","수","목","금","토"))</f>
        <v/>
      </c>
      <c r="H1000">
        <f>IF($P1000="","",INDEX(상세표[연속 시간],$P1000))</f>
        <v/>
      </c>
      <c r="I1000">
        <f>IF($P1000="","",INDEX(상세표[기록 수],$P1000))</f>
        <v/>
      </c>
      <c r="J1000">
        <f>IF($P1000="","",INDEX(상세표[블록 06~07시],$P1000))</f>
        <v/>
      </c>
      <c r="K1000">
        <f>IF($P1000="","",INDEX(상세표[블록 07~18시],$P1000))</f>
        <v/>
      </c>
      <c r="L1000">
        <f>IF($P1000="","",INDEX(상세표[블록 18~22시],$P1000))</f>
        <v/>
      </c>
      <c r="M1000">
        <f>IF($P1000="","",INDEX(상세표[블록 22~06시],$P1000))</f>
        <v/>
      </c>
      <c r="N1000">
        <f>IF($P1000="","",INDEX(상세표[주말·휴일 포함],$P1000)&amp;"")</f>
        <v/>
      </c>
      <c r="O1000">
        <f>IF($P1000="","",INDEX(상세표[월 넘김 포함],$P1000)&amp;"")</f>
        <v/>
      </c>
      <c r="P1000" s="4">
        <f>IFERROR(MATCH(995,상세표[연속순번],0),"")</f>
        <v/>
      </c>
    </row>
    <row r="1001">
      <c r="A1001">
        <f>IF($P1001="","",INDEX(상세표[사번],$P1001)&amp;"")</f>
        <v/>
      </c>
      <c r="B1001">
        <f>IF($P1001="","",INDEX(상세표[성명],$P1001)&amp;"")</f>
        <v/>
      </c>
      <c r="C1001">
        <f>IF($P1001="","",INDEX(상세표[부서],$P1001)&amp;"")</f>
        <v/>
      </c>
      <c r="D1001">
        <f>IF($P1001="","",INDEX(상세표[직위],$P1001)&amp;"")</f>
        <v/>
      </c>
      <c r="E1001">
        <f>IF($P1001="","",IF(ISNUMBER(INDEX(상세표[시작],$P1001)),TEXT(INDEX(상세표[시작],$P1001),"yyyy-mm-dd hh:mm"),INDEX(상세표[시작],$P1001)&amp;""))</f>
        <v/>
      </c>
      <c r="F1001">
        <f>IF($P1001="","",IF(ISNUMBER(INDEX(상세표[블록종료],$P1001)),TEXT(INDEX(상세표[블록종료],$P1001),"yyyy-mm-dd hh:mm"),INDEX(상세표[블록종료],$P1001)&amp;""))</f>
        <v/>
      </c>
      <c r="G1001">
        <f>IF($P1001="","",CHOOSE(WEEKDAY(INDEX(상세표[시작],$P1001)),"일","월","화","수","목","금","토"))</f>
        <v/>
      </c>
      <c r="H1001">
        <f>IF($P1001="","",INDEX(상세표[연속 시간],$P1001))</f>
        <v/>
      </c>
      <c r="I1001">
        <f>IF($P1001="","",INDEX(상세표[기록 수],$P1001))</f>
        <v/>
      </c>
      <c r="J1001">
        <f>IF($P1001="","",INDEX(상세표[블록 06~07시],$P1001))</f>
        <v/>
      </c>
      <c r="K1001">
        <f>IF($P1001="","",INDEX(상세표[블록 07~18시],$P1001))</f>
        <v/>
      </c>
      <c r="L1001">
        <f>IF($P1001="","",INDEX(상세표[블록 18~22시],$P1001))</f>
        <v/>
      </c>
      <c r="M1001">
        <f>IF($P1001="","",INDEX(상세표[블록 22~06시],$P1001))</f>
        <v/>
      </c>
      <c r="N1001">
        <f>IF($P1001="","",INDEX(상세표[주말·휴일 포함],$P1001)&amp;"")</f>
        <v/>
      </c>
      <c r="O1001">
        <f>IF($P1001="","",INDEX(상세표[월 넘김 포함],$P1001)&amp;"")</f>
        <v/>
      </c>
      <c r="P1001" s="4">
        <f>IFERROR(MATCH(996,상세표[연속순번],0),"")</f>
        <v/>
      </c>
    </row>
    <row r="1002">
      <c r="A1002">
        <f>IF($P1002="","",INDEX(상세표[사번],$P1002)&amp;"")</f>
        <v/>
      </c>
      <c r="B1002">
        <f>IF($P1002="","",INDEX(상세표[성명],$P1002)&amp;"")</f>
        <v/>
      </c>
      <c r="C1002">
        <f>IF($P1002="","",INDEX(상세표[부서],$P1002)&amp;"")</f>
        <v/>
      </c>
      <c r="D1002">
        <f>IF($P1002="","",INDEX(상세표[직위],$P1002)&amp;"")</f>
        <v/>
      </c>
      <c r="E1002">
        <f>IF($P1002="","",IF(ISNUMBER(INDEX(상세표[시작],$P1002)),TEXT(INDEX(상세표[시작],$P1002),"yyyy-mm-dd hh:mm"),INDEX(상세표[시작],$P1002)&amp;""))</f>
        <v/>
      </c>
      <c r="F1002">
        <f>IF($P1002="","",IF(ISNUMBER(INDEX(상세표[블록종료],$P1002)),TEXT(INDEX(상세표[블록종료],$P1002),"yyyy-mm-dd hh:mm"),INDEX(상세표[블록종료],$P1002)&amp;""))</f>
        <v/>
      </c>
      <c r="G1002">
        <f>IF($P1002="","",CHOOSE(WEEKDAY(INDEX(상세표[시작],$P1002)),"일","월","화","수","목","금","토"))</f>
        <v/>
      </c>
      <c r="H1002">
        <f>IF($P1002="","",INDEX(상세표[연속 시간],$P1002))</f>
        <v/>
      </c>
      <c r="I1002">
        <f>IF($P1002="","",INDEX(상세표[기록 수],$P1002))</f>
        <v/>
      </c>
      <c r="J1002">
        <f>IF($P1002="","",INDEX(상세표[블록 06~07시],$P1002))</f>
        <v/>
      </c>
      <c r="K1002">
        <f>IF($P1002="","",INDEX(상세표[블록 07~18시],$P1002))</f>
        <v/>
      </c>
      <c r="L1002">
        <f>IF($P1002="","",INDEX(상세표[블록 18~22시],$P1002))</f>
        <v/>
      </c>
      <c r="M1002">
        <f>IF($P1002="","",INDEX(상세표[블록 22~06시],$P1002))</f>
        <v/>
      </c>
      <c r="N1002">
        <f>IF($P1002="","",INDEX(상세표[주말·휴일 포함],$P1002)&amp;"")</f>
        <v/>
      </c>
      <c r="O1002">
        <f>IF($P1002="","",INDEX(상세표[월 넘김 포함],$P1002)&amp;"")</f>
        <v/>
      </c>
      <c r="P1002" s="4">
        <f>IFERROR(MATCH(997,상세표[연속순번],0),"")</f>
        <v/>
      </c>
    </row>
    <row r="1003">
      <c r="A1003">
        <f>IF($P1003="","",INDEX(상세표[사번],$P1003)&amp;"")</f>
        <v/>
      </c>
      <c r="B1003">
        <f>IF($P1003="","",INDEX(상세표[성명],$P1003)&amp;"")</f>
        <v/>
      </c>
      <c r="C1003">
        <f>IF($P1003="","",INDEX(상세표[부서],$P1003)&amp;"")</f>
        <v/>
      </c>
      <c r="D1003">
        <f>IF($P1003="","",INDEX(상세표[직위],$P1003)&amp;"")</f>
        <v/>
      </c>
      <c r="E1003">
        <f>IF($P1003="","",IF(ISNUMBER(INDEX(상세표[시작],$P1003)),TEXT(INDEX(상세표[시작],$P1003),"yyyy-mm-dd hh:mm"),INDEX(상세표[시작],$P1003)&amp;""))</f>
        <v/>
      </c>
      <c r="F1003">
        <f>IF($P1003="","",IF(ISNUMBER(INDEX(상세표[블록종료],$P1003)),TEXT(INDEX(상세표[블록종료],$P1003),"yyyy-mm-dd hh:mm"),INDEX(상세표[블록종료],$P1003)&amp;""))</f>
        <v/>
      </c>
      <c r="G1003">
        <f>IF($P1003="","",CHOOSE(WEEKDAY(INDEX(상세표[시작],$P1003)),"일","월","화","수","목","금","토"))</f>
        <v/>
      </c>
      <c r="H1003">
        <f>IF($P1003="","",INDEX(상세표[연속 시간],$P1003))</f>
        <v/>
      </c>
      <c r="I1003">
        <f>IF($P1003="","",INDEX(상세표[기록 수],$P1003))</f>
        <v/>
      </c>
      <c r="J1003">
        <f>IF($P1003="","",INDEX(상세표[블록 06~07시],$P1003))</f>
        <v/>
      </c>
      <c r="K1003">
        <f>IF($P1003="","",INDEX(상세표[블록 07~18시],$P1003))</f>
        <v/>
      </c>
      <c r="L1003">
        <f>IF($P1003="","",INDEX(상세표[블록 18~22시],$P1003))</f>
        <v/>
      </c>
      <c r="M1003">
        <f>IF($P1003="","",INDEX(상세표[블록 22~06시],$P1003))</f>
        <v/>
      </c>
      <c r="N1003">
        <f>IF($P1003="","",INDEX(상세표[주말·휴일 포함],$P1003)&amp;"")</f>
        <v/>
      </c>
      <c r="O1003">
        <f>IF($P1003="","",INDEX(상세표[월 넘김 포함],$P1003)&amp;"")</f>
        <v/>
      </c>
      <c r="P1003" s="4">
        <f>IFERROR(MATCH(998,상세표[연속순번],0),"")</f>
        <v/>
      </c>
    </row>
    <row r="1004">
      <c r="A1004">
        <f>IF($P1004="","",INDEX(상세표[사번],$P1004)&amp;"")</f>
        <v/>
      </c>
      <c r="B1004">
        <f>IF($P1004="","",INDEX(상세표[성명],$P1004)&amp;"")</f>
        <v/>
      </c>
      <c r="C1004">
        <f>IF($P1004="","",INDEX(상세표[부서],$P1004)&amp;"")</f>
        <v/>
      </c>
      <c r="D1004">
        <f>IF($P1004="","",INDEX(상세표[직위],$P1004)&amp;"")</f>
        <v/>
      </c>
      <c r="E1004">
        <f>IF($P1004="","",IF(ISNUMBER(INDEX(상세표[시작],$P1004)),TEXT(INDEX(상세표[시작],$P1004),"yyyy-mm-dd hh:mm"),INDEX(상세표[시작],$P1004)&amp;""))</f>
        <v/>
      </c>
      <c r="F1004">
        <f>IF($P1004="","",IF(ISNUMBER(INDEX(상세표[블록종료],$P1004)),TEXT(INDEX(상세표[블록종료],$P1004),"yyyy-mm-dd hh:mm"),INDEX(상세표[블록종료],$P1004)&amp;""))</f>
        <v/>
      </c>
      <c r="G1004">
        <f>IF($P1004="","",CHOOSE(WEEKDAY(INDEX(상세표[시작],$P1004)),"일","월","화","수","목","금","토"))</f>
        <v/>
      </c>
      <c r="H1004">
        <f>IF($P1004="","",INDEX(상세표[연속 시간],$P1004))</f>
        <v/>
      </c>
      <c r="I1004">
        <f>IF($P1004="","",INDEX(상세표[기록 수],$P1004))</f>
        <v/>
      </c>
      <c r="J1004">
        <f>IF($P1004="","",INDEX(상세표[블록 06~07시],$P1004))</f>
        <v/>
      </c>
      <c r="K1004">
        <f>IF($P1004="","",INDEX(상세표[블록 07~18시],$P1004))</f>
        <v/>
      </c>
      <c r="L1004">
        <f>IF($P1004="","",INDEX(상세표[블록 18~22시],$P1004))</f>
        <v/>
      </c>
      <c r="M1004">
        <f>IF($P1004="","",INDEX(상세표[블록 22~06시],$P1004))</f>
        <v/>
      </c>
      <c r="N1004">
        <f>IF($P1004="","",INDEX(상세표[주말·휴일 포함],$P1004)&amp;"")</f>
        <v/>
      </c>
      <c r="O1004">
        <f>IF($P1004="","",INDEX(상세표[월 넘김 포함],$P1004)&amp;"")</f>
        <v/>
      </c>
      <c r="P1004" s="4">
        <f>IFERROR(MATCH(999,상세표[연속순번],0),"")</f>
        <v/>
      </c>
    </row>
    <row r="1005">
      <c r="A1005">
        <f>IF($P1005="","",INDEX(상세표[사번],$P1005)&amp;"")</f>
        <v/>
      </c>
      <c r="B1005">
        <f>IF($P1005="","",INDEX(상세표[성명],$P1005)&amp;"")</f>
        <v/>
      </c>
      <c r="C1005">
        <f>IF($P1005="","",INDEX(상세표[부서],$P1005)&amp;"")</f>
        <v/>
      </c>
      <c r="D1005">
        <f>IF($P1005="","",INDEX(상세표[직위],$P1005)&amp;"")</f>
        <v/>
      </c>
      <c r="E1005">
        <f>IF($P1005="","",IF(ISNUMBER(INDEX(상세표[시작],$P1005)),TEXT(INDEX(상세표[시작],$P1005),"yyyy-mm-dd hh:mm"),INDEX(상세표[시작],$P1005)&amp;""))</f>
        <v/>
      </c>
      <c r="F1005">
        <f>IF($P1005="","",IF(ISNUMBER(INDEX(상세표[블록종료],$P1005)),TEXT(INDEX(상세표[블록종료],$P1005),"yyyy-mm-dd hh:mm"),INDEX(상세표[블록종료],$P1005)&amp;""))</f>
        <v/>
      </c>
      <c r="G1005">
        <f>IF($P1005="","",CHOOSE(WEEKDAY(INDEX(상세표[시작],$P1005)),"일","월","화","수","목","금","토"))</f>
        <v/>
      </c>
      <c r="H1005">
        <f>IF($P1005="","",INDEX(상세표[연속 시간],$P1005))</f>
        <v/>
      </c>
      <c r="I1005">
        <f>IF($P1005="","",INDEX(상세표[기록 수],$P1005))</f>
        <v/>
      </c>
      <c r="J1005">
        <f>IF($P1005="","",INDEX(상세표[블록 06~07시],$P1005))</f>
        <v/>
      </c>
      <c r="K1005">
        <f>IF($P1005="","",INDEX(상세표[블록 07~18시],$P1005))</f>
        <v/>
      </c>
      <c r="L1005">
        <f>IF($P1005="","",INDEX(상세표[블록 18~22시],$P1005))</f>
        <v/>
      </c>
      <c r="M1005">
        <f>IF($P1005="","",INDEX(상세표[블록 22~06시],$P1005))</f>
        <v/>
      </c>
      <c r="N1005">
        <f>IF($P1005="","",INDEX(상세표[주말·휴일 포함],$P1005)&amp;"")</f>
        <v/>
      </c>
      <c r="O1005">
        <f>IF($P1005="","",INDEX(상세표[월 넘김 포함],$P1005)&amp;"")</f>
        <v/>
      </c>
      <c r="P1005" s="4">
        <f>IFERROR(MATCH(1000,상세표[연속순번],0),"")</f>
        <v/>
      </c>
    </row>
    <row r="1006">
      <c r="A1006">
        <f>IF($P1006="","",INDEX(상세표[사번],$P1006)&amp;"")</f>
        <v/>
      </c>
      <c r="B1006">
        <f>IF($P1006="","",INDEX(상세표[성명],$P1006)&amp;"")</f>
        <v/>
      </c>
      <c r="C1006">
        <f>IF($P1006="","",INDEX(상세표[부서],$P1006)&amp;"")</f>
        <v/>
      </c>
      <c r="D1006">
        <f>IF($P1006="","",INDEX(상세표[직위],$P1006)&amp;"")</f>
        <v/>
      </c>
      <c r="E1006">
        <f>IF($P1006="","",IF(ISNUMBER(INDEX(상세표[시작],$P1006)),TEXT(INDEX(상세표[시작],$P1006),"yyyy-mm-dd hh:mm"),INDEX(상세표[시작],$P1006)&amp;""))</f>
        <v/>
      </c>
      <c r="F1006">
        <f>IF($P1006="","",IF(ISNUMBER(INDEX(상세표[블록종료],$P1006)),TEXT(INDEX(상세표[블록종료],$P1006),"yyyy-mm-dd hh:mm"),INDEX(상세표[블록종료],$P1006)&amp;""))</f>
        <v/>
      </c>
      <c r="G1006">
        <f>IF($P1006="","",CHOOSE(WEEKDAY(INDEX(상세표[시작],$P1006)),"일","월","화","수","목","금","토"))</f>
        <v/>
      </c>
      <c r="H1006">
        <f>IF($P1006="","",INDEX(상세표[연속 시간],$P1006))</f>
        <v/>
      </c>
      <c r="I1006">
        <f>IF($P1006="","",INDEX(상세표[기록 수],$P1006))</f>
        <v/>
      </c>
      <c r="J1006">
        <f>IF($P1006="","",INDEX(상세표[블록 06~07시],$P1006))</f>
        <v/>
      </c>
      <c r="K1006">
        <f>IF($P1006="","",INDEX(상세표[블록 07~18시],$P1006))</f>
        <v/>
      </c>
      <c r="L1006">
        <f>IF($P1006="","",INDEX(상세표[블록 18~22시],$P1006))</f>
        <v/>
      </c>
      <c r="M1006">
        <f>IF($P1006="","",INDEX(상세표[블록 22~06시],$P1006))</f>
        <v/>
      </c>
      <c r="N1006">
        <f>IF($P1006="","",INDEX(상세표[주말·휴일 포함],$P1006)&amp;"")</f>
        <v/>
      </c>
      <c r="O1006">
        <f>IF($P1006="","",INDEX(상세표[월 넘김 포함],$P1006)&amp;"")</f>
        <v/>
      </c>
      <c r="P1006" s="4">
        <f>IFERROR(MATCH(1001,상세표[연속순번],0),"")</f>
        <v/>
      </c>
    </row>
    <row r="1007">
      <c r="A1007">
        <f>IF($P1007="","",INDEX(상세표[사번],$P1007)&amp;"")</f>
        <v/>
      </c>
      <c r="B1007">
        <f>IF($P1007="","",INDEX(상세표[성명],$P1007)&amp;"")</f>
        <v/>
      </c>
      <c r="C1007">
        <f>IF($P1007="","",INDEX(상세표[부서],$P1007)&amp;"")</f>
        <v/>
      </c>
      <c r="D1007">
        <f>IF($P1007="","",INDEX(상세표[직위],$P1007)&amp;"")</f>
        <v/>
      </c>
      <c r="E1007">
        <f>IF($P1007="","",IF(ISNUMBER(INDEX(상세표[시작],$P1007)),TEXT(INDEX(상세표[시작],$P1007),"yyyy-mm-dd hh:mm"),INDEX(상세표[시작],$P1007)&amp;""))</f>
        <v/>
      </c>
      <c r="F1007">
        <f>IF($P1007="","",IF(ISNUMBER(INDEX(상세표[블록종료],$P1007)),TEXT(INDEX(상세표[블록종료],$P1007),"yyyy-mm-dd hh:mm"),INDEX(상세표[블록종료],$P1007)&amp;""))</f>
        <v/>
      </c>
      <c r="G1007">
        <f>IF($P1007="","",CHOOSE(WEEKDAY(INDEX(상세표[시작],$P1007)),"일","월","화","수","목","금","토"))</f>
        <v/>
      </c>
      <c r="H1007">
        <f>IF($P1007="","",INDEX(상세표[연속 시간],$P1007))</f>
        <v/>
      </c>
      <c r="I1007">
        <f>IF($P1007="","",INDEX(상세표[기록 수],$P1007))</f>
        <v/>
      </c>
      <c r="J1007">
        <f>IF($P1007="","",INDEX(상세표[블록 06~07시],$P1007))</f>
        <v/>
      </c>
      <c r="K1007">
        <f>IF($P1007="","",INDEX(상세표[블록 07~18시],$P1007))</f>
        <v/>
      </c>
      <c r="L1007">
        <f>IF($P1007="","",INDEX(상세표[블록 18~22시],$P1007))</f>
        <v/>
      </c>
      <c r="M1007">
        <f>IF($P1007="","",INDEX(상세표[블록 22~06시],$P1007))</f>
        <v/>
      </c>
      <c r="N1007">
        <f>IF($P1007="","",INDEX(상세표[주말·휴일 포함],$P1007)&amp;"")</f>
        <v/>
      </c>
      <c r="O1007">
        <f>IF($P1007="","",INDEX(상세표[월 넘김 포함],$P1007)&amp;"")</f>
        <v/>
      </c>
      <c r="P1007" s="4">
        <f>IFERROR(MATCH(1002,상세표[연속순번],0),"")</f>
        <v/>
      </c>
    </row>
    <row r="1008">
      <c r="A1008">
        <f>IF($P1008="","",INDEX(상세표[사번],$P1008)&amp;"")</f>
        <v/>
      </c>
      <c r="B1008">
        <f>IF($P1008="","",INDEX(상세표[성명],$P1008)&amp;"")</f>
        <v/>
      </c>
      <c r="C1008">
        <f>IF($P1008="","",INDEX(상세표[부서],$P1008)&amp;"")</f>
        <v/>
      </c>
      <c r="D1008">
        <f>IF($P1008="","",INDEX(상세표[직위],$P1008)&amp;"")</f>
        <v/>
      </c>
      <c r="E1008">
        <f>IF($P1008="","",IF(ISNUMBER(INDEX(상세표[시작],$P1008)),TEXT(INDEX(상세표[시작],$P1008),"yyyy-mm-dd hh:mm"),INDEX(상세표[시작],$P1008)&amp;""))</f>
        <v/>
      </c>
      <c r="F1008">
        <f>IF($P1008="","",IF(ISNUMBER(INDEX(상세표[블록종료],$P1008)),TEXT(INDEX(상세표[블록종료],$P1008),"yyyy-mm-dd hh:mm"),INDEX(상세표[블록종료],$P1008)&amp;""))</f>
        <v/>
      </c>
      <c r="G1008">
        <f>IF($P1008="","",CHOOSE(WEEKDAY(INDEX(상세표[시작],$P1008)),"일","월","화","수","목","금","토"))</f>
        <v/>
      </c>
      <c r="H1008">
        <f>IF($P1008="","",INDEX(상세표[연속 시간],$P1008))</f>
        <v/>
      </c>
      <c r="I1008">
        <f>IF($P1008="","",INDEX(상세표[기록 수],$P1008))</f>
        <v/>
      </c>
      <c r="J1008">
        <f>IF($P1008="","",INDEX(상세표[블록 06~07시],$P1008))</f>
        <v/>
      </c>
      <c r="K1008">
        <f>IF($P1008="","",INDEX(상세표[블록 07~18시],$P1008))</f>
        <v/>
      </c>
      <c r="L1008">
        <f>IF($P1008="","",INDEX(상세표[블록 18~22시],$P1008))</f>
        <v/>
      </c>
      <c r="M1008">
        <f>IF($P1008="","",INDEX(상세표[블록 22~06시],$P1008))</f>
        <v/>
      </c>
      <c r="N1008">
        <f>IF($P1008="","",INDEX(상세표[주말·휴일 포함],$P1008)&amp;"")</f>
        <v/>
      </c>
      <c r="O1008">
        <f>IF($P1008="","",INDEX(상세표[월 넘김 포함],$P1008)&amp;"")</f>
        <v/>
      </c>
      <c r="P1008" s="4">
        <f>IFERROR(MATCH(1003,상세표[연속순번],0),"")</f>
        <v/>
      </c>
    </row>
    <row r="1009">
      <c r="A1009">
        <f>IF($P1009="","",INDEX(상세표[사번],$P1009)&amp;"")</f>
        <v/>
      </c>
      <c r="B1009">
        <f>IF($P1009="","",INDEX(상세표[성명],$P1009)&amp;"")</f>
        <v/>
      </c>
      <c r="C1009">
        <f>IF($P1009="","",INDEX(상세표[부서],$P1009)&amp;"")</f>
        <v/>
      </c>
      <c r="D1009">
        <f>IF($P1009="","",INDEX(상세표[직위],$P1009)&amp;"")</f>
        <v/>
      </c>
      <c r="E1009">
        <f>IF($P1009="","",IF(ISNUMBER(INDEX(상세표[시작],$P1009)),TEXT(INDEX(상세표[시작],$P1009),"yyyy-mm-dd hh:mm"),INDEX(상세표[시작],$P1009)&amp;""))</f>
        <v/>
      </c>
      <c r="F1009">
        <f>IF($P1009="","",IF(ISNUMBER(INDEX(상세표[블록종료],$P1009)),TEXT(INDEX(상세표[블록종료],$P1009),"yyyy-mm-dd hh:mm"),INDEX(상세표[블록종료],$P1009)&amp;""))</f>
        <v/>
      </c>
      <c r="G1009">
        <f>IF($P1009="","",CHOOSE(WEEKDAY(INDEX(상세표[시작],$P1009)),"일","월","화","수","목","금","토"))</f>
        <v/>
      </c>
      <c r="H1009">
        <f>IF($P1009="","",INDEX(상세표[연속 시간],$P1009))</f>
        <v/>
      </c>
      <c r="I1009">
        <f>IF($P1009="","",INDEX(상세표[기록 수],$P1009))</f>
        <v/>
      </c>
      <c r="J1009">
        <f>IF($P1009="","",INDEX(상세표[블록 06~07시],$P1009))</f>
        <v/>
      </c>
      <c r="K1009">
        <f>IF($P1009="","",INDEX(상세표[블록 07~18시],$P1009))</f>
        <v/>
      </c>
      <c r="L1009">
        <f>IF($P1009="","",INDEX(상세표[블록 18~22시],$P1009))</f>
        <v/>
      </c>
      <c r="M1009">
        <f>IF($P1009="","",INDEX(상세표[블록 22~06시],$P1009))</f>
        <v/>
      </c>
      <c r="N1009">
        <f>IF($P1009="","",INDEX(상세표[주말·휴일 포함],$P1009)&amp;"")</f>
        <v/>
      </c>
      <c r="O1009">
        <f>IF($P1009="","",INDEX(상세표[월 넘김 포함],$P1009)&amp;"")</f>
        <v/>
      </c>
      <c r="P1009" s="4">
        <f>IFERROR(MATCH(1004,상세표[연속순번],0),"")</f>
        <v/>
      </c>
    </row>
    <row r="1010">
      <c r="A1010">
        <f>IF($P1010="","",INDEX(상세표[사번],$P1010)&amp;"")</f>
        <v/>
      </c>
      <c r="B1010">
        <f>IF($P1010="","",INDEX(상세표[성명],$P1010)&amp;"")</f>
        <v/>
      </c>
      <c r="C1010">
        <f>IF($P1010="","",INDEX(상세표[부서],$P1010)&amp;"")</f>
        <v/>
      </c>
      <c r="D1010">
        <f>IF($P1010="","",INDEX(상세표[직위],$P1010)&amp;"")</f>
        <v/>
      </c>
      <c r="E1010">
        <f>IF($P1010="","",IF(ISNUMBER(INDEX(상세표[시작],$P1010)),TEXT(INDEX(상세표[시작],$P1010),"yyyy-mm-dd hh:mm"),INDEX(상세표[시작],$P1010)&amp;""))</f>
        <v/>
      </c>
      <c r="F1010">
        <f>IF($P1010="","",IF(ISNUMBER(INDEX(상세표[블록종료],$P1010)),TEXT(INDEX(상세표[블록종료],$P1010),"yyyy-mm-dd hh:mm"),INDEX(상세표[블록종료],$P1010)&amp;""))</f>
        <v/>
      </c>
      <c r="G1010">
        <f>IF($P1010="","",CHOOSE(WEEKDAY(INDEX(상세표[시작],$P1010)),"일","월","화","수","목","금","토"))</f>
        <v/>
      </c>
      <c r="H1010">
        <f>IF($P1010="","",INDEX(상세표[연속 시간],$P1010))</f>
        <v/>
      </c>
      <c r="I1010">
        <f>IF($P1010="","",INDEX(상세표[기록 수],$P1010))</f>
        <v/>
      </c>
      <c r="J1010">
        <f>IF($P1010="","",INDEX(상세표[블록 06~07시],$P1010))</f>
        <v/>
      </c>
      <c r="K1010">
        <f>IF($P1010="","",INDEX(상세표[블록 07~18시],$P1010))</f>
        <v/>
      </c>
      <c r="L1010">
        <f>IF($P1010="","",INDEX(상세표[블록 18~22시],$P1010))</f>
        <v/>
      </c>
      <c r="M1010">
        <f>IF($P1010="","",INDEX(상세표[블록 22~06시],$P1010))</f>
        <v/>
      </c>
      <c r="N1010">
        <f>IF($P1010="","",INDEX(상세표[주말·휴일 포함],$P1010)&amp;"")</f>
        <v/>
      </c>
      <c r="O1010">
        <f>IF($P1010="","",INDEX(상세표[월 넘김 포함],$P1010)&amp;"")</f>
        <v/>
      </c>
      <c r="P1010" s="4">
        <f>IFERROR(MATCH(1005,상세표[연속순번],0),"")</f>
        <v/>
      </c>
    </row>
    <row r="1011">
      <c r="A1011">
        <f>IF($P1011="","",INDEX(상세표[사번],$P1011)&amp;"")</f>
        <v/>
      </c>
      <c r="B1011">
        <f>IF($P1011="","",INDEX(상세표[성명],$P1011)&amp;"")</f>
        <v/>
      </c>
      <c r="C1011">
        <f>IF($P1011="","",INDEX(상세표[부서],$P1011)&amp;"")</f>
        <v/>
      </c>
      <c r="D1011">
        <f>IF($P1011="","",INDEX(상세표[직위],$P1011)&amp;"")</f>
        <v/>
      </c>
      <c r="E1011">
        <f>IF($P1011="","",IF(ISNUMBER(INDEX(상세표[시작],$P1011)),TEXT(INDEX(상세표[시작],$P1011),"yyyy-mm-dd hh:mm"),INDEX(상세표[시작],$P1011)&amp;""))</f>
        <v/>
      </c>
      <c r="F1011">
        <f>IF($P1011="","",IF(ISNUMBER(INDEX(상세표[블록종료],$P1011)),TEXT(INDEX(상세표[블록종료],$P1011),"yyyy-mm-dd hh:mm"),INDEX(상세표[블록종료],$P1011)&amp;""))</f>
        <v/>
      </c>
      <c r="G1011">
        <f>IF($P1011="","",CHOOSE(WEEKDAY(INDEX(상세표[시작],$P1011)),"일","월","화","수","목","금","토"))</f>
        <v/>
      </c>
      <c r="H1011">
        <f>IF($P1011="","",INDEX(상세표[연속 시간],$P1011))</f>
        <v/>
      </c>
      <c r="I1011">
        <f>IF($P1011="","",INDEX(상세표[기록 수],$P1011))</f>
        <v/>
      </c>
      <c r="J1011">
        <f>IF($P1011="","",INDEX(상세표[블록 06~07시],$P1011))</f>
        <v/>
      </c>
      <c r="K1011">
        <f>IF($P1011="","",INDEX(상세표[블록 07~18시],$P1011))</f>
        <v/>
      </c>
      <c r="L1011">
        <f>IF($P1011="","",INDEX(상세표[블록 18~22시],$P1011))</f>
        <v/>
      </c>
      <c r="M1011">
        <f>IF($P1011="","",INDEX(상세표[블록 22~06시],$P1011))</f>
        <v/>
      </c>
      <c r="N1011">
        <f>IF($P1011="","",INDEX(상세표[주말·휴일 포함],$P1011)&amp;"")</f>
        <v/>
      </c>
      <c r="O1011">
        <f>IF($P1011="","",INDEX(상세표[월 넘김 포함],$P1011)&amp;"")</f>
        <v/>
      </c>
      <c r="P1011" s="4">
        <f>IFERROR(MATCH(1006,상세표[연속순번],0),"")</f>
        <v/>
      </c>
    </row>
    <row r="1012">
      <c r="A1012">
        <f>IF($P1012="","",INDEX(상세표[사번],$P1012)&amp;"")</f>
        <v/>
      </c>
      <c r="B1012">
        <f>IF($P1012="","",INDEX(상세표[성명],$P1012)&amp;"")</f>
        <v/>
      </c>
      <c r="C1012">
        <f>IF($P1012="","",INDEX(상세표[부서],$P1012)&amp;"")</f>
        <v/>
      </c>
      <c r="D1012">
        <f>IF($P1012="","",INDEX(상세표[직위],$P1012)&amp;"")</f>
        <v/>
      </c>
      <c r="E1012">
        <f>IF($P1012="","",IF(ISNUMBER(INDEX(상세표[시작],$P1012)),TEXT(INDEX(상세표[시작],$P1012),"yyyy-mm-dd hh:mm"),INDEX(상세표[시작],$P1012)&amp;""))</f>
        <v/>
      </c>
      <c r="F1012">
        <f>IF($P1012="","",IF(ISNUMBER(INDEX(상세표[블록종료],$P1012)),TEXT(INDEX(상세표[블록종료],$P1012),"yyyy-mm-dd hh:mm"),INDEX(상세표[블록종료],$P1012)&amp;""))</f>
        <v/>
      </c>
      <c r="G1012">
        <f>IF($P1012="","",CHOOSE(WEEKDAY(INDEX(상세표[시작],$P1012)),"일","월","화","수","목","금","토"))</f>
        <v/>
      </c>
      <c r="H1012">
        <f>IF($P1012="","",INDEX(상세표[연속 시간],$P1012))</f>
        <v/>
      </c>
      <c r="I1012">
        <f>IF($P1012="","",INDEX(상세표[기록 수],$P1012))</f>
        <v/>
      </c>
      <c r="J1012">
        <f>IF($P1012="","",INDEX(상세표[블록 06~07시],$P1012))</f>
        <v/>
      </c>
      <c r="K1012">
        <f>IF($P1012="","",INDEX(상세표[블록 07~18시],$P1012))</f>
        <v/>
      </c>
      <c r="L1012">
        <f>IF($P1012="","",INDEX(상세표[블록 18~22시],$P1012))</f>
        <v/>
      </c>
      <c r="M1012">
        <f>IF($P1012="","",INDEX(상세표[블록 22~06시],$P1012))</f>
        <v/>
      </c>
      <c r="N1012">
        <f>IF($P1012="","",INDEX(상세표[주말·휴일 포함],$P1012)&amp;"")</f>
        <v/>
      </c>
      <c r="O1012">
        <f>IF($P1012="","",INDEX(상세표[월 넘김 포함],$P1012)&amp;"")</f>
        <v/>
      </c>
      <c r="P1012" s="4">
        <f>IFERROR(MATCH(1007,상세표[연속순번],0),"")</f>
        <v/>
      </c>
    </row>
    <row r="1013">
      <c r="A1013">
        <f>IF($P1013="","",INDEX(상세표[사번],$P1013)&amp;"")</f>
        <v/>
      </c>
      <c r="B1013">
        <f>IF($P1013="","",INDEX(상세표[성명],$P1013)&amp;"")</f>
        <v/>
      </c>
      <c r="C1013">
        <f>IF($P1013="","",INDEX(상세표[부서],$P1013)&amp;"")</f>
        <v/>
      </c>
      <c r="D1013">
        <f>IF($P1013="","",INDEX(상세표[직위],$P1013)&amp;"")</f>
        <v/>
      </c>
      <c r="E1013">
        <f>IF($P1013="","",IF(ISNUMBER(INDEX(상세표[시작],$P1013)),TEXT(INDEX(상세표[시작],$P1013),"yyyy-mm-dd hh:mm"),INDEX(상세표[시작],$P1013)&amp;""))</f>
        <v/>
      </c>
      <c r="F1013">
        <f>IF($P1013="","",IF(ISNUMBER(INDEX(상세표[블록종료],$P1013)),TEXT(INDEX(상세표[블록종료],$P1013),"yyyy-mm-dd hh:mm"),INDEX(상세표[블록종료],$P1013)&amp;""))</f>
        <v/>
      </c>
      <c r="G1013">
        <f>IF($P1013="","",CHOOSE(WEEKDAY(INDEX(상세표[시작],$P1013)),"일","월","화","수","목","금","토"))</f>
        <v/>
      </c>
      <c r="H1013">
        <f>IF($P1013="","",INDEX(상세표[연속 시간],$P1013))</f>
        <v/>
      </c>
      <c r="I1013">
        <f>IF($P1013="","",INDEX(상세표[기록 수],$P1013))</f>
        <v/>
      </c>
      <c r="J1013">
        <f>IF($P1013="","",INDEX(상세표[블록 06~07시],$P1013))</f>
        <v/>
      </c>
      <c r="K1013">
        <f>IF($P1013="","",INDEX(상세표[블록 07~18시],$P1013))</f>
        <v/>
      </c>
      <c r="L1013">
        <f>IF($P1013="","",INDEX(상세표[블록 18~22시],$P1013))</f>
        <v/>
      </c>
      <c r="M1013">
        <f>IF($P1013="","",INDEX(상세표[블록 22~06시],$P1013))</f>
        <v/>
      </c>
      <c r="N1013">
        <f>IF($P1013="","",INDEX(상세표[주말·휴일 포함],$P1013)&amp;"")</f>
        <v/>
      </c>
      <c r="O1013">
        <f>IF($P1013="","",INDEX(상세표[월 넘김 포함],$P1013)&amp;"")</f>
        <v/>
      </c>
      <c r="P1013" s="4">
        <f>IFERROR(MATCH(1008,상세표[연속순번],0),"")</f>
        <v/>
      </c>
    </row>
    <row r="1014">
      <c r="A1014">
        <f>IF($P1014="","",INDEX(상세표[사번],$P1014)&amp;"")</f>
        <v/>
      </c>
      <c r="B1014">
        <f>IF($P1014="","",INDEX(상세표[성명],$P1014)&amp;"")</f>
        <v/>
      </c>
      <c r="C1014">
        <f>IF($P1014="","",INDEX(상세표[부서],$P1014)&amp;"")</f>
        <v/>
      </c>
      <c r="D1014">
        <f>IF($P1014="","",INDEX(상세표[직위],$P1014)&amp;"")</f>
        <v/>
      </c>
      <c r="E1014">
        <f>IF($P1014="","",IF(ISNUMBER(INDEX(상세표[시작],$P1014)),TEXT(INDEX(상세표[시작],$P1014),"yyyy-mm-dd hh:mm"),INDEX(상세표[시작],$P1014)&amp;""))</f>
        <v/>
      </c>
      <c r="F1014">
        <f>IF($P1014="","",IF(ISNUMBER(INDEX(상세표[블록종료],$P1014)),TEXT(INDEX(상세표[블록종료],$P1014),"yyyy-mm-dd hh:mm"),INDEX(상세표[블록종료],$P1014)&amp;""))</f>
        <v/>
      </c>
      <c r="G1014">
        <f>IF($P1014="","",CHOOSE(WEEKDAY(INDEX(상세표[시작],$P1014)),"일","월","화","수","목","금","토"))</f>
        <v/>
      </c>
      <c r="H1014">
        <f>IF($P1014="","",INDEX(상세표[연속 시간],$P1014))</f>
        <v/>
      </c>
      <c r="I1014">
        <f>IF($P1014="","",INDEX(상세표[기록 수],$P1014))</f>
        <v/>
      </c>
      <c r="J1014">
        <f>IF($P1014="","",INDEX(상세표[블록 06~07시],$P1014))</f>
        <v/>
      </c>
      <c r="K1014">
        <f>IF($P1014="","",INDEX(상세표[블록 07~18시],$P1014))</f>
        <v/>
      </c>
      <c r="L1014">
        <f>IF($P1014="","",INDEX(상세표[블록 18~22시],$P1014))</f>
        <v/>
      </c>
      <c r="M1014">
        <f>IF($P1014="","",INDEX(상세표[블록 22~06시],$P1014))</f>
        <v/>
      </c>
      <c r="N1014">
        <f>IF($P1014="","",INDEX(상세표[주말·휴일 포함],$P1014)&amp;"")</f>
        <v/>
      </c>
      <c r="O1014">
        <f>IF($P1014="","",INDEX(상세표[월 넘김 포함],$P1014)&amp;"")</f>
        <v/>
      </c>
      <c r="P1014" s="4">
        <f>IFERROR(MATCH(1009,상세표[연속순번],0),"")</f>
        <v/>
      </c>
    </row>
    <row r="1015">
      <c r="A1015">
        <f>IF($P1015="","",INDEX(상세표[사번],$P1015)&amp;"")</f>
        <v/>
      </c>
      <c r="B1015">
        <f>IF($P1015="","",INDEX(상세표[성명],$P1015)&amp;"")</f>
        <v/>
      </c>
      <c r="C1015">
        <f>IF($P1015="","",INDEX(상세표[부서],$P1015)&amp;"")</f>
        <v/>
      </c>
      <c r="D1015">
        <f>IF($P1015="","",INDEX(상세표[직위],$P1015)&amp;"")</f>
        <v/>
      </c>
      <c r="E1015">
        <f>IF($P1015="","",IF(ISNUMBER(INDEX(상세표[시작],$P1015)),TEXT(INDEX(상세표[시작],$P1015),"yyyy-mm-dd hh:mm"),INDEX(상세표[시작],$P1015)&amp;""))</f>
        <v/>
      </c>
      <c r="F1015">
        <f>IF($P1015="","",IF(ISNUMBER(INDEX(상세표[블록종료],$P1015)),TEXT(INDEX(상세표[블록종료],$P1015),"yyyy-mm-dd hh:mm"),INDEX(상세표[블록종료],$P1015)&amp;""))</f>
        <v/>
      </c>
      <c r="G1015">
        <f>IF($P1015="","",CHOOSE(WEEKDAY(INDEX(상세표[시작],$P1015)),"일","월","화","수","목","금","토"))</f>
        <v/>
      </c>
      <c r="H1015">
        <f>IF($P1015="","",INDEX(상세표[연속 시간],$P1015))</f>
        <v/>
      </c>
      <c r="I1015">
        <f>IF($P1015="","",INDEX(상세표[기록 수],$P1015))</f>
        <v/>
      </c>
      <c r="J1015">
        <f>IF($P1015="","",INDEX(상세표[블록 06~07시],$P1015))</f>
        <v/>
      </c>
      <c r="K1015">
        <f>IF($P1015="","",INDEX(상세표[블록 07~18시],$P1015))</f>
        <v/>
      </c>
      <c r="L1015">
        <f>IF($P1015="","",INDEX(상세표[블록 18~22시],$P1015))</f>
        <v/>
      </c>
      <c r="M1015">
        <f>IF($P1015="","",INDEX(상세표[블록 22~06시],$P1015))</f>
        <v/>
      </c>
      <c r="N1015">
        <f>IF($P1015="","",INDEX(상세표[주말·휴일 포함],$P1015)&amp;"")</f>
        <v/>
      </c>
      <c r="O1015">
        <f>IF($P1015="","",INDEX(상세표[월 넘김 포함],$P1015)&amp;"")</f>
        <v/>
      </c>
      <c r="P1015" s="4">
        <f>IFERROR(MATCH(1010,상세표[연속순번],0),"")</f>
        <v/>
      </c>
    </row>
    <row r="1016">
      <c r="A1016">
        <f>IF($P1016="","",INDEX(상세표[사번],$P1016)&amp;"")</f>
        <v/>
      </c>
      <c r="B1016">
        <f>IF($P1016="","",INDEX(상세표[성명],$P1016)&amp;"")</f>
        <v/>
      </c>
      <c r="C1016">
        <f>IF($P1016="","",INDEX(상세표[부서],$P1016)&amp;"")</f>
        <v/>
      </c>
      <c r="D1016">
        <f>IF($P1016="","",INDEX(상세표[직위],$P1016)&amp;"")</f>
        <v/>
      </c>
      <c r="E1016">
        <f>IF($P1016="","",IF(ISNUMBER(INDEX(상세표[시작],$P1016)),TEXT(INDEX(상세표[시작],$P1016),"yyyy-mm-dd hh:mm"),INDEX(상세표[시작],$P1016)&amp;""))</f>
        <v/>
      </c>
      <c r="F1016">
        <f>IF($P1016="","",IF(ISNUMBER(INDEX(상세표[블록종료],$P1016)),TEXT(INDEX(상세표[블록종료],$P1016),"yyyy-mm-dd hh:mm"),INDEX(상세표[블록종료],$P1016)&amp;""))</f>
        <v/>
      </c>
      <c r="G1016">
        <f>IF($P1016="","",CHOOSE(WEEKDAY(INDEX(상세표[시작],$P1016)),"일","월","화","수","목","금","토"))</f>
        <v/>
      </c>
      <c r="H1016">
        <f>IF($P1016="","",INDEX(상세표[연속 시간],$P1016))</f>
        <v/>
      </c>
      <c r="I1016">
        <f>IF($P1016="","",INDEX(상세표[기록 수],$P1016))</f>
        <v/>
      </c>
      <c r="J1016">
        <f>IF($P1016="","",INDEX(상세표[블록 06~07시],$P1016))</f>
        <v/>
      </c>
      <c r="K1016">
        <f>IF($P1016="","",INDEX(상세표[블록 07~18시],$P1016))</f>
        <v/>
      </c>
      <c r="L1016">
        <f>IF($P1016="","",INDEX(상세표[블록 18~22시],$P1016))</f>
        <v/>
      </c>
      <c r="M1016">
        <f>IF($P1016="","",INDEX(상세표[블록 22~06시],$P1016))</f>
        <v/>
      </c>
      <c r="N1016">
        <f>IF($P1016="","",INDEX(상세표[주말·휴일 포함],$P1016)&amp;"")</f>
        <v/>
      </c>
      <c r="O1016">
        <f>IF($P1016="","",INDEX(상세표[월 넘김 포함],$P1016)&amp;"")</f>
        <v/>
      </c>
      <c r="P1016" s="4">
        <f>IFERROR(MATCH(1011,상세표[연속순번],0),"")</f>
        <v/>
      </c>
    </row>
    <row r="1017">
      <c r="A1017">
        <f>IF($P1017="","",INDEX(상세표[사번],$P1017)&amp;"")</f>
        <v/>
      </c>
      <c r="B1017">
        <f>IF($P1017="","",INDEX(상세표[성명],$P1017)&amp;"")</f>
        <v/>
      </c>
      <c r="C1017">
        <f>IF($P1017="","",INDEX(상세표[부서],$P1017)&amp;"")</f>
        <v/>
      </c>
      <c r="D1017">
        <f>IF($P1017="","",INDEX(상세표[직위],$P1017)&amp;"")</f>
        <v/>
      </c>
      <c r="E1017">
        <f>IF($P1017="","",IF(ISNUMBER(INDEX(상세표[시작],$P1017)),TEXT(INDEX(상세표[시작],$P1017),"yyyy-mm-dd hh:mm"),INDEX(상세표[시작],$P1017)&amp;""))</f>
        <v/>
      </c>
      <c r="F1017">
        <f>IF($P1017="","",IF(ISNUMBER(INDEX(상세표[블록종료],$P1017)),TEXT(INDEX(상세표[블록종료],$P1017),"yyyy-mm-dd hh:mm"),INDEX(상세표[블록종료],$P1017)&amp;""))</f>
        <v/>
      </c>
      <c r="G1017">
        <f>IF($P1017="","",CHOOSE(WEEKDAY(INDEX(상세표[시작],$P1017)),"일","월","화","수","목","금","토"))</f>
        <v/>
      </c>
      <c r="H1017">
        <f>IF($P1017="","",INDEX(상세표[연속 시간],$P1017))</f>
        <v/>
      </c>
      <c r="I1017">
        <f>IF($P1017="","",INDEX(상세표[기록 수],$P1017))</f>
        <v/>
      </c>
      <c r="J1017">
        <f>IF($P1017="","",INDEX(상세표[블록 06~07시],$P1017))</f>
        <v/>
      </c>
      <c r="K1017">
        <f>IF($P1017="","",INDEX(상세표[블록 07~18시],$P1017))</f>
        <v/>
      </c>
      <c r="L1017">
        <f>IF($P1017="","",INDEX(상세표[블록 18~22시],$P1017))</f>
        <v/>
      </c>
      <c r="M1017">
        <f>IF($P1017="","",INDEX(상세표[블록 22~06시],$P1017))</f>
        <v/>
      </c>
      <c r="N1017">
        <f>IF($P1017="","",INDEX(상세표[주말·휴일 포함],$P1017)&amp;"")</f>
        <v/>
      </c>
      <c r="O1017">
        <f>IF($P1017="","",INDEX(상세표[월 넘김 포함],$P1017)&amp;"")</f>
        <v/>
      </c>
      <c r="P1017" s="4">
        <f>IFERROR(MATCH(1012,상세표[연속순번],0),"")</f>
        <v/>
      </c>
    </row>
    <row r="1018">
      <c r="A1018">
        <f>IF($P1018="","",INDEX(상세표[사번],$P1018)&amp;"")</f>
        <v/>
      </c>
      <c r="B1018">
        <f>IF($P1018="","",INDEX(상세표[성명],$P1018)&amp;"")</f>
        <v/>
      </c>
      <c r="C1018">
        <f>IF($P1018="","",INDEX(상세표[부서],$P1018)&amp;"")</f>
        <v/>
      </c>
      <c r="D1018">
        <f>IF($P1018="","",INDEX(상세표[직위],$P1018)&amp;"")</f>
        <v/>
      </c>
      <c r="E1018">
        <f>IF($P1018="","",IF(ISNUMBER(INDEX(상세표[시작],$P1018)),TEXT(INDEX(상세표[시작],$P1018),"yyyy-mm-dd hh:mm"),INDEX(상세표[시작],$P1018)&amp;""))</f>
        <v/>
      </c>
      <c r="F1018">
        <f>IF($P1018="","",IF(ISNUMBER(INDEX(상세표[블록종료],$P1018)),TEXT(INDEX(상세표[블록종료],$P1018),"yyyy-mm-dd hh:mm"),INDEX(상세표[블록종료],$P1018)&amp;""))</f>
        <v/>
      </c>
      <c r="G1018">
        <f>IF($P1018="","",CHOOSE(WEEKDAY(INDEX(상세표[시작],$P1018)),"일","월","화","수","목","금","토"))</f>
        <v/>
      </c>
      <c r="H1018">
        <f>IF($P1018="","",INDEX(상세표[연속 시간],$P1018))</f>
        <v/>
      </c>
      <c r="I1018">
        <f>IF($P1018="","",INDEX(상세표[기록 수],$P1018))</f>
        <v/>
      </c>
      <c r="J1018">
        <f>IF($P1018="","",INDEX(상세표[블록 06~07시],$P1018))</f>
        <v/>
      </c>
      <c r="K1018">
        <f>IF($P1018="","",INDEX(상세표[블록 07~18시],$P1018))</f>
        <v/>
      </c>
      <c r="L1018">
        <f>IF($P1018="","",INDEX(상세표[블록 18~22시],$P1018))</f>
        <v/>
      </c>
      <c r="M1018">
        <f>IF($P1018="","",INDEX(상세표[블록 22~06시],$P1018))</f>
        <v/>
      </c>
      <c r="N1018">
        <f>IF($P1018="","",INDEX(상세표[주말·휴일 포함],$P1018)&amp;"")</f>
        <v/>
      </c>
      <c r="O1018">
        <f>IF($P1018="","",INDEX(상세표[월 넘김 포함],$P1018)&amp;"")</f>
        <v/>
      </c>
      <c r="P1018" s="4">
        <f>IFERROR(MATCH(1013,상세표[연속순번],0),"")</f>
        <v/>
      </c>
    </row>
    <row r="1019">
      <c r="A1019">
        <f>IF($P1019="","",INDEX(상세표[사번],$P1019)&amp;"")</f>
        <v/>
      </c>
      <c r="B1019">
        <f>IF($P1019="","",INDEX(상세표[성명],$P1019)&amp;"")</f>
        <v/>
      </c>
      <c r="C1019">
        <f>IF($P1019="","",INDEX(상세표[부서],$P1019)&amp;"")</f>
        <v/>
      </c>
      <c r="D1019">
        <f>IF($P1019="","",INDEX(상세표[직위],$P1019)&amp;"")</f>
        <v/>
      </c>
      <c r="E1019">
        <f>IF($P1019="","",IF(ISNUMBER(INDEX(상세표[시작],$P1019)),TEXT(INDEX(상세표[시작],$P1019),"yyyy-mm-dd hh:mm"),INDEX(상세표[시작],$P1019)&amp;""))</f>
        <v/>
      </c>
      <c r="F1019">
        <f>IF($P1019="","",IF(ISNUMBER(INDEX(상세표[블록종료],$P1019)),TEXT(INDEX(상세표[블록종료],$P1019),"yyyy-mm-dd hh:mm"),INDEX(상세표[블록종료],$P1019)&amp;""))</f>
        <v/>
      </c>
      <c r="G1019">
        <f>IF($P1019="","",CHOOSE(WEEKDAY(INDEX(상세표[시작],$P1019)),"일","월","화","수","목","금","토"))</f>
        <v/>
      </c>
      <c r="H1019">
        <f>IF($P1019="","",INDEX(상세표[연속 시간],$P1019))</f>
        <v/>
      </c>
      <c r="I1019">
        <f>IF($P1019="","",INDEX(상세표[기록 수],$P1019))</f>
        <v/>
      </c>
      <c r="J1019">
        <f>IF($P1019="","",INDEX(상세표[블록 06~07시],$P1019))</f>
        <v/>
      </c>
      <c r="K1019">
        <f>IF($P1019="","",INDEX(상세표[블록 07~18시],$P1019))</f>
        <v/>
      </c>
      <c r="L1019">
        <f>IF($P1019="","",INDEX(상세표[블록 18~22시],$P1019))</f>
        <v/>
      </c>
      <c r="M1019">
        <f>IF($P1019="","",INDEX(상세표[블록 22~06시],$P1019))</f>
        <v/>
      </c>
      <c r="N1019">
        <f>IF($P1019="","",INDEX(상세표[주말·휴일 포함],$P1019)&amp;"")</f>
        <v/>
      </c>
      <c r="O1019">
        <f>IF($P1019="","",INDEX(상세표[월 넘김 포함],$P1019)&amp;"")</f>
        <v/>
      </c>
      <c r="P1019" s="4">
        <f>IFERROR(MATCH(1014,상세표[연속순번],0),"")</f>
        <v/>
      </c>
    </row>
    <row r="1020">
      <c r="A1020">
        <f>IF($P1020="","",INDEX(상세표[사번],$P1020)&amp;"")</f>
        <v/>
      </c>
      <c r="B1020">
        <f>IF($P1020="","",INDEX(상세표[성명],$P1020)&amp;"")</f>
        <v/>
      </c>
      <c r="C1020">
        <f>IF($P1020="","",INDEX(상세표[부서],$P1020)&amp;"")</f>
        <v/>
      </c>
      <c r="D1020">
        <f>IF($P1020="","",INDEX(상세표[직위],$P1020)&amp;"")</f>
        <v/>
      </c>
      <c r="E1020">
        <f>IF($P1020="","",IF(ISNUMBER(INDEX(상세표[시작],$P1020)),TEXT(INDEX(상세표[시작],$P1020),"yyyy-mm-dd hh:mm"),INDEX(상세표[시작],$P1020)&amp;""))</f>
        <v/>
      </c>
      <c r="F1020">
        <f>IF($P1020="","",IF(ISNUMBER(INDEX(상세표[블록종료],$P1020)),TEXT(INDEX(상세표[블록종료],$P1020),"yyyy-mm-dd hh:mm"),INDEX(상세표[블록종료],$P1020)&amp;""))</f>
        <v/>
      </c>
      <c r="G1020">
        <f>IF($P1020="","",CHOOSE(WEEKDAY(INDEX(상세표[시작],$P1020)),"일","월","화","수","목","금","토"))</f>
        <v/>
      </c>
      <c r="H1020">
        <f>IF($P1020="","",INDEX(상세표[연속 시간],$P1020))</f>
        <v/>
      </c>
      <c r="I1020">
        <f>IF($P1020="","",INDEX(상세표[기록 수],$P1020))</f>
        <v/>
      </c>
      <c r="J1020">
        <f>IF($P1020="","",INDEX(상세표[블록 06~07시],$P1020))</f>
        <v/>
      </c>
      <c r="K1020">
        <f>IF($P1020="","",INDEX(상세표[블록 07~18시],$P1020))</f>
        <v/>
      </c>
      <c r="L1020">
        <f>IF($P1020="","",INDEX(상세표[블록 18~22시],$P1020))</f>
        <v/>
      </c>
      <c r="M1020">
        <f>IF($P1020="","",INDEX(상세표[블록 22~06시],$P1020))</f>
        <v/>
      </c>
      <c r="N1020">
        <f>IF($P1020="","",INDEX(상세표[주말·휴일 포함],$P1020)&amp;"")</f>
        <v/>
      </c>
      <c r="O1020">
        <f>IF($P1020="","",INDEX(상세표[월 넘김 포함],$P1020)&amp;"")</f>
        <v/>
      </c>
      <c r="P1020" s="4">
        <f>IFERROR(MATCH(1015,상세표[연속순번],0),"")</f>
        <v/>
      </c>
    </row>
    <row r="1021">
      <c r="A1021">
        <f>IF($P1021="","",INDEX(상세표[사번],$P1021)&amp;"")</f>
        <v/>
      </c>
      <c r="B1021">
        <f>IF($P1021="","",INDEX(상세표[성명],$P1021)&amp;"")</f>
        <v/>
      </c>
      <c r="C1021">
        <f>IF($P1021="","",INDEX(상세표[부서],$P1021)&amp;"")</f>
        <v/>
      </c>
      <c r="D1021">
        <f>IF($P1021="","",INDEX(상세표[직위],$P1021)&amp;"")</f>
        <v/>
      </c>
      <c r="E1021">
        <f>IF($P1021="","",IF(ISNUMBER(INDEX(상세표[시작],$P1021)),TEXT(INDEX(상세표[시작],$P1021),"yyyy-mm-dd hh:mm"),INDEX(상세표[시작],$P1021)&amp;""))</f>
        <v/>
      </c>
      <c r="F1021">
        <f>IF($P1021="","",IF(ISNUMBER(INDEX(상세표[블록종료],$P1021)),TEXT(INDEX(상세표[블록종료],$P1021),"yyyy-mm-dd hh:mm"),INDEX(상세표[블록종료],$P1021)&amp;""))</f>
        <v/>
      </c>
      <c r="G1021">
        <f>IF($P1021="","",CHOOSE(WEEKDAY(INDEX(상세표[시작],$P1021)),"일","월","화","수","목","금","토"))</f>
        <v/>
      </c>
      <c r="H1021">
        <f>IF($P1021="","",INDEX(상세표[연속 시간],$P1021))</f>
        <v/>
      </c>
      <c r="I1021">
        <f>IF($P1021="","",INDEX(상세표[기록 수],$P1021))</f>
        <v/>
      </c>
      <c r="J1021">
        <f>IF($P1021="","",INDEX(상세표[블록 06~07시],$P1021))</f>
        <v/>
      </c>
      <c r="K1021">
        <f>IF($P1021="","",INDEX(상세표[블록 07~18시],$P1021))</f>
        <v/>
      </c>
      <c r="L1021">
        <f>IF($P1021="","",INDEX(상세표[블록 18~22시],$P1021))</f>
        <v/>
      </c>
      <c r="M1021">
        <f>IF($P1021="","",INDEX(상세표[블록 22~06시],$P1021))</f>
        <v/>
      </c>
      <c r="N1021">
        <f>IF($P1021="","",INDEX(상세표[주말·휴일 포함],$P1021)&amp;"")</f>
        <v/>
      </c>
      <c r="O1021">
        <f>IF($P1021="","",INDEX(상세표[월 넘김 포함],$P1021)&amp;"")</f>
        <v/>
      </c>
      <c r="P1021" s="4">
        <f>IFERROR(MATCH(1016,상세표[연속순번],0),"")</f>
        <v/>
      </c>
    </row>
    <row r="1022">
      <c r="A1022">
        <f>IF($P1022="","",INDEX(상세표[사번],$P1022)&amp;"")</f>
        <v/>
      </c>
      <c r="B1022">
        <f>IF($P1022="","",INDEX(상세표[성명],$P1022)&amp;"")</f>
        <v/>
      </c>
      <c r="C1022">
        <f>IF($P1022="","",INDEX(상세표[부서],$P1022)&amp;"")</f>
        <v/>
      </c>
      <c r="D1022">
        <f>IF($P1022="","",INDEX(상세표[직위],$P1022)&amp;"")</f>
        <v/>
      </c>
      <c r="E1022">
        <f>IF($P1022="","",IF(ISNUMBER(INDEX(상세표[시작],$P1022)),TEXT(INDEX(상세표[시작],$P1022),"yyyy-mm-dd hh:mm"),INDEX(상세표[시작],$P1022)&amp;""))</f>
        <v/>
      </c>
      <c r="F1022">
        <f>IF($P1022="","",IF(ISNUMBER(INDEX(상세표[블록종료],$P1022)),TEXT(INDEX(상세표[블록종료],$P1022),"yyyy-mm-dd hh:mm"),INDEX(상세표[블록종료],$P1022)&amp;""))</f>
        <v/>
      </c>
      <c r="G1022">
        <f>IF($P1022="","",CHOOSE(WEEKDAY(INDEX(상세표[시작],$P1022)),"일","월","화","수","목","금","토"))</f>
        <v/>
      </c>
      <c r="H1022">
        <f>IF($P1022="","",INDEX(상세표[연속 시간],$P1022))</f>
        <v/>
      </c>
      <c r="I1022">
        <f>IF($P1022="","",INDEX(상세표[기록 수],$P1022))</f>
        <v/>
      </c>
      <c r="J1022">
        <f>IF($P1022="","",INDEX(상세표[블록 06~07시],$P1022))</f>
        <v/>
      </c>
      <c r="K1022">
        <f>IF($P1022="","",INDEX(상세표[블록 07~18시],$P1022))</f>
        <v/>
      </c>
      <c r="L1022">
        <f>IF($P1022="","",INDEX(상세표[블록 18~22시],$P1022))</f>
        <v/>
      </c>
      <c r="M1022">
        <f>IF($P1022="","",INDEX(상세표[블록 22~06시],$P1022))</f>
        <v/>
      </c>
      <c r="N1022">
        <f>IF($P1022="","",INDEX(상세표[주말·휴일 포함],$P1022)&amp;"")</f>
        <v/>
      </c>
      <c r="O1022">
        <f>IF($P1022="","",INDEX(상세표[월 넘김 포함],$P1022)&amp;"")</f>
        <v/>
      </c>
      <c r="P1022" s="4">
        <f>IFERROR(MATCH(1017,상세표[연속순번],0),"")</f>
        <v/>
      </c>
    </row>
    <row r="1023">
      <c r="A1023">
        <f>IF($P1023="","",INDEX(상세표[사번],$P1023)&amp;"")</f>
        <v/>
      </c>
      <c r="B1023">
        <f>IF($P1023="","",INDEX(상세표[성명],$P1023)&amp;"")</f>
        <v/>
      </c>
      <c r="C1023">
        <f>IF($P1023="","",INDEX(상세표[부서],$P1023)&amp;"")</f>
        <v/>
      </c>
      <c r="D1023">
        <f>IF($P1023="","",INDEX(상세표[직위],$P1023)&amp;"")</f>
        <v/>
      </c>
      <c r="E1023">
        <f>IF($P1023="","",IF(ISNUMBER(INDEX(상세표[시작],$P1023)),TEXT(INDEX(상세표[시작],$P1023),"yyyy-mm-dd hh:mm"),INDEX(상세표[시작],$P1023)&amp;""))</f>
        <v/>
      </c>
      <c r="F1023">
        <f>IF($P1023="","",IF(ISNUMBER(INDEX(상세표[블록종료],$P1023)),TEXT(INDEX(상세표[블록종료],$P1023),"yyyy-mm-dd hh:mm"),INDEX(상세표[블록종료],$P1023)&amp;""))</f>
        <v/>
      </c>
      <c r="G1023">
        <f>IF($P1023="","",CHOOSE(WEEKDAY(INDEX(상세표[시작],$P1023)),"일","월","화","수","목","금","토"))</f>
        <v/>
      </c>
      <c r="H1023">
        <f>IF($P1023="","",INDEX(상세표[연속 시간],$P1023))</f>
        <v/>
      </c>
      <c r="I1023">
        <f>IF($P1023="","",INDEX(상세표[기록 수],$P1023))</f>
        <v/>
      </c>
      <c r="J1023">
        <f>IF($P1023="","",INDEX(상세표[블록 06~07시],$P1023))</f>
        <v/>
      </c>
      <c r="K1023">
        <f>IF($P1023="","",INDEX(상세표[블록 07~18시],$P1023))</f>
        <v/>
      </c>
      <c r="L1023">
        <f>IF($P1023="","",INDEX(상세표[블록 18~22시],$P1023))</f>
        <v/>
      </c>
      <c r="M1023">
        <f>IF($P1023="","",INDEX(상세표[블록 22~06시],$P1023))</f>
        <v/>
      </c>
      <c r="N1023">
        <f>IF($P1023="","",INDEX(상세표[주말·휴일 포함],$P1023)&amp;"")</f>
        <v/>
      </c>
      <c r="O1023">
        <f>IF($P1023="","",INDEX(상세표[월 넘김 포함],$P1023)&amp;"")</f>
        <v/>
      </c>
      <c r="P1023" s="4">
        <f>IFERROR(MATCH(1018,상세표[연속순번],0),"")</f>
        <v/>
      </c>
    </row>
    <row r="1024">
      <c r="A1024">
        <f>IF($P1024="","",INDEX(상세표[사번],$P1024)&amp;"")</f>
        <v/>
      </c>
      <c r="B1024">
        <f>IF($P1024="","",INDEX(상세표[성명],$P1024)&amp;"")</f>
        <v/>
      </c>
      <c r="C1024">
        <f>IF($P1024="","",INDEX(상세표[부서],$P1024)&amp;"")</f>
        <v/>
      </c>
      <c r="D1024">
        <f>IF($P1024="","",INDEX(상세표[직위],$P1024)&amp;"")</f>
        <v/>
      </c>
      <c r="E1024">
        <f>IF($P1024="","",IF(ISNUMBER(INDEX(상세표[시작],$P1024)),TEXT(INDEX(상세표[시작],$P1024),"yyyy-mm-dd hh:mm"),INDEX(상세표[시작],$P1024)&amp;""))</f>
        <v/>
      </c>
      <c r="F1024">
        <f>IF($P1024="","",IF(ISNUMBER(INDEX(상세표[블록종료],$P1024)),TEXT(INDEX(상세표[블록종료],$P1024),"yyyy-mm-dd hh:mm"),INDEX(상세표[블록종료],$P1024)&amp;""))</f>
        <v/>
      </c>
      <c r="G1024">
        <f>IF($P1024="","",CHOOSE(WEEKDAY(INDEX(상세표[시작],$P1024)),"일","월","화","수","목","금","토"))</f>
        <v/>
      </c>
      <c r="H1024">
        <f>IF($P1024="","",INDEX(상세표[연속 시간],$P1024))</f>
        <v/>
      </c>
      <c r="I1024">
        <f>IF($P1024="","",INDEX(상세표[기록 수],$P1024))</f>
        <v/>
      </c>
      <c r="J1024">
        <f>IF($P1024="","",INDEX(상세표[블록 06~07시],$P1024))</f>
        <v/>
      </c>
      <c r="K1024">
        <f>IF($P1024="","",INDEX(상세표[블록 07~18시],$P1024))</f>
        <v/>
      </c>
      <c r="L1024">
        <f>IF($P1024="","",INDEX(상세표[블록 18~22시],$P1024))</f>
        <v/>
      </c>
      <c r="M1024">
        <f>IF($P1024="","",INDEX(상세표[블록 22~06시],$P1024))</f>
        <v/>
      </c>
      <c r="N1024">
        <f>IF($P1024="","",INDEX(상세표[주말·휴일 포함],$P1024)&amp;"")</f>
        <v/>
      </c>
      <c r="O1024">
        <f>IF($P1024="","",INDEX(상세표[월 넘김 포함],$P1024)&amp;"")</f>
        <v/>
      </c>
      <c r="P1024" s="4">
        <f>IFERROR(MATCH(1019,상세표[연속순번],0),"")</f>
        <v/>
      </c>
    </row>
    <row r="1025">
      <c r="A1025">
        <f>IF($P1025="","",INDEX(상세표[사번],$P1025)&amp;"")</f>
        <v/>
      </c>
      <c r="B1025">
        <f>IF($P1025="","",INDEX(상세표[성명],$P1025)&amp;"")</f>
        <v/>
      </c>
      <c r="C1025">
        <f>IF($P1025="","",INDEX(상세표[부서],$P1025)&amp;"")</f>
        <v/>
      </c>
      <c r="D1025">
        <f>IF($P1025="","",INDEX(상세표[직위],$P1025)&amp;"")</f>
        <v/>
      </c>
      <c r="E1025">
        <f>IF($P1025="","",IF(ISNUMBER(INDEX(상세표[시작],$P1025)),TEXT(INDEX(상세표[시작],$P1025),"yyyy-mm-dd hh:mm"),INDEX(상세표[시작],$P1025)&amp;""))</f>
        <v/>
      </c>
      <c r="F1025">
        <f>IF($P1025="","",IF(ISNUMBER(INDEX(상세표[블록종료],$P1025)),TEXT(INDEX(상세표[블록종료],$P1025),"yyyy-mm-dd hh:mm"),INDEX(상세표[블록종료],$P1025)&amp;""))</f>
        <v/>
      </c>
      <c r="G1025">
        <f>IF($P1025="","",CHOOSE(WEEKDAY(INDEX(상세표[시작],$P1025)),"일","월","화","수","목","금","토"))</f>
        <v/>
      </c>
      <c r="H1025">
        <f>IF($P1025="","",INDEX(상세표[연속 시간],$P1025))</f>
        <v/>
      </c>
      <c r="I1025">
        <f>IF($P1025="","",INDEX(상세표[기록 수],$P1025))</f>
        <v/>
      </c>
      <c r="J1025">
        <f>IF($P1025="","",INDEX(상세표[블록 06~07시],$P1025))</f>
        <v/>
      </c>
      <c r="K1025">
        <f>IF($P1025="","",INDEX(상세표[블록 07~18시],$P1025))</f>
        <v/>
      </c>
      <c r="L1025">
        <f>IF($P1025="","",INDEX(상세표[블록 18~22시],$P1025))</f>
        <v/>
      </c>
      <c r="M1025">
        <f>IF($P1025="","",INDEX(상세표[블록 22~06시],$P1025))</f>
        <v/>
      </c>
      <c r="N1025">
        <f>IF($P1025="","",INDEX(상세표[주말·휴일 포함],$P1025)&amp;"")</f>
        <v/>
      </c>
      <c r="O1025">
        <f>IF($P1025="","",INDEX(상세표[월 넘김 포함],$P1025)&amp;"")</f>
        <v/>
      </c>
      <c r="P1025" s="4">
        <f>IFERROR(MATCH(1020,상세표[연속순번],0),"")</f>
        <v/>
      </c>
    </row>
    <row r="1026">
      <c r="A1026">
        <f>IF($P1026="","",INDEX(상세표[사번],$P1026)&amp;"")</f>
        <v/>
      </c>
      <c r="B1026">
        <f>IF($P1026="","",INDEX(상세표[성명],$P1026)&amp;"")</f>
        <v/>
      </c>
      <c r="C1026">
        <f>IF($P1026="","",INDEX(상세표[부서],$P1026)&amp;"")</f>
        <v/>
      </c>
      <c r="D1026">
        <f>IF($P1026="","",INDEX(상세표[직위],$P1026)&amp;"")</f>
        <v/>
      </c>
      <c r="E1026">
        <f>IF($P1026="","",IF(ISNUMBER(INDEX(상세표[시작],$P1026)),TEXT(INDEX(상세표[시작],$P1026),"yyyy-mm-dd hh:mm"),INDEX(상세표[시작],$P1026)&amp;""))</f>
        <v/>
      </c>
      <c r="F1026">
        <f>IF($P1026="","",IF(ISNUMBER(INDEX(상세표[블록종료],$P1026)),TEXT(INDEX(상세표[블록종료],$P1026),"yyyy-mm-dd hh:mm"),INDEX(상세표[블록종료],$P1026)&amp;""))</f>
        <v/>
      </c>
      <c r="G1026">
        <f>IF($P1026="","",CHOOSE(WEEKDAY(INDEX(상세표[시작],$P1026)),"일","월","화","수","목","금","토"))</f>
        <v/>
      </c>
      <c r="H1026">
        <f>IF($P1026="","",INDEX(상세표[연속 시간],$P1026))</f>
        <v/>
      </c>
      <c r="I1026">
        <f>IF($P1026="","",INDEX(상세표[기록 수],$P1026))</f>
        <v/>
      </c>
      <c r="J1026">
        <f>IF($P1026="","",INDEX(상세표[블록 06~07시],$P1026))</f>
        <v/>
      </c>
      <c r="K1026">
        <f>IF($P1026="","",INDEX(상세표[블록 07~18시],$P1026))</f>
        <v/>
      </c>
      <c r="L1026">
        <f>IF($P1026="","",INDEX(상세표[블록 18~22시],$P1026))</f>
        <v/>
      </c>
      <c r="M1026">
        <f>IF($P1026="","",INDEX(상세표[블록 22~06시],$P1026))</f>
        <v/>
      </c>
      <c r="N1026">
        <f>IF($P1026="","",INDEX(상세표[주말·휴일 포함],$P1026)&amp;"")</f>
        <v/>
      </c>
      <c r="O1026">
        <f>IF($P1026="","",INDEX(상세표[월 넘김 포함],$P1026)&amp;"")</f>
        <v/>
      </c>
      <c r="P1026" s="4">
        <f>IFERROR(MATCH(1021,상세표[연속순번],0),"")</f>
        <v/>
      </c>
    </row>
    <row r="1027">
      <c r="A1027">
        <f>IF($P1027="","",INDEX(상세표[사번],$P1027)&amp;"")</f>
        <v/>
      </c>
      <c r="B1027">
        <f>IF($P1027="","",INDEX(상세표[성명],$P1027)&amp;"")</f>
        <v/>
      </c>
      <c r="C1027">
        <f>IF($P1027="","",INDEX(상세표[부서],$P1027)&amp;"")</f>
        <v/>
      </c>
      <c r="D1027">
        <f>IF($P1027="","",INDEX(상세표[직위],$P1027)&amp;"")</f>
        <v/>
      </c>
      <c r="E1027">
        <f>IF($P1027="","",IF(ISNUMBER(INDEX(상세표[시작],$P1027)),TEXT(INDEX(상세표[시작],$P1027),"yyyy-mm-dd hh:mm"),INDEX(상세표[시작],$P1027)&amp;""))</f>
        <v/>
      </c>
      <c r="F1027">
        <f>IF($P1027="","",IF(ISNUMBER(INDEX(상세표[블록종료],$P1027)),TEXT(INDEX(상세표[블록종료],$P1027),"yyyy-mm-dd hh:mm"),INDEX(상세표[블록종료],$P1027)&amp;""))</f>
        <v/>
      </c>
      <c r="G1027">
        <f>IF($P1027="","",CHOOSE(WEEKDAY(INDEX(상세표[시작],$P1027)),"일","월","화","수","목","금","토"))</f>
        <v/>
      </c>
      <c r="H1027">
        <f>IF($P1027="","",INDEX(상세표[연속 시간],$P1027))</f>
        <v/>
      </c>
      <c r="I1027">
        <f>IF($P1027="","",INDEX(상세표[기록 수],$P1027))</f>
        <v/>
      </c>
      <c r="J1027">
        <f>IF($P1027="","",INDEX(상세표[블록 06~07시],$P1027))</f>
        <v/>
      </c>
      <c r="K1027">
        <f>IF($P1027="","",INDEX(상세표[블록 07~18시],$P1027))</f>
        <v/>
      </c>
      <c r="L1027">
        <f>IF($P1027="","",INDEX(상세표[블록 18~22시],$P1027))</f>
        <v/>
      </c>
      <c r="M1027">
        <f>IF($P1027="","",INDEX(상세표[블록 22~06시],$P1027))</f>
        <v/>
      </c>
      <c r="N1027">
        <f>IF($P1027="","",INDEX(상세표[주말·휴일 포함],$P1027)&amp;"")</f>
        <v/>
      </c>
      <c r="O1027">
        <f>IF($P1027="","",INDEX(상세표[월 넘김 포함],$P1027)&amp;"")</f>
        <v/>
      </c>
      <c r="P1027" s="4">
        <f>IFERROR(MATCH(1022,상세표[연속순번],0),"")</f>
        <v/>
      </c>
    </row>
    <row r="1028">
      <c r="A1028">
        <f>IF($P1028="","",INDEX(상세표[사번],$P1028)&amp;"")</f>
        <v/>
      </c>
      <c r="B1028">
        <f>IF($P1028="","",INDEX(상세표[성명],$P1028)&amp;"")</f>
        <v/>
      </c>
      <c r="C1028">
        <f>IF($P1028="","",INDEX(상세표[부서],$P1028)&amp;"")</f>
        <v/>
      </c>
      <c r="D1028">
        <f>IF($P1028="","",INDEX(상세표[직위],$P1028)&amp;"")</f>
        <v/>
      </c>
      <c r="E1028">
        <f>IF($P1028="","",IF(ISNUMBER(INDEX(상세표[시작],$P1028)),TEXT(INDEX(상세표[시작],$P1028),"yyyy-mm-dd hh:mm"),INDEX(상세표[시작],$P1028)&amp;""))</f>
        <v/>
      </c>
      <c r="F1028">
        <f>IF($P1028="","",IF(ISNUMBER(INDEX(상세표[블록종료],$P1028)),TEXT(INDEX(상세표[블록종료],$P1028),"yyyy-mm-dd hh:mm"),INDEX(상세표[블록종료],$P1028)&amp;""))</f>
        <v/>
      </c>
      <c r="G1028">
        <f>IF($P1028="","",CHOOSE(WEEKDAY(INDEX(상세표[시작],$P1028)),"일","월","화","수","목","금","토"))</f>
        <v/>
      </c>
      <c r="H1028">
        <f>IF($P1028="","",INDEX(상세표[연속 시간],$P1028))</f>
        <v/>
      </c>
      <c r="I1028">
        <f>IF($P1028="","",INDEX(상세표[기록 수],$P1028))</f>
        <v/>
      </c>
      <c r="J1028">
        <f>IF($P1028="","",INDEX(상세표[블록 06~07시],$P1028))</f>
        <v/>
      </c>
      <c r="K1028">
        <f>IF($P1028="","",INDEX(상세표[블록 07~18시],$P1028))</f>
        <v/>
      </c>
      <c r="L1028">
        <f>IF($P1028="","",INDEX(상세표[블록 18~22시],$P1028))</f>
        <v/>
      </c>
      <c r="M1028">
        <f>IF($P1028="","",INDEX(상세표[블록 22~06시],$P1028))</f>
        <v/>
      </c>
      <c r="N1028">
        <f>IF($P1028="","",INDEX(상세표[주말·휴일 포함],$P1028)&amp;"")</f>
        <v/>
      </c>
      <c r="O1028">
        <f>IF($P1028="","",INDEX(상세표[월 넘김 포함],$P1028)&amp;"")</f>
        <v/>
      </c>
      <c r="P1028" s="4">
        <f>IFERROR(MATCH(1023,상세표[연속순번],0),"")</f>
        <v/>
      </c>
    </row>
    <row r="1029">
      <c r="A1029">
        <f>IF($P1029="","",INDEX(상세표[사번],$P1029)&amp;"")</f>
        <v/>
      </c>
      <c r="B1029">
        <f>IF($P1029="","",INDEX(상세표[성명],$P1029)&amp;"")</f>
        <v/>
      </c>
      <c r="C1029">
        <f>IF($P1029="","",INDEX(상세표[부서],$P1029)&amp;"")</f>
        <v/>
      </c>
      <c r="D1029">
        <f>IF($P1029="","",INDEX(상세표[직위],$P1029)&amp;"")</f>
        <v/>
      </c>
      <c r="E1029">
        <f>IF($P1029="","",IF(ISNUMBER(INDEX(상세표[시작],$P1029)),TEXT(INDEX(상세표[시작],$P1029),"yyyy-mm-dd hh:mm"),INDEX(상세표[시작],$P1029)&amp;""))</f>
        <v/>
      </c>
      <c r="F1029">
        <f>IF($P1029="","",IF(ISNUMBER(INDEX(상세표[블록종료],$P1029)),TEXT(INDEX(상세표[블록종료],$P1029),"yyyy-mm-dd hh:mm"),INDEX(상세표[블록종료],$P1029)&amp;""))</f>
        <v/>
      </c>
      <c r="G1029">
        <f>IF($P1029="","",CHOOSE(WEEKDAY(INDEX(상세표[시작],$P1029)),"일","월","화","수","목","금","토"))</f>
        <v/>
      </c>
      <c r="H1029">
        <f>IF($P1029="","",INDEX(상세표[연속 시간],$P1029))</f>
        <v/>
      </c>
      <c r="I1029">
        <f>IF($P1029="","",INDEX(상세표[기록 수],$P1029))</f>
        <v/>
      </c>
      <c r="J1029">
        <f>IF($P1029="","",INDEX(상세표[블록 06~07시],$P1029))</f>
        <v/>
      </c>
      <c r="K1029">
        <f>IF($P1029="","",INDEX(상세표[블록 07~18시],$P1029))</f>
        <v/>
      </c>
      <c r="L1029">
        <f>IF($P1029="","",INDEX(상세표[블록 18~22시],$P1029))</f>
        <v/>
      </c>
      <c r="M1029">
        <f>IF($P1029="","",INDEX(상세표[블록 22~06시],$P1029))</f>
        <v/>
      </c>
      <c r="N1029">
        <f>IF($P1029="","",INDEX(상세표[주말·휴일 포함],$P1029)&amp;"")</f>
        <v/>
      </c>
      <c r="O1029">
        <f>IF($P1029="","",INDEX(상세표[월 넘김 포함],$P1029)&amp;"")</f>
        <v/>
      </c>
      <c r="P1029" s="4">
        <f>IFERROR(MATCH(1024,상세표[연속순번],0),"")</f>
        <v/>
      </c>
    </row>
    <row r="1030">
      <c r="A1030">
        <f>IF($P1030="","",INDEX(상세표[사번],$P1030)&amp;"")</f>
        <v/>
      </c>
      <c r="B1030">
        <f>IF($P1030="","",INDEX(상세표[성명],$P1030)&amp;"")</f>
        <v/>
      </c>
      <c r="C1030">
        <f>IF($P1030="","",INDEX(상세표[부서],$P1030)&amp;"")</f>
        <v/>
      </c>
      <c r="D1030">
        <f>IF($P1030="","",INDEX(상세표[직위],$P1030)&amp;"")</f>
        <v/>
      </c>
      <c r="E1030">
        <f>IF($P1030="","",IF(ISNUMBER(INDEX(상세표[시작],$P1030)),TEXT(INDEX(상세표[시작],$P1030),"yyyy-mm-dd hh:mm"),INDEX(상세표[시작],$P1030)&amp;""))</f>
        <v/>
      </c>
      <c r="F1030">
        <f>IF($P1030="","",IF(ISNUMBER(INDEX(상세표[블록종료],$P1030)),TEXT(INDEX(상세표[블록종료],$P1030),"yyyy-mm-dd hh:mm"),INDEX(상세표[블록종료],$P1030)&amp;""))</f>
        <v/>
      </c>
      <c r="G1030">
        <f>IF($P1030="","",CHOOSE(WEEKDAY(INDEX(상세표[시작],$P1030)),"일","월","화","수","목","금","토"))</f>
        <v/>
      </c>
      <c r="H1030">
        <f>IF($P1030="","",INDEX(상세표[연속 시간],$P1030))</f>
        <v/>
      </c>
      <c r="I1030">
        <f>IF($P1030="","",INDEX(상세표[기록 수],$P1030))</f>
        <v/>
      </c>
      <c r="J1030">
        <f>IF($P1030="","",INDEX(상세표[블록 06~07시],$P1030))</f>
        <v/>
      </c>
      <c r="K1030">
        <f>IF($P1030="","",INDEX(상세표[블록 07~18시],$P1030))</f>
        <v/>
      </c>
      <c r="L1030">
        <f>IF($P1030="","",INDEX(상세표[블록 18~22시],$P1030))</f>
        <v/>
      </c>
      <c r="M1030">
        <f>IF($P1030="","",INDEX(상세표[블록 22~06시],$P1030))</f>
        <v/>
      </c>
      <c r="N1030">
        <f>IF($P1030="","",INDEX(상세표[주말·휴일 포함],$P1030)&amp;"")</f>
        <v/>
      </c>
      <c r="O1030">
        <f>IF($P1030="","",INDEX(상세표[월 넘김 포함],$P1030)&amp;"")</f>
        <v/>
      </c>
      <c r="P1030" s="4">
        <f>IFERROR(MATCH(1025,상세표[연속순번],0),"")</f>
        <v/>
      </c>
    </row>
    <row r="1031">
      <c r="A1031">
        <f>IF($P1031="","",INDEX(상세표[사번],$P1031)&amp;"")</f>
        <v/>
      </c>
      <c r="B1031">
        <f>IF($P1031="","",INDEX(상세표[성명],$P1031)&amp;"")</f>
        <v/>
      </c>
      <c r="C1031">
        <f>IF($P1031="","",INDEX(상세표[부서],$P1031)&amp;"")</f>
        <v/>
      </c>
      <c r="D1031">
        <f>IF($P1031="","",INDEX(상세표[직위],$P1031)&amp;"")</f>
        <v/>
      </c>
      <c r="E1031">
        <f>IF($P1031="","",IF(ISNUMBER(INDEX(상세표[시작],$P1031)),TEXT(INDEX(상세표[시작],$P1031),"yyyy-mm-dd hh:mm"),INDEX(상세표[시작],$P1031)&amp;""))</f>
        <v/>
      </c>
      <c r="F1031">
        <f>IF($P1031="","",IF(ISNUMBER(INDEX(상세표[블록종료],$P1031)),TEXT(INDEX(상세표[블록종료],$P1031),"yyyy-mm-dd hh:mm"),INDEX(상세표[블록종료],$P1031)&amp;""))</f>
        <v/>
      </c>
      <c r="G1031">
        <f>IF($P1031="","",CHOOSE(WEEKDAY(INDEX(상세표[시작],$P1031)),"일","월","화","수","목","금","토"))</f>
        <v/>
      </c>
      <c r="H1031">
        <f>IF($P1031="","",INDEX(상세표[연속 시간],$P1031))</f>
        <v/>
      </c>
      <c r="I1031">
        <f>IF($P1031="","",INDEX(상세표[기록 수],$P1031))</f>
        <v/>
      </c>
      <c r="J1031">
        <f>IF($P1031="","",INDEX(상세표[블록 06~07시],$P1031))</f>
        <v/>
      </c>
      <c r="K1031">
        <f>IF($P1031="","",INDEX(상세표[블록 07~18시],$P1031))</f>
        <v/>
      </c>
      <c r="L1031">
        <f>IF($P1031="","",INDEX(상세표[블록 18~22시],$P1031))</f>
        <v/>
      </c>
      <c r="M1031">
        <f>IF($P1031="","",INDEX(상세표[블록 22~06시],$P1031))</f>
        <v/>
      </c>
      <c r="N1031">
        <f>IF($P1031="","",INDEX(상세표[주말·휴일 포함],$P1031)&amp;"")</f>
        <v/>
      </c>
      <c r="O1031">
        <f>IF($P1031="","",INDEX(상세표[월 넘김 포함],$P1031)&amp;"")</f>
        <v/>
      </c>
      <c r="P1031" s="4">
        <f>IFERROR(MATCH(1026,상세표[연속순번],0),"")</f>
        <v/>
      </c>
    </row>
    <row r="1032">
      <c r="A1032">
        <f>IF($P1032="","",INDEX(상세표[사번],$P1032)&amp;"")</f>
        <v/>
      </c>
      <c r="B1032">
        <f>IF($P1032="","",INDEX(상세표[성명],$P1032)&amp;"")</f>
        <v/>
      </c>
      <c r="C1032">
        <f>IF($P1032="","",INDEX(상세표[부서],$P1032)&amp;"")</f>
        <v/>
      </c>
      <c r="D1032">
        <f>IF($P1032="","",INDEX(상세표[직위],$P1032)&amp;"")</f>
        <v/>
      </c>
      <c r="E1032">
        <f>IF($P1032="","",IF(ISNUMBER(INDEX(상세표[시작],$P1032)),TEXT(INDEX(상세표[시작],$P1032),"yyyy-mm-dd hh:mm"),INDEX(상세표[시작],$P1032)&amp;""))</f>
        <v/>
      </c>
      <c r="F1032">
        <f>IF($P1032="","",IF(ISNUMBER(INDEX(상세표[블록종료],$P1032)),TEXT(INDEX(상세표[블록종료],$P1032),"yyyy-mm-dd hh:mm"),INDEX(상세표[블록종료],$P1032)&amp;""))</f>
        <v/>
      </c>
      <c r="G1032">
        <f>IF($P1032="","",CHOOSE(WEEKDAY(INDEX(상세표[시작],$P1032)),"일","월","화","수","목","금","토"))</f>
        <v/>
      </c>
      <c r="H1032">
        <f>IF($P1032="","",INDEX(상세표[연속 시간],$P1032))</f>
        <v/>
      </c>
      <c r="I1032">
        <f>IF($P1032="","",INDEX(상세표[기록 수],$P1032))</f>
        <v/>
      </c>
      <c r="J1032">
        <f>IF($P1032="","",INDEX(상세표[블록 06~07시],$P1032))</f>
        <v/>
      </c>
      <c r="K1032">
        <f>IF($P1032="","",INDEX(상세표[블록 07~18시],$P1032))</f>
        <v/>
      </c>
      <c r="L1032">
        <f>IF($P1032="","",INDEX(상세표[블록 18~22시],$P1032))</f>
        <v/>
      </c>
      <c r="M1032">
        <f>IF($P1032="","",INDEX(상세표[블록 22~06시],$P1032))</f>
        <v/>
      </c>
      <c r="N1032">
        <f>IF($P1032="","",INDEX(상세표[주말·휴일 포함],$P1032)&amp;"")</f>
        <v/>
      </c>
      <c r="O1032">
        <f>IF($P1032="","",INDEX(상세표[월 넘김 포함],$P1032)&amp;"")</f>
        <v/>
      </c>
      <c r="P1032" s="4">
        <f>IFERROR(MATCH(1027,상세표[연속순번],0),"")</f>
        <v/>
      </c>
    </row>
    <row r="1033">
      <c r="A1033">
        <f>IF($P1033="","",INDEX(상세표[사번],$P1033)&amp;"")</f>
        <v/>
      </c>
      <c r="B1033">
        <f>IF($P1033="","",INDEX(상세표[성명],$P1033)&amp;"")</f>
        <v/>
      </c>
      <c r="C1033">
        <f>IF($P1033="","",INDEX(상세표[부서],$P1033)&amp;"")</f>
        <v/>
      </c>
      <c r="D1033">
        <f>IF($P1033="","",INDEX(상세표[직위],$P1033)&amp;"")</f>
        <v/>
      </c>
      <c r="E1033">
        <f>IF($P1033="","",IF(ISNUMBER(INDEX(상세표[시작],$P1033)),TEXT(INDEX(상세표[시작],$P1033),"yyyy-mm-dd hh:mm"),INDEX(상세표[시작],$P1033)&amp;""))</f>
        <v/>
      </c>
      <c r="F1033">
        <f>IF($P1033="","",IF(ISNUMBER(INDEX(상세표[블록종료],$P1033)),TEXT(INDEX(상세표[블록종료],$P1033),"yyyy-mm-dd hh:mm"),INDEX(상세표[블록종료],$P1033)&amp;""))</f>
        <v/>
      </c>
      <c r="G1033">
        <f>IF($P1033="","",CHOOSE(WEEKDAY(INDEX(상세표[시작],$P1033)),"일","월","화","수","목","금","토"))</f>
        <v/>
      </c>
      <c r="H1033">
        <f>IF($P1033="","",INDEX(상세표[연속 시간],$P1033))</f>
        <v/>
      </c>
      <c r="I1033">
        <f>IF($P1033="","",INDEX(상세표[기록 수],$P1033))</f>
        <v/>
      </c>
      <c r="J1033">
        <f>IF($P1033="","",INDEX(상세표[블록 06~07시],$P1033))</f>
        <v/>
      </c>
      <c r="K1033">
        <f>IF($P1033="","",INDEX(상세표[블록 07~18시],$P1033))</f>
        <v/>
      </c>
      <c r="L1033">
        <f>IF($P1033="","",INDEX(상세표[블록 18~22시],$P1033))</f>
        <v/>
      </c>
      <c r="M1033">
        <f>IF($P1033="","",INDEX(상세표[블록 22~06시],$P1033))</f>
        <v/>
      </c>
      <c r="N1033">
        <f>IF($P1033="","",INDEX(상세표[주말·휴일 포함],$P1033)&amp;"")</f>
        <v/>
      </c>
      <c r="O1033">
        <f>IF($P1033="","",INDEX(상세표[월 넘김 포함],$P1033)&amp;"")</f>
        <v/>
      </c>
      <c r="P1033" s="4">
        <f>IFERROR(MATCH(1028,상세표[연속순번],0),"")</f>
        <v/>
      </c>
    </row>
    <row r="1034">
      <c r="A1034">
        <f>IF($P1034="","",INDEX(상세표[사번],$P1034)&amp;"")</f>
        <v/>
      </c>
      <c r="B1034">
        <f>IF($P1034="","",INDEX(상세표[성명],$P1034)&amp;"")</f>
        <v/>
      </c>
      <c r="C1034">
        <f>IF($P1034="","",INDEX(상세표[부서],$P1034)&amp;"")</f>
        <v/>
      </c>
      <c r="D1034">
        <f>IF($P1034="","",INDEX(상세표[직위],$P1034)&amp;"")</f>
        <v/>
      </c>
      <c r="E1034">
        <f>IF($P1034="","",IF(ISNUMBER(INDEX(상세표[시작],$P1034)),TEXT(INDEX(상세표[시작],$P1034),"yyyy-mm-dd hh:mm"),INDEX(상세표[시작],$P1034)&amp;""))</f>
        <v/>
      </c>
      <c r="F1034">
        <f>IF($P1034="","",IF(ISNUMBER(INDEX(상세표[블록종료],$P1034)),TEXT(INDEX(상세표[블록종료],$P1034),"yyyy-mm-dd hh:mm"),INDEX(상세표[블록종료],$P1034)&amp;""))</f>
        <v/>
      </c>
      <c r="G1034">
        <f>IF($P1034="","",CHOOSE(WEEKDAY(INDEX(상세표[시작],$P1034)),"일","월","화","수","목","금","토"))</f>
        <v/>
      </c>
      <c r="H1034">
        <f>IF($P1034="","",INDEX(상세표[연속 시간],$P1034))</f>
        <v/>
      </c>
      <c r="I1034">
        <f>IF($P1034="","",INDEX(상세표[기록 수],$P1034))</f>
        <v/>
      </c>
      <c r="J1034">
        <f>IF($P1034="","",INDEX(상세표[블록 06~07시],$P1034))</f>
        <v/>
      </c>
      <c r="K1034">
        <f>IF($P1034="","",INDEX(상세표[블록 07~18시],$P1034))</f>
        <v/>
      </c>
      <c r="L1034">
        <f>IF($P1034="","",INDEX(상세표[블록 18~22시],$P1034))</f>
        <v/>
      </c>
      <c r="M1034">
        <f>IF($P1034="","",INDEX(상세표[블록 22~06시],$P1034))</f>
        <v/>
      </c>
      <c r="N1034">
        <f>IF($P1034="","",INDEX(상세표[주말·휴일 포함],$P1034)&amp;"")</f>
        <v/>
      </c>
      <c r="O1034">
        <f>IF($P1034="","",INDEX(상세표[월 넘김 포함],$P1034)&amp;"")</f>
        <v/>
      </c>
      <c r="P1034" s="4">
        <f>IFERROR(MATCH(1029,상세표[연속순번],0),"")</f>
        <v/>
      </c>
    </row>
    <row r="1035">
      <c r="A1035">
        <f>IF($P1035="","",INDEX(상세표[사번],$P1035)&amp;"")</f>
        <v/>
      </c>
      <c r="B1035">
        <f>IF($P1035="","",INDEX(상세표[성명],$P1035)&amp;"")</f>
        <v/>
      </c>
      <c r="C1035">
        <f>IF($P1035="","",INDEX(상세표[부서],$P1035)&amp;"")</f>
        <v/>
      </c>
      <c r="D1035">
        <f>IF($P1035="","",INDEX(상세표[직위],$P1035)&amp;"")</f>
        <v/>
      </c>
      <c r="E1035">
        <f>IF($P1035="","",IF(ISNUMBER(INDEX(상세표[시작],$P1035)),TEXT(INDEX(상세표[시작],$P1035),"yyyy-mm-dd hh:mm"),INDEX(상세표[시작],$P1035)&amp;""))</f>
        <v/>
      </c>
      <c r="F1035">
        <f>IF($P1035="","",IF(ISNUMBER(INDEX(상세표[블록종료],$P1035)),TEXT(INDEX(상세표[블록종료],$P1035),"yyyy-mm-dd hh:mm"),INDEX(상세표[블록종료],$P1035)&amp;""))</f>
        <v/>
      </c>
      <c r="G1035">
        <f>IF($P1035="","",CHOOSE(WEEKDAY(INDEX(상세표[시작],$P1035)),"일","월","화","수","목","금","토"))</f>
        <v/>
      </c>
      <c r="H1035">
        <f>IF($P1035="","",INDEX(상세표[연속 시간],$P1035))</f>
        <v/>
      </c>
      <c r="I1035">
        <f>IF($P1035="","",INDEX(상세표[기록 수],$P1035))</f>
        <v/>
      </c>
      <c r="J1035">
        <f>IF($P1035="","",INDEX(상세표[블록 06~07시],$P1035))</f>
        <v/>
      </c>
      <c r="K1035">
        <f>IF($P1035="","",INDEX(상세표[블록 07~18시],$P1035))</f>
        <v/>
      </c>
      <c r="L1035">
        <f>IF($P1035="","",INDEX(상세표[블록 18~22시],$P1035))</f>
        <v/>
      </c>
      <c r="M1035">
        <f>IF($P1035="","",INDEX(상세표[블록 22~06시],$P1035))</f>
        <v/>
      </c>
      <c r="N1035">
        <f>IF($P1035="","",INDEX(상세표[주말·휴일 포함],$P1035)&amp;"")</f>
        <v/>
      </c>
      <c r="O1035">
        <f>IF($P1035="","",INDEX(상세표[월 넘김 포함],$P1035)&amp;"")</f>
        <v/>
      </c>
      <c r="P1035" s="4">
        <f>IFERROR(MATCH(1030,상세표[연속순번],0),"")</f>
        <v/>
      </c>
    </row>
    <row r="1036">
      <c r="A1036">
        <f>IF($P1036="","",INDEX(상세표[사번],$P1036)&amp;"")</f>
        <v/>
      </c>
      <c r="B1036">
        <f>IF($P1036="","",INDEX(상세표[성명],$P1036)&amp;"")</f>
        <v/>
      </c>
      <c r="C1036">
        <f>IF($P1036="","",INDEX(상세표[부서],$P1036)&amp;"")</f>
        <v/>
      </c>
      <c r="D1036">
        <f>IF($P1036="","",INDEX(상세표[직위],$P1036)&amp;"")</f>
        <v/>
      </c>
      <c r="E1036">
        <f>IF($P1036="","",IF(ISNUMBER(INDEX(상세표[시작],$P1036)),TEXT(INDEX(상세표[시작],$P1036),"yyyy-mm-dd hh:mm"),INDEX(상세표[시작],$P1036)&amp;""))</f>
        <v/>
      </c>
      <c r="F1036">
        <f>IF($P1036="","",IF(ISNUMBER(INDEX(상세표[블록종료],$P1036)),TEXT(INDEX(상세표[블록종료],$P1036),"yyyy-mm-dd hh:mm"),INDEX(상세표[블록종료],$P1036)&amp;""))</f>
        <v/>
      </c>
      <c r="G1036">
        <f>IF($P1036="","",CHOOSE(WEEKDAY(INDEX(상세표[시작],$P1036)),"일","월","화","수","목","금","토"))</f>
        <v/>
      </c>
      <c r="H1036">
        <f>IF($P1036="","",INDEX(상세표[연속 시간],$P1036))</f>
        <v/>
      </c>
      <c r="I1036">
        <f>IF($P1036="","",INDEX(상세표[기록 수],$P1036))</f>
        <v/>
      </c>
      <c r="J1036">
        <f>IF($P1036="","",INDEX(상세표[블록 06~07시],$P1036))</f>
        <v/>
      </c>
      <c r="K1036">
        <f>IF($P1036="","",INDEX(상세표[블록 07~18시],$P1036))</f>
        <v/>
      </c>
      <c r="L1036">
        <f>IF($P1036="","",INDEX(상세표[블록 18~22시],$P1036))</f>
        <v/>
      </c>
      <c r="M1036">
        <f>IF($P1036="","",INDEX(상세표[블록 22~06시],$P1036))</f>
        <v/>
      </c>
      <c r="N1036">
        <f>IF($P1036="","",INDEX(상세표[주말·휴일 포함],$P1036)&amp;"")</f>
        <v/>
      </c>
      <c r="O1036">
        <f>IF($P1036="","",INDEX(상세표[월 넘김 포함],$P1036)&amp;"")</f>
        <v/>
      </c>
      <c r="P1036" s="4">
        <f>IFERROR(MATCH(1031,상세표[연속순번],0),"")</f>
        <v/>
      </c>
    </row>
    <row r="1037">
      <c r="A1037">
        <f>IF($P1037="","",INDEX(상세표[사번],$P1037)&amp;"")</f>
        <v/>
      </c>
      <c r="B1037">
        <f>IF($P1037="","",INDEX(상세표[성명],$P1037)&amp;"")</f>
        <v/>
      </c>
      <c r="C1037">
        <f>IF($P1037="","",INDEX(상세표[부서],$P1037)&amp;"")</f>
        <v/>
      </c>
      <c r="D1037">
        <f>IF($P1037="","",INDEX(상세표[직위],$P1037)&amp;"")</f>
        <v/>
      </c>
      <c r="E1037">
        <f>IF($P1037="","",IF(ISNUMBER(INDEX(상세표[시작],$P1037)),TEXT(INDEX(상세표[시작],$P1037),"yyyy-mm-dd hh:mm"),INDEX(상세표[시작],$P1037)&amp;""))</f>
        <v/>
      </c>
      <c r="F1037">
        <f>IF($P1037="","",IF(ISNUMBER(INDEX(상세표[블록종료],$P1037)),TEXT(INDEX(상세표[블록종료],$P1037),"yyyy-mm-dd hh:mm"),INDEX(상세표[블록종료],$P1037)&amp;""))</f>
        <v/>
      </c>
      <c r="G1037">
        <f>IF($P1037="","",CHOOSE(WEEKDAY(INDEX(상세표[시작],$P1037)),"일","월","화","수","목","금","토"))</f>
        <v/>
      </c>
      <c r="H1037">
        <f>IF($P1037="","",INDEX(상세표[연속 시간],$P1037))</f>
        <v/>
      </c>
      <c r="I1037">
        <f>IF($P1037="","",INDEX(상세표[기록 수],$P1037))</f>
        <v/>
      </c>
      <c r="J1037">
        <f>IF($P1037="","",INDEX(상세표[블록 06~07시],$P1037))</f>
        <v/>
      </c>
      <c r="K1037">
        <f>IF($P1037="","",INDEX(상세표[블록 07~18시],$P1037))</f>
        <v/>
      </c>
      <c r="L1037">
        <f>IF($P1037="","",INDEX(상세표[블록 18~22시],$P1037))</f>
        <v/>
      </c>
      <c r="M1037">
        <f>IF($P1037="","",INDEX(상세표[블록 22~06시],$P1037))</f>
        <v/>
      </c>
      <c r="N1037">
        <f>IF($P1037="","",INDEX(상세표[주말·휴일 포함],$P1037)&amp;"")</f>
        <v/>
      </c>
      <c r="O1037">
        <f>IF($P1037="","",INDEX(상세표[월 넘김 포함],$P1037)&amp;"")</f>
        <v/>
      </c>
      <c r="P1037" s="4">
        <f>IFERROR(MATCH(1032,상세표[연속순번],0),"")</f>
        <v/>
      </c>
    </row>
    <row r="1038">
      <c r="A1038">
        <f>IF($P1038="","",INDEX(상세표[사번],$P1038)&amp;"")</f>
        <v/>
      </c>
      <c r="B1038">
        <f>IF($P1038="","",INDEX(상세표[성명],$P1038)&amp;"")</f>
        <v/>
      </c>
      <c r="C1038">
        <f>IF($P1038="","",INDEX(상세표[부서],$P1038)&amp;"")</f>
        <v/>
      </c>
      <c r="D1038">
        <f>IF($P1038="","",INDEX(상세표[직위],$P1038)&amp;"")</f>
        <v/>
      </c>
      <c r="E1038">
        <f>IF($P1038="","",IF(ISNUMBER(INDEX(상세표[시작],$P1038)),TEXT(INDEX(상세표[시작],$P1038),"yyyy-mm-dd hh:mm"),INDEX(상세표[시작],$P1038)&amp;""))</f>
        <v/>
      </c>
      <c r="F1038">
        <f>IF($P1038="","",IF(ISNUMBER(INDEX(상세표[블록종료],$P1038)),TEXT(INDEX(상세표[블록종료],$P1038),"yyyy-mm-dd hh:mm"),INDEX(상세표[블록종료],$P1038)&amp;""))</f>
        <v/>
      </c>
      <c r="G1038">
        <f>IF($P1038="","",CHOOSE(WEEKDAY(INDEX(상세표[시작],$P1038)),"일","월","화","수","목","금","토"))</f>
        <v/>
      </c>
      <c r="H1038">
        <f>IF($P1038="","",INDEX(상세표[연속 시간],$P1038))</f>
        <v/>
      </c>
      <c r="I1038">
        <f>IF($P1038="","",INDEX(상세표[기록 수],$P1038))</f>
        <v/>
      </c>
      <c r="J1038">
        <f>IF($P1038="","",INDEX(상세표[블록 06~07시],$P1038))</f>
        <v/>
      </c>
      <c r="K1038">
        <f>IF($P1038="","",INDEX(상세표[블록 07~18시],$P1038))</f>
        <v/>
      </c>
      <c r="L1038">
        <f>IF($P1038="","",INDEX(상세표[블록 18~22시],$P1038))</f>
        <v/>
      </c>
      <c r="M1038">
        <f>IF($P1038="","",INDEX(상세표[블록 22~06시],$P1038))</f>
        <v/>
      </c>
      <c r="N1038">
        <f>IF($P1038="","",INDEX(상세표[주말·휴일 포함],$P1038)&amp;"")</f>
        <v/>
      </c>
      <c r="O1038">
        <f>IF($P1038="","",INDEX(상세표[월 넘김 포함],$P1038)&amp;"")</f>
        <v/>
      </c>
      <c r="P1038" s="4">
        <f>IFERROR(MATCH(1033,상세표[연속순번],0),"")</f>
        <v/>
      </c>
    </row>
    <row r="1039">
      <c r="A1039">
        <f>IF($P1039="","",INDEX(상세표[사번],$P1039)&amp;"")</f>
        <v/>
      </c>
      <c r="B1039">
        <f>IF($P1039="","",INDEX(상세표[성명],$P1039)&amp;"")</f>
        <v/>
      </c>
      <c r="C1039">
        <f>IF($P1039="","",INDEX(상세표[부서],$P1039)&amp;"")</f>
        <v/>
      </c>
      <c r="D1039">
        <f>IF($P1039="","",INDEX(상세표[직위],$P1039)&amp;"")</f>
        <v/>
      </c>
      <c r="E1039">
        <f>IF($P1039="","",IF(ISNUMBER(INDEX(상세표[시작],$P1039)),TEXT(INDEX(상세표[시작],$P1039),"yyyy-mm-dd hh:mm"),INDEX(상세표[시작],$P1039)&amp;""))</f>
        <v/>
      </c>
      <c r="F1039">
        <f>IF($P1039="","",IF(ISNUMBER(INDEX(상세표[블록종료],$P1039)),TEXT(INDEX(상세표[블록종료],$P1039),"yyyy-mm-dd hh:mm"),INDEX(상세표[블록종료],$P1039)&amp;""))</f>
        <v/>
      </c>
      <c r="G1039">
        <f>IF($P1039="","",CHOOSE(WEEKDAY(INDEX(상세표[시작],$P1039)),"일","월","화","수","목","금","토"))</f>
        <v/>
      </c>
      <c r="H1039">
        <f>IF($P1039="","",INDEX(상세표[연속 시간],$P1039))</f>
        <v/>
      </c>
      <c r="I1039">
        <f>IF($P1039="","",INDEX(상세표[기록 수],$P1039))</f>
        <v/>
      </c>
      <c r="J1039">
        <f>IF($P1039="","",INDEX(상세표[블록 06~07시],$P1039))</f>
        <v/>
      </c>
      <c r="K1039">
        <f>IF($P1039="","",INDEX(상세표[블록 07~18시],$P1039))</f>
        <v/>
      </c>
      <c r="L1039">
        <f>IF($P1039="","",INDEX(상세표[블록 18~22시],$P1039))</f>
        <v/>
      </c>
      <c r="M1039">
        <f>IF($P1039="","",INDEX(상세표[블록 22~06시],$P1039))</f>
        <v/>
      </c>
      <c r="N1039">
        <f>IF($P1039="","",INDEX(상세표[주말·휴일 포함],$P1039)&amp;"")</f>
        <v/>
      </c>
      <c r="O1039">
        <f>IF($P1039="","",INDEX(상세표[월 넘김 포함],$P1039)&amp;"")</f>
        <v/>
      </c>
      <c r="P1039" s="4">
        <f>IFERROR(MATCH(1034,상세표[연속순번],0),"")</f>
        <v/>
      </c>
    </row>
    <row r="1040">
      <c r="A1040">
        <f>IF($P1040="","",INDEX(상세표[사번],$P1040)&amp;"")</f>
        <v/>
      </c>
      <c r="B1040">
        <f>IF($P1040="","",INDEX(상세표[성명],$P1040)&amp;"")</f>
        <v/>
      </c>
      <c r="C1040">
        <f>IF($P1040="","",INDEX(상세표[부서],$P1040)&amp;"")</f>
        <v/>
      </c>
      <c r="D1040">
        <f>IF($P1040="","",INDEX(상세표[직위],$P1040)&amp;"")</f>
        <v/>
      </c>
      <c r="E1040">
        <f>IF($P1040="","",IF(ISNUMBER(INDEX(상세표[시작],$P1040)),TEXT(INDEX(상세표[시작],$P1040),"yyyy-mm-dd hh:mm"),INDEX(상세표[시작],$P1040)&amp;""))</f>
        <v/>
      </c>
      <c r="F1040">
        <f>IF($P1040="","",IF(ISNUMBER(INDEX(상세표[블록종료],$P1040)),TEXT(INDEX(상세표[블록종료],$P1040),"yyyy-mm-dd hh:mm"),INDEX(상세표[블록종료],$P1040)&amp;""))</f>
        <v/>
      </c>
      <c r="G1040">
        <f>IF($P1040="","",CHOOSE(WEEKDAY(INDEX(상세표[시작],$P1040)),"일","월","화","수","목","금","토"))</f>
        <v/>
      </c>
      <c r="H1040">
        <f>IF($P1040="","",INDEX(상세표[연속 시간],$P1040))</f>
        <v/>
      </c>
      <c r="I1040">
        <f>IF($P1040="","",INDEX(상세표[기록 수],$P1040))</f>
        <v/>
      </c>
      <c r="J1040">
        <f>IF($P1040="","",INDEX(상세표[블록 06~07시],$P1040))</f>
        <v/>
      </c>
      <c r="K1040">
        <f>IF($P1040="","",INDEX(상세표[블록 07~18시],$P1040))</f>
        <v/>
      </c>
      <c r="L1040">
        <f>IF($P1040="","",INDEX(상세표[블록 18~22시],$P1040))</f>
        <v/>
      </c>
      <c r="M1040">
        <f>IF($P1040="","",INDEX(상세표[블록 22~06시],$P1040))</f>
        <v/>
      </c>
      <c r="N1040">
        <f>IF($P1040="","",INDEX(상세표[주말·휴일 포함],$P1040)&amp;"")</f>
        <v/>
      </c>
      <c r="O1040">
        <f>IF($P1040="","",INDEX(상세표[월 넘김 포함],$P1040)&amp;"")</f>
        <v/>
      </c>
      <c r="P1040" s="4">
        <f>IFERROR(MATCH(1035,상세표[연속순번],0),"")</f>
        <v/>
      </c>
    </row>
    <row r="1041">
      <c r="A1041">
        <f>IF($P1041="","",INDEX(상세표[사번],$P1041)&amp;"")</f>
        <v/>
      </c>
      <c r="B1041">
        <f>IF($P1041="","",INDEX(상세표[성명],$P1041)&amp;"")</f>
        <v/>
      </c>
      <c r="C1041">
        <f>IF($P1041="","",INDEX(상세표[부서],$P1041)&amp;"")</f>
        <v/>
      </c>
      <c r="D1041">
        <f>IF($P1041="","",INDEX(상세표[직위],$P1041)&amp;"")</f>
        <v/>
      </c>
      <c r="E1041">
        <f>IF($P1041="","",IF(ISNUMBER(INDEX(상세표[시작],$P1041)),TEXT(INDEX(상세표[시작],$P1041),"yyyy-mm-dd hh:mm"),INDEX(상세표[시작],$P1041)&amp;""))</f>
        <v/>
      </c>
      <c r="F1041">
        <f>IF($P1041="","",IF(ISNUMBER(INDEX(상세표[블록종료],$P1041)),TEXT(INDEX(상세표[블록종료],$P1041),"yyyy-mm-dd hh:mm"),INDEX(상세표[블록종료],$P1041)&amp;""))</f>
        <v/>
      </c>
      <c r="G1041">
        <f>IF($P1041="","",CHOOSE(WEEKDAY(INDEX(상세표[시작],$P1041)),"일","월","화","수","목","금","토"))</f>
        <v/>
      </c>
      <c r="H1041">
        <f>IF($P1041="","",INDEX(상세표[연속 시간],$P1041))</f>
        <v/>
      </c>
      <c r="I1041">
        <f>IF($P1041="","",INDEX(상세표[기록 수],$P1041))</f>
        <v/>
      </c>
      <c r="J1041">
        <f>IF($P1041="","",INDEX(상세표[블록 06~07시],$P1041))</f>
        <v/>
      </c>
      <c r="K1041">
        <f>IF($P1041="","",INDEX(상세표[블록 07~18시],$P1041))</f>
        <v/>
      </c>
      <c r="L1041">
        <f>IF($P1041="","",INDEX(상세표[블록 18~22시],$P1041))</f>
        <v/>
      </c>
      <c r="M1041">
        <f>IF($P1041="","",INDEX(상세표[블록 22~06시],$P1041))</f>
        <v/>
      </c>
      <c r="N1041">
        <f>IF($P1041="","",INDEX(상세표[주말·휴일 포함],$P1041)&amp;"")</f>
        <v/>
      </c>
      <c r="O1041">
        <f>IF($P1041="","",INDEX(상세표[월 넘김 포함],$P1041)&amp;"")</f>
        <v/>
      </c>
      <c r="P1041" s="4">
        <f>IFERROR(MATCH(1036,상세표[연속순번],0),"")</f>
        <v/>
      </c>
    </row>
    <row r="1042">
      <c r="A1042">
        <f>IF($P1042="","",INDEX(상세표[사번],$P1042)&amp;"")</f>
        <v/>
      </c>
      <c r="B1042">
        <f>IF($P1042="","",INDEX(상세표[성명],$P1042)&amp;"")</f>
        <v/>
      </c>
      <c r="C1042">
        <f>IF($P1042="","",INDEX(상세표[부서],$P1042)&amp;"")</f>
        <v/>
      </c>
      <c r="D1042">
        <f>IF($P1042="","",INDEX(상세표[직위],$P1042)&amp;"")</f>
        <v/>
      </c>
      <c r="E1042">
        <f>IF($P1042="","",IF(ISNUMBER(INDEX(상세표[시작],$P1042)),TEXT(INDEX(상세표[시작],$P1042),"yyyy-mm-dd hh:mm"),INDEX(상세표[시작],$P1042)&amp;""))</f>
        <v/>
      </c>
      <c r="F1042">
        <f>IF($P1042="","",IF(ISNUMBER(INDEX(상세표[블록종료],$P1042)),TEXT(INDEX(상세표[블록종료],$P1042),"yyyy-mm-dd hh:mm"),INDEX(상세표[블록종료],$P1042)&amp;""))</f>
        <v/>
      </c>
      <c r="G1042">
        <f>IF($P1042="","",CHOOSE(WEEKDAY(INDEX(상세표[시작],$P1042)),"일","월","화","수","목","금","토"))</f>
        <v/>
      </c>
      <c r="H1042">
        <f>IF($P1042="","",INDEX(상세표[연속 시간],$P1042))</f>
        <v/>
      </c>
      <c r="I1042">
        <f>IF($P1042="","",INDEX(상세표[기록 수],$P1042))</f>
        <v/>
      </c>
      <c r="J1042">
        <f>IF($P1042="","",INDEX(상세표[블록 06~07시],$P1042))</f>
        <v/>
      </c>
      <c r="K1042">
        <f>IF($P1042="","",INDEX(상세표[블록 07~18시],$P1042))</f>
        <v/>
      </c>
      <c r="L1042">
        <f>IF($P1042="","",INDEX(상세표[블록 18~22시],$P1042))</f>
        <v/>
      </c>
      <c r="M1042">
        <f>IF($P1042="","",INDEX(상세표[블록 22~06시],$P1042))</f>
        <v/>
      </c>
      <c r="N1042">
        <f>IF($P1042="","",INDEX(상세표[주말·휴일 포함],$P1042)&amp;"")</f>
        <v/>
      </c>
      <c r="O1042">
        <f>IF($P1042="","",INDEX(상세표[월 넘김 포함],$P1042)&amp;"")</f>
        <v/>
      </c>
      <c r="P1042" s="4">
        <f>IFERROR(MATCH(1037,상세표[연속순번],0),"")</f>
        <v/>
      </c>
    </row>
    <row r="1043">
      <c r="A1043">
        <f>IF($P1043="","",INDEX(상세표[사번],$P1043)&amp;"")</f>
        <v/>
      </c>
      <c r="B1043">
        <f>IF($P1043="","",INDEX(상세표[성명],$P1043)&amp;"")</f>
        <v/>
      </c>
      <c r="C1043">
        <f>IF($P1043="","",INDEX(상세표[부서],$P1043)&amp;"")</f>
        <v/>
      </c>
      <c r="D1043">
        <f>IF($P1043="","",INDEX(상세표[직위],$P1043)&amp;"")</f>
        <v/>
      </c>
      <c r="E1043">
        <f>IF($P1043="","",IF(ISNUMBER(INDEX(상세표[시작],$P1043)),TEXT(INDEX(상세표[시작],$P1043),"yyyy-mm-dd hh:mm"),INDEX(상세표[시작],$P1043)&amp;""))</f>
        <v/>
      </c>
      <c r="F1043">
        <f>IF($P1043="","",IF(ISNUMBER(INDEX(상세표[블록종료],$P1043)),TEXT(INDEX(상세표[블록종료],$P1043),"yyyy-mm-dd hh:mm"),INDEX(상세표[블록종료],$P1043)&amp;""))</f>
        <v/>
      </c>
      <c r="G1043">
        <f>IF($P1043="","",CHOOSE(WEEKDAY(INDEX(상세표[시작],$P1043)),"일","월","화","수","목","금","토"))</f>
        <v/>
      </c>
      <c r="H1043">
        <f>IF($P1043="","",INDEX(상세표[연속 시간],$P1043))</f>
        <v/>
      </c>
      <c r="I1043">
        <f>IF($P1043="","",INDEX(상세표[기록 수],$P1043))</f>
        <v/>
      </c>
      <c r="J1043">
        <f>IF($P1043="","",INDEX(상세표[블록 06~07시],$P1043))</f>
        <v/>
      </c>
      <c r="K1043">
        <f>IF($P1043="","",INDEX(상세표[블록 07~18시],$P1043))</f>
        <v/>
      </c>
      <c r="L1043">
        <f>IF($P1043="","",INDEX(상세표[블록 18~22시],$P1043))</f>
        <v/>
      </c>
      <c r="M1043">
        <f>IF($P1043="","",INDEX(상세표[블록 22~06시],$P1043))</f>
        <v/>
      </c>
      <c r="N1043">
        <f>IF($P1043="","",INDEX(상세표[주말·휴일 포함],$P1043)&amp;"")</f>
        <v/>
      </c>
      <c r="O1043">
        <f>IF($P1043="","",INDEX(상세표[월 넘김 포함],$P1043)&amp;"")</f>
        <v/>
      </c>
      <c r="P1043" s="4">
        <f>IFERROR(MATCH(1038,상세표[연속순번],0),"")</f>
        <v/>
      </c>
    </row>
    <row r="1044">
      <c r="A1044">
        <f>IF($P1044="","",INDEX(상세표[사번],$P1044)&amp;"")</f>
        <v/>
      </c>
      <c r="B1044">
        <f>IF($P1044="","",INDEX(상세표[성명],$P1044)&amp;"")</f>
        <v/>
      </c>
      <c r="C1044">
        <f>IF($P1044="","",INDEX(상세표[부서],$P1044)&amp;"")</f>
        <v/>
      </c>
      <c r="D1044">
        <f>IF($P1044="","",INDEX(상세표[직위],$P1044)&amp;"")</f>
        <v/>
      </c>
      <c r="E1044">
        <f>IF($P1044="","",IF(ISNUMBER(INDEX(상세표[시작],$P1044)),TEXT(INDEX(상세표[시작],$P1044),"yyyy-mm-dd hh:mm"),INDEX(상세표[시작],$P1044)&amp;""))</f>
        <v/>
      </c>
      <c r="F1044">
        <f>IF($P1044="","",IF(ISNUMBER(INDEX(상세표[블록종료],$P1044)),TEXT(INDEX(상세표[블록종료],$P1044),"yyyy-mm-dd hh:mm"),INDEX(상세표[블록종료],$P1044)&amp;""))</f>
        <v/>
      </c>
      <c r="G1044">
        <f>IF($P1044="","",CHOOSE(WEEKDAY(INDEX(상세표[시작],$P1044)),"일","월","화","수","목","금","토"))</f>
        <v/>
      </c>
      <c r="H1044">
        <f>IF($P1044="","",INDEX(상세표[연속 시간],$P1044))</f>
        <v/>
      </c>
      <c r="I1044">
        <f>IF($P1044="","",INDEX(상세표[기록 수],$P1044))</f>
        <v/>
      </c>
      <c r="J1044">
        <f>IF($P1044="","",INDEX(상세표[블록 06~07시],$P1044))</f>
        <v/>
      </c>
      <c r="K1044">
        <f>IF($P1044="","",INDEX(상세표[블록 07~18시],$P1044))</f>
        <v/>
      </c>
      <c r="L1044">
        <f>IF($P1044="","",INDEX(상세표[블록 18~22시],$P1044))</f>
        <v/>
      </c>
      <c r="M1044">
        <f>IF($P1044="","",INDEX(상세표[블록 22~06시],$P1044))</f>
        <v/>
      </c>
      <c r="N1044">
        <f>IF($P1044="","",INDEX(상세표[주말·휴일 포함],$P1044)&amp;"")</f>
        <v/>
      </c>
      <c r="O1044">
        <f>IF($P1044="","",INDEX(상세표[월 넘김 포함],$P1044)&amp;"")</f>
        <v/>
      </c>
      <c r="P1044" s="4">
        <f>IFERROR(MATCH(1039,상세표[연속순번],0),"")</f>
        <v/>
      </c>
    </row>
    <row r="1045">
      <c r="A1045">
        <f>IF($P1045="","",INDEX(상세표[사번],$P1045)&amp;"")</f>
        <v/>
      </c>
      <c r="B1045">
        <f>IF($P1045="","",INDEX(상세표[성명],$P1045)&amp;"")</f>
        <v/>
      </c>
      <c r="C1045">
        <f>IF($P1045="","",INDEX(상세표[부서],$P1045)&amp;"")</f>
        <v/>
      </c>
      <c r="D1045">
        <f>IF($P1045="","",INDEX(상세표[직위],$P1045)&amp;"")</f>
        <v/>
      </c>
      <c r="E1045">
        <f>IF($P1045="","",IF(ISNUMBER(INDEX(상세표[시작],$P1045)),TEXT(INDEX(상세표[시작],$P1045),"yyyy-mm-dd hh:mm"),INDEX(상세표[시작],$P1045)&amp;""))</f>
        <v/>
      </c>
      <c r="F1045">
        <f>IF($P1045="","",IF(ISNUMBER(INDEX(상세표[블록종료],$P1045)),TEXT(INDEX(상세표[블록종료],$P1045),"yyyy-mm-dd hh:mm"),INDEX(상세표[블록종료],$P1045)&amp;""))</f>
        <v/>
      </c>
      <c r="G1045">
        <f>IF($P1045="","",CHOOSE(WEEKDAY(INDEX(상세표[시작],$P1045)),"일","월","화","수","목","금","토"))</f>
        <v/>
      </c>
      <c r="H1045">
        <f>IF($P1045="","",INDEX(상세표[연속 시간],$P1045))</f>
        <v/>
      </c>
      <c r="I1045">
        <f>IF($P1045="","",INDEX(상세표[기록 수],$P1045))</f>
        <v/>
      </c>
      <c r="J1045">
        <f>IF($P1045="","",INDEX(상세표[블록 06~07시],$P1045))</f>
        <v/>
      </c>
      <c r="K1045">
        <f>IF($P1045="","",INDEX(상세표[블록 07~18시],$P1045))</f>
        <v/>
      </c>
      <c r="L1045">
        <f>IF($P1045="","",INDEX(상세표[블록 18~22시],$P1045))</f>
        <v/>
      </c>
      <c r="M1045">
        <f>IF($P1045="","",INDEX(상세표[블록 22~06시],$P1045))</f>
        <v/>
      </c>
      <c r="N1045">
        <f>IF($P1045="","",INDEX(상세표[주말·휴일 포함],$P1045)&amp;"")</f>
        <v/>
      </c>
      <c r="O1045">
        <f>IF($P1045="","",INDEX(상세표[월 넘김 포함],$P1045)&amp;"")</f>
        <v/>
      </c>
      <c r="P1045" s="4">
        <f>IFERROR(MATCH(1040,상세표[연속순번],0),"")</f>
        <v/>
      </c>
    </row>
    <row r="1046">
      <c r="A1046">
        <f>IF($P1046="","",INDEX(상세표[사번],$P1046)&amp;"")</f>
        <v/>
      </c>
      <c r="B1046">
        <f>IF($P1046="","",INDEX(상세표[성명],$P1046)&amp;"")</f>
        <v/>
      </c>
      <c r="C1046">
        <f>IF($P1046="","",INDEX(상세표[부서],$P1046)&amp;"")</f>
        <v/>
      </c>
      <c r="D1046">
        <f>IF($P1046="","",INDEX(상세표[직위],$P1046)&amp;"")</f>
        <v/>
      </c>
      <c r="E1046">
        <f>IF($P1046="","",IF(ISNUMBER(INDEX(상세표[시작],$P1046)),TEXT(INDEX(상세표[시작],$P1046),"yyyy-mm-dd hh:mm"),INDEX(상세표[시작],$P1046)&amp;""))</f>
        <v/>
      </c>
      <c r="F1046">
        <f>IF($P1046="","",IF(ISNUMBER(INDEX(상세표[블록종료],$P1046)),TEXT(INDEX(상세표[블록종료],$P1046),"yyyy-mm-dd hh:mm"),INDEX(상세표[블록종료],$P1046)&amp;""))</f>
        <v/>
      </c>
      <c r="G1046">
        <f>IF($P1046="","",CHOOSE(WEEKDAY(INDEX(상세표[시작],$P1046)),"일","월","화","수","목","금","토"))</f>
        <v/>
      </c>
      <c r="H1046">
        <f>IF($P1046="","",INDEX(상세표[연속 시간],$P1046))</f>
        <v/>
      </c>
      <c r="I1046">
        <f>IF($P1046="","",INDEX(상세표[기록 수],$P1046))</f>
        <v/>
      </c>
      <c r="J1046">
        <f>IF($P1046="","",INDEX(상세표[블록 06~07시],$P1046))</f>
        <v/>
      </c>
      <c r="K1046">
        <f>IF($P1046="","",INDEX(상세표[블록 07~18시],$P1046))</f>
        <v/>
      </c>
      <c r="L1046">
        <f>IF($P1046="","",INDEX(상세표[블록 18~22시],$P1046))</f>
        <v/>
      </c>
      <c r="M1046">
        <f>IF($P1046="","",INDEX(상세표[블록 22~06시],$P1046))</f>
        <v/>
      </c>
      <c r="N1046">
        <f>IF($P1046="","",INDEX(상세표[주말·휴일 포함],$P1046)&amp;"")</f>
        <v/>
      </c>
      <c r="O1046">
        <f>IF($P1046="","",INDEX(상세표[월 넘김 포함],$P1046)&amp;"")</f>
        <v/>
      </c>
      <c r="P1046" s="4">
        <f>IFERROR(MATCH(1041,상세표[연속순번],0),"")</f>
        <v/>
      </c>
    </row>
    <row r="1047">
      <c r="A1047">
        <f>IF($P1047="","",INDEX(상세표[사번],$P1047)&amp;"")</f>
        <v/>
      </c>
      <c r="B1047">
        <f>IF($P1047="","",INDEX(상세표[성명],$P1047)&amp;"")</f>
        <v/>
      </c>
      <c r="C1047">
        <f>IF($P1047="","",INDEX(상세표[부서],$P1047)&amp;"")</f>
        <v/>
      </c>
      <c r="D1047">
        <f>IF($P1047="","",INDEX(상세표[직위],$P1047)&amp;"")</f>
        <v/>
      </c>
      <c r="E1047">
        <f>IF($P1047="","",IF(ISNUMBER(INDEX(상세표[시작],$P1047)),TEXT(INDEX(상세표[시작],$P1047),"yyyy-mm-dd hh:mm"),INDEX(상세표[시작],$P1047)&amp;""))</f>
        <v/>
      </c>
      <c r="F1047">
        <f>IF($P1047="","",IF(ISNUMBER(INDEX(상세표[블록종료],$P1047)),TEXT(INDEX(상세표[블록종료],$P1047),"yyyy-mm-dd hh:mm"),INDEX(상세표[블록종료],$P1047)&amp;""))</f>
        <v/>
      </c>
      <c r="G1047">
        <f>IF($P1047="","",CHOOSE(WEEKDAY(INDEX(상세표[시작],$P1047)),"일","월","화","수","목","금","토"))</f>
        <v/>
      </c>
      <c r="H1047">
        <f>IF($P1047="","",INDEX(상세표[연속 시간],$P1047))</f>
        <v/>
      </c>
      <c r="I1047">
        <f>IF($P1047="","",INDEX(상세표[기록 수],$P1047))</f>
        <v/>
      </c>
      <c r="J1047">
        <f>IF($P1047="","",INDEX(상세표[블록 06~07시],$P1047))</f>
        <v/>
      </c>
      <c r="K1047">
        <f>IF($P1047="","",INDEX(상세표[블록 07~18시],$P1047))</f>
        <v/>
      </c>
      <c r="L1047">
        <f>IF($P1047="","",INDEX(상세표[블록 18~22시],$P1047))</f>
        <v/>
      </c>
      <c r="M1047">
        <f>IF($P1047="","",INDEX(상세표[블록 22~06시],$P1047))</f>
        <v/>
      </c>
      <c r="N1047">
        <f>IF($P1047="","",INDEX(상세표[주말·휴일 포함],$P1047)&amp;"")</f>
        <v/>
      </c>
      <c r="O1047">
        <f>IF($P1047="","",INDEX(상세표[월 넘김 포함],$P1047)&amp;"")</f>
        <v/>
      </c>
      <c r="P1047" s="4">
        <f>IFERROR(MATCH(1042,상세표[연속순번],0),"")</f>
        <v/>
      </c>
    </row>
    <row r="1048">
      <c r="A1048">
        <f>IF($P1048="","",INDEX(상세표[사번],$P1048)&amp;"")</f>
        <v/>
      </c>
      <c r="B1048">
        <f>IF($P1048="","",INDEX(상세표[성명],$P1048)&amp;"")</f>
        <v/>
      </c>
      <c r="C1048">
        <f>IF($P1048="","",INDEX(상세표[부서],$P1048)&amp;"")</f>
        <v/>
      </c>
      <c r="D1048">
        <f>IF($P1048="","",INDEX(상세표[직위],$P1048)&amp;"")</f>
        <v/>
      </c>
      <c r="E1048">
        <f>IF($P1048="","",IF(ISNUMBER(INDEX(상세표[시작],$P1048)),TEXT(INDEX(상세표[시작],$P1048),"yyyy-mm-dd hh:mm"),INDEX(상세표[시작],$P1048)&amp;""))</f>
        <v/>
      </c>
      <c r="F1048">
        <f>IF($P1048="","",IF(ISNUMBER(INDEX(상세표[블록종료],$P1048)),TEXT(INDEX(상세표[블록종료],$P1048),"yyyy-mm-dd hh:mm"),INDEX(상세표[블록종료],$P1048)&amp;""))</f>
        <v/>
      </c>
      <c r="G1048">
        <f>IF($P1048="","",CHOOSE(WEEKDAY(INDEX(상세표[시작],$P1048)),"일","월","화","수","목","금","토"))</f>
        <v/>
      </c>
      <c r="H1048">
        <f>IF($P1048="","",INDEX(상세표[연속 시간],$P1048))</f>
        <v/>
      </c>
      <c r="I1048">
        <f>IF($P1048="","",INDEX(상세표[기록 수],$P1048))</f>
        <v/>
      </c>
      <c r="J1048">
        <f>IF($P1048="","",INDEX(상세표[블록 06~07시],$P1048))</f>
        <v/>
      </c>
      <c r="K1048">
        <f>IF($P1048="","",INDEX(상세표[블록 07~18시],$P1048))</f>
        <v/>
      </c>
      <c r="L1048">
        <f>IF($P1048="","",INDEX(상세표[블록 18~22시],$P1048))</f>
        <v/>
      </c>
      <c r="M1048">
        <f>IF($P1048="","",INDEX(상세표[블록 22~06시],$P1048))</f>
        <v/>
      </c>
      <c r="N1048">
        <f>IF($P1048="","",INDEX(상세표[주말·휴일 포함],$P1048)&amp;"")</f>
        <v/>
      </c>
      <c r="O1048">
        <f>IF($P1048="","",INDEX(상세표[월 넘김 포함],$P1048)&amp;"")</f>
        <v/>
      </c>
      <c r="P1048" s="4">
        <f>IFERROR(MATCH(1043,상세표[연속순번],0),"")</f>
        <v/>
      </c>
    </row>
    <row r="1049">
      <c r="A1049">
        <f>IF($P1049="","",INDEX(상세표[사번],$P1049)&amp;"")</f>
        <v/>
      </c>
      <c r="B1049">
        <f>IF($P1049="","",INDEX(상세표[성명],$P1049)&amp;"")</f>
        <v/>
      </c>
      <c r="C1049">
        <f>IF($P1049="","",INDEX(상세표[부서],$P1049)&amp;"")</f>
        <v/>
      </c>
      <c r="D1049">
        <f>IF($P1049="","",INDEX(상세표[직위],$P1049)&amp;"")</f>
        <v/>
      </c>
      <c r="E1049">
        <f>IF($P1049="","",IF(ISNUMBER(INDEX(상세표[시작],$P1049)),TEXT(INDEX(상세표[시작],$P1049),"yyyy-mm-dd hh:mm"),INDEX(상세표[시작],$P1049)&amp;""))</f>
        <v/>
      </c>
      <c r="F1049">
        <f>IF($P1049="","",IF(ISNUMBER(INDEX(상세표[블록종료],$P1049)),TEXT(INDEX(상세표[블록종료],$P1049),"yyyy-mm-dd hh:mm"),INDEX(상세표[블록종료],$P1049)&amp;""))</f>
        <v/>
      </c>
      <c r="G1049">
        <f>IF($P1049="","",CHOOSE(WEEKDAY(INDEX(상세표[시작],$P1049)),"일","월","화","수","목","금","토"))</f>
        <v/>
      </c>
      <c r="H1049">
        <f>IF($P1049="","",INDEX(상세표[연속 시간],$P1049))</f>
        <v/>
      </c>
      <c r="I1049">
        <f>IF($P1049="","",INDEX(상세표[기록 수],$P1049))</f>
        <v/>
      </c>
      <c r="J1049">
        <f>IF($P1049="","",INDEX(상세표[블록 06~07시],$P1049))</f>
        <v/>
      </c>
      <c r="K1049">
        <f>IF($P1049="","",INDEX(상세표[블록 07~18시],$P1049))</f>
        <v/>
      </c>
      <c r="L1049">
        <f>IF($P1049="","",INDEX(상세표[블록 18~22시],$P1049))</f>
        <v/>
      </c>
      <c r="M1049">
        <f>IF($P1049="","",INDEX(상세표[블록 22~06시],$P1049))</f>
        <v/>
      </c>
      <c r="N1049">
        <f>IF($P1049="","",INDEX(상세표[주말·휴일 포함],$P1049)&amp;"")</f>
        <v/>
      </c>
      <c r="O1049">
        <f>IF($P1049="","",INDEX(상세표[월 넘김 포함],$P1049)&amp;"")</f>
        <v/>
      </c>
      <c r="P1049" s="4">
        <f>IFERROR(MATCH(1044,상세표[연속순번],0),"")</f>
        <v/>
      </c>
    </row>
    <row r="1050">
      <c r="A1050">
        <f>IF($P1050="","",INDEX(상세표[사번],$P1050)&amp;"")</f>
        <v/>
      </c>
      <c r="B1050">
        <f>IF($P1050="","",INDEX(상세표[성명],$P1050)&amp;"")</f>
        <v/>
      </c>
      <c r="C1050">
        <f>IF($P1050="","",INDEX(상세표[부서],$P1050)&amp;"")</f>
        <v/>
      </c>
      <c r="D1050">
        <f>IF($P1050="","",INDEX(상세표[직위],$P1050)&amp;"")</f>
        <v/>
      </c>
      <c r="E1050">
        <f>IF($P1050="","",IF(ISNUMBER(INDEX(상세표[시작],$P1050)),TEXT(INDEX(상세표[시작],$P1050),"yyyy-mm-dd hh:mm"),INDEX(상세표[시작],$P1050)&amp;""))</f>
        <v/>
      </c>
      <c r="F1050">
        <f>IF($P1050="","",IF(ISNUMBER(INDEX(상세표[블록종료],$P1050)),TEXT(INDEX(상세표[블록종료],$P1050),"yyyy-mm-dd hh:mm"),INDEX(상세표[블록종료],$P1050)&amp;""))</f>
        <v/>
      </c>
      <c r="G1050">
        <f>IF($P1050="","",CHOOSE(WEEKDAY(INDEX(상세표[시작],$P1050)),"일","월","화","수","목","금","토"))</f>
        <v/>
      </c>
      <c r="H1050">
        <f>IF($P1050="","",INDEX(상세표[연속 시간],$P1050))</f>
        <v/>
      </c>
      <c r="I1050">
        <f>IF($P1050="","",INDEX(상세표[기록 수],$P1050))</f>
        <v/>
      </c>
      <c r="J1050">
        <f>IF($P1050="","",INDEX(상세표[블록 06~07시],$P1050))</f>
        <v/>
      </c>
      <c r="K1050">
        <f>IF($P1050="","",INDEX(상세표[블록 07~18시],$P1050))</f>
        <v/>
      </c>
      <c r="L1050">
        <f>IF($P1050="","",INDEX(상세표[블록 18~22시],$P1050))</f>
        <v/>
      </c>
      <c r="M1050">
        <f>IF($P1050="","",INDEX(상세표[블록 22~06시],$P1050))</f>
        <v/>
      </c>
      <c r="N1050">
        <f>IF($P1050="","",INDEX(상세표[주말·휴일 포함],$P1050)&amp;"")</f>
        <v/>
      </c>
      <c r="O1050">
        <f>IF($P1050="","",INDEX(상세표[월 넘김 포함],$P1050)&amp;"")</f>
        <v/>
      </c>
      <c r="P1050" s="4">
        <f>IFERROR(MATCH(1045,상세표[연속순번],0),"")</f>
        <v/>
      </c>
    </row>
    <row r="1051">
      <c r="A1051">
        <f>IF($P1051="","",INDEX(상세표[사번],$P1051)&amp;"")</f>
        <v/>
      </c>
      <c r="B1051">
        <f>IF($P1051="","",INDEX(상세표[성명],$P1051)&amp;"")</f>
        <v/>
      </c>
      <c r="C1051">
        <f>IF($P1051="","",INDEX(상세표[부서],$P1051)&amp;"")</f>
        <v/>
      </c>
      <c r="D1051">
        <f>IF($P1051="","",INDEX(상세표[직위],$P1051)&amp;"")</f>
        <v/>
      </c>
      <c r="E1051">
        <f>IF($P1051="","",IF(ISNUMBER(INDEX(상세표[시작],$P1051)),TEXT(INDEX(상세표[시작],$P1051),"yyyy-mm-dd hh:mm"),INDEX(상세표[시작],$P1051)&amp;""))</f>
        <v/>
      </c>
      <c r="F1051">
        <f>IF($P1051="","",IF(ISNUMBER(INDEX(상세표[블록종료],$P1051)),TEXT(INDEX(상세표[블록종료],$P1051),"yyyy-mm-dd hh:mm"),INDEX(상세표[블록종료],$P1051)&amp;""))</f>
        <v/>
      </c>
      <c r="G1051">
        <f>IF($P1051="","",CHOOSE(WEEKDAY(INDEX(상세표[시작],$P1051)),"일","월","화","수","목","금","토"))</f>
        <v/>
      </c>
      <c r="H1051">
        <f>IF($P1051="","",INDEX(상세표[연속 시간],$P1051))</f>
        <v/>
      </c>
      <c r="I1051">
        <f>IF($P1051="","",INDEX(상세표[기록 수],$P1051))</f>
        <v/>
      </c>
      <c r="J1051">
        <f>IF($P1051="","",INDEX(상세표[블록 06~07시],$P1051))</f>
        <v/>
      </c>
      <c r="K1051">
        <f>IF($P1051="","",INDEX(상세표[블록 07~18시],$P1051))</f>
        <v/>
      </c>
      <c r="L1051">
        <f>IF($P1051="","",INDEX(상세표[블록 18~22시],$P1051))</f>
        <v/>
      </c>
      <c r="M1051">
        <f>IF($P1051="","",INDEX(상세표[블록 22~06시],$P1051))</f>
        <v/>
      </c>
      <c r="N1051">
        <f>IF($P1051="","",INDEX(상세표[주말·휴일 포함],$P1051)&amp;"")</f>
        <v/>
      </c>
      <c r="O1051">
        <f>IF($P1051="","",INDEX(상세표[월 넘김 포함],$P1051)&amp;"")</f>
        <v/>
      </c>
      <c r="P1051" s="4">
        <f>IFERROR(MATCH(1046,상세표[연속순번],0),"")</f>
        <v/>
      </c>
    </row>
    <row r="1052">
      <c r="A1052">
        <f>IF($P1052="","",INDEX(상세표[사번],$P1052)&amp;"")</f>
        <v/>
      </c>
      <c r="B1052">
        <f>IF($P1052="","",INDEX(상세표[성명],$P1052)&amp;"")</f>
        <v/>
      </c>
      <c r="C1052">
        <f>IF($P1052="","",INDEX(상세표[부서],$P1052)&amp;"")</f>
        <v/>
      </c>
      <c r="D1052">
        <f>IF($P1052="","",INDEX(상세표[직위],$P1052)&amp;"")</f>
        <v/>
      </c>
      <c r="E1052">
        <f>IF($P1052="","",IF(ISNUMBER(INDEX(상세표[시작],$P1052)),TEXT(INDEX(상세표[시작],$P1052),"yyyy-mm-dd hh:mm"),INDEX(상세표[시작],$P1052)&amp;""))</f>
        <v/>
      </c>
      <c r="F1052">
        <f>IF($P1052="","",IF(ISNUMBER(INDEX(상세표[블록종료],$P1052)),TEXT(INDEX(상세표[블록종료],$P1052),"yyyy-mm-dd hh:mm"),INDEX(상세표[블록종료],$P1052)&amp;""))</f>
        <v/>
      </c>
      <c r="G1052">
        <f>IF($P1052="","",CHOOSE(WEEKDAY(INDEX(상세표[시작],$P1052)),"일","월","화","수","목","금","토"))</f>
        <v/>
      </c>
      <c r="H1052">
        <f>IF($P1052="","",INDEX(상세표[연속 시간],$P1052))</f>
        <v/>
      </c>
      <c r="I1052">
        <f>IF($P1052="","",INDEX(상세표[기록 수],$P1052))</f>
        <v/>
      </c>
      <c r="J1052">
        <f>IF($P1052="","",INDEX(상세표[블록 06~07시],$P1052))</f>
        <v/>
      </c>
      <c r="K1052">
        <f>IF($P1052="","",INDEX(상세표[블록 07~18시],$P1052))</f>
        <v/>
      </c>
      <c r="L1052">
        <f>IF($P1052="","",INDEX(상세표[블록 18~22시],$P1052))</f>
        <v/>
      </c>
      <c r="M1052">
        <f>IF($P1052="","",INDEX(상세표[블록 22~06시],$P1052))</f>
        <v/>
      </c>
      <c r="N1052">
        <f>IF($P1052="","",INDEX(상세표[주말·휴일 포함],$P1052)&amp;"")</f>
        <v/>
      </c>
      <c r="O1052">
        <f>IF($P1052="","",INDEX(상세표[월 넘김 포함],$P1052)&amp;"")</f>
        <v/>
      </c>
      <c r="P1052" s="4">
        <f>IFERROR(MATCH(1047,상세표[연속순번],0),"")</f>
        <v/>
      </c>
    </row>
    <row r="1053">
      <c r="A1053">
        <f>IF($P1053="","",INDEX(상세표[사번],$P1053)&amp;"")</f>
        <v/>
      </c>
      <c r="B1053">
        <f>IF($P1053="","",INDEX(상세표[성명],$P1053)&amp;"")</f>
        <v/>
      </c>
      <c r="C1053">
        <f>IF($P1053="","",INDEX(상세표[부서],$P1053)&amp;"")</f>
        <v/>
      </c>
      <c r="D1053">
        <f>IF($P1053="","",INDEX(상세표[직위],$P1053)&amp;"")</f>
        <v/>
      </c>
      <c r="E1053">
        <f>IF($P1053="","",IF(ISNUMBER(INDEX(상세표[시작],$P1053)),TEXT(INDEX(상세표[시작],$P1053),"yyyy-mm-dd hh:mm"),INDEX(상세표[시작],$P1053)&amp;""))</f>
        <v/>
      </c>
      <c r="F1053">
        <f>IF($P1053="","",IF(ISNUMBER(INDEX(상세표[블록종료],$P1053)),TEXT(INDEX(상세표[블록종료],$P1053),"yyyy-mm-dd hh:mm"),INDEX(상세표[블록종료],$P1053)&amp;""))</f>
        <v/>
      </c>
      <c r="G1053">
        <f>IF($P1053="","",CHOOSE(WEEKDAY(INDEX(상세표[시작],$P1053)),"일","월","화","수","목","금","토"))</f>
        <v/>
      </c>
      <c r="H1053">
        <f>IF($P1053="","",INDEX(상세표[연속 시간],$P1053))</f>
        <v/>
      </c>
      <c r="I1053">
        <f>IF($P1053="","",INDEX(상세표[기록 수],$P1053))</f>
        <v/>
      </c>
      <c r="J1053">
        <f>IF($P1053="","",INDEX(상세표[블록 06~07시],$P1053))</f>
        <v/>
      </c>
      <c r="K1053">
        <f>IF($P1053="","",INDEX(상세표[블록 07~18시],$P1053))</f>
        <v/>
      </c>
      <c r="L1053">
        <f>IF($P1053="","",INDEX(상세표[블록 18~22시],$P1053))</f>
        <v/>
      </c>
      <c r="M1053">
        <f>IF($P1053="","",INDEX(상세표[블록 22~06시],$P1053))</f>
        <v/>
      </c>
      <c r="N1053">
        <f>IF($P1053="","",INDEX(상세표[주말·휴일 포함],$P1053)&amp;"")</f>
        <v/>
      </c>
      <c r="O1053">
        <f>IF($P1053="","",INDEX(상세표[월 넘김 포함],$P1053)&amp;"")</f>
        <v/>
      </c>
      <c r="P1053" s="4">
        <f>IFERROR(MATCH(1048,상세표[연속순번],0),"")</f>
        <v/>
      </c>
    </row>
    <row r="1054">
      <c r="A1054">
        <f>IF($P1054="","",INDEX(상세표[사번],$P1054)&amp;"")</f>
        <v/>
      </c>
      <c r="B1054">
        <f>IF($P1054="","",INDEX(상세표[성명],$P1054)&amp;"")</f>
        <v/>
      </c>
      <c r="C1054">
        <f>IF($P1054="","",INDEX(상세표[부서],$P1054)&amp;"")</f>
        <v/>
      </c>
      <c r="D1054">
        <f>IF($P1054="","",INDEX(상세표[직위],$P1054)&amp;"")</f>
        <v/>
      </c>
      <c r="E1054">
        <f>IF($P1054="","",IF(ISNUMBER(INDEX(상세표[시작],$P1054)),TEXT(INDEX(상세표[시작],$P1054),"yyyy-mm-dd hh:mm"),INDEX(상세표[시작],$P1054)&amp;""))</f>
        <v/>
      </c>
      <c r="F1054">
        <f>IF($P1054="","",IF(ISNUMBER(INDEX(상세표[블록종료],$P1054)),TEXT(INDEX(상세표[블록종료],$P1054),"yyyy-mm-dd hh:mm"),INDEX(상세표[블록종료],$P1054)&amp;""))</f>
        <v/>
      </c>
      <c r="G1054">
        <f>IF($P1054="","",CHOOSE(WEEKDAY(INDEX(상세표[시작],$P1054)),"일","월","화","수","목","금","토"))</f>
        <v/>
      </c>
      <c r="H1054">
        <f>IF($P1054="","",INDEX(상세표[연속 시간],$P1054))</f>
        <v/>
      </c>
      <c r="I1054">
        <f>IF($P1054="","",INDEX(상세표[기록 수],$P1054))</f>
        <v/>
      </c>
      <c r="J1054">
        <f>IF($P1054="","",INDEX(상세표[블록 06~07시],$P1054))</f>
        <v/>
      </c>
      <c r="K1054">
        <f>IF($P1054="","",INDEX(상세표[블록 07~18시],$P1054))</f>
        <v/>
      </c>
      <c r="L1054">
        <f>IF($P1054="","",INDEX(상세표[블록 18~22시],$P1054))</f>
        <v/>
      </c>
      <c r="M1054">
        <f>IF($P1054="","",INDEX(상세표[블록 22~06시],$P1054))</f>
        <v/>
      </c>
      <c r="N1054">
        <f>IF($P1054="","",INDEX(상세표[주말·휴일 포함],$P1054)&amp;"")</f>
        <v/>
      </c>
      <c r="O1054">
        <f>IF($P1054="","",INDEX(상세표[월 넘김 포함],$P1054)&amp;"")</f>
        <v/>
      </c>
      <c r="P1054" s="4">
        <f>IFERROR(MATCH(1049,상세표[연속순번],0),"")</f>
        <v/>
      </c>
    </row>
    <row r="1055">
      <c r="A1055">
        <f>IF($P1055="","",INDEX(상세표[사번],$P1055)&amp;"")</f>
        <v/>
      </c>
      <c r="B1055">
        <f>IF($P1055="","",INDEX(상세표[성명],$P1055)&amp;"")</f>
        <v/>
      </c>
      <c r="C1055">
        <f>IF($P1055="","",INDEX(상세표[부서],$P1055)&amp;"")</f>
        <v/>
      </c>
      <c r="D1055">
        <f>IF($P1055="","",INDEX(상세표[직위],$P1055)&amp;"")</f>
        <v/>
      </c>
      <c r="E1055">
        <f>IF($P1055="","",IF(ISNUMBER(INDEX(상세표[시작],$P1055)),TEXT(INDEX(상세표[시작],$P1055),"yyyy-mm-dd hh:mm"),INDEX(상세표[시작],$P1055)&amp;""))</f>
        <v/>
      </c>
      <c r="F1055">
        <f>IF($P1055="","",IF(ISNUMBER(INDEX(상세표[블록종료],$P1055)),TEXT(INDEX(상세표[블록종료],$P1055),"yyyy-mm-dd hh:mm"),INDEX(상세표[블록종료],$P1055)&amp;""))</f>
        <v/>
      </c>
      <c r="G1055">
        <f>IF($P1055="","",CHOOSE(WEEKDAY(INDEX(상세표[시작],$P1055)),"일","월","화","수","목","금","토"))</f>
        <v/>
      </c>
      <c r="H1055">
        <f>IF($P1055="","",INDEX(상세표[연속 시간],$P1055))</f>
        <v/>
      </c>
      <c r="I1055">
        <f>IF($P1055="","",INDEX(상세표[기록 수],$P1055))</f>
        <v/>
      </c>
      <c r="J1055">
        <f>IF($P1055="","",INDEX(상세표[블록 06~07시],$P1055))</f>
        <v/>
      </c>
      <c r="K1055">
        <f>IF($P1055="","",INDEX(상세표[블록 07~18시],$P1055))</f>
        <v/>
      </c>
      <c r="L1055">
        <f>IF($P1055="","",INDEX(상세표[블록 18~22시],$P1055))</f>
        <v/>
      </c>
      <c r="M1055">
        <f>IF($P1055="","",INDEX(상세표[블록 22~06시],$P1055))</f>
        <v/>
      </c>
      <c r="N1055">
        <f>IF($P1055="","",INDEX(상세표[주말·휴일 포함],$P1055)&amp;"")</f>
        <v/>
      </c>
      <c r="O1055">
        <f>IF($P1055="","",INDEX(상세표[월 넘김 포함],$P1055)&amp;"")</f>
        <v/>
      </c>
      <c r="P1055" s="4">
        <f>IFERROR(MATCH(1050,상세표[연속순번],0),"")</f>
        <v/>
      </c>
    </row>
    <row r="1056">
      <c r="A1056">
        <f>IF($P1056="","",INDEX(상세표[사번],$P1056)&amp;"")</f>
        <v/>
      </c>
      <c r="B1056">
        <f>IF($P1056="","",INDEX(상세표[성명],$P1056)&amp;"")</f>
        <v/>
      </c>
      <c r="C1056">
        <f>IF($P1056="","",INDEX(상세표[부서],$P1056)&amp;"")</f>
        <v/>
      </c>
      <c r="D1056">
        <f>IF($P1056="","",INDEX(상세표[직위],$P1056)&amp;"")</f>
        <v/>
      </c>
      <c r="E1056">
        <f>IF($P1056="","",IF(ISNUMBER(INDEX(상세표[시작],$P1056)),TEXT(INDEX(상세표[시작],$P1056),"yyyy-mm-dd hh:mm"),INDEX(상세표[시작],$P1056)&amp;""))</f>
        <v/>
      </c>
      <c r="F1056">
        <f>IF($P1056="","",IF(ISNUMBER(INDEX(상세표[블록종료],$P1056)),TEXT(INDEX(상세표[블록종료],$P1056),"yyyy-mm-dd hh:mm"),INDEX(상세표[블록종료],$P1056)&amp;""))</f>
        <v/>
      </c>
      <c r="G1056">
        <f>IF($P1056="","",CHOOSE(WEEKDAY(INDEX(상세표[시작],$P1056)),"일","월","화","수","목","금","토"))</f>
        <v/>
      </c>
      <c r="H1056">
        <f>IF($P1056="","",INDEX(상세표[연속 시간],$P1056))</f>
        <v/>
      </c>
      <c r="I1056">
        <f>IF($P1056="","",INDEX(상세표[기록 수],$P1056))</f>
        <v/>
      </c>
      <c r="J1056">
        <f>IF($P1056="","",INDEX(상세표[블록 06~07시],$P1056))</f>
        <v/>
      </c>
      <c r="K1056">
        <f>IF($P1056="","",INDEX(상세표[블록 07~18시],$P1056))</f>
        <v/>
      </c>
      <c r="L1056">
        <f>IF($P1056="","",INDEX(상세표[블록 18~22시],$P1056))</f>
        <v/>
      </c>
      <c r="M1056">
        <f>IF($P1056="","",INDEX(상세표[블록 22~06시],$P1056))</f>
        <v/>
      </c>
      <c r="N1056">
        <f>IF($P1056="","",INDEX(상세표[주말·휴일 포함],$P1056)&amp;"")</f>
        <v/>
      </c>
      <c r="O1056">
        <f>IF($P1056="","",INDEX(상세표[월 넘김 포함],$P1056)&amp;"")</f>
        <v/>
      </c>
      <c r="P1056" s="4">
        <f>IFERROR(MATCH(1051,상세표[연속순번],0),"")</f>
        <v/>
      </c>
    </row>
    <row r="1057">
      <c r="A1057">
        <f>IF($P1057="","",INDEX(상세표[사번],$P1057)&amp;"")</f>
        <v/>
      </c>
      <c r="B1057">
        <f>IF($P1057="","",INDEX(상세표[성명],$P1057)&amp;"")</f>
        <v/>
      </c>
      <c r="C1057">
        <f>IF($P1057="","",INDEX(상세표[부서],$P1057)&amp;"")</f>
        <v/>
      </c>
      <c r="D1057">
        <f>IF($P1057="","",INDEX(상세표[직위],$P1057)&amp;"")</f>
        <v/>
      </c>
      <c r="E1057">
        <f>IF($P1057="","",IF(ISNUMBER(INDEX(상세표[시작],$P1057)),TEXT(INDEX(상세표[시작],$P1057),"yyyy-mm-dd hh:mm"),INDEX(상세표[시작],$P1057)&amp;""))</f>
        <v/>
      </c>
      <c r="F1057">
        <f>IF($P1057="","",IF(ISNUMBER(INDEX(상세표[블록종료],$P1057)),TEXT(INDEX(상세표[블록종료],$P1057),"yyyy-mm-dd hh:mm"),INDEX(상세표[블록종료],$P1057)&amp;""))</f>
        <v/>
      </c>
      <c r="G1057">
        <f>IF($P1057="","",CHOOSE(WEEKDAY(INDEX(상세표[시작],$P1057)),"일","월","화","수","목","금","토"))</f>
        <v/>
      </c>
      <c r="H1057">
        <f>IF($P1057="","",INDEX(상세표[연속 시간],$P1057))</f>
        <v/>
      </c>
      <c r="I1057">
        <f>IF($P1057="","",INDEX(상세표[기록 수],$P1057))</f>
        <v/>
      </c>
      <c r="J1057">
        <f>IF($P1057="","",INDEX(상세표[블록 06~07시],$P1057))</f>
        <v/>
      </c>
      <c r="K1057">
        <f>IF($P1057="","",INDEX(상세표[블록 07~18시],$P1057))</f>
        <v/>
      </c>
      <c r="L1057">
        <f>IF($P1057="","",INDEX(상세표[블록 18~22시],$P1057))</f>
        <v/>
      </c>
      <c r="M1057">
        <f>IF($P1057="","",INDEX(상세표[블록 22~06시],$P1057))</f>
        <v/>
      </c>
      <c r="N1057">
        <f>IF($P1057="","",INDEX(상세표[주말·휴일 포함],$P1057)&amp;"")</f>
        <v/>
      </c>
      <c r="O1057">
        <f>IF($P1057="","",INDEX(상세표[월 넘김 포함],$P1057)&amp;"")</f>
        <v/>
      </c>
      <c r="P1057" s="4">
        <f>IFERROR(MATCH(1052,상세표[연속순번],0),"")</f>
        <v/>
      </c>
    </row>
    <row r="1058">
      <c r="A1058">
        <f>IF($P1058="","",INDEX(상세표[사번],$P1058)&amp;"")</f>
        <v/>
      </c>
      <c r="B1058">
        <f>IF($P1058="","",INDEX(상세표[성명],$P1058)&amp;"")</f>
        <v/>
      </c>
      <c r="C1058">
        <f>IF($P1058="","",INDEX(상세표[부서],$P1058)&amp;"")</f>
        <v/>
      </c>
      <c r="D1058">
        <f>IF($P1058="","",INDEX(상세표[직위],$P1058)&amp;"")</f>
        <v/>
      </c>
      <c r="E1058">
        <f>IF($P1058="","",IF(ISNUMBER(INDEX(상세표[시작],$P1058)),TEXT(INDEX(상세표[시작],$P1058),"yyyy-mm-dd hh:mm"),INDEX(상세표[시작],$P1058)&amp;""))</f>
        <v/>
      </c>
      <c r="F1058">
        <f>IF($P1058="","",IF(ISNUMBER(INDEX(상세표[블록종료],$P1058)),TEXT(INDEX(상세표[블록종료],$P1058),"yyyy-mm-dd hh:mm"),INDEX(상세표[블록종료],$P1058)&amp;""))</f>
        <v/>
      </c>
      <c r="G1058">
        <f>IF($P1058="","",CHOOSE(WEEKDAY(INDEX(상세표[시작],$P1058)),"일","월","화","수","목","금","토"))</f>
        <v/>
      </c>
      <c r="H1058">
        <f>IF($P1058="","",INDEX(상세표[연속 시간],$P1058))</f>
        <v/>
      </c>
      <c r="I1058">
        <f>IF($P1058="","",INDEX(상세표[기록 수],$P1058))</f>
        <v/>
      </c>
      <c r="J1058">
        <f>IF($P1058="","",INDEX(상세표[블록 06~07시],$P1058))</f>
        <v/>
      </c>
      <c r="K1058">
        <f>IF($P1058="","",INDEX(상세표[블록 07~18시],$P1058))</f>
        <v/>
      </c>
      <c r="L1058">
        <f>IF($P1058="","",INDEX(상세표[블록 18~22시],$P1058))</f>
        <v/>
      </c>
      <c r="M1058">
        <f>IF($P1058="","",INDEX(상세표[블록 22~06시],$P1058))</f>
        <v/>
      </c>
      <c r="N1058">
        <f>IF($P1058="","",INDEX(상세표[주말·휴일 포함],$P1058)&amp;"")</f>
        <v/>
      </c>
      <c r="O1058">
        <f>IF($P1058="","",INDEX(상세표[월 넘김 포함],$P1058)&amp;"")</f>
        <v/>
      </c>
      <c r="P1058" s="4">
        <f>IFERROR(MATCH(1053,상세표[연속순번],0),"")</f>
        <v/>
      </c>
    </row>
    <row r="1059">
      <c r="A1059">
        <f>IF($P1059="","",INDEX(상세표[사번],$P1059)&amp;"")</f>
        <v/>
      </c>
      <c r="B1059">
        <f>IF($P1059="","",INDEX(상세표[성명],$P1059)&amp;"")</f>
        <v/>
      </c>
      <c r="C1059">
        <f>IF($P1059="","",INDEX(상세표[부서],$P1059)&amp;"")</f>
        <v/>
      </c>
      <c r="D1059">
        <f>IF($P1059="","",INDEX(상세표[직위],$P1059)&amp;"")</f>
        <v/>
      </c>
      <c r="E1059">
        <f>IF($P1059="","",IF(ISNUMBER(INDEX(상세표[시작],$P1059)),TEXT(INDEX(상세표[시작],$P1059),"yyyy-mm-dd hh:mm"),INDEX(상세표[시작],$P1059)&amp;""))</f>
        <v/>
      </c>
      <c r="F1059">
        <f>IF($P1059="","",IF(ISNUMBER(INDEX(상세표[블록종료],$P1059)),TEXT(INDEX(상세표[블록종료],$P1059),"yyyy-mm-dd hh:mm"),INDEX(상세표[블록종료],$P1059)&amp;""))</f>
        <v/>
      </c>
      <c r="G1059">
        <f>IF($P1059="","",CHOOSE(WEEKDAY(INDEX(상세표[시작],$P1059)),"일","월","화","수","목","금","토"))</f>
        <v/>
      </c>
      <c r="H1059">
        <f>IF($P1059="","",INDEX(상세표[연속 시간],$P1059))</f>
        <v/>
      </c>
      <c r="I1059">
        <f>IF($P1059="","",INDEX(상세표[기록 수],$P1059))</f>
        <v/>
      </c>
      <c r="J1059">
        <f>IF($P1059="","",INDEX(상세표[블록 06~07시],$P1059))</f>
        <v/>
      </c>
      <c r="K1059">
        <f>IF($P1059="","",INDEX(상세표[블록 07~18시],$P1059))</f>
        <v/>
      </c>
      <c r="L1059">
        <f>IF($P1059="","",INDEX(상세표[블록 18~22시],$P1059))</f>
        <v/>
      </c>
      <c r="M1059">
        <f>IF($P1059="","",INDEX(상세표[블록 22~06시],$P1059))</f>
        <v/>
      </c>
      <c r="N1059">
        <f>IF($P1059="","",INDEX(상세표[주말·휴일 포함],$P1059)&amp;"")</f>
        <v/>
      </c>
      <c r="O1059">
        <f>IF($P1059="","",INDEX(상세표[월 넘김 포함],$P1059)&amp;"")</f>
        <v/>
      </c>
      <c r="P1059" s="4">
        <f>IFERROR(MATCH(1054,상세표[연속순번],0),"")</f>
        <v/>
      </c>
    </row>
    <row r="1060">
      <c r="A1060">
        <f>IF($P1060="","",INDEX(상세표[사번],$P1060)&amp;"")</f>
        <v/>
      </c>
      <c r="B1060">
        <f>IF($P1060="","",INDEX(상세표[성명],$P1060)&amp;"")</f>
        <v/>
      </c>
      <c r="C1060">
        <f>IF($P1060="","",INDEX(상세표[부서],$P1060)&amp;"")</f>
        <v/>
      </c>
      <c r="D1060">
        <f>IF($P1060="","",INDEX(상세표[직위],$P1060)&amp;"")</f>
        <v/>
      </c>
      <c r="E1060">
        <f>IF($P1060="","",IF(ISNUMBER(INDEX(상세표[시작],$P1060)),TEXT(INDEX(상세표[시작],$P1060),"yyyy-mm-dd hh:mm"),INDEX(상세표[시작],$P1060)&amp;""))</f>
        <v/>
      </c>
      <c r="F1060">
        <f>IF($P1060="","",IF(ISNUMBER(INDEX(상세표[블록종료],$P1060)),TEXT(INDEX(상세표[블록종료],$P1060),"yyyy-mm-dd hh:mm"),INDEX(상세표[블록종료],$P1060)&amp;""))</f>
        <v/>
      </c>
      <c r="G1060">
        <f>IF($P1060="","",CHOOSE(WEEKDAY(INDEX(상세표[시작],$P1060)),"일","월","화","수","목","금","토"))</f>
        <v/>
      </c>
      <c r="H1060">
        <f>IF($P1060="","",INDEX(상세표[연속 시간],$P1060))</f>
        <v/>
      </c>
      <c r="I1060">
        <f>IF($P1060="","",INDEX(상세표[기록 수],$P1060))</f>
        <v/>
      </c>
      <c r="J1060">
        <f>IF($P1060="","",INDEX(상세표[블록 06~07시],$P1060))</f>
        <v/>
      </c>
      <c r="K1060">
        <f>IF($P1060="","",INDEX(상세표[블록 07~18시],$P1060))</f>
        <v/>
      </c>
      <c r="L1060">
        <f>IF($P1060="","",INDEX(상세표[블록 18~22시],$P1060))</f>
        <v/>
      </c>
      <c r="M1060">
        <f>IF($P1060="","",INDEX(상세표[블록 22~06시],$P1060))</f>
        <v/>
      </c>
      <c r="N1060">
        <f>IF($P1060="","",INDEX(상세표[주말·휴일 포함],$P1060)&amp;"")</f>
        <v/>
      </c>
      <c r="O1060">
        <f>IF($P1060="","",INDEX(상세표[월 넘김 포함],$P1060)&amp;"")</f>
        <v/>
      </c>
      <c r="P1060" s="4">
        <f>IFERROR(MATCH(1055,상세표[연속순번],0),"")</f>
        <v/>
      </c>
    </row>
    <row r="1061">
      <c r="A1061">
        <f>IF($P1061="","",INDEX(상세표[사번],$P1061)&amp;"")</f>
        <v/>
      </c>
      <c r="B1061">
        <f>IF($P1061="","",INDEX(상세표[성명],$P1061)&amp;"")</f>
        <v/>
      </c>
      <c r="C1061">
        <f>IF($P1061="","",INDEX(상세표[부서],$P1061)&amp;"")</f>
        <v/>
      </c>
      <c r="D1061">
        <f>IF($P1061="","",INDEX(상세표[직위],$P1061)&amp;"")</f>
        <v/>
      </c>
      <c r="E1061">
        <f>IF($P1061="","",IF(ISNUMBER(INDEX(상세표[시작],$P1061)),TEXT(INDEX(상세표[시작],$P1061),"yyyy-mm-dd hh:mm"),INDEX(상세표[시작],$P1061)&amp;""))</f>
        <v/>
      </c>
      <c r="F1061">
        <f>IF($P1061="","",IF(ISNUMBER(INDEX(상세표[블록종료],$P1061)),TEXT(INDEX(상세표[블록종료],$P1061),"yyyy-mm-dd hh:mm"),INDEX(상세표[블록종료],$P1061)&amp;""))</f>
        <v/>
      </c>
      <c r="G1061">
        <f>IF($P1061="","",CHOOSE(WEEKDAY(INDEX(상세표[시작],$P1061)),"일","월","화","수","목","금","토"))</f>
        <v/>
      </c>
      <c r="H1061">
        <f>IF($P1061="","",INDEX(상세표[연속 시간],$P1061))</f>
        <v/>
      </c>
      <c r="I1061">
        <f>IF($P1061="","",INDEX(상세표[기록 수],$P1061))</f>
        <v/>
      </c>
      <c r="J1061">
        <f>IF($P1061="","",INDEX(상세표[블록 06~07시],$P1061))</f>
        <v/>
      </c>
      <c r="K1061">
        <f>IF($P1061="","",INDEX(상세표[블록 07~18시],$P1061))</f>
        <v/>
      </c>
      <c r="L1061">
        <f>IF($P1061="","",INDEX(상세표[블록 18~22시],$P1061))</f>
        <v/>
      </c>
      <c r="M1061">
        <f>IF($P1061="","",INDEX(상세표[블록 22~06시],$P1061))</f>
        <v/>
      </c>
      <c r="N1061">
        <f>IF($P1061="","",INDEX(상세표[주말·휴일 포함],$P1061)&amp;"")</f>
        <v/>
      </c>
      <c r="O1061">
        <f>IF($P1061="","",INDEX(상세표[월 넘김 포함],$P1061)&amp;"")</f>
        <v/>
      </c>
      <c r="P1061" s="4">
        <f>IFERROR(MATCH(1056,상세표[연속순번],0),"")</f>
        <v/>
      </c>
    </row>
    <row r="1062">
      <c r="A1062">
        <f>IF($P1062="","",INDEX(상세표[사번],$P1062)&amp;"")</f>
        <v/>
      </c>
      <c r="B1062">
        <f>IF($P1062="","",INDEX(상세표[성명],$P1062)&amp;"")</f>
        <v/>
      </c>
      <c r="C1062">
        <f>IF($P1062="","",INDEX(상세표[부서],$P1062)&amp;"")</f>
        <v/>
      </c>
      <c r="D1062">
        <f>IF($P1062="","",INDEX(상세표[직위],$P1062)&amp;"")</f>
        <v/>
      </c>
      <c r="E1062">
        <f>IF($P1062="","",IF(ISNUMBER(INDEX(상세표[시작],$P1062)),TEXT(INDEX(상세표[시작],$P1062),"yyyy-mm-dd hh:mm"),INDEX(상세표[시작],$P1062)&amp;""))</f>
        <v/>
      </c>
      <c r="F1062">
        <f>IF($P1062="","",IF(ISNUMBER(INDEX(상세표[블록종료],$P1062)),TEXT(INDEX(상세표[블록종료],$P1062),"yyyy-mm-dd hh:mm"),INDEX(상세표[블록종료],$P1062)&amp;""))</f>
        <v/>
      </c>
      <c r="G1062">
        <f>IF($P1062="","",CHOOSE(WEEKDAY(INDEX(상세표[시작],$P1062)),"일","월","화","수","목","금","토"))</f>
        <v/>
      </c>
      <c r="H1062">
        <f>IF($P1062="","",INDEX(상세표[연속 시간],$P1062))</f>
        <v/>
      </c>
      <c r="I1062">
        <f>IF($P1062="","",INDEX(상세표[기록 수],$P1062))</f>
        <v/>
      </c>
      <c r="J1062">
        <f>IF($P1062="","",INDEX(상세표[블록 06~07시],$P1062))</f>
        <v/>
      </c>
      <c r="K1062">
        <f>IF($P1062="","",INDEX(상세표[블록 07~18시],$P1062))</f>
        <v/>
      </c>
      <c r="L1062">
        <f>IF($P1062="","",INDEX(상세표[블록 18~22시],$P1062))</f>
        <v/>
      </c>
      <c r="M1062">
        <f>IF($P1062="","",INDEX(상세표[블록 22~06시],$P1062))</f>
        <v/>
      </c>
      <c r="N1062">
        <f>IF($P1062="","",INDEX(상세표[주말·휴일 포함],$P1062)&amp;"")</f>
        <v/>
      </c>
      <c r="O1062">
        <f>IF($P1062="","",INDEX(상세표[월 넘김 포함],$P1062)&amp;"")</f>
        <v/>
      </c>
      <c r="P1062" s="4">
        <f>IFERROR(MATCH(1057,상세표[연속순번],0),"")</f>
        <v/>
      </c>
    </row>
    <row r="1063">
      <c r="A1063">
        <f>IF($P1063="","",INDEX(상세표[사번],$P1063)&amp;"")</f>
        <v/>
      </c>
      <c r="B1063">
        <f>IF($P1063="","",INDEX(상세표[성명],$P1063)&amp;"")</f>
        <v/>
      </c>
      <c r="C1063">
        <f>IF($P1063="","",INDEX(상세표[부서],$P1063)&amp;"")</f>
        <v/>
      </c>
      <c r="D1063">
        <f>IF($P1063="","",INDEX(상세표[직위],$P1063)&amp;"")</f>
        <v/>
      </c>
      <c r="E1063">
        <f>IF($P1063="","",IF(ISNUMBER(INDEX(상세표[시작],$P1063)),TEXT(INDEX(상세표[시작],$P1063),"yyyy-mm-dd hh:mm"),INDEX(상세표[시작],$P1063)&amp;""))</f>
        <v/>
      </c>
      <c r="F1063">
        <f>IF($P1063="","",IF(ISNUMBER(INDEX(상세표[블록종료],$P1063)),TEXT(INDEX(상세표[블록종료],$P1063),"yyyy-mm-dd hh:mm"),INDEX(상세표[블록종료],$P1063)&amp;""))</f>
        <v/>
      </c>
      <c r="G1063">
        <f>IF($P1063="","",CHOOSE(WEEKDAY(INDEX(상세표[시작],$P1063)),"일","월","화","수","목","금","토"))</f>
        <v/>
      </c>
      <c r="H1063">
        <f>IF($P1063="","",INDEX(상세표[연속 시간],$P1063))</f>
        <v/>
      </c>
      <c r="I1063">
        <f>IF($P1063="","",INDEX(상세표[기록 수],$P1063))</f>
        <v/>
      </c>
      <c r="J1063">
        <f>IF($P1063="","",INDEX(상세표[블록 06~07시],$P1063))</f>
        <v/>
      </c>
      <c r="K1063">
        <f>IF($P1063="","",INDEX(상세표[블록 07~18시],$P1063))</f>
        <v/>
      </c>
      <c r="L1063">
        <f>IF($P1063="","",INDEX(상세표[블록 18~22시],$P1063))</f>
        <v/>
      </c>
      <c r="M1063">
        <f>IF($P1063="","",INDEX(상세표[블록 22~06시],$P1063))</f>
        <v/>
      </c>
      <c r="N1063">
        <f>IF($P1063="","",INDEX(상세표[주말·휴일 포함],$P1063)&amp;"")</f>
        <v/>
      </c>
      <c r="O1063">
        <f>IF($P1063="","",INDEX(상세표[월 넘김 포함],$P1063)&amp;"")</f>
        <v/>
      </c>
      <c r="P1063" s="4">
        <f>IFERROR(MATCH(1058,상세표[연속순번],0),"")</f>
        <v/>
      </c>
    </row>
    <row r="1064">
      <c r="A1064">
        <f>IF($P1064="","",INDEX(상세표[사번],$P1064)&amp;"")</f>
        <v/>
      </c>
      <c r="B1064">
        <f>IF($P1064="","",INDEX(상세표[성명],$P1064)&amp;"")</f>
        <v/>
      </c>
      <c r="C1064">
        <f>IF($P1064="","",INDEX(상세표[부서],$P1064)&amp;"")</f>
        <v/>
      </c>
      <c r="D1064">
        <f>IF($P1064="","",INDEX(상세표[직위],$P1064)&amp;"")</f>
        <v/>
      </c>
      <c r="E1064">
        <f>IF($P1064="","",IF(ISNUMBER(INDEX(상세표[시작],$P1064)),TEXT(INDEX(상세표[시작],$P1064),"yyyy-mm-dd hh:mm"),INDEX(상세표[시작],$P1064)&amp;""))</f>
        <v/>
      </c>
      <c r="F1064">
        <f>IF($P1064="","",IF(ISNUMBER(INDEX(상세표[블록종료],$P1064)),TEXT(INDEX(상세표[블록종료],$P1064),"yyyy-mm-dd hh:mm"),INDEX(상세표[블록종료],$P1064)&amp;""))</f>
        <v/>
      </c>
      <c r="G1064">
        <f>IF($P1064="","",CHOOSE(WEEKDAY(INDEX(상세표[시작],$P1064)),"일","월","화","수","목","금","토"))</f>
        <v/>
      </c>
      <c r="H1064">
        <f>IF($P1064="","",INDEX(상세표[연속 시간],$P1064))</f>
        <v/>
      </c>
      <c r="I1064">
        <f>IF($P1064="","",INDEX(상세표[기록 수],$P1064))</f>
        <v/>
      </c>
      <c r="J1064">
        <f>IF($P1064="","",INDEX(상세표[블록 06~07시],$P1064))</f>
        <v/>
      </c>
      <c r="K1064">
        <f>IF($P1064="","",INDEX(상세표[블록 07~18시],$P1064))</f>
        <v/>
      </c>
      <c r="L1064">
        <f>IF($P1064="","",INDEX(상세표[블록 18~22시],$P1064))</f>
        <v/>
      </c>
      <c r="M1064">
        <f>IF($P1064="","",INDEX(상세표[블록 22~06시],$P1064))</f>
        <v/>
      </c>
      <c r="N1064">
        <f>IF($P1064="","",INDEX(상세표[주말·휴일 포함],$P1064)&amp;"")</f>
        <v/>
      </c>
      <c r="O1064">
        <f>IF($P1064="","",INDEX(상세표[월 넘김 포함],$P1064)&amp;"")</f>
        <v/>
      </c>
      <c r="P1064" s="4">
        <f>IFERROR(MATCH(1059,상세표[연속순번],0),"")</f>
        <v/>
      </c>
    </row>
    <row r="1065">
      <c r="A1065">
        <f>IF($P1065="","",INDEX(상세표[사번],$P1065)&amp;"")</f>
        <v/>
      </c>
      <c r="B1065">
        <f>IF($P1065="","",INDEX(상세표[성명],$P1065)&amp;"")</f>
        <v/>
      </c>
      <c r="C1065">
        <f>IF($P1065="","",INDEX(상세표[부서],$P1065)&amp;"")</f>
        <v/>
      </c>
      <c r="D1065">
        <f>IF($P1065="","",INDEX(상세표[직위],$P1065)&amp;"")</f>
        <v/>
      </c>
      <c r="E1065">
        <f>IF($P1065="","",IF(ISNUMBER(INDEX(상세표[시작],$P1065)),TEXT(INDEX(상세표[시작],$P1065),"yyyy-mm-dd hh:mm"),INDEX(상세표[시작],$P1065)&amp;""))</f>
        <v/>
      </c>
      <c r="F1065">
        <f>IF($P1065="","",IF(ISNUMBER(INDEX(상세표[블록종료],$P1065)),TEXT(INDEX(상세표[블록종료],$P1065),"yyyy-mm-dd hh:mm"),INDEX(상세표[블록종료],$P1065)&amp;""))</f>
        <v/>
      </c>
      <c r="G1065">
        <f>IF($P1065="","",CHOOSE(WEEKDAY(INDEX(상세표[시작],$P1065)),"일","월","화","수","목","금","토"))</f>
        <v/>
      </c>
      <c r="H1065">
        <f>IF($P1065="","",INDEX(상세표[연속 시간],$P1065))</f>
        <v/>
      </c>
      <c r="I1065">
        <f>IF($P1065="","",INDEX(상세표[기록 수],$P1065))</f>
        <v/>
      </c>
      <c r="J1065">
        <f>IF($P1065="","",INDEX(상세표[블록 06~07시],$P1065))</f>
        <v/>
      </c>
      <c r="K1065">
        <f>IF($P1065="","",INDEX(상세표[블록 07~18시],$P1065))</f>
        <v/>
      </c>
      <c r="L1065">
        <f>IF($P1065="","",INDEX(상세표[블록 18~22시],$P1065))</f>
        <v/>
      </c>
      <c r="M1065">
        <f>IF($P1065="","",INDEX(상세표[블록 22~06시],$P1065))</f>
        <v/>
      </c>
      <c r="N1065">
        <f>IF($P1065="","",INDEX(상세표[주말·휴일 포함],$P1065)&amp;"")</f>
        <v/>
      </c>
      <c r="O1065">
        <f>IF($P1065="","",INDEX(상세표[월 넘김 포함],$P1065)&amp;"")</f>
        <v/>
      </c>
      <c r="P1065" s="4">
        <f>IFERROR(MATCH(1060,상세표[연속순번],0),"")</f>
        <v/>
      </c>
    </row>
    <row r="1066">
      <c r="A1066">
        <f>IF($P1066="","",INDEX(상세표[사번],$P1066)&amp;"")</f>
        <v/>
      </c>
      <c r="B1066">
        <f>IF($P1066="","",INDEX(상세표[성명],$P1066)&amp;"")</f>
        <v/>
      </c>
      <c r="C1066">
        <f>IF($P1066="","",INDEX(상세표[부서],$P1066)&amp;"")</f>
        <v/>
      </c>
      <c r="D1066">
        <f>IF($P1066="","",INDEX(상세표[직위],$P1066)&amp;"")</f>
        <v/>
      </c>
      <c r="E1066">
        <f>IF($P1066="","",IF(ISNUMBER(INDEX(상세표[시작],$P1066)),TEXT(INDEX(상세표[시작],$P1066),"yyyy-mm-dd hh:mm"),INDEX(상세표[시작],$P1066)&amp;""))</f>
        <v/>
      </c>
      <c r="F1066">
        <f>IF($P1066="","",IF(ISNUMBER(INDEX(상세표[블록종료],$P1066)),TEXT(INDEX(상세표[블록종료],$P1066),"yyyy-mm-dd hh:mm"),INDEX(상세표[블록종료],$P1066)&amp;""))</f>
        <v/>
      </c>
      <c r="G1066">
        <f>IF($P1066="","",CHOOSE(WEEKDAY(INDEX(상세표[시작],$P1066)),"일","월","화","수","목","금","토"))</f>
        <v/>
      </c>
      <c r="H1066">
        <f>IF($P1066="","",INDEX(상세표[연속 시간],$P1066))</f>
        <v/>
      </c>
      <c r="I1066">
        <f>IF($P1066="","",INDEX(상세표[기록 수],$P1066))</f>
        <v/>
      </c>
      <c r="J1066">
        <f>IF($P1066="","",INDEX(상세표[블록 06~07시],$P1066))</f>
        <v/>
      </c>
      <c r="K1066">
        <f>IF($P1066="","",INDEX(상세표[블록 07~18시],$P1066))</f>
        <v/>
      </c>
      <c r="L1066">
        <f>IF($P1066="","",INDEX(상세표[블록 18~22시],$P1066))</f>
        <v/>
      </c>
      <c r="M1066">
        <f>IF($P1066="","",INDEX(상세표[블록 22~06시],$P1066))</f>
        <v/>
      </c>
      <c r="N1066">
        <f>IF($P1066="","",INDEX(상세표[주말·휴일 포함],$P1066)&amp;"")</f>
        <v/>
      </c>
      <c r="O1066">
        <f>IF($P1066="","",INDEX(상세표[월 넘김 포함],$P1066)&amp;"")</f>
        <v/>
      </c>
      <c r="P1066" s="4">
        <f>IFERROR(MATCH(1061,상세표[연속순번],0),"")</f>
        <v/>
      </c>
    </row>
    <row r="1067">
      <c r="A1067">
        <f>IF($P1067="","",INDEX(상세표[사번],$P1067)&amp;"")</f>
        <v/>
      </c>
      <c r="B1067">
        <f>IF($P1067="","",INDEX(상세표[성명],$P1067)&amp;"")</f>
        <v/>
      </c>
      <c r="C1067">
        <f>IF($P1067="","",INDEX(상세표[부서],$P1067)&amp;"")</f>
        <v/>
      </c>
      <c r="D1067">
        <f>IF($P1067="","",INDEX(상세표[직위],$P1067)&amp;"")</f>
        <v/>
      </c>
      <c r="E1067">
        <f>IF($P1067="","",IF(ISNUMBER(INDEX(상세표[시작],$P1067)),TEXT(INDEX(상세표[시작],$P1067),"yyyy-mm-dd hh:mm"),INDEX(상세표[시작],$P1067)&amp;""))</f>
        <v/>
      </c>
      <c r="F1067">
        <f>IF($P1067="","",IF(ISNUMBER(INDEX(상세표[블록종료],$P1067)),TEXT(INDEX(상세표[블록종료],$P1067),"yyyy-mm-dd hh:mm"),INDEX(상세표[블록종료],$P1067)&amp;""))</f>
        <v/>
      </c>
      <c r="G1067">
        <f>IF($P1067="","",CHOOSE(WEEKDAY(INDEX(상세표[시작],$P1067)),"일","월","화","수","목","금","토"))</f>
        <v/>
      </c>
      <c r="H1067">
        <f>IF($P1067="","",INDEX(상세표[연속 시간],$P1067))</f>
        <v/>
      </c>
      <c r="I1067">
        <f>IF($P1067="","",INDEX(상세표[기록 수],$P1067))</f>
        <v/>
      </c>
      <c r="J1067">
        <f>IF($P1067="","",INDEX(상세표[블록 06~07시],$P1067))</f>
        <v/>
      </c>
      <c r="K1067">
        <f>IF($P1067="","",INDEX(상세표[블록 07~18시],$P1067))</f>
        <v/>
      </c>
      <c r="L1067">
        <f>IF($P1067="","",INDEX(상세표[블록 18~22시],$P1067))</f>
        <v/>
      </c>
      <c r="M1067">
        <f>IF($P1067="","",INDEX(상세표[블록 22~06시],$P1067))</f>
        <v/>
      </c>
      <c r="N1067">
        <f>IF($P1067="","",INDEX(상세표[주말·휴일 포함],$P1067)&amp;"")</f>
        <v/>
      </c>
      <c r="O1067">
        <f>IF($P1067="","",INDEX(상세표[월 넘김 포함],$P1067)&amp;"")</f>
        <v/>
      </c>
      <c r="P1067" s="4">
        <f>IFERROR(MATCH(1062,상세표[연속순번],0),"")</f>
        <v/>
      </c>
    </row>
    <row r="1068">
      <c r="A1068">
        <f>IF($P1068="","",INDEX(상세표[사번],$P1068)&amp;"")</f>
        <v/>
      </c>
      <c r="B1068">
        <f>IF($P1068="","",INDEX(상세표[성명],$P1068)&amp;"")</f>
        <v/>
      </c>
      <c r="C1068">
        <f>IF($P1068="","",INDEX(상세표[부서],$P1068)&amp;"")</f>
        <v/>
      </c>
      <c r="D1068">
        <f>IF($P1068="","",INDEX(상세표[직위],$P1068)&amp;"")</f>
        <v/>
      </c>
      <c r="E1068">
        <f>IF($P1068="","",IF(ISNUMBER(INDEX(상세표[시작],$P1068)),TEXT(INDEX(상세표[시작],$P1068),"yyyy-mm-dd hh:mm"),INDEX(상세표[시작],$P1068)&amp;""))</f>
        <v/>
      </c>
      <c r="F1068">
        <f>IF($P1068="","",IF(ISNUMBER(INDEX(상세표[블록종료],$P1068)),TEXT(INDEX(상세표[블록종료],$P1068),"yyyy-mm-dd hh:mm"),INDEX(상세표[블록종료],$P1068)&amp;""))</f>
        <v/>
      </c>
      <c r="G1068">
        <f>IF($P1068="","",CHOOSE(WEEKDAY(INDEX(상세표[시작],$P1068)),"일","월","화","수","목","금","토"))</f>
        <v/>
      </c>
      <c r="H1068">
        <f>IF($P1068="","",INDEX(상세표[연속 시간],$P1068))</f>
        <v/>
      </c>
      <c r="I1068">
        <f>IF($P1068="","",INDEX(상세표[기록 수],$P1068))</f>
        <v/>
      </c>
      <c r="J1068">
        <f>IF($P1068="","",INDEX(상세표[블록 06~07시],$P1068))</f>
        <v/>
      </c>
      <c r="K1068">
        <f>IF($P1068="","",INDEX(상세표[블록 07~18시],$P1068))</f>
        <v/>
      </c>
      <c r="L1068">
        <f>IF($P1068="","",INDEX(상세표[블록 18~22시],$P1068))</f>
        <v/>
      </c>
      <c r="M1068">
        <f>IF($P1068="","",INDEX(상세표[블록 22~06시],$P1068))</f>
        <v/>
      </c>
      <c r="N1068">
        <f>IF($P1068="","",INDEX(상세표[주말·휴일 포함],$P1068)&amp;"")</f>
        <v/>
      </c>
      <c r="O1068">
        <f>IF($P1068="","",INDEX(상세표[월 넘김 포함],$P1068)&amp;"")</f>
        <v/>
      </c>
      <c r="P1068" s="4">
        <f>IFERROR(MATCH(1063,상세표[연속순번],0),"")</f>
        <v/>
      </c>
    </row>
    <row r="1069">
      <c r="A1069">
        <f>IF($P1069="","",INDEX(상세표[사번],$P1069)&amp;"")</f>
        <v/>
      </c>
      <c r="B1069">
        <f>IF($P1069="","",INDEX(상세표[성명],$P1069)&amp;"")</f>
        <v/>
      </c>
      <c r="C1069">
        <f>IF($P1069="","",INDEX(상세표[부서],$P1069)&amp;"")</f>
        <v/>
      </c>
      <c r="D1069">
        <f>IF($P1069="","",INDEX(상세표[직위],$P1069)&amp;"")</f>
        <v/>
      </c>
      <c r="E1069">
        <f>IF($P1069="","",IF(ISNUMBER(INDEX(상세표[시작],$P1069)),TEXT(INDEX(상세표[시작],$P1069),"yyyy-mm-dd hh:mm"),INDEX(상세표[시작],$P1069)&amp;""))</f>
        <v/>
      </c>
      <c r="F1069">
        <f>IF($P1069="","",IF(ISNUMBER(INDEX(상세표[블록종료],$P1069)),TEXT(INDEX(상세표[블록종료],$P1069),"yyyy-mm-dd hh:mm"),INDEX(상세표[블록종료],$P1069)&amp;""))</f>
        <v/>
      </c>
      <c r="G1069">
        <f>IF($P1069="","",CHOOSE(WEEKDAY(INDEX(상세표[시작],$P1069)),"일","월","화","수","목","금","토"))</f>
        <v/>
      </c>
      <c r="H1069">
        <f>IF($P1069="","",INDEX(상세표[연속 시간],$P1069))</f>
        <v/>
      </c>
      <c r="I1069">
        <f>IF($P1069="","",INDEX(상세표[기록 수],$P1069))</f>
        <v/>
      </c>
      <c r="J1069">
        <f>IF($P1069="","",INDEX(상세표[블록 06~07시],$P1069))</f>
        <v/>
      </c>
      <c r="K1069">
        <f>IF($P1069="","",INDEX(상세표[블록 07~18시],$P1069))</f>
        <v/>
      </c>
      <c r="L1069">
        <f>IF($P1069="","",INDEX(상세표[블록 18~22시],$P1069))</f>
        <v/>
      </c>
      <c r="M1069">
        <f>IF($P1069="","",INDEX(상세표[블록 22~06시],$P1069))</f>
        <v/>
      </c>
      <c r="N1069">
        <f>IF($P1069="","",INDEX(상세표[주말·휴일 포함],$P1069)&amp;"")</f>
        <v/>
      </c>
      <c r="O1069">
        <f>IF($P1069="","",INDEX(상세표[월 넘김 포함],$P1069)&amp;"")</f>
        <v/>
      </c>
      <c r="P1069" s="4">
        <f>IFERROR(MATCH(1064,상세표[연속순번],0),"")</f>
        <v/>
      </c>
    </row>
    <row r="1070">
      <c r="A1070">
        <f>IF($P1070="","",INDEX(상세표[사번],$P1070)&amp;"")</f>
        <v/>
      </c>
      <c r="B1070">
        <f>IF($P1070="","",INDEX(상세표[성명],$P1070)&amp;"")</f>
        <v/>
      </c>
      <c r="C1070">
        <f>IF($P1070="","",INDEX(상세표[부서],$P1070)&amp;"")</f>
        <v/>
      </c>
      <c r="D1070">
        <f>IF($P1070="","",INDEX(상세표[직위],$P1070)&amp;"")</f>
        <v/>
      </c>
      <c r="E1070">
        <f>IF($P1070="","",IF(ISNUMBER(INDEX(상세표[시작],$P1070)),TEXT(INDEX(상세표[시작],$P1070),"yyyy-mm-dd hh:mm"),INDEX(상세표[시작],$P1070)&amp;""))</f>
        <v/>
      </c>
      <c r="F1070">
        <f>IF($P1070="","",IF(ISNUMBER(INDEX(상세표[블록종료],$P1070)),TEXT(INDEX(상세표[블록종료],$P1070),"yyyy-mm-dd hh:mm"),INDEX(상세표[블록종료],$P1070)&amp;""))</f>
        <v/>
      </c>
      <c r="G1070">
        <f>IF($P1070="","",CHOOSE(WEEKDAY(INDEX(상세표[시작],$P1070)),"일","월","화","수","목","금","토"))</f>
        <v/>
      </c>
      <c r="H1070">
        <f>IF($P1070="","",INDEX(상세표[연속 시간],$P1070))</f>
        <v/>
      </c>
      <c r="I1070">
        <f>IF($P1070="","",INDEX(상세표[기록 수],$P1070))</f>
        <v/>
      </c>
      <c r="J1070">
        <f>IF($P1070="","",INDEX(상세표[블록 06~07시],$P1070))</f>
        <v/>
      </c>
      <c r="K1070">
        <f>IF($P1070="","",INDEX(상세표[블록 07~18시],$P1070))</f>
        <v/>
      </c>
      <c r="L1070">
        <f>IF($P1070="","",INDEX(상세표[블록 18~22시],$P1070))</f>
        <v/>
      </c>
      <c r="M1070">
        <f>IF($P1070="","",INDEX(상세표[블록 22~06시],$P1070))</f>
        <v/>
      </c>
      <c r="N1070">
        <f>IF($P1070="","",INDEX(상세표[주말·휴일 포함],$P1070)&amp;"")</f>
        <v/>
      </c>
      <c r="O1070">
        <f>IF($P1070="","",INDEX(상세표[월 넘김 포함],$P1070)&amp;"")</f>
        <v/>
      </c>
      <c r="P1070" s="4">
        <f>IFERROR(MATCH(1065,상세표[연속순번],0),"")</f>
        <v/>
      </c>
    </row>
    <row r="1071">
      <c r="A1071">
        <f>IF($P1071="","",INDEX(상세표[사번],$P1071)&amp;"")</f>
        <v/>
      </c>
      <c r="B1071">
        <f>IF($P1071="","",INDEX(상세표[성명],$P1071)&amp;"")</f>
        <v/>
      </c>
      <c r="C1071">
        <f>IF($P1071="","",INDEX(상세표[부서],$P1071)&amp;"")</f>
        <v/>
      </c>
      <c r="D1071">
        <f>IF($P1071="","",INDEX(상세표[직위],$P1071)&amp;"")</f>
        <v/>
      </c>
      <c r="E1071">
        <f>IF($P1071="","",IF(ISNUMBER(INDEX(상세표[시작],$P1071)),TEXT(INDEX(상세표[시작],$P1071),"yyyy-mm-dd hh:mm"),INDEX(상세표[시작],$P1071)&amp;""))</f>
        <v/>
      </c>
      <c r="F1071">
        <f>IF($P1071="","",IF(ISNUMBER(INDEX(상세표[블록종료],$P1071)),TEXT(INDEX(상세표[블록종료],$P1071),"yyyy-mm-dd hh:mm"),INDEX(상세표[블록종료],$P1071)&amp;""))</f>
        <v/>
      </c>
      <c r="G1071">
        <f>IF($P1071="","",CHOOSE(WEEKDAY(INDEX(상세표[시작],$P1071)),"일","월","화","수","목","금","토"))</f>
        <v/>
      </c>
      <c r="H1071">
        <f>IF($P1071="","",INDEX(상세표[연속 시간],$P1071))</f>
        <v/>
      </c>
      <c r="I1071">
        <f>IF($P1071="","",INDEX(상세표[기록 수],$P1071))</f>
        <v/>
      </c>
      <c r="J1071">
        <f>IF($P1071="","",INDEX(상세표[블록 06~07시],$P1071))</f>
        <v/>
      </c>
      <c r="K1071">
        <f>IF($P1071="","",INDEX(상세표[블록 07~18시],$P1071))</f>
        <v/>
      </c>
      <c r="L1071">
        <f>IF($P1071="","",INDEX(상세표[블록 18~22시],$P1071))</f>
        <v/>
      </c>
      <c r="M1071">
        <f>IF($P1071="","",INDEX(상세표[블록 22~06시],$P1071))</f>
        <v/>
      </c>
      <c r="N1071">
        <f>IF($P1071="","",INDEX(상세표[주말·휴일 포함],$P1071)&amp;"")</f>
        <v/>
      </c>
      <c r="O1071">
        <f>IF($P1071="","",INDEX(상세표[월 넘김 포함],$P1071)&amp;"")</f>
        <v/>
      </c>
      <c r="P1071" s="4">
        <f>IFERROR(MATCH(1066,상세표[연속순번],0),"")</f>
        <v/>
      </c>
    </row>
    <row r="1072">
      <c r="A1072">
        <f>IF($P1072="","",INDEX(상세표[사번],$P1072)&amp;"")</f>
        <v/>
      </c>
      <c r="B1072">
        <f>IF($P1072="","",INDEX(상세표[성명],$P1072)&amp;"")</f>
        <v/>
      </c>
      <c r="C1072">
        <f>IF($P1072="","",INDEX(상세표[부서],$P1072)&amp;"")</f>
        <v/>
      </c>
      <c r="D1072">
        <f>IF($P1072="","",INDEX(상세표[직위],$P1072)&amp;"")</f>
        <v/>
      </c>
      <c r="E1072">
        <f>IF($P1072="","",IF(ISNUMBER(INDEX(상세표[시작],$P1072)),TEXT(INDEX(상세표[시작],$P1072),"yyyy-mm-dd hh:mm"),INDEX(상세표[시작],$P1072)&amp;""))</f>
        <v/>
      </c>
      <c r="F1072">
        <f>IF($P1072="","",IF(ISNUMBER(INDEX(상세표[블록종료],$P1072)),TEXT(INDEX(상세표[블록종료],$P1072),"yyyy-mm-dd hh:mm"),INDEX(상세표[블록종료],$P1072)&amp;""))</f>
        <v/>
      </c>
      <c r="G1072">
        <f>IF($P1072="","",CHOOSE(WEEKDAY(INDEX(상세표[시작],$P1072)),"일","월","화","수","목","금","토"))</f>
        <v/>
      </c>
      <c r="H1072">
        <f>IF($P1072="","",INDEX(상세표[연속 시간],$P1072))</f>
        <v/>
      </c>
      <c r="I1072">
        <f>IF($P1072="","",INDEX(상세표[기록 수],$P1072))</f>
        <v/>
      </c>
      <c r="J1072">
        <f>IF($P1072="","",INDEX(상세표[블록 06~07시],$P1072))</f>
        <v/>
      </c>
      <c r="K1072">
        <f>IF($P1072="","",INDEX(상세표[블록 07~18시],$P1072))</f>
        <v/>
      </c>
      <c r="L1072">
        <f>IF($P1072="","",INDEX(상세표[블록 18~22시],$P1072))</f>
        <v/>
      </c>
      <c r="M1072">
        <f>IF($P1072="","",INDEX(상세표[블록 22~06시],$P1072))</f>
        <v/>
      </c>
      <c r="N1072">
        <f>IF($P1072="","",INDEX(상세표[주말·휴일 포함],$P1072)&amp;"")</f>
        <v/>
      </c>
      <c r="O1072">
        <f>IF($P1072="","",INDEX(상세표[월 넘김 포함],$P1072)&amp;"")</f>
        <v/>
      </c>
      <c r="P1072" s="4">
        <f>IFERROR(MATCH(1067,상세표[연속순번],0),"")</f>
        <v/>
      </c>
    </row>
    <row r="1073">
      <c r="A1073">
        <f>IF($P1073="","",INDEX(상세표[사번],$P1073)&amp;"")</f>
        <v/>
      </c>
      <c r="B1073">
        <f>IF($P1073="","",INDEX(상세표[성명],$P1073)&amp;"")</f>
        <v/>
      </c>
      <c r="C1073">
        <f>IF($P1073="","",INDEX(상세표[부서],$P1073)&amp;"")</f>
        <v/>
      </c>
      <c r="D1073">
        <f>IF($P1073="","",INDEX(상세표[직위],$P1073)&amp;"")</f>
        <v/>
      </c>
      <c r="E1073">
        <f>IF($P1073="","",IF(ISNUMBER(INDEX(상세표[시작],$P1073)),TEXT(INDEX(상세표[시작],$P1073),"yyyy-mm-dd hh:mm"),INDEX(상세표[시작],$P1073)&amp;""))</f>
        <v/>
      </c>
      <c r="F1073">
        <f>IF($P1073="","",IF(ISNUMBER(INDEX(상세표[블록종료],$P1073)),TEXT(INDEX(상세표[블록종료],$P1073),"yyyy-mm-dd hh:mm"),INDEX(상세표[블록종료],$P1073)&amp;""))</f>
        <v/>
      </c>
      <c r="G1073">
        <f>IF($P1073="","",CHOOSE(WEEKDAY(INDEX(상세표[시작],$P1073)),"일","월","화","수","목","금","토"))</f>
        <v/>
      </c>
      <c r="H1073">
        <f>IF($P1073="","",INDEX(상세표[연속 시간],$P1073))</f>
        <v/>
      </c>
      <c r="I1073">
        <f>IF($P1073="","",INDEX(상세표[기록 수],$P1073))</f>
        <v/>
      </c>
      <c r="J1073">
        <f>IF($P1073="","",INDEX(상세표[블록 06~07시],$P1073))</f>
        <v/>
      </c>
      <c r="K1073">
        <f>IF($P1073="","",INDEX(상세표[블록 07~18시],$P1073))</f>
        <v/>
      </c>
      <c r="L1073">
        <f>IF($P1073="","",INDEX(상세표[블록 18~22시],$P1073))</f>
        <v/>
      </c>
      <c r="M1073">
        <f>IF($P1073="","",INDEX(상세표[블록 22~06시],$P1073))</f>
        <v/>
      </c>
      <c r="N1073">
        <f>IF($P1073="","",INDEX(상세표[주말·휴일 포함],$P1073)&amp;"")</f>
        <v/>
      </c>
      <c r="O1073">
        <f>IF($P1073="","",INDEX(상세표[월 넘김 포함],$P1073)&amp;"")</f>
        <v/>
      </c>
      <c r="P1073" s="4">
        <f>IFERROR(MATCH(1068,상세표[연속순번],0),"")</f>
        <v/>
      </c>
    </row>
    <row r="1074">
      <c r="A1074">
        <f>IF($P1074="","",INDEX(상세표[사번],$P1074)&amp;"")</f>
        <v/>
      </c>
      <c r="B1074">
        <f>IF($P1074="","",INDEX(상세표[성명],$P1074)&amp;"")</f>
        <v/>
      </c>
      <c r="C1074">
        <f>IF($P1074="","",INDEX(상세표[부서],$P1074)&amp;"")</f>
        <v/>
      </c>
      <c r="D1074">
        <f>IF($P1074="","",INDEX(상세표[직위],$P1074)&amp;"")</f>
        <v/>
      </c>
      <c r="E1074">
        <f>IF($P1074="","",IF(ISNUMBER(INDEX(상세표[시작],$P1074)),TEXT(INDEX(상세표[시작],$P1074),"yyyy-mm-dd hh:mm"),INDEX(상세표[시작],$P1074)&amp;""))</f>
        <v/>
      </c>
      <c r="F1074">
        <f>IF($P1074="","",IF(ISNUMBER(INDEX(상세표[블록종료],$P1074)),TEXT(INDEX(상세표[블록종료],$P1074),"yyyy-mm-dd hh:mm"),INDEX(상세표[블록종료],$P1074)&amp;""))</f>
        <v/>
      </c>
      <c r="G1074">
        <f>IF($P1074="","",CHOOSE(WEEKDAY(INDEX(상세표[시작],$P1074)),"일","월","화","수","목","금","토"))</f>
        <v/>
      </c>
      <c r="H1074">
        <f>IF($P1074="","",INDEX(상세표[연속 시간],$P1074))</f>
        <v/>
      </c>
      <c r="I1074">
        <f>IF($P1074="","",INDEX(상세표[기록 수],$P1074))</f>
        <v/>
      </c>
      <c r="J1074">
        <f>IF($P1074="","",INDEX(상세표[블록 06~07시],$P1074))</f>
        <v/>
      </c>
      <c r="K1074">
        <f>IF($P1074="","",INDEX(상세표[블록 07~18시],$P1074))</f>
        <v/>
      </c>
      <c r="L1074">
        <f>IF($P1074="","",INDEX(상세표[블록 18~22시],$P1074))</f>
        <v/>
      </c>
      <c r="M1074">
        <f>IF($P1074="","",INDEX(상세표[블록 22~06시],$P1074))</f>
        <v/>
      </c>
      <c r="N1074">
        <f>IF($P1074="","",INDEX(상세표[주말·휴일 포함],$P1074)&amp;"")</f>
        <v/>
      </c>
      <c r="O1074">
        <f>IF($P1074="","",INDEX(상세표[월 넘김 포함],$P1074)&amp;"")</f>
        <v/>
      </c>
      <c r="P1074" s="4">
        <f>IFERROR(MATCH(1069,상세표[연속순번],0),"")</f>
        <v/>
      </c>
    </row>
    <row r="1075">
      <c r="A1075">
        <f>IF($P1075="","",INDEX(상세표[사번],$P1075)&amp;"")</f>
        <v/>
      </c>
      <c r="B1075">
        <f>IF($P1075="","",INDEX(상세표[성명],$P1075)&amp;"")</f>
        <v/>
      </c>
      <c r="C1075">
        <f>IF($P1075="","",INDEX(상세표[부서],$P1075)&amp;"")</f>
        <v/>
      </c>
      <c r="D1075">
        <f>IF($P1075="","",INDEX(상세표[직위],$P1075)&amp;"")</f>
        <v/>
      </c>
      <c r="E1075">
        <f>IF($P1075="","",IF(ISNUMBER(INDEX(상세표[시작],$P1075)),TEXT(INDEX(상세표[시작],$P1075),"yyyy-mm-dd hh:mm"),INDEX(상세표[시작],$P1075)&amp;""))</f>
        <v/>
      </c>
      <c r="F1075">
        <f>IF($P1075="","",IF(ISNUMBER(INDEX(상세표[블록종료],$P1075)),TEXT(INDEX(상세표[블록종료],$P1075),"yyyy-mm-dd hh:mm"),INDEX(상세표[블록종료],$P1075)&amp;""))</f>
        <v/>
      </c>
      <c r="G1075">
        <f>IF($P1075="","",CHOOSE(WEEKDAY(INDEX(상세표[시작],$P1075)),"일","월","화","수","목","금","토"))</f>
        <v/>
      </c>
      <c r="H1075">
        <f>IF($P1075="","",INDEX(상세표[연속 시간],$P1075))</f>
        <v/>
      </c>
      <c r="I1075">
        <f>IF($P1075="","",INDEX(상세표[기록 수],$P1075))</f>
        <v/>
      </c>
      <c r="J1075">
        <f>IF($P1075="","",INDEX(상세표[블록 06~07시],$P1075))</f>
        <v/>
      </c>
      <c r="K1075">
        <f>IF($P1075="","",INDEX(상세표[블록 07~18시],$P1075))</f>
        <v/>
      </c>
      <c r="L1075">
        <f>IF($P1075="","",INDEX(상세표[블록 18~22시],$P1075))</f>
        <v/>
      </c>
      <c r="M1075">
        <f>IF($P1075="","",INDEX(상세표[블록 22~06시],$P1075))</f>
        <v/>
      </c>
      <c r="N1075">
        <f>IF($P1075="","",INDEX(상세표[주말·휴일 포함],$P1075)&amp;"")</f>
        <v/>
      </c>
      <c r="O1075">
        <f>IF($P1075="","",INDEX(상세표[월 넘김 포함],$P1075)&amp;"")</f>
        <v/>
      </c>
      <c r="P1075" s="4">
        <f>IFERROR(MATCH(1070,상세표[연속순번],0),"")</f>
        <v/>
      </c>
    </row>
    <row r="1076">
      <c r="A1076">
        <f>IF($P1076="","",INDEX(상세표[사번],$P1076)&amp;"")</f>
        <v/>
      </c>
      <c r="B1076">
        <f>IF($P1076="","",INDEX(상세표[성명],$P1076)&amp;"")</f>
        <v/>
      </c>
      <c r="C1076">
        <f>IF($P1076="","",INDEX(상세표[부서],$P1076)&amp;"")</f>
        <v/>
      </c>
      <c r="D1076">
        <f>IF($P1076="","",INDEX(상세표[직위],$P1076)&amp;"")</f>
        <v/>
      </c>
      <c r="E1076">
        <f>IF($P1076="","",IF(ISNUMBER(INDEX(상세표[시작],$P1076)),TEXT(INDEX(상세표[시작],$P1076),"yyyy-mm-dd hh:mm"),INDEX(상세표[시작],$P1076)&amp;""))</f>
        <v/>
      </c>
      <c r="F1076">
        <f>IF($P1076="","",IF(ISNUMBER(INDEX(상세표[블록종료],$P1076)),TEXT(INDEX(상세표[블록종료],$P1076),"yyyy-mm-dd hh:mm"),INDEX(상세표[블록종료],$P1076)&amp;""))</f>
        <v/>
      </c>
      <c r="G1076">
        <f>IF($P1076="","",CHOOSE(WEEKDAY(INDEX(상세표[시작],$P1076)),"일","월","화","수","목","금","토"))</f>
        <v/>
      </c>
      <c r="H1076">
        <f>IF($P1076="","",INDEX(상세표[연속 시간],$P1076))</f>
        <v/>
      </c>
      <c r="I1076">
        <f>IF($P1076="","",INDEX(상세표[기록 수],$P1076))</f>
        <v/>
      </c>
      <c r="J1076">
        <f>IF($P1076="","",INDEX(상세표[블록 06~07시],$P1076))</f>
        <v/>
      </c>
      <c r="K1076">
        <f>IF($P1076="","",INDEX(상세표[블록 07~18시],$P1076))</f>
        <v/>
      </c>
      <c r="L1076">
        <f>IF($P1076="","",INDEX(상세표[블록 18~22시],$P1076))</f>
        <v/>
      </c>
      <c r="M1076">
        <f>IF($P1076="","",INDEX(상세표[블록 22~06시],$P1076))</f>
        <v/>
      </c>
      <c r="N1076">
        <f>IF($P1076="","",INDEX(상세표[주말·휴일 포함],$P1076)&amp;"")</f>
        <v/>
      </c>
      <c r="O1076">
        <f>IF($P1076="","",INDEX(상세표[월 넘김 포함],$P1076)&amp;"")</f>
        <v/>
      </c>
      <c r="P1076" s="4">
        <f>IFERROR(MATCH(1071,상세표[연속순번],0),"")</f>
        <v/>
      </c>
    </row>
    <row r="1077">
      <c r="A1077">
        <f>IF($P1077="","",INDEX(상세표[사번],$P1077)&amp;"")</f>
        <v/>
      </c>
      <c r="B1077">
        <f>IF($P1077="","",INDEX(상세표[성명],$P1077)&amp;"")</f>
        <v/>
      </c>
      <c r="C1077">
        <f>IF($P1077="","",INDEX(상세표[부서],$P1077)&amp;"")</f>
        <v/>
      </c>
      <c r="D1077">
        <f>IF($P1077="","",INDEX(상세표[직위],$P1077)&amp;"")</f>
        <v/>
      </c>
      <c r="E1077">
        <f>IF($P1077="","",IF(ISNUMBER(INDEX(상세표[시작],$P1077)),TEXT(INDEX(상세표[시작],$P1077),"yyyy-mm-dd hh:mm"),INDEX(상세표[시작],$P1077)&amp;""))</f>
        <v/>
      </c>
      <c r="F1077">
        <f>IF($P1077="","",IF(ISNUMBER(INDEX(상세표[블록종료],$P1077)),TEXT(INDEX(상세표[블록종료],$P1077),"yyyy-mm-dd hh:mm"),INDEX(상세표[블록종료],$P1077)&amp;""))</f>
        <v/>
      </c>
      <c r="G1077">
        <f>IF($P1077="","",CHOOSE(WEEKDAY(INDEX(상세표[시작],$P1077)),"일","월","화","수","목","금","토"))</f>
        <v/>
      </c>
      <c r="H1077">
        <f>IF($P1077="","",INDEX(상세표[연속 시간],$P1077))</f>
        <v/>
      </c>
      <c r="I1077">
        <f>IF($P1077="","",INDEX(상세표[기록 수],$P1077))</f>
        <v/>
      </c>
      <c r="J1077">
        <f>IF($P1077="","",INDEX(상세표[블록 06~07시],$P1077))</f>
        <v/>
      </c>
      <c r="K1077">
        <f>IF($P1077="","",INDEX(상세표[블록 07~18시],$P1077))</f>
        <v/>
      </c>
      <c r="L1077">
        <f>IF($P1077="","",INDEX(상세표[블록 18~22시],$P1077))</f>
        <v/>
      </c>
      <c r="M1077">
        <f>IF($P1077="","",INDEX(상세표[블록 22~06시],$P1077))</f>
        <v/>
      </c>
      <c r="N1077">
        <f>IF($P1077="","",INDEX(상세표[주말·휴일 포함],$P1077)&amp;"")</f>
        <v/>
      </c>
      <c r="O1077">
        <f>IF($P1077="","",INDEX(상세표[월 넘김 포함],$P1077)&amp;"")</f>
        <v/>
      </c>
      <c r="P1077" s="4">
        <f>IFERROR(MATCH(1072,상세표[연속순번],0),"")</f>
        <v/>
      </c>
    </row>
    <row r="1078">
      <c r="A1078">
        <f>IF($P1078="","",INDEX(상세표[사번],$P1078)&amp;"")</f>
        <v/>
      </c>
      <c r="B1078">
        <f>IF($P1078="","",INDEX(상세표[성명],$P1078)&amp;"")</f>
        <v/>
      </c>
      <c r="C1078">
        <f>IF($P1078="","",INDEX(상세표[부서],$P1078)&amp;"")</f>
        <v/>
      </c>
      <c r="D1078">
        <f>IF($P1078="","",INDEX(상세표[직위],$P1078)&amp;"")</f>
        <v/>
      </c>
      <c r="E1078">
        <f>IF($P1078="","",IF(ISNUMBER(INDEX(상세표[시작],$P1078)),TEXT(INDEX(상세표[시작],$P1078),"yyyy-mm-dd hh:mm"),INDEX(상세표[시작],$P1078)&amp;""))</f>
        <v/>
      </c>
      <c r="F1078">
        <f>IF($P1078="","",IF(ISNUMBER(INDEX(상세표[블록종료],$P1078)),TEXT(INDEX(상세표[블록종료],$P1078),"yyyy-mm-dd hh:mm"),INDEX(상세표[블록종료],$P1078)&amp;""))</f>
        <v/>
      </c>
      <c r="G1078">
        <f>IF($P1078="","",CHOOSE(WEEKDAY(INDEX(상세표[시작],$P1078)),"일","월","화","수","목","금","토"))</f>
        <v/>
      </c>
      <c r="H1078">
        <f>IF($P1078="","",INDEX(상세표[연속 시간],$P1078))</f>
        <v/>
      </c>
      <c r="I1078">
        <f>IF($P1078="","",INDEX(상세표[기록 수],$P1078))</f>
        <v/>
      </c>
      <c r="J1078">
        <f>IF($P1078="","",INDEX(상세표[블록 06~07시],$P1078))</f>
        <v/>
      </c>
      <c r="K1078">
        <f>IF($P1078="","",INDEX(상세표[블록 07~18시],$P1078))</f>
        <v/>
      </c>
      <c r="L1078">
        <f>IF($P1078="","",INDEX(상세표[블록 18~22시],$P1078))</f>
        <v/>
      </c>
      <c r="M1078">
        <f>IF($P1078="","",INDEX(상세표[블록 22~06시],$P1078))</f>
        <v/>
      </c>
      <c r="N1078">
        <f>IF($P1078="","",INDEX(상세표[주말·휴일 포함],$P1078)&amp;"")</f>
        <v/>
      </c>
      <c r="O1078">
        <f>IF($P1078="","",INDEX(상세표[월 넘김 포함],$P1078)&amp;"")</f>
        <v/>
      </c>
      <c r="P1078" s="4">
        <f>IFERROR(MATCH(1073,상세표[연속순번],0),"")</f>
        <v/>
      </c>
    </row>
    <row r="1079">
      <c r="A1079">
        <f>IF($P1079="","",INDEX(상세표[사번],$P1079)&amp;"")</f>
        <v/>
      </c>
      <c r="B1079">
        <f>IF($P1079="","",INDEX(상세표[성명],$P1079)&amp;"")</f>
        <v/>
      </c>
      <c r="C1079">
        <f>IF($P1079="","",INDEX(상세표[부서],$P1079)&amp;"")</f>
        <v/>
      </c>
      <c r="D1079">
        <f>IF($P1079="","",INDEX(상세표[직위],$P1079)&amp;"")</f>
        <v/>
      </c>
      <c r="E1079">
        <f>IF($P1079="","",IF(ISNUMBER(INDEX(상세표[시작],$P1079)),TEXT(INDEX(상세표[시작],$P1079),"yyyy-mm-dd hh:mm"),INDEX(상세표[시작],$P1079)&amp;""))</f>
        <v/>
      </c>
      <c r="F1079">
        <f>IF($P1079="","",IF(ISNUMBER(INDEX(상세표[블록종료],$P1079)),TEXT(INDEX(상세표[블록종료],$P1079),"yyyy-mm-dd hh:mm"),INDEX(상세표[블록종료],$P1079)&amp;""))</f>
        <v/>
      </c>
      <c r="G1079">
        <f>IF($P1079="","",CHOOSE(WEEKDAY(INDEX(상세표[시작],$P1079)),"일","월","화","수","목","금","토"))</f>
        <v/>
      </c>
      <c r="H1079">
        <f>IF($P1079="","",INDEX(상세표[연속 시간],$P1079))</f>
        <v/>
      </c>
      <c r="I1079">
        <f>IF($P1079="","",INDEX(상세표[기록 수],$P1079))</f>
        <v/>
      </c>
      <c r="J1079">
        <f>IF($P1079="","",INDEX(상세표[블록 06~07시],$P1079))</f>
        <v/>
      </c>
      <c r="K1079">
        <f>IF($P1079="","",INDEX(상세표[블록 07~18시],$P1079))</f>
        <v/>
      </c>
      <c r="L1079">
        <f>IF($P1079="","",INDEX(상세표[블록 18~22시],$P1079))</f>
        <v/>
      </c>
      <c r="M1079">
        <f>IF($P1079="","",INDEX(상세표[블록 22~06시],$P1079))</f>
        <v/>
      </c>
      <c r="N1079">
        <f>IF($P1079="","",INDEX(상세표[주말·휴일 포함],$P1079)&amp;"")</f>
        <v/>
      </c>
      <c r="O1079">
        <f>IF($P1079="","",INDEX(상세표[월 넘김 포함],$P1079)&amp;"")</f>
        <v/>
      </c>
      <c r="P1079" s="4">
        <f>IFERROR(MATCH(1074,상세표[연속순번],0),"")</f>
        <v/>
      </c>
    </row>
    <row r="1080">
      <c r="A1080">
        <f>IF($P1080="","",INDEX(상세표[사번],$P1080)&amp;"")</f>
        <v/>
      </c>
      <c r="B1080">
        <f>IF($P1080="","",INDEX(상세표[성명],$P1080)&amp;"")</f>
        <v/>
      </c>
      <c r="C1080">
        <f>IF($P1080="","",INDEX(상세표[부서],$P1080)&amp;"")</f>
        <v/>
      </c>
      <c r="D1080">
        <f>IF($P1080="","",INDEX(상세표[직위],$P1080)&amp;"")</f>
        <v/>
      </c>
      <c r="E1080">
        <f>IF($P1080="","",IF(ISNUMBER(INDEX(상세표[시작],$P1080)),TEXT(INDEX(상세표[시작],$P1080),"yyyy-mm-dd hh:mm"),INDEX(상세표[시작],$P1080)&amp;""))</f>
        <v/>
      </c>
      <c r="F1080">
        <f>IF($P1080="","",IF(ISNUMBER(INDEX(상세표[블록종료],$P1080)),TEXT(INDEX(상세표[블록종료],$P1080),"yyyy-mm-dd hh:mm"),INDEX(상세표[블록종료],$P1080)&amp;""))</f>
        <v/>
      </c>
      <c r="G1080">
        <f>IF($P1080="","",CHOOSE(WEEKDAY(INDEX(상세표[시작],$P1080)),"일","월","화","수","목","금","토"))</f>
        <v/>
      </c>
      <c r="H1080">
        <f>IF($P1080="","",INDEX(상세표[연속 시간],$P1080))</f>
        <v/>
      </c>
      <c r="I1080">
        <f>IF($P1080="","",INDEX(상세표[기록 수],$P1080))</f>
        <v/>
      </c>
      <c r="J1080">
        <f>IF($P1080="","",INDEX(상세표[블록 06~07시],$P1080))</f>
        <v/>
      </c>
      <c r="K1080">
        <f>IF($P1080="","",INDEX(상세표[블록 07~18시],$P1080))</f>
        <v/>
      </c>
      <c r="L1080">
        <f>IF($P1080="","",INDEX(상세표[블록 18~22시],$P1080))</f>
        <v/>
      </c>
      <c r="M1080">
        <f>IF($P1080="","",INDEX(상세표[블록 22~06시],$P1080))</f>
        <v/>
      </c>
      <c r="N1080">
        <f>IF($P1080="","",INDEX(상세표[주말·휴일 포함],$P1080)&amp;"")</f>
        <v/>
      </c>
      <c r="O1080">
        <f>IF($P1080="","",INDEX(상세표[월 넘김 포함],$P1080)&amp;"")</f>
        <v/>
      </c>
      <c r="P1080" s="4">
        <f>IFERROR(MATCH(1075,상세표[연속순번],0),"")</f>
        <v/>
      </c>
    </row>
    <row r="1081">
      <c r="A1081">
        <f>IF($P1081="","",INDEX(상세표[사번],$P1081)&amp;"")</f>
        <v/>
      </c>
      <c r="B1081">
        <f>IF($P1081="","",INDEX(상세표[성명],$P1081)&amp;"")</f>
        <v/>
      </c>
      <c r="C1081">
        <f>IF($P1081="","",INDEX(상세표[부서],$P1081)&amp;"")</f>
        <v/>
      </c>
      <c r="D1081">
        <f>IF($P1081="","",INDEX(상세표[직위],$P1081)&amp;"")</f>
        <v/>
      </c>
      <c r="E1081">
        <f>IF($P1081="","",IF(ISNUMBER(INDEX(상세표[시작],$P1081)),TEXT(INDEX(상세표[시작],$P1081),"yyyy-mm-dd hh:mm"),INDEX(상세표[시작],$P1081)&amp;""))</f>
        <v/>
      </c>
      <c r="F1081">
        <f>IF($P1081="","",IF(ISNUMBER(INDEX(상세표[블록종료],$P1081)),TEXT(INDEX(상세표[블록종료],$P1081),"yyyy-mm-dd hh:mm"),INDEX(상세표[블록종료],$P1081)&amp;""))</f>
        <v/>
      </c>
      <c r="G1081">
        <f>IF($P1081="","",CHOOSE(WEEKDAY(INDEX(상세표[시작],$P1081)),"일","월","화","수","목","금","토"))</f>
        <v/>
      </c>
      <c r="H1081">
        <f>IF($P1081="","",INDEX(상세표[연속 시간],$P1081))</f>
        <v/>
      </c>
      <c r="I1081">
        <f>IF($P1081="","",INDEX(상세표[기록 수],$P1081))</f>
        <v/>
      </c>
      <c r="J1081">
        <f>IF($P1081="","",INDEX(상세표[블록 06~07시],$P1081))</f>
        <v/>
      </c>
      <c r="K1081">
        <f>IF($P1081="","",INDEX(상세표[블록 07~18시],$P1081))</f>
        <v/>
      </c>
      <c r="L1081">
        <f>IF($P1081="","",INDEX(상세표[블록 18~22시],$P1081))</f>
        <v/>
      </c>
      <c r="M1081">
        <f>IF($P1081="","",INDEX(상세표[블록 22~06시],$P1081))</f>
        <v/>
      </c>
      <c r="N1081">
        <f>IF($P1081="","",INDEX(상세표[주말·휴일 포함],$P1081)&amp;"")</f>
        <v/>
      </c>
      <c r="O1081">
        <f>IF($P1081="","",INDEX(상세표[월 넘김 포함],$P1081)&amp;"")</f>
        <v/>
      </c>
      <c r="P1081" s="4">
        <f>IFERROR(MATCH(1076,상세표[연속순번],0),"")</f>
        <v/>
      </c>
    </row>
    <row r="1082">
      <c r="A1082">
        <f>IF($P1082="","",INDEX(상세표[사번],$P1082)&amp;"")</f>
        <v/>
      </c>
      <c r="B1082">
        <f>IF($P1082="","",INDEX(상세표[성명],$P1082)&amp;"")</f>
        <v/>
      </c>
      <c r="C1082">
        <f>IF($P1082="","",INDEX(상세표[부서],$P1082)&amp;"")</f>
        <v/>
      </c>
      <c r="D1082">
        <f>IF($P1082="","",INDEX(상세표[직위],$P1082)&amp;"")</f>
        <v/>
      </c>
      <c r="E1082">
        <f>IF($P1082="","",IF(ISNUMBER(INDEX(상세표[시작],$P1082)),TEXT(INDEX(상세표[시작],$P1082),"yyyy-mm-dd hh:mm"),INDEX(상세표[시작],$P1082)&amp;""))</f>
        <v/>
      </c>
      <c r="F1082">
        <f>IF($P1082="","",IF(ISNUMBER(INDEX(상세표[블록종료],$P1082)),TEXT(INDEX(상세표[블록종료],$P1082),"yyyy-mm-dd hh:mm"),INDEX(상세표[블록종료],$P1082)&amp;""))</f>
        <v/>
      </c>
      <c r="G1082">
        <f>IF($P1082="","",CHOOSE(WEEKDAY(INDEX(상세표[시작],$P1082)),"일","월","화","수","목","금","토"))</f>
        <v/>
      </c>
      <c r="H1082">
        <f>IF($P1082="","",INDEX(상세표[연속 시간],$P1082))</f>
        <v/>
      </c>
      <c r="I1082">
        <f>IF($P1082="","",INDEX(상세표[기록 수],$P1082))</f>
        <v/>
      </c>
      <c r="J1082">
        <f>IF($P1082="","",INDEX(상세표[블록 06~07시],$P1082))</f>
        <v/>
      </c>
      <c r="K1082">
        <f>IF($P1082="","",INDEX(상세표[블록 07~18시],$P1082))</f>
        <v/>
      </c>
      <c r="L1082">
        <f>IF($P1082="","",INDEX(상세표[블록 18~22시],$P1082))</f>
        <v/>
      </c>
      <c r="M1082">
        <f>IF($P1082="","",INDEX(상세표[블록 22~06시],$P1082))</f>
        <v/>
      </c>
      <c r="N1082">
        <f>IF($P1082="","",INDEX(상세표[주말·휴일 포함],$P1082)&amp;"")</f>
        <v/>
      </c>
      <c r="O1082">
        <f>IF($P1082="","",INDEX(상세표[월 넘김 포함],$P1082)&amp;"")</f>
        <v/>
      </c>
      <c r="P1082" s="4">
        <f>IFERROR(MATCH(1077,상세표[연속순번],0),"")</f>
        <v/>
      </c>
    </row>
    <row r="1083">
      <c r="A1083">
        <f>IF($P1083="","",INDEX(상세표[사번],$P1083)&amp;"")</f>
        <v/>
      </c>
      <c r="B1083">
        <f>IF($P1083="","",INDEX(상세표[성명],$P1083)&amp;"")</f>
        <v/>
      </c>
      <c r="C1083">
        <f>IF($P1083="","",INDEX(상세표[부서],$P1083)&amp;"")</f>
        <v/>
      </c>
      <c r="D1083">
        <f>IF($P1083="","",INDEX(상세표[직위],$P1083)&amp;"")</f>
        <v/>
      </c>
      <c r="E1083">
        <f>IF($P1083="","",IF(ISNUMBER(INDEX(상세표[시작],$P1083)),TEXT(INDEX(상세표[시작],$P1083),"yyyy-mm-dd hh:mm"),INDEX(상세표[시작],$P1083)&amp;""))</f>
        <v/>
      </c>
      <c r="F1083">
        <f>IF($P1083="","",IF(ISNUMBER(INDEX(상세표[블록종료],$P1083)),TEXT(INDEX(상세표[블록종료],$P1083),"yyyy-mm-dd hh:mm"),INDEX(상세표[블록종료],$P1083)&amp;""))</f>
        <v/>
      </c>
      <c r="G1083">
        <f>IF($P1083="","",CHOOSE(WEEKDAY(INDEX(상세표[시작],$P1083)),"일","월","화","수","목","금","토"))</f>
        <v/>
      </c>
      <c r="H1083">
        <f>IF($P1083="","",INDEX(상세표[연속 시간],$P1083))</f>
        <v/>
      </c>
      <c r="I1083">
        <f>IF($P1083="","",INDEX(상세표[기록 수],$P1083))</f>
        <v/>
      </c>
      <c r="J1083">
        <f>IF($P1083="","",INDEX(상세표[블록 06~07시],$P1083))</f>
        <v/>
      </c>
      <c r="K1083">
        <f>IF($P1083="","",INDEX(상세표[블록 07~18시],$P1083))</f>
        <v/>
      </c>
      <c r="L1083">
        <f>IF($P1083="","",INDEX(상세표[블록 18~22시],$P1083))</f>
        <v/>
      </c>
      <c r="M1083">
        <f>IF($P1083="","",INDEX(상세표[블록 22~06시],$P1083))</f>
        <v/>
      </c>
      <c r="N1083">
        <f>IF($P1083="","",INDEX(상세표[주말·휴일 포함],$P1083)&amp;"")</f>
        <v/>
      </c>
      <c r="O1083">
        <f>IF($P1083="","",INDEX(상세표[월 넘김 포함],$P1083)&amp;"")</f>
        <v/>
      </c>
      <c r="P1083" s="4">
        <f>IFERROR(MATCH(1078,상세표[연속순번],0),"")</f>
        <v/>
      </c>
    </row>
    <row r="1084">
      <c r="A1084">
        <f>IF($P1084="","",INDEX(상세표[사번],$P1084)&amp;"")</f>
        <v/>
      </c>
      <c r="B1084">
        <f>IF($P1084="","",INDEX(상세표[성명],$P1084)&amp;"")</f>
        <v/>
      </c>
      <c r="C1084">
        <f>IF($P1084="","",INDEX(상세표[부서],$P1084)&amp;"")</f>
        <v/>
      </c>
      <c r="D1084">
        <f>IF($P1084="","",INDEX(상세표[직위],$P1084)&amp;"")</f>
        <v/>
      </c>
      <c r="E1084">
        <f>IF($P1084="","",IF(ISNUMBER(INDEX(상세표[시작],$P1084)),TEXT(INDEX(상세표[시작],$P1084),"yyyy-mm-dd hh:mm"),INDEX(상세표[시작],$P1084)&amp;""))</f>
        <v/>
      </c>
      <c r="F1084">
        <f>IF($P1084="","",IF(ISNUMBER(INDEX(상세표[블록종료],$P1084)),TEXT(INDEX(상세표[블록종료],$P1084),"yyyy-mm-dd hh:mm"),INDEX(상세표[블록종료],$P1084)&amp;""))</f>
        <v/>
      </c>
      <c r="G1084">
        <f>IF($P1084="","",CHOOSE(WEEKDAY(INDEX(상세표[시작],$P1084)),"일","월","화","수","목","금","토"))</f>
        <v/>
      </c>
      <c r="H1084">
        <f>IF($P1084="","",INDEX(상세표[연속 시간],$P1084))</f>
        <v/>
      </c>
      <c r="I1084">
        <f>IF($P1084="","",INDEX(상세표[기록 수],$P1084))</f>
        <v/>
      </c>
      <c r="J1084">
        <f>IF($P1084="","",INDEX(상세표[블록 06~07시],$P1084))</f>
        <v/>
      </c>
      <c r="K1084">
        <f>IF($P1084="","",INDEX(상세표[블록 07~18시],$P1084))</f>
        <v/>
      </c>
      <c r="L1084">
        <f>IF($P1084="","",INDEX(상세표[블록 18~22시],$P1084))</f>
        <v/>
      </c>
      <c r="M1084">
        <f>IF($P1084="","",INDEX(상세표[블록 22~06시],$P1084))</f>
        <v/>
      </c>
      <c r="N1084">
        <f>IF($P1084="","",INDEX(상세표[주말·휴일 포함],$P1084)&amp;"")</f>
        <v/>
      </c>
      <c r="O1084">
        <f>IF($P1084="","",INDEX(상세표[월 넘김 포함],$P1084)&amp;"")</f>
        <v/>
      </c>
      <c r="P1084" s="4">
        <f>IFERROR(MATCH(1079,상세표[연속순번],0),"")</f>
        <v/>
      </c>
    </row>
    <row r="1085">
      <c r="A1085">
        <f>IF($P1085="","",INDEX(상세표[사번],$P1085)&amp;"")</f>
        <v/>
      </c>
      <c r="B1085">
        <f>IF($P1085="","",INDEX(상세표[성명],$P1085)&amp;"")</f>
        <v/>
      </c>
      <c r="C1085">
        <f>IF($P1085="","",INDEX(상세표[부서],$P1085)&amp;"")</f>
        <v/>
      </c>
      <c r="D1085">
        <f>IF($P1085="","",INDEX(상세표[직위],$P1085)&amp;"")</f>
        <v/>
      </c>
      <c r="E1085">
        <f>IF($P1085="","",IF(ISNUMBER(INDEX(상세표[시작],$P1085)),TEXT(INDEX(상세표[시작],$P1085),"yyyy-mm-dd hh:mm"),INDEX(상세표[시작],$P1085)&amp;""))</f>
        <v/>
      </c>
      <c r="F1085">
        <f>IF($P1085="","",IF(ISNUMBER(INDEX(상세표[블록종료],$P1085)),TEXT(INDEX(상세표[블록종료],$P1085),"yyyy-mm-dd hh:mm"),INDEX(상세표[블록종료],$P1085)&amp;""))</f>
        <v/>
      </c>
      <c r="G1085">
        <f>IF($P1085="","",CHOOSE(WEEKDAY(INDEX(상세표[시작],$P1085)),"일","월","화","수","목","금","토"))</f>
        <v/>
      </c>
      <c r="H1085">
        <f>IF($P1085="","",INDEX(상세표[연속 시간],$P1085))</f>
        <v/>
      </c>
      <c r="I1085">
        <f>IF($P1085="","",INDEX(상세표[기록 수],$P1085))</f>
        <v/>
      </c>
      <c r="J1085">
        <f>IF($P1085="","",INDEX(상세표[블록 06~07시],$P1085))</f>
        <v/>
      </c>
      <c r="K1085">
        <f>IF($P1085="","",INDEX(상세표[블록 07~18시],$P1085))</f>
        <v/>
      </c>
      <c r="L1085">
        <f>IF($P1085="","",INDEX(상세표[블록 18~22시],$P1085))</f>
        <v/>
      </c>
      <c r="M1085">
        <f>IF($P1085="","",INDEX(상세표[블록 22~06시],$P1085))</f>
        <v/>
      </c>
      <c r="N1085">
        <f>IF($P1085="","",INDEX(상세표[주말·휴일 포함],$P1085)&amp;"")</f>
        <v/>
      </c>
      <c r="O1085">
        <f>IF($P1085="","",INDEX(상세표[월 넘김 포함],$P1085)&amp;"")</f>
        <v/>
      </c>
      <c r="P1085" s="4">
        <f>IFERROR(MATCH(1080,상세표[연속순번],0),"")</f>
        <v/>
      </c>
    </row>
    <row r="1086">
      <c r="A1086">
        <f>IF($P1086="","",INDEX(상세표[사번],$P1086)&amp;"")</f>
        <v/>
      </c>
      <c r="B1086">
        <f>IF($P1086="","",INDEX(상세표[성명],$P1086)&amp;"")</f>
        <v/>
      </c>
      <c r="C1086">
        <f>IF($P1086="","",INDEX(상세표[부서],$P1086)&amp;"")</f>
        <v/>
      </c>
      <c r="D1086">
        <f>IF($P1086="","",INDEX(상세표[직위],$P1086)&amp;"")</f>
        <v/>
      </c>
      <c r="E1086">
        <f>IF($P1086="","",IF(ISNUMBER(INDEX(상세표[시작],$P1086)),TEXT(INDEX(상세표[시작],$P1086),"yyyy-mm-dd hh:mm"),INDEX(상세표[시작],$P1086)&amp;""))</f>
        <v/>
      </c>
      <c r="F1086">
        <f>IF($P1086="","",IF(ISNUMBER(INDEX(상세표[블록종료],$P1086)),TEXT(INDEX(상세표[블록종료],$P1086),"yyyy-mm-dd hh:mm"),INDEX(상세표[블록종료],$P1086)&amp;""))</f>
        <v/>
      </c>
      <c r="G1086">
        <f>IF($P1086="","",CHOOSE(WEEKDAY(INDEX(상세표[시작],$P1086)),"일","월","화","수","목","금","토"))</f>
        <v/>
      </c>
      <c r="H1086">
        <f>IF($P1086="","",INDEX(상세표[연속 시간],$P1086))</f>
        <v/>
      </c>
      <c r="I1086">
        <f>IF($P1086="","",INDEX(상세표[기록 수],$P1086))</f>
        <v/>
      </c>
      <c r="J1086">
        <f>IF($P1086="","",INDEX(상세표[블록 06~07시],$P1086))</f>
        <v/>
      </c>
      <c r="K1086">
        <f>IF($P1086="","",INDEX(상세표[블록 07~18시],$P1086))</f>
        <v/>
      </c>
      <c r="L1086">
        <f>IF($P1086="","",INDEX(상세표[블록 18~22시],$P1086))</f>
        <v/>
      </c>
      <c r="M1086">
        <f>IF($P1086="","",INDEX(상세표[블록 22~06시],$P1086))</f>
        <v/>
      </c>
      <c r="N1086">
        <f>IF($P1086="","",INDEX(상세표[주말·휴일 포함],$P1086)&amp;"")</f>
        <v/>
      </c>
      <c r="O1086">
        <f>IF($P1086="","",INDEX(상세표[월 넘김 포함],$P1086)&amp;"")</f>
        <v/>
      </c>
      <c r="P1086" s="4">
        <f>IFERROR(MATCH(1081,상세표[연속순번],0),"")</f>
        <v/>
      </c>
    </row>
    <row r="1087">
      <c r="A1087">
        <f>IF($P1087="","",INDEX(상세표[사번],$P1087)&amp;"")</f>
        <v/>
      </c>
      <c r="B1087">
        <f>IF($P1087="","",INDEX(상세표[성명],$P1087)&amp;"")</f>
        <v/>
      </c>
      <c r="C1087">
        <f>IF($P1087="","",INDEX(상세표[부서],$P1087)&amp;"")</f>
        <v/>
      </c>
      <c r="D1087">
        <f>IF($P1087="","",INDEX(상세표[직위],$P1087)&amp;"")</f>
        <v/>
      </c>
      <c r="E1087">
        <f>IF($P1087="","",IF(ISNUMBER(INDEX(상세표[시작],$P1087)),TEXT(INDEX(상세표[시작],$P1087),"yyyy-mm-dd hh:mm"),INDEX(상세표[시작],$P1087)&amp;""))</f>
        <v/>
      </c>
      <c r="F1087">
        <f>IF($P1087="","",IF(ISNUMBER(INDEX(상세표[블록종료],$P1087)),TEXT(INDEX(상세표[블록종료],$P1087),"yyyy-mm-dd hh:mm"),INDEX(상세표[블록종료],$P1087)&amp;""))</f>
        <v/>
      </c>
      <c r="G1087">
        <f>IF($P1087="","",CHOOSE(WEEKDAY(INDEX(상세표[시작],$P1087)),"일","월","화","수","목","금","토"))</f>
        <v/>
      </c>
      <c r="H1087">
        <f>IF($P1087="","",INDEX(상세표[연속 시간],$P1087))</f>
        <v/>
      </c>
      <c r="I1087">
        <f>IF($P1087="","",INDEX(상세표[기록 수],$P1087))</f>
        <v/>
      </c>
      <c r="J1087">
        <f>IF($P1087="","",INDEX(상세표[블록 06~07시],$P1087))</f>
        <v/>
      </c>
      <c r="K1087">
        <f>IF($P1087="","",INDEX(상세표[블록 07~18시],$P1087))</f>
        <v/>
      </c>
      <c r="L1087">
        <f>IF($P1087="","",INDEX(상세표[블록 18~22시],$P1087))</f>
        <v/>
      </c>
      <c r="M1087">
        <f>IF($P1087="","",INDEX(상세표[블록 22~06시],$P1087))</f>
        <v/>
      </c>
      <c r="N1087">
        <f>IF($P1087="","",INDEX(상세표[주말·휴일 포함],$P1087)&amp;"")</f>
        <v/>
      </c>
      <c r="O1087">
        <f>IF($P1087="","",INDEX(상세표[월 넘김 포함],$P1087)&amp;"")</f>
        <v/>
      </c>
      <c r="P1087" s="4">
        <f>IFERROR(MATCH(1082,상세표[연속순번],0),"")</f>
        <v/>
      </c>
    </row>
    <row r="1088">
      <c r="A1088">
        <f>IF($P1088="","",INDEX(상세표[사번],$P1088)&amp;"")</f>
        <v/>
      </c>
      <c r="B1088">
        <f>IF($P1088="","",INDEX(상세표[성명],$P1088)&amp;"")</f>
        <v/>
      </c>
      <c r="C1088">
        <f>IF($P1088="","",INDEX(상세표[부서],$P1088)&amp;"")</f>
        <v/>
      </c>
      <c r="D1088">
        <f>IF($P1088="","",INDEX(상세표[직위],$P1088)&amp;"")</f>
        <v/>
      </c>
      <c r="E1088">
        <f>IF($P1088="","",IF(ISNUMBER(INDEX(상세표[시작],$P1088)),TEXT(INDEX(상세표[시작],$P1088),"yyyy-mm-dd hh:mm"),INDEX(상세표[시작],$P1088)&amp;""))</f>
        <v/>
      </c>
      <c r="F1088">
        <f>IF($P1088="","",IF(ISNUMBER(INDEX(상세표[블록종료],$P1088)),TEXT(INDEX(상세표[블록종료],$P1088),"yyyy-mm-dd hh:mm"),INDEX(상세표[블록종료],$P1088)&amp;""))</f>
        <v/>
      </c>
      <c r="G1088">
        <f>IF($P1088="","",CHOOSE(WEEKDAY(INDEX(상세표[시작],$P1088)),"일","월","화","수","목","금","토"))</f>
        <v/>
      </c>
      <c r="H1088">
        <f>IF($P1088="","",INDEX(상세표[연속 시간],$P1088))</f>
        <v/>
      </c>
      <c r="I1088">
        <f>IF($P1088="","",INDEX(상세표[기록 수],$P1088))</f>
        <v/>
      </c>
      <c r="J1088">
        <f>IF($P1088="","",INDEX(상세표[블록 06~07시],$P1088))</f>
        <v/>
      </c>
      <c r="K1088">
        <f>IF($P1088="","",INDEX(상세표[블록 07~18시],$P1088))</f>
        <v/>
      </c>
      <c r="L1088">
        <f>IF($P1088="","",INDEX(상세표[블록 18~22시],$P1088))</f>
        <v/>
      </c>
      <c r="M1088">
        <f>IF($P1088="","",INDEX(상세표[블록 22~06시],$P1088))</f>
        <v/>
      </c>
      <c r="N1088">
        <f>IF($P1088="","",INDEX(상세표[주말·휴일 포함],$P1088)&amp;"")</f>
        <v/>
      </c>
      <c r="O1088">
        <f>IF($P1088="","",INDEX(상세표[월 넘김 포함],$P1088)&amp;"")</f>
        <v/>
      </c>
      <c r="P1088" s="4">
        <f>IFERROR(MATCH(1083,상세표[연속순번],0),"")</f>
        <v/>
      </c>
    </row>
    <row r="1089">
      <c r="A1089">
        <f>IF($P1089="","",INDEX(상세표[사번],$P1089)&amp;"")</f>
        <v/>
      </c>
      <c r="B1089">
        <f>IF($P1089="","",INDEX(상세표[성명],$P1089)&amp;"")</f>
        <v/>
      </c>
      <c r="C1089">
        <f>IF($P1089="","",INDEX(상세표[부서],$P1089)&amp;"")</f>
        <v/>
      </c>
      <c r="D1089">
        <f>IF($P1089="","",INDEX(상세표[직위],$P1089)&amp;"")</f>
        <v/>
      </c>
      <c r="E1089">
        <f>IF($P1089="","",IF(ISNUMBER(INDEX(상세표[시작],$P1089)),TEXT(INDEX(상세표[시작],$P1089),"yyyy-mm-dd hh:mm"),INDEX(상세표[시작],$P1089)&amp;""))</f>
        <v/>
      </c>
      <c r="F1089">
        <f>IF($P1089="","",IF(ISNUMBER(INDEX(상세표[블록종료],$P1089)),TEXT(INDEX(상세표[블록종료],$P1089),"yyyy-mm-dd hh:mm"),INDEX(상세표[블록종료],$P1089)&amp;""))</f>
        <v/>
      </c>
      <c r="G1089">
        <f>IF($P1089="","",CHOOSE(WEEKDAY(INDEX(상세표[시작],$P1089)),"일","월","화","수","목","금","토"))</f>
        <v/>
      </c>
      <c r="H1089">
        <f>IF($P1089="","",INDEX(상세표[연속 시간],$P1089))</f>
        <v/>
      </c>
      <c r="I1089">
        <f>IF($P1089="","",INDEX(상세표[기록 수],$P1089))</f>
        <v/>
      </c>
      <c r="J1089">
        <f>IF($P1089="","",INDEX(상세표[블록 06~07시],$P1089))</f>
        <v/>
      </c>
      <c r="K1089">
        <f>IF($P1089="","",INDEX(상세표[블록 07~18시],$P1089))</f>
        <v/>
      </c>
      <c r="L1089">
        <f>IF($P1089="","",INDEX(상세표[블록 18~22시],$P1089))</f>
        <v/>
      </c>
      <c r="M1089">
        <f>IF($P1089="","",INDEX(상세표[블록 22~06시],$P1089))</f>
        <v/>
      </c>
      <c r="N1089">
        <f>IF($P1089="","",INDEX(상세표[주말·휴일 포함],$P1089)&amp;"")</f>
        <v/>
      </c>
      <c r="O1089">
        <f>IF($P1089="","",INDEX(상세표[월 넘김 포함],$P1089)&amp;"")</f>
        <v/>
      </c>
      <c r="P1089" s="4">
        <f>IFERROR(MATCH(1084,상세표[연속순번],0),"")</f>
        <v/>
      </c>
    </row>
    <row r="1090">
      <c r="A1090">
        <f>IF($P1090="","",INDEX(상세표[사번],$P1090)&amp;"")</f>
        <v/>
      </c>
      <c r="B1090">
        <f>IF($P1090="","",INDEX(상세표[성명],$P1090)&amp;"")</f>
        <v/>
      </c>
      <c r="C1090">
        <f>IF($P1090="","",INDEX(상세표[부서],$P1090)&amp;"")</f>
        <v/>
      </c>
      <c r="D1090">
        <f>IF($P1090="","",INDEX(상세표[직위],$P1090)&amp;"")</f>
        <v/>
      </c>
      <c r="E1090">
        <f>IF($P1090="","",IF(ISNUMBER(INDEX(상세표[시작],$P1090)),TEXT(INDEX(상세표[시작],$P1090),"yyyy-mm-dd hh:mm"),INDEX(상세표[시작],$P1090)&amp;""))</f>
        <v/>
      </c>
      <c r="F1090">
        <f>IF($P1090="","",IF(ISNUMBER(INDEX(상세표[블록종료],$P1090)),TEXT(INDEX(상세표[블록종료],$P1090),"yyyy-mm-dd hh:mm"),INDEX(상세표[블록종료],$P1090)&amp;""))</f>
        <v/>
      </c>
      <c r="G1090">
        <f>IF($P1090="","",CHOOSE(WEEKDAY(INDEX(상세표[시작],$P1090)),"일","월","화","수","목","금","토"))</f>
        <v/>
      </c>
      <c r="H1090">
        <f>IF($P1090="","",INDEX(상세표[연속 시간],$P1090))</f>
        <v/>
      </c>
      <c r="I1090">
        <f>IF($P1090="","",INDEX(상세표[기록 수],$P1090))</f>
        <v/>
      </c>
      <c r="J1090">
        <f>IF($P1090="","",INDEX(상세표[블록 06~07시],$P1090))</f>
        <v/>
      </c>
      <c r="K1090">
        <f>IF($P1090="","",INDEX(상세표[블록 07~18시],$P1090))</f>
        <v/>
      </c>
      <c r="L1090">
        <f>IF($P1090="","",INDEX(상세표[블록 18~22시],$P1090))</f>
        <v/>
      </c>
      <c r="M1090">
        <f>IF($P1090="","",INDEX(상세표[블록 22~06시],$P1090))</f>
        <v/>
      </c>
      <c r="N1090">
        <f>IF($P1090="","",INDEX(상세표[주말·휴일 포함],$P1090)&amp;"")</f>
        <v/>
      </c>
      <c r="O1090">
        <f>IF($P1090="","",INDEX(상세표[월 넘김 포함],$P1090)&amp;"")</f>
        <v/>
      </c>
      <c r="P1090" s="4">
        <f>IFERROR(MATCH(1085,상세표[연속순번],0),"")</f>
        <v/>
      </c>
    </row>
    <row r="1091">
      <c r="A1091">
        <f>IF($P1091="","",INDEX(상세표[사번],$P1091)&amp;"")</f>
        <v/>
      </c>
      <c r="B1091">
        <f>IF($P1091="","",INDEX(상세표[성명],$P1091)&amp;"")</f>
        <v/>
      </c>
      <c r="C1091">
        <f>IF($P1091="","",INDEX(상세표[부서],$P1091)&amp;"")</f>
        <v/>
      </c>
      <c r="D1091">
        <f>IF($P1091="","",INDEX(상세표[직위],$P1091)&amp;"")</f>
        <v/>
      </c>
      <c r="E1091">
        <f>IF($P1091="","",IF(ISNUMBER(INDEX(상세표[시작],$P1091)),TEXT(INDEX(상세표[시작],$P1091),"yyyy-mm-dd hh:mm"),INDEX(상세표[시작],$P1091)&amp;""))</f>
        <v/>
      </c>
      <c r="F1091">
        <f>IF($P1091="","",IF(ISNUMBER(INDEX(상세표[블록종료],$P1091)),TEXT(INDEX(상세표[블록종료],$P1091),"yyyy-mm-dd hh:mm"),INDEX(상세표[블록종료],$P1091)&amp;""))</f>
        <v/>
      </c>
      <c r="G1091">
        <f>IF($P1091="","",CHOOSE(WEEKDAY(INDEX(상세표[시작],$P1091)),"일","월","화","수","목","금","토"))</f>
        <v/>
      </c>
      <c r="H1091">
        <f>IF($P1091="","",INDEX(상세표[연속 시간],$P1091))</f>
        <v/>
      </c>
      <c r="I1091">
        <f>IF($P1091="","",INDEX(상세표[기록 수],$P1091))</f>
        <v/>
      </c>
      <c r="J1091">
        <f>IF($P1091="","",INDEX(상세표[블록 06~07시],$P1091))</f>
        <v/>
      </c>
      <c r="K1091">
        <f>IF($P1091="","",INDEX(상세표[블록 07~18시],$P1091))</f>
        <v/>
      </c>
      <c r="L1091">
        <f>IF($P1091="","",INDEX(상세표[블록 18~22시],$P1091))</f>
        <v/>
      </c>
      <c r="M1091">
        <f>IF($P1091="","",INDEX(상세표[블록 22~06시],$P1091))</f>
        <v/>
      </c>
      <c r="N1091">
        <f>IF($P1091="","",INDEX(상세표[주말·휴일 포함],$P1091)&amp;"")</f>
        <v/>
      </c>
      <c r="O1091">
        <f>IF($P1091="","",INDEX(상세표[월 넘김 포함],$P1091)&amp;"")</f>
        <v/>
      </c>
      <c r="P1091" s="4">
        <f>IFERROR(MATCH(1086,상세표[연속순번],0),"")</f>
        <v/>
      </c>
    </row>
    <row r="1092">
      <c r="A1092">
        <f>IF($P1092="","",INDEX(상세표[사번],$P1092)&amp;"")</f>
        <v/>
      </c>
      <c r="B1092">
        <f>IF($P1092="","",INDEX(상세표[성명],$P1092)&amp;"")</f>
        <v/>
      </c>
      <c r="C1092">
        <f>IF($P1092="","",INDEX(상세표[부서],$P1092)&amp;"")</f>
        <v/>
      </c>
      <c r="D1092">
        <f>IF($P1092="","",INDEX(상세표[직위],$P1092)&amp;"")</f>
        <v/>
      </c>
      <c r="E1092">
        <f>IF($P1092="","",IF(ISNUMBER(INDEX(상세표[시작],$P1092)),TEXT(INDEX(상세표[시작],$P1092),"yyyy-mm-dd hh:mm"),INDEX(상세표[시작],$P1092)&amp;""))</f>
        <v/>
      </c>
      <c r="F1092">
        <f>IF($P1092="","",IF(ISNUMBER(INDEX(상세표[블록종료],$P1092)),TEXT(INDEX(상세표[블록종료],$P1092),"yyyy-mm-dd hh:mm"),INDEX(상세표[블록종료],$P1092)&amp;""))</f>
        <v/>
      </c>
      <c r="G1092">
        <f>IF($P1092="","",CHOOSE(WEEKDAY(INDEX(상세표[시작],$P1092)),"일","월","화","수","목","금","토"))</f>
        <v/>
      </c>
      <c r="H1092">
        <f>IF($P1092="","",INDEX(상세표[연속 시간],$P1092))</f>
        <v/>
      </c>
      <c r="I1092">
        <f>IF($P1092="","",INDEX(상세표[기록 수],$P1092))</f>
        <v/>
      </c>
      <c r="J1092">
        <f>IF($P1092="","",INDEX(상세표[블록 06~07시],$P1092))</f>
        <v/>
      </c>
      <c r="K1092">
        <f>IF($P1092="","",INDEX(상세표[블록 07~18시],$P1092))</f>
        <v/>
      </c>
      <c r="L1092">
        <f>IF($P1092="","",INDEX(상세표[블록 18~22시],$P1092))</f>
        <v/>
      </c>
      <c r="M1092">
        <f>IF($P1092="","",INDEX(상세표[블록 22~06시],$P1092))</f>
        <v/>
      </c>
      <c r="N1092">
        <f>IF($P1092="","",INDEX(상세표[주말·휴일 포함],$P1092)&amp;"")</f>
        <v/>
      </c>
      <c r="O1092">
        <f>IF($P1092="","",INDEX(상세표[월 넘김 포함],$P1092)&amp;"")</f>
        <v/>
      </c>
      <c r="P1092" s="4">
        <f>IFERROR(MATCH(1087,상세표[연속순번],0),"")</f>
        <v/>
      </c>
    </row>
    <row r="1093">
      <c r="A1093">
        <f>IF($P1093="","",INDEX(상세표[사번],$P1093)&amp;"")</f>
        <v/>
      </c>
      <c r="B1093">
        <f>IF($P1093="","",INDEX(상세표[성명],$P1093)&amp;"")</f>
        <v/>
      </c>
      <c r="C1093">
        <f>IF($P1093="","",INDEX(상세표[부서],$P1093)&amp;"")</f>
        <v/>
      </c>
      <c r="D1093">
        <f>IF($P1093="","",INDEX(상세표[직위],$P1093)&amp;"")</f>
        <v/>
      </c>
      <c r="E1093">
        <f>IF($P1093="","",IF(ISNUMBER(INDEX(상세표[시작],$P1093)),TEXT(INDEX(상세표[시작],$P1093),"yyyy-mm-dd hh:mm"),INDEX(상세표[시작],$P1093)&amp;""))</f>
        <v/>
      </c>
      <c r="F1093">
        <f>IF($P1093="","",IF(ISNUMBER(INDEX(상세표[블록종료],$P1093)),TEXT(INDEX(상세표[블록종료],$P1093),"yyyy-mm-dd hh:mm"),INDEX(상세표[블록종료],$P1093)&amp;""))</f>
        <v/>
      </c>
      <c r="G1093">
        <f>IF($P1093="","",CHOOSE(WEEKDAY(INDEX(상세표[시작],$P1093)),"일","월","화","수","목","금","토"))</f>
        <v/>
      </c>
      <c r="H1093">
        <f>IF($P1093="","",INDEX(상세표[연속 시간],$P1093))</f>
        <v/>
      </c>
      <c r="I1093">
        <f>IF($P1093="","",INDEX(상세표[기록 수],$P1093))</f>
        <v/>
      </c>
      <c r="J1093">
        <f>IF($P1093="","",INDEX(상세표[블록 06~07시],$P1093))</f>
        <v/>
      </c>
      <c r="K1093">
        <f>IF($P1093="","",INDEX(상세표[블록 07~18시],$P1093))</f>
        <v/>
      </c>
      <c r="L1093">
        <f>IF($P1093="","",INDEX(상세표[블록 18~22시],$P1093))</f>
        <v/>
      </c>
      <c r="M1093">
        <f>IF($P1093="","",INDEX(상세표[블록 22~06시],$P1093))</f>
        <v/>
      </c>
      <c r="N1093">
        <f>IF($P1093="","",INDEX(상세표[주말·휴일 포함],$P1093)&amp;"")</f>
        <v/>
      </c>
      <c r="O1093">
        <f>IF($P1093="","",INDEX(상세표[월 넘김 포함],$P1093)&amp;"")</f>
        <v/>
      </c>
      <c r="P1093" s="4">
        <f>IFERROR(MATCH(1088,상세표[연속순번],0),"")</f>
        <v/>
      </c>
    </row>
    <row r="1094">
      <c r="A1094">
        <f>IF($P1094="","",INDEX(상세표[사번],$P1094)&amp;"")</f>
        <v/>
      </c>
      <c r="B1094">
        <f>IF($P1094="","",INDEX(상세표[성명],$P1094)&amp;"")</f>
        <v/>
      </c>
      <c r="C1094">
        <f>IF($P1094="","",INDEX(상세표[부서],$P1094)&amp;"")</f>
        <v/>
      </c>
      <c r="D1094">
        <f>IF($P1094="","",INDEX(상세표[직위],$P1094)&amp;"")</f>
        <v/>
      </c>
      <c r="E1094">
        <f>IF($P1094="","",IF(ISNUMBER(INDEX(상세표[시작],$P1094)),TEXT(INDEX(상세표[시작],$P1094),"yyyy-mm-dd hh:mm"),INDEX(상세표[시작],$P1094)&amp;""))</f>
        <v/>
      </c>
      <c r="F1094">
        <f>IF($P1094="","",IF(ISNUMBER(INDEX(상세표[블록종료],$P1094)),TEXT(INDEX(상세표[블록종료],$P1094),"yyyy-mm-dd hh:mm"),INDEX(상세표[블록종료],$P1094)&amp;""))</f>
        <v/>
      </c>
      <c r="G1094">
        <f>IF($P1094="","",CHOOSE(WEEKDAY(INDEX(상세표[시작],$P1094)),"일","월","화","수","목","금","토"))</f>
        <v/>
      </c>
      <c r="H1094">
        <f>IF($P1094="","",INDEX(상세표[연속 시간],$P1094))</f>
        <v/>
      </c>
      <c r="I1094">
        <f>IF($P1094="","",INDEX(상세표[기록 수],$P1094))</f>
        <v/>
      </c>
      <c r="J1094">
        <f>IF($P1094="","",INDEX(상세표[블록 06~07시],$P1094))</f>
        <v/>
      </c>
      <c r="K1094">
        <f>IF($P1094="","",INDEX(상세표[블록 07~18시],$P1094))</f>
        <v/>
      </c>
      <c r="L1094">
        <f>IF($P1094="","",INDEX(상세표[블록 18~22시],$P1094))</f>
        <v/>
      </c>
      <c r="M1094">
        <f>IF($P1094="","",INDEX(상세표[블록 22~06시],$P1094))</f>
        <v/>
      </c>
      <c r="N1094">
        <f>IF($P1094="","",INDEX(상세표[주말·휴일 포함],$P1094)&amp;"")</f>
        <v/>
      </c>
      <c r="O1094">
        <f>IF($P1094="","",INDEX(상세표[월 넘김 포함],$P1094)&amp;"")</f>
        <v/>
      </c>
      <c r="P1094" s="4">
        <f>IFERROR(MATCH(1089,상세표[연속순번],0),"")</f>
        <v/>
      </c>
    </row>
    <row r="1095">
      <c r="A1095">
        <f>IF($P1095="","",INDEX(상세표[사번],$P1095)&amp;"")</f>
        <v/>
      </c>
      <c r="B1095">
        <f>IF($P1095="","",INDEX(상세표[성명],$P1095)&amp;"")</f>
        <v/>
      </c>
      <c r="C1095">
        <f>IF($P1095="","",INDEX(상세표[부서],$P1095)&amp;"")</f>
        <v/>
      </c>
      <c r="D1095">
        <f>IF($P1095="","",INDEX(상세표[직위],$P1095)&amp;"")</f>
        <v/>
      </c>
      <c r="E1095">
        <f>IF($P1095="","",IF(ISNUMBER(INDEX(상세표[시작],$P1095)),TEXT(INDEX(상세표[시작],$P1095),"yyyy-mm-dd hh:mm"),INDEX(상세표[시작],$P1095)&amp;""))</f>
        <v/>
      </c>
      <c r="F1095">
        <f>IF($P1095="","",IF(ISNUMBER(INDEX(상세표[블록종료],$P1095)),TEXT(INDEX(상세표[블록종료],$P1095),"yyyy-mm-dd hh:mm"),INDEX(상세표[블록종료],$P1095)&amp;""))</f>
        <v/>
      </c>
      <c r="G1095">
        <f>IF($P1095="","",CHOOSE(WEEKDAY(INDEX(상세표[시작],$P1095)),"일","월","화","수","목","금","토"))</f>
        <v/>
      </c>
      <c r="H1095">
        <f>IF($P1095="","",INDEX(상세표[연속 시간],$P1095))</f>
        <v/>
      </c>
      <c r="I1095">
        <f>IF($P1095="","",INDEX(상세표[기록 수],$P1095))</f>
        <v/>
      </c>
      <c r="J1095">
        <f>IF($P1095="","",INDEX(상세표[블록 06~07시],$P1095))</f>
        <v/>
      </c>
      <c r="K1095">
        <f>IF($P1095="","",INDEX(상세표[블록 07~18시],$P1095))</f>
        <v/>
      </c>
      <c r="L1095">
        <f>IF($P1095="","",INDEX(상세표[블록 18~22시],$P1095))</f>
        <v/>
      </c>
      <c r="M1095">
        <f>IF($P1095="","",INDEX(상세표[블록 22~06시],$P1095))</f>
        <v/>
      </c>
      <c r="N1095">
        <f>IF($P1095="","",INDEX(상세표[주말·휴일 포함],$P1095)&amp;"")</f>
        <v/>
      </c>
      <c r="O1095">
        <f>IF($P1095="","",INDEX(상세표[월 넘김 포함],$P1095)&amp;"")</f>
        <v/>
      </c>
      <c r="P1095" s="4">
        <f>IFERROR(MATCH(1090,상세표[연속순번],0),"")</f>
        <v/>
      </c>
    </row>
    <row r="1096">
      <c r="A1096">
        <f>IF($P1096="","",INDEX(상세표[사번],$P1096)&amp;"")</f>
        <v/>
      </c>
      <c r="B1096">
        <f>IF($P1096="","",INDEX(상세표[성명],$P1096)&amp;"")</f>
        <v/>
      </c>
      <c r="C1096">
        <f>IF($P1096="","",INDEX(상세표[부서],$P1096)&amp;"")</f>
        <v/>
      </c>
      <c r="D1096">
        <f>IF($P1096="","",INDEX(상세표[직위],$P1096)&amp;"")</f>
        <v/>
      </c>
      <c r="E1096">
        <f>IF($P1096="","",IF(ISNUMBER(INDEX(상세표[시작],$P1096)),TEXT(INDEX(상세표[시작],$P1096),"yyyy-mm-dd hh:mm"),INDEX(상세표[시작],$P1096)&amp;""))</f>
        <v/>
      </c>
      <c r="F1096">
        <f>IF($P1096="","",IF(ISNUMBER(INDEX(상세표[블록종료],$P1096)),TEXT(INDEX(상세표[블록종료],$P1096),"yyyy-mm-dd hh:mm"),INDEX(상세표[블록종료],$P1096)&amp;""))</f>
        <v/>
      </c>
      <c r="G1096">
        <f>IF($P1096="","",CHOOSE(WEEKDAY(INDEX(상세표[시작],$P1096)),"일","월","화","수","목","금","토"))</f>
        <v/>
      </c>
      <c r="H1096">
        <f>IF($P1096="","",INDEX(상세표[연속 시간],$P1096))</f>
        <v/>
      </c>
      <c r="I1096">
        <f>IF($P1096="","",INDEX(상세표[기록 수],$P1096))</f>
        <v/>
      </c>
      <c r="J1096">
        <f>IF($P1096="","",INDEX(상세표[블록 06~07시],$P1096))</f>
        <v/>
      </c>
      <c r="K1096">
        <f>IF($P1096="","",INDEX(상세표[블록 07~18시],$P1096))</f>
        <v/>
      </c>
      <c r="L1096">
        <f>IF($P1096="","",INDEX(상세표[블록 18~22시],$P1096))</f>
        <v/>
      </c>
      <c r="M1096">
        <f>IF($P1096="","",INDEX(상세표[블록 22~06시],$P1096))</f>
        <v/>
      </c>
      <c r="N1096">
        <f>IF($P1096="","",INDEX(상세표[주말·휴일 포함],$P1096)&amp;"")</f>
        <v/>
      </c>
      <c r="O1096">
        <f>IF($P1096="","",INDEX(상세표[월 넘김 포함],$P1096)&amp;"")</f>
        <v/>
      </c>
      <c r="P1096" s="4">
        <f>IFERROR(MATCH(1091,상세표[연속순번],0),"")</f>
        <v/>
      </c>
    </row>
    <row r="1097">
      <c r="A1097">
        <f>IF($P1097="","",INDEX(상세표[사번],$P1097)&amp;"")</f>
        <v/>
      </c>
      <c r="B1097">
        <f>IF($P1097="","",INDEX(상세표[성명],$P1097)&amp;"")</f>
        <v/>
      </c>
      <c r="C1097">
        <f>IF($P1097="","",INDEX(상세표[부서],$P1097)&amp;"")</f>
        <v/>
      </c>
      <c r="D1097">
        <f>IF($P1097="","",INDEX(상세표[직위],$P1097)&amp;"")</f>
        <v/>
      </c>
      <c r="E1097">
        <f>IF($P1097="","",IF(ISNUMBER(INDEX(상세표[시작],$P1097)),TEXT(INDEX(상세표[시작],$P1097),"yyyy-mm-dd hh:mm"),INDEX(상세표[시작],$P1097)&amp;""))</f>
        <v/>
      </c>
      <c r="F1097">
        <f>IF($P1097="","",IF(ISNUMBER(INDEX(상세표[블록종료],$P1097)),TEXT(INDEX(상세표[블록종료],$P1097),"yyyy-mm-dd hh:mm"),INDEX(상세표[블록종료],$P1097)&amp;""))</f>
        <v/>
      </c>
      <c r="G1097">
        <f>IF($P1097="","",CHOOSE(WEEKDAY(INDEX(상세표[시작],$P1097)),"일","월","화","수","목","금","토"))</f>
        <v/>
      </c>
      <c r="H1097">
        <f>IF($P1097="","",INDEX(상세표[연속 시간],$P1097))</f>
        <v/>
      </c>
      <c r="I1097">
        <f>IF($P1097="","",INDEX(상세표[기록 수],$P1097))</f>
        <v/>
      </c>
      <c r="J1097">
        <f>IF($P1097="","",INDEX(상세표[블록 06~07시],$P1097))</f>
        <v/>
      </c>
      <c r="K1097">
        <f>IF($P1097="","",INDEX(상세표[블록 07~18시],$P1097))</f>
        <v/>
      </c>
      <c r="L1097">
        <f>IF($P1097="","",INDEX(상세표[블록 18~22시],$P1097))</f>
        <v/>
      </c>
      <c r="M1097">
        <f>IF($P1097="","",INDEX(상세표[블록 22~06시],$P1097))</f>
        <v/>
      </c>
      <c r="N1097">
        <f>IF($P1097="","",INDEX(상세표[주말·휴일 포함],$P1097)&amp;"")</f>
        <v/>
      </c>
      <c r="O1097">
        <f>IF($P1097="","",INDEX(상세표[월 넘김 포함],$P1097)&amp;"")</f>
        <v/>
      </c>
      <c r="P1097" s="4">
        <f>IFERROR(MATCH(1092,상세표[연속순번],0),"")</f>
        <v/>
      </c>
    </row>
    <row r="1098">
      <c r="A1098">
        <f>IF($P1098="","",INDEX(상세표[사번],$P1098)&amp;"")</f>
        <v/>
      </c>
      <c r="B1098">
        <f>IF($P1098="","",INDEX(상세표[성명],$P1098)&amp;"")</f>
        <v/>
      </c>
      <c r="C1098">
        <f>IF($P1098="","",INDEX(상세표[부서],$P1098)&amp;"")</f>
        <v/>
      </c>
      <c r="D1098">
        <f>IF($P1098="","",INDEX(상세표[직위],$P1098)&amp;"")</f>
        <v/>
      </c>
      <c r="E1098">
        <f>IF($P1098="","",IF(ISNUMBER(INDEX(상세표[시작],$P1098)),TEXT(INDEX(상세표[시작],$P1098),"yyyy-mm-dd hh:mm"),INDEX(상세표[시작],$P1098)&amp;""))</f>
        <v/>
      </c>
      <c r="F1098">
        <f>IF($P1098="","",IF(ISNUMBER(INDEX(상세표[블록종료],$P1098)),TEXT(INDEX(상세표[블록종료],$P1098),"yyyy-mm-dd hh:mm"),INDEX(상세표[블록종료],$P1098)&amp;""))</f>
        <v/>
      </c>
      <c r="G1098">
        <f>IF($P1098="","",CHOOSE(WEEKDAY(INDEX(상세표[시작],$P1098)),"일","월","화","수","목","금","토"))</f>
        <v/>
      </c>
      <c r="H1098">
        <f>IF($P1098="","",INDEX(상세표[연속 시간],$P1098))</f>
        <v/>
      </c>
      <c r="I1098">
        <f>IF($P1098="","",INDEX(상세표[기록 수],$P1098))</f>
        <v/>
      </c>
      <c r="J1098">
        <f>IF($P1098="","",INDEX(상세표[블록 06~07시],$P1098))</f>
        <v/>
      </c>
      <c r="K1098">
        <f>IF($P1098="","",INDEX(상세표[블록 07~18시],$P1098))</f>
        <v/>
      </c>
      <c r="L1098">
        <f>IF($P1098="","",INDEX(상세표[블록 18~22시],$P1098))</f>
        <v/>
      </c>
      <c r="M1098">
        <f>IF($P1098="","",INDEX(상세표[블록 22~06시],$P1098))</f>
        <v/>
      </c>
      <c r="N1098">
        <f>IF($P1098="","",INDEX(상세표[주말·휴일 포함],$P1098)&amp;"")</f>
        <v/>
      </c>
      <c r="O1098">
        <f>IF($P1098="","",INDEX(상세표[월 넘김 포함],$P1098)&amp;"")</f>
        <v/>
      </c>
      <c r="P1098" s="4">
        <f>IFERROR(MATCH(1093,상세표[연속순번],0),"")</f>
        <v/>
      </c>
    </row>
    <row r="1099">
      <c r="A1099">
        <f>IF($P1099="","",INDEX(상세표[사번],$P1099)&amp;"")</f>
        <v/>
      </c>
      <c r="B1099">
        <f>IF($P1099="","",INDEX(상세표[성명],$P1099)&amp;"")</f>
        <v/>
      </c>
      <c r="C1099">
        <f>IF($P1099="","",INDEX(상세표[부서],$P1099)&amp;"")</f>
        <v/>
      </c>
      <c r="D1099">
        <f>IF($P1099="","",INDEX(상세표[직위],$P1099)&amp;"")</f>
        <v/>
      </c>
      <c r="E1099">
        <f>IF($P1099="","",IF(ISNUMBER(INDEX(상세표[시작],$P1099)),TEXT(INDEX(상세표[시작],$P1099),"yyyy-mm-dd hh:mm"),INDEX(상세표[시작],$P1099)&amp;""))</f>
        <v/>
      </c>
      <c r="F1099">
        <f>IF($P1099="","",IF(ISNUMBER(INDEX(상세표[블록종료],$P1099)),TEXT(INDEX(상세표[블록종료],$P1099),"yyyy-mm-dd hh:mm"),INDEX(상세표[블록종료],$P1099)&amp;""))</f>
        <v/>
      </c>
      <c r="G1099">
        <f>IF($P1099="","",CHOOSE(WEEKDAY(INDEX(상세표[시작],$P1099)),"일","월","화","수","목","금","토"))</f>
        <v/>
      </c>
      <c r="H1099">
        <f>IF($P1099="","",INDEX(상세표[연속 시간],$P1099))</f>
        <v/>
      </c>
      <c r="I1099">
        <f>IF($P1099="","",INDEX(상세표[기록 수],$P1099))</f>
        <v/>
      </c>
      <c r="J1099">
        <f>IF($P1099="","",INDEX(상세표[블록 06~07시],$P1099))</f>
        <v/>
      </c>
      <c r="K1099">
        <f>IF($P1099="","",INDEX(상세표[블록 07~18시],$P1099))</f>
        <v/>
      </c>
      <c r="L1099">
        <f>IF($P1099="","",INDEX(상세표[블록 18~22시],$P1099))</f>
        <v/>
      </c>
      <c r="M1099">
        <f>IF($P1099="","",INDEX(상세표[블록 22~06시],$P1099))</f>
        <v/>
      </c>
      <c r="N1099">
        <f>IF($P1099="","",INDEX(상세표[주말·휴일 포함],$P1099)&amp;"")</f>
        <v/>
      </c>
      <c r="O1099">
        <f>IF($P1099="","",INDEX(상세표[월 넘김 포함],$P1099)&amp;"")</f>
        <v/>
      </c>
      <c r="P1099" s="4">
        <f>IFERROR(MATCH(1094,상세표[연속순번],0),"")</f>
        <v/>
      </c>
    </row>
    <row r="1100">
      <c r="A1100">
        <f>IF($P1100="","",INDEX(상세표[사번],$P1100)&amp;"")</f>
        <v/>
      </c>
      <c r="B1100">
        <f>IF($P1100="","",INDEX(상세표[성명],$P1100)&amp;"")</f>
        <v/>
      </c>
      <c r="C1100">
        <f>IF($P1100="","",INDEX(상세표[부서],$P1100)&amp;"")</f>
        <v/>
      </c>
      <c r="D1100">
        <f>IF($P1100="","",INDEX(상세표[직위],$P1100)&amp;"")</f>
        <v/>
      </c>
      <c r="E1100">
        <f>IF($P1100="","",IF(ISNUMBER(INDEX(상세표[시작],$P1100)),TEXT(INDEX(상세표[시작],$P1100),"yyyy-mm-dd hh:mm"),INDEX(상세표[시작],$P1100)&amp;""))</f>
        <v/>
      </c>
      <c r="F1100">
        <f>IF($P1100="","",IF(ISNUMBER(INDEX(상세표[블록종료],$P1100)),TEXT(INDEX(상세표[블록종료],$P1100),"yyyy-mm-dd hh:mm"),INDEX(상세표[블록종료],$P1100)&amp;""))</f>
        <v/>
      </c>
      <c r="G1100">
        <f>IF($P1100="","",CHOOSE(WEEKDAY(INDEX(상세표[시작],$P1100)),"일","월","화","수","목","금","토"))</f>
        <v/>
      </c>
      <c r="H1100">
        <f>IF($P1100="","",INDEX(상세표[연속 시간],$P1100))</f>
        <v/>
      </c>
      <c r="I1100">
        <f>IF($P1100="","",INDEX(상세표[기록 수],$P1100))</f>
        <v/>
      </c>
      <c r="J1100">
        <f>IF($P1100="","",INDEX(상세표[블록 06~07시],$P1100))</f>
        <v/>
      </c>
      <c r="K1100">
        <f>IF($P1100="","",INDEX(상세표[블록 07~18시],$P1100))</f>
        <v/>
      </c>
      <c r="L1100">
        <f>IF($P1100="","",INDEX(상세표[블록 18~22시],$P1100))</f>
        <v/>
      </c>
      <c r="M1100">
        <f>IF($P1100="","",INDEX(상세표[블록 22~06시],$P1100))</f>
        <v/>
      </c>
      <c r="N1100">
        <f>IF($P1100="","",INDEX(상세표[주말·휴일 포함],$P1100)&amp;"")</f>
        <v/>
      </c>
      <c r="O1100">
        <f>IF($P1100="","",INDEX(상세표[월 넘김 포함],$P1100)&amp;"")</f>
        <v/>
      </c>
      <c r="P1100" s="4">
        <f>IFERROR(MATCH(1095,상세표[연속순번],0),"")</f>
        <v/>
      </c>
    </row>
    <row r="1101">
      <c r="A1101">
        <f>IF($P1101="","",INDEX(상세표[사번],$P1101)&amp;"")</f>
        <v/>
      </c>
      <c r="B1101">
        <f>IF($P1101="","",INDEX(상세표[성명],$P1101)&amp;"")</f>
        <v/>
      </c>
      <c r="C1101">
        <f>IF($P1101="","",INDEX(상세표[부서],$P1101)&amp;"")</f>
        <v/>
      </c>
      <c r="D1101">
        <f>IF($P1101="","",INDEX(상세표[직위],$P1101)&amp;"")</f>
        <v/>
      </c>
      <c r="E1101">
        <f>IF($P1101="","",IF(ISNUMBER(INDEX(상세표[시작],$P1101)),TEXT(INDEX(상세표[시작],$P1101),"yyyy-mm-dd hh:mm"),INDEX(상세표[시작],$P1101)&amp;""))</f>
        <v/>
      </c>
      <c r="F1101">
        <f>IF($P1101="","",IF(ISNUMBER(INDEX(상세표[블록종료],$P1101)),TEXT(INDEX(상세표[블록종료],$P1101),"yyyy-mm-dd hh:mm"),INDEX(상세표[블록종료],$P1101)&amp;""))</f>
        <v/>
      </c>
      <c r="G1101">
        <f>IF($P1101="","",CHOOSE(WEEKDAY(INDEX(상세표[시작],$P1101)),"일","월","화","수","목","금","토"))</f>
        <v/>
      </c>
      <c r="H1101">
        <f>IF($P1101="","",INDEX(상세표[연속 시간],$P1101))</f>
        <v/>
      </c>
      <c r="I1101">
        <f>IF($P1101="","",INDEX(상세표[기록 수],$P1101))</f>
        <v/>
      </c>
      <c r="J1101">
        <f>IF($P1101="","",INDEX(상세표[블록 06~07시],$P1101))</f>
        <v/>
      </c>
      <c r="K1101">
        <f>IF($P1101="","",INDEX(상세표[블록 07~18시],$P1101))</f>
        <v/>
      </c>
      <c r="L1101">
        <f>IF($P1101="","",INDEX(상세표[블록 18~22시],$P1101))</f>
        <v/>
      </c>
      <c r="M1101">
        <f>IF($P1101="","",INDEX(상세표[블록 22~06시],$P1101))</f>
        <v/>
      </c>
      <c r="N1101">
        <f>IF($P1101="","",INDEX(상세표[주말·휴일 포함],$P1101)&amp;"")</f>
        <v/>
      </c>
      <c r="O1101">
        <f>IF($P1101="","",INDEX(상세표[월 넘김 포함],$P1101)&amp;"")</f>
        <v/>
      </c>
      <c r="P1101" s="4">
        <f>IFERROR(MATCH(1096,상세표[연속순번],0),"")</f>
        <v/>
      </c>
    </row>
    <row r="1102">
      <c r="A1102">
        <f>IF($P1102="","",INDEX(상세표[사번],$P1102)&amp;"")</f>
        <v/>
      </c>
      <c r="B1102">
        <f>IF($P1102="","",INDEX(상세표[성명],$P1102)&amp;"")</f>
        <v/>
      </c>
      <c r="C1102">
        <f>IF($P1102="","",INDEX(상세표[부서],$P1102)&amp;"")</f>
        <v/>
      </c>
      <c r="D1102">
        <f>IF($P1102="","",INDEX(상세표[직위],$P1102)&amp;"")</f>
        <v/>
      </c>
      <c r="E1102">
        <f>IF($P1102="","",IF(ISNUMBER(INDEX(상세표[시작],$P1102)),TEXT(INDEX(상세표[시작],$P1102),"yyyy-mm-dd hh:mm"),INDEX(상세표[시작],$P1102)&amp;""))</f>
        <v/>
      </c>
      <c r="F1102">
        <f>IF($P1102="","",IF(ISNUMBER(INDEX(상세표[블록종료],$P1102)),TEXT(INDEX(상세표[블록종료],$P1102),"yyyy-mm-dd hh:mm"),INDEX(상세표[블록종료],$P1102)&amp;""))</f>
        <v/>
      </c>
      <c r="G1102">
        <f>IF($P1102="","",CHOOSE(WEEKDAY(INDEX(상세표[시작],$P1102)),"일","월","화","수","목","금","토"))</f>
        <v/>
      </c>
      <c r="H1102">
        <f>IF($P1102="","",INDEX(상세표[연속 시간],$P1102))</f>
        <v/>
      </c>
      <c r="I1102">
        <f>IF($P1102="","",INDEX(상세표[기록 수],$P1102))</f>
        <v/>
      </c>
      <c r="J1102">
        <f>IF($P1102="","",INDEX(상세표[블록 06~07시],$P1102))</f>
        <v/>
      </c>
      <c r="K1102">
        <f>IF($P1102="","",INDEX(상세표[블록 07~18시],$P1102))</f>
        <v/>
      </c>
      <c r="L1102">
        <f>IF($P1102="","",INDEX(상세표[블록 18~22시],$P1102))</f>
        <v/>
      </c>
      <c r="M1102">
        <f>IF($P1102="","",INDEX(상세표[블록 22~06시],$P1102))</f>
        <v/>
      </c>
      <c r="N1102">
        <f>IF($P1102="","",INDEX(상세표[주말·휴일 포함],$P1102)&amp;"")</f>
        <v/>
      </c>
      <c r="O1102">
        <f>IF($P1102="","",INDEX(상세표[월 넘김 포함],$P1102)&amp;"")</f>
        <v/>
      </c>
      <c r="P1102" s="4">
        <f>IFERROR(MATCH(1097,상세표[연속순번],0),"")</f>
        <v/>
      </c>
    </row>
    <row r="1103">
      <c r="A1103">
        <f>IF($P1103="","",INDEX(상세표[사번],$P1103)&amp;"")</f>
        <v/>
      </c>
      <c r="B1103">
        <f>IF($P1103="","",INDEX(상세표[성명],$P1103)&amp;"")</f>
        <v/>
      </c>
      <c r="C1103">
        <f>IF($P1103="","",INDEX(상세표[부서],$P1103)&amp;"")</f>
        <v/>
      </c>
      <c r="D1103">
        <f>IF($P1103="","",INDEX(상세표[직위],$P1103)&amp;"")</f>
        <v/>
      </c>
      <c r="E1103">
        <f>IF($P1103="","",IF(ISNUMBER(INDEX(상세표[시작],$P1103)),TEXT(INDEX(상세표[시작],$P1103),"yyyy-mm-dd hh:mm"),INDEX(상세표[시작],$P1103)&amp;""))</f>
        <v/>
      </c>
      <c r="F1103">
        <f>IF($P1103="","",IF(ISNUMBER(INDEX(상세표[블록종료],$P1103)),TEXT(INDEX(상세표[블록종료],$P1103),"yyyy-mm-dd hh:mm"),INDEX(상세표[블록종료],$P1103)&amp;""))</f>
        <v/>
      </c>
      <c r="G1103">
        <f>IF($P1103="","",CHOOSE(WEEKDAY(INDEX(상세표[시작],$P1103)),"일","월","화","수","목","금","토"))</f>
        <v/>
      </c>
      <c r="H1103">
        <f>IF($P1103="","",INDEX(상세표[연속 시간],$P1103))</f>
        <v/>
      </c>
      <c r="I1103">
        <f>IF($P1103="","",INDEX(상세표[기록 수],$P1103))</f>
        <v/>
      </c>
      <c r="J1103">
        <f>IF($P1103="","",INDEX(상세표[블록 06~07시],$P1103))</f>
        <v/>
      </c>
      <c r="K1103">
        <f>IF($P1103="","",INDEX(상세표[블록 07~18시],$P1103))</f>
        <v/>
      </c>
      <c r="L1103">
        <f>IF($P1103="","",INDEX(상세표[블록 18~22시],$P1103))</f>
        <v/>
      </c>
      <c r="M1103">
        <f>IF($P1103="","",INDEX(상세표[블록 22~06시],$P1103))</f>
        <v/>
      </c>
      <c r="N1103">
        <f>IF($P1103="","",INDEX(상세표[주말·휴일 포함],$P1103)&amp;"")</f>
        <v/>
      </c>
      <c r="O1103">
        <f>IF($P1103="","",INDEX(상세표[월 넘김 포함],$P1103)&amp;"")</f>
        <v/>
      </c>
      <c r="P1103" s="4">
        <f>IFERROR(MATCH(1098,상세표[연속순번],0),"")</f>
        <v/>
      </c>
    </row>
    <row r="1104">
      <c r="A1104">
        <f>IF($P1104="","",INDEX(상세표[사번],$P1104)&amp;"")</f>
        <v/>
      </c>
      <c r="B1104">
        <f>IF($P1104="","",INDEX(상세표[성명],$P1104)&amp;"")</f>
        <v/>
      </c>
      <c r="C1104">
        <f>IF($P1104="","",INDEX(상세표[부서],$P1104)&amp;"")</f>
        <v/>
      </c>
      <c r="D1104">
        <f>IF($P1104="","",INDEX(상세표[직위],$P1104)&amp;"")</f>
        <v/>
      </c>
      <c r="E1104">
        <f>IF($P1104="","",IF(ISNUMBER(INDEX(상세표[시작],$P1104)),TEXT(INDEX(상세표[시작],$P1104),"yyyy-mm-dd hh:mm"),INDEX(상세표[시작],$P1104)&amp;""))</f>
        <v/>
      </c>
      <c r="F1104">
        <f>IF($P1104="","",IF(ISNUMBER(INDEX(상세표[블록종료],$P1104)),TEXT(INDEX(상세표[블록종료],$P1104),"yyyy-mm-dd hh:mm"),INDEX(상세표[블록종료],$P1104)&amp;""))</f>
        <v/>
      </c>
      <c r="G1104">
        <f>IF($P1104="","",CHOOSE(WEEKDAY(INDEX(상세표[시작],$P1104)),"일","월","화","수","목","금","토"))</f>
        <v/>
      </c>
      <c r="H1104">
        <f>IF($P1104="","",INDEX(상세표[연속 시간],$P1104))</f>
        <v/>
      </c>
      <c r="I1104">
        <f>IF($P1104="","",INDEX(상세표[기록 수],$P1104))</f>
        <v/>
      </c>
      <c r="J1104">
        <f>IF($P1104="","",INDEX(상세표[블록 06~07시],$P1104))</f>
        <v/>
      </c>
      <c r="K1104">
        <f>IF($P1104="","",INDEX(상세표[블록 07~18시],$P1104))</f>
        <v/>
      </c>
      <c r="L1104">
        <f>IF($P1104="","",INDEX(상세표[블록 18~22시],$P1104))</f>
        <v/>
      </c>
      <c r="M1104">
        <f>IF($P1104="","",INDEX(상세표[블록 22~06시],$P1104))</f>
        <v/>
      </c>
      <c r="N1104">
        <f>IF($P1104="","",INDEX(상세표[주말·휴일 포함],$P1104)&amp;"")</f>
        <v/>
      </c>
      <c r="O1104">
        <f>IF($P1104="","",INDEX(상세표[월 넘김 포함],$P1104)&amp;"")</f>
        <v/>
      </c>
      <c r="P1104" s="4">
        <f>IFERROR(MATCH(1099,상세표[연속순번],0),"")</f>
        <v/>
      </c>
    </row>
    <row r="1105">
      <c r="A1105">
        <f>IF($P1105="","",INDEX(상세표[사번],$P1105)&amp;"")</f>
        <v/>
      </c>
      <c r="B1105">
        <f>IF($P1105="","",INDEX(상세표[성명],$P1105)&amp;"")</f>
        <v/>
      </c>
      <c r="C1105">
        <f>IF($P1105="","",INDEX(상세표[부서],$P1105)&amp;"")</f>
        <v/>
      </c>
      <c r="D1105">
        <f>IF($P1105="","",INDEX(상세표[직위],$P1105)&amp;"")</f>
        <v/>
      </c>
      <c r="E1105">
        <f>IF($P1105="","",IF(ISNUMBER(INDEX(상세표[시작],$P1105)),TEXT(INDEX(상세표[시작],$P1105),"yyyy-mm-dd hh:mm"),INDEX(상세표[시작],$P1105)&amp;""))</f>
        <v/>
      </c>
      <c r="F1105">
        <f>IF($P1105="","",IF(ISNUMBER(INDEX(상세표[블록종료],$P1105)),TEXT(INDEX(상세표[블록종료],$P1105),"yyyy-mm-dd hh:mm"),INDEX(상세표[블록종료],$P1105)&amp;""))</f>
        <v/>
      </c>
      <c r="G1105">
        <f>IF($P1105="","",CHOOSE(WEEKDAY(INDEX(상세표[시작],$P1105)),"일","월","화","수","목","금","토"))</f>
        <v/>
      </c>
      <c r="H1105">
        <f>IF($P1105="","",INDEX(상세표[연속 시간],$P1105))</f>
        <v/>
      </c>
      <c r="I1105">
        <f>IF($P1105="","",INDEX(상세표[기록 수],$P1105))</f>
        <v/>
      </c>
      <c r="J1105">
        <f>IF($P1105="","",INDEX(상세표[블록 06~07시],$P1105))</f>
        <v/>
      </c>
      <c r="K1105">
        <f>IF($P1105="","",INDEX(상세표[블록 07~18시],$P1105))</f>
        <v/>
      </c>
      <c r="L1105">
        <f>IF($P1105="","",INDEX(상세표[블록 18~22시],$P1105))</f>
        <v/>
      </c>
      <c r="M1105">
        <f>IF($P1105="","",INDEX(상세표[블록 22~06시],$P1105))</f>
        <v/>
      </c>
      <c r="N1105">
        <f>IF($P1105="","",INDEX(상세표[주말·휴일 포함],$P1105)&amp;"")</f>
        <v/>
      </c>
      <c r="O1105">
        <f>IF($P1105="","",INDEX(상세표[월 넘김 포함],$P1105)&amp;"")</f>
        <v/>
      </c>
      <c r="P1105" s="4">
        <f>IFERROR(MATCH(1100,상세표[연속순번],0),"")</f>
        <v/>
      </c>
    </row>
    <row r="1106">
      <c r="A1106">
        <f>IF($P1106="","",INDEX(상세표[사번],$P1106)&amp;"")</f>
        <v/>
      </c>
      <c r="B1106">
        <f>IF($P1106="","",INDEX(상세표[성명],$P1106)&amp;"")</f>
        <v/>
      </c>
      <c r="C1106">
        <f>IF($P1106="","",INDEX(상세표[부서],$P1106)&amp;"")</f>
        <v/>
      </c>
      <c r="D1106">
        <f>IF($P1106="","",INDEX(상세표[직위],$P1106)&amp;"")</f>
        <v/>
      </c>
      <c r="E1106">
        <f>IF($P1106="","",IF(ISNUMBER(INDEX(상세표[시작],$P1106)),TEXT(INDEX(상세표[시작],$P1106),"yyyy-mm-dd hh:mm"),INDEX(상세표[시작],$P1106)&amp;""))</f>
        <v/>
      </c>
      <c r="F1106">
        <f>IF($P1106="","",IF(ISNUMBER(INDEX(상세표[블록종료],$P1106)),TEXT(INDEX(상세표[블록종료],$P1106),"yyyy-mm-dd hh:mm"),INDEX(상세표[블록종료],$P1106)&amp;""))</f>
        <v/>
      </c>
      <c r="G1106">
        <f>IF($P1106="","",CHOOSE(WEEKDAY(INDEX(상세표[시작],$P1106)),"일","월","화","수","목","금","토"))</f>
        <v/>
      </c>
      <c r="H1106">
        <f>IF($P1106="","",INDEX(상세표[연속 시간],$P1106))</f>
        <v/>
      </c>
      <c r="I1106">
        <f>IF($P1106="","",INDEX(상세표[기록 수],$P1106))</f>
        <v/>
      </c>
      <c r="J1106">
        <f>IF($P1106="","",INDEX(상세표[블록 06~07시],$P1106))</f>
        <v/>
      </c>
      <c r="K1106">
        <f>IF($P1106="","",INDEX(상세표[블록 07~18시],$P1106))</f>
        <v/>
      </c>
      <c r="L1106">
        <f>IF($P1106="","",INDEX(상세표[블록 18~22시],$P1106))</f>
        <v/>
      </c>
      <c r="M1106">
        <f>IF($P1106="","",INDEX(상세표[블록 22~06시],$P1106))</f>
        <v/>
      </c>
      <c r="N1106">
        <f>IF($P1106="","",INDEX(상세표[주말·휴일 포함],$P1106)&amp;"")</f>
        <v/>
      </c>
      <c r="O1106">
        <f>IF($P1106="","",INDEX(상세표[월 넘김 포함],$P1106)&amp;"")</f>
        <v/>
      </c>
      <c r="P1106" s="4">
        <f>IFERROR(MATCH(1101,상세표[연속순번],0),"")</f>
        <v/>
      </c>
    </row>
    <row r="1107">
      <c r="A1107">
        <f>IF($P1107="","",INDEX(상세표[사번],$P1107)&amp;"")</f>
        <v/>
      </c>
      <c r="B1107">
        <f>IF($P1107="","",INDEX(상세표[성명],$P1107)&amp;"")</f>
        <v/>
      </c>
      <c r="C1107">
        <f>IF($P1107="","",INDEX(상세표[부서],$P1107)&amp;"")</f>
        <v/>
      </c>
      <c r="D1107">
        <f>IF($P1107="","",INDEX(상세표[직위],$P1107)&amp;"")</f>
        <v/>
      </c>
      <c r="E1107">
        <f>IF($P1107="","",IF(ISNUMBER(INDEX(상세표[시작],$P1107)),TEXT(INDEX(상세표[시작],$P1107),"yyyy-mm-dd hh:mm"),INDEX(상세표[시작],$P1107)&amp;""))</f>
        <v/>
      </c>
      <c r="F1107">
        <f>IF($P1107="","",IF(ISNUMBER(INDEX(상세표[블록종료],$P1107)),TEXT(INDEX(상세표[블록종료],$P1107),"yyyy-mm-dd hh:mm"),INDEX(상세표[블록종료],$P1107)&amp;""))</f>
        <v/>
      </c>
      <c r="G1107">
        <f>IF($P1107="","",CHOOSE(WEEKDAY(INDEX(상세표[시작],$P1107)),"일","월","화","수","목","금","토"))</f>
        <v/>
      </c>
      <c r="H1107">
        <f>IF($P1107="","",INDEX(상세표[연속 시간],$P1107))</f>
        <v/>
      </c>
      <c r="I1107">
        <f>IF($P1107="","",INDEX(상세표[기록 수],$P1107))</f>
        <v/>
      </c>
      <c r="J1107">
        <f>IF($P1107="","",INDEX(상세표[블록 06~07시],$P1107))</f>
        <v/>
      </c>
      <c r="K1107">
        <f>IF($P1107="","",INDEX(상세표[블록 07~18시],$P1107))</f>
        <v/>
      </c>
      <c r="L1107">
        <f>IF($P1107="","",INDEX(상세표[블록 18~22시],$P1107))</f>
        <v/>
      </c>
      <c r="M1107">
        <f>IF($P1107="","",INDEX(상세표[블록 22~06시],$P1107))</f>
        <v/>
      </c>
      <c r="N1107">
        <f>IF($P1107="","",INDEX(상세표[주말·휴일 포함],$P1107)&amp;"")</f>
        <v/>
      </c>
      <c r="O1107">
        <f>IF($P1107="","",INDEX(상세표[월 넘김 포함],$P1107)&amp;"")</f>
        <v/>
      </c>
      <c r="P1107" s="4">
        <f>IFERROR(MATCH(1102,상세표[연속순번],0),"")</f>
        <v/>
      </c>
    </row>
    <row r="1108">
      <c r="A1108">
        <f>IF($P1108="","",INDEX(상세표[사번],$P1108)&amp;"")</f>
        <v/>
      </c>
      <c r="B1108">
        <f>IF($P1108="","",INDEX(상세표[성명],$P1108)&amp;"")</f>
        <v/>
      </c>
      <c r="C1108">
        <f>IF($P1108="","",INDEX(상세표[부서],$P1108)&amp;"")</f>
        <v/>
      </c>
      <c r="D1108">
        <f>IF($P1108="","",INDEX(상세표[직위],$P1108)&amp;"")</f>
        <v/>
      </c>
      <c r="E1108">
        <f>IF($P1108="","",IF(ISNUMBER(INDEX(상세표[시작],$P1108)),TEXT(INDEX(상세표[시작],$P1108),"yyyy-mm-dd hh:mm"),INDEX(상세표[시작],$P1108)&amp;""))</f>
        <v/>
      </c>
      <c r="F1108">
        <f>IF($P1108="","",IF(ISNUMBER(INDEX(상세표[블록종료],$P1108)),TEXT(INDEX(상세표[블록종료],$P1108),"yyyy-mm-dd hh:mm"),INDEX(상세표[블록종료],$P1108)&amp;""))</f>
        <v/>
      </c>
      <c r="G1108">
        <f>IF($P1108="","",CHOOSE(WEEKDAY(INDEX(상세표[시작],$P1108)),"일","월","화","수","목","금","토"))</f>
        <v/>
      </c>
      <c r="H1108">
        <f>IF($P1108="","",INDEX(상세표[연속 시간],$P1108))</f>
        <v/>
      </c>
      <c r="I1108">
        <f>IF($P1108="","",INDEX(상세표[기록 수],$P1108))</f>
        <v/>
      </c>
      <c r="J1108">
        <f>IF($P1108="","",INDEX(상세표[블록 06~07시],$P1108))</f>
        <v/>
      </c>
      <c r="K1108">
        <f>IF($P1108="","",INDEX(상세표[블록 07~18시],$P1108))</f>
        <v/>
      </c>
      <c r="L1108">
        <f>IF($P1108="","",INDEX(상세표[블록 18~22시],$P1108))</f>
        <v/>
      </c>
      <c r="M1108">
        <f>IF($P1108="","",INDEX(상세표[블록 22~06시],$P1108))</f>
        <v/>
      </c>
      <c r="N1108">
        <f>IF($P1108="","",INDEX(상세표[주말·휴일 포함],$P1108)&amp;"")</f>
        <v/>
      </c>
      <c r="O1108">
        <f>IF($P1108="","",INDEX(상세표[월 넘김 포함],$P1108)&amp;"")</f>
        <v/>
      </c>
      <c r="P1108" s="4">
        <f>IFERROR(MATCH(1103,상세표[연속순번],0),"")</f>
        <v/>
      </c>
    </row>
    <row r="1109">
      <c r="A1109">
        <f>IF($P1109="","",INDEX(상세표[사번],$P1109)&amp;"")</f>
        <v/>
      </c>
      <c r="B1109">
        <f>IF($P1109="","",INDEX(상세표[성명],$P1109)&amp;"")</f>
        <v/>
      </c>
      <c r="C1109">
        <f>IF($P1109="","",INDEX(상세표[부서],$P1109)&amp;"")</f>
        <v/>
      </c>
      <c r="D1109">
        <f>IF($P1109="","",INDEX(상세표[직위],$P1109)&amp;"")</f>
        <v/>
      </c>
      <c r="E1109">
        <f>IF($P1109="","",IF(ISNUMBER(INDEX(상세표[시작],$P1109)),TEXT(INDEX(상세표[시작],$P1109),"yyyy-mm-dd hh:mm"),INDEX(상세표[시작],$P1109)&amp;""))</f>
        <v/>
      </c>
      <c r="F1109">
        <f>IF($P1109="","",IF(ISNUMBER(INDEX(상세표[블록종료],$P1109)),TEXT(INDEX(상세표[블록종료],$P1109),"yyyy-mm-dd hh:mm"),INDEX(상세표[블록종료],$P1109)&amp;""))</f>
        <v/>
      </c>
      <c r="G1109">
        <f>IF($P1109="","",CHOOSE(WEEKDAY(INDEX(상세표[시작],$P1109)),"일","월","화","수","목","금","토"))</f>
        <v/>
      </c>
      <c r="H1109">
        <f>IF($P1109="","",INDEX(상세표[연속 시간],$P1109))</f>
        <v/>
      </c>
      <c r="I1109">
        <f>IF($P1109="","",INDEX(상세표[기록 수],$P1109))</f>
        <v/>
      </c>
      <c r="J1109">
        <f>IF($P1109="","",INDEX(상세표[블록 06~07시],$P1109))</f>
        <v/>
      </c>
      <c r="K1109">
        <f>IF($P1109="","",INDEX(상세표[블록 07~18시],$P1109))</f>
        <v/>
      </c>
      <c r="L1109">
        <f>IF($P1109="","",INDEX(상세표[블록 18~22시],$P1109))</f>
        <v/>
      </c>
      <c r="M1109">
        <f>IF($P1109="","",INDEX(상세표[블록 22~06시],$P1109))</f>
        <v/>
      </c>
      <c r="N1109">
        <f>IF($P1109="","",INDEX(상세표[주말·휴일 포함],$P1109)&amp;"")</f>
        <v/>
      </c>
      <c r="O1109">
        <f>IF($P1109="","",INDEX(상세표[월 넘김 포함],$P1109)&amp;"")</f>
        <v/>
      </c>
      <c r="P1109" s="4">
        <f>IFERROR(MATCH(1104,상세표[연속순번],0),"")</f>
        <v/>
      </c>
    </row>
    <row r="1110">
      <c r="A1110">
        <f>IF($P1110="","",INDEX(상세표[사번],$P1110)&amp;"")</f>
        <v/>
      </c>
      <c r="B1110">
        <f>IF($P1110="","",INDEX(상세표[성명],$P1110)&amp;"")</f>
        <v/>
      </c>
      <c r="C1110">
        <f>IF($P1110="","",INDEX(상세표[부서],$P1110)&amp;"")</f>
        <v/>
      </c>
      <c r="D1110">
        <f>IF($P1110="","",INDEX(상세표[직위],$P1110)&amp;"")</f>
        <v/>
      </c>
      <c r="E1110">
        <f>IF($P1110="","",IF(ISNUMBER(INDEX(상세표[시작],$P1110)),TEXT(INDEX(상세표[시작],$P1110),"yyyy-mm-dd hh:mm"),INDEX(상세표[시작],$P1110)&amp;""))</f>
        <v/>
      </c>
      <c r="F1110">
        <f>IF($P1110="","",IF(ISNUMBER(INDEX(상세표[블록종료],$P1110)),TEXT(INDEX(상세표[블록종료],$P1110),"yyyy-mm-dd hh:mm"),INDEX(상세표[블록종료],$P1110)&amp;""))</f>
        <v/>
      </c>
      <c r="G1110">
        <f>IF($P1110="","",CHOOSE(WEEKDAY(INDEX(상세표[시작],$P1110)),"일","월","화","수","목","금","토"))</f>
        <v/>
      </c>
      <c r="H1110">
        <f>IF($P1110="","",INDEX(상세표[연속 시간],$P1110))</f>
        <v/>
      </c>
      <c r="I1110">
        <f>IF($P1110="","",INDEX(상세표[기록 수],$P1110))</f>
        <v/>
      </c>
      <c r="J1110">
        <f>IF($P1110="","",INDEX(상세표[블록 06~07시],$P1110))</f>
        <v/>
      </c>
      <c r="K1110">
        <f>IF($P1110="","",INDEX(상세표[블록 07~18시],$P1110))</f>
        <v/>
      </c>
      <c r="L1110">
        <f>IF($P1110="","",INDEX(상세표[블록 18~22시],$P1110))</f>
        <v/>
      </c>
      <c r="M1110">
        <f>IF($P1110="","",INDEX(상세표[블록 22~06시],$P1110))</f>
        <v/>
      </c>
      <c r="N1110">
        <f>IF($P1110="","",INDEX(상세표[주말·휴일 포함],$P1110)&amp;"")</f>
        <v/>
      </c>
      <c r="O1110">
        <f>IF($P1110="","",INDEX(상세표[월 넘김 포함],$P1110)&amp;"")</f>
        <v/>
      </c>
      <c r="P1110" s="4">
        <f>IFERROR(MATCH(1105,상세표[연속순번],0),"")</f>
        <v/>
      </c>
    </row>
    <row r="1111">
      <c r="A1111">
        <f>IF($P1111="","",INDEX(상세표[사번],$P1111)&amp;"")</f>
        <v/>
      </c>
      <c r="B1111">
        <f>IF($P1111="","",INDEX(상세표[성명],$P1111)&amp;"")</f>
        <v/>
      </c>
      <c r="C1111">
        <f>IF($P1111="","",INDEX(상세표[부서],$P1111)&amp;"")</f>
        <v/>
      </c>
      <c r="D1111">
        <f>IF($P1111="","",INDEX(상세표[직위],$P1111)&amp;"")</f>
        <v/>
      </c>
      <c r="E1111">
        <f>IF($P1111="","",IF(ISNUMBER(INDEX(상세표[시작],$P1111)),TEXT(INDEX(상세표[시작],$P1111),"yyyy-mm-dd hh:mm"),INDEX(상세표[시작],$P1111)&amp;""))</f>
        <v/>
      </c>
      <c r="F1111">
        <f>IF($P1111="","",IF(ISNUMBER(INDEX(상세표[블록종료],$P1111)),TEXT(INDEX(상세표[블록종료],$P1111),"yyyy-mm-dd hh:mm"),INDEX(상세표[블록종료],$P1111)&amp;""))</f>
        <v/>
      </c>
      <c r="G1111">
        <f>IF($P1111="","",CHOOSE(WEEKDAY(INDEX(상세표[시작],$P1111)),"일","월","화","수","목","금","토"))</f>
        <v/>
      </c>
      <c r="H1111">
        <f>IF($P1111="","",INDEX(상세표[연속 시간],$P1111))</f>
        <v/>
      </c>
      <c r="I1111">
        <f>IF($P1111="","",INDEX(상세표[기록 수],$P1111))</f>
        <v/>
      </c>
      <c r="J1111">
        <f>IF($P1111="","",INDEX(상세표[블록 06~07시],$P1111))</f>
        <v/>
      </c>
      <c r="K1111">
        <f>IF($P1111="","",INDEX(상세표[블록 07~18시],$P1111))</f>
        <v/>
      </c>
      <c r="L1111">
        <f>IF($P1111="","",INDEX(상세표[블록 18~22시],$P1111))</f>
        <v/>
      </c>
      <c r="M1111">
        <f>IF($P1111="","",INDEX(상세표[블록 22~06시],$P1111))</f>
        <v/>
      </c>
      <c r="N1111">
        <f>IF($P1111="","",INDEX(상세표[주말·휴일 포함],$P1111)&amp;"")</f>
        <v/>
      </c>
      <c r="O1111">
        <f>IF($P1111="","",INDEX(상세표[월 넘김 포함],$P1111)&amp;"")</f>
        <v/>
      </c>
      <c r="P1111" s="4">
        <f>IFERROR(MATCH(1106,상세표[연속순번],0),"")</f>
        <v/>
      </c>
    </row>
    <row r="1112">
      <c r="A1112">
        <f>IF($P1112="","",INDEX(상세표[사번],$P1112)&amp;"")</f>
        <v/>
      </c>
      <c r="B1112">
        <f>IF($P1112="","",INDEX(상세표[성명],$P1112)&amp;"")</f>
        <v/>
      </c>
      <c r="C1112">
        <f>IF($P1112="","",INDEX(상세표[부서],$P1112)&amp;"")</f>
        <v/>
      </c>
      <c r="D1112">
        <f>IF($P1112="","",INDEX(상세표[직위],$P1112)&amp;"")</f>
        <v/>
      </c>
      <c r="E1112">
        <f>IF($P1112="","",IF(ISNUMBER(INDEX(상세표[시작],$P1112)),TEXT(INDEX(상세표[시작],$P1112),"yyyy-mm-dd hh:mm"),INDEX(상세표[시작],$P1112)&amp;""))</f>
        <v/>
      </c>
      <c r="F1112">
        <f>IF($P1112="","",IF(ISNUMBER(INDEX(상세표[블록종료],$P1112)),TEXT(INDEX(상세표[블록종료],$P1112),"yyyy-mm-dd hh:mm"),INDEX(상세표[블록종료],$P1112)&amp;""))</f>
        <v/>
      </c>
      <c r="G1112">
        <f>IF($P1112="","",CHOOSE(WEEKDAY(INDEX(상세표[시작],$P1112)),"일","월","화","수","목","금","토"))</f>
        <v/>
      </c>
      <c r="H1112">
        <f>IF($P1112="","",INDEX(상세표[연속 시간],$P1112))</f>
        <v/>
      </c>
      <c r="I1112">
        <f>IF($P1112="","",INDEX(상세표[기록 수],$P1112))</f>
        <v/>
      </c>
      <c r="J1112">
        <f>IF($P1112="","",INDEX(상세표[블록 06~07시],$P1112))</f>
        <v/>
      </c>
      <c r="K1112">
        <f>IF($P1112="","",INDEX(상세표[블록 07~18시],$P1112))</f>
        <v/>
      </c>
      <c r="L1112">
        <f>IF($P1112="","",INDEX(상세표[블록 18~22시],$P1112))</f>
        <v/>
      </c>
      <c r="M1112">
        <f>IF($P1112="","",INDEX(상세표[블록 22~06시],$P1112))</f>
        <v/>
      </c>
      <c r="N1112">
        <f>IF($P1112="","",INDEX(상세표[주말·휴일 포함],$P1112)&amp;"")</f>
        <v/>
      </c>
      <c r="O1112">
        <f>IF($P1112="","",INDEX(상세표[월 넘김 포함],$P1112)&amp;"")</f>
        <v/>
      </c>
      <c r="P1112" s="4">
        <f>IFERROR(MATCH(1107,상세표[연속순번],0),"")</f>
        <v/>
      </c>
    </row>
    <row r="1113">
      <c r="A1113">
        <f>IF($P1113="","",INDEX(상세표[사번],$P1113)&amp;"")</f>
        <v/>
      </c>
      <c r="B1113">
        <f>IF($P1113="","",INDEX(상세표[성명],$P1113)&amp;"")</f>
        <v/>
      </c>
      <c r="C1113">
        <f>IF($P1113="","",INDEX(상세표[부서],$P1113)&amp;"")</f>
        <v/>
      </c>
      <c r="D1113">
        <f>IF($P1113="","",INDEX(상세표[직위],$P1113)&amp;"")</f>
        <v/>
      </c>
      <c r="E1113">
        <f>IF($P1113="","",IF(ISNUMBER(INDEX(상세표[시작],$P1113)),TEXT(INDEX(상세표[시작],$P1113),"yyyy-mm-dd hh:mm"),INDEX(상세표[시작],$P1113)&amp;""))</f>
        <v/>
      </c>
      <c r="F1113">
        <f>IF($P1113="","",IF(ISNUMBER(INDEX(상세표[블록종료],$P1113)),TEXT(INDEX(상세표[블록종료],$P1113),"yyyy-mm-dd hh:mm"),INDEX(상세표[블록종료],$P1113)&amp;""))</f>
        <v/>
      </c>
      <c r="G1113">
        <f>IF($P1113="","",CHOOSE(WEEKDAY(INDEX(상세표[시작],$P1113)),"일","월","화","수","목","금","토"))</f>
        <v/>
      </c>
      <c r="H1113">
        <f>IF($P1113="","",INDEX(상세표[연속 시간],$P1113))</f>
        <v/>
      </c>
      <c r="I1113">
        <f>IF($P1113="","",INDEX(상세표[기록 수],$P1113))</f>
        <v/>
      </c>
      <c r="J1113">
        <f>IF($P1113="","",INDEX(상세표[블록 06~07시],$P1113))</f>
        <v/>
      </c>
      <c r="K1113">
        <f>IF($P1113="","",INDEX(상세표[블록 07~18시],$P1113))</f>
        <v/>
      </c>
      <c r="L1113">
        <f>IF($P1113="","",INDEX(상세표[블록 18~22시],$P1113))</f>
        <v/>
      </c>
      <c r="M1113">
        <f>IF($P1113="","",INDEX(상세표[블록 22~06시],$P1113))</f>
        <v/>
      </c>
      <c r="N1113">
        <f>IF($P1113="","",INDEX(상세표[주말·휴일 포함],$P1113)&amp;"")</f>
        <v/>
      </c>
      <c r="O1113">
        <f>IF($P1113="","",INDEX(상세표[월 넘김 포함],$P1113)&amp;"")</f>
        <v/>
      </c>
      <c r="P1113" s="4">
        <f>IFERROR(MATCH(1108,상세표[연속순번],0),"")</f>
        <v/>
      </c>
    </row>
    <row r="1114">
      <c r="A1114">
        <f>IF($P1114="","",INDEX(상세표[사번],$P1114)&amp;"")</f>
        <v/>
      </c>
      <c r="B1114">
        <f>IF($P1114="","",INDEX(상세표[성명],$P1114)&amp;"")</f>
        <v/>
      </c>
      <c r="C1114">
        <f>IF($P1114="","",INDEX(상세표[부서],$P1114)&amp;"")</f>
        <v/>
      </c>
      <c r="D1114">
        <f>IF($P1114="","",INDEX(상세표[직위],$P1114)&amp;"")</f>
        <v/>
      </c>
      <c r="E1114">
        <f>IF($P1114="","",IF(ISNUMBER(INDEX(상세표[시작],$P1114)),TEXT(INDEX(상세표[시작],$P1114),"yyyy-mm-dd hh:mm"),INDEX(상세표[시작],$P1114)&amp;""))</f>
        <v/>
      </c>
      <c r="F1114">
        <f>IF($P1114="","",IF(ISNUMBER(INDEX(상세표[블록종료],$P1114)),TEXT(INDEX(상세표[블록종료],$P1114),"yyyy-mm-dd hh:mm"),INDEX(상세표[블록종료],$P1114)&amp;""))</f>
        <v/>
      </c>
      <c r="G1114">
        <f>IF($P1114="","",CHOOSE(WEEKDAY(INDEX(상세표[시작],$P1114)),"일","월","화","수","목","금","토"))</f>
        <v/>
      </c>
      <c r="H1114">
        <f>IF($P1114="","",INDEX(상세표[연속 시간],$P1114))</f>
        <v/>
      </c>
      <c r="I1114">
        <f>IF($P1114="","",INDEX(상세표[기록 수],$P1114))</f>
        <v/>
      </c>
      <c r="J1114">
        <f>IF($P1114="","",INDEX(상세표[블록 06~07시],$P1114))</f>
        <v/>
      </c>
      <c r="K1114">
        <f>IF($P1114="","",INDEX(상세표[블록 07~18시],$P1114))</f>
        <v/>
      </c>
      <c r="L1114">
        <f>IF($P1114="","",INDEX(상세표[블록 18~22시],$P1114))</f>
        <v/>
      </c>
      <c r="M1114">
        <f>IF($P1114="","",INDEX(상세표[블록 22~06시],$P1114))</f>
        <v/>
      </c>
      <c r="N1114">
        <f>IF($P1114="","",INDEX(상세표[주말·휴일 포함],$P1114)&amp;"")</f>
        <v/>
      </c>
      <c r="O1114">
        <f>IF($P1114="","",INDEX(상세표[월 넘김 포함],$P1114)&amp;"")</f>
        <v/>
      </c>
      <c r="P1114" s="4">
        <f>IFERROR(MATCH(1109,상세표[연속순번],0),"")</f>
        <v/>
      </c>
    </row>
    <row r="1115">
      <c r="A1115">
        <f>IF($P1115="","",INDEX(상세표[사번],$P1115)&amp;"")</f>
        <v/>
      </c>
      <c r="B1115">
        <f>IF($P1115="","",INDEX(상세표[성명],$P1115)&amp;"")</f>
        <v/>
      </c>
      <c r="C1115">
        <f>IF($P1115="","",INDEX(상세표[부서],$P1115)&amp;"")</f>
        <v/>
      </c>
      <c r="D1115">
        <f>IF($P1115="","",INDEX(상세표[직위],$P1115)&amp;"")</f>
        <v/>
      </c>
      <c r="E1115">
        <f>IF($P1115="","",IF(ISNUMBER(INDEX(상세표[시작],$P1115)),TEXT(INDEX(상세표[시작],$P1115),"yyyy-mm-dd hh:mm"),INDEX(상세표[시작],$P1115)&amp;""))</f>
        <v/>
      </c>
      <c r="F1115">
        <f>IF($P1115="","",IF(ISNUMBER(INDEX(상세표[블록종료],$P1115)),TEXT(INDEX(상세표[블록종료],$P1115),"yyyy-mm-dd hh:mm"),INDEX(상세표[블록종료],$P1115)&amp;""))</f>
        <v/>
      </c>
      <c r="G1115">
        <f>IF($P1115="","",CHOOSE(WEEKDAY(INDEX(상세표[시작],$P1115)),"일","월","화","수","목","금","토"))</f>
        <v/>
      </c>
      <c r="H1115">
        <f>IF($P1115="","",INDEX(상세표[연속 시간],$P1115))</f>
        <v/>
      </c>
      <c r="I1115">
        <f>IF($P1115="","",INDEX(상세표[기록 수],$P1115))</f>
        <v/>
      </c>
      <c r="J1115">
        <f>IF($P1115="","",INDEX(상세표[블록 06~07시],$P1115))</f>
        <v/>
      </c>
      <c r="K1115">
        <f>IF($P1115="","",INDEX(상세표[블록 07~18시],$P1115))</f>
        <v/>
      </c>
      <c r="L1115">
        <f>IF($P1115="","",INDEX(상세표[블록 18~22시],$P1115))</f>
        <v/>
      </c>
      <c r="M1115">
        <f>IF($P1115="","",INDEX(상세표[블록 22~06시],$P1115))</f>
        <v/>
      </c>
      <c r="N1115">
        <f>IF($P1115="","",INDEX(상세표[주말·휴일 포함],$P1115)&amp;"")</f>
        <v/>
      </c>
      <c r="O1115">
        <f>IF($P1115="","",INDEX(상세표[월 넘김 포함],$P1115)&amp;"")</f>
        <v/>
      </c>
      <c r="P1115" s="4">
        <f>IFERROR(MATCH(1110,상세표[연속순번],0),"")</f>
        <v/>
      </c>
    </row>
    <row r="1116">
      <c r="A1116">
        <f>IF($P1116="","",INDEX(상세표[사번],$P1116)&amp;"")</f>
        <v/>
      </c>
      <c r="B1116">
        <f>IF($P1116="","",INDEX(상세표[성명],$P1116)&amp;"")</f>
        <v/>
      </c>
      <c r="C1116">
        <f>IF($P1116="","",INDEX(상세표[부서],$P1116)&amp;"")</f>
        <v/>
      </c>
      <c r="D1116">
        <f>IF($P1116="","",INDEX(상세표[직위],$P1116)&amp;"")</f>
        <v/>
      </c>
      <c r="E1116">
        <f>IF($P1116="","",IF(ISNUMBER(INDEX(상세표[시작],$P1116)),TEXT(INDEX(상세표[시작],$P1116),"yyyy-mm-dd hh:mm"),INDEX(상세표[시작],$P1116)&amp;""))</f>
        <v/>
      </c>
      <c r="F1116">
        <f>IF($P1116="","",IF(ISNUMBER(INDEX(상세표[블록종료],$P1116)),TEXT(INDEX(상세표[블록종료],$P1116),"yyyy-mm-dd hh:mm"),INDEX(상세표[블록종료],$P1116)&amp;""))</f>
        <v/>
      </c>
      <c r="G1116">
        <f>IF($P1116="","",CHOOSE(WEEKDAY(INDEX(상세표[시작],$P1116)),"일","월","화","수","목","금","토"))</f>
        <v/>
      </c>
      <c r="H1116">
        <f>IF($P1116="","",INDEX(상세표[연속 시간],$P1116))</f>
        <v/>
      </c>
      <c r="I1116">
        <f>IF($P1116="","",INDEX(상세표[기록 수],$P1116))</f>
        <v/>
      </c>
      <c r="J1116">
        <f>IF($P1116="","",INDEX(상세표[블록 06~07시],$P1116))</f>
        <v/>
      </c>
      <c r="K1116">
        <f>IF($P1116="","",INDEX(상세표[블록 07~18시],$P1116))</f>
        <v/>
      </c>
      <c r="L1116">
        <f>IF($P1116="","",INDEX(상세표[블록 18~22시],$P1116))</f>
        <v/>
      </c>
      <c r="M1116">
        <f>IF($P1116="","",INDEX(상세표[블록 22~06시],$P1116))</f>
        <v/>
      </c>
      <c r="N1116">
        <f>IF($P1116="","",INDEX(상세표[주말·휴일 포함],$P1116)&amp;"")</f>
        <v/>
      </c>
      <c r="O1116">
        <f>IF($P1116="","",INDEX(상세표[월 넘김 포함],$P1116)&amp;"")</f>
        <v/>
      </c>
      <c r="P1116" s="4">
        <f>IFERROR(MATCH(1111,상세표[연속순번],0),"")</f>
        <v/>
      </c>
    </row>
    <row r="1117">
      <c r="A1117">
        <f>IF($P1117="","",INDEX(상세표[사번],$P1117)&amp;"")</f>
        <v/>
      </c>
      <c r="B1117">
        <f>IF($P1117="","",INDEX(상세표[성명],$P1117)&amp;"")</f>
        <v/>
      </c>
      <c r="C1117">
        <f>IF($P1117="","",INDEX(상세표[부서],$P1117)&amp;"")</f>
        <v/>
      </c>
      <c r="D1117">
        <f>IF($P1117="","",INDEX(상세표[직위],$P1117)&amp;"")</f>
        <v/>
      </c>
      <c r="E1117">
        <f>IF($P1117="","",IF(ISNUMBER(INDEX(상세표[시작],$P1117)),TEXT(INDEX(상세표[시작],$P1117),"yyyy-mm-dd hh:mm"),INDEX(상세표[시작],$P1117)&amp;""))</f>
        <v/>
      </c>
      <c r="F1117">
        <f>IF($P1117="","",IF(ISNUMBER(INDEX(상세표[블록종료],$P1117)),TEXT(INDEX(상세표[블록종료],$P1117),"yyyy-mm-dd hh:mm"),INDEX(상세표[블록종료],$P1117)&amp;""))</f>
        <v/>
      </c>
      <c r="G1117">
        <f>IF($P1117="","",CHOOSE(WEEKDAY(INDEX(상세표[시작],$P1117)),"일","월","화","수","목","금","토"))</f>
        <v/>
      </c>
      <c r="H1117">
        <f>IF($P1117="","",INDEX(상세표[연속 시간],$P1117))</f>
        <v/>
      </c>
      <c r="I1117">
        <f>IF($P1117="","",INDEX(상세표[기록 수],$P1117))</f>
        <v/>
      </c>
      <c r="J1117">
        <f>IF($P1117="","",INDEX(상세표[블록 06~07시],$P1117))</f>
        <v/>
      </c>
      <c r="K1117">
        <f>IF($P1117="","",INDEX(상세표[블록 07~18시],$P1117))</f>
        <v/>
      </c>
      <c r="L1117">
        <f>IF($P1117="","",INDEX(상세표[블록 18~22시],$P1117))</f>
        <v/>
      </c>
      <c r="M1117">
        <f>IF($P1117="","",INDEX(상세표[블록 22~06시],$P1117))</f>
        <v/>
      </c>
      <c r="N1117">
        <f>IF($P1117="","",INDEX(상세표[주말·휴일 포함],$P1117)&amp;"")</f>
        <v/>
      </c>
      <c r="O1117">
        <f>IF($P1117="","",INDEX(상세표[월 넘김 포함],$P1117)&amp;"")</f>
        <v/>
      </c>
      <c r="P1117" s="4">
        <f>IFERROR(MATCH(1112,상세표[연속순번],0),"")</f>
        <v/>
      </c>
    </row>
    <row r="1118">
      <c r="A1118">
        <f>IF($P1118="","",INDEX(상세표[사번],$P1118)&amp;"")</f>
        <v/>
      </c>
      <c r="B1118">
        <f>IF($P1118="","",INDEX(상세표[성명],$P1118)&amp;"")</f>
        <v/>
      </c>
      <c r="C1118">
        <f>IF($P1118="","",INDEX(상세표[부서],$P1118)&amp;"")</f>
        <v/>
      </c>
      <c r="D1118">
        <f>IF($P1118="","",INDEX(상세표[직위],$P1118)&amp;"")</f>
        <v/>
      </c>
      <c r="E1118">
        <f>IF($P1118="","",IF(ISNUMBER(INDEX(상세표[시작],$P1118)),TEXT(INDEX(상세표[시작],$P1118),"yyyy-mm-dd hh:mm"),INDEX(상세표[시작],$P1118)&amp;""))</f>
        <v/>
      </c>
      <c r="F1118">
        <f>IF($P1118="","",IF(ISNUMBER(INDEX(상세표[블록종료],$P1118)),TEXT(INDEX(상세표[블록종료],$P1118),"yyyy-mm-dd hh:mm"),INDEX(상세표[블록종료],$P1118)&amp;""))</f>
        <v/>
      </c>
      <c r="G1118">
        <f>IF($P1118="","",CHOOSE(WEEKDAY(INDEX(상세표[시작],$P1118)),"일","월","화","수","목","금","토"))</f>
        <v/>
      </c>
      <c r="H1118">
        <f>IF($P1118="","",INDEX(상세표[연속 시간],$P1118))</f>
        <v/>
      </c>
      <c r="I1118">
        <f>IF($P1118="","",INDEX(상세표[기록 수],$P1118))</f>
        <v/>
      </c>
      <c r="J1118">
        <f>IF($P1118="","",INDEX(상세표[블록 06~07시],$P1118))</f>
        <v/>
      </c>
      <c r="K1118">
        <f>IF($P1118="","",INDEX(상세표[블록 07~18시],$P1118))</f>
        <v/>
      </c>
      <c r="L1118">
        <f>IF($P1118="","",INDEX(상세표[블록 18~22시],$P1118))</f>
        <v/>
      </c>
      <c r="M1118">
        <f>IF($P1118="","",INDEX(상세표[블록 22~06시],$P1118))</f>
        <v/>
      </c>
      <c r="N1118">
        <f>IF($P1118="","",INDEX(상세표[주말·휴일 포함],$P1118)&amp;"")</f>
        <v/>
      </c>
      <c r="O1118">
        <f>IF($P1118="","",INDEX(상세표[월 넘김 포함],$P1118)&amp;"")</f>
        <v/>
      </c>
      <c r="P1118" s="4">
        <f>IFERROR(MATCH(1113,상세표[연속순번],0),"")</f>
        <v/>
      </c>
    </row>
    <row r="1119">
      <c r="A1119">
        <f>IF($P1119="","",INDEX(상세표[사번],$P1119)&amp;"")</f>
        <v/>
      </c>
      <c r="B1119">
        <f>IF($P1119="","",INDEX(상세표[성명],$P1119)&amp;"")</f>
        <v/>
      </c>
      <c r="C1119">
        <f>IF($P1119="","",INDEX(상세표[부서],$P1119)&amp;"")</f>
        <v/>
      </c>
      <c r="D1119">
        <f>IF($P1119="","",INDEX(상세표[직위],$P1119)&amp;"")</f>
        <v/>
      </c>
      <c r="E1119">
        <f>IF($P1119="","",IF(ISNUMBER(INDEX(상세표[시작],$P1119)),TEXT(INDEX(상세표[시작],$P1119),"yyyy-mm-dd hh:mm"),INDEX(상세표[시작],$P1119)&amp;""))</f>
        <v/>
      </c>
      <c r="F1119">
        <f>IF($P1119="","",IF(ISNUMBER(INDEX(상세표[블록종료],$P1119)),TEXT(INDEX(상세표[블록종료],$P1119),"yyyy-mm-dd hh:mm"),INDEX(상세표[블록종료],$P1119)&amp;""))</f>
        <v/>
      </c>
      <c r="G1119">
        <f>IF($P1119="","",CHOOSE(WEEKDAY(INDEX(상세표[시작],$P1119)),"일","월","화","수","목","금","토"))</f>
        <v/>
      </c>
      <c r="H1119">
        <f>IF($P1119="","",INDEX(상세표[연속 시간],$P1119))</f>
        <v/>
      </c>
      <c r="I1119">
        <f>IF($P1119="","",INDEX(상세표[기록 수],$P1119))</f>
        <v/>
      </c>
      <c r="J1119">
        <f>IF($P1119="","",INDEX(상세표[블록 06~07시],$P1119))</f>
        <v/>
      </c>
      <c r="K1119">
        <f>IF($P1119="","",INDEX(상세표[블록 07~18시],$P1119))</f>
        <v/>
      </c>
      <c r="L1119">
        <f>IF($P1119="","",INDEX(상세표[블록 18~22시],$P1119))</f>
        <v/>
      </c>
      <c r="M1119">
        <f>IF($P1119="","",INDEX(상세표[블록 22~06시],$P1119))</f>
        <v/>
      </c>
      <c r="N1119">
        <f>IF($P1119="","",INDEX(상세표[주말·휴일 포함],$P1119)&amp;"")</f>
        <v/>
      </c>
      <c r="O1119">
        <f>IF($P1119="","",INDEX(상세표[월 넘김 포함],$P1119)&amp;"")</f>
        <v/>
      </c>
      <c r="P1119" s="4">
        <f>IFERROR(MATCH(1114,상세표[연속순번],0),"")</f>
        <v/>
      </c>
    </row>
    <row r="1120">
      <c r="A1120">
        <f>IF($P1120="","",INDEX(상세표[사번],$P1120)&amp;"")</f>
        <v/>
      </c>
      <c r="B1120">
        <f>IF($P1120="","",INDEX(상세표[성명],$P1120)&amp;"")</f>
        <v/>
      </c>
      <c r="C1120">
        <f>IF($P1120="","",INDEX(상세표[부서],$P1120)&amp;"")</f>
        <v/>
      </c>
      <c r="D1120">
        <f>IF($P1120="","",INDEX(상세표[직위],$P1120)&amp;"")</f>
        <v/>
      </c>
      <c r="E1120">
        <f>IF($P1120="","",IF(ISNUMBER(INDEX(상세표[시작],$P1120)),TEXT(INDEX(상세표[시작],$P1120),"yyyy-mm-dd hh:mm"),INDEX(상세표[시작],$P1120)&amp;""))</f>
        <v/>
      </c>
      <c r="F1120">
        <f>IF($P1120="","",IF(ISNUMBER(INDEX(상세표[블록종료],$P1120)),TEXT(INDEX(상세표[블록종료],$P1120),"yyyy-mm-dd hh:mm"),INDEX(상세표[블록종료],$P1120)&amp;""))</f>
        <v/>
      </c>
      <c r="G1120">
        <f>IF($P1120="","",CHOOSE(WEEKDAY(INDEX(상세표[시작],$P1120)),"일","월","화","수","목","금","토"))</f>
        <v/>
      </c>
      <c r="H1120">
        <f>IF($P1120="","",INDEX(상세표[연속 시간],$P1120))</f>
        <v/>
      </c>
      <c r="I1120">
        <f>IF($P1120="","",INDEX(상세표[기록 수],$P1120))</f>
        <v/>
      </c>
      <c r="J1120">
        <f>IF($P1120="","",INDEX(상세표[블록 06~07시],$P1120))</f>
        <v/>
      </c>
      <c r="K1120">
        <f>IF($P1120="","",INDEX(상세표[블록 07~18시],$P1120))</f>
        <v/>
      </c>
      <c r="L1120">
        <f>IF($P1120="","",INDEX(상세표[블록 18~22시],$P1120))</f>
        <v/>
      </c>
      <c r="M1120">
        <f>IF($P1120="","",INDEX(상세표[블록 22~06시],$P1120))</f>
        <v/>
      </c>
      <c r="N1120">
        <f>IF($P1120="","",INDEX(상세표[주말·휴일 포함],$P1120)&amp;"")</f>
        <v/>
      </c>
      <c r="O1120">
        <f>IF($P1120="","",INDEX(상세표[월 넘김 포함],$P1120)&amp;"")</f>
        <v/>
      </c>
      <c r="P1120" s="4">
        <f>IFERROR(MATCH(1115,상세표[연속순번],0),"")</f>
        <v/>
      </c>
    </row>
    <row r="1121">
      <c r="A1121">
        <f>IF($P1121="","",INDEX(상세표[사번],$P1121)&amp;"")</f>
        <v/>
      </c>
      <c r="B1121">
        <f>IF($P1121="","",INDEX(상세표[성명],$P1121)&amp;"")</f>
        <v/>
      </c>
      <c r="C1121">
        <f>IF($P1121="","",INDEX(상세표[부서],$P1121)&amp;"")</f>
        <v/>
      </c>
      <c r="D1121">
        <f>IF($P1121="","",INDEX(상세표[직위],$P1121)&amp;"")</f>
        <v/>
      </c>
      <c r="E1121">
        <f>IF($P1121="","",IF(ISNUMBER(INDEX(상세표[시작],$P1121)),TEXT(INDEX(상세표[시작],$P1121),"yyyy-mm-dd hh:mm"),INDEX(상세표[시작],$P1121)&amp;""))</f>
        <v/>
      </c>
      <c r="F1121">
        <f>IF($P1121="","",IF(ISNUMBER(INDEX(상세표[블록종료],$P1121)),TEXT(INDEX(상세표[블록종료],$P1121),"yyyy-mm-dd hh:mm"),INDEX(상세표[블록종료],$P1121)&amp;""))</f>
        <v/>
      </c>
      <c r="G1121">
        <f>IF($P1121="","",CHOOSE(WEEKDAY(INDEX(상세표[시작],$P1121)),"일","월","화","수","목","금","토"))</f>
        <v/>
      </c>
      <c r="H1121">
        <f>IF($P1121="","",INDEX(상세표[연속 시간],$P1121))</f>
        <v/>
      </c>
      <c r="I1121">
        <f>IF($P1121="","",INDEX(상세표[기록 수],$P1121))</f>
        <v/>
      </c>
      <c r="J1121">
        <f>IF($P1121="","",INDEX(상세표[블록 06~07시],$P1121))</f>
        <v/>
      </c>
      <c r="K1121">
        <f>IF($P1121="","",INDEX(상세표[블록 07~18시],$P1121))</f>
        <v/>
      </c>
      <c r="L1121">
        <f>IF($P1121="","",INDEX(상세표[블록 18~22시],$P1121))</f>
        <v/>
      </c>
      <c r="M1121">
        <f>IF($P1121="","",INDEX(상세표[블록 22~06시],$P1121))</f>
        <v/>
      </c>
      <c r="N1121">
        <f>IF($P1121="","",INDEX(상세표[주말·휴일 포함],$P1121)&amp;"")</f>
        <v/>
      </c>
      <c r="O1121">
        <f>IF($P1121="","",INDEX(상세표[월 넘김 포함],$P1121)&amp;"")</f>
        <v/>
      </c>
      <c r="P1121" s="4">
        <f>IFERROR(MATCH(1116,상세표[연속순번],0),"")</f>
        <v/>
      </c>
    </row>
    <row r="1122">
      <c r="A1122">
        <f>IF($P1122="","",INDEX(상세표[사번],$P1122)&amp;"")</f>
        <v/>
      </c>
      <c r="B1122">
        <f>IF($P1122="","",INDEX(상세표[성명],$P1122)&amp;"")</f>
        <v/>
      </c>
      <c r="C1122">
        <f>IF($P1122="","",INDEX(상세표[부서],$P1122)&amp;"")</f>
        <v/>
      </c>
      <c r="D1122">
        <f>IF($P1122="","",INDEX(상세표[직위],$P1122)&amp;"")</f>
        <v/>
      </c>
      <c r="E1122">
        <f>IF($P1122="","",IF(ISNUMBER(INDEX(상세표[시작],$P1122)),TEXT(INDEX(상세표[시작],$P1122),"yyyy-mm-dd hh:mm"),INDEX(상세표[시작],$P1122)&amp;""))</f>
        <v/>
      </c>
      <c r="F1122">
        <f>IF($P1122="","",IF(ISNUMBER(INDEX(상세표[블록종료],$P1122)),TEXT(INDEX(상세표[블록종료],$P1122),"yyyy-mm-dd hh:mm"),INDEX(상세표[블록종료],$P1122)&amp;""))</f>
        <v/>
      </c>
      <c r="G1122">
        <f>IF($P1122="","",CHOOSE(WEEKDAY(INDEX(상세표[시작],$P1122)),"일","월","화","수","목","금","토"))</f>
        <v/>
      </c>
      <c r="H1122">
        <f>IF($P1122="","",INDEX(상세표[연속 시간],$P1122))</f>
        <v/>
      </c>
      <c r="I1122">
        <f>IF($P1122="","",INDEX(상세표[기록 수],$P1122))</f>
        <v/>
      </c>
      <c r="J1122">
        <f>IF($P1122="","",INDEX(상세표[블록 06~07시],$P1122))</f>
        <v/>
      </c>
      <c r="K1122">
        <f>IF($P1122="","",INDEX(상세표[블록 07~18시],$P1122))</f>
        <v/>
      </c>
      <c r="L1122">
        <f>IF($P1122="","",INDEX(상세표[블록 18~22시],$P1122))</f>
        <v/>
      </c>
      <c r="M1122">
        <f>IF($P1122="","",INDEX(상세표[블록 22~06시],$P1122))</f>
        <v/>
      </c>
      <c r="N1122">
        <f>IF($P1122="","",INDEX(상세표[주말·휴일 포함],$P1122)&amp;"")</f>
        <v/>
      </c>
      <c r="O1122">
        <f>IF($P1122="","",INDEX(상세표[월 넘김 포함],$P1122)&amp;"")</f>
        <v/>
      </c>
      <c r="P1122" s="4">
        <f>IFERROR(MATCH(1117,상세표[연속순번],0),"")</f>
        <v/>
      </c>
    </row>
    <row r="1123">
      <c r="A1123">
        <f>IF($P1123="","",INDEX(상세표[사번],$P1123)&amp;"")</f>
        <v/>
      </c>
      <c r="B1123">
        <f>IF($P1123="","",INDEX(상세표[성명],$P1123)&amp;"")</f>
        <v/>
      </c>
      <c r="C1123">
        <f>IF($P1123="","",INDEX(상세표[부서],$P1123)&amp;"")</f>
        <v/>
      </c>
      <c r="D1123">
        <f>IF($P1123="","",INDEX(상세표[직위],$P1123)&amp;"")</f>
        <v/>
      </c>
      <c r="E1123">
        <f>IF($P1123="","",IF(ISNUMBER(INDEX(상세표[시작],$P1123)),TEXT(INDEX(상세표[시작],$P1123),"yyyy-mm-dd hh:mm"),INDEX(상세표[시작],$P1123)&amp;""))</f>
        <v/>
      </c>
      <c r="F1123">
        <f>IF($P1123="","",IF(ISNUMBER(INDEX(상세표[블록종료],$P1123)),TEXT(INDEX(상세표[블록종료],$P1123),"yyyy-mm-dd hh:mm"),INDEX(상세표[블록종료],$P1123)&amp;""))</f>
        <v/>
      </c>
      <c r="G1123">
        <f>IF($P1123="","",CHOOSE(WEEKDAY(INDEX(상세표[시작],$P1123)),"일","월","화","수","목","금","토"))</f>
        <v/>
      </c>
      <c r="H1123">
        <f>IF($P1123="","",INDEX(상세표[연속 시간],$P1123))</f>
        <v/>
      </c>
      <c r="I1123">
        <f>IF($P1123="","",INDEX(상세표[기록 수],$P1123))</f>
        <v/>
      </c>
      <c r="J1123">
        <f>IF($P1123="","",INDEX(상세표[블록 06~07시],$P1123))</f>
        <v/>
      </c>
      <c r="K1123">
        <f>IF($P1123="","",INDEX(상세표[블록 07~18시],$P1123))</f>
        <v/>
      </c>
      <c r="L1123">
        <f>IF($P1123="","",INDEX(상세표[블록 18~22시],$P1123))</f>
        <v/>
      </c>
      <c r="M1123">
        <f>IF($P1123="","",INDEX(상세표[블록 22~06시],$P1123))</f>
        <v/>
      </c>
      <c r="N1123">
        <f>IF($P1123="","",INDEX(상세표[주말·휴일 포함],$P1123)&amp;"")</f>
        <v/>
      </c>
      <c r="O1123">
        <f>IF($P1123="","",INDEX(상세표[월 넘김 포함],$P1123)&amp;"")</f>
        <v/>
      </c>
      <c r="P1123" s="4">
        <f>IFERROR(MATCH(1118,상세표[연속순번],0),"")</f>
        <v/>
      </c>
    </row>
    <row r="1124">
      <c r="A1124">
        <f>IF($P1124="","",INDEX(상세표[사번],$P1124)&amp;"")</f>
        <v/>
      </c>
      <c r="B1124">
        <f>IF($P1124="","",INDEX(상세표[성명],$P1124)&amp;"")</f>
        <v/>
      </c>
      <c r="C1124">
        <f>IF($P1124="","",INDEX(상세표[부서],$P1124)&amp;"")</f>
        <v/>
      </c>
      <c r="D1124">
        <f>IF($P1124="","",INDEX(상세표[직위],$P1124)&amp;"")</f>
        <v/>
      </c>
      <c r="E1124">
        <f>IF($P1124="","",IF(ISNUMBER(INDEX(상세표[시작],$P1124)),TEXT(INDEX(상세표[시작],$P1124),"yyyy-mm-dd hh:mm"),INDEX(상세표[시작],$P1124)&amp;""))</f>
        <v/>
      </c>
      <c r="F1124">
        <f>IF($P1124="","",IF(ISNUMBER(INDEX(상세표[블록종료],$P1124)),TEXT(INDEX(상세표[블록종료],$P1124),"yyyy-mm-dd hh:mm"),INDEX(상세표[블록종료],$P1124)&amp;""))</f>
        <v/>
      </c>
      <c r="G1124">
        <f>IF($P1124="","",CHOOSE(WEEKDAY(INDEX(상세표[시작],$P1124)),"일","월","화","수","목","금","토"))</f>
        <v/>
      </c>
      <c r="H1124">
        <f>IF($P1124="","",INDEX(상세표[연속 시간],$P1124))</f>
        <v/>
      </c>
      <c r="I1124">
        <f>IF($P1124="","",INDEX(상세표[기록 수],$P1124))</f>
        <v/>
      </c>
      <c r="J1124">
        <f>IF($P1124="","",INDEX(상세표[블록 06~07시],$P1124))</f>
        <v/>
      </c>
      <c r="K1124">
        <f>IF($P1124="","",INDEX(상세표[블록 07~18시],$P1124))</f>
        <v/>
      </c>
      <c r="L1124">
        <f>IF($P1124="","",INDEX(상세표[블록 18~22시],$P1124))</f>
        <v/>
      </c>
      <c r="M1124">
        <f>IF($P1124="","",INDEX(상세표[블록 22~06시],$P1124))</f>
        <v/>
      </c>
      <c r="N1124">
        <f>IF($P1124="","",INDEX(상세표[주말·휴일 포함],$P1124)&amp;"")</f>
        <v/>
      </c>
      <c r="O1124">
        <f>IF($P1124="","",INDEX(상세표[월 넘김 포함],$P1124)&amp;"")</f>
        <v/>
      </c>
      <c r="P1124" s="4">
        <f>IFERROR(MATCH(1119,상세표[연속순번],0),"")</f>
        <v/>
      </c>
    </row>
    <row r="1125">
      <c r="A1125">
        <f>IF($P1125="","",INDEX(상세표[사번],$P1125)&amp;"")</f>
        <v/>
      </c>
      <c r="B1125">
        <f>IF($P1125="","",INDEX(상세표[성명],$P1125)&amp;"")</f>
        <v/>
      </c>
      <c r="C1125">
        <f>IF($P1125="","",INDEX(상세표[부서],$P1125)&amp;"")</f>
        <v/>
      </c>
      <c r="D1125">
        <f>IF($P1125="","",INDEX(상세표[직위],$P1125)&amp;"")</f>
        <v/>
      </c>
      <c r="E1125">
        <f>IF($P1125="","",IF(ISNUMBER(INDEX(상세표[시작],$P1125)),TEXT(INDEX(상세표[시작],$P1125),"yyyy-mm-dd hh:mm"),INDEX(상세표[시작],$P1125)&amp;""))</f>
        <v/>
      </c>
      <c r="F1125">
        <f>IF($P1125="","",IF(ISNUMBER(INDEX(상세표[블록종료],$P1125)),TEXT(INDEX(상세표[블록종료],$P1125),"yyyy-mm-dd hh:mm"),INDEX(상세표[블록종료],$P1125)&amp;""))</f>
        <v/>
      </c>
      <c r="G1125">
        <f>IF($P1125="","",CHOOSE(WEEKDAY(INDEX(상세표[시작],$P1125)),"일","월","화","수","목","금","토"))</f>
        <v/>
      </c>
      <c r="H1125">
        <f>IF($P1125="","",INDEX(상세표[연속 시간],$P1125))</f>
        <v/>
      </c>
      <c r="I1125">
        <f>IF($P1125="","",INDEX(상세표[기록 수],$P1125))</f>
        <v/>
      </c>
      <c r="J1125">
        <f>IF($P1125="","",INDEX(상세표[블록 06~07시],$P1125))</f>
        <v/>
      </c>
      <c r="K1125">
        <f>IF($P1125="","",INDEX(상세표[블록 07~18시],$P1125))</f>
        <v/>
      </c>
      <c r="L1125">
        <f>IF($P1125="","",INDEX(상세표[블록 18~22시],$P1125))</f>
        <v/>
      </c>
      <c r="M1125">
        <f>IF($P1125="","",INDEX(상세표[블록 22~06시],$P1125))</f>
        <v/>
      </c>
      <c r="N1125">
        <f>IF($P1125="","",INDEX(상세표[주말·휴일 포함],$P1125)&amp;"")</f>
        <v/>
      </c>
      <c r="O1125">
        <f>IF($P1125="","",INDEX(상세표[월 넘김 포함],$P1125)&amp;"")</f>
        <v/>
      </c>
      <c r="P1125" s="4">
        <f>IFERROR(MATCH(1120,상세표[연속순번],0),"")</f>
        <v/>
      </c>
    </row>
    <row r="1126">
      <c r="A1126">
        <f>IF($P1126="","",INDEX(상세표[사번],$P1126)&amp;"")</f>
        <v/>
      </c>
      <c r="B1126">
        <f>IF($P1126="","",INDEX(상세표[성명],$P1126)&amp;"")</f>
        <v/>
      </c>
      <c r="C1126">
        <f>IF($P1126="","",INDEX(상세표[부서],$P1126)&amp;"")</f>
        <v/>
      </c>
      <c r="D1126">
        <f>IF($P1126="","",INDEX(상세표[직위],$P1126)&amp;"")</f>
        <v/>
      </c>
      <c r="E1126">
        <f>IF($P1126="","",IF(ISNUMBER(INDEX(상세표[시작],$P1126)),TEXT(INDEX(상세표[시작],$P1126),"yyyy-mm-dd hh:mm"),INDEX(상세표[시작],$P1126)&amp;""))</f>
        <v/>
      </c>
      <c r="F1126">
        <f>IF($P1126="","",IF(ISNUMBER(INDEX(상세표[블록종료],$P1126)),TEXT(INDEX(상세표[블록종료],$P1126),"yyyy-mm-dd hh:mm"),INDEX(상세표[블록종료],$P1126)&amp;""))</f>
        <v/>
      </c>
      <c r="G1126">
        <f>IF($P1126="","",CHOOSE(WEEKDAY(INDEX(상세표[시작],$P1126)),"일","월","화","수","목","금","토"))</f>
        <v/>
      </c>
      <c r="H1126">
        <f>IF($P1126="","",INDEX(상세표[연속 시간],$P1126))</f>
        <v/>
      </c>
      <c r="I1126">
        <f>IF($P1126="","",INDEX(상세표[기록 수],$P1126))</f>
        <v/>
      </c>
      <c r="J1126">
        <f>IF($P1126="","",INDEX(상세표[블록 06~07시],$P1126))</f>
        <v/>
      </c>
      <c r="K1126">
        <f>IF($P1126="","",INDEX(상세표[블록 07~18시],$P1126))</f>
        <v/>
      </c>
      <c r="L1126">
        <f>IF($P1126="","",INDEX(상세표[블록 18~22시],$P1126))</f>
        <v/>
      </c>
      <c r="M1126">
        <f>IF($P1126="","",INDEX(상세표[블록 22~06시],$P1126))</f>
        <v/>
      </c>
      <c r="N1126">
        <f>IF($P1126="","",INDEX(상세표[주말·휴일 포함],$P1126)&amp;"")</f>
        <v/>
      </c>
      <c r="O1126">
        <f>IF($P1126="","",INDEX(상세표[월 넘김 포함],$P1126)&amp;"")</f>
        <v/>
      </c>
      <c r="P1126" s="4">
        <f>IFERROR(MATCH(1121,상세표[연속순번],0),"")</f>
        <v/>
      </c>
    </row>
    <row r="1127">
      <c r="A1127">
        <f>IF($P1127="","",INDEX(상세표[사번],$P1127)&amp;"")</f>
        <v/>
      </c>
      <c r="B1127">
        <f>IF($P1127="","",INDEX(상세표[성명],$P1127)&amp;"")</f>
        <v/>
      </c>
      <c r="C1127">
        <f>IF($P1127="","",INDEX(상세표[부서],$P1127)&amp;"")</f>
        <v/>
      </c>
      <c r="D1127">
        <f>IF($P1127="","",INDEX(상세표[직위],$P1127)&amp;"")</f>
        <v/>
      </c>
      <c r="E1127">
        <f>IF($P1127="","",IF(ISNUMBER(INDEX(상세표[시작],$P1127)),TEXT(INDEX(상세표[시작],$P1127),"yyyy-mm-dd hh:mm"),INDEX(상세표[시작],$P1127)&amp;""))</f>
        <v/>
      </c>
      <c r="F1127">
        <f>IF($P1127="","",IF(ISNUMBER(INDEX(상세표[블록종료],$P1127)),TEXT(INDEX(상세표[블록종료],$P1127),"yyyy-mm-dd hh:mm"),INDEX(상세표[블록종료],$P1127)&amp;""))</f>
        <v/>
      </c>
      <c r="G1127">
        <f>IF($P1127="","",CHOOSE(WEEKDAY(INDEX(상세표[시작],$P1127)),"일","월","화","수","목","금","토"))</f>
        <v/>
      </c>
      <c r="H1127">
        <f>IF($P1127="","",INDEX(상세표[연속 시간],$P1127))</f>
        <v/>
      </c>
      <c r="I1127">
        <f>IF($P1127="","",INDEX(상세표[기록 수],$P1127))</f>
        <v/>
      </c>
      <c r="J1127">
        <f>IF($P1127="","",INDEX(상세표[블록 06~07시],$P1127))</f>
        <v/>
      </c>
      <c r="K1127">
        <f>IF($P1127="","",INDEX(상세표[블록 07~18시],$P1127))</f>
        <v/>
      </c>
      <c r="L1127">
        <f>IF($P1127="","",INDEX(상세표[블록 18~22시],$P1127))</f>
        <v/>
      </c>
      <c r="M1127">
        <f>IF($P1127="","",INDEX(상세표[블록 22~06시],$P1127))</f>
        <v/>
      </c>
      <c r="N1127">
        <f>IF($P1127="","",INDEX(상세표[주말·휴일 포함],$P1127)&amp;"")</f>
        <v/>
      </c>
      <c r="O1127">
        <f>IF($P1127="","",INDEX(상세표[월 넘김 포함],$P1127)&amp;"")</f>
        <v/>
      </c>
      <c r="P1127" s="4">
        <f>IFERROR(MATCH(1122,상세표[연속순번],0),"")</f>
        <v/>
      </c>
    </row>
    <row r="1128">
      <c r="A1128">
        <f>IF($P1128="","",INDEX(상세표[사번],$P1128)&amp;"")</f>
        <v/>
      </c>
      <c r="B1128">
        <f>IF($P1128="","",INDEX(상세표[성명],$P1128)&amp;"")</f>
        <v/>
      </c>
      <c r="C1128">
        <f>IF($P1128="","",INDEX(상세표[부서],$P1128)&amp;"")</f>
        <v/>
      </c>
      <c r="D1128">
        <f>IF($P1128="","",INDEX(상세표[직위],$P1128)&amp;"")</f>
        <v/>
      </c>
      <c r="E1128">
        <f>IF($P1128="","",IF(ISNUMBER(INDEX(상세표[시작],$P1128)),TEXT(INDEX(상세표[시작],$P1128),"yyyy-mm-dd hh:mm"),INDEX(상세표[시작],$P1128)&amp;""))</f>
        <v/>
      </c>
      <c r="F1128">
        <f>IF($P1128="","",IF(ISNUMBER(INDEX(상세표[블록종료],$P1128)),TEXT(INDEX(상세표[블록종료],$P1128),"yyyy-mm-dd hh:mm"),INDEX(상세표[블록종료],$P1128)&amp;""))</f>
        <v/>
      </c>
      <c r="G1128">
        <f>IF($P1128="","",CHOOSE(WEEKDAY(INDEX(상세표[시작],$P1128)),"일","월","화","수","목","금","토"))</f>
        <v/>
      </c>
      <c r="H1128">
        <f>IF($P1128="","",INDEX(상세표[연속 시간],$P1128))</f>
        <v/>
      </c>
      <c r="I1128">
        <f>IF($P1128="","",INDEX(상세표[기록 수],$P1128))</f>
        <v/>
      </c>
      <c r="J1128">
        <f>IF($P1128="","",INDEX(상세표[블록 06~07시],$P1128))</f>
        <v/>
      </c>
      <c r="K1128">
        <f>IF($P1128="","",INDEX(상세표[블록 07~18시],$P1128))</f>
        <v/>
      </c>
      <c r="L1128">
        <f>IF($P1128="","",INDEX(상세표[블록 18~22시],$P1128))</f>
        <v/>
      </c>
      <c r="M1128">
        <f>IF($P1128="","",INDEX(상세표[블록 22~06시],$P1128))</f>
        <v/>
      </c>
      <c r="N1128">
        <f>IF($P1128="","",INDEX(상세표[주말·휴일 포함],$P1128)&amp;"")</f>
        <v/>
      </c>
      <c r="O1128">
        <f>IF($P1128="","",INDEX(상세표[월 넘김 포함],$P1128)&amp;"")</f>
        <v/>
      </c>
      <c r="P1128" s="4">
        <f>IFERROR(MATCH(1123,상세표[연속순번],0),"")</f>
        <v/>
      </c>
    </row>
    <row r="1129">
      <c r="A1129">
        <f>IF($P1129="","",INDEX(상세표[사번],$P1129)&amp;"")</f>
        <v/>
      </c>
      <c r="B1129">
        <f>IF($P1129="","",INDEX(상세표[성명],$P1129)&amp;"")</f>
        <v/>
      </c>
      <c r="C1129">
        <f>IF($P1129="","",INDEX(상세표[부서],$P1129)&amp;"")</f>
        <v/>
      </c>
      <c r="D1129">
        <f>IF($P1129="","",INDEX(상세표[직위],$P1129)&amp;"")</f>
        <v/>
      </c>
      <c r="E1129">
        <f>IF($P1129="","",IF(ISNUMBER(INDEX(상세표[시작],$P1129)),TEXT(INDEX(상세표[시작],$P1129),"yyyy-mm-dd hh:mm"),INDEX(상세표[시작],$P1129)&amp;""))</f>
        <v/>
      </c>
      <c r="F1129">
        <f>IF($P1129="","",IF(ISNUMBER(INDEX(상세표[블록종료],$P1129)),TEXT(INDEX(상세표[블록종료],$P1129),"yyyy-mm-dd hh:mm"),INDEX(상세표[블록종료],$P1129)&amp;""))</f>
        <v/>
      </c>
      <c r="G1129">
        <f>IF($P1129="","",CHOOSE(WEEKDAY(INDEX(상세표[시작],$P1129)),"일","월","화","수","목","금","토"))</f>
        <v/>
      </c>
      <c r="H1129">
        <f>IF($P1129="","",INDEX(상세표[연속 시간],$P1129))</f>
        <v/>
      </c>
      <c r="I1129">
        <f>IF($P1129="","",INDEX(상세표[기록 수],$P1129))</f>
        <v/>
      </c>
      <c r="J1129">
        <f>IF($P1129="","",INDEX(상세표[블록 06~07시],$P1129))</f>
        <v/>
      </c>
      <c r="K1129">
        <f>IF($P1129="","",INDEX(상세표[블록 07~18시],$P1129))</f>
        <v/>
      </c>
      <c r="L1129">
        <f>IF($P1129="","",INDEX(상세표[블록 18~22시],$P1129))</f>
        <v/>
      </c>
      <c r="M1129">
        <f>IF($P1129="","",INDEX(상세표[블록 22~06시],$P1129))</f>
        <v/>
      </c>
      <c r="N1129">
        <f>IF($P1129="","",INDEX(상세표[주말·휴일 포함],$P1129)&amp;"")</f>
        <v/>
      </c>
      <c r="O1129">
        <f>IF($P1129="","",INDEX(상세표[월 넘김 포함],$P1129)&amp;"")</f>
        <v/>
      </c>
      <c r="P1129" s="4">
        <f>IFERROR(MATCH(1124,상세표[연속순번],0),"")</f>
        <v/>
      </c>
    </row>
    <row r="1130">
      <c r="A1130">
        <f>IF($P1130="","",INDEX(상세표[사번],$P1130)&amp;"")</f>
        <v/>
      </c>
      <c r="B1130">
        <f>IF($P1130="","",INDEX(상세표[성명],$P1130)&amp;"")</f>
        <v/>
      </c>
      <c r="C1130">
        <f>IF($P1130="","",INDEX(상세표[부서],$P1130)&amp;"")</f>
        <v/>
      </c>
      <c r="D1130">
        <f>IF($P1130="","",INDEX(상세표[직위],$P1130)&amp;"")</f>
        <v/>
      </c>
      <c r="E1130">
        <f>IF($P1130="","",IF(ISNUMBER(INDEX(상세표[시작],$P1130)),TEXT(INDEX(상세표[시작],$P1130),"yyyy-mm-dd hh:mm"),INDEX(상세표[시작],$P1130)&amp;""))</f>
        <v/>
      </c>
      <c r="F1130">
        <f>IF($P1130="","",IF(ISNUMBER(INDEX(상세표[블록종료],$P1130)),TEXT(INDEX(상세표[블록종료],$P1130),"yyyy-mm-dd hh:mm"),INDEX(상세표[블록종료],$P1130)&amp;""))</f>
        <v/>
      </c>
      <c r="G1130">
        <f>IF($P1130="","",CHOOSE(WEEKDAY(INDEX(상세표[시작],$P1130)),"일","월","화","수","목","금","토"))</f>
        <v/>
      </c>
      <c r="H1130">
        <f>IF($P1130="","",INDEX(상세표[연속 시간],$P1130))</f>
        <v/>
      </c>
      <c r="I1130">
        <f>IF($P1130="","",INDEX(상세표[기록 수],$P1130))</f>
        <v/>
      </c>
      <c r="J1130">
        <f>IF($P1130="","",INDEX(상세표[블록 06~07시],$P1130))</f>
        <v/>
      </c>
      <c r="K1130">
        <f>IF($P1130="","",INDEX(상세표[블록 07~18시],$P1130))</f>
        <v/>
      </c>
      <c r="L1130">
        <f>IF($P1130="","",INDEX(상세표[블록 18~22시],$P1130))</f>
        <v/>
      </c>
      <c r="M1130">
        <f>IF($P1130="","",INDEX(상세표[블록 22~06시],$P1130))</f>
        <v/>
      </c>
      <c r="N1130">
        <f>IF($P1130="","",INDEX(상세표[주말·휴일 포함],$P1130)&amp;"")</f>
        <v/>
      </c>
      <c r="O1130">
        <f>IF($P1130="","",INDEX(상세표[월 넘김 포함],$P1130)&amp;"")</f>
        <v/>
      </c>
      <c r="P1130" s="4">
        <f>IFERROR(MATCH(1125,상세표[연속순번],0),"")</f>
        <v/>
      </c>
    </row>
    <row r="1131">
      <c r="A1131">
        <f>IF($P1131="","",INDEX(상세표[사번],$P1131)&amp;"")</f>
        <v/>
      </c>
      <c r="B1131">
        <f>IF($P1131="","",INDEX(상세표[성명],$P1131)&amp;"")</f>
        <v/>
      </c>
      <c r="C1131">
        <f>IF($P1131="","",INDEX(상세표[부서],$P1131)&amp;"")</f>
        <v/>
      </c>
      <c r="D1131">
        <f>IF($P1131="","",INDEX(상세표[직위],$P1131)&amp;"")</f>
        <v/>
      </c>
      <c r="E1131">
        <f>IF($P1131="","",IF(ISNUMBER(INDEX(상세표[시작],$P1131)),TEXT(INDEX(상세표[시작],$P1131),"yyyy-mm-dd hh:mm"),INDEX(상세표[시작],$P1131)&amp;""))</f>
        <v/>
      </c>
      <c r="F1131">
        <f>IF($P1131="","",IF(ISNUMBER(INDEX(상세표[블록종료],$P1131)),TEXT(INDEX(상세표[블록종료],$P1131),"yyyy-mm-dd hh:mm"),INDEX(상세표[블록종료],$P1131)&amp;""))</f>
        <v/>
      </c>
      <c r="G1131">
        <f>IF($P1131="","",CHOOSE(WEEKDAY(INDEX(상세표[시작],$P1131)),"일","월","화","수","목","금","토"))</f>
        <v/>
      </c>
      <c r="H1131">
        <f>IF($P1131="","",INDEX(상세표[연속 시간],$P1131))</f>
        <v/>
      </c>
      <c r="I1131">
        <f>IF($P1131="","",INDEX(상세표[기록 수],$P1131))</f>
        <v/>
      </c>
      <c r="J1131">
        <f>IF($P1131="","",INDEX(상세표[블록 06~07시],$P1131))</f>
        <v/>
      </c>
      <c r="K1131">
        <f>IF($P1131="","",INDEX(상세표[블록 07~18시],$P1131))</f>
        <v/>
      </c>
      <c r="L1131">
        <f>IF($P1131="","",INDEX(상세표[블록 18~22시],$P1131))</f>
        <v/>
      </c>
      <c r="M1131">
        <f>IF($P1131="","",INDEX(상세표[블록 22~06시],$P1131))</f>
        <v/>
      </c>
      <c r="N1131">
        <f>IF($P1131="","",INDEX(상세표[주말·휴일 포함],$P1131)&amp;"")</f>
        <v/>
      </c>
      <c r="O1131">
        <f>IF($P1131="","",INDEX(상세표[월 넘김 포함],$P1131)&amp;"")</f>
        <v/>
      </c>
      <c r="P1131" s="4">
        <f>IFERROR(MATCH(1126,상세표[연속순번],0),"")</f>
        <v/>
      </c>
    </row>
    <row r="1132">
      <c r="A1132">
        <f>IF($P1132="","",INDEX(상세표[사번],$P1132)&amp;"")</f>
        <v/>
      </c>
      <c r="B1132">
        <f>IF($P1132="","",INDEX(상세표[성명],$P1132)&amp;"")</f>
        <v/>
      </c>
      <c r="C1132">
        <f>IF($P1132="","",INDEX(상세표[부서],$P1132)&amp;"")</f>
        <v/>
      </c>
      <c r="D1132">
        <f>IF($P1132="","",INDEX(상세표[직위],$P1132)&amp;"")</f>
        <v/>
      </c>
      <c r="E1132">
        <f>IF($P1132="","",IF(ISNUMBER(INDEX(상세표[시작],$P1132)),TEXT(INDEX(상세표[시작],$P1132),"yyyy-mm-dd hh:mm"),INDEX(상세표[시작],$P1132)&amp;""))</f>
        <v/>
      </c>
      <c r="F1132">
        <f>IF($P1132="","",IF(ISNUMBER(INDEX(상세표[블록종료],$P1132)),TEXT(INDEX(상세표[블록종료],$P1132),"yyyy-mm-dd hh:mm"),INDEX(상세표[블록종료],$P1132)&amp;""))</f>
        <v/>
      </c>
      <c r="G1132">
        <f>IF($P1132="","",CHOOSE(WEEKDAY(INDEX(상세표[시작],$P1132)),"일","월","화","수","목","금","토"))</f>
        <v/>
      </c>
      <c r="H1132">
        <f>IF($P1132="","",INDEX(상세표[연속 시간],$P1132))</f>
        <v/>
      </c>
      <c r="I1132">
        <f>IF($P1132="","",INDEX(상세표[기록 수],$P1132))</f>
        <v/>
      </c>
      <c r="J1132">
        <f>IF($P1132="","",INDEX(상세표[블록 06~07시],$P1132))</f>
        <v/>
      </c>
      <c r="K1132">
        <f>IF($P1132="","",INDEX(상세표[블록 07~18시],$P1132))</f>
        <v/>
      </c>
      <c r="L1132">
        <f>IF($P1132="","",INDEX(상세표[블록 18~22시],$P1132))</f>
        <v/>
      </c>
      <c r="M1132">
        <f>IF($P1132="","",INDEX(상세표[블록 22~06시],$P1132))</f>
        <v/>
      </c>
      <c r="N1132">
        <f>IF($P1132="","",INDEX(상세표[주말·휴일 포함],$P1132)&amp;"")</f>
        <v/>
      </c>
      <c r="O1132">
        <f>IF($P1132="","",INDEX(상세표[월 넘김 포함],$P1132)&amp;"")</f>
        <v/>
      </c>
      <c r="P1132" s="4">
        <f>IFERROR(MATCH(1127,상세표[연속순번],0),"")</f>
        <v/>
      </c>
    </row>
    <row r="1133">
      <c r="A1133">
        <f>IF($P1133="","",INDEX(상세표[사번],$P1133)&amp;"")</f>
        <v/>
      </c>
      <c r="B1133">
        <f>IF($P1133="","",INDEX(상세표[성명],$P1133)&amp;"")</f>
        <v/>
      </c>
      <c r="C1133">
        <f>IF($P1133="","",INDEX(상세표[부서],$P1133)&amp;"")</f>
        <v/>
      </c>
      <c r="D1133">
        <f>IF($P1133="","",INDEX(상세표[직위],$P1133)&amp;"")</f>
        <v/>
      </c>
      <c r="E1133">
        <f>IF($P1133="","",IF(ISNUMBER(INDEX(상세표[시작],$P1133)),TEXT(INDEX(상세표[시작],$P1133),"yyyy-mm-dd hh:mm"),INDEX(상세표[시작],$P1133)&amp;""))</f>
        <v/>
      </c>
      <c r="F1133">
        <f>IF($P1133="","",IF(ISNUMBER(INDEX(상세표[블록종료],$P1133)),TEXT(INDEX(상세표[블록종료],$P1133),"yyyy-mm-dd hh:mm"),INDEX(상세표[블록종료],$P1133)&amp;""))</f>
        <v/>
      </c>
      <c r="G1133">
        <f>IF($P1133="","",CHOOSE(WEEKDAY(INDEX(상세표[시작],$P1133)),"일","월","화","수","목","금","토"))</f>
        <v/>
      </c>
      <c r="H1133">
        <f>IF($P1133="","",INDEX(상세표[연속 시간],$P1133))</f>
        <v/>
      </c>
      <c r="I1133">
        <f>IF($P1133="","",INDEX(상세표[기록 수],$P1133))</f>
        <v/>
      </c>
      <c r="J1133">
        <f>IF($P1133="","",INDEX(상세표[블록 06~07시],$P1133))</f>
        <v/>
      </c>
      <c r="K1133">
        <f>IF($P1133="","",INDEX(상세표[블록 07~18시],$P1133))</f>
        <v/>
      </c>
      <c r="L1133">
        <f>IF($P1133="","",INDEX(상세표[블록 18~22시],$P1133))</f>
        <v/>
      </c>
      <c r="M1133">
        <f>IF($P1133="","",INDEX(상세표[블록 22~06시],$P1133))</f>
        <v/>
      </c>
      <c r="N1133">
        <f>IF($P1133="","",INDEX(상세표[주말·휴일 포함],$P1133)&amp;"")</f>
        <v/>
      </c>
      <c r="O1133">
        <f>IF($P1133="","",INDEX(상세표[월 넘김 포함],$P1133)&amp;"")</f>
        <v/>
      </c>
      <c r="P1133" s="4">
        <f>IFERROR(MATCH(1128,상세표[연속순번],0),"")</f>
        <v/>
      </c>
    </row>
    <row r="1134">
      <c r="A1134">
        <f>IF($P1134="","",INDEX(상세표[사번],$P1134)&amp;"")</f>
        <v/>
      </c>
      <c r="B1134">
        <f>IF($P1134="","",INDEX(상세표[성명],$P1134)&amp;"")</f>
        <v/>
      </c>
      <c r="C1134">
        <f>IF($P1134="","",INDEX(상세표[부서],$P1134)&amp;"")</f>
        <v/>
      </c>
      <c r="D1134">
        <f>IF($P1134="","",INDEX(상세표[직위],$P1134)&amp;"")</f>
        <v/>
      </c>
      <c r="E1134">
        <f>IF($P1134="","",IF(ISNUMBER(INDEX(상세표[시작],$P1134)),TEXT(INDEX(상세표[시작],$P1134),"yyyy-mm-dd hh:mm"),INDEX(상세표[시작],$P1134)&amp;""))</f>
        <v/>
      </c>
      <c r="F1134">
        <f>IF($P1134="","",IF(ISNUMBER(INDEX(상세표[블록종료],$P1134)),TEXT(INDEX(상세표[블록종료],$P1134),"yyyy-mm-dd hh:mm"),INDEX(상세표[블록종료],$P1134)&amp;""))</f>
        <v/>
      </c>
      <c r="G1134">
        <f>IF($P1134="","",CHOOSE(WEEKDAY(INDEX(상세표[시작],$P1134)),"일","월","화","수","목","금","토"))</f>
        <v/>
      </c>
      <c r="H1134">
        <f>IF($P1134="","",INDEX(상세표[연속 시간],$P1134))</f>
        <v/>
      </c>
      <c r="I1134">
        <f>IF($P1134="","",INDEX(상세표[기록 수],$P1134))</f>
        <v/>
      </c>
      <c r="J1134">
        <f>IF($P1134="","",INDEX(상세표[블록 06~07시],$P1134))</f>
        <v/>
      </c>
      <c r="K1134">
        <f>IF($P1134="","",INDEX(상세표[블록 07~18시],$P1134))</f>
        <v/>
      </c>
      <c r="L1134">
        <f>IF($P1134="","",INDEX(상세표[블록 18~22시],$P1134))</f>
        <v/>
      </c>
      <c r="M1134">
        <f>IF($P1134="","",INDEX(상세표[블록 22~06시],$P1134))</f>
        <v/>
      </c>
      <c r="N1134">
        <f>IF($P1134="","",INDEX(상세표[주말·휴일 포함],$P1134)&amp;"")</f>
        <v/>
      </c>
      <c r="O1134">
        <f>IF($P1134="","",INDEX(상세표[월 넘김 포함],$P1134)&amp;"")</f>
        <v/>
      </c>
      <c r="P1134" s="4">
        <f>IFERROR(MATCH(1129,상세표[연속순번],0),"")</f>
        <v/>
      </c>
    </row>
    <row r="1135">
      <c r="A1135">
        <f>IF($P1135="","",INDEX(상세표[사번],$P1135)&amp;"")</f>
        <v/>
      </c>
      <c r="B1135">
        <f>IF($P1135="","",INDEX(상세표[성명],$P1135)&amp;"")</f>
        <v/>
      </c>
      <c r="C1135">
        <f>IF($P1135="","",INDEX(상세표[부서],$P1135)&amp;"")</f>
        <v/>
      </c>
      <c r="D1135">
        <f>IF($P1135="","",INDEX(상세표[직위],$P1135)&amp;"")</f>
        <v/>
      </c>
      <c r="E1135">
        <f>IF($P1135="","",IF(ISNUMBER(INDEX(상세표[시작],$P1135)),TEXT(INDEX(상세표[시작],$P1135),"yyyy-mm-dd hh:mm"),INDEX(상세표[시작],$P1135)&amp;""))</f>
        <v/>
      </c>
      <c r="F1135">
        <f>IF($P1135="","",IF(ISNUMBER(INDEX(상세표[블록종료],$P1135)),TEXT(INDEX(상세표[블록종료],$P1135),"yyyy-mm-dd hh:mm"),INDEX(상세표[블록종료],$P1135)&amp;""))</f>
        <v/>
      </c>
      <c r="G1135">
        <f>IF($P1135="","",CHOOSE(WEEKDAY(INDEX(상세표[시작],$P1135)),"일","월","화","수","목","금","토"))</f>
        <v/>
      </c>
      <c r="H1135">
        <f>IF($P1135="","",INDEX(상세표[연속 시간],$P1135))</f>
        <v/>
      </c>
      <c r="I1135">
        <f>IF($P1135="","",INDEX(상세표[기록 수],$P1135))</f>
        <v/>
      </c>
      <c r="J1135">
        <f>IF($P1135="","",INDEX(상세표[블록 06~07시],$P1135))</f>
        <v/>
      </c>
      <c r="K1135">
        <f>IF($P1135="","",INDEX(상세표[블록 07~18시],$P1135))</f>
        <v/>
      </c>
      <c r="L1135">
        <f>IF($P1135="","",INDEX(상세표[블록 18~22시],$P1135))</f>
        <v/>
      </c>
      <c r="M1135">
        <f>IF($P1135="","",INDEX(상세표[블록 22~06시],$P1135))</f>
        <v/>
      </c>
      <c r="N1135">
        <f>IF($P1135="","",INDEX(상세표[주말·휴일 포함],$P1135)&amp;"")</f>
        <v/>
      </c>
      <c r="O1135">
        <f>IF($P1135="","",INDEX(상세표[월 넘김 포함],$P1135)&amp;"")</f>
        <v/>
      </c>
      <c r="P1135" s="4">
        <f>IFERROR(MATCH(1130,상세표[연속순번],0),"")</f>
        <v/>
      </c>
    </row>
    <row r="1136">
      <c r="A1136">
        <f>IF($P1136="","",INDEX(상세표[사번],$P1136)&amp;"")</f>
        <v/>
      </c>
      <c r="B1136">
        <f>IF($P1136="","",INDEX(상세표[성명],$P1136)&amp;"")</f>
        <v/>
      </c>
      <c r="C1136">
        <f>IF($P1136="","",INDEX(상세표[부서],$P1136)&amp;"")</f>
        <v/>
      </c>
      <c r="D1136">
        <f>IF($P1136="","",INDEX(상세표[직위],$P1136)&amp;"")</f>
        <v/>
      </c>
      <c r="E1136">
        <f>IF($P1136="","",IF(ISNUMBER(INDEX(상세표[시작],$P1136)),TEXT(INDEX(상세표[시작],$P1136),"yyyy-mm-dd hh:mm"),INDEX(상세표[시작],$P1136)&amp;""))</f>
        <v/>
      </c>
      <c r="F1136">
        <f>IF($P1136="","",IF(ISNUMBER(INDEX(상세표[블록종료],$P1136)),TEXT(INDEX(상세표[블록종료],$P1136),"yyyy-mm-dd hh:mm"),INDEX(상세표[블록종료],$P1136)&amp;""))</f>
        <v/>
      </c>
      <c r="G1136">
        <f>IF($P1136="","",CHOOSE(WEEKDAY(INDEX(상세표[시작],$P1136)),"일","월","화","수","목","금","토"))</f>
        <v/>
      </c>
      <c r="H1136">
        <f>IF($P1136="","",INDEX(상세표[연속 시간],$P1136))</f>
        <v/>
      </c>
      <c r="I1136">
        <f>IF($P1136="","",INDEX(상세표[기록 수],$P1136))</f>
        <v/>
      </c>
      <c r="J1136">
        <f>IF($P1136="","",INDEX(상세표[블록 06~07시],$P1136))</f>
        <v/>
      </c>
      <c r="K1136">
        <f>IF($P1136="","",INDEX(상세표[블록 07~18시],$P1136))</f>
        <v/>
      </c>
      <c r="L1136">
        <f>IF($P1136="","",INDEX(상세표[블록 18~22시],$P1136))</f>
        <v/>
      </c>
      <c r="M1136">
        <f>IF($P1136="","",INDEX(상세표[블록 22~06시],$P1136))</f>
        <v/>
      </c>
      <c r="N1136">
        <f>IF($P1136="","",INDEX(상세표[주말·휴일 포함],$P1136)&amp;"")</f>
        <v/>
      </c>
      <c r="O1136">
        <f>IF($P1136="","",INDEX(상세표[월 넘김 포함],$P1136)&amp;"")</f>
        <v/>
      </c>
      <c r="P1136" s="4">
        <f>IFERROR(MATCH(1131,상세표[연속순번],0),"")</f>
        <v/>
      </c>
    </row>
    <row r="1137">
      <c r="A1137">
        <f>IF($P1137="","",INDEX(상세표[사번],$P1137)&amp;"")</f>
        <v/>
      </c>
      <c r="B1137">
        <f>IF($P1137="","",INDEX(상세표[성명],$P1137)&amp;"")</f>
        <v/>
      </c>
      <c r="C1137">
        <f>IF($P1137="","",INDEX(상세표[부서],$P1137)&amp;"")</f>
        <v/>
      </c>
      <c r="D1137">
        <f>IF($P1137="","",INDEX(상세표[직위],$P1137)&amp;"")</f>
        <v/>
      </c>
      <c r="E1137">
        <f>IF($P1137="","",IF(ISNUMBER(INDEX(상세표[시작],$P1137)),TEXT(INDEX(상세표[시작],$P1137),"yyyy-mm-dd hh:mm"),INDEX(상세표[시작],$P1137)&amp;""))</f>
        <v/>
      </c>
      <c r="F1137">
        <f>IF($P1137="","",IF(ISNUMBER(INDEX(상세표[블록종료],$P1137)),TEXT(INDEX(상세표[블록종료],$P1137),"yyyy-mm-dd hh:mm"),INDEX(상세표[블록종료],$P1137)&amp;""))</f>
        <v/>
      </c>
      <c r="G1137">
        <f>IF($P1137="","",CHOOSE(WEEKDAY(INDEX(상세표[시작],$P1137)),"일","월","화","수","목","금","토"))</f>
        <v/>
      </c>
      <c r="H1137">
        <f>IF($P1137="","",INDEX(상세표[연속 시간],$P1137))</f>
        <v/>
      </c>
      <c r="I1137">
        <f>IF($P1137="","",INDEX(상세표[기록 수],$P1137))</f>
        <v/>
      </c>
      <c r="J1137">
        <f>IF($P1137="","",INDEX(상세표[블록 06~07시],$P1137))</f>
        <v/>
      </c>
      <c r="K1137">
        <f>IF($P1137="","",INDEX(상세표[블록 07~18시],$P1137))</f>
        <v/>
      </c>
      <c r="L1137">
        <f>IF($P1137="","",INDEX(상세표[블록 18~22시],$P1137))</f>
        <v/>
      </c>
      <c r="M1137">
        <f>IF($P1137="","",INDEX(상세표[블록 22~06시],$P1137))</f>
        <v/>
      </c>
      <c r="N1137">
        <f>IF($P1137="","",INDEX(상세표[주말·휴일 포함],$P1137)&amp;"")</f>
        <v/>
      </c>
      <c r="O1137">
        <f>IF($P1137="","",INDEX(상세표[월 넘김 포함],$P1137)&amp;"")</f>
        <v/>
      </c>
      <c r="P1137" s="4">
        <f>IFERROR(MATCH(1132,상세표[연속순번],0),"")</f>
        <v/>
      </c>
    </row>
    <row r="1138">
      <c r="A1138">
        <f>IF($P1138="","",INDEX(상세표[사번],$P1138)&amp;"")</f>
        <v/>
      </c>
      <c r="B1138">
        <f>IF($P1138="","",INDEX(상세표[성명],$P1138)&amp;"")</f>
        <v/>
      </c>
      <c r="C1138">
        <f>IF($P1138="","",INDEX(상세표[부서],$P1138)&amp;"")</f>
        <v/>
      </c>
      <c r="D1138">
        <f>IF($P1138="","",INDEX(상세표[직위],$P1138)&amp;"")</f>
        <v/>
      </c>
      <c r="E1138">
        <f>IF($P1138="","",IF(ISNUMBER(INDEX(상세표[시작],$P1138)),TEXT(INDEX(상세표[시작],$P1138),"yyyy-mm-dd hh:mm"),INDEX(상세표[시작],$P1138)&amp;""))</f>
        <v/>
      </c>
      <c r="F1138">
        <f>IF($P1138="","",IF(ISNUMBER(INDEX(상세표[블록종료],$P1138)),TEXT(INDEX(상세표[블록종료],$P1138),"yyyy-mm-dd hh:mm"),INDEX(상세표[블록종료],$P1138)&amp;""))</f>
        <v/>
      </c>
      <c r="G1138">
        <f>IF($P1138="","",CHOOSE(WEEKDAY(INDEX(상세표[시작],$P1138)),"일","월","화","수","목","금","토"))</f>
        <v/>
      </c>
      <c r="H1138">
        <f>IF($P1138="","",INDEX(상세표[연속 시간],$P1138))</f>
        <v/>
      </c>
      <c r="I1138">
        <f>IF($P1138="","",INDEX(상세표[기록 수],$P1138))</f>
        <v/>
      </c>
      <c r="J1138">
        <f>IF($P1138="","",INDEX(상세표[블록 06~07시],$P1138))</f>
        <v/>
      </c>
      <c r="K1138">
        <f>IF($P1138="","",INDEX(상세표[블록 07~18시],$P1138))</f>
        <v/>
      </c>
      <c r="L1138">
        <f>IF($P1138="","",INDEX(상세표[블록 18~22시],$P1138))</f>
        <v/>
      </c>
      <c r="M1138">
        <f>IF($P1138="","",INDEX(상세표[블록 22~06시],$P1138))</f>
        <v/>
      </c>
      <c r="N1138">
        <f>IF($P1138="","",INDEX(상세표[주말·휴일 포함],$P1138)&amp;"")</f>
        <v/>
      </c>
      <c r="O1138">
        <f>IF($P1138="","",INDEX(상세표[월 넘김 포함],$P1138)&amp;"")</f>
        <v/>
      </c>
      <c r="P1138" s="4">
        <f>IFERROR(MATCH(1133,상세표[연속순번],0),"")</f>
        <v/>
      </c>
    </row>
    <row r="1139">
      <c r="A1139">
        <f>IF($P1139="","",INDEX(상세표[사번],$P1139)&amp;"")</f>
        <v/>
      </c>
      <c r="B1139">
        <f>IF($P1139="","",INDEX(상세표[성명],$P1139)&amp;"")</f>
        <v/>
      </c>
      <c r="C1139">
        <f>IF($P1139="","",INDEX(상세표[부서],$P1139)&amp;"")</f>
        <v/>
      </c>
      <c r="D1139">
        <f>IF($P1139="","",INDEX(상세표[직위],$P1139)&amp;"")</f>
        <v/>
      </c>
      <c r="E1139">
        <f>IF($P1139="","",IF(ISNUMBER(INDEX(상세표[시작],$P1139)),TEXT(INDEX(상세표[시작],$P1139),"yyyy-mm-dd hh:mm"),INDEX(상세표[시작],$P1139)&amp;""))</f>
        <v/>
      </c>
      <c r="F1139">
        <f>IF($P1139="","",IF(ISNUMBER(INDEX(상세표[블록종료],$P1139)),TEXT(INDEX(상세표[블록종료],$P1139),"yyyy-mm-dd hh:mm"),INDEX(상세표[블록종료],$P1139)&amp;""))</f>
        <v/>
      </c>
      <c r="G1139">
        <f>IF($P1139="","",CHOOSE(WEEKDAY(INDEX(상세표[시작],$P1139)),"일","월","화","수","목","금","토"))</f>
        <v/>
      </c>
      <c r="H1139">
        <f>IF($P1139="","",INDEX(상세표[연속 시간],$P1139))</f>
        <v/>
      </c>
      <c r="I1139">
        <f>IF($P1139="","",INDEX(상세표[기록 수],$P1139))</f>
        <v/>
      </c>
      <c r="J1139">
        <f>IF($P1139="","",INDEX(상세표[블록 06~07시],$P1139))</f>
        <v/>
      </c>
      <c r="K1139">
        <f>IF($P1139="","",INDEX(상세표[블록 07~18시],$P1139))</f>
        <v/>
      </c>
      <c r="L1139">
        <f>IF($P1139="","",INDEX(상세표[블록 18~22시],$P1139))</f>
        <v/>
      </c>
      <c r="M1139">
        <f>IF($P1139="","",INDEX(상세표[블록 22~06시],$P1139))</f>
        <v/>
      </c>
      <c r="N1139">
        <f>IF($P1139="","",INDEX(상세표[주말·휴일 포함],$P1139)&amp;"")</f>
        <v/>
      </c>
      <c r="O1139">
        <f>IF($P1139="","",INDEX(상세표[월 넘김 포함],$P1139)&amp;"")</f>
        <v/>
      </c>
      <c r="P1139" s="4">
        <f>IFERROR(MATCH(1134,상세표[연속순번],0),"")</f>
        <v/>
      </c>
    </row>
    <row r="1140">
      <c r="A1140">
        <f>IF($P1140="","",INDEX(상세표[사번],$P1140)&amp;"")</f>
        <v/>
      </c>
      <c r="B1140">
        <f>IF($P1140="","",INDEX(상세표[성명],$P1140)&amp;"")</f>
        <v/>
      </c>
      <c r="C1140">
        <f>IF($P1140="","",INDEX(상세표[부서],$P1140)&amp;"")</f>
        <v/>
      </c>
      <c r="D1140">
        <f>IF($P1140="","",INDEX(상세표[직위],$P1140)&amp;"")</f>
        <v/>
      </c>
      <c r="E1140">
        <f>IF($P1140="","",IF(ISNUMBER(INDEX(상세표[시작],$P1140)),TEXT(INDEX(상세표[시작],$P1140),"yyyy-mm-dd hh:mm"),INDEX(상세표[시작],$P1140)&amp;""))</f>
        <v/>
      </c>
      <c r="F1140">
        <f>IF($P1140="","",IF(ISNUMBER(INDEX(상세표[블록종료],$P1140)),TEXT(INDEX(상세표[블록종료],$P1140),"yyyy-mm-dd hh:mm"),INDEX(상세표[블록종료],$P1140)&amp;""))</f>
        <v/>
      </c>
      <c r="G1140">
        <f>IF($P1140="","",CHOOSE(WEEKDAY(INDEX(상세표[시작],$P1140)),"일","월","화","수","목","금","토"))</f>
        <v/>
      </c>
      <c r="H1140">
        <f>IF($P1140="","",INDEX(상세표[연속 시간],$P1140))</f>
        <v/>
      </c>
      <c r="I1140">
        <f>IF($P1140="","",INDEX(상세표[기록 수],$P1140))</f>
        <v/>
      </c>
      <c r="J1140">
        <f>IF($P1140="","",INDEX(상세표[블록 06~07시],$P1140))</f>
        <v/>
      </c>
      <c r="K1140">
        <f>IF($P1140="","",INDEX(상세표[블록 07~18시],$P1140))</f>
        <v/>
      </c>
      <c r="L1140">
        <f>IF($P1140="","",INDEX(상세표[블록 18~22시],$P1140))</f>
        <v/>
      </c>
      <c r="M1140">
        <f>IF($P1140="","",INDEX(상세표[블록 22~06시],$P1140))</f>
        <v/>
      </c>
      <c r="N1140">
        <f>IF($P1140="","",INDEX(상세표[주말·휴일 포함],$P1140)&amp;"")</f>
        <v/>
      </c>
      <c r="O1140">
        <f>IF($P1140="","",INDEX(상세표[월 넘김 포함],$P1140)&amp;"")</f>
        <v/>
      </c>
      <c r="P1140" s="4">
        <f>IFERROR(MATCH(1135,상세표[연속순번],0),"")</f>
        <v/>
      </c>
    </row>
    <row r="1141">
      <c r="A1141">
        <f>IF($P1141="","",INDEX(상세표[사번],$P1141)&amp;"")</f>
        <v/>
      </c>
      <c r="B1141">
        <f>IF($P1141="","",INDEX(상세표[성명],$P1141)&amp;"")</f>
        <v/>
      </c>
      <c r="C1141">
        <f>IF($P1141="","",INDEX(상세표[부서],$P1141)&amp;"")</f>
        <v/>
      </c>
      <c r="D1141">
        <f>IF($P1141="","",INDEX(상세표[직위],$P1141)&amp;"")</f>
        <v/>
      </c>
      <c r="E1141">
        <f>IF($P1141="","",IF(ISNUMBER(INDEX(상세표[시작],$P1141)),TEXT(INDEX(상세표[시작],$P1141),"yyyy-mm-dd hh:mm"),INDEX(상세표[시작],$P1141)&amp;""))</f>
        <v/>
      </c>
      <c r="F1141">
        <f>IF($P1141="","",IF(ISNUMBER(INDEX(상세표[블록종료],$P1141)),TEXT(INDEX(상세표[블록종료],$P1141),"yyyy-mm-dd hh:mm"),INDEX(상세표[블록종료],$P1141)&amp;""))</f>
        <v/>
      </c>
      <c r="G1141">
        <f>IF($P1141="","",CHOOSE(WEEKDAY(INDEX(상세표[시작],$P1141)),"일","월","화","수","목","금","토"))</f>
        <v/>
      </c>
      <c r="H1141">
        <f>IF($P1141="","",INDEX(상세표[연속 시간],$P1141))</f>
        <v/>
      </c>
      <c r="I1141">
        <f>IF($P1141="","",INDEX(상세표[기록 수],$P1141))</f>
        <v/>
      </c>
      <c r="J1141">
        <f>IF($P1141="","",INDEX(상세표[블록 06~07시],$P1141))</f>
        <v/>
      </c>
      <c r="K1141">
        <f>IF($P1141="","",INDEX(상세표[블록 07~18시],$P1141))</f>
        <v/>
      </c>
      <c r="L1141">
        <f>IF($P1141="","",INDEX(상세표[블록 18~22시],$P1141))</f>
        <v/>
      </c>
      <c r="M1141">
        <f>IF($P1141="","",INDEX(상세표[블록 22~06시],$P1141))</f>
        <v/>
      </c>
      <c r="N1141">
        <f>IF($P1141="","",INDEX(상세표[주말·휴일 포함],$P1141)&amp;"")</f>
        <v/>
      </c>
      <c r="O1141">
        <f>IF($P1141="","",INDEX(상세표[월 넘김 포함],$P1141)&amp;"")</f>
        <v/>
      </c>
      <c r="P1141" s="4">
        <f>IFERROR(MATCH(1136,상세표[연속순번],0),"")</f>
        <v/>
      </c>
    </row>
    <row r="1142">
      <c r="A1142">
        <f>IF($P1142="","",INDEX(상세표[사번],$P1142)&amp;"")</f>
        <v/>
      </c>
      <c r="B1142">
        <f>IF($P1142="","",INDEX(상세표[성명],$P1142)&amp;"")</f>
        <v/>
      </c>
      <c r="C1142">
        <f>IF($P1142="","",INDEX(상세표[부서],$P1142)&amp;"")</f>
        <v/>
      </c>
      <c r="D1142">
        <f>IF($P1142="","",INDEX(상세표[직위],$P1142)&amp;"")</f>
        <v/>
      </c>
      <c r="E1142">
        <f>IF($P1142="","",IF(ISNUMBER(INDEX(상세표[시작],$P1142)),TEXT(INDEX(상세표[시작],$P1142),"yyyy-mm-dd hh:mm"),INDEX(상세표[시작],$P1142)&amp;""))</f>
        <v/>
      </c>
      <c r="F1142">
        <f>IF($P1142="","",IF(ISNUMBER(INDEX(상세표[블록종료],$P1142)),TEXT(INDEX(상세표[블록종료],$P1142),"yyyy-mm-dd hh:mm"),INDEX(상세표[블록종료],$P1142)&amp;""))</f>
        <v/>
      </c>
      <c r="G1142">
        <f>IF($P1142="","",CHOOSE(WEEKDAY(INDEX(상세표[시작],$P1142)),"일","월","화","수","목","금","토"))</f>
        <v/>
      </c>
      <c r="H1142">
        <f>IF($P1142="","",INDEX(상세표[연속 시간],$P1142))</f>
        <v/>
      </c>
      <c r="I1142">
        <f>IF($P1142="","",INDEX(상세표[기록 수],$P1142))</f>
        <v/>
      </c>
      <c r="J1142">
        <f>IF($P1142="","",INDEX(상세표[블록 06~07시],$P1142))</f>
        <v/>
      </c>
      <c r="K1142">
        <f>IF($P1142="","",INDEX(상세표[블록 07~18시],$P1142))</f>
        <v/>
      </c>
      <c r="L1142">
        <f>IF($P1142="","",INDEX(상세표[블록 18~22시],$P1142))</f>
        <v/>
      </c>
      <c r="M1142">
        <f>IF($P1142="","",INDEX(상세표[블록 22~06시],$P1142))</f>
        <v/>
      </c>
      <c r="N1142">
        <f>IF($P1142="","",INDEX(상세표[주말·휴일 포함],$P1142)&amp;"")</f>
        <v/>
      </c>
      <c r="O1142">
        <f>IF($P1142="","",INDEX(상세표[월 넘김 포함],$P1142)&amp;"")</f>
        <v/>
      </c>
      <c r="P1142" s="4">
        <f>IFERROR(MATCH(1137,상세표[연속순번],0),"")</f>
        <v/>
      </c>
    </row>
    <row r="1143">
      <c r="A1143">
        <f>IF($P1143="","",INDEX(상세표[사번],$P1143)&amp;"")</f>
        <v/>
      </c>
      <c r="B1143">
        <f>IF($P1143="","",INDEX(상세표[성명],$P1143)&amp;"")</f>
        <v/>
      </c>
      <c r="C1143">
        <f>IF($P1143="","",INDEX(상세표[부서],$P1143)&amp;"")</f>
        <v/>
      </c>
      <c r="D1143">
        <f>IF($P1143="","",INDEX(상세표[직위],$P1143)&amp;"")</f>
        <v/>
      </c>
      <c r="E1143">
        <f>IF($P1143="","",IF(ISNUMBER(INDEX(상세표[시작],$P1143)),TEXT(INDEX(상세표[시작],$P1143),"yyyy-mm-dd hh:mm"),INDEX(상세표[시작],$P1143)&amp;""))</f>
        <v/>
      </c>
      <c r="F1143">
        <f>IF($P1143="","",IF(ISNUMBER(INDEX(상세표[블록종료],$P1143)),TEXT(INDEX(상세표[블록종료],$P1143),"yyyy-mm-dd hh:mm"),INDEX(상세표[블록종료],$P1143)&amp;""))</f>
        <v/>
      </c>
      <c r="G1143">
        <f>IF($P1143="","",CHOOSE(WEEKDAY(INDEX(상세표[시작],$P1143)),"일","월","화","수","목","금","토"))</f>
        <v/>
      </c>
      <c r="H1143">
        <f>IF($P1143="","",INDEX(상세표[연속 시간],$P1143))</f>
        <v/>
      </c>
      <c r="I1143">
        <f>IF($P1143="","",INDEX(상세표[기록 수],$P1143))</f>
        <v/>
      </c>
      <c r="J1143">
        <f>IF($P1143="","",INDEX(상세표[블록 06~07시],$P1143))</f>
        <v/>
      </c>
      <c r="K1143">
        <f>IF($P1143="","",INDEX(상세표[블록 07~18시],$P1143))</f>
        <v/>
      </c>
      <c r="L1143">
        <f>IF($P1143="","",INDEX(상세표[블록 18~22시],$P1143))</f>
        <v/>
      </c>
      <c r="M1143">
        <f>IF($P1143="","",INDEX(상세표[블록 22~06시],$P1143))</f>
        <v/>
      </c>
      <c r="N1143">
        <f>IF($P1143="","",INDEX(상세표[주말·휴일 포함],$P1143)&amp;"")</f>
        <v/>
      </c>
      <c r="O1143">
        <f>IF($P1143="","",INDEX(상세표[월 넘김 포함],$P1143)&amp;"")</f>
        <v/>
      </c>
      <c r="P1143" s="4">
        <f>IFERROR(MATCH(1138,상세표[연속순번],0),"")</f>
        <v/>
      </c>
    </row>
    <row r="1144">
      <c r="A1144">
        <f>IF($P1144="","",INDEX(상세표[사번],$P1144)&amp;"")</f>
        <v/>
      </c>
      <c r="B1144">
        <f>IF($P1144="","",INDEX(상세표[성명],$P1144)&amp;"")</f>
        <v/>
      </c>
      <c r="C1144">
        <f>IF($P1144="","",INDEX(상세표[부서],$P1144)&amp;"")</f>
        <v/>
      </c>
      <c r="D1144">
        <f>IF($P1144="","",INDEX(상세표[직위],$P1144)&amp;"")</f>
        <v/>
      </c>
      <c r="E1144">
        <f>IF($P1144="","",IF(ISNUMBER(INDEX(상세표[시작],$P1144)),TEXT(INDEX(상세표[시작],$P1144),"yyyy-mm-dd hh:mm"),INDEX(상세표[시작],$P1144)&amp;""))</f>
        <v/>
      </c>
      <c r="F1144">
        <f>IF($P1144="","",IF(ISNUMBER(INDEX(상세표[블록종료],$P1144)),TEXT(INDEX(상세표[블록종료],$P1144),"yyyy-mm-dd hh:mm"),INDEX(상세표[블록종료],$P1144)&amp;""))</f>
        <v/>
      </c>
      <c r="G1144">
        <f>IF($P1144="","",CHOOSE(WEEKDAY(INDEX(상세표[시작],$P1144)),"일","월","화","수","목","금","토"))</f>
        <v/>
      </c>
      <c r="H1144">
        <f>IF($P1144="","",INDEX(상세표[연속 시간],$P1144))</f>
        <v/>
      </c>
      <c r="I1144">
        <f>IF($P1144="","",INDEX(상세표[기록 수],$P1144))</f>
        <v/>
      </c>
      <c r="J1144">
        <f>IF($P1144="","",INDEX(상세표[블록 06~07시],$P1144))</f>
        <v/>
      </c>
      <c r="K1144">
        <f>IF($P1144="","",INDEX(상세표[블록 07~18시],$P1144))</f>
        <v/>
      </c>
      <c r="L1144">
        <f>IF($P1144="","",INDEX(상세표[블록 18~22시],$P1144))</f>
        <v/>
      </c>
      <c r="M1144">
        <f>IF($P1144="","",INDEX(상세표[블록 22~06시],$P1144))</f>
        <v/>
      </c>
      <c r="N1144">
        <f>IF($P1144="","",INDEX(상세표[주말·휴일 포함],$P1144)&amp;"")</f>
        <v/>
      </c>
      <c r="O1144">
        <f>IF($P1144="","",INDEX(상세표[월 넘김 포함],$P1144)&amp;"")</f>
        <v/>
      </c>
      <c r="P1144" s="4">
        <f>IFERROR(MATCH(1139,상세표[연속순번],0),"")</f>
        <v/>
      </c>
    </row>
    <row r="1145">
      <c r="A1145">
        <f>IF($P1145="","",INDEX(상세표[사번],$P1145)&amp;"")</f>
        <v/>
      </c>
      <c r="B1145">
        <f>IF($P1145="","",INDEX(상세표[성명],$P1145)&amp;"")</f>
        <v/>
      </c>
      <c r="C1145">
        <f>IF($P1145="","",INDEX(상세표[부서],$P1145)&amp;"")</f>
        <v/>
      </c>
      <c r="D1145">
        <f>IF($P1145="","",INDEX(상세표[직위],$P1145)&amp;"")</f>
        <v/>
      </c>
      <c r="E1145">
        <f>IF($P1145="","",IF(ISNUMBER(INDEX(상세표[시작],$P1145)),TEXT(INDEX(상세표[시작],$P1145),"yyyy-mm-dd hh:mm"),INDEX(상세표[시작],$P1145)&amp;""))</f>
        <v/>
      </c>
      <c r="F1145">
        <f>IF($P1145="","",IF(ISNUMBER(INDEX(상세표[블록종료],$P1145)),TEXT(INDEX(상세표[블록종료],$P1145),"yyyy-mm-dd hh:mm"),INDEX(상세표[블록종료],$P1145)&amp;""))</f>
        <v/>
      </c>
      <c r="G1145">
        <f>IF($P1145="","",CHOOSE(WEEKDAY(INDEX(상세표[시작],$P1145)),"일","월","화","수","목","금","토"))</f>
        <v/>
      </c>
      <c r="H1145">
        <f>IF($P1145="","",INDEX(상세표[연속 시간],$P1145))</f>
        <v/>
      </c>
      <c r="I1145">
        <f>IF($P1145="","",INDEX(상세표[기록 수],$P1145))</f>
        <v/>
      </c>
      <c r="J1145">
        <f>IF($P1145="","",INDEX(상세표[블록 06~07시],$P1145))</f>
        <v/>
      </c>
      <c r="K1145">
        <f>IF($P1145="","",INDEX(상세표[블록 07~18시],$P1145))</f>
        <v/>
      </c>
      <c r="L1145">
        <f>IF($P1145="","",INDEX(상세표[블록 18~22시],$P1145))</f>
        <v/>
      </c>
      <c r="M1145">
        <f>IF($P1145="","",INDEX(상세표[블록 22~06시],$P1145))</f>
        <v/>
      </c>
      <c r="N1145">
        <f>IF($P1145="","",INDEX(상세표[주말·휴일 포함],$P1145)&amp;"")</f>
        <v/>
      </c>
      <c r="O1145">
        <f>IF($P1145="","",INDEX(상세표[월 넘김 포함],$P1145)&amp;"")</f>
        <v/>
      </c>
      <c r="P1145" s="4">
        <f>IFERROR(MATCH(1140,상세표[연속순번],0),"")</f>
        <v/>
      </c>
    </row>
    <row r="1146">
      <c r="A1146">
        <f>IF($P1146="","",INDEX(상세표[사번],$P1146)&amp;"")</f>
        <v/>
      </c>
      <c r="B1146">
        <f>IF($P1146="","",INDEX(상세표[성명],$P1146)&amp;"")</f>
        <v/>
      </c>
      <c r="C1146">
        <f>IF($P1146="","",INDEX(상세표[부서],$P1146)&amp;"")</f>
        <v/>
      </c>
      <c r="D1146">
        <f>IF($P1146="","",INDEX(상세표[직위],$P1146)&amp;"")</f>
        <v/>
      </c>
      <c r="E1146">
        <f>IF($P1146="","",IF(ISNUMBER(INDEX(상세표[시작],$P1146)),TEXT(INDEX(상세표[시작],$P1146),"yyyy-mm-dd hh:mm"),INDEX(상세표[시작],$P1146)&amp;""))</f>
        <v/>
      </c>
      <c r="F1146">
        <f>IF($P1146="","",IF(ISNUMBER(INDEX(상세표[블록종료],$P1146)),TEXT(INDEX(상세표[블록종료],$P1146),"yyyy-mm-dd hh:mm"),INDEX(상세표[블록종료],$P1146)&amp;""))</f>
        <v/>
      </c>
      <c r="G1146">
        <f>IF($P1146="","",CHOOSE(WEEKDAY(INDEX(상세표[시작],$P1146)),"일","월","화","수","목","금","토"))</f>
        <v/>
      </c>
      <c r="H1146">
        <f>IF($P1146="","",INDEX(상세표[연속 시간],$P1146))</f>
        <v/>
      </c>
      <c r="I1146">
        <f>IF($P1146="","",INDEX(상세표[기록 수],$P1146))</f>
        <v/>
      </c>
      <c r="J1146">
        <f>IF($P1146="","",INDEX(상세표[블록 06~07시],$P1146))</f>
        <v/>
      </c>
      <c r="K1146">
        <f>IF($P1146="","",INDEX(상세표[블록 07~18시],$P1146))</f>
        <v/>
      </c>
      <c r="L1146">
        <f>IF($P1146="","",INDEX(상세표[블록 18~22시],$P1146))</f>
        <v/>
      </c>
      <c r="M1146">
        <f>IF($P1146="","",INDEX(상세표[블록 22~06시],$P1146))</f>
        <v/>
      </c>
      <c r="N1146">
        <f>IF($P1146="","",INDEX(상세표[주말·휴일 포함],$P1146)&amp;"")</f>
        <v/>
      </c>
      <c r="O1146">
        <f>IF($P1146="","",INDEX(상세표[월 넘김 포함],$P1146)&amp;"")</f>
        <v/>
      </c>
      <c r="P1146" s="4">
        <f>IFERROR(MATCH(1141,상세표[연속순번],0),"")</f>
        <v/>
      </c>
    </row>
    <row r="1147">
      <c r="A1147">
        <f>IF($P1147="","",INDEX(상세표[사번],$P1147)&amp;"")</f>
        <v/>
      </c>
      <c r="B1147">
        <f>IF($P1147="","",INDEX(상세표[성명],$P1147)&amp;"")</f>
        <v/>
      </c>
      <c r="C1147">
        <f>IF($P1147="","",INDEX(상세표[부서],$P1147)&amp;"")</f>
        <v/>
      </c>
      <c r="D1147">
        <f>IF($P1147="","",INDEX(상세표[직위],$P1147)&amp;"")</f>
        <v/>
      </c>
      <c r="E1147">
        <f>IF($P1147="","",IF(ISNUMBER(INDEX(상세표[시작],$P1147)),TEXT(INDEX(상세표[시작],$P1147),"yyyy-mm-dd hh:mm"),INDEX(상세표[시작],$P1147)&amp;""))</f>
        <v/>
      </c>
      <c r="F1147">
        <f>IF($P1147="","",IF(ISNUMBER(INDEX(상세표[블록종료],$P1147)),TEXT(INDEX(상세표[블록종료],$P1147),"yyyy-mm-dd hh:mm"),INDEX(상세표[블록종료],$P1147)&amp;""))</f>
        <v/>
      </c>
      <c r="G1147">
        <f>IF($P1147="","",CHOOSE(WEEKDAY(INDEX(상세표[시작],$P1147)),"일","월","화","수","목","금","토"))</f>
        <v/>
      </c>
      <c r="H1147">
        <f>IF($P1147="","",INDEX(상세표[연속 시간],$P1147))</f>
        <v/>
      </c>
      <c r="I1147">
        <f>IF($P1147="","",INDEX(상세표[기록 수],$P1147))</f>
        <v/>
      </c>
      <c r="J1147">
        <f>IF($P1147="","",INDEX(상세표[블록 06~07시],$P1147))</f>
        <v/>
      </c>
      <c r="K1147">
        <f>IF($P1147="","",INDEX(상세표[블록 07~18시],$P1147))</f>
        <v/>
      </c>
      <c r="L1147">
        <f>IF($P1147="","",INDEX(상세표[블록 18~22시],$P1147))</f>
        <v/>
      </c>
      <c r="M1147">
        <f>IF($P1147="","",INDEX(상세표[블록 22~06시],$P1147))</f>
        <v/>
      </c>
      <c r="N1147">
        <f>IF($P1147="","",INDEX(상세표[주말·휴일 포함],$P1147)&amp;"")</f>
        <v/>
      </c>
      <c r="O1147">
        <f>IF($P1147="","",INDEX(상세표[월 넘김 포함],$P1147)&amp;"")</f>
        <v/>
      </c>
      <c r="P1147" s="4">
        <f>IFERROR(MATCH(1142,상세표[연속순번],0),"")</f>
        <v/>
      </c>
    </row>
    <row r="1148">
      <c r="A1148">
        <f>IF($P1148="","",INDEX(상세표[사번],$P1148)&amp;"")</f>
        <v/>
      </c>
      <c r="B1148">
        <f>IF($P1148="","",INDEX(상세표[성명],$P1148)&amp;"")</f>
        <v/>
      </c>
      <c r="C1148">
        <f>IF($P1148="","",INDEX(상세표[부서],$P1148)&amp;"")</f>
        <v/>
      </c>
      <c r="D1148">
        <f>IF($P1148="","",INDEX(상세표[직위],$P1148)&amp;"")</f>
        <v/>
      </c>
      <c r="E1148">
        <f>IF($P1148="","",IF(ISNUMBER(INDEX(상세표[시작],$P1148)),TEXT(INDEX(상세표[시작],$P1148),"yyyy-mm-dd hh:mm"),INDEX(상세표[시작],$P1148)&amp;""))</f>
        <v/>
      </c>
      <c r="F1148">
        <f>IF($P1148="","",IF(ISNUMBER(INDEX(상세표[블록종료],$P1148)),TEXT(INDEX(상세표[블록종료],$P1148),"yyyy-mm-dd hh:mm"),INDEX(상세표[블록종료],$P1148)&amp;""))</f>
        <v/>
      </c>
      <c r="G1148">
        <f>IF($P1148="","",CHOOSE(WEEKDAY(INDEX(상세표[시작],$P1148)),"일","월","화","수","목","금","토"))</f>
        <v/>
      </c>
      <c r="H1148">
        <f>IF($P1148="","",INDEX(상세표[연속 시간],$P1148))</f>
        <v/>
      </c>
      <c r="I1148">
        <f>IF($P1148="","",INDEX(상세표[기록 수],$P1148))</f>
        <v/>
      </c>
      <c r="J1148">
        <f>IF($P1148="","",INDEX(상세표[블록 06~07시],$P1148))</f>
        <v/>
      </c>
      <c r="K1148">
        <f>IF($P1148="","",INDEX(상세표[블록 07~18시],$P1148))</f>
        <v/>
      </c>
      <c r="L1148">
        <f>IF($P1148="","",INDEX(상세표[블록 18~22시],$P1148))</f>
        <v/>
      </c>
      <c r="M1148">
        <f>IF($P1148="","",INDEX(상세표[블록 22~06시],$P1148))</f>
        <v/>
      </c>
      <c r="N1148">
        <f>IF($P1148="","",INDEX(상세표[주말·휴일 포함],$P1148)&amp;"")</f>
        <v/>
      </c>
      <c r="O1148">
        <f>IF($P1148="","",INDEX(상세표[월 넘김 포함],$P1148)&amp;"")</f>
        <v/>
      </c>
      <c r="P1148" s="4">
        <f>IFERROR(MATCH(1143,상세표[연속순번],0),"")</f>
        <v/>
      </c>
    </row>
    <row r="1149">
      <c r="A1149">
        <f>IF($P1149="","",INDEX(상세표[사번],$P1149)&amp;"")</f>
        <v/>
      </c>
      <c r="B1149">
        <f>IF($P1149="","",INDEX(상세표[성명],$P1149)&amp;"")</f>
        <v/>
      </c>
      <c r="C1149">
        <f>IF($P1149="","",INDEX(상세표[부서],$P1149)&amp;"")</f>
        <v/>
      </c>
      <c r="D1149">
        <f>IF($P1149="","",INDEX(상세표[직위],$P1149)&amp;"")</f>
        <v/>
      </c>
      <c r="E1149">
        <f>IF($P1149="","",IF(ISNUMBER(INDEX(상세표[시작],$P1149)),TEXT(INDEX(상세표[시작],$P1149),"yyyy-mm-dd hh:mm"),INDEX(상세표[시작],$P1149)&amp;""))</f>
        <v/>
      </c>
      <c r="F1149">
        <f>IF($P1149="","",IF(ISNUMBER(INDEX(상세표[블록종료],$P1149)),TEXT(INDEX(상세표[블록종료],$P1149),"yyyy-mm-dd hh:mm"),INDEX(상세표[블록종료],$P1149)&amp;""))</f>
        <v/>
      </c>
      <c r="G1149">
        <f>IF($P1149="","",CHOOSE(WEEKDAY(INDEX(상세표[시작],$P1149)),"일","월","화","수","목","금","토"))</f>
        <v/>
      </c>
      <c r="H1149">
        <f>IF($P1149="","",INDEX(상세표[연속 시간],$P1149))</f>
        <v/>
      </c>
      <c r="I1149">
        <f>IF($P1149="","",INDEX(상세표[기록 수],$P1149))</f>
        <v/>
      </c>
      <c r="J1149">
        <f>IF($P1149="","",INDEX(상세표[블록 06~07시],$P1149))</f>
        <v/>
      </c>
      <c r="K1149">
        <f>IF($P1149="","",INDEX(상세표[블록 07~18시],$P1149))</f>
        <v/>
      </c>
      <c r="L1149">
        <f>IF($P1149="","",INDEX(상세표[블록 18~22시],$P1149))</f>
        <v/>
      </c>
      <c r="M1149">
        <f>IF($P1149="","",INDEX(상세표[블록 22~06시],$P1149))</f>
        <v/>
      </c>
      <c r="N1149">
        <f>IF($P1149="","",INDEX(상세표[주말·휴일 포함],$P1149)&amp;"")</f>
        <v/>
      </c>
      <c r="O1149">
        <f>IF($P1149="","",INDEX(상세표[월 넘김 포함],$P1149)&amp;"")</f>
        <v/>
      </c>
      <c r="P1149" s="4">
        <f>IFERROR(MATCH(1144,상세표[연속순번],0),"")</f>
        <v/>
      </c>
    </row>
    <row r="1150">
      <c r="A1150">
        <f>IF($P1150="","",INDEX(상세표[사번],$P1150)&amp;"")</f>
        <v/>
      </c>
      <c r="B1150">
        <f>IF($P1150="","",INDEX(상세표[성명],$P1150)&amp;"")</f>
        <v/>
      </c>
      <c r="C1150">
        <f>IF($P1150="","",INDEX(상세표[부서],$P1150)&amp;"")</f>
        <v/>
      </c>
      <c r="D1150">
        <f>IF($P1150="","",INDEX(상세표[직위],$P1150)&amp;"")</f>
        <v/>
      </c>
      <c r="E1150">
        <f>IF($P1150="","",IF(ISNUMBER(INDEX(상세표[시작],$P1150)),TEXT(INDEX(상세표[시작],$P1150),"yyyy-mm-dd hh:mm"),INDEX(상세표[시작],$P1150)&amp;""))</f>
        <v/>
      </c>
      <c r="F1150">
        <f>IF($P1150="","",IF(ISNUMBER(INDEX(상세표[블록종료],$P1150)),TEXT(INDEX(상세표[블록종료],$P1150),"yyyy-mm-dd hh:mm"),INDEX(상세표[블록종료],$P1150)&amp;""))</f>
        <v/>
      </c>
      <c r="G1150">
        <f>IF($P1150="","",CHOOSE(WEEKDAY(INDEX(상세표[시작],$P1150)),"일","월","화","수","목","금","토"))</f>
        <v/>
      </c>
      <c r="H1150">
        <f>IF($P1150="","",INDEX(상세표[연속 시간],$P1150))</f>
        <v/>
      </c>
      <c r="I1150">
        <f>IF($P1150="","",INDEX(상세표[기록 수],$P1150))</f>
        <v/>
      </c>
      <c r="J1150">
        <f>IF($P1150="","",INDEX(상세표[블록 06~07시],$P1150))</f>
        <v/>
      </c>
      <c r="K1150">
        <f>IF($P1150="","",INDEX(상세표[블록 07~18시],$P1150))</f>
        <v/>
      </c>
      <c r="L1150">
        <f>IF($P1150="","",INDEX(상세표[블록 18~22시],$P1150))</f>
        <v/>
      </c>
      <c r="M1150">
        <f>IF($P1150="","",INDEX(상세표[블록 22~06시],$P1150))</f>
        <v/>
      </c>
      <c r="N1150">
        <f>IF($P1150="","",INDEX(상세표[주말·휴일 포함],$P1150)&amp;"")</f>
        <v/>
      </c>
      <c r="O1150">
        <f>IF($P1150="","",INDEX(상세표[월 넘김 포함],$P1150)&amp;"")</f>
        <v/>
      </c>
      <c r="P1150" s="4">
        <f>IFERROR(MATCH(1145,상세표[연속순번],0),"")</f>
        <v/>
      </c>
    </row>
    <row r="1151">
      <c r="A1151">
        <f>IF($P1151="","",INDEX(상세표[사번],$P1151)&amp;"")</f>
        <v/>
      </c>
      <c r="B1151">
        <f>IF($P1151="","",INDEX(상세표[성명],$P1151)&amp;"")</f>
        <v/>
      </c>
      <c r="C1151">
        <f>IF($P1151="","",INDEX(상세표[부서],$P1151)&amp;"")</f>
        <v/>
      </c>
      <c r="D1151">
        <f>IF($P1151="","",INDEX(상세표[직위],$P1151)&amp;"")</f>
        <v/>
      </c>
      <c r="E1151">
        <f>IF($P1151="","",IF(ISNUMBER(INDEX(상세표[시작],$P1151)),TEXT(INDEX(상세표[시작],$P1151),"yyyy-mm-dd hh:mm"),INDEX(상세표[시작],$P1151)&amp;""))</f>
        <v/>
      </c>
      <c r="F1151">
        <f>IF($P1151="","",IF(ISNUMBER(INDEX(상세표[블록종료],$P1151)),TEXT(INDEX(상세표[블록종료],$P1151),"yyyy-mm-dd hh:mm"),INDEX(상세표[블록종료],$P1151)&amp;""))</f>
        <v/>
      </c>
      <c r="G1151">
        <f>IF($P1151="","",CHOOSE(WEEKDAY(INDEX(상세표[시작],$P1151)),"일","월","화","수","목","금","토"))</f>
        <v/>
      </c>
      <c r="H1151">
        <f>IF($P1151="","",INDEX(상세표[연속 시간],$P1151))</f>
        <v/>
      </c>
      <c r="I1151">
        <f>IF($P1151="","",INDEX(상세표[기록 수],$P1151))</f>
        <v/>
      </c>
      <c r="J1151">
        <f>IF($P1151="","",INDEX(상세표[블록 06~07시],$P1151))</f>
        <v/>
      </c>
      <c r="K1151">
        <f>IF($P1151="","",INDEX(상세표[블록 07~18시],$P1151))</f>
        <v/>
      </c>
      <c r="L1151">
        <f>IF($P1151="","",INDEX(상세표[블록 18~22시],$P1151))</f>
        <v/>
      </c>
      <c r="M1151">
        <f>IF($P1151="","",INDEX(상세표[블록 22~06시],$P1151))</f>
        <v/>
      </c>
      <c r="N1151">
        <f>IF($P1151="","",INDEX(상세표[주말·휴일 포함],$P1151)&amp;"")</f>
        <v/>
      </c>
      <c r="O1151">
        <f>IF($P1151="","",INDEX(상세표[월 넘김 포함],$P1151)&amp;"")</f>
        <v/>
      </c>
      <c r="P1151" s="4">
        <f>IFERROR(MATCH(1146,상세표[연속순번],0),"")</f>
        <v/>
      </c>
    </row>
    <row r="1152">
      <c r="A1152">
        <f>IF($P1152="","",INDEX(상세표[사번],$P1152)&amp;"")</f>
        <v/>
      </c>
      <c r="B1152">
        <f>IF($P1152="","",INDEX(상세표[성명],$P1152)&amp;"")</f>
        <v/>
      </c>
      <c r="C1152">
        <f>IF($P1152="","",INDEX(상세표[부서],$P1152)&amp;"")</f>
        <v/>
      </c>
      <c r="D1152">
        <f>IF($P1152="","",INDEX(상세표[직위],$P1152)&amp;"")</f>
        <v/>
      </c>
      <c r="E1152">
        <f>IF($P1152="","",IF(ISNUMBER(INDEX(상세표[시작],$P1152)),TEXT(INDEX(상세표[시작],$P1152),"yyyy-mm-dd hh:mm"),INDEX(상세표[시작],$P1152)&amp;""))</f>
        <v/>
      </c>
      <c r="F1152">
        <f>IF($P1152="","",IF(ISNUMBER(INDEX(상세표[블록종료],$P1152)),TEXT(INDEX(상세표[블록종료],$P1152),"yyyy-mm-dd hh:mm"),INDEX(상세표[블록종료],$P1152)&amp;""))</f>
        <v/>
      </c>
      <c r="G1152">
        <f>IF($P1152="","",CHOOSE(WEEKDAY(INDEX(상세표[시작],$P1152)),"일","월","화","수","목","금","토"))</f>
        <v/>
      </c>
      <c r="H1152">
        <f>IF($P1152="","",INDEX(상세표[연속 시간],$P1152))</f>
        <v/>
      </c>
      <c r="I1152">
        <f>IF($P1152="","",INDEX(상세표[기록 수],$P1152))</f>
        <v/>
      </c>
      <c r="J1152">
        <f>IF($P1152="","",INDEX(상세표[블록 06~07시],$P1152))</f>
        <v/>
      </c>
      <c r="K1152">
        <f>IF($P1152="","",INDEX(상세표[블록 07~18시],$P1152))</f>
        <v/>
      </c>
      <c r="L1152">
        <f>IF($P1152="","",INDEX(상세표[블록 18~22시],$P1152))</f>
        <v/>
      </c>
      <c r="M1152">
        <f>IF($P1152="","",INDEX(상세표[블록 22~06시],$P1152))</f>
        <v/>
      </c>
      <c r="N1152">
        <f>IF($P1152="","",INDEX(상세표[주말·휴일 포함],$P1152)&amp;"")</f>
        <v/>
      </c>
      <c r="O1152">
        <f>IF($P1152="","",INDEX(상세표[월 넘김 포함],$P1152)&amp;"")</f>
        <v/>
      </c>
      <c r="P1152" s="4">
        <f>IFERROR(MATCH(1147,상세표[연속순번],0),"")</f>
        <v/>
      </c>
    </row>
    <row r="1153">
      <c r="A1153">
        <f>IF($P1153="","",INDEX(상세표[사번],$P1153)&amp;"")</f>
        <v/>
      </c>
      <c r="B1153">
        <f>IF($P1153="","",INDEX(상세표[성명],$P1153)&amp;"")</f>
        <v/>
      </c>
      <c r="C1153">
        <f>IF($P1153="","",INDEX(상세표[부서],$P1153)&amp;"")</f>
        <v/>
      </c>
      <c r="D1153">
        <f>IF($P1153="","",INDEX(상세표[직위],$P1153)&amp;"")</f>
        <v/>
      </c>
      <c r="E1153">
        <f>IF($P1153="","",IF(ISNUMBER(INDEX(상세표[시작],$P1153)),TEXT(INDEX(상세표[시작],$P1153),"yyyy-mm-dd hh:mm"),INDEX(상세표[시작],$P1153)&amp;""))</f>
        <v/>
      </c>
      <c r="F1153">
        <f>IF($P1153="","",IF(ISNUMBER(INDEX(상세표[블록종료],$P1153)),TEXT(INDEX(상세표[블록종료],$P1153),"yyyy-mm-dd hh:mm"),INDEX(상세표[블록종료],$P1153)&amp;""))</f>
        <v/>
      </c>
      <c r="G1153">
        <f>IF($P1153="","",CHOOSE(WEEKDAY(INDEX(상세표[시작],$P1153)),"일","월","화","수","목","금","토"))</f>
        <v/>
      </c>
      <c r="H1153">
        <f>IF($P1153="","",INDEX(상세표[연속 시간],$P1153))</f>
        <v/>
      </c>
      <c r="I1153">
        <f>IF($P1153="","",INDEX(상세표[기록 수],$P1153))</f>
        <v/>
      </c>
      <c r="J1153">
        <f>IF($P1153="","",INDEX(상세표[블록 06~07시],$P1153))</f>
        <v/>
      </c>
      <c r="K1153">
        <f>IF($P1153="","",INDEX(상세표[블록 07~18시],$P1153))</f>
        <v/>
      </c>
      <c r="L1153">
        <f>IF($P1153="","",INDEX(상세표[블록 18~22시],$P1153))</f>
        <v/>
      </c>
      <c r="M1153">
        <f>IF($P1153="","",INDEX(상세표[블록 22~06시],$P1153))</f>
        <v/>
      </c>
      <c r="N1153">
        <f>IF($P1153="","",INDEX(상세표[주말·휴일 포함],$P1153)&amp;"")</f>
        <v/>
      </c>
      <c r="O1153">
        <f>IF($P1153="","",INDEX(상세표[월 넘김 포함],$P1153)&amp;"")</f>
        <v/>
      </c>
      <c r="P1153" s="4">
        <f>IFERROR(MATCH(1148,상세표[연속순번],0),"")</f>
        <v/>
      </c>
    </row>
    <row r="1154">
      <c r="A1154">
        <f>IF($P1154="","",INDEX(상세표[사번],$P1154)&amp;"")</f>
        <v/>
      </c>
      <c r="B1154">
        <f>IF($P1154="","",INDEX(상세표[성명],$P1154)&amp;"")</f>
        <v/>
      </c>
      <c r="C1154">
        <f>IF($P1154="","",INDEX(상세표[부서],$P1154)&amp;"")</f>
        <v/>
      </c>
      <c r="D1154">
        <f>IF($P1154="","",INDEX(상세표[직위],$P1154)&amp;"")</f>
        <v/>
      </c>
      <c r="E1154">
        <f>IF($P1154="","",IF(ISNUMBER(INDEX(상세표[시작],$P1154)),TEXT(INDEX(상세표[시작],$P1154),"yyyy-mm-dd hh:mm"),INDEX(상세표[시작],$P1154)&amp;""))</f>
        <v/>
      </c>
      <c r="F1154">
        <f>IF($P1154="","",IF(ISNUMBER(INDEX(상세표[블록종료],$P1154)),TEXT(INDEX(상세표[블록종료],$P1154),"yyyy-mm-dd hh:mm"),INDEX(상세표[블록종료],$P1154)&amp;""))</f>
        <v/>
      </c>
      <c r="G1154">
        <f>IF($P1154="","",CHOOSE(WEEKDAY(INDEX(상세표[시작],$P1154)),"일","월","화","수","목","금","토"))</f>
        <v/>
      </c>
      <c r="H1154">
        <f>IF($P1154="","",INDEX(상세표[연속 시간],$P1154))</f>
        <v/>
      </c>
      <c r="I1154">
        <f>IF($P1154="","",INDEX(상세표[기록 수],$P1154))</f>
        <v/>
      </c>
      <c r="J1154">
        <f>IF($P1154="","",INDEX(상세표[블록 06~07시],$P1154))</f>
        <v/>
      </c>
      <c r="K1154">
        <f>IF($P1154="","",INDEX(상세표[블록 07~18시],$P1154))</f>
        <v/>
      </c>
      <c r="L1154">
        <f>IF($P1154="","",INDEX(상세표[블록 18~22시],$P1154))</f>
        <v/>
      </c>
      <c r="M1154">
        <f>IF($P1154="","",INDEX(상세표[블록 22~06시],$P1154))</f>
        <v/>
      </c>
      <c r="N1154">
        <f>IF($P1154="","",INDEX(상세표[주말·휴일 포함],$P1154)&amp;"")</f>
        <v/>
      </c>
      <c r="O1154">
        <f>IF($P1154="","",INDEX(상세표[월 넘김 포함],$P1154)&amp;"")</f>
        <v/>
      </c>
      <c r="P1154" s="4">
        <f>IFERROR(MATCH(1149,상세표[연속순번],0),"")</f>
        <v/>
      </c>
    </row>
    <row r="1155">
      <c r="A1155">
        <f>IF($P1155="","",INDEX(상세표[사번],$P1155)&amp;"")</f>
        <v/>
      </c>
      <c r="B1155">
        <f>IF($P1155="","",INDEX(상세표[성명],$P1155)&amp;"")</f>
        <v/>
      </c>
      <c r="C1155">
        <f>IF($P1155="","",INDEX(상세표[부서],$P1155)&amp;"")</f>
        <v/>
      </c>
      <c r="D1155">
        <f>IF($P1155="","",INDEX(상세표[직위],$P1155)&amp;"")</f>
        <v/>
      </c>
      <c r="E1155">
        <f>IF($P1155="","",IF(ISNUMBER(INDEX(상세표[시작],$P1155)),TEXT(INDEX(상세표[시작],$P1155),"yyyy-mm-dd hh:mm"),INDEX(상세표[시작],$P1155)&amp;""))</f>
        <v/>
      </c>
      <c r="F1155">
        <f>IF($P1155="","",IF(ISNUMBER(INDEX(상세표[블록종료],$P1155)),TEXT(INDEX(상세표[블록종료],$P1155),"yyyy-mm-dd hh:mm"),INDEX(상세표[블록종료],$P1155)&amp;""))</f>
        <v/>
      </c>
      <c r="G1155">
        <f>IF($P1155="","",CHOOSE(WEEKDAY(INDEX(상세표[시작],$P1155)),"일","월","화","수","목","금","토"))</f>
        <v/>
      </c>
      <c r="H1155">
        <f>IF($P1155="","",INDEX(상세표[연속 시간],$P1155))</f>
        <v/>
      </c>
      <c r="I1155">
        <f>IF($P1155="","",INDEX(상세표[기록 수],$P1155))</f>
        <v/>
      </c>
      <c r="J1155">
        <f>IF($P1155="","",INDEX(상세표[블록 06~07시],$P1155))</f>
        <v/>
      </c>
      <c r="K1155">
        <f>IF($P1155="","",INDEX(상세표[블록 07~18시],$P1155))</f>
        <v/>
      </c>
      <c r="L1155">
        <f>IF($P1155="","",INDEX(상세표[블록 18~22시],$P1155))</f>
        <v/>
      </c>
      <c r="M1155">
        <f>IF($P1155="","",INDEX(상세표[블록 22~06시],$P1155))</f>
        <v/>
      </c>
      <c r="N1155">
        <f>IF($P1155="","",INDEX(상세표[주말·휴일 포함],$P1155)&amp;"")</f>
        <v/>
      </c>
      <c r="O1155">
        <f>IF($P1155="","",INDEX(상세표[월 넘김 포함],$P1155)&amp;"")</f>
        <v/>
      </c>
      <c r="P1155" s="4">
        <f>IFERROR(MATCH(1150,상세표[연속순번],0),"")</f>
        <v/>
      </c>
    </row>
    <row r="1156">
      <c r="A1156">
        <f>IF($P1156="","",INDEX(상세표[사번],$P1156)&amp;"")</f>
        <v/>
      </c>
      <c r="B1156">
        <f>IF($P1156="","",INDEX(상세표[성명],$P1156)&amp;"")</f>
        <v/>
      </c>
      <c r="C1156">
        <f>IF($P1156="","",INDEX(상세표[부서],$P1156)&amp;"")</f>
        <v/>
      </c>
      <c r="D1156">
        <f>IF($P1156="","",INDEX(상세표[직위],$P1156)&amp;"")</f>
        <v/>
      </c>
      <c r="E1156">
        <f>IF($P1156="","",IF(ISNUMBER(INDEX(상세표[시작],$P1156)),TEXT(INDEX(상세표[시작],$P1156),"yyyy-mm-dd hh:mm"),INDEX(상세표[시작],$P1156)&amp;""))</f>
        <v/>
      </c>
      <c r="F1156">
        <f>IF($P1156="","",IF(ISNUMBER(INDEX(상세표[블록종료],$P1156)),TEXT(INDEX(상세표[블록종료],$P1156),"yyyy-mm-dd hh:mm"),INDEX(상세표[블록종료],$P1156)&amp;""))</f>
        <v/>
      </c>
      <c r="G1156">
        <f>IF($P1156="","",CHOOSE(WEEKDAY(INDEX(상세표[시작],$P1156)),"일","월","화","수","목","금","토"))</f>
        <v/>
      </c>
      <c r="H1156">
        <f>IF($P1156="","",INDEX(상세표[연속 시간],$P1156))</f>
        <v/>
      </c>
      <c r="I1156">
        <f>IF($P1156="","",INDEX(상세표[기록 수],$P1156))</f>
        <v/>
      </c>
      <c r="J1156">
        <f>IF($P1156="","",INDEX(상세표[블록 06~07시],$P1156))</f>
        <v/>
      </c>
      <c r="K1156">
        <f>IF($P1156="","",INDEX(상세표[블록 07~18시],$P1156))</f>
        <v/>
      </c>
      <c r="L1156">
        <f>IF($P1156="","",INDEX(상세표[블록 18~22시],$P1156))</f>
        <v/>
      </c>
      <c r="M1156">
        <f>IF($P1156="","",INDEX(상세표[블록 22~06시],$P1156))</f>
        <v/>
      </c>
      <c r="N1156">
        <f>IF($P1156="","",INDEX(상세표[주말·휴일 포함],$P1156)&amp;"")</f>
        <v/>
      </c>
      <c r="O1156">
        <f>IF($P1156="","",INDEX(상세표[월 넘김 포함],$P1156)&amp;"")</f>
        <v/>
      </c>
      <c r="P1156" s="4">
        <f>IFERROR(MATCH(1151,상세표[연속순번],0),"")</f>
        <v/>
      </c>
    </row>
    <row r="1157">
      <c r="A1157">
        <f>IF($P1157="","",INDEX(상세표[사번],$P1157)&amp;"")</f>
        <v/>
      </c>
      <c r="B1157">
        <f>IF($P1157="","",INDEX(상세표[성명],$P1157)&amp;"")</f>
        <v/>
      </c>
      <c r="C1157">
        <f>IF($P1157="","",INDEX(상세표[부서],$P1157)&amp;"")</f>
        <v/>
      </c>
      <c r="D1157">
        <f>IF($P1157="","",INDEX(상세표[직위],$P1157)&amp;"")</f>
        <v/>
      </c>
      <c r="E1157">
        <f>IF($P1157="","",IF(ISNUMBER(INDEX(상세표[시작],$P1157)),TEXT(INDEX(상세표[시작],$P1157),"yyyy-mm-dd hh:mm"),INDEX(상세표[시작],$P1157)&amp;""))</f>
        <v/>
      </c>
      <c r="F1157">
        <f>IF($P1157="","",IF(ISNUMBER(INDEX(상세표[블록종료],$P1157)),TEXT(INDEX(상세표[블록종료],$P1157),"yyyy-mm-dd hh:mm"),INDEX(상세표[블록종료],$P1157)&amp;""))</f>
        <v/>
      </c>
      <c r="G1157">
        <f>IF($P1157="","",CHOOSE(WEEKDAY(INDEX(상세표[시작],$P1157)),"일","월","화","수","목","금","토"))</f>
        <v/>
      </c>
      <c r="H1157">
        <f>IF($P1157="","",INDEX(상세표[연속 시간],$P1157))</f>
        <v/>
      </c>
      <c r="I1157">
        <f>IF($P1157="","",INDEX(상세표[기록 수],$P1157))</f>
        <v/>
      </c>
      <c r="J1157">
        <f>IF($P1157="","",INDEX(상세표[블록 06~07시],$P1157))</f>
        <v/>
      </c>
      <c r="K1157">
        <f>IF($P1157="","",INDEX(상세표[블록 07~18시],$P1157))</f>
        <v/>
      </c>
      <c r="L1157">
        <f>IF($P1157="","",INDEX(상세표[블록 18~22시],$P1157))</f>
        <v/>
      </c>
      <c r="M1157">
        <f>IF($P1157="","",INDEX(상세표[블록 22~06시],$P1157))</f>
        <v/>
      </c>
      <c r="N1157">
        <f>IF($P1157="","",INDEX(상세표[주말·휴일 포함],$P1157)&amp;"")</f>
        <v/>
      </c>
      <c r="O1157">
        <f>IF($P1157="","",INDEX(상세표[월 넘김 포함],$P1157)&amp;"")</f>
        <v/>
      </c>
      <c r="P1157" s="4">
        <f>IFERROR(MATCH(1152,상세표[연속순번],0),"")</f>
        <v/>
      </c>
    </row>
    <row r="1158">
      <c r="A1158">
        <f>IF($P1158="","",INDEX(상세표[사번],$P1158)&amp;"")</f>
        <v/>
      </c>
      <c r="B1158">
        <f>IF($P1158="","",INDEX(상세표[성명],$P1158)&amp;"")</f>
        <v/>
      </c>
      <c r="C1158">
        <f>IF($P1158="","",INDEX(상세표[부서],$P1158)&amp;"")</f>
        <v/>
      </c>
      <c r="D1158">
        <f>IF($P1158="","",INDEX(상세표[직위],$P1158)&amp;"")</f>
        <v/>
      </c>
      <c r="E1158">
        <f>IF($P1158="","",IF(ISNUMBER(INDEX(상세표[시작],$P1158)),TEXT(INDEX(상세표[시작],$P1158),"yyyy-mm-dd hh:mm"),INDEX(상세표[시작],$P1158)&amp;""))</f>
        <v/>
      </c>
      <c r="F1158">
        <f>IF($P1158="","",IF(ISNUMBER(INDEX(상세표[블록종료],$P1158)),TEXT(INDEX(상세표[블록종료],$P1158),"yyyy-mm-dd hh:mm"),INDEX(상세표[블록종료],$P1158)&amp;""))</f>
        <v/>
      </c>
      <c r="G1158">
        <f>IF($P1158="","",CHOOSE(WEEKDAY(INDEX(상세표[시작],$P1158)),"일","월","화","수","목","금","토"))</f>
        <v/>
      </c>
      <c r="H1158">
        <f>IF($P1158="","",INDEX(상세표[연속 시간],$P1158))</f>
        <v/>
      </c>
      <c r="I1158">
        <f>IF($P1158="","",INDEX(상세표[기록 수],$P1158))</f>
        <v/>
      </c>
      <c r="J1158">
        <f>IF($P1158="","",INDEX(상세표[블록 06~07시],$P1158))</f>
        <v/>
      </c>
      <c r="K1158">
        <f>IF($P1158="","",INDEX(상세표[블록 07~18시],$P1158))</f>
        <v/>
      </c>
      <c r="L1158">
        <f>IF($P1158="","",INDEX(상세표[블록 18~22시],$P1158))</f>
        <v/>
      </c>
      <c r="M1158">
        <f>IF($P1158="","",INDEX(상세표[블록 22~06시],$P1158))</f>
        <v/>
      </c>
      <c r="N1158">
        <f>IF($P1158="","",INDEX(상세표[주말·휴일 포함],$P1158)&amp;"")</f>
        <v/>
      </c>
      <c r="O1158">
        <f>IF($P1158="","",INDEX(상세표[월 넘김 포함],$P1158)&amp;"")</f>
        <v/>
      </c>
      <c r="P1158" s="4">
        <f>IFERROR(MATCH(1153,상세표[연속순번],0),"")</f>
        <v/>
      </c>
    </row>
    <row r="1159">
      <c r="A1159">
        <f>IF($P1159="","",INDEX(상세표[사번],$P1159)&amp;"")</f>
        <v/>
      </c>
      <c r="B1159">
        <f>IF($P1159="","",INDEX(상세표[성명],$P1159)&amp;"")</f>
        <v/>
      </c>
      <c r="C1159">
        <f>IF($P1159="","",INDEX(상세표[부서],$P1159)&amp;"")</f>
        <v/>
      </c>
      <c r="D1159">
        <f>IF($P1159="","",INDEX(상세표[직위],$P1159)&amp;"")</f>
        <v/>
      </c>
      <c r="E1159">
        <f>IF($P1159="","",IF(ISNUMBER(INDEX(상세표[시작],$P1159)),TEXT(INDEX(상세표[시작],$P1159),"yyyy-mm-dd hh:mm"),INDEX(상세표[시작],$P1159)&amp;""))</f>
        <v/>
      </c>
      <c r="F1159">
        <f>IF($P1159="","",IF(ISNUMBER(INDEX(상세표[블록종료],$P1159)),TEXT(INDEX(상세표[블록종료],$P1159),"yyyy-mm-dd hh:mm"),INDEX(상세표[블록종료],$P1159)&amp;""))</f>
        <v/>
      </c>
      <c r="G1159">
        <f>IF($P1159="","",CHOOSE(WEEKDAY(INDEX(상세표[시작],$P1159)),"일","월","화","수","목","금","토"))</f>
        <v/>
      </c>
      <c r="H1159">
        <f>IF($P1159="","",INDEX(상세표[연속 시간],$P1159))</f>
        <v/>
      </c>
      <c r="I1159">
        <f>IF($P1159="","",INDEX(상세표[기록 수],$P1159))</f>
        <v/>
      </c>
      <c r="J1159">
        <f>IF($P1159="","",INDEX(상세표[블록 06~07시],$P1159))</f>
        <v/>
      </c>
      <c r="K1159">
        <f>IF($P1159="","",INDEX(상세표[블록 07~18시],$P1159))</f>
        <v/>
      </c>
      <c r="L1159">
        <f>IF($P1159="","",INDEX(상세표[블록 18~22시],$P1159))</f>
        <v/>
      </c>
      <c r="M1159">
        <f>IF($P1159="","",INDEX(상세표[블록 22~06시],$P1159))</f>
        <v/>
      </c>
      <c r="N1159">
        <f>IF($P1159="","",INDEX(상세표[주말·휴일 포함],$P1159)&amp;"")</f>
        <v/>
      </c>
      <c r="O1159">
        <f>IF($P1159="","",INDEX(상세표[월 넘김 포함],$P1159)&amp;"")</f>
        <v/>
      </c>
      <c r="P1159" s="4">
        <f>IFERROR(MATCH(1154,상세표[연속순번],0),"")</f>
        <v/>
      </c>
    </row>
    <row r="1160">
      <c r="A1160">
        <f>IF($P1160="","",INDEX(상세표[사번],$P1160)&amp;"")</f>
        <v/>
      </c>
      <c r="B1160">
        <f>IF($P1160="","",INDEX(상세표[성명],$P1160)&amp;"")</f>
        <v/>
      </c>
      <c r="C1160">
        <f>IF($P1160="","",INDEX(상세표[부서],$P1160)&amp;"")</f>
        <v/>
      </c>
      <c r="D1160">
        <f>IF($P1160="","",INDEX(상세표[직위],$P1160)&amp;"")</f>
        <v/>
      </c>
      <c r="E1160">
        <f>IF($P1160="","",IF(ISNUMBER(INDEX(상세표[시작],$P1160)),TEXT(INDEX(상세표[시작],$P1160),"yyyy-mm-dd hh:mm"),INDEX(상세표[시작],$P1160)&amp;""))</f>
        <v/>
      </c>
      <c r="F1160">
        <f>IF($P1160="","",IF(ISNUMBER(INDEX(상세표[블록종료],$P1160)),TEXT(INDEX(상세표[블록종료],$P1160),"yyyy-mm-dd hh:mm"),INDEX(상세표[블록종료],$P1160)&amp;""))</f>
        <v/>
      </c>
      <c r="G1160">
        <f>IF($P1160="","",CHOOSE(WEEKDAY(INDEX(상세표[시작],$P1160)),"일","월","화","수","목","금","토"))</f>
        <v/>
      </c>
      <c r="H1160">
        <f>IF($P1160="","",INDEX(상세표[연속 시간],$P1160))</f>
        <v/>
      </c>
      <c r="I1160">
        <f>IF($P1160="","",INDEX(상세표[기록 수],$P1160))</f>
        <v/>
      </c>
      <c r="J1160">
        <f>IF($P1160="","",INDEX(상세표[블록 06~07시],$P1160))</f>
        <v/>
      </c>
      <c r="K1160">
        <f>IF($P1160="","",INDEX(상세표[블록 07~18시],$P1160))</f>
        <v/>
      </c>
      <c r="L1160">
        <f>IF($P1160="","",INDEX(상세표[블록 18~22시],$P1160))</f>
        <v/>
      </c>
      <c r="M1160">
        <f>IF($P1160="","",INDEX(상세표[블록 22~06시],$P1160))</f>
        <v/>
      </c>
      <c r="N1160">
        <f>IF($P1160="","",INDEX(상세표[주말·휴일 포함],$P1160)&amp;"")</f>
        <v/>
      </c>
      <c r="O1160">
        <f>IF($P1160="","",INDEX(상세표[월 넘김 포함],$P1160)&amp;"")</f>
        <v/>
      </c>
      <c r="P1160" s="4">
        <f>IFERROR(MATCH(1155,상세표[연속순번],0),"")</f>
        <v/>
      </c>
    </row>
    <row r="1161">
      <c r="A1161">
        <f>IF($P1161="","",INDEX(상세표[사번],$P1161)&amp;"")</f>
        <v/>
      </c>
      <c r="B1161">
        <f>IF($P1161="","",INDEX(상세표[성명],$P1161)&amp;"")</f>
        <v/>
      </c>
      <c r="C1161">
        <f>IF($P1161="","",INDEX(상세표[부서],$P1161)&amp;"")</f>
        <v/>
      </c>
      <c r="D1161">
        <f>IF($P1161="","",INDEX(상세표[직위],$P1161)&amp;"")</f>
        <v/>
      </c>
      <c r="E1161">
        <f>IF($P1161="","",IF(ISNUMBER(INDEX(상세표[시작],$P1161)),TEXT(INDEX(상세표[시작],$P1161),"yyyy-mm-dd hh:mm"),INDEX(상세표[시작],$P1161)&amp;""))</f>
        <v/>
      </c>
      <c r="F1161">
        <f>IF($P1161="","",IF(ISNUMBER(INDEX(상세표[블록종료],$P1161)),TEXT(INDEX(상세표[블록종료],$P1161),"yyyy-mm-dd hh:mm"),INDEX(상세표[블록종료],$P1161)&amp;""))</f>
        <v/>
      </c>
      <c r="G1161">
        <f>IF($P1161="","",CHOOSE(WEEKDAY(INDEX(상세표[시작],$P1161)),"일","월","화","수","목","금","토"))</f>
        <v/>
      </c>
      <c r="H1161">
        <f>IF($P1161="","",INDEX(상세표[연속 시간],$P1161))</f>
        <v/>
      </c>
      <c r="I1161">
        <f>IF($P1161="","",INDEX(상세표[기록 수],$P1161))</f>
        <v/>
      </c>
      <c r="J1161">
        <f>IF($P1161="","",INDEX(상세표[블록 06~07시],$P1161))</f>
        <v/>
      </c>
      <c r="K1161">
        <f>IF($P1161="","",INDEX(상세표[블록 07~18시],$P1161))</f>
        <v/>
      </c>
      <c r="L1161">
        <f>IF($P1161="","",INDEX(상세표[블록 18~22시],$P1161))</f>
        <v/>
      </c>
      <c r="M1161">
        <f>IF($P1161="","",INDEX(상세표[블록 22~06시],$P1161))</f>
        <v/>
      </c>
      <c r="N1161">
        <f>IF($P1161="","",INDEX(상세표[주말·휴일 포함],$P1161)&amp;"")</f>
        <v/>
      </c>
      <c r="O1161">
        <f>IF($P1161="","",INDEX(상세표[월 넘김 포함],$P1161)&amp;"")</f>
        <v/>
      </c>
      <c r="P1161" s="4">
        <f>IFERROR(MATCH(1156,상세표[연속순번],0),"")</f>
        <v/>
      </c>
    </row>
    <row r="1162">
      <c r="A1162">
        <f>IF($P1162="","",INDEX(상세표[사번],$P1162)&amp;"")</f>
        <v/>
      </c>
      <c r="B1162">
        <f>IF($P1162="","",INDEX(상세표[성명],$P1162)&amp;"")</f>
        <v/>
      </c>
      <c r="C1162">
        <f>IF($P1162="","",INDEX(상세표[부서],$P1162)&amp;"")</f>
        <v/>
      </c>
      <c r="D1162">
        <f>IF($P1162="","",INDEX(상세표[직위],$P1162)&amp;"")</f>
        <v/>
      </c>
      <c r="E1162">
        <f>IF($P1162="","",IF(ISNUMBER(INDEX(상세표[시작],$P1162)),TEXT(INDEX(상세표[시작],$P1162),"yyyy-mm-dd hh:mm"),INDEX(상세표[시작],$P1162)&amp;""))</f>
        <v/>
      </c>
      <c r="F1162">
        <f>IF($P1162="","",IF(ISNUMBER(INDEX(상세표[블록종료],$P1162)),TEXT(INDEX(상세표[블록종료],$P1162),"yyyy-mm-dd hh:mm"),INDEX(상세표[블록종료],$P1162)&amp;""))</f>
        <v/>
      </c>
      <c r="G1162">
        <f>IF($P1162="","",CHOOSE(WEEKDAY(INDEX(상세표[시작],$P1162)),"일","월","화","수","목","금","토"))</f>
        <v/>
      </c>
      <c r="H1162">
        <f>IF($P1162="","",INDEX(상세표[연속 시간],$P1162))</f>
        <v/>
      </c>
      <c r="I1162">
        <f>IF($P1162="","",INDEX(상세표[기록 수],$P1162))</f>
        <v/>
      </c>
      <c r="J1162">
        <f>IF($P1162="","",INDEX(상세표[블록 06~07시],$P1162))</f>
        <v/>
      </c>
      <c r="K1162">
        <f>IF($P1162="","",INDEX(상세표[블록 07~18시],$P1162))</f>
        <v/>
      </c>
      <c r="L1162">
        <f>IF($P1162="","",INDEX(상세표[블록 18~22시],$P1162))</f>
        <v/>
      </c>
      <c r="M1162">
        <f>IF($P1162="","",INDEX(상세표[블록 22~06시],$P1162))</f>
        <v/>
      </c>
      <c r="N1162">
        <f>IF($P1162="","",INDEX(상세표[주말·휴일 포함],$P1162)&amp;"")</f>
        <v/>
      </c>
      <c r="O1162">
        <f>IF($P1162="","",INDEX(상세표[월 넘김 포함],$P1162)&amp;"")</f>
        <v/>
      </c>
      <c r="P1162" s="4">
        <f>IFERROR(MATCH(1157,상세표[연속순번],0),"")</f>
        <v/>
      </c>
    </row>
    <row r="1163">
      <c r="A1163">
        <f>IF($P1163="","",INDEX(상세표[사번],$P1163)&amp;"")</f>
        <v/>
      </c>
      <c r="B1163">
        <f>IF($P1163="","",INDEX(상세표[성명],$P1163)&amp;"")</f>
        <v/>
      </c>
      <c r="C1163">
        <f>IF($P1163="","",INDEX(상세표[부서],$P1163)&amp;"")</f>
        <v/>
      </c>
      <c r="D1163">
        <f>IF($P1163="","",INDEX(상세표[직위],$P1163)&amp;"")</f>
        <v/>
      </c>
      <c r="E1163">
        <f>IF($P1163="","",IF(ISNUMBER(INDEX(상세표[시작],$P1163)),TEXT(INDEX(상세표[시작],$P1163),"yyyy-mm-dd hh:mm"),INDEX(상세표[시작],$P1163)&amp;""))</f>
        <v/>
      </c>
      <c r="F1163">
        <f>IF($P1163="","",IF(ISNUMBER(INDEX(상세표[블록종료],$P1163)),TEXT(INDEX(상세표[블록종료],$P1163),"yyyy-mm-dd hh:mm"),INDEX(상세표[블록종료],$P1163)&amp;""))</f>
        <v/>
      </c>
      <c r="G1163">
        <f>IF($P1163="","",CHOOSE(WEEKDAY(INDEX(상세표[시작],$P1163)),"일","월","화","수","목","금","토"))</f>
        <v/>
      </c>
      <c r="H1163">
        <f>IF($P1163="","",INDEX(상세표[연속 시간],$P1163))</f>
        <v/>
      </c>
      <c r="I1163">
        <f>IF($P1163="","",INDEX(상세표[기록 수],$P1163))</f>
        <v/>
      </c>
      <c r="J1163">
        <f>IF($P1163="","",INDEX(상세표[블록 06~07시],$P1163))</f>
        <v/>
      </c>
      <c r="K1163">
        <f>IF($P1163="","",INDEX(상세표[블록 07~18시],$P1163))</f>
        <v/>
      </c>
      <c r="L1163">
        <f>IF($P1163="","",INDEX(상세표[블록 18~22시],$P1163))</f>
        <v/>
      </c>
      <c r="M1163">
        <f>IF($P1163="","",INDEX(상세표[블록 22~06시],$P1163))</f>
        <v/>
      </c>
      <c r="N1163">
        <f>IF($P1163="","",INDEX(상세표[주말·휴일 포함],$P1163)&amp;"")</f>
        <v/>
      </c>
      <c r="O1163">
        <f>IF($P1163="","",INDEX(상세표[월 넘김 포함],$P1163)&amp;"")</f>
        <v/>
      </c>
      <c r="P1163" s="4">
        <f>IFERROR(MATCH(1158,상세표[연속순번],0),"")</f>
        <v/>
      </c>
    </row>
    <row r="1164">
      <c r="A1164">
        <f>IF($P1164="","",INDEX(상세표[사번],$P1164)&amp;"")</f>
        <v/>
      </c>
      <c r="B1164">
        <f>IF($P1164="","",INDEX(상세표[성명],$P1164)&amp;"")</f>
        <v/>
      </c>
      <c r="C1164">
        <f>IF($P1164="","",INDEX(상세표[부서],$P1164)&amp;"")</f>
        <v/>
      </c>
      <c r="D1164">
        <f>IF($P1164="","",INDEX(상세표[직위],$P1164)&amp;"")</f>
        <v/>
      </c>
      <c r="E1164">
        <f>IF($P1164="","",IF(ISNUMBER(INDEX(상세표[시작],$P1164)),TEXT(INDEX(상세표[시작],$P1164),"yyyy-mm-dd hh:mm"),INDEX(상세표[시작],$P1164)&amp;""))</f>
        <v/>
      </c>
      <c r="F1164">
        <f>IF($P1164="","",IF(ISNUMBER(INDEX(상세표[블록종료],$P1164)),TEXT(INDEX(상세표[블록종료],$P1164),"yyyy-mm-dd hh:mm"),INDEX(상세표[블록종료],$P1164)&amp;""))</f>
        <v/>
      </c>
      <c r="G1164">
        <f>IF($P1164="","",CHOOSE(WEEKDAY(INDEX(상세표[시작],$P1164)),"일","월","화","수","목","금","토"))</f>
        <v/>
      </c>
      <c r="H1164">
        <f>IF($P1164="","",INDEX(상세표[연속 시간],$P1164))</f>
        <v/>
      </c>
      <c r="I1164">
        <f>IF($P1164="","",INDEX(상세표[기록 수],$P1164))</f>
        <v/>
      </c>
      <c r="J1164">
        <f>IF($P1164="","",INDEX(상세표[블록 06~07시],$P1164))</f>
        <v/>
      </c>
      <c r="K1164">
        <f>IF($P1164="","",INDEX(상세표[블록 07~18시],$P1164))</f>
        <v/>
      </c>
      <c r="L1164">
        <f>IF($P1164="","",INDEX(상세표[블록 18~22시],$P1164))</f>
        <v/>
      </c>
      <c r="M1164">
        <f>IF($P1164="","",INDEX(상세표[블록 22~06시],$P1164))</f>
        <v/>
      </c>
      <c r="N1164">
        <f>IF($P1164="","",INDEX(상세표[주말·휴일 포함],$P1164)&amp;"")</f>
        <v/>
      </c>
      <c r="O1164">
        <f>IF($P1164="","",INDEX(상세표[월 넘김 포함],$P1164)&amp;"")</f>
        <v/>
      </c>
      <c r="P1164" s="4">
        <f>IFERROR(MATCH(1159,상세표[연속순번],0),"")</f>
        <v/>
      </c>
    </row>
    <row r="1165">
      <c r="A1165">
        <f>IF($P1165="","",INDEX(상세표[사번],$P1165)&amp;"")</f>
        <v/>
      </c>
      <c r="B1165">
        <f>IF($P1165="","",INDEX(상세표[성명],$P1165)&amp;"")</f>
        <v/>
      </c>
      <c r="C1165">
        <f>IF($P1165="","",INDEX(상세표[부서],$P1165)&amp;"")</f>
        <v/>
      </c>
      <c r="D1165">
        <f>IF($P1165="","",INDEX(상세표[직위],$P1165)&amp;"")</f>
        <v/>
      </c>
      <c r="E1165">
        <f>IF($P1165="","",IF(ISNUMBER(INDEX(상세표[시작],$P1165)),TEXT(INDEX(상세표[시작],$P1165),"yyyy-mm-dd hh:mm"),INDEX(상세표[시작],$P1165)&amp;""))</f>
        <v/>
      </c>
      <c r="F1165">
        <f>IF($P1165="","",IF(ISNUMBER(INDEX(상세표[블록종료],$P1165)),TEXT(INDEX(상세표[블록종료],$P1165),"yyyy-mm-dd hh:mm"),INDEX(상세표[블록종료],$P1165)&amp;""))</f>
        <v/>
      </c>
      <c r="G1165">
        <f>IF($P1165="","",CHOOSE(WEEKDAY(INDEX(상세표[시작],$P1165)),"일","월","화","수","목","금","토"))</f>
        <v/>
      </c>
      <c r="H1165">
        <f>IF($P1165="","",INDEX(상세표[연속 시간],$P1165))</f>
        <v/>
      </c>
      <c r="I1165">
        <f>IF($P1165="","",INDEX(상세표[기록 수],$P1165))</f>
        <v/>
      </c>
      <c r="J1165">
        <f>IF($P1165="","",INDEX(상세표[블록 06~07시],$P1165))</f>
        <v/>
      </c>
      <c r="K1165">
        <f>IF($P1165="","",INDEX(상세표[블록 07~18시],$P1165))</f>
        <v/>
      </c>
      <c r="L1165">
        <f>IF($P1165="","",INDEX(상세표[블록 18~22시],$P1165))</f>
        <v/>
      </c>
      <c r="M1165">
        <f>IF($P1165="","",INDEX(상세표[블록 22~06시],$P1165))</f>
        <v/>
      </c>
      <c r="N1165">
        <f>IF($P1165="","",INDEX(상세표[주말·휴일 포함],$P1165)&amp;"")</f>
        <v/>
      </c>
      <c r="O1165">
        <f>IF($P1165="","",INDEX(상세표[월 넘김 포함],$P1165)&amp;"")</f>
        <v/>
      </c>
      <c r="P1165" s="4">
        <f>IFERROR(MATCH(1160,상세표[연속순번],0),"")</f>
        <v/>
      </c>
    </row>
    <row r="1166">
      <c r="A1166">
        <f>IF($P1166="","",INDEX(상세표[사번],$P1166)&amp;"")</f>
        <v/>
      </c>
      <c r="B1166">
        <f>IF($P1166="","",INDEX(상세표[성명],$P1166)&amp;"")</f>
        <v/>
      </c>
      <c r="C1166">
        <f>IF($P1166="","",INDEX(상세표[부서],$P1166)&amp;"")</f>
        <v/>
      </c>
      <c r="D1166">
        <f>IF($P1166="","",INDEX(상세표[직위],$P1166)&amp;"")</f>
        <v/>
      </c>
      <c r="E1166">
        <f>IF($P1166="","",IF(ISNUMBER(INDEX(상세표[시작],$P1166)),TEXT(INDEX(상세표[시작],$P1166),"yyyy-mm-dd hh:mm"),INDEX(상세표[시작],$P1166)&amp;""))</f>
        <v/>
      </c>
      <c r="F1166">
        <f>IF($P1166="","",IF(ISNUMBER(INDEX(상세표[블록종료],$P1166)),TEXT(INDEX(상세표[블록종료],$P1166),"yyyy-mm-dd hh:mm"),INDEX(상세표[블록종료],$P1166)&amp;""))</f>
        <v/>
      </c>
      <c r="G1166">
        <f>IF($P1166="","",CHOOSE(WEEKDAY(INDEX(상세표[시작],$P1166)),"일","월","화","수","목","금","토"))</f>
        <v/>
      </c>
      <c r="H1166">
        <f>IF($P1166="","",INDEX(상세표[연속 시간],$P1166))</f>
        <v/>
      </c>
      <c r="I1166">
        <f>IF($P1166="","",INDEX(상세표[기록 수],$P1166))</f>
        <v/>
      </c>
      <c r="J1166">
        <f>IF($P1166="","",INDEX(상세표[블록 06~07시],$P1166))</f>
        <v/>
      </c>
      <c r="K1166">
        <f>IF($P1166="","",INDEX(상세표[블록 07~18시],$P1166))</f>
        <v/>
      </c>
      <c r="L1166">
        <f>IF($P1166="","",INDEX(상세표[블록 18~22시],$P1166))</f>
        <v/>
      </c>
      <c r="M1166">
        <f>IF($P1166="","",INDEX(상세표[블록 22~06시],$P1166))</f>
        <v/>
      </c>
      <c r="N1166">
        <f>IF($P1166="","",INDEX(상세표[주말·휴일 포함],$P1166)&amp;"")</f>
        <v/>
      </c>
      <c r="O1166">
        <f>IF($P1166="","",INDEX(상세표[월 넘김 포함],$P1166)&amp;"")</f>
        <v/>
      </c>
      <c r="P1166" s="4">
        <f>IFERROR(MATCH(1161,상세표[연속순번],0),"")</f>
        <v/>
      </c>
    </row>
    <row r="1167">
      <c r="A1167">
        <f>IF($P1167="","",INDEX(상세표[사번],$P1167)&amp;"")</f>
        <v/>
      </c>
      <c r="B1167">
        <f>IF($P1167="","",INDEX(상세표[성명],$P1167)&amp;"")</f>
        <v/>
      </c>
      <c r="C1167">
        <f>IF($P1167="","",INDEX(상세표[부서],$P1167)&amp;"")</f>
        <v/>
      </c>
      <c r="D1167">
        <f>IF($P1167="","",INDEX(상세표[직위],$P1167)&amp;"")</f>
        <v/>
      </c>
      <c r="E1167">
        <f>IF($P1167="","",IF(ISNUMBER(INDEX(상세표[시작],$P1167)),TEXT(INDEX(상세표[시작],$P1167),"yyyy-mm-dd hh:mm"),INDEX(상세표[시작],$P1167)&amp;""))</f>
        <v/>
      </c>
      <c r="F1167">
        <f>IF($P1167="","",IF(ISNUMBER(INDEX(상세표[블록종료],$P1167)),TEXT(INDEX(상세표[블록종료],$P1167),"yyyy-mm-dd hh:mm"),INDEX(상세표[블록종료],$P1167)&amp;""))</f>
        <v/>
      </c>
      <c r="G1167">
        <f>IF($P1167="","",CHOOSE(WEEKDAY(INDEX(상세표[시작],$P1167)),"일","월","화","수","목","금","토"))</f>
        <v/>
      </c>
      <c r="H1167">
        <f>IF($P1167="","",INDEX(상세표[연속 시간],$P1167))</f>
        <v/>
      </c>
      <c r="I1167">
        <f>IF($P1167="","",INDEX(상세표[기록 수],$P1167))</f>
        <v/>
      </c>
      <c r="J1167">
        <f>IF($P1167="","",INDEX(상세표[블록 06~07시],$P1167))</f>
        <v/>
      </c>
      <c r="K1167">
        <f>IF($P1167="","",INDEX(상세표[블록 07~18시],$P1167))</f>
        <v/>
      </c>
      <c r="L1167">
        <f>IF($P1167="","",INDEX(상세표[블록 18~22시],$P1167))</f>
        <v/>
      </c>
      <c r="M1167">
        <f>IF($P1167="","",INDEX(상세표[블록 22~06시],$P1167))</f>
        <v/>
      </c>
      <c r="N1167">
        <f>IF($P1167="","",INDEX(상세표[주말·휴일 포함],$P1167)&amp;"")</f>
        <v/>
      </c>
      <c r="O1167">
        <f>IF($P1167="","",INDEX(상세표[월 넘김 포함],$P1167)&amp;"")</f>
        <v/>
      </c>
      <c r="P1167" s="4">
        <f>IFERROR(MATCH(1162,상세표[연속순번],0),"")</f>
        <v/>
      </c>
    </row>
    <row r="1168">
      <c r="A1168">
        <f>IF($P1168="","",INDEX(상세표[사번],$P1168)&amp;"")</f>
        <v/>
      </c>
      <c r="B1168">
        <f>IF($P1168="","",INDEX(상세표[성명],$P1168)&amp;"")</f>
        <v/>
      </c>
      <c r="C1168">
        <f>IF($P1168="","",INDEX(상세표[부서],$P1168)&amp;"")</f>
        <v/>
      </c>
      <c r="D1168">
        <f>IF($P1168="","",INDEX(상세표[직위],$P1168)&amp;"")</f>
        <v/>
      </c>
      <c r="E1168">
        <f>IF($P1168="","",IF(ISNUMBER(INDEX(상세표[시작],$P1168)),TEXT(INDEX(상세표[시작],$P1168),"yyyy-mm-dd hh:mm"),INDEX(상세표[시작],$P1168)&amp;""))</f>
        <v/>
      </c>
      <c r="F1168">
        <f>IF($P1168="","",IF(ISNUMBER(INDEX(상세표[블록종료],$P1168)),TEXT(INDEX(상세표[블록종료],$P1168),"yyyy-mm-dd hh:mm"),INDEX(상세표[블록종료],$P1168)&amp;""))</f>
        <v/>
      </c>
      <c r="G1168">
        <f>IF($P1168="","",CHOOSE(WEEKDAY(INDEX(상세표[시작],$P1168)),"일","월","화","수","목","금","토"))</f>
        <v/>
      </c>
      <c r="H1168">
        <f>IF($P1168="","",INDEX(상세표[연속 시간],$P1168))</f>
        <v/>
      </c>
      <c r="I1168">
        <f>IF($P1168="","",INDEX(상세표[기록 수],$P1168))</f>
        <v/>
      </c>
      <c r="J1168">
        <f>IF($P1168="","",INDEX(상세표[블록 06~07시],$P1168))</f>
        <v/>
      </c>
      <c r="K1168">
        <f>IF($P1168="","",INDEX(상세표[블록 07~18시],$P1168))</f>
        <v/>
      </c>
      <c r="L1168">
        <f>IF($P1168="","",INDEX(상세표[블록 18~22시],$P1168))</f>
        <v/>
      </c>
      <c r="M1168">
        <f>IF($P1168="","",INDEX(상세표[블록 22~06시],$P1168))</f>
        <v/>
      </c>
      <c r="N1168">
        <f>IF($P1168="","",INDEX(상세표[주말·휴일 포함],$P1168)&amp;"")</f>
        <v/>
      </c>
      <c r="O1168">
        <f>IF($P1168="","",INDEX(상세표[월 넘김 포함],$P1168)&amp;"")</f>
        <v/>
      </c>
      <c r="P1168" s="4">
        <f>IFERROR(MATCH(1163,상세표[연속순번],0),"")</f>
        <v/>
      </c>
    </row>
    <row r="1169">
      <c r="A1169">
        <f>IF($P1169="","",INDEX(상세표[사번],$P1169)&amp;"")</f>
        <v/>
      </c>
      <c r="B1169">
        <f>IF($P1169="","",INDEX(상세표[성명],$P1169)&amp;"")</f>
        <v/>
      </c>
      <c r="C1169">
        <f>IF($P1169="","",INDEX(상세표[부서],$P1169)&amp;"")</f>
        <v/>
      </c>
      <c r="D1169">
        <f>IF($P1169="","",INDEX(상세표[직위],$P1169)&amp;"")</f>
        <v/>
      </c>
      <c r="E1169">
        <f>IF($P1169="","",IF(ISNUMBER(INDEX(상세표[시작],$P1169)),TEXT(INDEX(상세표[시작],$P1169),"yyyy-mm-dd hh:mm"),INDEX(상세표[시작],$P1169)&amp;""))</f>
        <v/>
      </c>
      <c r="F1169">
        <f>IF($P1169="","",IF(ISNUMBER(INDEX(상세표[블록종료],$P1169)),TEXT(INDEX(상세표[블록종료],$P1169),"yyyy-mm-dd hh:mm"),INDEX(상세표[블록종료],$P1169)&amp;""))</f>
        <v/>
      </c>
      <c r="G1169">
        <f>IF($P1169="","",CHOOSE(WEEKDAY(INDEX(상세표[시작],$P1169)),"일","월","화","수","목","금","토"))</f>
        <v/>
      </c>
      <c r="H1169">
        <f>IF($P1169="","",INDEX(상세표[연속 시간],$P1169))</f>
        <v/>
      </c>
      <c r="I1169">
        <f>IF($P1169="","",INDEX(상세표[기록 수],$P1169))</f>
        <v/>
      </c>
      <c r="J1169">
        <f>IF($P1169="","",INDEX(상세표[블록 06~07시],$P1169))</f>
        <v/>
      </c>
      <c r="K1169">
        <f>IF($P1169="","",INDEX(상세표[블록 07~18시],$P1169))</f>
        <v/>
      </c>
      <c r="L1169">
        <f>IF($P1169="","",INDEX(상세표[블록 18~22시],$P1169))</f>
        <v/>
      </c>
      <c r="M1169">
        <f>IF($P1169="","",INDEX(상세표[블록 22~06시],$P1169))</f>
        <v/>
      </c>
      <c r="N1169">
        <f>IF($P1169="","",INDEX(상세표[주말·휴일 포함],$P1169)&amp;"")</f>
        <v/>
      </c>
      <c r="O1169">
        <f>IF($P1169="","",INDEX(상세표[월 넘김 포함],$P1169)&amp;"")</f>
        <v/>
      </c>
      <c r="P1169" s="4">
        <f>IFERROR(MATCH(1164,상세표[연속순번],0),"")</f>
        <v/>
      </c>
    </row>
    <row r="1170">
      <c r="A1170">
        <f>IF($P1170="","",INDEX(상세표[사번],$P1170)&amp;"")</f>
        <v/>
      </c>
      <c r="B1170">
        <f>IF($P1170="","",INDEX(상세표[성명],$P1170)&amp;"")</f>
        <v/>
      </c>
      <c r="C1170">
        <f>IF($P1170="","",INDEX(상세표[부서],$P1170)&amp;"")</f>
        <v/>
      </c>
      <c r="D1170">
        <f>IF($P1170="","",INDEX(상세표[직위],$P1170)&amp;"")</f>
        <v/>
      </c>
      <c r="E1170">
        <f>IF($P1170="","",IF(ISNUMBER(INDEX(상세표[시작],$P1170)),TEXT(INDEX(상세표[시작],$P1170),"yyyy-mm-dd hh:mm"),INDEX(상세표[시작],$P1170)&amp;""))</f>
        <v/>
      </c>
      <c r="F1170">
        <f>IF($P1170="","",IF(ISNUMBER(INDEX(상세표[블록종료],$P1170)),TEXT(INDEX(상세표[블록종료],$P1170),"yyyy-mm-dd hh:mm"),INDEX(상세표[블록종료],$P1170)&amp;""))</f>
        <v/>
      </c>
      <c r="G1170">
        <f>IF($P1170="","",CHOOSE(WEEKDAY(INDEX(상세표[시작],$P1170)),"일","월","화","수","목","금","토"))</f>
        <v/>
      </c>
      <c r="H1170">
        <f>IF($P1170="","",INDEX(상세표[연속 시간],$P1170))</f>
        <v/>
      </c>
      <c r="I1170">
        <f>IF($P1170="","",INDEX(상세표[기록 수],$P1170))</f>
        <v/>
      </c>
      <c r="J1170">
        <f>IF($P1170="","",INDEX(상세표[블록 06~07시],$P1170))</f>
        <v/>
      </c>
      <c r="K1170">
        <f>IF($P1170="","",INDEX(상세표[블록 07~18시],$P1170))</f>
        <v/>
      </c>
      <c r="L1170">
        <f>IF($P1170="","",INDEX(상세표[블록 18~22시],$P1170))</f>
        <v/>
      </c>
      <c r="M1170">
        <f>IF($P1170="","",INDEX(상세표[블록 22~06시],$P1170))</f>
        <v/>
      </c>
      <c r="N1170">
        <f>IF($P1170="","",INDEX(상세표[주말·휴일 포함],$P1170)&amp;"")</f>
        <v/>
      </c>
      <c r="O1170">
        <f>IF($P1170="","",INDEX(상세표[월 넘김 포함],$P1170)&amp;"")</f>
        <v/>
      </c>
      <c r="P1170" s="4">
        <f>IFERROR(MATCH(1165,상세표[연속순번],0),"")</f>
        <v/>
      </c>
    </row>
    <row r="1171">
      <c r="A1171">
        <f>IF($P1171="","",INDEX(상세표[사번],$P1171)&amp;"")</f>
        <v/>
      </c>
      <c r="B1171">
        <f>IF($P1171="","",INDEX(상세표[성명],$P1171)&amp;"")</f>
        <v/>
      </c>
      <c r="C1171">
        <f>IF($P1171="","",INDEX(상세표[부서],$P1171)&amp;"")</f>
        <v/>
      </c>
      <c r="D1171">
        <f>IF($P1171="","",INDEX(상세표[직위],$P1171)&amp;"")</f>
        <v/>
      </c>
      <c r="E1171">
        <f>IF($P1171="","",IF(ISNUMBER(INDEX(상세표[시작],$P1171)),TEXT(INDEX(상세표[시작],$P1171),"yyyy-mm-dd hh:mm"),INDEX(상세표[시작],$P1171)&amp;""))</f>
        <v/>
      </c>
      <c r="F1171">
        <f>IF($P1171="","",IF(ISNUMBER(INDEX(상세표[블록종료],$P1171)),TEXT(INDEX(상세표[블록종료],$P1171),"yyyy-mm-dd hh:mm"),INDEX(상세표[블록종료],$P1171)&amp;""))</f>
        <v/>
      </c>
      <c r="G1171">
        <f>IF($P1171="","",CHOOSE(WEEKDAY(INDEX(상세표[시작],$P1171)),"일","월","화","수","목","금","토"))</f>
        <v/>
      </c>
      <c r="H1171">
        <f>IF($P1171="","",INDEX(상세표[연속 시간],$P1171))</f>
        <v/>
      </c>
      <c r="I1171">
        <f>IF($P1171="","",INDEX(상세표[기록 수],$P1171))</f>
        <v/>
      </c>
      <c r="J1171">
        <f>IF($P1171="","",INDEX(상세표[블록 06~07시],$P1171))</f>
        <v/>
      </c>
      <c r="K1171">
        <f>IF($P1171="","",INDEX(상세표[블록 07~18시],$P1171))</f>
        <v/>
      </c>
      <c r="L1171">
        <f>IF($P1171="","",INDEX(상세표[블록 18~22시],$P1171))</f>
        <v/>
      </c>
      <c r="M1171">
        <f>IF($P1171="","",INDEX(상세표[블록 22~06시],$P1171))</f>
        <v/>
      </c>
      <c r="N1171">
        <f>IF($P1171="","",INDEX(상세표[주말·휴일 포함],$P1171)&amp;"")</f>
        <v/>
      </c>
      <c r="O1171">
        <f>IF($P1171="","",INDEX(상세표[월 넘김 포함],$P1171)&amp;"")</f>
        <v/>
      </c>
      <c r="P1171" s="4">
        <f>IFERROR(MATCH(1166,상세표[연속순번],0),"")</f>
        <v/>
      </c>
    </row>
    <row r="1172">
      <c r="A1172">
        <f>IF($P1172="","",INDEX(상세표[사번],$P1172)&amp;"")</f>
        <v/>
      </c>
      <c r="B1172">
        <f>IF($P1172="","",INDEX(상세표[성명],$P1172)&amp;"")</f>
        <v/>
      </c>
      <c r="C1172">
        <f>IF($P1172="","",INDEX(상세표[부서],$P1172)&amp;"")</f>
        <v/>
      </c>
      <c r="D1172">
        <f>IF($P1172="","",INDEX(상세표[직위],$P1172)&amp;"")</f>
        <v/>
      </c>
      <c r="E1172">
        <f>IF($P1172="","",IF(ISNUMBER(INDEX(상세표[시작],$P1172)),TEXT(INDEX(상세표[시작],$P1172),"yyyy-mm-dd hh:mm"),INDEX(상세표[시작],$P1172)&amp;""))</f>
        <v/>
      </c>
      <c r="F1172">
        <f>IF($P1172="","",IF(ISNUMBER(INDEX(상세표[블록종료],$P1172)),TEXT(INDEX(상세표[블록종료],$P1172),"yyyy-mm-dd hh:mm"),INDEX(상세표[블록종료],$P1172)&amp;""))</f>
        <v/>
      </c>
      <c r="G1172">
        <f>IF($P1172="","",CHOOSE(WEEKDAY(INDEX(상세표[시작],$P1172)),"일","월","화","수","목","금","토"))</f>
        <v/>
      </c>
      <c r="H1172">
        <f>IF($P1172="","",INDEX(상세표[연속 시간],$P1172))</f>
        <v/>
      </c>
      <c r="I1172">
        <f>IF($P1172="","",INDEX(상세표[기록 수],$P1172))</f>
        <v/>
      </c>
      <c r="J1172">
        <f>IF($P1172="","",INDEX(상세표[블록 06~07시],$P1172))</f>
        <v/>
      </c>
      <c r="K1172">
        <f>IF($P1172="","",INDEX(상세표[블록 07~18시],$P1172))</f>
        <v/>
      </c>
      <c r="L1172">
        <f>IF($P1172="","",INDEX(상세표[블록 18~22시],$P1172))</f>
        <v/>
      </c>
      <c r="M1172">
        <f>IF($P1172="","",INDEX(상세표[블록 22~06시],$P1172))</f>
        <v/>
      </c>
      <c r="N1172">
        <f>IF($P1172="","",INDEX(상세표[주말·휴일 포함],$P1172)&amp;"")</f>
        <v/>
      </c>
      <c r="O1172">
        <f>IF($P1172="","",INDEX(상세표[월 넘김 포함],$P1172)&amp;"")</f>
        <v/>
      </c>
      <c r="P1172" s="4">
        <f>IFERROR(MATCH(1167,상세표[연속순번],0),"")</f>
        <v/>
      </c>
    </row>
    <row r="1173">
      <c r="A1173">
        <f>IF($P1173="","",INDEX(상세표[사번],$P1173)&amp;"")</f>
        <v/>
      </c>
      <c r="B1173">
        <f>IF($P1173="","",INDEX(상세표[성명],$P1173)&amp;"")</f>
        <v/>
      </c>
      <c r="C1173">
        <f>IF($P1173="","",INDEX(상세표[부서],$P1173)&amp;"")</f>
        <v/>
      </c>
      <c r="D1173">
        <f>IF($P1173="","",INDEX(상세표[직위],$P1173)&amp;"")</f>
        <v/>
      </c>
      <c r="E1173">
        <f>IF($P1173="","",IF(ISNUMBER(INDEX(상세표[시작],$P1173)),TEXT(INDEX(상세표[시작],$P1173),"yyyy-mm-dd hh:mm"),INDEX(상세표[시작],$P1173)&amp;""))</f>
        <v/>
      </c>
      <c r="F1173">
        <f>IF($P1173="","",IF(ISNUMBER(INDEX(상세표[블록종료],$P1173)),TEXT(INDEX(상세표[블록종료],$P1173),"yyyy-mm-dd hh:mm"),INDEX(상세표[블록종료],$P1173)&amp;""))</f>
        <v/>
      </c>
      <c r="G1173">
        <f>IF($P1173="","",CHOOSE(WEEKDAY(INDEX(상세표[시작],$P1173)),"일","월","화","수","목","금","토"))</f>
        <v/>
      </c>
      <c r="H1173">
        <f>IF($P1173="","",INDEX(상세표[연속 시간],$P1173))</f>
        <v/>
      </c>
      <c r="I1173">
        <f>IF($P1173="","",INDEX(상세표[기록 수],$P1173))</f>
        <v/>
      </c>
      <c r="J1173">
        <f>IF($P1173="","",INDEX(상세표[블록 06~07시],$P1173))</f>
        <v/>
      </c>
      <c r="K1173">
        <f>IF($P1173="","",INDEX(상세표[블록 07~18시],$P1173))</f>
        <v/>
      </c>
      <c r="L1173">
        <f>IF($P1173="","",INDEX(상세표[블록 18~22시],$P1173))</f>
        <v/>
      </c>
      <c r="M1173">
        <f>IF($P1173="","",INDEX(상세표[블록 22~06시],$P1173))</f>
        <v/>
      </c>
      <c r="N1173">
        <f>IF($P1173="","",INDEX(상세표[주말·휴일 포함],$P1173)&amp;"")</f>
        <v/>
      </c>
      <c r="O1173">
        <f>IF($P1173="","",INDEX(상세표[월 넘김 포함],$P1173)&amp;"")</f>
        <v/>
      </c>
      <c r="P1173" s="4">
        <f>IFERROR(MATCH(1168,상세표[연속순번],0),"")</f>
        <v/>
      </c>
    </row>
    <row r="1174">
      <c r="A1174">
        <f>IF($P1174="","",INDEX(상세표[사번],$P1174)&amp;"")</f>
        <v/>
      </c>
      <c r="B1174">
        <f>IF($P1174="","",INDEX(상세표[성명],$P1174)&amp;"")</f>
        <v/>
      </c>
      <c r="C1174">
        <f>IF($P1174="","",INDEX(상세표[부서],$P1174)&amp;"")</f>
        <v/>
      </c>
      <c r="D1174">
        <f>IF($P1174="","",INDEX(상세표[직위],$P1174)&amp;"")</f>
        <v/>
      </c>
      <c r="E1174">
        <f>IF($P1174="","",IF(ISNUMBER(INDEX(상세표[시작],$P1174)),TEXT(INDEX(상세표[시작],$P1174),"yyyy-mm-dd hh:mm"),INDEX(상세표[시작],$P1174)&amp;""))</f>
        <v/>
      </c>
      <c r="F1174">
        <f>IF($P1174="","",IF(ISNUMBER(INDEX(상세표[블록종료],$P1174)),TEXT(INDEX(상세표[블록종료],$P1174),"yyyy-mm-dd hh:mm"),INDEX(상세표[블록종료],$P1174)&amp;""))</f>
        <v/>
      </c>
      <c r="G1174">
        <f>IF($P1174="","",CHOOSE(WEEKDAY(INDEX(상세표[시작],$P1174)),"일","월","화","수","목","금","토"))</f>
        <v/>
      </c>
      <c r="H1174">
        <f>IF($P1174="","",INDEX(상세표[연속 시간],$P1174))</f>
        <v/>
      </c>
      <c r="I1174">
        <f>IF($P1174="","",INDEX(상세표[기록 수],$P1174))</f>
        <v/>
      </c>
      <c r="J1174">
        <f>IF($P1174="","",INDEX(상세표[블록 06~07시],$P1174))</f>
        <v/>
      </c>
      <c r="K1174">
        <f>IF($P1174="","",INDEX(상세표[블록 07~18시],$P1174))</f>
        <v/>
      </c>
      <c r="L1174">
        <f>IF($P1174="","",INDEX(상세표[블록 18~22시],$P1174))</f>
        <v/>
      </c>
      <c r="M1174">
        <f>IF($P1174="","",INDEX(상세표[블록 22~06시],$P1174))</f>
        <v/>
      </c>
      <c r="N1174">
        <f>IF($P1174="","",INDEX(상세표[주말·휴일 포함],$P1174)&amp;"")</f>
        <v/>
      </c>
      <c r="O1174">
        <f>IF($P1174="","",INDEX(상세표[월 넘김 포함],$P1174)&amp;"")</f>
        <v/>
      </c>
      <c r="P1174" s="4">
        <f>IFERROR(MATCH(1169,상세표[연속순번],0),"")</f>
        <v/>
      </c>
    </row>
    <row r="1175">
      <c r="A1175">
        <f>IF($P1175="","",INDEX(상세표[사번],$P1175)&amp;"")</f>
        <v/>
      </c>
      <c r="B1175">
        <f>IF($P1175="","",INDEX(상세표[성명],$P1175)&amp;"")</f>
        <v/>
      </c>
      <c r="C1175">
        <f>IF($P1175="","",INDEX(상세표[부서],$P1175)&amp;"")</f>
        <v/>
      </c>
      <c r="D1175">
        <f>IF($P1175="","",INDEX(상세표[직위],$P1175)&amp;"")</f>
        <v/>
      </c>
      <c r="E1175">
        <f>IF($P1175="","",IF(ISNUMBER(INDEX(상세표[시작],$P1175)),TEXT(INDEX(상세표[시작],$P1175),"yyyy-mm-dd hh:mm"),INDEX(상세표[시작],$P1175)&amp;""))</f>
        <v/>
      </c>
      <c r="F1175">
        <f>IF($P1175="","",IF(ISNUMBER(INDEX(상세표[블록종료],$P1175)),TEXT(INDEX(상세표[블록종료],$P1175),"yyyy-mm-dd hh:mm"),INDEX(상세표[블록종료],$P1175)&amp;""))</f>
        <v/>
      </c>
      <c r="G1175">
        <f>IF($P1175="","",CHOOSE(WEEKDAY(INDEX(상세표[시작],$P1175)),"일","월","화","수","목","금","토"))</f>
        <v/>
      </c>
      <c r="H1175">
        <f>IF($P1175="","",INDEX(상세표[연속 시간],$P1175))</f>
        <v/>
      </c>
      <c r="I1175">
        <f>IF($P1175="","",INDEX(상세표[기록 수],$P1175))</f>
        <v/>
      </c>
      <c r="J1175">
        <f>IF($P1175="","",INDEX(상세표[블록 06~07시],$P1175))</f>
        <v/>
      </c>
      <c r="K1175">
        <f>IF($P1175="","",INDEX(상세표[블록 07~18시],$P1175))</f>
        <v/>
      </c>
      <c r="L1175">
        <f>IF($P1175="","",INDEX(상세표[블록 18~22시],$P1175))</f>
        <v/>
      </c>
      <c r="M1175">
        <f>IF($P1175="","",INDEX(상세표[블록 22~06시],$P1175))</f>
        <v/>
      </c>
      <c r="N1175">
        <f>IF($P1175="","",INDEX(상세표[주말·휴일 포함],$P1175)&amp;"")</f>
        <v/>
      </c>
      <c r="O1175">
        <f>IF($P1175="","",INDEX(상세표[월 넘김 포함],$P1175)&amp;"")</f>
        <v/>
      </c>
      <c r="P1175" s="4">
        <f>IFERROR(MATCH(1170,상세표[연속순번],0),"")</f>
        <v/>
      </c>
    </row>
    <row r="1176">
      <c r="A1176">
        <f>IF($P1176="","",INDEX(상세표[사번],$P1176)&amp;"")</f>
        <v/>
      </c>
      <c r="B1176">
        <f>IF($P1176="","",INDEX(상세표[성명],$P1176)&amp;"")</f>
        <v/>
      </c>
      <c r="C1176">
        <f>IF($P1176="","",INDEX(상세표[부서],$P1176)&amp;"")</f>
        <v/>
      </c>
      <c r="D1176">
        <f>IF($P1176="","",INDEX(상세표[직위],$P1176)&amp;"")</f>
        <v/>
      </c>
      <c r="E1176">
        <f>IF($P1176="","",IF(ISNUMBER(INDEX(상세표[시작],$P1176)),TEXT(INDEX(상세표[시작],$P1176),"yyyy-mm-dd hh:mm"),INDEX(상세표[시작],$P1176)&amp;""))</f>
        <v/>
      </c>
      <c r="F1176">
        <f>IF($P1176="","",IF(ISNUMBER(INDEX(상세표[블록종료],$P1176)),TEXT(INDEX(상세표[블록종료],$P1176),"yyyy-mm-dd hh:mm"),INDEX(상세표[블록종료],$P1176)&amp;""))</f>
        <v/>
      </c>
      <c r="G1176">
        <f>IF($P1176="","",CHOOSE(WEEKDAY(INDEX(상세표[시작],$P1176)),"일","월","화","수","목","금","토"))</f>
        <v/>
      </c>
      <c r="H1176">
        <f>IF($P1176="","",INDEX(상세표[연속 시간],$P1176))</f>
        <v/>
      </c>
      <c r="I1176">
        <f>IF($P1176="","",INDEX(상세표[기록 수],$P1176))</f>
        <v/>
      </c>
      <c r="J1176">
        <f>IF($P1176="","",INDEX(상세표[블록 06~07시],$P1176))</f>
        <v/>
      </c>
      <c r="K1176">
        <f>IF($P1176="","",INDEX(상세표[블록 07~18시],$P1176))</f>
        <v/>
      </c>
      <c r="L1176">
        <f>IF($P1176="","",INDEX(상세표[블록 18~22시],$P1176))</f>
        <v/>
      </c>
      <c r="M1176">
        <f>IF($P1176="","",INDEX(상세표[블록 22~06시],$P1176))</f>
        <v/>
      </c>
      <c r="N1176">
        <f>IF($P1176="","",INDEX(상세표[주말·휴일 포함],$P1176)&amp;"")</f>
        <v/>
      </c>
      <c r="O1176">
        <f>IF($P1176="","",INDEX(상세표[월 넘김 포함],$P1176)&amp;"")</f>
        <v/>
      </c>
      <c r="P1176" s="4">
        <f>IFERROR(MATCH(1171,상세표[연속순번],0),"")</f>
        <v/>
      </c>
    </row>
    <row r="1177">
      <c r="A1177">
        <f>IF($P1177="","",INDEX(상세표[사번],$P1177)&amp;"")</f>
        <v/>
      </c>
      <c r="B1177">
        <f>IF($P1177="","",INDEX(상세표[성명],$P1177)&amp;"")</f>
        <v/>
      </c>
      <c r="C1177">
        <f>IF($P1177="","",INDEX(상세표[부서],$P1177)&amp;"")</f>
        <v/>
      </c>
      <c r="D1177">
        <f>IF($P1177="","",INDEX(상세표[직위],$P1177)&amp;"")</f>
        <v/>
      </c>
      <c r="E1177">
        <f>IF($P1177="","",IF(ISNUMBER(INDEX(상세표[시작],$P1177)),TEXT(INDEX(상세표[시작],$P1177),"yyyy-mm-dd hh:mm"),INDEX(상세표[시작],$P1177)&amp;""))</f>
        <v/>
      </c>
      <c r="F1177">
        <f>IF($P1177="","",IF(ISNUMBER(INDEX(상세표[블록종료],$P1177)),TEXT(INDEX(상세표[블록종료],$P1177),"yyyy-mm-dd hh:mm"),INDEX(상세표[블록종료],$P1177)&amp;""))</f>
        <v/>
      </c>
      <c r="G1177">
        <f>IF($P1177="","",CHOOSE(WEEKDAY(INDEX(상세표[시작],$P1177)),"일","월","화","수","목","금","토"))</f>
        <v/>
      </c>
      <c r="H1177">
        <f>IF($P1177="","",INDEX(상세표[연속 시간],$P1177))</f>
        <v/>
      </c>
      <c r="I1177">
        <f>IF($P1177="","",INDEX(상세표[기록 수],$P1177))</f>
        <v/>
      </c>
      <c r="J1177">
        <f>IF($P1177="","",INDEX(상세표[블록 06~07시],$P1177))</f>
        <v/>
      </c>
      <c r="K1177">
        <f>IF($P1177="","",INDEX(상세표[블록 07~18시],$P1177))</f>
        <v/>
      </c>
      <c r="L1177">
        <f>IF($P1177="","",INDEX(상세표[블록 18~22시],$P1177))</f>
        <v/>
      </c>
      <c r="M1177">
        <f>IF($P1177="","",INDEX(상세표[블록 22~06시],$P1177))</f>
        <v/>
      </c>
      <c r="N1177">
        <f>IF($P1177="","",INDEX(상세표[주말·휴일 포함],$P1177)&amp;"")</f>
        <v/>
      </c>
      <c r="O1177">
        <f>IF($P1177="","",INDEX(상세표[월 넘김 포함],$P1177)&amp;"")</f>
        <v/>
      </c>
      <c r="P1177" s="4">
        <f>IFERROR(MATCH(1172,상세표[연속순번],0),"")</f>
        <v/>
      </c>
    </row>
    <row r="1178">
      <c r="A1178">
        <f>IF($P1178="","",INDEX(상세표[사번],$P1178)&amp;"")</f>
        <v/>
      </c>
      <c r="B1178">
        <f>IF($P1178="","",INDEX(상세표[성명],$P1178)&amp;"")</f>
        <v/>
      </c>
      <c r="C1178">
        <f>IF($P1178="","",INDEX(상세표[부서],$P1178)&amp;"")</f>
        <v/>
      </c>
      <c r="D1178">
        <f>IF($P1178="","",INDEX(상세표[직위],$P1178)&amp;"")</f>
        <v/>
      </c>
      <c r="E1178">
        <f>IF($P1178="","",IF(ISNUMBER(INDEX(상세표[시작],$P1178)),TEXT(INDEX(상세표[시작],$P1178),"yyyy-mm-dd hh:mm"),INDEX(상세표[시작],$P1178)&amp;""))</f>
        <v/>
      </c>
      <c r="F1178">
        <f>IF($P1178="","",IF(ISNUMBER(INDEX(상세표[블록종료],$P1178)),TEXT(INDEX(상세표[블록종료],$P1178),"yyyy-mm-dd hh:mm"),INDEX(상세표[블록종료],$P1178)&amp;""))</f>
        <v/>
      </c>
      <c r="G1178">
        <f>IF($P1178="","",CHOOSE(WEEKDAY(INDEX(상세표[시작],$P1178)),"일","월","화","수","목","금","토"))</f>
        <v/>
      </c>
      <c r="H1178">
        <f>IF($P1178="","",INDEX(상세표[연속 시간],$P1178))</f>
        <v/>
      </c>
      <c r="I1178">
        <f>IF($P1178="","",INDEX(상세표[기록 수],$P1178))</f>
        <v/>
      </c>
      <c r="J1178">
        <f>IF($P1178="","",INDEX(상세표[블록 06~07시],$P1178))</f>
        <v/>
      </c>
      <c r="K1178">
        <f>IF($P1178="","",INDEX(상세표[블록 07~18시],$P1178))</f>
        <v/>
      </c>
      <c r="L1178">
        <f>IF($P1178="","",INDEX(상세표[블록 18~22시],$P1178))</f>
        <v/>
      </c>
      <c r="M1178">
        <f>IF($P1178="","",INDEX(상세표[블록 22~06시],$P1178))</f>
        <v/>
      </c>
      <c r="N1178">
        <f>IF($P1178="","",INDEX(상세표[주말·휴일 포함],$P1178)&amp;"")</f>
        <v/>
      </c>
      <c r="O1178">
        <f>IF($P1178="","",INDEX(상세표[월 넘김 포함],$P1178)&amp;"")</f>
        <v/>
      </c>
      <c r="P1178" s="4">
        <f>IFERROR(MATCH(1173,상세표[연속순번],0),"")</f>
        <v/>
      </c>
    </row>
    <row r="1179">
      <c r="A1179">
        <f>IF($P1179="","",INDEX(상세표[사번],$P1179)&amp;"")</f>
        <v/>
      </c>
      <c r="B1179">
        <f>IF($P1179="","",INDEX(상세표[성명],$P1179)&amp;"")</f>
        <v/>
      </c>
      <c r="C1179">
        <f>IF($P1179="","",INDEX(상세표[부서],$P1179)&amp;"")</f>
        <v/>
      </c>
      <c r="D1179">
        <f>IF($P1179="","",INDEX(상세표[직위],$P1179)&amp;"")</f>
        <v/>
      </c>
      <c r="E1179">
        <f>IF($P1179="","",IF(ISNUMBER(INDEX(상세표[시작],$P1179)),TEXT(INDEX(상세표[시작],$P1179),"yyyy-mm-dd hh:mm"),INDEX(상세표[시작],$P1179)&amp;""))</f>
        <v/>
      </c>
      <c r="F1179">
        <f>IF($P1179="","",IF(ISNUMBER(INDEX(상세표[블록종료],$P1179)),TEXT(INDEX(상세표[블록종료],$P1179),"yyyy-mm-dd hh:mm"),INDEX(상세표[블록종료],$P1179)&amp;""))</f>
        <v/>
      </c>
      <c r="G1179">
        <f>IF($P1179="","",CHOOSE(WEEKDAY(INDEX(상세표[시작],$P1179)),"일","월","화","수","목","금","토"))</f>
        <v/>
      </c>
      <c r="H1179">
        <f>IF($P1179="","",INDEX(상세표[연속 시간],$P1179))</f>
        <v/>
      </c>
      <c r="I1179">
        <f>IF($P1179="","",INDEX(상세표[기록 수],$P1179))</f>
        <v/>
      </c>
      <c r="J1179">
        <f>IF($P1179="","",INDEX(상세표[블록 06~07시],$P1179))</f>
        <v/>
      </c>
      <c r="K1179">
        <f>IF($P1179="","",INDEX(상세표[블록 07~18시],$P1179))</f>
        <v/>
      </c>
      <c r="L1179">
        <f>IF($P1179="","",INDEX(상세표[블록 18~22시],$P1179))</f>
        <v/>
      </c>
      <c r="M1179">
        <f>IF($P1179="","",INDEX(상세표[블록 22~06시],$P1179))</f>
        <v/>
      </c>
      <c r="N1179">
        <f>IF($P1179="","",INDEX(상세표[주말·휴일 포함],$P1179)&amp;"")</f>
        <v/>
      </c>
      <c r="O1179">
        <f>IF($P1179="","",INDEX(상세표[월 넘김 포함],$P1179)&amp;"")</f>
        <v/>
      </c>
      <c r="P1179" s="4">
        <f>IFERROR(MATCH(1174,상세표[연속순번],0),"")</f>
        <v/>
      </c>
    </row>
    <row r="1180">
      <c r="A1180">
        <f>IF($P1180="","",INDEX(상세표[사번],$P1180)&amp;"")</f>
        <v/>
      </c>
      <c r="B1180">
        <f>IF($P1180="","",INDEX(상세표[성명],$P1180)&amp;"")</f>
        <v/>
      </c>
      <c r="C1180">
        <f>IF($P1180="","",INDEX(상세표[부서],$P1180)&amp;"")</f>
        <v/>
      </c>
      <c r="D1180">
        <f>IF($P1180="","",INDEX(상세표[직위],$P1180)&amp;"")</f>
        <v/>
      </c>
      <c r="E1180">
        <f>IF($P1180="","",IF(ISNUMBER(INDEX(상세표[시작],$P1180)),TEXT(INDEX(상세표[시작],$P1180),"yyyy-mm-dd hh:mm"),INDEX(상세표[시작],$P1180)&amp;""))</f>
        <v/>
      </c>
      <c r="F1180">
        <f>IF($P1180="","",IF(ISNUMBER(INDEX(상세표[블록종료],$P1180)),TEXT(INDEX(상세표[블록종료],$P1180),"yyyy-mm-dd hh:mm"),INDEX(상세표[블록종료],$P1180)&amp;""))</f>
        <v/>
      </c>
      <c r="G1180">
        <f>IF($P1180="","",CHOOSE(WEEKDAY(INDEX(상세표[시작],$P1180)),"일","월","화","수","목","금","토"))</f>
        <v/>
      </c>
      <c r="H1180">
        <f>IF($P1180="","",INDEX(상세표[연속 시간],$P1180))</f>
        <v/>
      </c>
      <c r="I1180">
        <f>IF($P1180="","",INDEX(상세표[기록 수],$P1180))</f>
        <v/>
      </c>
      <c r="J1180">
        <f>IF($P1180="","",INDEX(상세표[블록 06~07시],$P1180))</f>
        <v/>
      </c>
      <c r="K1180">
        <f>IF($P1180="","",INDEX(상세표[블록 07~18시],$P1180))</f>
        <v/>
      </c>
      <c r="L1180">
        <f>IF($P1180="","",INDEX(상세표[블록 18~22시],$P1180))</f>
        <v/>
      </c>
      <c r="M1180">
        <f>IF($P1180="","",INDEX(상세표[블록 22~06시],$P1180))</f>
        <v/>
      </c>
      <c r="N1180">
        <f>IF($P1180="","",INDEX(상세표[주말·휴일 포함],$P1180)&amp;"")</f>
        <v/>
      </c>
      <c r="O1180">
        <f>IF($P1180="","",INDEX(상세표[월 넘김 포함],$P1180)&amp;"")</f>
        <v/>
      </c>
      <c r="P1180" s="4">
        <f>IFERROR(MATCH(1175,상세표[연속순번],0),"")</f>
        <v/>
      </c>
    </row>
    <row r="1181">
      <c r="A1181">
        <f>IF($P1181="","",INDEX(상세표[사번],$P1181)&amp;"")</f>
        <v/>
      </c>
      <c r="B1181">
        <f>IF($P1181="","",INDEX(상세표[성명],$P1181)&amp;"")</f>
        <v/>
      </c>
      <c r="C1181">
        <f>IF($P1181="","",INDEX(상세표[부서],$P1181)&amp;"")</f>
        <v/>
      </c>
      <c r="D1181">
        <f>IF($P1181="","",INDEX(상세표[직위],$P1181)&amp;"")</f>
        <v/>
      </c>
      <c r="E1181">
        <f>IF($P1181="","",IF(ISNUMBER(INDEX(상세표[시작],$P1181)),TEXT(INDEX(상세표[시작],$P1181),"yyyy-mm-dd hh:mm"),INDEX(상세표[시작],$P1181)&amp;""))</f>
        <v/>
      </c>
      <c r="F1181">
        <f>IF($P1181="","",IF(ISNUMBER(INDEX(상세표[블록종료],$P1181)),TEXT(INDEX(상세표[블록종료],$P1181),"yyyy-mm-dd hh:mm"),INDEX(상세표[블록종료],$P1181)&amp;""))</f>
        <v/>
      </c>
      <c r="G1181">
        <f>IF($P1181="","",CHOOSE(WEEKDAY(INDEX(상세표[시작],$P1181)),"일","월","화","수","목","금","토"))</f>
        <v/>
      </c>
      <c r="H1181">
        <f>IF($P1181="","",INDEX(상세표[연속 시간],$P1181))</f>
        <v/>
      </c>
      <c r="I1181">
        <f>IF($P1181="","",INDEX(상세표[기록 수],$P1181))</f>
        <v/>
      </c>
      <c r="J1181">
        <f>IF($P1181="","",INDEX(상세표[블록 06~07시],$P1181))</f>
        <v/>
      </c>
      <c r="K1181">
        <f>IF($P1181="","",INDEX(상세표[블록 07~18시],$P1181))</f>
        <v/>
      </c>
      <c r="L1181">
        <f>IF($P1181="","",INDEX(상세표[블록 18~22시],$P1181))</f>
        <v/>
      </c>
      <c r="M1181">
        <f>IF($P1181="","",INDEX(상세표[블록 22~06시],$P1181))</f>
        <v/>
      </c>
      <c r="N1181">
        <f>IF($P1181="","",INDEX(상세표[주말·휴일 포함],$P1181)&amp;"")</f>
        <v/>
      </c>
      <c r="O1181">
        <f>IF($P1181="","",INDEX(상세표[월 넘김 포함],$P1181)&amp;"")</f>
        <v/>
      </c>
      <c r="P1181" s="4">
        <f>IFERROR(MATCH(1176,상세표[연속순번],0),"")</f>
        <v/>
      </c>
    </row>
    <row r="1182">
      <c r="A1182">
        <f>IF($P1182="","",INDEX(상세표[사번],$P1182)&amp;"")</f>
        <v/>
      </c>
      <c r="B1182">
        <f>IF($P1182="","",INDEX(상세표[성명],$P1182)&amp;"")</f>
        <v/>
      </c>
      <c r="C1182">
        <f>IF($P1182="","",INDEX(상세표[부서],$P1182)&amp;"")</f>
        <v/>
      </c>
      <c r="D1182">
        <f>IF($P1182="","",INDEX(상세표[직위],$P1182)&amp;"")</f>
        <v/>
      </c>
      <c r="E1182">
        <f>IF($P1182="","",IF(ISNUMBER(INDEX(상세표[시작],$P1182)),TEXT(INDEX(상세표[시작],$P1182),"yyyy-mm-dd hh:mm"),INDEX(상세표[시작],$P1182)&amp;""))</f>
        <v/>
      </c>
      <c r="F1182">
        <f>IF($P1182="","",IF(ISNUMBER(INDEX(상세표[블록종료],$P1182)),TEXT(INDEX(상세표[블록종료],$P1182),"yyyy-mm-dd hh:mm"),INDEX(상세표[블록종료],$P1182)&amp;""))</f>
        <v/>
      </c>
      <c r="G1182">
        <f>IF($P1182="","",CHOOSE(WEEKDAY(INDEX(상세표[시작],$P1182)),"일","월","화","수","목","금","토"))</f>
        <v/>
      </c>
      <c r="H1182">
        <f>IF($P1182="","",INDEX(상세표[연속 시간],$P1182))</f>
        <v/>
      </c>
      <c r="I1182">
        <f>IF($P1182="","",INDEX(상세표[기록 수],$P1182))</f>
        <v/>
      </c>
      <c r="J1182">
        <f>IF($P1182="","",INDEX(상세표[블록 06~07시],$P1182))</f>
        <v/>
      </c>
      <c r="K1182">
        <f>IF($P1182="","",INDEX(상세표[블록 07~18시],$P1182))</f>
        <v/>
      </c>
      <c r="L1182">
        <f>IF($P1182="","",INDEX(상세표[블록 18~22시],$P1182))</f>
        <v/>
      </c>
      <c r="M1182">
        <f>IF($P1182="","",INDEX(상세표[블록 22~06시],$P1182))</f>
        <v/>
      </c>
      <c r="N1182">
        <f>IF($P1182="","",INDEX(상세표[주말·휴일 포함],$P1182)&amp;"")</f>
        <v/>
      </c>
      <c r="O1182">
        <f>IF($P1182="","",INDEX(상세표[월 넘김 포함],$P1182)&amp;"")</f>
        <v/>
      </c>
      <c r="P1182" s="4">
        <f>IFERROR(MATCH(1177,상세표[연속순번],0),"")</f>
        <v/>
      </c>
    </row>
    <row r="1183">
      <c r="A1183">
        <f>IF($P1183="","",INDEX(상세표[사번],$P1183)&amp;"")</f>
        <v/>
      </c>
      <c r="B1183">
        <f>IF($P1183="","",INDEX(상세표[성명],$P1183)&amp;"")</f>
        <v/>
      </c>
      <c r="C1183">
        <f>IF($P1183="","",INDEX(상세표[부서],$P1183)&amp;"")</f>
        <v/>
      </c>
      <c r="D1183">
        <f>IF($P1183="","",INDEX(상세표[직위],$P1183)&amp;"")</f>
        <v/>
      </c>
      <c r="E1183">
        <f>IF($P1183="","",IF(ISNUMBER(INDEX(상세표[시작],$P1183)),TEXT(INDEX(상세표[시작],$P1183),"yyyy-mm-dd hh:mm"),INDEX(상세표[시작],$P1183)&amp;""))</f>
        <v/>
      </c>
      <c r="F1183">
        <f>IF($P1183="","",IF(ISNUMBER(INDEX(상세표[블록종료],$P1183)),TEXT(INDEX(상세표[블록종료],$P1183),"yyyy-mm-dd hh:mm"),INDEX(상세표[블록종료],$P1183)&amp;""))</f>
        <v/>
      </c>
      <c r="G1183">
        <f>IF($P1183="","",CHOOSE(WEEKDAY(INDEX(상세표[시작],$P1183)),"일","월","화","수","목","금","토"))</f>
        <v/>
      </c>
      <c r="H1183">
        <f>IF($P1183="","",INDEX(상세표[연속 시간],$P1183))</f>
        <v/>
      </c>
      <c r="I1183">
        <f>IF($P1183="","",INDEX(상세표[기록 수],$P1183))</f>
        <v/>
      </c>
      <c r="J1183">
        <f>IF($P1183="","",INDEX(상세표[블록 06~07시],$P1183))</f>
        <v/>
      </c>
      <c r="K1183">
        <f>IF($P1183="","",INDEX(상세표[블록 07~18시],$P1183))</f>
        <v/>
      </c>
      <c r="L1183">
        <f>IF($P1183="","",INDEX(상세표[블록 18~22시],$P1183))</f>
        <v/>
      </c>
      <c r="M1183">
        <f>IF($P1183="","",INDEX(상세표[블록 22~06시],$P1183))</f>
        <v/>
      </c>
      <c r="N1183">
        <f>IF($P1183="","",INDEX(상세표[주말·휴일 포함],$P1183)&amp;"")</f>
        <v/>
      </c>
      <c r="O1183">
        <f>IF($P1183="","",INDEX(상세표[월 넘김 포함],$P1183)&amp;"")</f>
        <v/>
      </c>
      <c r="P1183" s="4">
        <f>IFERROR(MATCH(1178,상세표[연속순번],0),"")</f>
        <v/>
      </c>
    </row>
    <row r="1184">
      <c r="A1184">
        <f>IF($P1184="","",INDEX(상세표[사번],$P1184)&amp;"")</f>
        <v/>
      </c>
      <c r="B1184">
        <f>IF($P1184="","",INDEX(상세표[성명],$P1184)&amp;"")</f>
        <v/>
      </c>
      <c r="C1184">
        <f>IF($P1184="","",INDEX(상세표[부서],$P1184)&amp;"")</f>
        <v/>
      </c>
      <c r="D1184">
        <f>IF($P1184="","",INDEX(상세표[직위],$P1184)&amp;"")</f>
        <v/>
      </c>
      <c r="E1184">
        <f>IF($P1184="","",IF(ISNUMBER(INDEX(상세표[시작],$P1184)),TEXT(INDEX(상세표[시작],$P1184),"yyyy-mm-dd hh:mm"),INDEX(상세표[시작],$P1184)&amp;""))</f>
        <v/>
      </c>
      <c r="F1184">
        <f>IF($P1184="","",IF(ISNUMBER(INDEX(상세표[블록종료],$P1184)),TEXT(INDEX(상세표[블록종료],$P1184),"yyyy-mm-dd hh:mm"),INDEX(상세표[블록종료],$P1184)&amp;""))</f>
        <v/>
      </c>
      <c r="G1184">
        <f>IF($P1184="","",CHOOSE(WEEKDAY(INDEX(상세표[시작],$P1184)),"일","월","화","수","목","금","토"))</f>
        <v/>
      </c>
      <c r="H1184">
        <f>IF($P1184="","",INDEX(상세표[연속 시간],$P1184))</f>
        <v/>
      </c>
      <c r="I1184">
        <f>IF($P1184="","",INDEX(상세표[기록 수],$P1184))</f>
        <v/>
      </c>
      <c r="J1184">
        <f>IF($P1184="","",INDEX(상세표[블록 06~07시],$P1184))</f>
        <v/>
      </c>
      <c r="K1184">
        <f>IF($P1184="","",INDEX(상세표[블록 07~18시],$P1184))</f>
        <v/>
      </c>
      <c r="L1184">
        <f>IF($P1184="","",INDEX(상세표[블록 18~22시],$P1184))</f>
        <v/>
      </c>
      <c r="M1184">
        <f>IF($P1184="","",INDEX(상세표[블록 22~06시],$P1184))</f>
        <v/>
      </c>
      <c r="N1184">
        <f>IF($P1184="","",INDEX(상세표[주말·휴일 포함],$P1184)&amp;"")</f>
        <v/>
      </c>
      <c r="O1184">
        <f>IF($P1184="","",INDEX(상세표[월 넘김 포함],$P1184)&amp;"")</f>
        <v/>
      </c>
      <c r="P1184" s="4">
        <f>IFERROR(MATCH(1179,상세표[연속순번],0),"")</f>
        <v/>
      </c>
    </row>
    <row r="1185">
      <c r="A1185">
        <f>IF($P1185="","",INDEX(상세표[사번],$P1185)&amp;"")</f>
        <v/>
      </c>
      <c r="B1185">
        <f>IF($P1185="","",INDEX(상세표[성명],$P1185)&amp;"")</f>
        <v/>
      </c>
      <c r="C1185">
        <f>IF($P1185="","",INDEX(상세표[부서],$P1185)&amp;"")</f>
        <v/>
      </c>
      <c r="D1185">
        <f>IF($P1185="","",INDEX(상세표[직위],$P1185)&amp;"")</f>
        <v/>
      </c>
      <c r="E1185">
        <f>IF($P1185="","",IF(ISNUMBER(INDEX(상세표[시작],$P1185)),TEXT(INDEX(상세표[시작],$P1185),"yyyy-mm-dd hh:mm"),INDEX(상세표[시작],$P1185)&amp;""))</f>
        <v/>
      </c>
      <c r="F1185">
        <f>IF($P1185="","",IF(ISNUMBER(INDEX(상세표[블록종료],$P1185)),TEXT(INDEX(상세표[블록종료],$P1185),"yyyy-mm-dd hh:mm"),INDEX(상세표[블록종료],$P1185)&amp;""))</f>
        <v/>
      </c>
      <c r="G1185">
        <f>IF($P1185="","",CHOOSE(WEEKDAY(INDEX(상세표[시작],$P1185)),"일","월","화","수","목","금","토"))</f>
        <v/>
      </c>
      <c r="H1185">
        <f>IF($P1185="","",INDEX(상세표[연속 시간],$P1185))</f>
        <v/>
      </c>
      <c r="I1185">
        <f>IF($P1185="","",INDEX(상세표[기록 수],$P1185))</f>
        <v/>
      </c>
      <c r="J1185">
        <f>IF($P1185="","",INDEX(상세표[블록 06~07시],$P1185))</f>
        <v/>
      </c>
      <c r="K1185">
        <f>IF($P1185="","",INDEX(상세표[블록 07~18시],$P1185))</f>
        <v/>
      </c>
      <c r="L1185">
        <f>IF($P1185="","",INDEX(상세표[블록 18~22시],$P1185))</f>
        <v/>
      </c>
      <c r="M1185">
        <f>IF($P1185="","",INDEX(상세표[블록 22~06시],$P1185))</f>
        <v/>
      </c>
      <c r="N1185">
        <f>IF($P1185="","",INDEX(상세표[주말·휴일 포함],$P1185)&amp;"")</f>
        <v/>
      </c>
      <c r="O1185">
        <f>IF($P1185="","",INDEX(상세표[월 넘김 포함],$P1185)&amp;"")</f>
        <v/>
      </c>
      <c r="P1185" s="4">
        <f>IFERROR(MATCH(1180,상세표[연속순번],0),"")</f>
        <v/>
      </c>
    </row>
    <row r="1186">
      <c r="A1186">
        <f>IF($P1186="","",INDEX(상세표[사번],$P1186)&amp;"")</f>
        <v/>
      </c>
      <c r="B1186">
        <f>IF($P1186="","",INDEX(상세표[성명],$P1186)&amp;"")</f>
        <v/>
      </c>
      <c r="C1186">
        <f>IF($P1186="","",INDEX(상세표[부서],$P1186)&amp;"")</f>
        <v/>
      </c>
      <c r="D1186">
        <f>IF($P1186="","",INDEX(상세표[직위],$P1186)&amp;"")</f>
        <v/>
      </c>
      <c r="E1186">
        <f>IF($P1186="","",IF(ISNUMBER(INDEX(상세표[시작],$P1186)),TEXT(INDEX(상세표[시작],$P1186),"yyyy-mm-dd hh:mm"),INDEX(상세표[시작],$P1186)&amp;""))</f>
        <v/>
      </c>
      <c r="F1186">
        <f>IF($P1186="","",IF(ISNUMBER(INDEX(상세표[블록종료],$P1186)),TEXT(INDEX(상세표[블록종료],$P1186),"yyyy-mm-dd hh:mm"),INDEX(상세표[블록종료],$P1186)&amp;""))</f>
        <v/>
      </c>
      <c r="G1186">
        <f>IF($P1186="","",CHOOSE(WEEKDAY(INDEX(상세표[시작],$P1186)),"일","월","화","수","목","금","토"))</f>
        <v/>
      </c>
      <c r="H1186">
        <f>IF($P1186="","",INDEX(상세표[연속 시간],$P1186))</f>
        <v/>
      </c>
      <c r="I1186">
        <f>IF($P1186="","",INDEX(상세표[기록 수],$P1186))</f>
        <v/>
      </c>
      <c r="J1186">
        <f>IF($P1186="","",INDEX(상세표[블록 06~07시],$P1186))</f>
        <v/>
      </c>
      <c r="K1186">
        <f>IF($P1186="","",INDEX(상세표[블록 07~18시],$P1186))</f>
        <v/>
      </c>
      <c r="L1186">
        <f>IF($P1186="","",INDEX(상세표[블록 18~22시],$P1186))</f>
        <v/>
      </c>
      <c r="M1186">
        <f>IF($P1186="","",INDEX(상세표[블록 22~06시],$P1186))</f>
        <v/>
      </c>
      <c r="N1186">
        <f>IF($P1186="","",INDEX(상세표[주말·휴일 포함],$P1186)&amp;"")</f>
        <v/>
      </c>
      <c r="O1186">
        <f>IF($P1186="","",INDEX(상세표[월 넘김 포함],$P1186)&amp;"")</f>
        <v/>
      </c>
      <c r="P1186" s="4">
        <f>IFERROR(MATCH(1181,상세표[연속순번],0),"")</f>
        <v/>
      </c>
    </row>
    <row r="1187">
      <c r="A1187">
        <f>IF($P1187="","",INDEX(상세표[사번],$P1187)&amp;"")</f>
        <v/>
      </c>
      <c r="B1187">
        <f>IF($P1187="","",INDEX(상세표[성명],$P1187)&amp;"")</f>
        <v/>
      </c>
      <c r="C1187">
        <f>IF($P1187="","",INDEX(상세표[부서],$P1187)&amp;"")</f>
        <v/>
      </c>
      <c r="D1187">
        <f>IF($P1187="","",INDEX(상세표[직위],$P1187)&amp;"")</f>
        <v/>
      </c>
      <c r="E1187">
        <f>IF($P1187="","",IF(ISNUMBER(INDEX(상세표[시작],$P1187)),TEXT(INDEX(상세표[시작],$P1187),"yyyy-mm-dd hh:mm"),INDEX(상세표[시작],$P1187)&amp;""))</f>
        <v/>
      </c>
      <c r="F1187">
        <f>IF($P1187="","",IF(ISNUMBER(INDEX(상세표[블록종료],$P1187)),TEXT(INDEX(상세표[블록종료],$P1187),"yyyy-mm-dd hh:mm"),INDEX(상세표[블록종료],$P1187)&amp;""))</f>
        <v/>
      </c>
      <c r="G1187">
        <f>IF($P1187="","",CHOOSE(WEEKDAY(INDEX(상세표[시작],$P1187)),"일","월","화","수","목","금","토"))</f>
        <v/>
      </c>
      <c r="H1187">
        <f>IF($P1187="","",INDEX(상세표[연속 시간],$P1187))</f>
        <v/>
      </c>
      <c r="I1187">
        <f>IF($P1187="","",INDEX(상세표[기록 수],$P1187))</f>
        <v/>
      </c>
      <c r="J1187">
        <f>IF($P1187="","",INDEX(상세표[블록 06~07시],$P1187))</f>
        <v/>
      </c>
      <c r="K1187">
        <f>IF($P1187="","",INDEX(상세표[블록 07~18시],$P1187))</f>
        <v/>
      </c>
      <c r="L1187">
        <f>IF($P1187="","",INDEX(상세표[블록 18~22시],$P1187))</f>
        <v/>
      </c>
      <c r="M1187">
        <f>IF($P1187="","",INDEX(상세표[블록 22~06시],$P1187))</f>
        <v/>
      </c>
      <c r="N1187">
        <f>IF($P1187="","",INDEX(상세표[주말·휴일 포함],$P1187)&amp;"")</f>
        <v/>
      </c>
      <c r="O1187">
        <f>IF($P1187="","",INDEX(상세표[월 넘김 포함],$P1187)&amp;"")</f>
        <v/>
      </c>
      <c r="P1187" s="4">
        <f>IFERROR(MATCH(1182,상세표[연속순번],0),"")</f>
        <v/>
      </c>
    </row>
    <row r="1188">
      <c r="A1188">
        <f>IF($P1188="","",INDEX(상세표[사번],$P1188)&amp;"")</f>
        <v/>
      </c>
      <c r="B1188">
        <f>IF($P1188="","",INDEX(상세표[성명],$P1188)&amp;"")</f>
        <v/>
      </c>
      <c r="C1188">
        <f>IF($P1188="","",INDEX(상세표[부서],$P1188)&amp;"")</f>
        <v/>
      </c>
      <c r="D1188">
        <f>IF($P1188="","",INDEX(상세표[직위],$P1188)&amp;"")</f>
        <v/>
      </c>
      <c r="E1188">
        <f>IF($P1188="","",IF(ISNUMBER(INDEX(상세표[시작],$P1188)),TEXT(INDEX(상세표[시작],$P1188),"yyyy-mm-dd hh:mm"),INDEX(상세표[시작],$P1188)&amp;""))</f>
        <v/>
      </c>
      <c r="F1188">
        <f>IF($P1188="","",IF(ISNUMBER(INDEX(상세표[블록종료],$P1188)),TEXT(INDEX(상세표[블록종료],$P1188),"yyyy-mm-dd hh:mm"),INDEX(상세표[블록종료],$P1188)&amp;""))</f>
        <v/>
      </c>
      <c r="G1188">
        <f>IF($P1188="","",CHOOSE(WEEKDAY(INDEX(상세표[시작],$P1188)),"일","월","화","수","목","금","토"))</f>
        <v/>
      </c>
      <c r="H1188">
        <f>IF($P1188="","",INDEX(상세표[연속 시간],$P1188))</f>
        <v/>
      </c>
      <c r="I1188">
        <f>IF($P1188="","",INDEX(상세표[기록 수],$P1188))</f>
        <v/>
      </c>
      <c r="J1188">
        <f>IF($P1188="","",INDEX(상세표[블록 06~07시],$P1188))</f>
        <v/>
      </c>
      <c r="K1188">
        <f>IF($P1188="","",INDEX(상세표[블록 07~18시],$P1188))</f>
        <v/>
      </c>
      <c r="L1188">
        <f>IF($P1188="","",INDEX(상세표[블록 18~22시],$P1188))</f>
        <v/>
      </c>
      <c r="M1188">
        <f>IF($P1188="","",INDEX(상세표[블록 22~06시],$P1188))</f>
        <v/>
      </c>
      <c r="N1188">
        <f>IF($P1188="","",INDEX(상세표[주말·휴일 포함],$P1188)&amp;"")</f>
        <v/>
      </c>
      <c r="O1188">
        <f>IF($P1188="","",INDEX(상세표[월 넘김 포함],$P1188)&amp;"")</f>
        <v/>
      </c>
      <c r="P1188" s="4">
        <f>IFERROR(MATCH(1183,상세표[연속순번],0),"")</f>
        <v/>
      </c>
    </row>
    <row r="1189">
      <c r="A1189">
        <f>IF($P1189="","",INDEX(상세표[사번],$P1189)&amp;"")</f>
        <v/>
      </c>
      <c r="B1189">
        <f>IF($P1189="","",INDEX(상세표[성명],$P1189)&amp;"")</f>
        <v/>
      </c>
      <c r="C1189">
        <f>IF($P1189="","",INDEX(상세표[부서],$P1189)&amp;"")</f>
        <v/>
      </c>
      <c r="D1189">
        <f>IF($P1189="","",INDEX(상세표[직위],$P1189)&amp;"")</f>
        <v/>
      </c>
      <c r="E1189">
        <f>IF($P1189="","",IF(ISNUMBER(INDEX(상세표[시작],$P1189)),TEXT(INDEX(상세표[시작],$P1189),"yyyy-mm-dd hh:mm"),INDEX(상세표[시작],$P1189)&amp;""))</f>
        <v/>
      </c>
      <c r="F1189">
        <f>IF($P1189="","",IF(ISNUMBER(INDEX(상세표[블록종료],$P1189)),TEXT(INDEX(상세표[블록종료],$P1189),"yyyy-mm-dd hh:mm"),INDEX(상세표[블록종료],$P1189)&amp;""))</f>
        <v/>
      </c>
      <c r="G1189">
        <f>IF($P1189="","",CHOOSE(WEEKDAY(INDEX(상세표[시작],$P1189)),"일","월","화","수","목","금","토"))</f>
        <v/>
      </c>
      <c r="H1189">
        <f>IF($P1189="","",INDEX(상세표[연속 시간],$P1189))</f>
        <v/>
      </c>
      <c r="I1189">
        <f>IF($P1189="","",INDEX(상세표[기록 수],$P1189))</f>
        <v/>
      </c>
      <c r="J1189">
        <f>IF($P1189="","",INDEX(상세표[블록 06~07시],$P1189))</f>
        <v/>
      </c>
      <c r="K1189">
        <f>IF($P1189="","",INDEX(상세표[블록 07~18시],$P1189))</f>
        <v/>
      </c>
      <c r="L1189">
        <f>IF($P1189="","",INDEX(상세표[블록 18~22시],$P1189))</f>
        <v/>
      </c>
      <c r="M1189">
        <f>IF($P1189="","",INDEX(상세표[블록 22~06시],$P1189))</f>
        <v/>
      </c>
      <c r="N1189">
        <f>IF($P1189="","",INDEX(상세표[주말·휴일 포함],$P1189)&amp;"")</f>
        <v/>
      </c>
      <c r="O1189">
        <f>IF($P1189="","",INDEX(상세표[월 넘김 포함],$P1189)&amp;"")</f>
        <v/>
      </c>
      <c r="P1189" s="4">
        <f>IFERROR(MATCH(1184,상세표[연속순번],0),"")</f>
        <v/>
      </c>
    </row>
    <row r="1190">
      <c r="A1190">
        <f>IF($P1190="","",INDEX(상세표[사번],$P1190)&amp;"")</f>
        <v/>
      </c>
      <c r="B1190">
        <f>IF($P1190="","",INDEX(상세표[성명],$P1190)&amp;"")</f>
        <v/>
      </c>
      <c r="C1190">
        <f>IF($P1190="","",INDEX(상세표[부서],$P1190)&amp;"")</f>
        <v/>
      </c>
      <c r="D1190">
        <f>IF($P1190="","",INDEX(상세표[직위],$P1190)&amp;"")</f>
        <v/>
      </c>
      <c r="E1190">
        <f>IF($P1190="","",IF(ISNUMBER(INDEX(상세표[시작],$P1190)),TEXT(INDEX(상세표[시작],$P1190),"yyyy-mm-dd hh:mm"),INDEX(상세표[시작],$P1190)&amp;""))</f>
        <v/>
      </c>
      <c r="F1190">
        <f>IF($P1190="","",IF(ISNUMBER(INDEX(상세표[블록종료],$P1190)),TEXT(INDEX(상세표[블록종료],$P1190),"yyyy-mm-dd hh:mm"),INDEX(상세표[블록종료],$P1190)&amp;""))</f>
        <v/>
      </c>
      <c r="G1190">
        <f>IF($P1190="","",CHOOSE(WEEKDAY(INDEX(상세표[시작],$P1190)),"일","월","화","수","목","금","토"))</f>
        <v/>
      </c>
      <c r="H1190">
        <f>IF($P1190="","",INDEX(상세표[연속 시간],$P1190))</f>
        <v/>
      </c>
      <c r="I1190">
        <f>IF($P1190="","",INDEX(상세표[기록 수],$P1190))</f>
        <v/>
      </c>
      <c r="J1190">
        <f>IF($P1190="","",INDEX(상세표[블록 06~07시],$P1190))</f>
        <v/>
      </c>
      <c r="K1190">
        <f>IF($P1190="","",INDEX(상세표[블록 07~18시],$P1190))</f>
        <v/>
      </c>
      <c r="L1190">
        <f>IF($P1190="","",INDEX(상세표[블록 18~22시],$P1190))</f>
        <v/>
      </c>
      <c r="M1190">
        <f>IF($P1190="","",INDEX(상세표[블록 22~06시],$P1190))</f>
        <v/>
      </c>
      <c r="N1190">
        <f>IF($P1190="","",INDEX(상세표[주말·휴일 포함],$P1190)&amp;"")</f>
        <v/>
      </c>
      <c r="O1190">
        <f>IF($P1190="","",INDEX(상세표[월 넘김 포함],$P1190)&amp;"")</f>
        <v/>
      </c>
      <c r="P1190" s="4">
        <f>IFERROR(MATCH(1185,상세표[연속순번],0),"")</f>
        <v/>
      </c>
    </row>
    <row r="1191">
      <c r="A1191">
        <f>IF($P1191="","",INDEX(상세표[사번],$P1191)&amp;"")</f>
        <v/>
      </c>
      <c r="B1191">
        <f>IF($P1191="","",INDEX(상세표[성명],$P1191)&amp;"")</f>
        <v/>
      </c>
      <c r="C1191">
        <f>IF($P1191="","",INDEX(상세표[부서],$P1191)&amp;"")</f>
        <v/>
      </c>
      <c r="D1191">
        <f>IF($P1191="","",INDEX(상세표[직위],$P1191)&amp;"")</f>
        <v/>
      </c>
      <c r="E1191">
        <f>IF($P1191="","",IF(ISNUMBER(INDEX(상세표[시작],$P1191)),TEXT(INDEX(상세표[시작],$P1191),"yyyy-mm-dd hh:mm"),INDEX(상세표[시작],$P1191)&amp;""))</f>
        <v/>
      </c>
      <c r="F1191">
        <f>IF($P1191="","",IF(ISNUMBER(INDEX(상세표[블록종료],$P1191)),TEXT(INDEX(상세표[블록종료],$P1191),"yyyy-mm-dd hh:mm"),INDEX(상세표[블록종료],$P1191)&amp;""))</f>
        <v/>
      </c>
      <c r="G1191">
        <f>IF($P1191="","",CHOOSE(WEEKDAY(INDEX(상세표[시작],$P1191)),"일","월","화","수","목","금","토"))</f>
        <v/>
      </c>
      <c r="H1191">
        <f>IF($P1191="","",INDEX(상세표[연속 시간],$P1191))</f>
        <v/>
      </c>
      <c r="I1191">
        <f>IF($P1191="","",INDEX(상세표[기록 수],$P1191))</f>
        <v/>
      </c>
      <c r="J1191">
        <f>IF($P1191="","",INDEX(상세표[블록 06~07시],$P1191))</f>
        <v/>
      </c>
      <c r="K1191">
        <f>IF($P1191="","",INDEX(상세표[블록 07~18시],$P1191))</f>
        <v/>
      </c>
      <c r="L1191">
        <f>IF($P1191="","",INDEX(상세표[블록 18~22시],$P1191))</f>
        <v/>
      </c>
      <c r="M1191">
        <f>IF($P1191="","",INDEX(상세표[블록 22~06시],$P1191))</f>
        <v/>
      </c>
      <c r="N1191">
        <f>IF($P1191="","",INDEX(상세표[주말·휴일 포함],$P1191)&amp;"")</f>
        <v/>
      </c>
      <c r="O1191">
        <f>IF($P1191="","",INDEX(상세표[월 넘김 포함],$P1191)&amp;"")</f>
        <v/>
      </c>
      <c r="P1191" s="4">
        <f>IFERROR(MATCH(1186,상세표[연속순번],0),"")</f>
        <v/>
      </c>
    </row>
    <row r="1192">
      <c r="A1192">
        <f>IF($P1192="","",INDEX(상세표[사번],$P1192)&amp;"")</f>
        <v/>
      </c>
      <c r="B1192">
        <f>IF($P1192="","",INDEX(상세표[성명],$P1192)&amp;"")</f>
        <v/>
      </c>
      <c r="C1192">
        <f>IF($P1192="","",INDEX(상세표[부서],$P1192)&amp;"")</f>
        <v/>
      </c>
      <c r="D1192">
        <f>IF($P1192="","",INDEX(상세표[직위],$P1192)&amp;"")</f>
        <v/>
      </c>
      <c r="E1192">
        <f>IF($P1192="","",IF(ISNUMBER(INDEX(상세표[시작],$P1192)),TEXT(INDEX(상세표[시작],$P1192),"yyyy-mm-dd hh:mm"),INDEX(상세표[시작],$P1192)&amp;""))</f>
        <v/>
      </c>
      <c r="F1192">
        <f>IF($P1192="","",IF(ISNUMBER(INDEX(상세표[블록종료],$P1192)),TEXT(INDEX(상세표[블록종료],$P1192),"yyyy-mm-dd hh:mm"),INDEX(상세표[블록종료],$P1192)&amp;""))</f>
        <v/>
      </c>
      <c r="G1192">
        <f>IF($P1192="","",CHOOSE(WEEKDAY(INDEX(상세표[시작],$P1192)),"일","월","화","수","목","금","토"))</f>
        <v/>
      </c>
      <c r="H1192">
        <f>IF($P1192="","",INDEX(상세표[연속 시간],$P1192))</f>
        <v/>
      </c>
      <c r="I1192">
        <f>IF($P1192="","",INDEX(상세표[기록 수],$P1192))</f>
        <v/>
      </c>
      <c r="J1192">
        <f>IF($P1192="","",INDEX(상세표[블록 06~07시],$P1192))</f>
        <v/>
      </c>
      <c r="K1192">
        <f>IF($P1192="","",INDEX(상세표[블록 07~18시],$P1192))</f>
        <v/>
      </c>
      <c r="L1192">
        <f>IF($P1192="","",INDEX(상세표[블록 18~22시],$P1192))</f>
        <v/>
      </c>
      <c r="M1192">
        <f>IF($P1192="","",INDEX(상세표[블록 22~06시],$P1192))</f>
        <v/>
      </c>
      <c r="N1192">
        <f>IF($P1192="","",INDEX(상세표[주말·휴일 포함],$P1192)&amp;"")</f>
        <v/>
      </c>
      <c r="O1192">
        <f>IF($P1192="","",INDEX(상세표[월 넘김 포함],$P1192)&amp;"")</f>
        <v/>
      </c>
      <c r="P1192" s="4">
        <f>IFERROR(MATCH(1187,상세표[연속순번],0),"")</f>
        <v/>
      </c>
    </row>
    <row r="1193">
      <c r="A1193">
        <f>IF($P1193="","",INDEX(상세표[사번],$P1193)&amp;"")</f>
        <v/>
      </c>
      <c r="B1193">
        <f>IF($P1193="","",INDEX(상세표[성명],$P1193)&amp;"")</f>
        <v/>
      </c>
      <c r="C1193">
        <f>IF($P1193="","",INDEX(상세표[부서],$P1193)&amp;"")</f>
        <v/>
      </c>
      <c r="D1193">
        <f>IF($P1193="","",INDEX(상세표[직위],$P1193)&amp;"")</f>
        <v/>
      </c>
      <c r="E1193">
        <f>IF($P1193="","",IF(ISNUMBER(INDEX(상세표[시작],$P1193)),TEXT(INDEX(상세표[시작],$P1193),"yyyy-mm-dd hh:mm"),INDEX(상세표[시작],$P1193)&amp;""))</f>
        <v/>
      </c>
      <c r="F1193">
        <f>IF($P1193="","",IF(ISNUMBER(INDEX(상세표[블록종료],$P1193)),TEXT(INDEX(상세표[블록종료],$P1193),"yyyy-mm-dd hh:mm"),INDEX(상세표[블록종료],$P1193)&amp;""))</f>
        <v/>
      </c>
      <c r="G1193">
        <f>IF($P1193="","",CHOOSE(WEEKDAY(INDEX(상세표[시작],$P1193)),"일","월","화","수","목","금","토"))</f>
        <v/>
      </c>
      <c r="H1193">
        <f>IF($P1193="","",INDEX(상세표[연속 시간],$P1193))</f>
        <v/>
      </c>
      <c r="I1193">
        <f>IF($P1193="","",INDEX(상세표[기록 수],$P1193))</f>
        <v/>
      </c>
      <c r="J1193">
        <f>IF($P1193="","",INDEX(상세표[블록 06~07시],$P1193))</f>
        <v/>
      </c>
      <c r="K1193">
        <f>IF($P1193="","",INDEX(상세표[블록 07~18시],$P1193))</f>
        <v/>
      </c>
      <c r="L1193">
        <f>IF($P1193="","",INDEX(상세표[블록 18~22시],$P1193))</f>
        <v/>
      </c>
      <c r="M1193">
        <f>IF($P1193="","",INDEX(상세표[블록 22~06시],$P1193))</f>
        <v/>
      </c>
      <c r="N1193">
        <f>IF($P1193="","",INDEX(상세표[주말·휴일 포함],$P1193)&amp;"")</f>
        <v/>
      </c>
      <c r="O1193">
        <f>IF($P1193="","",INDEX(상세표[월 넘김 포함],$P1193)&amp;"")</f>
        <v/>
      </c>
      <c r="P1193" s="4">
        <f>IFERROR(MATCH(1188,상세표[연속순번],0),"")</f>
        <v/>
      </c>
    </row>
    <row r="1194">
      <c r="A1194">
        <f>IF($P1194="","",INDEX(상세표[사번],$P1194)&amp;"")</f>
        <v/>
      </c>
      <c r="B1194">
        <f>IF($P1194="","",INDEX(상세표[성명],$P1194)&amp;"")</f>
        <v/>
      </c>
      <c r="C1194">
        <f>IF($P1194="","",INDEX(상세표[부서],$P1194)&amp;"")</f>
        <v/>
      </c>
      <c r="D1194">
        <f>IF($P1194="","",INDEX(상세표[직위],$P1194)&amp;"")</f>
        <v/>
      </c>
      <c r="E1194">
        <f>IF($P1194="","",IF(ISNUMBER(INDEX(상세표[시작],$P1194)),TEXT(INDEX(상세표[시작],$P1194),"yyyy-mm-dd hh:mm"),INDEX(상세표[시작],$P1194)&amp;""))</f>
        <v/>
      </c>
      <c r="F1194">
        <f>IF($P1194="","",IF(ISNUMBER(INDEX(상세표[블록종료],$P1194)),TEXT(INDEX(상세표[블록종료],$P1194),"yyyy-mm-dd hh:mm"),INDEX(상세표[블록종료],$P1194)&amp;""))</f>
        <v/>
      </c>
      <c r="G1194">
        <f>IF($P1194="","",CHOOSE(WEEKDAY(INDEX(상세표[시작],$P1194)),"일","월","화","수","목","금","토"))</f>
        <v/>
      </c>
      <c r="H1194">
        <f>IF($P1194="","",INDEX(상세표[연속 시간],$P1194))</f>
        <v/>
      </c>
      <c r="I1194">
        <f>IF($P1194="","",INDEX(상세표[기록 수],$P1194))</f>
        <v/>
      </c>
      <c r="J1194">
        <f>IF($P1194="","",INDEX(상세표[블록 06~07시],$P1194))</f>
        <v/>
      </c>
      <c r="K1194">
        <f>IF($P1194="","",INDEX(상세표[블록 07~18시],$P1194))</f>
        <v/>
      </c>
      <c r="L1194">
        <f>IF($P1194="","",INDEX(상세표[블록 18~22시],$P1194))</f>
        <v/>
      </c>
      <c r="M1194">
        <f>IF($P1194="","",INDEX(상세표[블록 22~06시],$P1194))</f>
        <v/>
      </c>
      <c r="N1194">
        <f>IF($P1194="","",INDEX(상세표[주말·휴일 포함],$P1194)&amp;"")</f>
        <v/>
      </c>
      <c r="O1194">
        <f>IF($P1194="","",INDEX(상세표[월 넘김 포함],$P1194)&amp;"")</f>
        <v/>
      </c>
      <c r="P1194" s="4">
        <f>IFERROR(MATCH(1189,상세표[연속순번],0),"")</f>
        <v/>
      </c>
    </row>
    <row r="1195">
      <c r="A1195">
        <f>IF($P1195="","",INDEX(상세표[사번],$P1195)&amp;"")</f>
        <v/>
      </c>
      <c r="B1195">
        <f>IF($P1195="","",INDEX(상세표[성명],$P1195)&amp;"")</f>
        <v/>
      </c>
      <c r="C1195">
        <f>IF($P1195="","",INDEX(상세표[부서],$P1195)&amp;"")</f>
        <v/>
      </c>
      <c r="D1195">
        <f>IF($P1195="","",INDEX(상세표[직위],$P1195)&amp;"")</f>
        <v/>
      </c>
      <c r="E1195">
        <f>IF($P1195="","",IF(ISNUMBER(INDEX(상세표[시작],$P1195)),TEXT(INDEX(상세표[시작],$P1195),"yyyy-mm-dd hh:mm"),INDEX(상세표[시작],$P1195)&amp;""))</f>
        <v/>
      </c>
      <c r="F1195">
        <f>IF($P1195="","",IF(ISNUMBER(INDEX(상세표[블록종료],$P1195)),TEXT(INDEX(상세표[블록종료],$P1195),"yyyy-mm-dd hh:mm"),INDEX(상세표[블록종료],$P1195)&amp;""))</f>
        <v/>
      </c>
      <c r="G1195">
        <f>IF($P1195="","",CHOOSE(WEEKDAY(INDEX(상세표[시작],$P1195)),"일","월","화","수","목","금","토"))</f>
        <v/>
      </c>
      <c r="H1195">
        <f>IF($P1195="","",INDEX(상세표[연속 시간],$P1195))</f>
        <v/>
      </c>
      <c r="I1195">
        <f>IF($P1195="","",INDEX(상세표[기록 수],$P1195))</f>
        <v/>
      </c>
      <c r="J1195">
        <f>IF($P1195="","",INDEX(상세표[블록 06~07시],$P1195))</f>
        <v/>
      </c>
      <c r="K1195">
        <f>IF($P1195="","",INDEX(상세표[블록 07~18시],$P1195))</f>
        <v/>
      </c>
      <c r="L1195">
        <f>IF($P1195="","",INDEX(상세표[블록 18~22시],$P1195))</f>
        <v/>
      </c>
      <c r="M1195">
        <f>IF($P1195="","",INDEX(상세표[블록 22~06시],$P1195))</f>
        <v/>
      </c>
      <c r="N1195">
        <f>IF($P1195="","",INDEX(상세표[주말·휴일 포함],$P1195)&amp;"")</f>
        <v/>
      </c>
      <c r="O1195">
        <f>IF($P1195="","",INDEX(상세표[월 넘김 포함],$P1195)&amp;"")</f>
        <v/>
      </c>
      <c r="P1195" s="4">
        <f>IFERROR(MATCH(1190,상세표[연속순번],0),"")</f>
        <v/>
      </c>
    </row>
    <row r="1196">
      <c r="A1196">
        <f>IF($P1196="","",INDEX(상세표[사번],$P1196)&amp;"")</f>
        <v/>
      </c>
      <c r="B1196">
        <f>IF($P1196="","",INDEX(상세표[성명],$P1196)&amp;"")</f>
        <v/>
      </c>
      <c r="C1196">
        <f>IF($P1196="","",INDEX(상세표[부서],$P1196)&amp;"")</f>
        <v/>
      </c>
      <c r="D1196">
        <f>IF($P1196="","",INDEX(상세표[직위],$P1196)&amp;"")</f>
        <v/>
      </c>
      <c r="E1196">
        <f>IF($P1196="","",IF(ISNUMBER(INDEX(상세표[시작],$P1196)),TEXT(INDEX(상세표[시작],$P1196),"yyyy-mm-dd hh:mm"),INDEX(상세표[시작],$P1196)&amp;""))</f>
        <v/>
      </c>
      <c r="F1196">
        <f>IF($P1196="","",IF(ISNUMBER(INDEX(상세표[블록종료],$P1196)),TEXT(INDEX(상세표[블록종료],$P1196),"yyyy-mm-dd hh:mm"),INDEX(상세표[블록종료],$P1196)&amp;""))</f>
        <v/>
      </c>
      <c r="G1196">
        <f>IF($P1196="","",CHOOSE(WEEKDAY(INDEX(상세표[시작],$P1196)),"일","월","화","수","목","금","토"))</f>
        <v/>
      </c>
      <c r="H1196">
        <f>IF($P1196="","",INDEX(상세표[연속 시간],$P1196))</f>
        <v/>
      </c>
      <c r="I1196">
        <f>IF($P1196="","",INDEX(상세표[기록 수],$P1196))</f>
        <v/>
      </c>
      <c r="J1196">
        <f>IF($P1196="","",INDEX(상세표[블록 06~07시],$P1196))</f>
        <v/>
      </c>
      <c r="K1196">
        <f>IF($P1196="","",INDEX(상세표[블록 07~18시],$P1196))</f>
        <v/>
      </c>
      <c r="L1196">
        <f>IF($P1196="","",INDEX(상세표[블록 18~22시],$P1196))</f>
        <v/>
      </c>
      <c r="M1196">
        <f>IF($P1196="","",INDEX(상세표[블록 22~06시],$P1196))</f>
        <v/>
      </c>
      <c r="N1196">
        <f>IF($P1196="","",INDEX(상세표[주말·휴일 포함],$P1196)&amp;"")</f>
        <v/>
      </c>
      <c r="O1196">
        <f>IF($P1196="","",INDEX(상세표[월 넘김 포함],$P1196)&amp;"")</f>
        <v/>
      </c>
      <c r="P1196" s="4">
        <f>IFERROR(MATCH(1191,상세표[연속순번],0),"")</f>
        <v/>
      </c>
    </row>
    <row r="1197">
      <c r="A1197">
        <f>IF($P1197="","",INDEX(상세표[사번],$P1197)&amp;"")</f>
        <v/>
      </c>
      <c r="B1197">
        <f>IF($P1197="","",INDEX(상세표[성명],$P1197)&amp;"")</f>
        <v/>
      </c>
      <c r="C1197">
        <f>IF($P1197="","",INDEX(상세표[부서],$P1197)&amp;"")</f>
        <v/>
      </c>
      <c r="D1197">
        <f>IF($P1197="","",INDEX(상세표[직위],$P1197)&amp;"")</f>
        <v/>
      </c>
      <c r="E1197">
        <f>IF($P1197="","",IF(ISNUMBER(INDEX(상세표[시작],$P1197)),TEXT(INDEX(상세표[시작],$P1197),"yyyy-mm-dd hh:mm"),INDEX(상세표[시작],$P1197)&amp;""))</f>
        <v/>
      </c>
      <c r="F1197">
        <f>IF($P1197="","",IF(ISNUMBER(INDEX(상세표[블록종료],$P1197)),TEXT(INDEX(상세표[블록종료],$P1197),"yyyy-mm-dd hh:mm"),INDEX(상세표[블록종료],$P1197)&amp;""))</f>
        <v/>
      </c>
      <c r="G1197">
        <f>IF($P1197="","",CHOOSE(WEEKDAY(INDEX(상세표[시작],$P1197)),"일","월","화","수","목","금","토"))</f>
        <v/>
      </c>
      <c r="H1197">
        <f>IF($P1197="","",INDEX(상세표[연속 시간],$P1197))</f>
        <v/>
      </c>
      <c r="I1197">
        <f>IF($P1197="","",INDEX(상세표[기록 수],$P1197))</f>
        <v/>
      </c>
      <c r="J1197">
        <f>IF($P1197="","",INDEX(상세표[블록 06~07시],$P1197))</f>
        <v/>
      </c>
      <c r="K1197">
        <f>IF($P1197="","",INDEX(상세표[블록 07~18시],$P1197))</f>
        <v/>
      </c>
      <c r="L1197">
        <f>IF($P1197="","",INDEX(상세표[블록 18~22시],$P1197))</f>
        <v/>
      </c>
      <c r="M1197">
        <f>IF($P1197="","",INDEX(상세표[블록 22~06시],$P1197))</f>
        <v/>
      </c>
      <c r="N1197">
        <f>IF($P1197="","",INDEX(상세표[주말·휴일 포함],$P1197)&amp;"")</f>
        <v/>
      </c>
      <c r="O1197">
        <f>IF($P1197="","",INDEX(상세표[월 넘김 포함],$P1197)&amp;"")</f>
        <v/>
      </c>
      <c r="P1197" s="4">
        <f>IFERROR(MATCH(1192,상세표[연속순번],0),"")</f>
        <v/>
      </c>
    </row>
    <row r="1198">
      <c r="A1198">
        <f>IF($P1198="","",INDEX(상세표[사번],$P1198)&amp;"")</f>
        <v/>
      </c>
      <c r="B1198">
        <f>IF($P1198="","",INDEX(상세표[성명],$P1198)&amp;"")</f>
        <v/>
      </c>
      <c r="C1198">
        <f>IF($P1198="","",INDEX(상세표[부서],$P1198)&amp;"")</f>
        <v/>
      </c>
      <c r="D1198">
        <f>IF($P1198="","",INDEX(상세표[직위],$P1198)&amp;"")</f>
        <v/>
      </c>
      <c r="E1198">
        <f>IF($P1198="","",IF(ISNUMBER(INDEX(상세표[시작],$P1198)),TEXT(INDEX(상세표[시작],$P1198),"yyyy-mm-dd hh:mm"),INDEX(상세표[시작],$P1198)&amp;""))</f>
        <v/>
      </c>
      <c r="F1198">
        <f>IF($P1198="","",IF(ISNUMBER(INDEX(상세표[블록종료],$P1198)),TEXT(INDEX(상세표[블록종료],$P1198),"yyyy-mm-dd hh:mm"),INDEX(상세표[블록종료],$P1198)&amp;""))</f>
        <v/>
      </c>
      <c r="G1198">
        <f>IF($P1198="","",CHOOSE(WEEKDAY(INDEX(상세표[시작],$P1198)),"일","월","화","수","목","금","토"))</f>
        <v/>
      </c>
      <c r="H1198">
        <f>IF($P1198="","",INDEX(상세표[연속 시간],$P1198))</f>
        <v/>
      </c>
      <c r="I1198">
        <f>IF($P1198="","",INDEX(상세표[기록 수],$P1198))</f>
        <v/>
      </c>
      <c r="J1198">
        <f>IF($P1198="","",INDEX(상세표[블록 06~07시],$P1198))</f>
        <v/>
      </c>
      <c r="K1198">
        <f>IF($P1198="","",INDEX(상세표[블록 07~18시],$P1198))</f>
        <v/>
      </c>
      <c r="L1198">
        <f>IF($P1198="","",INDEX(상세표[블록 18~22시],$P1198))</f>
        <v/>
      </c>
      <c r="M1198">
        <f>IF($P1198="","",INDEX(상세표[블록 22~06시],$P1198))</f>
        <v/>
      </c>
      <c r="N1198">
        <f>IF($P1198="","",INDEX(상세표[주말·휴일 포함],$P1198)&amp;"")</f>
        <v/>
      </c>
      <c r="O1198">
        <f>IF($P1198="","",INDEX(상세표[월 넘김 포함],$P1198)&amp;"")</f>
        <v/>
      </c>
      <c r="P1198" s="4">
        <f>IFERROR(MATCH(1193,상세표[연속순번],0),"")</f>
        <v/>
      </c>
    </row>
    <row r="1199">
      <c r="A1199">
        <f>IF($P1199="","",INDEX(상세표[사번],$P1199)&amp;"")</f>
        <v/>
      </c>
      <c r="B1199">
        <f>IF($P1199="","",INDEX(상세표[성명],$P1199)&amp;"")</f>
        <v/>
      </c>
      <c r="C1199">
        <f>IF($P1199="","",INDEX(상세표[부서],$P1199)&amp;"")</f>
        <v/>
      </c>
      <c r="D1199">
        <f>IF($P1199="","",INDEX(상세표[직위],$P1199)&amp;"")</f>
        <v/>
      </c>
      <c r="E1199">
        <f>IF($P1199="","",IF(ISNUMBER(INDEX(상세표[시작],$P1199)),TEXT(INDEX(상세표[시작],$P1199),"yyyy-mm-dd hh:mm"),INDEX(상세표[시작],$P1199)&amp;""))</f>
        <v/>
      </c>
      <c r="F1199">
        <f>IF($P1199="","",IF(ISNUMBER(INDEX(상세표[블록종료],$P1199)),TEXT(INDEX(상세표[블록종료],$P1199),"yyyy-mm-dd hh:mm"),INDEX(상세표[블록종료],$P1199)&amp;""))</f>
        <v/>
      </c>
      <c r="G1199">
        <f>IF($P1199="","",CHOOSE(WEEKDAY(INDEX(상세표[시작],$P1199)),"일","월","화","수","목","금","토"))</f>
        <v/>
      </c>
      <c r="H1199">
        <f>IF($P1199="","",INDEX(상세표[연속 시간],$P1199))</f>
        <v/>
      </c>
      <c r="I1199">
        <f>IF($P1199="","",INDEX(상세표[기록 수],$P1199))</f>
        <v/>
      </c>
      <c r="J1199">
        <f>IF($P1199="","",INDEX(상세표[블록 06~07시],$P1199))</f>
        <v/>
      </c>
      <c r="K1199">
        <f>IF($P1199="","",INDEX(상세표[블록 07~18시],$P1199))</f>
        <v/>
      </c>
      <c r="L1199">
        <f>IF($P1199="","",INDEX(상세표[블록 18~22시],$P1199))</f>
        <v/>
      </c>
      <c r="M1199">
        <f>IF($P1199="","",INDEX(상세표[블록 22~06시],$P1199))</f>
        <v/>
      </c>
      <c r="N1199">
        <f>IF($P1199="","",INDEX(상세표[주말·휴일 포함],$P1199)&amp;"")</f>
        <v/>
      </c>
      <c r="O1199">
        <f>IF($P1199="","",INDEX(상세표[월 넘김 포함],$P1199)&amp;"")</f>
        <v/>
      </c>
      <c r="P1199" s="4">
        <f>IFERROR(MATCH(1194,상세표[연속순번],0),"")</f>
        <v/>
      </c>
    </row>
    <row r="1200">
      <c r="A1200">
        <f>IF($P1200="","",INDEX(상세표[사번],$P1200)&amp;"")</f>
        <v/>
      </c>
      <c r="B1200">
        <f>IF($P1200="","",INDEX(상세표[성명],$P1200)&amp;"")</f>
        <v/>
      </c>
      <c r="C1200">
        <f>IF($P1200="","",INDEX(상세표[부서],$P1200)&amp;"")</f>
        <v/>
      </c>
      <c r="D1200">
        <f>IF($P1200="","",INDEX(상세표[직위],$P1200)&amp;"")</f>
        <v/>
      </c>
      <c r="E1200">
        <f>IF($P1200="","",IF(ISNUMBER(INDEX(상세표[시작],$P1200)),TEXT(INDEX(상세표[시작],$P1200),"yyyy-mm-dd hh:mm"),INDEX(상세표[시작],$P1200)&amp;""))</f>
        <v/>
      </c>
      <c r="F1200">
        <f>IF($P1200="","",IF(ISNUMBER(INDEX(상세표[블록종료],$P1200)),TEXT(INDEX(상세표[블록종료],$P1200),"yyyy-mm-dd hh:mm"),INDEX(상세표[블록종료],$P1200)&amp;""))</f>
        <v/>
      </c>
      <c r="G1200">
        <f>IF($P1200="","",CHOOSE(WEEKDAY(INDEX(상세표[시작],$P1200)),"일","월","화","수","목","금","토"))</f>
        <v/>
      </c>
      <c r="H1200">
        <f>IF($P1200="","",INDEX(상세표[연속 시간],$P1200))</f>
        <v/>
      </c>
      <c r="I1200">
        <f>IF($P1200="","",INDEX(상세표[기록 수],$P1200))</f>
        <v/>
      </c>
      <c r="J1200">
        <f>IF($P1200="","",INDEX(상세표[블록 06~07시],$P1200))</f>
        <v/>
      </c>
      <c r="K1200">
        <f>IF($P1200="","",INDEX(상세표[블록 07~18시],$P1200))</f>
        <v/>
      </c>
      <c r="L1200">
        <f>IF($P1200="","",INDEX(상세표[블록 18~22시],$P1200))</f>
        <v/>
      </c>
      <c r="M1200">
        <f>IF($P1200="","",INDEX(상세표[블록 22~06시],$P1200))</f>
        <v/>
      </c>
      <c r="N1200">
        <f>IF($P1200="","",INDEX(상세표[주말·휴일 포함],$P1200)&amp;"")</f>
        <v/>
      </c>
      <c r="O1200">
        <f>IF($P1200="","",INDEX(상세표[월 넘김 포함],$P1200)&amp;"")</f>
        <v/>
      </c>
      <c r="P1200" s="4">
        <f>IFERROR(MATCH(1195,상세표[연속순번],0),"")</f>
        <v/>
      </c>
    </row>
    <row r="1201">
      <c r="A1201">
        <f>IF($P1201="","",INDEX(상세표[사번],$P1201)&amp;"")</f>
        <v/>
      </c>
      <c r="B1201">
        <f>IF($P1201="","",INDEX(상세표[성명],$P1201)&amp;"")</f>
        <v/>
      </c>
      <c r="C1201">
        <f>IF($P1201="","",INDEX(상세표[부서],$P1201)&amp;"")</f>
        <v/>
      </c>
      <c r="D1201">
        <f>IF($P1201="","",INDEX(상세표[직위],$P1201)&amp;"")</f>
        <v/>
      </c>
      <c r="E1201">
        <f>IF($P1201="","",IF(ISNUMBER(INDEX(상세표[시작],$P1201)),TEXT(INDEX(상세표[시작],$P1201),"yyyy-mm-dd hh:mm"),INDEX(상세표[시작],$P1201)&amp;""))</f>
        <v/>
      </c>
      <c r="F1201">
        <f>IF($P1201="","",IF(ISNUMBER(INDEX(상세표[블록종료],$P1201)),TEXT(INDEX(상세표[블록종료],$P1201),"yyyy-mm-dd hh:mm"),INDEX(상세표[블록종료],$P1201)&amp;""))</f>
        <v/>
      </c>
      <c r="G1201">
        <f>IF($P1201="","",CHOOSE(WEEKDAY(INDEX(상세표[시작],$P1201)),"일","월","화","수","목","금","토"))</f>
        <v/>
      </c>
      <c r="H1201">
        <f>IF($P1201="","",INDEX(상세표[연속 시간],$P1201))</f>
        <v/>
      </c>
      <c r="I1201">
        <f>IF($P1201="","",INDEX(상세표[기록 수],$P1201))</f>
        <v/>
      </c>
      <c r="J1201">
        <f>IF($P1201="","",INDEX(상세표[블록 06~07시],$P1201))</f>
        <v/>
      </c>
      <c r="K1201">
        <f>IF($P1201="","",INDEX(상세표[블록 07~18시],$P1201))</f>
        <v/>
      </c>
      <c r="L1201">
        <f>IF($P1201="","",INDEX(상세표[블록 18~22시],$P1201))</f>
        <v/>
      </c>
      <c r="M1201">
        <f>IF($P1201="","",INDEX(상세표[블록 22~06시],$P1201))</f>
        <v/>
      </c>
      <c r="N1201">
        <f>IF($P1201="","",INDEX(상세표[주말·휴일 포함],$P1201)&amp;"")</f>
        <v/>
      </c>
      <c r="O1201">
        <f>IF($P1201="","",INDEX(상세표[월 넘김 포함],$P1201)&amp;"")</f>
        <v/>
      </c>
      <c r="P1201" s="4">
        <f>IFERROR(MATCH(1196,상세표[연속순번],0),"")</f>
        <v/>
      </c>
    </row>
    <row r="1202">
      <c r="A1202">
        <f>IF($P1202="","",INDEX(상세표[사번],$P1202)&amp;"")</f>
        <v/>
      </c>
      <c r="B1202">
        <f>IF($P1202="","",INDEX(상세표[성명],$P1202)&amp;"")</f>
        <v/>
      </c>
      <c r="C1202">
        <f>IF($P1202="","",INDEX(상세표[부서],$P1202)&amp;"")</f>
        <v/>
      </c>
      <c r="D1202">
        <f>IF($P1202="","",INDEX(상세표[직위],$P1202)&amp;"")</f>
        <v/>
      </c>
      <c r="E1202">
        <f>IF($P1202="","",IF(ISNUMBER(INDEX(상세표[시작],$P1202)),TEXT(INDEX(상세표[시작],$P1202),"yyyy-mm-dd hh:mm"),INDEX(상세표[시작],$P1202)&amp;""))</f>
        <v/>
      </c>
      <c r="F1202">
        <f>IF($P1202="","",IF(ISNUMBER(INDEX(상세표[블록종료],$P1202)),TEXT(INDEX(상세표[블록종료],$P1202),"yyyy-mm-dd hh:mm"),INDEX(상세표[블록종료],$P1202)&amp;""))</f>
        <v/>
      </c>
      <c r="G1202">
        <f>IF($P1202="","",CHOOSE(WEEKDAY(INDEX(상세표[시작],$P1202)),"일","월","화","수","목","금","토"))</f>
        <v/>
      </c>
      <c r="H1202">
        <f>IF($P1202="","",INDEX(상세표[연속 시간],$P1202))</f>
        <v/>
      </c>
      <c r="I1202">
        <f>IF($P1202="","",INDEX(상세표[기록 수],$P1202))</f>
        <v/>
      </c>
      <c r="J1202">
        <f>IF($P1202="","",INDEX(상세표[블록 06~07시],$P1202))</f>
        <v/>
      </c>
      <c r="K1202">
        <f>IF($P1202="","",INDEX(상세표[블록 07~18시],$P1202))</f>
        <v/>
      </c>
      <c r="L1202">
        <f>IF($P1202="","",INDEX(상세표[블록 18~22시],$P1202))</f>
        <v/>
      </c>
      <c r="M1202">
        <f>IF($P1202="","",INDEX(상세표[블록 22~06시],$P1202))</f>
        <v/>
      </c>
      <c r="N1202">
        <f>IF($P1202="","",INDEX(상세표[주말·휴일 포함],$P1202)&amp;"")</f>
        <v/>
      </c>
      <c r="O1202">
        <f>IF($P1202="","",INDEX(상세표[월 넘김 포함],$P1202)&amp;"")</f>
        <v/>
      </c>
      <c r="P1202" s="4">
        <f>IFERROR(MATCH(1197,상세표[연속순번],0),"")</f>
        <v/>
      </c>
    </row>
    <row r="1203">
      <c r="A1203">
        <f>IF($P1203="","",INDEX(상세표[사번],$P1203)&amp;"")</f>
        <v/>
      </c>
      <c r="B1203">
        <f>IF($P1203="","",INDEX(상세표[성명],$P1203)&amp;"")</f>
        <v/>
      </c>
      <c r="C1203">
        <f>IF($P1203="","",INDEX(상세표[부서],$P1203)&amp;"")</f>
        <v/>
      </c>
      <c r="D1203">
        <f>IF($P1203="","",INDEX(상세표[직위],$P1203)&amp;"")</f>
        <v/>
      </c>
      <c r="E1203">
        <f>IF($P1203="","",IF(ISNUMBER(INDEX(상세표[시작],$P1203)),TEXT(INDEX(상세표[시작],$P1203),"yyyy-mm-dd hh:mm"),INDEX(상세표[시작],$P1203)&amp;""))</f>
        <v/>
      </c>
      <c r="F1203">
        <f>IF($P1203="","",IF(ISNUMBER(INDEX(상세표[블록종료],$P1203)),TEXT(INDEX(상세표[블록종료],$P1203),"yyyy-mm-dd hh:mm"),INDEX(상세표[블록종료],$P1203)&amp;""))</f>
        <v/>
      </c>
      <c r="G1203">
        <f>IF($P1203="","",CHOOSE(WEEKDAY(INDEX(상세표[시작],$P1203)),"일","월","화","수","목","금","토"))</f>
        <v/>
      </c>
      <c r="H1203">
        <f>IF($P1203="","",INDEX(상세표[연속 시간],$P1203))</f>
        <v/>
      </c>
      <c r="I1203">
        <f>IF($P1203="","",INDEX(상세표[기록 수],$P1203))</f>
        <v/>
      </c>
      <c r="J1203">
        <f>IF($P1203="","",INDEX(상세표[블록 06~07시],$P1203))</f>
        <v/>
      </c>
      <c r="K1203">
        <f>IF($P1203="","",INDEX(상세표[블록 07~18시],$P1203))</f>
        <v/>
      </c>
      <c r="L1203">
        <f>IF($P1203="","",INDEX(상세표[블록 18~22시],$P1203))</f>
        <v/>
      </c>
      <c r="M1203">
        <f>IF($P1203="","",INDEX(상세표[블록 22~06시],$P1203))</f>
        <v/>
      </c>
      <c r="N1203">
        <f>IF($P1203="","",INDEX(상세표[주말·휴일 포함],$P1203)&amp;"")</f>
        <v/>
      </c>
      <c r="O1203">
        <f>IF($P1203="","",INDEX(상세표[월 넘김 포함],$P1203)&amp;"")</f>
        <v/>
      </c>
      <c r="P1203" s="4">
        <f>IFERROR(MATCH(1198,상세표[연속순번],0),"")</f>
        <v/>
      </c>
    </row>
    <row r="1204">
      <c r="A1204">
        <f>IF($P1204="","",INDEX(상세표[사번],$P1204)&amp;"")</f>
        <v/>
      </c>
      <c r="B1204">
        <f>IF($P1204="","",INDEX(상세표[성명],$P1204)&amp;"")</f>
        <v/>
      </c>
      <c r="C1204">
        <f>IF($P1204="","",INDEX(상세표[부서],$P1204)&amp;"")</f>
        <v/>
      </c>
      <c r="D1204">
        <f>IF($P1204="","",INDEX(상세표[직위],$P1204)&amp;"")</f>
        <v/>
      </c>
      <c r="E1204">
        <f>IF($P1204="","",IF(ISNUMBER(INDEX(상세표[시작],$P1204)),TEXT(INDEX(상세표[시작],$P1204),"yyyy-mm-dd hh:mm"),INDEX(상세표[시작],$P1204)&amp;""))</f>
        <v/>
      </c>
      <c r="F1204">
        <f>IF($P1204="","",IF(ISNUMBER(INDEX(상세표[블록종료],$P1204)),TEXT(INDEX(상세표[블록종료],$P1204),"yyyy-mm-dd hh:mm"),INDEX(상세표[블록종료],$P1204)&amp;""))</f>
        <v/>
      </c>
      <c r="G1204">
        <f>IF($P1204="","",CHOOSE(WEEKDAY(INDEX(상세표[시작],$P1204)),"일","월","화","수","목","금","토"))</f>
        <v/>
      </c>
      <c r="H1204">
        <f>IF($P1204="","",INDEX(상세표[연속 시간],$P1204))</f>
        <v/>
      </c>
      <c r="I1204">
        <f>IF($P1204="","",INDEX(상세표[기록 수],$P1204))</f>
        <v/>
      </c>
      <c r="J1204">
        <f>IF($P1204="","",INDEX(상세표[블록 06~07시],$P1204))</f>
        <v/>
      </c>
      <c r="K1204">
        <f>IF($P1204="","",INDEX(상세표[블록 07~18시],$P1204))</f>
        <v/>
      </c>
      <c r="L1204">
        <f>IF($P1204="","",INDEX(상세표[블록 18~22시],$P1204))</f>
        <v/>
      </c>
      <c r="M1204">
        <f>IF($P1204="","",INDEX(상세표[블록 22~06시],$P1204))</f>
        <v/>
      </c>
      <c r="N1204">
        <f>IF($P1204="","",INDEX(상세표[주말·휴일 포함],$P1204)&amp;"")</f>
        <v/>
      </c>
      <c r="O1204">
        <f>IF($P1204="","",INDEX(상세표[월 넘김 포함],$P1204)&amp;"")</f>
        <v/>
      </c>
      <c r="P1204" s="4">
        <f>IFERROR(MATCH(1199,상세표[연속순번],0),"")</f>
        <v/>
      </c>
    </row>
    <row r="1205">
      <c r="A1205">
        <f>IF($P1205="","",INDEX(상세표[사번],$P1205)&amp;"")</f>
        <v/>
      </c>
      <c r="B1205">
        <f>IF($P1205="","",INDEX(상세표[성명],$P1205)&amp;"")</f>
        <v/>
      </c>
      <c r="C1205">
        <f>IF($P1205="","",INDEX(상세표[부서],$P1205)&amp;"")</f>
        <v/>
      </c>
      <c r="D1205">
        <f>IF($P1205="","",INDEX(상세표[직위],$P1205)&amp;"")</f>
        <v/>
      </c>
      <c r="E1205">
        <f>IF($P1205="","",IF(ISNUMBER(INDEX(상세표[시작],$P1205)),TEXT(INDEX(상세표[시작],$P1205),"yyyy-mm-dd hh:mm"),INDEX(상세표[시작],$P1205)&amp;""))</f>
        <v/>
      </c>
      <c r="F1205">
        <f>IF($P1205="","",IF(ISNUMBER(INDEX(상세표[블록종료],$P1205)),TEXT(INDEX(상세표[블록종료],$P1205),"yyyy-mm-dd hh:mm"),INDEX(상세표[블록종료],$P1205)&amp;""))</f>
        <v/>
      </c>
      <c r="G1205">
        <f>IF($P1205="","",CHOOSE(WEEKDAY(INDEX(상세표[시작],$P1205)),"일","월","화","수","목","금","토"))</f>
        <v/>
      </c>
      <c r="H1205">
        <f>IF($P1205="","",INDEX(상세표[연속 시간],$P1205))</f>
        <v/>
      </c>
      <c r="I1205">
        <f>IF($P1205="","",INDEX(상세표[기록 수],$P1205))</f>
        <v/>
      </c>
      <c r="J1205">
        <f>IF($P1205="","",INDEX(상세표[블록 06~07시],$P1205))</f>
        <v/>
      </c>
      <c r="K1205">
        <f>IF($P1205="","",INDEX(상세표[블록 07~18시],$P1205))</f>
        <v/>
      </c>
      <c r="L1205">
        <f>IF($P1205="","",INDEX(상세표[블록 18~22시],$P1205))</f>
        <v/>
      </c>
      <c r="M1205">
        <f>IF($P1205="","",INDEX(상세표[블록 22~06시],$P1205))</f>
        <v/>
      </c>
      <c r="N1205">
        <f>IF($P1205="","",INDEX(상세표[주말·휴일 포함],$P1205)&amp;"")</f>
        <v/>
      </c>
      <c r="O1205">
        <f>IF($P1205="","",INDEX(상세표[월 넘김 포함],$P1205)&amp;"")</f>
        <v/>
      </c>
      <c r="P1205" s="4">
        <f>IFERROR(MATCH(1200,상세표[연속순번],0),"")</f>
        <v/>
      </c>
    </row>
    <row r="1206">
      <c r="A1206">
        <f>IF($P1206="","",INDEX(상세표[사번],$P1206)&amp;"")</f>
        <v/>
      </c>
      <c r="B1206">
        <f>IF($P1206="","",INDEX(상세표[성명],$P1206)&amp;"")</f>
        <v/>
      </c>
      <c r="C1206">
        <f>IF($P1206="","",INDEX(상세표[부서],$P1206)&amp;"")</f>
        <v/>
      </c>
      <c r="D1206">
        <f>IF($P1206="","",INDEX(상세표[직위],$P1206)&amp;"")</f>
        <v/>
      </c>
      <c r="E1206">
        <f>IF($P1206="","",IF(ISNUMBER(INDEX(상세표[시작],$P1206)),TEXT(INDEX(상세표[시작],$P1206),"yyyy-mm-dd hh:mm"),INDEX(상세표[시작],$P1206)&amp;""))</f>
        <v/>
      </c>
      <c r="F1206">
        <f>IF($P1206="","",IF(ISNUMBER(INDEX(상세표[블록종료],$P1206)),TEXT(INDEX(상세표[블록종료],$P1206),"yyyy-mm-dd hh:mm"),INDEX(상세표[블록종료],$P1206)&amp;""))</f>
        <v/>
      </c>
      <c r="G1206">
        <f>IF($P1206="","",CHOOSE(WEEKDAY(INDEX(상세표[시작],$P1206)),"일","월","화","수","목","금","토"))</f>
        <v/>
      </c>
      <c r="H1206">
        <f>IF($P1206="","",INDEX(상세표[연속 시간],$P1206))</f>
        <v/>
      </c>
      <c r="I1206">
        <f>IF($P1206="","",INDEX(상세표[기록 수],$P1206))</f>
        <v/>
      </c>
      <c r="J1206">
        <f>IF($P1206="","",INDEX(상세표[블록 06~07시],$P1206))</f>
        <v/>
      </c>
      <c r="K1206">
        <f>IF($P1206="","",INDEX(상세표[블록 07~18시],$P1206))</f>
        <v/>
      </c>
      <c r="L1206">
        <f>IF($P1206="","",INDEX(상세표[블록 18~22시],$P1206))</f>
        <v/>
      </c>
      <c r="M1206">
        <f>IF($P1206="","",INDEX(상세표[블록 22~06시],$P1206))</f>
        <v/>
      </c>
      <c r="N1206">
        <f>IF($P1206="","",INDEX(상세표[주말·휴일 포함],$P1206)&amp;"")</f>
        <v/>
      </c>
      <c r="O1206">
        <f>IF($P1206="","",INDEX(상세표[월 넘김 포함],$P1206)&amp;"")</f>
        <v/>
      </c>
      <c r="P1206" s="4">
        <f>IFERROR(MATCH(1201,상세표[연속순번],0),"")</f>
        <v/>
      </c>
    </row>
    <row r="1207">
      <c r="A1207">
        <f>IF($P1207="","",INDEX(상세표[사번],$P1207)&amp;"")</f>
        <v/>
      </c>
      <c r="B1207">
        <f>IF($P1207="","",INDEX(상세표[성명],$P1207)&amp;"")</f>
        <v/>
      </c>
      <c r="C1207">
        <f>IF($P1207="","",INDEX(상세표[부서],$P1207)&amp;"")</f>
        <v/>
      </c>
      <c r="D1207">
        <f>IF($P1207="","",INDEX(상세표[직위],$P1207)&amp;"")</f>
        <v/>
      </c>
      <c r="E1207">
        <f>IF($P1207="","",IF(ISNUMBER(INDEX(상세표[시작],$P1207)),TEXT(INDEX(상세표[시작],$P1207),"yyyy-mm-dd hh:mm"),INDEX(상세표[시작],$P1207)&amp;""))</f>
        <v/>
      </c>
      <c r="F1207">
        <f>IF($P1207="","",IF(ISNUMBER(INDEX(상세표[블록종료],$P1207)),TEXT(INDEX(상세표[블록종료],$P1207),"yyyy-mm-dd hh:mm"),INDEX(상세표[블록종료],$P1207)&amp;""))</f>
        <v/>
      </c>
      <c r="G1207">
        <f>IF($P1207="","",CHOOSE(WEEKDAY(INDEX(상세표[시작],$P1207)),"일","월","화","수","목","금","토"))</f>
        <v/>
      </c>
      <c r="H1207">
        <f>IF($P1207="","",INDEX(상세표[연속 시간],$P1207))</f>
        <v/>
      </c>
      <c r="I1207">
        <f>IF($P1207="","",INDEX(상세표[기록 수],$P1207))</f>
        <v/>
      </c>
      <c r="J1207">
        <f>IF($P1207="","",INDEX(상세표[블록 06~07시],$P1207))</f>
        <v/>
      </c>
      <c r="K1207">
        <f>IF($P1207="","",INDEX(상세표[블록 07~18시],$P1207))</f>
        <v/>
      </c>
      <c r="L1207">
        <f>IF($P1207="","",INDEX(상세표[블록 18~22시],$P1207))</f>
        <v/>
      </c>
      <c r="M1207">
        <f>IF($P1207="","",INDEX(상세표[블록 22~06시],$P1207))</f>
        <v/>
      </c>
      <c r="N1207">
        <f>IF($P1207="","",INDEX(상세표[주말·휴일 포함],$P1207)&amp;"")</f>
        <v/>
      </c>
      <c r="O1207">
        <f>IF($P1207="","",INDEX(상세표[월 넘김 포함],$P1207)&amp;"")</f>
        <v/>
      </c>
      <c r="P1207" s="4">
        <f>IFERROR(MATCH(1202,상세표[연속순번],0),"")</f>
        <v/>
      </c>
    </row>
    <row r="1208">
      <c r="A1208">
        <f>IF($P1208="","",INDEX(상세표[사번],$P1208)&amp;"")</f>
        <v/>
      </c>
      <c r="B1208">
        <f>IF($P1208="","",INDEX(상세표[성명],$P1208)&amp;"")</f>
        <v/>
      </c>
      <c r="C1208">
        <f>IF($P1208="","",INDEX(상세표[부서],$P1208)&amp;"")</f>
        <v/>
      </c>
      <c r="D1208">
        <f>IF($P1208="","",INDEX(상세표[직위],$P1208)&amp;"")</f>
        <v/>
      </c>
      <c r="E1208">
        <f>IF($P1208="","",IF(ISNUMBER(INDEX(상세표[시작],$P1208)),TEXT(INDEX(상세표[시작],$P1208),"yyyy-mm-dd hh:mm"),INDEX(상세표[시작],$P1208)&amp;""))</f>
        <v/>
      </c>
      <c r="F1208">
        <f>IF($P1208="","",IF(ISNUMBER(INDEX(상세표[블록종료],$P1208)),TEXT(INDEX(상세표[블록종료],$P1208),"yyyy-mm-dd hh:mm"),INDEX(상세표[블록종료],$P1208)&amp;""))</f>
        <v/>
      </c>
      <c r="G1208">
        <f>IF($P1208="","",CHOOSE(WEEKDAY(INDEX(상세표[시작],$P1208)),"일","월","화","수","목","금","토"))</f>
        <v/>
      </c>
      <c r="H1208">
        <f>IF($P1208="","",INDEX(상세표[연속 시간],$P1208))</f>
        <v/>
      </c>
      <c r="I1208">
        <f>IF($P1208="","",INDEX(상세표[기록 수],$P1208))</f>
        <v/>
      </c>
      <c r="J1208">
        <f>IF($P1208="","",INDEX(상세표[블록 06~07시],$P1208))</f>
        <v/>
      </c>
      <c r="K1208">
        <f>IF($P1208="","",INDEX(상세표[블록 07~18시],$P1208))</f>
        <v/>
      </c>
      <c r="L1208">
        <f>IF($P1208="","",INDEX(상세표[블록 18~22시],$P1208))</f>
        <v/>
      </c>
      <c r="M1208">
        <f>IF($P1208="","",INDEX(상세표[블록 22~06시],$P1208))</f>
        <v/>
      </c>
      <c r="N1208">
        <f>IF($P1208="","",INDEX(상세표[주말·휴일 포함],$P1208)&amp;"")</f>
        <v/>
      </c>
      <c r="O1208">
        <f>IF($P1208="","",INDEX(상세표[월 넘김 포함],$P1208)&amp;"")</f>
        <v/>
      </c>
      <c r="P1208" s="4">
        <f>IFERROR(MATCH(1203,상세표[연속순번],0),"")</f>
        <v/>
      </c>
    </row>
    <row r="1209">
      <c r="A1209">
        <f>IF($P1209="","",INDEX(상세표[사번],$P1209)&amp;"")</f>
        <v/>
      </c>
      <c r="B1209">
        <f>IF($P1209="","",INDEX(상세표[성명],$P1209)&amp;"")</f>
        <v/>
      </c>
      <c r="C1209">
        <f>IF($P1209="","",INDEX(상세표[부서],$P1209)&amp;"")</f>
        <v/>
      </c>
      <c r="D1209">
        <f>IF($P1209="","",INDEX(상세표[직위],$P1209)&amp;"")</f>
        <v/>
      </c>
      <c r="E1209">
        <f>IF($P1209="","",IF(ISNUMBER(INDEX(상세표[시작],$P1209)),TEXT(INDEX(상세표[시작],$P1209),"yyyy-mm-dd hh:mm"),INDEX(상세표[시작],$P1209)&amp;""))</f>
        <v/>
      </c>
      <c r="F1209">
        <f>IF($P1209="","",IF(ISNUMBER(INDEX(상세표[블록종료],$P1209)),TEXT(INDEX(상세표[블록종료],$P1209),"yyyy-mm-dd hh:mm"),INDEX(상세표[블록종료],$P1209)&amp;""))</f>
        <v/>
      </c>
      <c r="G1209">
        <f>IF($P1209="","",CHOOSE(WEEKDAY(INDEX(상세표[시작],$P1209)),"일","월","화","수","목","금","토"))</f>
        <v/>
      </c>
      <c r="H1209">
        <f>IF($P1209="","",INDEX(상세표[연속 시간],$P1209))</f>
        <v/>
      </c>
      <c r="I1209">
        <f>IF($P1209="","",INDEX(상세표[기록 수],$P1209))</f>
        <v/>
      </c>
      <c r="J1209">
        <f>IF($P1209="","",INDEX(상세표[블록 06~07시],$P1209))</f>
        <v/>
      </c>
      <c r="K1209">
        <f>IF($P1209="","",INDEX(상세표[블록 07~18시],$P1209))</f>
        <v/>
      </c>
      <c r="L1209">
        <f>IF($P1209="","",INDEX(상세표[블록 18~22시],$P1209))</f>
        <v/>
      </c>
      <c r="M1209">
        <f>IF($P1209="","",INDEX(상세표[블록 22~06시],$P1209))</f>
        <v/>
      </c>
      <c r="N1209">
        <f>IF($P1209="","",INDEX(상세표[주말·휴일 포함],$P1209)&amp;"")</f>
        <v/>
      </c>
      <c r="O1209">
        <f>IF($P1209="","",INDEX(상세표[월 넘김 포함],$P1209)&amp;"")</f>
        <v/>
      </c>
      <c r="P1209" s="4">
        <f>IFERROR(MATCH(1204,상세표[연속순번],0),"")</f>
        <v/>
      </c>
    </row>
    <row r="1210">
      <c r="A1210">
        <f>IF($P1210="","",INDEX(상세표[사번],$P1210)&amp;"")</f>
        <v/>
      </c>
      <c r="B1210">
        <f>IF($P1210="","",INDEX(상세표[성명],$P1210)&amp;"")</f>
        <v/>
      </c>
      <c r="C1210">
        <f>IF($P1210="","",INDEX(상세표[부서],$P1210)&amp;"")</f>
        <v/>
      </c>
      <c r="D1210">
        <f>IF($P1210="","",INDEX(상세표[직위],$P1210)&amp;"")</f>
        <v/>
      </c>
      <c r="E1210">
        <f>IF($P1210="","",IF(ISNUMBER(INDEX(상세표[시작],$P1210)),TEXT(INDEX(상세표[시작],$P1210),"yyyy-mm-dd hh:mm"),INDEX(상세표[시작],$P1210)&amp;""))</f>
        <v/>
      </c>
      <c r="F1210">
        <f>IF($P1210="","",IF(ISNUMBER(INDEX(상세표[블록종료],$P1210)),TEXT(INDEX(상세표[블록종료],$P1210),"yyyy-mm-dd hh:mm"),INDEX(상세표[블록종료],$P1210)&amp;""))</f>
        <v/>
      </c>
      <c r="G1210">
        <f>IF($P1210="","",CHOOSE(WEEKDAY(INDEX(상세표[시작],$P1210)),"일","월","화","수","목","금","토"))</f>
        <v/>
      </c>
      <c r="H1210">
        <f>IF($P1210="","",INDEX(상세표[연속 시간],$P1210))</f>
        <v/>
      </c>
      <c r="I1210">
        <f>IF($P1210="","",INDEX(상세표[기록 수],$P1210))</f>
        <v/>
      </c>
      <c r="J1210">
        <f>IF($P1210="","",INDEX(상세표[블록 06~07시],$P1210))</f>
        <v/>
      </c>
      <c r="K1210">
        <f>IF($P1210="","",INDEX(상세표[블록 07~18시],$P1210))</f>
        <v/>
      </c>
      <c r="L1210">
        <f>IF($P1210="","",INDEX(상세표[블록 18~22시],$P1210))</f>
        <v/>
      </c>
      <c r="M1210">
        <f>IF($P1210="","",INDEX(상세표[블록 22~06시],$P1210))</f>
        <v/>
      </c>
      <c r="N1210">
        <f>IF($P1210="","",INDEX(상세표[주말·휴일 포함],$P1210)&amp;"")</f>
        <v/>
      </c>
      <c r="O1210">
        <f>IF($P1210="","",INDEX(상세표[월 넘김 포함],$P1210)&amp;"")</f>
        <v/>
      </c>
      <c r="P1210" s="4">
        <f>IFERROR(MATCH(1205,상세표[연속순번],0),"")</f>
        <v/>
      </c>
    </row>
    <row r="1211">
      <c r="A1211">
        <f>IF($P1211="","",INDEX(상세표[사번],$P1211)&amp;"")</f>
        <v/>
      </c>
      <c r="B1211">
        <f>IF($P1211="","",INDEX(상세표[성명],$P1211)&amp;"")</f>
        <v/>
      </c>
      <c r="C1211">
        <f>IF($P1211="","",INDEX(상세표[부서],$P1211)&amp;"")</f>
        <v/>
      </c>
      <c r="D1211">
        <f>IF($P1211="","",INDEX(상세표[직위],$P1211)&amp;"")</f>
        <v/>
      </c>
      <c r="E1211">
        <f>IF($P1211="","",IF(ISNUMBER(INDEX(상세표[시작],$P1211)),TEXT(INDEX(상세표[시작],$P1211),"yyyy-mm-dd hh:mm"),INDEX(상세표[시작],$P1211)&amp;""))</f>
        <v/>
      </c>
      <c r="F1211">
        <f>IF($P1211="","",IF(ISNUMBER(INDEX(상세표[블록종료],$P1211)),TEXT(INDEX(상세표[블록종료],$P1211),"yyyy-mm-dd hh:mm"),INDEX(상세표[블록종료],$P1211)&amp;""))</f>
        <v/>
      </c>
      <c r="G1211">
        <f>IF($P1211="","",CHOOSE(WEEKDAY(INDEX(상세표[시작],$P1211)),"일","월","화","수","목","금","토"))</f>
        <v/>
      </c>
      <c r="H1211">
        <f>IF($P1211="","",INDEX(상세표[연속 시간],$P1211))</f>
        <v/>
      </c>
      <c r="I1211">
        <f>IF($P1211="","",INDEX(상세표[기록 수],$P1211))</f>
        <v/>
      </c>
      <c r="J1211">
        <f>IF($P1211="","",INDEX(상세표[블록 06~07시],$P1211))</f>
        <v/>
      </c>
      <c r="K1211">
        <f>IF($P1211="","",INDEX(상세표[블록 07~18시],$P1211))</f>
        <v/>
      </c>
      <c r="L1211">
        <f>IF($P1211="","",INDEX(상세표[블록 18~22시],$P1211))</f>
        <v/>
      </c>
      <c r="M1211">
        <f>IF($P1211="","",INDEX(상세표[블록 22~06시],$P1211))</f>
        <v/>
      </c>
      <c r="N1211">
        <f>IF($P1211="","",INDEX(상세표[주말·휴일 포함],$P1211)&amp;"")</f>
        <v/>
      </c>
      <c r="O1211">
        <f>IF($P1211="","",INDEX(상세표[월 넘김 포함],$P1211)&amp;"")</f>
        <v/>
      </c>
      <c r="P1211" s="4">
        <f>IFERROR(MATCH(1206,상세표[연속순번],0),"")</f>
        <v/>
      </c>
    </row>
    <row r="1212">
      <c r="A1212">
        <f>IF($P1212="","",INDEX(상세표[사번],$P1212)&amp;"")</f>
        <v/>
      </c>
      <c r="B1212">
        <f>IF($P1212="","",INDEX(상세표[성명],$P1212)&amp;"")</f>
        <v/>
      </c>
      <c r="C1212">
        <f>IF($P1212="","",INDEX(상세표[부서],$P1212)&amp;"")</f>
        <v/>
      </c>
      <c r="D1212">
        <f>IF($P1212="","",INDEX(상세표[직위],$P1212)&amp;"")</f>
        <v/>
      </c>
      <c r="E1212">
        <f>IF($P1212="","",IF(ISNUMBER(INDEX(상세표[시작],$P1212)),TEXT(INDEX(상세표[시작],$P1212),"yyyy-mm-dd hh:mm"),INDEX(상세표[시작],$P1212)&amp;""))</f>
        <v/>
      </c>
      <c r="F1212">
        <f>IF($P1212="","",IF(ISNUMBER(INDEX(상세표[블록종료],$P1212)),TEXT(INDEX(상세표[블록종료],$P1212),"yyyy-mm-dd hh:mm"),INDEX(상세표[블록종료],$P1212)&amp;""))</f>
        <v/>
      </c>
      <c r="G1212">
        <f>IF($P1212="","",CHOOSE(WEEKDAY(INDEX(상세표[시작],$P1212)),"일","월","화","수","목","금","토"))</f>
        <v/>
      </c>
      <c r="H1212">
        <f>IF($P1212="","",INDEX(상세표[연속 시간],$P1212))</f>
        <v/>
      </c>
      <c r="I1212">
        <f>IF($P1212="","",INDEX(상세표[기록 수],$P1212))</f>
        <v/>
      </c>
      <c r="J1212">
        <f>IF($P1212="","",INDEX(상세표[블록 06~07시],$P1212))</f>
        <v/>
      </c>
      <c r="K1212">
        <f>IF($P1212="","",INDEX(상세표[블록 07~18시],$P1212))</f>
        <v/>
      </c>
      <c r="L1212">
        <f>IF($P1212="","",INDEX(상세표[블록 18~22시],$P1212))</f>
        <v/>
      </c>
      <c r="M1212">
        <f>IF($P1212="","",INDEX(상세표[블록 22~06시],$P1212))</f>
        <v/>
      </c>
      <c r="N1212">
        <f>IF($P1212="","",INDEX(상세표[주말·휴일 포함],$P1212)&amp;"")</f>
        <v/>
      </c>
      <c r="O1212">
        <f>IF($P1212="","",INDEX(상세표[월 넘김 포함],$P1212)&amp;"")</f>
        <v/>
      </c>
      <c r="P1212" s="4">
        <f>IFERROR(MATCH(1207,상세표[연속순번],0),"")</f>
        <v/>
      </c>
    </row>
    <row r="1213">
      <c r="A1213">
        <f>IF($P1213="","",INDEX(상세표[사번],$P1213)&amp;"")</f>
        <v/>
      </c>
      <c r="B1213">
        <f>IF($P1213="","",INDEX(상세표[성명],$P1213)&amp;"")</f>
        <v/>
      </c>
      <c r="C1213">
        <f>IF($P1213="","",INDEX(상세표[부서],$P1213)&amp;"")</f>
        <v/>
      </c>
      <c r="D1213">
        <f>IF($P1213="","",INDEX(상세표[직위],$P1213)&amp;"")</f>
        <v/>
      </c>
      <c r="E1213">
        <f>IF($P1213="","",IF(ISNUMBER(INDEX(상세표[시작],$P1213)),TEXT(INDEX(상세표[시작],$P1213),"yyyy-mm-dd hh:mm"),INDEX(상세표[시작],$P1213)&amp;""))</f>
        <v/>
      </c>
      <c r="F1213">
        <f>IF($P1213="","",IF(ISNUMBER(INDEX(상세표[블록종료],$P1213)),TEXT(INDEX(상세표[블록종료],$P1213),"yyyy-mm-dd hh:mm"),INDEX(상세표[블록종료],$P1213)&amp;""))</f>
        <v/>
      </c>
      <c r="G1213">
        <f>IF($P1213="","",CHOOSE(WEEKDAY(INDEX(상세표[시작],$P1213)),"일","월","화","수","목","금","토"))</f>
        <v/>
      </c>
      <c r="H1213">
        <f>IF($P1213="","",INDEX(상세표[연속 시간],$P1213))</f>
        <v/>
      </c>
      <c r="I1213">
        <f>IF($P1213="","",INDEX(상세표[기록 수],$P1213))</f>
        <v/>
      </c>
      <c r="J1213">
        <f>IF($P1213="","",INDEX(상세표[블록 06~07시],$P1213))</f>
        <v/>
      </c>
      <c r="K1213">
        <f>IF($P1213="","",INDEX(상세표[블록 07~18시],$P1213))</f>
        <v/>
      </c>
      <c r="L1213">
        <f>IF($P1213="","",INDEX(상세표[블록 18~22시],$P1213))</f>
        <v/>
      </c>
      <c r="M1213">
        <f>IF($P1213="","",INDEX(상세표[블록 22~06시],$P1213))</f>
        <v/>
      </c>
      <c r="N1213">
        <f>IF($P1213="","",INDEX(상세표[주말·휴일 포함],$P1213)&amp;"")</f>
        <v/>
      </c>
      <c r="O1213">
        <f>IF($P1213="","",INDEX(상세표[월 넘김 포함],$P1213)&amp;"")</f>
        <v/>
      </c>
      <c r="P1213" s="4">
        <f>IFERROR(MATCH(1208,상세표[연속순번],0),"")</f>
        <v/>
      </c>
    </row>
    <row r="1214">
      <c r="A1214">
        <f>IF($P1214="","",INDEX(상세표[사번],$P1214)&amp;"")</f>
        <v/>
      </c>
      <c r="B1214">
        <f>IF($P1214="","",INDEX(상세표[성명],$P1214)&amp;"")</f>
        <v/>
      </c>
      <c r="C1214">
        <f>IF($P1214="","",INDEX(상세표[부서],$P1214)&amp;"")</f>
        <v/>
      </c>
      <c r="D1214">
        <f>IF($P1214="","",INDEX(상세표[직위],$P1214)&amp;"")</f>
        <v/>
      </c>
      <c r="E1214">
        <f>IF($P1214="","",IF(ISNUMBER(INDEX(상세표[시작],$P1214)),TEXT(INDEX(상세표[시작],$P1214),"yyyy-mm-dd hh:mm"),INDEX(상세표[시작],$P1214)&amp;""))</f>
        <v/>
      </c>
      <c r="F1214">
        <f>IF($P1214="","",IF(ISNUMBER(INDEX(상세표[블록종료],$P1214)),TEXT(INDEX(상세표[블록종료],$P1214),"yyyy-mm-dd hh:mm"),INDEX(상세표[블록종료],$P1214)&amp;""))</f>
        <v/>
      </c>
      <c r="G1214">
        <f>IF($P1214="","",CHOOSE(WEEKDAY(INDEX(상세표[시작],$P1214)),"일","월","화","수","목","금","토"))</f>
        <v/>
      </c>
      <c r="H1214">
        <f>IF($P1214="","",INDEX(상세표[연속 시간],$P1214))</f>
        <v/>
      </c>
      <c r="I1214">
        <f>IF($P1214="","",INDEX(상세표[기록 수],$P1214))</f>
        <v/>
      </c>
      <c r="J1214">
        <f>IF($P1214="","",INDEX(상세표[블록 06~07시],$P1214))</f>
        <v/>
      </c>
      <c r="K1214">
        <f>IF($P1214="","",INDEX(상세표[블록 07~18시],$P1214))</f>
        <v/>
      </c>
      <c r="L1214">
        <f>IF($P1214="","",INDEX(상세표[블록 18~22시],$P1214))</f>
        <v/>
      </c>
      <c r="M1214">
        <f>IF($P1214="","",INDEX(상세표[블록 22~06시],$P1214))</f>
        <v/>
      </c>
      <c r="N1214">
        <f>IF($P1214="","",INDEX(상세표[주말·휴일 포함],$P1214)&amp;"")</f>
        <v/>
      </c>
      <c r="O1214">
        <f>IF($P1214="","",INDEX(상세표[월 넘김 포함],$P1214)&amp;"")</f>
        <v/>
      </c>
      <c r="P1214" s="4">
        <f>IFERROR(MATCH(1209,상세표[연속순번],0),"")</f>
        <v/>
      </c>
    </row>
    <row r="1215">
      <c r="A1215">
        <f>IF($P1215="","",INDEX(상세표[사번],$P1215)&amp;"")</f>
        <v/>
      </c>
      <c r="B1215">
        <f>IF($P1215="","",INDEX(상세표[성명],$P1215)&amp;"")</f>
        <v/>
      </c>
      <c r="C1215">
        <f>IF($P1215="","",INDEX(상세표[부서],$P1215)&amp;"")</f>
        <v/>
      </c>
      <c r="D1215">
        <f>IF($P1215="","",INDEX(상세표[직위],$P1215)&amp;"")</f>
        <v/>
      </c>
      <c r="E1215">
        <f>IF($P1215="","",IF(ISNUMBER(INDEX(상세표[시작],$P1215)),TEXT(INDEX(상세표[시작],$P1215),"yyyy-mm-dd hh:mm"),INDEX(상세표[시작],$P1215)&amp;""))</f>
        <v/>
      </c>
      <c r="F1215">
        <f>IF($P1215="","",IF(ISNUMBER(INDEX(상세표[블록종료],$P1215)),TEXT(INDEX(상세표[블록종료],$P1215),"yyyy-mm-dd hh:mm"),INDEX(상세표[블록종료],$P1215)&amp;""))</f>
        <v/>
      </c>
      <c r="G1215">
        <f>IF($P1215="","",CHOOSE(WEEKDAY(INDEX(상세표[시작],$P1215)),"일","월","화","수","목","금","토"))</f>
        <v/>
      </c>
      <c r="H1215">
        <f>IF($P1215="","",INDEX(상세표[연속 시간],$P1215))</f>
        <v/>
      </c>
      <c r="I1215">
        <f>IF($P1215="","",INDEX(상세표[기록 수],$P1215))</f>
        <v/>
      </c>
      <c r="J1215">
        <f>IF($P1215="","",INDEX(상세표[블록 06~07시],$P1215))</f>
        <v/>
      </c>
      <c r="K1215">
        <f>IF($P1215="","",INDEX(상세표[블록 07~18시],$P1215))</f>
        <v/>
      </c>
      <c r="L1215">
        <f>IF($P1215="","",INDEX(상세표[블록 18~22시],$P1215))</f>
        <v/>
      </c>
      <c r="M1215">
        <f>IF($P1215="","",INDEX(상세표[블록 22~06시],$P1215))</f>
        <v/>
      </c>
      <c r="N1215">
        <f>IF($P1215="","",INDEX(상세표[주말·휴일 포함],$P1215)&amp;"")</f>
        <v/>
      </c>
      <c r="O1215">
        <f>IF($P1215="","",INDEX(상세표[월 넘김 포함],$P1215)&amp;"")</f>
        <v/>
      </c>
      <c r="P1215" s="4">
        <f>IFERROR(MATCH(1210,상세표[연속순번],0),"")</f>
        <v/>
      </c>
    </row>
    <row r="1216">
      <c r="A1216">
        <f>IF($P1216="","",INDEX(상세표[사번],$P1216)&amp;"")</f>
        <v/>
      </c>
      <c r="B1216">
        <f>IF($P1216="","",INDEX(상세표[성명],$P1216)&amp;"")</f>
        <v/>
      </c>
      <c r="C1216">
        <f>IF($P1216="","",INDEX(상세표[부서],$P1216)&amp;"")</f>
        <v/>
      </c>
      <c r="D1216">
        <f>IF($P1216="","",INDEX(상세표[직위],$P1216)&amp;"")</f>
        <v/>
      </c>
      <c r="E1216">
        <f>IF($P1216="","",IF(ISNUMBER(INDEX(상세표[시작],$P1216)),TEXT(INDEX(상세표[시작],$P1216),"yyyy-mm-dd hh:mm"),INDEX(상세표[시작],$P1216)&amp;""))</f>
        <v/>
      </c>
      <c r="F1216">
        <f>IF($P1216="","",IF(ISNUMBER(INDEX(상세표[블록종료],$P1216)),TEXT(INDEX(상세표[블록종료],$P1216),"yyyy-mm-dd hh:mm"),INDEX(상세표[블록종료],$P1216)&amp;""))</f>
        <v/>
      </c>
      <c r="G1216">
        <f>IF($P1216="","",CHOOSE(WEEKDAY(INDEX(상세표[시작],$P1216)),"일","월","화","수","목","금","토"))</f>
        <v/>
      </c>
      <c r="H1216">
        <f>IF($P1216="","",INDEX(상세표[연속 시간],$P1216))</f>
        <v/>
      </c>
      <c r="I1216">
        <f>IF($P1216="","",INDEX(상세표[기록 수],$P1216))</f>
        <v/>
      </c>
      <c r="J1216">
        <f>IF($P1216="","",INDEX(상세표[블록 06~07시],$P1216))</f>
        <v/>
      </c>
      <c r="K1216">
        <f>IF($P1216="","",INDEX(상세표[블록 07~18시],$P1216))</f>
        <v/>
      </c>
      <c r="L1216">
        <f>IF($P1216="","",INDEX(상세표[블록 18~22시],$P1216))</f>
        <v/>
      </c>
      <c r="M1216">
        <f>IF($P1216="","",INDEX(상세표[블록 22~06시],$P1216))</f>
        <v/>
      </c>
      <c r="N1216">
        <f>IF($P1216="","",INDEX(상세표[주말·휴일 포함],$P1216)&amp;"")</f>
        <v/>
      </c>
      <c r="O1216">
        <f>IF($P1216="","",INDEX(상세표[월 넘김 포함],$P1216)&amp;"")</f>
        <v/>
      </c>
      <c r="P1216" s="4">
        <f>IFERROR(MATCH(1211,상세표[연속순번],0),"")</f>
        <v/>
      </c>
    </row>
    <row r="1217">
      <c r="A1217">
        <f>IF($P1217="","",INDEX(상세표[사번],$P1217)&amp;"")</f>
        <v/>
      </c>
      <c r="B1217">
        <f>IF($P1217="","",INDEX(상세표[성명],$P1217)&amp;"")</f>
        <v/>
      </c>
      <c r="C1217">
        <f>IF($P1217="","",INDEX(상세표[부서],$P1217)&amp;"")</f>
        <v/>
      </c>
      <c r="D1217">
        <f>IF($P1217="","",INDEX(상세표[직위],$P1217)&amp;"")</f>
        <v/>
      </c>
      <c r="E1217">
        <f>IF($P1217="","",IF(ISNUMBER(INDEX(상세표[시작],$P1217)),TEXT(INDEX(상세표[시작],$P1217),"yyyy-mm-dd hh:mm"),INDEX(상세표[시작],$P1217)&amp;""))</f>
        <v/>
      </c>
      <c r="F1217">
        <f>IF($P1217="","",IF(ISNUMBER(INDEX(상세표[블록종료],$P1217)),TEXT(INDEX(상세표[블록종료],$P1217),"yyyy-mm-dd hh:mm"),INDEX(상세표[블록종료],$P1217)&amp;""))</f>
        <v/>
      </c>
      <c r="G1217">
        <f>IF($P1217="","",CHOOSE(WEEKDAY(INDEX(상세표[시작],$P1217)),"일","월","화","수","목","금","토"))</f>
        <v/>
      </c>
      <c r="H1217">
        <f>IF($P1217="","",INDEX(상세표[연속 시간],$P1217))</f>
        <v/>
      </c>
      <c r="I1217">
        <f>IF($P1217="","",INDEX(상세표[기록 수],$P1217))</f>
        <v/>
      </c>
      <c r="J1217">
        <f>IF($P1217="","",INDEX(상세표[블록 06~07시],$P1217))</f>
        <v/>
      </c>
      <c r="K1217">
        <f>IF($P1217="","",INDEX(상세표[블록 07~18시],$P1217))</f>
        <v/>
      </c>
      <c r="L1217">
        <f>IF($P1217="","",INDEX(상세표[블록 18~22시],$P1217))</f>
        <v/>
      </c>
      <c r="M1217">
        <f>IF($P1217="","",INDEX(상세표[블록 22~06시],$P1217))</f>
        <v/>
      </c>
      <c r="N1217">
        <f>IF($P1217="","",INDEX(상세표[주말·휴일 포함],$P1217)&amp;"")</f>
        <v/>
      </c>
      <c r="O1217">
        <f>IF($P1217="","",INDEX(상세표[월 넘김 포함],$P1217)&amp;"")</f>
        <v/>
      </c>
      <c r="P1217" s="4">
        <f>IFERROR(MATCH(1212,상세표[연속순번],0),"")</f>
        <v/>
      </c>
    </row>
    <row r="1218">
      <c r="A1218">
        <f>IF($P1218="","",INDEX(상세표[사번],$P1218)&amp;"")</f>
        <v/>
      </c>
      <c r="B1218">
        <f>IF($P1218="","",INDEX(상세표[성명],$P1218)&amp;"")</f>
        <v/>
      </c>
      <c r="C1218">
        <f>IF($P1218="","",INDEX(상세표[부서],$P1218)&amp;"")</f>
        <v/>
      </c>
      <c r="D1218">
        <f>IF($P1218="","",INDEX(상세표[직위],$P1218)&amp;"")</f>
        <v/>
      </c>
      <c r="E1218">
        <f>IF($P1218="","",IF(ISNUMBER(INDEX(상세표[시작],$P1218)),TEXT(INDEX(상세표[시작],$P1218),"yyyy-mm-dd hh:mm"),INDEX(상세표[시작],$P1218)&amp;""))</f>
        <v/>
      </c>
      <c r="F1218">
        <f>IF($P1218="","",IF(ISNUMBER(INDEX(상세표[블록종료],$P1218)),TEXT(INDEX(상세표[블록종료],$P1218),"yyyy-mm-dd hh:mm"),INDEX(상세표[블록종료],$P1218)&amp;""))</f>
        <v/>
      </c>
      <c r="G1218">
        <f>IF($P1218="","",CHOOSE(WEEKDAY(INDEX(상세표[시작],$P1218)),"일","월","화","수","목","금","토"))</f>
        <v/>
      </c>
      <c r="H1218">
        <f>IF($P1218="","",INDEX(상세표[연속 시간],$P1218))</f>
        <v/>
      </c>
      <c r="I1218">
        <f>IF($P1218="","",INDEX(상세표[기록 수],$P1218))</f>
        <v/>
      </c>
      <c r="J1218">
        <f>IF($P1218="","",INDEX(상세표[블록 06~07시],$P1218))</f>
        <v/>
      </c>
      <c r="K1218">
        <f>IF($P1218="","",INDEX(상세표[블록 07~18시],$P1218))</f>
        <v/>
      </c>
      <c r="L1218">
        <f>IF($P1218="","",INDEX(상세표[블록 18~22시],$P1218))</f>
        <v/>
      </c>
      <c r="M1218">
        <f>IF($P1218="","",INDEX(상세표[블록 22~06시],$P1218))</f>
        <v/>
      </c>
      <c r="N1218">
        <f>IF($P1218="","",INDEX(상세표[주말·휴일 포함],$P1218)&amp;"")</f>
        <v/>
      </c>
      <c r="O1218">
        <f>IF($P1218="","",INDEX(상세표[월 넘김 포함],$P1218)&amp;"")</f>
        <v/>
      </c>
      <c r="P1218" s="4">
        <f>IFERROR(MATCH(1213,상세표[연속순번],0),"")</f>
        <v/>
      </c>
    </row>
    <row r="1219">
      <c r="A1219">
        <f>IF($P1219="","",INDEX(상세표[사번],$P1219)&amp;"")</f>
        <v/>
      </c>
      <c r="B1219">
        <f>IF($P1219="","",INDEX(상세표[성명],$P1219)&amp;"")</f>
        <v/>
      </c>
      <c r="C1219">
        <f>IF($P1219="","",INDEX(상세표[부서],$P1219)&amp;"")</f>
        <v/>
      </c>
      <c r="D1219">
        <f>IF($P1219="","",INDEX(상세표[직위],$P1219)&amp;"")</f>
        <v/>
      </c>
      <c r="E1219">
        <f>IF($P1219="","",IF(ISNUMBER(INDEX(상세표[시작],$P1219)),TEXT(INDEX(상세표[시작],$P1219),"yyyy-mm-dd hh:mm"),INDEX(상세표[시작],$P1219)&amp;""))</f>
        <v/>
      </c>
      <c r="F1219">
        <f>IF($P1219="","",IF(ISNUMBER(INDEX(상세표[블록종료],$P1219)),TEXT(INDEX(상세표[블록종료],$P1219),"yyyy-mm-dd hh:mm"),INDEX(상세표[블록종료],$P1219)&amp;""))</f>
        <v/>
      </c>
      <c r="G1219">
        <f>IF($P1219="","",CHOOSE(WEEKDAY(INDEX(상세표[시작],$P1219)),"일","월","화","수","목","금","토"))</f>
        <v/>
      </c>
      <c r="H1219">
        <f>IF($P1219="","",INDEX(상세표[연속 시간],$P1219))</f>
        <v/>
      </c>
      <c r="I1219">
        <f>IF($P1219="","",INDEX(상세표[기록 수],$P1219))</f>
        <v/>
      </c>
      <c r="J1219">
        <f>IF($P1219="","",INDEX(상세표[블록 06~07시],$P1219))</f>
        <v/>
      </c>
      <c r="K1219">
        <f>IF($P1219="","",INDEX(상세표[블록 07~18시],$P1219))</f>
        <v/>
      </c>
      <c r="L1219">
        <f>IF($P1219="","",INDEX(상세표[블록 18~22시],$P1219))</f>
        <v/>
      </c>
      <c r="M1219">
        <f>IF($P1219="","",INDEX(상세표[블록 22~06시],$P1219))</f>
        <v/>
      </c>
      <c r="N1219">
        <f>IF($P1219="","",INDEX(상세표[주말·휴일 포함],$P1219)&amp;"")</f>
        <v/>
      </c>
      <c r="O1219">
        <f>IF($P1219="","",INDEX(상세표[월 넘김 포함],$P1219)&amp;"")</f>
        <v/>
      </c>
      <c r="P1219" s="4">
        <f>IFERROR(MATCH(1214,상세표[연속순번],0),"")</f>
        <v/>
      </c>
    </row>
    <row r="1220">
      <c r="A1220">
        <f>IF($P1220="","",INDEX(상세표[사번],$P1220)&amp;"")</f>
        <v/>
      </c>
      <c r="B1220">
        <f>IF($P1220="","",INDEX(상세표[성명],$P1220)&amp;"")</f>
        <v/>
      </c>
      <c r="C1220">
        <f>IF($P1220="","",INDEX(상세표[부서],$P1220)&amp;"")</f>
        <v/>
      </c>
      <c r="D1220">
        <f>IF($P1220="","",INDEX(상세표[직위],$P1220)&amp;"")</f>
        <v/>
      </c>
      <c r="E1220">
        <f>IF($P1220="","",IF(ISNUMBER(INDEX(상세표[시작],$P1220)),TEXT(INDEX(상세표[시작],$P1220),"yyyy-mm-dd hh:mm"),INDEX(상세표[시작],$P1220)&amp;""))</f>
        <v/>
      </c>
      <c r="F1220">
        <f>IF($P1220="","",IF(ISNUMBER(INDEX(상세표[블록종료],$P1220)),TEXT(INDEX(상세표[블록종료],$P1220),"yyyy-mm-dd hh:mm"),INDEX(상세표[블록종료],$P1220)&amp;""))</f>
        <v/>
      </c>
      <c r="G1220">
        <f>IF($P1220="","",CHOOSE(WEEKDAY(INDEX(상세표[시작],$P1220)),"일","월","화","수","목","금","토"))</f>
        <v/>
      </c>
      <c r="H1220">
        <f>IF($P1220="","",INDEX(상세표[연속 시간],$P1220))</f>
        <v/>
      </c>
      <c r="I1220">
        <f>IF($P1220="","",INDEX(상세표[기록 수],$P1220))</f>
        <v/>
      </c>
      <c r="J1220">
        <f>IF($P1220="","",INDEX(상세표[블록 06~07시],$P1220))</f>
        <v/>
      </c>
      <c r="K1220">
        <f>IF($P1220="","",INDEX(상세표[블록 07~18시],$P1220))</f>
        <v/>
      </c>
      <c r="L1220">
        <f>IF($P1220="","",INDEX(상세표[블록 18~22시],$P1220))</f>
        <v/>
      </c>
      <c r="M1220">
        <f>IF($P1220="","",INDEX(상세표[블록 22~06시],$P1220))</f>
        <v/>
      </c>
      <c r="N1220">
        <f>IF($P1220="","",INDEX(상세표[주말·휴일 포함],$P1220)&amp;"")</f>
        <v/>
      </c>
      <c r="O1220">
        <f>IF($P1220="","",INDEX(상세표[월 넘김 포함],$P1220)&amp;"")</f>
        <v/>
      </c>
      <c r="P1220" s="4">
        <f>IFERROR(MATCH(1215,상세표[연속순번],0),"")</f>
        <v/>
      </c>
    </row>
    <row r="1221">
      <c r="A1221">
        <f>IF($P1221="","",INDEX(상세표[사번],$P1221)&amp;"")</f>
        <v/>
      </c>
      <c r="B1221">
        <f>IF($P1221="","",INDEX(상세표[성명],$P1221)&amp;"")</f>
        <v/>
      </c>
      <c r="C1221">
        <f>IF($P1221="","",INDEX(상세표[부서],$P1221)&amp;"")</f>
        <v/>
      </c>
      <c r="D1221">
        <f>IF($P1221="","",INDEX(상세표[직위],$P1221)&amp;"")</f>
        <v/>
      </c>
      <c r="E1221">
        <f>IF($P1221="","",IF(ISNUMBER(INDEX(상세표[시작],$P1221)),TEXT(INDEX(상세표[시작],$P1221),"yyyy-mm-dd hh:mm"),INDEX(상세표[시작],$P1221)&amp;""))</f>
        <v/>
      </c>
      <c r="F1221">
        <f>IF($P1221="","",IF(ISNUMBER(INDEX(상세표[블록종료],$P1221)),TEXT(INDEX(상세표[블록종료],$P1221),"yyyy-mm-dd hh:mm"),INDEX(상세표[블록종료],$P1221)&amp;""))</f>
        <v/>
      </c>
      <c r="G1221">
        <f>IF($P1221="","",CHOOSE(WEEKDAY(INDEX(상세표[시작],$P1221)),"일","월","화","수","목","금","토"))</f>
        <v/>
      </c>
      <c r="H1221">
        <f>IF($P1221="","",INDEX(상세표[연속 시간],$P1221))</f>
        <v/>
      </c>
      <c r="I1221">
        <f>IF($P1221="","",INDEX(상세표[기록 수],$P1221))</f>
        <v/>
      </c>
      <c r="J1221">
        <f>IF($P1221="","",INDEX(상세표[블록 06~07시],$P1221))</f>
        <v/>
      </c>
      <c r="K1221">
        <f>IF($P1221="","",INDEX(상세표[블록 07~18시],$P1221))</f>
        <v/>
      </c>
      <c r="L1221">
        <f>IF($P1221="","",INDEX(상세표[블록 18~22시],$P1221))</f>
        <v/>
      </c>
      <c r="M1221">
        <f>IF($P1221="","",INDEX(상세표[블록 22~06시],$P1221))</f>
        <v/>
      </c>
      <c r="N1221">
        <f>IF($P1221="","",INDEX(상세표[주말·휴일 포함],$P1221)&amp;"")</f>
        <v/>
      </c>
      <c r="O1221">
        <f>IF($P1221="","",INDEX(상세표[월 넘김 포함],$P1221)&amp;"")</f>
        <v/>
      </c>
      <c r="P1221" s="4">
        <f>IFERROR(MATCH(1216,상세표[연속순번],0),"")</f>
        <v/>
      </c>
    </row>
    <row r="1222">
      <c r="A1222">
        <f>IF($P1222="","",INDEX(상세표[사번],$P1222)&amp;"")</f>
        <v/>
      </c>
      <c r="B1222">
        <f>IF($P1222="","",INDEX(상세표[성명],$P1222)&amp;"")</f>
        <v/>
      </c>
      <c r="C1222">
        <f>IF($P1222="","",INDEX(상세표[부서],$P1222)&amp;"")</f>
        <v/>
      </c>
      <c r="D1222">
        <f>IF($P1222="","",INDEX(상세표[직위],$P1222)&amp;"")</f>
        <v/>
      </c>
      <c r="E1222">
        <f>IF($P1222="","",IF(ISNUMBER(INDEX(상세표[시작],$P1222)),TEXT(INDEX(상세표[시작],$P1222),"yyyy-mm-dd hh:mm"),INDEX(상세표[시작],$P1222)&amp;""))</f>
        <v/>
      </c>
      <c r="F1222">
        <f>IF($P1222="","",IF(ISNUMBER(INDEX(상세표[블록종료],$P1222)),TEXT(INDEX(상세표[블록종료],$P1222),"yyyy-mm-dd hh:mm"),INDEX(상세표[블록종료],$P1222)&amp;""))</f>
        <v/>
      </c>
      <c r="G1222">
        <f>IF($P1222="","",CHOOSE(WEEKDAY(INDEX(상세표[시작],$P1222)),"일","월","화","수","목","금","토"))</f>
        <v/>
      </c>
      <c r="H1222">
        <f>IF($P1222="","",INDEX(상세표[연속 시간],$P1222))</f>
        <v/>
      </c>
      <c r="I1222">
        <f>IF($P1222="","",INDEX(상세표[기록 수],$P1222))</f>
        <v/>
      </c>
      <c r="J1222">
        <f>IF($P1222="","",INDEX(상세표[블록 06~07시],$P1222))</f>
        <v/>
      </c>
      <c r="K1222">
        <f>IF($P1222="","",INDEX(상세표[블록 07~18시],$P1222))</f>
        <v/>
      </c>
      <c r="L1222">
        <f>IF($P1222="","",INDEX(상세표[블록 18~22시],$P1222))</f>
        <v/>
      </c>
      <c r="M1222">
        <f>IF($P1222="","",INDEX(상세표[블록 22~06시],$P1222))</f>
        <v/>
      </c>
      <c r="N1222">
        <f>IF($P1222="","",INDEX(상세표[주말·휴일 포함],$P1222)&amp;"")</f>
        <v/>
      </c>
      <c r="O1222">
        <f>IF($P1222="","",INDEX(상세표[월 넘김 포함],$P1222)&amp;"")</f>
        <v/>
      </c>
      <c r="P1222" s="4">
        <f>IFERROR(MATCH(1217,상세표[연속순번],0),"")</f>
        <v/>
      </c>
    </row>
    <row r="1223">
      <c r="A1223">
        <f>IF($P1223="","",INDEX(상세표[사번],$P1223)&amp;"")</f>
        <v/>
      </c>
      <c r="B1223">
        <f>IF($P1223="","",INDEX(상세표[성명],$P1223)&amp;"")</f>
        <v/>
      </c>
      <c r="C1223">
        <f>IF($P1223="","",INDEX(상세표[부서],$P1223)&amp;"")</f>
        <v/>
      </c>
      <c r="D1223">
        <f>IF($P1223="","",INDEX(상세표[직위],$P1223)&amp;"")</f>
        <v/>
      </c>
      <c r="E1223">
        <f>IF($P1223="","",IF(ISNUMBER(INDEX(상세표[시작],$P1223)),TEXT(INDEX(상세표[시작],$P1223),"yyyy-mm-dd hh:mm"),INDEX(상세표[시작],$P1223)&amp;""))</f>
        <v/>
      </c>
      <c r="F1223">
        <f>IF($P1223="","",IF(ISNUMBER(INDEX(상세표[블록종료],$P1223)),TEXT(INDEX(상세표[블록종료],$P1223),"yyyy-mm-dd hh:mm"),INDEX(상세표[블록종료],$P1223)&amp;""))</f>
        <v/>
      </c>
      <c r="G1223">
        <f>IF($P1223="","",CHOOSE(WEEKDAY(INDEX(상세표[시작],$P1223)),"일","월","화","수","목","금","토"))</f>
        <v/>
      </c>
      <c r="H1223">
        <f>IF($P1223="","",INDEX(상세표[연속 시간],$P1223))</f>
        <v/>
      </c>
      <c r="I1223">
        <f>IF($P1223="","",INDEX(상세표[기록 수],$P1223))</f>
        <v/>
      </c>
      <c r="J1223">
        <f>IF($P1223="","",INDEX(상세표[블록 06~07시],$P1223))</f>
        <v/>
      </c>
      <c r="K1223">
        <f>IF($P1223="","",INDEX(상세표[블록 07~18시],$P1223))</f>
        <v/>
      </c>
      <c r="L1223">
        <f>IF($P1223="","",INDEX(상세표[블록 18~22시],$P1223))</f>
        <v/>
      </c>
      <c r="M1223">
        <f>IF($P1223="","",INDEX(상세표[블록 22~06시],$P1223))</f>
        <v/>
      </c>
      <c r="N1223">
        <f>IF($P1223="","",INDEX(상세표[주말·휴일 포함],$P1223)&amp;"")</f>
        <v/>
      </c>
      <c r="O1223">
        <f>IF($P1223="","",INDEX(상세표[월 넘김 포함],$P1223)&amp;"")</f>
        <v/>
      </c>
      <c r="P1223" s="4">
        <f>IFERROR(MATCH(1218,상세표[연속순번],0),"")</f>
        <v/>
      </c>
    </row>
    <row r="1224">
      <c r="A1224">
        <f>IF($P1224="","",INDEX(상세표[사번],$P1224)&amp;"")</f>
        <v/>
      </c>
      <c r="B1224">
        <f>IF($P1224="","",INDEX(상세표[성명],$P1224)&amp;"")</f>
        <v/>
      </c>
      <c r="C1224">
        <f>IF($P1224="","",INDEX(상세표[부서],$P1224)&amp;"")</f>
        <v/>
      </c>
      <c r="D1224">
        <f>IF($P1224="","",INDEX(상세표[직위],$P1224)&amp;"")</f>
        <v/>
      </c>
      <c r="E1224">
        <f>IF($P1224="","",IF(ISNUMBER(INDEX(상세표[시작],$P1224)),TEXT(INDEX(상세표[시작],$P1224),"yyyy-mm-dd hh:mm"),INDEX(상세표[시작],$P1224)&amp;""))</f>
        <v/>
      </c>
      <c r="F1224">
        <f>IF($P1224="","",IF(ISNUMBER(INDEX(상세표[블록종료],$P1224)),TEXT(INDEX(상세표[블록종료],$P1224),"yyyy-mm-dd hh:mm"),INDEX(상세표[블록종료],$P1224)&amp;""))</f>
        <v/>
      </c>
      <c r="G1224">
        <f>IF($P1224="","",CHOOSE(WEEKDAY(INDEX(상세표[시작],$P1224)),"일","월","화","수","목","금","토"))</f>
        <v/>
      </c>
      <c r="H1224">
        <f>IF($P1224="","",INDEX(상세표[연속 시간],$P1224))</f>
        <v/>
      </c>
      <c r="I1224">
        <f>IF($P1224="","",INDEX(상세표[기록 수],$P1224))</f>
        <v/>
      </c>
      <c r="J1224">
        <f>IF($P1224="","",INDEX(상세표[블록 06~07시],$P1224))</f>
        <v/>
      </c>
      <c r="K1224">
        <f>IF($P1224="","",INDEX(상세표[블록 07~18시],$P1224))</f>
        <v/>
      </c>
      <c r="L1224">
        <f>IF($P1224="","",INDEX(상세표[블록 18~22시],$P1224))</f>
        <v/>
      </c>
      <c r="M1224">
        <f>IF($P1224="","",INDEX(상세표[블록 22~06시],$P1224))</f>
        <v/>
      </c>
      <c r="N1224">
        <f>IF($P1224="","",INDEX(상세표[주말·휴일 포함],$P1224)&amp;"")</f>
        <v/>
      </c>
      <c r="O1224">
        <f>IF($P1224="","",INDEX(상세표[월 넘김 포함],$P1224)&amp;"")</f>
        <v/>
      </c>
      <c r="P1224" s="4">
        <f>IFERROR(MATCH(1219,상세표[연속순번],0),"")</f>
        <v/>
      </c>
    </row>
    <row r="1225">
      <c r="A1225">
        <f>IF($P1225="","",INDEX(상세표[사번],$P1225)&amp;"")</f>
        <v/>
      </c>
      <c r="B1225">
        <f>IF($P1225="","",INDEX(상세표[성명],$P1225)&amp;"")</f>
        <v/>
      </c>
      <c r="C1225">
        <f>IF($P1225="","",INDEX(상세표[부서],$P1225)&amp;"")</f>
        <v/>
      </c>
      <c r="D1225">
        <f>IF($P1225="","",INDEX(상세표[직위],$P1225)&amp;"")</f>
        <v/>
      </c>
      <c r="E1225">
        <f>IF($P1225="","",IF(ISNUMBER(INDEX(상세표[시작],$P1225)),TEXT(INDEX(상세표[시작],$P1225),"yyyy-mm-dd hh:mm"),INDEX(상세표[시작],$P1225)&amp;""))</f>
        <v/>
      </c>
      <c r="F1225">
        <f>IF($P1225="","",IF(ISNUMBER(INDEX(상세표[블록종료],$P1225)),TEXT(INDEX(상세표[블록종료],$P1225),"yyyy-mm-dd hh:mm"),INDEX(상세표[블록종료],$P1225)&amp;""))</f>
        <v/>
      </c>
      <c r="G1225">
        <f>IF($P1225="","",CHOOSE(WEEKDAY(INDEX(상세표[시작],$P1225)),"일","월","화","수","목","금","토"))</f>
        <v/>
      </c>
      <c r="H1225">
        <f>IF($P1225="","",INDEX(상세표[연속 시간],$P1225))</f>
        <v/>
      </c>
      <c r="I1225">
        <f>IF($P1225="","",INDEX(상세표[기록 수],$P1225))</f>
        <v/>
      </c>
      <c r="J1225">
        <f>IF($P1225="","",INDEX(상세표[블록 06~07시],$P1225))</f>
        <v/>
      </c>
      <c r="K1225">
        <f>IF($P1225="","",INDEX(상세표[블록 07~18시],$P1225))</f>
        <v/>
      </c>
      <c r="L1225">
        <f>IF($P1225="","",INDEX(상세표[블록 18~22시],$P1225))</f>
        <v/>
      </c>
      <c r="M1225">
        <f>IF($P1225="","",INDEX(상세표[블록 22~06시],$P1225))</f>
        <v/>
      </c>
      <c r="N1225">
        <f>IF($P1225="","",INDEX(상세표[주말·휴일 포함],$P1225)&amp;"")</f>
        <v/>
      </c>
      <c r="O1225">
        <f>IF($P1225="","",INDEX(상세표[월 넘김 포함],$P1225)&amp;"")</f>
        <v/>
      </c>
      <c r="P1225" s="4">
        <f>IFERROR(MATCH(1220,상세표[연속순번],0),"")</f>
        <v/>
      </c>
    </row>
    <row r="1226">
      <c r="A1226">
        <f>IF($P1226="","",INDEX(상세표[사번],$P1226)&amp;"")</f>
        <v/>
      </c>
      <c r="B1226">
        <f>IF($P1226="","",INDEX(상세표[성명],$P1226)&amp;"")</f>
        <v/>
      </c>
      <c r="C1226">
        <f>IF($P1226="","",INDEX(상세표[부서],$P1226)&amp;"")</f>
        <v/>
      </c>
      <c r="D1226">
        <f>IF($P1226="","",INDEX(상세표[직위],$P1226)&amp;"")</f>
        <v/>
      </c>
      <c r="E1226">
        <f>IF($P1226="","",IF(ISNUMBER(INDEX(상세표[시작],$P1226)),TEXT(INDEX(상세표[시작],$P1226),"yyyy-mm-dd hh:mm"),INDEX(상세표[시작],$P1226)&amp;""))</f>
        <v/>
      </c>
      <c r="F1226">
        <f>IF($P1226="","",IF(ISNUMBER(INDEX(상세표[블록종료],$P1226)),TEXT(INDEX(상세표[블록종료],$P1226),"yyyy-mm-dd hh:mm"),INDEX(상세표[블록종료],$P1226)&amp;""))</f>
        <v/>
      </c>
      <c r="G1226">
        <f>IF($P1226="","",CHOOSE(WEEKDAY(INDEX(상세표[시작],$P1226)),"일","월","화","수","목","금","토"))</f>
        <v/>
      </c>
      <c r="H1226">
        <f>IF($P1226="","",INDEX(상세표[연속 시간],$P1226))</f>
        <v/>
      </c>
      <c r="I1226">
        <f>IF($P1226="","",INDEX(상세표[기록 수],$P1226))</f>
        <v/>
      </c>
      <c r="J1226">
        <f>IF($P1226="","",INDEX(상세표[블록 06~07시],$P1226))</f>
        <v/>
      </c>
      <c r="K1226">
        <f>IF($P1226="","",INDEX(상세표[블록 07~18시],$P1226))</f>
        <v/>
      </c>
      <c r="L1226">
        <f>IF($P1226="","",INDEX(상세표[블록 18~22시],$P1226))</f>
        <v/>
      </c>
      <c r="M1226">
        <f>IF($P1226="","",INDEX(상세표[블록 22~06시],$P1226))</f>
        <v/>
      </c>
      <c r="N1226">
        <f>IF($P1226="","",INDEX(상세표[주말·휴일 포함],$P1226)&amp;"")</f>
        <v/>
      </c>
      <c r="O1226">
        <f>IF($P1226="","",INDEX(상세표[월 넘김 포함],$P1226)&amp;"")</f>
        <v/>
      </c>
      <c r="P1226" s="4">
        <f>IFERROR(MATCH(1221,상세표[연속순번],0),"")</f>
        <v/>
      </c>
    </row>
    <row r="1227">
      <c r="A1227">
        <f>IF($P1227="","",INDEX(상세표[사번],$P1227)&amp;"")</f>
        <v/>
      </c>
      <c r="B1227">
        <f>IF($P1227="","",INDEX(상세표[성명],$P1227)&amp;"")</f>
        <v/>
      </c>
      <c r="C1227">
        <f>IF($P1227="","",INDEX(상세표[부서],$P1227)&amp;"")</f>
        <v/>
      </c>
      <c r="D1227">
        <f>IF($P1227="","",INDEX(상세표[직위],$P1227)&amp;"")</f>
        <v/>
      </c>
      <c r="E1227">
        <f>IF($P1227="","",IF(ISNUMBER(INDEX(상세표[시작],$P1227)),TEXT(INDEX(상세표[시작],$P1227),"yyyy-mm-dd hh:mm"),INDEX(상세표[시작],$P1227)&amp;""))</f>
        <v/>
      </c>
      <c r="F1227">
        <f>IF($P1227="","",IF(ISNUMBER(INDEX(상세표[블록종료],$P1227)),TEXT(INDEX(상세표[블록종료],$P1227),"yyyy-mm-dd hh:mm"),INDEX(상세표[블록종료],$P1227)&amp;""))</f>
        <v/>
      </c>
      <c r="G1227">
        <f>IF($P1227="","",CHOOSE(WEEKDAY(INDEX(상세표[시작],$P1227)),"일","월","화","수","목","금","토"))</f>
        <v/>
      </c>
      <c r="H1227">
        <f>IF($P1227="","",INDEX(상세표[연속 시간],$P1227))</f>
        <v/>
      </c>
      <c r="I1227">
        <f>IF($P1227="","",INDEX(상세표[기록 수],$P1227))</f>
        <v/>
      </c>
      <c r="J1227">
        <f>IF($P1227="","",INDEX(상세표[블록 06~07시],$P1227))</f>
        <v/>
      </c>
      <c r="K1227">
        <f>IF($P1227="","",INDEX(상세표[블록 07~18시],$P1227))</f>
        <v/>
      </c>
      <c r="L1227">
        <f>IF($P1227="","",INDEX(상세표[블록 18~22시],$P1227))</f>
        <v/>
      </c>
      <c r="M1227">
        <f>IF($P1227="","",INDEX(상세표[블록 22~06시],$P1227))</f>
        <v/>
      </c>
      <c r="N1227">
        <f>IF($P1227="","",INDEX(상세표[주말·휴일 포함],$P1227)&amp;"")</f>
        <v/>
      </c>
      <c r="O1227">
        <f>IF($P1227="","",INDEX(상세표[월 넘김 포함],$P1227)&amp;"")</f>
        <v/>
      </c>
      <c r="P1227" s="4">
        <f>IFERROR(MATCH(1222,상세표[연속순번],0),"")</f>
        <v/>
      </c>
    </row>
    <row r="1228">
      <c r="A1228">
        <f>IF($P1228="","",INDEX(상세표[사번],$P1228)&amp;"")</f>
        <v/>
      </c>
      <c r="B1228">
        <f>IF($P1228="","",INDEX(상세표[성명],$P1228)&amp;"")</f>
        <v/>
      </c>
      <c r="C1228">
        <f>IF($P1228="","",INDEX(상세표[부서],$P1228)&amp;"")</f>
        <v/>
      </c>
      <c r="D1228">
        <f>IF($P1228="","",INDEX(상세표[직위],$P1228)&amp;"")</f>
        <v/>
      </c>
      <c r="E1228">
        <f>IF($P1228="","",IF(ISNUMBER(INDEX(상세표[시작],$P1228)),TEXT(INDEX(상세표[시작],$P1228),"yyyy-mm-dd hh:mm"),INDEX(상세표[시작],$P1228)&amp;""))</f>
        <v/>
      </c>
      <c r="F1228">
        <f>IF($P1228="","",IF(ISNUMBER(INDEX(상세표[블록종료],$P1228)),TEXT(INDEX(상세표[블록종료],$P1228),"yyyy-mm-dd hh:mm"),INDEX(상세표[블록종료],$P1228)&amp;""))</f>
        <v/>
      </c>
      <c r="G1228">
        <f>IF($P1228="","",CHOOSE(WEEKDAY(INDEX(상세표[시작],$P1228)),"일","월","화","수","목","금","토"))</f>
        <v/>
      </c>
      <c r="H1228">
        <f>IF($P1228="","",INDEX(상세표[연속 시간],$P1228))</f>
        <v/>
      </c>
      <c r="I1228">
        <f>IF($P1228="","",INDEX(상세표[기록 수],$P1228))</f>
        <v/>
      </c>
      <c r="J1228">
        <f>IF($P1228="","",INDEX(상세표[블록 06~07시],$P1228))</f>
        <v/>
      </c>
      <c r="K1228">
        <f>IF($P1228="","",INDEX(상세표[블록 07~18시],$P1228))</f>
        <v/>
      </c>
      <c r="L1228">
        <f>IF($P1228="","",INDEX(상세표[블록 18~22시],$P1228))</f>
        <v/>
      </c>
      <c r="M1228">
        <f>IF($P1228="","",INDEX(상세표[블록 22~06시],$P1228))</f>
        <v/>
      </c>
      <c r="N1228">
        <f>IF($P1228="","",INDEX(상세표[주말·휴일 포함],$P1228)&amp;"")</f>
        <v/>
      </c>
      <c r="O1228">
        <f>IF($P1228="","",INDEX(상세표[월 넘김 포함],$P1228)&amp;"")</f>
        <v/>
      </c>
      <c r="P1228" s="4">
        <f>IFERROR(MATCH(1223,상세표[연속순번],0),"")</f>
        <v/>
      </c>
    </row>
    <row r="1229">
      <c r="A1229">
        <f>IF($P1229="","",INDEX(상세표[사번],$P1229)&amp;"")</f>
        <v/>
      </c>
      <c r="B1229">
        <f>IF($P1229="","",INDEX(상세표[성명],$P1229)&amp;"")</f>
        <v/>
      </c>
      <c r="C1229">
        <f>IF($P1229="","",INDEX(상세표[부서],$P1229)&amp;"")</f>
        <v/>
      </c>
      <c r="D1229">
        <f>IF($P1229="","",INDEX(상세표[직위],$P1229)&amp;"")</f>
        <v/>
      </c>
      <c r="E1229">
        <f>IF($P1229="","",IF(ISNUMBER(INDEX(상세표[시작],$P1229)),TEXT(INDEX(상세표[시작],$P1229),"yyyy-mm-dd hh:mm"),INDEX(상세표[시작],$P1229)&amp;""))</f>
        <v/>
      </c>
      <c r="F1229">
        <f>IF($P1229="","",IF(ISNUMBER(INDEX(상세표[블록종료],$P1229)),TEXT(INDEX(상세표[블록종료],$P1229),"yyyy-mm-dd hh:mm"),INDEX(상세표[블록종료],$P1229)&amp;""))</f>
        <v/>
      </c>
      <c r="G1229">
        <f>IF($P1229="","",CHOOSE(WEEKDAY(INDEX(상세표[시작],$P1229)),"일","월","화","수","목","금","토"))</f>
        <v/>
      </c>
      <c r="H1229">
        <f>IF($P1229="","",INDEX(상세표[연속 시간],$P1229))</f>
        <v/>
      </c>
      <c r="I1229">
        <f>IF($P1229="","",INDEX(상세표[기록 수],$P1229))</f>
        <v/>
      </c>
      <c r="J1229">
        <f>IF($P1229="","",INDEX(상세표[블록 06~07시],$P1229))</f>
        <v/>
      </c>
      <c r="K1229">
        <f>IF($P1229="","",INDEX(상세표[블록 07~18시],$P1229))</f>
        <v/>
      </c>
      <c r="L1229">
        <f>IF($P1229="","",INDEX(상세표[블록 18~22시],$P1229))</f>
        <v/>
      </c>
      <c r="M1229">
        <f>IF($P1229="","",INDEX(상세표[블록 22~06시],$P1229))</f>
        <v/>
      </c>
      <c r="N1229">
        <f>IF($P1229="","",INDEX(상세표[주말·휴일 포함],$P1229)&amp;"")</f>
        <v/>
      </c>
      <c r="O1229">
        <f>IF($P1229="","",INDEX(상세표[월 넘김 포함],$P1229)&amp;"")</f>
        <v/>
      </c>
      <c r="P1229" s="4">
        <f>IFERROR(MATCH(1224,상세표[연속순번],0),"")</f>
        <v/>
      </c>
    </row>
    <row r="1230">
      <c r="A1230">
        <f>IF($P1230="","",INDEX(상세표[사번],$P1230)&amp;"")</f>
        <v/>
      </c>
      <c r="B1230">
        <f>IF($P1230="","",INDEX(상세표[성명],$P1230)&amp;"")</f>
        <v/>
      </c>
      <c r="C1230">
        <f>IF($P1230="","",INDEX(상세표[부서],$P1230)&amp;"")</f>
        <v/>
      </c>
      <c r="D1230">
        <f>IF($P1230="","",INDEX(상세표[직위],$P1230)&amp;"")</f>
        <v/>
      </c>
      <c r="E1230">
        <f>IF($P1230="","",IF(ISNUMBER(INDEX(상세표[시작],$P1230)),TEXT(INDEX(상세표[시작],$P1230),"yyyy-mm-dd hh:mm"),INDEX(상세표[시작],$P1230)&amp;""))</f>
        <v/>
      </c>
      <c r="F1230">
        <f>IF($P1230="","",IF(ISNUMBER(INDEX(상세표[블록종료],$P1230)),TEXT(INDEX(상세표[블록종료],$P1230),"yyyy-mm-dd hh:mm"),INDEX(상세표[블록종료],$P1230)&amp;""))</f>
        <v/>
      </c>
      <c r="G1230">
        <f>IF($P1230="","",CHOOSE(WEEKDAY(INDEX(상세표[시작],$P1230)),"일","월","화","수","목","금","토"))</f>
        <v/>
      </c>
      <c r="H1230">
        <f>IF($P1230="","",INDEX(상세표[연속 시간],$P1230))</f>
        <v/>
      </c>
      <c r="I1230">
        <f>IF($P1230="","",INDEX(상세표[기록 수],$P1230))</f>
        <v/>
      </c>
      <c r="J1230">
        <f>IF($P1230="","",INDEX(상세표[블록 06~07시],$P1230))</f>
        <v/>
      </c>
      <c r="K1230">
        <f>IF($P1230="","",INDEX(상세표[블록 07~18시],$P1230))</f>
        <v/>
      </c>
      <c r="L1230">
        <f>IF($P1230="","",INDEX(상세표[블록 18~22시],$P1230))</f>
        <v/>
      </c>
      <c r="M1230">
        <f>IF($P1230="","",INDEX(상세표[블록 22~06시],$P1230))</f>
        <v/>
      </c>
      <c r="N1230">
        <f>IF($P1230="","",INDEX(상세표[주말·휴일 포함],$P1230)&amp;"")</f>
        <v/>
      </c>
      <c r="O1230">
        <f>IF($P1230="","",INDEX(상세표[월 넘김 포함],$P1230)&amp;"")</f>
        <v/>
      </c>
      <c r="P1230" s="4">
        <f>IFERROR(MATCH(1225,상세표[연속순번],0),"")</f>
        <v/>
      </c>
    </row>
    <row r="1231">
      <c r="A1231">
        <f>IF($P1231="","",INDEX(상세표[사번],$P1231)&amp;"")</f>
        <v/>
      </c>
      <c r="B1231">
        <f>IF($P1231="","",INDEX(상세표[성명],$P1231)&amp;"")</f>
        <v/>
      </c>
      <c r="C1231">
        <f>IF($P1231="","",INDEX(상세표[부서],$P1231)&amp;"")</f>
        <v/>
      </c>
      <c r="D1231">
        <f>IF($P1231="","",INDEX(상세표[직위],$P1231)&amp;"")</f>
        <v/>
      </c>
      <c r="E1231">
        <f>IF($P1231="","",IF(ISNUMBER(INDEX(상세표[시작],$P1231)),TEXT(INDEX(상세표[시작],$P1231),"yyyy-mm-dd hh:mm"),INDEX(상세표[시작],$P1231)&amp;""))</f>
        <v/>
      </c>
      <c r="F1231">
        <f>IF($P1231="","",IF(ISNUMBER(INDEX(상세표[블록종료],$P1231)),TEXT(INDEX(상세표[블록종료],$P1231),"yyyy-mm-dd hh:mm"),INDEX(상세표[블록종료],$P1231)&amp;""))</f>
        <v/>
      </c>
      <c r="G1231">
        <f>IF($P1231="","",CHOOSE(WEEKDAY(INDEX(상세표[시작],$P1231)),"일","월","화","수","목","금","토"))</f>
        <v/>
      </c>
      <c r="H1231">
        <f>IF($P1231="","",INDEX(상세표[연속 시간],$P1231))</f>
        <v/>
      </c>
      <c r="I1231">
        <f>IF($P1231="","",INDEX(상세표[기록 수],$P1231))</f>
        <v/>
      </c>
      <c r="J1231">
        <f>IF($P1231="","",INDEX(상세표[블록 06~07시],$P1231))</f>
        <v/>
      </c>
      <c r="K1231">
        <f>IF($P1231="","",INDEX(상세표[블록 07~18시],$P1231))</f>
        <v/>
      </c>
      <c r="L1231">
        <f>IF($P1231="","",INDEX(상세표[블록 18~22시],$P1231))</f>
        <v/>
      </c>
      <c r="M1231">
        <f>IF($P1231="","",INDEX(상세표[블록 22~06시],$P1231))</f>
        <v/>
      </c>
      <c r="N1231">
        <f>IF($P1231="","",INDEX(상세표[주말·휴일 포함],$P1231)&amp;"")</f>
        <v/>
      </c>
      <c r="O1231">
        <f>IF($P1231="","",INDEX(상세표[월 넘김 포함],$P1231)&amp;"")</f>
        <v/>
      </c>
      <c r="P1231" s="4">
        <f>IFERROR(MATCH(1226,상세표[연속순번],0),"")</f>
        <v/>
      </c>
    </row>
    <row r="1232">
      <c r="A1232">
        <f>IF($P1232="","",INDEX(상세표[사번],$P1232)&amp;"")</f>
        <v/>
      </c>
      <c r="B1232">
        <f>IF($P1232="","",INDEX(상세표[성명],$P1232)&amp;"")</f>
        <v/>
      </c>
      <c r="C1232">
        <f>IF($P1232="","",INDEX(상세표[부서],$P1232)&amp;"")</f>
        <v/>
      </c>
      <c r="D1232">
        <f>IF($P1232="","",INDEX(상세표[직위],$P1232)&amp;"")</f>
        <v/>
      </c>
      <c r="E1232">
        <f>IF($P1232="","",IF(ISNUMBER(INDEX(상세표[시작],$P1232)),TEXT(INDEX(상세표[시작],$P1232),"yyyy-mm-dd hh:mm"),INDEX(상세표[시작],$P1232)&amp;""))</f>
        <v/>
      </c>
      <c r="F1232">
        <f>IF($P1232="","",IF(ISNUMBER(INDEX(상세표[블록종료],$P1232)),TEXT(INDEX(상세표[블록종료],$P1232),"yyyy-mm-dd hh:mm"),INDEX(상세표[블록종료],$P1232)&amp;""))</f>
        <v/>
      </c>
      <c r="G1232">
        <f>IF($P1232="","",CHOOSE(WEEKDAY(INDEX(상세표[시작],$P1232)),"일","월","화","수","목","금","토"))</f>
        <v/>
      </c>
      <c r="H1232">
        <f>IF($P1232="","",INDEX(상세표[연속 시간],$P1232))</f>
        <v/>
      </c>
      <c r="I1232">
        <f>IF($P1232="","",INDEX(상세표[기록 수],$P1232))</f>
        <v/>
      </c>
      <c r="J1232">
        <f>IF($P1232="","",INDEX(상세표[블록 06~07시],$P1232))</f>
        <v/>
      </c>
      <c r="K1232">
        <f>IF($P1232="","",INDEX(상세표[블록 07~18시],$P1232))</f>
        <v/>
      </c>
      <c r="L1232">
        <f>IF($P1232="","",INDEX(상세표[블록 18~22시],$P1232))</f>
        <v/>
      </c>
      <c r="M1232">
        <f>IF($P1232="","",INDEX(상세표[블록 22~06시],$P1232))</f>
        <v/>
      </c>
      <c r="N1232">
        <f>IF($P1232="","",INDEX(상세표[주말·휴일 포함],$P1232)&amp;"")</f>
        <v/>
      </c>
      <c r="O1232">
        <f>IF($P1232="","",INDEX(상세표[월 넘김 포함],$P1232)&amp;"")</f>
        <v/>
      </c>
      <c r="P1232" s="4">
        <f>IFERROR(MATCH(1227,상세표[연속순번],0),"")</f>
        <v/>
      </c>
    </row>
    <row r="1233">
      <c r="A1233">
        <f>IF($P1233="","",INDEX(상세표[사번],$P1233)&amp;"")</f>
        <v/>
      </c>
      <c r="B1233">
        <f>IF($P1233="","",INDEX(상세표[성명],$P1233)&amp;"")</f>
        <v/>
      </c>
      <c r="C1233">
        <f>IF($P1233="","",INDEX(상세표[부서],$P1233)&amp;"")</f>
        <v/>
      </c>
      <c r="D1233">
        <f>IF($P1233="","",INDEX(상세표[직위],$P1233)&amp;"")</f>
        <v/>
      </c>
      <c r="E1233">
        <f>IF($P1233="","",IF(ISNUMBER(INDEX(상세표[시작],$P1233)),TEXT(INDEX(상세표[시작],$P1233),"yyyy-mm-dd hh:mm"),INDEX(상세표[시작],$P1233)&amp;""))</f>
        <v/>
      </c>
      <c r="F1233">
        <f>IF($P1233="","",IF(ISNUMBER(INDEX(상세표[블록종료],$P1233)),TEXT(INDEX(상세표[블록종료],$P1233),"yyyy-mm-dd hh:mm"),INDEX(상세표[블록종료],$P1233)&amp;""))</f>
        <v/>
      </c>
      <c r="G1233">
        <f>IF($P1233="","",CHOOSE(WEEKDAY(INDEX(상세표[시작],$P1233)),"일","월","화","수","목","금","토"))</f>
        <v/>
      </c>
      <c r="H1233">
        <f>IF($P1233="","",INDEX(상세표[연속 시간],$P1233))</f>
        <v/>
      </c>
      <c r="I1233">
        <f>IF($P1233="","",INDEX(상세표[기록 수],$P1233))</f>
        <v/>
      </c>
      <c r="J1233">
        <f>IF($P1233="","",INDEX(상세표[블록 06~07시],$P1233))</f>
        <v/>
      </c>
      <c r="K1233">
        <f>IF($P1233="","",INDEX(상세표[블록 07~18시],$P1233))</f>
        <v/>
      </c>
      <c r="L1233">
        <f>IF($P1233="","",INDEX(상세표[블록 18~22시],$P1233))</f>
        <v/>
      </c>
      <c r="M1233">
        <f>IF($P1233="","",INDEX(상세표[블록 22~06시],$P1233))</f>
        <v/>
      </c>
      <c r="N1233">
        <f>IF($P1233="","",INDEX(상세표[주말·휴일 포함],$P1233)&amp;"")</f>
        <v/>
      </c>
      <c r="O1233">
        <f>IF($P1233="","",INDEX(상세표[월 넘김 포함],$P1233)&amp;"")</f>
        <v/>
      </c>
      <c r="P1233" s="4">
        <f>IFERROR(MATCH(1228,상세표[연속순번],0),"")</f>
        <v/>
      </c>
    </row>
    <row r="1234">
      <c r="A1234">
        <f>IF($P1234="","",INDEX(상세표[사번],$P1234)&amp;"")</f>
        <v/>
      </c>
      <c r="B1234">
        <f>IF($P1234="","",INDEX(상세표[성명],$P1234)&amp;"")</f>
        <v/>
      </c>
      <c r="C1234">
        <f>IF($P1234="","",INDEX(상세표[부서],$P1234)&amp;"")</f>
        <v/>
      </c>
      <c r="D1234">
        <f>IF($P1234="","",INDEX(상세표[직위],$P1234)&amp;"")</f>
        <v/>
      </c>
      <c r="E1234">
        <f>IF($P1234="","",IF(ISNUMBER(INDEX(상세표[시작],$P1234)),TEXT(INDEX(상세표[시작],$P1234),"yyyy-mm-dd hh:mm"),INDEX(상세표[시작],$P1234)&amp;""))</f>
        <v/>
      </c>
      <c r="F1234">
        <f>IF($P1234="","",IF(ISNUMBER(INDEX(상세표[블록종료],$P1234)),TEXT(INDEX(상세표[블록종료],$P1234),"yyyy-mm-dd hh:mm"),INDEX(상세표[블록종료],$P1234)&amp;""))</f>
        <v/>
      </c>
      <c r="G1234">
        <f>IF($P1234="","",CHOOSE(WEEKDAY(INDEX(상세표[시작],$P1234)),"일","월","화","수","목","금","토"))</f>
        <v/>
      </c>
      <c r="H1234">
        <f>IF($P1234="","",INDEX(상세표[연속 시간],$P1234))</f>
        <v/>
      </c>
      <c r="I1234">
        <f>IF($P1234="","",INDEX(상세표[기록 수],$P1234))</f>
        <v/>
      </c>
      <c r="J1234">
        <f>IF($P1234="","",INDEX(상세표[블록 06~07시],$P1234))</f>
        <v/>
      </c>
      <c r="K1234">
        <f>IF($P1234="","",INDEX(상세표[블록 07~18시],$P1234))</f>
        <v/>
      </c>
      <c r="L1234">
        <f>IF($P1234="","",INDEX(상세표[블록 18~22시],$P1234))</f>
        <v/>
      </c>
      <c r="M1234">
        <f>IF($P1234="","",INDEX(상세표[블록 22~06시],$P1234))</f>
        <v/>
      </c>
      <c r="N1234">
        <f>IF($P1234="","",INDEX(상세표[주말·휴일 포함],$P1234)&amp;"")</f>
        <v/>
      </c>
      <c r="O1234">
        <f>IF($P1234="","",INDEX(상세표[월 넘김 포함],$P1234)&amp;"")</f>
        <v/>
      </c>
      <c r="P1234" s="4">
        <f>IFERROR(MATCH(1229,상세표[연속순번],0),"")</f>
        <v/>
      </c>
    </row>
    <row r="1235">
      <c r="A1235">
        <f>IF($P1235="","",INDEX(상세표[사번],$P1235)&amp;"")</f>
        <v/>
      </c>
      <c r="B1235">
        <f>IF($P1235="","",INDEX(상세표[성명],$P1235)&amp;"")</f>
        <v/>
      </c>
      <c r="C1235">
        <f>IF($P1235="","",INDEX(상세표[부서],$P1235)&amp;"")</f>
        <v/>
      </c>
      <c r="D1235">
        <f>IF($P1235="","",INDEX(상세표[직위],$P1235)&amp;"")</f>
        <v/>
      </c>
      <c r="E1235">
        <f>IF($P1235="","",IF(ISNUMBER(INDEX(상세표[시작],$P1235)),TEXT(INDEX(상세표[시작],$P1235),"yyyy-mm-dd hh:mm"),INDEX(상세표[시작],$P1235)&amp;""))</f>
        <v/>
      </c>
      <c r="F1235">
        <f>IF($P1235="","",IF(ISNUMBER(INDEX(상세표[블록종료],$P1235)),TEXT(INDEX(상세표[블록종료],$P1235),"yyyy-mm-dd hh:mm"),INDEX(상세표[블록종료],$P1235)&amp;""))</f>
        <v/>
      </c>
      <c r="G1235">
        <f>IF($P1235="","",CHOOSE(WEEKDAY(INDEX(상세표[시작],$P1235)),"일","월","화","수","목","금","토"))</f>
        <v/>
      </c>
      <c r="H1235">
        <f>IF($P1235="","",INDEX(상세표[연속 시간],$P1235))</f>
        <v/>
      </c>
      <c r="I1235">
        <f>IF($P1235="","",INDEX(상세표[기록 수],$P1235))</f>
        <v/>
      </c>
      <c r="J1235">
        <f>IF($P1235="","",INDEX(상세표[블록 06~07시],$P1235))</f>
        <v/>
      </c>
      <c r="K1235">
        <f>IF($P1235="","",INDEX(상세표[블록 07~18시],$P1235))</f>
        <v/>
      </c>
      <c r="L1235">
        <f>IF($P1235="","",INDEX(상세표[블록 18~22시],$P1235))</f>
        <v/>
      </c>
      <c r="M1235">
        <f>IF($P1235="","",INDEX(상세표[블록 22~06시],$P1235))</f>
        <v/>
      </c>
      <c r="N1235">
        <f>IF($P1235="","",INDEX(상세표[주말·휴일 포함],$P1235)&amp;"")</f>
        <v/>
      </c>
      <c r="O1235">
        <f>IF($P1235="","",INDEX(상세표[월 넘김 포함],$P1235)&amp;"")</f>
        <v/>
      </c>
      <c r="P1235" s="4">
        <f>IFERROR(MATCH(1230,상세표[연속순번],0),"")</f>
        <v/>
      </c>
    </row>
    <row r="1236">
      <c r="A1236">
        <f>IF($P1236="","",INDEX(상세표[사번],$P1236)&amp;"")</f>
        <v/>
      </c>
      <c r="B1236">
        <f>IF($P1236="","",INDEX(상세표[성명],$P1236)&amp;"")</f>
        <v/>
      </c>
      <c r="C1236">
        <f>IF($P1236="","",INDEX(상세표[부서],$P1236)&amp;"")</f>
        <v/>
      </c>
      <c r="D1236">
        <f>IF($P1236="","",INDEX(상세표[직위],$P1236)&amp;"")</f>
        <v/>
      </c>
      <c r="E1236">
        <f>IF($P1236="","",IF(ISNUMBER(INDEX(상세표[시작],$P1236)),TEXT(INDEX(상세표[시작],$P1236),"yyyy-mm-dd hh:mm"),INDEX(상세표[시작],$P1236)&amp;""))</f>
        <v/>
      </c>
      <c r="F1236">
        <f>IF($P1236="","",IF(ISNUMBER(INDEX(상세표[블록종료],$P1236)),TEXT(INDEX(상세표[블록종료],$P1236),"yyyy-mm-dd hh:mm"),INDEX(상세표[블록종료],$P1236)&amp;""))</f>
        <v/>
      </c>
      <c r="G1236">
        <f>IF($P1236="","",CHOOSE(WEEKDAY(INDEX(상세표[시작],$P1236)),"일","월","화","수","목","금","토"))</f>
        <v/>
      </c>
      <c r="H1236">
        <f>IF($P1236="","",INDEX(상세표[연속 시간],$P1236))</f>
        <v/>
      </c>
      <c r="I1236">
        <f>IF($P1236="","",INDEX(상세표[기록 수],$P1236))</f>
        <v/>
      </c>
      <c r="J1236">
        <f>IF($P1236="","",INDEX(상세표[블록 06~07시],$P1236))</f>
        <v/>
      </c>
      <c r="K1236">
        <f>IF($P1236="","",INDEX(상세표[블록 07~18시],$P1236))</f>
        <v/>
      </c>
      <c r="L1236">
        <f>IF($P1236="","",INDEX(상세표[블록 18~22시],$P1236))</f>
        <v/>
      </c>
      <c r="M1236">
        <f>IF($P1236="","",INDEX(상세표[블록 22~06시],$P1236))</f>
        <v/>
      </c>
      <c r="N1236">
        <f>IF($P1236="","",INDEX(상세표[주말·휴일 포함],$P1236)&amp;"")</f>
        <v/>
      </c>
      <c r="O1236">
        <f>IF($P1236="","",INDEX(상세표[월 넘김 포함],$P1236)&amp;"")</f>
        <v/>
      </c>
      <c r="P1236" s="4">
        <f>IFERROR(MATCH(1231,상세표[연속순번],0),"")</f>
        <v/>
      </c>
    </row>
    <row r="1237">
      <c r="A1237">
        <f>IF($P1237="","",INDEX(상세표[사번],$P1237)&amp;"")</f>
        <v/>
      </c>
      <c r="B1237">
        <f>IF($P1237="","",INDEX(상세표[성명],$P1237)&amp;"")</f>
        <v/>
      </c>
      <c r="C1237">
        <f>IF($P1237="","",INDEX(상세표[부서],$P1237)&amp;"")</f>
        <v/>
      </c>
      <c r="D1237">
        <f>IF($P1237="","",INDEX(상세표[직위],$P1237)&amp;"")</f>
        <v/>
      </c>
      <c r="E1237">
        <f>IF($P1237="","",IF(ISNUMBER(INDEX(상세표[시작],$P1237)),TEXT(INDEX(상세표[시작],$P1237),"yyyy-mm-dd hh:mm"),INDEX(상세표[시작],$P1237)&amp;""))</f>
        <v/>
      </c>
      <c r="F1237">
        <f>IF($P1237="","",IF(ISNUMBER(INDEX(상세표[블록종료],$P1237)),TEXT(INDEX(상세표[블록종료],$P1237),"yyyy-mm-dd hh:mm"),INDEX(상세표[블록종료],$P1237)&amp;""))</f>
        <v/>
      </c>
      <c r="G1237">
        <f>IF($P1237="","",CHOOSE(WEEKDAY(INDEX(상세표[시작],$P1237)),"일","월","화","수","목","금","토"))</f>
        <v/>
      </c>
      <c r="H1237">
        <f>IF($P1237="","",INDEX(상세표[연속 시간],$P1237))</f>
        <v/>
      </c>
      <c r="I1237">
        <f>IF($P1237="","",INDEX(상세표[기록 수],$P1237))</f>
        <v/>
      </c>
      <c r="J1237">
        <f>IF($P1237="","",INDEX(상세표[블록 06~07시],$P1237))</f>
        <v/>
      </c>
      <c r="K1237">
        <f>IF($P1237="","",INDEX(상세표[블록 07~18시],$P1237))</f>
        <v/>
      </c>
      <c r="L1237">
        <f>IF($P1237="","",INDEX(상세표[블록 18~22시],$P1237))</f>
        <v/>
      </c>
      <c r="M1237">
        <f>IF($P1237="","",INDEX(상세표[블록 22~06시],$P1237))</f>
        <v/>
      </c>
      <c r="N1237">
        <f>IF($P1237="","",INDEX(상세표[주말·휴일 포함],$P1237)&amp;"")</f>
        <v/>
      </c>
      <c r="O1237">
        <f>IF($P1237="","",INDEX(상세표[월 넘김 포함],$P1237)&amp;"")</f>
        <v/>
      </c>
      <c r="P1237" s="4">
        <f>IFERROR(MATCH(1232,상세표[연속순번],0),"")</f>
        <v/>
      </c>
    </row>
    <row r="1238">
      <c r="A1238">
        <f>IF($P1238="","",INDEX(상세표[사번],$P1238)&amp;"")</f>
        <v/>
      </c>
      <c r="B1238">
        <f>IF($P1238="","",INDEX(상세표[성명],$P1238)&amp;"")</f>
        <v/>
      </c>
      <c r="C1238">
        <f>IF($P1238="","",INDEX(상세표[부서],$P1238)&amp;"")</f>
        <v/>
      </c>
      <c r="D1238">
        <f>IF($P1238="","",INDEX(상세표[직위],$P1238)&amp;"")</f>
        <v/>
      </c>
      <c r="E1238">
        <f>IF($P1238="","",IF(ISNUMBER(INDEX(상세표[시작],$P1238)),TEXT(INDEX(상세표[시작],$P1238),"yyyy-mm-dd hh:mm"),INDEX(상세표[시작],$P1238)&amp;""))</f>
        <v/>
      </c>
      <c r="F1238">
        <f>IF($P1238="","",IF(ISNUMBER(INDEX(상세표[블록종료],$P1238)),TEXT(INDEX(상세표[블록종료],$P1238),"yyyy-mm-dd hh:mm"),INDEX(상세표[블록종료],$P1238)&amp;""))</f>
        <v/>
      </c>
      <c r="G1238">
        <f>IF($P1238="","",CHOOSE(WEEKDAY(INDEX(상세표[시작],$P1238)),"일","월","화","수","목","금","토"))</f>
        <v/>
      </c>
      <c r="H1238">
        <f>IF($P1238="","",INDEX(상세표[연속 시간],$P1238))</f>
        <v/>
      </c>
      <c r="I1238">
        <f>IF($P1238="","",INDEX(상세표[기록 수],$P1238))</f>
        <v/>
      </c>
      <c r="J1238">
        <f>IF($P1238="","",INDEX(상세표[블록 06~07시],$P1238))</f>
        <v/>
      </c>
      <c r="K1238">
        <f>IF($P1238="","",INDEX(상세표[블록 07~18시],$P1238))</f>
        <v/>
      </c>
      <c r="L1238">
        <f>IF($P1238="","",INDEX(상세표[블록 18~22시],$P1238))</f>
        <v/>
      </c>
      <c r="M1238">
        <f>IF($P1238="","",INDEX(상세표[블록 22~06시],$P1238))</f>
        <v/>
      </c>
      <c r="N1238">
        <f>IF($P1238="","",INDEX(상세표[주말·휴일 포함],$P1238)&amp;"")</f>
        <v/>
      </c>
      <c r="O1238">
        <f>IF($P1238="","",INDEX(상세표[월 넘김 포함],$P1238)&amp;"")</f>
        <v/>
      </c>
      <c r="P1238" s="4">
        <f>IFERROR(MATCH(1233,상세표[연속순번],0),"")</f>
        <v/>
      </c>
    </row>
    <row r="1239">
      <c r="A1239">
        <f>IF($P1239="","",INDEX(상세표[사번],$P1239)&amp;"")</f>
        <v/>
      </c>
      <c r="B1239">
        <f>IF($P1239="","",INDEX(상세표[성명],$P1239)&amp;"")</f>
        <v/>
      </c>
      <c r="C1239">
        <f>IF($P1239="","",INDEX(상세표[부서],$P1239)&amp;"")</f>
        <v/>
      </c>
      <c r="D1239">
        <f>IF($P1239="","",INDEX(상세표[직위],$P1239)&amp;"")</f>
        <v/>
      </c>
      <c r="E1239">
        <f>IF($P1239="","",IF(ISNUMBER(INDEX(상세표[시작],$P1239)),TEXT(INDEX(상세표[시작],$P1239),"yyyy-mm-dd hh:mm"),INDEX(상세표[시작],$P1239)&amp;""))</f>
        <v/>
      </c>
      <c r="F1239">
        <f>IF($P1239="","",IF(ISNUMBER(INDEX(상세표[블록종료],$P1239)),TEXT(INDEX(상세표[블록종료],$P1239),"yyyy-mm-dd hh:mm"),INDEX(상세표[블록종료],$P1239)&amp;""))</f>
        <v/>
      </c>
      <c r="G1239">
        <f>IF($P1239="","",CHOOSE(WEEKDAY(INDEX(상세표[시작],$P1239)),"일","월","화","수","목","금","토"))</f>
        <v/>
      </c>
      <c r="H1239">
        <f>IF($P1239="","",INDEX(상세표[연속 시간],$P1239))</f>
        <v/>
      </c>
      <c r="I1239">
        <f>IF($P1239="","",INDEX(상세표[기록 수],$P1239))</f>
        <v/>
      </c>
      <c r="J1239">
        <f>IF($P1239="","",INDEX(상세표[블록 06~07시],$P1239))</f>
        <v/>
      </c>
      <c r="K1239">
        <f>IF($P1239="","",INDEX(상세표[블록 07~18시],$P1239))</f>
        <v/>
      </c>
      <c r="L1239">
        <f>IF($P1239="","",INDEX(상세표[블록 18~22시],$P1239))</f>
        <v/>
      </c>
      <c r="M1239">
        <f>IF($P1239="","",INDEX(상세표[블록 22~06시],$P1239))</f>
        <v/>
      </c>
      <c r="N1239">
        <f>IF($P1239="","",INDEX(상세표[주말·휴일 포함],$P1239)&amp;"")</f>
        <v/>
      </c>
      <c r="O1239">
        <f>IF($P1239="","",INDEX(상세표[월 넘김 포함],$P1239)&amp;"")</f>
        <v/>
      </c>
      <c r="P1239" s="4">
        <f>IFERROR(MATCH(1234,상세표[연속순번],0),"")</f>
        <v/>
      </c>
    </row>
    <row r="1240">
      <c r="A1240">
        <f>IF($P1240="","",INDEX(상세표[사번],$P1240)&amp;"")</f>
        <v/>
      </c>
      <c r="B1240">
        <f>IF($P1240="","",INDEX(상세표[성명],$P1240)&amp;"")</f>
        <v/>
      </c>
      <c r="C1240">
        <f>IF($P1240="","",INDEX(상세표[부서],$P1240)&amp;"")</f>
        <v/>
      </c>
      <c r="D1240">
        <f>IF($P1240="","",INDEX(상세표[직위],$P1240)&amp;"")</f>
        <v/>
      </c>
      <c r="E1240">
        <f>IF($P1240="","",IF(ISNUMBER(INDEX(상세표[시작],$P1240)),TEXT(INDEX(상세표[시작],$P1240),"yyyy-mm-dd hh:mm"),INDEX(상세표[시작],$P1240)&amp;""))</f>
        <v/>
      </c>
      <c r="F1240">
        <f>IF($P1240="","",IF(ISNUMBER(INDEX(상세표[블록종료],$P1240)),TEXT(INDEX(상세표[블록종료],$P1240),"yyyy-mm-dd hh:mm"),INDEX(상세표[블록종료],$P1240)&amp;""))</f>
        <v/>
      </c>
      <c r="G1240">
        <f>IF($P1240="","",CHOOSE(WEEKDAY(INDEX(상세표[시작],$P1240)),"일","월","화","수","목","금","토"))</f>
        <v/>
      </c>
      <c r="H1240">
        <f>IF($P1240="","",INDEX(상세표[연속 시간],$P1240))</f>
        <v/>
      </c>
      <c r="I1240">
        <f>IF($P1240="","",INDEX(상세표[기록 수],$P1240))</f>
        <v/>
      </c>
      <c r="J1240">
        <f>IF($P1240="","",INDEX(상세표[블록 06~07시],$P1240))</f>
        <v/>
      </c>
      <c r="K1240">
        <f>IF($P1240="","",INDEX(상세표[블록 07~18시],$P1240))</f>
        <v/>
      </c>
      <c r="L1240">
        <f>IF($P1240="","",INDEX(상세표[블록 18~22시],$P1240))</f>
        <v/>
      </c>
      <c r="M1240">
        <f>IF($P1240="","",INDEX(상세표[블록 22~06시],$P1240))</f>
        <v/>
      </c>
      <c r="N1240">
        <f>IF($P1240="","",INDEX(상세표[주말·휴일 포함],$P1240)&amp;"")</f>
        <v/>
      </c>
      <c r="O1240">
        <f>IF($P1240="","",INDEX(상세표[월 넘김 포함],$P1240)&amp;"")</f>
        <v/>
      </c>
      <c r="P1240" s="4">
        <f>IFERROR(MATCH(1235,상세표[연속순번],0),"")</f>
        <v/>
      </c>
    </row>
    <row r="1241">
      <c r="A1241">
        <f>IF($P1241="","",INDEX(상세표[사번],$P1241)&amp;"")</f>
        <v/>
      </c>
      <c r="B1241">
        <f>IF($P1241="","",INDEX(상세표[성명],$P1241)&amp;"")</f>
        <v/>
      </c>
      <c r="C1241">
        <f>IF($P1241="","",INDEX(상세표[부서],$P1241)&amp;"")</f>
        <v/>
      </c>
      <c r="D1241">
        <f>IF($P1241="","",INDEX(상세표[직위],$P1241)&amp;"")</f>
        <v/>
      </c>
      <c r="E1241">
        <f>IF($P1241="","",IF(ISNUMBER(INDEX(상세표[시작],$P1241)),TEXT(INDEX(상세표[시작],$P1241),"yyyy-mm-dd hh:mm"),INDEX(상세표[시작],$P1241)&amp;""))</f>
        <v/>
      </c>
      <c r="F1241">
        <f>IF($P1241="","",IF(ISNUMBER(INDEX(상세표[블록종료],$P1241)),TEXT(INDEX(상세표[블록종료],$P1241),"yyyy-mm-dd hh:mm"),INDEX(상세표[블록종료],$P1241)&amp;""))</f>
        <v/>
      </c>
      <c r="G1241">
        <f>IF($P1241="","",CHOOSE(WEEKDAY(INDEX(상세표[시작],$P1241)),"일","월","화","수","목","금","토"))</f>
        <v/>
      </c>
      <c r="H1241">
        <f>IF($P1241="","",INDEX(상세표[연속 시간],$P1241))</f>
        <v/>
      </c>
      <c r="I1241">
        <f>IF($P1241="","",INDEX(상세표[기록 수],$P1241))</f>
        <v/>
      </c>
      <c r="J1241">
        <f>IF($P1241="","",INDEX(상세표[블록 06~07시],$P1241))</f>
        <v/>
      </c>
      <c r="K1241">
        <f>IF($P1241="","",INDEX(상세표[블록 07~18시],$P1241))</f>
        <v/>
      </c>
      <c r="L1241">
        <f>IF($P1241="","",INDEX(상세표[블록 18~22시],$P1241))</f>
        <v/>
      </c>
      <c r="M1241">
        <f>IF($P1241="","",INDEX(상세표[블록 22~06시],$P1241))</f>
        <v/>
      </c>
      <c r="N1241">
        <f>IF($P1241="","",INDEX(상세표[주말·휴일 포함],$P1241)&amp;"")</f>
        <v/>
      </c>
      <c r="O1241">
        <f>IF($P1241="","",INDEX(상세표[월 넘김 포함],$P1241)&amp;"")</f>
        <v/>
      </c>
      <c r="P1241" s="4">
        <f>IFERROR(MATCH(1236,상세표[연속순번],0),"")</f>
        <v/>
      </c>
    </row>
    <row r="1242">
      <c r="A1242">
        <f>IF($P1242="","",INDEX(상세표[사번],$P1242)&amp;"")</f>
        <v/>
      </c>
      <c r="B1242">
        <f>IF($P1242="","",INDEX(상세표[성명],$P1242)&amp;"")</f>
        <v/>
      </c>
      <c r="C1242">
        <f>IF($P1242="","",INDEX(상세표[부서],$P1242)&amp;"")</f>
        <v/>
      </c>
      <c r="D1242">
        <f>IF($P1242="","",INDEX(상세표[직위],$P1242)&amp;"")</f>
        <v/>
      </c>
      <c r="E1242">
        <f>IF($P1242="","",IF(ISNUMBER(INDEX(상세표[시작],$P1242)),TEXT(INDEX(상세표[시작],$P1242),"yyyy-mm-dd hh:mm"),INDEX(상세표[시작],$P1242)&amp;""))</f>
        <v/>
      </c>
      <c r="F1242">
        <f>IF($P1242="","",IF(ISNUMBER(INDEX(상세표[블록종료],$P1242)),TEXT(INDEX(상세표[블록종료],$P1242),"yyyy-mm-dd hh:mm"),INDEX(상세표[블록종료],$P1242)&amp;""))</f>
        <v/>
      </c>
      <c r="G1242">
        <f>IF($P1242="","",CHOOSE(WEEKDAY(INDEX(상세표[시작],$P1242)),"일","월","화","수","목","금","토"))</f>
        <v/>
      </c>
      <c r="H1242">
        <f>IF($P1242="","",INDEX(상세표[연속 시간],$P1242))</f>
        <v/>
      </c>
      <c r="I1242">
        <f>IF($P1242="","",INDEX(상세표[기록 수],$P1242))</f>
        <v/>
      </c>
      <c r="J1242">
        <f>IF($P1242="","",INDEX(상세표[블록 06~07시],$P1242))</f>
        <v/>
      </c>
      <c r="K1242">
        <f>IF($P1242="","",INDEX(상세표[블록 07~18시],$P1242))</f>
        <v/>
      </c>
      <c r="L1242">
        <f>IF($P1242="","",INDEX(상세표[블록 18~22시],$P1242))</f>
        <v/>
      </c>
      <c r="M1242">
        <f>IF($P1242="","",INDEX(상세표[블록 22~06시],$P1242))</f>
        <v/>
      </c>
      <c r="N1242">
        <f>IF($P1242="","",INDEX(상세표[주말·휴일 포함],$P1242)&amp;"")</f>
        <v/>
      </c>
      <c r="O1242">
        <f>IF($P1242="","",INDEX(상세표[월 넘김 포함],$P1242)&amp;"")</f>
        <v/>
      </c>
      <c r="P1242" s="4">
        <f>IFERROR(MATCH(1237,상세표[연속순번],0),"")</f>
        <v/>
      </c>
    </row>
    <row r="1243">
      <c r="A1243">
        <f>IF($P1243="","",INDEX(상세표[사번],$P1243)&amp;"")</f>
        <v/>
      </c>
      <c r="B1243">
        <f>IF($P1243="","",INDEX(상세표[성명],$P1243)&amp;"")</f>
        <v/>
      </c>
      <c r="C1243">
        <f>IF($P1243="","",INDEX(상세표[부서],$P1243)&amp;"")</f>
        <v/>
      </c>
      <c r="D1243">
        <f>IF($P1243="","",INDEX(상세표[직위],$P1243)&amp;"")</f>
        <v/>
      </c>
      <c r="E1243">
        <f>IF($P1243="","",IF(ISNUMBER(INDEX(상세표[시작],$P1243)),TEXT(INDEX(상세표[시작],$P1243),"yyyy-mm-dd hh:mm"),INDEX(상세표[시작],$P1243)&amp;""))</f>
        <v/>
      </c>
      <c r="F1243">
        <f>IF($P1243="","",IF(ISNUMBER(INDEX(상세표[블록종료],$P1243)),TEXT(INDEX(상세표[블록종료],$P1243),"yyyy-mm-dd hh:mm"),INDEX(상세표[블록종료],$P1243)&amp;""))</f>
        <v/>
      </c>
      <c r="G1243">
        <f>IF($P1243="","",CHOOSE(WEEKDAY(INDEX(상세표[시작],$P1243)),"일","월","화","수","목","금","토"))</f>
        <v/>
      </c>
      <c r="H1243">
        <f>IF($P1243="","",INDEX(상세표[연속 시간],$P1243))</f>
        <v/>
      </c>
      <c r="I1243">
        <f>IF($P1243="","",INDEX(상세표[기록 수],$P1243))</f>
        <v/>
      </c>
      <c r="J1243">
        <f>IF($P1243="","",INDEX(상세표[블록 06~07시],$P1243))</f>
        <v/>
      </c>
      <c r="K1243">
        <f>IF($P1243="","",INDEX(상세표[블록 07~18시],$P1243))</f>
        <v/>
      </c>
      <c r="L1243">
        <f>IF($P1243="","",INDEX(상세표[블록 18~22시],$P1243))</f>
        <v/>
      </c>
      <c r="M1243">
        <f>IF($P1243="","",INDEX(상세표[블록 22~06시],$P1243))</f>
        <v/>
      </c>
      <c r="N1243">
        <f>IF($P1243="","",INDEX(상세표[주말·휴일 포함],$P1243)&amp;"")</f>
        <v/>
      </c>
      <c r="O1243">
        <f>IF($P1243="","",INDEX(상세표[월 넘김 포함],$P1243)&amp;"")</f>
        <v/>
      </c>
      <c r="P1243" s="4">
        <f>IFERROR(MATCH(1238,상세표[연속순번],0),"")</f>
        <v/>
      </c>
    </row>
    <row r="1244">
      <c r="A1244">
        <f>IF($P1244="","",INDEX(상세표[사번],$P1244)&amp;"")</f>
        <v/>
      </c>
      <c r="B1244">
        <f>IF($P1244="","",INDEX(상세표[성명],$P1244)&amp;"")</f>
        <v/>
      </c>
      <c r="C1244">
        <f>IF($P1244="","",INDEX(상세표[부서],$P1244)&amp;"")</f>
        <v/>
      </c>
      <c r="D1244">
        <f>IF($P1244="","",INDEX(상세표[직위],$P1244)&amp;"")</f>
        <v/>
      </c>
      <c r="E1244">
        <f>IF($P1244="","",IF(ISNUMBER(INDEX(상세표[시작],$P1244)),TEXT(INDEX(상세표[시작],$P1244),"yyyy-mm-dd hh:mm"),INDEX(상세표[시작],$P1244)&amp;""))</f>
        <v/>
      </c>
      <c r="F1244">
        <f>IF($P1244="","",IF(ISNUMBER(INDEX(상세표[블록종료],$P1244)),TEXT(INDEX(상세표[블록종료],$P1244),"yyyy-mm-dd hh:mm"),INDEX(상세표[블록종료],$P1244)&amp;""))</f>
        <v/>
      </c>
      <c r="G1244">
        <f>IF($P1244="","",CHOOSE(WEEKDAY(INDEX(상세표[시작],$P1244)),"일","월","화","수","목","금","토"))</f>
        <v/>
      </c>
      <c r="H1244">
        <f>IF($P1244="","",INDEX(상세표[연속 시간],$P1244))</f>
        <v/>
      </c>
      <c r="I1244">
        <f>IF($P1244="","",INDEX(상세표[기록 수],$P1244))</f>
        <v/>
      </c>
      <c r="J1244">
        <f>IF($P1244="","",INDEX(상세표[블록 06~07시],$P1244))</f>
        <v/>
      </c>
      <c r="K1244">
        <f>IF($P1244="","",INDEX(상세표[블록 07~18시],$P1244))</f>
        <v/>
      </c>
      <c r="L1244">
        <f>IF($P1244="","",INDEX(상세표[블록 18~22시],$P1244))</f>
        <v/>
      </c>
      <c r="M1244">
        <f>IF($P1244="","",INDEX(상세표[블록 22~06시],$P1244))</f>
        <v/>
      </c>
      <c r="N1244">
        <f>IF($P1244="","",INDEX(상세표[주말·휴일 포함],$P1244)&amp;"")</f>
        <v/>
      </c>
      <c r="O1244">
        <f>IF($P1244="","",INDEX(상세표[월 넘김 포함],$P1244)&amp;"")</f>
        <v/>
      </c>
      <c r="P1244" s="4">
        <f>IFERROR(MATCH(1239,상세표[연속순번],0),"")</f>
        <v/>
      </c>
    </row>
    <row r="1245">
      <c r="A1245">
        <f>IF($P1245="","",INDEX(상세표[사번],$P1245)&amp;"")</f>
        <v/>
      </c>
      <c r="B1245">
        <f>IF($P1245="","",INDEX(상세표[성명],$P1245)&amp;"")</f>
        <v/>
      </c>
      <c r="C1245">
        <f>IF($P1245="","",INDEX(상세표[부서],$P1245)&amp;"")</f>
        <v/>
      </c>
      <c r="D1245">
        <f>IF($P1245="","",INDEX(상세표[직위],$P1245)&amp;"")</f>
        <v/>
      </c>
      <c r="E1245">
        <f>IF($P1245="","",IF(ISNUMBER(INDEX(상세표[시작],$P1245)),TEXT(INDEX(상세표[시작],$P1245),"yyyy-mm-dd hh:mm"),INDEX(상세표[시작],$P1245)&amp;""))</f>
        <v/>
      </c>
      <c r="F1245">
        <f>IF($P1245="","",IF(ISNUMBER(INDEX(상세표[블록종료],$P1245)),TEXT(INDEX(상세표[블록종료],$P1245),"yyyy-mm-dd hh:mm"),INDEX(상세표[블록종료],$P1245)&amp;""))</f>
        <v/>
      </c>
      <c r="G1245">
        <f>IF($P1245="","",CHOOSE(WEEKDAY(INDEX(상세표[시작],$P1245)),"일","월","화","수","목","금","토"))</f>
        <v/>
      </c>
      <c r="H1245">
        <f>IF($P1245="","",INDEX(상세표[연속 시간],$P1245))</f>
        <v/>
      </c>
      <c r="I1245">
        <f>IF($P1245="","",INDEX(상세표[기록 수],$P1245))</f>
        <v/>
      </c>
      <c r="J1245">
        <f>IF($P1245="","",INDEX(상세표[블록 06~07시],$P1245))</f>
        <v/>
      </c>
      <c r="K1245">
        <f>IF($P1245="","",INDEX(상세표[블록 07~18시],$P1245))</f>
        <v/>
      </c>
      <c r="L1245">
        <f>IF($P1245="","",INDEX(상세표[블록 18~22시],$P1245))</f>
        <v/>
      </c>
      <c r="M1245">
        <f>IF($P1245="","",INDEX(상세표[블록 22~06시],$P1245))</f>
        <v/>
      </c>
      <c r="N1245">
        <f>IF($P1245="","",INDEX(상세표[주말·휴일 포함],$P1245)&amp;"")</f>
        <v/>
      </c>
      <c r="O1245">
        <f>IF($P1245="","",INDEX(상세표[월 넘김 포함],$P1245)&amp;"")</f>
        <v/>
      </c>
      <c r="P1245" s="4">
        <f>IFERROR(MATCH(1240,상세표[연속순번],0),"")</f>
        <v/>
      </c>
    </row>
    <row r="1246">
      <c r="A1246">
        <f>IF($P1246="","",INDEX(상세표[사번],$P1246)&amp;"")</f>
        <v/>
      </c>
      <c r="B1246">
        <f>IF($P1246="","",INDEX(상세표[성명],$P1246)&amp;"")</f>
        <v/>
      </c>
      <c r="C1246">
        <f>IF($P1246="","",INDEX(상세표[부서],$P1246)&amp;"")</f>
        <v/>
      </c>
      <c r="D1246">
        <f>IF($P1246="","",INDEX(상세표[직위],$P1246)&amp;"")</f>
        <v/>
      </c>
      <c r="E1246">
        <f>IF($P1246="","",IF(ISNUMBER(INDEX(상세표[시작],$P1246)),TEXT(INDEX(상세표[시작],$P1246),"yyyy-mm-dd hh:mm"),INDEX(상세표[시작],$P1246)&amp;""))</f>
        <v/>
      </c>
      <c r="F1246">
        <f>IF($P1246="","",IF(ISNUMBER(INDEX(상세표[블록종료],$P1246)),TEXT(INDEX(상세표[블록종료],$P1246),"yyyy-mm-dd hh:mm"),INDEX(상세표[블록종료],$P1246)&amp;""))</f>
        <v/>
      </c>
      <c r="G1246">
        <f>IF($P1246="","",CHOOSE(WEEKDAY(INDEX(상세표[시작],$P1246)),"일","월","화","수","목","금","토"))</f>
        <v/>
      </c>
      <c r="H1246">
        <f>IF($P1246="","",INDEX(상세표[연속 시간],$P1246))</f>
        <v/>
      </c>
      <c r="I1246">
        <f>IF($P1246="","",INDEX(상세표[기록 수],$P1246))</f>
        <v/>
      </c>
      <c r="J1246">
        <f>IF($P1246="","",INDEX(상세표[블록 06~07시],$P1246))</f>
        <v/>
      </c>
      <c r="K1246">
        <f>IF($P1246="","",INDEX(상세표[블록 07~18시],$P1246))</f>
        <v/>
      </c>
      <c r="L1246">
        <f>IF($P1246="","",INDEX(상세표[블록 18~22시],$P1246))</f>
        <v/>
      </c>
      <c r="M1246">
        <f>IF($P1246="","",INDEX(상세표[블록 22~06시],$P1246))</f>
        <v/>
      </c>
      <c r="N1246">
        <f>IF($P1246="","",INDEX(상세표[주말·휴일 포함],$P1246)&amp;"")</f>
        <v/>
      </c>
      <c r="O1246">
        <f>IF($P1246="","",INDEX(상세표[월 넘김 포함],$P1246)&amp;"")</f>
        <v/>
      </c>
      <c r="P1246" s="4">
        <f>IFERROR(MATCH(1241,상세표[연속순번],0),"")</f>
        <v/>
      </c>
    </row>
    <row r="1247">
      <c r="A1247">
        <f>IF($P1247="","",INDEX(상세표[사번],$P1247)&amp;"")</f>
        <v/>
      </c>
      <c r="B1247">
        <f>IF($P1247="","",INDEX(상세표[성명],$P1247)&amp;"")</f>
        <v/>
      </c>
      <c r="C1247">
        <f>IF($P1247="","",INDEX(상세표[부서],$P1247)&amp;"")</f>
        <v/>
      </c>
      <c r="D1247">
        <f>IF($P1247="","",INDEX(상세표[직위],$P1247)&amp;"")</f>
        <v/>
      </c>
      <c r="E1247">
        <f>IF($P1247="","",IF(ISNUMBER(INDEX(상세표[시작],$P1247)),TEXT(INDEX(상세표[시작],$P1247),"yyyy-mm-dd hh:mm"),INDEX(상세표[시작],$P1247)&amp;""))</f>
        <v/>
      </c>
      <c r="F1247">
        <f>IF($P1247="","",IF(ISNUMBER(INDEX(상세표[블록종료],$P1247)),TEXT(INDEX(상세표[블록종료],$P1247),"yyyy-mm-dd hh:mm"),INDEX(상세표[블록종료],$P1247)&amp;""))</f>
        <v/>
      </c>
      <c r="G1247">
        <f>IF($P1247="","",CHOOSE(WEEKDAY(INDEX(상세표[시작],$P1247)),"일","월","화","수","목","금","토"))</f>
        <v/>
      </c>
      <c r="H1247">
        <f>IF($P1247="","",INDEX(상세표[연속 시간],$P1247))</f>
        <v/>
      </c>
      <c r="I1247">
        <f>IF($P1247="","",INDEX(상세표[기록 수],$P1247))</f>
        <v/>
      </c>
      <c r="J1247">
        <f>IF($P1247="","",INDEX(상세표[블록 06~07시],$P1247))</f>
        <v/>
      </c>
      <c r="K1247">
        <f>IF($P1247="","",INDEX(상세표[블록 07~18시],$P1247))</f>
        <v/>
      </c>
      <c r="L1247">
        <f>IF($P1247="","",INDEX(상세표[블록 18~22시],$P1247))</f>
        <v/>
      </c>
      <c r="M1247">
        <f>IF($P1247="","",INDEX(상세표[블록 22~06시],$P1247))</f>
        <v/>
      </c>
      <c r="N1247">
        <f>IF($P1247="","",INDEX(상세표[주말·휴일 포함],$P1247)&amp;"")</f>
        <v/>
      </c>
      <c r="O1247">
        <f>IF($P1247="","",INDEX(상세표[월 넘김 포함],$P1247)&amp;"")</f>
        <v/>
      </c>
      <c r="P1247" s="4">
        <f>IFERROR(MATCH(1242,상세표[연속순번],0),"")</f>
        <v/>
      </c>
    </row>
    <row r="1248">
      <c r="A1248">
        <f>IF($P1248="","",INDEX(상세표[사번],$P1248)&amp;"")</f>
        <v/>
      </c>
      <c r="B1248">
        <f>IF($P1248="","",INDEX(상세표[성명],$P1248)&amp;"")</f>
        <v/>
      </c>
      <c r="C1248">
        <f>IF($P1248="","",INDEX(상세표[부서],$P1248)&amp;"")</f>
        <v/>
      </c>
      <c r="D1248">
        <f>IF($P1248="","",INDEX(상세표[직위],$P1248)&amp;"")</f>
        <v/>
      </c>
      <c r="E1248">
        <f>IF($P1248="","",IF(ISNUMBER(INDEX(상세표[시작],$P1248)),TEXT(INDEX(상세표[시작],$P1248),"yyyy-mm-dd hh:mm"),INDEX(상세표[시작],$P1248)&amp;""))</f>
        <v/>
      </c>
      <c r="F1248">
        <f>IF($P1248="","",IF(ISNUMBER(INDEX(상세표[블록종료],$P1248)),TEXT(INDEX(상세표[블록종료],$P1248),"yyyy-mm-dd hh:mm"),INDEX(상세표[블록종료],$P1248)&amp;""))</f>
        <v/>
      </c>
      <c r="G1248">
        <f>IF($P1248="","",CHOOSE(WEEKDAY(INDEX(상세표[시작],$P1248)),"일","월","화","수","목","금","토"))</f>
        <v/>
      </c>
      <c r="H1248">
        <f>IF($P1248="","",INDEX(상세표[연속 시간],$P1248))</f>
        <v/>
      </c>
      <c r="I1248">
        <f>IF($P1248="","",INDEX(상세표[기록 수],$P1248))</f>
        <v/>
      </c>
      <c r="J1248">
        <f>IF($P1248="","",INDEX(상세표[블록 06~07시],$P1248))</f>
        <v/>
      </c>
      <c r="K1248">
        <f>IF($P1248="","",INDEX(상세표[블록 07~18시],$P1248))</f>
        <v/>
      </c>
      <c r="L1248">
        <f>IF($P1248="","",INDEX(상세표[블록 18~22시],$P1248))</f>
        <v/>
      </c>
      <c r="M1248">
        <f>IF($P1248="","",INDEX(상세표[블록 22~06시],$P1248))</f>
        <v/>
      </c>
      <c r="N1248">
        <f>IF($P1248="","",INDEX(상세표[주말·휴일 포함],$P1248)&amp;"")</f>
        <v/>
      </c>
      <c r="O1248">
        <f>IF($P1248="","",INDEX(상세표[월 넘김 포함],$P1248)&amp;"")</f>
        <v/>
      </c>
      <c r="P1248" s="4">
        <f>IFERROR(MATCH(1243,상세표[연속순번],0),"")</f>
        <v/>
      </c>
    </row>
    <row r="1249">
      <c r="A1249">
        <f>IF($P1249="","",INDEX(상세표[사번],$P1249)&amp;"")</f>
        <v/>
      </c>
      <c r="B1249">
        <f>IF($P1249="","",INDEX(상세표[성명],$P1249)&amp;"")</f>
        <v/>
      </c>
      <c r="C1249">
        <f>IF($P1249="","",INDEX(상세표[부서],$P1249)&amp;"")</f>
        <v/>
      </c>
      <c r="D1249">
        <f>IF($P1249="","",INDEX(상세표[직위],$P1249)&amp;"")</f>
        <v/>
      </c>
      <c r="E1249">
        <f>IF($P1249="","",IF(ISNUMBER(INDEX(상세표[시작],$P1249)),TEXT(INDEX(상세표[시작],$P1249),"yyyy-mm-dd hh:mm"),INDEX(상세표[시작],$P1249)&amp;""))</f>
        <v/>
      </c>
      <c r="F1249">
        <f>IF($P1249="","",IF(ISNUMBER(INDEX(상세표[블록종료],$P1249)),TEXT(INDEX(상세표[블록종료],$P1249),"yyyy-mm-dd hh:mm"),INDEX(상세표[블록종료],$P1249)&amp;""))</f>
        <v/>
      </c>
      <c r="G1249">
        <f>IF($P1249="","",CHOOSE(WEEKDAY(INDEX(상세표[시작],$P1249)),"일","월","화","수","목","금","토"))</f>
        <v/>
      </c>
      <c r="H1249">
        <f>IF($P1249="","",INDEX(상세표[연속 시간],$P1249))</f>
        <v/>
      </c>
      <c r="I1249">
        <f>IF($P1249="","",INDEX(상세표[기록 수],$P1249))</f>
        <v/>
      </c>
      <c r="J1249">
        <f>IF($P1249="","",INDEX(상세표[블록 06~07시],$P1249))</f>
        <v/>
      </c>
      <c r="K1249">
        <f>IF($P1249="","",INDEX(상세표[블록 07~18시],$P1249))</f>
        <v/>
      </c>
      <c r="L1249">
        <f>IF($P1249="","",INDEX(상세표[블록 18~22시],$P1249))</f>
        <v/>
      </c>
      <c r="M1249">
        <f>IF($P1249="","",INDEX(상세표[블록 22~06시],$P1249))</f>
        <v/>
      </c>
      <c r="N1249">
        <f>IF($P1249="","",INDEX(상세표[주말·휴일 포함],$P1249)&amp;"")</f>
        <v/>
      </c>
      <c r="O1249">
        <f>IF($P1249="","",INDEX(상세표[월 넘김 포함],$P1249)&amp;"")</f>
        <v/>
      </c>
      <c r="P1249" s="4">
        <f>IFERROR(MATCH(1244,상세표[연속순번],0),"")</f>
        <v/>
      </c>
    </row>
    <row r="1250">
      <c r="A1250">
        <f>IF($P1250="","",INDEX(상세표[사번],$P1250)&amp;"")</f>
        <v/>
      </c>
      <c r="B1250">
        <f>IF($P1250="","",INDEX(상세표[성명],$P1250)&amp;"")</f>
        <v/>
      </c>
      <c r="C1250">
        <f>IF($P1250="","",INDEX(상세표[부서],$P1250)&amp;"")</f>
        <v/>
      </c>
      <c r="D1250">
        <f>IF($P1250="","",INDEX(상세표[직위],$P1250)&amp;"")</f>
        <v/>
      </c>
      <c r="E1250">
        <f>IF($P1250="","",IF(ISNUMBER(INDEX(상세표[시작],$P1250)),TEXT(INDEX(상세표[시작],$P1250),"yyyy-mm-dd hh:mm"),INDEX(상세표[시작],$P1250)&amp;""))</f>
        <v/>
      </c>
      <c r="F1250">
        <f>IF($P1250="","",IF(ISNUMBER(INDEX(상세표[블록종료],$P1250)),TEXT(INDEX(상세표[블록종료],$P1250),"yyyy-mm-dd hh:mm"),INDEX(상세표[블록종료],$P1250)&amp;""))</f>
        <v/>
      </c>
      <c r="G1250">
        <f>IF($P1250="","",CHOOSE(WEEKDAY(INDEX(상세표[시작],$P1250)),"일","월","화","수","목","금","토"))</f>
        <v/>
      </c>
      <c r="H1250">
        <f>IF($P1250="","",INDEX(상세표[연속 시간],$P1250))</f>
        <v/>
      </c>
      <c r="I1250">
        <f>IF($P1250="","",INDEX(상세표[기록 수],$P1250))</f>
        <v/>
      </c>
      <c r="J1250">
        <f>IF($P1250="","",INDEX(상세표[블록 06~07시],$P1250))</f>
        <v/>
      </c>
      <c r="K1250">
        <f>IF($P1250="","",INDEX(상세표[블록 07~18시],$P1250))</f>
        <v/>
      </c>
      <c r="L1250">
        <f>IF($P1250="","",INDEX(상세표[블록 18~22시],$P1250))</f>
        <v/>
      </c>
      <c r="M1250">
        <f>IF($P1250="","",INDEX(상세표[블록 22~06시],$P1250))</f>
        <v/>
      </c>
      <c r="N1250">
        <f>IF($P1250="","",INDEX(상세표[주말·휴일 포함],$P1250)&amp;"")</f>
        <v/>
      </c>
      <c r="O1250">
        <f>IF($P1250="","",INDEX(상세표[월 넘김 포함],$P1250)&amp;"")</f>
        <v/>
      </c>
      <c r="P1250" s="4">
        <f>IFERROR(MATCH(1245,상세표[연속순번],0),"")</f>
        <v/>
      </c>
    </row>
    <row r="1251">
      <c r="A1251">
        <f>IF($P1251="","",INDEX(상세표[사번],$P1251)&amp;"")</f>
        <v/>
      </c>
      <c r="B1251">
        <f>IF($P1251="","",INDEX(상세표[성명],$P1251)&amp;"")</f>
        <v/>
      </c>
      <c r="C1251">
        <f>IF($P1251="","",INDEX(상세표[부서],$P1251)&amp;"")</f>
        <v/>
      </c>
      <c r="D1251">
        <f>IF($P1251="","",INDEX(상세표[직위],$P1251)&amp;"")</f>
        <v/>
      </c>
      <c r="E1251">
        <f>IF($P1251="","",IF(ISNUMBER(INDEX(상세표[시작],$P1251)),TEXT(INDEX(상세표[시작],$P1251),"yyyy-mm-dd hh:mm"),INDEX(상세표[시작],$P1251)&amp;""))</f>
        <v/>
      </c>
      <c r="F1251">
        <f>IF($P1251="","",IF(ISNUMBER(INDEX(상세표[블록종료],$P1251)),TEXT(INDEX(상세표[블록종료],$P1251),"yyyy-mm-dd hh:mm"),INDEX(상세표[블록종료],$P1251)&amp;""))</f>
        <v/>
      </c>
      <c r="G1251">
        <f>IF($P1251="","",CHOOSE(WEEKDAY(INDEX(상세표[시작],$P1251)),"일","월","화","수","목","금","토"))</f>
        <v/>
      </c>
      <c r="H1251">
        <f>IF($P1251="","",INDEX(상세표[연속 시간],$P1251))</f>
        <v/>
      </c>
      <c r="I1251">
        <f>IF($P1251="","",INDEX(상세표[기록 수],$P1251))</f>
        <v/>
      </c>
      <c r="J1251">
        <f>IF($P1251="","",INDEX(상세표[블록 06~07시],$P1251))</f>
        <v/>
      </c>
      <c r="K1251">
        <f>IF($P1251="","",INDEX(상세표[블록 07~18시],$P1251))</f>
        <v/>
      </c>
      <c r="L1251">
        <f>IF($P1251="","",INDEX(상세표[블록 18~22시],$P1251))</f>
        <v/>
      </c>
      <c r="M1251">
        <f>IF($P1251="","",INDEX(상세표[블록 22~06시],$P1251))</f>
        <v/>
      </c>
      <c r="N1251">
        <f>IF($P1251="","",INDEX(상세표[주말·휴일 포함],$P1251)&amp;"")</f>
        <v/>
      </c>
      <c r="O1251">
        <f>IF($P1251="","",INDEX(상세표[월 넘김 포함],$P1251)&amp;"")</f>
        <v/>
      </c>
      <c r="P1251" s="4">
        <f>IFERROR(MATCH(1246,상세표[연속순번],0),"")</f>
        <v/>
      </c>
    </row>
    <row r="1252">
      <c r="A1252">
        <f>IF($P1252="","",INDEX(상세표[사번],$P1252)&amp;"")</f>
        <v/>
      </c>
      <c r="B1252">
        <f>IF($P1252="","",INDEX(상세표[성명],$P1252)&amp;"")</f>
        <v/>
      </c>
      <c r="C1252">
        <f>IF($P1252="","",INDEX(상세표[부서],$P1252)&amp;"")</f>
        <v/>
      </c>
      <c r="D1252">
        <f>IF($P1252="","",INDEX(상세표[직위],$P1252)&amp;"")</f>
        <v/>
      </c>
      <c r="E1252">
        <f>IF($P1252="","",IF(ISNUMBER(INDEX(상세표[시작],$P1252)),TEXT(INDEX(상세표[시작],$P1252),"yyyy-mm-dd hh:mm"),INDEX(상세표[시작],$P1252)&amp;""))</f>
        <v/>
      </c>
      <c r="F1252">
        <f>IF($P1252="","",IF(ISNUMBER(INDEX(상세표[블록종료],$P1252)),TEXT(INDEX(상세표[블록종료],$P1252),"yyyy-mm-dd hh:mm"),INDEX(상세표[블록종료],$P1252)&amp;""))</f>
        <v/>
      </c>
      <c r="G1252">
        <f>IF($P1252="","",CHOOSE(WEEKDAY(INDEX(상세표[시작],$P1252)),"일","월","화","수","목","금","토"))</f>
        <v/>
      </c>
      <c r="H1252">
        <f>IF($P1252="","",INDEX(상세표[연속 시간],$P1252))</f>
        <v/>
      </c>
      <c r="I1252">
        <f>IF($P1252="","",INDEX(상세표[기록 수],$P1252))</f>
        <v/>
      </c>
      <c r="J1252">
        <f>IF($P1252="","",INDEX(상세표[블록 06~07시],$P1252))</f>
        <v/>
      </c>
      <c r="K1252">
        <f>IF($P1252="","",INDEX(상세표[블록 07~18시],$P1252))</f>
        <v/>
      </c>
      <c r="L1252">
        <f>IF($P1252="","",INDEX(상세표[블록 18~22시],$P1252))</f>
        <v/>
      </c>
      <c r="M1252">
        <f>IF($P1252="","",INDEX(상세표[블록 22~06시],$P1252))</f>
        <v/>
      </c>
      <c r="N1252">
        <f>IF($P1252="","",INDEX(상세표[주말·휴일 포함],$P1252)&amp;"")</f>
        <v/>
      </c>
      <c r="O1252">
        <f>IF($P1252="","",INDEX(상세표[월 넘김 포함],$P1252)&amp;"")</f>
        <v/>
      </c>
      <c r="P1252" s="4">
        <f>IFERROR(MATCH(1247,상세표[연속순번],0),"")</f>
        <v/>
      </c>
    </row>
    <row r="1253">
      <c r="A1253">
        <f>IF($P1253="","",INDEX(상세표[사번],$P1253)&amp;"")</f>
        <v/>
      </c>
      <c r="B1253">
        <f>IF($P1253="","",INDEX(상세표[성명],$P1253)&amp;"")</f>
        <v/>
      </c>
      <c r="C1253">
        <f>IF($P1253="","",INDEX(상세표[부서],$P1253)&amp;"")</f>
        <v/>
      </c>
      <c r="D1253">
        <f>IF($P1253="","",INDEX(상세표[직위],$P1253)&amp;"")</f>
        <v/>
      </c>
      <c r="E1253">
        <f>IF($P1253="","",IF(ISNUMBER(INDEX(상세표[시작],$P1253)),TEXT(INDEX(상세표[시작],$P1253),"yyyy-mm-dd hh:mm"),INDEX(상세표[시작],$P1253)&amp;""))</f>
        <v/>
      </c>
      <c r="F1253">
        <f>IF($P1253="","",IF(ISNUMBER(INDEX(상세표[블록종료],$P1253)),TEXT(INDEX(상세표[블록종료],$P1253),"yyyy-mm-dd hh:mm"),INDEX(상세표[블록종료],$P1253)&amp;""))</f>
        <v/>
      </c>
      <c r="G1253">
        <f>IF($P1253="","",CHOOSE(WEEKDAY(INDEX(상세표[시작],$P1253)),"일","월","화","수","목","금","토"))</f>
        <v/>
      </c>
      <c r="H1253">
        <f>IF($P1253="","",INDEX(상세표[연속 시간],$P1253))</f>
        <v/>
      </c>
      <c r="I1253">
        <f>IF($P1253="","",INDEX(상세표[기록 수],$P1253))</f>
        <v/>
      </c>
      <c r="J1253">
        <f>IF($P1253="","",INDEX(상세표[블록 06~07시],$P1253))</f>
        <v/>
      </c>
      <c r="K1253">
        <f>IF($P1253="","",INDEX(상세표[블록 07~18시],$P1253))</f>
        <v/>
      </c>
      <c r="L1253">
        <f>IF($P1253="","",INDEX(상세표[블록 18~22시],$P1253))</f>
        <v/>
      </c>
      <c r="M1253">
        <f>IF($P1253="","",INDEX(상세표[블록 22~06시],$P1253))</f>
        <v/>
      </c>
      <c r="N1253">
        <f>IF($P1253="","",INDEX(상세표[주말·휴일 포함],$P1253)&amp;"")</f>
        <v/>
      </c>
      <c r="O1253">
        <f>IF($P1253="","",INDEX(상세표[월 넘김 포함],$P1253)&amp;"")</f>
        <v/>
      </c>
      <c r="P1253" s="4">
        <f>IFERROR(MATCH(1248,상세표[연속순번],0),"")</f>
        <v/>
      </c>
    </row>
    <row r="1254">
      <c r="A1254">
        <f>IF($P1254="","",INDEX(상세표[사번],$P1254)&amp;"")</f>
        <v/>
      </c>
      <c r="B1254">
        <f>IF($P1254="","",INDEX(상세표[성명],$P1254)&amp;"")</f>
        <v/>
      </c>
      <c r="C1254">
        <f>IF($P1254="","",INDEX(상세표[부서],$P1254)&amp;"")</f>
        <v/>
      </c>
      <c r="D1254">
        <f>IF($P1254="","",INDEX(상세표[직위],$P1254)&amp;"")</f>
        <v/>
      </c>
      <c r="E1254">
        <f>IF($P1254="","",IF(ISNUMBER(INDEX(상세표[시작],$P1254)),TEXT(INDEX(상세표[시작],$P1254),"yyyy-mm-dd hh:mm"),INDEX(상세표[시작],$P1254)&amp;""))</f>
        <v/>
      </c>
      <c r="F1254">
        <f>IF($P1254="","",IF(ISNUMBER(INDEX(상세표[블록종료],$P1254)),TEXT(INDEX(상세표[블록종료],$P1254),"yyyy-mm-dd hh:mm"),INDEX(상세표[블록종료],$P1254)&amp;""))</f>
        <v/>
      </c>
      <c r="G1254">
        <f>IF($P1254="","",CHOOSE(WEEKDAY(INDEX(상세표[시작],$P1254)),"일","월","화","수","목","금","토"))</f>
        <v/>
      </c>
      <c r="H1254">
        <f>IF($P1254="","",INDEX(상세표[연속 시간],$P1254))</f>
        <v/>
      </c>
      <c r="I1254">
        <f>IF($P1254="","",INDEX(상세표[기록 수],$P1254))</f>
        <v/>
      </c>
      <c r="J1254">
        <f>IF($P1254="","",INDEX(상세표[블록 06~07시],$P1254))</f>
        <v/>
      </c>
      <c r="K1254">
        <f>IF($P1254="","",INDEX(상세표[블록 07~18시],$P1254))</f>
        <v/>
      </c>
      <c r="L1254">
        <f>IF($P1254="","",INDEX(상세표[블록 18~22시],$P1254))</f>
        <v/>
      </c>
      <c r="M1254">
        <f>IF($P1254="","",INDEX(상세표[블록 22~06시],$P1254))</f>
        <v/>
      </c>
      <c r="N1254">
        <f>IF($P1254="","",INDEX(상세표[주말·휴일 포함],$P1254)&amp;"")</f>
        <v/>
      </c>
      <c r="O1254">
        <f>IF($P1254="","",INDEX(상세표[월 넘김 포함],$P1254)&amp;"")</f>
        <v/>
      </c>
      <c r="P1254" s="4">
        <f>IFERROR(MATCH(1249,상세표[연속순번],0),"")</f>
        <v/>
      </c>
    </row>
    <row r="1255">
      <c r="A1255">
        <f>IF($P1255="","",INDEX(상세표[사번],$P1255)&amp;"")</f>
        <v/>
      </c>
      <c r="B1255">
        <f>IF($P1255="","",INDEX(상세표[성명],$P1255)&amp;"")</f>
        <v/>
      </c>
      <c r="C1255">
        <f>IF($P1255="","",INDEX(상세표[부서],$P1255)&amp;"")</f>
        <v/>
      </c>
      <c r="D1255">
        <f>IF($P1255="","",INDEX(상세표[직위],$P1255)&amp;"")</f>
        <v/>
      </c>
      <c r="E1255">
        <f>IF($P1255="","",IF(ISNUMBER(INDEX(상세표[시작],$P1255)),TEXT(INDEX(상세표[시작],$P1255),"yyyy-mm-dd hh:mm"),INDEX(상세표[시작],$P1255)&amp;""))</f>
        <v/>
      </c>
      <c r="F1255">
        <f>IF($P1255="","",IF(ISNUMBER(INDEX(상세표[블록종료],$P1255)),TEXT(INDEX(상세표[블록종료],$P1255),"yyyy-mm-dd hh:mm"),INDEX(상세표[블록종료],$P1255)&amp;""))</f>
        <v/>
      </c>
      <c r="G1255">
        <f>IF($P1255="","",CHOOSE(WEEKDAY(INDEX(상세표[시작],$P1255)),"일","월","화","수","목","금","토"))</f>
        <v/>
      </c>
      <c r="H1255">
        <f>IF($P1255="","",INDEX(상세표[연속 시간],$P1255))</f>
        <v/>
      </c>
      <c r="I1255">
        <f>IF($P1255="","",INDEX(상세표[기록 수],$P1255))</f>
        <v/>
      </c>
      <c r="J1255">
        <f>IF($P1255="","",INDEX(상세표[블록 06~07시],$P1255))</f>
        <v/>
      </c>
      <c r="K1255">
        <f>IF($P1255="","",INDEX(상세표[블록 07~18시],$P1255))</f>
        <v/>
      </c>
      <c r="L1255">
        <f>IF($P1255="","",INDEX(상세표[블록 18~22시],$P1255))</f>
        <v/>
      </c>
      <c r="M1255">
        <f>IF($P1255="","",INDEX(상세표[블록 22~06시],$P1255))</f>
        <v/>
      </c>
      <c r="N1255">
        <f>IF($P1255="","",INDEX(상세표[주말·휴일 포함],$P1255)&amp;"")</f>
        <v/>
      </c>
      <c r="O1255">
        <f>IF($P1255="","",INDEX(상세표[월 넘김 포함],$P1255)&amp;"")</f>
        <v/>
      </c>
      <c r="P1255" s="4">
        <f>IFERROR(MATCH(1250,상세표[연속순번],0),"")</f>
        <v/>
      </c>
    </row>
    <row r="1256">
      <c r="A1256">
        <f>IF($P1256="","",INDEX(상세표[사번],$P1256)&amp;"")</f>
        <v/>
      </c>
      <c r="B1256">
        <f>IF($P1256="","",INDEX(상세표[성명],$P1256)&amp;"")</f>
        <v/>
      </c>
      <c r="C1256">
        <f>IF($P1256="","",INDEX(상세표[부서],$P1256)&amp;"")</f>
        <v/>
      </c>
      <c r="D1256">
        <f>IF($P1256="","",INDEX(상세표[직위],$P1256)&amp;"")</f>
        <v/>
      </c>
      <c r="E1256">
        <f>IF($P1256="","",IF(ISNUMBER(INDEX(상세표[시작],$P1256)),TEXT(INDEX(상세표[시작],$P1256),"yyyy-mm-dd hh:mm"),INDEX(상세표[시작],$P1256)&amp;""))</f>
        <v/>
      </c>
      <c r="F1256">
        <f>IF($P1256="","",IF(ISNUMBER(INDEX(상세표[블록종료],$P1256)),TEXT(INDEX(상세표[블록종료],$P1256),"yyyy-mm-dd hh:mm"),INDEX(상세표[블록종료],$P1256)&amp;""))</f>
        <v/>
      </c>
      <c r="G1256">
        <f>IF($P1256="","",CHOOSE(WEEKDAY(INDEX(상세표[시작],$P1256)),"일","월","화","수","목","금","토"))</f>
        <v/>
      </c>
      <c r="H1256">
        <f>IF($P1256="","",INDEX(상세표[연속 시간],$P1256))</f>
        <v/>
      </c>
      <c r="I1256">
        <f>IF($P1256="","",INDEX(상세표[기록 수],$P1256))</f>
        <v/>
      </c>
      <c r="J1256">
        <f>IF($P1256="","",INDEX(상세표[블록 06~07시],$P1256))</f>
        <v/>
      </c>
      <c r="K1256">
        <f>IF($P1256="","",INDEX(상세표[블록 07~18시],$P1256))</f>
        <v/>
      </c>
      <c r="L1256">
        <f>IF($P1256="","",INDEX(상세표[블록 18~22시],$P1256))</f>
        <v/>
      </c>
      <c r="M1256">
        <f>IF($P1256="","",INDEX(상세표[블록 22~06시],$P1256))</f>
        <v/>
      </c>
      <c r="N1256">
        <f>IF($P1256="","",INDEX(상세표[주말·휴일 포함],$P1256)&amp;"")</f>
        <v/>
      </c>
      <c r="O1256">
        <f>IF($P1256="","",INDEX(상세표[월 넘김 포함],$P1256)&amp;"")</f>
        <v/>
      </c>
      <c r="P1256" s="4">
        <f>IFERROR(MATCH(1251,상세표[연속순번],0),"")</f>
        <v/>
      </c>
    </row>
    <row r="1257">
      <c r="A1257">
        <f>IF($P1257="","",INDEX(상세표[사번],$P1257)&amp;"")</f>
        <v/>
      </c>
      <c r="B1257">
        <f>IF($P1257="","",INDEX(상세표[성명],$P1257)&amp;"")</f>
        <v/>
      </c>
      <c r="C1257">
        <f>IF($P1257="","",INDEX(상세표[부서],$P1257)&amp;"")</f>
        <v/>
      </c>
      <c r="D1257">
        <f>IF($P1257="","",INDEX(상세표[직위],$P1257)&amp;"")</f>
        <v/>
      </c>
      <c r="E1257">
        <f>IF($P1257="","",IF(ISNUMBER(INDEX(상세표[시작],$P1257)),TEXT(INDEX(상세표[시작],$P1257),"yyyy-mm-dd hh:mm"),INDEX(상세표[시작],$P1257)&amp;""))</f>
        <v/>
      </c>
      <c r="F1257">
        <f>IF($P1257="","",IF(ISNUMBER(INDEX(상세표[블록종료],$P1257)),TEXT(INDEX(상세표[블록종료],$P1257),"yyyy-mm-dd hh:mm"),INDEX(상세표[블록종료],$P1257)&amp;""))</f>
        <v/>
      </c>
      <c r="G1257">
        <f>IF($P1257="","",CHOOSE(WEEKDAY(INDEX(상세표[시작],$P1257)),"일","월","화","수","목","금","토"))</f>
        <v/>
      </c>
      <c r="H1257">
        <f>IF($P1257="","",INDEX(상세표[연속 시간],$P1257))</f>
        <v/>
      </c>
      <c r="I1257">
        <f>IF($P1257="","",INDEX(상세표[기록 수],$P1257))</f>
        <v/>
      </c>
      <c r="J1257">
        <f>IF($P1257="","",INDEX(상세표[블록 06~07시],$P1257))</f>
        <v/>
      </c>
      <c r="K1257">
        <f>IF($P1257="","",INDEX(상세표[블록 07~18시],$P1257))</f>
        <v/>
      </c>
      <c r="L1257">
        <f>IF($P1257="","",INDEX(상세표[블록 18~22시],$P1257))</f>
        <v/>
      </c>
      <c r="M1257">
        <f>IF($P1257="","",INDEX(상세표[블록 22~06시],$P1257))</f>
        <v/>
      </c>
      <c r="N1257">
        <f>IF($P1257="","",INDEX(상세표[주말·휴일 포함],$P1257)&amp;"")</f>
        <v/>
      </c>
      <c r="O1257">
        <f>IF($P1257="","",INDEX(상세표[월 넘김 포함],$P1257)&amp;"")</f>
        <v/>
      </c>
      <c r="P1257" s="4">
        <f>IFERROR(MATCH(1252,상세표[연속순번],0),"")</f>
        <v/>
      </c>
    </row>
    <row r="1258">
      <c r="A1258">
        <f>IF($P1258="","",INDEX(상세표[사번],$P1258)&amp;"")</f>
        <v/>
      </c>
      <c r="B1258">
        <f>IF($P1258="","",INDEX(상세표[성명],$P1258)&amp;"")</f>
        <v/>
      </c>
      <c r="C1258">
        <f>IF($P1258="","",INDEX(상세표[부서],$P1258)&amp;"")</f>
        <v/>
      </c>
      <c r="D1258">
        <f>IF($P1258="","",INDEX(상세표[직위],$P1258)&amp;"")</f>
        <v/>
      </c>
      <c r="E1258">
        <f>IF($P1258="","",IF(ISNUMBER(INDEX(상세표[시작],$P1258)),TEXT(INDEX(상세표[시작],$P1258),"yyyy-mm-dd hh:mm"),INDEX(상세표[시작],$P1258)&amp;""))</f>
        <v/>
      </c>
      <c r="F1258">
        <f>IF($P1258="","",IF(ISNUMBER(INDEX(상세표[블록종료],$P1258)),TEXT(INDEX(상세표[블록종료],$P1258),"yyyy-mm-dd hh:mm"),INDEX(상세표[블록종료],$P1258)&amp;""))</f>
        <v/>
      </c>
      <c r="G1258">
        <f>IF($P1258="","",CHOOSE(WEEKDAY(INDEX(상세표[시작],$P1258)),"일","월","화","수","목","금","토"))</f>
        <v/>
      </c>
      <c r="H1258">
        <f>IF($P1258="","",INDEX(상세표[연속 시간],$P1258))</f>
        <v/>
      </c>
      <c r="I1258">
        <f>IF($P1258="","",INDEX(상세표[기록 수],$P1258))</f>
        <v/>
      </c>
      <c r="J1258">
        <f>IF($P1258="","",INDEX(상세표[블록 06~07시],$P1258))</f>
        <v/>
      </c>
      <c r="K1258">
        <f>IF($P1258="","",INDEX(상세표[블록 07~18시],$P1258))</f>
        <v/>
      </c>
      <c r="L1258">
        <f>IF($P1258="","",INDEX(상세표[블록 18~22시],$P1258))</f>
        <v/>
      </c>
      <c r="M1258">
        <f>IF($P1258="","",INDEX(상세표[블록 22~06시],$P1258))</f>
        <v/>
      </c>
      <c r="N1258">
        <f>IF($P1258="","",INDEX(상세표[주말·휴일 포함],$P1258)&amp;"")</f>
        <v/>
      </c>
      <c r="O1258">
        <f>IF($P1258="","",INDEX(상세표[월 넘김 포함],$P1258)&amp;"")</f>
        <v/>
      </c>
      <c r="P1258" s="4">
        <f>IFERROR(MATCH(1253,상세표[연속순번],0),"")</f>
        <v/>
      </c>
    </row>
    <row r="1259">
      <c r="A1259">
        <f>IF($P1259="","",INDEX(상세표[사번],$P1259)&amp;"")</f>
        <v/>
      </c>
      <c r="B1259">
        <f>IF($P1259="","",INDEX(상세표[성명],$P1259)&amp;"")</f>
        <v/>
      </c>
      <c r="C1259">
        <f>IF($P1259="","",INDEX(상세표[부서],$P1259)&amp;"")</f>
        <v/>
      </c>
      <c r="D1259">
        <f>IF($P1259="","",INDEX(상세표[직위],$P1259)&amp;"")</f>
        <v/>
      </c>
      <c r="E1259">
        <f>IF($P1259="","",IF(ISNUMBER(INDEX(상세표[시작],$P1259)),TEXT(INDEX(상세표[시작],$P1259),"yyyy-mm-dd hh:mm"),INDEX(상세표[시작],$P1259)&amp;""))</f>
        <v/>
      </c>
      <c r="F1259">
        <f>IF($P1259="","",IF(ISNUMBER(INDEX(상세표[블록종료],$P1259)),TEXT(INDEX(상세표[블록종료],$P1259),"yyyy-mm-dd hh:mm"),INDEX(상세표[블록종료],$P1259)&amp;""))</f>
        <v/>
      </c>
      <c r="G1259">
        <f>IF($P1259="","",CHOOSE(WEEKDAY(INDEX(상세표[시작],$P1259)),"일","월","화","수","목","금","토"))</f>
        <v/>
      </c>
      <c r="H1259">
        <f>IF($P1259="","",INDEX(상세표[연속 시간],$P1259))</f>
        <v/>
      </c>
      <c r="I1259">
        <f>IF($P1259="","",INDEX(상세표[기록 수],$P1259))</f>
        <v/>
      </c>
      <c r="J1259">
        <f>IF($P1259="","",INDEX(상세표[블록 06~07시],$P1259))</f>
        <v/>
      </c>
      <c r="K1259">
        <f>IF($P1259="","",INDEX(상세표[블록 07~18시],$P1259))</f>
        <v/>
      </c>
      <c r="L1259">
        <f>IF($P1259="","",INDEX(상세표[블록 18~22시],$P1259))</f>
        <v/>
      </c>
      <c r="M1259">
        <f>IF($P1259="","",INDEX(상세표[블록 22~06시],$P1259))</f>
        <v/>
      </c>
      <c r="N1259">
        <f>IF($P1259="","",INDEX(상세표[주말·휴일 포함],$P1259)&amp;"")</f>
        <v/>
      </c>
      <c r="O1259">
        <f>IF($P1259="","",INDEX(상세표[월 넘김 포함],$P1259)&amp;"")</f>
        <v/>
      </c>
      <c r="P1259" s="4">
        <f>IFERROR(MATCH(1254,상세표[연속순번],0),"")</f>
        <v/>
      </c>
    </row>
    <row r="1260">
      <c r="A1260">
        <f>IF($P1260="","",INDEX(상세표[사번],$P1260)&amp;"")</f>
        <v/>
      </c>
      <c r="B1260">
        <f>IF($P1260="","",INDEX(상세표[성명],$P1260)&amp;"")</f>
        <v/>
      </c>
      <c r="C1260">
        <f>IF($P1260="","",INDEX(상세표[부서],$P1260)&amp;"")</f>
        <v/>
      </c>
      <c r="D1260">
        <f>IF($P1260="","",INDEX(상세표[직위],$P1260)&amp;"")</f>
        <v/>
      </c>
      <c r="E1260">
        <f>IF($P1260="","",IF(ISNUMBER(INDEX(상세표[시작],$P1260)),TEXT(INDEX(상세표[시작],$P1260),"yyyy-mm-dd hh:mm"),INDEX(상세표[시작],$P1260)&amp;""))</f>
        <v/>
      </c>
      <c r="F1260">
        <f>IF($P1260="","",IF(ISNUMBER(INDEX(상세표[블록종료],$P1260)),TEXT(INDEX(상세표[블록종료],$P1260),"yyyy-mm-dd hh:mm"),INDEX(상세표[블록종료],$P1260)&amp;""))</f>
        <v/>
      </c>
      <c r="G1260">
        <f>IF($P1260="","",CHOOSE(WEEKDAY(INDEX(상세표[시작],$P1260)),"일","월","화","수","목","금","토"))</f>
        <v/>
      </c>
      <c r="H1260">
        <f>IF($P1260="","",INDEX(상세표[연속 시간],$P1260))</f>
        <v/>
      </c>
      <c r="I1260">
        <f>IF($P1260="","",INDEX(상세표[기록 수],$P1260))</f>
        <v/>
      </c>
      <c r="J1260">
        <f>IF($P1260="","",INDEX(상세표[블록 06~07시],$P1260))</f>
        <v/>
      </c>
      <c r="K1260">
        <f>IF($P1260="","",INDEX(상세표[블록 07~18시],$P1260))</f>
        <v/>
      </c>
      <c r="L1260">
        <f>IF($P1260="","",INDEX(상세표[블록 18~22시],$P1260))</f>
        <v/>
      </c>
      <c r="M1260">
        <f>IF($P1260="","",INDEX(상세표[블록 22~06시],$P1260))</f>
        <v/>
      </c>
      <c r="N1260">
        <f>IF($P1260="","",INDEX(상세표[주말·휴일 포함],$P1260)&amp;"")</f>
        <v/>
      </c>
      <c r="O1260">
        <f>IF($P1260="","",INDEX(상세표[월 넘김 포함],$P1260)&amp;"")</f>
        <v/>
      </c>
      <c r="P1260" s="4">
        <f>IFERROR(MATCH(1255,상세표[연속순번],0),"")</f>
        <v/>
      </c>
    </row>
    <row r="1261">
      <c r="A1261">
        <f>IF($P1261="","",INDEX(상세표[사번],$P1261)&amp;"")</f>
        <v/>
      </c>
      <c r="B1261">
        <f>IF($P1261="","",INDEX(상세표[성명],$P1261)&amp;"")</f>
        <v/>
      </c>
      <c r="C1261">
        <f>IF($P1261="","",INDEX(상세표[부서],$P1261)&amp;"")</f>
        <v/>
      </c>
      <c r="D1261">
        <f>IF($P1261="","",INDEX(상세표[직위],$P1261)&amp;"")</f>
        <v/>
      </c>
      <c r="E1261">
        <f>IF($P1261="","",IF(ISNUMBER(INDEX(상세표[시작],$P1261)),TEXT(INDEX(상세표[시작],$P1261),"yyyy-mm-dd hh:mm"),INDEX(상세표[시작],$P1261)&amp;""))</f>
        <v/>
      </c>
      <c r="F1261">
        <f>IF($P1261="","",IF(ISNUMBER(INDEX(상세표[블록종료],$P1261)),TEXT(INDEX(상세표[블록종료],$P1261),"yyyy-mm-dd hh:mm"),INDEX(상세표[블록종료],$P1261)&amp;""))</f>
        <v/>
      </c>
      <c r="G1261">
        <f>IF($P1261="","",CHOOSE(WEEKDAY(INDEX(상세표[시작],$P1261)),"일","월","화","수","목","금","토"))</f>
        <v/>
      </c>
      <c r="H1261">
        <f>IF($P1261="","",INDEX(상세표[연속 시간],$P1261))</f>
        <v/>
      </c>
      <c r="I1261">
        <f>IF($P1261="","",INDEX(상세표[기록 수],$P1261))</f>
        <v/>
      </c>
      <c r="J1261">
        <f>IF($P1261="","",INDEX(상세표[블록 06~07시],$P1261))</f>
        <v/>
      </c>
      <c r="K1261">
        <f>IF($P1261="","",INDEX(상세표[블록 07~18시],$P1261))</f>
        <v/>
      </c>
      <c r="L1261">
        <f>IF($P1261="","",INDEX(상세표[블록 18~22시],$P1261))</f>
        <v/>
      </c>
      <c r="M1261">
        <f>IF($P1261="","",INDEX(상세표[블록 22~06시],$P1261))</f>
        <v/>
      </c>
      <c r="N1261">
        <f>IF($P1261="","",INDEX(상세표[주말·휴일 포함],$P1261)&amp;"")</f>
        <v/>
      </c>
      <c r="O1261">
        <f>IF($P1261="","",INDEX(상세표[월 넘김 포함],$P1261)&amp;"")</f>
        <v/>
      </c>
      <c r="P1261" s="4">
        <f>IFERROR(MATCH(1256,상세표[연속순번],0),"")</f>
        <v/>
      </c>
    </row>
    <row r="1262">
      <c r="A1262">
        <f>IF($P1262="","",INDEX(상세표[사번],$P1262)&amp;"")</f>
        <v/>
      </c>
      <c r="B1262">
        <f>IF($P1262="","",INDEX(상세표[성명],$P1262)&amp;"")</f>
        <v/>
      </c>
      <c r="C1262">
        <f>IF($P1262="","",INDEX(상세표[부서],$P1262)&amp;"")</f>
        <v/>
      </c>
      <c r="D1262">
        <f>IF($P1262="","",INDEX(상세표[직위],$P1262)&amp;"")</f>
        <v/>
      </c>
      <c r="E1262">
        <f>IF($P1262="","",IF(ISNUMBER(INDEX(상세표[시작],$P1262)),TEXT(INDEX(상세표[시작],$P1262),"yyyy-mm-dd hh:mm"),INDEX(상세표[시작],$P1262)&amp;""))</f>
        <v/>
      </c>
      <c r="F1262">
        <f>IF($P1262="","",IF(ISNUMBER(INDEX(상세표[블록종료],$P1262)),TEXT(INDEX(상세표[블록종료],$P1262),"yyyy-mm-dd hh:mm"),INDEX(상세표[블록종료],$P1262)&amp;""))</f>
        <v/>
      </c>
      <c r="G1262">
        <f>IF($P1262="","",CHOOSE(WEEKDAY(INDEX(상세표[시작],$P1262)),"일","월","화","수","목","금","토"))</f>
        <v/>
      </c>
      <c r="H1262">
        <f>IF($P1262="","",INDEX(상세표[연속 시간],$P1262))</f>
        <v/>
      </c>
      <c r="I1262">
        <f>IF($P1262="","",INDEX(상세표[기록 수],$P1262))</f>
        <v/>
      </c>
      <c r="J1262">
        <f>IF($P1262="","",INDEX(상세표[블록 06~07시],$P1262))</f>
        <v/>
      </c>
      <c r="K1262">
        <f>IF($P1262="","",INDEX(상세표[블록 07~18시],$P1262))</f>
        <v/>
      </c>
      <c r="L1262">
        <f>IF($P1262="","",INDEX(상세표[블록 18~22시],$P1262))</f>
        <v/>
      </c>
      <c r="M1262">
        <f>IF($P1262="","",INDEX(상세표[블록 22~06시],$P1262))</f>
        <v/>
      </c>
      <c r="N1262">
        <f>IF($P1262="","",INDEX(상세표[주말·휴일 포함],$P1262)&amp;"")</f>
        <v/>
      </c>
      <c r="O1262">
        <f>IF($P1262="","",INDEX(상세표[월 넘김 포함],$P1262)&amp;"")</f>
        <v/>
      </c>
      <c r="P1262" s="4">
        <f>IFERROR(MATCH(1257,상세표[연속순번],0),"")</f>
        <v/>
      </c>
    </row>
    <row r="1263">
      <c r="A1263">
        <f>IF($P1263="","",INDEX(상세표[사번],$P1263)&amp;"")</f>
        <v/>
      </c>
      <c r="B1263">
        <f>IF($P1263="","",INDEX(상세표[성명],$P1263)&amp;"")</f>
        <v/>
      </c>
      <c r="C1263">
        <f>IF($P1263="","",INDEX(상세표[부서],$P1263)&amp;"")</f>
        <v/>
      </c>
      <c r="D1263">
        <f>IF($P1263="","",INDEX(상세표[직위],$P1263)&amp;"")</f>
        <v/>
      </c>
      <c r="E1263">
        <f>IF($P1263="","",IF(ISNUMBER(INDEX(상세표[시작],$P1263)),TEXT(INDEX(상세표[시작],$P1263),"yyyy-mm-dd hh:mm"),INDEX(상세표[시작],$P1263)&amp;""))</f>
        <v/>
      </c>
      <c r="F1263">
        <f>IF($P1263="","",IF(ISNUMBER(INDEX(상세표[블록종료],$P1263)),TEXT(INDEX(상세표[블록종료],$P1263),"yyyy-mm-dd hh:mm"),INDEX(상세표[블록종료],$P1263)&amp;""))</f>
        <v/>
      </c>
      <c r="G1263">
        <f>IF($P1263="","",CHOOSE(WEEKDAY(INDEX(상세표[시작],$P1263)),"일","월","화","수","목","금","토"))</f>
        <v/>
      </c>
      <c r="H1263">
        <f>IF($P1263="","",INDEX(상세표[연속 시간],$P1263))</f>
        <v/>
      </c>
      <c r="I1263">
        <f>IF($P1263="","",INDEX(상세표[기록 수],$P1263))</f>
        <v/>
      </c>
      <c r="J1263">
        <f>IF($P1263="","",INDEX(상세표[블록 06~07시],$P1263))</f>
        <v/>
      </c>
      <c r="K1263">
        <f>IF($P1263="","",INDEX(상세표[블록 07~18시],$P1263))</f>
        <v/>
      </c>
      <c r="L1263">
        <f>IF($P1263="","",INDEX(상세표[블록 18~22시],$P1263))</f>
        <v/>
      </c>
      <c r="M1263">
        <f>IF($P1263="","",INDEX(상세표[블록 22~06시],$P1263))</f>
        <v/>
      </c>
      <c r="N1263">
        <f>IF($P1263="","",INDEX(상세표[주말·휴일 포함],$P1263)&amp;"")</f>
        <v/>
      </c>
      <c r="O1263">
        <f>IF($P1263="","",INDEX(상세표[월 넘김 포함],$P1263)&amp;"")</f>
        <v/>
      </c>
      <c r="P1263" s="4">
        <f>IFERROR(MATCH(1258,상세표[연속순번],0),"")</f>
        <v/>
      </c>
    </row>
    <row r="1264">
      <c r="A1264">
        <f>IF($P1264="","",INDEX(상세표[사번],$P1264)&amp;"")</f>
        <v/>
      </c>
      <c r="B1264">
        <f>IF($P1264="","",INDEX(상세표[성명],$P1264)&amp;"")</f>
        <v/>
      </c>
      <c r="C1264">
        <f>IF($P1264="","",INDEX(상세표[부서],$P1264)&amp;"")</f>
        <v/>
      </c>
      <c r="D1264">
        <f>IF($P1264="","",INDEX(상세표[직위],$P1264)&amp;"")</f>
        <v/>
      </c>
      <c r="E1264">
        <f>IF($P1264="","",IF(ISNUMBER(INDEX(상세표[시작],$P1264)),TEXT(INDEX(상세표[시작],$P1264),"yyyy-mm-dd hh:mm"),INDEX(상세표[시작],$P1264)&amp;""))</f>
        <v/>
      </c>
      <c r="F1264">
        <f>IF($P1264="","",IF(ISNUMBER(INDEX(상세표[블록종료],$P1264)),TEXT(INDEX(상세표[블록종료],$P1264),"yyyy-mm-dd hh:mm"),INDEX(상세표[블록종료],$P1264)&amp;""))</f>
        <v/>
      </c>
      <c r="G1264">
        <f>IF($P1264="","",CHOOSE(WEEKDAY(INDEX(상세표[시작],$P1264)),"일","월","화","수","목","금","토"))</f>
        <v/>
      </c>
      <c r="H1264">
        <f>IF($P1264="","",INDEX(상세표[연속 시간],$P1264))</f>
        <v/>
      </c>
      <c r="I1264">
        <f>IF($P1264="","",INDEX(상세표[기록 수],$P1264))</f>
        <v/>
      </c>
      <c r="J1264">
        <f>IF($P1264="","",INDEX(상세표[블록 06~07시],$P1264))</f>
        <v/>
      </c>
      <c r="K1264">
        <f>IF($P1264="","",INDEX(상세표[블록 07~18시],$P1264))</f>
        <v/>
      </c>
      <c r="L1264">
        <f>IF($P1264="","",INDEX(상세표[블록 18~22시],$P1264))</f>
        <v/>
      </c>
      <c r="M1264">
        <f>IF($P1264="","",INDEX(상세표[블록 22~06시],$P1264))</f>
        <v/>
      </c>
      <c r="N1264">
        <f>IF($P1264="","",INDEX(상세표[주말·휴일 포함],$P1264)&amp;"")</f>
        <v/>
      </c>
      <c r="O1264">
        <f>IF($P1264="","",INDEX(상세표[월 넘김 포함],$P1264)&amp;"")</f>
        <v/>
      </c>
      <c r="P1264" s="4">
        <f>IFERROR(MATCH(1259,상세표[연속순번],0),"")</f>
        <v/>
      </c>
    </row>
    <row r="1265">
      <c r="A1265">
        <f>IF($P1265="","",INDEX(상세표[사번],$P1265)&amp;"")</f>
        <v/>
      </c>
      <c r="B1265">
        <f>IF($P1265="","",INDEX(상세표[성명],$P1265)&amp;"")</f>
        <v/>
      </c>
      <c r="C1265">
        <f>IF($P1265="","",INDEX(상세표[부서],$P1265)&amp;"")</f>
        <v/>
      </c>
      <c r="D1265">
        <f>IF($P1265="","",INDEX(상세표[직위],$P1265)&amp;"")</f>
        <v/>
      </c>
      <c r="E1265">
        <f>IF($P1265="","",IF(ISNUMBER(INDEX(상세표[시작],$P1265)),TEXT(INDEX(상세표[시작],$P1265),"yyyy-mm-dd hh:mm"),INDEX(상세표[시작],$P1265)&amp;""))</f>
        <v/>
      </c>
      <c r="F1265">
        <f>IF($P1265="","",IF(ISNUMBER(INDEX(상세표[블록종료],$P1265)),TEXT(INDEX(상세표[블록종료],$P1265),"yyyy-mm-dd hh:mm"),INDEX(상세표[블록종료],$P1265)&amp;""))</f>
        <v/>
      </c>
      <c r="G1265">
        <f>IF($P1265="","",CHOOSE(WEEKDAY(INDEX(상세표[시작],$P1265)),"일","월","화","수","목","금","토"))</f>
        <v/>
      </c>
      <c r="H1265">
        <f>IF($P1265="","",INDEX(상세표[연속 시간],$P1265))</f>
        <v/>
      </c>
      <c r="I1265">
        <f>IF($P1265="","",INDEX(상세표[기록 수],$P1265))</f>
        <v/>
      </c>
      <c r="J1265">
        <f>IF($P1265="","",INDEX(상세표[블록 06~07시],$P1265))</f>
        <v/>
      </c>
      <c r="K1265">
        <f>IF($P1265="","",INDEX(상세표[블록 07~18시],$P1265))</f>
        <v/>
      </c>
      <c r="L1265">
        <f>IF($P1265="","",INDEX(상세표[블록 18~22시],$P1265))</f>
        <v/>
      </c>
      <c r="M1265">
        <f>IF($P1265="","",INDEX(상세표[블록 22~06시],$P1265))</f>
        <v/>
      </c>
      <c r="N1265">
        <f>IF($P1265="","",INDEX(상세표[주말·휴일 포함],$P1265)&amp;"")</f>
        <v/>
      </c>
      <c r="O1265">
        <f>IF($P1265="","",INDEX(상세표[월 넘김 포함],$P1265)&amp;"")</f>
        <v/>
      </c>
      <c r="P1265" s="4">
        <f>IFERROR(MATCH(1260,상세표[연속순번],0),"")</f>
        <v/>
      </c>
    </row>
    <row r="1266">
      <c r="A1266">
        <f>IF($P1266="","",INDEX(상세표[사번],$P1266)&amp;"")</f>
        <v/>
      </c>
      <c r="B1266">
        <f>IF($P1266="","",INDEX(상세표[성명],$P1266)&amp;"")</f>
        <v/>
      </c>
      <c r="C1266">
        <f>IF($P1266="","",INDEX(상세표[부서],$P1266)&amp;"")</f>
        <v/>
      </c>
      <c r="D1266">
        <f>IF($P1266="","",INDEX(상세표[직위],$P1266)&amp;"")</f>
        <v/>
      </c>
      <c r="E1266">
        <f>IF($P1266="","",IF(ISNUMBER(INDEX(상세표[시작],$P1266)),TEXT(INDEX(상세표[시작],$P1266),"yyyy-mm-dd hh:mm"),INDEX(상세표[시작],$P1266)&amp;""))</f>
        <v/>
      </c>
      <c r="F1266">
        <f>IF($P1266="","",IF(ISNUMBER(INDEX(상세표[블록종료],$P1266)),TEXT(INDEX(상세표[블록종료],$P1266),"yyyy-mm-dd hh:mm"),INDEX(상세표[블록종료],$P1266)&amp;""))</f>
        <v/>
      </c>
      <c r="G1266">
        <f>IF($P1266="","",CHOOSE(WEEKDAY(INDEX(상세표[시작],$P1266)),"일","월","화","수","목","금","토"))</f>
        <v/>
      </c>
      <c r="H1266">
        <f>IF($P1266="","",INDEX(상세표[연속 시간],$P1266))</f>
        <v/>
      </c>
      <c r="I1266">
        <f>IF($P1266="","",INDEX(상세표[기록 수],$P1266))</f>
        <v/>
      </c>
      <c r="J1266">
        <f>IF($P1266="","",INDEX(상세표[블록 06~07시],$P1266))</f>
        <v/>
      </c>
      <c r="K1266">
        <f>IF($P1266="","",INDEX(상세표[블록 07~18시],$P1266))</f>
        <v/>
      </c>
      <c r="L1266">
        <f>IF($P1266="","",INDEX(상세표[블록 18~22시],$P1266))</f>
        <v/>
      </c>
      <c r="M1266">
        <f>IF($P1266="","",INDEX(상세표[블록 22~06시],$P1266))</f>
        <v/>
      </c>
      <c r="N1266">
        <f>IF($P1266="","",INDEX(상세표[주말·휴일 포함],$P1266)&amp;"")</f>
        <v/>
      </c>
      <c r="O1266">
        <f>IF($P1266="","",INDEX(상세표[월 넘김 포함],$P1266)&amp;"")</f>
        <v/>
      </c>
      <c r="P1266" s="4">
        <f>IFERROR(MATCH(1261,상세표[연속순번],0),"")</f>
        <v/>
      </c>
    </row>
    <row r="1267">
      <c r="A1267">
        <f>IF($P1267="","",INDEX(상세표[사번],$P1267)&amp;"")</f>
        <v/>
      </c>
      <c r="B1267">
        <f>IF($P1267="","",INDEX(상세표[성명],$P1267)&amp;"")</f>
        <v/>
      </c>
      <c r="C1267">
        <f>IF($P1267="","",INDEX(상세표[부서],$P1267)&amp;"")</f>
        <v/>
      </c>
      <c r="D1267">
        <f>IF($P1267="","",INDEX(상세표[직위],$P1267)&amp;"")</f>
        <v/>
      </c>
      <c r="E1267">
        <f>IF($P1267="","",IF(ISNUMBER(INDEX(상세표[시작],$P1267)),TEXT(INDEX(상세표[시작],$P1267),"yyyy-mm-dd hh:mm"),INDEX(상세표[시작],$P1267)&amp;""))</f>
        <v/>
      </c>
      <c r="F1267">
        <f>IF($P1267="","",IF(ISNUMBER(INDEX(상세표[블록종료],$P1267)),TEXT(INDEX(상세표[블록종료],$P1267),"yyyy-mm-dd hh:mm"),INDEX(상세표[블록종료],$P1267)&amp;""))</f>
        <v/>
      </c>
      <c r="G1267">
        <f>IF($P1267="","",CHOOSE(WEEKDAY(INDEX(상세표[시작],$P1267)),"일","월","화","수","목","금","토"))</f>
        <v/>
      </c>
      <c r="H1267">
        <f>IF($P1267="","",INDEX(상세표[연속 시간],$P1267))</f>
        <v/>
      </c>
      <c r="I1267">
        <f>IF($P1267="","",INDEX(상세표[기록 수],$P1267))</f>
        <v/>
      </c>
      <c r="J1267">
        <f>IF($P1267="","",INDEX(상세표[블록 06~07시],$P1267))</f>
        <v/>
      </c>
      <c r="K1267">
        <f>IF($P1267="","",INDEX(상세표[블록 07~18시],$P1267))</f>
        <v/>
      </c>
      <c r="L1267">
        <f>IF($P1267="","",INDEX(상세표[블록 18~22시],$P1267))</f>
        <v/>
      </c>
      <c r="M1267">
        <f>IF($P1267="","",INDEX(상세표[블록 22~06시],$P1267))</f>
        <v/>
      </c>
      <c r="N1267">
        <f>IF($P1267="","",INDEX(상세표[주말·휴일 포함],$P1267)&amp;"")</f>
        <v/>
      </c>
      <c r="O1267">
        <f>IF($P1267="","",INDEX(상세표[월 넘김 포함],$P1267)&amp;"")</f>
        <v/>
      </c>
      <c r="P1267" s="4">
        <f>IFERROR(MATCH(1262,상세표[연속순번],0),"")</f>
        <v/>
      </c>
    </row>
    <row r="1268">
      <c r="A1268">
        <f>IF($P1268="","",INDEX(상세표[사번],$P1268)&amp;"")</f>
        <v/>
      </c>
      <c r="B1268">
        <f>IF($P1268="","",INDEX(상세표[성명],$P1268)&amp;"")</f>
        <v/>
      </c>
      <c r="C1268">
        <f>IF($P1268="","",INDEX(상세표[부서],$P1268)&amp;"")</f>
        <v/>
      </c>
      <c r="D1268">
        <f>IF($P1268="","",INDEX(상세표[직위],$P1268)&amp;"")</f>
        <v/>
      </c>
      <c r="E1268">
        <f>IF($P1268="","",IF(ISNUMBER(INDEX(상세표[시작],$P1268)),TEXT(INDEX(상세표[시작],$P1268),"yyyy-mm-dd hh:mm"),INDEX(상세표[시작],$P1268)&amp;""))</f>
        <v/>
      </c>
      <c r="F1268">
        <f>IF($P1268="","",IF(ISNUMBER(INDEX(상세표[블록종료],$P1268)),TEXT(INDEX(상세표[블록종료],$P1268),"yyyy-mm-dd hh:mm"),INDEX(상세표[블록종료],$P1268)&amp;""))</f>
        <v/>
      </c>
      <c r="G1268">
        <f>IF($P1268="","",CHOOSE(WEEKDAY(INDEX(상세표[시작],$P1268)),"일","월","화","수","목","금","토"))</f>
        <v/>
      </c>
      <c r="H1268">
        <f>IF($P1268="","",INDEX(상세표[연속 시간],$P1268))</f>
        <v/>
      </c>
      <c r="I1268">
        <f>IF($P1268="","",INDEX(상세표[기록 수],$P1268))</f>
        <v/>
      </c>
      <c r="J1268">
        <f>IF($P1268="","",INDEX(상세표[블록 06~07시],$P1268))</f>
        <v/>
      </c>
      <c r="K1268">
        <f>IF($P1268="","",INDEX(상세표[블록 07~18시],$P1268))</f>
        <v/>
      </c>
      <c r="L1268">
        <f>IF($P1268="","",INDEX(상세표[블록 18~22시],$P1268))</f>
        <v/>
      </c>
      <c r="M1268">
        <f>IF($P1268="","",INDEX(상세표[블록 22~06시],$P1268))</f>
        <v/>
      </c>
      <c r="N1268">
        <f>IF($P1268="","",INDEX(상세표[주말·휴일 포함],$P1268)&amp;"")</f>
        <v/>
      </c>
      <c r="O1268">
        <f>IF($P1268="","",INDEX(상세표[월 넘김 포함],$P1268)&amp;"")</f>
        <v/>
      </c>
      <c r="P1268" s="4">
        <f>IFERROR(MATCH(1263,상세표[연속순번],0),"")</f>
        <v/>
      </c>
    </row>
    <row r="1269">
      <c r="A1269">
        <f>IF($P1269="","",INDEX(상세표[사번],$P1269)&amp;"")</f>
        <v/>
      </c>
      <c r="B1269">
        <f>IF($P1269="","",INDEX(상세표[성명],$P1269)&amp;"")</f>
        <v/>
      </c>
      <c r="C1269">
        <f>IF($P1269="","",INDEX(상세표[부서],$P1269)&amp;"")</f>
        <v/>
      </c>
      <c r="D1269">
        <f>IF($P1269="","",INDEX(상세표[직위],$P1269)&amp;"")</f>
        <v/>
      </c>
      <c r="E1269">
        <f>IF($P1269="","",IF(ISNUMBER(INDEX(상세표[시작],$P1269)),TEXT(INDEX(상세표[시작],$P1269),"yyyy-mm-dd hh:mm"),INDEX(상세표[시작],$P1269)&amp;""))</f>
        <v/>
      </c>
      <c r="F1269">
        <f>IF($P1269="","",IF(ISNUMBER(INDEX(상세표[블록종료],$P1269)),TEXT(INDEX(상세표[블록종료],$P1269),"yyyy-mm-dd hh:mm"),INDEX(상세표[블록종료],$P1269)&amp;""))</f>
        <v/>
      </c>
      <c r="G1269">
        <f>IF($P1269="","",CHOOSE(WEEKDAY(INDEX(상세표[시작],$P1269)),"일","월","화","수","목","금","토"))</f>
        <v/>
      </c>
      <c r="H1269">
        <f>IF($P1269="","",INDEX(상세표[연속 시간],$P1269))</f>
        <v/>
      </c>
      <c r="I1269">
        <f>IF($P1269="","",INDEX(상세표[기록 수],$P1269))</f>
        <v/>
      </c>
      <c r="J1269">
        <f>IF($P1269="","",INDEX(상세표[블록 06~07시],$P1269))</f>
        <v/>
      </c>
      <c r="K1269">
        <f>IF($P1269="","",INDEX(상세표[블록 07~18시],$P1269))</f>
        <v/>
      </c>
      <c r="L1269">
        <f>IF($P1269="","",INDEX(상세표[블록 18~22시],$P1269))</f>
        <v/>
      </c>
      <c r="M1269">
        <f>IF($P1269="","",INDEX(상세표[블록 22~06시],$P1269))</f>
        <v/>
      </c>
      <c r="N1269">
        <f>IF($P1269="","",INDEX(상세표[주말·휴일 포함],$P1269)&amp;"")</f>
        <v/>
      </c>
      <c r="O1269">
        <f>IF($P1269="","",INDEX(상세표[월 넘김 포함],$P1269)&amp;"")</f>
        <v/>
      </c>
      <c r="P1269" s="4">
        <f>IFERROR(MATCH(1264,상세표[연속순번],0),"")</f>
        <v/>
      </c>
    </row>
    <row r="1270">
      <c r="A1270">
        <f>IF($P1270="","",INDEX(상세표[사번],$P1270)&amp;"")</f>
        <v/>
      </c>
      <c r="B1270">
        <f>IF($P1270="","",INDEX(상세표[성명],$P1270)&amp;"")</f>
        <v/>
      </c>
      <c r="C1270">
        <f>IF($P1270="","",INDEX(상세표[부서],$P1270)&amp;"")</f>
        <v/>
      </c>
      <c r="D1270">
        <f>IF($P1270="","",INDEX(상세표[직위],$P1270)&amp;"")</f>
        <v/>
      </c>
      <c r="E1270">
        <f>IF($P1270="","",IF(ISNUMBER(INDEX(상세표[시작],$P1270)),TEXT(INDEX(상세표[시작],$P1270),"yyyy-mm-dd hh:mm"),INDEX(상세표[시작],$P1270)&amp;""))</f>
        <v/>
      </c>
      <c r="F1270">
        <f>IF($P1270="","",IF(ISNUMBER(INDEX(상세표[블록종료],$P1270)),TEXT(INDEX(상세표[블록종료],$P1270),"yyyy-mm-dd hh:mm"),INDEX(상세표[블록종료],$P1270)&amp;""))</f>
        <v/>
      </c>
      <c r="G1270">
        <f>IF($P1270="","",CHOOSE(WEEKDAY(INDEX(상세표[시작],$P1270)),"일","월","화","수","목","금","토"))</f>
        <v/>
      </c>
      <c r="H1270">
        <f>IF($P1270="","",INDEX(상세표[연속 시간],$P1270))</f>
        <v/>
      </c>
      <c r="I1270">
        <f>IF($P1270="","",INDEX(상세표[기록 수],$P1270))</f>
        <v/>
      </c>
      <c r="J1270">
        <f>IF($P1270="","",INDEX(상세표[블록 06~07시],$P1270))</f>
        <v/>
      </c>
      <c r="K1270">
        <f>IF($P1270="","",INDEX(상세표[블록 07~18시],$P1270))</f>
        <v/>
      </c>
      <c r="L1270">
        <f>IF($P1270="","",INDEX(상세표[블록 18~22시],$P1270))</f>
        <v/>
      </c>
      <c r="M1270">
        <f>IF($P1270="","",INDEX(상세표[블록 22~06시],$P1270))</f>
        <v/>
      </c>
      <c r="N1270">
        <f>IF($P1270="","",INDEX(상세표[주말·휴일 포함],$P1270)&amp;"")</f>
        <v/>
      </c>
      <c r="O1270">
        <f>IF($P1270="","",INDEX(상세표[월 넘김 포함],$P1270)&amp;"")</f>
        <v/>
      </c>
      <c r="P1270" s="4">
        <f>IFERROR(MATCH(1265,상세표[연속순번],0),"")</f>
        <v/>
      </c>
    </row>
    <row r="1271">
      <c r="A1271">
        <f>IF($P1271="","",INDEX(상세표[사번],$P1271)&amp;"")</f>
        <v/>
      </c>
      <c r="B1271">
        <f>IF($P1271="","",INDEX(상세표[성명],$P1271)&amp;"")</f>
        <v/>
      </c>
      <c r="C1271">
        <f>IF($P1271="","",INDEX(상세표[부서],$P1271)&amp;"")</f>
        <v/>
      </c>
      <c r="D1271">
        <f>IF($P1271="","",INDEX(상세표[직위],$P1271)&amp;"")</f>
        <v/>
      </c>
      <c r="E1271">
        <f>IF($P1271="","",IF(ISNUMBER(INDEX(상세표[시작],$P1271)),TEXT(INDEX(상세표[시작],$P1271),"yyyy-mm-dd hh:mm"),INDEX(상세표[시작],$P1271)&amp;""))</f>
        <v/>
      </c>
      <c r="F1271">
        <f>IF($P1271="","",IF(ISNUMBER(INDEX(상세표[블록종료],$P1271)),TEXT(INDEX(상세표[블록종료],$P1271),"yyyy-mm-dd hh:mm"),INDEX(상세표[블록종료],$P1271)&amp;""))</f>
        <v/>
      </c>
      <c r="G1271">
        <f>IF($P1271="","",CHOOSE(WEEKDAY(INDEX(상세표[시작],$P1271)),"일","월","화","수","목","금","토"))</f>
        <v/>
      </c>
      <c r="H1271">
        <f>IF($P1271="","",INDEX(상세표[연속 시간],$P1271))</f>
        <v/>
      </c>
      <c r="I1271">
        <f>IF($P1271="","",INDEX(상세표[기록 수],$P1271))</f>
        <v/>
      </c>
      <c r="J1271">
        <f>IF($P1271="","",INDEX(상세표[블록 06~07시],$P1271))</f>
        <v/>
      </c>
      <c r="K1271">
        <f>IF($P1271="","",INDEX(상세표[블록 07~18시],$P1271))</f>
        <v/>
      </c>
      <c r="L1271">
        <f>IF($P1271="","",INDEX(상세표[블록 18~22시],$P1271))</f>
        <v/>
      </c>
      <c r="M1271">
        <f>IF($P1271="","",INDEX(상세표[블록 22~06시],$P1271))</f>
        <v/>
      </c>
      <c r="N1271">
        <f>IF($P1271="","",INDEX(상세표[주말·휴일 포함],$P1271)&amp;"")</f>
        <v/>
      </c>
      <c r="O1271">
        <f>IF($P1271="","",INDEX(상세표[월 넘김 포함],$P1271)&amp;"")</f>
        <v/>
      </c>
      <c r="P1271" s="4">
        <f>IFERROR(MATCH(1266,상세표[연속순번],0),"")</f>
        <v/>
      </c>
    </row>
    <row r="1272">
      <c r="A1272">
        <f>IF($P1272="","",INDEX(상세표[사번],$P1272)&amp;"")</f>
        <v/>
      </c>
      <c r="B1272">
        <f>IF($P1272="","",INDEX(상세표[성명],$P1272)&amp;"")</f>
        <v/>
      </c>
      <c r="C1272">
        <f>IF($P1272="","",INDEX(상세표[부서],$P1272)&amp;"")</f>
        <v/>
      </c>
      <c r="D1272">
        <f>IF($P1272="","",INDEX(상세표[직위],$P1272)&amp;"")</f>
        <v/>
      </c>
      <c r="E1272">
        <f>IF($P1272="","",IF(ISNUMBER(INDEX(상세표[시작],$P1272)),TEXT(INDEX(상세표[시작],$P1272),"yyyy-mm-dd hh:mm"),INDEX(상세표[시작],$P1272)&amp;""))</f>
        <v/>
      </c>
      <c r="F1272">
        <f>IF($P1272="","",IF(ISNUMBER(INDEX(상세표[블록종료],$P1272)),TEXT(INDEX(상세표[블록종료],$P1272),"yyyy-mm-dd hh:mm"),INDEX(상세표[블록종료],$P1272)&amp;""))</f>
        <v/>
      </c>
      <c r="G1272">
        <f>IF($P1272="","",CHOOSE(WEEKDAY(INDEX(상세표[시작],$P1272)),"일","월","화","수","목","금","토"))</f>
        <v/>
      </c>
      <c r="H1272">
        <f>IF($P1272="","",INDEX(상세표[연속 시간],$P1272))</f>
        <v/>
      </c>
      <c r="I1272">
        <f>IF($P1272="","",INDEX(상세표[기록 수],$P1272))</f>
        <v/>
      </c>
      <c r="J1272">
        <f>IF($P1272="","",INDEX(상세표[블록 06~07시],$P1272))</f>
        <v/>
      </c>
      <c r="K1272">
        <f>IF($P1272="","",INDEX(상세표[블록 07~18시],$P1272))</f>
        <v/>
      </c>
      <c r="L1272">
        <f>IF($P1272="","",INDEX(상세표[블록 18~22시],$P1272))</f>
        <v/>
      </c>
      <c r="M1272">
        <f>IF($P1272="","",INDEX(상세표[블록 22~06시],$P1272))</f>
        <v/>
      </c>
      <c r="N1272">
        <f>IF($P1272="","",INDEX(상세표[주말·휴일 포함],$P1272)&amp;"")</f>
        <v/>
      </c>
      <c r="O1272">
        <f>IF($P1272="","",INDEX(상세표[월 넘김 포함],$P1272)&amp;"")</f>
        <v/>
      </c>
      <c r="P1272" s="4">
        <f>IFERROR(MATCH(1267,상세표[연속순번],0),"")</f>
        <v/>
      </c>
    </row>
    <row r="1273">
      <c r="A1273">
        <f>IF($P1273="","",INDEX(상세표[사번],$P1273)&amp;"")</f>
        <v/>
      </c>
      <c r="B1273">
        <f>IF($P1273="","",INDEX(상세표[성명],$P1273)&amp;"")</f>
        <v/>
      </c>
      <c r="C1273">
        <f>IF($P1273="","",INDEX(상세표[부서],$P1273)&amp;"")</f>
        <v/>
      </c>
      <c r="D1273">
        <f>IF($P1273="","",INDEX(상세표[직위],$P1273)&amp;"")</f>
        <v/>
      </c>
      <c r="E1273">
        <f>IF($P1273="","",IF(ISNUMBER(INDEX(상세표[시작],$P1273)),TEXT(INDEX(상세표[시작],$P1273),"yyyy-mm-dd hh:mm"),INDEX(상세표[시작],$P1273)&amp;""))</f>
        <v/>
      </c>
      <c r="F1273">
        <f>IF($P1273="","",IF(ISNUMBER(INDEX(상세표[블록종료],$P1273)),TEXT(INDEX(상세표[블록종료],$P1273),"yyyy-mm-dd hh:mm"),INDEX(상세표[블록종료],$P1273)&amp;""))</f>
        <v/>
      </c>
      <c r="G1273">
        <f>IF($P1273="","",CHOOSE(WEEKDAY(INDEX(상세표[시작],$P1273)),"일","월","화","수","목","금","토"))</f>
        <v/>
      </c>
      <c r="H1273">
        <f>IF($P1273="","",INDEX(상세표[연속 시간],$P1273))</f>
        <v/>
      </c>
      <c r="I1273">
        <f>IF($P1273="","",INDEX(상세표[기록 수],$P1273))</f>
        <v/>
      </c>
      <c r="J1273">
        <f>IF($P1273="","",INDEX(상세표[블록 06~07시],$P1273))</f>
        <v/>
      </c>
      <c r="K1273">
        <f>IF($P1273="","",INDEX(상세표[블록 07~18시],$P1273))</f>
        <v/>
      </c>
      <c r="L1273">
        <f>IF($P1273="","",INDEX(상세표[블록 18~22시],$P1273))</f>
        <v/>
      </c>
      <c r="M1273">
        <f>IF($P1273="","",INDEX(상세표[블록 22~06시],$P1273))</f>
        <v/>
      </c>
      <c r="N1273">
        <f>IF($P1273="","",INDEX(상세표[주말·휴일 포함],$P1273)&amp;"")</f>
        <v/>
      </c>
      <c r="O1273">
        <f>IF($P1273="","",INDEX(상세표[월 넘김 포함],$P1273)&amp;"")</f>
        <v/>
      </c>
      <c r="P1273" s="4">
        <f>IFERROR(MATCH(1268,상세표[연속순번],0),"")</f>
        <v/>
      </c>
    </row>
    <row r="1274">
      <c r="A1274">
        <f>IF($P1274="","",INDEX(상세표[사번],$P1274)&amp;"")</f>
        <v/>
      </c>
      <c r="B1274">
        <f>IF($P1274="","",INDEX(상세표[성명],$P1274)&amp;"")</f>
        <v/>
      </c>
      <c r="C1274">
        <f>IF($P1274="","",INDEX(상세표[부서],$P1274)&amp;"")</f>
        <v/>
      </c>
      <c r="D1274">
        <f>IF($P1274="","",INDEX(상세표[직위],$P1274)&amp;"")</f>
        <v/>
      </c>
      <c r="E1274">
        <f>IF($P1274="","",IF(ISNUMBER(INDEX(상세표[시작],$P1274)),TEXT(INDEX(상세표[시작],$P1274),"yyyy-mm-dd hh:mm"),INDEX(상세표[시작],$P1274)&amp;""))</f>
        <v/>
      </c>
      <c r="F1274">
        <f>IF($P1274="","",IF(ISNUMBER(INDEX(상세표[블록종료],$P1274)),TEXT(INDEX(상세표[블록종료],$P1274),"yyyy-mm-dd hh:mm"),INDEX(상세표[블록종료],$P1274)&amp;""))</f>
        <v/>
      </c>
      <c r="G1274">
        <f>IF($P1274="","",CHOOSE(WEEKDAY(INDEX(상세표[시작],$P1274)),"일","월","화","수","목","금","토"))</f>
        <v/>
      </c>
      <c r="H1274">
        <f>IF($P1274="","",INDEX(상세표[연속 시간],$P1274))</f>
        <v/>
      </c>
      <c r="I1274">
        <f>IF($P1274="","",INDEX(상세표[기록 수],$P1274))</f>
        <v/>
      </c>
      <c r="J1274">
        <f>IF($P1274="","",INDEX(상세표[블록 06~07시],$P1274))</f>
        <v/>
      </c>
      <c r="K1274">
        <f>IF($P1274="","",INDEX(상세표[블록 07~18시],$P1274))</f>
        <v/>
      </c>
      <c r="L1274">
        <f>IF($P1274="","",INDEX(상세표[블록 18~22시],$P1274))</f>
        <v/>
      </c>
      <c r="M1274">
        <f>IF($P1274="","",INDEX(상세표[블록 22~06시],$P1274))</f>
        <v/>
      </c>
      <c r="N1274">
        <f>IF($P1274="","",INDEX(상세표[주말·휴일 포함],$P1274)&amp;"")</f>
        <v/>
      </c>
      <c r="O1274">
        <f>IF($P1274="","",INDEX(상세표[월 넘김 포함],$P1274)&amp;"")</f>
        <v/>
      </c>
      <c r="P1274" s="4">
        <f>IFERROR(MATCH(1269,상세표[연속순번],0),"")</f>
        <v/>
      </c>
    </row>
    <row r="1275">
      <c r="A1275">
        <f>IF($P1275="","",INDEX(상세표[사번],$P1275)&amp;"")</f>
        <v/>
      </c>
      <c r="B1275">
        <f>IF($P1275="","",INDEX(상세표[성명],$P1275)&amp;"")</f>
        <v/>
      </c>
      <c r="C1275">
        <f>IF($P1275="","",INDEX(상세표[부서],$P1275)&amp;"")</f>
        <v/>
      </c>
      <c r="D1275">
        <f>IF($P1275="","",INDEX(상세표[직위],$P1275)&amp;"")</f>
        <v/>
      </c>
      <c r="E1275">
        <f>IF($P1275="","",IF(ISNUMBER(INDEX(상세표[시작],$P1275)),TEXT(INDEX(상세표[시작],$P1275),"yyyy-mm-dd hh:mm"),INDEX(상세표[시작],$P1275)&amp;""))</f>
        <v/>
      </c>
      <c r="F1275">
        <f>IF($P1275="","",IF(ISNUMBER(INDEX(상세표[블록종료],$P1275)),TEXT(INDEX(상세표[블록종료],$P1275),"yyyy-mm-dd hh:mm"),INDEX(상세표[블록종료],$P1275)&amp;""))</f>
        <v/>
      </c>
      <c r="G1275">
        <f>IF($P1275="","",CHOOSE(WEEKDAY(INDEX(상세표[시작],$P1275)),"일","월","화","수","목","금","토"))</f>
        <v/>
      </c>
      <c r="H1275">
        <f>IF($P1275="","",INDEX(상세표[연속 시간],$P1275))</f>
        <v/>
      </c>
      <c r="I1275">
        <f>IF($P1275="","",INDEX(상세표[기록 수],$P1275))</f>
        <v/>
      </c>
      <c r="J1275">
        <f>IF($P1275="","",INDEX(상세표[블록 06~07시],$P1275))</f>
        <v/>
      </c>
      <c r="K1275">
        <f>IF($P1275="","",INDEX(상세표[블록 07~18시],$P1275))</f>
        <v/>
      </c>
      <c r="L1275">
        <f>IF($P1275="","",INDEX(상세표[블록 18~22시],$P1275))</f>
        <v/>
      </c>
      <c r="M1275">
        <f>IF($P1275="","",INDEX(상세표[블록 22~06시],$P1275))</f>
        <v/>
      </c>
      <c r="N1275">
        <f>IF($P1275="","",INDEX(상세표[주말·휴일 포함],$P1275)&amp;"")</f>
        <v/>
      </c>
      <c r="O1275">
        <f>IF($P1275="","",INDEX(상세표[월 넘김 포함],$P1275)&amp;"")</f>
        <v/>
      </c>
      <c r="P1275" s="4">
        <f>IFERROR(MATCH(1270,상세표[연속순번],0),"")</f>
        <v/>
      </c>
    </row>
    <row r="1276">
      <c r="A1276">
        <f>IF($P1276="","",INDEX(상세표[사번],$P1276)&amp;"")</f>
        <v/>
      </c>
      <c r="B1276">
        <f>IF($P1276="","",INDEX(상세표[성명],$P1276)&amp;"")</f>
        <v/>
      </c>
      <c r="C1276">
        <f>IF($P1276="","",INDEX(상세표[부서],$P1276)&amp;"")</f>
        <v/>
      </c>
      <c r="D1276">
        <f>IF($P1276="","",INDEX(상세표[직위],$P1276)&amp;"")</f>
        <v/>
      </c>
      <c r="E1276">
        <f>IF($P1276="","",IF(ISNUMBER(INDEX(상세표[시작],$P1276)),TEXT(INDEX(상세표[시작],$P1276),"yyyy-mm-dd hh:mm"),INDEX(상세표[시작],$P1276)&amp;""))</f>
        <v/>
      </c>
      <c r="F1276">
        <f>IF($P1276="","",IF(ISNUMBER(INDEX(상세표[블록종료],$P1276)),TEXT(INDEX(상세표[블록종료],$P1276),"yyyy-mm-dd hh:mm"),INDEX(상세표[블록종료],$P1276)&amp;""))</f>
        <v/>
      </c>
      <c r="G1276">
        <f>IF($P1276="","",CHOOSE(WEEKDAY(INDEX(상세표[시작],$P1276)),"일","월","화","수","목","금","토"))</f>
        <v/>
      </c>
      <c r="H1276">
        <f>IF($P1276="","",INDEX(상세표[연속 시간],$P1276))</f>
        <v/>
      </c>
      <c r="I1276">
        <f>IF($P1276="","",INDEX(상세표[기록 수],$P1276))</f>
        <v/>
      </c>
      <c r="J1276">
        <f>IF($P1276="","",INDEX(상세표[블록 06~07시],$P1276))</f>
        <v/>
      </c>
      <c r="K1276">
        <f>IF($P1276="","",INDEX(상세표[블록 07~18시],$P1276))</f>
        <v/>
      </c>
      <c r="L1276">
        <f>IF($P1276="","",INDEX(상세표[블록 18~22시],$P1276))</f>
        <v/>
      </c>
      <c r="M1276">
        <f>IF($P1276="","",INDEX(상세표[블록 22~06시],$P1276))</f>
        <v/>
      </c>
      <c r="N1276">
        <f>IF($P1276="","",INDEX(상세표[주말·휴일 포함],$P1276)&amp;"")</f>
        <v/>
      </c>
      <c r="O1276">
        <f>IF($P1276="","",INDEX(상세표[월 넘김 포함],$P1276)&amp;"")</f>
        <v/>
      </c>
      <c r="P1276" s="4">
        <f>IFERROR(MATCH(1271,상세표[연속순번],0),"")</f>
        <v/>
      </c>
    </row>
    <row r="1277">
      <c r="A1277">
        <f>IF($P1277="","",INDEX(상세표[사번],$P1277)&amp;"")</f>
        <v/>
      </c>
      <c r="B1277">
        <f>IF($P1277="","",INDEX(상세표[성명],$P1277)&amp;"")</f>
        <v/>
      </c>
      <c r="C1277">
        <f>IF($P1277="","",INDEX(상세표[부서],$P1277)&amp;"")</f>
        <v/>
      </c>
      <c r="D1277">
        <f>IF($P1277="","",INDEX(상세표[직위],$P1277)&amp;"")</f>
        <v/>
      </c>
      <c r="E1277">
        <f>IF($P1277="","",IF(ISNUMBER(INDEX(상세표[시작],$P1277)),TEXT(INDEX(상세표[시작],$P1277),"yyyy-mm-dd hh:mm"),INDEX(상세표[시작],$P1277)&amp;""))</f>
        <v/>
      </c>
      <c r="F1277">
        <f>IF($P1277="","",IF(ISNUMBER(INDEX(상세표[블록종료],$P1277)),TEXT(INDEX(상세표[블록종료],$P1277),"yyyy-mm-dd hh:mm"),INDEX(상세표[블록종료],$P1277)&amp;""))</f>
        <v/>
      </c>
      <c r="G1277">
        <f>IF($P1277="","",CHOOSE(WEEKDAY(INDEX(상세표[시작],$P1277)),"일","월","화","수","목","금","토"))</f>
        <v/>
      </c>
      <c r="H1277">
        <f>IF($P1277="","",INDEX(상세표[연속 시간],$P1277))</f>
        <v/>
      </c>
      <c r="I1277">
        <f>IF($P1277="","",INDEX(상세표[기록 수],$P1277))</f>
        <v/>
      </c>
      <c r="J1277">
        <f>IF($P1277="","",INDEX(상세표[블록 06~07시],$P1277))</f>
        <v/>
      </c>
      <c r="K1277">
        <f>IF($P1277="","",INDEX(상세표[블록 07~18시],$P1277))</f>
        <v/>
      </c>
      <c r="L1277">
        <f>IF($P1277="","",INDEX(상세표[블록 18~22시],$P1277))</f>
        <v/>
      </c>
      <c r="M1277">
        <f>IF($P1277="","",INDEX(상세표[블록 22~06시],$P1277))</f>
        <v/>
      </c>
      <c r="N1277">
        <f>IF($P1277="","",INDEX(상세표[주말·휴일 포함],$P1277)&amp;"")</f>
        <v/>
      </c>
      <c r="O1277">
        <f>IF($P1277="","",INDEX(상세표[월 넘김 포함],$P1277)&amp;"")</f>
        <v/>
      </c>
      <c r="P1277" s="4">
        <f>IFERROR(MATCH(1272,상세표[연속순번],0),"")</f>
        <v/>
      </c>
    </row>
    <row r="1278">
      <c r="A1278">
        <f>IF($P1278="","",INDEX(상세표[사번],$P1278)&amp;"")</f>
        <v/>
      </c>
      <c r="B1278">
        <f>IF($P1278="","",INDEX(상세표[성명],$P1278)&amp;"")</f>
        <v/>
      </c>
      <c r="C1278">
        <f>IF($P1278="","",INDEX(상세표[부서],$P1278)&amp;"")</f>
        <v/>
      </c>
      <c r="D1278">
        <f>IF($P1278="","",INDEX(상세표[직위],$P1278)&amp;"")</f>
        <v/>
      </c>
      <c r="E1278">
        <f>IF($P1278="","",IF(ISNUMBER(INDEX(상세표[시작],$P1278)),TEXT(INDEX(상세표[시작],$P1278),"yyyy-mm-dd hh:mm"),INDEX(상세표[시작],$P1278)&amp;""))</f>
        <v/>
      </c>
      <c r="F1278">
        <f>IF($P1278="","",IF(ISNUMBER(INDEX(상세표[블록종료],$P1278)),TEXT(INDEX(상세표[블록종료],$P1278),"yyyy-mm-dd hh:mm"),INDEX(상세표[블록종료],$P1278)&amp;""))</f>
        <v/>
      </c>
      <c r="G1278">
        <f>IF($P1278="","",CHOOSE(WEEKDAY(INDEX(상세표[시작],$P1278)),"일","월","화","수","목","금","토"))</f>
        <v/>
      </c>
      <c r="H1278">
        <f>IF($P1278="","",INDEX(상세표[연속 시간],$P1278))</f>
        <v/>
      </c>
      <c r="I1278">
        <f>IF($P1278="","",INDEX(상세표[기록 수],$P1278))</f>
        <v/>
      </c>
      <c r="J1278">
        <f>IF($P1278="","",INDEX(상세표[블록 06~07시],$P1278))</f>
        <v/>
      </c>
      <c r="K1278">
        <f>IF($P1278="","",INDEX(상세표[블록 07~18시],$P1278))</f>
        <v/>
      </c>
      <c r="L1278">
        <f>IF($P1278="","",INDEX(상세표[블록 18~22시],$P1278))</f>
        <v/>
      </c>
      <c r="M1278">
        <f>IF($P1278="","",INDEX(상세표[블록 22~06시],$P1278))</f>
        <v/>
      </c>
      <c r="N1278">
        <f>IF($P1278="","",INDEX(상세표[주말·휴일 포함],$P1278)&amp;"")</f>
        <v/>
      </c>
      <c r="O1278">
        <f>IF($P1278="","",INDEX(상세표[월 넘김 포함],$P1278)&amp;"")</f>
        <v/>
      </c>
      <c r="P1278" s="4">
        <f>IFERROR(MATCH(1273,상세표[연속순번],0),"")</f>
        <v/>
      </c>
    </row>
    <row r="1279">
      <c r="A1279">
        <f>IF($P1279="","",INDEX(상세표[사번],$P1279)&amp;"")</f>
        <v/>
      </c>
      <c r="B1279">
        <f>IF($P1279="","",INDEX(상세표[성명],$P1279)&amp;"")</f>
        <v/>
      </c>
      <c r="C1279">
        <f>IF($P1279="","",INDEX(상세표[부서],$P1279)&amp;"")</f>
        <v/>
      </c>
      <c r="D1279">
        <f>IF($P1279="","",INDEX(상세표[직위],$P1279)&amp;"")</f>
        <v/>
      </c>
      <c r="E1279">
        <f>IF($P1279="","",IF(ISNUMBER(INDEX(상세표[시작],$P1279)),TEXT(INDEX(상세표[시작],$P1279),"yyyy-mm-dd hh:mm"),INDEX(상세표[시작],$P1279)&amp;""))</f>
        <v/>
      </c>
      <c r="F1279">
        <f>IF($P1279="","",IF(ISNUMBER(INDEX(상세표[블록종료],$P1279)),TEXT(INDEX(상세표[블록종료],$P1279),"yyyy-mm-dd hh:mm"),INDEX(상세표[블록종료],$P1279)&amp;""))</f>
        <v/>
      </c>
      <c r="G1279">
        <f>IF($P1279="","",CHOOSE(WEEKDAY(INDEX(상세표[시작],$P1279)),"일","월","화","수","목","금","토"))</f>
        <v/>
      </c>
      <c r="H1279">
        <f>IF($P1279="","",INDEX(상세표[연속 시간],$P1279))</f>
        <v/>
      </c>
      <c r="I1279">
        <f>IF($P1279="","",INDEX(상세표[기록 수],$P1279))</f>
        <v/>
      </c>
      <c r="J1279">
        <f>IF($P1279="","",INDEX(상세표[블록 06~07시],$P1279))</f>
        <v/>
      </c>
      <c r="K1279">
        <f>IF($P1279="","",INDEX(상세표[블록 07~18시],$P1279))</f>
        <v/>
      </c>
      <c r="L1279">
        <f>IF($P1279="","",INDEX(상세표[블록 18~22시],$P1279))</f>
        <v/>
      </c>
      <c r="M1279">
        <f>IF($P1279="","",INDEX(상세표[블록 22~06시],$P1279))</f>
        <v/>
      </c>
      <c r="N1279">
        <f>IF($P1279="","",INDEX(상세표[주말·휴일 포함],$P1279)&amp;"")</f>
        <v/>
      </c>
      <c r="O1279">
        <f>IF($P1279="","",INDEX(상세표[월 넘김 포함],$P1279)&amp;"")</f>
        <v/>
      </c>
      <c r="P1279" s="4">
        <f>IFERROR(MATCH(1274,상세표[연속순번],0),"")</f>
        <v/>
      </c>
    </row>
    <row r="1280">
      <c r="A1280">
        <f>IF($P1280="","",INDEX(상세표[사번],$P1280)&amp;"")</f>
        <v/>
      </c>
      <c r="B1280">
        <f>IF($P1280="","",INDEX(상세표[성명],$P1280)&amp;"")</f>
        <v/>
      </c>
      <c r="C1280">
        <f>IF($P1280="","",INDEX(상세표[부서],$P1280)&amp;"")</f>
        <v/>
      </c>
      <c r="D1280">
        <f>IF($P1280="","",INDEX(상세표[직위],$P1280)&amp;"")</f>
        <v/>
      </c>
      <c r="E1280">
        <f>IF($P1280="","",IF(ISNUMBER(INDEX(상세표[시작],$P1280)),TEXT(INDEX(상세표[시작],$P1280),"yyyy-mm-dd hh:mm"),INDEX(상세표[시작],$P1280)&amp;""))</f>
        <v/>
      </c>
      <c r="F1280">
        <f>IF($P1280="","",IF(ISNUMBER(INDEX(상세표[블록종료],$P1280)),TEXT(INDEX(상세표[블록종료],$P1280),"yyyy-mm-dd hh:mm"),INDEX(상세표[블록종료],$P1280)&amp;""))</f>
        <v/>
      </c>
      <c r="G1280">
        <f>IF($P1280="","",CHOOSE(WEEKDAY(INDEX(상세표[시작],$P1280)),"일","월","화","수","목","금","토"))</f>
        <v/>
      </c>
      <c r="H1280">
        <f>IF($P1280="","",INDEX(상세표[연속 시간],$P1280))</f>
        <v/>
      </c>
      <c r="I1280">
        <f>IF($P1280="","",INDEX(상세표[기록 수],$P1280))</f>
        <v/>
      </c>
      <c r="J1280">
        <f>IF($P1280="","",INDEX(상세표[블록 06~07시],$P1280))</f>
        <v/>
      </c>
      <c r="K1280">
        <f>IF($P1280="","",INDEX(상세표[블록 07~18시],$P1280))</f>
        <v/>
      </c>
      <c r="L1280">
        <f>IF($P1280="","",INDEX(상세표[블록 18~22시],$P1280))</f>
        <v/>
      </c>
      <c r="M1280">
        <f>IF($P1280="","",INDEX(상세표[블록 22~06시],$P1280))</f>
        <v/>
      </c>
      <c r="N1280">
        <f>IF($P1280="","",INDEX(상세표[주말·휴일 포함],$P1280)&amp;"")</f>
        <v/>
      </c>
      <c r="O1280">
        <f>IF($P1280="","",INDEX(상세표[월 넘김 포함],$P1280)&amp;"")</f>
        <v/>
      </c>
      <c r="P1280" s="4">
        <f>IFERROR(MATCH(1275,상세표[연속순번],0),"")</f>
        <v/>
      </c>
    </row>
    <row r="1281">
      <c r="A1281">
        <f>IF($P1281="","",INDEX(상세표[사번],$P1281)&amp;"")</f>
        <v/>
      </c>
      <c r="B1281">
        <f>IF($P1281="","",INDEX(상세표[성명],$P1281)&amp;"")</f>
        <v/>
      </c>
      <c r="C1281">
        <f>IF($P1281="","",INDEX(상세표[부서],$P1281)&amp;"")</f>
        <v/>
      </c>
      <c r="D1281">
        <f>IF($P1281="","",INDEX(상세표[직위],$P1281)&amp;"")</f>
        <v/>
      </c>
      <c r="E1281">
        <f>IF($P1281="","",IF(ISNUMBER(INDEX(상세표[시작],$P1281)),TEXT(INDEX(상세표[시작],$P1281),"yyyy-mm-dd hh:mm"),INDEX(상세표[시작],$P1281)&amp;""))</f>
        <v/>
      </c>
      <c r="F1281">
        <f>IF($P1281="","",IF(ISNUMBER(INDEX(상세표[블록종료],$P1281)),TEXT(INDEX(상세표[블록종료],$P1281),"yyyy-mm-dd hh:mm"),INDEX(상세표[블록종료],$P1281)&amp;""))</f>
        <v/>
      </c>
      <c r="G1281">
        <f>IF($P1281="","",CHOOSE(WEEKDAY(INDEX(상세표[시작],$P1281)),"일","월","화","수","목","금","토"))</f>
        <v/>
      </c>
      <c r="H1281">
        <f>IF($P1281="","",INDEX(상세표[연속 시간],$P1281))</f>
        <v/>
      </c>
      <c r="I1281">
        <f>IF($P1281="","",INDEX(상세표[기록 수],$P1281))</f>
        <v/>
      </c>
      <c r="J1281">
        <f>IF($P1281="","",INDEX(상세표[블록 06~07시],$P1281))</f>
        <v/>
      </c>
      <c r="K1281">
        <f>IF($P1281="","",INDEX(상세표[블록 07~18시],$P1281))</f>
        <v/>
      </c>
      <c r="L1281">
        <f>IF($P1281="","",INDEX(상세표[블록 18~22시],$P1281))</f>
        <v/>
      </c>
      <c r="M1281">
        <f>IF($P1281="","",INDEX(상세표[블록 22~06시],$P1281))</f>
        <v/>
      </c>
      <c r="N1281">
        <f>IF($P1281="","",INDEX(상세표[주말·휴일 포함],$P1281)&amp;"")</f>
        <v/>
      </c>
      <c r="O1281">
        <f>IF($P1281="","",INDEX(상세표[월 넘김 포함],$P1281)&amp;"")</f>
        <v/>
      </c>
      <c r="P1281" s="4">
        <f>IFERROR(MATCH(1276,상세표[연속순번],0),"")</f>
        <v/>
      </c>
    </row>
    <row r="1282">
      <c r="A1282">
        <f>IF($P1282="","",INDEX(상세표[사번],$P1282)&amp;"")</f>
        <v/>
      </c>
      <c r="B1282">
        <f>IF($P1282="","",INDEX(상세표[성명],$P1282)&amp;"")</f>
        <v/>
      </c>
      <c r="C1282">
        <f>IF($P1282="","",INDEX(상세표[부서],$P1282)&amp;"")</f>
        <v/>
      </c>
      <c r="D1282">
        <f>IF($P1282="","",INDEX(상세표[직위],$P1282)&amp;"")</f>
        <v/>
      </c>
      <c r="E1282">
        <f>IF($P1282="","",IF(ISNUMBER(INDEX(상세표[시작],$P1282)),TEXT(INDEX(상세표[시작],$P1282),"yyyy-mm-dd hh:mm"),INDEX(상세표[시작],$P1282)&amp;""))</f>
        <v/>
      </c>
      <c r="F1282">
        <f>IF($P1282="","",IF(ISNUMBER(INDEX(상세표[블록종료],$P1282)),TEXT(INDEX(상세표[블록종료],$P1282),"yyyy-mm-dd hh:mm"),INDEX(상세표[블록종료],$P1282)&amp;""))</f>
        <v/>
      </c>
      <c r="G1282">
        <f>IF($P1282="","",CHOOSE(WEEKDAY(INDEX(상세표[시작],$P1282)),"일","월","화","수","목","금","토"))</f>
        <v/>
      </c>
      <c r="H1282">
        <f>IF($P1282="","",INDEX(상세표[연속 시간],$P1282))</f>
        <v/>
      </c>
      <c r="I1282">
        <f>IF($P1282="","",INDEX(상세표[기록 수],$P1282))</f>
        <v/>
      </c>
      <c r="J1282">
        <f>IF($P1282="","",INDEX(상세표[블록 06~07시],$P1282))</f>
        <v/>
      </c>
      <c r="K1282">
        <f>IF($P1282="","",INDEX(상세표[블록 07~18시],$P1282))</f>
        <v/>
      </c>
      <c r="L1282">
        <f>IF($P1282="","",INDEX(상세표[블록 18~22시],$P1282))</f>
        <v/>
      </c>
      <c r="M1282">
        <f>IF($P1282="","",INDEX(상세표[블록 22~06시],$P1282))</f>
        <v/>
      </c>
      <c r="N1282">
        <f>IF($P1282="","",INDEX(상세표[주말·휴일 포함],$P1282)&amp;"")</f>
        <v/>
      </c>
      <c r="O1282">
        <f>IF($P1282="","",INDEX(상세표[월 넘김 포함],$P1282)&amp;"")</f>
        <v/>
      </c>
      <c r="P1282" s="4">
        <f>IFERROR(MATCH(1277,상세표[연속순번],0),"")</f>
        <v/>
      </c>
    </row>
    <row r="1283">
      <c r="A1283">
        <f>IF($P1283="","",INDEX(상세표[사번],$P1283)&amp;"")</f>
        <v/>
      </c>
      <c r="B1283">
        <f>IF($P1283="","",INDEX(상세표[성명],$P1283)&amp;"")</f>
        <v/>
      </c>
      <c r="C1283">
        <f>IF($P1283="","",INDEX(상세표[부서],$P1283)&amp;"")</f>
        <v/>
      </c>
      <c r="D1283">
        <f>IF($P1283="","",INDEX(상세표[직위],$P1283)&amp;"")</f>
        <v/>
      </c>
      <c r="E1283">
        <f>IF($P1283="","",IF(ISNUMBER(INDEX(상세표[시작],$P1283)),TEXT(INDEX(상세표[시작],$P1283),"yyyy-mm-dd hh:mm"),INDEX(상세표[시작],$P1283)&amp;""))</f>
        <v/>
      </c>
      <c r="F1283">
        <f>IF($P1283="","",IF(ISNUMBER(INDEX(상세표[블록종료],$P1283)),TEXT(INDEX(상세표[블록종료],$P1283),"yyyy-mm-dd hh:mm"),INDEX(상세표[블록종료],$P1283)&amp;""))</f>
        <v/>
      </c>
      <c r="G1283">
        <f>IF($P1283="","",CHOOSE(WEEKDAY(INDEX(상세표[시작],$P1283)),"일","월","화","수","목","금","토"))</f>
        <v/>
      </c>
      <c r="H1283">
        <f>IF($P1283="","",INDEX(상세표[연속 시간],$P1283))</f>
        <v/>
      </c>
      <c r="I1283">
        <f>IF($P1283="","",INDEX(상세표[기록 수],$P1283))</f>
        <v/>
      </c>
      <c r="J1283">
        <f>IF($P1283="","",INDEX(상세표[블록 06~07시],$P1283))</f>
        <v/>
      </c>
      <c r="K1283">
        <f>IF($P1283="","",INDEX(상세표[블록 07~18시],$P1283))</f>
        <v/>
      </c>
      <c r="L1283">
        <f>IF($P1283="","",INDEX(상세표[블록 18~22시],$P1283))</f>
        <v/>
      </c>
      <c r="M1283">
        <f>IF($P1283="","",INDEX(상세표[블록 22~06시],$P1283))</f>
        <v/>
      </c>
      <c r="N1283">
        <f>IF($P1283="","",INDEX(상세표[주말·휴일 포함],$P1283)&amp;"")</f>
        <v/>
      </c>
      <c r="O1283">
        <f>IF($P1283="","",INDEX(상세표[월 넘김 포함],$P1283)&amp;"")</f>
        <v/>
      </c>
      <c r="P1283" s="4">
        <f>IFERROR(MATCH(1278,상세표[연속순번],0),"")</f>
        <v/>
      </c>
    </row>
    <row r="1284">
      <c r="A1284">
        <f>IF($P1284="","",INDEX(상세표[사번],$P1284)&amp;"")</f>
        <v/>
      </c>
      <c r="B1284">
        <f>IF($P1284="","",INDEX(상세표[성명],$P1284)&amp;"")</f>
        <v/>
      </c>
      <c r="C1284">
        <f>IF($P1284="","",INDEX(상세표[부서],$P1284)&amp;"")</f>
        <v/>
      </c>
      <c r="D1284">
        <f>IF($P1284="","",INDEX(상세표[직위],$P1284)&amp;"")</f>
        <v/>
      </c>
      <c r="E1284">
        <f>IF($P1284="","",IF(ISNUMBER(INDEX(상세표[시작],$P1284)),TEXT(INDEX(상세표[시작],$P1284),"yyyy-mm-dd hh:mm"),INDEX(상세표[시작],$P1284)&amp;""))</f>
        <v/>
      </c>
      <c r="F1284">
        <f>IF($P1284="","",IF(ISNUMBER(INDEX(상세표[블록종료],$P1284)),TEXT(INDEX(상세표[블록종료],$P1284),"yyyy-mm-dd hh:mm"),INDEX(상세표[블록종료],$P1284)&amp;""))</f>
        <v/>
      </c>
      <c r="G1284">
        <f>IF($P1284="","",CHOOSE(WEEKDAY(INDEX(상세표[시작],$P1284)),"일","월","화","수","목","금","토"))</f>
        <v/>
      </c>
      <c r="H1284">
        <f>IF($P1284="","",INDEX(상세표[연속 시간],$P1284))</f>
        <v/>
      </c>
      <c r="I1284">
        <f>IF($P1284="","",INDEX(상세표[기록 수],$P1284))</f>
        <v/>
      </c>
      <c r="J1284">
        <f>IF($P1284="","",INDEX(상세표[블록 06~07시],$P1284))</f>
        <v/>
      </c>
      <c r="K1284">
        <f>IF($P1284="","",INDEX(상세표[블록 07~18시],$P1284))</f>
        <v/>
      </c>
      <c r="L1284">
        <f>IF($P1284="","",INDEX(상세표[블록 18~22시],$P1284))</f>
        <v/>
      </c>
      <c r="M1284">
        <f>IF($P1284="","",INDEX(상세표[블록 22~06시],$P1284))</f>
        <v/>
      </c>
      <c r="N1284">
        <f>IF($P1284="","",INDEX(상세표[주말·휴일 포함],$P1284)&amp;"")</f>
        <v/>
      </c>
      <c r="O1284">
        <f>IF($P1284="","",INDEX(상세표[월 넘김 포함],$P1284)&amp;"")</f>
        <v/>
      </c>
      <c r="P1284" s="4">
        <f>IFERROR(MATCH(1279,상세표[연속순번],0),"")</f>
        <v/>
      </c>
    </row>
    <row r="1285">
      <c r="A1285">
        <f>IF($P1285="","",INDEX(상세표[사번],$P1285)&amp;"")</f>
        <v/>
      </c>
      <c r="B1285">
        <f>IF($P1285="","",INDEX(상세표[성명],$P1285)&amp;"")</f>
        <v/>
      </c>
      <c r="C1285">
        <f>IF($P1285="","",INDEX(상세표[부서],$P1285)&amp;"")</f>
        <v/>
      </c>
      <c r="D1285">
        <f>IF($P1285="","",INDEX(상세표[직위],$P1285)&amp;"")</f>
        <v/>
      </c>
      <c r="E1285">
        <f>IF($P1285="","",IF(ISNUMBER(INDEX(상세표[시작],$P1285)),TEXT(INDEX(상세표[시작],$P1285),"yyyy-mm-dd hh:mm"),INDEX(상세표[시작],$P1285)&amp;""))</f>
        <v/>
      </c>
      <c r="F1285">
        <f>IF($P1285="","",IF(ISNUMBER(INDEX(상세표[블록종료],$P1285)),TEXT(INDEX(상세표[블록종료],$P1285),"yyyy-mm-dd hh:mm"),INDEX(상세표[블록종료],$P1285)&amp;""))</f>
        <v/>
      </c>
      <c r="G1285">
        <f>IF($P1285="","",CHOOSE(WEEKDAY(INDEX(상세표[시작],$P1285)),"일","월","화","수","목","금","토"))</f>
        <v/>
      </c>
      <c r="H1285">
        <f>IF($P1285="","",INDEX(상세표[연속 시간],$P1285))</f>
        <v/>
      </c>
      <c r="I1285">
        <f>IF($P1285="","",INDEX(상세표[기록 수],$P1285))</f>
        <v/>
      </c>
      <c r="J1285">
        <f>IF($P1285="","",INDEX(상세표[블록 06~07시],$P1285))</f>
        <v/>
      </c>
      <c r="K1285">
        <f>IF($P1285="","",INDEX(상세표[블록 07~18시],$P1285))</f>
        <v/>
      </c>
      <c r="L1285">
        <f>IF($P1285="","",INDEX(상세표[블록 18~22시],$P1285))</f>
        <v/>
      </c>
      <c r="M1285">
        <f>IF($P1285="","",INDEX(상세표[블록 22~06시],$P1285))</f>
        <v/>
      </c>
      <c r="N1285">
        <f>IF($P1285="","",INDEX(상세표[주말·휴일 포함],$P1285)&amp;"")</f>
        <v/>
      </c>
      <c r="O1285">
        <f>IF($P1285="","",INDEX(상세표[월 넘김 포함],$P1285)&amp;"")</f>
        <v/>
      </c>
      <c r="P1285" s="4">
        <f>IFERROR(MATCH(1280,상세표[연속순번],0),"")</f>
        <v/>
      </c>
    </row>
    <row r="1286">
      <c r="A1286">
        <f>IF($P1286="","",INDEX(상세표[사번],$P1286)&amp;"")</f>
        <v/>
      </c>
      <c r="B1286">
        <f>IF($P1286="","",INDEX(상세표[성명],$P1286)&amp;"")</f>
        <v/>
      </c>
      <c r="C1286">
        <f>IF($P1286="","",INDEX(상세표[부서],$P1286)&amp;"")</f>
        <v/>
      </c>
      <c r="D1286">
        <f>IF($P1286="","",INDEX(상세표[직위],$P1286)&amp;"")</f>
        <v/>
      </c>
      <c r="E1286">
        <f>IF($P1286="","",IF(ISNUMBER(INDEX(상세표[시작],$P1286)),TEXT(INDEX(상세표[시작],$P1286),"yyyy-mm-dd hh:mm"),INDEX(상세표[시작],$P1286)&amp;""))</f>
        <v/>
      </c>
      <c r="F1286">
        <f>IF($P1286="","",IF(ISNUMBER(INDEX(상세표[블록종료],$P1286)),TEXT(INDEX(상세표[블록종료],$P1286),"yyyy-mm-dd hh:mm"),INDEX(상세표[블록종료],$P1286)&amp;""))</f>
        <v/>
      </c>
      <c r="G1286">
        <f>IF($P1286="","",CHOOSE(WEEKDAY(INDEX(상세표[시작],$P1286)),"일","월","화","수","목","금","토"))</f>
        <v/>
      </c>
      <c r="H1286">
        <f>IF($P1286="","",INDEX(상세표[연속 시간],$P1286))</f>
        <v/>
      </c>
      <c r="I1286">
        <f>IF($P1286="","",INDEX(상세표[기록 수],$P1286))</f>
        <v/>
      </c>
      <c r="J1286">
        <f>IF($P1286="","",INDEX(상세표[블록 06~07시],$P1286))</f>
        <v/>
      </c>
      <c r="K1286">
        <f>IF($P1286="","",INDEX(상세표[블록 07~18시],$P1286))</f>
        <v/>
      </c>
      <c r="L1286">
        <f>IF($P1286="","",INDEX(상세표[블록 18~22시],$P1286))</f>
        <v/>
      </c>
      <c r="M1286">
        <f>IF($P1286="","",INDEX(상세표[블록 22~06시],$P1286))</f>
        <v/>
      </c>
      <c r="N1286">
        <f>IF($P1286="","",INDEX(상세표[주말·휴일 포함],$P1286)&amp;"")</f>
        <v/>
      </c>
      <c r="O1286">
        <f>IF($P1286="","",INDEX(상세표[월 넘김 포함],$P1286)&amp;"")</f>
        <v/>
      </c>
      <c r="P1286" s="4">
        <f>IFERROR(MATCH(1281,상세표[연속순번],0),"")</f>
        <v/>
      </c>
    </row>
    <row r="1287">
      <c r="A1287">
        <f>IF($P1287="","",INDEX(상세표[사번],$P1287)&amp;"")</f>
        <v/>
      </c>
      <c r="B1287">
        <f>IF($P1287="","",INDEX(상세표[성명],$P1287)&amp;"")</f>
        <v/>
      </c>
      <c r="C1287">
        <f>IF($P1287="","",INDEX(상세표[부서],$P1287)&amp;"")</f>
        <v/>
      </c>
      <c r="D1287">
        <f>IF($P1287="","",INDEX(상세표[직위],$P1287)&amp;"")</f>
        <v/>
      </c>
      <c r="E1287">
        <f>IF($P1287="","",IF(ISNUMBER(INDEX(상세표[시작],$P1287)),TEXT(INDEX(상세표[시작],$P1287),"yyyy-mm-dd hh:mm"),INDEX(상세표[시작],$P1287)&amp;""))</f>
        <v/>
      </c>
      <c r="F1287">
        <f>IF($P1287="","",IF(ISNUMBER(INDEX(상세표[블록종료],$P1287)),TEXT(INDEX(상세표[블록종료],$P1287),"yyyy-mm-dd hh:mm"),INDEX(상세표[블록종료],$P1287)&amp;""))</f>
        <v/>
      </c>
      <c r="G1287">
        <f>IF($P1287="","",CHOOSE(WEEKDAY(INDEX(상세표[시작],$P1287)),"일","월","화","수","목","금","토"))</f>
        <v/>
      </c>
      <c r="H1287">
        <f>IF($P1287="","",INDEX(상세표[연속 시간],$P1287))</f>
        <v/>
      </c>
      <c r="I1287">
        <f>IF($P1287="","",INDEX(상세표[기록 수],$P1287))</f>
        <v/>
      </c>
      <c r="J1287">
        <f>IF($P1287="","",INDEX(상세표[블록 06~07시],$P1287))</f>
        <v/>
      </c>
      <c r="K1287">
        <f>IF($P1287="","",INDEX(상세표[블록 07~18시],$P1287))</f>
        <v/>
      </c>
      <c r="L1287">
        <f>IF($P1287="","",INDEX(상세표[블록 18~22시],$P1287))</f>
        <v/>
      </c>
      <c r="M1287">
        <f>IF($P1287="","",INDEX(상세표[블록 22~06시],$P1287))</f>
        <v/>
      </c>
      <c r="N1287">
        <f>IF($P1287="","",INDEX(상세표[주말·휴일 포함],$P1287)&amp;"")</f>
        <v/>
      </c>
      <c r="O1287">
        <f>IF($P1287="","",INDEX(상세표[월 넘김 포함],$P1287)&amp;"")</f>
        <v/>
      </c>
      <c r="P1287" s="4">
        <f>IFERROR(MATCH(1282,상세표[연속순번],0),"")</f>
        <v/>
      </c>
    </row>
    <row r="1288">
      <c r="A1288">
        <f>IF($P1288="","",INDEX(상세표[사번],$P1288)&amp;"")</f>
        <v/>
      </c>
      <c r="B1288">
        <f>IF($P1288="","",INDEX(상세표[성명],$P1288)&amp;"")</f>
        <v/>
      </c>
      <c r="C1288">
        <f>IF($P1288="","",INDEX(상세표[부서],$P1288)&amp;"")</f>
        <v/>
      </c>
      <c r="D1288">
        <f>IF($P1288="","",INDEX(상세표[직위],$P1288)&amp;"")</f>
        <v/>
      </c>
      <c r="E1288">
        <f>IF($P1288="","",IF(ISNUMBER(INDEX(상세표[시작],$P1288)),TEXT(INDEX(상세표[시작],$P1288),"yyyy-mm-dd hh:mm"),INDEX(상세표[시작],$P1288)&amp;""))</f>
        <v/>
      </c>
      <c r="F1288">
        <f>IF($P1288="","",IF(ISNUMBER(INDEX(상세표[블록종료],$P1288)),TEXT(INDEX(상세표[블록종료],$P1288),"yyyy-mm-dd hh:mm"),INDEX(상세표[블록종료],$P1288)&amp;""))</f>
        <v/>
      </c>
      <c r="G1288">
        <f>IF($P1288="","",CHOOSE(WEEKDAY(INDEX(상세표[시작],$P1288)),"일","월","화","수","목","금","토"))</f>
        <v/>
      </c>
      <c r="H1288">
        <f>IF($P1288="","",INDEX(상세표[연속 시간],$P1288))</f>
        <v/>
      </c>
      <c r="I1288">
        <f>IF($P1288="","",INDEX(상세표[기록 수],$P1288))</f>
        <v/>
      </c>
      <c r="J1288">
        <f>IF($P1288="","",INDEX(상세표[블록 06~07시],$P1288))</f>
        <v/>
      </c>
      <c r="K1288">
        <f>IF($P1288="","",INDEX(상세표[블록 07~18시],$P1288))</f>
        <v/>
      </c>
      <c r="L1288">
        <f>IF($P1288="","",INDEX(상세표[블록 18~22시],$P1288))</f>
        <v/>
      </c>
      <c r="M1288">
        <f>IF($P1288="","",INDEX(상세표[블록 22~06시],$P1288))</f>
        <v/>
      </c>
      <c r="N1288">
        <f>IF($P1288="","",INDEX(상세표[주말·휴일 포함],$P1288)&amp;"")</f>
        <v/>
      </c>
      <c r="O1288">
        <f>IF($P1288="","",INDEX(상세표[월 넘김 포함],$P1288)&amp;"")</f>
        <v/>
      </c>
      <c r="P1288" s="4">
        <f>IFERROR(MATCH(1283,상세표[연속순번],0),"")</f>
        <v/>
      </c>
    </row>
    <row r="1289">
      <c r="A1289">
        <f>IF($P1289="","",INDEX(상세표[사번],$P1289)&amp;"")</f>
        <v/>
      </c>
      <c r="B1289">
        <f>IF($P1289="","",INDEX(상세표[성명],$P1289)&amp;"")</f>
        <v/>
      </c>
      <c r="C1289">
        <f>IF($P1289="","",INDEX(상세표[부서],$P1289)&amp;"")</f>
        <v/>
      </c>
      <c r="D1289">
        <f>IF($P1289="","",INDEX(상세표[직위],$P1289)&amp;"")</f>
        <v/>
      </c>
      <c r="E1289">
        <f>IF($P1289="","",IF(ISNUMBER(INDEX(상세표[시작],$P1289)),TEXT(INDEX(상세표[시작],$P1289),"yyyy-mm-dd hh:mm"),INDEX(상세표[시작],$P1289)&amp;""))</f>
        <v/>
      </c>
      <c r="F1289">
        <f>IF($P1289="","",IF(ISNUMBER(INDEX(상세표[블록종료],$P1289)),TEXT(INDEX(상세표[블록종료],$P1289),"yyyy-mm-dd hh:mm"),INDEX(상세표[블록종료],$P1289)&amp;""))</f>
        <v/>
      </c>
      <c r="G1289">
        <f>IF($P1289="","",CHOOSE(WEEKDAY(INDEX(상세표[시작],$P1289)),"일","월","화","수","목","금","토"))</f>
        <v/>
      </c>
      <c r="H1289">
        <f>IF($P1289="","",INDEX(상세표[연속 시간],$P1289))</f>
        <v/>
      </c>
      <c r="I1289">
        <f>IF($P1289="","",INDEX(상세표[기록 수],$P1289))</f>
        <v/>
      </c>
      <c r="J1289">
        <f>IF($P1289="","",INDEX(상세표[블록 06~07시],$P1289))</f>
        <v/>
      </c>
      <c r="K1289">
        <f>IF($P1289="","",INDEX(상세표[블록 07~18시],$P1289))</f>
        <v/>
      </c>
      <c r="L1289">
        <f>IF($P1289="","",INDEX(상세표[블록 18~22시],$P1289))</f>
        <v/>
      </c>
      <c r="M1289">
        <f>IF($P1289="","",INDEX(상세표[블록 22~06시],$P1289))</f>
        <v/>
      </c>
      <c r="N1289">
        <f>IF($P1289="","",INDEX(상세표[주말·휴일 포함],$P1289)&amp;"")</f>
        <v/>
      </c>
      <c r="O1289">
        <f>IF($P1289="","",INDEX(상세표[월 넘김 포함],$P1289)&amp;"")</f>
        <v/>
      </c>
      <c r="P1289" s="4">
        <f>IFERROR(MATCH(1284,상세표[연속순번],0),"")</f>
        <v/>
      </c>
    </row>
    <row r="1290">
      <c r="A1290">
        <f>IF($P1290="","",INDEX(상세표[사번],$P1290)&amp;"")</f>
        <v/>
      </c>
      <c r="B1290">
        <f>IF($P1290="","",INDEX(상세표[성명],$P1290)&amp;"")</f>
        <v/>
      </c>
      <c r="C1290">
        <f>IF($P1290="","",INDEX(상세표[부서],$P1290)&amp;"")</f>
        <v/>
      </c>
      <c r="D1290">
        <f>IF($P1290="","",INDEX(상세표[직위],$P1290)&amp;"")</f>
        <v/>
      </c>
      <c r="E1290">
        <f>IF($P1290="","",IF(ISNUMBER(INDEX(상세표[시작],$P1290)),TEXT(INDEX(상세표[시작],$P1290),"yyyy-mm-dd hh:mm"),INDEX(상세표[시작],$P1290)&amp;""))</f>
        <v/>
      </c>
      <c r="F1290">
        <f>IF($P1290="","",IF(ISNUMBER(INDEX(상세표[블록종료],$P1290)),TEXT(INDEX(상세표[블록종료],$P1290),"yyyy-mm-dd hh:mm"),INDEX(상세표[블록종료],$P1290)&amp;""))</f>
        <v/>
      </c>
      <c r="G1290">
        <f>IF($P1290="","",CHOOSE(WEEKDAY(INDEX(상세표[시작],$P1290)),"일","월","화","수","목","금","토"))</f>
        <v/>
      </c>
      <c r="H1290">
        <f>IF($P1290="","",INDEX(상세표[연속 시간],$P1290))</f>
        <v/>
      </c>
      <c r="I1290">
        <f>IF($P1290="","",INDEX(상세표[기록 수],$P1290))</f>
        <v/>
      </c>
      <c r="J1290">
        <f>IF($P1290="","",INDEX(상세표[블록 06~07시],$P1290))</f>
        <v/>
      </c>
      <c r="K1290">
        <f>IF($P1290="","",INDEX(상세표[블록 07~18시],$P1290))</f>
        <v/>
      </c>
      <c r="L1290">
        <f>IF($P1290="","",INDEX(상세표[블록 18~22시],$P1290))</f>
        <v/>
      </c>
      <c r="M1290">
        <f>IF($P1290="","",INDEX(상세표[블록 22~06시],$P1290))</f>
        <v/>
      </c>
      <c r="N1290">
        <f>IF($P1290="","",INDEX(상세표[주말·휴일 포함],$P1290)&amp;"")</f>
        <v/>
      </c>
      <c r="O1290">
        <f>IF($P1290="","",INDEX(상세표[월 넘김 포함],$P1290)&amp;"")</f>
        <v/>
      </c>
      <c r="P1290" s="4">
        <f>IFERROR(MATCH(1285,상세표[연속순번],0),"")</f>
        <v/>
      </c>
    </row>
    <row r="1291">
      <c r="A1291">
        <f>IF($P1291="","",INDEX(상세표[사번],$P1291)&amp;"")</f>
        <v/>
      </c>
      <c r="B1291">
        <f>IF($P1291="","",INDEX(상세표[성명],$P1291)&amp;"")</f>
        <v/>
      </c>
      <c r="C1291">
        <f>IF($P1291="","",INDEX(상세표[부서],$P1291)&amp;"")</f>
        <v/>
      </c>
      <c r="D1291">
        <f>IF($P1291="","",INDEX(상세표[직위],$P1291)&amp;"")</f>
        <v/>
      </c>
      <c r="E1291">
        <f>IF($P1291="","",IF(ISNUMBER(INDEX(상세표[시작],$P1291)),TEXT(INDEX(상세표[시작],$P1291),"yyyy-mm-dd hh:mm"),INDEX(상세표[시작],$P1291)&amp;""))</f>
        <v/>
      </c>
      <c r="F1291">
        <f>IF($P1291="","",IF(ISNUMBER(INDEX(상세표[블록종료],$P1291)),TEXT(INDEX(상세표[블록종료],$P1291),"yyyy-mm-dd hh:mm"),INDEX(상세표[블록종료],$P1291)&amp;""))</f>
        <v/>
      </c>
      <c r="G1291">
        <f>IF($P1291="","",CHOOSE(WEEKDAY(INDEX(상세표[시작],$P1291)),"일","월","화","수","목","금","토"))</f>
        <v/>
      </c>
      <c r="H1291">
        <f>IF($P1291="","",INDEX(상세표[연속 시간],$P1291))</f>
        <v/>
      </c>
      <c r="I1291">
        <f>IF($P1291="","",INDEX(상세표[기록 수],$P1291))</f>
        <v/>
      </c>
      <c r="J1291">
        <f>IF($P1291="","",INDEX(상세표[블록 06~07시],$P1291))</f>
        <v/>
      </c>
      <c r="K1291">
        <f>IF($P1291="","",INDEX(상세표[블록 07~18시],$P1291))</f>
        <v/>
      </c>
      <c r="L1291">
        <f>IF($P1291="","",INDEX(상세표[블록 18~22시],$P1291))</f>
        <v/>
      </c>
      <c r="M1291">
        <f>IF($P1291="","",INDEX(상세표[블록 22~06시],$P1291))</f>
        <v/>
      </c>
      <c r="N1291">
        <f>IF($P1291="","",INDEX(상세표[주말·휴일 포함],$P1291)&amp;"")</f>
        <v/>
      </c>
      <c r="O1291">
        <f>IF($P1291="","",INDEX(상세표[월 넘김 포함],$P1291)&amp;"")</f>
        <v/>
      </c>
      <c r="P1291" s="4">
        <f>IFERROR(MATCH(1286,상세표[연속순번],0),"")</f>
        <v/>
      </c>
    </row>
    <row r="1292">
      <c r="A1292">
        <f>IF($P1292="","",INDEX(상세표[사번],$P1292)&amp;"")</f>
        <v/>
      </c>
      <c r="B1292">
        <f>IF($P1292="","",INDEX(상세표[성명],$P1292)&amp;"")</f>
        <v/>
      </c>
      <c r="C1292">
        <f>IF($P1292="","",INDEX(상세표[부서],$P1292)&amp;"")</f>
        <v/>
      </c>
      <c r="D1292">
        <f>IF($P1292="","",INDEX(상세표[직위],$P1292)&amp;"")</f>
        <v/>
      </c>
      <c r="E1292">
        <f>IF($P1292="","",IF(ISNUMBER(INDEX(상세표[시작],$P1292)),TEXT(INDEX(상세표[시작],$P1292),"yyyy-mm-dd hh:mm"),INDEX(상세표[시작],$P1292)&amp;""))</f>
        <v/>
      </c>
      <c r="F1292">
        <f>IF($P1292="","",IF(ISNUMBER(INDEX(상세표[블록종료],$P1292)),TEXT(INDEX(상세표[블록종료],$P1292),"yyyy-mm-dd hh:mm"),INDEX(상세표[블록종료],$P1292)&amp;""))</f>
        <v/>
      </c>
      <c r="G1292">
        <f>IF($P1292="","",CHOOSE(WEEKDAY(INDEX(상세표[시작],$P1292)),"일","월","화","수","목","금","토"))</f>
        <v/>
      </c>
      <c r="H1292">
        <f>IF($P1292="","",INDEX(상세표[연속 시간],$P1292))</f>
        <v/>
      </c>
      <c r="I1292">
        <f>IF($P1292="","",INDEX(상세표[기록 수],$P1292))</f>
        <v/>
      </c>
      <c r="J1292">
        <f>IF($P1292="","",INDEX(상세표[블록 06~07시],$P1292))</f>
        <v/>
      </c>
      <c r="K1292">
        <f>IF($P1292="","",INDEX(상세표[블록 07~18시],$P1292))</f>
        <v/>
      </c>
      <c r="L1292">
        <f>IF($P1292="","",INDEX(상세표[블록 18~22시],$P1292))</f>
        <v/>
      </c>
      <c r="M1292">
        <f>IF($P1292="","",INDEX(상세표[블록 22~06시],$P1292))</f>
        <v/>
      </c>
      <c r="N1292">
        <f>IF($P1292="","",INDEX(상세표[주말·휴일 포함],$P1292)&amp;"")</f>
        <v/>
      </c>
      <c r="O1292">
        <f>IF($P1292="","",INDEX(상세표[월 넘김 포함],$P1292)&amp;"")</f>
        <v/>
      </c>
      <c r="P1292" s="4">
        <f>IFERROR(MATCH(1287,상세표[연속순번],0),"")</f>
        <v/>
      </c>
    </row>
    <row r="1293">
      <c r="A1293">
        <f>IF($P1293="","",INDEX(상세표[사번],$P1293)&amp;"")</f>
        <v/>
      </c>
      <c r="B1293">
        <f>IF($P1293="","",INDEX(상세표[성명],$P1293)&amp;"")</f>
        <v/>
      </c>
      <c r="C1293">
        <f>IF($P1293="","",INDEX(상세표[부서],$P1293)&amp;"")</f>
        <v/>
      </c>
      <c r="D1293">
        <f>IF($P1293="","",INDEX(상세표[직위],$P1293)&amp;"")</f>
        <v/>
      </c>
      <c r="E1293">
        <f>IF($P1293="","",IF(ISNUMBER(INDEX(상세표[시작],$P1293)),TEXT(INDEX(상세표[시작],$P1293),"yyyy-mm-dd hh:mm"),INDEX(상세표[시작],$P1293)&amp;""))</f>
        <v/>
      </c>
      <c r="F1293">
        <f>IF($P1293="","",IF(ISNUMBER(INDEX(상세표[블록종료],$P1293)),TEXT(INDEX(상세표[블록종료],$P1293),"yyyy-mm-dd hh:mm"),INDEX(상세표[블록종료],$P1293)&amp;""))</f>
        <v/>
      </c>
      <c r="G1293">
        <f>IF($P1293="","",CHOOSE(WEEKDAY(INDEX(상세표[시작],$P1293)),"일","월","화","수","목","금","토"))</f>
        <v/>
      </c>
      <c r="H1293">
        <f>IF($P1293="","",INDEX(상세표[연속 시간],$P1293))</f>
        <v/>
      </c>
      <c r="I1293">
        <f>IF($P1293="","",INDEX(상세표[기록 수],$P1293))</f>
        <v/>
      </c>
      <c r="J1293">
        <f>IF($P1293="","",INDEX(상세표[블록 06~07시],$P1293))</f>
        <v/>
      </c>
      <c r="K1293">
        <f>IF($P1293="","",INDEX(상세표[블록 07~18시],$P1293))</f>
        <v/>
      </c>
      <c r="L1293">
        <f>IF($P1293="","",INDEX(상세표[블록 18~22시],$P1293))</f>
        <v/>
      </c>
      <c r="M1293">
        <f>IF($P1293="","",INDEX(상세표[블록 22~06시],$P1293))</f>
        <v/>
      </c>
      <c r="N1293">
        <f>IF($P1293="","",INDEX(상세표[주말·휴일 포함],$P1293)&amp;"")</f>
        <v/>
      </c>
      <c r="O1293">
        <f>IF($P1293="","",INDEX(상세표[월 넘김 포함],$P1293)&amp;"")</f>
        <v/>
      </c>
      <c r="P1293" s="4">
        <f>IFERROR(MATCH(1288,상세표[연속순번],0),"")</f>
        <v/>
      </c>
    </row>
    <row r="1294">
      <c r="A1294">
        <f>IF($P1294="","",INDEX(상세표[사번],$P1294)&amp;"")</f>
        <v/>
      </c>
      <c r="B1294">
        <f>IF($P1294="","",INDEX(상세표[성명],$P1294)&amp;"")</f>
        <v/>
      </c>
      <c r="C1294">
        <f>IF($P1294="","",INDEX(상세표[부서],$P1294)&amp;"")</f>
        <v/>
      </c>
      <c r="D1294">
        <f>IF($P1294="","",INDEX(상세표[직위],$P1294)&amp;"")</f>
        <v/>
      </c>
      <c r="E1294">
        <f>IF($P1294="","",IF(ISNUMBER(INDEX(상세표[시작],$P1294)),TEXT(INDEX(상세표[시작],$P1294),"yyyy-mm-dd hh:mm"),INDEX(상세표[시작],$P1294)&amp;""))</f>
        <v/>
      </c>
      <c r="F1294">
        <f>IF($P1294="","",IF(ISNUMBER(INDEX(상세표[블록종료],$P1294)),TEXT(INDEX(상세표[블록종료],$P1294),"yyyy-mm-dd hh:mm"),INDEX(상세표[블록종료],$P1294)&amp;""))</f>
        <v/>
      </c>
      <c r="G1294">
        <f>IF($P1294="","",CHOOSE(WEEKDAY(INDEX(상세표[시작],$P1294)),"일","월","화","수","목","금","토"))</f>
        <v/>
      </c>
      <c r="H1294">
        <f>IF($P1294="","",INDEX(상세표[연속 시간],$P1294))</f>
        <v/>
      </c>
      <c r="I1294">
        <f>IF($P1294="","",INDEX(상세표[기록 수],$P1294))</f>
        <v/>
      </c>
      <c r="J1294">
        <f>IF($P1294="","",INDEX(상세표[블록 06~07시],$P1294))</f>
        <v/>
      </c>
      <c r="K1294">
        <f>IF($P1294="","",INDEX(상세표[블록 07~18시],$P1294))</f>
        <v/>
      </c>
      <c r="L1294">
        <f>IF($P1294="","",INDEX(상세표[블록 18~22시],$P1294))</f>
        <v/>
      </c>
      <c r="M1294">
        <f>IF($P1294="","",INDEX(상세표[블록 22~06시],$P1294))</f>
        <v/>
      </c>
      <c r="N1294">
        <f>IF($P1294="","",INDEX(상세표[주말·휴일 포함],$P1294)&amp;"")</f>
        <v/>
      </c>
      <c r="O1294">
        <f>IF($P1294="","",INDEX(상세표[월 넘김 포함],$P1294)&amp;"")</f>
        <v/>
      </c>
      <c r="P1294" s="4">
        <f>IFERROR(MATCH(1289,상세표[연속순번],0),"")</f>
        <v/>
      </c>
    </row>
    <row r="1295">
      <c r="A1295">
        <f>IF($P1295="","",INDEX(상세표[사번],$P1295)&amp;"")</f>
        <v/>
      </c>
      <c r="B1295">
        <f>IF($P1295="","",INDEX(상세표[성명],$P1295)&amp;"")</f>
        <v/>
      </c>
      <c r="C1295">
        <f>IF($P1295="","",INDEX(상세표[부서],$P1295)&amp;"")</f>
        <v/>
      </c>
      <c r="D1295">
        <f>IF($P1295="","",INDEX(상세표[직위],$P1295)&amp;"")</f>
        <v/>
      </c>
      <c r="E1295">
        <f>IF($P1295="","",IF(ISNUMBER(INDEX(상세표[시작],$P1295)),TEXT(INDEX(상세표[시작],$P1295),"yyyy-mm-dd hh:mm"),INDEX(상세표[시작],$P1295)&amp;""))</f>
        <v/>
      </c>
      <c r="F1295">
        <f>IF($P1295="","",IF(ISNUMBER(INDEX(상세표[블록종료],$P1295)),TEXT(INDEX(상세표[블록종료],$P1295),"yyyy-mm-dd hh:mm"),INDEX(상세표[블록종료],$P1295)&amp;""))</f>
        <v/>
      </c>
      <c r="G1295">
        <f>IF($P1295="","",CHOOSE(WEEKDAY(INDEX(상세표[시작],$P1295)),"일","월","화","수","목","금","토"))</f>
        <v/>
      </c>
      <c r="H1295">
        <f>IF($P1295="","",INDEX(상세표[연속 시간],$P1295))</f>
        <v/>
      </c>
      <c r="I1295">
        <f>IF($P1295="","",INDEX(상세표[기록 수],$P1295))</f>
        <v/>
      </c>
      <c r="J1295">
        <f>IF($P1295="","",INDEX(상세표[블록 06~07시],$P1295))</f>
        <v/>
      </c>
      <c r="K1295">
        <f>IF($P1295="","",INDEX(상세표[블록 07~18시],$P1295))</f>
        <v/>
      </c>
      <c r="L1295">
        <f>IF($P1295="","",INDEX(상세표[블록 18~22시],$P1295))</f>
        <v/>
      </c>
      <c r="M1295">
        <f>IF($P1295="","",INDEX(상세표[블록 22~06시],$P1295))</f>
        <v/>
      </c>
      <c r="N1295">
        <f>IF($P1295="","",INDEX(상세표[주말·휴일 포함],$P1295)&amp;"")</f>
        <v/>
      </c>
      <c r="O1295">
        <f>IF($P1295="","",INDEX(상세표[월 넘김 포함],$P1295)&amp;"")</f>
        <v/>
      </c>
      <c r="P1295" s="4">
        <f>IFERROR(MATCH(1290,상세표[연속순번],0),"")</f>
        <v/>
      </c>
    </row>
    <row r="1296">
      <c r="A1296">
        <f>IF($P1296="","",INDEX(상세표[사번],$P1296)&amp;"")</f>
        <v/>
      </c>
      <c r="B1296">
        <f>IF($P1296="","",INDEX(상세표[성명],$P1296)&amp;"")</f>
        <v/>
      </c>
      <c r="C1296">
        <f>IF($P1296="","",INDEX(상세표[부서],$P1296)&amp;"")</f>
        <v/>
      </c>
      <c r="D1296">
        <f>IF($P1296="","",INDEX(상세표[직위],$P1296)&amp;"")</f>
        <v/>
      </c>
      <c r="E1296">
        <f>IF($P1296="","",IF(ISNUMBER(INDEX(상세표[시작],$P1296)),TEXT(INDEX(상세표[시작],$P1296),"yyyy-mm-dd hh:mm"),INDEX(상세표[시작],$P1296)&amp;""))</f>
        <v/>
      </c>
      <c r="F1296">
        <f>IF($P1296="","",IF(ISNUMBER(INDEX(상세표[블록종료],$P1296)),TEXT(INDEX(상세표[블록종료],$P1296),"yyyy-mm-dd hh:mm"),INDEX(상세표[블록종료],$P1296)&amp;""))</f>
        <v/>
      </c>
      <c r="G1296">
        <f>IF($P1296="","",CHOOSE(WEEKDAY(INDEX(상세표[시작],$P1296)),"일","월","화","수","목","금","토"))</f>
        <v/>
      </c>
      <c r="H1296">
        <f>IF($P1296="","",INDEX(상세표[연속 시간],$P1296))</f>
        <v/>
      </c>
      <c r="I1296">
        <f>IF($P1296="","",INDEX(상세표[기록 수],$P1296))</f>
        <v/>
      </c>
      <c r="J1296">
        <f>IF($P1296="","",INDEX(상세표[블록 06~07시],$P1296))</f>
        <v/>
      </c>
      <c r="K1296">
        <f>IF($P1296="","",INDEX(상세표[블록 07~18시],$P1296))</f>
        <v/>
      </c>
      <c r="L1296">
        <f>IF($P1296="","",INDEX(상세표[블록 18~22시],$P1296))</f>
        <v/>
      </c>
      <c r="M1296">
        <f>IF($P1296="","",INDEX(상세표[블록 22~06시],$P1296))</f>
        <v/>
      </c>
      <c r="N1296">
        <f>IF($P1296="","",INDEX(상세표[주말·휴일 포함],$P1296)&amp;"")</f>
        <v/>
      </c>
      <c r="O1296">
        <f>IF($P1296="","",INDEX(상세표[월 넘김 포함],$P1296)&amp;"")</f>
        <v/>
      </c>
      <c r="P1296" s="4">
        <f>IFERROR(MATCH(1291,상세표[연속순번],0),"")</f>
        <v/>
      </c>
    </row>
    <row r="1297">
      <c r="A1297">
        <f>IF($P1297="","",INDEX(상세표[사번],$P1297)&amp;"")</f>
        <v/>
      </c>
      <c r="B1297">
        <f>IF($P1297="","",INDEX(상세표[성명],$P1297)&amp;"")</f>
        <v/>
      </c>
      <c r="C1297">
        <f>IF($P1297="","",INDEX(상세표[부서],$P1297)&amp;"")</f>
        <v/>
      </c>
      <c r="D1297">
        <f>IF($P1297="","",INDEX(상세표[직위],$P1297)&amp;"")</f>
        <v/>
      </c>
      <c r="E1297">
        <f>IF($P1297="","",IF(ISNUMBER(INDEX(상세표[시작],$P1297)),TEXT(INDEX(상세표[시작],$P1297),"yyyy-mm-dd hh:mm"),INDEX(상세표[시작],$P1297)&amp;""))</f>
        <v/>
      </c>
      <c r="F1297">
        <f>IF($P1297="","",IF(ISNUMBER(INDEX(상세표[블록종료],$P1297)),TEXT(INDEX(상세표[블록종료],$P1297),"yyyy-mm-dd hh:mm"),INDEX(상세표[블록종료],$P1297)&amp;""))</f>
        <v/>
      </c>
      <c r="G1297">
        <f>IF($P1297="","",CHOOSE(WEEKDAY(INDEX(상세표[시작],$P1297)),"일","월","화","수","목","금","토"))</f>
        <v/>
      </c>
      <c r="H1297">
        <f>IF($P1297="","",INDEX(상세표[연속 시간],$P1297))</f>
        <v/>
      </c>
      <c r="I1297">
        <f>IF($P1297="","",INDEX(상세표[기록 수],$P1297))</f>
        <v/>
      </c>
      <c r="J1297">
        <f>IF($P1297="","",INDEX(상세표[블록 06~07시],$P1297))</f>
        <v/>
      </c>
      <c r="K1297">
        <f>IF($P1297="","",INDEX(상세표[블록 07~18시],$P1297))</f>
        <v/>
      </c>
      <c r="L1297">
        <f>IF($P1297="","",INDEX(상세표[블록 18~22시],$P1297))</f>
        <v/>
      </c>
      <c r="M1297">
        <f>IF($P1297="","",INDEX(상세표[블록 22~06시],$P1297))</f>
        <v/>
      </c>
      <c r="N1297">
        <f>IF($P1297="","",INDEX(상세표[주말·휴일 포함],$P1297)&amp;"")</f>
        <v/>
      </c>
      <c r="O1297">
        <f>IF($P1297="","",INDEX(상세표[월 넘김 포함],$P1297)&amp;"")</f>
        <v/>
      </c>
      <c r="P1297" s="4">
        <f>IFERROR(MATCH(1292,상세표[연속순번],0),"")</f>
        <v/>
      </c>
    </row>
    <row r="1298">
      <c r="A1298">
        <f>IF($P1298="","",INDEX(상세표[사번],$P1298)&amp;"")</f>
        <v/>
      </c>
      <c r="B1298">
        <f>IF($P1298="","",INDEX(상세표[성명],$P1298)&amp;"")</f>
        <v/>
      </c>
      <c r="C1298">
        <f>IF($P1298="","",INDEX(상세표[부서],$P1298)&amp;"")</f>
        <v/>
      </c>
      <c r="D1298">
        <f>IF($P1298="","",INDEX(상세표[직위],$P1298)&amp;"")</f>
        <v/>
      </c>
      <c r="E1298">
        <f>IF($P1298="","",IF(ISNUMBER(INDEX(상세표[시작],$P1298)),TEXT(INDEX(상세표[시작],$P1298),"yyyy-mm-dd hh:mm"),INDEX(상세표[시작],$P1298)&amp;""))</f>
        <v/>
      </c>
      <c r="F1298">
        <f>IF($P1298="","",IF(ISNUMBER(INDEX(상세표[블록종료],$P1298)),TEXT(INDEX(상세표[블록종료],$P1298),"yyyy-mm-dd hh:mm"),INDEX(상세표[블록종료],$P1298)&amp;""))</f>
        <v/>
      </c>
      <c r="G1298">
        <f>IF($P1298="","",CHOOSE(WEEKDAY(INDEX(상세표[시작],$P1298)),"일","월","화","수","목","금","토"))</f>
        <v/>
      </c>
      <c r="H1298">
        <f>IF($P1298="","",INDEX(상세표[연속 시간],$P1298))</f>
        <v/>
      </c>
      <c r="I1298">
        <f>IF($P1298="","",INDEX(상세표[기록 수],$P1298))</f>
        <v/>
      </c>
      <c r="J1298">
        <f>IF($P1298="","",INDEX(상세표[블록 06~07시],$P1298))</f>
        <v/>
      </c>
      <c r="K1298">
        <f>IF($P1298="","",INDEX(상세표[블록 07~18시],$P1298))</f>
        <v/>
      </c>
      <c r="L1298">
        <f>IF($P1298="","",INDEX(상세표[블록 18~22시],$P1298))</f>
        <v/>
      </c>
      <c r="M1298">
        <f>IF($P1298="","",INDEX(상세표[블록 22~06시],$P1298))</f>
        <v/>
      </c>
      <c r="N1298">
        <f>IF($P1298="","",INDEX(상세표[주말·휴일 포함],$P1298)&amp;"")</f>
        <v/>
      </c>
      <c r="O1298">
        <f>IF($P1298="","",INDEX(상세표[월 넘김 포함],$P1298)&amp;"")</f>
        <v/>
      </c>
      <c r="P1298" s="4">
        <f>IFERROR(MATCH(1293,상세표[연속순번],0),"")</f>
        <v/>
      </c>
    </row>
    <row r="1299">
      <c r="A1299">
        <f>IF($P1299="","",INDEX(상세표[사번],$P1299)&amp;"")</f>
        <v/>
      </c>
      <c r="B1299">
        <f>IF($P1299="","",INDEX(상세표[성명],$P1299)&amp;"")</f>
        <v/>
      </c>
      <c r="C1299">
        <f>IF($P1299="","",INDEX(상세표[부서],$P1299)&amp;"")</f>
        <v/>
      </c>
      <c r="D1299">
        <f>IF($P1299="","",INDEX(상세표[직위],$P1299)&amp;"")</f>
        <v/>
      </c>
      <c r="E1299">
        <f>IF($P1299="","",IF(ISNUMBER(INDEX(상세표[시작],$P1299)),TEXT(INDEX(상세표[시작],$P1299),"yyyy-mm-dd hh:mm"),INDEX(상세표[시작],$P1299)&amp;""))</f>
        <v/>
      </c>
      <c r="F1299">
        <f>IF($P1299="","",IF(ISNUMBER(INDEX(상세표[블록종료],$P1299)),TEXT(INDEX(상세표[블록종료],$P1299),"yyyy-mm-dd hh:mm"),INDEX(상세표[블록종료],$P1299)&amp;""))</f>
        <v/>
      </c>
      <c r="G1299">
        <f>IF($P1299="","",CHOOSE(WEEKDAY(INDEX(상세표[시작],$P1299)),"일","월","화","수","목","금","토"))</f>
        <v/>
      </c>
      <c r="H1299">
        <f>IF($P1299="","",INDEX(상세표[연속 시간],$P1299))</f>
        <v/>
      </c>
      <c r="I1299">
        <f>IF($P1299="","",INDEX(상세표[기록 수],$P1299))</f>
        <v/>
      </c>
      <c r="J1299">
        <f>IF($P1299="","",INDEX(상세표[블록 06~07시],$P1299))</f>
        <v/>
      </c>
      <c r="K1299">
        <f>IF($P1299="","",INDEX(상세표[블록 07~18시],$P1299))</f>
        <v/>
      </c>
      <c r="L1299">
        <f>IF($P1299="","",INDEX(상세표[블록 18~22시],$P1299))</f>
        <v/>
      </c>
      <c r="M1299">
        <f>IF($P1299="","",INDEX(상세표[블록 22~06시],$P1299))</f>
        <v/>
      </c>
      <c r="N1299">
        <f>IF($P1299="","",INDEX(상세표[주말·휴일 포함],$P1299)&amp;"")</f>
        <v/>
      </c>
      <c r="O1299">
        <f>IF($P1299="","",INDEX(상세표[월 넘김 포함],$P1299)&amp;"")</f>
        <v/>
      </c>
      <c r="P1299" s="4">
        <f>IFERROR(MATCH(1294,상세표[연속순번],0),"")</f>
        <v/>
      </c>
    </row>
    <row r="1300">
      <c r="A1300">
        <f>IF($P1300="","",INDEX(상세표[사번],$P1300)&amp;"")</f>
        <v/>
      </c>
      <c r="B1300">
        <f>IF($P1300="","",INDEX(상세표[성명],$P1300)&amp;"")</f>
        <v/>
      </c>
      <c r="C1300">
        <f>IF($P1300="","",INDEX(상세표[부서],$P1300)&amp;"")</f>
        <v/>
      </c>
      <c r="D1300">
        <f>IF($P1300="","",INDEX(상세표[직위],$P1300)&amp;"")</f>
        <v/>
      </c>
      <c r="E1300">
        <f>IF($P1300="","",IF(ISNUMBER(INDEX(상세표[시작],$P1300)),TEXT(INDEX(상세표[시작],$P1300),"yyyy-mm-dd hh:mm"),INDEX(상세표[시작],$P1300)&amp;""))</f>
        <v/>
      </c>
      <c r="F1300">
        <f>IF($P1300="","",IF(ISNUMBER(INDEX(상세표[블록종료],$P1300)),TEXT(INDEX(상세표[블록종료],$P1300),"yyyy-mm-dd hh:mm"),INDEX(상세표[블록종료],$P1300)&amp;""))</f>
        <v/>
      </c>
      <c r="G1300">
        <f>IF($P1300="","",CHOOSE(WEEKDAY(INDEX(상세표[시작],$P1300)),"일","월","화","수","목","금","토"))</f>
        <v/>
      </c>
      <c r="H1300">
        <f>IF($P1300="","",INDEX(상세표[연속 시간],$P1300))</f>
        <v/>
      </c>
      <c r="I1300">
        <f>IF($P1300="","",INDEX(상세표[기록 수],$P1300))</f>
        <v/>
      </c>
      <c r="J1300">
        <f>IF($P1300="","",INDEX(상세표[블록 06~07시],$P1300))</f>
        <v/>
      </c>
      <c r="K1300">
        <f>IF($P1300="","",INDEX(상세표[블록 07~18시],$P1300))</f>
        <v/>
      </c>
      <c r="L1300">
        <f>IF($P1300="","",INDEX(상세표[블록 18~22시],$P1300))</f>
        <v/>
      </c>
      <c r="M1300">
        <f>IF($P1300="","",INDEX(상세표[블록 22~06시],$P1300))</f>
        <v/>
      </c>
      <c r="N1300">
        <f>IF($P1300="","",INDEX(상세표[주말·휴일 포함],$P1300)&amp;"")</f>
        <v/>
      </c>
      <c r="O1300">
        <f>IF($P1300="","",INDEX(상세표[월 넘김 포함],$P1300)&amp;"")</f>
        <v/>
      </c>
      <c r="P1300" s="4">
        <f>IFERROR(MATCH(1295,상세표[연속순번],0),"")</f>
        <v/>
      </c>
    </row>
    <row r="1301">
      <c r="A1301">
        <f>IF($P1301="","",INDEX(상세표[사번],$P1301)&amp;"")</f>
        <v/>
      </c>
      <c r="B1301">
        <f>IF($P1301="","",INDEX(상세표[성명],$P1301)&amp;"")</f>
        <v/>
      </c>
      <c r="C1301">
        <f>IF($P1301="","",INDEX(상세표[부서],$P1301)&amp;"")</f>
        <v/>
      </c>
      <c r="D1301">
        <f>IF($P1301="","",INDEX(상세표[직위],$P1301)&amp;"")</f>
        <v/>
      </c>
      <c r="E1301">
        <f>IF($P1301="","",IF(ISNUMBER(INDEX(상세표[시작],$P1301)),TEXT(INDEX(상세표[시작],$P1301),"yyyy-mm-dd hh:mm"),INDEX(상세표[시작],$P1301)&amp;""))</f>
        <v/>
      </c>
      <c r="F1301">
        <f>IF($P1301="","",IF(ISNUMBER(INDEX(상세표[블록종료],$P1301)),TEXT(INDEX(상세표[블록종료],$P1301),"yyyy-mm-dd hh:mm"),INDEX(상세표[블록종료],$P1301)&amp;""))</f>
        <v/>
      </c>
      <c r="G1301">
        <f>IF($P1301="","",CHOOSE(WEEKDAY(INDEX(상세표[시작],$P1301)),"일","월","화","수","목","금","토"))</f>
        <v/>
      </c>
      <c r="H1301">
        <f>IF($P1301="","",INDEX(상세표[연속 시간],$P1301))</f>
        <v/>
      </c>
      <c r="I1301">
        <f>IF($P1301="","",INDEX(상세표[기록 수],$P1301))</f>
        <v/>
      </c>
      <c r="J1301">
        <f>IF($P1301="","",INDEX(상세표[블록 06~07시],$P1301))</f>
        <v/>
      </c>
      <c r="K1301">
        <f>IF($P1301="","",INDEX(상세표[블록 07~18시],$P1301))</f>
        <v/>
      </c>
      <c r="L1301">
        <f>IF($P1301="","",INDEX(상세표[블록 18~22시],$P1301))</f>
        <v/>
      </c>
      <c r="M1301">
        <f>IF($P1301="","",INDEX(상세표[블록 22~06시],$P1301))</f>
        <v/>
      </c>
      <c r="N1301">
        <f>IF($P1301="","",INDEX(상세표[주말·휴일 포함],$P1301)&amp;"")</f>
        <v/>
      </c>
      <c r="O1301">
        <f>IF($P1301="","",INDEX(상세표[월 넘김 포함],$P1301)&amp;"")</f>
        <v/>
      </c>
      <c r="P1301" s="4">
        <f>IFERROR(MATCH(1296,상세표[연속순번],0),"")</f>
        <v/>
      </c>
    </row>
    <row r="1302">
      <c r="A1302">
        <f>IF($P1302="","",INDEX(상세표[사번],$P1302)&amp;"")</f>
        <v/>
      </c>
      <c r="B1302">
        <f>IF($P1302="","",INDEX(상세표[성명],$P1302)&amp;"")</f>
        <v/>
      </c>
      <c r="C1302">
        <f>IF($P1302="","",INDEX(상세표[부서],$P1302)&amp;"")</f>
        <v/>
      </c>
      <c r="D1302">
        <f>IF($P1302="","",INDEX(상세표[직위],$P1302)&amp;"")</f>
        <v/>
      </c>
      <c r="E1302">
        <f>IF($P1302="","",IF(ISNUMBER(INDEX(상세표[시작],$P1302)),TEXT(INDEX(상세표[시작],$P1302),"yyyy-mm-dd hh:mm"),INDEX(상세표[시작],$P1302)&amp;""))</f>
        <v/>
      </c>
      <c r="F1302">
        <f>IF($P1302="","",IF(ISNUMBER(INDEX(상세표[블록종료],$P1302)),TEXT(INDEX(상세표[블록종료],$P1302),"yyyy-mm-dd hh:mm"),INDEX(상세표[블록종료],$P1302)&amp;""))</f>
        <v/>
      </c>
      <c r="G1302">
        <f>IF($P1302="","",CHOOSE(WEEKDAY(INDEX(상세표[시작],$P1302)),"일","월","화","수","목","금","토"))</f>
        <v/>
      </c>
      <c r="H1302">
        <f>IF($P1302="","",INDEX(상세표[연속 시간],$P1302))</f>
        <v/>
      </c>
      <c r="I1302">
        <f>IF($P1302="","",INDEX(상세표[기록 수],$P1302))</f>
        <v/>
      </c>
      <c r="J1302">
        <f>IF($P1302="","",INDEX(상세표[블록 06~07시],$P1302))</f>
        <v/>
      </c>
      <c r="K1302">
        <f>IF($P1302="","",INDEX(상세표[블록 07~18시],$P1302))</f>
        <v/>
      </c>
      <c r="L1302">
        <f>IF($P1302="","",INDEX(상세표[블록 18~22시],$P1302))</f>
        <v/>
      </c>
      <c r="M1302">
        <f>IF($P1302="","",INDEX(상세표[블록 22~06시],$P1302))</f>
        <v/>
      </c>
      <c r="N1302">
        <f>IF($P1302="","",INDEX(상세표[주말·휴일 포함],$P1302)&amp;"")</f>
        <v/>
      </c>
      <c r="O1302">
        <f>IF($P1302="","",INDEX(상세표[월 넘김 포함],$P1302)&amp;"")</f>
        <v/>
      </c>
      <c r="P1302" s="4">
        <f>IFERROR(MATCH(1297,상세표[연속순번],0),"")</f>
        <v/>
      </c>
    </row>
    <row r="1303">
      <c r="A1303">
        <f>IF($P1303="","",INDEX(상세표[사번],$P1303)&amp;"")</f>
        <v/>
      </c>
      <c r="B1303">
        <f>IF($P1303="","",INDEX(상세표[성명],$P1303)&amp;"")</f>
        <v/>
      </c>
      <c r="C1303">
        <f>IF($P1303="","",INDEX(상세표[부서],$P1303)&amp;"")</f>
        <v/>
      </c>
      <c r="D1303">
        <f>IF($P1303="","",INDEX(상세표[직위],$P1303)&amp;"")</f>
        <v/>
      </c>
      <c r="E1303">
        <f>IF($P1303="","",IF(ISNUMBER(INDEX(상세표[시작],$P1303)),TEXT(INDEX(상세표[시작],$P1303),"yyyy-mm-dd hh:mm"),INDEX(상세표[시작],$P1303)&amp;""))</f>
        <v/>
      </c>
      <c r="F1303">
        <f>IF($P1303="","",IF(ISNUMBER(INDEX(상세표[블록종료],$P1303)),TEXT(INDEX(상세표[블록종료],$P1303),"yyyy-mm-dd hh:mm"),INDEX(상세표[블록종료],$P1303)&amp;""))</f>
        <v/>
      </c>
      <c r="G1303">
        <f>IF($P1303="","",CHOOSE(WEEKDAY(INDEX(상세표[시작],$P1303)),"일","월","화","수","목","금","토"))</f>
        <v/>
      </c>
      <c r="H1303">
        <f>IF($P1303="","",INDEX(상세표[연속 시간],$P1303))</f>
        <v/>
      </c>
      <c r="I1303">
        <f>IF($P1303="","",INDEX(상세표[기록 수],$P1303))</f>
        <v/>
      </c>
      <c r="J1303">
        <f>IF($P1303="","",INDEX(상세표[블록 06~07시],$P1303))</f>
        <v/>
      </c>
      <c r="K1303">
        <f>IF($P1303="","",INDEX(상세표[블록 07~18시],$P1303))</f>
        <v/>
      </c>
      <c r="L1303">
        <f>IF($P1303="","",INDEX(상세표[블록 18~22시],$P1303))</f>
        <v/>
      </c>
      <c r="M1303">
        <f>IF($P1303="","",INDEX(상세표[블록 22~06시],$P1303))</f>
        <v/>
      </c>
      <c r="N1303">
        <f>IF($P1303="","",INDEX(상세표[주말·휴일 포함],$P1303)&amp;"")</f>
        <v/>
      </c>
      <c r="O1303">
        <f>IF($P1303="","",INDEX(상세표[월 넘김 포함],$P1303)&amp;"")</f>
        <v/>
      </c>
      <c r="P1303" s="4">
        <f>IFERROR(MATCH(1298,상세표[연속순번],0),"")</f>
        <v/>
      </c>
    </row>
    <row r="1304">
      <c r="A1304">
        <f>IF($P1304="","",INDEX(상세표[사번],$P1304)&amp;"")</f>
        <v/>
      </c>
      <c r="B1304">
        <f>IF($P1304="","",INDEX(상세표[성명],$P1304)&amp;"")</f>
        <v/>
      </c>
      <c r="C1304">
        <f>IF($P1304="","",INDEX(상세표[부서],$P1304)&amp;"")</f>
        <v/>
      </c>
      <c r="D1304">
        <f>IF($P1304="","",INDEX(상세표[직위],$P1304)&amp;"")</f>
        <v/>
      </c>
      <c r="E1304">
        <f>IF($P1304="","",IF(ISNUMBER(INDEX(상세표[시작],$P1304)),TEXT(INDEX(상세표[시작],$P1304),"yyyy-mm-dd hh:mm"),INDEX(상세표[시작],$P1304)&amp;""))</f>
        <v/>
      </c>
      <c r="F1304">
        <f>IF($P1304="","",IF(ISNUMBER(INDEX(상세표[블록종료],$P1304)),TEXT(INDEX(상세표[블록종료],$P1304),"yyyy-mm-dd hh:mm"),INDEX(상세표[블록종료],$P1304)&amp;""))</f>
        <v/>
      </c>
      <c r="G1304">
        <f>IF($P1304="","",CHOOSE(WEEKDAY(INDEX(상세표[시작],$P1304)),"일","월","화","수","목","금","토"))</f>
        <v/>
      </c>
      <c r="H1304">
        <f>IF($P1304="","",INDEX(상세표[연속 시간],$P1304))</f>
        <v/>
      </c>
      <c r="I1304">
        <f>IF($P1304="","",INDEX(상세표[기록 수],$P1304))</f>
        <v/>
      </c>
      <c r="J1304">
        <f>IF($P1304="","",INDEX(상세표[블록 06~07시],$P1304))</f>
        <v/>
      </c>
      <c r="K1304">
        <f>IF($P1304="","",INDEX(상세표[블록 07~18시],$P1304))</f>
        <v/>
      </c>
      <c r="L1304">
        <f>IF($P1304="","",INDEX(상세표[블록 18~22시],$P1304))</f>
        <v/>
      </c>
      <c r="M1304">
        <f>IF($P1304="","",INDEX(상세표[블록 22~06시],$P1304))</f>
        <v/>
      </c>
      <c r="N1304">
        <f>IF($P1304="","",INDEX(상세표[주말·휴일 포함],$P1304)&amp;"")</f>
        <v/>
      </c>
      <c r="O1304">
        <f>IF($P1304="","",INDEX(상세표[월 넘김 포함],$P1304)&amp;"")</f>
        <v/>
      </c>
      <c r="P1304" s="4">
        <f>IFERROR(MATCH(1299,상세표[연속순번],0),"")</f>
        <v/>
      </c>
    </row>
    <row r="1305">
      <c r="A1305">
        <f>IF($P1305="","",INDEX(상세표[사번],$P1305)&amp;"")</f>
        <v/>
      </c>
      <c r="B1305">
        <f>IF($P1305="","",INDEX(상세표[성명],$P1305)&amp;"")</f>
        <v/>
      </c>
      <c r="C1305">
        <f>IF($P1305="","",INDEX(상세표[부서],$P1305)&amp;"")</f>
        <v/>
      </c>
      <c r="D1305">
        <f>IF($P1305="","",INDEX(상세표[직위],$P1305)&amp;"")</f>
        <v/>
      </c>
      <c r="E1305">
        <f>IF($P1305="","",IF(ISNUMBER(INDEX(상세표[시작],$P1305)),TEXT(INDEX(상세표[시작],$P1305),"yyyy-mm-dd hh:mm"),INDEX(상세표[시작],$P1305)&amp;""))</f>
        <v/>
      </c>
      <c r="F1305">
        <f>IF($P1305="","",IF(ISNUMBER(INDEX(상세표[블록종료],$P1305)),TEXT(INDEX(상세표[블록종료],$P1305),"yyyy-mm-dd hh:mm"),INDEX(상세표[블록종료],$P1305)&amp;""))</f>
        <v/>
      </c>
      <c r="G1305">
        <f>IF($P1305="","",CHOOSE(WEEKDAY(INDEX(상세표[시작],$P1305)),"일","월","화","수","목","금","토"))</f>
        <v/>
      </c>
      <c r="H1305">
        <f>IF($P1305="","",INDEX(상세표[연속 시간],$P1305))</f>
        <v/>
      </c>
      <c r="I1305">
        <f>IF($P1305="","",INDEX(상세표[기록 수],$P1305))</f>
        <v/>
      </c>
      <c r="J1305">
        <f>IF($P1305="","",INDEX(상세표[블록 06~07시],$P1305))</f>
        <v/>
      </c>
      <c r="K1305">
        <f>IF($P1305="","",INDEX(상세표[블록 07~18시],$P1305))</f>
        <v/>
      </c>
      <c r="L1305">
        <f>IF($P1305="","",INDEX(상세표[블록 18~22시],$P1305))</f>
        <v/>
      </c>
      <c r="M1305">
        <f>IF($P1305="","",INDEX(상세표[블록 22~06시],$P1305))</f>
        <v/>
      </c>
      <c r="N1305">
        <f>IF($P1305="","",INDEX(상세표[주말·휴일 포함],$P1305)&amp;"")</f>
        <v/>
      </c>
      <c r="O1305">
        <f>IF($P1305="","",INDEX(상세표[월 넘김 포함],$P1305)&amp;"")</f>
        <v/>
      </c>
      <c r="P1305" s="4">
        <f>IFERROR(MATCH(1300,상세표[연속순번],0),"")</f>
        <v/>
      </c>
    </row>
    <row r="1306">
      <c r="A1306">
        <f>IF($P1306="","",INDEX(상세표[사번],$P1306)&amp;"")</f>
        <v/>
      </c>
      <c r="B1306">
        <f>IF($P1306="","",INDEX(상세표[성명],$P1306)&amp;"")</f>
        <v/>
      </c>
      <c r="C1306">
        <f>IF($P1306="","",INDEX(상세표[부서],$P1306)&amp;"")</f>
        <v/>
      </c>
      <c r="D1306">
        <f>IF($P1306="","",INDEX(상세표[직위],$P1306)&amp;"")</f>
        <v/>
      </c>
      <c r="E1306">
        <f>IF($P1306="","",IF(ISNUMBER(INDEX(상세표[시작],$P1306)),TEXT(INDEX(상세표[시작],$P1306),"yyyy-mm-dd hh:mm"),INDEX(상세표[시작],$P1306)&amp;""))</f>
        <v/>
      </c>
      <c r="F1306">
        <f>IF($P1306="","",IF(ISNUMBER(INDEX(상세표[블록종료],$P1306)),TEXT(INDEX(상세표[블록종료],$P1306),"yyyy-mm-dd hh:mm"),INDEX(상세표[블록종료],$P1306)&amp;""))</f>
        <v/>
      </c>
      <c r="G1306">
        <f>IF($P1306="","",CHOOSE(WEEKDAY(INDEX(상세표[시작],$P1306)),"일","월","화","수","목","금","토"))</f>
        <v/>
      </c>
      <c r="H1306">
        <f>IF($P1306="","",INDEX(상세표[연속 시간],$P1306))</f>
        <v/>
      </c>
      <c r="I1306">
        <f>IF($P1306="","",INDEX(상세표[기록 수],$P1306))</f>
        <v/>
      </c>
      <c r="J1306">
        <f>IF($P1306="","",INDEX(상세표[블록 06~07시],$P1306))</f>
        <v/>
      </c>
      <c r="K1306">
        <f>IF($P1306="","",INDEX(상세표[블록 07~18시],$P1306))</f>
        <v/>
      </c>
      <c r="L1306">
        <f>IF($P1306="","",INDEX(상세표[블록 18~22시],$P1306))</f>
        <v/>
      </c>
      <c r="M1306">
        <f>IF($P1306="","",INDEX(상세표[블록 22~06시],$P1306))</f>
        <v/>
      </c>
      <c r="N1306">
        <f>IF($P1306="","",INDEX(상세표[주말·휴일 포함],$P1306)&amp;"")</f>
        <v/>
      </c>
      <c r="O1306">
        <f>IF($P1306="","",INDEX(상세표[월 넘김 포함],$P1306)&amp;"")</f>
        <v/>
      </c>
      <c r="P1306" s="4">
        <f>IFERROR(MATCH(1301,상세표[연속순번],0),"")</f>
        <v/>
      </c>
    </row>
    <row r="1307">
      <c r="A1307">
        <f>IF($P1307="","",INDEX(상세표[사번],$P1307)&amp;"")</f>
        <v/>
      </c>
      <c r="B1307">
        <f>IF($P1307="","",INDEX(상세표[성명],$P1307)&amp;"")</f>
        <v/>
      </c>
      <c r="C1307">
        <f>IF($P1307="","",INDEX(상세표[부서],$P1307)&amp;"")</f>
        <v/>
      </c>
      <c r="D1307">
        <f>IF($P1307="","",INDEX(상세표[직위],$P1307)&amp;"")</f>
        <v/>
      </c>
      <c r="E1307">
        <f>IF($P1307="","",IF(ISNUMBER(INDEX(상세표[시작],$P1307)),TEXT(INDEX(상세표[시작],$P1307),"yyyy-mm-dd hh:mm"),INDEX(상세표[시작],$P1307)&amp;""))</f>
        <v/>
      </c>
      <c r="F1307">
        <f>IF($P1307="","",IF(ISNUMBER(INDEX(상세표[블록종료],$P1307)),TEXT(INDEX(상세표[블록종료],$P1307),"yyyy-mm-dd hh:mm"),INDEX(상세표[블록종료],$P1307)&amp;""))</f>
        <v/>
      </c>
      <c r="G1307">
        <f>IF($P1307="","",CHOOSE(WEEKDAY(INDEX(상세표[시작],$P1307)),"일","월","화","수","목","금","토"))</f>
        <v/>
      </c>
      <c r="H1307">
        <f>IF($P1307="","",INDEX(상세표[연속 시간],$P1307))</f>
        <v/>
      </c>
      <c r="I1307">
        <f>IF($P1307="","",INDEX(상세표[기록 수],$P1307))</f>
        <v/>
      </c>
      <c r="J1307">
        <f>IF($P1307="","",INDEX(상세표[블록 06~07시],$P1307))</f>
        <v/>
      </c>
      <c r="K1307">
        <f>IF($P1307="","",INDEX(상세표[블록 07~18시],$P1307))</f>
        <v/>
      </c>
      <c r="L1307">
        <f>IF($P1307="","",INDEX(상세표[블록 18~22시],$P1307))</f>
        <v/>
      </c>
      <c r="M1307">
        <f>IF($P1307="","",INDEX(상세표[블록 22~06시],$P1307))</f>
        <v/>
      </c>
      <c r="N1307">
        <f>IF($P1307="","",INDEX(상세표[주말·휴일 포함],$P1307)&amp;"")</f>
        <v/>
      </c>
      <c r="O1307">
        <f>IF($P1307="","",INDEX(상세표[월 넘김 포함],$P1307)&amp;"")</f>
        <v/>
      </c>
      <c r="P1307" s="4">
        <f>IFERROR(MATCH(1302,상세표[연속순번],0),"")</f>
        <v/>
      </c>
    </row>
    <row r="1308">
      <c r="A1308">
        <f>IF($P1308="","",INDEX(상세표[사번],$P1308)&amp;"")</f>
        <v/>
      </c>
      <c r="B1308">
        <f>IF($P1308="","",INDEX(상세표[성명],$P1308)&amp;"")</f>
        <v/>
      </c>
      <c r="C1308">
        <f>IF($P1308="","",INDEX(상세표[부서],$P1308)&amp;"")</f>
        <v/>
      </c>
      <c r="D1308">
        <f>IF($P1308="","",INDEX(상세표[직위],$P1308)&amp;"")</f>
        <v/>
      </c>
      <c r="E1308">
        <f>IF($P1308="","",IF(ISNUMBER(INDEX(상세표[시작],$P1308)),TEXT(INDEX(상세표[시작],$P1308),"yyyy-mm-dd hh:mm"),INDEX(상세표[시작],$P1308)&amp;""))</f>
        <v/>
      </c>
      <c r="F1308">
        <f>IF($P1308="","",IF(ISNUMBER(INDEX(상세표[블록종료],$P1308)),TEXT(INDEX(상세표[블록종료],$P1308),"yyyy-mm-dd hh:mm"),INDEX(상세표[블록종료],$P1308)&amp;""))</f>
        <v/>
      </c>
      <c r="G1308">
        <f>IF($P1308="","",CHOOSE(WEEKDAY(INDEX(상세표[시작],$P1308)),"일","월","화","수","목","금","토"))</f>
        <v/>
      </c>
      <c r="H1308">
        <f>IF($P1308="","",INDEX(상세표[연속 시간],$P1308))</f>
        <v/>
      </c>
      <c r="I1308">
        <f>IF($P1308="","",INDEX(상세표[기록 수],$P1308))</f>
        <v/>
      </c>
      <c r="J1308">
        <f>IF($P1308="","",INDEX(상세표[블록 06~07시],$P1308))</f>
        <v/>
      </c>
      <c r="K1308">
        <f>IF($P1308="","",INDEX(상세표[블록 07~18시],$P1308))</f>
        <v/>
      </c>
      <c r="L1308">
        <f>IF($P1308="","",INDEX(상세표[블록 18~22시],$P1308))</f>
        <v/>
      </c>
      <c r="M1308">
        <f>IF($P1308="","",INDEX(상세표[블록 22~06시],$P1308))</f>
        <v/>
      </c>
      <c r="N1308">
        <f>IF($P1308="","",INDEX(상세표[주말·휴일 포함],$P1308)&amp;"")</f>
        <v/>
      </c>
      <c r="O1308">
        <f>IF($P1308="","",INDEX(상세표[월 넘김 포함],$P1308)&amp;"")</f>
        <v/>
      </c>
      <c r="P1308" s="4">
        <f>IFERROR(MATCH(1303,상세표[연속순번],0),"")</f>
        <v/>
      </c>
    </row>
    <row r="1309">
      <c r="A1309">
        <f>IF($P1309="","",INDEX(상세표[사번],$P1309)&amp;"")</f>
        <v/>
      </c>
      <c r="B1309">
        <f>IF($P1309="","",INDEX(상세표[성명],$P1309)&amp;"")</f>
        <v/>
      </c>
      <c r="C1309">
        <f>IF($P1309="","",INDEX(상세표[부서],$P1309)&amp;"")</f>
        <v/>
      </c>
      <c r="D1309">
        <f>IF($P1309="","",INDEX(상세표[직위],$P1309)&amp;"")</f>
        <v/>
      </c>
      <c r="E1309">
        <f>IF($P1309="","",IF(ISNUMBER(INDEX(상세표[시작],$P1309)),TEXT(INDEX(상세표[시작],$P1309),"yyyy-mm-dd hh:mm"),INDEX(상세표[시작],$P1309)&amp;""))</f>
        <v/>
      </c>
      <c r="F1309">
        <f>IF($P1309="","",IF(ISNUMBER(INDEX(상세표[블록종료],$P1309)),TEXT(INDEX(상세표[블록종료],$P1309),"yyyy-mm-dd hh:mm"),INDEX(상세표[블록종료],$P1309)&amp;""))</f>
        <v/>
      </c>
      <c r="G1309">
        <f>IF($P1309="","",CHOOSE(WEEKDAY(INDEX(상세표[시작],$P1309)),"일","월","화","수","목","금","토"))</f>
        <v/>
      </c>
      <c r="H1309">
        <f>IF($P1309="","",INDEX(상세표[연속 시간],$P1309))</f>
        <v/>
      </c>
      <c r="I1309">
        <f>IF($P1309="","",INDEX(상세표[기록 수],$P1309))</f>
        <v/>
      </c>
      <c r="J1309">
        <f>IF($P1309="","",INDEX(상세표[블록 06~07시],$P1309))</f>
        <v/>
      </c>
      <c r="K1309">
        <f>IF($P1309="","",INDEX(상세표[블록 07~18시],$P1309))</f>
        <v/>
      </c>
      <c r="L1309">
        <f>IF($P1309="","",INDEX(상세표[블록 18~22시],$P1309))</f>
        <v/>
      </c>
      <c r="M1309">
        <f>IF($P1309="","",INDEX(상세표[블록 22~06시],$P1309))</f>
        <v/>
      </c>
      <c r="N1309">
        <f>IF($P1309="","",INDEX(상세표[주말·휴일 포함],$P1309)&amp;"")</f>
        <v/>
      </c>
      <c r="O1309">
        <f>IF($P1309="","",INDEX(상세표[월 넘김 포함],$P1309)&amp;"")</f>
        <v/>
      </c>
      <c r="P1309" s="4">
        <f>IFERROR(MATCH(1304,상세표[연속순번],0),"")</f>
        <v/>
      </c>
    </row>
    <row r="1310">
      <c r="A1310">
        <f>IF($P1310="","",INDEX(상세표[사번],$P1310)&amp;"")</f>
        <v/>
      </c>
      <c r="B1310">
        <f>IF($P1310="","",INDEX(상세표[성명],$P1310)&amp;"")</f>
        <v/>
      </c>
      <c r="C1310">
        <f>IF($P1310="","",INDEX(상세표[부서],$P1310)&amp;"")</f>
        <v/>
      </c>
      <c r="D1310">
        <f>IF($P1310="","",INDEX(상세표[직위],$P1310)&amp;"")</f>
        <v/>
      </c>
      <c r="E1310">
        <f>IF($P1310="","",IF(ISNUMBER(INDEX(상세표[시작],$P1310)),TEXT(INDEX(상세표[시작],$P1310),"yyyy-mm-dd hh:mm"),INDEX(상세표[시작],$P1310)&amp;""))</f>
        <v/>
      </c>
      <c r="F1310">
        <f>IF($P1310="","",IF(ISNUMBER(INDEX(상세표[블록종료],$P1310)),TEXT(INDEX(상세표[블록종료],$P1310),"yyyy-mm-dd hh:mm"),INDEX(상세표[블록종료],$P1310)&amp;""))</f>
        <v/>
      </c>
      <c r="G1310">
        <f>IF($P1310="","",CHOOSE(WEEKDAY(INDEX(상세표[시작],$P1310)),"일","월","화","수","목","금","토"))</f>
        <v/>
      </c>
      <c r="H1310">
        <f>IF($P1310="","",INDEX(상세표[연속 시간],$P1310))</f>
        <v/>
      </c>
      <c r="I1310">
        <f>IF($P1310="","",INDEX(상세표[기록 수],$P1310))</f>
        <v/>
      </c>
      <c r="J1310">
        <f>IF($P1310="","",INDEX(상세표[블록 06~07시],$P1310))</f>
        <v/>
      </c>
      <c r="K1310">
        <f>IF($P1310="","",INDEX(상세표[블록 07~18시],$P1310))</f>
        <v/>
      </c>
      <c r="L1310">
        <f>IF($P1310="","",INDEX(상세표[블록 18~22시],$P1310))</f>
        <v/>
      </c>
      <c r="M1310">
        <f>IF($P1310="","",INDEX(상세표[블록 22~06시],$P1310))</f>
        <v/>
      </c>
      <c r="N1310">
        <f>IF($P1310="","",INDEX(상세표[주말·휴일 포함],$P1310)&amp;"")</f>
        <v/>
      </c>
      <c r="O1310">
        <f>IF($P1310="","",INDEX(상세표[월 넘김 포함],$P1310)&amp;"")</f>
        <v/>
      </c>
      <c r="P1310" s="4">
        <f>IFERROR(MATCH(1305,상세표[연속순번],0),"")</f>
        <v/>
      </c>
    </row>
    <row r="1311">
      <c r="A1311">
        <f>IF($P1311="","",INDEX(상세표[사번],$P1311)&amp;"")</f>
        <v/>
      </c>
      <c r="B1311">
        <f>IF($P1311="","",INDEX(상세표[성명],$P1311)&amp;"")</f>
        <v/>
      </c>
      <c r="C1311">
        <f>IF($P1311="","",INDEX(상세표[부서],$P1311)&amp;"")</f>
        <v/>
      </c>
      <c r="D1311">
        <f>IF($P1311="","",INDEX(상세표[직위],$P1311)&amp;"")</f>
        <v/>
      </c>
      <c r="E1311">
        <f>IF($P1311="","",IF(ISNUMBER(INDEX(상세표[시작],$P1311)),TEXT(INDEX(상세표[시작],$P1311),"yyyy-mm-dd hh:mm"),INDEX(상세표[시작],$P1311)&amp;""))</f>
        <v/>
      </c>
      <c r="F1311">
        <f>IF($P1311="","",IF(ISNUMBER(INDEX(상세표[블록종료],$P1311)),TEXT(INDEX(상세표[블록종료],$P1311),"yyyy-mm-dd hh:mm"),INDEX(상세표[블록종료],$P1311)&amp;""))</f>
        <v/>
      </c>
      <c r="G1311">
        <f>IF($P1311="","",CHOOSE(WEEKDAY(INDEX(상세표[시작],$P1311)),"일","월","화","수","목","금","토"))</f>
        <v/>
      </c>
      <c r="H1311">
        <f>IF($P1311="","",INDEX(상세표[연속 시간],$P1311))</f>
        <v/>
      </c>
      <c r="I1311">
        <f>IF($P1311="","",INDEX(상세표[기록 수],$P1311))</f>
        <v/>
      </c>
      <c r="J1311">
        <f>IF($P1311="","",INDEX(상세표[블록 06~07시],$P1311))</f>
        <v/>
      </c>
      <c r="K1311">
        <f>IF($P1311="","",INDEX(상세표[블록 07~18시],$P1311))</f>
        <v/>
      </c>
      <c r="L1311">
        <f>IF($P1311="","",INDEX(상세표[블록 18~22시],$P1311))</f>
        <v/>
      </c>
      <c r="M1311">
        <f>IF($P1311="","",INDEX(상세표[블록 22~06시],$P1311))</f>
        <v/>
      </c>
      <c r="N1311">
        <f>IF($P1311="","",INDEX(상세표[주말·휴일 포함],$P1311)&amp;"")</f>
        <v/>
      </c>
      <c r="O1311">
        <f>IF($P1311="","",INDEX(상세표[월 넘김 포함],$P1311)&amp;"")</f>
        <v/>
      </c>
      <c r="P1311" s="4">
        <f>IFERROR(MATCH(1306,상세표[연속순번],0),"")</f>
        <v/>
      </c>
    </row>
    <row r="1312">
      <c r="A1312">
        <f>IF($P1312="","",INDEX(상세표[사번],$P1312)&amp;"")</f>
        <v/>
      </c>
      <c r="B1312">
        <f>IF($P1312="","",INDEX(상세표[성명],$P1312)&amp;"")</f>
        <v/>
      </c>
      <c r="C1312">
        <f>IF($P1312="","",INDEX(상세표[부서],$P1312)&amp;"")</f>
        <v/>
      </c>
      <c r="D1312">
        <f>IF($P1312="","",INDEX(상세표[직위],$P1312)&amp;"")</f>
        <v/>
      </c>
      <c r="E1312">
        <f>IF($P1312="","",IF(ISNUMBER(INDEX(상세표[시작],$P1312)),TEXT(INDEX(상세표[시작],$P1312),"yyyy-mm-dd hh:mm"),INDEX(상세표[시작],$P1312)&amp;""))</f>
        <v/>
      </c>
      <c r="F1312">
        <f>IF($P1312="","",IF(ISNUMBER(INDEX(상세표[블록종료],$P1312)),TEXT(INDEX(상세표[블록종료],$P1312),"yyyy-mm-dd hh:mm"),INDEX(상세표[블록종료],$P1312)&amp;""))</f>
        <v/>
      </c>
      <c r="G1312">
        <f>IF($P1312="","",CHOOSE(WEEKDAY(INDEX(상세표[시작],$P1312)),"일","월","화","수","목","금","토"))</f>
        <v/>
      </c>
      <c r="H1312">
        <f>IF($P1312="","",INDEX(상세표[연속 시간],$P1312))</f>
        <v/>
      </c>
      <c r="I1312">
        <f>IF($P1312="","",INDEX(상세표[기록 수],$P1312))</f>
        <v/>
      </c>
      <c r="J1312">
        <f>IF($P1312="","",INDEX(상세표[블록 06~07시],$P1312))</f>
        <v/>
      </c>
      <c r="K1312">
        <f>IF($P1312="","",INDEX(상세표[블록 07~18시],$P1312))</f>
        <v/>
      </c>
      <c r="L1312">
        <f>IF($P1312="","",INDEX(상세표[블록 18~22시],$P1312))</f>
        <v/>
      </c>
      <c r="M1312">
        <f>IF($P1312="","",INDEX(상세표[블록 22~06시],$P1312))</f>
        <v/>
      </c>
      <c r="N1312">
        <f>IF($P1312="","",INDEX(상세표[주말·휴일 포함],$P1312)&amp;"")</f>
        <v/>
      </c>
      <c r="O1312">
        <f>IF($P1312="","",INDEX(상세표[월 넘김 포함],$P1312)&amp;"")</f>
        <v/>
      </c>
      <c r="P1312" s="4">
        <f>IFERROR(MATCH(1307,상세표[연속순번],0),"")</f>
        <v/>
      </c>
    </row>
    <row r="1313">
      <c r="A1313">
        <f>IF($P1313="","",INDEX(상세표[사번],$P1313)&amp;"")</f>
        <v/>
      </c>
      <c r="B1313">
        <f>IF($P1313="","",INDEX(상세표[성명],$P1313)&amp;"")</f>
        <v/>
      </c>
      <c r="C1313">
        <f>IF($P1313="","",INDEX(상세표[부서],$P1313)&amp;"")</f>
        <v/>
      </c>
      <c r="D1313">
        <f>IF($P1313="","",INDEX(상세표[직위],$P1313)&amp;"")</f>
        <v/>
      </c>
      <c r="E1313">
        <f>IF($P1313="","",IF(ISNUMBER(INDEX(상세표[시작],$P1313)),TEXT(INDEX(상세표[시작],$P1313),"yyyy-mm-dd hh:mm"),INDEX(상세표[시작],$P1313)&amp;""))</f>
        <v/>
      </c>
      <c r="F1313">
        <f>IF($P1313="","",IF(ISNUMBER(INDEX(상세표[블록종료],$P1313)),TEXT(INDEX(상세표[블록종료],$P1313),"yyyy-mm-dd hh:mm"),INDEX(상세표[블록종료],$P1313)&amp;""))</f>
        <v/>
      </c>
      <c r="G1313">
        <f>IF($P1313="","",CHOOSE(WEEKDAY(INDEX(상세표[시작],$P1313)),"일","월","화","수","목","금","토"))</f>
        <v/>
      </c>
      <c r="H1313">
        <f>IF($P1313="","",INDEX(상세표[연속 시간],$P1313))</f>
        <v/>
      </c>
      <c r="I1313">
        <f>IF($P1313="","",INDEX(상세표[기록 수],$P1313))</f>
        <v/>
      </c>
      <c r="J1313">
        <f>IF($P1313="","",INDEX(상세표[블록 06~07시],$P1313))</f>
        <v/>
      </c>
      <c r="K1313">
        <f>IF($P1313="","",INDEX(상세표[블록 07~18시],$P1313))</f>
        <v/>
      </c>
      <c r="L1313">
        <f>IF($P1313="","",INDEX(상세표[블록 18~22시],$P1313))</f>
        <v/>
      </c>
      <c r="M1313">
        <f>IF($P1313="","",INDEX(상세표[블록 22~06시],$P1313))</f>
        <v/>
      </c>
      <c r="N1313">
        <f>IF($P1313="","",INDEX(상세표[주말·휴일 포함],$P1313)&amp;"")</f>
        <v/>
      </c>
      <c r="O1313">
        <f>IF($P1313="","",INDEX(상세표[월 넘김 포함],$P1313)&amp;"")</f>
        <v/>
      </c>
      <c r="P1313" s="4">
        <f>IFERROR(MATCH(1308,상세표[연속순번],0),"")</f>
        <v/>
      </c>
    </row>
    <row r="1314">
      <c r="A1314">
        <f>IF($P1314="","",INDEX(상세표[사번],$P1314)&amp;"")</f>
        <v/>
      </c>
      <c r="B1314">
        <f>IF($P1314="","",INDEX(상세표[성명],$P1314)&amp;"")</f>
        <v/>
      </c>
      <c r="C1314">
        <f>IF($P1314="","",INDEX(상세표[부서],$P1314)&amp;"")</f>
        <v/>
      </c>
      <c r="D1314">
        <f>IF($P1314="","",INDEX(상세표[직위],$P1314)&amp;"")</f>
        <v/>
      </c>
      <c r="E1314">
        <f>IF($P1314="","",IF(ISNUMBER(INDEX(상세표[시작],$P1314)),TEXT(INDEX(상세표[시작],$P1314),"yyyy-mm-dd hh:mm"),INDEX(상세표[시작],$P1314)&amp;""))</f>
        <v/>
      </c>
      <c r="F1314">
        <f>IF($P1314="","",IF(ISNUMBER(INDEX(상세표[블록종료],$P1314)),TEXT(INDEX(상세표[블록종료],$P1314),"yyyy-mm-dd hh:mm"),INDEX(상세표[블록종료],$P1314)&amp;""))</f>
        <v/>
      </c>
      <c r="G1314">
        <f>IF($P1314="","",CHOOSE(WEEKDAY(INDEX(상세표[시작],$P1314)),"일","월","화","수","목","금","토"))</f>
        <v/>
      </c>
      <c r="H1314">
        <f>IF($P1314="","",INDEX(상세표[연속 시간],$P1314))</f>
        <v/>
      </c>
      <c r="I1314">
        <f>IF($P1314="","",INDEX(상세표[기록 수],$P1314))</f>
        <v/>
      </c>
      <c r="J1314">
        <f>IF($P1314="","",INDEX(상세표[블록 06~07시],$P1314))</f>
        <v/>
      </c>
      <c r="K1314">
        <f>IF($P1314="","",INDEX(상세표[블록 07~18시],$P1314))</f>
        <v/>
      </c>
      <c r="L1314">
        <f>IF($P1314="","",INDEX(상세표[블록 18~22시],$P1314))</f>
        <v/>
      </c>
      <c r="M1314">
        <f>IF($P1314="","",INDEX(상세표[블록 22~06시],$P1314))</f>
        <v/>
      </c>
      <c r="N1314">
        <f>IF($P1314="","",INDEX(상세표[주말·휴일 포함],$P1314)&amp;"")</f>
        <v/>
      </c>
      <c r="O1314">
        <f>IF($P1314="","",INDEX(상세표[월 넘김 포함],$P1314)&amp;"")</f>
        <v/>
      </c>
      <c r="P1314" s="4">
        <f>IFERROR(MATCH(1309,상세표[연속순번],0),"")</f>
        <v/>
      </c>
    </row>
    <row r="1315">
      <c r="A1315">
        <f>IF($P1315="","",INDEX(상세표[사번],$P1315)&amp;"")</f>
        <v/>
      </c>
      <c r="B1315">
        <f>IF($P1315="","",INDEX(상세표[성명],$P1315)&amp;"")</f>
        <v/>
      </c>
      <c r="C1315">
        <f>IF($P1315="","",INDEX(상세표[부서],$P1315)&amp;"")</f>
        <v/>
      </c>
      <c r="D1315">
        <f>IF($P1315="","",INDEX(상세표[직위],$P1315)&amp;"")</f>
        <v/>
      </c>
      <c r="E1315">
        <f>IF($P1315="","",IF(ISNUMBER(INDEX(상세표[시작],$P1315)),TEXT(INDEX(상세표[시작],$P1315),"yyyy-mm-dd hh:mm"),INDEX(상세표[시작],$P1315)&amp;""))</f>
        <v/>
      </c>
      <c r="F1315">
        <f>IF($P1315="","",IF(ISNUMBER(INDEX(상세표[블록종료],$P1315)),TEXT(INDEX(상세표[블록종료],$P1315),"yyyy-mm-dd hh:mm"),INDEX(상세표[블록종료],$P1315)&amp;""))</f>
        <v/>
      </c>
      <c r="G1315">
        <f>IF($P1315="","",CHOOSE(WEEKDAY(INDEX(상세표[시작],$P1315)),"일","월","화","수","목","금","토"))</f>
        <v/>
      </c>
      <c r="H1315">
        <f>IF($P1315="","",INDEX(상세표[연속 시간],$P1315))</f>
        <v/>
      </c>
      <c r="I1315">
        <f>IF($P1315="","",INDEX(상세표[기록 수],$P1315))</f>
        <v/>
      </c>
      <c r="J1315">
        <f>IF($P1315="","",INDEX(상세표[블록 06~07시],$P1315))</f>
        <v/>
      </c>
      <c r="K1315">
        <f>IF($P1315="","",INDEX(상세표[블록 07~18시],$P1315))</f>
        <v/>
      </c>
      <c r="L1315">
        <f>IF($P1315="","",INDEX(상세표[블록 18~22시],$P1315))</f>
        <v/>
      </c>
      <c r="M1315">
        <f>IF($P1315="","",INDEX(상세표[블록 22~06시],$P1315))</f>
        <v/>
      </c>
      <c r="N1315">
        <f>IF($P1315="","",INDEX(상세표[주말·휴일 포함],$P1315)&amp;"")</f>
        <v/>
      </c>
      <c r="O1315">
        <f>IF($P1315="","",INDEX(상세표[월 넘김 포함],$P1315)&amp;"")</f>
        <v/>
      </c>
      <c r="P1315" s="4">
        <f>IFERROR(MATCH(1310,상세표[연속순번],0),"")</f>
        <v/>
      </c>
    </row>
    <row r="1316">
      <c r="A1316">
        <f>IF($P1316="","",INDEX(상세표[사번],$P1316)&amp;"")</f>
        <v/>
      </c>
      <c r="B1316">
        <f>IF($P1316="","",INDEX(상세표[성명],$P1316)&amp;"")</f>
        <v/>
      </c>
      <c r="C1316">
        <f>IF($P1316="","",INDEX(상세표[부서],$P1316)&amp;"")</f>
        <v/>
      </c>
      <c r="D1316">
        <f>IF($P1316="","",INDEX(상세표[직위],$P1316)&amp;"")</f>
        <v/>
      </c>
      <c r="E1316">
        <f>IF($P1316="","",IF(ISNUMBER(INDEX(상세표[시작],$P1316)),TEXT(INDEX(상세표[시작],$P1316),"yyyy-mm-dd hh:mm"),INDEX(상세표[시작],$P1316)&amp;""))</f>
        <v/>
      </c>
      <c r="F1316">
        <f>IF($P1316="","",IF(ISNUMBER(INDEX(상세표[블록종료],$P1316)),TEXT(INDEX(상세표[블록종료],$P1316),"yyyy-mm-dd hh:mm"),INDEX(상세표[블록종료],$P1316)&amp;""))</f>
        <v/>
      </c>
      <c r="G1316">
        <f>IF($P1316="","",CHOOSE(WEEKDAY(INDEX(상세표[시작],$P1316)),"일","월","화","수","목","금","토"))</f>
        <v/>
      </c>
      <c r="H1316">
        <f>IF($P1316="","",INDEX(상세표[연속 시간],$P1316))</f>
        <v/>
      </c>
      <c r="I1316">
        <f>IF($P1316="","",INDEX(상세표[기록 수],$P1316))</f>
        <v/>
      </c>
      <c r="J1316">
        <f>IF($P1316="","",INDEX(상세표[블록 06~07시],$P1316))</f>
        <v/>
      </c>
      <c r="K1316">
        <f>IF($P1316="","",INDEX(상세표[블록 07~18시],$P1316))</f>
        <v/>
      </c>
      <c r="L1316">
        <f>IF($P1316="","",INDEX(상세표[블록 18~22시],$P1316))</f>
        <v/>
      </c>
      <c r="M1316">
        <f>IF($P1316="","",INDEX(상세표[블록 22~06시],$P1316))</f>
        <v/>
      </c>
      <c r="N1316">
        <f>IF($P1316="","",INDEX(상세표[주말·휴일 포함],$P1316)&amp;"")</f>
        <v/>
      </c>
      <c r="O1316">
        <f>IF($P1316="","",INDEX(상세표[월 넘김 포함],$P1316)&amp;"")</f>
        <v/>
      </c>
      <c r="P1316" s="4">
        <f>IFERROR(MATCH(1311,상세표[연속순번],0),"")</f>
        <v/>
      </c>
    </row>
    <row r="1317">
      <c r="A1317">
        <f>IF($P1317="","",INDEX(상세표[사번],$P1317)&amp;"")</f>
        <v/>
      </c>
      <c r="B1317">
        <f>IF($P1317="","",INDEX(상세표[성명],$P1317)&amp;"")</f>
        <v/>
      </c>
      <c r="C1317">
        <f>IF($P1317="","",INDEX(상세표[부서],$P1317)&amp;"")</f>
        <v/>
      </c>
      <c r="D1317">
        <f>IF($P1317="","",INDEX(상세표[직위],$P1317)&amp;"")</f>
        <v/>
      </c>
      <c r="E1317">
        <f>IF($P1317="","",IF(ISNUMBER(INDEX(상세표[시작],$P1317)),TEXT(INDEX(상세표[시작],$P1317),"yyyy-mm-dd hh:mm"),INDEX(상세표[시작],$P1317)&amp;""))</f>
        <v/>
      </c>
      <c r="F1317">
        <f>IF($P1317="","",IF(ISNUMBER(INDEX(상세표[블록종료],$P1317)),TEXT(INDEX(상세표[블록종료],$P1317),"yyyy-mm-dd hh:mm"),INDEX(상세표[블록종료],$P1317)&amp;""))</f>
        <v/>
      </c>
      <c r="G1317">
        <f>IF($P1317="","",CHOOSE(WEEKDAY(INDEX(상세표[시작],$P1317)),"일","월","화","수","목","금","토"))</f>
        <v/>
      </c>
      <c r="H1317">
        <f>IF($P1317="","",INDEX(상세표[연속 시간],$P1317))</f>
        <v/>
      </c>
      <c r="I1317">
        <f>IF($P1317="","",INDEX(상세표[기록 수],$P1317))</f>
        <v/>
      </c>
      <c r="J1317">
        <f>IF($P1317="","",INDEX(상세표[블록 06~07시],$P1317))</f>
        <v/>
      </c>
      <c r="K1317">
        <f>IF($P1317="","",INDEX(상세표[블록 07~18시],$P1317))</f>
        <v/>
      </c>
      <c r="L1317">
        <f>IF($P1317="","",INDEX(상세표[블록 18~22시],$P1317))</f>
        <v/>
      </c>
      <c r="M1317">
        <f>IF($P1317="","",INDEX(상세표[블록 22~06시],$P1317))</f>
        <v/>
      </c>
      <c r="N1317">
        <f>IF($P1317="","",INDEX(상세표[주말·휴일 포함],$P1317)&amp;"")</f>
        <v/>
      </c>
      <c r="O1317">
        <f>IF($P1317="","",INDEX(상세표[월 넘김 포함],$P1317)&amp;"")</f>
        <v/>
      </c>
      <c r="P1317" s="4">
        <f>IFERROR(MATCH(1312,상세표[연속순번],0),"")</f>
        <v/>
      </c>
    </row>
    <row r="1318">
      <c r="A1318">
        <f>IF($P1318="","",INDEX(상세표[사번],$P1318)&amp;"")</f>
        <v/>
      </c>
      <c r="B1318">
        <f>IF($P1318="","",INDEX(상세표[성명],$P1318)&amp;"")</f>
        <v/>
      </c>
      <c r="C1318">
        <f>IF($P1318="","",INDEX(상세표[부서],$P1318)&amp;"")</f>
        <v/>
      </c>
      <c r="D1318">
        <f>IF($P1318="","",INDEX(상세표[직위],$P1318)&amp;"")</f>
        <v/>
      </c>
      <c r="E1318">
        <f>IF($P1318="","",IF(ISNUMBER(INDEX(상세표[시작],$P1318)),TEXT(INDEX(상세표[시작],$P1318),"yyyy-mm-dd hh:mm"),INDEX(상세표[시작],$P1318)&amp;""))</f>
        <v/>
      </c>
      <c r="F1318">
        <f>IF($P1318="","",IF(ISNUMBER(INDEX(상세표[블록종료],$P1318)),TEXT(INDEX(상세표[블록종료],$P1318),"yyyy-mm-dd hh:mm"),INDEX(상세표[블록종료],$P1318)&amp;""))</f>
        <v/>
      </c>
      <c r="G1318">
        <f>IF($P1318="","",CHOOSE(WEEKDAY(INDEX(상세표[시작],$P1318)),"일","월","화","수","목","금","토"))</f>
        <v/>
      </c>
      <c r="H1318">
        <f>IF($P1318="","",INDEX(상세표[연속 시간],$P1318))</f>
        <v/>
      </c>
      <c r="I1318">
        <f>IF($P1318="","",INDEX(상세표[기록 수],$P1318))</f>
        <v/>
      </c>
      <c r="J1318">
        <f>IF($P1318="","",INDEX(상세표[블록 06~07시],$P1318))</f>
        <v/>
      </c>
      <c r="K1318">
        <f>IF($P1318="","",INDEX(상세표[블록 07~18시],$P1318))</f>
        <v/>
      </c>
      <c r="L1318">
        <f>IF($P1318="","",INDEX(상세표[블록 18~22시],$P1318))</f>
        <v/>
      </c>
      <c r="M1318">
        <f>IF($P1318="","",INDEX(상세표[블록 22~06시],$P1318))</f>
        <v/>
      </c>
      <c r="N1318">
        <f>IF($P1318="","",INDEX(상세표[주말·휴일 포함],$P1318)&amp;"")</f>
        <v/>
      </c>
      <c r="O1318">
        <f>IF($P1318="","",INDEX(상세표[월 넘김 포함],$P1318)&amp;"")</f>
        <v/>
      </c>
      <c r="P1318" s="4">
        <f>IFERROR(MATCH(1313,상세표[연속순번],0),"")</f>
        <v/>
      </c>
    </row>
    <row r="1319">
      <c r="A1319">
        <f>IF($P1319="","",INDEX(상세표[사번],$P1319)&amp;"")</f>
        <v/>
      </c>
      <c r="B1319">
        <f>IF($P1319="","",INDEX(상세표[성명],$P1319)&amp;"")</f>
        <v/>
      </c>
      <c r="C1319">
        <f>IF($P1319="","",INDEX(상세표[부서],$P1319)&amp;"")</f>
        <v/>
      </c>
      <c r="D1319">
        <f>IF($P1319="","",INDEX(상세표[직위],$P1319)&amp;"")</f>
        <v/>
      </c>
      <c r="E1319">
        <f>IF($P1319="","",IF(ISNUMBER(INDEX(상세표[시작],$P1319)),TEXT(INDEX(상세표[시작],$P1319),"yyyy-mm-dd hh:mm"),INDEX(상세표[시작],$P1319)&amp;""))</f>
        <v/>
      </c>
      <c r="F1319">
        <f>IF($P1319="","",IF(ISNUMBER(INDEX(상세표[블록종료],$P1319)),TEXT(INDEX(상세표[블록종료],$P1319),"yyyy-mm-dd hh:mm"),INDEX(상세표[블록종료],$P1319)&amp;""))</f>
        <v/>
      </c>
      <c r="G1319">
        <f>IF($P1319="","",CHOOSE(WEEKDAY(INDEX(상세표[시작],$P1319)),"일","월","화","수","목","금","토"))</f>
        <v/>
      </c>
      <c r="H1319">
        <f>IF($P1319="","",INDEX(상세표[연속 시간],$P1319))</f>
        <v/>
      </c>
      <c r="I1319">
        <f>IF($P1319="","",INDEX(상세표[기록 수],$P1319))</f>
        <v/>
      </c>
      <c r="J1319">
        <f>IF($P1319="","",INDEX(상세표[블록 06~07시],$P1319))</f>
        <v/>
      </c>
      <c r="K1319">
        <f>IF($P1319="","",INDEX(상세표[블록 07~18시],$P1319))</f>
        <v/>
      </c>
      <c r="L1319">
        <f>IF($P1319="","",INDEX(상세표[블록 18~22시],$P1319))</f>
        <v/>
      </c>
      <c r="M1319">
        <f>IF($P1319="","",INDEX(상세표[블록 22~06시],$P1319))</f>
        <v/>
      </c>
      <c r="N1319">
        <f>IF($P1319="","",INDEX(상세표[주말·휴일 포함],$P1319)&amp;"")</f>
        <v/>
      </c>
      <c r="O1319">
        <f>IF($P1319="","",INDEX(상세표[월 넘김 포함],$P1319)&amp;"")</f>
        <v/>
      </c>
      <c r="P1319" s="4">
        <f>IFERROR(MATCH(1314,상세표[연속순번],0),"")</f>
        <v/>
      </c>
    </row>
    <row r="1320">
      <c r="A1320">
        <f>IF($P1320="","",INDEX(상세표[사번],$P1320)&amp;"")</f>
        <v/>
      </c>
      <c r="B1320">
        <f>IF($P1320="","",INDEX(상세표[성명],$P1320)&amp;"")</f>
        <v/>
      </c>
      <c r="C1320">
        <f>IF($P1320="","",INDEX(상세표[부서],$P1320)&amp;"")</f>
        <v/>
      </c>
      <c r="D1320">
        <f>IF($P1320="","",INDEX(상세표[직위],$P1320)&amp;"")</f>
        <v/>
      </c>
      <c r="E1320">
        <f>IF($P1320="","",IF(ISNUMBER(INDEX(상세표[시작],$P1320)),TEXT(INDEX(상세표[시작],$P1320),"yyyy-mm-dd hh:mm"),INDEX(상세표[시작],$P1320)&amp;""))</f>
        <v/>
      </c>
      <c r="F1320">
        <f>IF($P1320="","",IF(ISNUMBER(INDEX(상세표[블록종료],$P1320)),TEXT(INDEX(상세표[블록종료],$P1320),"yyyy-mm-dd hh:mm"),INDEX(상세표[블록종료],$P1320)&amp;""))</f>
        <v/>
      </c>
      <c r="G1320">
        <f>IF($P1320="","",CHOOSE(WEEKDAY(INDEX(상세표[시작],$P1320)),"일","월","화","수","목","금","토"))</f>
        <v/>
      </c>
      <c r="H1320">
        <f>IF($P1320="","",INDEX(상세표[연속 시간],$P1320))</f>
        <v/>
      </c>
      <c r="I1320">
        <f>IF($P1320="","",INDEX(상세표[기록 수],$P1320))</f>
        <v/>
      </c>
      <c r="J1320">
        <f>IF($P1320="","",INDEX(상세표[블록 06~07시],$P1320))</f>
        <v/>
      </c>
      <c r="K1320">
        <f>IF($P1320="","",INDEX(상세표[블록 07~18시],$P1320))</f>
        <v/>
      </c>
      <c r="L1320">
        <f>IF($P1320="","",INDEX(상세표[블록 18~22시],$P1320))</f>
        <v/>
      </c>
      <c r="M1320">
        <f>IF($P1320="","",INDEX(상세표[블록 22~06시],$P1320))</f>
        <v/>
      </c>
      <c r="N1320">
        <f>IF($P1320="","",INDEX(상세표[주말·휴일 포함],$P1320)&amp;"")</f>
        <v/>
      </c>
      <c r="O1320">
        <f>IF($P1320="","",INDEX(상세표[월 넘김 포함],$P1320)&amp;"")</f>
        <v/>
      </c>
      <c r="P1320" s="4">
        <f>IFERROR(MATCH(1315,상세표[연속순번],0),"")</f>
        <v/>
      </c>
    </row>
    <row r="1321">
      <c r="A1321">
        <f>IF($P1321="","",INDEX(상세표[사번],$P1321)&amp;"")</f>
        <v/>
      </c>
      <c r="B1321">
        <f>IF($P1321="","",INDEX(상세표[성명],$P1321)&amp;"")</f>
        <v/>
      </c>
      <c r="C1321">
        <f>IF($P1321="","",INDEX(상세표[부서],$P1321)&amp;"")</f>
        <v/>
      </c>
      <c r="D1321">
        <f>IF($P1321="","",INDEX(상세표[직위],$P1321)&amp;"")</f>
        <v/>
      </c>
      <c r="E1321">
        <f>IF($P1321="","",IF(ISNUMBER(INDEX(상세표[시작],$P1321)),TEXT(INDEX(상세표[시작],$P1321),"yyyy-mm-dd hh:mm"),INDEX(상세표[시작],$P1321)&amp;""))</f>
        <v/>
      </c>
      <c r="F1321">
        <f>IF($P1321="","",IF(ISNUMBER(INDEX(상세표[블록종료],$P1321)),TEXT(INDEX(상세표[블록종료],$P1321),"yyyy-mm-dd hh:mm"),INDEX(상세표[블록종료],$P1321)&amp;""))</f>
        <v/>
      </c>
      <c r="G1321">
        <f>IF($P1321="","",CHOOSE(WEEKDAY(INDEX(상세표[시작],$P1321)),"일","월","화","수","목","금","토"))</f>
        <v/>
      </c>
      <c r="H1321">
        <f>IF($P1321="","",INDEX(상세표[연속 시간],$P1321))</f>
        <v/>
      </c>
      <c r="I1321">
        <f>IF($P1321="","",INDEX(상세표[기록 수],$P1321))</f>
        <v/>
      </c>
      <c r="J1321">
        <f>IF($P1321="","",INDEX(상세표[블록 06~07시],$P1321))</f>
        <v/>
      </c>
      <c r="K1321">
        <f>IF($P1321="","",INDEX(상세표[블록 07~18시],$P1321))</f>
        <v/>
      </c>
      <c r="L1321">
        <f>IF($P1321="","",INDEX(상세표[블록 18~22시],$P1321))</f>
        <v/>
      </c>
      <c r="M1321">
        <f>IF($P1321="","",INDEX(상세표[블록 22~06시],$P1321))</f>
        <v/>
      </c>
      <c r="N1321">
        <f>IF($P1321="","",INDEX(상세표[주말·휴일 포함],$P1321)&amp;"")</f>
        <v/>
      </c>
      <c r="O1321">
        <f>IF($P1321="","",INDEX(상세표[월 넘김 포함],$P1321)&amp;"")</f>
        <v/>
      </c>
      <c r="P1321" s="4">
        <f>IFERROR(MATCH(1316,상세표[연속순번],0),"")</f>
        <v/>
      </c>
    </row>
    <row r="1322">
      <c r="A1322">
        <f>IF($P1322="","",INDEX(상세표[사번],$P1322)&amp;"")</f>
        <v/>
      </c>
      <c r="B1322">
        <f>IF($P1322="","",INDEX(상세표[성명],$P1322)&amp;"")</f>
        <v/>
      </c>
      <c r="C1322">
        <f>IF($P1322="","",INDEX(상세표[부서],$P1322)&amp;"")</f>
        <v/>
      </c>
      <c r="D1322">
        <f>IF($P1322="","",INDEX(상세표[직위],$P1322)&amp;"")</f>
        <v/>
      </c>
      <c r="E1322">
        <f>IF($P1322="","",IF(ISNUMBER(INDEX(상세표[시작],$P1322)),TEXT(INDEX(상세표[시작],$P1322),"yyyy-mm-dd hh:mm"),INDEX(상세표[시작],$P1322)&amp;""))</f>
        <v/>
      </c>
      <c r="F1322">
        <f>IF($P1322="","",IF(ISNUMBER(INDEX(상세표[블록종료],$P1322)),TEXT(INDEX(상세표[블록종료],$P1322),"yyyy-mm-dd hh:mm"),INDEX(상세표[블록종료],$P1322)&amp;""))</f>
        <v/>
      </c>
      <c r="G1322">
        <f>IF($P1322="","",CHOOSE(WEEKDAY(INDEX(상세표[시작],$P1322)),"일","월","화","수","목","금","토"))</f>
        <v/>
      </c>
      <c r="H1322">
        <f>IF($P1322="","",INDEX(상세표[연속 시간],$P1322))</f>
        <v/>
      </c>
      <c r="I1322">
        <f>IF($P1322="","",INDEX(상세표[기록 수],$P1322))</f>
        <v/>
      </c>
      <c r="J1322">
        <f>IF($P1322="","",INDEX(상세표[블록 06~07시],$P1322))</f>
        <v/>
      </c>
      <c r="K1322">
        <f>IF($P1322="","",INDEX(상세표[블록 07~18시],$P1322))</f>
        <v/>
      </c>
      <c r="L1322">
        <f>IF($P1322="","",INDEX(상세표[블록 18~22시],$P1322))</f>
        <v/>
      </c>
      <c r="M1322">
        <f>IF($P1322="","",INDEX(상세표[블록 22~06시],$P1322))</f>
        <v/>
      </c>
      <c r="N1322">
        <f>IF($P1322="","",INDEX(상세표[주말·휴일 포함],$P1322)&amp;"")</f>
        <v/>
      </c>
      <c r="O1322">
        <f>IF($P1322="","",INDEX(상세표[월 넘김 포함],$P1322)&amp;"")</f>
        <v/>
      </c>
      <c r="P1322" s="4">
        <f>IFERROR(MATCH(1317,상세표[연속순번],0),"")</f>
        <v/>
      </c>
    </row>
    <row r="1323">
      <c r="A1323">
        <f>IF($P1323="","",INDEX(상세표[사번],$P1323)&amp;"")</f>
        <v/>
      </c>
      <c r="B1323">
        <f>IF($P1323="","",INDEX(상세표[성명],$P1323)&amp;"")</f>
        <v/>
      </c>
      <c r="C1323">
        <f>IF($P1323="","",INDEX(상세표[부서],$P1323)&amp;"")</f>
        <v/>
      </c>
      <c r="D1323">
        <f>IF($P1323="","",INDEX(상세표[직위],$P1323)&amp;"")</f>
        <v/>
      </c>
      <c r="E1323">
        <f>IF($P1323="","",IF(ISNUMBER(INDEX(상세표[시작],$P1323)),TEXT(INDEX(상세표[시작],$P1323),"yyyy-mm-dd hh:mm"),INDEX(상세표[시작],$P1323)&amp;""))</f>
        <v/>
      </c>
      <c r="F1323">
        <f>IF($P1323="","",IF(ISNUMBER(INDEX(상세표[블록종료],$P1323)),TEXT(INDEX(상세표[블록종료],$P1323),"yyyy-mm-dd hh:mm"),INDEX(상세표[블록종료],$P1323)&amp;""))</f>
        <v/>
      </c>
      <c r="G1323">
        <f>IF($P1323="","",CHOOSE(WEEKDAY(INDEX(상세표[시작],$P1323)),"일","월","화","수","목","금","토"))</f>
        <v/>
      </c>
      <c r="H1323">
        <f>IF($P1323="","",INDEX(상세표[연속 시간],$P1323))</f>
        <v/>
      </c>
      <c r="I1323">
        <f>IF($P1323="","",INDEX(상세표[기록 수],$P1323))</f>
        <v/>
      </c>
      <c r="J1323">
        <f>IF($P1323="","",INDEX(상세표[블록 06~07시],$P1323))</f>
        <v/>
      </c>
      <c r="K1323">
        <f>IF($P1323="","",INDEX(상세표[블록 07~18시],$P1323))</f>
        <v/>
      </c>
      <c r="L1323">
        <f>IF($P1323="","",INDEX(상세표[블록 18~22시],$P1323))</f>
        <v/>
      </c>
      <c r="M1323">
        <f>IF($P1323="","",INDEX(상세표[블록 22~06시],$P1323))</f>
        <v/>
      </c>
      <c r="N1323">
        <f>IF($P1323="","",INDEX(상세표[주말·휴일 포함],$P1323)&amp;"")</f>
        <v/>
      </c>
      <c r="O1323">
        <f>IF($P1323="","",INDEX(상세표[월 넘김 포함],$P1323)&amp;"")</f>
        <v/>
      </c>
      <c r="P1323" s="4">
        <f>IFERROR(MATCH(1318,상세표[연속순번],0),"")</f>
        <v/>
      </c>
    </row>
    <row r="1324">
      <c r="A1324">
        <f>IF($P1324="","",INDEX(상세표[사번],$P1324)&amp;"")</f>
        <v/>
      </c>
      <c r="B1324">
        <f>IF($P1324="","",INDEX(상세표[성명],$P1324)&amp;"")</f>
        <v/>
      </c>
      <c r="C1324">
        <f>IF($P1324="","",INDEX(상세표[부서],$P1324)&amp;"")</f>
        <v/>
      </c>
      <c r="D1324">
        <f>IF($P1324="","",INDEX(상세표[직위],$P1324)&amp;"")</f>
        <v/>
      </c>
      <c r="E1324">
        <f>IF($P1324="","",IF(ISNUMBER(INDEX(상세표[시작],$P1324)),TEXT(INDEX(상세표[시작],$P1324),"yyyy-mm-dd hh:mm"),INDEX(상세표[시작],$P1324)&amp;""))</f>
        <v/>
      </c>
      <c r="F1324">
        <f>IF($P1324="","",IF(ISNUMBER(INDEX(상세표[블록종료],$P1324)),TEXT(INDEX(상세표[블록종료],$P1324),"yyyy-mm-dd hh:mm"),INDEX(상세표[블록종료],$P1324)&amp;""))</f>
        <v/>
      </c>
      <c r="G1324">
        <f>IF($P1324="","",CHOOSE(WEEKDAY(INDEX(상세표[시작],$P1324)),"일","월","화","수","목","금","토"))</f>
        <v/>
      </c>
      <c r="H1324">
        <f>IF($P1324="","",INDEX(상세표[연속 시간],$P1324))</f>
        <v/>
      </c>
      <c r="I1324">
        <f>IF($P1324="","",INDEX(상세표[기록 수],$P1324))</f>
        <v/>
      </c>
      <c r="J1324">
        <f>IF($P1324="","",INDEX(상세표[블록 06~07시],$P1324))</f>
        <v/>
      </c>
      <c r="K1324">
        <f>IF($P1324="","",INDEX(상세표[블록 07~18시],$P1324))</f>
        <v/>
      </c>
      <c r="L1324">
        <f>IF($P1324="","",INDEX(상세표[블록 18~22시],$P1324))</f>
        <v/>
      </c>
      <c r="M1324">
        <f>IF($P1324="","",INDEX(상세표[블록 22~06시],$P1324))</f>
        <v/>
      </c>
      <c r="N1324">
        <f>IF($P1324="","",INDEX(상세표[주말·휴일 포함],$P1324)&amp;"")</f>
        <v/>
      </c>
      <c r="O1324">
        <f>IF($P1324="","",INDEX(상세표[월 넘김 포함],$P1324)&amp;"")</f>
        <v/>
      </c>
      <c r="P1324" s="4">
        <f>IFERROR(MATCH(1319,상세표[연속순번],0),"")</f>
        <v/>
      </c>
    </row>
    <row r="1325">
      <c r="A1325">
        <f>IF($P1325="","",INDEX(상세표[사번],$P1325)&amp;"")</f>
        <v/>
      </c>
      <c r="B1325">
        <f>IF($P1325="","",INDEX(상세표[성명],$P1325)&amp;"")</f>
        <v/>
      </c>
      <c r="C1325">
        <f>IF($P1325="","",INDEX(상세표[부서],$P1325)&amp;"")</f>
        <v/>
      </c>
      <c r="D1325">
        <f>IF($P1325="","",INDEX(상세표[직위],$P1325)&amp;"")</f>
        <v/>
      </c>
      <c r="E1325">
        <f>IF($P1325="","",IF(ISNUMBER(INDEX(상세표[시작],$P1325)),TEXT(INDEX(상세표[시작],$P1325),"yyyy-mm-dd hh:mm"),INDEX(상세표[시작],$P1325)&amp;""))</f>
        <v/>
      </c>
      <c r="F1325">
        <f>IF($P1325="","",IF(ISNUMBER(INDEX(상세표[블록종료],$P1325)),TEXT(INDEX(상세표[블록종료],$P1325),"yyyy-mm-dd hh:mm"),INDEX(상세표[블록종료],$P1325)&amp;""))</f>
        <v/>
      </c>
      <c r="G1325">
        <f>IF($P1325="","",CHOOSE(WEEKDAY(INDEX(상세표[시작],$P1325)),"일","월","화","수","목","금","토"))</f>
        <v/>
      </c>
      <c r="H1325">
        <f>IF($P1325="","",INDEX(상세표[연속 시간],$P1325))</f>
        <v/>
      </c>
      <c r="I1325">
        <f>IF($P1325="","",INDEX(상세표[기록 수],$P1325))</f>
        <v/>
      </c>
      <c r="J1325">
        <f>IF($P1325="","",INDEX(상세표[블록 06~07시],$P1325))</f>
        <v/>
      </c>
      <c r="K1325">
        <f>IF($P1325="","",INDEX(상세표[블록 07~18시],$P1325))</f>
        <v/>
      </c>
      <c r="L1325">
        <f>IF($P1325="","",INDEX(상세표[블록 18~22시],$P1325))</f>
        <v/>
      </c>
      <c r="M1325">
        <f>IF($P1325="","",INDEX(상세표[블록 22~06시],$P1325))</f>
        <v/>
      </c>
      <c r="N1325">
        <f>IF($P1325="","",INDEX(상세표[주말·휴일 포함],$P1325)&amp;"")</f>
        <v/>
      </c>
      <c r="O1325">
        <f>IF($P1325="","",INDEX(상세표[월 넘김 포함],$P1325)&amp;"")</f>
        <v/>
      </c>
      <c r="P1325" s="4">
        <f>IFERROR(MATCH(1320,상세표[연속순번],0),"")</f>
        <v/>
      </c>
    </row>
    <row r="1326">
      <c r="A1326">
        <f>IF($P1326="","",INDEX(상세표[사번],$P1326)&amp;"")</f>
        <v/>
      </c>
      <c r="B1326">
        <f>IF($P1326="","",INDEX(상세표[성명],$P1326)&amp;"")</f>
        <v/>
      </c>
      <c r="C1326">
        <f>IF($P1326="","",INDEX(상세표[부서],$P1326)&amp;"")</f>
        <v/>
      </c>
      <c r="D1326">
        <f>IF($P1326="","",INDEX(상세표[직위],$P1326)&amp;"")</f>
        <v/>
      </c>
      <c r="E1326">
        <f>IF($P1326="","",IF(ISNUMBER(INDEX(상세표[시작],$P1326)),TEXT(INDEX(상세표[시작],$P1326),"yyyy-mm-dd hh:mm"),INDEX(상세표[시작],$P1326)&amp;""))</f>
        <v/>
      </c>
      <c r="F1326">
        <f>IF($P1326="","",IF(ISNUMBER(INDEX(상세표[블록종료],$P1326)),TEXT(INDEX(상세표[블록종료],$P1326),"yyyy-mm-dd hh:mm"),INDEX(상세표[블록종료],$P1326)&amp;""))</f>
        <v/>
      </c>
      <c r="G1326">
        <f>IF($P1326="","",CHOOSE(WEEKDAY(INDEX(상세표[시작],$P1326)),"일","월","화","수","목","금","토"))</f>
        <v/>
      </c>
      <c r="H1326">
        <f>IF($P1326="","",INDEX(상세표[연속 시간],$P1326))</f>
        <v/>
      </c>
      <c r="I1326">
        <f>IF($P1326="","",INDEX(상세표[기록 수],$P1326))</f>
        <v/>
      </c>
      <c r="J1326">
        <f>IF($P1326="","",INDEX(상세표[블록 06~07시],$P1326))</f>
        <v/>
      </c>
      <c r="K1326">
        <f>IF($P1326="","",INDEX(상세표[블록 07~18시],$P1326))</f>
        <v/>
      </c>
      <c r="L1326">
        <f>IF($P1326="","",INDEX(상세표[블록 18~22시],$P1326))</f>
        <v/>
      </c>
      <c r="M1326">
        <f>IF($P1326="","",INDEX(상세표[블록 22~06시],$P1326))</f>
        <v/>
      </c>
      <c r="N1326">
        <f>IF($P1326="","",INDEX(상세표[주말·휴일 포함],$P1326)&amp;"")</f>
        <v/>
      </c>
      <c r="O1326">
        <f>IF($P1326="","",INDEX(상세표[월 넘김 포함],$P1326)&amp;"")</f>
        <v/>
      </c>
      <c r="P1326" s="4">
        <f>IFERROR(MATCH(1321,상세표[연속순번],0),"")</f>
        <v/>
      </c>
    </row>
    <row r="1327">
      <c r="A1327">
        <f>IF($P1327="","",INDEX(상세표[사번],$P1327)&amp;"")</f>
        <v/>
      </c>
      <c r="B1327">
        <f>IF($P1327="","",INDEX(상세표[성명],$P1327)&amp;"")</f>
        <v/>
      </c>
      <c r="C1327">
        <f>IF($P1327="","",INDEX(상세표[부서],$P1327)&amp;"")</f>
        <v/>
      </c>
      <c r="D1327">
        <f>IF($P1327="","",INDEX(상세표[직위],$P1327)&amp;"")</f>
        <v/>
      </c>
      <c r="E1327">
        <f>IF($P1327="","",IF(ISNUMBER(INDEX(상세표[시작],$P1327)),TEXT(INDEX(상세표[시작],$P1327),"yyyy-mm-dd hh:mm"),INDEX(상세표[시작],$P1327)&amp;""))</f>
        <v/>
      </c>
      <c r="F1327">
        <f>IF($P1327="","",IF(ISNUMBER(INDEX(상세표[블록종료],$P1327)),TEXT(INDEX(상세표[블록종료],$P1327),"yyyy-mm-dd hh:mm"),INDEX(상세표[블록종료],$P1327)&amp;""))</f>
        <v/>
      </c>
      <c r="G1327">
        <f>IF($P1327="","",CHOOSE(WEEKDAY(INDEX(상세표[시작],$P1327)),"일","월","화","수","목","금","토"))</f>
        <v/>
      </c>
      <c r="H1327">
        <f>IF($P1327="","",INDEX(상세표[연속 시간],$P1327))</f>
        <v/>
      </c>
      <c r="I1327">
        <f>IF($P1327="","",INDEX(상세표[기록 수],$P1327))</f>
        <v/>
      </c>
      <c r="J1327">
        <f>IF($P1327="","",INDEX(상세표[블록 06~07시],$P1327))</f>
        <v/>
      </c>
      <c r="K1327">
        <f>IF($P1327="","",INDEX(상세표[블록 07~18시],$P1327))</f>
        <v/>
      </c>
      <c r="L1327">
        <f>IF($P1327="","",INDEX(상세표[블록 18~22시],$P1327))</f>
        <v/>
      </c>
      <c r="M1327">
        <f>IF($P1327="","",INDEX(상세표[블록 22~06시],$P1327))</f>
        <v/>
      </c>
      <c r="N1327">
        <f>IF($P1327="","",INDEX(상세표[주말·휴일 포함],$P1327)&amp;"")</f>
        <v/>
      </c>
      <c r="O1327">
        <f>IF($P1327="","",INDEX(상세표[월 넘김 포함],$P1327)&amp;"")</f>
        <v/>
      </c>
      <c r="P1327" s="4">
        <f>IFERROR(MATCH(1322,상세표[연속순번],0),"")</f>
        <v/>
      </c>
    </row>
    <row r="1328">
      <c r="A1328">
        <f>IF($P1328="","",INDEX(상세표[사번],$P1328)&amp;"")</f>
        <v/>
      </c>
      <c r="B1328">
        <f>IF($P1328="","",INDEX(상세표[성명],$P1328)&amp;"")</f>
        <v/>
      </c>
      <c r="C1328">
        <f>IF($P1328="","",INDEX(상세표[부서],$P1328)&amp;"")</f>
        <v/>
      </c>
      <c r="D1328">
        <f>IF($P1328="","",INDEX(상세표[직위],$P1328)&amp;"")</f>
        <v/>
      </c>
      <c r="E1328">
        <f>IF($P1328="","",IF(ISNUMBER(INDEX(상세표[시작],$P1328)),TEXT(INDEX(상세표[시작],$P1328),"yyyy-mm-dd hh:mm"),INDEX(상세표[시작],$P1328)&amp;""))</f>
        <v/>
      </c>
      <c r="F1328">
        <f>IF($P1328="","",IF(ISNUMBER(INDEX(상세표[블록종료],$P1328)),TEXT(INDEX(상세표[블록종료],$P1328),"yyyy-mm-dd hh:mm"),INDEX(상세표[블록종료],$P1328)&amp;""))</f>
        <v/>
      </c>
      <c r="G1328">
        <f>IF($P1328="","",CHOOSE(WEEKDAY(INDEX(상세표[시작],$P1328)),"일","월","화","수","목","금","토"))</f>
        <v/>
      </c>
      <c r="H1328">
        <f>IF($P1328="","",INDEX(상세표[연속 시간],$P1328))</f>
        <v/>
      </c>
      <c r="I1328">
        <f>IF($P1328="","",INDEX(상세표[기록 수],$P1328))</f>
        <v/>
      </c>
      <c r="J1328">
        <f>IF($P1328="","",INDEX(상세표[블록 06~07시],$P1328))</f>
        <v/>
      </c>
      <c r="K1328">
        <f>IF($P1328="","",INDEX(상세표[블록 07~18시],$P1328))</f>
        <v/>
      </c>
      <c r="L1328">
        <f>IF($P1328="","",INDEX(상세표[블록 18~22시],$P1328))</f>
        <v/>
      </c>
      <c r="M1328">
        <f>IF($P1328="","",INDEX(상세표[블록 22~06시],$P1328))</f>
        <v/>
      </c>
      <c r="N1328">
        <f>IF($P1328="","",INDEX(상세표[주말·휴일 포함],$P1328)&amp;"")</f>
        <v/>
      </c>
      <c r="O1328">
        <f>IF($P1328="","",INDEX(상세표[월 넘김 포함],$P1328)&amp;"")</f>
        <v/>
      </c>
      <c r="P1328" s="4">
        <f>IFERROR(MATCH(1323,상세표[연속순번],0),"")</f>
        <v/>
      </c>
    </row>
    <row r="1329">
      <c r="A1329">
        <f>IF($P1329="","",INDEX(상세표[사번],$P1329)&amp;"")</f>
        <v/>
      </c>
      <c r="B1329">
        <f>IF($P1329="","",INDEX(상세표[성명],$P1329)&amp;"")</f>
        <v/>
      </c>
      <c r="C1329">
        <f>IF($P1329="","",INDEX(상세표[부서],$P1329)&amp;"")</f>
        <v/>
      </c>
      <c r="D1329">
        <f>IF($P1329="","",INDEX(상세표[직위],$P1329)&amp;"")</f>
        <v/>
      </c>
      <c r="E1329">
        <f>IF($P1329="","",IF(ISNUMBER(INDEX(상세표[시작],$P1329)),TEXT(INDEX(상세표[시작],$P1329),"yyyy-mm-dd hh:mm"),INDEX(상세표[시작],$P1329)&amp;""))</f>
        <v/>
      </c>
      <c r="F1329">
        <f>IF($P1329="","",IF(ISNUMBER(INDEX(상세표[블록종료],$P1329)),TEXT(INDEX(상세표[블록종료],$P1329),"yyyy-mm-dd hh:mm"),INDEX(상세표[블록종료],$P1329)&amp;""))</f>
        <v/>
      </c>
      <c r="G1329">
        <f>IF($P1329="","",CHOOSE(WEEKDAY(INDEX(상세표[시작],$P1329)),"일","월","화","수","목","금","토"))</f>
        <v/>
      </c>
      <c r="H1329">
        <f>IF($P1329="","",INDEX(상세표[연속 시간],$P1329))</f>
        <v/>
      </c>
      <c r="I1329">
        <f>IF($P1329="","",INDEX(상세표[기록 수],$P1329))</f>
        <v/>
      </c>
      <c r="J1329">
        <f>IF($P1329="","",INDEX(상세표[블록 06~07시],$P1329))</f>
        <v/>
      </c>
      <c r="K1329">
        <f>IF($P1329="","",INDEX(상세표[블록 07~18시],$P1329))</f>
        <v/>
      </c>
      <c r="L1329">
        <f>IF($P1329="","",INDEX(상세표[블록 18~22시],$P1329))</f>
        <v/>
      </c>
      <c r="M1329">
        <f>IF($P1329="","",INDEX(상세표[블록 22~06시],$P1329))</f>
        <v/>
      </c>
      <c r="N1329">
        <f>IF($P1329="","",INDEX(상세표[주말·휴일 포함],$P1329)&amp;"")</f>
        <v/>
      </c>
      <c r="O1329">
        <f>IF($P1329="","",INDEX(상세표[월 넘김 포함],$P1329)&amp;"")</f>
        <v/>
      </c>
      <c r="P1329" s="4">
        <f>IFERROR(MATCH(1324,상세표[연속순번],0),"")</f>
        <v/>
      </c>
    </row>
    <row r="1330">
      <c r="A1330">
        <f>IF($P1330="","",INDEX(상세표[사번],$P1330)&amp;"")</f>
        <v/>
      </c>
      <c r="B1330">
        <f>IF($P1330="","",INDEX(상세표[성명],$P1330)&amp;"")</f>
        <v/>
      </c>
      <c r="C1330">
        <f>IF($P1330="","",INDEX(상세표[부서],$P1330)&amp;"")</f>
        <v/>
      </c>
      <c r="D1330">
        <f>IF($P1330="","",INDEX(상세표[직위],$P1330)&amp;"")</f>
        <v/>
      </c>
      <c r="E1330">
        <f>IF($P1330="","",IF(ISNUMBER(INDEX(상세표[시작],$P1330)),TEXT(INDEX(상세표[시작],$P1330),"yyyy-mm-dd hh:mm"),INDEX(상세표[시작],$P1330)&amp;""))</f>
        <v/>
      </c>
      <c r="F1330">
        <f>IF($P1330="","",IF(ISNUMBER(INDEX(상세표[블록종료],$P1330)),TEXT(INDEX(상세표[블록종료],$P1330),"yyyy-mm-dd hh:mm"),INDEX(상세표[블록종료],$P1330)&amp;""))</f>
        <v/>
      </c>
      <c r="G1330">
        <f>IF($P1330="","",CHOOSE(WEEKDAY(INDEX(상세표[시작],$P1330)),"일","월","화","수","목","금","토"))</f>
        <v/>
      </c>
      <c r="H1330">
        <f>IF($P1330="","",INDEX(상세표[연속 시간],$P1330))</f>
        <v/>
      </c>
      <c r="I1330">
        <f>IF($P1330="","",INDEX(상세표[기록 수],$P1330))</f>
        <v/>
      </c>
      <c r="J1330">
        <f>IF($P1330="","",INDEX(상세표[블록 06~07시],$P1330))</f>
        <v/>
      </c>
      <c r="K1330">
        <f>IF($P1330="","",INDEX(상세표[블록 07~18시],$P1330))</f>
        <v/>
      </c>
      <c r="L1330">
        <f>IF($P1330="","",INDEX(상세표[블록 18~22시],$P1330))</f>
        <v/>
      </c>
      <c r="M1330">
        <f>IF($P1330="","",INDEX(상세표[블록 22~06시],$P1330))</f>
        <v/>
      </c>
      <c r="N1330">
        <f>IF($P1330="","",INDEX(상세표[주말·휴일 포함],$P1330)&amp;"")</f>
        <v/>
      </c>
      <c r="O1330">
        <f>IF($P1330="","",INDEX(상세표[월 넘김 포함],$P1330)&amp;"")</f>
        <v/>
      </c>
      <c r="P1330" s="4">
        <f>IFERROR(MATCH(1325,상세표[연속순번],0),"")</f>
        <v/>
      </c>
    </row>
    <row r="1331">
      <c r="A1331">
        <f>IF($P1331="","",INDEX(상세표[사번],$P1331)&amp;"")</f>
        <v/>
      </c>
      <c r="B1331">
        <f>IF($P1331="","",INDEX(상세표[성명],$P1331)&amp;"")</f>
        <v/>
      </c>
      <c r="C1331">
        <f>IF($P1331="","",INDEX(상세표[부서],$P1331)&amp;"")</f>
        <v/>
      </c>
      <c r="D1331">
        <f>IF($P1331="","",INDEX(상세표[직위],$P1331)&amp;"")</f>
        <v/>
      </c>
      <c r="E1331">
        <f>IF($P1331="","",IF(ISNUMBER(INDEX(상세표[시작],$P1331)),TEXT(INDEX(상세표[시작],$P1331),"yyyy-mm-dd hh:mm"),INDEX(상세표[시작],$P1331)&amp;""))</f>
        <v/>
      </c>
      <c r="F1331">
        <f>IF($P1331="","",IF(ISNUMBER(INDEX(상세표[블록종료],$P1331)),TEXT(INDEX(상세표[블록종료],$P1331),"yyyy-mm-dd hh:mm"),INDEX(상세표[블록종료],$P1331)&amp;""))</f>
        <v/>
      </c>
      <c r="G1331">
        <f>IF($P1331="","",CHOOSE(WEEKDAY(INDEX(상세표[시작],$P1331)),"일","월","화","수","목","금","토"))</f>
        <v/>
      </c>
      <c r="H1331">
        <f>IF($P1331="","",INDEX(상세표[연속 시간],$P1331))</f>
        <v/>
      </c>
      <c r="I1331">
        <f>IF($P1331="","",INDEX(상세표[기록 수],$P1331))</f>
        <v/>
      </c>
      <c r="J1331">
        <f>IF($P1331="","",INDEX(상세표[블록 06~07시],$P1331))</f>
        <v/>
      </c>
      <c r="K1331">
        <f>IF($P1331="","",INDEX(상세표[블록 07~18시],$P1331))</f>
        <v/>
      </c>
      <c r="L1331">
        <f>IF($P1331="","",INDEX(상세표[블록 18~22시],$P1331))</f>
        <v/>
      </c>
      <c r="M1331">
        <f>IF($P1331="","",INDEX(상세표[블록 22~06시],$P1331))</f>
        <v/>
      </c>
      <c r="N1331">
        <f>IF($P1331="","",INDEX(상세표[주말·휴일 포함],$P1331)&amp;"")</f>
        <v/>
      </c>
      <c r="O1331">
        <f>IF($P1331="","",INDEX(상세표[월 넘김 포함],$P1331)&amp;"")</f>
        <v/>
      </c>
      <c r="P1331" s="4">
        <f>IFERROR(MATCH(1326,상세표[연속순번],0),"")</f>
        <v/>
      </c>
    </row>
    <row r="1332">
      <c r="A1332">
        <f>IF($P1332="","",INDEX(상세표[사번],$P1332)&amp;"")</f>
        <v/>
      </c>
      <c r="B1332">
        <f>IF($P1332="","",INDEX(상세표[성명],$P1332)&amp;"")</f>
        <v/>
      </c>
      <c r="C1332">
        <f>IF($P1332="","",INDEX(상세표[부서],$P1332)&amp;"")</f>
        <v/>
      </c>
      <c r="D1332">
        <f>IF($P1332="","",INDEX(상세표[직위],$P1332)&amp;"")</f>
        <v/>
      </c>
      <c r="E1332">
        <f>IF($P1332="","",IF(ISNUMBER(INDEX(상세표[시작],$P1332)),TEXT(INDEX(상세표[시작],$P1332),"yyyy-mm-dd hh:mm"),INDEX(상세표[시작],$P1332)&amp;""))</f>
        <v/>
      </c>
      <c r="F1332">
        <f>IF($P1332="","",IF(ISNUMBER(INDEX(상세표[블록종료],$P1332)),TEXT(INDEX(상세표[블록종료],$P1332),"yyyy-mm-dd hh:mm"),INDEX(상세표[블록종료],$P1332)&amp;""))</f>
        <v/>
      </c>
      <c r="G1332">
        <f>IF($P1332="","",CHOOSE(WEEKDAY(INDEX(상세표[시작],$P1332)),"일","월","화","수","목","금","토"))</f>
        <v/>
      </c>
      <c r="H1332">
        <f>IF($P1332="","",INDEX(상세표[연속 시간],$P1332))</f>
        <v/>
      </c>
      <c r="I1332">
        <f>IF($P1332="","",INDEX(상세표[기록 수],$P1332))</f>
        <v/>
      </c>
      <c r="J1332">
        <f>IF($P1332="","",INDEX(상세표[블록 06~07시],$P1332))</f>
        <v/>
      </c>
      <c r="K1332">
        <f>IF($P1332="","",INDEX(상세표[블록 07~18시],$P1332))</f>
        <v/>
      </c>
      <c r="L1332">
        <f>IF($P1332="","",INDEX(상세표[블록 18~22시],$P1332))</f>
        <v/>
      </c>
      <c r="M1332">
        <f>IF($P1332="","",INDEX(상세표[블록 22~06시],$P1332))</f>
        <v/>
      </c>
      <c r="N1332">
        <f>IF($P1332="","",INDEX(상세표[주말·휴일 포함],$P1332)&amp;"")</f>
        <v/>
      </c>
      <c r="O1332">
        <f>IF($P1332="","",INDEX(상세표[월 넘김 포함],$P1332)&amp;"")</f>
        <v/>
      </c>
      <c r="P1332" s="4">
        <f>IFERROR(MATCH(1327,상세표[연속순번],0),"")</f>
        <v/>
      </c>
    </row>
    <row r="1333">
      <c r="A1333">
        <f>IF($P1333="","",INDEX(상세표[사번],$P1333)&amp;"")</f>
        <v/>
      </c>
      <c r="B1333">
        <f>IF($P1333="","",INDEX(상세표[성명],$P1333)&amp;"")</f>
        <v/>
      </c>
      <c r="C1333">
        <f>IF($P1333="","",INDEX(상세표[부서],$P1333)&amp;"")</f>
        <v/>
      </c>
      <c r="D1333">
        <f>IF($P1333="","",INDEX(상세표[직위],$P1333)&amp;"")</f>
        <v/>
      </c>
      <c r="E1333">
        <f>IF($P1333="","",IF(ISNUMBER(INDEX(상세표[시작],$P1333)),TEXT(INDEX(상세표[시작],$P1333),"yyyy-mm-dd hh:mm"),INDEX(상세표[시작],$P1333)&amp;""))</f>
        <v/>
      </c>
      <c r="F1333">
        <f>IF($P1333="","",IF(ISNUMBER(INDEX(상세표[블록종료],$P1333)),TEXT(INDEX(상세표[블록종료],$P1333),"yyyy-mm-dd hh:mm"),INDEX(상세표[블록종료],$P1333)&amp;""))</f>
        <v/>
      </c>
      <c r="G1333">
        <f>IF($P1333="","",CHOOSE(WEEKDAY(INDEX(상세표[시작],$P1333)),"일","월","화","수","목","금","토"))</f>
        <v/>
      </c>
      <c r="H1333">
        <f>IF($P1333="","",INDEX(상세표[연속 시간],$P1333))</f>
        <v/>
      </c>
      <c r="I1333">
        <f>IF($P1333="","",INDEX(상세표[기록 수],$P1333))</f>
        <v/>
      </c>
      <c r="J1333">
        <f>IF($P1333="","",INDEX(상세표[블록 06~07시],$P1333))</f>
        <v/>
      </c>
      <c r="K1333">
        <f>IF($P1333="","",INDEX(상세표[블록 07~18시],$P1333))</f>
        <v/>
      </c>
      <c r="L1333">
        <f>IF($P1333="","",INDEX(상세표[블록 18~22시],$P1333))</f>
        <v/>
      </c>
      <c r="M1333">
        <f>IF($P1333="","",INDEX(상세표[블록 22~06시],$P1333))</f>
        <v/>
      </c>
      <c r="N1333">
        <f>IF($P1333="","",INDEX(상세표[주말·휴일 포함],$P1333)&amp;"")</f>
        <v/>
      </c>
      <c r="O1333">
        <f>IF($P1333="","",INDEX(상세표[월 넘김 포함],$P1333)&amp;"")</f>
        <v/>
      </c>
      <c r="P1333" s="4">
        <f>IFERROR(MATCH(1328,상세표[연속순번],0),"")</f>
        <v/>
      </c>
    </row>
    <row r="1334">
      <c r="A1334">
        <f>IF($P1334="","",INDEX(상세표[사번],$P1334)&amp;"")</f>
        <v/>
      </c>
      <c r="B1334">
        <f>IF($P1334="","",INDEX(상세표[성명],$P1334)&amp;"")</f>
        <v/>
      </c>
      <c r="C1334">
        <f>IF($P1334="","",INDEX(상세표[부서],$P1334)&amp;"")</f>
        <v/>
      </c>
      <c r="D1334">
        <f>IF($P1334="","",INDEX(상세표[직위],$P1334)&amp;"")</f>
        <v/>
      </c>
      <c r="E1334">
        <f>IF($P1334="","",IF(ISNUMBER(INDEX(상세표[시작],$P1334)),TEXT(INDEX(상세표[시작],$P1334),"yyyy-mm-dd hh:mm"),INDEX(상세표[시작],$P1334)&amp;""))</f>
        <v/>
      </c>
      <c r="F1334">
        <f>IF($P1334="","",IF(ISNUMBER(INDEX(상세표[블록종료],$P1334)),TEXT(INDEX(상세표[블록종료],$P1334),"yyyy-mm-dd hh:mm"),INDEX(상세표[블록종료],$P1334)&amp;""))</f>
        <v/>
      </c>
      <c r="G1334">
        <f>IF($P1334="","",CHOOSE(WEEKDAY(INDEX(상세표[시작],$P1334)),"일","월","화","수","목","금","토"))</f>
        <v/>
      </c>
      <c r="H1334">
        <f>IF($P1334="","",INDEX(상세표[연속 시간],$P1334))</f>
        <v/>
      </c>
      <c r="I1334">
        <f>IF($P1334="","",INDEX(상세표[기록 수],$P1334))</f>
        <v/>
      </c>
      <c r="J1334">
        <f>IF($P1334="","",INDEX(상세표[블록 06~07시],$P1334))</f>
        <v/>
      </c>
      <c r="K1334">
        <f>IF($P1334="","",INDEX(상세표[블록 07~18시],$P1334))</f>
        <v/>
      </c>
      <c r="L1334">
        <f>IF($P1334="","",INDEX(상세표[블록 18~22시],$P1334))</f>
        <v/>
      </c>
      <c r="M1334">
        <f>IF($P1334="","",INDEX(상세표[블록 22~06시],$P1334))</f>
        <v/>
      </c>
      <c r="N1334">
        <f>IF($P1334="","",INDEX(상세표[주말·휴일 포함],$P1334)&amp;"")</f>
        <v/>
      </c>
      <c r="O1334">
        <f>IF($P1334="","",INDEX(상세표[월 넘김 포함],$P1334)&amp;"")</f>
        <v/>
      </c>
      <c r="P1334" s="4">
        <f>IFERROR(MATCH(1329,상세표[연속순번],0),"")</f>
        <v/>
      </c>
    </row>
    <row r="1335">
      <c r="A1335">
        <f>IF($P1335="","",INDEX(상세표[사번],$P1335)&amp;"")</f>
        <v/>
      </c>
      <c r="B1335">
        <f>IF($P1335="","",INDEX(상세표[성명],$P1335)&amp;"")</f>
        <v/>
      </c>
      <c r="C1335">
        <f>IF($P1335="","",INDEX(상세표[부서],$P1335)&amp;"")</f>
        <v/>
      </c>
      <c r="D1335">
        <f>IF($P1335="","",INDEX(상세표[직위],$P1335)&amp;"")</f>
        <v/>
      </c>
      <c r="E1335">
        <f>IF($P1335="","",IF(ISNUMBER(INDEX(상세표[시작],$P1335)),TEXT(INDEX(상세표[시작],$P1335),"yyyy-mm-dd hh:mm"),INDEX(상세표[시작],$P1335)&amp;""))</f>
        <v/>
      </c>
      <c r="F1335">
        <f>IF($P1335="","",IF(ISNUMBER(INDEX(상세표[블록종료],$P1335)),TEXT(INDEX(상세표[블록종료],$P1335),"yyyy-mm-dd hh:mm"),INDEX(상세표[블록종료],$P1335)&amp;""))</f>
        <v/>
      </c>
      <c r="G1335">
        <f>IF($P1335="","",CHOOSE(WEEKDAY(INDEX(상세표[시작],$P1335)),"일","월","화","수","목","금","토"))</f>
        <v/>
      </c>
      <c r="H1335">
        <f>IF($P1335="","",INDEX(상세표[연속 시간],$P1335))</f>
        <v/>
      </c>
      <c r="I1335">
        <f>IF($P1335="","",INDEX(상세표[기록 수],$P1335))</f>
        <v/>
      </c>
      <c r="J1335">
        <f>IF($P1335="","",INDEX(상세표[블록 06~07시],$P1335))</f>
        <v/>
      </c>
      <c r="K1335">
        <f>IF($P1335="","",INDEX(상세표[블록 07~18시],$P1335))</f>
        <v/>
      </c>
      <c r="L1335">
        <f>IF($P1335="","",INDEX(상세표[블록 18~22시],$P1335))</f>
        <v/>
      </c>
      <c r="M1335">
        <f>IF($P1335="","",INDEX(상세표[블록 22~06시],$P1335))</f>
        <v/>
      </c>
      <c r="N1335">
        <f>IF($P1335="","",INDEX(상세표[주말·휴일 포함],$P1335)&amp;"")</f>
        <v/>
      </c>
      <c r="O1335">
        <f>IF($P1335="","",INDEX(상세표[월 넘김 포함],$P1335)&amp;"")</f>
        <v/>
      </c>
      <c r="P1335" s="4">
        <f>IFERROR(MATCH(1330,상세표[연속순번],0),"")</f>
        <v/>
      </c>
    </row>
    <row r="1336">
      <c r="A1336">
        <f>IF($P1336="","",INDEX(상세표[사번],$P1336)&amp;"")</f>
        <v/>
      </c>
      <c r="B1336">
        <f>IF($P1336="","",INDEX(상세표[성명],$P1336)&amp;"")</f>
        <v/>
      </c>
      <c r="C1336">
        <f>IF($P1336="","",INDEX(상세표[부서],$P1336)&amp;"")</f>
        <v/>
      </c>
      <c r="D1336">
        <f>IF($P1336="","",INDEX(상세표[직위],$P1336)&amp;"")</f>
        <v/>
      </c>
      <c r="E1336">
        <f>IF($P1336="","",IF(ISNUMBER(INDEX(상세표[시작],$P1336)),TEXT(INDEX(상세표[시작],$P1336),"yyyy-mm-dd hh:mm"),INDEX(상세표[시작],$P1336)&amp;""))</f>
        <v/>
      </c>
      <c r="F1336">
        <f>IF($P1336="","",IF(ISNUMBER(INDEX(상세표[블록종료],$P1336)),TEXT(INDEX(상세표[블록종료],$P1336),"yyyy-mm-dd hh:mm"),INDEX(상세표[블록종료],$P1336)&amp;""))</f>
        <v/>
      </c>
      <c r="G1336">
        <f>IF($P1336="","",CHOOSE(WEEKDAY(INDEX(상세표[시작],$P1336)),"일","월","화","수","목","금","토"))</f>
        <v/>
      </c>
      <c r="H1336">
        <f>IF($P1336="","",INDEX(상세표[연속 시간],$P1336))</f>
        <v/>
      </c>
      <c r="I1336">
        <f>IF($P1336="","",INDEX(상세표[기록 수],$P1336))</f>
        <v/>
      </c>
      <c r="J1336">
        <f>IF($P1336="","",INDEX(상세표[블록 06~07시],$P1336))</f>
        <v/>
      </c>
      <c r="K1336">
        <f>IF($P1336="","",INDEX(상세표[블록 07~18시],$P1336))</f>
        <v/>
      </c>
      <c r="L1336">
        <f>IF($P1336="","",INDEX(상세표[블록 18~22시],$P1336))</f>
        <v/>
      </c>
      <c r="M1336">
        <f>IF($P1336="","",INDEX(상세표[블록 22~06시],$P1336))</f>
        <v/>
      </c>
      <c r="N1336">
        <f>IF($P1336="","",INDEX(상세표[주말·휴일 포함],$P1336)&amp;"")</f>
        <v/>
      </c>
      <c r="O1336">
        <f>IF($P1336="","",INDEX(상세표[월 넘김 포함],$P1336)&amp;"")</f>
        <v/>
      </c>
      <c r="P1336" s="4">
        <f>IFERROR(MATCH(1331,상세표[연속순번],0),"")</f>
        <v/>
      </c>
    </row>
    <row r="1337">
      <c r="A1337">
        <f>IF($P1337="","",INDEX(상세표[사번],$P1337)&amp;"")</f>
        <v/>
      </c>
      <c r="B1337">
        <f>IF($P1337="","",INDEX(상세표[성명],$P1337)&amp;"")</f>
        <v/>
      </c>
      <c r="C1337">
        <f>IF($P1337="","",INDEX(상세표[부서],$P1337)&amp;"")</f>
        <v/>
      </c>
      <c r="D1337">
        <f>IF($P1337="","",INDEX(상세표[직위],$P1337)&amp;"")</f>
        <v/>
      </c>
      <c r="E1337">
        <f>IF($P1337="","",IF(ISNUMBER(INDEX(상세표[시작],$P1337)),TEXT(INDEX(상세표[시작],$P1337),"yyyy-mm-dd hh:mm"),INDEX(상세표[시작],$P1337)&amp;""))</f>
        <v/>
      </c>
      <c r="F1337">
        <f>IF($P1337="","",IF(ISNUMBER(INDEX(상세표[블록종료],$P1337)),TEXT(INDEX(상세표[블록종료],$P1337),"yyyy-mm-dd hh:mm"),INDEX(상세표[블록종료],$P1337)&amp;""))</f>
        <v/>
      </c>
      <c r="G1337">
        <f>IF($P1337="","",CHOOSE(WEEKDAY(INDEX(상세표[시작],$P1337)),"일","월","화","수","목","금","토"))</f>
        <v/>
      </c>
      <c r="H1337">
        <f>IF($P1337="","",INDEX(상세표[연속 시간],$P1337))</f>
        <v/>
      </c>
      <c r="I1337">
        <f>IF($P1337="","",INDEX(상세표[기록 수],$P1337))</f>
        <v/>
      </c>
      <c r="J1337">
        <f>IF($P1337="","",INDEX(상세표[블록 06~07시],$P1337))</f>
        <v/>
      </c>
      <c r="K1337">
        <f>IF($P1337="","",INDEX(상세표[블록 07~18시],$P1337))</f>
        <v/>
      </c>
      <c r="L1337">
        <f>IF($P1337="","",INDEX(상세표[블록 18~22시],$P1337))</f>
        <v/>
      </c>
      <c r="M1337">
        <f>IF($P1337="","",INDEX(상세표[블록 22~06시],$P1337))</f>
        <v/>
      </c>
      <c r="N1337">
        <f>IF($P1337="","",INDEX(상세표[주말·휴일 포함],$P1337)&amp;"")</f>
        <v/>
      </c>
      <c r="O1337">
        <f>IF($P1337="","",INDEX(상세표[월 넘김 포함],$P1337)&amp;"")</f>
        <v/>
      </c>
      <c r="P1337" s="4">
        <f>IFERROR(MATCH(1332,상세표[연속순번],0),"")</f>
        <v/>
      </c>
    </row>
    <row r="1338">
      <c r="A1338">
        <f>IF($P1338="","",INDEX(상세표[사번],$P1338)&amp;"")</f>
        <v/>
      </c>
      <c r="B1338">
        <f>IF($P1338="","",INDEX(상세표[성명],$P1338)&amp;"")</f>
        <v/>
      </c>
      <c r="C1338">
        <f>IF($P1338="","",INDEX(상세표[부서],$P1338)&amp;"")</f>
        <v/>
      </c>
      <c r="D1338">
        <f>IF($P1338="","",INDEX(상세표[직위],$P1338)&amp;"")</f>
        <v/>
      </c>
      <c r="E1338">
        <f>IF($P1338="","",IF(ISNUMBER(INDEX(상세표[시작],$P1338)),TEXT(INDEX(상세표[시작],$P1338),"yyyy-mm-dd hh:mm"),INDEX(상세표[시작],$P1338)&amp;""))</f>
        <v/>
      </c>
      <c r="F1338">
        <f>IF($P1338="","",IF(ISNUMBER(INDEX(상세표[블록종료],$P1338)),TEXT(INDEX(상세표[블록종료],$P1338),"yyyy-mm-dd hh:mm"),INDEX(상세표[블록종료],$P1338)&amp;""))</f>
        <v/>
      </c>
      <c r="G1338">
        <f>IF($P1338="","",CHOOSE(WEEKDAY(INDEX(상세표[시작],$P1338)),"일","월","화","수","목","금","토"))</f>
        <v/>
      </c>
      <c r="H1338">
        <f>IF($P1338="","",INDEX(상세표[연속 시간],$P1338))</f>
        <v/>
      </c>
      <c r="I1338">
        <f>IF($P1338="","",INDEX(상세표[기록 수],$P1338))</f>
        <v/>
      </c>
      <c r="J1338">
        <f>IF($P1338="","",INDEX(상세표[블록 06~07시],$P1338))</f>
        <v/>
      </c>
      <c r="K1338">
        <f>IF($P1338="","",INDEX(상세표[블록 07~18시],$P1338))</f>
        <v/>
      </c>
      <c r="L1338">
        <f>IF($P1338="","",INDEX(상세표[블록 18~22시],$P1338))</f>
        <v/>
      </c>
      <c r="M1338">
        <f>IF($P1338="","",INDEX(상세표[블록 22~06시],$P1338))</f>
        <v/>
      </c>
      <c r="N1338">
        <f>IF($P1338="","",INDEX(상세표[주말·휴일 포함],$P1338)&amp;"")</f>
        <v/>
      </c>
      <c r="O1338">
        <f>IF($P1338="","",INDEX(상세표[월 넘김 포함],$P1338)&amp;"")</f>
        <v/>
      </c>
      <c r="P1338" s="4">
        <f>IFERROR(MATCH(1333,상세표[연속순번],0),"")</f>
        <v/>
      </c>
    </row>
    <row r="1339">
      <c r="A1339">
        <f>IF($P1339="","",INDEX(상세표[사번],$P1339)&amp;"")</f>
        <v/>
      </c>
      <c r="B1339">
        <f>IF($P1339="","",INDEX(상세표[성명],$P1339)&amp;"")</f>
        <v/>
      </c>
      <c r="C1339">
        <f>IF($P1339="","",INDEX(상세표[부서],$P1339)&amp;"")</f>
        <v/>
      </c>
      <c r="D1339">
        <f>IF($P1339="","",INDEX(상세표[직위],$P1339)&amp;"")</f>
        <v/>
      </c>
      <c r="E1339">
        <f>IF($P1339="","",IF(ISNUMBER(INDEX(상세표[시작],$P1339)),TEXT(INDEX(상세표[시작],$P1339),"yyyy-mm-dd hh:mm"),INDEX(상세표[시작],$P1339)&amp;""))</f>
        <v/>
      </c>
      <c r="F1339">
        <f>IF($P1339="","",IF(ISNUMBER(INDEX(상세표[블록종료],$P1339)),TEXT(INDEX(상세표[블록종료],$P1339),"yyyy-mm-dd hh:mm"),INDEX(상세표[블록종료],$P1339)&amp;""))</f>
        <v/>
      </c>
      <c r="G1339">
        <f>IF($P1339="","",CHOOSE(WEEKDAY(INDEX(상세표[시작],$P1339)),"일","월","화","수","목","금","토"))</f>
        <v/>
      </c>
      <c r="H1339">
        <f>IF($P1339="","",INDEX(상세표[연속 시간],$P1339))</f>
        <v/>
      </c>
      <c r="I1339">
        <f>IF($P1339="","",INDEX(상세표[기록 수],$P1339))</f>
        <v/>
      </c>
      <c r="J1339">
        <f>IF($P1339="","",INDEX(상세표[블록 06~07시],$P1339))</f>
        <v/>
      </c>
      <c r="K1339">
        <f>IF($P1339="","",INDEX(상세표[블록 07~18시],$P1339))</f>
        <v/>
      </c>
      <c r="L1339">
        <f>IF($P1339="","",INDEX(상세표[블록 18~22시],$P1339))</f>
        <v/>
      </c>
      <c r="M1339">
        <f>IF($P1339="","",INDEX(상세표[블록 22~06시],$P1339))</f>
        <v/>
      </c>
      <c r="N1339">
        <f>IF($P1339="","",INDEX(상세표[주말·휴일 포함],$P1339)&amp;"")</f>
        <v/>
      </c>
      <c r="O1339">
        <f>IF($P1339="","",INDEX(상세표[월 넘김 포함],$P1339)&amp;"")</f>
        <v/>
      </c>
      <c r="P1339" s="4">
        <f>IFERROR(MATCH(1334,상세표[연속순번],0),"")</f>
        <v/>
      </c>
    </row>
    <row r="1340">
      <c r="A1340">
        <f>IF($P1340="","",INDEX(상세표[사번],$P1340)&amp;"")</f>
        <v/>
      </c>
      <c r="B1340">
        <f>IF($P1340="","",INDEX(상세표[성명],$P1340)&amp;"")</f>
        <v/>
      </c>
      <c r="C1340">
        <f>IF($P1340="","",INDEX(상세표[부서],$P1340)&amp;"")</f>
        <v/>
      </c>
      <c r="D1340">
        <f>IF($P1340="","",INDEX(상세표[직위],$P1340)&amp;"")</f>
        <v/>
      </c>
      <c r="E1340">
        <f>IF($P1340="","",IF(ISNUMBER(INDEX(상세표[시작],$P1340)),TEXT(INDEX(상세표[시작],$P1340),"yyyy-mm-dd hh:mm"),INDEX(상세표[시작],$P1340)&amp;""))</f>
        <v/>
      </c>
      <c r="F1340">
        <f>IF($P1340="","",IF(ISNUMBER(INDEX(상세표[블록종료],$P1340)),TEXT(INDEX(상세표[블록종료],$P1340),"yyyy-mm-dd hh:mm"),INDEX(상세표[블록종료],$P1340)&amp;""))</f>
        <v/>
      </c>
      <c r="G1340">
        <f>IF($P1340="","",CHOOSE(WEEKDAY(INDEX(상세표[시작],$P1340)),"일","월","화","수","목","금","토"))</f>
        <v/>
      </c>
      <c r="H1340">
        <f>IF($P1340="","",INDEX(상세표[연속 시간],$P1340))</f>
        <v/>
      </c>
      <c r="I1340">
        <f>IF($P1340="","",INDEX(상세표[기록 수],$P1340))</f>
        <v/>
      </c>
      <c r="J1340">
        <f>IF($P1340="","",INDEX(상세표[블록 06~07시],$P1340))</f>
        <v/>
      </c>
      <c r="K1340">
        <f>IF($P1340="","",INDEX(상세표[블록 07~18시],$P1340))</f>
        <v/>
      </c>
      <c r="L1340">
        <f>IF($P1340="","",INDEX(상세표[블록 18~22시],$P1340))</f>
        <v/>
      </c>
      <c r="M1340">
        <f>IF($P1340="","",INDEX(상세표[블록 22~06시],$P1340))</f>
        <v/>
      </c>
      <c r="N1340">
        <f>IF($P1340="","",INDEX(상세표[주말·휴일 포함],$P1340)&amp;"")</f>
        <v/>
      </c>
      <c r="O1340">
        <f>IF($P1340="","",INDEX(상세표[월 넘김 포함],$P1340)&amp;"")</f>
        <v/>
      </c>
      <c r="P1340" s="4">
        <f>IFERROR(MATCH(1335,상세표[연속순번],0),"")</f>
        <v/>
      </c>
    </row>
    <row r="1341">
      <c r="A1341">
        <f>IF($P1341="","",INDEX(상세표[사번],$P1341)&amp;"")</f>
        <v/>
      </c>
      <c r="B1341">
        <f>IF($P1341="","",INDEX(상세표[성명],$P1341)&amp;"")</f>
        <v/>
      </c>
      <c r="C1341">
        <f>IF($P1341="","",INDEX(상세표[부서],$P1341)&amp;"")</f>
        <v/>
      </c>
      <c r="D1341">
        <f>IF($P1341="","",INDEX(상세표[직위],$P1341)&amp;"")</f>
        <v/>
      </c>
      <c r="E1341">
        <f>IF($P1341="","",IF(ISNUMBER(INDEX(상세표[시작],$P1341)),TEXT(INDEX(상세표[시작],$P1341),"yyyy-mm-dd hh:mm"),INDEX(상세표[시작],$P1341)&amp;""))</f>
        <v/>
      </c>
      <c r="F1341">
        <f>IF($P1341="","",IF(ISNUMBER(INDEX(상세표[블록종료],$P1341)),TEXT(INDEX(상세표[블록종료],$P1341),"yyyy-mm-dd hh:mm"),INDEX(상세표[블록종료],$P1341)&amp;""))</f>
        <v/>
      </c>
      <c r="G1341">
        <f>IF($P1341="","",CHOOSE(WEEKDAY(INDEX(상세표[시작],$P1341)),"일","월","화","수","목","금","토"))</f>
        <v/>
      </c>
      <c r="H1341">
        <f>IF($P1341="","",INDEX(상세표[연속 시간],$P1341))</f>
        <v/>
      </c>
      <c r="I1341">
        <f>IF($P1341="","",INDEX(상세표[기록 수],$P1341))</f>
        <v/>
      </c>
      <c r="J1341">
        <f>IF($P1341="","",INDEX(상세표[블록 06~07시],$P1341))</f>
        <v/>
      </c>
      <c r="K1341">
        <f>IF($P1341="","",INDEX(상세표[블록 07~18시],$P1341))</f>
        <v/>
      </c>
      <c r="L1341">
        <f>IF($P1341="","",INDEX(상세표[블록 18~22시],$P1341))</f>
        <v/>
      </c>
      <c r="M1341">
        <f>IF($P1341="","",INDEX(상세표[블록 22~06시],$P1341))</f>
        <v/>
      </c>
      <c r="N1341">
        <f>IF($P1341="","",INDEX(상세표[주말·휴일 포함],$P1341)&amp;"")</f>
        <v/>
      </c>
      <c r="O1341">
        <f>IF($P1341="","",INDEX(상세표[월 넘김 포함],$P1341)&amp;"")</f>
        <v/>
      </c>
      <c r="P1341" s="4">
        <f>IFERROR(MATCH(1336,상세표[연속순번],0),"")</f>
        <v/>
      </c>
    </row>
    <row r="1342">
      <c r="A1342">
        <f>IF($P1342="","",INDEX(상세표[사번],$P1342)&amp;"")</f>
        <v/>
      </c>
      <c r="B1342">
        <f>IF($P1342="","",INDEX(상세표[성명],$P1342)&amp;"")</f>
        <v/>
      </c>
      <c r="C1342">
        <f>IF($P1342="","",INDEX(상세표[부서],$P1342)&amp;"")</f>
        <v/>
      </c>
      <c r="D1342">
        <f>IF($P1342="","",INDEX(상세표[직위],$P1342)&amp;"")</f>
        <v/>
      </c>
      <c r="E1342">
        <f>IF($P1342="","",IF(ISNUMBER(INDEX(상세표[시작],$P1342)),TEXT(INDEX(상세표[시작],$P1342),"yyyy-mm-dd hh:mm"),INDEX(상세표[시작],$P1342)&amp;""))</f>
        <v/>
      </c>
      <c r="F1342">
        <f>IF($P1342="","",IF(ISNUMBER(INDEX(상세표[블록종료],$P1342)),TEXT(INDEX(상세표[블록종료],$P1342),"yyyy-mm-dd hh:mm"),INDEX(상세표[블록종료],$P1342)&amp;""))</f>
        <v/>
      </c>
      <c r="G1342">
        <f>IF($P1342="","",CHOOSE(WEEKDAY(INDEX(상세표[시작],$P1342)),"일","월","화","수","목","금","토"))</f>
        <v/>
      </c>
      <c r="H1342">
        <f>IF($P1342="","",INDEX(상세표[연속 시간],$P1342))</f>
        <v/>
      </c>
      <c r="I1342">
        <f>IF($P1342="","",INDEX(상세표[기록 수],$P1342))</f>
        <v/>
      </c>
      <c r="J1342">
        <f>IF($P1342="","",INDEX(상세표[블록 06~07시],$P1342))</f>
        <v/>
      </c>
      <c r="K1342">
        <f>IF($P1342="","",INDEX(상세표[블록 07~18시],$P1342))</f>
        <v/>
      </c>
      <c r="L1342">
        <f>IF($P1342="","",INDEX(상세표[블록 18~22시],$P1342))</f>
        <v/>
      </c>
      <c r="M1342">
        <f>IF($P1342="","",INDEX(상세표[블록 22~06시],$P1342))</f>
        <v/>
      </c>
      <c r="N1342">
        <f>IF($P1342="","",INDEX(상세표[주말·휴일 포함],$P1342)&amp;"")</f>
        <v/>
      </c>
      <c r="O1342">
        <f>IF($P1342="","",INDEX(상세표[월 넘김 포함],$P1342)&amp;"")</f>
        <v/>
      </c>
      <c r="P1342" s="4">
        <f>IFERROR(MATCH(1337,상세표[연속순번],0),"")</f>
        <v/>
      </c>
    </row>
    <row r="1343">
      <c r="A1343">
        <f>IF($P1343="","",INDEX(상세표[사번],$P1343)&amp;"")</f>
        <v/>
      </c>
      <c r="B1343">
        <f>IF($P1343="","",INDEX(상세표[성명],$P1343)&amp;"")</f>
        <v/>
      </c>
      <c r="C1343">
        <f>IF($P1343="","",INDEX(상세표[부서],$P1343)&amp;"")</f>
        <v/>
      </c>
      <c r="D1343">
        <f>IF($P1343="","",INDEX(상세표[직위],$P1343)&amp;"")</f>
        <v/>
      </c>
      <c r="E1343">
        <f>IF($P1343="","",IF(ISNUMBER(INDEX(상세표[시작],$P1343)),TEXT(INDEX(상세표[시작],$P1343),"yyyy-mm-dd hh:mm"),INDEX(상세표[시작],$P1343)&amp;""))</f>
        <v/>
      </c>
      <c r="F1343">
        <f>IF($P1343="","",IF(ISNUMBER(INDEX(상세표[블록종료],$P1343)),TEXT(INDEX(상세표[블록종료],$P1343),"yyyy-mm-dd hh:mm"),INDEX(상세표[블록종료],$P1343)&amp;""))</f>
        <v/>
      </c>
      <c r="G1343">
        <f>IF($P1343="","",CHOOSE(WEEKDAY(INDEX(상세표[시작],$P1343)),"일","월","화","수","목","금","토"))</f>
        <v/>
      </c>
      <c r="H1343">
        <f>IF($P1343="","",INDEX(상세표[연속 시간],$P1343))</f>
        <v/>
      </c>
      <c r="I1343">
        <f>IF($P1343="","",INDEX(상세표[기록 수],$P1343))</f>
        <v/>
      </c>
      <c r="J1343">
        <f>IF($P1343="","",INDEX(상세표[블록 06~07시],$P1343))</f>
        <v/>
      </c>
      <c r="K1343">
        <f>IF($P1343="","",INDEX(상세표[블록 07~18시],$P1343))</f>
        <v/>
      </c>
      <c r="L1343">
        <f>IF($P1343="","",INDEX(상세표[블록 18~22시],$P1343))</f>
        <v/>
      </c>
      <c r="M1343">
        <f>IF($P1343="","",INDEX(상세표[블록 22~06시],$P1343))</f>
        <v/>
      </c>
      <c r="N1343">
        <f>IF($P1343="","",INDEX(상세표[주말·휴일 포함],$P1343)&amp;"")</f>
        <v/>
      </c>
      <c r="O1343">
        <f>IF($P1343="","",INDEX(상세표[월 넘김 포함],$P1343)&amp;"")</f>
        <v/>
      </c>
      <c r="P1343" s="4">
        <f>IFERROR(MATCH(1338,상세표[연속순번],0),"")</f>
        <v/>
      </c>
    </row>
    <row r="1344">
      <c r="A1344">
        <f>IF($P1344="","",INDEX(상세표[사번],$P1344)&amp;"")</f>
        <v/>
      </c>
      <c r="B1344">
        <f>IF($P1344="","",INDEX(상세표[성명],$P1344)&amp;"")</f>
        <v/>
      </c>
      <c r="C1344">
        <f>IF($P1344="","",INDEX(상세표[부서],$P1344)&amp;"")</f>
        <v/>
      </c>
      <c r="D1344">
        <f>IF($P1344="","",INDEX(상세표[직위],$P1344)&amp;"")</f>
        <v/>
      </c>
      <c r="E1344">
        <f>IF($P1344="","",IF(ISNUMBER(INDEX(상세표[시작],$P1344)),TEXT(INDEX(상세표[시작],$P1344),"yyyy-mm-dd hh:mm"),INDEX(상세표[시작],$P1344)&amp;""))</f>
        <v/>
      </c>
      <c r="F1344">
        <f>IF($P1344="","",IF(ISNUMBER(INDEX(상세표[블록종료],$P1344)),TEXT(INDEX(상세표[블록종료],$P1344),"yyyy-mm-dd hh:mm"),INDEX(상세표[블록종료],$P1344)&amp;""))</f>
        <v/>
      </c>
      <c r="G1344">
        <f>IF($P1344="","",CHOOSE(WEEKDAY(INDEX(상세표[시작],$P1344)),"일","월","화","수","목","금","토"))</f>
        <v/>
      </c>
      <c r="H1344">
        <f>IF($P1344="","",INDEX(상세표[연속 시간],$P1344))</f>
        <v/>
      </c>
      <c r="I1344">
        <f>IF($P1344="","",INDEX(상세표[기록 수],$P1344))</f>
        <v/>
      </c>
      <c r="J1344">
        <f>IF($P1344="","",INDEX(상세표[블록 06~07시],$P1344))</f>
        <v/>
      </c>
      <c r="K1344">
        <f>IF($P1344="","",INDEX(상세표[블록 07~18시],$P1344))</f>
        <v/>
      </c>
      <c r="L1344">
        <f>IF($P1344="","",INDEX(상세표[블록 18~22시],$P1344))</f>
        <v/>
      </c>
      <c r="M1344">
        <f>IF($P1344="","",INDEX(상세표[블록 22~06시],$P1344))</f>
        <v/>
      </c>
      <c r="N1344">
        <f>IF($P1344="","",INDEX(상세표[주말·휴일 포함],$P1344)&amp;"")</f>
        <v/>
      </c>
      <c r="O1344">
        <f>IF($P1344="","",INDEX(상세표[월 넘김 포함],$P1344)&amp;"")</f>
        <v/>
      </c>
      <c r="P1344" s="4">
        <f>IFERROR(MATCH(1339,상세표[연속순번],0),"")</f>
        <v/>
      </c>
    </row>
    <row r="1345">
      <c r="A1345">
        <f>IF($P1345="","",INDEX(상세표[사번],$P1345)&amp;"")</f>
        <v/>
      </c>
      <c r="B1345">
        <f>IF($P1345="","",INDEX(상세표[성명],$P1345)&amp;"")</f>
        <v/>
      </c>
      <c r="C1345">
        <f>IF($P1345="","",INDEX(상세표[부서],$P1345)&amp;"")</f>
        <v/>
      </c>
      <c r="D1345">
        <f>IF($P1345="","",INDEX(상세표[직위],$P1345)&amp;"")</f>
        <v/>
      </c>
      <c r="E1345">
        <f>IF($P1345="","",IF(ISNUMBER(INDEX(상세표[시작],$P1345)),TEXT(INDEX(상세표[시작],$P1345),"yyyy-mm-dd hh:mm"),INDEX(상세표[시작],$P1345)&amp;""))</f>
        <v/>
      </c>
      <c r="F1345">
        <f>IF($P1345="","",IF(ISNUMBER(INDEX(상세표[블록종료],$P1345)),TEXT(INDEX(상세표[블록종료],$P1345),"yyyy-mm-dd hh:mm"),INDEX(상세표[블록종료],$P1345)&amp;""))</f>
        <v/>
      </c>
      <c r="G1345">
        <f>IF($P1345="","",CHOOSE(WEEKDAY(INDEX(상세표[시작],$P1345)),"일","월","화","수","목","금","토"))</f>
        <v/>
      </c>
      <c r="H1345">
        <f>IF($P1345="","",INDEX(상세표[연속 시간],$P1345))</f>
        <v/>
      </c>
      <c r="I1345">
        <f>IF($P1345="","",INDEX(상세표[기록 수],$P1345))</f>
        <v/>
      </c>
      <c r="J1345">
        <f>IF($P1345="","",INDEX(상세표[블록 06~07시],$P1345))</f>
        <v/>
      </c>
      <c r="K1345">
        <f>IF($P1345="","",INDEX(상세표[블록 07~18시],$P1345))</f>
        <v/>
      </c>
      <c r="L1345">
        <f>IF($P1345="","",INDEX(상세표[블록 18~22시],$P1345))</f>
        <v/>
      </c>
      <c r="M1345">
        <f>IF($P1345="","",INDEX(상세표[블록 22~06시],$P1345))</f>
        <v/>
      </c>
      <c r="N1345">
        <f>IF($P1345="","",INDEX(상세표[주말·휴일 포함],$P1345)&amp;"")</f>
        <v/>
      </c>
      <c r="O1345">
        <f>IF($P1345="","",INDEX(상세표[월 넘김 포함],$P1345)&amp;"")</f>
        <v/>
      </c>
      <c r="P1345" s="4">
        <f>IFERROR(MATCH(1340,상세표[연속순번],0),"")</f>
        <v/>
      </c>
    </row>
    <row r="1346">
      <c r="A1346">
        <f>IF($P1346="","",INDEX(상세표[사번],$P1346)&amp;"")</f>
        <v/>
      </c>
      <c r="B1346">
        <f>IF($P1346="","",INDEX(상세표[성명],$P1346)&amp;"")</f>
        <v/>
      </c>
      <c r="C1346">
        <f>IF($P1346="","",INDEX(상세표[부서],$P1346)&amp;"")</f>
        <v/>
      </c>
      <c r="D1346">
        <f>IF($P1346="","",INDEX(상세표[직위],$P1346)&amp;"")</f>
        <v/>
      </c>
      <c r="E1346">
        <f>IF($P1346="","",IF(ISNUMBER(INDEX(상세표[시작],$P1346)),TEXT(INDEX(상세표[시작],$P1346),"yyyy-mm-dd hh:mm"),INDEX(상세표[시작],$P1346)&amp;""))</f>
        <v/>
      </c>
      <c r="F1346">
        <f>IF($P1346="","",IF(ISNUMBER(INDEX(상세표[블록종료],$P1346)),TEXT(INDEX(상세표[블록종료],$P1346),"yyyy-mm-dd hh:mm"),INDEX(상세표[블록종료],$P1346)&amp;""))</f>
        <v/>
      </c>
      <c r="G1346">
        <f>IF($P1346="","",CHOOSE(WEEKDAY(INDEX(상세표[시작],$P1346)),"일","월","화","수","목","금","토"))</f>
        <v/>
      </c>
      <c r="H1346">
        <f>IF($P1346="","",INDEX(상세표[연속 시간],$P1346))</f>
        <v/>
      </c>
      <c r="I1346">
        <f>IF($P1346="","",INDEX(상세표[기록 수],$P1346))</f>
        <v/>
      </c>
      <c r="J1346">
        <f>IF($P1346="","",INDEX(상세표[블록 06~07시],$P1346))</f>
        <v/>
      </c>
      <c r="K1346">
        <f>IF($P1346="","",INDEX(상세표[블록 07~18시],$P1346))</f>
        <v/>
      </c>
      <c r="L1346">
        <f>IF($P1346="","",INDEX(상세표[블록 18~22시],$P1346))</f>
        <v/>
      </c>
      <c r="M1346">
        <f>IF($P1346="","",INDEX(상세표[블록 22~06시],$P1346))</f>
        <v/>
      </c>
      <c r="N1346">
        <f>IF($P1346="","",INDEX(상세표[주말·휴일 포함],$P1346)&amp;"")</f>
        <v/>
      </c>
      <c r="O1346">
        <f>IF($P1346="","",INDEX(상세표[월 넘김 포함],$P1346)&amp;"")</f>
        <v/>
      </c>
      <c r="P1346" s="4">
        <f>IFERROR(MATCH(1341,상세표[연속순번],0),"")</f>
        <v/>
      </c>
    </row>
    <row r="1347">
      <c r="A1347">
        <f>IF($P1347="","",INDEX(상세표[사번],$P1347)&amp;"")</f>
        <v/>
      </c>
      <c r="B1347">
        <f>IF($P1347="","",INDEX(상세표[성명],$P1347)&amp;"")</f>
        <v/>
      </c>
      <c r="C1347">
        <f>IF($P1347="","",INDEX(상세표[부서],$P1347)&amp;"")</f>
        <v/>
      </c>
      <c r="D1347">
        <f>IF($P1347="","",INDEX(상세표[직위],$P1347)&amp;"")</f>
        <v/>
      </c>
      <c r="E1347">
        <f>IF($P1347="","",IF(ISNUMBER(INDEX(상세표[시작],$P1347)),TEXT(INDEX(상세표[시작],$P1347),"yyyy-mm-dd hh:mm"),INDEX(상세표[시작],$P1347)&amp;""))</f>
        <v/>
      </c>
      <c r="F1347">
        <f>IF($P1347="","",IF(ISNUMBER(INDEX(상세표[블록종료],$P1347)),TEXT(INDEX(상세표[블록종료],$P1347),"yyyy-mm-dd hh:mm"),INDEX(상세표[블록종료],$P1347)&amp;""))</f>
        <v/>
      </c>
      <c r="G1347">
        <f>IF($P1347="","",CHOOSE(WEEKDAY(INDEX(상세표[시작],$P1347)),"일","월","화","수","목","금","토"))</f>
        <v/>
      </c>
      <c r="H1347">
        <f>IF($P1347="","",INDEX(상세표[연속 시간],$P1347))</f>
        <v/>
      </c>
      <c r="I1347">
        <f>IF($P1347="","",INDEX(상세표[기록 수],$P1347))</f>
        <v/>
      </c>
      <c r="J1347">
        <f>IF($P1347="","",INDEX(상세표[블록 06~07시],$P1347))</f>
        <v/>
      </c>
      <c r="K1347">
        <f>IF($P1347="","",INDEX(상세표[블록 07~18시],$P1347))</f>
        <v/>
      </c>
      <c r="L1347">
        <f>IF($P1347="","",INDEX(상세표[블록 18~22시],$P1347))</f>
        <v/>
      </c>
      <c r="M1347">
        <f>IF($P1347="","",INDEX(상세표[블록 22~06시],$P1347))</f>
        <v/>
      </c>
      <c r="N1347">
        <f>IF($P1347="","",INDEX(상세표[주말·휴일 포함],$P1347)&amp;"")</f>
        <v/>
      </c>
      <c r="O1347">
        <f>IF($P1347="","",INDEX(상세표[월 넘김 포함],$P1347)&amp;"")</f>
        <v/>
      </c>
      <c r="P1347" s="4">
        <f>IFERROR(MATCH(1342,상세표[연속순번],0),"")</f>
        <v/>
      </c>
    </row>
    <row r="1348">
      <c r="A1348">
        <f>IF($P1348="","",INDEX(상세표[사번],$P1348)&amp;"")</f>
        <v/>
      </c>
      <c r="B1348">
        <f>IF($P1348="","",INDEX(상세표[성명],$P1348)&amp;"")</f>
        <v/>
      </c>
      <c r="C1348">
        <f>IF($P1348="","",INDEX(상세표[부서],$P1348)&amp;"")</f>
        <v/>
      </c>
      <c r="D1348">
        <f>IF($P1348="","",INDEX(상세표[직위],$P1348)&amp;"")</f>
        <v/>
      </c>
      <c r="E1348">
        <f>IF($P1348="","",IF(ISNUMBER(INDEX(상세표[시작],$P1348)),TEXT(INDEX(상세표[시작],$P1348),"yyyy-mm-dd hh:mm"),INDEX(상세표[시작],$P1348)&amp;""))</f>
        <v/>
      </c>
      <c r="F1348">
        <f>IF($P1348="","",IF(ISNUMBER(INDEX(상세표[블록종료],$P1348)),TEXT(INDEX(상세표[블록종료],$P1348),"yyyy-mm-dd hh:mm"),INDEX(상세표[블록종료],$P1348)&amp;""))</f>
        <v/>
      </c>
      <c r="G1348">
        <f>IF($P1348="","",CHOOSE(WEEKDAY(INDEX(상세표[시작],$P1348)),"일","월","화","수","목","금","토"))</f>
        <v/>
      </c>
      <c r="H1348">
        <f>IF($P1348="","",INDEX(상세표[연속 시간],$P1348))</f>
        <v/>
      </c>
      <c r="I1348">
        <f>IF($P1348="","",INDEX(상세표[기록 수],$P1348))</f>
        <v/>
      </c>
      <c r="J1348">
        <f>IF($P1348="","",INDEX(상세표[블록 06~07시],$P1348))</f>
        <v/>
      </c>
      <c r="K1348">
        <f>IF($P1348="","",INDEX(상세표[블록 07~18시],$P1348))</f>
        <v/>
      </c>
      <c r="L1348">
        <f>IF($P1348="","",INDEX(상세표[블록 18~22시],$P1348))</f>
        <v/>
      </c>
      <c r="M1348">
        <f>IF($P1348="","",INDEX(상세표[블록 22~06시],$P1348))</f>
        <v/>
      </c>
      <c r="N1348">
        <f>IF($P1348="","",INDEX(상세표[주말·휴일 포함],$P1348)&amp;"")</f>
        <v/>
      </c>
      <c r="O1348">
        <f>IF($P1348="","",INDEX(상세표[월 넘김 포함],$P1348)&amp;"")</f>
        <v/>
      </c>
      <c r="P1348" s="4">
        <f>IFERROR(MATCH(1343,상세표[연속순번],0),"")</f>
        <v/>
      </c>
    </row>
    <row r="1349">
      <c r="A1349">
        <f>IF($P1349="","",INDEX(상세표[사번],$P1349)&amp;"")</f>
        <v/>
      </c>
      <c r="B1349">
        <f>IF($P1349="","",INDEX(상세표[성명],$P1349)&amp;"")</f>
        <v/>
      </c>
      <c r="C1349">
        <f>IF($P1349="","",INDEX(상세표[부서],$P1349)&amp;"")</f>
        <v/>
      </c>
      <c r="D1349">
        <f>IF($P1349="","",INDEX(상세표[직위],$P1349)&amp;"")</f>
        <v/>
      </c>
      <c r="E1349">
        <f>IF($P1349="","",IF(ISNUMBER(INDEX(상세표[시작],$P1349)),TEXT(INDEX(상세표[시작],$P1349),"yyyy-mm-dd hh:mm"),INDEX(상세표[시작],$P1349)&amp;""))</f>
        <v/>
      </c>
      <c r="F1349">
        <f>IF($P1349="","",IF(ISNUMBER(INDEX(상세표[블록종료],$P1349)),TEXT(INDEX(상세표[블록종료],$P1349),"yyyy-mm-dd hh:mm"),INDEX(상세표[블록종료],$P1349)&amp;""))</f>
        <v/>
      </c>
      <c r="G1349">
        <f>IF($P1349="","",CHOOSE(WEEKDAY(INDEX(상세표[시작],$P1349)),"일","월","화","수","목","금","토"))</f>
        <v/>
      </c>
      <c r="H1349">
        <f>IF($P1349="","",INDEX(상세표[연속 시간],$P1349))</f>
        <v/>
      </c>
      <c r="I1349">
        <f>IF($P1349="","",INDEX(상세표[기록 수],$P1349))</f>
        <v/>
      </c>
      <c r="J1349">
        <f>IF($P1349="","",INDEX(상세표[블록 06~07시],$P1349))</f>
        <v/>
      </c>
      <c r="K1349">
        <f>IF($P1349="","",INDEX(상세표[블록 07~18시],$P1349))</f>
        <v/>
      </c>
      <c r="L1349">
        <f>IF($P1349="","",INDEX(상세표[블록 18~22시],$P1349))</f>
        <v/>
      </c>
      <c r="M1349">
        <f>IF($P1349="","",INDEX(상세표[블록 22~06시],$P1349))</f>
        <v/>
      </c>
      <c r="N1349">
        <f>IF($P1349="","",INDEX(상세표[주말·휴일 포함],$P1349)&amp;"")</f>
        <v/>
      </c>
      <c r="O1349">
        <f>IF($P1349="","",INDEX(상세표[월 넘김 포함],$P1349)&amp;"")</f>
        <v/>
      </c>
      <c r="P1349" s="4">
        <f>IFERROR(MATCH(1344,상세표[연속순번],0),"")</f>
        <v/>
      </c>
    </row>
    <row r="1350">
      <c r="A1350">
        <f>IF($P1350="","",INDEX(상세표[사번],$P1350)&amp;"")</f>
        <v/>
      </c>
      <c r="B1350">
        <f>IF($P1350="","",INDEX(상세표[성명],$P1350)&amp;"")</f>
        <v/>
      </c>
      <c r="C1350">
        <f>IF($P1350="","",INDEX(상세표[부서],$P1350)&amp;"")</f>
        <v/>
      </c>
      <c r="D1350">
        <f>IF($P1350="","",INDEX(상세표[직위],$P1350)&amp;"")</f>
        <v/>
      </c>
      <c r="E1350">
        <f>IF($P1350="","",IF(ISNUMBER(INDEX(상세표[시작],$P1350)),TEXT(INDEX(상세표[시작],$P1350),"yyyy-mm-dd hh:mm"),INDEX(상세표[시작],$P1350)&amp;""))</f>
        <v/>
      </c>
      <c r="F1350">
        <f>IF($P1350="","",IF(ISNUMBER(INDEX(상세표[블록종료],$P1350)),TEXT(INDEX(상세표[블록종료],$P1350),"yyyy-mm-dd hh:mm"),INDEX(상세표[블록종료],$P1350)&amp;""))</f>
        <v/>
      </c>
      <c r="G1350">
        <f>IF($P1350="","",CHOOSE(WEEKDAY(INDEX(상세표[시작],$P1350)),"일","월","화","수","목","금","토"))</f>
        <v/>
      </c>
      <c r="H1350">
        <f>IF($P1350="","",INDEX(상세표[연속 시간],$P1350))</f>
        <v/>
      </c>
      <c r="I1350">
        <f>IF($P1350="","",INDEX(상세표[기록 수],$P1350))</f>
        <v/>
      </c>
      <c r="J1350">
        <f>IF($P1350="","",INDEX(상세표[블록 06~07시],$P1350))</f>
        <v/>
      </c>
      <c r="K1350">
        <f>IF($P1350="","",INDEX(상세표[블록 07~18시],$P1350))</f>
        <v/>
      </c>
      <c r="L1350">
        <f>IF($P1350="","",INDEX(상세표[블록 18~22시],$P1350))</f>
        <v/>
      </c>
      <c r="M1350">
        <f>IF($P1350="","",INDEX(상세표[블록 22~06시],$P1350))</f>
        <v/>
      </c>
      <c r="N1350">
        <f>IF($P1350="","",INDEX(상세표[주말·휴일 포함],$P1350)&amp;"")</f>
        <v/>
      </c>
      <c r="O1350">
        <f>IF($P1350="","",INDEX(상세표[월 넘김 포함],$P1350)&amp;"")</f>
        <v/>
      </c>
      <c r="P1350" s="4">
        <f>IFERROR(MATCH(1345,상세표[연속순번],0),"")</f>
        <v/>
      </c>
    </row>
    <row r="1351">
      <c r="A1351">
        <f>IF($P1351="","",INDEX(상세표[사번],$P1351)&amp;"")</f>
        <v/>
      </c>
      <c r="B1351">
        <f>IF($P1351="","",INDEX(상세표[성명],$P1351)&amp;"")</f>
        <v/>
      </c>
      <c r="C1351">
        <f>IF($P1351="","",INDEX(상세표[부서],$P1351)&amp;"")</f>
        <v/>
      </c>
      <c r="D1351">
        <f>IF($P1351="","",INDEX(상세표[직위],$P1351)&amp;"")</f>
        <v/>
      </c>
      <c r="E1351">
        <f>IF($P1351="","",IF(ISNUMBER(INDEX(상세표[시작],$P1351)),TEXT(INDEX(상세표[시작],$P1351),"yyyy-mm-dd hh:mm"),INDEX(상세표[시작],$P1351)&amp;""))</f>
        <v/>
      </c>
      <c r="F1351">
        <f>IF($P1351="","",IF(ISNUMBER(INDEX(상세표[블록종료],$P1351)),TEXT(INDEX(상세표[블록종료],$P1351),"yyyy-mm-dd hh:mm"),INDEX(상세표[블록종료],$P1351)&amp;""))</f>
        <v/>
      </c>
      <c r="G1351">
        <f>IF($P1351="","",CHOOSE(WEEKDAY(INDEX(상세표[시작],$P1351)),"일","월","화","수","목","금","토"))</f>
        <v/>
      </c>
      <c r="H1351">
        <f>IF($P1351="","",INDEX(상세표[연속 시간],$P1351))</f>
        <v/>
      </c>
      <c r="I1351">
        <f>IF($P1351="","",INDEX(상세표[기록 수],$P1351))</f>
        <v/>
      </c>
      <c r="J1351">
        <f>IF($P1351="","",INDEX(상세표[블록 06~07시],$P1351))</f>
        <v/>
      </c>
      <c r="K1351">
        <f>IF($P1351="","",INDEX(상세표[블록 07~18시],$P1351))</f>
        <v/>
      </c>
      <c r="L1351">
        <f>IF($P1351="","",INDEX(상세표[블록 18~22시],$P1351))</f>
        <v/>
      </c>
      <c r="M1351">
        <f>IF($P1351="","",INDEX(상세표[블록 22~06시],$P1351))</f>
        <v/>
      </c>
      <c r="N1351">
        <f>IF($P1351="","",INDEX(상세표[주말·휴일 포함],$P1351)&amp;"")</f>
        <v/>
      </c>
      <c r="O1351">
        <f>IF($P1351="","",INDEX(상세표[월 넘김 포함],$P1351)&amp;"")</f>
        <v/>
      </c>
      <c r="P1351" s="4">
        <f>IFERROR(MATCH(1346,상세표[연속순번],0),"")</f>
        <v/>
      </c>
    </row>
    <row r="1352">
      <c r="A1352">
        <f>IF($P1352="","",INDEX(상세표[사번],$P1352)&amp;"")</f>
        <v/>
      </c>
      <c r="B1352">
        <f>IF($P1352="","",INDEX(상세표[성명],$P1352)&amp;"")</f>
        <v/>
      </c>
      <c r="C1352">
        <f>IF($P1352="","",INDEX(상세표[부서],$P1352)&amp;"")</f>
        <v/>
      </c>
      <c r="D1352">
        <f>IF($P1352="","",INDEX(상세표[직위],$P1352)&amp;"")</f>
        <v/>
      </c>
      <c r="E1352">
        <f>IF($P1352="","",IF(ISNUMBER(INDEX(상세표[시작],$P1352)),TEXT(INDEX(상세표[시작],$P1352),"yyyy-mm-dd hh:mm"),INDEX(상세표[시작],$P1352)&amp;""))</f>
        <v/>
      </c>
      <c r="F1352">
        <f>IF($P1352="","",IF(ISNUMBER(INDEX(상세표[블록종료],$P1352)),TEXT(INDEX(상세표[블록종료],$P1352),"yyyy-mm-dd hh:mm"),INDEX(상세표[블록종료],$P1352)&amp;""))</f>
        <v/>
      </c>
      <c r="G1352">
        <f>IF($P1352="","",CHOOSE(WEEKDAY(INDEX(상세표[시작],$P1352)),"일","월","화","수","목","금","토"))</f>
        <v/>
      </c>
      <c r="H1352">
        <f>IF($P1352="","",INDEX(상세표[연속 시간],$P1352))</f>
        <v/>
      </c>
      <c r="I1352">
        <f>IF($P1352="","",INDEX(상세표[기록 수],$P1352))</f>
        <v/>
      </c>
      <c r="J1352">
        <f>IF($P1352="","",INDEX(상세표[블록 06~07시],$P1352))</f>
        <v/>
      </c>
      <c r="K1352">
        <f>IF($P1352="","",INDEX(상세표[블록 07~18시],$P1352))</f>
        <v/>
      </c>
      <c r="L1352">
        <f>IF($P1352="","",INDEX(상세표[블록 18~22시],$P1352))</f>
        <v/>
      </c>
      <c r="M1352">
        <f>IF($P1352="","",INDEX(상세표[블록 22~06시],$P1352))</f>
        <v/>
      </c>
      <c r="N1352">
        <f>IF($P1352="","",INDEX(상세표[주말·휴일 포함],$P1352)&amp;"")</f>
        <v/>
      </c>
      <c r="O1352">
        <f>IF($P1352="","",INDEX(상세표[월 넘김 포함],$P1352)&amp;"")</f>
        <v/>
      </c>
      <c r="P1352" s="4">
        <f>IFERROR(MATCH(1347,상세표[연속순번],0),"")</f>
        <v/>
      </c>
    </row>
    <row r="1353">
      <c r="A1353">
        <f>IF($P1353="","",INDEX(상세표[사번],$P1353)&amp;"")</f>
        <v/>
      </c>
      <c r="B1353">
        <f>IF($P1353="","",INDEX(상세표[성명],$P1353)&amp;"")</f>
        <v/>
      </c>
      <c r="C1353">
        <f>IF($P1353="","",INDEX(상세표[부서],$P1353)&amp;"")</f>
        <v/>
      </c>
      <c r="D1353">
        <f>IF($P1353="","",INDEX(상세표[직위],$P1353)&amp;"")</f>
        <v/>
      </c>
      <c r="E1353">
        <f>IF($P1353="","",IF(ISNUMBER(INDEX(상세표[시작],$P1353)),TEXT(INDEX(상세표[시작],$P1353),"yyyy-mm-dd hh:mm"),INDEX(상세표[시작],$P1353)&amp;""))</f>
        <v/>
      </c>
      <c r="F1353">
        <f>IF($P1353="","",IF(ISNUMBER(INDEX(상세표[블록종료],$P1353)),TEXT(INDEX(상세표[블록종료],$P1353),"yyyy-mm-dd hh:mm"),INDEX(상세표[블록종료],$P1353)&amp;""))</f>
        <v/>
      </c>
      <c r="G1353">
        <f>IF($P1353="","",CHOOSE(WEEKDAY(INDEX(상세표[시작],$P1353)),"일","월","화","수","목","금","토"))</f>
        <v/>
      </c>
      <c r="H1353">
        <f>IF($P1353="","",INDEX(상세표[연속 시간],$P1353))</f>
        <v/>
      </c>
      <c r="I1353">
        <f>IF($P1353="","",INDEX(상세표[기록 수],$P1353))</f>
        <v/>
      </c>
      <c r="J1353">
        <f>IF($P1353="","",INDEX(상세표[블록 06~07시],$P1353))</f>
        <v/>
      </c>
      <c r="K1353">
        <f>IF($P1353="","",INDEX(상세표[블록 07~18시],$P1353))</f>
        <v/>
      </c>
      <c r="L1353">
        <f>IF($P1353="","",INDEX(상세표[블록 18~22시],$P1353))</f>
        <v/>
      </c>
      <c r="M1353">
        <f>IF($P1353="","",INDEX(상세표[블록 22~06시],$P1353))</f>
        <v/>
      </c>
      <c r="N1353">
        <f>IF($P1353="","",INDEX(상세표[주말·휴일 포함],$P1353)&amp;"")</f>
        <v/>
      </c>
      <c r="O1353">
        <f>IF($P1353="","",INDEX(상세표[월 넘김 포함],$P1353)&amp;"")</f>
        <v/>
      </c>
      <c r="P1353" s="4">
        <f>IFERROR(MATCH(1348,상세표[연속순번],0),"")</f>
        <v/>
      </c>
    </row>
    <row r="1354">
      <c r="A1354">
        <f>IF($P1354="","",INDEX(상세표[사번],$P1354)&amp;"")</f>
        <v/>
      </c>
      <c r="B1354">
        <f>IF($P1354="","",INDEX(상세표[성명],$P1354)&amp;"")</f>
        <v/>
      </c>
      <c r="C1354">
        <f>IF($P1354="","",INDEX(상세표[부서],$P1354)&amp;"")</f>
        <v/>
      </c>
      <c r="D1354">
        <f>IF($P1354="","",INDEX(상세표[직위],$P1354)&amp;"")</f>
        <v/>
      </c>
      <c r="E1354">
        <f>IF($P1354="","",IF(ISNUMBER(INDEX(상세표[시작],$P1354)),TEXT(INDEX(상세표[시작],$P1354),"yyyy-mm-dd hh:mm"),INDEX(상세표[시작],$P1354)&amp;""))</f>
        <v/>
      </c>
      <c r="F1354">
        <f>IF($P1354="","",IF(ISNUMBER(INDEX(상세표[블록종료],$P1354)),TEXT(INDEX(상세표[블록종료],$P1354),"yyyy-mm-dd hh:mm"),INDEX(상세표[블록종료],$P1354)&amp;""))</f>
        <v/>
      </c>
      <c r="G1354">
        <f>IF($P1354="","",CHOOSE(WEEKDAY(INDEX(상세표[시작],$P1354)),"일","월","화","수","목","금","토"))</f>
        <v/>
      </c>
      <c r="H1354">
        <f>IF($P1354="","",INDEX(상세표[연속 시간],$P1354))</f>
        <v/>
      </c>
      <c r="I1354">
        <f>IF($P1354="","",INDEX(상세표[기록 수],$P1354))</f>
        <v/>
      </c>
      <c r="J1354">
        <f>IF($P1354="","",INDEX(상세표[블록 06~07시],$P1354))</f>
        <v/>
      </c>
      <c r="K1354">
        <f>IF($P1354="","",INDEX(상세표[블록 07~18시],$P1354))</f>
        <v/>
      </c>
      <c r="L1354">
        <f>IF($P1354="","",INDEX(상세표[블록 18~22시],$P1354))</f>
        <v/>
      </c>
      <c r="M1354">
        <f>IF($P1354="","",INDEX(상세표[블록 22~06시],$P1354))</f>
        <v/>
      </c>
      <c r="N1354">
        <f>IF($P1354="","",INDEX(상세표[주말·휴일 포함],$P1354)&amp;"")</f>
        <v/>
      </c>
      <c r="O1354">
        <f>IF($P1354="","",INDEX(상세표[월 넘김 포함],$P1354)&amp;"")</f>
        <v/>
      </c>
      <c r="P1354" s="4">
        <f>IFERROR(MATCH(1349,상세표[연속순번],0),"")</f>
        <v/>
      </c>
    </row>
    <row r="1355">
      <c r="A1355">
        <f>IF($P1355="","",INDEX(상세표[사번],$P1355)&amp;"")</f>
        <v/>
      </c>
      <c r="B1355">
        <f>IF($P1355="","",INDEX(상세표[성명],$P1355)&amp;"")</f>
        <v/>
      </c>
      <c r="C1355">
        <f>IF($P1355="","",INDEX(상세표[부서],$P1355)&amp;"")</f>
        <v/>
      </c>
      <c r="D1355">
        <f>IF($P1355="","",INDEX(상세표[직위],$P1355)&amp;"")</f>
        <v/>
      </c>
      <c r="E1355">
        <f>IF($P1355="","",IF(ISNUMBER(INDEX(상세표[시작],$P1355)),TEXT(INDEX(상세표[시작],$P1355),"yyyy-mm-dd hh:mm"),INDEX(상세표[시작],$P1355)&amp;""))</f>
        <v/>
      </c>
      <c r="F1355">
        <f>IF($P1355="","",IF(ISNUMBER(INDEX(상세표[블록종료],$P1355)),TEXT(INDEX(상세표[블록종료],$P1355),"yyyy-mm-dd hh:mm"),INDEX(상세표[블록종료],$P1355)&amp;""))</f>
        <v/>
      </c>
      <c r="G1355">
        <f>IF($P1355="","",CHOOSE(WEEKDAY(INDEX(상세표[시작],$P1355)),"일","월","화","수","목","금","토"))</f>
        <v/>
      </c>
      <c r="H1355">
        <f>IF($P1355="","",INDEX(상세표[연속 시간],$P1355))</f>
        <v/>
      </c>
      <c r="I1355">
        <f>IF($P1355="","",INDEX(상세표[기록 수],$P1355))</f>
        <v/>
      </c>
      <c r="J1355">
        <f>IF($P1355="","",INDEX(상세표[블록 06~07시],$P1355))</f>
        <v/>
      </c>
      <c r="K1355">
        <f>IF($P1355="","",INDEX(상세표[블록 07~18시],$P1355))</f>
        <v/>
      </c>
      <c r="L1355">
        <f>IF($P1355="","",INDEX(상세표[블록 18~22시],$P1355))</f>
        <v/>
      </c>
      <c r="M1355">
        <f>IF($P1355="","",INDEX(상세표[블록 22~06시],$P1355))</f>
        <v/>
      </c>
      <c r="N1355">
        <f>IF($P1355="","",INDEX(상세표[주말·휴일 포함],$P1355)&amp;"")</f>
        <v/>
      </c>
      <c r="O1355">
        <f>IF($P1355="","",INDEX(상세표[월 넘김 포함],$P1355)&amp;"")</f>
        <v/>
      </c>
      <c r="P1355" s="4">
        <f>IFERROR(MATCH(1350,상세표[연속순번],0),"")</f>
        <v/>
      </c>
    </row>
    <row r="1356">
      <c r="A1356">
        <f>IF($P1356="","",INDEX(상세표[사번],$P1356)&amp;"")</f>
        <v/>
      </c>
      <c r="B1356">
        <f>IF($P1356="","",INDEX(상세표[성명],$P1356)&amp;"")</f>
        <v/>
      </c>
      <c r="C1356">
        <f>IF($P1356="","",INDEX(상세표[부서],$P1356)&amp;"")</f>
        <v/>
      </c>
      <c r="D1356">
        <f>IF($P1356="","",INDEX(상세표[직위],$P1356)&amp;"")</f>
        <v/>
      </c>
      <c r="E1356">
        <f>IF($P1356="","",IF(ISNUMBER(INDEX(상세표[시작],$P1356)),TEXT(INDEX(상세표[시작],$P1356),"yyyy-mm-dd hh:mm"),INDEX(상세표[시작],$P1356)&amp;""))</f>
        <v/>
      </c>
      <c r="F1356">
        <f>IF($P1356="","",IF(ISNUMBER(INDEX(상세표[블록종료],$P1356)),TEXT(INDEX(상세표[블록종료],$P1356),"yyyy-mm-dd hh:mm"),INDEX(상세표[블록종료],$P1356)&amp;""))</f>
        <v/>
      </c>
      <c r="G1356">
        <f>IF($P1356="","",CHOOSE(WEEKDAY(INDEX(상세표[시작],$P1356)),"일","월","화","수","목","금","토"))</f>
        <v/>
      </c>
      <c r="H1356">
        <f>IF($P1356="","",INDEX(상세표[연속 시간],$P1356))</f>
        <v/>
      </c>
      <c r="I1356">
        <f>IF($P1356="","",INDEX(상세표[기록 수],$P1356))</f>
        <v/>
      </c>
      <c r="J1356">
        <f>IF($P1356="","",INDEX(상세표[블록 06~07시],$P1356))</f>
        <v/>
      </c>
      <c r="K1356">
        <f>IF($P1356="","",INDEX(상세표[블록 07~18시],$P1356))</f>
        <v/>
      </c>
      <c r="L1356">
        <f>IF($P1356="","",INDEX(상세표[블록 18~22시],$P1356))</f>
        <v/>
      </c>
      <c r="M1356">
        <f>IF($P1356="","",INDEX(상세표[블록 22~06시],$P1356))</f>
        <v/>
      </c>
      <c r="N1356">
        <f>IF($P1356="","",INDEX(상세표[주말·휴일 포함],$P1356)&amp;"")</f>
        <v/>
      </c>
      <c r="O1356">
        <f>IF($P1356="","",INDEX(상세표[월 넘김 포함],$P1356)&amp;"")</f>
        <v/>
      </c>
      <c r="P1356" s="4">
        <f>IFERROR(MATCH(1351,상세표[연속순번],0),"")</f>
        <v/>
      </c>
    </row>
    <row r="1357">
      <c r="A1357">
        <f>IF($P1357="","",INDEX(상세표[사번],$P1357)&amp;"")</f>
        <v/>
      </c>
      <c r="B1357">
        <f>IF($P1357="","",INDEX(상세표[성명],$P1357)&amp;"")</f>
        <v/>
      </c>
      <c r="C1357">
        <f>IF($P1357="","",INDEX(상세표[부서],$P1357)&amp;"")</f>
        <v/>
      </c>
      <c r="D1357">
        <f>IF($P1357="","",INDEX(상세표[직위],$P1357)&amp;"")</f>
        <v/>
      </c>
      <c r="E1357">
        <f>IF($P1357="","",IF(ISNUMBER(INDEX(상세표[시작],$P1357)),TEXT(INDEX(상세표[시작],$P1357),"yyyy-mm-dd hh:mm"),INDEX(상세표[시작],$P1357)&amp;""))</f>
        <v/>
      </c>
      <c r="F1357">
        <f>IF($P1357="","",IF(ISNUMBER(INDEX(상세표[블록종료],$P1357)),TEXT(INDEX(상세표[블록종료],$P1357),"yyyy-mm-dd hh:mm"),INDEX(상세표[블록종료],$P1357)&amp;""))</f>
        <v/>
      </c>
      <c r="G1357">
        <f>IF($P1357="","",CHOOSE(WEEKDAY(INDEX(상세표[시작],$P1357)),"일","월","화","수","목","금","토"))</f>
        <v/>
      </c>
      <c r="H1357">
        <f>IF($P1357="","",INDEX(상세표[연속 시간],$P1357))</f>
        <v/>
      </c>
      <c r="I1357">
        <f>IF($P1357="","",INDEX(상세표[기록 수],$P1357))</f>
        <v/>
      </c>
      <c r="J1357">
        <f>IF($P1357="","",INDEX(상세표[블록 06~07시],$P1357))</f>
        <v/>
      </c>
      <c r="K1357">
        <f>IF($P1357="","",INDEX(상세표[블록 07~18시],$P1357))</f>
        <v/>
      </c>
      <c r="L1357">
        <f>IF($P1357="","",INDEX(상세표[블록 18~22시],$P1357))</f>
        <v/>
      </c>
      <c r="M1357">
        <f>IF($P1357="","",INDEX(상세표[블록 22~06시],$P1357))</f>
        <v/>
      </c>
      <c r="N1357">
        <f>IF($P1357="","",INDEX(상세표[주말·휴일 포함],$P1357)&amp;"")</f>
        <v/>
      </c>
      <c r="O1357">
        <f>IF($P1357="","",INDEX(상세표[월 넘김 포함],$P1357)&amp;"")</f>
        <v/>
      </c>
      <c r="P1357" s="4">
        <f>IFERROR(MATCH(1352,상세표[연속순번],0),"")</f>
        <v/>
      </c>
    </row>
    <row r="1358">
      <c r="A1358">
        <f>IF($P1358="","",INDEX(상세표[사번],$P1358)&amp;"")</f>
        <v/>
      </c>
      <c r="B1358">
        <f>IF($P1358="","",INDEX(상세표[성명],$P1358)&amp;"")</f>
        <v/>
      </c>
      <c r="C1358">
        <f>IF($P1358="","",INDEX(상세표[부서],$P1358)&amp;"")</f>
        <v/>
      </c>
      <c r="D1358">
        <f>IF($P1358="","",INDEX(상세표[직위],$P1358)&amp;"")</f>
        <v/>
      </c>
      <c r="E1358">
        <f>IF($P1358="","",IF(ISNUMBER(INDEX(상세표[시작],$P1358)),TEXT(INDEX(상세표[시작],$P1358),"yyyy-mm-dd hh:mm"),INDEX(상세표[시작],$P1358)&amp;""))</f>
        <v/>
      </c>
      <c r="F1358">
        <f>IF($P1358="","",IF(ISNUMBER(INDEX(상세표[블록종료],$P1358)),TEXT(INDEX(상세표[블록종료],$P1358),"yyyy-mm-dd hh:mm"),INDEX(상세표[블록종료],$P1358)&amp;""))</f>
        <v/>
      </c>
      <c r="G1358">
        <f>IF($P1358="","",CHOOSE(WEEKDAY(INDEX(상세표[시작],$P1358)),"일","월","화","수","목","금","토"))</f>
        <v/>
      </c>
      <c r="H1358">
        <f>IF($P1358="","",INDEX(상세표[연속 시간],$P1358))</f>
        <v/>
      </c>
      <c r="I1358">
        <f>IF($P1358="","",INDEX(상세표[기록 수],$P1358))</f>
        <v/>
      </c>
      <c r="J1358">
        <f>IF($P1358="","",INDEX(상세표[블록 06~07시],$P1358))</f>
        <v/>
      </c>
      <c r="K1358">
        <f>IF($P1358="","",INDEX(상세표[블록 07~18시],$P1358))</f>
        <v/>
      </c>
      <c r="L1358">
        <f>IF($P1358="","",INDEX(상세표[블록 18~22시],$P1358))</f>
        <v/>
      </c>
      <c r="M1358">
        <f>IF($P1358="","",INDEX(상세표[블록 22~06시],$P1358))</f>
        <v/>
      </c>
      <c r="N1358">
        <f>IF($P1358="","",INDEX(상세표[주말·휴일 포함],$P1358)&amp;"")</f>
        <v/>
      </c>
      <c r="O1358">
        <f>IF($P1358="","",INDEX(상세표[월 넘김 포함],$P1358)&amp;"")</f>
        <v/>
      </c>
      <c r="P1358" s="4">
        <f>IFERROR(MATCH(1353,상세표[연속순번],0),"")</f>
        <v/>
      </c>
    </row>
    <row r="1359">
      <c r="A1359">
        <f>IF($P1359="","",INDEX(상세표[사번],$P1359)&amp;"")</f>
        <v/>
      </c>
      <c r="B1359">
        <f>IF($P1359="","",INDEX(상세표[성명],$P1359)&amp;"")</f>
        <v/>
      </c>
      <c r="C1359">
        <f>IF($P1359="","",INDEX(상세표[부서],$P1359)&amp;"")</f>
        <v/>
      </c>
      <c r="D1359">
        <f>IF($P1359="","",INDEX(상세표[직위],$P1359)&amp;"")</f>
        <v/>
      </c>
      <c r="E1359">
        <f>IF($P1359="","",IF(ISNUMBER(INDEX(상세표[시작],$P1359)),TEXT(INDEX(상세표[시작],$P1359),"yyyy-mm-dd hh:mm"),INDEX(상세표[시작],$P1359)&amp;""))</f>
        <v/>
      </c>
      <c r="F1359">
        <f>IF($P1359="","",IF(ISNUMBER(INDEX(상세표[블록종료],$P1359)),TEXT(INDEX(상세표[블록종료],$P1359),"yyyy-mm-dd hh:mm"),INDEX(상세표[블록종료],$P1359)&amp;""))</f>
        <v/>
      </c>
      <c r="G1359">
        <f>IF($P1359="","",CHOOSE(WEEKDAY(INDEX(상세표[시작],$P1359)),"일","월","화","수","목","금","토"))</f>
        <v/>
      </c>
      <c r="H1359">
        <f>IF($P1359="","",INDEX(상세표[연속 시간],$P1359))</f>
        <v/>
      </c>
      <c r="I1359">
        <f>IF($P1359="","",INDEX(상세표[기록 수],$P1359))</f>
        <v/>
      </c>
      <c r="J1359">
        <f>IF($P1359="","",INDEX(상세표[블록 06~07시],$P1359))</f>
        <v/>
      </c>
      <c r="K1359">
        <f>IF($P1359="","",INDEX(상세표[블록 07~18시],$P1359))</f>
        <v/>
      </c>
      <c r="L1359">
        <f>IF($P1359="","",INDEX(상세표[블록 18~22시],$P1359))</f>
        <v/>
      </c>
      <c r="M1359">
        <f>IF($P1359="","",INDEX(상세표[블록 22~06시],$P1359))</f>
        <v/>
      </c>
      <c r="N1359">
        <f>IF($P1359="","",INDEX(상세표[주말·휴일 포함],$P1359)&amp;"")</f>
        <v/>
      </c>
      <c r="O1359">
        <f>IF($P1359="","",INDEX(상세표[월 넘김 포함],$P1359)&amp;"")</f>
        <v/>
      </c>
      <c r="P1359" s="4">
        <f>IFERROR(MATCH(1354,상세표[연속순번],0),"")</f>
        <v/>
      </c>
    </row>
    <row r="1360">
      <c r="A1360">
        <f>IF($P1360="","",INDEX(상세표[사번],$P1360)&amp;"")</f>
        <v/>
      </c>
      <c r="B1360">
        <f>IF($P1360="","",INDEX(상세표[성명],$P1360)&amp;"")</f>
        <v/>
      </c>
      <c r="C1360">
        <f>IF($P1360="","",INDEX(상세표[부서],$P1360)&amp;"")</f>
        <v/>
      </c>
      <c r="D1360">
        <f>IF($P1360="","",INDEX(상세표[직위],$P1360)&amp;"")</f>
        <v/>
      </c>
      <c r="E1360">
        <f>IF($P1360="","",IF(ISNUMBER(INDEX(상세표[시작],$P1360)),TEXT(INDEX(상세표[시작],$P1360),"yyyy-mm-dd hh:mm"),INDEX(상세표[시작],$P1360)&amp;""))</f>
        <v/>
      </c>
      <c r="F1360">
        <f>IF($P1360="","",IF(ISNUMBER(INDEX(상세표[블록종료],$P1360)),TEXT(INDEX(상세표[블록종료],$P1360),"yyyy-mm-dd hh:mm"),INDEX(상세표[블록종료],$P1360)&amp;""))</f>
        <v/>
      </c>
      <c r="G1360">
        <f>IF($P1360="","",CHOOSE(WEEKDAY(INDEX(상세표[시작],$P1360)),"일","월","화","수","목","금","토"))</f>
        <v/>
      </c>
      <c r="H1360">
        <f>IF($P1360="","",INDEX(상세표[연속 시간],$P1360))</f>
        <v/>
      </c>
      <c r="I1360">
        <f>IF($P1360="","",INDEX(상세표[기록 수],$P1360))</f>
        <v/>
      </c>
      <c r="J1360">
        <f>IF($P1360="","",INDEX(상세표[블록 06~07시],$P1360))</f>
        <v/>
      </c>
      <c r="K1360">
        <f>IF($P1360="","",INDEX(상세표[블록 07~18시],$P1360))</f>
        <v/>
      </c>
      <c r="L1360">
        <f>IF($P1360="","",INDEX(상세표[블록 18~22시],$P1360))</f>
        <v/>
      </c>
      <c r="M1360">
        <f>IF($P1360="","",INDEX(상세표[블록 22~06시],$P1360))</f>
        <v/>
      </c>
      <c r="N1360">
        <f>IF($P1360="","",INDEX(상세표[주말·휴일 포함],$P1360)&amp;"")</f>
        <v/>
      </c>
      <c r="O1360">
        <f>IF($P1360="","",INDEX(상세표[월 넘김 포함],$P1360)&amp;"")</f>
        <v/>
      </c>
      <c r="P1360" s="4">
        <f>IFERROR(MATCH(1355,상세표[연속순번],0),"")</f>
        <v/>
      </c>
    </row>
    <row r="1361">
      <c r="A1361">
        <f>IF($P1361="","",INDEX(상세표[사번],$P1361)&amp;"")</f>
        <v/>
      </c>
      <c r="B1361">
        <f>IF($P1361="","",INDEX(상세표[성명],$P1361)&amp;"")</f>
        <v/>
      </c>
      <c r="C1361">
        <f>IF($P1361="","",INDEX(상세표[부서],$P1361)&amp;"")</f>
        <v/>
      </c>
      <c r="D1361">
        <f>IF($P1361="","",INDEX(상세표[직위],$P1361)&amp;"")</f>
        <v/>
      </c>
      <c r="E1361">
        <f>IF($P1361="","",IF(ISNUMBER(INDEX(상세표[시작],$P1361)),TEXT(INDEX(상세표[시작],$P1361),"yyyy-mm-dd hh:mm"),INDEX(상세표[시작],$P1361)&amp;""))</f>
        <v/>
      </c>
      <c r="F1361">
        <f>IF($P1361="","",IF(ISNUMBER(INDEX(상세표[블록종료],$P1361)),TEXT(INDEX(상세표[블록종료],$P1361),"yyyy-mm-dd hh:mm"),INDEX(상세표[블록종료],$P1361)&amp;""))</f>
        <v/>
      </c>
      <c r="G1361">
        <f>IF($P1361="","",CHOOSE(WEEKDAY(INDEX(상세표[시작],$P1361)),"일","월","화","수","목","금","토"))</f>
        <v/>
      </c>
      <c r="H1361">
        <f>IF($P1361="","",INDEX(상세표[연속 시간],$P1361))</f>
        <v/>
      </c>
      <c r="I1361">
        <f>IF($P1361="","",INDEX(상세표[기록 수],$P1361))</f>
        <v/>
      </c>
      <c r="J1361">
        <f>IF($P1361="","",INDEX(상세표[블록 06~07시],$P1361))</f>
        <v/>
      </c>
      <c r="K1361">
        <f>IF($P1361="","",INDEX(상세표[블록 07~18시],$P1361))</f>
        <v/>
      </c>
      <c r="L1361">
        <f>IF($P1361="","",INDEX(상세표[블록 18~22시],$P1361))</f>
        <v/>
      </c>
      <c r="M1361">
        <f>IF($P1361="","",INDEX(상세표[블록 22~06시],$P1361))</f>
        <v/>
      </c>
      <c r="N1361">
        <f>IF($P1361="","",INDEX(상세표[주말·휴일 포함],$P1361)&amp;"")</f>
        <v/>
      </c>
      <c r="O1361">
        <f>IF($P1361="","",INDEX(상세표[월 넘김 포함],$P1361)&amp;"")</f>
        <v/>
      </c>
      <c r="P1361" s="4">
        <f>IFERROR(MATCH(1356,상세표[연속순번],0),"")</f>
        <v/>
      </c>
    </row>
    <row r="1362">
      <c r="A1362">
        <f>IF($P1362="","",INDEX(상세표[사번],$P1362)&amp;"")</f>
        <v/>
      </c>
      <c r="B1362">
        <f>IF($P1362="","",INDEX(상세표[성명],$P1362)&amp;"")</f>
        <v/>
      </c>
      <c r="C1362">
        <f>IF($P1362="","",INDEX(상세표[부서],$P1362)&amp;"")</f>
        <v/>
      </c>
      <c r="D1362">
        <f>IF($P1362="","",INDEX(상세표[직위],$P1362)&amp;"")</f>
        <v/>
      </c>
      <c r="E1362">
        <f>IF($P1362="","",IF(ISNUMBER(INDEX(상세표[시작],$P1362)),TEXT(INDEX(상세표[시작],$P1362),"yyyy-mm-dd hh:mm"),INDEX(상세표[시작],$P1362)&amp;""))</f>
        <v/>
      </c>
      <c r="F1362">
        <f>IF($P1362="","",IF(ISNUMBER(INDEX(상세표[블록종료],$P1362)),TEXT(INDEX(상세표[블록종료],$P1362),"yyyy-mm-dd hh:mm"),INDEX(상세표[블록종료],$P1362)&amp;""))</f>
        <v/>
      </c>
      <c r="G1362">
        <f>IF($P1362="","",CHOOSE(WEEKDAY(INDEX(상세표[시작],$P1362)),"일","월","화","수","목","금","토"))</f>
        <v/>
      </c>
      <c r="H1362">
        <f>IF($P1362="","",INDEX(상세표[연속 시간],$P1362))</f>
        <v/>
      </c>
      <c r="I1362">
        <f>IF($P1362="","",INDEX(상세표[기록 수],$P1362))</f>
        <v/>
      </c>
      <c r="J1362">
        <f>IF($P1362="","",INDEX(상세표[블록 06~07시],$P1362))</f>
        <v/>
      </c>
      <c r="K1362">
        <f>IF($P1362="","",INDEX(상세표[블록 07~18시],$P1362))</f>
        <v/>
      </c>
      <c r="L1362">
        <f>IF($P1362="","",INDEX(상세표[블록 18~22시],$P1362))</f>
        <v/>
      </c>
      <c r="M1362">
        <f>IF($P1362="","",INDEX(상세표[블록 22~06시],$P1362))</f>
        <v/>
      </c>
      <c r="N1362">
        <f>IF($P1362="","",INDEX(상세표[주말·휴일 포함],$P1362)&amp;"")</f>
        <v/>
      </c>
      <c r="O1362">
        <f>IF($P1362="","",INDEX(상세표[월 넘김 포함],$P1362)&amp;"")</f>
        <v/>
      </c>
      <c r="P1362" s="4">
        <f>IFERROR(MATCH(1357,상세표[연속순번],0),"")</f>
        <v/>
      </c>
    </row>
    <row r="1363">
      <c r="A1363">
        <f>IF($P1363="","",INDEX(상세표[사번],$P1363)&amp;"")</f>
        <v/>
      </c>
      <c r="B1363">
        <f>IF($P1363="","",INDEX(상세표[성명],$P1363)&amp;"")</f>
        <v/>
      </c>
      <c r="C1363">
        <f>IF($P1363="","",INDEX(상세표[부서],$P1363)&amp;"")</f>
        <v/>
      </c>
      <c r="D1363">
        <f>IF($P1363="","",INDEX(상세표[직위],$P1363)&amp;"")</f>
        <v/>
      </c>
      <c r="E1363">
        <f>IF($P1363="","",IF(ISNUMBER(INDEX(상세표[시작],$P1363)),TEXT(INDEX(상세표[시작],$P1363),"yyyy-mm-dd hh:mm"),INDEX(상세표[시작],$P1363)&amp;""))</f>
        <v/>
      </c>
      <c r="F1363">
        <f>IF($P1363="","",IF(ISNUMBER(INDEX(상세표[블록종료],$P1363)),TEXT(INDEX(상세표[블록종료],$P1363),"yyyy-mm-dd hh:mm"),INDEX(상세표[블록종료],$P1363)&amp;""))</f>
        <v/>
      </c>
      <c r="G1363">
        <f>IF($P1363="","",CHOOSE(WEEKDAY(INDEX(상세표[시작],$P1363)),"일","월","화","수","목","금","토"))</f>
        <v/>
      </c>
      <c r="H1363">
        <f>IF($P1363="","",INDEX(상세표[연속 시간],$P1363))</f>
        <v/>
      </c>
      <c r="I1363">
        <f>IF($P1363="","",INDEX(상세표[기록 수],$P1363))</f>
        <v/>
      </c>
      <c r="J1363">
        <f>IF($P1363="","",INDEX(상세표[블록 06~07시],$P1363))</f>
        <v/>
      </c>
      <c r="K1363">
        <f>IF($P1363="","",INDEX(상세표[블록 07~18시],$P1363))</f>
        <v/>
      </c>
      <c r="L1363">
        <f>IF($P1363="","",INDEX(상세표[블록 18~22시],$P1363))</f>
        <v/>
      </c>
      <c r="M1363">
        <f>IF($P1363="","",INDEX(상세표[블록 22~06시],$P1363))</f>
        <v/>
      </c>
      <c r="N1363">
        <f>IF($P1363="","",INDEX(상세표[주말·휴일 포함],$P1363)&amp;"")</f>
        <v/>
      </c>
      <c r="O1363">
        <f>IF($P1363="","",INDEX(상세표[월 넘김 포함],$P1363)&amp;"")</f>
        <v/>
      </c>
      <c r="P1363" s="4">
        <f>IFERROR(MATCH(1358,상세표[연속순번],0),"")</f>
        <v/>
      </c>
    </row>
    <row r="1364">
      <c r="A1364">
        <f>IF($P1364="","",INDEX(상세표[사번],$P1364)&amp;"")</f>
        <v/>
      </c>
      <c r="B1364">
        <f>IF($P1364="","",INDEX(상세표[성명],$P1364)&amp;"")</f>
        <v/>
      </c>
      <c r="C1364">
        <f>IF($P1364="","",INDEX(상세표[부서],$P1364)&amp;"")</f>
        <v/>
      </c>
      <c r="D1364">
        <f>IF($P1364="","",INDEX(상세표[직위],$P1364)&amp;"")</f>
        <v/>
      </c>
      <c r="E1364">
        <f>IF($P1364="","",IF(ISNUMBER(INDEX(상세표[시작],$P1364)),TEXT(INDEX(상세표[시작],$P1364),"yyyy-mm-dd hh:mm"),INDEX(상세표[시작],$P1364)&amp;""))</f>
        <v/>
      </c>
      <c r="F1364">
        <f>IF($P1364="","",IF(ISNUMBER(INDEX(상세표[블록종료],$P1364)),TEXT(INDEX(상세표[블록종료],$P1364),"yyyy-mm-dd hh:mm"),INDEX(상세표[블록종료],$P1364)&amp;""))</f>
        <v/>
      </c>
      <c r="G1364">
        <f>IF($P1364="","",CHOOSE(WEEKDAY(INDEX(상세표[시작],$P1364)),"일","월","화","수","목","금","토"))</f>
        <v/>
      </c>
      <c r="H1364">
        <f>IF($P1364="","",INDEX(상세표[연속 시간],$P1364))</f>
        <v/>
      </c>
      <c r="I1364">
        <f>IF($P1364="","",INDEX(상세표[기록 수],$P1364))</f>
        <v/>
      </c>
      <c r="J1364">
        <f>IF($P1364="","",INDEX(상세표[블록 06~07시],$P1364))</f>
        <v/>
      </c>
      <c r="K1364">
        <f>IF($P1364="","",INDEX(상세표[블록 07~18시],$P1364))</f>
        <v/>
      </c>
      <c r="L1364">
        <f>IF($P1364="","",INDEX(상세표[블록 18~22시],$P1364))</f>
        <v/>
      </c>
      <c r="M1364">
        <f>IF($P1364="","",INDEX(상세표[블록 22~06시],$P1364))</f>
        <v/>
      </c>
      <c r="N1364">
        <f>IF($P1364="","",INDEX(상세표[주말·휴일 포함],$P1364)&amp;"")</f>
        <v/>
      </c>
      <c r="O1364">
        <f>IF($P1364="","",INDEX(상세표[월 넘김 포함],$P1364)&amp;"")</f>
        <v/>
      </c>
      <c r="P1364" s="4">
        <f>IFERROR(MATCH(1359,상세표[연속순번],0),"")</f>
        <v/>
      </c>
    </row>
    <row r="1365">
      <c r="A1365">
        <f>IF($P1365="","",INDEX(상세표[사번],$P1365)&amp;"")</f>
        <v/>
      </c>
      <c r="B1365">
        <f>IF($P1365="","",INDEX(상세표[성명],$P1365)&amp;"")</f>
        <v/>
      </c>
      <c r="C1365">
        <f>IF($P1365="","",INDEX(상세표[부서],$P1365)&amp;"")</f>
        <v/>
      </c>
      <c r="D1365">
        <f>IF($P1365="","",INDEX(상세표[직위],$P1365)&amp;"")</f>
        <v/>
      </c>
      <c r="E1365">
        <f>IF($P1365="","",IF(ISNUMBER(INDEX(상세표[시작],$P1365)),TEXT(INDEX(상세표[시작],$P1365),"yyyy-mm-dd hh:mm"),INDEX(상세표[시작],$P1365)&amp;""))</f>
        <v/>
      </c>
      <c r="F1365">
        <f>IF($P1365="","",IF(ISNUMBER(INDEX(상세표[블록종료],$P1365)),TEXT(INDEX(상세표[블록종료],$P1365),"yyyy-mm-dd hh:mm"),INDEX(상세표[블록종료],$P1365)&amp;""))</f>
        <v/>
      </c>
      <c r="G1365">
        <f>IF($P1365="","",CHOOSE(WEEKDAY(INDEX(상세표[시작],$P1365)),"일","월","화","수","목","금","토"))</f>
        <v/>
      </c>
      <c r="H1365">
        <f>IF($P1365="","",INDEX(상세표[연속 시간],$P1365))</f>
        <v/>
      </c>
      <c r="I1365">
        <f>IF($P1365="","",INDEX(상세표[기록 수],$P1365))</f>
        <v/>
      </c>
      <c r="J1365">
        <f>IF($P1365="","",INDEX(상세표[블록 06~07시],$P1365))</f>
        <v/>
      </c>
      <c r="K1365">
        <f>IF($P1365="","",INDEX(상세표[블록 07~18시],$P1365))</f>
        <v/>
      </c>
      <c r="L1365">
        <f>IF($P1365="","",INDEX(상세표[블록 18~22시],$P1365))</f>
        <v/>
      </c>
      <c r="M1365">
        <f>IF($P1365="","",INDEX(상세표[블록 22~06시],$P1365))</f>
        <v/>
      </c>
      <c r="N1365">
        <f>IF($P1365="","",INDEX(상세표[주말·휴일 포함],$P1365)&amp;"")</f>
        <v/>
      </c>
      <c r="O1365">
        <f>IF($P1365="","",INDEX(상세표[월 넘김 포함],$P1365)&amp;"")</f>
        <v/>
      </c>
      <c r="P1365" s="4">
        <f>IFERROR(MATCH(1360,상세표[연속순번],0),"")</f>
        <v/>
      </c>
    </row>
    <row r="1366">
      <c r="A1366">
        <f>IF($P1366="","",INDEX(상세표[사번],$P1366)&amp;"")</f>
        <v/>
      </c>
      <c r="B1366">
        <f>IF($P1366="","",INDEX(상세표[성명],$P1366)&amp;"")</f>
        <v/>
      </c>
      <c r="C1366">
        <f>IF($P1366="","",INDEX(상세표[부서],$P1366)&amp;"")</f>
        <v/>
      </c>
      <c r="D1366">
        <f>IF($P1366="","",INDEX(상세표[직위],$P1366)&amp;"")</f>
        <v/>
      </c>
      <c r="E1366">
        <f>IF($P1366="","",IF(ISNUMBER(INDEX(상세표[시작],$P1366)),TEXT(INDEX(상세표[시작],$P1366),"yyyy-mm-dd hh:mm"),INDEX(상세표[시작],$P1366)&amp;""))</f>
        <v/>
      </c>
      <c r="F1366">
        <f>IF($P1366="","",IF(ISNUMBER(INDEX(상세표[블록종료],$P1366)),TEXT(INDEX(상세표[블록종료],$P1366),"yyyy-mm-dd hh:mm"),INDEX(상세표[블록종료],$P1366)&amp;""))</f>
        <v/>
      </c>
      <c r="G1366">
        <f>IF($P1366="","",CHOOSE(WEEKDAY(INDEX(상세표[시작],$P1366)),"일","월","화","수","목","금","토"))</f>
        <v/>
      </c>
      <c r="H1366">
        <f>IF($P1366="","",INDEX(상세표[연속 시간],$P1366))</f>
        <v/>
      </c>
      <c r="I1366">
        <f>IF($P1366="","",INDEX(상세표[기록 수],$P1366))</f>
        <v/>
      </c>
      <c r="J1366">
        <f>IF($P1366="","",INDEX(상세표[블록 06~07시],$P1366))</f>
        <v/>
      </c>
      <c r="K1366">
        <f>IF($P1366="","",INDEX(상세표[블록 07~18시],$P1366))</f>
        <v/>
      </c>
      <c r="L1366">
        <f>IF($P1366="","",INDEX(상세표[블록 18~22시],$P1366))</f>
        <v/>
      </c>
      <c r="M1366">
        <f>IF($P1366="","",INDEX(상세표[블록 22~06시],$P1366))</f>
        <v/>
      </c>
      <c r="N1366">
        <f>IF($P1366="","",INDEX(상세표[주말·휴일 포함],$P1366)&amp;"")</f>
        <v/>
      </c>
      <c r="O1366">
        <f>IF($P1366="","",INDEX(상세표[월 넘김 포함],$P1366)&amp;"")</f>
        <v/>
      </c>
      <c r="P1366" s="4">
        <f>IFERROR(MATCH(1361,상세표[연속순번],0),"")</f>
        <v/>
      </c>
    </row>
    <row r="1367">
      <c r="A1367">
        <f>IF($P1367="","",INDEX(상세표[사번],$P1367)&amp;"")</f>
        <v/>
      </c>
      <c r="B1367">
        <f>IF($P1367="","",INDEX(상세표[성명],$P1367)&amp;"")</f>
        <v/>
      </c>
      <c r="C1367">
        <f>IF($P1367="","",INDEX(상세표[부서],$P1367)&amp;"")</f>
        <v/>
      </c>
      <c r="D1367">
        <f>IF($P1367="","",INDEX(상세표[직위],$P1367)&amp;"")</f>
        <v/>
      </c>
      <c r="E1367">
        <f>IF($P1367="","",IF(ISNUMBER(INDEX(상세표[시작],$P1367)),TEXT(INDEX(상세표[시작],$P1367),"yyyy-mm-dd hh:mm"),INDEX(상세표[시작],$P1367)&amp;""))</f>
        <v/>
      </c>
      <c r="F1367">
        <f>IF($P1367="","",IF(ISNUMBER(INDEX(상세표[블록종료],$P1367)),TEXT(INDEX(상세표[블록종료],$P1367),"yyyy-mm-dd hh:mm"),INDEX(상세표[블록종료],$P1367)&amp;""))</f>
        <v/>
      </c>
      <c r="G1367">
        <f>IF($P1367="","",CHOOSE(WEEKDAY(INDEX(상세표[시작],$P1367)),"일","월","화","수","목","금","토"))</f>
        <v/>
      </c>
      <c r="H1367">
        <f>IF($P1367="","",INDEX(상세표[연속 시간],$P1367))</f>
        <v/>
      </c>
      <c r="I1367">
        <f>IF($P1367="","",INDEX(상세표[기록 수],$P1367))</f>
        <v/>
      </c>
      <c r="J1367">
        <f>IF($P1367="","",INDEX(상세표[블록 06~07시],$P1367))</f>
        <v/>
      </c>
      <c r="K1367">
        <f>IF($P1367="","",INDEX(상세표[블록 07~18시],$P1367))</f>
        <v/>
      </c>
      <c r="L1367">
        <f>IF($P1367="","",INDEX(상세표[블록 18~22시],$P1367))</f>
        <v/>
      </c>
      <c r="M1367">
        <f>IF($P1367="","",INDEX(상세표[블록 22~06시],$P1367))</f>
        <v/>
      </c>
      <c r="N1367">
        <f>IF($P1367="","",INDEX(상세표[주말·휴일 포함],$P1367)&amp;"")</f>
        <v/>
      </c>
      <c r="O1367">
        <f>IF($P1367="","",INDEX(상세표[월 넘김 포함],$P1367)&amp;"")</f>
        <v/>
      </c>
      <c r="P1367" s="4">
        <f>IFERROR(MATCH(1362,상세표[연속순번],0),"")</f>
        <v/>
      </c>
    </row>
    <row r="1368">
      <c r="A1368">
        <f>IF($P1368="","",INDEX(상세표[사번],$P1368)&amp;"")</f>
        <v/>
      </c>
      <c r="B1368">
        <f>IF($P1368="","",INDEX(상세표[성명],$P1368)&amp;"")</f>
        <v/>
      </c>
      <c r="C1368">
        <f>IF($P1368="","",INDEX(상세표[부서],$P1368)&amp;"")</f>
        <v/>
      </c>
      <c r="D1368">
        <f>IF($P1368="","",INDEX(상세표[직위],$P1368)&amp;"")</f>
        <v/>
      </c>
      <c r="E1368">
        <f>IF($P1368="","",IF(ISNUMBER(INDEX(상세표[시작],$P1368)),TEXT(INDEX(상세표[시작],$P1368),"yyyy-mm-dd hh:mm"),INDEX(상세표[시작],$P1368)&amp;""))</f>
        <v/>
      </c>
      <c r="F1368">
        <f>IF($P1368="","",IF(ISNUMBER(INDEX(상세표[블록종료],$P1368)),TEXT(INDEX(상세표[블록종료],$P1368),"yyyy-mm-dd hh:mm"),INDEX(상세표[블록종료],$P1368)&amp;""))</f>
        <v/>
      </c>
      <c r="G1368">
        <f>IF($P1368="","",CHOOSE(WEEKDAY(INDEX(상세표[시작],$P1368)),"일","월","화","수","목","금","토"))</f>
        <v/>
      </c>
      <c r="H1368">
        <f>IF($P1368="","",INDEX(상세표[연속 시간],$P1368))</f>
        <v/>
      </c>
      <c r="I1368">
        <f>IF($P1368="","",INDEX(상세표[기록 수],$P1368))</f>
        <v/>
      </c>
      <c r="J1368">
        <f>IF($P1368="","",INDEX(상세표[블록 06~07시],$P1368))</f>
        <v/>
      </c>
      <c r="K1368">
        <f>IF($P1368="","",INDEX(상세표[블록 07~18시],$P1368))</f>
        <v/>
      </c>
      <c r="L1368">
        <f>IF($P1368="","",INDEX(상세표[블록 18~22시],$P1368))</f>
        <v/>
      </c>
      <c r="M1368">
        <f>IF($P1368="","",INDEX(상세표[블록 22~06시],$P1368))</f>
        <v/>
      </c>
      <c r="N1368">
        <f>IF($P1368="","",INDEX(상세표[주말·휴일 포함],$P1368)&amp;"")</f>
        <v/>
      </c>
      <c r="O1368">
        <f>IF($P1368="","",INDEX(상세표[월 넘김 포함],$P1368)&amp;"")</f>
        <v/>
      </c>
      <c r="P1368" s="4">
        <f>IFERROR(MATCH(1363,상세표[연속순번],0),"")</f>
        <v/>
      </c>
    </row>
    <row r="1369">
      <c r="A1369">
        <f>IF($P1369="","",INDEX(상세표[사번],$P1369)&amp;"")</f>
        <v/>
      </c>
      <c r="B1369">
        <f>IF($P1369="","",INDEX(상세표[성명],$P1369)&amp;"")</f>
        <v/>
      </c>
      <c r="C1369">
        <f>IF($P1369="","",INDEX(상세표[부서],$P1369)&amp;"")</f>
        <v/>
      </c>
      <c r="D1369">
        <f>IF($P1369="","",INDEX(상세표[직위],$P1369)&amp;"")</f>
        <v/>
      </c>
      <c r="E1369">
        <f>IF($P1369="","",IF(ISNUMBER(INDEX(상세표[시작],$P1369)),TEXT(INDEX(상세표[시작],$P1369),"yyyy-mm-dd hh:mm"),INDEX(상세표[시작],$P1369)&amp;""))</f>
        <v/>
      </c>
      <c r="F1369">
        <f>IF($P1369="","",IF(ISNUMBER(INDEX(상세표[블록종료],$P1369)),TEXT(INDEX(상세표[블록종료],$P1369),"yyyy-mm-dd hh:mm"),INDEX(상세표[블록종료],$P1369)&amp;""))</f>
        <v/>
      </c>
      <c r="G1369">
        <f>IF($P1369="","",CHOOSE(WEEKDAY(INDEX(상세표[시작],$P1369)),"일","월","화","수","목","금","토"))</f>
        <v/>
      </c>
      <c r="H1369">
        <f>IF($P1369="","",INDEX(상세표[연속 시간],$P1369))</f>
        <v/>
      </c>
      <c r="I1369">
        <f>IF($P1369="","",INDEX(상세표[기록 수],$P1369))</f>
        <v/>
      </c>
      <c r="J1369">
        <f>IF($P1369="","",INDEX(상세표[블록 06~07시],$P1369))</f>
        <v/>
      </c>
      <c r="K1369">
        <f>IF($P1369="","",INDEX(상세표[블록 07~18시],$P1369))</f>
        <v/>
      </c>
      <c r="L1369">
        <f>IF($P1369="","",INDEX(상세표[블록 18~22시],$P1369))</f>
        <v/>
      </c>
      <c r="M1369">
        <f>IF($P1369="","",INDEX(상세표[블록 22~06시],$P1369))</f>
        <v/>
      </c>
      <c r="N1369">
        <f>IF($P1369="","",INDEX(상세표[주말·휴일 포함],$P1369)&amp;"")</f>
        <v/>
      </c>
      <c r="O1369">
        <f>IF($P1369="","",INDEX(상세표[월 넘김 포함],$P1369)&amp;"")</f>
        <v/>
      </c>
      <c r="P1369" s="4">
        <f>IFERROR(MATCH(1364,상세표[연속순번],0),"")</f>
        <v/>
      </c>
    </row>
    <row r="1370">
      <c r="A1370">
        <f>IF($P1370="","",INDEX(상세표[사번],$P1370)&amp;"")</f>
        <v/>
      </c>
      <c r="B1370">
        <f>IF($P1370="","",INDEX(상세표[성명],$P1370)&amp;"")</f>
        <v/>
      </c>
      <c r="C1370">
        <f>IF($P1370="","",INDEX(상세표[부서],$P1370)&amp;"")</f>
        <v/>
      </c>
      <c r="D1370">
        <f>IF($P1370="","",INDEX(상세표[직위],$P1370)&amp;"")</f>
        <v/>
      </c>
      <c r="E1370">
        <f>IF($P1370="","",IF(ISNUMBER(INDEX(상세표[시작],$P1370)),TEXT(INDEX(상세표[시작],$P1370),"yyyy-mm-dd hh:mm"),INDEX(상세표[시작],$P1370)&amp;""))</f>
        <v/>
      </c>
      <c r="F1370">
        <f>IF($P1370="","",IF(ISNUMBER(INDEX(상세표[블록종료],$P1370)),TEXT(INDEX(상세표[블록종료],$P1370),"yyyy-mm-dd hh:mm"),INDEX(상세표[블록종료],$P1370)&amp;""))</f>
        <v/>
      </c>
      <c r="G1370">
        <f>IF($P1370="","",CHOOSE(WEEKDAY(INDEX(상세표[시작],$P1370)),"일","월","화","수","목","금","토"))</f>
        <v/>
      </c>
      <c r="H1370">
        <f>IF($P1370="","",INDEX(상세표[연속 시간],$P1370))</f>
        <v/>
      </c>
      <c r="I1370">
        <f>IF($P1370="","",INDEX(상세표[기록 수],$P1370))</f>
        <v/>
      </c>
      <c r="J1370">
        <f>IF($P1370="","",INDEX(상세표[블록 06~07시],$P1370))</f>
        <v/>
      </c>
      <c r="K1370">
        <f>IF($P1370="","",INDEX(상세표[블록 07~18시],$P1370))</f>
        <v/>
      </c>
      <c r="L1370">
        <f>IF($P1370="","",INDEX(상세표[블록 18~22시],$P1370))</f>
        <v/>
      </c>
      <c r="M1370">
        <f>IF($P1370="","",INDEX(상세표[블록 22~06시],$P1370))</f>
        <v/>
      </c>
      <c r="N1370">
        <f>IF($P1370="","",INDEX(상세표[주말·휴일 포함],$P1370)&amp;"")</f>
        <v/>
      </c>
      <c r="O1370">
        <f>IF($P1370="","",INDEX(상세표[월 넘김 포함],$P1370)&amp;"")</f>
        <v/>
      </c>
      <c r="P1370" s="4">
        <f>IFERROR(MATCH(1365,상세표[연속순번],0),"")</f>
        <v/>
      </c>
    </row>
    <row r="1371">
      <c r="A1371">
        <f>IF($P1371="","",INDEX(상세표[사번],$P1371)&amp;"")</f>
        <v/>
      </c>
      <c r="B1371">
        <f>IF($P1371="","",INDEX(상세표[성명],$P1371)&amp;"")</f>
        <v/>
      </c>
      <c r="C1371">
        <f>IF($P1371="","",INDEX(상세표[부서],$P1371)&amp;"")</f>
        <v/>
      </c>
      <c r="D1371">
        <f>IF($P1371="","",INDEX(상세표[직위],$P1371)&amp;"")</f>
        <v/>
      </c>
      <c r="E1371">
        <f>IF($P1371="","",IF(ISNUMBER(INDEX(상세표[시작],$P1371)),TEXT(INDEX(상세표[시작],$P1371),"yyyy-mm-dd hh:mm"),INDEX(상세표[시작],$P1371)&amp;""))</f>
        <v/>
      </c>
      <c r="F1371">
        <f>IF($P1371="","",IF(ISNUMBER(INDEX(상세표[블록종료],$P1371)),TEXT(INDEX(상세표[블록종료],$P1371),"yyyy-mm-dd hh:mm"),INDEX(상세표[블록종료],$P1371)&amp;""))</f>
        <v/>
      </c>
      <c r="G1371">
        <f>IF($P1371="","",CHOOSE(WEEKDAY(INDEX(상세표[시작],$P1371)),"일","월","화","수","목","금","토"))</f>
        <v/>
      </c>
      <c r="H1371">
        <f>IF($P1371="","",INDEX(상세표[연속 시간],$P1371))</f>
        <v/>
      </c>
      <c r="I1371">
        <f>IF($P1371="","",INDEX(상세표[기록 수],$P1371))</f>
        <v/>
      </c>
      <c r="J1371">
        <f>IF($P1371="","",INDEX(상세표[블록 06~07시],$P1371))</f>
        <v/>
      </c>
      <c r="K1371">
        <f>IF($P1371="","",INDEX(상세표[블록 07~18시],$P1371))</f>
        <v/>
      </c>
      <c r="L1371">
        <f>IF($P1371="","",INDEX(상세표[블록 18~22시],$P1371))</f>
        <v/>
      </c>
      <c r="M1371">
        <f>IF($P1371="","",INDEX(상세표[블록 22~06시],$P1371))</f>
        <v/>
      </c>
      <c r="N1371">
        <f>IF($P1371="","",INDEX(상세표[주말·휴일 포함],$P1371)&amp;"")</f>
        <v/>
      </c>
      <c r="O1371">
        <f>IF($P1371="","",INDEX(상세표[월 넘김 포함],$P1371)&amp;"")</f>
        <v/>
      </c>
      <c r="P1371" s="4">
        <f>IFERROR(MATCH(1366,상세표[연속순번],0),"")</f>
        <v/>
      </c>
    </row>
    <row r="1372">
      <c r="A1372">
        <f>IF($P1372="","",INDEX(상세표[사번],$P1372)&amp;"")</f>
        <v/>
      </c>
      <c r="B1372">
        <f>IF($P1372="","",INDEX(상세표[성명],$P1372)&amp;"")</f>
        <v/>
      </c>
      <c r="C1372">
        <f>IF($P1372="","",INDEX(상세표[부서],$P1372)&amp;"")</f>
        <v/>
      </c>
      <c r="D1372">
        <f>IF($P1372="","",INDEX(상세표[직위],$P1372)&amp;"")</f>
        <v/>
      </c>
      <c r="E1372">
        <f>IF($P1372="","",IF(ISNUMBER(INDEX(상세표[시작],$P1372)),TEXT(INDEX(상세표[시작],$P1372),"yyyy-mm-dd hh:mm"),INDEX(상세표[시작],$P1372)&amp;""))</f>
        <v/>
      </c>
      <c r="F1372">
        <f>IF($P1372="","",IF(ISNUMBER(INDEX(상세표[블록종료],$P1372)),TEXT(INDEX(상세표[블록종료],$P1372),"yyyy-mm-dd hh:mm"),INDEX(상세표[블록종료],$P1372)&amp;""))</f>
        <v/>
      </c>
      <c r="G1372">
        <f>IF($P1372="","",CHOOSE(WEEKDAY(INDEX(상세표[시작],$P1372)),"일","월","화","수","목","금","토"))</f>
        <v/>
      </c>
      <c r="H1372">
        <f>IF($P1372="","",INDEX(상세표[연속 시간],$P1372))</f>
        <v/>
      </c>
      <c r="I1372">
        <f>IF($P1372="","",INDEX(상세표[기록 수],$P1372))</f>
        <v/>
      </c>
      <c r="J1372">
        <f>IF($P1372="","",INDEX(상세표[블록 06~07시],$P1372))</f>
        <v/>
      </c>
      <c r="K1372">
        <f>IF($P1372="","",INDEX(상세표[블록 07~18시],$P1372))</f>
        <v/>
      </c>
      <c r="L1372">
        <f>IF($P1372="","",INDEX(상세표[블록 18~22시],$P1372))</f>
        <v/>
      </c>
      <c r="M1372">
        <f>IF($P1372="","",INDEX(상세표[블록 22~06시],$P1372))</f>
        <v/>
      </c>
      <c r="N1372">
        <f>IF($P1372="","",INDEX(상세표[주말·휴일 포함],$P1372)&amp;"")</f>
        <v/>
      </c>
      <c r="O1372">
        <f>IF($P1372="","",INDEX(상세표[월 넘김 포함],$P1372)&amp;"")</f>
        <v/>
      </c>
      <c r="P1372" s="4">
        <f>IFERROR(MATCH(1367,상세표[연속순번],0),"")</f>
        <v/>
      </c>
    </row>
    <row r="1373">
      <c r="A1373">
        <f>IF($P1373="","",INDEX(상세표[사번],$P1373)&amp;"")</f>
        <v/>
      </c>
      <c r="B1373">
        <f>IF($P1373="","",INDEX(상세표[성명],$P1373)&amp;"")</f>
        <v/>
      </c>
      <c r="C1373">
        <f>IF($P1373="","",INDEX(상세표[부서],$P1373)&amp;"")</f>
        <v/>
      </c>
      <c r="D1373">
        <f>IF($P1373="","",INDEX(상세표[직위],$P1373)&amp;"")</f>
        <v/>
      </c>
      <c r="E1373">
        <f>IF($P1373="","",IF(ISNUMBER(INDEX(상세표[시작],$P1373)),TEXT(INDEX(상세표[시작],$P1373),"yyyy-mm-dd hh:mm"),INDEX(상세표[시작],$P1373)&amp;""))</f>
        <v/>
      </c>
      <c r="F1373">
        <f>IF($P1373="","",IF(ISNUMBER(INDEX(상세표[블록종료],$P1373)),TEXT(INDEX(상세표[블록종료],$P1373),"yyyy-mm-dd hh:mm"),INDEX(상세표[블록종료],$P1373)&amp;""))</f>
        <v/>
      </c>
      <c r="G1373">
        <f>IF($P1373="","",CHOOSE(WEEKDAY(INDEX(상세표[시작],$P1373)),"일","월","화","수","목","금","토"))</f>
        <v/>
      </c>
      <c r="H1373">
        <f>IF($P1373="","",INDEX(상세표[연속 시간],$P1373))</f>
        <v/>
      </c>
      <c r="I1373">
        <f>IF($P1373="","",INDEX(상세표[기록 수],$P1373))</f>
        <v/>
      </c>
      <c r="J1373">
        <f>IF($P1373="","",INDEX(상세표[블록 06~07시],$P1373))</f>
        <v/>
      </c>
      <c r="K1373">
        <f>IF($P1373="","",INDEX(상세표[블록 07~18시],$P1373))</f>
        <v/>
      </c>
      <c r="L1373">
        <f>IF($P1373="","",INDEX(상세표[블록 18~22시],$P1373))</f>
        <v/>
      </c>
      <c r="M1373">
        <f>IF($P1373="","",INDEX(상세표[블록 22~06시],$P1373))</f>
        <v/>
      </c>
      <c r="N1373">
        <f>IF($P1373="","",INDEX(상세표[주말·휴일 포함],$P1373)&amp;"")</f>
        <v/>
      </c>
      <c r="O1373">
        <f>IF($P1373="","",INDEX(상세표[월 넘김 포함],$P1373)&amp;"")</f>
        <v/>
      </c>
      <c r="P1373" s="4">
        <f>IFERROR(MATCH(1368,상세표[연속순번],0),"")</f>
        <v/>
      </c>
    </row>
    <row r="1374">
      <c r="A1374">
        <f>IF($P1374="","",INDEX(상세표[사번],$P1374)&amp;"")</f>
        <v/>
      </c>
      <c r="B1374">
        <f>IF($P1374="","",INDEX(상세표[성명],$P1374)&amp;"")</f>
        <v/>
      </c>
      <c r="C1374">
        <f>IF($P1374="","",INDEX(상세표[부서],$P1374)&amp;"")</f>
        <v/>
      </c>
      <c r="D1374">
        <f>IF($P1374="","",INDEX(상세표[직위],$P1374)&amp;"")</f>
        <v/>
      </c>
      <c r="E1374">
        <f>IF($P1374="","",IF(ISNUMBER(INDEX(상세표[시작],$P1374)),TEXT(INDEX(상세표[시작],$P1374),"yyyy-mm-dd hh:mm"),INDEX(상세표[시작],$P1374)&amp;""))</f>
        <v/>
      </c>
      <c r="F1374">
        <f>IF($P1374="","",IF(ISNUMBER(INDEX(상세표[블록종료],$P1374)),TEXT(INDEX(상세표[블록종료],$P1374),"yyyy-mm-dd hh:mm"),INDEX(상세표[블록종료],$P1374)&amp;""))</f>
        <v/>
      </c>
      <c r="G1374">
        <f>IF($P1374="","",CHOOSE(WEEKDAY(INDEX(상세표[시작],$P1374)),"일","월","화","수","목","금","토"))</f>
        <v/>
      </c>
      <c r="H1374">
        <f>IF($P1374="","",INDEX(상세표[연속 시간],$P1374))</f>
        <v/>
      </c>
      <c r="I1374">
        <f>IF($P1374="","",INDEX(상세표[기록 수],$P1374))</f>
        <v/>
      </c>
      <c r="J1374">
        <f>IF($P1374="","",INDEX(상세표[블록 06~07시],$P1374))</f>
        <v/>
      </c>
      <c r="K1374">
        <f>IF($P1374="","",INDEX(상세표[블록 07~18시],$P1374))</f>
        <v/>
      </c>
      <c r="L1374">
        <f>IF($P1374="","",INDEX(상세표[블록 18~22시],$P1374))</f>
        <v/>
      </c>
      <c r="M1374">
        <f>IF($P1374="","",INDEX(상세표[블록 22~06시],$P1374))</f>
        <v/>
      </c>
      <c r="N1374">
        <f>IF($P1374="","",INDEX(상세표[주말·휴일 포함],$P1374)&amp;"")</f>
        <v/>
      </c>
      <c r="O1374">
        <f>IF($P1374="","",INDEX(상세표[월 넘김 포함],$P1374)&amp;"")</f>
        <v/>
      </c>
      <c r="P1374" s="4">
        <f>IFERROR(MATCH(1369,상세표[연속순번],0),"")</f>
        <v/>
      </c>
    </row>
    <row r="1375">
      <c r="A1375">
        <f>IF($P1375="","",INDEX(상세표[사번],$P1375)&amp;"")</f>
        <v/>
      </c>
      <c r="B1375">
        <f>IF($P1375="","",INDEX(상세표[성명],$P1375)&amp;"")</f>
        <v/>
      </c>
      <c r="C1375">
        <f>IF($P1375="","",INDEX(상세표[부서],$P1375)&amp;"")</f>
        <v/>
      </c>
      <c r="D1375">
        <f>IF($P1375="","",INDEX(상세표[직위],$P1375)&amp;"")</f>
        <v/>
      </c>
      <c r="E1375">
        <f>IF($P1375="","",IF(ISNUMBER(INDEX(상세표[시작],$P1375)),TEXT(INDEX(상세표[시작],$P1375),"yyyy-mm-dd hh:mm"),INDEX(상세표[시작],$P1375)&amp;""))</f>
        <v/>
      </c>
      <c r="F1375">
        <f>IF($P1375="","",IF(ISNUMBER(INDEX(상세표[블록종료],$P1375)),TEXT(INDEX(상세표[블록종료],$P1375),"yyyy-mm-dd hh:mm"),INDEX(상세표[블록종료],$P1375)&amp;""))</f>
        <v/>
      </c>
      <c r="G1375">
        <f>IF($P1375="","",CHOOSE(WEEKDAY(INDEX(상세표[시작],$P1375)),"일","월","화","수","목","금","토"))</f>
        <v/>
      </c>
      <c r="H1375">
        <f>IF($P1375="","",INDEX(상세표[연속 시간],$P1375))</f>
        <v/>
      </c>
      <c r="I1375">
        <f>IF($P1375="","",INDEX(상세표[기록 수],$P1375))</f>
        <v/>
      </c>
      <c r="J1375">
        <f>IF($P1375="","",INDEX(상세표[블록 06~07시],$P1375))</f>
        <v/>
      </c>
      <c r="K1375">
        <f>IF($P1375="","",INDEX(상세표[블록 07~18시],$P1375))</f>
        <v/>
      </c>
      <c r="L1375">
        <f>IF($P1375="","",INDEX(상세표[블록 18~22시],$P1375))</f>
        <v/>
      </c>
      <c r="M1375">
        <f>IF($P1375="","",INDEX(상세표[블록 22~06시],$P1375))</f>
        <v/>
      </c>
      <c r="N1375">
        <f>IF($P1375="","",INDEX(상세표[주말·휴일 포함],$P1375)&amp;"")</f>
        <v/>
      </c>
      <c r="O1375">
        <f>IF($P1375="","",INDEX(상세표[월 넘김 포함],$P1375)&amp;"")</f>
        <v/>
      </c>
      <c r="P1375" s="4">
        <f>IFERROR(MATCH(1370,상세표[연속순번],0),"")</f>
        <v/>
      </c>
    </row>
    <row r="1376">
      <c r="A1376">
        <f>IF($P1376="","",INDEX(상세표[사번],$P1376)&amp;"")</f>
        <v/>
      </c>
      <c r="B1376">
        <f>IF($P1376="","",INDEX(상세표[성명],$P1376)&amp;"")</f>
        <v/>
      </c>
      <c r="C1376">
        <f>IF($P1376="","",INDEX(상세표[부서],$P1376)&amp;"")</f>
        <v/>
      </c>
      <c r="D1376">
        <f>IF($P1376="","",INDEX(상세표[직위],$P1376)&amp;"")</f>
        <v/>
      </c>
      <c r="E1376">
        <f>IF($P1376="","",IF(ISNUMBER(INDEX(상세표[시작],$P1376)),TEXT(INDEX(상세표[시작],$P1376),"yyyy-mm-dd hh:mm"),INDEX(상세표[시작],$P1376)&amp;""))</f>
        <v/>
      </c>
      <c r="F1376">
        <f>IF($P1376="","",IF(ISNUMBER(INDEX(상세표[블록종료],$P1376)),TEXT(INDEX(상세표[블록종료],$P1376),"yyyy-mm-dd hh:mm"),INDEX(상세표[블록종료],$P1376)&amp;""))</f>
        <v/>
      </c>
      <c r="G1376">
        <f>IF($P1376="","",CHOOSE(WEEKDAY(INDEX(상세표[시작],$P1376)),"일","월","화","수","목","금","토"))</f>
        <v/>
      </c>
      <c r="H1376">
        <f>IF($P1376="","",INDEX(상세표[연속 시간],$P1376))</f>
        <v/>
      </c>
      <c r="I1376">
        <f>IF($P1376="","",INDEX(상세표[기록 수],$P1376))</f>
        <v/>
      </c>
      <c r="J1376">
        <f>IF($P1376="","",INDEX(상세표[블록 06~07시],$P1376))</f>
        <v/>
      </c>
      <c r="K1376">
        <f>IF($P1376="","",INDEX(상세표[블록 07~18시],$P1376))</f>
        <v/>
      </c>
      <c r="L1376">
        <f>IF($P1376="","",INDEX(상세표[블록 18~22시],$P1376))</f>
        <v/>
      </c>
      <c r="M1376">
        <f>IF($P1376="","",INDEX(상세표[블록 22~06시],$P1376))</f>
        <v/>
      </c>
      <c r="N1376">
        <f>IF($P1376="","",INDEX(상세표[주말·휴일 포함],$P1376)&amp;"")</f>
        <v/>
      </c>
      <c r="O1376">
        <f>IF($P1376="","",INDEX(상세표[월 넘김 포함],$P1376)&amp;"")</f>
        <v/>
      </c>
      <c r="P1376" s="4">
        <f>IFERROR(MATCH(1371,상세표[연속순번],0),"")</f>
        <v/>
      </c>
    </row>
    <row r="1377">
      <c r="A1377">
        <f>IF($P1377="","",INDEX(상세표[사번],$P1377)&amp;"")</f>
        <v/>
      </c>
      <c r="B1377">
        <f>IF($P1377="","",INDEX(상세표[성명],$P1377)&amp;"")</f>
        <v/>
      </c>
      <c r="C1377">
        <f>IF($P1377="","",INDEX(상세표[부서],$P1377)&amp;"")</f>
        <v/>
      </c>
      <c r="D1377">
        <f>IF($P1377="","",INDEX(상세표[직위],$P1377)&amp;"")</f>
        <v/>
      </c>
      <c r="E1377">
        <f>IF($P1377="","",IF(ISNUMBER(INDEX(상세표[시작],$P1377)),TEXT(INDEX(상세표[시작],$P1377),"yyyy-mm-dd hh:mm"),INDEX(상세표[시작],$P1377)&amp;""))</f>
        <v/>
      </c>
      <c r="F1377">
        <f>IF($P1377="","",IF(ISNUMBER(INDEX(상세표[블록종료],$P1377)),TEXT(INDEX(상세표[블록종료],$P1377),"yyyy-mm-dd hh:mm"),INDEX(상세표[블록종료],$P1377)&amp;""))</f>
        <v/>
      </c>
      <c r="G1377">
        <f>IF($P1377="","",CHOOSE(WEEKDAY(INDEX(상세표[시작],$P1377)),"일","월","화","수","목","금","토"))</f>
        <v/>
      </c>
      <c r="H1377">
        <f>IF($P1377="","",INDEX(상세표[연속 시간],$P1377))</f>
        <v/>
      </c>
      <c r="I1377">
        <f>IF($P1377="","",INDEX(상세표[기록 수],$P1377))</f>
        <v/>
      </c>
      <c r="J1377">
        <f>IF($P1377="","",INDEX(상세표[블록 06~07시],$P1377))</f>
        <v/>
      </c>
      <c r="K1377">
        <f>IF($P1377="","",INDEX(상세표[블록 07~18시],$P1377))</f>
        <v/>
      </c>
      <c r="L1377">
        <f>IF($P1377="","",INDEX(상세표[블록 18~22시],$P1377))</f>
        <v/>
      </c>
      <c r="M1377">
        <f>IF($P1377="","",INDEX(상세표[블록 22~06시],$P1377))</f>
        <v/>
      </c>
      <c r="N1377">
        <f>IF($P1377="","",INDEX(상세표[주말·휴일 포함],$P1377)&amp;"")</f>
        <v/>
      </c>
      <c r="O1377">
        <f>IF($P1377="","",INDEX(상세표[월 넘김 포함],$P1377)&amp;"")</f>
        <v/>
      </c>
      <c r="P1377" s="4">
        <f>IFERROR(MATCH(1372,상세표[연속순번],0),"")</f>
        <v/>
      </c>
    </row>
    <row r="1378">
      <c r="A1378">
        <f>IF($P1378="","",INDEX(상세표[사번],$P1378)&amp;"")</f>
        <v/>
      </c>
      <c r="B1378">
        <f>IF($P1378="","",INDEX(상세표[성명],$P1378)&amp;"")</f>
        <v/>
      </c>
      <c r="C1378">
        <f>IF($P1378="","",INDEX(상세표[부서],$P1378)&amp;"")</f>
        <v/>
      </c>
      <c r="D1378">
        <f>IF($P1378="","",INDEX(상세표[직위],$P1378)&amp;"")</f>
        <v/>
      </c>
      <c r="E1378">
        <f>IF($P1378="","",IF(ISNUMBER(INDEX(상세표[시작],$P1378)),TEXT(INDEX(상세표[시작],$P1378),"yyyy-mm-dd hh:mm"),INDEX(상세표[시작],$P1378)&amp;""))</f>
        <v/>
      </c>
      <c r="F1378">
        <f>IF($P1378="","",IF(ISNUMBER(INDEX(상세표[블록종료],$P1378)),TEXT(INDEX(상세표[블록종료],$P1378),"yyyy-mm-dd hh:mm"),INDEX(상세표[블록종료],$P1378)&amp;""))</f>
        <v/>
      </c>
      <c r="G1378">
        <f>IF($P1378="","",CHOOSE(WEEKDAY(INDEX(상세표[시작],$P1378)),"일","월","화","수","목","금","토"))</f>
        <v/>
      </c>
      <c r="H1378">
        <f>IF($P1378="","",INDEX(상세표[연속 시간],$P1378))</f>
        <v/>
      </c>
      <c r="I1378">
        <f>IF($P1378="","",INDEX(상세표[기록 수],$P1378))</f>
        <v/>
      </c>
      <c r="J1378">
        <f>IF($P1378="","",INDEX(상세표[블록 06~07시],$P1378))</f>
        <v/>
      </c>
      <c r="K1378">
        <f>IF($P1378="","",INDEX(상세표[블록 07~18시],$P1378))</f>
        <v/>
      </c>
      <c r="L1378">
        <f>IF($P1378="","",INDEX(상세표[블록 18~22시],$P1378))</f>
        <v/>
      </c>
      <c r="M1378">
        <f>IF($P1378="","",INDEX(상세표[블록 22~06시],$P1378))</f>
        <v/>
      </c>
      <c r="N1378">
        <f>IF($P1378="","",INDEX(상세표[주말·휴일 포함],$P1378)&amp;"")</f>
        <v/>
      </c>
      <c r="O1378">
        <f>IF($P1378="","",INDEX(상세표[월 넘김 포함],$P1378)&amp;"")</f>
        <v/>
      </c>
      <c r="P1378" s="4">
        <f>IFERROR(MATCH(1373,상세표[연속순번],0),"")</f>
        <v/>
      </c>
    </row>
    <row r="1379">
      <c r="A1379">
        <f>IF($P1379="","",INDEX(상세표[사번],$P1379)&amp;"")</f>
        <v/>
      </c>
      <c r="B1379">
        <f>IF($P1379="","",INDEX(상세표[성명],$P1379)&amp;"")</f>
        <v/>
      </c>
      <c r="C1379">
        <f>IF($P1379="","",INDEX(상세표[부서],$P1379)&amp;"")</f>
        <v/>
      </c>
      <c r="D1379">
        <f>IF($P1379="","",INDEX(상세표[직위],$P1379)&amp;"")</f>
        <v/>
      </c>
      <c r="E1379">
        <f>IF($P1379="","",IF(ISNUMBER(INDEX(상세표[시작],$P1379)),TEXT(INDEX(상세표[시작],$P1379),"yyyy-mm-dd hh:mm"),INDEX(상세표[시작],$P1379)&amp;""))</f>
        <v/>
      </c>
      <c r="F1379">
        <f>IF($P1379="","",IF(ISNUMBER(INDEX(상세표[블록종료],$P1379)),TEXT(INDEX(상세표[블록종료],$P1379),"yyyy-mm-dd hh:mm"),INDEX(상세표[블록종료],$P1379)&amp;""))</f>
        <v/>
      </c>
      <c r="G1379">
        <f>IF($P1379="","",CHOOSE(WEEKDAY(INDEX(상세표[시작],$P1379)),"일","월","화","수","목","금","토"))</f>
        <v/>
      </c>
      <c r="H1379">
        <f>IF($P1379="","",INDEX(상세표[연속 시간],$P1379))</f>
        <v/>
      </c>
      <c r="I1379">
        <f>IF($P1379="","",INDEX(상세표[기록 수],$P1379))</f>
        <v/>
      </c>
      <c r="J1379">
        <f>IF($P1379="","",INDEX(상세표[블록 06~07시],$P1379))</f>
        <v/>
      </c>
      <c r="K1379">
        <f>IF($P1379="","",INDEX(상세표[블록 07~18시],$P1379))</f>
        <v/>
      </c>
      <c r="L1379">
        <f>IF($P1379="","",INDEX(상세표[블록 18~22시],$P1379))</f>
        <v/>
      </c>
      <c r="M1379">
        <f>IF($P1379="","",INDEX(상세표[블록 22~06시],$P1379))</f>
        <v/>
      </c>
      <c r="N1379">
        <f>IF($P1379="","",INDEX(상세표[주말·휴일 포함],$P1379)&amp;"")</f>
        <v/>
      </c>
      <c r="O1379">
        <f>IF($P1379="","",INDEX(상세표[월 넘김 포함],$P1379)&amp;"")</f>
        <v/>
      </c>
      <c r="P1379" s="4">
        <f>IFERROR(MATCH(1374,상세표[연속순번],0),"")</f>
        <v/>
      </c>
    </row>
    <row r="1380">
      <c r="A1380">
        <f>IF($P1380="","",INDEX(상세표[사번],$P1380)&amp;"")</f>
        <v/>
      </c>
      <c r="B1380">
        <f>IF($P1380="","",INDEX(상세표[성명],$P1380)&amp;"")</f>
        <v/>
      </c>
      <c r="C1380">
        <f>IF($P1380="","",INDEX(상세표[부서],$P1380)&amp;"")</f>
        <v/>
      </c>
      <c r="D1380">
        <f>IF($P1380="","",INDEX(상세표[직위],$P1380)&amp;"")</f>
        <v/>
      </c>
      <c r="E1380">
        <f>IF($P1380="","",IF(ISNUMBER(INDEX(상세표[시작],$P1380)),TEXT(INDEX(상세표[시작],$P1380),"yyyy-mm-dd hh:mm"),INDEX(상세표[시작],$P1380)&amp;""))</f>
        <v/>
      </c>
      <c r="F1380">
        <f>IF($P1380="","",IF(ISNUMBER(INDEX(상세표[블록종료],$P1380)),TEXT(INDEX(상세표[블록종료],$P1380),"yyyy-mm-dd hh:mm"),INDEX(상세표[블록종료],$P1380)&amp;""))</f>
        <v/>
      </c>
      <c r="G1380">
        <f>IF($P1380="","",CHOOSE(WEEKDAY(INDEX(상세표[시작],$P1380)),"일","월","화","수","목","금","토"))</f>
        <v/>
      </c>
      <c r="H1380">
        <f>IF($P1380="","",INDEX(상세표[연속 시간],$P1380))</f>
        <v/>
      </c>
      <c r="I1380">
        <f>IF($P1380="","",INDEX(상세표[기록 수],$P1380))</f>
        <v/>
      </c>
      <c r="J1380">
        <f>IF($P1380="","",INDEX(상세표[블록 06~07시],$P1380))</f>
        <v/>
      </c>
      <c r="K1380">
        <f>IF($P1380="","",INDEX(상세표[블록 07~18시],$P1380))</f>
        <v/>
      </c>
      <c r="L1380">
        <f>IF($P1380="","",INDEX(상세표[블록 18~22시],$P1380))</f>
        <v/>
      </c>
      <c r="M1380">
        <f>IF($P1380="","",INDEX(상세표[블록 22~06시],$P1380))</f>
        <v/>
      </c>
      <c r="N1380">
        <f>IF($P1380="","",INDEX(상세표[주말·휴일 포함],$P1380)&amp;"")</f>
        <v/>
      </c>
      <c r="O1380">
        <f>IF($P1380="","",INDEX(상세표[월 넘김 포함],$P1380)&amp;"")</f>
        <v/>
      </c>
      <c r="P1380" s="4">
        <f>IFERROR(MATCH(1375,상세표[연속순번],0),"")</f>
        <v/>
      </c>
    </row>
    <row r="1381">
      <c r="A1381">
        <f>IF($P1381="","",INDEX(상세표[사번],$P1381)&amp;"")</f>
        <v/>
      </c>
      <c r="B1381">
        <f>IF($P1381="","",INDEX(상세표[성명],$P1381)&amp;"")</f>
        <v/>
      </c>
      <c r="C1381">
        <f>IF($P1381="","",INDEX(상세표[부서],$P1381)&amp;"")</f>
        <v/>
      </c>
      <c r="D1381">
        <f>IF($P1381="","",INDEX(상세표[직위],$P1381)&amp;"")</f>
        <v/>
      </c>
      <c r="E1381">
        <f>IF($P1381="","",IF(ISNUMBER(INDEX(상세표[시작],$P1381)),TEXT(INDEX(상세표[시작],$P1381),"yyyy-mm-dd hh:mm"),INDEX(상세표[시작],$P1381)&amp;""))</f>
        <v/>
      </c>
      <c r="F1381">
        <f>IF($P1381="","",IF(ISNUMBER(INDEX(상세표[블록종료],$P1381)),TEXT(INDEX(상세표[블록종료],$P1381),"yyyy-mm-dd hh:mm"),INDEX(상세표[블록종료],$P1381)&amp;""))</f>
        <v/>
      </c>
      <c r="G1381">
        <f>IF($P1381="","",CHOOSE(WEEKDAY(INDEX(상세표[시작],$P1381)),"일","월","화","수","목","금","토"))</f>
        <v/>
      </c>
      <c r="H1381">
        <f>IF($P1381="","",INDEX(상세표[연속 시간],$P1381))</f>
        <v/>
      </c>
      <c r="I1381">
        <f>IF($P1381="","",INDEX(상세표[기록 수],$P1381))</f>
        <v/>
      </c>
      <c r="J1381">
        <f>IF($P1381="","",INDEX(상세표[블록 06~07시],$P1381))</f>
        <v/>
      </c>
      <c r="K1381">
        <f>IF($P1381="","",INDEX(상세표[블록 07~18시],$P1381))</f>
        <v/>
      </c>
      <c r="L1381">
        <f>IF($P1381="","",INDEX(상세표[블록 18~22시],$P1381))</f>
        <v/>
      </c>
      <c r="M1381">
        <f>IF($P1381="","",INDEX(상세표[블록 22~06시],$P1381))</f>
        <v/>
      </c>
      <c r="N1381">
        <f>IF($P1381="","",INDEX(상세표[주말·휴일 포함],$P1381)&amp;"")</f>
        <v/>
      </c>
      <c r="O1381">
        <f>IF($P1381="","",INDEX(상세표[월 넘김 포함],$P1381)&amp;"")</f>
        <v/>
      </c>
      <c r="P1381" s="4">
        <f>IFERROR(MATCH(1376,상세표[연속순번],0),"")</f>
        <v/>
      </c>
    </row>
    <row r="1382">
      <c r="A1382">
        <f>IF($P1382="","",INDEX(상세표[사번],$P1382)&amp;"")</f>
        <v/>
      </c>
      <c r="B1382">
        <f>IF($P1382="","",INDEX(상세표[성명],$P1382)&amp;"")</f>
        <v/>
      </c>
      <c r="C1382">
        <f>IF($P1382="","",INDEX(상세표[부서],$P1382)&amp;"")</f>
        <v/>
      </c>
      <c r="D1382">
        <f>IF($P1382="","",INDEX(상세표[직위],$P1382)&amp;"")</f>
        <v/>
      </c>
      <c r="E1382">
        <f>IF($P1382="","",IF(ISNUMBER(INDEX(상세표[시작],$P1382)),TEXT(INDEX(상세표[시작],$P1382),"yyyy-mm-dd hh:mm"),INDEX(상세표[시작],$P1382)&amp;""))</f>
        <v/>
      </c>
      <c r="F1382">
        <f>IF($P1382="","",IF(ISNUMBER(INDEX(상세표[블록종료],$P1382)),TEXT(INDEX(상세표[블록종료],$P1382),"yyyy-mm-dd hh:mm"),INDEX(상세표[블록종료],$P1382)&amp;""))</f>
        <v/>
      </c>
      <c r="G1382">
        <f>IF($P1382="","",CHOOSE(WEEKDAY(INDEX(상세표[시작],$P1382)),"일","월","화","수","목","금","토"))</f>
        <v/>
      </c>
      <c r="H1382">
        <f>IF($P1382="","",INDEX(상세표[연속 시간],$P1382))</f>
        <v/>
      </c>
      <c r="I1382">
        <f>IF($P1382="","",INDEX(상세표[기록 수],$P1382))</f>
        <v/>
      </c>
      <c r="J1382">
        <f>IF($P1382="","",INDEX(상세표[블록 06~07시],$P1382))</f>
        <v/>
      </c>
      <c r="K1382">
        <f>IF($P1382="","",INDEX(상세표[블록 07~18시],$P1382))</f>
        <v/>
      </c>
      <c r="L1382">
        <f>IF($P1382="","",INDEX(상세표[블록 18~22시],$P1382))</f>
        <v/>
      </c>
      <c r="M1382">
        <f>IF($P1382="","",INDEX(상세표[블록 22~06시],$P1382))</f>
        <v/>
      </c>
      <c r="N1382">
        <f>IF($P1382="","",INDEX(상세표[주말·휴일 포함],$P1382)&amp;"")</f>
        <v/>
      </c>
      <c r="O1382">
        <f>IF($P1382="","",INDEX(상세표[월 넘김 포함],$P1382)&amp;"")</f>
        <v/>
      </c>
      <c r="P1382" s="4">
        <f>IFERROR(MATCH(1377,상세표[연속순번],0),"")</f>
        <v/>
      </c>
    </row>
    <row r="1383">
      <c r="A1383">
        <f>IF($P1383="","",INDEX(상세표[사번],$P1383)&amp;"")</f>
        <v/>
      </c>
      <c r="B1383">
        <f>IF($P1383="","",INDEX(상세표[성명],$P1383)&amp;"")</f>
        <v/>
      </c>
      <c r="C1383">
        <f>IF($P1383="","",INDEX(상세표[부서],$P1383)&amp;"")</f>
        <v/>
      </c>
      <c r="D1383">
        <f>IF($P1383="","",INDEX(상세표[직위],$P1383)&amp;"")</f>
        <v/>
      </c>
      <c r="E1383">
        <f>IF($P1383="","",IF(ISNUMBER(INDEX(상세표[시작],$P1383)),TEXT(INDEX(상세표[시작],$P1383),"yyyy-mm-dd hh:mm"),INDEX(상세표[시작],$P1383)&amp;""))</f>
        <v/>
      </c>
      <c r="F1383">
        <f>IF($P1383="","",IF(ISNUMBER(INDEX(상세표[블록종료],$P1383)),TEXT(INDEX(상세표[블록종료],$P1383),"yyyy-mm-dd hh:mm"),INDEX(상세표[블록종료],$P1383)&amp;""))</f>
        <v/>
      </c>
      <c r="G1383">
        <f>IF($P1383="","",CHOOSE(WEEKDAY(INDEX(상세표[시작],$P1383)),"일","월","화","수","목","금","토"))</f>
        <v/>
      </c>
      <c r="H1383">
        <f>IF($P1383="","",INDEX(상세표[연속 시간],$P1383))</f>
        <v/>
      </c>
      <c r="I1383">
        <f>IF($P1383="","",INDEX(상세표[기록 수],$P1383))</f>
        <v/>
      </c>
      <c r="J1383">
        <f>IF($P1383="","",INDEX(상세표[블록 06~07시],$P1383))</f>
        <v/>
      </c>
      <c r="K1383">
        <f>IF($P1383="","",INDEX(상세표[블록 07~18시],$P1383))</f>
        <v/>
      </c>
      <c r="L1383">
        <f>IF($P1383="","",INDEX(상세표[블록 18~22시],$P1383))</f>
        <v/>
      </c>
      <c r="M1383">
        <f>IF($P1383="","",INDEX(상세표[블록 22~06시],$P1383))</f>
        <v/>
      </c>
      <c r="N1383">
        <f>IF($P1383="","",INDEX(상세표[주말·휴일 포함],$P1383)&amp;"")</f>
        <v/>
      </c>
      <c r="O1383">
        <f>IF($P1383="","",INDEX(상세표[월 넘김 포함],$P1383)&amp;"")</f>
        <v/>
      </c>
      <c r="P1383" s="4">
        <f>IFERROR(MATCH(1378,상세표[연속순번],0),"")</f>
        <v/>
      </c>
    </row>
    <row r="1384">
      <c r="A1384">
        <f>IF($P1384="","",INDEX(상세표[사번],$P1384)&amp;"")</f>
        <v/>
      </c>
      <c r="B1384">
        <f>IF($P1384="","",INDEX(상세표[성명],$P1384)&amp;"")</f>
        <v/>
      </c>
      <c r="C1384">
        <f>IF($P1384="","",INDEX(상세표[부서],$P1384)&amp;"")</f>
        <v/>
      </c>
      <c r="D1384">
        <f>IF($P1384="","",INDEX(상세표[직위],$P1384)&amp;"")</f>
        <v/>
      </c>
      <c r="E1384">
        <f>IF($P1384="","",IF(ISNUMBER(INDEX(상세표[시작],$P1384)),TEXT(INDEX(상세표[시작],$P1384),"yyyy-mm-dd hh:mm"),INDEX(상세표[시작],$P1384)&amp;""))</f>
        <v/>
      </c>
      <c r="F1384">
        <f>IF($P1384="","",IF(ISNUMBER(INDEX(상세표[블록종료],$P1384)),TEXT(INDEX(상세표[블록종료],$P1384),"yyyy-mm-dd hh:mm"),INDEX(상세표[블록종료],$P1384)&amp;""))</f>
        <v/>
      </c>
      <c r="G1384">
        <f>IF($P1384="","",CHOOSE(WEEKDAY(INDEX(상세표[시작],$P1384)),"일","월","화","수","목","금","토"))</f>
        <v/>
      </c>
      <c r="H1384">
        <f>IF($P1384="","",INDEX(상세표[연속 시간],$P1384))</f>
        <v/>
      </c>
      <c r="I1384">
        <f>IF($P1384="","",INDEX(상세표[기록 수],$P1384))</f>
        <v/>
      </c>
      <c r="J1384">
        <f>IF($P1384="","",INDEX(상세표[블록 06~07시],$P1384))</f>
        <v/>
      </c>
      <c r="K1384">
        <f>IF($P1384="","",INDEX(상세표[블록 07~18시],$P1384))</f>
        <v/>
      </c>
      <c r="L1384">
        <f>IF($P1384="","",INDEX(상세표[블록 18~22시],$P1384))</f>
        <v/>
      </c>
      <c r="M1384">
        <f>IF($P1384="","",INDEX(상세표[블록 22~06시],$P1384))</f>
        <v/>
      </c>
      <c r="N1384">
        <f>IF($P1384="","",INDEX(상세표[주말·휴일 포함],$P1384)&amp;"")</f>
        <v/>
      </c>
      <c r="O1384">
        <f>IF($P1384="","",INDEX(상세표[월 넘김 포함],$P1384)&amp;"")</f>
        <v/>
      </c>
      <c r="P1384" s="4">
        <f>IFERROR(MATCH(1379,상세표[연속순번],0),"")</f>
        <v/>
      </c>
    </row>
    <row r="1385">
      <c r="A1385">
        <f>IF($P1385="","",INDEX(상세표[사번],$P1385)&amp;"")</f>
        <v/>
      </c>
      <c r="B1385">
        <f>IF($P1385="","",INDEX(상세표[성명],$P1385)&amp;"")</f>
        <v/>
      </c>
      <c r="C1385">
        <f>IF($P1385="","",INDEX(상세표[부서],$P1385)&amp;"")</f>
        <v/>
      </c>
      <c r="D1385">
        <f>IF($P1385="","",INDEX(상세표[직위],$P1385)&amp;"")</f>
        <v/>
      </c>
      <c r="E1385">
        <f>IF($P1385="","",IF(ISNUMBER(INDEX(상세표[시작],$P1385)),TEXT(INDEX(상세표[시작],$P1385),"yyyy-mm-dd hh:mm"),INDEX(상세표[시작],$P1385)&amp;""))</f>
        <v/>
      </c>
      <c r="F1385">
        <f>IF($P1385="","",IF(ISNUMBER(INDEX(상세표[블록종료],$P1385)),TEXT(INDEX(상세표[블록종료],$P1385),"yyyy-mm-dd hh:mm"),INDEX(상세표[블록종료],$P1385)&amp;""))</f>
        <v/>
      </c>
      <c r="G1385">
        <f>IF($P1385="","",CHOOSE(WEEKDAY(INDEX(상세표[시작],$P1385)),"일","월","화","수","목","금","토"))</f>
        <v/>
      </c>
      <c r="H1385">
        <f>IF($P1385="","",INDEX(상세표[연속 시간],$P1385))</f>
        <v/>
      </c>
      <c r="I1385">
        <f>IF($P1385="","",INDEX(상세표[기록 수],$P1385))</f>
        <v/>
      </c>
      <c r="J1385">
        <f>IF($P1385="","",INDEX(상세표[블록 06~07시],$P1385))</f>
        <v/>
      </c>
      <c r="K1385">
        <f>IF($P1385="","",INDEX(상세표[블록 07~18시],$P1385))</f>
        <v/>
      </c>
      <c r="L1385">
        <f>IF($P1385="","",INDEX(상세표[블록 18~22시],$P1385))</f>
        <v/>
      </c>
      <c r="M1385">
        <f>IF($P1385="","",INDEX(상세표[블록 22~06시],$P1385))</f>
        <v/>
      </c>
      <c r="N1385">
        <f>IF($P1385="","",INDEX(상세표[주말·휴일 포함],$P1385)&amp;"")</f>
        <v/>
      </c>
      <c r="O1385">
        <f>IF($P1385="","",INDEX(상세표[월 넘김 포함],$P1385)&amp;"")</f>
        <v/>
      </c>
      <c r="P1385" s="4">
        <f>IFERROR(MATCH(1380,상세표[연속순번],0),"")</f>
        <v/>
      </c>
    </row>
    <row r="1386">
      <c r="A1386">
        <f>IF($P1386="","",INDEX(상세표[사번],$P1386)&amp;"")</f>
        <v/>
      </c>
      <c r="B1386">
        <f>IF($P1386="","",INDEX(상세표[성명],$P1386)&amp;"")</f>
        <v/>
      </c>
      <c r="C1386">
        <f>IF($P1386="","",INDEX(상세표[부서],$P1386)&amp;"")</f>
        <v/>
      </c>
      <c r="D1386">
        <f>IF($P1386="","",INDEX(상세표[직위],$P1386)&amp;"")</f>
        <v/>
      </c>
      <c r="E1386">
        <f>IF($P1386="","",IF(ISNUMBER(INDEX(상세표[시작],$P1386)),TEXT(INDEX(상세표[시작],$P1386),"yyyy-mm-dd hh:mm"),INDEX(상세표[시작],$P1386)&amp;""))</f>
        <v/>
      </c>
      <c r="F1386">
        <f>IF($P1386="","",IF(ISNUMBER(INDEX(상세표[블록종료],$P1386)),TEXT(INDEX(상세표[블록종료],$P1386),"yyyy-mm-dd hh:mm"),INDEX(상세표[블록종료],$P1386)&amp;""))</f>
        <v/>
      </c>
      <c r="G1386">
        <f>IF($P1386="","",CHOOSE(WEEKDAY(INDEX(상세표[시작],$P1386)),"일","월","화","수","목","금","토"))</f>
        <v/>
      </c>
      <c r="H1386">
        <f>IF($P1386="","",INDEX(상세표[연속 시간],$P1386))</f>
        <v/>
      </c>
      <c r="I1386">
        <f>IF($P1386="","",INDEX(상세표[기록 수],$P1386))</f>
        <v/>
      </c>
      <c r="J1386">
        <f>IF($P1386="","",INDEX(상세표[블록 06~07시],$P1386))</f>
        <v/>
      </c>
      <c r="K1386">
        <f>IF($P1386="","",INDEX(상세표[블록 07~18시],$P1386))</f>
        <v/>
      </c>
      <c r="L1386">
        <f>IF($P1386="","",INDEX(상세표[블록 18~22시],$P1386))</f>
        <v/>
      </c>
      <c r="M1386">
        <f>IF($P1386="","",INDEX(상세표[블록 22~06시],$P1386))</f>
        <v/>
      </c>
      <c r="N1386">
        <f>IF($P1386="","",INDEX(상세표[주말·휴일 포함],$P1386)&amp;"")</f>
        <v/>
      </c>
      <c r="O1386">
        <f>IF($P1386="","",INDEX(상세표[월 넘김 포함],$P1386)&amp;"")</f>
        <v/>
      </c>
      <c r="P1386" s="4">
        <f>IFERROR(MATCH(1381,상세표[연속순번],0),"")</f>
        <v/>
      </c>
    </row>
    <row r="1387">
      <c r="A1387">
        <f>IF($P1387="","",INDEX(상세표[사번],$P1387)&amp;"")</f>
        <v/>
      </c>
      <c r="B1387">
        <f>IF($P1387="","",INDEX(상세표[성명],$P1387)&amp;"")</f>
        <v/>
      </c>
      <c r="C1387">
        <f>IF($P1387="","",INDEX(상세표[부서],$P1387)&amp;"")</f>
        <v/>
      </c>
      <c r="D1387">
        <f>IF($P1387="","",INDEX(상세표[직위],$P1387)&amp;"")</f>
        <v/>
      </c>
      <c r="E1387">
        <f>IF($P1387="","",IF(ISNUMBER(INDEX(상세표[시작],$P1387)),TEXT(INDEX(상세표[시작],$P1387),"yyyy-mm-dd hh:mm"),INDEX(상세표[시작],$P1387)&amp;""))</f>
        <v/>
      </c>
      <c r="F1387">
        <f>IF($P1387="","",IF(ISNUMBER(INDEX(상세표[블록종료],$P1387)),TEXT(INDEX(상세표[블록종료],$P1387),"yyyy-mm-dd hh:mm"),INDEX(상세표[블록종료],$P1387)&amp;""))</f>
        <v/>
      </c>
      <c r="G1387">
        <f>IF($P1387="","",CHOOSE(WEEKDAY(INDEX(상세표[시작],$P1387)),"일","월","화","수","목","금","토"))</f>
        <v/>
      </c>
      <c r="H1387">
        <f>IF($P1387="","",INDEX(상세표[연속 시간],$P1387))</f>
        <v/>
      </c>
      <c r="I1387">
        <f>IF($P1387="","",INDEX(상세표[기록 수],$P1387))</f>
        <v/>
      </c>
      <c r="J1387">
        <f>IF($P1387="","",INDEX(상세표[블록 06~07시],$P1387))</f>
        <v/>
      </c>
      <c r="K1387">
        <f>IF($P1387="","",INDEX(상세표[블록 07~18시],$P1387))</f>
        <v/>
      </c>
      <c r="L1387">
        <f>IF($P1387="","",INDEX(상세표[블록 18~22시],$P1387))</f>
        <v/>
      </c>
      <c r="M1387">
        <f>IF($P1387="","",INDEX(상세표[블록 22~06시],$P1387))</f>
        <v/>
      </c>
      <c r="N1387">
        <f>IF($P1387="","",INDEX(상세표[주말·휴일 포함],$P1387)&amp;"")</f>
        <v/>
      </c>
      <c r="O1387">
        <f>IF($P1387="","",INDEX(상세표[월 넘김 포함],$P1387)&amp;"")</f>
        <v/>
      </c>
      <c r="P1387" s="4">
        <f>IFERROR(MATCH(1382,상세표[연속순번],0),"")</f>
        <v/>
      </c>
    </row>
    <row r="1388">
      <c r="A1388">
        <f>IF($P1388="","",INDEX(상세표[사번],$P1388)&amp;"")</f>
        <v/>
      </c>
      <c r="B1388">
        <f>IF($P1388="","",INDEX(상세표[성명],$P1388)&amp;"")</f>
        <v/>
      </c>
      <c r="C1388">
        <f>IF($P1388="","",INDEX(상세표[부서],$P1388)&amp;"")</f>
        <v/>
      </c>
      <c r="D1388">
        <f>IF($P1388="","",INDEX(상세표[직위],$P1388)&amp;"")</f>
        <v/>
      </c>
      <c r="E1388">
        <f>IF($P1388="","",IF(ISNUMBER(INDEX(상세표[시작],$P1388)),TEXT(INDEX(상세표[시작],$P1388),"yyyy-mm-dd hh:mm"),INDEX(상세표[시작],$P1388)&amp;""))</f>
        <v/>
      </c>
      <c r="F1388">
        <f>IF($P1388="","",IF(ISNUMBER(INDEX(상세표[블록종료],$P1388)),TEXT(INDEX(상세표[블록종료],$P1388),"yyyy-mm-dd hh:mm"),INDEX(상세표[블록종료],$P1388)&amp;""))</f>
        <v/>
      </c>
      <c r="G1388">
        <f>IF($P1388="","",CHOOSE(WEEKDAY(INDEX(상세표[시작],$P1388)),"일","월","화","수","목","금","토"))</f>
        <v/>
      </c>
      <c r="H1388">
        <f>IF($P1388="","",INDEX(상세표[연속 시간],$P1388))</f>
        <v/>
      </c>
      <c r="I1388">
        <f>IF($P1388="","",INDEX(상세표[기록 수],$P1388))</f>
        <v/>
      </c>
      <c r="J1388">
        <f>IF($P1388="","",INDEX(상세표[블록 06~07시],$P1388))</f>
        <v/>
      </c>
      <c r="K1388">
        <f>IF($P1388="","",INDEX(상세표[블록 07~18시],$P1388))</f>
        <v/>
      </c>
      <c r="L1388">
        <f>IF($P1388="","",INDEX(상세표[블록 18~22시],$P1388))</f>
        <v/>
      </c>
      <c r="M1388">
        <f>IF($P1388="","",INDEX(상세표[블록 22~06시],$P1388))</f>
        <v/>
      </c>
      <c r="N1388">
        <f>IF($P1388="","",INDEX(상세표[주말·휴일 포함],$P1388)&amp;"")</f>
        <v/>
      </c>
      <c r="O1388">
        <f>IF($P1388="","",INDEX(상세표[월 넘김 포함],$P1388)&amp;"")</f>
        <v/>
      </c>
      <c r="P1388" s="4">
        <f>IFERROR(MATCH(1383,상세표[연속순번],0),"")</f>
        <v/>
      </c>
    </row>
    <row r="1389">
      <c r="A1389">
        <f>IF($P1389="","",INDEX(상세표[사번],$P1389)&amp;"")</f>
        <v/>
      </c>
      <c r="B1389">
        <f>IF($P1389="","",INDEX(상세표[성명],$P1389)&amp;"")</f>
        <v/>
      </c>
      <c r="C1389">
        <f>IF($P1389="","",INDEX(상세표[부서],$P1389)&amp;"")</f>
        <v/>
      </c>
      <c r="D1389">
        <f>IF($P1389="","",INDEX(상세표[직위],$P1389)&amp;"")</f>
        <v/>
      </c>
      <c r="E1389">
        <f>IF($P1389="","",IF(ISNUMBER(INDEX(상세표[시작],$P1389)),TEXT(INDEX(상세표[시작],$P1389),"yyyy-mm-dd hh:mm"),INDEX(상세표[시작],$P1389)&amp;""))</f>
        <v/>
      </c>
      <c r="F1389">
        <f>IF($P1389="","",IF(ISNUMBER(INDEX(상세표[블록종료],$P1389)),TEXT(INDEX(상세표[블록종료],$P1389),"yyyy-mm-dd hh:mm"),INDEX(상세표[블록종료],$P1389)&amp;""))</f>
        <v/>
      </c>
      <c r="G1389">
        <f>IF($P1389="","",CHOOSE(WEEKDAY(INDEX(상세표[시작],$P1389)),"일","월","화","수","목","금","토"))</f>
        <v/>
      </c>
      <c r="H1389">
        <f>IF($P1389="","",INDEX(상세표[연속 시간],$P1389))</f>
        <v/>
      </c>
      <c r="I1389">
        <f>IF($P1389="","",INDEX(상세표[기록 수],$P1389))</f>
        <v/>
      </c>
      <c r="J1389">
        <f>IF($P1389="","",INDEX(상세표[블록 06~07시],$P1389))</f>
        <v/>
      </c>
      <c r="K1389">
        <f>IF($P1389="","",INDEX(상세표[블록 07~18시],$P1389))</f>
        <v/>
      </c>
      <c r="L1389">
        <f>IF($P1389="","",INDEX(상세표[블록 18~22시],$P1389))</f>
        <v/>
      </c>
      <c r="M1389">
        <f>IF($P1389="","",INDEX(상세표[블록 22~06시],$P1389))</f>
        <v/>
      </c>
      <c r="N1389">
        <f>IF($P1389="","",INDEX(상세표[주말·휴일 포함],$P1389)&amp;"")</f>
        <v/>
      </c>
      <c r="O1389">
        <f>IF($P1389="","",INDEX(상세표[월 넘김 포함],$P1389)&amp;"")</f>
        <v/>
      </c>
      <c r="P1389" s="4">
        <f>IFERROR(MATCH(1384,상세표[연속순번],0),"")</f>
        <v/>
      </c>
    </row>
    <row r="1390">
      <c r="A1390">
        <f>IF($P1390="","",INDEX(상세표[사번],$P1390)&amp;"")</f>
        <v/>
      </c>
      <c r="B1390">
        <f>IF($P1390="","",INDEX(상세표[성명],$P1390)&amp;"")</f>
        <v/>
      </c>
      <c r="C1390">
        <f>IF($P1390="","",INDEX(상세표[부서],$P1390)&amp;"")</f>
        <v/>
      </c>
      <c r="D1390">
        <f>IF($P1390="","",INDEX(상세표[직위],$P1390)&amp;"")</f>
        <v/>
      </c>
      <c r="E1390">
        <f>IF($P1390="","",IF(ISNUMBER(INDEX(상세표[시작],$P1390)),TEXT(INDEX(상세표[시작],$P1390),"yyyy-mm-dd hh:mm"),INDEX(상세표[시작],$P1390)&amp;""))</f>
        <v/>
      </c>
      <c r="F1390">
        <f>IF($P1390="","",IF(ISNUMBER(INDEX(상세표[블록종료],$P1390)),TEXT(INDEX(상세표[블록종료],$P1390),"yyyy-mm-dd hh:mm"),INDEX(상세표[블록종료],$P1390)&amp;""))</f>
        <v/>
      </c>
      <c r="G1390">
        <f>IF($P1390="","",CHOOSE(WEEKDAY(INDEX(상세표[시작],$P1390)),"일","월","화","수","목","금","토"))</f>
        <v/>
      </c>
      <c r="H1390">
        <f>IF($P1390="","",INDEX(상세표[연속 시간],$P1390))</f>
        <v/>
      </c>
      <c r="I1390">
        <f>IF($P1390="","",INDEX(상세표[기록 수],$P1390))</f>
        <v/>
      </c>
      <c r="J1390">
        <f>IF($P1390="","",INDEX(상세표[블록 06~07시],$P1390))</f>
        <v/>
      </c>
      <c r="K1390">
        <f>IF($P1390="","",INDEX(상세표[블록 07~18시],$P1390))</f>
        <v/>
      </c>
      <c r="L1390">
        <f>IF($P1390="","",INDEX(상세표[블록 18~22시],$P1390))</f>
        <v/>
      </c>
      <c r="M1390">
        <f>IF($P1390="","",INDEX(상세표[블록 22~06시],$P1390))</f>
        <v/>
      </c>
      <c r="N1390">
        <f>IF($P1390="","",INDEX(상세표[주말·휴일 포함],$P1390)&amp;"")</f>
        <v/>
      </c>
      <c r="O1390">
        <f>IF($P1390="","",INDEX(상세표[월 넘김 포함],$P1390)&amp;"")</f>
        <v/>
      </c>
      <c r="P1390" s="4">
        <f>IFERROR(MATCH(1385,상세표[연속순번],0),"")</f>
        <v/>
      </c>
    </row>
    <row r="1391">
      <c r="A1391">
        <f>IF($P1391="","",INDEX(상세표[사번],$P1391)&amp;"")</f>
        <v/>
      </c>
      <c r="B1391">
        <f>IF($P1391="","",INDEX(상세표[성명],$P1391)&amp;"")</f>
        <v/>
      </c>
      <c r="C1391">
        <f>IF($P1391="","",INDEX(상세표[부서],$P1391)&amp;"")</f>
        <v/>
      </c>
      <c r="D1391">
        <f>IF($P1391="","",INDEX(상세표[직위],$P1391)&amp;"")</f>
        <v/>
      </c>
      <c r="E1391">
        <f>IF($P1391="","",IF(ISNUMBER(INDEX(상세표[시작],$P1391)),TEXT(INDEX(상세표[시작],$P1391),"yyyy-mm-dd hh:mm"),INDEX(상세표[시작],$P1391)&amp;""))</f>
        <v/>
      </c>
      <c r="F1391">
        <f>IF($P1391="","",IF(ISNUMBER(INDEX(상세표[블록종료],$P1391)),TEXT(INDEX(상세표[블록종료],$P1391),"yyyy-mm-dd hh:mm"),INDEX(상세표[블록종료],$P1391)&amp;""))</f>
        <v/>
      </c>
      <c r="G1391">
        <f>IF($P1391="","",CHOOSE(WEEKDAY(INDEX(상세표[시작],$P1391)),"일","월","화","수","목","금","토"))</f>
        <v/>
      </c>
      <c r="H1391">
        <f>IF($P1391="","",INDEX(상세표[연속 시간],$P1391))</f>
        <v/>
      </c>
      <c r="I1391">
        <f>IF($P1391="","",INDEX(상세표[기록 수],$P1391))</f>
        <v/>
      </c>
      <c r="J1391">
        <f>IF($P1391="","",INDEX(상세표[블록 06~07시],$P1391))</f>
        <v/>
      </c>
      <c r="K1391">
        <f>IF($P1391="","",INDEX(상세표[블록 07~18시],$P1391))</f>
        <v/>
      </c>
      <c r="L1391">
        <f>IF($P1391="","",INDEX(상세표[블록 18~22시],$P1391))</f>
        <v/>
      </c>
      <c r="M1391">
        <f>IF($P1391="","",INDEX(상세표[블록 22~06시],$P1391))</f>
        <v/>
      </c>
      <c r="N1391">
        <f>IF($P1391="","",INDEX(상세표[주말·휴일 포함],$P1391)&amp;"")</f>
        <v/>
      </c>
      <c r="O1391">
        <f>IF($P1391="","",INDEX(상세표[월 넘김 포함],$P1391)&amp;"")</f>
        <v/>
      </c>
      <c r="P1391" s="4">
        <f>IFERROR(MATCH(1386,상세표[연속순번],0),"")</f>
        <v/>
      </c>
    </row>
    <row r="1392">
      <c r="A1392">
        <f>IF($P1392="","",INDEX(상세표[사번],$P1392)&amp;"")</f>
        <v/>
      </c>
      <c r="B1392">
        <f>IF($P1392="","",INDEX(상세표[성명],$P1392)&amp;"")</f>
        <v/>
      </c>
      <c r="C1392">
        <f>IF($P1392="","",INDEX(상세표[부서],$P1392)&amp;"")</f>
        <v/>
      </c>
      <c r="D1392">
        <f>IF($P1392="","",INDEX(상세표[직위],$P1392)&amp;"")</f>
        <v/>
      </c>
      <c r="E1392">
        <f>IF($P1392="","",IF(ISNUMBER(INDEX(상세표[시작],$P1392)),TEXT(INDEX(상세표[시작],$P1392),"yyyy-mm-dd hh:mm"),INDEX(상세표[시작],$P1392)&amp;""))</f>
        <v/>
      </c>
      <c r="F1392">
        <f>IF($P1392="","",IF(ISNUMBER(INDEX(상세표[블록종료],$P1392)),TEXT(INDEX(상세표[블록종료],$P1392),"yyyy-mm-dd hh:mm"),INDEX(상세표[블록종료],$P1392)&amp;""))</f>
        <v/>
      </c>
      <c r="G1392">
        <f>IF($P1392="","",CHOOSE(WEEKDAY(INDEX(상세표[시작],$P1392)),"일","월","화","수","목","금","토"))</f>
        <v/>
      </c>
      <c r="H1392">
        <f>IF($P1392="","",INDEX(상세표[연속 시간],$P1392))</f>
        <v/>
      </c>
      <c r="I1392">
        <f>IF($P1392="","",INDEX(상세표[기록 수],$P1392))</f>
        <v/>
      </c>
      <c r="J1392">
        <f>IF($P1392="","",INDEX(상세표[블록 06~07시],$P1392))</f>
        <v/>
      </c>
      <c r="K1392">
        <f>IF($P1392="","",INDEX(상세표[블록 07~18시],$P1392))</f>
        <v/>
      </c>
      <c r="L1392">
        <f>IF($P1392="","",INDEX(상세표[블록 18~22시],$P1392))</f>
        <v/>
      </c>
      <c r="M1392">
        <f>IF($P1392="","",INDEX(상세표[블록 22~06시],$P1392))</f>
        <v/>
      </c>
      <c r="N1392">
        <f>IF($P1392="","",INDEX(상세표[주말·휴일 포함],$P1392)&amp;"")</f>
        <v/>
      </c>
      <c r="O1392">
        <f>IF($P1392="","",INDEX(상세표[월 넘김 포함],$P1392)&amp;"")</f>
        <v/>
      </c>
      <c r="P1392" s="4">
        <f>IFERROR(MATCH(1387,상세표[연속순번],0),"")</f>
        <v/>
      </c>
    </row>
    <row r="1393">
      <c r="A1393">
        <f>IF($P1393="","",INDEX(상세표[사번],$P1393)&amp;"")</f>
        <v/>
      </c>
      <c r="B1393">
        <f>IF($P1393="","",INDEX(상세표[성명],$P1393)&amp;"")</f>
        <v/>
      </c>
      <c r="C1393">
        <f>IF($P1393="","",INDEX(상세표[부서],$P1393)&amp;"")</f>
        <v/>
      </c>
      <c r="D1393">
        <f>IF($P1393="","",INDEX(상세표[직위],$P1393)&amp;"")</f>
        <v/>
      </c>
      <c r="E1393">
        <f>IF($P1393="","",IF(ISNUMBER(INDEX(상세표[시작],$P1393)),TEXT(INDEX(상세표[시작],$P1393),"yyyy-mm-dd hh:mm"),INDEX(상세표[시작],$P1393)&amp;""))</f>
        <v/>
      </c>
      <c r="F1393">
        <f>IF($P1393="","",IF(ISNUMBER(INDEX(상세표[블록종료],$P1393)),TEXT(INDEX(상세표[블록종료],$P1393),"yyyy-mm-dd hh:mm"),INDEX(상세표[블록종료],$P1393)&amp;""))</f>
        <v/>
      </c>
      <c r="G1393">
        <f>IF($P1393="","",CHOOSE(WEEKDAY(INDEX(상세표[시작],$P1393)),"일","월","화","수","목","금","토"))</f>
        <v/>
      </c>
      <c r="H1393">
        <f>IF($P1393="","",INDEX(상세표[연속 시간],$P1393))</f>
        <v/>
      </c>
      <c r="I1393">
        <f>IF($P1393="","",INDEX(상세표[기록 수],$P1393))</f>
        <v/>
      </c>
      <c r="J1393">
        <f>IF($P1393="","",INDEX(상세표[블록 06~07시],$P1393))</f>
        <v/>
      </c>
      <c r="K1393">
        <f>IF($P1393="","",INDEX(상세표[블록 07~18시],$P1393))</f>
        <v/>
      </c>
      <c r="L1393">
        <f>IF($P1393="","",INDEX(상세표[블록 18~22시],$P1393))</f>
        <v/>
      </c>
      <c r="M1393">
        <f>IF($P1393="","",INDEX(상세표[블록 22~06시],$P1393))</f>
        <v/>
      </c>
      <c r="N1393">
        <f>IF($P1393="","",INDEX(상세표[주말·휴일 포함],$P1393)&amp;"")</f>
        <v/>
      </c>
      <c r="O1393">
        <f>IF($P1393="","",INDEX(상세표[월 넘김 포함],$P1393)&amp;"")</f>
        <v/>
      </c>
      <c r="P1393" s="4">
        <f>IFERROR(MATCH(1388,상세표[연속순번],0),"")</f>
        <v/>
      </c>
    </row>
    <row r="1394">
      <c r="A1394">
        <f>IF($P1394="","",INDEX(상세표[사번],$P1394)&amp;"")</f>
        <v/>
      </c>
      <c r="B1394">
        <f>IF($P1394="","",INDEX(상세표[성명],$P1394)&amp;"")</f>
        <v/>
      </c>
      <c r="C1394">
        <f>IF($P1394="","",INDEX(상세표[부서],$P1394)&amp;"")</f>
        <v/>
      </c>
      <c r="D1394">
        <f>IF($P1394="","",INDEX(상세표[직위],$P1394)&amp;"")</f>
        <v/>
      </c>
      <c r="E1394">
        <f>IF($P1394="","",IF(ISNUMBER(INDEX(상세표[시작],$P1394)),TEXT(INDEX(상세표[시작],$P1394),"yyyy-mm-dd hh:mm"),INDEX(상세표[시작],$P1394)&amp;""))</f>
        <v/>
      </c>
      <c r="F1394">
        <f>IF($P1394="","",IF(ISNUMBER(INDEX(상세표[블록종료],$P1394)),TEXT(INDEX(상세표[블록종료],$P1394),"yyyy-mm-dd hh:mm"),INDEX(상세표[블록종료],$P1394)&amp;""))</f>
        <v/>
      </c>
      <c r="G1394">
        <f>IF($P1394="","",CHOOSE(WEEKDAY(INDEX(상세표[시작],$P1394)),"일","월","화","수","목","금","토"))</f>
        <v/>
      </c>
      <c r="H1394">
        <f>IF($P1394="","",INDEX(상세표[연속 시간],$P1394))</f>
        <v/>
      </c>
      <c r="I1394">
        <f>IF($P1394="","",INDEX(상세표[기록 수],$P1394))</f>
        <v/>
      </c>
      <c r="J1394">
        <f>IF($P1394="","",INDEX(상세표[블록 06~07시],$P1394))</f>
        <v/>
      </c>
      <c r="K1394">
        <f>IF($P1394="","",INDEX(상세표[블록 07~18시],$P1394))</f>
        <v/>
      </c>
      <c r="L1394">
        <f>IF($P1394="","",INDEX(상세표[블록 18~22시],$P1394))</f>
        <v/>
      </c>
      <c r="M1394">
        <f>IF($P1394="","",INDEX(상세표[블록 22~06시],$P1394))</f>
        <v/>
      </c>
      <c r="N1394">
        <f>IF($P1394="","",INDEX(상세표[주말·휴일 포함],$P1394)&amp;"")</f>
        <v/>
      </c>
      <c r="O1394">
        <f>IF($P1394="","",INDEX(상세표[월 넘김 포함],$P1394)&amp;"")</f>
        <v/>
      </c>
      <c r="P1394" s="4">
        <f>IFERROR(MATCH(1389,상세표[연속순번],0),"")</f>
        <v/>
      </c>
    </row>
    <row r="1395">
      <c r="A1395">
        <f>IF($P1395="","",INDEX(상세표[사번],$P1395)&amp;"")</f>
        <v/>
      </c>
      <c r="B1395">
        <f>IF($P1395="","",INDEX(상세표[성명],$P1395)&amp;"")</f>
        <v/>
      </c>
      <c r="C1395">
        <f>IF($P1395="","",INDEX(상세표[부서],$P1395)&amp;"")</f>
        <v/>
      </c>
      <c r="D1395">
        <f>IF($P1395="","",INDEX(상세표[직위],$P1395)&amp;"")</f>
        <v/>
      </c>
      <c r="E1395">
        <f>IF($P1395="","",IF(ISNUMBER(INDEX(상세표[시작],$P1395)),TEXT(INDEX(상세표[시작],$P1395),"yyyy-mm-dd hh:mm"),INDEX(상세표[시작],$P1395)&amp;""))</f>
        <v/>
      </c>
      <c r="F1395">
        <f>IF($P1395="","",IF(ISNUMBER(INDEX(상세표[블록종료],$P1395)),TEXT(INDEX(상세표[블록종료],$P1395),"yyyy-mm-dd hh:mm"),INDEX(상세표[블록종료],$P1395)&amp;""))</f>
        <v/>
      </c>
      <c r="G1395">
        <f>IF($P1395="","",CHOOSE(WEEKDAY(INDEX(상세표[시작],$P1395)),"일","월","화","수","목","금","토"))</f>
        <v/>
      </c>
      <c r="H1395">
        <f>IF($P1395="","",INDEX(상세표[연속 시간],$P1395))</f>
        <v/>
      </c>
      <c r="I1395">
        <f>IF($P1395="","",INDEX(상세표[기록 수],$P1395))</f>
        <v/>
      </c>
      <c r="J1395">
        <f>IF($P1395="","",INDEX(상세표[블록 06~07시],$P1395))</f>
        <v/>
      </c>
      <c r="K1395">
        <f>IF($P1395="","",INDEX(상세표[블록 07~18시],$P1395))</f>
        <v/>
      </c>
      <c r="L1395">
        <f>IF($P1395="","",INDEX(상세표[블록 18~22시],$P1395))</f>
        <v/>
      </c>
      <c r="M1395">
        <f>IF($P1395="","",INDEX(상세표[블록 22~06시],$P1395))</f>
        <v/>
      </c>
      <c r="N1395">
        <f>IF($P1395="","",INDEX(상세표[주말·휴일 포함],$P1395)&amp;"")</f>
        <v/>
      </c>
      <c r="O1395">
        <f>IF($P1395="","",INDEX(상세표[월 넘김 포함],$P1395)&amp;"")</f>
        <v/>
      </c>
      <c r="P1395" s="4">
        <f>IFERROR(MATCH(1390,상세표[연속순번],0),"")</f>
        <v/>
      </c>
    </row>
    <row r="1396">
      <c r="A1396">
        <f>IF($P1396="","",INDEX(상세표[사번],$P1396)&amp;"")</f>
        <v/>
      </c>
      <c r="B1396">
        <f>IF($P1396="","",INDEX(상세표[성명],$P1396)&amp;"")</f>
        <v/>
      </c>
      <c r="C1396">
        <f>IF($P1396="","",INDEX(상세표[부서],$P1396)&amp;"")</f>
        <v/>
      </c>
      <c r="D1396">
        <f>IF($P1396="","",INDEX(상세표[직위],$P1396)&amp;"")</f>
        <v/>
      </c>
      <c r="E1396">
        <f>IF($P1396="","",IF(ISNUMBER(INDEX(상세표[시작],$P1396)),TEXT(INDEX(상세표[시작],$P1396),"yyyy-mm-dd hh:mm"),INDEX(상세표[시작],$P1396)&amp;""))</f>
        <v/>
      </c>
      <c r="F1396">
        <f>IF($P1396="","",IF(ISNUMBER(INDEX(상세표[블록종료],$P1396)),TEXT(INDEX(상세표[블록종료],$P1396),"yyyy-mm-dd hh:mm"),INDEX(상세표[블록종료],$P1396)&amp;""))</f>
        <v/>
      </c>
      <c r="G1396">
        <f>IF($P1396="","",CHOOSE(WEEKDAY(INDEX(상세표[시작],$P1396)),"일","월","화","수","목","금","토"))</f>
        <v/>
      </c>
      <c r="H1396">
        <f>IF($P1396="","",INDEX(상세표[연속 시간],$P1396))</f>
        <v/>
      </c>
      <c r="I1396">
        <f>IF($P1396="","",INDEX(상세표[기록 수],$P1396))</f>
        <v/>
      </c>
      <c r="J1396">
        <f>IF($P1396="","",INDEX(상세표[블록 06~07시],$P1396))</f>
        <v/>
      </c>
      <c r="K1396">
        <f>IF($P1396="","",INDEX(상세표[블록 07~18시],$P1396))</f>
        <v/>
      </c>
      <c r="L1396">
        <f>IF($P1396="","",INDEX(상세표[블록 18~22시],$P1396))</f>
        <v/>
      </c>
      <c r="M1396">
        <f>IF($P1396="","",INDEX(상세표[블록 22~06시],$P1396))</f>
        <v/>
      </c>
      <c r="N1396">
        <f>IF($P1396="","",INDEX(상세표[주말·휴일 포함],$P1396)&amp;"")</f>
        <v/>
      </c>
      <c r="O1396">
        <f>IF($P1396="","",INDEX(상세표[월 넘김 포함],$P1396)&amp;"")</f>
        <v/>
      </c>
      <c r="P1396" s="4">
        <f>IFERROR(MATCH(1391,상세표[연속순번],0),"")</f>
        <v/>
      </c>
    </row>
    <row r="1397">
      <c r="A1397">
        <f>IF($P1397="","",INDEX(상세표[사번],$P1397)&amp;"")</f>
        <v/>
      </c>
      <c r="B1397">
        <f>IF($P1397="","",INDEX(상세표[성명],$P1397)&amp;"")</f>
        <v/>
      </c>
      <c r="C1397">
        <f>IF($P1397="","",INDEX(상세표[부서],$P1397)&amp;"")</f>
        <v/>
      </c>
      <c r="D1397">
        <f>IF($P1397="","",INDEX(상세표[직위],$P1397)&amp;"")</f>
        <v/>
      </c>
      <c r="E1397">
        <f>IF($P1397="","",IF(ISNUMBER(INDEX(상세표[시작],$P1397)),TEXT(INDEX(상세표[시작],$P1397),"yyyy-mm-dd hh:mm"),INDEX(상세표[시작],$P1397)&amp;""))</f>
        <v/>
      </c>
      <c r="F1397">
        <f>IF($P1397="","",IF(ISNUMBER(INDEX(상세표[블록종료],$P1397)),TEXT(INDEX(상세표[블록종료],$P1397),"yyyy-mm-dd hh:mm"),INDEX(상세표[블록종료],$P1397)&amp;""))</f>
        <v/>
      </c>
      <c r="G1397">
        <f>IF($P1397="","",CHOOSE(WEEKDAY(INDEX(상세표[시작],$P1397)),"일","월","화","수","목","금","토"))</f>
        <v/>
      </c>
      <c r="H1397">
        <f>IF($P1397="","",INDEX(상세표[연속 시간],$P1397))</f>
        <v/>
      </c>
      <c r="I1397">
        <f>IF($P1397="","",INDEX(상세표[기록 수],$P1397))</f>
        <v/>
      </c>
      <c r="J1397">
        <f>IF($P1397="","",INDEX(상세표[블록 06~07시],$P1397))</f>
        <v/>
      </c>
      <c r="K1397">
        <f>IF($P1397="","",INDEX(상세표[블록 07~18시],$P1397))</f>
        <v/>
      </c>
      <c r="L1397">
        <f>IF($P1397="","",INDEX(상세표[블록 18~22시],$P1397))</f>
        <v/>
      </c>
      <c r="M1397">
        <f>IF($P1397="","",INDEX(상세표[블록 22~06시],$P1397))</f>
        <v/>
      </c>
      <c r="N1397">
        <f>IF($P1397="","",INDEX(상세표[주말·휴일 포함],$P1397)&amp;"")</f>
        <v/>
      </c>
      <c r="O1397">
        <f>IF($P1397="","",INDEX(상세표[월 넘김 포함],$P1397)&amp;"")</f>
        <v/>
      </c>
      <c r="P1397" s="4">
        <f>IFERROR(MATCH(1392,상세표[연속순번],0),"")</f>
        <v/>
      </c>
    </row>
    <row r="1398">
      <c r="A1398">
        <f>IF($P1398="","",INDEX(상세표[사번],$P1398)&amp;"")</f>
        <v/>
      </c>
      <c r="B1398">
        <f>IF($P1398="","",INDEX(상세표[성명],$P1398)&amp;"")</f>
        <v/>
      </c>
      <c r="C1398">
        <f>IF($P1398="","",INDEX(상세표[부서],$P1398)&amp;"")</f>
        <v/>
      </c>
      <c r="D1398">
        <f>IF($P1398="","",INDEX(상세표[직위],$P1398)&amp;"")</f>
        <v/>
      </c>
      <c r="E1398">
        <f>IF($P1398="","",IF(ISNUMBER(INDEX(상세표[시작],$P1398)),TEXT(INDEX(상세표[시작],$P1398),"yyyy-mm-dd hh:mm"),INDEX(상세표[시작],$P1398)&amp;""))</f>
        <v/>
      </c>
      <c r="F1398">
        <f>IF($P1398="","",IF(ISNUMBER(INDEX(상세표[블록종료],$P1398)),TEXT(INDEX(상세표[블록종료],$P1398),"yyyy-mm-dd hh:mm"),INDEX(상세표[블록종료],$P1398)&amp;""))</f>
        <v/>
      </c>
      <c r="G1398">
        <f>IF($P1398="","",CHOOSE(WEEKDAY(INDEX(상세표[시작],$P1398)),"일","월","화","수","목","금","토"))</f>
        <v/>
      </c>
      <c r="H1398">
        <f>IF($P1398="","",INDEX(상세표[연속 시간],$P1398))</f>
        <v/>
      </c>
      <c r="I1398">
        <f>IF($P1398="","",INDEX(상세표[기록 수],$P1398))</f>
        <v/>
      </c>
      <c r="J1398">
        <f>IF($P1398="","",INDEX(상세표[블록 06~07시],$P1398))</f>
        <v/>
      </c>
      <c r="K1398">
        <f>IF($P1398="","",INDEX(상세표[블록 07~18시],$P1398))</f>
        <v/>
      </c>
      <c r="L1398">
        <f>IF($P1398="","",INDEX(상세표[블록 18~22시],$P1398))</f>
        <v/>
      </c>
      <c r="M1398">
        <f>IF($P1398="","",INDEX(상세표[블록 22~06시],$P1398))</f>
        <v/>
      </c>
      <c r="N1398">
        <f>IF($P1398="","",INDEX(상세표[주말·휴일 포함],$P1398)&amp;"")</f>
        <v/>
      </c>
      <c r="O1398">
        <f>IF($P1398="","",INDEX(상세표[월 넘김 포함],$P1398)&amp;"")</f>
        <v/>
      </c>
      <c r="P1398" s="4">
        <f>IFERROR(MATCH(1393,상세표[연속순번],0),"")</f>
        <v/>
      </c>
    </row>
    <row r="1399">
      <c r="A1399">
        <f>IF($P1399="","",INDEX(상세표[사번],$P1399)&amp;"")</f>
        <v/>
      </c>
      <c r="B1399">
        <f>IF($P1399="","",INDEX(상세표[성명],$P1399)&amp;"")</f>
        <v/>
      </c>
      <c r="C1399">
        <f>IF($P1399="","",INDEX(상세표[부서],$P1399)&amp;"")</f>
        <v/>
      </c>
      <c r="D1399">
        <f>IF($P1399="","",INDEX(상세표[직위],$P1399)&amp;"")</f>
        <v/>
      </c>
      <c r="E1399">
        <f>IF($P1399="","",IF(ISNUMBER(INDEX(상세표[시작],$P1399)),TEXT(INDEX(상세표[시작],$P1399),"yyyy-mm-dd hh:mm"),INDEX(상세표[시작],$P1399)&amp;""))</f>
        <v/>
      </c>
      <c r="F1399">
        <f>IF($P1399="","",IF(ISNUMBER(INDEX(상세표[블록종료],$P1399)),TEXT(INDEX(상세표[블록종료],$P1399),"yyyy-mm-dd hh:mm"),INDEX(상세표[블록종료],$P1399)&amp;""))</f>
        <v/>
      </c>
      <c r="G1399">
        <f>IF($P1399="","",CHOOSE(WEEKDAY(INDEX(상세표[시작],$P1399)),"일","월","화","수","목","금","토"))</f>
        <v/>
      </c>
      <c r="H1399">
        <f>IF($P1399="","",INDEX(상세표[연속 시간],$P1399))</f>
        <v/>
      </c>
      <c r="I1399">
        <f>IF($P1399="","",INDEX(상세표[기록 수],$P1399))</f>
        <v/>
      </c>
      <c r="J1399">
        <f>IF($P1399="","",INDEX(상세표[블록 06~07시],$P1399))</f>
        <v/>
      </c>
      <c r="K1399">
        <f>IF($P1399="","",INDEX(상세표[블록 07~18시],$P1399))</f>
        <v/>
      </c>
      <c r="L1399">
        <f>IF($P1399="","",INDEX(상세표[블록 18~22시],$P1399))</f>
        <v/>
      </c>
      <c r="M1399">
        <f>IF($P1399="","",INDEX(상세표[블록 22~06시],$P1399))</f>
        <v/>
      </c>
      <c r="N1399">
        <f>IF($P1399="","",INDEX(상세표[주말·휴일 포함],$P1399)&amp;"")</f>
        <v/>
      </c>
      <c r="O1399">
        <f>IF($P1399="","",INDEX(상세표[월 넘김 포함],$P1399)&amp;"")</f>
        <v/>
      </c>
      <c r="P1399" s="4">
        <f>IFERROR(MATCH(1394,상세표[연속순번],0),"")</f>
        <v/>
      </c>
    </row>
    <row r="1400">
      <c r="A1400">
        <f>IF($P1400="","",INDEX(상세표[사번],$P1400)&amp;"")</f>
        <v/>
      </c>
      <c r="B1400">
        <f>IF($P1400="","",INDEX(상세표[성명],$P1400)&amp;"")</f>
        <v/>
      </c>
      <c r="C1400">
        <f>IF($P1400="","",INDEX(상세표[부서],$P1400)&amp;"")</f>
        <v/>
      </c>
      <c r="D1400">
        <f>IF($P1400="","",INDEX(상세표[직위],$P1400)&amp;"")</f>
        <v/>
      </c>
      <c r="E1400">
        <f>IF($P1400="","",IF(ISNUMBER(INDEX(상세표[시작],$P1400)),TEXT(INDEX(상세표[시작],$P1400),"yyyy-mm-dd hh:mm"),INDEX(상세표[시작],$P1400)&amp;""))</f>
        <v/>
      </c>
      <c r="F1400">
        <f>IF($P1400="","",IF(ISNUMBER(INDEX(상세표[블록종료],$P1400)),TEXT(INDEX(상세표[블록종료],$P1400),"yyyy-mm-dd hh:mm"),INDEX(상세표[블록종료],$P1400)&amp;""))</f>
        <v/>
      </c>
      <c r="G1400">
        <f>IF($P1400="","",CHOOSE(WEEKDAY(INDEX(상세표[시작],$P1400)),"일","월","화","수","목","금","토"))</f>
        <v/>
      </c>
      <c r="H1400">
        <f>IF($P1400="","",INDEX(상세표[연속 시간],$P1400))</f>
        <v/>
      </c>
      <c r="I1400">
        <f>IF($P1400="","",INDEX(상세표[기록 수],$P1400))</f>
        <v/>
      </c>
      <c r="J1400">
        <f>IF($P1400="","",INDEX(상세표[블록 06~07시],$P1400))</f>
        <v/>
      </c>
      <c r="K1400">
        <f>IF($P1400="","",INDEX(상세표[블록 07~18시],$P1400))</f>
        <v/>
      </c>
      <c r="L1400">
        <f>IF($P1400="","",INDEX(상세표[블록 18~22시],$P1400))</f>
        <v/>
      </c>
      <c r="M1400">
        <f>IF($P1400="","",INDEX(상세표[블록 22~06시],$P1400))</f>
        <v/>
      </c>
      <c r="N1400">
        <f>IF($P1400="","",INDEX(상세표[주말·휴일 포함],$P1400)&amp;"")</f>
        <v/>
      </c>
      <c r="O1400">
        <f>IF($P1400="","",INDEX(상세표[월 넘김 포함],$P1400)&amp;"")</f>
        <v/>
      </c>
      <c r="P1400" s="4">
        <f>IFERROR(MATCH(1395,상세표[연속순번],0),"")</f>
        <v/>
      </c>
    </row>
    <row r="1401">
      <c r="A1401">
        <f>IF($P1401="","",INDEX(상세표[사번],$P1401)&amp;"")</f>
        <v/>
      </c>
      <c r="B1401">
        <f>IF($P1401="","",INDEX(상세표[성명],$P1401)&amp;"")</f>
        <v/>
      </c>
      <c r="C1401">
        <f>IF($P1401="","",INDEX(상세표[부서],$P1401)&amp;"")</f>
        <v/>
      </c>
      <c r="D1401">
        <f>IF($P1401="","",INDEX(상세표[직위],$P1401)&amp;"")</f>
        <v/>
      </c>
      <c r="E1401">
        <f>IF($P1401="","",IF(ISNUMBER(INDEX(상세표[시작],$P1401)),TEXT(INDEX(상세표[시작],$P1401),"yyyy-mm-dd hh:mm"),INDEX(상세표[시작],$P1401)&amp;""))</f>
        <v/>
      </c>
      <c r="F1401">
        <f>IF($P1401="","",IF(ISNUMBER(INDEX(상세표[블록종료],$P1401)),TEXT(INDEX(상세표[블록종료],$P1401),"yyyy-mm-dd hh:mm"),INDEX(상세표[블록종료],$P1401)&amp;""))</f>
        <v/>
      </c>
      <c r="G1401">
        <f>IF($P1401="","",CHOOSE(WEEKDAY(INDEX(상세표[시작],$P1401)),"일","월","화","수","목","금","토"))</f>
        <v/>
      </c>
      <c r="H1401">
        <f>IF($P1401="","",INDEX(상세표[연속 시간],$P1401))</f>
        <v/>
      </c>
      <c r="I1401">
        <f>IF($P1401="","",INDEX(상세표[기록 수],$P1401))</f>
        <v/>
      </c>
      <c r="J1401">
        <f>IF($P1401="","",INDEX(상세표[블록 06~07시],$P1401))</f>
        <v/>
      </c>
      <c r="K1401">
        <f>IF($P1401="","",INDEX(상세표[블록 07~18시],$P1401))</f>
        <v/>
      </c>
      <c r="L1401">
        <f>IF($P1401="","",INDEX(상세표[블록 18~22시],$P1401))</f>
        <v/>
      </c>
      <c r="M1401">
        <f>IF($P1401="","",INDEX(상세표[블록 22~06시],$P1401))</f>
        <v/>
      </c>
      <c r="N1401">
        <f>IF($P1401="","",INDEX(상세표[주말·휴일 포함],$P1401)&amp;"")</f>
        <v/>
      </c>
      <c r="O1401">
        <f>IF($P1401="","",INDEX(상세표[월 넘김 포함],$P1401)&amp;"")</f>
        <v/>
      </c>
      <c r="P1401" s="4">
        <f>IFERROR(MATCH(1396,상세표[연속순번],0),"")</f>
        <v/>
      </c>
    </row>
    <row r="1402">
      <c r="A1402">
        <f>IF($P1402="","",INDEX(상세표[사번],$P1402)&amp;"")</f>
        <v/>
      </c>
      <c r="B1402">
        <f>IF($P1402="","",INDEX(상세표[성명],$P1402)&amp;"")</f>
        <v/>
      </c>
      <c r="C1402">
        <f>IF($P1402="","",INDEX(상세표[부서],$P1402)&amp;"")</f>
        <v/>
      </c>
      <c r="D1402">
        <f>IF($P1402="","",INDEX(상세표[직위],$P1402)&amp;"")</f>
        <v/>
      </c>
      <c r="E1402">
        <f>IF($P1402="","",IF(ISNUMBER(INDEX(상세표[시작],$P1402)),TEXT(INDEX(상세표[시작],$P1402),"yyyy-mm-dd hh:mm"),INDEX(상세표[시작],$P1402)&amp;""))</f>
        <v/>
      </c>
      <c r="F1402">
        <f>IF($P1402="","",IF(ISNUMBER(INDEX(상세표[블록종료],$P1402)),TEXT(INDEX(상세표[블록종료],$P1402),"yyyy-mm-dd hh:mm"),INDEX(상세표[블록종료],$P1402)&amp;""))</f>
        <v/>
      </c>
      <c r="G1402">
        <f>IF($P1402="","",CHOOSE(WEEKDAY(INDEX(상세표[시작],$P1402)),"일","월","화","수","목","금","토"))</f>
        <v/>
      </c>
      <c r="H1402">
        <f>IF($P1402="","",INDEX(상세표[연속 시간],$P1402))</f>
        <v/>
      </c>
      <c r="I1402">
        <f>IF($P1402="","",INDEX(상세표[기록 수],$P1402))</f>
        <v/>
      </c>
      <c r="J1402">
        <f>IF($P1402="","",INDEX(상세표[블록 06~07시],$P1402))</f>
        <v/>
      </c>
      <c r="K1402">
        <f>IF($P1402="","",INDEX(상세표[블록 07~18시],$P1402))</f>
        <v/>
      </c>
      <c r="L1402">
        <f>IF($P1402="","",INDEX(상세표[블록 18~22시],$P1402))</f>
        <v/>
      </c>
      <c r="M1402">
        <f>IF($P1402="","",INDEX(상세표[블록 22~06시],$P1402))</f>
        <v/>
      </c>
      <c r="N1402">
        <f>IF($P1402="","",INDEX(상세표[주말·휴일 포함],$P1402)&amp;"")</f>
        <v/>
      </c>
      <c r="O1402">
        <f>IF($P1402="","",INDEX(상세표[월 넘김 포함],$P1402)&amp;"")</f>
        <v/>
      </c>
      <c r="P1402" s="4">
        <f>IFERROR(MATCH(1397,상세표[연속순번],0),"")</f>
        <v/>
      </c>
    </row>
    <row r="1403">
      <c r="A1403">
        <f>IF($P1403="","",INDEX(상세표[사번],$P1403)&amp;"")</f>
        <v/>
      </c>
      <c r="B1403">
        <f>IF($P1403="","",INDEX(상세표[성명],$P1403)&amp;"")</f>
        <v/>
      </c>
      <c r="C1403">
        <f>IF($P1403="","",INDEX(상세표[부서],$P1403)&amp;"")</f>
        <v/>
      </c>
      <c r="D1403">
        <f>IF($P1403="","",INDEX(상세표[직위],$P1403)&amp;"")</f>
        <v/>
      </c>
      <c r="E1403">
        <f>IF($P1403="","",IF(ISNUMBER(INDEX(상세표[시작],$P1403)),TEXT(INDEX(상세표[시작],$P1403),"yyyy-mm-dd hh:mm"),INDEX(상세표[시작],$P1403)&amp;""))</f>
        <v/>
      </c>
      <c r="F1403">
        <f>IF($P1403="","",IF(ISNUMBER(INDEX(상세표[블록종료],$P1403)),TEXT(INDEX(상세표[블록종료],$P1403),"yyyy-mm-dd hh:mm"),INDEX(상세표[블록종료],$P1403)&amp;""))</f>
        <v/>
      </c>
      <c r="G1403">
        <f>IF($P1403="","",CHOOSE(WEEKDAY(INDEX(상세표[시작],$P1403)),"일","월","화","수","목","금","토"))</f>
        <v/>
      </c>
      <c r="H1403">
        <f>IF($P1403="","",INDEX(상세표[연속 시간],$P1403))</f>
        <v/>
      </c>
      <c r="I1403">
        <f>IF($P1403="","",INDEX(상세표[기록 수],$P1403))</f>
        <v/>
      </c>
      <c r="J1403">
        <f>IF($P1403="","",INDEX(상세표[블록 06~07시],$P1403))</f>
        <v/>
      </c>
      <c r="K1403">
        <f>IF($P1403="","",INDEX(상세표[블록 07~18시],$P1403))</f>
        <v/>
      </c>
      <c r="L1403">
        <f>IF($P1403="","",INDEX(상세표[블록 18~22시],$P1403))</f>
        <v/>
      </c>
      <c r="M1403">
        <f>IF($P1403="","",INDEX(상세표[블록 22~06시],$P1403))</f>
        <v/>
      </c>
      <c r="N1403">
        <f>IF($P1403="","",INDEX(상세표[주말·휴일 포함],$P1403)&amp;"")</f>
        <v/>
      </c>
      <c r="O1403">
        <f>IF($P1403="","",INDEX(상세표[월 넘김 포함],$P1403)&amp;"")</f>
        <v/>
      </c>
      <c r="P1403" s="4">
        <f>IFERROR(MATCH(1398,상세표[연속순번],0),"")</f>
        <v/>
      </c>
    </row>
    <row r="1404">
      <c r="A1404">
        <f>IF($P1404="","",INDEX(상세표[사번],$P1404)&amp;"")</f>
        <v/>
      </c>
      <c r="B1404">
        <f>IF($P1404="","",INDEX(상세표[성명],$P1404)&amp;"")</f>
        <v/>
      </c>
      <c r="C1404">
        <f>IF($P1404="","",INDEX(상세표[부서],$P1404)&amp;"")</f>
        <v/>
      </c>
      <c r="D1404">
        <f>IF($P1404="","",INDEX(상세표[직위],$P1404)&amp;"")</f>
        <v/>
      </c>
      <c r="E1404">
        <f>IF($P1404="","",IF(ISNUMBER(INDEX(상세표[시작],$P1404)),TEXT(INDEX(상세표[시작],$P1404),"yyyy-mm-dd hh:mm"),INDEX(상세표[시작],$P1404)&amp;""))</f>
        <v/>
      </c>
      <c r="F1404">
        <f>IF($P1404="","",IF(ISNUMBER(INDEX(상세표[블록종료],$P1404)),TEXT(INDEX(상세표[블록종료],$P1404),"yyyy-mm-dd hh:mm"),INDEX(상세표[블록종료],$P1404)&amp;""))</f>
        <v/>
      </c>
      <c r="G1404">
        <f>IF($P1404="","",CHOOSE(WEEKDAY(INDEX(상세표[시작],$P1404)),"일","월","화","수","목","금","토"))</f>
        <v/>
      </c>
      <c r="H1404">
        <f>IF($P1404="","",INDEX(상세표[연속 시간],$P1404))</f>
        <v/>
      </c>
      <c r="I1404">
        <f>IF($P1404="","",INDEX(상세표[기록 수],$P1404))</f>
        <v/>
      </c>
      <c r="J1404">
        <f>IF($P1404="","",INDEX(상세표[블록 06~07시],$P1404))</f>
        <v/>
      </c>
      <c r="K1404">
        <f>IF($P1404="","",INDEX(상세표[블록 07~18시],$P1404))</f>
        <v/>
      </c>
      <c r="L1404">
        <f>IF($P1404="","",INDEX(상세표[블록 18~22시],$P1404))</f>
        <v/>
      </c>
      <c r="M1404">
        <f>IF($P1404="","",INDEX(상세표[블록 22~06시],$P1404))</f>
        <v/>
      </c>
      <c r="N1404">
        <f>IF($P1404="","",INDEX(상세표[주말·휴일 포함],$P1404)&amp;"")</f>
        <v/>
      </c>
      <c r="O1404">
        <f>IF($P1404="","",INDEX(상세표[월 넘김 포함],$P1404)&amp;"")</f>
        <v/>
      </c>
      <c r="P1404" s="4">
        <f>IFERROR(MATCH(1399,상세표[연속순번],0),"")</f>
        <v/>
      </c>
    </row>
    <row r="1405">
      <c r="A1405">
        <f>IF($P1405="","",INDEX(상세표[사번],$P1405)&amp;"")</f>
        <v/>
      </c>
      <c r="B1405">
        <f>IF($P1405="","",INDEX(상세표[성명],$P1405)&amp;"")</f>
        <v/>
      </c>
      <c r="C1405">
        <f>IF($P1405="","",INDEX(상세표[부서],$P1405)&amp;"")</f>
        <v/>
      </c>
      <c r="D1405">
        <f>IF($P1405="","",INDEX(상세표[직위],$P1405)&amp;"")</f>
        <v/>
      </c>
      <c r="E1405">
        <f>IF($P1405="","",IF(ISNUMBER(INDEX(상세표[시작],$P1405)),TEXT(INDEX(상세표[시작],$P1405),"yyyy-mm-dd hh:mm"),INDEX(상세표[시작],$P1405)&amp;""))</f>
        <v/>
      </c>
      <c r="F1405">
        <f>IF($P1405="","",IF(ISNUMBER(INDEX(상세표[블록종료],$P1405)),TEXT(INDEX(상세표[블록종료],$P1405),"yyyy-mm-dd hh:mm"),INDEX(상세표[블록종료],$P1405)&amp;""))</f>
        <v/>
      </c>
      <c r="G1405">
        <f>IF($P1405="","",CHOOSE(WEEKDAY(INDEX(상세표[시작],$P1405)),"일","월","화","수","목","금","토"))</f>
        <v/>
      </c>
      <c r="H1405">
        <f>IF($P1405="","",INDEX(상세표[연속 시간],$P1405))</f>
        <v/>
      </c>
      <c r="I1405">
        <f>IF($P1405="","",INDEX(상세표[기록 수],$P1405))</f>
        <v/>
      </c>
      <c r="J1405">
        <f>IF($P1405="","",INDEX(상세표[블록 06~07시],$P1405))</f>
        <v/>
      </c>
      <c r="K1405">
        <f>IF($P1405="","",INDEX(상세표[블록 07~18시],$P1405))</f>
        <v/>
      </c>
      <c r="L1405">
        <f>IF($P1405="","",INDEX(상세표[블록 18~22시],$P1405))</f>
        <v/>
      </c>
      <c r="M1405">
        <f>IF($P1405="","",INDEX(상세표[블록 22~06시],$P1405))</f>
        <v/>
      </c>
      <c r="N1405">
        <f>IF($P1405="","",INDEX(상세표[주말·휴일 포함],$P1405)&amp;"")</f>
        <v/>
      </c>
      <c r="O1405">
        <f>IF($P1405="","",INDEX(상세표[월 넘김 포함],$P1405)&amp;"")</f>
        <v/>
      </c>
      <c r="P1405" s="4">
        <f>IFERROR(MATCH(1400,상세표[연속순번],0),"")</f>
        <v/>
      </c>
    </row>
    <row r="1406">
      <c r="A1406">
        <f>IF($P1406="","",INDEX(상세표[사번],$P1406)&amp;"")</f>
        <v/>
      </c>
      <c r="B1406">
        <f>IF($P1406="","",INDEX(상세표[성명],$P1406)&amp;"")</f>
        <v/>
      </c>
      <c r="C1406">
        <f>IF($P1406="","",INDEX(상세표[부서],$P1406)&amp;"")</f>
        <v/>
      </c>
      <c r="D1406">
        <f>IF($P1406="","",INDEX(상세표[직위],$P1406)&amp;"")</f>
        <v/>
      </c>
      <c r="E1406">
        <f>IF($P1406="","",IF(ISNUMBER(INDEX(상세표[시작],$P1406)),TEXT(INDEX(상세표[시작],$P1406),"yyyy-mm-dd hh:mm"),INDEX(상세표[시작],$P1406)&amp;""))</f>
        <v/>
      </c>
      <c r="F1406">
        <f>IF($P1406="","",IF(ISNUMBER(INDEX(상세표[블록종료],$P1406)),TEXT(INDEX(상세표[블록종료],$P1406),"yyyy-mm-dd hh:mm"),INDEX(상세표[블록종료],$P1406)&amp;""))</f>
        <v/>
      </c>
      <c r="G1406">
        <f>IF($P1406="","",CHOOSE(WEEKDAY(INDEX(상세표[시작],$P1406)),"일","월","화","수","목","금","토"))</f>
        <v/>
      </c>
      <c r="H1406">
        <f>IF($P1406="","",INDEX(상세표[연속 시간],$P1406))</f>
        <v/>
      </c>
      <c r="I1406">
        <f>IF($P1406="","",INDEX(상세표[기록 수],$P1406))</f>
        <v/>
      </c>
      <c r="J1406">
        <f>IF($P1406="","",INDEX(상세표[블록 06~07시],$P1406))</f>
        <v/>
      </c>
      <c r="K1406">
        <f>IF($P1406="","",INDEX(상세표[블록 07~18시],$P1406))</f>
        <v/>
      </c>
      <c r="L1406">
        <f>IF($P1406="","",INDEX(상세표[블록 18~22시],$P1406))</f>
        <v/>
      </c>
      <c r="M1406">
        <f>IF($P1406="","",INDEX(상세표[블록 22~06시],$P1406))</f>
        <v/>
      </c>
      <c r="N1406">
        <f>IF($P1406="","",INDEX(상세표[주말·휴일 포함],$P1406)&amp;"")</f>
        <v/>
      </c>
      <c r="O1406">
        <f>IF($P1406="","",INDEX(상세표[월 넘김 포함],$P1406)&amp;"")</f>
        <v/>
      </c>
      <c r="P1406" s="4">
        <f>IFERROR(MATCH(1401,상세표[연속순번],0),"")</f>
        <v/>
      </c>
    </row>
    <row r="1407">
      <c r="A1407">
        <f>IF($P1407="","",INDEX(상세표[사번],$P1407)&amp;"")</f>
        <v/>
      </c>
      <c r="B1407">
        <f>IF($P1407="","",INDEX(상세표[성명],$P1407)&amp;"")</f>
        <v/>
      </c>
      <c r="C1407">
        <f>IF($P1407="","",INDEX(상세표[부서],$P1407)&amp;"")</f>
        <v/>
      </c>
      <c r="D1407">
        <f>IF($P1407="","",INDEX(상세표[직위],$P1407)&amp;"")</f>
        <v/>
      </c>
      <c r="E1407">
        <f>IF($P1407="","",IF(ISNUMBER(INDEX(상세표[시작],$P1407)),TEXT(INDEX(상세표[시작],$P1407),"yyyy-mm-dd hh:mm"),INDEX(상세표[시작],$P1407)&amp;""))</f>
        <v/>
      </c>
      <c r="F1407">
        <f>IF($P1407="","",IF(ISNUMBER(INDEX(상세표[블록종료],$P1407)),TEXT(INDEX(상세표[블록종료],$P1407),"yyyy-mm-dd hh:mm"),INDEX(상세표[블록종료],$P1407)&amp;""))</f>
        <v/>
      </c>
      <c r="G1407">
        <f>IF($P1407="","",CHOOSE(WEEKDAY(INDEX(상세표[시작],$P1407)),"일","월","화","수","목","금","토"))</f>
        <v/>
      </c>
      <c r="H1407">
        <f>IF($P1407="","",INDEX(상세표[연속 시간],$P1407))</f>
        <v/>
      </c>
      <c r="I1407">
        <f>IF($P1407="","",INDEX(상세표[기록 수],$P1407))</f>
        <v/>
      </c>
      <c r="J1407">
        <f>IF($P1407="","",INDEX(상세표[블록 06~07시],$P1407))</f>
        <v/>
      </c>
      <c r="K1407">
        <f>IF($P1407="","",INDEX(상세표[블록 07~18시],$P1407))</f>
        <v/>
      </c>
      <c r="L1407">
        <f>IF($P1407="","",INDEX(상세표[블록 18~22시],$P1407))</f>
        <v/>
      </c>
      <c r="M1407">
        <f>IF($P1407="","",INDEX(상세표[블록 22~06시],$P1407))</f>
        <v/>
      </c>
      <c r="N1407">
        <f>IF($P1407="","",INDEX(상세표[주말·휴일 포함],$P1407)&amp;"")</f>
        <v/>
      </c>
      <c r="O1407">
        <f>IF($P1407="","",INDEX(상세표[월 넘김 포함],$P1407)&amp;"")</f>
        <v/>
      </c>
      <c r="P1407" s="4">
        <f>IFERROR(MATCH(1402,상세표[연속순번],0),"")</f>
        <v/>
      </c>
    </row>
    <row r="1408">
      <c r="A1408">
        <f>IF($P1408="","",INDEX(상세표[사번],$P1408)&amp;"")</f>
        <v/>
      </c>
      <c r="B1408">
        <f>IF($P1408="","",INDEX(상세표[성명],$P1408)&amp;"")</f>
        <v/>
      </c>
      <c r="C1408">
        <f>IF($P1408="","",INDEX(상세표[부서],$P1408)&amp;"")</f>
        <v/>
      </c>
      <c r="D1408">
        <f>IF($P1408="","",INDEX(상세표[직위],$P1408)&amp;"")</f>
        <v/>
      </c>
      <c r="E1408">
        <f>IF($P1408="","",IF(ISNUMBER(INDEX(상세표[시작],$P1408)),TEXT(INDEX(상세표[시작],$P1408),"yyyy-mm-dd hh:mm"),INDEX(상세표[시작],$P1408)&amp;""))</f>
        <v/>
      </c>
      <c r="F1408">
        <f>IF($P1408="","",IF(ISNUMBER(INDEX(상세표[블록종료],$P1408)),TEXT(INDEX(상세표[블록종료],$P1408),"yyyy-mm-dd hh:mm"),INDEX(상세표[블록종료],$P1408)&amp;""))</f>
        <v/>
      </c>
      <c r="G1408">
        <f>IF($P1408="","",CHOOSE(WEEKDAY(INDEX(상세표[시작],$P1408)),"일","월","화","수","목","금","토"))</f>
        <v/>
      </c>
      <c r="H1408">
        <f>IF($P1408="","",INDEX(상세표[연속 시간],$P1408))</f>
        <v/>
      </c>
      <c r="I1408">
        <f>IF($P1408="","",INDEX(상세표[기록 수],$P1408))</f>
        <v/>
      </c>
      <c r="J1408">
        <f>IF($P1408="","",INDEX(상세표[블록 06~07시],$P1408))</f>
        <v/>
      </c>
      <c r="K1408">
        <f>IF($P1408="","",INDEX(상세표[블록 07~18시],$P1408))</f>
        <v/>
      </c>
      <c r="L1408">
        <f>IF($P1408="","",INDEX(상세표[블록 18~22시],$P1408))</f>
        <v/>
      </c>
      <c r="M1408">
        <f>IF($P1408="","",INDEX(상세표[블록 22~06시],$P1408))</f>
        <v/>
      </c>
      <c r="N1408">
        <f>IF($P1408="","",INDEX(상세표[주말·휴일 포함],$P1408)&amp;"")</f>
        <v/>
      </c>
      <c r="O1408">
        <f>IF($P1408="","",INDEX(상세표[월 넘김 포함],$P1408)&amp;"")</f>
        <v/>
      </c>
      <c r="P1408" s="4">
        <f>IFERROR(MATCH(1403,상세표[연속순번],0),"")</f>
        <v/>
      </c>
    </row>
    <row r="1409">
      <c r="A1409">
        <f>IF($P1409="","",INDEX(상세표[사번],$P1409)&amp;"")</f>
        <v/>
      </c>
      <c r="B1409">
        <f>IF($P1409="","",INDEX(상세표[성명],$P1409)&amp;"")</f>
        <v/>
      </c>
      <c r="C1409">
        <f>IF($P1409="","",INDEX(상세표[부서],$P1409)&amp;"")</f>
        <v/>
      </c>
      <c r="D1409">
        <f>IF($P1409="","",INDEX(상세표[직위],$P1409)&amp;"")</f>
        <v/>
      </c>
      <c r="E1409">
        <f>IF($P1409="","",IF(ISNUMBER(INDEX(상세표[시작],$P1409)),TEXT(INDEX(상세표[시작],$P1409),"yyyy-mm-dd hh:mm"),INDEX(상세표[시작],$P1409)&amp;""))</f>
        <v/>
      </c>
      <c r="F1409">
        <f>IF($P1409="","",IF(ISNUMBER(INDEX(상세표[블록종료],$P1409)),TEXT(INDEX(상세표[블록종료],$P1409),"yyyy-mm-dd hh:mm"),INDEX(상세표[블록종료],$P1409)&amp;""))</f>
        <v/>
      </c>
      <c r="G1409">
        <f>IF($P1409="","",CHOOSE(WEEKDAY(INDEX(상세표[시작],$P1409)),"일","월","화","수","목","금","토"))</f>
        <v/>
      </c>
      <c r="H1409">
        <f>IF($P1409="","",INDEX(상세표[연속 시간],$P1409))</f>
        <v/>
      </c>
      <c r="I1409">
        <f>IF($P1409="","",INDEX(상세표[기록 수],$P1409))</f>
        <v/>
      </c>
      <c r="J1409">
        <f>IF($P1409="","",INDEX(상세표[블록 06~07시],$P1409))</f>
        <v/>
      </c>
      <c r="K1409">
        <f>IF($P1409="","",INDEX(상세표[블록 07~18시],$P1409))</f>
        <v/>
      </c>
      <c r="L1409">
        <f>IF($P1409="","",INDEX(상세표[블록 18~22시],$P1409))</f>
        <v/>
      </c>
      <c r="M1409">
        <f>IF($P1409="","",INDEX(상세표[블록 22~06시],$P1409))</f>
        <v/>
      </c>
      <c r="N1409">
        <f>IF($P1409="","",INDEX(상세표[주말·휴일 포함],$P1409)&amp;"")</f>
        <v/>
      </c>
      <c r="O1409">
        <f>IF($P1409="","",INDEX(상세표[월 넘김 포함],$P1409)&amp;"")</f>
        <v/>
      </c>
      <c r="P1409" s="4">
        <f>IFERROR(MATCH(1404,상세표[연속순번],0),"")</f>
        <v/>
      </c>
    </row>
    <row r="1410">
      <c r="A1410">
        <f>IF($P1410="","",INDEX(상세표[사번],$P1410)&amp;"")</f>
        <v/>
      </c>
      <c r="B1410">
        <f>IF($P1410="","",INDEX(상세표[성명],$P1410)&amp;"")</f>
        <v/>
      </c>
      <c r="C1410">
        <f>IF($P1410="","",INDEX(상세표[부서],$P1410)&amp;"")</f>
        <v/>
      </c>
      <c r="D1410">
        <f>IF($P1410="","",INDEX(상세표[직위],$P1410)&amp;"")</f>
        <v/>
      </c>
      <c r="E1410">
        <f>IF($P1410="","",IF(ISNUMBER(INDEX(상세표[시작],$P1410)),TEXT(INDEX(상세표[시작],$P1410),"yyyy-mm-dd hh:mm"),INDEX(상세표[시작],$P1410)&amp;""))</f>
        <v/>
      </c>
      <c r="F1410">
        <f>IF($P1410="","",IF(ISNUMBER(INDEX(상세표[블록종료],$P1410)),TEXT(INDEX(상세표[블록종료],$P1410),"yyyy-mm-dd hh:mm"),INDEX(상세표[블록종료],$P1410)&amp;""))</f>
        <v/>
      </c>
      <c r="G1410">
        <f>IF($P1410="","",CHOOSE(WEEKDAY(INDEX(상세표[시작],$P1410)),"일","월","화","수","목","금","토"))</f>
        <v/>
      </c>
      <c r="H1410">
        <f>IF($P1410="","",INDEX(상세표[연속 시간],$P1410))</f>
        <v/>
      </c>
      <c r="I1410">
        <f>IF($P1410="","",INDEX(상세표[기록 수],$P1410))</f>
        <v/>
      </c>
      <c r="J1410">
        <f>IF($P1410="","",INDEX(상세표[블록 06~07시],$P1410))</f>
        <v/>
      </c>
      <c r="K1410">
        <f>IF($P1410="","",INDEX(상세표[블록 07~18시],$P1410))</f>
        <v/>
      </c>
      <c r="L1410">
        <f>IF($P1410="","",INDEX(상세표[블록 18~22시],$P1410))</f>
        <v/>
      </c>
      <c r="M1410">
        <f>IF($P1410="","",INDEX(상세표[블록 22~06시],$P1410))</f>
        <v/>
      </c>
      <c r="N1410">
        <f>IF($P1410="","",INDEX(상세표[주말·휴일 포함],$P1410)&amp;"")</f>
        <v/>
      </c>
      <c r="O1410">
        <f>IF($P1410="","",INDEX(상세표[월 넘김 포함],$P1410)&amp;"")</f>
        <v/>
      </c>
      <c r="P1410" s="4">
        <f>IFERROR(MATCH(1405,상세표[연속순번],0),"")</f>
        <v/>
      </c>
    </row>
    <row r="1411">
      <c r="A1411">
        <f>IF($P1411="","",INDEX(상세표[사번],$P1411)&amp;"")</f>
        <v/>
      </c>
      <c r="B1411">
        <f>IF($P1411="","",INDEX(상세표[성명],$P1411)&amp;"")</f>
        <v/>
      </c>
      <c r="C1411">
        <f>IF($P1411="","",INDEX(상세표[부서],$P1411)&amp;"")</f>
        <v/>
      </c>
      <c r="D1411">
        <f>IF($P1411="","",INDEX(상세표[직위],$P1411)&amp;"")</f>
        <v/>
      </c>
      <c r="E1411">
        <f>IF($P1411="","",IF(ISNUMBER(INDEX(상세표[시작],$P1411)),TEXT(INDEX(상세표[시작],$P1411),"yyyy-mm-dd hh:mm"),INDEX(상세표[시작],$P1411)&amp;""))</f>
        <v/>
      </c>
      <c r="F1411">
        <f>IF($P1411="","",IF(ISNUMBER(INDEX(상세표[블록종료],$P1411)),TEXT(INDEX(상세표[블록종료],$P1411),"yyyy-mm-dd hh:mm"),INDEX(상세표[블록종료],$P1411)&amp;""))</f>
        <v/>
      </c>
      <c r="G1411">
        <f>IF($P1411="","",CHOOSE(WEEKDAY(INDEX(상세표[시작],$P1411)),"일","월","화","수","목","금","토"))</f>
        <v/>
      </c>
      <c r="H1411">
        <f>IF($P1411="","",INDEX(상세표[연속 시간],$P1411))</f>
        <v/>
      </c>
      <c r="I1411">
        <f>IF($P1411="","",INDEX(상세표[기록 수],$P1411))</f>
        <v/>
      </c>
      <c r="J1411">
        <f>IF($P1411="","",INDEX(상세표[블록 06~07시],$P1411))</f>
        <v/>
      </c>
      <c r="K1411">
        <f>IF($P1411="","",INDEX(상세표[블록 07~18시],$P1411))</f>
        <v/>
      </c>
      <c r="L1411">
        <f>IF($P1411="","",INDEX(상세표[블록 18~22시],$P1411))</f>
        <v/>
      </c>
      <c r="M1411">
        <f>IF($P1411="","",INDEX(상세표[블록 22~06시],$P1411))</f>
        <v/>
      </c>
      <c r="N1411">
        <f>IF($P1411="","",INDEX(상세표[주말·휴일 포함],$P1411)&amp;"")</f>
        <v/>
      </c>
      <c r="O1411">
        <f>IF($P1411="","",INDEX(상세표[월 넘김 포함],$P1411)&amp;"")</f>
        <v/>
      </c>
      <c r="P1411" s="4">
        <f>IFERROR(MATCH(1406,상세표[연속순번],0),"")</f>
        <v/>
      </c>
    </row>
    <row r="1412">
      <c r="A1412">
        <f>IF($P1412="","",INDEX(상세표[사번],$P1412)&amp;"")</f>
        <v/>
      </c>
      <c r="B1412">
        <f>IF($P1412="","",INDEX(상세표[성명],$P1412)&amp;"")</f>
        <v/>
      </c>
      <c r="C1412">
        <f>IF($P1412="","",INDEX(상세표[부서],$P1412)&amp;"")</f>
        <v/>
      </c>
      <c r="D1412">
        <f>IF($P1412="","",INDEX(상세표[직위],$P1412)&amp;"")</f>
        <v/>
      </c>
      <c r="E1412">
        <f>IF($P1412="","",IF(ISNUMBER(INDEX(상세표[시작],$P1412)),TEXT(INDEX(상세표[시작],$P1412),"yyyy-mm-dd hh:mm"),INDEX(상세표[시작],$P1412)&amp;""))</f>
        <v/>
      </c>
      <c r="F1412">
        <f>IF($P1412="","",IF(ISNUMBER(INDEX(상세표[블록종료],$P1412)),TEXT(INDEX(상세표[블록종료],$P1412),"yyyy-mm-dd hh:mm"),INDEX(상세표[블록종료],$P1412)&amp;""))</f>
        <v/>
      </c>
      <c r="G1412">
        <f>IF($P1412="","",CHOOSE(WEEKDAY(INDEX(상세표[시작],$P1412)),"일","월","화","수","목","금","토"))</f>
        <v/>
      </c>
      <c r="H1412">
        <f>IF($P1412="","",INDEX(상세표[연속 시간],$P1412))</f>
        <v/>
      </c>
      <c r="I1412">
        <f>IF($P1412="","",INDEX(상세표[기록 수],$P1412))</f>
        <v/>
      </c>
      <c r="J1412">
        <f>IF($P1412="","",INDEX(상세표[블록 06~07시],$P1412))</f>
        <v/>
      </c>
      <c r="K1412">
        <f>IF($P1412="","",INDEX(상세표[블록 07~18시],$P1412))</f>
        <v/>
      </c>
      <c r="L1412">
        <f>IF($P1412="","",INDEX(상세표[블록 18~22시],$P1412))</f>
        <v/>
      </c>
      <c r="M1412">
        <f>IF($P1412="","",INDEX(상세표[블록 22~06시],$P1412))</f>
        <v/>
      </c>
      <c r="N1412">
        <f>IF($P1412="","",INDEX(상세표[주말·휴일 포함],$P1412)&amp;"")</f>
        <v/>
      </c>
      <c r="O1412">
        <f>IF($P1412="","",INDEX(상세표[월 넘김 포함],$P1412)&amp;"")</f>
        <v/>
      </c>
      <c r="P1412" s="4">
        <f>IFERROR(MATCH(1407,상세표[연속순번],0),"")</f>
        <v/>
      </c>
    </row>
    <row r="1413">
      <c r="A1413">
        <f>IF($P1413="","",INDEX(상세표[사번],$P1413)&amp;"")</f>
        <v/>
      </c>
      <c r="B1413">
        <f>IF($P1413="","",INDEX(상세표[성명],$P1413)&amp;"")</f>
        <v/>
      </c>
      <c r="C1413">
        <f>IF($P1413="","",INDEX(상세표[부서],$P1413)&amp;"")</f>
        <v/>
      </c>
      <c r="D1413">
        <f>IF($P1413="","",INDEX(상세표[직위],$P1413)&amp;"")</f>
        <v/>
      </c>
      <c r="E1413">
        <f>IF($P1413="","",IF(ISNUMBER(INDEX(상세표[시작],$P1413)),TEXT(INDEX(상세표[시작],$P1413),"yyyy-mm-dd hh:mm"),INDEX(상세표[시작],$P1413)&amp;""))</f>
        <v/>
      </c>
      <c r="F1413">
        <f>IF($P1413="","",IF(ISNUMBER(INDEX(상세표[블록종료],$P1413)),TEXT(INDEX(상세표[블록종료],$P1413),"yyyy-mm-dd hh:mm"),INDEX(상세표[블록종료],$P1413)&amp;""))</f>
        <v/>
      </c>
      <c r="G1413">
        <f>IF($P1413="","",CHOOSE(WEEKDAY(INDEX(상세표[시작],$P1413)),"일","월","화","수","목","금","토"))</f>
        <v/>
      </c>
      <c r="H1413">
        <f>IF($P1413="","",INDEX(상세표[연속 시간],$P1413))</f>
        <v/>
      </c>
      <c r="I1413">
        <f>IF($P1413="","",INDEX(상세표[기록 수],$P1413))</f>
        <v/>
      </c>
      <c r="J1413">
        <f>IF($P1413="","",INDEX(상세표[블록 06~07시],$P1413))</f>
        <v/>
      </c>
      <c r="K1413">
        <f>IF($P1413="","",INDEX(상세표[블록 07~18시],$P1413))</f>
        <v/>
      </c>
      <c r="L1413">
        <f>IF($P1413="","",INDEX(상세표[블록 18~22시],$P1413))</f>
        <v/>
      </c>
      <c r="M1413">
        <f>IF($P1413="","",INDEX(상세표[블록 22~06시],$P1413))</f>
        <v/>
      </c>
      <c r="N1413">
        <f>IF($P1413="","",INDEX(상세표[주말·휴일 포함],$P1413)&amp;"")</f>
        <v/>
      </c>
      <c r="O1413">
        <f>IF($P1413="","",INDEX(상세표[월 넘김 포함],$P1413)&amp;"")</f>
        <v/>
      </c>
      <c r="P1413" s="4">
        <f>IFERROR(MATCH(1408,상세표[연속순번],0),"")</f>
        <v/>
      </c>
    </row>
    <row r="1414">
      <c r="A1414">
        <f>IF($P1414="","",INDEX(상세표[사번],$P1414)&amp;"")</f>
        <v/>
      </c>
      <c r="B1414">
        <f>IF($P1414="","",INDEX(상세표[성명],$P1414)&amp;"")</f>
        <v/>
      </c>
      <c r="C1414">
        <f>IF($P1414="","",INDEX(상세표[부서],$P1414)&amp;"")</f>
        <v/>
      </c>
      <c r="D1414">
        <f>IF($P1414="","",INDEX(상세표[직위],$P1414)&amp;"")</f>
        <v/>
      </c>
      <c r="E1414">
        <f>IF($P1414="","",IF(ISNUMBER(INDEX(상세표[시작],$P1414)),TEXT(INDEX(상세표[시작],$P1414),"yyyy-mm-dd hh:mm"),INDEX(상세표[시작],$P1414)&amp;""))</f>
        <v/>
      </c>
      <c r="F1414">
        <f>IF($P1414="","",IF(ISNUMBER(INDEX(상세표[블록종료],$P1414)),TEXT(INDEX(상세표[블록종료],$P1414),"yyyy-mm-dd hh:mm"),INDEX(상세표[블록종료],$P1414)&amp;""))</f>
        <v/>
      </c>
      <c r="G1414">
        <f>IF($P1414="","",CHOOSE(WEEKDAY(INDEX(상세표[시작],$P1414)),"일","월","화","수","목","금","토"))</f>
        <v/>
      </c>
      <c r="H1414">
        <f>IF($P1414="","",INDEX(상세표[연속 시간],$P1414))</f>
        <v/>
      </c>
      <c r="I1414">
        <f>IF($P1414="","",INDEX(상세표[기록 수],$P1414))</f>
        <v/>
      </c>
      <c r="J1414">
        <f>IF($P1414="","",INDEX(상세표[블록 06~07시],$P1414))</f>
        <v/>
      </c>
      <c r="K1414">
        <f>IF($P1414="","",INDEX(상세표[블록 07~18시],$P1414))</f>
        <v/>
      </c>
      <c r="L1414">
        <f>IF($P1414="","",INDEX(상세표[블록 18~22시],$P1414))</f>
        <v/>
      </c>
      <c r="M1414">
        <f>IF($P1414="","",INDEX(상세표[블록 22~06시],$P1414))</f>
        <v/>
      </c>
      <c r="N1414">
        <f>IF($P1414="","",INDEX(상세표[주말·휴일 포함],$P1414)&amp;"")</f>
        <v/>
      </c>
      <c r="O1414">
        <f>IF($P1414="","",INDEX(상세표[월 넘김 포함],$P1414)&amp;"")</f>
        <v/>
      </c>
      <c r="P1414" s="4">
        <f>IFERROR(MATCH(1409,상세표[연속순번],0),"")</f>
        <v/>
      </c>
    </row>
    <row r="1415">
      <c r="A1415">
        <f>IF($P1415="","",INDEX(상세표[사번],$P1415)&amp;"")</f>
        <v/>
      </c>
      <c r="B1415">
        <f>IF($P1415="","",INDEX(상세표[성명],$P1415)&amp;"")</f>
        <v/>
      </c>
      <c r="C1415">
        <f>IF($P1415="","",INDEX(상세표[부서],$P1415)&amp;"")</f>
        <v/>
      </c>
      <c r="D1415">
        <f>IF($P1415="","",INDEX(상세표[직위],$P1415)&amp;"")</f>
        <v/>
      </c>
      <c r="E1415">
        <f>IF($P1415="","",IF(ISNUMBER(INDEX(상세표[시작],$P1415)),TEXT(INDEX(상세표[시작],$P1415),"yyyy-mm-dd hh:mm"),INDEX(상세표[시작],$P1415)&amp;""))</f>
        <v/>
      </c>
      <c r="F1415">
        <f>IF($P1415="","",IF(ISNUMBER(INDEX(상세표[블록종료],$P1415)),TEXT(INDEX(상세표[블록종료],$P1415),"yyyy-mm-dd hh:mm"),INDEX(상세표[블록종료],$P1415)&amp;""))</f>
        <v/>
      </c>
      <c r="G1415">
        <f>IF($P1415="","",CHOOSE(WEEKDAY(INDEX(상세표[시작],$P1415)),"일","월","화","수","목","금","토"))</f>
        <v/>
      </c>
      <c r="H1415">
        <f>IF($P1415="","",INDEX(상세표[연속 시간],$P1415))</f>
        <v/>
      </c>
      <c r="I1415">
        <f>IF($P1415="","",INDEX(상세표[기록 수],$P1415))</f>
        <v/>
      </c>
      <c r="J1415">
        <f>IF($P1415="","",INDEX(상세표[블록 06~07시],$P1415))</f>
        <v/>
      </c>
      <c r="K1415">
        <f>IF($P1415="","",INDEX(상세표[블록 07~18시],$P1415))</f>
        <v/>
      </c>
      <c r="L1415">
        <f>IF($P1415="","",INDEX(상세표[블록 18~22시],$P1415))</f>
        <v/>
      </c>
      <c r="M1415">
        <f>IF($P1415="","",INDEX(상세표[블록 22~06시],$P1415))</f>
        <v/>
      </c>
      <c r="N1415">
        <f>IF($P1415="","",INDEX(상세표[주말·휴일 포함],$P1415)&amp;"")</f>
        <v/>
      </c>
      <c r="O1415">
        <f>IF($P1415="","",INDEX(상세표[월 넘김 포함],$P1415)&amp;"")</f>
        <v/>
      </c>
      <c r="P1415" s="4">
        <f>IFERROR(MATCH(1410,상세표[연속순번],0),"")</f>
        <v/>
      </c>
    </row>
    <row r="1416">
      <c r="A1416">
        <f>IF($P1416="","",INDEX(상세표[사번],$P1416)&amp;"")</f>
        <v/>
      </c>
      <c r="B1416">
        <f>IF($P1416="","",INDEX(상세표[성명],$P1416)&amp;"")</f>
        <v/>
      </c>
      <c r="C1416">
        <f>IF($P1416="","",INDEX(상세표[부서],$P1416)&amp;"")</f>
        <v/>
      </c>
      <c r="D1416">
        <f>IF($P1416="","",INDEX(상세표[직위],$P1416)&amp;"")</f>
        <v/>
      </c>
      <c r="E1416">
        <f>IF($P1416="","",IF(ISNUMBER(INDEX(상세표[시작],$P1416)),TEXT(INDEX(상세표[시작],$P1416),"yyyy-mm-dd hh:mm"),INDEX(상세표[시작],$P1416)&amp;""))</f>
        <v/>
      </c>
      <c r="F1416">
        <f>IF($P1416="","",IF(ISNUMBER(INDEX(상세표[블록종료],$P1416)),TEXT(INDEX(상세표[블록종료],$P1416),"yyyy-mm-dd hh:mm"),INDEX(상세표[블록종료],$P1416)&amp;""))</f>
        <v/>
      </c>
      <c r="G1416">
        <f>IF($P1416="","",CHOOSE(WEEKDAY(INDEX(상세표[시작],$P1416)),"일","월","화","수","목","금","토"))</f>
        <v/>
      </c>
      <c r="H1416">
        <f>IF($P1416="","",INDEX(상세표[연속 시간],$P1416))</f>
        <v/>
      </c>
      <c r="I1416">
        <f>IF($P1416="","",INDEX(상세표[기록 수],$P1416))</f>
        <v/>
      </c>
      <c r="J1416">
        <f>IF($P1416="","",INDEX(상세표[블록 06~07시],$P1416))</f>
        <v/>
      </c>
      <c r="K1416">
        <f>IF($P1416="","",INDEX(상세표[블록 07~18시],$P1416))</f>
        <v/>
      </c>
      <c r="L1416">
        <f>IF($P1416="","",INDEX(상세표[블록 18~22시],$P1416))</f>
        <v/>
      </c>
      <c r="M1416">
        <f>IF($P1416="","",INDEX(상세표[블록 22~06시],$P1416))</f>
        <v/>
      </c>
      <c r="N1416">
        <f>IF($P1416="","",INDEX(상세표[주말·휴일 포함],$P1416)&amp;"")</f>
        <v/>
      </c>
      <c r="O1416">
        <f>IF($P1416="","",INDEX(상세표[월 넘김 포함],$P1416)&amp;"")</f>
        <v/>
      </c>
      <c r="P1416" s="4">
        <f>IFERROR(MATCH(1411,상세표[연속순번],0),"")</f>
        <v/>
      </c>
    </row>
    <row r="1417">
      <c r="A1417">
        <f>IF($P1417="","",INDEX(상세표[사번],$P1417)&amp;"")</f>
        <v/>
      </c>
      <c r="B1417">
        <f>IF($P1417="","",INDEX(상세표[성명],$P1417)&amp;"")</f>
        <v/>
      </c>
      <c r="C1417">
        <f>IF($P1417="","",INDEX(상세표[부서],$P1417)&amp;"")</f>
        <v/>
      </c>
      <c r="D1417">
        <f>IF($P1417="","",INDEX(상세표[직위],$P1417)&amp;"")</f>
        <v/>
      </c>
      <c r="E1417">
        <f>IF($P1417="","",IF(ISNUMBER(INDEX(상세표[시작],$P1417)),TEXT(INDEX(상세표[시작],$P1417),"yyyy-mm-dd hh:mm"),INDEX(상세표[시작],$P1417)&amp;""))</f>
        <v/>
      </c>
      <c r="F1417">
        <f>IF($P1417="","",IF(ISNUMBER(INDEX(상세표[블록종료],$P1417)),TEXT(INDEX(상세표[블록종료],$P1417),"yyyy-mm-dd hh:mm"),INDEX(상세표[블록종료],$P1417)&amp;""))</f>
        <v/>
      </c>
      <c r="G1417">
        <f>IF($P1417="","",CHOOSE(WEEKDAY(INDEX(상세표[시작],$P1417)),"일","월","화","수","목","금","토"))</f>
        <v/>
      </c>
      <c r="H1417">
        <f>IF($P1417="","",INDEX(상세표[연속 시간],$P1417))</f>
        <v/>
      </c>
      <c r="I1417">
        <f>IF($P1417="","",INDEX(상세표[기록 수],$P1417))</f>
        <v/>
      </c>
      <c r="J1417">
        <f>IF($P1417="","",INDEX(상세표[블록 06~07시],$P1417))</f>
        <v/>
      </c>
      <c r="K1417">
        <f>IF($P1417="","",INDEX(상세표[블록 07~18시],$P1417))</f>
        <v/>
      </c>
      <c r="L1417">
        <f>IF($P1417="","",INDEX(상세표[블록 18~22시],$P1417))</f>
        <v/>
      </c>
      <c r="M1417">
        <f>IF($P1417="","",INDEX(상세표[블록 22~06시],$P1417))</f>
        <v/>
      </c>
      <c r="N1417">
        <f>IF($P1417="","",INDEX(상세표[주말·휴일 포함],$P1417)&amp;"")</f>
        <v/>
      </c>
      <c r="O1417">
        <f>IF($P1417="","",INDEX(상세표[월 넘김 포함],$P1417)&amp;"")</f>
        <v/>
      </c>
      <c r="P1417" s="4">
        <f>IFERROR(MATCH(1412,상세표[연속순번],0),"")</f>
        <v/>
      </c>
    </row>
    <row r="1418">
      <c r="A1418">
        <f>IF($P1418="","",INDEX(상세표[사번],$P1418)&amp;"")</f>
        <v/>
      </c>
      <c r="B1418">
        <f>IF($P1418="","",INDEX(상세표[성명],$P1418)&amp;"")</f>
        <v/>
      </c>
      <c r="C1418">
        <f>IF($P1418="","",INDEX(상세표[부서],$P1418)&amp;"")</f>
        <v/>
      </c>
      <c r="D1418">
        <f>IF($P1418="","",INDEX(상세표[직위],$P1418)&amp;"")</f>
        <v/>
      </c>
      <c r="E1418">
        <f>IF($P1418="","",IF(ISNUMBER(INDEX(상세표[시작],$P1418)),TEXT(INDEX(상세표[시작],$P1418),"yyyy-mm-dd hh:mm"),INDEX(상세표[시작],$P1418)&amp;""))</f>
        <v/>
      </c>
      <c r="F1418">
        <f>IF($P1418="","",IF(ISNUMBER(INDEX(상세표[블록종료],$P1418)),TEXT(INDEX(상세표[블록종료],$P1418),"yyyy-mm-dd hh:mm"),INDEX(상세표[블록종료],$P1418)&amp;""))</f>
        <v/>
      </c>
      <c r="G1418">
        <f>IF($P1418="","",CHOOSE(WEEKDAY(INDEX(상세표[시작],$P1418)),"일","월","화","수","목","금","토"))</f>
        <v/>
      </c>
      <c r="H1418">
        <f>IF($P1418="","",INDEX(상세표[연속 시간],$P1418))</f>
        <v/>
      </c>
      <c r="I1418">
        <f>IF($P1418="","",INDEX(상세표[기록 수],$P1418))</f>
        <v/>
      </c>
      <c r="J1418">
        <f>IF($P1418="","",INDEX(상세표[블록 06~07시],$P1418))</f>
        <v/>
      </c>
      <c r="K1418">
        <f>IF($P1418="","",INDEX(상세표[블록 07~18시],$P1418))</f>
        <v/>
      </c>
      <c r="L1418">
        <f>IF($P1418="","",INDEX(상세표[블록 18~22시],$P1418))</f>
        <v/>
      </c>
      <c r="M1418">
        <f>IF($P1418="","",INDEX(상세표[블록 22~06시],$P1418))</f>
        <v/>
      </c>
      <c r="N1418">
        <f>IF($P1418="","",INDEX(상세표[주말·휴일 포함],$P1418)&amp;"")</f>
        <v/>
      </c>
      <c r="O1418">
        <f>IF($P1418="","",INDEX(상세표[월 넘김 포함],$P1418)&amp;"")</f>
        <v/>
      </c>
      <c r="P1418" s="4">
        <f>IFERROR(MATCH(1413,상세표[연속순번],0),"")</f>
        <v/>
      </c>
    </row>
    <row r="1419">
      <c r="A1419">
        <f>IF($P1419="","",INDEX(상세표[사번],$P1419)&amp;"")</f>
        <v/>
      </c>
      <c r="B1419">
        <f>IF($P1419="","",INDEX(상세표[성명],$P1419)&amp;"")</f>
        <v/>
      </c>
      <c r="C1419">
        <f>IF($P1419="","",INDEX(상세표[부서],$P1419)&amp;"")</f>
        <v/>
      </c>
      <c r="D1419">
        <f>IF($P1419="","",INDEX(상세표[직위],$P1419)&amp;"")</f>
        <v/>
      </c>
      <c r="E1419">
        <f>IF($P1419="","",IF(ISNUMBER(INDEX(상세표[시작],$P1419)),TEXT(INDEX(상세표[시작],$P1419),"yyyy-mm-dd hh:mm"),INDEX(상세표[시작],$P1419)&amp;""))</f>
        <v/>
      </c>
      <c r="F1419">
        <f>IF($P1419="","",IF(ISNUMBER(INDEX(상세표[블록종료],$P1419)),TEXT(INDEX(상세표[블록종료],$P1419),"yyyy-mm-dd hh:mm"),INDEX(상세표[블록종료],$P1419)&amp;""))</f>
        <v/>
      </c>
      <c r="G1419">
        <f>IF($P1419="","",CHOOSE(WEEKDAY(INDEX(상세표[시작],$P1419)),"일","월","화","수","목","금","토"))</f>
        <v/>
      </c>
      <c r="H1419">
        <f>IF($P1419="","",INDEX(상세표[연속 시간],$P1419))</f>
        <v/>
      </c>
      <c r="I1419">
        <f>IF($P1419="","",INDEX(상세표[기록 수],$P1419))</f>
        <v/>
      </c>
      <c r="J1419">
        <f>IF($P1419="","",INDEX(상세표[블록 06~07시],$P1419))</f>
        <v/>
      </c>
      <c r="K1419">
        <f>IF($P1419="","",INDEX(상세표[블록 07~18시],$P1419))</f>
        <v/>
      </c>
      <c r="L1419">
        <f>IF($P1419="","",INDEX(상세표[블록 18~22시],$P1419))</f>
        <v/>
      </c>
      <c r="M1419">
        <f>IF($P1419="","",INDEX(상세표[블록 22~06시],$P1419))</f>
        <v/>
      </c>
      <c r="N1419">
        <f>IF($P1419="","",INDEX(상세표[주말·휴일 포함],$P1419)&amp;"")</f>
        <v/>
      </c>
      <c r="O1419">
        <f>IF($P1419="","",INDEX(상세표[월 넘김 포함],$P1419)&amp;"")</f>
        <v/>
      </c>
      <c r="P1419" s="4">
        <f>IFERROR(MATCH(1414,상세표[연속순번],0),"")</f>
        <v/>
      </c>
    </row>
    <row r="1420">
      <c r="A1420">
        <f>IF($P1420="","",INDEX(상세표[사번],$P1420)&amp;"")</f>
        <v/>
      </c>
      <c r="B1420">
        <f>IF($P1420="","",INDEX(상세표[성명],$P1420)&amp;"")</f>
        <v/>
      </c>
      <c r="C1420">
        <f>IF($P1420="","",INDEX(상세표[부서],$P1420)&amp;"")</f>
        <v/>
      </c>
      <c r="D1420">
        <f>IF($P1420="","",INDEX(상세표[직위],$P1420)&amp;"")</f>
        <v/>
      </c>
      <c r="E1420">
        <f>IF($P1420="","",IF(ISNUMBER(INDEX(상세표[시작],$P1420)),TEXT(INDEX(상세표[시작],$P1420),"yyyy-mm-dd hh:mm"),INDEX(상세표[시작],$P1420)&amp;""))</f>
        <v/>
      </c>
      <c r="F1420">
        <f>IF($P1420="","",IF(ISNUMBER(INDEX(상세표[블록종료],$P1420)),TEXT(INDEX(상세표[블록종료],$P1420),"yyyy-mm-dd hh:mm"),INDEX(상세표[블록종료],$P1420)&amp;""))</f>
        <v/>
      </c>
      <c r="G1420">
        <f>IF($P1420="","",CHOOSE(WEEKDAY(INDEX(상세표[시작],$P1420)),"일","월","화","수","목","금","토"))</f>
        <v/>
      </c>
      <c r="H1420">
        <f>IF($P1420="","",INDEX(상세표[연속 시간],$P1420))</f>
        <v/>
      </c>
      <c r="I1420">
        <f>IF($P1420="","",INDEX(상세표[기록 수],$P1420))</f>
        <v/>
      </c>
      <c r="J1420">
        <f>IF($P1420="","",INDEX(상세표[블록 06~07시],$P1420))</f>
        <v/>
      </c>
      <c r="K1420">
        <f>IF($P1420="","",INDEX(상세표[블록 07~18시],$P1420))</f>
        <v/>
      </c>
      <c r="L1420">
        <f>IF($P1420="","",INDEX(상세표[블록 18~22시],$P1420))</f>
        <v/>
      </c>
      <c r="M1420">
        <f>IF($P1420="","",INDEX(상세표[블록 22~06시],$P1420))</f>
        <v/>
      </c>
      <c r="N1420">
        <f>IF($P1420="","",INDEX(상세표[주말·휴일 포함],$P1420)&amp;"")</f>
        <v/>
      </c>
      <c r="O1420">
        <f>IF($P1420="","",INDEX(상세표[월 넘김 포함],$P1420)&amp;"")</f>
        <v/>
      </c>
      <c r="P1420" s="4">
        <f>IFERROR(MATCH(1415,상세표[연속순번],0),"")</f>
        <v/>
      </c>
    </row>
    <row r="1421">
      <c r="A1421">
        <f>IF($P1421="","",INDEX(상세표[사번],$P1421)&amp;"")</f>
        <v/>
      </c>
      <c r="B1421">
        <f>IF($P1421="","",INDEX(상세표[성명],$P1421)&amp;"")</f>
        <v/>
      </c>
      <c r="C1421">
        <f>IF($P1421="","",INDEX(상세표[부서],$P1421)&amp;"")</f>
        <v/>
      </c>
      <c r="D1421">
        <f>IF($P1421="","",INDEX(상세표[직위],$P1421)&amp;"")</f>
        <v/>
      </c>
      <c r="E1421">
        <f>IF($P1421="","",IF(ISNUMBER(INDEX(상세표[시작],$P1421)),TEXT(INDEX(상세표[시작],$P1421),"yyyy-mm-dd hh:mm"),INDEX(상세표[시작],$P1421)&amp;""))</f>
        <v/>
      </c>
      <c r="F1421">
        <f>IF($P1421="","",IF(ISNUMBER(INDEX(상세표[블록종료],$P1421)),TEXT(INDEX(상세표[블록종료],$P1421),"yyyy-mm-dd hh:mm"),INDEX(상세표[블록종료],$P1421)&amp;""))</f>
        <v/>
      </c>
      <c r="G1421">
        <f>IF($P1421="","",CHOOSE(WEEKDAY(INDEX(상세표[시작],$P1421)),"일","월","화","수","목","금","토"))</f>
        <v/>
      </c>
      <c r="H1421">
        <f>IF($P1421="","",INDEX(상세표[연속 시간],$P1421))</f>
        <v/>
      </c>
      <c r="I1421">
        <f>IF($P1421="","",INDEX(상세표[기록 수],$P1421))</f>
        <v/>
      </c>
      <c r="J1421">
        <f>IF($P1421="","",INDEX(상세표[블록 06~07시],$P1421))</f>
        <v/>
      </c>
      <c r="K1421">
        <f>IF($P1421="","",INDEX(상세표[블록 07~18시],$P1421))</f>
        <v/>
      </c>
      <c r="L1421">
        <f>IF($P1421="","",INDEX(상세표[블록 18~22시],$P1421))</f>
        <v/>
      </c>
      <c r="M1421">
        <f>IF($P1421="","",INDEX(상세표[블록 22~06시],$P1421))</f>
        <v/>
      </c>
      <c r="N1421">
        <f>IF($P1421="","",INDEX(상세표[주말·휴일 포함],$P1421)&amp;"")</f>
        <v/>
      </c>
      <c r="O1421">
        <f>IF($P1421="","",INDEX(상세표[월 넘김 포함],$P1421)&amp;"")</f>
        <v/>
      </c>
      <c r="P1421" s="4">
        <f>IFERROR(MATCH(1416,상세표[연속순번],0),"")</f>
        <v/>
      </c>
    </row>
    <row r="1422">
      <c r="A1422">
        <f>IF($P1422="","",INDEX(상세표[사번],$P1422)&amp;"")</f>
        <v/>
      </c>
      <c r="B1422">
        <f>IF($P1422="","",INDEX(상세표[성명],$P1422)&amp;"")</f>
        <v/>
      </c>
      <c r="C1422">
        <f>IF($P1422="","",INDEX(상세표[부서],$P1422)&amp;"")</f>
        <v/>
      </c>
      <c r="D1422">
        <f>IF($P1422="","",INDEX(상세표[직위],$P1422)&amp;"")</f>
        <v/>
      </c>
      <c r="E1422">
        <f>IF($P1422="","",IF(ISNUMBER(INDEX(상세표[시작],$P1422)),TEXT(INDEX(상세표[시작],$P1422),"yyyy-mm-dd hh:mm"),INDEX(상세표[시작],$P1422)&amp;""))</f>
        <v/>
      </c>
      <c r="F1422">
        <f>IF($P1422="","",IF(ISNUMBER(INDEX(상세표[블록종료],$P1422)),TEXT(INDEX(상세표[블록종료],$P1422),"yyyy-mm-dd hh:mm"),INDEX(상세표[블록종료],$P1422)&amp;""))</f>
        <v/>
      </c>
      <c r="G1422">
        <f>IF($P1422="","",CHOOSE(WEEKDAY(INDEX(상세표[시작],$P1422)),"일","월","화","수","목","금","토"))</f>
        <v/>
      </c>
      <c r="H1422">
        <f>IF($P1422="","",INDEX(상세표[연속 시간],$P1422))</f>
        <v/>
      </c>
      <c r="I1422">
        <f>IF($P1422="","",INDEX(상세표[기록 수],$P1422))</f>
        <v/>
      </c>
      <c r="J1422">
        <f>IF($P1422="","",INDEX(상세표[블록 06~07시],$P1422))</f>
        <v/>
      </c>
      <c r="K1422">
        <f>IF($P1422="","",INDEX(상세표[블록 07~18시],$P1422))</f>
        <v/>
      </c>
      <c r="L1422">
        <f>IF($P1422="","",INDEX(상세표[블록 18~22시],$P1422))</f>
        <v/>
      </c>
      <c r="M1422">
        <f>IF($P1422="","",INDEX(상세표[블록 22~06시],$P1422))</f>
        <v/>
      </c>
      <c r="N1422">
        <f>IF($P1422="","",INDEX(상세표[주말·휴일 포함],$P1422)&amp;"")</f>
        <v/>
      </c>
      <c r="O1422">
        <f>IF($P1422="","",INDEX(상세표[월 넘김 포함],$P1422)&amp;"")</f>
        <v/>
      </c>
      <c r="P1422" s="4">
        <f>IFERROR(MATCH(1417,상세표[연속순번],0),"")</f>
        <v/>
      </c>
    </row>
    <row r="1423">
      <c r="A1423">
        <f>IF($P1423="","",INDEX(상세표[사번],$P1423)&amp;"")</f>
        <v/>
      </c>
      <c r="B1423">
        <f>IF($P1423="","",INDEX(상세표[성명],$P1423)&amp;"")</f>
        <v/>
      </c>
      <c r="C1423">
        <f>IF($P1423="","",INDEX(상세표[부서],$P1423)&amp;"")</f>
        <v/>
      </c>
      <c r="D1423">
        <f>IF($P1423="","",INDEX(상세표[직위],$P1423)&amp;"")</f>
        <v/>
      </c>
      <c r="E1423">
        <f>IF($P1423="","",IF(ISNUMBER(INDEX(상세표[시작],$P1423)),TEXT(INDEX(상세표[시작],$P1423),"yyyy-mm-dd hh:mm"),INDEX(상세표[시작],$P1423)&amp;""))</f>
        <v/>
      </c>
      <c r="F1423">
        <f>IF($P1423="","",IF(ISNUMBER(INDEX(상세표[블록종료],$P1423)),TEXT(INDEX(상세표[블록종료],$P1423),"yyyy-mm-dd hh:mm"),INDEX(상세표[블록종료],$P1423)&amp;""))</f>
        <v/>
      </c>
      <c r="G1423">
        <f>IF($P1423="","",CHOOSE(WEEKDAY(INDEX(상세표[시작],$P1423)),"일","월","화","수","목","금","토"))</f>
        <v/>
      </c>
      <c r="H1423">
        <f>IF($P1423="","",INDEX(상세표[연속 시간],$P1423))</f>
        <v/>
      </c>
      <c r="I1423">
        <f>IF($P1423="","",INDEX(상세표[기록 수],$P1423))</f>
        <v/>
      </c>
      <c r="J1423">
        <f>IF($P1423="","",INDEX(상세표[블록 06~07시],$P1423))</f>
        <v/>
      </c>
      <c r="K1423">
        <f>IF($P1423="","",INDEX(상세표[블록 07~18시],$P1423))</f>
        <v/>
      </c>
      <c r="L1423">
        <f>IF($P1423="","",INDEX(상세표[블록 18~22시],$P1423))</f>
        <v/>
      </c>
      <c r="M1423">
        <f>IF($P1423="","",INDEX(상세표[블록 22~06시],$P1423))</f>
        <v/>
      </c>
      <c r="N1423">
        <f>IF($P1423="","",INDEX(상세표[주말·휴일 포함],$P1423)&amp;"")</f>
        <v/>
      </c>
      <c r="O1423">
        <f>IF($P1423="","",INDEX(상세표[월 넘김 포함],$P1423)&amp;"")</f>
        <v/>
      </c>
      <c r="P1423" s="4">
        <f>IFERROR(MATCH(1418,상세표[연속순번],0),"")</f>
        <v/>
      </c>
    </row>
    <row r="1424">
      <c r="A1424">
        <f>IF($P1424="","",INDEX(상세표[사번],$P1424)&amp;"")</f>
        <v/>
      </c>
      <c r="B1424">
        <f>IF($P1424="","",INDEX(상세표[성명],$P1424)&amp;"")</f>
        <v/>
      </c>
      <c r="C1424">
        <f>IF($P1424="","",INDEX(상세표[부서],$P1424)&amp;"")</f>
        <v/>
      </c>
      <c r="D1424">
        <f>IF($P1424="","",INDEX(상세표[직위],$P1424)&amp;"")</f>
        <v/>
      </c>
      <c r="E1424">
        <f>IF($P1424="","",IF(ISNUMBER(INDEX(상세표[시작],$P1424)),TEXT(INDEX(상세표[시작],$P1424),"yyyy-mm-dd hh:mm"),INDEX(상세표[시작],$P1424)&amp;""))</f>
        <v/>
      </c>
      <c r="F1424">
        <f>IF($P1424="","",IF(ISNUMBER(INDEX(상세표[블록종료],$P1424)),TEXT(INDEX(상세표[블록종료],$P1424),"yyyy-mm-dd hh:mm"),INDEX(상세표[블록종료],$P1424)&amp;""))</f>
        <v/>
      </c>
      <c r="G1424">
        <f>IF($P1424="","",CHOOSE(WEEKDAY(INDEX(상세표[시작],$P1424)),"일","월","화","수","목","금","토"))</f>
        <v/>
      </c>
      <c r="H1424">
        <f>IF($P1424="","",INDEX(상세표[연속 시간],$P1424))</f>
        <v/>
      </c>
      <c r="I1424">
        <f>IF($P1424="","",INDEX(상세표[기록 수],$P1424))</f>
        <v/>
      </c>
      <c r="J1424">
        <f>IF($P1424="","",INDEX(상세표[블록 06~07시],$P1424))</f>
        <v/>
      </c>
      <c r="K1424">
        <f>IF($P1424="","",INDEX(상세표[블록 07~18시],$P1424))</f>
        <v/>
      </c>
      <c r="L1424">
        <f>IF($P1424="","",INDEX(상세표[블록 18~22시],$P1424))</f>
        <v/>
      </c>
      <c r="M1424">
        <f>IF($P1424="","",INDEX(상세표[블록 22~06시],$P1424))</f>
        <v/>
      </c>
      <c r="N1424">
        <f>IF($P1424="","",INDEX(상세표[주말·휴일 포함],$P1424)&amp;"")</f>
        <v/>
      </c>
      <c r="O1424">
        <f>IF($P1424="","",INDEX(상세표[월 넘김 포함],$P1424)&amp;"")</f>
        <v/>
      </c>
      <c r="P1424" s="4">
        <f>IFERROR(MATCH(1419,상세표[연속순번],0),"")</f>
        <v/>
      </c>
    </row>
    <row r="1425">
      <c r="A1425">
        <f>IF($P1425="","",INDEX(상세표[사번],$P1425)&amp;"")</f>
        <v/>
      </c>
      <c r="B1425">
        <f>IF($P1425="","",INDEX(상세표[성명],$P1425)&amp;"")</f>
        <v/>
      </c>
      <c r="C1425">
        <f>IF($P1425="","",INDEX(상세표[부서],$P1425)&amp;"")</f>
        <v/>
      </c>
      <c r="D1425">
        <f>IF($P1425="","",INDEX(상세표[직위],$P1425)&amp;"")</f>
        <v/>
      </c>
      <c r="E1425">
        <f>IF($P1425="","",IF(ISNUMBER(INDEX(상세표[시작],$P1425)),TEXT(INDEX(상세표[시작],$P1425),"yyyy-mm-dd hh:mm"),INDEX(상세표[시작],$P1425)&amp;""))</f>
        <v/>
      </c>
      <c r="F1425">
        <f>IF($P1425="","",IF(ISNUMBER(INDEX(상세표[블록종료],$P1425)),TEXT(INDEX(상세표[블록종료],$P1425),"yyyy-mm-dd hh:mm"),INDEX(상세표[블록종료],$P1425)&amp;""))</f>
        <v/>
      </c>
      <c r="G1425">
        <f>IF($P1425="","",CHOOSE(WEEKDAY(INDEX(상세표[시작],$P1425)),"일","월","화","수","목","금","토"))</f>
        <v/>
      </c>
      <c r="H1425">
        <f>IF($P1425="","",INDEX(상세표[연속 시간],$P1425))</f>
        <v/>
      </c>
      <c r="I1425">
        <f>IF($P1425="","",INDEX(상세표[기록 수],$P1425))</f>
        <v/>
      </c>
      <c r="J1425">
        <f>IF($P1425="","",INDEX(상세표[블록 06~07시],$P1425))</f>
        <v/>
      </c>
      <c r="K1425">
        <f>IF($P1425="","",INDEX(상세표[블록 07~18시],$P1425))</f>
        <v/>
      </c>
      <c r="L1425">
        <f>IF($P1425="","",INDEX(상세표[블록 18~22시],$P1425))</f>
        <v/>
      </c>
      <c r="M1425">
        <f>IF($P1425="","",INDEX(상세표[블록 22~06시],$P1425))</f>
        <v/>
      </c>
      <c r="N1425">
        <f>IF($P1425="","",INDEX(상세표[주말·휴일 포함],$P1425)&amp;"")</f>
        <v/>
      </c>
      <c r="O1425">
        <f>IF($P1425="","",INDEX(상세표[월 넘김 포함],$P1425)&amp;"")</f>
        <v/>
      </c>
      <c r="P1425" s="4">
        <f>IFERROR(MATCH(1420,상세표[연속순번],0),"")</f>
        <v/>
      </c>
    </row>
    <row r="1426">
      <c r="A1426">
        <f>IF($P1426="","",INDEX(상세표[사번],$P1426)&amp;"")</f>
        <v/>
      </c>
      <c r="B1426">
        <f>IF($P1426="","",INDEX(상세표[성명],$P1426)&amp;"")</f>
        <v/>
      </c>
      <c r="C1426">
        <f>IF($P1426="","",INDEX(상세표[부서],$P1426)&amp;"")</f>
        <v/>
      </c>
      <c r="D1426">
        <f>IF($P1426="","",INDEX(상세표[직위],$P1426)&amp;"")</f>
        <v/>
      </c>
      <c r="E1426">
        <f>IF($P1426="","",IF(ISNUMBER(INDEX(상세표[시작],$P1426)),TEXT(INDEX(상세표[시작],$P1426),"yyyy-mm-dd hh:mm"),INDEX(상세표[시작],$P1426)&amp;""))</f>
        <v/>
      </c>
      <c r="F1426">
        <f>IF($P1426="","",IF(ISNUMBER(INDEX(상세표[블록종료],$P1426)),TEXT(INDEX(상세표[블록종료],$P1426),"yyyy-mm-dd hh:mm"),INDEX(상세표[블록종료],$P1426)&amp;""))</f>
        <v/>
      </c>
      <c r="G1426">
        <f>IF($P1426="","",CHOOSE(WEEKDAY(INDEX(상세표[시작],$P1426)),"일","월","화","수","목","금","토"))</f>
        <v/>
      </c>
      <c r="H1426">
        <f>IF($P1426="","",INDEX(상세표[연속 시간],$P1426))</f>
        <v/>
      </c>
      <c r="I1426">
        <f>IF($P1426="","",INDEX(상세표[기록 수],$P1426))</f>
        <v/>
      </c>
      <c r="J1426">
        <f>IF($P1426="","",INDEX(상세표[블록 06~07시],$P1426))</f>
        <v/>
      </c>
      <c r="K1426">
        <f>IF($P1426="","",INDEX(상세표[블록 07~18시],$P1426))</f>
        <v/>
      </c>
      <c r="L1426">
        <f>IF($P1426="","",INDEX(상세표[블록 18~22시],$P1426))</f>
        <v/>
      </c>
      <c r="M1426">
        <f>IF($P1426="","",INDEX(상세표[블록 22~06시],$P1426))</f>
        <v/>
      </c>
      <c r="N1426">
        <f>IF($P1426="","",INDEX(상세표[주말·휴일 포함],$P1426)&amp;"")</f>
        <v/>
      </c>
      <c r="O1426">
        <f>IF($P1426="","",INDEX(상세표[월 넘김 포함],$P1426)&amp;"")</f>
        <v/>
      </c>
      <c r="P1426" s="4">
        <f>IFERROR(MATCH(1421,상세표[연속순번],0),"")</f>
        <v/>
      </c>
    </row>
    <row r="1427">
      <c r="A1427">
        <f>IF($P1427="","",INDEX(상세표[사번],$P1427)&amp;"")</f>
        <v/>
      </c>
      <c r="B1427">
        <f>IF($P1427="","",INDEX(상세표[성명],$P1427)&amp;"")</f>
        <v/>
      </c>
      <c r="C1427">
        <f>IF($P1427="","",INDEX(상세표[부서],$P1427)&amp;"")</f>
        <v/>
      </c>
      <c r="D1427">
        <f>IF($P1427="","",INDEX(상세표[직위],$P1427)&amp;"")</f>
        <v/>
      </c>
      <c r="E1427">
        <f>IF($P1427="","",IF(ISNUMBER(INDEX(상세표[시작],$P1427)),TEXT(INDEX(상세표[시작],$P1427),"yyyy-mm-dd hh:mm"),INDEX(상세표[시작],$P1427)&amp;""))</f>
        <v/>
      </c>
      <c r="F1427">
        <f>IF($P1427="","",IF(ISNUMBER(INDEX(상세표[블록종료],$P1427)),TEXT(INDEX(상세표[블록종료],$P1427),"yyyy-mm-dd hh:mm"),INDEX(상세표[블록종료],$P1427)&amp;""))</f>
        <v/>
      </c>
      <c r="G1427">
        <f>IF($P1427="","",CHOOSE(WEEKDAY(INDEX(상세표[시작],$P1427)),"일","월","화","수","목","금","토"))</f>
        <v/>
      </c>
      <c r="H1427">
        <f>IF($P1427="","",INDEX(상세표[연속 시간],$P1427))</f>
        <v/>
      </c>
      <c r="I1427">
        <f>IF($P1427="","",INDEX(상세표[기록 수],$P1427))</f>
        <v/>
      </c>
      <c r="J1427">
        <f>IF($P1427="","",INDEX(상세표[블록 06~07시],$P1427))</f>
        <v/>
      </c>
      <c r="K1427">
        <f>IF($P1427="","",INDEX(상세표[블록 07~18시],$P1427))</f>
        <v/>
      </c>
      <c r="L1427">
        <f>IF($P1427="","",INDEX(상세표[블록 18~22시],$P1427))</f>
        <v/>
      </c>
      <c r="M1427">
        <f>IF($P1427="","",INDEX(상세표[블록 22~06시],$P1427))</f>
        <v/>
      </c>
      <c r="N1427">
        <f>IF($P1427="","",INDEX(상세표[주말·휴일 포함],$P1427)&amp;"")</f>
        <v/>
      </c>
      <c r="O1427">
        <f>IF($P1427="","",INDEX(상세표[월 넘김 포함],$P1427)&amp;"")</f>
        <v/>
      </c>
      <c r="P1427" s="4">
        <f>IFERROR(MATCH(1422,상세표[연속순번],0),"")</f>
        <v/>
      </c>
    </row>
    <row r="1428">
      <c r="A1428">
        <f>IF($P1428="","",INDEX(상세표[사번],$P1428)&amp;"")</f>
        <v/>
      </c>
      <c r="B1428">
        <f>IF($P1428="","",INDEX(상세표[성명],$P1428)&amp;"")</f>
        <v/>
      </c>
      <c r="C1428">
        <f>IF($P1428="","",INDEX(상세표[부서],$P1428)&amp;"")</f>
        <v/>
      </c>
      <c r="D1428">
        <f>IF($P1428="","",INDEX(상세표[직위],$P1428)&amp;"")</f>
        <v/>
      </c>
      <c r="E1428">
        <f>IF($P1428="","",IF(ISNUMBER(INDEX(상세표[시작],$P1428)),TEXT(INDEX(상세표[시작],$P1428),"yyyy-mm-dd hh:mm"),INDEX(상세표[시작],$P1428)&amp;""))</f>
        <v/>
      </c>
      <c r="F1428">
        <f>IF($P1428="","",IF(ISNUMBER(INDEX(상세표[블록종료],$P1428)),TEXT(INDEX(상세표[블록종료],$P1428),"yyyy-mm-dd hh:mm"),INDEX(상세표[블록종료],$P1428)&amp;""))</f>
        <v/>
      </c>
      <c r="G1428">
        <f>IF($P1428="","",CHOOSE(WEEKDAY(INDEX(상세표[시작],$P1428)),"일","월","화","수","목","금","토"))</f>
        <v/>
      </c>
      <c r="H1428">
        <f>IF($P1428="","",INDEX(상세표[연속 시간],$P1428))</f>
        <v/>
      </c>
      <c r="I1428">
        <f>IF($P1428="","",INDEX(상세표[기록 수],$P1428))</f>
        <v/>
      </c>
      <c r="J1428">
        <f>IF($P1428="","",INDEX(상세표[블록 06~07시],$P1428))</f>
        <v/>
      </c>
      <c r="K1428">
        <f>IF($P1428="","",INDEX(상세표[블록 07~18시],$P1428))</f>
        <v/>
      </c>
      <c r="L1428">
        <f>IF($P1428="","",INDEX(상세표[블록 18~22시],$P1428))</f>
        <v/>
      </c>
      <c r="M1428">
        <f>IF($P1428="","",INDEX(상세표[블록 22~06시],$P1428))</f>
        <v/>
      </c>
      <c r="N1428">
        <f>IF($P1428="","",INDEX(상세표[주말·휴일 포함],$P1428)&amp;"")</f>
        <v/>
      </c>
      <c r="O1428">
        <f>IF($P1428="","",INDEX(상세표[월 넘김 포함],$P1428)&amp;"")</f>
        <v/>
      </c>
      <c r="P1428" s="4">
        <f>IFERROR(MATCH(1423,상세표[연속순번],0),"")</f>
        <v/>
      </c>
    </row>
    <row r="1429">
      <c r="A1429">
        <f>IF($P1429="","",INDEX(상세표[사번],$P1429)&amp;"")</f>
        <v/>
      </c>
      <c r="B1429">
        <f>IF($P1429="","",INDEX(상세표[성명],$P1429)&amp;"")</f>
        <v/>
      </c>
      <c r="C1429">
        <f>IF($P1429="","",INDEX(상세표[부서],$P1429)&amp;"")</f>
        <v/>
      </c>
      <c r="D1429">
        <f>IF($P1429="","",INDEX(상세표[직위],$P1429)&amp;"")</f>
        <v/>
      </c>
      <c r="E1429">
        <f>IF($P1429="","",IF(ISNUMBER(INDEX(상세표[시작],$P1429)),TEXT(INDEX(상세표[시작],$P1429),"yyyy-mm-dd hh:mm"),INDEX(상세표[시작],$P1429)&amp;""))</f>
        <v/>
      </c>
      <c r="F1429">
        <f>IF($P1429="","",IF(ISNUMBER(INDEX(상세표[블록종료],$P1429)),TEXT(INDEX(상세표[블록종료],$P1429),"yyyy-mm-dd hh:mm"),INDEX(상세표[블록종료],$P1429)&amp;""))</f>
        <v/>
      </c>
      <c r="G1429">
        <f>IF($P1429="","",CHOOSE(WEEKDAY(INDEX(상세표[시작],$P1429)),"일","월","화","수","목","금","토"))</f>
        <v/>
      </c>
      <c r="H1429">
        <f>IF($P1429="","",INDEX(상세표[연속 시간],$P1429))</f>
        <v/>
      </c>
      <c r="I1429">
        <f>IF($P1429="","",INDEX(상세표[기록 수],$P1429))</f>
        <v/>
      </c>
      <c r="J1429">
        <f>IF($P1429="","",INDEX(상세표[블록 06~07시],$P1429))</f>
        <v/>
      </c>
      <c r="K1429">
        <f>IF($P1429="","",INDEX(상세표[블록 07~18시],$P1429))</f>
        <v/>
      </c>
      <c r="L1429">
        <f>IF($P1429="","",INDEX(상세표[블록 18~22시],$P1429))</f>
        <v/>
      </c>
      <c r="M1429">
        <f>IF($P1429="","",INDEX(상세표[블록 22~06시],$P1429))</f>
        <v/>
      </c>
      <c r="N1429">
        <f>IF($P1429="","",INDEX(상세표[주말·휴일 포함],$P1429)&amp;"")</f>
        <v/>
      </c>
      <c r="O1429">
        <f>IF($P1429="","",INDEX(상세표[월 넘김 포함],$P1429)&amp;"")</f>
        <v/>
      </c>
      <c r="P1429" s="4">
        <f>IFERROR(MATCH(1424,상세표[연속순번],0),"")</f>
        <v/>
      </c>
    </row>
    <row r="1430">
      <c r="A1430">
        <f>IF($P1430="","",INDEX(상세표[사번],$P1430)&amp;"")</f>
        <v/>
      </c>
      <c r="B1430">
        <f>IF($P1430="","",INDEX(상세표[성명],$P1430)&amp;"")</f>
        <v/>
      </c>
      <c r="C1430">
        <f>IF($P1430="","",INDEX(상세표[부서],$P1430)&amp;"")</f>
        <v/>
      </c>
      <c r="D1430">
        <f>IF($P1430="","",INDEX(상세표[직위],$P1430)&amp;"")</f>
        <v/>
      </c>
      <c r="E1430">
        <f>IF($P1430="","",IF(ISNUMBER(INDEX(상세표[시작],$P1430)),TEXT(INDEX(상세표[시작],$P1430),"yyyy-mm-dd hh:mm"),INDEX(상세표[시작],$P1430)&amp;""))</f>
        <v/>
      </c>
      <c r="F1430">
        <f>IF($P1430="","",IF(ISNUMBER(INDEX(상세표[블록종료],$P1430)),TEXT(INDEX(상세표[블록종료],$P1430),"yyyy-mm-dd hh:mm"),INDEX(상세표[블록종료],$P1430)&amp;""))</f>
        <v/>
      </c>
      <c r="G1430">
        <f>IF($P1430="","",CHOOSE(WEEKDAY(INDEX(상세표[시작],$P1430)),"일","월","화","수","목","금","토"))</f>
        <v/>
      </c>
      <c r="H1430">
        <f>IF($P1430="","",INDEX(상세표[연속 시간],$P1430))</f>
        <v/>
      </c>
      <c r="I1430">
        <f>IF($P1430="","",INDEX(상세표[기록 수],$P1430))</f>
        <v/>
      </c>
      <c r="J1430">
        <f>IF($P1430="","",INDEX(상세표[블록 06~07시],$P1430))</f>
        <v/>
      </c>
      <c r="K1430">
        <f>IF($P1430="","",INDEX(상세표[블록 07~18시],$P1430))</f>
        <v/>
      </c>
      <c r="L1430">
        <f>IF($P1430="","",INDEX(상세표[블록 18~22시],$P1430))</f>
        <v/>
      </c>
      <c r="M1430">
        <f>IF($P1430="","",INDEX(상세표[블록 22~06시],$P1430))</f>
        <v/>
      </c>
      <c r="N1430">
        <f>IF($P1430="","",INDEX(상세표[주말·휴일 포함],$P1430)&amp;"")</f>
        <v/>
      </c>
      <c r="O1430">
        <f>IF($P1430="","",INDEX(상세표[월 넘김 포함],$P1430)&amp;"")</f>
        <v/>
      </c>
      <c r="P1430" s="4">
        <f>IFERROR(MATCH(1425,상세표[연속순번],0),"")</f>
        <v/>
      </c>
    </row>
    <row r="1431">
      <c r="A1431">
        <f>IF($P1431="","",INDEX(상세표[사번],$P1431)&amp;"")</f>
        <v/>
      </c>
      <c r="B1431">
        <f>IF($P1431="","",INDEX(상세표[성명],$P1431)&amp;"")</f>
        <v/>
      </c>
      <c r="C1431">
        <f>IF($P1431="","",INDEX(상세표[부서],$P1431)&amp;"")</f>
        <v/>
      </c>
      <c r="D1431">
        <f>IF($P1431="","",INDEX(상세표[직위],$P1431)&amp;"")</f>
        <v/>
      </c>
      <c r="E1431">
        <f>IF($P1431="","",IF(ISNUMBER(INDEX(상세표[시작],$P1431)),TEXT(INDEX(상세표[시작],$P1431),"yyyy-mm-dd hh:mm"),INDEX(상세표[시작],$P1431)&amp;""))</f>
        <v/>
      </c>
      <c r="F1431">
        <f>IF($P1431="","",IF(ISNUMBER(INDEX(상세표[블록종료],$P1431)),TEXT(INDEX(상세표[블록종료],$P1431),"yyyy-mm-dd hh:mm"),INDEX(상세표[블록종료],$P1431)&amp;""))</f>
        <v/>
      </c>
      <c r="G1431">
        <f>IF($P1431="","",CHOOSE(WEEKDAY(INDEX(상세표[시작],$P1431)),"일","월","화","수","목","금","토"))</f>
        <v/>
      </c>
      <c r="H1431">
        <f>IF($P1431="","",INDEX(상세표[연속 시간],$P1431))</f>
        <v/>
      </c>
      <c r="I1431">
        <f>IF($P1431="","",INDEX(상세표[기록 수],$P1431))</f>
        <v/>
      </c>
      <c r="J1431">
        <f>IF($P1431="","",INDEX(상세표[블록 06~07시],$P1431))</f>
        <v/>
      </c>
      <c r="K1431">
        <f>IF($P1431="","",INDEX(상세표[블록 07~18시],$P1431))</f>
        <v/>
      </c>
      <c r="L1431">
        <f>IF($P1431="","",INDEX(상세표[블록 18~22시],$P1431))</f>
        <v/>
      </c>
      <c r="M1431">
        <f>IF($P1431="","",INDEX(상세표[블록 22~06시],$P1431))</f>
        <v/>
      </c>
      <c r="N1431">
        <f>IF($P1431="","",INDEX(상세표[주말·휴일 포함],$P1431)&amp;"")</f>
        <v/>
      </c>
      <c r="O1431">
        <f>IF($P1431="","",INDEX(상세표[월 넘김 포함],$P1431)&amp;"")</f>
        <v/>
      </c>
      <c r="P1431" s="4">
        <f>IFERROR(MATCH(1426,상세표[연속순번],0),"")</f>
        <v/>
      </c>
    </row>
    <row r="1432">
      <c r="A1432">
        <f>IF($P1432="","",INDEX(상세표[사번],$P1432)&amp;"")</f>
        <v/>
      </c>
      <c r="B1432">
        <f>IF($P1432="","",INDEX(상세표[성명],$P1432)&amp;"")</f>
        <v/>
      </c>
      <c r="C1432">
        <f>IF($P1432="","",INDEX(상세표[부서],$P1432)&amp;"")</f>
        <v/>
      </c>
      <c r="D1432">
        <f>IF($P1432="","",INDEX(상세표[직위],$P1432)&amp;"")</f>
        <v/>
      </c>
      <c r="E1432">
        <f>IF($P1432="","",IF(ISNUMBER(INDEX(상세표[시작],$P1432)),TEXT(INDEX(상세표[시작],$P1432),"yyyy-mm-dd hh:mm"),INDEX(상세표[시작],$P1432)&amp;""))</f>
        <v/>
      </c>
      <c r="F1432">
        <f>IF($P1432="","",IF(ISNUMBER(INDEX(상세표[블록종료],$P1432)),TEXT(INDEX(상세표[블록종료],$P1432),"yyyy-mm-dd hh:mm"),INDEX(상세표[블록종료],$P1432)&amp;""))</f>
        <v/>
      </c>
      <c r="G1432">
        <f>IF($P1432="","",CHOOSE(WEEKDAY(INDEX(상세표[시작],$P1432)),"일","월","화","수","목","금","토"))</f>
        <v/>
      </c>
      <c r="H1432">
        <f>IF($P1432="","",INDEX(상세표[연속 시간],$P1432))</f>
        <v/>
      </c>
      <c r="I1432">
        <f>IF($P1432="","",INDEX(상세표[기록 수],$P1432))</f>
        <v/>
      </c>
      <c r="J1432">
        <f>IF($P1432="","",INDEX(상세표[블록 06~07시],$P1432))</f>
        <v/>
      </c>
      <c r="K1432">
        <f>IF($P1432="","",INDEX(상세표[블록 07~18시],$P1432))</f>
        <v/>
      </c>
      <c r="L1432">
        <f>IF($P1432="","",INDEX(상세표[블록 18~22시],$P1432))</f>
        <v/>
      </c>
      <c r="M1432">
        <f>IF($P1432="","",INDEX(상세표[블록 22~06시],$P1432))</f>
        <v/>
      </c>
      <c r="N1432">
        <f>IF($P1432="","",INDEX(상세표[주말·휴일 포함],$P1432)&amp;"")</f>
        <v/>
      </c>
      <c r="O1432">
        <f>IF($P1432="","",INDEX(상세표[월 넘김 포함],$P1432)&amp;"")</f>
        <v/>
      </c>
      <c r="P1432" s="4">
        <f>IFERROR(MATCH(1427,상세표[연속순번],0),"")</f>
        <v/>
      </c>
    </row>
    <row r="1433">
      <c r="A1433">
        <f>IF($P1433="","",INDEX(상세표[사번],$P1433)&amp;"")</f>
        <v/>
      </c>
      <c r="B1433">
        <f>IF($P1433="","",INDEX(상세표[성명],$P1433)&amp;"")</f>
        <v/>
      </c>
      <c r="C1433">
        <f>IF($P1433="","",INDEX(상세표[부서],$P1433)&amp;"")</f>
        <v/>
      </c>
      <c r="D1433">
        <f>IF($P1433="","",INDEX(상세표[직위],$P1433)&amp;"")</f>
        <v/>
      </c>
      <c r="E1433">
        <f>IF($P1433="","",IF(ISNUMBER(INDEX(상세표[시작],$P1433)),TEXT(INDEX(상세표[시작],$P1433),"yyyy-mm-dd hh:mm"),INDEX(상세표[시작],$P1433)&amp;""))</f>
        <v/>
      </c>
      <c r="F1433">
        <f>IF($P1433="","",IF(ISNUMBER(INDEX(상세표[블록종료],$P1433)),TEXT(INDEX(상세표[블록종료],$P1433),"yyyy-mm-dd hh:mm"),INDEX(상세표[블록종료],$P1433)&amp;""))</f>
        <v/>
      </c>
      <c r="G1433">
        <f>IF($P1433="","",CHOOSE(WEEKDAY(INDEX(상세표[시작],$P1433)),"일","월","화","수","목","금","토"))</f>
        <v/>
      </c>
      <c r="H1433">
        <f>IF($P1433="","",INDEX(상세표[연속 시간],$P1433))</f>
        <v/>
      </c>
      <c r="I1433">
        <f>IF($P1433="","",INDEX(상세표[기록 수],$P1433))</f>
        <v/>
      </c>
      <c r="J1433">
        <f>IF($P1433="","",INDEX(상세표[블록 06~07시],$P1433))</f>
        <v/>
      </c>
      <c r="K1433">
        <f>IF($P1433="","",INDEX(상세표[블록 07~18시],$P1433))</f>
        <v/>
      </c>
      <c r="L1433">
        <f>IF($P1433="","",INDEX(상세표[블록 18~22시],$P1433))</f>
        <v/>
      </c>
      <c r="M1433">
        <f>IF($P1433="","",INDEX(상세표[블록 22~06시],$P1433))</f>
        <v/>
      </c>
      <c r="N1433">
        <f>IF($P1433="","",INDEX(상세표[주말·휴일 포함],$P1433)&amp;"")</f>
        <v/>
      </c>
      <c r="O1433">
        <f>IF($P1433="","",INDEX(상세표[월 넘김 포함],$P1433)&amp;"")</f>
        <v/>
      </c>
      <c r="P1433" s="4">
        <f>IFERROR(MATCH(1428,상세표[연속순번],0),"")</f>
        <v/>
      </c>
    </row>
    <row r="1434">
      <c r="A1434">
        <f>IF($P1434="","",INDEX(상세표[사번],$P1434)&amp;"")</f>
        <v/>
      </c>
      <c r="B1434">
        <f>IF($P1434="","",INDEX(상세표[성명],$P1434)&amp;"")</f>
        <v/>
      </c>
      <c r="C1434">
        <f>IF($P1434="","",INDEX(상세표[부서],$P1434)&amp;"")</f>
        <v/>
      </c>
      <c r="D1434">
        <f>IF($P1434="","",INDEX(상세표[직위],$P1434)&amp;"")</f>
        <v/>
      </c>
      <c r="E1434">
        <f>IF($P1434="","",IF(ISNUMBER(INDEX(상세표[시작],$P1434)),TEXT(INDEX(상세표[시작],$P1434),"yyyy-mm-dd hh:mm"),INDEX(상세표[시작],$P1434)&amp;""))</f>
        <v/>
      </c>
      <c r="F1434">
        <f>IF($P1434="","",IF(ISNUMBER(INDEX(상세표[블록종료],$P1434)),TEXT(INDEX(상세표[블록종료],$P1434),"yyyy-mm-dd hh:mm"),INDEX(상세표[블록종료],$P1434)&amp;""))</f>
        <v/>
      </c>
      <c r="G1434">
        <f>IF($P1434="","",CHOOSE(WEEKDAY(INDEX(상세표[시작],$P1434)),"일","월","화","수","목","금","토"))</f>
        <v/>
      </c>
      <c r="H1434">
        <f>IF($P1434="","",INDEX(상세표[연속 시간],$P1434))</f>
        <v/>
      </c>
      <c r="I1434">
        <f>IF($P1434="","",INDEX(상세표[기록 수],$P1434))</f>
        <v/>
      </c>
      <c r="J1434">
        <f>IF($P1434="","",INDEX(상세표[블록 06~07시],$P1434))</f>
        <v/>
      </c>
      <c r="K1434">
        <f>IF($P1434="","",INDEX(상세표[블록 07~18시],$P1434))</f>
        <v/>
      </c>
      <c r="L1434">
        <f>IF($P1434="","",INDEX(상세표[블록 18~22시],$P1434))</f>
        <v/>
      </c>
      <c r="M1434">
        <f>IF($P1434="","",INDEX(상세표[블록 22~06시],$P1434))</f>
        <v/>
      </c>
      <c r="N1434">
        <f>IF($P1434="","",INDEX(상세표[주말·휴일 포함],$P1434)&amp;"")</f>
        <v/>
      </c>
      <c r="O1434">
        <f>IF($P1434="","",INDEX(상세표[월 넘김 포함],$P1434)&amp;"")</f>
        <v/>
      </c>
      <c r="P1434" s="4">
        <f>IFERROR(MATCH(1429,상세표[연속순번],0),"")</f>
        <v/>
      </c>
    </row>
    <row r="1435">
      <c r="A1435">
        <f>IF($P1435="","",INDEX(상세표[사번],$P1435)&amp;"")</f>
        <v/>
      </c>
      <c r="B1435">
        <f>IF($P1435="","",INDEX(상세표[성명],$P1435)&amp;"")</f>
        <v/>
      </c>
      <c r="C1435">
        <f>IF($P1435="","",INDEX(상세표[부서],$P1435)&amp;"")</f>
        <v/>
      </c>
      <c r="D1435">
        <f>IF($P1435="","",INDEX(상세표[직위],$P1435)&amp;"")</f>
        <v/>
      </c>
      <c r="E1435">
        <f>IF($P1435="","",IF(ISNUMBER(INDEX(상세표[시작],$P1435)),TEXT(INDEX(상세표[시작],$P1435),"yyyy-mm-dd hh:mm"),INDEX(상세표[시작],$P1435)&amp;""))</f>
        <v/>
      </c>
      <c r="F1435">
        <f>IF($P1435="","",IF(ISNUMBER(INDEX(상세표[블록종료],$P1435)),TEXT(INDEX(상세표[블록종료],$P1435),"yyyy-mm-dd hh:mm"),INDEX(상세표[블록종료],$P1435)&amp;""))</f>
        <v/>
      </c>
      <c r="G1435">
        <f>IF($P1435="","",CHOOSE(WEEKDAY(INDEX(상세표[시작],$P1435)),"일","월","화","수","목","금","토"))</f>
        <v/>
      </c>
      <c r="H1435">
        <f>IF($P1435="","",INDEX(상세표[연속 시간],$P1435))</f>
        <v/>
      </c>
      <c r="I1435">
        <f>IF($P1435="","",INDEX(상세표[기록 수],$P1435))</f>
        <v/>
      </c>
      <c r="J1435">
        <f>IF($P1435="","",INDEX(상세표[블록 06~07시],$P1435))</f>
        <v/>
      </c>
      <c r="K1435">
        <f>IF($P1435="","",INDEX(상세표[블록 07~18시],$P1435))</f>
        <v/>
      </c>
      <c r="L1435">
        <f>IF($P1435="","",INDEX(상세표[블록 18~22시],$P1435))</f>
        <v/>
      </c>
      <c r="M1435">
        <f>IF($P1435="","",INDEX(상세표[블록 22~06시],$P1435))</f>
        <v/>
      </c>
      <c r="N1435">
        <f>IF($P1435="","",INDEX(상세표[주말·휴일 포함],$P1435)&amp;"")</f>
        <v/>
      </c>
      <c r="O1435">
        <f>IF($P1435="","",INDEX(상세표[월 넘김 포함],$P1435)&amp;"")</f>
        <v/>
      </c>
      <c r="P1435" s="4">
        <f>IFERROR(MATCH(1430,상세표[연속순번],0),"")</f>
        <v/>
      </c>
    </row>
    <row r="1436">
      <c r="A1436">
        <f>IF($P1436="","",INDEX(상세표[사번],$P1436)&amp;"")</f>
        <v/>
      </c>
      <c r="B1436">
        <f>IF($P1436="","",INDEX(상세표[성명],$P1436)&amp;"")</f>
        <v/>
      </c>
      <c r="C1436">
        <f>IF($P1436="","",INDEX(상세표[부서],$P1436)&amp;"")</f>
        <v/>
      </c>
      <c r="D1436">
        <f>IF($P1436="","",INDEX(상세표[직위],$P1436)&amp;"")</f>
        <v/>
      </c>
      <c r="E1436">
        <f>IF($P1436="","",IF(ISNUMBER(INDEX(상세표[시작],$P1436)),TEXT(INDEX(상세표[시작],$P1436),"yyyy-mm-dd hh:mm"),INDEX(상세표[시작],$P1436)&amp;""))</f>
        <v/>
      </c>
      <c r="F1436">
        <f>IF($P1436="","",IF(ISNUMBER(INDEX(상세표[블록종료],$P1436)),TEXT(INDEX(상세표[블록종료],$P1436),"yyyy-mm-dd hh:mm"),INDEX(상세표[블록종료],$P1436)&amp;""))</f>
        <v/>
      </c>
      <c r="G1436">
        <f>IF($P1436="","",CHOOSE(WEEKDAY(INDEX(상세표[시작],$P1436)),"일","월","화","수","목","금","토"))</f>
        <v/>
      </c>
      <c r="H1436">
        <f>IF($P1436="","",INDEX(상세표[연속 시간],$P1436))</f>
        <v/>
      </c>
      <c r="I1436">
        <f>IF($P1436="","",INDEX(상세표[기록 수],$P1436))</f>
        <v/>
      </c>
      <c r="J1436">
        <f>IF($P1436="","",INDEX(상세표[블록 06~07시],$P1436))</f>
        <v/>
      </c>
      <c r="K1436">
        <f>IF($P1436="","",INDEX(상세표[블록 07~18시],$P1436))</f>
        <v/>
      </c>
      <c r="L1436">
        <f>IF($P1436="","",INDEX(상세표[블록 18~22시],$P1436))</f>
        <v/>
      </c>
      <c r="M1436">
        <f>IF($P1436="","",INDEX(상세표[블록 22~06시],$P1436))</f>
        <v/>
      </c>
      <c r="N1436">
        <f>IF($P1436="","",INDEX(상세표[주말·휴일 포함],$P1436)&amp;"")</f>
        <v/>
      </c>
      <c r="O1436">
        <f>IF($P1436="","",INDEX(상세표[월 넘김 포함],$P1436)&amp;"")</f>
        <v/>
      </c>
      <c r="P1436" s="4">
        <f>IFERROR(MATCH(1431,상세표[연속순번],0),"")</f>
        <v/>
      </c>
    </row>
    <row r="1437">
      <c r="A1437">
        <f>IF($P1437="","",INDEX(상세표[사번],$P1437)&amp;"")</f>
        <v/>
      </c>
      <c r="B1437">
        <f>IF($P1437="","",INDEX(상세표[성명],$P1437)&amp;"")</f>
        <v/>
      </c>
      <c r="C1437">
        <f>IF($P1437="","",INDEX(상세표[부서],$P1437)&amp;"")</f>
        <v/>
      </c>
      <c r="D1437">
        <f>IF($P1437="","",INDEX(상세표[직위],$P1437)&amp;"")</f>
        <v/>
      </c>
      <c r="E1437">
        <f>IF($P1437="","",IF(ISNUMBER(INDEX(상세표[시작],$P1437)),TEXT(INDEX(상세표[시작],$P1437),"yyyy-mm-dd hh:mm"),INDEX(상세표[시작],$P1437)&amp;""))</f>
        <v/>
      </c>
      <c r="F1437">
        <f>IF($P1437="","",IF(ISNUMBER(INDEX(상세표[블록종료],$P1437)),TEXT(INDEX(상세표[블록종료],$P1437),"yyyy-mm-dd hh:mm"),INDEX(상세표[블록종료],$P1437)&amp;""))</f>
        <v/>
      </c>
      <c r="G1437">
        <f>IF($P1437="","",CHOOSE(WEEKDAY(INDEX(상세표[시작],$P1437)),"일","월","화","수","목","금","토"))</f>
        <v/>
      </c>
      <c r="H1437">
        <f>IF($P1437="","",INDEX(상세표[연속 시간],$P1437))</f>
        <v/>
      </c>
      <c r="I1437">
        <f>IF($P1437="","",INDEX(상세표[기록 수],$P1437))</f>
        <v/>
      </c>
      <c r="J1437">
        <f>IF($P1437="","",INDEX(상세표[블록 06~07시],$P1437))</f>
        <v/>
      </c>
      <c r="K1437">
        <f>IF($P1437="","",INDEX(상세표[블록 07~18시],$P1437))</f>
        <v/>
      </c>
      <c r="L1437">
        <f>IF($P1437="","",INDEX(상세표[블록 18~22시],$P1437))</f>
        <v/>
      </c>
      <c r="M1437">
        <f>IF($P1437="","",INDEX(상세표[블록 22~06시],$P1437))</f>
        <v/>
      </c>
      <c r="N1437">
        <f>IF($P1437="","",INDEX(상세표[주말·휴일 포함],$P1437)&amp;"")</f>
        <v/>
      </c>
      <c r="O1437">
        <f>IF($P1437="","",INDEX(상세표[월 넘김 포함],$P1437)&amp;"")</f>
        <v/>
      </c>
      <c r="P1437" s="4">
        <f>IFERROR(MATCH(1432,상세표[연속순번],0),"")</f>
        <v/>
      </c>
    </row>
    <row r="1438">
      <c r="A1438">
        <f>IF($P1438="","",INDEX(상세표[사번],$P1438)&amp;"")</f>
        <v/>
      </c>
      <c r="B1438">
        <f>IF($P1438="","",INDEX(상세표[성명],$P1438)&amp;"")</f>
        <v/>
      </c>
      <c r="C1438">
        <f>IF($P1438="","",INDEX(상세표[부서],$P1438)&amp;"")</f>
        <v/>
      </c>
      <c r="D1438">
        <f>IF($P1438="","",INDEX(상세표[직위],$P1438)&amp;"")</f>
        <v/>
      </c>
      <c r="E1438">
        <f>IF($P1438="","",IF(ISNUMBER(INDEX(상세표[시작],$P1438)),TEXT(INDEX(상세표[시작],$P1438),"yyyy-mm-dd hh:mm"),INDEX(상세표[시작],$P1438)&amp;""))</f>
        <v/>
      </c>
      <c r="F1438">
        <f>IF($P1438="","",IF(ISNUMBER(INDEX(상세표[블록종료],$P1438)),TEXT(INDEX(상세표[블록종료],$P1438),"yyyy-mm-dd hh:mm"),INDEX(상세표[블록종료],$P1438)&amp;""))</f>
        <v/>
      </c>
      <c r="G1438">
        <f>IF($P1438="","",CHOOSE(WEEKDAY(INDEX(상세표[시작],$P1438)),"일","월","화","수","목","금","토"))</f>
        <v/>
      </c>
      <c r="H1438">
        <f>IF($P1438="","",INDEX(상세표[연속 시간],$P1438))</f>
        <v/>
      </c>
      <c r="I1438">
        <f>IF($P1438="","",INDEX(상세표[기록 수],$P1438))</f>
        <v/>
      </c>
      <c r="J1438">
        <f>IF($P1438="","",INDEX(상세표[블록 06~07시],$P1438))</f>
        <v/>
      </c>
      <c r="K1438">
        <f>IF($P1438="","",INDEX(상세표[블록 07~18시],$P1438))</f>
        <v/>
      </c>
      <c r="L1438">
        <f>IF($P1438="","",INDEX(상세표[블록 18~22시],$P1438))</f>
        <v/>
      </c>
      <c r="M1438">
        <f>IF($P1438="","",INDEX(상세표[블록 22~06시],$P1438))</f>
        <v/>
      </c>
      <c r="N1438">
        <f>IF($P1438="","",INDEX(상세표[주말·휴일 포함],$P1438)&amp;"")</f>
        <v/>
      </c>
      <c r="O1438">
        <f>IF($P1438="","",INDEX(상세표[월 넘김 포함],$P1438)&amp;"")</f>
        <v/>
      </c>
      <c r="P1438" s="4">
        <f>IFERROR(MATCH(1433,상세표[연속순번],0),"")</f>
        <v/>
      </c>
    </row>
    <row r="1439">
      <c r="A1439">
        <f>IF($P1439="","",INDEX(상세표[사번],$P1439)&amp;"")</f>
        <v/>
      </c>
      <c r="B1439">
        <f>IF($P1439="","",INDEX(상세표[성명],$P1439)&amp;"")</f>
        <v/>
      </c>
      <c r="C1439">
        <f>IF($P1439="","",INDEX(상세표[부서],$P1439)&amp;"")</f>
        <v/>
      </c>
      <c r="D1439">
        <f>IF($P1439="","",INDEX(상세표[직위],$P1439)&amp;"")</f>
        <v/>
      </c>
      <c r="E1439">
        <f>IF($P1439="","",IF(ISNUMBER(INDEX(상세표[시작],$P1439)),TEXT(INDEX(상세표[시작],$P1439),"yyyy-mm-dd hh:mm"),INDEX(상세표[시작],$P1439)&amp;""))</f>
        <v/>
      </c>
      <c r="F1439">
        <f>IF($P1439="","",IF(ISNUMBER(INDEX(상세표[블록종료],$P1439)),TEXT(INDEX(상세표[블록종료],$P1439),"yyyy-mm-dd hh:mm"),INDEX(상세표[블록종료],$P1439)&amp;""))</f>
        <v/>
      </c>
      <c r="G1439">
        <f>IF($P1439="","",CHOOSE(WEEKDAY(INDEX(상세표[시작],$P1439)),"일","월","화","수","목","금","토"))</f>
        <v/>
      </c>
      <c r="H1439">
        <f>IF($P1439="","",INDEX(상세표[연속 시간],$P1439))</f>
        <v/>
      </c>
      <c r="I1439">
        <f>IF($P1439="","",INDEX(상세표[기록 수],$P1439))</f>
        <v/>
      </c>
      <c r="J1439">
        <f>IF($P1439="","",INDEX(상세표[블록 06~07시],$P1439))</f>
        <v/>
      </c>
      <c r="K1439">
        <f>IF($P1439="","",INDEX(상세표[블록 07~18시],$P1439))</f>
        <v/>
      </c>
      <c r="L1439">
        <f>IF($P1439="","",INDEX(상세표[블록 18~22시],$P1439))</f>
        <v/>
      </c>
      <c r="M1439">
        <f>IF($P1439="","",INDEX(상세표[블록 22~06시],$P1439))</f>
        <v/>
      </c>
      <c r="N1439">
        <f>IF($P1439="","",INDEX(상세표[주말·휴일 포함],$P1439)&amp;"")</f>
        <v/>
      </c>
      <c r="O1439">
        <f>IF($P1439="","",INDEX(상세표[월 넘김 포함],$P1439)&amp;"")</f>
        <v/>
      </c>
      <c r="P1439" s="4">
        <f>IFERROR(MATCH(1434,상세표[연속순번],0),"")</f>
        <v/>
      </c>
    </row>
    <row r="1440">
      <c r="A1440">
        <f>IF($P1440="","",INDEX(상세표[사번],$P1440)&amp;"")</f>
        <v/>
      </c>
      <c r="B1440">
        <f>IF($P1440="","",INDEX(상세표[성명],$P1440)&amp;"")</f>
        <v/>
      </c>
      <c r="C1440">
        <f>IF($P1440="","",INDEX(상세표[부서],$P1440)&amp;"")</f>
        <v/>
      </c>
      <c r="D1440">
        <f>IF($P1440="","",INDEX(상세표[직위],$P1440)&amp;"")</f>
        <v/>
      </c>
      <c r="E1440">
        <f>IF($P1440="","",IF(ISNUMBER(INDEX(상세표[시작],$P1440)),TEXT(INDEX(상세표[시작],$P1440),"yyyy-mm-dd hh:mm"),INDEX(상세표[시작],$P1440)&amp;""))</f>
        <v/>
      </c>
      <c r="F1440">
        <f>IF($P1440="","",IF(ISNUMBER(INDEX(상세표[블록종료],$P1440)),TEXT(INDEX(상세표[블록종료],$P1440),"yyyy-mm-dd hh:mm"),INDEX(상세표[블록종료],$P1440)&amp;""))</f>
        <v/>
      </c>
      <c r="G1440">
        <f>IF($P1440="","",CHOOSE(WEEKDAY(INDEX(상세표[시작],$P1440)),"일","월","화","수","목","금","토"))</f>
        <v/>
      </c>
      <c r="H1440">
        <f>IF($P1440="","",INDEX(상세표[연속 시간],$P1440))</f>
        <v/>
      </c>
      <c r="I1440">
        <f>IF($P1440="","",INDEX(상세표[기록 수],$P1440))</f>
        <v/>
      </c>
      <c r="J1440">
        <f>IF($P1440="","",INDEX(상세표[블록 06~07시],$P1440))</f>
        <v/>
      </c>
      <c r="K1440">
        <f>IF($P1440="","",INDEX(상세표[블록 07~18시],$P1440))</f>
        <v/>
      </c>
      <c r="L1440">
        <f>IF($P1440="","",INDEX(상세표[블록 18~22시],$P1440))</f>
        <v/>
      </c>
      <c r="M1440">
        <f>IF($P1440="","",INDEX(상세표[블록 22~06시],$P1440))</f>
        <v/>
      </c>
      <c r="N1440">
        <f>IF($P1440="","",INDEX(상세표[주말·휴일 포함],$P1440)&amp;"")</f>
        <v/>
      </c>
      <c r="O1440">
        <f>IF($P1440="","",INDEX(상세표[월 넘김 포함],$P1440)&amp;"")</f>
        <v/>
      </c>
      <c r="P1440" s="4">
        <f>IFERROR(MATCH(1435,상세표[연속순번],0),"")</f>
        <v/>
      </c>
    </row>
    <row r="1441">
      <c r="A1441">
        <f>IF($P1441="","",INDEX(상세표[사번],$P1441)&amp;"")</f>
        <v/>
      </c>
      <c r="B1441">
        <f>IF($P1441="","",INDEX(상세표[성명],$P1441)&amp;"")</f>
        <v/>
      </c>
      <c r="C1441">
        <f>IF($P1441="","",INDEX(상세표[부서],$P1441)&amp;"")</f>
        <v/>
      </c>
      <c r="D1441">
        <f>IF($P1441="","",INDEX(상세표[직위],$P1441)&amp;"")</f>
        <v/>
      </c>
      <c r="E1441">
        <f>IF($P1441="","",IF(ISNUMBER(INDEX(상세표[시작],$P1441)),TEXT(INDEX(상세표[시작],$P1441),"yyyy-mm-dd hh:mm"),INDEX(상세표[시작],$P1441)&amp;""))</f>
        <v/>
      </c>
      <c r="F1441">
        <f>IF($P1441="","",IF(ISNUMBER(INDEX(상세표[블록종료],$P1441)),TEXT(INDEX(상세표[블록종료],$P1441),"yyyy-mm-dd hh:mm"),INDEX(상세표[블록종료],$P1441)&amp;""))</f>
        <v/>
      </c>
      <c r="G1441">
        <f>IF($P1441="","",CHOOSE(WEEKDAY(INDEX(상세표[시작],$P1441)),"일","월","화","수","목","금","토"))</f>
        <v/>
      </c>
      <c r="H1441">
        <f>IF($P1441="","",INDEX(상세표[연속 시간],$P1441))</f>
        <v/>
      </c>
      <c r="I1441">
        <f>IF($P1441="","",INDEX(상세표[기록 수],$P1441))</f>
        <v/>
      </c>
      <c r="J1441">
        <f>IF($P1441="","",INDEX(상세표[블록 06~07시],$P1441))</f>
        <v/>
      </c>
      <c r="K1441">
        <f>IF($P1441="","",INDEX(상세표[블록 07~18시],$P1441))</f>
        <v/>
      </c>
      <c r="L1441">
        <f>IF($P1441="","",INDEX(상세표[블록 18~22시],$P1441))</f>
        <v/>
      </c>
      <c r="M1441">
        <f>IF($P1441="","",INDEX(상세표[블록 22~06시],$P1441))</f>
        <v/>
      </c>
      <c r="N1441">
        <f>IF($P1441="","",INDEX(상세표[주말·휴일 포함],$P1441)&amp;"")</f>
        <v/>
      </c>
      <c r="O1441">
        <f>IF($P1441="","",INDEX(상세표[월 넘김 포함],$P1441)&amp;"")</f>
        <v/>
      </c>
      <c r="P1441" s="4">
        <f>IFERROR(MATCH(1436,상세표[연속순번],0),"")</f>
        <v/>
      </c>
    </row>
    <row r="1442">
      <c r="A1442">
        <f>IF($P1442="","",INDEX(상세표[사번],$P1442)&amp;"")</f>
        <v/>
      </c>
      <c r="B1442">
        <f>IF($P1442="","",INDEX(상세표[성명],$P1442)&amp;"")</f>
        <v/>
      </c>
      <c r="C1442">
        <f>IF($P1442="","",INDEX(상세표[부서],$P1442)&amp;"")</f>
        <v/>
      </c>
      <c r="D1442">
        <f>IF($P1442="","",INDEX(상세표[직위],$P1442)&amp;"")</f>
        <v/>
      </c>
      <c r="E1442">
        <f>IF($P1442="","",IF(ISNUMBER(INDEX(상세표[시작],$P1442)),TEXT(INDEX(상세표[시작],$P1442),"yyyy-mm-dd hh:mm"),INDEX(상세표[시작],$P1442)&amp;""))</f>
        <v/>
      </c>
      <c r="F1442">
        <f>IF($P1442="","",IF(ISNUMBER(INDEX(상세표[블록종료],$P1442)),TEXT(INDEX(상세표[블록종료],$P1442),"yyyy-mm-dd hh:mm"),INDEX(상세표[블록종료],$P1442)&amp;""))</f>
        <v/>
      </c>
      <c r="G1442">
        <f>IF($P1442="","",CHOOSE(WEEKDAY(INDEX(상세표[시작],$P1442)),"일","월","화","수","목","금","토"))</f>
        <v/>
      </c>
      <c r="H1442">
        <f>IF($P1442="","",INDEX(상세표[연속 시간],$P1442))</f>
        <v/>
      </c>
      <c r="I1442">
        <f>IF($P1442="","",INDEX(상세표[기록 수],$P1442))</f>
        <v/>
      </c>
      <c r="J1442">
        <f>IF($P1442="","",INDEX(상세표[블록 06~07시],$P1442))</f>
        <v/>
      </c>
      <c r="K1442">
        <f>IF($P1442="","",INDEX(상세표[블록 07~18시],$P1442))</f>
        <v/>
      </c>
      <c r="L1442">
        <f>IF($P1442="","",INDEX(상세표[블록 18~22시],$P1442))</f>
        <v/>
      </c>
      <c r="M1442">
        <f>IF($P1442="","",INDEX(상세표[블록 22~06시],$P1442))</f>
        <v/>
      </c>
      <c r="N1442">
        <f>IF($P1442="","",INDEX(상세표[주말·휴일 포함],$P1442)&amp;"")</f>
        <v/>
      </c>
      <c r="O1442">
        <f>IF($P1442="","",INDEX(상세표[월 넘김 포함],$P1442)&amp;"")</f>
        <v/>
      </c>
      <c r="P1442" s="4">
        <f>IFERROR(MATCH(1437,상세표[연속순번],0),"")</f>
        <v/>
      </c>
    </row>
    <row r="1443">
      <c r="A1443">
        <f>IF($P1443="","",INDEX(상세표[사번],$P1443)&amp;"")</f>
        <v/>
      </c>
      <c r="B1443">
        <f>IF($P1443="","",INDEX(상세표[성명],$P1443)&amp;"")</f>
        <v/>
      </c>
      <c r="C1443">
        <f>IF($P1443="","",INDEX(상세표[부서],$P1443)&amp;"")</f>
        <v/>
      </c>
      <c r="D1443">
        <f>IF($P1443="","",INDEX(상세표[직위],$P1443)&amp;"")</f>
        <v/>
      </c>
      <c r="E1443">
        <f>IF($P1443="","",IF(ISNUMBER(INDEX(상세표[시작],$P1443)),TEXT(INDEX(상세표[시작],$P1443),"yyyy-mm-dd hh:mm"),INDEX(상세표[시작],$P1443)&amp;""))</f>
        <v/>
      </c>
      <c r="F1443">
        <f>IF($P1443="","",IF(ISNUMBER(INDEX(상세표[블록종료],$P1443)),TEXT(INDEX(상세표[블록종료],$P1443),"yyyy-mm-dd hh:mm"),INDEX(상세표[블록종료],$P1443)&amp;""))</f>
        <v/>
      </c>
      <c r="G1443">
        <f>IF($P1443="","",CHOOSE(WEEKDAY(INDEX(상세표[시작],$P1443)),"일","월","화","수","목","금","토"))</f>
        <v/>
      </c>
      <c r="H1443">
        <f>IF($P1443="","",INDEX(상세표[연속 시간],$P1443))</f>
        <v/>
      </c>
      <c r="I1443">
        <f>IF($P1443="","",INDEX(상세표[기록 수],$P1443))</f>
        <v/>
      </c>
      <c r="J1443">
        <f>IF($P1443="","",INDEX(상세표[블록 06~07시],$P1443))</f>
        <v/>
      </c>
      <c r="K1443">
        <f>IF($P1443="","",INDEX(상세표[블록 07~18시],$P1443))</f>
        <v/>
      </c>
      <c r="L1443">
        <f>IF($P1443="","",INDEX(상세표[블록 18~22시],$P1443))</f>
        <v/>
      </c>
      <c r="M1443">
        <f>IF($P1443="","",INDEX(상세표[블록 22~06시],$P1443))</f>
        <v/>
      </c>
      <c r="N1443">
        <f>IF($P1443="","",INDEX(상세표[주말·휴일 포함],$P1443)&amp;"")</f>
        <v/>
      </c>
      <c r="O1443">
        <f>IF($P1443="","",INDEX(상세표[월 넘김 포함],$P1443)&amp;"")</f>
        <v/>
      </c>
      <c r="P1443" s="4">
        <f>IFERROR(MATCH(1438,상세표[연속순번],0),"")</f>
        <v/>
      </c>
    </row>
    <row r="1444">
      <c r="A1444">
        <f>IF($P1444="","",INDEX(상세표[사번],$P1444)&amp;"")</f>
        <v/>
      </c>
      <c r="B1444">
        <f>IF($P1444="","",INDEX(상세표[성명],$P1444)&amp;"")</f>
        <v/>
      </c>
      <c r="C1444">
        <f>IF($P1444="","",INDEX(상세표[부서],$P1444)&amp;"")</f>
        <v/>
      </c>
      <c r="D1444">
        <f>IF($P1444="","",INDEX(상세표[직위],$P1444)&amp;"")</f>
        <v/>
      </c>
      <c r="E1444">
        <f>IF($P1444="","",IF(ISNUMBER(INDEX(상세표[시작],$P1444)),TEXT(INDEX(상세표[시작],$P1444),"yyyy-mm-dd hh:mm"),INDEX(상세표[시작],$P1444)&amp;""))</f>
        <v/>
      </c>
      <c r="F1444">
        <f>IF($P1444="","",IF(ISNUMBER(INDEX(상세표[블록종료],$P1444)),TEXT(INDEX(상세표[블록종료],$P1444),"yyyy-mm-dd hh:mm"),INDEX(상세표[블록종료],$P1444)&amp;""))</f>
        <v/>
      </c>
      <c r="G1444">
        <f>IF($P1444="","",CHOOSE(WEEKDAY(INDEX(상세표[시작],$P1444)),"일","월","화","수","목","금","토"))</f>
        <v/>
      </c>
      <c r="H1444">
        <f>IF($P1444="","",INDEX(상세표[연속 시간],$P1444))</f>
        <v/>
      </c>
      <c r="I1444">
        <f>IF($P1444="","",INDEX(상세표[기록 수],$P1444))</f>
        <v/>
      </c>
      <c r="J1444">
        <f>IF($P1444="","",INDEX(상세표[블록 06~07시],$P1444))</f>
        <v/>
      </c>
      <c r="K1444">
        <f>IF($P1444="","",INDEX(상세표[블록 07~18시],$P1444))</f>
        <v/>
      </c>
      <c r="L1444">
        <f>IF($P1444="","",INDEX(상세표[블록 18~22시],$P1444))</f>
        <v/>
      </c>
      <c r="M1444">
        <f>IF($P1444="","",INDEX(상세표[블록 22~06시],$P1444))</f>
        <v/>
      </c>
      <c r="N1444">
        <f>IF($P1444="","",INDEX(상세표[주말·휴일 포함],$P1444)&amp;"")</f>
        <v/>
      </c>
      <c r="O1444">
        <f>IF($P1444="","",INDEX(상세표[월 넘김 포함],$P1444)&amp;"")</f>
        <v/>
      </c>
      <c r="P1444" s="4">
        <f>IFERROR(MATCH(1439,상세표[연속순번],0),"")</f>
        <v/>
      </c>
    </row>
    <row r="1445">
      <c r="A1445">
        <f>IF($P1445="","",INDEX(상세표[사번],$P1445)&amp;"")</f>
        <v/>
      </c>
      <c r="B1445">
        <f>IF($P1445="","",INDEX(상세표[성명],$P1445)&amp;"")</f>
        <v/>
      </c>
      <c r="C1445">
        <f>IF($P1445="","",INDEX(상세표[부서],$P1445)&amp;"")</f>
        <v/>
      </c>
      <c r="D1445">
        <f>IF($P1445="","",INDEX(상세표[직위],$P1445)&amp;"")</f>
        <v/>
      </c>
      <c r="E1445">
        <f>IF($P1445="","",IF(ISNUMBER(INDEX(상세표[시작],$P1445)),TEXT(INDEX(상세표[시작],$P1445),"yyyy-mm-dd hh:mm"),INDEX(상세표[시작],$P1445)&amp;""))</f>
        <v/>
      </c>
      <c r="F1445">
        <f>IF($P1445="","",IF(ISNUMBER(INDEX(상세표[블록종료],$P1445)),TEXT(INDEX(상세표[블록종료],$P1445),"yyyy-mm-dd hh:mm"),INDEX(상세표[블록종료],$P1445)&amp;""))</f>
        <v/>
      </c>
      <c r="G1445">
        <f>IF($P1445="","",CHOOSE(WEEKDAY(INDEX(상세표[시작],$P1445)),"일","월","화","수","목","금","토"))</f>
        <v/>
      </c>
      <c r="H1445">
        <f>IF($P1445="","",INDEX(상세표[연속 시간],$P1445))</f>
        <v/>
      </c>
      <c r="I1445">
        <f>IF($P1445="","",INDEX(상세표[기록 수],$P1445))</f>
        <v/>
      </c>
      <c r="J1445">
        <f>IF($P1445="","",INDEX(상세표[블록 06~07시],$P1445))</f>
        <v/>
      </c>
      <c r="K1445">
        <f>IF($P1445="","",INDEX(상세표[블록 07~18시],$P1445))</f>
        <v/>
      </c>
      <c r="L1445">
        <f>IF($P1445="","",INDEX(상세표[블록 18~22시],$P1445))</f>
        <v/>
      </c>
      <c r="M1445">
        <f>IF($P1445="","",INDEX(상세표[블록 22~06시],$P1445))</f>
        <v/>
      </c>
      <c r="N1445">
        <f>IF($P1445="","",INDEX(상세표[주말·휴일 포함],$P1445)&amp;"")</f>
        <v/>
      </c>
      <c r="O1445">
        <f>IF($P1445="","",INDEX(상세표[월 넘김 포함],$P1445)&amp;"")</f>
        <v/>
      </c>
      <c r="P1445" s="4">
        <f>IFERROR(MATCH(1440,상세표[연속순번],0),"")</f>
        <v/>
      </c>
    </row>
    <row r="1446">
      <c r="A1446">
        <f>IF($P1446="","",INDEX(상세표[사번],$P1446)&amp;"")</f>
        <v/>
      </c>
      <c r="B1446">
        <f>IF($P1446="","",INDEX(상세표[성명],$P1446)&amp;"")</f>
        <v/>
      </c>
      <c r="C1446">
        <f>IF($P1446="","",INDEX(상세표[부서],$P1446)&amp;"")</f>
        <v/>
      </c>
      <c r="D1446">
        <f>IF($P1446="","",INDEX(상세표[직위],$P1446)&amp;"")</f>
        <v/>
      </c>
      <c r="E1446">
        <f>IF($P1446="","",IF(ISNUMBER(INDEX(상세표[시작],$P1446)),TEXT(INDEX(상세표[시작],$P1446),"yyyy-mm-dd hh:mm"),INDEX(상세표[시작],$P1446)&amp;""))</f>
        <v/>
      </c>
      <c r="F1446">
        <f>IF($P1446="","",IF(ISNUMBER(INDEX(상세표[블록종료],$P1446)),TEXT(INDEX(상세표[블록종료],$P1446),"yyyy-mm-dd hh:mm"),INDEX(상세표[블록종료],$P1446)&amp;""))</f>
        <v/>
      </c>
      <c r="G1446">
        <f>IF($P1446="","",CHOOSE(WEEKDAY(INDEX(상세표[시작],$P1446)),"일","월","화","수","목","금","토"))</f>
        <v/>
      </c>
      <c r="H1446">
        <f>IF($P1446="","",INDEX(상세표[연속 시간],$P1446))</f>
        <v/>
      </c>
      <c r="I1446">
        <f>IF($P1446="","",INDEX(상세표[기록 수],$P1446))</f>
        <v/>
      </c>
      <c r="J1446">
        <f>IF($P1446="","",INDEX(상세표[블록 06~07시],$P1446))</f>
        <v/>
      </c>
      <c r="K1446">
        <f>IF($P1446="","",INDEX(상세표[블록 07~18시],$P1446))</f>
        <v/>
      </c>
      <c r="L1446">
        <f>IF($P1446="","",INDEX(상세표[블록 18~22시],$P1446))</f>
        <v/>
      </c>
      <c r="M1446">
        <f>IF($P1446="","",INDEX(상세표[블록 22~06시],$P1446))</f>
        <v/>
      </c>
      <c r="N1446">
        <f>IF($P1446="","",INDEX(상세표[주말·휴일 포함],$P1446)&amp;"")</f>
        <v/>
      </c>
      <c r="O1446">
        <f>IF($P1446="","",INDEX(상세표[월 넘김 포함],$P1446)&amp;"")</f>
        <v/>
      </c>
      <c r="P1446" s="4">
        <f>IFERROR(MATCH(1441,상세표[연속순번],0),"")</f>
        <v/>
      </c>
    </row>
    <row r="1447">
      <c r="A1447">
        <f>IF($P1447="","",INDEX(상세표[사번],$P1447)&amp;"")</f>
        <v/>
      </c>
      <c r="B1447">
        <f>IF($P1447="","",INDEX(상세표[성명],$P1447)&amp;"")</f>
        <v/>
      </c>
      <c r="C1447">
        <f>IF($P1447="","",INDEX(상세표[부서],$P1447)&amp;"")</f>
        <v/>
      </c>
      <c r="D1447">
        <f>IF($P1447="","",INDEX(상세표[직위],$P1447)&amp;"")</f>
        <v/>
      </c>
      <c r="E1447">
        <f>IF($P1447="","",IF(ISNUMBER(INDEX(상세표[시작],$P1447)),TEXT(INDEX(상세표[시작],$P1447),"yyyy-mm-dd hh:mm"),INDEX(상세표[시작],$P1447)&amp;""))</f>
        <v/>
      </c>
      <c r="F1447">
        <f>IF($P1447="","",IF(ISNUMBER(INDEX(상세표[블록종료],$P1447)),TEXT(INDEX(상세표[블록종료],$P1447),"yyyy-mm-dd hh:mm"),INDEX(상세표[블록종료],$P1447)&amp;""))</f>
        <v/>
      </c>
      <c r="G1447">
        <f>IF($P1447="","",CHOOSE(WEEKDAY(INDEX(상세표[시작],$P1447)),"일","월","화","수","목","금","토"))</f>
        <v/>
      </c>
      <c r="H1447">
        <f>IF($P1447="","",INDEX(상세표[연속 시간],$P1447))</f>
        <v/>
      </c>
      <c r="I1447">
        <f>IF($P1447="","",INDEX(상세표[기록 수],$P1447))</f>
        <v/>
      </c>
      <c r="J1447">
        <f>IF($P1447="","",INDEX(상세표[블록 06~07시],$P1447))</f>
        <v/>
      </c>
      <c r="K1447">
        <f>IF($P1447="","",INDEX(상세표[블록 07~18시],$P1447))</f>
        <v/>
      </c>
      <c r="L1447">
        <f>IF($P1447="","",INDEX(상세표[블록 18~22시],$P1447))</f>
        <v/>
      </c>
      <c r="M1447">
        <f>IF($P1447="","",INDEX(상세표[블록 22~06시],$P1447))</f>
        <v/>
      </c>
      <c r="N1447">
        <f>IF($P1447="","",INDEX(상세표[주말·휴일 포함],$P1447)&amp;"")</f>
        <v/>
      </c>
      <c r="O1447">
        <f>IF($P1447="","",INDEX(상세표[월 넘김 포함],$P1447)&amp;"")</f>
        <v/>
      </c>
      <c r="P1447" s="4">
        <f>IFERROR(MATCH(1442,상세표[연속순번],0),"")</f>
        <v/>
      </c>
    </row>
    <row r="1448">
      <c r="A1448">
        <f>IF($P1448="","",INDEX(상세표[사번],$P1448)&amp;"")</f>
        <v/>
      </c>
      <c r="B1448">
        <f>IF($P1448="","",INDEX(상세표[성명],$P1448)&amp;"")</f>
        <v/>
      </c>
      <c r="C1448">
        <f>IF($P1448="","",INDEX(상세표[부서],$P1448)&amp;"")</f>
        <v/>
      </c>
      <c r="D1448">
        <f>IF($P1448="","",INDEX(상세표[직위],$P1448)&amp;"")</f>
        <v/>
      </c>
      <c r="E1448">
        <f>IF($P1448="","",IF(ISNUMBER(INDEX(상세표[시작],$P1448)),TEXT(INDEX(상세표[시작],$P1448),"yyyy-mm-dd hh:mm"),INDEX(상세표[시작],$P1448)&amp;""))</f>
        <v/>
      </c>
      <c r="F1448">
        <f>IF($P1448="","",IF(ISNUMBER(INDEX(상세표[블록종료],$P1448)),TEXT(INDEX(상세표[블록종료],$P1448),"yyyy-mm-dd hh:mm"),INDEX(상세표[블록종료],$P1448)&amp;""))</f>
        <v/>
      </c>
      <c r="G1448">
        <f>IF($P1448="","",CHOOSE(WEEKDAY(INDEX(상세표[시작],$P1448)),"일","월","화","수","목","금","토"))</f>
        <v/>
      </c>
      <c r="H1448">
        <f>IF($P1448="","",INDEX(상세표[연속 시간],$P1448))</f>
        <v/>
      </c>
      <c r="I1448">
        <f>IF($P1448="","",INDEX(상세표[기록 수],$P1448))</f>
        <v/>
      </c>
      <c r="J1448">
        <f>IF($P1448="","",INDEX(상세표[블록 06~07시],$P1448))</f>
        <v/>
      </c>
      <c r="K1448">
        <f>IF($P1448="","",INDEX(상세표[블록 07~18시],$P1448))</f>
        <v/>
      </c>
      <c r="L1448">
        <f>IF($P1448="","",INDEX(상세표[블록 18~22시],$P1448))</f>
        <v/>
      </c>
      <c r="M1448">
        <f>IF($P1448="","",INDEX(상세표[블록 22~06시],$P1448))</f>
        <v/>
      </c>
      <c r="N1448">
        <f>IF($P1448="","",INDEX(상세표[주말·휴일 포함],$P1448)&amp;"")</f>
        <v/>
      </c>
      <c r="O1448">
        <f>IF($P1448="","",INDEX(상세표[월 넘김 포함],$P1448)&amp;"")</f>
        <v/>
      </c>
      <c r="P1448" s="4">
        <f>IFERROR(MATCH(1443,상세표[연속순번],0),"")</f>
        <v/>
      </c>
    </row>
    <row r="1449">
      <c r="A1449">
        <f>IF($P1449="","",INDEX(상세표[사번],$P1449)&amp;"")</f>
        <v/>
      </c>
      <c r="B1449">
        <f>IF($P1449="","",INDEX(상세표[성명],$P1449)&amp;"")</f>
        <v/>
      </c>
      <c r="C1449">
        <f>IF($P1449="","",INDEX(상세표[부서],$P1449)&amp;"")</f>
        <v/>
      </c>
      <c r="D1449">
        <f>IF($P1449="","",INDEX(상세표[직위],$P1449)&amp;"")</f>
        <v/>
      </c>
      <c r="E1449">
        <f>IF($P1449="","",IF(ISNUMBER(INDEX(상세표[시작],$P1449)),TEXT(INDEX(상세표[시작],$P1449),"yyyy-mm-dd hh:mm"),INDEX(상세표[시작],$P1449)&amp;""))</f>
        <v/>
      </c>
      <c r="F1449">
        <f>IF($P1449="","",IF(ISNUMBER(INDEX(상세표[블록종료],$P1449)),TEXT(INDEX(상세표[블록종료],$P1449),"yyyy-mm-dd hh:mm"),INDEX(상세표[블록종료],$P1449)&amp;""))</f>
        <v/>
      </c>
      <c r="G1449">
        <f>IF($P1449="","",CHOOSE(WEEKDAY(INDEX(상세표[시작],$P1449)),"일","월","화","수","목","금","토"))</f>
        <v/>
      </c>
      <c r="H1449">
        <f>IF($P1449="","",INDEX(상세표[연속 시간],$P1449))</f>
        <v/>
      </c>
      <c r="I1449">
        <f>IF($P1449="","",INDEX(상세표[기록 수],$P1449))</f>
        <v/>
      </c>
      <c r="J1449">
        <f>IF($P1449="","",INDEX(상세표[블록 06~07시],$P1449))</f>
        <v/>
      </c>
      <c r="K1449">
        <f>IF($P1449="","",INDEX(상세표[블록 07~18시],$P1449))</f>
        <v/>
      </c>
      <c r="L1449">
        <f>IF($P1449="","",INDEX(상세표[블록 18~22시],$P1449))</f>
        <v/>
      </c>
      <c r="M1449">
        <f>IF($P1449="","",INDEX(상세표[블록 22~06시],$P1449))</f>
        <v/>
      </c>
      <c r="N1449">
        <f>IF($P1449="","",INDEX(상세표[주말·휴일 포함],$P1449)&amp;"")</f>
        <v/>
      </c>
      <c r="O1449">
        <f>IF($P1449="","",INDEX(상세표[월 넘김 포함],$P1449)&amp;"")</f>
        <v/>
      </c>
      <c r="P1449" s="4">
        <f>IFERROR(MATCH(1444,상세표[연속순번],0),"")</f>
        <v/>
      </c>
    </row>
    <row r="1450">
      <c r="A1450">
        <f>IF($P1450="","",INDEX(상세표[사번],$P1450)&amp;"")</f>
        <v/>
      </c>
      <c r="B1450">
        <f>IF($P1450="","",INDEX(상세표[성명],$P1450)&amp;"")</f>
        <v/>
      </c>
      <c r="C1450">
        <f>IF($P1450="","",INDEX(상세표[부서],$P1450)&amp;"")</f>
        <v/>
      </c>
      <c r="D1450">
        <f>IF($P1450="","",INDEX(상세표[직위],$P1450)&amp;"")</f>
        <v/>
      </c>
      <c r="E1450">
        <f>IF($P1450="","",IF(ISNUMBER(INDEX(상세표[시작],$P1450)),TEXT(INDEX(상세표[시작],$P1450),"yyyy-mm-dd hh:mm"),INDEX(상세표[시작],$P1450)&amp;""))</f>
        <v/>
      </c>
      <c r="F1450">
        <f>IF($P1450="","",IF(ISNUMBER(INDEX(상세표[블록종료],$P1450)),TEXT(INDEX(상세표[블록종료],$P1450),"yyyy-mm-dd hh:mm"),INDEX(상세표[블록종료],$P1450)&amp;""))</f>
        <v/>
      </c>
      <c r="G1450">
        <f>IF($P1450="","",CHOOSE(WEEKDAY(INDEX(상세표[시작],$P1450)),"일","월","화","수","목","금","토"))</f>
        <v/>
      </c>
      <c r="H1450">
        <f>IF($P1450="","",INDEX(상세표[연속 시간],$P1450))</f>
        <v/>
      </c>
      <c r="I1450">
        <f>IF($P1450="","",INDEX(상세표[기록 수],$P1450))</f>
        <v/>
      </c>
      <c r="J1450">
        <f>IF($P1450="","",INDEX(상세표[블록 06~07시],$P1450))</f>
        <v/>
      </c>
      <c r="K1450">
        <f>IF($P1450="","",INDEX(상세표[블록 07~18시],$P1450))</f>
        <v/>
      </c>
      <c r="L1450">
        <f>IF($P1450="","",INDEX(상세표[블록 18~22시],$P1450))</f>
        <v/>
      </c>
      <c r="M1450">
        <f>IF($P1450="","",INDEX(상세표[블록 22~06시],$P1450))</f>
        <v/>
      </c>
      <c r="N1450">
        <f>IF($P1450="","",INDEX(상세표[주말·휴일 포함],$P1450)&amp;"")</f>
        <v/>
      </c>
      <c r="O1450">
        <f>IF($P1450="","",INDEX(상세표[월 넘김 포함],$P1450)&amp;"")</f>
        <v/>
      </c>
      <c r="P1450" s="4">
        <f>IFERROR(MATCH(1445,상세표[연속순번],0),"")</f>
        <v/>
      </c>
    </row>
    <row r="1451">
      <c r="A1451">
        <f>IF($P1451="","",INDEX(상세표[사번],$P1451)&amp;"")</f>
        <v/>
      </c>
      <c r="B1451">
        <f>IF($P1451="","",INDEX(상세표[성명],$P1451)&amp;"")</f>
        <v/>
      </c>
      <c r="C1451">
        <f>IF($P1451="","",INDEX(상세표[부서],$P1451)&amp;"")</f>
        <v/>
      </c>
      <c r="D1451">
        <f>IF($P1451="","",INDEX(상세표[직위],$P1451)&amp;"")</f>
        <v/>
      </c>
      <c r="E1451">
        <f>IF($P1451="","",IF(ISNUMBER(INDEX(상세표[시작],$P1451)),TEXT(INDEX(상세표[시작],$P1451),"yyyy-mm-dd hh:mm"),INDEX(상세표[시작],$P1451)&amp;""))</f>
        <v/>
      </c>
      <c r="F1451">
        <f>IF($P1451="","",IF(ISNUMBER(INDEX(상세표[블록종료],$P1451)),TEXT(INDEX(상세표[블록종료],$P1451),"yyyy-mm-dd hh:mm"),INDEX(상세표[블록종료],$P1451)&amp;""))</f>
        <v/>
      </c>
      <c r="G1451">
        <f>IF($P1451="","",CHOOSE(WEEKDAY(INDEX(상세표[시작],$P1451)),"일","월","화","수","목","금","토"))</f>
        <v/>
      </c>
      <c r="H1451">
        <f>IF($P1451="","",INDEX(상세표[연속 시간],$P1451))</f>
        <v/>
      </c>
      <c r="I1451">
        <f>IF($P1451="","",INDEX(상세표[기록 수],$P1451))</f>
        <v/>
      </c>
      <c r="J1451">
        <f>IF($P1451="","",INDEX(상세표[블록 06~07시],$P1451))</f>
        <v/>
      </c>
      <c r="K1451">
        <f>IF($P1451="","",INDEX(상세표[블록 07~18시],$P1451))</f>
        <v/>
      </c>
      <c r="L1451">
        <f>IF($P1451="","",INDEX(상세표[블록 18~22시],$P1451))</f>
        <v/>
      </c>
      <c r="M1451">
        <f>IF($P1451="","",INDEX(상세표[블록 22~06시],$P1451))</f>
        <v/>
      </c>
      <c r="N1451">
        <f>IF($P1451="","",INDEX(상세표[주말·휴일 포함],$P1451)&amp;"")</f>
        <v/>
      </c>
      <c r="O1451">
        <f>IF($P1451="","",INDEX(상세표[월 넘김 포함],$P1451)&amp;"")</f>
        <v/>
      </c>
      <c r="P1451" s="4">
        <f>IFERROR(MATCH(1446,상세표[연속순번],0),"")</f>
        <v/>
      </c>
    </row>
    <row r="1452">
      <c r="A1452">
        <f>IF($P1452="","",INDEX(상세표[사번],$P1452)&amp;"")</f>
        <v/>
      </c>
      <c r="B1452">
        <f>IF($P1452="","",INDEX(상세표[성명],$P1452)&amp;"")</f>
        <v/>
      </c>
      <c r="C1452">
        <f>IF($P1452="","",INDEX(상세표[부서],$P1452)&amp;"")</f>
        <v/>
      </c>
      <c r="D1452">
        <f>IF($P1452="","",INDEX(상세표[직위],$P1452)&amp;"")</f>
        <v/>
      </c>
      <c r="E1452">
        <f>IF($P1452="","",IF(ISNUMBER(INDEX(상세표[시작],$P1452)),TEXT(INDEX(상세표[시작],$P1452),"yyyy-mm-dd hh:mm"),INDEX(상세표[시작],$P1452)&amp;""))</f>
        <v/>
      </c>
      <c r="F1452">
        <f>IF($P1452="","",IF(ISNUMBER(INDEX(상세표[블록종료],$P1452)),TEXT(INDEX(상세표[블록종료],$P1452),"yyyy-mm-dd hh:mm"),INDEX(상세표[블록종료],$P1452)&amp;""))</f>
        <v/>
      </c>
      <c r="G1452">
        <f>IF($P1452="","",CHOOSE(WEEKDAY(INDEX(상세표[시작],$P1452)),"일","월","화","수","목","금","토"))</f>
        <v/>
      </c>
      <c r="H1452">
        <f>IF($P1452="","",INDEX(상세표[연속 시간],$P1452))</f>
        <v/>
      </c>
      <c r="I1452">
        <f>IF($P1452="","",INDEX(상세표[기록 수],$P1452))</f>
        <v/>
      </c>
      <c r="J1452">
        <f>IF($P1452="","",INDEX(상세표[블록 06~07시],$P1452))</f>
        <v/>
      </c>
      <c r="K1452">
        <f>IF($P1452="","",INDEX(상세표[블록 07~18시],$P1452))</f>
        <v/>
      </c>
      <c r="L1452">
        <f>IF($P1452="","",INDEX(상세표[블록 18~22시],$P1452))</f>
        <v/>
      </c>
      <c r="M1452">
        <f>IF($P1452="","",INDEX(상세표[블록 22~06시],$P1452))</f>
        <v/>
      </c>
      <c r="N1452">
        <f>IF($P1452="","",INDEX(상세표[주말·휴일 포함],$P1452)&amp;"")</f>
        <v/>
      </c>
      <c r="O1452">
        <f>IF($P1452="","",INDEX(상세표[월 넘김 포함],$P1452)&amp;"")</f>
        <v/>
      </c>
      <c r="P1452" s="4">
        <f>IFERROR(MATCH(1447,상세표[연속순번],0),"")</f>
        <v/>
      </c>
    </row>
    <row r="1453">
      <c r="A1453">
        <f>IF($P1453="","",INDEX(상세표[사번],$P1453)&amp;"")</f>
        <v/>
      </c>
      <c r="B1453">
        <f>IF($P1453="","",INDEX(상세표[성명],$P1453)&amp;"")</f>
        <v/>
      </c>
      <c r="C1453">
        <f>IF($P1453="","",INDEX(상세표[부서],$P1453)&amp;"")</f>
        <v/>
      </c>
      <c r="D1453">
        <f>IF($P1453="","",INDEX(상세표[직위],$P1453)&amp;"")</f>
        <v/>
      </c>
      <c r="E1453">
        <f>IF($P1453="","",IF(ISNUMBER(INDEX(상세표[시작],$P1453)),TEXT(INDEX(상세표[시작],$P1453),"yyyy-mm-dd hh:mm"),INDEX(상세표[시작],$P1453)&amp;""))</f>
        <v/>
      </c>
      <c r="F1453">
        <f>IF($P1453="","",IF(ISNUMBER(INDEX(상세표[블록종료],$P1453)),TEXT(INDEX(상세표[블록종료],$P1453),"yyyy-mm-dd hh:mm"),INDEX(상세표[블록종료],$P1453)&amp;""))</f>
        <v/>
      </c>
      <c r="G1453">
        <f>IF($P1453="","",CHOOSE(WEEKDAY(INDEX(상세표[시작],$P1453)),"일","월","화","수","목","금","토"))</f>
        <v/>
      </c>
      <c r="H1453">
        <f>IF($P1453="","",INDEX(상세표[연속 시간],$P1453))</f>
        <v/>
      </c>
      <c r="I1453">
        <f>IF($P1453="","",INDEX(상세표[기록 수],$P1453))</f>
        <v/>
      </c>
      <c r="J1453">
        <f>IF($P1453="","",INDEX(상세표[블록 06~07시],$P1453))</f>
        <v/>
      </c>
      <c r="K1453">
        <f>IF($P1453="","",INDEX(상세표[블록 07~18시],$P1453))</f>
        <v/>
      </c>
      <c r="L1453">
        <f>IF($P1453="","",INDEX(상세표[블록 18~22시],$P1453))</f>
        <v/>
      </c>
      <c r="M1453">
        <f>IF($P1453="","",INDEX(상세표[블록 22~06시],$P1453))</f>
        <v/>
      </c>
      <c r="N1453">
        <f>IF($P1453="","",INDEX(상세표[주말·휴일 포함],$P1453)&amp;"")</f>
        <v/>
      </c>
      <c r="O1453">
        <f>IF($P1453="","",INDEX(상세표[월 넘김 포함],$P1453)&amp;"")</f>
        <v/>
      </c>
      <c r="P1453" s="4">
        <f>IFERROR(MATCH(1448,상세표[연속순번],0),"")</f>
        <v/>
      </c>
    </row>
    <row r="1454">
      <c r="A1454">
        <f>IF($P1454="","",INDEX(상세표[사번],$P1454)&amp;"")</f>
        <v/>
      </c>
      <c r="B1454">
        <f>IF($P1454="","",INDEX(상세표[성명],$P1454)&amp;"")</f>
        <v/>
      </c>
      <c r="C1454">
        <f>IF($P1454="","",INDEX(상세표[부서],$P1454)&amp;"")</f>
        <v/>
      </c>
      <c r="D1454">
        <f>IF($P1454="","",INDEX(상세표[직위],$P1454)&amp;"")</f>
        <v/>
      </c>
      <c r="E1454">
        <f>IF($P1454="","",IF(ISNUMBER(INDEX(상세표[시작],$P1454)),TEXT(INDEX(상세표[시작],$P1454),"yyyy-mm-dd hh:mm"),INDEX(상세표[시작],$P1454)&amp;""))</f>
        <v/>
      </c>
      <c r="F1454">
        <f>IF($P1454="","",IF(ISNUMBER(INDEX(상세표[블록종료],$P1454)),TEXT(INDEX(상세표[블록종료],$P1454),"yyyy-mm-dd hh:mm"),INDEX(상세표[블록종료],$P1454)&amp;""))</f>
        <v/>
      </c>
      <c r="G1454">
        <f>IF($P1454="","",CHOOSE(WEEKDAY(INDEX(상세표[시작],$P1454)),"일","월","화","수","목","금","토"))</f>
        <v/>
      </c>
      <c r="H1454">
        <f>IF($P1454="","",INDEX(상세표[연속 시간],$P1454))</f>
        <v/>
      </c>
      <c r="I1454">
        <f>IF($P1454="","",INDEX(상세표[기록 수],$P1454))</f>
        <v/>
      </c>
      <c r="J1454">
        <f>IF($P1454="","",INDEX(상세표[블록 06~07시],$P1454))</f>
        <v/>
      </c>
      <c r="K1454">
        <f>IF($P1454="","",INDEX(상세표[블록 07~18시],$P1454))</f>
        <v/>
      </c>
      <c r="L1454">
        <f>IF($P1454="","",INDEX(상세표[블록 18~22시],$P1454))</f>
        <v/>
      </c>
      <c r="M1454">
        <f>IF($P1454="","",INDEX(상세표[블록 22~06시],$P1454))</f>
        <v/>
      </c>
      <c r="N1454">
        <f>IF($P1454="","",INDEX(상세표[주말·휴일 포함],$P1454)&amp;"")</f>
        <v/>
      </c>
      <c r="O1454">
        <f>IF($P1454="","",INDEX(상세표[월 넘김 포함],$P1454)&amp;"")</f>
        <v/>
      </c>
      <c r="P1454" s="4">
        <f>IFERROR(MATCH(1449,상세표[연속순번],0),"")</f>
        <v/>
      </c>
    </row>
    <row r="1455">
      <c r="A1455">
        <f>IF($P1455="","",INDEX(상세표[사번],$P1455)&amp;"")</f>
        <v/>
      </c>
      <c r="B1455">
        <f>IF($P1455="","",INDEX(상세표[성명],$P1455)&amp;"")</f>
        <v/>
      </c>
      <c r="C1455">
        <f>IF($P1455="","",INDEX(상세표[부서],$P1455)&amp;"")</f>
        <v/>
      </c>
      <c r="D1455">
        <f>IF($P1455="","",INDEX(상세표[직위],$P1455)&amp;"")</f>
        <v/>
      </c>
      <c r="E1455">
        <f>IF($P1455="","",IF(ISNUMBER(INDEX(상세표[시작],$P1455)),TEXT(INDEX(상세표[시작],$P1455),"yyyy-mm-dd hh:mm"),INDEX(상세표[시작],$P1455)&amp;""))</f>
        <v/>
      </c>
      <c r="F1455">
        <f>IF($P1455="","",IF(ISNUMBER(INDEX(상세표[블록종료],$P1455)),TEXT(INDEX(상세표[블록종료],$P1455),"yyyy-mm-dd hh:mm"),INDEX(상세표[블록종료],$P1455)&amp;""))</f>
        <v/>
      </c>
      <c r="G1455">
        <f>IF($P1455="","",CHOOSE(WEEKDAY(INDEX(상세표[시작],$P1455)),"일","월","화","수","목","금","토"))</f>
        <v/>
      </c>
      <c r="H1455">
        <f>IF($P1455="","",INDEX(상세표[연속 시간],$P1455))</f>
        <v/>
      </c>
      <c r="I1455">
        <f>IF($P1455="","",INDEX(상세표[기록 수],$P1455))</f>
        <v/>
      </c>
      <c r="J1455">
        <f>IF($P1455="","",INDEX(상세표[블록 06~07시],$P1455))</f>
        <v/>
      </c>
      <c r="K1455">
        <f>IF($P1455="","",INDEX(상세표[블록 07~18시],$P1455))</f>
        <v/>
      </c>
      <c r="L1455">
        <f>IF($P1455="","",INDEX(상세표[블록 18~22시],$P1455))</f>
        <v/>
      </c>
      <c r="M1455">
        <f>IF($P1455="","",INDEX(상세표[블록 22~06시],$P1455))</f>
        <v/>
      </c>
      <c r="N1455">
        <f>IF($P1455="","",INDEX(상세표[주말·휴일 포함],$P1455)&amp;"")</f>
        <v/>
      </c>
      <c r="O1455">
        <f>IF($P1455="","",INDEX(상세표[월 넘김 포함],$P1455)&amp;"")</f>
        <v/>
      </c>
      <c r="P1455" s="4">
        <f>IFERROR(MATCH(1450,상세표[연속순번],0),"")</f>
        <v/>
      </c>
    </row>
    <row r="1456">
      <c r="A1456">
        <f>IF($P1456="","",INDEX(상세표[사번],$P1456)&amp;"")</f>
        <v/>
      </c>
      <c r="B1456">
        <f>IF($P1456="","",INDEX(상세표[성명],$P1456)&amp;"")</f>
        <v/>
      </c>
      <c r="C1456">
        <f>IF($P1456="","",INDEX(상세표[부서],$P1456)&amp;"")</f>
        <v/>
      </c>
      <c r="D1456">
        <f>IF($P1456="","",INDEX(상세표[직위],$P1456)&amp;"")</f>
        <v/>
      </c>
      <c r="E1456">
        <f>IF($P1456="","",IF(ISNUMBER(INDEX(상세표[시작],$P1456)),TEXT(INDEX(상세표[시작],$P1456),"yyyy-mm-dd hh:mm"),INDEX(상세표[시작],$P1456)&amp;""))</f>
        <v/>
      </c>
      <c r="F1456">
        <f>IF($P1456="","",IF(ISNUMBER(INDEX(상세표[블록종료],$P1456)),TEXT(INDEX(상세표[블록종료],$P1456),"yyyy-mm-dd hh:mm"),INDEX(상세표[블록종료],$P1456)&amp;""))</f>
        <v/>
      </c>
      <c r="G1456">
        <f>IF($P1456="","",CHOOSE(WEEKDAY(INDEX(상세표[시작],$P1456)),"일","월","화","수","목","금","토"))</f>
        <v/>
      </c>
      <c r="H1456">
        <f>IF($P1456="","",INDEX(상세표[연속 시간],$P1456))</f>
        <v/>
      </c>
      <c r="I1456">
        <f>IF($P1456="","",INDEX(상세표[기록 수],$P1456))</f>
        <v/>
      </c>
      <c r="J1456">
        <f>IF($P1456="","",INDEX(상세표[블록 06~07시],$P1456))</f>
        <v/>
      </c>
      <c r="K1456">
        <f>IF($P1456="","",INDEX(상세표[블록 07~18시],$P1456))</f>
        <v/>
      </c>
      <c r="L1456">
        <f>IF($P1456="","",INDEX(상세표[블록 18~22시],$P1456))</f>
        <v/>
      </c>
      <c r="M1456">
        <f>IF($P1456="","",INDEX(상세표[블록 22~06시],$P1456))</f>
        <v/>
      </c>
      <c r="N1456">
        <f>IF($P1456="","",INDEX(상세표[주말·휴일 포함],$P1456)&amp;"")</f>
        <v/>
      </c>
      <c r="O1456">
        <f>IF($P1456="","",INDEX(상세표[월 넘김 포함],$P1456)&amp;"")</f>
        <v/>
      </c>
      <c r="P1456" s="4">
        <f>IFERROR(MATCH(1451,상세표[연속순번],0),"")</f>
        <v/>
      </c>
    </row>
    <row r="1457">
      <c r="A1457">
        <f>IF($P1457="","",INDEX(상세표[사번],$P1457)&amp;"")</f>
        <v/>
      </c>
      <c r="B1457">
        <f>IF($P1457="","",INDEX(상세표[성명],$P1457)&amp;"")</f>
        <v/>
      </c>
      <c r="C1457">
        <f>IF($P1457="","",INDEX(상세표[부서],$P1457)&amp;"")</f>
        <v/>
      </c>
      <c r="D1457">
        <f>IF($P1457="","",INDEX(상세표[직위],$P1457)&amp;"")</f>
        <v/>
      </c>
      <c r="E1457">
        <f>IF($P1457="","",IF(ISNUMBER(INDEX(상세표[시작],$P1457)),TEXT(INDEX(상세표[시작],$P1457),"yyyy-mm-dd hh:mm"),INDEX(상세표[시작],$P1457)&amp;""))</f>
        <v/>
      </c>
      <c r="F1457">
        <f>IF($P1457="","",IF(ISNUMBER(INDEX(상세표[블록종료],$P1457)),TEXT(INDEX(상세표[블록종료],$P1457),"yyyy-mm-dd hh:mm"),INDEX(상세표[블록종료],$P1457)&amp;""))</f>
        <v/>
      </c>
      <c r="G1457">
        <f>IF($P1457="","",CHOOSE(WEEKDAY(INDEX(상세표[시작],$P1457)),"일","월","화","수","목","금","토"))</f>
        <v/>
      </c>
      <c r="H1457">
        <f>IF($P1457="","",INDEX(상세표[연속 시간],$P1457))</f>
        <v/>
      </c>
      <c r="I1457">
        <f>IF($P1457="","",INDEX(상세표[기록 수],$P1457))</f>
        <v/>
      </c>
      <c r="J1457">
        <f>IF($P1457="","",INDEX(상세표[블록 06~07시],$P1457))</f>
        <v/>
      </c>
      <c r="K1457">
        <f>IF($P1457="","",INDEX(상세표[블록 07~18시],$P1457))</f>
        <v/>
      </c>
      <c r="L1457">
        <f>IF($P1457="","",INDEX(상세표[블록 18~22시],$P1457))</f>
        <v/>
      </c>
      <c r="M1457">
        <f>IF($P1457="","",INDEX(상세표[블록 22~06시],$P1457))</f>
        <v/>
      </c>
      <c r="N1457">
        <f>IF($P1457="","",INDEX(상세표[주말·휴일 포함],$P1457)&amp;"")</f>
        <v/>
      </c>
      <c r="O1457">
        <f>IF($P1457="","",INDEX(상세표[월 넘김 포함],$P1457)&amp;"")</f>
        <v/>
      </c>
      <c r="P1457" s="4">
        <f>IFERROR(MATCH(1452,상세표[연속순번],0),"")</f>
        <v/>
      </c>
    </row>
    <row r="1458">
      <c r="A1458">
        <f>IF($P1458="","",INDEX(상세표[사번],$P1458)&amp;"")</f>
        <v/>
      </c>
      <c r="B1458">
        <f>IF($P1458="","",INDEX(상세표[성명],$P1458)&amp;"")</f>
        <v/>
      </c>
      <c r="C1458">
        <f>IF($P1458="","",INDEX(상세표[부서],$P1458)&amp;"")</f>
        <v/>
      </c>
      <c r="D1458">
        <f>IF($P1458="","",INDEX(상세표[직위],$P1458)&amp;"")</f>
        <v/>
      </c>
      <c r="E1458">
        <f>IF($P1458="","",IF(ISNUMBER(INDEX(상세표[시작],$P1458)),TEXT(INDEX(상세표[시작],$P1458),"yyyy-mm-dd hh:mm"),INDEX(상세표[시작],$P1458)&amp;""))</f>
        <v/>
      </c>
      <c r="F1458">
        <f>IF($P1458="","",IF(ISNUMBER(INDEX(상세표[블록종료],$P1458)),TEXT(INDEX(상세표[블록종료],$P1458),"yyyy-mm-dd hh:mm"),INDEX(상세표[블록종료],$P1458)&amp;""))</f>
        <v/>
      </c>
      <c r="G1458">
        <f>IF($P1458="","",CHOOSE(WEEKDAY(INDEX(상세표[시작],$P1458)),"일","월","화","수","목","금","토"))</f>
        <v/>
      </c>
      <c r="H1458">
        <f>IF($P1458="","",INDEX(상세표[연속 시간],$P1458))</f>
        <v/>
      </c>
      <c r="I1458">
        <f>IF($P1458="","",INDEX(상세표[기록 수],$P1458))</f>
        <v/>
      </c>
      <c r="J1458">
        <f>IF($P1458="","",INDEX(상세표[블록 06~07시],$P1458))</f>
        <v/>
      </c>
      <c r="K1458">
        <f>IF($P1458="","",INDEX(상세표[블록 07~18시],$P1458))</f>
        <v/>
      </c>
      <c r="L1458">
        <f>IF($P1458="","",INDEX(상세표[블록 18~22시],$P1458))</f>
        <v/>
      </c>
      <c r="M1458">
        <f>IF($P1458="","",INDEX(상세표[블록 22~06시],$P1458))</f>
        <v/>
      </c>
      <c r="N1458">
        <f>IF($P1458="","",INDEX(상세표[주말·휴일 포함],$P1458)&amp;"")</f>
        <v/>
      </c>
      <c r="O1458">
        <f>IF($P1458="","",INDEX(상세표[월 넘김 포함],$P1458)&amp;"")</f>
        <v/>
      </c>
      <c r="P1458" s="4">
        <f>IFERROR(MATCH(1453,상세표[연속순번],0),"")</f>
        <v/>
      </c>
    </row>
    <row r="1459">
      <c r="A1459">
        <f>IF($P1459="","",INDEX(상세표[사번],$P1459)&amp;"")</f>
        <v/>
      </c>
      <c r="B1459">
        <f>IF($P1459="","",INDEX(상세표[성명],$P1459)&amp;"")</f>
        <v/>
      </c>
      <c r="C1459">
        <f>IF($P1459="","",INDEX(상세표[부서],$P1459)&amp;"")</f>
        <v/>
      </c>
      <c r="D1459">
        <f>IF($P1459="","",INDEX(상세표[직위],$P1459)&amp;"")</f>
        <v/>
      </c>
      <c r="E1459">
        <f>IF($P1459="","",IF(ISNUMBER(INDEX(상세표[시작],$P1459)),TEXT(INDEX(상세표[시작],$P1459),"yyyy-mm-dd hh:mm"),INDEX(상세표[시작],$P1459)&amp;""))</f>
        <v/>
      </c>
      <c r="F1459">
        <f>IF($P1459="","",IF(ISNUMBER(INDEX(상세표[블록종료],$P1459)),TEXT(INDEX(상세표[블록종료],$P1459),"yyyy-mm-dd hh:mm"),INDEX(상세표[블록종료],$P1459)&amp;""))</f>
        <v/>
      </c>
      <c r="G1459">
        <f>IF($P1459="","",CHOOSE(WEEKDAY(INDEX(상세표[시작],$P1459)),"일","월","화","수","목","금","토"))</f>
        <v/>
      </c>
      <c r="H1459">
        <f>IF($P1459="","",INDEX(상세표[연속 시간],$P1459))</f>
        <v/>
      </c>
      <c r="I1459">
        <f>IF($P1459="","",INDEX(상세표[기록 수],$P1459))</f>
        <v/>
      </c>
      <c r="J1459">
        <f>IF($P1459="","",INDEX(상세표[블록 06~07시],$P1459))</f>
        <v/>
      </c>
      <c r="K1459">
        <f>IF($P1459="","",INDEX(상세표[블록 07~18시],$P1459))</f>
        <v/>
      </c>
      <c r="L1459">
        <f>IF($P1459="","",INDEX(상세표[블록 18~22시],$P1459))</f>
        <v/>
      </c>
      <c r="M1459">
        <f>IF($P1459="","",INDEX(상세표[블록 22~06시],$P1459))</f>
        <v/>
      </c>
      <c r="N1459">
        <f>IF($P1459="","",INDEX(상세표[주말·휴일 포함],$P1459)&amp;"")</f>
        <v/>
      </c>
      <c r="O1459">
        <f>IF($P1459="","",INDEX(상세표[월 넘김 포함],$P1459)&amp;"")</f>
        <v/>
      </c>
      <c r="P1459" s="4">
        <f>IFERROR(MATCH(1454,상세표[연속순번],0),"")</f>
        <v/>
      </c>
    </row>
    <row r="1460">
      <c r="A1460">
        <f>IF($P1460="","",INDEX(상세표[사번],$P1460)&amp;"")</f>
        <v/>
      </c>
      <c r="B1460">
        <f>IF($P1460="","",INDEX(상세표[성명],$P1460)&amp;"")</f>
        <v/>
      </c>
      <c r="C1460">
        <f>IF($P1460="","",INDEX(상세표[부서],$P1460)&amp;"")</f>
        <v/>
      </c>
      <c r="D1460">
        <f>IF($P1460="","",INDEX(상세표[직위],$P1460)&amp;"")</f>
        <v/>
      </c>
      <c r="E1460">
        <f>IF($P1460="","",IF(ISNUMBER(INDEX(상세표[시작],$P1460)),TEXT(INDEX(상세표[시작],$P1460),"yyyy-mm-dd hh:mm"),INDEX(상세표[시작],$P1460)&amp;""))</f>
        <v/>
      </c>
      <c r="F1460">
        <f>IF($P1460="","",IF(ISNUMBER(INDEX(상세표[블록종료],$P1460)),TEXT(INDEX(상세표[블록종료],$P1460),"yyyy-mm-dd hh:mm"),INDEX(상세표[블록종료],$P1460)&amp;""))</f>
        <v/>
      </c>
      <c r="G1460">
        <f>IF($P1460="","",CHOOSE(WEEKDAY(INDEX(상세표[시작],$P1460)),"일","월","화","수","목","금","토"))</f>
        <v/>
      </c>
      <c r="H1460">
        <f>IF($P1460="","",INDEX(상세표[연속 시간],$P1460))</f>
        <v/>
      </c>
      <c r="I1460">
        <f>IF($P1460="","",INDEX(상세표[기록 수],$P1460))</f>
        <v/>
      </c>
      <c r="J1460">
        <f>IF($P1460="","",INDEX(상세표[블록 06~07시],$P1460))</f>
        <v/>
      </c>
      <c r="K1460">
        <f>IF($P1460="","",INDEX(상세표[블록 07~18시],$P1460))</f>
        <v/>
      </c>
      <c r="L1460">
        <f>IF($P1460="","",INDEX(상세표[블록 18~22시],$P1460))</f>
        <v/>
      </c>
      <c r="M1460">
        <f>IF($P1460="","",INDEX(상세표[블록 22~06시],$P1460))</f>
        <v/>
      </c>
      <c r="N1460">
        <f>IF($P1460="","",INDEX(상세표[주말·휴일 포함],$P1460)&amp;"")</f>
        <v/>
      </c>
      <c r="O1460">
        <f>IF($P1460="","",INDEX(상세표[월 넘김 포함],$P1460)&amp;"")</f>
        <v/>
      </c>
      <c r="P1460" s="4">
        <f>IFERROR(MATCH(1455,상세표[연속순번],0),"")</f>
        <v/>
      </c>
    </row>
    <row r="1461">
      <c r="A1461">
        <f>IF($P1461="","",INDEX(상세표[사번],$P1461)&amp;"")</f>
        <v/>
      </c>
      <c r="B1461">
        <f>IF($P1461="","",INDEX(상세표[성명],$P1461)&amp;"")</f>
        <v/>
      </c>
      <c r="C1461">
        <f>IF($P1461="","",INDEX(상세표[부서],$P1461)&amp;"")</f>
        <v/>
      </c>
      <c r="D1461">
        <f>IF($P1461="","",INDEX(상세표[직위],$P1461)&amp;"")</f>
        <v/>
      </c>
      <c r="E1461">
        <f>IF($P1461="","",IF(ISNUMBER(INDEX(상세표[시작],$P1461)),TEXT(INDEX(상세표[시작],$P1461),"yyyy-mm-dd hh:mm"),INDEX(상세표[시작],$P1461)&amp;""))</f>
        <v/>
      </c>
      <c r="F1461">
        <f>IF($P1461="","",IF(ISNUMBER(INDEX(상세표[블록종료],$P1461)),TEXT(INDEX(상세표[블록종료],$P1461),"yyyy-mm-dd hh:mm"),INDEX(상세표[블록종료],$P1461)&amp;""))</f>
        <v/>
      </c>
      <c r="G1461">
        <f>IF($P1461="","",CHOOSE(WEEKDAY(INDEX(상세표[시작],$P1461)),"일","월","화","수","목","금","토"))</f>
        <v/>
      </c>
      <c r="H1461">
        <f>IF($P1461="","",INDEX(상세표[연속 시간],$P1461))</f>
        <v/>
      </c>
      <c r="I1461">
        <f>IF($P1461="","",INDEX(상세표[기록 수],$P1461))</f>
        <v/>
      </c>
      <c r="J1461">
        <f>IF($P1461="","",INDEX(상세표[블록 06~07시],$P1461))</f>
        <v/>
      </c>
      <c r="K1461">
        <f>IF($P1461="","",INDEX(상세표[블록 07~18시],$P1461))</f>
        <v/>
      </c>
      <c r="L1461">
        <f>IF($P1461="","",INDEX(상세표[블록 18~22시],$P1461))</f>
        <v/>
      </c>
      <c r="M1461">
        <f>IF($P1461="","",INDEX(상세표[블록 22~06시],$P1461))</f>
        <v/>
      </c>
      <c r="N1461">
        <f>IF($P1461="","",INDEX(상세표[주말·휴일 포함],$P1461)&amp;"")</f>
        <v/>
      </c>
      <c r="O1461">
        <f>IF($P1461="","",INDEX(상세표[월 넘김 포함],$P1461)&amp;"")</f>
        <v/>
      </c>
      <c r="P1461" s="4">
        <f>IFERROR(MATCH(1456,상세표[연속순번],0),"")</f>
        <v/>
      </c>
    </row>
    <row r="1462">
      <c r="A1462">
        <f>IF($P1462="","",INDEX(상세표[사번],$P1462)&amp;"")</f>
        <v/>
      </c>
      <c r="B1462">
        <f>IF($P1462="","",INDEX(상세표[성명],$P1462)&amp;"")</f>
        <v/>
      </c>
      <c r="C1462">
        <f>IF($P1462="","",INDEX(상세표[부서],$P1462)&amp;"")</f>
        <v/>
      </c>
      <c r="D1462">
        <f>IF($P1462="","",INDEX(상세표[직위],$P1462)&amp;"")</f>
        <v/>
      </c>
      <c r="E1462">
        <f>IF($P1462="","",IF(ISNUMBER(INDEX(상세표[시작],$P1462)),TEXT(INDEX(상세표[시작],$P1462),"yyyy-mm-dd hh:mm"),INDEX(상세표[시작],$P1462)&amp;""))</f>
        <v/>
      </c>
      <c r="F1462">
        <f>IF($P1462="","",IF(ISNUMBER(INDEX(상세표[블록종료],$P1462)),TEXT(INDEX(상세표[블록종료],$P1462),"yyyy-mm-dd hh:mm"),INDEX(상세표[블록종료],$P1462)&amp;""))</f>
        <v/>
      </c>
      <c r="G1462">
        <f>IF($P1462="","",CHOOSE(WEEKDAY(INDEX(상세표[시작],$P1462)),"일","월","화","수","목","금","토"))</f>
        <v/>
      </c>
      <c r="H1462">
        <f>IF($P1462="","",INDEX(상세표[연속 시간],$P1462))</f>
        <v/>
      </c>
      <c r="I1462">
        <f>IF($P1462="","",INDEX(상세표[기록 수],$P1462))</f>
        <v/>
      </c>
      <c r="J1462">
        <f>IF($P1462="","",INDEX(상세표[블록 06~07시],$P1462))</f>
        <v/>
      </c>
      <c r="K1462">
        <f>IF($P1462="","",INDEX(상세표[블록 07~18시],$P1462))</f>
        <v/>
      </c>
      <c r="L1462">
        <f>IF($P1462="","",INDEX(상세표[블록 18~22시],$P1462))</f>
        <v/>
      </c>
      <c r="M1462">
        <f>IF($P1462="","",INDEX(상세표[블록 22~06시],$P1462))</f>
        <v/>
      </c>
      <c r="N1462">
        <f>IF($P1462="","",INDEX(상세표[주말·휴일 포함],$P1462)&amp;"")</f>
        <v/>
      </c>
      <c r="O1462">
        <f>IF($P1462="","",INDEX(상세표[월 넘김 포함],$P1462)&amp;"")</f>
        <v/>
      </c>
      <c r="P1462" s="4">
        <f>IFERROR(MATCH(1457,상세표[연속순번],0),"")</f>
        <v/>
      </c>
    </row>
    <row r="1463">
      <c r="A1463">
        <f>IF($P1463="","",INDEX(상세표[사번],$P1463)&amp;"")</f>
        <v/>
      </c>
      <c r="B1463">
        <f>IF($P1463="","",INDEX(상세표[성명],$P1463)&amp;"")</f>
        <v/>
      </c>
      <c r="C1463">
        <f>IF($P1463="","",INDEX(상세표[부서],$P1463)&amp;"")</f>
        <v/>
      </c>
      <c r="D1463">
        <f>IF($P1463="","",INDEX(상세표[직위],$P1463)&amp;"")</f>
        <v/>
      </c>
      <c r="E1463">
        <f>IF($P1463="","",IF(ISNUMBER(INDEX(상세표[시작],$P1463)),TEXT(INDEX(상세표[시작],$P1463),"yyyy-mm-dd hh:mm"),INDEX(상세표[시작],$P1463)&amp;""))</f>
        <v/>
      </c>
      <c r="F1463">
        <f>IF($P1463="","",IF(ISNUMBER(INDEX(상세표[블록종료],$P1463)),TEXT(INDEX(상세표[블록종료],$P1463),"yyyy-mm-dd hh:mm"),INDEX(상세표[블록종료],$P1463)&amp;""))</f>
        <v/>
      </c>
      <c r="G1463">
        <f>IF($P1463="","",CHOOSE(WEEKDAY(INDEX(상세표[시작],$P1463)),"일","월","화","수","목","금","토"))</f>
        <v/>
      </c>
      <c r="H1463">
        <f>IF($P1463="","",INDEX(상세표[연속 시간],$P1463))</f>
        <v/>
      </c>
      <c r="I1463">
        <f>IF($P1463="","",INDEX(상세표[기록 수],$P1463))</f>
        <v/>
      </c>
      <c r="J1463">
        <f>IF($P1463="","",INDEX(상세표[블록 06~07시],$P1463))</f>
        <v/>
      </c>
      <c r="K1463">
        <f>IF($P1463="","",INDEX(상세표[블록 07~18시],$P1463))</f>
        <v/>
      </c>
      <c r="L1463">
        <f>IF($P1463="","",INDEX(상세표[블록 18~22시],$P1463))</f>
        <v/>
      </c>
      <c r="M1463">
        <f>IF($P1463="","",INDEX(상세표[블록 22~06시],$P1463))</f>
        <v/>
      </c>
      <c r="N1463">
        <f>IF($P1463="","",INDEX(상세표[주말·휴일 포함],$P1463)&amp;"")</f>
        <v/>
      </c>
      <c r="O1463">
        <f>IF($P1463="","",INDEX(상세표[월 넘김 포함],$P1463)&amp;"")</f>
        <v/>
      </c>
      <c r="P1463" s="4">
        <f>IFERROR(MATCH(1458,상세표[연속순번],0),"")</f>
        <v/>
      </c>
    </row>
    <row r="1464">
      <c r="A1464">
        <f>IF($P1464="","",INDEX(상세표[사번],$P1464)&amp;"")</f>
        <v/>
      </c>
      <c r="B1464">
        <f>IF($P1464="","",INDEX(상세표[성명],$P1464)&amp;"")</f>
        <v/>
      </c>
      <c r="C1464">
        <f>IF($P1464="","",INDEX(상세표[부서],$P1464)&amp;"")</f>
        <v/>
      </c>
      <c r="D1464">
        <f>IF($P1464="","",INDEX(상세표[직위],$P1464)&amp;"")</f>
        <v/>
      </c>
      <c r="E1464">
        <f>IF($P1464="","",IF(ISNUMBER(INDEX(상세표[시작],$P1464)),TEXT(INDEX(상세표[시작],$P1464),"yyyy-mm-dd hh:mm"),INDEX(상세표[시작],$P1464)&amp;""))</f>
        <v/>
      </c>
      <c r="F1464">
        <f>IF($P1464="","",IF(ISNUMBER(INDEX(상세표[블록종료],$P1464)),TEXT(INDEX(상세표[블록종료],$P1464),"yyyy-mm-dd hh:mm"),INDEX(상세표[블록종료],$P1464)&amp;""))</f>
        <v/>
      </c>
      <c r="G1464">
        <f>IF($P1464="","",CHOOSE(WEEKDAY(INDEX(상세표[시작],$P1464)),"일","월","화","수","목","금","토"))</f>
        <v/>
      </c>
      <c r="H1464">
        <f>IF($P1464="","",INDEX(상세표[연속 시간],$P1464))</f>
        <v/>
      </c>
      <c r="I1464">
        <f>IF($P1464="","",INDEX(상세표[기록 수],$P1464))</f>
        <v/>
      </c>
      <c r="J1464">
        <f>IF($P1464="","",INDEX(상세표[블록 06~07시],$P1464))</f>
        <v/>
      </c>
      <c r="K1464">
        <f>IF($P1464="","",INDEX(상세표[블록 07~18시],$P1464))</f>
        <v/>
      </c>
      <c r="L1464">
        <f>IF($P1464="","",INDEX(상세표[블록 18~22시],$P1464))</f>
        <v/>
      </c>
      <c r="M1464">
        <f>IF($P1464="","",INDEX(상세표[블록 22~06시],$P1464))</f>
        <v/>
      </c>
      <c r="N1464">
        <f>IF($P1464="","",INDEX(상세표[주말·휴일 포함],$P1464)&amp;"")</f>
        <v/>
      </c>
      <c r="O1464">
        <f>IF($P1464="","",INDEX(상세표[월 넘김 포함],$P1464)&amp;"")</f>
        <v/>
      </c>
      <c r="P1464" s="4">
        <f>IFERROR(MATCH(1459,상세표[연속순번],0),"")</f>
        <v/>
      </c>
    </row>
    <row r="1465">
      <c r="A1465">
        <f>IF($P1465="","",INDEX(상세표[사번],$P1465)&amp;"")</f>
        <v/>
      </c>
      <c r="B1465">
        <f>IF($P1465="","",INDEX(상세표[성명],$P1465)&amp;"")</f>
        <v/>
      </c>
      <c r="C1465">
        <f>IF($P1465="","",INDEX(상세표[부서],$P1465)&amp;"")</f>
        <v/>
      </c>
      <c r="D1465">
        <f>IF($P1465="","",INDEX(상세표[직위],$P1465)&amp;"")</f>
        <v/>
      </c>
      <c r="E1465">
        <f>IF($P1465="","",IF(ISNUMBER(INDEX(상세표[시작],$P1465)),TEXT(INDEX(상세표[시작],$P1465),"yyyy-mm-dd hh:mm"),INDEX(상세표[시작],$P1465)&amp;""))</f>
        <v/>
      </c>
      <c r="F1465">
        <f>IF($P1465="","",IF(ISNUMBER(INDEX(상세표[블록종료],$P1465)),TEXT(INDEX(상세표[블록종료],$P1465),"yyyy-mm-dd hh:mm"),INDEX(상세표[블록종료],$P1465)&amp;""))</f>
        <v/>
      </c>
      <c r="G1465">
        <f>IF($P1465="","",CHOOSE(WEEKDAY(INDEX(상세표[시작],$P1465)),"일","월","화","수","목","금","토"))</f>
        <v/>
      </c>
      <c r="H1465">
        <f>IF($P1465="","",INDEX(상세표[연속 시간],$P1465))</f>
        <v/>
      </c>
      <c r="I1465">
        <f>IF($P1465="","",INDEX(상세표[기록 수],$P1465))</f>
        <v/>
      </c>
      <c r="J1465">
        <f>IF($P1465="","",INDEX(상세표[블록 06~07시],$P1465))</f>
        <v/>
      </c>
      <c r="K1465">
        <f>IF($P1465="","",INDEX(상세표[블록 07~18시],$P1465))</f>
        <v/>
      </c>
      <c r="L1465">
        <f>IF($P1465="","",INDEX(상세표[블록 18~22시],$P1465))</f>
        <v/>
      </c>
      <c r="M1465">
        <f>IF($P1465="","",INDEX(상세표[블록 22~06시],$P1465))</f>
        <v/>
      </c>
      <c r="N1465">
        <f>IF($P1465="","",INDEX(상세표[주말·휴일 포함],$P1465)&amp;"")</f>
        <v/>
      </c>
      <c r="O1465">
        <f>IF($P1465="","",INDEX(상세표[월 넘김 포함],$P1465)&amp;"")</f>
        <v/>
      </c>
      <c r="P1465" s="4">
        <f>IFERROR(MATCH(1460,상세표[연속순번],0),"")</f>
        <v/>
      </c>
    </row>
    <row r="1466">
      <c r="A1466">
        <f>IF($P1466="","",INDEX(상세표[사번],$P1466)&amp;"")</f>
        <v/>
      </c>
      <c r="B1466">
        <f>IF($P1466="","",INDEX(상세표[성명],$P1466)&amp;"")</f>
        <v/>
      </c>
      <c r="C1466">
        <f>IF($P1466="","",INDEX(상세표[부서],$P1466)&amp;"")</f>
        <v/>
      </c>
      <c r="D1466">
        <f>IF($P1466="","",INDEX(상세표[직위],$P1466)&amp;"")</f>
        <v/>
      </c>
      <c r="E1466">
        <f>IF($P1466="","",IF(ISNUMBER(INDEX(상세표[시작],$P1466)),TEXT(INDEX(상세표[시작],$P1466),"yyyy-mm-dd hh:mm"),INDEX(상세표[시작],$P1466)&amp;""))</f>
        <v/>
      </c>
      <c r="F1466">
        <f>IF($P1466="","",IF(ISNUMBER(INDEX(상세표[블록종료],$P1466)),TEXT(INDEX(상세표[블록종료],$P1466),"yyyy-mm-dd hh:mm"),INDEX(상세표[블록종료],$P1466)&amp;""))</f>
        <v/>
      </c>
      <c r="G1466">
        <f>IF($P1466="","",CHOOSE(WEEKDAY(INDEX(상세표[시작],$P1466)),"일","월","화","수","목","금","토"))</f>
        <v/>
      </c>
      <c r="H1466">
        <f>IF($P1466="","",INDEX(상세표[연속 시간],$P1466))</f>
        <v/>
      </c>
      <c r="I1466">
        <f>IF($P1466="","",INDEX(상세표[기록 수],$P1466))</f>
        <v/>
      </c>
      <c r="J1466">
        <f>IF($P1466="","",INDEX(상세표[블록 06~07시],$P1466))</f>
        <v/>
      </c>
      <c r="K1466">
        <f>IF($P1466="","",INDEX(상세표[블록 07~18시],$P1466))</f>
        <v/>
      </c>
      <c r="L1466">
        <f>IF($P1466="","",INDEX(상세표[블록 18~22시],$P1466))</f>
        <v/>
      </c>
      <c r="M1466">
        <f>IF($P1466="","",INDEX(상세표[블록 22~06시],$P1466))</f>
        <v/>
      </c>
      <c r="N1466">
        <f>IF($P1466="","",INDEX(상세표[주말·휴일 포함],$P1466)&amp;"")</f>
        <v/>
      </c>
      <c r="O1466">
        <f>IF($P1466="","",INDEX(상세표[월 넘김 포함],$P1466)&amp;"")</f>
        <v/>
      </c>
      <c r="P1466" s="4">
        <f>IFERROR(MATCH(1461,상세표[연속순번],0),"")</f>
        <v/>
      </c>
    </row>
    <row r="1467">
      <c r="A1467">
        <f>IF($P1467="","",INDEX(상세표[사번],$P1467)&amp;"")</f>
        <v/>
      </c>
      <c r="B1467">
        <f>IF($P1467="","",INDEX(상세표[성명],$P1467)&amp;"")</f>
        <v/>
      </c>
      <c r="C1467">
        <f>IF($P1467="","",INDEX(상세표[부서],$P1467)&amp;"")</f>
        <v/>
      </c>
      <c r="D1467">
        <f>IF($P1467="","",INDEX(상세표[직위],$P1467)&amp;"")</f>
        <v/>
      </c>
      <c r="E1467">
        <f>IF($P1467="","",IF(ISNUMBER(INDEX(상세표[시작],$P1467)),TEXT(INDEX(상세표[시작],$P1467),"yyyy-mm-dd hh:mm"),INDEX(상세표[시작],$P1467)&amp;""))</f>
        <v/>
      </c>
      <c r="F1467">
        <f>IF($P1467="","",IF(ISNUMBER(INDEX(상세표[블록종료],$P1467)),TEXT(INDEX(상세표[블록종료],$P1467),"yyyy-mm-dd hh:mm"),INDEX(상세표[블록종료],$P1467)&amp;""))</f>
        <v/>
      </c>
      <c r="G1467">
        <f>IF($P1467="","",CHOOSE(WEEKDAY(INDEX(상세표[시작],$P1467)),"일","월","화","수","목","금","토"))</f>
        <v/>
      </c>
      <c r="H1467">
        <f>IF($P1467="","",INDEX(상세표[연속 시간],$P1467))</f>
        <v/>
      </c>
      <c r="I1467">
        <f>IF($P1467="","",INDEX(상세표[기록 수],$P1467))</f>
        <v/>
      </c>
      <c r="J1467">
        <f>IF($P1467="","",INDEX(상세표[블록 06~07시],$P1467))</f>
        <v/>
      </c>
      <c r="K1467">
        <f>IF($P1467="","",INDEX(상세표[블록 07~18시],$P1467))</f>
        <v/>
      </c>
      <c r="L1467">
        <f>IF($P1467="","",INDEX(상세표[블록 18~22시],$P1467))</f>
        <v/>
      </c>
      <c r="M1467">
        <f>IF($P1467="","",INDEX(상세표[블록 22~06시],$P1467))</f>
        <v/>
      </c>
      <c r="N1467">
        <f>IF($P1467="","",INDEX(상세표[주말·휴일 포함],$P1467)&amp;"")</f>
        <v/>
      </c>
      <c r="O1467">
        <f>IF($P1467="","",INDEX(상세표[월 넘김 포함],$P1467)&amp;"")</f>
        <v/>
      </c>
      <c r="P1467" s="4">
        <f>IFERROR(MATCH(1462,상세표[연속순번],0),"")</f>
        <v/>
      </c>
    </row>
    <row r="1468">
      <c r="A1468">
        <f>IF($P1468="","",INDEX(상세표[사번],$P1468)&amp;"")</f>
        <v/>
      </c>
      <c r="B1468">
        <f>IF($P1468="","",INDEX(상세표[성명],$P1468)&amp;"")</f>
        <v/>
      </c>
      <c r="C1468">
        <f>IF($P1468="","",INDEX(상세표[부서],$P1468)&amp;"")</f>
        <v/>
      </c>
      <c r="D1468">
        <f>IF($P1468="","",INDEX(상세표[직위],$P1468)&amp;"")</f>
        <v/>
      </c>
      <c r="E1468">
        <f>IF($P1468="","",IF(ISNUMBER(INDEX(상세표[시작],$P1468)),TEXT(INDEX(상세표[시작],$P1468),"yyyy-mm-dd hh:mm"),INDEX(상세표[시작],$P1468)&amp;""))</f>
        <v/>
      </c>
      <c r="F1468">
        <f>IF($P1468="","",IF(ISNUMBER(INDEX(상세표[블록종료],$P1468)),TEXT(INDEX(상세표[블록종료],$P1468),"yyyy-mm-dd hh:mm"),INDEX(상세표[블록종료],$P1468)&amp;""))</f>
        <v/>
      </c>
      <c r="G1468">
        <f>IF($P1468="","",CHOOSE(WEEKDAY(INDEX(상세표[시작],$P1468)),"일","월","화","수","목","금","토"))</f>
        <v/>
      </c>
      <c r="H1468">
        <f>IF($P1468="","",INDEX(상세표[연속 시간],$P1468))</f>
        <v/>
      </c>
      <c r="I1468">
        <f>IF($P1468="","",INDEX(상세표[기록 수],$P1468))</f>
        <v/>
      </c>
      <c r="J1468">
        <f>IF($P1468="","",INDEX(상세표[블록 06~07시],$P1468))</f>
        <v/>
      </c>
      <c r="K1468">
        <f>IF($P1468="","",INDEX(상세표[블록 07~18시],$P1468))</f>
        <v/>
      </c>
      <c r="L1468">
        <f>IF($P1468="","",INDEX(상세표[블록 18~22시],$P1468))</f>
        <v/>
      </c>
      <c r="M1468">
        <f>IF($P1468="","",INDEX(상세표[블록 22~06시],$P1468))</f>
        <v/>
      </c>
      <c r="N1468">
        <f>IF($P1468="","",INDEX(상세표[주말·휴일 포함],$P1468)&amp;"")</f>
        <v/>
      </c>
      <c r="O1468">
        <f>IF($P1468="","",INDEX(상세표[월 넘김 포함],$P1468)&amp;"")</f>
        <v/>
      </c>
      <c r="P1468" s="4">
        <f>IFERROR(MATCH(1463,상세표[연속순번],0),"")</f>
        <v/>
      </c>
    </row>
    <row r="1469">
      <c r="A1469">
        <f>IF($P1469="","",INDEX(상세표[사번],$P1469)&amp;"")</f>
        <v/>
      </c>
      <c r="B1469">
        <f>IF($P1469="","",INDEX(상세표[성명],$P1469)&amp;"")</f>
        <v/>
      </c>
      <c r="C1469">
        <f>IF($P1469="","",INDEX(상세표[부서],$P1469)&amp;"")</f>
        <v/>
      </c>
      <c r="D1469">
        <f>IF($P1469="","",INDEX(상세표[직위],$P1469)&amp;"")</f>
        <v/>
      </c>
      <c r="E1469">
        <f>IF($P1469="","",IF(ISNUMBER(INDEX(상세표[시작],$P1469)),TEXT(INDEX(상세표[시작],$P1469),"yyyy-mm-dd hh:mm"),INDEX(상세표[시작],$P1469)&amp;""))</f>
        <v/>
      </c>
      <c r="F1469">
        <f>IF($P1469="","",IF(ISNUMBER(INDEX(상세표[블록종료],$P1469)),TEXT(INDEX(상세표[블록종료],$P1469),"yyyy-mm-dd hh:mm"),INDEX(상세표[블록종료],$P1469)&amp;""))</f>
        <v/>
      </c>
      <c r="G1469">
        <f>IF($P1469="","",CHOOSE(WEEKDAY(INDEX(상세표[시작],$P1469)),"일","월","화","수","목","금","토"))</f>
        <v/>
      </c>
      <c r="H1469">
        <f>IF($P1469="","",INDEX(상세표[연속 시간],$P1469))</f>
        <v/>
      </c>
      <c r="I1469">
        <f>IF($P1469="","",INDEX(상세표[기록 수],$P1469))</f>
        <v/>
      </c>
      <c r="J1469">
        <f>IF($P1469="","",INDEX(상세표[블록 06~07시],$P1469))</f>
        <v/>
      </c>
      <c r="K1469">
        <f>IF($P1469="","",INDEX(상세표[블록 07~18시],$P1469))</f>
        <v/>
      </c>
      <c r="L1469">
        <f>IF($P1469="","",INDEX(상세표[블록 18~22시],$P1469))</f>
        <v/>
      </c>
      <c r="M1469">
        <f>IF($P1469="","",INDEX(상세표[블록 22~06시],$P1469))</f>
        <v/>
      </c>
      <c r="N1469">
        <f>IF($P1469="","",INDEX(상세표[주말·휴일 포함],$P1469)&amp;"")</f>
        <v/>
      </c>
      <c r="O1469">
        <f>IF($P1469="","",INDEX(상세표[월 넘김 포함],$P1469)&amp;"")</f>
        <v/>
      </c>
      <c r="P1469" s="4">
        <f>IFERROR(MATCH(1464,상세표[연속순번],0),"")</f>
        <v/>
      </c>
    </row>
    <row r="1470">
      <c r="A1470">
        <f>IF($P1470="","",INDEX(상세표[사번],$P1470)&amp;"")</f>
        <v/>
      </c>
      <c r="B1470">
        <f>IF($P1470="","",INDEX(상세표[성명],$P1470)&amp;"")</f>
        <v/>
      </c>
      <c r="C1470">
        <f>IF($P1470="","",INDEX(상세표[부서],$P1470)&amp;"")</f>
        <v/>
      </c>
      <c r="D1470">
        <f>IF($P1470="","",INDEX(상세표[직위],$P1470)&amp;"")</f>
        <v/>
      </c>
      <c r="E1470">
        <f>IF($P1470="","",IF(ISNUMBER(INDEX(상세표[시작],$P1470)),TEXT(INDEX(상세표[시작],$P1470),"yyyy-mm-dd hh:mm"),INDEX(상세표[시작],$P1470)&amp;""))</f>
        <v/>
      </c>
      <c r="F1470">
        <f>IF($P1470="","",IF(ISNUMBER(INDEX(상세표[블록종료],$P1470)),TEXT(INDEX(상세표[블록종료],$P1470),"yyyy-mm-dd hh:mm"),INDEX(상세표[블록종료],$P1470)&amp;""))</f>
        <v/>
      </c>
      <c r="G1470">
        <f>IF($P1470="","",CHOOSE(WEEKDAY(INDEX(상세표[시작],$P1470)),"일","월","화","수","목","금","토"))</f>
        <v/>
      </c>
      <c r="H1470">
        <f>IF($P1470="","",INDEX(상세표[연속 시간],$P1470))</f>
        <v/>
      </c>
      <c r="I1470">
        <f>IF($P1470="","",INDEX(상세표[기록 수],$P1470))</f>
        <v/>
      </c>
      <c r="J1470">
        <f>IF($P1470="","",INDEX(상세표[블록 06~07시],$P1470))</f>
        <v/>
      </c>
      <c r="K1470">
        <f>IF($P1470="","",INDEX(상세표[블록 07~18시],$P1470))</f>
        <v/>
      </c>
      <c r="L1470">
        <f>IF($P1470="","",INDEX(상세표[블록 18~22시],$P1470))</f>
        <v/>
      </c>
      <c r="M1470">
        <f>IF($P1470="","",INDEX(상세표[블록 22~06시],$P1470))</f>
        <v/>
      </c>
      <c r="N1470">
        <f>IF($P1470="","",INDEX(상세표[주말·휴일 포함],$P1470)&amp;"")</f>
        <v/>
      </c>
      <c r="O1470">
        <f>IF($P1470="","",INDEX(상세표[월 넘김 포함],$P1470)&amp;"")</f>
        <v/>
      </c>
      <c r="P1470" s="4">
        <f>IFERROR(MATCH(1465,상세표[연속순번],0),"")</f>
        <v/>
      </c>
    </row>
    <row r="1471">
      <c r="A1471">
        <f>IF($P1471="","",INDEX(상세표[사번],$P1471)&amp;"")</f>
        <v/>
      </c>
      <c r="B1471">
        <f>IF($P1471="","",INDEX(상세표[성명],$P1471)&amp;"")</f>
        <v/>
      </c>
      <c r="C1471">
        <f>IF($P1471="","",INDEX(상세표[부서],$P1471)&amp;"")</f>
        <v/>
      </c>
      <c r="D1471">
        <f>IF($P1471="","",INDEX(상세표[직위],$P1471)&amp;"")</f>
        <v/>
      </c>
      <c r="E1471">
        <f>IF($P1471="","",IF(ISNUMBER(INDEX(상세표[시작],$P1471)),TEXT(INDEX(상세표[시작],$P1471),"yyyy-mm-dd hh:mm"),INDEX(상세표[시작],$P1471)&amp;""))</f>
        <v/>
      </c>
      <c r="F1471">
        <f>IF($P1471="","",IF(ISNUMBER(INDEX(상세표[블록종료],$P1471)),TEXT(INDEX(상세표[블록종료],$P1471),"yyyy-mm-dd hh:mm"),INDEX(상세표[블록종료],$P1471)&amp;""))</f>
        <v/>
      </c>
      <c r="G1471">
        <f>IF($P1471="","",CHOOSE(WEEKDAY(INDEX(상세표[시작],$P1471)),"일","월","화","수","목","금","토"))</f>
        <v/>
      </c>
      <c r="H1471">
        <f>IF($P1471="","",INDEX(상세표[연속 시간],$P1471))</f>
        <v/>
      </c>
      <c r="I1471">
        <f>IF($P1471="","",INDEX(상세표[기록 수],$P1471))</f>
        <v/>
      </c>
      <c r="J1471">
        <f>IF($P1471="","",INDEX(상세표[블록 06~07시],$P1471))</f>
        <v/>
      </c>
      <c r="K1471">
        <f>IF($P1471="","",INDEX(상세표[블록 07~18시],$P1471))</f>
        <v/>
      </c>
      <c r="L1471">
        <f>IF($P1471="","",INDEX(상세표[블록 18~22시],$P1471))</f>
        <v/>
      </c>
      <c r="M1471">
        <f>IF($P1471="","",INDEX(상세표[블록 22~06시],$P1471))</f>
        <v/>
      </c>
      <c r="N1471">
        <f>IF($P1471="","",INDEX(상세표[주말·휴일 포함],$P1471)&amp;"")</f>
        <v/>
      </c>
      <c r="O1471">
        <f>IF($P1471="","",INDEX(상세표[월 넘김 포함],$P1471)&amp;"")</f>
        <v/>
      </c>
      <c r="P1471" s="4">
        <f>IFERROR(MATCH(1466,상세표[연속순번],0),"")</f>
        <v/>
      </c>
    </row>
    <row r="1472">
      <c r="A1472">
        <f>IF($P1472="","",INDEX(상세표[사번],$P1472)&amp;"")</f>
        <v/>
      </c>
      <c r="B1472">
        <f>IF($P1472="","",INDEX(상세표[성명],$P1472)&amp;"")</f>
        <v/>
      </c>
      <c r="C1472">
        <f>IF($P1472="","",INDEX(상세표[부서],$P1472)&amp;"")</f>
        <v/>
      </c>
      <c r="D1472">
        <f>IF($P1472="","",INDEX(상세표[직위],$P1472)&amp;"")</f>
        <v/>
      </c>
      <c r="E1472">
        <f>IF($P1472="","",IF(ISNUMBER(INDEX(상세표[시작],$P1472)),TEXT(INDEX(상세표[시작],$P1472),"yyyy-mm-dd hh:mm"),INDEX(상세표[시작],$P1472)&amp;""))</f>
        <v/>
      </c>
      <c r="F1472">
        <f>IF($P1472="","",IF(ISNUMBER(INDEX(상세표[블록종료],$P1472)),TEXT(INDEX(상세표[블록종료],$P1472),"yyyy-mm-dd hh:mm"),INDEX(상세표[블록종료],$P1472)&amp;""))</f>
        <v/>
      </c>
      <c r="G1472">
        <f>IF($P1472="","",CHOOSE(WEEKDAY(INDEX(상세표[시작],$P1472)),"일","월","화","수","목","금","토"))</f>
        <v/>
      </c>
      <c r="H1472">
        <f>IF($P1472="","",INDEX(상세표[연속 시간],$P1472))</f>
        <v/>
      </c>
      <c r="I1472">
        <f>IF($P1472="","",INDEX(상세표[기록 수],$P1472))</f>
        <v/>
      </c>
      <c r="J1472">
        <f>IF($P1472="","",INDEX(상세표[블록 06~07시],$P1472))</f>
        <v/>
      </c>
      <c r="K1472">
        <f>IF($P1472="","",INDEX(상세표[블록 07~18시],$P1472))</f>
        <v/>
      </c>
      <c r="L1472">
        <f>IF($P1472="","",INDEX(상세표[블록 18~22시],$P1472))</f>
        <v/>
      </c>
      <c r="M1472">
        <f>IF($P1472="","",INDEX(상세표[블록 22~06시],$P1472))</f>
        <v/>
      </c>
      <c r="N1472">
        <f>IF($P1472="","",INDEX(상세표[주말·휴일 포함],$P1472)&amp;"")</f>
        <v/>
      </c>
      <c r="O1472">
        <f>IF($P1472="","",INDEX(상세표[월 넘김 포함],$P1472)&amp;"")</f>
        <v/>
      </c>
      <c r="P1472" s="4">
        <f>IFERROR(MATCH(1467,상세표[연속순번],0),"")</f>
        <v/>
      </c>
    </row>
    <row r="1473">
      <c r="A1473">
        <f>IF($P1473="","",INDEX(상세표[사번],$P1473)&amp;"")</f>
        <v/>
      </c>
      <c r="B1473">
        <f>IF($P1473="","",INDEX(상세표[성명],$P1473)&amp;"")</f>
        <v/>
      </c>
      <c r="C1473">
        <f>IF($P1473="","",INDEX(상세표[부서],$P1473)&amp;"")</f>
        <v/>
      </c>
      <c r="D1473">
        <f>IF($P1473="","",INDEX(상세표[직위],$P1473)&amp;"")</f>
        <v/>
      </c>
      <c r="E1473">
        <f>IF($P1473="","",IF(ISNUMBER(INDEX(상세표[시작],$P1473)),TEXT(INDEX(상세표[시작],$P1473),"yyyy-mm-dd hh:mm"),INDEX(상세표[시작],$P1473)&amp;""))</f>
        <v/>
      </c>
      <c r="F1473">
        <f>IF($P1473="","",IF(ISNUMBER(INDEX(상세표[블록종료],$P1473)),TEXT(INDEX(상세표[블록종료],$P1473),"yyyy-mm-dd hh:mm"),INDEX(상세표[블록종료],$P1473)&amp;""))</f>
        <v/>
      </c>
      <c r="G1473">
        <f>IF($P1473="","",CHOOSE(WEEKDAY(INDEX(상세표[시작],$P1473)),"일","월","화","수","목","금","토"))</f>
        <v/>
      </c>
      <c r="H1473">
        <f>IF($P1473="","",INDEX(상세표[연속 시간],$P1473))</f>
        <v/>
      </c>
      <c r="I1473">
        <f>IF($P1473="","",INDEX(상세표[기록 수],$P1473))</f>
        <v/>
      </c>
      <c r="J1473">
        <f>IF($P1473="","",INDEX(상세표[블록 06~07시],$P1473))</f>
        <v/>
      </c>
      <c r="K1473">
        <f>IF($P1473="","",INDEX(상세표[블록 07~18시],$P1473))</f>
        <v/>
      </c>
      <c r="L1473">
        <f>IF($P1473="","",INDEX(상세표[블록 18~22시],$P1473))</f>
        <v/>
      </c>
      <c r="M1473">
        <f>IF($P1473="","",INDEX(상세표[블록 22~06시],$P1473))</f>
        <v/>
      </c>
      <c r="N1473">
        <f>IF($P1473="","",INDEX(상세표[주말·휴일 포함],$P1473)&amp;"")</f>
        <v/>
      </c>
      <c r="O1473">
        <f>IF($P1473="","",INDEX(상세표[월 넘김 포함],$P1473)&amp;"")</f>
        <v/>
      </c>
      <c r="P1473" s="4">
        <f>IFERROR(MATCH(1468,상세표[연속순번],0),"")</f>
        <v/>
      </c>
    </row>
    <row r="1474">
      <c r="A1474">
        <f>IF($P1474="","",INDEX(상세표[사번],$P1474)&amp;"")</f>
        <v/>
      </c>
      <c r="B1474">
        <f>IF($P1474="","",INDEX(상세표[성명],$P1474)&amp;"")</f>
        <v/>
      </c>
      <c r="C1474">
        <f>IF($P1474="","",INDEX(상세표[부서],$P1474)&amp;"")</f>
        <v/>
      </c>
      <c r="D1474">
        <f>IF($P1474="","",INDEX(상세표[직위],$P1474)&amp;"")</f>
        <v/>
      </c>
      <c r="E1474">
        <f>IF($P1474="","",IF(ISNUMBER(INDEX(상세표[시작],$P1474)),TEXT(INDEX(상세표[시작],$P1474),"yyyy-mm-dd hh:mm"),INDEX(상세표[시작],$P1474)&amp;""))</f>
        <v/>
      </c>
      <c r="F1474">
        <f>IF($P1474="","",IF(ISNUMBER(INDEX(상세표[블록종료],$P1474)),TEXT(INDEX(상세표[블록종료],$P1474),"yyyy-mm-dd hh:mm"),INDEX(상세표[블록종료],$P1474)&amp;""))</f>
        <v/>
      </c>
      <c r="G1474">
        <f>IF($P1474="","",CHOOSE(WEEKDAY(INDEX(상세표[시작],$P1474)),"일","월","화","수","목","금","토"))</f>
        <v/>
      </c>
      <c r="H1474">
        <f>IF($P1474="","",INDEX(상세표[연속 시간],$P1474))</f>
        <v/>
      </c>
      <c r="I1474">
        <f>IF($P1474="","",INDEX(상세표[기록 수],$P1474))</f>
        <v/>
      </c>
      <c r="J1474">
        <f>IF($P1474="","",INDEX(상세표[블록 06~07시],$P1474))</f>
        <v/>
      </c>
      <c r="K1474">
        <f>IF($P1474="","",INDEX(상세표[블록 07~18시],$P1474))</f>
        <v/>
      </c>
      <c r="L1474">
        <f>IF($P1474="","",INDEX(상세표[블록 18~22시],$P1474))</f>
        <v/>
      </c>
      <c r="M1474">
        <f>IF($P1474="","",INDEX(상세표[블록 22~06시],$P1474))</f>
        <v/>
      </c>
      <c r="N1474">
        <f>IF($P1474="","",INDEX(상세표[주말·휴일 포함],$P1474)&amp;"")</f>
        <v/>
      </c>
      <c r="O1474">
        <f>IF($P1474="","",INDEX(상세표[월 넘김 포함],$P1474)&amp;"")</f>
        <v/>
      </c>
      <c r="P1474" s="4">
        <f>IFERROR(MATCH(1469,상세표[연속순번],0),"")</f>
        <v/>
      </c>
    </row>
    <row r="1475">
      <c r="A1475">
        <f>IF($P1475="","",INDEX(상세표[사번],$P1475)&amp;"")</f>
        <v/>
      </c>
      <c r="B1475">
        <f>IF($P1475="","",INDEX(상세표[성명],$P1475)&amp;"")</f>
        <v/>
      </c>
      <c r="C1475">
        <f>IF($P1475="","",INDEX(상세표[부서],$P1475)&amp;"")</f>
        <v/>
      </c>
      <c r="D1475">
        <f>IF($P1475="","",INDEX(상세표[직위],$P1475)&amp;"")</f>
        <v/>
      </c>
      <c r="E1475">
        <f>IF($P1475="","",IF(ISNUMBER(INDEX(상세표[시작],$P1475)),TEXT(INDEX(상세표[시작],$P1475),"yyyy-mm-dd hh:mm"),INDEX(상세표[시작],$P1475)&amp;""))</f>
        <v/>
      </c>
      <c r="F1475">
        <f>IF($P1475="","",IF(ISNUMBER(INDEX(상세표[블록종료],$P1475)),TEXT(INDEX(상세표[블록종료],$P1475),"yyyy-mm-dd hh:mm"),INDEX(상세표[블록종료],$P1475)&amp;""))</f>
        <v/>
      </c>
      <c r="G1475">
        <f>IF($P1475="","",CHOOSE(WEEKDAY(INDEX(상세표[시작],$P1475)),"일","월","화","수","목","금","토"))</f>
        <v/>
      </c>
      <c r="H1475">
        <f>IF($P1475="","",INDEX(상세표[연속 시간],$P1475))</f>
        <v/>
      </c>
      <c r="I1475">
        <f>IF($P1475="","",INDEX(상세표[기록 수],$P1475))</f>
        <v/>
      </c>
      <c r="J1475">
        <f>IF($P1475="","",INDEX(상세표[블록 06~07시],$P1475))</f>
        <v/>
      </c>
      <c r="K1475">
        <f>IF($P1475="","",INDEX(상세표[블록 07~18시],$P1475))</f>
        <v/>
      </c>
      <c r="L1475">
        <f>IF($P1475="","",INDEX(상세표[블록 18~22시],$P1475))</f>
        <v/>
      </c>
      <c r="M1475">
        <f>IF($P1475="","",INDEX(상세표[블록 22~06시],$P1475))</f>
        <v/>
      </c>
      <c r="N1475">
        <f>IF($P1475="","",INDEX(상세표[주말·휴일 포함],$P1475)&amp;"")</f>
        <v/>
      </c>
      <c r="O1475">
        <f>IF($P1475="","",INDEX(상세표[월 넘김 포함],$P1475)&amp;"")</f>
        <v/>
      </c>
      <c r="P1475" s="4">
        <f>IFERROR(MATCH(1470,상세표[연속순번],0),"")</f>
        <v/>
      </c>
    </row>
    <row r="1476">
      <c r="A1476">
        <f>IF($P1476="","",INDEX(상세표[사번],$P1476)&amp;"")</f>
        <v/>
      </c>
      <c r="B1476">
        <f>IF($P1476="","",INDEX(상세표[성명],$P1476)&amp;"")</f>
        <v/>
      </c>
      <c r="C1476">
        <f>IF($P1476="","",INDEX(상세표[부서],$P1476)&amp;"")</f>
        <v/>
      </c>
      <c r="D1476">
        <f>IF($P1476="","",INDEX(상세표[직위],$P1476)&amp;"")</f>
        <v/>
      </c>
      <c r="E1476">
        <f>IF($P1476="","",IF(ISNUMBER(INDEX(상세표[시작],$P1476)),TEXT(INDEX(상세표[시작],$P1476),"yyyy-mm-dd hh:mm"),INDEX(상세표[시작],$P1476)&amp;""))</f>
        <v/>
      </c>
      <c r="F1476">
        <f>IF($P1476="","",IF(ISNUMBER(INDEX(상세표[블록종료],$P1476)),TEXT(INDEX(상세표[블록종료],$P1476),"yyyy-mm-dd hh:mm"),INDEX(상세표[블록종료],$P1476)&amp;""))</f>
        <v/>
      </c>
      <c r="G1476">
        <f>IF($P1476="","",CHOOSE(WEEKDAY(INDEX(상세표[시작],$P1476)),"일","월","화","수","목","금","토"))</f>
        <v/>
      </c>
      <c r="H1476">
        <f>IF($P1476="","",INDEX(상세표[연속 시간],$P1476))</f>
        <v/>
      </c>
      <c r="I1476">
        <f>IF($P1476="","",INDEX(상세표[기록 수],$P1476))</f>
        <v/>
      </c>
      <c r="J1476">
        <f>IF($P1476="","",INDEX(상세표[블록 06~07시],$P1476))</f>
        <v/>
      </c>
      <c r="K1476">
        <f>IF($P1476="","",INDEX(상세표[블록 07~18시],$P1476))</f>
        <v/>
      </c>
      <c r="L1476">
        <f>IF($P1476="","",INDEX(상세표[블록 18~22시],$P1476))</f>
        <v/>
      </c>
      <c r="M1476">
        <f>IF($P1476="","",INDEX(상세표[블록 22~06시],$P1476))</f>
        <v/>
      </c>
      <c r="N1476">
        <f>IF($P1476="","",INDEX(상세표[주말·휴일 포함],$P1476)&amp;"")</f>
        <v/>
      </c>
      <c r="O1476">
        <f>IF($P1476="","",INDEX(상세표[월 넘김 포함],$P1476)&amp;"")</f>
        <v/>
      </c>
      <c r="P1476" s="4">
        <f>IFERROR(MATCH(1471,상세표[연속순번],0),"")</f>
        <v/>
      </c>
    </row>
    <row r="1477">
      <c r="A1477">
        <f>IF($P1477="","",INDEX(상세표[사번],$P1477)&amp;"")</f>
        <v/>
      </c>
      <c r="B1477">
        <f>IF($P1477="","",INDEX(상세표[성명],$P1477)&amp;"")</f>
        <v/>
      </c>
      <c r="C1477">
        <f>IF($P1477="","",INDEX(상세표[부서],$P1477)&amp;"")</f>
        <v/>
      </c>
      <c r="D1477">
        <f>IF($P1477="","",INDEX(상세표[직위],$P1477)&amp;"")</f>
        <v/>
      </c>
      <c r="E1477">
        <f>IF($P1477="","",IF(ISNUMBER(INDEX(상세표[시작],$P1477)),TEXT(INDEX(상세표[시작],$P1477),"yyyy-mm-dd hh:mm"),INDEX(상세표[시작],$P1477)&amp;""))</f>
        <v/>
      </c>
      <c r="F1477">
        <f>IF($P1477="","",IF(ISNUMBER(INDEX(상세표[블록종료],$P1477)),TEXT(INDEX(상세표[블록종료],$P1477),"yyyy-mm-dd hh:mm"),INDEX(상세표[블록종료],$P1477)&amp;""))</f>
        <v/>
      </c>
      <c r="G1477">
        <f>IF($P1477="","",CHOOSE(WEEKDAY(INDEX(상세표[시작],$P1477)),"일","월","화","수","목","금","토"))</f>
        <v/>
      </c>
      <c r="H1477">
        <f>IF($P1477="","",INDEX(상세표[연속 시간],$P1477))</f>
        <v/>
      </c>
      <c r="I1477">
        <f>IF($P1477="","",INDEX(상세표[기록 수],$P1477))</f>
        <v/>
      </c>
      <c r="J1477">
        <f>IF($P1477="","",INDEX(상세표[블록 06~07시],$P1477))</f>
        <v/>
      </c>
      <c r="K1477">
        <f>IF($P1477="","",INDEX(상세표[블록 07~18시],$P1477))</f>
        <v/>
      </c>
      <c r="L1477">
        <f>IF($P1477="","",INDEX(상세표[블록 18~22시],$P1477))</f>
        <v/>
      </c>
      <c r="M1477">
        <f>IF($P1477="","",INDEX(상세표[블록 22~06시],$P1477))</f>
        <v/>
      </c>
      <c r="N1477">
        <f>IF($P1477="","",INDEX(상세표[주말·휴일 포함],$P1477)&amp;"")</f>
        <v/>
      </c>
      <c r="O1477">
        <f>IF($P1477="","",INDEX(상세표[월 넘김 포함],$P1477)&amp;"")</f>
        <v/>
      </c>
      <c r="P1477" s="4">
        <f>IFERROR(MATCH(1472,상세표[연속순번],0),"")</f>
        <v/>
      </c>
    </row>
    <row r="1478">
      <c r="A1478">
        <f>IF($P1478="","",INDEX(상세표[사번],$P1478)&amp;"")</f>
        <v/>
      </c>
      <c r="B1478">
        <f>IF($P1478="","",INDEX(상세표[성명],$P1478)&amp;"")</f>
        <v/>
      </c>
      <c r="C1478">
        <f>IF($P1478="","",INDEX(상세표[부서],$P1478)&amp;"")</f>
        <v/>
      </c>
      <c r="D1478">
        <f>IF($P1478="","",INDEX(상세표[직위],$P1478)&amp;"")</f>
        <v/>
      </c>
      <c r="E1478">
        <f>IF($P1478="","",IF(ISNUMBER(INDEX(상세표[시작],$P1478)),TEXT(INDEX(상세표[시작],$P1478),"yyyy-mm-dd hh:mm"),INDEX(상세표[시작],$P1478)&amp;""))</f>
        <v/>
      </c>
      <c r="F1478">
        <f>IF($P1478="","",IF(ISNUMBER(INDEX(상세표[블록종료],$P1478)),TEXT(INDEX(상세표[블록종료],$P1478),"yyyy-mm-dd hh:mm"),INDEX(상세표[블록종료],$P1478)&amp;""))</f>
        <v/>
      </c>
      <c r="G1478">
        <f>IF($P1478="","",CHOOSE(WEEKDAY(INDEX(상세표[시작],$P1478)),"일","월","화","수","목","금","토"))</f>
        <v/>
      </c>
      <c r="H1478">
        <f>IF($P1478="","",INDEX(상세표[연속 시간],$P1478))</f>
        <v/>
      </c>
      <c r="I1478">
        <f>IF($P1478="","",INDEX(상세표[기록 수],$P1478))</f>
        <v/>
      </c>
      <c r="J1478">
        <f>IF($P1478="","",INDEX(상세표[블록 06~07시],$P1478))</f>
        <v/>
      </c>
      <c r="K1478">
        <f>IF($P1478="","",INDEX(상세표[블록 07~18시],$P1478))</f>
        <v/>
      </c>
      <c r="L1478">
        <f>IF($P1478="","",INDEX(상세표[블록 18~22시],$P1478))</f>
        <v/>
      </c>
      <c r="M1478">
        <f>IF($P1478="","",INDEX(상세표[블록 22~06시],$P1478))</f>
        <v/>
      </c>
      <c r="N1478">
        <f>IF($P1478="","",INDEX(상세표[주말·휴일 포함],$P1478)&amp;"")</f>
        <v/>
      </c>
      <c r="O1478">
        <f>IF($P1478="","",INDEX(상세표[월 넘김 포함],$P1478)&amp;"")</f>
        <v/>
      </c>
      <c r="P1478" s="4">
        <f>IFERROR(MATCH(1473,상세표[연속순번],0),"")</f>
        <v/>
      </c>
    </row>
    <row r="1479">
      <c r="A1479">
        <f>IF($P1479="","",INDEX(상세표[사번],$P1479)&amp;"")</f>
        <v/>
      </c>
      <c r="B1479">
        <f>IF($P1479="","",INDEX(상세표[성명],$P1479)&amp;"")</f>
        <v/>
      </c>
      <c r="C1479">
        <f>IF($P1479="","",INDEX(상세표[부서],$P1479)&amp;"")</f>
        <v/>
      </c>
      <c r="D1479">
        <f>IF($P1479="","",INDEX(상세표[직위],$P1479)&amp;"")</f>
        <v/>
      </c>
      <c r="E1479">
        <f>IF($P1479="","",IF(ISNUMBER(INDEX(상세표[시작],$P1479)),TEXT(INDEX(상세표[시작],$P1479),"yyyy-mm-dd hh:mm"),INDEX(상세표[시작],$P1479)&amp;""))</f>
        <v/>
      </c>
      <c r="F1479">
        <f>IF($P1479="","",IF(ISNUMBER(INDEX(상세표[블록종료],$P1479)),TEXT(INDEX(상세표[블록종료],$P1479),"yyyy-mm-dd hh:mm"),INDEX(상세표[블록종료],$P1479)&amp;""))</f>
        <v/>
      </c>
      <c r="G1479">
        <f>IF($P1479="","",CHOOSE(WEEKDAY(INDEX(상세표[시작],$P1479)),"일","월","화","수","목","금","토"))</f>
        <v/>
      </c>
      <c r="H1479">
        <f>IF($P1479="","",INDEX(상세표[연속 시간],$P1479))</f>
        <v/>
      </c>
      <c r="I1479">
        <f>IF($P1479="","",INDEX(상세표[기록 수],$P1479))</f>
        <v/>
      </c>
      <c r="J1479">
        <f>IF($P1479="","",INDEX(상세표[블록 06~07시],$P1479))</f>
        <v/>
      </c>
      <c r="K1479">
        <f>IF($P1479="","",INDEX(상세표[블록 07~18시],$P1479))</f>
        <v/>
      </c>
      <c r="L1479">
        <f>IF($P1479="","",INDEX(상세표[블록 18~22시],$P1479))</f>
        <v/>
      </c>
      <c r="M1479">
        <f>IF($P1479="","",INDEX(상세표[블록 22~06시],$P1479))</f>
        <v/>
      </c>
      <c r="N1479">
        <f>IF($P1479="","",INDEX(상세표[주말·휴일 포함],$P1479)&amp;"")</f>
        <v/>
      </c>
      <c r="O1479">
        <f>IF($P1479="","",INDEX(상세표[월 넘김 포함],$P1479)&amp;"")</f>
        <v/>
      </c>
      <c r="P1479" s="4">
        <f>IFERROR(MATCH(1474,상세표[연속순번],0),"")</f>
        <v/>
      </c>
    </row>
    <row r="1480">
      <c r="A1480">
        <f>IF($P1480="","",INDEX(상세표[사번],$P1480)&amp;"")</f>
        <v/>
      </c>
      <c r="B1480">
        <f>IF($P1480="","",INDEX(상세표[성명],$P1480)&amp;"")</f>
        <v/>
      </c>
      <c r="C1480">
        <f>IF($P1480="","",INDEX(상세표[부서],$P1480)&amp;"")</f>
        <v/>
      </c>
      <c r="D1480">
        <f>IF($P1480="","",INDEX(상세표[직위],$P1480)&amp;"")</f>
        <v/>
      </c>
      <c r="E1480">
        <f>IF($P1480="","",IF(ISNUMBER(INDEX(상세표[시작],$P1480)),TEXT(INDEX(상세표[시작],$P1480),"yyyy-mm-dd hh:mm"),INDEX(상세표[시작],$P1480)&amp;""))</f>
        <v/>
      </c>
      <c r="F1480">
        <f>IF($P1480="","",IF(ISNUMBER(INDEX(상세표[블록종료],$P1480)),TEXT(INDEX(상세표[블록종료],$P1480),"yyyy-mm-dd hh:mm"),INDEX(상세표[블록종료],$P1480)&amp;""))</f>
        <v/>
      </c>
      <c r="G1480">
        <f>IF($P1480="","",CHOOSE(WEEKDAY(INDEX(상세표[시작],$P1480)),"일","월","화","수","목","금","토"))</f>
        <v/>
      </c>
      <c r="H1480">
        <f>IF($P1480="","",INDEX(상세표[연속 시간],$P1480))</f>
        <v/>
      </c>
      <c r="I1480">
        <f>IF($P1480="","",INDEX(상세표[기록 수],$P1480))</f>
        <v/>
      </c>
      <c r="J1480">
        <f>IF($P1480="","",INDEX(상세표[블록 06~07시],$P1480))</f>
        <v/>
      </c>
      <c r="K1480">
        <f>IF($P1480="","",INDEX(상세표[블록 07~18시],$P1480))</f>
        <v/>
      </c>
      <c r="L1480">
        <f>IF($P1480="","",INDEX(상세표[블록 18~22시],$P1480))</f>
        <v/>
      </c>
      <c r="M1480">
        <f>IF($P1480="","",INDEX(상세표[블록 22~06시],$P1480))</f>
        <v/>
      </c>
      <c r="N1480">
        <f>IF($P1480="","",INDEX(상세표[주말·휴일 포함],$P1480)&amp;"")</f>
        <v/>
      </c>
      <c r="O1480">
        <f>IF($P1480="","",INDEX(상세표[월 넘김 포함],$P1480)&amp;"")</f>
        <v/>
      </c>
      <c r="P1480" s="4">
        <f>IFERROR(MATCH(1475,상세표[연속순번],0),"")</f>
        <v/>
      </c>
    </row>
    <row r="1481">
      <c r="A1481">
        <f>IF($P1481="","",INDEX(상세표[사번],$P1481)&amp;"")</f>
        <v/>
      </c>
      <c r="B1481">
        <f>IF($P1481="","",INDEX(상세표[성명],$P1481)&amp;"")</f>
        <v/>
      </c>
      <c r="C1481">
        <f>IF($P1481="","",INDEX(상세표[부서],$P1481)&amp;"")</f>
        <v/>
      </c>
      <c r="D1481">
        <f>IF($P1481="","",INDEX(상세표[직위],$P1481)&amp;"")</f>
        <v/>
      </c>
      <c r="E1481">
        <f>IF($P1481="","",IF(ISNUMBER(INDEX(상세표[시작],$P1481)),TEXT(INDEX(상세표[시작],$P1481),"yyyy-mm-dd hh:mm"),INDEX(상세표[시작],$P1481)&amp;""))</f>
        <v/>
      </c>
      <c r="F1481">
        <f>IF($P1481="","",IF(ISNUMBER(INDEX(상세표[블록종료],$P1481)),TEXT(INDEX(상세표[블록종료],$P1481),"yyyy-mm-dd hh:mm"),INDEX(상세표[블록종료],$P1481)&amp;""))</f>
        <v/>
      </c>
      <c r="G1481">
        <f>IF($P1481="","",CHOOSE(WEEKDAY(INDEX(상세표[시작],$P1481)),"일","월","화","수","목","금","토"))</f>
        <v/>
      </c>
      <c r="H1481">
        <f>IF($P1481="","",INDEX(상세표[연속 시간],$P1481))</f>
        <v/>
      </c>
      <c r="I1481">
        <f>IF($P1481="","",INDEX(상세표[기록 수],$P1481))</f>
        <v/>
      </c>
      <c r="J1481">
        <f>IF($P1481="","",INDEX(상세표[블록 06~07시],$P1481))</f>
        <v/>
      </c>
      <c r="K1481">
        <f>IF($P1481="","",INDEX(상세표[블록 07~18시],$P1481))</f>
        <v/>
      </c>
      <c r="L1481">
        <f>IF($P1481="","",INDEX(상세표[블록 18~22시],$P1481))</f>
        <v/>
      </c>
      <c r="M1481">
        <f>IF($P1481="","",INDEX(상세표[블록 22~06시],$P1481))</f>
        <v/>
      </c>
      <c r="N1481">
        <f>IF($P1481="","",INDEX(상세표[주말·휴일 포함],$P1481)&amp;"")</f>
        <v/>
      </c>
      <c r="O1481">
        <f>IF($P1481="","",INDEX(상세표[월 넘김 포함],$P1481)&amp;"")</f>
        <v/>
      </c>
      <c r="P1481" s="4">
        <f>IFERROR(MATCH(1476,상세표[연속순번],0),"")</f>
        <v/>
      </c>
    </row>
    <row r="1482">
      <c r="A1482">
        <f>IF($P1482="","",INDEX(상세표[사번],$P1482)&amp;"")</f>
        <v/>
      </c>
      <c r="B1482">
        <f>IF($P1482="","",INDEX(상세표[성명],$P1482)&amp;"")</f>
        <v/>
      </c>
      <c r="C1482">
        <f>IF($P1482="","",INDEX(상세표[부서],$P1482)&amp;"")</f>
        <v/>
      </c>
      <c r="D1482">
        <f>IF($P1482="","",INDEX(상세표[직위],$P1482)&amp;"")</f>
        <v/>
      </c>
      <c r="E1482">
        <f>IF($P1482="","",IF(ISNUMBER(INDEX(상세표[시작],$P1482)),TEXT(INDEX(상세표[시작],$P1482),"yyyy-mm-dd hh:mm"),INDEX(상세표[시작],$P1482)&amp;""))</f>
        <v/>
      </c>
      <c r="F1482">
        <f>IF($P1482="","",IF(ISNUMBER(INDEX(상세표[블록종료],$P1482)),TEXT(INDEX(상세표[블록종료],$P1482),"yyyy-mm-dd hh:mm"),INDEX(상세표[블록종료],$P1482)&amp;""))</f>
        <v/>
      </c>
      <c r="G1482">
        <f>IF($P1482="","",CHOOSE(WEEKDAY(INDEX(상세표[시작],$P1482)),"일","월","화","수","목","금","토"))</f>
        <v/>
      </c>
      <c r="H1482">
        <f>IF($P1482="","",INDEX(상세표[연속 시간],$P1482))</f>
        <v/>
      </c>
      <c r="I1482">
        <f>IF($P1482="","",INDEX(상세표[기록 수],$P1482))</f>
        <v/>
      </c>
      <c r="J1482">
        <f>IF($P1482="","",INDEX(상세표[블록 06~07시],$P1482))</f>
        <v/>
      </c>
      <c r="K1482">
        <f>IF($P1482="","",INDEX(상세표[블록 07~18시],$P1482))</f>
        <v/>
      </c>
      <c r="L1482">
        <f>IF($P1482="","",INDEX(상세표[블록 18~22시],$P1482))</f>
        <v/>
      </c>
      <c r="M1482">
        <f>IF($P1482="","",INDEX(상세표[블록 22~06시],$P1482))</f>
        <v/>
      </c>
      <c r="N1482">
        <f>IF($P1482="","",INDEX(상세표[주말·휴일 포함],$P1482)&amp;"")</f>
        <v/>
      </c>
      <c r="O1482">
        <f>IF($P1482="","",INDEX(상세표[월 넘김 포함],$P1482)&amp;"")</f>
        <v/>
      </c>
      <c r="P1482" s="4">
        <f>IFERROR(MATCH(1477,상세표[연속순번],0),"")</f>
        <v/>
      </c>
    </row>
    <row r="1483">
      <c r="A1483">
        <f>IF($P1483="","",INDEX(상세표[사번],$P1483)&amp;"")</f>
        <v/>
      </c>
      <c r="B1483">
        <f>IF($P1483="","",INDEX(상세표[성명],$P1483)&amp;"")</f>
        <v/>
      </c>
      <c r="C1483">
        <f>IF($P1483="","",INDEX(상세표[부서],$P1483)&amp;"")</f>
        <v/>
      </c>
      <c r="D1483">
        <f>IF($P1483="","",INDEX(상세표[직위],$P1483)&amp;"")</f>
        <v/>
      </c>
      <c r="E1483">
        <f>IF($P1483="","",IF(ISNUMBER(INDEX(상세표[시작],$P1483)),TEXT(INDEX(상세표[시작],$P1483),"yyyy-mm-dd hh:mm"),INDEX(상세표[시작],$P1483)&amp;""))</f>
        <v/>
      </c>
      <c r="F1483">
        <f>IF($P1483="","",IF(ISNUMBER(INDEX(상세표[블록종료],$P1483)),TEXT(INDEX(상세표[블록종료],$P1483),"yyyy-mm-dd hh:mm"),INDEX(상세표[블록종료],$P1483)&amp;""))</f>
        <v/>
      </c>
      <c r="G1483">
        <f>IF($P1483="","",CHOOSE(WEEKDAY(INDEX(상세표[시작],$P1483)),"일","월","화","수","목","금","토"))</f>
        <v/>
      </c>
      <c r="H1483">
        <f>IF($P1483="","",INDEX(상세표[연속 시간],$P1483))</f>
        <v/>
      </c>
      <c r="I1483">
        <f>IF($P1483="","",INDEX(상세표[기록 수],$P1483))</f>
        <v/>
      </c>
      <c r="J1483">
        <f>IF($P1483="","",INDEX(상세표[블록 06~07시],$P1483))</f>
        <v/>
      </c>
      <c r="K1483">
        <f>IF($P1483="","",INDEX(상세표[블록 07~18시],$P1483))</f>
        <v/>
      </c>
      <c r="L1483">
        <f>IF($P1483="","",INDEX(상세표[블록 18~22시],$P1483))</f>
        <v/>
      </c>
      <c r="M1483">
        <f>IF($P1483="","",INDEX(상세표[블록 22~06시],$P1483))</f>
        <v/>
      </c>
      <c r="N1483">
        <f>IF($P1483="","",INDEX(상세표[주말·휴일 포함],$P1483)&amp;"")</f>
        <v/>
      </c>
      <c r="O1483">
        <f>IF($P1483="","",INDEX(상세표[월 넘김 포함],$P1483)&amp;"")</f>
        <v/>
      </c>
      <c r="P1483" s="4">
        <f>IFERROR(MATCH(1478,상세표[연속순번],0),"")</f>
        <v/>
      </c>
    </row>
    <row r="1484">
      <c r="A1484">
        <f>IF($P1484="","",INDEX(상세표[사번],$P1484)&amp;"")</f>
        <v/>
      </c>
      <c r="B1484">
        <f>IF($P1484="","",INDEX(상세표[성명],$P1484)&amp;"")</f>
        <v/>
      </c>
      <c r="C1484">
        <f>IF($P1484="","",INDEX(상세표[부서],$P1484)&amp;"")</f>
        <v/>
      </c>
      <c r="D1484">
        <f>IF($P1484="","",INDEX(상세표[직위],$P1484)&amp;"")</f>
        <v/>
      </c>
      <c r="E1484">
        <f>IF($P1484="","",IF(ISNUMBER(INDEX(상세표[시작],$P1484)),TEXT(INDEX(상세표[시작],$P1484),"yyyy-mm-dd hh:mm"),INDEX(상세표[시작],$P1484)&amp;""))</f>
        <v/>
      </c>
      <c r="F1484">
        <f>IF($P1484="","",IF(ISNUMBER(INDEX(상세표[블록종료],$P1484)),TEXT(INDEX(상세표[블록종료],$P1484),"yyyy-mm-dd hh:mm"),INDEX(상세표[블록종료],$P1484)&amp;""))</f>
        <v/>
      </c>
      <c r="G1484">
        <f>IF($P1484="","",CHOOSE(WEEKDAY(INDEX(상세표[시작],$P1484)),"일","월","화","수","목","금","토"))</f>
        <v/>
      </c>
      <c r="H1484">
        <f>IF($P1484="","",INDEX(상세표[연속 시간],$P1484))</f>
        <v/>
      </c>
      <c r="I1484">
        <f>IF($P1484="","",INDEX(상세표[기록 수],$P1484))</f>
        <v/>
      </c>
      <c r="J1484">
        <f>IF($P1484="","",INDEX(상세표[블록 06~07시],$P1484))</f>
        <v/>
      </c>
      <c r="K1484">
        <f>IF($P1484="","",INDEX(상세표[블록 07~18시],$P1484))</f>
        <v/>
      </c>
      <c r="L1484">
        <f>IF($P1484="","",INDEX(상세표[블록 18~22시],$P1484))</f>
        <v/>
      </c>
      <c r="M1484">
        <f>IF($P1484="","",INDEX(상세표[블록 22~06시],$P1484))</f>
        <v/>
      </c>
      <c r="N1484">
        <f>IF($P1484="","",INDEX(상세표[주말·휴일 포함],$P1484)&amp;"")</f>
        <v/>
      </c>
      <c r="O1484">
        <f>IF($P1484="","",INDEX(상세표[월 넘김 포함],$P1484)&amp;"")</f>
        <v/>
      </c>
      <c r="P1484" s="4">
        <f>IFERROR(MATCH(1479,상세표[연속순번],0),"")</f>
        <v/>
      </c>
    </row>
    <row r="1485">
      <c r="A1485">
        <f>IF($P1485="","",INDEX(상세표[사번],$P1485)&amp;"")</f>
        <v/>
      </c>
      <c r="B1485">
        <f>IF($P1485="","",INDEX(상세표[성명],$P1485)&amp;"")</f>
        <v/>
      </c>
      <c r="C1485">
        <f>IF($P1485="","",INDEX(상세표[부서],$P1485)&amp;"")</f>
        <v/>
      </c>
      <c r="D1485">
        <f>IF($P1485="","",INDEX(상세표[직위],$P1485)&amp;"")</f>
        <v/>
      </c>
      <c r="E1485">
        <f>IF($P1485="","",IF(ISNUMBER(INDEX(상세표[시작],$P1485)),TEXT(INDEX(상세표[시작],$P1485),"yyyy-mm-dd hh:mm"),INDEX(상세표[시작],$P1485)&amp;""))</f>
        <v/>
      </c>
      <c r="F1485">
        <f>IF($P1485="","",IF(ISNUMBER(INDEX(상세표[블록종료],$P1485)),TEXT(INDEX(상세표[블록종료],$P1485),"yyyy-mm-dd hh:mm"),INDEX(상세표[블록종료],$P1485)&amp;""))</f>
        <v/>
      </c>
      <c r="G1485">
        <f>IF($P1485="","",CHOOSE(WEEKDAY(INDEX(상세표[시작],$P1485)),"일","월","화","수","목","금","토"))</f>
        <v/>
      </c>
      <c r="H1485">
        <f>IF($P1485="","",INDEX(상세표[연속 시간],$P1485))</f>
        <v/>
      </c>
      <c r="I1485">
        <f>IF($P1485="","",INDEX(상세표[기록 수],$P1485))</f>
        <v/>
      </c>
      <c r="J1485">
        <f>IF($P1485="","",INDEX(상세표[블록 06~07시],$P1485))</f>
        <v/>
      </c>
      <c r="K1485">
        <f>IF($P1485="","",INDEX(상세표[블록 07~18시],$P1485))</f>
        <v/>
      </c>
      <c r="L1485">
        <f>IF($P1485="","",INDEX(상세표[블록 18~22시],$P1485))</f>
        <v/>
      </c>
      <c r="M1485">
        <f>IF($P1485="","",INDEX(상세표[블록 22~06시],$P1485))</f>
        <v/>
      </c>
      <c r="N1485">
        <f>IF($P1485="","",INDEX(상세표[주말·휴일 포함],$P1485)&amp;"")</f>
        <v/>
      </c>
      <c r="O1485">
        <f>IF($P1485="","",INDEX(상세표[월 넘김 포함],$P1485)&amp;"")</f>
        <v/>
      </c>
      <c r="P1485" s="4">
        <f>IFERROR(MATCH(1480,상세표[연속순번],0),"")</f>
        <v/>
      </c>
    </row>
    <row r="1486">
      <c r="A1486">
        <f>IF($P1486="","",INDEX(상세표[사번],$P1486)&amp;"")</f>
        <v/>
      </c>
      <c r="B1486">
        <f>IF($P1486="","",INDEX(상세표[성명],$P1486)&amp;"")</f>
        <v/>
      </c>
      <c r="C1486">
        <f>IF($P1486="","",INDEX(상세표[부서],$P1486)&amp;"")</f>
        <v/>
      </c>
      <c r="D1486">
        <f>IF($P1486="","",INDEX(상세표[직위],$P1486)&amp;"")</f>
        <v/>
      </c>
      <c r="E1486">
        <f>IF($P1486="","",IF(ISNUMBER(INDEX(상세표[시작],$P1486)),TEXT(INDEX(상세표[시작],$P1486),"yyyy-mm-dd hh:mm"),INDEX(상세표[시작],$P1486)&amp;""))</f>
        <v/>
      </c>
      <c r="F1486">
        <f>IF($P1486="","",IF(ISNUMBER(INDEX(상세표[블록종료],$P1486)),TEXT(INDEX(상세표[블록종료],$P1486),"yyyy-mm-dd hh:mm"),INDEX(상세표[블록종료],$P1486)&amp;""))</f>
        <v/>
      </c>
      <c r="G1486">
        <f>IF($P1486="","",CHOOSE(WEEKDAY(INDEX(상세표[시작],$P1486)),"일","월","화","수","목","금","토"))</f>
        <v/>
      </c>
      <c r="H1486">
        <f>IF($P1486="","",INDEX(상세표[연속 시간],$P1486))</f>
        <v/>
      </c>
      <c r="I1486">
        <f>IF($P1486="","",INDEX(상세표[기록 수],$P1486))</f>
        <v/>
      </c>
      <c r="J1486">
        <f>IF($P1486="","",INDEX(상세표[블록 06~07시],$P1486))</f>
        <v/>
      </c>
      <c r="K1486">
        <f>IF($P1486="","",INDEX(상세표[블록 07~18시],$P1486))</f>
        <v/>
      </c>
      <c r="L1486">
        <f>IF($P1486="","",INDEX(상세표[블록 18~22시],$P1486))</f>
        <v/>
      </c>
      <c r="M1486">
        <f>IF($P1486="","",INDEX(상세표[블록 22~06시],$P1486))</f>
        <v/>
      </c>
      <c r="N1486">
        <f>IF($P1486="","",INDEX(상세표[주말·휴일 포함],$P1486)&amp;"")</f>
        <v/>
      </c>
      <c r="O1486">
        <f>IF($P1486="","",INDEX(상세표[월 넘김 포함],$P1486)&amp;"")</f>
        <v/>
      </c>
      <c r="P1486" s="4">
        <f>IFERROR(MATCH(1481,상세표[연속순번],0),"")</f>
        <v/>
      </c>
    </row>
    <row r="1487">
      <c r="A1487">
        <f>IF($P1487="","",INDEX(상세표[사번],$P1487)&amp;"")</f>
        <v/>
      </c>
      <c r="B1487">
        <f>IF($P1487="","",INDEX(상세표[성명],$P1487)&amp;"")</f>
        <v/>
      </c>
      <c r="C1487">
        <f>IF($P1487="","",INDEX(상세표[부서],$P1487)&amp;"")</f>
        <v/>
      </c>
      <c r="D1487">
        <f>IF($P1487="","",INDEX(상세표[직위],$P1487)&amp;"")</f>
        <v/>
      </c>
      <c r="E1487">
        <f>IF($P1487="","",IF(ISNUMBER(INDEX(상세표[시작],$P1487)),TEXT(INDEX(상세표[시작],$P1487),"yyyy-mm-dd hh:mm"),INDEX(상세표[시작],$P1487)&amp;""))</f>
        <v/>
      </c>
      <c r="F1487">
        <f>IF($P1487="","",IF(ISNUMBER(INDEX(상세표[블록종료],$P1487)),TEXT(INDEX(상세표[블록종료],$P1487),"yyyy-mm-dd hh:mm"),INDEX(상세표[블록종료],$P1487)&amp;""))</f>
        <v/>
      </c>
      <c r="G1487">
        <f>IF($P1487="","",CHOOSE(WEEKDAY(INDEX(상세표[시작],$P1487)),"일","월","화","수","목","금","토"))</f>
        <v/>
      </c>
      <c r="H1487">
        <f>IF($P1487="","",INDEX(상세표[연속 시간],$P1487))</f>
        <v/>
      </c>
      <c r="I1487">
        <f>IF($P1487="","",INDEX(상세표[기록 수],$P1487))</f>
        <v/>
      </c>
      <c r="J1487">
        <f>IF($P1487="","",INDEX(상세표[블록 06~07시],$P1487))</f>
        <v/>
      </c>
      <c r="K1487">
        <f>IF($P1487="","",INDEX(상세표[블록 07~18시],$P1487))</f>
        <v/>
      </c>
      <c r="L1487">
        <f>IF($P1487="","",INDEX(상세표[블록 18~22시],$P1487))</f>
        <v/>
      </c>
      <c r="M1487">
        <f>IF($P1487="","",INDEX(상세표[블록 22~06시],$P1487))</f>
        <v/>
      </c>
      <c r="N1487">
        <f>IF($P1487="","",INDEX(상세표[주말·휴일 포함],$P1487)&amp;"")</f>
        <v/>
      </c>
      <c r="O1487">
        <f>IF($P1487="","",INDEX(상세표[월 넘김 포함],$P1487)&amp;"")</f>
        <v/>
      </c>
      <c r="P1487" s="4">
        <f>IFERROR(MATCH(1482,상세표[연속순번],0),"")</f>
        <v/>
      </c>
    </row>
    <row r="1488">
      <c r="A1488">
        <f>IF($P1488="","",INDEX(상세표[사번],$P1488)&amp;"")</f>
        <v/>
      </c>
      <c r="B1488">
        <f>IF($P1488="","",INDEX(상세표[성명],$P1488)&amp;"")</f>
        <v/>
      </c>
      <c r="C1488">
        <f>IF($P1488="","",INDEX(상세표[부서],$P1488)&amp;"")</f>
        <v/>
      </c>
      <c r="D1488">
        <f>IF($P1488="","",INDEX(상세표[직위],$P1488)&amp;"")</f>
        <v/>
      </c>
      <c r="E1488">
        <f>IF($P1488="","",IF(ISNUMBER(INDEX(상세표[시작],$P1488)),TEXT(INDEX(상세표[시작],$P1488),"yyyy-mm-dd hh:mm"),INDEX(상세표[시작],$P1488)&amp;""))</f>
        <v/>
      </c>
      <c r="F1488">
        <f>IF($P1488="","",IF(ISNUMBER(INDEX(상세표[블록종료],$P1488)),TEXT(INDEX(상세표[블록종료],$P1488),"yyyy-mm-dd hh:mm"),INDEX(상세표[블록종료],$P1488)&amp;""))</f>
        <v/>
      </c>
      <c r="G1488">
        <f>IF($P1488="","",CHOOSE(WEEKDAY(INDEX(상세표[시작],$P1488)),"일","월","화","수","목","금","토"))</f>
        <v/>
      </c>
      <c r="H1488">
        <f>IF($P1488="","",INDEX(상세표[연속 시간],$P1488))</f>
        <v/>
      </c>
      <c r="I1488">
        <f>IF($P1488="","",INDEX(상세표[기록 수],$P1488))</f>
        <v/>
      </c>
      <c r="J1488">
        <f>IF($P1488="","",INDEX(상세표[블록 06~07시],$P1488))</f>
        <v/>
      </c>
      <c r="K1488">
        <f>IF($P1488="","",INDEX(상세표[블록 07~18시],$P1488))</f>
        <v/>
      </c>
      <c r="L1488">
        <f>IF($P1488="","",INDEX(상세표[블록 18~22시],$P1488))</f>
        <v/>
      </c>
      <c r="M1488">
        <f>IF($P1488="","",INDEX(상세표[블록 22~06시],$P1488))</f>
        <v/>
      </c>
      <c r="N1488">
        <f>IF($P1488="","",INDEX(상세표[주말·휴일 포함],$P1488)&amp;"")</f>
        <v/>
      </c>
      <c r="O1488">
        <f>IF($P1488="","",INDEX(상세표[월 넘김 포함],$P1488)&amp;"")</f>
        <v/>
      </c>
      <c r="P1488" s="4">
        <f>IFERROR(MATCH(1483,상세표[연속순번],0),"")</f>
        <v/>
      </c>
    </row>
    <row r="1489">
      <c r="A1489">
        <f>IF($P1489="","",INDEX(상세표[사번],$P1489)&amp;"")</f>
        <v/>
      </c>
      <c r="B1489">
        <f>IF($P1489="","",INDEX(상세표[성명],$P1489)&amp;"")</f>
        <v/>
      </c>
      <c r="C1489">
        <f>IF($P1489="","",INDEX(상세표[부서],$P1489)&amp;"")</f>
        <v/>
      </c>
      <c r="D1489">
        <f>IF($P1489="","",INDEX(상세표[직위],$P1489)&amp;"")</f>
        <v/>
      </c>
      <c r="E1489">
        <f>IF($P1489="","",IF(ISNUMBER(INDEX(상세표[시작],$P1489)),TEXT(INDEX(상세표[시작],$P1489),"yyyy-mm-dd hh:mm"),INDEX(상세표[시작],$P1489)&amp;""))</f>
        <v/>
      </c>
      <c r="F1489">
        <f>IF($P1489="","",IF(ISNUMBER(INDEX(상세표[블록종료],$P1489)),TEXT(INDEX(상세표[블록종료],$P1489),"yyyy-mm-dd hh:mm"),INDEX(상세표[블록종료],$P1489)&amp;""))</f>
        <v/>
      </c>
      <c r="G1489">
        <f>IF($P1489="","",CHOOSE(WEEKDAY(INDEX(상세표[시작],$P1489)),"일","월","화","수","목","금","토"))</f>
        <v/>
      </c>
      <c r="H1489">
        <f>IF($P1489="","",INDEX(상세표[연속 시간],$P1489))</f>
        <v/>
      </c>
      <c r="I1489">
        <f>IF($P1489="","",INDEX(상세표[기록 수],$P1489))</f>
        <v/>
      </c>
      <c r="J1489">
        <f>IF($P1489="","",INDEX(상세표[블록 06~07시],$P1489))</f>
        <v/>
      </c>
      <c r="K1489">
        <f>IF($P1489="","",INDEX(상세표[블록 07~18시],$P1489))</f>
        <v/>
      </c>
      <c r="L1489">
        <f>IF($P1489="","",INDEX(상세표[블록 18~22시],$P1489))</f>
        <v/>
      </c>
      <c r="M1489">
        <f>IF($P1489="","",INDEX(상세표[블록 22~06시],$P1489))</f>
        <v/>
      </c>
      <c r="N1489">
        <f>IF($P1489="","",INDEX(상세표[주말·휴일 포함],$P1489)&amp;"")</f>
        <v/>
      </c>
      <c r="O1489">
        <f>IF($P1489="","",INDEX(상세표[월 넘김 포함],$P1489)&amp;"")</f>
        <v/>
      </c>
      <c r="P1489" s="4">
        <f>IFERROR(MATCH(1484,상세표[연속순번],0),"")</f>
        <v/>
      </c>
    </row>
    <row r="1490">
      <c r="A1490">
        <f>IF($P1490="","",INDEX(상세표[사번],$P1490)&amp;"")</f>
        <v/>
      </c>
      <c r="B1490">
        <f>IF($P1490="","",INDEX(상세표[성명],$P1490)&amp;"")</f>
        <v/>
      </c>
      <c r="C1490">
        <f>IF($P1490="","",INDEX(상세표[부서],$P1490)&amp;"")</f>
        <v/>
      </c>
      <c r="D1490">
        <f>IF($P1490="","",INDEX(상세표[직위],$P1490)&amp;"")</f>
        <v/>
      </c>
      <c r="E1490">
        <f>IF($P1490="","",IF(ISNUMBER(INDEX(상세표[시작],$P1490)),TEXT(INDEX(상세표[시작],$P1490),"yyyy-mm-dd hh:mm"),INDEX(상세표[시작],$P1490)&amp;""))</f>
        <v/>
      </c>
      <c r="F1490">
        <f>IF($P1490="","",IF(ISNUMBER(INDEX(상세표[블록종료],$P1490)),TEXT(INDEX(상세표[블록종료],$P1490),"yyyy-mm-dd hh:mm"),INDEX(상세표[블록종료],$P1490)&amp;""))</f>
        <v/>
      </c>
      <c r="G1490">
        <f>IF($P1490="","",CHOOSE(WEEKDAY(INDEX(상세표[시작],$P1490)),"일","월","화","수","목","금","토"))</f>
        <v/>
      </c>
      <c r="H1490">
        <f>IF($P1490="","",INDEX(상세표[연속 시간],$P1490))</f>
        <v/>
      </c>
      <c r="I1490">
        <f>IF($P1490="","",INDEX(상세표[기록 수],$P1490))</f>
        <v/>
      </c>
      <c r="J1490">
        <f>IF($P1490="","",INDEX(상세표[블록 06~07시],$P1490))</f>
        <v/>
      </c>
      <c r="K1490">
        <f>IF($P1490="","",INDEX(상세표[블록 07~18시],$P1490))</f>
        <v/>
      </c>
      <c r="L1490">
        <f>IF($P1490="","",INDEX(상세표[블록 18~22시],$P1490))</f>
        <v/>
      </c>
      <c r="M1490">
        <f>IF($P1490="","",INDEX(상세표[블록 22~06시],$P1490))</f>
        <v/>
      </c>
      <c r="N1490">
        <f>IF($P1490="","",INDEX(상세표[주말·휴일 포함],$P1490)&amp;"")</f>
        <v/>
      </c>
      <c r="O1490">
        <f>IF($P1490="","",INDEX(상세표[월 넘김 포함],$P1490)&amp;"")</f>
        <v/>
      </c>
      <c r="P1490" s="4">
        <f>IFERROR(MATCH(1485,상세표[연속순번],0),"")</f>
        <v/>
      </c>
    </row>
    <row r="1491">
      <c r="A1491">
        <f>IF($P1491="","",INDEX(상세표[사번],$P1491)&amp;"")</f>
        <v/>
      </c>
      <c r="B1491">
        <f>IF($P1491="","",INDEX(상세표[성명],$P1491)&amp;"")</f>
        <v/>
      </c>
      <c r="C1491">
        <f>IF($P1491="","",INDEX(상세표[부서],$P1491)&amp;"")</f>
        <v/>
      </c>
      <c r="D1491">
        <f>IF($P1491="","",INDEX(상세표[직위],$P1491)&amp;"")</f>
        <v/>
      </c>
      <c r="E1491">
        <f>IF($P1491="","",IF(ISNUMBER(INDEX(상세표[시작],$P1491)),TEXT(INDEX(상세표[시작],$P1491),"yyyy-mm-dd hh:mm"),INDEX(상세표[시작],$P1491)&amp;""))</f>
        <v/>
      </c>
      <c r="F1491">
        <f>IF($P1491="","",IF(ISNUMBER(INDEX(상세표[블록종료],$P1491)),TEXT(INDEX(상세표[블록종료],$P1491),"yyyy-mm-dd hh:mm"),INDEX(상세표[블록종료],$P1491)&amp;""))</f>
        <v/>
      </c>
      <c r="G1491">
        <f>IF($P1491="","",CHOOSE(WEEKDAY(INDEX(상세표[시작],$P1491)),"일","월","화","수","목","금","토"))</f>
        <v/>
      </c>
      <c r="H1491">
        <f>IF($P1491="","",INDEX(상세표[연속 시간],$P1491))</f>
        <v/>
      </c>
      <c r="I1491">
        <f>IF($P1491="","",INDEX(상세표[기록 수],$P1491))</f>
        <v/>
      </c>
      <c r="J1491">
        <f>IF($P1491="","",INDEX(상세표[블록 06~07시],$P1491))</f>
        <v/>
      </c>
      <c r="K1491">
        <f>IF($P1491="","",INDEX(상세표[블록 07~18시],$P1491))</f>
        <v/>
      </c>
      <c r="L1491">
        <f>IF($P1491="","",INDEX(상세표[블록 18~22시],$P1491))</f>
        <v/>
      </c>
      <c r="M1491">
        <f>IF($P1491="","",INDEX(상세표[블록 22~06시],$P1491))</f>
        <v/>
      </c>
      <c r="N1491">
        <f>IF($P1491="","",INDEX(상세표[주말·휴일 포함],$P1491)&amp;"")</f>
        <v/>
      </c>
      <c r="O1491">
        <f>IF($P1491="","",INDEX(상세표[월 넘김 포함],$P1491)&amp;"")</f>
        <v/>
      </c>
      <c r="P1491" s="4">
        <f>IFERROR(MATCH(1486,상세표[연속순번],0),"")</f>
        <v/>
      </c>
    </row>
    <row r="1492">
      <c r="A1492">
        <f>IF($P1492="","",INDEX(상세표[사번],$P1492)&amp;"")</f>
        <v/>
      </c>
      <c r="B1492">
        <f>IF($P1492="","",INDEX(상세표[성명],$P1492)&amp;"")</f>
        <v/>
      </c>
      <c r="C1492">
        <f>IF($P1492="","",INDEX(상세표[부서],$P1492)&amp;"")</f>
        <v/>
      </c>
      <c r="D1492">
        <f>IF($P1492="","",INDEX(상세표[직위],$P1492)&amp;"")</f>
        <v/>
      </c>
      <c r="E1492">
        <f>IF($P1492="","",IF(ISNUMBER(INDEX(상세표[시작],$P1492)),TEXT(INDEX(상세표[시작],$P1492),"yyyy-mm-dd hh:mm"),INDEX(상세표[시작],$P1492)&amp;""))</f>
        <v/>
      </c>
      <c r="F1492">
        <f>IF($P1492="","",IF(ISNUMBER(INDEX(상세표[블록종료],$P1492)),TEXT(INDEX(상세표[블록종료],$P1492),"yyyy-mm-dd hh:mm"),INDEX(상세표[블록종료],$P1492)&amp;""))</f>
        <v/>
      </c>
      <c r="G1492">
        <f>IF($P1492="","",CHOOSE(WEEKDAY(INDEX(상세표[시작],$P1492)),"일","월","화","수","목","금","토"))</f>
        <v/>
      </c>
      <c r="H1492">
        <f>IF($P1492="","",INDEX(상세표[연속 시간],$P1492))</f>
        <v/>
      </c>
      <c r="I1492">
        <f>IF($P1492="","",INDEX(상세표[기록 수],$P1492))</f>
        <v/>
      </c>
      <c r="J1492">
        <f>IF($P1492="","",INDEX(상세표[블록 06~07시],$P1492))</f>
        <v/>
      </c>
      <c r="K1492">
        <f>IF($P1492="","",INDEX(상세표[블록 07~18시],$P1492))</f>
        <v/>
      </c>
      <c r="L1492">
        <f>IF($P1492="","",INDEX(상세표[블록 18~22시],$P1492))</f>
        <v/>
      </c>
      <c r="M1492">
        <f>IF($P1492="","",INDEX(상세표[블록 22~06시],$P1492))</f>
        <v/>
      </c>
      <c r="N1492">
        <f>IF($P1492="","",INDEX(상세표[주말·휴일 포함],$P1492)&amp;"")</f>
        <v/>
      </c>
      <c r="O1492">
        <f>IF($P1492="","",INDEX(상세표[월 넘김 포함],$P1492)&amp;"")</f>
        <v/>
      </c>
      <c r="P1492" s="4">
        <f>IFERROR(MATCH(1487,상세표[연속순번],0),"")</f>
        <v/>
      </c>
    </row>
    <row r="1493">
      <c r="A1493">
        <f>IF($P1493="","",INDEX(상세표[사번],$P1493)&amp;"")</f>
        <v/>
      </c>
      <c r="B1493">
        <f>IF($P1493="","",INDEX(상세표[성명],$P1493)&amp;"")</f>
        <v/>
      </c>
      <c r="C1493">
        <f>IF($P1493="","",INDEX(상세표[부서],$P1493)&amp;"")</f>
        <v/>
      </c>
      <c r="D1493">
        <f>IF($P1493="","",INDEX(상세표[직위],$P1493)&amp;"")</f>
        <v/>
      </c>
      <c r="E1493">
        <f>IF($P1493="","",IF(ISNUMBER(INDEX(상세표[시작],$P1493)),TEXT(INDEX(상세표[시작],$P1493),"yyyy-mm-dd hh:mm"),INDEX(상세표[시작],$P1493)&amp;""))</f>
        <v/>
      </c>
      <c r="F1493">
        <f>IF($P1493="","",IF(ISNUMBER(INDEX(상세표[블록종료],$P1493)),TEXT(INDEX(상세표[블록종료],$P1493),"yyyy-mm-dd hh:mm"),INDEX(상세표[블록종료],$P1493)&amp;""))</f>
        <v/>
      </c>
      <c r="G1493">
        <f>IF($P1493="","",CHOOSE(WEEKDAY(INDEX(상세표[시작],$P1493)),"일","월","화","수","목","금","토"))</f>
        <v/>
      </c>
      <c r="H1493">
        <f>IF($P1493="","",INDEX(상세표[연속 시간],$P1493))</f>
        <v/>
      </c>
      <c r="I1493">
        <f>IF($P1493="","",INDEX(상세표[기록 수],$P1493))</f>
        <v/>
      </c>
      <c r="J1493">
        <f>IF($P1493="","",INDEX(상세표[블록 06~07시],$P1493))</f>
        <v/>
      </c>
      <c r="K1493">
        <f>IF($P1493="","",INDEX(상세표[블록 07~18시],$P1493))</f>
        <v/>
      </c>
      <c r="L1493">
        <f>IF($P1493="","",INDEX(상세표[블록 18~22시],$P1493))</f>
        <v/>
      </c>
      <c r="M1493">
        <f>IF($P1493="","",INDEX(상세표[블록 22~06시],$P1493))</f>
        <v/>
      </c>
      <c r="N1493">
        <f>IF($P1493="","",INDEX(상세표[주말·휴일 포함],$P1493)&amp;"")</f>
        <v/>
      </c>
      <c r="O1493">
        <f>IF($P1493="","",INDEX(상세표[월 넘김 포함],$P1493)&amp;"")</f>
        <v/>
      </c>
      <c r="P1493" s="4">
        <f>IFERROR(MATCH(1488,상세표[연속순번],0),"")</f>
        <v/>
      </c>
    </row>
    <row r="1494">
      <c r="A1494">
        <f>IF($P1494="","",INDEX(상세표[사번],$P1494)&amp;"")</f>
        <v/>
      </c>
      <c r="B1494">
        <f>IF($P1494="","",INDEX(상세표[성명],$P1494)&amp;"")</f>
        <v/>
      </c>
      <c r="C1494">
        <f>IF($P1494="","",INDEX(상세표[부서],$P1494)&amp;"")</f>
        <v/>
      </c>
      <c r="D1494">
        <f>IF($P1494="","",INDEX(상세표[직위],$P1494)&amp;"")</f>
        <v/>
      </c>
      <c r="E1494">
        <f>IF($P1494="","",IF(ISNUMBER(INDEX(상세표[시작],$P1494)),TEXT(INDEX(상세표[시작],$P1494),"yyyy-mm-dd hh:mm"),INDEX(상세표[시작],$P1494)&amp;""))</f>
        <v/>
      </c>
      <c r="F1494">
        <f>IF($P1494="","",IF(ISNUMBER(INDEX(상세표[블록종료],$P1494)),TEXT(INDEX(상세표[블록종료],$P1494),"yyyy-mm-dd hh:mm"),INDEX(상세표[블록종료],$P1494)&amp;""))</f>
        <v/>
      </c>
      <c r="G1494">
        <f>IF($P1494="","",CHOOSE(WEEKDAY(INDEX(상세표[시작],$P1494)),"일","월","화","수","목","금","토"))</f>
        <v/>
      </c>
      <c r="H1494">
        <f>IF($P1494="","",INDEX(상세표[연속 시간],$P1494))</f>
        <v/>
      </c>
      <c r="I1494">
        <f>IF($P1494="","",INDEX(상세표[기록 수],$P1494))</f>
        <v/>
      </c>
      <c r="J1494">
        <f>IF($P1494="","",INDEX(상세표[블록 06~07시],$P1494))</f>
        <v/>
      </c>
      <c r="K1494">
        <f>IF($P1494="","",INDEX(상세표[블록 07~18시],$P1494))</f>
        <v/>
      </c>
      <c r="L1494">
        <f>IF($P1494="","",INDEX(상세표[블록 18~22시],$P1494))</f>
        <v/>
      </c>
      <c r="M1494">
        <f>IF($P1494="","",INDEX(상세표[블록 22~06시],$P1494))</f>
        <v/>
      </c>
      <c r="N1494">
        <f>IF($P1494="","",INDEX(상세표[주말·휴일 포함],$P1494)&amp;"")</f>
        <v/>
      </c>
      <c r="O1494">
        <f>IF($P1494="","",INDEX(상세표[월 넘김 포함],$P1494)&amp;"")</f>
        <v/>
      </c>
      <c r="P1494" s="4">
        <f>IFERROR(MATCH(1489,상세표[연속순번],0),"")</f>
        <v/>
      </c>
    </row>
    <row r="1495">
      <c r="A1495">
        <f>IF($P1495="","",INDEX(상세표[사번],$P1495)&amp;"")</f>
        <v/>
      </c>
      <c r="B1495">
        <f>IF($P1495="","",INDEX(상세표[성명],$P1495)&amp;"")</f>
        <v/>
      </c>
      <c r="C1495">
        <f>IF($P1495="","",INDEX(상세표[부서],$P1495)&amp;"")</f>
        <v/>
      </c>
      <c r="D1495">
        <f>IF($P1495="","",INDEX(상세표[직위],$P1495)&amp;"")</f>
        <v/>
      </c>
      <c r="E1495">
        <f>IF($P1495="","",IF(ISNUMBER(INDEX(상세표[시작],$P1495)),TEXT(INDEX(상세표[시작],$P1495),"yyyy-mm-dd hh:mm"),INDEX(상세표[시작],$P1495)&amp;""))</f>
        <v/>
      </c>
      <c r="F1495">
        <f>IF($P1495="","",IF(ISNUMBER(INDEX(상세표[블록종료],$P1495)),TEXT(INDEX(상세표[블록종료],$P1495),"yyyy-mm-dd hh:mm"),INDEX(상세표[블록종료],$P1495)&amp;""))</f>
        <v/>
      </c>
      <c r="G1495">
        <f>IF($P1495="","",CHOOSE(WEEKDAY(INDEX(상세표[시작],$P1495)),"일","월","화","수","목","금","토"))</f>
        <v/>
      </c>
      <c r="H1495">
        <f>IF($P1495="","",INDEX(상세표[연속 시간],$P1495))</f>
        <v/>
      </c>
      <c r="I1495">
        <f>IF($P1495="","",INDEX(상세표[기록 수],$P1495))</f>
        <v/>
      </c>
      <c r="J1495">
        <f>IF($P1495="","",INDEX(상세표[블록 06~07시],$P1495))</f>
        <v/>
      </c>
      <c r="K1495">
        <f>IF($P1495="","",INDEX(상세표[블록 07~18시],$P1495))</f>
        <v/>
      </c>
      <c r="L1495">
        <f>IF($P1495="","",INDEX(상세표[블록 18~22시],$P1495))</f>
        <v/>
      </c>
      <c r="M1495">
        <f>IF($P1495="","",INDEX(상세표[블록 22~06시],$P1495))</f>
        <v/>
      </c>
      <c r="N1495">
        <f>IF($P1495="","",INDEX(상세표[주말·휴일 포함],$P1495)&amp;"")</f>
        <v/>
      </c>
      <c r="O1495">
        <f>IF($P1495="","",INDEX(상세표[월 넘김 포함],$P1495)&amp;"")</f>
        <v/>
      </c>
      <c r="P1495" s="4">
        <f>IFERROR(MATCH(1490,상세표[연속순번],0),"")</f>
        <v/>
      </c>
    </row>
    <row r="1496">
      <c r="A1496">
        <f>IF($P1496="","",INDEX(상세표[사번],$P1496)&amp;"")</f>
        <v/>
      </c>
      <c r="B1496">
        <f>IF($P1496="","",INDEX(상세표[성명],$P1496)&amp;"")</f>
        <v/>
      </c>
      <c r="C1496">
        <f>IF($P1496="","",INDEX(상세표[부서],$P1496)&amp;"")</f>
        <v/>
      </c>
      <c r="D1496">
        <f>IF($P1496="","",INDEX(상세표[직위],$P1496)&amp;"")</f>
        <v/>
      </c>
      <c r="E1496">
        <f>IF($P1496="","",IF(ISNUMBER(INDEX(상세표[시작],$P1496)),TEXT(INDEX(상세표[시작],$P1496),"yyyy-mm-dd hh:mm"),INDEX(상세표[시작],$P1496)&amp;""))</f>
        <v/>
      </c>
      <c r="F1496">
        <f>IF($P1496="","",IF(ISNUMBER(INDEX(상세표[블록종료],$P1496)),TEXT(INDEX(상세표[블록종료],$P1496),"yyyy-mm-dd hh:mm"),INDEX(상세표[블록종료],$P1496)&amp;""))</f>
        <v/>
      </c>
      <c r="G1496">
        <f>IF($P1496="","",CHOOSE(WEEKDAY(INDEX(상세표[시작],$P1496)),"일","월","화","수","목","금","토"))</f>
        <v/>
      </c>
      <c r="H1496">
        <f>IF($P1496="","",INDEX(상세표[연속 시간],$P1496))</f>
        <v/>
      </c>
      <c r="I1496">
        <f>IF($P1496="","",INDEX(상세표[기록 수],$P1496))</f>
        <v/>
      </c>
      <c r="J1496">
        <f>IF($P1496="","",INDEX(상세표[블록 06~07시],$P1496))</f>
        <v/>
      </c>
      <c r="K1496">
        <f>IF($P1496="","",INDEX(상세표[블록 07~18시],$P1496))</f>
        <v/>
      </c>
      <c r="L1496">
        <f>IF($P1496="","",INDEX(상세표[블록 18~22시],$P1496))</f>
        <v/>
      </c>
      <c r="M1496">
        <f>IF($P1496="","",INDEX(상세표[블록 22~06시],$P1496))</f>
        <v/>
      </c>
      <c r="N1496">
        <f>IF($P1496="","",INDEX(상세표[주말·휴일 포함],$P1496)&amp;"")</f>
        <v/>
      </c>
      <c r="O1496">
        <f>IF($P1496="","",INDEX(상세표[월 넘김 포함],$P1496)&amp;"")</f>
        <v/>
      </c>
      <c r="P1496" s="4">
        <f>IFERROR(MATCH(1491,상세표[연속순번],0),"")</f>
        <v/>
      </c>
    </row>
    <row r="1497">
      <c r="A1497">
        <f>IF($P1497="","",INDEX(상세표[사번],$P1497)&amp;"")</f>
        <v/>
      </c>
      <c r="B1497">
        <f>IF($P1497="","",INDEX(상세표[성명],$P1497)&amp;"")</f>
        <v/>
      </c>
      <c r="C1497">
        <f>IF($P1497="","",INDEX(상세표[부서],$P1497)&amp;"")</f>
        <v/>
      </c>
      <c r="D1497">
        <f>IF($P1497="","",INDEX(상세표[직위],$P1497)&amp;"")</f>
        <v/>
      </c>
      <c r="E1497">
        <f>IF($P1497="","",IF(ISNUMBER(INDEX(상세표[시작],$P1497)),TEXT(INDEX(상세표[시작],$P1497),"yyyy-mm-dd hh:mm"),INDEX(상세표[시작],$P1497)&amp;""))</f>
        <v/>
      </c>
      <c r="F1497">
        <f>IF($P1497="","",IF(ISNUMBER(INDEX(상세표[블록종료],$P1497)),TEXT(INDEX(상세표[블록종료],$P1497),"yyyy-mm-dd hh:mm"),INDEX(상세표[블록종료],$P1497)&amp;""))</f>
        <v/>
      </c>
      <c r="G1497">
        <f>IF($P1497="","",CHOOSE(WEEKDAY(INDEX(상세표[시작],$P1497)),"일","월","화","수","목","금","토"))</f>
        <v/>
      </c>
      <c r="H1497">
        <f>IF($P1497="","",INDEX(상세표[연속 시간],$P1497))</f>
        <v/>
      </c>
      <c r="I1497">
        <f>IF($P1497="","",INDEX(상세표[기록 수],$P1497))</f>
        <v/>
      </c>
      <c r="J1497">
        <f>IF($P1497="","",INDEX(상세표[블록 06~07시],$P1497))</f>
        <v/>
      </c>
      <c r="K1497">
        <f>IF($P1497="","",INDEX(상세표[블록 07~18시],$P1497))</f>
        <v/>
      </c>
      <c r="L1497">
        <f>IF($P1497="","",INDEX(상세표[블록 18~22시],$P1497))</f>
        <v/>
      </c>
      <c r="M1497">
        <f>IF($P1497="","",INDEX(상세표[블록 22~06시],$P1497))</f>
        <v/>
      </c>
      <c r="N1497">
        <f>IF($P1497="","",INDEX(상세표[주말·휴일 포함],$P1497)&amp;"")</f>
        <v/>
      </c>
      <c r="O1497">
        <f>IF($P1497="","",INDEX(상세표[월 넘김 포함],$P1497)&amp;"")</f>
        <v/>
      </c>
      <c r="P1497" s="4">
        <f>IFERROR(MATCH(1492,상세표[연속순번],0),"")</f>
        <v/>
      </c>
    </row>
    <row r="1498">
      <c r="A1498">
        <f>IF($P1498="","",INDEX(상세표[사번],$P1498)&amp;"")</f>
        <v/>
      </c>
      <c r="B1498">
        <f>IF($P1498="","",INDEX(상세표[성명],$P1498)&amp;"")</f>
        <v/>
      </c>
      <c r="C1498">
        <f>IF($P1498="","",INDEX(상세표[부서],$P1498)&amp;"")</f>
        <v/>
      </c>
      <c r="D1498">
        <f>IF($P1498="","",INDEX(상세표[직위],$P1498)&amp;"")</f>
        <v/>
      </c>
      <c r="E1498">
        <f>IF($P1498="","",IF(ISNUMBER(INDEX(상세표[시작],$P1498)),TEXT(INDEX(상세표[시작],$P1498),"yyyy-mm-dd hh:mm"),INDEX(상세표[시작],$P1498)&amp;""))</f>
        <v/>
      </c>
      <c r="F1498">
        <f>IF($P1498="","",IF(ISNUMBER(INDEX(상세표[블록종료],$P1498)),TEXT(INDEX(상세표[블록종료],$P1498),"yyyy-mm-dd hh:mm"),INDEX(상세표[블록종료],$P1498)&amp;""))</f>
        <v/>
      </c>
      <c r="G1498">
        <f>IF($P1498="","",CHOOSE(WEEKDAY(INDEX(상세표[시작],$P1498)),"일","월","화","수","목","금","토"))</f>
        <v/>
      </c>
      <c r="H1498">
        <f>IF($P1498="","",INDEX(상세표[연속 시간],$P1498))</f>
        <v/>
      </c>
      <c r="I1498">
        <f>IF($P1498="","",INDEX(상세표[기록 수],$P1498))</f>
        <v/>
      </c>
      <c r="J1498">
        <f>IF($P1498="","",INDEX(상세표[블록 06~07시],$P1498))</f>
        <v/>
      </c>
      <c r="K1498">
        <f>IF($P1498="","",INDEX(상세표[블록 07~18시],$P1498))</f>
        <v/>
      </c>
      <c r="L1498">
        <f>IF($P1498="","",INDEX(상세표[블록 18~22시],$P1498))</f>
        <v/>
      </c>
      <c r="M1498">
        <f>IF($P1498="","",INDEX(상세표[블록 22~06시],$P1498))</f>
        <v/>
      </c>
      <c r="N1498">
        <f>IF($P1498="","",INDEX(상세표[주말·휴일 포함],$P1498)&amp;"")</f>
        <v/>
      </c>
      <c r="O1498">
        <f>IF($P1498="","",INDEX(상세표[월 넘김 포함],$P1498)&amp;"")</f>
        <v/>
      </c>
      <c r="P1498" s="4">
        <f>IFERROR(MATCH(1493,상세표[연속순번],0),"")</f>
        <v/>
      </c>
    </row>
    <row r="1499">
      <c r="A1499">
        <f>IF($P1499="","",INDEX(상세표[사번],$P1499)&amp;"")</f>
        <v/>
      </c>
      <c r="B1499">
        <f>IF($P1499="","",INDEX(상세표[성명],$P1499)&amp;"")</f>
        <v/>
      </c>
      <c r="C1499">
        <f>IF($P1499="","",INDEX(상세표[부서],$P1499)&amp;"")</f>
        <v/>
      </c>
      <c r="D1499">
        <f>IF($P1499="","",INDEX(상세표[직위],$P1499)&amp;"")</f>
        <v/>
      </c>
      <c r="E1499">
        <f>IF($P1499="","",IF(ISNUMBER(INDEX(상세표[시작],$P1499)),TEXT(INDEX(상세표[시작],$P1499),"yyyy-mm-dd hh:mm"),INDEX(상세표[시작],$P1499)&amp;""))</f>
        <v/>
      </c>
      <c r="F1499">
        <f>IF($P1499="","",IF(ISNUMBER(INDEX(상세표[블록종료],$P1499)),TEXT(INDEX(상세표[블록종료],$P1499),"yyyy-mm-dd hh:mm"),INDEX(상세표[블록종료],$P1499)&amp;""))</f>
        <v/>
      </c>
      <c r="G1499">
        <f>IF($P1499="","",CHOOSE(WEEKDAY(INDEX(상세표[시작],$P1499)),"일","월","화","수","목","금","토"))</f>
        <v/>
      </c>
      <c r="H1499">
        <f>IF($P1499="","",INDEX(상세표[연속 시간],$P1499))</f>
        <v/>
      </c>
      <c r="I1499">
        <f>IF($P1499="","",INDEX(상세표[기록 수],$P1499))</f>
        <v/>
      </c>
      <c r="J1499">
        <f>IF($P1499="","",INDEX(상세표[블록 06~07시],$P1499))</f>
        <v/>
      </c>
      <c r="K1499">
        <f>IF($P1499="","",INDEX(상세표[블록 07~18시],$P1499))</f>
        <v/>
      </c>
      <c r="L1499">
        <f>IF($P1499="","",INDEX(상세표[블록 18~22시],$P1499))</f>
        <v/>
      </c>
      <c r="M1499">
        <f>IF($P1499="","",INDEX(상세표[블록 22~06시],$P1499))</f>
        <v/>
      </c>
      <c r="N1499">
        <f>IF($P1499="","",INDEX(상세표[주말·휴일 포함],$P1499)&amp;"")</f>
        <v/>
      </c>
      <c r="O1499">
        <f>IF($P1499="","",INDEX(상세표[월 넘김 포함],$P1499)&amp;"")</f>
        <v/>
      </c>
      <c r="P1499" s="4">
        <f>IFERROR(MATCH(1494,상세표[연속순번],0),"")</f>
        <v/>
      </c>
    </row>
    <row r="1500">
      <c r="A1500">
        <f>IF($P1500="","",INDEX(상세표[사번],$P1500)&amp;"")</f>
        <v/>
      </c>
      <c r="B1500">
        <f>IF($P1500="","",INDEX(상세표[성명],$P1500)&amp;"")</f>
        <v/>
      </c>
      <c r="C1500">
        <f>IF($P1500="","",INDEX(상세표[부서],$P1500)&amp;"")</f>
        <v/>
      </c>
      <c r="D1500">
        <f>IF($P1500="","",INDEX(상세표[직위],$P1500)&amp;"")</f>
        <v/>
      </c>
      <c r="E1500">
        <f>IF($P1500="","",IF(ISNUMBER(INDEX(상세표[시작],$P1500)),TEXT(INDEX(상세표[시작],$P1500),"yyyy-mm-dd hh:mm"),INDEX(상세표[시작],$P1500)&amp;""))</f>
        <v/>
      </c>
      <c r="F1500">
        <f>IF($P1500="","",IF(ISNUMBER(INDEX(상세표[블록종료],$P1500)),TEXT(INDEX(상세표[블록종료],$P1500),"yyyy-mm-dd hh:mm"),INDEX(상세표[블록종료],$P1500)&amp;""))</f>
        <v/>
      </c>
      <c r="G1500">
        <f>IF($P1500="","",CHOOSE(WEEKDAY(INDEX(상세표[시작],$P1500)),"일","월","화","수","목","금","토"))</f>
        <v/>
      </c>
      <c r="H1500">
        <f>IF($P1500="","",INDEX(상세표[연속 시간],$P1500))</f>
        <v/>
      </c>
      <c r="I1500">
        <f>IF($P1500="","",INDEX(상세표[기록 수],$P1500))</f>
        <v/>
      </c>
      <c r="J1500">
        <f>IF($P1500="","",INDEX(상세표[블록 06~07시],$P1500))</f>
        <v/>
      </c>
      <c r="K1500">
        <f>IF($P1500="","",INDEX(상세표[블록 07~18시],$P1500))</f>
        <v/>
      </c>
      <c r="L1500">
        <f>IF($P1500="","",INDEX(상세표[블록 18~22시],$P1500))</f>
        <v/>
      </c>
      <c r="M1500">
        <f>IF($P1500="","",INDEX(상세표[블록 22~06시],$P1500))</f>
        <v/>
      </c>
      <c r="N1500">
        <f>IF($P1500="","",INDEX(상세표[주말·휴일 포함],$P1500)&amp;"")</f>
        <v/>
      </c>
      <c r="O1500">
        <f>IF($P1500="","",INDEX(상세표[월 넘김 포함],$P1500)&amp;"")</f>
        <v/>
      </c>
      <c r="P1500" s="4">
        <f>IFERROR(MATCH(1495,상세표[연속순번],0),"")</f>
        <v/>
      </c>
    </row>
    <row r="1501">
      <c r="A1501">
        <f>IF($P1501="","",INDEX(상세표[사번],$P1501)&amp;"")</f>
        <v/>
      </c>
      <c r="B1501">
        <f>IF($P1501="","",INDEX(상세표[성명],$P1501)&amp;"")</f>
        <v/>
      </c>
      <c r="C1501">
        <f>IF($P1501="","",INDEX(상세표[부서],$P1501)&amp;"")</f>
        <v/>
      </c>
      <c r="D1501">
        <f>IF($P1501="","",INDEX(상세표[직위],$P1501)&amp;"")</f>
        <v/>
      </c>
      <c r="E1501">
        <f>IF($P1501="","",IF(ISNUMBER(INDEX(상세표[시작],$P1501)),TEXT(INDEX(상세표[시작],$P1501),"yyyy-mm-dd hh:mm"),INDEX(상세표[시작],$P1501)&amp;""))</f>
        <v/>
      </c>
      <c r="F1501">
        <f>IF($P1501="","",IF(ISNUMBER(INDEX(상세표[블록종료],$P1501)),TEXT(INDEX(상세표[블록종료],$P1501),"yyyy-mm-dd hh:mm"),INDEX(상세표[블록종료],$P1501)&amp;""))</f>
        <v/>
      </c>
      <c r="G1501">
        <f>IF($P1501="","",CHOOSE(WEEKDAY(INDEX(상세표[시작],$P1501)),"일","월","화","수","목","금","토"))</f>
        <v/>
      </c>
      <c r="H1501">
        <f>IF($P1501="","",INDEX(상세표[연속 시간],$P1501))</f>
        <v/>
      </c>
      <c r="I1501">
        <f>IF($P1501="","",INDEX(상세표[기록 수],$P1501))</f>
        <v/>
      </c>
      <c r="J1501">
        <f>IF($P1501="","",INDEX(상세표[블록 06~07시],$P1501))</f>
        <v/>
      </c>
      <c r="K1501">
        <f>IF($P1501="","",INDEX(상세표[블록 07~18시],$P1501))</f>
        <v/>
      </c>
      <c r="L1501">
        <f>IF($P1501="","",INDEX(상세표[블록 18~22시],$P1501))</f>
        <v/>
      </c>
      <c r="M1501">
        <f>IF($P1501="","",INDEX(상세표[블록 22~06시],$P1501))</f>
        <v/>
      </c>
      <c r="N1501">
        <f>IF($P1501="","",INDEX(상세표[주말·휴일 포함],$P1501)&amp;"")</f>
        <v/>
      </c>
      <c r="O1501">
        <f>IF($P1501="","",INDEX(상세표[월 넘김 포함],$P1501)&amp;"")</f>
        <v/>
      </c>
      <c r="P1501" s="4">
        <f>IFERROR(MATCH(1496,상세표[연속순번],0),"")</f>
        <v/>
      </c>
    </row>
    <row r="1502">
      <c r="A1502">
        <f>IF($P1502="","",INDEX(상세표[사번],$P1502)&amp;"")</f>
        <v/>
      </c>
      <c r="B1502">
        <f>IF($P1502="","",INDEX(상세표[성명],$P1502)&amp;"")</f>
        <v/>
      </c>
      <c r="C1502">
        <f>IF($P1502="","",INDEX(상세표[부서],$P1502)&amp;"")</f>
        <v/>
      </c>
      <c r="D1502">
        <f>IF($P1502="","",INDEX(상세표[직위],$P1502)&amp;"")</f>
        <v/>
      </c>
      <c r="E1502">
        <f>IF($P1502="","",IF(ISNUMBER(INDEX(상세표[시작],$P1502)),TEXT(INDEX(상세표[시작],$P1502),"yyyy-mm-dd hh:mm"),INDEX(상세표[시작],$P1502)&amp;""))</f>
        <v/>
      </c>
      <c r="F1502">
        <f>IF($P1502="","",IF(ISNUMBER(INDEX(상세표[블록종료],$P1502)),TEXT(INDEX(상세표[블록종료],$P1502),"yyyy-mm-dd hh:mm"),INDEX(상세표[블록종료],$P1502)&amp;""))</f>
        <v/>
      </c>
      <c r="G1502">
        <f>IF($P1502="","",CHOOSE(WEEKDAY(INDEX(상세표[시작],$P1502)),"일","월","화","수","목","금","토"))</f>
        <v/>
      </c>
      <c r="H1502">
        <f>IF($P1502="","",INDEX(상세표[연속 시간],$P1502))</f>
        <v/>
      </c>
      <c r="I1502">
        <f>IF($P1502="","",INDEX(상세표[기록 수],$P1502))</f>
        <v/>
      </c>
      <c r="J1502">
        <f>IF($P1502="","",INDEX(상세표[블록 06~07시],$P1502))</f>
        <v/>
      </c>
      <c r="K1502">
        <f>IF($P1502="","",INDEX(상세표[블록 07~18시],$P1502))</f>
        <v/>
      </c>
      <c r="L1502">
        <f>IF($P1502="","",INDEX(상세표[블록 18~22시],$P1502))</f>
        <v/>
      </c>
      <c r="M1502">
        <f>IF($P1502="","",INDEX(상세표[블록 22~06시],$P1502))</f>
        <v/>
      </c>
      <c r="N1502">
        <f>IF($P1502="","",INDEX(상세표[주말·휴일 포함],$P1502)&amp;"")</f>
        <v/>
      </c>
      <c r="O1502">
        <f>IF($P1502="","",INDEX(상세표[월 넘김 포함],$P1502)&amp;"")</f>
        <v/>
      </c>
      <c r="P1502" s="4">
        <f>IFERROR(MATCH(1497,상세표[연속순번],0),"")</f>
        <v/>
      </c>
    </row>
    <row r="1503">
      <c r="A1503">
        <f>IF($P1503="","",INDEX(상세표[사번],$P1503)&amp;"")</f>
        <v/>
      </c>
      <c r="B1503">
        <f>IF($P1503="","",INDEX(상세표[성명],$P1503)&amp;"")</f>
        <v/>
      </c>
      <c r="C1503">
        <f>IF($P1503="","",INDEX(상세표[부서],$P1503)&amp;"")</f>
        <v/>
      </c>
      <c r="D1503">
        <f>IF($P1503="","",INDEX(상세표[직위],$P1503)&amp;"")</f>
        <v/>
      </c>
      <c r="E1503">
        <f>IF($P1503="","",IF(ISNUMBER(INDEX(상세표[시작],$P1503)),TEXT(INDEX(상세표[시작],$P1503),"yyyy-mm-dd hh:mm"),INDEX(상세표[시작],$P1503)&amp;""))</f>
        <v/>
      </c>
      <c r="F1503">
        <f>IF($P1503="","",IF(ISNUMBER(INDEX(상세표[블록종료],$P1503)),TEXT(INDEX(상세표[블록종료],$P1503),"yyyy-mm-dd hh:mm"),INDEX(상세표[블록종료],$P1503)&amp;""))</f>
        <v/>
      </c>
      <c r="G1503">
        <f>IF($P1503="","",CHOOSE(WEEKDAY(INDEX(상세표[시작],$P1503)),"일","월","화","수","목","금","토"))</f>
        <v/>
      </c>
      <c r="H1503">
        <f>IF($P1503="","",INDEX(상세표[연속 시간],$P1503))</f>
        <v/>
      </c>
      <c r="I1503">
        <f>IF($P1503="","",INDEX(상세표[기록 수],$P1503))</f>
        <v/>
      </c>
      <c r="J1503">
        <f>IF($P1503="","",INDEX(상세표[블록 06~07시],$P1503))</f>
        <v/>
      </c>
      <c r="K1503">
        <f>IF($P1503="","",INDEX(상세표[블록 07~18시],$P1503))</f>
        <v/>
      </c>
      <c r="L1503">
        <f>IF($P1503="","",INDEX(상세표[블록 18~22시],$P1503))</f>
        <v/>
      </c>
      <c r="M1503">
        <f>IF($P1503="","",INDEX(상세표[블록 22~06시],$P1503))</f>
        <v/>
      </c>
      <c r="N1503">
        <f>IF($P1503="","",INDEX(상세표[주말·휴일 포함],$P1503)&amp;"")</f>
        <v/>
      </c>
      <c r="O1503">
        <f>IF($P1503="","",INDEX(상세표[월 넘김 포함],$P1503)&amp;"")</f>
        <v/>
      </c>
      <c r="P1503" s="4">
        <f>IFERROR(MATCH(1498,상세표[연속순번],0),"")</f>
        <v/>
      </c>
    </row>
    <row r="1504">
      <c r="A1504">
        <f>IF($P1504="","",INDEX(상세표[사번],$P1504)&amp;"")</f>
        <v/>
      </c>
      <c r="B1504">
        <f>IF($P1504="","",INDEX(상세표[성명],$P1504)&amp;"")</f>
        <v/>
      </c>
      <c r="C1504">
        <f>IF($P1504="","",INDEX(상세표[부서],$P1504)&amp;"")</f>
        <v/>
      </c>
      <c r="D1504">
        <f>IF($P1504="","",INDEX(상세표[직위],$P1504)&amp;"")</f>
        <v/>
      </c>
      <c r="E1504">
        <f>IF($P1504="","",IF(ISNUMBER(INDEX(상세표[시작],$P1504)),TEXT(INDEX(상세표[시작],$P1504),"yyyy-mm-dd hh:mm"),INDEX(상세표[시작],$P1504)&amp;""))</f>
        <v/>
      </c>
      <c r="F1504">
        <f>IF($P1504="","",IF(ISNUMBER(INDEX(상세표[블록종료],$P1504)),TEXT(INDEX(상세표[블록종료],$P1504),"yyyy-mm-dd hh:mm"),INDEX(상세표[블록종료],$P1504)&amp;""))</f>
        <v/>
      </c>
      <c r="G1504">
        <f>IF($P1504="","",CHOOSE(WEEKDAY(INDEX(상세표[시작],$P1504)),"일","월","화","수","목","금","토"))</f>
        <v/>
      </c>
      <c r="H1504">
        <f>IF($P1504="","",INDEX(상세표[연속 시간],$P1504))</f>
        <v/>
      </c>
      <c r="I1504">
        <f>IF($P1504="","",INDEX(상세표[기록 수],$P1504))</f>
        <v/>
      </c>
      <c r="J1504">
        <f>IF($P1504="","",INDEX(상세표[블록 06~07시],$P1504))</f>
        <v/>
      </c>
      <c r="K1504">
        <f>IF($P1504="","",INDEX(상세표[블록 07~18시],$P1504))</f>
        <v/>
      </c>
      <c r="L1504">
        <f>IF($P1504="","",INDEX(상세표[블록 18~22시],$P1504))</f>
        <v/>
      </c>
      <c r="M1504">
        <f>IF($P1504="","",INDEX(상세표[블록 22~06시],$P1504))</f>
        <v/>
      </c>
      <c r="N1504">
        <f>IF($P1504="","",INDEX(상세표[주말·휴일 포함],$P1504)&amp;"")</f>
        <v/>
      </c>
      <c r="O1504">
        <f>IF($P1504="","",INDEX(상세표[월 넘김 포함],$P1504)&amp;"")</f>
        <v/>
      </c>
      <c r="P1504" s="4">
        <f>IFERROR(MATCH(1499,상세표[연속순번],0),"")</f>
        <v/>
      </c>
    </row>
    <row r="1505">
      <c r="A1505">
        <f>IF($P1505="","",INDEX(상세표[사번],$P1505)&amp;"")</f>
        <v/>
      </c>
      <c r="B1505">
        <f>IF($P1505="","",INDEX(상세표[성명],$P1505)&amp;"")</f>
        <v/>
      </c>
      <c r="C1505">
        <f>IF($P1505="","",INDEX(상세표[부서],$P1505)&amp;"")</f>
        <v/>
      </c>
      <c r="D1505">
        <f>IF($P1505="","",INDEX(상세표[직위],$P1505)&amp;"")</f>
        <v/>
      </c>
      <c r="E1505">
        <f>IF($P1505="","",IF(ISNUMBER(INDEX(상세표[시작],$P1505)),TEXT(INDEX(상세표[시작],$P1505),"yyyy-mm-dd hh:mm"),INDEX(상세표[시작],$P1505)&amp;""))</f>
        <v/>
      </c>
      <c r="F1505">
        <f>IF($P1505="","",IF(ISNUMBER(INDEX(상세표[블록종료],$P1505)),TEXT(INDEX(상세표[블록종료],$P1505),"yyyy-mm-dd hh:mm"),INDEX(상세표[블록종료],$P1505)&amp;""))</f>
        <v/>
      </c>
      <c r="G1505">
        <f>IF($P1505="","",CHOOSE(WEEKDAY(INDEX(상세표[시작],$P1505)),"일","월","화","수","목","금","토"))</f>
        <v/>
      </c>
      <c r="H1505">
        <f>IF($P1505="","",INDEX(상세표[연속 시간],$P1505))</f>
        <v/>
      </c>
      <c r="I1505">
        <f>IF($P1505="","",INDEX(상세표[기록 수],$P1505))</f>
        <v/>
      </c>
      <c r="J1505">
        <f>IF($P1505="","",INDEX(상세표[블록 06~07시],$P1505))</f>
        <v/>
      </c>
      <c r="K1505">
        <f>IF($P1505="","",INDEX(상세표[블록 07~18시],$P1505))</f>
        <v/>
      </c>
      <c r="L1505">
        <f>IF($P1505="","",INDEX(상세표[블록 18~22시],$P1505))</f>
        <v/>
      </c>
      <c r="M1505">
        <f>IF($P1505="","",INDEX(상세표[블록 22~06시],$P1505))</f>
        <v/>
      </c>
      <c r="N1505">
        <f>IF($P1505="","",INDEX(상세표[주말·휴일 포함],$P1505)&amp;"")</f>
        <v/>
      </c>
      <c r="O1505">
        <f>IF($P1505="","",INDEX(상세표[월 넘김 포함],$P1505)&amp;"")</f>
        <v/>
      </c>
      <c r="P1505" s="4">
        <f>IFERROR(MATCH(1500,상세표[연속순번],0),"")</f>
        <v/>
      </c>
    </row>
    <row r="1506">
      <c r="A1506">
        <f>IF($P1506="","",INDEX(상세표[사번],$P1506)&amp;"")</f>
        <v/>
      </c>
      <c r="B1506">
        <f>IF($P1506="","",INDEX(상세표[성명],$P1506)&amp;"")</f>
        <v/>
      </c>
      <c r="C1506">
        <f>IF($P1506="","",INDEX(상세표[부서],$P1506)&amp;"")</f>
        <v/>
      </c>
      <c r="D1506">
        <f>IF($P1506="","",INDEX(상세표[직위],$P1506)&amp;"")</f>
        <v/>
      </c>
      <c r="E1506">
        <f>IF($P1506="","",IF(ISNUMBER(INDEX(상세표[시작],$P1506)),TEXT(INDEX(상세표[시작],$P1506),"yyyy-mm-dd hh:mm"),INDEX(상세표[시작],$P1506)&amp;""))</f>
        <v/>
      </c>
      <c r="F1506">
        <f>IF($P1506="","",IF(ISNUMBER(INDEX(상세표[블록종료],$P1506)),TEXT(INDEX(상세표[블록종료],$P1506),"yyyy-mm-dd hh:mm"),INDEX(상세표[블록종료],$P1506)&amp;""))</f>
        <v/>
      </c>
      <c r="G1506">
        <f>IF($P1506="","",CHOOSE(WEEKDAY(INDEX(상세표[시작],$P1506)),"일","월","화","수","목","금","토"))</f>
        <v/>
      </c>
      <c r="H1506">
        <f>IF($P1506="","",INDEX(상세표[연속 시간],$P1506))</f>
        <v/>
      </c>
      <c r="I1506">
        <f>IF($P1506="","",INDEX(상세표[기록 수],$P1506))</f>
        <v/>
      </c>
      <c r="J1506">
        <f>IF($P1506="","",INDEX(상세표[블록 06~07시],$P1506))</f>
        <v/>
      </c>
      <c r="K1506">
        <f>IF($P1506="","",INDEX(상세표[블록 07~18시],$P1506))</f>
        <v/>
      </c>
      <c r="L1506">
        <f>IF($P1506="","",INDEX(상세표[블록 18~22시],$P1506))</f>
        <v/>
      </c>
      <c r="M1506">
        <f>IF($P1506="","",INDEX(상세표[블록 22~06시],$P1506))</f>
        <v/>
      </c>
      <c r="N1506">
        <f>IF($P1506="","",INDEX(상세표[주말·휴일 포함],$P1506)&amp;"")</f>
        <v/>
      </c>
      <c r="O1506">
        <f>IF($P1506="","",INDEX(상세표[월 넘김 포함],$P1506)&amp;"")</f>
        <v/>
      </c>
      <c r="P1506" s="4">
        <f>IFERROR(MATCH(1501,상세표[연속순번],0),"")</f>
        <v/>
      </c>
    </row>
    <row r="1507">
      <c r="A1507">
        <f>IF($P1507="","",INDEX(상세표[사번],$P1507)&amp;"")</f>
        <v/>
      </c>
      <c r="B1507">
        <f>IF($P1507="","",INDEX(상세표[성명],$P1507)&amp;"")</f>
        <v/>
      </c>
      <c r="C1507">
        <f>IF($P1507="","",INDEX(상세표[부서],$P1507)&amp;"")</f>
        <v/>
      </c>
      <c r="D1507">
        <f>IF($P1507="","",INDEX(상세표[직위],$P1507)&amp;"")</f>
        <v/>
      </c>
      <c r="E1507">
        <f>IF($P1507="","",IF(ISNUMBER(INDEX(상세표[시작],$P1507)),TEXT(INDEX(상세표[시작],$P1507),"yyyy-mm-dd hh:mm"),INDEX(상세표[시작],$P1507)&amp;""))</f>
        <v/>
      </c>
      <c r="F1507">
        <f>IF($P1507="","",IF(ISNUMBER(INDEX(상세표[블록종료],$P1507)),TEXT(INDEX(상세표[블록종료],$P1507),"yyyy-mm-dd hh:mm"),INDEX(상세표[블록종료],$P1507)&amp;""))</f>
        <v/>
      </c>
      <c r="G1507">
        <f>IF($P1507="","",CHOOSE(WEEKDAY(INDEX(상세표[시작],$P1507)),"일","월","화","수","목","금","토"))</f>
        <v/>
      </c>
      <c r="H1507">
        <f>IF($P1507="","",INDEX(상세표[연속 시간],$P1507))</f>
        <v/>
      </c>
      <c r="I1507">
        <f>IF($P1507="","",INDEX(상세표[기록 수],$P1507))</f>
        <v/>
      </c>
      <c r="J1507">
        <f>IF($P1507="","",INDEX(상세표[블록 06~07시],$P1507))</f>
        <v/>
      </c>
      <c r="K1507">
        <f>IF($P1507="","",INDEX(상세표[블록 07~18시],$P1507))</f>
        <v/>
      </c>
      <c r="L1507">
        <f>IF($P1507="","",INDEX(상세표[블록 18~22시],$P1507))</f>
        <v/>
      </c>
      <c r="M1507">
        <f>IF($P1507="","",INDEX(상세표[블록 22~06시],$P1507))</f>
        <v/>
      </c>
      <c r="N1507">
        <f>IF($P1507="","",INDEX(상세표[주말·휴일 포함],$P1507)&amp;"")</f>
        <v/>
      </c>
      <c r="O1507">
        <f>IF($P1507="","",INDEX(상세표[월 넘김 포함],$P1507)&amp;"")</f>
        <v/>
      </c>
      <c r="P1507" s="4">
        <f>IFERROR(MATCH(1502,상세표[연속순번],0),"")</f>
        <v/>
      </c>
    </row>
    <row r="1508">
      <c r="A1508">
        <f>IF($P1508="","",INDEX(상세표[사번],$P1508)&amp;"")</f>
        <v/>
      </c>
      <c r="B1508">
        <f>IF($P1508="","",INDEX(상세표[성명],$P1508)&amp;"")</f>
        <v/>
      </c>
      <c r="C1508">
        <f>IF($P1508="","",INDEX(상세표[부서],$P1508)&amp;"")</f>
        <v/>
      </c>
      <c r="D1508">
        <f>IF($P1508="","",INDEX(상세표[직위],$P1508)&amp;"")</f>
        <v/>
      </c>
      <c r="E1508">
        <f>IF($P1508="","",IF(ISNUMBER(INDEX(상세표[시작],$P1508)),TEXT(INDEX(상세표[시작],$P1508),"yyyy-mm-dd hh:mm"),INDEX(상세표[시작],$P1508)&amp;""))</f>
        <v/>
      </c>
      <c r="F1508">
        <f>IF($P1508="","",IF(ISNUMBER(INDEX(상세표[블록종료],$P1508)),TEXT(INDEX(상세표[블록종료],$P1508),"yyyy-mm-dd hh:mm"),INDEX(상세표[블록종료],$P1508)&amp;""))</f>
        <v/>
      </c>
      <c r="G1508">
        <f>IF($P1508="","",CHOOSE(WEEKDAY(INDEX(상세표[시작],$P1508)),"일","월","화","수","목","금","토"))</f>
        <v/>
      </c>
      <c r="H1508">
        <f>IF($P1508="","",INDEX(상세표[연속 시간],$P1508))</f>
        <v/>
      </c>
      <c r="I1508">
        <f>IF($P1508="","",INDEX(상세표[기록 수],$P1508))</f>
        <v/>
      </c>
      <c r="J1508">
        <f>IF($P1508="","",INDEX(상세표[블록 06~07시],$P1508))</f>
        <v/>
      </c>
      <c r="K1508">
        <f>IF($P1508="","",INDEX(상세표[블록 07~18시],$P1508))</f>
        <v/>
      </c>
      <c r="L1508">
        <f>IF($P1508="","",INDEX(상세표[블록 18~22시],$P1508))</f>
        <v/>
      </c>
      <c r="M1508">
        <f>IF($P1508="","",INDEX(상세표[블록 22~06시],$P1508))</f>
        <v/>
      </c>
      <c r="N1508">
        <f>IF($P1508="","",INDEX(상세표[주말·휴일 포함],$P1508)&amp;"")</f>
        <v/>
      </c>
      <c r="O1508">
        <f>IF($P1508="","",INDEX(상세표[월 넘김 포함],$P1508)&amp;"")</f>
        <v/>
      </c>
      <c r="P1508" s="4">
        <f>IFERROR(MATCH(1503,상세표[연속순번],0),"")</f>
        <v/>
      </c>
    </row>
    <row r="1509">
      <c r="A1509">
        <f>IF($P1509="","",INDEX(상세표[사번],$P1509)&amp;"")</f>
        <v/>
      </c>
      <c r="B1509">
        <f>IF($P1509="","",INDEX(상세표[성명],$P1509)&amp;"")</f>
        <v/>
      </c>
      <c r="C1509">
        <f>IF($P1509="","",INDEX(상세표[부서],$P1509)&amp;"")</f>
        <v/>
      </c>
      <c r="D1509">
        <f>IF($P1509="","",INDEX(상세표[직위],$P1509)&amp;"")</f>
        <v/>
      </c>
      <c r="E1509">
        <f>IF($P1509="","",IF(ISNUMBER(INDEX(상세표[시작],$P1509)),TEXT(INDEX(상세표[시작],$P1509),"yyyy-mm-dd hh:mm"),INDEX(상세표[시작],$P1509)&amp;""))</f>
        <v/>
      </c>
      <c r="F1509">
        <f>IF($P1509="","",IF(ISNUMBER(INDEX(상세표[블록종료],$P1509)),TEXT(INDEX(상세표[블록종료],$P1509),"yyyy-mm-dd hh:mm"),INDEX(상세표[블록종료],$P1509)&amp;""))</f>
        <v/>
      </c>
      <c r="G1509">
        <f>IF($P1509="","",CHOOSE(WEEKDAY(INDEX(상세표[시작],$P1509)),"일","월","화","수","목","금","토"))</f>
        <v/>
      </c>
      <c r="H1509">
        <f>IF($P1509="","",INDEX(상세표[연속 시간],$P1509))</f>
        <v/>
      </c>
      <c r="I1509">
        <f>IF($P1509="","",INDEX(상세표[기록 수],$P1509))</f>
        <v/>
      </c>
      <c r="J1509">
        <f>IF($P1509="","",INDEX(상세표[블록 06~07시],$P1509))</f>
        <v/>
      </c>
      <c r="K1509">
        <f>IF($P1509="","",INDEX(상세표[블록 07~18시],$P1509))</f>
        <v/>
      </c>
      <c r="L1509">
        <f>IF($P1509="","",INDEX(상세표[블록 18~22시],$P1509))</f>
        <v/>
      </c>
      <c r="M1509">
        <f>IF($P1509="","",INDEX(상세표[블록 22~06시],$P1509))</f>
        <v/>
      </c>
      <c r="N1509">
        <f>IF($P1509="","",INDEX(상세표[주말·휴일 포함],$P1509)&amp;"")</f>
        <v/>
      </c>
      <c r="O1509">
        <f>IF($P1509="","",INDEX(상세표[월 넘김 포함],$P1509)&amp;"")</f>
        <v/>
      </c>
      <c r="P1509" s="4">
        <f>IFERROR(MATCH(1504,상세표[연속순번],0),"")</f>
        <v/>
      </c>
    </row>
    <row r="1510">
      <c r="A1510">
        <f>IF($P1510="","",INDEX(상세표[사번],$P1510)&amp;"")</f>
        <v/>
      </c>
      <c r="B1510">
        <f>IF($P1510="","",INDEX(상세표[성명],$P1510)&amp;"")</f>
        <v/>
      </c>
      <c r="C1510">
        <f>IF($P1510="","",INDEX(상세표[부서],$P1510)&amp;"")</f>
        <v/>
      </c>
      <c r="D1510">
        <f>IF($P1510="","",INDEX(상세표[직위],$P1510)&amp;"")</f>
        <v/>
      </c>
      <c r="E1510">
        <f>IF($P1510="","",IF(ISNUMBER(INDEX(상세표[시작],$P1510)),TEXT(INDEX(상세표[시작],$P1510),"yyyy-mm-dd hh:mm"),INDEX(상세표[시작],$P1510)&amp;""))</f>
        <v/>
      </c>
      <c r="F1510">
        <f>IF($P1510="","",IF(ISNUMBER(INDEX(상세표[블록종료],$P1510)),TEXT(INDEX(상세표[블록종료],$P1510),"yyyy-mm-dd hh:mm"),INDEX(상세표[블록종료],$P1510)&amp;""))</f>
        <v/>
      </c>
      <c r="G1510">
        <f>IF($P1510="","",CHOOSE(WEEKDAY(INDEX(상세표[시작],$P1510)),"일","월","화","수","목","금","토"))</f>
        <v/>
      </c>
      <c r="H1510">
        <f>IF($P1510="","",INDEX(상세표[연속 시간],$P1510))</f>
        <v/>
      </c>
      <c r="I1510">
        <f>IF($P1510="","",INDEX(상세표[기록 수],$P1510))</f>
        <v/>
      </c>
      <c r="J1510">
        <f>IF($P1510="","",INDEX(상세표[블록 06~07시],$P1510))</f>
        <v/>
      </c>
      <c r="K1510">
        <f>IF($P1510="","",INDEX(상세표[블록 07~18시],$P1510))</f>
        <v/>
      </c>
      <c r="L1510">
        <f>IF($P1510="","",INDEX(상세표[블록 18~22시],$P1510))</f>
        <v/>
      </c>
      <c r="M1510">
        <f>IF($P1510="","",INDEX(상세표[블록 22~06시],$P1510))</f>
        <v/>
      </c>
      <c r="N1510">
        <f>IF($P1510="","",INDEX(상세표[주말·휴일 포함],$P1510)&amp;"")</f>
        <v/>
      </c>
      <c r="O1510">
        <f>IF($P1510="","",INDEX(상세표[월 넘김 포함],$P1510)&amp;"")</f>
        <v/>
      </c>
      <c r="P1510" s="4">
        <f>IFERROR(MATCH(1505,상세표[연속순번],0),"")</f>
        <v/>
      </c>
    </row>
    <row r="1511">
      <c r="A1511">
        <f>IF($P1511="","",INDEX(상세표[사번],$P1511)&amp;"")</f>
        <v/>
      </c>
      <c r="B1511">
        <f>IF($P1511="","",INDEX(상세표[성명],$P1511)&amp;"")</f>
        <v/>
      </c>
      <c r="C1511">
        <f>IF($P1511="","",INDEX(상세표[부서],$P1511)&amp;"")</f>
        <v/>
      </c>
      <c r="D1511">
        <f>IF($P1511="","",INDEX(상세표[직위],$P1511)&amp;"")</f>
        <v/>
      </c>
      <c r="E1511">
        <f>IF($P1511="","",IF(ISNUMBER(INDEX(상세표[시작],$P1511)),TEXT(INDEX(상세표[시작],$P1511),"yyyy-mm-dd hh:mm"),INDEX(상세표[시작],$P1511)&amp;""))</f>
        <v/>
      </c>
      <c r="F1511">
        <f>IF($P1511="","",IF(ISNUMBER(INDEX(상세표[블록종료],$P1511)),TEXT(INDEX(상세표[블록종료],$P1511),"yyyy-mm-dd hh:mm"),INDEX(상세표[블록종료],$P1511)&amp;""))</f>
        <v/>
      </c>
      <c r="G1511">
        <f>IF($P1511="","",CHOOSE(WEEKDAY(INDEX(상세표[시작],$P1511)),"일","월","화","수","목","금","토"))</f>
        <v/>
      </c>
      <c r="H1511">
        <f>IF($P1511="","",INDEX(상세표[연속 시간],$P1511))</f>
        <v/>
      </c>
      <c r="I1511">
        <f>IF($P1511="","",INDEX(상세표[기록 수],$P1511))</f>
        <v/>
      </c>
      <c r="J1511">
        <f>IF($P1511="","",INDEX(상세표[블록 06~07시],$P1511))</f>
        <v/>
      </c>
      <c r="K1511">
        <f>IF($P1511="","",INDEX(상세표[블록 07~18시],$P1511))</f>
        <v/>
      </c>
      <c r="L1511">
        <f>IF($P1511="","",INDEX(상세표[블록 18~22시],$P1511))</f>
        <v/>
      </c>
      <c r="M1511">
        <f>IF($P1511="","",INDEX(상세표[블록 22~06시],$P1511))</f>
        <v/>
      </c>
      <c r="N1511">
        <f>IF($P1511="","",INDEX(상세표[주말·휴일 포함],$P1511)&amp;"")</f>
        <v/>
      </c>
      <c r="O1511">
        <f>IF($P1511="","",INDEX(상세표[월 넘김 포함],$P1511)&amp;"")</f>
        <v/>
      </c>
      <c r="P1511" s="4">
        <f>IFERROR(MATCH(1506,상세표[연속순번],0),"")</f>
        <v/>
      </c>
    </row>
    <row r="1512">
      <c r="A1512">
        <f>IF($P1512="","",INDEX(상세표[사번],$P1512)&amp;"")</f>
        <v/>
      </c>
      <c r="B1512">
        <f>IF($P1512="","",INDEX(상세표[성명],$P1512)&amp;"")</f>
        <v/>
      </c>
      <c r="C1512">
        <f>IF($P1512="","",INDEX(상세표[부서],$P1512)&amp;"")</f>
        <v/>
      </c>
      <c r="D1512">
        <f>IF($P1512="","",INDEX(상세표[직위],$P1512)&amp;"")</f>
        <v/>
      </c>
      <c r="E1512">
        <f>IF($P1512="","",IF(ISNUMBER(INDEX(상세표[시작],$P1512)),TEXT(INDEX(상세표[시작],$P1512),"yyyy-mm-dd hh:mm"),INDEX(상세표[시작],$P1512)&amp;""))</f>
        <v/>
      </c>
      <c r="F1512">
        <f>IF($P1512="","",IF(ISNUMBER(INDEX(상세표[블록종료],$P1512)),TEXT(INDEX(상세표[블록종료],$P1512),"yyyy-mm-dd hh:mm"),INDEX(상세표[블록종료],$P1512)&amp;""))</f>
        <v/>
      </c>
      <c r="G1512">
        <f>IF($P1512="","",CHOOSE(WEEKDAY(INDEX(상세표[시작],$P1512)),"일","월","화","수","목","금","토"))</f>
        <v/>
      </c>
      <c r="H1512">
        <f>IF($P1512="","",INDEX(상세표[연속 시간],$P1512))</f>
        <v/>
      </c>
      <c r="I1512">
        <f>IF($P1512="","",INDEX(상세표[기록 수],$P1512))</f>
        <v/>
      </c>
      <c r="J1512">
        <f>IF($P1512="","",INDEX(상세표[블록 06~07시],$P1512))</f>
        <v/>
      </c>
      <c r="K1512">
        <f>IF($P1512="","",INDEX(상세표[블록 07~18시],$P1512))</f>
        <v/>
      </c>
      <c r="L1512">
        <f>IF($P1512="","",INDEX(상세표[블록 18~22시],$P1512))</f>
        <v/>
      </c>
      <c r="M1512">
        <f>IF($P1512="","",INDEX(상세표[블록 22~06시],$P1512))</f>
        <v/>
      </c>
      <c r="N1512">
        <f>IF($P1512="","",INDEX(상세표[주말·휴일 포함],$P1512)&amp;"")</f>
        <v/>
      </c>
      <c r="O1512">
        <f>IF($P1512="","",INDEX(상세표[월 넘김 포함],$P1512)&amp;"")</f>
        <v/>
      </c>
      <c r="P1512" s="4">
        <f>IFERROR(MATCH(1507,상세표[연속순번],0),"")</f>
        <v/>
      </c>
    </row>
    <row r="1513">
      <c r="A1513">
        <f>IF($P1513="","",INDEX(상세표[사번],$P1513)&amp;"")</f>
        <v/>
      </c>
      <c r="B1513">
        <f>IF($P1513="","",INDEX(상세표[성명],$P1513)&amp;"")</f>
        <v/>
      </c>
      <c r="C1513">
        <f>IF($P1513="","",INDEX(상세표[부서],$P1513)&amp;"")</f>
        <v/>
      </c>
      <c r="D1513">
        <f>IF($P1513="","",INDEX(상세표[직위],$P1513)&amp;"")</f>
        <v/>
      </c>
      <c r="E1513">
        <f>IF($P1513="","",IF(ISNUMBER(INDEX(상세표[시작],$P1513)),TEXT(INDEX(상세표[시작],$P1513),"yyyy-mm-dd hh:mm"),INDEX(상세표[시작],$P1513)&amp;""))</f>
        <v/>
      </c>
      <c r="F1513">
        <f>IF($P1513="","",IF(ISNUMBER(INDEX(상세표[블록종료],$P1513)),TEXT(INDEX(상세표[블록종료],$P1513),"yyyy-mm-dd hh:mm"),INDEX(상세표[블록종료],$P1513)&amp;""))</f>
        <v/>
      </c>
      <c r="G1513">
        <f>IF($P1513="","",CHOOSE(WEEKDAY(INDEX(상세표[시작],$P1513)),"일","월","화","수","목","금","토"))</f>
        <v/>
      </c>
      <c r="H1513">
        <f>IF($P1513="","",INDEX(상세표[연속 시간],$P1513))</f>
        <v/>
      </c>
      <c r="I1513">
        <f>IF($P1513="","",INDEX(상세표[기록 수],$P1513))</f>
        <v/>
      </c>
      <c r="J1513">
        <f>IF($P1513="","",INDEX(상세표[블록 06~07시],$P1513))</f>
        <v/>
      </c>
      <c r="K1513">
        <f>IF($P1513="","",INDEX(상세표[블록 07~18시],$P1513))</f>
        <v/>
      </c>
      <c r="L1513">
        <f>IF($P1513="","",INDEX(상세표[블록 18~22시],$P1513))</f>
        <v/>
      </c>
      <c r="M1513">
        <f>IF($P1513="","",INDEX(상세표[블록 22~06시],$P1513))</f>
        <v/>
      </c>
      <c r="N1513">
        <f>IF($P1513="","",INDEX(상세표[주말·휴일 포함],$P1513)&amp;"")</f>
        <v/>
      </c>
      <c r="O1513">
        <f>IF($P1513="","",INDEX(상세표[월 넘김 포함],$P1513)&amp;"")</f>
        <v/>
      </c>
      <c r="P1513" s="4">
        <f>IFERROR(MATCH(1508,상세표[연속순번],0),"")</f>
        <v/>
      </c>
    </row>
    <row r="1514">
      <c r="A1514">
        <f>IF($P1514="","",INDEX(상세표[사번],$P1514)&amp;"")</f>
        <v/>
      </c>
      <c r="B1514">
        <f>IF($P1514="","",INDEX(상세표[성명],$P1514)&amp;"")</f>
        <v/>
      </c>
      <c r="C1514">
        <f>IF($P1514="","",INDEX(상세표[부서],$P1514)&amp;"")</f>
        <v/>
      </c>
      <c r="D1514">
        <f>IF($P1514="","",INDEX(상세표[직위],$P1514)&amp;"")</f>
        <v/>
      </c>
      <c r="E1514">
        <f>IF($P1514="","",IF(ISNUMBER(INDEX(상세표[시작],$P1514)),TEXT(INDEX(상세표[시작],$P1514),"yyyy-mm-dd hh:mm"),INDEX(상세표[시작],$P1514)&amp;""))</f>
        <v/>
      </c>
      <c r="F1514">
        <f>IF($P1514="","",IF(ISNUMBER(INDEX(상세표[블록종료],$P1514)),TEXT(INDEX(상세표[블록종료],$P1514),"yyyy-mm-dd hh:mm"),INDEX(상세표[블록종료],$P1514)&amp;""))</f>
        <v/>
      </c>
      <c r="G1514">
        <f>IF($P1514="","",CHOOSE(WEEKDAY(INDEX(상세표[시작],$P1514)),"일","월","화","수","목","금","토"))</f>
        <v/>
      </c>
      <c r="H1514">
        <f>IF($P1514="","",INDEX(상세표[연속 시간],$P1514))</f>
        <v/>
      </c>
      <c r="I1514">
        <f>IF($P1514="","",INDEX(상세표[기록 수],$P1514))</f>
        <v/>
      </c>
      <c r="J1514">
        <f>IF($P1514="","",INDEX(상세표[블록 06~07시],$P1514))</f>
        <v/>
      </c>
      <c r="K1514">
        <f>IF($P1514="","",INDEX(상세표[블록 07~18시],$P1514))</f>
        <v/>
      </c>
      <c r="L1514">
        <f>IF($P1514="","",INDEX(상세표[블록 18~22시],$P1514))</f>
        <v/>
      </c>
      <c r="M1514">
        <f>IF($P1514="","",INDEX(상세표[블록 22~06시],$P1514))</f>
        <v/>
      </c>
      <c r="N1514">
        <f>IF($P1514="","",INDEX(상세표[주말·휴일 포함],$P1514)&amp;"")</f>
        <v/>
      </c>
      <c r="O1514">
        <f>IF($P1514="","",INDEX(상세표[월 넘김 포함],$P1514)&amp;"")</f>
        <v/>
      </c>
      <c r="P1514" s="4">
        <f>IFERROR(MATCH(1509,상세표[연속순번],0),"")</f>
        <v/>
      </c>
    </row>
    <row r="1515">
      <c r="A1515">
        <f>IF($P1515="","",INDEX(상세표[사번],$P1515)&amp;"")</f>
        <v/>
      </c>
      <c r="B1515">
        <f>IF($P1515="","",INDEX(상세표[성명],$P1515)&amp;"")</f>
        <v/>
      </c>
      <c r="C1515">
        <f>IF($P1515="","",INDEX(상세표[부서],$P1515)&amp;"")</f>
        <v/>
      </c>
      <c r="D1515">
        <f>IF($P1515="","",INDEX(상세표[직위],$P1515)&amp;"")</f>
        <v/>
      </c>
      <c r="E1515">
        <f>IF($P1515="","",IF(ISNUMBER(INDEX(상세표[시작],$P1515)),TEXT(INDEX(상세표[시작],$P1515),"yyyy-mm-dd hh:mm"),INDEX(상세표[시작],$P1515)&amp;""))</f>
        <v/>
      </c>
      <c r="F1515">
        <f>IF($P1515="","",IF(ISNUMBER(INDEX(상세표[블록종료],$P1515)),TEXT(INDEX(상세표[블록종료],$P1515),"yyyy-mm-dd hh:mm"),INDEX(상세표[블록종료],$P1515)&amp;""))</f>
        <v/>
      </c>
      <c r="G1515">
        <f>IF($P1515="","",CHOOSE(WEEKDAY(INDEX(상세표[시작],$P1515)),"일","월","화","수","목","금","토"))</f>
        <v/>
      </c>
      <c r="H1515">
        <f>IF($P1515="","",INDEX(상세표[연속 시간],$P1515))</f>
        <v/>
      </c>
      <c r="I1515">
        <f>IF($P1515="","",INDEX(상세표[기록 수],$P1515))</f>
        <v/>
      </c>
      <c r="J1515">
        <f>IF($P1515="","",INDEX(상세표[블록 06~07시],$P1515))</f>
        <v/>
      </c>
      <c r="K1515">
        <f>IF($P1515="","",INDEX(상세표[블록 07~18시],$P1515))</f>
        <v/>
      </c>
      <c r="L1515">
        <f>IF($P1515="","",INDEX(상세표[블록 18~22시],$P1515))</f>
        <v/>
      </c>
      <c r="M1515">
        <f>IF($P1515="","",INDEX(상세표[블록 22~06시],$P1515))</f>
        <v/>
      </c>
      <c r="N1515">
        <f>IF($P1515="","",INDEX(상세표[주말·휴일 포함],$P1515)&amp;"")</f>
        <v/>
      </c>
      <c r="O1515">
        <f>IF($P1515="","",INDEX(상세표[월 넘김 포함],$P1515)&amp;"")</f>
        <v/>
      </c>
      <c r="P1515" s="4">
        <f>IFERROR(MATCH(1510,상세표[연속순번],0),"")</f>
        <v/>
      </c>
    </row>
    <row r="1516">
      <c r="A1516">
        <f>IF($P1516="","",INDEX(상세표[사번],$P1516)&amp;"")</f>
        <v/>
      </c>
      <c r="B1516">
        <f>IF($P1516="","",INDEX(상세표[성명],$P1516)&amp;"")</f>
        <v/>
      </c>
      <c r="C1516">
        <f>IF($P1516="","",INDEX(상세표[부서],$P1516)&amp;"")</f>
        <v/>
      </c>
      <c r="D1516">
        <f>IF($P1516="","",INDEX(상세표[직위],$P1516)&amp;"")</f>
        <v/>
      </c>
      <c r="E1516">
        <f>IF($P1516="","",IF(ISNUMBER(INDEX(상세표[시작],$P1516)),TEXT(INDEX(상세표[시작],$P1516),"yyyy-mm-dd hh:mm"),INDEX(상세표[시작],$P1516)&amp;""))</f>
        <v/>
      </c>
      <c r="F1516">
        <f>IF($P1516="","",IF(ISNUMBER(INDEX(상세표[블록종료],$P1516)),TEXT(INDEX(상세표[블록종료],$P1516),"yyyy-mm-dd hh:mm"),INDEX(상세표[블록종료],$P1516)&amp;""))</f>
        <v/>
      </c>
      <c r="G1516">
        <f>IF($P1516="","",CHOOSE(WEEKDAY(INDEX(상세표[시작],$P1516)),"일","월","화","수","목","금","토"))</f>
        <v/>
      </c>
      <c r="H1516">
        <f>IF($P1516="","",INDEX(상세표[연속 시간],$P1516))</f>
        <v/>
      </c>
      <c r="I1516">
        <f>IF($P1516="","",INDEX(상세표[기록 수],$P1516))</f>
        <v/>
      </c>
      <c r="J1516">
        <f>IF($P1516="","",INDEX(상세표[블록 06~07시],$P1516))</f>
        <v/>
      </c>
      <c r="K1516">
        <f>IF($P1516="","",INDEX(상세표[블록 07~18시],$P1516))</f>
        <v/>
      </c>
      <c r="L1516">
        <f>IF($P1516="","",INDEX(상세표[블록 18~22시],$P1516))</f>
        <v/>
      </c>
      <c r="M1516">
        <f>IF($P1516="","",INDEX(상세표[블록 22~06시],$P1516))</f>
        <v/>
      </c>
      <c r="N1516">
        <f>IF($P1516="","",INDEX(상세표[주말·휴일 포함],$P1516)&amp;"")</f>
        <v/>
      </c>
      <c r="O1516">
        <f>IF($P1516="","",INDEX(상세표[월 넘김 포함],$P1516)&amp;"")</f>
        <v/>
      </c>
      <c r="P1516" s="4">
        <f>IFERROR(MATCH(1511,상세표[연속순번],0),"")</f>
        <v/>
      </c>
    </row>
    <row r="1517">
      <c r="A1517">
        <f>IF($P1517="","",INDEX(상세표[사번],$P1517)&amp;"")</f>
        <v/>
      </c>
      <c r="B1517">
        <f>IF($P1517="","",INDEX(상세표[성명],$P1517)&amp;"")</f>
        <v/>
      </c>
      <c r="C1517">
        <f>IF($P1517="","",INDEX(상세표[부서],$P1517)&amp;"")</f>
        <v/>
      </c>
      <c r="D1517">
        <f>IF($P1517="","",INDEX(상세표[직위],$P1517)&amp;"")</f>
        <v/>
      </c>
      <c r="E1517">
        <f>IF($P1517="","",IF(ISNUMBER(INDEX(상세표[시작],$P1517)),TEXT(INDEX(상세표[시작],$P1517),"yyyy-mm-dd hh:mm"),INDEX(상세표[시작],$P1517)&amp;""))</f>
        <v/>
      </c>
      <c r="F1517">
        <f>IF($P1517="","",IF(ISNUMBER(INDEX(상세표[블록종료],$P1517)),TEXT(INDEX(상세표[블록종료],$P1517),"yyyy-mm-dd hh:mm"),INDEX(상세표[블록종료],$P1517)&amp;""))</f>
        <v/>
      </c>
      <c r="G1517">
        <f>IF($P1517="","",CHOOSE(WEEKDAY(INDEX(상세표[시작],$P1517)),"일","월","화","수","목","금","토"))</f>
        <v/>
      </c>
      <c r="H1517">
        <f>IF($P1517="","",INDEX(상세표[연속 시간],$P1517))</f>
        <v/>
      </c>
      <c r="I1517">
        <f>IF($P1517="","",INDEX(상세표[기록 수],$P1517))</f>
        <v/>
      </c>
      <c r="J1517">
        <f>IF($P1517="","",INDEX(상세표[블록 06~07시],$P1517))</f>
        <v/>
      </c>
      <c r="K1517">
        <f>IF($P1517="","",INDEX(상세표[블록 07~18시],$P1517))</f>
        <v/>
      </c>
      <c r="L1517">
        <f>IF($P1517="","",INDEX(상세표[블록 18~22시],$P1517))</f>
        <v/>
      </c>
      <c r="M1517">
        <f>IF($P1517="","",INDEX(상세표[블록 22~06시],$P1517))</f>
        <v/>
      </c>
      <c r="N1517">
        <f>IF($P1517="","",INDEX(상세표[주말·휴일 포함],$P1517)&amp;"")</f>
        <v/>
      </c>
      <c r="O1517">
        <f>IF($P1517="","",INDEX(상세표[월 넘김 포함],$P1517)&amp;"")</f>
        <v/>
      </c>
      <c r="P1517" s="4">
        <f>IFERROR(MATCH(1512,상세표[연속순번],0),"")</f>
        <v/>
      </c>
    </row>
    <row r="1518">
      <c r="A1518">
        <f>IF($P1518="","",INDEX(상세표[사번],$P1518)&amp;"")</f>
        <v/>
      </c>
      <c r="B1518">
        <f>IF($P1518="","",INDEX(상세표[성명],$P1518)&amp;"")</f>
        <v/>
      </c>
      <c r="C1518">
        <f>IF($P1518="","",INDEX(상세표[부서],$P1518)&amp;"")</f>
        <v/>
      </c>
      <c r="D1518">
        <f>IF($P1518="","",INDEX(상세표[직위],$P1518)&amp;"")</f>
        <v/>
      </c>
      <c r="E1518">
        <f>IF($P1518="","",IF(ISNUMBER(INDEX(상세표[시작],$P1518)),TEXT(INDEX(상세표[시작],$P1518),"yyyy-mm-dd hh:mm"),INDEX(상세표[시작],$P1518)&amp;""))</f>
        <v/>
      </c>
      <c r="F1518">
        <f>IF($P1518="","",IF(ISNUMBER(INDEX(상세표[블록종료],$P1518)),TEXT(INDEX(상세표[블록종료],$P1518),"yyyy-mm-dd hh:mm"),INDEX(상세표[블록종료],$P1518)&amp;""))</f>
        <v/>
      </c>
      <c r="G1518">
        <f>IF($P1518="","",CHOOSE(WEEKDAY(INDEX(상세표[시작],$P1518)),"일","월","화","수","목","금","토"))</f>
        <v/>
      </c>
      <c r="H1518">
        <f>IF($P1518="","",INDEX(상세표[연속 시간],$P1518))</f>
        <v/>
      </c>
      <c r="I1518">
        <f>IF($P1518="","",INDEX(상세표[기록 수],$P1518))</f>
        <v/>
      </c>
      <c r="J1518">
        <f>IF($P1518="","",INDEX(상세표[블록 06~07시],$P1518))</f>
        <v/>
      </c>
      <c r="K1518">
        <f>IF($P1518="","",INDEX(상세표[블록 07~18시],$P1518))</f>
        <v/>
      </c>
      <c r="L1518">
        <f>IF($P1518="","",INDEX(상세표[블록 18~22시],$P1518))</f>
        <v/>
      </c>
      <c r="M1518">
        <f>IF($P1518="","",INDEX(상세표[블록 22~06시],$P1518))</f>
        <v/>
      </c>
      <c r="N1518">
        <f>IF($P1518="","",INDEX(상세표[주말·휴일 포함],$P1518)&amp;"")</f>
        <v/>
      </c>
      <c r="O1518">
        <f>IF($P1518="","",INDEX(상세표[월 넘김 포함],$P1518)&amp;"")</f>
        <v/>
      </c>
      <c r="P1518" s="4">
        <f>IFERROR(MATCH(1513,상세표[연속순번],0),"")</f>
        <v/>
      </c>
    </row>
    <row r="1519">
      <c r="A1519">
        <f>IF($P1519="","",INDEX(상세표[사번],$P1519)&amp;"")</f>
        <v/>
      </c>
      <c r="B1519">
        <f>IF($P1519="","",INDEX(상세표[성명],$P1519)&amp;"")</f>
        <v/>
      </c>
      <c r="C1519">
        <f>IF($P1519="","",INDEX(상세표[부서],$P1519)&amp;"")</f>
        <v/>
      </c>
      <c r="D1519">
        <f>IF($P1519="","",INDEX(상세표[직위],$P1519)&amp;"")</f>
        <v/>
      </c>
      <c r="E1519">
        <f>IF($P1519="","",IF(ISNUMBER(INDEX(상세표[시작],$P1519)),TEXT(INDEX(상세표[시작],$P1519),"yyyy-mm-dd hh:mm"),INDEX(상세표[시작],$P1519)&amp;""))</f>
        <v/>
      </c>
      <c r="F1519">
        <f>IF($P1519="","",IF(ISNUMBER(INDEX(상세표[블록종료],$P1519)),TEXT(INDEX(상세표[블록종료],$P1519),"yyyy-mm-dd hh:mm"),INDEX(상세표[블록종료],$P1519)&amp;""))</f>
        <v/>
      </c>
      <c r="G1519">
        <f>IF($P1519="","",CHOOSE(WEEKDAY(INDEX(상세표[시작],$P1519)),"일","월","화","수","목","금","토"))</f>
        <v/>
      </c>
      <c r="H1519">
        <f>IF($P1519="","",INDEX(상세표[연속 시간],$P1519))</f>
        <v/>
      </c>
      <c r="I1519">
        <f>IF($P1519="","",INDEX(상세표[기록 수],$P1519))</f>
        <v/>
      </c>
      <c r="J1519">
        <f>IF($P1519="","",INDEX(상세표[블록 06~07시],$P1519))</f>
        <v/>
      </c>
      <c r="K1519">
        <f>IF($P1519="","",INDEX(상세표[블록 07~18시],$P1519))</f>
        <v/>
      </c>
      <c r="L1519">
        <f>IF($P1519="","",INDEX(상세표[블록 18~22시],$P1519))</f>
        <v/>
      </c>
      <c r="M1519">
        <f>IF($P1519="","",INDEX(상세표[블록 22~06시],$P1519))</f>
        <v/>
      </c>
      <c r="N1519">
        <f>IF($P1519="","",INDEX(상세표[주말·휴일 포함],$P1519)&amp;"")</f>
        <v/>
      </c>
      <c r="O1519">
        <f>IF($P1519="","",INDEX(상세표[월 넘김 포함],$P1519)&amp;"")</f>
        <v/>
      </c>
      <c r="P1519" s="4">
        <f>IFERROR(MATCH(1514,상세표[연속순번],0),"")</f>
        <v/>
      </c>
    </row>
    <row r="1520">
      <c r="A1520">
        <f>IF($P1520="","",INDEX(상세표[사번],$P1520)&amp;"")</f>
        <v/>
      </c>
      <c r="B1520">
        <f>IF($P1520="","",INDEX(상세표[성명],$P1520)&amp;"")</f>
        <v/>
      </c>
      <c r="C1520">
        <f>IF($P1520="","",INDEX(상세표[부서],$P1520)&amp;"")</f>
        <v/>
      </c>
      <c r="D1520">
        <f>IF($P1520="","",INDEX(상세표[직위],$P1520)&amp;"")</f>
        <v/>
      </c>
      <c r="E1520">
        <f>IF($P1520="","",IF(ISNUMBER(INDEX(상세표[시작],$P1520)),TEXT(INDEX(상세표[시작],$P1520),"yyyy-mm-dd hh:mm"),INDEX(상세표[시작],$P1520)&amp;""))</f>
        <v/>
      </c>
      <c r="F1520">
        <f>IF($P1520="","",IF(ISNUMBER(INDEX(상세표[블록종료],$P1520)),TEXT(INDEX(상세표[블록종료],$P1520),"yyyy-mm-dd hh:mm"),INDEX(상세표[블록종료],$P1520)&amp;""))</f>
        <v/>
      </c>
      <c r="G1520">
        <f>IF($P1520="","",CHOOSE(WEEKDAY(INDEX(상세표[시작],$P1520)),"일","월","화","수","목","금","토"))</f>
        <v/>
      </c>
      <c r="H1520">
        <f>IF($P1520="","",INDEX(상세표[연속 시간],$P1520))</f>
        <v/>
      </c>
      <c r="I1520">
        <f>IF($P1520="","",INDEX(상세표[기록 수],$P1520))</f>
        <v/>
      </c>
      <c r="J1520">
        <f>IF($P1520="","",INDEX(상세표[블록 06~07시],$P1520))</f>
        <v/>
      </c>
      <c r="K1520">
        <f>IF($P1520="","",INDEX(상세표[블록 07~18시],$P1520))</f>
        <v/>
      </c>
      <c r="L1520">
        <f>IF($P1520="","",INDEX(상세표[블록 18~22시],$P1520))</f>
        <v/>
      </c>
      <c r="M1520">
        <f>IF($P1520="","",INDEX(상세표[블록 22~06시],$P1520))</f>
        <v/>
      </c>
      <c r="N1520">
        <f>IF($P1520="","",INDEX(상세표[주말·휴일 포함],$P1520)&amp;"")</f>
        <v/>
      </c>
      <c r="O1520">
        <f>IF($P1520="","",INDEX(상세표[월 넘김 포함],$P1520)&amp;"")</f>
        <v/>
      </c>
      <c r="P1520" s="4">
        <f>IFERROR(MATCH(1515,상세표[연속순번],0),"")</f>
        <v/>
      </c>
    </row>
    <row r="1521">
      <c r="A1521">
        <f>IF($P1521="","",INDEX(상세표[사번],$P1521)&amp;"")</f>
        <v/>
      </c>
      <c r="B1521">
        <f>IF($P1521="","",INDEX(상세표[성명],$P1521)&amp;"")</f>
        <v/>
      </c>
      <c r="C1521">
        <f>IF($P1521="","",INDEX(상세표[부서],$P1521)&amp;"")</f>
        <v/>
      </c>
      <c r="D1521">
        <f>IF($P1521="","",INDEX(상세표[직위],$P1521)&amp;"")</f>
        <v/>
      </c>
      <c r="E1521">
        <f>IF($P1521="","",IF(ISNUMBER(INDEX(상세표[시작],$P1521)),TEXT(INDEX(상세표[시작],$P1521),"yyyy-mm-dd hh:mm"),INDEX(상세표[시작],$P1521)&amp;""))</f>
        <v/>
      </c>
      <c r="F1521">
        <f>IF($P1521="","",IF(ISNUMBER(INDEX(상세표[블록종료],$P1521)),TEXT(INDEX(상세표[블록종료],$P1521),"yyyy-mm-dd hh:mm"),INDEX(상세표[블록종료],$P1521)&amp;""))</f>
        <v/>
      </c>
      <c r="G1521">
        <f>IF($P1521="","",CHOOSE(WEEKDAY(INDEX(상세표[시작],$P1521)),"일","월","화","수","목","금","토"))</f>
        <v/>
      </c>
      <c r="H1521">
        <f>IF($P1521="","",INDEX(상세표[연속 시간],$P1521))</f>
        <v/>
      </c>
      <c r="I1521">
        <f>IF($P1521="","",INDEX(상세표[기록 수],$P1521))</f>
        <v/>
      </c>
      <c r="J1521">
        <f>IF($P1521="","",INDEX(상세표[블록 06~07시],$P1521))</f>
        <v/>
      </c>
      <c r="K1521">
        <f>IF($P1521="","",INDEX(상세표[블록 07~18시],$P1521))</f>
        <v/>
      </c>
      <c r="L1521">
        <f>IF($P1521="","",INDEX(상세표[블록 18~22시],$P1521))</f>
        <v/>
      </c>
      <c r="M1521">
        <f>IF($P1521="","",INDEX(상세표[블록 22~06시],$P1521))</f>
        <v/>
      </c>
      <c r="N1521">
        <f>IF($P1521="","",INDEX(상세표[주말·휴일 포함],$P1521)&amp;"")</f>
        <v/>
      </c>
      <c r="O1521">
        <f>IF($P1521="","",INDEX(상세표[월 넘김 포함],$P1521)&amp;"")</f>
        <v/>
      </c>
      <c r="P1521" s="4">
        <f>IFERROR(MATCH(1516,상세표[연속순번],0),"")</f>
        <v/>
      </c>
    </row>
    <row r="1522">
      <c r="A1522">
        <f>IF($P1522="","",INDEX(상세표[사번],$P1522)&amp;"")</f>
        <v/>
      </c>
      <c r="B1522">
        <f>IF($P1522="","",INDEX(상세표[성명],$P1522)&amp;"")</f>
        <v/>
      </c>
      <c r="C1522">
        <f>IF($P1522="","",INDEX(상세표[부서],$P1522)&amp;"")</f>
        <v/>
      </c>
      <c r="D1522">
        <f>IF($P1522="","",INDEX(상세표[직위],$P1522)&amp;"")</f>
        <v/>
      </c>
      <c r="E1522">
        <f>IF($P1522="","",IF(ISNUMBER(INDEX(상세표[시작],$P1522)),TEXT(INDEX(상세표[시작],$P1522),"yyyy-mm-dd hh:mm"),INDEX(상세표[시작],$P1522)&amp;""))</f>
        <v/>
      </c>
      <c r="F1522">
        <f>IF($P1522="","",IF(ISNUMBER(INDEX(상세표[블록종료],$P1522)),TEXT(INDEX(상세표[블록종료],$P1522),"yyyy-mm-dd hh:mm"),INDEX(상세표[블록종료],$P1522)&amp;""))</f>
        <v/>
      </c>
      <c r="G1522">
        <f>IF($P1522="","",CHOOSE(WEEKDAY(INDEX(상세표[시작],$P1522)),"일","월","화","수","목","금","토"))</f>
        <v/>
      </c>
      <c r="H1522">
        <f>IF($P1522="","",INDEX(상세표[연속 시간],$P1522))</f>
        <v/>
      </c>
      <c r="I1522">
        <f>IF($P1522="","",INDEX(상세표[기록 수],$P1522))</f>
        <v/>
      </c>
      <c r="J1522">
        <f>IF($P1522="","",INDEX(상세표[블록 06~07시],$P1522))</f>
        <v/>
      </c>
      <c r="K1522">
        <f>IF($P1522="","",INDEX(상세표[블록 07~18시],$P1522))</f>
        <v/>
      </c>
      <c r="L1522">
        <f>IF($P1522="","",INDEX(상세표[블록 18~22시],$P1522))</f>
        <v/>
      </c>
      <c r="M1522">
        <f>IF($P1522="","",INDEX(상세표[블록 22~06시],$P1522))</f>
        <v/>
      </c>
      <c r="N1522">
        <f>IF($P1522="","",INDEX(상세표[주말·휴일 포함],$P1522)&amp;"")</f>
        <v/>
      </c>
      <c r="O1522">
        <f>IF($P1522="","",INDEX(상세표[월 넘김 포함],$P1522)&amp;"")</f>
        <v/>
      </c>
      <c r="P1522" s="4">
        <f>IFERROR(MATCH(1517,상세표[연속순번],0),"")</f>
        <v/>
      </c>
    </row>
    <row r="1523">
      <c r="A1523">
        <f>IF($P1523="","",INDEX(상세표[사번],$P1523)&amp;"")</f>
        <v/>
      </c>
      <c r="B1523">
        <f>IF($P1523="","",INDEX(상세표[성명],$P1523)&amp;"")</f>
        <v/>
      </c>
      <c r="C1523">
        <f>IF($P1523="","",INDEX(상세표[부서],$P1523)&amp;"")</f>
        <v/>
      </c>
      <c r="D1523">
        <f>IF($P1523="","",INDEX(상세표[직위],$P1523)&amp;"")</f>
        <v/>
      </c>
      <c r="E1523">
        <f>IF($P1523="","",IF(ISNUMBER(INDEX(상세표[시작],$P1523)),TEXT(INDEX(상세표[시작],$P1523),"yyyy-mm-dd hh:mm"),INDEX(상세표[시작],$P1523)&amp;""))</f>
        <v/>
      </c>
      <c r="F1523">
        <f>IF($P1523="","",IF(ISNUMBER(INDEX(상세표[블록종료],$P1523)),TEXT(INDEX(상세표[블록종료],$P1523),"yyyy-mm-dd hh:mm"),INDEX(상세표[블록종료],$P1523)&amp;""))</f>
        <v/>
      </c>
      <c r="G1523">
        <f>IF($P1523="","",CHOOSE(WEEKDAY(INDEX(상세표[시작],$P1523)),"일","월","화","수","목","금","토"))</f>
        <v/>
      </c>
      <c r="H1523">
        <f>IF($P1523="","",INDEX(상세표[연속 시간],$P1523))</f>
        <v/>
      </c>
      <c r="I1523">
        <f>IF($P1523="","",INDEX(상세표[기록 수],$P1523))</f>
        <v/>
      </c>
      <c r="J1523">
        <f>IF($P1523="","",INDEX(상세표[블록 06~07시],$P1523))</f>
        <v/>
      </c>
      <c r="K1523">
        <f>IF($P1523="","",INDEX(상세표[블록 07~18시],$P1523))</f>
        <v/>
      </c>
      <c r="L1523">
        <f>IF($P1523="","",INDEX(상세표[블록 18~22시],$P1523))</f>
        <v/>
      </c>
      <c r="M1523">
        <f>IF($P1523="","",INDEX(상세표[블록 22~06시],$P1523))</f>
        <v/>
      </c>
      <c r="N1523">
        <f>IF($P1523="","",INDEX(상세표[주말·휴일 포함],$P1523)&amp;"")</f>
        <v/>
      </c>
      <c r="O1523">
        <f>IF($P1523="","",INDEX(상세표[월 넘김 포함],$P1523)&amp;"")</f>
        <v/>
      </c>
      <c r="P1523" s="4">
        <f>IFERROR(MATCH(1518,상세표[연속순번],0),"")</f>
        <v/>
      </c>
    </row>
    <row r="1524">
      <c r="A1524">
        <f>IF($P1524="","",INDEX(상세표[사번],$P1524)&amp;"")</f>
        <v/>
      </c>
      <c r="B1524">
        <f>IF($P1524="","",INDEX(상세표[성명],$P1524)&amp;"")</f>
        <v/>
      </c>
      <c r="C1524">
        <f>IF($P1524="","",INDEX(상세표[부서],$P1524)&amp;"")</f>
        <v/>
      </c>
      <c r="D1524">
        <f>IF($P1524="","",INDEX(상세표[직위],$P1524)&amp;"")</f>
        <v/>
      </c>
      <c r="E1524">
        <f>IF($P1524="","",IF(ISNUMBER(INDEX(상세표[시작],$P1524)),TEXT(INDEX(상세표[시작],$P1524),"yyyy-mm-dd hh:mm"),INDEX(상세표[시작],$P1524)&amp;""))</f>
        <v/>
      </c>
      <c r="F1524">
        <f>IF($P1524="","",IF(ISNUMBER(INDEX(상세표[블록종료],$P1524)),TEXT(INDEX(상세표[블록종료],$P1524),"yyyy-mm-dd hh:mm"),INDEX(상세표[블록종료],$P1524)&amp;""))</f>
        <v/>
      </c>
      <c r="G1524">
        <f>IF($P1524="","",CHOOSE(WEEKDAY(INDEX(상세표[시작],$P1524)),"일","월","화","수","목","금","토"))</f>
        <v/>
      </c>
      <c r="H1524">
        <f>IF($P1524="","",INDEX(상세표[연속 시간],$P1524))</f>
        <v/>
      </c>
      <c r="I1524">
        <f>IF($P1524="","",INDEX(상세표[기록 수],$P1524))</f>
        <v/>
      </c>
      <c r="J1524">
        <f>IF($P1524="","",INDEX(상세표[블록 06~07시],$P1524))</f>
        <v/>
      </c>
      <c r="K1524">
        <f>IF($P1524="","",INDEX(상세표[블록 07~18시],$P1524))</f>
        <v/>
      </c>
      <c r="L1524">
        <f>IF($P1524="","",INDEX(상세표[블록 18~22시],$P1524))</f>
        <v/>
      </c>
      <c r="M1524">
        <f>IF($P1524="","",INDEX(상세표[블록 22~06시],$P1524))</f>
        <v/>
      </c>
      <c r="N1524">
        <f>IF($P1524="","",INDEX(상세표[주말·휴일 포함],$P1524)&amp;"")</f>
        <v/>
      </c>
      <c r="O1524">
        <f>IF($P1524="","",INDEX(상세표[월 넘김 포함],$P1524)&amp;"")</f>
        <v/>
      </c>
      <c r="P1524" s="4">
        <f>IFERROR(MATCH(1519,상세표[연속순번],0),"")</f>
        <v/>
      </c>
    </row>
    <row r="1525">
      <c r="A1525">
        <f>IF($P1525="","",INDEX(상세표[사번],$P1525)&amp;"")</f>
        <v/>
      </c>
      <c r="B1525">
        <f>IF($P1525="","",INDEX(상세표[성명],$P1525)&amp;"")</f>
        <v/>
      </c>
      <c r="C1525">
        <f>IF($P1525="","",INDEX(상세표[부서],$P1525)&amp;"")</f>
        <v/>
      </c>
      <c r="D1525">
        <f>IF($P1525="","",INDEX(상세표[직위],$P1525)&amp;"")</f>
        <v/>
      </c>
      <c r="E1525">
        <f>IF($P1525="","",IF(ISNUMBER(INDEX(상세표[시작],$P1525)),TEXT(INDEX(상세표[시작],$P1525),"yyyy-mm-dd hh:mm"),INDEX(상세표[시작],$P1525)&amp;""))</f>
        <v/>
      </c>
      <c r="F1525">
        <f>IF($P1525="","",IF(ISNUMBER(INDEX(상세표[블록종료],$P1525)),TEXT(INDEX(상세표[블록종료],$P1525),"yyyy-mm-dd hh:mm"),INDEX(상세표[블록종료],$P1525)&amp;""))</f>
        <v/>
      </c>
      <c r="G1525">
        <f>IF($P1525="","",CHOOSE(WEEKDAY(INDEX(상세표[시작],$P1525)),"일","월","화","수","목","금","토"))</f>
        <v/>
      </c>
      <c r="H1525">
        <f>IF($P1525="","",INDEX(상세표[연속 시간],$P1525))</f>
        <v/>
      </c>
      <c r="I1525">
        <f>IF($P1525="","",INDEX(상세표[기록 수],$P1525))</f>
        <v/>
      </c>
      <c r="J1525">
        <f>IF($P1525="","",INDEX(상세표[블록 06~07시],$P1525))</f>
        <v/>
      </c>
      <c r="K1525">
        <f>IF($P1525="","",INDEX(상세표[블록 07~18시],$P1525))</f>
        <v/>
      </c>
      <c r="L1525">
        <f>IF($P1525="","",INDEX(상세표[블록 18~22시],$P1525))</f>
        <v/>
      </c>
      <c r="M1525">
        <f>IF($P1525="","",INDEX(상세표[블록 22~06시],$P1525))</f>
        <v/>
      </c>
      <c r="N1525">
        <f>IF($P1525="","",INDEX(상세표[주말·휴일 포함],$P1525)&amp;"")</f>
        <v/>
      </c>
      <c r="O1525">
        <f>IF($P1525="","",INDEX(상세표[월 넘김 포함],$P1525)&amp;"")</f>
        <v/>
      </c>
      <c r="P1525" s="4">
        <f>IFERROR(MATCH(1520,상세표[연속순번],0),"")</f>
        <v/>
      </c>
    </row>
    <row r="1526">
      <c r="A1526">
        <f>IF($P1526="","",INDEX(상세표[사번],$P1526)&amp;"")</f>
        <v/>
      </c>
      <c r="B1526">
        <f>IF($P1526="","",INDEX(상세표[성명],$P1526)&amp;"")</f>
        <v/>
      </c>
      <c r="C1526">
        <f>IF($P1526="","",INDEX(상세표[부서],$P1526)&amp;"")</f>
        <v/>
      </c>
      <c r="D1526">
        <f>IF($P1526="","",INDEX(상세표[직위],$P1526)&amp;"")</f>
        <v/>
      </c>
      <c r="E1526">
        <f>IF($P1526="","",IF(ISNUMBER(INDEX(상세표[시작],$P1526)),TEXT(INDEX(상세표[시작],$P1526),"yyyy-mm-dd hh:mm"),INDEX(상세표[시작],$P1526)&amp;""))</f>
        <v/>
      </c>
      <c r="F1526">
        <f>IF($P1526="","",IF(ISNUMBER(INDEX(상세표[블록종료],$P1526)),TEXT(INDEX(상세표[블록종료],$P1526),"yyyy-mm-dd hh:mm"),INDEX(상세표[블록종료],$P1526)&amp;""))</f>
        <v/>
      </c>
      <c r="G1526">
        <f>IF($P1526="","",CHOOSE(WEEKDAY(INDEX(상세표[시작],$P1526)),"일","월","화","수","목","금","토"))</f>
        <v/>
      </c>
      <c r="H1526">
        <f>IF($P1526="","",INDEX(상세표[연속 시간],$P1526))</f>
        <v/>
      </c>
      <c r="I1526">
        <f>IF($P1526="","",INDEX(상세표[기록 수],$P1526))</f>
        <v/>
      </c>
      <c r="J1526">
        <f>IF($P1526="","",INDEX(상세표[블록 06~07시],$P1526))</f>
        <v/>
      </c>
      <c r="K1526">
        <f>IF($P1526="","",INDEX(상세표[블록 07~18시],$P1526))</f>
        <v/>
      </c>
      <c r="L1526">
        <f>IF($P1526="","",INDEX(상세표[블록 18~22시],$P1526))</f>
        <v/>
      </c>
      <c r="M1526">
        <f>IF($P1526="","",INDEX(상세표[블록 22~06시],$P1526))</f>
        <v/>
      </c>
      <c r="N1526">
        <f>IF($P1526="","",INDEX(상세표[주말·휴일 포함],$P1526)&amp;"")</f>
        <v/>
      </c>
      <c r="O1526">
        <f>IF($P1526="","",INDEX(상세표[월 넘김 포함],$P1526)&amp;"")</f>
        <v/>
      </c>
      <c r="P1526" s="4">
        <f>IFERROR(MATCH(1521,상세표[연속순번],0),"")</f>
        <v/>
      </c>
    </row>
    <row r="1527">
      <c r="A1527">
        <f>IF($P1527="","",INDEX(상세표[사번],$P1527)&amp;"")</f>
        <v/>
      </c>
      <c r="B1527">
        <f>IF($P1527="","",INDEX(상세표[성명],$P1527)&amp;"")</f>
        <v/>
      </c>
      <c r="C1527">
        <f>IF($P1527="","",INDEX(상세표[부서],$P1527)&amp;"")</f>
        <v/>
      </c>
      <c r="D1527">
        <f>IF($P1527="","",INDEX(상세표[직위],$P1527)&amp;"")</f>
        <v/>
      </c>
      <c r="E1527">
        <f>IF($P1527="","",IF(ISNUMBER(INDEX(상세표[시작],$P1527)),TEXT(INDEX(상세표[시작],$P1527),"yyyy-mm-dd hh:mm"),INDEX(상세표[시작],$P1527)&amp;""))</f>
        <v/>
      </c>
      <c r="F1527">
        <f>IF($P1527="","",IF(ISNUMBER(INDEX(상세표[블록종료],$P1527)),TEXT(INDEX(상세표[블록종료],$P1527),"yyyy-mm-dd hh:mm"),INDEX(상세표[블록종료],$P1527)&amp;""))</f>
        <v/>
      </c>
      <c r="G1527">
        <f>IF($P1527="","",CHOOSE(WEEKDAY(INDEX(상세표[시작],$P1527)),"일","월","화","수","목","금","토"))</f>
        <v/>
      </c>
      <c r="H1527">
        <f>IF($P1527="","",INDEX(상세표[연속 시간],$P1527))</f>
        <v/>
      </c>
      <c r="I1527">
        <f>IF($P1527="","",INDEX(상세표[기록 수],$P1527))</f>
        <v/>
      </c>
      <c r="J1527">
        <f>IF($P1527="","",INDEX(상세표[블록 06~07시],$P1527))</f>
        <v/>
      </c>
      <c r="K1527">
        <f>IF($P1527="","",INDEX(상세표[블록 07~18시],$P1527))</f>
        <v/>
      </c>
      <c r="L1527">
        <f>IF($P1527="","",INDEX(상세표[블록 18~22시],$P1527))</f>
        <v/>
      </c>
      <c r="M1527">
        <f>IF($P1527="","",INDEX(상세표[블록 22~06시],$P1527))</f>
        <v/>
      </c>
      <c r="N1527">
        <f>IF($P1527="","",INDEX(상세표[주말·휴일 포함],$P1527)&amp;"")</f>
        <v/>
      </c>
      <c r="O1527">
        <f>IF($P1527="","",INDEX(상세표[월 넘김 포함],$P1527)&amp;"")</f>
        <v/>
      </c>
      <c r="P1527" s="4">
        <f>IFERROR(MATCH(1522,상세표[연속순번],0),"")</f>
        <v/>
      </c>
    </row>
    <row r="1528">
      <c r="A1528">
        <f>IF($P1528="","",INDEX(상세표[사번],$P1528)&amp;"")</f>
        <v/>
      </c>
      <c r="B1528">
        <f>IF($P1528="","",INDEX(상세표[성명],$P1528)&amp;"")</f>
        <v/>
      </c>
      <c r="C1528">
        <f>IF($P1528="","",INDEX(상세표[부서],$P1528)&amp;"")</f>
        <v/>
      </c>
      <c r="D1528">
        <f>IF($P1528="","",INDEX(상세표[직위],$P1528)&amp;"")</f>
        <v/>
      </c>
      <c r="E1528">
        <f>IF($P1528="","",IF(ISNUMBER(INDEX(상세표[시작],$P1528)),TEXT(INDEX(상세표[시작],$P1528),"yyyy-mm-dd hh:mm"),INDEX(상세표[시작],$P1528)&amp;""))</f>
        <v/>
      </c>
      <c r="F1528">
        <f>IF($P1528="","",IF(ISNUMBER(INDEX(상세표[블록종료],$P1528)),TEXT(INDEX(상세표[블록종료],$P1528),"yyyy-mm-dd hh:mm"),INDEX(상세표[블록종료],$P1528)&amp;""))</f>
        <v/>
      </c>
      <c r="G1528">
        <f>IF($P1528="","",CHOOSE(WEEKDAY(INDEX(상세표[시작],$P1528)),"일","월","화","수","목","금","토"))</f>
        <v/>
      </c>
      <c r="H1528">
        <f>IF($P1528="","",INDEX(상세표[연속 시간],$P1528))</f>
        <v/>
      </c>
      <c r="I1528">
        <f>IF($P1528="","",INDEX(상세표[기록 수],$P1528))</f>
        <v/>
      </c>
      <c r="J1528">
        <f>IF($P1528="","",INDEX(상세표[블록 06~07시],$P1528))</f>
        <v/>
      </c>
      <c r="K1528">
        <f>IF($P1528="","",INDEX(상세표[블록 07~18시],$P1528))</f>
        <v/>
      </c>
      <c r="L1528">
        <f>IF($P1528="","",INDEX(상세표[블록 18~22시],$P1528))</f>
        <v/>
      </c>
      <c r="M1528">
        <f>IF($P1528="","",INDEX(상세표[블록 22~06시],$P1528))</f>
        <v/>
      </c>
      <c r="N1528">
        <f>IF($P1528="","",INDEX(상세표[주말·휴일 포함],$P1528)&amp;"")</f>
        <v/>
      </c>
      <c r="O1528">
        <f>IF($P1528="","",INDEX(상세표[월 넘김 포함],$P1528)&amp;"")</f>
        <v/>
      </c>
      <c r="P1528" s="4">
        <f>IFERROR(MATCH(1523,상세표[연속순번],0),"")</f>
        <v/>
      </c>
    </row>
    <row r="1529">
      <c r="A1529">
        <f>IF($P1529="","",INDEX(상세표[사번],$P1529)&amp;"")</f>
        <v/>
      </c>
      <c r="B1529">
        <f>IF($P1529="","",INDEX(상세표[성명],$P1529)&amp;"")</f>
        <v/>
      </c>
      <c r="C1529">
        <f>IF($P1529="","",INDEX(상세표[부서],$P1529)&amp;"")</f>
        <v/>
      </c>
      <c r="D1529">
        <f>IF($P1529="","",INDEX(상세표[직위],$P1529)&amp;"")</f>
        <v/>
      </c>
      <c r="E1529">
        <f>IF($P1529="","",IF(ISNUMBER(INDEX(상세표[시작],$P1529)),TEXT(INDEX(상세표[시작],$P1529),"yyyy-mm-dd hh:mm"),INDEX(상세표[시작],$P1529)&amp;""))</f>
        <v/>
      </c>
      <c r="F1529">
        <f>IF($P1529="","",IF(ISNUMBER(INDEX(상세표[블록종료],$P1529)),TEXT(INDEX(상세표[블록종료],$P1529),"yyyy-mm-dd hh:mm"),INDEX(상세표[블록종료],$P1529)&amp;""))</f>
        <v/>
      </c>
      <c r="G1529">
        <f>IF($P1529="","",CHOOSE(WEEKDAY(INDEX(상세표[시작],$P1529)),"일","월","화","수","목","금","토"))</f>
        <v/>
      </c>
      <c r="H1529">
        <f>IF($P1529="","",INDEX(상세표[연속 시간],$P1529))</f>
        <v/>
      </c>
      <c r="I1529">
        <f>IF($P1529="","",INDEX(상세표[기록 수],$P1529))</f>
        <v/>
      </c>
      <c r="J1529">
        <f>IF($P1529="","",INDEX(상세표[블록 06~07시],$P1529))</f>
        <v/>
      </c>
      <c r="K1529">
        <f>IF($P1529="","",INDEX(상세표[블록 07~18시],$P1529))</f>
        <v/>
      </c>
      <c r="L1529">
        <f>IF($P1529="","",INDEX(상세표[블록 18~22시],$P1529))</f>
        <v/>
      </c>
      <c r="M1529">
        <f>IF($P1529="","",INDEX(상세표[블록 22~06시],$P1529))</f>
        <v/>
      </c>
      <c r="N1529">
        <f>IF($P1529="","",INDEX(상세표[주말·휴일 포함],$P1529)&amp;"")</f>
        <v/>
      </c>
      <c r="O1529">
        <f>IF($P1529="","",INDEX(상세표[월 넘김 포함],$P1529)&amp;"")</f>
        <v/>
      </c>
      <c r="P1529" s="4">
        <f>IFERROR(MATCH(1524,상세표[연속순번],0),"")</f>
        <v/>
      </c>
    </row>
    <row r="1530">
      <c r="A1530">
        <f>IF($P1530="","",INDEX(상세표[사번],$P1530)&amp;"")</f>
        <v/>
      </c>
      <c r="B1530">
        <f>IF($P1530="","",INDEX(상세표[성명],$P1530)&amp;"")</f>
        <v/>
      </c>
      <c r="C1530">
        <f>IF($P1530="","",INDEX(상세표[부서],$P1530)&amp;"")</f>
        <v/>
      </c>
      <c r="D1530">
        <f>IF($P1530="","",INDEX(상세표[직위],$P1530)&amp;"")</f>
        <v/>
      </c>
      <c r="E1530">
        <f>IF($P1530="","",IF(ISNUMBER(INDEX(상세표[시작],$P1530)),TEXT(INDEX(상세표[시작],$P1530),"yyyy-mm-dd hh:mm"),INDEX(상세표[시작],$P1530)&amp;""))</f>
        <v/>
      </c>
      <c r="F1530">
        <f>IF($P1530="","",IF(ISNUMBER(INDEX(상세표[블록종료],$P1530)),TEXT(INDEX(상세표[블록종료],$P1530),"yyyy-mm-dd hh:mm"),INDEX(상세표[블록종료],$P1530)&amp;""))</f>
        <v/>
      </c>
      <c r="G1530">
        <f>IF($P1530="","",CHOOSE(WEEKDAY(INDEX(상세표[시작],$P1530)),"일","월","화","수","목","금","토"))</f>
        <v/>
      </c>
      <c r="H1530">
        <f>IF($P1530="","",INDEX(상세표[연속 시간],$P1530))</f>
        <v/>
      </c>
      <c r="I1530">
        <f>IF($P1530="","",INDEX(상세표[기록 수],$P1530))</f>
        <v/>
      </c>
      <c r="J1530">
        <f>IF($P1530="","",INDEX(상세표[블록 06~07시],$P1530))</f>
        <v/>
      </c>
      <c r="K1530">
        <f>IF($P1530="","",INDEX(상세표[블록 07~18시],$P1530))</f>
        <v/>
      </c>
      <c r="L1530">
        <f>IF($P1530="","",INDEX(상세표[블록 18~22시],$P1530))</f>
        <v/>
      </c>
      <c r="M1530">
        <f>IF($P1530="","",INDEX(상세표[블록 22~06시],$P1530))</f>
        <v/>
      </c>
      <c r="N1530">
        <f>IF($P1530="","",INDEX(상세표[주말·휴일 포함],$P1530)&amp;"")</f>
        <v/>
      </c>
      <c r="O1530">
        <f>IF($P1530="","",INDEX(상세표[월 넘김 포함],$P1530)&amp;"")</f>
        <v/>
      </c>
      <c r="P1530" s="4">
        <f>IFERROR(MATCH(1525,상세표[연속순번],0),"")</f>
        <v/>
      </c>
    </row>
    <row r="1531">
      <c r="A1531">
        <f>IF($P1531="","",INDEX(상세표[사번],$P1531)&amp;"")</f>
        <v/>
      </c>
      <c r="B1531">
        <f>IF($P1531="","",INDEX(상세표[성명],$P1531)&amp;"")</f>
        <v/>
      </c>
      <c r="C1531">
        <f>IF($P1531="","",INDEX(상세표[부서],$P1531)&amp;"")</f>
        <v/>
      </c>
      <c r="D1531">
        <f>IF($P1531="","",INDEX(상세표[직위],$P1531)&amp;"")</f>
        <v/>
      </c>
      <c r="E1531">
        <f>IF($P1531="","",IF(ISNUMBER(INDEX(상세표[시작],$P1531)),TEXT(INDEX(상세표[시작],$P1531),"yyyy-mm-dd hh:mm"),INDEX(상세표[시작],$P1531)&amp;""))</f>
        <v/>
      </c>
      <c r="F1531">
        <f>IF($P1531="","",IF(ISNUMBER(INDEX(상세표[블록종료],$P1531)),TEXT(INDEX(상세표[블록종료],$P1531),"yyyy-mm-dd hh:mm"),INDEX(상세표[블록종료],$P1531)&amp;""))</f>
        <v/>
      </c>
      <c r="G1531">
        <f>IF($P1531="","",CHOOSE(WEEKDAY(INDEX(상세표[시작],$P1531)),"일","월","화","수","목","금","토"))</f>
        <v/>
      </c>
      <c r="H1531">
        <f>IF($P1531="","",INDEX(상세표[연속 시간],$P1531))</f>
        <v/>
      </c>
      <c r="I1531">
        <f>IF($P1531="","",INDEX(상세표[기록 수],$P1531))</f>
        <v/>
      </c>
      <c r="J1531">
        <f>IF($P1531="","",INDEX(상세표[블록 06~07시],$P1531))</f>
        <v/>
      </c>
      <c r="K1531">
        <f>IF($P1531="","",INDEX(상세표[블록 07~18시],$P1531))</f>
        <v/>
      </c>
      <c r="L1531">
        <f>IF($P1531="","",INDEX(상세표[블록 18~22시],$P1531))</f>
        <v/>
      </c>
      <c r="M1531">
        <f>IF($P1531="","",INDEX(상세표[블록 22~06시],$P1531))</f>
        <v/>
      </c>
      <c r="N1531">
        <f>IF($P1531="","",INDEX(상세표[주말·휴일 포함],$P1531)&amp;"")</f>
        <v/>
      </c>
      <c r="O1531">
        <f>IF($P1531="","",INDEX(상세표[월 넘김 포함],$P1531)&amp;"")</f>
        <v/>
      </c>
      <c r="P1531" s="4">
        <f>IFERROR(MATCH(1526,상세표[연속순번],0),"")</f>
        <v/>
      </c>
    </row>
    <row r="1532">
      <c r="A1532">
        <f>IF($P1532="","",INDEX(상세표[사번],$P1532)&amp;"")</f>
        <v/>
      </c>
      <c r="B1532">
        <f>IF($P1532="","",INDEX(상세표[성명],$P1532)&amp;"")</f>
        <v/>
      </c>
      <c r="C1532">
        <f>IF($P1532="","",INDEX(상세표[부서],$P1532)&amp;"")</f>
        <v/>
      </c>
      <c r="D1532">
        <f>IF($P1532="","",INDEX(상세표[직위],$P1532)&amp;"")</f>
        <v/>
      </c>
      <c r="E1532">
        <f>IF($P1532="","",IF(ISNUMBER(INDEX(상세표[시작],$P1532)),TEXT(INDEX(상세표[시작],$P1532),"yyyy-mm-dd hh:mm"),INDEX(상세표[시작],$P1532)&amp;""))</f>
        <v/>
      </c>
      <c r="F1532">
        <f>IF($P1532="","",IF(ISNUMBER(INDEX(상세표[블록종료],$P1532)),TEXT(INDEX(상세표[블록종료],$P1532),"yyyy-mm-dd hh:mm"),INDEX(상세표[블록종료],$P1532)&amp;""))</f>
        <v/>
      </c>
      <c r="G1532">
        <f>IF($P1532="","",CHOOSE(WEEKDAY(INDEX(상세표[시작],$P1532)),"일","월","화","수","목","금","토"))</f>
        <v/>
      </c>
      <c r="H1532">
        <f>IF($P1532="","",INDEX(상세표[연속 시간],$P1532))</f>
        <v/>
      </c>
      <c r="I1532">
        <f>IF($P1532="","",INDEX(상세표[기록 수],$P1532))</f>
        <v/>
      </c>
      <c r="J1532">
        <f>IF($P1532="","",INDEX(상세표[블록 06~07시],$P1532))</f>
        <v/>
      </c>
      <c r="K1532">
        <f>IF($P1532="","",INDEX(상세표[블록 07~18시],$P1532))</f>
        <v/>
      </c>
      <c r="L1532">
        <f>IF($P1532="","",INDEX(상세표[블록 18~22시],$P1532))</f>
        <v/>
      </c>
      <c r="M1532">
        <f>IF($P1532="","",INDEX(상세표[블록 22~06시],$P1532))</f>
        <v/>
      </c>
      <c r="N1532">
        <f>IF($P1532="","",INDEX(상세표[주말·휴일 포함],$P1532)&amp;"")</f>
        <v/>
      </c>
      <c r="O1532">
        <f>IF($P1532="","",INDEX(상세표[월 넘김 포함],$P1532)&amp;"")</f>
        <v/>
      </c>
      <c r="P1532" s="4">
        <f>IFERROR(MATCH(1527,상세표[연속순번],0),"")</f>
        <v/>
      </c>
    </row>
    <row r="1533">
      <c r="A1533">
        <f>IF($P1533="","",INDEX(상세표[사번],$P1533)&amp;"")</f>
        <v/>
      </c>
      <c r="B1533">
        <f>IF($P1533="","",INDEX(상세표[성명],$P1533)&amp;"")</f>
        <v/>
      </c>
      <c r="C1533">
        <f>IF($P1533="","",INDEX(상세표[부서],$P1533)&amp;"")</f>
        <v/>
      </c>
      <c r="D1533">
        <f>IF($P1533="","",INDEX(상세표[직위],$P1533)&amp;"")</f>
        <v/>
      </c>
      <c r="E1533">
        <f>IF($P1533="","",IF(ISNUMBER(INDEX(상세표[시작],$P1533)),TEXT(INDEX(상세표[시작],$P1533),"yyyy-mm-dd hh:mm"),INDEX(상세표[시작],$P1533)&amp;""))</f>
        <v/>
      </c>
      <c r="F1533">
        <f>IF($P1533="","",IF(ISNUMBER(INDEX(상세표[블록종료],$P1533)),TEXT(INDEX(상세표[블록종료],$P1533),"yyyy-mm-dd hh:mm"),INDEX(상세표[블록종료],$P1533)&amp;""))</f>
        <v/>
      </c>
      <c r="G1533">
        <f>IF($P1533="","",CHOOSE(WEEKDAY(INDEX(상세표[시작],$P1533)),"일","월","화","수","목","금","토"))</f>
        <v/>
      </c>
      <c r="H1533">
        <f>IF($P1533="","",INDEX(상세표[연속 시간],$P1533))</f>
        <v/>
      </c>
      <c r="I1533">
        <f>IF($P1533="","",INDEX(상세표[기록 수],$P1533))</f>
        <v/>
      </c>
      <c r="J1533">
        <f>IF($P1533="","",INDEX(상세표[블록 06~07시],$P1533))</f>
        <v/>
      </c>
      <c r="K1533">
        <f>IF($P1533="","",INDEX(상세표[블록 07~18시],$P1533))</f>
        <v/>
      </c>
      <c r="L1533">
        <f>IF($P1533="","",INDEX(상세표[블록 18~22시],$P1533))</f>
        <v/>
      </c>
      <c r="M1533">
        <f>IF($P1533="","",INDEX(상세표[블록 22~06시],$P1533))</f>
        <v/>
      </c>
      <c r="N1533">
        <f>IF($P1533="","",INDEX(상세표[주말·휴일 포함],$P1533)&amp;"")</f>
        <v/>
      </c>
      <c r="O1533">
        <f>IF($P1533="","",INDEX(상세표[월 넘김 포함],$P1533)&amp;"")</f>
        <v/>
      </c>
      <c r="P1533" s="4">
        <f>IFERROR(MATCH(1528,상세표[연속순번],0),"")</f>
        <v/>
      </c>
    </row>
    <row r="1534">
      <c r="A1534">
        <f>IF($P1534="","",INDEX(상세표[사번],$P1534)&amp;"")</f>
        <v/>
      </c>
      <c r="B1534">
        <f>IF($P1534="","",INDEX(상세표[성명],$P1534)&amp;"")</f>
        <v/>
      </c>
      <c r="C1534">
        <f>IF($P1534="","",INDEX(상세표[부서],$P1534)&amp;"")</f>
        <v/>
      </c>
      <c r="D1534">
        <f>IF($P1534="","",INDEX(상세표[직위],$P1534)&amp;"")</f>
        <v/>
      </c>
      <c r="E1534">
        <f>IF($P1534="","",IF(ISNUMBER(INDEX(상세표[시작],$P1534)),TEXT(INDEX(상세표[시작],$P1534),"yyyy-mm-dd hh:mm"),INDEX(상세표[시작],$P1534)&amp;""))</f>
        <v/>
      </c>
      <c r="F1534">
        <f>IF($P1534="","",IF(ISNUMBER(INDEX(상세표[블록종료],$P1534)),TEXT(INDEX(상세표[블록종료],$P1534),"yyyy-mm-dd hh:mm"),INDEX(상세표[블록종료],$P1534)&amp;""))</f>
        <v/>
      </c>
      <c r="G1534">
        <f>IF($P1534="","",CHOOSE(WEEKDAY(INDEX(상세표[시작],$P1534)),"일","월","화","수","목","금","토"))</f>
        <v/>
      </c>
      <c r="H1534">
        <f>IF($P1534="","",INDEX(상세표[연속 시간],$P1534))</f>
        <v/>
      </c>
      <c r="I1534">
        <f>IF($P1534="","",INDEX(상세표[기록 수],$P1534))</f>
        <v/>
      </c>
      <c r="J1534">
        <f>IF($P1534="","",INDEX(상세표[블록 06~07시],$P1534))</f>
        <v/>
      </c>
      <c r="K1534">
        <f>IF($P1534="","",INDEX(상세표[블록 07~18시],$P1534))</f>
        <v/>
      </c>
      <c r="L1534">
        <f>IF($P1534="","",INDEX(상세표[블록 18~22시],$P1534))</f>
        <v/>
      </c>
      <c r="M1534">
        <f>IF($P1534="","",INDEX(상세표[블록 22~06시],$P1534))</f>
        <v/>
      </c>
      <c r="N1534">
        <f>IF($P1534="","",INDEX(상세표[주말·휴일 포함],$P1534)&amp;"")</f>
        <v/>
      </c>
      <c r="O1534">
        <f>IF($P1534="","",INDEX(상세표[월 넘김 포함],$P1534)&amp;"")</f>
        <v/>
      </c>
      <c r="P1534" s="4">
        <f>IFERROR(MATCH(1529,상세표[연속순번],0),"")</f>
        <v/>
      </c>
    </row>
    <row r="1535">
      <c r="A1535">
        <f>IF($P1535="","",INDEX(상세표[사번],$P1535)&amp;"")</f>
        <v/>
      </c>
      <c r="B1535">
        <f>IF($P1535="","",INDEX(상세표[성명],$P1535)&amp;"")</f>
        <v/>
      </c>
      <c r="C1535">
        <f>IF($P1535="","",INDEX(상세표[부서],$P1535)&amp;"")</f>
        <v/>
      </c>
      <c r="D1535">
        <f>IF($P1535="","",INDEX(상세표[직위],$P1535)&amp;"")</f>
        <v/>
      </c>
      <c r="E1535">
        <f>IF($P1535="","",IF(ISNUMBER(INDEX(상세표[시작],$P1535)),TEXT(INDEX(상세표[시작],$P1535),"yyyy-mm-dd hh:mm"),INDEX(상세표[시작],$P1535)&amp;""))</f>
        <v/>
      </c>
      <c r="F1535">
        <f>IF($P1535="","",IF(ISNUMBER(INDEX(상세표[블록종료],$P1535)),TEXT(INDEX(상세표[블록종료],$P1535),"yyyy-mm-dd hh:mm"),INDEX(상세표[블록종료],$P1535)&amp;""))</f>
        <v/>
      </c>
      <c r="G1535">
        <f>IF($P1535="","",CHOOSE(WEEKDAY(INDEX(상세표[시작],$P1535)),"일","월","화","수","목","금","토"))</f>
        <v/>
      </c>
      <c r="H1535">
        <f>IF($P1535="","",INDEX(상세표[연속 시간],$P1535))</f>
        <v/>
      </c>
      <c r="I1535">
        <f>IF($P1535="","",INDEX(상세표[기록 수],$P1535))</f>
        <v/>
      </c>
      <c r="J1535">
        <f>IF($P1535="","",INDEX(상세표[블록 06~07시],$P1535))</f>
        <v/>
      </c>
      <c r="K1535">
        <f>IF($P1535="","",INDEX(상세표[블록 07~18시],$P1535))</f>
        <v/>
      </c>
      <c r="L1535">
        <f>IF($P1535="","",INDEX(상세표[블록 18~22시],$P1535))</f>
        <v/>
      </c>
      <c r="M1535">
        <f>IF($P1535="","",INDEX(상세표[블록 22~06시],$P1535))</f>
        <v/>
      </c>
      <c r="N1535">
        <f>IF($P1535="","",INDEX(상세표[주말·휴일 포함],$P1535)&amp;"")</f>
        <v/>
      </c>
      <c r="O1535">
        <f>IF($P1535="","",INDEX(상세표[월 넘김 포함],$P1535)&amp;"")</f>
        <v/>
      </c>
      <c r="P1535" s="4">
        <f>IFERROR(MATCH(1530,상세표[연속순번],0),"")</f>
        <v/>
      </c>
    </row>
    <row r="1536">
      <c r="A1536">
        <f>IF($P1536="","",INDEX(상세표[사번],$P1536)&amp;"")</f>
        <v/>
      </c>
      <c r="B1536">
        <f>IF($P1536="","",INDEX(상세표[성명],$P1536)&amp;"")</f>
        <v/>
      </c>
      <c r="C1536">
        <f>IF($P1536="","",INDEX(상세표[부서],$P1536)&amp;"")</f>
        <v/>
      </c>
      <c r="D1536">
        <f>IF($P1536="","",INDEX(상세표[직위],$P1536)&amp;"")</f>
        <v/>
      </c>
      <c r="E1536">
        <f>IF($P1536="","",IF(ISNUMBER(INDEX(상세표[시작],$P1536)),TEXT(INDEX(상세표[시작],$P1536),"yyyy-mm-dd hh:mm"),INDEX(상세표[시작],$P1536)&amp;""))</f>
        <v/>
      </c>
      <c r="F1536">
        <f>IF($P1536="","",IF(ISNUMBER(INDEX(상세표[블록종료],$P1536)),TEXT(INDEX(상세표[블록종료],$P1536),"yyyy-mm-dd hh:mm"),INDEX(상세표[블록종료],$P1536)&amp;""))</f>
        <v/>
      </c>
      <c r="G1536">
        <f>IF($P1536="","",CHOOSE(WEEKDAY(INDEX(상세표[시작],$P1536)),"일","월","화","수","목","금","토"))</f>
        <v/>
      </c>
      <c r="H1536">
        <f>IF($P1536="","",INDEX(상세표[연속 시간],$P1536))</f>
        <v/>
      </c>
      <c r="I1536">
        <f>IF($P1536="","",INDEX(상세표[기록 수],$P1536))</f>
        <v/>
      </c>
      <c r="J1536">
        <f>IF($P1536="","",INDEX(상세표[블록 06~07시],$P1536))</f>
        <v/>
      </c>
      <c r="K1536">
        <f>IF($P1536="","",INDEX(상세표[블록 07~18시],$P1536))</f>
        <v/>
      </c>
      <c r="L1536">
        <f>IF($P1536="","",INDEX(상세표[블록 18~22시],$P1536))</f>
        <v/>
      </c>
      <c r="M1536">
        <f>IF($P1536="","",INDEX(상세표[블록 22~06시],$P1536))</f>
        <v/>
      </c>
      <c r="N1536">
        <f>IF($P1536="","",INDEX(상세표[주말·휴일 포함],$P1536)&amp;"")</f>
        <v/>
      </c>
      <c r="O1536">
        <f>IF($P1536="","",INDEX(상세표[월 넘김 포함],$P1536)&amp;"")</f>
        <v/>
      </c>
      <c r="P1536" s="4">
        <f>IFERROR(MATCH(1531,상세표[연속순번],0),"")</f>
        <v/>
      </c>
    </row>
    <row r="1537">
      <c r="A1537">
        <f>IF($P1537="","",INDEX(상세표[사번],$P1537)&amp;"")</f>
        <v/>
      </c>
      <c r="B1537">
        <f>IF($P1537="","",INDEX(상세표[성명],$P1537)&amp;"")</f>
        <v/>
      </c>
      <c r="C1537">
        <f>IF($P1537="","",INDEX(상세표[부서],$P1537)&amp;"")</f>
        <v/>
      </c>
      <c r="D1537">
        <f>IF($P1537="","",INDEX(상세표[직위],$P1537)&amp;"")</f>
        <v/>
      </c>
      <c r="E1537">
        <f>IF($P1537="","",IF(ISNUMBER(INDEX(상세표[시작],$P1537)),TEXT(INDEX(상세표[시작],$P1537),"yyyy-mm-dd hh:mm"),INDEX(상세표[시작],$P1537)&amp;""))</f>
        <v/>
      </c>
      <c r="F1537">
        <f>IF($P1537="","",IF(ISNUMBER(INDEX(상세표[블록종료],$P1537)),TEXT(INDEX(상세표[블록종료],$P1537),"yyyy-mm-dd hh:mm"),INDEX(상세표[블록종료],$P1537)&amp;""))</f>
        <v/>
      </c>
      <c r="G1537">
        <f>IF($P1537="","",CHOOSE(WEEKDAY(INDEX(상세표[시작],$P1537)),"일","월","화","수","목","금","토"))</f>
        <v/>
      </c>
      <c r="H1537">
        <f>IF($P1537="","",INDEX(상세표[연속 시간],$P1537))</f>
        <v/>
      </c>
      <c r="I1537">
        <f>IF($P1537="","",INDEX(상세표[기록 수],$P1537))</f>
        <v/>
      </c>
      <c r="J1537">
        <f>IF($P1537="","",INDEX(상세표[블록 06~07시],$P1537))</f>
        <v/>
      </c>
      <c r="K1537">
        <f>IF($P1537="","",INDEX(상세표[블록 07~18시],$P1537))</f>
        <v/>
      </c>
      <c r="L1537">
        <f>IF($P1537="","",INDEX(상세표[블록 18~22시],$P1537))</f>
        <v/>
      </c>
      <c r="M1537">
        <f>IF($P1537="","",INDEX(상세표[블록 22~06시],$P1537))</f>
        <v/>
      </c>
      <c r="N1537">
        <f>IF($P1537="","",INDEX(상세표[주말·휴일 포함],$P1537)&amp;"")</f>
        <v/>
      </c>
      <c r="O1537">
        <f>IF($P1537="","",INDEX(상세표[월 넘김 포함],$P1537)&amp;"")</f>
        <v/>
      </c>
      <c r="P1537" s="4">
        <f>IFERROR(MATCH(1532,상세표[연속순번],0),"")</f>
        <v/>
      </c>
    </row>
    <row r="1538">
      <c r="A1538">
        <f>IF($P1538="","",INDEX(상세표[사번],$P1538)&amp;"")</f>
        <v/>
      </c>
      <c r="B1538">
        <f>IF($P1538="","",INDEX(상세표[성명],$P1538)&amp;"")</f>
        <v/>
      </c>
      <c r="C1538">
        <f>IF($P1538="","",INDEX(상세표[부서],$P1538)&amp;"")</f>
        <v/>
      </c>
      <c r="D1538">
        <f>IF($P1538="","",INDEX(상세표[직위],$P1538)&amp;"")</f>
        <v/>
      </c>
      <c r="E1538">
        <f>IF($P1538="","",IF(ISNUMBER(INDEX(상세표[시작],$P1538)),TEXT(INDEX(상세표[시작],$P1538),"yyyy-mm-dd hh:mm"),INDEX(상세표[시작],$P1538)&amp;""))</f>
        <v/>
      </c>
      <c r="F1538">
        <f>IF($P1538="","",IF(ISNUMBER(INDEX(상세표[블록종료],$P1538)),TEXT(INDEX(상세표[블록종료],$P1538),"yyyy-mm-dd hh:mm"),INDEX(상세표[블록종료],$P1538)&amp;""))</f>
        <v/>
      </c>
      <c r="G1538">
        <f>IF($P1538="","",CHOOSE(WEEKDAY(INDEX(상세표[시작],$P1538)),"일","월","화","수","목","금","토"))</f>
        <v/>
      </c>
      <c r="H1538">
        <f>IF($P1538="","",INDEX(상세표[연속 시간],$P1538))</f>
        <v/>
      </c>
      <c r="I1538">
        <f>IF($P1538="","",INDEX(상세표[기록 수],$P1538))</f>
        <v/>
      </c>
      <c r="J1538">
        <f>IF($P1538="","",INDEX(상세표[블록 06~07시],$P1538))</f>
        <v/>
      </c>
      <c r="K1538">
        <f>IF($P1538="","",INDEX(상세표[블록 07~18시],$P1538))</f>
        <v/>
      </c>
      <c r="L1538">
        <f>IF($P1538="","",INDEX(상세표[블록 18~22시],$P1538))</f>
        <v/>
      </c>
      <c r="M1538">
        <f>IF($P1538="","",INDEX(상세표[블록 22~06시],$P1538))</f>
        <v/>
      </c>
      <c r="N1538">
        <f>IF($P1538="","",INDEX(상세표[주말·휴일 포함],$P1538)&amp;"")</f>
        <v/>
      </c>
      <c r="O1538">
        <f>IF($P1538="","",INDEX(상세표[월 넘김 포함],$P1538)&amp;"")</f>
        <v/>
      </c>
      <c r="P1538" s="4">
        <f>IFERROR(MATCH(1533,상세표[연속순번],0),"")</f>
        <v/>
      </c>
    </row>
    <row r="1539">
      <c r="A1539">
        <f>IF($P1539="","",INDEX(상세표[사번],$P1539)&amp;"")</f>
        <v/>
      </c>
      <c r="B1539">
        <f>IF($P1539="","",INDEX(상세표[성명],$P1539)&amp;"")</f>
        <v/>
      </c>
      <c r="C1539">
        <f>IF($P1539="","",INDEX(상세표[부서],$P1539)&amp;"")</f>
        <v/>
      </c>
      <c r="D1539">
        <f>IF($P1539="","",INDEX(상세표[직위],$P1539)&amp;"")</f>
        <v/>
      </c>
      <c r="E1539">
        <f>IF($P1539="","",IF(ISNUMBER(INDEX(상세표[시작],$P1539)),TEXT(INDEX(상세표[시작],$P1539),"yyyy-mm-dd hh:mm"),INDEX(상세표[시작],$P1539)&amp;""))</f>
        <v/>
      </c>
      <c r="F1539">
        <f>IF($P1539="","",IF(ISNUMBER(INDEX(상세표[블록종료],$P1539)),TEXT(INDEX(상세표[블록종료],$P1539),"yyyy-mm-dd hh:mm"),INDEX(상세표[블록종료],$P1539)&amp;""))</f>
        <v/>
      </c>
      <c r="G1539">
        <f>IF($P1539="","",CHOOSE(WEEKDAY(INDEX(상세표[시작],$P1539)),"일","월","화","수","목","금","토"))</f>
        <v/>
      </c>
      <c r="H1539">
        <f>IF($P1539="","",INDEX(상세표[연속 시간],$P1539))</f>
        <v/>
      </c>
      <c r="I1539">
        <f>IF($P1539="","",INDEX(상세표[기록 수],$P1539))</f>
        <v/>
      </c>
      <c r="J1539">
        <f>IF($P1539="","",INDEX(상세표[블록 06~07시],$P1539))</f>
        <v/>
      </c>
      <c r="K1539">
        <f>IF($P1539="","",INDEX(상세표[블록 07~18시],$P1539))</f>
        <v/>
      </c>
      <c r="L1539">
        <f>IF($P1539="","",INDEX(상세표[블록 18~22시],$P1539))</f>
        <v/>
      </c>
      <c r="M1539">
        <f>IF($P1539="","",INDEX(상세표[블록 22~06시],$P1539))</f>
        <v/>
      </c>
      <c r="N1539">
        <f>IF($P1539="","",INDEX(상세표[주말·휴일 포함],$P1539)&amp;"")</f>
        <v/>
      </c>
      <c r="O1539">
        <f>IF($P1539="","",INDEX(상세표[월 넘김 포함],$P1539)&amp;"")</f>
        <v/>
      </c>
      <c r="P1539" s="4">
        <f>IFERROR(MATCH(1534,상세표[연속순번],0),"")</f>
        <v/>
      </c>
    </row>
    <row r="1540">
      <c r="A1540">
        <f>IF($P1540="","",INDEX(상세표[사번],$P1540)&amp;"")</f>
        <v/>
      </c>
      <c r="B1540">
        <f>IF($P1540="","",INDEX(상세표[성명],$P1540)&amp;"")</f>
        <v/>
      </c>
      <c r="C1540">
        <f>IF($P1540="","",INDEX(상세표[부서],$P1540)&amp;"")</f>
        <v/>
      </c>
      <c r="D1540">
        <f>IF($P1540="","",INDEX(상세표[직위],$P1540)&amp;"")</f>
        <v/>
      </c>
      <c r="E1540">
        <f>IF($P1540="","",IF(ISNUMBER(INDEX(상세표[시작],$P1540)),TEXT(INDEX(상세표[시작],$P1540),"yyyy-mm-dd hh:mm"),INDEX(상세표[시작],$P1540)&amp;""))</f>
        <v/>
      </c>
      <c r="F1540">
        <f>IF($P1540="","",IF(ISNUMBER(INDEX(상세표[블록종료],$P1540)),TEXT(INDEX(상세표[블록종료],$P1540),"yyyy-mm-dd hh:mm"),INDEX(상세표[블록종료],$P1540)&amp;""))</f>
        <v/>
      </c>
      <c r="G1540">
        <f>IF($P1540="","",CHOOSE(WEEKDAY(INDEX(상세표[시작],$P1540)),"일","월","화","수","목","금","토"))</f>
        <v/>
      </c>
      <c r="H1540">
        <f>IF($P1540="","",INDEX(상세표[연속 시간],$P1540))</f>
        <v/>
      </c>
      <c r="I1540">
        <f>IF($P1540="","",INDEX(상세표[기록 수],$P1540))</f>
        <v/>
      </c>
      <c r="J1540">
        <f>IF($P1540="","",INDEX(상세표[블록 06~07시],$P1540))</f>
        <v/>
      </c>
      <c r="K1540">
        <f>IF($P1540="","",INDEX(상세표[블록 07~18시],$P1540))</f>
        <v/>
      </c>
      <c r="L1540">
        <f>IF($P1540="","",INDEX(상세표[블록 18~22시],$P1540))</f>
        <v/>
      </c>
      <c r="M1540">
        <f>IF($P1540="","",INDEX(상세표[블록 22~06시],$P1540))</f>
        <v/>
      </c>
      <c r="N1540">
        <f>IF($P1540="","",INDEX(상세표[주말·휴일 포함],$P1540)&amp;"")</f>
        <v/>
      </c>
      <c r="O1540">
        <f>IF($P1540="","",INDEX(상세표[월 넘김 포함],$P1540)&amp;"")</f>
        <v/>
      </c>
      <c r="P1540" s="4">
        <f>IFERROR(MATCH(1535,상세표[연속순번],0),"")</f>
        <v/>
      </c>
    </row>
    <row r="1541">
      <c r="A1541">
        <f>IF($P1541="","",INDEX(상세표[사번],$P1541)&amp;"")</f>
        <v/>
      </c>
      <c r="B1541">
        <f>IF($P1541="","",INDEX(상세표[성명],$P1541)&amp;"")</f>
        <v/>
      </c>
      <c r="C1541">
        <f>IF($P1541="","",INDEX(상세표[부서],$P1541)&amp;"")</f>
        <v/>
      </c>
      <c r="D1541">
        <f>IF($P1541="","",INDEX(상세표[직위],$P1541)&amp;"")</f>
        <v/>
      </c>
      <c r="E1541">
        <f>IF($P1541="","",IF(ISNUMBER(INDEX(상세표[시작],$P1541)),TEXT(INDEX(상세표[시작],$P1541),"yyyy-mm-dd hh:mm"),INDEX(상세표[시작],$P1541)&amp;""))</f>
        <v/>
      </c>
      <c r="F1541">
        <f>IF($P1541="","",IF(ISNUMBER(INDEX(상세표[블록종료],$P1541)),TEXT(INDEX(상세표[블록종료],$P1541),"yyyy-mm-dd hh:mm"),INDEX(상세표[블록종료],$P1541)&amp;""))</f>
        <v/>
      </c>
      <c r="G1541">
        <f>IF($P1541="","",CHOOSE(WEEKDAY(INDEX(상세표[시작],$P1541)),"일","월","화","수","목","금","토"))</f>
        <v/>
      </c>
      <c r="H1541">
        <f>IF($P1541="","",INDEX(상세표[연속 시간],$P1541))</f>
        <v/>
      </c>
      <c r="I1541">
        <f>IF($P1541="","",INDEX(상세표[기록 수],$P1541))</f>
        <v/>
      </c>
      <c r="J1541">
        <f>IF($P1541="","",INDEX(상세표[블록 06~07시],$P1541))</f>
        <v/>
      </c>
      <c r="K1541">
        <f>IF($P1541="","",INDEX(상세표[블록 07~18시],$P1541))</f>
        <v/>
      </c>
      <c r="L1541">
        <f>IF($P1541="","",INDEX(상세표[블록 18~22시],$P1541))</f>
        <v/>
      </c>
      <c r="M1541">
        <f>IF($P1541="","",INDEX(상세표[블록 22~06시],$P1541))</f>
        <v/>
      </c>
      <c r="N1541">
        <f>IF($P1541="","",INDEX(상세표[주말·휴일 포함],$P1541)&amp;"")</f>
        <v/>
      </c>
      <c r="O1541">
        <f>IF($P1541="","",INDEX(상세표[월 넘김 포함],$P1541)&amp;"")</f>
        <v/>
      </c>
      <c r="P1541" s="4">
        <f>IFERROR(MATCH(1536,상세표[연속순번],0),"")</f>
        <v/>
      </c>
    </row>
    <row r="1542">
      <c r="A1542">
        <f>IF($P1542="","",INDEX(상세표[사번],$P1542)&amp;"")</f>
        <v/>
      </c>
      <c r="B1542">
        <f>IF($P1542="","",INDEX(상세표[성명],$P1542)&amp;"")</f>
        <v/>
      </c>
      <c r="C1542">
        <f>IF($P1542="","",INDEX(상세표[부서],$P1542)&amp;"")</f>
        <v/>
      </c>
      <c r="D1542">
        <f>IF($P1542="","",INDEX(상세표[직위],$P1542)&amp;"")</f>
        <v/>
      </c>
      <c r="E1542">
        <f>IF($P1542="","",IF(ISNUMBER(INDEX(상세표[시작],$P1542)),TEXT(INDEX(상세표[시작],$P1542),"yyyy-mm-dd hh:mm"),INDEX(상세표[시작],$P1542)&amp;""))</f>
        <v/>
      </c>
      <c r="F1542">
        <f>IF($P1542="","",IF(ISNUMBER(INDEX(상세표[블록종료],$P1542)),TEXT(INDEX(상세표[블록종료],$P1542),"yyyy-mm-dd hh:mm"),INDEX(상세표[블록종료],$P1542)&amp;""))</f>
        <v/>
      </c>
      <c r="G1542">
        <f>IF($P1542="","",CHOOSE(WEEKDAY(INDEX(상세표[시작],$P1542)),"일","월","화","수","목","금","토"))</f>
        <v/>
      </c>
      <c r="H1542">
        <f>IF($P1542="","",INDEX(상세표[연속 시간],$P1542))</f>
        <v/>
      </c>
      <c r="I1542">
        <f>IF($P1542="","",INDEX(상세표[기록 수],$P1542))</f>
        <v/>
      </c>
      <c r="J1542">
        <f>IF($P1542="","",INDEX(상세표[블록 06~07시],$P1542))</f>
        <v/>
      </c>
      <c r="K1542">
        <f>IF($P1542="","",INDEX(상세표[블록 07~18시],$P1542))</f>
        <v/>
      </c>
      <c r="L1542">
        <f>IF($P1542="","",INDEX(상세표[블록 18~22시],$P1542))</f>
        <v/>
      </c>
      <c r="M1542">
        <f>IF($P1542="","",INDEX(상세표[블록 22~06시],$P1542))</f>
        <v/>
      </c>
      <c r="N1542">
        <f>IF($P1542="","",INDEX(상세표[주말·휴일 포함],$P1542)&amp;"")</f>
        <v/>
      </c>
      <c r="O1542">
        <f>IF($P1542="","",INDEX(상세표[월 넘김 포함],$P1542)&amp;"")</f>
        <v/>
      </c>
      <c r="P1542" s="4">
        <f>IFERROR(MATCH(1537,상세표[연속순번],0),"")</f>
        <v/>
      </c>
    </row>
    <row r="1543">
      <c r="A1543">
        <f>IF($P1543="","",INDEX(상세표[사번],$P1543)&amp;"")</f>
        <v/>
      </c>
      <c r="B1543">
        <f>IF($P1543="","",INDEX(상세표[성명],$P1543)&amp;"")</f>
        <v/>
      </c>
      <c r="C1543">
        <f>IF($P1543="","",INDEX(상세표[부서],$P1543)&amp;"")</f>
        <v/>
      </c>
      <c r="D1543">
        <f>IF($P1543="","",INDEX(상세표[직위],$P1543)&amp;"")</f>
        <v/>
      </c>
      <c r="E1543">
        <f>IF($P1543="","",IF(ISNUMBER(INDEX(상세표[시작],$P1543)),TEXT(INDEX(상세표[시작],$P1543),"yyyy-mm-dd hh:mm"),INDEX(상세표[시작],$P1543)&amp;""))</f>
        <v/>
      </c>
      <c r="F1543">
        <f>IF($P1543="","",IF(ISNUMBER(INDEX(상세표[블록종료],$P1543)),TEXT(INDEX(상세표[블록종료],$P1543),"yyyy-mm-dd hh:mm"),INDEX(상세표[블록종료],$P1543)&amp;""))</f>
        <v/>
      </c>
      <c r="G1543">
        <f>IF($P1543="","",CHOOSE(WEEKDAY(INDEX(상세표[시작],$P1543)),"일","월","화","수","목","금","토"))</f>
        <v/>
      </c>
      <c r="H1543">
        <f>IF($P1543="","",INDEX(상세표[연속 시간],$P1543))</f>
        <v/>
      </c>
      <c r="I1543">
        <f>IF($P1543="","",INDEX(상세표[기록 수],$P1543))</f>
        <v/>
      </c>
      <c r="J1543">
        <f>IF($P1543="","",INDEX(상세표[블록 06~07시],$P1543))</f>
        <v/>
      </c>
      <c r="K1543">
        <f>IF($P1543="","",INDEX(상세표[블록 07~18시],$P1543))</f>
        <v/>
      </c>
      <c r="L1543">
        <f>IF($P1543="","",INDEX(상세표[블록 18~22시],$P1543))</f>
        <v/>
      </c>
      <c r="M1543">
        <f>IF($P1543="","",INDEX(상세표[블록 22~06시],$P1543))</f>
        <v/>
      </c>
      <c r="N1543">
        <f>IF($P1543="","",INDEX(상세표[주말·휴일 포함],$P1543)&amp;"")</f>
        <v/>
      </c>
      <c r="O1543">
        <f>IF($P1543="","",INDEX(상세표[월 넘김 포함],$P1543)&amp;"")</f>
        <v/>
      </c>
      <c r="P1543" s="4">
        <f>IFERROR(MATCH(1538,상세표[연속순번],0),"")</f>
        <v/>
      </c>
    </row>
    <row r="1544">
      <c r="A1544">
        <f>IF($P1544="","",INDEX(상세표[사번],$P1544)&amp;"")</f>
        <v/>
      </c>
      <c r="B1544">
        <f>IF($P1544="","",INDEX(상세표[성명],$P1544)&amp;"")</f>
        <v/>
      </c>
      <c r="C1544">
        <f>IF($P1544="","",INDEX(상세표[부서],$P1544)&amp;"")</f>
        <v/>
      </c>
      <c r="D1544">
        <f>IF($P1544="","",INDEX(상세표[직위],$P1544)&amp;"")</f>
        <v/>
      </c>
      <c r="E1544">
        <f>IF($P1544="","",IF(ISNUMBER(INDEX(상세표[시작],$P1544)),TEXT(INDEX(상세표[시작],$P1544),"yyyy-mm-dd hh:mm"),INDEX(상세표[시작],$P1544)&amp;""))</f>
        <v/>
      </c>
      <c r="F1544">
        <f>IF($P1544="","",IF(ISNUMBER(INDEX(상세표[블록종료],$P1544)),TEXT(INDEX(상세표[블록종료],$P1544),"yyyy-mm-dd hh:mm"),INDEX(상세표[블록종료],$P1544)&amp;""))</f>
        <v/>
      </c>
      <c r="G1544">
        <f>IF($P1544="","",CHOOSE(WEEKDAY(INDEX(상세표[시작],$P1544)),"일","월","화","수","목","금","토"))</f>
        <v/>
      </c>
      <c r="H1544">
        <f>IF($P1544="","",INDEX(상세표[연속 시간],$P1544))</f>
        <v/>
      </c>
      <c r="I1544">
        <f>IF($P1544="","",INDEX(상세표[기록 수],$P1544))</f>
        <v/>
      </c>
      <c r="J1544">
        <f>IF($P1544="","",INDEX(상세표[블록 06~07시],$P1544))</f>
        <v/>
      </c>
      <c r="K1544">
        <f>IF($P1544="","",INDEX(상세표[블록 07~18시],$P1544))</f>
        <v/>
      </c>
      <c r="L1544">
        <f>IF($P1544="","",INDEX(상세표[블록 18~22시],$P1544))</f>
        <v/>
      </c>
      <c r="M1544">
        <f>IF($P1544="","",INDEX(상세표[블록 22~06시],$P1544))</f>
        <v/>
      </c>
      <c r="N1544">
        <f>IF($P1544="","",INDEX(상세표[주말·휴일 포함],$P1544)&amp;"")</f>
        <v/>
      </c>
      <c r="O1544">
        <f>IF($P1544="","",INDEX(상세표[월 넘김 포함],$P1544)&amp;"")</f>
        <v/>
      </c>
      <c r="P1544" s="4">
        <f>IFERROR(MATCH(1539,상세표[연속순번],0),"")</f>
        <v/>
      </c>
    </row>
    <row r="1545">
      <c r="A1545">
        <f>IF($P1545="","",INDEX(상세표[사번],$P1545)&amp;"")</f>
        <v/>
      </c>
      <c r="B1545">
        <f>IF($P1545="","",INDEX(상세표[성명],$P1545)&amp;"")</f>
        <v/>
      </c>
      <c r="C1545">
        <f>IF($P1545="","",INDEX(상세표[부서],$P1545)&amp;"")</f>
        <v/>
      </c>
      <c r="D1545">
        <f>IF($P1545="","",INDEX(상세표[직위],$P1545)&amp;"")</f>
        <v/>
      </c>
      <c r="E1545">
        <f>IF($P1545="","",IF(ISNUMBER(INDEX(상세표[시작],$P1545)),TEXT(INDEX(상세표[시작],$P1545),"yyyy-mm-dd hh:mm"),INDEX(상세표[시작],$P1545)&amp;""))</f>
        <v/>
      </c>
      <c r="F1545">
        <f>IF($P1545="","",IF(ISNUMBER(INDEX(상세표[블록종료],$P1545)),TEXT(INDEX(상세표[블록종료],$P1545),"yyyy-mm-dd hh:mm"),INDEX(상세표[블록종료],$P1545)&amp;""))</f>
        <v/>
      </c>
      <c r="G1545">
        <f>IF($P1545="","",CHOOSE(WEEKDAY(INDEX(상세표[시작],$P1545)),"일","월","화","수","목","금","토"))</f>
        <v/>
      </c>
      <c r="H1545">
        <f>IF($P1545="","",INDEX(상세표[연속 시간],$P1545))</f>
        <v/>
      </c>
      <c r="I1545">
        <f>IF($P1545="","",INDEX(상세표[기록 수],$P1545))</f>
        <v/>
      </c>
      <c r="J1545">
        <f>IF($P1545="","",INDEX(상세표[블록 06~07시],$P1545))</f>
        <v/>
      </c>
      <c r="K1545">
        <f>IF($P1545="","",INDEX(상세표[블록 07~18시],$P1545))</f>
        <v/>
      </c>
      <c r="L1545">
        <f>IF($P1545="","",INDEX(상세표[블록 18~22시],$P1545))</f>
        <v/>
      </c>
      <c r="M1545">
        <f>IF($P1545="","",INDEX(상세표[블록 22~06시],$P1545))</f>
        <v/>
      </c>
      <c r="N1545">
        <f>IF($P1545="","",INDEX(상세표[주말·휴일 포함],$P1545)&amp;"")</f>
        <v/>
      </c>
      <c r="O1545">
        <f>IF($P1545="","",INDEX(상세표[월 넘김 포함],$P1545)&amp;"")</f>
        <v/>
      </c>
      <c r="P1545" s="4">
        <f>IFERROR(MATCH(1540,상세표[연속순번],0),"")</f>
        <v/>
      </c>
    </row>
    <row r="1546">
      <c r="A1546">
        <f>IF($P1546="","",INDEX(상세표[사번],$P1546)&amp;"")</f>
        <v/>
      </c>
      <c r="B1546">
        <f>IF($P1546="","",INDEX(상세표[성명],$P1546)&amp;"")</f>
        <v/>
      </c>
      <c r="C1546">
        <f>IF($P1546="","",INDEX(상세표[부서],$P1546)&amp;"")</f>
        <v/>
      </c>
      <c r="D1546">
        <f>IF($P1546="","",INDEX(상세표[직위],$P1546)&amp;"")</f>
        <v/>
      </c>
      <c r="E1546">
        <f>IF($P1546="","",IF(ISNUMBER(INDEX(상세표[시작],$P1546)),TEXT(INDEX(상세표[시작],$P1546),"yyyy-mm-dd hh:mm"),INDEX(상세표[시작],$P1546)&amp;""))</f>
        <v/>
      </c>
      <c r="F1546">
        <f>IF($P1546="","",IF(ISNUMBER(INDEX(상세표[블록종료],$P1546)),TEXT(INDEX(상세표[블록종료],$P1546),"yyyy-mm-dd hh:mm"),INDEX(상세표[블록종료],$P1546)&amp;""))</f>
        <v/>
      </c>
      <c r="G1546">
        <f>IF($P1546="","",CHOOSE(WEEKDAY(INDEX(상세표[시작],$P1546)),"일","월","화","수","목","금","토"))</f>
        <v/>
      </c>
      <c r="H1546">
        <f>IF($P1546="","",INDEX(상세표[연속 시간],$P1546))</f>
        <v/>
      </c>
      <c r="I1546">
        <f>IF($P1546="","",INDEX(상세표[기록 수],$P1546))</f>
        <v/>
      </c>
      <c r="J1546">
        <f>IF($P1546="","",INDEX(상세표[블록 06~07시],$P1546))</f>
        <v/>
      </c>
      <c r="K1546">
        <f>IF($P1546="","",INDEX(상세표[블록 07~18시],$P1546))</f>
        <v/>
      </c>
      <c r="L1546">
        <f>IF($P1546="","",INDEX(상세표[블록 18~22시],$P1546))</f>
        <v/>
      </c>
      <c r="M1546">
        <f>IF($P1546="","",INDEX(상세표[블록 22~06시],$P1546))</f>
        <v/>
      </c>
      <c r="N1546">
        <f>IF($P1546="","",INDEX(상세표[주말·휴일 포함],$P1546)&amp;"")</f>
        <v/>
      </c>
      <c r="O1546">
        <f>IF($P1546="","",INDEX(상세표[월 넘김 포함],$P1546)&amp;"")</f>
        <v/>
      </c>
      <c r="P1546" s="4">
        <f>IFERROR(MATCH(1541,상세표[연속순번],0),"")</f>
        <v/>
      </c>
    </row>
    <row r="1547">
      <c r="A1547">
        <f>IF($P1547="","",INDEX(상세표[사번],$P1547)&amp;"")</f>
        <v/>
      </c>
      <c r="B1547">
        <f>IF($P1547="","",INDEX(상세표[성명],$P1547)&amp;"")</f>
        <v/>
      </c>
      <c r="C1547">
        <f>IF($P1547="","",INDEX(상세표[부서],$P1547)&amp;"")</f>
        <v/>
      </c>
      <c r="D1547">
        <f>IF($P1547="","",INDEX(상세표[직위],$P1547)&amp;"")</f>
        <v/>
      </c>
      <c r="E1547">
        <f>IF($P1547="","",IF(ISNUMBER(INDEX(상세표[시작],$P1547)),TEXT(INDEX(상세표[시작],$P1547),"yyyy-mm-dd hh:mm"),INDEX(상세표[시작],$P1547)&amp;""))</f>
        <v/>
      </c>
      <c r="F1547">
        <f>IF($P1547="","",IF(ISNUMBER(INDEX(상세표[블록종료],$P1547)),TEXT(INDEX(상세표[블록종료],$P1547),"yyyy-mm-dd hh:mm"),INDEX(상세표[블록종료],$P1547)&amp;""))</f>
        <v/>
      </c>
      <c r="G1547">
        <f>IF($P1547="","",CHOOSE(WEEKDAY(INDEX(상세표[시작],$P1547)),"일","월","화","수","목","금","토"))</f>
        <v/>
      </c>
      <c r="H1547">
        <f>IF($P1547="","",INDEX(상세표[연속 시간],$P1547))</f>
        <v/>
      </c>
      <c r="I1547">
        <f>IF($P1547="","",INDEX(상세표[기록 수],$P1547))</f>
        <v/>
      </c>
      <c r="J1547">
        <f>IF($P1547="","",INDEX(상세표[블록 06~07시],$P1547))</f>
        <v/>
      </c>
      <c r="K1547">
        <f>IF($P1547="","",INDEX(상세표[블록 07~18시],$P1547))</f>
        <v/>
      </c>
      <c r="L1547">
        <f>IF($P1547="","",INDEX(상세표[블록 18~22시],$P1547))</f>
        <v/>
      </c>
      <c r="M1547">
        <f>IF($P1547="","",INDEX(상세표[블록 22~06시],$P1547))</f>
        <v/>
      </c>
      <c r="N1547">
        <f>IF($P1547="","",INDEX(상세표[주말·휴일 포함],$P1547)&amp;"")</f>
        <v/>
      </c>
      <c r="O1547">
        <f>IF($P1547="","",INDEX(상세표[월 넘김 포함],$P1547)&amp;"")</f>
        <v/>
      </c>
      <c r="P1547" s="4">
        <f>IFERROR(MATCH(1542,상세표[연속순번],0),"")</f>
        <v/>
      </c>
    </row>
    <row r="1548">
      <c r="A1548">
        <f>IF($P1548="","",INDEX(상세표[사번],$P1548)&amp;"")</f>
        <v/>
      </c>
      <c r="B1548">
        <f>IF($P1548="","",INDEX(상세표[성명],$P1548)&amp;"")</f>
        <v/>
      </c>
      <c r="C1548">
        <f>IF($P1548="","",INDEX(상세표[부서],$P1548)&amp;"")</f>
        <v/>
      </c>
      <c r="D1548">
        <f>IF($P1548="","",INDEX(상세표[직위],$P1548)&amp;"")</f>
        <v/>
      </c>
      <c r="E1548">
        <f>IF($P1548="","",IF(ISNUMBER(INDEX(상세표[시작],$P1548)),TEXT(INDEX(상세표[시작],$P1548),"yyyy-mm-dd hh:mm"),INDEX(상세표[시작],$P1548)&amp;""))</f>
        <v/>
      </c>
      <c r="F1548">
        <f>IF($P1548="","",IF(ISNUMBER(INDEX(상세표[블록종료],$P1548)),TEXT(INDEX(상세표[블록종료],$P1548),"yyyy-mm-dd hh:mm"),INDEX(상세표[블록종료],$P1548)&amp;""))</f>
        <v/>
      </c>
      <c r="G1548">
        <f>IF($P1548="","",CHOOSE(WEEKDAY(INDEX(상세표[시작],$P1548)),"일","월","화","수","목","금","토"))</f>
        <v/>
      </c>
      <c r="H1548">
        <f>IF($P1548="","",INDEX(상세표[연속 시간],$P1548))</f>
        <v/>
      </c>
      <c r="I1548">
        <f>IF($P1548="","",INDEX(상세표[기록 수],$P1548))</f>
        <v/>
      </c>
      <c r="J1548">
        <f>IF($P1548="","",INDEX(상세표[블록 06~07시],$P1548))</f>
        <v/>
      </c>
      <c r="K1548">
        <f>IF($P1548="","",INDEX(상세표[블록 07~18시],$P1548))</f>
        <v/>
      </c>
      <c r="L1548">
        <f>IF($P1548="","",INDEX(상세표[블록 18~22시],$P1548))</f>
        <v/>
      </c>
      <c r="M1548">
        <f>IF($P1548="","",INDEX(상세표[블록 22~06시],$P1548))</f>
        <v/>
      </c>
      <c r="N1548">
        <f>IF($P1548="","",INDEX(상세표[주말·휴일 포함],$P1548)&amp;"")</f>
        <v/>
      </c>
      <c r="O1548">
        <f>IF($P1548="","",INDEX(상세표[월 넘김 포함],$P1548)&amp;"")</f>
        <v/>
      </c>
      <c r="P1548" s="4">
        <f>IFERROR(MATCH(1543,상세표[연속순번],0),"")</f>
        <v/>
      </c>
    </row>
    <row r="1549">
      <c r="A1549">
        <f>IF($P1549="","",INDEX(상세표[사번],$P1549)&amp;"")</f>
        <v/>
      </c>
      <c r="B1549">
        <f>IF($P1549="","",INDEX(상세표[성명],$P1549)&amp;"")</f>
        <v/>
      </c>
      <c r="C1549">
        <f>IF($P1549="","",INDEX(상세표[부서],$P1549)&amp;"")</f>
        <v/>
      </c>
      <c r="D1549">
        <f>IF($P1549="","",INDEX(상세표[직위],$P1549)&amp;"")</f>
        <v/>
      </c>
      <c r="E1549">
        <f>IF($P1549="","",IF(ISNUMBER(INDEX(상세표[시작],$P1549)),TEXT(INDEX(상세표[시작],$P1549),"yyyy-mm-dd hh:mm"),INDEX(상세표[시작],$P1549)&amp;""))</f>
        <v/>
      </c>
      <c r="F1549">
        <f>IF($P1549="","",IF(ISNUMBER(INDEX(상세표[블록종료],$P1549)),TEXT(INDEX(상세표[블록종료],$P1549),"yyyy-mm-dd hh:mm"),INDEX(상세표[블록종료],$P1549)&amp;""))</f>
        <v/>
      </c>
      <c r="G1549">
        <f>IF($P1549="","",CHOOSE(WEEKDAY(INDEX(상세표[시작],$P1549)),"일","월","화","수","목","금","토"))</f>
        <v/>
      </c>
      <c r="H1549">
        <f>IF($P1549="","",INDEX(상세표[연속 시간],$P1549))</f>
        <v/>
      </c>
      <c r="I1549">
        <f>IF($P1549="","",INDEX(상세표[기록 수],$P1549))</f>
        <v/>
      </c>
      <c r="J1549">
        <f>IF($P1549="","",INDEX(상세표[블록 06~07시],$P1549))</f>
        <v/>
      </c>
      <c r="K1549">
        <f>IF($P1549="","",INDEX(상세표[블록 07~18시],$P1549))</f>
        <v/>
      </c>
      <c r="L1549">
        <f>IF($P1549="","",INDEX(상세표[블록 18~22시],$P1549))</f>
        <v/>
      </c>
      <c r="M1549">
        <f>IF($P1549="","",INDEX(상세표[블록 22~06시],$P1549))</f>
        <v/>
      </c>
      <c r="N1549">
        <f>IF($P1549="","",INDEX(상세표[주말·휴일 포함],$P1549)&amp;"")</f>
        <v/>
      </c>
      <c r="O1549">
        <f>IF($P1549="","",INDEX(상세표[월 넘김 포함],$P1549)&amp;"")</f>
        <v/>
      </c>
      <c r="P1549" s="4">
        <f>IFERROR(MATCH(1544,상세표[연속순번],0),"")</f>
        <v/>
      </c>
    </row>
    <row r="1550">
      <c r="A1550">
        <f>IF($P1550="","",INDEX(상세표[사번],$P1550)&amp;"")</f>
        <v/>
      </c>
      <c r="B1550">
        <f>IF($P1550="","",INDEX(상세표[성명],$P1550)&amp;"")</f>
        <v/>
      </c>
      <c r="C1550">
        <f>IF($P1550="","",INDEX(상세표[부서],$P1550)&amp;"")</f>
        <v/>
      </c>
      <c r="D1550">
        <f>IF($P1550="","",INDEX(상세표[직위],$P1550)&amp;"")</f>
        <v/>
      </c>
      <c r="E1550">
        <f>IF($P1550="","",IF(ISNUMBER(INDEX(상세표[시작],$P1550)),TEXT(INDEX(상세표[시작],$P1550),"yyyy-mm-dd hh:mm"),INDEX(상세표[시작],$P1550)&amp;""))</f>
        <v/>
      </c>
      <c r="F1550">
        <f>IF($P1550="","",IF(ISNUMBER(INDEX(상세표[블록종료],$P1550)),TEXT(INDEX(상세표[블록종료],$P1550),"yyyy-mm-dd hh:mm"),INDEX(상세표[블록종료],$P1550)&amp;""))</f>
        <v/>
      </c>
      <c r="G1550">
        <f>IF($P1550="","",CHOOSE(WEEKDAY(INDEX(상세표[시작],$P1550)),"일","월","화","수","목","금","토"))</f>
        <v/>
      </c>
      <c r="H1550">
        <f>IF($P1550="","",INDEX(상세표[연속 시간],$P1550))</f>
        <v/>
      </c>
      <c r="I1550">
        <f>IF($P1550="","",INDEX(상세표[기록 수],$P1550))</f>
        <v/>
      </c>
      <c r="J1550">
        <f>IF($P1550="","",INDEX(상세표[블록 06~07시],$P1550))</f>
        <v/>
      </c>
      <c r="K1550">
        <f>IF($P1550="","",INDEX(상세표[블록 07~18시],$P1550))</f>
        <v/>
      </c>
      <c r="L1550">
        <f>IF($P1550="","",INDEX(상세표[블록 18~22시],$P1550))</f>
        <v/>
      </c>
      <c r="M1550">
        <f>IF($P1550="","",INDEX(상세표[블록 22~06시],$P1550))</f>
        <v/>
      </c>
      <c r="N1550">
        <f>IF($P1550="","",INDEX(상세표[주말·휴일 포함],$P1550)&amp;"")</f>
        <v/>
      </c>
      <c r="O1550">
        <f>IF($P1550="","",INDEX(상세표[월 넘김 포함],$P1550)&amp;"")</f>
        <v/>
      </c>
      <c r="P1550" s="4">
        <f>IFERROR(MATCH(1545,상세표[연속순번],0),"")</f>
        <v/>
      </c>
    </row>
    <row r="1551">
      <c r="A1551">
        <f>IF($P1551="","",INDEX(상세표[사번],$P1551)&amp;"")</f>
        <v/>
      </c>
      <c r="B1551">
        <f>IF($P1551="","",INDEX(상세표[성명],$P1551)&amp;"")</f>
        <v/>
      </c>
      <c r="C1551">
        <f>IF($P1551="","",INDEX(상세표[부서],$P1551)&amp;"")</f>
        <v/>
      </c>
      <c r="D1551">
        <f>IF($P1551="","",INDEX(상세표[직위],$P1551)&amp;"")</f>
        <v/>
      </c>
      <c r="E1551">
        <f>IF($P1551="","",IF(ISNUMBER(INDEX(상세표[시작],$P1551)),TEXT(INDEX(상세표[시작],$P1551),"yyyy-mm-dd hh:mm"),INDEX(상세표[시작],$P1551)&amp;""))</f>
        <v/>
      </c>
      <c r="F1551">
        <f>IF($P1551="","",IF(ISNUMBER(INDEX(상세표[블록종료],$P1551)),TEXT(INDEX(상세표[블록종료],$P1551),"yyyy-mm-dd hh:mm"),INDEX(상세표[블록종료],$P1551)&amp;""))</f>
        <v/>
      </c>
      <c r="G1551">
        <f>IF($P1551="","",CHOOSE(WEEKDAY(INDEX(상세표[시작],$P1551)),"일","월","화","수","목","금","토"))</f>
        <v/>
      </c>
      <c r="H1551">
        <f>IF($P1551="","",INDEX(상세표[연속 시간],$P1551))</f>
        <v/>
      </c>
      <c r="I1551">
        <f>IF($P1551="","",INDEX(상세표[기록 수],$P1551))</f>
        <v/>
      </c>
      <c r="J1551">
        <f>IF($P1551="","",INDEX(상세표[블록 06~07시],$P1551))</f>
        <v/>
      </c>
      <c r="K1551">
        <f>IF($P1551="","",INDEX(상세표[블록 07~18시],$P1551))</f>
        <v/>
      </c>
      <c r="L1551">
        <f>IF($P1551="","",INDEX(상세표[블록 18~22시],$P1551))</f>
        <v/>
      </c>
      <c r="M1551">
        <f>IF($P1551="","",INDEX(상세표[블록 22~06시],$P1551))</f>
        <v/>
      </c>
      <c r="N1551">
        <f>IF($P1551="","",INDEX(상세표[주말·휴일 포함],$P1551)&amp;"")</f>
        <v/>
      </c>
      <c r="O1551">
        <f>IF($P1551="","",INDEX(상세표[월 넘김 포함],$P1551)&amp;"")</f>
        <v/>
      </c>
      <c r="P1551" s="4">
        <f>IFERROR(MATCH(1546,상세표[연속순번],0),"")</f>
        <v/>
      </c>
    </row>
    <row r="1552">
      <c r="A1552">
        <f>IF($P1552="","",INDEX(상세표[사번],$P1552)&amp;"")</f>
        <v/>
      </c>
      <c r="B1552">
        <f>IF($P1552="","",INDEX(상세표[성명],$P1552)&amp;"")</f>
        <v/>
      </c>
      <c r="C1552">
        <f>IF($P1552="","",INDEX(상세표[부서],$P1552)&amp;"")</f>
        <v/>
      </c>
      <c r="D1552">
        <f>IF($P1552="","",INDEX(상세표[직위],$P1552)&amp;"")</f>
        <v/>
      </c>
      <c r="E1552">
        <f>IF($P1552="","",IF(ISNUMBER(INDEX(상세표[시작],$P1552)),TEXT(INDEX(상세표[시작],$P1552),"yyyy-mm-dd hh:mm"),INDEX(상세표[시작],$P1552)&amp;""))</f>
        <v/>
      </c>
      <c r="F1552">
        <f>IF($P1552="","",IF(ISNUMBER(INDEX(상세표[블록종료],$P1552)),TEXT(INDEX(상세표[블록종료],$P1552),"yyyy-mm-dd hh:mm"),INDEX(상세표[블록종료],$P1552)&amp;""))</f>
        <v/>
      </c>
      <c r="G1552">
        <f>IF($P1552="","",CHOOSE(WEEKDAY(INDEX(상세표[시작],$P1552)),"일","월","화","수","목","금","토"))</f>
        <v/>
      </c>
      <c r="H1552">
        <f>IF($P1552="","",INDEX(상세표[연속 시간],$P1552))</f>
        <v/>
      </c>
      <c r="I1552">
        <f>IF($P1552="","",INDEX(상세표[기록 수],$P1552))</f>
        <v/>
      </c>
      <c r="J1552">
        <f>IF($P1552="","",INDEX(상세표[블록 06~07시],$P1552))</f>
        <v/>
      </c>
      <c r="K1552">
        <f>IF($P1552="","",INDEX(상세표[블록 07~18시],$P1552))</f>
        <v/>
      </c>
      <c r="L1552">
        <f>IF($P1552="","",INDEX(상세표[블록 18~22시],$P1552))</f>
        <v/>
      </c>
      <c r="M1552">
        <f>IF($P1552="","",INDEX(상세표[블록 22~06시],$P1552))</f>
        <v/>
      </c>
      <c r="N1552">
        <f>IF($P1552="","",INDEX(상세표[주말·휴일 포함],$P1552)&amp;"")</f>
        <v/>
      </c>
      <c r="O1552">
        <f>IF($P1552="","",INDEX(상세표[월 넘김 포함],$P1552)&amp;"")</f>
        <v/>
      </c>
      <c r="P1552" s="4">
        <f>IFERROR(MATCH(1547,상세표[연속순번],0),"")</f>
        <v/>
      </c>
    </row>
    <row r="1553">
      <c r="A1553">
        <f>IF($P1553="","",INDEX(상세표[사번],$P1553)&amp;"")</f>
        <v/>
      </c>
      <c r="B1553">
        <f>IF($P1553="","",INDEX(상세표[성명],$P1553)&amp;"")</f>
        <v/>
      </c>
      <c r="C1553">
        <f>IF($P1553="","",INDEX(상세표[부서],$P1553)&amp;"")</f>
        <v/>
      </c>
      <c r="D1553">
        <f>IF($P1553="","",INDEX(상세표[직위],$P1553)&amp;"")</f>
        <v/>
      </c>
      <c r="E1553">
        <f>IF($P1553="","",IF(ISNUMBER(INDEX(상세표[시작],$P1553)),TEXT(INDEX(상세표[시작],$P1553),"yyyy-mm-dd hh:mm"),INDEX(상세표[시작],$P1553)&amp;""))</f>
        <v/>
      </c>
      <c r="F1553">
        <f>IF($P1553="","",IF(ISNUMBER(INDEX(상세표[블록종료],$P1553)),TEXT(INDEX(상세표[블록종료],$P1553),"yyyy-mm-dd hh:mm"),INDEX(상세표[블록종료],$P1553)&amp;""))</f>
        <v/>
      </c>
      <c r="G1553">
        <f>IF($P1553="","",CHOOSE(WEEKDAY(INDEX(상세표[시작],$P1553)),"일","월","화","수","목","금","토"))</f>
        <v/>
      </c>
      <c r="H1553">
        <f>IF($P1553="","",INDEX(상세표[연속 시간],$P1553))</f>
        <v/>
      </c>
      <c r="I1553">
        <f>IF($P1553="","",INDEX(상세표[기록 수],$P1553))</f>
        <v/>
      </c>
      <c r="J1553">
        <f>IF($P1553="","",INDEX(상세표[블록 06~07시],$P1553))</f>
        <v/>
      </c>
      <c r="K1553">
        <f>IF($P1553="","",INDEX(상세표[블록 07~18시],$P1553))</f>
        <v/>
      </c>
      <c r="L1553">
        <f>IF($P1553="","",INDEX(상세표[블록 18~22시],$P1553))</f>
        <v/>
      </c>
      <c r="M1553">
        <f>IF($P1553="","",INDEX(상세표[블록 22~06시],$P1553))</f>
        <v/>
      </c>
      <c r="N1553">
        <f>IF($P1553="","",INDEX(상세표[주말·휴일 포함],$P1553)&amp;"")</f>
        <v/>
      </c>
      <c r="O1553">
        <f>IF($P1553="","",INDEX(상세표[월 넘김 포함],$P1553)&amp;"")</f>
        <v/>
      </c>
      <c r="P1553" s="4">
        <f>IFERROR(MATCH(1548,상세표[연속순번],0),"")</f>
        <v/>
      </c>
    </row>
    <row r="1554">
      <c r="A1554">
        <f>IF($P1554="","",INDEX(상세표[사번],$P1554)&amp;"")</f>
        <v/>
      </c>
      <c r="B1554">
        <f>IF($P1554="","",INDEX(상세표[성명],$P1554)&amp;"")</f>
        <v/>
      </c>
      <c r="C1554">
        <f>IF($P1554="","",INDEX(상세표[부서],$P1554)&amp;"")</f>
        <v/>
      </c>
      <c r="D1554">
        <f>IF($P1554="","",INDEX(상세표[직위],$P1554)&amp;"")</f>
        <v/>
      </c>
      <c r="E1554">
        <f>IF($P1554="","",IF(ISNUMBER(INDEX(상세표[시작],$P1554)),TEXT(INDEX(상세표[시작],$P1554),"yyyy-mm-dd hh:mm"),INDEX(상세표[시작],$P1554)&amp;""))</f>
        <v/>
      </c>
      <c r="F1554">
        <f>IF($P1554="","",IF(ISNUMBER(INDEX(상세표[블록종료],$P1554)),TEXT(INDEX(상세표[블록종료],$P1554),"yyyy-mm-dd hh:mm"),INDEX(상세표[블록종료],$P1554)&amp;""))</f>
        <v/>
      </c>
      <c r="G1554">
        <f>IF($P1554="","",CHOOSE(WEEKDAY(INDEX(상세표[시작],$P1554)),"일","월","화","수","목","금","토"))</f>
        <v/>
      </c>
      <c r="H1554">
        <f>IF($P1554="","",INDEX(상세표[연속 시간],$P1554))</f>
        <v/>
      </c>
      <c r="I1554">
        <f>IF($P1554="","",INDEX(상세표[기록 수],$P1554))</f>
        <v/>
      </c>
      <c r="J1554">
        <f>IF($P1554="","",INDEX(상세표[블록 06~07시],$P1554))</f>
        <v/>
      </c>
      <c r="K1554">
        <f>IF($P1554="","",INDEX(상세표[블록 07~18시],$P1554))</f>
        <v/>
      </c>
      <c r="L1554">
        <f>IF($P1554="","",INDEX(상세표[블록 18~22시],$P1554))</f>
        <v/>
      </c>
      <c r="M1554">
        <f>IF($P1554="","",INDEX(상세표[블록 22~06시],$P1554))</f>
        <v/>
      </c>
      <c r="N1554">
        <f>IF($P1554="","",INDEX(상세표[주말·휴일 포함],$P1554)&amp;"")</f>
        <v/>
      </c>
      <c r="O1554">
        <f>IF($P1554="","",INDEX(상세표[월 넘김 포함],$P1554)&amp;"")</f>
        <v/>
      </c>
      <c r="P1554" s="4">
        <f>IFERROR(MATCH(1549,상세표[연속순번],0),"")</f>
        <v/>
      </c>
    </row>
    <row r="1555">
      <c r="A1555">
        <f>IF($P1555="","",INDEX(상세표[사번],$P1555)&amp;"")</f>
        <v/>
      </c>
      <c r="B1555">
        <f>IF($P1555="","",INDEX(상세표[성명],$P1555)&amp;"")</f>
        <v/>
      </c>
      <c r="C1555">
        <f>IF($P1555="","",INDEX(상세표[부서],$P1555)&amp;"")</f>
        <v/>
      </c>
      <c r="D1555">
        <f>IF($P1555="","",INDEX(상세표[직위],$P1555)&amp;"")</f>
        <v/>
      </c>
      <c r="E1555">
        <f>IF($P1555="","",IF(ISNUMBER(INDEX(상세표[시작],$P1555)),TEXT(INDEX(상세표[시작],$P1555),"yyyy-mm-dd hh:mm"),INDEX(상세표[시작],$P1555)&amp;""))</f>
        <v/>
      </c>
      <c r="F1555">
        <f>IF($P1555="","",IF(ISNUMBER(INDEX(상세표[블록종료],$P1555)),TEXT(INDEX(상세표[블록종료],$P1555),"yyyy-mm-dd hh:mm"),INDEX(상세표[블록종료],$P1555)&amp;""))</f>
        <v/>
      </c>
      <c r="G1555">
        <f>IF($P1555="","",CHOOSE(WEEKDAY(INDEX(상세표[시작],$P1555)),"일","월","화","수","목","금","토"))</f>
        <v/>
      </c>
      <c r="H1555">
        <f>IF($P1555="","",INDEX(상세표[연속 시간],$P1555))</f>
        <v/>
      </c>
      <c r="I1555">
        <f>IF($P1555="","",INDEX(상세표[기록 수],$P1555))</f>
        <v/>
      </c>
      <c r="J1555">
        <f>IF($P1555="","",INDEX(상세표[블록 06~07시],$P1555))</f>
        <v/>
      </c>
      <c r="K1555">
        <f>IF($P1555="","",INDEX(상세표[블록 07~18시],$P1555))</f>
        <v/>
      </c>
      <c r="L1555">
        <f>IF($P1555="","",INDEX(상세표[블록 18~22시],$P1555))</f>
        <v/>
      </c>
      <c r="M1555">
        <f>IF($P1555="","",INDEX(상세표[블록 22~06시],$P1555))</f>
        <v/>
      </c>
      <c r="N1555">
        <f>IF($P1555="","",INDEX(상세표[주말·휴일 포함],$P1555)&amp;"")</f>
        <v/>
      </c>
      <c r="O1555">
        <f>IF($P1555="","",INDEX(상세표[월 넘김 포함],$P1555)&amp;"")</f>
        <v/>
      </c>
      <c r="P1555" s="4">
        <f>IFERROR(MATCH(1550,상세표[연속순번],0),"")</f>
        <v/>
      </c>
    </row>
    <row r="1556">
      <c r="A1556">
        <f>IF($P1556="","",INDEX(상세표[사번],$P1556)&amp;"")</f>
        <v/>
      </c>
      <c r="B1556">
        <f>IF($P1556="","",INDEX(상세표[성명],$P1556)&amp;"")</f>
        <v/>
      </c>
      <c r="C1556">
        <f>IF($P1556="","",INDEX(상세표[부서],$P1556)&amp;"")</f>
        <v/>
      </c>
      <c r="D1556">
        <f>IF($P1556="","",INDEX(상세표[직위],$P1556)&amp;"")</f>
        <v/>
      </c>
      <c r="E1556">
        <f>IF($P1556="","",IF(ISNUMBER(INDEX(상세표[시작],$P1556)),TEXT(INDEX(상세표[시작],$P1556),"yyyy-mm-dd hh:mm"),INDEX(상세표[시작],$P1556)&amp;""))</f>
        <v/>
      </c>
      <c r="F1556">
        <f>IF($P1556="","",IF(ISNUMBER(INDEX(상세표[블록종료],$P1556)),TEXT(INDEX(상세표[블록종료],$P1556),"yyyy-mm-dd hh:mm"),INDEX(상세표[블록종료],$P1556)&amp;""))</f>
        <v/>
      </c>
      <c r="G1556">
        <f>IF($P1556="","",CHOOSE(WEEKDAY(INDEX(상세표[시작],$P1556)),"일","월","화","수","목","금","토"))</f>
        <v/>
      </c>
      <c r="H1556">
        <f>IF($P1556="","",INDEX(상세표[연속 시간],$P1556))</f>
        <v/>
      </c>
      <c r="I1556">
        <f>IF($P1556="","",INDEX(상세표[기록 수],$P1556))</f>
        <v/>
      </c>
      <c r="J1556">
        <f>IF($P1556="","",INDEX(상세표[블록 06~07시],$P1556))</f>
        <v/>
      </c>
      <c r="K1556">
        <f>IF($P1556="","",INDEX(상세표[블록 07~18시],$P1556))</f>
        <v/>
      </c>
      <c r="L1556">
        <f>IF($P1556="","",INDEX(상세표[블록 18~22시],$P1556))</f>
        <v/>
      </c>
      <c r="M1556">
        <f>IF($P1556="","",INDEX(상세표[블록 22~06시],$P1556))</f>
        <v/>
      </c>
      <c r="N1556">
        <f>IF($P1556="","",INDEX(상세표[주말·휴일 포함],$P1556)&amp;"")</f>
        <v/>
      </c>
      <c r="O1556">
        <f>IF($P1556="","",INDEX(상세표[월 넘김 포함],$P1556)&amp;"")</f>
        <v/>
      </c>
      <c r="P1556" s="4">
        <f>IFERROR(MATCH(1551,상세표[연속순번],0),"")</f>
        <v/>
      </c>
    </row>
    <row r="1557">
      <c r="A1557">
        <f>IF($P1557="","",INDEX(상세표[사번],$P1557)&amp;"")</f>
        <v/>
      </c>
      <c r="B1557">
        <f>IF($P1557="","",INDEX(상세표[성명],$P1557)&amp;"")</f>
        <v/>
      </c>
      <c r="C1557">
        <f>IF($P1557="","",INDEX(상세표[부서],$P1557)&amp;"")</f>
        <v/>
      </c>
      <c r="D1557">
        <f>IF($P1557="","",INDEX(상세표[직위],$P1557)&amp;"")</f>
        <v/>
      </c>
      <c r="E1557">
        <f>IF($P1557="","",IF(ISNUMBER(INDEX(상세표[시작],$P1557)),TEXT(INDEX(상세표[시작],$P1557),"yyyy-mm-dd hh:mm"),INDEX(상세표[시작],$P1557)&amp;""))</f>
        <v/>
      </c>
      <c r="F1557">
        <f>IF($P1557="","",IF(ISNUMBER(INDEX(상세표[블록종료],$P1557)),TEXT(INDEX(상세표[블록종료],$P1557),"yyyy-mm-dd hh:mm"),INDEX(상세표[블록종료],$P1557)&amp;""))</f>
        <v/>
      </c>
      <c r="G1557">
        <f>IF($P1557="","",CHOOSE(WEEKDAY(INDEX(상세표[시작],$P1557)),"일","월","화","수","목","금","토"))</f>
        <v/>
      </c>
      <c r="H1557">
        <f>IF($P1557="","",INDEX(상세표[연속 시간],$P1557))</f>
        <v/>
      </c>
      <c r="I1557">
        <f>IF($P1557="","",INDEX(상세표[기록 수],$P1557))</f>
        <v/>
      </c>
      <c r="J1557">
        <f>IF($P1557="","",INDEX(상세표[블록 06~07시],$P1557))</f>
        <v/>
      </c>
      <c r="K1557">
        <f>IF($P1557="","",INDEX(상세표[블록 07~18시],$P1557))</f>
        <v/>
      </c>
      <c r="L1557">
        <f>IF($P1557="","",INDEX(상세표[블록 18~22시],$P1557))</f>
        <v/>
      </c>
      <c r="M1557">
        <f>IF($P1557="","",INDEX(상세표[블록 22~06시],$P1557))</f>
        <v/>
      </c>
      <c r="N1557">
        <f>IF($P1557="","",INDEX(상세표[주말·휴일 포함],$P1557)&amp;"")</f>
        <v/>
      </c>
      <c r="O1557">
        <f>IF($P1557="","",INDEX(상세표[월 넘김 포함],$P1557)&amp;"")</f>
        <v/>
      </c>
      <c r="P1557" s="4">
        <f>IFERROR(MATCH(1552,상세표[연속순번],0),"")</f>
        <v/>
      </c>
    </row>
    <row r="1558">
      <c r="A1558">
        <f>IF($P1558="","",INDEX(상세표[사번],$P1558)&amp;"")</f>
        <v/>
      </c>
      <c r="B1558">
        <f>IF($P1558="","",INDEX(상세표[성명],$P1558)&amp;"")</f>
        <v/>
      </c>
      <c r="C1558">
        <f>IF($P1558="","",INDEX(상세표[부서],$P1558)&amp;"")</f>
        <v/>
      </c>
      <c r="D1558">
        <f>IF($P1558="","",INDEX(상세표[직위],$P1558)&amp;"")</f>
        <v/>
      </c>
      <c r="E1558">
        <f>IF($P1558="","",IF(ISNUMBER(INDEX(상세표[시작],$P1558)),TEXT(INDEX(상세표[시작],$P1558),"yyyy-mm-dd hh:mm"),INDEX(상세표[시작],$P1558)&amp;""))</f>
        <v/>
      </c>
      <c r="F1558">
        <f>IF($P1558="","",IF(ISNUMBER(INDEX(상세표[블록종료],$P1558)),TEXT(INDEX(상세표[블록종료],$P1558),"yyyy-mm-dd hh:mm"),INDEX(상세표[블록종료],$P1558)&amp;""))</f>
        <v/>
      </c>
      <c r="G1558">
        <f>IF($P1558="","",CHOOSE(WEEKDAY(INDEX(상세표[시작],$P1558)),"일","월","화","수","목","금","토"))</f>
        <v/>
      </c>
      <c r="H1558">
        <f>IF($P1558="","",INDEX(상세표[연속 시간],$P1558))</f>
        <v/>
      </c>
      <c r="I1558">
        <f>IF($P1558="","",INDEX(상세표[기록 수],$P1558))</f>
        <v/>
      </c>
      <c r="J1558">
        <f>IF($P1558="","",INDEX(상세표[블록 06~07시],$P1558))</f>
        <v/>
      </c>
      <c r="K1558">
        <f>IF($P1558="","",INDEX(상세표[블록 07~18시],$P1558))</f>
        <v/>
      </c>
      <c r="L1558">
        <f>IF($P1558="","",INDEX(상세표[블록 18~22시],$P1558))</f>
        <v/>
      </c>
      <c r="M1558">
        <f>IF($P1558="","",INDEX(상세표[블록 22~06시],$P1558))</f>
        <v/>
      </c>
      <c r="N1558">
        <f>IF($P1558="","",INDEX(상세표[주말·휴일 포함],$P1558)&amp;"")</f>
        <v/>
      </c>
      <c r="O1558">
        <f>IF($P1558="","",INDEX(상세표[월 넘김 포함],$P1558)&amp;"")</f>
        <v/>
      </c>
      <c r="P1558" s="4">
        <f>IFERROR(MATCH(1553,상세표[연속순번],0),"")</f>
        <v/>
      </c>
    </row>
    <row r="1559">
      <c r="A1559">
        <f>IF($P1559="","",INDEX(상세표[사번],$P1559)&amp;"")</f>
        <v/>
      </c>
      <c r="B1559">
        <f>IF($P1559="","",INDEX(상세표[성명],$P1559)&amp;"")</f>
        <v/>
      </c>
      <c r="C1559">
        <f>IF($P1559="","",INDEX(상세표[부서],$P1559)&amp;"")</f>
        <v/>
      </c>
      <c r="D1559">
        <f>IF($P1559="","",INDEX(상세표[직위],$P1559)&amp;"")</f>
        <v/>
      </c>
      <c r="E1559">
        <f>IF($P1559="","",IF(ISNUMBER(INDEX(상세표[시작],$P1559)),TEXT(INDEX(상세표[시작],$P1559),"yyyy-mm-dd hh:mm"),INDEX(상세표[시작],$P1559)&amp;""))</f>
        <v/>
      </c>
      <c r="F1559">
        <f>IF($P1559="","",IF(ISNUMBER(INDEX(상세표[블록종료],$P1559)),TEXT(INDEX(상세표[블록종료],$P1559),"yyyy-mm-dd hh:mm"),INDEX(상세표[블록종료],$P1559)&amp;""))</f>
        <v/>
      </c>
      <c r="G1559">
        <f>IF($P1559="","",CHOOSE(WEEKDAY(INDEX(상세표[시작],$P1559)),"일","월","화","수","목","금","토"))</f>
        <v/>
      </c>
      <c r="H1559">
        <f>IF($P1559="","",INDEX(상세표[연속 시간],$P1559))</f>
        <v/>
      </c>
      <c r="I1559">
        <f>IF($P1559="","",INDEX(상세표[기록 수],$P1559))</f>
        <v/>
      </c>
      <c r="J1559">
        <f>IF($P1559="","",INDEX(상세표[블록 06~07시],$P1559))</f>
        <v/>
      </c>
      <c r="K1559">
        <f>IF($P1559="","",INDEX(상세표[블록 07~18시],$P1559))</f>
        <v/>
      </c>
      <c r="L1559">
        <f>IF($P1559="","",INDEX(상세표[블록 18~22시],$P1559))</f>
        <v/>
      </c>
      <c r="M1559">
        <f>IF($P1559="","",INDEX(상세표[블록 22~06시],$P1559))</f>
        <v/>
      </c>
      <c r="N1559">
        <f>IF($P1559="","",INDEX(상세표[주말·휴일 포함],$P1559)&amp;"")</f>
        <v/>
      </c>
      <c r="O1559">
        <f>IF($P1559="","",INDEX(상세표[월 넘김 포함],$P1559)&amp;"")</f>
        <v/>
      </c>
      <c r="P1559" s="4">
        <f>IFERROR(MATCH(1554,상세표[연속순번],0),"")</f>
        <v/>
      </c>
    </row>
    <row r="1560">
      <c r="A1560">
        <f>IF($P1560="","",INDEX(상세표[사번],$P1560)&amp;"")</f>
        <v/>
      </c>
      <c r="B1560">
        <f>IF($P1560="","",INDEX(상세표[성명],$P1560)&amp;"")</f>
        <v/>
      </c>
      <c r="C1560">
        <f>IF($P1560="","",INDEX(상세표[부서],$P1560)&amp;"")</f>
        <v/>
      </c>
      <c r="D1560">
        <f>IF($P1560="","",INDEX(상세표[직위],$P1560)&amp;"")</f>
        <v/>
      </c>
      <c r="E1560">
        <f>IF($P1560="","",IF(ISNUMBER(INDEX(상세표[시작],$P1560)),TEXT(INDEX(상세표[시작],$P1560),"yyyy-mm-dd hh:mm"),INDEX(상세표[시작],$P1560)&amp;""))</f>
        <v/>
      </c>
      <c r="F1560">
        <f>IF($P1560="","",IF(ISNUMBER(INDEX(상세표[블록종료],$P1560)),TEXT(INDEX(상세표[블록종료],$P1560),"yyyy-mm-dd hh:mm"),INDEX(상세표[블록종료],$P1560)&amp;""))</f>
        <v/>
      </c>
      <c r="G1560">
        <f>IF($P1560="","",CHOOSE(WEEKDAY(INDEX(상세표[시작],$P1560)),"일","월","화","수","목","금","토"))</f>
        <v/>
      </c>
      <c r="H1560">
        <f>IF($P1560="","",INDEX(상세표[연속 시간],$P1560))</f>
        <v/>
      </c>
      <c r="I1560">
        <f>IF($P1560="","",INDEX(상세표[기록 수],$P1560))</f>
        <v/>
      </c>
      <c r="J1560">
        <f>IF($P1560="","",INDEX(상세표[블록 06~07시],$P1560))</f>
        <v/>
      </c>
      <c r="K1560">
        <f>IF($P1560="","",INDEX(상세표[블록 07~18시],$P1560))</f>
        <v/>
      </c>
      <c r="L1560">
        <f>IF($P1560="","",INDEX(상세표[블록 18~22시],$P1560))</f>
        <v/>
      </c>
      <c r="M1560">
        <f>IF($P1560="","",INDEX(상세표[블록 22~06시],$P1560))</f>
        <v/>
      </c>
      <c r="N1560">
        <f>IF($P1560="","",INDEX(상세표[주말·휴일 포함],$P1560)&amp;"")</f>
        <v/>
      </c>
      <c r="O1560">
        <f>IF($P1560="","",INDEX(상세표[월 넘김 포함],$P1560)&amp;"")</f>
        <v/>
      </c>
      <c r="P1560" s="4">
        <f>IFERROR(MATCH(1555,상세표[연속순번],0),"")</f>
        <v/>
      </c>
    </row>
    <row r="1561">
      <c r="A1561">
        <f>IF($P1561="","",INDEX(상세표[사번],$P1561)&amp;"")</f>
        <v/>
      </c>
      <c r="B1561">
        <f>IF($P1561="","",INDEX(상세표[성명],$P1561)&amp;"")</f>
        <v/>
      </c>
      <c r="C1561">
        <f>IF($P1561="","",INDEX(상세표[부서],$P1561)&amp;"")</f>
        <v/>
      </c>
      <c r="D1561">
        <f>IF($P1561="","",INDEX(상세표[직위],$P1561)&amp;"")</f>
        <v/>
      </c>
      <c r="E1561">
        <f>IF($P1561="","",IF(ISNUMBER(INDEX(상세표[시작],$P1561)),TEXT(INDEX(상세표[시작],$P1561),"yyyy-mm-dd hh:mm"),INDEX(상세표[시작],$P1561)&amp;""))</f>
        <v/>
      </c>
      <c r="F1561">
        <f>IF($P1561="","",IF(ISNUMBER(INDEX(상세표[블록종료],$P1561)),TEXT(INDEX(상세표[블록종료],$P1561),"yyyy-mm-dd hh:mm"),INDEX(상세표[블록종료],$P1561)&amp;""))</f>
        <v/>
      </c>
      <c r="G1561">
        <f>IF($P1561="","",CHOOSE(WEEKDAY(INDEX(상세표[시작],$P1561)),"일","월","화","수","목","금","토"))</f>
        <v/>
      </c>
      <c r="H1561">
        <f>IF($P1561="","",INDEX(상세표[연속 시간],$P1561))</f>
        <v/>
      </c>
      <c r="I1561">
        <f>IF($P1561="","",INDEX(상세표[기록 수],$P1561))</f>
        <v/>
      </c>
      <c r="J1561">
        <f>IF($P1561="","",INDEX(상세표[블록 06~07시],$P1561))</f>
        <v/>
      </c>
      <c r="K1561">
        <f>IF($P1561="","",INDEX(상세표[블록 07~18시],$P1561))</f>
        <v/>
      </c>
      <c r="L1561">
        <f>IF($P1561="","",INDEX(상세표[블록 18~22시],$P1561))</f>
        <v/>
      </c>
      <c r="M1561">
        <f>IF($P1561="","",INDEX(상세표[블록 22~06시],$P1561))</f>
        <v/>
      </c>
      <c r="N1561">
        <f>IF($P1561="","",INDEX(상세표[주말·휴일 포함],$P1561)&amp;"")</f>
        <v/>
      </c>
      <c r="O1561">
        <f>IF($P1561="","",INDEX(상세표[월 넘김 포함],$P1561)&amp;"")</f>
        <v/>
      </c>
      <c r="P1561" s="4">
        <f>IFERROR(MATCH(1556,상세표[연속순번],0),"")</f>
        <v/>
      </c>
    </row>
    <row r="1562">
      <c r="A1562">
        <f>IF($P1562="","",INDEX(상세표[사번],$P1562)&amp;"")</f>
        <v/>
      </c>
      <c r="B1562">
        <f>IF($P1562="","",INDEX(상세표[성명],$P1562)&amp;"")</f>
        <v/>
      </c>
      <c r="C1562">
        <f>IF($P1562="","",INDEX(상세표[부서],$P1562)&amp;"")</f>
        <v/>
      </c>
      <c r="D1562">
        <f>IF($P1562="","",INDEX(상세표[직위],$P1562)&amp;"")</f>
        <v/>
      </c>
      <c r="E1562">
        <f>IF($P1562="","",IF(ISNUMBER(INDEX(상세표[시작],$P1562)),TEXT(INDEX(상세표[시작],$P1562),"yyyy-mm-dd hh:mm"),INDEX(상세표[시작],$P1562)&amp;""))</f>
        <v/>
      </c>
      <c r="F1562">
        <f>IF($P1562="","",IF(ISNUMBER(INDEX(상세표[블록종료],$P1562)),TEXT(INDEX(상세표[블록종료],$P1562),"yyyy-mm-dd hh:mm"),INDEX(상세표[블록종료],$P1562)&amp;""))</f>
        <v/>
      </c>
      <c r="G1562">
        <f>IF($P1562="","",CHOOSE(WEEKDAY(INDEX(상세표[시작],$P1562)),"일","월","화","수","목","금","토"))</f>
        <v/>
      </c>
      <c r="H1562">
        <f>IF($P1562="","",INDEX(상세표[연속 시간],$P1562))</f>
        <v/>
      </c>
      <c r="I1562">
        <f>IF($P1562="","",INDEX(상세표[기록 수],$P1562))</f>
        <v/>
      </c>
      <c r="J1562">
        <f>IF($P1562="","",INDEX(상세표[블록 06~07시],$P1562))</f>
        <v/>
      </c>
      <c r="K1562">
        <f>IF($P1562="","",INDEX(상세표[블록 07~18시],$P1562))</f>
        <v/>
      </c>
      <c r="L1562">
        <f>IF($P1562="","",INDEX(상세표[블록 18~22시],$P1562))</f>
        <v/>
      </c>
      <c r="M1562">
        <f>IF($P1562="","",INDEX(상세표[블록 22~06시],$P1562))</f>
        <v/>
      </c>
      <c r="N1562">
        <f>IF($P1562="","",INDEX(상세표[주말·휴일 포함],$P1562)&amp;"")</f>
        <v/>
      </c>
      <c r="O1562">
        <f>IF($P1562="","",INDEX(상세표[월 넘김 포함],$P1562)&amp;"")</f>
        <v/>
      </c>
      <c r="P1562" s="4">
        <f>IFERROR(MATCH(1557,상세표[연속순번],0),"")</f>
        <v/>
      </c>
    </row>
    <row r="1563">
      <c r="A1563">
        <f>IF($P1563="","",INDEX(상세표[사번],$P1563)&amp;"")</f>
        <v/>
      </c>
      <c r="B1563">
        <f>IF($P1563="","",INDEX(상세표[성명],$P1563)&amp;"")</f>
        <v/>
      </c>
      <c r="C1563">
        <f>IF($P1563="","",INDEX(상세표[부서],$P1563)&amp;"")</f>
        <v/>
      </c>
      <c r="D1563">
        <f>IF($P1563="","",INDEX(상세표[직위],$P1563)&amp;"")</f>
        <v/>
      </c>
      <c r="E1563">
        <f>IF($P1563="","",IF(ISNUMBER(INDEX(상세표[시작],$P1563)),TEXT(INDEX(상세표[시작],$P1563),"yyyy-mm-dd hh:mm"),INDEX(상세표[시작],$P1563)&amp;""))</f>
        <v/>
      </c>
      <c r="F1563">
        <f>IF($P1563="","",IF(ISNUMBER(INDEX(상세표[블록종료],$P1563)),TEXT(INDEX(상세표[블록종료],$P1563),"yyyy-mm-dd hh:mm"),INDEX(상세표[블록종료],$P1563)&amp;""))</f>
        <v/>
      </c>
      <c r="G1563">
        <f>IF($P1563="","",CHOOSE(WEEKDAY(INDEX(상세표[시작],$P1563)),"일","월","화","수","목","금","토"))</f>
        <v/>
      </c>
      <c r="H1563">
        <f>IF($P1563="","",INDEX(상세표[연속 시간],$P1563))</f>
        <v/>
      </c>
      <c r="I1563">
        <f>IF($P1563="","",INDEX(상세표[기록 수],$P1563))</f>
        <v/>
      </c>
      <c r="J1563">
        <f>IF($P1563="","",INDEX(상세표[블록 06~07시],$P1563))</f>
        <v/>
      </c>
      <c r="K1563">
        <f>IF($P1563="","",INDEX(상세표[블록 07~18시],$P1563))</f>
        <v/>
      </c>
      <c r="L1563">
        <f>IF($P1563="","",INDEX(상세표[블록 18~22시],$P1563))</f>
        <v/>
      </c>
      <c r="M1563">
        <f>IF($P1563="","",INDEX(상세표[블록 22~06시],$P1563))</f>
        <v/>
      </c>
      <c r="N1563">
        <f>IF($P1563="","",INDEX(상세표[주말·휴일 포함],$P1563)&amp;"")</f>
        <v/>
      </c>
      <c r="O1563">
        <f>IF($P1563="","",INDEX(상세표[월 넘김 포함],$P1563)&amp;"")</f>
        <v/>
      </c>
      <c r="P1563" s="4">
        <f>IFERROR(MATCH(1558,상세표[연속순번],0),"")</f>
        <v/>
      </c>
    </row>
    <row r="1564">
      <c r="A1564">
        <f>IF($P1564="","",INDEX(상세표[사번],$P1564)&amp;"")</f>
        <v/>
      </c>
      <c r="B1564">
        <f>IF($P1564="","",INDEX(상세표[성명],$P1564)&amp;"")</f>
        <v/>
      </c>
      <c r="C1564">
        <f>IF($P1564="","",INDEX(상세표[부서],$P1564)&amp;"")</f>
        <v/>
      </c>
      <c r="D1564">
        <f>IF($P1564="","",INDEX(상세표[직위],$P1564)&amp;"")</f>
        <v/>
      </c>
      <c r="E1564">
        <f>IF($P1564="","",IF(ISNUMBER(INDEX(상세표[시작],$P1564)),TEXT(INDEX(상세표[시작],$P1564),"yyyy-mm-dd hh:mm"),INDEX(상세표[시작],$P1564)&amp;""))</f>
        <v/>
      </c>
      <c r="F1564">
        <f>IF($P1564="","",IF(ISNUMBER(INDEX(상세표[블록종료],$P1564)),TEXT(INDEX(상세표[블록종료],$P1564),"yyyy-mm-dd hh:mm"),INDEX(상세표[블록종료],$P1564)&amp;""))</f>
        <v/>
      </c>
      <c r="G1564">
        <f>IF($P1564="","",CHOOSE(WEEKDAY(INDEX(상세표[시작],$P1564)),"일","월","화","수","목","금","토"))</f>
        <v/>
      </c>
      <c r="H1564">
        <f>IF($P1564="","",INDEX(상세표[연속 시간],$P1564))</f>
        <v/>
      </c>
      <c r="I1564">
        <f>IF($P1564="","",INDEX(상세표[기록 수],$P1564))</f>
        <v/>
      </c>
      <c r="J1564">
        <f>IF($P1564="","",INDEX(상세표[블록 06~07시],$P1564))</f>
        <v/>
      </c>
      <c r="K1564">
        <f>IF($P1564="","",INDEX(상세표[블록 07~18시],$P1564))</f>
        <v/>
      </c>
      <c r="L1564">
        <f>IF($P1564="","",INDEX(상세표[블록 18~22시],$P1564))</f>
        <v/>
      </c>
      <c r="M1564">
        <f>IF($P1564="","",INDEX(상세표[블록 22~06시],$P1564))</f>
        <v/>
      </c>
      <c r="N1564">
        <f>IF($P1564="","",INDEX(상세표[주말·휴일 포함],$P1564)&amp;"")</f>
        <v/>
      </c>
      <c r="O1564">
        <f>IF($P1564="","",INDEX(상세표[월 넘김 포함],$P1564)&amp;"")</f>
        <v/>
      </c>
      <c r="P1564" s="4">
        <f>IFERROR(MATCH(1559,상세표[연속순번],0),"")</f>
        <v/>
      </c>
    </row>
    <row r="1565">
      <c r="A1565">
        <f>IF($P1565="","",INDEX(상세표[사번],$P1565)&amp;"")</f>
        <v/>
      </c>
      <c r="B1565">
        <f>IF($P1565="","",INDEX(상세표[성명],$P1565)&amp;"")</f>
        <v/>
      </c>
      <c r="C1565">
        <f>IF($P1565="","",INDEX(상세표[부서],$P1565)&amp;"")</f>
        <v/>
      </c>
      <c r="D1565">
        <f>IF($P1565="","",INDEX(상세표[직위],$P1565)&amp;"")</f>
        <v/>
      </c>
      <c r="E1565">
        <f>IF($P1565="","",IF(ISNUMBER(INDEX(상세표[시작],$P1565)),TEXT(INDEX(상세표[시작],$P1565),"yyyy-mm-dd hh:mm"),INDEX(상세표[시작],$P1565)&amp;""))</f>
        <v/>
      </c>
      <c r="F1565">
        <f>IF($P1565="","",IF(ISNUMBER(INDEX(상세표[블록종료],$P1565)),TEXT(INDEX(상세표[블록종료],$P1565),"yyyy-mm-dd hh:mm"),INDEX(상세표[블록종료],$P1565)&amp;""))</f>
        <v/>
      </c>
      <c r="G1565">
        <f>IF($P1565="","",CHOOSE(WEEKDAY(INDEX(상세표[시작],$P1565)),"일","월","화","수","목","금","토"))</f>
        <v/>
      </c>
      <c r="H1565">
        <f>IF($P1565="","",INDEX(상세표[연속 시간],$P1565))</f>
        <v/>
      </c>
      <c r="I1565">
        <f>IF($P1565="","",INDEX(상세표[기록 수],$P1565))</f>
        <v/>
      </c>
      <c r="J1565">
        <f>IF($P1565="","",INDEX(상세표[블록 06~07시],$P1565))</f>
        <v/>
      </c>
      <c r="K1565">
        <f>IF($P1565="","",INDEX(상세표[블록 07~18시],$P1565))</f>
        <v/>
      </c>
      <c r="L1565">
        <f>IF($P1565="","",INDEX(상세표[블록 18~22시],$P1565))</f>
        <v/>
      </c>
      <c r="M1565">
        <f>IF($P1565="","",INDEX(상세표[블록 22~06시],$P1565))</f>
        <v/>
      </c>
      <c r="N1565">
        <f>IF($P1565="","",INDEX(상세표[주말·휴일 포함],$P1565)&amp;"")</f>
        <v/>
      </c>
      <c r="O1565">
        <f>IF($P1565="","",INDEX(상세표[월 넘김 포함],$P1565)&amp;"")</f>
        <v/>
      </c>
      <c r="P1565" s="4">
        <f>IFERROR(MATCH(1560,상세표[연속순번],0),"")</f>
        <v/>
      </c>
    </row>
    <row r="1566">
      <c r="A1566">
        <f>IF($P1566="","",INDEX(상세표[사번],$P1566)&amp;"")</f>
        <v/>
      </c>
      <c r="B1566">
        <f>IF($P1566="","",INDEX(상세표[성명],$P1566)&amp;"")</f>
        <v/>
      </c>
      <c r="C1566">
        <f>IF($P1566="","",INDEX(상세표[부서],$P1566)&amp;"")</f>
        <v/>
      </c>
      <c r="D1566">
        <f>IF($P1566="","",INDEX(상세표[직위],$P1566)&amp;"")</f>
        <v/>
      </c>
      <c r="E1566">
        <f>IF($P1566="","",IF(ISNUMBER(INDEX(상세표[시작],$P1566)),TEXT(INDEX(상세표[시작],$P1566),"yyyy-mm-dd hh:mm"),INDEX(상세표[시작],$P1566)&amp;""))</f>
        <v/>
      </c>
      <c r="F1566">
        <f>IF($P1566="","",IF(ISNUMBER(INDEX(상세표[블록종료],$P1566)),TEXT(INDEX(상세표[블록종료],$P1566),"yyyy-mm-dd hh:mm"),INDEX(상세표[블록종료],$P1566)&amp;""))</f>
        <v/>
      </c>
      <c r="G1566">
        <f>IF($P1566="","",CHOOSE(WEEKDAY(INDEX(상세표[시작],$P1566)),"일","월","화","수","목","금","토"))</f>
        <v/>
      </c>
      <c r="H1566">
        <f>IF($P1566="","",INDEX(상세표[연속 시간],$P1566))</f>
        <v/>
      </c>
      <c r="I1566">
        <f>IF($P1566="","",INDEX(상세표[기록 수],$P1566))</f>
        <v/>
      </c>
      <c r="J1566">
        <f>IF($P1566="","",INDEX(상세표[블록 06~07시],$P1566))</f>
        <v/>
      </c>
      <c r="K1566">
        <f>IF($P1566="","",INDEX(상세표[블록 07~18시],$P1566))</f>
        <v/>
      </c>
      <c r="L1566">
        <f>IF($P1566="","",INDEX(상세표[블록 18~22시],$P1566))</f>
        <v/>
      </c>
      <c r="M1566">
        <f>IF($P1566="","",INDEX(상세표[블록 22~06시],$P1566))</f>
        <v/>
      </c>
      <c r="N1566">
        <f>IF($P1566="","",INDEX(상세표[주말·휴일 포함],$P1566)&amp;"")</f>
        <v/>
      </c>
      <c r="O1566">
        <f>IF($P1566="","",INDEX(상세표[월 넘김 포함],$P1566)&amp;"")</f>
        <v/>
      </c>
      <c r="P1566" s="4">
        <f>IFERROR(MATCH(1561,상세표[연속순번],0),"")</f>
        <v/>
      </c>
    </row>
    <row r="1567">
      <c r="A1567">
        <f>IF($P1567="","",INDEX(상세표[사번],$P1567)&amp;"")</f>
        <v/>
      </c>
      <c r="B1567">
        <f>IF($P1567="","",INDEX(상세표[성명],$P1567)&amp;"")</f>
        <v/>
      </c>
      <c r="C1567">
        <f>IF($P1567="","",INDEX(상세표[부서],$P1567)&amp;"")</f>
        <v/>
      </c>
      <c r="D1567">
        <f>IF($P1567="","",INDEX(상세표[직위],$P1567)&amp;"")</f>
        <v/>
      </c>
      <c r="E1567">
        <f>IF($P1567="","",IF(ISNUMBER(INDEX(상세표[시작],$P1567)),TEXT(INDEX(상세표[시작],$P1567),"yyyy-mm-dd hh:mm"),INDEX(상세표[시작],$P1567)&amp;""))</f>
        <v/>
      </c>
      <c r="F1567">
        <f>IF($P1567="","",IF(ISNUMBER(INDEX(상세표[블록종료],$P1567)),TEXT(INDEX(상세표[블록종료],$P1567),"yyyy-mm-dd hh:mm"),INDEX(상세표[블록종료],$P1567)&amp;""))</f>
        <v/>
      </c>
      <c r="G1567">
        <f>IF($P1567="","",CHOOSE(WEEKDAY(INDEX(상세표[시작],$P1567)),"일","월","화","수","목","금","토"))</f>
        <v/>
      </c>
      <c r="H1567">
        <f>IF($P1567="","",INDEX(상세표[연속 시간],$P1567))</f>
        <v/>
      </c>
      <c r="I1567">
        <f>IF($P1567="","",INDEX(상세표[기록 수],$P1567))</f>
        <v/>
      </c>
      <c r="J1567">
        <f>IF($P1567="","",INDEX(상세표[블록 06~07시],$P1567))</f>
        <v/>
      </c>
      <c r="K1567">
        <f>IF($P1567="","",INDEX(상세표[블록 07~18시],$P1567))</f>
        <v/>
      </c>
      <c r="L1567">
        <f>IF($P1567="","",INDEX(상세표[블록 18~22시],$P1567))</f>
        <v/>
      </c>
      <c r="M1567">
        <f>IF($P1567="","",INDEX(상세표[블록 22~06시],$P1567))</f>
        <v/>
      </c>
      <c r="N1567">
        <f>IF($P1567="","",INDEX(상세표[주말·휴일 포함],$P1567)&amp;"")</f>
        <v/>
      </c>
      <c r="O1567">
        <f>IF($P1567="","",INDEX(상세표[월 넘김 포함],$P1567)&amp;"")</f>
        <v/>
      </c>
      <c r="P1567" s="4">
        <f>IFERROR(MATCH(1562,상세표[연속순번],0),"")</f>
        <v/>
      </c>
    </row>
    <row r="1568">
      <c r="A1568">
        <f>IF($P1568="","",INDEX(상세표[사번],$P1568)&amp;"")</f>
        <v/>
      </c>
      <c r="B1568">
        <f>IF($P1568="","",INDEX(상세표[성명],$P1568)&amp;"")</f>
        <v/>
      </c>
      <c r="C1568">
        <f>IF($P1568="","",INDEX(상세표[부서],$P1568)&amp;"")</f>
        <v/>
      </c>
      <c r="D1568">
        <f>IF($P1568="","",INDEX(상세표[직위],$P1568)&amp;"")</f>
        <v/>
      </c>
      <c r="E1568">
        <f>IF($P1568="","",IF(ISNUMBER(INDEX(상세표[시작],$P1568)),TEXT(INDEX(상세표[시작],$P1568),"yyyy-mm-dd hh:mm"),INDEX(상세표[시작],$P1568)&amp;""))</f>
        <v/>
      </c>
      <c r="F1568">
        <f>IF($P1568="","",IF(ISNUMBER(INDEX(상세표[블록종료],$P1568)),TEXT(INDEX(상세표[블록종료],$P1568),"yyyy-mm-dd hh:mm"),INDEX(상세표[블록종료],$P1568)&amp;""))</f>
        <v/>
      </c>
      <c r="G1568">
        <f>IF($P1568="","",CHOOSE(WEEKDAY(INDEX(상세표[시작],$P1568)),"일","월","화","수","목","금","토"))</f>
        <v/>
      </c>
      <c r="H1568">
        <f>IF($P1568="","",INDEX(상세표[연속 시간],$P1568))</f>
        <v/>
      </c>
      <c r="I1568">
        <f>IF($P1568="","",INDEX(상세표[기록 수],$P1568))</f>
        <v/>
      </c>
      <c r="J1568">
        <f>IF($P1568="","",INDEX(상세표[블록 06~07시],$P1568))</f>
        <v/>
      </c>
      <c r="K1568">
        <f>IF($P1568="","",INDEX(상세표[블록 07~18시],$P1568))</f>
        <v/>
      </c>
      <c r="L1568">
        <f>IF($P1568="","",INDEX(상세표[블록 18~22시],$P1568))</f>
        <v/>
      </c>
      <c r="M1568">
        <f>IF($P1568="","",INDEX(상세표[블록 22~06시],$P1568))</f>
        <v/>
      </c>
      <c r="N1568">
        <f>IF($P1568="","",INDEX(상세표[주말·휴일 포함],$P1568)&amp;"")</f>
        <v/>
      </c>
      <c r="O1568">
        <f>IF($P1568="","",INDEX(상세표[월 넘김 포함],$P1568)&amp;"")</f>
        <v/>
      </c>
      <c r="P1568" s="4">
        <f>IFERROR(MATCH(1563,상세표[연속순번],0),"")</f>
        <v/>
      </c>
    </row>
    <row r="1569">
      <c r="A1569">
        <f>IF($P1569="","",INDEX(상세표[사번],$P1569)&amp;"")</f>
        <v/>
      </c>
      <c r="B1569">
        <f>IF($P1569="","",INDEX(상세표[성명],$P1569)&amp;"")</f>
        <v/>
      </c>
      <c r="C1569">
        <f>IF($P1569="","",INDEX(상세표[부서],$P1569)&amp;"")</f>
        <v/>
      </c>
      <c r="D1569">
        <f>IF($P1569="","",INDEX(상세표[직위],$P1569)&amp;"")</f>
        <v/>
      </c>
      <c r="E1569">
        <f>IF($P1569="","",IF(ISNUMBER(INDEX(상세표[시작],$P1569)),TEXT(INDEX(상세표[시작],$P1569),"yyyy-mm-dd hh:mm"),INDEX(상세표[시작],$P1569)&amp;""))</f>
        <v/>
      </c>
      <c r="F1569">
        <f>IF($P1569="","",IF(ISNUMBER(INDEX(상세표[블록종료],$P1569)),TEXT(INDEX(상세표[블록종료],$P1569),"yyyy-mm-dd hh:mm"),INDEX(상세표[블록종료],$P1569)&amp;""))</f>
        <v/>
      </c>
      <c r="G1569">
        <f>IF($P1569="","",CHOOSE(WEEKDAY(INDEX(상세표[시작],$P1569)),"일","월","화","수","목","금","토"))</f>
        <v/>
      </c>
      <c r="H1569">
        <f>IF($P1569="","",INDEX(상세표[연속 시간],$P1569))</f>
        <v/>
      </c>
      <c r="I1569">
        <f>IF($P1569="","",INDEX(상세표[기록 수],$P1569))</f>
        <v/>
      </c>
      <c r="J1569">
        <f>IF($P1569="","",INDEX(상세표[블록 06~07시],$P1569))</f>
        <v/>
      </c>
      <c r="K1569">
        <f>IF($P1569="","",INDEX(상세표[블록 07~18시],$P1569))</f>
        <v/>
      </c>
      <c r="L1569">
        <f>IF($P1569="","",INDEX(상세표[블록 18~22시],$P1569))</f>
        <v/>
      </c>
      <c r="M1569">
        <f>IF($P1569="","",INDEX(상세표[블록 22~06시],$P1569))</f>
        <v/>
      </c>
      <c r="N1569">
        <f>IF($P1569="","",INDEX(상세표[주말·휴일 포함],$P1569)&amp;"")</f>
        <v/>
      </c>
      <c r="O1569">
        <f>IF($P1569="","",INDEX(상세표[월 넘김 포함],$P1569)&amp;"")</f>
        <v/>
      </c>
      <c r="P1569" s="4">
        <f>IFERROR(MATCH(1564,상세표[연속순번],0),"")</f>
        <v/>
      </c>
    </row>
    <row r="1570">
      <c r="A1570">
        <f>IF($P1570="","",INDEX(상세표[사번],$P1570)&amp;"")</f>
        <v/>
      </c>
      <c r="B1570">
        <f>IF($P1570="","",INDEX(상세표[성명],$P1570)&amp;"")</f>
        <v/>
      </c>
      <c r="C1570">
        <f>IF($P1570="","",INDEX(상세표[부서],$P1570)&amp;"")</f>
        <v/>
      </c>
      <c r="D1570">
        <f>IF($P1570="","",INDEX(상세표[직위],$P1570)&amp;"")</f>
        <v/>
      </c>
      <c r="E1570">
        <f>IF($P1570="","",IF(ISNUMBER(INDEX(상세표[시작],$P1570)),TEXT(INDEX(상세표[시작],$P1570),"yyyy-mm-dd hh:mm"),INDEX(상세표[시작],$P1570)&amp;""))</f>
        <v/>
      </c>
      <c r="F1570">
        <f>IF($P1570="","",IF(ISNUMBER(INDEX(상세표[블록종료],$P1570)),TEXT(INDEX(상세표[블록종료],$P1570),"yyyy-mm-dd hh:mm"),INDEX(상세표[블록종료],$P1570)&amp;""))</f>
        <v/>
      </c>
      <c r="G1570">
        <f>IF($P1570="","",CHOOSE(WEEKDAY(INDEX(상세표[시작],$P1570)),"일","월","화","수","목","금","토"))</f>
        <v/>
      </c>
      <c r="H1570">
        <f>IF($P1570="","",INDEX(상세표[연속 시간],$P1570))</f>
        <v/>
      </c>
      <c r="I1570">
        <f>IF($P1570="","",INDEX(상세표[기록 수],$P1570))</f>
        <v/>
      </c>
      <c r="J1570">
        <f>IF($P1570="","",INDEX(상세표[블록 06~07시],$P1570))</f>
        <v/>
      </c>
      <c r="K1570">
        <f>IF($P1570="","",INDEX(상세표[블록 07~18시],$P1570))</f>
        <v/>
      </c>
      <c r="L1570">
        <f>IF($P1570="","",INDEX(상세표[블록 18~22시],$P1570))</f>
        <v/>
      </c>
      <c r="M1570">
        <f>IF($P1570="","",INDEX(상세표[블록 22~06시],$P1570))</f>
        <v/>
      </c>
      <c r="N1570">
        <f>IF($P1570="","",INDEX(상세표[주말·휴일 포함],$P1570)&amp;"")</f>
        <v/>
      </c>
      <c r="O1570">
        <f>IF($P1570="","",INDEX(상세표[월 넘김 포함],$P1570)&amp;"")</f>
        <v/>
      </c>
      <c r="P1570" s="4">
        <f>IFERROR(MATCH(1565,상세표[연속순번],0),"")</f>
        <v/>
      </c>
    </row>
    <row r="1571">
      <c r="A1571">
        <f>IF($P1571="","",INDEX(상세표[사번],$P1571)&amp;"")</f>
        <v/>
      </c>
      <c r="B1571">
        <f>IF($P1571="","",INDEX(상세표[성명],$P1571)&amp;"")</f>
        <v/>
      </c>
      <c r="C1571">
        <f>IF($P1571="","",INDEX(상세표[부서],$P1571)&amp;"")</f>
        <v/>
      </c>
      <c r="D1571">
        <f>IF($P1571="","",INDEX(상세표[직위],$P1571)&amp;"")</f>
        <v/>
      </c>
      <c r="E1571">
        <f>IF($P1571="","",IF(ISNUMBER(INDEX(상세표[시작],$P1571)),TEXT(INDEX(상세표[시작],$P1571),"yyyy-mm-dd hh:mm"),INDEX(상세표[시작],$P1571)&amp;""))</f>
        <v/>
      </c>
      <c r="F1571">
        <f>IF($P1571="","",IF(ISNUMBER(INDEX(상세표[블록종료],$P1571)),TEXT(INDEX(상세표[블록종료],$P1571),"yyyy-mm-dd hh:mm"),INDEX(상세표[블록종료],$P1571)&amp;""))</f>
        <v/>
      </c>
      <c r="G1571">
        <f>IF($P1571="","",CHOOSE(WEEKDAY(INDEX(상세표[시작],$P1571)),"일","월","화","수","목","금","토"))</f>
        <v/>
      </c>
      <c r="H1571">
        <f>IF($P1571="","",INDEX(상세표[연속 시간],$P1571))</f>
        <v/>
      </c>
      <c r="I1571">
        <f>IF($P1571="","",INDEX(상세표[기록 수],$P1571))</f>
        <v/>
      </c>
      <c r="J1571">
        <f>IF($P1571="","",INDEX(상세표[블록 06~07시],$P1571))</f>
        <v/>
      </c>
      <c r="K1571">
        <f>IF($P1571="","",INDEX(상세표[블록 07~18시],$P1571))</f>
        <v/>
      </c>
      <c r="L1571">
        <f>IF($P1571="","",INDEX(상세표[블록 18~22시],$P1571))</f>
        <v/>
      </c>
      <c r="M1571">
        <f>IF($P1571="","",INDEX(상세표[블록 22~06시],$P1571))</f>
        <v/>
      </c>
      <c r="N1571">
        <f>IF($P1571="","",INDEX(상세표[주말·휴일 포함],$P1571)&amp;"")</f>
        <v/>
      </c>
      <c r="O1571">
        <f>IF($P1571="","",INDEX(상세표[월 넘김 포함],$P1571)&amp;"")</f>
        <v/>
      </c>
      <c r="P1571" s="4">
        <f>IFERROR(MATCH(1566,상세표[연속순번],0),"")</f>
        <v/>
      </c>
    </row>
    <row r="1572">
      <c r="A1572">
        <f>IF($P1572="","",INDEX(상세표[사번],$P1572)&amp;"")</f>
        <v/>
      </c>
      <c r="B1572">
        <f>IF($P1572="","",INDEX(상세표[성명],$P1572)&amp;"")</f>
        <v/>
      </c>
      <c r="C1572">
        <f>IF($P1572="","",INDEX(상세표[부서],$P1572)&amp;"")</f>
        <v/>
      </c>
      <c r="D1572">
        <f>IF($P1572="","",INDEX(상세표[직위],$P1572)&amp;"")</f>
        <v/>
      </c>
      <c r="E1572">
        <f>IF($P1572="","",IF(ISNUMBER(INDEX(상세표[시작],$P1572)),TEXT(INDEX(상세표[시작],$P1572),"yyyy-mm-dd hh:mm"),INDEX(상세표[시작],$P1572)&amp;""))</f>
        <v/>
      </c>
      <c r="F1572">
        <f>IF($P1572="","",IF(ISNUMBER(INDEX(상세표[블록종료],$P1572)),TEXT(INDEX(상세표[블록종료],$P1572),"yyyy-mm-dd hh:mm"),INDEX(상세표[블록종료],$P1572)&amp;""))</f>
        <v/>
      </c>
      <c r="G1572">
        <f>IF($P1572="","",CHOOSE(WEEKDAY(INDEX(상세표[시작],$P1572)),"일","월","화","수","목","금","토"))</f>
        <v/>
      </c>
      <c r="H1572">
        <f>IF($P1572="","",INDEX(상세표[연속 시간],$P1572))</f>
        <v/>
      </c>
      <c r="I1572">
        <f>IF($P1572="","",INDEX(상세표[기록 수],$P1572))</f>
        <v/>
      </c>
      <c r="J1572">
        <f>IF($P1572="","",INDEX(상세표[블록 06~07시],$P1572))</f>
        <v/>
      </c>
      <c r="K1572">
        <f>IF($P1572="","",INDEX(상세표[블록 07~18시],$P1572))</f>
        <v/>
      </c>
      <c r="L1572">
        <f>IF($P1572="","",INDEX(상세표[블록 18~22시],$P1572))</f>
        <v/>
      </c>
      <c r="M1572">
        <f>IF($P1572="","",INDEX(상세표[블록 22~06시],$P1572))</f>
        <v/>
      </c>
      <c r="N1572">
        <f>IF($P1572="","",INDEX(상세표[주말·휴일 포함],$P1572)&amp;"")</f>
        <v/>
      </c>
      <c r="O1572">
        <f>IF($P1572="","",INDEX(상세표[월 넘김 포함],$P1572)&amp;"")</f>
        <v/>
      </c>
      <c r="P1572" s="4">
        <f>IFERROR(MATCH(1567,상세표[연속순번],0),"")</f>
        <v/>
      </c>
    </row>
    <row r="1573">
      <c r="A1573">
        <f>IF($P1573="","",INDEX(상세표[사번],$P1573)&amp;"")</f>
        <v/>
      </c>
      <c r="B1573">
        <f>IF($P1573="","",INDEX(상세표[성명],$P1573)&amp;"")</f>
        <v/>
      </c>
      <c r="C1573">
        <f>IF($P1573="","",INDEX(상세표[부서],$P1573)&amp;"")</f>
        <v/>
      </c>
      <c r="D1573">
        <f>IF($P1573="","",INDEX(상세표[직위],$P1573)&amp;"")</f>
        <v/>
      </c>
      <c r="E1573">
        <f>IF($P1573="","",IF(ISNUMBER(INDEX(상세표[시작],$P1573)),TEXT(INDEX(상세표[시작],$P1573),"yyyy-mm-dd hh:mm"),INDEX(상세표[시작],$P1573)&amp;""))</f>
        <v/>
      </c>
      <c r="F1573">
        <f>IF($P1573="","",IF(ISNUMBER(INDEX(상세표[블록종료],$P1573)),TEXT(INDEX(상세표[블록종료],$P1573),"yyyy-mm-dd hh:mm"),INDEX(상세표[블록종료],$P1573)&amp;""))</f>
        <v/>
      </c>
      <c r="G1573">
        <f>IF($P1573="","",CHOOSE(WEEKDAY(INDEX(상세표[시작],$P1573)),"일","월","화","수","목","금","토"))</f>
        <v/>
      </c>
      <c r="H1573">
        <f>IF($P1573="","",INDEX(상세표[연속 시간],$P1573))</f>
        <v/>
      </c>
      <c r="I1573">
        <f>IF($P1573="","",INDEX(상세표[기록 수],$P1573))</f>
        <v/>
      </c>
      <c r="J1573">
        <f>IF($P1573="","",INDEX(상세표[블록 06~07시],$P1573))</f>
        <v/>
      </c>
      <c r="K1573">
        <f>IF($P1573="","",INDEX(상세표[블록 07~18시],$P1573))</f>
        <v/>
      </c>
      <c r="L1573">
        <f>IF($P1573="","",INDEX(상세표[블록 18~22시],$P1573))</f>
        <v/>
      </c>
      <c r="M1573">
        <f>IF($P1573="","",INDEX(상세표[블록 22~06시],$P1573))</f>
        <v/>
      </c>
      <c r="N1573">
        <f>IF($P1573="","",INDEX(상세표[주말·휴일 포함],$P1573)&amp;"")</f>
        <v/>
      </c>
      <c r="O1573">
        <f>IF($P1573="","",INDEX(상세표[월 넘김 포함],$P1573)&amp;"")</f>
        <v/>
      </c>
      <c r="P1573" s="4">
        <f>IFERROR(MATCH(1568,상세표[연속순번],0),"")</f>
        <v/>
      </c>
    </row>
    <row r="1574">
      <c r="A1574">
        <f>IF($P1574="","",INDEX(상세표[사번],$P1574)&amp;"")</f>
        <v/>
      </c>
      <c r="B1574">
        <f>IF($P1574="","",INDEX(상세표[성명],$P1574)&amp;"")</f>
        <v/>
      </c>
      <c r="C1574">
        <f>IF($P1574="","",INDEX(상세표[부서],$P1574)&amp;"")</f>
        <v/>
      </c>
      <c r="D1574">
        <f>IF($P1574="","",INDEX(상세표[직위],$P1574)&amp;"")</f>
        <v/>
      </c>
      <c r="E1574">
        <f>IF($P1574="","",IF(ISNUMBER(INDEX(상세표[시작],$P1574)),TEXT(INDEX(상세표[시작],$P1574),"yyyy-mm-dd hh:mm"),INDEX(상세표[시작],$P1574)&amp;""))</f>
        <v/>
      </c>
      <c r="F1574">
        <f>IF($P1574="","",IF(ISNUMBER(INDEX(상세표[블록종료],$P1574)),TEXT(INDEX(상세표[블록종료],$P1574),"yyyy-mm-dd hh:mm"),INDEX(상세표[블록종료],$P1574)&amp;""))</f>
        <v/>
      </c>
      <c r="G1574">
        <f>IF($P1574="","",CHOOSE(WEEKDAY(INDEX(상세표[시작],$P1574)),"일","월","화","수","목","금","토"))</f>
        <v/>
      </c>
      <c r="H1574">
        <f>IF($P1574="","",INDEX(상세표[연속 시간],$P1574))</f>
        <v/>
      </c>
      <c r="I1574">
        <f>IF($P1574="","",INDEX(상세표[기록 수],$P1574))</f>
        <v/>
      </c>
      <c r="J1574">
        <f>IF($P1574="","",INDEX(상세표[블록 06~07시],$P1574))</f>
        <v/>
      </c>
      <c r="K1574">
        <f>IF($P1574="","",INDEX(상세표[블록 07~18시],$P1574))</f>
        <v/>
      </c>
      <c r="L1574">
        <f>IF($P1574="","",INDEX(상세표[블록 18~22시],$P1574))</f>
        <v/>
      </c>
      <c r="M1574">
        <f>IF($P1574="","",INDEX(상세표[블록 22~06시],$P1574))</f>
        <v/>
      </c>
      <c r="N1574">
        <f>IF($P1574="","",INDEX(상세표[주말·휴일 포함],$P1574)&amp;"")</f>
        <v/>
      </c>
      <c r="O1574">
        <f>IF($P1574="","",INDEX(상세표[월 넘김 포함],$P1574)&amp;"")</f>
        <v/>
      </c>
      <c r="P1574" s="4">
        <f>IFERROR(MATCH(1569,상세표[연속순번],0),"")</f>
        <v/>
      </c>
    </row>
    <row r="1575">
      <c r="A1575">
        <f>IF($P1575="","",INDEX(상세표[사번],$P1575)&amp;"")</f>
        <v/>
      </c>
      <c r="B1575">
        <f>IF($P1575="","",INDEX(상세표[성명],$P1575)&amp;"")</f>
        <v/>
      </c>
      <c r="C1575">
        <f>IF($P1575="","",INDEX(상세표[부서],$P1575)&amp;"")</f>
        <v/>
      </c>
      <c r="D1575">
        <f>IF($P1575="","",INDEX(상세표[직위],$P1575)&amp;"")</f>
        <v/>
      </c>
      <c r="E1575">
        <f>IF($P1575="","",IF(ISNUMBER(INDEX(상세표[시작],$P1575)),TEXT(INDEX(상세표[시작],$P1575),"yyyy-mm-dd hh:mm"),INDEX(상세표[시작],$P1575)&amp;""))</f>
        <v/>
      </c>
      <c r="F1575">
        <f>IF($P1575="","",IF(ISNUMBER(INDEX(상세표[블록종료],$P1575)),TEXT(INDEX(상세표[블록종료],$P1575),"yyyy-mm-dd hh:mm"),INDEX(상세표[블록종료],$P1575)&amp;""))</f>
        <v/>
      </c>
      <c r="G1575">
        <f>IF($P1575="","",CHOOSE(WEEKDAY(INDEX(상세표[시작],$P1575)),"일","월","화","수","목","금","토"))</f>
        <v/>
      </c>
      <c r="H1575">
        <f>IF($P1575="","",INDEX(상세표[연속 시간],$P1575))</f>
        <v/>
      </c>
      <c r="I1575">
        <f>IF($P1575="","",INDEX(상세표[기록 수],$P1575))</f>
        <v/>
      </c>
      <c r="J1575">
        <f>IF($P1575="","",INDEX(상세표[블록 06~07시],$P1575))</f>
        <v/>
      </c>
      <c r="K1575">
        <f>IF($P1575="","",INDEX(상세표[블록 07~18시],$P1575))</f>
        <v/>
      </c>
      <c r="L1575">
        <f>IF($P1575="","",INDEX(상세표[블록 18~22시],$P1575))</f>
        <v/>
      </c>
      <c r="M1575">
        <f>IF($P1575="","",INDEX(상세표[블록 22~06시],$P1575))</f>
        <v/>
      </c>
      <c r="N1575">
        <f>IF($P1575="","",INDEX(상세표[주말·휴일 포함],$P1575)&amp;"")</f>
        <v/>
      </c>
      <c r="O1575">
        <f>IF($P1575="","",INDEX(상세표[월 넘김 포함],$P1575)&amp;"")</f>
        <v/>
      </c>
      <c r="P1575" s="4">
        <f>IFERROR(MATCH(1570,상세표[연속순번],0),"")</f>
        <v/>
      </c>
    </row>
    <row r="1576">
      <c r="A1576">
        <f>IF($P1576="","",INDEX(상세표[사번],$P1576)&amp;"")</f>
        <v/>
      </c>
      <c r="B1576">
        <f>IF($P1576="","",INDEX(상세표[성명],$P1576)&amp;"")</f>
        <v/>
      </c>
      <c r="C1576">
        <f>IF($P1576="","",INDEX(상세표[부서],$P1576)&amp;"")</f>
        <v/>
      </c>
      <c r="D1576">
        <f>IF($P1576="","",INDEX(상세표[직위],$P1576)&amp;"")</f>
        <v/>
      </c>
      <c r="E1576">
        <f>IF($P1576="","",IF(ISNUMBER(INDEX(상세표[시작],$P1576)),TEXT(INDEX(상세표[시작],$P1576),"yyyy-mm-dd hh:mm"),INDEX(상세표[시작],$P1576)&amp;""))</f>
        <v/>
      </c>
      <c r="F1576">
        <f>IF($P1576="","",IF(ISNUMBER(INDEX(상세표[블록종료],$P1576)),TEXT(INDEX(상세표[블록종료],$P1576),"yyyy-mm-dd hh:mm"),INDEX(상세표[블록종료],$P1576)&amp;""))</f>
        <v/>
      </c>
      <c r="G1576">
        <f>IF($P1576="","",CHOOSE(WEEKDAY(INDEX(상세표[시작],$P1576)),"일","월","화","수","목","금","토"))</f>
        <v/>
      </c>
      <c r="H1576">
        <f>IF($P1576="","",INDEX(상세표[연속 시간],$P1576))</f>
        <v/>
      </c>
      <c r="I1576">
        <f>IF($P1576="","",INDEX(상세표[기록 수],$P1576))</f>
        <v/>
      </c>
      <c r="J1576">
        <f>IF($P1576="","",INDEX(상세표[블록 06~07시],$P1576))</f>
        <v/>
      </c>
      <c r="K1576">
        <f>IF($P1576="","",INDEX(상세표[블록 07~18시],$P1576))</f>
        <v/>
      </c>
      <c r="L1576">
        <f>IF($P1576="","",INDEX(상세표[블록 18~22시],$P1576))</f>
        <v/>
      </c>
      <c r="M1576">
        <f>IF($P1576="","",INDEX(상세표[블록 22~06시],$P1576))</f>
        <v/>
      </c>
      <c r="N1576">
        <f>IF($P1576="","",INDEX(상세표[주말·휴일 포함],$P1576)&amp;"")</f>
        <v/>
      </c>
      <c r="O1576">
        <f>IF($P1576="","",INDEX(상세표[월 넘김 포함],$P1576)&amp;"")</f>
        <v/>
      </c>
      <c r="P1576" s="4">
        <f>IFERROR(MATCH(1571,상세표[연속순번],0),"")</f>
        <v/>
      </c>
    </row>
    <row r="1577">
      <c r="A1577">
        <f>IF($P1577="","",INDEX(상세표[사번],$P1577)&amp;"")</f>
        <v/>
      </c>
      <c r="B1577">
        <f>IF($P1577="","",INDEX(상세표[성명],$P1577)&amp;"")</f>
        <v/>
      </c>
      <c r="C1577">
        <f>IF($P1577="","",INDEX(상세표[부서],$P1577)&amp;"")</f>
        <v/>
      </c>
      <c r="D1577">
        <f>IF($P1577="","",INDEX(상세표[직위],$P1577)&amp;"")</f>
        <v/>
      </c>
      <c r="E1577">
        <f>IF($P1577="","",IF(ISNUMBER(INDEX(상세표[시작],$P1577)),TEXT(INDEX(상세표[시작],$P1577),"yyyy-mm-dd hh:mm"),INDEX(상세표[시작],$P1577)&amp;""))</f>
        <v/>
      </c>
      <c r="F1577">
        <f>IF($P1577="","",IF(ISNUMBER(INDEX(상세표[블록종료],$P1577)),TEXT(INDEX(상세표[블록종료],$P1577),"yyyy-mm-dd hh:mm"),INDEX(상세표[블록종료],$P1577)&amp;""))</f>
        <v/>
      </c>
      <c r="G1577">
        <f>IF($P1577="","",CHOOSE(WEEKDAY(INDEX(상세표[시작],$P1577)),"일","월","화","수","목","금","토"))</f>
        <v/>
      </c>
      <c r="H1577">
        <f>IF($P1577="","",INDEX(상세표[연속 시간],$P1577))</f>
        <v/>
      </c>
      <c r="I1577">
        <f>IF($P1577="","",INDEX(상세표[기록 수],$P1577))</f>
        <v/>
      </c>
      <c r="J1577">
        <f>IF($P1577="","",INDEX(상세표[블록 06~07시],$P1577))</f>
        <v/>
      </c>
      <c r="K1577">
        <f>IF($P1577="","",INDEX(상세표[블록 07~18시],$P1577))</f>
        <v/>
      </c>
      <c r="L1577">
        <f>IF($P1577="","",INDEX(상세표[블록 18~22시],$P1577))</f>
        <v/>
      </c>
      <c r="M1577">
        <f>IF($P1577="","",INDEX(상세표[블록 22~06시],$P1577))</f>
        <v/>
      </c>
      <c r="N1577">
        <f>IF($P1577="","",INDEX(상세표[주말·휴일 포함],$P1577)&amp;"")</f>
        <v/>
      </c>
      <c r="O1577">
        <f>IF($P1577="","",INDEX(상세표[월 넘김 포함],$P1577)&amp;"")</f>
        <v/>
      </c>
      <c r="P1577" s="4">
        <f>IFERROR(MATCH(1572,상세표[연속순번],0),"")</f>
        <v/>
      </c>
    </row>
    <row r="1578">
      <c r="A1578">
        <f>IF($P1578="","",INDEX(상세표[사번],$P1578)&amp;"")</f>
        <v/>
      </c>
      <c r="B1578">
        <f>IF($P1578="","",INDEX(상세표[성명],$P1578)&amp;"")</f>
        <v/>
      </c>
      <c r="C1578">
        <f>IF($P1578="","",INDEX(상세표[부서],$P1578)&amp;"")</f>
        <v/>
      </c>
      <c r="D1578">
        <f>IF($P1578="","",INDEX(상세표[직위],$P1578)&amp;"")</f>
        <v/>
      </c>
      <c r="E1578">
        <f>IF($P1578="","",IF(ISNUMBER(INDEX(상세표[시작],$P1578)),TEXT(INDEX(상세표[시작],$P1578),"yyyy-mm-dd hh:mm"),INDEX(상세표[시작],$P1578)&amp;""))</f>
        <v/>
      </c>
      <c r="F1578">
        <f>IF($P1578="","",IF(ISNUMBER(INDEX(상세표[블록종료],$P1578)),TEXT(INDEX(상세표[블록종료],$P1578),"yyyy-mm-dd hh:mm"),INDEX(상세표[블록종료],$P1578)&amp;""))</f>
        <v/>
      </c>
      <c r="G1578">
        <f>IF($P1578="","",CHOOSE(WEEKDAY(INDEX(상세표[시작],$P1578)),"일","월","화","수","목","금","토"))</f>
        <v/>
      </c>
      <c r="H1578">
        <f>IF($P1578="","",INDEX(상세표[연속 시간],$P1578))</f>
        <v/>
      </c>
      <c r="I1578">
        <f>IF($P1578="","",INDEX(상세표[기록 수],$P1578))</f>
        <v/>
      </c>
      <c r="J1578">
        <f>IF($P1578="","",INDEX(상세표[블록 06~07시],$P1578))</f>
        <v/>
      </c>
      <c r="K1578">
        <f>IF($P1578="","",INDEX(상세표[블록 07~18시],$P1578))</f>
        <v/>
      </c>
      <c r="L1578">
        <f>IF($P1578="","",INDEX(상세표[블록 18~22시],$P1578))</f>
        <v/>
      </c>
      <c r="M1578">
        <f>IF($P1578="","",INDEX(상세표[블록 22~06시],$P1578))</f>
        <v/>
      </c>
      <c r="N1578">
        <f>IF($P1578="","",INDEX(상세표[주말·휴일 포함],$P1578)&amp;"")</f>
        <v/>
      </c>
      <c r="O1578">
        <f>IF($P1578="","",INDEX(상세표[월 넘김 포함],$P1578)&amp;"")</f>
        <v/>
      </c>
      <c r="P1578" s="4">
        <f>IFERROR(MATCH(1573,상세표[연속순번],0),"")</f>
        <v/>
      </c>
    </row>
    <row r="1579">
      <c r="A1579">
        <f>IF($P1579="","",INDEX(상세표[사번],$P1579)&amp;"")</f>
        <v/>
      </c>
      <c r="B1579">
        <f>IF($P1579="","",INDEX(상세표[성명],$P1579)&amp;"")</f>
        <v/>
      </c>
      <c r="C1579">
        <f>IF($P1579="","",INDEX(상세표[부서],$P1579)&amp;"")</f>
        <v/>
      </c>
      <c r="D1579">
        <f>IF($P1579="","",INDEX(상세표[직위],$P1579)&amp;"")</f>
        <v/>
      </c>
      <c r="E1579">
        <f>IF($P1579="","",IF(ISNUMBER(INDEX(상세표[시작],$P1579)),TEXT(INDEX(상세표[시작],$P1579),"yyyy-mm-dd hh:mm"),INDEX(상세표[시작],$P1579)&amp;""))</f>
        <v/>
      </c>
      <c r="F1579">
        <f>IF($P1579="","",IF(ISNUMBER(INDEX(상세표[블록종료],$P1579)),TEXT(INDEX(상세표[블록종료],$P1579),"yyyy-mm-dd hh:mm"),INDEX(상세표[블록종료],$P1579)&amp;""))</f>
        <v/>
      </c>
      <c r="G1579">
        <f>IF($P1579="","",CHOOSE(WEEKDAY(INDEX(상세표[시작],$P1579)),"일","월","화","수","목","금","토"))</f>
        <v/>
      </c>
      <c r="H1579">
        <f>IF($P1579="","",INDEX(상세표[연속 시간],$P1579))</f>
        <v/>
      </c>
      <c r="I1579">
        <f>IF($P1579="","",INDEX(상세표[기록 수],$P1579))</f>
        <v/>
      </c>
      <c r="J1579">
        <f>IF($P1579="","",INDEX(상세표[블록 06~07시],$P1579))</f>
        <v/>
      </c>
      <c r="K1579">
        <f>IF($P1579="","",INDEX(상세표[블록 07~18시],$P1579))</f>
        <v/>
      </c>
      <c r="L1579">
        <f>IF($P1579="","",INDEX(상세표[블록 18~22시],$P1579))</f>
        <v/>
      </c>
      <c r="M1579">
        <f>IF($P1579="","",INDEX(상세표[블록 22~06시],$P1579))</f>
        <v/>
      </c>
      <c r="N1579">
        <f>IF($P1579="","",INDEX(상세표[주말·휴일 포함],$P1579)&amp;"")</f>
        <v/>
      </c>
      <c r="O1579">
        <f>IF($P1579="","",INDEX(상세표[월 넘김 포함],$P1579)&amp;"")</f>
        <v/>
      </c>
      <c r="P1579" s="4">
        <f>IFERROR(MATCH(1574,상세표[연속순번],0),"")</f>
        <v/>
      </c>
    </row>
    <row r="1580">
      <c r="A1580">
        <f>IF($P1580="","",INDEX(상세표[사번],$P1580)&amp;"")</f>
        <v/>
      </c>
      <c r="B1580">
        <f>IF($P1580="","",INDEX(상세표[성명],$P1580)&amp;"")</f>
        <v/>
      </c>
      <c r="C1580">
        <f>IF($P1580="","",INDEX(상세표[부서],$P1580)&amp;"")</f>
        <v/>
      </c>
      <c r="D1580">
        <f>IF($P1580="","",INDEX(상세표[직위],$P1580)&amp;"")</f>
        <v/>
      </c>
      <c r="E1580">
        <f>IF($P1580="","",IF(ISNUMBER(INDEX(상세표[시작],$P1580)),TEXT(INDEX(상세표[시작],$P1580),"yyyy-mm-dd hh:mm"),INDEX(상세표[시작],$P1580)&amp;""))</f>
        <v/>
      </c>
      <c r="F1580">
        <f>IF($P1580="","",IF(ISNUMBER(INDEX(상세표[블록종료],$P1580)),TEXT(INDEX(상세표[블록종료],$P1580),"yyyy-mm-dd hh:mm"),INDEX(상세표[블록종료],$P1580)&amp;""))</f>
        <v/>
      </c>
      <c r="G1580">
        <f>IF($P1580="","",CHOOSE(WEEKDAY(INDEX(상세표[시작],$P1580)),"일","월","화","수","목","금","토"))</f>
        <v/>
      </c>
      <c r="H1580">
        <f>IF($P1580="","",INDEX(상세표[연속 시간],$P1580))</f>
        <v/>
      </c>
      <c r="I1580">
        <f>IF($P1580="","",INDEX(상세표[기록 수],$P1580))</f>
        <v/>
      </c>
      <c r="J1580">
        <f>IF($P1580="","",INDEX(상세표[블록 06~07시],$P1580))</f>
        <v/>
      </c>
      <c r="K1580">
        <f>IF($P1580="","",INDEX(상세표[블록 07~18시],$P1580))</f>
        <v/>
      </c>
      <c r="L1580">
        <f>IF($P1580="","",INDEX(상세표[블록 18~22시],$P1580))</f>
        <v/>
      </c>
      <c r="M1580">
        <f>IF($P1580="","",INDEX(상세표[블록 22~06시],$P1580))</f>
        <v/>
      </c>
      <c r="N1580">
        <f>IF($P1580="","",INDEX(상세표[주말·휴일 포함],$P1580)&amp;"")</f>
        <v/>
      </c>
      <c r="O1580">
        <f>IF($P1580="","",INDEX(상세표[월 넘김 포함],$P1580)&amp;"")</f>
        <v/>
      </c>
      <c r="P1580" s="4">
        <f>IFERROR(MATCH(1575,상세표[연속순번],0),"")</f>
        <v/>
      </c>
    </row>
    <row r="1581">
      <c r="A1581">
        <f>IF($P1581="","",INDEX(상세표[사번],$P1581)&amp;"")</f>
        <v/>
      </c>
      <c r="B1581">
        <f>IF($P1581="","",INDEX(상세표[성명],$P1581)&amp;"")</f>
        <v/>
      </c>
      <c r="C1581">
        <f>IF($P1581="","",INDEX(상세표[부서],$P1581)&amp;"")</f>
        <v/>
      </c>
      <c r="D1581">
        <f>IF($P1581="","",INDEX(상세표[직위],$P1581)&amp;"")</f>
        <v/>
      </c>
      <c r="E1581">
        <f>IF($P1581="","",IF(ISNUMBER(INDEX(상세표[시작],$P1581)),TEXT(INDEX(상세표[시작],$P1581),"yyyy-mm-dd hh:mm"),INDEX(상세표[시작],$P1581)&amp;""))</f>
        <v/>
      </c>
      <c r="F1581">
        <f>IF($P1581="","",IF(ISNUMBER(INDEX(상세표[블록종료],$P1581)),TEXT(INDEX(상세표[블록종료],$P1581),"yyyy-mm-dd hh:mm"),INDEX(상세표[블록종료],$P1581)&amp;""))</f>
        <v/>
      </c>
      <c r="G1581">
        <f>IF($P1581="","",CHOOSE(WEEKDAY(INDEX(상세표[시작],$P1581)),"일","월","화","수","목","금","토"))</f>
        <v/>
      </c>
      <c r="H1581">
        <f>IF($P1581="","",INDEX(상세표[연속 시간],$P1581))</f>
        <v/>
      </c>
      <c r="I1581">
        <f>IF($P1581="","",INDEX(상세표[기록 수],$P1581))</f>
        <v/>
      </c>
      <c r="J1581">
        <f>IF($P1581="","",INDEX(상세표[블록 06~07시],$P1581))</f>
        <v/>
      </c>
      <c r="K1581">
        <f>IF($P1581="","",INDEX(상세표[블록 07~18시],$P1581))</f>
        <v/>
      </c>
      <c r="L1581">
        <f>IF($P1581="","",INDEX(상세표[블록 18~22시],$P1581))</f>
        <v/>
      </c>
      <c r="M1581">
        <f>IF($P1581="","",INDEX(상세표[블록 22~06시],$P1581))</f>
        <v/>
      </c>
      <c r="N1581">
        <f>IF($P1581="","",INDEX(상세표[주말·휴일 포함],$P1581)&amp;"")</f>
        <v/>
      </c>
      <c r="O1581">
        <f>IF($P1581="","",INDEX(상세표[월 넘김 포함],$P1581)&amp;"")</f>
        <v/>
      </c>
      <c r="P1581" s="4">
        <f>IFERROR(MATCH(1576,상세표[연속순번],0),"")</f>
        <v/>
      </c>
    </row>
    <row r="1582">
      <c r="A1582">
        <f>IF($P1582="","",INDEX(상세표[사번],$P1582)&amp;"")</f>
        <v/>
      </c>
      <c r="B1582">
        <f>IF($P1582="","",INDEX(상세표[성명],$P1582)&amp;"")</f>
        <v/>
      </c>
      <c r="C1582">
        <f>IF($P1582="","",INDEX(상세표[부서],$P1582)&amp;"")</f>
        <v/>
      </c>
      <c r="D1582">
        <f>IF($P1582="","",INDEX(상세표[직위],$P1582)&amp;"")</f>
        <v/>
      </c>
      <c r="E1582">
        <f>IF($P1582="","",IF(ISNUMBER(INDEX(상세표[시작],$P1582)),TEXT(INDEX(상세표[시작],$P1582),"yyyy-mm-dd hh:mm"),INDEX(상세표[시작],$P1582)&amp;""))</f>
        <v/>
      </c>
      <c r="F1582">
        <f>IF($P1582="","",IF(ISNUMBER(INDEX(상세표[블록종료],$P1582)),TEXT(INDEX(상세표[블록종료],$P1582),"yyyy-mm-dd hh:mm"),INDEX(상세표[블록종료],$P1582)&amp;""))</f>
        <v/>
      </c>
      <c r="G1582">
        <f>IF($P1582="","",CHOOSE(WEEKDAY(INDEX(상세표[시작],$P1582)),"일","월","화","수","목","금","토"))</f>
        <v/>
      </c>
      <c r="H1582">
        <f>IF($P1582="","",INDEX(상세표[연속 시간],$P1582))</f>
        <v/>
      </c>
      <c r="I1582">
        <f>IF($P1582="","",INDEX(상세표[기록 수],$P1582))</f>
        <v/>
      </c>
      <c r="J1582">
        <f>IF($P1582="","",INDEX(상세표[블록 06~07시],$P1582))</f>
        <v/>
      </c>
      <c r="K1582">
        <f>IF($P1582="","",INDEX(상세표[블록 07~18시],$P1582))</f>
        <v/>
      </c>
      <c r="L1582">
        <f>IF($P1582="","",INDEX(상세표[블록 18~22시],$P1582))</f>
        <v/>
      </c>
      <c r="M1582">
        <f>IF($P1582="","",INDEX(상세표[블록 22~06시],$P1582))</f>
        <v/>
      </c>
      <c r="N1582">
        <f>IF($P1582="","",INDEX(상세표[주말·휴일 포함],$P1582)&amp;"")</f>
        <v/>
      </c>
      <c r="O1582">
        <f>IF($P1582="","",INDEX(상세표[월 넘김 포함],$P1582)&amp;"")</f>
        <v/>
      </c>
      <c r="P1582" s="4">
        <f>IFERROR(MATCH(1577,상세표[연속순번],0),"")</f>
        <v/>
      </c>
    </row>
    <row r="1583">
      <c r="A1583">
        <f>IF($P1583="","",INDEX(상세표[사번],$P1583)&amp;"")</f>
        <v/>
      </c>
      <c r="B1583">
        <f>IF($P1583="","",INDEX(상세표[성명],$P1583)&amp;"")</f>
        <v/>
      </c>
      <c r="C1583">
        <f>IF($P1583="","",INDEX(상세표[부서],$P1583)&amp;"")</f>
        <v/>
      </c>
      <c r="D1583">
        <f>IF($P1583="","",INDEX(상세표[직위],$P1583)&amp;"")</f>
        <v/>
      </c>
      <c r="E1583">
        <f>IF($P1583="","",IF(ISNUMBER(INDEX(상세표[시작],$P1583)),TEXT(INDEX(상세표[시작],$P1583),"yyyy-mm-dd hh:mm"),INDEX(상세표[시작],$P1583)&amp;""))</f>
        <v/>
      </c>
      <c r="F1583">
        <f>IF($P1583="","",IF(ISNUMBER(INDEX(상세표[블록종료],$P1583)),TEXT(INDEX(상세표[블록종료],$P1583),"yyyy-mm-dd hh:mm"),INDEX(상세표[블록종료],$P1583)&amp;""))</f>
        <v/>
      </c>
      <c r="G1583">
        <f>IF($P1583="","",CHOOSE(WEEKDAY(INDEX(상세표[시작],$P1583)),"일","월","화","수","목","금","토"))</f>
        <v/>
      </c>
      <c r="H1583">
        <f>IF($P1583="","",INDEX(상세표[연속 시간],$P1583))</f>
        <v/>
      </c>
      <c r="I1583">
        <f>IF($P1583="","",INDEX(상세표[기록 수],$P1583))</f>
        <v/>
      </c>
      <c r="J1583">
        <f>IF($P1583="","",INDEX(상세표[블록 06~07시],$P1583))</f>
        <v/>
      </c>
      <c r="K1583">
        <f>IF($P1583="","",INDEX(상세표[블록 07~18시],$P1583))</f>
        <v/>
      </c>
      <c r="L1583">
        <f>IF($P1583="","",INDEX(상세표[블록 18~22시],$P1583))</f>
        <v/>
      </c>
      <c r="M1583">
        <f>IF($P1583="","",INDEX(상세표[블록 22~06시],$P1583))</f>
        <v/>
      </c>
      <c r="N1583">
        <f>IF($P1583="","",INDEX(상세표[주말·휴일 포함],$P1583)&amp;"")</f>
        <v/>
      </c>
      <c r="O1583">
        <f>IF($P1583="","",INDEX(상세표[월 넘김 포함],$P1583)&amp;"")</f>
        <v/>
      </c>
      <c r="P1583" s="4">
        <f>IFERROR(MATCH(1578,상세표[연속순번],0),"")</f>
        <v/>
      </c>
    </row>
    <row r="1584">
      <c r="A1584">
        <f>IF($P1584="","",INDEX(상세표[사번],$P1584)&amp;"")</f>
        <v/>
      </c>
      <c r="B1584">
        <f>IF($P1584="","",INDEX(상세표[성명],$P1584)&amp;"")</f>
        <v/>
      </c>
      <c r="C1584">
        <f>IF($P1584="","",INDEX(상세표[부서],$P1584)&amp;"")</f>
        <v/>
      </c>
      <c r="D1584">
        <f>IF($P1584="","",INDEX(상세표[직위],$P1584)&amp;"")</f>
        <v/>
      </c>
      <c r="E1584">
        <f>IF($P1584="","",IF(ISNUMBER(INDEX(상세표[시작],$P1584)),TEXT(INDEX(상세표[시작],$P1584),"yyyy-mm-dd hh:mm"),INDEX(상세표[시작],$P1584)&amp;""))</f>
        <v/>
      </c>
      <c r="F1584">
        <f>IF($P1584="","",IF(ISNUMBER(INDEX(상세표[블록종료],$P1584)),TEXT(INDEX(상세표[블록종료],$P1584),"yyyy-mm-dd hh:mm"),INDEX(상세표[블록종료],$P1584)&amp;""))</f>
        <v/>
      </c>
      <c r="G1584">
        <f>IF($P1584="","",CHOOSE(WEEKDAY(INDEX(상세표[시작],$P1584)),"일","월","화","수","목","금","토"))</f>
        <v/>
      </c>
      <c r="H1584">
        <f>IF($P1584="","",INDEX(상세표[연속 시간],$P1584))</f>
        <v/>
      </c>
      <c r="I1584">
        <f>IF($P1584="","",INDEX(상세표[기록 수],$P1584))</f>
        <v/>
      </c>
      <c r="J1584">
        <f>IF($P1584="","",INDEX(상세표[블록 06~07시],$P1584))</f>
        <v/>
      </c>
      <c r="K1584">
        <f>IF($P1584="","",INDEX(상세표[블록 07~18시],$P1584))</f>
        <v/>
      </c>
      <c r="L1584">
        <f>IF($P1584="","",INDEX(상세표[블록 18~22시],$P1584))</f>
        <v/>
      </c>
      <c r="M1584">
        <f>IF($P1584="","",INDEX(상세표[블록 22~06시],$P1584))</f>
        <v/>
      </c>
      <c r="N1584">
        <f>IF($P1584="","",INDEX(상세표[주말·휴일 포함],$P1584)&amp;"")</f>
        <v/>
      </c>
      <c r="O1584">
        <f>IF($P1584="","",INDEX(상세표[월 넘김 포함],$P1584)&amp;"")</f>
        <v/>
      </c>
      <c r="P1584" s="4">
        <f>IFERROR(MATCH(1579,상세표[연속순번],0),"")</f>
        <v/>
      </c>
    </row>
    <row r="1585">
      <c r="A1585">
        <f>IF($P1585="","",INDEX(상세표[사번],$P1585)&amp;"")</f>
        <v/>
      </c>
      <c r="B1585">
        <f>IF($P1585="","",INDEX(상세표[성명],$P1585)&amp;"")</f>
        <v/>
      </c>
      <c r="C1585">
        <f>IF($P1585="","",INDEX(상세표[부서],$P1585)&amp;"")</f>
        <v/>
      </c>
      <c r="D1585">
        <f>IF($P1585="","",INDEX(상세표[직위],$P1585)&amp;"")</f>
        <v/>
      </c>
      <c r="E1585">
        <f>IF($P1585="","",IF(ISNUMBER(INDEX(상세표[시작],$P1585)),TEXT(INDEX(상세표[시작],$P1585),"yyyy-mm-dd hh:mm"),INDEX(상세표[시작],$P1585)&amp;""))</f>
        <v/>
      </c>
      <c r="F1585">
        <f>IF($P1585="","",IF(ISNUMBER(INDEX(상세표[블록종료],$P1585)),TEXT(INDEX(상세표[블록종료],$P1585),"yyyy-mm-dd hh:mm"),INDEX(상세표[블록종료],$P1585)&amp;""))</f>
        <v/>
      </c>
      <c r="G1585">
        <f>IF($P1585="","",CHOOSE(WEEKDAY(INDEX(상세표[시작],$P1585)),"일","월","화","수","목","금","토"))</f>
        <v/>
      </c>
      <c r="H1585">
        <f>IF($P1585="","",INDEX(상세표[연속 시간],$P1585))</f>
        <v/>
      </c>
      <c r="I1585">
        <f>IF($P1585="","",INDEX(상세표[기록 수],$P1585))</f>
        <v/>
      </c>
      <c r="J1585">
        <f>IF($P1585="","",INDEX(상세표[블록 06~07시],$P1585))</f>
        <v/>
      </c>
      <c r="K1585">
        <f>IF($P1585="","",INDEX(상세표[블록 07~18시],$P1585))</f>
        <v/>
      </c>
      <c r="L1585">
        <f>IF($P1585="","",INDEX(상세표[블록 18~22시],$P1585))</f>
        <v/>
      </c>
      <c r="M1585">
        <f>IF($P1585="","",INDEX(상세표[블록 22~06시],$P1585))</f>
        <v/>
      </c>
      <c r="N1585">
        <f>IF($P1585="","",INDEX(상세표[주말·휴일 포함],$P1585)&amp;"")</f>
        <v/>
      </c>
      <c r="O1585">
        <f>IF($P1585="","",INDEX(상세표[월 넘김 포함],$P1585)&amp;"")</f>
        <v/>
      </c>
      <c r="P1585" s="4">
        <f>IFERROR(MATCH(1580,상세표[연속순번],0),"")</f>
        <v/>
      </c>
    </row>
    <row r="1586">
      <c r="A1586">
        <f>IF($P1586="","",INDEX(상세표[사번],$P1586)&amp;"")</f>
        <v/>
      </c>
      <c r="B1586">
        <f>IF($P1586="","",INDEX(상세표[성명],$P1586)&amp;"")</f>
        <v/>
      </c>
      <c r="C1586">
        <f>IF($P1586="","",INDEX(상세표[부서],$P1586)&amp;"")</f>
        <v/>
      </c>
      <c r="D1586">
        <f>IF($P1586="","",INDEX(상세표[직위],$P1586)&amp;"")</f>
        <v/>
      </c>
      <c r="E1586">
        <f>IF($P1586="","",IF(ISNUMBER(INDEX(상세표[시작],$P1586)),TEXT(INDEX(상세표[시작],$P1586),"yyyy-mm-dd hh:mm"),INDEX(상세표[시작],$P1586)&amp;""))</f>
        <v/>
      </c>
      <c r="F1586">
        <f>IF($P1586="","",IF(ISNUMBER(INDEX(상세표[블록종료],$P1586)),TEXT(INDEX(상세표[블록종료],$P1586),"yyyy-mm-dd hh:mm"),INDEX(상세표[블록종료],$P1586)&amp;""))</f>
        <v/>
      </c>
      <c r="G1586">
        <f>IF($P1586="","",CHOOSE(WEEKDAY(INDEX(상세표[시작],$P1586)),"일","월","화","수","목","금","토"))</f>
        <v/>
      </c>
      <c r="H1586">
        <f>IF($P1586="","",INDEX(상세표[연속 시간],$P1586))</f>
        <v/>
      </c>
      <c r="I1586">
        <f>IF($P1586="","",INDEX(상세표[기록 수],$P1586))</f>
        <v/>
      </c>
      <c r="J1586">
        <f>IF($P1586="","",INDEX(상세표[블록 06~07시],$P1586))</f>
        <v/>
      </c>
      <c r="K1586">
        <f>IF($P1586="","",INDEX(상세표[블록 07~18시],$P1586))</f>
        <v/>
      </c>
      <c r="L1586">
        <f>IF($P1586="","",INDEX(상세표[블록 18~22시],$P1586))</f>
        <v/>
      </c>
      <c r="M1586">
        <f>IF($P1586="","",INDEX(상세표[블록 22~06시],$P1586))</f>
        <v/>
      </c>
      <c r="N1586">
        <f>IF($P1586="","",INDEX(상세표[주말·휴일 포함],$P1586)&amp;"")</f>
        <v/>
      </c>
      <c r="O1586">
        <f>IF($P1586="","",INDEX(상세표[월 넘김 포함],$P1586)&amp;"")</f>
        <v/>
      </c>
      <c r="P1586" s="4">
        <f>IFERROR(MATCH(1581,상세표[연속순번],0),"")</f>
        <v/>
      </c>
    </row>
    <row r="1587">
      <c r="A1587">
        <f>IF($P1587="","",INDEX(상세표[사번],$P1587)&amp;"")</f>
        <v/>
      </c>
      <c r="B1587">
        <f>IF($P1587="","",INDEX(상세표[성명],$P1587)&amp;"")</f>
        <v/>
      </c>
      <c r="C1587">
        <f>IF($P1587="","",INDEX(상세표[부서],$P1587)&amp;"")</f>
        <v/>
      </c>
      <c r="D1587">
        <f>IF($P1587="","",INDEX(상세표[직위],$P1587)&amp;"")</f>
        <v/>
      </c>
      <c r="E1587">
        <f>IF($P1587="","",IF(ISNUMBER(INDEX(상세표[시작],$P1587)),TEXT(INDEX(상세표[시작],$P1587),"yyyy-mm-dd hh:mm"),INDEX(상세표[시작],$P1587)&amp;""))</f>
        <v/>
      </c>
      <c r="F1587">
        <f>IF($P1587="","",IF(ISNUMBER(INDEX(상세표[블록종료],$P1587)),TEXT(INDEX(상세표[블록종료],$P1587),"yyyy-mm-dd hh:mm"),INDEX(상세표[블록종료],$P1587)&amp;""))</f>
        <v/>
      </c>
      <c r="G1587">
        <f>IF($P1587="","",CHOOSE(WEEKDAY(INDEX(상세표[시작],$P1587)),"일","월","화","수","목","금","토"))</f>
        <v/>
      </c>
      <c r="H1587">
        <f>IF($P1587="","",INDEX(상세표[연속 시간],$P1587))</f>
        <v/>
      </c>
      <c r="I1587">
        <f>IF($P1587="","",INDEX(상세표[기록 수],$P1587))</f>
        <v/>
      </c>
      <c r="J1587">
        <f>IF($P1587="","",INDEX(상세표[블록 06~07시],$P1587))</f>
        <v/>
      </c>
      <c r="K1587">
        <f>IF($P1587="","",INDEX(상세표[블록 07~18시],$P1587))</f>
        <v/>
      </c>
      <c r="L1587">
        <f>IF($P1587="","",INDEX(상세표[블록 18~22시],$P1587))</f>
        <v/>
      </c>
      <c r="M1587">
        <f>IF($P1587="","",INDEX(상세표[블록 22~06시],$P1587))</f>
        <v/>
      </c>
      <c r="N1587">
        <f>IF($P1587="","",INDEX(상세표[주말·휴일 포함],$P1587)&amp;"")</f>
        <v/>
      </c>
      <c r="O1587">
        <f>IF($P1587="","",INDEX(상세표[월 넘김 포함],$P1587)&amp;"")</f>
        <v/>
      </c>
      <c r="P1587" s="4">
        <f>IFERROR(MATCH(1582,상세표[연속순번],0),"")</f>
        <v/>
      </c>
    </row>
    <row r="1588">
      <c r="A1588">
        <f>IF($P1588="","",INDEX(상세표[사번],$P1588)&amp;"")</f>
        <v/>
      </c>
      <c r="B1588">
        <f>IF($P1588="","",INDEX(상세표[성명],$P1588)&amp;"")</f>
        <v/>
      </c>
      <c r="C1588">
        <f>IF($P1588="","",INDEX(상세표[부서],$P1588)&amp;"")</f>
        <v/>
      </c>
      <c r="D1588">
        <f>IF($P1588="","",INDEX(상세표[직위],$P1588)&amp;"")</f>
        <v/>
      </c>
      <c r="E1588">
        <f>IF($P1588="","",IF(ISNUMBER(INDEX(상세표[시작],$P1588)),TEXT(INDEX(상세표[시작],$P1588),"yyyy-mm-dd hh:mm"),INDEX(상세표[시작],$P1588)&amp;""))</f>
        <v/>
      </c>
      <c r="F1588">
        <f>IF($P1588="","",IF(ISNUMBER(INDEX(상세표[블록종료],$P1588)),TEXT(INDEX(상세표[블록종료],$P1588),"yyyy-mm-dd hh:mm"),INDEX(상세표[블록종료],$P1588)&amp;""))</f>
        <v/>
      </c>
      <c r="G1588">
        <f>IF($P1588="","",CHOOSE(WEEKDAY(INDEX(상세표[시작],$P1588)),"일","월","화","수","목","금","토"))</f>
        <v/>
      </c>
      <c r="H1588">
        <f>IF($P1588="","",INDEX(상세표[연속 시간],$P1588))</f>
        <v/>
      </c>
      <c r="I1588">
        <f>IF($P1588="","",INDEX(상세표[기록 수],$P1588))</f>
        <v/>
      </c>
      <c r="J1588">
        <f>IF($P1588="","",INDEX(상세표[블록 06~07시],$P1588))</f>
        <v/>
      </c>
      <c r="K1588">
        <f>IF($P1588="","",INDEX(상세표[블록 07~18시],$P1588))</f>
        <v/>
      </c>
      <c r="L1588">
        <f>IF($P1588="","",INDEX(상세표[블록 18~22시],$P1588))</f>
        <v/>
      </c>
      <c r="M1588">
        <f>IF($P1588="","",INDEX(상세표[블록 22~06시],$P1588))</f>
        <v/>
      </c>
      <c r="N1588">
        <f>IF($P1588="","",INDEX(상세표[주말·휴일 포함],$P1588)&amp;"")</f>
        <v/>
      </c>
      <c r="O1588">
        <f>IF($P1588="","",INDEX(상세표[월 넘김 포함],$P1588)&amp;"")</f>
        <v/>
      </c>
      <c r="P1588" s="4">
        <f>IFERROR(MATCH(1583,상세표[연속순번],0),"")</f>
        <v/>
      </c>
    </row>
    <row r="1589">
      <c r="A1589">
        <f>IF($P1589="","",INDEX(상세표[사번],$P1589)&amp;"")</f>
        <v/>
      </c>
      <c r="B1589">
        <f>IF($P1589="","",INDEX(상세표[성명],$P1589)&amp;"")</f>
        <v/>
      </c>
      <c r="C1589">
        <f>IF($P1589="","",INDEX(상세표[부서],$P1589)&amp;"")</f>
        <v/>
      </c>
      <c r="D1589">
        <f>IF($P1589="","",INDEX(상세표[직위],$P1589)&amp;"")</f>
        <v/>
      </c>
      <c r="E1589">
        <f>IF($P1589="","",IF(ISNUMBER(INDEX(상세표[시작],$P1589)),TEXT(INDEX(상세표[시작],$P1589),"yyyy-mm-dd hh:mm"),INDEX(상세표[시작],$P1589)&amp;""))</f>
        <v/>
      </c>
      <c r="F1589">
        <f>IF($P1589="","",IF(ISNUMBER(INDEX(상세표[블록종료],$P1589)),TEXT(INDEX(상세표[블록종료],$P1589),"yyyy-mm-dd hh:mm"),INDEX(상세표[블록종료],$P1589)&amp;""))</f>
        <v/>
      </c>
      <c r="G1589">
        <f>IF($P1589="","",CHOOSE(WEEKDAY(INDEX(상세표[시작],$P1589)),"일","월","화","수","목","금","토"))</f>
        <v/>
      </c>
      <c r="H1589">
        <f>IF($P1589="","",INDEX(상세표[연속 시간],$P1589))</f>
        <v/>
      </c>
      <c r="I1589">
        <f>IF($P1589="","",INDEX(상세표[기록 수],$P1589))</f>
        <v/>
      </c>
      <c r="J1589">
        <f>IF($P1589="","",INDEX(상세표[블록 06~07시],$P1589))</f>
        <v/>
      </c>
      <c r="K1589">
        <f>IF($P1589="","",INDEX(상세표[블록 07~18시],$P1589))</f>
        <v/>
      </c>
      <c r="L1589">
        <f>IF($P1589="","",INDEX(상세표[블록 18~22시],$P1589))</f>
        <v/>
      </c>
      <c r="M1589">
        <f>IF($P1589="","",INDEX(상세표[블록 22~06시],$P1589))</f>
        <v/>
      </c>
      <c r="N1589">
        <f>IF($P1589="","",INDEX(상세표[주말·휴일 포함],$P1589)&amp;"")</f>
        <v/>
      </c>
      <c r="O1589">
        <f>IF($P1589="","",INDEX(상세표[월 넘김 포함],$P1589)&amp;"")</f>
        <v/>
      </c>
      <c r="P1589" s="4">
        <f>IFERROR(MATCH(1584,상세표[연속순번],0),"")</f>
        <v/>
      </c>
    </row>
    <row r="1590">
      <c r="A1590">
        <f>IF($P1590="","",INDEX(상세표[사번],$P1590)&amp;"")</f>
        <v/>
      </c>
      <c r="B1590">
        <f>IF($P1590="","",INDEX(상세표[성명],$P1590)&amp;"")</f>
        <v/>
      </c>
      <c r="C1590">
        <f>IF($P1590="","",INDEX(상세표[부서],$P1590)&amp;"")</f>
        <v/>
      </c>
      <c r="D1590">
        <f>IF($P1590="","",INDEX(상세표[직위],$P1590)&amp;"")</f>
        <v/>
      </c>
      <c r="E1590">
        <f>IF($P1590="","",IF(ISNUMBER(INDEX(상세표[시작],$P1590)),TEXT(INDEX(상세표[시작],$P1590),"yyyy-mm-dd hh:mm"),INDEX(상세표[시작],$P1590)&amp;""))</f>
        <v/>
      </c>
      <c r="F1590">
        <f>IF($P1590="","",IF(ISNUMBER(INDEX(상세표[블록종료],$P1590)),TEXT(INDEX(상세표[블록종료],$P1590),"yyyy-mm-dd hh:mm"),INDEX(상세표[블록종료],$P1590)&amp;""))</f>
        <v/>
      </c>
      <c r="G1590">
        <f>IF($P1590="","",CHOOSE(WEEKDAY(INDEX(상세표[시작],$P1590)),"일","월","화","수","목","금","토"))</f>
        <v/>
      </c>
      <c r="H1590">
        <f>IF($P1590="","",INDEX(상세표[연속 시간],$P1590))</f>
        <v/>
      </c>
      <c r="I1590">
        <f>IF($P1590="","",INDEX(상세표[기록 수],$P1590))</f>
        <v/>
      </c>
      <c r="J1590">
        <f>IF($P1590="","",INDEX(상세표[블록 06~07시],$P1590))</f>
        <v/>
      </c>
      <c r="K1590">
        <f>IF($P1590="","",INDEX(상세표[블록 07~18시],$P1590))</f>
        <v/>
      </c>
      <c r="L1590">
        <f>IF($P1590="","",INDEX(상세표[블록 18~22시],$P1590))</f>
        <v/>
      </c>
      <c r="M1590">
        <f>IF($P1590="","",INDEX(상세표[블록 22~06시],$P1590))</f>
        <v/>
      </c>
      <c r="N1590">
        <f>IF($P1590="","",INDEX(상세표[주말·휴일 포함],$P1590)&amp;"")</f>
        <v/>
      </c>
      <c r="O1590">
        <f>IF($P1590="","",INDEX(상세표[월 넘김 포함],$P1590)&amp;"")</f>
        <v/>
      </c>
      <c r="P1590" s="4">
        <f>IFERROR(MATCH(1585,상세표[연속순번],0),"")</f>
        <v/>
      </c>
    </row>
    <row r="1591">
      <c r="A1591">
        <f>IF($P1591="","",INDEX(상세표[사번],$P1591)&amp;"")</f>
        <v/>
      </c>
      <c r="B1591">
        <f>IF($P1591="","",INDEX(상세표[성명],$P1591)&amp;"")</f>
        <v/>
      </c>
      <c r="C1591">
        <f>IF($P1591="","",INDEX(상세표[부서],$P1591)&amp;"")</f>
        <v/>
      </c>
      <c r="D1591">
        <f>IF($P1591="","",INDEX(상세표[직위],$P1591)&amp;"")</f>
        <v/>
      </c>
      <c r="E1591">
        <f>IF($P1591="","",IF(ISNUMBER(INDEX(상세표[시작],$P1591)),TEXT(INDEX(상세표[시작],$P1591),"yyyy-mm-dd hh:mm"),INDEX(상세표[시작],$P1591)&amp;""))</f>
        <v/>
      </c>
      <c r="F1591">
        <f>IF($P1591="","",IF(ISNUMBER(INDEX(상세표[블록종료],$P1591)),TEXT(INDEX(상세표[블록종료],$P1591),"yyyy-mm-dd hh:mm"),INDEX(상세표[블록종료],$P1591)&amp;""))</f>
        <v/>
      </c>
      <c r="G1591">
        <f>IF($P1591="","",CHOOSE(WEEKDAY(INDEX(상세표[시작],$P1591)),"일","월","화","수","목","금","토"))</f>
        <v/>
      </c>
      <c r="H1591">
        <f>IF($P1591="","",INDEX(상세표[연속 시간],$P1591))</f>
        <v/>
      </c>
      <c r="I1591">
        <f>IF($P1591="","",INDEX(상세표[기록 수],$P1591))</f>
        <v/>
      </c>
      <c r="J1591">
        <f>IF($P1591="","",INDEX(상세표[블록 06~07시],$P1591))</f>
        <v/>
      </c>
      <c r="K1591">
        <f>IF($P1591="","",INDEX(상세표[블록 07~18시],$P1591))</f>
        <v/>
      </c>
      <c r="L1591">
        <f>IF($P1591="","",INDEX(상세표[블록 18~22시],$P1591))</f>
        <v/>
      </c>
      <c r="M1591">
        <f>IF($P1591="","",INDEX(상세표[블록 22~06시],$P1591))</f>
        <v/>
      </c>
      <c r="N1591">
        <f>IF($P1591="","",INDEX(상세표[주말·휴일 포함],$P1591)&amp;"")</f>
        <v/>
      </c>
      <c r="O1591">
        <f>IF($P1591="","",INDEX(상세표[월 넘김 포함],$P1591)&amp;"")</f>
        <v/>
      </c>
      <c r="P1591" s="4">
        <f>IFERROR(MATCH(1586,상세표[연속순번],0),"")</f>
        <v/>
      </c>
    </row>
    <row r="1592">
      <c r="A1592">
        <f>IF($P1592="","",INDEX(상세표[사번],$P1592)&amp;"")</f>
        <v/>
      </c>
      <c r="B1592">
        <f>IF($P1592="","",INDEX(상세표[성명],$P1592)&amp;"")</f>
        <v/>
      </c>
      <c r="C1592">
        <f>IF($P1592="","",INDEX(상세표[부서],$P1592)&amp;"")</f>
        <v/>
      </c>
      <c r="D1592">
        <f>IF($P1592="","",INDEX(상세표[직위],$P1592)&amp;"")</f>
        <v/>
      </c>
      <c r="E1592">
        <f>IF($P1592="","",IF(ISNUMBER(INDEX(상세표[시작],$P1592)),TEXT(INDEX(상세표[시작],$P1592),"yyyy-mm-dd hh:mm"),INDEX(상세표[시작],$P1592)&amp;""))</f>
        <v/>
      </c>
      <c r="F1592">
        <f>IF($P1592="","",IF(ISNUMBER(INDEX(상세표[블록종료],$P1592)),TEXT(INDEX(상세표[블록종료],$P1592),"yyyy-mm-dd hh:mm"),INDEX(상세표[블록종료],$P1592)&amp;""))</f>
        <v/>
      </c>
      <c r="G1592">
        <f>IF($P1592="","",CHOOSE(WEEKDAY(INDEX(상세표[시작],$P1592)),"일","월","화","수","목","금","토"))</f>
        <v/>
      </c>
      <c r="H1592">
        <f>IF($P1592="","",INDEX(상세표[연속 시간],$P1592))</f>
        <v/>
      </c>
      <c r="I1592">
        <f>IF($P1592="","",INDEX(상세표[기록 수],$P1592))</f>
        <v/>
      </c>
      <c r="J1592">
        <f>IF($P1592="","",INDEX(상세표[블록 06~07시],$P1592))</f>
        <v/>
      </c>
      <c r="K1592">
        <f>IF($P1592="","",INDEX(상세표[블록 07~18시],$P1592))</f>
        <v/>
      </c>
      <c r="L1592">
        <f>IF($P1592="","",INDEX(상세표[블록 18~22시],$P1592))</f>
        <v/>
      </c>
      <c r="M1592">
        <f>IF($P1592="","",INDEX(상세표[블록 22~06시],$P1592))</f>
        <v/>
      </c>
      <c r="N1592">
        <f>IF($P1592="","",INDEX(상세표[주말·휴일 포함],$P1592)&amp;"")</f>
        <v/>
      </c>
      <c r="O1592">
        <f>IF($P1592="","",INDEX(상세표[월 넘김 포함],$P1592)&amp;"")</f>
        <v/>
      </c>
      <c r="P1592" s="4">
        <f>IFERROR(MATCH(1587,상세표[연속순번],0),"")</f>
        <v/>
      </c>
    </row>
    <row r="1593">
      <c r="A1593">
        <f>IF($P1593="","",INDEX(상세표[사번],$P1593)&amp;"")</f>
        <v/>
      </c>
      <c r="B1593">
        <f>IF($P1593="","",INDEX(상세표[성명],$P1593)&amp;"")</f>
        <v/>
      </c>
      <c r="C1593">
        <f>IF($P1593="","",INDEX(상세표[부서],$P1593)&amp;"")</f>
        <v/>
      </c>
      <c r="D1593">
        <f>IF($P1593="","",INDEX(상세표[직위],$P1593)&amp;"")</f>
        <v/>
      </c>
      <c r="E1593">
        <f>IF($P1593="","",IF(ISNUMBER(INDEX(상세표[시작],$P1593)),TEXT(INDEX(상세표[시작],$P1593),"yyyy-mm-dd hh:mm"),INDEX(상세표[시작],$P1593)&amp;""))</f>
        <v/>
      </c>
      <c r="F1593">
        <f>IF($P1593="","",IF(ISNUMBER(INDEX(상세표[블록종료],$P1593)),TEXT(INDEX(상세표[블록종료],$P1593),"yyyy-mm-dd hh:mm"),INDEX(상세표[블록종료],$P1593)&amp;""))</f>
        <v/>
      </c>
      <c r="G1593">
        <f>IF($P1593="","",CHOOSE(WEEKDAY(INDEX(상세표[시작],$P1593)),"일","월","화","수","목","금","토"))</f>
        <v/>
      </c>
      <c r="H1593">
        <f>IF($P1593="","",INDEX(상세표[연속 시간],$P1593))</f>
        <v/>
      </c>
      <c r="I1593">
        <f>IF($P1593="","",INDEX(상세표[기록 수],$P1593))</f>
        <v/>
      </c>
      <c r="J1593">
        <f>IF($P1593="","",INDEX(상세표[블록 06~07시],$P1593))</f>
        <v/>
      </c>
      <c r="K1593">
        <f>IF($P1593="","",INDEX(상세표[블록 07~18시],$P1593))</f>
        <v/>
      </c>
      <c r="L1593">
        <f>IF($P1593="","",INDEX(상세표[블록 18~22시],$P1593))</f>
        <v/>
      </c>
      <c r="M1593">
        <f>IF($P1593="","",INDEX(상세표[블록 22~06시],$P1593))</f>
        <v/>
      </c>
      <c r="N1593">
        <f>IF($P1593="","",INDEX(상세표[주말·휴일 포함],$P1593)&amp;"")</f>
        <v/>
      </c>
      <c r="O1593">
        <f>IF($P1593="","",INDEX(상세표[월 넘김 포함],$P1593)&amp;"")</f>
        <v/>
      </c>
      <c r="P1593" s="4">
        <f>IFERROR(MATCH(1588,상세표[연속순번],0),"")</f>
        <v/>
      </c>
    </row>
    <row r="1594">
      <c r="A1594">
        <f>IF($P1594="","",INDEX(상세표[사번],$P1594)&amp;"")</f>
        <v/>
      </c>
      <c r="B1594">
        <f>IF($P1594="","",INDEX(상세표[성명],$P1594)&amp;"")</f>
        <v/>
      </c>
      <c r="C1594">
        <f>IF($P1594="","",INDEX(상세표[부서],$P1594)&amp;"")</f>
        <v/>
      </c>
      <c r="D1594">
        <f>IF($P1594="","",INDEX(상세표[직위],$P1594)&amp;"")</f>
        <v/>
      </c>
      <c r="E1594">
        <f>IF($P1594="","",IF(ISNUMBER(INDEX(상세표[시작],$P1594)),TEXT(INDEX(상세표[시작],$P1594),"yyyy-mm-dd hh:mm"),INDEX(상세표[시작],$P1594)&amp;""))</f>
        <v/>
      </c>
      <c r="F1594">
        <f>IF($P1594="","",IF(ISNUMBER(INDEX(상세표[블록종료],$P1594)),TEXT(INDEX(상세표[블록종료],$P1594),"yyyy-mm-dd hh:mm"),INDEX(상세표[블록종료],$P1594)&amp;""))</f>
        <v/>
      </c>
      <c r="G1594">
        <f>IF($P1594="","",CHOOSE(WEEKDAY(INDEX(상세표[시작],$P1594)),"일","월","화","수","목","금","토"))</f>
        <v/>
      </c>
      <c r="H1594">
        <f>IF($P1594="","",INDEX(상세표[연속 시간],$P1594))</f>
        <v/>
      </c>
      <c r="I1594">
        <f>IF($P1594="","",INDEX(상세표[기록 수],$P1594))</f>
        <v/>
      </c>
      <c r="J1594">
        <f>IF($P1594="","",INDEX(상세표[블록 06~07시],$P1594))</f>
        <v/>
      </c>
      <c r="K1594">
        <f>IF($P1594="","",INDEX(상세표[블록 07~18시],$P1594))</f>
        <v/>
      </c>
      <c r="L1594">
        <f>IF($P1594="","",INDEX(상세표[블록 18~22시],$P1594))</f>
        <v/>
      </c>
      <c r="M1594">
        <f>IF($P1594="","",INDEX(상세표[블록 22~06시],$P1594))</f>
        <v/>
      </c>
      <c r="N1594">
        <f>IF($P1594="","",INDEX(상세표[주말·휴일 포함],$P1594)&amp;"")</f>
        <v/>
      </c>
      <c r="O1594">
        <f>IF($P1594="","",INDEX(상세표[월 넘김 포함],$P1594)&amp;"")</f>
        <v/>
      </c>
      <c r="P1594" s="4">
        <f>IFERROR(MATCH(1589,상세표[연속순번],0),"")</f>
        <v/>
      </c>
    </row>
    <row r="1595">
      <c r="A1595">
        <f>IF($P1595="","",INDEX(상세표[사번],$P1595)&amp;"")</f>
        <v/>
      </c>
      <c r="B1595">
        <f>IF($P1595="","",INDEX(상세표[성명],$P1595)&amp;"")</f>
        <v/>
      </c>
      <c r="C1595">
        <f>IF($P1595="","",INDEX(상세표[부서],$P1595)&amp;"")</f>
        <v/>
      </c>
      <c r="D1595">
        <f>IF($P1595="","",INDEX(상세표[직위],$P1595)&amp;"")</f>
        <v/>
      </c>
      <c r="E1595">
        <f>IF($P1595="","",IF(ISNUMBER(INDEX(상세표[시작],$P1595)),TEXT(INDEX(상세표[시작],$P1595),"yyyy-mm-dd hh:mm"),INDEX(상세표[시작],$P1595)&amp;""))</f>
        <v/>
      </c>
      <c r="F1595">
        <f>IF($P1595="","",IF(ISNUMBER(INDEX(상세표[블록종료],$P1595)),TEXT(INDEX(상세표[블록종료],$P1595),"yyyy-mm-dd hh:mm"),INDEX(상세표[블록종료],$P1595)&amp;""))</f>
        <v/>
      </c>
      <c r="G1595">
        <f>IF($P1595="","",CHOOSE(WEEKDAY(INDEX(상세표[시작],$P1595)),"일","월","화","수","목","금","토"))</f>
        <v/>
      </c>
      <c r="H1595">
        <f>IF($P1595="","",INDEX(상세표[연속 시간],$P1595))</f>
        <v/>
      </c>
      <c r="I1595">
        <f>IF($P1595="","",INDEX(상세표[기록 수],$P1595))</f>
        <v/>
      </c>
      <c r="J1595">
        <f>IF($P1595="","",INDEX(상세표[블록 06~07시],$P1595))</f>
        <v/>
      </c>
      <c r="K1595">
        <f>IF($P1595="","",INDEX(상세표[블록 07~18시],$P1595))</f>
        <v/>
      </c>
      <c r="L1595">
        <f>IF($P1595="","",INDEX(상세표[블록 18~22시],$P1595))</f>
        <v/>
      </c>
      <c r="M1595">
        <f>IF($P1595="","",INDEX(상세표[블록 22~06시],$P1595))</f>
        <v/>
      </c>
      <c r="N1595">
        <f>IF($P1595="","",INDEX(상세표[주말·휴일 포함],$P1595)&amp;"")</f>
        <v/>
      </c>
      <c r="O1595">
        <f>IF($P1595="","",INDEX(상세표[월 넘김 포함],$P1595)&amp;"")</f>
        <v/>
      </c>
      <c r="P1595" s="4">
        <f>IFERROR(MATCH(1590,상세표[연속순번],0),"")</f>
        <v/>
      </c>
    </row>
    <row r="1596">
      <c r="A1596">
        <f>IF($P1596="","",INDEX(상세표[사번],$P1596)&amp;"")</f>
        <v/>
      </c>
      <c r="B1596">
        <f>IF($P1596="","",INDEX(상세표[성명],$P1596)&amp;"")</f>
        <v/>
      </c>
      <c r="C1596">
        <f>IF($P1596="","",INDEX(상세표[부서],$P1596)&amp;"")</f>
        <v/>
      </c>
      <c r="D1596">
        <f>IF($P1596="","",INDEX(상세표[직위],$P1596)&amp;"")</f>
        <v/>
      </c>
      <c r="E1596">
        <f>IF($P1596="","",IF(ISNUMBER(INDEX(상세표[시작],$P1596)),TEXT(INDEX(상세표[시작],$P1596),"yyyy-mm-dd hh:mm"),INDEX(상세표[시작],$P1596)&amp;""))</f>
        <v/>
      </c>
      <c r="F1596">
        <f>IF($P1596="","",IF(ISNUMBER(INDEX(상세표[블록종료],$P1596)),TEXT(INDEX(상세표[블록종료],$P1596),"yyyy-mm-dd hh:mm"),INDEX(상세표[블록종료],$P1596)&amp;""))</f>
        <v/>
      </c>
      <c r="G1596">
        <f>IF($P1596="","",CHOOSE(WEEKDAY(INDEX(상세표[시작],$P1596)),"일","월","화","수","목","금","토"))</f>
        <v/>
      </c>
      <c r="H1596">
        <f>IF($P1596="","",INDEX(상세표[연속 시간],$P1596))</f>
        <v/>
      </c>
      <c r="I1596">
        <f>IF($P1596="","",INDEX(상세표[기록 수],$P1596))</f>
        <v/>
      </c>
      <c r="J1596">
        <f>IF($P1596="","",INDEX(상세표[블록 06~07시],$P1596))</f>
        <v/>
      </c>
      <c r="K1596">
        <f>IF($P1596="","",INDEX(상세표[블록 07~18시],$P1596))</f>
        <v/>
      </c>
      <c r="L1596">
        <f>IF($P1596="","",INDEX(상세표[블록 18~22시],$P1596))</f>
        <v/>
      </c>
      <c r="M1596">
        <f>IF($P1596="","",INDEX(상세표[블록 22~06시],$P1596))</f>
        <v/>
      </c>
      <c r="N1596">
        <f>IF($P1596="","",INDEX(상세표[주말·휴일 포함],$P1596)&amp;"")</f>
        <v/>
      </c>
      <c r="O1596">
        <f>IF($P1596="","",INDEX(상세표[월 넘김 포함],$P1596)&amp;"")</f>
        <v/>
      </c>
      <c r="P1596" s="4">
        <f>IFERROR(MATCH(1591,상세표[연속순번],0),"")</f>
        <v/>
      </c>
    </row>
    <row r="1597">
      <c r="A1597">
        <f>IF($P1597="","",INDEX(상세표[사번],$P1597)&amp;"")</f>
        <v/>
      </c>
      <c r="B1597">
        <f>IF($P1597="","",INDEX(상세표[성명],$P1597)&amp;"")</f>
        <v/>
      </c>
      <c r="C1597">
        <f>IF($P1597="","",INDEX(상세표[부서],$P1597)&amp;"")</f>
        <v/>
      </c>
      <c r="D1597">
        <f>IF($P1597="","",INDEX(상세표[직위],$P1597)&amp;"")</f>
        <v/>
      </c>
      <c r="E1597">
        <f>IF($P1597="","",IF(ISNUMBER(INDEX(상세표[시작],$P1597)),TEXT(INDEX(상세표[시작],$P1597),"yyyy-mm-dd hh:mm"),INDEX(상세표[시작],$P1597)&amp;""))</f>
        <v/>
      </c>
      <c r="F1597">
        <f>IF($P1597="","",IF(ISNUMBER(INDEX(상세표[블록종료],$P1597)),TEXT(INDEX(상세표[블록종료],$P1597),"yyyy-mm-dd hh:mm"),INDEX(상세표[블록종료],$P1597)&amp;""))</f>
        <v/>
      </c>
      <c r="G1597">
        <f>IF($P1597="","",CHOOSE(WEEKDAY(INDEX(상세표[시작],$P1597)),"일","월","화","수","목","금","토"))</f>
        <v/>
      </c>
      <c r="H1597">
        <f>IF($P1597="","",INDEX(상세표[연속 시간],$P1597))</f>
        <v/>
      </c>
      <c r="I1597">
        <f>IF($P1597="","",INDEX(상세표[기록 수],$P1597))</f>
        <v/>
      </c>
      <c r="J1597">
        <f>IF($P1597="","",INDEX(상세표[블록 06~07시],$P1597))</f>
        <v/>
      </c>
      <c r="K1597">
        <f>IF($P1597="","",INDEX(상세표[블록 07~18시],$P1597))</f>
        <v/>
      </c>
      <c r="L1597">
        <f>IF($P1597="","",INDEX(상세표[블록 18~22시],$P1597))</f>
        <v/>
      </c>
      <c r="M1597">
        <f>IF($P1597="","",INDEX(상세표[블록 22~06시],$P1597))</f>
        <v/>
      </c>
      <c r="N1597">
        <f>IF($P1597="","",INDEX(상세표[주말·휴일 포함],$P1597)&amp;"")</f>
        <v/>
      </c>
      <c r="O1597">
        <f>IF($P1597="","",INDEX(상세표[월 넘김 포함],$P1597)&amp;"")</f>
        <v/>
      </c>
      <c r="P1597" s="4">
        <f>IFERROR(MATCH(1592,상세표[연속순번],0),"")</f>
        <v/>
      </c>
    </row>
    <row r="1598">
      <c r="A1598">
        <f>IF($P1598="","",INDEX(상세표[사번],$P1598)&amp;"")</f>
        <v/>
      </c>
      <c r="B1598">
        <f>IF($P1598="","",INDEX(상세표[성명],$P1598)&amp;"")</f>
        <v/>
      </c>
      <c r="C1598">
        <f>IF($P1598="","",INDEX(상세표[부서],$P1598)&amp;"")</f>
        <v/>
      </c>
      <c r="D1598">
        <f>IF($P1598="","",INDEX(상세표[직위],$P1598)&amp;"")</f>
        <v/>
      </c>
      <c r="E1598">
        <f>IF($P1598="","",IF(ISNUMBER(INDEX(상세표[시작],$P1598)),TEXT(INDEX(상세표[시작],$P1598),"yyyy-mm-dd hh:mm"),INDEX(상세표[시작],$P1598)&amp;""))</f>
        <v/>
      </c>
      <c r="F1598">
        <f>IF($P1598="","",IF(ISNUMBER(INDEX(상세표[블록종료],$P1598)),TEXT(INDEX(상세표[블록종료],$P1598),"yyyy-mm-dd hh:mm"),INDEX(상세표[블록종료],$P1598)&amp;""))</f>
        <v/>
      </c>
      <c r="G1598">
        <f>IF($P1598="","",CHOOSE(WEEKDAY(INDEX(상세표[시작],$P1598)),"일","월","화","수","목","금","토"))</f>
        <v/>
      </c>
      <c r="H1598">
        <f>IF($P1598="","",INDEX(상세표[연속 시간],$P1598))</f>
        <v/>
      </c>
      <c r="I1598">
        <f>IF($P1598="","",INDEX(상세표[기록 수],$P1598))</f>
        <v/>
      </c>
      <c r="J1598">
        <f>IF($P1598="","",INDEX(상세표[블록 06~07시],$P1598))</f>
        <v/>
      </c>
      <c r="K1598">
        <f>IF($P1598="","",INDEX(상세표[블록 07~18시],$P1598))</f>
        <v/>
      </c>
      <c r="L1598">
        <f>IF($P1598="","",INDEX(상세표[블록 18~22시],$P1598))</f>
        <v/>
      </c>
      <c r="M1598">
        <f>IF($P1598="","",INDEX(상세표[블록 22~06시],$P1598))</f>
        <v/>
      </c>
      <c r="N1598">
        <f>IF($P1598="","",INDEX(상세표[주말·휴일 포함],$P1598)&amp;"")</f>
        <v/>
      </c>
      <c r="O1598">
        <f>IF($P1598="","",INDEX(상세표[월 넘김 포함],$P1598)&amp;"")</f>
        <v/>
      </c>
      <c r="P1598" s="4">
        <f>IFERROR(MATCH(1593,상세표[연속순번],0),"")</f>
        <v/>
      </c>
    </row>
    <row r="1599">
      <c r="A1599">
        <f>IF($P1599="","",INDEX(상세표[사번],$P1599)&amp;"")</f>
        <v/>
      </c>
      <c r="B1599">
        <f>IF($P1599="","",INDEX(상세표[성명],$P1599)&amp;"")</f>
        <v/>
      </c>
      <c r="C1599">
        <f>IF($P1599="","",INDEX(상세표[부서],$P1599)&amp;"")</f>
        <v/>
      </c>
      <c r="D1599">
        <f>IF($P1599="","",INDEX(상세표[직위],$P1599)&amp;"")</f>
        <v/>
      </c>
      <c r="E1599">
        <f>IF($P1599="","",IF(ISNUMBER(INDEX(상세표[시작],$P1599)),TEXT(INDEX(상세표[시작],$P1599),"yyyy-mm-dd hh:mm"),INDEX(상세표[시작],$P1599)&amp;""))</f>
        <v/>
      </c>
      <c r="F1599">
        <f>IF($P1599="","",IF(ISNUMBER(INDEX(상세표[블록종료],$P1599)),TEXT(INDEX(상세표[블록종료],$P1599),"yyyy-mm-dd hh:mm"),INDEX(상세표[블록종료],$P1599)&amp;""))</f>
        <v/>
      </c>
      <c r="G1599">
        <f>IF($P1599="","",CHOOSE(WEEKDAY(INDEX(상세표[시작],$P1599)),"일","월","화","수","목","금","토"))</f>
        <v/>
      </c>
      <c r="H1599">
        <f>IF($P1599="","",INDEX(상세표[연속 시간],$P1599))</f>
        <v/>
      </c>
      <c r="I1599">
        <f>IF($P1599="","",INDEX(상세표[기록 수],$P1599))</f>
        <v/>
      </c>
      <c r="J1599">
        <f>IF($P1599="","",INDEX(상세표[블록 06~07시],$P1599))</f>
        <v/>
      </c>
      <c r="K1599">
        <f>IF($P1599="","",INDEX(상세표[블록 07~18시],$P1599))</f>
        <v/>
      </c>
      <c r="L1599">
        <f>IF($P1599="","",INDEX(상세표[블록 18~22시],$P1599))</f>
        <v/>
      </c>
      <c r="M1599">
        <f>IF($P1599="","",INDEX(상세표[블록 22~06시],$P1599))</f>
        <v/>
      </c>
      <c r="N1599">
        <f>IF($P1599="","",INDEX(상세표[주말·휴일 포함],$P1599)&amp;"")</f>
        <v/>
      </c>
      <c r="O1599">
        <f>IF($P1599="","",INDEX(상세표[월 넘김 포함],$P1599)&amp;"")</f>
        <v/>
      </c>
      <c r="P1599" s="4">
        <f>IFERROR(MATCH(1594,상세표[연속순번],0),"")</f>
        <v/>
      </c>
    </row>
    <row r="1600">
      <c r="A1600">
        <f>IF($P1600="","",INDEX(상세표[사번],$P1600)&amp;"")</f>
        <v/>
      </c>
      <c r="B1600">
        <f>IF($P1600="","",INDEX(상세표[성명],$P1600)&amp;"")</f>
        <v/>
      </c>
      <c r="C1600">
        <f>IF($P1600="","",INDEX(상세표[부서],$P1600)&amp;"")</f>
        <v/>
      </c>
      <c r="D1600">
        <f>IF($P1600="","",INDEX(상세표[직위],$P1600)&amp;"")</f>
        <v/>
      </c>
      <c r="E1600">
        <f>IF($P1600="","",IF(ISNUMBER(INDEX(상세표[시작],$P1600)),TEXT(INDEX(상세표[시작],$P1600),"yyyy-mm-dd hh:mm"),INDEX(상세표[시작],$P1600)&amp;""))</f>
        <v/>
      </c>
      <c r="F1600">
        <f>IF($P1600="","",IF(ISNUMBER(INDEX(상세표[블록종료],$P1600)),TEXT(INDEX(상세표[블록종료],$P1600),"yyyy-mm-dd hh:mm"),INDEX(상세표[블록종료],$P1600)&amp;""))</f>
        <v/>
      </c>
      <c r="G1600">
        <f>IF($P1600="","",CHOOSE(WEEKDAY(INDEX(상세표[시작],$P1600)),"일","월","화","수","목","금","토"))</f>
        <v/>
      </c>
      <c r="H1600">
        <f>IF($P1600="","",INDEX(상세표[연속 시간],$P1600))</f>
        <v/>
      </c>
      <c r="I1600">
        <f>IF($P1600="","",INDEX(상세표[기록 수],$P1600))</f>
        <v/>
      </c>
      <c r="J1600">
        <f>IF($P1600="","",INDEX(상세표[블록 06~07시],$P1600))</f>
        <v/>
      </c>
      <c r="K1600">
        <f>IF($P1600="","",INDEX(상세표[블록 07~18시],$P1600))</f>
        <v/>
      </c>
      <c r="L1600">
        <f>IF($P1600="","",INDEX(상세표[블록 18~22시],$P1600))</f>
        <v/>
      </c>
      <c r="M1600">
        <f>IF($P1600="","",INDEX(상세표[블록 22~06시],$P1600))</f>
        <v/>
      </c>
      <c r="N1600">
        <f>IF($P1600="","",INDEX(상세표[주말·휴일 포함],$P1600)&amp;"")</f>
        <v/>
      </c>
      <c r="O1600">
        <f>IF($P1600="","",INDEX(상세표[월 넘김 포함],$P1600)&amp;"")</f>
        <v/>
      </c>
      <c r="P1600" s="4">
        <f>IFERROR(MATCH(1595,상세표[연속순번],0),"")</f>
        <v/>
      </c>
    </row>
    <row r="1601">
      <c r="A1601">
        <f>IF($P1601="","",INDEX(상세표[사번],$P1601)&amp;"")</f>
        <v/>
      </c>
      <c r="B1601">
        <f>IF($P1601="","",INDEX(상세표[성명],$P1601)&amp;"")</f>
        <v/>
      </c>
      <c r="C1601">
        <f>IF($P1601="","",INDEX(상세표[부서],$P1601)&amp;"")</f>
        <v/>
      </c>
      <c r="D1601">
        <f>IF($P1601="","",INDEX(상세표[직위],$P1601)&amp;"")</f>
        <v/>
      </c>
      <c r="E1601">
        <f>IF($P1601="","",IF(ISNUMBER(INDEX(상세표[시작],$P1601)),TEXT(INDEX(상세표[시작],$P1601),"yyyy-mm-dd hh:mm"),INDEX(상세표[시작],$P1601)&amp;""))</f>
        <v/>
      </c>
      <c r="F1601">
        <f>IF($P1601="","",IF(ISNUMBER(INDEX(상세표[블록종료],$P1601)),TEXT(INDEX(상세표[블록종료],$P1601),"yyyy-mm-dd hh:mm"),INDEX(상세표[블록종료],$P1601)&amp;""))</f>
        <v/>
      </c>
      <c r="G1601">
        <f>IF($P1601="","",CHOOSE(WEEKDAY(INDEX(상세표[시작],$P1601)),"일","월","화","수","목","금","토"))</f>
        <v/>
      </c>
      <c r="H1601">
        <f>IF($P1601="","",INDEX(상세표[연속 시간],$P1601))</f>
        <v/>
      </c>
      <c r="I1601">
        <f>IF($P1601="","",INDEX(상세표[기록 수],$P1601))</f>
        <v/>
      </c>
      <c r="J1601">
        <f>IF($P1601="","",INDEX(상세표[블록 06~07시],$P1601))</f>
        <v/>
      </c>
      <c r="K1601">
        <f>IF($P1601="","",INDEX(상세표[블록 07~18시],$P1601))</f>
        <v/>
      </c>
      <c r="L1601">
        <f>IF($P1601="","",INDEX(상세표[블록 18~22시],$P1601))</f>
        <v/>
      </c>
      <c r="M1601">
        <f>IF($P1601="","",INDEX(상세표[블록 22~06시],$P1601))</f>
        <v/>
      </c>
      <c r="N1601">
        <f>IF($P1601="","",INDEX(상세표[주말·휴일 포함],$P1601)&amp;"")</f>
        <v/>
      </c>
      <c r="O1601">
        <f>IF($P1601="","",INDEX(상세표[월 넘김 포함],$P1601)&amp;"")</f>
        <v/>
      </c>
      <c r="P1601" s="4">
        <f>IFERROR(MATCH(1596,상세표[연속순번],0),"")</f>
        <v/>
      </c>
    </row>
    <row r="1602">
      <c r="A1602">
        <f>IF($P1602="","",INDEX(상세표[사번],$P1602)&amp;"")</f>
        <v/>
      </c>
      <c r="B1602">
        <f>IF($P1602="","",INDEX(상세표[성명],$P1602)&amp;"")</f>
        <v/>
      </c>
      <c r="C1602">
        <f>IF($P1602="","",INDEX(상세표[부서],$P1602)&amp;"")</f>
        <v/>
      </c>
      <c r="D1602">
        <f>IF($P1602="","",INDEX(상세표[직위],$P1602)&amp;"")</f>
        <v/>
      </c>
      <c r="E1602">
        <f>IF($P1602="","",IF(ISNUMBER(INDEX(상세표[시작],$P1602)),TEXT(INDEX(상세표[시작],$P1602),"yyyy-mm-dd hh:mm"),INDEX(상세표[시작],$P1602)&amp;""))</f>
        <v/>
      </c>
      <c r="F1602">
        <f>IF($P1602="","",IF(ISNUMBER(INDEX(상세표[블록종료],$P1602)),TEXT(INDEX(상세표[블록종료],$P1602),"yyyy-mm-dd hh:mm"),INDEX(상세표[블록종료],$P1602)&amp;""))</f>
        <v/>
      </c>
      <c r="G1602">
        <f>IF($P1602="","",CHOOSE(WEEKDAY(INDEX(상세표[시작],$P1602)),"일","월","화","수","목","금","토"))</f>
        <v/>
      </c>
      <c r="H1602">
        <f>IF($P1602="","",INDEX(상세표[연속 시간],$P1602))</f>
        <v/>
      </c>
      <c r="I1602">
        <f>IF($P1602="","",INDEX(상세표[기록 수],$P1602))</f>
        <v/>
      </c>
      <c r="J1602">
        <f>IF($P1602="","",INDEX(상세표[블록 06~07시],$P1602))</f>
        <v/>
      </c>
      <c r="K1602">
        <f>IF($P1602="","",INDEX(상세표[블록 07~18시],$P1602))</f>
        <v/>
      </c>
      <c r="L1602">
        <f>IF($P1602="","",INDEX(상세표[블록 18~22시],$P1602))</f>
        <v/>
      </c>
      <c r="M1602">
        <f>IF($P1602="","",INDEX(상세표[블록 22~06시],$P1602))</f>
        <v/>
      </c>
      <c r="N1602">
        <f>IF($P1602="","",INDEX(상세표[주말·휴일 포함],$P1602)&amp;"")</f>
        <v/>
      </c>
      <c r="O1602">
        <f>IF($P1602="","",INDEX(상세표[월 넘김 포함],$P1602)&amp;"")</f>
        <v/>
      </c>
      <c r="P1602" s="4">
        <f>IFERROR(MATCH(1597,상세표[연속순번],0),"")</f>
        <v/>
      </c>
    </row>
    <row r="1603">
      <c r="A1603">
        <f>IF($P1603="","",INDEX(상세표[사번],$P1603)&amp;"")</f>
        <v/>
      </c>
      <c r="B1603">
        <f>IF($P1603="","",INDEX(상세표[성명],$P1603)&amp;"")</f>
        <v/>
      </c>
      <c r="C1603">
        <f>IF($P1603="","",INDEX(상세표[부서],$P1603)&amp;"")</f>
        <v/>
      </c>
      <c r="D1603">
        <f>IF($P1603="","",INDEX(상세표[직위],$P1603)&amp;"")</f>
        <v/>
      </c>
      <c r="E1603">
        <f>IF($P1603="","",IF(ISNUMBER(INDEX(상세표[시작],$P1603)),TEXT(INDEX(상세표[시작],$P1603),"yyyy-mm-dd hh:mm"),INDEX(상세표[시작],$P1603)&amp;""))</f>
        <v/>
      </c>
      <c r="F1603">
        <f>IF($P1603="","",IF(ISNUMBER(INDEX(상세표[블록종료],$P1603)),TEXT(INDEX(상세표[블록종료],$P1603),"yyyy-mm-dd hh:mm"),INDEX(상세표[블록종료],$P1603)&amp;""))</f>
        <v/>
      </c>
      <c r="G1603">
        <f>IF($P1603="","",CHOOSE(WEEKDAY(INDEX(상세표[시작],$P1603)),"일","월","화","수","목","금","토"))</f>
        <v/>
      </c>
      <c r="H1603">
        <f>IF($P1603="","",INDEX(상세표[연속 시간],$P1603))</f>
        <v/>
      </c>
      <c r="I1603">
        <f>IF($P1603="","",INDEX(상세표[기록 수],$P1603))</f>
        <v/>
      </c>
      <c r="J1603">
        <f>IF($P1603="","",INDEX(상세표[블록 06~07시],$P1603))</f>
        <v/>
      </c>
      <c r="K1603">
        <f>IF($P1603="","",INDEX(상세표[블록 07~18시],$P1603))</f>
        <v/>
      </c>
      <c r="L1603">
        <f>IF($P1603="","",INDEX(상세표[블록 18~22시],$P1603))</f>
        <v/>
      </c>
      <c r="M1603">
        <f>IF($P1603="","",INDEX(상세표[블록 22~06시],$P1603))</f>
        <v/>
      </c>
      <c r="N1603">
        <f>IF($P1603="","",INDEX(상세표[주말·휴일 포함],$P1603)&amp;"")</f>
        <v/>
      </c>
      <c r="O1603">
        <f>IF($P1603="","",INDEX(상세표[월 넘김 포함],$P1603)&amp;"")</f>
        <v/>
      </c>
      <c r="P1603" s="4">
        <f>IFERROR(MATCH(1598,상세표[연속순번],0),"")</f>
        <v/>
      </c>
    </row>
    <row r="1604">
      <c r="A1604">
        <f>IF($P1604="","",INDEX(상세표[사번],$P1604)&amp;"")</f>
        <v/>
      </c>
      <c r="B1604">
        <f>IF($P1604="","",INDEX(상세표[성명],$P1604)&amp;"")</f>
        <v/>
      </c>
      <c r="C1604">
        <f>IF($P1604="","",INDEX(상세표[부서],$P1604)&amp;"")</f>
        <v/>
      </c>
      <c r="D1604">
        <f>IF($P1604="","",INDEX(상세표[직위],$P1604)&amp;"")</f>
        <v/>
      </c>
      <c r="E1604">
        <f>IF($P1604="","",IF(ISNUMBER(INDEX(상세표[시작],$P1604)),TEXT(INDEX(상세표[시작],$P1604),"yyyy-mm-dd hh:mm"),INDEX(상세표[시작],$P1604)&amp;""))</f>
        <v/>
      </c>
      <c r="F1604">
        <f>IF($P1604="","",IF(ISNUMBER(INDEX(상세표[블록종료],$P1604)),TEXT(INDEX(상세표[블록종료],$P1604),"yyyy-mm-dd hh:mm"),INDEX(상세표[블록종료],$P1604)&amp;""))</f>
        <v/>
      </c>
      <c r="G1604">
        <f>IF($P1604="","",CHOOSE(WEEKDAY(INDEX(상세표[시작],$P1604)),"일","월","화","수","목","금","토"))</f>
        <v/>
      </c>
      <c r="H1604">
        <f>IF($P1604="","",INDEX(상세표[연속 시간],$P1604))</f>
        <v/>
      </c>
      <c r="I1604">
        <f>IF($P1604="","",INDEX(상세표[기록 수],$P1604))</f>
        <v/>
      </c>
      <c r="J1604">
        <f>IF($P1604="","",INDEX(상세표[블록 06~07시],$P1604))</f>
        <v/>
      </c>
      <c r="K1604">
        <f>IF($P1604="","",INDEX(상세표[블록 07~18시],$P1604))</f>
        <v/>
      </c>
      <c r="L1604">
        <f>IF($P1604="","",INDEX(상세표[블록 18~22시],$P1604))</f>
        <v/>
      </c>
      <c r="M1604">
        <f>IF($P1604="","",INDEX(상세표[블록 22~06시],$P1604))</f>
        <v/>
      </c>
      <c r="N1604">
        <f>IF($P1604="","",INDEX(상세표[주말·휴일 포함],$P1604)&amp;"")</f>
        <v/>
      </c>
      <c r="O1604">
        <f>IF($P1604="","",INDEX(상세표[월 넘김 포함],$P1604)&amp;"")</f>
        <v/>
      </c>
      <c r="P1604" s="4">
        <f>IFERROR(MATCH(1599,상세표[연속순번],0),"")</f>
        <v/>
      </c>
    </row>
    <row r="1605">
      <c r="A1605">
        <f>IF($P1605="","",INDEX(상세표[사번],$P1605)&amp;"")</f>
        <v/>
      </c>
      <c r="B1605">
        <f>IF($P1605="","",INDEX(상세표[성명],$P1605)&amp;"")</f>
        <v/>
      </c>
      <c r="C1605">
        <f>IF($P1605="","",INDEX(상세표[부서],$P1605)&amp;"")</f>
        <v/>
      </c>
      <c r="D1605">
        <f>IF($P1605="","",INDEX(상세표[직위],$P1605)&amp;"")</f>
        <v/>
      </c>
      <c r="E1605">
        <f>IF($P1605="","",IF(ISNUMBER(INDEX(상세표[시작],$P1605)),TEXT(INDEX(상세표[시작],$P1605),"yyyy-mm-dd hh:mm"),INDEX(상세표[시작],$P1605)&amp;""))</f>
        <v/>
      </c>
      <c r="F1605">
        <f>IF($P1605="","",IF(ISNUMBER(INDEX(상세표[블록종료],$P1605)),TEXT(INDEX(상세표[블록종료],$P1605),"yyyy-mm-dd hh:mm"),INDEX(상세표[블록종료],$P1605)&amp;""))</f>
        <v/>
      </c>
      <c r="G1605">
        <f>IF($P1605="","",CHOOSE(WEEKDAY(INDEX(상세표[시작],$P1605)),"일","월","화","수","목","금","토"))</f>
        <v/>
      </c>
      <c r="H1605">
        <f>IF($P1605="","",INDEX(상세표[연속 시간],$P1605))</f>
        <v/>
      </c>
      <c r="I1605">
        <f>IF($P1605="","",INDEX(상세표[기록 수],$P1605))</f>
        <v/>
      </c>
      <c r="J1605">
        <f>IF($P1605="","",INDEX(상세표[블록 06~07시],$P1605))</f>
        <v/>
      </c>
      <c r="K1605">
        <f>IF($P1605="","",INDEX(상세표[블록 07~18시],$P1605))</f>
        <v/>
      </c>
      <c r="L1605">
        <f>IF($P1605="","",INDEX(상세표[블록 18~22시],$P1605))</f>
        <v/>
      </c>
      <c r="M1605">
        <f>IF($P1605="","",INDEX(상세표[블록 22~06시],$P1605))</f>
        <v/>
      </c>
      <c r="N1605">
        <f>IF($P1605="","",INDEX(상세표[주말·휴일 포함],$P1605)&amp;"")</f>
        <v/>
      </c>
      <c r="O1605">
        <f>IF($P1605="","",INDEX(상세표[월 넘김 포함],$P1605)&amp;"")</f>
        <v/>
      </c>
      <c r="P1605" s="4">
        <f>IFERROR(MATCH(1600,상세표[연속순번],0),"")</f>
        <v/>
      </c>
    </row>
    <row r="1606">
      <c r="A1606">
        <f>IF($P1606="","",INDEX(상세표[사번],$P1606)&amp;"")</f>
        <v/>
      </c>
      <c r="B1606">
        <f>IF($P1606="","",INDEX(상세표[성명],$P1606)&amp;"")</f>
        <v/>
      </c>
      <c r="C1606">
        <f>IF($P1606="","",INDEX(상세표[부서],$P1606)&amp;"")</f>
        <v/>
      </c>
      <c r="D1606">
        <f>IF($P1606="","",INDEX(상세표[직위],$P1606)&amp;"")</f>
        <v/>
      </c>
      <c r="E1606">
        <f>IF($P1606="","",IF(ISNUMBER(INDEX(상세표[시작],$P1606)),TEXT(INDEX(상세표[시작],$P1606),"yyyy-mm-dd hh:mm"),INDEX(상세표[시작],$P1606)&amp;""))</f>
        <v/>
      </c>
      <c r="F1606">
        <f>IF($P1606="","",IF(ISNUMBER(INDEX(상세표[블록종료],$P1606)),TEXT(INDEX(상세표[블록종료],$P1606),"yyyy-mm-dd hh:mm"),INDEX(상세표[블록종료],$P1606)&amp;""))</f>
        <v/>
      </c>
      <c r="G1606">
        <f>IF($P1606="","",CHOOSE(WEEKDAY(INDEX(상세표[시작],$P1606)),"일","월","화","수","목","금","토"))</f>
        <v/>
      </c>
      <c r="H1606">
        <f>IF($P1606="","",INDEX(상세표[연속 시간],$P1606))</f>
        <v/>
      </c>
      <c r="I1606">
        <f>IF($P1606="","",INDEX(상세표[기록 수],$P1606))</f>
        <v/>
      </c>
      <c r="J1606">
        <f>IF($P1606="","",INDEX(상세표[블록 06~07시],$P1606))</f>
        <v/>
      </c>
      <c r="K1606">
        <f>IF($P1606="","",INDEX(상세표[블록 07~18시],$P1606))</f>
        <v/>
      </c>
      <c r="L1606">
        <f>IF($P1606="","",INDEX(상세표[블록 18~22시],$P1606))</f>
        <v/>
      </c>
      <c r="M1606">
        <f>IF($P1606="","",INDEX(상세표[블록 22~06시],$P1606))</f>
        <v/>
      </c>
      <c r="N1606">
        <f>IF($P1606="","",INDEX(상세표[주말·휴일 포함],$P1606)&amp;"")</f>
        <v/>
      </c>
      <c r="O1606">
        <f>IF($P1606="","",INDEX(상세표[월 넘김 포함],$P1606)&amp;"")</f>
        <v/>
      </c>
      <c r="P1606" s="4">
        <f>IFERROR(MATCH(1601,상세표[연속순번],0),"")</f>
        <v/>
      </c>
    </row>
    <row r="1607">
      <c r="A1607">
        <f>IF($P1607="","",INDEX(상세표[사번],$P1607)&amp;"")</f>
        <v/>
      </c>
      <c r="B1607">
        <f>IF($P1607="","",INDEX(상세표[성명],$P1607)&amp;"")</f>
        <v/>
      </c>
      <c r="C1607">
        <f>IF($P1607="","",INDEX(상세표[부서],$P1607)&amp;"")</f>
        <v/>
      </c>
      <c r="D1607">
        <f>IF($P1607="","",INDEX(상세표[직위],$P1607)&amp;"")</f>
        <v/>
      </c>
      <c r="E1607">
        <f>IF($P1607="","",IF(ISNUMBER(INDEX(상세표[시작],$P1607)),TEXT(INDEX(상세표[시작],$P1607),"yyyy-mm-dd hh:mm"),INDEX(상세표[시작],$P1607)&amp;""))</f>
        <v/>
      </c>
      <c r="F1607">
        <f>IF($P1607="","",IF(ISNUMBER(INDEX(상세표[블록종료],$P1607)),TEXT(INDEX(상세표[블록종료],$P1607),"yyyy-mm-dd hh:mm"),INDEX(상세표[블록종료],$P1607)&amp;""))</f>
        <v/>
      </c>
      <c r="G1607">
        <f>IF($P1607="","",CHOOSE(WEEKDAY(INDEX(상세표[시작],$P1607)),"일","월","화","수","목","금","토"))</f>
        <v/>
      </c>
      <c r="H1607">
        <f>IF($P1607="","",INDEX(상세표[연속 시간],$P1607))</f>
        <v/>
      </c>
      <c r="I1607">
        <f>IF($P1607="","",INDEX(상세표[기록 수],$P1607))</f>
        <v/>
      </c>
      <c r="J1607">
        <f>IF($P1607="","",INDEX(상세표[블록 06~07시],$P1607))</f>
        <v/>
      </c>
      <c r="K1607">
        <f>IF($P1607="","",INDEX(상세표[블록 07~18시],$P1607))</f>
        <v/>
      </c>
      <c r="L1607">
        <f>IF($P1607="","",INDEX(상세표[블록 18~22시],$P1607))</f>
        <v/>
      </c>
      <c r="M1607">
        <f>IF($P1607="","",INDEX(상세표[블록 22~06시],$P1607))</f>
        <v/>
      </c>
      <c r="N1607">
        <f>IF($P1607="","",INDEX(상세표[주말·휴일 포함],$P1607)&amp;"")</f>
        <v/>
      </c>
      <c r="O1607">
        <f>IF($P1607="","",INDEX(상세표[월 넘김 포함],$P1607)&amp;"")</f>
        <v/>
      </c>
      <c r="P1607" s="4">
        <f>IFERROR(MATCH(1602,상세표[연속순번],0),"")</f>
        <v/>
      </c>
    </row>
    <row r="1608">
      <c r="A1608">
        <f>IF($P1608="","",INDEX(상세표[사번],$P1608)&amp;"")</f>
        <v/>
      </c>
      <c r="B1608">
        <f>IF($P1608="","",INDEX(상세표[성명],$P1608)&amp;"")</f>
        <v/>
      </c>
      <c r="C1608">
        <f>IF($P1608="","",INDEX(상세표[부서],$P1608)&amp;"")</f>
        <v/>
      </c>
      <c r="D1608">
        <f>IF($P1608="","",INDEX(상세표[직위],$P1608)&amp;"")</f>
        <v/>
      </c>
      <c r="E1608">
        <f>IF($P1608="","",IF(ISNUMBER(INDEX(상세표[시작],$P1608)),TEXT(INDEX(상세표[시작],$P1608),"yyyy-mm-dd hh:mm"),INDEX(상세표[시작],$P1608)&amp;""))</f>
        <v/>
      </c>
      <c r="F1608">
        <f>IF($P1608="","",IF(ISNUMBER(INDEX(상세표[블록종료],$P1608)),TEXT(INDEX(상세표[블록종료],$P1608),"yyyy-mm-dd hh:mm"),INDEX(상세표[블록종료],$P1608)&amp;""))</f>
        <v/>
      </c>
      <c r="G1608">
        <f>IF($P1608="","",CHOOSE(WEEKDAY(INDEX(상세표[시작],$P1608)),"일","월","화","수","목","금","토"))</f>
        <v/>
      </c>
      <c r="H1608">
        <f>IF($P1608="","",INDEX(상세표[연속 시간],$P1608))</f>
        <v/>
      </c>
      <c r="I1608">
        <f>IF($P1608="","",INDEX(상세표[기록 수],$P1608))</f>
        <v/>
      </c>
      <c r="J1608">
        <f>IF($P1608="","",INDEX(상세표[블록 06~07시],$P1608))</f>
        <v/>
      </c>
      <c r="K1608">
        <f>IF($P1608="","",INDEX(상세표[블록 07~18시],$P1608))</f>
        <v/>
      </c>
      <c r="L1608">
        <f>IF($P1608="","",INDEX(상세표[블록 18~22시],$P1608))</f>
        <v/>
      </c>
      <c r="M1608">
        <f>IF($P1608="","",INDEX(상세표[블록 22~06시],$P1608))</f>
        <v/>
      </c>
      <c r="N1608">
        <f>IF($P1608="","",INDEX(상세표[주말·휴일 포함],$P1608)&amp;"")</f>
        <v/>
      </c>
      <c r="O1608">
        <f>IF($P1608="","",INDEX(상세표[월 넘김 포함],$P1608)&amp;"")</f>
        <v/>
      </c>
      <c r="P1608" s="4">
        <f>IFERROR(MATCH(1603,상세표[연속순번],0),"")</f>
        <v/>
      </c>
    </row>
    <row r="1609">
      <c r="A1609">
        <f>IF($P1609="","",INDEX(상세표[사번],$P1609)&amp;"")</f>
        <v/>
      </c>
      <c r="B1609">
        <f>IF($P1609="","",INDEX(상세표[성명],$P1609)&amp;"")</f>
        <v/>
      </c>
      <c r="C1609">
        <f>IF($P1609="","",INDEX(상세표[부서],$P1609)&amp;"")</f>
        <v/>
      </c>
      <c r="D1609">
        <f>IF($P1609="","",INDEX(상세표[직위],$P1609)&amp;"")</f>
        <v/>
      </c>
      <c r="E1609">
        <f>IF($P1609="","",IF(ISNUMBER(INDEX(상세표[시작],$P1609)),TEXT(INDEX(상세표[시작],$P1609),"yyyy-mm-dd hh:mm"),INDEX(상세표[시작],$P1609)&amp;""))</f>
        <v/>
      </c>
      <c r="F1609">
        <f>IF($P1609="","",IF(ISNUMBER(INDEX(상세표[블록종료],$P1609)),TEXT(INDEX(상세표[블록종료],$P1609),"yyyy-mm-dd hh:mm"),INDEX(상세표[블록종료],$P1609)&amp;""))</f>
        <v/>
      </c>
      <c r="G1609">
        <f>IF($P1609="","",CHOOSE(WEEKDAY(INDEX(상세표[시작],$P1609)),"일","월","화","수","목","금","토"))</f>
        <v/>
      </c>
      <c r="H1609">
        <f>IF($P1609="","",INDEX(상세표[연속 시간],$P1609))</f>
        <v/>
      </c>
      <c r="I1609">
        <f>IF($P1609="","",INDEX(상세표[기록 수],$P1609))</f>
        <v/>
      </c>
      <c r="J1609">
        <f>IF($P1609="","",INDEX(상세표[블록 06~07시],$P1609))</f>
        <v/>
      </c>
      <c r="K1609">
        <f>IF($P1609="","",INDEX(상세표[블록 07~18시],$P1609))</f>
        <v/>
      </c>
      <c r="L1609">
        <f>IF($P1609="","",INDEX(상세표[블록 18~22시],$P1609))</f>
        <v/>
      </c>
      <c r="M1609">
        <f>IF($P1609="","",INDEX(상세표[블록 22~06시],$P1609))</f>
        <v/>
      </c>
      <c r="N1609">
        <f>IF($P1609="","",INDEX(상세표[주말·휴일 포함],$P1609)&amp;"")</f>
        <v/>
      </c>
      <c r="O1609">
        <f>IF($P1609="","",INDEX(상세표[월 넘김 포함],$P1609)&amp;"")</f>
        <v/>
      </c>
      <c r="P1609" s="4">
        <f>IFERROR(MATCH(1604,상세표[연속순번],0),"")</f>
        <v/>
      </c>
    </row>
    <row r="1610">
      <c r="A1610">
        <f>IF($P1610="","",INDEX(상세표[사번],$P1610)&amp;"")</f>
        <v/>
      </c>
      <c r="B1610">
        <f>IF($P1610="","",INDEX(상세표[성명],$P1610)&amp;"")</f>
        <v/>
      </c>
      <c r="C1610">
        <f>IF($P1610="","",INDEX(상세표[부서],$P1610)&amp;"")</f>
        <v/>
      </c>
      <c r="D1610">
        <f>IF($P1610="","",INDEX(상세표[직위],$P1610)&amp;"")</f>
        <v/>
      </c>
      <c r="E1610">
        <f>IF($P1610="","",IF(ISNUMBER(INDEX(상세표[시작],$P1610)),TEXT(INDEX(상세표[시작],$P1610),"yyyy-mm-dd hh:mm"),INDEX(상세표[시작],$P1610)&amp;""))</f>
        <v/>
      </c>
      <c r="F1610">
        <f>IF($P1610="","",IF(ISNUMBER(INDEX(상세표[블록종료],$P1610)),TEXT(INDEX(상세표[블록종료],$P1610),"yyyy-mm-dd hh:mm"),INDEX(상세표[블록종료],$P1610)&amp;""))</f>
        <v/>
      </c>
      <c r="G1610">
        <f>IF($P1610="","",CHOOSE(WEEKDAY(INDEX(상세표[시작],$P1610)),"일","월","화","수","목","금","토"))</f>
        <v/>
      </c>
      <c r="H1610">
        <f>IF($P1610="","",INDEX(상세표[연속 시간],$P1610))</f>
        <v/>
      </c>
      <c r="I1610">
        <f>IF($P1610="","",INDEX(상세표[기록 수],$P1610))</f>
        <v/>
      </c>
      <c r="J1610">
        <f>IF($P1610="","",INDEX(상세표[블록 06~07시],$P1610))</f>
        <v/>
      </c>
      <c r="K1610">
        <f>IF($P1610="","",INDEX(상세표[블록 07~18시],$P1610))</f>
        <v/>
      </c>
      <c r="L1610">
        <f>IF($P1610="","",INDEX(상세표[블록 18~22시],$P1610))</f>
        <v/>
      </c>
      <c r="M1610">
        <f>IF($P1610="","",INDEX(상세표[블록 22~06시],$P1610))</f>
        <v/>
      </c>
      <c r="N1610">
        <f>IF($P1610="","",INDEX(상세표[주말·휴일 포함],$P1610)&amp;"")</f>
        <v/>
      </c>
      <c r="O1610">
        <f>IF($P1610="","",INDEX(상세표[월 넘김 포함],$P1610)&amp;"")</f>
        <v/>
      </c>
      <c r="P1610" s="4">
        <f>IFERROR(MATCH(1605,상세표[연속순번],0),"")</f>
        <v/>
      </c>
    </row>
    <row r="1611">
      <c r="A1611">
        <f>IF($P1611="","",INDEX(상세표[사번],$P1611)&amp;"")</f>
        <v/>
      </c>
      <c r="B1611">
        <f>IF($P1611="","",INDEX(상세표[성명],$P1611)&amp;"")</f>
        <v/>
      </c>
      <c r="C1611">
        <f>IF($P1611="","",INDEX(상세표[부서],$P1611)&amp;"")</f>
        <v/>
      </c>
      <c r="D1611">
        <f>IF($P1611="","",INDEX(상세표[직위],$P1611)&amp;"")</f>
        <v/>
      </c>
      <c r="E1611">
        <f>IF($P1611="","",IF(ISNUMBER(INDEX(상세표[시작],$P1611)),TEXT(INDEX(상세표[시작],$P1611),"yyyy-mm-dd hh:mm"),INDEX(상세표[시작],$P1611)&amp;""))</f>
        <v/>
      </c>
      <c r="F1611">
        <f>IF($P1611="","",IF(ISNUMBER(INDEX(상세표[블록종료],$P1611)),TEXT(INDEX(상세표[블록종료],$P1611),"yyyy-mm-dd hh:mm"),INDEX(상세표[블록종료],$P1611)&amp;""))</f>
        <v/>
      </c>
      <c r="G1611">
        <f>IF($P1611="","",CHOOSE(WEEKDAY(INDEX(상세표[시작],$P1611)),"일","월","화","수","목","금","토"))</f>
        <v/>
      </c>
      <c r="H1611">
        <f>IF($P1611="","",INDEX(상세표[연속 시간],$P1611))</f>
        <v/>
      </c>
      <c r="I1611">
        <f>IF($P1611="","",INDEX(상세표[기록 수],$P1611))</f>
        <v/>
      </c>
      <c r="J1611">
        <f>IF($P1611="","",INDEX(상세표[블록 06~07시],$P1611))</f>
        <v/>
      </c>
      <c r="K1611">
        <f>IF($P1611="","",INDEX(상세표[블록 07~18시],$P1611))</f>
        <v/>
      </c>
      <c r="L1611">
        <f>IF($P1611="","",INDEX(상세표[블록 18~22시],$P1611))</f>
        <v/>
      </c>
      <c r="M1611">
        <f>IF($P1611="","",INDEX(상세표[블록 22~06시],$P1611))</f>
        <v/>
      </c>
      <c r="N1611">
        <f>IF($P1611="","",INDEX(상세표[주말·휴일 포함],$P1611)&amp;"")</f>
        <v/>
      </c>
      <c r="O1611">
        <f>IF($P1611="","",INDEX(상세표[월 넘김 포함],$P1611)&amp;"")</f>
        <v/>
      </c>
      <c r="P1611" s="4">
        <f>IFERROR(MATCH(1606,상세표[연속순번],0),"")</f>
        <v/>
      </c>
    </row>
    <row r="1612">
      <c r="A1612">
        <f>IF($P1612="","",INDEX(상세표[사번],$P1612)&amp;"")</f>
        <v/>
      </c>
      <c r="B1612">
        <f>IF($P1612="","",INDEX(상세표[성명],$P1612)&amp;"")</f>
        <v/>
      </c>
      <c r="C1612">
        <f>IF($P1612="","",INDEX(상세표[부서],$P1612)&amp;"")</f>
        <v/>
      </c>
      <c r="D1612">
        <f>IF($P1612="","",INDEX(상세표[직위],$P1612)&amp;"")</f>
        <v/>
      </c>
      <c r="E1612">
        <f>IF($P1612="","",IF(ISNUMBER(INDEX(상세표[시작],$P1612)),TEXT(INDEX(상세표[시작],$P1612),"yyyy-mm-dd hh:mm"),INDEX(상세표[시작],$P1612)&amp;""))</f>
        <v/>
      </c>
      <c r="F1612">
        <f>IF($P1612="","",IF(ISNUMBER(INDEX(상세표[블록종료],$P1612)),TEXT(INDEX(상세표[블록종료],$P1612),"yyyy-mm-dd hh:mm"),INDEX(상세표[블록종료],$P1612)&amp;""))</f>
        <v/>
      </c>
      <c r="G1612">
        <f>IF($P1612="","",CHOOSE(WEEKDAY(INDEX(상세표[시작],$P1612)),"일","월","화","수","목","금","토"))</f>
        <v/>
      </c>
      <c r="H1612">
        <f>IF($P1612="","",INDEX(상세표[연속 시간],$P1612))</f>
        <v/>
      </c>
      <c r="I1612">
        <f>IF($P1612="","",INDEX(상세표[기록 수],$P1612))</f>
        <v/>
      </c>
      <c r="J1612">
        <f>IF($P1612="","",INDEX(상세표[블록 06~07시],$P1612))</f>
        <v/>
      </c>
      <c r="K1612">
        <f>IF($P1612="","",INDEX(상세표[블록 07~18시],$P1612))</f>
        <v/>
      </c>
      <c r="L1612">
        <f>IF($P1612="","",INDEX(상세표[블록 18~22시],$P1612))</f>
        <v/>
      </c>
      <c r="M1612">
        <f>IF($P1612="","",INDEX(상세표[블록 22~06시],$P1612))</f>
        <v/>
      </c>
      <c r="N1612">
        <f>IF($P1612="","",INDEX(상세표[주말·휴일 포함],$P1612)&amp;"")</f>
        <v/>
      </c>
      <c r="O1612">
        <f>IF($P1612="","",INDEX(상세표[월 넘김 포함],$P1612)&amp;"")</f>
        <v/>
      </c>
      <c r="P1612" s="4">
        <f>IFERROR(MATCH(1607,상세표[연속순번],0),"")</f>
        <v/>
      </c>
    </row>
    <row r="1613">
      <c r="A1613">
        <f>IF($P1613="","",INDEX(상세표[사번],$P1613)&amp;"")</f>
        <v/>
      </c>
      <c r="B1613">
        <f>IF($P1613="","",INDEX(상세표[성명],$P1613)&amp;"")</f>
        <v/>
      </c>
      <c r="C1613">
        <f>IF($P1613="","",INDEX(상세표[부서],$P1613)&amp;"")</f>
        <v/>
      </c>
      <c r="D1613">
        <f>IF($P1613="","",INDEX(상세표[직위],$P1613)&amp;"")</f>
        <v/>
      </c>
      <c r="E1613">
        <f>IF($P1613="","",IF(ISNUMBER(INDEX(상세표[시작],$P1613)),TEXT(INDEX(상세표[시작],$P1613),"yyyy-mm-dd hh:mm"),INDEX(상세표[시작],$P1613)&amp;""))</f>
        <v/>
      </c>
      <c r="F1613">
        <f>IF($P1613="","",IF(ISNUMBER(INDEX(상세표[블록종료],$P1613)),TEXT(INDEX(상세표[블록종료],$P1613),"yyyy-mm-dd hh:mm"),INDEX(상세표[블록종료],$P1613)&amp;""))</f>
        <v/>
      </c>
      <c r="G1613">
        <f>IF($P1613="","",CHOOSE(WEEKDAY(INDEX(상세표[시작],$P1613)),"일","월","화","수","목","금","토"))</f>
        <v/>
      </c>
      <c r="H1613">
        <f>IF($P1613="","",INDEX(상세표[연속 시간],$P1613))</f>
        <v/>
      </c>
      <c r="I1613">
        <f>IF($P1613="","",INDEX(상세표[기록 수],$P1613))</f>
        <v/>
      </c>
      <c r="J1613">
        <f>IF($P1613="","",INDEX(상세표[블록 06~07시],$P1613))</f>
        <v/>
      </c>
      <c r="K1613">
        <f>IF($P1613="","",INDEX(상세표[블록 07~18시],$P1613))</f>
        <v/>
      </c>
      <c r="L1613">
        <f>IF($P1613="","",INDEX(상세표[블록 18~22시],$P1613))</f>
        <v/>
      </c>
      <c r="M1613">
        <f>IF($P1613="","",INDEX(상세표[블록 22~06시],$P1613))</f>
        <v/>
      </c>
      <c r="N1613">
        <f>IF($P1613="","",INDEX(상세표[주말·휴일 포함],$P1613)&amp;"")</f>
        <v/>
      </c>
      <c r="O1613">
        <f>IF($P1613="","",INDEX(상세표[월 넘김 포함],$P1613)&amp;"")</f>
        <v/>
      </c>
      <c r="P1613" s="4">
        <f>IFERROR(MATCH(1608,상세표[연속순번],0),"")</f>
        <v/>
      </c>
    </row>
    <row r="1614">
      <c r="A1614">
        <f>IF($P1614="","",INDEX(상세표[사번],$P1614)&amp;"")</f>
        <v/>
      </c>
      <c r="B1614">
        <f>IF($P1614="","",INDEX(상세표[성명],$P1614)&amp;"")</f>
        <v/>
      </c>
      <c r="C1614">
        <f>IF($P1614="","",INDEX(상세표[부서],$P1614)&amp;"")</f>
        <v/>
      </c>
      <c r="D1614">
        <f>IF($P1614="","",INDEX(상세표[직위],$P1614)&amp;"")</f>
        <v/>
      </c>
      <c r="E1614">
        <f>IF($P1614="","",IF(ISNUMBER(INDEX(상세표[시작],$P1614)),TEXT(INDEX(상세표[시작],$P1614),"yyyy-mm-dd hh:mm"),INDEX(상세표[시작],$P1614)&amp;""))</f>
        <v/>
      </c>
      <c r="F1614">
        <f>IF($P1614="","",IF(ISNUMBER(INDEX(상세표[블록종료],$P1614)),TEXT(INDEX(상세표[블록종료],$P1614),"yyyy-mm-dd hh:mm"),INDEX(상세표[블록종료],$P1614)&amp;""))</f>
        <v/>
      </c>
      <c r="G1614">
        <f>IF($P1614="","",CHOOSE(WEEKDAY(INDEX(상세표[시작],$P1614)),"일","월","화","수","목","금","토"))</f>
        <v/>
      </c>
      <c r="H1614">
        <f>IF($P1614="","",INDEX(상세표[연속 시간],$P1614))</f>
        <v/>
      </c>
      <c r="I1614">
        <f>IF($P1614="","",INDEX(상세표[기록 수],$P1614))</f>
        <v/>
      </c>
      <c r="J1614">
        <f>IF($P1614="","",INDEX(상세표[블록 06~07시],$P1614))</f>
        <v/>
      </c>
      <c r="K1614">
        <f>IF($P1614="","",INDEX(상세표[블록 07~18시],$P1614))</f>
        <v/>
      </c>
      <c r="L1614">
        <f>IF($P1614="","",INDEX(상세표[블록 18~22시],$P1614))</f>
        <v/>
      </c>
      <c r="M1614">
        <f>IF($P1614="","",INDEX(상세표[블록 22~06시],$P1614))</f>
        <v/>
      </c>
      <c r="N1614">
        <f>IF($P1614="","",INDEX(상세표[주말·휴일 포함],$P1614)&amp;"")</f>
        <v/>
      </c>
      <c r="O1614">
        <f>IF($P1614="","",INDEX(상세표[월 넘김 포함],$P1614)&amp;"")</f>
        <v/>
      </c>
      <c r="P1614" s="4">
        <f>IFERROR(MATCH(1609,상세표[연속순번],0),"")</f>
        <v/>
      </c>
    </row>
    <row r="1615">
      <c r="A1615">
        <f>IF($P1615="","",INDEX(상세표[사번],$P1615)&amp;"")</f>
        <v/>
      </c>
      <c r="B1615">
        <f>IF($P1615="","",INDEX(상세표[성명],$P1615)&amp;"")</f>
        <v/>
      </c>
      <c r="C1615">
        <f>IF($P1615="","",INDEX(상세표[부서],$P1615)&amp;"")</f>
        <v/>
      </c>
      <c r="D1615">
        <f>IF($P1615="","",INDEX(상세표[직위],$P1615)&amp;"")</f>
        <v/>
      </c>
      <c r="E1615">
        <f>IF($P1615="","",IF(ISNUMBER(INDEX(상세표[시작],$P1615)),TEXT(INDEX(상세표[시작],$P1615),"yyyy-mm-dd hh:mm"),INDEX(상세표[시작],$P1615)&amp;""))</f>
        <v/>
      </c>
      <c r="F1615">
        <f>IF($P1615="","",IF(ISNUMBER(INDEX(상세표[블록종료],$P1615)),TEXT(INDEX(상세표[블록종료],$P1615),"yyyy-mm-dd hh:mm"),INDEX(상세표[블록종료],$P1615)&amp;""))</f>
        <v/>
      </c>
      <c r="G1615">
        <f>IF($P1615="","",CHOOSE(WEEKDAY(INDEX(상세표[시작],$P1615)),"일","월","화","수","목","금","토"))</f>
        <v/>
      </c>
      <c r="H1615">
        <f>IF($P1615="","",INDEX(상세표[연속 시간],$P1615))</f>
        <v/>
      </c>
      <c r="I1615">
        <f>IF($P1615="","",INDEX(상세표[기록 수],$P1615))</f>
        <v/>
      </c>
      <c r="J1615">
        <f>IF($P1615="","",INDEX(상세표[블록 06~07시],$P1615))</f>
        <v/>
      </c>
      <c r="K1615">
        <f>IF($P1615="","",INDEX(상세표[블록 07~18시],$P1615))</f>
        <v/>
      </c>
      <c r="L1615">
        <f>IF($P1615="","",INDEX(상세표[블록 18~22시],$P1615))</f>
        <v/>
      </c>
      <c r="M1615">
        <f>IF($P1615="","",INDEX(상세표[블록 22~06시],$P1615))</f>
        <v/>
      </c>
      <c r="N1615">
        <f>IF($P1615="","",INDEX(상세표[주말·휴일 포함],$P1615)&amp;"")</f>
        <v/>
      </c>
      <c r="O1615">
        <f>IF($P1615="","",INDEX(상세표[월 넘김 포함],$P1615)&amp;"")</f>
        <v/>
      </c>
      <c r="P1615" s="4">
        <f>IFERROR(MATCH(1610,상세표[연속순번],0),"")</f>
        <v/>
      </c>
    </row>
    <row r="1616">
      <c r="A1616">
        <f>IF($P1616="","",INDEX(상세표[사번],$P1616)&amp;"")</f>
        <v/>
      </c>
      <c r="B1616">
        <f>IF($P1616="","",INDEX(상세표[성명],$P1616)&amp;"")</f>
        <v/>
      </c>
      <c r="C1616">
        <f>IF($P1616="","",INDEX(상세표[부서],$P1616)&amp;"")</f>
        <v/>
      </c>
      <c r="D1616">
        <f>IF($P1616="","",INDEX(상세표[직위],$P1616)&amp;"")</f>
        <v/>
      </c>
      <c r="E1616">
        <f>IF($P1616="","",IF(ISNUMBER(INDEX(상세표[시작],$P1616)),TEXT(INDEX(상세표[시작],$P1616),"yyyy-mm-dd hh:mm"),INDEX(상세표[시작],$P1616)&amp;""))</f>
        <v/>
      </c>
      <c r="F1616">
        <f>IF($P1616="","",IF(ISNUMBER(INDEX(상세표[블록종료],$P1616)),TEXT(INDEX(상세표[블록종료],$P1616),"yyyy-mm-dd hh:mm"),INDEX(상세표[블록종료],$P1616)&amp;""))</f>
        <v/>
      </c>
      <c r="G1616">
        <f>IF($P1616="","",CHOOSE(WEEKDAY(INDEX(상세표[시작],$P1616)),"일","월","화","수","목","금","토"))</f>
        <v/>
      </c>
      <c r="H1616">
        <f>IF($P1616="","",INDEX(상세표[연속 시간],$P1616))</f>
        <v/>
      </c>
      <c r="I1616">
        <f>IF($P1616="","",INDEX(상세표[기록 수],$P1616))</f>
        <v/>
      </c>
      <c r="J1616">
        <f>IF($P1616="","",INDEX(상세표[블록 06~07시],$P1616))</f>
        <v/>
      </c>
      <c r="K1616">
        <f>IF($P1616="","",INDEX(상세표[블록 07~18시],$P1616))</f>
        <v/>
      </c>
      <c r="L1616">
        <f>IF($P1616="","",INDEX(상세표[블록 18~22시],$P1616))</f>
        <v/>
      </c>
      <c r="M1616">
        <f>IF($P1616="","",INDEX(상세표[블록 22~06시],$P1616))</f>
        <v/>
      </c>
      <c r="N1616">
        <f>IF($P1616="","",INDEX(상세표[주말·휴일 포함],$P1616)&amp;"")</f>
        <v/>
      </c>
      <c r="O1616">
        <f>IF($P1616="","",INDEX(상세표[월 넘김 포함],$P1616)&amp;"")</f>
        <v/>
      </c>
      <c r="P1616" s="4">
        <f>IFERROR(MATCH(1611,상세표[연속순번],0),"")</f>
        <v/>
      </c>
    </row>
    <row r="1617">
      <c r="A1617">
        <f>IF($P1617="","",INDEX(상세표[사번],$P1617)&amp;"")</f>
        <v/>
      </c>
      <c r="B1617">
        <f>IF($P1617="","",INDEX(상세표[성명],$P1617)&amp;"")</f>
        <v/>
      </c>
      <c r="C1617">
        <f>IF($P1617="","",INDEX(상세표[부서],$P1617)&amp;"")</f>
        <v/>
      </c>
      <c r="D1617">
        <f>IF($P1617="","",INDEX(상세표[직위],$P1617)&amp;"")</f>
        <v/>
      </c>
      <c r="E1617">
        <f>IF($P1617="","",IF(ISNUMBER(INDEX(상세표[시작],$P1617)),TEXT(INDEX(상세표[시작],$P1617),"yyyy-mm-dd hh:mm"),INDEX(상세표[시작],$P1617)&amp;""))</f>
        <v/>
      </c>
      <c r="F1617">
        <f>IF($P1617="","",IF(ISNUMBER(INDEX(상세표[블록종료],$P1617)),TEXT(INDEX(상세표[블록종료],$P1617),"yyyy-mm-dd hh:mm"),INDEX(상세표[블록종료],$P1617)&amp;""))</f>
        <v/>
      </c>
      <c r="G1617">
        <f>IF($P1617="","",CHOOSE(WEEKDAY(INDEX(상세표[시작],$P1617)),"일","월","화","수","목","금","토"))</f>
        <v/>
      </c>
      <c r="H1617">
        <f>IF($P1617="","",INDEX(상세표[연속 시간],$P1617))</f>
        <v/>
      </c>
      <c r="I1617">
        <f>IF($P1617="","",INDEX(상세표[기록 수],$P1617))</f>
        <v/>
      </c>
      <c r="J1617">
        <f>IF($P1617="","",INDEX(상세표[블록 06~07시],$P1617))</f>
        <v/>
      </c>
      <c r="K1617">
        <f>IF($P1617="","",INDEX(상세표[블록 07~18시],$P1617))</f>
        <v/>
      </c>
      <c r="L1617">
        <f>IF($P1617="","",INDEX(상세표[블록 18~22시],$P1617))</f>
        <v/>
      </c>
      <c r="M1617">
        <f>IF($P1617="","",INDEX(상세표[블록 22~06시],$P1617))</f>
        <v/>
      </c>
      <c r="N1617">
        <f>IF($P1617="","",INDEX(상세표[주말·휴일 포함],$P1617)&amp;"")</f>
        <v/>
      </c>
      <c r="O1617">
        <f>IF($P1617="","",INDEX(상세표[월 넘김 포함],$P1617)&amp;"")</f>
        <v/>
      </c>
      <c r="P1617" s="4">
        <f>IFERROR(MATCH(1612,상세표[연속순번],0),"")</f>
        <v/>
      </c>
    </row>
    <row r="1618">
      <c r="A1618">
        <f>IF($P1618="","",INDEX(상세표[사번],$P1618)&amp;"")</f>
        <v/>
      </c>
      <c r="B1618">
        <f>IF($P1618="","",INDEX(상세표[성명],$P1618)&amp;"")</f>
        <v/>
      </c>
      <c r="C1618">
        <f>IF($P1618="","",INDEX(상세표[부서],$P1618)&amp;"")</f>
        <v/>
      </c>
      <c r="D1618">
        <f>IF($P1618="","",INDEX(상세표[직위],$P1618)&amp;"")</f>
        <v/>
      </c>
      <c r="E1618">
        <f>IF($P1618="","",IF(ISNUMBER(INDEX(상세표[시작],$P1618)),TEXT(INDEX(상세표[시작],$P1618),"yyyy-mm-dd hh:mm"),INDEX(상세표[시작],$P1618)&amp;""))</f>
        <v/>
      </c>
      <c r="F1618">
        <f>IF($P1618="","",IF(ISNUMBER(INDEX(상세표[블록종료],$P1618)),TEXT(INDEX(상세표[블록종료],$P1618),"yyyy-mm-dd hh:mm"),INDEX(상세표[블록종료],$P1618)&amp;""))</f>
        <v/>
      </c>
      <c r="G1618">
        <f>IF($P1618="","",CHOOSE(WEEKDAY(INDEX(상세표[시작],$P1618)),"일","월","화","수","목","금","토"))</f>
        <v/>
      </c>
      <c r="H1618">
        <f>IF($P1618="","",INDEX(상세표[연속 시간],$P1618))</f>
        <v/>
      </c>
      <c r="I1618">
        <f>IF($P1618="","",INDEX(상세표[기록 수],$P1618))</f>
        <v/>
      </c>
      <c r="J1618">
        <f>IF($P1618="","",INDEX(상세표[블록 06~07시],$P1618))</f>
        <v/>
      </c>
      <c r="K1618">
        <f>IF($P1618="","",INDEX(상세표[블록 07~18시],$P1618))</f>
        <v/>
      </c>
      <c r="L1618">
        <f>IF($P1618="","",INDEX(상세표[블록 18~22시],$P1618))</f>
        <v/>
      </c>
      <c r="M1618">
        <f>IF($P1618="","",INDEX(상세표[블록 22~06시],$P1618))</f>
        <v/>
      </c>
      <c r="N1618">
        <f>IF($P1618="","",INDEX(상세표[주말·휴일 포함],$P1618)&amp;"")</f>
        <v/>
      </c>
      <c r="O1618">
        <f>IF($P1618="","",INDEX(상세표[월 넘김 포함],$P1618)&amp;"")</f>
        <v/>
      </c>
      <c r="P1618" s="4">
        <f>IFERROR(MATCH(1613,상세표[연속순번],0),"")</f>
        <v/>
      </c>
    </row>
    <row r="1619">
      <c r="A1619">
        <f>IF($P1619="","",INDEX(상세표[사번],$P1619)&amp;"")</f>
        <v/>
      </c>
      <c r="B1619">
        <f>IF($P1619="","",INDEX(상세표[성명],$P1619)&amp;"")</f>
        <v/>
      </c>
      <c r="C1619">
        <f>IF($P1619="","",INDEX(상세표[부서],$P1619)&amp;"")</f>
        <v/>
      </c>
      <c r="D1619">
        <f>IF($P1619="","",INDEX(상세표[직위],$P1619)&amp;"")</f>
        <v/>
      </c>
      <c r="E1619">
        <f>IF($P1619="","",IF(ISNUMBER(INDEX(상세표[시작],$P1619)),TEXT(INDEX(상세표[시작],$P1619),"yyyy-mm-dd hh:mm"),INDEX(상세표[시작],$P1619)&amp;""))</f>
        <v/>
      </c>
      <c r="F1619">
        <f>IF($P1619="","",IF(ISNUMBER(INDEX(상세표[블록종료],$P1619)),TEXT(INDEX(상세표[블록종료],$P1619),"yyyy-mm-dd hh:mm"),INDEX(상세표[블록종료],$P1619)&amp;""))</f>
        <v/>
      </c>
      <c r="G1619">
        <f>IF($P1619="","",CHOOSE(WEEKDAY(INDEX(상세표[시작],$P1619)),"일","월","화","수","목","금","토"))</f>
        <v/>
      </c>
      <c r="H1619">
        <f>IF($P1619="","",INDEX(상세표[연속 시간],$P1619))</f>
        <v/>
      </c>
      <c r="I1619">
        <f>IF($P1619="","",INDEX(상세표[기록 수],$P1619))</f>
        <v/>
      </c>
      <c r="J1619">
        <f>IF($P1619="","",INDEX(상세표[블록 06~07시],$P1619))</f>
        <v/>
      </c>
      <c r="K1619">
        <f>IF($P1619="","",INDEX(상세표[블록 07~18시],$P1619))</f>
        <v/>
      </c>
      <c r="L1619">
        <f>IF($P1619="","",INDEX(상세표[블록 18~22시],$P1619))</f>
        <v/>
      </c>
      <c r="M1619">
        <f>IF($P1619="","",INDEX(상세표[블록 22~06시],$P1619))</f>
        <v/>
      </c>
      <c r="N1619">
        <f>IF($P1619="","",INDEX(상세표[주말·휴일 포함],$P1619)&amp;"")</f>
        <v/>
      </c>
      <c r="O1619">
        <f>IF($P1619="","",INDEX(상세표[월 넘김 포함],$P1619)&amp;"")</f>
        <v/>
      </c>
      <c r="P1619" s="4">
        <f>IFERROR(MATCH(1614,상세표[연속순번],0),"")</f>
        <v/>
      </c>
    </row>
    <row r="1620">
      <c r="A1620">
        <f>IF($P1620="","",INDEX(상세표[사번],$P1620)&amp;"")</f>
        <v/>
      </c>
      <c r="B1620">
        <f>IF($P1620="","",INDEX(상세표[성명],$P1620)&amp;"")</f>
        <v/>
      </c>
      <c r="C1620">
        <f>IF($P1620="","",INDEX(상세표[부서],$P1620)&amp;"")</f>
        <v/>
      </c>
      <c r="D1620">
        <f>IF($P1620="","",INDEX(상세표[직위],$P1620)&amp;"")</f>
        <v/>
      </c>
      <c r="E1620">
        <f>IF($P1620="","",IF(ISNUMBER(INDEX(상세표[시작],$P1620)),TEXT(INDEX(상세표[시작],$P1620),"yyyy-mm-dd hh:mm"),INDEX(상세표[시작],$P1620)&amp;""))</f>
        <v/>
      </c>
      <c r="F1620">
        <f>IF($P1620="","",IF(ISNUMBER(INDEX(상세표[블록종료],$P1620)),TEXT(INDEX(상세표[블록종료],$P1620),"yyyy-mm-dd hh:mm"),INDEX(상세표[블록종료],$P1620)&amp;""))</f>
        <v/>
      </c>
      <c r="G1620">
        <f>IF($P1620="","",CHOOSE(WEEKDAY(INDEX(상세표[시작],$P1620)),"일","월","화","수","목","금","토"))</f>
        <v/>
      </c>
      <c r="H1620">
        <f>IF($P1620="","",INDEX(상세표[연속 시간],$P1620))</f>
        <v/>
      </c>
      <c r="I1620">
        <f>IF($P1620="","",INDEX(상세표[기록 수],$P1620))</f>
        <v/>
      </c>
      <c r="J1620">
        <f>IF($P1620="","",INDEX(상세표[블록 06~07시],$P1620))</f>
        <v/>
      </c>
      <c r="K1620">
        <f>IF($P1620="","",INDEX(상세표[블록 07~18시],$P1620))</f>
        <v/>
      </c>
      <c r="L1620">
        <f>IF($P1620="","",INDEX(상세표[블록 18~22시],$P1620))</f>
        <v/>
      </c>
      <c r="M1620">
        <f>IF($P1620="","",INDEX(상세표[블록 22~06시],$P1620))</f>
        <v/>
      </c>
      <c r="N1620">
        <f>IF($P1620="","",INDEX(상세표[주말·휴일 포함],$P1620)&amp;"")</f>
        <v/>
      </c>
      <c r="O1620">
        <f>IF($P1620="","",INDEX(상세표[월 넘김 포함],$P1620)&amp;"")</f>
        <v/>
      </c>
      <c r="P1620" s="4">
        <f>IFERROR(MATCH(1615,상세표[연속순번],0),"")</f>
        <v/>
      </c>
    </row>
    <row r="1621">
      <c r="A1621">
        <f>IF($P1621="","",INDEX(상세표[사번],$P1621)&amp;"")</f>
        <v/>
      </c>
      <c r="B1621">
        <f>IF($P1621="","",INDEX(상세표[성명],$P1621)&amp;"")</f>
        <v/>
      </c>
      <c r="C1621">
        <f>IF($P1621="","",INDEX(상세표[부서],$P1621)&amp;"")</f>
        <v/>
      </c>
      <c r="D1621">
        <f>IF($P1621="","",INDEX(상세표[직위],$P1621)&amp;"")</f>
        <v/>
      </c>
      <c r="E1621">
        <f>IF($P1621="","",IF(ISNUMBER(INDEX(상세표[시작],$P1621)),TEXT(INDEX(상세표[시작],$P1621),"yyyy-mm-dd hh:mm"),INDEX(상세표[시작],$P1621)&amp;""))</f>
        <v/>
      </c>
      <c r="F1621">
        <f>IF($P1621="","",IF(ISNUMBER(INDEX(상세표[블록종료],$P1621)),TEXT(INDEX(상세표[블록종료],$P1621),"yyyy-mm-dd hh:mm"),INDEX(상세표[블록종료],$P1621)&amp;""))</f>
        <v/>
      </c>
      <c r="G1621">
        <f>IF($P1621="","",CHOOSE(WEEKDAY(INDEX(상세표[시작],$P1621)),"일","월","화","수","목","금","토"))</f>
        <v/>
      </c>
      <c r="H1621">
        <f>IF($P1621="","",INDEX(상세표[연속 시간],$P1621))</f>
        <v/>
      </c>
      <c r="I1621">
        <f>IF($P1621="","",INDEX(상세표[기록 수],$P1621))</f>
        <v/>
      </c>
      <c r="J1621">
        <f>IF($P1621="","",INDEX(상세표[블록 06~07시],$P1621))</f>
        <v/>
      </c>
      <c r="K1621">
        <f>IF($P1621="","",INDEX(상세표[블록 07~18시],$P1621))</f>
        <v/>
      </c>
      <c r="L1621">
        <f>IF($P1621="","",INDEX(상세표[블록 18~22시],$P1621))</f>
        <v/>
      </c>
      <c r="M1621">
        <f>IF($P1621="","",INDEX(상세표[블록 22~06시],$P1621))</f>
        <v/>
      </c>
      <c r="N1621">
        <f>IF($P1621="","",INDEX(상세표[주말·휴일 포함],$P1621)&amp;"")</f>
        <v/>
      </c>
      <c r="O1621">
        <f>IF($P1621="","",INDEX(상세표[월 넘김 포함],$P1621)&amp;"")</f>
        <v/>
      </c>
      <c r="P1621" s="4">
        <f>IFERROR(MATCH(1616,상세표[연속순번],0),"")</f>
        <v/>
      </c>
    </row>
    <row r="1622">
      <c r="A1622">
        <f>IF($P1622="","",INDEX(상세표[사번],$P1622)&amp;"")</f>
        <v/>
      </c>
      <c r="B1622">
        <f>IF($P1622="","",INDEX(상세표[성명],$P1622)&amp;"")</f>
        <v/>
      </c>
      <c r="C1622">
        <f>IF($P1622="","",INDEX(상세표[부서],$P1622)&amp;"")</f>
        <v/>
      </c>
      <c r="D1622">
        <f>IF($P1622="","",INDEX(상세표[직위],$P1622)&amp;"")</f>
        <v/>
      </c>
      <c r="E1622">
        <f>IF($P1622="","",IF(ISNUMBER(INDEX(상세표[시작],$P1622)),TEXT(INDEX(상세표[시작],$P1622),"yyyy-mm-dd hh:mm"),INDEX(상세표[시작],$P1622)&amp;""))</f>
        <v/>
      </c>
      <c r="F1622">
        <f>IF($P1622="","",IF(ISNUMBER(INDEX(상세표[블록종료],$P1622)),TEXT(INDEX(상세표[블록종료],$P1622),"yyyy-mm-dd hh:mm"),INDEX(상세표[블록종료],$P1622)&amp;""))</f>
        <v/>
      </c>
      <c r="G1622">
        <f>IF($P1622="","",CHOOSE(WEEKDAY(INDEX(상세표[시작],$P1622)),"일","월","화","수","목","금","토"))</f>
        <v/>
      </c>
      <c r="H1622">
        <f>IF($P1622="","",INDEX(상세표[연속 시간],$P1622))</f>
        <v/>
      </c>
      <c r="I1622">
        <f>IF($P1622="","",INDEX(상세표[기록 수],$P1622))</f>
        <v/>
      </c>
      <c r="J1622">
        <f>IF($P1622="","",INDEX(상세표[블록 06~07시],$P1622))</f>
        <v/>
      </c>
      <c r="K1622">
        <f>IF($P1622="","",INDEX(상세표[블록 07~18시],$P1622))</f>
        <v/>
      </c>
      <c r="L1622">
        <f>IF($P1622="","",INDEX(상세표[블록 18~22시],$P1622))</f>
        <v/>
      </c>
      <c r="M1622">
        <f>IF($P1622="","",INDEX(상세표[블록 22~06시],$P1622))</f>
        <v/>
      </c>
      <c r="N1622">
        <f>IF($P1622="","",INDEX(상세표[주말·휴일 포함],$P1622)&amp;"")</f>
        <v/>
      </c>
      <c r="O1622">
        <f>IF($P1622="","",INDEX(상세표[월 넘김 포함],$P1622)&amp;"")</f>
        <v/>
      </c>
      <c r="P1622" s="4">
        <f>IFERROR(MATCH(1617,상세표[연속순번],0),"")</f>
        <v/>
      </c>
    </row>
    <row r="1623">
      <c r="A1623">
        <f>IF($P1623="","",INDEX(상세표[사번],$P1623)&amp;"")</f>
        <v/>
      </c>
      <c r="B1623">
        <f>IF($P1623="","",INDEX(상세표[성명],$P1623)&amp;"")</f>
        <v/>
      </c>
      <c r="C1623">
        <f>IF($P1623="","",INDEX(상세표[부서],$P1623)&amp;"")</f>
        <v/>
      </c>
      <c r="D1623">
        <f>IF($P1623="","",INDEX(상세표[직위],$P1623)&amp;"")</f>
        <v/>
      </c>
      <c r="E1623">
        <f>IF($P1623="","",IF(ISNUMBER(INDEX(상세표[시작],$P1623)),TEXT(INDEX(상세표[시작],$P1623),"yyyy-mm-dd hh:mm"),INDEX(상세표[시작],$P1623)&amp;""))</f>
        <v/>
      </c>
      <c r="F1623">
        <f>IF($P1623="","",IF(ISNUMBER(INDEX(상세표[블록종료],$P1623)),TEXT(INDEX(상세표[블록종료],$P1623),"yyyy-mm-dd hh:mm"),INDEX(상세표[블록종료],$P1623)&amp;""))</f>
        <v/>
      </c>
      <c r="G1623">
        <f>IF($P1623="","",CHOOSE(WEEKDAY(INDEX(상세표[시작],$P1623)),"일","월","화","수","목","금","토"))</f>
        <v/>
      </c>
      <c r="H1623">
        <f>IF($P1623="","",INDEX(상세표[연속 시간],$P1623))</f>
        <v/>
      </c>
      <c r="I1623">
        <f>IF($P1623="","",INDEX(상세표[기록 수],$P1623))</f>
        <v/>
      </c>
      <c r="J1623">
        <f>IF($P1623="","",INDEX(상세표[블록 06~07시],$P1623))</f>
        <v/>
      </c>
      <c r="K1623">
        <f>IF($P1623="","",INDEX(상세표[블록 07~18시],$P1623))</f>
        <v/>
      </c>
      <c r="L1623">
        <f>IF($P1623="","",INDEX(상세표[블록 18~22시],$P1623))</f>
        <v/>
      </c>
      <c r="M1623">
        <f>IF($P1623="","",INDEX(상세표[블록 22~06시],$P1623))</f>
        <v/>
      </c>
      <c r="N1623">
        <f>IF($P1623="","",INDEX(상세표[주말·휴일 포함],$P1623)&amp;"")</f>
        <v/>
      </c>
      <c r="O1623">
        <f>IF($P1623="","",INDEX(상세표[월 넘김 포함],$P1623)&amp;"")</f>
        <v/>
      </c>
      <c r="P1623" s="4">
        <f>IFERROR(MATCH(1618,상세표[연속순번],0),"")</f>
        <v/>
      </c>
    </row>
    <row r="1624">
      <c r="A1624">
        <f>IF($P1624="","",INDEX(상세표[사번],$P1624)&amp;"")</f>
        <v/>
      </c>
      <c r="B1624">
        <f>IF($P1624="","",INDEX(상세표[성명],$P1624)&amp;"")</f>
        <v/>
      </c>
      <c r="C1624">
        <f>IF($P1624="","",INDEX(상세표[부서],$P1624)&amp;"")</f>
        <v/>
      </c>
      <c r="D1624">
        <f>IF($P1624="","",INDEX(상세표[직위],$P1624)&amp;"")</f>
        <v/>
      </c>
      <c r="E1624">
        <f>IF($P1624="","",IF(ISNUMBER(INDEX(상세표[시작],$P1624)),TEXT(INDEX(상세표[시작],$P1624),"yyyy-mm-dd hh:mm"),INDEX(상세표[시작],$P1624)&amp;""))</f>
        <v/>
      </c>
      <c r="F1624">
        <f>IF($P1624="","",IF(ISNUMBER(INDEX(상세표[블록종료],$P1624)),TEXT(INDEX(상세표[블록종료],$P1624),"yyyy-mm-dd hh:mm"),INDEX(상세표[블록종료],$P1624)&amp;""))</f>
        <v/>
      </c>
      <c r="G1624">
        <f>IF($P1624="","",CHOOSE(WEEKDAY(INDEX(상세표[시작],$P1624)),"일","월","화","수","목","금","토"))</f>
        <v/>
      </c>
      <c r="H1624">
        <f>IF($P1624="","",INDEX(상세표[연속 시간],$P1624))</f>
        <v/>
      </c>
      <c r="I1624">
        <f>IF($P1624="","",INDEX(상세표[기록 수],$P1624))</f>
        <v/>
      </c>
      <c r="J1624">
        <f>IF($P1624="","",INDEX(상세표[블록 06~07시],$P1624))</f>
        <v/>
      </c>
      <c r="K1624">
        <f>IF($P1624="","",INDEX(상세표[블록 07~18시],$P1624))</f>
        <v/>
      </c>
      <c r="L1624">
        <f>IF($P1624="","",INDEX(상세표[블록 18~22시],$P1624))</f>
        <v/>
      </c>
      <c r="M1624">
        <f>IF($P1624="","",INDEX(상세표[블록 22~06시],$P1624))</f>
        <v/>
      </c>
      <c r="N1624">
        <f>IF($P1624="","",INDEX(상세표[주말·휴일 포함],$P1624)&amp;"")</f>
        <v/>
      </c>
      <c r="O1624">
        <f>IF($P1624="","",INDEX(상세표[월 넘김 포함],$P1624)&amp;"")</f>
        <v/>
      </c>
      <c r="P1624" s="4">
        <f>IFERROR(MATCH(1619,상세표[연속순번],0),"")</f>
        <v/>
      </c>
    </row>
    <row r="1625">
      <c r="A1625">
        <f>IF($P1625="","",INDEX(상세표[사번],$P1625)&amp;"")</f>
        <v/>
      </c>
      <c r="B1625">
        <f>IF($P1625="","",INDEX(상세표[성명],$P1625)&amp;"")</f>
        <v/>
      </c>
      <c r="C1625">
        <f>IF($P1625="","",INDEX(상세표[부서],$P1625)&amp;"")</f>
        <v/>
      </c>
      <c r="D1625">
        <f>IF($P1625="","",INDEX(상세표[직위],$P1625)&amp;"")</f>
        <v/>
      </c>
      <c r="E1625">
        <f>IF($P1625="","",IF(ISNUMBER(INDEX(상세표[시작],$P1625)),TEXT(INDEX(상세표[시작],$P1625),"yyyy-mm-dd hh:mm"),INDEX(상세표[시작],$P1625)&amp;""))</f>
        <v/>
      </c>
      <c r="F1625">
        <f>IF($P1625="","",IF(ISNUMBER(INDEX(상세표[블록종료],$P1625)),TEXT(INDEX(상세표[블록종료],$P1625),"yyyy-mm-dd hh:mm"),INDEX(상세표[블록종료],$P1625)&amp;""))</f>
        <v/>
      </c>
      <c r="G1625">
        <f>IF($P1625="","",CHOOSE(WEEKDAY(INDEX(상세표[시작],$P1625)),"일","월","화","수","목","금","토"))</f>
        <v/>
      </c>
      <c r="H1625">
        <f>IF($P1625="","",INDEX(상세표[연속 시간],$P1625))</f>
        <v/>
      </c>
      <c r="I1625">
        <f>IF($P1625="","",INDEX(상세표[기록 수],$P1625))</f>
        <v/>
      </c>
      <c r="J1625">
        <f>IF($P1625="","",INDEX(상세표[블록 06~07시],$P1625))</f>
        <v/>
      </c>
      <c r="K1625">
        <f>IF($P1625="","",INDEX(상세표[블록 07~18시],$P1625))</f>
        <v/>
      </c>
      <c r="L1625">
        <f>IF($P1625="","",INDEX(상세표[블록 18~22시],$P1625))</f>
        <v/>
      </c>
      <c r="M1625">
        <f>IF($P1625="","",INDEX(상세표[블록 22~06시],$P1625))</f>
        <v/>
      </c>
      <c r="N1625">
        <f>IF($P1625="","",INDEX(상세표[주말·휴일 포함],$P1625)&amp;"")</f>
        <v/>
      </c>
      <c r="O1625">
        <f>IF($P1625="","",INDEX(상세표[월 넘김 포함],$P1625)&amp;"")</f>
        <v/>
      </c>
      <c r="P1625" s="4">
        <f>IFERROR(MATCH(1620,상세표[연속순번],0),"")</f>
        <v/>
      </c>
    </row>
    <row r="1626">
      <c r="A1626">
        <f>IF($P1626="","",INDEX(상세표[사번],$P1626)&amp;"")</f>
        <v/>
      </c>
      <c r="B1626">
        <f>IF($P1626="","",INDEX(상세표[성명],$P1626)&amp;"")</f>
        <v/>
      </c>
      <c r="C1626">
        <f>IF($P1626="","",INDEX(상세표[부서],$P1626)&amp;"")</f>
        <v/>
      </c>
      <c r="D1626">
        <f>IF($P1626="","",INDEX(상세표[직위],$P1626)&amp;"")</f>
        <v/>
      </c>
      <c r="E1626">
        <f>IF($P1626="","",IF(ISNUMBER(INDEX(상세표[시작],$P1626)),TEXT(INDEX(상세표[시작],$P1626),"yyyy-mm-dd hh:mm"),INDEX(상세표[시작],$P1626)&amp;""))</f>
        <v/>
      </c>
      <c r="F1626">
        <f>IF($P1626="","",IF(ISNUMBER(INDEX(상세표[블록종료],$P1626)),TEXT(INDEX(상세표[블록종료],$P1626),"yyyy-mm-dd hh:mm"),INDEX(상세표[블록종료],$P1626)&amp;""))</f>
        <v/>
      </c>
      <c r="G1626">
        <f>IF($P1626="","",CHOOSE(WEEKDAY(INDEX(상세표[시작],$P1626)),"일","월","화","수","목","금","토"))</f>
        <v/>
      </c>
      <c r="H1626">
        <f>IF($P1626="","",INDEX(상세표[연속 시간],$P1626))</f>
        <v/>
      </c>
      <c r="I1626">
        <f>IF($P1626="","",INDEX(상세표[기록 수],$P1626))</f>
        <v/>
      </c>
      <c r="J1626">
        <f>IF($P1626="","",INDEX(상세표[블록 06~07시],$P1626))</f>
        <v/>
      </c>
      <c r="K1626">
        <f>IF($P1626="","",INDEX(상세표[블록 07~18시],$P1626))</f>
        <v/>
      </c>
      <c r="L1626">
        <f>IF($P1626="","",INDEX(상세표[블록 18~22시],$P1626))</f>
        <v/>
      </c>
      <c r="M1626">
        <f>IF($P1626="","",INDEX(상세표[블록 22~06시],$P1626))</f>
        <v/>
      </c>
      <c r="N1626">
        <f>IF($P1626="","",INDEX(상세표[주말·휴일 포함],$P1626)&amp;"")</f>
        <v/>
      </c>
      <c r="O1626">
        <f>IF($P1626="","",INDEX(상세표[월 넘김 포함],$P1626)&amp;"")</f>
        <v/>
      </c>
      <c r="P1626" s="4">
        <f>IFERROR(MATCH(1621,상세표[연속순번],0),"")</f>
        <v/>
      </c>
    </row>
    <row r="1627">
      <c r="A1627">
        <f>IF($P1627="","",INDEX(상세표[사번],$P1627)&amp;"")</f>
        <v/>
      </c>
      <c r="B1627">
        <f>IF($P1627="","",INDEX(상세표[성명],$P1627)&amp;"")</f>
        <v/>
      </c>
      <c r="C1627">
        <f>IF($P1627="","",INDEX(상세표[부서],$P1627)&amp;"")</f>
        <v/>
      </c>
      <c r="D1627">
        <f>IF($P1627="","",INDEX(상세표[직위],$P1627)&amp;"")</f>
        <v/>
      </c>
      <c r="E1627">
        <f>IF($P1627="","",IF(ISNUMBER(INDEX(상세표[시작],$P1627)),TEXT(INDEX(상세표[시작],$P1627),"yyyy-mm-dd hh:mm"),INDEX(상세표[시작],$P1627)&amp;""))</f>
        <v/>
      </c>
      <c r="F1627">
        <f>IF($P1627="","",IF(ISNUMBER(INDEX(상세표[블록종료],$P1627)),TEXT(INDEX(상세표[블록종료],$P1627),"yyyy-mm-dd hh:mm"),INDEX(상세표[블록종료],$P1627)&amp;""))</f>
        <v/>
      </c>
      <c r="G1627">
        <f>IF($P1627="","",CHOOSE(WEEKDAY(INDEX(상세표[시작],$P1627)),"일","월","화","수","목","금","토"))</f>
        <v/>
      </c>
      <c r="H1627">
        <f>IF($P1627="","",INDEX(상세표[연속 시간],$P1627))</f>
        <v/>
      </c>
      <c r="I1627">
        <f>IF($P1627="","",INDEX(상세표[기록 수],$P1627))</f>
        <v/>
      </c>
      <c r="J1627">
        <f>IF($P1627="","",INDEX(상세표[블록 06~07시],$P1627))</f>
        <v/>
      </c>
      <c r="K1627">
        <f>IF($P1627="","",INDEX(상세표[블록 07~18시],$P1627))</f>
        <v/>
      </c>
      <c r="L1627">
        <f>IF($P1627="","",INDEX(상세표[블록 18~22시],$P1627))</f>
        <v/>
      </c>
      <c r="M1627">
        <f>IF($P1627="","",INDEX(상세표[블록 22~06시],$P1627))</f>
        <v/>
      </c>
      <c r="N1627">
        <f>IF($P1627="","",INDEX(상세표[주말·휴일 포함],$P1627)&amp;"")</f>
        <v/>
      </c>
      <c r="O1627">
        <f>IF($P1627="","",INDEX(상세표[월 넘김 포함],$P1627)&amp;"")</f>
        <v/>
      </c>
      <c r="P1627" s="4">
        <f>IFERROR(MATCH(1622,상세표[연속순번],0),"")</f>
        <v/>
      </c>
    </row>
    <row r="1628">
      <c r="A1628">
        <f>IF($P1628="","",INDEX(상세표[사번],$P1628)&amp;"")</f>
        <v/>
      </c>
      <c r="B1628">
        <f>IF($P1628="","",INDEX(상세표[성명],$P1628)&amp;"")</f>
        <v/>
      </c>
      <c r="C1628">
        <f>IF($P1628="","",INDEX(상세표[부서],$P1628)&amp;"")</f>
        <v/>
      </c>
      <c r="D1628">
        <f>IF($P1628="","",INDEX(상세표[직위],$P1628)&amp;"")</f>
        <v/>
      </c>
      <c r="E1628">
        <f>IF($P1628="","",IF(ISNUMBER(INDEX(상세표[시작],$P1628)),TEXT(INDEX(상세표[시작],$P1628),"yyyy-mm-dd hh:mm"),INDEX(상세표[시작],$P1628)&amp;""))</f>
        <v/>
      </c>
      <c r="F1628">
        <f>IF($P1628="","",IF(ISNUMBER(INDEX(상세표[블록종료],$P1628)),TEXT(INDEX(상세표[블록종료],$P1628),"yyyy-mm-dd hh:mm"),INDEX(상세표[블록종료],$P1628)&amp;""))</f>
        <v/>
      </c>
      <c r="G1628">
        <f>IF($P1628="","",CHOOSE(WEEKDAY(INDEX(상세표[시작],$P1628)),"일","월","화","수","목","금","토"))</f>
        <v/>
      </c>
      <c r="H1628">
        <f>IF($P1628="","",INDEX(상세표[연속 시간],$P1628))</f>
        <v/>
      </c>
      <c r="I1628">
        <f>IF($P1628="","",INDEX(상세표[기록 수],$P1628))</f>
        <v/>
      </c>
      <c r="J1628">
        <f>IF($P1628="","",INDEX(상세표[블록 06~07시],$P1628))</f>
        <v/>
      </c>
      <c r="K1628">
        <f>IF($P1628="","",INDEX(상세표[블록 07~18시],$P1628))</f>
        <v/>
      </c>
      <c r="L1628">
        <f>IF($P1628="","",INDEX(상세표[블록 18~22시],$P1628))</f>
        <v/>
      </c>
      <c r="M1628">
        <f>IF($P1628="","",INDEX(상세표[블록 22~06시],$P1628))</f>
        <v/>
      </c>
      <c r="N1628">
        <f>IF($P1628="","",INDEX(상세표[주말·휴일 포함],$P1628)&amp;"")</f>
        <v/>
      </c>
      <c r="O1628">
        <f>IF($P1628="","",INDEX(상세표[월 넘김 포함],$P1628)&amp;"")</f>
        <v/>
      </c>
      <c r="P1628" s="4">
        <f>IFERROR(MATCH(1623,상세표[연속순번],0),"")</f>
        <v/>
      </c>
    </row>
    <row r="1629">
      <c r="A1629">
        <f>IF($P1629="","",INDEX(상세표[사번],$P1629)&amp;"")</f>
        <v/>
      </c>
      <c r="B1629">
        <f>IF($P1629="","",INDEX(상세표[성명],$P1629)&amp;"")</f>
        <v/>
      </c>
      <c r="C1629">
        <f>IF($P1629="","",INDEX(상세표[부서],$P1629)&amp;"")</f>
        <v/>
      </c>
      <c r="D1629">
        <f>IF($P1629="","",INDEX(상세표[직위],$P1629)&amp;"")</f>
        <v/>
      </c>
      <c r="E1629">
        <f>IF($P1629="","",IF(ISNUMBER(INDEX(상세표[시작],$P1629)),TEXT(INDEX(상세표[시작],$P1629),"yyyy-mm-dd hh:mm"),INDEX(상세표[시작],$P1629)&amp;""))</f>
        <v/>
      </c>
      <c r="F1629">
        <f>IF($P1629="","",IF(ISNUMBER(INDEX(상세표[블록종료],$P1629)),TEXT(INDEX(상세표[블록종료],$P1629),"yyyy-mm-dd hh:mm"),INDEX(상세표[블록종료],$P1629)&amp;""))</f>
        <v/>
      </c>
      <c r="G1629">
        <f>IF($P1629="","",CHOOSE(WEEKDAY(INDEX(상세표[시작],$P1629)),"일","월","화","수","목","금","토"))</f>
        <v/>
      </c>
      <c r="H1629">
        <f>IF($P1629="","",INDEX(상세표[연속 시간],$P1629))</f>
        <v/>
      </c>
      <c r="I1629">
        <f>IF($P1629="","",INDEX(상세표[기록 수],$P1629))</f>
        <v/>
      </c>
      <c r="J1629">
        <f>IF($P1629="","",INDEX(상세표[블록 06~07시],$P1629))</f>
        <v/>
      </c>
      <c r="K1629">
        <f>IF($P1629="","",INDEX(상세표[블록 07~18시],$P1629))</f>
        <v/>
      </c>
      <c r="L1629">
        <f>IF($P1629="","",INDEX(상세표[블록 18~22시],$P1629))</f>
        <v/>
      </c>
      <c r="M1629">
        <f>IF($P1629="","",INDEX(상세표[블록 22~06시],$P1629))</f>
        <v/>
      </c>
      <c r="N1629">
        <f>IF($P1629="","",INDEX(상세표[주말·휴일 포함],$P1629)&amp;"")</f>
        <v/>
      </c>
      <c r="O1629">
        <f>IF($P1629="","",INDEX(상세표[월 넘김 포함],$P1629)&amp;"")</f>
        <v/>
      </c>
      <c r="P1629" s="4">
        <f>IFERROR(MATCH(1624,상세표[연속순번],0),"")</f>
        <v/>
      </c>
    </row>
    <row r="1630">
      <c r="A1630">
        <f>IF($P1630="","",INDEX(상세표[사번],$P1630)&amp;"")</f>
        <v/>
      </c>
      <c r="B1630">
        <f>IF($P1630="","",INDEX(상세표[성명],$P1630)&amp;"")</f>
        <v/>
      </c>
      <c r="C1630">
        <f>IF($P1630="","",INDEX(상세표[부서],$P1630)&amp;"")</f>
        <v/>
      </c>
      <c r="D1630">
        <f>IF($P1630="","",INDEX(상세표[직위],$P1630)&amp;"")</f>
        <v/>
      </c>
      <c r="E1630">
        <f>IF($P1630="","",IF(ISNUMBER(INDEX(상세표[시작],$P1630)),TEXT(INDEX(상세표[시작],$P1630),"yyyy-mm-dd hh:mm"),INDEX(상세표[시작],$P1630)&amp;""))</f>
        <v/>
      </c>
      <c r="F1630">
        <f>IF($P1630="","",IF(ISNUMBER(INDEX(상세표[블록종료],$P1630)),TEXT(INDEX(상세표[블록종료],$P1630),"yyyy-mm-dd hh:mm"),INDEX(상세표[블록종료],$P1630)&amp;""))</f>
        <v/>
      </c>
      <c r="G1630">
        <f>IF($P1630="","",CHOOSE(WEEKDAY(INDEX(상세표[시작],$P1630)),"일","월","화","수","목","금","토"))</f>
        <v/>
      </c>
      <c r="H1630">
        <f>IF($P1630="","",INDEX(상세표[연속 시간],$P1630))</f>
        <v/>
      </c>
      <c r="I1630">
        <f>IF($P1630="","",INDEX(상세표[기록 수],$P1630))</f>
        <v/>
      </c>
      <c r="J1630">
        <f>IF($P1630="","",INDEX(상세표[블록 06~07시],$P1630))</f>
        <v/>
      </c>
      <c r="K1630">
        <f>IF($P1630="","",INDEX(상세표[블록 07~18시],$P1630))</f>
        <v/>
      </c>
      <c r="L1630">
        <f>IF($P1630="","",INDEX(상세표[블록 18~22시],$P1630))</f>
        <v/>
      </c>
      <c r="M1630">
        <f>IF($P1630="","",INDEX(상세표[블록 22~06시],$P1630))</f>
        <v/>
      </c>
      <c r="N1630">
        <f>IF($P1630="","",INDEX(상세표[주말·휴일 포함],$P1630)&amp;"")</f>
        <v/>
      </c>
      <c r="O1630">
        <f>IF($P1630="","",INDEX(상세표[월 넘김 포함],$P1630)&amp;"")</f>
        <v/>
      </c>
      <c r="P1630" s="4">
        <f>IFERROR(MATCH(1625,상세표[연속순번],0),"")</f>
        <v/>
      </c>
    </row>
    <row r="1631">
      <c r="A1631">
        <f>IF($P1631="","",INDEX(상세표[사번],$P1631)&amp;"")</f>
        <v/>
      </c>
      <c r="B1631">
        <f>IF($P1631="","",INDEX(상세표[성명],$P1631)&amp;"")</f>
        <v/>
      </c>
      <c r="C1631">
        <f>IF($P1631="","",INDEX(상세표[부서],$P1631)&amp;"")</f>
        <v/>
      </c>
      <c r="D1631">
        <f>IF($P1631="","",INDEX(상세표[직위],$P1631)&amp;"")</f>
        <v/>
      </c>
      <c r="E1631">
        <f>IF($P1631="","",IF(ISNUMBER(INDEX(상세표[시작],$P1631)),TEXT(INDEX(상세표[시작],$P1631),"yyyy-mm-dd hh:mm"),INDEX(상세표[시작],$P1631)&amp;""))</f>
        <v/>
      </c>
      <c r="F1631">
        <f>IF($P1631="","",IF(ISNUMBER(INDEX(상세표[블록종료],$P1631)),TEXT(INDEX(상세표[블록종료],$P1631),"yyyy-mm-dd hh:mm"),INDEX(상세표[블록종료],$P1631)&amp;""))</f>
        <v/>
      </c>
      <c r="G1631">
        <f>IF($P1631="","",CHOOSE(WEEKDAY(INDEX(상세표[시작],$P1631)),"일","월","화","수","목","금","토"))</f>
        <v/>
      </c>
      <c r="H1631">
        <f>IF($P1631="","",INDEX(상세표[연속 시간],$P1631))</f>
        <v/>
      </c>
      <c r="I1631">
        <f>IF($P1631="","",INDEX(상세표[기록 수],$P1631))</f>
        <v/>
      </c>
      <c r="J1631">
        <f>IF($P1631="","",INDEX(상세표[블록 06~07시],$P1631))</f>
        <v/>
      </c>
      <c r="K1631">
        <f>IF($P1631="","",INDEX(상세표[블록 07~18시],$P1631))</f>
        <v/>
      </c>
      <c r="L1631">
        <f>IF($P1631="","",INDEX(상세표[블록 18~22시],$P1631))</f>
        <v/>
      </c>
      <c r="M1631">
        <f>IF($P1631="","",INDEX(상세표[블록 22~06시],$P1631))</f>
        <v/>
      </c>
      <c r="N1631">
        <f>IF($P1631="","",INDEX(상세표[주말·휴일 포함],$P1631)&amp;"")</f>
        <v/>
      </c>
      <c r="O1631">
        <f>IF($P1631="","",INDEX(상세표[월 넘김 포함],$P1631)&amp;"")</f>
        <v/>
      </c>
      <c r="P1631" s="4">
        <f>IFERROR(MATCH(1626,상세표[연속순번],0),"")</f>
        <v/>
      </c>
    </row>
    <row r="1632">
      <c r="A1632">
        <f>IF($P1632="","",INDEX(상세표[사번],$P1632)&amp;"")</f>
        <v/>
      </c>
      <c r="B1632">
        <f>IF($P1632="","",INDEX(상세표[성명],$P1632)&amp;"")</f>
        <v/>
      </c>
      <c r="C1632">
        <f>IF($P1632="","",INDEX(상세표[부서],$P1632)&amp;"")</f>
        <v/>
      </c>
      <c r="D1632">
        <f>IF($P1632="","",INDEX(상세표[직위],$P1632)&amp;"")</f>
        <v/>
      </c>
      <c r="E1632">
        <f>IF($P1632="","",IF(ISNUMBER(INDEX(상세표[시작],$P1632)),TEXT(INDEX(상세표[시작],$P1632),"yyyy-mm-dd hh:mm"),INDEX(상세표[시작],$P1632)&amp;""))</f>
        <v/>
      </c>
      <c r="F1632">
        <f>IF($P1632="","",IF(ISNUMBER(INDEX(상세표[블록종료],$P1632)),TEXT(INDEX(상세표[블록종료],$P1632),"yyyy-mm-dd hh:mm"),INDEX(상세표[블록종료],$P1632)&amp;""))</f>
        <v/>
      </c>
      <c r="G1632">
        <f>IF($P1632="","",CHOOSE(WEEKDAY(INDEX(상세표[시작],$P1632)),"일","월","화","수","목","금","토"))</f>
        <v/>
      </c>
      <c r="H1632">
        <f>IF($P1632="","",INDEX(상세표[연속 시간],$P1632))</f>
        <v/>
      </c>
      <c r="I1632">
        <f>IF($P1632="","",INDEX(상세표[기록 수],$P1632))</f>
        <v/>
      </c>
      <c r="J1632">
        <f>IF($P1632="","",INDEX(상세표[블록 06~07시],$P1632))</f>
        <v/>
      </c>
      <c r="K1632">
        <f>IF($P1632="","",INDEX(상세표[블록 07~18시],$P1632))</f>
        <v/>
      </c>
      <c r="L1632">
        <f>IF($P1632="","",INDEX(상세표[블록 18~22시],$P1632))</f>
        <v/>
      </c>
      <c r="M1632">
        <f>IF($P1632="","",INDEX(상세표[블록 22~06시],$P1632))</f>
        <v/>
      </c>
      <c r="N1632">
        <f>IF($P1632="","",INDEX(상세표[주말·휴일 포함],$P1632)&amp;"")</f>
        <v/>
      </c>
      <c r="O1632">
        <f>IF($P1632="","",INDEX(상세표[월 넘김 포함],$P1632)&amp;"")</f>
        <v/>
      </c>
      <c r="P1632" s="4">
        <f>IFERROR(MATCH(1627,상세표[연속순번],0),"")</f>
        <v/>
      </c>
    </row>
    <row r="1633">
      <c r="A1633">
        <f>IF($P1633="","",INDEX(상세표[사번],$P1633)&amp;"")</f>
        <v/>
      </c>
      <c r="B1633">
        <f>IF($P1633="","",INDEX(상세표[성명],$P1633)&amp;"")</f>
        <v/>
      </c>
      <c r="C1633">
        <f>IF($P1633="","",INDEX(상세표[부서],$P1633)&amp;"")</f>
        <v/>
      </c>
      <c r="D1633">
        <f>IF($P1633="","",INDEX(상세표[직위],$P1633)&amp;"")</f>
        <v/>
      </c>
      <c r="E1633">
        <f>IF($P1633="","",IF(ISNUMBER(INDEX(상세표[시작],$P1633)),TEXT(INDEX(상세표[시작],$P1633),"yyyy-mm-dd hh:mm"),INDEX(상세표[시작],$P1633)&amp;""))</f>
        <v/>
      </c>
      <c r="F1633">
        <f>IF($P1633="","",IF(ISNUMBER(INDEX(상세표[블록종료],$P1633)),TEXT(INDEX(상세표[블록종료],$P1633),"yyyy-mm-dd hh:mm"),INDEX(상세표[블록종료],$P1633)&amp;""))</f>
        <v/>
      </c>
      <c r="G1633">
        <f>IF($P1633="","",CHOOSE(WEEKDAY(INDEX(상세표[시작],$P1633)),"일","월","화","수","목","금","토"))</f>
        <v/>
      </c>
      <c r="H1633">
        <f>IF($P1633="","",INDEX(상세표[연속 시간],$P1633))</f>
        <v/>
      </c>
      <c r="I1633">
        <f>IF($P1633="","",INDEX(상세표[기록 수],$P1633))</f>
        <v/>
      </c>
      <c r="J1633">
        <f>IF($P1633="","",INDEX(상세표[블록 06~07시],$P1633))</f>
        <v/>
      </c>
      <c r="K1633">
        <f>IF($P1633="","",INDEX(상세표[블록 07~18시],$P1633))</f>
        <v/>
      </c>
      <c r="L1633">
        <f>IF($P1633="","",INDEX(상세표[블록 18~22시],$P1633))</f>
        <v/>
      </c>
      <c r="M1633">
        <f>IF($P1633="","",INDEX(상세표[블록 22~06시],$P1633))</f>
        <v/>
      </c>
      <c r="N1633">
        <f>IF($P1633="","",INDEX(상세표[주말·휴일 포함],$P1633)&amp;"")</f>
        <v/>
      </c>
      <c r="O1633">
        <f>IF($P1633="","",INDEX(상세표[월 넘김 포함],$P1633)&amp;"")</f>
        <v/>
      </c>
      <c r="P1633" s="4">
        <f>IFERROR(MATCH(1628,상세표[연속순번],0),"")</f>
        <v/>
      </c>
    </row>
    <row r="1634">
      <c r="A1634">
        <f>IF($P1634="","",INDEX(상세표[사번],$P1634)&amp;"")</f>
        <v/>
      </c>
      <c r="B1634">
        <f>IF($P1634="","",INDEX(상세표[성명],$P1634)&amp;"")</f>
        <v/>
      </c>
      <c r="C1634">
        <f>IF($P1634="","",INDEX(상세표[부서],$P1634)&amp;"")</f>
        <v/>
      </c>
      <c r="D1634">
        <f>IF($P1634="","",INDEX(상세표[직위],$P1634)&amp;"")</f>
        <v/>
      </c>
      <c r="E1634">
        <f>IF($P1634="","",IF(ISNUMBER(INDEX(상세표[시작],$P1634)),TEXT(INDEX(상세표[시작],$P1634),"yyyy-mm-dd hh:mm"),INDEX(상세표[시작],$P1634)&amp;""))</f>
        <v/>
      </c>
      <c r="F1634">
        <f>IF($P1634="","",IF(ISNUMBER(INDEX(상세표[블록종료],$P1634)),TEXT(INDEX(상세표[블록종료],$P1634),"yyyy-mm-dd hh:mm"),INDEX(상세표[블록종료],$P1634)&amp;""))</f>
        <v/>
      </c>
      <c r="G1634">
        <f>IF($P1634="","",CHOOSE(WEEKDAY(INDEX(상세표[시작],$P1634)),"일","월","화","수","목","금","토"))</f>
        <v/>
      </c>
      <c r="H1634">
        <f>IF($P1634="","",INDEX(상세표[연속 시간],$P1634))</f>
        <v/>
      </c>
      <c r="I1634">
        <f>IF($P1634="","",INDEX(상세표[기록 수],$P1634))</f>
        <v/>
      </c>
      <c r="J1634">
        <f>IF($P1634="","",INDEX(상세표[블록 06~07시],$P1634))</f>
        <v/>
      </c>
      <c r="K1634">
        <f>IF($P1634="","",INDEX(상세표[블록 07~18시],$P1634))</f>
        <v/>
      </c>
      <c r="L1634">
        <f>IF($P1634="","",INDEX(상세표[블록 18~22시],$P1634))</f>
        <v/>
      </c>
      <c r="M1634">
        <f>IF($P1634="","",INDEX(상세표[블록 22~06시],$P1634))</f>
        <v/>
      </c>
      <c r="N1634">
        <f>IF($P1634="","",INDEX(상세표[주말·휴일 포함],$P1634)&amp;"")</f>
        <v/>
      </c>
      <c r="O1634">
        <f>IF($P1634="","",INDEX(상세표[월 넘김 포함],$P1634)&amp;"")</f>
        <v/>
      </c>
      <c r="P1634" s="4">
        <f>IFERROR(MATCH(1629,상세표[연속순번],0),"")</f>
        <v/>
      </c>
    </row>
    <row r="1635">
      <c r="A1635">
        <f>IF($P1635="","",INDEX(상세표[사번],$P1635)&amp;"")</f>
        <v/>
      </c>
      <c r="B1635">
        <f>IF($P1635="","",INDEX(상세표[성명],$P1635)&amp;"")</f>
        <v/>
      </c>
      <c r="C1635">
        <f>IF($P1635="","",INDEX(상세표[부서],$P1635)&amp;"")</f>
        <v/>
      </c>
      <c r="D1635">
        <f>IF($P1635="","",INDEX(상세표[직위],$P1635)&amp;"")</f>
        <v/>
      </c>
      <c r="E1635">
        <f>IF($P1635="","",IF(ISNUMBER(INDEX(상세표[시작],$P1635)),TEXT(INDEX(상세표[시작],$P1635),"yyyy-mm-dd hh:mm"),INDEX(상세표[시작],$P1635)&amp;""))</f>
        <v/>
      </c>
      <c r="F1635">
        <f>IF($P1635="","",IF(ISNUMBER(INDEX(상세표[블록종료],$P1635)),TEXT(INDEX(상세표[블록종료],$P1635),"yyyy-mm-dd hh:mm"),INDEX(상세표[블록종료],$P1635)&amp;""))</f>
        <v/>
      </c>
      <c r="G1635">
        <f>IF($P1635="","",CHOOSE(WEEKDAY(INDEX(상세표[시작],$P1635)),"일","월","화","수","목","금","토"))</f>
        <v/>
      </c>
      <c r="H1635">
        <f>IF($P1635="","",INDEX(상세표[연속 시간],$P1635))</f>
        <v/>
      </c>
      <c r="I1635">
        <f>IF($P1635="","",INDEX(상세표[기록 수],$P1635))</f>
        <v/>
      </c>
      <c r="J1635">
        <f>IF($P1635="","",INDEX(상세표[블록 06~07시],$P1635))</f>
        <v/>
      </c>
      <c r="K1635">
        <f>IF($P1635="","",INDEX(상세표[블록 07~18시],$P1635))</f>
        <v/>
      </c>
      <c r="L1635">
        <f>IF($P1635="","",INDEX(상세표[블록 18~22시],$P1635))</f>
        <v/>
      </c>
      <c r="M1635">
        <f>IF($P1635="","",INDEX(상세표[블록 22~06시],$P1635))</f>
        <v/>
      </c>
      <c r="N1635">
        <f>IF($P1635="","",INDEX(상세표[주말·휴일 포함],$P1635)&amp;"")</f>
        <v/>
      </c>
      <c r="O1635">
        <f>IF($P1635="","",INDEX(상세표[월 넘김 포함],$P1635)&amp;"")</f>
        <v/>
      </c>
      <c r="P1635" s="4">
        <f>IFERROR(MATCH(1630,상세표[연속순번],0),"")</f>
        <v/>
      </c>
    </row>
    <row r="1636">
      <c r="A1636">
        <f>IF($P1636="","",INDEX(상세표[사번],$P1636)&amp;"")</f>
        <v/>
      </c>
      <c r="B1636">
        <f>IF($P1636="","",INDEX(상세표[성명],$P1636)&amp;"")</f>
        <v/>
      </c>
      <c r="C1636">
        <f>IF($P1636="","",INDEX(상세표[부서],$P1636)&amp;"")</f>
        <v/>
      </c>
      <c r="D1636">
        <f>IF($P1636="","",INDEX(상세표[직위],$P1636)&amp;"")</f>
        <v/>
      </c>
      <c r="E1636">
        <f>IF($P1636="","",IF(ISNUMBER(INDEX(상세표[시작],$P1636)),TEXT(INDEX(상세표[시작],$P1636),"yyyy-mm-dd hh:mm"),INDEX(상세표[시작],$P1636)&amp;""))</f>
        <v/>
      </c>
      <c r="F1636">
        <f>IF($P1636="","",IF(ISNUMBER(INDEX(상세표[블록종료],$P1636)),TEXT(INDEX(상세표[블록종료],$P1636),"yyyy-mm-dd hh:mm"),INDEX(상세표[블록종료],$P1636)&amp;""))</f>
        <v/>
      </c>
      <c r="G1636">
        <f>IF($P1636="","",CHOOSE(WEEKDAY(INDEX(상세표[시작],$P1636)),"일","월","화","수","목","금","토"))</f>
        <v/>
      </c>
      <c r="H1636">
        <f>IF($P1636="","",INDEX(상세표[연속 시간],$P1636))</f>
        <v/>
      </c>
      <c r="I1636">
        <f>IF($P1636="","",INDEX(상세표[기록 수],$P1636))</f>
        <v/>
      </c>
      <c r="J1636">
        <f>IF($P1636="","",INDEX(상세표[블록 06~07시],$P1636))</f>
        <v/>
      </c>
      <c r="K1636">
        <f>IF($P1636="","",INDEX(상세표[블록 07~18시],$P1636))</f>
        <v/>
      </c>
      <c r="L1636">
        <f>IF($P1636="","",INDEX(상세표[블록 18~22시],$P1636))</f>
        <v/>
      </c>
      <c r="M1636">
        <f>IF($P1636="","",INDEX(상세표[블록 22~06시],$P1636))</f>
        <v/>
      </c>
      <c r="N1636">
        <f>IF($P1636="","",INDEX(상세표[주말·휴일 포함],$P1636)&amp;"")</f>
        <v/>
      </c>
      <c r="O1636">
        <f>IF($P1636="","",INDEX(상세표[월 넘김 포함],$P1636)&amp;"")</f>
        <v/>
      </c>
      <c r="P1636" s="4">
        <f>IFERROR(MATCH(1631,상세표[연속순번],0),"")</f>
        <v/>
      </c>
    </row>
    <row r="1637">
      <c r="A1637">
        <f>IF($P1637="","",INDEX(상세표[사번],$P1637)&amp;"")</f>
        <v/>
      </c>
      <c r="B1637">
        <f>IF($P1637="","",INDEX(상세표[성명],$P1637)&amp;"")</f>
        <v/>
      </c>
      <c r="C1637">
        <f>IF($P1637="","",INDEX(상세표[부서],$P1637)&amp;"")</f>
        <v/>
      </c>
      <c r="D1637">
        <f>IF($P1637="","",INDEX(상세표[직위],$P1637)&amp;"")</f>
        <v/>
      </c>
      <c r="E1637">
        <f>IF($P1637="","",IF(ISNUMBER(INDEX(상세표[시작],$P1637)),TEXT(INDEX(상세표[시작],$P1637),"yyyy-mm-dd hh:mm"),INDEX(상세표[시작],$P1637)&amp;""))</f>
        <v/>
      </c>
      <c r="F1637">
        <f>IF($P1637="","",IF(ISNUMBER(INDEX(상세표[블록종료],$P1637)),TEXT(INDEX(상세표[블록종료],$P1637),"yyyy-mm-dd hh:mm"),INDEX(상세표[블록종료],$P1637)&amp;""))</f>
        <v/>
      </c>
      <c r="G1637">
        <f>IF($P1637="","",CHOOSE(WEEKDAY(INDEX(상세표[시작],$P1637)),"일","월","화","수","목","금","토"))</f>
        <v/>
      </c>
      <c r="H1637">
        <f>IF($P1637="","",INDEX(상세표[연속 시간],$P1637))</f>
        <v/>
      </c>
      <c r="I1637">
        <f>IF($P1637="","",INDEX(상세표[기록 수],$P1637))</f>
        <v/>
      </c>
      <c r="J1637">
        <f>IF($P1637="","",INDEX(상세표[블록 06~07시],$P1637))</f>
        <v/>
      </c>
      <c r="K1637">
        <f>IF($P1637="","",INDEX(상세표[블록 07~18시],$P1637))</f>
        <v/>
      </c>
      <c r="L1637">
        <f>IF($P1637="","",INDEX(상세표[블록 18~22시],$P1637))</f>
        <v/>
      </c>
      <c r="M1637">
        <f>IF($P1637="","",INDEX(상세표[블록 22~06시],$P1637))</f>
        <v/>
      </c>
      <c r="N1637">
        <f>IF($P1637="","",INDEX(상세표[주말·휴일 포함],$P1637)&amp;"")</f>
        <v/>
      </c>
      <c r="O1637">
        <f>IF($P1637="","",INDEX(상세표[월 넘김 포함],$P1637)&amp;"")</f>
        <v/>
      </c>
      <c r="P1637" s="4">
        <f>IFERROR(MATCH(1632,상세표[연속순번],0),"")</f>
        <v/>
      </c>
    </row>
    <row r="1638">
      <c r="A1638">
        <f>IF($P1638="","",INDEX(상세표[사번],$P1638)&amp;"")</f>
        <v/>
      </c>
      <c r="B1638">
        <f>IF($P1638="","",INDEX(상세표[성명],$P1638)&amp;"")</f>
        <v/>
      </c>
      <c r="C1638">
        <f>IF($P1638="","",INDEX(상세표[부서],$P1638)&amp;"")</f>
        <v/>
      </c>
      <c r="D1638">
        <f>IF($P1638="","",INDEX(상세표[직위],$P1638)&amp;"")</f>
        <v/>
      </c>
      <c r="E1638">
        <f>IF($P1638="","",IF(ISNUMBER(INDEX(상세표[시작],$P1638)),TEXT(INDEX(상세표[시작],$P1638),"yyyy-mm-dd hh:mm"),INDEX(상세표[시작],$P1638)&amp;""))</f>
        <v/>
      </c>
      <c r="F1638">
        <f>IF($P1638="","",IF(ISNUMBER(INDEX(상세표[블록종료],$P1638)),TEXT(INDEX(상세표[블록종료],$P1638),"yyyy-mm-dd hh:mm"),INDEX(상세표[블록종료],$P1638)&amp;""))</f>
        <v/>
      </c>
      <c r="G1638">
        <f>IF($P1638="","",CHOOSE(WEEKDAY(INDEX(상세표[시작],$P1638)),"일","월","화","수","목","금","토"))</f>
        <v/>
      </c>
      <c r="H1638">
        <f>IF($P1638="","",INDEX(상세표[연속 시간],$P1638))</f>
        <v/>
      </c>
      <c r="I1638">
        <f>IF($P1638="","",INDEX(상세표[기록 수],$P1638))</f>
        <v/>
      </c>
      <c r="J1638">
        <f>IF($P1638="","",INDEX(상세표[블록 06~07시],$P1638))</f>
        <v/>
      </c>
      <c r="K1638">
        <f>IF($P1638="","",INDEX(상세표[블록 07~18시],$P1638))</f>
        <v/>
      </c>
      <c r="L1638">
        <f>IF($P1638="","",INDEX(상세표[블록 18~22시],$P1638))</f>
        <v/>
      </c>
      <c r="M1638">
        <f>IF($P1638="","",INDEX(상세표[블록 22~06시],$P1638))</f>
        <v/>
      </c>
      <c r="N1638">
        <f>IF($P1638="","",INDEX(상세표[주말·휴일 포함],$P1638)&amp;"")</f>
        <v/>
      </c>
      <c r="O1638">
        <f>IF($P1638="","",INDEX(상세표[월 넘김 포함],$P1638)&amp;"")</f>
        <v/>
      </c>
      <c r="P1638" s="4">
        <f>IFERROR(MATCH(1633,상세표[연속순번],0),"")</f>
        <v/>
      </c>
    </row>
    <row r="1639">
      <c r="A1639">
        <f>IF($P1639="","",INDEX(상세표[사번],$P1639)&amp;"")</f>
        <v/>
      </c>
      <c r="B1639">
        <f>IF($P1639="","",INDEX(상세표[성명],$P1639)&amp;"")</f>
        <v/>
      </c>
      <c r="C1639">
        <f>IF($P1639="","",INDEX(상세표[부서],$P1639)&amp;"")</f>
        <v/>
      </c>
      <c r="D1639">
        <f>IF($P1639="","",INDEX(상세표[직위],$P1639)&amp;"")</f>
        <v/>
      </c>
      <c r="E1639">
        <f>IF($P1639="","",IF(ISNUMBER(INDEX(상세표[시작],$P1639)),TEXT(INDEX(상세표[시작],$P1639),"yyyy-mm-dd hh:mm"),INDEX(상세표[시작],$P1639)&amp;""))</f>
        <v/>
      </c>
      <c r="F1639">
        <f>IF($P1639="","",IF(ISNUMBER(INDEX(상세표[블록종료],$P1639)),TEXT(INDEX(상세표[블록종료],$P1639),"yyyy-mm-dd hh:mm"),INDEX(상세표[블록종료],$P1639)&amp;""))</f>
        <v/>
      </c>
      <c r="G1639">
        <f>IF($P1639="","",CHOOSE(WEEKDAY(INDEX(상세표[시작],$P1639)),"일","월","화","수","목","금","토"))</f>
        <v/>
      </c>
      <c r="H1639">
        <f>IF($P1639="","",INDEX(상세표[연속 시간],$P1639))</f>
        <v/>
      </c>
      <c r="I1639">
        <f>IF($P1639="","",INDEX(상세표[기록 수],$P1639))</f>
        <v/>
      </c>
      <c r="J1639">
        <f>IF($P1639="","",INDEX(상세표[블록 06~07시],$P1639))</f>
        <v/>
      </c>
      <c r="K1639">
        <f>IF($P1639="","",INDEX(상세표[블록 07~18시],$P1639))</f>
        <v/>
      </c>
      <c r="L1639">
        <f>IF($P1639="","",INDEX(상세표[블록 18~22시],$P1639))</f>
        <v/>
      </c>
      <c r="M1639">
        <f>IF($P1639="","",INDEX(상세표[블록 22~06시],$P1639))</f>
        <v/>
      </c>
      <c r="N1639">
        <f>IF($P1639="","",INDEX(상세표[주말·휴일 포함],$P1639)&amp;"")</f>
        <v/>
      </c>
      <c r="O1639">
        <f>IF($P1639="","",INDEX(상세표[월 넘김 포함],$P1639)&amp;"")</f>
        <v/>
      </c>
      <c r="P1639" s="4">
        <f>IFERROR(MATCH(1634,상세표[연속순번],0),"")</f>
        <v/>
      </c>
    </row>
    <row r="1640">
      <c r="A1640">
        <f>IF($P1640="","",INDEX(상세표[사번],$P1640)&amp;"")</f>
        <v/>
      </c>
      <c r="B1640">
        <f>IF($P1640="","",INDEX(상세표[성명],$P1640)&amp;"")</f>
        <v/>
      </c>
      <c r="C1640">
        <f>IF($P1640="","",INDEX(상세표[부서],$P1640)&amp;"")</f>
        <v/>
      </c>
      <c r="D1640">
        <f>IF($P1640="","",INDEX(상세표[직위],$P1640)&amp;"")</f>
        <v/>
      </c>
      <c r="E1640">
        <f>IF($P1640="","",IF(ISNUMBER(INDEX(상세표[시작],$P1640)),TEXT(INDEX(상세표[시작],$P1640),"yyyy-mm-dd hh:mm"),INDEX(상세표[시작],$P1640)&amp;""))</f>
        <v/>
      </c>
      <c r="F1640">
        <f>IF($P1640="","",IF(ISNUMBER(INDEX(상세표[블록종료],$P1640)),TEXT(INDEX(상세표[블록종료],$P1640),"yyyy-mm-dd hh:mm"),INDEX(상세표[블록종료],$P1640)&amp;""))</f>
        <v/>
      </c>
      <c r="G1640">
        <f>IF($P1640="","",CHOOSE(WEEKDAY(INDEX(상세표[시작],$P1640)),"일","월","화","수","목","금","토"))</f>
        <v/>
      </c>
      <c r="H1640">
        <f>IF($P1640="","",INDEX(상세표[연속 시간],$P1640))</f>
        <v/>
      </c>
      <c r="I1640">
        <f>IF($P1640="","",INDEX(상세표[기록 수],$P1640))</f>
        <v/>
      </c>
      <c r="J1640">
        <f>IF($P1640="","",INDEX(상세표[블록 06~07시],$P1640))</f>
        <v/>
      </c>
      <c r="K1640">
        <f>IF($P1640="","",INDEX(상세표[블록 07~18시],$P1640))</f>
        <v/>
      </c>
      <c r="L1640">
        <f>IF($P1640="","",INDEX(상세표[블록 18~22시],$P1640))</f>
        <v/>
      </c>
      <c r="M1640">
        <f>IF($P1640="","",INDEX(상세표[블록 22~06시],$P1640))</f>
        <v/>
      </c>
      <c r="N1640">
        <f>IF($P1640="","",INDEX(상세표[주말·휴일 포함],$P1640)&amp;"")</f>
        <v/>
      </c>
      <c r="O1640">
        <f>IF($P1640="","",INDEX(상세표[월 넘김 포함],$P1640)&amp;"")</f>
        <v/>
      </c>
      <c r="P1640" s="4">
        <f>IFERROR(MATCH(1635,상세표[연속순번],0),"")</f>
        <v/>
      </c>
    </row>
    <row r="1641">
      <c r="A1641">
        <f>IF($P1641="","",INDEX(상세표[사번],$P1641)&amp;"")</f>
        <v/>
      </c>
      <c r="B1641">
        <f>IF($P1641="","",INDEX(상세표[성명],$P1641)&amp;"")</f>
        <v/>
      </c>
      <c r="C1641">
        <f>IF($P1641="","",INDEX(상세표[부서],$P1641)&amp;"")</f>
        <v/>
      </c>
      <c r="D1641">
        <f>IF($P1641="","",INDEX(상세표[직위],$P1641)&amp;"")</f>
        <v/>
      </c>
      <c r="E1641">
        <f>IF($P1641="","",IF(ISNUMBER(INDEX(상세표[시작],$P1641)),TEXT(INDEX(상세표[시작],$P1641),"yyyy-mm-dd hh:mm"),INDEX(상세표[시작],$P1641)&amp;""))</f>
        <v/>
      </c>
      <c r="F1641">
        <f>IF($P1641="","",IF(ISNUMBER(INDEX(상세표[블록종료],$P1641)),TEXT(INDEX(상세표[블록종료],$P1641),"yyyy-mm-dd hh:mm"),INDEX(상세표[블록종료],$P1641)&amp;""))</f>
        <v/>
      </c>
      <c r="G1641">
        <f>IF($P1641="","",CHOOSE(WEEKDAY(INDEX(상세표[시작],$P1641)),"일","월","화","수","목","금","토"))</f>
        <v/>
      </c>
      <c r="H1641">
        <f>IF($P1641="","",INDEX(상세표[연속 시간],$P1641))</f>
        <v/>
      </c>
      <c r="I1641">
        <f>IF($P1641="","",INDEX(상세표[기록 수],$P1641))</f>
        <v/>
      </c>
      <c r="J1641">
        <f>IF($P1641="","",INDEX(상세표[블록 06~07시],$P1641))</f>
        <v/>
      </c>
      <c r="K1641">
        <f>IF($P1641="","",INDEX(상세표[블록 07~18시],$P1641))</f>
        <v/>
      </c>
      <c r="L1641">
        <f>IF($P1641="","",INDEX(상세표[블록 18~22시],$P1641))</f>
        <v/>
      </c>
      <c r="M1641">
        <f>IF($P1641="","",INDEX(상세표[블록 22~06시],$P1641))</f>
        <v/>
      </c>
      <c r="N1641">
        <f>IF($P1641="","",INDEX(상세표[주말·휴일 포함],$P1641)&amp;"")</f>
        <v/>
      </c>
      <c r="O1641">
        <f>IF($P1641="","",INDEX(상세표[월 넘김 포함],$P1641)&amp;"")</f>
        <v/>
      </c>
      <c r="P1641" s="4">
        <f>IFERROR(MATCH(1636,상세표[연속순번],0),"")</f>
        <v/>
      </c>
    </row>
    <row r="1642">
      <c r="A1642">
        <f>IF($P1642="","",INDEX(상세표[사번],$P1642)&amp;"")</f>
        <v/>
      </c>
      <c r="B1642">
        <f>IF($P1642="","",INDEX(상세표[성명],$P1642)&amp;"")</f>
        <v/>
      </c>
      <c r="C1642">
        <f>IF($P1642="","",INDEX(상세표[부서],$P1642)&amp;"")</f>
        <v/>
      </c>
      <c r="D1642">
        <f>IF($P1642="","",INDEX(상세표[직위],$P1642)&amp;"")</f>
        <v/>
      </c>
      <c r="E1642">
        <f>IF($P1642="","",IF(ISNUMBER(INDEX(상세표[시작],$P1642)),TEXT(INDEX(상세표[시작],$P1642),"yyyy-mm-dd hh:mm"),INDEX(상세표[시작],$P1642)&amp;""))</f>
        <v/>
      </c>
      <c r="F1642">
        <f>IF($P1642="","",IF(ISNUMBER(INDEX(상세표[블록종료],$P1642)),TEXT(INDEX(상세표[블록종료],$P1642),"yyyy-mm-dd hh:mm"),INDEX(상세표[블록종료],$P1642)&amp;""))</f>
        <v/>
      </c>
      <c r="G1642">
        <f>IF($P1642="","",CHOOSE(WEEKDAY(INDEX(상세표[시작],$P1642)),"일","월","화","수","목","금","토"))</f>
        <v/>
      </c>
      <c r="H1642">
        <f>IF($P1642="","",INDEX(상세표[연속 시간],$P1642))</f>
        <v/>
      </c>
      <c r="I1642">
        <f>IF($P1642="","",INDEX(상세표[기록 수],$P1642))</f>
        <v/>
      </c>
      <c r="J1642">
        <f>IF($P1642="","",INDEX(상세표[블록 06~07시],$P1642))</f>
        <v/>
      </c>
      <c r="K1642">
        <f>IF($P1642="","",INDEX(상세표[블록 07~18시],$P1642))</f>
        <v/>
      </c>
      <c r="L1642">
        <f>IF($P1642="","",INDEX(상세표[블록 18~22시],$P1642))</f>
        <v/>
      </c>
      <c r="M1642">
        <f>IF($P1642="","",INDEX(상세표[블록 22~06시],$P1642))</f>
        <v/>
      </c>
      <c r="N1642">
        <f>IF($P1642="","",INDEX(상세표[주말·휴일 포함],$P1642)&amp;"")</f>
        <v/>
      </c>
      <c r="O1642">
        <f>IF($P1642="","",INDEX(상세표[월 넘김 포함],$P1642)&amp;"")</f>
        <v/>
      </c>
      <c r="P1642" s="4">
        <f>IFERROR(MATCH(1637,상세표[연속순번],0),"")</f>
        <v/>
      </c>
    </row>
    <row r="1643">
      <c r="A1643">
        <f>IF($P1643="","",INDEX(상세표[사번],$P1643)&amp;"")</f>
        <v/>
      </c>
      <c r="B1643">
        <f>IF($P1643="","",INDEX(상세표[성명],$P1643)&amp;"")</f>
        <v/>
      </c>
      <c r="C1643">
        <f>IF($P1643="","",INDEX(상세표[부서],$P1643)&amp;"")</f>
        <v/>
      </c>
      <c r="D1643">
        <f>IF($P1643="","",INDEX(상세표[직위],$P1643)&amp;"")</f>
        <v/>
      </c>
      <c r="E1643">
        <f>IF($P1643="","",IF(ISNUMBER(INDEX(상세표[시작],$P1643)),TEXT(INDEX(상세표[시작],$P1643),"yyyy-mm-dd hh:mm"),INDEX(상세표[시작],$P1643)&amp;""))</f>
        <v/>
      </c>
      <c r="F1643">
        <f>IF($P1643="","",IF(ISNUMBER(INDEX(상세표[블록종료],$P1643)),TEXT(INDEX(상세표[블록종료],$P1643),"yyyy-mm-dd hh:mm"),INDEX(상세표[블록종료],$P1643)&amp;""))</f>
        <v/>
      </c>
      <c r="G1643">
        <f>IF($P1643="","",CHOOSE(WEEKDAY(INDEX(상세표[시작],$P1643)),"일","월","화","수","목","금","토"))</f>
        <v/>
      </c>
      <c r="H1643">
        <f>IF($P1643="","",INDEX(상세표[연속 시간],$P1643))</f>
        <v/>
      </c>
      <c r="I1643">
        <f>IF($P1643="","",INDEX(상세표[기록 수],$P1643))</f>
        <v/>
      </c>
      <c r="J1643">
        <f>IF($P1643="","",INDEX(상세표[블록 06~07시],$P1643))</f>
        <v/>
      </c>
      <c r="K1643">
        <f>IF($P1643="","",INDEX(상세표[블록 07~18시],$P1643))</f>
        <v/>
      </c>
      <c r="L1643">
        <f>IF($P1643="","",INDEX(상세표[블록 18~22시],$P1643))</f>
        <v/>
      </c>
      <c r="M1643">
        <f>IF($P1643="","",INDEX(상세표[블록 22~06시],$P1643))</f>
        <v/>
      </c>
      <c r="N1643">
        <f>IF($P1643="","",INDEX(상세표[주말·휴일 포함],$P1643)&amp;"")</f>
        <v/>
      </c>
      <c r="O1643">
        <f>IF($P1643="","",INDEX(상세표[월 넘김 포함],$P1643)&amp;"")</f>
        <v/>
      </c>
      <c r="P1643" s="4">
        <f>IFERROR(MATCH(1638,상세표[연속순번],0),"")</f>
        <v/>
      </c>
    </row>
    <row r="1644">
      <c r="A1644">
        <f>IF($P1644="","",INDEX(상세표[사번],$P1644)&amp;"")</f>
        <v/>
      </c>
      <c r="B1644">
        <f>IF($P1644="","",INDEX(상세표[성명],$P1644)&amp;"")</f>
        <v/>
      </c>
      <c r="C1644">
        <f>IF($P1644="","",INDEX(상세표[부서],$P1644)&amp;"")</f>
        <v/>
      </c>
      <c r="D1644">
        <f>IF($P1644="","",INDEX(상세표[직위],$P1644)&amp;"")</f>
        <v/>
      </c>
      <c r="E1644">
        <f>IF($P1644="","",IF(ISNUMBER(INDEX(상세표[시작],$P1644)),TEXT(INDEX(상세표[시작],$P1644),"yyyy-mm-dd hh:mm"),INDEX(상세표[시작],$P1644)&amp;""))</f>
        <v/>
      </c>
      <c r="F1644">
        <f>IF($P1644="","",IF(ISNUMBER(INDEX(상세표[블록종료],$P1644)),TEXT(INDEX(상세표[블록종료],$P1644),"yyyy-mm-dd hh:mm"),INDEX(상세표[블록종료],$P1644)&amp;""))</f>
        <v/>
      </c>
      <c r="G1644">
        <f>IF($P1644="","",CHOOSE(WEEKDAY(INDEX(상세표[시작],$P1644)),"일","월","화","수","목","금","토"))</f>
        <v/>
      </c>
      <c r="H1644">
        <f>IF($P1644="","",INDEX(상세표[연속 시간],$P1644))</f>
        <v/>
      </c>
      <c r="I1644">
        <f>IF($P1644="","",INDEX(상세표[기록 수],$P1644))</f>
        <v/>
      </c>
      <c r="J1644">
        <f>IF($P1644="","",INDEX(상세표[블록 06~07시],$P1644))</f>
        <v/>
      </c>
      <c r="K1644">
        <f>IF($P1644="","",INDEX(상세표[블록 07~18시],$P1644))</f>
        <v/>
      </c>
      <c r="L1644">
        <f>IF($P1644="","",INDEX(상세표[블록 18~22시],$P1644))</f>
        <v/>
      </c>
      <c r="M1644">
        <f>IF($P1644="","",INDEX(상세표[블록 22~06시],$P1644))</f>
        <v/>
      </c>
      <c r="N1644">
        <f>IF($P1644="","",INDEX(상세표[주말·휴일 포함],$P1644)&amp;"")</f>
        <v/>
      </c>
      <c r="O1644">
        <f>IF($P1644="","",INDEX(상세표[월 넘김 포함],$P1644)&amp;"")</f>
        <v/>
      </c>
      <c r="P1644" s="4">
        <f>IFERROR(MATCH(1639,상세표[연속순번],0),"")</f>
        <v/>
      </c>
    </row>
    <row r="1645">
      <c r="A1645">
        <f>IF($P1645="","",INDEX(상세표[사번],$P1645)&amp;"")</f>
        <v/>
      </c>
      <c r="B1645">
        <f>IF($P1645="","",INDEX(상세표[성명],$P1645)&amp;"")</f>
        <v/>
      </c>
      <c r="C1645">
        <f>IF($P1645="","",INDEX(상세표[부서],$P1645)&amp;"")</f>
        <v/>
      </c>
      <c r="D1645">
        <f>IF($P1645="","",INDEX(상세표[직위],$P1645)&amp;"")</f>
        <v/>
      </c>
      <c r="E1645">
        <f>IF($P1645="","",IF(ISNUMBER(INDEX(상세표[시작],$P1645)),TEXT(INDEX(상세표[시작],$P1645),"yyyy-mm-dd hh:mm"),INDEX(상세표[시작],$P1645)&amp;""))</f>
        <v/>
      </c>
      <c r="F1645">
        <f>IF($P1645="","",IF(ISNUMBER(INDEX(상세표[블록종료],$P1645)),TEXT(INDEX(상세표[블록종료],$P1645),"yyyy-mm-dd hh:mm"),INDEX(상세표[블록종료],$P1645)&amp;""))</f>
        <v/>
      </c>
      <c r="G1645">
        <f>IF($P1645="","",CHOOSE(WEEKDAY(INDEX(상세표[시작],$P1645)),"일","월","화","수","목","금","토"))</f>
        <v/>
      </c>
      <c r="H1645">
        <f>IF($P1645="","",INDEX(상세표[연속 시간],$P1645))</f>
        <v/>
      </c>
      <c r="I1645">
        <f>IF($P1645="","",INDEX(상세표[기록 수],$P1645))</f>
        <v/>
      </c>
      <c r="J1645">
        <f>IF($P1645="","",INDEX(상세표[블록 06~07시],$P1645))</f>
        <v/>
      </c>
      <c r="K1645">
        <f>IF($P1645="","",INDEX(상세표[블록 07~18시],$P1645))</f>
        <v/>
      </c>
      <c r="L1645">
        <f>IF($P1645="","",INDEX(상세표[블록 18~22시],$P1645))</f>
        <v/>
      </c>
      <c r="M1645">
        <f>IF($P1645="","",INDEX(상세표[블록 22~06시],$P1645))</f>
        <v/>
      </c>
      <c r="N1645">
        <f>IF($P1645="","",INDEX(상세표[주말·휴일 포함],$P1645)&amp;"")</f>
        <v/>
      </c>
      <c r="O1645">
        <f>IF($P1645="","",INDEX(상세표[월 넘김 포함],$P1645)&amp;"")</f>
        <v/>
      </c>
      <c r="P1645" s="4">
        <f>IFERROR(MATCH(1640,상세표[연속순번],0),"")</f>
        <v/>
      </c>
    </row>
    <row r="1646">
      <c r="A1646">
        <f>IF($P1646="","",INDEX(상세표[사번],$P1646)&amp;"")</f>
        <v/>
      </c>
      <c r="B1646">
        <f>IF($P1646="","",INDEX(상세표[성명],$P1646)&amp;"")</f>
        <v/>
      </c>
      <c r="C1646">
        <f>IF($P1646="","",INDEX(상세표[부서],$P1646)&amp;"")</f>
        <v/>
      </c>
      <c r="D1646">
        <f>IF($P1646="","",INDEX(상세표[직위],$P1646)&amp;"")</f>
        <v/>
      </c>
      <c r="E1646">
        <f>IF($P1646="","",IF(ISNUMBER(INDEX(상세표[시작],$P1646)),TEXT(INDEX(상세표[시작],$P1646),"yyyy-mm-dd hh:mm"),INDEX(상세표[시작],$P1646)&amp;""))</f>
        <v/>
      </c>
      <c r="F1646">
        <f>IF($P1646="","",IF(ISNUMBER(INDEX(상세표[블록종료],$P1646)),TEXT(INDEX(상세표[블록종료],$P1646),"yyyy-mm-dd hh:mm"),INDEX(상세표[블록종료],$P1646)&amp;""))</f>
        <v/>
      </c>
      <c r="G1646">
        <f>IF($P1646="","",CHOOSE(WEEKDAY(INDEX(상세표[시작],$P1646)),"일","월","화","수","목","금","토"))</f>
        <v/>
      </c>
      <c r="H1646">
        <f>IF($P1646="","",INDEX(상세표[연속 시간],$P1646))</f>
        <v/>
      </c>
      <c r="I1646">
        <f>IF($P1646="","",INDEX(상세표[기록 수],$P1646))</f>
        <v/>
      </c>
      <c r="J1646">
        <f>IF($P1646="","",INDEX(상세표[블록 06~07시],$P1646))</f>
        <v/>
      </c>
      <c r="K1646">
        <f>IF($P1646="","",INDEX(상세표[블록 07~18시],$P1646))</f>
        <v/>
      </c>
      <c r="L1646">
        <f>IF($P1646="","",INDEX(상세표[블록 18~22시],$P1646))</f>
        <v/>
      </c>
      <c r="M1646">
        <f>IF($P1646="","",INDEX(상세표[블록 22~06시],$P1646))</f>
        <v/>
      </c>
      <c r="N1646">
        <f>IF($P1646="","",INDEX(상세표[주말·휴일 포함],$P1646)&amp;"")</f>
        <v/>
      </c>
      <c r="O1646">
        <f>IF($P1646="","",INDEX(상세표[월 넘김 포함],$P1646)&amp;"")</f>
        <v/>
      </c>
      <c r="P1646" s="4">
        <f>IFERROR(MATCH(1641,상세표[연속순번],0),"")</f>
        <v/>
      </c>
    </row>
    <row r="1647">
      <c r="A1647">
        <f>IF($P1647="","",INDEX(상세표[사번],$P1647)&amp;"")</f>
        <v/>
      </c>
      <c r="B1647">
        <f>IF($P1647="","",INDEX(상세표[성명],$P1647)&amp;"")</f>
        <v/>
      </c>
      <c r="C1647">
        <f>IF($P1647="","",INDEX(상세표[부서],$P1647)&amp;"")</f>
        <v/>
      </c>
      <c r="D1647">
        <f>IF($P1647="","",INDEX(상세표[직위],$P1647)&amp;"")</f>
        <v/>
      </c>
      <c r="E1647">
        <f>IF($P1647="","",IF(ISNUMBER(INDEX(상세표[시작],$P1647)),TEXT(INDEX(상세표[시작],$P1647),"yyyy-mm-dd hh:mm"),INDEX(상세표[시작],$P1647)&amp;""))</f>
        <v/>
      </c>
      <c r="F1647">
        <f>IF($P1647="","",IF(ISNUMBER(INDEX(상세표[블록종료],$P1647)),TEXT(INDEX(상세표[블록종료],$P1647),"yyyy-mm-dd hh:mm"),INDEX(상세표[블록종료],$P1647)&amp;""))</f>
        <v/>
      </c>
      <c r="G1647">
        <f>IF($P1647="","",CHOOSE(WEEKDAY(INDEX(상세표[시작],$P1647)),"일","월","화","수","목","금","토"))</f>
        <v/>
      </c>
      <c r="H1647">
        <f>IF($P1647="","",INDEX(상세표[연속 시간],$P1647))</f>
        <v/>
      </c>
      <c r="I1647">
        <f>IF($P1647="","",INDEX(상세표[기록 수],$P1647))</f>
        <v/>
      </c>
      <c r="J1647">
        <f>IF($P1647="","",INDEX(상세표[블록 06~07시],$P1647))</f>
        <v/>
      </c>
      <c r="K1647">
        <f>IF($P1647="","",INDEX(상세표[블록 07~18시],$P1647))</f>
        <v/>
      </c>
      <c r="L1647">
        <f>IF($P1647="","",INDEX(상세표[블록 18~22시],$P1647))</f>
        <v/>
      </c>
      <c r="M1647">
        <f>IF($P1647="","",INDEX(상세표[블록 22~06시],$P1647))</f>
        <v/>
      </c>
      <c r="N1647">
        <f>IF($P1647="","",INDEX(상세표[주말·휴일 포함],$P1647)&amp;"")</f>
        <v/>
      </c>
      <c r="O1647">
        <f>IF($P1647="","",INDEX(상세표[월 넘김 포함],$P1647)&amp;"")</f>
        <v/>
      </c>
      <c r="P1647" s="4">
        <f>IFERROR(MATCH(1642,상세표[연속순번],0),"")</f>
        <v/>
      </c>
    </row>
    <row r="1648">
      <c r="A1648">
        <f>IF($P1648="","",INDEX(상세표[사번],$P1648)&amp;"")</f>
        <v/>
      </c>
      <c r="B1648">
        <f>IF($P1648="","",INDEX(상세표[성명],$P1648)&amp;"")</f>
        <v/>
      </c>
      <c r="C1648">
        <f>IF($P1648="","",INDEX(상세표[부서],$P1648)&amp;"")</f>
        <v/>
      </c>
      <c r="D1648">
        <f>IF($P1648="","",INDEX(상세표[직위],$P1648)&amp;"")</f>
        <v/>
      </c>
      <c r="E1648">
        <f>IF($P1648="","",IF(ISNUMBER(INDEX(상세표[시작],$P1648)),TEXT(INDEX(상세표[시작],$P1648),"yyyy-mm-dd hh:mm"),INDEX(상세표[시작],$P1648)&amp;""))</f>
        <v/>
      </c>
      <c r="F1648">
        <f>IF($P1648="","",IF(ISNUMBER(INDEX(상세표[블록종료],$P1648)),TEXT(INDEX(상세표[블록종료],$P1648),"yyyy-mm-dd hh:mm"),INDEX(상세표[블록종료],$P1648)&amp;""))</f>
        <v/>
      </c>
      <c r="G1648">
        <f>IF($P1648="","",CHOOSE(WEEKDAY(INDEX(상세표[시작],$P1648)),"일","월","화","수","목","금","토"))</f>
        <v/>
      </c>
      <c r="H1648">
        <f>IF($P1648="","",INDEX(상세표[연속 시간],$P1648))</f>
        <v/>
      </c>
      <c r="I1648">
        <f>IF($P1648="","",INDEX(상세표[기록 수],$P1648))</f>
        <v/>
      </c>
      <c r="J1648">
        <f>IF($P1648="","",INDEX(상세표[블록 06~07시],$P1648))</f>
        <v/>
      </c>
      <c r="K1648">
        <f>IF($P1648="","",INDEX(상세표[블록 07~18시],$P1648))</f>
        <v/>
      </c>
      <c r="L1648">
        <f>IF($P1648="","",INDEX(상세표[블록 18~22시],$P1648))</f>
        <v/>
      </c>
      <c r="M1648">
        <f>IF($P1648="","",INDEX(상세표[블록 22~06시],$P1648))</f>
        <v/>
      </c>
      <c r="N1648">
        <f>IF($P1648="","",INDEX(상세표[주말·휴일 포함],$P1648)&amp;"")</f>
        <v/>
      </c>
      <c r="O1648">
        <f>IF($P1648="","",INDEX(상세표[월 넘김 포함],$P1648)&amp;"")</f>
        <v/>
      </c>
      <c r="P1648" s="4">
        <f>IFERROR(MATCH(1643,상세표[연속순번],0),"")</f>
        <v/>
      </c>
    </row>
    <row r="1649">
      <c r="A1649">
        <f>IF($P1649="","",INDEX(상세표[사번],$P1649)&amp;"")</f>
        <v/>
      </c>
      <c r="B1649">
        <f>IF($P1649="","",INDEX(상세표[성명],$P1649)&amp;"")</f>
        <v/>
      </c>
      <c r="C1649">
        <f>IF($P1649="","",INDEX(상세표[부서],$P1649)&amp;"")</f>
        <v/>
      </c>
      <c r="D1649">
        <f>IF($P1649="","",INDEX(상세표[직위],$P1649)&amp;"")</f>
        <v/>
      </c>
      <c r="E1649">
        <f>IF($P1649="","",IF(ISNUMBER(INDEX(상세표[시작],$P1649)),TEXT(INDEX(상세표[시작],$P1649),"yyyy-mm-dd hh:mm"),INDEX(상세표[시작],$P1649)&amp;""))</f>
        <v/>
      </c>
      <c r="F1649">
        <f>IF($P1649="","",IF(ISNUMBER(INDEX(상세표[블록종료],$P1649)),TEXT(INDEX(상세표[블록종료],$P1649),"yyyy-mm-dd hh:mm"),INDEX(상세표[블록종료],$P1649)&amp;""))</f>
        <v/>
      </c>
      <c r="G1649">
        <f>IF($P1649="","",CHOOSE(WEEKDAY(INDEX(상세표[시작],$P1649)),"일","월","화","수","목","금","토"))</f>
        <v/>
      </c>
      <c r="H1649">
        <f>IF($P1649="","",INDEX(상세표[연속 시간],$P1649))</f>
        <v/>
      </c>
      <c r="I1649">
        <f>IF($P1649="","",INDEX(상세표[기록 수],$P1649))</f>
        <v/>
      </c>
      <c r="J1649">
        <f>IF($P1649="","",INDEX(상세표[블록 06~07시],$P1649))</f>
        <v/>
      </c>
      <c r="K1649">
        <f>IF($P1649="","",INDEX(상세표[블록 07~18시],$P1649))</f>
        <v/>
      </c>
      <c r="L1649">
        <f>IF($P1649="","",INDEX(상세표[블록 18~22시],$P1649))</f>
        <v/>
      </c>
      <c r="M1649">
        <f>IF($P1649="","",INDEX(상세표[블록 22~06시],$P1649))</f>
        <v/>
      </c>
      <c r="N1649">
        <f>IF($P1649="","",INDEX(상세표[주말·휴일 포함],$P1649)&amp;"")</f>
        <v/>
      </c>
      <c r="O1649">
        <f>IF($P1649="","",INDEX(상세표[월 넘김 포함],$P1649)&amp;"")</f>
        <v/>
      </c>
      <c r="P1649" s="4">
        <f>IFERROR(MATCH(1644,상세표[연속순번],0),"")</f>
        <v/>
      </c>
    </row>
    <row r="1650">
      <c r="A1650">
        <f>IF($P1650="","",INDEX(상세표[사번],$P1650)&amp;"")</f>
        <v/>
      </c>
      <c r="B1650">
        <f>IF($P1650="","",INDEX(상세표[성명],$P1650)&amp;"")</f>
        <v/>
      </c>
      <c r="C1650">
        <f>IF($P1650="","",INDEX(상세표[부서],$P1650)&amp;"")</f>
        <v/>
      </c>
      <c r="D1650">
        <f>IF($P1650="","",INDEX(상세표[직위],$P1650)&amp;"")</f>
        <v/>
      </c>
      <c r="E1650">
        <f>IF($P1650="","",IF(ISNUMBER(INDEX(상세표[시작],$P1650)),TEXT(INDEX(상세표[시작],$P1650),"yyyy-mm-dd hh:mm"),INDEX(상세표[시작],$P1650)&amp;""))</f>
        <v/>
      </c>
      <c r="F1650">
        <f>IF($P1650="","",IF(ISNUMBER(INDEX(상세표[블록종료],$P1650)),TEXT(INDEX(상세표[블록종료],$P1650),"yyyy-mm-dd hh:mm"),INDEX(상세표[블록종료],$P1650)&amp;""))</f>
        <v/>
      </c>
      <c r="G1650">
        <f>IF($P1650="","",CHOOSE(WEEKDAY(INDEX(상세표[시작],$P1650)),"일","월","화","수","목","금","토"))</f>
        <v/>
      </c>
      <c r="H1650">
        <f>IF($P1650="","",INDEX(상세표[연속 시간],$P1650))</f>
        <v/>
      </c>
      <c r="I1650">
        <f>IF($P1650="","",INDEX(상세표[기록 수],$P1650))</f>
        <v/>
      </c>
      <c r="J1650">
        <f>IF($P1650="","",INDEX(상세표[블록 06~07시],$P1650))</f>
        <v/>
      </c>
      <c r="K1650">
        <f>IF($P1650="","",INDEX(상세표[블록 07~18시],$P1650))</f>
        <v/>
      </c>
      <c r="L1650">
        <f>IF($P1650="","",INDEX(상세표[블록 18~22시],$P1650))</f>
        <v/>
      </c>
      <c r="M1650">
        <f>IF($P1650="","",INDEX(상세표[블록 22~06시],$P1650))</f>
        <v/>
      </c>
      <c r="N1650">
        <f>IF($P1650="","",INDEX(상세표[주말·휴일 포함],$P1650)&amp;"")</f>
        <v/>
      </c>
      <c r="O1650">
        <f>IF($P1650="","",INDEX(상세표[월 넘김 포함],$P1650)&amp;"")</f>
        <v/>
      </c>
      <c r="P1650" s="4">
        <f>IFERROR(MATCH(1645,상세표[연속순번],0),"")</f>
        <v/>
      </c>
    </row>
    <row r="1651">
      <c r="A1651">
        <f>IF($P1651="","",INDEX(상세표[사번],$P1651)&amp;"")</f>
        <v/>
      </c>
      <c r="B1651">
        <f>IF($P1651="","",INDEX(상세표[성명],$P1651)&amp;"")</f>
        <v/>
      </c>
      <c r="C1651">
        <f>IF($P1651="","",INDEX(상세표[부서],$P1651)&amp;"")</f>
        <v/>
      </c>
      <c r="D1651">
        <f>IF($P1651="","",INDEX(상세표[직위],$P1651)&amp;"")</f>
        <v/>
      </c>
      <c r="E1651">
        <f>IF($P1651="","",IF(ISNUMBER(INDEX(상세표[시작],$P1651)),TEXT(INDEX(상세표[시작],$P1651),"yyyy-mm-dd hh:mm"),INDEX(상세표[시작],$P1651)&amp;""))</f>
        <v/>
      </c>
      <c r="F1651">
        <f>IF($P1651="","",IF(ISNUMBER(INDEX(상세표[블록종료],$P1651)),TEXT(INDEX(상세표[블록종료],$P1651),"yyyy-mm-dd hh:mm"),INDEX(상세표[블록종료],$P1651)&amp;""))</f>
        <v/>
      </c>
      <c r="G1651">
        <f>IF($P1651="","",CHOOSE(WEEKDAY(INDEX(상세표[시작],$P1651)),"일","월","화","수","목","금","토"))</f>
        <v/>
      </c>
      <c r="H1651">
        <f>IF($P1651="","",INDEX(상세표[연속 시간],$P1651))</f>
        <v/>
      </c>
      <c r="I1651">
        <f>IF($P1651="","",INDEX(상세표[기록 수],$P1651))</f>
        <v/>
      </c>
      <c r="J1651">
        <f>IF($P1651="","",INDEX(상세표[블록 06~07시],$P1651))</f>
        <v/>
      </c>
      <c r="K1651">
        <f>IF($P1651="","",INDEX(상세표[블록 07~18시],$P1651))</f>
        <v/>
      </c>
      <c r="L1651">
        <f>IF($P1651="","",INDEX(상세표[블록 18~22시],$P1651))</f>
        <v/>
      </c>
      <c r="M1651">
        <f>IF($P1651="","",INDEX(상세표[블록 22~06시],$P1651))</f>
        <v/>
      </c>
      <c r="N1651">
        <f>IF($P1651="","",INDEX(상세표[주말·휴일 포함],$P1651)&amp;"")</f>
        <v/>
      </c>
      <c r="O1651">
        <f>IF($P1651="","",INDEX(상세표[월 넘김 포함],$P1651)&amp;"")</f>
        <v/>
      </c>
      <c r="P1651" s="4">
        <f>IFERROR(MATCH(1646,상세표[연속순번],0),"")</f>
        <v/>
      </c>
    </row>
    <row r="1652">
      <c r="A1652">
        <f>IF($P1652="","",INDEX(상세표[사번],$P1652)&amp;"")</f>
        <v/>
      </c>
      <c r="B1652">
        <f>IF($P1652="","",INDEX(상세표[성명],$P1652)&amp;"")</f>
        <v/>
      </c>
      <c r="C1652">
        <f>IF($P1652="","",INDEX(상세표[부서],$P1652)&amp;"")</f>
        <v/>
      </c>
      <c r="D1652">
        <f>IF($P1652="","",INDEX(상세표[직위],$P1652)&amp;"")</f>
        <v/>
      </c>
      <c r="E1652">
        <f>IF($P1652="","",IF(ISNUMBER(INDEX(상세표[시작],$P1652)),TEXT(INDEX(상세표[시작],$P1652),"yyyy-mm-dd hh:mm"),INDEX(상세표[시작],$P1652)&amp;""))</f>
        <v/>
      </c>
      <c r="F1652">
        <f>IF($P1652="","",IF(ISNUMBER(INDEX(상세표[블록종료],$P1652)),TEXT(INDEX(상세표[블록종료],$P1652),"yyyy-mm-dd hh:mm"),INDEX(상세표[블록종료],$P1652)&amp;""))</f>
        <v/>
      </c>
      <c r="G1652">
        <f>IF($P1652="","",CHOOSE(WEEKDAY(INDEX(상세표[시작],$P1652)),"일","월","화","수","목","금","토"))</f>
        <v/>
      </c>
      <c r="H1652">
        <f>IF($P1652="","",INDEX(상세표[연속 시간],$P1652))</f>
        <v/>
      </c>
      <c r="I1652">
        <f>IF($P1652="","",INDEX(상세표[기록 수],$P1652))</f>
        <v/>
      </c>
      <c r="J1652">
        <f>IF($P1652="","",INDEX(상세표[블록 06~07시],$P1652))</f>
        <v/>
      </c>
      <c r="K1652">
        <f>IF($P1652="","",INDEX(상세표[블록 07~18시],$P1652))</f>
        <v/>
      </c>
      <c r="L1652">
        <f>IF($P1652="","",INDEX(상세표[블록 18~22시],$P1652))</f>
        <v/>
      </c>
      <c r="M1652">
        <f>IF($P1652="","",INDEX(상세표[블록 22~06시],$P1652))</f>
        <v/>
      </c>
      <c r="N1652">
        <f>IF($P1652="","",INDEX(상세표[주말·휴일 포함],$P1652)&amp;"")</f>
        <v/>
      </c>
      <c r="O1652">
        <f>IF($P1652="","",INDEX(상세표[월 넘김 포함],$P1652)&amp;"")</f>
        <v/>
      </c>
      <c r="P1652" s="4">
        <f>IFERROR(MATCH(1647,상세표[연속순번],0),"")</f>
        <v/>
      </c>
    </row>
    <row r="1653">
      <c r="A1653">
        <f>IF($P1653="","",INDEX(상세표[사번],$P1653)&amp;"")</f>
        <v/>
      </c>
      <c r="B1653">
        <f>IF($P1653="","",INDEX(상세표[성명],$P1653)&amp;"")</f>
        <v/>
      </c>
      <c r="C1653">
        <f>IF($P1653="","",INDEX(상세표[부서],$P1653)&amp;"")</f>
        <v/>
      </c>
      <c r="D1653">
        <f>IF($P1653="","",INDEX(상세표[직위],$P1653)&amp;"")</f>
        <v/>
      </c>
      <c r="E1653">
        <f>IF($P1653="","",IF(ISNUMBER(INDEX(상세표[시작],$P1653)),TEXT(INDEX(상세표[시작],$P1653),"yyyy-mm-dd hh:mm"),INDEX(상세표[시작],$P1653)&amp;""))</f>
        <v/>
      </c>
      <c r="F1653">
        <f>IF($P1653="","",IF(ISNUMBER(INDEX(상세표[블록종료],$P1653)),TEXT(INDEX(상세표[블록종료],$P1653),"yyyy-mm-dd hh:mm"),INDEX(상세표[블록종료],$P1653)&amp;""))</f>
        <v/>
      </c>
      <c r="G1653">
        <f>IF($P1653="","",CHOOSE(WEEKDAY(INDEX(상세표[시작],$P1653)),"일","월","화","수","목","금","토"))</f>
        <v/>
      </c>
      <c r="H1653">
        <f>IF($P1653="","",INDEX(상세표[연속 시간],$P1653))</f>
        <v/>
      </c>
      <c r="I1653">
        <f>IF($P1653="","",INDEX(상세표[기록 수],$P1653))</f>
        <v/>
      </c>
      <c r="J1653">
        <f>IF($P1653="","",INDEX(상세표[블록 06~07시],$P1653))</f>
        <v/>
      </c>
      <c r="K1653">
        <f>IF($P1653="","",INDEX(상세표[블록 07~18시],$P1653))</f>
        <v/>
      </c>
      <c r="L1653">
        <f>IF($P1653="","",INDEX(상세표[블록 18~22시],$P1653))</f>
        <v/>
      </c>
      <c r="M1653">
        <f>IF($P1653="","",INDEX(상세표[블록 22~06시],$P1653))</f>
        <v/>
      </c>
      <c r="N1653">
        <f>IF($P1653="","",INDEX(상세표[주말·휴일 포함],$P1653)&amp;"")</f>
        <v/>
      </c>
      <c r="O1653">
        <f>IF($P1653="","",INDEX(상세표[월 넘김 포함],$P1653)&amp;"")</f>
        <v/>
      </c>
      <c r="P1653" s="4">
        <f>IFERROR(MATCH(1648,상세표[연속순번],0),"")</f>
        <v/>
      </c>
    </row>
    <row r="1654">
      <c r="A1654">
        <f>IF($P1654="","",INDEX(상세표[사번],$P1654)&amp;"")</f>
        <v/>
      </c>
      <c r="B1654">
        <f>IF($P1654="","",INDEX(상세표[성명],$P1654)&amp;"")</f>
        <v/>
      </c>
      <c r="C1654">
        <f>IF($P1654="","",INDEX(상세표[부서],$P1654)&amp;"")</f>
        <v/>
      </c>
      <c r="D1654">
        <f>IF($P1654="","",INDEX(상세표[직위],$P1654)&amp;"")</f>
        <v/>
      </c>
      <c r="E1654">
        <f>IF($P1654="","",IF(ISNUMBER(INDEX(상세표[시작],$P1654)),TEXT(INDEX(상세표[시작],$P1654),"yyyy-mm-dd hh:mm"),INDEX(상세표[시작],$P1654)&amp;""))</f>
        <v/>
      </c>
      <c r="F1654">
        <f>IF($P1654="","",IF(ISNUMBER(INDEX(상세표[블록종료],$P1654)),TEXT(INDEX(상세표[블록종료],$P1654),"yyyy-mm-dd hh:mm"),INDEX(상세표[블록종료],$P1654)&amp;""))</f>
        <v/>
      </c>
      <c r="G1654">
        <f>IF($P1654="","",CHOOSE(WEEKDAY(INDEX(상세표[시작],$P1654)),"일","월","화","수","목","금","토"))</f>
        <v/>
      </c>
      <c r="H1654">
        <f>IF($P1654="","",INDEX(상세표[연속 시간],$P1654))</f>
        <v/>
      </c>
      <c r="I1654">
        <f>IF($P1654="","",INDEX(상세표[기록 수],$P1654))</f>
        <v/>
      </c>
      <c r="J1654">
        <f>IF($P1654="","",INDEX(상세표[블록 06~07시],$P1654))</f>
        <v/>
      </c>
      <c r="K1654">
        <f>IF($P1654="","",INDEX(상세표[블록 07~18시],$P1654))</f>
        <v/>
      </c>
      <c r="L1654">
        <f>IF($P1654="","",INDEX(상세표[블록 18~22시],$P1654))</f>
        <v/>
      </c>
      <c r="M1654">
        <f>IF($P1654="","",INDEX(상세표[블록 22~06시],$P1654))</f>
        <v/>
      </c>
      <c r="N1654">
        <f>IF($P1654="","",INDEX(상세표[주말·휴일 포함],$P1654)&amp;"")</f>
        <v/>
      </c>
      <c r="O1654">
        <f>IF($P1654="","",INDEX(상세표[월 넘김 포함],$P1654)&amp;"")</f>
        <v/>
      </c>
      <c r="P1654" s="4">
        <f>IFERROR(MATCH(1649,상세표[연속순번],0),"")</f>
        <v/>
      </c>
    </row>
    <row r="1655">
      <c r="A1655">
        <f>IF($P1655="","",INDEX(상세표[사번],$P1655)&amp;"")</f>
        <v/>
      </c>
      <c r="B1655">
        <f>IF($P1655="","",INDEX(상세표[성명],$P1655)&amp;"")</f>
        <v/>
      </c>
      <c r="C1655">
        <f>IF($P1655="","",INDEX(상세표[부서],$P1655)&amp;"")</f>
        <v/>
      </c>
      <c r="D1655">
        <f>IF($P1655="","",INDEX(상세표[직위],$P1655)&amp;"")</f>
        <v/>
      </c>
      <c r="E1655">
        <f>IF($P1655="","",IF(ISNUMBER(INDEX(상세표[시작],$P1655)),TEXT(INDEX(상세표[시작],$P1655),"yyyy-mm-dd hh:mm"),INDEX(상세표[시작],$P1655)&amp;""))</f>
        <v/>
      </c>
      <c r="F1655">
        <f>IF($P1655="","",IF(ISNUMBER(INDEX(상세표[블록종료],$P1655)),TEXT(INDEX(상세표[블록종료],$P1655),"yyyy-mm-dd hh:mm"),INDEX(상세표[블록종료],$P1655)&amp;""))</f>
        <v/>
      </c>
      <c r="G1655">
        <f>IF($P1655="","",CHOOSE(WEEKDAY(INDEX(상세표[시작],$P1655)),"일","월","화","수","목","금","토"))</f>
        <v/>
      </c>
      <c r="H1655">
        <f>IF($P1655="","",INDEX(상세표[연속 시간],$P1655))</f>
        <v/>
      </c>
      <c r="I1655">
        <f>IF($P1655="","",INDEX(상세표[기록 수],$P1655))</f>
        <v/>
      </c>
      <c r="J1655">
        <f>IF($P1655="","",INDEX(상세표[블록 06~07시],$P1655))</f>
        <v/>
      </c>
      <c r="K1655">
        <f>IF($P1655="","",INDEX(상세표[블록 07~18시],$P1655))</f>
        <v/>
      </c>
      <c r="L1655">
        <f>IF($P1655="","",INDEX(상세표[블록 18~22시],$P1655))</f>
        <v/>
      </c>
      <c r="M1655">
        <f>IF($P1655="","",INDEX(상세표[블록 22~06시],$P1655))</f>
        <v/>
      </c>
      <c r="N1655">
        <f>IF($P1655="","",INDEX(상세표[주말·휴일 포함],$P1655)&amp;"")</f>
        <v/>
      </c>
      <c r="O1655">
        <f>IF($P1655="","",INDEX(상세표[월 넘김 포함],$P1655)&amp;"")</f>
        <v/>
      </c>
      <c r="P1655" s="4">
        <f>IFERROR(MATCH(1650,상세표[연속순번],0),"")</f>
        <v/>
      </c>
    </row>
    <row r="1656">
      <c r="A1656">
        <f>IF($P1656="","",INDEX(상세표[사번],$P1656)&amp;"")</f>
        <v/>
      </c>
      <c r="B1656">
        <f>IF($P1656="","",INDEX(상세표[성명],$P1656)&amp;"")</f>
        <v/>
      </c>
      <c r="C1656">
        <f>IF($P1656="","",INDEX(상세표[부서],$P1656)&amp;"")</f>
        <v/>
      </c>
      <c r="D1656">
        <f>IF($P1656="","",INDEX(상세표[직위],$P1656)&amp;"")</f>
        <v/>
      </c>
      <c r="E1656">
        <f>IF($P1656="","",IF(ISNUMBER(INDEX(상세표[시작],$P1656)),TEXT(INDEX(상세표[시작],$P1656),"yyyy-mm-dd hh:mm"),INDEX(상세표[시작],$P1656)&amp;""))</f>
        <v/>
      </c>
      <c r="F1656">
        <f>IF($P1656="","",IF(ISNUMBER(INDEX(상세표[블록종료],$P1656)),TEXT(INDEX(상세표[블록종료],$P1656),"yyyy-mm-dd hh:mm"),INDEX(상세표[블록종료],$P1656)&amp;""))</f>
        <v/>
      </c>
      <c r="G1656">
        <f>IF($P1656="","",CHOOSE(WEEKDAY(INDEX(상세표[시작],$P1656)),"일","월","화","수","목","금","토"))</f>
        <v/>
      </c>
      <c r="H1656">
        <f>IF($P1656="","",INDEX(상세표[연속 시간],$P1656))</f>
        <v/>
      </c>
      <c r="I1656">
        <f>IF($P1656="","",INDEX(상세표[기록 수],$P1656))</f>
        <v/>
      </c>
      <c r="J1656">
        <f>IF($P1656="","",INDEX(상세표[블록 06~07시],$P1656))</f>
        <v/>
      </c>
      <c r="K1656">
        <f>IF($P1656="","",INDEX(상세표[블록 07~18시],$P1656))</f>
        <v/>
      </c>
      <c r="L1656">
        <f>IF($P1656="","",INDEX(상세표[블록 18~22시],$P1656))</f>
        <v/>
      </c>
      <c r="M1656">
        <f>IF($P1656="","",INDEX(상세표[블록 22~06시],$P1656))</f>
        <v/>
      </c>
      <c r="N1656">
        <f>IF($P1656="","",INDEX(상세표[주말·휴일 포함],$P1656)&amp;"")</f>
        <v/>
      </c>
      <c r="O1656">
        <f>IF($P1656="","",INDEX(상세표[월 넘김 포함],$P1656)&amp;"")</f>
        <v/>
      </c>
      <c r="P1656" s="4">
        <f>IFERROR(MATCH(1651,상세표[연속순번],0),"")</f>
        <v/>
      </c>
    </row>
    <row r="1657">
      <c r="A1657">
        <f>IF($P1657="","",INDEX(상세표[사번],$P1657)&amp;"")</f>
        <v/>
      </c>
      <c r="B1657">
        <f>IF($P1657="","",INDEX(상세표[성명],$P1657)&amp;"")</f>
        <v/>
      </c>
      <c r="C1657">
        <f>IF($P1657="","",INDEX(상세표[부서],$P1657)&amp;"")</f>
        <v/>
      </c>
      <c r="D1657">
        <f>IF($P1657="","",INDEX(상세표[직위],$P1657)&amp;"")</f>
        <v/>
      </c>
      <c r="E1657">
        <f>IF($P1657="","",IF(ISNUMBER(INDEX(상세표[시작],$P1657)),TEXT(INDEX(상세표[시작],$P1657),"yyyy-mm-dd hh:mm"),INDEX(상세표[시작],$P1657)&amp;""))</f>
        <v/>
      </c>
      <c r="F1657">
        <f>IF($P1657="","",IF(ISNUMBER(INDEX(상세표[블록종료],$P1657)),TEXT(INDEX(상세표[블록종료],$P1657),"yyyy-mm-dd hh:mm"),INDEX(상세표[블록종료],$P1657)&amp;""))</f>
        <v/>
      </c>
      <c r="G1657">
        <f>IF($P1657="","",CHOOSE(WEEKDAY(INDEX(상세표[시작],$P1657)),"일","월","화","수","목","금","토"))</f>
        <v/>
      </c>
      <c r="H1657">
        <f>IF($P1657="","",INDEX(상세표[연속 시간],$P1657))</f>
        <v/>
      </c>
      <c r="I1657">
        <f>IF($P1657="","",INDEX(상세표[기록 수],$P1657))</f>
        <v/>
      </c>
      <c r="J1657">
        <f>IF($P1657="","",INDEX(상세표[블록 06~07시],$P1657))</f>
        <v/>
      </c>
      <c r="K1657">
        <f>IF($P1657="","",INDEX(상세표[블록 07~18시],$P1657))</f>
        <v/>
      </c>
      <c r="L1657">
        <f>IF($P1657="","",INDEX(상세표[블록 18~22시],$P1657))</f>
        <v/>
      </c>
      <c r="M1657">
        <f>IF($P1657="","",INDEX(상세표[블록 22~06시],$P1657))</f>
        <v/>
      </c>
      <c r="N1657">
        <f>IF($P1657="","",INDEX(상세표[주말·휴일 포함],$P1657)&amp;"")</f>
        <v/>
      </c>
      <c r="O1657">
        <f>IF($P1657="","",INDEX(상세표[월 넘김 포함],$P1657)&amp;"")</f>
        <v/>
      </c>
      <c r="P1657" s="4">
        <f>IFERROR(MATCH(1652,상세표[연속순번],0),"")</f>
        <v/>
      </c>
    </row>
    <row r="1658">
      <c r="A1658">
        <f>IF($P1658="","",INDEX(상세표[사번],$P1658)&amp;"")</f>
        <v/>
      </c>
      <c r="B1658">
        <f>IF($P1658="","",INDEX(상세표[성명],$P1658)&amp;"")</f>
        <v/>
      </c>
      <c r="C1658">
        <f>IF($P1658="","",INDEX(상세표[부서],$P1658)&amp;"")</f>
        <v/>
      </c>
      <c r="D1658">
        <f>IF($P1658="","",INDEX(상세표[직위],$P1658)&amp;"")</f>
        <v/>
      </c>
      <c r="E1658">
        <f>IF($P1658="","",IF(ISNUMBER(INDEX(상세표[시작],$P1658)),TEXT(INDEX(상세표[시작],$P1658),"yyyy-mm-dd hh:mm"),INDEX(상세표[시작],$P1658)&amp;""))</f>
        <v/>
      </c>
      <c r="F1658">
        <f>IF($P1658="","",IF(ISNUMBER(INDEX(상세표[블록종료],$P1658)),TEXT(INDEX(상세표[블록종료],$P1658),"yyyy-mm-dd hh:mm"),INDEX(상세표[블록종료],$P1658)&amp;""))</f>
        <v/>
      </c>
      <c r="G1658">
        <f>IF($P1658="","",CHOOSE(WEEKDAY(INDEX(상세표[시작],$P1658)),"일","월","화","수","목","금","토"))</f>
        <v/>
      </c>
      <c r="H1658">
        <f>IF($P1658="","",INDEX(상세표[연속 시간],$P1658))</f>
        <v/>
      </c>
      <c r="I1658">
        <f>IF($P1658="","",INDEX(상세표[기록 수],$P1658))</f>
        <v/>
      </c>
      <c r="J1658">
        <f>IF($P1658="","",INDEX(상세표[블록 06~07시],$P1658))</f>
        <v/>
      </c>
      <c r="K1658">
        <f>IF($P1658="","",INDEX(상세표[블록 07~18시],$P1658))</f>
        <v/>
      </c>
      <c r="L1658">
        <f>IF($P1658="","",INDEX(상세표[블록 18~22시],$P1658))</f>
        <v/>
      </c>
      <c r="M1658">
        <f>IF($P1658="","",INDEX(상세표[블록 22~06시],$P1658))</f>
        <v/>
      </c>
      <c r="N1658">
        <f>IF($P1658="","",INDEX(상세표[주말·휴일 포함],$P1658)&amp;"")</f>
        <v/>
      </c>
      <c r="O1658">
        <f>IF($P1658="","",INDEX(상세표[월 넘김 포함],$P1658)&amp;"")</f>
        <v/>
      </c>
      <c r="P1658" s="4">
        <f>IFERROR(MATCH(1653,상세표[연속순번],0),"")</f>
        <v/>
      </c>
    </row>
    <row r="1659">
      <c r="A1659">
        <f>IF($P1659="","",INDEX(상세표[사번],$P1659)&amp;"")</f>
        <v/>
      </c>
      <c r="B1659">
        <f>IF($P1659="","",INDEX(상세표[성명],$P1659)&amp;"")</f>
        <v/>
      </c>
      <c r="C1659">
        <f>IF($P1659="","",INDEX(상세표[부서],$P1659)&amp;"")</f>
        <v/>
      </c>
      <c r="D1659">
        <f>IF($P1659="","",INDEX(상세표[직위],$P1659)&amp;"")</f>
        <v/>
      </c>
      <c r="E1659">
        <f>IF($P1659="","",IF(ISNUMBER(INDEX(상세표[시작],$P1659)),TEXT(INDEX(상세표[시작],$P1659),"yyyy-mm-dd hh:mm"),INDEX(상세표[시작],$P1659)&amp;""))</f>
        <v/>
      </c>
      <c r="F1659">
        <f>IF($P1659="","",IF(ISNUMBER(INDEX(상세표[블록종료],$P1659)),TEXT(INDEX(상세표[블록종료],$P1659),"yyyy-mm-dd hh:mm"),INDEX(상세표[블록종료],$P1659)&amp;""))</f>
        <v/>
      </c>
      <c r="G1659">
        <f>IF($P1659="","",CHOOSE(WEEKDAY(INDEX(상세표[시작],$P1659)),"일","월","화","수","목","금","토"))</f>
        <v/>
      </c>
      <c r="H1659">
        <f>IF($P1659="","",INDEX(상세표[연속 시간],$P1659))</f>
        <v/>
      </c>
      <c r="I1659">
        <f>IF($P1659="","",INDEX(상세표[기록 수],$P1659))</f>
        <v/>
      </c>
      <c r="J1659">
        <f>IF($P1659="","",INDEX(상세표[블록 06~07시],$P1659))</f>
        <v/>
      </c>
      <c r="K1659">
        <f>IF($P1659="","",INDEX(상세표[블록 07~18시],$P1659))</f>
        <v/>
      </c>
      <c r="L1659">
        <f>IF($P1659="","",INDEX(상세표[블록 18~22시],$P1659))</f>
        <v/>
      </c>
      <c r="M1659">
        <f>IF($P1659="","",INDEX(상세표[블록 22~06시],$P1659))</f>
        <v/>
      </c>
      <c r="N1659">
        <f>IF($P1659="","",INDEX(상세표[주말·휴일 포함],$P1659)&amp;"")</f>
        <v/>
      </c>
      <c r="O1659">
        <f>IF($P1659="","",INDEX(상세표[월 넘김 포함],$P1659)&amp;"")</f>
        <v/>
      </c>
      <c r="P1659" s="4">
        <f>IFERROR(MATCH(1654,상세표[연속순번],0),"")</f>
        <v/>
      </c>
    </row>
    <row r="1660">
      <c r="A1660">
        <f>IF($P1660="","",INDEX(상세표[사번],$P1660)&amp;"")</f>
        <v/>
      </c>
      <c r="B1660">
        <f>IF($P1660="","",INDEX(상세표[성명],$P1660)&amp;"")</f>
        <v/>
      </c>
      <c r="C1660">
        <f>IF($P1660="","",INDEX(상세표[부서],$P1660)&amp;"")</f>
        <v/>
      </c>
      <c r="D1660">
        <f>IF($P1660="","",INDEX(상세표[직위],$P1660)&amp;"")</f>
        <v/>
      </c>
      <c r="E1660">
        <f>IF($P1660="","",IF(ISNUMBER(INDEX(상세표[시작],$P1660)),TEXT(INDEX(상세표[시작],$P1660),"yyyy-mm-dd hh:mm"),INDEX(상세표[시작],$P1660)&amp;""))</f>
        <v/>
      </c>
      <c r="F1660">
        <f>IF($P1660="","",IF(ISNUMBER(INDEX(상세표[블록종료],$P1660)),TEXT(INDEX(상세표[블록종료],$P1660),"yyyy-mm-dd hh:mm"),INDEX(상세표[블록종료],$P1660)&amp;""))</f>
        <v/>
      </c>
      <c r="G1660">
        <f>IF($P1660="","",CHOOSE(WEEKDAY(INDEX(상세표[시작],$P1660)),"일","월","화","수","목","금","토"))</f>
        <v/>
      </c>
      <c r="H1660">
        <f>IF($P1660="","",INDEX(상세표[연속 시간],$P1660))</f>
        <v/>
      </c>
      <c r="I1660">
        <f>IF($P1660="","",INDEX(상세표[기록 수],$P1660))</f>
        <v/>
      </c>
      <c r="J1660">
        <f>IF($P1660="","",INDEX(상세표[블록 06~07시],$P1660))</f>
        <v/>
      </c>
      <c r="K1660">
        <f>IF($P1660="","",INDEX(상세표[블록 07~18시],$P1660))</f>
        <v/>
      </c>
      <c r="L1660">
        <f>IF($P1660="","",INDEX(상세표[블록 18~22시],$P1660))</f>
        <v/>
      </c>
      <c r="M1660">
        <f>IF($P1660="","",INDEX(상세표[블록 22~06시],$P1660))</f>
        <v/>
      </c>
      <c r="N1660">
        <f>IF($P1660="","",INDEX(상세표[주말·휴일 포함],$P1660)&amp;"")</f>
        <v/>
      </c>
      <c r="O1660">
        <f>IF($P1660="","",INDEX(상세표[월 넘김 포함],$P1660)&amp;"")</f>
        <v/>
      </c>
      <c r="P1660" s="4">
        <f>IFERROR(MATCH(1655,상세표[연속순번],0),"")</f>
        <v/>
      </c>
    </row>
    <row r="1661">
      <c r="A1661">
        <f>IF($P1661="","",INDEX(상세표[사번],$P1661)&amp;"")</f>
        <v/>
      </c>
      <c r="B1661">
        <f>IF($P1661="","",INDEX(상세표[성명],$P1661)&amp;"")</f>
        <v/>
      </c>
      <c r="C1661">
        <f>IF($P1661="","",INDEX(상세표[부서],$P1661)&amp;"")</f>
        <v/>
      </c>
      <c r="D1661">
        <f>IF($P1661="","",INDEX(상세표[직위],$P1661)&amp;"")</f>
        <v/>
      </c>
      <c r="E1661">
        <f>IF($P1661="","",IF(ISNUMBER(INDEX(상세표[시작],$P1661)),TEXT(INDEX(상세표[시작],$P1661),"yyyy-mm-dd hh:mm"),INDEX(상세표[시작],$P1661)&amp;""))</f>
        <v/>
      </c>
      <c r="F1661">
        <f>IF($P1661="","",IF(ISNUMBER(INDEX(상세표[블록종료],$P1661)),TEXT(INDEX(상세표[블록종료],$P1661),"yyyy-mm-dd hh:mm"),INDEX(상세표[블록종료],$P1661)&amp;""))</f>
        <v/>
      </c>
      <c r="G1661">
        <f>IF($P1661="","",CHOOSE(WEEKDAY(INDEX(상세표[시작],$P1661)),"일","월","화","수","목","금","토"))</f>
        <v/>
      </c>
      <c r="H1661">
        <f>IF($P1661="","",INDEX(상세표[연속 시간],$P1661))</f>
        <v/>
      </c>
      <c r="I1661">
        <f>IF($P1661="","",INDEX(상세표[기록 수],$P1661))</f>
        <v/>
      </c>
      <c r="J1661">
        <f>IF($P1661="","",INDEX(상세표[블록 06~07시],$P1661))</f>
        <v/>
      </c>
      <c r="K1661">
        <f>IF($P1661="","",INDEX(상세표[블록 07~18시],$P1661))</f>
        <v/>
      </c>
      <c r="L1661">
        <f>IF($P1661="","",INDEX(상세표[블록 18~22시],$P1661))</f>
        <v/>
      </c>
      <c r="M1661">
        <f>IF($P1661="","",INDEX(상세표[블록 22~06시],$P1661))</f>
        <v/>
      </c>
      <c r="N1661">
        <f>IF($P1661="","",INDEX(상세표[주말·휴일 포함],$P1661)&amp;"")</f>
        <v/>
      </c>
      <c r="O1661">
        <f>IF($P1661="","",INDEX(상세표[월 넘김 포함],$P1661)&amp;"")</f>
        <v/>
      </c>
      <c r="P1661" s="4">
        <f>IFERROR(MATCH(1656,상세표[연속순번],0),"")</f>
        <v/>
      </c>
    </row>
    <row r="1662">
      <c r="A1662">
        <f>IF($P1662="","",INDEX(상세표[사번],$P1662)&amp;"")</f>
        <v/>
      </c>
      <c r="B1662">
        <f>IF($P1662="","",INDEX(상세표[성명],$P1662)&amp;"")</f>
        <v/>
      </c>
      <c r="C1662">
        <f>IF($P1662="","",INDEX(상세표[부서],$P1662)&amp;"")</f>
        <v/>
      </c>
      <c r="D1662">
        <f>IF($P1662="","",INDEX(상세표[직위],$P1662)&amp;"")</f>
        <v/>
      </c>
      <c r="E1662">
        <f>IF($P1662="","",IF(ISNUMBER(INDEX(상세표[시작],$P1662)),TEXT(INDEX(상세표[시작],$P1662),"yyyy-mm-dd hh:mm"),INDEX(상세표[시작],$P1662)&amp;""))</f>
        <v/>
      </c>
      <c r="F1662">
        <f>IF($P1662="","",IF(ISNUMBER(INDEX(상세표[블록종료],$P1662)),TEXT(INDEX(상세표[블록종료],$P1662),"yyyy-mm-dd hh:mm"),INDEX(상세표[블록종료],$P1662)&amp;""))</f>
        <v/>
      </c>
      <c r="G1662">
        <f>IF($P1662="","",CHOOSE(WEEKDAY(INDEX(상세표[시작],$P1662)),"일","월","화","수","목","금","토"))</f>
        <v/>
      </c>
      <c r="H1662">
        <f>IF($P1662="","",INDEX(상세표[연속 시간],$P1662))</f>
        <v/>
      </c>
      <c r="I1662">
        <f>IF($P1662="","",INDEX(상세표[기록 수],$P1662))</f>
        <v/>
      </c>
      <c r="J1662">
        <f>IF($P1662="","",INDEX(상세표[블록 06~07시],$P1662))</f>
        <v/>
      </c>
      <c r="K1662">
        <f>IF($P1662="","",INDEX(상세표[블록 07~18시],$P1662))</f>
        <v/>
      </c>
      <c r="L1662">
        <f>IF($P1662="","",INDEX(상세표[블록 18~22시],$P1662))</f>
        <v/>
      </c>
      <c r="M1662">
        <f>IF($P1662="","",INDEX(상세표[블록 22~06시],$P1662))</f>
        <v/>
      </c>
      <c r="N1662">
        <f>IF($P1662="","",INDEX(상세표[주말·휴일 포함],$P1662)&amp;"")</f>
        <v/>
      </c>
      <c r="O1662">
        <f>IF($P1662="","",INDEX(상세표[월 넘김 포함],$P1662)&amp;"")</f>
        <v/>
      </c>
      <c r="P1662" s="4">
        <f>IFERROR(MATCH(1657,상세표[연속순번],0),"")</f>
        <v/>
      </c>
    </row>
    <row r="1663">
      <c r="A1663">
        <f>IF($P1663="","",INDEX(상세표[사번],$P1663)&amp;"")</f>
        <v/>
      </c>
      <c r="B1663">
        <f>IF($P1663="","",INDEX(상세표[성명],$P1663)&amp;"")</f>
        <v/>
      </c>
      <c r="C1663">
        <f>IF($P1663="","",INDEX(상세표[부서],$P1663)&amp;"")</f>
        <v/>
      </c>
      <c r="D1663">
        <f>IF($P1663="","",INDEX(상세표[직위],$P1663)&amp;"")</f>
        <v/>
      </c>
      <c r="E1663">
        <f>IF($P1663="","",IF(ISNUMBER(INDEX(상세표[시작],$P1663)),TEXT(INDEX(상세표[시작],$P1663),"yyyy-mm-dd hh:mm"),INDEX(상세표[시작],$P1663)&amp;""))</f>
        <v/>
      </c>
      <c r="F1663">
        <f>IF($P1663="","",IF(ISNUMBER(INDEX(상세표[블록종료],$P1663)),TEXT(INDEX(상세표[블록종료],$P1663),"yyyy-mm-dd hh:mm"),INDEX(상세표[블록종료],$P1663)&amp;""))</f>
        <v/>
      </c>
      <c r="G1663">
        <f>IF($P1663="","",CHOOSE(WEEKDAY(INDEX(상세표[시작],$P1663)),"일","월","화","수","목","금","토"))</f>
        <v/>
      </c>
      <c r="H1663">
        <f>IF($P1663="","",INDEX(상세표[연속 시간],$P1663))</f>
        <v/>
      </c>
      <c r="I1663">
        <f>IF($P1663="","",INDEX(상세표[기록 수],$P1663))</f>
        <v/>
      </c>
      <c r="J1663">
        <f>IF($P1663="","",INDEX(상세표[블록 06~07시],$P1663))</f>
        <v/>
      </c>
      <c r="K1663">
        <f>IF($P1663="","",INDEX(상세표[블록 07~18시],$P1663))</f>
        <v/>
      </c>
      <c r="L1663">
        <f>IF($P1663="","",INDEX(상세표[블록 18~22시],$P1663))</f>
        <v/>
      </c>
      <c r="M1663">
        <f>IF($P1663="","",INDEX(상세표[블록 22~06시],$P1663))</f>
        <v/>
      </c>
      <c r="N1663">
        <f>IF($P1663="","",INDEX(상세표[주말·휴일 포함],$P1663)&amp;"")</f>
        <v/>
      </c>
      <c r="O1663">
        <f>IF($P1663="","",INDEX(상세표[월 넘김 포함],$P1663)&amp;"")</f>
        <v/>
      </c>
      <c r="P1663" s="4">
        <f>IFERROR(MATCH(1658,상세표[연속순번],0),"")</f>
        <v/>
      </c>
    </row>
    <row r="1664">
      <c r="A1664">
        <f>IF($P1664="","",INDEX(상세표[사번],$P1664)&amp;"")</f>
        <v/>
      </c>
      <c r="B1664">
        <f>IF($P1664="","",INDEX(상세표[성명],$P1664)&amp;"")</f>
        <v/>
      </c>
      <c r="C1664">
        <f>IF($P1664="","",INDEX(상세표[부서],$P1664)&amp;"")</f>
        <v/>
      </c>
      <c r="D1664">
        <f>IF($P1664="","",INDEX(상세표[직위],$P1664)&amp;"")</f>
        <v/>
      </c>
      <c r="E1664">
        <f>IF($P1664="","",IF(ISNUMBER(INDEX(상세표[시작],$P1664)),TEXT(INDEX(상세표[시작],$P1664),"yyyy-mm-dd hh:mm"),INDEX(상세표[시작],$P1664)&amp;""))</f>
        <v/>
      </c>
      <c r="F1664">
        <f>IF($P1664="","",IF(ISNUMBER(INDEX(상세표[블록종료],$P1664)),TEXT(INDEX(상세표[블록종료],$P1664),"yyyy-mm-dd hh:mm"),INDEX(상세표[블록종료],$P1664)&amp;""))</f>
        <v/>
      </c>
      <c r="G1664">
        <f>IF($P1664="","",CHOOSE(WEEKDAY(INDEX(상세표[시작],$P1664)),"일","월","화","수","목","금","토"))</f>
        <v/>
      </c>
      <c r="H1664">
        <f>IF($P1664="","",INDEX(상세표[연속 시간],$P1664))</f>
        <v/>
      </c>
      <c r="I1664">
        <f>IF($P1664="","",INDEX(상세표[기록 수],$P1664))</f>
        <v/>
      </c>
      <c r="J1664">
        <f>IF($P1664="","",INDEX(상세표[블록 06~07시],$P1664))</f>
        <v/>
      </c>
      <c r="K1664">
        <f>IF($P1664="","",INDEX(상세표[블록 07~18시],$P1664))</f>
        <v/>
      </c>
      <c r="L1664">
        <f>IF($P1664="","",INDEX(상세표[블록 18~22시],$P1664))</f>
        <v/>
      </c>
      <c r="M1664">
        <f>IF($P1664="","",INDEX(상세표[블록 22~06시],$P1664))</f>
        <v/>
      </c>
      <c r="N1664">
        <f>IF($P1664="","",INDEX(상세표[주말·휴일 포함],$P1664)&amp;"")</f>
        <v/>
      </c>
      <c r="O1664">
        <f>IF($P1664="","",INDEX(상세표[월 넘김 포함],$P1664)&amp;"")</f>
        <v/>
      </c>
      <c r="P1664" s="4">
        <f>IFERROR(MATCH(1659,상세표[연속순번],0),"")</f>
        <v/>
      </c>
    </row>
    <row r="1665">
      <c r="A1665">
        <f>IF($P1665="","",INDEX(상세표[사번],$P1665)&amp;"")</f>
        <v/>
      </c>
      <c r="B1665">
        <f>IF($P1665="","",INDEX(상세표[성명],$P1665)&amp;"")</f>
        <v/>
      </c>
      <c r="C1665">
        <f>IF($P1665="","",INDEX(상세표[부서],$P1665)&amp;"")</f>
        <v/>
      </c>
      <c r="D1665">
        <f>IF($P1665="","",INDEX(상세표[직위],$P1665)&amp;"")</f>
        <v/>
      </c>
      <c r="E1665">
        <f>IF($P1665="","",IF(ISNUMBER(INDEX(상세표[시작],$P1665)),TEXT(INDEX(상세표[시작],$P1665),"yyyy-mm-dd hh:mm"),INDEX(상세표[시작],$P1665)&amp;""))</f>
        <v/>
      </c>
      <c r="F1665">
        <f>IF($P1665="","",IF(ISNUMBER(INDEX(상세표[블록종료],$P1665)),TEXT(INDEX(상세표[블록종료],$P1665),"yyyy-mm-dd hh:mm"),INDEX(상세표[블록종료],$P1665)&amp;""))</f>
        <v/>
      </c>
      <c r="G1665">
        <f>IF($P1665="","",CHOOSE(WEEKDAY(INDEX(상세표[시작],$P1665)),"일","월","화","수","목","금","토"))</f>
        <v/>
      </c>
      <c r="H1665">
        <f>IF($P1665="","",INDEX(상세표[연속 시간],$P1665))</f>
        <v/>
      </c>
      <c r="I1665">
        <f>IF($P1665="","",INDEX(상세표[기록 수],$P1665))</f>
        <v/>
      </c>
      <c r="J1665">
        <f>IF($P1665="","",INDEX(상세표[블록 06~07시],$P1665))</f>
        <v/>
      </c>
      <c r="K1665">
        <f>IF($P1665="","",INDEX(상세표[블록 07~18시],$P1665))</f>
        <v/>
      </c>
      <c r="L1665">
        <f>IF($P1665="","",INDEX(상세표[블록 18~22시],$P1665))</f>
        <v/>
      </c>
      <c r="M1665">
        <f>IF($P1665="","",INDEX(상세표[블록 22~06시],$P1665))</f>
        <v/>
      </c>
      <c r="N1665">
        <f>IF($P1665="","",INDEX(상세표[주말·휴일 포함],$P1665)&amp;"")</f>
        <v/>
      </c>
      <c r="O1665">
        <f>IF($P1665="","",INDEX(상세표[월 넘김 포함],$P1665)&amp;"")</f>
        <v/>
      </c>
      <c r="P1665" s="4">
        <f>IFERROR(MATCH(1660,상세표[연속순번],0),"")</f>
        <v/>
      </c>
    </row>
    <row r="1666">
      <c r="A1666">
        <f>IF($P1666="","",INDEX(상세표[사번],$P1666)&amp;"")</f>
        <v/>
      </c>
      <c r="B1666">
        <f>IF($P1666="","",INDEX(상세표[성명],$P1666)&amp;"")</f>
        <v/>
      </c>
      <c r="C1666">
        <f>IF($P1666="","",INDEX(상세표[부서],$P1666)&amp;"")</f>
        <v/>
      </c>
      <c r="D1666">
        <f>IF($P1666="","",INDEX(상세표[직위],$P1666)&amp;"")</f>
        <v/>
      </c>
      <c r="E1666">
        <f>IF($P1666="","",IF(ISNUMBER(INDEX(상세표[시작],$P1666)),TEXT(INDEX(상세표[시작],$P1666),"yyyy-mm-dd hh:mm"),INDEX(상세표[시작],$P1666)&amp;""))</f>
        <v/>
      </c>
      <c r="F1666">
        <f>IF($P1666="","",IF(ISNUMBER(INDEX(상세표[블록종료],$P1666)),TEXT(INDEX(상세표[블록종료],$P1666),"yyyy-mm-dd hh:mm"),INDEX(상세표[블록종료],$P1666)&amp;""))</f>
        <v/>
      </c>
      <c r="G1666">
        <f>IF($P1666="","",CHOOSE(WEEKDAY(INDEX(상세표[시작],$P1666)),"일","월","화","수","목","금","토"))</f>
        <v/>
      </c>
      <c r="H1666">
        <f>IF($P1666="","",INDEX(상세표[연속 시간],$P1666))</f>
        <v/>
      </c>
      <c r="I1666">
        <f>IF($P1666="","",INDEX(상세표[기록 수],$P1666))</f>
        <v/>
      </c>
      <c r="J1666">
        <f>IF($P1666="","",INDEX(상세표[블록 06~07시],$P1666))</f>
        <v/>
      </c>
      <c r="K1666">
        <f>IF($P1666="","",INDEX(상세표[블록 07~18시],$P1666))</f>
        <v/>
      </c>
      <c r="L1666">
        <f>IF($P1666="","",INDEX(상세표[블록 18~22시],$P1666))</f>
        <v/>
      </c>
      <c r="M1666">
        <f>IF($P1666="","",INDEX(상세표[블록 22~06시],$P1666))</f>
        <v/>
      </c>
      <c r="N1666">
        <f>IF($P1666="","",INDEX(상세표[주말·휴일 포함],$P1666)&amp;"")</f>
        <v/>
      </c>
      <c r="O1666">
        <f>IF($P1666="","",INDEX(상세표[월 넘김 포함],$P1666)&amp;"")</f>
        <v/>
      </c>
      <c r="P1666" s="4">
        <f>IFERROR(MATCH(1661,상세표[연속순번],0),"")</f>
        <v/>
      </c>
    </row>
    <row r="1667">
      <c r="A1667">
        <f>IF($P1667="","",INDEX(상세표[사번],$P1667)&amp;"")</f>
        <v/>
      </c>
      <c r="B1667">
        <f>IF($P1667="","",INDEX(상세표[성명],$P1667)&amp;"")</f>
        <v/>
      </c>
      <c r="C1667">
        <f>IF($P1667="","",INDEX(상세표[부서],$P1667)&amp;"")</f>
        <v/>
      </c>
      <c r="D1667">
        <f>IF($P1667="","",INDEX(상세표[직위],$P1667)&amp;"")</f>
        <v/>
      </c>
      <c r="E1667">
        <f>IF($P1667="","",IF(ISNUMBER(INDEX(상세표[시작],$P1667)),TEXT(INDEX(상세표[시작],$P1667),"yyyy-mm-dd hh:mm"),INDEX(상세표[시작],$P1667)&amp;""))</f>
        <v/>
      </c>
      <c r="F1667">
        <f>IF($P1667="","",IF(ISNUMBER(INDEX(상세표[블록종료],$P1667)),TEXT(INDEX(상세표[블록종료],$P1667),"yyyy-mm-dd hh:mm"),INDEX(상세표[블록종료],$P1667)&amp;""))</f>
        <v/>
      </c>
      <c r="G1667">
        <f>IF($P1667="","",CHOOSE(WEEKDAY(INDEX(상세표[시작],$P1667)),"일","월","화","수","목","금","토"))</f>
        <v/>
      </c>
      <c r="H1667">
        <f>IF($P1667="","",INDEX(상세표[연속 시간],$P1667))</f>
        <v/>
      </c>
      <c r="I1667">
        <f>IF($P1667="","",INDEX(상세표[기록 수],$P1667))</f>
        <v/>
      </c>
      <c r="J1667">
        <f>IF($P1667="","",INDEX(상세표[블록 06~07시],$P1667))</f>
        <v/>
      </c>
      <c r="K1667">
        <f>IF($P1667="","",INDEX(상세표[블록 07~18시],$P1667))</f>
        <v/>
      </c>
      <c r="L1667">
        <f>IF($P1667="","",INDEX(상세표[블록 18~22시],$P1667))</f>
        <v/>
      </c>
      <c r="M1667">
        <f>IF($P1667="","",INDEX(상세표[블록 22~06시],$P1667))</f>
        <v/>
      </c>
      <c r="N1667">
        <f>IF($P1667="","",INDEX(상세표[주말·휴일 포함],$P1667)&amp;"")</f>
        <v/>
      </c>
      <c r="O1667">
        <f>IF($P1667="","",INDEX(상세표[월 넘김 포함],$P1667)&amp;"")</f>
        <v/>
      </c>
      <c r="P1667" s="4">
        <f>IFERROR(MATCH(1662,상세표[연속순번],0),"")</f>
        <v/>
      </c>
    </row>
    <row r="1668">
      <c r="A1668">
        <f>IF($P1668="","",INDEX(상세표[사번],$P1668)&amp;"")</f>
        <v/>
      </c>
      <c r="B1668">
        <f>IF($P1668="","",INDEX(상세표[성명],$P1668)&amp;"")</f>
        <v/>
      </c>
      <c r="C1668">
        <f>IF($P1668="","",INDEX(상세표[부서],$P1668)&amp;"")</f>
        <v/>
      </c>
      <c r="D1668">
        <f>IF($P1668="","",INDEX(상세표[직위],$P1668)&amp;"")</f>
        <v/>
      </c>
      <c r="E1668">
        <f>IF($P1668="","",IF(ISNUMBER(INDEX(상세표[시작],$P1668)),TEXT(INDEX(상세표[시작],$P1668),"yyyy-mm-dd hh:mm"),INDEX(상세표[시작],$P1668)&amp;""))</f>
        <v/>
      </c>
      <c r="F1668">
        <f>IF($P1668="","",IF(ISNUMBER(INDEX(상세표[블록종료],$P1668)),TEXT(INDEX(상세표[블록종료],$P1668),"yyyy-mm-dd hh:mm"),INDEX(상세표[블록종료],$P1668)&amp;""))</f>
        <v/>
      </c>
      <c r="G1668">
        <f>IF($P1668="","",CHOOSE(WEEKDAY(INDEX(상세표[시작],$P1668)),"일","월","화","수","목","금","토"))</f>
        <v/>
      </c>
      <c r="H1668">
        <f>IF($P1668="","",INDEX(상세표[연속 시간],$P1668))</f>
        <v/>
      </c>
      <c r="I1668">
        <f>IF($P1668="","",INDEX(상세표[기록 수],$P1668))</f>
        <v/>
      </c>
      <c r="J1668">
        <f>IF($P1668="","",INDEX(상세표[블록 06~07시],$P1668))</f>
        <v/>
      </c>
      <c r="K1668">
        <f>IF($P1668="","",INDEX(상세표[블록 07~18시],$P1668))</f>
        <v/>
      </c>
      <c r="L1668">
        <f>IF($P1668="","",INDEX(상세표[블록 18~22시],$P1668))</f>
        <v/>
      </c>
      <c r="M1668">
        <f>IF($P1668="","",INDEX(상세표[블록 22~06시],$P1668))</f>
        <v/>
      </c>
      <c r="N1668">
        <f>IF($P1668="","",INDEX(상세표[주말·휴일 포함],$P1668)&amp;"")</f>
        <v/>
      </c>
      <c r="O1668">
        <f>IF($P1668="","",INDEX(상세표[월 넘김 포함],$P1668)&amp;"")</f>
        <v/>
      </c>
      <c r="P1668" s="4">
        <f>IFERROR(MATCH(1663,상세표[연속순번],0),"")</f>
        <v/>
      </c>
    </row>
    <row r="1669">
      <c r="A1669">
        <f>IF($P1669="","",INDEX(상세표[사번],$P1669)&amp;"")</f>
        <v/>
      </c>
      <c r="B1669">
        <f>IF($P1669="","",INDEX(상세표[성명],$P1669)&amp;"")</f>
        <v/>
      </c>
      <c r="C1669">
        <f>IF($P1669="","",INDEX(상세표[부서],$P1669)&amp;"")</f>
        <v/>
      </c>
      <c r="D1669">
        <f>IF($P1669="","",INDEX(상세표[직위],$P1669)&amp;"")</f>
        <v/>
      </c>
      <c r="E1669">
        <f>IF($P1669="","",IF(ISNUMBER(INDEX(상세표[시작],$P1669)),TEXT(INDEX(상세표[시작],$P1669),"yyyy-mm-dd hh:mm"),INDEX(상세표[시작],$P1669)&amp;""))</f>
        <v/>
      </c>
      <c r="F1669">
        <f>IF($P1669="","",IF(ISNUMBER(INDEX(상세표[블록종료],$P1669)),TEXT(INDEX(상세표[블록종료],$P1669),"yyyy-mm-dd hh:mm"),INDEX(상세표[블록종료],$P1669)&amp;""))</f>
        <v/>
      </c>
      <c r="G1669">
        <f>IF($P1669="","",CHOOSE(WEEKDAY(INDEX(상세표[시작],$P1669)),"일","월","화","수","목","금","토"))</f>
        <v/>
      </c>
      <c r="H1669">
        <f>IF($P1669="","",INDEX(상세표[연속 시간],$P1669))</f>
        <v/>
      </c>
      <c r="I1669">
        <f>IF($P1669="","",INDEX(상세표[기록 수],$P1669))</f>
        <v/>
      </c>
      <c r="J1669">
        <f>IF($P1669="","",INDEX(상세표[블록 06~07시],$P1669))</f>
        <v/>
      </c>
      <c r="K1669">
        <f>IF($P1669="","",INDEX(상세표[블록 07~18시],$P1669))</f>
        <v/>
      </c>
      <c r="L1669">
        <f>IF($P1669="","",INDEX(상세표[블록 18~22시],$P1669))</f>
        <v/>
      </c>
      <c r="M1669">
        <f>IF($P1669="","",INDEX(상세표[블록 22~06시],$P1669))</f>
        <v/>
      </c>
      <c r="N1669">
        <f>IF($P1669="","",INDEX(상세표[주말·휴일 포함],$P1669)&amp;"")</f>
        <v/>
      </c>
      <c r="O1669">
        <f>IF($P1669="","",INDEX(상세표[월 넘김 포함],$P1669)&amp;"")</f>
        <v/>
      </c>
      <c r="P1669" s="4">
        <f>IFERROR(MATCH(1664,상세표[연속순번],0),"")</f>
        <v/>
      </c>
    </row>
    <row r="1670">
      <c r="A1670">
        <f>IF($P1670="","",INDEX(상세표[사번],$P1670)&amp;"")</f>
        <v/>
      </c>
      <c r="B1670">
        <f>IF($P1670="","",INDEX(상세표[성명],$P1670)&amp;"")</f>
        <v/>
      </c>
      <c r="C1670">
        <f>IF($P1670="","",INDEX(상세표[부서],$P1670)&amp;"")</f>
        <v/>
      </c>
      <c r="D1670">
        <f>IF($P1670="","",INDEX(상세표[직위],$P1670)&amp;"")</f>
        <v/>
      </c>
      <c r="E1670">
        <f>IF($P1670="","",IF(ISNUMBER(INDEX(상세표[시작],$P1670)),TEXT(INDEX(상세표[시작],$P1670),"yyyy-mm-dd hh:mm"),INDEX(상세표[시작],$P1670)&amp;""))</f>
        <v/>
      </c>
      <c r="F1670">
        <f>IF($P1670="","",IF(ISNUMBER(INDEX(상세표[블록종료],$P1670)),TEXT(INDEX(상세표[블록종료],$P1670),"yyyy-mm-dd hh:mm"),INDEX(상세표[블록종료],$P1670)&amp;""))</f>
        <v/>
      </c>
      <c r="G1670">
        <f>IF($P1670="","",CHOOSE(WEEKDAY(INDEX(상세표[시작],$P1670)),"일","월","화","수","목","금","토"))</f>
        <v/>
      </c>
      <c r="H1670">
        <f>IF($P1670="","",INDEX(상세표[연속 시간],$P1670))</f>
        <v/>
      </c>
      <c r="I1670">
        <f>IF($P1670="","",INDEX(상세표[기록 수],$P1670))</f>
        <v/>
      </c>
      <c r="J1670">
        <f>IF($P1670="","",INDEX(상세표[블록 06~07시],$P1670))</f>
        <v/>
      </c>
      <c r="K1670">
        <f>IF($P1670="","",INDEX(상세표[블록 07~18시],$P1670))</f>
        <v/>
      </c>
      <c r="L1670">
        <f>IF($P1670="","",INDEX(상세표[블록 18~22시],$P1670))</f>
        <v/>
      </c>
      <c r="M1670">
        <f>IF($P1670="","",INDEX(상세표[블록 22~06시],$P1670))</f>
        <v/>
      </c>
      <c r="N1670">
        <f>IF($P1670="","",INDEX(상세표[주말·휴일 포함],$P1670)&amp;"")</f>
        <v/>
      </c>
      <c r="O1670">
        <f>IF($P1670="","",INDEX(상세표[월 넘김 포함],$P1670)&amp;"")</f>
        <v/>
      </c>
      <c r="P1670" s="4">
        <f>IFERROR(MATCH(1665,상세표[연속순번],0),"")</f>
        <v/>
      </c>
    </row>
    <row r="1671">
      <c r="A1671">
        <f>IF($P1671="","",INDEX(상세표[사번],$P1671)&amp;"")</f>
        <v/>
      </c>
      <c r="B1671">
        <f>IF($P1671="","",INDEX(상세표[성명],$P1671)&amp;"")</f>
        <v/>
      </c>
      <c r="C1671">
        <f>IF($P1671="","",INDEX(상세표[부서],$P1671)&amp;"")</f>
        <v/>
      </c>
      <c r="D1671">
        <f>IF($P1671="","",INDEX(상세표[직위],$P1671)&amp;"")</f>
        <v/>
      </c>
      <c r="E1671">
        <f>IF($P1671="","",IF(ISNUMBER(INDEX(상세표[시작],$P1671)),TEXT(INDEX(상세표[시작],$P1671),"yyyy-mm-dd hh:mm"),INDEX(상세표[시작],$P1671)&amp;""))</f>
        <v/>
      </c>
      <c r="F1671">
        <f>IF($P1671="","",IF(ISNUMBER(INDEX(상세표[블록종료],$P1671)),TEXT(INDEX(상세표[블록종료],$P1671),"yyyy-mm-dd hh:mm"),INDEX(상세표[블록종료],$P1671)&amp;""))</f>
        <v/>
      </c>
      <c r="G1671">
        <f>IF($P1671="","",CHOOSE(WEEKDAY(INDEX(상세표[시작],$P1671)),"일","월","화","수","목","금","토"))</f>
        <v/>
      </c>
      <c r="H1671">
        <f>IF($P1671="","",INDEX(상세표[연속 시간],$P1671))</f>
        <v/>
      </c>
      <c r="I1671">
        <f>IF($P1671="","",INDEX(상세표[기록 수],$P1671))</f>
        <v/>
      </c>
      <c r="J1671">
        <f>IF($P1671="","",INDEX(상세표[블록 06~07시],$P1671))</f>
        <v/>
      </c>
      <c r="K1671">
        <f>IF($P1671="","",INDEX(상세표[블록 07~18시],$P1671))</f>
        <v/>
      </c>
      <c r="L1671">
        <f>IF($P1671="","",INDEX(상세표[블록 18~22시],$P1671))</f>
        <v/>
      </c>
      <c r="M1671">
        <f>IF($P1671="","",INDEX(상세표[블록 22~06시],$P1671))</f>
        <v/>
      </c>
      <c r="N1671">
        <f>IF($P1671="","",INDEX(상세표[주말·휴일 포함],$P1671)&amp;"")</f>
        <v/>
      </c>
      <c r="O1671">
        <f>IF($P1671="","",INDEX(상세표[월 넘김 포함],$P1671)&amp;"")</f>
        <v/>
      </c>
      <c r="P1671" s="4">
        <f>IFERROR(MATCH(1666,상세표[연속순번],0),"")</f>
        <v/>
      </c>
    </row>
    <row r="1672">
      <c r="A1672">
        <f>IF($P1672="","",INDEX(상세표[사번],$P1672)&amp;"")</f>
        <v/>
      </c>
      <c r="B1672">
        <f>IF($P1672="","",INDEX(상세표[성명],$P1672)&amp;"")</f>
        <v/>
      </c>
      <c r="C1672">
        <f>IF($P1672="","",INDEX(상세표[부서],$P1672)&amp;"")</f>
        <v/>
      </c>
      <c r="D1672">
        <f>IF($P1672="","",INDEX(상세표[직위],$P1672)&amp;"")</f>
        <v/>
      </c>
      <c r="E1672">
        <f>IF($P1672="","",IF(ISNUMBER(INDEX(상세표[시작],$P1672)),TEXT(INDEX(상세표[시작],$P1672),"yyyy-mm-dd hh:mm"),INDEX(상세표[시작],$P1672)&amp;""))</f>
        <v/>
      </c>
      <c r="F1672">
        <f>IF($P1672="","",IF(ISNUMBER(INDEX(상세표[블록종료],$P1672)),TEXT(INDEX(상세표[블록종료],$P1672),"yyyy-mm-dd hh:mm"),INDEX(상세표[블록종료],$P1672)&amp;""))</f>
        <v/>
      </c>
      <c r="G1672">
        <f>IF($P1672="","",CHOOSE(WEEKDAY(INDEX(상세표[시작],$P1672)),"일","월","화","수","목","금","토"))</f>
        <v/>
      </c>
      <c r="H1672">
        <f>IF($P1672="","",INDEX(상세표[연속 시간],$P1672))</f>
        <v/>
      </c>
      <c r="I1672">
        <f>IF($P1672="","",INDEX(상세표[기록 수],$P1672))</f>
        <v/>
      </c>
      <c r="J1672">
        <f>IF($P1672="","",INDEX(상세표[블록 06~07시],$P1672))</f>
        <v/>
      </c>
      <c r="K1672">
        <f>IF($P1672="","",INDEX(상세표[블록 07~18시],$P1672))</f>
        <v/>
      </c>
      <c r="L1672">
        <f>IF($P1672="","",INDEX(상세표[블록 18~22시],$P1672))</f>
        <v/>
      </c>
      <c r="M1672">
        <f>IF($P1672="","",INDEX(상세표[블록 22~06시],$P1672))</f>
        <v/>
      </c>
      <c r="N1672">
        <f>IF($P1672="","",INDEX(상세표[주말·휴일 포함],$P1672)&amp;"")</f>
        <v/>
      </c>
      <c r="O1672">
        <f>IF($P1672="","",INDEX(상세표[월 넘김 포함],$P1672)&amp;"")</f>
        <v/>
      </c>
      <c r="P1672" s="4">
        <f>IFERROR(MATCH(1667,상세표[연속순번],0),"")</f>
        <v/>
      </c>
    </row>
    <row r="1673">
      <c r="A1673">
        <f>IF($P1673="","",INDEX(상세표[사번],$P1673)&amp;"")</f>
        <v/>
      </c>
      <c r="B1673">
        <f>IF($P1673="","",INDEX(상세표[성명],$P1673)&amp;"")</f>
        <v/>
      </c>
      <c r="C1673">
        <f>IF($P1673="","",INDEX(상세표[부서],$P1673)&amp;"")</f>
        <v/>
      </c>
      <c r="D1673">
        <f>IF($P1673="","",INDEX(상세표[직위],$P1673)&amp;"")</f>
        <v/>
      </c>
      <c r="E1673">
        <f>IF($P1673="","",IF(ISNUMBER(INDEX(상세표[시작],$P1673)),TEXT(INDEX(상세표[시작],$P1673),"yyyy-mm-dd hh:mm"),INDEX(상세표[시작],$P1673)&amp;""))</f>
        <v/>
      </c>
      <c r="F1673">
        <f>IF($P1673="","",IF(ISNUMBER(INDEX(상세표[블록종료],$P1673)),TEXT(INDEX(상세표[블록종료],$P1673),"yyyy-mm-dd hh:mm"),INDEX(상세표[블록종료],$P1673)&amp;""))</f>
        <v/>
      </c>
      <c r="G1673">
        <f>IF($P1673="","",CHOOSE(WEEKDAY(INDEX(상세표[시작],$P1673)),"일","월","화","수","목","금","토"))</f>
        <v/>
      </c>
      <c r="H1673">
        <f>IF($P1673="","",INDEX(상세표[연속 시간],$P1673))</f>
        <v/>
      </c>
      <c r="I1673">
        <f>IF($P1673="","",INDEX(상세표[기록 수],$P1673))</f>
        <v/>
      </c>
      <c r="J1673">
        <f>IF($P1673="","",INDEX(상세표[블록 06~07시],$P1673))</f>
        <v/>
      </c>
      <c r="K1673">
        <f>IF($P1673="","",INDEX(상세표[블록 07~18시],$P1673))</f>
        <v/>
      </c>
      <c r="L1673">
        <f>IF($P1673="","",INDEX(상세표[블록 18~22시],$P1673))</f>
        <v/>
      </c>
      <c r="M1673">
        <f>IF($P1673="","",INDEX(상세표[블록 22~06시],$P1673))</f>
        <v/>
      </c>
      <c r="N1673">
        <f>IF($P1673="","",INDEX(상세표[주말·휴일 포함],$P1673)&amp;"")</f>
        <v/>
      </c>
      <c r="O1673">
        <f>IF($P1673="","",INDEX(상세표[월 넘김 포함],$P1673)&amp;"")</f>
        <v/>
      </c>
      <c r="P1673" s="4">
        <f>IFERROR(MATCH(1668,상세표[연속순번],0),"")</f>
        <v/>
      </c>
    </row>
    <row r="1674">
      <c r="A1674">
        <f>IF($P1674="","",INDEX(상세표[사번],$P1674)&amp;"")</f>
        <v/>
      </c>
      <c r="B1674">
        <f>IF($P1674="","",INDEX(상세표[성명],$P1674)&amp;"")</f>
        <v/>
      </c>
      <c r="C1674">
        <f>IF($P1674="","",INDEX(상세표[부서],$P1674)&amp;"")</f>
        <v/>
      </c>
      <c r="D1674">
        <f>IF($P1674="","",INDEX(상세표[직위],$P1674)&amp;"")</f>
        <v/>
      </c>
      <c r="E1674">
        <f>IF($P1674="","",IF(ISNUMBER(INDEX(상세표[시작],$P1674)),TEXT(INDEX(상세표[시작],$P1674),"yyyy-mm-dd hh:mm"),INDEX(상세표[시작],$P1674)&amp;""))</f>
        <v/>
      </c>
      <c r="F1674">
        <f>IF($P1674="","",IF(ISNUMBER(INDEX(상세표[블록종료],$P1674)),TEXT(INDEX(상세표[블록종료],$P1674),"yyyy-mm-dd hh:mm"),INDEX(상세표[블록종료],$P1674)&amp;""))</f>
        <v/>
      </c>
      <c r="G1674">
        <f>IF($P1674="","",CHOOSE(WEEKDAY(INDEX(상세표[시작],$P1674)),"일","월","화","수","목","금","토"))</f>
        <v/>
      </c>
      <c r="H1674">
        <f>IF($P1674="","",INDEX(상세표[연속 시간],$P1674))</f>
        <v/>
      </c>
      <c r="I1674">
        <f>IF($P1674="","",INDEX(상세표[기록 수],$P1674))</f>
        <v/>
      </c>
      <c r="J1674">
        <f>IF($P1674="","",INDEX(상세표[블록 06~07시],$P1674))</f>
        <v/>
      </c>
      <c r="K1674">
        <f>IF($P1674="","",INDEX(상세표[블록 07~18시],$P1674))</f>
        <v/>
      </c>
      <c r="L1674">
        <f>IF($P1674="","",INDEX(상세표[블록 18~22시],$P1674))</f>
        <v/>
      </c>
      <c r="M1674">
        <f>IF($P1674="","",INDEX(상세표[블록 22~06시],$P1674))</f>
        <v/>
      </c>
      <c r="N1674">
        <f>IF($P1674="","",INDEX(상세표[주말·휴일 포함],$P1674)&amp;"")</f>
        <v/>
      </c>
      <c r="O1674">
        <f>IF($P1674="","",INDEX(상세표[월 넘김 포함],$P1674)&amp;"")</f>
        <v/>
      </c>
      <c r="P1674" s="4">
        <f>IFERROR(MATCH(1669,상세표[연속순번],0),"")</f>
        <v/>
      </c>
    </row>
    <row r="1675">
      <c r="A1675">
        <f>IF($P1675="","",INDEX(상세표[사번],$P1675)&amp;"")</f>
        <v/>
      </c>
      <c r="B1675">
        <f>IF($P1675="","",INDEX(상세표[성명],$P1675)&amp;"")</f>
        <v/>
      </c>
      <c r="C1675">
        <f>IF($P1675="","",INDEX(상세표[부서],$P1675)&amp;"")</f>
        <v/>
      </c>
      <c r="D1675">
        <f>IF($P1675="","",INDEX(상세표[직위],$P1675)&amp;"")</f>
        <v/>
      </c>
      <c r="E1675">
        <f>IF($P1675="","",IF(ISNUMBER(INDEX(상세표[시작],$P1675)),TEXT(INDEX(상세표[시작],$P1675),"yyyy-mm-dd hh:mm"),INDEX(상세표[시작],$P1675)&amp;""))</f>
        <v/>
      </c>
      <c r="F1675">
        <f>IF($P1675="","",IF(ISNUMBER(INDEX(상세표[블록종료],$P1675)),TEXT(INDEX(상세표[블록종료],$P1675),"yyyy-mm-dd hh:mm"),INDEX(상세표[블록종료],$P1675)&amp;""))</f>
        <v/>
      </c>
      <c r="G1675">
        <f>IF($P1675="","",CHOOSE(WEEKDAY(INDEX(상세표[시작],$P1675)),"일","월","화","수","목","금","토"))</f>
        <v/>
      </c>
      <c r="H1675">
        <f>IF($P1675="","",INDEX(상세표[연속 시간],$P1675))</f>
        <v/>
      </c>
      <c r="I1675">
        <f>IF($P1675="","",INDEX(상세표[기록 수],$P1675))</f>
        <v/>
      </c>
      <c r="J1675">
        <f>IF($P1675="","",INDEX(상세표[블록 06~07시],$P1675))</f>
        <v/>
      </c>
      <c r="K1675">
        <f>IF($P1675="","",INDEX(상세표[블록 07~18시],$P1675))</f>
        <v/>
      </c>
      <c r="L1675">
        <f>IF($P1675="","",INDEX(상세표[블록 18~22시],$P1675))</f>
        <v/>
      </c>
      <c r="M1675">
        <f>IF($P1675="","",INDEX(상세표[블록 22~06시],$P1675))</f>
        <v/>
      </c>
      <c r="N1675">
        <f>IF($P1675="","",INDEX(상세표[주말·휴일 포함],$P1675)&amp;"")</f>
        <v/>
      </c>
      <c r="O1675">
        <f>IF($P1675="","",INDEX(상세표[월 넘김 포함],$P1675)&amp;"")</f>
        <v/>
      </c>
      <c r="P1675" s="4">
        <f>IFERROR(MATCH(1670,상세표[연속순번],0),"")</f>
        <v/>
      </c>
    </row>
    <row r="1676">
      <c r="A1676">
        <f>IF($P1676="","",INDEX(상세표[사번],$P1676)&amp;"")</f>
        <v/>
      </c>
      <c r="B1676">
        <f>IF($P1676="","",INDEX(상세표[성명],$P1676)&amp;"")</f>
        <v/>
      </c>
      <c r="C1676">
        <f>IF($P1676="","",INDEX(상세표[부서],$P1676)&amp;"")</f>
        <v/>
      </c>
      <c r="D1676">
        <f>IF($P1676="","",INDEX(상세표[직위],$P1676)&amp;"")</f>
        <v/>
      </c>
      <c r="E1676">
        <f>IF($P1676="","",IF(ISNUMBER(INDEX(상세표[시작],$P1676)),TEXT(INDEX(상세표[시작],$P1676),"yyyy-mm-dd hh:mm"),INDEX(상세표[시작],$P1676)&amp;""))</f>
        <v/>
      </c>
      <c r="F1676">
        <f>IF($P1676="","",IF(ISNUMBER(INDEX(상세표[블록종료],$P1676)),TEXT(INDEX(상세표[블록종료],$P1676),"yyyy-mm-dd hh:mm"),INDEX(상세표[블록종료],$P1676)&amp;""))</f>
        <v/>
      </c>
      <c r="G1676">
        <f>IF($P1676="","",CHOOSE(WEEKDAY(INDEX(상세표[시작],$P1676)),"일","월","화","수","목","금","토"))</f>
        <v/>
      </c>
      <c r="H1676">
        <f>IF($P1676="","",INDEX(상세표[연속 시간],$P1676))</f>
        <v/>
      </c>
      <c r="I1676">
        <f>IF($P1676="","",INDEX(상세표[기록 수],$P1676))</f>
        <v/>
      </c>
      <c r="J1676">
        <f>IF($P1676="","",INDEX(상세표[블록 06~07시],$P1676))</f>
        <v/>
      </c>
      <c r="K1676">
        <f>IF($P1676="","",INDEX(상세표[블록 07~18시],$P1676))</f>
        <v/>
      </c>
      <c r="L1676">
        <f>IF($P1676="","",INDEX(상세표[블록 18~22시],$P1676))</f>
        <v/>
      </c>
      <c r="M1676">
        <f>IF($P1676="","",INDEX(상세표[블록 22~06시],$P1676))</f>
        <v/>
      </c>
      <c r="N1676">
        <f>IF($P1676="","",INDEX(상세표[주말·휴일 포함],$P1676)&amp;"")</f>
        <v/>
      </c>
      <c r="O1676">
        <f>IF($P1676="","",INDEX(상세표[월 넘김 포함],$P1676)&amp;"")</f>
        <v/>
      </c>
      <c r="P1676" s="4">
        <f>IFERROR(MATCH(1671,상세표[연속순번],0),"")</f>
        <v/>
      </c>
    </row>
    <row r="1677">
      <c r="A1677">
        <f>IF($P1677="","",INDEX(상세표[사번],$P1677)&amp;"")</f>
        <v/>
      </c>
      <c r="B1677">
        <f>IF($P1677="","",INDEX(상세표[성명],$P1677)&amp;"")</f>
        <v/>
      </c>
      <c r="C1677">
        <f>IF($P1677="","",INDEX(상세표[부서],$P1677)&amp;"")</f>
        <v/>
      </c>
      <c r="D1677">
        <f>IF($P1677="","",INDEX(상세표[직위],$P1677)&amp;"")</f>
        <v/>
      </c>
      <c r="E1677">
        <f>IF($P1677="","",IF(ISNUMBER(INDEX(상세표[시작],$P1677)),TEXT(INDEX(상세표[시작],$P1677),"yyyy-mm-dd hh:mm"),INDEX(상세표[시작],$P1677)&amp;""))</f>
        <v/>
      </c>
      <c r="F1677">
        <f>IF($P1677="","",IF(ISNUMBER(INDEX(상세표[블록종료],$P1677)),TEXT(INDEX(상세표[블록종료],$P1677),"yyyy-mm-dd hh:mm"),INDEX(상세표[블록종료],$P1677)&amp;""))</f>
        <v/>
      </c>
      <c r="G1677">
        <f>IF($P1677="","",CHOOSE(WEEKDAY(INDEX(상세표[시작],$P1677)),"일","월","화","수","목","금","토"))</f>
        <v/>
      </c>
      <c r="H1677">
        <f>IF($P1677="","",INDEX(상세표[연속 시간],$P1677))</f>
        <v/>
      </c>
      <c r="I1677">
        <f>IF($P1677="","",INDEX(상세표[기록 수],$P1677))</f>
        <v/>
      </c>
      <c r="J1677">
        <f>IF($P1677="","",INDEX(상세표[블록 06~07시],$P1677))</f>
        <v/>
      </c>
      <c r="K1677">
        <f>IF($P1677="","",INDEX(상세표[블록 07~18시],$P1677))</f>
        <v/>
      </c>
      <c r="L1677">
        <f>IF($P1677="","",INDEX(상세표[블록 18~22시],$P1677))</f>
        <v/>
      </c>
      <c r="M1677">
        <f>IF($P1677="","",INDEX(상세표[블록 22~06시],$P1677))</f>
        <v/>
      </c>
      <c r="N1677">
        <f>IF($P1677="","",INDEX(상세표[주말·휴일 포함],$P1677)&amp;"")</f>
        <v/>
      </c>
      <c r="O1677">
        <f>IF($P1677="","",INDEX(상세표[월 넘김 포함],$P1677)&amp;"")</f>
        <v/>
      </c>
      <c r="P1677" s="4">
        <f>IFERROR(MATCH(1672,상세표[연속순번],0),"")</f>
        <v/>
      </c>
    </row>
    <row r="1678">
      <c r="A1678">
        <f>IF($P1678="","",INDEX(상세표[사번],$P1678)&amp;"")</f>
        <v/>
      </c>
      <c r="B1678">
        <f>IF($P1678="","",INDEX(상세표[성명],$P1678)&amp;"")</f>
        <v/>
      </c>
      <c r="C1678">
        <f>IF($P1678="","",INDEX(상세표[부서],$P1678)&amp;"")</f>
        <v/>
      </c>
      <c r="D1678">
        <f>IF($P1678="","",INDEX(상세표[직위],$P1678)&amp;"")</f>
        <v/>
      </c>
      <c r="E1678">
        <f>IF($P1678="","",IF(ISNUMBER(INDEX(상세표[시작],$P1678)),TEXT(INDEX(상세표[시작],$P1678),"yyyy-mm-dd hh:mm"),INDEX(상세표[시작],$P1678)&amp;""))</f>
        <v/>
      </c>
      <c r="F1678">
        <f>IF($P1678="","",IF(ISNUMBER(INDEX(상세표[블록종료],$P1678)),TEXT(INDEX(상세표[블록종료],$P1678),"yyyy-mm-dd hh:mm"),INDEX(상세표[블록종료],$P1678)&amp;""))</f>
        <v/>
      </c>
      <c r="G1678">
        <f>IF($P1678="","",CHOOSE(WEEKDAY(INDEX(상세표[시작],$P1678)),"일","월","화","수","목","금","토"))</f>
        <v/>
      </c>
      <c r="H1678">
        <f>IF($P1678="","",INDEX(상세표[연속 시간],$P1678))</f>
        <v/>
      </c>
      <c r="I1678">
        <f>IF($P1678="","",INDEX(상세표[기록 수],$P1678))</f>
        <v/>
      </c>
      <c r="J1678">
        <f>IF($P1678="","",INDEX(상세표[블록 06~07시],$P1678))</f>
        <v/>
      </c>
      <c r="K1678">
        <f>IF($P1678="","",INDEX(상세표[블록 07~18시],$P1678))</f>
        <v/>
      </c>
      <c r="L1678">
        <f>IF($P1678="","",INDEX(상세표[블록 18~22시],$P1678))</f>
        <v/>
      </c>
      <c r="M1678">
        <f>IF($P1678="","",INDEX(상세표[블록 22~06시],$P1678))</f>
        <v/>
      </c>
      <c r="N1678">
        <f>IF($P1678="","",INDEX(상세표[주말·휴일 포함],$P1678)&amp;"")</f>
        <v/>
      </c>
      <c r="O1678">
        <f>IF($P1678="","",INDEX(상세표[월 넘김 포함],$P1678)&amp;"")</f>
        <v/>
      </c>
      <c r="P1678" s="4">
        <f>IFERROR(MATCH(1673,상세표[연속순번],0),"")</f>
        <v/>
      </c>
    </row>
    <row r="1679">
      <c r="A1679">
        <f>IF($P1679="","",INDEX(상세표[사번],$P1679)&amp;"")</f>
        <v/>
      </c>
      <c r="B1679">
        <f>IF($P1679="","",INDEX(상세표[성명],$P1679)&amp;"")</f>
        <v/>
      </c>
      <c r="C1679">
        <f>IF($P1679="","",INDEX(상세표[부서],$P1679)&amp;"")</f>
        <v/>
      </c>
      <c r="D1679">
        <f>IF($P1679="","",INDEX(상세표[직위],$P1679)&amp;"")</f>
        <v/>
      </c>
      <c r="E1679">
        <f>IF($P1679="","",IF(ISNUMBER(INDEX(상세표[시작],$P1679)),TEXT(INDEX(상세표[시작],$P1679),"yyyy-mm-dd hh:mm"),INDEX(상세표[시작],$P1679)&amp;""))</f>
        <v/>
      </c>
      <c r="F1679">
        <f>IF($P1679="","",IF(ISNUMBER(INDEX(상세표[블록종료],$P1679)),TEXT(INDEX(상세표[블록종료],$P1679),"yyyy-mm-dd hh:mm"),INDEX(상세표[블록종료],$P1679)&amp;""))</f>
        <v/>
      </c>
      <c r="G1679">
        <f>IF($P1679="","",CHOOSE(WEEKDAY(INDEX(상세표[시작],$P1679)),"일","월","화","수","목","금","토"))</f>
        <v/>
      </c>
      <c r="H1679">
        <f>IF($P1679="","",INDEX(상세표[연속 시간],$P1679))</f>
        <v/>
      </c>
      <c r="I1679">
        <f>IF($P1679="","",INDEX(상세표[기록 수],$P1679))</f>
        <v/>
      </c>
      <c r="J1679">
        <f>IF($P1679="","",INDEX(상세표[블록 06~07시],$P1679))</f>
        <v/>
      </c>
      <c r="K1679">
        <f>IF($P1679="","",INDEX(상세표[블록 07~18시],$P1679))</f>
        <v/>
      </c>
      <c r="L1679">
        <f>IF($P1679="","",INDEX(상세표[블록 18~22시],$P1679))</f>
        <v/>
      </c>
      <c r="M1679">
        <f>IF($P1679="","",INDEX(상세표[블록 22~06시],$P1679))</f>
        <v/>
      </c>
      <c r="N1679">
        <f>IF($P1679="","",INDEX(상세표[주말·휴일 포함],$P1679)&amp;"")</f>
        <v/>
      </c>
      <c r="O1679">
        <f>IF($P1679="","",INDEX(상세표[월 넘김 포함],$P1679)&amp;"")</f>
        <v/>
      </c>
      <c r="P1679" s="4">
        <f>IFERROR(MATCH(1674,상세표[연속순번],0),"")</f>
        <v/>
      </c>
    </row>
    <row r="1680">
      <c r="A1680">
        <f>IF($P1680="","",INDEX(상세표[사번],$P1680)&amp;"")</f>
        <v/>
      </c>
      <c r="B1680">
        <f>IF($P1680="","",INDEX(상세표[성명],$P1680)&amp;"")</f>
        <v/>
      </c>
      <c r="C1680">
        <f>IF($P1680="","",INDEX(상세표[부서],$P1680)&amp;"")</f>
        <v/>
      </c>
      <c r="D1680">
        <f>IF($P1680="","",INDEX(상세표[직위],$P1680)&amp;"")</f>
        <v/>
      </c>
      <c r="E1680">
        <f>IF($P1680="","",IF(ISNUMBER(INDEX(상세표[시작],$P1680)),TEXT(INDEX(상세표[시작],$P1680),"yyyy-mm-dd hh:mm"),INDEX(상세표[시작],$P1680)&amp;""))</f>
        <v/>
      </c>
      <c r="F1680">
        <f>IF($P1680="","",IF(ISNUMBER(INDEX(상세표[블록종료],$P1680)),TEXT(INDEX(상세표[블록종료],$P1680),"yyyy-mm-dd hh:mm"),INDEX(상세표[블록종료],$P1680)&amp;""))</f>
        <v/>
      </c>
      <c r="G1680">
        <f>IF($P1680="","",CHOOSE(WEEKDAY(INDEX(상세표[시작],$P1680)),"일","월","화","수","목","금","토"))</f>
        <v/>
      </c>
      <c r="H1680">
        <f>IF($P1680="","",INDEX(상세표[연속 시간],$P1680))</f>
        <v/>
      </c>
      <c r="I1680">
        <f>IF($P1680="","",INDEX(상세표[기록 수],$P1680))</f>
        <v/>
      </c>
      <c r="J1680">
        <f>IF($P1680="","",INDEX(상세표[블록 06~07시],$P1680))</f>
        <v/>
      </c>
      <c r="K1680">
        <f>IF($P1680="","",INDEX(상세표[블록 07~18시],$P1680))</f>
        <v/>
      </c>
      <c r="L1680">
        <f>IF($P1680="","",INDEX(상세표[블록 18~22시],$P1680))</f>
        <v/>
      </c>
      <c r="M1680">
        <f>IF($P1680="","",INDEX(상세표[블록 22~06시],$P1680))</f>
        <v/>
      </c>
      <c r="N1680">
        <f>IF($P1680="","",INDEX(상세표[주말·휴일 포함],$P1680)&amp;"")</f>
        <v/>
      </c>
      <c r="O1680">
        <f>IF($P1680="","",INDEX(상세표[월 넘김 포함],$P1680)&amp;"")</f>
        <v/>
      </c>
      <c r="P1680" s="4">
        <f>IFERROR(MATCH(1675,상세표[연속순번],0),"")</f>
        <v/>
      </c>
    </row>
    <row r="1681">
      <c r="A1681">
        <f>IF($P1681="","",INDEX(상세표[사번],$P1681)&amp;"")</f>
        <v/>
      </c>
      <c r="B1681">
        <f>IF($P1681="","",INDEX(상세표[성명],$P1681)&amp;"")</f>
        <v/>
      </c>
      <c r="C1681">
        <f>IF($P1681="","",INDEX(상세표[부서],$P1681)&amp;"")</f>
        <v/>
      </c>
      <c r="D1681">
        <f>IF($P1681="","",INDEX(상세표[직위],$P1681)&amp;"")</f>
        <v/>
      </c>
      <c r="E1681">
        <f>IF($P1681="","",IF(ISNUMBER(INDEX(상세표[시작],$P1681)),TEXT(INDEX(상세표[시작],$P1681),"yyyy-mm-dd hh:mm"),INDEX(상세표[시작],$P1681)&amp;""))</f>
        <v/>
      </c>
      <c r="F1681">
        <f>IF($P1681="","",IF(ISNUMBER(INDEX(상세표[블록종료],$P1681)),TEXT(INDEX(상세표[블록종료],$P1681),"yyyy-mm-dd hh:mm"),INDEX(상세표[블록종료],$P1681)&amp;""))</f>
        <v/>
      </c>
      <c r="G1681">
        <f>IF($P1681="","",CHOOSE(WEEKDAY(INDEX(상세표[시작],$P1681)),"일","월","화","수","목","금","토"))</f>
        <v/>
      </c>
      <c r="H1681">
        <f>IF($P1681="","",INDEX(상세표[연속 시간],$P1681))</f>
        <v/>
      </c>
      <c r="I1681">
        <f>IF($P1681="","",INDEX(상세표[기록 수],$P1681))</f>
        <v/>
      </c>
      <c r="J1681">
        <f>IF($P1681="","",INDEX(상세표[블록 06~07시],$P1681))</f>
        <v/>
      </c>
      <c r="K1681">
        <f>IF($P1681="","",INDEX(상세표[블록 07~18시],$P1681))</f>
        <v/>
      </c>
      <c r="L1681">
        <f>IF($P1681="","",INDEX(상세표[블록 18~22시],$P1681))</f>
        <v/>
      </c>
      <c r="M1681">
        <f>IF($P1681="","",INDEX(상세표[블록 22~06시],$P1681))</f>
        <v/>
      </c>
      <c r="N1681">
        <f>IF($P1681="","",INDEX(상세표[주말·휴일 포함],$P1681)&amp;"")</f>
        <v/>
      </c>
      <c r="O1681">
        <f>IF($P1681="","",INDEX(상세표[월 넘김 포함],$P1681)&amp;"")</f>
        <v/>
      </c>
      <c r="P1681" s="4">
        <f>IFERROR(MATCH(1676,상세표[연속순번],0),"")</f>
        <v/>
      </c>
    </row>
    <row r="1682">
      <c r="A1682">
        <f>IF($P1682="","",INDEX(상세표[사번],$P1682)&amp;"")</f>
        <v/>
      </c>
      <c r="B1682">
        <f>IF($P1682="","",INDEX(상세표[성명],$P1682)&amp;"")</f>
        <v/>
      </c>
      <c r="C1682">
        <f>IF($P1682="","",INDEX(상세표[부서],$P1682)&amp;"")</f>
        <v/>
      </c>
      <c r="D1682">
        <f>IF($P1682="","",INDEX(상세표[직위],$P1682)&amp;"")</f>
        <v/>
      </c>
      <c r="E1682">
        <f>IF($P1682="","",IF(ISNUMBER(INDEX(상세표[시작],$P1682)),TEXT(INDEX(상세표[시작],$P1682),"yyyy-mm-dd hh:mm"),INDEX(상세표[시작],$P1682)&amp;""))</f>
        <v/>
      </c>
      <c r="F1682">
        <f>IF($P1682="","",IF(ISNUMBER(INDEX(상세표[블록종료],$P1682)),TEXT(INDEX(상세표[블록종료],$P1682),"yyyy-mm-dd hh:mm"),INDEX(상세표[블록종료],$P1682)&amp;""))</f>
        <v/>
      </c>
      <c r="G1682">
        <f>IF($P1682="","",CHOOSE(WEEKDAY(INDEX(상세표[시작],$P1682)),"일","월","화","수","목","금","토"))</f>
        <v/>
      </c>
      <c r="H1682">
        <f>IF($P1682="","",INDEX(상세표[연속 시간],$P1682))</f>
        <v/>
      </c>
      <c r="I1682">
        <f>IF($P1682="","",INDEX(상세표[기록 수],$P1682))</f>
        <v/>
      </c>
      <c r="J1682">
        <f>IF($P1682="","",INDEX(상세표[블록 06~07시],$P1682))</f>
        <v/>
      </c>
      <c r="K1682">
        <f>IF($P1682="","",INDEX(상세표[블록 07~18시],$P1682))</f>
        <v/>
      </c>
      <c r="L1682">
        <f>IF($P1682="","",INDEX(상세표[블록 18~22시],$P1682))</f>
        <v/>
      </c>
      <c r="M1682">
        <f>IF($P1682="","",INDEX(상세표[블록 22~06시],$P1682))</f>
        <v/>
      </c>
      <c r="N1682">
        <f>IF($P1682="","",INDEX(상세표[주말·휴일 포함],$P1682)&amp;"")</f>
        <v/>
      </c>
      <c r="O1682">
        <f>IF($P1682="","",INDEX(상세표[월 넘김 포함],$P1682)&amp;"")</f>
        <v/>
      </c>
      <c r="P1682" s="4">
        <f>IFERROR(MATCH(1677,상세표[연속순번],0),"")</f>
        <v/>
      </c>
    </row>
    <row r="1683">
      <c r="A1683">
        <f>IF($P1683="","",INDEX(상세표[사번],$P1683)&amp;"")</f>
        <v/>
      </c>
      <c r="B1683">
        <f>IF($P1683="","",INDEX(상세표[성명],$P1683)&amp;"")</f>
        <v/>
      </c>
      <c r="C1683">
        <f>IF($P1683="","",INDEX(상세표[부서],$P1683)&amp;"")</f>
        <v/>
      </c>
      <c r="D1683">
        <f>IF($P1683="","",INDEX(상세표[직위],$P1683)&amp;"")</f>
        <v/>
      </c>
      <c r="E1683">
        <f>IF($P1683="","",IF(ISNUMBER(INDEX(상세표[시작],$P1683)),TEXT(INDEX(상세표[시작],$P1683),"yyyy-mm-dd hh:mm"),INDEX(상세표[시작],$P1683)&amp;""))</f>
        <v/>
      </c>
      <c r="F1683">
        <f>IF($P1683="","",IF(ISNUMBER(INDEX(상세표[블록종료],$P1683)),TEXT(INDEX(상세표[블록종료],$P1683),"yyyy-mm-dd hh:mm"),INDEX(상세표[블록종료],$P1683)&amp;""))</f>
        <v/>
      </c>
      <c r="G1683">
        <f>IF($P1683="","",CHOOSE(WEEKDAY(INDEX(상세표[시작],$P1683)),"일","월","화","수","목","금","토"))</f>
        <v/>
      </c>
      <c r="H1683">
        <f>IF($P1683="","",INDEX(상세표[연속 시간],$P1683))</f>
        <v/>
      </c>
      <c r="I1683">
        <f>IF($P1683="","",INDEX(상세표[기록 수],$P1683))</f>
        <v/>
      </c>
      <c r="J1683">
        <f>IF($P1683="","",INDEX(상세표[블록 06~07시],$P1683))</f>
        <v/>
      </c>
      <c r="K1683">
        <f>IF($P1683="","",INDEX(상세표[블록 07~18시],$P1683))</f>
        <v/>
      </c>
      <c r="L1683">
        <f>IF($P1683="","",INDEX(상세표[블록 18~22시],$P1683))</f>
        <v/>
      </c>
      <c r="M1683">
        <f>IF($P1683="","",INDEX(상세표[블록 22~06시],$P1683))</f>
        <v/>
      </c>
      <c r="N1683">
        <f>IF($P1683="","",INDEX(상세표[주말·휴일 포함],$P1683)&amp;"")</f>
        <v/>
      </c>
      <c r="O1683">
        <f>IF($P1683="","",INDEX(상세표[월 넘김 포함],$P1683)&amp;"")</f>
        <v/>
      </c>
      <c r="P1683" s="4">
        <f>IFERROR(MATCH(1678,상세표[연속순번],0),"")</f>
        <v/>
      </c>
    </row>
    <row r="1684">
      <c r="A1684">
        <f>IF($P1684="","",INDEX(상세표[사번],$P1684)&amp;"")</f>
        <v/>
      </c>
      <c r="B1684">
        <f>IF($P1684="","",INDEX(상세표[성명],$P1684)&amp;"")</f>
        <v/>
      </c>
      <c r="C1684">
        <f>IF($P1684="","",INDEX(상세표[부서],$P1684)&amp;"")</f>
        <v/>
      </c>
      <c r="D1684">
        <f>IF($P1684="","",INDEX(상세표[직위],$P1684)&amp;"")</f>
        <v/>
      </c>
      <c r="E1684">
        <f>IF($P1684="","",IF(ISNUMBER(INDEX(상세표[시작],$P1684)),TEXT(INDEX(상세표[시작],$P1684),"yyyy-mm-dd hh:mm"),INDEX(상세표[시작],$P1684)&amp;""))</f>
        <v/>
      </c>
      <c r="F1684">
        <f>IF($P1684="","",IF(ISNUMBER(INDEX(상세표[블록종료],$P1684)),TEXT(INDEX(상세표[블록종료],$P1684),"yyyy-mm-dd hh:mm"),INDEX(상세표[블록종료],$P1684)&amp;""))</f>
        <v/>
      </c>
      <c r="G1684">
        <f>IF($P1684="","",CHOOSE(WEEKDAY(INDEX(상세표[시작],$P1684)),"일","월","화","수","목","금","토"))</f>
        <v/>
      </c>
      <c r="H1684">
        <f>IF($P1684="","",INDEX(상세표[연속 시간],$P1684))</f>
        <v/>
      </c>
      <c r="I1684">
        <f>IF($P1684="","",INDEX(상세표[기록 수],$P1684))</f>
        <v/>
      </c>
      <c r="J1684">
        <f>IF($P1684="","",INDEX(상세표[블록 06~07시],$P1684))</f>
        <v/>
      </c>
      <c r="K1684">
        <f>IF($P1684="","",INDEX(상세표[블록 07~18시],$P1684))</f>
        <v/>
      </c>
      <c r="L1684">
        <f>IF($P1684="","",INDEX(상세표[블록 18~22시],$P1684))</f>
        <v/>
      </c>
      <c r="M1684">
        <f>IF($P1684="","",INDEX(상세표[블록 22~06시],$P1684))</f>
        <v/>
      </c>
      <c r="N1684">
        <f>IF($P1684="","",INDEX(상세표[주말·휴일 포함],$P1684)&amp;"")</f>
        <v/>
      </c>
      <c r="O1684">
        <f>IF($P1684="","",INDEX(상세표[월 넘김 포함],$P1684)&amp;"")</f>
        <v/>
      </c>
      <c r="P1684" s="4">
        <f>IFERROR(MATCH(1679,상세표[연속순번],0),"")</f>
        <v/>
      </c>
    </row>
    <row r="1685">
      <c r="A1685">
        <f>IF($P1685="","",INDEX(상세표[사번],$P1685)&amp;"")</f>
        <v/>
      </c>
      <c r="B1685">
        <f>IF($P1685="","",INDEX(상세표[성명],$P1685)&amp;"")</f>
        <v/>
      </c>
      <c r="C1685">
        <f>IF($P1685="","",INDEX(상세표[부서],$P1685)&amp;"")</f>
        <v/>
      </c>
      <c r="D1685">
        <f>IF($P1685="","",INDEX(상세표[직위],$P1685)&amp;"")</f>
        <v/>
      </c>
      <c r="E1685">
        <f>IF($P1685="","",IF(ISNUMBER(INDEX(상세표[시작],$P1685)),TEXT(INDEX(상세표[시작],$P1685),"yyyy-mm-dd hh:mm"),INDEX(상세표[시작],$P1685)&amp;""))</f>
        <v/>
      </c>
      <c r="F1685">
        <f>IF($P1685="","",IF(ISNUMBER(INDEX(상세표[블록종료],$P1685)),TEXT(INDEX(상세표[블록종료],$P1685),"yyyy-mm-dd hh:mm"),INDEX(상세표[블록종료],$P1685)&amp;""))</f>
        <v/>
      </c>
      <c r="G1685">
        <f>IF($P1685="","",CHOOSE(WEEKDAY(INDEX(상세표[시작],$P1685)),"일","월","화","수","목","금","토"))</f>
        <v/>
      </c>
      <c r="H1685">
        <f>IF($P1685="","",INDEX(상세표[연속 시간],$P1685))</f>
        <v/>
      </c>
      <c r="I1685">
        <f>IF($P1685="","",INDEX(상세표[기록 수],$P1685))</f>
        <v/>
      </c>
      <c r="J1685">
        <f>IF($P1685="","",INDEX(상세표[블록 06~07시],$P1685))</f>
        <v/>
      </c>
      <c r="K1685">
        <f>IF($P1685="","",INDEX(상세표[블록 07~18시],$P1685))</f>
        <v/>
      </c>
      <c r="L1685">
        <f>IF($P1685="","",INDEX(상세표[블록 18~22시],$P1685))</f>
        <v/>
      </c>
      <c r="M1685">
        <f>IF($P1685="","",INDEX(상세표[블록 22~06시],$P1685))</f>
        <v/>
      </c>
      <c r="N1685">
        <f>IF($P1685="","",INDEX(상세표[주말·휴일 포함],$P1685)&amp;"")</f>
        <v/>
      </c>
      <c r="O1685">
        <f>IF($P1685="","",INDEX(상세표[월 넘김 포함],$P1685)&amp;"")</f>
        <v/>
      </c>
      <c r="P1685" s="4">
        <f>IFERROR(MATCH(1680,상세표[연속순번],0),"")</f>
        <v/>
      </c>
    </row>
    <row r="1686">
      <c r="A1686">
        <f>IF($P1686="","",INDEX(상세표[사번],$P1686)&amp;"")</f>
        <v/>
      </c>
      <c r="B1686">
        <f>IF($P1686="","",INDEX(상세표[성명],$P1686)&amp;"")</f>
        <v/>
      </c>
      <c r="C1686">
        <f>IF($P1686="","",INDEX(상세표[부서],$P1686)&amp;"")</f>
        <v/>
      </c>
      <c r="D1686">
        <f>IF($P1686="","",INDEX(상세표[직위],$P1686)&amp;"")</f>
        <v/>
      </c>
      <c r="E1686">
        <f>IF($P1686="","",IF(ISNUMBER(INDEX(상세표[시작],$P1686)),TEXT(INDEX(상세표[시작],$P1686),"yyyy-mm-dd hh:mm"),INDEX(상세표[시작],$P1686)&amp;""))</f>
        <v/>
      </c>
      <c r="F1686">
        <f>IF($P1686="","",IF(ISNUMBER(INDEX(상세표[블록종료],$P1686)),TEXT(INDEX(상세표[블록종료],$P1686),"yyyy-mm-dd hh:mm"),INDEX(상세표[블록종료],$P1686)&amp;""))</f>
        <v/>
      </c>
      <c r="G1686">
        <f>IF($P1686="","",CHOOSE(WEEKDAY(INDEX(상세표[시작],$P1686)),"일","월","화","수","목","금","토"))</f>
        <v/>
      </c>
      <c r="H1686">
        <f>IF($P1686="","",INDEX(상세표[연속 시간],$P1686))</f>
        <v/>
      </c>
      <c r="I1686">
        <f>IF($P1686="","",INDEX(상세표[기록 수],$P1686))</f>
        <v/>
      </c>
      <c r="J1686">
        <f>IF($P1686="","",INDEX(상세표[블록 06~07시],$P1686))</f>
        <v/>
      </c>
      <c r="K1686">
        <f>IF($P1686="","",INDEX(상세표[블록 07~18시],$P1686))</f>
        <v/>
      </c>
      <c r="L1686">
        <f>IF($P1686="","",INDEX(상세표[블록 18~22시],$P1686))</f>
        <v/>
      </c>
      <c r="M1686">
        <f>IF($P1686="","",INDEX(상세표[블록 22~06시],$P1686))</f>
        <v/>
      </c>
      <c r="N1686">
        <f>IF($P1686="","",INDEX(상세표[주말·휴일 포함],$P1686)&amp;"")</f>
        <v/>
      </c>
      <c r="O1686">
        <f>IF($P1686="","",INDEX(상세표[월 넘김 포함],$P1686)&amp;"")</f>
        <v/>
      </c>
      <c r="P1686" s="4">
        <f>IFERROR(MATCH(1681,상세표[연속순번],0),"")</f>
        <v/>
      </c>
    </row>
    <row r="1687">
      <c r="A1687">
        <f>IF($P1687="","",INDEX(상세표[사번],$P1687)&amp;"")</f>
        <v/>
      </c>
      <c r="B1687">
        <f>IF($P1687="","",INDEX(상세표[성명],$P1687)&amp;"")</f>
        <v/>
      </c>
      <c r="C1687">
        <f>IF($P1687="","",INDEX(상세표[부서],$P1687)&amp;"")</f>
        <v/>
      </c>
      <c r="D1687">
        <f>IF($P1687="","",INDEX(상세표[직위],$P1687)&amp;"")</f>
        <v/>
      </c>
      <c r="E1687">
        <f>IF($P1687="","",IF(ISNUMBER(INDEX(상세표[시작],$P1687)),TEXT(INDEX(상세표[시작],$P1687),"yyyy-mm-dd hh:mm"),INDEX(상세표[시작],$P1687)&amp;""))</f>
        <v/>
      </c>
      <c r="F1687">
        <f>IF($P1687="","",IF(ISNUMBER(INDEX(상세표[블록종료],$P1687)),TEXT(INDEX(상세표[블록종료],$P1687),"yyyy-mm-dd hh:mm"),INDEX(상세표[블록종료],$P1687)&amp;""))</f>
        <v/>
      </c>
      <c r="G1687">
        <f>IF($P1687="","",CHOOSE(WEEKDAY(INDEX(상세표[시작],$P1687)),"일","월","화","수","목","금","토"))</f>
        <v/>
      </c>
      <c r="H1687">
        <f>IF($P1687="","",INDEX(상세표[연속 시간],$P1687))</f>
        <v/>
      </c>
      <c r="I1687">
        <f>IF($P1687="","",INDEX(상세표[기록 수],$P1687))</f>
        <v/>
      </c>
      <c r="J1687">
        <f>IF($P1687="","",INDEX(상세표[블록 06~07시],$P1687))</f>
        <v/>
      </c>
      <c r="K1687">
        <f>IF($P1687="","",INDEX(상세표[블록 07~18시],$P1687))</f>
        <v/>
      </c>
      <c r="L1687">
        <f>IF($P1687="","",INDEX(상세표[블록 18~22시],$P1687))</f>
        <v/>
      </c>
      <c r="M1687">
        <f>IF($P1687="","",INDEX(상세표[블록 22~06시],$P1687))</f>
        <v/>
      </c>
      <c r="N1687">
        <f>IF($P1687="","",INDEX(상세표[주말·휴일 포함],$P1687)&amp;"")</f>
        <v/>
      </c>
      <c r="O1687">
        <f>IF($P1687="","",INDEX(상세표[월 넘김 포함],$P1687)&amp;"")</f>
        <v/>
      </c>
      <c r="P1687" s="4">
        <f>IFERROR(MATCH(1682,상세표[연속순번],0),"")</f>
        <v/>
      </c>
    </row>
    <row r="1688">
      <c r="A1688">
        <f>IF($P1688="","",INDEX(상세표[사번],$P1688)&amp;"")</f>
        <v/>
      </c>
      <c r="B1688">
        <f>IF($P1688="","",INDEX(상세표[성명],$P1688)&amp;"")</f>
        <v/>
      </c>
      <c r="C1688">
        <f>IF($P1688="","",INDEX(상세표[부서],$P1688)&amp;"")</f>
        <v/>
      </c>
      <c r="D1688">
        <f>IF($P1688="","",INDEX(상세표[직위],$P1688)&amp;"")</f>
        <v/>
      </c>
      <c r="E1688">
        <f>IF($P1688="","",IF(ISNUMBER(INDEX(상세표[시작],$P1688)),TEXT(INDEX(상세표[시작],$P1688),"yyyy-mm-dd hh:mm"),INDEX(상세표[시작],$P1688)&amp;""))</f>
        <v/>
      </c>
      <c r="F1688">
        <f>IF($P1688="","",IF(ISNUMBER(INDEX(상세표[블록종료],$P1688)),TEXT(INDEX(상세표[블록종료],$P1688),"yyyy-mm-dd hh:mm"),INDEX(상세표[블록종료],$P1688)&amp;""))</f>
        <v/>
      </c>
      <c r="G1688">
        <f>IF($P1688="","",CHOOSE(WEEKDAY(INDEX(상세표[시작],$P1688)),"일","월","화","수","목","금","토"))</f>
        <v/>
      </c>
      <c r="H1688">
        <f>IF($P1688="","",INDEX(상세표[연속 시간],$P1688))</f>
        <v/>
      </c>
      <c r="I1688">
        <f>IF($P1688="","",INDEX(상세표[기록 수],$P1688))</f>
        <v/>
      </c>
      <c r="J1688">
        <f>IF($P1688="","",INDEX(상세표[블록 06~07시],$P1688))</f>
        <v/>
      </c>
      <c r="K1688">
        <f>IF($P1688="","",INDEX(상세표[블록 07~18시],$P1688))</f>
        <v/>
      </c>
      <c r="L1688">
        <f>IF($P1688="","",INDEX(상세표[블록 18~22시],$P1688))</f>
        <v/>
      </c>
      <c r="M1688">
        <f>IF($P1688="","",INDEX(상세표[블록 22~06시],$P1688))</f>
        <v/>
      </c>
      <c r="N1688">
        <f>IF($P1688="","",INDEX(상세표[주말·휴일 포함],$P1688)&amp;"")</f>
        <v/>
      </c>
      <c r="O1688">
        <f>IF($P1688="","",INDEX(상세표[월 넘김 포함],$P1688)&amp;"")</f>
        <v/>
      </c>
      <c r="P1688" s="4">
        <f>IFERROR(MATCH(1683,상세표[연속순번],0),"")</f>
        <v/>
      </c>
    </row>
    <row r="1689">
      <c r="A1689">
        <f>IF($P1689="","",INDEX(상세표[사번],$P1689)&amp;"")</f>
        <v/>
      </c>
      <c r="B1689">
        <f>IF($P1689="","",INDEX(상세표[성명],$P1689)&amp;"")</f>
        <v/>
      </c>
      <c r="C1689">
        <f>IF($P1689="","",INDEX(상세표[부서],$P1689)&amp;"")</f>
        <v/>
      </c>
      <c r="D1689">
        <f>IF($P1689="","",INDEX(상세표[직위],$P1689)&amp;"")</f>
        <v/>
      </c>
      <c r="E1689">
        <f>IF($P1689="","",IF(ISNUMBER(INDEX(상세표[시작],$P1689)),TEXT(INDEX(상세표[시작],$P1689),"yyyy-mm-dd hh:mm"),INDEX(상세표[시작],$P1689)&amp;""))</f>
        <v/>
      </c>
      <c r="F1689">
        <f>IF($P1689="","",IF(ISNUMBER(INDEX(상세표[블록종료],$P1689)),TEXT(INDEX(상세표[블록종료],$P1689),"yyyy-mm-dd hh:mm"),INDEX(상세표[블록종료],$P1689)&amp;""))</f>
        <v/>
      </c>
      <c r="G1689">
        <f>IF($P1689="","",CHOOSE(WEEKDAY(INDEX(상세표[시작],$P1689)),"일","월","화","수","목","금","토"))</f>
        <v/>
      </c>
      <c r="H1689">
        <f>IF($P1689="","",INDEX(상세표[연속 시간],$P1689))</f>
        <v/>
      </c>
      <c r="I1689">
        <f>IF($P1689="","",INDEX(상세표[기록 수],$P1689))</f>
        <v/>
      </c>
      <c r="J1689">
        <f>IF($P1689="","",INDEX(상세표[블록 06~07시],$P1689))</f>
        <v/>
      </c>
      <c r="K1689">
        <f>IF($P1689="","",INDEX(상세표[블록 07~18시],$P1689))</f>
        <v/>
      </c>
      <c r="L1689">
        <f>IF($P1689="","",INDEX(상세표[블록 18~22시],$P1689))</f>
        <v/>
      </c>
      <c r="M1689">
        <f>IF($P1689="","",INDEX(상세표[블록 22~06시],$P1689))</f>
        <v/>
      </c>
      <c r="N1689">
        <f>IF($P1689="","",INDEX(상세표[주말·휴일 포함],$P1689)&amp;"")</f>
        <v/>
      </c>
      <c r="O1689">
        <f>IF($P1689="","",INDEX(상세표[월 넘김 포함],$P1689)&amp;"")</f>
        <v/>
      </c>
      <c r="P1689" s="4">
        <f>IFERROR(MATCH(1684,상세표[연속순번],0),"")</f>
        <v/>
      </c>
    </row>
    <row r="1690">
      <c r="A1690">
        <f>IF($P1690="","",INDEX(상세표[사번],$P1690)&amp;"")</f>
        <v/>
      </c>
      <c r="B1690">
        <f>IF($P1690="","",INDEX(상세표[성명],$P1690)&amp;"")</f>
        <v/>
      </c>
      <c r="C1690">
        <f>IF($P1690="","",INDEX(상세표[부서],$P1690)&amp;"")</f>
        <v/>
      </c>
      <c r="D1690">
        <f>IF($P1690="","",INDEX(상세표[직위],$P1690)&amp;"")</f>
        <v/>
      </c>
      <c r="E1690">
        <f>IF($P1690="","",IF(ISNUMBER(INDEX(상세표[시작],$P1690)),TEXT(INDEX(상세표[시작],$P1690),"yyyy-mm-dd hh:mm"),INDEX(상세표[시작],$P1690)&amp;""))</f>
        <v/>
      </c>
      <c r="F1690">
        <f>IF($P1690="","",IF(ISNUMBER(INDEX(상세표[블록종료],$P1690)),TEXT(INDEX(상세표[블록종료],$P1690),"yyyy-mm-dd hh:mm"),INDEX(상세표[블록종료],$P1690)&amp;""))</f>
        <v/>
      </c>
      <c r="G1690">
        <f>IF($P1690="","",CHOOSE(WEEKDAY(INDEX(상세표[시작],$P1690)),"일","월","화","수","목","금","토"))</f>
        <v/>
      </c>
      <c r="H1690">
        <f>IF($P1690="","",INDEX(상세표[연속 시간],$P1690))</f>
        <v/>
      </c>
      <c r="I1690">
        <f>IF($P1690="","",INDEX(상세표[기록 수],$P1690))</f>
        <v/>
      </c>
      <c r="J1690">
        <f>IF($P1690="","",INDEX(상세표[블록 06~07시],$P1690))</f>
        <v/>
      </c>
      <c r="K1690">
        <f>IF($P1690="","",INDEX(상세표[블록 07~18시],$P1690))</f>
        <v/>
      </c>
      <c r="L1690">
        <f>IF($P1690="","",INDEX(상세표[블록 18~22시],$P1690))</f>
        <v/>
      </c>
      <c r="M1690">
        <f>IF($P1690="","",INDEX(상세표[블록 22~06시],$P1690))</f>
        <v/>
      </c>
      <c r="N1690">
        <f>IF($P1690="","",INDEX(상세표[주말·휴일 포함],$P1690)&amp;"")</f>
        <v/>
      </c>
      <c r="O1690">
        <f>IF($P1690="","",INDEX(상세표[월 넘김 포함],$P1690)&amp;"")</f>
        <v/>
      </c>
      <c r="P1690" s="4">
        <f>IFERROR(MATCH(1685,상세표[연속순번],0),"")</f>
        <v/>
      </c>
    </row>
    <row r="1691">
      <c r="A1691">
        <f>IF($P1691="","",INDEX(상세표[사번],$P1691)&amp;"")</f>
        <v/>
      </c>
      <c r="B1691">
        <f>IF($P1691="","",INDEX(상세표[성명],$P1691)&amp;"")</f>
        <v/>
      </c>
      <c r="C1691">
        <f>IF($P1691="","",INDEX(상세표[부서],$P1691)&amp;"")</f>
        <v/>
      </c>
      <c r="D1691">
        <f>IF($P1691="","",INDEX(상세표[직위],$P1691)&amp;"")</f>
        <v/>
      </c>
      <c r="E1691">
        <f>IF($P1691="","",IF(ISNUMBER(INDEX(상세표[시작],$P1691)),TEXT(INDEX(상세표[시작],$P1691),"yyyy-mm-dd hh:mm"),INDEX(상세표[시작],$P1691)&amp;""))</f>
        <v/>
      </c>
      <c r="F1691">
        <f>IF($P1691="","",IF(ISNUMBER(INDEX(상세표[블록종료],$P1691)),TEXT(INDEX(상세표[블록종료],$P1691),"yyyy-mm-dd hh:mm"),INDEX(상세표[블록종료],$P1691)&amp;""))</f>
        <v/>
      </c>
      <c r="G1691">
        <f>IF($P1691="","",CHOOSE(WEEKDAY(INDEX(상세표[시작],$P1691)),"일","월","화","수","목","금","토"))</f>
        <v/>
      </c>
      <c r="H1691">
        <f>IF($P1691="","",INDEX(상세표[연속 시간],$P1691))</f>
        <v/>
      </c>
      <c r="I1691">
        <f>IF($P1691="","",INDEX(상세표[기록 수],$P1691))</f>
        <v/>
      </c>
      <c r="J1691">
        <f>IF($P1691="","",INDEX(상세표[블록 06~07시],$P1691))</f>
        <v/>
      </c>
      <c r="K1691">
        <f>IF($P1691="","",INDEX(상세표[블록 07~18시],$P1691))</f>
        <v/>
      </c>
      <c r="L1691">
        <f>IF($P1691="","",INDEX(상세표[블록 18~22시],$P1691))</f>
        <v/>
      </c>
      <c r="M1691">
        <f>IF($P1691="","",INDEX(상세표[블록 22~06시],$P1691))</f>
        <v/>
      </c>
      <c r="N1691">
        <f>IF($P1691="","",INDEX(상세표[주말·휴일 포함],$P1691)&amp;"")</f>
        <v/>
      </c>
      <c r="O1691">
        <f>IF($P1691="","",INDEX(상세표[월 넘김 포함],$P1691)&amp;"")</f>
        <v/>
      </c>
      <c r="P1691" s="4">
        <f>IFERROR(MATCH(1686,상세표[연속순번],0),"")</f>
        <v/>
      </c>
    </row>
    <row r="1692">
      <c r="A1692">
        <f>IF($P1692="","",INDEX(상세표[사번],$P1692)&amp;"")</f>
        <v/>
      </c>
      <c r="B1692">
        <f>IF($P1692="","",INDEX(상세표[성명],$P1692)&amp;"")</f>
        <v/>
      </c>
      <c r="C1692">
        <f>IF($P1692="","",INDEX(상세표[부서],$P1692)&amp;"")</f>
        <v/>
      </c>
      <c r="D1692">
        <f>IF($P1692="","",INDEX(상세표[직위],$P1692)&amp;"")</f>
        <v/>
      </c>
      <c r="E1692">
        <f>IF($P1692="","",IF(ISNUMBER(INDEX(상세표[시작],$P1692)),TEXT(INDEX(상세표[시작],$P1692),"yyyy-mm-dd hh:mm"),INDEX(상세표[시작],$P1692)&amp;""))</f>
        <v/>
      </c>
      <c r="F1692">
        <f>IF($P1692="","",IF(ISNUMBER(INDEX(상세표[블록종료],$P1692)),TEXT(INDEX(상세표[블록종료],$P1692),"yyyy-mm-dd hh:mm"),INDEX(상세표[블록종료],$P1692)&amp;""))</f>
        <v/>
      </c>
      <c r="G1692">
        <f>IF($P1692="","",CHOOSE(WEEKDAY(INDEX(상세표[시작],$P1692)),"일","월","화","수","목","금","토"))</f>
        <v/>
      </c>
      <c r="H1692">
        <f>IF($P1692="","",INDEX(상세표[연속 시간],$P1692))</f>
        <v/>
      </c>
      <c r="I1692">
        <f>IF($P1692="","",INDEX(상세표[기록 수],$P1692))</f>
        <v/>
      </c>
      <c r="J1692">
        <f>IF($P1692="","",INDEX(상세표[블록 06~07시],$P1692))</f>
        <v/>
      </c>
      <c r="K1692">
        <f>IF($P1692="","",INDEX(상세표[블록 07~18시],$P1692))</f>
        <v/>
      </c>
      <c r="L1692">
        <f>IF($P1692="","",INDEX(상세표[블록 18~22시],$P1692))</f>
        <v/>
      </c>
      <c r="M1692">
        <f>IF($P1692="","",INDEX(상세표[블록 22~06시],$P1692))</f>
        <v/>
      </c>
      <c r="N1692">
        <f>IF($P1692="","",INDEX(상세표[주말·휴일 포함],$P1692)&amp;"")</f>
        <v/>
      </c>
      <c r="O1692">
        <f>IF($P1692="","",INDEX(상세표[월 넘김 포함],$P1692)&amp;"")</f>
        <v/>
      </c>
      <c r="P1692" s="4">
        <f>IFERROR(MATCH(1687,상세표[연속순번],0),"")</f>
        <v/>
      </c>
    </row>
    <row r="1693">
      <c r="A1693">
        <f>IF($P1693="","",INDEX(상세표[사번],$P1693)&amp;"")</f>
        <v/>
      </c>
      <c r="B1693">
        <f>IF($P1693="","",INDEX(상세표[성명],$P1693)&amp;"")</f>
        <v/>
      </c>
      <c r="C1693">
        <f>IF($P1693="","",INDEX(상세표[부서],$P1693)&amp;"")</f>
        <v/>
      </c>
      <c r="D1693">
        <f>IF($P1693="","",INDEX(상세표[직위],$P1693)&amp;"")</f>
        <v/>
      </c>
      <c r="E1693">
        <f>IF($P1693="","",IF(ISNUMBER(INDEX(상세표[시작],$P1693)),TEXT(INDEX(상세표[시작],$P1693),"yyyy-mm-dd hh:mm"),INDEX(상세표[시작],$P1693)&amp;""))</f>
        <v/>
      </c>
      <c r="F1693">
        <f>IF($P1693="","",IF(ISNUMBER(INDEX(상세표[블록종료],$P1693)),TEXT(INDEX(상세표[블록종료],$P1693),"yyyy-mm-dd hh:mm"),INDEX(상세표[블록종료],$P1693)&amp;""))</f>
        <v/>
      </c>
      <c r="G1693">
        <f>IF($P1693="","",CHOOSE(WEEKDAY(INDEX(상세표[시작],$P1693)),"일","월","화","수","목","금","토"))</f>
        <v/>
      </c>
      <c r="H1693">
        <f>IF($P1693="","",INDEX(상세표[연속 시간],$P1693))</f>
        <v/>
      </c>
      <c r="I1693">
        <f>IF($P1693="","",INDEX(상세표[기록 수],$P1693))</f>
        <v/>
      </c>
      <c r="J1693">
        <f>IF($P1693="","",INDEX(상세표[블록 06~07시],$P1693))</f>
        <v/>
      </c>
      <c r="K1693">
        <f>IF($P1693="","",INDEX(상세표[블록 07~18시],$P1693))</f>
        <v/>
      </c>
      <c r="L1693">
        <f>IF($P1693="","",INDEX(상세표[블록 18~22시],$P1693))</f>
        <v/>
      </c>
      <c r="M1693">
        <f>IF($P1693="","",INDEX(상세표[블록 22~06시],$P1693))</f>
        <v/>
      </c>
      <c r="N1693">
        <f>IF($P1693="","",INDEX(상세표[주말·휴일 포함],$P1693)&amp;"")</f>
        <v/>
      </c>
      <c r="O1693">
        <f>IF($P1693="","",INDEX(상세표[월 넘김 포함],$P1693)&amp;"")</f>
        <v/>
      </c>
      <c r="P1693" s="4">
        <f>IFERROR(MATCH(1688,상세표[연속순번],0),"")</f>
        <v/>
      </c>
    </row>
    <row r="1694">
      <c r="A1694">
        <f>IF($P1694="","",INDEX(상세표[사번],$P1694)&amp;"")</f>
        <v/>
      </c>
      <c r="B1694">
        <f>IF($P1694="","",INDEX(상세표[성명],$P1694)&amp;"")</f>
        <v/>
      </c>
      <c r="C1694">
        <f>IF($P1694="","",INDEX(상세표[부서],$P1694)&amp;"")</f>
        <v/>
      </c>
      <c r="D1694">
        <f>IF($P1694="","",INDEX(상세표[직위],$P1694)&amp;"")</f>
        <v/>
      </c>
      <c r="E1694">
        <f>IF($P1694="","",IF(ISNUMBER(INDEX(상세표[시작],$P1694)),TEXT(INDEX(상세표[시작],$P1694),"yyyy-mm-dd hh:mm"),INDEX(상세표[시작],$P1694)&amp;""))</f>
        <v/>
      </c>
      <c r="F1694">
        <f>IF($P1694="","",IF(ISNUMBER(INDEX(상세표[블록종료],$P1694)),TEXT(INDEX(상세표[블록종료],$P1694),"yyyy-mm-dd hh:mm"),INDEX(상세표[블록종료],$P1694)&amp;""))</f>
        <v/>
      </c>
      <c r="G1694">
        <f>IF($P1694="","",CHOOSE(WEEKDAY(INDEX(상세표[시작],$P1694)),"일","월","화","수","목","금","토"))</f>
        <v/>
      </c>
      <c r="H1694">
        <f>IF($P1694="","",INDEX(상세표[연속 시간],$P1694))</f>
        <v/>
      </c>
      <c r="I1694">
        <f>IF($P1694="","",INDEX(상세표[기록 수],$P1694))</f>
        <v/>
      </c>
      <c r="J1694">
        <f>IF($P1694="","",INDEX(상세표[블록 06~07시],$P1694))</f>
        <v/>
      </c>
      <c r="K1694">
        <f>IF($P1694="","",INDEX(상세표[블록 07~18시],$P1694))</f>
        <v/>
      </c>
      <c r="L1694">
        <f>IF($P1694="","",INDEX(상세표[블록 18~22시],$P1694))</f>
        <v/>
      </c>
      <c r="M1694">
        <f>IF($P1694="","",INDEX(상세표[블록 22~06시],$P1694))</f>
        <v/>
      </c>
      <c r="N1694">
        <f>IF($P1694="","",INDEX(상세표[주말·휴일 포함],$P1694)&amp;"")</f>
        <v/>
      </c>
      <c r="O1694">
        <f>IF($P1694="","",INDEX(상세표[월 넘김 포함],$P1694)&amp;"")</f>
        <v/>
      </c>
      <c r="P1694" s="4">
        <f>IFERROR(MATCH(1689,상세표[연속순번],0),"")</f>
        <v/>
      </c>
    </row>
    <row r="1695">
      <c r="A1695">
        <f>IF($P1695="","",INDEX(상세표[사번],$P1695)&amp;"")</f>
        <v/>
      </c>
      <c r="B1695">
        <f>IF($P1695="","",INDEX(상세표[성명],$P1695)&amp;"")</f>
        <v/>
      </c>
      <c r="C1695">
        <f>IF($P1695="","",INDEX(상세표[부서],$P1695)&amp;"")</f>
        <v/>
      </c>
      <c r="D1695">
        <f>IF($P1695="","",INDEX(상세표[직위],$P1695)&amp;"")</f>
        <v/>
      </c>
      <c r="E1695">
        <f>IF($P1695="","",IF(ISNUMBER(INDEX(상세표[시작],$P1695)),TEXT(INDEX(상세표[시작],$P1695),"yyyy-mm-dd hh:mm"),INDEX(상세표[시작],$P1695)&amp;""))</f>
        <v/>
      </c>
      <c r="F1695">
        <f>IF($P1695="","",IF(ISNUMBER(INDEX(상세표[블록종료],$P1695)),TEXT(INDEX(상세표[블록종료],$P1695),"yyyy-mm-dd hh:mm"),INDEX(상세표[블록종료],$P1695)&amp;""))</f>
        <v/>
      </c>
      <c r="G1695">
        <f>IF($P1695="","",CHOOSE(WEEKDAY(INDEX(상세표[시작],$P1695)),"일","월","화","수","목","금","토"))</f>
        <v/>
      </c>
      <c r="H1695">
        <f>IF($P1695="","",INDEX(상세표[연속 시간],$P1695))</f>
        <v/>
      </c>
      <c r="I1695">
        <f>IF($P1695="","",INDEX(상세표[기록 수],$P1695))</f>
        <v/>
      </c>
      <c r="J1695">
        <f>IF($P1695="","",INDEX(상세표[블록 06~07시],$P1695))</f>
        <v/>
      </c>
      <c r="K1695">
        <f>IF($P1695="","",INDEX(상세표[블록 07~18시],$P1695))</f>
        <v/>
      </c>
      <c r="L1695">
        <f>IF($P1695="","",INDEX(상세표[블록 18~22시],$P1695))</f>
        <v/>
      </c>
      <c r="M1695">
        <f>IF($P1695="","",INDEX(상세표[블록 22~06시],$P1695))</f>
        <v/>
      </c>
      <c r="N1695">
        <f>IF($P1695="","",INDEX(상세표[주말·휴일 포함],$P1695)&amp;"")</f>
        <v/>
      </c>
      <c r="O1695">
        <f>IF($P1695="","",INDEX(상세표[월 넘김 포함],$P1695)&amp;"")</f>
        <v/>
      </c>
      <c r="P1695" s="4">
        <f>IFERROR(MATCH(1690,상세표[연속순번],0),"")</f>
        <v/>
      </c>
    </row>
    <row r="1696">
      <c r="A1696">
        <f>IF($P1696="","",INDEX(상세표[사번],$P1696)&amp;"")</f>
        <v/>
      </c>
      <c r="B1696">
        <f>IF($P1696="","",INDEX(상세표[성명],$P1696)&amp;"")</f>
        <v/>
      </c>
      <c r="C1696">
        <f>IF($P1696="","",INDEX(상세표[부서],$P1696)&amp;"")</f>
        <v/>
      </c>
      <c r="D1696">
        <f>IF($P1696="","",INDEX(상세표[직위],$P1696)&amp;"")</f>
        <v/>
      </c>
      <c r="E1696">
        <f>IF($P1696="","",IF(ISNUMBER(INDEX(상세표[시작],$P1696)),TEXT(INDEX(상세표[시작],$P1696),"yyyy-mm-dd hh:mm"),INDEX(상세표[시작],$P1696)&amp;""))</f>
        <v/>
      </c>
      <c r="F1696">
        <f>IF($P1696="","",IF(ISNUMBER(INDEX(상세표[블록종료],$P1696)),TEXT(INDEX(상세표[블록종료],$P1696),"yyyy-mm-dd hh:mm"),INDEX(상세표[블록종료],$P1696)&amp;""))</f>
        <v/>
      </c>
      <c r="G1696">
        <f>IF($P1696="","",CHOOSE(WEEKDAY(INDEX(상세표[시작],$P1696)),"일","월","화","수","목","금","토"))</f>
        <v/>
      </c>
      <c r="H1696">
        <f>IF($P1696="","",INDEX(상세표[연속 시간],$P1696))</f>
        <v/>
      </c>
      <c r="I1696">
        <f>IF($P1696="","",INDEX(상세표[기록 수],$P1696))</f>
        <v/>
      </c>
      <c r="J1696">
        <f>IF($P1696="","",INDEX(상세표[블록 06~07시],$P1696))</f>
        <v/>
      </c>
      <c r="K1696">
        <f>IF($P1696="","",INDEX(상세표[블록 07~18시],$P1696))</f>
        <v/>
      </c>
      <c r="L1696">
        <f>IF($P1696="","",INDEX(상세표[블록 18~22시],$P1696))</f>
        <v/>
      </c>
      <c r="M1696">
        <f>IF($P1696="","",INDEX(상세표[블록 22~06시],$P1696))</f>
        <v/>
      </c>
      <c r="N1696">
        <f>IF($P1696="","",INDEX(상세표[주말·휴일 포함],$P1696)&amp;"")</f>
        <v/>
      </c>
      <c r="O1696">
        <f>IF($P1696="","",INDEX(상세표[월 넘김 포함],$P1696)&amp;"")</f>
        <v/>
      </c>
      <c r="P1696" s="4">
        <f>IFERROR(MATCH(1691,상세표[연속순번],0),"")</f>
        <v/>
      </c>
    </row>
    <row r="1697">
      <c r="A1697">
        <f>IF($P1697="","",INDEX(상세표[사번],$P1697)&amp;"")</f>
        <v/>
      </c>
      <c r="B1697">
        <f>IF($P1697="","",INDEX(상세표[성명],$P1697)&amp;"")</f>
        <v/>
      </c>
      <c r="C1697">
        <f>IF($P1697="","",INDEX(상세표[부서],$P1697)&amp;"")</f>
        <v/>
      </c>
      <c r="D1697">
        <f>IF($P1697="","",INDEX(상세표[직위],$P1697)&amp;"")</f>
        <v/>
      </c>
      <c r="E1697">
        <f>IF($P1697="","",IF(ISNUMBER(INDEX(상세표[시작],$P1697)),TEXT(INDEX(상세표[시작],$P1697),"yyyy-mm-dd hh:mm"),INDEX(상세표[시작],$P1697)&amp;""))</f>
        <v/>
      </c>
      <c r="F1697">
        <f>IF($P1697="","",IF(ISNUMBER(INDEX(상세표[블록종료],$P1697)),TEXT(INDEX(상세표[블록종료],$P1697),"yyyy-mm-dd hh:mm"),INDEX(상세표[블록종료],$P1697)&amp;""))</f>
        <v/>
      </c>
      <c r="G1697">
        <f>IF($P1697="","",CHOOSE(WEEKDAY(INDEX(상세표[시작],$P1697)),"일","월","화","수","목","금","토"))</f>
        <v/>
      </c>
      <c r="H1697">
        <f>IF($P1697="","",INDEX(상세표[연속 시간],$P1697))</f>
        <v/>
      </c>
      <c r="I1697">
        <f>IF($P1697="","",INDEX(상세표[기록 수],$P1697))</f>
        <v/>
      </c>
      <c r="J1697">
        <f>IF($P1697="","",INDEX(상세표[블록 06~07시],$P1697))</f>
        <v/>
      </c>
      <c r="K1697">
        <f>IF($P1697="","",INDEX(상세표[블록 07~18시],$P1697))</f>
        <v/>
      </c>
      <c r="L1697">
        <f>IF($P1697="","",INDEX(상세표[블록 18~22시],$P1697))</f>
        <v/>
      </c>
      <c r="M1697">
        <f>IF($P1697="","",INDEX(상세표[블록 22~06시],$P1697))</f>
        <v/>
      </c>
      <c r="N1697">
        <f>IF($P1697="","",INDEX(상세표[주말·휴일 포함],$P1697)&amp;"")</f>
        <v/>
      </c>
      <c r="O1697">
        <f>IF($P1697="","",INDEX(상세표[월 넘김 포함],$P1697)&amp;"")</f>
        <v/>
      </c>
      <c r="P1697" s="4">
        <f>IFERROR(MATCH(1692,상세표[연속순번],0),"")</f>
        <v/>
      </c>
    </row>
    <row r="1698">
      <c r="A1698">
        <f>IF($P1698="","",INDEX(상세표[사번],$P1698)&amp;"")</f>
        <v/>
      </c>
      <c r="B1698">
        <f>IF($P1698="","",INDEX(상세표[성명],$P1698)&amp;"")</f>
        <v/>
      </c>
      <c r="C1698">
        <f>IF($P1698="","",INDEX(상세표[부서],$P1698)&amp;"")</f>
        <v/>
      </c>
      <c r="D1698">
        <f>IF($P1698="","",INDEX(상세표[직위],$P1698)&amp;"")</f>
        <v/>
      </c>
      <c r="E1698">
        <f>IF($P1698="","",IF(ISNUMBER(INDEX(상세표[시작],$P1698)),TEXT(INDEX(상세표[시작],$P1698),"yyyy-mm-dd hh:mm"),INDEX(상세표[시작],$P1698)&amp;""))</f>
        <v/>
      </c>
      <c r="F1698">
        <f>IF($P1698="","",IF(ISNUMBER(INDEX(상세표[블록종료],$P1698)),TEXT(INDEX(상세표[블록종료],$P1698),"yyyy-mm-dd hh:mm"),INDEX(상세표[블록종료],$P1698)&amp;""))</f>
        <v/>
      </c>
      <c r="G1698">
        <f>IF($P1698="","",CHOOSE(WEEKDAY(INDEX(상세표[시작],$P1698)),"일","월","화","수","목","금","토"))</f>
        <v/>
      </c>
      <c r="H1698">
        <f>IF($P1698="","",INDEX(상세표[연속 시간],$P1698))</f>
        <v/>
      </c>
      <c r="I1698">
        <f>IF($P1698="","",INDEX(상세표[기록 수],$P1698))</f>
        <v/>
      </c>
      <c r="J1698">
        <f>IF($P1698="","",INDEX(상세표[블록 06~07시],$P1698))</f>
        <v/>
      </c>
      <c r="K1698">
        <f>IF($P1698="","",INDEX(상세표[블록 07~18시],$P1698))</f>
        <v/>
      </c>
      <c r="L1698">
        <f>IF($P1698="","",INDEX(상세표[블록 18~22시],$P1698))</f>
        <v/>
      </c>
      <c r="M1698">
        <f>IF($P1698="","",INDEX(상세표[블록 22~06시],$P1698))</f>
        <v/>
      </c>
      <c r="N1698">
        <f>IF($P1698="","",INDEX(상세표[주말·휴일 포함],$P1698)&amp;"")</f>
        <v/>
      </c>
      <c r="O1698">
        <f>IF($P1698="","",INDEX(상세표[월 넘김 포함],$P1698)&amp;"")</f>
        <v/>
      </c>
      <c r="P1698" s="4">
        <f>IFERROR(MATCH(1693,상세표[연속순번],0),"")</f>
        <v/>
      </c>
    </row>
    <row r="1699">
      <c r="A1699">
        <f>IF($P1699="","",INDEX(상세표[사번],$P1699)&amp;"")</f>
        <v/>
      </c>
      <c r="B1699">
        <f>IF($P1699="","",INDEX(상세표[성명],$P1699)&amp;"")</f>
        <v/>
      </c>
      <c r="C1699">
        <f>IF($P1699="","",INDEX(상세표[부서],$P1699)&amp;"")</f>
        <v/>
      </c>
      <c r="D1699">
        <f>IF($P1699="","",INDEX(상세표[직위],$P1699)&amp;"")</f>
        <v/>
      </c>
      <c r="E1699">
        <f>IF($P1699="","",IF(ISNUMBER(INDEX(상세표[시작],$P1699)),TEXT(INDEX(상세표[시작],$P1699),"yyyy-mm-dd hh:mm"),INDEX(상세표[시작],$P1699)&amp;""))</f>
        <v/>
      </c>
      <c r="F1699">
        <f>IF($P1699="","",IF(ISNUMBER(INDEX(상세표[블록종료],$P1699)),TEXT(INDEX(상세표[블록종료],$P1699),"yyyy-mm-dd hh:mm"),INDEX(상세표[블록종료],$P1699)&amp;""))</f>
        <v/>
      </c>
      <c r="G1699">
        <f>IF($P1699="","",CHOOSE(WEEKDAY(INDEX(상세표[시작],$P1699)),"일","월","화","수","목","금","토"))</f>
        <v/>
      </c>
      <c r="H1699">
        <f>IF($P1699="","",INDEX(상세표[연속 시간],$P1699))</f>
        <v/>
      </c>
      <c r="I1699">
        <f>IF($P1699="","",INDEX(상세표[기록 수],$P1699))</f>
        <v/>
      </c>
      <c r="J1699">
        <f>IF($P1699="","",INDEX(상세표[블록 06~07시],$P1699))</f>
        <v/>
      </c>
      <c r="K1699">
        <f>IF($P1699="","",INDEX(상세표[블록 07~18시],$P1699))</f>
        <v/>
      </c>
      <c r="L1699">
        <f>IF($P1699="","",INDEX(상세표[블록 18~22시],$P1699))</f>
        <v/>
      </c>
      <c r="M1699">
        <f>IF($P1699="","",INDEX(상세표[블록 22~06시],$P1699))</f>
        <v/>
      </c>
      <c r="N1699">
        <f>IF($P1699="","",INDEX(상세표[주말·휴일 포함],$P1699)&amp;"")</f>
        <v/>
      </c>
      <c r="O1699">
        <f>IF($P1699="","",INDEX(상세표[월 넘김 포함],$P1699)&amp;"")</f>
        <v/>
      </c>
      <c r="P1699" s="4">
        <f>IFERROR(MATCH(1694,상세표[연속순번],0),"")</f>
        <v/>
      </c>
    </row>
    <row r="1700">
      <c r="A1700">
        <f>IF($P1700="","",INDEX(상세표[사번],$P1700)&amp;"")</f>
        <v/>
      </c>
      <c r="B1700">
        <f>IF($P1700="","",INDEX(상세표[성명],$P1700)&amp;"")</f>
        <v/>
      </c>
      <c r="C1700">
        <f>IF($P1700="","",INDEX(상세표[부서],$P1700)&amp;"")</f>
        <v/>
      </c>
      <c r="D1700">
        <f>IF($P1700="","",INDEX(상세표[직위],$P1700)&amp;"")</f>
        <v/>
      </c>
      <c r="E1700">
        <f>IF($P1700="","",IF(ISNUMBER(INDEX(상세표[시작],$P1700)),TEXT(INDEX(상세표[시작],$P1700),"yyyy-mm-dd hh:mm"),INDEX(상세표[시작],$P1700)&amp;""))</f>
        <v/>
      </c>
      <c r="F1700">
        <f>IF($P1700="","",IF(ISNUMBER(INDEX(상세표[블록종료],$P1700)),TEXT(INDEX(상세표[블록종료],$P1700),"yyyy-mm-dd hh:mm"),INDEX(상세표[블록종료],$P1700)&amp;""))</f>
        <v/>
      </c>
      <c r="G1700">
        <f>IF($P1700="","",CHOOSE(WEEKDAY(INDEX(상세표[시작],$P1700)),"일","월","화","수","목","금","토"))</f>
        <v/>
      </c>
      <c r="H1700">
        <f>IF($P1700="","",INDEX(상세표[연속 시간],$P1700))</f>
        <v/>
      </c>
      <c r="I1700">
        <f>IF($P1700="","",INDEX(상세표[기록 수],$P1700))</f>
        <v/>
      </c>
      <c r="J1700">
        <f>IF($P1700="","",INDEX(상세표[블록 06~07시],$P1700))</f>
        <v/>
      </c>
      <c r="K1700">
        <f>IF($P1700="","",INDEX(상세표[블록 07~18시],$P1700))</f>
        <v/>
      </c>
      <c r="L1700">
        <f>IF($P1700="","",INDEX(상세표[블록 18~22시],$P1700))</f>
        <v/>
      </c>
      <c r="M1700">
        <f>IF($P1700="","",INDEX(상세표[블록 22~06시],$P1700))</f>
        <v/>
      </c>
      <c r="N1700">
        <f>IF($P1700="","",INDEX(상세표[주말·휴일 포함],$P1700)&amp;"")</f>
        <v/>
      </c>
      <c r="O1700">
        <f>IF($P1700="","",INDEX(상세표[월 넘김 포함],$P1700)&amp;"")</f>
        <v/>
      </c>
      <c r="P1700" s="4">
        <f>IFERROR(MATCH(1695,상세표[연속순번],0),"")</f>
        <v/>
      </c>
    </row>
    <row r="1701">
      <c r="A1701">
        <f>IF($P1701="","",INDEX(상세표[사번],$P1701)&amp;"")</f>
        <v/>
      </c>
      <c r="B1701">
        <f>IF($P1701="","",INDEX(상세표[성명],$P1701)&amp;"")</f>
        <v/>
      </c>
      <c r="C1701">
        <f>IF($P1701="","",INDEX(상세표[부서],$P1701)&amp;"")</f>
        <v/>
      </c>
      <c r="D1701">
        <f>IF($P1701="","",INDEX(상세표[직위],$P1701)&amp;"")</f>
        <v/>
      </c>
      <c r="E1701">
        <f>IF($P1701="","",IF(ISNUMBER(INDEX(상세표[시작],$P1701)),TEXT(INDEX(상세표[시작],$P1701),"yyyy-mm-dd hh:mm"),INDEX(상세표[시작],$P1701)&amp;""))</f>
        <v/>
      </c>
      <c r="F1701">
        <f>IF($P1701="","",IF(ISNUMBER(INDEX(상세표[블록종료],$P1701)),TEXT(INDEX(상세표[블록종료],$P1701),"yyyy-mm-dd hh:mm"),INDEX(상세표[블록종료],$P1701)&amp;""))</f>
        <v/>
      </c>
      <c r="G1701">
        <f>IF($P1701="","",CHOOSE(WEEKDAY(INDEX(상세표[시작],$P1701)),"일","월","화","수","목","금","토"))</f>
        <v/>
      </c>
      <c r="H1701">
        <f>IF($P1701="","",INDEX(상세표[연속 시간],$P1701))</f>
        <v/>
      </c>
      <c r="I1701">
        <f>IF($P1701="","",INDEX(상세표[기록 수],$P1701))</f>
        <v/>
      </c>
      <c r="J1701">
        <f>IF($P1701="","",INDEX(상세표[블록 06~07시],$P1701))</f>
        <v/>
      </c>
      <c r="K1701">
        <f>IF($P1701="","",INDEX(상세표[블록 07~18시],$P1701))</f>
        <v/>
      </c>
      <c r="L1701">
        <f>IF($P1701="","",INDEX(상세표[블록 18~22시],$P1701))</f>
        <v/>
      </c>
      <c r="M1701">
        <f>IF($P1701="","",INDEX(상세표[블록 22~06시],$P1701))</f>
        <v/>
      </c>
      <c r="N1701">
        <f>IF($P1701="","",INDEX(상세표[주말·휴일 포함],$P1701)&amp;"")</f>
        <v/>
      </c>
      <c r="O1701">
        <f>IF($P1701="","",INDEX(상세표[월 넘김 포함],$P1701)&amp;"")</f>
        <v/>
      </c>
      <c r="P1701" s="4">
        <f>IFERROR(MATCH(1696,상세표[연속순번],0),"")</f>
        <v/>
      </c>
    </row>
    <row r="1702">
      <c r="A1702">
        <f>IF($P1702="","",INDEX(상세표[사번],$P1702)&amp;"")</f>
        <v/>
      </c>
      <c r="B1702">
        <f>IF($P1702="","",INDEX(상세표[성명],$P1702)&amp;"")</f>
        <v/>
      </c>
      <c r="C1702">
        <f>IF($P1702="","",INDEX(상세표[부서],$P1702)&amp;"")</f>
        <v/>
      </c>
      <c r="D1702">
        <f>IF($P1702="","",INDEX(상세표[직위],$P1702)&amp;"")</f>
        <v/>
      </c>
      <c r="E1702">
        <f>IF($P1702="","",IF(ISNUMBER(INDEX(상세표[시작],$P1702)),TEXT(INDEX(상세표[시작],$P1702),"yyyy-mm-dd hh:mm"),INDEX(상세표[시작],$P1702)&amp;""))</f>
        <v/>
      </c>
      <c r="F1702">
        <f>IF($P1702="","",IF(ISNUMBER(INDEX(상세표[블록종료],$P1702)),TEXT(INDEX(상세표[블록종료],$P1702),"yyyy-mm-dd hh:mm"),INDEX(상세표[블록종료],$P1702)&amp;""))</f>
        <v/>
      </c>
      <c r="G1702">
        <f>IF($P1702="","",CHOOSE(WEEKDAY(INDEX(상세표[시작],$P1702)),"일","월","화","수","목","금","토"))</f>
        <v/>
      </c>
      <c r="H1702">
        <f>IF($P1702="","",INDEX(상세표[연속 시간],$P1702))</f>
        <v/>
      </c>
      <c r="I1702">
        <f>IF($P1702="","",INDEX(상세표[기록 수],$P1702))</f>
        <v/>
      </c>
      <c r="J1702">
        <f>IF($P1702="","",INDEX(상세표[블록 06~07시],$P1702))</f>
        <v/>
      </c>
      <c r="K1702">
        <f>IF($P1702="","",INDEX(상세표[블록 07~18시],$P1702))</f>
        <v/>
      </c>
      <c r="L1702">
        <f>IF($P1702="","",INDEX(상세표[블록 18~22시],$P1702))</f>
        <v/>
      </c>
      <c r="M1702">
        <f>IF($P1702="","",INDEX(상세표[블록 22~06시],$P1702))</f>
        <v/>
      </c>
      <c r="N1702">
        <f>IF($P1702="","",INDEX(상세표[주말·휴일 포함],$P1702)&amp;"")</f>
        <v/>
      </c>
      <c r="O1702">
        <f>IF($P1702="","",INDEX(상세표[월 넘김 포함],$P1702)&amp;"")</f>
        <v/>
      </c>
      <c r="P1702" s="4">
        <f>IFERROR(MATCH(1697,상세표[연속순번],0),"")</f>
        <v/>
      </c>
    </row>
    <row r="1703">
      <c r="A1703">
        <f>IF($P1703="","",INDEX(상세표[사번],$P1703)&amp;"")</f>
        <v/>
      </c>
      <c r="B1703">
        <f>IF($P1703="","",INDEX(상세표[성명],$P1703)&amp;"")</f>
        <v/>
      </c>
      <c r="C1703">
        <f>IF($P1703="","",INDEX(상세표[부서],$P1703)&amp;"")</f>
        <v/>
      </c>
      <c r="D1703">
        <f>IF($P1703="","",INDEX(상세표[직위],$P1703)&amp;"")</f>
        <v/>
      </c>
      <c r="E1703">
        <f>IF($P1703="","",IF(ISNUMBER(INDEX(상세표[시작],$P1703)),TEXT(INDEX(상세표[시작],$P1703),"yyyy-mm-dd hh:mm"),INDEX(상세표[시작],$P1703)&amp;""))</f>
        <v/>
      </c>
      <c r="F1703">
        <f>IF($P1703="","",IF(ISNUMBER(INDEX(상세표[블록종료],$P1703)),TEXT(INDEX(상세표[블록종료],$P1703),"yyyy-mm-dd hh:mm"),INDEX(상세표[블록종료],$P1703)&amp;""))</f>
        <v/>
      </c>
      <c r="G1703">
        <f>IF($P1703="","",CHOOSE(WEEKDAY(INDEX(상세표[시작],$P1703)),"일","월","화","수","목","금","토"))</f>
        <v/>
      </c>
      <c r="H1703">
        <f>IF($P1703="","",INDEX(상세표[연속 시간],$P1703))</f>
        <v/>
      </c>
      <c r="I1703">
        <f>IF($P1703="","",INDEX(상세표[기록 수],$P1703))</f>
        <v/>
      </c>
      <c r="J1703">
        <f>IF($P1703="","",INDEX(상세표[블록 06~07시],$P1703))</f>
        <v/>
      </c>
      <c r="K1703">
        <f>IF($P1703="","",INDEX(상세표[블록 07~18시],$P1703))</f>
        <v/>
      </c>
      <c r="L1703">
        <f>IF($P1703="","",INDEX(상세표[블록 18~22시],$P1703))</f>
        <v/>
      </c>
      <c r="M1703">
        <f>IF($P1703="","",INDEX(상세표[블록 22~06시],$P1703))</f>
        <v/>
      </c>
      <c r="N1703">
        <f>IF($P1703="","",INDEX(상세표[주말·휴일 포함],$P1703)&amp;"")</f>
        <v/>
      </c>
      <c r="O1703">
        <f>IF($P1703="","",INDEX(상세표[월 넘김 포함],$P1703)&amp;"")</f>
        <v/>
      </c>
      <c r="P1703" s="4">
        <f>IFERROR(MATCH(1698,상세표[연속순번],0),"")</f>
        <v/>
      </c>
    </row>
    <row r="1704">
      <c r="A1704">
        <f>IF($P1704="","",INDEX(상세표[사번],$P1704)&amp;"")</f>
        <v/>
      </c>
      <c r="B1704">
        <f>IF($P1704="","",INDEX(상세표[성명],$P1704)&amp;"")</f>
        <v/>
      </c>
      <c r="C1704">
        <f>IF($P1704="","",INDEX(상세표[부서],$P1704)&amp;"")</f>
        <v/>
      </c>
      <c r="D1704">
        <f>IF($P1704="","",INDEX(상세표[직위],$P1704)&amp;"")</f>
        <v/>
      </c>
      <c r="E1704">
        <f>IF($P1704="","",IF(ISNUMBER(INDEX(상세표[시작],$P1704)),TEXT(INDEX(상세표[시작],$P1704),"yyyy-mm-dd hh:mm"),INDEX(상세표[시작],$P1704)&amp;""))</f>
        <v/>
      </c>
      <c r="F1704">
        <f>IF($P1704="","",IF(ISNUMBER(INDEX(상세표[블록종료],$P1704)),TEXT(INDEX(상세표[블록종료],$P1704),"yyyy-mm-dd hh:mm"),INDEX(상세표[블록종료],$P1704)&amp;""))</f>
        <v/>
      </c>
      <c r="G1704">
        <f>IF($P1704="","",CHOOSE(WEEKDAY(INDEX(상세표[시작],$P1704)),"일","월","화","수","목","금","토"))</f>
        <v/>
      </c>
      <c r="H1704">
        <f>IF($P1704="","",INDEX(상세표[연속 시간],$P1704))</f>
        <v/>
      </c>
      <c r="I1704">
        <f>IF($P1704="","",INDEX(상세표[기록 수],$P1704))</f>
        <v/>
      </c>
      <c r="J1704">
        <f>IF($P1704="","",INDEX(상세표[블록 06~07시],$P1704))</f>
        <v/>
      </c>
      <c r="K1704">
        <f>IF($P1704="","",INDEX(상세표[블록 07~18시],$P1704))</f>
        <v/>
      </c>
      <c r="L1704">
        <f>IF($P1704="","",INDEX(상세표[블록 18~22시],$P1704))</f>
        <v/>
      </c>
      <c r="M1704">
        <f>IF($P1704="","",INDEX(상세표[블록 22~06시],$P1704))</f>
        <v/>
      </c>
      <c r="N1704">
        <f>IF($P1704="","",INDEX(상세표[주말·휴일 포함],$P1704)&amp;"")</f>
        <v/>
      </c>
      <c r="O1704">
        <f>IF($P1704="","",INDEX(상세표[월 넘김 포함],$P1704)&amp;"")</f>
        <v/>
      </c>
      <c r="P1704" s="4">
        <f>IFERROR(MATCH(1699,상세표[연속순번],0),"")</f>
        <v/>
      </c>
    </row>
    <row r="1705">
      <c r="A1705">
        <f>IF($P1705="","",INDEX(상세표[사번],$P1705)&amp;"")</f>
        <v/>
      </c>
      <c r="B1705">
        <f>IF($P1705="","",INDEX(상세표[성명],$P1705)&amp;"")</f>
        <v/>
      </c>
      <c r="C1705">
        <f>IF($P1705="","",INDEX(상세표[부서],$P1705)&amp;"")</f>
        <v/>
      </c>
      <c r="D1705">
        <f>IF($P1705="","",INDEX(상세표[직위],$P1705)&amp;"")</f>
        <v/>
      </c>
      <c r="E1705">
        <f>IF($P1705="","",IF(ISNUMBER(INDEX(상세표[시작],$P1705)),TEXT(INDEX(상세표[시작],$P1705),"yyyy-mm-dd hh:mm"),INDEX(상세표[시작],$P1705)&amp;""))</f>
        <v/>
      </c>
      <c r="F1705">
        <f>IF($P1705="","",IF(ISNUMBER(INDEX(상세표[블록종료],$P1705)),TEXT(INDEX(상세표[블록종료],$P1705),"yyyy-mm-dd hh:mm"),INDEX(상세표[블록종료],$P1705)&amp;""))</f>
        <v/>
      </c>
      <c r="G1705">
        <f>IF($P1705="","",CHOOSE(WEEKDAY(INDEX(상세표[시작],$P1705)),"일","월","화","수","목","금","토"))</f>
        <v/>
      </c>
      <c r="H1705">
        <f>IF($P1705="","",INDEX(상세표[연속 시간],$P1705))</f>
        <v/>
      </c>
      <c r="I1705">
        <f>IF($P1705="","",INDEX(상세표[기록 수],$P1705))</f>
        <v/>
      </c>
      <c r="J1705">
        <f>IF($P1705="","",INDEX(상세표[블록 06~07시],$P1705))</f>
        <v/>
      </c>
      <c r="K1705">
        <f>IF($P1705="","",INDEX(상세표[블록 07~18시],$P1705))</f>
        <v/>
      </c>
      <c r="L1705">
        <f>IF($P1705="","",INDEX(상세표[블록 18~22시],$P1705))</f>
        <v/>
      </c>
      <c r="M1705">
        <f>IF($P1705="","",INDEX(상세표[블록 22~06시],$P1705))</f>
        <v/>
      </c>
      <c r="N1705">
        <f>IF($P1705="","",INDEX(상세표[주말·휴일 포함],$P1705)&amp;"")</f>
        <v/>
      </c>
      <c r="O1705">
        <f>IF($P1705="","",INDEX(상세표[월 넘김 포함],$P1705)&amp;"")</f>
        <v/>
      </c>
      <c r="P1705" s="4">
        <f>IFERROR(MATCH(1700,상세표[연속순번],0),"")</f>
        <v/>
      </c>
    </row>
    <row r="1706">
      <c r="A1706">
        <f>IF($P1706="","",INDEX(상세표[사번],$P1706)&amp;"")</f>
        <v/>
      </c>
      <c r="B1706">
        <f>IF($P1706="","",INDEX(상세표[성명],$P1706)&amp;"")</f>
        <v/>
      </c>
      <c r="C1706">
        <f>IF($P1706="","",INDEX(상세표[부서],$P1706)&amp;"")</f>
        <v/>
      </c>
      <c r="D1706">
        <f>IF($P1706="","",INDEX(상세표[직위],$P1706)&amp;"")</f>
        <v/>
      </c>
      <c r="E1706">
        <f>IF($P1706="","",IF(ISNUMBER(INDEX(상세표[시작],$P1706)),TEXT(INDEX(상세표[시작],$P1706),"yyyy-mm-dd hh:mm"),INDEX(상세표[시작],$P1706)&amp;""))</f>
        <v/>
      </c>
      <c r="F1706">
        <f>IF($P1706="","",IF(ISNUMBER(INDEX(상세표[블록종료],$P1706)),TEXT(INDEX(상세표[블록종료],$P1706),"yyyy-mm-dd hh:mm"),INDEX(상세표[블록종료],$P1706)&amp;""))</f>
        <v/>
      </c>
      <c r="G1706">
        <f>IF($P1706="","",CHOOSE(WEEKDAY(INDEX(상세표[시작],$P1706)),"일","월","화","수","목","금","토"))</f>
        <v/>
      </c>
      <c r="H1706">
        <f>IF($P1706="","",INDEX(상세표[연속 시간],$P1706))</f>
        <v/>
      </c>
      <c r="I1706">
        <f>IF($P1706="","",INDEX(상세표[기록 수],$P1706))</f>
        <v/>
      </c>
      <c r="J1706">
        <f>IF($P1706="","",INDEX(상세표[블록 06~07시],$P1706))</f>
        <v/>
      </c>
      <c r="K1706">
        <f>IF($P1706="","",INDEX(상세표[블록 07~18시],$P1706))</f>
        <v/>
      </c>
      <c r="L1706">
        <f>IF($P1706="","",INDEX(상세표[블록 18~22시],$P1706))</f>
        <v/>
      </c>
      <c r="M1706">
        <f>IF($P1706="","",INDEX(상세표[블록 22~06시],$P1706))</f>
        <v/>
      </c>
      <c r="N1706">
        <f>IF($P1706="","",INDEX(상세표[주말·휴일 포함],$P1706)&amp;"")</f>
        <v/>
      </c>
      <c r="O1706">
        <f>IF($P1706="","",INDEX(상세표[월 넘김 포함],$P1706)&amp;"")</f>
        <v/>
      </c>
      <c r="P1706" s="4">
        <f>IFERROR(MATCH(1701,상세표[연속순번],0),"")</f>
        <v/>
      </c>
    </row>
    <row r="1707">
      <c r="A1707">
        <f>IF($P1707="","",INDEX(상세표[사번],$P1707)&amp;"")</f>
        <v/>
      </c>
      <c r="B1707">
        <f>IF($P1707="","",INDEX(상세표[성명],$P1707)&amp;"")</f>
        <v/>
      </c>
      <c r="C1707">
        <f>IF($P1707="","",INDEX(상세표[부서],$P1707)&amp;"")</f>
        <v/>
      </c>
      <c r="D1707">
        <f>IF($P1707="","",INDEX(상세표[직위],$P1707)&amp;"")</f>
        <v/>
      </c>
      <c r="E1707">
        <f>IF($P1707="","",IF(ISNUMBER(INDEX(상세표[시작],$P1707)),TEXT(INDEX(상세표[시작],$P1707),"yyyy-mm-dd hh:mm"),INDEX(상세표[시작],$P1707)&amp;""))</f>
        <v/>
      </c>
      <c r="F1707">
        <f>IF($P1707="","",IF(ISNUMBER(INDEX(상세표[블록종료],$P1707)),TEXT(INDEX(상세표[블록종료],$P1707),"yyyy-mm-dd hh:mm"),INDEX(상세표[블록종료],$P1707)&amp;""))</f>
        <v/>
      </c>
      <c r="G1707">
        <f>IF($P1707="","",CHOOSE(WEEKDAY(INDEX(상세표[시작],$P1707)),"일","월","화","수","목","금","토"))</f>
        <v/>
      </c>
      <c r="H1707">
        <f>IF($P1707="","",INDEX(상세표[연속 시간],$P1707))</f>
        <v/>
      </c>
      <c r="I1707">
        <f>IF($P1707="","",INDEX(상세표[기록 수],$P1707))</f>
        <v/>
      </c>
      <c r="J1707">
        <f>IF($P1707="","",INDEX(상세표[블록 06~07시],$P1707))</f>
        <v/>
      </c>
      <c r="K1707">
        <f>IF($P1707="","",INDEX(상세표[블록 07~18시],$P1707))</f>
        <v/>
      </c>
      <c r="L1707">
        <f>IF($P1707="","",INDEX(상세표[블록 18~22시],$P1707))</f>
        <v/>
      </c>
      <c r="M1707">
        <f>IF($P1707="","",INDEX(상세표[블록 22~06시],$P1707))</f>
        <v/>
      </c>
      <c r="N1707">
        <f>IF($P1707="","",INDEX(상세표[주말·휴일 포함],$P1707)&amp;"")</f>
        <v/>
      </c>
      <c r="O1707">
        <f>IF($P1707="","",INDEX(상세표[월 넘김 포함],$P1707)&amp;"")</f>
        <v/>
      </c>
      <c r="P1707" s="4">
        <f>IFERROR(MATCH(1702,상세표[연속순번],0),"")</f>
        <v/>
      </c>
    </row>
    <row r="1708">
      <c r="A1708">
        <f>IF($P1708="","",INDEX(상세표[사번],$P1708)&amp;"")</f>
        <v/>
      </c>
      <c r="B1708">
        <f>IF($P1708="","",INDEX(상세표[성명],$P1708)&amp;"")</f>
        <v/>
      </c>
      <c r="C1708">
        <f>IF($P1708="","",INDEX(상세표[부서],$P1708)&amp;"")</f>
        <v/>
      </c>
      <c r="D1708">
        <f>IF($P1708="","",INDEX(상세표[직위],$P1708)&amp;"")</f>
        <v/>
      </c>
      <c r="E1708">
        <f>IF($P1708="","",IF(ISNUMBER(INDEX(상세표[시작],$P1708)),TEXT(INDEX(상세표[시작],$P1708),"yyyy-mm-dd hh:mm"),INDEX(상세표[시작],$P1708)&amp;""))</f>
        <v/>
      </c>
      <c r="F1708">
        <f>IF($P1708="","",IF(ISNUMBER(INDEX(상세표[블록종료],$P1708)),TEXT(INDEX(상세표[블록종료],$P1708),"yyyy-mm-dd hh:mm"),INDEX(상세표[블록종료],$P1708)&amp;""))</f>
        <v/>
      </c>
      <c r="G1708">
        <f>IF($P1708="","",CHOOSE(WEEKDAY(INDEX(상세표[시작],$P1708)),"일","월","화","수","목","금","토"))</f>
        <v/>
      </c>
      <c r="H1708">
        <f>IF($P1708="","",INDEX(상세표[연속 시간],$P1708))</f>
        <v/>
      </c>
      <c r="I1708">
        <f>IF($P1708="","",INDEX(상세표[기록 수],$P1708))</f>
        <v/>
      </c>
      <c r="J1708">
        <f>IF($P1708="","",INDEX(상세표[블록 06~07시],$P1708))</f>
        <v/>
      </c>
      <c r="K1708">
        <f>IF($P1708="","",INDEX(상세표[블록 07~18시],$P1708))</f>
        <v/>
      </c>
      <c r="L1708">
        <f>IF($P1708="","",INDEX(상세표[블록 18~22시],$P1708))</f>
        <v/>
      </c>
      <c r="M1708">
        <f>IF($P1708="","",INDEX(상세표[블록 22~06시],$P1708))</f>
        <v/>
      </c>
      <c r="N1708">
        <f>IF($P1708="","",INDEX(상세표[주말·휴일 포함],$P1708)&amp;"")</f>
        <v/>
      </c>
      <c r="O1708">
        <f>IF($P1708="","",INDEX(상세표[월 넘김 포함],$P1708)&amp;"")</f>
        <v/>
      </c>
      <c r="P1708" s="4">
        <f>IFERROR(MATCH(1703,상세표[연속순번],0),"")</f>
        <v/>
      </c>
    </row>
    <row r="1709">
      <c r="A1709">
        <f>IF($P1709="","",INDEX(상세표[사번],$P1709)&amp;"")</f>
        <v/>
      </c>
      <c r="B1709">
        <f>IF($P1709="","",INDEX(상세표[성명],$P1709)&amp;"")</f>
        <v/>
      </c>
      <c r="C1709">
        <f>IF($P1709="","",INDEX(상세표[부서],$P1709)&amp;"")</f>
        <v/>
      </c>
      <c r="D1709">
        <f>IF($P1709="","",INDEX(상세표[직위],$P1709)&amp;"")</f>
        <v/>
      </c>
      <c r="E1709">
        <f>IF($P1709="","",IF(ISNUMBER(INDEX(상세표[시작],$P1709)),TEXT(INDEX(상세표[시작],$P1709),"yyyy-mm-dd hh:mm"),INDEX(상세표[시작],$P1709)&amp;""))</f>
        <v/>
      </c>
      <c r="F1709">
        <f>IF($P1709="","",IF(ISNUMBER(INDEX(상세표[블록종료],$P1709)),TEXT(INDEX(상세표[블록종료],$P1709),"yyyy-mm-dd hh:mm"),INDEX(상세표[블록종료],$P1709)&amp;""))</f>
        <v/>
      </c>
      <c r="G1709">
        <f>IF($P1709="","",CHOOSE(WEEKDAY(INDEX(상세표[시작],$P1709)),"일","월","화","수","목","금","토"))</f>
        <v/>
      </c>
      <c r="H1709">
        <f>IF($P1709="","",INDEX(상세표[연속 시간],$P1709))</f>
        <v/>
      </c>
      <c r="I1709">
        <f>IF($P1709="","",INDEX(상세표[기록 수],$P1709))</f>
        <v/>
      </c>
      <c r="J1709">
        <f>IF($P1709="","",INDEX(상세표[블록 06~07시],$P1709))</f>
        <v/>
      </c>
      <c r="K1709">
        <f>IF($P1709="","",INDEX(상세표[블록 07~18시],$P1709))</f>
        <v/>
      </c>
      <c r="L1709">
        <f>IF($P1709="","",INDEX(상세표[블록 18~22시],$P1709))</f>
        <v/>
      </c>
      <c r="M1709">
        <f>IF($P1709="","",INDEX(상세표[블록 22~06시],$P1709))</f>
        <v/>
      </c>
      <c r="N1709">
        <f>IF($P1709="","",INDEX(상세표[주말·휴일 포함],$P1709)&amp;"")</f>
        <v/>
      </c>
      <c r="O1709">
        <f>IF($P1709="","",INDEX(상세표[월 넘김 포함],$P1709)&amp;"")</f>
        <v/>
      </c>
      <c r="P1709" s="4">
        <f>IFERROR(MATCH(1704,상세표[연속순번],0),"")</f>
        <v/>
      </c>
    </row>
    <row r="1710">
      <c r="A1710">
        <f>IF($P1710="","",INDEX(상세표[사번],$P1710)&amp;"")</f>
        <v/>
      </c>
      <c r="B1710">
        <f>IF($P1710="","",INDEX(상세표[성명],$P1710)&amp;"")</f>
        <v/>
      </c>
      <c r="C1710">
        <f>IF($P1710="","",INDEX(상세표[부서],$P1710)&amp;"")</f>
        <v/>
      </c>
      <c r="D1710">
        <f>IF($P1710="","",INDEX(상세표[직위],$P1710)&amp;"")</f>
        <v/>
      </c>
      <c r="E1710">
        <f>IF($P1710="","",IF(ISNUMBER(INDEX(상세표[시작],$P1710)),TEXT(INDEX(상세표[시작],$P1710),"yyyy-mm-dd hh:mm"),INDEX(상세표[시작],$P1710)&amp;""))</f>
        <v/>
      </c>
      <c r="F1710">
        <f>IF($P1710="","",IF(ISNUMBER(INDEX(상세표[블록종료],$P1710)),TEXT(INDEX(상세표[블록종료],$P1710),"yyyy-mm-dd hh:mm"),INDEX(상세표[블록종료],$P1710)&amp;""))</f>
        <v/>
      </c>
      <c r="G1710">
        <f>IF($P1710="","",CHOOSE(WEEKDAY(INDEX(상세표[시작],$P1710)),"일","월","화","수","목","금","토"))</f>
        <v/>
      </c>
      <c r="H1710">
        <f>IF($P1710="","",INDEX(상세표[연속 시간],$P1710))</f>
        <v/>
      </c>
      <c r="I1710">
        <f>IF($P1710="","",INDEX(상세표[기록 수],$P1710))</f>
        <v/>
      </c>
      <c r="J1710">
        <f>IF($P1710="","",INDEX(상세표[블록 06~07시],$P1710))</f>
        <v/>
      </c>
      <c r="K1710">
        <f>IF($P1710="","",INDEX(상세표[블록 07~18시],$P1710))</f>
        <v/>
      </c>
      <c r="L1710">
        <f>IF($P1710="","",INDEX(상세표[블록 18~22시],$P1710))</f>
        <v/>
      </c>
      <c r="M1710">
        <f>IF($P1710="","",INDEX(상세표[블록 22~06시],$P1710))</f>
        <v/>
      </c>
      <c r="N1710">
        <f>IF($P1710="","",INDEX(상세표[주말·휴일 포함],$P1710)&amp;"")</f>
        <v/>
      </c>
      <c r="O1710">
        <f>IF($P1710="","",INDEX(상세표[월 넘김 포함],$P1710)&amp;"")</f>
        <v/>
      </c>
      <c r="P1710" s="4">
        <f>IFERROR(MATCH(1705,상세표[연속순번],0),"")</f>
        <v/>
      </c>
    </row>
    <row r="1711">
      <c r="A1711">
        <f>IF($P1711="","",INDEX(상세표[사번],$P1711)&amp;"")</f>
        <v/>
      </c>
      <c r="B1711">
        <f>IF($P1711="","",INDEX(상세표[성명],$P1711)&amp;"")</f>
        <v/>
      </c>
      <c r="C1711">
        <f>IF($P1711="","",INDEX(상세표[부서],$P1711)&amp;"")</f>
        <v/>
      </c>
      <c r="D1711">
        <f>IF($P1711="","",INDEX(상세표[직위],$P1711)&amp;"")</f>
        <v/>
      </c>
      <c r="E1711">
        <f>IF($P1711="","",IF(ISNUMBER(INDEX(상세표[시작],$P1711)),TEXT(INDEX(상세표[시작],$P1711),"yyyy-mm-dd hh:mm"),INDEX(상세표[시작],$P1711)&amp;""))</f>
        <v/>
      </c>
      <c r="F1711">
        <f>IF($P1711="","",IF(ISNUMBER(INDEX(상세표[블록종료],$P1711)),TEXT(INDEX(상세표[블록종료],$P1711),"yyyy-mm-dd hh:mm"),INDEX(상세표[블록종료],$P1711)&amp;""))</f>
        <v/>
      </c>
      <c r="G1711">
        <f>IF($P1711="","",CHOOSE(WEEKDAY(INDEX(상세표[시작],$P1711)),"일","월","화","수","목","금","토"))</f>
        <v/>
      </c>
      <c r="H1711">
        <f>IF($P1711="","",INDEX(상세표[연속 시간],$P1711))</f>
        <v/>
      </c>
      <c r="I1711">
        <f>IF($P1711="","",INDEX(상세표[기록 수],$P1711))</f>
        <v/>
      </c>
      <c r="J1711">
        <f>IF($P1711="","",INDEX(상세표[블록 06~07시],$P1711))</f>
        <v/>
      </c>
      <c r="K1711">
        <f>IF($P1711="","",INDEX(상세표[블록 07~18시],$P1711))</f>
        <v/>
      </c>
      <c r="L1711">
        <f>IF($P1711="","",INDEX(상세표[블록 18~22시],$P1711))</f>
        <v/>
      </c>
      <c r="M1711">
        <f>IF($P1711="","",INDEX(상세표[블록 22~06시],$P1711))</f>
        <v/>
      </c>
      <c r="N1711">
        <f>IF($P1711="","",INDEX(상세표[주말·휴일 포함],$P1711)&amp;"")</f>
        <v/>
      </c>
      <c r="O1711">
        <f>IF($P1711="","",INDEX(상세표[월 넘김 포함],$P1711)&amp;"")</f>
        <v/>
      </c>
      <c r="P1711" s="4">
        <f>IFERROR(MATCH(1706,상세표[연속순번],0),"")</f>
        <v/>
      </c>
    </row>
    <row r="1712">
      <c r="A1712">
        <f>IF($P1712="","",INDEX(상세표[사번],$P1712)&amp;"")</f>
        <v/>
      </c>
      <c r="B1712">
        <f>IF($P1712="","",INDEX(상세표[성명],$P1712)&amp;"")</f>
        <v/>
      </c>
      <c r="C1712">
        <f>IF($P1712="","",INDEX(상세표[부서],$P1712)&amp;"")</f>
        <v/>
      </c>
      <c r="D1712">
        <f>IF($P1712="","",INDEX(상세표[직위],$P1712)&amp;"")</f>
        <v/>
      </c>
      <c r="E1712">
        <f>IF($P1712="","",IF(ISNUMBER(INDEX(상세표[시작],$P1712)),TEXT(INDEX(상세표[시작],$P1712),"yyyy-mm-dd hh:mm"),INDEX(상세표[시작],$P1712)&amp;""))</f>
        <v/>
      </c>
      <c r="F1712">
        <f>IF($P1712="","",IF(ISNUMBER(INDEX(상세표[블록종료],$P1712)),TEXT(INDEX(상세표[블록종료],$P1712),"yyyy-mm-dd hh:mm"),INDEX(상세표[블록종료],$P1712)&amp;""))</f>
        <v/>
      </c>
      <c r="G1712">
        <f>IF($P1712="","",CHOOSE(WEEKDAY(INDEX(상세표[시작],$P1712)),"일","월","화","수","목","금","토"))</f>
        <v/>
      </c>
      <c r="H1712">
        <f>IF($P1712="","",INDEX(상세표[연속 시간],$P1712))</f>
        <v/>
      </c>
      <c r="I1712">
        <f>IF($P1712="","",INDEX(상세표[기록 수],$P1712))</f>
        <v/>
      </c>
      <c r="J1712">
        <f>IF($P1712="","",INDEX(상세표[블록 06~07시],$P1712))</f>
        <v/>
      </c>
      <c r="K1712">
        <f>IF($P1712="","",INDEX(상세표[블록 07~18시],$P1712))</f>
        <v/>
      </c>
      <c r="L1712">
        <f>IF($P1712="","",INDEX(상세표[블록 18~22시],$P1712))</f>
        <v/>
      </c>
      <c r="M1712">
        <f>IF($P1712="","",INDEX(상세표[블록 22~06시],$P1712))</f>
        <v/>
      </c>
      <c r="N1712">
        <f>IF($P1712="","",INDEX(상세표[주말·휴일 포함],$P1712)&amp;"")</f>
        <v/>
      </c>
      <c r="O1712">
        <f>IF($P1712="","",INDEX(상세표[월 넘김 포함],$P1712)&amp;"")</f>
        <v/>
      </c>
      <c r="P1712" s="4">
        <f>IFERROR(MATCH(1707,상세표[연속순번],0),"")</f>
        <v/>
      </c>
    </row>
    <row r="1713">
      <c r="A1713">
        <f>IF($P1713="","",INDEX(상세표[사번],$P1713)&amp;"")</f>
        <v/>
      </c>
      <c r="B1713">
        <f>IF($P1713="","",INDEX(상세표[성명],$P1713)&amp;"")</f>
        <v/>
      </c>
      <c r="C1713">
        <f>IF($P1713="","",INDEX(상세표[부서],$P1713)&amp;"")</f>
        <v/>
      </c>
      <c r="D1713">
        <f>IF($P1713="","",INDEX(상세표[직위],$P1713)&amp;"")</f>
        <v/>
      </c>
      <c r="E1713">
        <f>IF($P1713="","",IF(ISNUMBER(INDEX(상세표[시작],$P1713)),TEXT(INDEX(상세표[시작],$P1713),"yyyy-mm-dd hh:mm"),INDEX(상세표[시작],$P1713)&amp;""))</f>
        <v/>
      </c>
      <c r="F1713">
        <f>IF($P1713="","",IF(ISNUMBER(INDEX(상세표[블록종료],$P1713)),TEXT(INDEX(상세표[블록종료],$P1713),"yyyy-mm-dd hh:mm"),INDEX(상세표[블록종료],$P1713)&amp;""))</f>
        <v/>
      </c>
      <c r="G1713">
        <f>IF($P1713="","",CHOOSE(WEEKDAY(INDEX(상세표[시작],$P1713)),"일","월","화","수","목","금","토"))</f>
        <v/>
      </c>
      <c r="H1713">
        <f>IF($P1713="","",INDEX(상세표[연속 시간],$P1713))</f>
        <v/>
      </c>
      <c r="I1713">
        <f>IF($P1713="","",INDEX(상세표[기록 수],$P1713))</f>
        <v/>
      </c>
      <c r="J1713">
        <f>IF($P1713="","",INDEX(상세표[블록 06~07시],$P1713))</f>
        <v/>
      </c>
      <c r="K1713">
        <f>IF($P1713="","",INDEX(상세표[블록 07~18시],$P1713))</f>
        <v/>
      </c>
      <c r="L1713">
        <f>IF($P1713="","",INDEX(상세표[블록 18~22시],$P1713))</f>
        <v/>
      </c>
      <c r="M1713">
        <f>IF($P1713="","",INDEX(상세표[블록 22~06시],$P1713))</f>
        <v/>
      </c>
      <c r="N1713">
        <f>IF($P1713="","",INDEX(상세표[주말·휴일 포함],$P1713)&amp;"")</f>
        <v/>
      </c>
      <c r="O1713">
        <f>IF($P1713="","",INDEX(상세표[월 넘김 포함],$P1713)&amp;"")</f>
        <v/>
      </c>
      <c r="P1713" s="4">
        <f>IFERROR(MATCH(1708,상세표[연속순번],0),"")</f>
        <v/>
      </c>
    </row>
    <row r="1714">
      <c r="A1714">
        <f>IF($P1714="","",INDEX(상세표[사번],$P1714)&amp;"")</f>
        <v/>
      </c>
      <c r="B1714">
        <f>IF($P1714="","",INDEX(상세표[성명],$P1714)&amp;"")</f>
        <v/>
      </c>
      <c r="C1714">
        <f>IF($P1714="","",INDEX(상세표[부서],$P1714)&amp;"")</f>
        <v/>
      </c>
      <c r="D1714">
        <f>IF($P1714="","",INDEX(상세표[직위],$P1714)&amp;"")</f>
        <v/>
      </c>
      <c r="E1714">
        <f>IF($P1714="","",IF(ISNUMBER(INDEX(상세표[시작],$P1714)),TEXT(INDEX(상세표[시작],$P1714),"yyyy-mm-dd hh:mm"),INDEX(상세표[시작],$P1714)&amp;""))</f>
        <v/>
      </c>
      <c r="F1714">
        <f>IF($P1714="","",IF(ISNUMBER(INDEX(상세표[블록종료],$P1714)),TEXT(INDEX(상세표[블록종료],$P1714),"yyyy-mm-dd hh:mm"),INDEX(상세표[블록종료],$P1714)&amp;""))</f>
        <v/>
      </c>
      <c r="G1714">
        <f>IF($P1714="","",CHOOSE(WEEKDAY(INDEX(상세표[시작],$P1714)),"일","월","화","수","목","금","토"))</f>
        <v/>
      </c>
      <c r="H1714">
        <f>IF($P1714="","",INDEX(상세표[연속 시간],$P1714))</f>
        <v/>
      </c>
      <c r="I1714">
        <f>IF($P1714="","",INDEX(상세표[기록 수],$P1714))</f>
        <v/>
      </c>
      <c r="J1714">
        <f>IF($P1714="","",INDEX(상세표[블록 06~07시],$P1714))</f>
        <v/>
      </c>
      <c r="K1714">
        <f>IF($P1714="","",INDEX(상세표[블록 07~18시],$P1714))</f>
        <v/>
      </c>
      <c r="L1714">
        <f>IF($P1714="","",INDEX(상세표[블록 18~22시],$P1714))</f>
        <v/>
      </c>
      <c r="M1714">
        <f>IF($P1714="","",INDEX(상세표[블록 22~06시],$P1714))</f>
        <v/>
      </c>
      <c r="N1714">
        <f>IF($P1714="","",INDEX(상세표[주말·휴일 포함],$P1714)&amp;"")</f>
        <v/>
      </c>
      <c r="O1714">
        <f>IF($P1714="","",INDEX(상세표[월 넘김 포함],$P1714)&amp;"")</f>
        <v/>
      </c>
      <c r="P1714" s="4">
        <f>IFERROR(MATCH(1709,상세표[연속순번],0),"")</f>
        <v/>
      </c>
    </row>
    <row r="1715">
      <c r="A1715">
        <f>IF($P1715="","",INDEX(상세표[사번],$P1715)&amp;"")</f>
        <v/>
      </c>
      <c r="B1715">
        <f>IF($P1715="","",INDEX(상세표[성명],$P1715)&amp;"")</f>
        <v/>
      </c>
      <c r="C1715">
        <f>IF($P1715="","",INDEX(상세표[부서],$P1715)&amp;"")</f>
        <v/>
      </c>
      <c r="D1715">
        <f>IF($P1715="","",INDEX(상세표[직위],$P1715)&amp;"")</f>
        <v/>
      </c>
      <c r="E1715">
        <f>IF($P1715="","",IF(ISNUMBER(INDEX(상세표[시작],$P1715)),TEXT(INDEX(상세표[시작],$P1715),"yyyy-mm-dd hh:mm"),INDEX(상세표[시작],$P1715)&amp;""))</f>
        <v/>
      </c>
      <c r="F1715">
        <f>IF($P1715="","",IF(ISNUMBER(INDEX(상세표[블록종료],$P1715)),TEXT(INDEX(상세표[블록종료],$P1715),"yyyy-mm-dd hh:mm"),INDEX(상세표[블록종료],$P1715)&amp;""))</f>
        <v/>
      </c>
      <c r="G1715">
        <f>IF($P1715="","",CHOOSE(WEEKDAY(INDEX(상세표[시작],$P1715)),"일","월","화","수","목","금","토"))</f>
        <v/>
      </c>
      <c r="H1715">
        <f>IF($P1715="","",INDEX(상세표[연속 시간],$P1715))</f>
        <v/>
      </c>
      <c r="I1715">
        <f>IF($P1715="","",INDEX(상세표[기록 수],$P1715))</f>
        <v/>
      </c>
      <c r="J1715">
        <f>IF($P1715="","",INDEX(상세표[블록 06~07시],$P1715))</f>
        <v/>
      </c>
      <c r="K1715">
        <f>IF($P1715="","",INDEX(상세표[블록 07~18시],$P1715))</f>
        <v/>
      </c>
      <c r="L1715">
        <f>IF($P1715="","",INDEX(상세표[블록 18~22시],$P1715))</f>
        <v/>
      </c>
      <c r="M1715">
        <f>IF($P1715="","",INDEX(상세표[블록 22~06시],$P1715))</f>
        <v/>
      </c>
      <c r="N1715">
        <f>IF($P1715="","",INDEX(상세표[주말·휴일 포함],$P1715)&amp;"")</f>
        <v/>
      </c>
      <c r="O1715">
        <f>IF($P1715="","",INDEX(상세표[월 넘김 포함],$P1715)&amp;"")</f>
        <v/>
      </c>
      <c r="P1715" s="4">
        <f>IFERROR(MATCH(1710,상세표[연속순번],0),"")</f>
        <v/>
      </c>
    </row>
    <row r="1716">
      <c r="A1716">
        <f>IF($P1716="","",INDEX(상세표[사번],$P1716)&amp;"")</f>
        <v/>
      </c>
      <c r="B1716">
        <f>IF($P1716="","",INDEX(상세표[성명],$P1716)&amp;"")</f>
        <v/>
      </c>
      <c r="C1716">
        <f>IF($P1716="","",INDEX(상세표[부서],$P1716)&amp;"")</f>
        <v/>
      </c>
      <c r="D1716">
        <f>IF($P1716="","",INDEX(상세표[직위],$P1716)&amp;"")</f>
        <v/>
      </c>
      <c r="E1716">
        <f>IF($P1716="","",IF(ISNUMBER(INDEX(상세표[시작],$P1716)),TEXT(INDEX(상세표[시작],$P1716),"yyyy-mm-dd hh:mm"),INDEX(상세표[시작],$P1716)&amp;""))</f>
        <v/>
      </c>
      <c r="F1716">
        <f>IF($P1716="","",IF(ISNUMBER(INDEX(상세표[블록종료],$P1716)),TEXT(INDEX(상세표[블록종료],$P1716),"yyyy-mm-dd hh:mm"),INDEX(상세표[블록종료],$P1716)&amp;""))</f>
        <v/>
      </c>
      <c r="G1716">
        <f>IF($P1716="","",CHOOSE(WEEKDAY(INDEX(상세표[시작],$P1716)),"일","월","화","수","목","금","토"))</f>
        <v/>
      </c>
      <c r="H1716">
        <f>IF($P1716="","",INDEX(상세표[연속 시간],$P1716))</f>
        <v/>
      </c>
      <c r="I1716">
        <f>IF($P1716="","",INDEX(상세표[기록 수],$P1716))</f>
        <v/>
      </c>
      <c r="J1716">
        <f>IF($P1716="","",INDEX(상세표[블록 06~07시],$P1716))</f>
        <v/>
      </c>
      <c r="K1716">
        <f>IF($P1716="","",INDEX(상세표[블록 07~18시],$P1716))</f>
        <v/>
      </c>
      <c r="L1716">
        <f>IF($P1716="","",INDEX(상세표[블록 18~22시],$P1716))</f>
        <v/>
      </c>
      <c r="M1716">
        <f>IF($P1716="","",INDEX(상세표[블록 22~06시],$P1716))</f>
        <v/>
      </c>
      <c r="N1716">
        <f>IF($P1716="","",INDEX(상세표[주말·휴일 포함],$P1716)&amp;"")</f>
        <v/>
      </c>
      <c r="O1716">
        <f>IF($P1716="","",INDEX(상세표[월 넘김 포함],$P1716)&amp;"")</f>
        <v/>
      </c>
      <c r="P1716" s="4">
        <f>IFERROR(MATCH(1711,상세표[연속순번],0),"")</f>
        <v/>
      </c>
    </row>
    <row r="1717">
      <c r="A1717">
        <f>IF($P1717="","",INDEX(상세표[사번],$P1717)&amp;"")</f>
        <v/>
      </c>
      <c r="B1717">
        <f>IF($P1717="","",INDEX(상세표[성명],$P1717)&amp;"")</f>
        <v/>
      </c>
      <c r="C1717">
        <f>IF($P1717="","",INDEX(상세표[부서],$P1717)&amp;"")</f>
        <v/>
      </c>
      <c r="D1717">
        <f>IF($P1717="","",INDEX(상세표[직위],$P1717)&amp;"")</f>
        <v/>
      </c>
      <c r="E1717">
        <f>IF($P1717="","",IF(ISNUMBER(INDEX(상세표[시작],$P1717)),TEXT(INDEX(상세표[시작],$P1717),"yyyy-mm-dd hh:mm"),INDEX(상세표[시작],$P1717)&amp;""))</f>
        <v/>
      </c>
      <c r="F1717">
        <f>IF($P1717="","",IF(ISNUMBER(INDEX(상세표[블록종료],$P1717)),TEXT(INDEX(상세표[블록종료],$P1717),"yyyy-mm-dd hh:mm"),INDEX(상세표[블록종료],$P1717)&amp;""))</f>
        <v/>
      </c>
      <c r="G1717">
        <f>IF($P1717="","",CHOOSE(WEEKDAY(INDEX(상세표[시작],$P1717)),"일","월","화","수","목","금","토"))</f>
        <v/>
      </c>
      <c r="H1717">
        <f>IF($P1717="","",INDEX(상세표[연속 시간],$P1717))</f>
        <v/>
      </c>
      <c r="I1717">
        <f>IF($P1717="","",INDEX(상세표[기록 수],$P1717))</f>
        <v/>
      </c>
      <c r="J1717">
        <f>IF($P1717="","",INDEX(상세표[블록 06~07시],$P1717))</f>
        <v/>
      </c>
      <c r="K1717">
        <f>IF($P1717="","",INDEX(상세표[블록 07~18시],$P1717))</f>
        <v/>
      </c>
      <c r="L1717">
        <f>IF($P1717="","",INDEX(상세표[블록 18~22시],$P1717))</f>
        <v/>
      </c>
      <c r="M1717">
        <f>IF($P1717="","",INDEX(상세표[블록 22~06시],$P1717))</f>
        <v/>
      </c>
      <c r="N1717">
        <f>IF($P1717="","",INDEX(상세표[주말·휴일 포함],$P1717)&amp;"")</f>
        <v/>
      </c>
      <c r="O1717">
        <f>IF($P1717="","",INDEX(상세표[월 넘김 포함],$P1717)&amp;"")</f>
        <v/>
      </c>
      <c r="P1717" s="4">
        <f>IFERROR(MATCH(1712,상세표[연속순번],0),"")</f>
        <v/>
      </c>
    </row>
    <row r="1718">
      <c r="A1718">
        <f>IF($P1718="","",INDEX(상세표[사번],$P1718)&amp;"")</f>
        <v/>
      </c>
      <c r="B1718">
        <f>IF($P1718="","",INDEX(상세표[성명],$P1718)&amp;"")</f>
        <v/>
      </c>
      <c r="C1718">
        <f>IF($P1718="","",INDEX(상세표[부서],$P1718)&amp;"")</f>
        <v/>
      </c>
      <c r="D1718">
        <f>IF($P1718="","",INDEX(상세표[직위],$P1718)&amp;"")</f>
        <v/>
      </c>
      <c r="E1718">
        <f>IF($P1718="","",IF(ISNUMBER(INDEX(상세표[시작],$P1718)),TEXT(INDEX(상세표[시작],$P1718),"yyyy-mm-dd hh:mm"),INDEX(상세표[시작],$P1718)&amp;""))</f>
        <v/>
      </c>
      <c r="F1718">
        <f>IF($P1718="","",IF(ISNUMBER(INDEX(상세표[블록종료],$P1718)),TEXT(INDEX(상세표[블록종료],$P1718),"yyyy-mm-dd hh:mm"),INDEX(상세표[블록종료],$P1718)&amp;""))</f>
        <v/>
      </c>
      <c r="G1718">
        <f>IF($P1718="","",CHOOSE(WEEKDAY(INDEX(상세표[시작],$P1718)),"일","월","화","수","목","금","토"))</f>
        <v/>
      </c>
      <c r="H1718">
        <f>IF($P1718="","",INDEX(상세표[연속 시간],$P1718))</f>
        <v/>
      </c>
      <c r="I1718">
        <f>IF($P1718="","",INDEX(상세표[기록 수],$P1718))</f>
        <v/>
      </c>
      <c r="J1718">
        <f>IF($P1718="","",INDEX(상세표[블록 06~07시],$P1718))</f>
        <v/>
      </c>
      <c r="K1718">
        <f>IF($P1718="","",INDEX(상세표[블록 07~18시],$P1718))</f>
        <v/>
      </c>
      <c r="L1718">
        <f>IF($P1718="","",INDEX(상세표[블록 18~22시],$P1718))</f>
        <v/>
      </c>
      <c r="M1718">
        <f>IF($P1718="","",INDEX(상세표[블록 22~06시],$P1718))</f>
        <v/>
      </c>
      <c r="N1718">
        <f>IF($P1718="","",INDEX(상세표[주말·휴일 포함],$P1718)&amp;"")</f>
        <v/>
      </c>
      <c r="O1718">
        <f>IF($P1718="","",INDEX(상세표[월 넘김 포함],$P1718)&amp;"")</f>
        <v/>
      </c>
      <c r="P1718" s="4">
        <f>IFERROR(MATCH(1713,상세표[연속순번],0),"")</f>
        <v/>
      </c>
    </row>
    <row r="1719">
      <c r="A1719">
        <f>IF($P1719="","",INDEX(상세표[사번],$P1719)&amp;"")</f>
        <v/>
      </c>
      <c r="B1719">
        <f>IF($P1719="","",INDEX(상세표[성명],$P1719)&amp;"")</f>
        <v/>
      </c>
      <c r="C1719">
        <f>IF($P1719="","",INDEX(상세표[부서],$P1719)&amp;"")</f>
        <v/>
      </c>
      <c r="D1719">
        <f>IF($P1719="","",INDEX(상세표[직위],$P1719)&amp;"")</f>
        <v/>
      </c>
      <c r="E1719">
        <f>IF($P1719="","",IF(ISNUMBER(INDEX(상세표[시작],$P1719)),TEXT(INDEX(상세표[시작],$P1719),"yyyy-mm-dd hh:mm"),INDEX(상세표[시작],$P1719)&amp;""))</f>
        <v/>
      </c>
      <c r="F1719">
        <f>IF($P1719="","",IF(ISNUMBER(INDEX(상세표[블록종료],$P1719)),TEXT(INDEX(상세표[블록종료],$P1719),"yyyy-mm-dd hh:mm"),INDEX(상세표[블록종료],$P1719)&amp;""))</f>
        <v/>
      </c>
      <c r="G1719">
        <f>IF($P1719="","",CHOOSE(WEEKDAY(INDEX(상세표[시작],$P1719)),"일","월","화","수","목","금","토"))</f>
        <v/>
      </c>
      <c r="H1719">
        <f>IF($P1719="","",INDEX(상세표[연속 시간],$P1719))</f>
        <v/>
      </c>
      <c r="I1719">
        <f>IF($P1719="","",INDEX(상세표[기록 수],$P1719))</f>
        <v/>
      </c>
      <c r="J1719">
        <f>IF($P1719="","",INDEX(상세표[블록 06~07시],$P1719))</f>
        <v/>
      </c>
      <c r="K1719">
        <f>IF($P1719="","",INDEX(상세표[블록 07~18시],$P1719))</f>
        <v/>
      </c>
      <c r="L1719">
        <f>IF($P1719="","",INDEX(상세표[블록 18~22시],$P1719))</f>
        <v/>
      </c>
      <c r="M1719">
        <f>IF($P1719="","",INDEX(상세표[블록 22~06시],$P1719))</f>
        <v/>
      </c>
      <c r="N1719">
        <f>IF($P1719="","",INDEX(상세표[주말·휴일 포함],$P1719)&amp;"")</f>
        <v/>
      </c>
      <c r="O1719">
        <f>IF($P1719="","",INDEX(상세표[월 넘김 포함],$P1719)&amp;"")</f>
        <v/>
      </c>
      <c r="P1719" s="4">
        <f>IFERROR(MATCH(1714,상세표[연속순번],0),"")</f>
        <v/>
      </c>
    </row>
    <row r="1720">
      <c r="A1720">
        <f>IF($P1720="","",INDEX(상세표[사번],$P1720)&amp;"")</f>
        <v/>
      </c>
      <c r="B1720">
        <f>IF($P1720="","",INDEX(상세표[성명],$P1720)&amp;"")</f>
        <v/>
      </c>
      <c r="C1720">
        <f>IF($P1720="","",INDEX(상세표[부서],$P1720)&amp;"")</f>
        <v/>
      </c>
      <c r="D1720">
        <f>IF($P1720="","",INDEX(상세표[직위],$P1720)&amp;"")</f>
        <v/>
      </c>
      <c r="E1720">
        <f>IF($P1720="","",IF(ISNUMBER(INDEX(상세표[시작],$P1720)),TEXT(INDEX(상세표[시작],$P1720),"yyyy-mm-dd hh:mm"),INDEX(상세표[시작],$P1720)&amp;""))</f>
        <v/>
      </c>
      <c r="F1720">
        <f>IF($P1720="","",IF(ISNUMBER(INDEX(상세표[블록종료],$P1720)),TEXT(INDEX(상세표[블록종료],$P1720),"yyyy-mm-dd hh:mm"),INDEX(상세표[블록종료],$P1720)&amp;""))</f>
        <v/>
      </c>
      <c r="G1720">
        <f>IF($P1720="","",CHOOSE(WEEKDAY(INDEX(상세표[시작],$P1720)),"일","월","화","수","목","금","토"))</f>
        <v/>
      </c>
      <c r="H1720">
        <f>IF($P1720="","",INDEX(상세표[연속 시간],$P1720))</f>
        <v/>
      </c>
      <c r="I1720">
        <f>IF($P1720="","",INDEX(상세표[기록 수],$P1720))</f>
        <v/>
      </c>
      <c r="J1720">
        <f>IF($P1720="","",INDEX(상세표[블록 06~07시],$P1720))</f>
        <v/>
      </c>
      <c r="K1720">
        <f>IF($P1720="","",INDEX(상세표[블록 07~18시],$P1720))</f>
        <v/>
      </c>
      <c r="L1720">
        <f>IF($P1720="","",INDEX(상세표[블록 18~22시],$P1720))</f>
        <v/>
      </c>
      <c r="M1720">
        <f>IF($P1720="","",INDEX(상세표[블록 22~06시],$P1720))</f>
        <v/>
      </c>
      <c r="N1720">
        <f>IF($P1720="","",INDEX(상세표[주말·휴일 포함],$P1720)&amp;"")</f>
        <v/>
      </c>
      <c r="O1720">
        <f>IF($P1720="","",INDEX(상세표[월 넘김 포함],$P1720)&amp;"")</f>
        <v/>
      </c>
      <c r="P1720" s="4">
        <f>IFERROR(MATCH(1715,상세표[연속순번],0),"")</f>
        <v/>
      </c>
    </row>
    <row r="1721">
      <c r="A1721">
        <f>IF($P1721="","",INDEX(상세표[사번],$P1721)&amp;"")</f>
        <v/>
      </c>
      <c r="B1721">
        <f>IF($P1721="","",INDEX(상세표[성명],$P1721)&amp;"")</f>
        <v/>
      </c>
      <c r="C1721">
        <f>IF($P1721="","",INDEX(상세표[부서],$P1721)&amp;"")</f>
        <v/>
      </c>
      <c r="D1721">
        <f>IF($P1721="","",INDEX(상세표[직위],$P1721)&amp;"")</f>
        <v/>
      </c>
      <c r="E1721">
        <f>IF($P1721="","",IF(ISNUMBER(INDEX(상세표[시작],$P1721)),TEXT(INDEX(상세표[시작],$P1721),"yyyy-mm-dd hh:mm"),INDEX(상세표[시작],$P1721)&amp;""))</f>
        <v/>
      </c>
      <c r="F1721">
        <f>IF($P1721="","",IF(ISNUMBER(INDEX(상세표[블록종료],$P1721)),TEXT(INDEX(상세표[블록종료],$P1721),"yyyy-mm-dd hh:mm"),INDEX(상세표[블록종료],$P1721)&amp;""))</f>
        <v/>
      </c>
      <c r="G1721">
        <f>IF($P1721="","",CHOOSE(WEEKDAY(INDEX(상세표[시작],$P1721)),"일","월","화","수","목","금","토"))</f>
        <v/>
      </c>
      <c r="H1721">
        <f>IF($P1721="","",INDEX(상세표[연속 시간],$P1721))</f>
        <v/>
      </c>
      <c r="I1721">
        <f>IF($P1721="","",INDEX(상세표[기록 수],$P1721))</f>
        <v/>
      </c>
      <c r="J1721">
        <f>IF($P1721="","",INDEX(상세표[블록 06~07시],$P1721))</f>
        <v/>
      </c>
      <c r="K1721">
        <f>IF($P1721="","",INDEX(상세표[블록 07~18시],$P1721))</f>
        <v/>
      </c>
      <c r="L1721">
        <f>IF($P1721="","",INDEX(상세표[블록 18~22시],$P1721))</f>
        <v/>
      </c>
      <c r="M1721">
        <f>IF($P1721="","",INDEX(상세표[블록 22~06시],$P1721))</f>
        <v/>
      </c>
      <c r="N1721">
        <f>IF($P1721="","",INDEX(상세표[주말·휴일 포함],$P1721)&amp;"")</f>
        <v/>
      </c>
      <c r="O1721">
        <f>IF($P1721="","",INDEX(상세표[월 넘김 포함],$P1721)&amp;"")</f>
        <v/>
      </c>
      <c r="P1721" s="4">
        <f>IFERROR(MATCH(1716,상세표[연속순번],0),"")</f>
        <v/>
      </c>
    </row>
    <row r="1722">
      <c r="A1722">
        <f>IF($P1722="","",INDEX(상세표[사번],$P1722)&amp;"")</f>
        <v/>
      </c>
      <c r="B1722">
        <f>IF($P1722="","",INDEX(상세표[성명],$P1722)&amp;"")</f>
        <v/>
      </c>
      <c r="C1722">
        <f>IF($P1722="","",INDEX(상세표[부서],$P1722)&amp;"")</f>
        <v/>
      </c>
      <c r="D1722">
        <f>IF($P1722="","",INDEX(상세표[직위],$P1722)&amp;"")</f>
        <v/>
      </c>
      <c r="E1722">
        <f>IF($P1722="","",IF(ISNUMBER(INDEX(상세표[시작],$P1722)),TEXT(INDEX(상세표[시작],$P1722),"yyyy-mm-dd hh:mm"),INDEX(상세표[시작],$P1722)&amp;""))</f>
        <v/>
      </c>
      <c r="F1722">
        <f>IF($P1722="","",IF(ISNUMBER(INDEX(상세표[블록종료],$P1722)),TEXT(INDEX(상세표[블록종료],$P1722),"yyyy-mm-dd hh:mm"),INDEX(상세표[블록종료],$P1722)&amp;""))</f>
        <v/>
      </c>
      <c r="G1722">
        <f>IF($P1722="","",CHOOSE(WEEKDAY(INDEX(상세표[시작],$P1722)),"일","월","화","수","목","금","토"))</f>
        <v/>
      </c>
      <c r="H1722">
        <f>IF($P1722="","",INDEX(상세표[연속 시간],$P1722))</f>
        <v/>
      </c>
      <c r="I1722">
        <f>IF($P1722="","",INDEX(상세표[기록 수],$P1722))</f>
        <v/>
      </c>
      <c r="J1722">
        <f>IF($P1722="","",INDEX(상세표[블록 06~07시],$P1722))</f>
        <v/>
      </c>
      <c r="K1722">
        <f>IF($P1722="","",INDEX(상세표[블록 07~18시],$P1722))</f>
        <v/>
      </c>
      <c r="L1722">
        <f>IF($P1722="","",INDEX(상세표[블록 18~22시],$P1722))</f>
        <v/>
      </c>
      <c r="M1722">
        <f>IF($P1722="","",INDEX(상세표[블록 22~06시],$P1722))</f>
        <v/>
      </c>
      <c r="N1722">
        <f>IF($P1722="","",INDEX(상세표[주말·휴일 포함],$P1722)&amp;"")</f>
        <v/>
      </c>
      <c r="O1722">
        <f>IF($P1722="","",INDEX(상세표[월 넘김 포함],$P1722)&amp;"")</f>
        <v/>
      </c>
      <c r="P1722" s="4">
        <f>IFERROR(MATCH(1717,상세표[연속순번],0),"")</f>
        <v/>
      </c>
    </row>
    <row r="1723">
      <c r="A1723">
        <f>IF($P1723="","",INDEX(상세표[사번],$P1723)&amp;"")</f>
        <v/>
      </c>
      <c r="B1723">
        <f>IF($P1723="","",INDEX(상세표[성명],$P1723)&amp;"")</f>
        <v/>
      </c>
      <c r="C1723">
        <f>IF($P1723="","",INDEX(상세표[부서],$P1723)&amp;"")</f>
        <v/>
      </c>
      <c r="D1723">
        <f>IF($P1723="","",INDEX(상세표[직위],$P1723)&amp;"")</f>
        <v/>
      </c>
      <c r="E1723">
        <f>IF($P1723="","",IF(ISNUMBER(INDEX(상세표[시작],$P1723)),TEXT(INDEX(상세표[시작],$P1723),"yyyy-mm-dd hh:mm"),INDEX(상세표[시작],$P1723)&amp;""))</f>
        <v/>
      </c>
      <c r="F1723">
        <f>IF($P1723="","",IF(ISNUMBER(INDEX(상세표[블록종료],$P1723)),TEXT(INDEX(상세표[블록종료],$P1723),"yyyy-mm-dd hh:mm"),INDEX(상세표[블록종료],$P1723)&amp;""))</f>
        <v/>
      </c>
      <c r="G1723">
        <f>IF($P1723="","",CHOOSE(WEEKDAY(INDEX(상세표[시작],$P1723)),"일","월","화","수","목","금","토"))</f>
        <v/>
      </c>
      <c r="H1723">
        <f>IF($P1723="","",INDEX(상세표[연속 시간],$P1723))</f>
        <v/>
      </c>
      <c r="I1723">
        <f>IF($P1723="","",INDEX(상세표[기록 수],$P1723))</f>
        <v/>
      </c>
      <c r="J1723">
        <f>IF($P1723="","",INDEX(상세표[블록 06~07시],$P1723))</f>
        <v/>
      </c>
      <c r="K1723">
        <f>IF($P1723="","",INDEX(상세표[블록 07~18시],$P1723))</f>
        <v/>
      </c>
      <c r="L1723">
        <f>IF($P1723="","",INDEX(상세표[블록 18~22시],$P1723))</f>
        <v/>
      </c>
      <c r="M1723">
        <f>IF($P1723="","",INDEX(상세표[블록 22~06시],$P1723))</f>
        <v/>
      </c>
      <c r="N1723">
        <f>IF($P1723="","",INDEX(상세표[주말·휴일 포함],$P1723)&amp;"")</f>
        <v/>
      </c>
      <c r="O1723">
        <f>IF($P1723="","",INDEX(상세표[월 넘김 포함],$P1723)&amp;"")</f>
        <v/>
      </c>
      <c r="P1723" s="4">
        <f>IFERROR(MATCH(1718,상세표[연속순번],0),"")</f>
        <v/>
      </c>
    </row>
    <row r="1724">
      <c r="A1724">
        <f>IF($P1724="","",INDEX(상세표[사번],$P1724)&amp;"")</f>
        <v/>
      </c>
      <c r="B1724">
        <f>IF($P1724="","",INDEX(상세표[성명],$P1724)&amp;"")</f>
        <v/>
      </c>
      <c r="C1724">
        <f>IF($P1724="","",INDEX(상세표[부서],$P1724)&amp;"")</f>
        <v/>
      </c>
      <c r="D1724">
        <f>IF($P1724="","",INDEX(상세표[직위],$P1724)&amp;"")</f>
        <v/>
      </c>
      <c r="E1724">
        <f>IF($P1724="","",IF(ISNUMBER(INDEX(상세표[시작],$P1724)),TEXT(INDEX(상세표[시작],$P1724),"yyyy-mm-dd hh:mm"),INDEX(상세표[시작],$P1724)&amp;""))</f>
        <v/>
      </c>
      <c r="F1724">
        <f>IF($P1724="","",IF(ISNUMBER(INDEX(상세표[블록종료],$P1724)),TEXT(INDEX(상세표[블록종료],$P1724),"yyyy-mm-dd hh:mm"),INDEX(상세표[블록종료],$P1724)&amp;""))</f>
        <v/>
      </c>
      <c r="G1724">
        <f>IF($P1724="","",CHOOSE(WEEKDAY(INDEX(상세표[시작],$P1724)),"일","월","화","수","목","금","토"))</f>
        <v/>
      </c>
      <c r="H1724">
        <f>IF($P1724="","",INDEX(상세표[연속 시간],$P1724))</f>
        <v/>
      </c>
      <c r="I1724">
        <f>IF($P1724="","",INDEX(상세표[기록 수],$P1724))</f>
        <v/>
      </c>
      <c r="J1724">
        <f>IF($P1724="","",INDEX(상세표[블록 06~07시],$P1724))</f>
        <v/>
      </c>
      <c r="K1724">
        <f>IF($P1724="","",INDEX(상세표[블록 07~18시],$P1724))</f>
        <v/>
      </c>
      <c r="L1724">
        <f>IF($P1724="","",INDEX(상세표[블록 18~22시],$P1724))</f>
        <v/>
      </c>
      <c r="M1724">
        <f>IF($P1724="","",INDEX(상세표[블록 22~06시],$P1724))</f>
        <v/>
      </c>
      <c r="N1724">
        <f>IF($P1724="","",INDEX(상세표[주말·휴일 포함],$P1724)&amp;"")</f>
        <v/>
      </c>
      <c r="O1724">
        <f>IF($P1724="","",INDEX(상세표[월 넘김 포함],$P1724)&amp;"")</f>
        <v/>
      </c>
      <c r="P1724" s="4">
        <f>IFERROR(MATCH(1719,상세표[연속순번],0),"")</f>
        <v/>
      </c>
    </row>
    <row r="1725">
      <c r="A1725">
        <f>IF($P1725="","",INDEX(상세표[사번],$P1725)&amp;"")</f>
        <v/>
      </c>
      <c r="B1725">
        <f>IF($P1725="","",INDEX(상세표[성명],$P1725)&amp;"")</f>
        <v/>
      </c>
      <c r="C1725">
        <f>IF($P1725="","",INDEX(상세표[부서],$P1725)&amp;"")</f>
        <v/>
      </c>
      <c r="D1725">
        <f>IF($P1725="","",INDEX(상세표[직위],$P1725)&amp;"")</f>
        <v/>
      </c>
      <c r="E1725">
        <f>IF($P1725="","",IF(ISNUMBER(INDEX(상세표[시작],$P1725)),TEXT(INDEX(상세표[시작],$P1725),"yyyy-mm-dd hh:mm"),INDEX(상세표[시작],$P1725)&amp;""))</f>
        <v/>
      </c>
      <c r="F1725">
        <f>IF($P1725="","",IF(ISNUMBER(INDEX(상세표[블록종료],$P1725)),TEXT(INDEX(상세표[블록종료],$P1725),"yyyy-mm-dd hh:mm"),INDEX(상세표[블록종료],$P1725)&amp;""))</f>
        <v/>
      </c>
      <c r="G1725">
        <f>IF($P1725="","",CHOOSE(WEEKDAY(INDEX(상세표[시작],$P1725)),"일","월","화","수","목","금","토"))</f>
        <v/>
      </c>
      <c r="H1725">
        <f>IF($P1725="","",INDEX(상세표[연속 시간],$P1725))</f>
        <v/>
      </c>
      <c r="I1725">
        <f>IF($P1725="","",INDEX(상세표[기록 수],$P1725))</f>
        <v/>
      </c>
      <c r="J1725">
        <f>IF($P1725="","",INDEX(상세표[블록 06~07시],$P1725))</f>
        <v/>
      </c>
      <c r="K1725">
        <f>IF($P1725="","",INDEX(상세표[블록 07~18시],$P1725))</f>
        <v/>
      </c>
      <c r="L1725">
        <f>IF($P1725="","",INDEX(상세표[블록 18~22시],$P1725))</f>
        <v/>
      </c>
      <c r="M1725">
        <f>IF($P1725="","",INDEX(상세표[블록 22~06시],$P1725))</f>
        <v/>
      </c>
      <c r="N1725">
        <f>IF($P1725="","",INDEX(상세표[주말·휴일 포함],$P1725)&amp;"")</f>
        <v/>
      </c>
      <c r="O1725">
        <f>IF($P1725="","",INDEX(상세표[월 넘김 포함],$P1725)&amp;"")</f>
        <v/>
      </c>
      <c r="P1725" s="4">
        <f>IFERROR(MATCH(1720,상세표[연속순번],0),"")</f>
        <v/>
      </c>
    </row>
    <row r="1726">
      <c r="A1726">
        <f>IF($P1726="","",INDEX(상세표[사번],$P1726)&amp;"")</f>
        <v/>
      </c>
      <c r="B1726">
        <f>IF($P1726="","",INDEX(상세표[성명],$P1726)&amp;"")</f>
        <v/>
      </c>
      <c r="C1726">
        <f>IF($P1726="","",INDEX(상세표[부서],$P1726)&amp;"")</f>
        <v/>
      </c>
      <c r="D1726">
        <f>IF($P1726="","",INDEX(상세표[직위],$P1726)&amp;"")</f>
        <v/>
      </c>
      <c r="E1726">
        <f>IF($P1726="","",IF(ISNUMBER(INDEX(상세표[시작],$P1726)),TEXT(INDEX(상세표[시작],$P1726),"yyyy-mm-dd hh:mm"),INDEX(상세표[시작],$P1726)&amp;""))</f>
        <v/>
      </c>
      <c r="F1726">
        <f>IF($P1726="","",IF(ISNUMBER(INDEX(상세표[블록종료],$P1726)),TEXT(INDEX(상세표[블록종료],$P1726),"yyyy-mm-dd hh:mm"),INDEX(상세표[블록종료],$P1726)&amp;""))</f>
        <v/>
      </c>
      <c r="G1726">
        <f>IF($P1726="","",CHOOSE(WEEKDAY(INDEX(상세표[시작],$P1726)),"일","월","화","수","목","금","토"))</f>
        <v/>
      </c>
      <c r="H1726">
        <f>IF($P1726="","",INDEX(상세표[연속 시간],$P1726))</f>
        <v/>
      </c>
      <c r="I1726">
        <f>IF($P1726="","",INDEX(상세표[기록 수],$P1726))</f>
        <v/>
      </c>
      <c r="J1726">
        <f>IF($P1726="","",INDEX(상세표[블록 06~07시],$P1726))</f>
        <v/>
      </c>
      <c r="K1726">
        <f>IF($P1726="","",INDEX(상세표[블록 07~18시],$P1726))</f>
        <v/>
      </c>
      <c r="L1726">
        <f>IF($P1726="","",INDEX(상세표[블록 18~22시],$P1726))</f>
        <v/>
      </c>
      <c r="M1726">
        <f>IF($P1726="","",INDEX(상세표[블록 22~06시],$P1726))</f>
        <v/>
      </c>
      <c r="N1726">
        <f>IF($P1726="","",INDEX(상세표[주말·휴일 포함],$P1726)&amp;"")</f>
        <v/>
      </c>
      <c r="O1726">
        <f>IF($P1726="","",INDEX(상세표[월 넘김 포함],$P1726)&amp;"")</f>
        <v/>
      </c>
      <c r="P1726" s="4">
        <f>IFERROR(MATCH(1721,상세표[연속순번],0),"")</f>
        <v/>
      </c>
    </row>
    <row r="1727">
      <c r="A1727">
        <f>IF($P1727="","",INDEX(상세표[사번],$P1727)&amp;"")</f>
        <v/>
      </c>
      <c r="B1727">
        <f>IF($P1727="","",INDEX(상세표[성명],$P1727)&amp;"")</f>
        <v/>
      </c>
      <c r="C1727">
        <f>IF($P1727="","",INDEX(상세표[부서],$P1727)&amp;"")</f>
        <v/>
      </c>
      <c r="D1727">
        <f>IF($P1727="","",INDEX(상세표[직위],$P1727)&amp;"")</f>
        <v/>
      </c>
      <c r="E1727">
        <f>IF($P1727="","",IF(ISNUMBER(INDEX(상세표[시작],$P1727)),TEXT(INDEX(상세표[시작],$P1727),"yyyy-mm-dd hh:mm"),INDEX(상세표[시작],$P1727)&amp;""))</f>
        <v/>
      </c>
      <c r="F1727">
        <f>IF($P1727="","",IF(ISNUMBER(INDEX(상세표[블록종료],$P1727)),TEXT(INDEX(상세표[블록종료],$P1727),"yyyy-mm-dd hh:mm"),INDEX(상세표[블록종료],$P1727)&amp;""))</f>
        <v/>
      </c>
      <c r="G1727">
        <f>IF($P1727="","",CHOOSE(WEEKDAY(INDEX(상세표[시작],$P1727)),"일","월","화","수","목","금","토"))</f>
        <v/>
      </c>
      <c r="H1727">
        <f>IF($P1727="","",INDEX(상세표[연속 시간],$P1727))</f>
        <v/>
      </c>
      <c r="I1727">
        <f>IF($P1727="","",INDEX(상세표[기록 수],$P1727))</f>
        <v/>
      </c>
      <c r="J1727">
        <f>IF($P1727="","",INDEX(상세표[블록 06~07시],$P1727))</f>
        <v/>
      </c>
      <c r="K1727">
        <f>IF($P1727="","",INDEX(상세표[블록 07~18시],$P1727))</f>
        <v/>
      </c>
      <c r="L1727">
        <f>IF($P1727="","",INDEX(상세표[블록 18~22시],$P1727))</f>
        <v/>
      </c>
      <c r="M1727">
        <f>IF($P1727="","",INDEX(상세표[블록 22~06시],$P1727))</f>
        <v/>
      </c>
      <c r="N1727">
        <f>IF($P1727="","",INDEX(상세표[주말·휴일 포함],$P1727)&amp;"")</f>
        <v/>
      </c>
      <c r="O1727">
        <f>IF($P1727="","",INDEX(상세표[월 넘김 포함],$P1727)&amp;"")</f>
        <v/>
      </c>
      <c r="P1727" s="4">
        <f>IFERROR(MATCH(1722,상세표[연속순번],0),"")</f>
        <v/>
      </c>
    </row>
    <row r="1728">
      <c r="A1728">
        <f>IF($P1728="","",INDEX(상세표[사번],$P1728)&amp;"")</f>
        <v/>
      </c>
      <c r="B1728">
        <f>IF($P1728="","",INDEX(상세표[성명],$P1728)&amp;"")</f>
        <v/>
      </c>
      <c r="C1728">
        <f>IF($P1728="","",INDEX(상세표[부서],$P1728)&amp;"")</f>
        <v/>
      </c>
      <c r="D1728">
        <f>IF($P1728="","",INDEX(상세표[직위],$P1728)&amp;"")</f>
        <v/>
      </c>
      <c r="E1728">
        <f>IF($P1728="","",IF(ISNUMBER(INDEX(상세표[시작],$P1728)),TEXT(INDEX(상세표[시작],$P1728),"yyyy-mm-dd hh:mm"),INDEX(상세표[시작],$P1728)&amp;""))</f>
        <v/>
      </c>
      <c r="F1728">
        <f>IF($P1728="","",IF(ISNUMBER(INDEX(상세표[블록종료],$P1728)),TEXT(INDEX(상세표[블록종료],$P1728),"yyyy-mm-dd hh:mm"),INDEX(상세표[블록종료],$P1728)&amp;""))</f>
        <v/>
      </c>
      <c r="G1728">
        <f>IF($P1728="","",CHOOSE(WEEKDAY(INDEX(상세표[시작],$P1728)),"일","월","화","수","목","금","토"))</f>
        <v/>
      </c>
      <c r="H1728">
        <f>IF($P1728="","",INDEX(상세표[연속 시간],$P1728))</f>
        <v/>
      </c>
      <c r="I1728">
        <f>IF($P1728="","",INDEX(상세표[기록 수],$P1728))</f>
        <v/>
      </c>
      <c r="J1728">
        <f>IF($P1728="","",INDEX(상세표[블록 06~07시],$P1728))</f>
        <v/>
      </c>
      <c r="K1728">
        <f>IF($P1728="","",INDEX(상세표[블록 07~18시],$P1728))</f>
        <v/>
      </c>
      <c r="L1728">
        <f>IF($P1728="","",INDEX(상세표[블록 18~22시],$P1728))</f>
        <v/>
      </c>
      <c r="M1728">
        <f>IF($P1728="","",INDEX(상세표[블록 22~06시],$P1728))</f>
        <v/>
      </c>
      <c r="N1728">
        <f>IF($P1728="","",INDEX(상세표[주말·휴일 포함],$P1728)&amp;"")</f>
        <v/>
      </c>
      <c r="O1728">
        <f>IF($P1728="","",INDEX(상세표[월 넘김 포함],$P1728)&amp;"")</f>
        <v/>
      </c>
      <c r="P1728" s="4">
        <f>IFERROR(MATCH(1723,상세표[연속순번],0),"")</f>
        <v/>
      </c>
    </row>
    <row r="1729">
      <c r="A1729">
        <f>IF($P1729="","",INDEX(상세표[사번],$P1729)&amp;"")</f>
        <v/>
      </c>
      <c r="B1729">
        <f>IF($P1729="","",INDEX(상세표[성명],$P1729)&amp;"")</f>
        <v/>
      </c>
      <c r="C1729">
        <f>IF($P1729="","",INDEX(상세표[부서],$P1729)&amp;"")</f>
        <v/>
      </c>
      <c r="D1729">
        <f>IF($P1729="","",INDEX(상세표[직위],$P1729)&amp;"")</f>
        <v/>
      </c>
      <c r="E1729">
        <f>IF($P1729="","",IF(ISNUMBER(INDEX(상세표[시작],$P1729)),TEXT(INDEX(상세표[시작],$P1729),"yyyy-mm-dd hh:mm"),INDEX(상세표[시작],$P1729)&amp;""))</f>
        <v/>
      </c>
      <c r="F1729">
        <f>IF($P1729="","",IF(ISNUMBER(INDEX(상세표[블록종료],$P1729)),TEXT(INDEX(상세표[블록종료],$P1729),"yyyy-mm-dd hh:mm"),INDEX(상세표[블록종료],$P1729)&amp;""))</f>
        <v/>
      </c>
      <c r="G1729">
        <f>IF($P1729="","",CHOOSE(WEEKDAY(INDEX(상세표[시작],$P1729)),"일","월","화","수","목","금","토"))</f>
        <v/>
      </c>
      <c r="H1729">
        <f>IF($P1729="","",INDEX(상세표[연속 시간],$P1729))</f>
        <v/>
      </c>
      <c r="I1729">
        <f>IF($P1729="","",INDEX(상세표[기록 수],$P1729))</f>
        <v/>
      </c>
      <c r="J1729">
        <f>IF($P1729="","",INDEX(상세표[블록 06~07시],$P1729))</f>
        <v/>
      </c>
      <c r="K1729">
        <f>IF($P1729="","",INDEX(상세표[블록 07~18시],$P1729))</f>
        <v/>
      </c>
      <c r="L1729">
        <f>IF($P1729="","",INDEX(상세표[블록 18~22시],$P1729))</f>
        <v/>
      </c>
      <c r="M1729">
        <f>IF($P1729="","",INDEX(상세표[블록 22~06시],$P1729))</f>
        <v/>
      </c>
      <c r="N1729">
        <f>IF($P1729="","",INDEX(상세표[주말·휴일 포함],$P1729)&amp;"")</f>
        <v/>
      </c>
      <c r="O1729">
        <f>IF($P1729="","",INDEX(상세표[월 넘김 포함],$P1729)&amp;"")</f>
        <v/>
      </c>
      <c r="P1729" s="4">
        <f>IFERROR(MATCH(1724,상세표[연속순번],0),"")</f>
        <v/>
      </c>
    </row>
    <row r="1730">
      <c r="A1730">
        <f>IF($P1730="","",INDEX(상세표[사번],$P1730)&amp;"")</f>
        <v/>
      </c>
      <c r="B1730">
        <f>IF($P1730="","",INDEX(상세표[성명],$P1730)&amp;"")</f>
        <v/>
      </c>
      <c r="C1730">
        <f>IF($P1730="","",INDEX(상세표[부서],$P1730)&amp;"")</f>
        <v/>
      </c>
      <c r="D1730">
        <f>IF($P1730="","",INDEX(상세표[직위],$P1730)&amp;"")</f>
        <v/>
      </c>
      <c r="E1730">
        <f>IF($P1730="","",IF(ISNUMBER(INDEX(상세표[시작],$P1730)),TEXT(INDEX(상세표[시작],$P1730),"yyyy-mm-dd hh:mm"),INDEX(상세표[시작],$P1730)&amp;""))</f>
        <v/>
      </c>
      <c r="F1730">
        <f>IF($P1730="","",IF(ISNUMBER(INDEX(상세표[블록종료],$P1730)),TEXT(INDEX(상세표[블록종료],$P1730),"yyyy-mm-dd hh:mm"),INDEX(상세표[블록종료],$P1730)&amp;""))</f>
        <v/>
      </c>
      <c r="G1730">
        <f>IF($P1730="","",CHOOSE(WEEKDAY(INDEX(상세표[시작],$P1730)),"일","월","화","수","목","금","토"))</f>
        <v/>
      </c>
      <c r="H1730">
        <f>IF($P1730="","",INDEX(상세표[연속 시간],$P1730))</f>
        <v/>
      </c>
      <c r="I1730">
        <f>IF($P1730="","",INDEX(상세표[기록 수],$P1730))</f>
        <v/>
      </c>
      <c r="J1730">
        <f>IF($P1730="","",INDEX(상세표[블록 06~07시],$P1730))</f>
        <v/>
      </c>
      <c r="K1730">
        <f>IF($P1730="","",INDEX(상세표[블록 07~18시],$P1730))</f>
        <v/>
      </c>
      <c r="L1730">
        <f>IF($P1730="","",INDEX(상세표[블록 18~22시],$P1730))</f>
        <v/>
      </c>
      <c r="M1730">
        <f>IF($P1730="","",INDEX(상세표[블록 22~06시],$P1730))</f>
        <v/>
      </c>
      <c r="N1730">
        <f>IF($P1730="","",INDEX(상세표[주말·휴일 포함],$P1730)&amp;"")</f>
        <v/>
      </c>
      <c r="O1730">
        <f>IF($P1730="","",INDEX(상세표[월 넘김 포함],$P1730)&amp;"")</f>
        <v/>
      </c>
      <c r="P1730" s="4">
        <f>IFERROR(MATCH(1725,상세표[연속순번],0),"")</f>
        <v/>
      </c>
    </row>
    <row r="1731">
      <c r="A1731">
        <f>IF($P1731="","",INDEX(상세표[사번],$P1731)&amp;"")</f>
        <v/>
      </c>
      <c r="B1731">
        <f>IF($P1731="","",INDEX(상세표[성명],$P1731)&amp;"")</f>
        <v/>
      </c>
      <c r="C1731">
        <f>IF($P1731="","",INDEX(상세표[부서],$P1731)&amp;"")</f>
        <v/>
      </c>
      <c r="D1731">
        <f>IF($P1731="","",INDEX(상세표[직위],$P1731)&amp;"")</f>
        <v/>
      </c>
      <c r="E1731">
        <f>IF($P1731="","",IF(ISNUMBER(INDEX(상세표[시작],$P1731)),TEXT(INDEX(상세표[시작],$P1731),"yyyy-mm-dd hh:mm"),INDEX(상세표[시작],$P1731)&amp;""))</f>
        <v/>
      </c>
      <c r="F1731">
        <f>IF($P1731="","",IF(ISNUMBER(INDEX(상세표[블록종료],$P1731)),TEXT(INDEX(상세표[블록종료],$P1731),"yyyy-mm-dd hh:mm"),INDEX(상세표[블록종료],$P1731)&amp;""))</f>
        <v/>
      </c>
      <c r="G1731">
        <f>IF($P1731="","",CHOOSE(WEEKDAY(INDEX(상세표[시작],$P1731)),"일","월","화","수","목","금","토"))</f>
        <v/>
      </c>
      <c r="H1731">
        <f>IF($P1731="","",INDEX(상세표[연속 시간],$P1731))</f>
        <v/>
      </c>
      <c r="I1731">
        <f>IF($P1731="","",INDEX(상세표[기록 수],$P1731))</f>
        <v/>
      </c>
      <c r="J1731">
        <f>IF($P1731="","",INDEX(상세표[블록 06~07시],$P1731))</f>
        <v/>
      </c>
      <c r="K1731">
        <f>IF($P1731="","",INDEX(상세표[블록 07~18시],$P1731))</f>
        <v/>
      </c>
      <c r="L1731">
        <f>IF($P1731="","",INDEX(상세표[블록 18~22시],$P1731))</f>
        <v/>
      </c>
      <c r="M1731">
        <f>IF($P1731="","",INDEX(상세표[블록 22~06시],$P1731))</f>
        <v/>
      </c>
      <c r="N1731">
        <f>IF($P1731="","",INDEX(상세표[주말·휴일 포함],$P1731)&amp;"")</f>
        <v/>
      </c>
      <c r="O1731">
        <f>IF($P1731="","",INDEX(상세표[월 넘김 포함],$P1731)&amp;"")</f>
        <v/>
      </c>
      <c r="P1731" s="4">
        <f>IFERROR(MATCH(1726,상세표[연속순번],0),"")</f>
        <v/>
      </c>
    </row>
    <row r="1732">
      <c r="A1732">
        <f>IF($P1732="","",INDEX(상세표[사번],$P1732)&amp;"")</f>
        <v/>
      </c>
      <c r="B1732">
        <f>IF($P1732="","",INDEX(상세표[성명],$P1732)&amp;"")</f>
        <v/>
      </c>
      <c r="C1732">
        <f>IF($P1732="","",INDEX(상세표[부서],$P1732)&amp;"")</f>
        <v/>
      </c>
      <c r="D1732">
        <f>IF($P1732="","",INDEX(상세표[직위],$P1732)&amp;"")</f>
        <v/>
      </c>
      <c r="E1732">
        <f>IF($P1732="","",IF(ISNUMBER(INDEX(상세표[시작],$P1732)),TEXT(INDEX(상세표[시작],$P1732),"yyyy-mm-dd hh:mm"),INDEX(상세표[시작],$P1732)&amp;""))</f>
        <v/>
      </c>
      <c r="F1732">
        <f>IF($P1732="","",IF(ISNUMBER(INDEX(상세표[블록종료],$P1732)),TEXT(INDEX(상세표[블록종료],$P1732),"yyyy-mm-dd hh:mm"),INDEX(상세표[블록종료],$P1732)&amp;""))</f>
        <v/>
      </c>
      <c r="G1732">
        <f>IF($P1732="","",CHOOSE(WEEKDAY(INDEX(상세표[시작],$P1732)),"일","월","화","수","목","금","토"))</f>
        <v/>
      </c>
      <c r="H1732">
        <f>IF($P1732="","",INDEX(상세표[연속 시간],$P1732))</f>
        <v/>
      </c>
      <c r="I1732">
        <f>IF($P1732="","",INDEX(상세표[기록 수],$P1732))</f>
        <v/>
      </c>
      <c r="J1732">
        <f>IF($P1732="","",INDEX(상세표[블록 06~07시],$P1732))</f>
        <v/>
      </c>
      <c r="K1732">
        <f>IF($P1732="","",INDEX(상세표[블록 07~18시],$P1732))</f>
        <v/>
      </c>
      <c r="L1732">
        <f>IF($P1732="","",INDEX(상세표[블록 18~22시],$P1732))</f>
        <v/>
      </c>
      <c r="M1732">
        <f>IF($P1732="","",INDEX(상세표[블록 22~06시],$P1732))</f>
        <v/>
      </c>
      <c r="N1732">
        <f>IF($P1732="","",INDEX(상세표[주말·휴일 포함],$P1732)&amp;"")</f>
        <v/>
      </c>
      <c r="O1732">
        <f>IF($P1732="","",INDEX(상세표[월 넘김 포함],$P1732)&amp;"")</f>
        <v/>
      </c>
      <c r="P1732" s="4">
        <f>IFERROR(MATCH(1727,상세표[연속순번],0),"")</f>
        <v/>
      </c>
    </row>
    <row r="1733">
      <c r="A1733">
        <f>IF($P1733="","",INDEX(상세표[사번],$P1733)&amp;"")</f>
        <v/>
      </c>
      <c r="B1733">
        <f>IF($P1733="","",INDEX(상세표[성명],$P1733)&amp;"")</f>
        <v/>
      </c>
      <c r="C1733">
        <f>IF($P1733="","",INDEX(상세표[부서],$P1733)&amp;"")</f>
        <v/>
      </c>
      <c r="D1733">
        <f>IF($P1733="","",INDEX(상세표[직위],$P1733)&amp;"")</f>
        <v/>
      </c>
      <c r="E1733">
        <f>IF($P1733="","",IF(ISNUMBER(INDEX(상세표[시작],$P1733)),TEXT(INDEX(상세표[시작],$P1733),"yyyy-mm-dd hh:mm"),INDEX(상세표[시작],$P1733)&amp;""))</f>
        <v/>
      </c>
      <c r="F1733">
        <f>IF($P1733="","",IF(ISNUMBER(INDEX(상세표[블록종료],$P1733)),TEXT(INDEX(상세표[블록종료],$P1733),"yyyy-mm-dd hh:mm"),INDEX(상세표[블록종료],$P1733)&amp;""))</f>
        <v/>
      </c>
      <c r="G1733">
        <f>IF($P1733="","",CHOOSE(WEEKDAY(INDEX(상세표[시작],$P1733)),"일","월","화","수","목","금","토"))</f>
        <v/>
      </c>
      <c r="H1733">
        <f>IF($P1733="","",INDEX(상세표[연속 시간],$P1733))</f>
        <v/>
      </c>
      <c r="I1733">
        <f>IF($P1733="","",INDEX(상세표[기록 수],$P1733))</f>
        <v/>
      </c>
      <c r="J1733">
        <f>IF($P1733="","",INDEX(상세표[블록 06~07시],$P1733))</f>
        <v/>
      </c>
      <c r="K1733">
        <f>IF($P1733="","",INDEX(상세표[블록 07~18시],$P1733))</f>
        <v/>
      </c>
      <c r="L1733">
        <f>IF($P1733="","",INDEX(상세표[블록 18~22시],$P1733))</f>
        <v/>
      </c>
      <c r="M1733">
        <f>IF($P1733="","",INDEX(상세표[블록 22~06시],$P1733))</f>
        <v/>
      </c>
      <c r="N1733">
        <f>IF($P1733="","",INDEX(상세표[주말·휴일 포함],$P1733)&amp;"")</f>
        <v/>
      </c>
      <c r="O1733">
        <f>IF($P1733="","",INDEX(상세표[월 넘김 포함],$P1733)&amp;"")</f>
        <v/>
      </c>
      <c r="P1733" s="4">
        <f>IFERROR(MATCH(1728,상세표[연속순번],0),"")</f>
        <v/>
      </c>
    </row>
    <row r="1734">
      <c r="A1734">
        <f>IF($P1734="","",INDEX(상세표[사번],$P1734)&amp;"")</f>
        <v/>
      </c>
      <c r="B1734">
        <f>IF($P1734="","",INDEX(상세표[성명],$P1734)&amp;"")</f>
        <v/>
      </c>
      <c r="C1734">
        <f>IF($P1734="","",INDEX(상세표[부서],$P1734)&amp;"")</f>
        <v/>
      </c>
      <c r="D1734">
        <f>IF($P1734="","",INDEX(상세표[직위],$P1734)&amp;"")</f>
        <v/>
      </c>
      <c r="E1734">
        <f>IF($P1734="","",IF(ISNUMBER(INDEX(상세표[시작],$P1734)),TEXT(INDEX(상세표[시작],$P1734),"yyyy-mm-dd hh:mm"),INDEX(상세표[시작],$P1734)&amp;""))</f>
        <v/>
      </c>
      <c r="F1734">
        <f>IF($P1734="","",IF(ISNUMBER(INDEX(상세표[블록종료],$P1734)),TEXT(INDEX(상세표[블록종료],$P1734),"yyyy-mm-dd hh:mm"),INDEX(상세표[블록종료],$P1734)&amp;""))</f>
        <v/>
      </c>
      <c r="G1734">
        <f>IF($P1734="","",CHOOSE(WEEKDAY(INDEX(상세표[시작],$P1734)),"일","월","화","수","목","금","토"))</f>
        <v/>
      </c>
      <c r="H1734">
        <f>IF($P1734="","",INDEX(상세표[연속 시간],$P1734))</f>
        <v/>
      </c>
      <c r="I1734">
        <f>IF($P1734="","",INDEX(상세표[기록 수],$P1734))</f>
        <v/>
      </c>
      <c r="J1734">
        <f>IF($P1734="","",INDEX(상세표[블록 06~07시],$P1734))</f>
        <v/>
      </c>
      <c r="K1734">
        <f>IF($P1734="","",INDEX(상세표[블록 07~18시],$P1734))</f>
        <v/>
      </c>
      <c r="L1734">
        <f>IF($P1734="","",INDEX(상세표[블록 18~22시],$P1734))</f>
        <v/>
      </c>
      <c r="M1734">
        <f>IF($P1734="","",INDEX(상세표[블록 22~06시],$P1734))</f>
        <v/>
      </c>
      <c r="N1734">
        <f>IF($P1734="","",INDEX(상세표[주말·휴일 포함],$P1734)&amp;"")</f>
        <v/>
      </c>
      <c r="O1734">
        <f>IF($P1734="","",INDEX(상세표[월 넘김 포함],$P1734)&amp;"")</f>
        <v/>
      </c>
      <c r="P1734" s="4">
        <f>IFERROR(MATCH(1729,상세표[연속순번],0),"")</f>
        <v/>
      </c>
    </row>
    <row r="1735">
      <c r="A1735">
        <f>IF($P1735="","",INDEX(상세표[사번],$P1735)&amp;"")</f>
        <v/>
      </c>
      <c r="B1735">
        <f>IF($P1735="","",INDEX(상세표[성명],$P1735)&amp;"")</f>
        <v/>
      </c>
      <c r="C1735">
        <f>IF($P1735="","",INDEX(상세표[부서],$P1735)&amp;"")</f>
        <v/>
      </c>
      <c r="D1735">
        <f>IF($P1735="","",INDEX(상세표[직위],$P1735)&amp;"")</f>
        <v/>
      </c>
      <c r="E1735">
        <f>IF($P1735="","",IF(ISNUMBER(INDEX(상세표[시작],$P1735)),TEXT(INDEX(상세표[시작],$P1735),"yyyy-mm-dd hh:mm"),INDEX(상세표[시작],$P1735)&amp;""))</f>
        <v/>
      </c>
      <c r="F1735">
        <f>IF($P1735="","",IF(ISNUMBER(INDEX(상세표[블록종료],$P1735)),TEXT(INDEX(상세표[블록종료],$P1735),"yyyy-mm-dd hh:mm"),INDEX(상세표[블록종료],$P1735)&amp;""))</f>
        <v/>
      </c>
      <c r="G1735">
        <f>IF($P1735="","",CHOOSE(WEEKDAY(INDEX(상세표[시작],$P1735)),"일","월","화","수","목","금","토"))</f>
        <v/>
      </c>
      <c r="H1735">
        <f>IF($P1735="","",INDEX(상세표[연속 시간],$P1735))</f>
        <v/>
      </c>
      <c r="I1735">
        <f>IF($P1735="","",INDEX(상세표[기록 수],$P1735))</f>
        <v/>
      </c>
      <c r="J1735">
        <f>IF($P1735="","",INDEX(상세표[블록 06~07시],$P1735))</f>
        <v/>
      </c>
      <c r="K1735">
        <f>IF($P1735="","",INDEX(상세표[블록 07~18시],$P1735))</f>
        <v/>
      </c>
      <c r="L1735">
        <f>IF($P1735="","",INDEX(상세표[블록 18~22시],$P1735))</f>
        <v/>
      </c>
      <c r="M1735">
        <f>IF($P1735="","",INDEX(상세표[블록 22~06시],$P1735))</f>
        <v/>
      </c>
      <c r="N1735">
        <f>IF($P1735="","",INDEX(상세표[주말·휴일 포함],$P1735)&amp;"")</f>
        <v/>
      </c>
      <c r="O1735">
        <f>IF($P1735="","",INDEX(상세표[월 넘김 포함],$P1735)&amp;"")</f>
        <v/>
      </c>
      <c r="P1735" s="4">
        <f>IFERROR(MATCH(1730,상세표[연속순번],0),"")</f>
        <v/>
      </c>
    </row>
    <row r="1736">
      <c r="A1736">
        <f>IF($P1736="","",INDEX(상세표[사번],$P1736)&amp;"")</f>
        <v/>
      </c>
      <c r="B1736">
        <f>IF($P1736="","",INDEX(상세표[성명],$P1736)&amp;"")</f>
        <v/>
      </c>
      <c r="C1736">
        <f>IF($P1736="","",INDEX(상세표[부서],$P1736)&amp;"")</f>
        <v/>
      </c>
      <c r="D1736">
        <f>IF($P1736="","",INDEX(상세표[직위],$P1736)&amp;"")</f>
        <v/>
      </c>
      <c r="E1736">
        <f>IF($P1736="","",IF(ISNUMBER(INDEX(상세표[시작],$P1736)),TEXT(INDEX(상세표[시작],$P1736),"yyyy-mm-dd hh:mm"),INDEX(상세표[시작],$P1736)&amp;""))</f>
        <v/>
      </c>
      <c r="F1736">
        <f>IF($P1736="","",IF(ISNUMBER(INDEX(상세표[블록종료],$P1736)),TEXT(INDEX(상세표[블록종료],$P1736),"yyyy-mm-dd hh:mm"),INDEX(상세표[블록종료],$P1736)&amp;""))</f>
        <v/>
      </c>
      <c r="G1736">
        <f>IF($P1736="","",CHOOSE(WEEKDAY(INDEX(상세표[시작],$P1736)),"일","월","화","수","목","금","토"))</f>
        <v/>
      </c>
      <c r="H1736">
        <f>IF($P1736="","",INDEX(상세표[연속 시간],$P1736))</f>
        <v/>
      </c>
      <c r="I1736">
        <f>IF($P1736="","",INDEX(상세표[기록 수],$P1736))</f>
        <v/>
      </c>
      <c r="J1736">
        <f>IF($P1736="","",INDEX(상세표[블록 06~07시],$P1736))</f>
        <v/>
      </c>
      <c r="K1736">
        <f>IF($P1736="","",INDEX(상세표[블록 07~18시],$P1736))</f>
        <v/>
      </c>
      <c r="L1736">
        <f>IF($P1736="","",INDEX(상세표[블록 18~22시],$P1736))</f>
        <v/>
      </c>
      <c r="M1736">
        <f>IF($P1736="","",INDEX(상세표[블록 22~06시],$P1736))</f>
        <v/>
      </c>
      <c r="N1736">
        <f>IF($P1736="","",INDEX(상세표[주말·휴일 포함],$P1736)&amp;"")</f>
        <v/>
      </c>
      <c r="O1736">
        <f>IF($P1736="","",INDEX(상세표[월 넘김 포함],$P1736)&amp;"")</f>
        <v/>
      </c>
      <c r="P1736" s="4">
        <f>IFERROR(MATCH(1731,상세표[연속순번],0),"")</f>
        <v/>
      </c>
    </row>
    <row r="1737">
      <c r="A1737">
        <f>IF($P1737="","",INDEX(상세표[사번],$P1737)&amp;"")</f>
        <v/>
      </c>
      <c r="B1737">
        <f>IF($P1737="","",INDEX(상세표[성명],$P1737)&amp;"")</f>
        <v/>
      </c>
      <c r="C1737">
        <f>IF($P1737="","",INDEX(상세표[부서],$P1737)&amp;"")</f>
        <v/>
      </c>
      <c r="D1737">
        <f>IF($P1737="","",INDEX(상세표[직위],$P1737)&amp;"")</f>
        <v/>
      </c>
      <c r="E1737">
        <f>IF($P1737="","",IF(ISNUMBER(INDEX(상세표[시작],$P1737)),TEXT(INDEX(상세표[시작],$P1737),"yyyy-mm-dd hh:mm"),INDEX(상세표[시작],$P1737)&amp;""))</f>
        <v/>
      </c>
      <c r="F1737">
        <f>IF($P1737="","",IF(ISNUMBER(INDEX(상세표[블록종료],$P1737)),TEXT(INDEX(상세표[블록종료],$P1737),"yyyy-mm-dd hh:mm"),INDEX(상세표[블록종료],$P1737)&amp;""))</f>
        <v/>
      </c>
      <c r="G1737">
        <f>IF($P1737="","",CHOOSE(WEEKDAY(INDEX(상세표[시작],$P1737)),"일","월","화","수","목","금","토"))</f>
        <v/>
      </c>
      <c r="H1737">
        <f>IF($P1737="","",INDEX(상세표[연속 시간],$P1737))</f>
        <v/>
      </c>
      <c r="I1737">
        <f>IF($P1737="","",INDEX(상세표[기록 수],$P1737))</f>
        <v/>
      </c>
      <c r="J1737">
        <f>IF($P1737="","",INDEX(상세표[블록 06~07시],$P1737))</f>
        <v/>
      </c>
      <c r="K1737">
        <f>IF($P1737="","",INDEX(상세표[블록 07~18시],$P1737))</f>
        <v/>
      </c>
      <c r="L1737">
        <f>IF($P1737="","",INDEX(상세표[블록 18~22시],$P1737))</f>
        <v/>
      </c>
      <c r="M1737">
        <f>IF($P1737="","",INDEX(상세표[블록 22~06시],$P1737))</f>
        <v/>
      </c>
      <c r="N1737">
        <f>IF($P1737="","",INDEX(상세표[주말·휴일 포함],$P1737)&amp;"")</f>
        <v/>
      </c>
      <c r="O1737">
        <f>IF($P1737="","",INDEX(상세표[월 넘김 포함],$P1737)&amp;"")</f>
        <v/>
      </c>
      <c r="P1737" s="4">
        <f>IFERROR(MATCH(1732,상세표[연속순번],0),"")</f>
        <v/>
      </c>
    </row>
    <row r="1738">
      <c r="A1738">
        <f>IF($P1738="","",INDEX(상세표[사번],$P1738)&amp;"")</f>
        <v/>
      </c>
      <c r="B1738">
        <f>IF($P1738="","",INDEX(상세표[성명],$P1738)&amp;"")</f>
        <v/>
      </c>
      <c r="C1738">
        <f>IF($P1738="","",INDEX(상세표[부서],$P1738)&amp;"")</f>
        <v/>
      </c>
      <c r="D1738">
        <f>IF($P1738="","",INDEX(상세표[직위],$P1738)&amp;"")</f>
        <v/>
      </c>
      <c r="E1738">
        <f>IF($P1738="","",IF(ISNUMBER(INDEX(상세표[시작],$P1738)),TEXT(INDEX(상세표[시작],$P1738),"yyyy-mm-dd hh:mm"),INDEX(상세표[시작],$P1738)&amp;""))</f>
        <v/>
      </c>
      <c r="F1738">
        <f>IF($P1738="","",IF(ISNUMBER(INDEX(상세표[블록종료],$P1738)),TEXT(INDEX(상세표[블록종료],$P1738),"yyyy-mm-dd hh:mm"),INDEX(상세표[블록종료],$P1738)&amp;""))</f>
        <v/>
      </c>
      <c r="G1738">
        <f>IF($P1738="","",CHOOSE(WEEKDAY(INDEX(상세표[시작],$P1738)),"일","월","화","수","목","금","토"))</f>
        <v/>
      </c>
      <c r="H1738">
        <f>IF($P1738="","",INDEX(상세표[연속 시간],$P1738))</f>
        <v/>
      </c>
      <c r="I1738">
        <f>IF($P1738="","",INDEX(상세표[기록 수],$P1738))</f>
        <v/>
      </c>
      <c r="J1738">
        <f>IF($P1738="","",INDEX(상세표[블록 06~07시],$P1738))</f>
        <v/>
      </c>
      <c r="K1738">
        <f>IF($P1738="","",INDEX(상세표[블록 07~18시],$P1738))</f>
        <v/>
      </c>
      <c r="L1738">
        <f>IF($P1738="","",INDEX(상세표[블록 18~22시],$P1738))</f>
        <v/>
      </c>
      <c r="M1738">
        <f>IF($P1738="","",INDEX(상세표[블록 22~06시],$P1738))</f>
        <v/>
      </c>
      <c r="N1738">
        <f>IF($P1738="","",INDEX(상세표[주말·휴일 포함],$P1738)&amp;"")</f>
        <v/>
      </c>
      <c r="O1738">
        <f>IF($P1738="","",INDEX(상세표[월 넘김 포함],$P1738)&amp;"")</f>
        <v/>
      </c>
      <c r="P1738" s="4">
        <f>IFERROR(MATCH(1733,상세표[연속순번],0),"")</f>
        <v/>
      </c>
    </row>
    <row r="1739">
      <c r="A1739">
        <f>IF($P1739="","",INDEX(상세표[사번],$P1739)&amp;"")</f>
        <v/>
      </c>
      <c r="B1739">
        <f>IF($P1739="","",INDEX(상세표[성명],$P1739)&amp;"")</f>
        <v/>
      </c>
      <c r="C1739">
        <f>IF($P1739="","",INDEX(상세표[부서],$P1739)&amp;"")</f>
        <v/>
      </c>
      <c r="D1739">
        <f>IF($P1739="","",INDEX(상세표[직위],$P1739)&amp;"")</f>
        <v/>
      </c>
      <c r="E1739">
        <f>IF($P1739="","",IF(ISNUMBER(INDEX(상세표[시작],$P1739)),TEXT(INDEX(상세표[시작],$P1739),"yyyy-mm-dd hh:mm"),INDEX(상세표[시작],$P1739)&amp;""))</f>
        <v/>
      </c>
      <c r="F1739">
        <f>IF($P1739="","",IF(ISNUMBER(INDEX(상세표[블록종료],$P1739)),TEXT(INDEX(상세표[블록종료],$P1739),"yyyy-mm-dd hh:mm"),INDEX(상세표[블록종료],$P1739)&amp;""))</f>
        <v/>
      </c>
      <c r="G1739">
        <f>IF($P1739="","",CHOOSE(WEEKDAY(INDEX(상세표[시작],$P1739)),"일","월","화","수","목","금","토"))</f>
        <v/>
      </c>
      <c r="H1739">
        <f>IF($P1739="","",INDEX(상세표[연속 시간],$P1739))</f>
        <v/>
      </c>
      <c r="I1739">
        <f>IF($P1739="","",INDEX(상세표[기록 수],$P1739))</f>
        <v/>
      </c>
      <c r="J1739">
        <f>IF($P1739="","",INDEX(상세표[블록 06~07시],$P1739))</f>
        <v/>
      </c>
      <c r="K1739">
        <f>IF($P1739="","",INDEX(상세표[블록 07~18시],$P1739))</f>
        <v/>
      </c>
      <c r="L1739">
        <f>IF($P1739="","",INDEX(상세표[블록 18~22시],$P1739))</f>
        <v/>
      </c>
      <c r="M1739">
        <f>IF($P1739="","",INDEX(상세표[블록 22~06시],$P1739))</f>
        <v/>
      </c>
      <c r="N1739">
        <f>IF($P1739="","",INDEX(상세표[주말·휴일 포함],$P1739)&amp;"")</f>
        <v/>
      </c>
      <c r="O1739">
        <f>IF($P1739="","",INDEX(상세표[월 넘김 포함],$P1739)&amp;"")</f>
        <v/>
      </c>
      <c r="P1739" s="4">
        <f>IFERROR(MATCH(1734,상세표[연속순번],0),"")</f>
        <v/>
      </c>
    </row>
    <row r="1740">
      <c r="A1740">
        <f>IF($P1740="","",INDEX(상세표[사번],$P1740)&amp;"")</f>
        <v/>
      </c>
      <c r="B1740">
        <f>IF($P1740="","",INDEX(상세표[성명],$P1740)&amp;"")</f>
        <v/>
      </c>
      <c r="C1740">
        <f>IF($P1740="","",INDEX(상세표[부서],$P1740)&amp;"")</f>
        <v/>
      </c>
      <c r="D1740">
        <f>IF($P1740="","",INDEX(상세표[직위],$P1740)&amp;"")</f>
        <v/>
      </c>
      <c r="E1740">
        <f>IF($P1740="","",IF(ISNUMBER(INDEX(상세표[시작],$P1740)),TEXT(INDEX(상세표[시작],$P1740),"yyyy-mm-dd hh:mm"),INDEX(상세표[시작],$P1740)&amp;""))</f>
        <v/>
      </c>
      <c r="F1740">
        <f>IF($P1740="","",IF(ISNUMBER(INDEX(상세표[블록종료],$P1740)),TEXT(INDEX(상세표[블록종료],$P1740),"yyyy-mm-dd hh:mm"),INDEX(상세표[블록종료],$P1740)&amp;""))</f>
        <v/>
      </c>
      <c r="G1740">
        <f>IF($P1740="","",CHOOSE(WEEKDAY(INDEX(상세표[시작],$P1740)),"일","월","화","수","목","금","토"))</f>
        <v/>
      </c>
      <c r="H1740">
        <f>IF($P1740="","",INDEX(상세표[연속 시간],$P1740))</f>
        <v/>
      </c>
      <c r="I1740">
        <f>IF($P1740="","",INDEX(상세표[기록 수],$P1740))</f>
        <v/>
      </c>
      <c r="J1740">
        <f>IF($P1740="","",INDEX(상세표[블록 06~07시],$P1740))</f>
        <v/>
      </c>
      <c r="K1740">
        <f>IF($P1740="","",INDEX(상세표[블록 07~18시],$P1740))</f>
        <v/>
      </c>
      <c r="L1740">
        <f>IF($P1740="","",INDEX(상세표[블록 18~22시],$P1740))</f>
        <v/>
      </c>
      <c r="M1740">
        <f>IF($P1740="","",INDEX(상세표[블록 22~06시],$P1740))</f>
        <v/>
      </c>
      <c r="N1740">
        <f>IF($P1740="","",INDEX(상세표[주말·휴일 포함],$P1740)&amp;"")</f>
        <v/>
      </c>
      <c r="O1740">
        <f>IF($P1740="","",INDEX(상세표[월 넘김 포함],$P1740)&amp;"")</f>
        <v/>
      </c>
      <c r="P1740" s="4">
        <f>IFERROR(MATCH(1735,상세표[연속순번],0),"")</f>
        <v/>
      </c>
    </row>
    <row r="1741">
      <c r="A1741">
        <f>IF($P1741="","",INDEX(상세표[사번],$P1741)&amp;"")</f>
        <v/>
      </c>
      <c r="B1741">
        <f>IF($P1741="","",INDEX(상세표[성명],$P1741)&amp;"")</f>
        <v/>
      </c>
      <c r="C1741">
        <f>IF($P1741="","",INDEX(상세표[부서],$P1741)&amp;"")</f>
        <v/>
      </c>
      <c r="D1741">
        <f>IF($P1741="","",INDEX(상세표[직위],$P1741)&amp;"")</f>
        <v/>
      </c>
      <c r="E1741">
        <f>IF($P1741="","",IF(ISNUMBER(INDEX(상세표[시작],$P1741)),TEXT(INDEX(상세표[시작],$P1741),"yyyy-mm-dd hh:mm"),INDEX(상세표[시작],$P1741)&amp;""))</f>
        <v/>
      </c>
      <c r="F1741">
        <f>IF($P1741="","",IF(ISNUMBER(INDEX(상세표[블록종료],$P1741)),TEXT(INDEX(상세표[블록종료],$P1741),"yyyy-mm-dd hh:mm"),INDEX(상세표[블록종료],$P1741)&amp;""))</f>
        <v/>
      </c>
      <c r="G1741">
        <f>IF($P1741="","",CHOOSE(WEEKDAY(INDEX(상세표[시작],$P1741)),"일","월","화","수","목","금","토"))</f>
        <v/>
      </c>
      <c r="H1741">
        <f>IF($P1741="","",INDEX(상세표[연속 시간],$P1741))</f>
        <v/>
      </c>
      <c r="I1741">
        <f>IF($P1741="","",INDEX(상세표[기록 수],$P1741))</f>
        <v/>
      </c>
      <c r="J1741">
        <f>IF($P1741="","",INDEX(상세표[블록 06~07시],$P1741))</f>
        <v/>
      </c>
      <c r="K1741">
        <f>IF($P1741="","",INDEX(상세표[블록 07~18시],$P1741))</f>
        <v/>
      </c>
      <c r="L1741">
        <f>IF($P1741="","",INDEX(상세표[블록 18~22시],$P1741))</f>
        <v/>
      </c>
      <c r="M1741">
        <f>IF($P1741="","",INDEX(상세표[블록 22~06시],$P1741))</f>
        <v/>
      </c>
      <c r="N1741">
        <f>IF($P1741="","",INDEX(상세표[주말·휴일 포함],$P1741)&amp;"")</f>
        <v/>
      </c>
      <c r="O1741">
        <f>IF($P1741="","",INDEX(상세표[월 넘김 포함],$P1741)&amp;"")</f>
        <v/>
      </c>
      <c r="P1741" s="4">
        <f>IFERROR(MATCH(1736,상세표[연속순번],0),"")</f>
        <v/>
      </c>
    </row>
    <row r="1742">
      <c r="A1742">
        <f>IF($P1742="","",INDEX(상세표[사번],$P1742)&amp;"")</f>
        <v/>
      </c>
      <c r="B1742">
        <f>IF($P1742="","",INDEX(상세표[성명],$P1742)&amp;"")</f>
        <v/>
      </c>
      <c r="C1742">
        <f>IF($P1742="","",INDEX(상세표[부서],$P1742)&amp;"")</f>
        <v/>
      </c>
      <c r="D1742">
        <f>IF($P1742="","",INDEX(상세표[직위],$P1742)&amp;"")</f>
        <v/>
      </c>
      <c r="E1742">
        <f>IF($P1742="","",IF(ISNUMBER(INDEX(상세표[시작],$P1742)),TEXT(INDEX(상세표[시작],$P1742),"yyyy-mm-dd hh:mm"),INDEX(상세표[시작],$P1742)&amp;""))</f>
        <v/>
      </c>
      <c r="F1742">
        <f>IF($P1742="","",IF(ISNUMBER(INDEX(상세표[블록종료],$P1742)),TEXT(INDEX(상세표[블록종료],$P1742),"yyyy-mm-dd hh:mm"),INDEX(상세표[블록종료],$P1742)&amp;""))</f>
        <v/>
      </c>
      <c r="G1742">
        <f>IF($P1742="","",CHOOSE(WEEKDAY(INDEX(상세표[시작],$P1742)),"일","월","화","수","목","금","토"))</f>
        <v/>
      </c>
      <c r="H1742">
        <f>IF($P1742="","",INDEX(상세표[연속 시간],$P1742))</f>
        <v/>
      </c>
      <c r="I1742">
        <f>IF($P1742="","",INDEX(상세표[기록 수],$P1742))</f>
        <v/>
      </c>
      <c r="J1742">
        <f>IF($P1742="","",INDEX(상세표[블록 06~07시],$P1742))</f>
        <v/>
      </c>
      <c r="K1742">
        <f>IF($P1742="","",INDEX(상세표[블록 07~18시],$P1742))</f>
        <v/>
      </c>
      <c r="L1742">
        <f>IF($P1742="","",INDEX(상세표[블록 18~22시],$P1742))</f>
        <v/>
      </c>
      <c r="M1742">
        <f>IF($P1742="","",INDEX(상세표[블록 22~06시],$P1742))</f>
        <v/>
      </c>
      <c r="N1742">
        <f>IF($P1742="","",INDEX(상세표[주말·휴일 포함],$P1742)&amp;"")</f>
        <v/>
      </c>
      <c r="O1742">
        <f>IF($P1742="","",INDEX(상세표[월 넘김 포함],$P1742)&amp;"")</f>
        <v/>
      </c>
      <c r="P1742" s="4">
        <f>IFERROR(MATCH(1737,상세표[연속순번],0),"")</f>
        <v/>
      </c>
    </row>
    <row r="1743">
      <c r="A1743">
        <f>IF($P1743="","",INDEX(상세표[사번],$P1743)&amp;"")</f>
        <v/>
      </c>
      <c r="B1743">
        <f>IF($P1743="","",INDEX(상세표[성명],$P1743)&amp;"")</f>
        <v/>
      </c>
      <c r="C1743">
        <f>IF($P1743="","",INDEX(상세표[부서],$P1743)&amp;"")</f>
        <v/>
      </c>
      <c r="D1743">
        <f>IF($P1743="","",INDEX(상세표[직위],$P1743)&amp;"")</f>
        <v/>
      </c>
      <c r="E1743">
        <f>IF($P1743="","",IF(ISNUMBER(INDEX(상세표[시작],$P1743)),TEXT(INDEX(상세표[시작],$P1743),"yyyy-mm-dd hh:mm"),INDEX(상세표[시작],$P1743)&amp;""))</f>
        <v/>
      </c>
      <c r="F1743">
        <f>IF($P1743="","",IF(ISNUMBER(INDEX(상세표[블록종료],$P1743)),TEXT(INDEX(상세표[블록종료],$P1743),"yyyy-mm-dd hh:mm"),INDEX(상세표[블록종료],$P1743)&amp;""))</f>
        <v/>
      </c>
      <c r="G1743">
        <f>IF($P1743="","",CHOOSE(WEEKDAY(INDEX(상세표[시작],$P1743)),"일","월","화","수","목","금","토"))</f>
        <v/>
      </c>
      <c r="H1743">
        <f>IF($P1743="","",INDEX(상세표[연속 시간],$P1743))</f>
        <v/>
      </c>
      <c r="I1743">
        <f>IF($P1743="","",INDEX(상세표[기록 수],$P1743))</f>
        <v/>
      </c>
      <c r="J1743">
        <f>IF($P1743="","",INDEX(상세표[블록 06~07시],$P1743))</f>
        <v/>
      </c>
      <c r="K1743">
        <f>IF($P1743="","",INDEX(상세표[블록 07~18시],$P1743))</f>
        <v/>
      </c>
      <c r="L1743">
        <f>IF($P1743="","",INDEX(상세표[블록 18~22시],$P1743))</f>
        <v/>
      </c>
      <c r="M1743">
        <f>IF($P1743="","",INDEX(상세표[블록 22~06시],$P1743))</f>
        <v/>
      </c>
      <c r="N1743">
        <f>IF($P1743="","",INDEX(상세표[주말·휴일 포함],$P1743)&amp;"")</f>
        <v/>
      </c>
      <c r="O1743">
        <f>IF($P1743="","",INDEX(상세표[월 넘김 포함],$P1743)&amp;"")</f>
        <v/>
      </c>
      <c r="P1743" s="4">
        <f>IFERROR(MATCH(1738,상세표[연속순번],0),"")</f>
        <v/>
      </c>
    </row>
    <row r="1744">
      <c r="A1744">
        <f>IF($P1744="","",INDEX(상세표[사번],$P1744)&amp;"")</f>
        <v/>
      </c>
      <c r="B1744">
        <f>IF($P1744="","",INDEX(상세표[성명],$P1744)&amp;"")</f>
        <v/>
      </c>
      <c r="C1744">
        <f>IF($P1744="","",INDEX(상세표[부서],$P1744)&amp;"")</f>
        <v/>
      </c>
      <c r="D1744">
        <f>IF($P1744="","",INDEX(상세표[직위],$P1744)&amp;"")</f>
        <v/>
      </c>
      <c r="E1744">
        <f>IF($P1744="","",IF(ISNUMBER(INDEX(상세표[시작],$P1744)),TEXT(INDEX(상세표[시작],$P1744),"yyyy-mm-dd hh:mm"),INDEX(상세표[시작],$P1744)&amp;""))</f>
        <v/>
      </c>
      <c r="F1744">
        <f>IF($P1744="","",IF(ISNUMBER(INDEX(상세표[블록종료],$P1744)),TEXT(INDEX(상세표[블록종료],$P1744),"yyyy-mm-dd hh:mm"),INDEX(상세표[블록종료],$P1744)&amp;""))</f>
        <v/>
      </c>
      <c r="G1744">
        <f>IF($P1744="","",CHOOSE(WEEKDAY(INDEX(상세표[시작],$P1744)),"일","월","화","수","목","금","토"))</f>
        <v/>
      </c>
      <c r="H1744">
        <f>IF($P1744="","",INDEX(상세표[연속 시간],$P1744))</f>
        <v/>
      </c>
      <c r="I1744">
        <f>IF($P1744="","",INDEX(상세표[기록 수],$P1744))</f>
        <v/>
      </c>
      <c r="J1744">
        <f>IF($P1744="","",INDEX(상세표[블록 06~07시],$P1744))</f>
        <v/>
      </c>
      <c r="K1744">
        <f>IF($P1744="","",INDEX(상세표[블록 07~18시],$P1744))</f>
        <v/>
      </c>
      <c r="L1744">
        <f>IF($P1744="","",INDEX(상세표[블록 18~22시],$P1744))</f>
        <v/>
      </c>
      <c r="M1744">
        <f>IF($P1744="","",INDEX(상세표[블록 22~06시],$P1744))</f>
        <v/>
      </c>
      <c r="N1744">
        <f>IF($P1744="","",INDEX(상세표[주말·휴일 포함],$P1744)&amp;"")</f>
        <v/>
      </c>
      <c r="O1744">
        <f>IF($P1744="","",INDEX(상세표[월 넘김 포함],$P1744)&amp;"")</f>
        <v/>
      </c>
      <c r="P1744" s="4">
        <f>IFERROR(MATCH(1739,상세표[연속순번],0),"")</f>
        <v/>
      </c>
    </row>
    <row r="1745">
      <c r="A1745">
        <f>IF($P1745="","",INDEX(상세표[사번],$P1745)&amp;"")</f>
        <v/>
      </c>
      <c r="B1745">
        <f>IF($P1745="","",INDEX(상세표[성명],$P1745)&amp;"")</f>
        <v/>
      </c>
      <c r="C1745">
        <f>IF($P1745="","",INDEX(상세표[부서],$P1745)&amp;"")</f>
        <v/>
      </c>
      <c r="D1745">
        <f>IF($P1745="","",INDEX(상세표[직위],$P1745)&amp;"")</f>
        <v/>
      </c>
      <c r="E1745">
        <f>IF($P1745="","",IF(ISNUMBER(INDEX(상세표[시작],$P1745)),TEXT(INDEX(상세표[시작],$P1745),"yyyy-mm-dd hh:mm"),INDEX(상세표[시작],$P1745)&amp;""))</f>
        <v/>
      </c>
      <c r="F1745">
        <f>IF($P1745="","",IF(ISNUMBER(INDEX(상세표[블록종료],$P1745)),TEXT(INDEX(상세표[블록종료],$P1745),"yyyy-mm-dd hh:mm"),INDEX(상세표[블록종료],$P1745)&amp;""))</f>
        <v/>
      </c>
      <c r="G1745">
        <f>IF($P1745="","",CHOOSE(WEEKDAY(INDEX(상세표[시작],$P1745)),"일","월","화","수","목","금","토"))</f>
        <v/>
      </c>
      <c r="H1745">
        <f>IF($P1745="","",INDEX(상세표[연속 시간],$P1745))</f>
        <v/>
      </c>
      <c r="I1745">
        <f>IF($P1745="","",INDEX(상세표[기록 수],$P1745))</f>
        <v/>
      </c>
      <c r="J1745">
        <f>IF($P1745="","",INDEX(상세표[블록 06~07시],$P1745))</f>
        <v/>
      </c>
      <c r="K1745">
        <f>IF($P1745="","",INDEX(상세표[블록 07~18시],$P1745))</f>
        <v/>
      </c>
      <c r="L1745">
        <f>IF($P1745="","",INDEX(상세표[블록 18~22시],$P1745))</f>
        <v/>
      </c>
      <c r="M1745">
        <f>IF($P1745="","",INDEX(상세표[블록 22~06시],$P1745))</f>
        <v/>
      </c>
      <c r="N1745">
        <f>IF($P1745="","",INDEX(상세표[주말·휴일 포함],$P1745)&amp;"")</f>
        <v/>
      </c>
      <c r="O1745">
        <f>IF($P1745="","",INDEX(상세표[월 넘김 포함],$P1745)&amp;"")</f>
        <v/>
      </c>
      <c r="P1745" s="4">
        <f>IFERROR(MATCH(1740,상세표[연속순번],0),"")</f>
        <v/>
      </c>
    </row>
    <row r="1746">
      <c r="A1746">
        <f>IF($P1746="","",INDEX(상세표[사번],$P1746)&amp;"")</f>
        <v/>
      </c>
      <c r="B1746">
        <f>IF($P1746="","",INDEX(상세표[성명],$P1746)&amp;"")</f>
        <v/>
      </c>
      <c r="C1746">
        <f>IF($P1746="","",INDEX(상세표[부서],$P1746)&amp;"")</f>
        <v/>
      </c>
      <c r="D1746">
        <f>IF($P1746="","",INDEX(상세표[직위],$P1746)&amp;"")</f>
        <v/>
      </c>
      <c r="E1746">
        <f>IF($P1746="","",IF(ISNUMBER(INDEX(상세표[시작],$P1746)),TEXT(INDEX(상세표[시작],$P1746),"yyyy-mm-dd hh:mm"),INDEX(상세표[시작],$P1746)&amp;""))</f>
        <v/>
      </c>
      <c r="F1746">
        <f>IF($P1746="","",IF(ISNUMBER(INDEX(상세표[블록종료],$P1746)),TEXT(INDEX(상세표[블록종료],$P1746),"yyyy-mm-dd hh:mm"),INDEX(상세표[블록종료],$P1746)&amp;""))</f>
        <v/>
      </c>
      <c r="G1746">
        <f>IF($P1746="","",CHOOSE(WEEKDAY(INDEX(상세표[시작],$P1746)),"일","월","화","수","목","금","토"))</f>
        <v/>
      </c>
      <c r="H1746">
        <f>IF($P1746="","",INDEX(상세표[연속 시간],$P1746))</f>
        <v/>
      </c>
      <c r="I1746">
        <f>IF($P1746="","",INDEX(상세표[기록 수],$P1746))</f>
        <v/>
      </c>
      <c r="J1746">
        <f>IF($P1746="","",INDEX(상세표[블록 06~07시],$P1746))</f>
        <v/>
      </c>
      <c r="K1746">
        <f>IF($P1746="","",INDEX(상세표[블록 07~18시],$P1746))</f>
        <v/>
      </c>
      <c r="L1746">
        <f>IF($P1746="","",INDEX(상세표[블록 18~22시],$P1746))</f>
        <v/>
      </c>
      <c r="M1746">
        <f>IF($P1746="","",INDEX(상세표[블록 22~06시],$P1746))</f>
        <v/>
      </c>
      <c r="N1746">
        <f>IF($P1746="","",INDEX(상세표[주말·휴일 포함],$P1746)&amp;"")</f>
        <v/>
      </c>
      <c r="O1746">
        <f>IF($P1746="","",INDEX(상세표[월 넘김 포함],$P1746)&amp;"")</f>
        <v/>
      </c>
      <c r="P1746" s="4">
        <f>IFERROR(MATCH(1741,상세표[연속순번],0),"")</f>
        <v/>
      </c>
    </row>
    <row r="1747">
      <c r="A1747">
        <f>IF($P1747="","",INDEX(상세표[사번],$P1747)&amp;"")</f>
        <v/>
      </c>
      <c r="B1747">
        <f>IF($P1747="","",INDEX(상세표[성명],$P1747)&amp;"")</f>
        <v/>
      </c>
      <c r="C1747">
        <f>IF($P1747="","",INDEX(상세표[부서],$P1747)&amp;"")</f>
        <v/>
      </c>
      <c r="D1747">
        <f>IF($P1747="","",INDEX(상세표[직위],$P1747)&amp;"")</f>
        <v/>
      </c>
      <c r="E1747">
        <f>IF($P1747="","",IF(ISNUMBER(INDEX(상세표[시작],$P1747)),TEXT(INDEX(상세표[시작],$P1747),"yyyy-mm-dd hh:mm"),INDEX(상세표[시작],$P1747)&amp;""))</f>
        <v/>
      </c>
      <c r="F1747">
        <f>IF($P1747="","",IF(ISNUMBER(INDEX(상세표[블록종료],$P1747)),TEXT(INDEX(상세표[블록종료],$P1747),"yyyy-mm-dd hh:mm"),INDEX(상세표[블록종료],$P1747)&amp;""))</f>
        <v/>
      </c>
      <c r="G1747">
        <f>IF($P1747="","",CHOOSE(WEEKDAY(INDEX(상세표[시작],$P1747)),"일","월","화","수","목","금","토"))</f>
        <v/>
      </c>
      <c r="H1747">
        <f>IF($P1747="","",INDEX(상세표[연속 시간],$P1747))</f>
        <v/>
      </c>
      <c r="I1747">
        <f>IF($P1747="","",INDEX(상세표[기록 수],$P1747))</f>
        <v/>
      </c>
      <c r="J1747">
        <f>IF($P1747="","",INDEX(상세표[블록 06~07시],$P1747))</f>
        <v/>
      </c>
      <c r="K1747">
        <f>IF($P1747="","",INDEX(상세표[블록 07~18시],$P1747))</f>
        <v/>
      </c>
      <c r="L1747">
        <f>IF($P1747="","",INDEX(상세표[블록 18~22시],$P1747))</f>
        <v/>
      </c>
      <c r="M1747">
        <f>IF($P1747="","",INDEX(상세표[블록 22~06시],$P1747))</f>
        <v/>
      </c>
      <c r="N1747">
        <f>IF($P1747="","",INDEX(상세표[주말·휴일 포함],$P1747)&amp;"")</f>
        <v/>
      </c>
      <c r="O1747">
        <f>IF($P1747="","",INDEX(상세표[월 넘김 포함],$P1747)&amp;"")</f>
        <v/>
      </c>
      <c r="P1747" s="4">
        <f>IFERROR(MATCH(1742,상세표[연속순번],0),"")</f>
        <v/>
      </c>
    </row>
    <row r="1748">
      <c r="A1748">
        <f>IF($P1748="","",INDEX(상세표[사번],$P1748)&amp;"")</f>
        <v/>
      </c>
      <c r="B1748">
        <f>IF($P1748="","",INDEX(상세표[성명],$P1748)&amp;"")</f>
        <v/>
      </c>
      <c r="C1748">
        <f>IF($P1748="","",INDEX(상세표[부서],$P1748)&amp;"")</f>
        <v/>
      </c>
      <c r="D1748">
        <f>IF($P1748="","",INDEX(상세표[직위],$P1748)&amp;"")</f>
        <v/>
      </c>
      <c r="E1748">
        <f>IF($P1748="","",IF(ISNUMBER(INDEX(상세표[시작],$P1748)),TEXT(INDEX(상세표[시작],$P1748),"yyyy-mm-dd hh:mm"),INDEX(상세표[시작],$P1748)&amp;""))</f>
        <v/>
      </c>
      <c r="F1748">
        <f>IF($P1748="","",IF(ISNUMBER(INDEX(상세표[블록종료],$P1748)),TEXT(INDEX(상세표[블록종료],$P1748),"yyyy-mm-dd hh:mm"),INDEX(상세표[블록종료],$P1748)&amp;""))</f>
        <v/>
      </c>
      <c r="G1748">
        <f>IF($P1748="","",CHOOSE(WEEKDAY(INDEX(상세표[시작],$P1748)),"일","월","화","수","목","금","토"))</f>
        <v/>
      </c>
      <c r="H1748">
        <f>IF($P1748="","",INDEX(상세표[연속 시간],$P1748))</f>
        <v/>
      </c>
      <c r="I1748">
        <f>IF($P1748="","",INDEX(상세표[기록 수],$P1748))</f>
        <v/>
      </c>
      <c r="J1748">
        <f>IF($P1748="","",INDEX(상세표[블록 06~07시],$P1748))</f>
        <v/>
      </c>
      <c r="K1748">
        <f>IF($P1748="","",INDEX(상세표[블록 07~18시],$P1748))</f>
        <v/>
      </c>
      <c r="L1748">
        <f>IF($P1748="","",INDEX(상세표[블록 18~22시],$P1748))</f>
        <v/>
      </c>
      <c r="M1748">
        <f>IF($P1748="","",INDEX(상세표[블록 22~06시],$P1748))</f>
        <v/>
      </c>
      <c r="N1748">
        <f>IF($P1748="","",INDEX(상세표[주말·휴일 포함],$P1748)&amp;"")</f>
        <v/>
      </c>
      <c r="O1748">
        <f>IF($P1748="","",INDEX(상세표[월 넘김 포함],$P1748)&amp;"")</f>
        <v/>
      </c>
      <c r="P1748" s="4">
        <f>IFERROR(MATCH(1743,상세표[연속순번],0),"")</f>
        <v/>
      </c>
    </row>
    <row r="1749">
      <c r="A1749">
        <f>IF($P1749="","",INDEX(상세표[사번],$P1749)&amp;"")</f>
        <v/>
      </c>
      <c r="B1749">
        <f>IF($P1749="","",INDEX(상세표[성명],$P1749)&amp;"")</f>
        <v/>
      </c>
      <c r="C1749">
        <f>IF($P1749="","",INDEX(상세표[부서],$P1749)&amp;"")</f>
        <v/>
      </c>
      <c r="D1749">
        <f>IF($P1749="","",INDEX(상세표[직위],$P1749)&amp;"")</f>
        <v/>
      </c>
      <c r="E1749">
        <f>IF($P1749="","",IF(ISNUMBER(INDEX(상세표[시작],$P1749)),TEXT(INDEX(상세표[시작],$P1749),"yyyy-mm-dd hh:mm"),INDEX(상세표[시작],$P1749)&amp;""))</f>
        <v/>
      </c>
      <c r="F1749">
        <f>IF($P1749="","",IF(ISNUMBER(INDEX(상세표[블록종료],$P1749)),TEXT(INDEX(상세표[블록종료],$P1749),"yyyy-mm-dd hh:mm"),INDEX(상세표[블록종료],$P1749)&amp;""))</f>
        <v/>
      </c>
      <c r="G1749">
        <f>IF($P1749="","",CHOOSE(WEEKDAY(INDEX(상세표[시작],$P1749)),"일","월","화","수","목","금","토"))</f>
        <v/>
      </c>
      <c r="H1749">
        <f>IF($P1749="","",INDEX(상세표[연속 시간],$P1749))</f>
        <v/>
      </c>
      <c r="I1749">
        <f>IF($P1749="","",INDEX(상세표[기록 수],$P1749))</f>
        <v/>
      </c>
      <c r="J1749">
        <f>IF($P1749="","",INDEX(상세표[블록 06~07시],$P1749))</f>
        <v/>
      </c>
      <c r="K1749">
        <f>IF($P1749="","",INDEX(상세표[블록 07~18시],$P1749))</f>
        <v/>
      </c>
      <c r="L1749">
        <f>IF($P1749="","",INDEX(상세표[블록 18~22시],$P1749))</f>
        <v/>
      </c>
      <c r="M1749">
        <f>IF($P1749="","",INDEX(상세표[블록 22~06시],$P1749))</f>
        <v/>
      </c>
      <c r="N1749">
        <f>IF($P1749="","",INDEX(상세표[주말·휴일 포함],$P1749)&amp;"")</f>
        <v/>
      </c>
      <c r="O1749">
        <f>IF($P1749="","",INDEX(상세표[월 넘김 포함],$P1749)&amp;"")</f>
        <v/>
      </c>
      <c r="P1749" s="4">
        <f>IFERROR(MATCH(1744,상세표[연속순번],0),"")</f>
        <v/>
      </c>
    </row>
    <row r="1750">
      <c r="A1750">
        <f>IF($P1750="","",INDEX(상세표[사번],$P1750)&amp;"")</f>
        <v/>
      </c>
      <c r="B1750">
        <f>IF($P1750="","",INDEX(상세표[성명],$P1750)&amp;"")</f>
        <v/>
      </c>
      <c r="C1750">
        <f>IF($P1750="","",INDEX(상세표[부서],$P1750)&amp;"")</f>
        <v/>
      </c>
      <c r="D1750">
        <f>IF($P1750="","",INDEX(상세표[직위],$P1750)&amp;"")</f>
        <v/>
      </c>
      <c r="E1750">
        <f>IF($P1750="","",IF(ISNUMBER(INDEX(상세표[시작],$P1750)),TEXT(INDEX(상세표[시작],$P1750),"yyyy-mm-dd hh:mm"),INDEX(상세표[시작],$P1750)&amp;""))</f>
        <v/>
      </c>
      <c r="F1750">
        <f>IF($P1750="","",IF(ISNUMBER(INDEX(상세표[블록종료],$P1750)),TEXT(INDEX(상세표[블록종료],$P1750),"yyyy-mm-dd hh:mm"),INDEX(상세표[블록종료],$P1750)&amp;""))</f>
        <v/>
      </c>
      <c r="G1750">
        <f>IF($P1750="","",CHOOSE(WEEKDAY(INDEX(상세표[시작],$P1750)),"일","월","화","수","목","금","토"))</f>
        <v/>
      </c>
      <c r="H1750">
        <f>IF($P1750="","",INDEX(상세표[연속 시간],$P1750))</f>
        <v/>
      </c>
      <c r="I1750">
        <f>IF($P1750="","",INDEX(상세표[기록 수],$P1750))</f>
        <v/>
      </c>
      <c r="J1750">
        <f>IF($P1750="","",INDEX(상세표[블록 06~07시],$P1750))</f>
        <v/>
      </c>
      <c r="K1750">
        <f>IF($P1750="","",INDEX(상세표[블록 07~18시],$P1750))</f>
        <v/>
      </c>
      <c r="L1750">
        <f>IF($P1750="","",INDEX(상세표[블록 18~22시],$P1750))</f>
        <v/>
      </c>
      <c r="M1750">
        <f>IF($P1750="","",INDEX(상세표[블록 22~06시],$P1750))</f>
        <v/>
      </c>
      <c r="N1750">
        <f>IF($P1750="","",INDEX(상세표[주말·휴일 포함],$P1750)&amp;"")</f>
        <v/>
      </c>
      <c r="O1750">
        <f>IF($P1750="","",INDEX(상세표[월 넘김 포함],$P1750)&amp;"")</f>
        <v/>
      </c>
      <c r="P1750" s="4">
        <f>IFERROR(MATCH(1745,상세표[연속순번],0),"")</f>
        <v/>
      </c>
    </row>
    <row r="1751">
      <c r="A1751">
        <f>IF($P1751="","",INDEX(상세표[사번],$P1751)&amp;"")</f>
        <v/>
      </c>
      <c r="B1751">
        <f>IF($P1751="","",INDEX(상세표[성명],$P1751)&amp;"")</f>
        <v/>
      </c>
      <c r="C1751">
        <f>IF($P1751="","",INDEX(상세표[부서],$P1751)&amp;"")</f>
        <v/>
      </c>
      <c r="D1751">
        <f>IF($P1751="","",INDEX(상세표[직위],$P1751)&amp;"")</f>
        <v/>
      </c>
      <c r="E1751">
        <f>IF($P1751="","",IF(ISNUMBER(INDEX(상세표[시작],$P1751)),TEXT(INDEX(상세표[시작],$P1751),"yyyy-mm-dd hh:mm"),INDEX(상세표[시작],$P1751)&amp;""))</f>
        <v/>
      </c>
      <c r="F1751">
        <f>IF($P1751="","",IF(ISNUMBER(INDEX(상세표[블록종료],$P1751)),TEXT(INDEX(상세표[블록종료],$P1751),"yyyy-mm-dd hh:mm"),INDEX(상세표[블록종료],$P1751)&amp;""))</f>
        <v/>
      </c>
      <c r="G1751">
        <f>IF($P1751="","",CHOOSE(WEEKDAY(INDEX(상세표[시작],$P1751)),"일","월","화","수","목","금","토"))</f>
        <v/>
      </c>
      <c r="H1751">
        <f>IF($P1751="","",INDEX(상세표[연속 시간],$P1751))</f>
        <v/>
      </c>
      <c r="I1751">
        <f>IF($P1751="","",INDEX(상세표[기록 수],$P1751))</f>
        <v/>
      </c>
      <c r="J1751">
        <f>IF($P1751="","",INDEX(상세표[블록 06~07시],$P1751))</f>
        <v/>
      </c>
      <c r="K1751">
        <f>IF($P1751="","",INDEX(상세표[블록 07~18시],$P1751))</f>
        <v/>
      </c>
      <c r="L1751">
        <f>IF($P1751="","",INDEX(상세표[블록 18~22시],$P1751))</f>
        <v/>
      </c>
      <c r="M1751">
        <f>IF($P1751="","",INDEX(상세표[블록 22~06시],$P1751))</f>
        <v/>
      </c>
      <c r="N1751">
        <f>IF($P1751="","",INDEX(상세표[주말·휴일 포함],$P1751)&amp;"")</f>
        <v/>
      </c>
      <c r="O1751">
        <f>IF($P1751="","",INDEX(상세표[월 넘김 포함],$P1751)&amp;"")</f>
        <v/>
      </c>
      <c r="P1751" s="4">
        <f>IFERROR(MATCH(1746,상세표[연속순번],0),"")</f>
        <v/>
      </c>
    </row>
    <row r="1752">
      <c r="A1752">
        <f>IF($P1752="","",INDEX(상세표[사번],$P1752)&amp;"")</f>
        <v/>
      </c>
      <c r="B1752">
        <f>IF($P1752="","",INDEX(상세표[성명],$P1752)&amp;"")</f>
        <v/>
      </c>
      <c r="C1752">
        <f>IF($P1752="","",INDEX(상세표[부서],$P1752)&amp;"")</f>
        <v/>
      </c>
      <c r="D1752">
        <f>IF($P1752="","",INDEX(상세표[직위],$P1752)&amp;"")</f>
        <v/>
      </c>
      <c r="E1752">
        <f>IF($P1752="","",IF(ISNUMBER(INDEX(상세표[시작],$P1752)),TEXT(INDEX(상세표[시작],$P1752),"yyyy-mm-dd hh:mm"),INDEX(상세표[시작],$P1752)&amp;""))</f>
        <v/>
      </c>
      <c r="F1752">
        <f>IF($P1752="","",IF(ISNUMBER(INDEX(상세표[블록종료],$P1752)),TEXT(INDEX(상세표[블록종료],$P1752),"yyyy-mm-dd hh:mm"),INDEX(상세표[블록종료],$P1752)&amp;""))</f>
        <v/>
      </c>
      <c r="G1752">
        <f>IF($P1752="","",CHOOSE(WEEKDAY(INDEX(상세표[시작],$P1752)),"일","월","화","수","목","금","토"))</f>
        <v/>
      </c>
      <c r="H1752">
        <f>IF($P1752="","",INDEX(상세표[연속 시간],$P1752))</f>
        <v/>
      </c>
      <c r="I1752">
        <f>IF($P1752="","",INDEX(상세표[기록 수],$P1752))</f>
        <v/>
      </c>
      <c r="J1752">
        <f>IF($P1752="","",INDEX(상세표[블록 06~07시],$P1752))</f>
        <v/>
      </c>
      <c r="K1752">
        <f>IF($P1752="","",INDEX(상세표[블록 07~18시],$P1752))</f>
        <v/>
      </c>
      <c r="L1752">
        <f>IF($P1752="","",INDEX(상세표[블록 18~22시],$P1752))</f>
        <v/>
      </c>
      <c r="M1752">
        <f>IF($P1752="","",INDEX(상세표[블록 22~06시],$P1752))</f>
        <v/>
      </c>
      <c r="N1752">
        <f>IF($P1752="","",INDEX(상세표[주말·휴일 포함],$P1752)&amp;"")</f>
        <v/>
      </c>
      <c r="O1752">
        <f>IF($P1752="","",INDEX(상세표[월 넘김 포함],$P1752)&amp;"")</f>
        <v/>
      </c>
      <c r="P1752" s="4">
        <f>IFERROR(MATCH(1747,상세표[연속순번],0),"")</f>
        <v/>
      </c>
    </row>
    <row r="1753">
      <c r="A1753">
        <f>IF($P1753="","",INDEX(상세표[사번],$P1753)&amp;"")</f>
        <v/>
      </c>
      <c r="B1753">
        <f>IF($P1753="","",INDEX(상세표[성명],$P1753)&amp;"")</f>
        <v/>
      </c>
      <c r="C1753">
        <f>IF($P1753="","",INDEX(상세표[부서],$P1753)&amp;"")</f>
        <v/>
      </c>
      <c r="D1753">
        <f>IF($P1753="","",INDEX(상세표[직위],$P1753)&amp;"")</f>
        <v/>
      </c>
      <c r="E1753">
        <f>IF($P1753="","",IF(ISNUMBER(INDEX(상세표[시작],$P1753)),TEXT(INDEX(상세표[시작],$P1753),"yyyy-mm-dd hh:mm"),INDEX(상세표[시작],$P1753)&amp;""))</f>
        <v/>
      </c>
      <c r="F1753">
        <f>IF($P1753="","",IF(ISNUMBER(INDEX(상세표[블록종료],$P1753)),TEXT(INDEX(상세표[블록종료],$P1753),"yyyy-mm-dd hh:mm"),INDEX(상세표[블록종료],$P1753)&amp;""))</f>
        <v/>
      </c>
      <c r="G1753">
        <f>IF($P1753="","",CHOOSE(WEEKDAY(INDEX(상세표[시작],$P1753)),"일","월","화","수","목","금","토"))</f>
        <v/>
      </c>
      <c r="H1753">
        <f>IF($P1753="","",INDEX(상세표[연속 시간],$P1753))</f>
        <v/>
      </c>
      <c r="I1753">
        <f>IF($P1753="","",INDEX(상세표[기록 수],$P1753))</f>
        <v/>
      </c>
      <c r="J1753">
        <f>IF($P1753="","",INDEX(상세표[블록 06~07시],$P1753))</f>
        <v/>
      </c>
      <c r="K1753">
        <f>IF($P1753="","",INDEX(상세표[블록 07~18시],$P1753))</f>
        <v/>
      </c>
      <c r="L1753">
        <f>IF($P1753="","",INDEX(상세표[블록 18~22시],$P1753))</f>
        <v/>
      </c>
      <c r="M1753">
        <f>IF($P1753="","",INDEX(상세표[블록 22~06시],$P1753))</f>
        <v/>
      </c>
      <c r="N1753">
        <f>IF($P1753="","",INDEX(상세표[주말·휴일 포함],$P1753)&amp;"")</f>
        <v/>
      </c>
      <c r="O1753">
        <f>IF($P1753="","",INDEX(상세표[월 넘김 포함],$P1753)&amp;"")</f>
        <v/>
      </c>
      <c r="P1753" s="4">
        <f>IFERROR(MATCH(1748,상세표[연속순번],0),"")</f>
        <v/>
      </c>
    </row>
    <row r="1754">
      <c r="A1754">
        <f>IF($P1754="","",INDEX(상세표[사번],$P1754)&amp;"")</f>
        <v/>
      </c>
      <c r="B1754">
        <f>IF($P1754="","",INDEX(상세표[성명],$P1754)&amp;"")</f>
        <v/>
      </c>
      <c r="C1754">
        <f>IF($P1754="","",INDEX(상세표[부서],$P1754)&amp;"")</f>
        <v/>
      </c>
      <c r="D1754">
        <f>IF($P1754="","",INDEX(상세표[직위],$P1754)&amp;"")</f>
        <v/>
      </c>
      <c r="E1754">
        <f>IF($P1754="","",IF(ISNUMBER(INDEX(상세표[시작],$P1754)),TEXT(INDEX(상세표[시작],$P1754),"yyyy-mm-dd hh:mm"),INDEX(상세표[시작],$P1754)&amp;""))</f>
        <v/>
      </c>
      <c r="F1754">
        <f>IF($P1754="","",IF(ISNUMBER(INDEX(상세표[블록종료],$P1754)),TEXT(INDEX(상세표[블록종료],$P1754),"yyyy-mm-dd hh:mm"),INDEX(상세표[블록종료],$P1754)&amp;""))</f>
        <v/>
      </c>
      <c r="G1754">
        <f>IF($P1754="","",CHOOSE(WEEKDAY(INDEX(상세표[시작],$P1754)),"일","월","화","수","목","금","토"))</f>
        <v/>
      </c>
      <c r="H1754">
        <f>IF($P1754="","",INDEX(상세표[연속 시간],$P1754))</f>
        <v/>
      </c>
      <c r="I1754">
        <f>IF($P1754="","",INDEX(상세표[기록 수],$P1754))</f>
        <v/>
      </c>
      <c r="J1754">
        <f>IF($P1754="","",INDEX(상세표[블록 06~07시],$P1754))</f>
        <v/>
      </c>
      <c r="K1754">
        <f>IF($P1754="","",INDEX(상세표[블록 07~18시],$P1754))</f>
        <v/>
      </c>
      <c r="L1754">
        <f>IF($P1754="","",INDEX(상세표[블록 18~22시],$P1754))</f>
        <v/>
      </c>
      <c r="M1754">
        <f>IF($P1754="","",INDEX(상세표[블록 22~06시],$P1754))</f>
        <v/>
      </c>
      <c r="N1754">
        <f>IF($P1754="","",INDEX(상세표[주말·휴일 포함],$P1754)&amp;"")</f>
        <v/>
      </c>
      <c r="O1754">
        <f>IF($P1754="","",INDEX(상세표[월 넘김 포함],$P1754)&amp;"")</f>
        <v/>
      </c>
      <c r="P1754" s="4">
        <f>IFERROR(MATCH(1749,상세표[연속순번],0),"")</f>
        <v/>
      </c>
    </row>
    <row r="1755">
      <c r="A1755">
        <f>IF($P1755="","",INDEX(상세표[사번],$P1755)&amp;"")</f>
        <v/>
      </c>
      <c r="B1755">
        <f>IF($P1755="","",INDEX(상세표[성명],$P1755)&amp;"")</f>
        <v/>
      </c>
      <c r="C1755">
        <f>IF($P1755="","",INDEX(상세표[부서],$P1755)&amp;"")</f>
        <v/>
      </c>
      <c r="D1755">
        <f>IF($P1755="","",INDEX(상세표[직위],$P1755)&amp;"")</f>
        <v/>
      </c>
      <c r="E1755">
        <f>IF($P1755="","",IF(ISNUMBER(INDEX(상세표[시작],$P1755)),TEXT(INDEX(상세표[시작],$P1755),"yyyy-mm-dd hh:mm"),INDEX(상세표[시작],$P1755)&amp;""))</f>
        <v/>
      </c>
      <c r="F1755">
        <f>IF($P1755="","",IF(ISNUMBER(INDEX(상세표[블록종료],$P1755)),TEXT(INDEX(상세표[블록종료],$P1755),"yyyy-mm-dd hh:mm"),INDEX(상세표[블록종료],$P1755)&amp;""))</f>
        <v/>
      </c>
      <c r="G1755">
        <f>IF($P1755="","",CHOOSE(WEEKDAY(INDEX(상세표[시작],$P1755)),"일","월","화","수","목","금","토"))</f>
        <v/>
      </c>
      <c r="H1755">
        <f>IF($P1755="","",INDEX(상세표[연속 시간],$P1755))</f>
        <v/>
      </c>
      <c r="I1755">
        <f>IF($P1755="","",INDEX(상세표[기록 수],$P1755))</f>
        <v/>
      </c>
      <c r="J1755">
        <f>IF($P1755="","",INDEX(상세표[블록 06~07시],$P1755))</f>
        <v/>
      </c>
      <c r="K1755">
        <f>IF($P1755="","",INDEX(상세표[블록 07~18시],$P1755))</f>
        <v/>
      </c>
      <c r="L1755">
        <f>IF($P1755="","",INDEX(상세표[블록 18~22시],$P1755))</f>
        <v/>
      </c>
      <c r="M1755">
        <f>IF($P1755="","",INDEX(상세표[블록 22~06시],$P1755))</f>
        <v/>
      </c>
      <c r="N1755">
        <f>IF($P1755="","",INDEX(상세표[주말·휴일 포함],$P1755)&amp;"")</f>
        <v/>
      </c>
      <c r="O1755">
        <f>IF($P1755="","",INDEX(상세표[월 넘김 포함],$P1755)&amp;"")</f>
        <v/>
      </c>
      <c r="P1755" s="4">
        <f>IFERROR(MATCH(1750,상세표[연속순번],0),"")</f>
        <v/>
      </c>
    </row>
    <row r="1756">
      <c r="A1756">
        <f>IF($P1756="","",INDEX(상세표[사번],$P1756)&amp;"")</f>
        <v/>
      </c>
      <c r="B1756">
        <f>IF($P1756="","",INDEX(상세표[성명],$P1756)&amp;"")</f>
        <v/>
      </c>
      <c r="C1756">
        <f>IF($P1756="","",INDEX(상세표[부서],$P1756)&amp;"")</f>
        <v/>
      </c>
      <c r="D1756">
        <f>IF($P1756="","",INDEX(상세표[직위],$P1756)&amp;"")</f>
        <v/>
      </c>
      <c r="E1756">
        <f>IF($P1756="","",IF(ISNUMBER(INDEX(상세표[시작],$P1756)),TEXT(INDEX(상세표[시작],$P1756),"yyyy-mm-dd hh:mm"),INDEX(상세표[시작],$P1756)&amp;""))</f>
        <v/>
      </c>
      <c r="F1756">
        <f>IF($P1756="","",IF(ISNUMBER(INDEX(상세표[블록종료],$P1756)),TEXT(INDEX(상세표[블록종료],$P1756),"yyyy-mm-dd hh:mm"),INDEX(상세표[블록종료],$P1756)&amp;""))</f>
        <v/>
      </c>
      <c r="G1756">
        <f>IF($P1756="","",CHOOSE(WEEKDAY(INDEX(상세표[시작],$P1756)),"일","월","화","수","목","금","토"))</f>
        <v/>
      </c>
      <c r="H1756">
        <f>IF($P1756="","",INDEX(상세표[연속 시간],$P1756))</f>
        <v/>
      </c>
      <c r="I1756">
        <f>IF($P1756="","",INDEX(상세표[기록 수],$P1756))</f>
        <v/>
      </c>
      <c r="J1756">
        <f>IF($P1756="","",INDEX(상세표[블록 06~07시],$P1756))</f>
        <v/>
      </c>
      <c r="K1756">
        <f>IF($P1756="","",INDEX(상세표[블록 07~18시],$P1756))</f>
        <v/>
      </c>
      <c r="L1756">
        <f>IF($P1756="","",INDEX(상세표[블록 18~22시],$P1756))</f>
        <v/>
      </c>
      <c r="M1756">
        <f>IF($P1756="","",INDEX(상세표[블록 22~06시],$P1756))</f>
        <v/>
      </c>
      <c r="N1756">
        <f>IF($P1756="","",INDEX(상세표[주말·휴일 포함],$P1756)&amp;"")</f>
        <v/>
      </c>
      <c r="O1756">
        <f>IF($P1756="","",INDEX(상세표[월 넘김 포함],$P1756)&amp;"")</f>
        <v/>
      </c>
      <c r="P1756" s="4">
        <f>IFERROR(MATCH(1751,상세표[연속순번],0),"")</f>
        <v/>
      </c>
    </row>
    <row r="1757">
      <c r="A1757">
        <f>IF($P1757="","",INDEX(상세표[사번],$P1757)&amp;"")</f>
        <v/>
      </c>
      <c r="B1757">
        <f>IF($P1757="","",INDEX(상세표[성명],$P1757)&amp;"")</f>
        <v/>
      </c>
      <c r="C1757">
        <f>IF($P1757="","",INDEX(상세표[부서],$P1757)&amp;"")</f>
        <v/>
      </c>
      <c r="D1757">
        <f>IF($P1757="","",INDEX(상세표[직위],$P1757)&amp;"")</f>
        <v/>
      </c>
      <c r="E1757">
        <f>IF($P1757="","",IF(ISNUMBER(INDEX(상세표[시작],$P1757)),TEXT(INDEX(상세표[시작],$P1757),"yyyy-mm-dd hh:mm"),INDEX(상세표[시작],$P1757)&amp;""))</f>
        <v/>
      </c>
      <c r="F1757">
        <f>IF($P1757="","",IF(ISNUMBER(INDEX(상세표[블록종료],$P1757)),TEXT(INDEX(상세표[블록종료],$P1757),"yyyy-mm-dd hh:mm"),INDEX(상세표[블록종료],$P1757)&amp;""))</f>
        <v/>
      </c>
      <c r="G1757">
        <f>IF($P1757="","",CHOOSE(WEEKDAY(INDEX(상세표[시작],$P1757)),"일","월","화","수","목","금","토"))</f>
        <v/>
      </c>
      <c r="H1757">
        <f>IF($P1757="","",INDEX(상세표[연속 시간],$P1757))</f>
        <v/>
      </c>
      <c r="I1757">
        <f>IF($P1757="","",INDEX(상세표[기록 수],$P1757))</f>
        <v/>
      </c>
      <c r="J1757">
        <f>IF($P1757="","",INDEX(상세표[블록 06~07시],$P1757))</f>
        <v/>
      </c>
      <c r="K1757">
        <f>IF($P1757="","",INDEX(상세표[블록 07~18시],$P1757))</f>
        <v/>
      </c>
      <c r="L1757">
        <f>IF($P1757="","",INDEX(상세표[블록 18~22시],$P1757))</f>
        <v/>
      </c>
      <c r="M1757">
        <f>IF($P1757="","",INDEX(상세표[블록 22~06시],$P1757))</f>
        <v/>
      </c>
      <c r="N1757">
        <f>IF($P1757="","",INDEX(상세표[주말·휴일 포함],$P1757)&amp;"")</f>
        <v/>
      </c>
      <c r="O1757">
        <f>IF($P1757="","",INDEX(상세표[월 넘김 포함],$P1757)&amp;"")</f>
        <v/>
      </c>
      <c r="P1757" s="4">
        <f>IFERROR(MATCH(1752,상세표[연속순번],0),"")</f>
        <v/>
      </c>
    </row>
    <row r="1758">
      <c r="A1758">
        <f>IF($P1758="","",INDEX(상세표[사번],$P1758)&amp;"")</f>
        <v/>
      </c>
      <c r="B1758">
        <f>IF($P1758="","",INDEX(상세표[성명],$P1758)&amp;"")</f>
        <v/>
      </c>
      <c r="C1758">
        <f>IF($P1758="","",INDEX(상세표[부서],$P1758)&amp;"")</f>
        <v/>
      </c>
      <c r="D1758">
        <f>IF($P1758="","",INDEX(상세표[직위],$P1758)&amp;"")</f>
        <v/>
      </c>
      <c r="E1758">
        <f>IF($P1758="","",IF(ISNUMBER(INDEX(상세표[시작],$P1758)),TEXT(INDEX(상세표[시작],$P1758),"yyyy-mm-dd hh:mm"),INDEX(상세표[시작],$P1758)&amp;""))</f>
        <v/>
      </c>
      <c r="F1758">
        <f>IF($P1758="","",IF(ISNUMBER(INDEX(상세표[블록종료],$P1758)),TEXT(INDEX(상세표[블록종료],$P1758),"yyyy-mm-dd hh:mm"),INDEX(상세표[블록종료],$P1758)&amp;""))</f>
        <v/>
      </c>
      <c r="G1758">
        <f>IF($P1758="","",CHOOSE(WEEKDAY(INDEX(상세표[시작],$P1758)),"일","월","화","수","목","금","토"))</f>
        <v/>
      </c>
      <c r="H1758">
        <f>IF($P1758="","",INDEX(상세표[연속 시간],$P1758))</f>
        <v/>
      </c>
      <c r="I1758">
        <f>IF($P1758="","",INDEX(상세표[기록 수],$P1758))</f>
        <v/>
      </c>
      <c r="J1758">
        <f>IF($P1758="","",INDEX(상세표[블록 06~07시],$P1758))</f>
        <v/>
      </c>
      <c r="K1758">
        <f>IF($P1758="","",INDEX(상세표[블록 07~18시],$P1758))</f>
        <v/>
      </c>
      <c r="L1758">
        <f>IF($P1758="","",INDEX(상세표[블록 18~22시],$P1758))</f>
        <v/>
      </c>
      <c r="M1758">
        <f>IF($P1758="","",INDEX(상세표[블록 22~06시],$P1758))</f>
        <v/>
      </c>
      <c r="N1758">
        <f>IF($P1758="","",INDEX(상세표[주말·휴일 포함],$P1758)&amp;"")</f>
        <v/>
      </c>
      <c r="O1758">
        <f>IF($P1758="","",INDEX(상세표[월 넘김 포함],$P1758)&amp;"")</f>
        <v/>
      </c>
      <c r="P1758" s="4">
        <f>IFERROR(MATCH(1753,상세표[연속순번],0),"")</f>
        <v/>
      </c>
    </row>
    <row r="1759">
      <c r="A1759">
        <f>IF($P1759="","",INDEX(상세표[사번],$P1759)&amp;"")</f>
        <v/>
      </c>
      <c r="B1759">
        <f>IF($P1759="","",INDEX(상세표[성명],$P1759)&amp;"")</f>
        <v/>
      </c>
      <c r="C1759">
        <f>IF($P1759="","",INDEX(상세표[부서],$P1759)&amp;"")</f>
        <v/>
      </c>
      <c r="D1759">
        <f>IF($P1759="","",INDEX(상세표[직위],$P1759)&amp;"")</f>
        <v/>
      </c>
      <c r="E1759">
        <f>IF($P1759="","",IF(ISNUMBER(INDEX(상세표[시작],$P1759)),TEXT(INDEX(상세표[시작],$P1759),"yyyy-mm-dd hh:mm"),INDEX(상세표[시작],$P1759)&amp;""))</f>
        <v/>
      </c>
      <c r="F1759">
        <f>IF($P1759="","",IF(ISNUMBER(INDEX(상세표[블록종료],$P1759)),TEXT(INDEX(상세표[블록종료],$P1759),"yyyy-mm-dd hh:mm"),INDEX(상세표[블록종료],$P1759)&amp;""))</f>
        <v/>
      </c>
      <c r="G1759">
        <f>IF($P1759="","",CHOOSE(WEEKDAY(INDEX(상세표[시작],$P1759)),"일","월","화","수","목","금","토"))</f>
        <v/>
      </c>
      <c r="H1759">
        <f>IF($P1759="","",INDEX(상세표[연속 시간],$P1759))</f>
        <v/>
      </c>
      <c r="I1759">
        <f>IF($P1759="","",INDEX(상세표[기록 수],$P1759))</f>
        <v/>
      </c>
      <c r="J1759">
        <f>IF($P1759="","",INDEX(상세표[블록 06~07시],$P1759))</f>
        <v/>
      </c>
      <c r="K1759">
        <f>IF($P1759="","",INDEX(상세표[블록 07~18시],$P1759))</f>
        <v/>
      </c>
      <c r="L1759">
        <f>IF($P1759="","",INDEX(상세표[블록 18~22시],$P1759))</f>
        <v/>
      </c>
      <c r="M1759">
        <f>IF($P1759="","",INDEX(상세표[블록 22~06시],$P1759))</f>
        <v/>
      </c>
      <c r="N1759">
        <f>IF($P1759="","",INDEX(상세표[주말·휴일 포함],$P1759)&amp;"")</f>
        <v/>
      </c>
      <c r="O1759">
        <f>IF($P1759="","",INDEX(상세표[월 넘김 포함],$P1759)&amp;"")</f>
        <v/>
      </c>
      <c r="P1759" s="4">
        <f>IFERROR(MATCH(1754,상세표[연속순번],0),"")</f>
        <v/>
      </c>
    </row>
    <row r="1760">
      <c r="A1760">
        <f>IF($P1760="","",INDEX(상세표[사번],$P1760)&amp;"")</f>
        <v/>
      </c>
      <c r="B1760">
        <f>IF($P1760="","",INDEX(상세표[성명],$P1760)&amp;"")</f>
        <v/>
      </c>
      <c r="C1760">
        <f>IF($P1760="","",INDEX(상세표[부서],$P1760)&amp;"")</f>
        <v/>
      </c>
      <c r="D1760">
        <f>IF($P1760="","",INDEX(상세표[직위],$P1760)&amp;"")</f>
        <v/>
      </c>
      <c r="E1760">
        <f>IF($P1760="","",IF(ISNUMBER(INDEX(상세표[시작],$P1760)),TEXT(INDEX(상세표[시작],$P1760),"yyyy-mm-dd hh:mm"),INDEX(상세표[시작],$P1760)&amp;""))</f>
        <v/>
      </c>
      <c r="F1760">
        <f>IF($P1760="","",IF(ISNUMBER(INDEX(상세표[블록종료],$P1760)),TEXT(INDEX(상세표[블록종료],$P1760),"yyyy-mm-dd hh:mm"),INDEX(상세표[블록종료],$P1760)&amp;""))</f>
        <v/>
      </c>
      <c r="G1760">
        <f>IF($P1760="","",CHOOSE(WEEKDAY(INDEX(상세표[시작],$P1760)),"일","월","화","수","목","금","토"))</f>
        <v/>
      </c>
      <c r="H1760">
        <f>IF($P1760="","",INDEX(상세표[연속 시간],$P1760))</f>
        <v/>
      </c>
      <c r="I1760">
        <f>IF($P1760="","",INDEX(상세표[기록 수],$P1760))</f>
        <v/>
      </c>
      <c r="J1760">
        <f>IF($P1760="","",INDEX(상세표[블록 06~07시],$P1760))</f>
        <v/>
      </c>
      <c r="K1760">
        <f>IF($P1760="","",INDEX(상세표[블록 07~18시],$P1760))</f>
        <v/>
      </c>
      <c r="L1760">
        <f>IF($P1760="","",INDEX(상세표[블록 18~22시],$P1760))</f>
        <v/>
      </c>
      <c r="M1760">
        <f>IF($P1760="","",INDEX(상세표[블록 22~06시],$P1760))</f>
        <v/>
      </c>
      <c r="N1760">
        <f>IF($P1760="","",INDEX(상세표[주말·휴일 포함],$P1760)&amp;"")</f>
        <v/>
      </c>
      <c r="O1760">
        <f>IF($P1760="","",INDEX(상세표[월 넘김 포함],$P1760)&amp;"")</f>
        <v/>
      </c>
      <c r="P1760" s="4">
        <f>IFERROR(MATCH(1755,상세표[연속순번],0),"")</f>
        <v/>
      </c>
    </row>
    <row r="1761">
      <c r="A1761">
        <f>IF($P1761="","",INDEX(상세표[사번],$P1761)&amp;"")</f>
        <v/>
      </c>
      <c r="B1761">
        <f>IF($P1761="","",INDEX(상세표[성명],$P1761)&amp;"")</f>
        <v/>
      </c>
      <c r="C1761">
        <f>IF($P1761="","",INDEX(상세표[부서],$P1761)&amp;"")</f>
        <v/>
      </c>
      <c r="D1761">
        <f>IF($P1761="","",INDEX(상세표[직위],$P1761)&amp;"")</f>
        <v/>
      </c>
      <c r="E1761">
        <f>IF($P1761="","",IF(ISNUMBER(INDEX(상세표[시작],$P1761)),TEXT(INDEX(상세표[시작],$P1761),"yyyy-mm-dd hh:mm"),INDEX(상세표[시작],$P1761)&amp;""))</f>
        <v/>
      </c>
      <c r="F1761">
        <f>IF($P1761="","",IF(ISNUMBER(INDEX(상세표[블록종료],$P1761)),TEXT(INDEX(상세표[블록종료],$P1761),"yyyy-mm-dd hh:mm"),INDEX(상세표[블록종료],$P1761)&amp;""))</f>
        <v/>
      </c>
      <c r="G1761">
        <f>IF($P1761="","",CHOOSE(WEEKDAY(INDEX(상세표[시작],$P1761)),"일","월","화","수","목","금","토"))</f>
        <v/>
      </c>
      <c r="H1761">
        <f>IF($P1761="","",INDEX(상세표[연속 시간],$P1761))</f>
        <v/>
      </c>
      <c r="I1761">
        <f>IF($P1761="","",INDEX(상세표[기록 수],$P1761))</f>
        <v/>
      </c>
      <c r="J1761">
        <f>IF($P1761="","",INDEX(상세표[블록 06~07시],$P1761))</f>
        <v/>
      </c>
      <c r="K1761">
        <f>IF($P1761="","",INDEX(상세표[블록 07~18시],$P1761))</f>
        <v/>
      </c>
      <c r="L1761">
        <f>IF($P1761="","",INDEX(상세표[블록 18~22시],$P1761))</f>
        <v/>
      </c>
      <c r="M1761">
        <f>IF($P1761="","",INDEX(상세표[블록 22~06시],$P1761))</f>
        <v/>
      </c>
      <c r="N1761">
        <f>IF($P1761="","",INDEX(상세표[주말·휴일 포함],$P1761)&amp;"")</f>
        <v/>
      </c>
      <c r="O1761">
        <f>IF($P1761="","",INDEX(상세표[월 넘김 포함],$P1761)&amp;"")</f>
        <v/>
      </c>
      <c r="P1761" s="4">
        <f>IFERROR(MATCH(1756,상세표[연속순번],0),"")</f>
        <v/>
      </c>
    </row>
    <row r="1762">
      <c r="A1762">
        <f>IF($P1762="","",INDEX(상세표[사번],$P1762)&amp;"")</f>
        <v/>
      </c>
      <c r="B1762">
        <f>IF($P1762="","",INDEX(상세표[성명],$P1762)&amp;"")</f>
        <v/>
      </c>
      <c r="C1762">
        <f>IF($P1762="","",INDEX(상세표[부서],$P1762)&amp;"")</f>
        <v/>
      </c>
      <c r="D1762">
        <f>IF($P1762="","",INDEX(상세표[직위],$P1762)&amp;"")</f>
        <v/>
      </c>
      <c r="E1762">
        <f>IF($P1762="","",IF(ISNUMBER(INDEX(상세표[시작],$P1762)),TEXT(INDEX(상세표[시작],$P1762),"yyyy-mm-dd hh:mm"),INDEX(상세표[시작],$P1762)&amp;""))</f>
        <v/>
      </c>
      <c r="F1762">
        <f>IF($P1762="","",IF(ISNUMBER(INDEX(상세표[블록종료],$P1762)),TEXT(INDEX(상세표[블록종료],$P1762),"yyyy-mm-dd hh:mm"),INDEX(상세표[블록종료],$P1762)&amp;""))</f>
        <v/>
      </c>
      <c r="G1762">
        <f>IF($P1762="","",CHOOSE(WEEKDAY(INDEX(상세표[시작],$P1762)),"일","월","화","수","목","금","토"))</f>
        <v/>
      </c>
      <c r="H1762">
        <f>IF($P1762="","",INDEX(상세표[연속 시간],$P1762))</f>
        <v/>
      </c>
      <c r="I1762">
        <f>IF($P1762="","",INDEX(상세표[기록 수],$P1762))</f>
        <v/>
      </c>
      <c r="J1762">
        <f>IF($P1762="","",INDEX(상세표[블록 06~07시],$P1762))</f>
        <v/>
      </c>
      <c r="K1762">
        <f>IF($P1762="","",INDEX(상세표[블록 07~18시],$P1762))</f>
        <v/>
      </c>
      <c r="L1762">
        <f>IF($P1762="","",INDEX(상세표[블록 18~22시],$P1762))</f>
        <v/>
      </c>
      <c r="M1762">
        <f>IF($P1762="","",INDEX(상세표[블록 22~06시],$P1762))</f>
        <v/>
      </c>
      <c r="N1762">
        <f>IF($P1762="","",INDEX(상세표[주말·휴일 포함],$P1762)&amp;"")</f>
        <v/>
      </c>
      <c r="O1762">
        <f>IF($P1762="","",INDEX(상세표[월 넘김 포함],$P1762)&amp;"")</f>
        <v/>
      </c>
      <c r="P1762" s="4">
        <f>IFERROR(MATCH(1757,상세표[연속순번],0),"")</f>
        <v/>
      </c>
    </row>
    <row r="1763">
      <c r="A1763">
        <f>IF($P1763="","",INDEX(상세표[사번],$P1763)&amp;"")</f>
        <v/>
      </c>
      <c r="B1763">
        <f>IF($P1763="","",INDEX(상세표[성명],$P1763)&amp;"")</f>
        <v/>
      </c>
      <c r="C1763">
        <f>IF($P1763="","",INDEX(상세표[부서],$P1763)&amp;"")</f>
        <v/>
      </c>
      <c r="D1763">
        <f>IF($P1763="","",INDEX(상세표[직위],$P1763)&amp;"")</f>
        <v/>
      </c>
      <c r="E1763">
        <f>IF($P1763="","",IF(ISNUMBER(INDEX(상세표[시작],$P1763)),TEXT(INDEX(상세표[시작],$P1763),"yyyy-mm-dd hh:mm"),INDEX(상세표[시작],$P1763)&amp;""))</f>
        <v/>
      </c>
      <c r="F1763">
        <f>IF($P1763="","",IF(ISNUMBER(INDEX(상세표[블록종료],$P1763)),TEXT(INDEX(상세표[블록종료],$P1763),"yyyy-mm-dd hh:mm"),INDEX(상세표[블록종료],$P1763)&amp;""))</f>
        <v/>
      </c>
      <c r="G1763">
        <f>IF($P1763="","",CHOOSE(WEEKDAY(INDEX(상세표[시작],$P1763)),"일","월","화","수","목","금","토"))</f>
        <v/>
      </c>
      <c r="H1763">
        <f>IF($P1763="","",INDEX(상세표[연속 시간],$P1763))</f>
        <v/>
      </c>
      <c r="I1763">
        <f>IF($P1763="","",INDEX(상세표[기록 수],$P1763))</f>
        <v/>
      </c>
      <c r="J1763">
        <f>IF($P1763="","",INDEX(상세표[블록 06~07시],$P1763))</f>
        <v/>
      </c>
      <c r="K1763">
        <f>IF($P1763="","",INDEX(상세표[블록 07~18시],$P1763))</f>
        <v/>
      </c>
      <c r="L1763">
        <f>IF($P1763="","",INDEX(상세표[블록 18~22시],$P1763))</f>
        <v/>
      </c>
      <c r="M1763">
        <f>IF($P1763="","",INDEX(상세표[블록 22~06시],$P1763))</f>
        <v/>
      </c>
      <c r="N1763">
        <f>IF($P1763="","",INDEX(상세표[주말·휴일 포함],$P1763)&amp;"")</f>
        <v/>
      </c>
      <c r="O1763">
        <f>IF($P1763="","",INDEX(상세표[월 넘김 포함],$P1763)&amp;"")</f>
        <v/>
      </c>
      <c r="P1763" s="4">
        <f>IFERROR(MATCH(1758,상세표[연속순번],0),"")</f>
        <v/>
      </c>
    </row>
    <row r="1764">
      <c r="A1764">
        <f>IF($P1764="","",INDEX(상세표[사번],$P1764)&amp;"")</f>
        <v/>
      </c>
      <c r="B1764">
        <f>IF($P1764="","",INDEX(상세표[성명],$P1764)&amp;"")</f>
        <v/>
      </c>
      <c r="C1764">
        <f>IF($P1764="","",INDEX(상세표[부서],$P1764)&amp;"")</f>
        <v/>
      </c>
      <c r="D1764">
        <f>IF($P1764="","",INDEX(상세표[직위],$P1764)&amp;"")</f>
        <v/>
      </c>
      <c r="E1764">
        <f>IF($P1764="","",IF(ISNUMBER(INDEX(상세표[시작],$P1764)),TEXT(INDEX(상세표[시작],$P1764),"yyyy-mm-dd hh:mm"),INDEX(상세표[시작],$P1764)&amp;""))</f>
        <v/>
      </c>
      <c r="F1764">
        <f>IF($P1764="","",IF(ISNUMBER(INDEX(상세표[블록종료],$P1764)),TEXT(INDEX(상세표[블록종료],$P1764),"yyyy-mm-dd hh:mm"),INDEX(상세표[블록종료],$P1764)&amp;""))</f>
        <v/>
      </c>
      <c r="G1764">
        <f>IF($P1764="","",CHOOSE(WEEKDAY(INDEX(상세표[시작],$P1764)),"일","월","화","수","목","금","토"))</f>
        <v/>
      </c>
      <c r="H1764">
        <f>IF($P1764="","",INDEX(상세표[연속 시간],$P1764))</f>
        <v/>
      </c>
      <c r="I1764">
        <f>IF($P1764="","",INDEX(상세표[기록 수],$P1764))</f>
        <v/>
      </c>
      <c r="J1764">
        <f>IF($P1764="","",INDEX(상세표[블록 06~07시],$P1764))</f>
        <v/>
      </c>
      <c r="K1764">
        <f>IF($P1764="","",INDEX(상세표[블록 07~18시],$P1764))</f>
        <v/>
      </c>
      <c r="L1764">
        <f>IF($P1764="","",INDEX(상세표[블록 18~22시],$P1764))</f>
        <v/>
      </c>
      <c r="M1764">
        <f>IF($P1764="","",INDEX(상세표[블록 22~06시],$P1764))</f>
        <v/>
      </c>
      <c r="N1764">
        <f>IF($P1764="","",INDEX(상세표[주말·휴일 포함],$P1764)&amp;"")</f>
        <v/>
      </c>
      <c r="O1764">
        <f>IF($P1764="","",INDEX(상세표[월 넘김 포함],$P1764)&amp;"")</f>
        <v/>
      </c>
      <c r="P1764" s="4">
        <f>IFERROR(MATCH(1759,상세표[연속순번],0),"")</f>
        <v/>
      </c>
    </row>
    <row r="1765">
      <c r="A1765">
        <f>IF($P1765="","",INDEX(상세표[사번],$P1765)&amp;"")</f>
        <v/>
      </c>
      <c r="B1765">
        <f>IF($P1765="","",INDEX(상세표[성명],$P1765)&amp;"")</f>
        <v/>
      </c>
      <c r="C1765">
        <f>IF($P1765="","",INDEX(상세표[부서],$P1765)&amp;"")</f>
        <v/>
      </c>
      <c r="D1765">
        <f>IF($P1765="","",INDEX(상세표[직위],$P1765)&amp;"")</f>
        <v/>
      </c>
      <c r="E1765">
        <f>IF($P1765="","",IF(ISNUMBER(INDEX(상세표[시작],$P1765)),TEXT(INDEX(상세표[시작],$P1765),"yyyy-mm-dd hh:mm"),INDEX(상세표[시작],$P1765)&amp;""))</f>
        <v/>
      </c>
      <c r="F1765">
        <f>IF($P1765="","",IF(ISNUMBER(INDEX(상세표[블록종료],$P1765)),TEXT(INDEX(상세표[블록종료],$P1765),"yyyy-mm-dd hh:mm"),INDEX(상세표[블록종료],$P1765)&amp;""))</f>
        <v/>
      </c>
      <c r="G1765">
        <f>IF($P1765="","",CHOOSE(WEEKDAY(INDEX(상세표[시작],$P1765)),"일","월","화","수","목","금","토"))</f>
        <v/>
      </c>
      <c r="H1765">
        <f>IF($P1765="","",INDEX(상세표[연속 시간],$P1765))</f>
        <v/>
      </c>
      <c r="I1765">
        <f>IF($P1765="","",INDEX(상세표[기록 수],$P1765))</f>
        <v/>
      </c>
      <c r="J1765">
        <f>IF($P1765="","",INDEX(상세표[블록 06~07시],$P1765))</f>
        <v/>
      </c>
      <c r="K1765">
        <f>IF($P1765="","",INDEX(상세표[블록 07~18시],$P1765))</f>
        <v/>
      </c>
      <c r="L1765">
        <f>IF($P1765="","",INDEX(상세표[블록 18~22시],$P1765))</f>
        <v/>
      </c>
      <c r="M1765">
        <f>IF($P1765="","",INDEX(상세표[블록 22~06시],$P1765))</f>
        <v/>
      </c>
      <c r="N1765">
        <f>IF($P1765="","",INDEX(상세표[주말·휴일 포함],$P1765)&amp;"")</f>
        <v/>
      </c>
      <c r="O1765">
        <f>IF($P1765="","",INDEX(상세표[월 넘김 포함],$P1765)&amp;"")</f>
        <v/>
      </c>
      <c r="P1765" s="4">
        <f>IFERROR(MATCH(1760,상세표[연속순번],0),"")</f>
        <v/>
      </c>
    </row>
    <row r="1766">
      <c r="A1766">
        <f>IF($P1766="","",INDEX(상세표[사번],$P1766)&amp;"")</f>
        <v/>
      </c>
      <c r="B1766">
        <f>IF($P1766="","",INDEX(상세표[성명],$P1766)&amp;"")</f>
        <v/>
      </c>
      <c r="C1766">
        <f>IF($P1766="","",INDEX(상세표[부서],$P1766)&amp;"")</f>
        <v/>
      </c>
      <c r="D1766">
        <f>IF($P1766="","",INDEX(상세표[직위],$P1766)&amp;"")</f>
        <v/>
      </c>
      <c r="E1766">
        <f>IF($P1766="","",IF(ISNUMBER(INDEX(상세표[시작],$P1766)),TEXT(INDEX(상세표[시작],$P1766),"yyyy-mm-dd hh:mm"),INDEX(상세표[시작],$P1766)&amp;""))</f>
        <v/>
      </c>
      <c r="F1766">
        <f>IF($P1766="","",IF(ISNUMBER(INDEX(상세표[블록종료],$P1766)),TEXT(INDEX(상세표[블록종료],$P1766),"yyyy-mm-dd hh:mm"),INDEX(상세표[블록종료],$P1766)&amp;""))</f>
        <v/>
      </c>
      <c r="G1766">
        <f>IF($P1766="","",CHOOSE(WEEKDAY(INDEX(상세표[시작],$P1766)),"일","월","화","수","목","금","토"))</f>
        <v/>
      </c>
      <c r="H1766">
        <f>IF($P1766="","",INDEX(상세표[연속 시간],$P1766))</f>
        <v/>
      </c>
      <c r="I1766">
        <f>IF($P1766="","",INDEX(상세표[기록 수],$P1766))</f>
        <v/>
      </c>
      <c r="J1766">
        <f>IF($P1766="","",INDEX(상세표[블록 06~07시],$P1766))</f>
        <v/>
      </c>
      <c r="K1766">
        <f>IF($P1766="","",INDEX(상세표[블록 07~18시],$P1766))</f>
        <v/>
      </c>
      <c r="L1766">
        <f>IF($P1766="","",INDEX(상세표[블록 18~22시],$P1766))</f>
        <v/>
      </c>
      <c r="M1766">
        <f>IF($P1766="","",INDEX(상세표[블록 22~06시],$P1766))</f>
        <v/>
      </c>
      <c r="N1766">
        <f>IF($P1766="","",INDEX(상세표[주말·휴일 포함],$P1766)&amp;"")</f>
        <v/>
      </c>
      <c r="O1766">
        <f>IF($P1766="","",INDEX(상세표[월 넘김 포함],$P1766)&amp;"")</f>
        <v/>
      </c>
      <c r="P1766" s="4">
        <f>IFERROR(MATCH(1761,상세표[연속순번],0),"")</f>
        <v/>
      </c>
    </row>
    <row r="1767">
      <c r="A1767">
        <f>IF($P1767="","",INDEX(상세표[사번],$P1767)&amp;"")</f>
        <v/>
      </c>
      <c r="B1767">
        <f>IF($P1767="","",INDEX(상세표[성명],$P1767)&amp;"")</f>
        <v/>
      </c>
      <c r="C1767">
        <f>IF($P1767="","",INDEX(상세표[부서],$P1767)&amp;"")</f>
        <v/>
      </c>
      <c r="D1767">
        <f>IF($P1767="","",INDEX(상세표[직위],$P1767)&amp;"")</f>
        <v/>
      </c>
      <c r="E1767">
        <f>IF($P1767="","",IF(ISNUMBER(INDEX(상세표[시작],$P1767)),TEXT(INDEX(상세표[시작],$P1767),"yyyy-mm-dd hh:mm"),INDEX(상세표[시작],$P1767)&amp;""))</f>
        <v/>
      </c>
      <c r="F1767">
        <f>IF($P1767="","",IF(ISNUMBER(INDEX(상세표[블록종료],$P1767)),TEXT(INDEX(상세표[블록종료],$P1767),"yyyy-mm-dd hh:mm"),INDEX(상세표[블록종료],$P1767)&amp;""))</f>
        <v/>
      </c>
      <c r="G1767">
        <f>IF($P1767="","",CHOOSE(WEEKDAY(INDEX(상세표[시작],$P1767)),"일","월","화","수","목","금","토"))</f>
        <v/>
      </c>
      <c r="H1767">
        <f>IF($P1767="","",INDEX(상세표[연속 시간],$P1767))</f>
        <v/>
      </c>
      <c r="I1767">
        <f>IF($P1767="","",INDEX(상세표[기록 수],$P1767))</f>
        <v/>
      </c>
      <c r="J1767">
        <f>IF($P1767="","",INDEX(상세표[블록 06~07시],$P1767))</f>
        <v/>
      </c>
      <c r="K1767">
        <f>IF($P1767="","",INDEX(상세표[블록 07~18시],$P1767))</f>
        <v/>
      </c>
      <c r="L1767">
        <f>IF($P1767="","",INDEX(상세표[블록 18~22시],$P1767))</f>
        <v/>
      </c>
      <c r="M1767">
        <f>IF($P1767="","",INDEX(상세표[블록 22~06시],$P1767))</f>
        <v/>
      </c>
      <c r="N1767">
        <f>IF($P1767="","",INDEX(상세표[주말·휴일 포함],$P1767)&amp;"")</f>
        <v/>
      </c>
      <c r="O1767">
        <f>IF($P1767="","",INDEX(상세표[월 넘김 포함],$P1767)&amp;"")</f>
        <v/>
      </c>
      <c r="P1767" s="4">
        <f>IFERROR(MATCH(1762,상세표[연속순번],0),"")</f>
        <v/>
      </c>
    </row>
    <row r="1768">
      <c r="A1768">
        <f>IF($P1768="","",INDEX(상세표[사번],$P1768)&amp;"")</f>
        <v/>
      </c>
      <c r="B1768">
        <f>IF($P1768="","",INDEX(상세표[성명],$P1768)&amp;"")</f>
        <v/>
      </c>
      <c r="C1768">
        <f>IF($P1768="","",INDEX(상세표[부서],$P1768)&amp;"")</f>
        <v/>
      </c>
      <c r="D1768">
        <f>IF($P1768="","",INDEX(상세표[직위],$P1768)&amp;"")</f>
        <v/>
      </c>
      <c r="E1768">
        <f>IF($P1768="","",IF(ISNUMBER(INDEX(상세표[시작],$P1768)),TEXT(INDEX(상세표[시작],$P1768),"yyyy-mm-dd hh:mm"),INDEX(상세표[시작],$P1768)&amp;""))</f>
        <v/>
      </c>
      <c r="F1768">
        <f>IF($P1768="","",IF(ISNUMBER(INDEX(상세표[블록종료],$P1768)),TEXT(INDEX(상세표[블록종료],$P1768),"yyyy-mm-dd hh:mm"),INDEX(상세표[블록종료],$P1768)&amp;""))</f>
        <v/>
      </c>
      <c r="G1768">
        <f>IF($P1768="","",CHOOSE(WEEKDAY(INDEX(상세표[시작],$P1768)),"일","월","화","수","목","금","토"))</f>
        <v/>
      </c>
      <c r="H1768">
        <f>IF($P1768="","",INDEX(상세표[연속 시간],$P1768))</f>
        <v/>
      </c>
      <c r="I1768">
        <f>IF($P1768="","",INDEX(상세표[기록 수],$P1768))</f>
        <v/>
      </c>
      <c r="J1768">
        <f>IF($P1768="","",INDEX(상세표[블록 06~07시],$P1768))</f>
        <v/>
      </c>
      <c r="K1768">
        <f>IF($P1768="","",INDEX(상세표[블록 07~18시],$P1768))</f>
        <v/>
      </c>
      <c r="L1768">
        <f>IF($P1768="","",INDEX(상세표[블록 18~22시],$P1768))</f>
        <v/>
      </c>
      <c r="M1768">
        <f>IF($P1768="","",INDEX(상세표[블록 22~06시],$P1768))</f>
        <v/>
      </c>
      <c r="N1768">
        <f>IF($P1768="","",INDEX(상세표[주말·휴일 포함],$P1768)&amp;"")</f>
        <v/>
      </c>
      <c r="O1768">
        <f>IF($P1768="","",INDEX(상세표[월 넘김 포함],$P1768)&amp;"")</f>
        <v/>
      </c>
      <c r="P1768" s="4">
        <f>IFERROR(MATCH(1763,상세표[연속순번],0),"")</f>
        <v/>
      </c>
    </row>
    <row r="1769">
      <c r="A1769">
        <f>IF($P1769="","",INDEX(상세표[사번],$P1769)&amp;"")</f>
        <v/>
      </c>
      <c r="B1769">
        <f>IF($P1769="","",INDEX(상세표[성명],$P1769)&amp;"")</f>
        <v/>
      </c>
      <c r="C1769">
        <f>IF($P1769="","",INDEX(상세표[부서],$P1769)&amp;"")</f>
        <v/>
      </c>
      <c r="D1769">
        <f>IF($P1769="","",INDEX(상세표[직위],$P1769)&amp;"")</f>
        <v/>
      </c>
      <c r="E1769">
        <f>IF($P1769="","",IF(ISNUMBER(INDEX(상세표[시작],$P1769)),TEXT(INDEX(상세표[시작],$P1769),"yyyy-mm-dd hh:mm"),INDEX(상세표[시작],$P1769)&amp;""))</f>
        <v/>
      </c>
      <c r="F1769">
        <f>IF($P1769="","",IF(ISNUMBER(INDEX(상세표[블록종료],$P1769)),TEXT(INDEX(상세표[블록종료],$P1769),"yyyy-mm-dd hh:mm"),INDEX(상세표[블록종료],$P1769)&amp;""))</f>
        <v/>
      </c>
      <c r="G1769">
        <f>IF($P1769="","",CHOOSE(WEEKDAY(INDEX(상세표[시작],$P1769)),"일","월","화","수","목","금","토"))</f>
        <v/>
      </c>
      <c r="H1769">
        <f>IF($P1769="","",INDEX(상세표[연속 시간],$P1769))</f>
        <v/>
      </c>
      <c r="I1769">
        <f>IF($P1769="","",INDEX(상세표[기록 수],$P1769))</f>
        <v/>
      </c>
      <c r="J1769">
        <f>IF($P1769="","",INDEX(상세표[블록 06~07시],$P1769))</f>
        <v/>
      </c>
      <c r="K1769">
        <f>IF($P1769="","",INDEX(상세표[블록 07~18시],$P1769))</f>
        <v/>
      </c>
      <c r="L1769">
        <f>IF($P1769="","",INDEX(상세표[블록 18~22시],$P1769))</f>
        <v/>
      </c>
      <c r="M1769">
        <f>IF($P1769="","",INDEX(상세표[블록 22~06시],$P1769))</f>
        <v/>
      </c>
      <c r="N1769">
        <f>IF($P1769="","",INDEX(상세표[주말·휴일 포함],$P1769)&amp;"")</f>
        <v/>
      </c>
      <c r="O1769">
        <f>IF($P1769="","",INDEX(상세표[월 넘김 포함],$P1769)&amp;"")</f>
        <v/>
      </c>
      <c r="P1769" s="4">
        <f>IFERROR(MATCH(1764,상세표[연속순번],0),"")</f>
        <v/>
      </c>
    </row>
    <row r="1770">
      <c r="A1770">
        <f>IF($P1770="","",INDEX(상세표[사번],$P1770)&amp;"")</f>
        <v/>
      </c>
      <c r="B1770">
        <f>IF($P1770="","",INDEX(상세표[성명],$P1770)&amp;"")</f>
        <v/>
      </c>
      <c r="C1770">
        <f>IF($P1770="","",INDEX(상세표[부서],$P1770)&amp;"")</f>
        <v/>
      </c>
      <c r="D1770">
        <f>IF($P1770="","",INDEX(상세표[직위],$P1770)&amp;"")</f>
        <v/>
      </c>
      <c r="E1770">
        <f>IF($P1770="","",IF(ISNUMBER(INDEX(상세표[시작],$P1770)),TEXT(INDEX(상세표[시작],$P1770),"yyyy-mm-dd hh:mm"),INDEX(상세표[시작],$P1770)&amp;""))</f>
        <v/>
      </c>
      <c r="F1770">
        <f>IF($P1770="","",IF(ISNUMBER(INDEX(상세표[블록종료],$P1770)),TEXT(INDEX(상세표[블록종료],$P1770),"yyyy-mm-dd hh:mm"),INDEX(상세표[블록종료],$P1770)&amp;""))</f>
        <v/>
      </c>
      <c r="G1770">
        <f>IF($P1770="","",CHOOSE(WEEKDAY(INDEX(상세표[시작],$P1770)),"일","월","화","수","목","금","토"))</f>
        <v/>
      </c>
      <c r="H1770">
        <f>IF($P1770="","",INDEX(상세표[연속 시간],$P1770))</f>
        <v/>
      </c>
      <c r="I1770">
        <f>IF($P1770="","",INDEX(상세표[기록 수],$P1770))</f>
        <v/>
      </c>
      <c r="J1770">
        <f>IF($P1770="","",INDEX(상세표[블록 06~07시],$P1770))</f>
        <v/>
      </c>
      <c r="K1770">
        <f>IF($P1770="","",INDEX(상세표[블록 07~18시],$P1770))</f>
        <v/>
      </c>
      <c r="L1770">
        <f>IF($P1770="","",INDEX(상세표[블록 18~22시],$P1770))</f>
        <v/>
      </c>
      <c r="M1770">
        <f>IF($P1770="","",INDEX(상세표[블록 22~06시],$P1770))</f>
        <v/>
      </c>
      <c r="N1770">
        <f>IF($P1770="","",INDEX(상세표[주말·휴일 포함],$P1770)&amp;"")</f>
        <v/>
      </c>
      <c r="O1770">
        <f>IF($P1770="","",INDEX(상세표[월 넘김 포함],$P1770)&amp;"")</f>
        <v/>
      </c>
      <c r="P1770" s="4">
        <f>IFERROR(MATCH(1765,상세표[연속순번],0),"")</f>
        <v/>
      </c>
    </row>
    <row r="1771">
      <c r="A1771">
        <f>IF($P1771="","",INDEX(상세표[사번],$P1771)&amp;"")</f>
        <v/>
      </c>
      <c r="B1771">
        <f>IF($P1771="","",INDEX(상세표[성명],$P1771)&amp;"")</f>
        <v/>
      </c>
      <c r="C1771">
        <f>IF($P1771="","",INDEX(상세표[부서],$P1771)&amp;"")</f>
        <v/>
      </c>
      <c r="D1771">
        <f>IF($P1771="","",INDEX(상세표[직위],$P1771)&amp;"")</f>
        <v/>
      </c>
      <c r="E1771">
        <f>IF($P1771="","",IF(ISNUMBER(INDEX(상세표[시작],$P1771)),TEXT(INDEX(상세표[시작],$P1771),"yyyy-mm-dd hh:mm"),INDEX(상세표[시작],$P1771)&amp;""))</f>
        <v/>
      </c>
      <c r="F1771">
        <f>IF($P1771="","",IF(ISNUMBER(INDEX(상세표[블록종료],$P1771)),TEXT(INDEX(상세표[블록종료],$P1771),"yyyy-mm-dd hh:mm"),INDEX(상세표[블록종료],$P1771)&amp;""))</f>
        <v/>
      </c>
      <c r="G1771">
        <f>IF($P1771="","",CHOOSE(WEEKDAY(INDEX(상세표[시작],$P1771)),"일","월","화","수","목","금","토"))</f>
        <v/>
      </c>
      <c r="H1771">
        <f>IF($P1771="","",INDEX(상세표[연속 시간],$P1771))</f>
        <v/>
      </c>
      <c r="I1771">
        <f>IF($P1771="","",INDEX(상세표[기록 수],$P1771))</f>
        <v/>
      </c>
      <c r="J1771">
        <f>IF($P1771="","",INDEX(상세표[블록 06~07시],$P1771))</f>
        <v/>
      </c>
      <c r="K1771">
        <f>IF($P1771="","",INDEX(상세표[블록 07~18시],$P1771))</f>
        <v/>
      </c>
      <c r="L1771">
        <f>IF($P1771="","",INDEX(상세표[블록 18~22시],$P1771))</f>
        <v/>
      </c>
      <c r="M1771">
        <f>IF($P1771="","",INDEX(상세표[블록 22~06시],$P1771))</f>
        <v/>
      </c>
      <c r="N1771">
        <f>IF($P1771="","",INDEX(상세표[주말·휴일 포함],$P1771)&amp;"")</f>
        <v/>
      </c>
      <c r="O1771">
        <f>IF($P1771="","",INDEX(상세표[월 넘김 포함],$P1771)&amp;"")</f>
        <v/>
      </c>
      <c r="P1771" s="4">
        <f>IFERROR(MATCH(1766,상세표[연속순번],0),"")</f>
        <v/>
      </c>
    </row>
    <row r="1772">
      <c r="A1772">
        <f>IF($P1772="","",INDEX(상세표[사번],$P1772)&amp;"")</f>
        <v/>
      </c>
      <c r="B1772">
        <f>IF($P1772="","",INDEX(상세표[성명],$P1772)&amp;"")</f>
        <v/>
      </c>
      <c r="C1772">
        <f>IF($P1772="","",INDEX(상세표[부서],$P1772)&amp;"")</f>
        <v/>
      </c>
      <c r="D1772">
        <f>IF($P1772="","",INDEX(상세표[직위],$P1772)&amp;"")</f>
        <v/>
      </c>
      <c r="E1772">
        <f>IF($P1772="","",IF(ISNUMBER(INDEX(상세표[시작],$P1772)),TEXT(INDEX(상세표[시작],$P1772),"yyyy-mm-dd hh:mm"),INDEX(상세표[시작],$P1772)&amp;""))</f>
        <v/>
      </c>
      <c r="F1772">
        <f>IF($P1772="","",IF(ISNUMBER(INDEX(상세표[블록종료],$P1772)),TEXT(INDEX(상세표[블록종료],$P1772),"yyyy-mm-dd hh:mm"),INDEX(상세표[블록종료],$P1772)&amp;""))</f>
        <v/>
      </c>
      <c r="G1772">
        <f>IF($P1772="","",CHOOSE(WEEKDAY(INDEX(상세표[시작],$P1772)),"일","월","화","수","목","금","토"))</f>
        <v/>
      </c>
      <c r="H1772">
        <f>IF($P1772="","",INDEX(상세표[연속 시간],$P1772))</f>
        <v/>
      </c>
      <c r="I1772">
        <f>IF($P1772="","",INDEX(상세표[기록 수],$P1772))</f>
        <v/>
      </c>
      <c r="J1772">
        <f>IF($P1772="","",INDEX(상세표[블록 06~07시],$P1772))</f>
        <v/>
      </c>
      <c r="K1772">
        <f>IF($P1772="","",INDEX(상세표[블록 07~18시],$P1772))</f>
        <v/>
      </c>
      <c r="L1772">
        <f>IF($P1772="","",INDEX(상세표[블록 18~22시],$P1772))</f>
        <v/>
      </c>
      <c r="M1772">
        <f>IF($P1772="","",INDEX(상세표[블록 22~06시],$P1772))</f>
        <v/>
      </c>
      <c r="N1772">
        <f>IF($P1772="","",INDEX(상세표[주말·휴일 포함],$P1772)&amp;"")</f>
        <v/>
      </c>
      <c r="O1772">
        <f>IF($P1772="","",INDEX(상세표[월 넘김 포함],$P1772)&amp;"")</f>
        <v/>
      </c>
      <c r="P1772" s="4">
        <f>IFERROR(MATCH(1767,상세표[연속순번],0),"")</f>
        <v/>
      </c>
    </row>
    <row r="1773">
      <c r="A1773">
        <f>IF($P1773="","",INDEX(상세표[사번],$P1773)&amp;"")</f>
        <v/>
      </c>
      <c r="B1773">
        <f>IF($P1773="","",INDEX(상세표[성명],$P1773)&amp;"")</f>
        <v/>
      </c>
      <c r="C1773">
        <f>IF($P1773="","",INDEX(상세표[부서],$P1773)&amp;"")</f>
        <v/>
      </c>
      <c r="D1773">
        <f>IF($P1773="","",INDEX(상세표[직위],$P1773)&amp;"")</f>
        <v/>
      </c>
      <c r="E1773">
        <f>IF($P1773="","",IF(ISNUMBER(INDEX(상세표[시작],$P1773)),TEXT(INDEX(상세표[시작],$P1773),"yyyy-mm-dd hh:mm"),INDEX(상세표[시작],$P1773)&amp;""))</f>
        <v/>
      </c>
      <c r="F1773">
        <f>IF($P1773="","",IF(ISNUMBER(INDEX(상세표[블록종료],$P1773)),TEXT(INDEX(상세표[블록종료],$P1773),"yyyy-mm-dd hh:mm"),INDEX(상세표[블록종료],$P1773)&amp;""))</f>
        <v/>
      </c>
      <c r="G1773">
        <f>IF($P1773="","",CHOOSE(WEEKDAY(INDEX(상세표[시작],$P1773)),"일","월","화","수","목","금","토"))</f>
        <v/>
      </c>
      <c r="H1773">
        <f>IF($P1773="","",INDEX(상세표[연속 시간],$P1773))</f>
        <v/>
      </c>
      <c r="I1773">
        <f>IF($P1773="","",INDEX(상세표[기록 수],$P1773))</f>
        <v/>
      </c>
      <c r="J1773">
        <f>IF($P1773="","",INDEX(상세표[블록 06~07시],$P1773))</f>
        <v/>
      </c>
      <c r="K1773">
        <f>IF($P1773="","",INDEX(상세표[블록 07~18시],$P1773))</f>
        <v/>
      </c>
      <c r="L1773">
        <f>IF($P1773="","",INDEX(상세표[블록 18~22시],$P1773))</f>
        <v/>
      </c>
      <c r="M1773">
        <f>IF($P1773="","",INDEX(상세표[블록 22~06시],$P1773))</f>
        <v/>
      </c>
      <c r="N1773">
        <f>IF($P1773="","",INDEX(상세표[주말·휴일 포함],$P1773)&amp;"")</f>
        <v/>
      </c>
      <c r="O1773">
        <f>IF($P1773="","",INDEX(상세표[월 넘김 포함],$P1773)&amp;"")</f>
        <v/>
      </c>
      <c r="P1773" s="4">
        <f>IFERROR(MATCH(1768,상세표[연속순번],0),"")</f>
        <v/>
      </c>
    </row>
    <row r="1774">
      <c r="A1774">
        <f>IF($P1774="","",INDEX(상세표[사번],$P1774)&amp;"")</f>
        <v/>
      </c>
      <c r="B1774">
        <f>IF($P1774="","",INDEX(상세표[성명],$P1774)&amp;"")</f>
        <v/>
      </c>
      <c r="C1774">
        <f>IF($P1774="","",INDEX(상세표[부서],$P1774)&amp;"")</f>
        <v/>
      </c>
      <c r="D1774">
        <f>IF($P1774="","",INDEX(상세표[직위],$P1774)&amp;"")</f>
        <v/>
      </c>
      <c r="E1774">
        <f>IF($P1774="","",IF(ISNUMBER(INDEX(상세표[시작],$P1774)),TEXT(INDEX(상세표[시작],$P1774),"yyyy-mm-dd hh:mm"),INDEX(상세표[시작],$P1774)&amp;""))</f>
        <v/>
      </c>
      <c r="F1774">
        <f>IF($P1774="","",IF(ISNUMBER(INDEX(상세표[블록종료],$P1774)),TEXT(INDEX(상세표[블록종료],$P1774),"yyyy-mm-dd hh:mm"),INDEX(상세표[블록종료],$P1774)&amp;""))</f>
        <v/>
      </c>
      <c r="G1774">
        <f>IF($P1774="","",CHOOSE(WEEKDAY(INDEX(상세표[시작],$P1774)),"일","월","화","수","목","금","토"))</f>
        <v/>
      </c>
      <c r="H1774">
        <f>IF($P1774="","",INDEX(상세표[연속 시간],$P1774))</f>
        <v/>
      </c>
      <c r="I1774">
        <f>IF($P1774="","",INDEX(상세표[기록 수],$P1774))</f>
        <v/>
      </c>
      <c r="J1774">
        <f>IF($P1774="","",INDEX(상세표[블록 06~07시],$P1774))</f>
        <v/>
      </c>
      <c r="K1774">
        <f>IF($P1774="","",INDEX(상세표[블록 07~18시],$P1774))</f>
        <v/>
      </c>
      <c r="L1774">
        <f>IF($P1774="","",INDEX(상세표[블록 18~22시],$P1774))</f>
        <v/>
      </c>
      <c r="M1774">
        <f>IF($P1774="","",INDEX(상세표[블록 22~06시],$P1774))</f>
        <v/>
      </c>
      <c r="N1774">
        <f>IF($P1774="","",INDEX(상세표[주말·휴일 포함],$P1774)&amp;"")</f>
        <v/>
      </c>
      <c r="O1774">
        <f>IF($P1774="","",INDEX(상세표[월 넘김 포함],$P1774)&amp;"")</f>
        <v/>
      </c>
      <c r="P1774" s="4">
        <f>IFERROR(MATCH(1769,상세표[연속순번],0),"")</f>
        <v/>
      </c>
    </row>
    <row r="1775">
      <c r="A1775">
        <f>IF($P1775="","",INDEX(상세표[사번],$P1775)&amp;"")</f>
        <v/>
      </c>
      <c r="B1775">
        <f>IF($P1775="","",INDEX(상세표[성명],$P1775)&amp;"")</f>
        <v/>
      </c>
      <c r="C1775">
        <f>IF($P1775="","",INDEX(상세표[부서],$P1775)&amp;"")</f>
        <v/>
      </c>
      <c r="D1775">
        <f>IF($P1775="","",INDEX(상세표[직위],$P1775)&amp;"")</f>
        <v/>
      </c>
      <c r="E1775">
        <f>IF($P1775="","",IF(ISNUMBER(INDEX(상세표[시작],$P1775)),TEXT(INDEX(상세표[시작],$P1775),"yyyy-mm-dd hh:mm"),INDEX(상세표[시작],$P1775)&amp;""))</f>
        <v/>
      </c>
      <c r="F1775">
        <f>IF($P1775="","",IF(ISNUMBER(INDEX(상세표[블록종료],$P1775)),TEXT(INDEX(상세표[블록종료],$P1775),"yyyy-mm-dd hh:mm"),INDEX(상세표[블록종료],$P1775)&amp;""))</f>
        <v/>
      </c>
      <c r="G1775">
        <f>IF($P1775="","",CHOOSE(WEEKDAY(INDEX(상세표[시작],$P1775)),"일","월","화","수","목","금","토"))</f>
        <v/>
      </c>
      <c r="H1775">
        <f>IF($P1775="","",INDEX(상세표[연속 시간],$P1775))</f>
        <v/>
      </c>
      <c r="I1775">
        <f>IF($P1775="","",INDEX(상세표[기록 수],$P1775))</f>
        <v/>
      </c>
      <c r="J1775">
        <f>IF($P1775="","",INDEX(상세표[블록 06~07시],$P1775))</f>
        <v/>
      </c>
      <c r="K1775">
        <f>IF($P1775="","",INDEX(상세표[블록 07~18시],$P1775))</f>
        <v/>
      </c>
      <c r="L1775">
        <f>IF($P1775="","",INDEX(상세표[블록 18~22시],$P1775))</f>
        <v/>
      </c>
      <c r="M1775">
        <f>IF($P1775="","",INDEX(상세표[블록 22~06시],$P1775))</f>
        <v/>
      </c>
      <c r="N1775">
        <f>IF($P1775="","",INDEX(상세표[주말·휴일 포함],$P1775)&amp;"")</f>
        <v/>
      </c>
      <c r="O1775">
        <f>IF($P1775="","",INDEX(상세표[월 넘김 포함],$P1775)&amp;"")</f>
        <v/>
      </c>
      <c r="P1775" s="4">
        <f>IFERROR(MATCH(1770,상세표[연속순번],0),"")</f>
        <v/>
      </c>
    </row>
    <row r="1776">
      <c r="A1776">
        <f>IF($P1776="","",INDEX(상세표[사번],$P1776)&amp;"")</f>
        <v/>
      </c>
      <c r="B1776">
        <f>IF($P1776="","",INDEX(상세표[성명],$P1776)&amp;"")</f>
        <v/>
      </c>
      <c r="C1776">
        <f>IF($P1776="","",INDEX(상세표[부서],$P1776)&amp;"")</f>
        <v/>
      </c>
      <c r="D1776">
        <f>IF($P1776="","",INDEX(상세표[직위],$P1776)&amp;"")</f>
        <v/>
      </c>
      <c r="E1776">
        <f>IF($P1776="","",IF(ISNUMBER(INDEX(상세표[시작],$P1776)),TEXT(INDEX(상세표[시작],$P1776),"yyyy-mm-dd hh:mm"),INDEX(상세표[시작],$P1776)&amp;""))</f>
        <v/>
      </c>
      <c r="F1776">
        <f>IF($P1776="","",IF(ISNUMBER(INDEX(상세표[블록종료],$P1776)),TEXT(INDEX(상세표[블록종료],$P1776),"yyyy-mm-dd hh:mm"),INDEX(상세표[블록종료],$P1776)&amp;""))</f>
        <v/>
      </c>
      <c r="G1776">
        <f>IF($P1776="","",CHOOSE(WEEKDAY(INDEX(상세표[시작],$P1776)),"일","월","화","수","목","금","토"))</f>
        <v/>
      </c>
      <c r="H1776">
        <f>IF($P1776="","",INDEX(상세표[연속 시간],$P1776))</f>
        <v/>
      </c>
      <c r="I1776">
        <f>IF($P1776="","",INDEX(상세표[기록 수],$P1776))</f>
        <v/>
      </c>
      <c r="J1776">
        <f>IF($P1776="","",INDEX(상세표[블록 06~07시],$P1776))</f>
        <v/>
      </c>
      <c r="K1776">
        <f>IF($P1776="","",INDEX(상세표[블록 07~18시],$P1776))</f>
        <v/>
      </c>
      <c r="L1776">
        <f>IF($P1776="","",INDEX(상세표[블록 18~22시],$P1776))</f>
        <v/>
      </c>
      <c r="M1776">
        <f>IF($P1776="","",INDEX(상세표[블록 22~06시],$P1776))</f>
        <v/>
      </c>
      <c r="N1776">
        <f>IF($P1776="","",INDEX(상세표[주말·휴일 포함],$P1776)&amp;"")</f>
        <v/>
      </c>
      <c r="O1776">
        <f>IF($P1776="","",INDEX(상세표[월 넘김 포함],$P1776)&amp;"")</f>
        <v/>
      </c>
      <c r="P1776" s="4">
        <f>IFERROR(MATCH(1771,상세표[연속순번],0),"")</f>
        <v/>
      </c>
    </row>
    <row r="1777">
      <c r="A1777">
        <f>IF($P1777="","",INDEX(상세표[사번],$P1777)&amp;"")</f>
        <v/>
      </c>
      <c r="B1777">
        <f>IF($P1777="","",INDEX(상세표[성명],$P1777)&amp;"")</f>
        <v/>
      </c>
      <c r="C1777">
        <f>IF($P1777="","",INDEX(상세표[부서],$P1777)&amp;"")</f>
        <v/>
      </c>
      <c r="D1777">
        <f>IF($P1777="","",INDEX(상세표[직위],$P1777)&amp;"")</f>
        <v/>
      </c>
      <c r="E1777">
        <f>IF($P1777="","",IF(ISNUMBER(INDEX(상세표[시작],$P1777)),TEXT(INDEX(상세표[시작],$P1777),"yyyy-mm-dd hh:mm"),INDEX(상세표[시작],$P1777)&amp;""))</f>
        <v/>
      </c>
      <c r="F1777">
        <f>IF($P1777="","",IF(ISNUMBER(INDEX(상세표[블록종료],$P1777)),TEXT(INDEX(상세표[블록종료],$P1777),"yyyy-mm-dd hh:mm"),INDEX(상세표[블록종료],$P1777)&amp;""))</f>
        <v/>
      </c>
      <c r="G1777">
        <f>IF($P1777="","",CHOOSE(WEEKDAY(INDEX(상세표[시작],$P1777)),"일","월","화","수","목","금","토"))</f>
        <v/>
      </c>
      <c r="H1777">
        <f>IF($P1777="","",INDEX(상세표[연속 시간],$P1777))</f>
        <v/>
      </c>
      <c r="I1777">
        <f>IF($P1777="","",INDEX(상세표[기록 수],$P1777))</f>
        <v/>
      </c>
      <c r="J1777">
        <f>IF($P1777="","",INDEX(상세표[블록 06~07시],$P1777))</f>
        <v/>
      </c>
      <c r="K1777">
        <f>IF($P1777="","",INDEX(상세표[블록 07~18시],$P1777))</f>
        <v/>
      </c>
      <c r="L1777">
        <f>IF($P1777="","",INDEX(상세표[블록 18~22시],$P1777))</f>
        <v/>
      </c>
      <c r="M1777">
        <f>IF($P1777="","",INDEX(상세표[블록 22~06시],$P1777))</f>
        <v/>
      </c>
      <c r="N1777">
        <f>IF($P1777="","",INDEX(상세표[주말·휴일 포함],$P1777)&amp;"")</f>
        <v/>
      </c>
      <c r="O1777">
        <f>IF($P1777="","",INDEX(상세표[월 넘김 포함],$P1777)&amp;"")</f>
        <v/>
      </c>
      <c r="P1777" s="4">
        <f>IFERROR(MATCH(1772,상세표[연속순번],0),"")</f>
        <v/>
      </c>
    </row>
    <row r="1778">
      <c r="A1778">
        <f>IF($P1778="","",INDEX(상세표[사번],$P1778)&amp;"")</f>
        <v/>
      </c>
      <c r="B1778">
        <f>IF($P1778="","",INDEX(상세표[성명],$P1778)&amp;"")</f>
        <v/>
      </c>
      <c r="C1778">
        <f>IF($P1778="","",INDEX(상세표[부서],$P1778)&amp;"")</f>
        <v/>
      </c>
      <c r="D1778">
        <f>IF($P1778="","",INDEX(상세표[직위],$P1778)&amp;"")</f>
        <v/>
      </c>
      <c r="E1778">
        <f>IF($P1778="","",IF(ISNUMBER(INDEX(상세표[시작],$P1778)),TEXT(INDEX(상세표[시작],$P1778),"yyyy-mm-dd hh:mm"),INDEX(상세표[시작],$P1778)&amp;""))</f>
        <v/>
      </c>
      <c r="F1778">
        <f>IF($P1778="","",IF(ISNUMBER(INDEX(상세표[블록종료],$P1778)),TEXT(INDEX(상세표[블록종료],$P1778),"yyyy-mm-dd hh:mm"),INDEX(상세표[블록종료],$P1778)&amp;""))</f>
        <v/>
      </c>
      <c r="G1778">
        <f>IF($P1778="","",CHOOSE(WEEKDAY(INDEX(상세표[시작],$P1778)),"일","월","화","수","목","금","토"))</f>
        <v/>
      </c>
      <c r="H1778">
        <f>IF($P1778="","",INDEX(상세표[연속 시간],$P1778))</f>
        <v/>
      </c>
      <c r="I1778">
        <f>IF($P1778="","",INDEX(상세표[기록 수],$P1778))</f>
        <v/>
      </c>
      <c r="J1778">
        <f>IF($P1778="","",INDEX(상세표[블록 06~07시],$P1778))</f>
        <v/>
      </c>
      <c r="K1778">
        <f>IF($P1778="","",INDEX(상세표[블록 07~18시],$P1778))</f>
        <v/>
      </c>
      <c r="L1778">
        <f>IF($P1778="","",INDEX(상세표[블록 18~22시],$P1778))</f>
        <v/>
      </c>
      <c r="M1778">
        <f>IF($P1778="","",INDEX(상세표[블록 22~06시],$P1778))</f>
        <v/>
      </c>
      <c r="N1778">
        <f>IF($P1778="","",INDEX(상세표[주말·휴일 포함],$P1778)&amp;"")</f>
        <v/>
      </c>
      <c r="O1778">
        <f>IF($P1778="","",INDEX(상세표[월 넘김 포함],$P1778)&amp;"")</f>
        <v/>
      </c>
      <c r="P1778" s="4">
        <f>IFERROR(MATCH(1773,상세표[연속순번],0),"")</f>
        <v/>
      </c>
    </row>
    <row r="1779">
      <c r="A1779">
        <f>IF($P1779="","",INDEX(상세표[사번],$P1779)&amp;"")</f>
        <v/>
      </c>
      <c r="B1779">
        <f>IF($P1779="","",INDEX(상세표[성명],$P1779)&amp;"")</f>
        <v/>
      </c>
      <c r="C1779">
        <f>IF($P1779="","",INDEX(상세표[부서],$P1779)&amp;"")</f>
        <v/>
      </c>
      <c r="D1779">
        <f>IF($P1779="","",INDEX(상세표[직위],$P1779)&amp;"")</f>
        <v/>
      </c>
      <c r="E1779">
        <f>IF($P1779="","",IF(ISNUMBER(INDEX(상세표[시작],$P1779)),TEXT(INDEX(상세표[시작],$P1779),"yyyy-mm-dd hh:mm"),INDEX(상세표[시작],$P1779)&amp;""))</f>
        <v/>
      </c>
      <c r="F1779">
        <f>IF($P1779="","",IF(ISNUMBER(INDEX(상세표[블록종료],$P1779)),TEXT(INDEX(상세표[블록종료],$P1779),"yyyy-mm-dd hh:mm"),INDEX(상세표[블록종료],$P1779)&amp;""))</f>
        <v/>
      </c>
      <c r="G1779">
        <f>IF($P1779="","",CHOOSE(WEEKDAY(INDEX(상세표[시작],$P1779)),"일","월","화","수","목","금","토"))</f>
        <v/>
      </c>
      <c r="H1779">
        <f>IF($P1779="","",INDEX(상세표[연속 시간],$P1779))</f>
        <v/>
      </c>
      <c r="I1779">
        <f>IF($P1779="","",INDEX(상세표[기록 수],$P1779))</f>
        <v/>
      </c>
      <c r="J1779">
        <f>IF($P1779="","",INDEX(상세표[블록 06~07시],$P1779))</f>
        <v/>
      </c>
      <c r="K1779">
        <f>IF($P1779="","",INDEX(상세표[블록 07~18시],$P1779))</f>
        <v/>
      </c>
      <c r="L1779">
        <f>IF($P1779="","",INDEX(상세표[블록 18~22시],$P1779))</f>
        <v/>
      </c>
      <c r="M1779">
        <f>IF($P1779="","",INDEX(상세표[블록 22~06시],$P1779))</f>
        <v/>
      </c>
      <c r="N1779">
        <f>IF($P1779="","",INDEX(상세표[주말·휴일 포함],$P1779)&amp;"")</f>
        <v/>
      </c>
      <c r="O1779">
        <f>IF($P1779="","",INDEX(상세표[월 넘김 포함],$P1779)&amp;"")</f>
        <v/>
      </c>
      <c r="P1779" s="4">
        <f>IFERROR(MATCH(1774,상세표[연속순번],0),"")</f>
        <v/>
      </c>
    </row>
    <row r="1780">
      <c r="A1780">
        <f>IF($P1780="","",INDEX(상세표[사번],$P1780)&amp;"")</f>
        <v/>
      </c>
      <c r="B1780">
        <f>IF($P1780="","",INDEX(상세표[성명],$P1780)&amp;"")</f>
        <v/>
      </c>
      <c r="C1780">
        <f>IF($P1780="","",INDEX(상세표[부서],$P1780)&amp;"")</f>
        <v/>
      </c>
      <c r="D1780">
        <f>IF($P1780="","",INDEX(상세표[직위],$P1780)&amp;"")</f>
        <v/>
      </c>
      <c r="E1780">
        <f>IF($P1780="","",IF(ISNUMBER(INDEX(상세표[시작],$P1780)),TEXT(INDEX(상세표[시작],$P1780),"yyyy-mm-dd hh:mm"),INDEX(상세표[시작],$P1780)&amp;""))</f>
        <v/>
      </c>
      <c r="F1780">
        <f>IF($P1780="","",IF(ISNUMBER(INDEX(상세표[블록종료],$P1780)),TEXT(INDEX(상세표[블록종료],$P1780),"yyyy-mm-dd hh:mm"),INDEX(상세표[블록종료],$P1780)&amp;""))</f>
        <v/>
      </c>
      <c r="G1780">
        <f>IF($P1780="","",CHOOSE(WEEKDAY(INDEX(상세표[시작],$P1780)),"일","월","화","수","목","금","토"))</f>
        <v/>
      </c>
      <c r="H1780">
        <f>IF($P1780="","",INDEX(상세표[연속 시간],$P1780))</f>
        <v/>
      </c>
      <c r="I1780">
        <f>IF($P1780="","",INDEX(상세표[기록 수],$P1780))</f>
        <v/>
      </c>
      <c r="J1780">
        <f>IF($P1780="","",INDEX(상세표[블록 06~07시],$P1780))</f>
        <v/>
      </c>
      <c r="K1780">
        <f>IF($P1780="","",INDEX(상세표[블록 07~18시],$P1780))</f>
        <v/>
      </c>
      <c r="L1780">
        <f>IF($P1780="","",INDEX(상세표[블록 18~22시],$P1780))</f>
        <v/>
      </c>
      <c r="M1780">
        <f>IF($P1780="","",INDEX(상세표[블록 22~06시],$P1780))</f>
        <v/>
      </c>
      <c r="N1780">
        <f>IF($P1780="","",INDEX(상세표[주말·휴일 포함],$P1780)&amp;"")</f>
        <v/>
      </c>
      <c r="O1780">
        <f>IF($P1780="","",INDEX(상세표[월 넘김 포함],$P1780)&amp;"")</f>
        <v/>
      </c>
      <c r="P1780" s="4">
        <f>IFERROR(MATCH(1775,상세표[연속순번],0),"")</f>
        <v/>
      </c>
    </row>
    <row r="1781">
      <c r="A1781">
        <f>IF($P1781="","",INDEX(상세표[사번],$P1781)&amp;"")</f>
        <v/>
      </c>
      <c r="B1781">
        <f>IF($P1781="","",INDEX(상세표[성명],$P1781)&amp;"")</f>
        <v/>
      </c>
      <c r="C1781">
        <f>IF($P1781="","",INDEX(상세표[부서],$P1781)&amp;"")</f>
        <v/>
      </c>
      <c r="D1781">
        <f>IF($P1781="","",INDEX(상세표[직위],$P1781)&amp;"")</f>
        <v/>
      </c>
      <c r="E1781">
        <f>IF($P1781="","",IF(ISNUMBER(INDEX(상세표[시작],$P1781)),TEXT(INDEX(상세표[시작],$P1781),"yyyy-mm-dd hh:mm"),INDEX(상세표[시작],$P1781)&amp;""))</f>
        <v/>
      </c>
      <c r="F1781">
        <f>IF($P1781="","",IF(ISNUMBER(INDEX(상세표[블록종료],$P1781)),TEXT(INDEX(상세표[블록종료],$P1781),"yyyy-mm-dd hh:mm"),INDEX(상세표[블록종료],$P1781)&amp;""))</f>
        <v/>
      </c>
      <c r="G1781">
        <f>IF($P1781="","",CHOOSE(WEEKDAY(INDEX(상세표[시작],$P1781)),"일","월","화","수","목","금","토"))</f>
        <v/>
      </c>
      <c r="H1781">
        <f>IF($P1781="","",INDEX(상세표[연속 시간],$P1781))</f>
        <v/>
      </c>
      <c r="I1781">
        <f>IF($P1781="","",INDEX(상세표[기록 수],$P1781))</f>
        <v/>
      </c>
      <c r="J1781">
        <f>IF($P1781="","",INDEX(상세표[블록 06~07시],$P1781))</f>
        <v/>
      </c>
      <c r="K1781">
        <f>IF($P1781="","",INDEX(상세표[블록 07~18시],$P1781))</f>
        <v/>
      </c>
      <c r="L1781">
        <f>IF($P1781="","",INDEX(상세표[블록 18~22시],$P1781))</f>
        <v/>
      </c>
      <c r="M1781">
        <f>IF($P1781="","",INDEX(상세표[블록 22~06시],$P1781))</f>
        <v/>
      </c>
      <c r="N1781">
        <f>IF($P1781="","",INDEX(상세표[주말·휴일 포함],$P1781)&amp;"")</f>
        <v/>
      </c>
      <c r="O1781">
        <f>IF($P1781="","",INDEX(상세표[월 넘김 포함],$P1781)&amp;"")</f>
        <v/>
      </c>
      <c r="P1781" s="4">
        <f>IFERROR(MATCH(1776,상세표[연속순번],0),"")</f>
        <v/>
      </c>
    </row>
    <row r="1782">
      <c r="A1782">
        <f>IF($P1782="","",INDEX(상세표[사번],$P1782)&amp;"")</f>
        <v/>
      </c>
      <c r="B1782">
        <f>IF($P1782="","",INDEX(상세표[성명],$P1782)&amp;"")</f>
        <v/>
      </c>
      <c r="C1782">
        <f>IF($P1782="","",INDEX(상세표[부서],$P1782)&amp;"")</f>
        <v/>
      </c>
      <c r="D1782">
        <f>IF($P1782="","",INDEX(상세표[직위],$P1782)&amp;"")</f>
        <v/>
      </c>
      <c r="E1782">
        <f>IF($P1782="","",IF(ISNUMBER(INDEX(상세표[시작],$P1782)),TEXT(INDEX(상세표[시작],$P1782),"yyyy-mm-dd hh:mm"),INDEX(상세표[시작],$P1782)&amp;""))</f>
        <v/>
      </c>
      <c r="F1782">
        <f>IF($P1782="","",IF(ISNUMBER(INDEX(상세표[블록종료],$P1782)),TEXT(INDEX(상세표[블록종료],$P1782),"yyyy-mm-dd hh:mm"),INDEX(상세표[블록종료],$P1782)&amp;""))</f>
        <v/>
      </c>
      <c r="G1782">
        <f>IF($P1782="","",CHOOSE(WEEKDAY(INDEX(상세표[시작],$P1782)),"일","월","화","수","목","금","토"))</f>
        <v/>
      </c>
      <c r="H1782">
        <f>IF($P1782="","",INDEX(상세표[연속 시간],$P1782))</f>
        <v/>
      </c>
      <c r="I1782">
        <f>IF($P1782="","",INDEX(상세표[기록 수],$P1782))</f>
        <v/>
      </c>
      <c r="J1782">
        <f>IF($P1782="","",INDEX(상세표[블록 06~07시],$P1782))</f>
        <v/>
      </c>
      <c r="K1782">
        <f>IF($P1782="","",INDEX(상세표[블록 07~18시],$P1782))</f>
        <v/>
      </c>
      <c r="L1782">
        <f>IF($P1782="","",INDEX(상세표[블록 18~22시],$P1782))</f>
        <v/>
      </c>
      <c r="M1782">
        <f>IF($P1782="","",INDEX(상세표[블록 22~06시],$P1782))</f>
        <v/>
      </c>
      <c r="N1782">
        <f>IF($P1782="","",INDEX(상세표[주말·휴일 포함],$P1782)&amp;"")</f>
        <v/>
      </c>
      <c r="O1782">
        <f>IF($P1782="","",INDEX(상세표[월 넘김 포함],$P1782)&amp;"")</f>
        <v/>
      </c>
      <c r="P1782" s="4">
        <f>IFERROR(MATCH(1777,상세표[연속순번],0),"")</f>
        <v/>
      </c>
    </row>
    <row r="1783">
      <c r="A1783">
        <f>IF($P1783="","",INDEX(상세표[사번],$P1783)&amp;"")</f>
        <v/>
      </c>
      <c r="B1783">
        <f>IF($P1783="","",INDEX(상세표[성명],$P1783)&amp;"")</f>
        <v/>
      </c>
      <c r="C1783">
        <f>IF($P1783="","",INDEX(상세표[부서],$P1783)&amp;"")</f>
        <v/>
      </c>
      <c r="D1783">
        <f>IF($P1783="","",INDEX(상세표[직위],$P1783)&amp;"")</f>
        <v/>
      </c>
      <c r="E1783">
        <f>IF($P1783="","",IF(ISNUMBER(INDEX(상세표[시작],$P1783)),TEXT(INDEX(상세표[시작],$P1783),"yyyy-mm-dd hh:mm"),INDEX(상세표[시작],$P1783)&amp;""))</f>
        <v/>
      </c>
      <c r="F1783">
        <f>IF($P1783="","",IF(ISNUMBER(INDEX(상세표[블록종료],$P1783)),TEXT(INDEX(상세표[블록종료],$P1783),"yyyy-mm-dd hh:mm"),INDEX(상세표[블록종료],$P1783)&amp;""))</f>
        <v/>
      </c>
      <c r="G1783">
        <f>IF($P1783="","",CHOOSE(WEEKDAY(INDEX(상세표[시작],$P1783)),"일","월","화","수","목","금","토"))</f>
        <v/>
      </c>
      <c r="H1783">
        <f>IF($P1783="","",INDEX(상세표[연속 시간],$P1783))</f>
        <v/>
      </c>
      <c r="I1783">
        <f>IF($P1783="","",INDEX(상세표[기록 수],$P1783))</f>
        <v/>
      </c>
      <c r="J1783">
        <f>IF($P1783="","",INDEX(상세표[블록 06~07시],$P1783))</f>
        <v/>
      </c>
      <c r="K1783">
        <f>IF($P1783="","",INDEX(상세표[블록 07~18시],$P1783))</f>
        <v/>
      </c>
      <c r="L1783">
        <f>IF($P1783="","",INDEX(상세표[블록 18~22시],$P1783))</f>
        <v/>
      </c>
      <c r="M1783">
        <f>IF($P1783="","",INDEX(상세표[블록 22~06시],$P1783))</f>
        <v/>
      </c>
      <c r="N1783">
        <f>IF($P1783="","",INDEX(상세표[주말·휴일 포함],$P1783)&amp;"")</f>
        <v/>
      </c>
      <c r="O1783">
        <f>IF($P1783="","",INDEX(상세표[월 넘김 포함],$P1783)&amp;"")</f>
        <v/>
      </c>
      <c r="P1783" s="4">
        <f>IFERROR(MATCH(1778,상세표[연속순번],0),"")</f>
        <v/>
      </c>
    </row>
    <row r="1784">
      <c r="A1784">
        <f>IF($P1784="","",INDEX(상세표[사번],$P1784)&amp;"")</f>
        <v/>
      </c>
      <c r="B1784">
        <f>IF($P1784="","",INDEX(상세표[성명],$P1784)&amp;"")</f>
        <v/>
      </c>
      <c r="C1784">
        <f>IF($P1784="","",INDEX(상세표[부서],$P1784)&amp;"")</f>
        <v/>
      </c>
      <c r="D1784">
        <f>IF($P1784="","",INDEX(상세표[직위],$P1784)&amp;"")</f>
        <v/>
      </c>
      <c r="E1784">
        <f>IF($P1784="","",IF(ISNUMBER(INDEX(상세표[시작],$P1784)),TEXT(INDEX(상세표[시작],$P1784),"yyyy-mm-dd hh:mm"),INDEX(상세표[시작],$P1784)&amp;""))</f>
        <v/>
      </c>
      <c r="F1784">
        <f>IF($P1784="","",IF(ISNUMBER(INDEX(상세표[블록종료],$P1784)),TEXT(INDEX(상세표[블록종료],$P1784),"yyyy-mm-dd hh:mm"),INDEX(상세표[블록종료],$P1784)&amp;""))</f>
        <v/>
      </c>
      <c r="G1784">
        <f>IF($P1784="","",CHOOSE(WEEKDAY(INDEX(상세표[시작],$P1784)),"일","월","화","수","목","금","토"))</f>
        <v/>
      </c>
      <c r="H1784">
        <f>IF($P1784="","",INDEX(상세표[연속 시간],$P1784))</f>
        <v/>
      </c>
      <c r="I1784">
        <f>IF($P1784="","",INDEX(상세표[기록 수],$P1784))</f>
        <v/>
      </c>
      <c r="J1784">
        <f>IF($P1784="","",INDEX(상세표[블록 06~07시],$P1784))</f>
        <v/>
      </c>
      <c r="K1784">
        <f>IF($P1784="","",INDEX(상세표[블록 07~18시],$P1784))</f>
        <v/>
      </c>
      <c r="L1784">
        <f>IF($P1784="","",INDEX(상세표[블록 18~22시],$P1784))</f>
        <v/>
      </c>
      <c r="M1784">
        <f>IF($P1784="","",INDEX(상세표[블록 22~06시],$P1784))</f>
        <v/>
      </c>
      <c r="N1784">
        <f>IF($P1784="","",INDEX(상세표[주말·휴일 포함],$P1784)&amp;"")</f>
        <v/>
      </c>
      <c r="O1784">
        <f>IF($P1784="","",INDEX(상세표[월 넘김 포함],$P1784)&amp;"")</f>
        <v/>
      </c>
      <c r="P1784" s="4">
        <f>IFERROR(MATCH(1779,상세표[연속순번],0),"")</f>
        <v/>
      </c>
    </row>
    <row r="1785">
      <c r="A1785">
        <f>IF($P1785="","",INDEX(상세표[사번],$P1785)&amp;"")</f>
        <v/>
      </c>
      <c r="B1785">
        <f>IF($P1785="","",INDEX(상세표[성명],$P1785)&amp;"")</f>
        <v/>
      </c>
      <c r="C1785">
        <f>IF($P1785="","",INDEX(상세표[부서],$P1785)&amp;"")</f>
        <v/>
      </c>
      <c r="D1785">
        <f>IF($P1785="","",INDEX(상세표[직위],$P1785)&amp;"")</f>
        <v/>
      </c>
      <c r="E1785">
        <f>IF($P1785="","",IF(ISNUMBER(INDEX(상세표[시작],$P1785)),TEXT(INDEX(상세표[시작],$P1785),"yyyy-mm-dd hh:mm"),INDEX(상세표[시작],$P1785)&amp;""))</f>
        <v/>
      </c>
      <c r="F1785">
        <f>IF($P1785="","",IF(ISNUMBER(INDEX(상세표[블록종료],$P1785)),TEXT(INDEX(상세표[블록종료],$P1785),"yyyy-mm-dd hh:mm"),INDEX(상세표[블록종료],$P1785)&amp;""))</f>
        <v/>
      </c>
      <c r="G1785">
        <f>IF($P1785="","",CHOOSE(WEEKDAY(INDEX(상세표[시작],$P1785)),"일","월","화","수","목","금","토"))</f>
        <v/>
      </c>
      <c r="H1785">
        <f>IF($P1785="","",INDEX(상세표[연속 시간],$P1785))</f>
        <v/>
      </c>
      <c r="I1785">
        <f>IF($P1785="","",INDEX(상세표[기록 수],$P1785))</f>
        <v/>
      </c>
      <c r="J1785">
        <f>IF($P1785="","",INDEX(상세표[블록 06~07시],$P1785))</f>
        <v/>
      </c>
      <c r="K1785">
        <f>IF($P1785="","",INDEX(상세표[블록 07~18시],$P1785))</f>
        <v/>
      </c>
      <c r="L1785">
        <f>IF($P1785="","",INDEX(상세표[블록 18~22시],$P1785))</f>
        <v/>
      </c>
      <c r="M1785">
        <f>IF($P1785="","",INDEX(상세표[블록 22~06시],$P1785))</f>
        <v/>
      </c>
      <c r="N1785">
        <f>IF($P1785="","",INDEX(상세표[주말·휴일 포함],$P1785)&amp;"")</f>
        <v/>
      </c>
      <c r="O1785">
        <f>IF($P1785="","",INDEX(상세표[월 넘김 포함],$P1785)&amp;"")</f>
        <v/>
      </c>
      <c r="P1785" s="4">
        <f>IFERROR(MATCH(1780,상세표[연속순번],0),"")</f>
        <v/>
      </c>
    </row>
    <row r="1786">
      <c r="A1786">
        <f>IF($P1786="","",INDEX(상세표[사번],$P1786)&amp;"")</f>
        <v/>
      </c>
      <c r="B1786">
        <f>IF($P1786="","",INDEX(상세표[성명],$P1786)&amp;"")</f>
        <v/>
      </c>
      <c r="C1786">
        <f>IF($P1786="","",INDEX(상세표[부서],$P1786)&amp;"")</f>
        <v/>
      </c>
      <c r="D1786">
        <f>IF($P1786="","",INDEX(상세표[직위],$P1786)&amp;"")</f>
        <v/>
      </c>
      <c r="E1786">
        <f>IF($P1786="","",IF(ISNUMBER(INDEX(상세표[시작],$P1786)),TEXT(INDEX(상세표[시작],$P1786),"yyyy-mm-dd hh:mm"),INDEX(상세표[시작],$P1786)&amp;""))</f>
        <v/>
      </c>
      <c r="F1786">
        <f>IF($P1786="","",IF(ISNUMBER(INDEX(상세표[블록종료],$P1786)),TEXT(INDEX(상세표[블록종료],$P1786),"yyyy-mm-dd hh:mm"),INDEX(상세표[블록종료],$P1786)&amp;""))</f>
        <v/>
      </c>
      <c r="G1786">
        <f>IF($P1786="","",CHOOSE(WEEKDAY(INDEX(상세표[시작],$P1786)),"일","월","화","수","목","금","토"))</f>
        <v/>
      </c>
      <c r="H1786">
        <f>IF($P1786="","",INDEX(상세표[연속 시간],$P1786))</f>
        <v/>
      </c>
      <c r="I1786">
        <f>IF($P1786="","",INDEX(상세표[기록 수],$P1786))</f>
        <v/>
      </c>
      <c r="J1786">
        <f>IF($P1786="","",INDEX(상세표[블록 06~07시],$P1786))</f>
        <v/>
      </c>
      <c r="K1786">
        <f>IF($P1786="","",INDEX(상세표[블록 07~18시],$P1786))</f>
        <v/>
      </c>
      <c r="L1786">
        <f>IF($P1786="","",INDEX(상세표[블록 18~22시],$P1786))</f>
        <v/>
      </c>
      <c r="M1786">
        <f>IF($P1786="","",INDEX(상세표[블록 22~06시],$P1786))</f>
        <v/>
      </c>
      <c r="N1786">
        <f>IF($P1786="","",INDEX(상세표[주말·휴일 포함],$P1786)&amp;"")</f>
        <v/>
      </c>
      <c r="O1786">
        <f>IF($P1786="","",INDEX(상세표[월 넘김 포함],$P1786)&amp;"")</f>
        <v/>
      </c>
      <c r="P1786" s="4">
        <f>IFERROR(MATCH(1781,상세표[연속순번],0),"")</f>
        <v/>
      </c>
    </row>
    <row r="1787">
      <c r="A1787">
        <f>IF($P1787="","",INDEX(상세표[사번],$P1787)&amp;"")</f>
        <v/>
      </c>
      <c r="B1787">
        <f>IF($P1787="","",INDEX(상세표[성명],$P1787)&amp;"")</f>
        <v/>
      </c>
      <c r="C1787">
        <f>IF($P1787="","",INDEX(상세표[부서],$P1787)&amp;"")</f>
        <v/>
      </c>
      <c r="D1787">
        <f>IF($P1787="","",INDEX(상세표[직위],$P1787)&amp;"")</f>
        <v/>
      </c>
      <c r="E1787">
        <f>IF($P1787="","",IF(ISNUMBER(INDEX(상세표[시작],$P1787)),TEXT(INDEX(상세표[시작],$P1787),"yyyy-mm-dd hh:mm"),INDEX(상세표[시작],$P1787)&amp;""))</f>
        <v/>
      </c>
      <c r="F1787">
        <f>IF($P1787="","",IF(ISNUMBER(INDEX(상세표[블록종료],$P1787)),TEXT(INDEX(상세표[블록종료],$P1787),"yyyy-mm-dd hh:mm"),INDEX(상세표[블록종료],$P1787)&amp;""))</f>
        <v/>
      </c>
      <c r="G1787">
        <f>IF($P1787="","",CHOOSE(WEEKDAY(INDEX(상세표[시작],$P1787)),"일","월","화","수","목","금","토"))</f>
        <v/>
      </c>
      <c r="H1787">
        <f>IF($P1787="","",INDEX(상세표[연속 시간],$P1787))</f>
        <v/>
      </c>
      <c r="I1787">
        <f>IF($P1787="","",INDEX(상세표[기록 수],$P1787))</f>
        <v/>
      </c>
      <c r="J1787">
        <f>IF($P1787="","",INDEX(상세표[블록 06~07시],$P1787))</f>
        <v/>
      </c>
      <c r="K1787">
        <f>IF($P1787="","",INDEX(상세표[블록 07~18시],$P1787))</f>
        <v/>
      </c>
      <c r="L1787">
        <f>IF($P1787="","",INDEX(상세표[블록 18~22시],$P1787))</f>
        <v/>
      </c>
      <c r="M1787">
        <f>IF($P1787="","",INDEX(상세표[블록 22~06시],$P1787))</f>
        <v/>
      </c>
      <c r="N1787">
        <f>IF($P1787="","",INDEX(상세표[주말·휴일 포함],$P1787)&amp;"")</f>
        <v/>
      </c>
      <c r="O1787">
        <f>IF($P1787="","",INDEX(상세표[월 넘김 포함],$P1787)&amp;"")</f>
        <v/>
      </c>
      <c r="P1787" s="4">
        <f>IFERROR(MATCH(1782,상세표[연속순번],0),"")</f>
        <v/>
      </c>
    </row>
    <row r="1788">
      <c r="A1788">
        <f>IF($P1788="","",INDEX(상세표[사번],$P1788)&amp;"")</f>
        <v/>
      </c>
      <c r="B1788">
        <f>IF($P1788="","",INDEX(상세표[성명],$P1788)&amp;"")</f>
        <v/>
      </c>
      <c r="C1788">
        <f>IF($P1788="","",INDEX(상세표[부서],$P1788)&amp;"")</f>
        <v/>
      </c>
      <c r="D1788">
        <f>IF($P1788="","",INDEX(상세표[직위],$P1788)&amp;"")</f>
        <v/>
      </c>
      <c r="E1788">
        <f>IF($P1788="","",IF(ISNUMBER(INDEX(상세표[시작],$P1788)),TEXT(INDEX(상세표[시작],$P1788),"yyyy-mm-dd hh:mm"),INDEX(상세표[시작],$P1788)&amp;""))</f>
        <v/>
      </c>
      <c r="F1788">
        <f>IF($P1788="","",IF(ISNUMBER(INDEX(상세표[블록종료],$P1788)),TEXT(INDEX(상세표[블록종료],$P1788),"yyyy-mm-dd hh:mm"),INDEX(상세표[블록종료],$P1788)&amp;""))</f>
        <v/>
      </c>
      <c r="G1788">
        <f>IF($P1788="","",CHOOSE(WEEKDAY(INDEX(상세표[시작],$P1788)),"일","월","화","수","목","금","토"))</f>
        <v/>
      </c>
      <c r="H1788">
        <f>IF($P1788="","",INDEX(상세표[연속 시간],$P1788))</f>
        <v/>
      </c>
      <c r="I1788">
        <f>IF($P1788="","",INDEX(상세표[기록 수],$P1788))</f>
        <v/>
      </c>
      <c r="J1788">
        <f>IF($P1788="","",INDEX(상세표[블록 06~07시],$P1788))</f>
        <v/>
      </c>
      <c r="K1788">
        <f>IF($P1788="","",INDEX(상세표[블록 07~18시],$P1788))</f>
        <v/>
      </c>
      <c r="L1788">
        <f>IF($P1788="","",INDEX(상세표[블록 18~22시],$P1788))</f>
        <v/>
      </c>
      <c r="M1788">
        <f>IF($P1788="","",INDEX(상세표[블록 22~06시],$P1788))</f>
        <v/>
      </c>
      <c r="N1788">
        <f>IF($P1788="","",INDEX(상세표[주말·휴일 포함],$P1788)&amp;"")</f>
        <v/>
      </c>
      <c r="O1788">
        <f>IF($P1788="","",INDEX(상세표[월 넘김 포함],$P1788)&amp;"")</f>
        <v/>
      </c>
      <c r="P1788" s="4">
        <f>IFERROR(MATCH(1783,상세표[연속순번],0),"")</f>
        <v/>
      </c>
    </row>
    <row r="1789">
      <c r="A1789">
        <f>IF($P1789="","",INDEX(상세표[사번],$P1789)&amp;"")</f>
        <v/>
      </c>
      <c r="B1789">
        <f>IF($P1789="","",INDEX(상세표[성명],$P1789)&amp;"")</f>
        <v/>
      </c>
      <c r="C1789">
        <f>IF($P1789="","",INDEX(상세표[부서],$P1789)&amp;"")</f>
        <v/>
      </c>
      <c r="D1789">
        <f>IF($P1789="","",INDEX(상세표[직위],$P1789)&amp;"")</f>
        <v/>
      </c>
      <c r="E1789">
        <f>IF($P1789="","",IF(ISNUMBER(INDEX(상세표[시작],$P1789)),TEXT(INDEX(상세표[시작],$P1789),"yyyy-mm-dd hh:mm"),INDEX(상세표[시작],$P1789)&amp;""))</f>
        <v/>
      </c>
      <c r="F1789">
        <f>IF($P1789="","",IF(ISNUMBER(INDEX(상세표[블록종료],$P1789)),TEXT(INDEX(상세표[블록종료],$P1789),"yyyy-mm-dd hh:mm"),INDEX(상세표[블록종료],$P1789)&amp;""))</f>
        <v/>
      </c>
      <c r="G1789">
        <f>IF($P1789="","",CHOOSE(WEEKDAY(INDEX(상세표[시작],$P1789)),"일","월","화","수","목","금","토"))</f>
        <v/>
      </c>
      <c r="H1789">
        <f>IF($P1789="","",INDEX(상세표[연속 시간],$P1789))</f>
        <v/>
      </c>
      <c r="I1789">
        <f>IF($P1789="","",INDEX(상세표[기록 수],$P1789))</f>
        <v/>
      </c>
      <c r="J1789">
        <f>IF($P1789="","",INDEX(상세표[블록 06~07시],$P1789))</f>
        <v/>
      </c>
      <c r="K1789">
        <f>IF($P1789="","",INDEX(상세표[블록 07~18시],$P1789))</f>
        <v/>
      </c>
      <c r="L1789">
        <f>IF($P1789="","",INDEX(상세표[블록 18~22시],$P1789))</f>
        <v/>
      </c>
      <c r="M1789">
        <f>IF($P1789="","",INDEX(상세표[블록 22~06시],$P1789))</f>
        <v/>
      </c>
      <c r="N1789">
        <f>IF($P1789="","",INDEX(상세표[주말·휴일 포함],$P1789)&amp;"")</f>
        <v/>
      </c>
      <c r="O1789">
        <f>IF($P1789="","",INDEX(상세표[월 넘김 포함],$P1789)&amp;"")</f>
        <v/>
      </c>
      <c r="P1789" s="4">
        <f>IFERROR(MATCH(1784,상세표[연속순번],0),"")</f>
        <v/>
      </c>
    </row>
    <row r="1790">
      <c r="A1790">
        <f>IF($P1790="","",INDEX(상세표[사번],$P1790)&amp;"")</f>
        <v/>
      </c>
      <c r="B1790">
        <f>IF($P1790="","",INDEX(상세표[성명],$P1790)&amp;"")</f>
        <v/>
      </c>
      <c r="C1790">
        <f>IF($P1790="","",INDEX(상세표[부서],$P1790)&amp;"")</f>
        <v/>
      </c>
      <c r="D1790">
        <f>IF($P1790="","",INDEX(상세표[직위],$P1790)&amp;"")</f>
        <v/>
      </c>
      <c r="E1790">
        <f>IF($P1790="","",IF(ISNUMBER(INDEX(상세표[시작],$P1790)),TEXT(INDEX(상세표[시작],$P1790),"yyyy-mm-dd hh:mm"),INDEX(상세표[시작],$P1790)&amp;""))</f>
        <v/>
      </c>
      <c r="F1790">
        <f>IF($P1790="","",IF(ISNUMBER(INDEX(상세표[블록종료],$P1790)),TEXT(INDEX(상세표[블록종료],$P1790),"yyyy-mm-dd hh:mm"),INDEX(상세표[블록종료],$P1790)&amp;""))</f>
        <v/>
      </c>
      <c r="G1790">
        <f>IF($P1790="","",CHOOSE(WEEKDAY(INDEX(상세표[시작],$P1790)),"일","월","화","수","목","금","토"))</f>
        <v/>
      </c>
      <c r="H1790">
        <f>IF($P1790="","",INDEX(상세표[연속 시간],$P1790))</f>
        <v/>
      </c>
      <c r="I1790">
        <f>IF($P1790="","",INDEX(상세표[기록 수],$P1790))</f>
        <v/>
      </c>
      <c r="J1790">
        <f>IF($P1790="","",INDEX(상세표[블록 06~07시],$P1790))</f>
        <v/>
      </c>
      <c r="K1790">
        <f>IF($P1790="","",INDEX(상세표[블록 07~18시],$P1790))</f>
        <v/>
      </c>
      <c r="L1790">
        <f>IF($P1790="","",INDEX(상세표[블록 18~22시],$P1790))</f>
        <v/>
      </c>
      <c r="M1790">
        <f>IF($P1790="","",INDEX(상세표[블록 22~06시],$P1790))</f>
        <v/>
      </c>
      <c r="N1790">
        <f>IF($P1790="","",INDEX(상세표[주말·휴일 포함],$P1790)&amp;"")</f>
        <v/>
      </c>
      <c r="O1790">
        <f>IF($P1790="","",INDEX(상세표[월 넘김 포함],$P1790)&amp;"")</f>
        <v/>
      </c>
      <c r="P1790" s="4">
        <f>IFERROR(MATCH(1785,상세표[연속순번],0),"")</f>
        <v/>
      </c>
    </row>
    <row r="1791">
      <c r="A1791">
        <f>IF($P1791="","",INDEX(상세표[사번],$P1791)&amp;"")</f>
        <v/>
      </c>
      <c r="B1791">
        <f>IF($P1791="","",INDEX(상세표[성명],$P1791)&amp;"")</f>
        <v/>
      </c>
      <c r="C1791">
        <f>IF($P1791="","",INDEX(상세표[부서],$P1791)&amp;"")</f>
        <v/>
      </c>
      <c r="D1791">
        <f>IF($P1791="","",INDEX(상세표[직위],$P1791)&amp;"")</f>
        <v/>
      </c>
      <c r="E1791">
        <f>IF($P1791="","",IF(ISNUMBER(INDEX(상세표[시작],$P1791)),TEXT(INDEX(상세표[시작],$P1791),"yyyy-mm-dd hh:mm"),INDEX(상세표[시작],$P1791)&amp;""))</f>
        <v/>
      </c>
      <c r="F1791">
        <f>IF($P1791="","",IF(ISNUMBER(INDEX(상세표[블록종료],$P1791)),TEXT(INDEX(상세표[블록종료],$P1791),"yyyy-mm-dd hh:mm"),INDEX(상세표[블록종료],$P1791)&amp;""))</f>
        <v/>
      </c>
      <c r="G1791">
        <f>IF($P1791="","",CHOOSE(WEEKDAY(INDEX(상세표[시작],$P1791)),"일","월","화","수","목","금","토"))</f>
        <v/>
      </c>
      <c r="H1791">
        <f>IF($P1791="","",INDEX(상세표[연속 시간],$P1791))</f>
        <v/>
      </c>
      <c r="I1791">
        <f>IF($P1791="","",INDEX(상세표[기록 수],$P1791))</f>
        <v/>
      </c>
      <c r="J1791">
        <f>IF($P1791="","",INDEX(상세표[블록 06~07시],$P1791))</f>
        <v/>
      </c>
      <c r="K1791">
        <f>IF($P1791="","",INDEX(상세표[블록 07~18시],$P1791))</f>
        <v/>
      </c>
      <c r="L1791">
        <f>IF($P1791="","",INDEX(상세표[블록 18~22시],$P1791))</f>
        <v/>
      </c>
      <c r="M1791">
        <f>IF($P1791="","",INDEX(상세표[블록 22~06시],$P1791))</f>
        <v/>
      </c>
      <c r="N1791">
        <f>IF($P1791="","",INDEX(상세표[주말·휴일 포함],$P1791)&amp;"")</f>
        <v/>
      </c>
      <c r="O1791">
        <f>IF($P1791="","",INDEX(상세표[월 넘김 포함],$P1791)&amp;"")</f>
        <v/>
      </c>
      <c r="P1791" s="4">
        <f>IFERROR(MATCH(1786,상세표[연속순번],0),"")</f>
        <v/>
      </c>
    </row>
    <row r="1792">
      <c r="A1792">
        <f>IF($P1792="","",INDEX(상세표[사번],$P1792)&amp;"")</f>
        <v/>
      </c>
      <c r="B1792">
        <f>IF($P1792="","",INDEX(상세표[성명],$P1792)&amp;"")</f>
        <v/>
      </c>
      <c r="C1792">
        <f>IF($P1792="","",INDEX(상세표[부서],$P1792)&amp;"")</f>
        <v/>
      </c>
      <c r="D1792">
        <f>IF($P1792="","",INDEX(상세표[직위],$P1792)&amp;"")</f>
        <v/>
      </c>
      <c r="E1792">
        <f>IF($P1792="","",IF(ISNUMBER(INDEX(상세표[시작],$P1792)),TEXT(INDEX(상세표[시작],$P1792),"yyyy-mm-dd hh:mm"),INDEX(상세표[시작],$P1792)&amp;""))</f>
        <v/>
      </c>
      <c r="F1792">
        <f>IF($P1792="","",IF(ISNUMBER(INDEX(상세표[블록종료],$P1792)),TEXT(INDEX(상세표[블록종료],$P1792),"yyyy-mm-dd hh:mm"),INDEX(상세표[블록종료],$P1792)&amp;""))</f>
        <v/>
      </c>
      <c r="G1792">
        <f>IF($P1792="","",CHOOSE(WEEKDAY(INDEX(상세표[시작],$P1792)),"일","월","화","수","목","금","토"))</f>
        <v/>
      </c>
      <c r="H1792">
        <f>IF($P1792="","",INDEX(상세표[연속 시간],$P1792))</f>
        <v/>
      </c>
      <c r="I1792">
        <f>IF($P1792="","",INDEX(상세표[기록 수],$P1792))</f>
        <v/>
      </c>
      <c r="J1792">
        <f>IF($P1792="","",INDEX(상세표[블록 06~07시],$P1792))</f>
        <v/>
      </c>
      <c r="K1792">
        <f>IF($P1792="","",INDEX(상세표[블록 07~18시],$P1792))</f>
        <v/>
      </c>
      <c r="L1792">
        <f>IF($P1792="","",INDEX(상세표[블록 18~22시],$P1792))</f>
        <v/>
      </c>
      <c r="M1792">
        <f>IF($P1792="","",INDEX(상세표[블록 22~06시],$P1792))</f>
        <v/>
      </c>
      <c r="N1792">
        <f>IF($P1792="","",INDEX(상세표[주말·휴일 포함],$P1792)&amp;"")</f>
        <v/>
      </c>
      <c r="O1792">
        <f>IF($P1792="","",INDEX(상세표[월 넘김 포함],$P1792)&amp;"")</f>
        <v/>
      </c>
      <c r="P1792" s="4">
        <f>IFERROR(MATCH(1787,상세표[연속순번],0),"")</f>
        <v/>
      </c>
    </row>
    <row r="1793">
      <c r="A1793">
        <f>IF($P1793="","",INDEX(상세표[사번],$P1793)&amp;"")</f>
        <v/>
      </c>
      <c r="B1793">
        <f>IF($P1793="","",INDEX(상세표[성명],$P1793)&amp;"")</f>
        <v/>
      </c>
      <c r="C1793">
        <f>IF($P1793="","",INDEX(상세표[부서],$P1793)&amp;"")</f>
        <v/>
      </c>
      <c r="D1793">
        <f>IF($P1793="","",INDEX(상세표[직위],$P1793)&amp;"")</f>
        <v/>
      </c>
      <c r="E1793">
        <f>IF($P1793="","",IF(ISNUMBER(INDEX(상세표[시작],$P1793)),TEXT(INDEX(상세표[시작],$P1793),"yyyy-mm-dd hh:mm"),INDEX(상세표[시작],$P1793)&amp;""))</f>
        <v/>
      </c>
      <c r="F1793">
        <f>IF($P1793="","",IF(ISNUMBER(INDEX(상세표[블록종료],$P1793)),TEXT(INDEX(상세표[블록종료],$P1793),"yyyy-mm-dd hh:mm"),INDEX(상세표[블록종료],$P1793)&amp;""))</f>
        <v/>
      </c>
      <c r="G1793">
        <f>IF($P1793="","",CHOOSE(WEEKDAY(INDEX(상세표[시작],$P1793)),"일","월","화","수","목","금","토"))</f>
        <v/>
      </c>
      <c r="H1793">
        <f>IF($P1793="","",INDEX(상세표[연속 시간],$P1793))</f>
        <v/>
      </c>
      <c r="I1793">
        <f>IF($P1793="","",INDEX(상세표[기록 수],$P1793))</f>
        <v/>
      </c>
      <c r="J1793">
        <f>IF($P1793="","",INDEX(상세표[블록 06~07시],$P1793))</f>
        <v/>
      </c>
      <c r="K1793">
        <f>IF($P1793="","",INDEX(상세표[블록 07~18시],$P1793))</f>
        <v/>
      </c>
      <c r="L1793">
        <f>IF($P1793="","",INDEX(상세표[블록 18~22시],$P1793))</f>
        <v/>
      </c>
      <c r="M1793">
        <f>IF($P1793="","",INDEX(상세표[블록 22~06시],$P1793))</f>
        <v/>
      </c>
      <c r="N1793">
        <f>IF($P1793="","",INDEX(상세표[주말·휴일 포함],$P1793)&amp;"")</f>
        <v/>
      </c>
      <c r="O1793">
        <f>IF($P1793="","",INDEX(상세표[월 넘김 포함],$P1793)&amp;"")</f>
        <v/>
      </c>
      <c r="P1793" s="4">
        <f>IFERROR(MATCH(1788,상세표[연속순번],0),"")</f>
        <v/>
      </c>
    </row>
    <row r="1794">
      <c r="A1794">
        <f>IF($P1794="","",INDEX(상세표[사번],$P1794)&amp;"")</f>
        <v/>
      </c>
      <c r="B1794">
        <f>IF($P1794="","",INDEX(상세표[성명],$P1794)&amp;"")</f>
        <v/>
      </c>
      <c r="C1794">
        <f>IF($P1794="","",INDEX(상세표[부서],$P1794)&amp;"")</f>
        <v/>
      </c>
      <c r="D1794">
        <f>IF($P1794="","",INDEX(상세표[직위],$P1794)&amp;"")</f>
        <v/>
      </c>
      <c r="E1794">
        <f>IF($P1794="","",IF(ISNUMBER(INDEX(상세표[시작],$P1794)),TEXT(INDEX(상세표[시작],$P1794),"yyyy-mm-dd hh:mm"),INDEX(상세표[시작],$P1794)&amp;""))</f>
        <v/>
      </c>
      <c r="F1794">
        <f>IF($P1794="","",IF(ISNUMBER(INDEX(상세표[블록종료],$P1794)),TEXT(INDEX(상세표[블록종료],$P1794),"yyyy-mm-dd hh:mm"),INDEX(상세표[블록종료],$P1794)&amp;""))</f>
        <v/>
      </c>
      <c r="G1794">
        <f>IF($P1794="","",CHOOSE(WEEKDAY(INDEX(상세표[시작],$P1794)),"일","월","화","수","목","금","토"))</f>
        <v/>
      </c>
      <c r="H1794">
        <f>IF($P1794="","",INDEX(상세표[연속 시간],$P1794))</f>
        <v/>
      </c>
      <c r="I1794">
        <f>IF($P1794="","",INDEX(상세표[기록 수],$P1794))</f>
        <v/>
      </c>
      <c r="J1794">
        <f>IF($P1794="","",INDEX(상세표[블록 06~07시],$P1794))</f>
        <v/>
      </c>
      <c r="K1794">
        <f>IF($P1794="","",INDEX(상세표[블록 07~18시],$P1794))</f>
        <v/>
      </c>
      <c r="L1794">
        <f>IF($P1794="","",INDEX(상세표[블록 18~22시],$P1794))</f>
        <v/>
      </c>
      <c r="M1794">
        <f>IF($P1794="","",INDEX(상세표[블록 22~06시],$P1794))</f>
        <v/>
      </c>
      <c r="N1794">
        <f>IF($P1794="","",INDEX(상세표[주말·휴일 포함],$P1794)&amp;"")</f>
        <v/>
      </c>
      <c r="O1794">
        <f>IF($P1794="","",INDEX(상세표[월 넘김 포함],$P1794)&amp;"")</f>
        <v/>
      </c>
      <c r="P1794" s="4">
        <f>IFERROR(MATCH(1789,상세표[연속순번],0),"")</f>
        <v/>
      </c>
    </row>
    <row r="1795">
      <c r="A1795">
        <f>IF($P1795="","",INDEX(상세표[사번],$P1795)&amp;"")</f>
        <v/>
      </c>
      <c r="B1795">
        <f>IF($P1795="","",INDEX(상세표[성명],$P1795)&amp;"")</f>
        <v/>
      </c>
      <c r="C1795">
        <f>IF($P1795="","",INDEX(상세표[부서],$P1795)&amp;"")</f>
        <v/>
      </c>
      <c r="D1795">
        <f>IF($P1795="","",INDEX(상세표[직위],$P1795)&amp;"")</f>
        <v/>
      </c>
      <c r="E1795">
        <f>IF($P1795="","",IF(ISNUMBER(INDEX(상세표[시작],$P1795)),TEXT(INDEX(상세표[시작],$P1795),"yyyy-mm-dd hh:mm"),INDEX(상세표[시작],$P1795)&amp;""))</f>
        <v/>
      </c>
      <c r="F1795">
        <f>IF($P1795="","",IF(ISNUMBER(INDEX(상세표[블록종료],$P1795)),TEXT(INDEX(상세표[블록종료],$P1795),"yyyy-mm-dd hh:mm"),INDEX(상세표[블록종료],$P1795)&amp;""))</f>
        <v/>
      </c>
      <c r="G1795">
        <f>IF($P1795="","",CHOOSE(WEEKDAY(INDEX(상세표[시작],$P1795)),"일","월","화","수","목","금","토"))</f>
        <v/>
      </c>
      <c r="H1795">
        <f>IF($P1795="","",INDEX(상세표[연속 시간],$P1795))</f>
        <v/>
      </c>
      <c r="I1795">
        <f>IF($P1795="","",INDEX(상세표[기록 수],$P1795))</f>
        <v/>
      </c>
      <c r="J1795">
        <f>IF($P1795="","",INDEX(상세표[블록 06~07시],$P1795))</f>
        <v/>
      </c>
      <c r="K1795">
        <f>IF($P1795="","",INDEX(상세표[블록 07~18시],$P1795))</f>
        <v/>
      </c>
      <c r="L1795">
        <f>IF($P1795="","",INDEX(상세표[블록 18~22시],$P1795))</f>
        <v/>
      </c>
      <c r="M1795">
        <f>IF($P1795="","",INDEX(상세표[블록 22~06시],$P1795))</f>
        <v/>
      </c>
      <c r="N1795">
        <f>IF($P1795="","",INDEX(상세표[주말·휴일 포함],$P1795)&amp;"")</f>
        <v/>
      </c>
      <c r="O1795">
        <f>IF($P1795="","",INDEX(상세표[월 넘김 포함],$P1795)&amp;"")</f>
        <v/>
      </c>
      <c r="P1795" s="4">
        <f>IFERROR(MATCH(1790,상세표[연속순번],0),"")</f>
        <v/>
      </c>
    </row>
    <row r="1796">
      <c r="A1796">
        <f>IF($P1796="","",INDEX(상세표[사번],$P1796)&amp;"")</f>
        <v/>
      </c>
      <c r="B1796">
        <f>IF($P1796="","",INDEX(상세표[성명],$P1796)&amp;"")</f>
        <v/>
      </c>
      <c r="C1796">
        <f>IF($P1796="","",INDEX(상세표[부서],$P1796)&amp;"")</f>
        <v/>
      </c>
      <c r="D1796">
        <f>IF($P1796="","",INDEX(상세표[직위],$P1796)&amp;"")</f>
        <v/>
      </c>
      <c r="E1796">
        <f>IF($P1796="","",IF(ISNUMBER(INDEX(상세표[시작],$P1796)),TEXT(INDEX(상세표[시작],$P1796),"yyyy-mm-dd hh:mm"),INDEX(상세표[시작],$P1796)&amp;""))</f>
        <v/>
      </c>
      <c r="F1796">
        <f>IF($P1796="","",IF(ISNUMBER(INDEX(상세표[블록종료],$P1796)),TEXT(INDEX(상세표[블록종료],$P1796),"yyyy-mm-dd hh:mm"),INDEX(상세표[블록종료],$P1796)&amp;""))</f>
        <v/>
      </c>
      <c r="G1796">
        <f>IF($P1796="","",CHOOSE(WEEKDAY(INDEX(상세표[시작],$P1796)),"일","월","화","수","목","금","토"))</f>
        <v/>
      </c>
      <c r="H1796">
        <f>IF($P1796="","",INDEX(상세표[연속 시간],$P1796))</f>
        <v/>
      </c>
      <c r="I1796">
        <f>IF($P1796="","",INDEX(상세표[기록 수],$P1796))</f>
        <v/>
      </c>
      <c r="J1796">
        <f>IF($P1796="","",INDEX(상세표[블록 06~07시],$P1796))</f>
        <v/>
      </c>
      <c r="K1796">
        <f>IF($P1796="","",INDEX(상세표[블록 07~18시],$P1796))</f>
        <v/>
      </c>
      <c r="L1796">
        <f>IF($P1796="","",INDEX(상세표[블록 18~22시],$P1796))</f>
        <v/>
      </c>
      <c r="M1796">
        <f>IF($P1796="","",INDEX(상세표[블록 22~06시],$P1796))</f>
        <v/>
      </c>
      <c r="N1796">
        <f>IF($P1796="","",INDEX(상세표[주말·휴일 포함],$P1796)&amp;"")</f>
        <v/>
      </c>
      <c r="O1796">
        <f>IF($P1796="","",INDEX(상세표[월 넘김 포함],$P1796)&amp;"")</f>
        <v/>
      </c>
      <c r="P1796" s="4">
        <f>IFERROR(MATCH(1791,상세표[연속순번],0),"")</f>
        <v/>
      </c>
    </row>
    <row r="1797">
      <c r="A1797">
        <f>IF($P1797="","",INDEX(상세표[사번],$P1797)&amp;"")</f>
        <v/>
      </c>
      <c r="B1797">
        <f>IF($P1797="","",INDEX(상세표[성명],$P1797)&amp;"")</f>
        <v/>
      </c>
      <c r="C1797">
        <f>IF($P1797="","",INDEX(상세표[부서],$P1797)&amp;"")</f>
        <v/>
      </c>
      <c r="D1797">
        <f>IF($P1797="","",INDEX(상세표[직위],$P1797)&amp;"")</f>
        <v/>
      </c>
      <c r="E1797">
        <f>IF($P1797="","",IF(ISNUMBER(INDEX(상세표[시작],$P1797)),TEXT(INDEX(상세표[시작],$P1797),"yyyy-mm-dd hh:mm"),INDEX(상세표[시작],$P1797)&amp;""))</f>
        <v/>
      </c>
      <c r="F1797">
        <f>IF($P1797="","",IF(ISNUMBER(INDEX(상세표[블록종료],$P1797)),TEXT(INDEX(상세표[블록종료],$P1797),"yyyy-mm-dd hh:mm"),INDEX(상세표[블록종료],$P1797)&amp;""))</f>
        <v/>
      </c>
      <c r="G1797">
        <f>IF($P1797="","",CHOOSE(WEEKDAY(INDEX(상세표[시작],$P1797)),"일","월","화","수","목","금","토"))</f>
        <v/>
      </c>
      <c r="H1797">
        <f>IF($P1797="","",INDEX(상세표[연속 시간],$P1797))</f>
        <v/>
      </c>
      <c r="I1797">
        <f>IF($P1797="","",INDEX(상세표[기록 수],$P1797))</f>
        <v/>
      </c>
      <c r="J1797">
        <f>IF($P1797="","",INDEX(상세표[블록 06~07시],$P1797))</f>
        <v/>
      </c>
      <c r="K1797">
        <f>IF($P1797="","",INDEX(상세표[블록 07~18시],$P1797))</f>
        <v/>
      </c>
      <c r="L1797">
        <f>IF($P1797="","",INDEX(상세표[블록 18~22시],$P1797))</f>
        <v/>
      </c>
      <c r="M1797">
        <f>IF($P1797="","",INDEX(상세표[블록 22~06시],$P1797))</f>
        <v/>
      </c>
      <c r="N1797">
        <f>IF($P1797="","",INDEX(상세표[주말·휴일 포함],$P1797)&amp;"")</f>
        <v/>
      </c>
      <c r="O1797">
        <f>IF($P1797="","",INDEX(상세표[월 넘김 포함],$P1797)&amp;"")</f>
        <v/>
      </c>
      <c r="P1797" s="4">
        <f>IFERROR(MATCH(1792,상세표[연속순번],0),"")</f>
        <v/>
      </c>
    </row>
    <row r="1798">
      <c r="A1798">
        <f>IF($P1798="","",INDEX(상세표[사번],$P1798)&amp;"")</f>
        <v/>
      </c>
      <c r="B1798">
        <f>IF($P1798="","",INDEX(상세표[성명],$P1798)&amp;"")</f>
        <v/>
      </c>
      <c r="C1798">
        <f>IF($P1798="","",INDEX(상세표[부서],$P1798)&amp;"")</f>
        <v/>
      </c>
      <c r="D1798">
        <f>IF($P1798="","",INDEX(상세표[직위],$P1798)&amp;"")</f>
        <v/>
      </c>
      <c r="E1798">
        <f>IF($P1798="","",IF(ISNUMBER(INDEX(상세표[시작],$P1798)),TEXT(INDEX(상세표[시작],$P1798),"yyyy-mm-dd hh:mm"),INDEX(상세표[시작],$P1798)&amp;""))</f>
        <v/>
      </c>
      <c r="F1798">
        <f>IF($P1798="","",IF(ISNUMBER(INDEX(상세표[블록종료],$P1798)),TEXT(INDEX(상세표[블록종료],$P1798),"yyyy-mm-dd hh:mm"),INDEX(상세표[블록종료],$P1798)&amp;""))</f>
        <v/>
      </c>
      <c r="G1798">
        <f>IF($P1798="","",CHOOSE(WEEKDAY(INDEX(상세표[시작],$P1798)),"일","월","화","수","목","금","토"))</f>
        <v/>
      </c>
      <c r="H1798">
        <f>IF($P1798="","",INDEX(상세표[연속 시간],$P1798))</f>
        <v/>
      </c>
      <c r="I1798">
        <f>IF($P1798="","",INDEX(상세표[기록 수],$P1798))</f>
        <v/>
      </c>
      <c r="J1798">
        <f>IF($P1798="","",INDEX(상세표[블록 06~07시],$P1798))</f>
        <v/>
      </c>
      <c r="K1798">
        <f>IF($P1798="","",INDEX(상세표[블록 07~18시],$P1798))</f>
        <v/>
      </c>
      <c r="L1798">
        <f>IF($P1798="","",INDEX(상세표[블록 18~22시],$P1798))</f>
        <v/>
      </c>
      <c r="M1798">
        <f>IF($P1798="","",INDEX(상세표[블록 22~06시],$P1798))</f>
        <v/>
      </c>
      <c r="N1798">
        <f>IF($P1798="","",INDEX(상세표[주말·휴일 포함],$P1798)&amp;"")</f>
        <v/>
      </c>
      <c r="O1798">
        <f>IF($P1798="","",INDEX(상세표[월 넘김 포함],$P1798)&amp;"")</f>
        <v/>
      </c>
      <c r="P1798" s="4">
        <f>IFERROR(MATCH(1793,상세표[연속순번],0),"")</f>
        <v/>
      </c>
    </row>
    <row r="1799">
      <c r="A1799">
        <f>IF($P1799="","",INDEX(상세표[사번],$P1799)&amp;"")</f>
        <v/>
      </c>
      <c r="B1799">
        <f>IF($P1799="","",INDEX(상세표[성명],$P1799)&amp;"")</f>
        <v/>
      </c>
      <c r="C1799">
        <f>IF($P1799="","",INDEX(상세표[부서],$P1799)&amp;"")</f>
        <v/>
      </c>
      <c r="D1799">
        <f>IF($P1799="","",INDEX(상세표[직위],$P1799)&amp;"")</f>
        <v/>
      </c>
      <c r="E1799">
        <f>IF($P1799="","",IF(ISNUMBER(INDEX(상세표[시작],$P1799)),TEXT(INDEX(상세표[시작],$P1799),"yyyy-mm-dd hh:mm"),INDEX(상세표[시작],$P1799)&amp;""))</f>
        <v/>
      </c>
      <c r="F1799">
        <f>IF($P1799="","",IF(ISNUMBER(INDEX(상세표[블록종료],$P1799)),TEXT(INDEX(상세표[블록종료],$P1799),"yyyy-mm-dd hh:mm"),INDEX(상세표[블록종료],$P1799)&amp;""))</f>
        <v/>
      </c>
      <c r="G1799">
        <f>IF($P1799="","",CHOOSE(WEEKDAY(INDEX(상세표[시작],$P1799)),"일","월","화","수","목","금","토"))</f>
        <v/>
      </c>
      <c r="H1799">
        <f>IF($P1799="","",INDEX(상세표[연속 시간],$P1799))</f>
        <v/>
      </c>
      <c r="I1799">
        <f>IF($P1799="","",INDEX(상세표[기록 수],$P1799))</f>
        <v/>
      </c>
      <c r="J1799">
        <f>IF($P1799="","",INDEX(상세표[블록 06~07시],$P1799))</f>
        <v/>
      </c>
      <c r="K1799">
        <f>IF($P1799="","",INDEX(상세표[블록 07~18시],$P1799))</f>
        <v/>
      </c>
      <c r="L1799">
        <f>IF($P1799="","",INDEX(상세표[블록 18~22시],$P1799))</f>
        <v/>
      </c>
      <c r="M1799">
        <f>IF($P1799="","",INDEX(상세표[블록 22~06시],$P1799))</f>
        <v/>
      </c>
      <c r="N1799">
        <f>IF($P1799="","",INDEX(상세표[주말·휴일 포함],$P1799)&amp;"")</f>
        <v/>
      </c>
      <c r="O1799">
        <f>IF($P1799="","",INDEX(상세표[월 넘김 포함],$P1799)&amp;"")</f>
        <v/>
      </c>
      <c r="P1799" s="4">
        <f>IFERROR(MATCH(1794,상세표[연속순번],0),"")</f>
        <v/>
      </c>
    </row>
    <row r="1800">
      <c r="A1800">
        <f>IF($P1800="","",INDEX(상세표[사번],$P1800)&amp;"")</f>
        <v/>
      </c>
      <c r="B1800">
        <f>IF($P1800="","",INDEX(상세표[성명],$P1800)&amp;"")</f>
        <v/>
      </c>
      <c r="C1800">
        <f>IF($P1800="","",INDEX(상세표[부서],$P1800)&amp;"")</f>
        <v/>
      </c>
      <c r="D1800">
        <f>IF($P1800="","",INDEX(상세표[직위],$P1800)&amp;"")</f>
        <v/>
      </c>
      <c r="E1800">
        <f>IF($P1800="","",IF(ISNUMBER(INDEX(상세표[시작],$P1800)),TEXT(INDEX(상세표[시작],$P1800),"yyyy-mm-dd hh:mm"),INDEX(상세표[시작],$P1800)&amp;""))</f>
        <v/>
      </c>
      <c r="F1800">
        <f>IF($P1800="","",IF(ISNUMBER(INDEX(상세표[블록종료],$P1800)),TEXT(INDEX(상세표[블록종료],$P1800),"yyyy-mm-dd hh:mm"),INDEX(상세표[블록종료],$P1800)&amp;""))</f>
        <v/>
      </c>
      <c r="G1800">
        <f>IF($P1800="","",CHOOSE(WEEKDAY(INDEX(상세표[시작],$P1800)),"일","월","화","수","목","금","토"))</f>
        <v/>
      </c>
      <c r="H1800">
        <f>IF($P1800="","",INDEX(상세표[연속 시간],$P1800))</f>
        <v/>
      </c>
      <c r="I1800">
        <f>IF($P1800="","",INDEX(상세표[기록 수],$P1800))</f>
        <v/>
      </c>
      <c r="J1800">
        <f>IF($P1800="","",INDEX(상세표[블록 06~07시],$P1800))</f>
        <v/>
      </c>
      <c r="K1800">
        <f>IF($P1800="","",INDEX(상세표[블록 07~18시],$P1800))</f>
        <v/>
      </c>
      <c r="L1800">
        <f>IF($P1800="","",INDEX(상세표[블록 18~22시],$P1800))</f>
        <v/>
      </c>
      <c r="M1800">
        <f>IF($P1800="","",INDEX(상세표[블록 22~06시],$P1800))</f>
        <v/>
      </c>
      <c r="N1800">
        <f>IF($P1800="","",INDEX(상세표[주말·휴일 포함],$P1800)&amp;"")</f>
        <v/>
      </c>
      <c r="O1800">
        <f>IF($P1800="","",INDEX(상세표[월 넘김 포함],$P1800)&amp;"")</f>
        <v/>
      </c>
      <c r="P1800" s="4">
        <f>IFERROR(MATCH(1795,상세표[연속순번],0),"")</f>
        <v/>
      </c>
    </row>
    <row r="1801">
      <c r="A1801">
        <f>IF($P1801="","",INDEX(상세표[사번],$P1801)&amp;"")</f>
        <v/>
      </c>
      <c r="B1801">
        <f>IF($P1801="","",INDEX(상세표[성명],$P1801)&amp;"")</f>
        <v/>
      </c>
      <c r="C1801">
        <f>IF($P1801="","",INDEX(상세표[부서],$P1801)&amp;"")</f>
        <v/>
      </c>
      <c r="D1801">
        <f>IF($P1801="","",INDEX(상세표[직위],$P1801)&amp;"")</f>
        <v/>
      </c>
      <c r="E1801">
        <f>IF($P1801="","",IF(ISNUMBER(INDEX(상세표[시작],$P1801)),TEXT(INDEX(상세표[시작],$P1801),"yyyy-mm-dd hh:mm"),INDEX(상세표[시작],$P1801)&amp;""))</f>
        <v/>
      </c>
      <c r="F1801">
        <f>IF($P1801="","",IF(ISNUMBER(INDEX(상세표[블록종료],$P1801)),TEXT(INDEX(상세표[블록종료],$P1801),"yyyy-mm-dd hh:mm"),INDEX(상세표[블록종료],$P1801)&amp;""))</f>
        <v/>
      </c>
      <c r="G1801">
        <f>IF($P1801="","",CHOOSE(WEEKDAY(INDEX(상세표[시작],$P1801)),"일","월","화","수","목","금","토"))</f>
        <v/>
      </c>
      <c r="H1801">
        <f>IF($P1801="","",INDEX(상세표[연속 시간],$P1801))</f>
        <v/>
      </c>
      <c r="I1801">
        <f>IF($P1801="","",INDEX(상세표[기록 수],$P1801))</f>
        <v/>
      </c>
      <c r="J1801">
        <f>IF($P1801="","",INDEX(상세표[블록 06~07시],$P1801))</f>
        <v/>
      </c>
      <c r="K1801">
        <f>IF($P1801="","",INDEX(상세표[블록 07~18시],$P1801))</f>
        <v/>
      </c>
      <c r="L1801">
        <f>IF($P1801="","",INDEX(상세표[블록 18~22시],$P1801))</f>
        <v/>
      </c>
      <c r="M1801">
        <f>IF($P1801="","",INDEX(상세표[블록 22~06시],$P1801))</f>
        <v/>
      </c>
      <c r="N1801">
        <f>IF($P1801="","",INDEX(상세표[주말·휴일 포함],$P1801)&amp;"")</f>
        <v/>
      </c>
      <c r="O1801">
        <f>IF($P1801="","",INDEX(상세표[월 넘김 포함],$P1801)&amp;"")</f>
        <v/>
      </c>
      <c r="P1801" s="4">
        <f>IFERROR(MATCH(1796,상세표[연속순번],0),"")</f>
        <v/>
      </c>
    </row>
    <row r="1802">
      <c r="A1802">
        <f>IF($P1802="","",INDEX(상세표[사번],$P1802)&amp;"")</f>
        <v/>
      </c>
      <c r="B1802">
        <f>IF($P1802="","",INDEX(상세표[성명],$P1802)&amp;"")</f>
        <v/>
      </c>
      <c r="C1802">
        <f>IF($P1802="","",INDEX(상세표[부서],$P1802)&amp;"")</f>
        <v/>
      </c>
      <c r="D1802">
        <f>IF($P1802="","",INDEX(상세표[직위],$P1802)&amp;"")</f>
        <v/>
      </c>
      <c r="E1802">
        <f>IF($P1802="","",IF(ISNUMBER(INDEX(상세표[시작],$P1802)),TEXT(INDEX(상세표[시작],$P1802),"yyyy-mm-dd hh:mm"),INDEX(상세표[시작],$P1802)&amp;""))</f>
        <v/>
      </c>
      <c r="F1802">
        <f>IF($P1802="","",IF(ISNUMBER(INDEX(상세표[블록종료],$P1802)),TEXT(INDEX(상세표[블록종료],$P1802),"yyyy-mm-dd hh:mm"),INDEX(상세표[블록종료],$P1802)&amp;""))</f>
        <v/>
      </c>
      <c r="G1802">
        <f>IF($P1802="","",CHOOSE(WEEKDAY(INDEX(상세표[시작],$P1802)),"일","월","화","수","목","금","토"))</f>
        <v/>
      </c>
      <c r="H1802">
        <f>IF($P1802="","",INDEX(상세표[연속 시간],$P1802))</f>
        <v/>
      </c>
      <c r="I1802">
        <f>IF($P1802="","",INDEX(상세표[기록 수],$P1802))</f>
        <v/>
      </c>
      <c r="J1802">
        <f>IF($P1802="","",INDEX(상세표[블록 06~07시],$P1802))</f>
        <v/>
      </c>
      <c r="K1802">
        <f>IF($P1802="","",INDEX(상세표[블록 07~18시],$P1802))</f>
        <v/>
      </c>
      <c r="L1802">
        <f>IF($P1802="","",INDEX(상세표[블록 18~22시],$P1802))</f>
        <v/>
      </c>
      <c r="M1802">
        <f>IF($P1802="","",INDEX(상세표[블록 22~06시],$P1802))</f>
        <v/>
      </c>
      <c r="N1802">
        <f>IF($P1802="","",INDEX(상세표[주말·휴일 포함],$P1802)&amp;"")</f>
        <v/>
      </c>
      <c r="O1802">
        <f>IF($P1802="","",INDEX(상세표[월 넘김 포함],$P1802)&amp;"")</f>
        <v/>
      </c>
      <c r="P1802" s="4">
        <f>IFERROR(MATCH(1797,상세표[연속순번],0),"")</f>
        <v/>
      </c>
    </row>
    <row r="1803">
      <c r="A1803">
        <f>IF($P1803="","",INDEX(상세표[사번],$P1803)&amp;"")</f>
        <v/>
      </c>
      <c r="B1803">
        <f>IF($P1803="","",INDEX(상세표[성명],$P1803)&amp;"")</f>
        <v/>
      </c>
      <c r="C1803">
        <f>IF($P1803="","",INDEX(상세표[부서],$P1803)&amp;"")</f>
        <v/>
      </c>
      <c r="D1803">
        <f>IF($P1803="","",INDEX(상세표[직위],$P1803)&amp;"")</f>
        <v/>
      </c>
      <c r="E1803">
        <f>IF($P1803="","",IF(ISNUMBER(INDEX(상세표[시작],$P1803)),TEXT(INDEX(상세표[시작],$P1803),"yyyy-mm-dd hh:mm"),INDEX(상세표[시작],$P1803)&amp;""))</f>
        <v/>
      </c>
      <c r="F1803">
        <f>IF($P1803="","",IF(ISNUMBER(INDEX(상세표[블록종료],$P1803)),TEXT(INDEX(상세표[블록종료],$P1803),"yyyy-mm-dd hh:mm"),INDEX(상세표[블록종료],$P1803)&amp;""))</f>
        <v/>
      </c>
      <c r="G1803">
        <f>IF($P1803="","",CHOOSE(WEEKDAY(INDEX(상세표[시작],$P1803)),"일","월","화","수","목","금","토"))</f>
        <v/>
      </c>
      <c r="H1803">
        <f>IF($P1803="","",INDEX(상세표[연속 시간],$P1803))</f>
        <v/>
      </c>
      <c r="I1803">
        <f>IF($P1803="","",INDEX(상세표[기록 수],$P1803))</f>
        <v/>
      </c>
      <c r="J1803">
        <f>IF($P1803="","",INDEX(상세표[블록 06~07시],$P1803))</f>
        <v/>
      </c>
      <c r="K1803">
        <f>IF($P1803="","",INDEX(상세표[블록 07~18시],$P1803))</f>
        <v/>
      </c>
      <c r="L1803">
        <f>IF($P1803="","",INDEX(상세표[블록 18~22시],$P1803))</f>
        <v/>
      </c>
      <c r="M1803">
        <f>IF($P1803="","",INDEX(상세표[블록 22~06시],$P1803))</f>
        <v/>
      </c>
      <c r="N1803">
        <f>IF($P1803="","",INDEX(상세표[주말·휴일 포함],$P1803)&amp;"")</f>
        <v/>
      </c>
      <c r="O1803">
        <f>IF($P1803="","",INDEX(상세표[월 넘김 포함],$P1803)&amp;"")</f>
        <v/>
      </c>
      <c r="P1803" s="4">
        <f>IFERROR(MATCH(1798,상세표[연속순번],0),"")</f>
        <v/>
      </c>
    </row>
    <row r="1804">
      <c r="A1804">
        <f>IF($P1804="","",INDEX(상세표[사번],$P1804)&amp;"")</f>
        <v/>
      </c>
      <c r="B1804">
        <f>IF($P1804="","",INDEX(상세표[성명],$P1804)&amp;"")</f>
        <v/>
      </c>
      <c r="C1804">
        <f>IF($P1804="","",INDEX(상세표[부서],$P1804)&amp;"")</f>
        <v/>
      </c>
      <c r="D1804">
        <f>IF($P1804="","",INDEX(상세표[직위],$P1804)&amp;"")</f>
        <v/>
      </c>
      <c r="E1804">
        <f>IF($P1804="","",IF(ISNUMBER(INDEX(상세표[시작],$P1804)),TEXT(INDEX(상세표[시작],$P1804),"yyyy-mm-dd hh:mm"),INDEX(상세표[시작],$P1804)&amp;""))</f>
        <v/>
      </c>
      <c r="F1804">
        <f>IF($P1804="","",IF(ISNUMBER(INDEX(상세표[블록종료],$P1804)),TEXT(INDEX(상세표[블록종료],$P1804),"yyyy-mm-dd hh:mm"),INDEX(상세표[블록종료],$P1804)&amp;""))</f>
        <v/>
      </c>
      <c r="G1804">
        <f>IF($P1804="","",CHOOSE(WEEKDAY(INDEX(상세표[시작],$P1804)),"일","월","화","수","목","금","토"))</f>
        <v/>
      </c>
      <c r="H1804">
        <f>IF($P1804="","",INDEX(상세표[연속 시간],$P1804))</f>
        <v/>
      </c>
      <c r="I1804">
        <f>IF($P1804="","",INDEX(상세표[기록 수],$P1804))</f>
        <v/>
      </c>
      <c r="J1804">
        <f>IF($P1804="","",INDEX(상세표[블록 06~07시],$P1804))</f>
        <v/>
      </c>
      <c r="K1804">
        <f>IF($P1804="","",INDEX(상세표[블록 07~18시],$P1804))</f>
        <v/>
      </c>
      <c r="L1804">
        <f>IF($P1804="","",INDEX(상세표[블록 18~22시],$P1804))</f>
        <v/>
      </c>
      <c r="M1804">
        <f>IF($P1804="","",INDEX(상세표[블록 22~06시],$P1804))</f>
        <v/>
      </c>
      <c r="N1804">
        <f>IF($P1804="","",INDEX(상세표[주말·휴일 포함],$P1804)&amp;"")</f>
        <v/>
      </c>
      <c r="O1804">
        <f>IF($P1804="","",INDEX(상세표[월 넘김 포함],$P1804)&amp;"")</f>
        <v/>
      </c>
      <c r="P1804" s="4">
        <f>IFERROR(MATCH(1799,상세표[연속순번],0),"")</f>
        <v/>
      </c>
    </row>
    <row r="1805">
      <c r="A1805">
        <f>IF($P1805="","",INDEX(상세표[사번],$P1805)&amp;"")</f>
        <v/>
      </c>
      <c r="B1805">
        <f>IF($P1805="","",INDEX(상세표[성명],$P1805)&amp;"")</f>
        <v/>
      </c>
      <c r="C1805">
        <f>IF($P1805="","",INDEX(상세표[부서],$P1805)&amp;"")</f>
        <v/>
      </c>
      <c r="D1805">
        <f>IF($P1805="","",INDEX(상세표[직위],$P1805)&amp;"")</f>
        <v/>
      </c>
      <c r="E1805">
        <f>IF($P1805="","",IF(ISNUMBER(INDEX(상세표[시작],$P1805)),TEXT(INDEX(상세표[시작],$P1805),"yyyy-mm-dd hh:mm"),INDEX(상세표[시작],$P1805)&amp;""))</f>
        <v/>
      </c>
      <c r="F1805">
        <f>IF($P1805="","",IF(ISNUMBER(INDEX(상세표[블록종료],$P1805)),TEXT(INDEX(상세표[블록종료],$P1805),"yyyy-mm-dd hh:mm"),INDEX(상세표[블록종료],$P1805)&amp;""))</f>
        <v/>
      </c>
      <c r="G1805">
        <f>IF($P1805="","",CHOOSE(WEEKDAY(INDEX(상세표[시작],$P1805)),"일","월","화","수","목","금","토"))</f>
        <v/>
      </c>
      <c r="H1805">
        <f>IF($P1805="","",INDEX(상세표[연속 시간],$P1805))</f>
        <v/>
      </c>
      <c r="I1805">
        <f>IF($P1805="","",INDEX(상세표[기록 수],$P1805))</f>
        <v/>
      </c>
      <c r="J1805">
        <f>IF($P1805="","",INDEX(상세표[블록 06~07시],$P1805))</f>
        <v/>
      </c>
      <c r="K1805">
        <f>IF($P1805="","",INDEX(상세표[블록 07~18시],$P1805))</f>
        <v/>
      </c>
      <c r="L1805">
        <f>IF($P1805="","",INDEX(상세표[블록 18~22시],$P1805))</f>
        <v/>
      </c>
      <c r="M1805">
        <f>IF($P1805="","",INDEX(상세표[블록 22~06시],$P1805))</f>
        <v/>
      </c>
      <c r="N1805">
        <f>IF($P1805="","",INDEX(상세표[주말·휴일 포함],$P1805)&amp;"")</f>
        <v/>
      </c>
      <c r="O1805">
        <f>IF($P1805="","",INDEX(상세표[월 넘김 포함],$P1805)&amp;"")</f>
        <v/>
      </c>
      <c r="P1805" s="4">
        <f>IFERROR(MATCH(1800,상세표[연속순번],0),"")</f>
        <v/>
      </c>
    </row>
    <row r="1806">
      <c r="A1806">
        <f>IF($P1806="","",INDEX(상세표[사번],$P1806)&amp;"")</f>
        <v/>
      </c>
      <c r="B1806">
        <f>IF($P1806="","",INDEX(상세표[성명],$P1806)&amp;"")</f>
        <v/>
      </c>
      <c r="C1806">
        <f>IF($P1806="","",INDEX(상세표[부서],$P1806)&amp;"")</f>
        <v/>
      </c>
      <c r="D1806">
        <f>IF($P1806="","",INDEX(상세표[직위],$P1806)&amp;"")</f>
        <v/>
      </c>
      <c r="E1806">
        <f>IF($P1806="","",IF(ISNUMBER(INDEX(상세표[시작],$P1806)),TEXT(INDEX(상세표[시작],$P1806),"yyyy-mm-dd hh:mm"),INDEX(상세표[시작],$P1806)&amp;""))</f>
        <v/>
      </c>
      <c r="F1806">
        <f>IF($P1806="","",IF(ISNUMBER(INDEX(상세표[블록종료],$P1806)),TEXT(INDEX(상세표[블록종료],$P1806),"yyyy-mm-dd hh:mm"),INDEX(상세표[블록종료],$P1806)&amp;""))</f>
        <v/>
      </c>
      <c r="G1806">
        <f>IF($P1806="","",CHOOSE(WEEKDAY(INDEX(상세표[시작],$P1806)),"일","월","화","수","목","금","토"))</f>
        <v/>
      </c>
      <c r="H1806">
        <f>IF($P1806="","",INDEX(상세표[연속 시간],$P1806))</f>
        <v/>
      </c>
      <c r="I1806">
        <f>IF($P1806="","",INDEX(상세표[기록 수],$P1806))</f>
        <v/>
      </c>
      <c r="J1806">
        <f>IF($P1806="","",INDEX(상세표[블록 06~07시],$P1806))</f>
        <v/>
      </c>
      <c r="K1806">
        <f>IF($P1806="","",INDEX(상세표[블록 07~18시],$P1806))</f>
        <v/>
      </c>
      <c r="L1806">
        <f>IF($P1806="","",INDEX(상세표[블록 18~22시],$P1806))</f>
        <v/>
      </c>
      <c r="M1806">
        <f>IF($P1806="","",INDEX(상세표[블록 22~06시],$P1806))</f>
        <v/>
      </c>
      <c r="N1806">
        <f>IF($P1806="","",INDEX(상세표[주말·휴일 포함],$P1806)&amp;"")</f>
        <v/>
      </c>
      <c r="O1806">
        <f>IF($P1806="","",INDEX(상세표[월 넘김 포함],$P1806)&amp;"")</f>
        <v/>
      </c>
      <c r="P1806" s="4">
        <f>IFERROR(MATCH(1801,상세표[연속순번],0),"")</f>
        <v/>
      </c>
    </row>
    <row r="1807">
      <c r="A1807">
        <f>IF($P1807="","",INDEX(상세표[사번],$P1807)&amp;"")</f>
        <v/>
      </c>
      <c r="B1807">
        <f>IF($P1807="","",INDEX(상세표[성명],$P1807)&amp;"")</f>
        <v/>
      </c>
      <c r="C1807">
        <f>IF($P1807="","",INDEX(상세표[부서],$P1807)&amp;"")</f>
        <v/>
      </c>
      <c r="D1807">
        <f>IF($P1807="","",INDEX(상세표[직위],$P1807)&amp;"")</f>
        <v/>
      </c>
      <c r="E1807">
        <f>IF($P1807="","",IF(ISNUMBER(INDEX(상세표[시작],$P1807)),TEXT(INDEX(상세표[시작],$P1807),"yyyy-mm-dd hh:mm"),INDEX(상세표[시작],$P1807)&amp;""))</f>
        <v/>
      </c>
      <c r="F1807">
        <f>IF($P1807="","",IF(ISNUMBER(INDEX(상세표[블록종료],$P1807)),TEXT(INDEX(상세표[블록종료],$P1807),"yyyy-mm-dd hh:mm"),INDEX(상세표[블록종료],$P1807)&amp;""))</f>
        <v/>
      </c>
      <c r="G1807">
        <f>IF($P1807="","",CHOOSE(WEEKDAY(INDEX(상세표[시작],$P1807)),"일","월","화","수","목","금","토"))</f>
        <v/>
      </c>
      <c r="H1807">
        <f>IF($P1807="","",INDEX(상세표[연속 시간],$P1807))</f>
        <v/>
      </c>
      <c r="I1807">
        <f>IF($P1807="","",INDEX(상세표[기록 수],$P1807))</f>
        <v/>
      </c>
      <c r="J1807">
        <f>IF($P1807="","",INDEX(상세표[블록 06~07시],$P1807))</f>
        <v/>
      </c>
      <c r="K1807">
        <f>IF($P1807="","",INDEX(상세표[블록 07~18시],$P1807))</f>
        <v/>
      </c>
      <c r="L1807">
        <f>IF($P1807="","",INDEX(상세표[블록 18~22시],$P1807))</f>
        <v/>
      </c>
      <c r="M1807">
        <f>IF($P1807="","",INDEX(상세표[블록 22~06시],$P1807))</f>
        <v/>
      </c>
      <c r="N1807">
        <f>IF($P1807="","",INDEX(상세표[주말·휴일 포함],$P1807)&amp;"")</f>
        <v/>
      </c>
      <c r="O1807">
        <f>IF($P1807="","",INDEX(상세표[월 넘김 포함],$P1807)&amp;"")</f>
        <v/>
      </c>
      <c r="P1807" s="4">
        <f>IFERROR(MATCH(1802,상세표[연속순번],0),"")</f>
        <v/>
      </c>
    </row>
    <row r="1808">
      <c r="A1808">
        <f>IF($P1808="","",INDEX(상세표[사번],$P1808)&amp;"")</f>
        <v/>
      </c>
      <c r="B1808">
        <f>IF($P1808="","",INDEX(상세표[성명],$P1808)&amp;"")</f>
        <v/>
      </c>
      <c r="C1808">
        <f>IF($P1808="","",INDEX(상세표[부서],$P1808)&amp;"")</f>
        <v/>
      </c>
      <c r="D1808">
        <f>IF($P1808="","",INDEX(상세표[직위],$P1808)&amp;"")</f>
        <v/>
      </c>
      <c r="E1808">
        <f>IF($P1808="","",IF(ISNUMBER(INDEX(상세표[시작],$P1808)),TEXT(INDEX(상세표[시작],$P1808),"yyyy-mm-dd hh:mm"),INDEX(상세표[시작],$P1808)&amp;""))</f>
        <v/>
      </c>
      <c r="F1808">
        <f>IF($P1808="","",IF(ISNUMBER(INDEX(상세표[블록종료],$P1808)),TEXT(INDEX(상세표[블록종료],$P1808),"yyyy-mm-dd hh:mm"),INDEX(상세표[블록종료],$P1808)&amp;""))</f>
        <v/>
      </c>
      <c r="G1808">
        <f>IF($P1808="","",CHOOSE(WEEKDAY(INDEX(상세표[시작],$P1808)),"일","월","화","수","목","금","토"))</f>
        <v/>
      </c>
      <c r="H1808">
        <f>IF($P1808="","",INDEX(상세표[연속 시간],$P1808))</f>
        <v/>
      </c>
      <c r="I1808">
        <f>IF($P1808="","",INDEX(상세표[기록 수],$P1808))</f>
        <v/>
      </c>
      <c r="J1808">
        <f>IF($P1808="","",INDEX(상세표[블록 06~07시],$P1808))</f>
        <v/>
      </c>
      <c r="K1808">
        <f>IF($P1808="","",INDEX(상세표[블록 07~18시],$P1808))</f>
        <v/>
      </c>
      <c r="L1808">
        <f>IF($P1808="","",INDEX(상세표[블록 18~22시],$P1808))</f>
        <v/>
      </c>
      <c r="M1808">
        <f>IF($P1808="","",INDEX(상세표[블록 22~06시],$P1808))</f>
        <v/>
      </c>
      <c r="N1808">
        <f>IF($P1808="","",INDEX(상세표[주말·휴일 포함],$P1808)&amp;"")</f>
        <v/>
      </c>
      <c r="O1808">
        <f>IF($P1808="","",INDEX(상세표[월 넘김 포함],$P1808)&amp;"")</f>
        <v/>
      </c>
      <c r="P1808" s="4">
        <f>IFERROR(MATCH(1803,상세표[연속순번],0),"")</f>
        <v/>
      </c>
    </row>
    <row r="1809">
      <c r="A1809">
        <f>IF($P1809="","",INDEX(상세표[사번],$P1809)&amp;"")</f>
        <v/>
      </c>
      <c r="B1809">
        <f>IF($P1809="","",INDEX(상세표[성명],$P1809)&amp;"")</f>
        <v/>
      </c>
      <c r="C1809">
        <f>IF($P1809="","",INDEX(상세표[부서],$P1809)&amp;"")</f>
        <v/>
      </c>
      <c r="D1809">
        <f>IF($P1809="","",INDEX(상세표[직위],$P1809)&amp;"")</f>
        <v/>
      </c>
      <c r="E1809">
        <f>IF($P1809="","",IF(ISNUMBER(INDEX(상세표[시작],$P1809)),TEXT(INDEX(상세표[시작],$P1809),"yyyy-mm-dd hh:mm"),INDEX(상세표[시작],$P1809)&amp;""))</f>
        <v/>
      </c>
      <c r="F1809">
        <f>IF($P1809="","",IF(ISNUMBER(INDEX(상세표[블록종료],$P1809)),TEXT(INDEX(상세표[블록종료],$P1809),"yyyy-mm-dd hh:mm"),INDEX(상세표[블록종료],$P1809)&amp;""))</f>
        <v/>
      </c>
      <c r="G1809">
        <f>IF($P1809="","",CHOOSE(WEEKDAY(INDEX(상세표[시작],$P1809)),"일","월","화","수","목","금","토"))</f>
        <v/>
      </c>
      <c r="H1809">
        <f>IF($P1809="","",INDEX(상세표[연속 시간],$P1809))</f>
        <v/>
      </c>
      <c r="I1809">
        <f>IF($P1809="","",INDEX(상세표[기록 수],$P1809))</f>
        <v/>
      </c>
      <c r="J1809">
        <f>IF($P1809="","",INDEX(상세표[블록 06~07시],$P1809))</f>
        <v/>
      </c>
      <c r="K1809">
        <f>IF($P1809="","",INDEX(상세표[블록 07~18시],$P1809))</f>
        <v/>
      </c>
      <c r="L1809">
        <f>IF($P1809="","",INDEX(상세표[블록 18~22시],$P1809))</f>
        <v/>
      </c>
      <c r="M1809">
        <f>IF($P1809="","",INDEX(상세표[블록 22~06시],$P1809))</f>
        <v/>
      </c>
      <c r="N1809">
        <f>IF($P1809="","",INDEX(상세표[주말·휴일 포함],$P1809)&amp;"")</f>
        <v/>
      </c>
      <c r="O1809">
        <f>IF($P1809="","",INDEX(상세표[월 넘김 포함],$P1809)&amp;"")</f>
        <v/>
      </c>
      <c r="P1809" s="4">
        <f>IFERROR(MATCH(1804,상세표[연속순번],0),"")</f>
        <v/>
      </c>
    </row>
    <row r="1810">
      <c r="A1810">
        <f>IF($P1810="","",INDEX(상세표[사번],$P1810)&amp;"")</f>
        <v/>
      </c>
      <c r="B1810">
        <f>IF($P1810="","",INDEX(상세표[성명],$P1810)&amp;"")</f>
        <v/>
      </c>
      <c r="C1810">
        <f>IF($P1810="","",INDEX(상세표[부서],$P1810)&amp;"")</f>
        <v/>
      </c>
      <c r="D1810">
        <f>IF($P1810="","",INDEX(상세표[직위],$P1810)&amp;"")</f>
        <v/>
      </c>
      <c r="E1810">
        <f>IF($P1810="","",IF(ISNUMBER(INDEX(상세표[시작],$P1810)),TEXT(INDEX(상세표[시작],$P1810),"yyyy-mm-dd hh:mm"),INDEX(상세표[시작],$P1810)&amp;""))</f>
        <v/>
      </c>
      <c r="F1810">
        <f>IF($P1810="","",IF(ISNUMBER(INDEX(상세표[블록종료],$P1810)),TEXT(INDEX(상세표[블록종료],$P1810),"yyyy-mm-dd hh:mm"),INDEX(상세표[블록종료],$P1810)&amp;""))</f>
        <v/>
      </c>
      <c r="G1810">
        <f>IF($P1810="","",CHOOSE(WEEKDAY(INDEX(상세표[시작],$P1810)),"일","월","화","수","목","금","토"))</f>
        <v/>
      </c>
      <c r="H1810">
        <f>IF($P1810="","",INDEX(상세표[연속 시간],$P1810))</f>
        <v/>
      </c>
      <c r="I1810">
        <f>IF($P1810="","",INDEX(상세표[기록 수],$P1810))</f>
        <v/>
      </c>
      <c r="J1810">
        <f>IF($P1810="","",INDEX(상세표[블록 06~07시],$P1810))</f>
        <v/>
      </c>
      <c r="K1810">
        <f>IF($P1810="","",INDEX(상세표[블록 07~18시],$P1810))</f>
        <v/>
      </c>
      <c r="L1810">
        <f>IF($P1810="","",INDEX(상세표[블록 18~22시],$P1810))</f>
        <v/>
      </c>
      <c r="M1810">
        <f>IF($P1810="","",INDEX(상세표[블록 22~06시],$P1810))</f>
        <v/>
      </c>
      <c r="N1810">
        <f>IF($P1810="","",INDEX(상세표[주말·휴일 포함],$P1810)&amp;"")</f>
        <v/>
      </c>
      <c r="O1810">
        <f>IF($P1810="","",INDEX(상세표[월 넘김 포함],$P1810)&amp;"")</f>
        <v/>
      </c>
      <c r="P1810" s="4">
        <f>IFERROR(MATCH(1805,상세표[연속순번],0),"")</f>
        <v/>
      </c>
    </row>
    <row r="1811">
      <c r="A1811">
        <f>IF($P1811="","",INDEX(상세표[사번],$P1811)&amp;"")</f>
        <v/>
      </c>
      <c r="B1811">
        <f>IF($P1811="","",INDEX(상세표[성명],$P1811)&amp;"")</f>
        <v/>
      </c>
      <c r="C1811">
        <f>IF($P1811="","",INDEX(상세표[부서],$P1811)&amp;"")</f>
        <v/>
      </c>
      <c r="D1811">
        <f>IF($P1811="","",INDEX(상세표[직위],$P1811)&amp;"")</f>
        <v/>
      </c>
      <c r="E1811">
        <f>IF($P1811="","",IF(ISNUMBER(INDEX(상세표[시작],$P1811)),TEXT(INDEX(상세표[시작],$P1811),"yyyy-mm-dd hh:mm"),INDEX(상세표[시작],$P1811)&amp;""))</f>
        <v/>
      </c>
      <c r="F1811">
        <f>IF($P1811="","",IF(ISNUMBER(INDEX(상세표[블록종료],$P1811)),TEXT(INDEX(상세표[블록종료],$P1811),"yyyy-mm-dd hh:mm"),INDEX(상세표[블록종료],$P1811)&amp;""))</f>
        <v/>
      </c>
      <c r="G1811">
        <f>IF($P1811="","",CHOOSE(WEEKDAY(INDEX(상세표[시작],$P1811)),"일","월","화","수","목","금","토"))</f>
        <v/>
      </c>
      <c r="H1811">
        <f>IF($P1811="","",INDEX(상세표[연속 시간],$P1811))</f>
        <v/>
      </c>
      <c r="I1811">
        <f>IF($P1811="","",INDEX(상세표[기록 수],$P1811))</f>
        <v/>
      </c>
      <c r="J1811">
        <f>IF($P1811="","",INDEX(상세표[블록 06~07시],$P1811))</f>
        <v/>
      </c>
      <c r="K1811">
        <f>IF($P1811="","",INDEX(상세표[블록 07~18시],$P1811))</f>
        <v/>
      </c>
      <c r="L1811">
        <f>IF($P1811="","",INDEX(상세표[블록 18~22시],$P1811))</f>
        <v/>
      </c>
      <c r="M1811">
        <f>IF($P1811="","",INDEX(상세표[블록 22~06시],$P1811))</f>
        <v/>
      </c>
      <c r="N1811">
        <f>IF($P1811="","",INDEX(상세표[주말·휴일 포함],$P1811)&amp;"")</f>
        <v/>
      </c>
      <c r="O1811">
        <f>IF($P1811="","",INDEX(상세표[월 넘김 포함],$P1811)&amp;"")</f>
        <v/>
      </c>
      <c r="P1811" s="4">
        <f>IFERROR(MATCH(1806,상세표[연속순번],0),"")</f>
        <v/>
      </c>
    </row>
    <row r="1812">
      <c r="A1812">
        <f>IF($P1812="","",INDEX(상세표[사번],$P1812)&amp;"")</f>
        <v/>
      </c>
      <c r="B1812">
        <f>IF($P1812="","",INDEX(상세표[성명],$P1812)&amp;"")</f>
        <v/>
      </c>
      <c r="C1812">
        <f>IF($P1812="","",INDEX(상세표[부서],$P1812)&amp;"")</f>
        <v/>
      </c>
      <c r="D1812">
        <f>IF($P1812="","",INDEX(상세표[직위],$P1812)&amp;"")</f>
        <v/>
      </c>
      <c r="E1812">
        <f>IF($P1812="","",IF(ISNUMBER(INDEX(상세표[시작],$P1812)),TEXT(INDEX(상세표[시작],$P1812),"yyyy-mm-dd hh:mm"),INDEX(상세표[시작],$P1812)&amp;""))</f>
        <v/>
      </c>
      <c r="F1812">
        <f>IF($P1812="","",IF(ISNUMBER(INDEX(상세표[블록종료],$P1812)),TEXT(INDEX(상세표[블록종료],$P1812),"yyyy-mm-dd hh:mm"),INDEX(상세표[블록종료],$P1812)&amp;""))</f>
        <v/>
      </c>
      <c r="G1812">
        <f>IF($P1812="","",CHOOSE(WEEKDAY(INDEX(상세표[시작],$P1812)),"일","월","화","수","목","금","토"))</f>
        <v/>
      </c>
      <c r="H1812">
        <f>IF($P1812="","",INDEX(상세표[연속 시간],$P1812))</f>
        <v/>
      </c>
      <c r="I1812">
        <f>IF($P1812="","",INDEX(상세표[기록 수],$P1812))</f>
        <v/>
      </c>
      <c r="J1812">
        <f>IF($P1812="","",INDEX(상세표[블록 06~07시],$P1812))</f>
        <v/>
      </c>
      <c r="K1812">
        <f>IF($P1812="","",INDEX(상세표[블록 07~18시],$P1812))</f>
        <v/>
      </c>
      <c r="L1812">
        <f>IF($P1812="","",INDEX(상세표[블록 18~22시],$P1812))</f>
        <v/>
      </c>
      <c r="M1812">
        <f>IF($P1812="","",INDEX(상세표[블록 22~06시],$P1812))</f>
        <v/>
      </c>
      <c r="N1812">
        <f>IF($P1812="","",INDEX(상세표[주말·휴일 포함],$P1812)&amp;"")</f>
        <v/>
      </c>
      <c r="O1812">
        <f>IF($P1812="","",INDEX(상세표[월 넘김 포함],$P1812)&amp;"")</f>
        <v/>
      </c>
      <c r="P1812" s="4">
        <f>IFERROR(MATCH(1807,상세표[연속순번],0),"")</f>
        <v/>
      </c>
    </row>
    <row r="1813">
      <c r="A1813">
        <f>IF($P1813="","",INDEX(상세표[사번],$P1813)&amp;"")</f>
        <v/>
      </c>
      <c r="B1813">
        <f>IF($P1813="","",INDEX(상세표[성명],$P1813)&amp;"")</f>
        <v/>
      </c>
      <c r="C1813">
        <f>IF($P1813="","",INDEX(상세표[부서],$P1813)&amp;"")</f>
        <v/>
      </c>
      <c r="D1813">
        <f>IF($P1813="","",INDEX(상세표[직위],$P1813)&amp;"")</f>
        <v/>
      </c>
      <c r="E1813">
        <f>IF($P1813="","",IF(ISNUMBER(INDEX(상세표[시작],$P1813)),TEXT(INDEX(상세표[시작],$P1813),"yyyy-mm-dd hh:mm"),INDEX(상세표[시작],$P1813)&amp;""))</f>
        <v/>
      </c>
      <c r="F1813">
        <f>IF($P1813="","",IF(ISNUMBER(INDEX(상세표[블록종료],$P1813)),TEXT(INDEX(상세표[블록종료],$P1813),"yyyy-mm-dd hh:mm"),INDEX(상세표[블록종료],$P1813)&amp;""))</f>
        <v/>
      </c>
      <c r="G1813">
        <f>IF($P1813="","",CHOOSE(WEEKDAY(INDEX(상세표[시작],$P1813)),"일","월","화","수","목","금","토"))</f>
        <v/>
      </c>
      <c r="H1813">
        <f>IF($P1813="","",INDEX(상세표[연속 시간],$P1813))</f>
        <v/>
      </c>
      <c r="I1813">
        <f>IF($P1813="","",INDEX(상세표[기록 수],$P1813))</f>
        <v/>
      </c>
      <c r="J1813">
        <f>IF($P1813="","",INDEX(상세표[블록 06~07시],$P1813))</f>
        <v/>
      </c>
      <c r="K1813">
        <f>IF($P1813="","",INDEX(상세표[블록 07~18시],$P1813))</f>
        <v/>
      </c>
      <c r="L1813">
        <f>IF($P1813="","",INDEX(상세표[블록 18~22시],$P1813))</f>
        <v/>
      </c>
      <c r="M1813">
        <f>IF($P1813="","",INDEX(상세표[블록 22~06시],$P1813))</f>
        <v/>
      </c>
      <c r="N1813">
        <f>IF($P1813="","",INDEX(상세표[주말·휴일 포함],$P1813)&amp;"")</f>
        <v/>
      </c>
      <c r="O1813">
        <f>IF($P1813="","",INDEX(상세표[월 넘김 포함],$P1813)&amp;"")</f>
        <v/>
      </c>
      <c r="P1813" s="4">
        <f>IFERROR(MATCH(1808,상세표[연속순번],0),"")</f>
        <v/>
      </c>
    </row>
    <row r="1814">
      <c r="A1814">
        <f>IF($P1814="","",INDEX(상세표[사번],$P1814)&amp;"")</f>
        <v/>
      </c>
      <c r="B1814">
        <f>IF($P1814="","",INDEX(상세표[성명],$P1814)&amp;"")</f>
        <v/>
      </c>
      <c r="C1814">
        <f>IF($P1814="","",INDEX(상세표[부서],$P1814)&amp;"")</f>
        <v/>
      </c>
      <c r="D1814">
        <f>IF($P1814="","",INDEX(상세표[직위],$P1814)&amp;"")</f>
        <v/>
      </c>
      <c r="E1814">
        <f>IF($P1814="","",IF(ISNUMBER(INDEX(상세표[시작],$P1814)),TEXT(INDEX(상세표[시작],$P1814),"yyyy-mm-dd hh:mm"),INDEX(상세표[시작],$P1814)&amp;""))</f>
        <v/>
      </c>
      <c r="F1814">
        <f>IF($P1814="","",IF(ISNUMBER(INDEX(상세표[블록종료],$P1814)),TEXT(INDEX(상세표[블록종료],$P1814),"yyyy-mm-dd hh:mm"),INDEX(상세표[블록종료],$P1814)&amp;""))</f>
        <v/>
      </c>
      <c r="G1814">
        <f>IF($P1814="","",CHOOSE(WEEKDAY(INDEX(상세표[시작],$P1814)),"일","월","화","수","목","금","토"))</f>
        <v/>
      </c>
      <c r="H1814">
        <f>IF($P1814="","",INDEX(상세표[연속 시간],$P1814))</f>
        <v/>
      </c>
      <c r="I1814">
        <f>IF($P1814="","",INDEX(상세표[기록 수],$P1814))</f>
        <v/>
      </c>
      <c r="J1814">
        <f>IF($P1814="","",INDEX(상세표[블록 06~07시],$P1814))</f>
        <v/>
      </c>
      <c r="K1814">
        <f>IF($P1814="","",INDEX(상세표[블록 07~18시],$P1814))</f>
        <v/>
      </c>
      <c r="L1814">
        <f>IF($P1814="","",INDEX(상세표[블록 18~22시],$P1814))</f>
        <v/>
      </c>
      <c r="M1814">
        <f>IF($P1814="","",INDEX(상세표[블록 22~06시],$P1814))</f>
        <v/>
      </c>
      <c r="N1814">
        <f>IF($P1814="","",INDEX(상세표[주말·휴일 포함],$P1814)&amp;"")</f>
        <v/>
      </c>
      <c r="O1814">
        <f>IF($P1814="","",INDEX(상세표[월 넘김 포함],$P1814)&amp;"")</f>
        <v/>
      </c>
      <c r="P1814" s="4">
        <f>IFERROR(MATCH(1809,상세표[연속순번],0),"")</f>
        <v/>
      </c>
    </row>
    <row r="1815">
      <c r="A1815">
        <f>IF($P1815="","",INDEX(상세표[사번],$P1815)&amp;"")</f>
        <v/>
      </c>
      <c r="B1815">
        <f>IF($P1815="","",INDEX(상세표[성명],$P1815)&amp;"")</f>
        <v/>
      </c>
      <c r="C1815">
        <f>IF($P1815="","",INDEX(상세표[부서],$P1815)&amp;"")</f>
        <v/>
      </c>
      <c r="D1815">
        <f>IF($P1815="","",INDEX(상세표[직위],$P1815)&amp;"")</f>
        <v/>
      </c>
      <c r="E1815">
        <f>IF($P1815="","",IF(ISNUMBER(INDEX(상세표[시작],$P1815)),TEXT(INDEX(상세표[시작],$P1815),"yyyy-mm-dd hh:mm"),INDEX(상세표[시작],$P1815)&amp;""))</f>
        <v/>
      </c>
      <c r="F1815">
        <f>IF($P1815="","",IF(ISNUMBER(INDEX(상세표[블록종료],$P1815)),TEXT(INDEX(상세표[블록종료],$P1815),"yyyy-mm-dd hh:mm"),INDEX(상세표[블록종료],$P1815)&amp;""))</f>
        <v/>
      </c>
      <c r="G1815">
        <f>IF($P1815="","",CHOOSE(WEEKDAY(INDEX(상세표[시작],$P1815)),"일","월","화","수","목","금","토"))</f>
        <v/>
      </c>
      <c r="H1815">
        <f>IF($P1815="","",INDEX(상세표[연속 시간],$P1815))</f>
        <v/>
      </c>
      <c r="I1815">
        <f>IF($P1815="","",INDEX(상세표[기록 수],$P1815))</f>
        <v/>
      </c>
      <c r="J1815">
        <f>IF($P1815="","",INDEX(상세표[블록 06~07시],$P1815))</f>
        <v/>
      </c>
      <c r="K1815">
        <f>IF($P1815="","",INDEX(상세표[블록 07~18시],$P1815))</f>
        <v/>
      </c>
      <c r="L1815">
        <f>IF($P1815="","",INDEX(상세표[블록 18~22시],$P1815))</f>
        <v/>
      </c>
      <c r="M1815">
        <f>IF($P1815="","",INDEX(상세표[블록 22~06시],$P1815))</f>
        <v/>
      </c>
      <c r="N1815">
        <f>IF($P1815="","",INDEX(상세표[주말·휴일 포함],$P1815)&amp;"")</f>
        <v/>
      </c>
      <c r="O1815">
        <f>IF($P1815="","",INDEX(상세표[월 넘김 포함],$P1815)&amp;"")</f>
        <v/>
      </c>
      <c r="P1815" s="4">
        <f>IFERROR(MATCH(1810,상세표[연속순번],0),"")</f>
        <v/>
      </c>
    </row>
    <row r="1816">
      <c r="A1816">
        <f>IF($P1816="","",INDEX(상세표[사번],$P1816)&amp;"")</f>
        <v/>
      </c>
      <c r="B1816">
        <f>IF($P1816="","",INDEX(상세표[성명],$P1816)&amp;"")</f>
        <v/>
      </c>
      <c r="C1816">
        <f>IF($P1816="","",INDEX(상세표[부서],$P1816)&amp;"")</f>
        <v/>
      </c>
      <c r="D1816">
        <f>IF($P1816="","",INDEX(상세표[직위],$P1816)&amp;"")</f>
        <v/>
      </c>
      <c r="E1816">
        <f>IF($P1816="","",IF(ISNUMBER(INDEX(상세표[시작],$P1816)),TEXT(INDEX(상세표[시작],$P1816),"yyyy-mm-dd hh:mm"),INDEX(상세표[시작],$P1816)&amp;""))</f>
        <v/>
      </c>
      <c r="F1816">
        <f>IF($P1816="","",IF(ISNUMBER(INDEX(상세표[블록종료],$P1816)),TEXT(INDEX(상세표[블록종료],$P1816),"yyyy-mm-dd hh:mm"),INDEX(상세표[블록종료],$P1816)&amp;""))</f>
        <v/>
      </c>
      <c r="G1816">
        <f>IF($P1816="","",CHOOSE(WEEKDAY(INDEX(상세표[시작],$P1816)),"일","월","화","수","목","금","토"))</f>
        <v/>
      </c>
      <c r="H1816">
        <f>IF($P1816="","",INDEX(상세표[연속 시간],$P1816))</f>
        <v/>
      </c>
      <c r="I1816">
        <f>IF($P1816="","",INDEX(상세표[기록 수],$P1816))</f>
        <v/>
      </c>
      <c r="J1816">
        <f>IF($P1816="","",INDEX(상세표[블록 06~07시],$P1816))</f>
        <v/>
      </c>
      <c r="K1816">
        <f>IF($P1816="","",INDEX(상세표[블록 07~18시],$P1816))</f>
        <v/>
      </c>
      <c r="L1816">
        <f>IF($P1816="","",INDEX(상세표[블록 18~22시],$P1816))</f>
        <v/>
      </c>
      <c r="M1816">
        <f>IF($P1816="","",INDEX(상세표[블록 22~06시],$P1816))</f>
        <v/>
      </c>
      <c r="N1816">
        <f>IF($P1816="","",INDEX(상세표[주말·휴일 포함],$P1816)&amp;"")</f>
        <v/>
      </c>
      <c r="O1816">
        <f>IF($P1816="","",INDEX(상세표[월 넘김 포함],$P1816)&amp;"")</f>
        <v/>
      </c>
      <c r="P1816" s="4">
        <f>IFERROR(MATCH(1811,상세표[연속순번],0),"")</f>
        <v/>
      </c>
    </row>
    <row r="1817">
      <c r="A1817">
        <f>IF($P1817="","",INDEX(상세표[사번],$P1817)&amp;"")</f>
        <v/>
      </c>
      <c r="B1817">
        <f>IF($P1817="","",INDEX(상세표[성명],$P1817)&amp;"")</f>
        <v/>
      </c>
      <c r="C1817">
        <f>IF($P1817="","",INDEX(상세표[부서],$P1817)&amp;"")</f>
        <v/>
      </c>
      <c r="D1817">
        <f>IF($P1817="","",INDEX(상세표[직위],$P1817)&amp;"")</f>
        <v/>
      </c>
      <c r="E1817">
        <f>IF($P1817="","",IF(ISNUMBER(INDEX(상세표[시작],$P1817)),TEXT(INDEX(상세표[시작],$P1817),"yyyy-mm-dd hh:mm"),INDEX(상세표[시작],$P1817)&amp;""))</f>
        <v/>
      </c>
      <c r="F1817">
        <f>IF($P1817="","",IF(ISNUMBER(INDEX(상세표[블록종료],$P1817)),TEXT(INDEX(상세표[블록종료],$P1817),"yyyy-mm-dd hh:mm"),INDEX(상세표[블록종료],$P1817)&amp;""))</f>
        <v/>
      </c>
      <c r="G1817">
        <f>IF($P1817="","",CHOOSE(WEEKDAY(INDEX(상세표[시작],$P1817)),"일","월","화","수","목","금","토"))</f>
        <v/>
      </c>
      <c r="H1817">
        <f>IF($P1817="","",INDEX(상세표[연속 시간],$P1817))</f>
        <v/>
      </c>
      <c r="I1817">
        <f>IF($P1817="","",INDEX(상세표[기록 수],$P1817))</f>
        <v/>
      </c>
      <c r="J1817">
        <f>IF($P1817="","",INDEX(상세표[블록 06~07시],$P1817))</f>
        <v/>
      </c>
      <c r="K1817">
        <f>IF($P1817="","",INDEX(상세표[블록 07~18시],$P1817))</f>
        <v/>
      </c>
      <c r="L1817">
        <f>IF($P1817="","",INDEX(상세표[블록 18~22시],$P1817))</f>
        <v/>
      </c>
      <c r="M1817">
        <f>IF($P1817="","",INDEX(상세표[블록 22~06시],$P1817))</f>
        <v/>
      </c>
      <c r="N1817">
        <f>IF($P1817="","",INDEX(상세표[주말·휴일 포함],$P1817)&amp;"")</f>
        <v/>
      </c>
      <c r="O1817">
        <f>IF($P1817="","",INDEX(상세표[월 넘김 포함],$P1817)&amp;"")</f>
        <v/>
      </c>
      <c r="P1817" s="4">
        <f>IFERROR(MATCH(1812,상세표[연속순번],0),"")</f>
        <v/>
      </c>
    </row>
    <row r="1818">
      <c r="A1818">
        <f>IF($P1818="","",INDEX(상세표[사번],$P1818)&amp;"")</f>
        <v/>
      </c>
      <c r="B1818">
        <f>IF($P1818="","",INDEX(상세표[성명],$P1818)&amp;"")</f>
        <v/>
      </c>
      <c r="C1818">
        <f>IF($P1818="","",INDEX(상세표[부서],$P1818)&amp;"")</f>
        <v/>
      </c>
      <c r="D1818">
        <f>IF($P1818="","",INDEX(상세표[직위],$P1818)&amp;"")</f>
        <v/>
      </c>
      <c r="E1818">
        <f>IF($P1818="","",IF(ISNUMBER(INDEX(상세표[시작],$P1818)),TEXT(INDEX(상세표[시작],$P1818),"yyyy-mm-dd hh:mm"),INDEX(상세표[시작],$P1818)&amp;""))</f>
        <v/>
      </c>
      <c r="F1818">
        <f>IF($P1818="","",IF(ISNUMBER(INDEX(상세표[블록종료],$P1818)),TEXT(INDEX(상세표[블록종료],$P1818),"yyyy-mm-dd hh:mm"),INDEX(상세표[블록종료],$P1818)&amp;""))</f>
        <v/>
      </c>
      <c r="G1818">
        <f>IF($P1818="","",CHOOSE(WEEKDAY(INDEX(상세표[시작],$P1818)),"일","월","화","수","목","금","토"))</f>
        <v/>
      </c>
      <c r="H1818">
        <f>IF($P1818="","",INDEX(상세표[연속 시간],$P1818))</f>
        <v/>
      </c>
      <c r="I1818">
        <f>IF($P1818="","",INDEX(상세표[기록 수],$P1818))</f>
        <v/>
      </c>
      <c r="J1818">
        <f>IF($P1818="","",INDEX(상세표[블록 06~07시],$P1818))</f>
        <v/>
      </c>
      <c r="K1818">
        <f>IF($P1818="","",INDEX(상세표[블록 07~18시],$P1818))</f>
        <v/>
      </c>
      <c r="L1818">
        <f>IF($P1818="","",INDEX(상세표[블록 18~22시],$P1818))</f>
        <v/>
      </c>
      <c r="M1818">
        <f>IF($P1818="","",INDEX(상세표[블록 22~06시],$P1818))</f>
        <v/>
      </c>
      <c r="N1818">
        <f>IF($P1818="","",INDEX(상세표[주말·휴일 포함],$P1818)&amp;"")</f>
        <v/>
      </c>
      <c r="O1818">
        <f>IF($P1818="","",INDEX(상세표[월 넘김 포함],$P1818)&amp;"")</f>
        <v/>
      </c>
      <c r="P1818" s="4">
        <f>IFERROR(MATCH(1813,상세표[연속순번],0),"")</f>
        <v/>
      </c>
    </row>
    <row r="1819">
      <c r="A1819">
        <f>IF($P1819="","",INDEX(상세표[사번],$P1819)&amp;"")</f>
        <v/>
      </c>
      <c r="B1819">
        <f>IF($P1819="","",INDEX(상세표[성명],$P1819)&amp;"")</f>
        <v/>
      </c>
      <c r="C1819">
        <f>IF($P1819="","",INDEX(상세표[부서],$P1819)&amp;"")</f>
        <v/>
      </c>
      <c r="D1819">
        <f>IF($P1819="","",INDEX(상세표[직위],$P1819)&amp;"")</f>
        <v/>
      </c>
      <c r="E1819">
        <f>IF($P1819="","",IF(ISNUMBER(INDEX(상세표[시작],$P1819)),TEXT(INDEX(상세표[시작],$P1819),"yyyy-mm-dd hh:mm"),INDEX(상세표[시작],$P1819)&amp;""))</f>
        <v/>
      </c>
      <c r="F1819">
        <f>IF($P1819="","",IF(ISNUMBER(INDEX(상세표[블록종료],$P1819)),TEXT(INDEX(상세표[블록종료],$P1819),"yyyy-mm-dd hh:mm"),INDEX(상세표[블록종료],$P1819)&amp;""))</f>
        <v/>
      </c>
      <c r="G1819">
        <f>IF($P1819="","",CHOOSE(WEEKDAY(INDEX(상세표[시작],$P1819)),"일","월","화","수","목","금","토"))</f>
        <v/>
      </c>
      <c r="H1819">
        <f>IF($P1819="","",INDEX(상세표[연속 시간],$P1819))</f>
        <v/>
      </c>
      <c r="I1819">
        <f>IF($P1819="","",INDEX(상세표[기록 수],$P1819))</f>
        <v/>
      </c>
      <c r="J1819">
        <f>IF($P1819="","",INDEX(상세표[블록 06~07시],$P1819))</f>
        <v/>
      </c>
      <c r="K1819">
        <f>IF($P1819="","",INDEX(상세표[블록 07~18시],$P1819))</f>
        <v/>
      </c>
      <c r="L1819">
        <f>IF($P1819="","",INDEX(상세표[블록 18~22시],$P1819))</f>
        <v/>
      </c>
      <c r="M1819">
        <f>IF($P1819="","",INDEX(상세표[블록 22~06시],$P1819))</f>
        <v/>
      </c>
      <c r="N1819">
        <f>IF($P1819="","",INDEX(상세표[주말·휴일 포함],$P1819)&amp;"")</f>
        <v/>
      </c>
      <c r="O1819">
        <f>IF($P1819="","",INDEX(상세표[월 넘김 포함],$P1819)&amp;"")</f>
        <v/>
      </c>
      <c r="P1819" s="4">
        <f>IFERROR(MATCH(1814,상세표[연속순번],0),"")</f>
        <v/>
      </c>
    </row>
    <row r="1820">
      <c r="A1820">
        <f>IF($P1820="","",INDEX(상세표[사번],$P1820)&amp;"")</f>
        <v/>
      </c>
      <c r="B1820">
        <f>IF($P1820="","",INDEX(상세표[성명],$P1820)&amp;"")</f>
        <v/>
      </c>
      <c r="C1820">
        <f>IF($P1820="","",INDEX(상세표[부서],$P1820)&amp;"")</f>
        <v/>
      </c>
      <c r="D1820">
        <f>IF($P1820="","",INDEX(상세표[직위],$P1820)&amp;"")</f>
        <v/>
      </c>
      <c r="E1820">
        <f>IF($P1820="","",IF(ISNUMBER(INDEX(상세표[시작],$P1820)),TEXT(INDEX(상세표[시작],$P1820),"yyyy-mm-dd hh:mm"),INDEX(상세표[시작],$P1820)&amp;""))</f>
        <v/>
      </c>
      <c r="F1820">
        <f>IF($P1820="","",IF(ISNUMBER(INDEX(상세표[블록종료],$P1820)),TEXT(INDEX(상세표[블록종료],$P1820),"yyyy-mm-dd hh:mm"),INDEX(상세표[블록종료],$P1820)&amp;""))</f>
        <v/>
      </c>
      <c r="G1820">
        <f>IF($P1820="","",CHOOSE(WEEKDAY(INDEX(상세표[시작],$P1820)),"일","월","화","수","목","금","토"))</f>
        <v/>
      </c>
      <c r="H1820">
        <f>IF($P1820="","",INDEX(상세표[연속 시간],$P1820))</f>
        <v/>
      </c>
      <c r="I1820">
        <f>IF($P1820="","",INDEX(상세표[기록 수],$P1820))</f>
        <v/>
      </c>
      <c r="J1820">
        <f>IF($P1820="","",INDEX(상세표[블록 06~07시],$P1820))</f>
        <v/>
      </c>
      <c r="K1820">
        <f>IF($P1820="","",INDEX(상세표[블록 07~18시],$P1820))</f>
        <v/>
      </c>
      <c r="L1820">
        <f>IF($P1820="","",INDEX(상세표[블록 18~22시],$P1820))</f>
        <v/>
      </c>
      <c r="M1820">
        <f>IF($P1820="","",INDEX(상세표[블록 22~06시],$P1820))</f>
        <v/>
      </c>
      <c r="N1820">
        <f>IF($P1820="","",INDEX(상세표[주말·휴일 포함],$P1820)&amp;"")</f>
        <v/>
      </c>
      <c r="O1820">
        <f>IF($P1820="","",INDEX(상세표[월 넘김 포함],$P1820)&amp;"")</f>
        <v/>
      </c>
      <c r="P1820" s="4">
        <f>IFERROR(MATCH(1815,상세표[연속순번],0),"")</f>
        <v/>
      </c>
    </row>
    <row r="1821">
      <c r="A1821">
        <f>IF($P1821="","",INDEX(상세표[사번],$P1821)&amp;"")</f>
        <v/>
      </c>
      <c r="B1821">
        <f>IF($P1821="","",INDEX(상세표[성명],$P1821)&amp;"")</f>
        <v/>
      </c>
      <c r="C1821">
        <f>IF($P1821="","",INDEX(상세표[부서],$P1821)&amp;"")</f>
        <v/>
      </c>
      <c r="D1821">
        <f>IF($P1821="","",INDEX(상세표[직위],$P1821)&amp;"")</f>
        <v/>
      </c>
      <c r="E1821">
        <f>IF($P1821="","",IF(ISNUMBER(INDEX(상세표[시작],$P1821)),TEXT(INDEX(상세표[시작],$P1821),"yyyy-mm-dd hh:mm"),INDEX(상세표[시작],$P1821)&amp;""))</f>
        <v/>
      </c>
      <c r="F1821">
        <f>IF($P1821="","",IF(ISNUMBER(INDEX(상세표[블록종료],$P1821)),TEXT(INDEX(상세표[블록종료],$P1821),"yyyy-mm-dd hh:mm"),INDEX(상세표[블록종료],$P1821)&amp;""))</f>
        <v/>
      </c>
      <c r="G1821">
        <f>IF($P1821="","",CHOOSE(WEEKDAY(INDEX(상세표[시작],$P1821)),"일","월","화","수","목","금","토"))</f>
        <v/>
      </c>
      <c r="H1821">
        <f>IF($P1821="","",INDEX(상세표[연속 시간],$P1821))</f>
        <v/>
      </c>
      <c r="I1821">
        <f>IF($P1821="","",INDEX(상세표[기록 수],$P1821))</f>
        <v/>
      </c>
      <c r="J1821">
        <f>IF($P1821="","",INDEX(상세표[블록 06~07시],$P1821))</f>
        <v/>
      </c>
      <c r="K1821">
        <f>IF($P1821="","",INDEX(상세표[블록 07~18시],$P1821))</f>
        <v/>
      </c>
      <c r="L1821">
        <f>IF($P1821="","",INDEX(상세표[블록 18~22시],$P1821))</f>
        <v/>
      </c>
      <c r="M1821">
        <f>IF($P1821="","",INDEX(상세표[블록 22~06시],$P1821))</f>
        <v/>
      </c>
      <c r="N1821">
        <f>IF($P1821="","",INDEX(상세표[주말·휴일 포함],$P1821)&amp;"")</f>
        <v/>
      </c>
      <c r="O1821">
        <f>IF($P1821="","",INDEX(상세표[월 넘김 포함],$P1821)&amp;"")</f>
        <v/>
      </c>
      <c r="P1821" s="4">
        <f>IFERROR(MATCH(1816,상세표[연속순번],0),"")</f>
        <v/>
      </c>
    </row>
    <row r="1822">
      <c r="A1822">
        <f>IF($P1822="","",INDEX(상세표[사번],$P1822)&amp;"")</f>
        <v/>
      </c>
      <c r="B1822">
        <f>IF($P1822="","",INDEX(상세표[성명],$P1822)&amp;"")</f>
        <v/>
      </c>
      <c r="C1822">
        <f>IF($P1822="","",INDEX(상세표[부서],$P1822)&amp;"")</f>
        <v/>
      </c>
      <c r="D1822">
        <f>IF($P1822="","",INDEX(상세표[직위],$P1822)&amp;"")</f>
        <v/>
      </c>
      <c r="E1822">
        <f>IF($P1822="","",IF(ISNUMBER(INDEX(상세표[시작],$P1822)),TEXT(INDEX(상세표[시작],$P1822),"yyyy-mm-dd hh:mm"),INDEX(상세표[시작],$P1822)&amp;""))</f>
        <v/>
      </c>
      <c r="F1822">
        <f>IF($P1822="","",IF(ISNUMBER(INDEX(상세표[블록종료],$P1822)),TEXT(INDEX(상세표[블록종료],$P1822),"yyyy-mm-dd hh:mm"),INDEX(상세표[블록종료],$P1822)&amp;""))</f>
        <v/>
      </c>
      <c r="G1822">
        <f>IF($P1822="","",CHOOSE(WEEKDAY(INDEX(상세표[시작],$P1822)),"일","월","화","수","목","금","토"))</f>
        <v/>
      </c>
      <c r="H1822">
        <f>IF($P1822="","",INDEX(상세표[연속 시간],$P1822))</f>
        <v/>
      </c>
      <c r="I1822">
        <f>IF($P1822="","",INDEX(상세표[기록 수],$P1822))</f>
        <v/>
      </c>
      <c r="J1822">
        <f>IF($P1822="","",INDEX(상세표[블록 06~07시],$P1822))</f>
        <v/>
      </c>
      <c r="K1822">
        <f>IF($P1822="","",INDEX(상세표[블록 07~18시],$P1822))</f>
        <v/>
      </c>
      <c r="L1822">
        <f>IF($P1822="","",INDEX(상세표[블록 18~22시],$P1822))</f>
        <v/>
      </c>
      <c r="M1822">
        <f>IF($P1822="","",INDEX(상세표[블록 22~06시],$P1822))</f>
        <v/>
      </c>
      <c r="N1822">
        <f>IF($P1822="","",INDEX(상세표[주말·휴일 포함],$P1822)&amp;"")</f>
        <v/>
      </c>
      <c r="O1822">
        <f>IF($P1822="","",INDEX(상세표[월 넘김 포함],$P1822)&amp;"")</f>
        <v/>
      </c>
      <c r="P1822" s="4">
        <f>IFERROR(MATCH(1817,상세표[연속순번],0),"")</f>
        <v/>
      </c>
    </row>
    <row r="1823">
      <c r="A1823">
        <f>IF($P1823="","",INDEX(상세표[사번],$P1823)&amp;"")</f>
        <v/>
      </c>
      <c r="B1823">
        <f>IF($P1823="","",INDEX(상세표[성명],$P1823)&amp;"")</f>
        <v/>
      </c>
      <c r="C1823">
        <f>IF($P1823="","",INDEX(상세표[부서],$P1823)&amp;"")</f>
        <v/>
      </c>
      <c r="D1823">
        <f>IF($P1823="","",INDEX(상세표[직위],$P1823)&amp;"")</f>
        <v/>
      </c>
      <c r="E1823">
        <f>IF($P1823="","",IF(ISNUMBER(INDEX(상세표[시작],$P1823)),TEXT(INDEX(상세표[시작],$P1823),"yyyy-mm-dd hh:mm"),INDEX(상세표[시작],$P1823)&amp;""))</f>
        <v/>
      </c>
      <c r="F1823">
        <f>IF($P1823="","",IF(ISNUMBER(INDEX(상세표[블록종료],$P1823)),TEXT(INDEX(상세표[블록종료],$P1823),"yyyy-mm-dd hh:mm"),INDEX(상세표[블록종료],$P1823)&amp;""))</f>
        <v/>
      </c>
      <c r="G1823">
        <f>IF($P1823="","",CHOOSE(WEEKDAY(INDEX(상세표[시작],$P1823)),"일","월","화","수","목","금","토"))</f>
        <v/>
      </c>
      <c r="H1823">
        <f>IF($P1823="","",INDEX(상세표[연속 시간],$P1823))</f>
        <v/>
      </c>
      <c r="I1823">
        <f>IF($P1823="","",INDEX(상세표[기록 수],$P1823))</f>
        <v/>
      </c>
      <c r="J1823">
        <f>IF($P1823="","",INDEX(상세표[블록 06~07시],$P1823))</f>
        <v/>
      </c>
      <c r="K1823">
        <f>IF($P1823="","",INDEX(상세표[블록 07~18시],$P1823))</f>
        <v/>
      </c>
      <c r="L1823">
        <f>IF($P1823="","",INDEX(상세표[블록 18~22시],$P1823))</f>
        <v/>
      </c>
      <c r="M1823">
        <f>IF($P1823="","",INDEX(상세표[블록 22~06시],$P1823))</f>
        <v/>
      </c>
      <c r="N1823">
        <f>IF($P1823="","",INDEX(상세표[주말·휴일 포함],$P1823)&amp;"")</f>
        <v/>
      </c>
      <c r="O1823">
        <f>IF($P1823="","",INDEX(상세표[월 넘김 포함],$P1823)&amp;"")</f>
        <v/>
      </c>
      <c r="P1823" s="4">
        <f>IFERROR(MATCH(1818,상세표[연속순번],0),"")</f>
        <v/>
      </c>
    </row>
    <row r="1824">
      <c r="A1824">
        <f>IF($P1824="","",INDEX(상세표[사번],$P1824)&amp;"")</f>
        <v/>
      </c>
      <c r="B1824">
        <f>IF($P1824="","",INDEX(상세표[성명],$P1824)&amp;"")</f>
        <v/>
      </c>
      <c r="C1824">
        <f>IF($P1824="","",INDEX(상세표[부서],$P1824)&amp;"")</f>
        <v/>
      </c>
      <c r="D1824">
        <f>IF($P1824="","",INDEX(상세표[직위],$P1824)&amp;"")</f>
        <v/>
      </c>
      <c r="E1824">
        <f>IF($P1824="","",IF(ISNUMBER(INDEX(상세표[시작],$P1824)),TEXT(INDEX(상세표[시작],$P1824),"yyyy-mm-dd hh:mm"),INDEX(상세표[시작],$P1824)&amp;""))</f>
        <v/>
      </c>
      <c r="F1824">
        <f>IF($P1824="","",IF(ISNUMBER(INDEX(상세표[블록종료],$P1824)),TEXT(INDEX(상세표[블록종료],$P1824),"yyyy-mm-dd hh:mm"),INDEX(상세표[블록종료],$P1824)&amp;""))</f>
        <v/>
      </c>
      <c r="G1824">
        <f>IF($P1824="","",CHOOSE(WEEKDAY(INDEX(상세표[시작],$P1824)),"일","월","화","수","목","금","토"))</f>
        <v/>
      </c>
      <c r="H1824">
        <f>IF($P1824="","",INDEX(상세표[연속 시간],$P1824))</f>
        <v/>
      </c>
      <c r="I1824">
        <f>IF($P1824="","",INDEX(상세표[기록 수],$P1824))</f>
        <v/>
      </c>
      <c r="J1824">
        <f>IF($P1824="","",INDEX(상세표[블록 06~07시],$P1824))</f>
        <v/>
      </c>
      <c r="K1824">
        <f>IF($P1824="","",INDEX(상세표[블록 07~18시],$P1824))</f>
        <v/>
      </c>
      <c r="L1824">
        <f>IF($P1824="","",INDEX(상세표[블록 18~22시],$P1824))</f>
        <v/>
      </c>
      <c r="M1824">
        <f>IF($P1824="","",INDEX(상세표[블록 22~06시],$P1824))</f>
        <v/>
      </c>
      <c r="N1824">
        <f>IF($P1824="","",INDEX(상세표[주말·휴일 포함],$P1824)&amp;"")</f>
        <v/>
      </c>
      <c r="O1824">
        <f>IF($P1824="","",INDEX(상세표[월 넘김 포함],$P1824)&amp;"")</f>
        <v/>
      </c>
      <c r="P1824" s="4">
        <f>IFERROR(MATCH(1819,상세표[연속순번],0),"")</f>
        <v/>
      </c>
    </row>
    <row r="1825">
      <c r="A1825">
        <f>IF($P1825="","",INDEX(상세표[사번],$P1825)&amp;"")</f>
        <v/>
      </c>
      <c r="B1825">
        <f>IF($P1825="","",INDEX(상세표[성명],$P1825)&amp;"")</f>
        <v/>
      </c>
      <c r="C1825">
        <f>IF($P1825="","",INDEX(상세표[부서],$P1825)&amp;"")</f>
        <v/>
      </c>
      <c r="D1825">
        <f>IF($P1825="","",INDEX(상세표[직위],$P1825)&amp;"")</f>
        <v/>
      </c>
      <c r="E1825">
        <f>IF($P1825="","",IF(ISNUMBER(INDEX(상세표[시작],$P1825)),TEXT(INDEX(상세표[시작],$P1825),"yyyy-mm-dd hh:mm"),INDEX(상세표[시작],$P1825)&amp;""))</f>
        <v/>
      </c>
      <c r="F1825">
        <f>IF($P1825="","",IF(ISNUMBER(INDEX(상세표[블록종료],$P1825)),TEXT(INDEX(상세표[블록종료],$P1825),"yyyy-mm-dd hh:mm"),INDEX(상세표[블록종료],$P1825)&amp;""))</f>
        <v/>
      </c>
      <c r="G1825">
        <f>IF($P1825="","",CHOOSE(WEEKDAY(INDEX(상세표[시작],$P1825)),"일","월","화","수","목","금","토"))</f>
        <v/>
      </c>
      <c r="H1825">
        <f>IF($P1825="","",INDEX(상세표[연속 시간],$P1825))</f>
        <v/>
      </c>
      <c r="I1825">
        <f>IF($P1825="","",INDEX(상세표[기록 수],$P1825))</f>
        <v/>
      </c>
      <c r="J1825">
        <f>IF($P1825="","",INDEX(상세표[블록 06~07시],$P1825))</f>
        <v/>
      </c>
      <c r="K1825">
        <f>IF($P1825="","",INDEX(상세표[블록 07~18시],$P1825))</f>
        <v/>
      </c>
      <c r="L1825">
        <f>IF($P1825="","",INDEX(상세표[블록 18~22시],$P1825))</f>
        <v/>
      </c>
      <c r="M1825">
        <f>IF($P1825="","",INDEX(상세표[블록 22~06시],$P1825))</f>
        <v/>
      </c>
      <c r="N1825">
        <f>IF($P1825="","",INDEX(상세표[주말·휴일 포함],$P1825)&amp;"")</f>
        <v/>
      </c>
      <c r="O1825">
        <f>IF($P1825="","",INDEX(상세표[월 넘김 포함],$P1825)&amp;"")</f>
        <v/>
      </c>
      <c r="P1825" s="4">
        <f>IFERROR(MATCH(1820,상세표[연속순번],0),"")</f>
        <v/>
      </c>
    </row>
    <row r="1826">
      <c r="A1826">
        <f>IF($P1826="","",INDEX(상세표[사번],$P1826)&amp;"")</f>
        <v/>
      </c>
      <c r="B1826">
        <f>IF($P1826="","",INDEX(상세표[성명],$P1826)&amp;"")</f>
        <v/>
      </c>
      <c r="C1826">
        <f>IF($P1826="","",INDEX(상세표[부서],$P1826)&amp;"")</f>
        <v/>
      </c>
      <c r="D1826">
        <f>IF($P1826="","",INDEX(상세표[직위],$P1826)&amp;"")</f>
        <v/>
      </c>
      <c r="E1826">
        <f>IF($P1826="","",IF(ISNUMBER(INDEX(상세표[시작],$P1826)),TEXT(INDEX(상세표[시작],$P1826),"yyyy-mm-dd hh:mm"),INDEX(상세표[시작],$P1826)&amp;""))</f>
        <v/>
      </c>
      <c r="F1826">
        <f>IF($P1826="","",IF(ISNUMBER(INDEX(상세표[블록종료],$P1826)),TEXT(INDEX(상세표[블록종료],$P1826),"yyyy-mm-dd hh:mm"),INDEX(상세표[블록종료],$P1826)&amp;""))</f>
        <v/>
      </c>
      <c r="G1826">
        <f>IF($P1826="","",CHOOSE(WEEKDAY(INDEX(상세표[시작],$P1826)),"일","월","화","수","목","금","토"))</f>
        <v/>
      </c>
      <c r="H1826">
        <f>IF($P1826="","",INDEX(상세표[연속 시간],$P1826))</f>
        <v/>
      </c>
      <c r="I1826">
        <f>IF($P1826="","",INDEX(상세표[기록 수],$P1826))</f>
        <v/>
      </c>
      <c r="J1826">
        <f>IF($P1826="","",INDEX(상세표[블록 06~07시],$P1826))</f>
        <v/>
      </c>
      <c r="K1826">
        <f>IF($P1826="","",INDEX(상세표[블록 07~18시],$P1826))</f>
        <v/>
      </c>
      <c r="L1826">
        <f>IF($P1826="","",INDEX(상세표[블록 18~22시],$P1826))</f>
        <v/>
      </c>
      <c r="M1826">
        <f>IF($P1826="","",INDEX(상세표[블록 22~06시],$P1826))</f>
        <v/>
      </c>
      <c r="N1826">
        <f>IF($P1826="","",INDEX(상세표[주말·휴일 포함],$P1826)&amp;"")</f>
        <v/>
      </c>
      <c r="O1826">
        <f>IF($P1826="","",INDEX(상세표[월 넘김 포함],$P1826)&amp;"")</f>
        <v/>
      </c>
      <c r="P1826" s="4">
        <f>IFERROR(MATCH(1821,상세표[연속순번],0),"")</f>
        <v/>
      </c>
    </row>
    <row r="1827">
      <c r="A1827">
        <f>IF($P1827="","",INDEX(상세표[사번],$P1827)&amp;"")</f>
        <v/>
      </c>
      <c r="B1827">
        <f>IF($P1827="","",INDEX(상세표[성명],$P1827)&amp;"")</f>
        <v/>
      </c>
      <c r="C1827">
        <f>IF($P1827="","",INDEX(상세표[부서],$P1827)&amp;"")</f>
        <v/>
      </c>
      <c r="D1827">
        <f>IF($P1827="","",INDEX(상세표[직위],$P1827)&amp;"")</f>
        <v/>
      </c>
      <c r="E1827">
        <f>IF($P1827="","",IF(ISNUMBER(INDEX(상세표[시작],$P1827)),TEXT(INDEX(상세표[시작],$P1827),"yyyy-mm-dd hh:mm"),INDEX(상세표[시작],$P1827)&amp;""))</f>
        <v/>
      </c>
      <c r="F1827">
        <f>IF($P1827="","",IF(ISNUMBER(INDEX(상세표[블록종료],$P1827)),TEXT(INDEX(상세표[블록종료],$P1827),"yyyy-mm-dd hh:mm"),INDEX(상세표[블록종료],$P1827)&amp;""))</f>
        <v/>
      </c>
      <c r="G1827">
        <f>IF($P1827="","",CHOOSE(WEEKDAY(INDEX(상세표[시작],$P1827)),"일","월","화","수","목","금","토"))</f>
        <v/>
      </c>
      <c r="H1827">
        <f>IF($P1827="","",INDEX(상세표[연속 시간],$P1827))</f>
        <v/>
      </c>
      <c r="I1827">
        <f>IF($P1827="","",INDEX(상세표[기록 수],$P1827))</f>
        <v/>
      </c>
      <c r="J1827">
        <f>IF($P1827="","",INDEX(상세표[블록 06~07시],$P1827))</f>
        <v/>
      </c>
      <c r="K1827">
        <f>IF($P1827="","",INDEX(상세표[블록 07~18시],$P1827))</f>
        <v/>
      </c>
      <c r="L1827">
        <f>IF($P1827="","",INDEX(상세표[블록 18~22시],$P1827))</f>
        <v/>
      </c>
      <c r="M1827">
        <f>IF($P1827="","",INDEX(상세표[블록 22~06시],$P1827))</f>
        <v/>
      </c>
      <c r="N1827">
        <f>IF($P1827="","",INDEX(상세표[주말·휴일 포함],$P1827)&amp;"")</f>
        <v/>
      </c>
      <c r="O1827">
        <f>IF($P1827="","",INDEX(상세표[월 넘김 포함],$P1827)&amp;"")</f>
        <v/>
      </c>
      <c r="P1827" s="4">
        <f>IFERROR(MATCH(1822,상세표[연속순번],0),"")</f>
        <v/>
      </c>
    </row>
    <row r="1828">
      <c r="A1828">
        <f>IF($P1828="","",INDEX(상세표[사번],$P1828)&amp;"")</f>
        <v/>
      </c>
      <c r="B1828">
        <f>IF($P1828="","",INDEX(상세표[성명],$P1828)&amp;"")</f>
        <v/>
      </c>
      <c r="C1828">
        <f>IF($P1828="","",INDEX(상세표[부서],$P1828)&amp;"")</f>
        <v/>
      </c>
      <c r="D1828">
        <f>IF($P1828="","",INDEX(상세표[직위],$P1828)&amp;"")</f>
        <v/>
      </c>
      <c r="E1828">
        <f>IF($P1828="","",IF(ISNUMBER(INDEX(상세표[시작],$P1828)),TEXT(INDEX(상세표[시작],$P1828),"yyyy-mm-dd hh:mm"),INDEX(상세표[시작],$P1828)&amp;""))</f>
        <v/>
      </c>
      <c r="F1828">
        <f>IF($P1828="","",IF(ISNUMBER(INDEX(상세표[블록종료],$P1828)),TEXT(INDEX(상세표[블록종료],$P1828),"yyyy-mm-dd hh:mm"),INDEX(상세표[블록종료],$P1828)&amp;""))</f>
        <v/>
      </c>
      <c r="G1828">
        <f>IF($P1828="","",CHOOSE(WEEKDAY(INDEX(상세표[시작],$P1828)),"일","월","화","수","목","금","토"))</f>
        <v/>
      </c>
      <c r="H1828">
        <f>IF($P1828="","",INDEX(상세표[연속 시간],$P1828))</f>
        <v/>
      </c>
      <c r="I1828">
        <f>IF($P1828="","",INDEX(상세표[기록 수],$P1828))</f>
        <v/>
      </c>
      <c r="J1828">
        <f>IF($P1828="","",INDEX(상세표[블록 06~07시],$P1828))</f>
        <v/>
      </c>
      <c r="K1828">
        <f>IF($P1828="","",INDEX(상세표[블록 07~18시],$P1828))</f>
        <v/>
      </c>
      <c r="L1828">
        <f>IF($P1828="","",INDEX(상세표[블록 18~22시],$P1828))</f>
        <v/>
      </c>
      <c r="M1828">
        <f>IF($P1828="","",INDEX(상세표[블록 22~06시],$P1828))</f>
        <v/>
      </c>
      <c r="N1828">
        <f>IF($P1828="","",INDEX(상세표[주말·휴일 포함],$P1828)&amp;"")</f>
        <v/>
      </c>
      <c r="O1828">
        <f>IF($P1828="","",INDEX(상세표[월 넘김 포함],$P1828)&amp;"")</f>
        <v/>
      </c>
      <c r="P1828" s="4">
        <f>IFERROR(MATCH(1823,상세표[연속순번],0),"")</f>
        <v/>
      </c>
    </row>
    <row r="1829">
      <c r="A1829">
        <f>IF($P1829="","",INDEX(상세표[사번],$P1829)&amp;"")</f>
        <v/>
      </c>
      <c r="B1829">
        <f>IF($P1829="","",INDEX(상세표[성명],$P1829)&amp;"")</f>
        <v/>
      </c>
      <c r="C1829">
        <f>IF($P1829="","",INDEX(상세표[부서],$P1829)&amp;"")</f>
        <v/>
      </c>
      <c r="D1829">
        <f>IF($P1829="","",INDEX(상세표[직위],$P1829)&amp;"")</f>
        <v/>
      </c>
      <c r="E1829">
        <f>IF($P1829="","",IF(ISNUMBER(INDEX(상세표[시작],$P1829)),TEXT(INDEX(상세표[시작],$P1829),"yyyy-mm-dd hh:mm"),INDEX(상세표[시작],$P1829)&amp;""))</f>
        <v/>
      </c>
      <c r="F1829">
        <f>IF($P1829="","",IF(ISNUMBER(INDEX(상세표[블록종료],$P1829)),TEXT(INDEX(상세표[블록종료],$P1829),"yyyy-mm-dd hh:mm"),INDEX(상세표[블록종료],$P1829)&amp;""))</f>
        <v/>
      </c>
      <c r="G1829">
        <f>IF($P1829="","",CHOOSE(WEEKDAY(INDEX(상세표[시작],$P1829)),"일","월","화","수","목","금","토"))</f>
        <v/>
      </c>
      <c r="H1829">
        <f>IF($P1829="","",INDEX(상세표[연속 시간],$P1829))</f>
        <v/>
      </c>
      <c r="I1829">
        <f>IF($P1829="","",INDEX(상세표[기록 수],$P1829))</f>
        <v/>
      </c>
      <c r="J1829">
        <f>IF($P1829="","",INDEX(상세표[블록 06~07시],$P1829))</f>
        <v/>
      </c>
      <c r="K1829">
        <f>IF($P1829="","",INDEX(상세표[블록 07~18시],$P1829))</f>
        <v/>
      </c>
      <c r="L1829">
        <f>IF($P1829="","",INDEX(상세표[블록 18~22시],$P1829))</f>
        <v/>
      </c>
      <c r="M1829">
        <f>IF($P1829="","",INDEX(상세표[블록 22~06시],$P1829))</f>
        <v/>
      </c>
      <c r="N1829">
        <f>IF($P1829="","",INDEX(상세표[주말·휴일 포함],$P1829)&amp;"")</f>
        <v/>
      </c>
      <c r="O1829">
        <f>IF($P1829="","",INDEX(상세표[월 넘김 포함],$P1829)&amp;"")</f>
        <v/>
      </c>
      <c r="P1829" s="4">
        <f>IFERROR(MATCH(1824,상세표[연속순번],0),"")</f>
        <v/>
      </c>
    </row>
    <row r="1830">
      <c r="A1830">
        <f>IF($P1830="","",INDEX(상세표[사번],$P1830)&amp;"")</f>
        <v/>
      </c>
      <c r="B1830">
        <f>IF($P1830="","",INDEX(상세표[성명],$P1830)&amp;"")</f>
        <v/>
      </c>
      <c r="C1830">
        <f>IF($P1830="","",INDEX(상세표[부서],$P1830)&amp;"")</f>
        <v/>
      </c>
      <c r="D1830">
        <f>IF($P1830="","",INDEX(상세표[직위],$P1830)&amp;"")</f>
        <v/>
      </c>
      <c r="E1830">
        <f>IF($P1830="","",IF(ISNUMBER(INDEX(상세표[시작],$P1830)),TEXT(INDEX(상세표[시작],$P1830),"yyyy-mm-dd hh:mm"),INDEX(상세표[시작],$P1830)&amp;""))</f>
        <v/>
      </c>
      <c r="F1830">
        <f>IF($P1830="","",IF(ISNUMBER(INDEX(상세표[블록종료],$P1830)),TEXT(INDEX(상세표[블록종료],$P1830),"yyyy-mm-dd hh:mm"),INDEX(상세표[블록종료],$P1830)&amp;""))</f>
        <v/>
      </c>
      <c r="G1830">
        <f>IF($P1830="","",CHOOSE(WEEKDAY(INDEX(상세표[시작],$P1830)),"일","월","화","수","목","금","토"))</f>
        <v/>
      </c>
      <c r="H1830">
        <f>IF($P1830="","",INDEX(상세표[연속 시간],$P1830))</f>
        <v/>
      </c>
      <c r="I1830">
        <f>IF($P1830="","",INDEX(상세표[기록 수],$P1830))</f>
        <v/>
      </c>
      <c r="J1830">
        <f>IF($P1830="","",INDEX(상세표[블록 06~07시],$P1830))</f>
        <v/>
      </c>
      <c r="K1830">
        <f>IF($P1830="","",INDEX(상세표[블록 07~18시],$P1830))</f>
        <v/>
      </c>
      <c r="L1830">
        <f>IF($P1830="","",INDEX(상세표[블록 18~22시],$P1830))</f>
        <v/>
      </c>
      <c r="M1830">
        <f>IF($P1830="","",INDEX(상세표[블록 22~06시],$P1830))</f>
        <v/>
      </c>
      <c r="N1830">
        <f>IF($P1830="","",INDEX(상세표[주말·휴일 포함],$P1830)&amp;"")</f>
        <v/>
      </c>
      <c r="O1830">
        <f>IF($P1830="","",INDEX(상세표[월 넘김 포함],$P1830)&amp;"")</f>
        <v/>
      </c>
      <c r="P1830" s="4">
        <f>IFERROR(MATCH(1825,상세표[연속순번],0),"")</f>
        <v/>
      </c>
    </row>
    <row r="1831">
      <c r="A1831">
        <f>IF($P1831="","",INDEX(상세표[사번],$P1831)&amp;"")</f>
        <v/>
      </c>
      <c r="B1831">
        <f>IF($P1831="","",INDEX(상세표[성명],$P1831)&amp;"")</f>
        <v/>
      </c>
      <c r="C1831">
        <f>IF($P1831="","",INDEX(상세표[부서],$P1831)&amp;"")</f>
        <v/>
      </c>
      <c r="D1831">
        <f>IF($P1831="","",INDEX(상세표[직위],$P1831)&amp;"")</f>
        <v/>
      </c>
      <c r="E1831">
        <f>IF($P1831="","",IF(ISNUMBER(INDEX(상세표[시작],$P1831)),TEXT(INDEX(상세표[시작],$P1831),"yyyy-mm-dd hh:mm"),INDEX(상세표[시작],$P1831)&amp;""))</f>
        <v/>
      </c>
      <c r="F1831">
        <f>IF($P1831="","",IF(ISNUMBER(INDEX(상세표[블록종료],$P1831)),TEXT(INDEX(상세표[블록종료],$P1831),"yyyy-mm-dd hh:mm"),INDEX(상세표[블록종료],$P1831)&amp;""))</f>
        <v/>
      </c>
      <c r="G1831">
        <f>IF($P1831="","",CHOOSE(WEEKDAY(INDEX(상세표[시작],$P1831)),"일","월","화","수","목","금","토"))</f>
        <v/>
      </c>
      <c r="H1831">
        <f>IF($P1831="","",INDEX(상세표[연속 시간],$P1831))</f>
        <v/>
      </c>
      <c r="I1831">
        <f>IF($P1831="","",INDEX(상세표[기록 수],$P1831))</f>
        <v/>
      </c>
      <c r="J1831">
        <f>IF($P1831="","",INDEX(상세표[블록 06~07시],$P1831))</f>
        <v/>
      </c>
      <c r="K1831">
        <f>IF($P1831="","",INDEX(상세표[블록 07~18시],$P1831))</f>
        <v/>
      </c>
      <c r="L1831">
        <f>IF($P1831="","",INDEX(상세표[블록 18~22시],$P1831))</f>
        <v/>
      </c>
      <c r="M1831">
        <f>IF($P1831="","",INDEX(상세표[블록 22~06시],$P1831))</f>
        <v/>
      </c>
      <c r="N1831">
        <f>IF($P1831="","",INDEX(상세표[주말·휴일 포함],$P1831)&amp;"")</f>
        <v/>
      </c>
      <c r="O1831">
        <f>IF($P1831="","",INDEX(상세표[월 넘김 포함],$P1831)&amp;"")</f>
        <v/>
      </c>
      <c r="P1831" s="4">
        <f>IFERROR(MATCH(1826,상세표[연속순번],0),"")</f>
        <v/>
      </c>
    </row>
    <row r="1832">
      <c r="A1832">
        <f>IF($P1832="","",INDEX(상세표[사번],$P1832)&amp;"")</f>
        <v/>
      </c>
      <c r="B1832">
        <f>IF($P1832="","",INDEX(상세표[성명],$P1832)&amp;"")</f>
        <v/>
      </c>
      <c r="C1832">
        <f>IF($P1832="","",INDEX(상세표[부서],$P1832)&amp;"")</f>
        <v/>
      </c>
      <c r="D1832">
        <f>IF($P1832="","",INDEX(상세표[직위],$P1832)&amp;"")</f>
        <v/>
      </c>
      <c r="E1832">
        <f>IF($P1832="","",IF(ISNUMBER(INDEX(상세표[시작],$P1832)),TEXT(INDEX(상세표[시작],$P1832),"yyyy-mm-dd hh:mm"),INDEX(상세표[시작],$P1832)&amp;""))</f>
        <v/>
      </c>
      <c r="F1832">
        <f>IF($P1832="","",IF(ISNUMBER(INDEX(상세표[블록종료],$P1832)),TEXT(INDEX(상세표[블록종료],$P1832),"yyyy-mm-dd hh:mm"),INDEX(상세표[블록종료],$P1832)&amp;""))</f>
        <v/>
      </c>
      <c r="G1832">
        <f>IF($P1832="","",CHOOSE(WEEKDAY(INDEX(상세표[시작],$P1832)),"일","월","화","수","목","금","토"))</f>
        <v/>
      </c>
      <c r="H1832">
        <f>IF($P1832="","",INDEX(상세표[연속 시간],$P1832))</f>
        <v/>
      </c>
      <c r="I1832">
        <f>IF($P1832="","",INDEX(상세표[기록 수],$P1832))</f>
        <v/>
      </c>
      <c r="J1832">
        <f>IF($P1832="","",INDEX(상세표[블록 06~07시],$P1832))</f>
        <v/>
      </c>
      <c r="K1832">
        <f>IF($P1832="","",INDEX(상세표[블록 07~18시],$P1832))</f>
        <v/>
      </c>
      <c r="L1832">
        <f>IF($P1832="","",INDEX(상세표[블록 18~22시],$P1832))</f>
        <v/>
      </c>
      <c r="M1832">
        <f>IF($P1832="","",INDEX(상세표[블록 22~06시],$P1832))</f>
        <v/>
      </c>
      <c r="N1832">
        <f>IF($P1832="","",INDEX(상세표[주말·휴일 포함],$P1832)&amp;"")</f>
        <v/>
      </c>
      <c r="O1832">
        <f>IF($P1832="","",INDEX(상세표[월 넘김 포함],$P1832)&amp;"")</f>
        <v/>
      </c>
      <c r="P1832" s="4">
        <f>IFERROR(MATCH(1827,상세표[연속순번],0),"")</f>
        <v/>
      </c>
    </row>
    <row r="1833">
      <c r="A1833">
        <f>IF($P1833="","",INDEX(상세표[사번],$P1833)&amp;"")</f>
        <v/>
      </c>
      <c r="B1833">
        <f>IF($P1833="","",INDEX(상세표[성명],$P1833)&amp;"")</f>
        <v/>
      </c>
      <c r="C1833">
        <f>IF($P1833="","",INDEX(상세표[부서],$P1833)&amp;"")</f>
        <v/>
      </c>
      <c r="D1833">
        <f>IF($P1833="","",INDEX(상세표[직위],$P1833)&amp;"")</f>
        <v/>
      </c>
      <c r="E1833">
        <f>IF($P1833="","",IF(ISNUMBER(INDEX(상세표[시작],$P1833)),TEXT(INDEX(상세표[시작],$P1833),"yyyy-mm-dd hh:mm"),INDEX(상세표[시작],$P1833)&amp;""))</f>
        <v/>
      </c>
      <c r="F1833">
        <f>IF($P1833="","",IF(ISNUMBER(INDEX(상세표[블록종료],$P1833)),TEXT(INDEX(상세표[블록종료],$P1833),"yyyy-mm-dd hh:mm"),INDEX(상세표[블록종료],$P1833)&amp;""))</f>
        <v/>
      </c>
      <c r="G1833">
        <f>IF($P1833="","",CHOOSE(WEEKDAY(INDEX(상세표[시작],$P1833)),"일","월","화","수","목","금","토"))</f>
        <v/>
      </c>
      <c r="H1833">
        <f>IF($P1833="","",INDEX(상세표[연속 시간],$P1833))</f>
        <v/>
      </c>
      <c r="I1833">
        <f>IF($P1833="","",INDEX(상세표[기록 수],$P1833))</f>
        <v/>
      </c>
      <c r="J1833">
        <f>IF($P1833="","",INDEX(상세표[블록 06~07시],$P1833))</f>
        <v/>
      </c>
      <c r="K1833">
        <f>IF($P1833="","",INDEX(상세표[블록 07~18시],$P1833))</f>
        <v/>
      </c>
      <c r="L1833">
        <f>IF($P1833="","",INDEX(상세표[블록 18~22시],$P1833))</f>
        <v/>
      </c>
      <c r="M1833">
        <f>IF($P1833="","",INDEX(상세표[블록 22~06시],$P1833))</f>
        <v/>
      </c>
      <c r="N1833">
        <f>IF($P1833="","",INDEX(상세표[주말·휴일 포함],$P1833)&amp;"")</f>
        <v/>
      </c>
      <c r="O1833">
        <f>IF($P1833="","",INDEX(상세표[월 넘김 포함],$P1833)&amp;"")</f>
        <v/>
      </c>
      <c r="P1833" s="4">
        <f>IFERROR(MATCH(1828,상세표[연속순번],0),"")</f>
        <v/>
      </c>
    </row>
    <row r="1834">
      <c r="A1834">
        <f>IF($P1834="","",INDEX(상세표[사번],$P1834)&amp;"")</f>
        <v/>
      </c>
      <c r="B1834">
        <f>IF($P1834="","",INDEX(상세표[성명],$P1834)&amp;"")</f>
        <v/>
      </c>
      <c r="C1834">
        <f>IF($P1834="","",INDEX(상세표[부서],$P1834)&amp;"")</f>
        <v/>
      </c>
      <c r="D1834">
        <f>IF($P1834="","",INDEX(상세표[직위],$P1834)&amp;"")</f>
        <v/>
      </c>
      <c r="E1834">
        <f>IF($P1834="","",IF(ISNUMBER(INDEX(상세표[시작],$P1834)),TEXT(INDEX(상세표[시작],$P1834),"yyyy-mm-dd hh:mm"),INDEX(상세표[시작],$P1834)&amp;""))</f>
        <v/>
      </c>
      <c r="F1834">
        <f>IF($P1834="","",IF(ISNUMBER(INDEX(상세표[블록종료],$P1834)),TEXT(INDEX(상세표[블록종료],$P1834),"yyyy-mm-dd hh:mm"),INDEX(상세표[블록종료],$P1834)&amp;""))</f>
        <v/>
      </c>
      <c r="G1834">
        <f>IF($P1834="","",CHOOSE(WEEKDAY(INDEX(상세표[시작],$P1834)),"일","월","화","수","목","금","토"))</f>
        <v/>
      </c>
      <c r="H1834">
        <f>IF($P1834="","",INDEX(상세표[연속 시간],$P1834))</f>
        <v/>
      </c>
      <c r="I1834">
        <f>IF($P1834="","",INDEX(상세표[기록 수],$P1834))</f>
        <v/>
      </c>
      <c r="J1834">
        <f>IF($P1834="","",INDEX(상세표[블록 06~07시],$P1834))</f>
        <v/>
      </c>
      <c r="K1834">
        <f>IF($P1834="","",INDEX(상세표[블록 07~18시],$P1834))</f>
        <v/>
      </c>
      <c r="L1834">
        <f>IF($P1834="","",INDEX(상세표[블록 18~22시],$P1834))</f>
        <v/>
      </c>
      <c r="M1834">
        <f>IF($P1834="","",INDEX(상세표[블록 22~06시],$P1834))</f>
        <v/>
      </c>
      <c r="N1834">
        <f>IF($P1834="","",INDEX(상세표[주말·휴일 포함],$P1834)&amp;"")</f>
        <v/>
      </c>
      <c r="O1834">
        <f>IF($P1834="","",INDEX(상세표[월 넘김 포함],$P1834)&amp;"")</f>
        <v/>
      </c>
      <c r="P1834" s="4">
        <f>IFERROR(MATCH(1829,상세표[연속순번],0),"")</f>
        <v/>
      </c>
    </row>
    <row r="1835">
      <c r="A1835">
        <f>IF($P1835="","",INDEX(상세표[사번],$P1835)&amp;"")</f>
        <v/>
      </c>
      <c r="B1835">
        <f>IF($P1835="","",INDEX(상세표[성명],$P1835)&amp;"")</f>
        <v/>
      </c>
      <c r="C1835">
        <f>IF($P1835="","",INDEX(상세표[부서],$P1835)&amp;"")</f>
        <v/>
      </c>
      <c r="D1835">
        <f>IF($P1835="","",INDEX(상세표[직위],$P1835)&amp;"")</f>
        <v/>
      </c>
      <c r="E1835">
        <f>IF($P1835="","",IF(ISNUMBER(INDEX(상세표[시작],$P1835)),TEXT(INDEX(상세표[시작],$P1835),"yyyy-mm-dd hh:mm"),INDEX(상세표[시작],$P1835)&amp;""))</f>
        <v/>
      </c>
      <c r="F1835">
        <f>IF($P1835="","",IF(ISNUMBER(INDEX(상세표[블록종료],$P1835)),TEXT(INDEX(상세표[블록종료],$P1835),"yyyy-mm-dd hh:mm"),INDEX(상세표[블록종료],$P1835)&amp;""))</f>
        <v/>
      </c>
      <c r="G1835">
        <f>IF($P1835="","",CHOOSE(WEEKDAY(INDEX(상세표[시작],$P1835)),"일","월","화","수","목","금","토"))</f>
        <v/>
      </c>
      <c r="H1835">
        <f>IF($P1835="","",INDEX(상세표[연속 시간],$P1835))</f>
        <v/>
      </c>
      <c r="I1835">
        <f>IF($P1835="","",INDEX(상세표[기록 수],$P1835))</f>
        <v/>
      </c>
      <c r="J1835">
        <f>IF($P1835="","",INDEX(상세표[블록 06~07시],$P1835))</f>
        <v/>
      </c>
      <c r="K1835">
        <f>IF($P1835="","",INDEX(상세표[블록 07~18시],$P1835))</f>
        <v/>
      </c>
      <c r="L1835">
        <f>IF($P1835="","",INDEX(상세표[블록 18~22시],$P1835))</f>
        <v/>
      </c>
      <c r="M1835">
        <f>IF($P1835="","",INDEX(상세표[블록 22~06시],$P1835))</f>
        <v/>
      </c>
      <c r="N1835">
        <f>IF($P1835="","",INDEX(상세표[주말·휴일 포함],$P1835)&amp;"")</f>
        <v/>
      </c>
      <c r="O1835">
        <f>IF($P1835="","",INDEX(상세표[월 넘김 포함],$P1835)&amp;"")</f>
        <v/>
      </c>
      <c r="P1835" s="4">
        <f>IFERROR(MATCH(1830,상세표[연속순번],0),"")</f>
        <v/>
      </c>
    </row>
    <row r="1836">
      <c r="A1836">
        <f>IF($P1836="","",INDEX(상세표[사번],$P1836)&amp;"")</f>
        <v/>
      </c>
      <c r="B1836">
        <f>IF($P1836="","",INDEX(상세표[성명],$P1836)&amp;"")</f>
        <v/>
      </c>
      <c r="C1836">
        <f>IF($P1836="","",INDEX(상세표[부서],$P1836)&amp;"")</f>
        <v/>
      </c>
      <c r="D1836">
        <f>IF($P1836="","",INDEX(상세표[직위],$P1836)&amp;"")</f>
        <v/>
      </c>
      <c r="E1836">
        <f>IF($P1836="","",IF(ISNUMBER(INDEX(상세표[시작],$P1836)),TEXT(INDEX(상세표[시작],$P1836),"yyyy-mm-dd hh:mm"),INDEX(상세표[시작],$P1836)&amp;""))</f>
        <v/>
      </c>
      <c r="F1836">
        <f>IF($P1836="","",IF(ISNUMBER(INDEX(상세표[블록종료],$P1836)),TEXT(INDEX(상세표[블록종료],$P1836),"yyyy-mm-dd hh:mm"),INDEX(상세표[블록종료],$P1836)&amp;""))</f>
        <v/>
      </c>
      <c r="G1836">
        <f>IF($P1836="","",CHOOSE(WEEKDAY(INDEX(상세표[시작],$P1836)),"일","월","화","수","목","금","토"))</f>
        <v/>
      </c>
      <c r="H1836">
        <f>IF($P1836="","",INDEX(상세표[연속 시간],$P1836))</f>
        <v/>
      </c>
      <c r="I1836">
        <f>IF($P1836="","",INDEX(상세표[기록 수],$P1836))</f>
        <v/>
      </c>
      <c r="J1836">
        <f>IF($P1836="","",INDEX(상세표[블록 06~07시],$P1836))</f>
        <v/>
      </c>
      <c r="K1836">
        <f>IF($P1836="","",INDEX(상세표[블록 07~18시],$P1836))</f>
        <v/>
      </c>
      <c r="L1836">
        <f>IF($P1836="","",INDEX(상세표[블록 18~22시],$P1836))</f>
        <v/>
      </c>
      <c r="M1836">
        <f>IF($P1836="","",INDEX(상세표[블록 22~06시],$P1836))</f>
        <v/>
      </c>
      <c r="N1836">
        <f>IF($P1836="","",INDEX(상세표[주말·휴일 포함],$P1836)&amp;"")</f>
        <v/>
      </c>
      <c r="O1836">
        <f>IF($P1836="","",INDEX(상세표[월 넘김 포함],$P1836)&amp;"")</f>
        <v/>
      </c>
      <c r="P1836" s="4">
        <f>IFERROR(MATCH(1831,상세표[연속순번],0),"")</f>
        <v/>
      </c>
    </row>
    <row r="1837">
      <c r="A1837">
        <f>IF($P1837="","",INDEX(상세표[사번],$P1837)&amp;"")</f>
        <v/>
      </c>
      <c r="B1837">
        <f>IF($P1837="","",INDEX(상세표[성명],$P1837)&amp;"")</f>
        <v/>
      </c>
      <c r="C1837">
        <f>IF($P1837="","",INDEX(상세표[부서],$P1837)&amp;"")</f>
        <v/>
      </c>
      <c r="D1837">
        <f>IF($P1837="","",INDEX(상세표[직위],$P1837)&amp;"")</f>
        <v/>
      </c>
      <c r="E1837">
        <f>IF($P1837="","",IF(ISNUMBER(INDEX(상세표[시작],$P1837)),TEXT(INDEX(상세표[시작],$P1837),"yyyy-mm-dd hh:mm"),INDEX(상세표[시작],$P1837)&amp;""))</f>
        <v/>
      </c>
      <c r="F1837">
        <f>IF($P1837="","",IF(ISNUMBER(INDEX(상세표[블록종료],$P1837)),TEXT(INDEX(상세표[블록종료],$P1837),"yyyy-mm-dd hh:mm"),INDEX(상세표[블록종료],$P1837)&amp;""))</f>
        <v/>
      </c>
      <c r="G1837">
        <f>IF($P1837="","",CHOOSE(WEEKDAY(INDEX(상세표[시작],$P1837)),"일","월","화","수","목","금","토"))</f>
        <v/>
      </c>
      <c r="H1837">
        <f>IF($P1837="","",INDEX(상세표[연속 시간],$P1837))</f>
        <v/>
      </c>
      <c r="I1837">
        <f>IF($P1837="","",INDEX(상세표[기록 수],$P1837))</f>
        <v/>
      </c>
      <c r="J1837">
        <f>IF($P1837="","",INDEX(상세표[블록 06~07시],$P1837))</f>
        <v/>
      </c>
      <c r="K1837">
        <f>IF($P1837="","",INDEX(상세표[블록 07~18시],$P1837))</f>
        <v/>
      </c>
      <c r="L1837">
        <f>IF($P1837="","",INDEX(상세표[블록 18~22시],$P1837))</f>
        <v/>
      </c>
      <c r="M1837">
        <f>IF($P1837="","",INDEX(상세표[블록 22~06시],$P1837))</f>
        <v/>
      </c>
      <c r="N1837">
        <f>IF($P1837="","",INDEX(상세표[주말·휴일 포함],$P1837)&amp;"")</f>
        <v/>
      </c>
      <c r="O1837">
        <f>IF($P1837="","",INDEX(상세표[월 넘김 포함],$P1837)&amp;"")</f>
        <v/>
      </c>
      <c r="P1837" s="4">
        <f>IFERROR(MATCH(1832,상세표[연속순번],0),"")</f>
        <v/>
      </c>
    </row>
    <row r="1838">
      <c r="A1838">
        <f>IF($P1838="","",INDEX(상세표[사번],$P1838)&amp;"")</f>
        <v/>
      </c>
      <c r="B1838">
        <f>IF($P1838="","",INDEX(상세표[성명],$P1838)&amp;"")</f>
        <v/>
      </c>
      <c r="C1838">
        <f>IF($P1838="","",INDEX(상세표[부서],$P1838)&amp;"")</f>
        <v/>
      </c>
      <c r="D1838">
        <f>IF($P1838="","",INDEX(상세표[직위],$P1838)&amp;"")</f>
        <v/>
      </c>
      <c r="E1838">
        <f>IF($P1838="","",IF(ISNUMBER(INDEX(상세표[시작],$P1838)),TEXT(INDEX(상세표[시작],$P1838),"yyyy-mm-dd hh:mm"),INDEX(상세표[시작],$P1838)&amp;""))</f>
        <v/>
      </c>
      <c r="F1838">
        <f>IF($P1838="","",IF(ISNUMBER(INDEX(상세표[블록종료],$P1838)),TEXT(INDEX(상세표[블록종료],$P1838),"yyyy-mm-dd hh:mm"),INDEX(상세표[블록종료],$P1838)&amp;""))</f>
        <v/>
      </c>
      <c r="G1838">
        <f>IF($P1838="","",CHOOSE(WEEKDAY(INDEX(상세표[시작],$P1838)),"일","월","화","수","목","금","토"))</f>
        <v/>
      </c>
      <c r="H1838">
        <f>IF($P1838="","",INDEX(상세표[연속 시간],$P1838))</f>
        <v/>
      </c>
      <c r="I1838">
        <f>IF($P1838="","",INDEX(상세표[기록 수],$P1838))</f>
        <v/>
      </c>
      <c r="J1838">
        <f>IF($P1838="","",INDEX(상세표[블록 06~07시],$P1838))</f>
        <v/>
      </c>
      <c r="K1838">
        <f>IF($P1838="","",INDEX(상세표[블록 07~18시],$P1838))</f>
        <v/>
      </c>
      <c r="L1838">
        <f>IF($P1838="","",INDEX(상세표[블록 18~22시],$P1838))</f>
        <v/>
      </c>
      <c r="M1838">
        <f>IF($P1838="","",INDEX(상세표[블록 22~06시],$P1838))</f>
        <v/>
      </c>
      <c r="N1838">
        <f>IF($P1838="","",INDEX(상세표[주말·휴일 포함],$P1838)&amp;"")</f>
        <v/>
      </c>
      <c r="O1838">
        <f>IF($P1838="","",INDEX(상세표[월 넘김 포함],$P1838)&amp;"")</f>
        <v/>
      </c>
      <c r="P1838" s="4">
        <f>IFERROR(MATCH(1833,상세표[연속순번],0),"")</f>
        <v/>
      </c>
    </row>
    <row r="1839">
      <c r="A1839">
        <f>IF($P1839="","",INDEX(상세표[사번],$P1839)&amp;"")</f>
        <v/>
      </c>
      <c r="B1839">
        <f>IF($P1839="","",INDEX(상세표[성명],$P1839)&amp;"")</f>
        <v/>
      </c>
      <c r="C1839">
        <f>IF($P1839="","",INDEX(상세표[부서],$P1839)&amp;"")</f>
        <v/>
      </c>
      <c r="D1839">
        <f>IF($P1839="","",INDEX(상세표[직위],$P1839)&amp;"")</f>
        <v/>
      </c>
      <c r="E1839">
        <f>IF($P1839="","",IF(ISNUMBER(INDEX(상세표[시작],$P1839)),TEXT(INDEX(상세표[시작],$P1839),"yyyy-mm-dd hh:mm"),INDEX(상세표[시작],$P1839)&amp;""))</f>
        <v/>
      </c>
      <c r="F1839">
        <f>IF($P1839="","",IF(ISNUMBER(INDEX(상세표[블록종료],$P1839)),TEXT(INDEX(상세표[블록종료],$P1839),"yyyy-mm-dd hh:mm"),INDEX(상세표[블록종료],$P1839)&amp;""))</f>
        <v/>
      </c>
      <c r="G1839">
        <f>IF($P1839="","",CHOOSE(WEEKDAY(INDEX(상세표[시작],$P1839)),"일","월","화","수","목","금","토"))</f>
        <v/>
      </c>
      <c r="H1839">
        <f>IF($P1839="","",INDEX(상세표[연속 시간],$P1839))</f>
        <v/>
      </c>
      <c r="I1839">
        <f>IF($P1839="","",INDEX(상세표[기록 수],$P1839))</f>
        <v/>
      </c>
      <c r="J1839">
        <f>IF($P1839="","",INDEX(상세표[블록 06~07시],$P1839))</f>
        <v/>
      </c>
      <c r="K1839">
        <f>IF($P1839="","",INDEX(상세표[블록 07~18시],$P1839))</f>
        <v/>
      </c>
      <c r="L1839">
        <f>IF($P1839="","",INDEX(상세표[블록 18~22시],$P1839))</f>
        <v/>
      </c>
      <c r="M1839">
        <f>IF($P1839="","",INDEX(상세표[블록 22~06시],$P1839))</f>
        <v/>
      </c>
      <c r="N1839">
        <f>IF($P1839="","",INDEX(상세표[주말·휴일 포함],$P1839)&amp;"")</f>
        <v/>
      </c>
      <c r="O1839">
        <f>IF($P1839="","",INDEX(상세표[월 넘김 포함],$P1839)&amp;"")</f>
        <v/>
      </c>
      <c r="P1839" s="4">
        <f>IFERROR(MATCH(1834,상세표[연속순번],0),"")</f>
        <v/>
      </c>
    </row>
    <row r="1840">
      <c r="A1840">
        <f>IF($P1840="","",INDEX(상세표[사번],$P1840)&amp;"")</f>
        <v/>
      </c>
      <c r="B1840">
        <f>IF($P1840="","",INDEX(상세표[성명],$P1840)&amp;"")</f>
        <v/>
      </c>
      <c r="C1840">
        <f>IF($P1840="","",INDEX(상세표[부서],$P1840)&amp;"")</f>
        <v/>
      </c>
      <c r="D1840">
        <f>IF($P1840="","",INDEX(상세표[직위],$P1840)&amp;"")</f>
        <v/>
      </c>
      <c r="E1840">
        <f>IF($P1840="","",IF(ISNUMBER(INDEX(상세표[시작],$P1840)),TEXT(INDEX(상세표[시작],$P1840),"yyyy-mm-dd hh:mm"),INDEX(상세표[시작],$P1840)&amp;""))</f>
        <v/>
      </c>
      <c r="F1840">
        <f>IF($P1840="","",IF(ISNUMBER(INDEX(상세표[블록종료],$P1840)),TEXT(INDEX(상세표[블록종료],$P1840),"yyyy-mm-dd hh:mm"),INDEX(상세표[블록종료],$P1840)&amp;""))</f>
        <v/>
      </c>
      <c r="G1840">
        <f>IF($P1840="","",CHOOSE(WEEKDAY(INDEX(상세표[시작],$P1840)),"일","월","화","수","목","금","토"))</f>
        <v/>
      </c>
      <c r="H1840">
        <f>IF($P1840="","",INDEX(상세표[연속 시간],$P1840))</f>
        <v/>
      </c>
      <c r="I1840">
        <f>IF($P1840="","",INDEX(상세표[기록 수],$P1840))</f>
        <v/>
      </c>
      <c r="J1840">
        <f>IF($P1840="","",INDEX(상세표[블록 06~07시],$P1840))</f>
        <v/>
      </c>
      <c r="K1840">
        <f>IF($P1840="","",INDEX(상세표[블록 07~18시],$P1840))</f>
        <v/>
      </c>
      <c r="L1840">
        <f>IF($P1840="","",INDEX(상세표[블록 18~22시],$P1840))</f>
        <v/>
      </c>
      <c r="M1840">
        <f>IF($P1840="","",INDEX(상세표[블록 22~06시],$P1840))</f>
        <v/>
      </c>
      <c r="N1840">
        <f>IF($P1840="","",INDEX(상세표[주말·휴일 포함],$P1840)&amp;"")</f>
        <v/>
      </c>
      <c r="O1840">
        <f>IF($P1840="","",INDEX(상세표[월 넘김 포함],$P1840)&amp;"")</f>
        <v/>
      </c>
      <c r="P1840" s="4">
        <f>IFERROR(MATCH(1835,상세표[연속순번],0),"")</f>
        <v/>
      </c>
    </row>
    <row r="1841">
      <c r="A1841">
        <f>IF($P1841="","",INDEX(상세표[사번],$P1841)&amp;"")</f>
        <v/>
      </c>
      <c r="B1841">
        <f>IF($P1841="","",INDEX(상세표[성명],$P1841)&amp;"")</f>
        <v/>
      </c>
      <c r="C1841">
        <f>IF($P1841="","",INDEX(상세표[부서],$P1841)&amp;"")</f>
        <v/>
      </c>
      <c r="D1841">
        <f>IF($P1841="","",INDEX(상세표[직위],$P1841)&amp;"")</f>
        <v/>
      </c>
      <c r="E1841">
        <f>IF($P1841="","",IF(ISNUMBER(INDEX(상세표[시작],$P1841)),TEXT(INDEX(상세표[시작],$P1841),"yyyy-mm-dd hh:mm"),INDEX(상세표[시작],$P1841)&amp;""))</f>
        <v/>
      </c>
      <c r="F1841">
        <f>IF($P1841="","",IF(ISNUMBER(INDEX(상세표[블록종료],$P1841)),TEXT(INDEX(상세표[블록종료],$P1841),"yyyy-mm-dd hh:mm"),INDEX(상세표[블록종료],$P1841)&amp;""))</f>
        <v/>
      </c>
      <c r="G1841">
        <f>IF($P1841="","",CHOOSE(WEEKDAY(INDEX(상세표[시작],$P1841)),"일","월","화","수","목","금","토"))</f>
        <v/>
      </c>
      <c r="H1841">
        <f>IF($P1841="","",INDEX(상세표[연속 시간],$P1841))</f>
        <v/>
      </c>
      <c r="I1841">
        <f>IF($P1841="","",INDEX(상세표[기록 수],$P1841))</f>
        <v/>
      </c>
      <c r="J1841">
        <f>IF($P1841="","",INDEX(상세표[블록 06~07시],$P1841))</f>
        <v/>
      </c>
      <c r="K1841">
        <f>IF($P1841="","",INDEX(상세표[블록 07~18시],$P1841))</f>
        <v/>
      </c>
      <c r="L1841">
        <f>IF($P1841="","",INDEX(상세표[블록 18~22시],$P1841))</f>
        <v/>
      </c>
      <c r="M1841">
        <f>IF($P1841="","",INDEX(상세표[블록 22~06시],$P1841))</f>
        <v/>
      </c>
      <c r="N1841">
        <f>IF($P1841="","",INDEX(상세표[주말·휴일 포함],$P1841)&amp;"")</f>
        <v/>
      </c>
      <c r="O1841">
        <f>IF($P1841="","",INDEX(상세표[월 넘김 포함],$P1841)&amp;"")</f>
        <v/>
      </c>
      <c r="P1841" s="4">
        <f>IFERROR(MATCH(1836,상세표[연속순번],0),"")</f>
        <v/>
      </c>
    </row>
    <row r="1842">
      <c r="A1842">
        <f>IF($P1842="","",INDEX(상세표[사번],$P1842)&amp;"")</f>
        <v/>
      </c>
      <c r="B1842">
        <f>IF($P1842="","",INDEX(상세표[성명],$P1842)&amp;"")</f>
        <v/>
      </c>
      <c r="C1842">
        <f>IF($P1842="","",INDEX(상세표[부서],$P1842)&amp;"")</f>
        <v/>
      </c>
      <c r="D1842">
        <f>IF($P1842="","",INDEX(상세표[직위],$P1842)&amp;"")</f>
        <v/>
      </c>
      <c r="E1842">
        <f>IF($P1842="","",IF(ISNUMBER(INDEX(상세표[시작],$P1842)),TEXT(INDEX(상세표[시작],$P1842),"yyyy-mm-dd hh:mm"),INDEX(상세표[시작],$P1842)&amp;""))</f>
        <v/>
      </c>
      <c r="F1842">
        <f>IF($P1842="","",IF(ISNUMBER(INDEX(상세표[블록종료],$P1842)),TEXT(INDEX(상세표[블록종료],$P1842),"yyyy-mm-dd hh:mm"),INDEX(상세표[블록종료],$P1842)&amp;""))</f>
        <v/>
      </c>
      <c r="G1842">
        <f>IF($P1842="","",CHOOSE(WEEKDAY(INDEX(상세표[시작],$P1842)),"일","월","화","수","목","금","토"))</f>
        <v/>
      </c>
      <c r="H1842">
        <f>IF($P1842="","",INDEX(상세표[연속 시간],$P1842))</f>
        <v/>
      </c>
      <c r="I1842">
        <f>IF($P1842="","",INDEX(상세표[기록 수],$P1842))</f>
        <v/>
      </c>
      <c r="J1842">
        <f>IF($P1842="","",INDEX(상세표[블록 06~07시],$P1842))</f>
        <v/>
      </c>
      <c r="K1842">
        <f>IF($P1842="","",INDEX(상세표[블록 07~18시],$P1842))</f>
        <v/>
      </c>
      <c r="L1842">
        <f>IF($P1842="","",INDEX(상세표[블록 18~22시],$P1842))</f>
        <v/>
      </c>
      <c r="M1842">
        <f>IF($P1842="","",INDEX(상세표[블록 22~06시],$P1842))</f>
        <v/>
      </c>
      <c r="N1842">
        <f>IF($P1842="","",INDEX(상세표[주말·휴일 포함],$P1842)&amp;"")</f>
        <v/>
      </c>
      <c r="O1842">
        <f>IF($P1842="","",INDEX(상세표[월 넘김 포함],$P1842)&amp;"")</f>
        <v/>
      </c>
      <c r="P1842" s="4">
        <f>IFERROR(MATCH(1837,상세표[연속순번],0),"")</f>
        <v/>
      </c>
    </row>
    <row r="1843">
      <c r="A1843">
        <f>IF($P1843="","",INDEX(상세표[사번],$P1843)&amp;"")</f>
        <v/>
      </c>
      <c r="B1843">
        <f>IF($P1843="","",INDEX(상세표[성명],$P1843)&amp;"")</f>
        <v/>
      </c>
      <c r="C1843">
        <f>IF($P1843="","",INDEX(상세표[부서],$P1843)&amp;"")</f>
        <v/>
      </c>
      <c r="D1843">
        <f>IF($P1843="","",INDEX(상세표[직위],$P1843)&amp;"")</f>
        <v/>
      </c>
      <c r="E1843">
        <f>IF($P1843="","",IF(ISNUMBER(INDEX(상세표[시작],$P1843)),TEXT(INDEX(상세표[시작],$P1843),"yyyy-mm-dd hh:mm"),INDEX(상세표[시작],$P1843)&amp;""))</f>
        <v/>
      </c>
      <c r="F1843">
        <f>IF($P1843="","",IF(ISNUMBER(INDEX(상세표[블록종료],$P1843)),TEXT(INDEX(상세표[블록종료],$P1843),"yyyy-mm-dd hh:mm"),INDEX(상세표[블록종료],$P1843)&amp;""))</f>
        <v/>
      </c>
      <c r="G1843">
        <f>IF($P1843="","",CHOOSE(WEEKDAY(INDEX(상세표[시작],$P1843)),"일","월","화","수","목","금","토"))</f>
        <v/>
      </c>
      <c r="H1843">
        <f>IF($P1843="","",INDEX(상세표[연속 시간],$P1843))</f>
        <v/>
      </c>
      <c r="I1843">
        <f>IF($P1843="","",INDEX(상세표[기록 수],$P1843))</f>
        <v/>
      </c>
      <c r="J1843">
        <f>IF($P1843="","",INDEX(상세표[블록 06~07시],$P1843))</f>
        <v/>
      </c>
      <c r="K1843">
        <f>IF($P1843="","",INDEX(상세표[블록 07~18시],$P1843))</f>
        <v/>
      </c>
      <c r="L1843">
        <f>IF($P1843="","",INDEX(상세표[블록 18~22시],$P1843))</f>
        <v/>
      </c>
      <c r="M1843">
        <f>IF($P1843="","",INDEX(상세표[블록 22~06시],$P1843))</f>
        <v/>
      </c>
      <c r="N1843">
        <f>IF($P1843="","",INDEX(상세표[주말·휴일 포함],$P1843)&amp;"")</f>
        <v/>
      </c>
      <c r="O1843">
        <f>IF($P1843="","",INDEX(상세표[월 넘김 포함],$P1843)&amp;"")</f>
        <v/>
      </c>
      <c r="P1843" s="4">
        <f>IFERROR(MATCH(1838,상세표[연속순번],0),"")</f>
        <v/>
      </c>
    </row>
    <row r="1844">
      <c r="A1844">
        <f>IF($P1844="","",INDEX(상세표[사번],$P1844)&amp;"")</f>
        <v/>
      </c>
      <c r="B1844">
        <f>IF($P1844="","",INDEX(상세표[성명],$P1844)&amp;"")</f>
        <v/>
      </c>
      <c r="C1844">
        <f>IF($P1844="","",INDEX(상세표[부서],$P1844)&amp;"")</f>
        <v/>
      </c>
      <c r="D1844">
        <f>IF($P1844="","",INDEX(상세표[직위],$P1844)&amp;"")</f>
        <v/>
      </c>
      <c r="E1844">
        <f>IF($P1844="","",IF(ISNUMBER(INDEX(상세표[시작],$P1844)),TEXT(INDEX(상세표[시작],$P1844),"yyyy-mm-dd hh:mm"),INDEX(상세표[시작],$P1844)&amp;""))</f>
        <v/>
      </c>
      <c r="F1844">
        <f>IF($P1844="","",IF(ISNUMBER(INDEX(상세표[블록종료],$P1844)),TEXT(INDEX(상세표[블록종료],$P1844),"yyyy-mm-dd hh:mm"),INDEX(상세표[블록종료],$P1844)&amp;""))</f>
        <v/>
      </c>
      <c r="G1844">
        <f>IF($P1844="","",CHOOSE(WEEKDAY(INDEX(상세표[시작],$P1844)),"일","월","화","수","목","금","토"))</f>
        <v/>
      </c>
      <c r="H1844">
        <f>IF($P1844="","",INDEX(상세표[연속 시간],$P1844))</f>
        <v/>
      </c>
      <c r="I1844">
        <f>IF($P1844="","",INDEX(상세표[기록 수],$P1844))</f>
        <v/>
      </c>
      <c r="J1844">
        <f>IF($P1844="","",INDEX(상세표[블록 06~07시],$P1844))</f>
        <v/>
      </c>
      <c r="K1844">
        <f>IF($P1844="","",INDEX(상세표[블록 07~18시],$P1844))</f>
        <v/>
      </c>
      <c r="L1844">
        <f>IF($P1844="","",INDEX(상세표[블록 18~22시],$P1844))</f>
        <v/>
      </c>
      <c r="M1844">
        <f>IF($P1844="","",INDEX(상세표[블록 22~06시],$P1844))</f>
        <v/>
      </c>
      <c r="N1844">
        <f>IF($P1844="","",INDEX(상세표[주말·휴일 포함],$P1844)&amp;"")</f>
        <v/>
      </c>
      <c r="O1844">
        <f>IF($P1844="","",INDEX(상세표[월 넘김 포함],$P1844)&amp;"")</f>
        <v/>
      </c>
      <c r="P1844" s="4">
        <f>IFERROR(MATCH(1839,상세표[연속순번],0),"")</f>
        <v/>
      </c>
    </row>
    <row r="1845">
      <c r="A1845">
        <f>IF($P1845="","",INDEX(상세표[사번],$P1845)&amp;"")</f>
        <v/>
      </c>
      <c r="B1845">
        <f>IF($P1845="","",INDEX(상세표[성명],$P1845)&amp;"")</f>
        <v/>
      </c>
      <c r="C1845">
        <f>IF($P1845="","",INDEX(상세표[부서],$P1845)&amp;"")</f>
        <v/>
      </c>
      <c r="D1845">
        <f>IF($P1845="","",INDEX(상세표[직위],$P1845)&amp;"")</f>
        <v/>
      </c>
      <c r="E1845">
        <f>IF($P1845="","",IF(ISNUMBER(INDEX(상세표[시작],$P1845)),TEXT(INDEX(상세표[시작],$P1845),"yyyy-mm-dd hh:mm"),INDEX(상세표[시작],$P1845)&amp;""))</f>
        <v/>
      </c>
      <c r="F1845">
        <f>IF($P1845="","",IF(ISNUMBER(INDEX(상세표[블록종료],$P1845)),TEXT(INDEX(상세표[블록종료],$P1845),"yyyy-mm-dd hh:mm"),INDEX(상세표[블록종료],$P1845)&amp;""))</f>
        <v/>
      </c>
      <c r="G1845">
        <f>IF($P1845="","",CHOOSE(WEEKDAY(INDEX(상세표[시작],$P1845)),"일","월","화","수","목","금","토"))</f>
        <v/>
      </c>
      <c r="H1845">
        <f>IF($P1845="","",INDEX(상세표[연속 시간],$P1845))</f>
        <v/>
      </c>
      <c r="I1845">
        <f>IF($P1845="","",INDEX(상세표[기록 수],$P1845))</f>
        <v/>
      </c>
      <c r="J1845">
        <f>IF($P1845="","",INDEX(상세표[블록 06~07시],$P1845))</f>
        <v/>
      </c>
      <c r="K1845">
        <f>IF($P1845="","",INDEX(상세표[블록 07~18시],$P1845))</f>
        <v/>
      </c>
      <c r="L1845">
        <f>IF($P1845="","",INDEX(상세표[블록 18~22시],$P1845))</f>
        <v/>
      </c>
      <c r="M1845">
        <f>IF($P1845="","",INDEX(상세표[블록 22~06시],$P1845))</f>
        <v/>
      </c>
      <c r="N1845">
        <f>IF($P1845="","",INDEX(상세표[주말·휴일 포함],$P1845)&amp;"")</f>
        <v/>
      </c>
      <c r="O1845">
        <f>IF($P1845="","",INDEX(상세표[월 넘김 포함],$P1845)&amp;"")</f>
        <v/>
      </c>
      <c r="P1845" s="4">
        <f>IFERROR(MATCH(1840,상세표[연속순번],0),"")</f>
        <v/>
      </c>
    </row>
    <row r="1846">
      <c r="A1846">
        <f>IF($P1846="","",INDEX(상세표[사번],$P1846)&amp;"")</f>
        <v/>
      </c>
      <c r="B1846">
        <f>IF($P1846="","",INDEX(상세표[성명],$P1846)&amp;"")</f>
        <v/>
      </c>
      <c r="C1846">
        <f>IF($P1846="","",INDEX(상세표[부서],$P1846)&amp;"")</f>
        <v/>
      </c>
      <c r="D1846">
        <f>IF($P1846="","",INDEX(상세표[직위],$P1846)&amp;"")</f>
        <v/>
      </c>
      <c r="E1846">
        <f>IF($P1846="","",IF(ISNUMBER(INDEX(상세표[시작],$P1846)),TEXT(INDEX(상세표[시작],$P1846),"yyyy-mm-dd hh:mm"),INDEX(상세표[시작],$P1846)&amp;""))</f>
        <v/>
      </c>
      <c r="F1846">
        <f>IF($P1846="","",IF(ISNUMBER(INDEX(상세표[블록종료],$P1846)),TEXT(INDEX(상세표[블록종료],$P1846),"yyyy-mm-dd hh:mm"),INDEX(상세표[블록종료],$P1846)&amp;""))</f>
        <v/>
      </c>
      <c r="G1846">
        <f>IF($P1846="","",CHOOSE(WEEKDAY(INDEX(상세표[시작],$P1846)),"일","월","화","수","목","금","토"))</f>
        <v/>
      </c>
      <c r="H1846">
        <f>IF($P1846="","",INDEX(상세표[연속 시간],$P1846))</f>
        <v/>
      </c>
      <c r="I1846">
        <f>IF($P1846="","",INDEX(상세표[기록 수],$P1846))</f>
        <v/>
      </c>
      <c r="J1846">
        <f>IF($P1846="","",INDEX(상세표[블록 06~07시],$P1846))</f>
        <v/>
      </c>
      <c r="K1846">
        <f>IF($P1846="","",INDEX(상세표[블록 07~18시],$P1846))</f>
        <v/>
      </c>
      <c r="L1846">
        <f>IF($P1846="","",INDEX(상세표[블록 18~22시],$P1846))</f>
        <v/>
      </c>
      <c r="M1846">
        <f>IF($P1846="","",INDEX(상세표[블록 22~06시],$P1846))</f>
        <v/>
      </c>
      <c r="N1846">
        <f>IF($P1846="","",INDEX(상세표[주말·휴일 포함],$P1846)&amp;"")</f>
        <v/>
      </c>
      <c r="O1846">
        <f>IF($P1846="","",INDEX(상세표[월 넘김 포함],$P1846)&amp;"")</f>
        <v/>
      </c>
      <c r="P1846" s="4">
        <f>IFERROR(MATCH(1841,상세표[연속순번],0),"")</f>
        <v/>
      </c>
    </row>
    <row r="1847">
      <c r="A1847">
        <f>IF($P1847="","",INDEX(상세표[사번],$P1847)&amp;"")</f>
        <v/>
      </c>
      <c r="B1847">
        <f>IF($P1847="","",INDEX(상세표[성명],$P1847)&amp;"")</f>
        <v/>
      </c>
      <c r="C1847">
        <f>IF($P1847="","",INDEX(상세표[부서],$P1847)&amp;"")</f>
        <v/>
      </c>
      <c r="D1847">
        <f>IF($P1847="","",INDEX(상세표[직위],$P1847)&amp;"")</f>
        <v/>
      </c>
      <c r="E1847">
        <f>IF($P1847="","",IF(ISNUMBER(INDEX(상세표[시작],$P1847)),TEXT(INDEX(상세표[시작],$P1847),"yyyy-mm-dd hh:mm"),INDEX(상세표[시작],$P1847)&amp;""))</f>
        <v/>
      </c>
      <c r="F1847">
        <f>IF($P1847="","",IF(ISNUMBER(INDEX(상세표[블록종료],$P1847)),TEXT(INDEX(상세표[블록종료],$P1847),"yyyy-mm-dd hh:mm"),INDEX(상세표[블록종료],$P1847)&amp;""))</f>
        <v/>
      </c>
      <c r="G1847">
        <f>IF($P1847="","",CHOOSE(WEEKDAY(INDEX(상세표[시작],$P1847)),"일","월","화","수","목","금","토"))</f>
        <v/>
      </c>
      <c r="H1847">
        <f>IF($P1847="","",INDEX(상세표[연속 시간],$P1847))</f>
        <v/>
      </c>
      <c r="I1847">
        <f>IF($P1847="","",INDEX(상세표[기록 수],$P1847))</f>
        <v/>
      </c>
      <c r="J1847">
        <f>IF($P1847="","",INDEX(상세표[블록 06~07시],$P1847))</f>
        <v/>
      </c>
      <c r="K1847">
        <f>IF($P1847="","",INDEX(상세표[블록 07~18시],$P1847))</f>
        <v/>
      </c>
      <c r="L1847">
        <f>IF($P1847="","",INDEX(상세표[블록 18~22시],$P1847))</f>
        <v/>
      </c>
      <c r="M1847">
        <f>IF($P1847="","",INDEX(상세표[블록 22~06시],$P1847))</f>
        <v/>
      </c>
      <c r="N1847">
        <f>IF($P1847="","",INDEX(상세표[주말·휴일 포함],$P1847)&amp;"")</f>
        <v/>
      </c>
      <c r="O1847">
        <f>IF($P1847="","",INDEX(상세표[월 넘김 포함],$P1847)&amp;"")</f>
        <v/>
      </c>
      <c r="P1847" s="4">
        <f>IFERROR(MATCH(1842,상세표[연속순번],0),"")</f>
        <v/>
      </c>
    </row>
    <row r="1848">
      <c r="A1848">
        <f>IF($P1848="","",INDEX(상세표[사번],$P1848)&amp;"")</f>
        <v/>
      </c>
      <c r="B1848">
        <f>IF($P1848="","",INDEX(상세표[성명],$P1848)&amp;"")</f>
        <v/>
      </c>
      <c r="C1848">
        <f>IF($P1848="","",INDEX(상세표[부서],$P1848)&amp;"")</f>
        <v/>
      </c>
      <c r="D1848">
        <f>IF($P1848="","",INDEX(상세표[직위],$P1848)&amp;"")</f>
        <v/>
      </c>
      <c r="E1848">
        <f>IF($P1848="","",IF(ISNUMBER(INDEX(상세표[시작],$P1848)),TEXT(INDEX(상세표[시작],$P1848),"yyyy-mm-dd hh:mm"),INDEX(상세표[시작],$P1848)&amp;""))</f>
        <v/>
      </c>
      <c r="F1848">
        <f>IF($P1848="","",IF(ISNUMBER(INDEX(상세표[블록종료],$P1848)),TEXT(INDEX(상세표[블록종료],$P1848),"yyyy-mm-dd hh:mm"),INDEX(상세표[블록종료],$P1848)&amp;""))</f>
        <v/>
      </c>
      <c r="G1848">
        <f>IF($P1848="","",CHOOSE(WEEKDAY(INDEX(상세표[시작],$P1848)),"일","월","화","수","목","금","토"))</f>
        <v/>
      </c>
      <c r="H1848">
        <f>IF($P1848="","",INDEX(상세표[연속 시간],$P1848))</f>
        <v/>
      </c>
      <c r="I1848">
        <f>IF($P1848="","",INDEX(상세표[기록 수],$P1848))</f>
        <v/>
      </c>
      <c r="J1848">
        <f>IF($P1848="","",INDEX(상세표[블록 06~07시],$P1848))</f>
        <v/>
      </c>
      <c r="K1848">
        <f>IF($P1848="","",INDEX(상세표[블록 07~18시],$P1848))</f>
        <v/>
      </c>
      <c r="L1848">
        <f>IF($P1848="","",INDEX(상세표[블록 18~22시],$P1848))</f>
        <v/>
      </c>
      <c r="M1848">
        <f>IF($P1848="","",INDEX(상세표[블록 22~06시],$P1848))</f>
        <v/>
      </c>
      <c r="N1848">
        <f>IF($P1848="","",INDEX(상세표[주말·휴일 포함],$P1848)&amp;"")</f>
        <v/>
      </c>
      <c r="O1848">
        <f>IF($P1848="","",INDEX(상세표[월 넘김 포함],$P1848)&amp;"")</f>
        <v/>
      </c>
      <c r="P1848" s="4">
        <f>IFERROR(MATCH(1843,상세표[연속순번],0),"")</f>
        <v/>
      </c>
    </row>
    <row r="1849">
      <c r="A1849">
        <f>IF($P1849="","",INDEX(상세표[사번],$P1849)&amp;"")</f>
        <v/>
      </c>
      <c r="B1849">
        <f>IF($P1849="","",INDEX(상세표[성명],$P1849)&amp;"")</f>
        <v/>
      </c>
      <c r="C1849">
        <f>IF($P1849="","",INDEX(상세표[부서],$P1849)&amp;"")</f>
        <v/>
      </c>
      <c r="D1849">
        <f>IF($P1849="","",INDEX(상세표[직위],$P1849)&amp;"")</f>
        <v/>
      </c>
      <c r="E1849">
        <f>IF($P1849="","",IF(ISNUMBER(INDEX(상세표[시작],$P1849)),TEXT(INDEX(상세표[시작],$P1849),"yyyy-mm-dd hh:mm"),INDEX(상세표[시작],$P1849)&amp;""))</f>
        <v/>
      </c>
      <c r="F1849">
        <f>IF($P1849="","",IF(ISNUMBER(INDEX(상세표[블록종료],$P1849)),TEXT(INDEX(상세표[블록종료],$P1849),"yyyy-mm-dd hh:mm"),INDEX(상세표[블록종료],$P1849)&amp;""))</f>
        <v/>
      </c>
      <c r="G1849">
        <f>IF($P1849="","",CHOOSE(WEEKDAY(INDEX(상세표[시작],$P1849)),"일","월","화","수","목","금","토"))</f>
        <v/>
      </c>
      <c r="H1849">
        <f>IF($P1849="","",INDEX(상세표[연속 시간],$P1849))</f>
        <v/>
      </c>
      <c r="I1849">
        <f>IF($P1849="","",INDEX(상세표[기록 수],$P1849))</f>
        <v/>
      </c>
      <c r="J1849">
        <f>IF($P1849="","",INDEX(상세표[블록 06~07시],$P1849))</f>
        <v/>
      </c>
      <c r="K1849">
        <f>IF($P1849="","",INDEX(상세표[블록 07~18시],$P1849))</f>
        <v/>
      </c>
      <c r="L1849">
        <f>IF($P1849="","",INDEX(상세표[블록 18~22시],$P1849))</f>
        <v/>
      </c>
      <c r="M1849">
        <f>IF($P1849="","",INDEX(상세표[블록 22~06시],$P1849))</f>
        <v/>
      </c>
      <c r="N1849">
        <f>IF($P1849="","",INDEX(상세표[주말·휴일 포함],$P1849)&amp;"")</f>
        <v/>
      </c>
      <c r="O1849">
        <f>IF($P1849="","",INDEX(상세표[월 넘김 포함],$P1849)&amp;"")</f>
        <v/>
      </c>
      <c r="P1849" s="4">
        <f>IFERROR(MATCH(1844,상세표[연속순번],0),"")</f>
        <v/>
      </c>
    </row>
    <row r="1850">
      <c r="A1850">
        <f>IF($P1850="","",INDEX(상세표[사번],$P1850)&amp;"")</f>
        <v/>
      </c>
      <c r="B1850">
        <f>IF($P1850="","",INDEX(상세표[성명],$P1850)&amp;"")</f>
        <v/>
      </c>
      <c r="C1850">
        <f>IF($P1850="","",INDEX(상세표[부서],$P1850)&amp;"")</f>
        <v/>
      </c>
      <c r="D1850">
        <f>IF($P1850="","",INDEX(상세표[직위],$P1850)&amp;"")</f>
        <v/>
      </c>
      <c r="E1850">
        <f>IF($P1850="","",IF(ISNUMBER(INDEX(상세표[시작],$P1850)),TEXT(INDEX(상세표[시작],$P1850),"yyyy-mm-dd hh:mm"),INDEX(상세표[시작],$P1850)&amp;""))</f>
        <v/>
      </c>
      <c r="F1850">
        <f>IF($P1850="","",IF(ISNUMBER(INDEX(상세표[블록종료],$P1850)),TEXT(INDEX(상세표[블록종료],$P1850),"yyyy-mm-dd hh:mm"),INDEX(상세표[블록종료],$P1850)&amp;""))</f>
        <v/>
      </c>
      <c r="G1850">
        <f>IF($P1850="","",CHOOSE(WEEKDAY(INDEX(상세표[시작],$P1850)),"일","월","화","수","목","금","토"))</f>
        <v/>
      </c>
      <c r="H1850">
        <f>IF($P1850="","",INDEX(상세표[연속 시간],$P1850))</f>
        <v/>
      </c>
      <c r="I1850">
        <f>IF($P1850="","",INDEX(상세표[기록 수],$P1850))</f>
        <v/>
      </c>
      <c r="J1850">
        <f>IF($P1850="","",INDEX(상세표[블록 06~07시],$P1850))</f>
        <v/>
      </c>
      <c r="K1850">
        <f>IF($P1850="","",INDEX(상세표[블록 07~18시],$P1850))</f>
        <v/>
      </c>
      <c r="L1850">
        <f>IF($P1850="","",INDEX(상세표[블록 18~22시],$P1850))</f>
        <v/>
      </c>
      <c r="M1850">
        <f>IF($P1850="","",INDEX(상세표[블록 22~06시],$P1850))</f>
        <v/>
      </c>
      <c r="N1850">
        <f>IF($P1850="","",INDEX(상세표[주말·휴일 포함],$P1850)&amp;"")</f>
        <v/>
      </c>
      <c r="O1850">
        <f>IF($P1850="","",INDEX(상세표[월 넘김 포함],$P1850)&amp;"")</f>
        <v/>
      </c>
      <c r="P1850" s="4">
        <f>IFERROR(MATCH(1845,상세표[연속순번],0),"")</f>
        <v/>
      </c>
    </row>
    <row r="1851">
      <c r="A1851">
        <f>IF($P1851="","",INDEX(상세표[사번],$P1851)&amp;"")</f>
        <v/>
      </c>
      <c r="B1851">
        <f>IF($P1851="","",INDEX(상세표[성명],$P1851)&amp;"")</f>
        <v/>
      </c>
      <c r="C1851">
        <f>IF($P1851="","",INDEX(상세표[부서],$P1851)&amp;"")</f>
        <v/>
      </c>
      <c r="D1851">
        <f>IF($P1851="","",INDEX(상세표[직위],$P1851)&amp;"")</f>
        <v/>
      </c>
      <c r="E1851">
        <f>IF($P1851="","",IF(ISNUMBER(INDEX(상세표[시작],$P1851)),TEXT(INDEX(상세표[시작],$P1851),"yyyy-mm-dd hh:mm"),INDEX(상세표[시작],$P1851)&amp;""))</f>
        <v/>
      </c>
      <c r="F1851">
        <f>IF($P1851="","",IF(ISNUMBER(INDEX(상세표[블록종료],$P1851)),TEXT(INDEX(상세표[블록종료],$P1851),"yyyy-mm-dd hh:mm"),INDEX(상세표[블록종료],$P1851)&amp;""))</f>
        <v/>
      </c>
      <c r="G1851">
        <f>IF($P1851="","",CHOOSE(WEEKDAY(INDEX(상세표[시작],$P1851)),"일","월","화","수","목","금","토"))</f>
        <v/>
      </c>
      <c r="H1851">
        <f>IF($P1851="","",INDEX(상세표[연속 시간],$P1851))</f>
        <v/>
      </c>
      <c r="I1851">
        <f>IF($P1851="","",INDEX(상세표[기록 수],$P1851))</f>
        <v/>
      </c>
      <c r="J1851">
        <f>IF($P1851="","",INDEX(상세표[블록 06~07시],$P1851))</f>
        <v/>
      </c>
      <c r="K1851">
        <f>IF($P1851="","",INDEX(상세표[블록 07~18시],$P1851))</f>
        <v/>
      </c>
      <c r="L1851">
        <f>IF($P1851="","",INDEX(상세표[블록 18~22시],$P1851))</f>
        <v/>
      </c>
      <c r="M1851">
        <f>IF($P1851="","",INDEX(상세표[블록 22~06시],$P1851))</f>
        <v/>
      </c>
      <c r="N1851">
        <f>IF($P1851="","",INDEX(상세표[주말·휴일 포함],$P1851)&amp;"")</f>
        <v/>
      </c>
      <c r="O1851">
        <f>IF($P1851="","",INDEX(상세표[월 넘김 포함],$P1851)&amp;"")</f>
        <v/>
      </c>
      <c r="P1851" s="4">
        <f>IFERROR(MATCH(1846,상세표[연속순번],0),"")</f>
        <v/>
      </c>
    </row>
    <row r="1852">
      <c r="A1852">
        <f>IF($P1852="","",INDEX(상세표[사번],$P1852)&amp;"")</f>
        <v/>
      </c>
      <c r="B1852">
        <f>IF($P1852="","",INDEX(상세표[성명],$P1852)&amp;"")</f>
        <v/>
      </c>
      <c r="C1852">
        <f>IF($P1852="","",INDEX(상세표[부서],$P1852)&amp;"")</f>
        <v/>
      </c>
      <c r="D1852">
        <f>IF($P1852="","",INDEX(상세표[직위],$P1852)&amp;"")</f>
        <v/>
      </c>
      <c r="E1852">
        <f>IF($P1852="","",IF(ISNUMBER(INDEX(상세표[시작],$P1852)),TEXT(INDEX(상세표[시작],$P1852),"yyyy-mm-dd hh:mm"),INDEX(상세표[시작],$P1852)&amp;""))</f>
        <v/>
      </c>
      <c r="F1852">
        <f>IF($P1852="","",IF(ISNUMBER(INDEX(상세표[블록종료],$P1852)),TEXT(INDEX(상세표[블록종료],$P1852),"yyyy-mm-dd hh:mm"),INDEX(상세표[블록종료],$P1852)&amp;""))</f>
        <v/>
      </c>
      <c r="G1852">
        <f>IF($P1852="","",CHOOSE(WEEKDAY(INDEX(상세표[시작],$P1852)),"일","월","화","수","목","금","토"))</f>
        <v/>
      </c>
      <c r="H1852">
        <f>IF($P1852="","",INDEX(상세표[연속 시간],$P1852))</f>
        <v/>
      </c>
      <c r="I1852">
        <f>IF($P1852="","",INDEX(상세표[기록 수],$P1852))</f>
        <v/>
      </c>
      <c r="J1852">
        <f>IF($P1852="","",INDEX(상세표[블록 06~07시],$P1852))</f>
        <v/>
      </c>
      <c r="K1852">
        <f>IF($P1852="","",INDEX(상세표[블록 07~18시],$P1852))</f>
        <v/>
      </c>
      <c r="L1852">
        <f>IF($P1852="","",INDEX(상세표[블록 18~22시],$P1852))</f>
        <v/>
      </c>
      <c r="M1852">
        <f>IF($P1852="","",INDEX(상세표[블록 22~06시],$P1852))</f>
        <v/>
      </c>
      <c r="N1852">
        <f>IF($P1852="","",INDEX(상세표[주말·휴일 포함],$P1852)&amp;"")</f>
        <v/>
      </c>
      <c r="O1852">
        <f>IF($P1852="","",INDEX(상세표[월 넘김 포함],$P1852)&amp;"")</f>
        <v/>
      </c>
      <c r="P1852" s="4">
        <f>IFERROR(MATCH(1847,상세표[연속순번],0),"")</f>
        <v/>
      </c>
    </row>
    <row r="1853">
      <c r="A1853">
        <f>IF($P1853="","",INDEX(상세표[사번],$P1853)&amp;"")</f>
        <v/>
      </c>
      <c r="B1853">
        <f>IF($P1853="","",INDEX(상세표[성명],$P1853)&amp;"")</f>
        <v/>
      </c>
      <c r="C1853">
        <f>IF($P1853="","",INDEX(상세표[부서],$P1853)&amp;"")</f>
        <v/>
      </c>
      <c r="D1853">
        <f>IF($P1853="","",INDEX(상세표[직위],$P1853)&amp;"")</f>
        <v/>
      </c>
      <c r="E1853">
        <f>IF($P1853="","",IF(ISNUMBER(INDEX(상세표[시작],$P1853)),TEXT(INDEX(상세표[시작],$P1853),"yyyy-mm-dd hh:mm"),INDEX(상세표[시작],$P1853)&amp;""))</f>
        <v/>
      </c>
      <c r="F1853">
        <f>IF($P1853="","",IF(ISNUMBER(INDEX(상세표[블록종료],$P1853)),TEXT(INDEX(상세표[블록종료],$P1853),"yyyy-mm-dd hh:mm"),INDEX(상세표[블록종료],$P1853)&amp;""))</f>
        <v/>
      </c>
      <c r="G1853">
        <f>IF($P1853="","",CHOOSE(WEEKDAY(INDEX(상세표[시작],$P1853)),"일","월","화","수","목","금","토"))</f>
        <v/>
      </c>
      <c r="H1853">
        <f>IF($P1853="","",INDEX(상세표[연속 시간],$P1853))</f>
        <v/>
      </c>
      <c r="I1853">
        <f>IF($P1853="","",INDEX(상세표[기록 수],$P1853))</f>
        <v/>
      </c>
      <c r="J1853">
        <f>IF($P1853="","",INDEX(상세표[블록 06~07시],$P1853))</f>
        <v/>
      </c>
      <c r="K1853">
        <f>IF($P1853="","",INDEX(상세표[블록 07~18시],$P1853))</f>
        <v/>
      </c>
      <c r="L1853">
        <f>IF($P1853="","",INDEX(상세표[블록 18~22시],$P1853))</f>
        <v/>
      </c>
      <c r="M1853">
        <f>IF($P1853="","",INDEX(상세표[블록 22~06시],$P1853))</f>
        <v/>
      </c>
      <c r="N1853">
        <f>IF($P1853="","",INDEX(상세표[주말·휴일 포함],$P1853)&amp;"")</f>
        <v/>
      </c>
      <c r="O1853">
        <f>IF($P1853="","",INDEX(상세표[월 넘김 포함],$P1853)&amp;"")</f>
        <v/>
      </c>
      <c r="P1853" s="4">
        <f>IFERROR(MATCH(1848,상세표[연속순번],0),"")</f>
        <v/>
      </c>
    </row>
    <row r="1854">
      <c r="A1854">
        <f>IF($P1854="","",INDEX(상세표[사번],$P1854)&amp;"")</f>
        <v/>
      </c>
      <c r="B1854">
        <f>IF($P1854="","",INDEX(상세표[성명],$P1854)&amp;"")</f>
        <v/>
      </c>
      <c r="C1854">
        <f>IF($P1854="","",INDEX(상세표[부서],$P1854)&amp;"")</f>
        <v/>
      </c>
      <c r="D1854">
        <f>IF($P1854="","",INDEX(상세표[직위],$P1854)&amp;"")</f>
        <v/>
      </c>
      <c r="E1854">
        <f>IF($P1854="","",IF(ISNUMBER(INDEX(상세표[시작],$P1854)),TEXT(INDEX(상세표[시작],$P1854),"yyyy-mm-dd hh:mm"),INDEX(상세표[시작],$P1854)&amp;""))</f>
        <v/>
      </c>
      <c r="F1854">
        <f>IF($P1854="","",IF(ISNUMBER(INDEX(상세표[블록종료],$P1854)),TEXT(INDEX(상세표[블록종료],$P1854),"yyyy-mm-dd hh:mm"),INDEX(상세표[블록종료],$P1854)&amp;""))</f>
        <v/>
      </c>
      <c r="G1854">
        <f>IF($P1854="","",CHOOSE(WEEKDAY(INDEX(상세표[시작],$P1854)),"일","월","화","수","목","금","토"))</f>
        <v/>
      </c>
      <c r="H1854">
        <f>IF($P1854="","",INDEX(상세표[연속 시간],$P1854))</f>
        <v/>
      </c>
      <c r="I1854">
        <f>IF($P1854="","",INDEX(상세표[기록 수],$P1854))</f>
        <v/>
      </c>
      <c r="J1854">
        <f>IF($P1854="","",INDEX(상세표[블록 06~07시],$P1854))</f>
        <v/>
      </c>
      <c r="K1854">
        <f>IF($P1854="","",INDEX(상세표[블록 07~18시],$P1854))</f>
        <v/>
      </c>
      <c r="L1854">
        <f>IF($P1854="","",INDEX(상세표[블록 18~22시],$P1854))</f>
        <v/>
      </c>
      <c r="M1854">
        <f>IF($P1854="","",INDEX(상세표[블록 22~06시],$P1854))</f>
        <v/>
      </c>
      <c r="N1854">
        <f>IF($P1854="","",INDEX(상세표[주말·휴일 포함],$P1854)&amp;"")</f>
        <v/>
      </c>
      <c r="O1854">
        <f>IF($P1854="","",INDEX(상세표[월 넘김 포함],$P1854)&amp;"")</f>
        <v/>
      </c>
      <c r="P1854" s="4">
        <f>IFERROR(MATCH(1849,상세표[연속순번],0),"")</f>
        <v/>
      </c>
    </row>
    <row r="1855">
      <c r="A1855">
        <f>IF($P1855="","",INDEX(상세표[사번],$P1855)&amp;"")</f>
        <v/>
      </c>
      <c r="B1855">
        <f>IF($P1855="","",INDEX(상세표[성명],$P1855)&amp;"")</f>
        <v/>
      </c>
      <c r="C1855">
        <f>IF($P1855="","",INDEX(상세표[부서],$P1855)&amp;"")</f>
        <v/>
      </c>
      <c r="D1855">
        <f>IF($P1855="","",INDEX(상세표[직위],$P1855)&amp;"")</f>
        <v/>
      </c>
      <c r="E1855">
        <f>IF($P1855="","",IF(ISNUMBER(INDEX(상세표[시작],$P1855)),TEXT(INDEX(상세표[시작],$P1855),"yyyy-mm-dd hh:mm"),INDEX(상세표[시작],$P1855)&amp;""))</f>
        <v/>
      </c>
      <c r="F1855">
        <f>IF($P1855="","",IF(ISNUMBER(INDEX(상세표[블록종료],$P1855)),TEXT(INDEX(상세표[블록종료],$P1855),"yyyy-mm-dd hh:mm"),INDEX(상세표[블록종료],$P1855)&amp;""))</f>
        <v/>
      </c>
      <c r="G1855">
        <f>IF($P1855="","",CHOOSE(WEEKDAY(INDEX(상세표[시작],$P1855)),"일","월","화","수","목","금","토"))</f>
        <v/>
      </c>
      <c r="H1855">
        <f>IF($P1855="","",INDEX(상세표[연속 시간],$P1855))</f>
        <v/>
      </c>
      <c r="I1855">
        <f>IF($P1855="","",INDEX(상세표[기록 수],$P1855))</f>
        <v/>
      </c>
      <c r="J1855">
        <f>IF($P1855="","",INDEX(상세표[블록 06~07시],$P1855))</f>
        <v/>
      </c>
      <c r="K1855">
        <f>IF($P1855="","",INDEX(상세표[블록 07~18시],$P1855))</f>
        <v/>
      </c>
      <c r="L1855">
        <f>IF($P1855="","",INDEX(상세표[블록 18~22시],$P1855))</f>
        <v/>
      </c>
      <c r="M1855">
        <f>IF($P1855="","",INDEX(상세표[블록 22~06시],$P1855))</f>
        <v/>
      </c>
      <c r="N1855">
        <f>IF($P1855="","",INDEX(상세표[주말·휴일 포함],$P1855)&amp;"")</f>
        <v/>
      </c>
      <c r="O1855">
        <f>IF($P1855="","",INDEX(상세표[월 넘김 포함],$P1855)&amp;"")</f>
        <v/>
      </c>
      <c r="P1855" s="4">
        <f>IFERROR(MATCH(1850,상세표[연속순번],0),"")</f>
        <v/>
      </c>
    </row>
    <row r="1856">
      <c r="A1856">
        <f>IF($P1856="","",INDEX(상세표[사번],$P1856)&amp;"")</f>
        <v/>
      </c>
      <c r="B1856">
        <f>IF($P1856="","",INDEX(상세표[성명],$P1856)&amp;"")</f>
        <v/>
      </c>
      <c r="C1856">
        <f>IF($P1856="","",INDEX(상세표[부서],$P1856)&amp;"")</f>
        <v/>
      </c>
      <c r="D1856">
        <f>IF($P1856="","",INDEX(상세표[직위],$P1856)&amp;"")</f>
        <v/>
      </c>
      <c r="E1856">
        <f>IF($P1856="","",IF(ISNUMBER(INDEX(상세표[시작],$P1856)),TEXT(INDEX(상세표[시작],$P1856),"yyyy-mm-dd hh:mm"),INDEX(상세표[시작],$P1856)&amp;""))</f>
        <v/>
      </c>
      <c r="F1856">
        <f>IF($P1856="","",IF(ISNUMBER(INDEX(상세표[블록종료],$P1856)),TEXT(INDEX(상세표[블록종료],$P1856),"yyyy-mm-dd hh:mm"),INDEX(상세표[블록종료],$P1856)&amp;""))</f>
        <v/>
      </c>
      <c r="G1856">
        <f>IF($P1856="","",CHOOSE(WEEKDAY(INDEX(상세표[시작],$P1856)),"일","월","화","수","목","금","토"))</f>
        <v/>
      </c>
      <c r="H1856">
        <f>IF($P1856="","",INDEX(상세표[연속 시간],$P1856))</f>
        <v/>
      </c>
      <c r="I1856">
        <f>IF($P1856="","",INDEX(상세표[기록 수],$P1856))</f>
        <v/>
      </c>
      <c r="J1856">
        <f>IF($P1856="","",INDEX(상세표[블록 06~07시],$P1856))</f>
        <v/>
      </c>
      <c r="K1856">
        <f>IF($P1856="","",INDEX(상세표[블록 07~18시],$P1856))</f>
        <v/>
      </c>
      <c r="L1856">
        <f>IF($P1856="","",INDEX(상세표[블록 18~22시],$P1856))</f>
        <v/>
      </c>
      <c r="M1856">
        <f>IF($P1856="","",INDEX(상세표[블록 22~06시],$P1856))</f>
        <v/>
      </c>
      <c r="N1856">
        <f>IF($P1856="","",INDEX(상세표[주말·휴일 포함],$P1856)&amp;"")</f>
        <v/>
      </c>
      <c r="O1856">
        <f>IF($P1856="","",INDEX(상세표[월 넘김 포함],$P1856)&amp;"")</f>
        <v/>
      </c>
      <c r="P1856" s="4">
        <f>IFERROR(MATCH(1851,상세표[연속순번],0),"")</f>
        <v/>
      </c>
    </row>
    <row r="1857">
      <c r="A1857">
        <f>IF($P1857="","",INDEX(상세표[사번],$P1857)&amp;"")</f>
        <v/>
      </c>
      <c r="B1857">
        <f>IF($P1857="","",INDEX(상세표[성명],$P1857)&amp;"")</f>
        <v/>
      </c>
      <c r="C1857">
        <f>IF($P1857="","",INDEX(상세표[부서],$P1857)&amp;"")</f>
        <v/>
      </c>
      <c r="D1857">
        <f>IF($P1857="","",INDEX(상세표[직위],$P1857)&amp;"")</f>
        <v/>
      </c>
      <c r="E1857">
        <f>IF($P1857="","",IF(ISNUMBER(INDEX(상세표[시작],$P1857)),TEXT(INDEX(상세표[시작],$P1857),"yyyy-mm-dd hh:mm"),INDEX(상세표[시작],$P1857)&amp;""))</f>
        <v/>
      </c>
      <c r="F1857">
        <f>IF($P1857="","",IF(ISNUMBER(INDEX(상세표[블록종료],$P1857)),TEXT(INDEX(상세표[블록종료],$P1857),"yyyy-mm-dd hh:mm"),INDEX(상세표[블록종료],$P1857)&amp;""))</f>
        <v/>
      </c>
      <c r="G1857">
        <f>IF($P1857="","",CHOOSE(WEEKDAY(INDEX(상세표[시작],$P1857)),"일","월","화","수","목","금","토"))</f>
        <v/>
      </c>
      <c r="H1857">
        <f>IF($P1857="","",INDEX(상세표[연속 시간],$P1857))</f>
        <v/>
      </c>
      <c r="I1857">
        <f>IF($P1857="","",INDEX(상세표[기록 수],$P1857))</f>
        <v/>
      </c>
      <c r="J1857">
        <f>IF($P1857="","",INDEX(상세표[블록 06~07시],$P1857))</f>
        <v/>
      </c>
      <c r="K1857">
        <f>IF($P1857="","",INDEX(상세표[블록 07~18시],$P1857))</f>
        <v/>
      </c>
      <c r="L1857">
        <f>IF($P1857="","",INDEX(상세표[블록 18~22시],$P1857))</f>
        <v/>
      </c>
      <c r="M1857">
        <f>IF($P1857="","",INDEX(상세표[블록 22~06시],$P1857))</f>
        <v/>
      </c>
      <c r="N1857">
        <f>IF($P1857="","",INDEX(상세표[주말·휴일 포함],$P1857)&amp;"")</f>
        <v/>
      </c>
      <c r="O1857">
        <f>IF($P1857="","",INDEX(상세표[월 넘김 포함],$P1857)&amp;"")</f>
        <v/>
      </c>
      <c r="P1857" s="4">
        <f>IFERROR(MATCH(1852,상세표[연속순번],0),"")</f>
        <v/>
      </c>
    </row>
    <row r="1858">
      <c r="A1858">
        <f>IF($P1858="","",INDEX(상세표[사번],$P1858)&amp;"")</f>
        <v/>
      </c>
      <c r="B1858">
        <f>IF($P1858="","",INDEX(상세표[성명],$P1858)&amp;"")</f>
        <v/>
      </c>
      <c r="C1858">
        <f>IF($P1858="","",INDEX(상세표[부서],$P1858)&amp;"")</f>
        <v/>
      </c>
      <c r="D1858">
        <f>IF($P1858="","",INDEX(상세표[직위],$P1858)&amp;"")</f>
        <v/>
      </c>
      <c r="E1858">
        <f>IF($P1858="","",IF(ISNUMBER(INDEX(상세표[시작],$P1858)),TEXT(INDEX(상세표[시작],$P1858),"yyyy-mm-dd hh:mm"),INDEX(상세표[시작],$P1858)&amp;""))</f>
        <v/>
      </c>
      <c r="F1858">
        <f>IF($P1858="","",IF(ISNUMBER(INDEX(상세표[블록종료],$P1858)),TEXT(INDEX(상세표[블록종료],$P1858),"yyyy-mm-dd hh:mm"),INDEX(상세표[블록종료],$P1858)&amp;""))</f>
        <v/>
      </c>
      <c r="G1858">
        <f>IF($P1858="","",CHOOSE(WEEKDAY(INDEX(상세표[시작],$P1858)),"일","월","화","수","목","금","토"))</f>
        <v/>
      </c>
      <c r="H1858">
        <f>IF($P1858="","",INDEX(상세표[연속 시간],$P1858))</f>
        <v/>
      </c>
      <c r="I1858">
        <f>IF($P1858="","",INDEX(상세표[기록 수],$P1858))</f>
        <v/>
      </c>
      <c r="J1858">
        <f>IF($P1858="","",INDEX(상세표[블록 06~07시],$P1858))</f>
        <v/>
      </c>
      <c r="K1858">
        <f>IF($P1858="","",INDEX(상세표[블록 07~18시],$P1858))</f>
        <v/>
      </c>
      <c r="L1858">
        <f>IF($P1858="","",INDEX(상세표[블록 18~22시],$P1858))</f>
        <v/>
      </c>
      <c r="M1858">
        <f>IF($P1858="","",INDEX(상세표[블록 22~06시],$P1858))</f>
        <v/>
      </c>
      <c r="N1858">
        <f>IF($P1858="","",INDEX(상세표[주말·휴일 포함],$P1858)&amp;"")</f>
        <v/>
      </c>
      <c r="O1858">
        <f>IF($P1858="","",INDEX(상세표[월 넘김 포함],$P1858)&amp;"")</f>
        <v/>
      </c>
      <c r="P1858" s="4">
        <f>IFERROR(MATCH(1853,상세표[연속순번],0),"")</f>
        <v/>
      </c>
    </row>
    <row r="1859">
      <c r="A1859">
        <f>IF($P1859="","",INDEX(상세표[사번],$P1859)&amp;"")</f>
        <v/>
      </c>
      <c r="B1859">
        <f>IF($P1859="","",INDEX(상세표[성명],$P1859)&amp;"")</f>
        <v/>
      </c>
      <c r="C1859">
        <f>IF($P1859="","",INDEX(상세표[부서],$P1859)&amp;"")</f>
        <v/>
      </c>
      <c r="D1859">
        <f>IF($P1859="","",INDEX(상세표[직위],$P1859)&amp;"")</f>
        <v/>
      </c>
      <c r="E1859">
        <f>IF($P1859="","",IF(ISNUMBER(INDEX(상세표[시작],$P1859)),TEXT(INDEX(상세표[시작],$P1859),"yyyy-mm-dd hh:mm"),INDEX(상세표[시작],$P1859)&amp;""))</f>
        <v/>
      </c>
      <c r="F1859">
        <f>IF($P1859="","",IF(ISNUMBER(INDEX(상세표[블록종료],$P1859)),TEXT(INDEX(상세표[블록종료],$P1859),"yyyy-mm-dd hh:mm"),INDEX(상세표[블록종료],$P1859)&amp;""))</f>
        <v/>
      </c>
      <c r="G1859">
        <f>IF($P1859="","",CHOOSE(WEEKDAY(INDEX(상세표[시작],$P1859)),"일","월","화","수","목","금","토"))</f>
        <v/>
      </c>
      <c r="H1859">
        <f>IF($P1859="","",INDEX(상세표[연속 시간],$P1859))</f>
        <v/>
      </c>
      <c r="I1859">
        <f>IF($P1859="","",INDEX(상세표[기록 수],$P1859))</f>
        <v/>
      </c>
      <c r="J1859">
        <f>IF($P1859="","",INDEX(상세표[블록 06~07시],$P1859))</f>
        <v/>
      </c>
      <c r="K1859">
        <f>IF($P1859="","",INDEX(상세표[블록 07~18시],$P1859))</f>
        <v/>
      </c>
      <c r="L1859">
        <f>IF($P1859="","",INDEX(상세표[블록 18~22시],$P1859))</f>
        <v/>
      </c>
      <c r="M1859">
        <f>IF($P1859="","",INDEX(상세표[블록 22~06시],$P1859))</f>
        <v/>
      </c>
      <c r="N1859">
        <f>IF($P1859="","",INDEX(상세표[주말·휴일 포함],$P1859)&amp;"")</f>
        <v/>
      </c>
      <c r="O1859">
        <f>IF($P1859="","",INDEX(상세표[월 넘김 포함],$P1859)&amp;"")</f>
        <v/>
      </c>
      <c r="P1859" s="4">
        <f>IFERROR(MATCH(1854,상세표[연속순번],0),"")</f>
        <v/>
      </c>
    </row>
    <row r="1860">
      <c r="A1860">
        <f>IF($P1860="","",INDEX(상세표[사번],$P1860)&amp;"")</f>
        <v/>
      </c>
      <c r="B1860">
        <f>IF($P1860="","",INDEX(상세표[성명],$P1860)&amp;"")</f>
        <v/>
      </c>
      <c r="C1860">
        <f>IF($P1860="","",INDEX(상세표[부서],$P1860)&amp;"")</f>
        <v/>
      </c>
      <c r="D1860">
        <f>IF($P1860="","",INDEX(상세표[직위],$P1860)&amp;"")</f>
        <v/>
      </c>
      <c r="E1860">
        <f>IF($P1860="","",IF(ISNUMBER(INDEX(상세표[시작],$P1860)),TEXT(INDEX(상세표[시작],$P1860),"yyyy-mm-dd hh:mm"),INDEX(상세표[시작],$P1860)&amp;""))</f>
        <v/>
      </c>
      <c r="F1860">
        <f>IF($P1860="","",IF(ISNUMBER(INDEX(상세표[블록종료],$P1860)),TEXT(INDEX(상세표[블록종료],$P1860),"yyyy-mm-dd hh:mm"),INDEX(상세표[블록종료],$P1860)&amp;""))</f>
        <v/>
      </c>
      <c r="G1860">
        <f>IF($P1860="","",CHOOSE(WEEKDAY(INDEX(상세표[시작],$P1860)),"일","월","화","수","목","금","토"))</f>
        <v/>
      </c>
      <c r="H1860">
        <f>IF($P1860="","",INDEX(상세표[연속 시간],$P1860))</f>
        <v/>
      </c>
      <c r="I1860">
        <f>IF($P1860="","",INDEX(상세표[기록 수],$P1860))</f>
        <v/>
      </c>
      <c r="J1860">
        <f>IF($P1860="","",INDEX(상세표[블록 06~07시],$P1860))</f>
        <v/>
      </c>
      <c r="K1860">
        <f>IF($P1860="","",INDEX(상세표[블록 07~18시],$P1860))</f>
        <v/>
      </c>
      <c r="L1860">
        <f>IF($P1860="","",INDEX(상세표[블록 18~22시],$P1860))</f>
        <v/>
      </c>
      <c r="M1860">
        <f>IF($P1860="","",INDEX(상세표[블록 22~06시],$P1860))</f>
        <v/>
      </c>
      <c r="N1860">
        <f>IF($P1860="","",INDEX(상세표[주말·휴일 포함],$P1860)&amp;"")</f>
        <v/>
      </c>
      <c r="O1860">
        <f>IF($P1860="","",INDEX(상세표[월 넘김 포함],$P1860)&amp;"")</f>
        <v/>
      </c>
      <c r="P1860" s="4">
        <f>IFERROR(MATCH(1855,상세표[연속순번],0),"")</f>
        <v/>
      </c>
    </row>
    <row r="1861">
      <c r="A1861">
        <f>IF($P1861="","",INDEX(상세표[사번],$P1861)&amp;"")</f>
        <v/>
      </c>
      <c r="B1861">
        <f>IF($P1861="","",INDEX(상세표[성명],$P1861)&amp;"")</f>
        <v/>
      </c>
      <c r="C1861">
        <f>IF($P1861="","",INDEX(상세표[부서],$P1861)&amp;"")</f>
        <v/>
      </c>
      <c r="D1861">
        <f>IF($P1861="","",INDEX(상세표[직위],$P1861)&amp;"")</f>
        <v/>
      </c>
      <c r="E1861">
        <f>IF($P1861="","",IF(ISNUMBER(INDEX(상세표[시작],$P1861)),TEXT(INDEX(상세표[시작],$P1861),"yyyy-mm-dd hh:mm"),INDEX(상세표[시작],$P1861)&amp;""))</f>
        <v/>
      </c>
      <c r="F1861">
        <f>IF($P1861="","",IF(ISNUMBER(INDEX(상세표[블록종료],$P1861)),TEXT(INDEX(상세표[블록종료],$P1861),"yyyy-mm-dd hh:mm"),INDEX(상세표[블록종료],$P1861)&amp;""))</f>
        <v/>
      </c>
      <c r="G1861">
        <f>IF($P1861="","",CHOOSE(WEEKDAY(INDEX(상세표[시작],$P1861)),"일","월","화","수","목","금","토"))</f>
        <v/>
      </c>
      <c r="H1861">
        <f>IF($P1861="","",INDEX(상세표[연속 시간],$P1861))</f>
        <v/>
      </c>
      <c r="I1861">
        <f>IF($P1861="","",INDEX(상세표[기록 수],$P1861))</f>
        <v/>
      </c>
      <c r="J1861">
        <f>IF($P1861="","",INDEX(상세표[블록 06~07시],$P1861))</f>
        <v/>
      </c>
      <c r="K1861">
        <f>IF($P1861="","",INDEX(상세표[블록 07~18시],$P1861))</f>
        <v/>
      </c>
      <c r="L1861">
        <f>IF($P1861="","",INDEX(상세표[블록 18~22시],$P1861))</f>
        <v/>
      </c>
      <c r="M1861">
        <f>IF($P1861="","",INDEX(상세표[블록 22~06시],$P1861))</f>
        <v/>
      </c>
      <c r="N1861">
        <f>IF($P1861="","",INDEX(상세표[주말·휴일 포함],$P1861)&amp;"")</f>
        <v/>
      </c>
      <c r="O1861">
        <f>IF($P1861="","",INDEX(상세표[월 넘김 포함],$P1861)&amp;"")</f>
        <v/>
      </c>
      <c r="P1861" s="4">
        <f>IFERROR(MATCH(1856,상세표[연속순번],0),"")</f>
        <v/>
      </c>
    </row>
    <row r="1862">
      <c r="A1862">
        <f>IF($P1862="","",INDEX(상세표[사번],$P1862)&amp;"")</f>
        <v/>
      </c>
      <c r="B1862">
        <f>IF($P1862="","",INDEX(상세표[성명],$P1862)&amp;"")</f>
        <v/>
      </c>
      <c r="C1862">
        <f>IF($P1862="","",INDEX(상세표[부서],$P1862)&amp;"")</f>
        <v/>
      </c>
      <c r="D1862">
        <f>IF($P1862="","",INDEX(상세표[직위],$P1862)&amp;"")</f>
        <v/>
      </c>
      <c r="E1862">
        <f>IF($P1862="","",IF(ISNUMBER(INDEX(상세표[시작],$P1862)),TEXT(INDEX(상세표[시작],$P1862),"yyyy-mm-dd hh:mm"),INDEX(상세표[시작],$P1862)&amp;""))</f>
        <v/>
      </c>
      <c r="F1862">
        <f>IF($P1862="","",IF(ISNUMBER(INDEX(상세표[블록종료],$P1862)),TEXT(INDEX(상세표[블록종료],$P1862),"yyyy-mm-dd hh:mm"),INDEX(상세표[블록종료],$P1862)&amp;""))</f>
        <v/>
      </c>
      <c r="G1862">
        <f>IF($P1862="","",CHOOSE(WEEKDAY(INDEX(상세표[시작],$P1862)),"일","월","화","수","목","금","토"))</f>
        <v/>
      </c>
      <c r="H1862">
        <f>IF($P1862="","",INDEX(상세표[연속 시간],$P1862))</f>
        <v/>
      </c>
      <c r="I1862">
        <f>IF($P1862="","",INDEX(상세표[기록 수],$P1862))</f>
        <v/>
      </c>
      <c r="J1862">
        <f>IF($P1862="","",INDEX(상세표[블록 06~07시],$P1862))</f>
        <v/>
      </c>
      <c r="K1862">
        <f>IF($P1862="","",INDEX(상세표[블록 07~18시],$P1862))</f>
        <v/>
      </c>
      <c r="L1862">
        <f>IF($P1862="","",INDEX(상세표[블록 18~22시],$P1862))</f>
        <v/>
      </c>
      <c r="M1862">
        <f>IF($P1862="","",INDEX(상세표[블록 22~06시],$P1862))</f>
        <v/>
      </c>
      <c r="N1862">
        <f>IF($P1862="","",INDEX(상세표[주말·휴일 포함],$P1862)&amp;"")</f>
        <v/>
      </c>
      <c r="O1862">
        <f>IF($P1862="","",INDEX(상세표[월 넘김 포함],$P1862)&amp;"")</f>
        <v/>
      </c>
      <c r="P1862" s="4">
        <f>IFERROR(MATCH(1857,상세표[연속순번],0),"")</f>
        <v/>
      </c>
    </row>
    <row r="1863">
      <c r="A1863">
        <f>IF($P1863="","",INDEX(상세표[사번],$P1863)&amp;"")</f>
        <v/>
      </c>
      <c r="B1863">
        <f>IF($P1863="","",INDEX(상세표[성명],$P1863)&amp;"")</f>
        <v/>
      </c>
      <c r="C1863">
        <f>IF($P1863="","",INDEX(상세표[부서],$P1863)&amp;"")</f>
        <v/>
      </c>
      <c r="D1863">
        <f>IF($P1863="","",INDEX(상세표[직위],$P1863)&amp;"")</f>
        <v/>
      </c>
      <c r="E1863">
        <f>IF($P1863="","",IF(ISNUMBER(INDEX(상세표[시작],$P1863)),TEXT(INDEX(상세표[시작],$P1863),"yyyy-mm-dd hh:mm"),INDEX(상세표[시작],$P1863)&amp;""))</f>
        <v/>
      </c>
      <c r="F1863">
        <f>IF($P1863="","",IF(ISNUMBER(INDEX(상세표[블록종료],$P1863)),TEXT(INDEX(상세표[블록종료],$P1863),"yyyy-mm-dd hh:mm"),INDEX(상세표[블록종료],$P1863)&amp;""))</f>
        <v/>
      </c>
      <c r="G1863">
        <f>IF($P1863="","",CHOOSE(WEEKDAY(INDEX(상세표[시작],$P1863)),"일","월","화","수","목","금","토"))</f>
        <v/>
      </c>
      <c r="H1863">
        <f>IF($P1863="","",INDEX(상세표[연속 시간],$P1863))</f>
        <v/>
      </c>
      <c r="I1863">
        <f>IF($P1863="","",INDEX(상세표[기록 수],$P1863))</f>
        <v/>
      </c>
      <c r="J1863">
        <f>IF($P1863="","",INDEX(상세표[블록 06~07시],$P1863))</f>
        <v/>
      </c>
      <c r="K1863">
        <f>IF($P1863="","",INDEX(상세표[블록 07~18시],$P1863))</f>
        <v/>
      </c>
      <c r="L1863">
        <f>IF($P1863="","",INDEX(상세표[블록 18~22시],$P1863))</f>
        <v/>
      </c>
      <c r="M1863">
        <f>IF($P1863="","",INDEX(상세표[블록 22~06시],$P1863))</f>
        <v/>
      </c>
      <c r="N1863">
        <f>IF($P1863="","",INDEX(상세표[주말·휴일 포함],$P1863)&amp;"")</f>
        <v/>
      </c>
      <c r="O1863">
        <f>IF($P1863="","",INDEX(상세표[월 넘김 포함],$P1863)&amp;"")</f>
        <v/>
      </c>
      <c r="P1863" s="4">
        <f>IFERROR(MATCH(1858,상세표[연속순번],0),"")</f>
        <v/>
      </c>
    </row>
    <row r="1864">
      <c r="A1864">
        <f>IF($P1864="","",INDEX(상세표[사번],$P1864)&amp;"")</f>
        <v/>
      </c>
      <c r="B1864">
        <f>IF($P1864="","",INDEX(상세표[성명],$P1864)&amp;"")</f>
        <v/>
      </c>
      <c r="C1864">
        <f>IF($P1864="","",INDEX(상세표[부서],$P1864)&amp;"")</f>
        <v/>
      </c>
      <c r="D1864">
        <f>IF($P1864="","",INDEX(상세표[직위],$P1864)&amp;"")</f>
        <v/>
      </c>
      <c r="E1864">
        <f>IF($P1864="","",IF(ISNUMBER(INDEX(상세표[시작],$P1864)),TEXT(INDEX(상세표[시작],$P1864),"yyyy-mm-dd hh:mm"),INDEX(상세표[시작],$P1864)&amp;""))</f>
        <v/>
      </c>
      <c r="F1864">
        <f>IF($P1864="","",IF(ISNUMBER(INDEX(상세표[블록종료],$P1864)),TEXT(INDEX(상세표[블록종료],$P1864),"yyyy-mm-dd hh:mm"),INDEX(상세표[블록종료],$P1864)&amp;""))</f>
        <v/>
      </c>
      <c r="G1864">
        <f>IF($P1864="","",CHOOSE(WEEKDAY(INDEX(상세표[시작],$P1864)),"일","월","화","수","목","금","토"))</f>
        <v/>
      </c>
      <c r="H1864">
        <f>IF($P1864="","",INDEX(상세표[연속 시간],$P1864))</f>
        <v/>
      </c>
      <c r="I1864">
        <f>IF($P1864="","",INDEX(상세표[기록 수],$P1864))</f>
        <v/>
      </c>
      <c r="J1864">
        <f>IF($P1864="","",INDEX(상세표[블록 06~07시],$P1864))</f>
        <v/>
      </c>
      <c r="K1864">
        <f>IF($P1864="","",INDEX(상세표[블록 07~18시],$P1864))</f>
        <v/>
      </c>
      <c r="L1864">
        <f>IF($P1864="","",INDEX(상세표[블록 18~22시],$P1864))</f>
        <v/>
      </c>
      <c r="M1864">
        <f>IF($P1864="","",INDEX(상세표[블록 22~06시],$P1864))</f>
        <v/>
      </c>
      <c r="N1864">
        <f>IF($P1864="","",INDEX(상세표[주말·휴일 포함],$P1864)&amp;"")</f>
        <v/>
      </c>
      <c r="O1864">
        <f>IF($P1864="","",INDEX(상세표[월 넘김 포함],$P1864)&amp;"")</f>
        <v/>
      </c>
      <c r="P1864" s="4">
        <f>IFERROR(MATCH(1859,상세표[연속순번],0),"")</f>
        <v/>
      </c>
    </row>
    <row r="1865">
      <c r="A1865">
        <f>IF($P1865="","",INDEX(상세표[사번],$P1865)&amp;"")</f>
        <v/>
      </c>
      <c r="B1865">
        <f>IF($P1865="","",INDEX(상세표[성명],$P1865)&amp;"")</f>
        <v/>
      </c>
      <c r="C1865">
        <f>IF($P1865="","",INDEX(상세표[부서],$P1865)&amp;"")</f>
        <v/>
      </c>
      <c r="D1865">
        <f>IF($P1865="","",INDEX(상세표[직위],$P1865)&amp;"")</f>
        <v/>
      </c>
      <c r="E1865">
        <f>IF($P1865="","",IF(ISNUMBER(INDEX(상세표[시작],$P1865)),TEXT(INDEX(상세표[시작],$P1865),"yyyy-mm-dd hh:mm"),INDEX(상세표[시작],$P1865)&amp;""))</f>
        <v/>
      </c>
      <c r="F1865">
        <f>IF($P1865="","",IF(ISNUMBER(INDEX(상세표[블록종료],$P1865)),TEXT(INDEX(상세표[블록종료],$P1865),"yyyy-mm-dd hh:mm"),INDEX(상세표[블록종료],$P1865)&amp;""))</f>
        <v/>
      </c>
      <c r="G1865">
        <f>IF($P1865="","",CHOOSE(WEEKDAY(INDEX(상세표[시작],$P1865)),"일","월","화","수","목","금","토"))</f>
        <v/>
      </c>
      <c r="H1865">
        <f>IF($P1865="","",INDEX(상세표[연속 시간],$P1865))</f>
        <v/>
      </c>
      <c r="I1865">
        <f>IF($P1865="","",INDEX(상세표[기록 수],$P1865))</f>
        <v/>
      </c>
      <c r="J1865">
        <f>IF($P1865="","",INDEX(상세표[블록 06~07시],$P1865))</f>
        <v/>
      </c>
      <c r="K1865">
        <f>IF($P1865="","",INDEX(상세표[블록 07~18시],$P1865))</f>
        <v/>
      </c>
      <c r="L1865">
        <f>IF($P1865="","",INDEX(상세표[블록 18~22시],$P1865))</f>
        <v/>
      </c>
      <c r="M1865">
        <f>IF($P1865="","",INDEX(상세표[블록 22~06시],$P1865))</f>
        <v/>
      </c>
      <c r="N1865">
        <f>IF($P1865="","",INDEX(상세표[주말·휴일 포함],$P1865)&amp;"")</f>
        <v/>
      </c>
      <c r="O1865">
        <f>IF($P1865="","",INDEX(상세표[월 넘김 포함],$P1865)&amp;"")</f>
        <v/>
      </c>
      <c r="P1865" s="4">
        <f>IFERROR(MATCH(1860,상세표[연속순번],0),"")</f>
        <v/>
      </c>
    </row>
    <row r="1866">
      <c r="A1866">
        <f>IF($P1866="","",INDEX(상세표[사번],$P1866)&amp;"")</f>
        <v/>
      </c>
      <c r="B1866">
        <f>IF($P1866="","",INDEX(상세표[성명],$P1866)&amp;"")</f>
        <v/>
      </c>
      <c r="C1866">
        <f>IF($P1866="","",INDEX(상세표[부서],$P1866)&amp;"")</f>
        <v/>
      </c>
      <c r="D1866">
        <f>IF($P1866="","",INDEX(상세표[직위],$P1866)&amp;"")</f>
        <v/>
      </c>
      <c r="E1866">
        <f>IF($P1866="","",IF(ISNUMBER(INDEX(상세표[시작],$P1866)),TEXT(INDEX(상세표[시작],$P1866),"yyyy-mm-dd hh:mm"),INDEX(상세표[시작],$P1866)&amp;""))</f>
        <v/>
      </c>
      <c r="F1866">
        <f>IF($P1866="","",IF(ISNUMBER(INDEX(상세표[블록종료],$P1866)),TEXT(INDEX(상세표[블록종료],$P1866),"yyyy-mm-dd hh:mm"),INDEX(상세표[블록종료],$P1866)&amp;""))</f>
        <v/>
      </c>
      <c r="G1866">
        <f>IF($P1866="","",CHOOSE(WEEKDAY(INDEX(상세표[시작],$P1866)),"일","월","화","수","목","금","토"))</f>
        <v/>
      </c>
      <c r="H1866">
        <f>IF($P1866="","",INDEX(상세표[연속 시간],$P1866))</f>
        <v/>
      </c>
      <c r="I1866">
        <f>IF($P1866="","",INDEX(상세표[기록 수],$P1866))</f>
        <v/>
      </c>
      <c r="J1866">
        <f>IF($P1866="","",INDEX(상세표[블록 06~07시],$P1866))</f>
        <v/>
      </c>
      <c r="K1866">
        <f>IF($P1866="","",INDEX(상세표[블록 07~18시],$P1866))</f>
        <v/>
      </c>
      <c r="L1866">
        <f>IF($P1866="","",INDEX(상세표[블록 18~22시],$P1866))</f>
        <v/>
      </c>
      <c r="M1866">
        <f>IF($P1866="","",INDEX(상세표[블록 22~06시],$P1866))</f>
        <v/>
      </c>
      <c r="N1866">
        <f>IF($P1866="","",INDEX(상세표[주말·휴일 포함],$P1866)&amp;"")</f>
        <v/>
      </c>
      <c r="O1866">
        <f>IF($P1866="","",INDEX(상세표[월 넘김 포함],$P1866)&amp;"")</f>
        <v/>
      </c>
      <c r="P1866" s="4">
        <f>IFERROR(MATCH(1861,상세표[연속순번],0),"")</f>
        <v/>
      </c>
    </row>
    <row r="1867">
      <c r="A1867">
        <f>IF($P1867="","",INDEX(상세표[사번],$P1867)&amp;"")</f>
        <v/>
      </c>
      <c r="B1867">
        <f>IF($P1867="","",INDEX(상세표[성명],$P1867)&amp;"")</f>
        <v/>
      </c>
      <c r="C1867">
        <f>IF($P1867="","",INDEX(상세표[부서],$P1867)&amp;"")</f>
        <v/>
      </c>
      <c r="D1867">
        <f>IF($P1867="","",INDEX(상세표[직위],$P1867)&amp;"")</f>
        <v/>
      </c>
      <c r="E1867">
        <f>IF($P1867="","",IF(ISNUMBER(INDEX(상세표[시작],$P1867)),TEXT(INDEX(상세표[시작],$P1867),"yyyy-mm-dd hh:mm"),INDEX(상세표[시작],$P1867)&amp;""))</f>
        <v/>
      </c>
      <c r="F1867">
        <f>IF($P1867="","",IF(ISNUMBER(INDEX(상세표[블록종료],$P1867)),TEXT(INDEX(상세표[블록종료],$P1867),"yyyy-mm-dd hh:mm"),INDEX(상세표[블록종료],$P1867)&amp;""))</f>
        <v/>
      </c>
      <c r="G1867">
        <f>IF($P1867="","",CHOOSE(WEEKDAY(INDEX(상세표[시작],$P1867)),"일","월","화","수","목","금","토"))</f>
        <v/>
      </c>
      <c r="H1867">
        <f>IF($P1867="","",INDEX(상세표[연속 시간],$P1867))</f>
        <v/>
      </c>
      <c r="I1867">
        <f>IF($P1867="","",INDEX(상세표[기록 수],$P1867))</f>
        <v/>
      </c>
      <c r="J1867">
        <f>IF($P1867="","",INDEX(상세표[블록 06~07시],$P1867))</f>
        <v/>
      </c>
      <c r="K1867">
        <f>IF($P1867="","",INDEX(상세표[블록 07~18시],$P1867))</f>
        <v/>
      </c>
      <c r="L1867">
        <f>IF($P1867="","",INDEX(상세표[블록 18~22시],$P1867))</f>
        <v/>
      </c>
      <c r="M1867">
        <f>IF($P1867="","",INDEX(상세표[블록 22~06시],$P1867))</f>
        <v/>
      </c>
      <c r="N1867">
        <f>IF($P1867="","",INDEX(상세표[주말·휴일 포함],$P1867)&amp;"")</f>
        <v/>
      </c>
      <c r="O1867">
        <f>IF($P1867="","",INDEX(상세표[월 넘김 포함],$P1867)&amp;"")</f>
        <v/>
      </c>
      <c r="P1867" s="4">
        <f>IFERROR(MATCH(1862,상세표[연속순번],0),"")</f>
        <v/>
      </c>
    </row>
    <row r="1868">
      <c r="A1868">
        <f>IF($P1868="","",INDEX(상세표[사번],$P1868)&amp;"")</f>
        <v/>
      </c>
      <c r="B1868">
        <f>IF($P1868="","",INDEX(상세표[성명],$P1868)&amp;"")</f>
        <v/>
      </c>
      <c r="C1868">
        <f>IF($P1868="","",INDEX(상세표[부서],$P1868)&amp;"")</f>
        <v/>
      </c>
      <c r="D1868">
        <f>IF($P1868="","",INDEX(상세표[직위],$P1868)&amp;"")</f>
        <v/>
      </c>
      <c r="E1868">
        <f>IF($P1868="","",IF(ISNUMBER(INDEX(상세표[시작],$P1868)),TEXT(INDEX(상세표[시작],$P1868),"yyyy-mm-dd hh:mm"),INDEX(상세표[시작],$P1868)&amp;""))</f>
        <v/>
      </c>
      <c r="F1868">
        <f>IF($P1868="","",IF(ISNUMBER(INDEX(상세표[블록종료],$P1868)),TEXT(INDEX(상세표[블록종료],$P1868),"yyyy-mm-dd hh:mm"),INDEX(상세표[블록종료],$P1868)&amp;""))</f>
        <v/>
      </c>
      <c r="G1868">
        <f>IF($P1868="","",CHOOSE(WEEKDAY(INDEX(상세표[시작],$P1868)),"일","월","화","수","목","금","토"))</f>
        <v/>
      </c>
      <c r="H1868">
        <f>IF($P1868="","",INDEX(상세표[연속 시간],$P1868))</f>
        <v/>
      </c>
      <c r="I1868">
        <f>IF($P1868="","",INDEX(상세표[기록 수],$P1868))</f>
        <v/>
      </c>
      <c r="J1868">
        <f>IF($P1868="","",INDEX(상세표[블록 06~07시],$P1868))</f>
        <v/>
      </c>
      <c r="K1868">
        <f>IF($P1868="","",INDEX(상세표[블록 07~18시],$P1868))</f>
        <v/>
      </c>
      <c r="L1868">
        <f>IF($P1868="","",INDEX(상세표[블록 18~22시],$P1868))</f>
        <v/>
      </c>
      <c r="M1868">
        <f>IF($P1868="","",INDEX(상세표[블록 22~06시],$P1868))</f>
        <v/>
      </c>
      <c r="N1868">
        <f>IF($P1868="","",INDEX(상세표[주말·휴일 포함],$P1868)&amp;"")</f>
        <v/>
      </c>
      <c r="O1868">
        <f>IF($P1868="","",INDEX(상세표[월 넘김 포함],$P1868)&amp;"")</f>
        <v/>
      </c>
      <c r="P1868" s="4">
        <f>IFERROR(MATCH(1863,상세표[연속순번],0),"")</f>
        <v/>
      </c>
    </row>
    <row r="1869">
      <c r="A1869">
        <f>IF($P1869="","",INDEX(상세표[사번],$P1869)&amp;"")</f>
        <v/>
      </c>
      <c r="B1869">
        <f>IF($P1869="","",INDEX(상세표[성명],$P1869)&amp;"")</f>
        <v/>
      </c>
      <c r="C1869">
        <f>IF($P1869="","",INDEX(상세표[부서],$P1869)&amp;"")</f>
        <v/>
      </c>
      <c r="D1869">
        <f>IF($P1869="","",INDEX(상세표[직위],$P1869)&amp;"")</f>
        <v/>
      </c>
      <c r="E1869">
        <f>IF($P1869="","",IF(ISNUMBER(INDEX(상세표[시작],$P1869)),TEXT(INDEX(상세표[시작],$P1869),"yyyy-mm-dd hh:mm"),INDEX(상세표[시작],$P1869)&amp;""))</f>
        <v/>
      </c>
      <c r="F1869">
        <f>IF($P1869="","",IF(ISNUMBER(INDEX(상세표[블록종료],$P1869)),TEXT(INDEX(상세표[블록종료],$P1869),"yyyy-mm-dd hh:mm"),INDEX(상세표[블록종료],$P1869)&amp;""))</f>
        <v/>
      </c>
      <c r="G1869">
        <f>IF($P1869="","",CHOOSE(WEEKDAY(INDEX(상세표[시작],$P1869)),"일","월","화","수","목","금","토"))</f>
        <v/>
      </c>
      <c r="H1869">
        <f>IF($P1869="","",INDEX(상세표[연속 시간],$P1869))</f>
        <v/>
      </c>
      <c r="I1869">
        <f>IF($P1869="","",INDEX(상세표[기록 수],$P1869))</f>
        <v/>
      </c>
      <c r="J1869">
        <f>IF($P1869="","",INDEX(상세표[블록 06~07시],$P1869))</f>
        <v/>
      </c>
      <c r="K1869">
        <f>IF($P1869="","",INDEX(상세표[블록 07~18시],$P1869))</f>
        <v/>
      </c>
      <c r="L1869">
        <f>IF($P1869="","",INDEX(상세표[블록 18~22시],$P1869))</f>
        <v/>
      </c>
      <c r="M1869">
        <f>IF($P1869="","",INDEX(상세표[블록 22~06시],$P1869))</f>
        <v/>
      </c>
      <c r="N1869">
        <f>IF($P1869="","",INDEX(상세표[주말·휴일 포함],$P1869)&amp;"")</f>
        <v/>
      </c>
      <c r="O1869">
        <f>IF($P1869="","",INDEX(상세표[월 넘김 포함],$P1869)&amp;"")</f>
        <v/>
      </c>
      <c r="P1869" s="4">
        <f>IFERROR(MATCH(1864,상세표[연속순번],0),"")</f>
        <v/>
      </c>
    </row>
    <row r="1870">
      <c r="A1870">
        <f>IF($P1870="","",INDEX(상세표[사번],$P1870)&amp;"")</f>
        <v/>
      </c>
      <c r="B1870">
        <f>IF($P1870="","",INDEX(상세표[성명],$P1870)&amp;"")</f>
        <v/>
      </c>
      <c r="C1870">
        <f>IF($P1870="","",INDEX(상세표[부서],$P1870)&amp;"")</f>
        <v/>
      </c>
      <c r="D1870">
        <f>IF($P1870="","",INDEX(상세표[직위],$P1870)&amp;"")</f>
        <v/>
      </c>
      <c r="E1870">
        <f>IF($P1870="","",IF(ISNUMBER(INDEX(상세표[시작],$P1870)),TEXT(INDEX(상세표[시작],$P1870),"yyyy-mm-dd hh:mm"),INDEX(상세표[시작],$P1870)&amp;""))</f>
        <v/>
      </c>
      <c r="F1870">
        <f>IF($P1870="","",IF(ISNUMBER(INDEX(상세표[블록종료],$P1870)),TEXT(INDEX(상세표[블록종료],$P1870),"yyyy-mm-dd hh:mm"),INDEX(상세표[블록종료],$P1870)&amp;""))</f>
        <v/>
      </c>
      <c r="G1870">
        <f>IF($P1870="","",CHOOSE(WEEKDAY(INDEX(상세표[시작],$P1870)),"일","월","화","수","목","금","토"))</f>
        <v/>
      </c>
      <c r="H1870">
        <f>IF($P1870="","",INDEX(상세표[연속 시간],$P1870))</f>
        <v/>
      </c>
      <c r="I1870">
        <f>IF($P1870="","",INDEX(상세표[기록 수],$P1870))</f>
        <v/>
      </c>
      <c r="J1870">
        <f>IF($P1870="","",INDEX(상세표[블록 06~07시],$P1870))</f>
        <v/>
      </c>
      <c r="K1870">
        <f>IF($P1870="","",INDEX(상세표[블록 07~18시],$P1870))</f>
        <v/>
      </c>
      <c r="L1870">
        <f>IF($P1870="","",INDEX(상세표[블록 18~22시],$P1870))</f>
        <v/>
      </c>
      <c r="M1870">
        <f>IF($P1870="","",INDEX(상세표[블록 22~06시],$P1870))</f>
        <v/>
      </c>
      <c r="N1870">
        <f>IF($P1870="","",INDEX(상세표[주말·휴일 포함],$P1870)&amp;"")</f>
        <v/>
      </c>
      <c r="O1870">
        <f>IF($P1870="","",INDEX(상세표[월 넘김 포함],$P1870)&amp;"")</f>
        <v/>
      </c>
      <c r="P1870" s="4">
        <f>IFERROR(MATCH(1865,상세표[연속순번],0),"")</f>
        <v/>
      </c>
    </row>
    <row r="1871">
      <c r="A1871">
        <f>IF($P1871="","",INDEX(상세표[사번],$P1871)&amp;"")</f>
        <v/>
      </c>
      <c r="B1871">
        <f>IF($P1871="","",INDEX(상세표[성명],$P1871)&amp;"")</f>
        <v/>
      </c>
      <c r="C1871">
        <f>IF($P1871="","",INDEX(상세표[부서],$P1871)&amp;"")</f>
        <v/>
      </c>
      <c r="D1871">
        <f>IF($P1871="","",INDEX(상세표[직위],$P1871)&amp;"")</f>
        <v/>
      </c>
      <c r="E1871">
        <f>IF($P1871="","",IF(ISNUMBER(INDEX(상세표[시작],$P1871)),TEXT(INDEX(상세표[시작],$P1871),"yyyy-mm-dd hh:mm"),INDEX(상세표[시작],$P1871)&amp;""))</f>
        <v/>
      </c>
      <c r="F1871">
        <f>IF($P1871="","",IF(ISNUMBER(INDEX(상세표[블록종료],$P1871)),TEXT(INDEX(상세표[블록종료],$P1871),"yyyy-mm-dd hh:mm"),INDEX(상세표[블록종료],$P1871)&amp;""))</f>
        <v/>
      </c>
      <c r="G1871">
        <f>IF($P1871="","",CHOOSE(WEEKDAY(INDEX(상세표[시작],$P1871)),"일","월","화","수","목","금","토"))</f>
        <v/>
      </c>
      <c r="H1871">
        <f>IF($P1871="","",INDEX(상세표[연속 시간],$P1871))</f>
        <v/>
      </c>
      <c r="I1871">
        <f>IF($P1871="","",INDEX(상세표[기록 수],$P1871))</f>
        <v/>
      </c>
      <c r="J1871">
        <f>IF($P1871="","",INDEX(상세표[블록 06~07시],$P1871))</f>
        <v/>
      </c>
      <c r="K1871">
        <f>IF($P1871="","",INDEX(상세표[블록 07~18시],$P1871))</f>
        <v/>
      </c>
      <c r="L1871">
        <f>IF($P1871="","",INDEX(상세표[블록 18~22시],$P1871))</f>
        <v/>
      </c>
      <c r="M1871">
        <f>IF($P1871="","",INDEX(상세표[블록 22~06시],$P1871))</f>
        <v/>
      </c>
      <c r="N1871">
        <f>IF($P1871="","",INDEX(상세표[주말·휴일 포함],$P1871)&amp;"")</f>
        <v/>
      </c>
      <c r="O1871">
        <f>IF($P1871="","",INDEX(상세표[월 넘김 포함],$P1871)&amp;"")</f>
        <v/>
      </c>
      <c r="P1871" s="4">
        <f>IFERROR(MATCH(1866,상세표[연속순번],0),"")</f>
        <v/>
      </c>
    </row>
    <row r="1872">
      <c r="A1872">
        <f>IF($P1872="","",INDEX(상세표[사번],$P1872)&amp;"")</f>
        <v/>
      </c>
      <c r="B1872">
        <f>IF($P1872="","",INDEX(상세표[성명],$P1872)&amp;"")</f>
        <v/>
      </c>
      <c r="C1872">
        <f>IF($P1872="","",INDEX(상세표[부서],$P1872)&amp;"")</f>
        <v/>
      </c>
      <c r="D1872">
        <f>IF($P1872="","",INDEX(상세표[직위],$P1872)&amp;"")</f>
        <v/>
      </c>
      <c r="E1872">
        <f>IF($P1872="","",IF(ISNUMBER(INDEX(상세표[시작],$P1872)),TEXT(INDEX(상세표[시작],$P1872),"yyyy-mm-dd hh:mm"),INDEX(상세표[시작],$P1872)&amp;""))</f>
        <v/>
      </c>
      <c r="F1872">
        <f>IF($P1872="","",IF(ISNUMBER(INDEX(상세표[블록종료],$P1872)),TEXT(INDEX(상세표[블록종료],$P1872),"yyyy-mm-dd hh:mm"),INDEX(상세표[블록종료],$P1872)&amp;""))</f>
        <v/>
      </c>
      <c r="G1872">
        <f>IF($P1872="","",CHOOSE(WEEKDAY(INDEX(상세표[시작],$P1872)),"일","월","화","수","목","금","토"))</f>
        <v/>
      </c>
      <c r="H1872">
        <f>IF($P1872="","",INDEX(상세표[연속 시간],$P1872))</f>
        <v/>
      </c>
      <c r="I1872">
        <f>IF($P1872="","",INDEX(상세표[기록 수],$P1872))</f>
        <v/>
      </c>
      <c r="J1872">
        <f>IF($P1872="","",INDEX(상세표[블록 06~07시],$P1872))</f>
        <v/>
      </c>
      <c r="K1872">
        <f>IF($P1872="","",INDEX(상세표[블록 07~18시],$P1872))</f>
        <v/>
      </c>
      <c r="L1872">
        <f>IF($P1872="","",INDEX(상세표[블록 18~22시],$P1872))</f>
        <v/>
      </c>
      <c r="M1872">
        <f>IF($P1872="","",INDEX(상세표[블록 22~06시],$P1872))</f>
        <v/>
      </c>
      <c r="N1872">
        <f>IF($P1872="","",INDEX(상세표[주말·휴일 포함],$P1872)&amp;"")</f>
        <v/>
      </c>
      <c r="O1872">
        <f>IF($P1872="","",INDEX(상세표[월 넘김 포함],$P1872)&amp;"")</f>
        <v/>
      </c>
      <c r="P1872" s="4">
        <f>IFERROR(MATCH(1867,상세표[연속순번],0),"")</f>
        <v/>
      </c>
    </row>
    <row r="1873">
      <c r="A1873">
        <f>IF($P1873="","",INDEX(상세표[사번],$P1873)&amp;"")</f>
        <v/>
      </c>
      <c r="B1873">
        <f>IF($P1873="","",INDEX(상세표[성명],$P1873)&amp;"")</f>
        <v/>
      </c>
      <c r="C1873">
        <f>IF($P1873="","",INDEX(상세표[부서],$P1873)&amp;"")</f>
        <v/>
      </c>
      <c r="D1873">
        <f>IF($P1873="","",INDEX(상세표[직위],$P1873)&amp;"")</f>
        <v/>
      </c>
      <c r="E1873">
        <f>IF($P1873="","",IF(ISNUMBER(INDEX(상세표[시작],$P1873)),TEXT(INDEX(상세표[시작],$P1873),"yyyy-mm-dd hh:mm"),INDEX(상세표[시작],$P1873)&amp;""))</f>
        <v/>
      </c>
      <c r="F1873">
        <f>IF($P1873="","",IF(ISNUMBER(INDEX(상세표[블록종료],$P1873)),TEXT(INDEX(상세표[블록종료],$P1873),"yyyy-mm-dd hh:mm"),INDEX(상세표[블록종료],$P1873)&amp;""))</f>
        <v/>
      </c>
      <c r="G1873">
        <f>IF($P1873="","",CHOOSE(WEEKDAY(INDEX(상세표[시작],$P1873)),"일","월","화","수","목","금","토"))</f>
        <v/>
      </c>
      <c r="H1873">
        <f>IF($P1873="","",INDEX(상세표[연속 시간],$P1873))</f>
        <v/>
      </c>
      <c r="I1873">
        <f>IF($P1873="","",INDEX(상세표[기록 수],$P1873))</f>
        <v/>
      </c>
      <c r="J1873">
        <f>IF($P1873="","",INDEX(상세표[블록 06~07시],$P1873))</f>
        <v/>
      </c>
      <c r="K1873">
        <f>IF($P1873="","",INDEX(상세표[블록 07~18시],$P1873))</f>
        <v/>
      </c>
      <c r="L1873">
        <f>IF($P1873="","",INDEX(상세표[블록 18~22시],$P1873))</f>
        <v/>
      </c>
      <c r="M1873">
        <f>IF($P1873="","",INDEX(상세표[블록 22~06시],$P1873))</f>
        <v/>
      </c>
      <c r="N1873">
        <f>IF($P1873="","",INDEX(상세표[주말·휴일 포함],$P1873)&amp;"")</f>
        <v/>
      </c>
      <c r="O1873">
        <f>IF($P1873="","",INDEX(상세표[월 넘김 포함],$P1873)&amp;"")</f>
        <v/>
      </c>
      <c r="P1873" s="4">
        <f>IFERROR(MATCH(1868,상세표[연속순번],0),"")</f>
        <v/>
      </c>
    </row>
    <row r="1874">
      <c r="A1874">
        <f>IF($P1874="","",INDEX(상세표[사번],$P1874)&amp;"")</f>
        <v/>
      </c>
      <c r="B1874">
        <f>IF($P1874="","",INDEX(상세표[성명],$P1874)&amp;"")</f>
        <v/>
      </c>
      <c r="C1874">
        <f>IF($P1874="","",INDEX(상세표[부서],$P1874)&amp;"")</f>
        <v/>
      </c>
      <c r="D1874">
        <f>IF($P1874="","",INDEX(상세표[직위],$P1874)&amp;"")</f>
        <v/>
      </c>
      <c r="E1874">
        <f>IF($P1874="","",IF(ISNUMBER(INDEX(상세표[시작],$P1874)),TEXT(INDEX(상세표[시작],$P1874),"yyyy-mm-dd hh:mm"),INDEX(상세표[시작],$P1874)&amp;""))</f>
        <v/>
      </c>
      <c r="F1874">
        <f>IF($P1874="","",IF(ISNUMBER(INDEX(상세표[블록종료],$P1874)),TEXT(INDEX(상세표[블록종료],$P1874),"yyyy-mm-dd hh:mm"),INDEX(상세표[블록종료],$P1874)&amp;""))</f>
        <v/>
      </c>
      <c r="G1874">
        <f>IF($P1874="","",CHOOSE(WEEKDAY(INDEX(상세표[시작],$P1874)),"일","월","화","수","목","금","토"))</f>
        <v/>
      </c>
      <c r="H1874">
        <f>IF($P1874="","",INDEX(상세표[연속 시간],$P1874))</f>
        <v/>
      </c>
      <c r="I1874">
        <f>IF($P1874="","",INDEX(상세표[기록 수],$P1874))</f>
        <v/>
      </c>
      <c r="J1874">
        <f>IF($P1874="","",INDEX(상세표[블록 06~07시],$P1874))</f>
        <v/>
      </c>
      <c r="K1874">
        <f>IF($P1874="","",INDEX(상세표[블록 07~18시],$P1874))</f>
        <v/>
      </c>
      <c r="L1874">
        <f>IF($P1874="","",INDEX(상세표[블록 18~22시],$P1874))</f>
        <v/>
      </c>
      <c r="M1874">
        <f>IF($P1874="","",INDEX(상세표[블록 22~06시],$P1874))</f>
        <v/>
      </c>
      <c r="N1874">
        <f>IF($P1874="","",INDEX(상세표[주말·휴일 포함],$P1874)&amp;"")</f>
        <v/>
      </c>
      <c r="O1874">
        <f>IF($P1874="","",INDEX(상세표[월 넘김 포함],$P1874)&amp;"")</f>
        <v/>
      </c>
      <c r="P1874" s="4">
        <f>IFERROR(MATCH(1869,상세표[연속순번],0),"")</f>
        <v/>
      </c>
    </row>
    <row r="1875">
      <c r="A1875">
        <f>IF($P1875="","",INDEX(상세표[사번],$P1875)&amp;"")</f>
        <v/>
      </c>
      <c r="B1875">
        <f>IF($P1875="","",INDEX(상세표[성명],$P1875)&amp;"")</f>
        <v/>
      </c>
      <c r="C1875">
        <f>IF($P1875="","",INDEX(상세표[부서],$P1875)&amp;"")</f>
        <v/>
      </c>
      <c r="D1875">
        <f>IF($P1875="","",INDEX(상세표[직위],$P1875)&amp;"")</f>
        <v/>
      </c>
      <c r="E1875">
        <f>IF($P1875="","",IF(ISNUMBER(INDEX(상세표[시작],$P1875)),TEXT(INDEX(상세표[시작],$P1875),"yyyy-mm-dd hh:mm"),INDEX(상세표[시작],$P1875)&amp;""))</f>
        <v/>
      </c>
      <c r="F1875">
        <f>IF($P1875="","",IF(ISNUMBER(INDEX(상세표[블록종료],$P1875)),TEXT(INDEX(상세표[블록종료],$P1875),"yyyy-mm-dd hh:mm"),INDEX(상세표[블록종료],$P1875)&amp;""))</f>
        <v/>
      </c>
      <c r="G1875">
        <f>IF($P1875="","",CHOOSE(WEEKDAY(INDEX(상세표[시작],$P1875)),"일","월","화","수","목","금","토"))</f>
        <v/>
      </c>
      <c r="H1875">
        <f>IF($P1875="","",INDEX(상세표[연속 시간],$P1875))</f>
        <v/>
      </c>
      <c r="I1875">
        <f>IF($P1875="","",INDEX(상세표[기록 수],$P1875))</f>
        <v/>
      </c>
      <c r="J1875">
        <f>IF($P1875="","",INDEX(상세표[블록 06~07시],$P1875))</f>
        <v/>
      </c>
      <c r="K1875">
        <f>IF($P1875="","",INDEX(상세표[블록 07~18시],$P1875))</f>
        <v/>
      </c>
      <c r="L1875">
        <f>IF($P1875="","",INDEX(상세표[블록 18~22시],$P1875))</f>
        <v/>
      </c>
      <c r="M1875">
        <f>IF($P1875="","",INDEX(상세표[블록 22~06시],$P1875))</f>
        <v/>
      </c>
      <c r="N1875">
        <f>IF($P1875="","",INDEX(상세표[주말·휴일 포함],$P1875)&amp;"")</f>
        <v/>
      </c>
      <c r="O1875">
        <f>IF($P1875="","",INDEX(상세표[월 넘김 포함],$P1875)&amp;"")</f>
        <v/>
      </c>
      <c r="P1875" s="4">
        <f>IFERROR(MATCH(1870,상세표[연속순번],0),"")</f>
        <v/>
      </c>
    </row>
    <row r="1876">
      <c r="A1876">
        <f>IF($P1876="","",INDEX(상세표[사번],$P1876)&amp;"")</f>
        <v/>
      </c>
      <c r="B1876">
        <f>IF($P1876="","",INDEX(상세표[성명],$P1876)&amp;"")</f>
        <v/>
      </c>
      <c r="C1876">
        <f>IF($P1876="","",INDEX(상세표[부서],$P1876)&amp;"")</f>
        <v/>
      </c>
      <c r="D1876">
        <f>IF($P1876="","",INDEX(상세표[직위],$P1876)&amp;"")</f>
        <v/>
      </c>
      <c r="E1876">
        <f>IF($P1876="","",IF(ISNUMBER(INDEX(상세표[시작],$P1876)),TEXT(INDEX(상세표[시작],$P1876),"yyyy-mm-dd hh:mm"),INDEX(상세표[시작],$P1876)&amp;""))</f>
        <v/>
      </c>
      <c r="F1876">
        <f>IF($P1876="","",IF(ISNUMBER(INDEX(상세표[블록종료],$P1876)),TEXT(INDEX(상세표[블록종료],$P1876),"yyyy-mm-dd hh:mm"),INDEX(상세표[블록종료],$P1876)&amp;""))</f>
        <v/>
      </c>
      <c r="G1876">
        <f>IF($P1876="","",CHOOSE(WEEKDAY(INDEX(상세표[시작],$P1876)),"일","월","화","수","목","금","토"))</f>
        <v/>
      </c>
      <c r="H1876">
        <f>IF($P1876="","",INDEX(상세표[연속 시간],$P1876))</f>
        <v/>
      </c>
      <c r="I1876">
        <f>IF($P1876="","",INDEX(상세표[기록 수],$P1876))</f>
        <v/>
      </c>
      <c r="J1876">
        <f>IF($P1876="","",INDEX(상세표[블록 06~07시],$P1876))</f>
        <v/>
      </c>
      <c r="K1876">
        <f>IF($P1876="","",INDEX(상세표[블록 07~18시],$P1876))</f>
        <v/>
      </c>
      <c r="L1876">
        <f>IF($P1876="","",INDEX(상세표[블록 18~22시],$P1876))</f>
        <v/>
      </c>
      <c r="M1876">
        <f>IF($P1876="","",INDEX(상세표[블록 22~06시],$P1876))</f>
        <v/>
      </c>
      <c r="N1876">
        <f>IF($P1876="","",INDEX(상세표[주말·휴일 포함],$P1876)&amp;"")</f>
        <v/>
      </c>
      <c r="O1876">
        <f>IF($P1876="","",INDEX(상세표[월 넘김 포함],$P1876)&amp;"")</f>
        <v/>
      </c>
      <c r="P1876" s="4">
        <f>IFERROR(MATCH(1871,상세표[연속순번],0),"")</f>
        <v/>
      </c>
    </row>
    <row r="1877">
      <c r="A1877">
        <f>IF($P1877="","",INDEX(상세표[사번],$P1877)&amp;"")</f>
        <v/>
      </c>
      <c r="B1877">
        <f>IF($P1877="","",INDEX(상세표[성명],$P1877)&amp;"")</f>
        <v/>
      </c>
      <c r="C1877">
        <f>IF($P1877="","",INDEX(상세표[부서],$P1877)&amp;"")</f>
        <v/>
      </c>
      <c r="D1877">
        <f>IF($P1877="","",INDEX(상세표[직위],$P1877)&amp;"")</f>
        <v/>
      </c>
      <c r="E1877">
        <f>IF($P1877="","",IF(ISNUMBER(INDEX(상세표[시작],$P1877)),TEXT(INDEX(상세표[시작],$P1877),"yyyy-mm-dd hh:mm"),INDEX(상세표[시작],$P1877)&amp;""))</f>
        <v/>
      </c>
      <c r="F1877">
        <f>IF($P1877="","",IF(ISNUMBER(INDEX(상세표[블록종료],$P1877)),TEXT(INDEX(상세표[블록종료],$P1877),"yyyy-mm-dd hh:mm"),INDEX(상세표[블록종료],$P1877)&amp;""))</f>
        <v/>
      </c>
      <c r="G1877">
        <f>IF($P1877="","",CHOOSE(WEEKDAY(INDEX(상세표[시작],$P1877)),"일","월","화","수","목","금","토"))</f>
        <v/>
      </c>
      <c r="H1877">
        <f>IF($P1877="","",INDEX(상세표[연속 시간],$P1877))</f>
        <v/>
      </c>
      <c r="I1877">
        <f>IF($P1877="","",INDEX(상세표[기록 수],$P1877))</f>
        <v/>
      </c>
      <c r="J1877">
        <f>IF($P1877="","",INDEX(상세표[블록 06~07시],$P1877))</f>
        <v/>
      </c>
      <c r="K1877">
        <f>IF($P1877="","",INDEX(상세표[블록 07~18시],$P1877))</f>
        <v/>
      </c>
      <c r="L1877">
        <f>IF($P1877="","",INDEX(상세표[블록 18~22시],$P1877))</f>
        <v/>
      </c>
      <c r="M1877">
        <f>IF($P1877="","",INDEX(상세표[블록 22~06시],$P1877))</f>
        <v/>
      </c>
      <c r="N1877">
        <f>IF($P1877="","",INDEX(상세표[주말·휴일 포함],$P1877)&amp;"")</f>
        <v/>
      </c>
      <c r="O1877">
        <f>IF($P1877="","",INDEX(상세표[월 넘김 포함],$P1877)&amp;"")</f>
        <v/>
      </c>
      <c r="P1877" s="4">
        <f>IFERROR(MATCH(1872,상세표[연속순번],0),"")</f>
        <v/>
      </c>
    </row>
    <row r="1878">
      <c r="A1878">
        <f>IF($P1878="","",INDEX(상세표[사번],$P1878)&amp;"")</f>
        <v/>
      </c>
      <c r="B1878">
        <f>IF($P1878="","",INDEX(상세표[성명],$P1878)&amp;"")</f>
        <v/>
      </c>
      <c r="C1878">
        <f>IF($P1878="","",INDEX(상세표[부서],$P1878)&amp;"")</f>
        <v/>
      </c>
      <c r="D1878">
        <f>IF($P1878="","",INDEX(상세표[직위],$P1878)&amp;"")</f>
        <v/>
      </c>
      <c r="E1878">
        <f>IF($P1878="","",IF(ISNUMBER(INDEX(상세표[시작],$P1878)),TEXT(INDEX(상세표[시작],$P1878),"yyyy-mm-dd hh:mm"),INDEX(상세표[시작],$P1878)&amp;""))</f>
        <v/>
      </c>
      <c r="F1878">
        <f>IF($P1878="","",IF(ISNUMBER(INDEX(상세표[블록종료],$P1878)),TEXT(INDEX(상세표[블록종료],$P1878),"yyyy-mm-dd hh:mm"),INDEX(상세표[블록종료],$P1878)&amp;""))</f>
        <v/>
      </c>
      <c r="G1878">
        <f>IF($P1878="","",CHOOSE(WEEKDAY(INDEX(상세표[시작],$P1878)),"일","월","화","수","목","금","토"))</f>
        <v/>
      </c>
      <c r="H1878">
        <f>IF($P1878="","",INDEX(상세표[연속 시간],$P1878))</f>
        <v/>
      </c>
      <c r="I1878">
        <f>IF($P1878="","",INDEX(상세표[기록 수],$P1878))</f>
        <v/>
      </c>
      <c r="J1878">
        <f>IF($P1878="","",INDEX(상세표[블록 06~07시],$P1878))</f>
        <v/>
      </c>
      <c r="K1878">
        <f>IF($P1878="","",INDEX(상세표[블록 07~18시],$P1878))</f>
        <v/>
      </c>
      <c r="L1878">
        <f>IF($P1878="","",INDEX(상세표[블록 18~22시],$P1878))</f>
        <v/>
      </c>
      <c r="M1878">
        <f>IF($P1878="","",INDEX(상세표[블록 22~06시],$P1878))</f>
        <v/>
      </c>
      <c r="N1878">
        <f>IF($P1878="","",INDEX(상세표[주말·휴일 포함],$P1878)&amp;"")</f>
        <v/>
      </c>
      <c r="O1878">
        <f>IF($P1878="","",INDEX(상세표[월 넘김 포함],$P1878)&amp;"")</f>
        <v/>
      </c>
      <c r="P1878" s="4">
        <f>IFERROR(MATCH(1873,상세표[연속순번],0),"")</f>
        <v/>
      </c>
    </row>
    <row r="1879">
      <c r="A1879">
        <f>IF($P1879="","",INDEX(상세표[사번],$P1879)&amp;"")</f>
        <v/>
      </c>
      <c r="B1879">
        <f>IF($P1879="","",INDEX(상세표[성명],$P1879)&amp;"")</f>
        <v/>
      </c>
      <c r="C1879">
        <f>IF($P1879="","",INDEX(상세표[부서],$P1879)&amp;"")</f>
        <v/>
      </c>
      <c r="D1879">
        <f>IF($P1879="","",INDEX(상세표[직위],$P1879)&amp;"")</f>
        <v/>
      </c>
      <c r="E1879">
        <f>IF($P1879="","",IF(ISNUMBER(INDEX(상세표[시작],$P1879)),TEXT(INDEX(상세표[시작],$P1879),"yyyy-mm-dd hh:mm"),INDEX(상세표[시작],$P1879)&amp;""))</f>
        <v/>
      </c>
      <c r="F1879">
        <f>IF($P1879="","",IF(ISNUMBER(INDEX(상세표[블록종료],$P1879)),TEXT(INDEX(상세표[블록종료],$P1879),"yyyy-mm-dd hh:mm"),INDEX(상세표[블록종료],$P1879)&amp;""))</f>
        <v/>
      </c>
      <c r="G1879">
        <f>IF($P1879="","",CHOOSE(WEEKDAY(INDEX(상세표[시작],$P1879)),"일","월","화","수","목","금","토"))</f>
        <v/>
      </c>
      <c r="H1879">
        <f>IF($P1879="","",INDEX(상세표[연속 시간],$P1879))</f>
        <v/>
      </c>
      <c r="I1879">
        <f>IF($P1879="","",INDEX(상세표[기록 수],$P1879))</f>
        <v/>
      </c>
      <c r="J1879">
        <f>IF($P1879="","",INDEX(상세표[블록 06~07시],$P1879))</f>
        <v/>
      </c>
      <c r="K1879">
        <f>IF($P1879="","",INDEX(상세표[블록 07~18시],$P1879))</f>
        <v/>
      </c>
      <c r="L1879">
        <f>IF($P1879="","",INDEX(상세표[블록 18~22시],$P1879))</f>
        <v/>
      </c>
      <c r="M1879">
        <f>IF($P1879="","",INDEX(상세표[블록 22~06시],$P1879))</f>
        <v/>
      </c>
      <c r="N1879">
        <f>IF($P1879="","",INDEX(상세표[주말·휴일 포함],$P1879)&amp;"")</f>
        <v/>
      </c>
      <c r="O1879">
        <f>IF($P1879="","",INDEX(상세표[월 넘김 포함],$P1879)&amp;"")</f>
        <v/>
      </c>
      <c r="P1879" s="4">
        <f>IFERROR(MATCH(1874,상세표[연속순번],0),"")</f>
        <v/>
      </c>
    </row>
    <row r="1880">
      <c r="A1880">
        <f>IF($P1880="","",INDEX(상세표[사번],$P1880)&amp;"")</f>
        <v/>
      </c>
      <c r="B1880">
        <f>IF($P1880="","",INDEX(상세표[성명],$P1880)&amp;"")</f>
        <v/>
      </c>
      <c r="C1880">
        <f>IF($P1880="","",INDEX(상세표[부서],$P1880)&amp;"")</f>
        <v/>
      </c>
      <c r="D1880">
        <f>IF($P1880="","",INDEX(상세표[직위],$P1880)&amp;"")</f>
        <v/>
      </c>
      <c r="E1880">
        <f>IF($P1880="","",IF(ISNUMBER(INDEX(상세표[시작],$P1880)),TEXT(INDEX(상세표[시작],$P1880),"yyyy-mm-dd hh:mm"),INDEX(상세표[시작],$P1880)&amp;""))</f>
        <v/>
      </c>
      <c r="F1880">
        <f>IF($P1880="","",IF(ISNUMBER(INDEX(상세표[블록종료],$P1880)),TEXT(INDEX(상세표[블록종료],$P1880),"yyyy-mm-dd hh:mm"),INDEX(상세표[블록종료],$P1880)&amp;""))</f>
        <v/>
      </c>
      <c r="G1880">
        <f>IF($P1880="","",CHOOSE(WEEKDAY(INDEX(상세표[시작],$P1880)),"일","월","화","수","목","금","토"))</f>
        <v/>
      </c>
      <c r="H1880">
        <f>IF($P1880="","",INDEX(상세표[연속 시간],$P1880))</f>
        <v/>
      </c>
      <c r="I1880">
        <f>IF($P1880="","",INDEX(상세표[기록 수],$P1880))</f>
        <v/>
      </c>
      <c r="J1880">
        <f>IF($P1880="","",INDEX(상세표[블록 06~07시],$P1880))</f>
        <v/>
      </c>
      <c r="K1880">
        <f>IF($P1880="","",INDEX(상세표[블록 07~18시],$P1880))</f>
        <v/>
      </c>
      <c r="L1880">
        <f>IF($P1880="","",INDEX(상세표[블록 18~22시],$P1880))</f>
        <v/>
      </c>
      <c r="M1880">
        <f>IF($P1880="","",INDEX(상세표[블록 22~06시],$P1880))</f>
        <v/>
      </c>
      <c r="N1880">
        <f>IF($P1880="","",INDEX(상세표[주말·휴일 포함],$P1880)&amp;"")</f>
        <v/>
      </c>
      <c r="O1880">
        <f>IF($P1880="","",INDEX(상세표[월 넘김 포함],$P1880)&amp;"")</f>
        <v/>
      </c>
      <c r="P1880" s="4">
        <f>IFERROR(MATCH(1875,상세표[연속순번],0),"")</f>
        <v/>
      </c>
    </row>
    <row r="1881">
      <c r="A1881">
        <f>IF($P1881="","",INDEX(상세표[사번],$P1881)&amp;"")</f>
        <v/>
      </c>
      <c r="B1881">
        <f>IF($P1881="","",INDEX(상세표[성명],$P1881)&amp;"")</f>
        <v/>
      </c>
      <c r="C1881">
        <f>IF($P1881="","",INDEX(상세표[부서],$P1881)&amp;"")</f>
        <v/>
      </c>
      <c r="D1881">
        <f>IF($P1881="","",INDEX(상세표[직위],$P1881)&amp;"")</f>
        <v/>
      </c>
      <c r="E1881">
        <f>IF($P1881="","",IF(ISNUMBER(INDEX(상세표[시작],$P1881)),TEXT(INDEX(상세표[시작],$P1881),"yyyy-mm-dd hh:mm"),INDEX(상세표[시작],$P1881)&amp;""))</f>
        <v/>
      </c>
      <c r="F1881">
        <f>IF($P1881="","",IF(ISNUMBER(INDEX(상세표[블록종료],$P1881)),TEXT(INDEX(상세표[블록종료],$P1881),"yyyy-mm-dd hh:mm"),INDEX(상세표[블록종료],$P1881)&amp;""))</f>
        <v/>
      </c>
      <c r="G1881">
        <f>IF($P1881="","",CHOOSE(WEEKDAY(INDEX(상세표[시작],$P1881)),"일","월","화","수","목","금","토"))</f>
        <v/>
      </c>
      <c r="H1881">
        <f>IF($P1881="","",INDEX(상세표[연속 시간],$P1881))</f>
        <v/>
      </c>
      <c r="I1881">
        <f>IF($P1881="","",INDEX(상세표[기록 수],$P1881))</f>
        <v/>
      </c>
      <c r="J1881">
        <f>IF($P1881="","",INDEX(상세표[블록 06~07시],$P1881))</f>
        <v/>
      </c>
      <c r="K1881">
        <f>IF($P1881="","",INDEX(상세표[블록 07~18시],$P1881))</f>
        <v/>
      </c>
      <c r="L1881">
        <f>IF($P1881="","",INDEX(상세표[블록 18~22시],$P1881))</f>
        <v/>
      </c>
      <c r="M1881">
        <f>IF($P1881="","",INDEX(상세표[블록 22~06시],$P1881))</f>
        <v/>
      </c>
      <c r="N1881">
        <f>IF($P1881="","",INDEX(상세표[주말·휴일 포함],$P1881)&amp;"")</f>
        <v/>
      </c>
      <c r="O1881">
        <f>IF($P1881="","",INDEX(상세표[월 넘김 포함],$P1881)&amp;"")</f>
        <v/>
      </c>
      <c r="P1881" s="4">
        <f>IFERROR(MATCH(1876,상세표[연속순번],0),"")</f>
        <v/>
      </c>
    </row>
    <row r="1882">
      <c r="A1882">
        <f>IF($P1882="","",INDEX(상세표[사번],$P1882)&amp;"")</f>
        <v/>
      </c>
      <c r="B1882">
        <f>IF($P1882="","",INDEX(상세표[성명],$P1882)&amp;"")</f>
        <v/>
      </c>
      <c r="C1882">
        <f>IF($P1882="","",INDEX(상세표[부서],$P1882)&amp;"")</f>
        <v/>
      </c>
      <c r="D1882">
        <f>IF($P1882="","",INDEX(상세표[직위],$P1882)&amp;"")</f>
        <v/>
      </c>
      <c r="E1882">
        <f>IF($P1882="","",IF(ISNUMBER(INDEX(상세표[시작],$P1882)),TEXT(INDEX(상세표[시작],$P1882),"yyyy-mm-dd hh:mm"),INDEX(상세표[시작],$P1882)&amp;""))</f>
        <v/>
      </c>
      <c r="F1882">
        <f>IF($P1882="","",IF(ISNUMBER(INDEX(상세표[블록종료],$P1882)),TEXT(INDEX(상세표[블록종료],$P1882),"yyyy-mm-dd hh:mm"),INDEX(상세표[블록종료],$P1882)&amp;""))</f>
        <v/>
      </c>
      <c r="G1882">
        <f>IF($P1882="","",CHOOSE(WEEKDAY(INDEX(상세표[시작],$P1882)),"일","월","화","수","목","금","토"))</f>
        <v/>
      </c>
      <c r="H1882">
        <f>IF($P1882="","",INDEX(상세표[연속 시간],$P1882))</f>
        <v/>
      </c>
      <c r="I1882">
        <f>IF($P1882="","",INDEX(상세표[기록 수],$P1882))</f>
        <v/>
      </c>
      <c r="J1882">
        <f>IF($P1882="","",INDEX(상세표[블록 06~07시],$P1882))</f>
        <v/>
      </c>
      <c r="K1882">
        <f>IF($P1882="","",INDEX(상세표[블록 07~18시],$P1882))</f>
        <v/>
      </c>
      <c r="L1882">
        <f>IF($P1882="","",INDEX(상세표[블록 18~22시],$P1882))</f>
        <v/>
      </c>
      <c r="M1882">
        <f>IF($P1882="","",INDEX(상세표[블록 22~06시],$P1882))</f>
        <v/>
      </c>
      <c r="N1882">
        <f>IF($P1882="","",INDEX(상세표[주말·휴일 포함],$P1882)&amp;"")</f>
        <v/>
      </c>
      <c r="O1882">
        <f>IF($P1882="","",INDEX(상세표[월 넘김 포함],$P1882)&amp;"")</f>
        <v/>
      </c>
      <c r="P1882" s="4">
        <f>IFERROR(MATCH(1877,상세표[연속순번],0),"")</f>
        <v/>
      </c>
    </row>
    <row r="1883">
      <c r="A1883">
        <f>IF($P1883="","",INDEX(상세표[사번],$P1883)&amp;"")</f>
        <v/>
      </c>
      <c r="B1883">
        <f>IF($P1883="","",INDEX(상세표[성명],$P1883)&amp;"")</f>
        <v/>
      </c>
      <c r="C1883">
        <f>IF($P1883="","",INDEX(상세표[부서],$P1883)&amp;"")</f>
        <v/>
      </c>
      <c r="D1883">
        <f>IF($P1883="","",INDEX(상세표[직위],$P1883)&amp;"")</f>
        <v/>
      </c>
      <c r="E1883">
        <f>IF($P1883="","",IF(ISNUMBER(INDEX(상세표[시작],$P1883)),TEXT(INDEX(상세표[시작],$P1883),"yyyy-mm-dd hh:mm"),INDEX(상세표[시작],$P1883)&amp;""))</f>
        <v/>
      </c>
      <c r="F1883">
        <f>IF($P1883="","",IF(ISNUMBER(INDEX(상세표[블록종료],$P1883)),TEXT(INDEX(상세표[블록종료],$P1883),"yyyy-mm-dd hh:mm"),INDEX(상세표[블록종료],$P1883)&amp;""))</f>
        <v/>
      </c>
      <c r="G1883">
        <f>IF($P1883="","",CHOOSE(WEEKDAY(INDEX(상세표[시작],$P1883)),"일","월","화","수","목","금","토"))</f>
        <v/>
      </c>
      <c r="H1883">
        <f>IF($P1883="","",INDEX(상세표[연속 시간],$P1883))</f>
        <v/>
      </c>
      <c r="I1883">
        <f>IF($P1883="","",INDEX(상세표[기록 수],$P1883))</f>
        <v/>
      </c>
      <c r="J1883">
        <f>IF($P1883="","",INDEX(상세표[블록 06~07시],$P1883))</f>
        <v/>
      </c>
      <c r="K1883">
        <f>IF($P1883="","",INDEX(상세표[블록 07~18시],$P1883))</f>
        <v/>
      </c>
      <c r="L1883">
        <f>IF($P1883="","",INDEX(상세표[블록 18~22시],$P1883))</f>
        <v/>
      </c>
      <c r="M1883">
        <f>IF($P1883="","",INDEX(상세표[블록 22~06시],$P1883))</f>
        <v/>
      </c>
      <c r="N1883">
        <f>IF($P1883="","",INDEX(상세표[주말·휴일 포함],$P1883)&amp;"")</f>
        <v/>
      </c>
      <c r="O1883">
        <f>IF($P1883="","",INDEX(상세표[월 넘김 포함],$P1883)&amp;"")</f>
        <v/>
      </c>
      <c r="P1883" s="4">
        <f>IFERROR(MATCH(1878,상세표[연속순번],0),"")</f>
        <v/>
      </c>
    </row>
    <row r="1884">
      <c r="A1884">
        <f>IF($P1884="","",INDEX(상세표[사번],$P1884)&amp;"")</f>
        <v/>
      </c>
      <c r="B1884">
        <f>IF($P1884="","",INDEX(상세표[성명],$P1884)&amp;"")</f>
        <v/>
      </c>
      <c r="C1884">
        <f>IF($P1884="","",INDEX(상세표[부서],$P1884)&amp;"")</f>
        <v/>
      </c>
      <c r="D1884">
        <f>IF($P1884="","",INDEX(상세표[직위],$P1884)&amp;"")</f>
        <v/>
      </c>
      <c r="E1884">
        <f>IF($P1884="","",IF(ISNUMBER(INDEX(상세표[시작],$P1884)),TEXT(INDEX(상세표[시작],$P1884),"yyyy-mm-dd hh:mm"),INDEX(상세표[시작],$P1884)&amp;""))</f>
        <v/>
      </c>
      <c r="F1884">
        <f>IF($P1884="","",IF(ISNUMBER(INDEX(상세표[블록종료],$P1884)),TEXT(INDEX(상세표[블록종료],$P1884),"yyyy-mm-dd hh:mm"),INDEX(상세표[블록종료],$P1884)&amp;""))</f>
        <v/>
      </c>
      <c r="G1884">
        <f>IF($P1884="","",CHOOSE(WEEKDAY(INDEX(상세표[시작],$P1884)),"일","월","화","수","목","금","토"))</f>
        <v/>
      </c>
      <c r="H1884">
        <f>IF($P1884="","",INDEX(상세표[연속 시간],$P1884))</f>
        <v/>
      </c>
      <c r="I1884">
        <f>IF($P1884="","",INDEX(상세표[기록 수],$P1884))</f>
        <v/>
      </c>
      <c r="J1884">
        <f>IF($P1884="","",INDEX(상세표[블록 06~07시],$P1884))</f>
        <v/>
      </c>
      <c r="K1884">
        <f>IF($P1884="","",INDEX(상세표[블록 07~18시],$P1884))</f>
        <v/>
      </c>
      <c r="L1884">
        <f>IF($P1884="","",INDEX(상세표[블록 18~22시],$P1884))</f>
        <v/>
      </c>
      <c r="M1884">
        <f>IF($P1884="","",INDEX(상세표[블록 22~06시],$P1884))</f>
        <v/>
      </c>
      <c r="N1884">
        <f>IF($P1884="","",INDEX(상세표[주말·휴일 포함],$P1884)&amp;"")</f>
        <v/>
      </c>
      <c r="O1884">
        <f>IF($P1884="","",INDEX(상세표[월 넘김 포함],$P1884)&amp;"")</f>
        <v/>
      </c>
      <c r="P1884" s="4">
        <f>IFERROR(MATCH(1879,상세표[연속순번],0),"")</f>
        <v/>
      </c>
    </row>
    <row r="1885">
      <c r="A1885">
        <f>IF($P1885="","",INDEX(상세표[사번],$P1885)&amp;"")</f>
        <v/>
      </c>
      <c r="B1885">
        <f>IF($P1885="","",INDEX(상세표[성명],$P1885)&amp;"")</f>
        <v/>
      </c>
      <c r="C1885">
        <f>IF($P1885="","",INDEX(상세표[부서],$P1885)&amp;"")</f>
        <v/>
      </c>
      <c r="D1885">
        <f>IF($P1885="","",INDEX(상세표[직위],$P1885)&amp;"")</f>
        <v/>
      </c>
      <c r="E1885">
        <f>IF($P1885="","",IF(ISNUMBER(INDEX(상세표[시작],$P1885)),TEXT(INDEX(상세표[시작],$P1885),"yyyy-mm-dd hh:mm"),INDEX(상세표[시작],$P1885)&amp;""))</f>
        <v/>
      </c>
      <c r="F1885">
        <f>IF($P1885="","",IF(ISNUMBER(INDEX(상세표[블록종료],$P1885)),TEXT(INDEX(상세표[블록종료],$P1885),"yyyy-mm-dd hh:mm"),INDEX(상세표[블록종료],$P1885)&amp;""))</f>
        <v/>
      </c>
      <c r="G1885">
        <f>IF($P1885="","",CHOOSE(WEEKDAY(INDEX(상세표[시작],$P1885)),"일","월","화","수","목","금","토"))</f>
        <v/>
      </c>
      <c r="H1885">
        <f>IF($P1885="","",INDEX(상세표[연속 시간],$P1885))</f>
        <v/>
      </c>
      <c r="I1885">
        <f>IF($P1885="","",INDEX(상세표[기록 수],$P1885))</f>
        <v/>
      </c>
      <c r="J1885">
        <f>IF($P1885="","",INDEX(상세표[블록 06~07시],$P1885))</f>
        <v/>
      </c>
      <c r="K1885">
        <f>IF($P1885="","",INDEX(상세표[블록 07~18시],$P1885))</f>
        <v/>
      </c>
      <c r="L1885">
        <f>IF($P1885="","",INDEX(상세표[블록 18~22시],$P1885))</f>
        <v/>
      </c>
      <c r="M1885">
        <f>IF($P1885="","",INDEX(상세표[블록 22~06시],$P1885))</f>
        <v/>
      </c>
      <c r="N1885">
        <f>IF($P1885="","",INDEX(상세표[주말·휴일 포함],$P1885)&amp;"")</f>
        <v/>
      </c>
      <c r="O1885">
        <f>IF($P1885="","",INDEX(상세표[월 넘김 포함],$P1885)&amp;"")</f>
        <v/>
      </c>
      <c r="P1885" s="4">
        <f>IFERROR(MATCH(1880,상세표[연속순번],0),"")</f>
        <v/>
      </c>
    </row>
    <row r="1886">
      <c r="A1886">
        <f>IF($P1886="","",INDEX(상세표[사번],$P1886)&amp;"")</f>
        <v/>
      </c>
      <c r="B1886">
        <f>IF($P1886="","",INDEX(상세표[성명],$P1886)&amp;"")</f>
        <v/>
      </c>
      <c r="C1886">
        <f>IF($P1886="","",INDEX(상세표[부서],$P1886)&amp;"")</f>
        <v/>
      </c>
      <c r="D1886">
        <f>IF($P1886="","",INDEX(상세표[직위],$P1886)&amp;"")</f>
        <v/>
      </c>
      <c r="E1886">
        <f>IF($P1886="","",IF(ISNUMBER(INDEX(상세표[시작],$P1886)),TEXT(INDEX(상세표[시작],$P1886),"yyyy-mm-dd hh:mm"),INDEX(상세표[시작],$P1886)&amp;""))</f>
        <v/>
      </c>
      <c r="F1886">
        <f>IF($P1886="","",IF(ISNUMBER(INDEX(상세표[블록종료],$P1886)),TEXT(INDEX(상세표[블록종료],$P1886),"yyyy-mm-dd hh:mm"),INDEX(상세표[블록종료],$P1886)&amp;""))</f>
        <v/>
      </c>
      <c r="G1886">
        <f>IF($P1886="","",CHOOSE(WEEKDAY(INDEX(상세표[시작],$P1886)),"일","월","화","수","목","금","토"))</f>
        <v/>
      </c>
      <c r="H1886">
        <f>IF($P1886="","",INDEX(상세표[연속 시간],$P1886))</f>
        <v/>
      </c>
      <c r="I1886">
        <f>IF($P1886="","",INDEX(상세표[기록 수],$P1886))</f>
        <v/>
      </c>
      <c r="J1886">
        <f>IF($P1886="","",INDEX(상세표[블록 06~07시],$P1886))</f>
        <v/>
      </c>
      <c r="K1886">
        <f>IF($P1886="","",INDEX(상세표[블록 07~18시],$P1886))</f>
        <v/>
      </c>
      <c r="L1886">
        <f>IF($P1886="","",INDEX(상세표[블록 18~22시],$P1886))</f>
        <v/>
      </c>
      <c r="M1886">
        <f>IF($P1886="","",INDEX(상세표[블록 22~06시],$P1886))</f>
        <v/>
      </c>
      <c r="N1886">
        <f>IF($P1886="","",INDEX(상세표[주말·휴일 포함],$P1886)&amp;"")</f>
        <v/>
      </c>
      <c r="O1886">
        <f>IF($P1886="","",INDEX(상세표[월 넘김 포함],$P1886)&amp;"")</f>
        <v/>
      </c>
      <c r="P1886" s="4">
        <f>IFERROR(MATCH(1881,상세표[연속순번],0),"")</f>
        <v/>
      </c>
    </row>
    <row r="1887">
      <c r="A1887">
        <f>IF($P1887="","",INDEX(상세표[사번],$P1887)&amp;"")</f>
        <v/>
      </c>
      <c r="B1887">
        <f>IF($P1887="","",INDEX(상세표[성명],$P1887)&amp;"")</f>
        <v/>
      </c>
      <c r="C1887">
        <f>IF($P1887="","",INDEX(상세표[부서],$P1887)&amp;"")</f>
        <v/>
      </c>
      <c r="D1887">
        <f>IF($P1887="","",INDEX(상세표[직위],$P1887)&amp;"")</f>
        <v/>
      </c>
      <c r="E1887">
        <f>IF($P1887="","",IF(ISNUMBER(INDEX(상세표[시작],$P1887)),TEXT(INDEX(상세표[시작],$P1887),"yyyy-mm-dd hh:mm"),INDEX(상세표[시작],$P1887)&amp;""))</f>
        <v/>
      </c>
      <c r="F1887">
        <f>IF($P1887="","",IF(ISNUMBER(INDEX(상세표[블록종료],$P1887)),TEXT(INDEX(상세표[블록종료],$P1887),"yyyy-mm-dd hh:mm"),INDEX(상세표[블록종료],$P1887)&amp;""))</f>
        <v/>
      </c>
      <c r="G1887">
        <f>IF($P1887="","",CHOOSE(WEEKDAY(INDEX(상세표[시작],$P1887)),"일","월","화","수","목","금","토"))</f>
        <v/>
      </c>
      <c r="H1887">
        <f>IF($P1887="","",INDEX(상세표[연속 시간],$P1887))</f>
        <v/>
      </c>
      <c r="I1887">
        <f>IF($P1887="","",INDEX(상세표[기록 수],$P1887))</f>
        <v/>
      </c>
      <c r="J1887">
        <f>IF($P1887="","",INDEX(상세표[블록 06~07시],$P1887))</f>
        <v/>
      </c>
      <c r="K1887">
        <f>IF($P1887="","",INDEX(상세표[블록 07~18시],$P1887))</f>
        <v/>
      </c>
      <c r="L1887">
        <f>IF($P1887="","",INDEX(상세표[블록 18~22시],$P1887))</f>
        <v/>
      </c>
      <c r="M1887">
        <f>IF($P1887="","",INDEX(상세표[블록 22~06시],$P1887))</f>
        <v/>
      </c>
      <c r="N1887">
        <f>IF($P1887="","",INDEX(상세표[주말·휴일 포함],$P1887)&amp;"")</f>
        <v/>
      </c>
      <c r="O1887">
        <f>IF($P1887="","",INDEX(상세표[월 넘김 포함],$P1887)&amp;"")</f>
        <v/>
      </c>
      <c r="P1887" s="4">
        <f>IFERROR(MATCH(1882,상세표[연속순번],0),"")</f>
        <v/>
      </c>
    </row>
    <row r="1888">
      <c r="A1888">
        <f>IF($P1888="","",INDEX(상세표[사번],$P1888)&amp;"")</f>
        <v/>
      </c>
      <c r="B1888">
        <f>IF($P1888="","",INDEX(상세표[성명],$P1888)&amp;"")</f>
        <v/>
      </c>
      <c r="C1888">
        <f>IF($P1888="","",INDEX(상세표[부서],$P1888)&amp;"")</f>
        <v/>
      </c>
      <c r="D1888">
        <f>IF($P1888="","",INDEX(상세표[직위],$P1888)&amp;"")</f>
        <v/>
      </c>
      <c r="E1888">
        <f>IF($P1888="","",IF(ISNUMBER(INDEX(상세표[시작],$P1888)),TEXT(INDEX(상세표[시작],$P1888),"yyyy-mm-dd hh:mm"),INDEX(상세표[시작],$P1888)&amp;""))</f>
        <v/>
      </c>
      <c r="F1888">
        <f>IF($P1888="","",IF(ISNUMBER(INDEX(상세표[블록종료],$P1888)),TEXT(INDEX(상세표[블록종료],$P1888),"yyyy-mm-dd hh:mm"),INDEX(상세표[블록종료],$P1888)&amp;""))</f>
        <v/>
      </c>
      <c r="G1888">
        <f>IF($P1888="","",CHOOSE(WEEKDAY(INDEX(상세표[시작],$P1888)),"일","월","화","수","목","금","토"))</f>
        <v/>
      </c>
      <c r="H1888">
        <f>IF($P1888="","",INDEX(상세표[연속 시간],$P1888))</f>
        <v/>
      </c>
      <c r="I1888">
        <f>IF($P1888="","",INDEX(상세표[기록 수],$P1888))</f>
        <v/>
      </c>
      <c r="J1888">
        <f>IF($P1888="","",INDEX(상세표[블록 06~07시],$P1888))</f>
        <v/>
      </c>
      <c r="K1888">
        <f>IF($P1888="","",INDEX(상세표[블록 07~18시],$P1888))</f>
        <v/>
      </c>
      <c r="L1888">
        <f>IF($P1888="","",INDEX(상세표[블록 18~22시],$P1888))</f>
        <v/>
      </c>
      <c r="M1888">
        <f>IF($P1888="","",INDEX(상세표[블록 22~06시],$P1888))</f>
        <v/>
      </c>
      <c r="N1888">
        <f>IF($P1888="","",INDEX(상세표[주말·휴일 포함],$P1888)&amp;"")</f>
        <v/>
      </c>
      <c r="O1888">
        <f>IF($P1888="","",INDEX(상세표[월 넘김 포함],$P1888)&amp;"")</f>
        <v/>
      </c>
      <c r="P1888" s="4">
        <f>IFERROR(MATCH(1883,상세표[연속순번],0),"")</f>
        <v/>
      </c>
    </row>
    <row r="1889">
      <c r="A1889">
        <f>IF($P1889="","",INDEX(상세표[사번],$P1889)&amp;"")</f>
        <v/>
      </c>
      <c r="B1889">
        <f>IF($P1889="","",INDEX(상세표[성명],$P1889)&amp;"")</f>
        <v/>
      </c>
      <c r="C1889">
        <f>IF($P1889="","",INDEX(상세표[부서],$P1889)&amp;"")</f>
        <v/>
      </c>
      <c r="D1889">
        <f>IF($P1889="","",INDEX(상세표[직위],$P1889)&amp;"")</f>
        <v/>
      </c>
      <c r="E1889">
        <f>IF($P1889="","",IF(ISNUMBER(INDEX(상세표[시작],$P1889)),TEXT(INDEX(상세표[시작],$P1889),"yyyy-mm-dd hh:mm"),INDEX(상세표[시작],$P1889)&amp;""))</f>
        <v/>
      </c>
      <c r="F1889">
        <f>IF($P1889="","",IF(ISNUMBER(INDEX(상세표[블록종료],$P1889)),TEXT(INDEX(상세표[블록종료],$P1889),"yyyy-mm-dd hh:mm"),INDEX(상세표[블록종료],$P1889)&amp;""))</f>
        <v/>
      </c>
      <c r="G1889">
        <f>IF($P1889="","",CHOOSE(WEEKDAY(INDEX(상세표[시작],$P1889)),"일","월","화","수","목","금","토"))</f>
        <v/>
      </c>
      <c r="H1889">
        <f>IF($P1889="","",INDEX(상세표[연속 시간],$P1889))</f>
        <v/>
      </c>
      <c r="I1889">
        <f>IF($P1889="","",INDEX(상세표[기록 수],$P1889))</f>
        <v/>
      </c>
      <c r="J1889">
        <f>IF($P1889="","",INDEX(상세표[블록 06~07시],$P1889))</f>
        <v/>
      </c>
      <c r="K1889">
        <f>IF($P1889="","",INDEX(상세표[블록 07~18시],$P1889))</f>
        <v/>
      </c>
      <c r="L1889">
        <f>IF($P1889="","",INDEX(상세표[블록 18~22시],$P1889))</f>
        <v/>
      </c>
      <c r="M1889">
        <f>IF($P1889="","",INDEX(상세표[블록 22~06시],$P1889))</f>
        <v/>
      </c>
      <c r="N1889">
        <f>IF($P1889="","",INDEX(상세표[주말·휴일 포함],$P1889)&amp;"")</f>
        <v/>
      </c>
      <c r="O1889">
        <f>IF($P1889="","",INDEX(상세표[월 넘김 포함],$P1889)&amp;"")</f>
        <v/>
      </c>
      <c r="P1889" s="4">
        <f>IFERROR(MATCH(1884,상세표[연속순번],0),"")</f>
        <v/>
      </c>
    </row>
    <row r="1890">
      <c r="A1890">
        <f>IF($P1890="","",INDEX(상세표[사번],$P1890)&amp;"")</f>
        <v/>
      </c>
      <c r="B1890">
        <f>IF($P1890="","",INDEX(상세표[성명],$P1890)&amp;"")</f>
        <v/>
      </c>
      <c r="C1890">
        <f>IF($P1890="","",INDEX(상세표[부서],$P1890)&amp;"")</f>
        <v/>
      </c>
      <c r="D1890">
        <f>IF($P1890="","",INDEX(상세표[직위],$P1890)&amp;"")</f>
        <v/>
      </c>
      <c r="E1890">
        <f>IF($P1890="","",IF(ISNUMBER(INDEX(상세표[시작],$P1890)),TEXT(INDEX(상세표[시작],$P1890),"yyyy-mm-dd hh:mm"),INDEX(상세표[시작],$P1890)&amp;""))</f>
        <v/>
      </c>
      <c r="F1890">
        <f>IF($P1890="","",IF(ISNUMBER(INDEX(상세표[블록종료],$P1890)),TEXT(INDEX(상세표[블록종료],$P1890),"yyyy-mm-dd hh:mm"),INDEX(상세표[블록종료],$P1890)&amp;""))</f>
        <v/>
      </c>
      <c r="G1890">
        <f>IF($P1890="","",CHOOSE(WEEKDAY(INDEX(상세표[시작],$P1890)),"일","월","화","수","목","금","토"))</f>
        <v/>
      </c>
      <c r="H1890">
        <f>IF($P1890="","",INDEX(상세표[연속 시간],$P1890))</f>
        <v/>
      </c>
      <c r="I1890">
        <f>IF($P1890="","",INDEX(상세표[기록 수],$P1890))</f>
        <v/>
      </c>
      <c r="J1890">
        <f>IF($P1890="","",INDEX(상세표[블록 06~07시],$P1890))</f>
        <v/>
      </c>
      <c r="K1890">
        <f>IF($P1890="","",INDEX(상세표[블록 07~18시],$P1890))</f>
        <v/>
      </c>
      <c r="L1890">
        <f>IF($P1890="","",INDEX(상세표[블록 18~22시],$P1890))</f>
        <v/>
      </c>
      <c r="M1890">
        <f>IF($P1890="","",INDEX(상세표[블록 22~06시],$P1890))</f>
        <v/>
      </c>
      <c r="N1890">
        <f>IF($P1890="","",INDEX(상세표[주말·휴일 포함],$P1890)&amp;"")</f>
        <v/>
      </c>
      <c r="O1890">
        <f>IF($P1890="","",INDEX(상세표[월 넘김 포함],$P1890)&amp;"")</f>
        <v/>
      </c>
      <c r="P1890" s="4">
        <f>IFERROR(MATCH(1885,상세표[연속순번],0),"")</f>
        <v/>
      </c>
    </row>
    <row r="1891">
      <c r="A1891">
        <f>IF($P1891="","",INDEX(상세표[사번],$P1891)&amp;"")</f>
        <v/>
      </c>
      <c r="B1891">
        <f>IF($P1891="","",INDEX(상세표[성명],$P1891)&amp;"")</f>
        <v/>
      </c>
      <c r="C1891">
        <f>IF($P1891="","",INDEX(상세표[부서],$P1891)&amp;"")</f>
        <v/>
      </c>
      <c r="D1891">
        <f>IF($P1891="","",INDEX(상세표[직위],$P1891)&amp;"")</f>
        <v/>
      </c>
      <c r="E1891">
        <f>IF($P1891="","",IF(ISNUMBER(INDEX(상세표[시작],$P1891)),TEXT(INDEX(상세표[시작],$P1891),"yyyy-mm-dd hh:mm"),INDEX(상세표[시작],$P1891)&amp;""))</f>
        <v/>
      </c>
      <c r="F1891">
        <f>IF($P1891="","",IF(ISNUMBER(INDEX(상세표[블록종료],$P1891)),TEXT(INDEX(상세표[블록종료],$P1891),"yyyy-mm-dd hh:mm"),INDEX(상세표[블록종료],$P1891)&amp;""))</f>
        <v/>
      </c>
      <c r="G1891">
        <f>IF($P1891="","",CHOOSE(WEEKDAY(INDEX(상세표[시작],$P1891)),"일","월","화","수","목","금","토"))</f>
        <v/>
      </c>
      <c r="H1891">
        <f>IF($P1891="","",INDEX(상세표[연속 시간],$P1891))</f>
        <v/>
      </c>
      <c r="I1891">
        <f>IF($P1891="","",INDEX(상세표[기록 수],$P1891))</f>
        <v/>
      </c>
      <c r="J1891">
        <f>IF($P1891="","",INDEX(상세표[블록 06~07시],$P1891))</f>
        <v/>
      </c>
      <c r="K1891">
        <f>IF($P1891="","",INDEX(상세표[블록 07~18시],$P1891))</f>
        <v/>
      </c>
      <c r="L1891">
        <f>IF($P1891="","",INDEX(상세표[블록 18~22시],$P1891))</f>
        <v/>
      </c>
      <c r="M1891">
        <f>IF($P1891="","",INDEX(상세표[블록 22~06시],$P1891))</f>
        <v/>
      </c>
      <c r="N1891">
        <f>IF($P1891="","",INDEX(상세표[주말·휴일 포함],$P1891)&amp;"")</f>
        <v/>
      </c>
      <c r="O1891">
        <f>IF($P1891="","",INDEX(상세표[월 넘김 포함],$P1891)&amp;"")</f>
        <v/>
      </c>
      <c r="P1891" s="4">
        <f>IFERROR(MATCH(1886,상세표[연속순번],0),"")</f>
        <v/>
      </c>
    </row>
    <row r="1892">
      <c r="A1892">
        <f>IF($P1892="","",INDEX(상세표[사번],$P1892)&amp;"")</f>
        <v/>
      </c>
      <c r="B1892">
        <f>IF($P1892="","",INDEX(상세표[성명],$P1892)&amp;"")</f>
        <v/>
      </c>
      <c r="C1892">
        <f>IF($P1892="","",INDEX(상세표[부서],$P1892)&amp;"")</f>
        <v/>
      </c>
      <c r="D1892">
        <f>IF($P1892="","",INDEX(상세표[직위],$P1892)&amp;"")</f>
        <v/>
      </c>
      <c r="E1892">
        <f>IF($P1892="","",IF(ISNUMBER(INDEX(상세표[시작],$P1892)),TEXT(INDEX(상세표[시작],$P1892),"yyyy-mm-dd hh:mm"),INDEX(상세표[시작],$P1892)&amp;""))</f>
        <v/>
      </c>
      <c r="F1892">
        <f>IF($P1892="","",IF(ISNUMBER(INDEX(상세표[블록종료],$P1892)),TEXT(INDEX(상세표[블록종료],$P1892),"yyyy-mm-dd hh:mm"),INDEX(상세표[블록종료],$P1892)&amp;""))</f>
        <v/>
      </c>
      <c r="G1892">
        <f>IF($P1892="","",CHOOSE(WEEKDAY(INDEX(상세표[시작],$P1892)),"일","월","화","수","목","금","토"))</f>
        <v/>
      </c>
      <c r="H1892">
        <f>IF($P1892="","",INDEX(상세표[연속 시간],$P1892))</f>
        <v/>
      </c>
      <c r="I1892">
        <f>IF($P1892="","",INDEX(상세표[기록 수],$P1892))</f>
        <v/>
      </c>
      <c r="J1892">
        <f>IF($P1892="","",INDEX(상세표[블록 06~07시],$P1892))</f>
        <v/>
      </c>
      <c r="K1892">
        <f>IF($P1892="","",INDEX(상세표[블록 07~18시],$P1892))</f>
        <v/>
      </c>
      <c r="L1892">
        <f>IF($P1892="","",INDEX(상세표[블록 18~22시],$P1892))</f>
        <v/>
      </c>
      <c r="M1892">
        <f>IF($P1892="","",INDEX(상세표[블록 22~06시],$P1892))</f>
        <v/>
      </c>
      <c r="N1892">
        <f>IF($P1892="","",INDEX(상세표[주말·휴일 포함],$P1892)&amp;"")</f>
        <v/>
      </c>
      <c r="O1892">
        <f>IF($P1892="","",INDEX(상세표[월 넘김 포함],$P1892)&amp;"")</f>
        <v/>
      </c>
      <c r="P1892" s="4">
        <f>IFERROR(MATCH(1887,상세표[연속순번],0),"")</f>
        <v/>
      </c>
    </row>
    <row r="1893">
      <c r="A1893">
        <f>IF($P1893="","",INDEX(상세표[사번],$P1893)&amp;"")</f>
        <v/>
      </c>
      <c r="B1893">
        <f>IF($P1893="","",INDEX(상세표[성명],$P1893)&amp;"")</f>
        <v/>
      </c>
      <c r="C1893">
        <f>IF($P1893="","",INDEX(상세표[부서],$P1893)&amp;"")</f>
        <v/>
      </c>
      <c r="D1893">
        <f>IF($P1893="","",INDEX(상세표[직위],$P1893)&amp;"")</f>
        <v/>
      </c>
      <c r="E1893">
        <f>IF($P1893="","",IF(ISNUMBER(INDEX(상세표[시작],$P1893)),TEXT(INDEX(상세표[시작],$P1893),"yyyy-mm-dd hh:mm"),INDEX(상세표[시작],$P1893)&amp;""))</f>
        <v/>
      </c>
      <c r="F1893">
        <f>IF($P1893="","",IF(ISNUMBER(INDEX(상세표[블록종료],$P1893)),TEXT(INDEX(상세표[블록종료],$P1893),"yyyy-mm-dd hh:mm"),INDEX(상세표[블록종료],$P1893)&amp;""))</f>
        <v/>
      </c>
      <c r="G1893">
        <f>IF($P1893="","",CHOOSE(WEEKDAY(INDEX(상세표[시작],$P1893)),"일","월","화","수","목","금","토"))</f>
        <v/>
      </c>
      <c r="H1893">
        <f>IF($P1893="","",INDEX(상세표[연속 시간],$P1893))</f>
        <v/>
      </c>
      <c r="I1893">
        <f>IF($P1893="","",INDEX(상세표[기록 수],$P1893))</f>
        <v/>
      </c>
      <c r="J1893">
        <f>IF($P1893="","",INDEX(상세표[블록 06~07시],$P1893))</f>
        <v/>
      </c>
      <c r="K1893">
        <f>IF($P1893="","",INDEX(상세표[블록 07~18시],$P1893))</f>
        <v/>
      </c>
      <c r="L1893">
        <f>IF($P1893="","",INDEX(상세표[블록 18~22시],$P1893))</f>
        <v/>
      </c>
      <c r="M1893">
        <f>IF($P1893="","",INDEX(상세표[블록 22~06시],$P1893))</f>
        <v/>
      </c>
      <c r="N1893">
        <f>IF($P1893="","",INDEX(상세표[주말·휴일 포함],$P1893)&amp;"")</f>
        <v/>
      </c>
      <c r="O1893">
        <f>IF($P1893="","",INDEX(상세표[월 넘김 포함],$P1893)&amp;"")</f>
        <v/>
      </c>
      <c r="P1893" s="4">
        <f>IFERROR(MATCH(1888,상세표[연속순번],0),"")</f>
        <v/>
      </c>
    </row>
    <row r="1894">
      <c r="A1894">
        <f>IF($P1894="","",INDEX(상세표[사번],$P1894)&amp;"")</f>
        <v/>
      </c>
      <c r="B1894">
        <f>IF($P1894="","",INDEX(상세표[성명],$P1894)&amp;"")</f>
        <v/>
      </c>
      <c r="C1894">
        <f>IF($P1894="","",INDEX(상세표[부서],$P1894)&amp;"")</f>
        <v/>
      </c>
      <c r="D1894">
        <f>IF($P1894="","",INDEX(상세표[직위],$P1894)&amp;"")</f>
        <v/>
      </c>
      <c r="E1894">
        <f>IF($P1894="","",IF(ISNUMBER(INDEX(상세표[시작],$P1894)),TEXT(INDEX(상세표[시작],$P1894),"yyyy-mm-dd hh:mm"),INDEX(상세표[시작],$P1894)&amp;""))</f>
        <v/>
      </c>
      <c r="F1894">
        <f>IF($P1894="","",IF(ISNUMBER(INDEX(상세표[블록종료],$P1894)),TEXT(INDEX(상세표[블록종료],$P1894),"yyyy-mm-dd hh:mm"),INDEX(상세표[블록종료],$P1894)&amp;""))</f>
        <v/>
      </c>
      <c r="G1894">
        <f>IF($P1894="","",CHOOSE(WEEKDAY(INDEX(상세표[시작],$P1894)),"일","월","화","수","목","금","토"))</f>
        <v/>
      </c>
      <c r="H1894">
        <f>IF($P1894="","",INDEX(상세표[연속 시간],$P1894))</f>
        <v/>
      </c>
      <c r="I1894">
        <f>IF($P1894="","",INDEX(상세표[기록 수],$P1894))</f>
        <v/>
      </c>
      <c r="J1894">
        <f>IF($P1894="","",INDEX(상세표[블록 06~07시],$P1894))</f>
        <v/>
      </c>
      <c r="K1894">
        <f>IF($P1894="","",INDEX(상세표[블록 07~18시],$P1894))</f>
        <v/>
      </c>
      <c r="L1894">
        <f>IF($P1894="","",INDEX(상세표[블록 18~22시],$P1894))</f>
        <v/>
      </c>
      <c r="M1894">
        <f>IF($P1894="","",INDEX(상세표[블록 22~06시],$P1894))</f>
        <v/>
      </c>
      <c r="N1894">
        <f>IF($P1894="","",INDEX(상세표[주말·휴일 포함],$P1894)&amp;"")</f>
        <v/>
      </c>
      <c r="O1894">
        <f>IF($P1894="","",INDEX(상세표[월 넘김 포함],$P1894)&amp;"")</f>
        <v/>
      </c>
      <c r="P1894" s="4">
        <f>IFERROR(MATCH(1889,상세표[연속순번],0),"")</f>
        <v/>
      </c>
    </row>
    <row r="1895">
      <c r="A1895">
        <f>IF($P1895="","",INDEX(상세표[사번],$P1895)&amp;"")</f>
        <v/>
      </c>
      <c r="B1895">
        <f>IF($P1895="","",INDEX(상세표[성명],$P1895)&amp;"")</f>
        <v/>
      </c>
      <c r="C1895">
        <f>IF($P1895="","",INDEX(상세표[부서],$P1895)&amp;"")</f>
        <v/>
      </c>
      <c r="D1895">
        <f>IF($P1895="","",INDEX(상세표[직위],$P1895)&amp;"")</f>
        <v/>
      </c>
      <c r="E1895">
        <f>IF($P1895="","",IF(ISNUMBER(INDEX(상세표[시작],$P1895)),TEXT(INDEX(상세표[시작],$P1895),"yyyy-mm-dd hh:mm"),INDEX(상세표[시작],$P1895)&amp;""))</f>
        <v/>
      </c>
      <c r="F1895">
        <f>IF($P1895="","",IF(ISNUMBER(INDEX(상세표[블록종료],$P1895)),TEXT(INDEX(상세표[블록종료],$P1895),"yyyy-mm-dd hh:mm"),INDEX(상세표[블록종료],$P1895)&amp;""))</f>
        <v/>
      </c>
      <c r="G1895">
        <f>IF($P1895="","",CHOOSE(WEEKDAY(INDEX(상세표[시작],$P1895)),"일","월","화","수","목","금","토"))</f>
        <v/>
      </c>
      <c r="H1895">
        <f>IF($P1895="","",INDEX(상세표[연속 시간],$P1895))</f>
        <v/>
      </c>
      <c r="I1895">
        <f>IF($P1895="","",INDEX(상세표[기록 수],$P1895))</f>
        <v/>
      </c>
      <c r="J1895">
        <f>IF($P1895="","",INDEX(상세표[블록 06~07시],$P1895))</f>
        <v/>
      </c>
      <c r="K1895">
        <f>IF($P1895="","",INDEX(상세표[블록 07~18시],$P1895))</f>
        <v/>
      </c>
      <c r="L1895">
        <f>IF($P1895="","",INDEX(상세표[블록 18~22시],$P1895))</f>
        <v/>
      </c>
      <c r="M1895">
        <f>IF($P1895="","",INDEX(상세표[블록 22~06시],$P1895))</f>
        <v/>
      </c>
      <c r="N1895">
        <f>IF($P1895="","",INDEX(상세표[주말·휴일 포함],$P1895)&amp;"")</f>
        <v/>
      </c>
      <c r="O1895">
        <f>IF($P1895="","",INDEX(상세표[월 넘김 포함],$P1895)&amp;"")</f>
        <v/>
      </c>
      <c r="P1895" s="4">
        <f>IFERROR(MATCH(1890,상세표[연속순번],0),"")</f>
        <v/>
      </c>
    </row>
    <row r="1896">
      <c r="A1896">
        <f>IF($P1896="","",INDEX(상세표[사번],$P1896)&amp;"")</f>
        <v/>
      </c>
      <c r="B1896">
        <f>IF($P1896="","",INDEX(상세표[성명],$P1896)&amp;"")</f>
        <v/>
      </c>
      <c r="C1896">
        <f>IF($P1896="","",INDEX(상세표[부서],$P1896)&amp;"")</f>
        <v/>
      </c>
      <c r="D1896">
        <f>IF($P1896="","",INDEX(상세표[직위],$P1896)&amp;"")</f>
        <v/>
      </c>
      <c r="E1896">
        <f>IF($P1896="","",IF(ISNUMBER(INDEX(상세표[시작],$P1896)),TEXT(INDEX(상세표[시작],$P1896),"yyyy-mm-dd hh:mm"),INDEX(상세표[시작],$P1896)&amp;""))</f>
        <v/>
      </c>
      <c r="F1896">
        <f>IF($P1896="","",IF(ISNUMBER(INDEX(상세표[블록종료],$P1896)),TEXT(INDEX(상세표[블록종료],$P1896),"yyyy-mm-dd hh:mm"),INDEX(상세표[블록종료],$P1896)&amp;""))</f>
        <v/>
      </c>
      <c r="G1896">
        <f>IF($P1896="","",CHOOSE(WEEKDAY(INDEX(상세표[시작],$P1896)),"일","월","화","수","목","금","토"))</f>
        <v/>
      </c>
      <c r="H1896">
        <f>IF($P1896="","",INDEX(상세표[연속 시간],$P1896))</f>
        <v/>
      </c>
      <c r="I1896">
        <f>IF($P1896="","",INDEX(상세표[기록 수],$P1896))</f>
        <v/>
      </c>
      <c r="J1896">
        <f>IF($P1896="","",INDEX(상세표[블록 06~07시],$P1896))</f>
        <v/>
      </c>
      <c r="K1896">
        <f>IF($P1896="","",INDEX(상세표[블록 07~18시],$P1896))</f>
        <v/>
      </c>
      <c r="L1896">
        <f>IF($P1896="","",INDEX(상세표[블록 18~22시],$P1896))</f>
        <v/>
      </c>
      <c r="M1896">
        <f>IF($P1896="","",INDEX(상세표[블록 22~06시],$P1896))</f>
        <v/>
      </c>
      <c r="N1896">
        <f>IF($P1896="","",INDEX(상세표[주말·휴일 포함],$P1896)&amp;"")</f>
        <v/>
      </c>
      <c r="O1896">
        <f>IF($P1896="","",INDEX(상세표[월 넘김 포함],$P1896)&amp;"")</f>
        <v/>
      </c>
      <c r="P1896" s="4">
        <f>IFERROR(MATCH(1891,상세표[연속순번],0),"")</f>
        <v/>
      </c>
    </row>
    <row r="1897">
      <c r="A1897">
        <f>IF($P1897="","",INDEX(상세표[사번],$P1897)&amp;"")</f>
        <v/>
      </c>
      <c r="B1897">
        <f>IF($P1897="","",INDEX(상세표[성명],$P1897)&amp;"")</f>
        <v/>
      </c>
      <c r="C1897">
        <f>IF($P1897="","",INDEX(상세표[부서],$P1897)&amp;"")</f>
        <v/>
      </c>
      <c r="D1897">
        <f>IF($P1897="","",INDEX(상세표[직위],$P1897)&amp;"")</f>
        <v/>
      </c>
      <c r="E1897">
        <f>IF($P1897="","",IF(ISNUMBER(INDEX(상세표[시작],$P1897)),TEXT(INDEX(상세표[시작],$P1897),"yyyy-mm-dd hh:mm"),INDEX(상세표[시작],$P1897)&amp;""))</f>
        <v/>
      </c>
      <c r="F1897">
        <f>IF($P1897="","",IF(ISNUMBER(INDEX(상세표[블록종료],$P1897)),TEXT(INDEX(상세표[블록종료],$P1897),"yyyy-mm-dd hh:mm"),INDEX(상세표[블록종료],$P1897)&amp;""))</f>
        <v/>
      </c>
      <c r="G1897">
        <f>IF($P1897="","",CHOOSE(WEEKDAY(INDEX(상세표[시작],$P1897)),"일","월","화","수","목","금","토"))</f>
        <v/>
      </c>
      <c r="H1897">
        <f>IF($P1897="","",INDEX(상세표[연속 시간],$P1897))</f>
        <v/>
      </c>
      <c r="I1897">
        <f>IF($P1897="","",INDEX(상세표[기록 수],$P1897))</f>
        <v/>
      </c>
      <c r="J1897">
        <f>IF($P1897="","",INDEX(상세표[블록 06~07시],$P1897))</f>
        <v/>
      </c>
      <c r="K1897">
        <f>IF($P1897="","",INDEX(상세표[블록 07~18시],$P1897))</f>
        <v/>
      </c>
      <c r="L1897">
        <f>IF($P1897="","",INDEX(상세표[블록 18~22시],$P1897))</f>
        <v/>
      </c>
      <c r="M1897">
        <f>IF($P1897="","",INDEX(상세표[블록 22~06시],$P1897))</f>
        <v/>
      </c>
      <c r="N1897">
        <f>IF($P1897="","",INDEX(상세표[주말·휴일 포함],$P1897)&amp;"")</f>
        <v/>
      </c>
      <c r="O1897">
        <f>IF($P1897="","",INDEX(상세표[월 넘김 포함],$P1897)&amp;"")</f>
        <v/>
      </c>
      <c r="P1897" s="4">
        <f>IFERROR(MATCH(1892,상세표[연속순번],0),"")</f>
        <v/>
      </c>
    </row>
    <row r="1898">
      <c r="A1898">
        <f>IF($P1898="","",INDEX(상세표[사번],$P1898)&amp;"")</f>
        <v/>
      </c>
      <c r="B1898">
        <f>IF($P1898="","",INDEX(상세표[성명],$P1898)&amp;"")</f>
        <v/>
      </c>
      <c r="C1898">
        <f>IF($P1898="","",INDEX(상세표[부서],$P1898)&amp;"")</f>
        <v/>
      </c>
      <c r="D1898">
        <f>IF($P1898="","",INDEX(상세표[직위],$P1898)&amp;"")</f>
        <v/>
      </c>
      <c r="E1898">
        <f>IF($P1898="","",IF(ISNUMBER(INDEX(상세표[시작],$P1898)),TEXT(INDEX(상세표[시작],$P1898),"yyyy-mm-dd hh:mm"),INDEX(상세표[시작],$P1898)&amp;""))</f>
        <v/>
      </c>
      <c r="F1898">
        <f>IF($P1898="","",IF(ISNUMBER(INDEX(상세표[블록종료],$P1898)),TEXT(INDEX(상세표[블록종료],$P1898),"yyyy-mm-dd hh:mm"),INDEX(상세표[블록종료],$P1898)&amp;""))</f>
        <v/>
      </c>
      <c r="G1898">
        <f>IF($P1898="","",CHOOSE(WEEKDAY(INDEX(상세표[시작],$P1898)),"일","월","화","수","목","금","토"))</f>
        <v/>
      </c>
      <c r="H1898">
        <f>IF($P1898="","",INDEX(상세표[연속 시간],$P1898))</f>
        <v/>
      </c>
      <c r="I1898">
        <f>IF($P1898="","",INDEX(상세표[기록 수],$P1898))</f>
        <v/>
      </c>
      <c r="J1898">
        <f>IF($P1898="","",INDEX(상세표[블록 06~07시],$P1898))</f>
        <v/>
      </c>
      <c r="K1898">
        <f>IF($P1898="","",INDEX(상세표[블록 07~18시],$P1898))</f>
        <v/>
      </c>
      <c r="L1898">
        <f>IF($P1898="","",INDEX(상세표[블록 18~22시],$P1898))</f>
        <v/>
      </c>
      <c r="M1898">
        <f>IF($P1898="","",INDEX(상세표[블록 22~06시],$P1898))</f>
        <v/>
      </c>
      <c r="N1898">
        <f>IF($P1898="","",INDEX(상세표[주말·휴일 포함],$P1898)&amp;"")</f>
        <v/>
      </c>
      <c r="O1898">
        <f>IF($P1898="","",INDEX(상세표[월 넘김 포함],$P1898)&amp;"")</f>
        <v/>
      </c>
      <c r="P1898" s="4">
        <f>IFERROR(MATCH(1893,상세표[연속순번],0),"")</f>
        <v/>
      </c>
    </row>
    <row r="1899">
      <c r="A1899">
        <f>IF($P1899="","",INDEX(상세표[사번],$P1899)&amp;"")</f>
        <v/>
      </c>
      <c r="B1899">
        <f>IF($P1899="","",INDEX(상세표[성명],$P1899)&amp;"")</f>
        <v/>
      </c>
      <c r="C1899">
        <f>IF($P1899="","",INDEX(상세표[부서],$P1899)&amp;"")</f>
        <v/>
      </c>
      <c r="D1899">
        <f>IF($P1899="","",INDEX(상세표[직위],$P1899)&amp;"")</f>
        <v/>
      </c>
      <c r="E1899">
        <f>IF($P1899="","",IF(ISNUMBER(INDEX(상세표[시작],$P1899)),TEXT(INDEX(상세표[시작],$P1899),"yyyy-mm-dd hh:mm"),INDEX(상세표[시작],$P1899)&amp;""))</f>
        <v/>
      </c>
      <c r="F1899">
        <f>IF($P1899="","",IF(ISNUMBER(INDEX(상세표[블록종료],$P1899)),TEXT(INDEX(상세표[블록종료],$P1899),"yyyy-mm-dd hh:mm"),INDEX(상세표[블록종료],$P1899)&amp;""))</f>
        <v/>
      </c>
      <c r="G1899">
        <f>IF($P1899="","",CHOOSE(WEEKDAY(INDEX(상세표[시작],$P1899)),"일","월","화","수","목","금","토"))</f>
        <v/>
      </c>
      <c r="H1899">
        <f>IF($P1899="","",INDEX(상세표[연속 시간],$P1899))</f>
        <v/>
      </c>
      <c r="I1899">
        <f>IF($P1899="","",INDEX(상세표[기록 수],$P1899))</f>
        <v/>
      </c>
      <c r="J1899">
        <f>IF($P1899="","",INDEX(상세표[블록 06~07시],$P1899))</f>
        <v/>
      </c>
      <c r="K1899">
        <f>IF($P1899="","",INDEX(상세표[블록 07~18시],$P1899))</f>
        <v/>
      </c>
      <c r="L1899">
        <f>IF($P1899="","",INDEX(상세표[블록 18~22시],$P1899))</f>
        <v/>
      </c>
      <c r="M1899">
        <f>IF($P1899="","",INDEX(상세표[블록 22~06시],$P1899))</f>
        <v/>
      </c>
      <c r="N1899">
        <f>IF($P1899="","",INDEX(상세표[주말·휴일 포함],$P1899)&amp;"")</f>
        <v/>
      </c>
      <c r="O1899">
        <f>IF($P1899="","",INDEX(상세표[월 넘김 포함],$P1899)&amp;"")</f>
        <v/>
      </c>
      <c r="P1899" s="4">
        <f>IFERROR(MATCH(1894,상세표[연속순번],0),"")</f>
        <v/>
      </c>
    </row>
    <row r="1900">
      <c r="A1900">
        <f>IF($P1900="","",INDEX(상세표[사번],$P1900)&amp;"")</f>
        <v/>
      </c>
      <c r="B1900">
        <f>IF($P1900="","",INDEX(상세표[성명],$P1900)&amp;"")</f>
        <v/>
      </c>
      <c r="C1900">
        <f>IF($P1900="","",INDEX(상세표[부서],$P1900)&amp;"")</f>
        <v/>
      </c>
      <c r="D1900">
        <f>IF($P1900="","",INDEX(상세표[직위],$P1900)&amp;"")</f>
        <v/>
      </c>
      <c r="E1900">
        <f>IF($P1900="","",IF(ISNUMBER(INDEX(상세표[시작],$P1900)),TEXT(INDEX(상세표[시작],$P1900),"yyyy-mm-dd hh:mm"),INDEX(상세표[시작],$P1900)&amp;""))</f>
        <v/>
      </c>
      <c r="F1900">
        <f>IF($P1900="","",IF(ISNUMBER(INDEX(상세표[블록종료],$P1900)),TEXT(INDEX(상세표[블록종료],$P1900),"yyyy-mm-dd hh:mm"),INDEX(상세표[블록종료],$P1900)&amp;""))</f>
        <v/>
      </c>
      <c r="G1900">
        <f>IF($P1900="","",CHOOSE(WEEKDAY(INDEX(상세표[시작],$P1900)),"일","월","화","수","목","금","토"))</f>
        <v/>
      </c>
      <c r="H1900">
        <f>IF($P1900="","",INDEX(상세표[연속 시간],$P1900))</f>
        <v/>
      </c>
      <c r="I1900">
        <f>IF($P1900="","",INDEX(상세표[기록 수],$P1900))</f>
        <v/>
      </c>
      <c r="J1900">
        <f>IF($P1900="","",INDEX(상세표[블록 06~07시],$P1900))</f>
        <v/>
      </c>
      <c r="K1900">
        <f>IF($P1900="","",INDEX(상세표[블록 07~18시],$P1900))</f>
        <v/>
      </c>
      <c r="L1900">
        <f>IF($P1900="","",INDEX(상세표[블록 18~22시],$P1900))</f>
        <v/>
      </c>
      <c r="M1900">
        <f>IF($P1900="","",INDEX(상세표[블록 22~06시],$P1900))</f>
        <v/>
      </c>
      <c r="N1900">
        <f>IF($P1900="","",INDEX(상세표[주말·휴일 포함],$P1900)&amp;"")</f>
        <v/>
      </c>
      <c r="O1900">
        <f>IF($P1900="","",INDEX(상세표[월 넘김 포함],$P1900)&amp;"")</f>
        <v/>
      </c>
      <c r="P1900" s="4">
        <f>IFERROR(MATCH(1895,상세표[연속순번],0),"")</f>
        <v/>
      </c>
    </row>
    <row r="1901">
      <c r="A1901">
        <f>IF($P1901="","",INDEX(상세표[사번],$P1901)&amp;"")</f>
        <v/>
      </c>
      <c r="B1901">
        <f>IF($P1901="","",INDEX(상세표[성명],$P1901)&amp;"")</f>
        <v/>
      </c>
      <c r="C1901">
        <f>IF($P1901="","",INDEX(상세표[부서],$P1901)&amp;"")</f>
        <v/>
      </c>
      <c r="D1901">
        <f>IF($P1901="","",INDEX(상세표[직위],$P1901)&amp;"")</f>
        <v/>
      </c>
      <c r="E1901">
        <f>IF($P1901="","",IF(ISNUMBER(INDEX(상세표[시작],$P1901)),TEXT(INDEX(상세표[시작],$P1901),"yyyy-mm-dd hh:mm"),INDEX(상세표[시작],$P1901)&amp;""))</f>
        <v/>
      </c>
      <c r="F1901">
        <f>IF($P1901="","",IF(ISNUMBER(INDEX(상세표[블록종료],$P1901)),TEXT(INDEX(상세표[블록종료],$P1901),"yyyy-mm-dd hh:mm"),INDEX(상세표[블록종료],$P1901)&amp;""))</f>
        <v/>
      </c>
      <c r="G1901">
        <f>IF($P1901="","",CHOOSE(WEEKDAY(INDEX(상세표[시작],$P1901)),"일","월","화","수","목","금","토"))</f>
        <v/>
      </c>
      <c r="H1901">
        <f>IF($P1901="","",INDEX(상세표[연속 시간],$P1901))</f>
        <v/>
      </c>
      <c r="I1901">
        <f>IF($P1901="","",INDEX(상세표[기록 수],$P1901))</f>
        <v/>
      </c>
      <c r="J1901">
        <f>IF($P1901="","",INDEX(상세표[블록 06~07시],$P1901))</f>
        <v/>
      </c>
      <c r="K1901">
        <f>IF($P1901="","",INDEX(상세표[블록 07~18시],$P1901))</f>
        <v/>
      </c>
      <c r="L1901">
        <f>IF($P1901="","",INDEX(상세표[블록 18~22시],$P1901))</f>
        <v/>
      </c>
      <c r="M1901">
        <f>IF($P1901="","",INDEX(상세표[블록 22~06시],$P1901))</f>
        <v/>
      </c>
      <c r="N1901">
        <f>IF($P1901="","",INDEX(상세표[주말·휴일 포함],$P1901)&amp;"")</f>
        <v/>
      </c>
      <c r="O1901">
        <f>IF($P1901="","",INDEX(상세표[월 넘김 포함],$P1901)&amp;"")</f>
        <v/>
      </c>
      <c r="P1901" s="4">
        <f>IFERROR(MATCH(1896,상세표[연속순번],0),"")</f>
        <v/>
      </c>
    </row>
    <row r="1902">
      <c r="A1902">
        <f>IF($P1902="","",INDEX(상세표[사번],$P1902)&amp;"")</f>
        <v/>
      </c>
      <c r="B1902">
        <f>IF($P1902="","",INDEX(상세표[성명],$P1902)&amp;"")</f>
        <v/>
      </c>
      <c r="C1902">
        <f>IF($P1902="","",INDEX(상세표[부서],$P1902)&amp;"")</f>
        <v/>
      </c>
      <c r="D1902">
        <f>IF($P1902="","",INDEX(상세표[직위],$P1902)&amp;"")</f>
        <v/>
      </c>
      <c r="E1902">
        <f>IF($P1902="","",IF(ISNUMBER(INDEX(상세표[시작],$P1902)),TEXT(INDEX(상세표[시작],$P1902),"yyyy-mm-dd hh:mm"),INDEX(상세표[시작],$P1902)&amp;""))</f>
        <v/>
      </c>
      <c r="F1902">
        <f>IF($P1902="","",IF(ISNUMBER(INDEX(상세표[블록종료],$P1902)),TEXT(INDEX(상세표[블록종료],$P1902),"yyyy-mm-dd hh:mm"),INDEX(상세표[블록종료],$P1902)&amp;""))</f>
        <v/>
      </c>
      <c r="G1902">
        <f>IF($P1902="","",CHOOSE(WEEKDAY(INDEX(상세표[시작],$P1902)),"일","월","화","수","목","금","토"))</f>
        <v/>
      </c>
      <c r="H1902">
        <f>IF($P1902="","",INDEX(상세표[연속 시간],$P1902))</f>
        <v/>
      </c>
      <c r="I1902">
        <f>IF($P1902="","",INDEX(상세표[기록 수],$P1902))</f>
        <v/>
      </c>
      <c r="J1902">
        <f>IF($P1902="","",INDEX(상세표[블록 06~07시],$P1902))</f>
        <v/>
      </c>
      <c r="K1902">
        <f>IF($P1902="","",INDEX(상세표[블록 07~18시],$P1902))</f>
        <v/>
      </c>
      <c r="L1902">
        <f>IF($P1902="","",INDEX(상세표[블록 18~22시],$P1902))</f>
        <v/>
      </c>
      <c r="M1902">
        <f>IF($P1902="","",INDEX(상세표[블록 22~06시],$P1902))</f>
        <v/>
      </c>
      <c r="N1902">
        <f>IF($P1902="","",INDEX(상세표[주말·휴일 포함],$P1902)&amp;"")</f>
        <v/>
      </c>
      <c r="O1902">
        <f>IF($P1902="","",INDEX(상세표[월 넘김 포함],$P1902)&amp;"")</f>
        <v/>
      </c>
      <c r="P1902" s="4">
        <f>IFERROR(MATCH(1897,상세표[연속순번],0),"")</f>
        <v/>
      </c>
    </row>
    <row r="1903">
      <c r="A1903">
        <f>IF($P1903="","",INDEX(상세표[사번],$P1903)&amp;"")</f>
        <v/>
      </c>
      <c r="B1903">
        <f>IF($P1903="","",INDEX(상세표[성명],$P1903)&amp;"")</f>
        <v/>
      </c>
      <c r="C1903">
        <f>IF($P1903="","",INDEX(상세표[부서],$P1903)&amp;"")</f>
        <v/>
      </c>
      <c r="D1903">
        <f>IF($P1903="","",INDEX(상세표[직위],$P1903)&amp;"")</f>
        <v/>
      </c>
      <c r="E1903">
        <f>IF($P1903="","",IF(ISNUMBER(INDEX(상세표[시작],$P1903)),TEXT(INDEX(상세표[시작],$P1903),"yyyy-mm-dd hh:mm"),INDEX(상세표[시작],$P1903)&amp;""))</f>
        <v/>
      </c>
      <c r="F1903">
        <f>IF($P1903="","",IF(ISNUMBER(INDEX(상세표[블록종료],$P1903)),TEXT(INDEX(상세표[블록종료],$P1903),"yyyy-mm-dd hh:mm"),INDEX(상세표[블록종료],$P1903)&amp;""))</f>
        <v/>
      </c>
      <c r="G1903">
        <f>IF($P1903="","",CHOOSE(WEEKDAY(INDEX(상세표[시작],$P1903)),"일","월","화","수","목","금","토"))</f>
        <v/>
      </c>
      <c r="H1903">
        <f>IF($P1903="","",INDEX(상세표[연속 시간],$P1903))</f>
        <v/>
      </c>
      <c r="I1903">
        <f>IF($P1903="","",INDEX(상세표[기록 수],$P1903))</f>
        <v/>
      </c>
      <c r="J1903">
        <f>IF($P1903="","",INDEX(상세표[블록 06~07시],$P1903))</f>
        <v/>
      </c>
      <c r="K1903">
        <f>IF($P1903="","",INDEX(상세표[블록 07~18시],$P1903))</f>
        <v/>
      </c>
      <c r="L1903">
        <f>IF($P1903="","",INDEX(상세표[블록 18~22시],$P1903))</f>
        <v/>
      </c>
      <c r="M1903">
        <f>IF($P1903="","",INDEX(상세표[블록 22~06시],$P1903))</f>
        <v/>
      </c>
      <c r="N1903">
        <f>IF($P1903="","",INDEX(상세표[주말·휴일 포함],$P1903)&amp;"")</f>
        <v/>
      </c>
      <c r="O1903">
        <f>IF($P1903="","",INDEX(상세표[월 넘김 포함],$P1903)&amp;"")</f>
        <v/>
      </c>
      <c r="P1903" s="4">
        <f>IFERROR(MATCH(1898,상세표[연속순번],0),"")</f>
        <v/>
      </c>
    </row>
    <row r="1904">
      <c r="A1904">
        <f>IF($P1904="","",INDEX(상세표[사번],$P1904)&amp;"")</f>
        <v/>
      </c>
      <c r="B1904">
        <f>IF($P1904="","",INDEX(상세표[성명],$P1904)&amp;"")</f>
        <v/>
      </c>
      <c r="C1904">
        <f>IF($P1904="","",INDEX(상세표[부서],$P1904)&amp;"")</f>
        <v/>
      </c>
      <c r="D1904">
        <f>IF($P1904="","",INDEX(상세표[직위],$P1904)&amp;"")</f>
        <v/>
      </c>
      <c r="E1904">
        <f>IF($P1904="","",IF(ISNUMBER(INDEX(상세표[시작],$P1904)),TEXT(INDEX(상세표[시작],$P1904),"yyyy-mm-dd hh:mm"),INDEX(상세표[시작],$P1904)&amp;""))</f>
        <v/>
      </c>
      <c r="F1904">
        <f>IF($P1904="","",IF(ISNUMBER(INDEX(상세표[블록종료],$P1904)),TEXT(INDEX(상세표[블록종료],$P1904),"yyyy-mm-dd hh:mm"),INDEX(상세표[블록종료],$P1904)&amp;""))</f>
        <v/>
      </c>
      <c r="G1904">
        <f>IF($P1904="","",CHOOSE(WEEKDAY(INDEX(상세표[시작],$P1904)),"일","월","화","수","목","금","토"))</f>
        <v/>
      </c>
      <c r="H1904">
        <f>IF($P1904="","",INDEX(상세표[연속 시간],$P1904))</f>
        <v/>
      </c>
      <c r="I1904">
        <f>IF($P1904="","",INDEX(상세표[기록 수],$P1904))</f>
        <v/>
      </c>
      <c r="J1904">
        <f>IF($P1904="","",INDEX(상세표[블록 06~07시],$P1904))</f>
        <v/>
      </c>
      <c r="K1904">
        <f>IF($P1904="","",INDEX(상세표[블록 07~18시],$P1904))</f>
        <v/>
      </c>
      <c r="L1904">
        <f>IF($P1904="","",INDEX(상세표[블록 18~22시],$P1904))</f>
        <v/>
      </c>
      <c r="M1904">
        <f>IF($P1904="","",INDEX(상세표[블록 22~06시],$P1904))</f>
        <v/>
      </c>
      <c r="N1904">
        <f>IF($P1904="","",INDEX(상세표[주말·휴일 포함],$P1904)&amp;"")</f>
        <v/>
      </c>
      <c r="O1904">
        <f>IF($P1904="","",INDEX(상세표[월 넘김 포함],$P1904)&amp;"")</f>
        <v/>
      </c>
      <c r="P1904" s="4">
        <f>IFERROR(MATCH(1899,상세표[연속순번],0),"")</f>
        <v/>
      </c>
    </row>
    <row r="1905">
      <c r="A1905">
        <f>IF($P1905="","",INDEX(상세표[사번],$P1905)&amp;"")</f>
        <v/>
      </c>
      <c r="B1905">
        <f>IF($P1905="","",INDEX(상세표[성명],$P1905)&amp;"")</f>
        <v/>
      </c>
      <c r="C1905">
        <f>IF($P1905="","",INDEX(상세표[부서],$P1905)&amp;"")</f>
        <v/>
      </c>
      <c r="D1905">
        <f>IF($P1905="","",INDEX(상세표[직위],$P1905)&amp;"")</f>
        <v/>
      </c>
      <c r="E1905">
        <f>IF($P1905="","",IF(ISNUMBER(INDEX(상세표[시작],$P1905)),TEXT(INDEX(상세표[시작],$P1905),"yyyy-mm-dd hh:mm"),INDEX(상세표[시작],$P1905)&amp;""))</f>
        <v/>
      </c>
      <c r="F1905">
        <f>IF($P1905="","",IF(ISNUMBER(INDEX(상세표[블록종료],$P1905)),TEXT(INDEX(상세표[블록종료],$P1905),"yyyy-mm-dd hh:mm"),INDEX(상세표[블록종료],$P1905)&amp;""))</f>
        <v/>
      </c>
      <c r="G1905">
        <f>IF($P1905="","",CHOOSE(WEEKDAY(INDEX(상세표[시작],$P1905)),"일","월","화","수","목","금","토"))</f>
        <v/>
      </c>
      <c r="H1905">
        <f>IF($P1905="","",INDEX(상세표[연속 시간],$P1905))</f>
        <v/>
      </c>
      <c r="I1905">
        <f>IF($P1905="","",INDEX(상세표[기록 수],$P1905))</f>
        <v/>
      </c>
      <c r="J1905">
        <f>IF($P1905="","",INDEX(상세표[블록 06~07시],$P1905))</f>
        <v/>
      </c>
      <c r="K1905">
        <f>IF($P1905="","",INDEX(상세표[블록 07~18시],$P1905))</f>
        <v/>
      </c>
      <c r="L1905">
        <f>IF($P1905="","",INDEX(상세표[블록 18~22시],$P1905))</f>
        <v/>
      </c>
      <c r="M1905">
        <f>IF($P1905="","",INDEX(상세표[블록 22~06시],$P1905))</f>
        <v/>
      </c>
      <c r="N1905">
        <f>IF($P1905="","",INDEX(상세표[주말·휴일 포함],$P1905)&amp;"")</f>
        <v/>
      </c>
      <c r="O1905">
        <f>IF($P1905="","",INDEX(상세표[월 넘김 포함],$P1905)&amp;"")</f>
        <v/>
      </c>
      <c r="P1905" s="4">
        <f>IFERROR(MATCH(1900,상세표[연속순번],0),"")</f>
        <v/>
      </c>
    </row>
    <row r="1906">
      <c r="A1906">
        <f>IF($P1906="","",INDEX(상세표[사번],$P1906)&amp;"")</f>
        <v/>
      </c>
      <c r="B1906">
        <f>IF($P1906="","",INDEX(상세표[성명],$P1906)&amp;"")</f>
        <v/>
      </c>
      <c r="C1906">
        <f>IF($P1906="","",INDEX(상세표[부서],$P1906)&amp;"")</f>
        <v/>
      </c>
      <c r="D1906">
        <f>IF($P1906="","",INDEX(상세표[직위],$P1906)&amp;"")</f>
        <v/>
      </c>
      <c r="E1906">
        <f>IF($P1906="","",IF(ISNUMBER(INDEX(상세표[시작],$P1906)),TEXT(INDEX(상세표[시작],$P1906),"yyyy-mm-dd hh:mm"),INDEX(상세표[시작],$P1906)&amp;""))</f>
        <v/>
      </c>
      <c r="F1906">
        <f>IF($P1906="","",IF(ISNUMBER(INDEX(상세표[블록종료],$P1906)),TEXT(INDEX(상세표[블록종료],$P1906),"yyyy-mm-dd hh:mm"),INDEX(상세표[블록종료],$P1906)&amp;""))</f>
        <v/>
      </c>
      <c r="G1906">
        <f>IF($P1906="","",CHOOSE(WEEKDAY(INDEX(상세표[시작],$P1906)),"일","월","화","수","목","금","토"))</f>
        <v/>
      </c>
      <c r="H1906">
        <f>IF($P1906="","",INDEX(상세표[연속 시간],$P1906))</f>
        <v/>
      </c>
      <c r="I1906">
        <f>IF($P1906="","",INDEX(상세표[기록 수],$P1906))</f>
        <v/>
      </c>
      <c r="J1906">
        <f>IF($P1906="","",INDEX(상세표[블록 06~07시],$P1906))</f>
        <v/>
      </c>
      <c r="K1906">
        <f>IF($P1906="","",INDEX(상세표[블록 07~18시],$P1906))</f>
        <v/>
      </c>
      <c r="L1906">
        <f>IF($P1906="","",INDEX(상세표[블록 18~22시],$P1906))</f>
        <v/>
      </c>
      <c r="M1906">
        <f>IF($P1906="","",INDEX(상세표[블록 22~06시],$P1906))</f>
        <v/>
      </c>
      <c r="N1906">
        <f>IF($P1906="","",INDEX(상세표[주말·휴일 포함],$P1906)&amp;"")</f>
        <v/>
      </c>
      <c r="O1906">
        <f>IF($P1906="","",INDEX(상세표[월 넘김 포함],$P1906)&amp;"")</f>
        <v/>
      </c>
      <c r="P1906" s="4">
        <f>IFERROR(MATCH(1901,상세표[연속순번],0),"")</f>
        <v/>
      </c>
    </row>
    <row r="1907">
      <c r="A1907">
        <f>IF($P1907="","",INDEX(상세표[사번],$P1907)&amp;"")</f>
        <v/>
      </c>
      <c r="B1907">
        <f>IF($P1907="","",INDEX(상세표[성명],$P1907)&amp;"")</f>
        <v/>
      </c>
      <c r="C1907">
        <f>IF($P1907="","",INDEX(상세표[부서],$P1907)&amp;"")</f>
        <v/>
      </c>
      <c r="D1907">
        <f>IF($P1907="","",INDEX(상세표[직위],$P1907)&amp;"")</f>
        <v/>
      </c>
      <c r="E1907">
        <f>IF($P1907="","",IF(ISNUMBER(INDEX(상세표[시작],$P1907)),TEXT(INDEX(상세표[시작],$P1907),"yyyy-mm-dd hh:mm"),INDEX(상세표[시작],$P1907)&amp;""))</f>
        <v/>
      </c>
      <c r="F1907">
        <f>IF($P1907="","",IF(ISNUMBER(INDEX(상세표[블록종료],$P1907)),TEXT(INDEX(상세표[블록종료],$P1907),"yyyy-mm-dd hh:mm"),INDEX(상세표[블록종료],$P1907)&amp;""))</f>
        <v/>
      </c>
      <c r="G1907">
        <f>IF($P1907="","",CHOOSE(WEEKDAY(INDEX(상세표[시작],$P1907)),"일","월","화","수","목","금","토"))</f>
        <v/>
      </c>
      <c r="H1907">
        <f>IF($P1907="","",INDEX(상세표[연속 시간],$P1907))</f>
        <v/>
      </c>
      <c r="I1907">
        <f>IF($P1907="","",INDEX(상세표[기록 수],$P1907))</f>
        <v/>
      </c>
      <c r="J1907">
        <f>IF($P1907="","",INDEX(상세표[블록 06~07시],$P1907))</f>
        <v/>
      </c>
      <c r="K1907">
        <f>IF($P1907="","",INDEX(상세표[블록 07~18시],$P1907))</f>
        <v/>
      </c>
      <c r="L1907">
        <f>IF($P1907="","",INDEX(상세표[블록 18~22시],$P1907))</f>
        <v/>
      </c>
      <c r="M1907">
        <f>IF($P1907="","",INDEX(상세표[블록 22~06시],$P1907))</f>
        <v/>
      </c>
      <c r="N1907">
        <f>IF($P1907="","",INDEX(상세표[주말·휴일 포함],$P1907)&amp;"")</f>
        <v/>
      </c>
      <c r="O1907">
        <f>IF($P1907="","",INDEX(상세표[월 넘김 포함],$P1907)&amp;"")</f>
        <v/>
      </c>
      <c r="P1907" s="4">
        <f>IFERROR(MATCH(1902,상세표[연속순번],0),"")</f>
        <v/>
      </c>
    </row>
    <row r="1908">
      <c r="A1908">
        <f>IF($P1908="","",INDEX(상세표[사번],$P1908)&amp;"")</f>
        <v/>
      </c>
      <c r="B1908">
        <f>IF($P1908="","",INDEX(상세표[성명],$P1908)&amp;"")</f>
        <v/>
      </c>
      <c r="C1908">
        <f>IF($P1908="","",INDEX(상세표[부서],$P1908)&amp;"")</f>
        <v/>
      </c>
      <c r="D1908">
        <f>IF($P1908="","",INDEX(상세표[직위],$P1908)&amp;"")</f>
        <v/>
      </c>
      <c r="E1908">
        <f>IF($P1908="","",IF(ISNUMBER(INDEX(상세표[시작],$P1908)),TEXT(INDEX(상세표[시작],$P1908),"yyyy-mm-dd hh:mm"),INDEX(상세표[시작],$P1908)&amp;""))</f>
        <v/>
      </c>
      <c r="F1908">
        <f>IF($P1908="","",IF(ISNUMBER(INDEX(상세표[블록종료],$P1908)),TEXT(INDEX(상세표[블록종료],$P1908),"yyyy-mm-dd hh:mm"),INDEX(상세표[블록종료],$P1908)&amp;""))</f>
        <v/>
      </c>
      <c r="G1908">
        <f>IF($P1908="","",CHOOSE(WEEKDAY(INDEX(상세표[시작],$P1908)),"일","월","화","수","목","금","토"))</f>
        <v/>
      </c>
      <c r="H1908">
        <f>IF($P1908="","",INDEX(상세표[연속 시간],$P1908))</f>
        <v/>
      </c>
      <c r="I1908">
        <f>IF($P1908="","",INDEX(상세표[기록 수],$P1908))</f>
        <v/>
      </c>
      <c r="J1908">
        <f>IF($P1908="","",INDEX(상세표[블록 06~07시],$P1908))</f>
        <v/>
      </c>
      <c r="K1908">
        <f>IF($P1908="","",INDEX(상세표[블록 07~18시],$P1908))</f>
        <v/>
      </c>
      <c r="L1908">
        <f>IF($P1908="","",INDEX(상세표[블록 18~22시],$P1908))</f>
        <v/>
      </c>
      <c r="M1908">
        <f>IF($P1908="","",INDEX(상세표[블록 22~06시],$P1908))</f>
        <v/>
      </c>
      <c r="N1908">
        <f>IF($P1908="","",INDEX(상세표[주말·휴일 포함],$P1908)&amp;"")</f>
        <v/>
      </c>
      <c r="O1908">
        <f>IF($P1908="","",INDEX(상세표[월 넘김 포함],$P1908)&amp;"")</f>
        <v/>
      </c>
      <c r="P1908" s="4">
        <f>IFERROR(MATCH(1903,상세표[연속순번],0),"")</f>
        <v/>
      </c>
    </row>
    <row r="1909">
      <c r="A1909">
        <f>IF($P1909="","",INDEX(상세표[사번],$P1909)&amp;"")</f>
        <v/>
      </c>
      <c r="B1909">
        <f>IF($P1909="","",INDEX(상세표[성명],$P1909)&amp;"")</f>
        <v/>
      </c>
      <c r="C1909">
        <f>IF($P1909="","",INDEX(상세표[부서],$P1909)&amp;"")</f>
        <v/>
      </c>
      <c r="D1909">
        <f>IF($P1909="","",INDEX(상세표[직위],$P1909)&amp;"")</f>
        <v/>
      </c>
      <c r="E1909">
        <f>IF($P1909="","",IF(ISNUMBER(INDEX(상세표[시작],$P1909)),TEXT(INDEX(상세표[시작],$P1909),"yyyy-mm-dd hh:mm"),INDEX(상세표[시작],$P1909)&amp;""))</f>
        <v/>
      </c>
      <c r="F1909">
        <f>IF($P1909="","",IF(ISNUMBER(INDEX(상세표[블록종료],$P1909)),TEXT(INDEX(상세표[블록종료],$P1909),"yyyy-mm-dd hh:mm"),INDEX(상세표[블록종료],$P1909)&amp;""))</f>
        <v/>
      </c>
      <c r="G1909">
        <f>IF($P1909="","",CHOOSE(WEEKDAY(INDEX(상세표[시작],$P1909)),"일","월","화","수","목","금","토"))</f>
        <v/>
      </c>
      <c r="H1909">
        <f>IF($P1909="","",INDEX(상세표[연속 시간],$P1909))</f>
        <v/>
      </c>
      <c r="I1909">
        <f>IF($P1909="","",INDEX(상세표[기록 수],$P1909))</f>
        <v/>
      </c>
      <c r="J1909">
        <f>IF($P1909="","",INDEX(상세표[블록 06~07시],$P1909))</f>
        <v/>
      </c>
      <c r="K1909">
        <f>IF($P1909="","",INDEX(상세표[블록 07~18시],$P1909))</f>
        <v/>
      </c>
      <c r="L1909">
        <f>IF($P1909="","",INDEX(상세표[블록 18~22시],$P1909))</f>
        <v/>
      </c>
      <c r="M1909">
        <f>IF($P1909="","",INDEX(상세표[블록 22~06시],$P1909))</f>
        <v/>
      </c>
      <c r="N1909">
        <f>IF($P1909="","",INDEX(상세표[주말·휴일 포함],$P1909)&amp;"")</f>
        <v/>
      </c>
      <c r="O1909">
        <f>IF($P1909="","",INDEX(상세표[월 넘김 포함],$P1909)&amp;"")</f>
        <v/>
      </c>
      <c r="P1909" s="4">
        <f>IFERROR(MATCH(1904,상세표[연속순번],0),"")</f>
        <v/>
      </c>
    </row>
    <row r="1910">
      <c r="A1910">
        <f>IF($P1910="","",INDEX(상세표[사번],$P1910)&amp;"")</f>
        <v/>
      </c>
      <c r="B1910">
        <f>IF($P1910="","",INDEX(상세표[성명],$P1910)&amp;"")</f>
        <v/>
      </c>
      <c r="C1910">
        <f>IF($P1910="","",INDEX(상세표[부서],$P1910)&amp;"")</f>
        <v/>
      </c>
      <c r="D1910">
        <f>IF($P1910="","",INDEX(상세표[직위],$P1910)&amp;"")</f>
        <v/>
      </c>
      <c r="E1910">
        <f>IF($P1910="","",IF(ISNUMBER(INDEX(상세표[시작],$P1910)),TEXT(INDEX(상세표[시작],$P1910),"yyyy-mm-dd hh:mm"),INDEX(상세표[시작],$P1910)&amp;""))</f>
        <v/>
      </c>
      <c r="F1910">
        <f>IF($P1910="","",IF(ISNUMBER(INDEX(상세표[블록종료],$P1910)),TEXT(INDEX(상세표[블록종료],$P1910),"yyyy-mm-dd hh:mm"),INDEX(상세표[블록종료],$P1910)&amp;""))</f>
        <v/>
      </c>
      <c r="G1910">
        <f>IF($P1910="","",CHOOSE(WEEKDAY(INDEX(상세표[시작],$P1910)),"일","월","화","수","목","금","토"))</f>
        <v/>
      </c>
      <c r="H1910">
        <f>IF($P1910="","",INDEX(상세표[연속 시간],$P1910))</f>
        <v/>
      </c>
      <c r="I1910">
        <f>IF($P1910="","",INDEX(상세표[기록 수],$P1910))</f>
        <v/>
      </c>
      <c r="J1910">
        <f>IF($P1910="","",INDEX(상세표[블록 06~07시],$P1910))</f>
        <v/>
      </c>
      <c r="K1910">
        <f>IF($P1910="","",INDEX(상세표[블록 07~18시],$P1910))</f>
        <v/>
      </c>
      <c r="L1910">
        <f>IF($P1910="","",INDEX(상세표[블록 18~22시],$P1910))</f>
        <v/>
      </c>
      <c r="M1910">
        <f>IF($P1910="","",INDEX(상세표[블록 22~06시],$P1910))</f>
        <v/>
      </c>
      <c r="N1910">
        <f>IF($P1910="","",INDEX(상세표[주말·휴일 포함],$P1910)&amp;"")</f>
        <v/>
      </c>
      <c r="O1910">
        <f>IF($P1910="","",INDEX(상세표[월 넘김 포함],$P1910)&amp;"")</f>
        <v/>
      </c>
      <c r="P1910" s="4">
        <f>IFERROR(MATCH(1905,상세표[연속순번],0),"")</f>
        <v/>
      </c>
    </row>
    <row r="1911">
      <c r="A1911">
        <f>IF($P1911="","",INDEX(상세표[사번],$P1911)&amp;"")</f>
        <v/>
      </c>
      <c r="B1911">
        <f>IF($P1911="","",INDEX(상세표[성명],$P1911)&amp;"")</f>
        <v/>
      </c>
      <c r="C1911">
        <f>IF($P1911="","",INDEX(상세표[부서],$P1911)&amp;"")</f>
        <v/>
      </c>
      <c r="D1911">
        <f>IF($P1911="","",INDEX(상세표[직위],$P1911)&amp;"")</f>
        <v/>
      </c>
      <c r="E1911">
        <f>IF($P1911="","",IF(ISNUMBER(INDEX(상세표[시작],$P1911)),TEXT(INDEX(상세표[시작],$P1911),"yyyy-mm-dd hh:mm"),INDEX(상세표[시작],$P1911)&amp;""))</f>
        <v/>
      </c>
      <c r="F1911">
        <f>IF($P1911="","",IF(ISNUMBER(INDEX(상세표[블록종료],$P1911)),TEXT(INDEX(상세표[블록종료],$P1911),"yyyy-mm-dd hh:mm"),INDEX(상세표[블록종료],$P1911)&amp;""))</f>
        <v/>
      </c>
      <c r="G1911">
        <f>IF($P1911="","",CHOOSE(WEEKDAY(INDEX(상세표[시작],$P1911)),"일","월","화","수","목","금","토"))</f>
        <v/>
      </c>
      <c r="H1911">
        <f>IF($P1911="","",INDEX(상세표[연속 시간],$P1911))</f>
        <v/>
      </c>
      <c r="I1911">
        <f>IF($P1911="","",INDEX(상세표[기록 수],$P1911))</f>
        <v/>
      </c>
      <c r="J1911">
        <f>IF($P1911="","",INDEX(상세표[블록 06~07시],$P1911))</f>
        <v/>
      </c>
      <c r="K1911">
        <f>IF($P1911="","",INDEX(상세표[블록 07~18시],$P1911))</f>
        <v/>
      </c>
      <c r="L1911">
        <f>IF($P1911="","",INDEX(상세표[블록 18~22시],$P1911))</f>
        <v/>
      </c>
      <c r="M1911">
        <f>IF($P1911="","",INDEX(상세표[블록 22~06시],$P1911))</f>
        <v/>
      </c>
      <c r="N1911">
        <f>IF($P1911="","",INDEX(상세표[주말·휴일 포함],$P1911)&amp;"")</f>
        <v/>
      </c>
      <c r="O1911">
        <f>IF($P1911="","",INDEX(상세표[월 넘김 포함],$P1911)&amp;"")</f>
        <v/>
      </c>
      <c r="P1911" s="4">
        <f>IFERROR(MATCH(1906,상세표[연속순번],0),"")</f>
        <v/>
      </c>
    </row>
    <row r="1912">
      <c r="A1912">
        <f>IF($P1912="","",INDEX(상세표[사번],$P1912)&amp;"")</f>
        <v/>
      </c>
      <c r="B1912">
        <f>IF($P1912="","",INDEX(상세표[성명],$P1912)&amp;"")</f>
        <v/>
      </c>
      <c r="C1912">
        <f>IF($P1912="","",INDEX(상세표[부서],$P1912)&amp;"")</f>
        <v/>
      </c>
      <c r="D1912">
        <f>IF($P1912="","",INDEX(상세표[직위],$P1912)&amp;"")</f>
        <v/>
      </c>
      <c r="E1912">
        <f>IF($P1912="","",IF(ISNUMBER(INDEX(상세표[시작],$P1912)),TEXT(INDEX(상세표[시작],$P1912),"yyyy-mm-dd hh:mm"),INDEX(상세표[시작],$P1912)&amp;""))</f>
        <v/>
      </c>
      <c r="F1912">
        <f>IF($P1912="","",IF(ISNUMBER(INDEX(상세표[블록종료],$P1912)),TEXT(INDEX(상세표[블록종료],$P1912),"yyyy-mm-dd hh:mm"),INDEX(상세표[블록종료],$P1912)&amp;""))</f>
        <v/>
      </c>
      <c r="G1912">
        <f>IF($P1912="","",CHOOSE(WEEKDAY(INDEX(상세표[시작],$P1912)),"일","월","화","수","목","금","토"))</f>
        <v/>
      </c>
      <c r="H1912">
        <f>IF($P1912="","",INDEX(상세표[연속 시간],$P1912))</f>
        <v/>
      </c>
      <c r="I1912">
        <f>IF($P1912="","",INDEX(상세표[기록 수],$P1912))</f>
        <v/>
      </c>
      <c r="J1912">
        <f>IF($P1912="","",INDEX(상세표[블록 06~07시],$P1912))</f>
        <v/>
      </c>
      <c r="K1912">
        <f>IF($P1912="","",INDEX(상세표[블록 07~18시],$P1912))</f>
        <v/>
      </c>
      <c r="L1912">
        <f>IF($P1912="","",INDEX(상세표[블록 18~22시],$P1912))</f>
        <v/>
      </c>
      <c r="M1912">
        <f>IF($P1912="","",INDEX(상세표[블록 22~06시],$P1912))</f>
        <v/>
      </c>
      <c r="N1912">
        <f>IF($P1912="","",INDEX(상세표[주말·휴일 포함],$P1912)&amp;"")</f>
        <v/>
      </c>
      <c r="O1912">
        <f>IF($P1912="","",INDEX(상세표[월 넘김 포함],$P1912)&amp;"")</f>
        <v/>
      </c>
      <c r="P1912" s="4">
        <f>IFERROR(MATCH(1907,상세표[연속순번],0),"")</f>
        <v/>
      </c>
    </row>
    <row r="1913">
      <c r="A1913">
        <f>IF($P1913="","",INDEX(상세표[사번],$P1913)&amp;"")</f>
        <v/>
      </c>
      <c r="B1913">
        <f>IF($P1913="","",INDEX(상세표[성명],$P1913)&amp;"")</f>
        <v/>
      </c>
      <c r="C1913">
        <f>IF($P1913="","",INDEX(상세표[부서],$P1913)&amp;"")</f>
        <v/>
      </c>
      <c r="D1913">
        <f>IF($P1913="","",INDEX(상세표[직위],$P1913)&amp;"")</f>
        <v/>
      </c>
      <c r="E1913">
        <f>IF($P1913="","",IF(ISNUMBER(INDEX(상세표[시작],$P1913)),TEXT(INDEX(상세표[시작],$P1913),"yyyy-mm-dd hh:mm"),INDEX(상세표[시작],$P1913)&amp;""))</f>
        <v/>
      </c>
      <c r="F1913">
        <f>IF($P1913="","",IF(ISNUMBER(INDEX(상세표[블록종료],$P1913)),TEXT(INDEX(상세표[블록종료],$P1913),"yyyy-mm-dd hh:mm"),INDEX(상세표[블록종료],$P1913)&amp;""))</f>
        <v/>
      </c>
      <c r="G1913">
        <f>IF($P1913="","",CHOOSE(WEEKDAY(INDEX(상세표[시작],$P1913)),"일","월","화","수","목","금","토"))</f>
        <v/>
      </c>
      <c r="H1913">
        <f>IF($P1913="","",INDEX(상세표[연속 시간],$P1913))</f>
        <v/>
      </c>
      <c r="I1913">
        <f>IF($P1913="","",INDEX(상세표[기록 수],$P1913))</f>
        <v/>
      </c>
      <c r="J1913">
        <f>IF($P1913="","",INDEX(상세표[블록 06~07시],$P1913))</f>
        <v/>
      </c>
      <c r="K1913">
        <f>IF($P1913="","",INDEX(상세표[블록 07~18시],$P1913))</f>
        <v/>
      </c>
      <c r="L1913">
        <f>IF($P1913="","",INDEX(상세표[블록 18~22시],$P1913))</f>
        <v/>
      </c>
      <c r="M1913">
        <f>IF($P1913="","",INDEX(상세표[블록 22~06시],$P1913))</f>
        <v/>
      </c>
      <c r="N1913">
        <f>IF($P1913="","",INDEX(상세표[주말·휴일 포함],$P1913)&amp;"")</f>
        <v/>
      </c>
      <c r="O1913">
        <f>IF($P1913="","",INDEX(상세표[월 넘김 포함],$P1913)&amp;"")</f>
        <v/>
      </c>
      <c r="P1913" s="4">
        <f>IFERROR(MATCH(1908,상세표[연속순번],0),"")</f>
        <v/>
      </c>
    </row>
    <row r="1914">
      <c r="A1914">
        <f>IF($P1914="","",INDEX(상세표[사번],$P1914)&amp;"")</f>
        <v/>
      </c>
      <c r="B1914">
        <f>IF($P1914="","",INDEX(상세표[성명],$P1914)&amp;"")</f>
        <v/>
      </c>
      <c r="C1914">
        <f>IF($P1914="","",INDEX(상세표[부서],$P1914)&amp;"")</f>
        <v/>
      </c>
      <c r="D1914">
        <f>IF($P1914="","",INDEX(상세표[직위],$P1914)&amp;"")</f>
        <v/>
      </c>
      <c r="E1914">
        <f>IF($P1914="","",IF(ISNUMBER(INDEX(상세표[시작],$P1914)),TEXT(INDEX(상세표[시작],$P1914),"yyyy-mm-dd hh:mm"),INDEX(상세표[시작],$P1914)&amp;""))</f>
        <v/>
      </c>
      <c r="F1914">
        <f>IF($P1914="","",IF(ISNUMBER(INDEX(상세표[블록종료],$P1914)),TEXT(INDEX(상세표[블록종료],$P1914),"yyyy-mm-dd hh:mm"),INDEX(상세표[블록종료],$P1914)&amp;""))</f>
        <v/>
      </c>
      <c r="G1914">
        <f>IF($P1914="","",CHOOSE(WEEKDAY(INDEX(상세표[시작],$P1914)),"일","월","화","수","목","금","토"))</f>
        <v/>
      </c>
      <c r="H1914">
        <f>IF($P1914="","",INDEX(상세표[연속 시간],$P1914))</f>
        <v/>
      </c>
      <c r="I1914">
        <f>IF($P1914="","",INDEX(상세표[기록 수],$P1914))</f>
        <v/>
      </c>
      <c r="J1914">
        <f>IF($P1914="","",INDEX(상세표[블록 06~07시],$P1914))</f>
        <v/>
      </c>
      <c r="K1914">
        <f>IF($P1914="","",INDEX(상세표[블록 07~18시],$P1914))</f>
        <v/>
      </c>
      <c r="L1914">
        <f>IF($P1914="","",INDEX(상세표[블록 18~22시],$P1914))</f>
        <v/>
      </c>
      <c r="M1914">
        <f>IF($P1914="","",INDEX(상세표[블록 22~06시],$P1914))</f>
        <v/>
      </c>
      <c r="N1914">
        <f>IF($P1914="","",INDEX(상세표[주말·휴일 포함],$P1914)&amp;"")</f>
        <v/>
      </c>
      <c r="O1914">
        <f>IF($P1914="","",INDEX(상세표[월 넘김 포함],$P1914)&amp;"")</f>
        <v/>
      </c>
      <c r="P1914" s="4">
        <f>IFERROR(MATCH(1909,상세표[연속순번],0),"")</f>
        <v/>
      </c>
    </row>
    <row r="1915">
      <c r="A1915">
        <f>IF($P1915="","",INDEX(상세표[사번],$P1915)&amp;"")</f>
        <v/>
      </c>
      <c r="B1915">
        <f>IF($P1915="","",INDEX(상세표[성명],$P1915)&amp;"")</f>
        <v/>
      </c>
      <c r="C1915">
        <f>IF($P1915="","",INDEX(상세표[부서],$P1915)&amp;"")</f>
        <v/>
      </c>
      <c r="D1915">
        <f>IF($P1915="","",INDEX(상세표[직위],$P1915)&amp;"")</f>
        <v/>
      </c>
      <c r="E1915">
        <f>IF($P1915="","",IF(ISNUMBER(INDEX(상세표[시작],$P1915)),TEXT(INDEX(상세표[시작],$P1915),"yyyy-mm-dd hh:mm"),INDEX(상세표[시작],$P1915)&amp;""))</f>
        <v/>
      </c>
      <c r="F1915">
        <f>IF($P1915="","",IF(ISNUMBER(INDEX(상세표[블록종료],$P1915)),TEXT(INDEX(상세표[블록종료],$P1915),"yyyy-mm-dd hh:mm"),INDEX(상세표[블록종료],$P1915)&amp;""))</f>
        <v/>
      </c>
      <c r="G1915">
        <f>IF($P1915="","",CHOOSE(WEEKDAY(INDEX(상세표[시작],$P1915)),"일","월","화","수","목","금","토"))</f>
        <v/>
      </c>
      <c r="H1915">
        <f>IF($P1915="","",INDEX(상세표[연속 시간],$P1915))</f>
        <v/>
      </c>
      <c r="I1915">
        <f>IF($P1915="","",INDEX(상세표[기록 수],$P1915))</f>
        <v/>
      </c>
      <c r="J1915">
        <f>IF($P1915="","",INDEX(상세표[블록 06~07시],$P1915))</f>
        <v/>
      </c>
      <c r="K1915">
        <f>IF($P1915="","",INDEX(상세표[블록 07~18시],$P1915))</f>
        <v/>
      </c>
      <c r="L1915">
        <f>IF($P1915="","",INDEX(상세표[블록 18~22시],$P1915))</f>
        <v/>
      </c>
      <c r="M1915">
        <f>IF($P1915="","",INDEX(상세표[블록 22~06시],$P1915))</f>
        <v/>
      </c>
      <c r="N1915">
        <f>IF($P1915="","",INDEX(상세표[주말·휴일 포함],$P1915)&amp;"")</f>
        <v/>
      </c>
      <c r="O1915">
        <f>IF($P1915="","",INDEX(상세표[월 넘김 포함],$P1915)&amp;"")</f>
        <v/>
      </c>
      <c r="P1915" s="4">
        <f>IFERROR(MATCH(1910,상세표[연속순번],0),"")</f>
        <v/>
      </c>
    </row>
    <row r="1916">
      <c r="A1916">
        <f>IF($P1916="","",INDEX(상세표[사번],$P1916)&amp;"")</f>
        <v/>
      </c>
      <c r="B1916">
        <f>IF($P1916="","",INDEX(상세표[성명],$P1916)&amp;"")</f>
        <v/>
      </c>
      <c r="C1916">
        <f>IF($P1916="","",INDEX(상세표[부서],$P1916)&amp;"")</f>
        <v/>
      </c>
      <c r="D1916">
        <f>IF($P1916="","",INDEX(상세표[직위],$P1916)&amp;"")</f>
        <v/>
      </c>
      <c r="E1916">
        <f>IF($P1916="","",IF(ISNUMBER(INDEX(상세표[시작],$P1916)),TEXT(INDEX(상세표[시작],$P1916),"yyyy-mm-dd hh:mm"),INDEX(상세표[시작],$P1916)&amp;""))</f>
        <v/>
      </c>
      <c r="F1916">
        <f>IF($P1916="","",IF(ISNUMBER(INDEX(상세표[블록종료],$P1916)),TEXT(INDEX(상세표[블록종료],$P1916),"yyyy-mm-dd hh:mm"),INDEX(상세표[블록종료],$P1916)&amp;""))</f>
        <v/>
      </c>
      <c r="G1916">
        <f>IF($P1916="","",CHOOSE(WEEKDAY(INDEX(상세표[시작],$P1916)),"일","월","화","수","목","금","토"))</f>
        <v/>
      </c>
      <c r="H1916">
        <f>IF($P1916="","",INDEX(상세표[연속 시간],$P1916))</f>
        <v/>
      </c>
      <c r="I1916">
        <f>IF($P1916="","",INDEX(상세표[기록 수],$P1916))</f>
        <v/>
      </c>
      <c r="J1916">
        <f>IF($P1916="","",INDEX(상세표[블록 06~07시],$P1916))</f>
        <v/>
      </c>
      <c r="K1916">
        <f>IF($P1916="","",INDEX(상세표[블록 07~18시],$P1916))</f>
        <v/>
      </c>
      <c r="L1916">
        <f>IF($P1916="","",INDEX(상세표[블록 18~22시],$P1916))</f>
        <v/>
      </c>
      <c r="M1916">
        <f>IF($P1916="","",INDEX(상세표[블록 22~06시],$P1916))</f>
        <v/>
      </c>
      <c r="N1916">
        <f>IF($P1916="","",INDEX(상세표[주말·휴일 포함],$P1916)&amp;"")</f>
        <v/>
      </c>
      <c r="O1916">
        <f>IF($P1916="","",INDEX(상세표[월 넘김 포함],$P1916)&amp;"")</f>
        <v/>
      </c>
      <c r="P1916" s="4">
        <f>IFERROR(MATCH(1911,상세표[연속순번],0),"")</f>
        <v/>
      </c>
    </row>
    <row r="1917">
      <c r="A1917">
        <f>IF($P1917="","",INDEX(상세표[사번],$P1917)&amp;"")</f>
        <v/>
      </c>
      <c r="B1917">
        <f>IF($P1917="","",INDEX(상세표[성명],$P1917)&amp;"")</f>
        <v/>
      </c>
      <c r="C1917">
        <f>IF($P1917="","",INDEX(상세표[부서],$P1917)&amp;"")</f>
        <v/>
      </c>
      <c r="D1917">
        <f>IF($P1917="","",INDEX(상세표[직위],$P1917)&amp;"")</f>
        <v/>
      </c>
      <c r="E1917">
        <f>IF($P1917="","",IF(ISNUMBER(INDEX(상세표[시작],$P1917)),TEXT(INDEX(상세표[시작],$P1917),"yyyy-mm-dd hh:mm"),INDEX(상세표[시작],$P1917)&amp;""))</f>
        <v/>
      </c>
      <c r="F1917">
        <f>IF($P1917="","",IF(ISNUMBER(INDEX(상세표[블록종료],$P1917)),TEXT(INDEX(상세표[블록종료],$P1917),"yyyy-mm-dd hh:mm"),INDEX(상세표[블록종료],$P1917)&amp;""))</f>
        <v/>
      </c>
      <c r="G1917">
        <f>IF($P1917="","",CHOOSE(WEEKDAY(INDEX(상세표[시작],$P1917)),"일","월","화","수","목","금","토"))</f>
        <v/>
      </c>
      <c r="H1917">
        <f>IF($P1917="","",INDEX(상세표[연속 시간],$P1917))</f>
        <v/>
      </c>
      <c r="I1917">
        <f>IF($P1917="","",INDEX(상세표[기록 수],$P1917))</f>
        <v/>
      </c>
      <c r="J1917">
        <f>IF($P1917="","",INDEX(상세표[블록 06~07시],$P1917))</f>
        <v/>
      </c>
      <c r="K1917">
        <f>IF($P1917="","",INDEX(상세표[블록 07~18시],$P1917))</f>
        <v/>
      </c>
      <c r="L1917">
        <f>IF($P1917="","",INDEX(상세표[블록 18~22시],$P1917))</f>
        <v/>
      </c>
      <c r="M1917">
        <f>IF($P1917="","",INDEX(상세표[블록 22~06시],$P1917))</f>
        <v/>
      </c>
      <c r="N1917">
        <f>IF($P1917="","",INDEX(상세표[주말·휴일 포함],$P1917)&amp;"")</f>
        <v/>
      </c>
      <c r="O1917">
        <f>IF($P1917="","",INDEX(상세표[월 넘김 포함],$P1917)&amp;"")</f>
        <v/>
      </c>
      <c r="P1917" s="4">
        <f>IFERROR(MATCH(1912,상세표[연속순번],0),"")</f>
        <v/>
      </c>
    </row>
    <row r="1918">
      <c r="A1918">
        <f>IF($P1918="","",INDEX(상세표[사번],$P1918)&amp;"")</f>
        <v/>
      </c>
      <c r="B1918">
        <f>IF($P1918="","",INDEX(상세표[성명],$P1918)&amp;"")</f>
        <v/>
      </c>
      <c r="C1918">
        <f>IF($P1918="","",INDEX(상세표[부서],$P1918)&amp;"")</f>
        <v/>
      </c>
      <c r="D1918">
        <f>IF($P1918="","",INDEX(상세표[직위],$P1918)&amp;"")</f>
        <v/>
      </c>
      <c r="E1918">
        <f>IF($P1918="","",IF(ISNUMBER(INDEX(상세표[시작],$P1918)),TEXT(INDEX(상세표[시작],$P1918),"yyyy-mm-dd hh:mm"),INDEX(상세표[시작],$P1918)&amp;""))</f>
        <v/>
      </c>
      <c r="F1918">
        <f>IF($P1918="","",IF(ISNUMBER(INDEX(상세표[블록종료],$P1918)),TEXT(INDEX(상세표[블록종료],$P1918),"yyyy-mm-dd hh:mm"),INDEX(상세표[블록종료],$P1918)&amp;""))</f>
        <v/>
      </c>
      <c r="G1918">
        <f>IF($P1918="","",CHOOSE(WEEKDAY(INDEX(상세표[시작],$P1918)),"일","월","화","수","목","금","토"))</f>
        <v/>
      </c>
      <c r="H1918">
        <f>IF($P1918="","",INDEX(상세표[연속 시간],$P1918))</f>
        <v/>
      </c>
      <c r="I1918">
        <f>IF($P1918="","",INDEX(상세표[기록 수],$P1918))</f>
        <v/>
      </c>
      <c r="J1918">
        <f>IF($P1918="","",INDEX(상세표[블록 06~07시],$P1918))</f>
        <v/>
      </c>
      <c r="K1918">
        <f>IF($P1918="","",INDEX(상세표[블록 07~18시],$P1918))</f>
        <v/>
      </c>
      <c r="L1918">
        <f>IF($P1918="","",INDEX(상세표[블록 18~22시],$P1918))</f>
        <v/>
      </c>
      <c r="M1918">
        <f>IF($P1918="","",INDEX(상세표[블록 22~06시],$P1918))</f>
        <v/>
      </c>
      <c r="N1918">
        <f>IF($P1918="","",INDEX(상세표[주말·휴일 포함],$P1918)&amp;"")</f>
        <v/>
      </c>
      <c r="O1918">
        <f>IF($P1918="","",INDEX(상세표[월 넘김 포함],$P1918)&amp;"")</f>
        <v/>
      </c>
      <c r="P1918" s="4">
        <f>IFERROR(MATCH(1913,상세표[연속순번],0),"")</f>
        <v/>
      </c>
    </row>
    <row r="1919">
      <c r="A1919">
        <f>IF($P1919="","",INDEX(상세표[사번],$P1919)&amp;"")</f>
        <v/>
      </c>
      <c r="B1919">
        <f>IF($P1919="","",INDEX(상세표[성명],$P1919)&amp;"")</f>
        <v/>
      </c>
      <c r="C1919">
        <f>IF($P1919="","",INDEX(상세표[부서],$P1919)&amp;"")</f>
        <v/>
      </c>
      <c r="D1919">
        <f>IF($P1919="","",INDEX(상세표[직위],$P1919)&amp;"")</f>
        <v/>
      </c>
      <c r="E1919">
        <f>IF($P1919="","",IF(ISNUMBER(INDEX(상세표[시작],$P1919)),TEXT(INDEX(상세표[시작],$P1919),"yyyy-mm-dd hh:mm"),INDEX(상세표[시작],$P1919)&amp;""))</f>
        <v/>
      </c>
      <c r="F1919">
        <f>IF($P1919="","",IF(ISNUMBER(INDEX(상세표[블록종료],$P1919)),TEXT(INDEX(상세표[블록종료],$P1919),"yyyy-mm-dd hh:mm"),INDEX(상세표[블록종료],$P1919)&amp;""))</f>
        <v/>
      </c>
      <c r="G1919">
        <f>IF($P1919="","",CHOOSE(WEEKDAY(INDEX(상세표[시작],$P1919)),"일","월","화","수","목","금","토"))</f>
        <v/>
      </c>
      <c r="H1919">
        <f>IF($P1919="","",INDEX(상세표[연속 시간],$P1919))</f>
        <v/>
      </c>
      <c r="I1919">
        <f>IF($P1919="","",INDEX(상세표[기록 수],$P1919))</f>
        <v/>
      </c>
      <c r="J1919">
        <f>IF($P1919="","",INDEX(상세표[블록 06~07시],$P1919))</f>
        <v/>
      </c>
      <c r="K1919">
        <f>IF($P1919="","",INDEX(상세표[블록 07~18시],$P1919))</f>
        <v/>
      </c>
      <c r="L1919">
        <f>IF($P1919="","",INDEX(상세표[블록 18~22시],$P1919))</f>
        <v/>
      </c>
      <c r="M1919">
        <f>IF($P1919="","",INDEX(상세표[블록 22~06시],$P1919))</f>
        <v/>
      </c>
      <c r="N1919">
        <f>IF($P1919="","",INDEX(상세표[주말·휴일 포함],$P1919)&amp;"")</f>
        <v/>
      </c>
      <c r="O1919">
        <f>IF($P1919="","",INDEX(상세표[월 넘김 포함],$P1919)&amp;"")</f>
        <v/>
      </c>
      <c r="P1919" s="4">
        <f>IFERROR(MATCH(1914,상세표[연속순번],0),"")</f>
        <v/>
      </c>
    </row>
    <row r="1920">
      <c r="A1920">
        <f>IF($P1920="","",INDEX(상세표[사번],$P1920)&amp;"")</f>
        <v/>
      </c>
      <c r="B1920">
        <f>IF($P1920="","",INDEX(상세표[성명],$P1920)&amp;"")</f>
        <v/>
      </c>
      <c r="C1920">
        <f>IF($P1920="","",INDEX(상세표[부서],$P1920)&amp;"")</f>
        <v/>
      </c>
      <c r="D1920">
        <f>IF($P1920="","",INDEX(상세표[직위],$P1920)&amp;"")</f>
        <v/>
      </c>
      <c r="E1920">
        <f>IF($P1920="","",IF(ISNUMBER(INDEX(상세표[시작],$P1920)),TEXT(INDEX(상세표[시작],$P1920),"yyyy-mm-dd hh:mm"),INDEX(상세표[시작],$P1920)&amp;""))</f>
        <v/>
      </c>
      <c r="F1920">
        <f>IF($P1920="","",IF(ISNUMBER(INDEX(상세표[블록종료],$P1920)),TEXT(INDEX(상세표[블록종료],$P1920),"yyyy-mm-dd hh:mm"),INDEX(상세표[블록종료],$P1920)&amp;""))</f>
        <v/>
      </c>
      <c r="G1920">
        <f>IF($P1920="","",CHOOSE(WEEKDAY(INDEX(상세표[시작],$P1920)),"일","월","화","수","목","금","토"))</f>
        <v/>
      </c>
      <c r="H1920">
        <f>IF($P1920="","",INDEX(상세표[연속 시간],$P1920))</f>
        <v/>
      </c>
      <c r="I1920">
        <f>IF($P1920="","",INDEX(상세표[기록 수],$P1920))</f>
        <v/>
      </c>
      <c r="J1920">
        <f>IF($P1920="","",INDEX(상세표[블록 06~07시],$P1920))</f>
        <v/>
      </c>
      <c r="K1920">
        <f>IF($P1920="","",INDEX(상세표[블록 07~18시],$P1920))</f>
        <v/>
      </c>
      <c r="L1920">
        <f>IF($P1920="","",INDEX(상세표[블록 18~22시],$P1920))</f>
        <v/>
      </c>
      <c r="M1920">
        <f>IF($P1920="","",INDEX(상세표[블록 22~06시],$P1920))</f>
        <v/>
      </c>
      <c r="N1920">
        <f>IF($P1920="","",INDEX(상세표[주말·휴일 포함],$P1920)&amp;"")</f>
        <v/>
      </c>
      <c r="O1920">
        <f>IF($P1920="","",INDEX(상세표[월 넘김 포함],$P1920)&amp;"")</f>
        <v/>
      </c>
      <c r="P1920" s="4">
        <f>IFERROR(MATCH(1915,상세표[연속순번],0),"")</f>
        <v/>
      </c>
    </row>
    <row r="1921">
      <c r="A1921">
        <f>IF($P1921="","",INDEX(상세표[사번],$P1921)&amp;"")</f>
        <v/>
      </c>
      <c r="B1921">
        <f>IF($P1921="","",INDEX(상세표[성명],$P1921)&amp;"")</f>
        <v/>
      </c>
      <c r="C1921">
        <f>IF($P1921="","",INDEX(상세표[부서],$P1921)&amp;"")</f>
        <v/>
      </c>
      <c r="D1921">
        <f>IF($P1921="","",INDEX(상세표[직위],$P1921)&amp;"")</f>
        <v/>
      </c>
      <c r="E1921">
        <f>IF($P1921="","",IF(ISNUMBER(INDEX(상세표[시작],$P1921)),TEXT(INDEX(상세표[시작],$P1921),"yyyy-mm-dd hh:mm"),INDEX(상세표[시작],$P1921)&amp;""))</f>
        <v/>
      </c>
      <c r="F1921">
        <f>IF($P1921="","",IF(ISNUMBER(INDEX(상세표[블록종료],$P1921)),TEXT(INDEX(상세표[블록종료],$P1921),"yyyy-mm-dd hh:mm"),INDEX(상세표[블록종료],$P1921)&amp;""))</f>
        <v/>
      </c>
      <c r="G1921">
        <f>IF($P1921="","",CHOOSE(WEEKDAY(INDEX(상세표[시작],$P1921)),"일","월","화","수","목","금","토"))</f>
        <v/>
      </c>
      <c r="H1921">
        <f>IF($P1921="","",INDEX(상세표[연속 시간],$P1921))</f>
        <v/>
      </c>
      <c r="I1921">
        <f>IF($P1921="","",INDEX(상세표[기록 수],$P1921))</f>
        <v/>
      </c>
      <c r="J1921">
        <f>IF($P1921="","",INDEX(상세표[블록 06~07시],$P1921))</f>
        <v/>
      </c>
      <c r="K1921">
        <f>IF($P1921="","",INDEX(상세표[블록 07~18시],$P1921))</f>
        <v/>
      </c>
      <c r="L1921">
        <f>IF($P1921="","",INDEX(상세표[블록 18~22시],$P1921))</f>
        <v/>
      </c>
      <c r="M1921">
        <f>IF($P1921="","",INDEX(상세표[블록 22~06시],$P1921))</f>
        <v/>
      </c>
      <c r="N1921">
        <f>IF($P1921="","",INDEX(상세표[주말·휴일 포함],$P1921)&amp;"")</f>
        <v/>
      </c>
      <c r="O1921">
        <f>IF($P1921="","",INDEX(상세표[월 넘김 포함],$P1921)&amp;"")</f>
        <v/>
      </c>
      <c r="P1921" s="4">
        <f>IFERROR(MATCH(1916,상세표[연속순번],0),"")</f>
        <v/>
      </c>
    </row>
    <row r="1922">
      <c r="A1922">
        <f>IF($P1922="","",INDEX(상세표[사번],$P1922)&amp;"")</f>
        <v/>
      </c>
      <c r="B1922">
        <f>IF($P1922="","",INDEX(상세표[성명],$P1922)&amp;"")</f>
        <v/>
      </c>
      <c r="C1922">
        <f>IF($P1922="","",INDEX(상세표[부서],$P1922)&amp;"")</f>
        <v/>
      </c>
      <c r="D1922">
        <f>IF($P1922="","",INDEX(상세표[직위],$P1922)&amp;"")</f>
        <v/>
      </c>
      <c r="E1922">
        <f>IF($P1922="","",IF(ISNUMBER(INDEX(상세표[시작],$P1922)),TEXT(INDEX(상세표[시작],$P1922),"yyyy-mm-dd hh:mm"),INDEX(상세표[시작],$P1922)&amp;""))</f>
        <v/>
      </c>
      <c r="F1922">
        <f>IF($P1922="","",IF(ISNUMBER(INDEX(상세표[블록종료],$P1922)),TEXT(INDEX(상세표[블록종료],$P1922),"yyyy-mm-dd hh:mm"),INDEX(상세표[블록종료],$P1922)&amp;""))</f>
        <v/>
      </c>
      <c r="G1922">
        <f>IF($P1922="","",CHOOSE(WEEKDAY(INDEX(상세표[시작],$P1922)),"일","월","화","수","목","금","토"))</f>
        <v/>
      </c>
      <c r="H1922">
        <f>IF($P1922="","",INDEX(상세표[연속 시간],$P1922))</f>
        <v/>
      </c>
      <c r="I1922">
        <f>IF($P1922="","",INDEX(상세표[기록 수],$P1922))</f>
        <v/>
      </c>
      <c r="J1922">
        <f>IF($P1922="","",INDEX(상세표[블록 06~07시],$P1922))</f>
        <v/>
      </c>
      <c r="K1922">
        <f>IF($P1922="","",INDEX(상세표[블록 07~18시],$P1922))</f>
        <v/>
      </c>
      <c r="L1922">
        <f>IF($P1922="","",INDEX(상세표[블록 18~22시],$P1922))</f>
        <v/>
      </c>
      <c r="M1922">
        <f>IF($P1922="","",INDEX(상세표[블록 22~06시],$P1922))</f>
        <v/>
      </c>
      <c r="N1922">
        <f>IF($P1922="","",INDEX(상세표[주말·휴일 포함],$P1922)&amp;"")</f>
        <v/>
      </c>
      <c r="O1922">
        <f>IF($P1922="","",INDEX(상세표[월 넘김 포함],$P1922)&amp;"")</f>
        <v/>
      </c>
      <c r="P1922" s="4">
        <f>IFERROR(MATCH(1917,상세표[연속순번],0),"")</f>
        <v/>
      </c>
    </row>
    <row r="1923">
      <c r="A1923">
        <f>IF($P1923="","",INDEX(상세표[사번],$P1923)&amp;"")</f>
        <v/>
      </c>
      <c r="B1923">
        <f>IF($P1923="","",INDEX(상세표[성명],$P1923)&amp;"")</f>
        <v/>
      </c>
      <c r="C1923">
        <f>IF($P1923="","",INDEX(상세표[부서],$P1923)&amp;"")</f>
        <v/>
      </c>
      <c r="D1923">
        <f>IF($P1923="","",INDEX(상세표[직위],$P1923)&amp;"")</f>
        <v/>
      </c>
      <c r="E1923">
        <f>IF($P1923="","",IF(ISNUMBER(INDEX(상세표[시작],$P1923)),TEXT(INDEX(상세표[시작],$P1923),"yyyy-mm-dd hh:mm"),INDEX(상세표[시작],$P1923)&amp;""))</f>
        <v/>
      </c>
      <c r="F1923">
        <f>IF($P1923="","",IF(ISNUMBER(INDEX(상세표[블록종료],$P1923)),TEXT(INDEX(상세표[블록종료],$P1923),"yyyy-mm-dd hh:mm"),INDEX(상세표[블록종료],$P1923)&amp;""))</f>
        <v/>
      </c>
      <c r="G1923">
        <f>IF($P1923="","",CHOOSE(WEEKDAY(INDEX(상세표[시작],$P1923)),"일","월","화","수","목","금","토"))</f>
        <v/>
      </c>
      <c r="H1923">
        <f>IF($P1923="","",INDEX(상세표[연속 시간],$P1923))</f>
        <v/>
      </c>
      <c r="I1923">
        <f>IF($P1923="","",INDEX(상세표[기록 수],$P1923))</f>
        <v/>
      </c>
      <c r="J1923">
        <f>IF($P1923="","",INDEX(상세표[블록 06~07시],$P1923))</f>
        <v/>
      </c>
      <c r="K1923">
        <f>IF($P1923="","",INDEX(상세표[블록 07~18시],$P1923))</f>
        <v/>
      </c>
      <c r="L1923">
        <f>IF($P1923="","",INDEX(상세표[블록 18~22시],$P1923))</f>
        <v/>
      </c>
      <c r="M1923">
        <f>IF($P1923="","",INDEX(상세표[블록 22~06시],$P1923))</f>
        <v/>
      </c>
      <c r="N1923">
        <f>IF($P1923="","",INDEX(상세표[주말·휴일 포함],$P1923)&amp;"")</f>
        <v/>
      </c>
      <c r="O1923">
        <f>IF($P1923="","",INDEX(상세표[월 넘김 포함],$P1923)&amp;"")</f>
        <v/>
      </c>
      <c r="P1923" s="4">
        <f>IFERROR(MATCH(1918,상세표[연속순번],0),"")</f>
        <v/>
      </c>
    </row>
    <row r="1924">
      <c r="A1924">
        <f>IF($P1924="","",INDEX(상세표[사번],$P1924)&amp;"")</f>
        <v/>
      </c>
      <c r="B1924">
        <f>IF($P1924="","",INDEX(상세표[성명],$P1924)&amp;"")</f>
        <v/>
      </c>
      <c r="C1924">
        <f>IF($P1924="","",INDEX(상세표[부서],$P1924)&amp;"")</f>
        <v/>
      </c>
      <c r="D1924">
        <f>IF($P1924="","",INDEX(상세표[직위],$P1924)&amp;"")</f>
        <v/>
      </c>
      <c r="E1924">
        <f>IF($P1924="","",IF(ISNUMBER(INDEX(상세표[시작],$P1924)),TEXT(INDEX(상세표[시작],$P1924),"yyyy-mm-dd hh:mm"),INDEX(상세표[시작],$P1924)&amp;""))</f>
        <v/>
      </c>
      <c r="F1924">
        <f>IF($P1924="","",IF(ISNUMBER(INDEX(상세표[블록종료],$P1924)),TEXT(INDEX(상세표[블록종료],$P1924),"yyyy-mm-dd hh:mm"),INDEX(상세표[블록종료],$P1924)&amp;""))</f>
        <v/>
      </c>
      <c r="G1924">
        <f>IF($P1924="","",CHOOSE(WEEKDAY(INDEX(상세표[시작],$P1924)),"일","월","화","수","목","금","토"))</f>
        <v/>
      </c>
      <c r="H1924">
        <f>IF($P1924="","",INDEX(상세표[연속 시간],$P1924))</f>
        <v/>
      </c>
      <c r="I1924">
        <f>IF($P1924="","",INDEX(상세표[기록 수],$P1924))</f>
        <v/>
      </c>
      <c r="J1924">
        <f>IF($P1924="","",INDEX(상세표[블록 06~07시],$P1924))</f>
        <v/>
      </c>
      <c r="K1924">
        <f>IF($P1924="","",INDEX(상세표[블록 07~18시],$P1924))</f>
        <v/>
      </c>
      <c r="L1924">
        <f>IF($P1924="","",INDEX(상세표[블록 18~22시],$P1924))</f>
        <v/>
      </c>
      <c r="M1924">
        <f>IF($P1924="","",INDEX(상세표[블록 22~06시],$P1924))</f>
        <v/>
      </c>
      <c r="N1924">
        <f>IF($P1924="","",INDEX(상세표[주말·휴일 포함],$P1924)&amp;"")</f>
        <v/>
      </c>
      <c r="O1924">
        <f>IF($P1924="","",INDEX(상세표[월 넘김 포함],$P1924)&amp;"")</f>
        <v/>
      </c>
      <c r="P1924" s="4">
        <f>IFERROR(MATCH(1919,상세표[연속순번],0),"")</f>
        <v/>
      </c>
    </row>
    <row r="1925">
      <c r="A1925">
        <f>IF($P1925="","",INDEX(상세표[사번],$P1925)&amp;"")</f>
        <v/>
      </c>
      <c r="B1925">
        <f>IF($P1925="","",INDEX(상세표[성명],$P1925)&amp;"")</f>
        <v/>
      </c>
      <c r="C1925">
        <f>IF($P1925="","",INDEX(상세표[부서],$P1925)&amp;"")</f>
        <v/>
      </c>
      <c r="D1925">
        <f>IF($P1925="","",INDEX(상세표[직위],$P1925)&amp;"")</f>
        <v/>
      </c>
      <c r="E1925">
        <f>IF($P1925="","",IF(ISNUMBER(INDEX(상세표[시작],$P1925)),TEXT(INDEX(상세표[시작],$P1925),"yyyy-mm-dd hh:mm"),INDEX(상세표[시작],$P1925)&amp;""))</f>
        <v/>
      </c>
      <c r="F1925">
        <f>IF($P1925="","",IF(ISNUMBER(INDEX(상세표[블록종료],$P1925)),TEXT(INDEX(상세표[블록종료],$P1925),"yyyy-mm-dd hh:mm"),INDEX(상세표[블록종료],$P1925)&amp;""))</f>
        <v/>
      </c>
      <c r="G1925">
        <f>IF($P1925="","",CHOOSE(WEEKDAY(INDEX(상세표[시작],$P1925)),"일","월","화","수","목","금","토"))</f>
        <v/>
      </c>
      <c r="H1925">
        <f>IF($P1925="","",INDEX(상세표[연속 시간],$P1925))</f>
        <v/>
      </c>
      <c r="I1925">
        <f>IF($P1925="","",INDEX(상세표[기록 수],$P1925))</f>
        <v/>
      </c>
      <c r="J1925">
        <f>IF($P1925="","",INDEX(상세표[블록 06~07시],$P1925))</f>
        <v/>
      </c>
      <c r="K1925">
        <f>IF($P1925="","",INDEX(상세표[블록 07~18시],$P1925))</f>
        <v/>
      </c>
      <c r="L1925">
        <f>IF($P1925="","",INDEX(상세표[블록 18~22시],$P1925))</f>
        <v/>
      </c>
      <c r="M1925">
        <f>IF($P1925="","",INDEX(상세표[블록 22~06시],$P1925))</f>
        <v/>
      </c>
      <c r="N1925">
        <f>IF($P1925="","",INDEX(상세표[주말·휴일 포함],$P1925)&amp;"")</f>
        <v/>
      </c>
      <c r="O1925">
        <f>IF($P1925="","",INDEX(상세표[월 넘김 포함],$P1925)&amp;"")</f>
        <v/>
      </c>
      <c r="P1925" s="4">
        <f>IFERROR(MATCH(1920,상세표[연속순번],0),"")</f>
        <v/>
      </c>
    </row>
    <row r="1926">
      <c r="A1926">
        <f>IF($P1926="","",INDEX(상세표[사번],$P1926)&amp;"")</f>
        <v/>
      </c>
      <c r="B1926">
        <f>IF($P1926="","",INDEX(상세표[성명],$P1926)&amp;"")</f>
        <v/>
      </c>
      <c r="C1926">
        <f>IF($P1926="","",INDEX(상세표[부서],$P1926)&amp;"")</f>
        <v/>
      </c>
      <c r="D1926">
        <f>IF($P1926="","",INDEX(상세표[직위],$P1926)&amp;"")</f>
        <v/>
      </c>
      <c r="E1926">
        <f>IF($P1926="","",IF(ISNUMBER(INDEX(상세표[시작],$P1926)),TEXT(INDEX(상세표[시작],$P1926),"yyyy-mm-dd hh:mm"),INDEX(상세표[시작],$P1926)&amp;""))</f>
        <v/>
      </c>
      <c r="F1926">
        <f>IF($P1926="","",IF(ISNUMBER(INDEX(상세표[블록종료],$P1926)),TEXT(INDEX(상세표[블록종료],$P1926),"yyyy-mm-dd hh:mm"),INDEX(상세표[블록종료],$P1926)&amp;""))</f>
        <v/>
      </c>
      <c r="G1926">
        <f>IF($P1926="","",CHOOSE(WEEKDAY(INDEX(상세표[시작],$P1926)),"일","월","화","수","목","금","토"))</f>
        <v/>
      </c>
      <c r="H1926">
        <f>IF($P1926="","",INDEX(상세표[연속 시간],$P1926))</f>
        <v/>
      </c>
      <c r="I1926">
        <f>IF($P1926="","",INDEX(상세표[기록 수],$P1926))</f>
        <v/>
      </c>
      <c r="J1926">
        <f>IF($P1926="","",INDEX(상세표[블록 06~07시],$P1926))</f>
        <v/>
      </c>
      <c r="K1926">
        <f>IF($P1926="","",INDEX(상세표[블록 07~18시],$P1926))</f>
        <v/>
      </c>
      <c r="L1926">
        <f>IF($P1926="","",INDEX(상세표[블록 18~22시],$P1926))</f>
        <v/>
      </c>
      <c r="M1926">
        <f>IF($P1926="","",INDEX(상세표[블록 22~06시],$P1926))</f>
        <v/>
      </c>
      <c r="N1926">
        <f>IF($P1926="","",INDEX(상세표[주말·휴일 포함],$P1926)&amp;"")</f>
        <v/>
      </c>
      <c r="O1926">
        <f>IF($P1926="","",INDEX(상세표[월 넘김 포함],$P1926)&amp;"")</f>
        <v/>
      </c>
      <c r="P1926" s="4">
        <f>IFERROR(MATCH(1921,상세표[연속순번],0),"")</f>
        <v/>
      </c>
    </row>
    <row r="1927">
      <c r="A1927">
        <f>IF($P1927="","",INDEX(상세표[사번],$P1927)&amp;"")</f>
        <v/>
      </c>
      <c r="B1927">
        <f>IF($P1927="","",INDEX(상세표[성명],$P1927)&amp;"")</f>
        <v/>
      </c>
      <c r="C1927">
        <f>IF($P1927="","",INDEX(상세표[부서],$P1927)&amp;"")</f>
        <v/>
      </c>
      <c r="D1927">
        <f>IF($P1927="","",INDEX(상세표[직위],$P1927)&amp;"")</f>
        <v/>
      </c>
      <c r="E1927">
        <f>IF($P1927="","",IF(ISNUMBER(INDEX(상세표[시작],$P1927)),TEXT(INDEX(상세표[시작],$P1927),"yyyy-mm-dd hh:mm"),INDEX(상세표[시작],$P1927)&amp;""))</f>
        <v/>
      </c>
      <c r="F1927">
        <f>IF($P1927="","",IF(ISNUMBER(INDEX(상세표[블록종료],$P1927)),TEXT(INDEX(상세표[블록종료],$P1927),"yyyy-mm-dd hh:mm"),INDEX(상세표[블록종료],$P1927)&amp;""))</f>
        <v/>
      </c>
      <c r="G1927">
        <f>IF($P1927="","",CHOOSE(WEEKDAY(INDEX(상세표[시작],$P1927)),"일","월","화","수","목","금","토"))</f>
        <v/>
      </c>
      <c r="H1927">
        <f>IF($P1927="","",INDEX(상세표[연속 시간],$P1927))</f>
        <v/>
      </c>
      <c r="I1927">
        <f>IF($P1927="","",INDEX(상세표[기록 수],$P1927))</f>
        <v/>
      </c>
      <c r="J1927">
        <f>IF($P1927="","",INDEX(상세표[블록 06~07시],$P1927))</f>
        <v/>
      </c>
      <c r="K1927">
        <f>IF($P1927="","",INDEX(상세표[블록 07~18시],$P1927))</f>
        <v/>
      </c>
      <c r="L1927">
        <f>IF($P1927="","",INDEX(상세표[블록 18~22시],$P1927))</f>
        <v/>
      </c>
      <c r="M1927">
        <f>IF($P1927="","",INDEX(상세표[블록 22~06시],$P1927))</f>
        <v/>
      </c>
      <c r="N1927">
        <f>IF($P1927="","",INDEX(상세표[주말·휴일 포함],$P1927)&amp;"")</f>
        <v/>
      </c>
      <c r="O1927">
        <f>IF($P1927="","",INDEX(상세표[월 넘김 포함],$P1927)&amp;"")</f>
        <v/>
      </c>
      <c r="P1927" s="4">
        <f>IFERROR(MATCH(1922,상세표[연속순번],0),"")</f>
        <v/>
      </c>
    </row>
    <row r="1928">
      <c r="A1928">
        <f>IF($P1928="","",INDEX(상세표[사번],$P1928)&amp;"")</f>
        <v/>
      </c>
      <c r="B1928">
        <f>IF($P1928="","",INDEX(상세표[성명],$P1928)&amp;"")</f>
        <v/>
      </c>
      <c r="C1928">
        <f>IF($P1928="","",INDEX(상세표[부서],$P1928)&amp;"")</f>
        <v/>
      </c>
      <c r="D1928">
        <f>IF($P1928="","",INDEX(상세표[직위],$P1928)&amp;"")</f>
        <v/>
      </c>
      <c r="E1928">
        <f>IF($P1928="","",IF(ISNUMBER(INDEX(상세표[시작],$P1928)),TEXT(INDEX(상세표[시작],$P1928),"yyyy-mm-dd hh:mm"),INDEX(상세표[시작],$P1928)&amp;""))</f>
        <v/>
      </c>
      <c r="F1928">
        <f>IF($P1928="","",IF(ISNUMBER(INDEX(상세표[블록종료],$P1928)),TEXT(INDEX(상세표[블록종료],$P1928),"yyyy-mm-dd hh:mm"),INDEX(상세표[블록종료],$P1928)&amp;""))</f>
        <v/>
      </c>
      <c r="G1928">
        <f>IF($P1928="","",CHOOSE(WEEKDAY(INDEX(상세표[시작],$P1928)),"일","월","화","수","목","금","토"))</f>
        <v/>
      </c>
      <c r="H1928">
        <f>IF($P1928="","",INDEX(상세표[연속 시간],$P1928))</f>
        <v/>
      </c>
      <c r="I1928">
        <f>IF($P1928="","",INDEX(상세표[기록 수],$P1928))</f>
        <v/>
      </c>
      <c r="J1928">
        <f>IF($P1928="","",INDEX(상세표[블록 06~07시],$P1928))</f>
        <v/>
      </c>
      <c r="K1928">
        <f>IF($P1928="","",INDEX(상세표[블록 07~18시],$P1928))</f>
        <v/>
      </c>
      <c r="L1928">
        <f>IF($P1928="","",INDEX(상세표[블록 18~22시],$P1928))</f>
        <v/>
      </c>
      <c r="M1928">
        <f>IF($P1928="","",INDEX(상세표[블록 22~06시],$P1928))</f>
        <v/>
      </c>
      <c r="N1928">
        <f>IF($P1928="","",INDEX(상세표[주말·휴일 포함],$P1928)&amp;"")</f>
        <v/>
      </c>
      <c r="O1928">
        <f>IF($P1928="","",INDEX(상세표[월 넘김 포함],$P1928)&amp;"")</f>
        <v/>
      </c>
      <c r="P1928" s="4">
        <f>IFERROR(MATCH(1923,상세표[연속순번],0),"")</f>
        <v/>
      </c>
    </row>
    <row r="1929">
      <c r="A1929">
        <f>IF($P1929="","",INDEX(상세표[사번],$P1929)&amp;"")</f>
        <v/>
      </c>
      <c r="B1929">
        <f>IF($P1929="","",INDEX(상세표[성명],$P1929)&amp;"")</f>
        <v/>
      </c>
      <c r="C1929">
        <f>IF($P1929="","",INDEX(상세표[부서],$P1929)&amp;"")</f>
        <v/>
      </c>
      <c r="D1929">
        <f>IF($P1929="","",INDEX(상세표[직위],$P1929)&amp;"")</f>
        <v/>
      </c>
      <c r="E1929">
        <f>IF($P1929="","",IF(ISNUMBER(INDEX(상세표[시작],$P1929)),TEXT(INDEX(상세표[시작],$P1929),"yyyy-mm-dd hh:mm"),INDEX(상세표[시작],$P1929)&amp;""))</f>
        <v/>
      </c>
      <c r="F1929">
        <f>IF($P1929="","",IF(ISNUMBER(INDEX(상세표[블록종료],$P1929)),TEXT(INDEX(상세표[블록종료],$P1929),"yyyy-mm-dd hh:mm"),INDEX(상세표[블록종료],$P1929)&amp;""))</f>
        <v/>
      </c>
      <c r="G1929">
        <f>IF($P1929="","",CHOOSE(WEEKDAY(INDEX(상세표[시작],$P1929)),"일","월","화","수","목","금","토"))</f>
        <v/>
      </c>
      <c r="H1929">
        <f>IF($P1929="","",INDEX(상세표[연속 시간],$P1929))</f>
        <v/>
      </c>
      <c r="I1929">
        <f>IF($P1929="","",INDEX(상세표[기록 수],$P1929))</f>
        <v/>
      </c>
      <c r="J1929">
        <f>IF($P1929="","",INDEX(상세표[블록 06~07시],$P1929))</f>
        <v/>
      </c>
      <c r="K1929">
        <f>IF($P1929="","",INDEX(상세표[블록 07~18시],$P1929))</f>
        <v/>
      </c>
      <c r="L1929">
        <f>IF($P1929="","",INDEX(상세표[블록 18~22시],$P1929))</f>
        <v/>
      </c>
      <c r="M1929">
        <f>IF($P1929="","",INDEX(상세표[블록 22~06시],$P1929))</f>
        <v/>
      </c>
      <c r="N1929">
        <f>IF($P1929="","",INDEX(상세표[주말·휴일 포함],$P1929)&amp;"")</f>
        <v/>
      </c>
      <c r="O1929">
        <f>IF($P1929="","",INDEX(상세표[월 넘김 포함],$P1929)&amp;"")</f>
        <v/>
      </c>
      <c r="P1929" s="4">
        <f>IFERROR(MATCH(1924,상세표[연속순번],0),"")</f>
        <v/>
      </c>
    </row>
    <row r="1930">
      <c r="A1930">
        <f>IF($P1930="","",INDEX(상세표[사번],$P1930)&amp;"")</f>
        <v/>
      </c>
      <c r="B1930">
        <f>IF($P1930="","",INDEX(상세표[성명],$P1930)&amp;"")</f>
        <v/>
      </c>
      <c r="C1930">
        <f>IF($P1930="","",INDEX(상세표[부서],$P1930)&amp;"")</f>
        <v/>
      </c>
      <c r="D1930">
        <f>IF($P1930="","",INDEX(상세표[직위],$P1930)&amp;"")</f>
        <v/>
      </c>
      <c r="E1930">
        <f>IF($P1930="","",IF(ISNUMBER(INDEX(상세표[시작],$P1930)),TEXT(INDEX(상세표[시작],$P1930),"yyyy-mm-dd hh:mm"),INDEX(상세표[시작],$P1930)&amp;""))</f>
        <v/>
      </c>
      <c r="F1930">
        <f>IF($P1930="","",IF(ISNUMBER(INDEX(상세표[블록종료],$P1930)),TEXT(INDEX(상세표[블록종료],$P1930),"yyyy-mm-dd hh:mm"),INDEX(상세표[블록종료],$P1930)&amp;""))</f>
        <v/>
      </c>
      <c r="G1930">
        <f>IF($P1930="","",CHOOSE(WEEKDAY(INDEX(상세표[시작],$P1930)),"일","월","화","수","목","금","토"))</f>
        <v/>
      </c>
      <c r="H1930">
        <f>IF($P1930="","",INDEX(상세표[연속 시간],$P1930))</f>
        <v/>
      </c>
      <c r="I1930">
        <f>IF($P1930="","",INDEX(상세표[기록 수],$P1930))</f>
        <v/>
      </c>
      <c r="J1930">
        <f>IF($P1930="","",INDEX(상세표[블록 06~07시],$P1930))</f>
        <v/>
      </c>
      <c r="K1930">
        <f>IF($P1930="","",INDEX(상세표[블록 07~18시],$P1930))</f>
        <v/>
      </c>
      <c r="L1930">
        <f>IF($P1930="","",INDEX(상세표[블록 18~22시],$P1930))</f>
        <v/>
      </c>
      <c r="M1930">
        <f>IF($P1930="","",INDEX(상세표[블록 22~06시],$P1930))</f>
        <v/>
      </c>
      <c r="N1930">
        <f>IF($P1930="","",INDEX(상세표[주말·휴일 포함],$P1930)&amp;"")</f>
        <v/>
      </c>
      <c r="O1930">
        <f>IF($P1930="","",INDEX(상세표[월 넘김 포함],$P1930)&amp;"")</f>
        <v/>
      </c>
      <c r="P1930" s="4">
        <f>IFERROR(MATCH(1925,상세표[연속순번],0),"")</f>
        <v/>
      </c>
    </row>
    <row r="1931">
      <c r="A1931">
        <f>IF($P1931="","",INDEX(상세표[사번],$P1931)&amp;"")</f>
        <v/>
      </c>
      <c r="B1931">
        <f>IF($P1931="","",INDEX(상세표[성명],$P1931)&amp;"")</f>
        <v/>
      </c>
      <c r="C1931">
        <f>IF($P1931="","",INDEX(상세표[부서],$P1931)&amp;"")</f>
        <v/>
      </c>
      <c r="D1931">
        <f>IF($P1931="","",INDEX(상세표[직위],$P1931)&amp;"")</f>
        <v/>
      </c>
      <c r="E1931">
        <f>IF($P1931="","",IF(ISNUMBER(INDEX(상세표[시작],$P1931)),TEXT(INDEX(상세표[시작],$P1931),"yyyy-mm-dd hh:mm"),INDEX(상세표[시작],$P1931)&amp;""))</f>
        <v/>
      </c>
      <c r="F1931">
        <f>IF($P1931="","",IF(ISNUMBER(INDEX(상세표[블록종료],$P1931)),TEXT(INDEX(상세표[블록종료],$P1931),"yyyy-mm-dd hh:mm"),INDEX(상세표[블록종료],$P1931)&amp;""))</f>
        <v/>
      </c>
      <c r="G1931">
        <f>IF($P1931="","",CHOOSE(WEEKDAY(INDEX(상세표[시작],$P1931)),"일","월","화","수","목","금","토"))</f>
        <v/>
      </c>
      <c r="H1931">
        <f>IF($P1931="","",INDEX(상세표[연속 시간],$P1931))</f>
        <v/>
      </c>
      <c r="I1931">
        <f>IF($P1931="","",INDEX(상세표[기록 수],$P1931))</f>
        <v/>
      </c>
      <c r="J1931">
        <f>IF($P1931="","",INDEX(상세표[블록 06~07시],$P1931))</f>
        <v/>
      </c>
      <c r="K1931">
        <f>IF($P1931="","",INDEX(상세표[블록 07~18시],$P1931))</f>
        <v/>
      </c>
      <c r="L1931">
        <f>IF($P1931="","",INDEX(상세표[블록 18~22시],$P1931))</f>
        <v/>
      </c>
      <c r="M1931">
        <f>IF($P1931="","",INDEX(상세표[블록 22~06시],$P1931))</f>
        <v/>
      </c>
      <c r="N1931">
        <f>IF($P1931="","",INDEX(상세표[주말·휴일 포함],$P1931)&amp;"")</f>
        <v/>
      </c>
      <c r="O1931">
        <f>IF($P1931="","",INDEX(상세표[월 넘김 포함],$P1931)&amp;"")</f>
        <v/>
      </c>
      <c r="P1931" s="4">
        <f>IFERROR(MATCH(1926,상세표[연속순번],0),"")</f>
        <v/>
      </c>
    </row>
    <row r="1932">
      <c r="A1932">
        <f>IF($P1932="","",INDEX(상세표[사번],$P1932)&amp;"")</f>
        <v/>
      </c>
      <c r="B1932">
        <f>IF($P1932="","",INDEX(상세표[성명],$P1932)&amp;"")</f>
        <v/>
      </c>
      <c r="C1932">
        <f>IF($P1932="","",INDEX(상세표[부서],$P1932)&amp;"")</f>
        <v/>
      </c>
      <c r="D1932">
        <f>IF($P1932="","",INDEX(상세표[직위],$P1932)&amp;"")</f>
        <v/>
      </c>
      <c r="E1932">
        <f>IF($P1932="","",IF(ISNUMBER(INDEX(상세표[시작],$P1932)),TEXT(INDEX(상세표[시작],$P1932),"yyyy-mm-dd hh:mm"),INDEX(상세표[시작],$P1932)&amp;""))</f>
        <v/>
      </c>
      <c r="F1932">
        <f>IF($P1932="","",IF(ISNUMBER(INDEX(상세표[블록종료],$P1932)),TEXT(INDEX(상세표[블록종료],$P1932),"yyyy-mm-dd hh:mm"),INDEX(상세표[블록종료],$P1932)&amp;""))</f>
        <v/>
      </c>
      <c r="G1932">
        <f>IF($P1932="","",CHOOSE(WEEKDAY(INDEX(상세표[시작],$P1932)),"일","월","화","수","목","금","토"))</f>
        <v/>
      </c>
      <c r="H1932">
        <f>IF($P1932="","",INDEX(상세표[연속 시간],$P1932))</f>
        <v/>
      </c>
      <c r="I1932">
        <f>IF($P1932="","",INDEX(상세표[기록 수],$P1932))</f>
        <v/>
      </c>
      <c r="J1932">
        <f>IF($P1932="","",INDEX(상세표[블록 06~07시],$P1932))</f>
        <v/>
      </c>
      <c r="K1932">
        <f>IF($P1932="","",INDEX(상세표[블록 07~18시],$P1932))</f>
        <v/>
      </c>
      <c r="L1932">
        <f>IF($P1932="","",INDEX(상세표[블록 18~22시],$P1932))</f>
        <v/>
      </c>
      <c r="M1932">
        <f>IF($P1932="","",INDEX(상세표[블록 22~06시],$P1932))</f>
        <v/>
      </c>
      <c r="N1932">
        <f>IF($P1932="","",INDEX(상세표[주말·휴일 포함],$P1932)&amp;"")</f>
        <v/>
      </c>
      <c r="O1932">
        <f>IF($P1932="","",INDEX(상세표[월 넘김 포함],$P1932)&amp;"")</f>
        <v/>
      </c>
      <c r="P1932" s="4">
        <f>IFERROR(MATCH(1927,상세표[연속순번],0),"")</f>
        <v/>
      </c>
    </row>
    <row r="1933">
      <c r="A1933">
        <f>IF($P1933="","",INDEX(상세표[사번],$P1933)&amp;"")</f>
        <v/>
      </c>
      <c r="B1933">
        <f>IF($P1933="","",INDEX(상세표[성명],$P1933)&amp;"")</f>
        <v/>
      </c>
      <c r="C1933">
        <f>IF($P1933="","",INDEX(상세표[부서],$P1933)&amp;"")</f>
        <v/>
      </c>
      <c r="D1933">
        <f>IF($P1933="","",INDEX(상세표[직위],$P1933)&amp;"")</f>
        <v/>
      </c>
      <c r="E1933">
        <f>IF($P1933="","",IF(ISNUMBER(INDEX(상세표[시작],$P1933)),TEXT(INDEX(상세표[시작],$P1933),"yyyy-mm-dd hh:mm"),INDEX(상세표[시작],$P1933)&amp;""))</f>
        <v/>
      </c>
      <c r="F1933">
        <f>IF($P1933="","",IF(ISNUMBER(INDEX(상세표[블록종료],$P1933)),TEXT(INDEX(상세표[블록종료],$P1933),"yyyy-mm-dd hh:mm"),INDEX(상세표[블록종료],$P1933)&amp;""))</f>
        <v/>
      </c>
      <c r="G1933">
        <f>IF($P1933="","",CHOOSE(WEEKDAY(INDEX(상세표[시작],$P1933)),"일","월","화","수","목","금","토"))</f>
        <v/>
      </c>
      <c r="H1933">
        <f>IF($P1933="","",INDEX(상세표[연속 시간],$P1933))</f>
        <v/>
      </c>
      <c r="I1933">
        <f>IF($P1933="","",INDEX(상세표[기록 수],$P1933))</f>
        <v/>
      </c>
      <c r="J1933">
        <f>IF($P1933="","",INDEX(상세표[블록 06~07시],$P1933))</f>
        <v/>
      </c>
      <c r="K1933">
        <f>IF($P1933="","",INDEX(상세표[블록 07~18시],$P1933))</f>
        <v/>
      </c>
      <c r="L1933">
        <f>IF($P1933="","",INDEX(상세표[블록 18~22시],$P1933))</f>
        <v/>
      </c>
      <c r="M1933">
        <f>IF($P1933="","",INDEX(상세표[블록 22~06시],$P1933))</f>
        <v/>
      </c>
      <c r="N1933">
        <f>IF($P1933="","",INDEX(상세표[주말·휴일 포함],$P1933)&amp;"")</f>
        <v/>
      </c>
      <c r="O1933">
        <f>IF($P1933="","",INDEX(상세표[월 넘김 포함],$P1933)&amp;"")</f>
        <v/>
      </c>
      <c r="P1933" s="4">
        <f>IFERROR(MATCH(1928,상세표[연속순번],0),"")</f>
        <v/>
      </c>
    </row>
    <row r="1934">
      <c r="A1934">
        <f>IF($P1934="","",INDEX(상세표[사번],$P1934)&amp;"")</f>
        <v/>
      </c>
      <c r="B1934">
        <f>IF($P1934="","",INDEX(상세표[성명],$P1934)&amp;"")</f>
        <v/>
      </c>
      <c r="C1934">
        <f>IF($P1934="","",INDEX(상세표[부서],$P1934)&amp;"")</f>
        <v/>
      </c>
      <c r="D1934">
        <f>IF($P1934="","",INDEX(상세표[직위],$P1934)&amp;"")</f>
        <v/>
      </c>
      <c r="E1934">
        <f>IF($P1934="","",IF(ISNUMBER(INDEX(상세표[시작],$P1934)),TEXT(INDEX(상세표[시작],$P1934),"yyyy-mm-dd hh:mm"),INDEX(상세표[시작],$P1934)&amp;""))</f>
        <v/>
      </c>
      <c r="F1934">
        <f>IF($P1934="","",IF(ISNUMBER(INDEX(상세표[블록종료],$P1934)),TEXT(INDEX(상세표[블록종료],$P1934),"yyyy-mm-dd hh:mm"),INDEX(상세표[블록종료],$P1934)&amp;""))</f>
        <v/>
      </c>
      <c r="G1934">
        <f>IF($P1934="","",CHOOSE(WEEKDAY(INDEX(상세표[시작],$P1934)),"일","월","화","수","목","금","토"))</f>
        <v/>
      </c>
      <c r="H1934">
        <f>IF($P1934="","",INDEX(상세표[연속 시간],$P1934))</f>
        <v/>
      </c>
      <c r="I1934">
        <f>IF($P1934="","",INDEX(상세표[기록 수],$P1934))</f>
        <v/>
      </c>
      <c r="J1934">
        <f>IF($P1934="","",INDEX(상세표[블록 06~07시],$P1934))</f>
        <v/>
      </c>
      <c r="K1934">
        <f>IF($P1934="","",INDEX(상세표[블록 07~18시],$P1934))</f>
        <v/>
      </c>
      <c r="L1934">
        <f>IF($P1934="","",INDEX(상세표[블록 18~22시],$P1934))</f>
        <v/>
      </c>
      <c r="M1934">
        <f>IF($P1934="","",INDEX(상세표[블록 22~06시],$P1934))</f>
        <v/>
      </c>
      <c r="N1934">
        <f>IF($P1934="","",INDEX(상세표[주말·휴일 포함],$P1934)&amp;"")</f>
        <v/>
      </c>
      <c r="O1934">
        <f>IF($P1934="","",INDEX(상세표[월 넘김 포함],$P1934)&amp;"")</f>
        <v/>
      </c>
      <c r="P1934" s="4">
        <f>IFERROR(MATCH(1929,상세표[연속순번],0),"")</f>
        <v/>
      </c>
    </row>
    <row r="1935">
      <c r="A1935">
        <f>IF($P1935="","",INDEX(상세표[사번],$P1935)&amp;"")</f>
        <v/>
      </c>
      <c r="B1935">
        <f>IF($P1935="","",INDEX(상세표[성명],$P1935)&amp;"")</f>
        <v/>
      </c>
      <c r="C1935">
        <f>IF($P1935="","",INDEX(상세표[부서],$P1935)&amp;"")</f>
        <v/>
      </c>
      <c r="D1935">
        <f>IF($P1935="","",INDEX(상세표[직위],$P1935)&amp;"")</f>
        <v/>
      </c>
      <c r="E1935">
        <f>IF($P1935="","",IF(ISNUMBER(INDEX(상세표[시작],$P1935)),TEXT(INDEX(상세표[시작],$P1935),"yyyy-mm-dd hh:mm"),INDEX(상세표[시작],$P1935)&amp;""))</f>
        <v/>
      </c>
      <c r="F1935">
        <f>IF($P1935="","",IF(ISNUMBER(INDEX(상세표[블록종료],$P1935)),TEXT(INDEX(상세표[블록종료],$P1935),"yyyy-mm-dd hh:mm"),INDEX(상세표[블록종료],$P1935)&amp;""))</f>
        <v/>
      </c>
      <c r="G1935">
        <f>IF($P1935="","",CHOOSE(WEEKDAY(INDEX(상세표[시작],$P1935)),"일","월","화","수","목","금","토"))</f>
        <v/>
      </c>
      <c r="H1935">
        <f>IF($P1935="","",INDEX(상세표[연속 시간],$P1935))</f>
        <v/>
      </c>
      <c r="I1935">
        <f>IF($P1935="","",INDEX(상세표[기록 수],$P1935))</f>
        <v/>
      </c>
      <c r="J1935">
        <f>IF($P1935="","",INDEX(상세표[블록 06~07시],$P1935))</f>
        <v/>
      </c>
      <c r="K1935">
        <f>IF($P1935="","",INDEX(상세표[블록 07~18시],$P1935))</f>
        <v/>
      </c>
      <c r="L1935">
        <f>IF($P1935="","",INDEX(상세표[블록 18~22시],$P1935))</f>
        <v/>
      </c>
      <c r="M1935">
        <f>IF($P1935="","",INDEX(상세표[블록 22~06시],$P1935))</f>
        <v/>
      </c>
      <c r="N1935">
        <f>IF($P1935="","",INDEX(상세표[주말·휴일 포함],$P1935)&amp;"")</f>
        <v/>
      </c>
      <c r="O1935">
        <f>IF($P1935="","",INDEX(상세표[월 넘김 포함],$P1935)&amp;"")</f>
        <v/>
      </c>
      <c r="P1935" s="4">
        <f>IFERROR(MATCH(1930,상세표[연속순번],0),"")</f>
        <v/>
      </c>
    </row>
    <row r="1936">
      <c r="A1936">
        <f>IF($P1936="","",INDEX(상세표[사번],$P1936)&amp;"")</f>
        <v/>
      </c>
      <c r="B1936">
        <f>IF($P1936="","",INDEX(상세표[성명],$P1936)&amp;"")</f>
        <v/>
      </c>
      <c r="C1936">
        <f>IF($P1936="","",INDEX(상세표[부서],$P1936)&amp;"")</f>
        <v/>
      </c>
      <c r="D1936">
        <f>IF($P1936="","",INDEX(상세표[직위],$P1936)&amp;"")</f>
        <v/>
      </c>
      <c r="E1936">
        <f>IF($P1936="","",IF(ISNUMBER(INDEX(상세표[시작],$P1936)),TEXT(INDEX(상세표[시작],$P1936),"yyyy-mm-dd hh:mm"),INDEX(상세표[시작],$P1936)&amp;""))</f>
        <v/>
      </c>
      <c r="F1936">
        <f>IF($P1936="","",IF(ISNUMBER(INDEX(상세표[블록종료],$P1936)),TEXT(INDEX(상세표[블록종료],$P1936),"yyyy-mm-dd hh:mm"),INDEX(상세표[블록종료],$P1936)&amp;""))</f>
        <v/>
      </c>
      <c r="G1936">
        <f>IF($P1936="","",CHOOSE(WEEKDAY(INDEX(상세표[시작],$P1936)),"일","월","화","수","목","금","토"))</f>
        <v/>
      </c>
      <c r="H1936">
        <f>IF($P1936="","",INDEX(상세표[연속 시간],$P1936))</f>
        <v/>
      </c>
      <c r="I1936">
        <f>IF($P1936="","",INDEX(상세표[기록 수],$P1936))</f>
        <v/>
      </c>
      <c r="J1936">
        <f>IF($P1936="","",INDEX(상세표[블록 06~07시],$P1936))</f>
        <v/>
      </c>
      <c r="K1936">
        <f>IF($P1936="","",INDEX(상세표[블록 07~18시],$P1936))</f>
        <v/>
      </c>
      <c r="L1936">
        <f>IF($P1936="","",INDEX(상세표[블록 18~22시],$P1936))</f>
        <v/>
      </c>
      <c r="M1936">
        <f>IF($P1936="","",INDEX(상세표[블록 22~06시],$P1936))</f>
        <v/>
      </c>
      <c r="N1936">
        <f>IF($P1936="","",INDEX(상세표[주말·휴일 포함],$P1936)&amp;"")</f>
        <v/>
      </c>
      <c r="O1936">
        <f>IF($P1936="","",INDEX(상세표[월 넘김 포함],$P1936)&amp;"")</f>
        <v/>
      </c>
      <c r="P1936" s="4">
        <f>IFERROR(MATCH(1931,상세표[연속순번],0),"")</f>
        <v/>
      </c>
    </row>
    <row r="1937">
      <c r="A1937">
        <f>IF($P1937="","",INDEX(상세표[사번],$P1937)&amp;"")</f>
        <v/>
      </c>
      <c r="B1937">
        <f>IF($P1937="","",INDEX(상세표[성명],$P1937)&amp;"")</f>
        <v/>
      </c>
      <c r="C1937">
        <f>IF($P1937="","",INDEX(상세표[부서],$P1937)&amp;"")</f>
        <v/>
      </c>
      <c r="D1937">
        <f>IF($P1937="","",INDEX(상세표[직위],$P1937)&amp;"")</f>
        <v/>
      </c>
      <c r="E1937">
        <f>IF($P1937="","",IF(ISNUMBER(INDEX(상세표[시작],$P1937)),TEXT(INDEX(상세표[시작],$P1937),"yyyy-mm-dd hh:mm"),INDEX(상세표[시작],$P1937)&amp;""))</f>
        <v/>
      </c>
      <c r="F1937">
        <f>IF($P1937="","",IF(ISNUMBER(INDEX(상세표[블록종료],$P1937)),TEXT(INDEX(상세표[블록종료],$P1937),"yyyy-mm-dd hh:mm"),INDEX(상세표[블록종료],$P1937)&amp;""))</f>
        <v/>
      </c>
      <c r="G1937">
        <f>IF($P1937="","",CHOOSE(WEEKDAY(INDEX(상세표[시작],$P1937)),"일","월","화","수","목","금","토"))</f>
        <v/>
      </c>
      <c r="H1937">
        <f>IF($P1937="","",INDEX(상세표[연속 시간],$P1937))</f>
        <v/>
      </c>
      <c r="I1937">
        <f>IF($P1937="","",INDEX(상세표[기록 수],$P1937))</f>
        <v/>
      </c>
      <c r="J1937">
        <f>IF($P1937="","",INDEX(상세표[블록 06~07시],$P1937))</f>
        <v/>
      </c>
      <c r="K1937">
        <f>IF($P1937="","",INDEX(상세표[블록 07~18시],$P1937))</f>
        <v/>
      </c>
      <c r="L1937">
        <f>IF($P1937="","",INDEX(상세표[블록 18~22시],$P1937))</f>
        <v/>
      </c>
      <c r="M1937">
        <f>IF($P1937="","",INDEX(상세표[블록 22~06시],$P1937))</f>
        <v/>
      </c>
      <c r="N1937">
        <f>IF($P1937="","",INDEX(상세표[주말·휴일 포함],$P1937)&amp;"")</f>
        <v/>
      </c>
      <c r="O1937">
        <f>IF($P1937="","",INDEX(상세표[월 넘김 포함],$P1937)&amp;"")</f>
        <v/>
      </c>
      <c r="P1937" s="4">
        <f>IFERROR(MATCH(1932,상세표[연속순번],0),"")</f>
        <v/>
      </c>
    </row>
    <row r="1938">
      <c r="A1938">
        <f>IF($P1938="","",INDEX(상세표[사번],$P1938)&amp;"")</f>
        <v/>
      </c>
      <c r="B1938">
        <f>IF($P1938="","",INDEX(상세표[성명],$P1938)&amp;"")</f>
        <v/>
      </c>
      <c r="C1938">
        <f>IF($P1938="","",INDEX(상세표[부서],$P1938)&amp;"")</f>
        <v/>
      </c>
      <c r="D1938">
        <f>IF($P1938="","",INDEX(상세표[직위],$P1938)&amp;"")</f>
        <v/>
      </c>
      <c r="E1938">
        <f>IF($P1938="","",IF(ISNUMBER(INDEX(상세표[시작],$P1938)),TEXT(INDEX(상세표[시작],$P1938),"yyyy-mm-dd hh:mm"),INDEX(상세표[시작],$P1938)&amp;""))</f>
        <v/>
      </c>
      <c r="F1938">
        <f>IF($P1938="","",IF(ISNUMBER(INDEX(상세표[블록종료],$P1938)),TEXT(INDEX(상세표[블록종료],$P1938),"yyyy-mm-dd hh:mm"),INDEX(상세표[블록종료],$P1938)&amp;""))</f>
        <v/>
      </c>
      <c r="G1938">
        <f>IF($P1938="","",CHOOSE(WEEKDAY(INDEX(상세표[시작],$P1938)),"일","월","화","수","목","금","토"))</f>
        <v/>
      </c>
      <c r="H1938">
        <f>IF($P1938="","",INDEX(상세표[연속 시간],$P1938))</f>
        <v/>
      </c>
      <c r="I1938">
        <f>IF($P1938="","",INDEX(상세표[기록 수],$P1938))</f>
        <v/>
      </c>
      <c r="J1938">
        <f>IF($P1938="","",INDEX(상세표[블록 06~07시],$P1938))</f>
        <v/>
      </c>
      <c r="K1938">
        <f>IF($P1938="","",INDEX(상세표[블록 07~18시],$P1938))</f>
        <v/>
      </c>
      <c r="L1938">
        <f>IF($P1938="","",INDEX(상세표[블록 18~22시],$P1938))</f>
        <v/>
      </c>
      <c r="M1938">
        <f>IF($P1938="","",INDEX(상세표[블록 22~06시],$P1938))</f>
        <v/>
      </c>
      <c r="N1938">
        <f>IF($P1938="","",INDEX(상세표[주말·휴일 포함],$P1938)&amp;"")</f>
        <v/>
      </c>
      <c r="O1938">
        <f>IF($P1938="","",INDEX(상세표[월 넘김 포함],$P1938)&amp;"")</f>
        <v/>
      </c>
      <c r="P1938" s="4">
        <f>IFERROR(MATCH(1933,상세표[연속순번],0),"")</f>
        <v/>
      </c>
    </row>
    <row r="1939">
      <c r="A1939">
        <f>IF($P1939="","",INDEX(상세표[사번],$P1939)&amp;"")</f>
        <v/>
      </c>
      <c r="B1939">
        <f>IF($P1939="","",INDEX(상세표[성명],$P1939)&amp;"")</f>
        <v/>
      </c>
      <c r="C1939">
        <f>IF($P1939="","",INDEX(상세표[부서],$P1939)&amp;"")</f>
        <v/>
      </c>
      <c r="D1939">
        <f>IF($P1939="","",INDEX(상세표[직위],$P1939)&amp;"")</f>
        <v/>
      </c>
      <c r="E1939">
        <f>IF($P1939="","",IF(ISNUMBER(INDEX(상세표[시작],$P1939)),TEXT(INDEX(상세표[시작],$P1939),"yyyy-mm-dd hh:mm"),INDEX(상세표[시작],$P1939)&amp;""))</f>
        <v/>
      </c>
      <c r="F1939">
        <f>IF($P1939="","",IF(ISNUMBER(INDEX(상세표[블록종료],$P1939)),TEXT(INDEX(상세표[블록종료],$P1939),"yyyy-mm-dd hh:mm"),INDEX(상세표[블록종료],$P1939)&amp;""))</f>
        <v/>
      </c>
      <c r="G1939">
        <f>IF($P1939="","",CHOOSE(WEEKDAY(INDEX(상세표[시작],$P1939)),"일","월","화","수","목","금","토"))</f>
        <v/>
      </c>
      <c r="H1939">
        <f>IF($P1939="","",INDEX(상세표[연속 시간],$P1939))</f>
        <v/>
      </c>
      <c r="I1939">
        <f>IF($P1939="","",INDEX(상세표[기록 수],$P1939))</f>
        <v/>
      </c>
      <c r="J1939">
        <f>IF($P1939="","",INDEX(상세표[블록 06~07시],$P1939))</f>
        <v/>
      </c>
      <c r="K1939">
        <f>IF($P1939="","",INDEX(상세표[블록 07~18시],$P1939))</f>
        <v/>
      </c>
      <c r="L1939">
        <f>IF($P1939="","",INDEX(상세표[블록 18~22시],$P1939))</f>
        <v/>
      </c>
      <c r="M1939">
        <f>IF($P1939="","",INDEX(상세표[블록 22~06시],$P1939))</f>
        <v/>
      </c>
      <c r="N1939">
        <f>IF($P1939="","",INDEX(상세표[주말·휴일 포함],$P1939)&amp;"")</f>
        <v/>
      </c>
      <c r="O1939">
        <f>IF($P1939="","",INDEX(상세표[월 넘김 포함],$P1939)&amp;"")</f>
        <v/>
      </c>
      <c r="P1939" s="4">
        <f>IFERROR(MATCH(1934,상세표[연속순번],0),"")</f>
        <v/>
      </c>
    </row>
    <row r="1940">
      <c r="A1940">
        <f>IF($P1940="","",INDEX(상세표[사번],$P1940)&amp;"")</f>
        <v/>
      </c>
      <c r="B1940">
        <f>IF($P1940="","",INDEX(상세표[성명],$P1940)&amp;"")</f>
        <v/>
      </c>
      <c r="C1940">
        <f>IF($P1940="","",INDEX(상세표[부서],$P1940)&amp;"")</f>
        <v/>
      </c>
      <c r="D1940">
        <f>IF($P1940="","",INDEX(상세표[직위],$P1940)&amp;"")</f>
        <v/>
      </c>
      <c r="E1940">
        <f>IF($P1940="","",IF(ISNUMBER(INDEX(상세표[시작],$P1940)),TEXT(INDEX(상세표[시작],$P1940),"yyyy-mm-dd hh:mm"),INDEX(상세표[시작],$P1940)&amp;""))</f>
        <v/>
      </c>
      <c r="F1940">
        <f>IF($P1940="","",IF(ISNUMBER(INDEX(상세표[블록종료],$P1940)),TEXT(INDEX(상세표[블록종료],$P1940),"yyyy-mm-dd hh:mm"),INDEX(상세표[블록종료],$P1940)&amp;""))</f>
        <v/>
      </c>
      <c r="G1940">
        <f>IF($P1940="","",CHOOSE(WEEKDAY(INDEX(상세표[시작],$P1940)),"일","월","화","수","목","금","토"))</f>
        <v/>
      </c>
      <c r="H1940">
        <f>IF($P1940="","",INDEX(상세표[연속 시간],$P1940))</f>
        <v/>
      </c>
      <c r="I1940">
        <f>IF($P1940="","",INDEX(상세표[기록 수],$P1940))</f>
        <v/>
      </c>
      <c r="J1940">
        <f>IF($P1940="","",INDEX(상세표[블록 06~07시],$P1940))</f>
        <v/>
      </c>
      <c r="K1940">
        <f>IF($P1940="","",INDEX(상세표[블록 07~18시],$P1940))</f>
        <v/>
      </c>
      <c r="L1940">
        <f>IF($P1940="","",INDEX(상세표[블록 18~22시],$P1940))</f>
        <v/>
      </c>
      <c r="M1940">
        <f>IF($P1940="","",INDEX(상세표[블록 22~06시],$P1940))</f>
        <v/>
      </c>
      <c r="N1940">
        <f>IF($P1940="","",INDEX(상세표[주말·휴일 포함],$P1940)&amp;"")</f>
        <v/>
      </c>
      <c r="O1940">
        <f>IF($P1940="","",INDEX(상세표[월 넘김 포함],$P1940)&amp;"")</f>
        <v/>
      </c>
      <c r="P1940" s="4">
        <f>IFERROR(MATCH(1935,상세표[연속순번],0),"")</f>
        <v/>
      </c>
    </row>
    <row r="1941">
      <c r="A1941">
        <f>IF($P1941="","",INDEX(상세표[사번],$P1941)&amp;"")</f>
        <v/>
      </c>
      <c r="B1941">
        <f>IF($P1941="","",INDEX(상세표[성명],$P1941)&amp;"")</f>
        <v/>
      </c>
      <c r="C1941">
        <f>IF($P1941="","",INDEX(상세표[부서],$P1941)&amp;"")</f>
        <v/>
      </c>
      <c r="D1941">
        <f>IF($P1941="","",INDEX(상세표[직위],$P1941)&amp;"")</f>
        <v/>
      </c>
      <c r="E1941">
        <f>IF($P1941="","",IF(ISNUMBER(INDEX(상세표[시작],$P1941)),TEXT(INDEX(상세표[시작],$P1941),"yyyy-mm-dd hh:mm"),INDEX(상세표[시작],$P1941)&amp;""))</f>
        <v/>
      </c>
      <c r="F1941">
        <f>IF($P1941="","",IF(ISNUMBER(INDEX(상세표[블록종료],$P1941)),TEXT(INDEX(상세표[블록종료],$P1941),"yyyy-mm-dd hh:mm"),INDEX(상세표[블록종료],$P1941)&amp;""))</f>
        <v/>
      </c>
      <c r="G1941">
        <f>IF($P1941="","",CHOOSE(WEEKDAY(INDEX(상세표[시작],$P1941)),"일","월","화","수","목","금","토"))</f>
        <v/>
      </c>
      <c r="H1941">
        <f>IF($P1941="","",INDEX(상세표[연속 시간],$P1941))</f>
        <v/>
      </c>
      <c r="I1941">
        <f>IF($P1941="","",INDEX(상세표[기록 수],$P1941))</f>
        <v/>
      </c>
      <c r="J1941">
        <f>IF($P1941="","",INDEX(상세표[블록 06~07시],$P1941))</f>
        <v/>
      </c>
      <c r="K1941">
        <f>IF($P1941="","",INDEX(상세표[블록 07~18시],$P1941))</f>
        <v/>
      </c>
      <c r="L1941">
        <f>IF($P1941="","",INDEX(상세표[블록 18~22시],$P1941))</f>
        <v/>
      </c>
      <c r="M1941">
        <f>IF($P1941="","",INDEX(상세표[블록 22~06시],$P1941))</f>
        <v/>
      </c>
      <c r="N1941">
        <f>IF($P1941="","",INDEX(상세표[주말·휴일 포함],$P1941)&amp;"")</f>
        <v/>
      </c>
      <c r="O1941">
        <f>IF($P1941="","",INDEX(상세표[월 넘김 포함],$P1941)&amp;"")</f>
        <v/>
      </c>
      <c r="P1941" s="4">
        <f>IFERROR(MATCH(1936,상세표[연속순번],0),"")</f>
        <v/>
      </c>
    </row>
    <row r="1942">
      <c r="A1942">
        <f>IF($P1942="","",INDEX(상세표[사번],$P1942)&amp;"")</f>
        <v/>
      </c>
      <c r="B1942">
        <f>IF($P1942="","",INDEX(상세표[성명],$P1942)&amp;"")</f>
        <v/>
      </c>
      <c r="C1942">
        <f>IF($P1942="","",INDEX(상세표[부서],$P1942)&amp;"")</f>
        <v/>
      </c>
      <c r="D1942">
        <f>IF($P1942="","",INDEX(상세표[직위],$P1942)&amp;"")</f>
        <v/>
      </c>
      <c r="E1942">
        <f>IF($P1942="","",IF(ISNUMBER(INDEX(상세표[시작],$P1942)),TEXT(INDEX(상세표[시작],$P1942),"yyyy-mm-dd hh:mm"),INDEX(상세표[시작],$P1942)&amp;""))</f>
        <v/>
      </c>
      <c r="F1942">
        <f>IF($P1942="","",IF(ISNUMBER(INDEX(상세표[블록종료],$P1942)),TEXT(INDEX(상세표[블록종료],$P1942),"yyyy-mm-dd hh:mm"),INDEX(상세표[블록종료],$P1942)&amp;""))</f>
        <v/>
      </c>
      <c r="G1942">
        <f>IF($P1942="","",CHOOSE(WEEKDAY(INDEX(상세표[시작],$P1942)),"일","월","화","수","목","금","토"))</f>
        <v/>
      </c>
      <c r="H1942">
        <f>IF($P1942="","",INDEX(상세표[연속 시간],$P1942))</f>
        <v/>
      </c>
      <c r="I1942">
        <f>IF($P1942="","",INDEX(상세표[기록 수],$P1942))</f>
        <v/>
      </c>
      <c r="J1942">
        <f>IF($P1942="","",INDEX(상세표[블록 06~07시],$P1942))</f>
        <v/>
      </c>
      <c r="K1942">
        <f>IF($P1942="","",INDEX(상세표[블록 07~18시],$P1942))</f>
        <v/>
      </c>
      <c r="L1942">
        <f>IF($P1942="","",INDEX(상세표[블록 18~22시],$P1942))</f>
        <v/>
      </c>
      <c r="M1942">
        <f>IF($P1942="","",INDEX(상세표[블록 22~06시],$P1942))</f>
        <v/>
      </c>
      <c r="N1942">
        <f>IF($P1942="","",INDEX(상세표[주말·휴일 포함],$P1942)&amp;"")</f>
        <v/>
      </c>
      <c r="O1942">
        <f>IF($P1942="","",INDEX(상세표[월 넘김 포함],$P1942)&amp;"")</f>
        <v/>
      </c>
      <c r="P1942" s="4">
        <f>IFERROR(MATCH(1937,상세표[연속순번],0),"")</f>
        <v/>
      </c>
    </row>
    <row r="1943">
      <c r="A1943">
        <f>IF($P1943="","",INDEX(상세표[사번],$P1943)&amp;"")</f>
        <v/>
      </c>
      <c r="B1943">
        <f>IF($P1943="","",INDEX(상세표[성명],$P1943)&amp;"")</f>
        <v/>
      </c>
      <c r="C1943">
        <f>IF($P1943="","",INDEX(상세표[부서],$P1943)&amp;"")</f>
        <v/>
      </c>
      <c r="D1943">
        <f>IF($P1943="","",INDEX(상세표[직위],$P1943)&amp;"")</f>
        <v/>
      </c>
      <c r="E1943">
        <f>IF($P1943="","",IF(ISNUMBER(INDEX(상세표[시작],$P1943)),TEXT(INDEX(상세표[시작],$P1943),"yyyy-mm-dd hh:mm"),INDEX(상세표[시작],$P1943)&amp;""))</f>
        <v/>
      </c>
      <c r="F1943">
        <f>IF($P1943="","",IF(ISNUMBER(INDEX(상세표[블록종료],$P1943)),TEXT(INDEX(상세표[블록종료],$P1943),"yyyy-mm-dd hh:mm"),INDEX(상세표[블록종료],$P1943)&amp;""))</f>
        <v/>
      </c>
      <c r="G1943">
        <f>IF($P1943="","",CHOOSE(WEEKDAY(INDEX(상세표[시작],$P1943)),"일","월","화","수","목","금","토"))</f>
        <v/>
      </c>
      <c r="H1943">
        <f>IF($P1943="","",INDEX(상세표[연속 시간],$P1943))</f>
        <v/>
      </c>
      <c r="I1943">
        <f>IF($P1943="","",INDEX(상세표[기록 수],$P1943))</f>
        <v/>
      </c>
      <c r="J1943">
        <f>IF($P1943="","",INDEX(상세표[블록 06~07시],$P1943))</f>
        <v/>
      </c>
      <c r="K1943">
        <f>IF($P1943="","",INDEX(상세표[블록 07~18시],$P1943))</f>
        <v/>
      </c>
      <c r="L1943">
        <f>IF($P1943="","",INDEX(상세표[블록 18~22시],$P1943))</f>
        <v/>
      </c>
      <c r="M1943">
        <f>IF($P1943="","",INDEX(상세표[블록 22~06시],$P1943))</f>
        <v/>
      </c>
      <c r="N1943">
        <f>IF($P1943="","",INDEX(상세표[주말·휴일 포함],$P1943)&amp;"")</f>
        <v/>
      </c>
      <c r="O1943">
        <f>IF($P1943="","",INDEX(상세표[월 넘김 포함],$P1943)&amp;"")</f>
        <v/>
      </c>
      <c r="P1943" s="4">
        <f>IFERROR(MATCH(1938,상세표[연속순번],0),"")</f>
        <v/>
      </c>
    </row>
    <row r="1944">
      <c r="A1944">
        <f>IF($P1944="","",INDEX(상세표[사번],$P1944)&amp;"")</f>
        <v/>
      </c>
      <c r="B1944">
        <f>IF($P1944="","",INDEX(상세표[성명],$P1944)&amp;"")</f>
        <v/>
      </c>
      <c r="C1944">
        <f>IF($P1944="","",INDEX(상세표[부서],$P1944)&amp;"")</f>
        <v/>
      </c>
      <c r="D1944">
        <f>IF($P1944="","",INDEX(상세표[직위],$P1944)&amp;"")</f>
        <v/>
      </c>
      <c r="E1944">
        <f>IF($P1944="","",IF(ISNUMBER(INDEX(상세표[시작],$P1944)),TEXT(INDEX(상세표[시작],$P1944),"yyyy-mm-dd hh:mm"),INDEX(상세표[시작],$P1944)&amp;""))</f>
        <v/>
      </c>
      <c r="F1944">
        <f>IF($P1944="","",IF(ISNUMBER(INDEX(상세표[블록종료],$P1944)),TEXT(INDEX(상세표[블록종료],$P1944),"yyyy-mm-dd hh:mm"),INDEX(상세표[블록종료],$P1944)&amp;""))</f>
        <v/>
      </c>
      <c r="G1944">
        <f>IF($P1944="","",CHOOSE(WEEKDAY(INDEX(상세표[시작],$P1944)),"일","월","화","수","목","금","토"))</f>
        <v/>
      </c>
      <c r="H1944">
        <f>IF($P1944="","",INDEX(상세표[연속 시간],$P1944))</f>
        <v/>
      </c>
      <c r="I1944">
        <f>IF($P1944="","",INDEX(상세표[기록 수],$P1944))</f>
        <v/>
      </c>
      <c r="J1944">
        <f>IF($P1944="","",INDEX(상세표[블록 06~07시],$P1944))</f>
        <v/>
      </c>
      <c r="K1944">
        <f>IF($P1944="","",INDEX(상세표[블록 07~18시],$P1944))</f>
        <v/>
      </c>
      <c r="L1944">
        <f>IF($P1944="","",INDEX(상세표[블록 18~22시],$P1944))</f>
        <v/>
      </c>
      <c r="M1944">
        <f>IF($P1944="","",INDEX(상세표[블록 22~06시],$P1944))</f>
        <v/>
      </c>
      <c r="N1944">
        <f>IF($P1944="","",INDEX(상세표[주말·휴일 포함],$P1944)&amp;"")</f>
        <v/>
      </c>
      <c r="O1944">
        <f>IF($P1944="","",INDEX(상세표[월 넘김 포함],$P1944)&amp;"")</f>
        <v/>
      </c>
      <c r="P1944" s="4">
        <f>IFERROR(MATCH(1939,상세표[연속순번],0),"")</f>
        <v/>
      </c>
    </row>
    <row r="1945">
      <c r="A1945">
        <f>IF($P1945="","",INDEX(상세표[사번],$P1945)&amp;"")</f>
        <v/>
      </c>
      <c r="B1945">
        <f>IF($P1945="","",INDEX(상세표[성명],$P1945)&amp;"")</f>
        <v/>
      </c>
      <c r="C1945">
        <f>IF($P1945="","",INDEX(상세표[부서],$P1945)&amp;"")</f>
        <v/>
      </c>
      <c r="D1945">
        <f>IF($P1945="","",INDEX(상세표[직위],$P1945)&amp;"")</f>
        <v/>
      </c>
      <c r="E1945">
        <f>IF($P1945="","",IF(ISNUMBER(INDEX(상세표[시작],$P1945)),TEXT(INDEX(상세표[시작],$P1945),"yyyy-mm-dd hh:mm"),INDEX(상세표[시작],$P1945)&amp;""))</f>
        <v/>
      </c>
      <c r="F1945">
        <f>IF($P1945="","",IF(ISNUMBER(INDEX(상세표[블록종료],$P1945)),TEXT(INDEX(상세표[블록종료],$P1945),"yyyy-mm-dd hh:mm"),INDEX(상세표[블록종료],$P1945)&amp;""))</f>
        <v/>
      </c>
      <c r="G1945">
        <f>IF($P1945="","",CHOOSE(WEEKDAY(INDEX(상세표[시작],$P1945)),"일","월","화","수","목","금","토"))</f>
        <v/>
      </c>
      <c r="H1945">
        <f>IF($P1945="","",INDEX(상세표[연속 시간],$P1945))</f>
        <v/>
      </c>
      <c r="I1945">
        <f>IF($P1945="","",INDEX(상세표[기록 수],$P1945))</f>
        <v/>
      </c>
      <c r="J1945">
        <f>IF($P1945="","",INDEX(상세표[블록 06~07시],$P1945))</f>
        <v/>
      </c>
      <c r="K1945">
        <f>IF($P1945="","",INDEX(상세표[블록 07~18시],$P1945))</f>
        <v/>
      </c>
      <c r="L1945">
        <f>IF($P1945="","",INDEX(상세표[블록 18~22시],$P1945))</f>
        <v/>
      </c>
      <c r="M1945">
        <f>IF($P1945="","",INDEX(상세표[블록 22~06시],$P1945))</f>
        <v/>
      </c>
      <c r="N1945">
        <f>IF($P1945="","",INDEX(상세표[주말·휴일 포함],$P1945)&amp;"")</f>
        <v/>
      </c>
      <c r="O1945">
        <f>IF($P1945="","",INDEX(상세표[월 넘김 포함],$P1945)&amp;"")</f>
        <v/>
      </c>
      <c r="P1945" s="4">
        <f>IFERROR(MATCH(1940,상세표[연속순번],0),"")</f>
        <v/>
      </c>
    </row>
    <row r="1946">
      <c r="A1946">
        <f>IF($P1946="","",INDEX(상세표[사번],$P1946)&amp;"")</f>
        <v/>
      </c>
      <c r="B1946">
        <f>IF($P1946="","",INDEX(상세표[성명],$P1946)&amp;"")</f>
        <v/>
      </c>
      <c r="C1946">
        <f>IF($P1946="","",INDEX(상세표[부서],$P1946)&amp;"")</f>
        <v/>
      </c>
      <c r="D1946">
        <f>IF($P1946="","",INDEX(상세표[직위],$P1946)&amp;"")</f>
        <v/>
      </c>
      <c r="E1946">
        <f>IF($P1946="","",IF(ISNUMBER(INDEX(상세표[시작],$P1946)),TEXT(INDEX(상세표[시작],$P1946),"yyyy-mm-dd hh:mm"),INDEX(상세표[시작],$P1946)&amp;""))</f>
        <v/>
      </c>
      <c r="F1946">
        <f>IF($P1946="","",IF(ISNUMBER(INDEX(상세표[블록종료],$P1946)),TEXT(INDEX(상세표[블록종료],$P1946),"yyyy-mm-dd hh:mm"),INDEX(상세표[블록종료],$P1946)&amp;""))</f>
        <v/>
      </c>
      <c r="G1946">
        <f>IF($P1946="","",CHOOSE(WEEKDAY(INDEX(상세표[시작],$P1946)),"일","월","화","수","목","금","토"))</f>
        <v/>
      </c>
      <c r="H1946">
        <f>IF($P1946="","",INDEX(상세표[연속 시간],$P1946))</f>
        <v/>
      </c>
      <c r="I1946">
        <f>IF($P1946="","",INDEX(상세표[기록 수],$P1946))</f>
        <v/>
      </c>
      <c r="J1946">
        <f>IF($P1946="","",INDEX(상세표[블록 06~07시],$P1946))</f>
        <v/>
      </c>
      <c r="K1946">
        <f>IF($P1946="","",INDEX(상세표[블록 07~18시],$P1946))</f>
        <v/>
      </c>
      <c r="L1946">
        <f>IF($P1946="","",INDEX(상세표[블록 18~22시],$P1946))</f>
        <v/>
      </c>
      <c r="M1946">
        <f>IF($P1946="","",INDEX(상세표[블록 22~06시],$P1946))</f>
        <v/>
      </c>
      <c r="N1946">
        <f>IF($P1946="","",INDEX(상세표[주말·휴일 포함],$P1946)&amp;"")</f>
        <v/>
      </c>
      <c r="O1946">
        <f>IF($P1946="","",INDEX(상세표[월 넘김 포함],$P1946)&amp;"")</f>
        <v/>
      </c>
      <c r="P1946" s="4">
        <f>IFERROR(MATCH(1941,상세표[연속순번],0),"")</f>
        <v/>
      </c>
    </row>
    <row r="1947">
      <c r="A1947">
        <f>IF($P1947="","",INDEX(상세표[사번],$P1947)&amp;"")</f>
        <v/>
      </c>
      <c r="B1947">
        <f>IF($P1947="","",INDEX(상세표[성명],$P1947)&amp;"")</f>
        <v/>
      </c>
      <c r="C1947">
        <f>IF($P1947="","",INDEX(상세표[부서],$P1947)&amp;"")</f>
        <v/>
      </c>
      <c r="D1947">
        <f>IF($P1947="","",INDEX(상세표[직위],$P1947)&amp;"")</f>
        <v/>
      </c>
      <c r="E1947">
        <f>IF($P1947="","",IF(ISNUMBER(INDEX(상세표[시작],$P1947)),TEXT(INDEX(상세표[시작],$P1947),"yyyy-mm-dd hh:mm"),INDEX(상세표[시작],$P1947)&amp;""))</f>
        <v/>
      </c>
      <c r="F1947">
        <f>IF($P1947="","",IF(ISNUMBER(INDEX(상세표[블록종료],$P1947)),TEXT(INDEX(상세표[블록종료],$P1947),"yyyy-mm-dd hh:mm"),INDEX(상세표[블록종료],$P1947)&amp;""))</f>
        <v/>
      </c>
      <c r="G1947">
        <f>IF($P1947="","",CHOOSE(WEEKDAY(INDEX(상세표[시작],$P1947)),"일","월","화","수","목","금","토"))</f>
        <v/>
      </c>
      <c r="H1947">
        <f>IF($P1947="","",INDEX(상세표[연속 시간],$P1947))</f>
        <v/>
      </c>
      <c r="I1947">
        <f>IF($P1947="","",INDEX(상세표[기록 수],$P1947))</f>
        <v/>
      </c>
      <c r="J1947">
        <f>IF($P1947="","",INDEX(상세표[블록 06~07시],$P1947))</f>
        <v/>
      </c>
      <c r="K1947">
        <f>IF($P1947="","",INDEX(상세표[블록 07~18시],$P1947))</f>
        <v/>
      </c>
      <c r="L1947">
        <f>IF($P1947="","",INDEX(상세표[블록 18~22시],$P1947))</f>
        <v/>
      </c>
      <c r="M1947">
        <f>IF($P1947="","",INDEX(상세표[블록 22~06시],$P1947))</f>
        <v/>
      </c>
      <c r="N1947">
        <f>IF($P1947="","",INDEX(상세표[주말·휴일 포함],$P1947)&amp;"")</f>
        <v/>
      </c>
      <c r="O1947">
        <f>IF($P1947="","",INDEX(상세표[월 넘김 포함],$P1947)&amp;"")</f>
        <v/>
      </c>
      <c r="P1947" s="4">
        <f>IFERROR(MATCH(1942,상세표[연속순번],0),"")</f>
        <v/>
      </c>
    </row>
    <row r="1948">
      <c r="A1948">
        <f>IF($P1948="","",INDEX(상세표[사번],$P1948)&amp;"")</f>
        <v/>
      </c>
      <c r="B1948">
        <f>IF($P1948="","",INDEX(상세표[성명],$P1948)&amp;"")</f>
        <v/>
      </c>
      <c r="C1948">
        <f>IF($P1948="","",INDEX(상세표[부서],$P1948)&amp;"")</f>
        <v/>
      </c>
      <c r="D1948">
        <f>IF($P1948="","",INDEX(상세표[직위],$P1948)&amp;"")</f>
        <v/>
      </c>
      <c r="E1948">
        <f>IF($P1948="","",IF(ISNUMBER(INDEX(상세표[시작],$P1948)),TEXT(INDEX(상세표[시작],$P1948),"yyyy-mm-dd hh:mm"),INDEX(상세표[시작],$P1948)&amp;""))</f>
        <v/>
      </c>
      <c r="F1948">
        <f>IF($P1948="","",IF(ISNUMBER(INDEX(상세표[블록종료],$P1948)),TEXT(INDEX(상세표[블록종료],$P1948),"yyyy-mm-dd hh:mm"),INDEX(상세표[블록종료],$P1948)&amp;""))</f>
        <v/>
      </c>
      <c r="G1948">
        <f>IF($P1948="","",CHOOSE(WEEKDAY(INDEX(상세표[시작],$P1948)),"일","월","화","수","목","금","토"))</f>
        <v/>
      </c>
      <c r="H1948">
        <f>IF($P1948="","",INDEX(상세표[연속 시간],$P1948))</f>
        <v/>
      </c>
      <c r="I1948">
        <f>IF($P1948="","",INDEX(상세표[기록 수],$P1948))</f>
        <v/>
      </c>
      <c r="J1948">
        <f>IF($P1948="","",INDEX(상세표[블록 06~07시],$P1948))</f>
        <v/>
      </c>
      <c r="K1948">
        <f>IF($P1948="","",INDEX(상세표[블록 07~18시],$P1948))</f>
        <v/>
      </c>
      <c r="L1948">
        <f>IF($P1948="","",INDEX(상세표[블록 18~22시],$P1948))</f>
        <v/>
      </c>
      <c r="M1948">
        <f>IF($P1948="","",INDEX(상세표[블록 22~06시],$P1948))</f>
        <v/>
      </c>
      <c r="N1948">
        <f>IF($P1948="","",INDEX(상세표[주말·휴일 포함],$P1948)&amp;"")</f>
        <v/>
      </c>
      <c r="O1948">
        <f>IF($P1948="","",INDEX(상세표[월 넘김 포함],$P1948)&amp;"")</f>
        <v/>
      </c>
      <c r="P1948" s="4">
        <f>IFERROR(MATCH(1943,상세표[연속순번],0),"")</f>
        <v/>
      </c>
    </row>
    <row r="1949">
      <c r="A1949">
        <f>IF($P1949="","",INDEX(상세표[사번],$P1949)&amp;"")</f>
        <v/>
      </c>
      <c r="B1949">
        <f>IF($P1949="","",INDEX(상세표[성명],$P1949)&amp;"")</f>
        <v/>
      </c>
      <c r="C1949">
        <f>IF($P1949="","",INDEX(상세표[부서],$P1949)&amp;"")</f>
        <v/>
      </c>
      <c r="D1949">
        <f>IF($P1949="","",INDEX(상세표[직위],$P1949)&amp;"")</f>
        <v/>
      </c>
      <c r="E1949">
        <f>IF($P1949="","",IF(ISNUMBER(INDEX(상세표[시작],$P1949)),TEXT(INDEX(상세표[시작],$P1949),"yyyy-mm-dd hh:mm"),INDEX(상세표[시작],$P1949)&amp;""))</f>
        <v/>
      </c>
      <c r="F1949">
        <f>IF($P1949="","",IF(ISNUMBER(INDEX(상세표[블록종료],$P1949)),TEXT(INDEX(상세표[블록종료],$P1949),"yyyy-mm-dd hh:mm"),INDEX(상세표[블록종료],$P1949)&amp;""))</f>
        <v/>
      </c>
      <c r="G1949">
        <f>IF($P1949="","",CHOOSE(WEEKDAY(INDEX(상세표[시작],$P1949)),"일","월","화","수","목","금","토"))</f>
        <v/>
      </c>
      <c r="H1949">
        <f>IF($P1949="","",INDEX(상세표[연속 시간],$P1949))</f>
        <v/>
      </c>
      <c r="I1949">
        <f>IF($P1949="","",INDEX(상세표[기록 수],$P1949))</f>
        <v/>
      </c>
      <c r="J1949">
        <f>IF($P1949="","",INDEX(상세표[블록 06~07시],$P1949))</f>
        <v/>
      </c>
      <c r="K1949">
        <f>IF($P1949="","",INDEX(상세표[블록 07~18시],$P1949))</f>
        <v/>
      </c>
      <c r="L1949">
        <f>IF($P1949="","",INDEX(상세표[블록 18~22시],$P1949))</f>
        <v/>
      </c>
      <c r="M1949">
        <f>IF($P1949="","",INDEX(상세표[블록 22~06시],$P1949))</f>
        <v/>
      </c>
      <c r="N1949">
        <f>IF($P1949="","",INDEX(상세표[주말·휴일 포함],$P1949)&amp;"")</f>
        <v/>
      </c>
      <c r="O1949">
        <f>IF($P1949="","",INDEX(상세표[월 넘김 포함],$P1949)&amp;"")</f>
        <v/>
      </c>
      <c r="P1949" s="4">
        <f>IFERROR(MATCH(1944,상세표[연속순번],0),"")</f>
        <v/>
      </c>
    </row>
    <row r="1950">
      <c r="A1950">
        <f>IF($P1950="","",INDEX(상세표[사번],$P1950)&amp;"")</f>
        <v/>
      </c>
      <c r="B1950">
        <f>IF($P1950="","",INDEX(상세표[성명],$P1950)&amp;"")</f>
        <v/>
      </c>
      <c r="C1950">
        <f>IF($P1950="","",INDEX(상세표[부서],$P1950)&amp;"")</f>
        <v/>
      </c>
      <c r="D1950">
        <f>IF($P1950="","",INDEX(상세표[직위],$P1950)&amp;"")</f>
        <v/>
      </c>
      <c r="E1950">
        <f>IF($P1950="","",IF(ISNUMBER(INDEX(상세표[시작],$P1950)),TEXT(INDEX(상세표[시작],$P1950),"yyyy-mm-dd hh:mm"),INDEX(상세표[시작],$P1950)&amp;""))</f>
        <v/>
      </c>
      <c r="F1950">
        <f>IF($P1950="","",IF(ISNUMBER(INDEX(상세표[블록종료],$P1950)),TEXT(INDEX(상세표[블록종료],$P1950),"yyyy-mm-dd hh:mm"),INDEX(상세표[블록종료],$P1950)&amp;""))</f>
        <v/>
      </c>
      <c r="G1950">
        <f>IF($P1950="","",CHOOSE(WEEKDAY(INDEX(상세표[시작],$P1950)),"일","월","화","수","목","금","토"))</f>
        <v/>
      </c>
      <c r="H1950">
        <f>IF($P1950="","",INDEX(상세표[연속 시간],$P1950))</f>
        <v/>
      </c>
      <c r="I1950">
        <f>IF($P1950="","",INDEX(상세표[기록 수],$P1950))</f>
        <v/>
      </c>
      <c r="J1950">
        <f>IF($P1950="","",INDEX(상세표[블록 06~07시],$P1950))</f>
        <v/>
      </c>
      <c r="K1950">
        <f>IF($P1950="","",INDEX(상세표[블록 07~18시],$P1950))</f>
        <v/>
      </c>
      <c r="L1950">
        <f>IF($P1950="","",INDEX(상세표[블록 18~22시],$P1950))</f>
        <v/>
      </c>
      <c r="M1950">
        <f>IF($P1950="","",INDEX(상세표[블록 22~06시],$P1950))</f>
        <v/>
      </c>
      <c r="N1950">
        <f>IF($P1950="","",INDEX(상세표[주말·휴일 포함],$P1950)&amp;"")</f>
        <v/>
      </c>
      <c r="O1950">
        <f>IF($P1950="","",INDEX(상세표[월 넘김 포함],$P1950)&amp;"")</f>
        <v/>
      </c>
      <c r="P1950" s="4">
        <f>IFERROR(MATCH(1945,상세표[연속순번],0),"")</f>
        <v/>
      </c>
    </row>
    <row r="1951">
      <c r="A1951">
        <f>IF($P1951="","",INDEX(상세표[사번],$P1951)&amp;"")</f>
        <v/>
      </c>
      <c r="B1951">
        <f>IF($P1951="","",INDEX(상세표[성명],$P1951)&amp;"")</f>
        <v/>
      </c>
      <c r="C1951">
        <f>IF($P1951="","",INDEX(상세표[부서],$P1951)&amp;"")</f>
        <v/>
      </c>
      <c r="D1951">
        <f>IF($P1951="","",INDEX(상세표[직위],$P1951)&amp;"")</f>
        <v/>
      </c>
      <c r="E1951">
        <f>IF($P1951="","",IF(ISNUMBER(INDEX(상세표[시작],$P1951)),TEXT(INDEX(상세표[시작],$P1951),"yyyy-mm-dd hh:mm"),INDEX(상세표[시작],$P1951)&amp;""))</f>
        <v/>
      </c>
      <c r="F1951">
        <f>IF($P1951="","",IF(ISNUMBER(INDEX(상세표[블록종료],$P1951)),TEXT(INDEX(상세표[블록종료],$P1951),"yyyy-mm-dd hh:mm"),INDEX(상세표[블록종료],$P1951)&amp;""))</f>
        <v/>
      </c>
      <c r="G1951">
        <f>IF($P1951="","",CHOOSE(WEEKDAY(INDEX(상세표[시작],$P1951)),"일","월","화","수","목","금","토"))</f>
        <v/>
      </c>
      <c r="H1951">
        <f>IF($P1951="","",INDEX(상세표[연속 시간],$P1951))</f>
        <v/>
      </c>
      <c r="I1951">
        <f>IF($P1951="","",INDEX(상세표[기록 수],$P1951))</f>
        <v/>
      </c>
      <c r="J1951">
        <f>IF($P1951="","",INDEX(상세표[블록 06~07시],$P1951))</f>
        <v/>
      </c>
      <c r="K1951">
        <f>IF($P1951="","",INDEX(상세표[블록 07~18시],$P1951))</f>
        <v/>
      </c>
      <c r="L1951">
        <f>IF($P1951="","",INDEX(상세표[블록 18~22시],$P1951))</f>
        <v/>
      </c>
      <c r="M1951">
        <f>IF($P1951="","",INDEX(상세표[블록 22~06시],$P1951))</f>
        <v/>
      </c>
      <c r="N1951">
        <f>IF($P1951="","",INDEX(상세표[주말·휴일 포함],$P1951)&amp;"")</f>
        <v/>
      </c>
      <c r="O1951">
        <f>IF($P1951="","",INDEX(상세표[월 넘김 포함],$P1951)&amp;"")</f>
        <v/>
      </c>
      <c r="P1951" s="4">
        <f>IFERROR(MATCH(1946,상세표[연속순번],0),"")</f>
        <v/>
      </c>
    </row>
    <row r="1952">
      <c r="A1952">
        <f>IF($P1952="","",INDEX(상세표[사번],$P1952)&amp;"")</f>
        <v/>
      </c>
      <c r="B1952">
        <f>IF($P1952="","",INDEX(상세표[성명],$P1952)&amp;"")</f>
        <v/>
      </c>
      <c r="C1952">
        <f>IF($P1952="","",INDEX(상세표[부서],$P1952)&amp;"")</f>
        <v/>
      </c>
      <c r="D1952">
        <f>IF($P1952="","",INDEX(상세표[직위],$P1952)&amp;"")</f>
        <v/>
      </c>
      <c r="E1952">
        <f>IF($P1952="","",IF(ISNUMBER(INDEX(상세표[시작],$P1952)),TEXT(INDEX(상세표[시작],$P1952),"yyyy-mm-dd hh:mm"),INDEX(상세표[시작],$P1952)&amp;""))</f>
        <v/>
      </c>
      <c r="F1952">
        <f>IF($P1952="","",IF(ISNUMBER(INDEX(상세표[블록종료],$P1952)),TEXT(INDEX(상세표[블록종료],$P1952),"yyyy-mm-dd hh:mm"),INDEX(상세표[블록종료],$P1952)&amp;""))</f>
        <v/>
      </c>
      <c r="G1952">
        <f>IF($P1952="","",CHOOSE(WEEKDAY(INDEX(상세표[시작],$P1952)),"일","월","화","수","목","금","토"))</f>
        <v/>
      </c>
      <c r="H1952">
        <f>IF($P1952="","",INDEX(상세표[연속 시간],$P1952))</f>
        <v/>
      </c>
      <c r="I1952">
        <f>IF($P1952="","",INDEX(상세표[기록 수],$P1952))</f>
        <v/>
      </c>
      <c r="J1952">
        <f>IF($P1952="","",INDEX(상세표[블록 06~07시],$P1952))</f>
        <v/>
      </c>
      <c r="K1952">
        <f>IF($P1952="","",INDEX(상세표[블록 07~18시],$P1952))</f>
        <v/>
      </c>
      <c r="L1952">
        <f>IF($P1952="","",INDEX(상세표[블록 18~22시],$P1952))</f>
        <v/>
      </c>
      <c r="M1952">
        <f>IF($P1952="","",INDEX(상세표[블록 22~06시],$P1952))</f>
        <v/>
      </c>
      <c r="N1952">
        <f>IF($P1952="","",INDEX(상세표[주말·휴일 포함],$P1952)&amp;"")</f>
        <v/>
      </c>
      <c r="O1952">
        <f>IF($P1952="","",INDEX(상세표[월 넘김 포함],$P1952)&amp;"")</f>
        <v/>
      </c>
      <c r="P1952" s="4">
        <f>IFERROR(MATCH(1947,상세표[연속순번],0),"")</f>
        <v/>
      </c>
    </row>
    <row r="1953">
      <c r="A1953">
        <f>IF($P1953="","",INDEX(상세표[사번],$P1953)&amp;"")</f>
        <v/>
      </c>
      <c r="B1953">
        <f>IF($P1953="","",INDEX(상세표[성명],$P1953)&amp;"")</f>
        <v/>
      </c>
      <c r="C1953">
        <f>IF($P1953="","",INDEX(상세표[부서],$P1953)&amp;"")</f>
        <v/>
      </c>
      <c r="D1953">
        <f>IF($P1953="","",INDEX(상세표[직위],$P1953)&amp;"")</f>
        <v/>
      </c>
      <c r="E1953">
        <f>IF($P1953="","",IF(ISNUMBER(INDEX(상세표[시작],$P1953)),TEXT(INDEX(상세표[시작],$P1953),"yyyy-mm-dd hh:mm"),INDEX(상세표[시작],$P1953)&amp;""))</f>
        <v/>
      </c>
      <c r="F1953">
        <f>IF($P1953="","",IF(ISNUMBER(INDEX(상세표[블록종료],$P1953)),TEXT(INDEX(상세표[블록종료],$P1953),"yyyy-mm-dd hh:mm"),INDEX(상세표[블록종료],$P1953)&amp;""))</f>
        <v/>
      </c>
      <c r="G1953">
        <f>IF($P1953="","",CHOOSE(WEEKDAY(INDEX(상세표[시작],$P1953)),"일","월","화","수","목","금","토"))</f>
        <v/>
      </c>
      <c r="H1953">
        <f>IF($P1953="","",INDEX(상세표[연속 시간],$P1953))</f>
        <v/>
      </c>
      <c r="I1953">
        <f>IF($P1953="","",INDEX(상세표[기록 수],$P1953))</f>
        <v/>
      </c>
      <c r="J1953">
        <f>IF($P1953="","",INDEX(상세표[블록 06~07시],$P1953))</f>
        <v/>
      </c>
      <c r="K1953">
        <f>IF($P1953="","",INDEX(상세표[블록 07~18시],$P1953))</f>
        <v/>
      </c>
      <c r="L1953">
        <f>IF($P1953="","",INDEX(상세표[블록 18~22시],$P1953))</f>
        <v/>
      </c>
      <c r="M1953">
        <f>IF($P1953="","",INDEX(상세표[블록 22~06시],$P1953))</f>
        <v/>
      </c>
      <c r="N1953">
        <f>IF($P1953="","",INDEX(상세표[주말·휴일 포함],$P1953)&amp;"")</f>
        <v/>
      </c>
      <c r="O1953">
        <f>IF($P1953="","",INDEX(상세표[월 넘김 포함],$P1953)&amp;"")</f>
        <v/>
      </c>
      <c r="P1953" s="4">
        <f>IFERROR(MATCH(1948,상세표[연속순번],0),"")</f>
        <v/>
      </c>
    </row>
    <row r="1954">
      <c r="A1954">
        <f>IF($P1954="","",INDEX(상세표[사번],$P1954)&amp;"")</f>
        <v/>
      </c>
      <c r="B1954">
        <f>IF($P1954="","",INDEX(상세표[성명],$P1954)&amp;"")</f>
        <v/>
      </c>
      <c r="C1954">
        <f>IF($P1954="","",INDEX(상세표[부서],$P1954)&amp;"")</f>
        <v/>
      </c>
      <c r="D1954">
        <f>IF($P1954="","",INDEX(상세표[직위],$P1954)&amp;"")</f>
        <v/>
      </c>
      <c r="E1954">
        <f>IF($P1954="","",IF(ISNUMBER(INDEX(상세표[시작],$P1954)),TEXT(INDEX(상세표[시작],$P1954),"yyyy-mm-dd hh:mm"),INDEX(상세표[시작],$P1954)&amp;""))</f>
        <v/>
      </c>
      <c r="F1954">
        <f>IF($P1954="","",IF(ISNUMBER(INDEX(상세표[블록종료],$P1954)),TEXT(INDEX(상세표[블록종료],$P1954),"yyyy-mm-dd hh:mm"),INDEX(상세표[블록종료],$P1954)&amp;""))</f>
        <v/>
      </c>
      <c r="G1954">
        <f>IF($P1954="","",CHOOSE(WEEKDAY(INDEX(상세표[시작],$P1954)),"일","월","화","수","목","금","토"))</f>
        <v/>
      </c>
      <c r="H1954">
        <f>IF($P1954="","",INDEX(상세표[연속 시간],$P1954))</f>
        <v/>
      </c>
      <c r="I1954">
        <f>IF($P1954="","",INDEX(상세표[기록 수],$P1954))</f>
        <v/>
      </c>
      <c r="J1954">
        <f>IF($P1954="","",INDEX(상세표[블록 06~07시],$P1954))</f>
        <v/>
      </c>
      <c r="K1954">
        <f>IF($P1954="","",INDEX(상세표[블록 07~18시],$P1954))</f>
        <v/>
      </c>
      <c r="L1954">
        <f>IF($P1954="","",INDEX(상세표[블록 18~22시],$P1954))</f>
        <v/>
      </c>
      <c r="M1954">
        <f>IF($P1954="","",INDEX(상세표[블록 22~06시],$P1954))</f>
        <v/>
      </c>
      <c r="N1954">
        <f>IF($P1954="","",INDEX(상세표[주말·휴일 포함],$P1954)&amp;"")</f>
        <v/>
      </c>
      <c r="O1954">
        <f>IF($P1954="","",INDEX(상세표[월 넘김 포함],$P1954)&amp;"")</f>
        <v/>
      </c>
      <c r="P1954" s="4">
        <f>IFERROR(MATCH(1949,상세표[연속순번],0),"")</f>
        <v/>
      </c>
    </row>
    <row r="1955">
      <c r="A1955">
        <f>IF($P1955="","",INDEX(상세표[사번],$P1955)&amp;"")</f>
        <v/>
      </c>
      <c r="B1955">
        <f>IF($P1955="","",INDEX(상세표[성명],$P1955)&amp;"")</f>
        <v/>
      </c>
      <c r="C1955">
        <f>IF($P1955="","",INDEX(상세표[부서],$P1955)&amp;"")</f>
        <v/>
      </c>
      <c r="D1955">
        <f>IF($P1955="","",INDEX(상세표[직위],$P1955)&amp;"")</f>
        <v/>
      </c>
      <c r="E1955">
        <f>IF($P1955="","",IF(ISNUMBER(INDEX(상세표[시작],$P1955)),TEXT(INDEX(상세표[시작],$P1955),"yyyy-mm-dd hh:mm"),INDEX(상세표[시작],$P1955)&amp;""))</f>
        <v/>
      </c>
      <c r="F1955">
        <f>IF($P1955="","",IF(ISNUMBER(INDEX(상세표[블록종료],$P1955)),TEXT(INDEX(상세표[블록종료],$P1955),"yyyy-mm-dd hh:mm"),INDEX(상세표[블록종료],$P1955)&amp;""))</f>
        <v/>
      </c>
      <c r="G1955">
        <f>IF($P1955="","",CHOOSE(WEEKDAY(INDEX(상세표[시작],$P1955)),"일","월","화","수","목","금","토"))</f>
        <v/>
      </c>
      <c r="H1955">
        <f>IF($P1955="","",INDEX(상세표[연속 시간],$P1955))</f>
        <v/>
      </c>
      <c r="I1955">
        <f>IF($P1955="","",INDEX(상세표[기록 수],$P1955))</f>
        <v/>
      </c>
      <c r="J1955">
        <f>IF($P1955="","",INDEX(상세표[블록 06~07시],$P1955))</f>
        <v/>
      </c>
      <c r="K1955">
        <f>IF($P1955="","",INDEX(상세표[블록 07~18시],$P1955))</f>
        <v/>
      </c>
      <c r="L1955">
        <f>IF($P1955="","",INDEX(상세표[블록 18~22시],$P1955))</f>
        <v/>
      </c>
      <c r="M1955">
        <f>IF($P1955="","",INDEX(상세표[블록 22~06시],$P1955))</f>
        <v/>
      </c>
      <c r="N1955">
        <f>IF($P1955="","",INDEX(상세표[주말·휴일 포함],$P1955)&amp;"")</f>
        <v/>
      </c>
      <c r="O1955">
        <f>IF($P1955="","",INDEX(상세표[월 넘김 포함],$P1955)&amp;"")</f>
        <v/>
      </c>
      <c r="P1955" s="4">
        <f>IFERROR(MATCH(1950,상세표[연속순번],0),"")</f>
        <v/>
      </c>
    </row>
    <row r="1956">
      <c r="A1956">
        <f>IF($P1956="","",INDEX(상세표[사번],$P1956)&amp;"")</f>
        <v/>
      </c>
      <c r="B1956">
        <f>IF($P1956="","",INDEX(상세표[성명],$P1956)&amp;"")</f>
        <v/>
      </c>
      <c r="C1956">
        <f>IF($P1956="","",INDEX(상세표[부서],$P1956)&amp;"")</f>
        <v/>
      </c>
      <c r="D1956">
        <f>IF($P1956="","",INDEX(상세표[직위],$P1956)&amp;"")</f>
        <v/>
      </c>
      <c r="E1956">
        <f>IF($P1956="","",IF(ISNUMBER(INDEX(상세표[시작],$P1956)),TEXT(INDEX(상세표[시작],$P1956),"yyyy-mm-dd hh:mm"),INDEX(상세표[시작],$P1956)&amp;""))</f>
        <v/>
      </c>
      <c r="F1956">
        <f>IF($P1956="","",IF(ISNUMBER(INDEX(상세표[블록종료],$P1956)),TEXT(INDEX(상세표[블록종료],$P1956),"yyyy-mm-dd hh:mm"),INDEX(상세표[블록종료],$P1956)&amp;""))</f>
        <v/>
      </c>
      <c r="G1956">
        <f>IF($P1956="","",CHOOSE(WEEKDAY(INDEX(상세표[시작],$P1956)),"일","월","화","수","목","금","토"))</f>
        <v/>
      </c>
      <c r="H1956">
        <f>IF($P1956="","",INDEX(상세표[연속 시간],$P1956))</f>
        <v/>
      </c>
      <c r="I1956">
        <f>IF($P1956="","",INDEX(상세표[기록 수],$P1956))</f>
        <v/>
      </c>
      <c r="J1956">
        <f>IF($P1956="","",INDEX(상세표[블록 06~07시],$P1956))</f>
        <v/>
      </c>
      <c r="K1956">
        <f>IF($P1956="","",INDEX(상세표[블록 07~18시],$P1956))</f>
        <v/>
      </c>
      <c r="L1956">
        <f>IF($P1956="","",INDEX(상세표[블록 18~22시],$P1956))</f>
        <v/>
      </c>
      <c r="M1956">
        <f>IF($P1956="","",INDEX(상세표[블록 22~06시],$P1956))</f>
        <v/>
      </c>
      <c r="N1956">
        <f>IF($P1956="","",INDEX(상세표[주말·휴일 포함],$P1956)&amp;"")</f>
        <v/>
      </c>
      <c r="O1956">
        <f>IF($P1956="","",INDEX(상세표[월 넘김 포함],$P1956)&amp;"")</f>
        <v/>
      </c>
      <c r="P1956" s="4">
        <f>IFERROR(MATCH(1951,상세표[연속순번],0),"")</f>
        <v/>
      </c>
    </row>
    <row r="1957">
      <c r="A1957">
        <f>IF($P1957="","",INDEX(상세표[사번],$P1957)&amp;"")</f>
        <v/>
      </c>
      <c r="B1957">
        <f>IF($P1957="","",INDEX(상세표[성명],$P1957)&amp;"")</f>
        <v/>
      </c>
      <c r="C1957">
        <f>IF($P1957="","",INDEX(상세표[부서],$P1957)&amp;"")</f>
        <v/>
      </c>
      <c r="D1957">
        <f>IF($P1957="","",INDEX(상세표[직위],$P1957)&amp;"")</f>
        <v/>
      </c>
      <c r="E1957">
        <f>IF($P1957="","",IF(ISNUMBER(INDEX(상세표[시작],$P1957)),TEXT(INDEX(상세표[시작],$P1957),"yyyy-mm-dd hh:mm"),INDEX(상세표[시작],$P1957)&amp;""))</f>
        <v/>
      </c>
      <c r="F1957">
        <f>IF($P1957="","",IF(ISNUMBER(INDEX(상세표[블록종료],$P1957)),TEXT(INDEX(상세표[블록종료],$P1957),"yyyy-mm-dd hh:mm"),INDEX(상세표[블록종료],$P1957)&amp;""))</f>
        <v/>
      </c>
      <c r="G1957">
        <f>IF($P1957="","",CHOOSE(WEEKDAY(INDEX(상세표[시작],$P1957)),"일","월","화","수","목","금","토"))</f>
        <v/>
      </c>
      <c r="H1957">
        <f>IF($P1957="","",INDEX(상세표[연속 시간],$P1957))</f>
        <v/>
      </c>
      <c r="I1957">
        <f>IF($P1957="","",INDEX(상세표[기록 수],$P1957))</f>
        <v/>
      </c>
      <c r="J1957">
        <f>IF($P1957="","",INDEX(상세표[블록 06~07시],$P1957))</f>
        <v/>
      </c>
      <c r="K1957">
        <f>IF($P1957="","",INDEX(상세표[블록 07~18시],$P1957))</f>
        <v/>
      </c>
      <c r="L1957">
        <f>IF($P1957="","",INDEX(상세표[블록 18~22시],$P1957))</f>
        <v/>
      </c>
      <c r="M1957">
        <f>IF($P1957="","",INDEX(상세표[블록 22~06시],$P1957))</f>
        <v/>
      </c>
      <c r="N1957">
        <f>IF($P1957="","",INDEX(상세표[주말·휴일 포함],$P1957)&amp;"")</f>
        <v/>
      </c>
      <c r="O1957">
        <f>IF($P1957="","",INDEX(상세표[월 넘김 포함],$P1957)&amp;"")</f>
        <v/>
      </c>
      <c r="P1957" s="4">
        <f>IFERROR(MATCH(1952,상세표[연속순번],0),"")</f>
        <v/>
      </c>
    </row>
    <row r="1958">
      <c r="A1958">
        <f>IF($P1958="","",INDEX(상세표[사번],$P1958)&amp;"")</f>
        <v/>
      </c>
      <c r="B1958">
        <f>IF($P1958="","",INDEX(상세표[성명],$P1958)&amp;"")</f>
        <v/>
      </c>
      <c r="C1958">
        <f>IF($P1958="","",INDEX(상세표[부서],$P1958)&amp;"")</f>
        <v/>
      </c>
      <c r="D1958">
        <f>IF($P1958="","",INDEX(상세표[직위],$P1958)&amp;"")</f>
        <v/>
      </c>
      <c r="E1958">
        <f>IF($P1958="","",IF(ISNUMBER(INDEX(상세표[시작],$P1958)),TEXT(INDEX(상세표[시작],$P1958),"yyyy-mm-dd hh:mm"),INDEX(상세표[시작],$P1958)&amp;""))</f>
        <v/>
      </c>
      <c r="F1958">
        <f>IF($P1958="","",IF(ISNUMBER(INDEX(상세표[블록종료],$P1958)),TEXT(INDEX(상세표[블록종료],$P1958),"yyyy-mm-dd hh:mm"),INDEX(상세표[블록종료],$P1958)&amp;""))</f>
        <v/>
      </c>
      <c r="G1958">
        <f>IF($P1958="","",CHOOSE(WEEKDAY(INDEX(상세표[시작],$P1958)),"일","월","화","수","목","금","토"))</f>
        <v/>
      </c>
      <c r="H1958">
        <f>IF($P1958="","",INDEX(상세표[연속 시간],$P1958))</f>
        <v/>
      </c>
      <c r="I1958">
        <f>IF($P1958="","",INDEX(상세표[기록 수],$P1958))</f>
        <v/>
      </c>
      <c r="J1958">
        <f>IF($P1958="","",INDEX(상세표[블록 06~07시],$P1958))</f>
        <v/>
      </c>
      <c r="K1958">
        <f>IF($P1958="","",INDEX(상세표[블록 07~18시],$P1958))</f>
        <v/>
      </c>
      <c r="L1958">
        <f>IF($P1958="","",INDEX(상세표[블록 18~22시],$P1958))</f>
        <v/>
      </c>
      <c r="M1958">
        <f>IF($P1958="","",INDEX(상세표[블록 22~06시],$P1958))</f>
        <v/>
      </c>
      <c r="N1958">
        <f>IF($P1958="","",INDEX(상세표[주말·휴일 포함],$P1958)&amp;"")</f>
        <v/>
      </c>
      <c r="O1958">
        <f>IF($P1958="","",INDEX(상세표[월 넘김 포함],$P1958)&amp;"")</f>
        <v/>
      </c>
      <c r="P1958" s="4">
        <f>IFERROR(MATCH(1953,상세표[연속순번],0),"")</f>
        <v/>
      </c>
    </row>
    <row r="1959">
      <c r="A1959">
        <f>IF($P1959="","",INDEX(상세표[사번],$P1959)&amp;"")</f>
        <v/>
      </c>
      <c r="B1959">
        <f>IF($P1959="","",INDEX(상세표[성명],$P1959)&amp;"")</f>
        <v/>
      </c>
      <c r="C1959">
        <f>IF($P1959="","",INDEX(상세표[부서],$P1959)&amp;"")</f>
        <v/>
      </c>
      <c r="D1959">
        <f>IF($P1959="","",INDEX(상세표[직위],$P1959)&amp;"")</f>
        <v/>
      </c>
      <c r="E1959">
        <f>IF($P1959="","",IF(ISNUMBER(INDEX(상세표[시작],$P1959)),TEXT(INDEX(상세표[시작],$P1959),"yyyy-mm-dd hh:mm"),INDEX(상세표[시작],$P1959)&amp;""))</f>
        <v/>
      </c>
      <c r="F1959">
        <f>IF($P1959="","",IF(ISNUMBER(INDEX(상세표[블록종료],$P1959)),TEXT(INDEX(상세표[블록종료],$P1959),"yyyy-mm-dd hh:mm"),INDEX(상세표[블록종료],$P1959)&amp;""))</f>
        <v/>
      </c>
      <c r="G1959">
        <f>IF($P1959="","",CHOOSE(WEEKDAY(INDEX(상세표[시작],$P1959)),"일","월","화","수","목","금","토"))</f>
        <v/>
      </c>
      <c r="H1959">
        <f>IF($P1959="","",INDEX(상세표[연속 시간],$P1959))</f>
        <v/>
      </c>
      <c r="I1959">
        <f>IF($P1959="","",INDEX(상세표[기록 수],$P1959))</f>
        <v/>
      </c>
      <c r="J1959">
        <f>IF($P1959="","",INDEX(상세표[블록 06~07시],$P1959))</f>
        <v/>
      </c>
      <c r="K1959">
        <f>IF($P1959="","",INDEX(상세표[블록 07~18시],$P1959))</f>
        <v/>
      </c>
      <c r="L1959">
        <f>IF($P1959="","",INDEX(상세표[블록 18~22시],$P1959))</f>
        <v/>
      </c>
      <c r="M1959">
        <f>IF($P1959="","",INDEX(상세표[블록 22~06시],$P1959))</f>
        <v/>
      </c>
      <c r="N1959">
        <f>IF($P1959="","",INDEX(상세표[주말·휴일 포함],$P1959)&amp;"")</f>
        <v/>
      </c>
      <c r="O1959">
        <f>IF($P1959="","",INDEX(상세표[월 넘김 포함],$P1959)&amp;"")</f>
        <v/>
      </c>
      <c r="P1959" s="4">
        <f>IFERROR(MATCH(1954,상세표[연속순번],0),"")</f>
        <v/>
      </c>
    </row>
    <row r="1960">
      <c r="A1960">
        <f>IF($P1960="","",INDEX(상세표[사번],$P1960)&amp;"")</f>
        <v/>
      </c>
      <c r="B1960">
        <f>IF($P1960="","",INDEX(상세표[성명],$P1960)&amp;"")</f>
        <v/>
      </c>
      <c r="C1960">
        <f>IF($P1960="","",INDEX(상세표[부서],$P1960)&amp;"")</f>
        <v/>
      </c>
      <c r="D1960">
        <f>IF($P1960="","",INDEX(상세표[직위],$P1960)&amp;"")</f>
        <v/>
      </c>
      <c r="E1960">
        <f>IF($P1960="","",IF(ISNUMBER(INDEX(상세표[시작],$P1960)),TEXT(INDEX(상세표[시작],$P1960),"yyyy-mm-dd hh:mm"),INDEX(상세표[시작],$P1960)&amp;""))</f>
        <v/>
      </c>
      <c r="F1960">
        <f>IF($P1960="","",IF(ISNUMBER(INDEX(상세표[블록종료],$P1960)),TEXT(INDEX(상세표[블록종료],$P1960),"yyyy-mm-dd hh:mm"),INDEX(상세표[블록종료],$P1960)&amp;""))</f>
        <v/>
      </c>
      <c r="G1960">
        <f>IF($P1960="","",CHOOSE(WEEKDAY(INDEX(상세표[시작],$P1960)),"일","월","화","수","목","금","토"))</f>
        <v/>
      </c>
      <c r="H1960">
        <f>IF($P1960="","",INDEX(상세표[연속 시간],$P1960))</f>
        <v/>
      </c>
      <c r="I1960">
        <f>IF($P1960="","",INDEX(상세표[기록 수],$P1960))</f>
        <v/>
      </c>
      <c r="J1960">
        <f>IF($P1960="","",INDEX(상세표[블록 06~07시],$P1960))</f>
        <v/>
      </c>
      <c r="K1960">
        <f>IF($P1960="","",INDEX(상세표[블록 07~18시],$P1960))</f>
        <v/>
      </c>
      <c r="L1960">
        <f>IF($P1960="","",INDEX(상세표[블록 18~22시],$P1960))</f>
        <v/>
      </c>
      <c r="M1960">
        <f>IF($P1960="","",INDEX(상세표[블록 22~06시],$P1960))</f>
        <v/>
      </c>
      <c r="N1960">
        <f>IF($P1960="","",INDEX(상세표[주말·휴일 포함],$P1960)&amp;"")</f>
        <v/>
      </c>
      <c r="O1960">
        <f>IF($P1960="","",INDEX(상세표[월 넘김 포함],$P1960)&amp;"")</f>
        <v/>
      </c>
      <c r="P1960" s="4">
        <f>IFERROR(MATCH(1955,상세표[연속순번],0),"")</f>
        <v/>
      </c>
    </row>
    <row r="1961">
      <c r="A1961">
        <f>IF($P1961="","",INDEX(상세표[사번],$P1961)&amp;"")</f>
        <v/>
      </c>
      <c r="B1961">
        <f>IF($P1961="","",INDEX(상세표[성명],$P1961)&amp;"")</f>
        <v/>
      </c>
      <c r="C1961">
        <f>IF($P1961="","",INDEX(상세표[부서],$P1961)&amp;"")</f>
        <v/>
      </c>
      <c r="D1961">
        <f>IF($P1961="","",INDEX(상세표[직위],$P1961)&amp;"")</f>
        <v/>
      </c>
      <c r="E1961">
        <f>IF($P1961="","",IF(ISNUMBER(INDEX(상세표[시작],$P1961)),TEXT(INDEX(상세표[시작],$P1961),"yyyy-mm-dd hh:mm"),INDEX(상세표[시작],$P1961)&amp;""))</f>
        <v/>
      </c>
      <c r="F1961">
        <f>IF($P1961="","",IF(ISNUMBER(INDEX(상세표[블록종료],$P1961)),TEXT(INDEX(상세표[블록종료],$P1961),"yyyy-mm-dd hh:mm"),INDEX(상세표[블록종료],$P1961)&amp;""))</f>
        <v/>
      </c>
      <c r="G1961">
        <f>IF($P1961="","",CHOOSE(WEEKDAY(INDEX(상세표[시작],$P1961)),"일","월","화","수","목","금","토"))</f>
        <v/>
      </c>
      <c r="H1961">
        <f>IF($P1961="","",INDEX(상세표[연속 시간],$P1961))</f>
        <v/>
      </c>
      <c r="I1961">
        <f>IF($P1961="","",INDEX(상세표[기록 수],$P1961))</f>
        <v/>
      </c>
      <c r="J1961">
        <f>IF($P1961="","",INDEX(상세표[블록 06~07시],$P1961))</f>
        <v/>
      </c>
      <c r="K1961">
        <f>IF($P1961="","",INDEX(상세표[블록 07~18시],$P1961))</f>
        <v/>
      </c>
      <c r="L1961">
        <f>IF($P1961="","",INDEX(상세표[블록 18~22시],$P1961))</f>
        <v/>
      </c>
      <c r="M1961">
        <f>IF($P1961="","",INDEX(상세표[블록 22~06시],$P1961))</f>
        <v/>
      </c>
      <c r="N1961">
        <f>IF($P1961="","",INDEX(상세표[주말·휴일 포함],$P1961)&amp;"")</f>
        <v/>
      </c>
      <c r="O1961">
        <f>IF($P1961="","",INDEX(상세표[월 넘김 포함],$P1961)&amp;"")</f>
        <v/>
      </c>
      <c r="P1961" s="4">
        <f>IFERROR(MATCH(1956,상세표[연속순번],0),"")</f>
        <v/>
      </c>
    </row>
    <row r="1962">
      <c r="A1962">
        <f>IF($P1962="","",INDEX(상세표[사번],$P1962)&amp;"")</f>
        <v/>
      </c>
      <c r="B1962">
        <f>IF($P1962="","",INDEX(상세표[성명],$P1962)&amp;"")</f>
        <v/>
      </c>
      <c r="C1962">
        <f>IF($P1962="","",INDEX(상세표[부서],$P1962)&amp;"")</f>
        <v/>
      </c>
      <c r="D1962">
        <f>IF($P1962="","",INDEX(상세표[직위],$P1962)&amp;"")</f>
        <v/>
      </c>
      <c r="E1962">
        <f>IF($P1962="","",IF(ISNUMBER(INDEX(상세표[시작],$P1962)),TEXT(INDEX(상세표[시작],$P1962),"yyyy-mm-dd hh:mm"),INDEX(상세표[시작],$P1962)&amp;""))</f>
        <v/>
      </c>
      <c r="F1962">
        <f>IF($P1962="","",IF(ISNUMBER(INDEX(상세표[블록종료],$P1962)),TEXT(INDEX(상세표[블록종료],$P1962),"yyyy-mm-dd hh:mm"),INDEX(상세표[블록종료],$P1962)&amp;""))</f>
        <v/>
      </c>
      <c r="G1962">
        <f>IF($P1962="","",CHOOSE(WEEKDAY(INDEX(상세표[시작],$P1962)),"일","월","화","수","목","금","토"))</f>
        <v/>
      </c>
      <c r="H1962">
        <f>IF($P1962="","",INDEX(상세표[연속 시간],$P1962))</f>
        <v/>
      </c>
      <c r="I1962">
        <f>IF($P1962="","",INDEX(상세표[기록 수],$P1962))</f>
        <v/>
      </c>
      <c r="J1962">
        <f>IF($P1962="","",INDEX(상세표[블록 06~07시],$P1962))</f>
        <v/>
      </c>
      <c r="K1962">
        <f>IF($P1962="","",INDEX(상세표[블록 07~18시],$P1962))</f>
        <v/>
      </c>
      <c r="L1962">
        <f>IF($P1962="","",INDEX(상세표[블록 18~22시],$P1962))</f>
        <v/>
      </c>
      <c r="M1962">
        <f>IF($P1962="","",INDEX(상세표[블록 22~06시],$P1962))</f>
        <v/>
      </c>
      <c r="N1962">
        <f>IF($P1962="","",INDEX(상세표[주말·휴일 포함],$P1962)&amp;"")</f>
        <v/>
      </c>
      <c r="O1962">
        <f>IF($P1962="","",INDEX(상세표[월 넘김 포함],$P1962)&amp;"")</f>
        <v/>
      </c>
      <c r="P1962" s="4">
        <f>IFERROR(MATCH(1957,상세표[연속순번],0),"")</f>
        <v/>
      </c>
    </row>
    <row r="1963">
      <c r="A1963">
        <f>IF($P1963="","",INDEX(상세표[사번],$P1963)&amp;"")</f>
        <v/>
      </c>
      <c r="B1963">
        <f>IF($P1963="","",INDEX(상세표[성명],$P1963)&amp;"")</f>
        <v/>
      </c>
      <c r="C1963">
        <f>IF($P1963="","",INDEX(상세표[부서],$P1963)&amp;"")</f>
        <v/>
      </c>
      <c r="D1963">
        <f>IF($P1963="","",INDEX(상세표[직위],$P1963)&amp;"")</f>
        <v/>
      </c>
      <c r="E1963">
        <f>IF($P1963="","",IF(ISNUMBER(INDEX(상세표[시작],$P1963)),TEXT(INDEX(상세표[시작],$P1963),"yyyy-mm-dd hh:mm"),INDEX(상세표[시작],$P1963)&amp;""))</f>
        <v/>
      </c>
      <c r="F1963">
        <f>IF($P1963="","",IF(ISNUMBER(INDEX(상세표[블록종료],$P1963)),TEXT(INDEX(상세표[블록종료],$P1963),"yyyy-mm-dd hh:mm"),INDEX(상세표[블록종료],$P1963)&amp;""))</f>
        <v/>
      </c>
      <c r="G1963">
        <f>IF($P1963="","",CHOOSE(WEEKDAY(INDEX(상세표[시작],$P1963)),"일","월","화","수","목","금","토"))</f>
        <v/>
      </c>
      <c r="H1963">
        <f>IF($P1963="","",INDEX(상세표[연속 시간],$P1963))</f>
        <v/>
      </c>
      <c r="I1963">
        <f>IF($P1963="","",INDEX(상세표[기록 수],$P1963))</f>
        <v/>
      </c>
      <c r="J1963">
        <f>IF($P1963="","",INDEX(상세표[블록 06~07시],$P1963))</f>
        <v/>
      </c>
      <c r="K1963">
        <f>IF($P1963="","",INDEX(상세표[블록 07~18시],$P1963))</f>
        <v/>
      </c>
      <c r="L1963">
        <f>IF($P1963="","",INDEX(상세표[블록 18~22시],$P1963))</f>
        <v/>
      </c>
      <c r="M1963">
        <f>IF($P1963="","",INDEX(상세표[블록 22~06시],$P1963))</f>
        <v/>
      </c>
      <c r="N1963">
        <f>IF($P1963="","",INDEX(상세표[주말·휴일 포함],$P1963)&amp;"")</f>
        <v/>
      </c>
      <c r="O1963">
        <f>IF($P1963="","",INDEX(상세표[월 넘김 포함],$P1963)&amp;"")</f>
        <v/>
      </c>
      <c r="P1963" s="4">
        <f>IFERROR(MATCH(1958,상세표[연속순번],0),"")</f>
        <v/>
      </c>
    </row>
    <row r="1964">
      <c r="A1964">
        <f>IF($P1964="","",INDEX(상세표[사번],$P1964)&amp;"")</f>
        <v/>
      </c>
      <c r="B1964">
        <f>IF($P1964="","",INDEX(상세표[성명],$P1964)&amp;"")</f>
        <v/>
      </c>
      <c r="C1964">
        <f>IF($P1964="","",INDEX(상세표[부서],$P1964)&amp;"")</f>
        <v/>
      </c>
      <c r="D1964">
        <f>IF($P1964="","",INDEX(상세표[직위],$P1964)&amp;"")</f>
        <v/>
      </c>
      <c r="E1964">
        <f>IF($P1964="","",IF(ISNUMBER(INDEX(상세표[시작],$P1964)),TEXT(INDEX(상세표[시작],$P1964),"yyyy-mm-dd hh:mm"),INDEX(상세표[시작],$P1964)&amp;""))</f>
        <v/>
      </c>
      <c r="F1964">
        <f>IF($P1964="","",IF(ISNUMBER(INDEX(상세표[블록종료],$P1964)),TEXT(INDEX(상세표[블록종료],$P1964),"yyyy-mm-dd hh:mm"),INDEX(상세표[블록종료],$P1964)&amp;""))</f>
        <v/>
      </c>
      <c r="G1964">
        <f>IF($P1964="","",CHOOSE(WEEKDAY(INDEX(상세표[시작],$P1964)),"일","월","화","수","목","금","토"))</f>
        <v/>
      </c>
      <c r="H1964">
        <f>IF($P1964="","",INDEX(상세표[연속 시간],$P1964))</f>
        <v/>
      </c>
      <c r="I1964">
        <f>IF($P1964="","",INDEX(상세표[기록 수],$P1964))</f>
        <v/>
      </c>
      <c r="J1964">
        <f>IF($P1964="","",INDEX(상세표[블록 06~07시],$P1964))</f>
        <v/>
      </c>
      <c r="K1964">
        <f>IF($P1964="","",INDEX(상세표[블록 07~18시],$P1964))</f>
        <v/>
      </c>
      <c r="L1964">
        <f>IF($P1964="","",INDEX(상세표[블록 18~22시],$P1964))</f>
        <v/>
      </c>
      <c r="M1964">
        <f>IF($P1964="","",INDEX(상세표[블록 22~06시],$P1964))</f>
        <v/>
      </c>
      <c r="N1964">
        <f>IF($P1964="","",INDEX(상세표[주말·휴일 포함],$P1964)&amp;"")</f>
        <v/>
      </c>
      <c r="O1964">
        <f>IF($P1964="","",INDEX(상세표[월 넘김 포함],$P1964)&amp;"")</f>
        <v/>
      </c>
      <c r="P1964" s="4">
        <f>IFERROR(MATCH(1959,상세표[연속순번],0),"")</f>
        <v/>
      </c>
    </row>
    <row r="1965">
      <c r="A1965">
        <f>IF($P1965="","",INDEX(상세표[사번],$P1965)&amp;"")</f>
        <v/>
      </c>
      <c r="B1965">
        <f>IF($P1965="","",INDEX(상세표[성명],$P1965)&amp;"")</f>
        <v/>
      </c>
      <c r="C1965">
        <f>IF($P1965="","",INDEX(상세표[부서],$P1965)&amp;"")</f>
        <v/>
      </c>
      <c r="D1965">
        <f>IF($P1965="","",INDEX(상세표[직위],$P1965)&amp;"")</f>
        <v/>
      </c>
      <c r="E1965">
        <f>IF($P1965="","",IF(ISNUMBER(INDEX(상세표[시작],$P1965)),TEXT(INDEX(상세표[시작],$P1965),"yyyy-mm-dd hh:mm"),INDEX(상세표[시작],$P1965)&amp;""))</f>
        <v/>
      </c>
      <c r="F1965">
        <f>IF($P1965="","",IF(ISNUMBER(INDEX(상세표[블록종료],$P1965)),TEXT(INDEX(상세표[블록종료],$P1965),"yyyy-mm-dd hh:mm"),INDEX(상세표[블록종료],$P1965)&amp;""))</f>
        <v/>
      </c>
      <c r="G1965">
        <f>IF($P1965="","",CHOOSE(WEEKDAY(INDEX(상세표[시작],$P1965)),"일","월","화","수","목","금","토"))</f>
        <v/>
      </c>
      <c r="H1965">
        <f>IF($P1965="","",INDEX(상세표[연속 시간],$P1965))</f>
        <v/>
      </c>
      <c r="I1965">
        <f>IF($P1965="","",INDEX(상세표[기록 수],$P1965))</f>
        <v/>
      </c>
      <c r="J1965">
        <f>IF($P1965="","",INDEX(상세표[블록 06~07시],$P1965))</f>
        <v/>
      </c>
      <c r="K1965">
        <f>IF($P1965="","",INDEX(상세표[블록 07~18시],$P1965))</f>
        <v/>
      </c>
      <c r="L1965">
        <f>IF($P1965="","",INDEX(상세표[블록 18~22시],$P1965))</f>
        <v/>
      </c>
      <c r="M1965">
        <f>IF($P1965="","",INDEX(상세표[블록 22~06시],$P1965))</f>
        <v/>
      </c>
      <c r="N1965">
        <f>IF($P1965="","",INDEX(상세표[주말·휴일 포함],$P1965)&amp;"")</f>
        <v/>
      </c>
      <c r="O1965">
        <f>IF($P1965="","",INDEX(상세표[월 넘김 포함],$P1965)&amp;"")</f>
        <v/>
      </c>
      <c r="P1965" s="4">
        <f>IFERROR(MATCH(1960,상세표[연속순번],0),"")</f>
        <v/>
      </c>
    </row>
    <row r="1966">
      <c r="A1966">
        <f>IF($P1966="","",INDEX(상세표[사번],$P1966)&amp;"")</f>
        <v/>
      </c>
      <c r="B1966">
        <f>IF($P1966="","",INDEX(상세표[성명],$P1966)&amp;"")</f>
        <v/>
      </c>
      <c r="C1966">
        <f>IF($P1966="","",INDEX(상세표[부서],$P1966)&amp;"")</f>
        <v/>
      </c>
      <c r="D1966">
        <f>IF($P1966="","",INDEX(상세표[직위],$P1966)&amp;"")</f>
        <v/>
      </c>
      <c r="E1966">
        <f>IF($P1966="","",IF(ISNUMBER(INDEX(상세표[시작],$P1966)),TEXT(INDEX(상세표[시작],$P1966),"yyyy-mm-dd hh:mm"),INDEX(상세표[시작],$P1966)&amp;""))</f>
        <v/>
      </c>
      <c r="F1966">
        <f>IF($P1966="","",IF(ISNUMBER(INDEX(상세표[블록종료],$P1966)),TEXT(INDEX(상세표[블록종료],$P1966),"yyyy-mm-dd hh:mm"),INDEX(상세표[블록종료],$P1966)&amp;""))</f>
        <v/>
      </c>
      <c r="G1966">
        <f>IF($P1966="","",CHOOSE(WEEKDAY(INDEX(상세표[시작],$P1966)),"일","월","화","수","목","금","토"))</f>
        <v/>
      </c>
      <c r="H1966">
        <f>IF($P1966="","",INDEX(상세표[연속 시간],$P1966))</f>
        <v/>
      </c>
      <c r="I1966">
        <f>IF($P1966="","",INDEX(상세표[기록 수],$P1966))</f>
        <v/>
      </c>
      <c r="J1966">
        <f>IF($P1966="","",INDEX(상세표[블록 06~07시],$P1966))</f>
        <v/>
      </c>
      <c r="K1966">
        <f>IF($P1966="","",INDEX(상세표[블록 07~18시],$P1966))</f>
        <v/>
      </c>
      <c r="L1966">
        <f>IF($P1966="","",INDEX(상세표[블록 18~22시],$P1966))</f>
        <v/>
      </c>
      <c r="M1966">
        <f>IF($P1966="","",INDEX(상세표[블록 22~06시],$P1966))</f>
        <v/>
      </c>
      <c r="N1966">
        <f>IF($P1966="","",INDEX(상세표[주말·휴일 포함],$P1966)&amp;"")</f>
        <v/>
      </c>
      <c r="O1966">
        <f>IF($P1966="","",INDEX(상세표[월 넘김 포함],$P1966)&amp;"")</f>
        <v/>
      </c>
      <c r="P1966" s="4">
        <f>IFERROR(MATCH(1961,상세표[연속순번],0),"")</f>
        <v/>
      </c>
    </row>
    <row r="1967">
      <c r="A1967">
        <f>IF($P1967="","",INDEX(상세표[사번],$P1967)&amp;"")</f>
        <v/>
      </c>
      <c r="B1967">
        <f>IF($P1967="","",INDEX(상세표[성명],$P1967)&amp;"")</f>
        <v/>
      </c>
      <c r="C1967">
        <f>IF($P1967="","",INDEX(상세표[부서],$P1967)&amp;"")</f>
        <v/>
      </c>
      <c r="D1967">
        <f>IF($P1967="","",INDEX(상세표[직위],$P1967)&amp;"")</f>
        <v/>
      </c>
      <c r="E1967">
        <f>IF($P1967="","",IF(ISNUMBER(INDEX(상세표[시작],$P1967)),TEXT(INDEX(상세표[시작],$P1967),"yyyy-mm-dd hh:mm"),INDEX(상세표[시작],$P1967)&amp;""))</f>
        <v/>
      </c>
      <c r="F1967">
        <f>IF($P1967="","",IF(ISNUMBER(INDEX(상세표[블록종료],$P1967)),TEXT(INDEX(상세표[블록종료],$P1967),"yyyy-mm-dd hh:mm"),INDEX(상세표[블록종료],$P1967)&amp;""))</f>
        <v/>
      </c>
      <c r="G1967">
        <f>IF($P1967="","",CHOOSE(WEEKDAY(INDEX(상세표[시작],$P1967)),"일","월","화","수","목","금","토"))</f>
        <v/>
      </c>
      <c r="H1967">
        <f>IF($P1967="","",INDEX(상세표[연속 시간],$P1967))</f>
        <v/>
      </c>
      <c r="I1967">
        <f>IF($P1967="","",INDEX(상세표[기록 수],$P1967))</f>
        <v/>
      </c>
      <c r="J1967">
        <f>IF($P1967="","",INDEX(상세표[블록 06~07시],$P1967))</f>
        <v/>
      </c>
      <c r="K1967">
        <f>IF($P1967="","",INDEX(상세표[블록 07~18시],$P1967))</f>
        <v/>
      </c>
      <c r="L1967">
        <f>IF($P1967="","",INDEX(상세표[블록 18~22시],$P1967))</f>
        <v/>
      </c>
      <c r="M1967">
        <f>IF($P1967="","",INDEX(상세표[블록 22~06시],$P1967))</f>
        <v/>
      </c>
      <c r="N1967">
        <f>IF($P1967="","",INDEX(상세표[주말·휴일 포함],$P1967)&amp;"")</f>
        <v/>
      </c>
      <c r="O1967">
        <f>IF($P1967="","",INDEX(상세표[월 넘김 포함],$P1967)&amp;"")</f>
        <v/>
      </c>
      <c r="P1967" s="4">
        <f>IFERROR(MATCH(1962,상세표[연속순번],0),"")</f>
        <v/>
      </c>
    </row>
    <row r="1968">
      <c r="A1968">
        <f>IF($P1968="","",INDEX(상세표[사번],$P1968)&amp;"")</f>
        <v/>
      </c>
      <c r="B1968">
        <f>IF($P1968="","",INDEX(상세표[성명],$P1968)&amp;"")</f>
        <v/>
      </c>
      <c r="C1968">
        <f>IF($P1968="","",INDEX(상세표[부서],$P1968)&amp;"")</f>
        <v/>
      </c>
      <c r="D1968">
        <f>IF($P1968="","",INDEX(상세표[직위],$P1968)&amp;"")</f>
        <v/>
      </c>
      <c r="E1968">
        <f>IF($P1968="","",IF(ISNUMBER(INDEX(상세표[시작],$P1968)),TEXT(INDEX(상세표[시작],$P1968),"yyyy-mm-dd hh:mm"),INDEX(상세표[시작],$P1968)&amp;""))</f>
        <v/>
      </c>
      <c r="F1968">
        <f>IF($P1968="","",IF(ISNUMBER(INDEX(상세표[블록종료],$P1968)),TEXT(INDEX(상세표[블록종료],$P1968),"yyyy-mm-dd hh:mm"),INDEX(상세표[블록종료],$P1968)&amp;""))</f>
        <v/>
      </c>
      <c r="G1968">
        <f>IF($P1968="","",CHOOSE(WEEKDAY(INDEX(상세표[시작],$P1968)),"일","월","화","수","목","금","토"))</f>
        <v/>
      </c>
      <c r="H1968">
        <f>IF($P1968="","",INDEX(상세표[연속 시간],$P1968))</f>
        <v/>
      </c>
      <c r="I1968">
        <f>IF($P1968="","",INDEX(상세표[기록 수],$P1968))</f>
        <v/>
      </c>
      <c r="J1968">
        <f>IF($P1968="","",INDEX(상세표[블록 06~07시],$P1968))</f>
        <v/>
      </c>
      <c r="K1968">
        <f>IF($P1968="","",INDEX(상세표[블록 07~18시],$P1968))</f>
        <v/>
      </c>
      <c r="L1968">
        <f>IF($P1968="","",INDEX(상세표[블록 18~22시],$P1968))</f>
        <v/>
      </c>
      <c r="M1968">
        <f>IF($P1968="","",INDEX(상세표[블록 22~06시],$P1968))</f>
        <v/>
      </c>
      <c r="N1968">
        <f>IF($P1968="","",INDEX(상세표[주말·휴일 포함],$P1968)&amp;"")</f>
        <v/>
      </c>
      <c r="O1968">
        <f>IF($P1968="","",INDEX(상세표[월 넘김 포함],$P1968)&amp;"")</f>
        <v/>
      </c>
      <c r="P1968" s="4">
        <f>IFERROR(MATCH(1963,상세표[연속순번],0),"")</f>
        <v/>
      </c>
    </row>
    <row r="1969">
      <c r="A1969">
        <f>IF($P1969="","",INDEX(상세표[사번],$P1969)&amp;"")</f>
        <v/>
      </c>
      <c r="B1969">
        <f>IF($P1969="","",INDEX(상세표[성명],$P1969)&amp;"")</f>
        <v/>
      </c>
      <c r="C1969">
        <f>IF($P1969="","",INDEX(상세표[부서],$P1969)&amp;"")</f>
        <v/>
      </c>
      <c r="D1969">
        <f>IF($P1969="","",INDEX(상세표[직위],$P1969)&amp;"")</f>
        <v/>
      </c>
      <c r="E1969">
        <f>IF($P1969="","",IF(ISNUMBER(INDEX(상세표[시작],$P1969)),TEXT(INDEX(상세표[시작],$P1969),"yyyy-mm-dd hh:mm"),INDEX(상세표[시작],$P1969)&amp;""))</f>
        <v/>
      </c>
      <c r="F1969">
        <f>IF($P1969="","",IF(ISNUMBER(INDEX(상세표[블록종료],$P1969)),TEXT(INDEX(상세표[블록종료],$P1969),"yyyy-mm-dd hh:mm"),INDEX(상세표[블록종료],$P1969)&amp;""))</f>
        <v/>
      </c>
      <c r="G1969">
        <f>IF($P1969="","",CHOOSE(WEEKDAY(INDEX(상세표[시작],$P1969)),"일","월","화","수","목","금","토"))</f>
        <v/>
      </c>
      <c r="H1969">
        <f>IF($P1969="","",INDEX(상세표[연속 시간],$P1969))</f>
        <v/>
      </c>
      <c r="I1969">
        <f>IF($P1969="","",INDEX(상세표[기록 수],$P1969))</f>
        <v/>
      </c>
      <c r="J1969">
        <f>IF($P1969="","",INDEX(상세표[블록 06~07시],$P1969))</f>
        <v/>
      </c>
      <c r="K1969">
        <f>IF($P1969="","",INDEX(상세표[블록 07~18시],$P1969))</f>
        <v/>
      </c>
      <c r="L1969">
        <f>IF($P1969="","",INDEX(상세표[블록 18~22시],$P1969))</f>
        <v/>
      </c>
      <c r="M1969">
        <f>IF($P1969="","",INDEX(상세표[블록 22~06시],$P1969))</f>
        <v/>
      </c>
      <c r="N1969">
        <f>IF($P1969="","",INDEX(상세표[주말·휴일 포함],$P1969)&amp;"")</f>
        <v/>
      </c>
      <c r="O1969">
        <f>IF($P1969="","",INDEX(상세표[월 넘김 포함],$P1969)&amp;"")</f>
        <v/>
      </c>
      <c r="P1969" s="4">
        <f>IFERROR(MATCH(1964,상세표[연속순번],0),"")</f>
        <v/>
      </c>
    </row>
    <row r="1970">
      <c r="A1970">
        <f>IF($P1970="","",INDEX(상세표[사번],$P1970)&amp;"")</f>
        <v/>
      </c>
      <c r="B1970">
        <f>IF($P1970="","",INDEX(상세표[성명],$P1970)&amp;"")</f>
        <v/>
      </c>
      <c r="C1970">
        <f>IF($P1970="","",INDEX(상세표[부서],$P1970)&amp;"")</f>
        <v/>
      </c>
      <c r="D1970">
        <f>IF($P1970="","",INDEX(상세표[직위],$P1970)&amp;"")</f>
        <v/>
      </c>
      <c r="E1970">
        <f>IF($P1970="","",IF(ISNUMBER(INDEX(상세표[시작],$P1970)),TEXT(INDEX(상세표[시작],$P1970),"yyyy-mm-dd hh:mm"),INDEX(상세표[시작],$P1970)&amp;""))</f>
        <v/>
      </c>
      <c r="F1970">
        <f>IF($P1970="","",IF(ISNUMBER(INDEX(상세표[블록종료],$P1970)),TEXT(INDEX(상세표[블록종료],$P1970),"yyyy-mm-dd hh:mm"),INDEX(상세표[블록종료],$P1970)&amp;""))</f>
        <v/>
      </c>
      <c r="G1970">
        <f>IF($P1970="","",CHOOSE(WEEKDAY(INDEX(상세표[시작],$P1970)),"일","월","화","수","목","금","토"))</f>
        <v/>
      </c>
      <c r="H1970">
        <f>IF($P1970="","",INDEX(상세표[연속 시간],$P1970))</f>
        <v/>
      </c>
      <c r="I1970">
        <f>IF($P1970="","",INDEX(상세표[기록 수],$P1970))</f>
        <v/>
      </c>
      <c r="J1970">
        <f>IF($P1970="","",INDEX(상세표[블록 06~07시],$P1970))</f>
        <v/>
      </c>
      <c r="K1970">
        <f>IF($P1970="","",INDEX(상세표[블록 07~18시],$P1970))</f>
        <v/>
      </c>
      <c r="L1970">
        <f>IF($P1970="","",INDEX(상세표[블록 18~22시],$P1970))</f>
        <v/>
      </c>
      <c r="M1970">
        <f>IF($P1970="","",INDEX(상세표[블록 22~06시],$P1970))</f>
        <v/>
      </c>
      <c r="N1970">
        <f>IF($P1970="","",INDEX(상세표[주말·휴일 포함],$P1970)&amp;"")</f>
        <v/>
      </c>
      <c r="O1970">
        <f>IF($P1970="","",INDEX(상세표[월 넘김 포함],$P1970)&amp;"")</f>
        <v/>
      </c>
      <c r="P1970" s="4">
        <f>IFERROR(MATCH(1965,상세표[연속순번],0),"")</f>
        <v/>
      </c>
    </row>
    <row r="1971">
      <c r="A1971">
        <f>IF($P1971="","",INDEX(상세표[사번],$P1971)&amp;"")</f>
        <v/>
      </c>
      <c r="B1971">
        <f>IF($P1971="","",INDEX(상세표[성명],$P1971)&amp;"")</f>
        <v/>
      </c>
      <c r="C1971">
        <f>IF($P1971="","",INDEX(상세표[부서],$P1971)&amp;"")</f>
        <v/>
      </c>
      <c r="D1971">
        <f>IF($P1971="","",INDEX(상세표[직위],$P1971)&amp;"")</f>
        <v/>
      </c>
      <c r="E1971">
        <f>IF($P1971="","",IF(ISNUMBER(INDEX(상세표[시작],$P1971)),TEXT(INDEX(상세표[시작],$P1971),"yyyy-mm-dd hh:mm"),INDEX(상세표[시작],$P1971)&amp;""))</f>
        <v/>
      </c>
      <c r="F1971">
        <f>IF($P1971="","",IF(ISNUMBER(INDEX(상세표[블록종료],$P1971)),TEXT(INDEX(상세표[블록종료],$P1971),"yyyy-mm-dd hh:mm"),INDEX(상세표[블록종료],$P1971)&amp;""))</f>
        <v/>
      </c>
      <c r="G1971">
        <f>IF($P1971="","",CHOOSE(WEEKDAY(INDEX(상세표[시작],$P1971)),"일","월","화","수","목","금","토"))</f>
        <v/>
      </c>
      <c r="H1971">
        <f>IF($P1971="","",INDEX(상세표[연속 시간],$P1971))</f>
        <v/>
      </c>
      <c r="I1971">
        <f>IF($P1971="","",INDEX(상세표[기록 수],$P1971))</f>
        <v/>
      </c>
      <c r="J1971">
        <f>IF($P1971="","",INDEX(상세표[블록 06~07시],$P1971))</f>
        <v/>
      </c>
      <c r="K1971">
        <f>IF($P1971="","",INDEX(상세표[블록 07~18시],$P1971))</f>
        <v/>
      </c>
      <c r="L1971">
        <f>IF($P1971="","",INDEX(상세표[블록 18~22시],$P1971))</f>
        <v/>
      </c>
      <c r="M1971">
        <f>IF($P1971="","",INDEX(상세표[블록 22~06시],$P1971))</f>
        <v/>
      </c>
      <c r="N1971">
        <f>IF($P1971="","",INDEX(상세표[주말·휴일 포함],$P1971)&amp;"")</f>
        <v/>
      </c>
      <c r="O1971">
        <f>IF($P1971="","",INDEX(상세표[월 넘김 포함],$P1971)&amp;"")</f>
        <v/>
      </c>
      <c r="P1971" s="4">
        <f>IFERROR(MATCH(1966,상세표[연속순번],0),"")</f>
        <v/>
      </c>
    </row>
    <row r="1972">
      <c r="A1972">
        <f>IF($P1972="","",INDEX(상세표[사번],$P1972)&amp;"")</f>
        <v/>
      </c>
      <c r="B1972">
        <f>IF($P1972="","",INDEX(상세표[성명],$P1972)&amp;"")</f>
        <v/>
      </c>
      <c r="C1972">
        <f>IF($P1972="","",INDEX(상세표[부서],$P1972)&amp;"")</f>
        <v/>
      </c>
      <c r="D1972">
        <f>IF($P1972="","",INDEX(상세표[직위],$P1972)&amp;"")</f>
        <v/>
      </c>
      <c r="E1972">
        <f>IF($P1972="","",IF(ISNUMBER(INDEX(상세표[시작],$P1972)),TEXT(INDEX(상세표[시작],$P1972),"yyyy-mm-dd hh:mm"),INDEX(상세표[시작],$P1972)&amp;""))</f>
        <v/>
      </c>
      <c r="F1972">
        <f>IF($P1972="","",IF(ISNUMBER(INDEX(상세표[블록종료],$P1972)),TEXT(INDEX(상세표[블록종료],$P1972),"yyyy-mm-dd hh:mm"),INDEX(상세표[블록종료],$P1972)&amp;""))</f>
        <v/>
      </c>
      <c r="G1972">
        <f>IF($P1972="","",CHOOSE(WEEKDAY(INDEX(상세표[시작],$P1972)),"일","월","화","수","목","금","토"))</f>
        <v/>
      </c>
      <c r="H1972">
        <f>IF($P1972="","",INDEX(상세표[연속 시간],$P1972))</f>
        <v/>
      </c>
      <c r="I1972">
        <f>IF($P1972="","",INDEX(상세표[기록 수],$P1972))</f>
        <v/>
      </c>
      <c r="J1972">
        <f>IF($P1972="","",INDEX(상세표[블록 06~07시],$P1972))</f>
        <v/>
      </c>
      <c r="K1972">
        <f>IF($P1972="","",INDEX(상세표[블록 07~18시],$P1972))</f>
        <v/>
      </c>
      <c r="L1972">
        <f>IF($P1972="","",INDEX(상세표[블록 18~22시],$P1972))</f>
        <v/>
      </c>
      <c r="M1972">
        <f>IF($P1972="","",INDEX(상세표[블록 22~06시],$P1972))</f>
        <v/>
      </c>
      <c r="N1972">
        <f>IF($P1972="","",INDEX(상세표[주말·휴일 포함],$P1972)&amp;"")</f>
        <v/>
      </c>
      <c r="O1972">
        <f>IF($P1972="","",INDEX(상세표[월 넘김 포함],$P1972)&amp;"")</f>
        <v/>
      </c>
      <c r="P1972" s="4">
        <f>IFERROR(MATCH(1967,상세표[연속순번],0),"")</f>
        <v/>
      </c>
    </row>
    <row r="1973">
      <c r="A1973">
        <f>IF($P1973="","",INDEX(상세표[사번],$P1973)&amp;"")</f>
        <v/>
      </c>
      <c r="B1973">
        <f>IF($P1973="","",INDEX(상세표[성명],$P1973)&amp;"")</f>
        <v/>
      </c>
      <c r="C1973">
        <f>IF($P1973="","",INDEX(상세표[부서],$P1973)&amp;"")</f>
        <v/>
      </c>
      <c r="D1973">
        <f>IF($P1973="","",INDEX(상세표[직위],$P1973)&amp;"")</f>
        <v/>
      </c>
      <c r="E1973">
        <f>IF($P1973="","",IF(ISNUMBER(INDEX(상세표[시작],$P1973)),TEXT(INDEX(상세표[시작],$P1973),"yyyy-mm-dd hh:mm"),INDEX(상세표[시작],$P1973)&amp;""))</f>
        <v/>
      </c>
      <c r="F1973">
        <f>IF($P1973="","",IF(ISNUMBER(INDEX(상세표[블록종료],$P1973)),TEXT(INDEX(상세표[블록종료],$P1973),"yyyy-mm-dd hh:mm"),INDEX(상세표[블록종료],$P1973)&amp;""))</f>
        <v/>
      </c>
      <c r="G1973">
        <f>IF($P1973="","",CHOOSE(WEEKDAY(INDEX(상세표[시작],$P1973)),"일","월","화","수","목","금","토"))</f>
        <v/>
      </c>
      <c r="H1973">
        <f>IF($P1973="","",INDEX(상세표[연속 시간],$P1973))</f>
        <v/>
      </c>
      <c r="I1973">
        <f>IF($P1973="","",INDEX(상세표[기록 수],$P1973))</f>
        <v/>
      </c>
      <c r="J1973">
        <f>IF($P1973="","",INDEX(상세표[블록 06~07시],$P1973))</f>
        <v/>
      </c>
      <c r="K1973">
        <f>IF($P1973="","",INDEX(상세표[블록 07~18시],$P1973))</f>
        <v/>
      </c>
      <c r="L1973">
        <f>IF($P1973="","",INDEX(상세표[블록 18~22시],$P1973))</f>
        <v/>
      </c>
      <c r="M1973">
        <f>IF($P1973="","",INDEX(상세표[블록 22~06시],$P1973))</f>
        <v/>
      </c>
      <c r="N1973">
        <f>IF($P1973="","",INDEX(상세표[주말·휴일 포함],$P1973)&amp;"")</f>
        <v/>
      </c>
      <c r="O1973">
        <f>IF($P1973="","",INDEX(상세표[월 넘김 포함],$P1973)&amp;"")</f>
        <v/>
      </c>
      <c r="P1973" s="4">
        <f>IFERROR(MATCH(1968,상세표[연속순번],0),"")</f>
        <v/>
      </c>
    </row>
    <row r="1974">
      <c r="A1974">
        <f>IF($P1974="","",INDEX(상세표[사번],$P1974)&amp;"")</f>
        <v/>
      </c>
      <c r="B1974">
        <f>IF($P1974="","",INDEX(상세표[성명],$P1974)&amp;"")</f>
        <v/>
      </c>
      <c r="C1974">
        <f>IF($P1974="","",INDEX(상세표[부서],$P1974)&amp;"")</f>
        <v/>
      </c>
      <c r="D1974">
        <f>IF($P1974="","",INDEX(상세표[직위],$P1974)&amp;"")</f>
        <v/>
      </c>
      <c r="E1974">
        <f>IF($P1974="","",IF(ISNUMBER(INDEX(상세표[시작],$P1974)),TEXT(INDEX(상세표[시작],$P1974),"yyyy-mm-dd hh:mm"),INDEX(상세표[시작],$P1974)&amp;""))</f>
        <v/>
      </c>
      <c r="F1974">
        <f>IF($P1974="","",IF(ISNUMBER(INDEX(상세표[블록종료],$P1974)),TEXT(INDEX(상세표[블록종료],$P1974),"yyyy-mm-dd hh:mm"),INDEX(상세표[블록종료],$P1974)&amp;""))</f>
        <v/>
      </c>
      <c r="G1974">
        <f>IF($P1974="","",CHOOSE(WEEKDAY(INDEX(상세표[시작],$P1974)),"일","월","화","수","목","금","토"))</f>
        <v/>
      </c>
      <c r="H1974">
        <f>IF($P1974="","",INDEX(상세표[연속 시간],$P1974))</f>
        <v/>
      </c>
      <c r="I1974">
        <f>IF($P1974="","",INDEX(상세표[기록 수],$P1974))</f>
        <v/>
      </c>
      <c r="J1974">
        <f>IF($P1974="","",INDEX(상세표[블록 06~07시],$P1974))</f>
        <v/>
      </c>
      <c r="K1974">
        <f>IF($P1974="","",INDEX(상세표[블록 07~18시],$P1974))</f>
        <v/>
      </c>
      <c r="L1974">
        <f>IF($P1974="","",INDEX(상세표[블록 18~22시],$P1974))</f>
        <v/>
      </c>
      <c r="M1974">
        <f>IF($P1974="","",INDEX(상세표[블록 22~06시],$P1974))</f>
        <v/>
      </c>
      <c r="N1974">
        <f>IF($P1974="","",INDEX(상세표[주말·휴일 포함],$P1974)&amp;"")</f>
        <v/>
      </c>
      <c r="O1974">
        <f>IF($P1974="","",INDEX(상세표[월 넘김 포함],$P1974)&amp;"")</f>
        <v/>
      </c>
      <c r="P1974" s="4">
        <f>IFERROR(MATCH(1969,상세표[연속순번],0),"")</f>
        <v/>
      </c>
    </row>
    <row r="1975">
      <c r="A1975">
        <f>IF($P1975="","",INDEX(상세표[사번],$P1975)&amp;"")</f>
        <v/>
      </c>
      <c r="B1975">
        <f>IF($P1975="","",INDEX(상세표[성명],$P1975)&amp;"")</f>
        <v/>
      </c>
      <c r="C1975">
        <f>IF($P1975="","",INDEX(상세표[부서],$P1975)&amp;"")</f>
        <v/>
      </c>
      <c r="D1975">
        <f>IF($P1975="","",INDEX(상세표[직위],$P1975)&amp;"")</f>
        <v/>
      </c>
      <c r="E1975">
        <f>IF($P1975="","",IF(ISNUMBER(INDEX(상세표[시작],$P1975)),TEXT(INDEX(상세표[시작],$P1975),"yyyy-mm-dd hh:mm"),INDEX(상세표[시작],$P1975)&amp;""))</f>
        <v/>
      </c>
      <c r="F1975">
        <f>IF($P1975="","",IF(ISNUMBER(INDEX(상세표[블록종료],$P1975)),TEXT(INDEX(상세표[블록종료],$P1975),"yyyy-mm-dd hh:mm"),INDEX(상세표[블록종료],$P1975)&amp;""))</f>
        <v/>
      </c>
      <c r="G1975">
        <f>IF($P1975="","",CHOOSE(WEEKDAY(INDEX(상세표[시작],$P1975)),"일","월","화","수","목","금","토"))</f>
        <v/>
      </c>
      <c r="H1975">
        <f>IF($P1975="","",INDEX(상세표[연속 시간],$P1975))</f>
        <v/>
      </c>
      <c r="I1975">
        <f>IF($P1975="","",INDEX(상세표[기록 수],$P1975))</f>
        <v/>
      </c>
      <c r="J1975">
        <f>IF($P1975="","",INDEX(상세표[블록 06~07시],$P1975))</f>
        <v/>
      </c>
      <c r="K1975">
        <f>IF($P1975="","",INDEX(상세표[블록 07~18시],$P1975))</f>
        <v/>
      </c>
      <c r="L1975">
        <f>IF($P1975="","",INDEX(상세표[블록 18~22시],$P1975))</f>
        <v/>
      </c>
      <c r="M1975">
        <f>IF($P1975="","",INDEX(상세표[블록 22~06시],$P1975))</f>
        <v/>
      </c>
      <c r="N1975">
        <f>IF($P1975="","",INDEX(상세표[주말·휴일 포함],$P1975)&amp;"")</f>
        <v/>
      </c>
      <c r="O1975">
        <f>IF($P1975="","",INDEX(상세표[월 넘김 포함],$P1975)&amp;"")</f>
        <v/>
      </c>
      <c r="P1975" s="4">
        <f>IFERROR(MATCH(1970,상세표[연속순번],0),"")</f>
        <v/>
      </c>
    </row>
    <row r="1976">
      <c r="A1976">
        <f>IF($P1976="","",INDEX(상세표[사번],$P1976)&amp;"")</f>
        <v/>
      </c>
      <c r="B1976">
        <f>IF($P1976="","",INDEX(상세표[성명],$P1976)&amp;"")</f>
        <v/>
      </c>
      <c r="C1976">
        <f>IF($P1976="","",INDEX(상세표[부서],$P1976)&amp;"")</f>
        <v/>
      </c>
      <c r="D1976">
        <f>IF($P1976="","",INDEX(상세표[직위],$P1976)&amp;"")</f>
        <v/>
      </c>
      <c r="E1976">
        <f>IF($P1976="","",IF(ISNUMBER(INDEX(상세표[시작],$P1976)),TEXT(INDEX(상세표[시작],$P1976),"yyyy-mm-dd hh:mm"),INDEX(상세표[시작],$P1976)&amp;""))</f>
        <v/>
      </c>
      <c r="F1976">
        <f>IF($P1976="","",IF(ISNUMBER(INDEX(상세표[블록종료],$P1976)),TEXT(INDEX(상세표[블록종료],$P1976),"yyyy-mm-dd hh:mm"),INDEX(상세표[블록종료],$P1976)&amp;""))</f>
        <v/>
      </c>
      <c r="G1976">
        <f>IF($P1976="","",CHOOSE(WEEKDAY(INDEX(상세표[시작],$P1976)),"일","월","화","수","목","금","토"))</f>
        <v/>
      </c>
      <c r="H1976">
        <f>IF($P1976="","",INDEX(상세표[연속 시간],$P1976))</f>
        <v/>
      </c>
      <c r="I1976">
        <f>IF($P1976="","",INDEX(상세표[기록 수],$P1976))</f>
        <v/>
      </c>
      <c r="J1976">
        <f>IF($P1976="","",INDEX(상세표[블록 06~07시],$P1976))</f>
        <v/>
      </c>
      <c r="K1976">
        <f>IF($P1976="","",INDEX(상세표[블록 07~18시],$P1976))</f>
        <v/>
      </c>
      <c r="L1976">
        <f>IF($P1976="","",INDEX(상세표[블록 18~22시],$P1976))</f>
        <v/>
      </c>
      <c r="M1976">
        <f>IF($P1976="","",INDEX(상세표[블록 22~06시],$P1976))</f>
        <v/>
      </c>
      <c r="N1976">
        <f>IF($P1976="","",INDEX(상세표[주말·휴일 포함],$P1976)&amp;"")</f>
        <v/>
      </c>
      <c r="O1976">
        <f>IF($P1976="","",INDEX(상세표[월 넘김 포함],$P1976)&amp;"")</f>
        <v/>
      </c>
      <c r="P1976" s="4">
        <f>IFERROR(MATCH(1971,상세표[연속순번],0),"")</f>
        <v/>
      </c>
    </row>
    <row r="1977">
      <c r="A1977">
        <f>IF($P1977="","",INDEX(상세표[사번],$P1977)&amp;"")</f>
        <v/>
      </c>
      <c r="B1977">
        <f>IF($P1977="","",INDEX(상세표[성명],$P1977)&amp;"")</f>
        <v/>
      </c>
      <c r="C1977">
        <f>IF($P1977="","",INDEX(상세표[부서],$P1977)&amp;"")</f>
        <v/>
      </c>
      <c r="D1977">
        <f>IF($P1977="","",INDEX(상세표[직위],$P1977)&amp;"")</f>
        <v/>
      </c>
      <c r="E1977">
        <f>IF($P1977="","",IF(ISNUMBER(INDEX(상세표[시작],$P1977)),TEXT(INDEX(상세표[시작],$P1977),"yyyy-mm-dd hh:mm"),INDEX(상세표[시작],$P1977)&amp;""))</f>
        <v/>
      </c>
      <c r="F1977">
        <f>IF($P1977="","",IF(ISNUMBER(INDEX(상세표[블록종료],$P1977)),TEXT(INDEX(상세표[블록종료],$P1977),"yyyy-mm-dd hh:mm"),INDEX(상세표[블록종료],$P1977)&amp;""))</f>
        <v/>
      </c>
      <c r="G1977">
        <f>IF($P1977="","",CHOOSE(WEEKDAY(INDEX(상세표[시작],$P1977)),"일","월","화","수","목","금","토"))</f>
        <v/>
      </c>
      <c r="H1977">
        <f>IF($P1977="","",INDEX(상세표[연속 시간],$P1977))</f>
        <v/>
      </c>
      <c r="I1977">
        <f>IF($P1977="","",INDEX(상세표[기록 수],$P1977))</f>
        <v/>
      </c>
      <c r="J1977">
        <f>IF($P1977="","",INDEX(상세표[블록 06~07시],$P1977))</f>
        <v/>
      </c>
      <c r="K1977">
        <f>IF($P1977="","",INDEX(상세표[블록 07~18시],$P1977))</f>
        <v/>
      </c>
      <c r="L1977">
        <f>IF($P1977="","",INDEX(상세표[블록 18~22시],$P1977))</f>
        <v/>
      </c>
      <c r="M1977">
        <f>IF($P1977="","",INDEX(상세표[블록 22~06시],$P1977))</f>
        <v/>
      </c>
      <c r="N1977">
        <f>IF($P1977="","",INDEX(상세표[주말·휴일 포함],$P1977)&amp;"")</f>
        <v/>
      </c>
      <c r="O1977">
        <f>IF($P1977="","",INDEX(상세표[월 넘김 포함],$P1977)&amp;"")</f>
        <v/>
      </c>
      <c r="P1977" s="4">
        <f>IFERROR(MATCH(1972,상세표[연속순번],0),"")</f>
        <v/>
      </c>
    </row>
    <row r="1978">
      <c r="A1978">
        <f>IF($P1978="","",INDEX(상세표[사번],$P1978)&amp;"")</f>
        <v/>
      </c>
      <c r="B1978">
        <f>IF($P1978="","",INDEX(상세표[성명],$P1978)&amp;"")</f>
        <v/>
      </c>
      <c r="C1978">
        <f>IF($P1978="","",INDEX(상세표[부서],$P1978)&amp;"")</f>
        <v/>
      </c>
      <c r="D1978">
        <f>IF($P1978="","",INDEX(상세표[직위],$P1978)&amp;"")</f>
        <v/>
      </c>
      <c r="E1978">
        <f>IF($P1978="","",IF(ISNUMBER(INDEX(상세표[시작],$P1978)),TEXT(INDEX(상세표[시작],$P1978),"yyyy-mm-dd hh:mm"),INDEX(상세표[시작],$P1978)&amp;""))</f>
        <v/>
      </c>
      <c r="F1978">
        <f>IF($P1978="","",IF(ISNUMBER(INDEX(상세표[블록종료],$P1978)),TEXT(INDEX(상세표[블록종료],$P1978),"yyyy-mm-dd hh:mm"),INDEX(상세표[블록종료],$P1978)&amp;""))</f>
        <v/>
      </c>
      <c r="G1978">
        <f>IF($P1978="","",CHOOSE(WEEKDAY(INDEX(상세표[시작],$P1978)),"일","월","화","수","목","금","토"))</f>
        <v/>
      </c>
      <c r="H1978">
        <f>IF($P1978="","",INDEX(상세표[연속 시간],$P1978))</f>
        <v/>
      </c>
      <c r="I1978">
        <f>IF($P1978="","",INDEX(상세표[기록 수],$P1978))</f>
        <v/>
      </c>
      <c r="J1978">
        <f>IF($P1978="","",INDEX(상세표[블록 06~07시],$P1978))</f>
        <v/>
      </c>
      <c r="K1978">
        <f>IF($P1978="","",INDEX(상세표[블록 07~18시],$P1978))</f>
        <v/>
      </c>
      <c r="L1978">
        <f>IF($P1978="","",INDEX(상세표[블록 18~22시],$P1978))</f>
        <v/>
      </c>
      <c r="M1978">
        <f>IF($P1978="","",INDEX(상세표[블록 22~06시],$P1978))</f>
        <v/>
      </c>
      <c r="N1978">
        <f>IF($P1978="","",INDEX(상세표[주말·휴일 포함],$P1978)&amp;"")</f>
        <v/>
      </c>
      <c r="O1978">
        <f>IF($P1978="","",INDEX(상세표[월 넘김 포함],$P1978)&amp;"")</f>
        <v/>
      </c>
      <c r="P1978" s="4">
        <f>IFERROR(MATCH(1973,상세표[연속순번],0),"")</f>
        <v/>
      </c>
    </row>
    <row r="1979">
      <c r="A1979">
        <f>IF($P1979="","",INDEX(상세표[사번],$P1979)&amp;"")</f>
        <v/>
      </c>
      <c r="B1979">
        <f>IF($P1979="","",INDEX(상세표[성명],$P1979)&amp;"")</f>
        <v/>
      </c>
      <c r="C1979">
        <f>IF($P1979="","",INDEX(상세표[부서],$P1979)&amp;"")</f>
        <v/>
      </c>
      <c r="D1979">
        <f>IF($P1979="","",INDEX(상세표[직위],$P1979)&amp;"")</f>
        <v/>
      </c>
      <c r="E1979">
        <f>IF($P1979="","",IF(ISNUMBER(INDEX(상세표[시작],$P1979)),TEXT(INDEX(상세표[시작],$P1979),"yyyy-mm-dd hh:mm"),INDEX(상세표[시작],$P1979)&amp;""))</f>
        <v/>
      </c>
      <c r="F1979">
        <f>IF($P1979="","",IF(ISNUMBER(INDEX(상세표[블록종료],$P1979)),TEXT(INDEX(상세표[블록종료],$P1979),"yyyy-mm-dd hh:mm"),INDEX(상세표[블록종료],$P1979)&amp;""))</f>
        <v/>
      </c>
      <c r="G1979">
        <f>IF($P1979="","",CHOOSE(WEEKDAY(INDEX(상세표[시작],$P1979)),"일","월","화","수","목","금","토"))</f>
        <v/>
      </c>
      <c r="H1979">
        <f>IF($P1979="","",INDEX(상세표[연속 시간],$P1979))</f>
        <v/>
      </c>
      <c r="I1979">
        <f>IF($P1979="","",INDEX(상세표[기록 수],$P1979))</f>
        <v/>
      </c>
      <c r="J1979">
        <f>IF($P1979="","",INDEX(상세표[블록 06~07시],$P1979))</f>
        <v/>
      </c>
      <c r="K1979">
        <f>IF($P1979="","",INDEX(상세표[블록 07~18시],$P1979))</f>
        <v/>
      </c>
      <c r="L1979">
        <f>IF($P1979="","",INDEX(상세표[블록 18~22시],$P1979))</f>
        <v/>
      </c>
      <c r="M1979">
        <f>IF($P1979="","",INDEX(상세표[블록 22~06시],$P1979))</f>
        <v/>
      </c>
      <c r="N1979">
        <f>IF($P1979="","",INDEX(상세표[주말·휴일 포함],$P1979)&amp;"")</f>
        <v/>
      </c>
      <c r="O1979">
        <f>IF($P1979="","",INDEX(상세표[월 넘김 포함],$P1979)&amp;"")</f>
        <v/>
      </c>
      <c r="P1979" s="4">
        <f>IFERROR(MATCH(1974,상세표[연속순번],0),"")</f>
        <v/>
      </c>
    </row>
    <row r="1980">
      <c r="A1980">
        <f>IF($P1980="","",INDEX(상세표[사번],$P1980)&amp;"")</f>
        <v/>
      </c>
      <c r="B1980">
        <f>IF($P1980="","",INDEX(상세표[성명],$P1980)&amp;"")</f>
        <v/>
      </c>
      <c r="C1980">
        <f>IF($P1980="","",INDEX(상세표[부서],$P1980)&amp;"")</f>
        <v/>
      </c>
      <c r="D1980">
        <f>IF($P1980="","",INDEX(상세표[직위],$P1980)&amp;"")</f>
        <v/>
      </c>
      <c r="E1980">
        <f>IF($P1980="","",IF(ISNUMBER(INDEX(상세표[시작],$P1980)),TEXT(INDEX(상세표[시작],$P1980),"yyyy-mm-dd hh:mm"),INDEX(상세표[시작],$P1980)&amp;""))</f>
        <v/>
      </c>
      <c r="F1980">
        <f>IF($P1980="","",IF(ISNUMBER(INDEX(상세표[블록종료],$P1980)),TEXT(INDEX(상세표[블록종료],$P1980),"yyyy-mm-dd hh:mm"),INDEX(상세표[블록종료],$P1980)&amp;""))</f>
        <v/>
      </c>
      <c r="G1980">
        <f>IF($P1980="","",CHOOSE(WEEKDAY(INDEX(상세표[시작],$P1980)),"일","월","화","수","목","금","토"))</f>
        <v/>
      </c>
      <c r="H1980">
        <f>IF($P1980="","",INDEX(상세표[연속 시간],$P1980))</f>
        <v/>
      </c>
      <c r="I1980">
        <f>IF($P1980="","",INDEX(상세표[기록 수],$P1980))</f>
        <v/>
      </c>
      <c r="J1980">
        <f>IF($P1980="","",INDEX(상세표[블록 06~07시],$P1980))</f>
        <v/>
      </c>
      <c r="K1980">
        <f>IF($P1980="","",INDEX(상세표[블록 07~18시],$P1980))</f>
        <v/>
      </c>
      <c r="L1980">
        <f>IF($P1980="","",INDEX(상세표[블록 18~22시],$P1980))</f>
        <v/>
      </c>
      <c r="M1980">
        <f>IF($P1980="","",INDEX(상세표[블록 22~06시],$P1980))</f>
        <v/>
      </c>
      <c r="N1980">
        <f>IF($P1980="","",INDEX(상세표[주말·휴일 포함],$P1980)&amp;"")</f>
        <v/>
      </c>
      <c r="O1980">
        <f>IF($P1980="","",INDEX(상세표[월 넘김 포함],$P1980)&amp;"")</f>
        <v/>
      </c>
      <c r="P1980" s="4">
        <f>IFERROR(MATCH(1975,상세표[연속순번],0),"")</f>
        <v/>
      </c>
    </row>
    <row r="1981">
      <c r="A1981">
        <f>IF($P1981="","",INDEX(상세표[사번],$P1981)&amp;"")</f>
        <v/>
      </c>
      <c r="B1981">
        <f>IF($P1981="","",INDEX(상세표[성명],$P1981)&amp;"")</f>
        <v/>
      </c>
      <c r="C1981">
        <f>IF($P1981="","",INDEX(상세표[부서],$P1981)&amp;"")</f>
        <v/>
      </c>
      <c r="D1981">
        <f>IF($P1981="","",INDEX(상세표[직위],$P1981)&amp;"")</f>
        <v/>
      </c>
      <c r="E1981">
        <f>IF($P1981="","",IF(ISNUMBER(INDEX(상세표[시작],$P1981)),TEXT(INDEX(상세표[시작],$P1981),"yyyy-mm-dd hh:mm"),INDEX(상세표[시작],$P1981)&amp;""))</f>
        <v/>
      </c>
      <c r="F1981">
        <f>IF($P1981="","",IF(ISNUMBER(INDEX(상세표[블록종료],$P1981)),TEXT(INDEX(상세표[블록종료],$P1981),"yyyy-mm-dd hh:mm"),INDEX(상세표[블록종료],$P1981)&amp;""))</f>
        <v/>
      </c>
      <c r="G1981">
        <f>IF($P1981="","",CHOOSE(WEEKDAY(INDEX(상세표[시작],$P1981)),"일","월","화","수","목","금","토"))</f>
        <v/>
      </c>
      <c r="H1981">
        <f>IF($P1981="","",INDEX(상세표[연속 시간],$P1981))</f>
        <v/>
      </c>
      <c r="I1981">
        <f>IF($P1981="","",INDEX(상세표[기록 수],$P1981))</f>
        <v/>
      </c>
      <c r="J1981">
        <f>IF($P1981="","",INDEX(상세표[블록 06~07시],$P1981))</f>
        <v/>
      </c>
      <c r="K1981">
        <f>IF($P1981="","",INDEX(상세표[블록 07~18시],$P1981))</f>
        <v/>
      </c>
      <c r="L1981">
        <f>IF($P1981="","",INDEX(상세표[블록 18~22시],$P1981))</f>
        <v/>
      </c>
      <c r="M1981">
        <f>IF($P1981="","",INDEX(상세표[블록 22~06시],$P1981))</f>
        <v/>
      </c>
      <c r="N1981">
        <f>IF($P1981="","",INDEX(상세표[주말·휴일 포함],$P1981)&amp;"")</f>
        <v/>
      </c>
      <c r="O1981">
        <f>IF($P1981="","",INDEX(상세표[월 넘김 포함],$P1981)&amp;"")</f>
        <v/>
      </c>
      <c r="P1981" s="4">
        <f>IFERROR(MATCH(1976,상세표[연속순번],0),"")</f>
        <v/>
      </c>
    </row>
    <row r="1982">
      <c r="A1982">
        <f>IF($P1982="","",INDEX(상세표[사번],$P1982)&amp;"")</f>
        <v/>
      </c>
      <c r="B1982">
        <f>IF($P1982="","",INDEX(상세표[성명],$P1982)&amp;"")</f>
        <v/>
      </c>
      <c r="C1982">
        <f>IF($P1982="","",INDEX(상세표[부서],$P1982)&amp;"")</f>
        <v/>
      </c>
      <c r="D1982">
        <f>IF($P1982="","",INDEX(상세표[직위],$P1982)&amp;"")</f>
        <v/>
      </c>
      <c r="E1982">
        <f>IF($P1982="","",IF(ISNUMBER(INDEX(상세표[시작],$P1982)),TEXT(INDEX(상세표[시작],$P1982),"yyyy-mm-dd hh:mm"),INDEX(상세표[시작],$P1982)&amp;""))</f>
        <v/>
      </c>
      <c r="F1982">
        <f>IF($P1982="","",IF(ISNUMBER(INDEX(상세표[블록종료],$P1982)),TEXT(INDEX(상세표[블록종료],$P1982),"yyyy-mm-dd hh:mm"),INDEX(상세표[블록종료],$P1982)&amp;""))</f>
        <v/>
      </c>
      <c r="G1982">
        <f>IF($P1982="","",CHOOSE(WEEKDAY(INDEX(상세표[시작],$P1982)),"일","월","화","수","목","금","토"))</f>
        <v/>
      </c>
      <c r="H1982">
        <f>IF($P1982="","",INDEX(상세표[연속 시간],$P1982))</f>
        <v/>
      </c>
      <c r="I1982">
        <f>IF($P1982="","",INDEX(상세표[기록 수],$P1982))</f>
        <v/>
      </c>
      <c r="J1982">
        <f>IF($P1982="","",INDEX(상세표[블록 06~07시],$P1982))</f>
        <v/>
      </c>
      <c r="K1982">
        <f>IF($P1982="","",INDEX(상세표[블록 07~18시],$P1982))</f>
        <v/>
      </c>
      <c r="L1982">
        <f>IF($P1982="","",INDEX(상세표[블록 18~22시],$P1982))</f>
        <v/>
      </c>
      <c r="M1982">
        <f>IF($P1982="","",INDEX(상세표[블록 22~06시],$P1982))</f>
        <v/>
      </c>
      <c r="N1982">
        <f>IF($P1982="","",INDEX(상세표[주말·휴일 포함],$P1982)&amp;"")</f>
        <v/>
      </c>
      <c r="O1982">
        <f>IF($P1982="","",INDEX(상세표[월 넘김 포함],$P1982)&amp;"")</f>
        <v/>
      </c>
      <c r="P1982" s="4">
        <f>IFERROR(MATCH(1977,상세표[연속순번],0),"")</f>
        <v/>
      </c>
    </row>
    <row r="1983">
      <c r="A1983">
        <f>IF($P1983="","",INDEX(상세표[사번],$P1983)&amp;"")</f>
        <v/>
      </c>
      <c r="B1983">
        <f>IF($P1983="","",INDEX(상세표[성명],$P1983)&amp;"")</f>
        <v/>
      </c>
      <c r="C1983">
        <f>IF($P1983="","",INDEX(상세표[부서],$P1983)&amp;"")</f>
        <v/>
      </c>
      <c r="D1983">
        <f>IF($P1983="","",INDEX(상세표[직위],$P1983)&amp;"")</f>
        <v/>
      </c>
      <c r="E1983">
        <f>IF($P1983="","",IF(ISNUMBER(INDEX(상세표[시작],$P1983)),TEXT(INDEX(상세표[시작],$P1983),"yyyy-mm-dd hh:mm"),INDEX(상세표[시작],$P1983)&amp;""))</f>
        <v/>
      </c>
      <c r="F1983">
        <f>IF($P1983="","",IF(ISNUMBER(INDEX(상세표[블록종료],$P1983)),TEXT(INDEX(상세표[블록종료],$P1983),"yyyy-mm-dd hh:mm"),INDEX(상세표[블록종료],$P1983)&amp;""))</f>
        <v/>
      </c>
      <c r="G1983">
        <f>IF($P1983="","",CHOOSE(WEEKDAY(INDEX(상세표[시작],$P1983)),"일","월","화","수","목","금","토"))</f>
        <v/>
      </c>
      <c r="H1983">
        <f>IF($P1983="","",INDEX(상세표[연속 시간],$P1983))</f>
        <v/>
      </c>
      <c r="I1983">
        <f>IF($P1983="","",INDEX(상세표[기록 수],$P1983))</f>
        <v/>
      </c>
      <c r="J1983">
        <f>IF($P1983="","",INDEX(상세표[블록 06~07시],$P1983))</f>
        <v/>
      </c>
      <c r="K1983">
        <f>IF($P1983="","",INDEX(상세표[블록 07~18시],$P1983))</f>
        <v/>
      </c>
      <c r="L1983">
        <f>IF($P1983="","",INDEX(상세표[블록 18~22시],$P1983))</f>
        <v/>
      </c>
      <c r="M1983">
        <f>IF($P1983="","",INDEX(상세표[블록 22~06시],$P1983))</f>
        <v/>
      </c>
      <c r="N1983">
        <f>IF($P1983="","",INDEX(상세표[주말·휴일 포함],$P1983)&amp;"")</f>
        <v/>
      </c>
      <c r="O1983">
        <f>IF($P1983="","",INDEX(상세표[월 넘김 포함],$P1983)&amp;"")</f>
        <v/>
      </c>
      <c r="P1983" s="4">
        <f>IFERROR(MATCH(1978,상세표[연속순번],0),"")</f>
        <v/>
      </c>
    </row>
    <row r="1984">
      <c r="A1984">
        <f>IF($P1984="","",INDEX(상세표[사번],$P1984)&amp;"")</f>
        <v/>
      </c>
      <c r="B1984">
        <f>IF($P1984="","",INDEX(상세표[성명],$P1984)&amp;"")</f>
        <v/>
      </c>
      <c r="C1984">
        <f>IF($P1984="","",INDEX(상세표[부서],$P1984)&amp;"")</f>
        <v/>
      </c>
      <c r="D1984">
        <f>IF($P1984="","",INDEX(상세표[직위],$P1984)&amp;"")</f>
        <v/>
      </c>
      <c r="E1984">
        <f>IF($P1984="","",IF(ISNUMBER(INDEX(상세표[시작],$P1984)),TEXT(INDEX(상세표[시작],$P1984),"yyyy-mm-dd hh:mm"),INDEX(상세표[시작],$P1984)&amp;""))</f>
        <v/>
      </c>
      <c r="F1984">
        <f>IF($P1984="","",IF(ISNUMBER(INDEX(상세표[블록종료],$P1984)),TEXT(INDEX(상세표[블록종료],$P1984),"yyyy-mm-dd hh:mm"),INDEX(상세표[블록종료],$P1984)&amp;""))</f>
        <v/>
      </c>
      <c r="G1984">
        <f>IF($P1984="","",CHOOSE(WEEKDAY(INDEX(상세표[시작],$P1984)),"일","월","화","수","목","금","토"))</f>
        <v/>
      </c>
      <c r="H1984">
        <f>IF($P1984="","",INDEX(상세표[연속 시간],$P1984))</f>
        <v/>
      </c>
      <c r="I1984">
        <f>IF($P1984="","",INDEX(상세표[기록 수],$P1984))</f>
        <v/>
      </c>
      <c r="J1984">
        <f>IF($P1984="","",INDEX(상세표[블록 06~07시],$P1984))</f>
        <v/>
      </c>
      <c r="K1984">
        <f>IF($P1984="","",INDEX(상세표[블록 07~18시],$P1984))</f>
        <v/>
      </c>
      <c r="L1984">
        <f>IF($P1984="","",INDEX(상세표[블록 18~22시],$P1984))</f>
        <v/>
      </c>
      <c r="M1984">
        <f>IF($P1984="","",INDEX(상세표[블록 22~06시],$P1984))</f>
        <v/>
      </c>
      <c r="N1984">
        <f>IF($P1984="","",INDEX(상세표[주말·휴일 포함],$P1984)&amp;"")</f>
        <v/>
      </c>
      <c r="O1984">
        <f>IF($P1984="","",INDEX(상세표[월 넘김 포함],$P1984)&amp;"")</f>
        <v/>
      </c>
      <c r="P1984" s="4">
        <f>IFERROR(MATCH(1979,상세표[연속순번],0),"")</f>
        <v/>
      </c>
    </row>
    <row r="1985">
      <c r="A1985">
        <f>IF($P1985="","",INDEX(상세표[사번],$P1985)&amp;"")</f>
        <v/>
      </c>
      <c r="B1985">
        <f>IF($P1985="","",INDEX(상세표[성명],$P1985)&amp;"")</f>
        <v/>
      </c>
      <c r="C1985">
        <f>IF($P1985="","",INDEX(상세표[부서],$P1985)&amp;"")</f>
        <v/>
      </c>
      <c r="D1985">
        <f>IF($P1985="","",INDEX(상세표[직위],$P1985)&amp;"")</f>
        <v/>
      </c>
      <c r="E1985">
        <f>IF($P1985="","",IF(ISNUMBER(INDEX(상세표[시작],$P1985)),TEXT(INDEX(상세표[시작],$P1985),"yyyy-mm-dd hh:mm"),INDEX(상세표[시작],$P1985)&amp;""))</f>
        <v/>
      </c>
      <c r="F1985">
        <f>IF($P1985="","",IF(ISNUMBER(INDEX(상세표[블록종료],$P1985)),TEXT(INDEX(상세표[블록종료],$P1985),"yyyy-mm-dd hh:mm"),INDEX(상세표[블록종료],$P1985)&amp;""))</f>
        <v/>
      </c>
      <c r="G1985">
        <f>IF($P1985="","",CHOOSE(WEEKDAY(INDEX(상세표[시작],$P1985)),"일","월","화","수","목","금","토"))</f>
        <v/>
      </c>
      <c r="H1985">
        <f>IF($P1985="","",INDEX(상세표[연속 시간],$P1985))</f>
        <v/>
      </c>
      <c r="I1985">
        <f>IF($P1985="","",INDEX(상세표[기록 수],$P1985))</f>
        <v/>
      </c>
      <c r="J1985">
        <f>IF($P1985="","",INDEX(상세표[블록 06~07시],$P1985))</f>
        <v/>
      </c>
      <c r="K1985">
        <f>IF($P1985="","",INDEX(상세표[블록 07~18시],$P1985))</f>
        <v/>
      </c>
      <c r="L1985">
        <f>IF($P1985="","",INDEX(상세표[블록 18~22시],$P1985))</f>
        <v/>
      </c>
      <c r="M1985">
        <f>IF($P1985="","",INDEX(상세표[블록 22~06시],$P1985))</f>
        <v/>
      </c>
      <c r="N1985">
        <f>IF($P1985="","",INDEX(상세표[주말·휴일 포함],$P1985)&amp;"")</f>
        <v/>
      </c>
      <c r="O1985">
        <f>IF($P1985="","",INDEX(상세표[월 넘김 포함],$P1985)&amp;"")</f>
        <v/>
      </c>
      <c r="P1985" s="4">
        <f>IFERROR(MATCH(1980,상세표[연속순번],0),"")</f>
        <v/>
      </c>
    </row>
    <row r="1986">
      <c r="A1986">
        <f>IF($P1986="","",INDEX(상세표[사번],$P1986)&amp;"")</f>
        <v/>
      </c>
      <c r="B1986">
        <f>IF($P1986="","",INDEX(상세표[성명],$P1986)&amp;"")</f>
        <v/>
      </c>
      <c r="C1986">
        <f>IF($P1986="","",INDEX(상세표[부서],$P1986)&amp;"")</f>
        <v/>
      </c>
      <c r="D1986">
        <f>IF($P1986="","",INDEX(상세표[직위],$P1986)&amp;"")</f>
        <v/>
      </c>
      <c r="E1986">
        <f>IF($P1986="","",IF(ISNUMBER(INDEX(상세표[시작],$P1986)),TEXT(INDEX(상세표[시작],$P1986),"yyyy-mm-dd hh:mm"),INDEX(상세표[시작],$P1986)&amp;""))</f>
        <v/>
      </c>
      <c r="F1986">
        <f>IF($P1986="","",IF(ISNUMBER(INDEX(상세표[블록종료],$P1986)),TEXT(INDEX(상세표[블록종료],$P1986),"yyyy-mm-dd hh:mm"),INDEX(상세표[블록종료],$P1986)&amp;""))</f>
        <v/>
      </c>
      <c r="G1986">
        <f>IF($P1986="","",CHOOSE(WEEKDAY(INDEX(상세표[시작],$P1986)),"일","월","화","수","목","금","토"))</f>
        <v/>
      </c>
      <c r="H1986">
        <f>IF($P1986="","",INDEX(상세표[연속 시간],$P1986))</f>
        <v/>
      </c>
      <c r="I1986">
        <f>IF($P1986="","",INDEX(상세표[기록 수],$P1986))</f>
        <v/>
      </c>
      <c r="J1986">
        <f>IF($P1986="","",INDEX(상세표[블록 06~07시],$P1986))</f>
        <v/>
      </c>
      <c r="K1986">
        <f>IF($P1986="","",INDEX(상세표[블록 07~18시],$P1986))</f>
        <v/>
      </c>
      <c r="L1986">
        <f>IF($P1986="","",INDEX(상세표[블록 18~22시],$P1986))</f>
        <v/>
      </c>
      <c r="M1986">
        <f>IF($P1986="","",INDEX(상세표[블록 22~06시],$P1986))</f>
        <v/>
      </c>
      <c r="N1986">
        <f>IF($P1986="","",INDEX(상세표[주말·휴일 포함],$P1986)&amp;"")</f>
        <v/>
      </c>
      <c r="O1986">
        <f>IF($P1986="","",INDEX(상세표[월 넘김 포함],$P1986)&amp;"")</f>
        <v/>
      </c>
      <c r="P1986" s="4">
        <f>IFERROR(MATCH(1981,상세표[연속순번],0),"")</f>
        <v/>
      </c>
    </row>
    <row r="1987">
      <c r="A1987">
        <f>IF($P1987="","",INDEX(상세표[사번],$P1987)&amp;"")</f>
        <v/>
      </c>
      <c r="B1987">
        <f>IF($P1987="","",INDEX(상세표[성명],$P1987)&amp;"")</f>
        <v/>
      </c>
      <c r="C1987">
        <f>IF($P1987="","",INDEX(상세표[부서],$P1987)&amp;"")</f>
        <v/>
      </c>
      <c r="D1987">
        <f>IF($P1987="","",INDEX(상세표[직위],$P1987)&amp;"")</f>
        <v/>
      </c>
      <c r="E1987">
        <f>IF($P1987="","",IF(ISNUMBER(INDEX(상세표[시작],$P1987)),TEXT(INDEX(상세표[시작],$P1987),"yyyy-mm-dd hh:mm"),INDEX(상세표[시작],$P1987)&amp;""))</f>
        <v/>
      </c>
      <c r="F1987">
        <f>IF($P1987="","",IF(ISNUMBER(INDEX(상세표[블록종료],$P1987)),TEXT(INDEX(상세표[블록종료],$P1987),"yyyy-mm-dd hh:mm"),INDEX(상세표[블록종료],$P1987)&amp;""))</f>
        <v/>
      </c>
      <c r="G1987">
        <f>IF($P1987="","",CHOOSE(WEEKDAY(INDEX(상세표[시작],$P1987)),"일","월","화","수","목","금","토"))</f>
        <v/>
      </c>
      <c r="H1987">
        <f>IF($P1987="","",INDEX(상세표[연속 시간],$P1987))</f>
        <v/>
      </c>
      <c r="I1987">
        <f>IF($P1987="","",INDEX(상세표[기록 수],$P1987))</f>
        <v/>
      </c>
      <c r="J1987">
        <f>IF($P1987="","",INDEX(상세표[블록 06~07시],$P1987))</f>
        <v/>
      </c>
      <c r="K1987">
        <f>IF($P1987="","",INDEX(상세표[블록 07~18시],$P1987))</f>
        <v/>
      </c>
      <c r="L1987">
        <f>IF($P1987="","",INDEX(상세표[블록 18~22시],$P1987))</f>
        <v/>
      </c>
      <c r="M1987">
        <f>IF($P1987="","",INDEX(상세표[블록 22~06시],$P1987))</f>
        <v/>
      </c>
      <c r="N1987">
        <f>IF($P1987="","",INDEX(상세표[주말·휴일 포함],$P1987)&amp;"")</f>
        <v/>
      </c>
      <c r="O1987">
        <f>IF($P1987="","",INDEX(상세표[월 넘김 포함],$P1987)&amp;"")</f>
        <v/>
      </c>
      <c r="P1987" s="4">
        <f>IFERROR(MATCH(1982,상세표[연속순번],0),"")</f>
        <v/>
      </c>
    </row>
    <row r="1988">
      <c r="A1988">
        <f>IF($P1988="","",INDEX(상세표[사번],$P1988)&amp;"")</f>
        <v/>
      </c>
      <c r="B1988">
        <f>IF($P1988="","",INDEX(상세표[성명],$P1988)&amp;"")</f>
        <v/>
      </c>
      <c r="C1988">
        <f>IF($P1988="","",INDEX(상세표[부서],$P1988)&amp;"")</f>
        <v/>
      </c>
      <c r="D1988">
        <f>IF($P1988="","",INDEX(상세표[직위],$P1988)&amp;"")</f>
        <v/>
      </c>
      <c r="E1988">
        <f>IF($P1988="","",IF(ISNUMBER(INDEX(상세표[시작],$P1988)),TEXT(INDEX(상세표[시작],$P1988),"yyyy-mm-dd hh:mm"),INDEX(상세표[시작],$P1988)&amp;""))</f>
        <v/>
      </c>
      <c r="F1988">
        <f>IF($P1988="","",IF(ISNUMBER(INDEX(상세표[블록종료],$P1988)),TEXT(INDEX(상세표[블록종료],$P1988),"yyyy-mm-dd hh:mm"),INDEX(상세표[블록종료],$P1988)&amp;""))</f>
        <v/>
      </c>
      <c r="G1988">
        <f>IF($P1988="","",CHOOSE(WEEKDAY(INDEX(상세표[시작],$P1988)),"일","월","화","수","목","금","토"))</f>
        <v/>
      </c>
      <c r="H1988">
        <f>IF($P1988="","",INDEX(상세표[연속 시간],$P1988))</f>
        <v/>
      </c>
      <c r="I1988">
        <f>IF($P1988="","",INDEX(상세표[기록 수],$P1988))</f>
        <v/>
      </c>
      <c r="J1988">
        <f>IF($P1988="","",INDEX(상세표[블록 06~07시],$P1988))</f>
        <v/>
      </c>
      <c r="K1988">
        <f>IF($P1988="","",INDEX(상세표[블록 07~18시],$P1988))</f>
        <v/>
      </c>
      <c r="L1988">
        <f>IF($P1988="","",INDEX(상세표[블록 18~22시],$P1988))</f>
        <v/>
      </c>
      <c r="M1988">
        <f>IF($P1988="","",INDEX(상세표[블록 22~06시],$P1988))</f>
        <v/>
      </c>
      <c r="N1988">
        <f>IF($P1988="","",INDEX(상세표[주말·휴일 포함],$P1988)&amp;"")</f>
        <v/>
      </c>
      <c r="O1988">
        <f>IF($P1988="","",INDEX(상세표[월 넘김 포함],$P1988)&amp;"")</f>
        <v/>
      </c>
      <c r="P1988" s="4">
        <f>IFERROR(MATCH(1983,상세표[연속순번],0),"")</f>
        <v/>
      </c>
    </row>
    <row r="1989">
      <c r="A1989">
        <f>IF($P1989="","",INDEX(상세표[사번],$P1989)&amp;"")</f>
        <v/>
      </c>
      <c r="B1989">
        <f>IF($P1989="","",INDEX(상세표[성명],$P1989)&amp;"")</f>
        <v/>
      </c>
      <c r="C1989">
        <f>IF($P1989="","",INDEX(상세표[부서],$P1989)&amp;"")</f>
        <v/>
      </c>
      <c r="D1989">
        <f>IF($P1989="","",INDEX(상세표[직위],$P1989)&amp;"")</f>
        <v/>
      </c>
      <c r="E1989">
        <f>IF($P1989="","",IF(ISNUMBER(INDEX(상세표[시작],$P1989)),TEXT(INDEX(상세표[시작],$P1989),"yyyy-mm-dd hh:mm"),INDEX(상세표[시작],$P1989)&amp;""))</f>
        <v/>
      </c>
      <c r="F1989">
        <f>IF($P1989="","",IF(ISNUMBER(INDEX(상세표[블록종료],$P1989)),TEXT(INDEX(상세표[블록종료],$P1989),"yyyy-mm-dd hh:mm"),INDEX(상세표[블록종료],$P1989)&amp;""))</f>
        <v/>
      </c>
      <c r="G1989">
        <f>IF($P1989="","",CHOOSE(WEEKDAY(INDEX(상세표[시작],$P1989)),"일","월","화","수","목","금","토"))</f>
        <v/>
      </c>
      <c r="H1989">
        <f>IF($P1989="","",INDEX(상세표[연속 시간],$P1989))</f>
        <v/>
      </c>
      <c r="I1989">
        <f>IF($P1989="","",INDEX(상세표[기록 수],$P1989))</f>
        <v/>
      </c>
      <c r="J1989">
        <f>IF($P1989="","",INDEX(상세표[블록 06~07시],$P1989))</f>
        <v/>
      </c>
      <c r="K1989">
        <f>IF($P1989="","",INDEX(상세표[블록 07~18시],$P1989))</f>
        <v/>
      </c>
      <c r="L1989">
        <f>IF($P1989="","",INDEX(상세표[블록 18~22시],$P1989))</f>
        <v/>
      </c>
      <c r="M1989">
        <f>IF($P1989="","",INDEX(상세표[블록 22~06시],$P1989))</f>
        <v/>
      </c>
      <c r="N1989">
        <f>IF($P1989="","",INDEX(상세표[주말·휴일 포함],$P1989)&amp;"")</f>
        <v/>
      </c>
      <c r="O1989">
        <f>IF($P1989="","",INDEX(상세표[월 넘김 포함],$P1989)&amp;"")</f>
        <v/>
      </c>
      <c r="P1989" s="4">
        <f>IFERROR(MATCH(1984,상세표[연속순번],0),"")</f>
        <v/>
      </c>
    </row>
    <row r="1990">
      <c r="A1990">
        <f>IF($P1990="","",INDEX(상세표[사번],$P1990)&amp;"")</f>
        <v/>
      </c>
      <c r="B1990">
        <f>IF($P1990="","",INDEX(상세표[성명],$P1990)&amp;"")</f>
        <v/>
      </c>
      <c r="C1990">
        <f>IF($P1990="","",INDEX(상세표[부서],$P1990)&amp;"")</f>
        <v/>
      </c>
      <c r="D1990">
        <f>IF($P1990="","",INDEX(상세표[직위],$P1990)&amp;"")</f>
        <v/>
      </c>
      <c r="E1990">
        <f>IF($P1990="","",IF(ISNUMBER(INDEX(상세표[시작],$P1990)),TEXT(INDEX(상세표[시작],$P1990),"yyyy-mm-dd hh:mm"),INDEX(상세표[시작],$P1990)&amp;""))</f>
        <v/>
      </c>
      <c r="F1990">
        <f>IF($P1990="","",IF(ISNUMBER(INDEX(상세표[블록종료],$P1990)),TEXT(INDEX(상세표[블록종료],$P1990),"yyyy-mm-dd hh:mm"),INDEX(상세표[블록종료],$P1990)&amp;""))</f>
        <v/>
      </c>
      <c r="G1990">
        <f>IF($P1990="","",CHOOSE(WEEKDAY(INDEX(상세표[시작],$P1990)),"일","월","화","수","목","금","토"))</f>
        <v/>
      </c>
      <c r="H1990">
        <f>IF($P1990="","",INDEX(상세표[연속 시간],$P1990))</f>
        <v/>
      </c>
      <c r="I1990">
        <f>IF($P1990="","",INDEX(상세표[기록 수],$P1990))</f>
        <v/>
      </c>
      <c r="J1990">
        <f>IF($P1990="","",INDEX(상세표[블록 06~07시],$P1990))</f>
        <v/>
      </c>
      <c r="K1990">
        <f>IF($P1990="","",INDEX(상세표[블록 07~18시],$P1990))</f>
        <v/>
      </c>
      <c r="L1990">
        <f>IF($P1990="","",INDEX(상세표[블록 18~22시],$P1990))</f>
        <v/>
      </c>
      <c r="M1990">
        <f>IF($P1990="","",INDEX(상세표[블록 22~06시],$P1990))</f>
        <v/>
      </c>
      <c r="N1990">
        <f>IF($P1990="","",INDEX(상세표[주말·휴일 포함],$P1990)&amp;"")</f>
        <v/>
      </c>
      <c r="O1990">
        <f>IF($P1990="","",INDEX(상세표[월 넘김 포함],$P1990)&amp;"")</f>
        <v/>
      </c>
      <c r="P1990" s="4">
        <f>IFERROR(MATCH(1985,상세표[연속순번],0),"")</f>
        <v/>
      </c>
    </row>
    <row r="1991">
      <c r="A1991">
        <f>IF($P1991="","",INDEX(상세표[사번],$P1991)&amp;"")</f>
        <v/>
      </c>
      <c r="B1991">
        <f>IF($P1991="","",INDEX(상세표[성명],$P1991)&amp;"")</f>
        <v/>
      </c>
      <c r="C1991">
        <f>IF($P1991="","",INDEX(상세표[부서],$P1991)&amp;"")</f>
        <v/>
      </c>
      <c r="D1991">
        <f>IF($P1991="","",INDEX(상세표[직위],$P1991)&amp;"")</f>
        <v/>
      </c>
      <c r="E1991">
        <f>IF($P1991="","",IF(ISNUMBER(INDEX(상세표[시작],$P1991)),TEXT(INDEX(상세표[시작],$P1991),"yyyy-mm-dd hh:mm"),INDEX(상세표[시작],$P1991)&amp;""))</f>
        <v/>
      </c>
      <c r="F1991">
        <f>IF($P1991="","",IF(ISNUMBER(INDEX(상세표[블록종료],$P1991)),TEXT(INDEX(상세표[블록종료],$P1991),"yyyy-mm-dd hh:mm"),INDEX(상세표[블록종료],$P1991)&amp;""))</f>
        <v/>
      </c>
      <c r="G1991">
        <f>IF($P1991="","",CHOOSE(WEEKDAY(INDEX(상세표[시작],$P1991)),"일","월","화","수","목","금","토"))</f>
        <v/>
      </c>
      <c r="H1991">
        <f>IF($P1991="","",INDEX(상세표[연속 시간],$P1991))</f>
        <v/>
      </c>
      <c r="I1991">
        <f>IF($P1991="","",INDEX(상세표[기록 수],$P1991))</f>
        <v/>
      </c>
      <c r="J1991">
        <f>IF($P1991="","",INDEX(상세표[블록 06~07시],$P1991))</f>
        <v/>
      </c>
      <c r="K1991">
        <f>IF($P1991="","",INDEX(상세표[블록 07~18시],$P1991))</f>
        <v/>
      </c>
      <c r="L1991">
        <f>IF($P1991="","",INDEX(상세표[블록 18~22시],$P1991))</f>
        <v/>
      </c>
      <c r="M1991">
        <f>IF($P1991="","",INDEX(상세표[블록 22~06시],$P1991))</f>
        <v/>
      </c>
      <c r="N1991">
        <f>IF($P1991="","",INDEX(상세표[주말·휴일 포함],$P1991)&amp;"")</f>
        <v/>
      </c>
      <c r="O1991">
        <f>IF($P1991="","",INDEX(상세표[월 넘김 포함],$P1991)&amp;"")</f>
        <v/>
      </c>
      <c r="P1991" s="4">
        <f>IFERROR(MATCH(1986,상세표[연속순번],0),"")</f>
        <v/>
      </c>
    </row>
    <row r="1992">
      <c r="A1992">
        <f>IF($P1992="","",INDEX(상세표[사번],$P1992)&amp;"")</f>
        <v/>
      </c>
      <c r="B1992">
        <f>IF($P1992="","",INDEX(상세표[성명],$P1992)&amp;"")</f>
        <v/>
      </c>
      <c r="C1992">
        <f>IF($P1992="","",INDEX(상세표[부서],$P1992)&amp;"")</f>
        <v/>
      </c>
      <c r="D1992">
        <f>IF($P1992="","",INDEX(상세표[직위],$P1992)&amp;"")</f>
        <v/>
      </c>
      <c r="E1992">
        <f>IF($P1992="","",IF(ISNUMBER(INDEX(상세표[시작],$P1992)),TEXT(INDEX(상세표[시작],$P1992),"yyyy-mm-dd hh:mm"),INDEX(상세표[시작],$P1992)&amp;""))</f>
        <v/>
      </c>
      <c r="F1992">
        <f>IF($P1992="","",IF(ISNUMBER(INDEX(상세표[블록종료],$P1992)),TEXT(INDEX(상세표[블록종료],$P1992),"yyyy-mm-dd hh:mm"),INDEX(상세표[블록종료],$P1992)&amp;""))</f>
        <v/>
      </c>
      <c r="G1992">
        <f>IF($P1992="","",CHOOSE(WEEKDAY(INDEX(상세표[시작],$P1992)),"일","월","화","수","목","금","토"))</f>
        <v/>
      </c>
      <c r="H1992">
        <f>IF($P1992="","",INDEX(상세표[연속 시간],$P1992))</f>
        <v/>
      </c>
      <c r="I1992">
        <f>IF($P1992="","",INDEX(상세표[기록 수],$P1992))</f>
        <v/>
      </c>
      <c r="J1992">
        <f>IF($P1992="","",INDEX(상세표[블록 06~07시],$P1992))</f>
        <v/>
      </c>
      <c r="K1992">
        <f>IF($P1992="","",INDEX(상세표[블록 07~18시],$P1992))</f>
        <v/>
      </c>
      <c r="L1992">
        <f>IF($P1992="","",INDEX(상세표[블록 18~22시],$P1992))</f>
        <v/>
      </c>
      <c r="M1992">
        <f>IF($P1992="","",INDEX(상세표[블록 22~06시],$P1992))</f>
        <v/>
      </c>
      <c r="N1992">
        <f>IF($P1992="","",INDEX(상세표[주말·휴일 포함],$P1992)&amp;"")</f>
        <v/>
      </c>
      <c r="O1992">
        <f>IF($P1992="","",INDEX(상세표[월 넘김 포함],$P1992)&amp;"")</f>
        <v/>
      </c>
      <c r="P1992" s="4">
        <f>IFERROR(MATCH(1987,상세표[연속순번],0),"")</f>
        <v/>
      </c>
    </row>
    <row r="1993">
      <c r="A1993">
        <f>IF($P1993="","",INDEX(상세표[사번],$P1993)&amp;"")</f>
        <v/>
      </c>
      <c r="B1993">
        <f>IF($P1993="","",INDEX(상세표[성명],$P1993)&amp;"")</f>
        <v/>
      </c>
      <c r="C1993">
        <f>IF($P1993="","",INDEX(상세표[부서],$P1993)&amp;"")</f>
        <v/>
      </c>
      <c r="D1993">
        <f>IF($P1993="","",INDEX(상세표[직위],$P1993)&amp;"")</f>
        <v/>
      </c>
      <c r="E1993">
        <f>IF($P1993="","",IF(ISNUMBER(INDEX(상세표[시작],$P1993)),TEXT(INDEX(상세표[시작],$P1993),"yyyy-mm-dd hh:mm"),INDEX(상세표[시작],$P1993)&amp;""))</f>
        <v/>
      </c>
      <c r="F1993">
        <f>IF($P1993="","",IF(ISNUMBER(INDEX(상세표[블록종료],$P1993)),TEXT(INDEX(상세표[블록종료],$P1993),"yyyy-mm-dd hh:mm"),INDEX(상세표[블록종료],$P1993)&amp;""))</f>
        <v/>
      </c>
      <c r="G1993">
        <f>IF($P1993="","",CHOOSE(WEEKDAY(INDEX(상세표[시작],$P1993)),"일","월","화","수","목","금","토"))</f>
        <v/>
      </c>
      <c r="H1993">
        <f>IF($P1993="","",INDEX(상세표[연속 시간],$P1993))</f>
        <v/>
      </c>
      <c r="I1993">
        <f>IF($P1993="","",INDEX(상세표[기록 수],$P1993))</f>
        <v/>
      </c>
      <c r="J1993">
        <f>IF($P1993="","",INDEX(상세표[블록 06~07시],$P1993))</f>
        <v/>
      </c>
      <c r="K1993">
        <f>IF($P1993="","",INDEX(상세표[블록 07~18시],$P1993))</f>
        <v/>
      </c>
      <c r="L1993">
        <f>IF($P1993="","",INDEX(상세표[블록 18~22시],$P1993))</f>
        <v/>
      </c>
      <c r="M1993">
        <f>IF($P1993="","",INDEX(상세표[블록 22~06시],$P1993))</f>
        <v/>
      </c>
      <c r="N1993">
        <f>IF($P1993="","",INDEX(상세표[주말·휴일 포함],$P1993)&amp;"")</f>
        <v/>
      </c>
      <c r="O1993">
        <f>IF($P1993="","",INDEX(상세표[월 넘김 포함],$P1993)&amp;"")</f>
        <v/>
      </c>
      <c r="P1993" s="4">
        <f>IFERROR(MATCH(1988,상세표[연속순번],0),"")</f>
        <v/>
      </c>
    </row>
    <row r="1994">
      <c r="A1994">
        <f>IF($P1994="","",INDEX(상세표[사번],$P1994)&amp;"")</f>
        <v/>
      </c>
      <c r="B1994">
        <f>IF($P1994="","",INDEX(상세표[성명],$P1994)&amp;"")</f>
        <v/>
      </c>
      <c r="C1994">
        <f>IF($P1994="","",INDEX(상세표[부서],$P1994)&amp;"")</f>
        <v/>
      </c>
      <c r="D1994">
        <f>IF($P1994="","",INDEX(상세표[직위],$P1994)&amp;"")</f>
        <v/>
      </c>
      <c r="E1994">
        <f>IF($P1994="","",IF(ISNUMBER(INDEX(상세표[시작],$P1994)),TEXT(INDEX(상세표[시작],$P1994),"yyyy-mm-dd hh:mm"),INDEX(상세표[시작],$P1994)&amp;""))</f>
        <v/>
      </c>
      <c r="F1994">
        <f>IF($P1994="","",IF(ISNUMBER(INDEX(상세표[블록종료],$P1994)),TEXT(INDEX(상세표[블록종료],$P1994),"yyyy-mm-dd hh:mm"),INDEX(상세표[블록종료],$P1994)&amp;""))</f>
        <v/>
      </c>
      <c r="G1994">
        <f>IF($P1994="","",CHOOSE(WEEKDAY(INDEX(상세표[시작],$P1994)),"일","월","화","수","목","금","토"))</f>
        <v/>
      </c>
      <c r="H1994">
        <f>IF($P1994="","",INDEX(상세표[연속 시간],$P1994))</f>
        <v/>
      </c>
      <c r="I1994">
        <f>IF($P1994="","",INDEX(상세표[기록 수],$P1994))</f>
        <v/>
      </c>
      <c r="J1994">
        <f>IF($P1994="","",INDEX(상세표[블록 06~07시],$P1994))</f>
        <v/>
      </c>
      <c r="K1994">
        <f>IF($P1994="","",INDEX(상세표[블록 07~18시],$P1994))</f>
        <v/>
      </c>
      <c r="L1994">
        <f>IF($P1994="","",INDEX(상세표[블록 18~22시],$P1994))</f>
        <v/>
      </c>
      <c r="M1994">
        <f>IF($P1994="","",INDEX(상세표[블록 22~06시],$P1994))</f>
        <v/>
      </c>
      <c r="N1994">
        <f>IF($P1994="","",INDEX(상세표[주말·휴일 포함],$P1994)&amp;"")</f>
        <v/>
      </c>
      <c r="O1994">
        <f>IF($P1994="","",INDEX(상세표[월 넘김 포함],$P1994)&amp;"")</f>
        <v/>
      </c>
      <c r="P1994" s="4">
        <f>IFERROR(MATCH(1989,상세표[연속순번],0),"")</f>
        <v/>
      </c>
    </row>
    <row r="1995">
      <c r="A1995">
        <f>IF($P1995="","",INDEX(상세표[사번],$P1995)&amp;"")</f>
        <v/>
      </c>
      <c r="B1995">
        <f>IF($P1995="","",INDEX(상세표[성명],$P1995)&amp;"")</f>
        <v/>
      </c>
      <c r="C1995">
        <f>IF($P1995="","",INDEX(상세표[부서],$P1995)&amp;"")</f>
        <v/>
      </c>
      <c r="D1995">
        <f>IF($P1995="","",INDEX(상세표[직위],$P1995)&amp;"")</f>
        <v/>
      </c>
      <c r="E1995">
        <f>IF($P1995="","",IF(ISNUMBER(INDEX(상세표[시작],$P1995)),TEXT(INDEX(상세표[시작],$P1995),"yyyy-mm-dd hh:mm"),INDEX(상세표[시작],$P1995)&amp;""))</f>
        <v/>
      </c>
      <c r="F1995">
        <f>IF($P1995="","",IF(ISNUMBER(INDEX(상세표[블록종료],$P1995)),TEXT(INDEX(상세표[블록종료],$P1995),"yyyy-mm-dd hh:mm"),INDEX(상세표[블록종료],$P1995)&amp;""))</f>
        <v/>
      </c>
      <c r="G1995">
        <f>IF($P1995="","",CHOOSE(WEEKDAY(INDEX(상세표[시작],$P1995)),"일","월","화","수","목","금","토"))</f>
        <v/>
      </c>
      <c r="H1995">
        <f>IF($P1995="","",INDEX(상세표[연속 시간],$P1995))</f>
        <v/>
      </c>
      <c r="I1995">
        <f>IF($P1995="","",INDEX(상세표[기록 수],$P1995))</f>
        <v/>
      </c>
      <c r="J1995">
        <f>IF($P1995="","",INDEX(상세표[블록 06~07시],$P1995))</f>
        <v/>
      </c>
      <c r="K1995">
        <f>IF($P1995="","",INDEX(상세표[블록 07~18시],$P1995))</f>
        <v/>
      </c>
      <c r="L1995">
        <f>IF($P1995="","",INDEX(상세표[블록 18~22시],$P1995))</f>
        <v/>
      </c>
      <c r="M1995">
        <f>IF($P1995="","",INDEX(상세표[블록 22~06시],$P1995))</f>
        <v/>
      </c>
      <c r="N1995">
        <f>IF($P1995="","",INDEX(상세표[주말·휴일 포함],$P1995)&amp;"")</f>
        <v/>
      </c>
      <c r="O1995">
        <f>IF($P1995="","",INDEX(상세표[월 넘김 포함],$P1995)&amp;"")</f>
        <v/>
      </c>
      <c r="P1995" s="4">
        <f>IFERROR(MATCH(1990,상세표[연속순번],0),"")</f>
        <v/>
      </c>
    </row>
    <row r="1996">
      <c r="A1996">
        <f>IF($P1996="","",INDEX(상세표[사번],$P1996)&amp;"")</f>
        <v/>
      </c>
      <c r="B1996">
        <f>IF($P1996="","",INDEX(상세표[성명],$P1996)&amp;"")</f>
        <v/>
      </c>
      <c r="C1996">
        <f>IF($P1996="","",INDEX(상세표[부서],$P1996)&amp;"")</f>
        <v/>
      </c>
      <c r="D1996">
        <f>IF($P1996="","",INDEX(상세표[직위],$P1996)&amp;"")</f>
        <v/>
      </c>
      <c r="E1996">
        <f>IF($P1996="","",IF(ISNUMBER(INDEX(상세표[시작],$P1996)),TEXT(INDEX(상세표[시작],$P1996),"yyyy-mm-dd hh:mm"),INDEX(상세표[시작],$P1996)&amp;""))</f>
        <v/>
      </c>
      <c r="F1996">
        <f>IF($P1996="","",IF(ISNUMBER(INDEX(상세표[블록종료],$P1996)),TEXT(INDEX(상세표[블록종료],$P1996),"yyyy-mm-dd hh:mm"),INDEX(상세표[블록종료],$P1996)&amp;""))</f>
        <v/>
      </c>
      <c r="G1996">
        <f>IF($P1996="","",CHOOSE(WEEKDAY(INDEX(상세표[시작],$P1996)),"일","월","화","수","목","금","토"))</f>
        <v/>
      </c>
      <c r="H1996">
        <f>IF($P1996="","",INDEX(상세표[연속 시간],$P1996))</f>
        <v/>
      </c>
      <c r="I1996">
        <f>IF($P1996="","",INDEX(상세표[기록 수],$P1996))</f>
        <v/>
      </c>
      <c r="J1996">
        <f>IF($P1996="","",INDEX(상세표[블록 06~07시],$P1996))</f>
        <v/>
      </c>
      <c r="K1996">
        <f>IF($P1996="","",INDEX(상세표[블록 07~18시],$P1996))</f>
        <v/>
      </c>
      <c r="L1996">
        <f>IF($P1996="","",INDEX(상세표[블록 18~22시],$P1996))</f>
        <v/>
      </c>
      <c r="M1996">
        <f>IF($P1996="","",INDEX(상세표[블록 22~06시],$P1996))</f>
        <v/>
      </c>
      <c r="N1996">
        <f>IF($P1996="","",INDEX(상세표[주말·휴일 포함],$P1996)&amp;"")</f>
        <v/>
      </c>
      <c r="O1996">
        <f>IF($P1996="","",INDEX(상세표[월 넘김 포함],$P1996)&amp;"")</f>
        <v/>
      </c>
      <c r="P1996" s="4">
        <f>IFERROR(MATCH(1991,상세표[연속순번],0),"")</f>
        <v/>
      </c>
    </row>
    <row r="1997">
      <c r="A1997">
        <f>IF($P1997="","",INDEX(상세표[사번],$P1997)&amp;"")</f>
        <v/>
      </c>
      <c r="B1997">
        <f>IF($P1997="","",INDEX(상세표[성명],$P1997)&amp;"")</f>
        <v/>
      </c>
      <c r="C1997">
        <f>IF($P1997="","",INDEX(상세표[부서],$P1997)&amp;"")</f>
        <v/>
      </c>
      <c r="D1997">
        <f>IF($P1997="","",INDEX(상세표[직위],$P1997)&amp;"")</f>
        <v/>
      </c>
      <c r="E1997">
        <f>IF($P1997="","",IF(ISNUMBER(INDEX(상세표[시작],$P1997)),TEXT(INDEX(상세표[시작],$P1997),"yyyy-mm-dd hh:mm"),INDEX(상세표[시작],$P1997)&amp;""))</f>
        <v/>
      </c>
      <c r="F1997">
        <f>IF($P1997="","",IF(ISNUMBER(INDEX(상세표[블록종료],$P1997)),TEXT(INDEX(상세표[블록종료],$P1997),"yyyy-mm-dd hh:mm"),INDEX(상세표[블록종료],$P1997)&amp;""))</f>
        <v/>
      </c>
      <c r="G1997">
        <f>IF($P1997="","",CHOOSE(WEEKDAY(INDEX(상세표[시작],$P1997)),"일","월","화","수","목","금","토"))</f>
        <v/>
      </c>
      <c r="H1997">
        <f>IF($P1997="","",INDEX(상세표[연속 시간],$P1997))</f>
        <v/>
      </c>
      <c r="I1997">
        <f>IF($P1997="","",INDEX(상세표[기록 수],$P1997))</f>
        <v/>
      </c>
      <c r="J1997">
        <f>IF($P1997="","",INDEX(상세표[블록 06~07시],$P1997))</f>
        <v/>
      </c>
      <c r="K1997">
        <f>IF($P1997="","",INDEX(상세표[블록 07~18시],$P1997))</f>
        <v/>
      </c>
      <c r="L1997">
        <f>IF($P1997="","",INDEX(상세표[블록 18~22시],$P1997))</f>
        <v/>
      </c>
      <c r="M1997">
        <f>IF($P1997="","",INDEX(상세표[블록 22~06시],$P1997))</f>
        <v/>
      </c>
      <c r="N1997">
        <f>IF($P1997="","",INDEX(상세표[주말·휴일 포함],$P1997)&amp;"")</f>
        <v/>
      </c>
      <c r="O1997">
        <f>IF($P1997="","",INDEX(상세표[월 넘김 포함],$P1997)&amp;"")</f>
        <v/>
      </c>
      <c r="P1997" s="4">
        <f>IFERROR(MATCH(1992,상세표[연속순번],0),"")</f>
        <v/>
      </c>
    </row>
    <row r="1998">
      <c r="A1998">
        <f>IF($P1998="","",INDEX(상세표[사번],$P1998)&amp;"")</f>
        <v/>
      </c>
      <c r="B1998">
        <f>IF($P1998="","",INDEX(상세표[성명],$P1998)&amp;"")</f>
        <v/>
      </c>
      <c r="C1998">
        <f>IF($P1998="","",INDEX(상세표[부서],$P1998)&amp;"")</f>
        <v/>
      </c>
      <c r="D1998">
        <f>IF($P1998="","",INDEX(상세표[직위],$P1998)&amp;"")</f>
        <v/>
      </c>
      <c r="E1998">
        <f>IF($P1998="","",IF(ISNUMBER(INDEX(상세표[시작],$P1998)),TEXT(INDEX(상세표[시작],$P1998),"yyyy-mm-dd hh:mm"),INDEX(상세표[시작],$P1998)&amp;""))</f>
        <v/>
      </c>
      <c r="F1998">
        <f>IF($P1998="","",IF(ISNUMBER(INDEX(상세표[블록종료],$P1998)),TEXT(INDEX(상세표[블록종료],$P1998),"yyyy-mm-dd hh:mm"),INDEX(상세표[블록종료],$P1998)&amp;""))</f>
        <v/>
      </c>
      <c r="G1998">
        <f>IF($P1998="","",CHOOSE(WEEKDAY(INDEX(상세표[시작],$P1998)),"일","월","화","수","목","금","토"))</f>
        <v/>
      </c>
      <c r="H1998">
        <f>IF($P1998="","",INDEX(상세표[연속 시간],$P1998))</f>
        <v/>
      </c>
      <c r="I1998">
        <f>IF($P1998="","",INDEX(상세표[기록 수],$P1998))</f>
        <v/>
      </c>
      <c r="J1998">
        <f>IF($P1998="","",INDEX(상세표[블록 06~07시],$P1998))</f>
        <v/>
      </c>
      <c r="K1998">
        <f>IF($P1998="","",INDEX(상세표[블록 07~18시],$P1998))</f>
        <v/>
      </c>
      <c r="L1998">
        <f>IF($P1998="","",INDEX(상세표[블록 18~22시],$P1998))</f>
        <v/>
      </c>
      <c r="M1998">
        <f>IF($P1998="","",INDEX(상세표[블록 22~06시],$P1998))</f>
        <v/>
      </c>
      <c r="N1998">
        <f>IF($P1998="","",INDEX(상세표[주말·휴일 포함],$P1998)&amp;"")</f>
        <v/>
      </c>
      <c r="O1998">
        <f>IF($P1998="","",INDEX(상세표[월 넘김 포함],$P1998)&amp;"")</f>
        <v/>
      </c>
      <c r="P1998" s="4">
        <f>IFERROR(MATCH(1993,상세표[연속순번],0),"")</f>
        <v/>
      </c>
    </row>
    <row r="1999">
      <c r="A1999">
        <f>IF($P1999="","",INDEX(상세표[사번],$P1999)&amp;"")</f>
        <v/>
      </c>
      <c r="B1999">
        <f>IF($P1999="","",INDEX(상세표[성명],$P1999)&amp;"")</f>
        <v/>
      </c>
      <c r="C1999">
        <f>IF($P1999="","",INDEX(상세표[부서],$P1999)&amp;"")</f>
        <v/>
      </c>
      <c r="D1999">
        <f>IF($P1999="","",INDEX(상세표[직위],$P1999)&amp;"")</f>
        <v/>
      </c>
      <c r="E1999">
        <f>IF($P1999="","",IF(ISNUMBER(INDEX(상세표[시작],$P1999)),TEXT(INDEX(상세표[시작],$P1999),"yyyy-mm-dd hh:mm"),INDEX(상세표[시작],$P1999)&amp;""))</f>
        <v/>
      </c>
      <c r="F1999">
        <f>IF($P1999="","",IF(ISNUMBER(INDEX(상세표[블록종료],$P1999)),TEXT(INDEX(상세표[블록종료],$P1999),"yyyy-mm-dd hh:mm"),INDEX(상세표[블록종료],$P1999)&amp;""))</f>
        <v/>
      </c>
      <c r="G1999">
        <f>IF($P1999="","",CHOOSE(WEEKDAY(INDEX(상세표[시작],$P1999)),"일","월","화","수","목","금","토"))</f>
        <v/>
      </c>
      <c r="H1999">
        <f>IF($P1999="","",INDEX(상세표[연속 시간],$P1999))</f>
        <v/>
      </c>
      <c r="I1999">
        <f>IF($P1999="","",INDEX(상세표[기록 수],$P1999))</f>
        <v/>
      </c>
      <c r="J1999">
        <f>IF($P1999="","",INDEX(상세표[블록 06~07시],$P1999))</f>
        <v/>
      </c>
      <c r="K1999">
        <f>IF($P1999="","",INDEX(상세표[블록 07~18시],$P1999))</f>
        <v/>
      </c>
      <c r="L1999">
        <f>IF($P1999="","",INDEX(상세표[블록 18~22시],$P1999))</f>
        <v/>
      </c>
      <c r="M1999">
        <f>IF($P1999="","",INDEX(상세표[블록 22~06시],$P1999))</f>
        <v/>
      </c>
      <c r="N1999">
        <f>IF($P1999="","",INDEX(상세표[주말·휴일 포함],$P1999)&amp;"")</f>
        <v/>
      </c>
      <c r="O1999">
        <f>IF($P1999="","",INDEX(상세표[월 넘김 포함],$P1999)&amp;"")</f>
        <v/>
      </c>
      <c r="P1999" s="4">
        <f>IFERROR(MATCH(1994,상세표[연속순번],0),"")</f>
        <v/>
      </c>
    </row>
    <row r="2000">
      <c r="A2000">
        <f>IF($P2000="","",INDEX(상세표[사번],$P2000)&amp;"")</f>
        <v/>
      </c>
      <c r="B2000">
        <f>IF($P2000="","",INDEX(상세표[성명],$P2000)&amp;"")</f>
        <v/>
      </c>
      <c r="C2000">
        <f>IF($P2000="","",INDEX(상세표[부서],$P2000)&amp;"")</f>
        <v/>
      </c>
      <c r="D2000">
        <f>IF($P2000="","",INDEX(상세표[직위],$P2000)&amp;"")</f>
        <v/>
      </c>
      <c r="E2000">
        <f>IF($P2000="","",IF(ISNUMBER(INDEX(상세표[시작],$P2000)),TEXT(INDEX(상세표[시작],$P2000),"yyyy-mm-dd hh:mm"),INDEX(상세표[시작],$P2000)&amp;""))</f>
        <v/>
      </c>
      <c r="F2000">
        <f>IF($P2000="","",IF(ISNUMBER(INDEX(상세표[블록종료],$P2000)),TEXT(INDEX(상세표[블록종료],$P2000),"yyyy-mm-dd hh:mm"),INDEX(상세표[블록종료],$P2000)&amp;""))</f>
        <v/>
      </c>
      <c r="G2000">
        <f>IF($P2000="","",CHOOSE(WEEKDAY(INDEX(상세표[시작],$P2000)),"일","월","화","수","목","금","토"))</f>
        <v/>
      </c>
      <c r="H2000">
        <f>IF($P2000="","",INDEX(상세표[연속 시간],$P2000))</f>
        <v/>
      </c>
      <c r="I2000">
        <f>IF($P2000="","",INDEX(상세표[기록 수],$P2000))</f>
        <v/>
      </c>
      <c r="J2000">
        <f>IF($P2000="","",INDEX(상세표[블록 06~07시],$P2000))</f>
        <v/>
      </c>
      <c r="K2000">
        <f>IF($P2000="","",INDEX(상세표[블록 07~18시],$P2000))</f>
        <v/>
      </c>
      <c r="L2000">
        <f>IF($P2000="","",INDEX(상세표[블록 18~22시],$P2000))</f>
        <v/>
      </c>
      <c r="M2000">
        <f>IF($P2000="","",INDEX(상세표[블록 22~06시],$P2000))</f>
        <v/>
      </c>
      <c r="N2000">
        <f>IF($P2000="","",INDEX(상세표[주말·휴일 포함],$P2000)&amp;"")</f>
        <v/>
      </c>
      <c r="O2000">
        <f>IF($P2000="","",INDEX(상세표[월 넘김 포함],$P2000)&amp;"")</f>
        <v/>
      </c>
      <c r="P2000" s="4">
        <f>IFERROR(MATCH(1995,상세표[연속순번],0),"")</f>
        <v/>
      </c>
    </row>
    <row r="2001">
      <c r="A2001">
        <f>IF($P2001="","",INDEX(상세표[사번],$P2001)&amp;"")</f>
        <v/>
      </c>
      <c r="B2001">
        <f>IF($P2001="","",INDEX(상세표[성명],$P2001)&amp;"")</f>
        <v/>
      </c>
      <c r="C2001">
        <f>IF($P2001="","",INDEX(상세표[부서],$P2001)&amp;"")</f>
        <v/>
      </c>
      <c r="D2001">
        <f>IF($P2001="","",INDEX(상세표[직위],$P2001)&amp;"")</f>
        <v/>
      </c>
      <c r="E2001">
        <f>IF($P2001="","",IF(ISNUMBER(INDEX(상세표[시작],$P2001)),TEXT(INDEX(상세표[시작],$P2001),"yyyy-mm-dd hh:mm"),INDEX(상세표[시작],$P2001)&amp;""))</f>
        <v/>
      </c>
      <c r="F2001">
        <f>IF($P2001="","",IF(ISNUMBER(INDEX(상세표[블록종료],$P2001)),TEXT(INDEX(상세표[블록종료],$P2001),"yyyy-mm-dd hh:mm"),INDEX(상세표[블록종료],$P2001)&amp;""))</f>
        <v/>
      </c>
      <c r="G2001">
        <f>IF($P2001="","",CHOOSE(WEEKDAY(INDEX(상세표[시작],$P2001)),"일","월","화","수","목","금","토"))</f>
        <v/>
      </c>
      <c r="H2001">
        <f>IF($P2001="","",INDEX(상세표[연속 시간],$P2001))</f>
        <v/>
      </c>
      <c r="I2001">
        <f>IF($P2001="","",INDEX(상세표[기록 수],$P2001))</f>
        <v/>
      </c>
      <c r="J2001">
        <f>IF($P2001="","",INDEX(상세표[블록 06~07시],$P2001))</f>
        <v/>
      </c>
      <c r="K2001">
        <f>IF($P2001="","",INDEX(상세표[블록 07~18시],$P2001))</f>
        <v/>
      </c>
      <c r="L2001">
        <f>IF($P2001="","",INDEX(상세표[블록 18~22시],$P2001))</f>
        <v/>
      </c>
      <c r="M2001">
        <f>IF($P2001="","",INDEX(상세표[블록 22~06시],$P2001))</f>
        <v/>
      </c>
      <c r="N2001">
        <f>IF($P2001="","",INDEX(상세표[주말·휴일 포함],$P2001)&amp;"")</f>
        <v/>
      </c>
      <c r="O2001">
        <f>IF($P2001="","",INDEX(상세표[월 넘김 포함],$P2001)&amp;"")</f>
        <v/>
      </c>
      <c r="P2001" s="4">
        <f>IFERROR(MATCH(1996,상세표[연속순번],0),"")</f>
        <v/>
      </c>
    </row>
    <row r="2002">
      <c r="A2002">
        <f>IF($P2002="","",INDEX(상세표[사번],$P2002)&amp;"")</f>
        <v/>
      </c>
      <c r="B2002">
        <f>IF($P2002="","",INDEX(상세표[성명],$P2002)&amp;"")</f>
        <v/>
      </c>
      <c r="C2002">
        <f>IF($P2002="","",INDEX(상세표[부서],$P2002)&amp;"")</f>
        <v/>
      </c>
      <c r="D2002">
        <f>IF($P2002="","",INDEX(상세표[직위],$P2002)&amp;"")</f>
        <v/>
      </c>
      <c r="E2002">
        <f>IF($P2002="","",IF(ISNUMBER(INDEX(상세표[시작],$P2002)),TEXT(INDEX(상세표[시작],$P2002),"yyyy-mm-dd hh:mm"),INDEX(상세표[시작],$P2002)&amp;""))</f>
        <v/>
      </c>
      <c r="F2002">
        <f>IF($P2002="","",IF(ISNUMBER(INDEX(상세표[블록종료],$P2002)),TEXT(INDEX(상세표[블록종료],$P2002),"yyyy-mm-dd hh:mm"),INDEX(상세표[블록종료],$P2002)&amp;""))</f>
        <v/>
      </c>
      <c r="G2002">
        <f>IF($P2002="","",CHOOSE(WEEKDAY(INDEX(상세표[시작],$P2002)),"일","월","화","수","목","금","토"))</f>
        <v/>
      </c>
      <c r="H2002">
        <f>IF($P2002="","",INDEX(상세표[연속 시간],$P2002))</f>
        <v/>
      </c>
      <c r="I2002">
        <f>IF($P2002="","",INDEX(상세표[기록 수],$P2002))</f>
        <v/>
      </c>
      <c r="J2002">
        <f>IF($P2002="","",INDEX(상세표[블록 06~07시],$P2002))</f>
        <v/>
      </c>
      <c r="K2002">
        <f>IF($P2002="","",INDEX(상세표[블록 07~18시],$P2002))</f>
        <v/>
      </c>
      <c r="L2002">
        <f>IF($P2002="","",INDEX(상세표[블록 18~22시],$P2002))</f>
        <v/>
      </c>
      <c r="M2002">
        <f>IF($P2002="","",INDEX(상세표[블록 22~06시],$P2002))</f>
        <v/>
      </c>
      <c r="N2002">
        <f>IF($P2002="","",INDEX(상세표[주말·휴일 포함],$P2002)&amp;"")</f>
        <v/>
      </c>
      <c r="O2002">
        <f>IF($P2002="","",INDEX(상세표[월 넘김 포함],$P2002)&amp;"")</f>
        <v/>
      </c>
      <c r="P2002" s="4">
        <f>IFERROR(MATCH(1997,상세표[연속순번],0),"")</f>
        <v/>
      </c>
    </row>
    <row r="2003">
      <c r="A2003">
        <f>IF($P2003="","",INDEX(상세표[사번],$P2003)&amp;"")</f>
        <v/>
      </c>
      <c r="B2003">
        <f>IF($P2003="","",INDEX(상세표[성명],$P2003)&amp;"")</f>
        <v/>
      </c>
      <c r="C2003">
        <f>IF($P2003="","",INDEX(상세표[부서],$P2003)&amp;"")</f>
        <v/>
      </c>
      <c r="D2003">
        <f>IF($P2003="","",INDEX(상세표[직위],$P2003)&amp;"")</f>
        <v/>
      </c>
      <c r="E2003">
        <f>IF($P2003="","",IF(ISNUMBER(INDEX(상세표[시작],$P2003)),TEXT(INDEX(상세표[시작],$P2003),"yyyy-mm-dd hh:mm"),INDEX(상세표[시작],$P2003)&amp;""))</f>
        <v/>
      </c>
      <c r="F2003">
        <f>IF($P2003="","",IF(ISNUMBER(INDEX(상세표[블록종료],$P2003)),TEXT(INDEX(상세표[블록종료],$P2003),"yyyy-mm-dd hh:mm"),INDEX(상세표[블록종료],$P2003)&amp;""))</f>
        <v/>
      </c>
      <c r="G2003">
        <f>IF($P2003="","",CHOOSE(WEEKDAY(INDEX(상세표[시작],$P2003)),"일","월","화","수","목","금","토"))</f>
        <v/>
      </c>
      <c r="H2003">
        <f>IF($P2003="","",INDEX(상세표[연속 시간],$P2003))</f>
        <v/>
      </c>
      <c r="I2003">
        <f>IF($P2003="","",INDEX(상세표[기록 수],$P2003))</f>
        <v/>
      </c>
      <c r="J2003">
        <f>IF($P2003="","",INDEX(상세표[블록 06~07시],$P2003))</f>
        <v/>
      </c>
      <c r="K2003">
        <f>IF($P2003="","",INDEX(상세표[블록 07~18시],$P2003))</f>
        <v/>
      </c>
      <c r="L2003">
        <f>IF($P2003="","",INDEX(상세표[블록 18~22시],$P2003))</f>
        <v/>
      </c>
      <c r="M2003">
        <f>IF($P2003="","",INDEX(상세표[블록 22~06시],$P2003))</f>
        <v/>
      </c>
      <c r="N2003">
        <f>IF($P2003="","",INDEX(상세표[주말·휴일 포함],$P2003)&amp;"")</f>
        <v/>
      </c>
      <c r="O2003">
        <f>IF($P2003="","",INDEX(상세표[월 넘김 포함],$P2003)&amp;"")</f>
        <v/>
      </c>
      <c r="P2003" s="4">
        <f>IFERROR(MATCH(1998,상세표[연속순번],0),"")</f>
        <v/>
      </c>
    </row>
    <row r="2004">
      <c r="A2004">
        <f>IF($P2004="","",INDEX(상세표[사번],$P2004)&amp;"")</f>
        <v/>
      </c>
      <c r="B2004">
        <f>IF($P2004="","",INDEX(상세표[성명],$P2004)&amp;"")</f>
        <v/>
      </c>
      <c r="C2004">
        <f>IF($P2004="","",INDEX(상세표[부서],$P2004)&amp;"")</f>
        <v/>
      </c>
      <c r="D2004">
        <f>IF($P2004="","",INDEX(상세표[직위],$P2004)&amp;"")</f>
        <v/>
      </c>
      <c r="E2004">
        <f>IF($P2004="","",IF(ISNUMBER(INDEX(상세표[시작],$P2004)),TEXT(INDEX(상세표[시작],$P2004),"yyyy-mm-dd hh:mm"),INDEX(상세표[시작],$P2004)&amp;""))</f>
        <v/>
      </c>
      <c r="F2004">
        <f>IF($P2004="","",IF(ISNUMBER(INDEX(상세표[블록종료],$P2004)),TEXT(INDEX(상세표[블록종료],$P2004),"yyyy-mm-dd hh:mm"),INDEX(상세표[블록종료],$P2004)&amp;""))</f>
        <v/>
      </c>
      <c r="G2004">
        <f>IF($P2004="","",CHOOSE(WEEKDAY(INDEX(상세표[시작],$P2004)),"일","월","화","수","목","금","토"))</f>
        <v/>
      </c>
      <c r="H2004">
        <f>IF($P2004="","",INDEX(상세표[연속 시간],$P2004))</f>
        <v/>
      </c>
      <c r="I2004">
        <f>IF($P2004="","",INDEX(상세표[기록 수],$P2004))</f>
        <v/>
      </c>
      <c r="J2004">
        <f>IF($P2004="","",INDEX(상세표[블록 06~07시],$P2004))</f>
        <v/>
      </c>
      <c r="K2004">
        <f>IF($P2004="","",INDEX(상세표[블록 07~18시],$P2004))</f>
        <v/>
      </c>
      <c r="L2004">
        <f>IF($P2004="","",INDEX(상세표[블록 18~22시],$P2004))</f>
        <v/>
      </c>
      <c r="M2004">
        <f>IF($P2004="","",INDEX(상세표[블록 22~06시],$P2004))</f>
        <v/>
      </c>
      <c r="N2004">
        <f>IF($P2004="","",INDEX(상세표[주말·휴일 포함],$P2004)&amp;"")</f>
        <v/>
      </c>
      <c r="O2004">
        <f>IF($P2004="","",INDEX(상세표[월 넘김 포함],$P2004)&amp;"")</f>
        <v/>
      </c>
      <c r="P2004" s="4">
        <f>IFERROR(MATCH(1999,상세표[연속순번],0),"")</f>
        <v/>
      </c>
    </row>
    <row r="2005">
      <c r="A2005">
        <f>IF($P2005="","",INDEX(상세표[사번],$P2005)&amp;"")</f>
        <v/>
      </c>
      <c r="B2005">
        <f>IF($P2005="","",INDEX(상세표[성명],$P2005)&amp;"")</f>
        <v/>
      </c>
      <c r="C2005">
        <f>IF($P2005="","",INDEX(상세표[부서],$P2005)&amp;"")</f>
        <v/>
      </c>
      <c r="D2005">
        <f>IF($P2005="","",INDEX(상세표[직위],$P2005)&amp;"")</f>
        <v/>
      </c>
      <c r="E2005">
        <f>IF($P2005="","",IF(ISNUMBER(INDEX(상세표[시작],$P2005)),TEXT(INDEX(상세표[시작],$P2005),"yyyy-mm-dd hh:mm"),INDEX(상세표[시작],$P2005)&amp;""))</f>
        <v/>
      </c>
      <c r="F2005">
        <f>IF($P2005="","",IF(ISNUMBER(INDEX(상세표[블록종료],$P2005)),TEXT(INDEX(상세표[블록종료],$P2005),"yyyy-mm-dd hh:mm"),INDEX(상세표[블록종료],$P2005)&amp;""))</f>
        <v/>
      </c>
      <c r="G2005">
        <f>IF($P2005="","",CHOOSE(WEEKDAY(INDEX(상세표[시작],$P2005)),"일","월","화","수","목","금","토"))</f>
        <v/>
      </c>
      <c r="H2005">
        <f>IF($P2005="","",INDEX(상세표[연속 시간],$P2005))</f>
        <v/>
      </c>
      <c r="I2005">
        <f>IF($P2005="","",INDEX(상세표[기록 수],$P2005))</f>
        <v/>
      </c>
      <c r="J2005">
        <f>IF($P2005="","",INDEX(상세표[블록 06~07시],$P2005))</f>
        <v/>
      </c>
      <c r="K2005">
        <f>IF($P2005="","",INDEX(상세표[블록 07~18시],$P2005))</f>
        <v/>
      </c>
      <c r="L2005">
        <f>IF($P2005="","",INDEX(상세표[블록 18~22시],$P2005))</f>
        <v/>
      </c>
      <c r="M2005">
        <f>IF($P2005="","",INDEX(상세표[블록 22~06시],$P2005))</f>
        <v/>
      </c>
      <c r="N2005">
        <f>IF($P2005="","",INDEX(상세표[주말·휴일 포함],$P2005)&amp;"")</f>
        <v/>
      </c>
      <c r="O2005">
        <f>IF($P2005="","",INDEX(상세표[월 넘김 포함],$P2005)&amp;"")</f>
        <v/>
      </c>
      <c r="P2005" s="4">
        <f>IFERROR(MATCH(2000,상세표[연속순번],0),"")</f>
        <v/>
      </c>
    </row>
    <row r="2006">
      <c r="A2006">
        <f>IF($P2006="","",INDEX(상세표[사번],$P2006)&amp;"")</f>
        <v/>
      </c>
      <c r="B2006">
        <f>IF($P2006="","",INDEX(상세표[성명],$P2006)&amp;"")</f>
        <v/>
      </c>
      <c r="C2006">
        <f>IF($P2006="","",INDEX(상세표[부서],$P2006)&amp;"")</f>
        <v/>
      </c>
      <c r="D2006">
        <f>IF($P2006="","",INDEX(상세표[직위],$P2006)&amp;"")</f>
        <v/>
      </c>
      <c r="E2006">
        <f>IF($P2006="","",IF(ISNUMBER(INDEX(상세표[시작],$P2006)),TEXT(INDEX(상세표[시작],$P2006),"yyyy-mm-dd hh:mm"),INDEX(상세표[시작],$P2006)&amp;""))</f>
        <v/>
      </c>
      <c r="F2006">
        <f>IF($P2006="","",IF(ISNUMBER(INDEX(상세표[블록종료],$P2006)),TEXT(INDEX(상세표[블록종료],$P2006),"yyyy-mm-dd hh:mm"),INDEX(상세표[블록종료],$P2006)&amp;""))</f>
        <v/>
      </c>
      <c r="G2006">
        <f>IF($P2006="","",CHOOSE(WEEKDAY(INDEX(상세표[시작],$P2006)),"일","월","화","수","목","금","토"))</f>
        <v/>
      </c>
      <c r="H2006">
        <f>IF($P2006="","",INDEX(상세표[연속 시간],$P2006))</f>
        <v/>
      </c>
      <c r="I2006">
        <f>IF($P2006="","",INDEX(상세표[기록 수],$P2006))</f>
        <v/>
      </c>
      <c r="J2006">
        <f>IF($P2006="","",INDEX(상세표[블록 06~07시],$P2006))</f>
        <v/>
      </c>
      <c r="K2006">
        <f>IF($P2006="","",INDEX(상세표[블록 07~18시],$P2006))</f>
        <v/>
      </c>
      <c r="L2006">
        <f>IF($P2006="","",INDEX(상세표[블록 18~22시],$P2006))</f>
        <v/>
      </c>
      <c r="M2006">
        <f>IF($P2006="","",INDEX(상세표[블록 22~06시],$P2006))</f>
        <v/>
      </c>
      <c r="N2006">
        <f>IF($P2006="","",INDEX(상세표[주말·휴일 포함],$P2006)&amp;"")</f>
        <v/>
      </c>
      <c r="O2006">
        <f>IF($P2006="","",INDEX(상세표[월 넘김 포함],$P2006)&amp;"")</f>
        <v/>
      </c>
      <c r="P2006" s="4">
        <f>IFERROR(MATCH(2001,상세표[연속순번],0),"")</f>
        <v/>
      </c>
    </row>
    <row r="2007">
      <c r="A2007">
        <f>IF($P2007="","",INDEX(상세표[사번],$P2007)&amp;"")</f>
        <v/>
      </c>
      <c r="B2007">
        <f>IF($P2007="","",INDEX(상세표[성명],$P2007)&amp;"")</f>
        <v/>
      </c>
      <c r="C2007">
        <f>IF($P2007="","",INDEX(상세표[부서],$P2007)&amp;"")</f>
        <v/>
      </c>
      <c r="D2007">
        <f>IF($P2007="","",INDEX(상세표[직위],$P2007)&amp;"")</f>
        <v/>
      </c>
      <c r="E2007">
        <f>IF($P2007="","",IF(ISNUMBER(INDEX(상세표[시작],$P2007)),TEXT(INDEX(상세표[시작],$P2007),"yyyy-mm-dd hh:mm"),INDEX(상세표[시작],$P2007)&amp;""))</f>
        <v/>
      </c>
      <c r="F2007">
        <f>IF($P2007="","",IF(ISNUMBER(INDEX(상세표[블록종료],$P2007)),TEXT(INDEX(상세표[블록종료],$P2007),"yyyy-mm-dd hh:mm"),INDEX(상세표[블록종료],$P2007)&amp;""))</f>
        <v/>
      </c>
      <c r="G2007">
        <f>IF($P2007="","",CHOOSE(WEEKDAY(INDEX(상세표[시작],$P2007)),"일","월","화","수","목","금","토"))</f>
        <v/>
      </c>
      <c r="H2007">
        <f>IF($P2007="","",INDEX(상세표[연속 시간],$P2007))</f>
        <v/>
      </c>
      <c r="I2007">
        <f>IF($P2007="","",INDEX(상세표[기록 수],$P2007))</f>
        <v/>
      </c>
      <c r="J2007">
        <f>IF($P2007="","",INDEX(상세표[블록 06~07시],$P2007))</f>
        <v/>
      </c>
      <c r="K2007">
        <f>IF($P2007="","",INDEX(상세표[블록 07~18시],$P2007))</f>
        <v/>
      </c>
      <c r="L2007">
        <f>IF($P2007="","",INDEX(상세표[블록 18~22시],$P2007))</f>
        <v/>
      </c>
      <c r="M2007">
        <f>IF($P2007="","",INDEX(상세표[블록 22~06시],$P2007))</f>
        <v/>
      </c>
      <c r="N2007">
        <f>IF($P2007="","",INDEX(상세표[주말·휴일 포함],$P2007)&amp;"")</f>
        <v/>
      </c>
      <c r="O2007">
        <f>IF($P2007="","",INDEX(상세표[월 넘김 포함],$P2007)&amp;"")</f>
        <v/>
      </c>
      <c r="P2007" s="4">
        <f>IFERROR(MATCH(2002,상세표[연속순번],0),"")</f>
        <v/>
      </c>
    </row>
    <row r="2008">
      <c r="A2008">
        <f>IF($P2008="","",INDEX(상세표[사번],$P2008)&amp;"")</f>
        <v/>
      </c>
      <c r="B2008">
        <f>IF($P2008="","",INDEX(상세표[성명],$P2008)&amp;"")</f>
        <v/>
      </c>
      <c r="C2008">
        <f>IF($P2008="","",INDEX(상세표[부서],$P2008)&amp;"")</f>
        <v/>
      </c>
      <c r="D2008">
        <f>IF($P2008="","",INDEX(상세표[직위],$P2008)&amp;"")</f>
        <v/>
      </c>
      <c r="E2008">
        <f>IF($P2008="","",IF(ISNUMBER(INDEX(상세표[시작],$P2008)),TEXT(INDEX(상세표[시작],$P2008),"yyyy-mm-dd hh:mm"),INDEX(상세표[시작],$P2008)&amp;""))</f>
        <v/>
      </c>
      <c r="F2008">
        <f>IF($P2008="","",IF(ISNUMBER(INDEX(상세표[블록종료],$P2008)),TEXT(INDEX(상세표[블록종료],$P2008),"yyyy-mm-dd hh:mm"),INDEX(상세표[블록종료],$P2008)&amp;""))</f>
        <v/>
      </c>
      <c r="G2008">
        <f>IF($P2008="","",CHOOSE(WEEKDAY(INDEX(상세표[시작],$P2008)),"일","월","화","수","목","금","토"))</f>
        <v/>
      </c>
      <c r="H2008">
        <f>IF($P2008="","",INDEX(상세표[연속 시간],$P2008))</f>
        <v/>
      </c>
      <c r="I2008">
        <f>IF($P2008="","",INDEX(상세표[기록 수],$P2008))</f>
        <v/>
      </c>
      <c r="J2008">
        <f>IF($P2008="","",INDEX(상세표[블록 06~07시],$P2008))</f>
        <v/>
      </c>
      <c r="K2008">
        <f>IF($P2008="","",INDEX(상세표[블록 07~18시],$P2008))</f>
        <v/>
      </c>
      <c r="L2008">
        <f>IF($P2008="","",INDEX(상세표[블록 18~22시],$P2008))</f>
        <v/>
      </c>
      <c r="M2008">
        <f>IF($P2008="","",INDEX(상세표[블록 22~06시],$P2008))</f>
        <v/>
      </c>
      <c r="N2008">
        <f>IF($P2008="","",INDEX(상세표[주말·휴일 포함],$P2008)&amp;"")</f>
        <v/>
      </c>
      <c r="O2008">
        <f>IF($P2008="","",INDEX(상세표[월 넘김 포함],$P2008)&amp;"")</f>
        <v/>
      </c>
      <c r="P2008" s="4">
        <f>IFERROR(MATCH(2003,상세표[연속순번],0),"")</f>
        <v/>
      </c>
    </row>
    <row r="2009">
      <c r="A2009">
        <f>IF($P2009="","",INDEX(상세표[사번],$P2009)&amp;"")</f>
        <v/>
      </c>
      <c r="B2009">
        <f>IF($P2009="","",INDEX(상세표[성명],$P2009)&amp;"")</f>
        <v/>
      </c>
      <c r="C2009">
        <f>IF($P2009="","",INDEX(상세표[부서],$P2009)&amp;"")</f>
        <v/>
      </c>
      <c r="D2009">
        <f>IF($P2009="","",INDEX(상세표[직위],$P2009)&amp;"")</f>
        <v/>
      </c>
      <c r="E2009">
        <f>IF($P2009="","",IF(ISNUMBER(INDEX(상세표[시작],$P2009)),TEXT(INDEX(상세표[시작],$P2009),"yyyy-mm-dd hh:mm"),INDEX(상세표[시작],$P2009)&amp;""))</f>
        <v/>
      </c>
      <c r="F2009">
        <f>IF($P2009="","",IF(ISNUMBER(INDEX(상세표[블록종료],$P2009)),TEXT(INDEX(상세표[블록종료],$P2009),"yyyy-mm-dd hh:mm"),INDEX(상세표[블록종료],$P2009)&amp;""))</f>
        <v/>
      </c>
      <c r="G2009">
        <f>IF($P2009="","",CHOOSE(WEEKDAY(INDEX(상세표[시작],$P2009)),"일","월","화","수","목","금","토"))</f>
        <v/>
      </c>
      <c r="H2009">
        <f>IF($P2009="","",INDEX(상세표[연속 시간],$P2009))</f>
        <v/>
      </c>
      <c r="I2009">
        <f>IF($P2009="","",INDEX(상세표[기록 수],$P2009))</f>
        <v/>
      </c>
      <c r="J2009">
        <f>IF($P2009="","",INDEX(상세표[블록 06~07시],$P2009))</f>
        <v/>
      </c>
      <c r="K2009">
        <f>IF($P2009="","",INDEX(상세표[블록 07~18시],$P2009))</f>
        <v/>
      </c>
      <c r="L2009">
        <f>IF($P2009="","",INDEX(상세표[블록 18~22시],$P2009))</f>
        <v/>
      </c>
      <c r="M2009">
        <f>IF($P2009="","",INDEX(상세표[블록 22~06시],$P2009))</f>
        <v/>
      </c>
      <c r="N2009">
        <f>IF($P2009="","",INDEX(상세표[주말·휴일 포함],$P2009)&amp;"")</f>
        <v/>
      </c>
      <c r="O2009">
        <f>IF($P2009="","",INDEX(상세표[월 넘김 포함],$P2009)&amp;"")</f>
        <v/>
      </c>
      <c r="P2009" s="4">
        <f>IFERROR(MATCH(2004,상세표[연속순번],0),"")</f>
        <v/>
      </c>
    </row>
    <row r="2010">
      <c r="A2010">
        <f>IF($P2010="","",INDEX(상세표[사번],$P2010)&amp;"")</f>
        <v/>
      </c>
      <c r="B2010">
        <f>IF($P2010="","",INDEX(상세표[성명],$P2010)&amp;"")</f>
        <v/>
      </c>
      <c r="C2010">
        <f>IF($P2010="","",INDEX(상세표[부서],$P2010)&amp;"")</f>
        <v/>
      </c>
      <c r="D2010">
        <f>IF($P2010="","",INDEX(상세표[직위],$P2010)&amp;"")</f>
        <v/>
      </c>
      <c r="E2010">
        <f>IF($P2010="","",IF(ISNUMBER(INDEX(상세표[시작],$P2010)),TEXT(INDEX(상세표[시작],$P2010),"yyyy-mm-dd hh:mm"),INDEX(상세표[시작],$P2010)&amp;""))</f>
        <v/>
      </c>
      <c r="F2010">
        <f>IF($P2010="","",IF(ISNUMBER(INDEX(상세표[블록종료],$P2010)),TEXT(INDEX(상세표[블록종료],$P2010),"yyyy-mm-dd hh:mm"),INDEX(상세표[블록종료],$P2010)&amp;""))</f>
        <v/>
      </c>
      <c r="G2010">
        <f>IF($P2010="","",CHOOSE(WEEKDAY(INDEX(상세표[시작],$P2010)),"일","월","화","수","목","금","토"))</f>
        <v/>
      </c>
      <c r="H2010">
        <f>IF($P2010="","",INDEX(상세표[연속 시간],$P2010))</f>
        <v/>
      </c>
      <c r="I2010">
        <f>IF($P2010="","",INDEX(상세표[기록 수],$P2010))</f>
        <v/>
      </c>
      <c r="J2010">
        <f>IF($P2010="","",INDEX(상세표[블록 06~07시],$P2010))</f>
        <v/>
      </c>
      <c r="K2010">
        <f>IF($P2010="","",INDEX(상세표[블록 07~18시],$P2010))</f>
        <v/>
      </c>
      <c r="L2010">
        <f>IF($P2010="","",INDEX(상세표[블록 18~22시],$P2010))</f>
        <v/>
      </c>
      <c r="M2010">
        <f>IF($P2010="","",INDEX(상세표[블록 22~06시],$P2010))</f>
        <v/>
      </c>
      <c r="N2010">
        <f>IF($P2010="","",INDEX(상세표[주말·휴일 포함],$P2010)&amp;"")</f>
        <v/>
      </c>
      <c r="O2010">
        <f>IF($P2010="","",INDEX(상세표[월 넘김 포함],$P2010)&amp;"")</f>
        <v/>
      </c>
      <c r="P2010" s="4">
        <f>IFERROR(MATCH(2005,상세표[연속순번],0),"")</f>
        <v/>
      </c>
    </row>
    <row r="2011">
      <c r="A2011">
        <f>IF($P2011="","",INDEX(상세표[사번],$P2011)&amp;"")</f>
        <v/>
      </c>
      <c r="B2011">
        <f>IF($P2011="","",INDEX(상세표[성명],$P2011)&amp;"")</f>
        <v/>
      </c>
      <c r="C2011">
        <f>IF($P2011="","",INDEX(상세표[부서],$P2011)&amp;"")</f>
        <v/>
      </c>
      <c r="D2011">
        <f>IF($P2011="","",INDEX(상세표[직위],$P2011)&amp;"")</f>
        <v/>
      </c>
      <c r="E2011">
        <f>IF($P2011="","",IF(ISNUMBER(INDEX(상세표[시작],$P2011)),TEXT(INDEX(상세표[시작],$P2011),"yyyy-mm-dd hh:mm"),INDEX(상세표[시작],$P2011)&amp;""))</f>
        <v/>
      </c>
      <c r="F2011">
        <f>IF($P2011="","",IF(ISNUMBER(INDEX(상세표[블록종료],$P2011)),TEXT(INDEX(상세표[블록종료],$P2011),"yyyy-mm-dd hh:mm"),INDEX(상세표[블록종료],$P2011)&amp;""))</f>
        <v/>
      </c>
      <c r="G2011">
        <f>IF($P2011="","",CHOOSE(WEEKDAY(INDEX(상세표[시작],$P2011)),"일","월","화","수","목","금","토"))</f>
        <v/>
      </c>
      <c r="H2011">
        <f>IF($P2011="","",INDEX(상세표[연속 시간],$P2011))</f>
        <v/>
      </c>
      <c r="I2011">
        <f>IF($P2011="","",INDEX(상세표[기록 수],$P2011))</f>
        <v/>
      </c>
      <c r="J2011">
        <f>IF($P2011="","",INDEX(상세표[블록 06~07시],$P2011))</f>
        <v/>
      </c>
      <c r="K2011">
        <f>IF($P2011="","",INDEX(상세표[블록 07~18시],$P2011))</f>
        <v/>
      </c>
      <c r="L2011">
        <f>IF($P2011="","",INDEX(상세표[블록 18~22시],$P2011))</f>
        <v/>
      </c>
      <c r="M2011">
        <f>IF($P2011="","",INDEX(상세표[블록 22~06시],$P2011))</f>
        <v/>
      </c>
      <c r="N2011">
        <f>IF($P2011="","",INDEX(상세표[주말·휴일 포함],$P2011)&amp;"")</f>
        <v/>
      </c>
      <c r="O2011">
        <f>IF($P2011="","",INDEX(상세표[월 넘김 포함],$P2011)&amp;"")</f>
        <v/>
      </c>
      <c r="P2011" s="4">
        <f>IFERROR(MATCH(2006,상세표[연속순번],0),"")</f>
        <v/>
      </c>
    </row>
    <row r="2012">
      <c r="A2012">
        <f>IF($P2012="","",INDEX(상세표[사번],$P2012)&amp;"")</f>
        <v/>
      </c>
      <c r="B2012">
        <f>IF($P2012="","",INDEX(상세표[성명],$P2012)&amp;"")</f>
        <v/>
      </c>
      <c r="C2012">
        <f>IF($P2012="","",INDEX(상세표[부서],$P2012)&amp;"")</f>
        <v/>
      </c>
      <c r="D2012">
        <f>IF($P2012="","",INDEX(상세표[직위],$P2012)&amp;"")</f>
        <v/>
      </c>
      <c r="E2012">
        <f>IF($P2012="","",IF(ISNUMBER(INDEX(상세표[시작],$P2012)),TEXT(INDEX(상세표[시작],$P2012),"yyyy-mm-dd hh:mm"),INDEX(상세표[시작],$P2012)&amp;""))</f>
        <v/>
      </c>
      <c r="F2012">
        <f>IF($P2012="","",IF(ISNUMBER(INDEX(상세표[블록종료],$P2012)),TEXT(INDEX(상세표[블록종료],$P2012),"yyyy-mm-dd hh:mm"),INDEX(상세표[블록종료],$P2012)&amp;""))</f>
        <v/>
      </c>
      <c r="G2012">
        <f>IF($P2012="","",CHOOSE(WEEKDAY(INDEX(상세표[시작],$P2012)),"일","월","화","수","목","금","토"))</f>
        <v/>
      </c>
      <c r="H2012">
        <f>IF($P2012="","",INDEX(상세표[연속 시간],$P2012))</f>
        <v/>
      </c>
      <c r="I2012">
        <f>IF($P2012="","",INDEX(상세표[기록 수],$P2012))</f>
        <v/>
      </c>
      <c r="J2012">
        <f>IF($P2012="","",INDEX(상세표[블록 06~07시],$P2012))</f>
        <v/>
      </c>
      <c r="K2012">
        <f>IF($P2012="","",INDEX(상세표[블록 07~18시],$P2012))</f>
        <v/>
      </c>
      <c r="L2012">
        <f>IF($P2012="","",INDEX(상세표[블록 18~22시],$P2012))</f>
        <v/>
      </c>
      <c r="M2012">
        <f>IF($P2012="","",INDEX(상세표[블록 22~06시],$P2012))</f>
        <v/>
      </c>
      <c r="N2012">
        <f>IF($P2012="","",INDEX(상세표[주말·휴일 포함],$P2012)&amp;"")</f>
        <v/>
      </c>
      <c r="O2012">
        <f>IF($P2012="","",INDEX(상세표[월 넘김 포함],$P2012)&amp;"")</f>
        <v/>
      </c>
      <c r="P2012" s="4">
        <f>IFERROR(MATCH(2007,상세표[연속순번],0),"")</f>
        <v/>
      </c>
    </row>
    <row r="2013">
      <c r="A2013">
        <f>IF($P2013="","",INDEX(상세표[사번],$P2013)&amp;"")</f>
        <v/>
      </c>
      <c r="B2013">
        <f>IF($P2013="","",INDEX(상세표[성명],$P2013)&amp;"")</f>
        <v/>
      </c>
      <c r="C2013">
        <f>IF($P2013="","",INDEX(상세표[부서],$P2013)&amp;"")</f>
        <v/>
      </c>
      <c r="D2013">
        <f>IF($P2013="","",INDEX(상세표[직위],$P2013)&amp;"")</f>
        <v/>
      </c>
      <c r="E2013">
        <f>IF($P2013="","",IF(ISNUMBER(INDEX(상세표[시작],$P2013)),TEXT(INDEX(상세표[시작],$P2013),"yyyy-mm-dd hh:mm"),INDEX(상세표[시작],$P2013)&amp;""))</f>
        <v/>
      </c>
      <c r="F2013">
        <f>IF($P2013="","",IF(ISNUMBER(INDEX(상세표[블록종료],$P2013)),TEXT(INDEX(상세표[블록종료],$P2013),"yyyy-mm-dd hh:mm"),INDEX(상세표[블록종료],$P2013)&amp;""))</f>
        <v/>
      </c>
      <c r="G2013">
        <f>IF($P2013="","",CHOOSE(WEEKDAY(INDEX(상세표[시작],$P2013)),"일","월","화","수","목","금","토"))</f>
        <v/>
      </c>
      <c r="H2013">
        <f>IF($P2013="","",INDEX(상세표[연속 시간],$P2013))</f>
        <v/>
      </c>
      <c r="I2013">
        <f>IF($P2013="","",INDEX(상세표[기록 수],$P2013))</f>
        <v/>
      </c>
      <c r="J2013">
        <f>IF($P2013="","",INDEX(상세표[블록 06~07시],$P2013))</f>
        <v/>
      </c>
      <c r="K2013">
        <f>IF($P2013="","",INDEX(상세표[블록 07~18시],$P2013))</f>
        <v/>
      </c>
      <c r="L2013">
        <f>IF($P2013="","",INDEX(상세표[블록 18~22시],$P2013))</f>
        <v/>
      </c>
      <c r="M2013">
        <f>IF($P2013="","",INDEX(상세표[블록 22~06시],$P2013))</f>
        <v/>
      </c>
      <c r="N2013">
        <f>IF($P2013="","",INDEX(상세표[주말·휴일 포함],$P2013)&amp;"")</f>
        <v/>
      </c>
      <c r="O2013">
        <f>IF($P2013="","",INDEX(상세표[월 넘김 포함],$P2013)&amp;"")</f>
        <v/>
      </c>
      <c r="P2013" s="4">
        <f>IFERROR(MATCH(2008,상세표[연속순번],0),"")</f>
        <v/>
      </c>
    </row>
    <row r="2014">
      <c r="A2014">
        <f>IF($P2014="","",INDEX(상세표[사번],$P2014)&amp;"")</f>
        <v/>
      </c>
      <c r="B2014">
        <f>IF($P2014="","",INDEX(상세표[성명],$P2014)&amp;"")</f>
        <v/>
      </c>
      <c r="C2014">
        <f>IF($P2014="","",INDEX(상세표[부서],$P2014)&amp;"")</f>
        <v/>
      </c>
      <c r="D2014">
        <f>IF($P2014="","",INDEX(상세표[직위],$P2014)&amp;"")</f>
        <v/>
      </c>
      <c r="E2014">
        <f>IF($P2014="","",IF(ISNUMBER(INDEX(상세표[시작],$P2014)),TEXT(INDEX(상세표[시작],$P2014),"yyyy-mm-dd hh:mm"),INDEX(상세표[시작],$P2014)&amp;""))</f>
        <v/>
      </c>
      <c r="F2014">
        <f>IF($P2014="","",IF(ISNUMBER(INDEX(상세표[블록종료],$P2014)),TEXT(INDEX(상세표[블록종료],$P2014),"yyyy-mm-dd hh:mm"),INDEX(상세표[블록종료],$P2014)&amp;""))</f>
        <v/>
      </c>
      <c r="G2014">
        <f>IF($P2014="","",CHOOSE(WEEKDAY(INDEX(상세표[시작],$P2014)),"일","월","화","수","목","금","토"))</f>
        <v/>
      </c>
      <c r="H2014">
        <f>IF($P2014="","",INDEX(상세표[연속 시간],$P2014))</f>
        <v/>
      </c>
      <c r="I2014">
        <f>IF($P2014="","",INDEX(상세표[기록 수],$P2014))</f>
        <v/>
      </c>
      <c r="J2014">
        <f>IF($P2014="","",INDEX(상세표[블록 06~07시],$P2014))</f>
        <v/>
      </c>
      <c r="K2014">
        <f>IF($P2014="","",INDEX(상세표[블록 07~18시],$P2014))</f>
        <v/>
      </c>
      <c r="L2014">
        <f>IF($P2014="","",INDEX(상세표[블록 18~22시],$P2014))</f>
        <v/>
      </c>
      <c r="M2014">
        <f>IF($P2014="","",INDEX(상세표[블록 22~06시],$P2014))</f>
        <v/>
      </c>
      <c r="N2014">
        <f>IF($P2014="","",INDEX(상세표[주말·휴일 포함],$P2014)&amp;"")</f>
        <v/>
      </c>
      <c r="O2014">
        <f>IF($P2014="","",INDEX(상세표[월 넘김 포함],$P2014)&amp;"")</f>
        <v/>
      </c>
      <c r="P2014" s="4">
        <f>IFERROR(MATCH(2009,상세표[연속순번],0),"")</f>
        <v/>
      </c>
    </row>
    <row r="2015">
      <c r="A2015">
        <f>IF($P2015="","",INDEX(상세표[사번],$P2015)&amp;"")</f>
        <v/>
      </c>
      <c r="B2015">
        <f>IF($P2015="","",INDEX(상세표[성명],$P2015)&amp;"")</f>
        <v/>
      </c>
      <c r="C2015">
        <f>IF($P2015="","",INDEX(상세표[부서],$P2015)&amp;"")</f>
        <v/>
      </c>
      <c r="D2015">
        <f>IF($P2015="","",INDEX(상세표[직위],$P2015)&amp;"")</f>
        <v/>
      </c>
      <c r="E2015">
        <f>IF($P2015="","",IF(ISNUMBER(INDEX(상세표[시작],$P2015)),TEXT(INDEX(상세표[시작],$P2015),"yyyy-mm-dd hh:mm"),INDEX(상세표[시작],$P2015)&amp;""))</f>
        <v/>
      </c>
      <c r="F2015">
        <f>IF($P2015="","",IF(ISNUMBER(INDEX(상세표[블록종료],$P2015)),TEXT(INDEX(상세표[블록종료],$P2015),"yyyy-mm-dd hh:mm"),INDEX(상세표[블록종료],$P2015)&amp;""))</f>
        <v/>
      </c>
      <c r="G2015">
        <f>IF($P2015="","",CHOOSE(WEEKDAY(INDEX(상세표[시작],$P2015)),"일","월","화","수","목","금","토"))</f>
        <v/>
      </c>
      <c r="H2015">
        <f>IF($P2015="","",INDEX(상세표[연속 시간],$P2015))</f>
        <v/>
      </c>
      <c r="I2015">
        <f>IF($P2015="","",INDEX(상세표[기록 수],$P2015))</f>
        <v/>
      </c>
      <c r="J2015">
        <f>IF($P2015="","",INDEX(상세표[블록 06~07시],$P2015))</f>
        <v/>
      </c>
      <c r="K2015">
        <f>IF($P2015="","",INDEX(상세표[블록 07~18시],$P2015))</f>
        <v/>
      </c>
      <c r="L2015">
        <f>IF($P2015="","",INDEX(상세표[블록 18~22시],$P2015))</f>
        <v/>
      </c>
      <c r="M2015">
        <f>IF($P2015="","",INDEX(상세표[블록 22~06시],$P2015))</f>
        <v/>
      </c>
      <c r="N2015">
        <f>IF($P2015="","",INDEX(상세표[주말·휴일 포함],$P2015)&amp;"")</f>
        <v/>
      </c>
      <c r="O2015">
        <f>IF($P2015="","",INDEX(상세표[월 넘김 포함],$P2015)&amp;"")</f>
        <v/>
      </c>
      <c r="P2015" s="4">
        <f>IFERROR(MATCH(2010,상세표[연속순번],0),"")</f>
        <v/>
      </c>
    </row>
    <row r="2016">
      <c r="A2016">
        <f>IF($P2016="","",INDEX(상세표[사번],$P2016)&amp;"")</f>
        <v/>
      </c>
      <c r="B2016">
        <f>IF($P2016="","",INDEX(상세표[성명],$P2016)&amp;"")</f>
        <v/>
      </c>
      <c r="C2016">
        <f>IF($P2016="","",INDEX(상세표[부서],$P2016)&amp;"")</f>
        <v/>
      </c>
      <c r="D2016">
        <f>IF($P2016="","",INDEX(상세표[직위],$P2016)&amp;"")</f>
        <v/>
      </c>
      <c r="E2016">
        <f>IF($P2016="","",IF(ISNUMBER(INDEX(상세표[시작],$P2016)),TEXT(INDEX(상세표[시작],$P2016),"yyyy-mm-dd hh:mm"),INDEX(상세표[시작],$P2016)&amp;""))</f>
        <v/>
      </c>
      <c r="F2016">
        <f>IF($P2016="","",IF(ISNUMBER(INDEX(상세표[블록종료],$P2016)),TEXT(INDEX(상세표[블록종료],$P2016),"yyyy-mm-dd hh:mm"),INDEX(상세표[블록종료],$P2016)&amp;""))</f>
        <v/>
      </c>
      <c r="G2016">
        <f>IF($P2016="","",CHOOSE(WEEKDAY(INDEX(상세표[시작],$P2016)),"일","월","화","수","목","금","토"))</f>
        <v/>
      </c>
      <c r="H2016">
        <f>IF($P2016="","",INDEX(상세표[연속 시간],$P2016))</f>
        <v/>
      </c>
      <c r="I2016">
        <f>IF($P2016="","",INDEX(상세표[기록 수],$P2016))</f>
        <v/>
      </c>
      <c r="J2016">
        <f>IF($P2016="","",INDEX(상세표[블록 06~07시],$P2016))</f>
        <v/>
      </c>
      <c r="K2016">
        <f>IF($P2016="","",INDEX(상세표[블록 07~18시],$P2016))</f>
        <v/>
      </c>
      <c r="L2016">
        <f>IF($P2016="","",INDEX(상세표[블록 18~22시],$P2016))</f>
        <v/>
      </c>
      <c r="M2016">
        <f>IF($P2016="","",INDEX(상세표[블록 22~06시],$P2016))</f>
        <v/>
      </c>
      <c r="N2016">
        <f>IF($P2016="","",INDEX(상세표[주말·휴일 포함],$P2016)&amp;"")</f>
        <v/>
      </c>
      <c r="O2016">
        <f>IF($P2016="","",INDEX(상세표[월 넘김 포함],$P2016)&amp;"")</f>
        <v/>
      </c>
      <c r="P2016" s="4">
        <f>IFERROR(MATCH(2011,상세표[연속순번],0),"")</f>
        <v/>
      </c>
    </row>
    <row r="2017">
      <c r="A2017">
        <f>IF($P2017="","",INDEX(상세표[사번],$P2017)&amp;"")</f>
        <v/>
      </c>
      <c r="B2017">
        <f>IF($P2017="","",INDEX(상세표[성명],$P2017)&amp;"")</f>
        <v/>
      </c>
      <c r="C2017">
        <f>IF($P2017="","",INDEX(상세표[부서],$P2017)&amp;"")</f>
        <v/>
      </c>
      <c r="D2017">
        <f>IF($P2017="","",INDEX(상세표[직위],$P2017)&amp;"")</f>
        <v/>
      </c>
      <c r="E2017">
        <f>IF($P2017="","",IF(ISNUMBER(INDEX(상세표[시작],$P2017)),TEXT(INDEX(상세표[시작],$P2017),"yyyy-mm-dd hh:mm"),INDEX(상세표[시작],$P2017)&amp;""))</f>
        <v/>
      </c>
      <c r="F2017">
        <f>IF($P2017="","",IF(ISNUMBER(INDEX(상세표[블록종료],$P2017)),TEXT(INDEX(상세표[블록종료],$P2017),"yyyy-mm-dd hh:mm"),INDEX(상세표[블록종료],$P2017)&amp;""))</f>
        <v/>
      </c>
      <c r="G2017">
        <f>IF($P2017="","",CHOOSE(WEEKDAY(INDEX(상세표[시작],$P2017)),"일","월","화","수","목","금","토"))</f>
        <v/>
      </c>
      <c r="H2017">
        <f>IF($P2017="","",INDEX(상세표[연속 시간],$P2017))</f>
        <v/>
      </c>
      <c r="I2017">
        <f>IF($P2017="","",INDEX(상세표[기록 수],$P2017))</f>
        <v/>
      </c>
      <c r="J2017">
        <f>IF($P2017="","",INDEX(상세표[블록 06~07시],$P2017))</f>
        <v/>
      </c>
      <c r="K2017">
        <f>IF($P2017="","",INDEX(상세표[블록 07~18시],$P2017))</f>
        <v/>
      </c>
      <c r="L2017">
        <f>IF($P2017="","",INDEX(상세표[블록 18~22시],$P2017))</f>
        <v/>
      </c>
      <c r="M2017">
        <f>IF($P2017="","",INDEX(상세표[블록 22~06시],$P2017))</f>
        <v/>
      </c>
      <c r="N2017">
        <f>IF($P2017="","",INDEX(상세표[주말·휴일 포함],$P2017)&amp;"")</f>
        <v/>
      </c>
      <c r="O2017">
        <f>IF($P2017="","",INDEX(상세표[월 넘김 포함],$P2017)&amp;"")</f>
        <v/>
      </c>
      <c r="P2017" s="4">
        <f>IFERROR(MATCH(2012,상세표[연속순번],0),"")</f>
        <v/>
      </c>
    </row>
    <row r="2018">
      <c r="A2018">
        <f>IF($P2018="","",INDEX(상세표[사번],$P2018)&amp;"")</f>
        <v/>
      </c>
      <c r="B2018">
        <f>IF($P2018="","",INDEX(상세표[성명],$P2018)&amp;"")</f>
        <v/>
      </c>
      <c r="C2018">
        <f>IF($P2018="","",INDEX(상세표[부서],$P2018)&amp;"")</f>
        <v/>
      </c>
      <c r="D2018">
        <f>IF($P2018="","",INDEX(상세표[직위],$P2018)&amp;"")</f>
        <v/>
      </c>
      <c r="E2018">
        <f>IF($P2018="","",IF(ISNUMBER(INDEX(상세표[시작],$P2018)),TEXT(INDEX(상세표[시작],$P2018),"yyyy-mm-dd hh:mm"),INDEX(상세표[시작],$P2018)&amp;""))</f>
        <v/>
      </c>
      <c r="F2018">
        <f>IF($P2018="","",IF(ISNUMBER(INDEX(상세표[블록종료],$P2018)),TEXT(INDEX(상세표[블록종료],$P2018),"yyyy-mm-dd hh:mm"),INDEX(상세표[블록종료],$P2018)&amp;""))</f>
        <v/>
      </c>
      <c r="G2018">
        <f>IF($P2018="","",CHOOSE(WEEKDAY(INDEX(상세표[시작],$P2018)),"일","월","화","수","목","금","토"))</f>
        <v/>
      </c>
      <c r="H2018">
        <f>IF($P2018="","",INDEX(상세표[연속 시간],$P2018))</f>
        <v/>
      </c>
      <c r="I2018">
        <f>IF($P2018="","",INDEX(상세표[기록 수],$P2018))</f>
        <v/>
      </c>
      <c r="J2018">
        <f>IF($P2018="","",INDEX(상세표[블록 06~07시],$P2018))</f>
        <v/>
      </c>
      <c r="K2018">
        <f>IF($P2018="","",INDEX(상세표[블록 07~18시],$P2018))</f>
        <v/>
      </c>
      <c r="L2018">
        <f>IF($P2018="","",INDEX(상세표[블록 18~22시],$P2018))</f>
        <v/>
      </c>
      <c r="M2018">
        <f>IF($P2018="","",INDEX(상세표[블록 22~06시],$P2018))</f>
        <v/>
      </c>
      <c r="N2018">
        <f>IF($P2018="","",INDEX(상세표[주말·휴일 포함],$P2018)&amp;"")</f>
        <v/>
      </c>
      <c r="O2018">
        <f>IF($P2018="","",INDEX(상세표[월 넘김 포함],$P2018)&amp;"")</f>
        <v/>
      </c>
      <c r="P2018" s="4">
        <f>IFERROR(MATCH(2013,상세표[연속순번],0),"")</f>
        <v/>
      </c>
    </row>
    <row r="2019">
      <c r="A2019">
        <f>IF($P2019="","",INDEX(상세표[사번],$P2019)&amp;"")</f>
        <v/>
      </c>
      <c r="B2019">
        <f>IF($P2019="","",INDEX(상세표[성명],$P2019)&amp;"")</f>
        <v/>
      </c>
      <c r="C2019">
        <f>IF($P2019="","",INDEX(상세표[부서],$P2019)&amp;"")</f>
        <v/>
      </c>
      <c r="D2019">
        <f>IF($P2019="","",INDEX(상세표[직위],$P2019)&amp;"")</f>
        <v/>
      </c>
      <c r="E2019">
        <f>IF($P2019="","",IF(ISNUMBER(INDEX(상세표[시작],$P2019)),TEXT(INDEX(상세표[시작],$P2019),"yyyy-mm-dd hh:mm"),INDEX(상세표[시작],$P2019)&amp;""))</f>
        <v/>
      </c>
      <c r="F2019">
        <f>IF($P2019="","",IF(ISNUMBER(INDEX(상세표[블록종료],$P2019)),TEXT(INDEX(상세표[블록종료],$P2019),"yyyy-mm-dd hh:mm"),INDEX(상세표[블록종료],$P2019)&amp;""))</f>
        <v/>
      </c>
      <c r="G2019">
        <f>IF($P2019="","",CHOOSE(WEEKDAY(INDEX(상세표[시작],$P2019)),"일","월","화","수","목","금","토"))</f>
        <v/>
      </c>
      <c r="H2019">
        <f>IF($P2019="","",INDEX(상세표[연속 시간],$P2019))</f>
        <v/>
      </c>
      <c r="I2019">
        <f>IF($P2019="","",INDEX(상세표[기록 수],$P2019))</f>
        <v/>
      </c>
      <c r="J2019">
        <f>IF($P2019="","",INDEX(상세표[블록 06~07시],$P2019))</f>
        <v/>
      </c>
      <c r="K2019">
        <f>IF($P2019="","",INDEX(상세표[블록 07~18시],$P2019))</f>
        <v/>
      </c>
      <c r="L2019">
        <f>IF($P2019="","",INDEX(상세표[블록 18~22시],$P2019))</f>
        <v/>
      </c>
      <c r="M2019">
        <f>IF($P2019="","",INDEX(상세표[블록 22~06시],$P2019))</f>
        <v/>
      </c>
      <c r="N2019">
        <f>IF($P2019="","",INDEX(상세표[주말·휴일 포함],$P2019)&amp;"")</f>
        <v/>
      </c>
      <c r="O2019">
        <f>IF($P2019="","",INDEX(상세표[월 넘김 포함],$P2019)&amp;"")</f>
        <v/>
      </c>
      <c r="P2019" s="4">
        <f>IFERROR(MATCH(2014,상세표[연속순번],0),"")</f>
        <v/>
      </c>
    </row>
    <row r="2020">
      <c r="A2020">
        <f>IF($P2020="","",INDEX(상세표[사번],$P2020)&amp;"")</f>
        <v/>
      </c>
      <c r="B2020">
        <f>IF($P2020="","",INDEX(상세표[성명],$P2020)&amp;"")</f>
        <v/>
      </c>
      <c r="C2020">
        <f>IF($P2020="","",INDEX(상세표[부서],$P2020)&amp;"")</f>
        <v/>
      </c>
      <c r="D2020">
        <f>IF($P2020="","",INDEX(상세표[직위],$P2020)&amp;"")</f>
        <v/>
      </c>
      <c r="E2020">
        <f>IF($P2020="","",IF(ISNUMBER(INDEX(상세표[시작],$P2020)),TEXT(INDEX(상세표[시작],$P2020),"yyyy-mm-dd hh:mm"),INDEX(상세표[시작],$P2020)&amp;""))</f>
        <v/>
      </c>
      <c r="F2020">
        <f>IF($P2020="","",IF(ISNUMBER(INDEX(상세표[블록종료],$P2020)),TEXT(INDEX(상세표[블록종료],$P2020),"yyyy-mm-dd hh:mm"),INDEX(상세표[블록종료],$P2020)&amp;""))</f>
        <v/>
      </c>
      <c r="G2020">
        <f>IF($P2020="","",CHOOSE(WEEKDAY(INDEX(상세표[시작],$P2020)),"일","월","화","수","목","금","토"))</f>
        <v/>
      </c>
      <c r="H2020">
        <f>IF($P2020="","",INDEX(상세표[연속 시간],$P2020))</f>
        <v/>
      </c>
      <c r="I2020">
        <f>IF($P2020="","",INDEX(상세표[기록 수],$P2020))</f>
        <v/>
      </c>
      <c r="J2020">
        <f>IF($P2020="","",INDEX(상세표[블록 06~07시],$P2020))</f>
        <v/>
      </c>
      <c r="K2020">
        <f>IF($P2020="","",INDEX(상세표[블록 07~18시],$P2020))</f>
        <v/>
      </c>
      <c r="L2020">
        <f>IF($P2020="","",INDEX(상세표[블록 18~22시],$P2020))</f>
        <v/>
      </c>
      <c r="M2020">
        <f>IF($P2020="","",INDEX(상세표[블록 22~06시],$P2020))</f>
        <v/>
      </c>
      <c r="N2020">
        <f>IF($P2020="","",INDEX(상세표[주말·휴일 포함],$P2020)&amp;"")</f>
        <v/>
      </c>
      <c r="O2020">
        <f>IF($P2020="","",INDEX(상세표[월 넘김 포함],$P2020)&amp;"")</f>
        <v/>
      </c>
      <c r="P2020" s="4">
        <f>IFERROR(MATCH(2015,상세표[연속순번],0),"")</f>
        <v/>
      </c>
    </row>
    <row r="2021">
      <c r="A2021">
        <f>IF($P2021="","",INDEX(상세표[사번],$P2021)&amp;"")</f>
        <v/>
      </c>
      <c r="B2021">
        <f>IF($P2021="","",INDEX(상세표[성명],$P2021)&amp;"")</f>
        <v/>
      </c>
      <c r="C2021">
        <f>IF($P2021="","",INDEX(상세표[부서],$P2021)&amp;"")</f>
        <v/>
      </c>
      <c r="D2021">
        <f>IF($P2021="","",INDEX(상세표[직위],$P2021)&amp;"")</f>
        <v/>
      </c>
      <c r="E2021">
        <f>IF($P2021="","",IF(ISNUMBER(INDEX(상세표[시작],$P2021)),TEXT(INDEX(상세표[시작],$P2021),"yyyy-mm-dd hh:mm"),INDEX(상세표[시작],$P2021)&amp;""))</f>
        <v/>
      </c>
      <c r="F2021">
        <f>IF($P2021="","",IF(ISNUMBER(INDEX(상세표[블록종료],$P2021)),TEXT(INDEX(상세표[블록종료],$P2021),"yyyy-mm-dd hh:mm"),INDEX(상세표[블록종료],$P2021)&amp;""))</f>
        <v/>
      </c>
      <c r="G2021">
        <f>IF($P2021="","",CHOOSE(WEEKDAY(INDEX(상세표[시작],$P2021)),"일","월","화","수","목","금","토"))</f>
        <v/>
      </c>
      <c r="H2021">
        <f>IF($P2021="","",INDEX(상세표[연속 시간],$P2021))</f>
        <v/>
      </c>
      <c r="I2021">
        <f>IF($P2021="","",INDEX(상세표[기록 수],$P2021))</f>
        <v/>
      </c>
      <c r="J2021">
        <f>IF($P2021="","",INDEX(상세표[블록 06~07시],$P2021))</f>
        <v/>
      </c>
      <c r="K2021">
        <f>IF($P2021="","",INDEX(상세표[블록 07~18시],$P2021))</f>
        <v/>
      </c>
      <c r="L2021">
        <f>IF($P2021="","",INDEX(상세표[블록 18~22시],$P2021))</f>
        <v/>
      </c>
      <c r="M2021">
        <f>IF($P2021="","",INDEX(상세표[블록 22~06시],$P2021))</f>
        <v/>
      </c>
      <c r="N2021">
        <f>IF($P2021="","",INDEX(상세표[주말·휴일 포함],$P2021)&amp;"")</f>
        <v/>
      </c>
      <c r="O2021">
        <f>IF($P2021="","",INDEX(상세표[월 넘김 포함],$P2021)&amp;"")</f>
        <v/>
      </c>
      <c r="P2021" s="4">
        <f>IFERROR(MATCH(2016,상세표[연속순번],0),"")</f>
        <v/>
      </c>
    </row>
    <row r="2022">
      <c r="A2022">
        <f>IF($P2022="","",INDEX(상세표[사번],$P2022)&amp;"")</f>
        <v/>
      </c>
      <c r="B2022">
        <f>IF($P2022="","",INDEX(상세표[성명],$P2022)&amp;"")</f>
        <v/>
      </c>
      <c r="C2022">
        <f>IF($P2022="","",INDEX(상세표[부서],$P2022)&amp;"")</f>
        <v/>
      </c>
      <c r="D2022">
        <f>IF($P2022="","",INDEX(상세표[직위],$P2022)&amp;"")</f>
        <v/>
      </c>
      <c r="E2022">
        <f>IF($P2022="","",IF(ISNUMBER(INDEX(상세표[시작],$P2022)),TEXT(INDEX(상세표[시작],$P2022),"yyyy-mm-dd hh:mm"),INDEX(상세표[시작],$P2022)&amp;""))</f>
        <v/>
      </c>
      <c r="F2022">
        <f>IF($P2022="","",IF(ISNUMBER(INDEX(상세표[블록종료],$P2022)),TEXT(INDEX(상세표[블록종료],$P2022),"yyyy-mm-dd hh:mm"),INDEX(상세표[블록종료],$P2022)&amp;""))</f>
        <v/>
      </c>
      <c r="G2022">
        <f>IF($P2022="","",CHOOSE(WEEKDAY(INDEX(상세표[시작],$P2022)),"일","월","화","수","목","금","토"))</f>
        <v/>
      </c>
      <c r="H2022">
        <f>IF($P2022="","",INDEX(상세표[연속 시간],$P2022))</f>
        <v/>
      </c>
      <c r="I2022">
        <f>IF($P2022="","",INDEX(상세표[기록 수],$P2022))</f>
        <v/>
      </c>
      <c r="J2022">
        <f>IF($P2022="","",INDEX(상세표[블록 06~07시],$P2022))</f>
        <v/>
      </c>
      <c r="K2022">
        <f>IF($P2022="","",INDEX(상세표[블록 07~18시],$P2022))</f>
        <v/>
      </c>
      <c r="L2022">
        <f>IF($P2022="","",INDEX(상세표[블록 18~22시],$P2022))</f>
        <v/>
      </c>
      <c r="M2022">
        <f>IF($P2022="","",INDEX(상세표[블록 22~06시],$P2022))</f>
        <v/>
      </c>
      <c r="N2022">
        <f>IF($P2022="","",INDEX(상세표[주말·휴일 포함],$P2022)&amp;"")</f>
        <v/>
      </c>
      <c r="O2022">
        <f>IF($P2022="","",INDEX(상세표[월 넘김 포함],$P2022)&amp;"")</f>
        <v/>
      </c>
      <c r="P2022" s="4">
        <f>IFERROR(MATCH(2017,상세표[연속순번],0),"")</f>
        <v/>
      </c>
    </row>
    <row r="2023">
      <c r="A2023">
        <f>IF($P2023="","",INDEX(상세표[사번],$P2023)&amp;"")</f>
        <v/>
      </c>
      <c r="B2023">
        <f>IF($P2023="","",INDEX(상세표[성명],$P2023)&amp;"")</f>
        <v/>
      </c>
      <c r="C2023">
        <f>IF($P2023="","",INDEX(상세표[부서],$P2023)&amp;"")</f>
        <v/>
      </c>
      <c r="D2023">
        <f>IF($P2023="","",INDEX(상세표[직위],$P2023)&amp;"")</f>
        <v/>
      </c>
      <c r="E2023">
        <f>IF($P2023="","",IF(ISNUMBER(INDEX(상세표[시작],$P2023)),TEXT(INDEX(상세표[시작],$P2023),"yyyy-mm-dd hh:mm"),INDEX(상세표[시작],$P2023)&amp;""))</f>
        <v/>
      </c>
      <c r="F2023">
        <f>IF($P2023="","",IF(ISNUMBER(INDEX(상세표[블록종료],$P2023)),TEXT(INDEX(상세표[블록종료],$P2023),"yyyy-mm-dd hh:mm"),INDEX(상세표[블록종료],$P2023)&amp;""))</f>
        <v/>
      </c>
      <c r="G2023">
        <f>IF($P2023="","",CHOOSE(WEEKDAY(INDEX(상세표[시작],$P2023)),"일","월","화","수","목","금","토"))</f>
        <v/>
      </c>
      <c r="H2023">
        <f>IF($P2023="","",INDEX(상세표[연속 시간],$P2023))</f>
        <v/>
      </c>
      <c r="I2023">
        <f>IF($P2023="","",INDEX(상세표[기록 수],$P2023))</f>
        <v/>
      </c>
      <c r="J2023">
        <f>IF($P2023="","",INDEX(상세표[블록 06~07시],$P2023))</f>
        <v/>
      </c>
      <c r="K2023">
        <f>IF($P2023="","",INDEX(상세표[블록 07~18시],$P2023))</f>
        <v/>
      </c>
      <c r="L2023">
        <f>IF($P2023="","",INDEX(상세표[블록 18~22시],$P2023))</f>
        <v/>
      </c>
      <c r="M2023">
        <f>IF($P2023="","",INDEX(상세표[블록 22~06시],$P2023))</f>
        <v/>
      </c>
      <c r="N2023">
        <f>IF($P2023="","",INDEX(상세표[주말·휴일 포함],$P2023)&amp;"")</f>
        <v/>
      </c>
      <c r="O2023">
        <f>IF($P2023="","",INDEX(상세표[월 넘김 포함],$P2023)&amp;"")</f>
        <v/>
      </c>
      <c r="P2023" s="4">
        <f>IFERROR(MATCH(2018,상세표[연속순번],0),"")</f>
        <v/>
      </c>
    </row>
    <row r="2024">
      <c r="A2024">
        <f>IF($P2024="","",INDEX(상세표[사번],$P2024)&amp;"")</f>
        <v/>
      </c>
      <c r="B2024">
        <f>IF($P2024="","",INDEX(상세표[성명],$P2024)&amp;"")</f>
        <v/>
      </c>
      <c r="C2024">
        <f>IF($P2024="","",INDEX(상세표[부서],$P2024)&amp;"")</f>
        <v/>
      </c>
      <c r="D2024">
        <f>IF($P2024="","",INDEX(상세표[직위],$P2024)&amp;"")</f>
        <v/>
      </c>
      <c r="E2024">
        <f>IF($P2024="","",IF(ISNUMBER(INDEX(상세표[시작],$P2024)),TEXT(INDEX(상세표[시작],$P2024),"yyyy-mm-dd hh:mm"),INDEX(상세표[시작],$P2024)&amp;""))</f>
        <v/>
      </c>
      <c r="F2024">
        <f>IF($P2024="","",IF(ISNUMBER(INDEX(상세표[블록종료],$P2024)),TEXT(INDEX(상세표[블록종료],$P2024),"yyyy-mm-dd hh:mm"),INDEX(상세표[블록종료],$P2024)&amp;""))</f>
        <v/>
      </c>
      <c r="G2024">
        <f>IF($P2024="","",CHOOSE(WEEKDAY(INDEX(상세표[시작],$P2024)),"일","월","화","수","목","금","토"))</f>
        <v/>
      </c>
      <c r="H2024">
        <f>IF($P2024="","",INDEX(상세표[연속 시간],$P2024))</f>
        <v/>
      </c>
      <c r="I2024">
        <f>IF($P2024="","",INDEX(상세표[기록 수],$P2024))</f>
        <v/>
      </c>
      <c r="J2024">
        <f>IF($P2024="","",INDEX(상세표[블록 06~07시],$P2024))</f>
        <v/>
      </c>
      <c r="K2024">
        <f>IF($P2024="","",INDEX(상세표[블록 07~18시],$P2024))</f>
        <v/>
      </c>
      <c r="L2024">
        <f>IF($P2024="","",INDEX(상세표[블록 18~22시],$P2024))</f>
        <v/>
      </c>
      <c r="M2024">
        <f>IF($P2024="","",INDEX(상세표[블록 22~06시],$P2024))</f>
        <v/>
      </c>
      <c r="N2024">
        <f>IF($P2024="","",INDEX(상세표[주말·휴일 포함],$P2024)&amp;"")</f>
        <v/>
      </c>
      <c r="O2024">
        <f>IF($P2024="","",INDEX(상세표[월 넘김 포함],$P2024)&amp;"")</f>
        <v/>
      </c>
      <c r="P2024" s="4">
        <f>IFERROR(MATCH(2019,상세표[연속순번],0),"")</f>
        <v/>
      </c>
    </row>
    <row r="2025">
      <c r="A2025">
        <f>IF($P2025="","",INDEX(상세표[사번],$P2025)&amp;"")</f>
        <v/>
      </c>
      <c r="B2025">
        <f>IF($P2025="","",INDEX(상세표[성명],$P2025)&amp;"")</f>
        <v/>
      </c>
      <c r="C2025">
        <f>IF($P2025="","",INDEX(상세표[부서],$P2025)&amp;"")</f>
        <v/>
      </c>
      <c r="D2025">
        <f>IF($P2025="","",INDEX(상세표[직위],$P2025)&amp;"")</f>
        <v/>
      </c>
      <c r="E2025">
        <f>IF($P2025="","",IF(ISNUMBER(INDEX(상세표[시작],$P2025)),TEXT(INDEX(상세표[시작],$P2025),"yyyy-mm-dd hh:mm"),INDEX(상세표[시작],$P2025)&amp;""))</f>
        <v/>
      </c>
      <c r="F2025">
        <f>IF($P2025="","",IF(ISNUMBER(INDEX(상세표[블록종료],$P2025)),TEXT(INDEX(상세표[블록종료],$P2025),"yyyy-mm-dd hh:mm"),INDEX(상세표[블록종료],$P2025)&amp;""))</f>
        <v/>
      </c>
      <c r="G2025">
        <f>IF($P2025="","",CHOOSE(WEEKDAY(INDEX(상세표[시작],$P2025)),"일","월","화","수","목","금","토"))</f>
        <v/>
      </c>
      <c r="H2025">
        <f>IF($P2025="","",INDEX(상세표[연속 시간],$P2025))</f>
        <v/>
      </c>
      <c r="I2025">
        <f>IF($P2025="","",INDEX(상세표[기록 수],$P2025))</f>
        <v/>
      </c>
      <c r="J2025">
        <f>IF($P2025="","",INDEX(상세표[블록 06~07시],$P2025))</f>
        <v/>
      </c>
      <c r="K2025">
        <f>IF($P2025="","",INDEX(상세표[블록 07~18시],$P2025))</f>
        <v/>
      </c>
      <c r="L2025">
        <f>IF($P2025="","",INDEX(상세표[블록 18~22시],$P2025))</f>
        <v/>
      </c>
      <c r="M2025">
        <f>IF($P2025="","",INDEX(상세표[블록 22~06시],$P2025))</f>
        <v/>
      </c>
      <c r="N2025">
        <f>IF($P2025="","",INDEX(상세표[주말·휴일 포함],$P2025)&amp;"")</f>
        <v/>
      </c>
      <c r="O2025">
        <f>IF($P2025="","",INDEX(상세표[월 넘김 포함],$P2025)&amp;"")</f>
        <v/>
      </c>
      <c r="P2025" s="4">
        <f>IFERROR(MATCH(2020,상세표[연속순번],0),"")</f>
        <v/>
      </c>
    </row>
    <row r="2026">
      <c r="A2026">
        <f>IF($P2026="","",INDEX(상세표[사번],$P2026)&amp;"")</f>
        <v/>
      </c>
      <c r="B2026">
        <f>IF($P2026="","",INDEX(상세표[성명],$P2026)&amp;"")</f>
        <v/>
      </c>
      <c r="C2026">
        <f>IF($P2026="","",INDEX(상세표[부서],$P2026)&amp;"")</f>
        <v/>
      </c>
      <c r="D2026">
        <f>IF($P2026="","",INDEX(상세표[직위],$P2026)&amp;"")</f>
        <v/>
      </c>
      <c r="E2026">
        <f>IF($P2026="","",IF(ISNUMBER(INDEX(상세표[시작],$P2026)),TEXT(INDEX(상세표[시작],$P2026),"yyyy-mm-dd hh:mm"),INDEX(상세표[시작],$P2026)&amp;""))</f>
        <v/>
      </c>
      <c r="F2026">
        <f>IF($P2026="","",IF(ISNUMBER(INDEX(상세표[블록종료],$P2026)),TEXT(INDEX(상세표[블록종료],$P2026),"yyyy-mm-dd hh:mm"),INDEX(상세표[블록종료],$P2026)&amp;""))</f>
        <v/>
      </c>
      <c r="G2026">
        <f>IF($P2026="","",CHOOSE(WEEKDAY(INDEX(상세표[시작],$P2026)),"일","월","화","수","목","금","토"))</f>
        <v/>
      </c>
      <c r="H2026">
        <f>IF($P2026="","",INDEX(상세표[연속 시간],$P2026))</f>
        <v/>
      </c>
      <c r="I2026">
        <f>IF($P2026="","",INDEX(상세표[기록 수],$P2026))</f>
        <v/>
      </c>
      <c r="J2026">
        <f>IF($P2026="","",INDEX(상세표[블록 06~07시],$P2026))</f>
        <v/>
      </c>
      <c r="K2026">
        <f>IF($P2026="","",INDEX(상세표[블록 07~18시],$P2026))</f>
        <v/>
      </c>
      <c r="L2026">
        <f>IF($P2026="","",INDEX(상세표[블록 18~22시],$P2026))</f>
        <v/>
      </c>
      <c r="M2026">
        <f>IF($P2026="","",INDEX(상세표[블록 22~06시],$P2026))</f>
        <v/>
      </c>
      <c r="N2026">
        <f>IF($P2026="","",INDEX(상세표[주말·휴일 포함],$P2026)&amp;"")</f>
        <v/>
      </c>
      <c r="O2026">
        <f>IF($P2026="","",INDEX(상세표[월 넘김 포함],$P2026)&amp;"")</f>
        <v/>
      </c>
      <c r="P2026" s="4">
        <f>IFERROR(MATCH(2021,상세표[연속순번],0),"")</f>
        <v/>
      </c>
    </row>
    <row r="2027">
      <c r="A2027">
        <f>IF($P2027="","",INDEX(상세표[사번],$P2027)&amp;"")</f>
        <v/>
      </c>
      <c r="B2027">
        <f>IF($P2027="","",INDEX(상세표[성명],$P2027)&amp;"")</f>
        <v/>
      </c>
      <c r="C2027">
        <f>IF($P2027="","",INDEX(상세표[부서],$P2027)&amp;"")</f>
        <v/>
      </c>
      <c r="D2027">
        <f>IF($P2027="","",INDEX(상세표[직위],$P2027)&amp;"")</f>
        <v/>
      </c>
      <c r="E2027">
        <f>IF($P2027="","",IF(ISNUMBER(INDEX(상세표[시작],$P2027)),TEXT(INDEX(상세표[시작],$P2027),"yyyy-mm-dd hh:mm"),INDEX(상세표[시작],$P2027)&amp;""))</f>
        <v/>
      </c>
      <c r="F2027">
        <f>IF($P2027="","",IF(ISNUMBER(INDEX(상세표[블록종료],$P2027)),TEXT(INDEX(상세표[블록종료],$P2027),"yyyy-mm-dd hh:mm"),INDEX(상세표[블록종료],$P2027)&amp;""))</f>
        <v/>
      </c>
      <c r="G2027">
        <f>IF($P2027="","",CHOOSE(WEEKDAY(INDEX(상세표[시작],$P2027)),"일","월","화","수","목","금","토"))</f>
        <v/>
      </c>
      <c r="H2027">
        <f>IF($P2027="","",INDEX(상세표[연속 시간],$P2027))</f>
        <v/>
      </c>
      <c r="I2027">
        <f>IF($P2027="","",INDEX(상세표[기록 수],$P2027))</f>
        <v/>
      </c>
      <c r="J2027">
        <f>IF($P2027="","",INDEX(상세표[블록 06~07시],$P2027))</f>
        <v/>
      </c>
      <c r="K2027">
        <f>IF($P2027="","",INDEX(상세표[블록 07~18시],$P2027))</f>
        <v/>
      </c>
      <c r="L2027">
        <f>IF($P2027="","",INDEX(상세표[블록 18~22시],$P2027))</f>
        <v/>
      </c>
      <c r="M2027">
        <f>IF($P2027="","",INDEX(상세표[블록 22~06시],$P2027))</f>
        <v/>
      </c>
      <c r="N2027">
        <f>IF($P2027="","",INDEX(상세표[주말·휴일 포함],$P2027)&amp;"")</f>
        <v/>
      </c>
      <c r="O2027">
        <f>IF($P2027="","",INDEX(상세표[월 넘김 포함],$P2027)&amp;"")</f>
        <v/>
      </c>
      <c r="P2027" s="4">
        <f>IFERROR(MATCH(2022,상세표[연속순번],0),"")</f>
        <v/>
      </c>
    </row>
    <row r="2028">
      <c r="A2028">
        <f>IF($P2028="","",INDEX(상세표[사번],$P2028)&amp;"")</f>
        <v/>
      </c>
      <c r="B2028">
        <f>IF($P2028="","",INDEX(상세표[성명],$P2028)&amp;"")</f>
        <v/>
      </c>
      <c r="C2028">
        <f>IF($P2028="","",INDEX(상세표[부서],$P2028)&amp;"")</f>
        <v/>
      </c>
      <c r="D2028">
        <f>IF($P2028="","",INDEX(상세표[직위],$P2028)&amp;"")</f>
        <v/>
      </c>
      <c r="E2028">
        <f>IF($P2028="","",IF(ISNUMBER(INDEX(상세표[시작],$P2028)),TEXT(INDEX(상세표[시작],$P2028),"yyyy-mm-dd hh:mm"),INDEX(상세표[시작],$P2028)&amp;""))</f>
        <v/>
      </c>
      <c r="F2028">
        <f>IF($P2028="","",IF(ISNUMBER(INDEX(상세표[블록종료],$P2028)),TEXT(INDEX(상세표[블록종료],$P2028),"yyyy-mm-dd hh:mm"),INDEX(상세표[블록종료],$P2028)&amp;""))</f>
        <v/>
      </c>
      <c r="G2028">
        <f>IF($P2028="","",CHOOSE(WEEKDAY(INDEX(상세표[시작],$P2028)),"일","월","화","수","목","금","토"))</f>
        <v/>
      </c>
      <c r="H2028">
        <f>IF($P2028="","",INDEX(상세표[연속 시간],$P2028))</f>
        <v/>
      </c>
      <c r="I2028">
        <f>IF($P2028="","",INDEX(상세표[기록 수],$P2028))</f>
        <v/>
      </c>
      <c r="J2028">
        <f>IF($P2028="","",INDEX(상세표[블록 06~07시],$P2028))</f>
        <v/>
      </c>
      <c r="K2028">
        <f>IF($P2028="","",INDEX(상세표[블록 07~18시],$P2028))</f>
        <v/>
      </c>
      <c r="L2028">
        <f>IF($P2028="","",INDEX(상세표[블록 18~22시],$P2028))</f>
        <v/>
      </c>
      <c r="M2028">
        <f>IF($P2028="","",INDEX(상세표[블록 22~06시],$P2028))</f>
        <v/>
      </c>
      <c r="N2028">
        <f>IF($P2028="","",INDEX(상세표[주말·휴일 포함],$P2028)&amp;"")</f>
        <v/>
      </c>
      <c r="O2028">
        <f>IF($P2028="","",INDEX(상세표[월 넘김 포함],$P2028)&amp;"")</f>
        <v/>
      </c>
      <c r="P2028" s="4">
        <f>IFERROR(MATCH(2023,상세표[연속순번],0),"")</f>
        <v/>
      </c>
    </row>
    <row r="2029">
      <c r="A2029">
        <f>IF($P2029="","",INDEX(상세표[사번],$P2029)&amp;"")</f>
        <v/>
      </c>
      <c r="B2029">
        <f>IF($P2029="","",INDEX(상세표[성명],$P2029)&amp;"")</f>
        <v/>
      </c>
      <c r="C2029">
        <f>IF($P2029="","",INDEX(상세표[부서],$P2029)&amp;"")</f>
        <v/>
      </c>
      <c r="D2029">
        <f>IF($P2029="","",INDEX(상세표[직위],$P2029)&amp;"")</f>
        <v/>
      </c>
      <c r="E2029">
        <f>IF($P2029="","",IF(ISNUMBER(INDEX(상세표[시작],$P2029)),TEXT(INDEX(상세표[시작],$P2029),"yyyy-mm-dd hh:mm"),INDEX(상세표[시작],$P2029)&amp;""))</f>
        <v/>
      </c>
      <c r="F2029">
        <f>IF($P2029="","",IF(ISNUMBER(INDEX(상세표[블록종료],$P2029)),TEXT(INDEX(상세표[블록종료],$P2029),"yyyy-mm-dd hh:mm"),INDEX(상세표[블록종료],$P2029)&amp;""))</f>
        <v/>
      </c>
      <c r="G2029">
        <f>IF($P2029="","",CHOOSE(WEEKDAY(INDEX(상세표[시작],$P2029)),"일","월","화","수","목","금","토"))</f>
        <v/>
      </c>
      <c r="H2029">
        <f>IF($P2029="","",INDEX(상세표[연속 시간],$P2029))</f>
        <v/>
      </c>
      <c r="I2029">
        <f>IF($P2029="","",INDEX(상세표[기록 수],$P2029))</f>
        <v/>
      </c>
      <c r="J2029">
        <f>IF($P2029="","",INDEX(상세표[블록 06~07시],$P2029))</f>
        <v/>
      </c>
      <c r="K2029">
        <f>IF($P2029="","",INDEX(상세표[블록 07~18시],$P2029))</f>
        <v/>
      </c>
      <c r="L2029">
        <f>IF($P2029="","",INDEX(상세표[블록 18~22시],$P2029))</f>
        <v/>
      </c>
      <c r="M2029">
        <f>IF($P2029="","",INDEX(상세표[블록 22~06시],$P2029))</f>
        <v/>
      </c>
      <c r="N2029">
        <f>IF($P2029="","",INDEX(상세표[주말·휴일 포함],$P2029)&amp;"")</f>
        <v/>
      </c>
      <c r="O2029">
        <f>IF($P2029="","",INDEX(상세표[월 넘김 포함],$P2029)&amp;"")</f>
        <v/>
      </c>
      <c r="P2029" s="4">
        <f>IFERROR(MATCH(2024,상세표[연속순번],0),"")</f>
        <v/>
      </c>
    </row>
    <row r="2030">
      <c r="A2030">
        <f>IF($P2030="","",INDEX(상세표[사번],$P2030)&amp;"")</f>
        <v/>
      </c>
      <c r="B2030">
        <f>IF($P2030="","",INDEX(상세표[성명],$P2030)&amp;"")</f>
        <v/>
      </c>
      <c r="C2030">
        <f>IF($P2030="","",INDEX(상세표[부서],$P2030)&amp;"")</f>
        <v/>
      </c>
      <c r="D2030">
        <f>IF($P2030="","",INDEX(상세표[직위],$P2030)&amp;"")</f>
        <v/>
      </c>
      <c r="E2030">
        <f>IF($P2030="","",IF(ISNUMBER(INDEX(상세표[시작],$P2030)),TEXT(INDEX(상세표[시작],$P2030),"yyyy-mm-dd hh:mm"),INDEX(상세표[시작],$P2030)&amp;""))</f>
        <v/>
      </c>
      <c r="F2030">
        <f>IF($P2030="","",IF(ISNUMBER(INDEX(상세표[블록종료],$P2030)),TEXT(INDEX(상세표[블록종료],$P2030),"yyyy-mm-dd hh:mm"),INDEX(상세표[블록종료],$P2030)&amp;""))</f>
        <v/>
      </c>
      <c r="G2030">
        <f>IF($P2030="","",CHOOSE(WEEKDAY(INDEX(상세표[시작],$P2030)),"일","월","화","수","목","금","토"))</f>
        <v/>
      </c>
      <c r="H2030">
        <f>IF($P2030="","",INDEX(상세표[연속 시간],$P2030))</f>
        <v/>
      </c>
      <c r="I2030">
        <f>IF($P2030="","",INDEX(상세표[기록 수],$P2030))</f>
        <v/>
      </c>
      <c r="J2030">
        <f>IF($P2030="","",INDEX(상세표[블록 06~07시],$P2030))</f>
        <v/>
      </c>
      <c r="K2030">
        <f>IF($P2030="","",INDEX(상세표[블록 07~18시],$P2030))</f>
        <v/>
      </c>
      <c r="L2030">
        <f>IF($P2030="","",INDEX(상세표[블록 18~22시],$P2030))</f>
        <v/>
      </c>
      <c r="M2030">
        <f>IF($P2030="","",INDEX(상세표[블록 22~06시],$P2030))</f>
        <v/>
      </c>
      <c r="N2030">
        <f>IF($P2030="","",INDEX(상세표[주말·휴일 포함],$P2030)&amp;"")</f>
        <v/>
      </c>
      <c r="O2030">
        <f>IF($P2030="","",INDEX(상세표[월 넘김 포함],$P2030)&amp;"")</f>
        <v/>
      </c>
      <c r="P2030" s="4">
        <f>IFERROR(MATCH(2025,상세표[연속순번],0),"")</f>
        <v/>
      </c>
    </row>
    <row r="2031">
      <c r="A2031">
        <f>IF($P2031="","",INDEX(상세표[사번],$P2031)&amp;"")</f>
        <v/>
      </c>
      <c r="B2031">
        <f>IF($P2031="","",INDEX(상세표[성명],$P2031)&amp;"")</f>
        <v/>
      </c>
      <c r="C2031">
        <f>IF($P2031="","",INDEX(상세표[부서],$P2031)&amp;"")</f>
        <v/>
      </c>
      <c r="D2031">
        <f>IF($P2031="","",INDEX(상세표[직위],$P2031)&amp;"")</f>
        <v/>
      </c>
      <c r="E2031">
        <f>IF($P2031="","",IF(ISNUMBER(INDEX(상세표[시작],$P2031)),TEXT(INDEX(상세표[시작],$P2031),"yyyy-mm-dd hh:mm"),INDEX(상세표[시작],$P2031)&amp;""))</f>
        <v/>
      </c>
      <c r="F2031">
        <f>IF($P2031="","",IF(ISNUMBER(INDEX(상세표[블록종료],$P2031)),TEXT(INDEX(상세표[블록종료],$P2031),"yyyy-mm-dd hh:mm"),INDEX(상세표[블록종료],$P2031)&amp;""))</f>
        <v/>
      </c>
      <c r="G2031">
        <f>IF($P2031="","",CHOOSE(WEEKDAY(INDEX(상세표[시작],$P2031)),"일","월","화","수","목","금","토"))</f>
        <v/>
      </c>
      <c r="H2031">
        <f>IF($P2031="","",INDEX(상세표[연속 시간],$P2031))</f>
        <v/>
      </c>
      <c r="I2031">
        <f>IF($P2031="","",INDEX(상세표[기록 수],$P2031))</f>
        <v/>
      </c>
      <c r="J2031">
        <f>IF($P2031="","",INDEX(상세표[블록 06~07시],$P2031))</f>
        <v/>
      </c>
      <c r="K2031">
        <f>IF($P2031="","",INDEX(상세표[블록 07~18시],$P2031))</f>
        <v/>
      </c>
      <c r="L2031">
        <f>IF($P2031="","",INDEX(상세표[블록 18~22시],$P2031))</f>
        <v/>
      </c>
      <c r="M2031">
        <f>IF($P2031="","",INDEX(상세표[블록 22~06시],$P2031))</f>
        <v/>
      </c>
      <c r="N2031">
        <f>IF($P2031="","",INDEX(상세표[주말·휴일 포함],$P2031)&amp;"")</f>
        <v/>
      </c>
      <c r="O2031">
        <f>IF($P2031="","",INDEX(상세표[월 넘김 포함],$P2031)&amp;"")</f>
        <v/>
      </c>
      <c r="P2031" s="4">
        <f>IFERROR(MATCH(2026,상세표[연속순번],0),"")</f>
        <v/>
      </c>
    </row>
    <row r="2032">
      <c r="A2032">
        <f>IF($P2032="","",INDEX(상세표[사번],$P2032)&amp;"")</f>
        <v/>
      </c>
      <c r="B2032">
        <f>IF($P2032="","",INDEX(상세표[성명],$P2032)&amp;"")</f>
        <v/>
      </c>
      <c r="C2032">
        <f>IF($P2032="","",INDEX(상세표[부서],$P2032)&amp;"")</f>
        <v/>
      </c>
      <c r="D2032">
        <f>IF($P2032="","",INDEX(상세표[직위],$P2032)&amp;"")</f>
        <v/>
      </c>
      <c r="E2032">
        <f>IF($P2032="","",IF(ISNUMBER(INDEX(상세표[시작],$P2032)),TEXT(INDEX(상세표[시작],$P2032),"yyyy-mm-dd hh:mm"),INDEX(상세표[시작],$P2032)&amp;""))</f>
        <v/>
      </c>
      <c r="F2032">
        <f>IF($P2032="","",IF(ISNUMBER(INDEX(상세표[블록종료],$P2032)),TEXT(INDEX(상세표[블록종료],$P2032),"yyyy-mm-dd hh:mm"),INDEX(상세표[블록종료],$P2032)&amp;""))</f>
        <v/>
      </c>
      <c r="G2032">
        <f>IF($P2032="","",CHOOSE(WEEKDAY(INDEX(상세표[시작],$P2032)),"일","월","화","수","목","금","토"))</f>
        <v/>
      </c>
      <c r="H2032">
        <f>IF($P2032="","",INDEX(상세표[연속 시간],$P2032))</f>
        <v/>
      </c>
      <c r="I2032">
        <f>IF($P2032="","",INDEX(상세표[기록 수],$P2032))</f>
        <v/>
      </c>
      <c r="J2032">
        <f>IF($P2032="","",INDEX(상세표[블록 06~07시],$P2032))</f>
        <v/>
      </c>
      <c r="K2032">
        <f>IF($P2032="","",INDEX(상세표[블록 07~18시],$P2032))</f>
        <v/>
      </c>
      <c r="L2032">
        <f>IF($P2032="","",INDEX(상세표[블록 18~22시],$P2032))</f>
        <v/>
      </c>
      <c r="M2032">
        <f>IF($P2032="","",INDEX(상세표[블록 22~06시],$P2032))</f>
        <v/>
      </c>
      <c r="N2032">
        <f>IF($P2032="","",INDEX(상세표[주말·휴일 포함],$P2032)&amp;"")</f>
        <v/>
      </c>
      <c r="O2032">
        <f>IF($P2032="","",INDEX(상세표[월 넘김 포함],$P2032)&amp;"")</f>
        <v/>
      </c>
      <c r="P2032" s="4">
        <f>IFERROR(MATCH(2027,상세표[연속순번],0),"")</f>
        <v/>
      </c>
    </row>
    <row r="2033">
      <c r="A2033">
        <f>IF($P2033="","",INDEX(상세표[사번],$P2033)&amp;"")</f>
        <v/>
      </c>
      <c r="B2033">
        <f>IF($P2033="","",INDEX(상세표[성명],$P2033)&amp;"")</f>
        <v/>
      </c>
      <c r="C2033">
        <f>IF($P2033="","",INDEX(상세표[부서],$P2033)&amp;"")</f>
        <v/>
      </c>
      <c r="D2033">
        <f>IF($P2033="","",INDEX(상세표[직위],$P2033)&amp;"")</f>
        <v/>
      </c>
      <c r="E2033">
        <f>IF($P2033="","",IF(ISNUMBER(INDEX(상세표[시작],$P2033)),TEXT(INDEX(상세표[시작],$P2033),"yyyy-mm-dd hh:mm"),INDEX(상세표[시작],$P2033)&amp;""))</f>
        <v/>
      </c>
      <c r="F2033">
        <f>IF($P2033="","",IF(ISNUMBER(INDEX(상세표[블록종료],$P2033)),TEXT(INDEX(상세표[블록종료],$P2033),"yyyy-mm-dd hh:mm"),INDEX(상세표[블록종료],$P2033)&amp;""))</f>
        <v/>
      </c>
      <c r="G2033">
        <f>IF($P2033="","",CHOOSE(WEEKDAY(INDEX(상세표[시작],$P2033)),"일","월","화","수","목","금","토"))</f>
        <v/>
      </c>
      <c r="H2033">
        <f>IF($P2033="","",INDEX(상세표[연속 시간],$P2033))</f>
        <v/>
      </c>
      <c r="I2033">
        <f>IF($P2033="","",INDEX(상세표[기록 수],$P2033))</f>
        <v/>
      </c>
      <c r="J2033">
        <f>IF($P2033="","",INDEX(상세표[블록 06~07시],$P2033))</f>
        <v/>
      </c>
      <c r="K2033">
        <f>IF($P2033="","",INDEX(상세표[블록 07~18시],$P2033))</f>
        <v/>
      </c>
      <c r="L2033">
        <f>IF($P2033="","",INDEX(상세표[블록 18~22시],$P2033))</f>
        <v/>
      </c>
      <c r="M2033">
        <f>IF($P2033="","",INDEX(상세표[블록 22~06시],$P2033))</f>
        <v/>
      </c>
      <c r="N2033">
        <f>IF($P2033="","",INDEX(상세표[주말·휴일 포함],$P2033)&amp;"")</f>
        <v/>
      </c>
      <c r="O2033">
        <f>IF($P2033="","",INDEX(상세표[월 넘김 포함],$P2033)&amp;"")</f>
        <v/>
      </c>
      <c r="P2033" s="4">
        <f>IFERROR(MATCH(2028,상세표[연속순번],0),"")</f>
        <v/>
      </c>
    </row>
    <row r="2034">
      <c r="A2034">
        <f>IF($P2034="","",INDEX(상세표[사번],$P2034)&amp;"")</f>
        <v/>
      </c>
      <c r="B2034">
        <f>IF($P2034="","",INDEX(상세표[성명],$P2034)&amp;"")</f>
        <v/>
      </c>
      <c r="C2034">
        <f>IF($P2034="","",INDEX(상세표[부서],$P2034)&amp;"")</f>
        <v/>
      </c>
      <c r="D2034">
        <f>IF($P2034="","",INDEX(상세표[직위],$P2034)&amp;"")</f>
        <v/>
      </c>
      <c r="E2034">
        <f>IF($P2034="","",IF(ISNUMBER(INDEX(상세표[시작],$P2034)),TEXT(INDEX(상세표[시작],$P2034),"yyyy-mm-dd hh:mm"),INDEX(상세표[시작],$P2034)&amp;""))</f>
        <v/>
      </c>
      <c r="F2034">
        <f>IF($P2034="","",IF(ISNUMBER(INDEX(상세표[블록종료],$P2034)),TEXT(INDEX(상세표[블록종료],$P2034),"yyyy-mm-dd hh:mm"),INDEX(상세표[블록종료],$P2034)&amp;""))</f>
        <v/>
      </c>
      <c r="G2034">
        <f>IF($P2034="","",CHOOSE(WEEKDAY(INDEX(상세표[시작],$P2034)),"일","월","화","수","목","금","토"))</f>
        <v/>
      </c>
      <c r="H2034">
        <f>IF($P2034="","",INDEX(상세표[연속 시간],$P2034))</f>
        <v/>
      </c>
      <c r="I2034">
        <f>IF($P2034="","",INDEX(상세표[기록 수],$P2034))</f>
        <v/>
      </c>
      <c r="J2034">
        <f>IF($P2034="","",INDEX(상세표[블록 06~07시],$P2034))</f>
        <v/>
      </c>
      <c r="K2034">
        <f>IF($P2034="","",INDEX(상세표[블록 07~18시],$P2034))</f>
        <v/>
      </c>
      <c r="L2034">
        <f>IF($P2034="","",INDEX(상세표[블록 18~22시],$P2034))</f>
        <v/>
      </c>
      <c r="M2034">
        <f>IF($P2034="","",INDEX(상세표[블록 22~06시],$P2034))</f>
        <v/>
      </c>
      <c r="N2034">
        <f>IF($P2034="","",INDEX(상세표[주말·휴일 포함],$P2034)&amp;"")</f>
        <v/>
      </c>
      <c r="O2034">
        <f>IF($P2034="","",INDEX(상세표[월 넘김 포함],$P2034)&amp;"")</f>
        <v/>
      </c>
      <c r="P2034" s="4">
        <f>IFERROR(MATCH(2029,상세표[연속순번],0),"")</f>
        <v/>
      </c>
    </row>
    <row r="2035">
      <c r="A2035">
        <f>IF($P2035="","",INDEX(상세표[사번],$P2035)&amp;"")</f>
        <v/>
      </c>
      <c r="B2035">
        <f>IF($P2035="","",INDEX(상세표[성명],$P2035)&amp;"")</f>
        <v/>
      </c>
      <c r="C2035">
        <f>IF($P2035="","",INDEX(상세표[부서],$P2035)&amp;"")</f>
        <v/>
      </c>
      <c r="D2035">
        <f>IF($P2035="","",INDEX(상세표[직위],$P2035)&amp;"")</f>
        <v/>
      </c>
      <c r="E2035">
        <f>IF($P2035="","",IF(ISNUMBER(INDEX(상세표[시작],$P2035)),TEXT(INDEX(상세표[시작],$P2035),"yyyy-mm-dd hh:mm"),INDEX(상세표[시작],$P2035)&amp;""))</f>
        <v/>
      </c>
      <c r="F2035">
        <f>IF($P2035="","",IF(ISNUMBER(INDEX(상세표[블록종료],$P2035)),TEXT(INDEX(상세표[블록종료],$P2035),"yyyy-mm-dd hh:mm"),INDEX(상세표[블록종료],$P2035)&amp;""))</f>
        <v/>
      </c>
      <c r="G2035">
        <f>IF($P2035="","",CHOOSE(WEEKDAY(INDEX(상세표[시작],$P2035)),"일","월","화","수","목","금","토"))</f>
        <v/>
      </c>
      <c r="H2035">
        <f>IF($P2035="","",INDEX(상세표[연속 시간],$P2035))</f>
        <v/>
      </c>
      <c r="I2035">
        <f>IF($P2035="","",INDEX(상세표[기록 수],$P2035))</f>
        <v/>
      </c>
      <c r="J2035">
        <f>IF($P2035="","",INDEX(상세표[블록 06~07시],$P2035))</f>
        <v/>
      </c>
      <c r="K2035">
        <f>IF($P2035="","",INDEX(상세표[블록 07~18시],$P2035))</f>
        <v/>
      </c>
      <c r="L2035">
        <f>IF($P2035="","",INDEX(상세표[블록 18~22시],$P2035))</f>
        <v/>
      </c>
      <c r="M2035">
        <f>IF($P2035="","",INDEX(상세표[블록 22~06시],$P2035))</f>
        <v/>
      </c>
      <c r="N2035">
        <f>IF($P2035="","",INDEX(상세표[주말·휴일 포함],$P2035)&amp;"")</f>
        <v/>
      </c>
      <c r="O2035">
        <f>IF($P2035="","",INDEX(상세표[월 넘김 포함],$P2035)&amp;"")</f>
        <v/>
      </c>
      <c r="P2035" s="4">
        <f>IFERROR(MATCH(2030,상세표[연속순번],0),"")</f>
        <v/>
      </c>
    </row>
    <row r="2036">
      <c r="A2036">
        <f>IF($P2036="","",INDEX(상세표[사번],$P2036)&amp;"")</f>
        <v/>
      </c>
      <c r="B2036">
        <f>IF($P2036="","",INDEX(상세표[성명],$P2036)&amp;"")</f>
        <v/>
      </c>
      <c r="C2036">
        <f>IF($P2036="","",INDEX(상세표[부서],$P2036)&amp;"")</f>
        <v/>
      </c>
      <c r="D2036">
        <f>IF($P2036="","",INDEX(상세표[직위],$P2036)&amp;"")</f>
        <v/>
      </c>
      <c r="E2036">
        <f>IF($P2036="","",IF(ISNUMBER(INDEX(상세표[시작],$P2036)),TEXT(INDEX(상세표[시작],$P2036),"yyyy-mm-dd hh:mm"),INDEX(상세표[시작],$P2036)&amp;""))</f>
        <v/>
      </c>
      <c r="F2036">
        <f>IF($P2036="","",IF(ISNUMBER(INDEX(상세표[블록종료],$P2036)),TEXT(INDEX(상세표[블록종료],$P2036),"yyyy-mm-dd hh:mm"),INDEX(상세표[블록종료],$P2036)&amp;""))</f>
        <v/>
      </c>
      <c r="G2036">
        <f>IF($P2036="","",CHOOSE(WEEKDAY(INDEX(상세표[시작],$P2036)),"일","월","화","수","목","금","토"))</f>
        <v/>
      </c>
      <c r="H2036">
        <f>IF($P2036="","",INDEX(상세표[연속 시간],$P2036))</f>
        <v/>
      </c>
      <c r="I2036">
        <f>IF($P2036="","",INDEX(상세표[기록 수],$P2036))</f>
        <v/>
      </c>
      <c r="J2036">
        <f>IF($P2036="","",INDEX(상세표[블록 06~07시],$P2036))</f>
        <v/>
      </c>
      <c r="K2036">
        <f>IF($P2036="","",INDEX(상세표[블록 07~18시],$P2036))</f>
        <v/>
      </c>
      <c r="L2036">
        <f>IF($P2036="","",INDEX(상세표[블록 18~22시],$P2036))</f>
        <v/>
      </c>
      <c r="M2036">
        <f>IF($P2036="","",INDEX(상세표[블록 22~06시],$P2036))</f>
        <v/>
      </c>
      <c r="N2036">
        <f>IF($P2036="","",INDEX(상세표[주말·휴일 포함],$P2036)&amp;"")</f>
        <v/>
      </c>
      <c r="O2036">
        <f>IF($P2036="","",INDEX(상세표[월 넘김 포함],$P2036)&amp;"")</f>
        <v/>
      </c>
      <c r="P2036" s="4">
        <f>IFERROR(MATCH(2031,상세표[연속순번],0),"")</f>
        <v/>
      </c>
    </row>
    <row r="2037">
      <c r="A2037">
        <f>IF($P2037="","",INDEX(상세표[사번],$P2037)&amp;"")</f>
        <v/>
      </c>
      <c r="B2037">
        <f>IF($P2037="","",INDEX(상세표[성명],$P2037)&amp;"")</f>
        <v/>
      </c>
      <c r="C2037">
        <f>IF($P2037="","",INDEX(상세표[부서],$P2037)&amp;"")</f>
        <v/>
      </c>
      <c r="D2037">
        <f>IF($P2037="","",INDEX(상세표[직위],$P2037)&amp;"")</f>
        <v/>
      </c>
      <c r="E2037">
        <f>IF($P2037="","",IF(ISNUMBER(INDEX(상세표[시작],$P2037)),TEXT(INDEX(상세표[시작],$P2037),"yyyy-mm-dd hh:mm"),INDEX(상세표[시작],$P2037)&amp;""))</f>
        <v/>
      </c>
      <c r="F2037">
        <f>IF($P2037="","",IF(ISNUMBER(INDEX(상세표[블록종료],$P2037)),TEXT(INDEX(상세표[블록종료],$P2037),"yyyy-mm-dd hh:mm"),INDEX(상세표[블록종료],$P2037)&amp;""))</f>
        <v/>
      </c>
      <c r="G2037">
        <f>IF($P2037="","",CHOOSE(WEEKDAY(INDEX(상세표[시작],$P2037)),"일","월","화","수","목","금","토"))</f>
        <v/>
      </c>
      <c r="H2037">
        <f>IF($P2037="","",INDEX(상세표[연속 시간],$P2037))</f>
        <v/>
      </c>
      <c r="I2037">
        <f>IF($P2037="","",INDEX(상세표[기록 수],$P2037))</f>
        <v/>
      </c>
      <c r="J2037">
        <f>IF($P2037="","",INDEX(상세표[블록 06~07시],$P2037))</f>
        <v/>
      </c>
      <c r="K2037">
        <f>IF($P2037="","",INDEX(상세표[블록 07~18시],$P2037))</f>
        <v/>
      </c>
      <c r="L2037">
        <f>IF($P2037="","",INDEX(상세표[블록 18~22시],$P2037))</f>
        <v/>
      </c>
      <c r="M2037">
        <f>IF($P2037="","",INDEX(상세표[블록 22~06시],$P2037))</f>
        <v/>
      </c>
      <c r="N2037">
        <f>IF($P2037="","",INDEX(상세표[주말·휴일 포함],$P2037)&amp;"")</f>
        <v/>
      </c>
      <c r="O2037">
        <f>IF($P2037="","",INDEX(상세표[월 넘김 포함],$P2037)&amp;"")</f>
        <v/>
      </c>
      <c r="P2037" s="4">
        <f>IFERROR(MATCH(2032,상세표[연속순번],0),"")</f>
        <v/>
      </c>
    </row>
    <row r="2038">
      <c r="A2038">
        <f>IF($P2038="","",INDEX(상세표[사번],$P2038)&amp;"")</f>
        <v/>
      </c>
      <c r="B2038">
        <f>IF($P2038="","",INDEX(상세표[성명],$P2038)&amp;"")</f>
        <v/>
      </c>
      <c r="C2038">
        <f>IF($P2038="","",INDEX(상세표[부서],$P2038)&amp;"")</f>
        <v/>
      </c>
      <c r="D2038">
        <f>IF($P2038="","",INDEX(상세표[직위],$P2038)&amp;"")</f>
        <v/>
      </c>
      <c r="E2038">
        <f>IF($P2038="","",IF(ISNUMBER(INDEX(상세표[시작],$P2038)),TEXT(INDEX(상세표[시작],$P2038),"yyyy-mm-dd hh:mm"),INDEX(상세표[시작],$P2038)&amp;""))</f>
        <v/>
      </c>
      <c r="F2038">
        <f>IF($P2038="","",IF(ISNUMBER(INDEX(상세표[블록종료],$P2038)),TEXT(INDEX(상세표[블록종료],$P2038),"yyyy-mm-dd hh:mm"),INDEX(상세표[블록종료],$P2038)&amp;""))</f>
        <v/>
      </c>
      <c r="G2038">
        <f>IF($P2038="","",CHOOSE(WEEKDAY(INDEX(상세표[시작],$P2038)),"일","월","화","수","목","금","토"))</f>
        <v/>
      </c>
      <c r="H2038">
        <f>IF($P2038="","",INDEX(상세표[연속 시간],$P2038))</f>
        <v/>
      </c>
      <c r="I2038">
        <f>IF($P2038="","",INDEX(상세표[기록 수],$P2038))</f>
        <v/>
      </c>
      <c r="J2038">
        <f>IF($P2038="","",INDEX(상세표[블록 06~07시],$P2038))</f>
        <v/>
      </c>
      <c r="K2038">
        <f>IF($P2038="","",INDEX(상세표[블록 07~18시],$P2038))</f>
        <v/>
      </c>
      <c r="L2038">
        <f>IF($P2038="","",INDEX(상세표[블록 18~22시],$P2038))</f>
        <v/>
      </c>
      <c r="M2038">
        <f>IF($P2038="","",INDEX(상세표[블록 22~06시],$P2038))</f>
        <v/>
      </c>
      <c r="N2038">
        <f>IF($P2038="","",INDEX(상세표[주말·휴일 포함],$P2038)&amp;"")</f>
        <v/>
      </c>
      <c r="O2038">
        <f>IF($P2038="","",INDEX(상세표[월 넘김 포함],$P2038)&amp;"")</f>
        <v/>
      </c>
      <c r="P2038" s="4">
        <f>IFERROR(MATCH(2033,상세표[연속순번],0),"")</f>
        <v/>
      </c>
    </row>
    <row r="2039">
      <c r="A2039">
        <f>IF($P2039="","",INDEX(상세표[사번],$P2039)&amp;"")</f>
        <v/>
      </c>
      <c r="B2039">
        <f>IF($P2039="","",INDEX(상세표[성명],$P2039)&amp;"")</f>
        <v/>
      </c>
      <c r="C2039">
        <f>IF($P2039="","",INDEX(상세표[부서],$P2039)&amp;"")</f>
        <v/>
      </c>
      <c r="D2039">
        <f>IF($P2039="","",INDEX(상세표[직위],$P2039)&amp;"")</f>
        <v/>
      </c>
      <c r="E2039">
        <f>IF($P2039="","",IF(ISNUMBER(INDEX(상세표[시작],$P2039)),TEXT(INDEX(상세표[시작],$P2039),"yyyy-mm-dd hh:mm"),INDEX(상세표[시작],$P2039)&amp;""))</f>
        <v/>
      </c>
      <c r="F2039">
        <f>IF($P2039="","",IF(ISNUMBER(INDEX(상세표[블록종료],$P2039)),TEXT(INDEX(상세표[블록종료],$P2039),"yyyy-mm-dd hh:mm"),INDEX(상세표[블록종료],$P2039)&amp;""))</f>
        <v/>
      </c>
      <c r="G2039">
        <f>IF($P2039="","",CHOOSE(WEEKDAY(INDEX(상세표[시작],$P2039)),"일","월","화","수","목","금","토"))</f>
        <v/>
      </c>
      <c r="H2039">
        <f>IF($P2039="","",INDEX(상세표[연속 시간],$P2039))</f>
        <v/>
      </c>
      <c r="I2039">
        <f>IF($P2039="","",INDEX(상세표[기록 수],$P2039))</f>
        <v/>
      </c>
      <c r="J2039">
        <f>IF($P2039="","",INDEX(상세표[블록 06~07시],$P2039))</f>
        <v/>
      </c>
      <c r="K2039">
        <f>IF($P2039="","",INDEX(상세표[블록 07~18시],$P2039))</f>
        <v/>
      </c>
      <c r="L2039">
        <f>IF($P2039="","",INDEX(상세표[블록 18~22시],$P2039))</f>
        <v/>
      </c>
      <c r="M2039">
        <f>IF($P2039="","",INDEX(상세표[블록 22~06시],$P2039))</f>
        <v/>
      </c>
      <c r="N2039">
        <f>IF($P2039="","",INDEX(상세표[주말·휴일 포함],$P2039)&amp;"")</f>
        <v/>
      </c>
      <c r="O2039">
        <f>IF($P2039="","",INDEX(상세표[월 넘김 포함],$P2039)&amp;"")</f>
        <v/>
      </c>
      <c r="P2039" s="4">
        <f>IFERROR(MATCH(2034,상세표[연속순번],0),"")</f>
        <v/>
      </c>
    </row>
    <row r="2040">
      <c r="A2040">
        <f>IF($P2040="","",INDEX(상세표[사번],$P2040)&amp;"")</f>
        <v/>
      </c>
      <c r="B2040">
        <f>IF($P2040="","",INDEX(상세표[성명],$P2040)&amp;"")</f>
        <v/>
      </c>
      <c r="C2040">
        <f>IF($P2040="","",INDEX(상세표[부서],$P2040)&amp;"")</f>
        <v/>
      </c>
      <c r="D2040">
        <f>IF($P2040="","",INDEX(상세표[직위],$P2040)&amp;"")</f>
        <v/>
      </c>
      <c r="E2040">
        <f>IF($P2040="","",IF(ISNUMBER(INDEX(상세표[시작],$P2040)),TEXT(INDEX(상세표[시작],$P2040),"yyyy-mm-dd hh:mm"),INDEX(상세표[시작],$P2040)&amp;""))</f>
        <v/>
      </c>
      <c r="F2040">
        <f>IF($P2040="","",IF(ISNUMBER(INDEX(상세표[블록종료],$P2040)),TEXT(INDEX(상세표[블록종료],$P2040),"yyyy-mm-dd hh:mm"),INDEX(상세표[블록종료],$P2040)&amp;""))</f>
        <v/>
      </c>
      <c r="G2040">
        <f>IF($P2040="","",CHOOSE(WEEKDAY(INDEX(상세표[시작],$P2040)),"일","월","화","수","목","금","토"))</f>
        <v/>
      </c>
      <c r="H2040">
        <f>IF($P2040="","",INDEX(상세표[연속 시간],$P2040))</f>
        <v/>
      </c>
      <c r="I2040">
        <f>IF($P2040="","",INDEX(상세표[기록 수],$P2040))</f>
        <v/>
      </c>
      <c r="J2040">
        <f>IF($P2040="","",INDEX(상세표[블록 06~07시],$P2040))</f>
        <v/>
      </c>
      <c r="K2040">
        <f>IF($P2040="","",INDEX(상세표[블록 07~18시],$P2040))</f>
        <v/>
      </c>
      <c r="L2040">
        <f>IF($P2040="","",INDEX(상세표[블록 18~22시],$P2040))</f>
        <v/>
      </c>
      <c r="M2040">
        <f>IF($P2040="","",INDEX(상세표[블록 22~06시],$P2040))</f>
        <v/>
      </c>
      <c r="N2040">
        <f>IF($P2040="","",INDEX(상세표[주말·휴일 포함],$P2040)&amp;"")</f>
        <v/>
      </c>
      <c r="O2040">
        <f>IF($P2040="","",INDEX(상세표[월 넘김 포함],$P2040)&amp;"")</f>
        <v/>
      </c>
      <c r="P2040" s="4">
        <f>IFERROR(MATCH(2035,상세표[연속순번],0),"")</f>
        <v/>
      </c>
    </row>
    <row r="2041">
      <c r="A2041">
        <f>IF($P2041="","",INDEX(상세표[사번],$P2041)&amp;"")</f>
        <v/>
      </c>
      <c r="B2041">
        <f>IF($P2041="","",INDEX(상세표[성명],$P2041)&amp;"")</f>
        <v/>
      </c>
      <c r="C2041">
        <f>IF($P2041="","",INDEX(상세표[부서],$P2041)&amp;"")</f>
        <v/>
      </c>
      <c r="D2041">
        <f>IF($P2041="","",INDEX(상세표[직위],$P2041)&amp;"")</f>
        <v/>
      </c>
      <c r="E2041">
        <f>IF($P2041="","",IF(ISNUMBER(INDEX(상세표[시작],$P2041)),TEXT(INDEX(상세표[시작],$P2041),"yyyy-mm-dd hh:mm"),INDEX(상세표[시작],$P2041)&amp;""))</f>
        <v/>
      </c>
      <c r="F2041">
        <f>IF($P2041="","",IF(ISNUMBER(INDEX(상세표[블록종료],$P2041)),TEXT(INDEX(상세표[블록종료],$P2041),"yyyy-mm-dd hh:mm"),INDEX(상세표[블록종료],$P2041)&amp;""))</f>
        <v/>
      </c>
      <c r="G2041">
        <f>IF($P2041="","",CHOOSE(WEEKDAY(INDEX(상세표[시작],$P2041)),"일","월","화","수","목","금","토"))</f>
        <v/>
      </c>
      <c r="H2041">
        <f>IF($P2041="","",INDEX(상세표[연속 시간],$P2041))</f>
        <v/>
      </c>
      <c r="I2041">
        <f>IF($P2041="","",INDEX(상세표[기록 수],$P2041))</f>
        <v/>
      </c>
      <c r="J2041">
        <f>IF($P2041="","",INDEX(상세표[블록 06~07시],$P2041))</f>
        <v/>
      </c>
      <c r="K2041">
        <f>IF($P2041="","",INDEX(상세표[블록 07~18시],$P2041))</f>
        <v/>
      </c>
      <c r="L2041">
        <f>IF($P2041="","",INDEX(상세표[블록 18~22시],$P2041))</f>
        <v/>
      </c>
      <c r="M2041">
        <f>IF($P2041="","",INDEX(상세표[블록 22~06시],$P2041))</f>
        <v/>
      </c>
      <c r="N2041">
        <f>IF($P2041="","",INDEX(상세표[주말·휴일 포함],$P2041)&amp;"")</f>
        <v/>
      </c>
      <c r="O2041">
        <f>IF($P2041="","",INDEX(상세표[월 넘김 포함],$P2041)&amp;"")</f>
        <v/>
      </c>
      <c r="P2041" s="4">
        <f>IFERROR(MATCH(2036,상세표[연속순번],0),"")</f>
        <v/>
      </c>
    </row>
    <row r="2042">
      <c r="A2042">
        <f>IF($P2042="","",INDEX(상세표[사번],$P2042)&amp;"")</f>
        <v/>
      </c>
      <c r="B2042">
        <f>IF($P2042="","",INDEX(상세표[성명],$P2042)&amp;"")</f>
        <v/>
      </c>
      <c r="C2042">
        <f>IF($P2042="","",INDEX(상세표[부서],$P2042)&amp;"")</f>
        <v/>
      </c>
      <c r="D2042">
        <f>IF($P2042="","",INDEX(상세표[직위],$P2042)&amp;"")</f>
        <v/>
      </c>
      <c r="E2042">
        <f>IF($P2042="","",IF(ISNUMBER(INDEX(상세표[시작],$P2042)),TEXT(INDEX(상세표[시작],$P2042),"yyyy-mm-dd hh:mm"),INDEX(상세표[시작],$P2042)&amp;""))</f>
        <v/>
      </c>
      <c r="F2042">
        <f>IF($P2042="","",IF(ISNUMBER(INDEX(상세표[블록종료],$P2042)),TEXT(INDEX(상세표[블록종료],$P2042),"yyyy-mm-dd hh:mm"),INDEX(상세표[블록종료],$P2042)&amp;""))</f>
        <v/>
      </c>
      <c r="G2042">
        <f>IF($P2042="","",CHOOSE(WEEKDAY(INDEX(상세표[시작],$P2042)),"일","월","화","수","목","금","토"))</f>
        <v/>
      </c>
      <c r="H2042">
        <f>IF($P2042="","",INDEX(상세표[연속 시간],$P2042))</f>
        <v/>
      </c>
      <c r="I2042">
        <f>IF($P2042="","",INDEX(상세표[기록 수],$P2042))</f>
        <v/>
      </c>
      <c r="J2042">
        <f>IF($P2042="","",INDEX(상세표[블록 06~07시],$P2042))</f>
        <v/>
      </c>
      <c r="K2042">
        <f>IF($P2042="","",INDEX(상세표[블록 07~18시],$P2042))</f>
        <v/>
      </c>
      <c r="L2042">
        <f>IF($P2042="","",INDEX(상세표[블록 18~22시],$P2042))</f>
        <v/>
      </c>
      <c r="M2042">
        <f>IF($P2042="","",INDEX(상세표[블록 22~06시],$P2042))</f>
        <v/>
      </c>
      <c r="N2042">
        <f>IF($P2042="","",INDEX(상세표[주말·휴일 포함],$P2042)&amp;"")</f>
        <v/>
      </c>
      <c r="O2042">
        <f>IF($P2042="","",INDEX(상세표[월 넘김 포함],$P2042)&amp;"")</f>
        <v/>
      </c>
      <c r="P2042" s="4">
        <f>IFERROR(MATCH(2037,상세표[연속순번],0),"")</f>
        <v/>
      </c>
    </row>
    <row r="2043">
      <c r="A2043">
        <f>IF($P2043="","",INDEX(상세표[사번],$P2043)&amp;"")</f>
        <v/>
      </c>
      <c r="B2043">
        <f>IF($P2043="","",INDEX(상세표[성명],$P2043)&amp;"")</f>
        <v/>
      </c>
      <c r="C2043">
        <f>IF($P2043="","",INDEX(상세표[부서],$P2043)&amp;"")</f>
        <v/>
      </c>
      <c r="D2043">
        <f>IF($P2043="","",INDEX(상세표[직위],$P2043)&amp;"")</f>
        <v/>
      </c>
      <c r="E2043">
        <f>IF($P2043="","",IF(ISNUMBER(INDEX(상세표[시작],$P2043)),TEXT(INDEX(상세표[시작],$P2043),"yyyy-mm-dd hh:mm"),INDEX(상세표[시작],$P2043)&amp;""))</f>
        <v/>
      </c>
      <c r="F2043">
        <f>IF($P2043="","",IF(ISNUMBER(INDEX(상세표[블록종료],$P2043)),TEXT(INDEX(상세표[블록종료],$P2043),"yyyy-mm-dd hh:mm"),INDEX(상세표[블록종료],$P2043)&amp;""))</f>
        <v/>
      </c>
      <c r="G2043">
        <f>IF($P2043="","",CHOOSE(WEEKDAY(INDEX(상세표[시작],$P2043)),"일","월","화","수","목","금","토"))</f>
        <v/>
      </c>
      <c r="H2043">
        <f>IF($P2043="","",INDEX(상세표[연속 시간],$P2043))</f>
        <v/>
      </c>
      <c r="I2043">
        <f>IF($P2043="","",INDEX(상세표[기록 수],$P2043))</f>
        <v/>
      </c>
      <c r="J2043">
        <f>IF($P2043="","",INDEX(상세표[블록 06~07시],$P2043))</f>
        <v/>
      </c>
      <c r="K2043">
        <f>IF($P2043="","",INDEX(상세표[블록 07~18시],$P2043))</f>
        <v/>
      </c>
      <c r="L2043">
        <f>IF($P2043="","",INDEX(상세표[블록 18~22시],$P2043))</f>
        <v/>
      </c>
      <c r="M2043">
        <f>IF($P2043="","",INDEX(상세표[블록 22~06시],$P2043))</f>
        <v/>
      </c>
      <c r="N2043">
        <f>IF($P2043="","",INDEX(상세표[주말·휴일 포함],$P2043)&amp;"")</f>
        <v/>
      </c>
      <c r="O2043">
        <f>IF($P2043="","",INDEX(상세표[월 넘김 포함],$P2043)&amp;"")</f>
        <v/>
      </c>
      <c r="P2043" s="4">
        <f>IFERROR(MATCH(2038,상세표[연속순번],0),"")</f>
        <v/>
      </c>
    </row>
    <row r="2044">
      <c r="A2044">
        <f>IF($P2044="","",INDEX(상세표[사번],$P2044)&amp;"")</f>
        <v/>
      </c>
      <c r="B2044">
        <f>IF($P2044="","",INDEX(상세표[성명],$P2044)&amp;"")</f>
        <v/>
      </c>
      <c r="C2044">
        <f>IF($P2044="","",INDEX(상세표[부서],$P2044)&amp;"")</f>
        <v/>
      </c>
      <c r="D2044">
        <f>IF($P2044="","",INDEX(상세표[직위],$P2044)&amp;"")</f>
        <v/>
      </c>
      <c r="E2044">
        <f>IF($P2044="","",IF(ISNUMBER(INDEX(상세표[시작],$P2044)),TEXT(INDEX(상세표[시작],$P2044),"yyyy-mm-dd hh:mm"),INDEX(상세표[시작],$P2044)&amp;""))</f>
        <v/>
      </c>
      <c r="F2044">
        <f>IF($P2044="","",IF(ISNUMBER(INDEX(상세표[블록종료],$P2044)),TEXT(INDEX(상세표[블록종료],$P2044),"yyyy-mm-dd hh:mm"),INDEX(상세표[블록종료],$P2044)&amp;""))</f>
        <v/>
      </c>
      <c r="G2044">
        <f>IF($P2044="","",CHOOSE(WEEKDAY(INDEX(상세표[시작],$P2044)),"일","월","화","수","목","금","토"))</f>
        <v/>
      </c>
      <c r="H2044">
        <f>IF($P2044="","",INDEX(상세표[연속 시간],$P2044))</f>
        <v/>
      </c>
      <c r="I2044">
        <f>IF($P2044="","",INDEX(상세표[기록 수],$P2044))</f>
        <v/>
      </c>
      <c r="J2044">
        <f>IF($P2044="","",INDEX(상세표[블록 06~07시],$P2044))</f>
        <v/>
      </c>
      <c r="K2044">
        <f>IF($P2044="","",INDEX(상세표[블록 07~18시],$P2044))</f>
        <v/>
      </c>
      <c r="L2044">
        <f>IF($P2044="","",INDEX(상세표[블록 18~22시],$P2044))</f>
        <v/>
      </c>
      <c r="M2044">
        <f>IF($P2044="","",INDEX(상세표[블록 22~06시],$P2044))</f>
        <v/>
      </c>
      <c r="N2044">
        <f>IF($P2044="","",INDEX(상세표[주말·휴일 포함],$P2044)&amp;"")</f>
        <v/>
      </c>
      <c r="O2044">
        <f>IF($P2044="","",INDEX(상세표[월 넘김 포함],$P2044)&amp;"")</f>
        <v/>
      </c>
      <c r="P2044" s="4">
        <f>IFERROR(MATCH(2039,상세표[연속순번],0),"")</f>
        <v/>
      </c>
    </row>
    <row r="2045">
      <c r="A2045">
        <f>IF($P2045="","",INDEX(상세표[사번],$P2045)&amp;"")</f>
        <v/>
      </c>
      <c r="B2045">
        <f>IF($P2045="","",INDEX(상세표[성명],$P2045)&amp;"")</f>
        <v/>
      </c>
      <c r="C2045">
        <f>IF($P2045="","",INDEX(상세표[부서],$P2045)&amp;"")</f>
        <v/>
      </c>
      <c r="D2045">
        <f>IF($P2045="","",INDEX(상세표[직위],$P2045)&amp;"")</f>
        <v/>
      </c>
      <c r="E2045">
        <f>IF($P2045="","",IF(ISNUMBER(INDEX(상세표[시작],$P2045)),TEXT(INDEX(상세표[시작],$P2045),"yyyy-mm-dd hh:mm"),INDEX(상세표[시작],$P2045)&amp;""))</f>
        <v/>
      </c>
      <c r="F2045">
        <f>IF($P2045="","",IF(ISNUMBER(INDEX(상세표[블록종료],$P2045)),TEXT(INDEX(상세표[블록종료],$P2045),"yyyy-mm-dd hh:mm"),INDEX(상세표[블록종료],$P2045)&amp;""))</f>
        <v/>
      </c>
      <c r="G2045">
        <f>IF($P2045="","",CHOOSE(WEEKDAY(INDEX(상세표[시작],$P2045)),"일","월","화","수","목","금","토"))</f>
        <v/>
      </c>
      <c r="H2045">
        <f>IF($P2045="","",INDEX(상세표[연속 시간],$P2045))</f>
        <v/>
      </c>
      <c r="I2045">
        <f>IF($P2045="","",INDEX(상세표[기록 수],$P2045))</f>
        <v/>
      </c>
      <c r="J2045">
        <f>IF($P2045="","",INDEX(상세표[블록 06~07시],$P2045))</f>
        <v/>
      </c>
      <c r="K2045">
        <f>IF($P2045="","",INDEX(상세표[블록 07~18시],$P2045))</f>
        <v/>
      </c>
      <c r="L2045">
        <f>IF($P2045="","",INDEX(상세표[블록 18~22시],$P2045))</f>
        <v/>
      </c>
      <c r="M2045">
        <f>IF($P2045="","",INDEX(상세표[블록 22~06시],$P2045))</f>
        <v/>
      </c>
      <c r="N2045">
        <f>IF($P2045="","",INDEX(상세표[주말·휴일 포함],$P2045)&amp;"")</f>
        <v/>
      </c>
      <c r="O2045">
        <f>IF($P2045="","",INDEX(상세표[월 넘김 포함],$P2045)&amp;"")</f>
        <v/>
      </c>
      <c r="P2045" s="4">
        <f>IFERROR(MATCH(2040,상세표[연속순번],0),"")</f>
        <v/>
      </c>
    </row>
    <row r="2046">
      <c r="A2046">
        <f>IF($P2046="","",INDEX(상세표[사번],$P2046)&amp;"")</f>
        <v/>
      </c>
      <c r="B2046">
        <f>IF($P2046="","",INDEX(상세표[성명],$P2046)&amp;"")</f>
        <v/>
      </c>
      <c r="C2046">
        <f>IF($P2046="","",INDEX(상세표[부서],$P2046)&amp;"")</f>
        <v/>
      </c>
      <c r="D2046">
        <f>IF($P2046="","",INDEX(상세표[직위],$P2046)&amp;"")</f>
        <v/>
      </c>
      <c r="E2046">
        <f>IF($P2046="","",IF(ISNUMBER(INDEX(상세표[시작],$P2046)),TEXT(INDEX(상세표[시작],$P2046),"yyyy-mm-dd hh:mm"),INDEX(상세표[시작],$P2046)&amp;""))</f>
        <v/>
      </c>
      <c r="F2046">
        <f>IF($P2046="","",IF(ISNUMBER(INDEX(상세표[블록종료],$P2046)),TEXT(INDEX(상세표[블록종료],$P2046),"yyyy-mm-dd hh:mm"),INDEX(상세표[블록종료],$P2046)&amp;""))</f>
        <v/>
      </c>
      <c r="G2046">
        <f>IF($P2046="","",CHOOSE(WEEKDAY(INDEX(상세표[시작],$P2046)),"일","월","화","수","목","금","토"))</f>
        <v/>
      </c>
      <c r="H2046">
        <f>IF($P2046="","",INDEX(상세표[연속 시간],$P2046))</f>
        <v/>
      </c>
      <c r="I2046">
        <f>IF($P2046="","",INDEX(상세표[기록 수],$P2046))</f>
        <v/>
      </c>
      <c r="J2046">
        <f>IF($P2046="","",INDEX(상세표[블록 06~07시],$P2046))</f>
        <v/>
      </c>
      <c r="K2046">
        <f>IF($P2046="","",INDEX(상세표[블록 07~18시],$P2046))</f>
        <v/>
      </c>
      <c r="L2046">
        <f>IF($P2046="","",INDEX(상세표[블록 18~22시],$P2046))</f>
        <v/>
      </c>
      <c r="M2046">
        <f>IF($P2046="","",INDEX(상세표[블록 22~06시],$P2046))</f>
        <v/>
      </c>
      <c r="N2046">
        <f>IF($P2046="","",INDEX(상세표[주말·휴일 포함],$P2046)&amp;"")</f>
        <v/>
      </c>
      <c r="O2046">
        <f>IF($P2046="","",INDEX(상세표[월 넘김 포함],$P2046)&amp;"")</f>
        <v/>
      </c>
      <c r="P2046" s="4">
        <f>IFERROR(MATCH(2041,상세표[연속순번],0),"")</f>
        <v/>
      </c>
    </row>
    <row r="2047">
      <c r="A2047">
        <f>IF($P2047="","",INDEX(상세표[사번],$P2047)&amp;"")</f>
        <v/>
      </c>
      <c r="B2047">
        <f>IF($P2047="","",INDEX(상세표[성명],$P2047)&amp;"")</f>
        <v/>
      </c>
      <c r="C2047">
        <f>IF($P2047="","",INDEX(상세표[부서],$P2047)&amp;"")</f>
        <v/>
      </c>
      <c r="D2047">
        <f>IF($P2047="","",INDEX(상세표[직위],$P2047)&amp;"")</f>
        <v/>
      </c>
      <c r="E2047">
        <f>IF($P2047="","",IF(ISNUMBER(INDEX(상세표[시작],$P2047)),TEXT(INDEX(상세표[시작],$P2047),"yyyy-mm-dd hh:mm"),INDEX(상세표[시작],$P2047)&amp;""))</f>
        <v/>
      </c>
      <c r="F2047">
        <f>IF($P2047="","",IF(ISNUMBER(INDEX(상세표[블록종료],$P2047)),TEXT(INDEX(상세표[블록종료],$P2047),"yyyy-mm-dd hh:mm"),INDEX(상세표[블록종료],$P2047)&amp;""))</f>
        <v/>
      </c>
      <c r="G2047">
        <f>IF($P2047="","",CHOOSE(WEEKDAY(INDEX(상세표[시작],$P2047)),"일","월","화","수","목","금","토"))</f>
        <v/>
      </c>
      <c r="H2047">
        <f>IF($P2047="","",INDEX(상세표[연속 시간],$P2047))</f>
        <v/>
      </c>
      <c r="I2047">
        <f>IF($P2047="","",INDEX(상세표[기록 수],$P2047))</f>
        <v/>
      </c>
      <c r="J2047">
        <f>IF($P2047="","",INDEX(상세표[블록 06~07시],$P2047))</f>
        <v/>
      </c>
      <c r="K2047">
        <f>IF($P2047="","",INDEX(상세표[블록 07~18시],$P2047))</f>
        <v/>
      </c>
      <c r="L2047">
        <f>IF($P2047="","",INDEX(상세표[블록 18~22시],$P2047))</f>
        <v/>
      </c>
      <c r="M2047">
        <f>IF($P2047="","",INDEX(상세표[블록 22~06시],$P2047))</f>
        <v/>
      </c>
      <c r="N2047">
        <f>IF($P2047="","",INDEX(상세표[주말·휴일 포함],$P2047)&amp;"")</f>
        <v/>
      </c>
      <c r="O2047">
        <f>IF($P2047="","",INDEX(상세표[월 넘김 포함],$P2047)&amp;"")</f>
        <v/>
      </c>
      <c r="P2047" s="4">
        <f>IFERROR(MATCH(2042,상세표[연속순번],0),"")</f>
        <v/>
      </c>
    </row>
    <row r="2048">
      <c r="A2048">
        <f>IF($P2048="","",INDEX(상세표[사번],$P2048)&amp;"")</f>
        <v/>
      </c>
      <c r="B2048">
        <f>IF($P2048="","",INDEX(상세표[성명],$P2048)&amp;"")</f>
        <v/>
      </c>
      <c r="C2048">
        <f>IF($P2048="","",INDEX(상세표[부서],$P2048)&amp;"")</f>
        <v/>
      </c>
      <c r="D2048">
        <f>IF($P2048="","",INDEX(상세표[직위],$P2048)&amp;"")</f>
        <v/>
      </c>
      <c r="E2048">
        <f>IF($P2048="","",IF(ISNUMBER(INDEX(상세표[시작],$P2048)),TEXT(INDEX(상세표[시작],$P2048),"yyyy-mm-dd hh:mm"),INDEX(상세표[시작],$P2048)&amp;""))</f>
        <v/>
      </c>
      <c r="F2048">
        <f>IF($P2048="","",IF(ISNUMBER(INDEX(상세표[블록종료],$P2048)),TEXT(INDEX(상세표[블록종료],$P2048),"yyyy-mm-dd hh:mm"),INDEX(상세표[블록종료],$P2048)&amp;""))</f>
        <v/>
      </c>
      <c r="G2048">
        <f>IF($P2048="","",CHOOSE(WEEKDAY(INDEX(상세표[시작],$P2048)),"일","월","화","수","목","금","토"))</f>
        <v/>
      </c>
      <c r="H2048">
        <f>IF($P2048="","",INDEX(상세표[연속 시간],$P2048))</f>
        <v/>
      </c>
      <c r="I2048">
        <f>IF($P2048="","",INDEX(상세표[기록 수],$P2048))</f>
        <v/>
      </c>
      <c r="J2048">
        <f>IF($P2048="","",INDEX(상세표[블록 06~07시],$P2048))</f>
        <v/>
      </c>
      <c r="K2048">
        <f>IF($P2048="","",INDEX(상세표[블록 07~18시],$P2048))</f>
        <v/>
      </c>
      <c r="L2048">
        <f>IF($P2048="","",INDEX(상세표[블록 18~22시],$P2048))</f>
        <v/>
      </c>
      <c r="M2048">
        <f>IF($P2048="","",INDEX(상세표[블록 22~06시],$P2048))</f>
        <v/>
      </c>
      <c r="N2048">
        <f>IF($P2048="","",INDEX(상세표[주말·휴일 포함],$P2048)&amp;"")</f>
        <v/>
      </c>
      <c r="O2048">
        <f>IF($P2048="","",INDEX(상세표[월 넘김 포함],$P2048)&amp;"")</f>
        <v/>
      </c>
      <c r="P2048" s="4">
        <f>IFERROR(MATCH(2043,상세표[연속순번],0),"")</f>
        <v/>
      </c>
    </row>
    <row r="2049">
      <c r="A2049">
        <f>IF($P2049="","",INDEX(상세표[사번],$P2049)&amp;"")</f>
        <v/>
      </c>
      <c r="B2049">
        <f>IF($P2049="","",INDEX(상세표[성명],$P2049)&amp;"")</f>
        <v/>
      </c>
      <c r="C2049">
        <f>IF($P2049="","",INDEX(상세표[부서],$P2049)&amp;"")</f>
        <v/>
      </c>
      <c r="D2049">
        <f>IF($P2049="","",INDEX(상세표[직위],$P2049)&amp;"")</f>
        <v/>
      </c>
      <c r="E2049">
        <f>IF($P2049="","",IF(ISNUMBER(INDEX(상세표[시작],$P2049)),TEXT(INDEX(상세표[시작],$P2049),"yyyy-mm-dd hh:mm"),INDEX(상세표[시작],$P2049)&amp;""))</f>
        <v/>
      </c>
      <c r="F2049">
        <f>IF($P2049="","",IF(ISNUMBER(INDEX(상세표[블록종료],$P2049)),TEXT(INDEX(상세표[블록종료],$P2049),"yyyy-mm-dd hh:mm"),INDEX(상세표[블록종료],$P2049)&amp;""))</f>
        <v/>
      </c>
      <c r="G2049">
        <f>IF($P2049="","",CHOOSE(WEEKDAY(INDEX(상세표[시작],$P2049)),"일","월","화","수","목","금","토"))</f>
        <v/>
      </c>
      <c r="H2049">
        <f>IF($P2049="","",INDEX(상세표[연속 시간],$P2049))</f>
        <v/>
      </c>
      <c r="I2049">
        <f>IF($P2049="","",INDEX(상세표[기록 수],$P2049))</f>
        <v/>
      </c>
      <c r="J2049">
        <f>IF($P2049="","",INDEX(상세표[블록 06~07시],$P2049))</f>
        <v/>
      </c>
      <c r="K2049">
        <f>IF($P2049="","",INDEX(상세표[블록 07~18시],$P2049))</f>
        <v/>
      </c>
      <c r="L2049">
        <f>IF($P2049="","",INDEX(상세표[블록 18~22시],$P2049))</f>
        <v/>
      </c>
      <c r="M2049">
        <f>IF($P2049="","",INDEX(상세표[블록 22~06시],$P2049))</f>
        <v/>
      </c>
      <c r="N2049">
        <f>IF($P2049="","",INDEX(상세표[주말·휴일 포함],$P2049)&amp;"")</f>
        <v/>
      </c>
      <c r="O2049">
        <f>IF($P2049="","",INDEX(상세표[월 넘김 포함],$P2049)&amp;"")</f>
        <v/>
      </c>
      <c r="P2049" s="4">
        <f>IFERROR(MATCH(2044,상세표[연속순번],0),"")</f>
        <v/>
      </c>
    </row>
    <row r="2050">
      <c r="A2050">
        <f>IF($P2050="","",INDEX(상세표[사번],$P2050)&amp;"")</f>
        <v/>
      </c>
      <c r="B2050">
        <f>IF($P2050="","",INDEX(상세표[성명],$P2050)&amp;"")</f>
        <v/>
      </c>
      <c r="C2050">
        <f>IF($P2050="","",INDEX(상세표[부서],$P2050)&amp;"")</f>
        <v/>
      </c>
      <c r="D2050">
        <f>IF($P2050="","",INDEX(상세표[직위],$P2050)&amp;"")</f>
        <v/>
      </c>
      <c r="E2050">
        <f>IF($P2050="","",IF(ISNUMBER(INDEX(상세표[시작],$P2050)),TEXT(INDEX(상세표[시작],$P2050),"yyyy-mm-dd hh:mm"),INDEX(상세표[시작],$P2050)&amp;""))</f>
        <v/>
      </c>
      <c r="F2050">
        <f>IF($P2050="","",IF(ISNUMBER(INDEX(상세표[블록종료],$P2050)),TEXT(INDEX(상세표[블록종료],$P2050),"yyyy-mm-dd hh:mm"),INDEX(상세표[블록종료],$P2050)&amp;""))</f>
        <v/>
      </c>
      <c r="G2050">
        <f>IF($P2050="","",CHOOSE(WEEKDAY(INDEX(상세표[시작],$P2050)),"일","월","화","수","목","금","토"))</f>
        <v/>
      </c>
      <c r="H2050">
        <f>IF($P2050="","",INDEX(상세표[연속 시간],$P2050))</f>
        <v/>
      </c>
      <c r="I2050">
        <f>IF($P2050="","",INDEX(상세표[기록 수],$P2050))</f>
        <v/>
      </c>
      <c r="J2050">
        <f>IF($P2050="","",INDEX(상세표[블록 06~07시],$P2050))</f>
        <v/>
      </c>
      <c r="K2050">
        <f>IF($P2050="","",INDEX(상세표[블록 07~18시],$P2050))</f>
        <v/>
      </c>
      <c r="L2050">
        <f>IF($P2050="","",INDEX(상세표[블록 18~22시],$P2050))</f>
        <v/>
      </c>
      <c r="M2050">
        <f>IF($P2050="","",INDEX(상세표[블록 22~06시],$P2050))</f>
        <v/>
      </c>
      <c r="N2050">
        <f>IF($P2050="","",INDEX(상세표[주말·휴일 포함],$P2050)&amp;"")</f>
        <v/>
      </c>
      <c r="O2050">
        <f>IF($P2050="","",INDEX(상세표[월 넘김 포함],$P2050)&amp;"")</f>
        <v/>
      </c>
      <c r="P2050" s="4">
        <f>IFERROR(MATCH(2045,상세표[연속순번],0),"")</f>
        <v/>
      </c>
    </row>
    <row r="2051">
      <c r="A2051">
        <f>IF($P2051="","",INDEX(상세표[사번],$P2051)&amp;"")</f>
        <v/>
      </c>
      <c r="B2051">
        <f>IF($P2051="","",INDEX(상세표[성명],$P2051)&amp;"")</f>
        <v/>
      </c>
      <c r="C2051">
        <f>IF($P2051="","",INDEX(상세표[부서],$P2051)&amp;"")</f>
        <v/>
      </c>
      <c r="D2051">
        <f>IF($P2051="","",INDEX(상세표[직위],$P2051)&amp;"")</f>
        <v/>
      </c>
      <c r="E2051">
        <f>IF($P2051="","",IF(ISNUMBER(INDEX(상세표[시작],$P2051)),TEXT(INDEX(상세표[시작],$P2051),"yyyy-mm-dd hh:mm"),INDEX(상세표[시작],$P2051)&amp;""))</f>
        <v/>
      </c>
      <c r="F2051">
        <f>IF($P2051="","",IF(ISNUMBER(INDEX(상세표[블록종료],$P2051)),TEXT(INDEX(상세표[블록종료],$P2051),"yyyy-mm-dd hh:mm"),INDEX(상세표[블록종료],$P2051)&amp;""))</f>
        <v/>
      </c>
      <c r="G2051">
        <f>IF($P2051="","",CHOOSE(WEEKDAY(INDEX(상세표[시작],$P2051)),"일","월","화","수","목","금","토"))</f>
        <v/>
      </c>
      <c r="H2051">
        <f>IF($P2051="","",INDEX(상세표[연속 시간],$P2051))</f>
        <v/>
      </c>
      <c r="I2051">
        <f>IF($P2051="","",INDEX(상세표[기록 수],$P2051))</f>
        <v/>
      </c>
      <c r="J2051">
        <f>IF($P2051="","",INDEX(상세표[블록 06~07시],$P2051))</f>
        <v/>
      </c>
      <c r="K2051">
        <f>IF($P2051="","",INDEX(상세표[블록 07~18시],$P2051))</f>
        <v/>
      </c>
      <c r="L2051">
        <f>IF($P2051="","",INDEX(상세표[블록 18~22시],$P2051))</f>
        <v/>
      </c>
      <c r="M2051">
        <f>IF($P2051="","",INDEX(상세표[블록 22~06시],$P2051))</f>
        <v/>
      </c>
      <c r="N2051">
        <f>IF($P2051="","",INDEX(상세표[주말·휴일 포함],$P2051)&amp;"")</f>
        <v/>
      </c>
      <c r="O2051">
        <f>IF($P2051="","",INDEX(상세표[월 넘김 포함],$P2051)&amp;"")</f>
        <v/>
      </c>
      <c r="P2051" s="4">
        <f>IFERROR(MATCH(2046,상세표[연속순번],0),"")</f>
        <v/>
      </c>
    </row>
    <row r="2052">
      <c r="A2052">
        <f>IF($P2052="","",INDEX(상세표[사번],$P2052)&amp;"")</f>
        <v/>
      </c>
      <c r="B2052">
        <f>IF($P2052="","",INDEX(상세표[성명],$P2052)&amp;"")</f>
        <v/>
      </c>
      <c r="C2052">
        <f>IF($P2052="","",INDEX(상세표[부서],$P2052)&amp;"")</f>
        <v/>
      </c>
      <c r="D2052">
        <f>IF($P2052="","",INDEX(상세표[직위],$P2052)&amp;"")</f>
        <v/>
      </c>
      <c r="E2052">
        <f>IF($P2052="","",IF(ISNUMBER(INDEX(상세표[시작],$P2052)),TEXT(INDEX(상세표[시작],$P2052),"yyyy-mm-dd hh:mm"),INDEX(상세표[시작],$P2052)&amp;""))</f>
        <v/>
      </c>
      <c r="F2052">
        <f>IF($P2052="","",IF(ISNUMBER(INDEX(상세표[블록종료],$P2052)),TEXT(INDEX(상세표[블록종료],$P2052),"yyyy-mm-dd hh:mm"),INDEX(상세표[블록종료],$P2052)&amp;""))</f>
        <v/>
      </c>
      <c r="G2052">
        <f>IF($P2052="","",CHOOSE(WEEKDAY(INDEX(상세표[시작],$P2052)),"일","월","화","수","목","금","토"))</f>
        <v/>
      </c>
      <c r="H2052">
        <f>IF($P2052="","",INDEX(상세표[연속 시간],$P2052))</f>
        <v/>
      </c>
      <c r="I2052">
        <f>IF($P2052="","",INDEX(상세표[기록 수],$P2052))</f>
        <v/>
      </c>
      <c r="J2052">
        <f>IF($P2052="","",INDEX(상세표[블록 06~07시],$P2052))</f>
        <v/>
      </c>
      <c r="K2052">
        <f>IF($P2052="","",INDEX(상세표[블록 07~18시],$P2052))</f>
        <v/>
      </c>
      <c r="L2052">
        <f>IF($P2052="","",INDEX(상세표[블록 18~22시],$P2052))</f>
        <v/>
      </c>
      <c r="M2052">
        <f>IF($P2052="","",INDEX(상세표[블록 22~06시],$P2052))</f>
        <v/>
      </c>
      <c r="N2052">
        <f>IF($P2052="","",INDEX(상세표[주말·휴일 포함],$P2052)&amp;"")</f>
        <v/>
      </c>
      <c r="O2052">
        <f>IF($P2052="","",INDEX(상세표[월 넘김 포함],$P2052)&amp;"")</f>
        <v/>
      </c>
      <c r="P2052" s="4">
        <f>IFERROR(MATCH(2047,상세표[연속순번],0),"")</f>
        <v/>
      </c>
    </row>
    <row r="2053">
      <c r="A2053">
        <f>IF($P2053="","",INDEX(상세표[사번],$P2053)&amp;"")</f>
        <v/>
      </c>
      <c r="B2053">
        <f>IF($P2053="","",INDEX(상세표[성명],$P2053)&amp;"")</f>
        <v/>
      </c>
      <c r="C2053">
        <f>IF($P2053="","",INDEX(상세표[부서],$P2053)&amp;"")</f>
        <v/>
      </c>
      <c r="D2053">
        <f>IF($P2053="","",INDEX(상세표[직위],$P2053)&amp;"")</f>
        <v/>
      </c>
      <c r="E2053">
        <f>IF($P2053="","",IF(ISNUMBER(INDEX(상세표[시작],$P2053)),TEXT(INDEX(상세표[시작],$P2053),"yyyy-mm-dd hh:mm"),INDEX(상세표[시작],$P2053)&amp;""))</f>
        <v/>
      </c>
      <c r="F2053">
        <f>IF($P2053="","",IF(ISNUMBER(INDEX(상세표[블록종료],$P2053)),TEXT(INDEX(상세표[블록종료],$P2053),"yyyy-mm-dd hh:mm"),INDEX(상세표[블록종료],$P2053)&amp;""))</f>
        <v/>
      </c>
      <c r="G2053">
        <f>IF($P2053="","",CHOOSE(WEEKDAY(INDEX(상세표[시작],$P2053)),"일","월","화","수","목","금","토"))</f>
        <v/>
      </c>
      <c r="H2053">
        <f>IF($P2053="","",INDEX(상세표[연속 시간],$P2053))</f>
        <v/>
      </c>
      <c r="I2053">
        <f>IF($P2053="","",INDEX(상세표[기록 수],$P2053))</f>
        <v/>
      </c>
      <c r="J2053">
        <f>IF($P2053="","",INDEX(상세표[블록 06~07시],$P2053))</f>
        <v/>
      </c>
      <c r="K2053">
        <f>IF($P2053="","",INDEX(상세표[블록 07~18시],$P2053))</f>
        <v/>
      </c>
      <c r="L2053">
        <f>IF($P2053="","",INDEX(상세표[블록 18~22시],$P2053))</f>
        <v/>
      </c>
      <c r="M2053">
        <f>IF($P2053="","",INDEX(상세표[블록 22~06시],$P2053))</f>
        <v/>
      </c>
      <c r="N2053">
        <f>IF($P2053="","",INDEX(상세표[주말·휴일 포함],$P2053)&amp;"")</f>
        <v/>
      </c>
      <c r="O2053">
        <f>IF($P2053="","",INDEX(상세표[월 넘김 포함],$P2053)&amp;"")</f>
        <v/>
      </c>
      <c r="P2053" s="4">
        <f>IFERROR(MATCH(2048,상세표[연속순번],0),"")</f>
        <v/>
      </c>
    </row>
    <row r="2054">
      <c r="A2054">
        <f>IF($P2054="","",INDEX(상세표[사번],$P2054)&amp;"")</f>
        <v/>
      </c>
      <c r="B2054">
        <f>IF($P2054="","",INDEX(상세표[성명],$P2054)&amp;"")</f>
        <v/>
      </c>
      <c r="C2054">
        <f>IF($P2054="","",INDEX(상세표[부서],$P2054)&amp;"")</f>
        <v/>
      </c>
      <c r="D2054">
        <f>IF($P2054="","",INDEX(상세표[직위],$P2054)&amp;"")</f>
        <v/>
      </c>
      <c r="E2054">
        <f>IF($P2054="","",IF(ISNUMBER(INDEX(상세표[시작],$P2054)),TEXT(INDEX(상세표[시작],$P2054),"yyyy-mm-dd hh:mm"),INDEX(상세표[시작],$P2054)&amp;""))</f>
        <v/>
      </c>
      <c r="F2054">
        <f>IF($P2054="","",IF(ISNUMBER(INDEX(상세표[블록종료],$P2054)),TEXT(INDEX(상세표[블록종료],$P2054),"yyyy-mm-dd hh:mm"),INDEX(상세표[블록종료],$P2054)&amp;""))</f>
        <v/>
      </c>
      <c r="G2054">
        <f>IF($P2054="","",CHOOSE(WEEKDAY(INDEX(상세표[시작],$P2054)),"일","월","화","수","목","금","토"))</f>
        <v/>
      </c>
      <c r="H2054">
        <f>IF($P2054="","",INDEX(상세표[연속 시간],$P2054))</f>
        <v/>
      </c>
      <c r="I2054">
        <f>IF($P2054="","",INDEX(상세표[기록 수],$P2054))</f>
        <v/>
      </c>
      <c r="J2054">
        <f>IF($P2054="","",INDEX(상세표[블록 06~07시],$P2054))</f>
        <v/>
      </c>
      <c r="K2054">
        <f>IF($P2054="","",INDEX(상세표[블록 07~18시],$P2054))</f>
        <v/>
      </c>
      <c r="L2054">
        <f>IF($P2054="","",INDEX(상세표[블록 18~22시],$P2054))</f>
        <v/>
      </c>
      <c r="M2054">
        <f>IF($P2054="","",INDEX(상세표[블록 22~06시],$P2054))</f>
        <v/>
      </c>
      <c r="N2054">
        <f>IF($P2054="","",INDEX(상세표[주말·휴일 포함],$P2054)&amp;"")</f>
        <v/>
      </c>
      <c r="O2054">
        <f>IF($P2054="","",INDEX(상세표[월 넘김 포함],$P2054)&amp;"")</f>
        <v/>
      </c>
      <c r="P2054" s="4">
        <f>IFERROR(MATCH(2049,상세표[연속순번],0),"")</f>
        <v/>
      </c>
    </row>
    <row r="2055">
      <c r="A2055">
        <f>IF($P2055="","",INDEX(상세표[사번],$P2055)&amp;"")</f>
        <v/>
      </c>
      <c r="B2055">
        <f>IF($P2055="","",INDEX(상세표[성명],$P2055)&amp;"")</f>
        <v/>
      </c>
      <c r="C2055">
        <f>IF($P2055="","",INDEX(상세표[부서],$P2055)&amp;"")</f>
        <v/>
      </c>
      <c r="D2055">
        <f>IF($P2055="","",INDEX(상세표[직위],$P2055)&amp;"")</f>
        <v/>
      </c>
      <c r="E2055">
        <f>IF($P2055="","",IF(ISNUMBER(INDEX(상세표[시작],$P2055)),TEXT(INDEX(상세표[시작],$P2055),"yyyy-mm-dd hh:mm"),INDEX(상세표[시작],$P2055)&amp;""))</f>
        <v/>
      </c>
      <c r="F2055">
        <f>IF($P2055="","",IF(ISNUMBER(INDEX(상세표[블록종료],$P2055)),TEXT(INDEX(상세표[블록종료],$P2055),"yyyy-mm-dd hh:mm"),INDEX(상세표[블록종료],$P2055)&amp;""))</f>
        <v/>
      </c>
      <c r="G2055">
        <f>IF($P2055="","",CHOOSE(WEEKDAY(INDEX(상세표[시작],$P2055)),"일","월","화","수","목","금","토"))</f>
        <v/>
      </c>
      <c r="H2055">
        <f>IF($P2055="","",INDEX(상세표[연속 시간],$P2055))</f>
        <v/>
      </c>
      <c r="I2055">
        <f>IF($P2055="","",INDEX(상세표[기록 수],$P2055))</f>
        <v/>
      </c>
      <c r="J2055">
        <f>IF($P2055="","",INDEX(상세표[블록 06~07시],$P2055))</f>
        <v/>
      </c>
      <c r="K2055">
        <f>IF($P2055="","",INDEX(상세표[블록 07~18시],$P2055))</f>
        <v/>
      </c>
      <c r="L2055">
        <f>IF($P2055="","",INDEX(상세표[블록 18~22시],$P2055))</f>
        <v/>
      </c>
      <c r="M2055">
        <f>IF($P2055="","",INDEX(상세표[블록 22~06시],$P2055))</f>
        <v/>
      </c>
      <c r="N2055">
        <f>IF($P2055="","",INDEX(상세표[주말·휴일 포함],$P2055)&amp;"")</f>
        <v/>
      </c>
      <c r="O2055">
        <f>IF($P2055="","",INDEX(상세표[월 넘김 포함],$P2055)&amp;"")</f>
        <v/>
      </c>
      <c r="P2055" s="4">
        <f>IFERROR(MATCH(2050,상세표[연속순번],0),"")</f>
        <v/>
      </c>
    </row>
    <row r="2056">
      <c r="A2056">
        <f>IF($P2056="","",INDEX(상세표[사번],$P2056)&amp;"")</f>
        <v/>
      </c>
      <c r="B2056">
        <f>IF($P2056="","",INDEX(상세표[성명],$P2056)&amp;"")</f>
        <v/>
      </c>
      <c r="C2056">
        <f>IF($P2056="","",INDEX(상세표[부서],$P2056)&amp;"")</f>
        <v/>
      </c>
      <c r="D2056">
        <f>IF($P2056="","",INDEX(상세표[직위],$P2056)&amp;"")</f>
        <v/>
      </c>
      <c r="E2056">
        <f>IF($P2056="","",IF(ISNUMBER(INDEX(상세표[시작],$P2056)),TEXT(INDEX(상세표[시작],$P2056),"yyyy-mm-dd hh:mm"),INDEX(상세표[시작],$P2056)&amp;""))</f>
        <v/>
      </c>
      <c r="F2056">
        <f>IF($P2056="","",IF(ISNUMBER(INDEX(상세표[블록종료],$P2056)),TEXT(INDEX(상세표[블록종료],$P2056),"yyyy-mm-dd hh:mm"),INDEX(상세표[블록종료],$P2056)&amp;""))</f>
        <v/>
      </c>
      <c r="G2056">
        <f>IF($P2056="","",CHOOSE(WEEKDAY(INDEX(상세표[시작],$P2056)),"일","월","화","수","목","금","토"))</f>
        <v/>
      </c>
      <c r="H2056">
        <f>IF($P2056="","",INDEX(상세표[연속 시간],$P2056))</f>
        <v/>
      </c>
      <c r="I2056">
        <f>IF($P2056="","",INDEX(상세표[기록 수],$P2056))</f>
        <v/>
      </c>
      <c r="J2056">
        <f>IF($P2056="","",INDEX(상세표[블록 06~07시],$P2056))</f>
        <v/>
      </c>
      <c r="K2056">
        <f>IF($P2056="","",INDEX(상세표[블록 07~18시],$P2056))</f>
        <v/>
      </c>
      <c r="L2056">
        <f>IF($P2056="","",INDEX(상세표[블록 18~22시],$P2056))</f>
        <v/>
      </c>
      <c r="M2056">
        <f>IF($P2056="","",INDEX(상세표[블록 22~06시],$P2056))</f>
        <v/>
      </c>
      <c r="N2056">
        <f>IF($P2056="","",INDEX(상세표[주말·휴일 포함],$P2056)&amp;"")</f>
        <v/>
      </c>
      <c r="O2056">
        <f>IF($P2056="","",INDEX(상세표[월 넘김 포함],$P2056)&amp;"")</f>
        <v/>
      </c>
      <c r="P2056" s="4">
        <f>IFERROR(MATCH(2051,상세표[연속순번],0),"")</f>
        <v/>
      </c>
    </row>
    <row r="2057">
      <c r="A2057">
        <f>IF($P2057="","",INDEX(상세표[사번],$P2057)&amp;"")</f>
        <v/>
      </c>
      <c r="B2057">
        <f>IF($P2057="","",INDEX(상세표[성명],$P2057)&amp;"")</f>
        <v/>
      </c>
      <c r="C2057">
        <f>IF($P2057="","",INDEX(상세표[부서],$P2057)&amp;"")</f>
        <v/>
      </c>
      <c r="D2057">
        <f>IF($P2057="","",INDEX(상세표[직위],$P2057)&amp;"")</f>
        <v/>
      </c>
      <c r="E2057">
        <f>IF($P2057="","",IF(ISNUMBER(INDEX(상세표[시작],$P2057)),TEXT(INDEX(상세표[시작],$P2057),"yyyy-mm-dd hh:mm"),INDEX(상세표[시작],$P2057)&amp;""))</f>
        <v/>
      </c>
      <c r="F2057">
        <f>IF($P2057="","",IF(ISNUMBER(INDEX(상세표[블록종료],$P2057)),TEXT(INDEX(상세표[블록종료],$P2057),"yyyy-mm-dd hh:mm"),INDEX(상세표[블록종료],$P2057)&amp;""))</f>
        <v/>
      </c>
      <c r="G2057">
        <f>IF($P2057="","",CHOOSE(WEEKDAY(INDEX(상세표[시작],$P2057)),"일","월","화","수","목","금","토"))</f>
        <v/>
      </c>
      <c r="H2057">
        <f>IF($P2057="","",INDEX(상세표[연속 시간],$P2057))</f>
        <v/>
      </c>
      <c r="I2057">
        <f>IF($P2057="","",INDEX(상세표[기록 수],$P2057))</f>
        <v/>
      </c>
      <c r="J2057">
        <f>IF($P2057="","",INDEX(상세표[블록 06~07시],$P2057))</f>
        <v/>
      </c>
      <c r="K2057">
        <f>IF($P2057="","",INDEX(상세표[블록 07~18시],$P2057))</f>
        <v/>
      </c>
      <c r="L2057">
        <f>IF($P2057="","",INDEX(상세표[블록 18~22시],$P2057))</f>
        <v/>
      </c>
      <c r="M2057">
        <f>IF($P2057="","",INDEX(상세표[블록 22~06시],$P2057))</f>
        <v/>
      </c>
      <c r="N2057">
        <f>IF($P2057="","",INDEX(상세표[주말·휴일 포함],$P2057)&amp;"")</f>
        <v/>
      </c>
      <c r="O2057">
        <f>IF($P2057="","",INDEX(상세표[월 넘김 포함],$P2057)&amp;"")</f>
        <v/>
      </c>
      <c r="P2057" s="4">
        <f>IFERROR(MATCH(2052,상세표[연속순번],0),"")</f>
        <v/>
      </c>
    </row>
    <row r="2058">
      <c r="A2058">
        <f>IF($P2058="","",INDEX(상세표[사번],$P2058)&amp;"")</f>
        <v/>
      </c>
      <c r="B2058">
        <f>IF($P2058="","",INDEX(상세표[성명],$P2058)&amp;"")</f>
        <v/>
      </c>
      <c r="C2058">
        <f>IF($P2058="","",INDEX(상세표[부서],$P2058)&amp;"")</f>
        <v/>
      </c>
      <c r="D2058">
        <f>IF($P2058="","",INDEX(상세표[직위],$P2058)&amp;"")</f>
        <v/>
      </c>
      <c r="E2058">
        <f>IF($P2058="","",IF(ISNUMBER(INDEX(상세표[시작],$P2058)),TEXT(INDEX(상세표[시작],$P2058),"yyyy-mm-dd hh:mm"),INDEX(상세표[시작],$P2058)&amp;""))</f>
        <v/>
      </c>
      <c r="F2058">
        <f>IF($P2058="","",IF(ISNUMBER(INDEX(상세표[블록종료],$P2058)),TEXT(INDEX(상세표[블록종료],$P2058),"yyyy-mm-dd hh:mm"),INDEX(상세표[블록종료],$P2058)&amp;""))</f>
        <v/>
      </c>
      <c r="G2058">
        <f>IF($P2058="","",CHOOSE(WEEKDAY(INDEX(상세표[시작],$P2058)),"일","월","화","수","목","금","토"))</f>
        <v/>
      </c>
      <c r="H2058">
        <f>IF($P2058="","",INDEX(상세표[연속 시간],$P2058))</f>
        <v/>
      </c>
      <c r="I2058">
        <f>IF($P2058="","",INDEX(상세표[기록 수],$P2058))</f>
        <v/>
      </c>
      <c r="J2058">
        <f>IF($P2058="","",INDEX(상세표[블록 06~07시],$P2058))</f>
        <v/>
      </c>
      <c r="K2058">
        <f>IF($P2058="","",INDEX(상세표[블록 07~18시],$P2058))</f>
        <v/>
      </c>
      <c r="L2058">
        <f>IF($P2058="","",INDEX(상세표[블록 18~22시],$P2058))</f>
        <v/>
      </c>
      <c r="M2058">
        <f>IF($P2058="","",INDEX(상세표[블록 22~06시],$P2058))</f>
        <v/>
      </c>
      <c r="N2058">
        <f>IF($P2058="","",INDEX(상세표[주말·휴일 포함],$P2058)&amp;"")</f>
        <v/>
      </c>
      <c r="O2058">
        <f>IF($P2058="","",INDEX(상세표[월 넘김 포함],$P2058)&amp;"")</f>
        <v/>
      </c>
      <c r="P2058" s="4">
        <f>IFERROR(MATCH(2053,상세표[연속순번],0),"")</f>
        <v/>
      </c>
    </row>
    <row r="2059">
      <c r="A2059">
        <f>IF($P2059="","",INDEX(상세표[사번],$P2059)&amp;"")</f>
        <v/>
      </c>
      <c r="B2059">
        <f>IF($P2059="","",INDEX(상세표[성명],$P2059)&amp;"")</f>
        <v/>
      </c>
      <c r="C2059">
        <f>IF($P2059="","",INDEX(상세표[부서],$P2059)&amp;"")</f>
        <v/>
      </c>
      <c r="D2059">
        <f>IF($P2059="","",INDEX(상세표[직위],$P2059)&amp;"")</f>
        <v/>
      </c>
      <c r="E2059">
        <f>IF($P2059="","",IF(ISNUMBER(INDEX(상세표[시작],$P2059)),TEXT(INDEX(상세표[시작],$P2059),"yyyy-mm-dd hh:mm"),INDEX(상세표[시작],$P2059)&amp;""))</f>
        <v/>
      </c>
      <c r="F2059">
        <f>IF($P2059="","",IF(ISNUMBER(INDEX(상세표[블록종료],$P2059)),TEXT(INDEX(상세표[블록종료],$P2059),"yyyy-mm-dd hh:mm"),INDEX(상세표[블록종료],$P2059)&amp;""))</f>
        <v/>
      </c>
      <c r="G2059">
        <f>IF($P2059="","",CHOOSE(WEEKDAY(INDEX(상세표[시작],$P2059)),"일","월","화","수","목","금","토"))</f>
        <v/>
      </c>
      <c r="H2059">
        <f>IF($P2059="","",INDEX(상세표[연속 시간],$P2059))</f>
        <v/>
      </c>
      <c r="I2059">
        <f>IF($P2059="","",INDEX(상세표[기록 수],$P2059))</f>
        <v/>
      </c>
      <c r="J2059">
        <f>IF($P2059="","",INDEX(상세표[블록 06~07시],$P2059))</f>
        <v/>
      </c>
      <c r="K2059">
        <f>IF($P2059="","",INDEX(상세표[블록 07~18시],$P2059))</f>
        <v/>
      </c>
      <c r="L2059">
        <f>IF($P2059="","",INDEX(상세표[블록 18~22시],$P2059))</f>
        <v/>
      </c>
      <c r="M2059">
        <f>IF($P2059="","",INDEX(상세표[블록 22~06시],$P2059))</f>
        <v/>
      </c>
      <c r="N2059">
        <f>IF($P2059="","",INDEX(상세표[주말·휴일 포함],$P2059)&amp;"")</f>
        <v/>
      </c>
      <c r="O2059">
        <f>IF($P2059="","",INDEX(상세표[월 넘김 포함],$P2059)&amp;"")</f>
        <v/>
      </c>
      <c r="P2059" s="4">
        <f>IFERROR(MATCH(2054,상세표[연속순번],0),"")</f>
        <v/>
      </c>
    </row>
    <row r="2060">
      <c r="A2060">
        <f>IF($P2060="","",INDEX(상세표[사번],$P2060)&amp;"")</f>
        <v/>
      </c>
      <c r="B2060">
        <f>IF($P2060="","",INDEX(상세표[성명],$P2060)&amp;"")</f>
        <v/>
      </c>
      <c r="C2060">
        <f>IF($P2060="","",INDEX(상세표[부서],$P2060)&amp;"")</f>
        <v/>
      </c>
      <c r="D2060">
        <f>IF($P2060="","",INDEX(상세표[직위],$P2060)&amp;"")</f>
        <v/>
      </c>
      <c r="E2060">
        <f>IF($P2060="","",IF(ISNUMBER(INDEX(상세표[시작],$P2060)),TEXT(INDEX(상세표[시작],$P2060),"yyyy-mm-dd hh:mm"),INDEX(상세표[시작],$P2060)&amp;""))</f>
        <v/>
      </c>
      <c r="F2060">
        <f>IF($P2060="","",IF(ISNUMBER(INDEX(상세표[블록종료],$P2060)),TEXT(INDEX(상세표[블록종료],$P2060),"yyyy-mm-dd hh:mm"),INDEX(상세표[블록종료],$P2060)&amp;""))</f>
        <v/>
      </c>
      <c r="G2060">
        <f>IF($P2060="","",CHOOSE(WEEKDAY(INDEX(상세표[시작],$P2060)),"일","월","화","수","목","금","토"))</f>
        <v/>
      </c>
      <c r="H2060">
        <f>IF($P2060="","",INDEX(상세표[연속 시간],$P2060))</f>
        <v/>
      </c>
      <c r="I2060">
        <f>IF($P2060="","",INDEX(상세표[기록 수],$P2060))</f>
        <v/>
      </c>
      <c r="J2060">
        <f>IF($P2060="","",INDEX(상세표[블록 06~07시],$P2060))</f>
        <v/>
      </c>
      <c r="K2060">
        <f>IF($P2060="","",INDEX(상세표[블록 07~18시],$P2060))</f>
        <v/>
      </c>
      <c r="L2060">
        <f>IF($P2060="","",INDEX(상세표[블록 18~22시],$P2060))</f>
        <v/>
      </c>
      <c r="M2060">
        <f>IF($P2060="","",INDEX(상세표[블록 22~06시],$P2060))</f>
        <v/>
      </c>
      <c r="N2060">
        <f>IF($P2060="","",INDEX(상세표[주말·휴일 포함],$P2060)&amp;"")</f>
        <v/>
      </c>
      <c r="O2060">
        <f>IF($P2060="","",INDEX(상세표[월 넘김 포함],$P2060)&amp;"")</f>
        <v/>
      </c>
      <c r="P2060" s="4">
        <f>IFERROR(MATCH(2055,상세표[연속순번],0),"")</f>
        <v/>
      </c>
    </row>
    <row r="2061">
      <c r="A2061">
        <f>IF($P2061="","",INDEX(상세표[사번],$P2061)&amp;"")</f>
        <v/>
      </c>
      <c r="B2061">
        <f>IF($P2061="","",INDEX(상세표[성명],$P2061)&amp;"")</f>
        <v/>
      </c>
      <c r="C2061">
        <f>IF($P2061="","",INDEX(상세표[부서],$P2061)&amp;"")</f>
        <v/>
      </c>
      <c r="D2061">
        <f>IF($P2061="","",INDEX(상세표[직위],$P2061)&amp;"")</f>
        <v/>
      </c>
      <c r="E2061">
        <f>IF($P2061="","",IF(ISNUMBER(INDEX(상세표[시작],$P2061)),TEXT(INDEX(상세표[시작],$P2061),"yyyy-mm-dd hh:mm"),INDEX(상세표[시작],$P2061)&amp;""))</f>
        <v/>
      </c>
      <c r="F2061">
        <f>IF($P2061="","",IF(ISNUMBER(INDEX(상세표[블록종료],$P2061)),TEXT(INDEX(상세표[블록종료],$P2061),"yyyy-mm-dd hh:mm"),INDEX(상세표[블록종료],$P2061)&amp;""))</f>
        <v/>
      </c>
      <c r="G2061">
        <f>IF($P2061="","",CHOOSE(WEEKDAY(INDEX(상세표[시작],$P2061)),"일","월","화","수","목","금","토"))</f>
        <v/>
      </c>
      <c r="H2061">
        <f>IF($P2061="","",INDEX(상세표[연속 시간],$P2061))</f>
        <v/>
      </c>
      <c r="I2061">
        <f>IF($P2061="","",INDEX(상세표[기록 수],$P2061))</f>
        <v/>
      </c>
      <c r="J2061">
        <f>IF($P2061="","",INDEX(상세표[블록 06~07시],$P2061))</f>
        <v/>
      </c>
      <c r="K2061">
        <f>IF($P2061="","",INDEX(상세표[블록 07~18시],$P2061))</f>
        <v/>
      </c>
      <c r="L2061">
        <f>IF($P2061="","",INDEX(상세표[블록 18~22시],$P2061))</f>
        <v/>
      </c>
      <c r="M2061">
        <f>IF($P2061="","",INDEX(상세표[블록 22~06시],$P2061))</f>
        <v/>
      </c>
      <c r="N2061">
        <f>IF($P2061="","",INDEX(상세표[주말·휴일 포함],$P2061)&amp;"")</f>
        <v/>
      </c>
      <c r="O2061">
        <f>IF($P2061="","",INDEX(상세표[월 넘김 포함],$P2061)&amp;"")</f>
        <v/>
      </c>
      <c r="P2061" s="4">
        <f>IFERROR(MATCH(2056,상세표[연속순번],0),"")</f>
        <v/>
      </c>
    </row>
    <row r="2062">
      <c r="A2062">
        <f>IF($P2062="","",INDEX(상세표[사번],$P2062)&amp;"")</f>
        <v/>
      </c>
      <c r="B2062">
        <f>IF($P2062="","",INDEX(상세표[성명],$P2062)&amp;"")</f>
        <v/>
      </c>
      <c r="C2062">
        <f>IF($P2062="","",INDEX(상세표[부서],$P2062)&amp;"")</f>
        <v/>
      </c>
      <c r="D2062">
        <f>IF($P2062="","",INDEX(상세표[직위],$P2062)&amp;"")</f>
        <v/>
      </c>
      <c r="E2062">
        <f>IF($P2062="","",IF(ISNUMBER(INDEX(상세표[시작],$P2062)),TEXT(INDEX(상세표[시작],$P2062),"yyyy-mm-dd hh:mm"),INDEX(상세표[시작],$P2062)&amp;""))</f>
        <v/>
      </c>
      <c r="F2062">
        <f>IF($P2062="","",IF(ISNUMBER(INDEX(상세표[블록종료],$P2062)),TEXT(INDEX(상세표[블록종료],$P2062),"yyyy-mm-dd hh:mm"),INDEX(상세표[블록종료],$P2062)&amp;""))</f>
        <v/>
      </c>
      <c r="G2062">
        <f>IF($P2062="","",CHOOSE(WEEKDAY(INDEX(상세표[시작],$P2062)),"일","월","화","수","목","금","토"))</f>
        <v/>
      </c>
      <c r="H2062">
        <f>IF($P2062="","",INDEX(상세표[연속 시간],$P2062))</f>
        <v/>
      </c>
      <c r="I2062">
        <f>IF($P2062="","",INDEX(상세표[기록 수],$P2062))</f>
        <v/>
      </c>
      <c r="J2062">
        <f>IF($P2062="","",INDEX(상세표[블록 06~07시],$P2062))</f>
        <v/>
      </c>
      <c r="K2062">
        <f>IF($P2062="","",INDEX(상세표[블록 07~18시],$P2062))</f>
        <v/>
      </c>
      <c r="L2062">
        <f>IF($P2062="","",INDEX(상세표[블록 18~22시],$P2062))</f>
        <v/>
      </c>
      <c r="M2062">
        <f>IF($P2062="","",INDEX(상세표[블록 22~06시],$P2062))</f>
        <v/>
      </c>
      <c r="N2062">
        <f>IF($P2062="","",INDEX(상세표[주말·휴일 포함],$P2062)&amp;"")</f>
        <v/>
      </c>
      <c r="O2062">
        <f>IF($P2062="","",INDEX(상세표[월 넘김 포함],$P2062)&amp;"")</f>
        <v/>
      </c>
      <c r="P2062" s="4">
        <f>IFERROR(MATCH(2057,상세표[연속순번],0),"")</f>
        <v/>
      </c>
    </row>
    <row r="2063">
      <c r="A2063">
        <f>IF($P2063="","",INDEX(상세표[사번],$P2063)&amp;"")</f>
        <v/>
      </c>
      <c r="B2063">
        <f>IF($P2063="","",INDEX(상세표[성명],$P2063)&amp;"")</f>
        <v/>
      </c>
      <c r="C2063">
        <f>IF($P2063="","",INDEX(상세표[부서],$P2063)&amp;"")</f>
        <v/>
      </c>
      <c r="D2063">
        <f>IF($P2063="","",INDEX(상세표[직위],$P2063)&amp;"")</f>
        <v/>
      </c>
      <c r="E2063">
        <f>IF($P2063="","",IF(ISNUMBER(INDEX(상세표[시작],$P2063)),TEXT(INDEX(상세표[시작],$P2063),"yyyy-mm-dd hh:mm"),INDEX(상세표[시작],$P2063)&amp;""))</f>
        <v/>
      </c>
      <c r="F2063">
        <f>IF($P2063="","",IF(ISNUMBER(INDEX(상세표[블록종료],$P2063)),TEXT(INDEX(상세표[블록종료],$P2063),"yyyy-mm-dd hh:mm"),INDEX(상세표[블록종료],$P2063)&amp;""))</f>
        <v/>
      </c>
      <c r="G2063">
        <f>IF($P2063="","",CHOOSE(WEEKDAY(INDEX(상세표[시작],$P2063)),"일","월","화","수","목","금","토"))</f>
        <v/>
      </c>
      <c r="H2063">
        <f>IF($P2063="","",INDEX(상세표[연속 시간],$P2063))</f>
        <v/>
      </c>
      <c r="I2063">
        <f>IF($P2063="","",INDEX(상세표[기록 수],$P2063))</f>
        <v/>
      </c>
      <c r="J2063">
        <f>IF($P2063="","",INDEX(상세표[블록 06~07시],$P2063))</f>
        <v/>
      </c>
      <c r="K2063">
        <f>IF($P2063="","",INDEX(상세표[블록 07~18시],$P2063))</f>
        <v/>
      </c>
      <c r="L2063">
        <f>IF($P2063="","",INDEX(상세표[블록 18~22시],$P2063))</f>
        <v/>
      </c>
      <c r="M2063">
        <f>IF($P2063="","",INDEX(상세표[블록 22~06시],$P2063))</f>
        <v/>
      </c>
      <c r="N2063">
        <f>IF($P2063="","",INDEX(상세표[주말·휴일 포함],$P2063)&amp;"")</f>
        <v/>
      </c>
      <c r="O2063">
        <f>IF($P2063="","",INDEX(상세표[월 넘김 포함],$P2063)&amp;"")</f>
        <v/>
      </c>
      <c r="P2063" s="4">
        <f>IFERROR(MATCH(2058,상세표[연속순번],0),"")</f>
        <v/>
      </c>
    </row>
    <row r="2064">
      <c r="A2064">
        <f>IF($P2064="","",INDEX(상세표[사번],$P2064)&amp;"")</f>
        <v/>
      </c>
      <c r="B2064">
        <f>IF($P2064="","",INDEX(상세표[성명],$P2064)&amp;"")</f>
        <v/>
      </c>
      <c r="C2064">
        <f>IF($P2064="","",INDEX(상세표[부서],$P2064)&amp;"")</f>
        <v/>
      </c>
      <c r="D2064">
        <f>IF($P2064="","",INDEX(상세표[직위],$P2064)&amp;"")</f>
        <v/>
      </c>
      <c r="E2064">
        <f>IF($P2064="","",IF(ISNUMBER(INDEX(상세표[시작],$P2064)),TEXT(INDEX(상세표[시작],$P2064),"yyyy-mm-dd hh:mm"),INDEX(상세표[시작],$P2064)&amp;""))</f>
        <v/>
      </c>
      <c r="F2064">
        <f>IF($P2064="","",IF(ISNUMBER(INDEX(상세표[블록종료],$P2064)),TEXT(INDEX(상세표[블록종료],$P2064),"yyyy-mm-dd hh:mm"),INDEX(상세표[블록종료],$P2064)&amp;""))</f>
        <v/>
      </c>
      <c r="G2064">
        <f>IF($P2064="","",CHOOSE(WEEKDAY(INDEX(상세표[시작],$P2064)),"일","월","화","수","목","금","토"))</f>
        <v/>
      </c>
      <c r="H2064">
        <f>IF($P2064="","",INDEX(상세표[연속 시간],$P2064))</f>
        <v/>
      </c>
      <c r="I2064">
        <f>IF($P2064="","",INDEX(상세표[기록 수],$P2064))</f>
        <v/>
      </c>
      <c r="J2064">
        <f>IF($P2064="","",INDEX(상세표[블록 06~07시],$P2064))</f>
        <v/>
      </c>
      <c r="K2064">
        <f>IF($P2064="","",INDEX(상세표[블록 07~18시],$P2064))</f>
        <v/>
      </c>
      <c r="L2064">
        <f>IF($P2064="","",INDEX(상세표[블록 18~22시],$P2064))</f>
        <v/>
      </c>
      <c r="M2064">
        <f>IF($P2064="","",INDEX(상세표[블록 22~06시],$P2064))</f>
        <v/>
      </c>
      <c r="N2064">
        <f>IF($P2064="","",INDEX(상세표[주말·휴일 포함],$P2064)&amp;"")</f>
        <v/>
      </c>
      <c r="O2064">
        <f>IF($P2064="","",INDEX(상세표[월 넘김 포함],$P2064)&amp;"")</f>
        <v/>
      </c>
      <c r="P2064" s="4">
        <f>IFERROR(MATCH(2059,상세표[연속순번],0),"")</f>
        <v/>
      </c>
    </row>
    <row r="2065">
      <c r="A2065">
        <f>IF($P2065="","",INDEX(상세표[사번],$P2065)&amp;"")</f>
        <v/>
      </c>
      <c r="B2065">
        <f>IF($P2065="","",INDEX(상세표[성명],$P2065)&amp;"")</f>
        <v/>
      </c>
      <c r="C2065">
        <f>IF($P2065="","",INDEX(상세표[부서],$P2065)&amp;"")</f>
        <v/>
      </c>
      <c r="D2065">
        <f>IF($P2065="","",INDEX(상세표[직위],$P2065)&amp;"")</f>
        <v/>
      </c>
      <c r="E2065">
        <f>IF($P2065="","",IF(ISNUMBER(INDEX(상세표[시작],$P2065)),TEXT(INDEX(상세표[시작],$P2065),"yyyy-mm-dd hh:mm"),INDEX(상세표[시작],$P2065)&amp;""))</f>
        <v/>
      </c>
      <c r="F2065">
        <f>IF($P2065="","",IF(ISNUMBER(INDEX(상세표[블록종료],$P2065)),TEXT(INDEX(상세표[블록종료],$P2065),"yyyy-mm-dd hh:mm"),INDEX(상세표[블록종료],$P2065)&amp;""))</f>
        <v/>
      </c>
      <c r="G2065">
        <f>IF($P2065="","",CHOOSE(WEEKDAY(INDEX(상세표[시작],$P2065)),"일","월","화","수","목","금","토"))</f>
        <v/>
      </c>
      <c r="H2065">
        <f>IF($P2065="","",INDEX(상세표[연속 시간],$P2065))</f>
        <v/>
      </c>
      <c r="I2065">
        <f>IF($P2065="","",INDEX(상세표[기록 수],$P2065))</f>
        <v/>
      </c>
      <c r="J2065">
        <f>IF($P2065="","",INDEX(상세표[블록 06~07시],$P2065))</f>
        <v/>
      </c>
      <c r="K2065">
        <f>IF($P2065="","",INDEX(상세표[블록 07~18시],$P2065))</f>
        <v/>
      </c>
      <c r="L2065">
        <f>IF($P2065="","",INDEX(상세표[블록 18~22시],$P2065))</f>
        <v/>
      </c>
      <c r="M2065">
        <f>IF($P2065="","",INDEX(상세표[블록 22~06시],$P2065))</f>
        <v/>
      </c>
      <c r="N2065">
        <f>IF($P2065="","",INDEX(상세표[주말·휴일 포함],$P2065)&amp;"")</f>
        <v/>
      </c>
      <c r="O2065">
        <f>IF($P2065="","",INDEX(상세표[월 넘김 포함],$P2065)&amp;"")</f>
        <v/>
      </c>
      <c r="P2065" s="4">
        <f>IFERROR(MATCH(2060,상세표[연속순번],0),"")</f>
        <v/>
      </c>
    </row>
    <row r="2066">
      <c r="A2066">
        <f>IF($P2066="","",INDEX(상세표[사번],$P2066)&amp;"")</f>
        <v/>
      </c>
      <c r="B2066">
        <f>IF($P2066="","",INDEX(상세표[성명],$P2066)&amp;"")</f>
        <v/>
      </c>
      <c r="C2066">
        <f>IF($P2066="","",INDEX(상세표[부서],$P2066)&amp;"")</f>
        <v/>
      </c>
      <c r="D2066">
        <f>IF($P2066="","",INDEX(상세표[직위],$P2066)&amp;"")</f>
        <v/>
      </c>
      <c r="E2066">
        <f>IF($P2066="","",IF(ISNUMBER(INDEX(상세표[시작],$P2066)),TEXT(INDEX(상세표[시작],$P2066),"yyyy-mm-dd hh:mm"),INDEX(상세표[시작],$P2066)&amp;""))</f>
        <v/>
      </c>
      <c r="F2066">
        <f>IF($P2066="","",IF(ISNUMBER(INDEX(상세표[블록종료],$P2066)),TEXT(INDEX(상세표[블록종료],$P2066),"yyyy-mm-dd hh:mm"),INDEX(상세표[블록종료],$P2066)&amp;""))</f>
        <v/>
      </c>
      <c r="G2066">
        <f>IF($P2066="","",CHOOSE(WEEKDAY(INDEX(상세표[시작],$P2066)),"일","월","화","수","목","금","토"))</f>
        <v/>
      </c>
      <c r="H2066">
        <f>IF($P2066="","",INDEX(상세표[연속 시간],$P2066))</f>
        <v/>
      </c>
      <c r="I2066">
        <f>IF($P2066="","",INDEX(상세표[기록 수],$P2066))</f>
        <v/>
      </c>
      <c r="J2066">
        <f>IF($P2066="","",INDEX(상세표[블록 06~07시],$P2066))</f>
        <v/>
      </c>
      <c r="K2066">
        <f>IF($P2066="","",INDEX(상세표[블록 07~18시],$P2066))</f>
        <v/>
      </c>
      <c r="L2066">
        <f>IF($P2066="","",INDEX(상세표[블록 18~22시],$P2066))</f>
        <v/>
      </c>
      <c r="M2066">
        <f>IF($P2066="","",INDEX(상세표[블록 22~06시],$P2066))</f>
        <v/>
      </c>
      <c r="N2066">
        <f>IF($P2066="","",INDEX(상세표[주말·휴일 포함],$P2066)&amp;"")</f>
        <v/>
      </c>
      <c r="O2066">
        <f>IF($P2066="","",INDEX(상세표[월 넘김 포함],$P2066)&amp;"")</f>
        <v/>
      </c>
      <c r="P2066" s="4">
        <f>IFERROR(MATCH(2061,상세표[연속순번],0),"")</f>
        <v/>
      </c>
    </row>
    <row r="2067">
      <c r="A2067">
        <f>IF($P2067="","",INDEX(상세표[사번],$P2067)&amp;"")</f>
        <v/>
      </c>
      <c r="B2067">
        <f>IF($P2067="","",INDEX(상세표[성명],$P2067)&amp;"")</f>
        <v/>
      </c>
      <c r="C2067">
        <f>IF($P2067="","",INDEX(상세표[부서],$P2067)&amp;"")</f>
        <v/>
      </c>
      <c r="D2067">
        <f>IF($P2067="","",INDEX(상세표[직위],$P2067)&amp;"")</f>
        <v/>
      </c>
      <c r="E2067">
        <f>IF($P2067="","",IF(ISNUMBER(INDEX(상세표[시작],$P2067)),TEXT(INDEX(상세표[시작],$P2067),"yyyy-mm-dd hh:mm"),INDEX(상세표[시작],$P2067)&amp;""))</f>
        <v/>
      </c>
      <c r="F2067">
        <f>IF($P2067="","",IF(ISNUMBER(INDEX(상세표[블록종료],$P2067)),TEXT(INDEX(상세표[블록종료],$P2067),"yyyy-mm-dd hh:mm"),INDEX(상세표[블록종료],$P2067)&amp;""))</f>
        <v/>
      </c>
      <c r="G2067">
        <f>IF($P2067="","",CHOOSE(WEEKDAY(INDEX(상세표[시작],$P2067)),"일","월","화","수","목","금","토"))</f>
        <v/>
      </c>
      <c r="H2067">
        <f>IF($P2067="","",INDEX(상세표[연속 시간],$P2067))</f>
        <v/>
      </c>
      <c r="I2067">
        <f>IF($P2067="","",INDEX(상세표[기록 수],$P2067))</f>
        <v/>
      </c>
      <c r="J2067">
        <f>IF($P2067="","",INDEX(상세표[블록 06~07시],$P2067))</f>
        <v/>
      </c>
      <c r="K2067">
        <f>IF($P2067="","",INDEX(상세표[블록 07~18시],$P2067))</f>
        <v/>
      </c>
      <c r="L2067">
        <f>IF($P2067="","",INDEX(상세표[블록 18~22시],$P2067))</f>
        <v/>
      </c>
      <c r="M2067">
        <f>IF($P2067="","",INDEX(상세표[블록 22~06시],$P2067))</f>
        <v/>
      </c>
      <c r="N2067">
        <f>IF($P2067="","",INDEX(상세표[주말·휴일 포함],$P2067)&amp;"")</f>
        <v/>
      </c>
      <c r="O2067">
        <f>IF($P2067="","",INDEX(상세표[월 넘김 포함],$P2067)&amp;"")</f>
        <v/>
      </c>
      <c r="P2067" s="4">
        <f>IFERROR(MATCH(2062,상세표[연속순번],0),"")</f>
        <v/>
      </c>
    </row>
    <row r="2068">
      <c r="A2068">
        <f>IF($P2068="","",INDEX(상세표[사번],$P2068)&amp;"")</f>
        <v/>
      </c>
      <c r="B2068">
        <f>IF($P2068="","",INDEX(상세표[성명],$P2068)&amp;"")</f>
        <v/>
      </c>
      <c r="C2068">
        <f>IF($P2068="","",INDEX(상세표[부서],$P2068)&amp;"")</f>
        <v/>
      </c>
      <c r="D2068">
        <f>IF($P2068="","",INDEX(상세표[직위],$P2068)&amp;"")</f>
        <v/>
      </c>
      <c r="E2068">
        <f>IF($P2068="","",IF(ISNUMBER(INDEX(상세표[시작],$P2068)),TEXT(INDEX(상세표[시작],$P2068),"yyyy-mm-dd hh:mm"),INDEX(상세표[시작],$P2068)&amp;""))</f>
        <v/>
      </c>
      <c r="F2068">
        <f>IF($P2068="","",IF(ISNUMBER(INDEX(상세표[블록종료],$P2068)),TEXT(INDEX(상세표[블록종료],$P2068),"yyyy-mm-dd hh:mm"),INDEX(상세표[블록종료],$P2068)&amp;""))</f>
        <v/>
      </c>
      <c r="G2068">
        <f>IF($P2068="","",CHOOSE(WEEKDAY(INDEX(상세표[시작],$P2068)),"일","월","화","수","목","금","토"))</f>
        <v/>
      </c>
      <c r="H2068">
        <f>IF($P2068="","",INDEX(상세표[연속 시간],$P2068))</f>
        <v/>
      </c>
      <c r="I2068">
        <f>IF($P2068="","",INDEX(상세표[기록 수],$P2068))</f>
        <v/>
      </c>
      <c r="J2068">
        <f>IF($P2068="","",INDEX(상세표[블록 06~07시],$P2068))</f>
        <v/>
      </c>
      <c r="K2068">
        <f>IF($P2068="","",INDEX(상세표[블록 07~18시],$P2068))</f>
        <v/>
      </c>
      <c r="L2068">
        <f>IF($P2068="","",INDEX(상세표[블록 18~22시],$P2068))</f>
        <v/>
      </c>
      <c r="M2068">
        <f>IF($P2068="","",INDEX(상세표[블록 22~06시],$P2068))</f>
        <v/>
      </c>
      <c r="N2068">
        <f>IF($P2068="","",INDEX(상세표[주말·휴일 포함],$P2068)&amp;"")</f>
        <v/>
      </c>
      <c r="O2068">
        <f>IF($P2068="","",INDEX(상세표[월 넘김 포함],$P2068)&amp;"")</f>
        <v/>
      </c>
      <c r="P2068" s="4">
        <f>IFERROR(MATCH(2063,상세표[연속순번],0),"")</f>
        <v/>
      </c>
    </row>
    <row r="2069">
      <c r="A2069">
        <f>IF($P2069="","",INDEX(상세표[사번],$P2069)&amp;"")</f>
        <v/>
      </c>
      <c r="B2069">
        <f>IF($P2069="","",INDEX(상세표[성명],$P2069)&amp;"")</f>
        <v/>
      </c>
      <c r="C2069">
        <f>IF($P2069="","",INDEX(상세표[부서],$P2069)&amp;"")</f>
        <v/>
      </c>
      <c r="D2069">
        <f>IF($P2069="","",INDEX(상세표[직위],$P2069)&amp;"")</f>
        <v/>
      </c>
      <c r="E2069">
        <f>IF($P2069="","",IF(ISNUMBER(INDEX(상세표[시작],$P2069)),TEXT(INDEX(상세표[시작],$P2069),"yyyy-mm-dd hh:mm"),INDEX(상세표[시작],$P2069)&amp;""))</f>
        <v/>
      </c>
      <c r="F2069">
        <f>IF($P2069="","",IF(ISNUMBER(INDEX(상세표[블록종료],$P2069)),TEXT(INDEX(상세표[블록종료],$P2069),"yyyy-mm-dd hh:mm"),INDEX(상세표[블록종료],$P2069)&amp;""))</f>
        <v/>
      </c>
      <c r="G2069">
        <f>IF($P2069="","",CHOOSE(WEEKDAY(INDEX(상세표[시작],$P2069)),"일","월","화","수","목","금","토"))</f>
        <v/>
      </c>
      <c r="H2069">
        <f>IF($P2069="","",INDEX(상세표[연속 시간],$P2069))</f>
        <v/>
      </c>
      <c r="I2069">
        <f>IF($P2069="","",INDEX(상세표[기록 수],$P2069))</f>
        <v/>
      </c>
      <c r="J2069">
        <f>IF($P2069="","",INDEX(상세표[블록 06~07시],$P2069))</f>
        <v/>
      </c>
      <c r="K2069">
        <f>IF($P2069="","",INDEX(상세표[블록 07~18시],$P2069))</f>
        <v/>
      </c>
      <c r="L2069">
        <f>IF($P2069="","",INDEX(상세표[블록 18~22시],$P2069))</f>
        <v/>
      </c>
      <c r="M2069">
        <f>IF($P2069="","",INDEX(상세표[블록 22~06시],$P2069))</f>
        <v/>
      </c>
      <c r="N2069">
        <f>IF($P2069="","",INDEX(상세표[주말·휴일 포함],$P2069)&amp;"")</f>
        <v/>
      </c>
      <c r="O2069">
        <f>IF($P2069="","",INDEX(상세표[월 넘김 포함],$P2069)&amp;"")</f>
        <v/>
      </c>
      <c r="P2069" s="4">
        <f>IFERROR(MATCH(2064,상세표[연속순번],0),"")</f>
        <v/>
      </c>
    </row>
    <row r="2070">
      <c r="A2070">
        <f>IF($P2070="","",INDEX(상세표[사번],$P2070)&amp;"")</f>
        <v/>
      </c>
      <c r="B2070">
        <f>IF($P2070="","",INDEX(상세표[성명],$P2070)&amp;"")</f>
        <v/>
      </c>
      <c r="C2070">
        <f>IF($P2070="","",INDEX(상세표[부서],$P2070)&amp;"")</f>
        <v/>
      </c>
      <c r="D2070">
        <f>IF($P2070="","",INDEX(상세표[직위],$P2070)&amp;"")</f>
        <v/>
      </c>
      <c r="E2070">
        <f>IF($P2070="","",IF(ISNUMBER(INDEX(상세표[시작],$P2070)),TEXT(INDEX(상세표[시작],$P2070),"yyyy-mm-dd hh:mm"),INDEX(상세표[시작],$P2070)&amp;""))</f>
        <v/>
      </c>
      <c r="F2070">
        <f>IF($P2070="","",IF(ISNUMBER(INDEX(상세표[블록종료],$P2070)),TEXT(INDEX(상세표[블록종료],$P2070),"yyyy-mm-dd hh:mm"),INDEX(상세표[블록종료],$P2070)&amp;""))</f>
        <v/>
      </c>
      <c r="G2070">
        <f>IF($P2070="","",CHOOSE(WEEKDAY(INDEX(상세표[시작],$P2070)),"일","월","화","수","목","금","토"))</f>
        <v/>
      </c>
      <c r="H2070">
        <f>IF($P2070="","",INDEX(상세표[연속 시간],$P2070))</f>
        <v/>
      </c>
      <c r="I2070">
        <f>IF($P2070="","",INDEX(상세표[기록 수],$P2070))</f>
        <v/>
      </c>
      <c r="J2070">
        <f>IF($P2070="","",INDEX(상세표[블록 06~07시],$P2070))</f>
        <v/>
      </c>
      <c r="K2070">
        <f>IF($P2070="","",INDEX(상세표[블록 07~18시],$P2070))</f>
        <v/>
      </c>
      <c r="L2070">
        <f>IF($P2070="","",INDEX(상세표[블록 18~22시],$P2070))</f>
        <v/>
      </c>
      <c r="M2070">
        <f>IF($P2070="","",INDEX(상세표[블록 22~06시],$P2070))</f>
        <v/>
      </c>
      <c r="N2070">
        <f>IF($P2070="","",INDEX(상세표[주말·휴일 포함],$P2070)&amp;"")</f>
        <v/>
      </c>
      <c r="O2070">
        <f>IF($P2070="","",INDEX(상세표[월 넘김 포함],$P2070)&amp;"")</f>
        <v/>
      </c>
      <c r="P2070" s="4">
        <f>IFERROR(MATCH(2065,상세표[연속순번],0),"")</f>
        <v/>
      </c>
    </row>
    <row r="2071">
      <c r="A2071">
        <f>IF($P2071="","",INDEX(상세표[사번],$P2071)&amp;"")</f>
        <v/>
      </c>
      <c r="B2071">
        <f>IF($P2071="","",INDEX(상세표[성명],$P2071)&amp;"")</f>
        <v/>
      </c>
      <c r="C2071">
        <f>IF($P2071="","",INDEX(상세표[부서],$P2071)&amp;"")</f>
        <v/>
      </c>
      <c r="D2071">
        <f>IF($P2071="","",INDEX(상세표[직위],$P2071)&amp;"")</f>
        <v/>
      </c>
      <c r="E2071">
        <f>IF($P2071="","",IF(ISNUMBER(INDEX(상세표[시작],$P2071)),TEXT(INDEX(상세표[시작],$P2071),"yyyy-mm-dd hh:mm"),INDEX(상세표[시작],$P2071)&amp;""))</f>
        <v/>
      </c>
      <c r="F2071">
        <f>IF($P2071="","",IF(ISNUMBER(INDEX(상세표[블록종료],$P2071)),TEXT(INDEX(상세표[블록종료],$P2071),"yyyy-mm-dd hh:mm"),INDEX(상세표[블록종료],$P2071)&amp;""))</f>
        <v/>
      </c>
      <c r="G2071">
        <f>IF($P2071="","",CHOOSE(WEEKDAY(INDEX(상세표[시작],$P2071)),"일","월","화","수","목","금","토"))</f>
        <v/>
      </c>
      <c r="H2071">
        <f>IF($P2071="","",INDEX(상세표[연속 시간],$P2071))</f>
        <v/>
      </c>
      <c r="I2071">
        <f>IF($P2071="","",INDEX(상세표[기록 수],$P2071))</f>
        <v/>
      </c>
      <c r="J2071">
        <f>IF($P2071="","",INDEX(상세표[블록 06~07시],$P2071))</f>
        <v/>
      </c>
      <c r="K2071">
        <f>IF($P2071="","",INDEX(상세표[블록 07~18시],$P2071))</f>
        <v/>
      </c>
      <c r="L2071">
        <f>IF($P2071="","",INDEX(상세표[블록 18~22시],$P2071))</f>
        <v/>
      </c>
      <c r="M2071">
        <f>IF($P2071="","",INDEX(상세표[블록 22~06시],$P2071))</f>
        <v/>
      </c>
      <c r="N2071">
        <f>IF($P2071="","",INDEX(상세표[주말·휴일 포함],$P2071)&amp;"")</f>
        <v/>
      </c>
      <c r="O2071">
        <f>IF($P2071="","",INDEX(상세표[월 넘김 포함],$P2071)&amp;"")</f>
        <v/>
      </c>
      <c r="P2071" s="4">
        <f>IFERROR(MATCH(2066,상세표[연속순번],0),"")</f>
        <v/>
      </c>
    </row>
    <row r="2072">
      <c r="A2072">
        <f>IF($P2072="","",INDEX(상세표[사번],$P2072)&amp;"")</f>
        <v/>
      </c>
      <c r="B2072">
        <f>IF($P2072="","",INDEX(상세표[성명],$P2072)&amp;"")</f>
        <v/>
      </c>
      <c r="C2072">
        <f>IF($P2072="","",INDEX(상세표[부서],$P2072)&amp;"")</f>
        <v/>
      </c>
      <c r="D2072">
        <f>IF($P2072="","",INDEX(상세표[직위],$P2072)&amp;"")</f>
        <v/>
      </c>
      <c r="E2072">
        <f>IF($P2072="","",IF(ISNUMBER(INDEX(상세표[시작],$P2072)),TEXT(INDEX(상세표[시작],$P2072),"yyyy-mm-dd hh:mm"),INDEX(상세표[시작],$P2072)&amp;""))</f>
        <v/>
      </c>
      <c r="F2072">
        <f>IF($P2072="","",IF(ISNUMBER(INDEX(상세표[블록종료],$P2072)),TEXT(INDEX(상세표[블록종료],$P2072),"yyyy-mm-dd hh:mm"),INDEX(상세표[블록종료],$P2072)&amp;""))</f>
        <v/>
      </c>
      <c r="G2072">
        <f>IF($P2072="","",CHOOSE(WEEKDAY(INDEX(상세표[시작],$P2072)),"일","월","화","수","목","금","토"))</f>
        <v/>
      </c>
      <c r="H2072">
        <f>IF($P2072="","",INDEX(상세표[연속 시간],$P2072))</f>
        <v/>
      </c>
      <c r="I2072">
        <f>IF($P2072="","",INDEX(상세표[기록 수],$P2072))</f>
        <v/>
      </c>
      <c r="J2072">
        <f>IF($P2072="","",INDEX(상세표[블록 06~07시],$P2072))</f>
        <v/>
      </c>
      <c r="K2072">
        <f>IF($P2072="","",INDEX(상세표[블록 07~18시],$P2072))</f>
        <v/>
      </c>
      <c r="L2072">
        <f>IF($P2072="","",INDEX(상세표[블록 18~22시],$P2072))</f>
        <v/>
      </c>
      <c r="M2072">
        <f>IF($P2072="","",INDEX(상세표[블록 22~06시],$P2072))</f>
        <v/>
      </c>
      <c r="N2072">
        <f>IF($P2072="","",INDEX(상세표[주말·휴일 포함],$P2072)&amp;"")</f>
        <v/>
      </c>
      <c r="O2072">
        <f>IF($P2072="","",INDEX(상세표[월 넘김 포함],$P2072)&amp;"")</f>
        <v/>
      </c>
      <c r="P2072" s="4">
        <f>IFERROR(MATCH(2067,상세표[연속순번],0),"")</f>
        <v/>
      </c>
    </row>
    <row r="2073">
      <c r="A2073">
        <f>IF($P2073="","",INDEX(상세표[사번],$P2073)&amp;"")</f>
        <v/>
      </c>
      <c r="B2073">
        <f>IF($P2073="","",INDEX(상세표[성명],$P2073)&amp;"")</f>
        <v/>
      </c>
      <c r="C2073">
        <f>IF($P2073="","",INDEX(상세표[부서],$P2073)&amp;"")</f>
        <v/>
      </c>
      <c r="D2073">
        <f>IF($P2073="","",INDEX(상세표[직위],$P2073)&amp;"")</f>
        <v/>
      </c>
      <c r="E2073">
        <f>IF($P2073="","",IF(ISNUMBER(INDEX(상세표[시작],$P2073)),TEXT(INDEX(상세표[시작],$P2073),"yyyy-mm-dd hh:mm"),INDEX(상세표[시작],$P2073)&amp;""))</f>
        <v/>
      </c>
      <c r="F2073">
        <f>IF($P2073="","",IF(ISNUMBER(INDEX(상세표[블록종료],$P2073)),TEXT(INDEX(상세표[블록종료],$P2073),"yyyy-mm-dd hh:mm"),INDEX(상세표[블록종료],$P2073)&amp;""))</f>
        <v/>
      </c>
      <c r="G2073">
        <f>IF($P2073="","",CHOOSE(WEEKDAY(INDEX(상세표[시작],$P2073)),"일","월","화","수","목","금","토"))</f>
        <v/>
      </c>
      <c r="H2073">
        <f>IF($P2073="","",INDEX(상세표[연속 시간],$P2073))</f>
        <v/>
      </c>
      <c r="I2073">
        <f>IF($P2073="","",INDEX(상세표[기록 수],$P2073))</f>
        <v/>
      </c>
      <c r="J2073">
        <f>IF($P2073="","",INDEX(상세표[블록 06~07시],$P2073))</f>
        <v/>
      </c>
      <c r="K2073">
        <f>IF($P2073="","",INDEX(상세표[블록 07~18시],$P2073))</f>
        <v/>
      </c>
      <c r="L2073">
        <f>IF($P2073="","",INDEX(상세표[블록 18~22시],$P2073))</f>
        <v/>
      </c>
      <c r="M2073">
        <f>IF($P2073="","",INDEX(상세표[블록 22~06시],$P2073))</f>
        <v/>
      </c>
      <c r="N2073">
        <f>IF($P2073="","",INDEX(상세표[주말·휴일 포함],$P2073)&amp;"")</f>
        <v/>
      </c>
      <c r="O2073">
        <f>IF($P2073="","",INDEX(상세표[월 넘김 포함],$P2073)&amp;"")</f>
        <v/>
      </c>
      <c r="P2073" s="4">
        <f>IFERROR(MATCH(2068,상세표[연속순번],0),"")</f>
        <v/>
      </c>
    </row>
    <row r="2074">
      <c r="A2074">
        <f>IF($P2074="","",INDEX(상세표[사번],$P2074)&amp;"")</f>
        <v/>
      </c>
      <c r="B2074">
        <f>IF($P2074="","",INDEX(상세표[성명],$P2074)&amp;"")</f>
        <v/>
      </c>
      <c r="C2074">
        <f>IF($P2074="","",INDEX(상세표[부서],$P2074)&amp;"")</f>
        <v/>
      </c>
      <c r="D2074">
        <f>IF($P2074="","",INDEX(상세표[직위],$P2074)&amp;"")</f>
        <v/>
      </c>
      <c r="E2074">
        <f>IF($P2074="","",IF(ISNUMBER(INDEX(상세표[시작],$P2074)),TEXT(INDEX(상세표[시작],$P2074),"yyyy-mm-dd hh:mm"),INDEX(상세표[시작],$P2074)&amp;""))</f>
        <v/>
      </c>
      <c r="F2074">
        <f>IF($P2074="","",IF(ISNUMBER(INDEX(상세표[블록종료],$P2074)),TEXT(INDEX(상세표[블록종료],$P2074),"yyyy-mm-dd hh:mm"),INDEX(상세표[블록종료],$P2074)&amp;""))</f>
        <v/>
      </c>
      <c r="G2074">
        <f>IF($P2074="","",CHOOSE(WEEKDAY(INDEX(상세표[시작],$P2074)),"일","월","화","수","목","금","토"))</f>
        <v/>
      </c>
      <c r="H2074">
        <f>IF($P2074="","",INDEX(상세표[연속 시간],$P2074))</f>
        <v/>
      </c>
      <c r="I2074">
        <f>IF($P2074="","",INDEX(상세표[기록 수],$P2074))</f>
        <v/>
      </c>
      <c r="J2074">
        <f>IF($P2074="","",INDEX(상세표[블록 06~07시],$P2074))</f>
        <v/>
      </c>
      <c r="K2074">
        <f>IF($P2074="","",INDEX(상세표[블록 07~18시],$P2074))</f>
        <v/>
      </c>
      <c r="L2074">
        <f>IF($P2074="","",INDEX(상세표[블록 18~22시],$P2074))</f>
        <v/>
      </c>
      <c r="M2074">
        <f>IF($P2074="","",INDEX(상세표[블록 22~06시],$P2074))</f>
        <v/>
      </c>
      <c r="N2074">
        <f>IF($P2074="","",INDEX(상세표[주말·휴일 포함],$P2074)&amp;"")</f>
        <v/>
      </c>
      <c r="O2074">
        <f>IF($P2074="","",INDEX(상세표[월 넘김 포함],$P2074)&amp;"")</f>
        <v/>
      </c>
      <c r="P2074" s="4">
        <f>IFERROR(MATCH(2069,상세표[연속순번],0),"")</f>
        <v/>
      </c>
    </row>
    <row r="2075">
      <c r="A2075">
        <f>IF($P2075="","",INDEX(상세표[사번],$P2075)&amp;"")</f>
        <v/>
      </c>
      <c r="B2075">
        <f>IF($P2075="","",INDEX(상세표[성명],$P2075)&amp;"")</f>
        <v/>
      </c>
      <c r="C2075">
        <f>IF($P2075="","",INDEX(상세표[부서],$P2075)&amp;"")</f>
        <v/>
      </c>
      <c r="D2075">
        <f>IF($P2075="","",INDEX(상세표[직위],$P2075)&amp;"")</f>
        <v/>
      </c>
      <c r="E2075">
        <f>IF($P2075="","",IF(ISNUMBER(INDEX(상세표[시작],$P2075)),TEXT(INDEX(상세표[시작],$P2075),"yyyy-mm-dd hh:mm"),INDEX(상세표[시작],$P2075)&amp;""))</f>
        <v/>
      </c>
      <c r="F2075">
        <f>IF($P2075="","",IF(ISNUMBER(INDEX(상세표[블록종료],$P2075)),TEXT(INDEX(상세표[블록종료],$P2075),"yyyy-mm-dd hh:mm"),INDEX(상세표[블록종료],$P2075)&amp;""))</f>
        <v/>
      </c>
      <c r="G2075">
        <f>IF($P2075="","",CHOOSE(WEEKDAY(INDEX(상세표[시작],$P2075)),"일","월","화","수","목","금","토"))</f>
        <v/>
      </c>
      <c r="H2075">
        <f>IF($P2075="","",INDEX(상세표[연속 시간],$P2075))</f>
        <v/>
      </c>
      <c r="I2075">
        <f>IF($P2075="","",INDEX(상세표[기록 수],$P2075))</f>
        <v/>
      </c>
      <c r="J2075">
        <f>IF($P2075="","",INDEX(상세표[블록 06~07시],$P2075))</f>
        <v/>
      </c>
      <c r="K2075">
        <f>IF($P2075="","",INDEX(상세표[블록 07~18시],$P2075))</f>
        <v/>
      </c>
      <c r="L2075">
        <f>IF($P2075="","",INDEX(상세표[블록 18~22시],$P2075))</f>
        <v/>
      </c>
      <c r="M2075">
        <f>IF($P2075="","",INDEX(상세표[블록 22~06시],$P2075))</f>
        <v/>
      </c>
      <c r="N2075">
        <f>IF($P2075="","",INDEX(상세표[주말·휴일 포함],$P2075)&amp;"")</f>
        <v/>
      </c>
      <c r="O2075">
        <f>IF($P2075="","",INDEX(상세표[월 넘김 포함],$P2075)&amp;"")</f>
        <v/>
      </c>
      <c r="P2075" s="4">
        <f>IFERROR(MATCH(2070,상세표[연속순번],0),"")</f>
        <v/>
      </c>
    </row>
    <row r="2076">
      <c r="A2076">
        <f>IF($P2076="","",INDEX(상세표[사번],$P2076)&amp;"")</f>
        <v/>
      </c>
      <c r="B2076">
        <f>IF($P2076="","",INDEX(상세표[성명],$P2076)&amp;"")</f>
        <v/>
      </c>
      <c r="C2076">
        <f>IF($P2076="","",INDEX(상세표[부서],$P2076)&amp;"")</f>
        <v/>
      </c>
      <c r="D2076">
        <f>IF($P2076="","",INDEX(상세표[직위],$P2076)&amp;"")</f>
        <v/>
      </c>
      <c r="E2076">
        <f>IF($P2076="","",IF(ISNUMBER(INDEX(상세표[시작],$P2076)),TEXT(INDEX(상세표[시작],$P2076),"yyyy-mm-dd hh:mm"),INDEX(상세표[시작],$P2076)&amp;""))</f>
        <v/>
      </c>
      <c r="F2076">
        <f>IF($P2076="","",IF(ISNUMBER(INDEX(상세표[블록종료],$P2076)),TEXT(INDEX(상세표[블록종료],$P2076),"yyyy-mm-dd hh:mm"),INDEX(상세표[블록종료],$P2076)&amp;""))</f>
        <v/>
      </c>
      <c r="G2076">
        <f>IF($P2076="","",CHOOSE(WEEKDAY(INDEX(상세표[시작],$P2076)),"일","월","화","수","목","금","토"))</f>
        <v/>
      </c>
      <c r="H2076">
        <f>IF($P2076="","",INDEX(상세표[연속 시간],$P2076))</f>
        <v/>
      </c>
      <c r="I2076">
        <f>IF($P2076="","",INDEX(상세표[기록 수],$P2076))</f>
        <v/>
      </c>
      <c r="J2076">
        <f>IF($P2076="","",INDEX(상세표[블록 06~07시],$P2076))</f>
        <v/>
      </c>
      <c r="K2076">
        <f>IF($P2076="","",INDEX(상세표[블록 07~18시],$P2076))</f>
        <v/>
      </c>
      <c r="L2076">
        <f>IF($P2076="","",INDEX(상세표[블록 18~22시],$P2076))</f>
        <v/>
      </c>
      <c r="M2076">
        <f>IF($P2076="","",INDEX(상세표[블록 22~06시],$P2076))</f>
        <v/>
      </c>
      <c r="N2076">
        <f>IF($P2076="","",INDEX(상세표[주말·휴일 포함],$P2076)&amp;"")</f>
        <v/>
      </c>
      <c r="O2076">
        <f>IF($P2076="","",INDEX(상세표[월 넘김 포함],$P2076)&amp;"")</f>
        <v/>
      </c>
      <c r="P2076" s="4">
        <f>IFERROR(MATCH(2071,상세표[연속순번],0),"")</f>
        <v/>
      </c>
    </row>
    <row r="2077">
      <c r="A2077">
        <f>IF($P2077="","",INDEX(상세표[사번],$P2077)&amp;"")</f>
        <v/>
      </c>
      <c r="B2077">
        <f>IF($P2077="","",INDEX(상세표[성명],$P2077)&amp;"")</f>
        <v/>
      </c>
      <c r="C2077">
        <f>IF($P2077="","",INDEX(상세표[부서],$P2077)&amp;"")</f>
        <v/>
      </c>
      <c r="D2077">
        <f>IF($P2077="","",INDEX(상세표[직위],$P2077)&amp;"")</f>
        <v/>
      </c>
      <c r="E2077">
        <f>IF($P2077="","",IF(ISNUMBER(INDEX(상세표[시작],$P2077)),TEXT(INDEX(상세표[시작],$P2077),"yyyy-mm-dd hh:mm"),INDEX(상세표[시작],$P2077)&amp;""))</f>
        <v/>
      </c>
      <c r="F2077">
        <f>IF($P2077="","",IF(ISNUMBER(INDEX(상세표[블록종료],$P2077)),TEXT(INDEX(상세표[블록종료],$P2077),"yyyy-mm-dd hh:mm"),INDEX(상세표[블록종료],$P2077)&amp;""))</f>
        <v/>
      </c>
      <c r="G2077">
        <f>IF($P2077="","",CHOOSE(WEEKDAY(INDEX(상세표[시작],$P2077)),"일","월","화","수","목","금","토"))</f>
        <v/>
      </c>
      <c r="H2077">
        <f>IF($P2077="","",INDEX(상세표[연속 시간],$P2077))</f>
        <v/>
      </c>
      <c r="I2077">
        <f>IF($P2077="","",INDEX(상세표[기록 수],$P2077))</f>
        <v/>
      </c>
      <c r="J2077">
        <f>IF($P2077="","",INDEX(상세표[블록 06~07시],$P2077))</f>
        <v/>
      </c>
      <c r="K2077">
        <f>IF($P2077="","",INDEX(상세표[블록 07~18시],$P2077))</f>
        <v/>
      </c>
      <c r="L2077">
        <f>IF($P2077="","",INDEX(상세표[블록 18~22시],$P2077))</f>
        <v/>
      </c>
      <c r="M2077">
        <f>IF($P2077="","",INDEX(상세표[블록 22~06시],$P2077))</f>
        <v/>
      </c>
      <c r="N2077">
        <f>IF($P2077="","",INDEX(상세표[주말·휴일 포함],$P2077)&amp;"")</f>
        <v/>
      </c>
      <c r="O2077">
        <f>IF($P2077="","",INDEX(상세표[월 넘김 포함],$P2077)&amp;"")</f>
        <v/>
      </c>
      <c r="P2077" s="4">
        <f>IFERROR(MATCH(2072,상세표[연속순번],0),"")</f>
        <v/>
      </c>
    </row>
    <row r="2078">
      <c r="A2078">
        <f>IF($P2078="","",INDEX(상세표[사번],$P2078)&amp;"")</f>
        <v/>
      </c>
      <c r="B2078">
        <f>IF($P2078="","",INDEX(상세표[성명],$P2078)&amp;"")</f>
        <v/>
      </c>
      <c r="C2078">
        <f>IF($P2078="","",INDEX(상세표[부서],$P2078)&amp;"")</f>
        <v/>
      </c>
      <c r="D2078">
        <f>IF($P2078="","",INDEX(상세표[직위],$P2078)&amp;"")</f>
        <v/>
      </c>
      <c r="E2078">
        <f>IF($P2078="","",IF(ISNUMBER(INDEX(상세표[시작],$P2078)),TEXT(INDEX(상세표[시작],$P2078),"yyyy-mm-dd hh:mm"),INDEX(상세표[시작],$P2078)&amp;""))</f>
        <v/>
      </c>
      <c r="F2078">
        <f>IF($P2078="","",IF(ISNUMBER(INDEX(상세표[블록종료],$P2078)),TEXT(INDEX(상세표[블록종료],$P2078),"yyyy-mm-dd hh:mm"),INDEX(상세표[블록종료],$P2078)&amp;""))</f>
        <v/>
      </c>
      <c r="G2078">
        <f>IF($P2078="","",CHOOSE(WEEKDAY(INDEX(상세표[시작],$P2078)),"일","월","화","수","목","금","토"))</f>
        <v/>
      </c>
      <c r="H2078">
        <f>IF($P2078="","",INDEX(상세표[연속 시간],$P2078))</f>
        <v/>
      </c>
      <c r="I2078">
        <f>IF($P2078="","",INDEX(상세표[기록 수],$P2078))</f>
        <v/>
      </c>
      <c r="J2078">
        <f>IF($P2078="","",INDEX(상세표[블록 06~07시],$P2078))</f>
        <v/>
      </c>
      <c r="K2078">
        <f>IF($P2078="","",INDEX(상세표[블록 07~18시],$P2078))</f>
        <v/>
      </c>
      <c r="L2078">
        <f>IF($P2078="","",INDEX(상세표[블록 18~22시],$P2078))</f>
        <v/>
      </c>
      <c r="M2078">
        <f>IF($P2078="","",INDEX(상세표[블록 22~06시],$P2078))</f>
        <v/>
      </c>
      <c r="N2078">
        <f>IF($P2078="","",INDEX(상세표[주말·휴일 포함],$P2078)&amp;"")</f>
        <v/>
      </c>
      <c r="O2078">
        <f>IF($P2078="","",INDEX(상세표[월 넘김 포함],$P2078)&amp;"")</f>
        <v/>
      </c>
      <c r="P2078" s="4">
        <f>IFERROR(MATCH(2073,상세표[연속순번],0),"")</f>
        <v/>
      </c>
    </row>
    <row r="2079">
      <c r="A2079">
        <f>IF($P2079="","",INDEX(상세표[사번],$P2079)&amp;"")</f>
        <v/>
      </c>
      <c r="B2079">
        <f>IF($P2079="","",INDEX(상세표[성명],$P2079)&amp;"")</f>
        <v/>
      </c>
      <c r="C2079">
        <f>IF($P2079="","",INDEX(상세표[부서],$P2079)&amp;"")</f>
        <v/>
      </c>
      <c r="D2079">
        <f>IF($P2079="","",INDEX(상세표[직위],$P2079)&amp;"")</f>
        <v/>
      </c>
      <c r="E2079">
        <f>IF($P2079="","",IF(ISNUMBER(INDEX(상세표[시작],$P2079)),TEXT(INDEX(상세표[시작],$P2079),"yyyy-mm-dd hh:mm"),INDEX(상세표[시작],$P2079)&amp;""))</f>
        <v/>
      </c>
      <c r="F2079">
        <f>IF($P2079="","",IF(ISNUMBER(INDEX(상세표[블록종료],$P2079)),TEXT(INDEX(상세표[블록종료],$P2079),"yyyy-mm-dd hh:mm"),INDEX(상세표[블록종료],$P2079)&amp;""))</f>
        <v/>
      </c>
      <c r="G2079">
        <f>IF($P2079="","",CHOOSE(WEEKDAY(INDEX(상세표[시작],$P2079)),"일","월","화","수","목","금","토"))</f>
        <v/>
      </c>
      <c r="H2079">
        <f>IF($P2079="","",INDEX(상세표[연속 시간],$P2079))</f>
        <v/>
      </c>
      <c r="I2079">
        <f>IF($P2079="","",INDEX(상세표[기록 수],$P2079))</f>
        <v/>
      </c>
      <c r="J2079">
        <f>IF($P2079="","",INDEX(상세표[블록 06~07시],$P2079))</f>
        <v/>
      </c>
      <c r="K2079">
        <f>IF($P2079="","",INDEX(상세표[블록 07~18시],$P2079))</f>
        <v/>
      </c>
      <c r="L2079">
        <f>IF($P2079="","",INDEX(상세표[블록 18~22시],$P2079))</f>
        <v/>
      </c>
      <c r="M2079">
        <f>IF($P2079="","",INDEX(상세표[블록 22~06시],$P2079))</f>
        <v/>
      </c>
      <c r="N2079">
        <f>IF($P2079="","",INDEX(상세표[주말·휴일 포함],$P2079)&amp;"")</f>
        <v/>
      </c>
      <c r="O2079">
        <f>IF($P2079="","",INDEX(상세표[월 넘김 포함],$P2079)&amp;"")</f>
        <v/>
      </c>
      <c r="P2079" s="4">
        <f>IFERROR(MATCH(2074,상세표[연속순번],0),"")</f>
        <v/>
      </c>
    </row>
    <row r="2080">
      <c r="A2080">
        <f>IF($P2080="","",INDEX(상세표[사번],$P2080)&amp;"")</f>
        <v/>
      </c>
      <c r="B2080">
        <f>IF($P2080="","",INDEX(상세표[성명],$P2080)&amp;"")</f>
        <v/>
      </c>
      <c r="C2080">
        <f>IF($P2080="","",INDEX(상세표[부서],$P2080)&amp;"")</f>
        <v/>
      </c>
      <c r="D2080">
        <f>IF($P2080="","",INDEX(상세표[직위],$P2080)&amp;"")</f>
        <v/>
      </c>
      <c r="E2080">
        <f>IF($P2080="","",IF(ISNUMBER(INDEX(상세표[시작],$P2080)),TEXT(INDEX(상세표[시작],$P2080),"yyyy-mm-dd hh:mm"),INDEX(상세표[시작],$P2080)&amp;""))</f>
        <v/>
      </c>
      <c r="F2080">
        <f>IF($P2080="","",IF(ISNUMBER(INDEX(상세표[블록종료],$P2080)),TEXT(INDEX(상세표[블록종료],$P2080),"yyyy-mm-dd hh:mm"),INDEX(상세표[블록종료],$P2080)&amp;""))</f>
        <v/>
      </c>
      <c r="G2080">
        <f>IF($P2080="","",CHOOSE(WEEKDAY(INDEX(상세표[시작],$P2080)),"일","월","화","수","목","금","토"))</f>
        <v/>
      </c>
      <c r="H2080">
        <f>IF($P2080="","",INDEX(상세표[연속 시간],$P2080))</f>
        <v/>
      </c>
      <c r="I2080">
        <f>IF($P2080="","",INDEX(상세표[기록 수],$P2080))</f>
        <v/>
      </c>
      <c r="J2080">
        <f>IF($P2080="","",INDEX(상세표[블록 06~07시],$P2080))</f>
        <v/>
      </c>
      <c r="K2080">
        <f>IF($P2080="","",INDEX(상세표[블록 07~18시],$P2080))</f>
        <v/>
      </c>
      <c r="L2080">
        <f>IF($P2080="","",INDEX(상세표[블록 18~22시],$P2080))</f>
        <v/>
      </c>
      <c r="M2080">
        <f>IF($P2080="","",INDEX(상세표[블록 22~06시],$P2080))</f>
        <v/>
      </c>
      <c r="N2080">
        <f>IF($P2080="","",INDEX(상세표[주말·휴일 포함],$P2080)&amp;"")</f>
        <v/>
      </c>
      <c r="O2080">
        <f>IF($P2080="","",INDEX(상세표[월 넘김 포함],$P2080)&amp;"")</f>
        <v/>
      </c>
      <c r="P2080" s="4">
        <f>IFERROR(MATCH(2075,상세표[연속순번],0),"")</f>
        <v/>
      </c>
    </row>
    <row r="2081">
      <c r="A2081">
        <f>IF($P2081="","",INDEX(상세표[사번],$P2081)&amp;"")</f>
        <v/>
      </c>
      <c r="B2081">
        <f>IF($P2081="","",INDEX(상세표[성명],$P2081)&amp;"")</f>
        <v/>
      </c>
      <c r="C2081">
        <f>IF($P2081="","",INDEX(상세표[부서],$P2081)&amp;"")</f>
        <v/>
      </c>
      <c r="D2081">
        <f>IF($P2081="","",INDEX(상세표[직위],$P2081)&amp;"")</f>
        <v/>
      </c>
      <c r="E2081">
        <f>IF($P2081="","",IF(ISNUMBER(INDEX(상세표[시작],$P2081)),TEXT(INDEX(상세표[시작],$P2081),"yyyy-mm-dd hh:mm"),INDEX(상세표[시작],$P2081)&amp;""))</f>
        <v/>
      </c>
      <c r="F2081">
        <f>IF($P2081="","",IF(ISNUMBER(INDEX(상세표[블록종료],$P2081)),TEXT(INDEX(상세표[블록종료],$P2081),"yyyy-mm-dd hh:mm"),INDEX(상세표[블록종료],$P2081)&amp;""))</f>
        <v/>
      </c>
      <c r="G2081">
        <f>IF($P2081="","",CHOOSE(WEEKDAY(INDEX(상세표[시작],$P2081)),"일","월","화","수","목","금","토"))</f>
        <v/>
      </c>
      <c r="H2081">
        <f>IF($P2081="","",INDEX(상세표[연속 시간],$P2081))</f>
        <v/>
      </c>
      <c r="I2081">
        <f>IF($P2081="","",INDEX(상세표[기록 수],$P2081))</f>
        <v/>
      </c>
      <c r="J2081">
        <f>IF($P2081="","",INDEX(상세표[블록 06~07시],$P2081))</f>
        <v/>
      </c>
      <c r="K2081">
        <f>IF($P2081="","",INDEX(상세표[블록 07~18시],$P2081))</f>
        <v/>
      </c>
      <c r="L2081">
        <f>IF($P2081="","",INDEX(상세표[블록 18~22시],$P2081))</f>
        <v/>
      </c>
      <c r="M2081">
        <f>IF($P2081="","",INDEX(상세표[블록 22~06시],$P2081))</f>
        <v/>
      </c>
      <c r="N2081">
        <f>IF($P2081="","",INDEX(상세표[주말·휴일 포함],$P2081)&amp;"")</f>
        <v/>
      </c>
      <c r="O2081">
        <f>IF($P2081="","",INDEX(상세표[월 넘김 포함],$P2081)&amp;"")</f>
        <v/>
      </c>
      <c r="P2081" s="4">
        <f>IFERROR(MATCH(2076,상세표[연속순번],0),"")</f>
        <v/>
      </c>
    </row>
    <row r="2082">
      <c r="A2082">
        <f>IF($P2082="","",INDEX(상세표[사번],$P2082)&amp;"")</f>
        <v/>
      </c>
      <c r="B2082">
        <f>IF($P2082="","",INDEX(상세표[성명],$P2082)&amp;"")</f>
        <v/>
      </c>
      <c r="C2082">
        <f>IF($P2082="","",INDEX(상세표[부서],$P2082)&amp;"")</f>
        <v/>
      </c>
      <c r="D2082">
        <f>IF($P2082="","",INDEX(상세표[직위],$P2082)&amp;"")</f>
        <v/>
      </c>
      <c r="E2082">
        <f>IF($P2082="","",IF(ISNUMBER(INDEX(상세표[시작],$P2082)),TEXT(INDEX(상세표[시작],$P2082),"yyyy-mm-dd hh:mm"),INDEX(상세표[시작],$P2082)&amp;""))</f>
        <v/>
      </c>
      <c r="F2082">
        <f>IF($P2082="","",IF(ISNUMBER(INDEX(상세표[블록종료],$P2082)),TEXT(INDEX(상세표[블록종료],$P2082),"yyyy-mm-dd hh:mm"),INDEX(상세표[블록종료],$P2082)&amp;""))</f>
        <v/>
      </c>
      <c r="G2082">
        <f>IF($P2082="","",CHOOSE(WEEKDAY(INDEX(상세표[시작],$P2082)),"일","월","화","수","목","금","토"))</f>
        <v/>
      </c>
      <c r="H2082">
        <f>IF($P2082="","",INDEX(상세표[연속 시간],$P2082))</f>
        <v/>
      </c>
      <c r="I2082">
        <f>IF($P2082="","",INDEX(상세표[기록 수],$P2082))</f>
        <v/>
      </c>
      <c r="J2082">
        <f>IF($P2082="","",INDEX(상세표[블록 06~07시],$P2082))</f>
        <v/>
      </c>
      <c r="K2082">
        <f>IF($P2082="","",INDEX(상세표[블록 07~18시],$P2082))</f>
        <v/>
      </c>
      <c r="L2082">
        <f>IF($P2082="","",INDEX(상세표[블록 18~22시],$P2082))</f>
        <v/>
      </c>
      <c r="M2082">
        <f>IF($P2082="","",INDEX(상세표[블록 22~06시],$P2082))</f>
        <v/>
      </c>
      <c r="N2082">
        <f>IF($P2082="","",INDEX(상세표[주말·휴일 포함],$P2082)&amp;"")</f>
        <v/>
      </c>
      <c r="O2082">
        <f>IF($P2082="","",INDEX(상세표[월 넘김 포함],$P2082)&amp;"")</f>
        <v/>
      </c>
      <c r="P2082" s="4">
        <f>IFERROR(MATCH(2077,상세표[연속순번],0),"")</f>
        <v/>
      </c>
    </row>
    <row r="2083">
      <c r="A2083">
        <f>IF($P2083="","",INDEX(상세표[사번],$P2083)&amp;"")</f>
        <v/>
      </c>
      <c r="B2083">
        <f>IF($P2083="","",INDEX(상세표[성명],$P2083)&amp;"")</f>
        <v/>
      </c>
      <c r="C2083">
        <f>IF($P2083="","",INDEX(상세표[부서],$P2083)&amp;"")</f>
        <v/>
      </c>
      <c r="D2083">
        <f>IF($P2083="","",INDEX(상세표[직위],$P2083)&amp;"")</f>
        <v/>
      </c>
      <c r="E2083">
        <f>IF($P2083="","",IF(ISNUMBER(INDEX(상세표[시작],$P2083)),TEXT(INDEX(상세표[시작],$P2083),"yyyy-mm-dd hh:mm"),INDEX(상세표[시작],$P2083)&amp;""))</f>
        <v/>
      </c>
      <c r="F2083">
        <f>IF($P2083="","",IF(ISNUMBER(INDEX(상세표[블록종료],$P2083)),TEXT(INDEX(상세표[블록종료],$P2083),"yyyy-mm-dd hh:mm"),INDEX(상세표[블록종료],$P2083)&amp;""))</f>
        <v/>
      </c>
      <c r="G2083">
        <f>IF($P2083="","",CHOOSE(WEEKDAY(INDEX(상세표[시작],$P2083)),"일","월","화","수","목","금","토"))</f>
        <v/>
      </c>
      <c r="H2083">
        <f>IF($P2083="","",INDEX(상세표[연속 시간],$P2083))</f>
        <v/>
      </c>
      <c r="I2083">
        <f>IF($P2083="","",INDEX(상세표[기록 수],$P2083))</f>
        <v/>
      </c>
      <c r="J2083">
        <f>IF($P2083="","",INDEX(상세표[블록 06~07시],$P2083))</f>
        <v/>
      </c>
      <c r="K2083">
        <f>IF($P2083="","",INDEX(상세표[블록 07~18시],$P2083))</f>
        <v/>
      </c>
      <c r="L2083">
        <f>IF($P2083="","",INDEX(상세표[블록 18~22시],$P2083))</f>
        <v/>
      </c>
      <c r="M2083">
        <f>IF($P2083="","",INDEX(상세표[블록 22~06시],$P2083))</f>
        <v/>
      </c>
      <c r="N2083">
        <f>IF($P2083="","",INDEX(상세표[주말·휴일 포함],$P2083)&amp;"")</f>
        <v/>
      </c>
      <c r="O2083">
        <f>IF($P2083="","",INDEX(상세표[월 넘김 포함],$P2083)&amp;"")</f>
        <v/>
      </c>
      <c r="P2083" s="4">
        <f>IFERROR(MATCH(2078,상세표[연속순번],0),"")</f>
        <v/>
      </c>
    </row>
    <row r="2084">
      <c r="A2084">
        <f>IF($P2084="","",INDEX(상세표[사번],$P2084)&amp;"")</f>
        <v/>
      </c>
      <c r="B2084">
        <f>IF($P2084="","",INDEX(상세표[성명],$P2084)&amp;"")</f>
        <v/>
      </c>
      <c r="C2084">
        <f>IF($P2084="","",INDEX(상세표[부서],$P2084)&amp;"")</f>
        <v/>
      </c>
      <c r="D2084">
        <f>IF($P2084="","",INDEX(상세표[직위],$P2084)&amp;"")</f>
        <v/>
      </c>
      <c r="E2084">
        <f>IF($P2084="","",IF(ISNUMBER(INDEX(상세표[시작],$P2084)),TEXT(INDEX(상세표[시작],$P2084),"yyyy-mm-dd hh:mm"),INDEX(상세표[시작],$P2084)&amp;""))</f>
        <v/>
      </c>
      <c r="F2084">
        <f>IF($P2084="","",IF(ISNUMBER(INDEX(상세표[블록종료],$P2084)),TEXT(INDEX(상세표[블록종료],$P2084),"yyyy-mm-dd hh:mm"),INDEX(상세표[블록종료],$P2084)&amp;""))</f>
        <v/>
      </c>
      <c r="G2084">
        <f>IF($P2084="","",CHOOSE(WEEKDAY(INDEX(상세표[시작],$P2084)),"일","월","화","수","목","금","토"))</f>
        <v/>
      </c>
      <c r="H2084">
        <f>IF($P2084="","",INDEX(상세표[연속 시간],$P2084))</f>
        <v/>
      </c>
      <c r="I2084">
        <f>IF($P2084="","",INDEX(상세표[기록 수],$P2084))</f>
        <v/>
      </c>
      <c r="J2084">
        <f>IF($P2084="","",INDEX(상세표[블록 06~07시],$P2084))</f>
        <v/>
      </c>
      <c r="K2084">
        <f>IF($P2084="","",INDEX(상세표[블록 07~18시],$P2084))</f>
        <v/>
      </c>
      <c r="L2084">
        <f>IF($P2084="","",INDEX(상세표[블록 18~22시],$P2084))</f>
        <v/>
      </c>
      <c r="M2084">
        <f>IF($P2084="","",INDEX(상세표[블록 22~06시],$P2084))</f>
        <v/>
      </c>
      <c r="N2084">
        <f>IF($P2084="","",INDEX(상세표[주말·휴일 포함],$P2084)&amp;"")</f>
        <v/>
      </c>
      <c r="O2084">
        <f>IF($P2084="","",INDEX(상세표[월 넘김 포함],$P2084)&amp;"")</f>
        <v/>
      </c>
      <c r="P2084" s="4">
        <f>IFERROR(MATCH(2079,상세표[연속순번],0),"")</f>
        <v/>
      </c>
    </row>
    <row r="2085">
      <c r="A2085">
        <f>IF($P2085="","",INDEX(상세표[사번],$P2085)&amp;"")</f>
        <v/>
      </c>
      <c r="B2085">
        <f>IF($P2085="","",INDEX(상세표[성명],$P2085)&amp;"")</f>
        <v/>
      </c>
      <c r="C2085">
        <f>IF($P2085="","",INDEX(상세표[부서],$P2085)&amp;"")</f>
        <v/>
      </c>
      <c r="D2085">
        <f>IF($P2085="","",INDEX(상세표[직위],$P2085)&amp;"")</f>
        <v/>
      </c>
      <c r="E2085">
        <f>IF($P2085="","",IF(ISNUMBER(INDEX(상세표[시작],$P2085)),TEXT(INDEX(상세표[시작],$P2085),"yyyy-mm-dd hh:mm"),INDEX(상세표[시작],$P2085)&amp;""))</f>
        <v/>
      </c>
      <c r="F2085">
        <f>IF($P2085="","",IF(ISNUMBER(INDEX(상세표[블록종료],$P2085)),TEXT(INDEX(상세표[블록종료],$P2085),"yyyy-mm-dd hh:mm"),INDEX(상세표[블록종료],$P2085)&amp;""))</f>
        <v/>
      </c>
      <c r="G2085">
        <f>IF($P2085="","",CHOOSE(WEEKDAY(INDEX(상세표[시작],$P2085)),"일","월","화","수","목","금","토"))</f>
        <v/>
      </c>
      <c r="H2085">
        <f>IF($P2085="","",INDEX(상세표[연속 시간],$P2085))</f>
        <v/>
      </c>
      <c r="I2085">
        <f>IF($P2085="","",INDEX(상세표[기록 수],$P2085))</f>
        <v/>
      </c>
      <c r="J2085">
        <f>IF($P2085="","",INDEX(상세표[블록 06~07시],$P2085))</f>
        <v/>
      </c>
      <c r="K2085">
        <f>IF($P2085="","",INDEX(상세표[블록 07~18시],$P2085))</f>
        <v/>
      </c>
      <c r="L2085">
        <f>IF($P2085="","",INDEX(상세표[블록 18~22시],$P2085))</f>
        <v/>
      </c>
      <c r="M2085">
        <f>IF($P2085="","",INDEX(상세표[블록 22~06시],$P2085))</f>
        <v/>
      </c>
      <c r="N2085">
        <f>IF($P2085="","",INDEX(상세표[주말·휴일 포함],$P2085)&amp;"")</f>
        <v/>
      </c>
      <c r="O2085">
        <f>IF($P2085="","",INDEX(상세표[월 넘김 포함],$P2085)&amp;"")</f>
        <v/>
      </c>
      <c r="P2085" s="4">
        <f>IFERROR(MATCH(2080,상세표[연속순번],0),"")</f>
        <v/>
      </c>
    </row>
    <row r="2086">
      <c r="A2086">
        <f>IF($P2086="","",INDEX(상세표[사번],$P2086)&amp;"")</f>
        <v/>
      </c>
      <c r="B2086">
        <f>IF($P2086="","",INDEX(상세표[성명],$P2086)&amp;"")</f>
        <v/>
      </c>
      <c r="C2086">
        <f>IF($P2086="","",INDEX(상세표[부서],$P2086)&amp;"")</f>
        <v/>
      </c>
      <c r="D2086">
        <f>IF($P2086="","",INDEX(상세표[직위],$P2086)&amp;"")</f>
        <v/>
      </c>
      <c r="E2086">
        <f>IF($P2086="","",IF(ISNUMBER(INDEX(상세표[시작],$P2086)),TEXT(INDEX(상세표[시작],$P2086),"yyyy-mm-dd hh:mm"),INDEX(상세표[시작],$P2086)&amp;""))</f>
        <v/>
      </c>
      <c r="F2086">
        <f>IF($P2086="","",IF(ISNUMBER(INDEX(상세표[블록종료],$P2086)),TEXT(INDEX(상세표[블록종료],$P2086),"yyyy-mm-dd hh:mm"),INDEX(상세표[블록종료],$P2086)&amp;""))</f>
        <v/>
      </c>
      <c r="G2086">
        <f>IF($P2086="","",CHOOSE(WEEKDAY(INDEX(상세표[시작],$P2086)),"일","월","화","수","목","금","토"))</f>
        <v/>
      </c>
      <c r="H2086">
        <f>IF($P2086="","",INDEX(상세표[연속 시간],$P2086))</f>
        <v/>
      </c>
      <c r="I2086">
        <f>IF($P2086="","",INDEX(상세표[기록 수],$P2086))</f>
        <v/>
      </c>
      <c r="J2086">
        <f>IF($P2086="","",INDEX(상세표[블록 06~07시],$P2086))</f>
        <v/>
      </c>
      <c r="K2086">
        <f>IF($P2086="","",INDEX(상세표[블록 07~18시],$P2086))</f>
        <v/>
      </c>
      <c r="L2086">
        <f>IF($P2086="","",INDEX(상세표[블록 18~22시],$P2086))</f>
        <v/>
      </c>
      <c r="M2086">
        <f>IF($P2086="","",INDEX(상세표[블록 22~06시],$P2086))</f>
        <v/>
      </c>
      <c r="N2086">
        <f>IF($P2086="","",INDEX(상세표[주말·휴일 포함],$P2086)&amp;"")</f>
        <v/>
      </c>
      <c r="O2086">
        <f>IF($P2086="","",INDEX(상세표[월 넘김 포함],$P2086)&amp;"")</f>
        <v/>
      </c>
      <c r="P2086" s="4">
        <f>IFERROR(MATCH(2081,상세표[연속순번],0),"")</f>
        <v/>
      </c>
    </row>
    <row r="2087">
      <c r="A2087">
        <f>IF($P2087="","",INDEX(상세표[사번],$P2087)&amp;"")</f>
        <v/>
      </c>
      <c r="B2087">
        <f>IF($P2087="","",INDEX(상세표[성명],$P2087)&amp;"")</f>
        <v/>
      </c>
      <c r="C2087">
        <f>IF($P2087="","",INDEX(상세표[부서],$P2087)&amp;"")</f>
        <v/>
      </c>
      <c r="D2087">
        <f>IF($P2087="","",INDEX(상세표[직위],$P2087)&amp;"")</f>
        <v/>
      </c>
      <c r="E2087">
        <f>IF($P2087="","",IF(ISNUMBER(INDEX(상세표[시작],$P2087)),TEXT(INDEX(상세표[시작],$P2087),"yyyy-mm-dd hh:mm"),INDEX(상세표[시작],$P2087)&amp;""))</f>
        <v/>
      </c>
      <c r="F2087">
        <f>IF($P2087="","",IF(ISNUMBER(INDEX(상세표[블록종료],$P2087)),TEXT(INDEX(상세표[블록종료],$P2087),"yyyy-mm-dd hh:mm"),INDEX(상세표[블록종료],$P2087)&amp;""))</f>
        <v/>
      </c>
      <c r="G2087">
        <f>IF($P2087="","",CHOOSE(WEEKDAY(INDEX(상세표[시작],$P2087)),"일","월","화","수","목","금","토"))</f>
        <v/>
      </c>
      <c r="H2087">
        <f>IF($P2087="","",INDEX(상세표[연속 시간],$P2087))</f>
        <v/>
      </c>
      <c r="I2087">
        <f>IF($P2087="","",INDEX(상세표[기록 수],$P2087))</f>
        <v/>
      </c>
      <c r="J2087">
        <f>IF($P2087="","",INDEX(상세표[블록 06~07시],$P2087))</f>
        <v/>
      </c>
      <c r="K2087">
        <f>IF($P2087="","",INDEX(상세표[블록 07~18시],$P2087))</f>
        <v/>
      </c>
      <c r="L2087">
        <f>IF($P2087="","",INDEX(상세표[블록 18~22시],$P2087))</f>
        <v/>
      </c>
      <c r="M2087">
        <f>IF($P2087="","",INDEX(상세표[블록 22~06시],$P2087))</f>
        <v/>
      </c>
      <c r="N2087">
        <f>IF($P2087="","",INDEX(상세표[주말·휴일 포함],$P2087)&amp;"")</f>
        <v/>
      </c>
      <c r="O2087">
        <f>IF($P2087="","",INDEX(상세표[월 넘김 포함],$P2087)&amp;"")</f>
        <v/>
      </c>
      <c r="P2087" s="4">
        <f>IFERROR(MATCH(2082,상세표[연속순번],0),"")</f>
        <v/>
      </c>
    </row>
    <row r="2088">
      <c r="A2088">
        <f>IF($P2088="","",INDEX(상세표[사번],$P2088)&amp;"")</f>
        <v/>
      </c>
      <c r="B2088">
        <f>IF($P2088="","",INDEX(상세표[성명],$P2088)&amp;"")</f>
        <v/>
      </c>
      <c r="C2088">
        <f>IF($P2088="","",INDEX(상세표[부서],$P2088)&amp;"")</f>
        <v/>
      </c>
      <c r="D2088">
        <f>IF($P2088="","",INDEX(상세표[직위],$P2088)&amp;"")</f>
        <v/>
      </c>
      <c r="E2088">
        <f>IF($P2088="","",IF(ISNUMBER(INDEX(상세표[시작],$P2088)),TEXT(INDEX(상세표[시작],$P2088),"yyyy-mm-dd hh:mm"),INDEX(상세표[시작],$P2088)&amp;""))</f>
        <v/>
      </c>
      <c r="F2088">
        <f>IF($P2088="","",IF(ISNUMBER(INDEX(상세표[블록종료],$P2088)),TEXT(INDEX(상세표[블록종료],$P2088),"yyyy-mm-dd hh:mm"),INDEX(상세표[블록종료],$P2088)&amp;""))</f>
        <v/>
      </c>
      <c r="G2088">
        <f>IF($P2088="","",CHOOSE(WEEKDAY(INDEX(상세표[시작],$P2088)),"일","월","화","수","목","금","토"))</f>
        <v/>
      </c>
      <c r="H2088">
        <f>IF($P2088="","",INDEX(상세표[연속 시간],$P2088))</f>
        <v/>
      </c>
      <c r="I2088">
        <f>IF($P2088="","",INDEX(상세표[기록 수],$P2088))</f>
        <v/>
      </c>
      <c r="J2088">
        <f>IF($P2088="","",INDEX(상세표[블록 06~07시],$P2088))</f>
        <v/>
      </c>
      <c r="K2088">
        <f>IF($P2088="","",INDEX(상세표[블록 07~18시],$P2088))</f>
        <v/>
      </c>
      <c r="L2088">
        <f>IF($P2088="","",INDEX(상세표[블록 18~22시],$P2088))</f>
        <v/>
      </c>
      <c r="M2088">
        <f>IF($P2088="","",INDEX(상세표[블록 22~06시],$P2088))</f>
        <v/>
      </c>
      <c r="N2088">
        <f>IF($P2088="","",INDEX(상세표[주말·휴일 포함],$P2088)&amp;"")</f>
        <v/>
      </c>
      <c r="O2088">
        <f>IF($P2088="","",INDEX(상세표[월 넘김 포함],$P2088)&amp;"")</f>
        <v/>
      </c>
      <c r="P2088" s="4">
        <f>IFERROR(MATCH(2083,상세표[연속순번],0),"")</f>
        <v/>
      </c>
    </row>
    <row r="2089">
      <c r="A2089">
        <f>IF($P2089="","",INDEX(상세표[사번],$P2089)&amp;"")</f>
        <v/>
      </c>
      <c r="B2089">
        <f>IF($P2089="","",INDEX(상세표[성명],$P2089)&amp;"")</f>
        <v/>
      </c>
      <c r="C2089">
        <f>IF($P2089="","",INDEX(상세표[부서],$P2089)&amp;"")</f>
        <v/>
      </c>
      <c r="D2089">
        <f>IF($P2089="","",INDEX(상세표[직위],$P2089)&amp;"")</f>
        <v/>
      </c>
      <c r="E2089">
        <f>IF($P2089="","",IF(ISNUMBER(INDEX(상세표[시작],$P2089)),TEXT(INDEX(상세표[시작],$P2089),"yyyy-mm-dd hh:mm"),INDEX(상세표[시작],$P2089)&amp;""))</f>
        <v/>
      </c>
      <c r="F2089">
        <f>IF($P2089="","",IF(ISNUMBER(INDEX(상세표[블록종료],$P2089)),TEXT(INDEX(상세표[블록종료],$P2089),"yyyy-mm-dd hh:mm"),INDEX(상세표[블록종료],$P2089)&amp;""))</f>
        <v/>
      </c>
      <c r="G2089">
        <f>IF($P2089="","",CHOOSE(WEEKDAY(INDEX(상세표[시작],$P2089)),"일","월","화","수","목","금","토"))</f>
        <v/>
      </c>
      <c r="H2089">
        <f>IF($P2089="","",INDEX(상세표[연속 시간],$P2089))</f>
        <v/>
      </c>
      <c r="I2089">
        <f>IF($P2089="","",INDEX(상세표[기록 수],$P2089))</f>
        <v/>
      </c>
      <c r="J2089">
        <f>IF($P2089="","",INDEX(상세표[블록 06~07시],$P2089))</f>
        <v/>
      </c>
      <c r="K2089">
        <f>IF($P2089="","",INDEX(상세표[블록 07~18시],$P2089))</f>
        <v/>
      </c>
      <c r="L2089">
        <f>IF($P2089="","",INDEX(상세표[블록 18~22시],$P2089))</f>
        <v/>
      </c>
      <c r="M2089">
        <f>IF($P2089="","",INDEX(상세표[블록 22~06시],$P2089))</f>
        <v/>
      </c>
      <c r="N2089">
        <f>IF($P2089="","",INDEX(상세표[주말·휴일 포함],$P2089)&amp;"")</f>
        <v/>
      </c>
      <c r="O2089">
        <f>IF($P2089="","",INDEX(상세표[월 넘김 포함],$P2089)&amp;"")</f>
        <v/>
      </c>
      <c r="P2089" s="4">
        <f>IFERROR(MATCH(2084,상세표[연속순번],0),"")</f>
        <v/>
      </c>
    </row>
    <row r="2090">
      <c r="A2090">
        <f>IF($P2090="","",INDEX(상세표[사번],$P2090)&amp;"")</f>
        <v/>
      </c>
      <c r="B2090">
        <f>IF($P2090="","",INDEX(상세표[성명],$P2090)&amp;"")</f>
        <v/>
      </c>
      <c r="C2090">
        <f>IF($P2090="","",INDEX(상세표[부서],$P2090)&amp;"")</f>
        <v/>
      </c>
      <c r="D2090">
        <f>IF($P2090="","",INDEX(상세표[직위],$P2090)&amp;"")</f>
        <v/>
      </c>
      <c r="E2090">
        <f>IF($P2090="","",IF(ISNUMBER(INDEX(상세표[시작],$P2090)),TEXT(INDEX(상세표[시작],$P2090),"yyyy-mm-dd hh:mm"),INDEX(상세표[시작],$P2090)&amp;""))</f>
        <v/>
      </c>
      <c r="F2090">
        <f>IF($P2090="","",IF(ISNUMBER(INDEX(상세표[블록종료],$P2090)),TEXT(INDEX(상세표[블록종료],$P2090),"yyyy-mm-dd hh:mm"),INDEX(상세표[블록종료],$P2090)&amp;""))</f>
        <v/>
      </c>
      <c r="G2090">
        <f>IF($P2090="","",CHOOSE(WEEKDAY(INDEX(상세표[시작],$P2090)),"일","월","화","수","목","금","토"))</f>
        <v/>
      </c>
      <c r="H2090">
        <f>IF($P2090="","",INDEX(상세표[연속 시간],$P2090))</f>
        <v/>
      </c>
      <c r="I2090">
        <f>IF($P2090="","",INDEX(상세표[기록 수],$P2090))</f>
        <v/>
      </c>
      <c r="J2090">
        <f>IF($P2090="","",INDEX(상세표[블록 06~07시],$P2090))</f>
        <v/>
      </c>
      <c r="K2090">
        <f>IF($P2090="","",INDEX(상세표[블록 07~18시],$P2090))</f>
        <v/>
      </c>
      <c r="L2090">
        <f>IF($P2090="","",INDEX(상세표[블록 18~22시],$P2090))</f>
        <v/>
      </c>
      <c r="M2090">
        <f>IF($P2090="","",INDEX(상세표[블록 22~06시],$P2090))</f>
        <v/>
      </c>
      <c r="N2090">
        <f>IF($P2090="","",INDEX(상세표[주말·휴일 포함],$P2090)&amp;"")</f>
        <v/>
      </c>
      <c r="O2090">
        <f>IF($P2090="","",INDEX(상세표[월 넘김 포함],$P2090)&amp;"")</f>
        <v/>
      </c>
      <c r="P2090" s="4">
        <f>IFERROR(MATCH(2085,상세표[연속순번],0),"")</f>
        <v/>
      </c>
    </row>
    <row r="2091">
      <c r="A2091">
        <f>IF($P2091="","",INDEX(상세표[사번],$P2091)&amp;"")</f>
        <v/>
      </c>
      <c r="B2091">
        <f>IF($P2091="","",INDEX(상세표[성명],$P2091)&amp;"")</f>
        <v/>
      </c>
      <c r="C2091">
        <f>IF($P2091="","",INDEX(상세표[부서],$P2091)&amp;"")</f>
        <v/>
      </c>
      <c r="D2091">
        <f>IF($P2091="","",INDEX(상세표[직위],$P2091)&amp;"")</f>
        <v/>
      </c>
      <c r="E2091">
        <f>IF($P2091="","",IF(ISNUMBER(INDEX(상세표[시작],$P2091)),TEXT(INDEX(상세표[시작],$P2091),"yyyy-mm-dd hh:mm"),INDEX(상세표[시작],$P2091)&amp;""))</f>
        <v/>
      </c>
      <c r="F2091">
        <f>IF($P2091="","",IF(ISNUMBER(INDEX(상세표[블록종료],$P2091)),TEXT(INDEX(상세표[블록종료],$P2091),"yyyy-mm-dd hh:mm"),INDEX(상세표[블록종료],$P2091)&amp;""))</f>
        <v/>
      </c>
      <c r="G2091">
        <f>IF($P2091="","",CHOOSE(WEEKDAY(INDEX(상세표[시작],$P2091)),"일","월","화","수","목","금","토"))</f>
        <v/>
      </c>
      <c r="H2091">
        <f>IF($P2091="","",INDEX(상세표[연속 시간],$P2091))</f>
        <v/>
      </c>
      <c r="I2091">
        <f>IF($P2091="","",INDEX(상세표[기록 수],$P2091))</f>
        <v/>
      </c>
      <c r="J2091">
        <f>IF($P2091="","",INDEX(상세표[블록 06~07시],$P2091))</f>
        <v/>
      </c>
      <c r="K2091">
        <f>IF($P2091="","",INDEX(상세표[블록 07~18시],$P2091))</f>
        <v/>
      </c>
      <c r="L2091">
        <f>IF($P2091="","",INDEX(상세표[블록 18~22시],$P2091))</f>
        <v/>
      </c>
      <c r="M2091">
        <f>IF($P2091="","",INDEX(상세표[블록 22~06시],$P2091))</f>
        <v/>
      </c>
      <c r="N2091">
        <f>IF($P2091="","",INDEX(상세표[주말·휴일 포함],$P2091)&amp;"")</f>
        <v/>
      </c>
      <c r="O2091">
        <f>IF($P2091="","",INDEX(상세표[월 넘김 포함],$P2091)&amp;"")</f>
        <v/>
      </c>
      <c r="P2091" s="4">
        <f>IFERROR(MATCH(2086,상세표[연속순번],0),"")</f>
        <v/>
      </c>
    </row>
    <row r="2092">
      <c r="A2092">
        <f>IF($P2092="","",INDEX(상세표[사번],$P2092)&amp;"")</f>
        <v/>
      </c>
      <c r="B2092">
        <f>IF($P2092="","",INDEX(상세표[성명],$P2092)&amp;"")</f>
        <v/>
      </c>
      <c r="C2092">
        <f>IF($P2092="","",INDEX(상세표[부서],$P2092)&amp;"")</f>
        <v/>
      </c>
      <c r="D2092">
        <f>IF($P2092="","",INDEX(상세표[직위],$P2092)&amp;"")</f>
        <v/>
      </c>
      <c r="E2092">
        <f>IF($P2092="","",IF(ISNUMBER(INDEX(상세표[시작],$P2092)),TEXT(INDEX(상세표[시작],$P2092),"yyyy-mm-dd hh:mm"),INDEX(상세표[시작],$P2092)&amp;""))</f>
        <v/>
      </c>
      <c r="F2092">
        <f>IF($P2092="","",IF(ISNUMBER(INDEX(상세표[블록종료],$P2092)),TEXT(INDEX(상세표[블록종료],$P2092),"yyyy-mm-dd hh:mm"),INDEX(상세표[블록종료],$P2092)&amp;""))</f>
        <v/>
      </c>
      <c r="G2092">
        <f>IF($P2092="","",CHOOSE(WEEKDAY(INDEX(상세표[시작],$P2092)),"일","월","화","수","목","금","토"))</f>
        <v/>
      </c>
      <c r="H2092">
        <f>IF($P2092="","",INDEX(상세표[연속 시간],$P2092))</f>
        <v/>
      </c>
      <c r="I2092">
        <f>IF($P2092="","",INDEX(상세표[기록 수],$P2092))</f>
        <v/>
      </c>
      <c r="J2092">
        <f>IF($P2092="","",INDEX(상세표[블록 06~07시],$P2092))</f>
        <v/>
      </c>
      <c r="K2092">
        <f>IF($P2092="","",INDEX(상세표[블록 07~18시],$P2092))</f>
        <v/>
      </c>
      <c r="L2092">
        <f>IF($P2092="","",INDEX(상세표[블록 18~22시],$P2092))</f>
        <v/>
      </c>
      <c r="M2092">
        <f>IF($P2092="","",INDEX(상세표[블록 22~06시],$P2092))</f>
        <v/>
      </c>
      <c r="N2092">
        <f>IF($P2092="","",INDEX(상세표[주말·휴일 포함],$P2092)&amp;"")</f>
        <v/>
      </c>
      <c r="O2092">
        <f>IF($P2092="","",INDEX(상세표[월 넘김 포함],$P2092)&amp;"")</f>
        <v/>
      </c>
      <c r="P2092" s="4">
        <f>IFERROR(MATCH(2087,상세표[연속순번],0),"")</f>
        <v/>
      </c>
    </row>
    <row r="2093">
      <c r="A2093">
        <f>IF($P2093="","",INDEX(상세표[사번],$P2093)&amp;"")</f>
        <v/>
      </c>
      <c r="B2093">
        <f>IF($P2093="","",INDEX(상세표[성명],$P2093)&amp;"")</f>
        <v/>
      </c>
      <c r="C2093">
        <f>IF($P2093="","",INDEX(상세표[부서],$P2093)&amp;"")</f>
        <v/>
      </c>
      <c r="D2093">
        <f>IF($P2093="","",INDEX(상세표[직위],$P2093)&amp;"")</f>
        <v/>
      </c>
      <c r="E2093">
        <f>IF($P2093="","",IF(ISNUMBER(INDEX(상세표[시작],$P2093)),TEXT(INDEX(상세표[시작],$P2093),"yyyy-mm-dd hh:mm"),INDEX(상세표[시작],$P2093)&amp;""))</f>
        <v/>
      </c>
      <c r="F2093">
        <f>IF($P2093="","",IF(ISNUMBER(INDEX(상세표[블록종료],$P2093)),TEXT(INDEX(상세표[블록종료],$P2093),"yyyy-mm-dd hh:mm"),INDEX(상세표[블록종료],$P2093)&amp;""))</f>
        <v/>
      </c>
      <c r="G2093">
        <f>IF($P2093="","",CHOOSE(WEEKDAY(INDEX(상세표[시작],$P2093)),"일","월","화","수","목","금","토"))</f>
        <v/>
      </c>
      <c r="H2093">
        <f>IF($P2093="","",INDEX(상세표[연속 시간],$P2093))</f>
        <v/>
      </c>
      <c r="I2093">
        <f>IF($P2093="","",INDEX(상세표[기록 수],$P2093))</f>
        <v/>
      </c>
      <c r="J2093">
        <f>IF($P2093="","",INDEX(상세표[블록 06~07시],$P2093))</f>
        <v/>
      </c>
      <c r="K2093">
        <f>IF($P2093="","",INDEX(상세표[블록 07~18시],$P2093))</f>
        <v/>
      </c>
      <c r="L2093">
        <f>IF($P2093="","",INDEX(상세표[블록 18~22시],$P2093))</f>
        <v/>
      </c>
      <c r="M2093">
        <f>IF($P2093="","",INDEX(상세표[블록 22~06시],$P2093))</f>
        <v/>
      </c>
      <c r="N2093">
        <f>IF($P2093="","",INDEX(상세표[주말·휴일 포함],$P2093)&amp;"")</f>
        <v/>
      </c>
      <c r="O2093">
        <f>IF($P2093="","",INDEX(상세표[월 넘김 포함],$P2093)&amp;"")</f>
        <v/>
      </c>
      <c r="P2093" s="4">
        <f>IFERROR(MATCH(2088,상세표[연속순번],0),"")</f>
        <v/>
      </c>
    </row>
    <row r="2094">
      <c r="A2094">
        <f>IF($P2094="","",INDEX(상세표[사번],$P2094)&amp;"")</f>
        <v/>
      </c>
      <c r="B2094">
        <f>IF($P2094="","",INDEX(상세표[성명],$P2094)&amp;"")</f>
        <v/>
      </c>
      <c r="C2094">
        <f>IF($P2094="","",INDEX(상세표[부서],$P2094)&amp;"")</f>
        <v/>
      </c>
      <c r="D2094">
        <f>IF($P2094="","",INDEX(상세표[직위],$P2094)&amp;"")</f>
        <v/>
      </c>
      <c r="E2094">
        <f>IF($P2094="","",IF(ISNUMBER(INDEX(상세표[시작],$P2094)),TEXT(INDEX(상세표[시작],$P2094),"yyyy-mm-dd hh:mm"),INDEX(상세표[시작],$P2094)&amp;""))</f>
        <v/>
      </c>
      <c r="F2094">
        <f>IF($P2094="","",IF(ISNUMBER(INDEX(상세표[블록종료],$P2094)),TEXT(INDEX(상세표[블록종료],$P2094),"yyyy-mm-dd hh:mm"),INDEX(상세표[블록종료],$P2094)&amp;""))</f>
        <v/>
      </c>
      <c r="G2094">
        <f>IF($P2094="","",CHOOSE(WEEKDAY(INDEX(상세표[시작],$P2094)),"일","월","화","수","목","금","토"))</f>
        <v/>
      </c>
      <c r="H2094">
        <f>IF($P2094="","",INDEX(상세표[연속 시간],$P2094))</f>
        <v/>
      </c>
      <c r="I2094">
        <f>IF($P2094="","",INDEX(상세표[기록 수],$P2094))</f>
        <v/>
      </c>
      <c r="J2094">
        <f>IF($P2094="","",INDEX(상세표[블록 06~07시],$P2094))</f>
        <v/>
      </c>
      <c r="K2094">
        <f>IF($P2094="","",INDEX(상세표[블록 07~18시],$P2094))</f>
        <v/>
      </c>
      <c r="L2094">
        <f>IF($P2094="","",INDEX(상세표[블록 18~22시],$P2094))</f>
        <v/>
      </c>
      <c r="M2094">
        <f>IF($P2094="","",INDEX(상세표[블록 22~06시],$P2094))</f>
        <v/>
      </c>
      <c r="N2094">
        <f>IF($P2094="","",INDEX(상세표[주말·휴일 포함],$P2094)&amp;"")</f>
        <v/>
      </c>
      <c r="O2094">
        <f>IF($P2094="","",INDEX(상세표[월 넘김 포함],$P2094)&amp;"")</f>
        <v/>
      </c>
      <c r="P2094" s="4">
        <f>IFERROR(MATCH(2089,상세표[연속순번],0),"")</f>
        <v/>
      </c>
    </row>
    <row r="2095">
      <c r="A2095">
        <f>IF($P2095="","",INDEX(상세표[사번],$P2095)&amp;"")</f>
        <v/>
      </c>
      <c r="B2095">
        <f>IF($P2095="","",INDEX(상세표[성명],$P2095)&amp;"")</f>
        <v/>
      </c>
      <c r="C2095">
        <f>IF($P2095="","",INDEX(상세표[부서],$P2095)&amp;"")</f>
        <v/>
      </c>
      <c r="D2095">
        <f>IF($P2095="","",INDEX(상세표[직위],$P2095)&amp;"")</f>
        <v/>
      </c>
      <c r="E2095">
        <f>IF($P2095="","",IF(ISNUMBER(INDEX(상세표[시작],$P2095)),TEXT(INDEX(상세표[시작],$P2095),"yyyy-mm-dd hh:mm"),INDEX(상세표[시작],$P2095)&amp;""))</f>
        <v/>
      </c>
      <c r="F2095">
        <f>IF($P2095="","",IF(ISNUMBER(INDEX(상세표[블록종료],$P2095)),TEXT(INDEX(상세표[블록종료],$P2095),"yyyy-mm-dd hh:mm"),INDEX(상세표[블록종료],$P2095)&amp;""))</f>
        <v/>
      </c>
      <c r="G2095">
        <f>IF($P2095="","",CHOOSE(WEEKDAY(INDEX(상세표[시작],$P2095)),"일","월","화","수","목","금","토"))</f>
        <v/>
      </c>
      <c r="H2095">
        <f>IF($P2095="","",INDEX(상세표[연속 시간],$P2095))</f>
        <v/>
      </c>
      <c r="I2095">
        <f>IF($P2095="","",INDEX(상세표[기록 수],$P2095))</f>
        <v/>
      </c>
      <c r="J2095">
        <f>IF($P2095="","",INDEX(상세표[블록 06~07시],$P2095))</f>
        <v/>
      </c>
      <c r="K2095">
        <f>IF($P2095="","",INDEX(상세표[블록 07~18시],$P2095))</f>
        <v/>
      </c>
      <c r="L2095">
        <f>IF($P2095="","",INDEX(상세표[블록 18~22시],$P2095))</f>
        <v/>
      </c>
      <c r="M2095">
        <f>IF($P2095="","",INDEX(상세표[블록 22~06시],$P2095))</f>
        <v/>
      </c>
      <c r="N2095">
        <f>IF($P2095="","",INDEX(상세표[주말·휴일 포함],$P2095)&amp;"")</f>
        <v/>
      </c>
      <c r="O2095">
        <f>IF($P2095="","",INDEX(상세표[월 넘김 포함],$P2095)&amp;"")</f>
        <v/>
      </c>
      <c r="P2095" s="4">
        <f>IFERROR(MATCH(2090,상세표[연속순번],0),"")</f>
        <v/>
      </c>
    </row>
    <row r="2096">
      <c r="A2096">
        <f>IF($P2096="","",INDEX(상세표[사번],$P2096)&amp;"")</f>
        <v/>
      </c>
      <c r="B2096">
        <f>IF($P2096="","",INDEX(상세표[성명],$P2096)&amp;"")</f>
        <v/>
      </c>
      <c r="C2096">
        <f>IF($P2096="","",INDEX(상세표[부서],$P2096)&amp;"")</f>
        <v/>
      </c>
      <c r="D2096">
        <f>IF($P2096="","",INDEX(상세표[직위],$P2096)&amp;"")</f>
        <v/>
      </c>
      <c r="E2096">
        <f>IF($P2096="","",IF(ISNUMBER(INDEX(상세표[시작],$P2096)),TEXT(INDEX(상세표[시작],$P2096),"yyyy-mm-dd hh:mm"),INDEX(상세표[시작],$P2096)&amp;""))</f>
        <v/>
      </c>
      <c r="F2096">
        <f>IF($P2096="","",IF(ISNUMBER(INDEX(상세표[블록종료],$P2096)),TEXT(INDEX(상세표[블록종료],$P2096),"yyyy-mm-dd hh:mm"),INDEX(상세표[블록종료],$P2096)&amp;""))</f>
        <v/>
      </c>
      <c r="G2096">
        <f>IF($P2096="","",CHOOSE(WEEKDAY(INDEX(상세표[시작],$P2096)),"일","월","화","수","목","금","토"))</f>
        <v/>
      </c>
      <c r="H2096">
        <f>IF($P2096="","",INDEX(상세표[연속 시간],$P2096))</f>
        <v/>
      </c>
      <c r="I2096">
        <f>IF($P2096="","",INDEX(상세표[기록 수],$P2096))</f>
        <v/>
      </c>
      <c r="J2096">
        <f>IF($P2096="","",INDEX(상세표[블록 06~07시],$P2096))</f>
        <v/>
      </c>
      <c r="K2096">
        <f>IF($P2096="","",INDEX(상세표[블록 07~18시],$P2096))</f>
        <v/>
      </c>
      <c r="L2096">
        <f>IF($P2096="","",INDEX(상세표[블록 18~22시],$P2096))</f>
        <v/>
      </c>
      <c r="M2096">
        <f>IF($P2096="","",INDEX(상세표[블록 22~06시],$P2096))</f>
        <v/>
      </c>
      <c r="N2096">
        <f>IF($P2096="","",INDEX(상세표[주말·휴일 포함],$P2096)&amp;"")</f>
        <v/>
      </c>
      <c r="O2096">
        <f>IF($P2096="","",INDEX(상세표[월 넘김 포함],$P2096)&amp;"")</f>
        <v/>
      </c>
      <c r="P2096" s="4">
        <f>IFERROR(MATCH(2091,상세표[연속순번],0),"")</f>
        <v/>
      </c>
    </row>
    <row r="2097">
      <c r="A2097">
        <f>IF($P2097="","",INDEX(상세표[사번],$P2097)&amp;"")</f>
        <v/>
      </c>
      <c r="B2097">
        <f>IF($P2097="","",INDEX(상세표[성명],$P2097)&amp;"")</f>
        <v/>
      </c>
      <c r="C2097">
        <f>IF($P2097="","",INDEX(상세표[부서],$P2097)&amp;"")</f>
        <v/>
      </c>
      <c r="D2097">
        <f>IF($P2097="","",INDEX(상세표[직위],$P2097)&amp;"")</f>
        <v/>
      </c>
      <c r="E2097">
        <f>IF($P2097="","",IF(ISNUMBER(INDEX(상세표[시작],$P2097)),TEXT(INDEX(상세표[시작],$P2097),"yyyy-mm-dd hh:mm"),INDEX(상세표[시작],$P2097)&amp;""))</f>
        <v/>
      </c>
      <c r="F2097">
        <f>IF($P2097="","",IF(ISNUMBER(INDEX(상세표[블록종료],$P2097)),TEXT(INDEX(상세표[블록종료],$P2097),"yyyy-mm-dd hh:mm"),INDEX(상세표[블록종료],$P2097)&amp;""))</f>
        <v/>
      </c>
      <c r="G2097">
        <f>IF($P2097="","",CHOOSE(WEEKDAY(INDEX(상세표[시작],$P2097)),"일","월","화","수","목","금","토"))</f>
        <v/>
      </c>
      <c r="H2097">
        <f>IF($P2097="","",INDEX(상세표[연속 시간],$P2097))</f>
        <v/>
      </c>
      <c r="I2097">
        <f>IF($P2097="","",INDEX(상세표[기록 수],$P2097))</f>
        <v/>
      </c>
      <c r="J2097">
        <f>IF($P2097="","",INDEX(상세표[블록 06~07시],$P2097))</f>
        <v/>
      </c>
      <c r="K2097">
        <f>IF($P2097="","",INDEX(상세표[블록 07~18시],$P2097))</f>
        <v/>
      </c>
      <c r="L2097">
        <f>IF($P2097="","",INDEX(상세표[블록 18~22시],$P2097))</f>
        <v/>
      </c>
      <c r="M2097">
        <f>IF($P2097="","",INDEX(상세표[블록 22~06시],$P2097))</f>
        <v/>
      </c>
      <c r="N2097">
        <f>IF($P2097="","",INDEX(상세표[주말·휴일 포함],$P2097)&amp;"")</f>
        <v/>
      </c>
      <c r="O2097">
        <f>IF($P2097="","",INDEX(상세표[월 넘김 포함],$P2097)&amp;"")</f>
        <v/>
      </c>
      <c r="P2097" s="4">
        <f>IFERROR(MATCH(2092,상세표[연속순번],0),"")</f>
        <v/>
      </c>
    </row>
    <row r="2098">
      <c r="A2098">
        <f>IF($P2098="","",INDEX(상세표[사번],$P2098)&amp;"")</f>
        <v/>
      </c>
      <c r="B2098">
        <f>IF($P2098="","",INDEX(상세표[성명],$P2098)&amp;"")</f>
        <v/>
      </c>
      <c r="C2098">
        <f>IF($P2098="","",INDEX(상세표[부서],$P2098)&amp;"")</f>
        <v/>
      </c>
      <c r="D2098">
        <f>IF($P2098="","",INDEX(상세표[직위],$P2098)&amp;"")</f>
        <v/>
      </c>
      <c r="E2098">
        <f>IF($P2098="","",IF(ISNUMBER(INDEX(상세표[시작],$P2098)),TEXT(INDEX(상세표[시작],$P2098),"yyyy-mm-dd hh:mm"),INDEX(상세표[시작],$P2098)&amp;""))</f>
        <v/>
      </c>
      <c r="F2098">
        <f>IF($P2098="","",IF(ISNUMBER(INDEX(상세표[블록종료],$P2098)),TEXT(INDEX(상세표[블록종료],$P2098),"yyyy-mm-dd hh:mm"),INDEX(상세표[블록종료],$P2098)&amp;""))</f>
        <v/>
      </c>
      <c r="G2098">
        <f>IF($P2098="","",CHOOSE(WEEKDAY(INDEX(상세표[시작],$P2098)),"일","월","화","수","목","금","토"))</f>
        <v/>
      </c>
      <c r="H2098">
        <f>IF($P2098="","",INDEX(상세표[연속 시간],$P2098))</f>
        <v/>
      </c>
      <c r="I2098">
        <f>IF($P2098="","",INDEX(상세표[기록 수],$P2098))</f>
        <v/>
      </c>
      <c r="J2098">
        <f>IF($P2098="","",INDEX(상세표[블록 06~07시],$P2098))</f>
        <v/>
      </c>
      <c r="K2098">
        <f>IF($P2098="","",INDEX(상세표[블록 07~18시],$P2098))</f>
        <v/>
      </c>
      <c r="L2098">
        <f>IF($P2098="","",INDEX(상세표[블록 18~22시],$P2098))</f>
        <v/>
      </c>
      <c r="M2098">
        <f>IF($P2098="","",INDEX(상세표[블록 22~06시],$P2098))</f>
        <v/>
      </c>
      <c r="N2098">
        <f>IF($P2098="","",INDEX(상세표[주말·휴일 포함],$P2098)&amp;"")</f>
        <v/>
      </c>
      <c r="O2098">
        <f>IF($P2098="","",INDEX(상세표[월 넘김 포함],$P2098)&amp;"")</f>
        <v/>
      </c>
      <c r="P2098" s="4">
        <f>IFERROR(MATCH(2093,상세표[연속순번],0),"")</f>
        <v/>
      </c>
    </row>
    <row r="2099">
      <c r="A2099">
        <f>IF($P2099="","",INDEX(상세표[사번],$P2099)&amp;"")</f>
        <v/>
      </c>
      <c r="B2099">
        <f>IF($P2099="","",INDEX(상세표[성명],$P2099)&amp;"")</f>
        <v/>
      </c>
      <c r="C2099">
        <f>IF($P2099="","",INDEX(상세표[부서],$P2099)&amp;"")</f>
        <v/>
      </c>
      <c r="D2099">
        <f>IF($P2099="","",INDEX(상세표[직위],$P2099)&amp;"")</f>
        <v/>
      </c>
      <c r="E2099">
        <f>IF($P2099="","",IF(ISNUMBER(INDEX(상세표[시작],$P2099)),TEXT(INDEX(상세표[시작],$P2099),"yyyy-mm-dd hh:mm"),INDEX(상세표[시작],$P2099)&amp;""))</f>
        <v/>
      </c>
      <c r="F2099">
        <f>IF($P2099="","",IF(ISNUMBER(INDEX(상세표[블록종료],$P2099)),TEXT(INDEX(상세표[블록종료],$P2099),"yyyy-mm-dd hh:mm"),INDEX(상세표[블록종료],$P2099)&amp;""))</f>
        <v/>
      </c>
      <c r="G2099">
        <f>IF($P2099="","",CHOOSE(WEEKDAY(INDEX(상세표[시작],$P2099)),"일","월","화","수","목","금","토"))</f>
        <v/>
      </c>
      <c r="H2099">
        <f>IF($P2099="","",INDEX(상세표[연속 시간],$P2099))</f>
        <v/>
      </c>
      <c r="I2099">
        <f>IF($P2099="","",INDEX(상세표[기록 수],$P2099))</f>
        <v/>
      </c>
      <c r="J2099">
        <f>IF($P2099="","",INDEX(상세표[블록 06~07시],$P2099))</f>
        <v/>
      </c>
      <c r="K2099">
        <f>IF($P2099="","",INDEX(상세표[블록 07~18시],$P2099))</f>
        <v/>
      </c>
      <c r="L2099">
        <f>IF($P2099="","",INDEX(상세표[블록 18~22시],$P2099))</f>
        <v/>
      </c>
      <c r="M2099">
        <f>IF($P2099="","",INDEX(상세표[블록 22~06시],$P2099))</f>
        <v/>
      </c>
      <c r="N2099">
        <f>IF($P2099="","",INDEX(상세표[주말·휴일 포함],$P2099)&amp;"")</f>
        <v/>
      </c>
      <c r="O2099">
        <f>IF($P2099="","",INDEX(상세표[월 넘김 포함],$P2099)&amp;"")</f>
        <v/>
      </c>
      <c r="P2099" s="4">
        <f>IFERROR(MATCH(2094,상세표[연속순번],0),"")</f>
        <v/>
      </c>
    </row>
    <row r="2100">
      <c r="A2100">
        <f>IF($P2100="","",INDEX(상세표[사번],$P2100)&amp;"")</f>
        <v/>
      </c>
      <c r="B2100">
        <f>IF($P2100="","",INDEX(상세표[성명],$P2100)&amp;"")</f>
        <v/>
      </c>
      <c r="C2100">
        <f>IF($P2100="","",INDEX(상세표[부서],$P2100)&amp;"")</f>
        <v/>
      </c>
      <c r="D2100">
        <f>IF($P2100="","",INDEX(상세표[직위],$P2100)&amp;"")</f>
        <v/>
      </c>
      <c r="E2100">
        <f>IF($P2100="","",IF(ISNUMBER(INDEX(상세표[시작],$P2100)),TEXT(INDEX(상세표[시작],$P2100),"yyyy-mm-dd hh:mm"),INDEX(상세표[시작],$P2100)&amp;""))</f>
        <v/>
      </c>
      <c r="F2100">
        <f>IF($P2100="","",IF(ISNUMBER(INDEX(상세표[블록종료],$P2100)),TEXT(INDEX(상세표[블록종료],$P2100),"yyyy-mm-dd hh:mm"),INDEX(상세표[블록종료],$P2100)&amp;""))</f>
        <v/>
      </c>
      <c r="G2100">
        <f>IF($P2100="","",CHOOSE(WEEKDAY(INDEX(상세표[시작],$P2100)),"일","월","화","수","목","금","토"))</f>
        <v/>
      </c>
      <c r="H2100">
        <f>IF($P2100="","",INDEX(상세표[연속 시간],$P2100))</f>
        <v/>
      </c>
      <c r="I2100">
        <f>IF($P2100="","",INDEX(상세표[기록 수],$P2100))</f>
        <v/>
      </c>
      <c r="J2100">
        <f>IF($P2100="","",INDEX(상세표[블록 06~07시],$P2100))</f>
        <v/>
      </c>
      <c r="K2100">
        <f>IF($P2100="","",INDEX(상세표[블록 07~18시],$P2100))</f>
        <v/>
      </c>
      <c r="L2100">
        <f>IF($P2100="","",INDEX(상세표[블록 18~22시],$P2100))</f>
        <v/>
      </c>
      <c r="M2100">
        <f>IF($P2100="","",INDEX(상세표[블록 22~06시],$P2100))</f>
        <v/>
      </c>
      <c r="N2100">
        <f>IF($P2100="","",INDEX(상세표[주말·휴일 포함],$P2100)&amp;"")</f>
        <v/>
      </c>
      <c r="O2100">
        <f>IF($P2100="","",INDEX(상세표[월 넘김 포함],$P2100)&amp;"")</f>
        <v/>
      </c>
      <c r="P2100" s="4">
        <f>IFERROR(MATCH(2095,상세표[연속순번],0),"")</f>
        <v/>
      </c>
    </row>
    <row r="2101">
      <c r="A2101">
        <f>IF($P2101="","",INDEX(상세표[사번],$P2101)&amp;"")</f>
        <v/>
      </c>
      <c r="B2101">
        <f>IF($P2101="","",INDEX(상세표[성명],$P2101)&amp;"")</f>
        <v/>
      </c>
      <c r="C2101">
        <f>IF($P2101="","",INDEX(상세표[부서],$P2101)&amp;"")</f>
        <v/>
      </c>
      <c r="D2101">
        <f>IF($P2101="","",INDEX(상세표[직위],$P2101)&amp;"")</f>
        <v/>
      </c>
      <c r="E2101">
        <f>IF($P2101="","",IF(ISNUMBER(INDEX(상세표[시작],$P2101)),TEXT(INDEX(상세표[시작],$P2101),"yyyy-mm-dd hh:mm"),INDEX(상세표[시작],$P2101)&amp;""))</f>
        <v/>
      </c>
      <c r="F2101">
        <f>IF($P2101="","",IF(ISNUMBER(INDEX(상세표[블록종료],$P2101)),TEXT(INDEX(상세표[블록종료],$P2101),"yyyy-mm-dd hh:mm"),INDEX(상세표[블록종료],$P2101)&amp;""))</f>
        <v/>
      </c>
      <c r="G2101">
        <f>IF($P2101="","",CHOOSE(WEEKDAY(INDEX(상세표[시작],$P2101)),"일","월","화","수","목","금","토"))</f>
        <v/>
      </c>
      <c r="H2101">
        <f>IF($P2101="","",INDEX(상세표[연속 시간],$P2101))</f>
        <v/>
      </c>
      <c r="I2101">
        <f>IF($P2101="","",INDEX(상세표[기록 수],$P2101))</f>
        <v/>
      </c>
      <c r="J2101">
        <f>IF($P2101="","",INDEX(상세표[블록 06~07시],$P2101))</f>
        <v/>
      </c>
      <c r="K2101">
        <f>IF($P2101="","",INDEX(상세표[블록 07~18시],$P2101))</f>
        <v/>
      </c>
      <c r="L2101">
        <f>IF($P2101="","",INDEX(상세표[블록 18~22시],$P2101))</f>
        <v/>
      </c>
      <c r="M2101">
        <f>IF($P2101="","",INDEX(상세표[블록 22~06시],$P2101))</f>
        <v/>
      </c>
      <c r="N2101">
        <f>IF($P2101="","",INDEX(상세표[주말·휴일 포함],$P2101)&amp;"")</f>
        <v/>
      </c>
      <c r="O2101">
        <f>IF($P2101="","",INDEX(상세표[월 넘김 포함],$P2101)&amp;"")</f>
        <v/>
      </c>
      <c r="P2101" s="4">
        <f>IFERROR(MATCH(2096,상세표[연속순번],0),"")</f>
        <v/>
      </c>
    </row>
    <row r="2102">
      <c r="A2102">
        <f>IF($P2102="","",INDEX(상세표[사번],$P2102)&amp;"")</f>
        <v/>
      </c>
      <c r="B2102">
        <f>IF($P2102="","",INDEX(상세표[성명],$P2102)&amp;"")</f>
        <v/>
      </c>
      <c r="C2102">
        <f>IF($P2102="","",INDEX(상세표[부서],$P2102)&amp;"")</f>
        <v/>
      </c>
      <c r="D2102">
        <f>IF($P2102="","",INDEX(상세표[직위],$P2102)&amp;"")</f>
        <v/>
      </c>
      <c r="E2102">
        <f>IF($P2102="","",IF(ISNUMBER(INDEX(상세표[시작],$P2102)),TEXT(INDEX(상세표[시작],$P2102),"yyyy-mm-dd hh:mm"),INDEX(상세표[시작],$P2102)&amp;""))</f>
        <v/>
      </c>
      <c r="F2102">
        <f>IF($P2102="","",IF(ISNUMBER(INDEX(상세표[블록종료],$P2102)),TEXT(INDEX(상세표[블록종료],$P2102),"yyyy-mm-dd hh:mm"),INDEX(상세표[블록종료],$P2102)&amp;""))</f>
        <v/>
      </c>
      <c r="G2102">
        <f>IF($P2102="","",CHOOSE(WEEKDAY(INDEX(상세표[시작],$P2102)),"일","월","화","수","목","금","토"))</f>
        <v/>
      </c>
      <c r="H2102">
        <f>IF($P2102="","",INDEX(상세표[연속 시간],$P2102))</f>
        <v/>
      </c>
      <c r="I2102">
        <f>IF($P2102="","",INDEX(상세표[기록 수],$P2102))</f>
        <v/>
      </c>
      <c r="J2102">
        <f>IF($P2102="","",INDEX(상세표[블록 06~07시],$P2102))</f>
        <v/>
      </c>
      <c r="K2102">
        <f>IF($P2102="","",INDEX(상세표[블록 07~18시],$P2102))</f>
        <v/>
      </c>
      <c r="L2102">
        <f>IF($P2102="","",INDEX(상세표[블록 18~22시],$P2102))</f>
        <v/>
      </c>
      <c r="M2102">
        <f>IF($P2102="","",INDEX(상세표[블록 22~06시],$P2102))</f>
        <v/>
      </c>
      <c r="N2102">
        <f>IF($P2102="","",INDEX(상세표[주말·휴일 포함],$P2102)&amp;"")</f>
        <v/>
      </c>
      <c r="O2102">
        <f>IF($P2102="","",INDEX(상세표[월 넘김 포함],$P2102)&amp;"")</f>
        <v/>
      </c>
      <c r="P2102" s="4">
        <f>IFERROR(MATCH(2097,상세표[연속순번],0),"")</f>
        <v/>
      </c>
    </row>
    <row r="2103">
      <c r="A2103">
        <f>IF($P2103="","",INDEX(상세표[사번],$P2103)&amp;"")</f>
        <v/>
      </c>
      <c r="B2103">
        <f>IF($P2103="","",INDEX(상세표[성명],$P2103)&amp;"")</f>
        <v/>
      </c>
      <c r="C2103">
        <f>IF($P2103="","",INDEX(상세표[부서],$P2103)&amp;"")</f>
        <v/>
      </c>
      <c r="D2103">
        <f>IF($P2103="","",INDEX(상세표[직위],$P2103)&amp;"")</f>
        <v/>
      </c>
      <c r="E2103">
        <f>IF($P2103="","",IF(ISNUMBER(INDEX(상세표[시작],$P2103)),TEXT(INDEX(상세표[시작],$P2103),"yyyy-mm-dd hh:mm"),INDEX(상세표[시작],$P2103)&amp;""))</f>
        <v/>
      </c>
      <c r="F2103">
        <f>IF($P2103="","",IF(ISNUMBER(INDEX(상세표[블록종료],$P2103)),TEXT(INDEX(상세표[블록종료],$P2103),"yyyy-mm-dd hh:mm"),INDEX(상세표[블록종료],$P2103)&amp;""))</f>
        <v/>
      </c>
      <c r="G2103">
        <f>IF($P2103="","",CHOOSE(WEEKDAY(INDEX(상세표[시작],$P2103)),"일","월","화","수","목","금","토"))</f>
        <v/>
      </c>
      <c r="H2103">
        <f>IF($P2103="","",INDEX(상세표[연속 시간],$P2103))</f>
        <v/>
      </c>
      <c r="I2103">
        <f>IF($P2103="","",INDEX(상세표[기록 수],$P2103))</f>
        <v/>
      </c>
      <c r="J2103">
        <f>IF($P2103="","",INDEX(상세표[블록 06~07시],$P2103))</f>
        <v/>
      </c>
      <c r="K2103">
        <f>IF($P2103="","",INDEX(상세표[블록 07~18시],$P2103))</f>
        <v/>
      </c>
      <c r="L2103">
        <f>IF($P2103="","",INDEX(상세표[블록 18~22시],$P2103))</f>
        <v/>
      </c>
      <c r="M2103">
        <f>IF($P2103="","",INDEX(상세표[블록 22~06시],$P2103))</f>
        <v/>
      </c>
      <c r="N2103">
        <f>IF($P2103="","",INDEX(상세표[주말·휴일 포함],$P2103)&amp;"")</f>
        <v/>
      </c>
      <c r="O2103">
        <f>IF($P2103="","",INDEX(상세표[월 넘김 포함],$P2103)&amp;"")</f>
        <v/>
      </c>
      <c r="P2103" s="4">
        <f>IFERROR(MATCH(2098,상세표[연속순번],0),"")</f>
        <v/>
      </c>
    </row>
    <row r="2104">
      <c r="A2104">
        <f>IF($P2104="","",INDEX(상세표[사번],$P2104)&amp;"")</f>
        <v/>
      </c>
      <c r="B2104">
        <f>IF($P2104="","",INDEX(상세표[성명],$P2104)&amp;"")</f>
        <v/>
      </c>
      <c r="C2104">
        <f>IF($P2104="","",INDEX(상세표[부서],$P2104)&amp;"")</f>
        <v/>
      </c>
      <c r="D2104">
        <f>IF($P2104="","",INDEX(상세표[직위],$P2104)&amp;"")</f>
        <v/>
      </c>
      <c r="E2104">
        <f>IF($P2104="","",IF(ISNUMBER(INDEX(상세표[시작],$P2104)),TEXT(INDEX(상세표[시작],$P2104),"yyyy-mm-dd hh:mm"),INDEX(상세표[시작],$P2104)&amp;""))</f>
        <v/>
      </c>
      <c r="F2104">
        <f>IF($P2104="","",IF(ISNUMBER(INDEX(상세표[블록종료],$P2104)),TEXT(INDEX(상세표[블록종료],$P2104),"yyyy-mm-dd hh:mm"),INDEX(상세표[블록종료],$P2104)&amp;""))</f>
        <v/>
      </c>
      <c r="G2104">
        <f>IF($P2104="","",CHOOSE(WEEKDAY(INDEX(상세표[시작],$P2104)),"일","월","화","수","목","금","토"))</f>
        <v/>
      </c>
      <c r="H2104">
        <f>IF($P2104="","",INDEX(상세표[연속 시간],$P2104))</f>
        <v/>
      </c>
      <c r="I2104">
        <f>IF($P2104="","",INDEX(상세표[기록 수],$P2104))</f>
        <v/>
      </c>
      <c r="J2104">
        <f>IF($P2104="","",INDEX(상세표[블록 06~07시],$P2104))</f>
        <v/>
      </c>
      <c r="K2104">
        <f>IF($P2104="","",INDEX(상세표[블록 07~18시],$P2104))</f>
        <v/>
      </c>
      <c r="L2104">
        <f>IF($P2104="","",INDEX(상세표[블록 18~22시],$P2104))</f>
        <v/>
      </c>
      <c r="M2104">
        <f>IF($P2104="","",INDEX(상세표[블록 22~06시],$P2104))</f>
        <v/>
      </c>
      <c r="N2104">
        <f>IF($P2104="","",INDEX(상세표[주말·휴일 포함],$P2104)&amp;"")</f>
        <v/>
      </c>
      <c r="O2104">
        <f>IF($P2104="","",INDEX(상세표[월 넘김 포함],$P2104)&amp;"")</f>
        <v/>
      </c>
      <c r="P2104" s="4">
        <f>IFERROR(MATCH(2099,상세표[연속순번],0),"")</f>
        <v/>
      </c>
    </row>
    <row r="2105">
      <c r="A2105">
        <f>IF($P2105="","",INDEX(상세표[사번],$P2105)&amp;"")</f>
        <v/>
      </c>
      <c r="B2105">
        <f>IF($P2105="","",INDEX(상세표[성명],$P2105)&amp;"")</f>
        <v/>
      </c>
      <c r="C2105">
        <f>IF($P2105="","",INDEX(상세표[부서],$P2105)&amp;"")</f>
        <v/>
      </c>
      <c r="D2105">
        <f>IF($P2105="","",INDEX(상세표[직위],$P2105)&amp;"")</f>
        <v/>
      </c>
      <c r="E2105">
        <f>IF($P2105="","",IF(ISNUMBER(INDEX(상세표[시작],$P2105)),TEXT(INDEX(상세표[시작],$P2105),"yyyy-mm-dd hh:mm"),INDEX(상세표[시작],$P2105)&amp;""))</f>
        <v/>
      </c>
      <c r="F2105">
        <f>IF($P2105="","",IF(ISNUMBER(INDEX(상세표[블록종료],$P2105)),TEXT(INDEX(상세표[블록종료],$P2105),"yyyy-mm-dd hh:mm"),INDEX(상세표[블록종료],$P2105)&amp;""))</f>
        <v/>
      </c>
      <c r="G2105">
        <f>IF($P2105="","",CHOOSE(WEEKDAY(INDEX(상세표[시작],$P2105)),"일","월","화","수","목","금","토"))</f>
        <v/>
      </c>
      <c r="H2105">
        <f>IF($P2105="","",INDEX(상세표[연속 시간],$P2105))</f>
        <v/>
      </c>
      <c r="I2105">
        <f>IF($P2105="","",INDEX(상세표[기록 수],$P2105))</f>
        <v/>
      </c>
      <c r="J2105">
        <f>IF($P2105="","",INDEX(상세표[블록 06~07시],$P2105))</f>
        <v/>
      </c>
      <c r="K2105">
        <f>IF($P2105="","",INDEX(상세표[블록 07~18시],$P2105))</f>
        <v/>
      </c>
      <c r="L2105">
        <f>IF($P2105="","",INDEX(상세표[블록 18~22시],$P2105))</f>
        <v/>
      </c>
      <c r="M2105">
        <f>IF($P2105="","",INDEX(상세표[블록 22~06시],$P2105))</f>
        <v/>
      </c>
      <c r="N2105">
        <f>IF($P2105="","",INDEX(상세표[주말·휴일 포함],$P2105)&amp;"")</f>
        <v/>
      </c>
      <c r="O2105">
        <f>IF($P2105="","",INDEX(상세표[월 넘김 포함],$P2105)&amp;"")</f>
        <v/>
      </c>
      <c r="P2105" s="4">
        <f>IFERROR(MATCH(2100,상세표[연속순번],0),"")</f>
        <v/>
      </c>
    </row>
    <row r="2106">
      <c r="A2106">
        <f>IF($P2106="","",INDEX(상세표[사번],$P2106)&amp;"")</f>
        <v/>
      </c>
      <c r="B2106">
        <f>IF($P2106="","",INDEX(상세표[성명],$P2106)&amp;"")</f>
        <v/>
      </c>
      <c r="C2106">
        <f>IF($P2106="","",INDEX(상세표[부서],$P2106)&amp;"")</f>
        <v/>
      </c>
      <c r="D2106">
        <f>IF($P2106="","",INDEX(상세표[직위],$P2106)&amp;"")</f>
        <v/>
      </c>
      <c r="E2106">
        <f>IF($P2106="","",IF(ISNUMBER(INDEX(상세표[시작],$P2106)),TEXT(INDEX(상세표[시작],$P2106),"yyyy-mm-dd hh:mm"),INDEX(상세표[시작],$P2106)&amp;""))</f>
        <v/>
      </c>
      <c r="F2106">
        <f>IF($P2106="","",IF(ISNUMBER(INDEX(상세표[블록종료],$P2106)),TEXT(INDEX(상세표[블록종료],$P2106),"yyyy-mm-dd hh:mm"),INDEX(상세표[블록종료],$P2106)&amp;""))</f>
        <v/>
      </c>
      <c r="G2106">
        <f>IF($P2106="","",CHOOSE(WEEKDAY(INDEX(상세표[시작],$P2106)),"일","월","화","수","목","금","토"))</f>
        <v/>
      </c>
      <c r="H2106">
        <f>IF($P2106="","",INDEX(상세표[연속 시간],$P2106))</f>
        <v/>
      </c>
      <c r="I2106">
        <f>IF($P2106="","",INDEX(상세표[기록 수],$P2106))</f>
        <v/>
      </c>
      <c r="J2106">
        <f>IF($P2106="","",INDEX(상세표[블록 06~07시],$P2106))</f>
        <v/>
      </c>
      <c r="K2106">
        <f>IF($P2106="","",INDEX(상세표[블록 07~18시],$P2106))</f>
        <v/>
      </c>
      <c r="L2106">
        <f>IF($P2106="","",INDEX(상세표[블록 18~22시],$P2106))</f>
        <v/>
      </c>
      <c r="M2106">
        <f>IF($P2106="","",INDEX(상세표[블록 22~06시],$P2106))</f>
        <v/>
      </c>
      <c r="N2106">
        <f>IF($P2106="","",INDEX(상세표[주말·휴일 포함],$P2106)&amp;"")</f>
        <v/>
      </c>
      <c r="O2106">
        <f>IF($P2106="","",INDEX(상세표[월 넘김 포함],$P2106)&amp;"")</f>
        <v/>
      </c>
      <c r="P2106" s="4">
        <f>IFERROR(MATCH(2101,상세표[연속순번],0),"")</f>
        <v/>
      </c>
    </row>
    <row r="2107">
      <c r="A2107">
        <f>IF($P2107="","",INDEX(상세표[사번],$P2107)&amp;"")</f>
        <v/>
      </c>
      <c r="B2107">
        <f>IF($P2107="","",INDEX(상세표[성명],$P2107)&amp;"")</f>
        <v/>
      </c>
      <c r="C2107">
        <f>IF($P2107="","",INDEX(상세표[부서],$P2107)&amp;"")</f>
        <v/>
      </c>
      <c r="D2107">
        <f>IF($P2107="","",INDEX(상세표[직위],$P2107)&amp;"")</f>
        <v/>
      </c>
      <c r="E2107">
        <f>IF($P2107="","",IF(ISNUMBER(INDEX(상세표[시작],$P2107)),TEXT(INDEX(상세표[시작],$P2107),"yyyy-mm-dd hh:mm"),INDEX(상세표[시작],$P2107)&amp;""))</f>
        <v/>
      </c>
      <c r="F2107">
        <f>IF($P2107="","",IF(ISNUMBER(INDEX(상세표[블록종료],$P2107)),TEXT(INDEX(상세표[블록종료],$P2107),"yyyy-mm-dd hh:mm"),INDEX(상세표[블록종료],$P2107)&amp;""))</f>
        <v/>
      </c>
      <c r="G2107">
        <f>IF($P2107="","",CHOOSE(WEEKDAY(INDEX(상세표[시작],$P2107)),"일","월","화","수","목","금","토"))</f>
        <v/>
      </c>
      <c r="H2107">
        <f>IF($P2107="","",INDEX(상세표[연속 시간],$P2107))</f>
        <v/>
      </c>
      <c r="I2107">
        <f>IF($P2107="","",INDEX(상세표[기록 수],$P2107))</f>
        <v/>
      </c>
      <c r="J2107">
        <f>IF($P2107="","",INDEX(상세표[블록 06~07시],$P2107))</f>
        <v/>
      </c>
      <c r="K2107">
        <f>IF($P2107="","",INDEX(상세표[블록 07~18시],$P2107))</f>
        <v/>
      </c>
      <c r="L2107">
        <f>IF($P2107="","",INDEX(상세표[블록 18~22시],$P2107))</f>
        <v/>
      </c>
      <c r="M2107">
        <f>IF($P2107="","",INDEX(상세표[블록 22~06시],$P2107))</f>
        <v/>
      </c>
      <c r="N2107">
        <f>IF($P2107="","",INDEX(상세표[주말·휴일 포함],$P2107)&amp;"")</f>
        <v/>
      </c>
      <c r="O2107">
        <f>IF($P2107="","",INDEX(상세표[월 넘김 포함],$P2107)&amp;"")</f>
        <v/>
      </c>
      <c r="P2107" s="4">
        <f>IFERROR(MATCH(2102,상세표[연속순번],0),"")</f>
        <v/>
      </c>
    </row>
    <row r="2108">
      <c r="A2108">
        <f>IF($P2108="","",INDEX(상세표[사번],$P2108)&amp;"")</f>
        <v/>
      </c>
      <c r="B2108">
        <f>IF($P2108="","",INDEX(상세표[성명],$P2108)&amp;"")</f>
        <v/>
      </c>
      <c r="C2108">
        <f>IF($P2108="","",INDEX(상세표[부서],$P2108)&amp;"")</f>
        <v/>
      </c>
      <c r="D2108">
        <f>IF($P2108="","",INDEX(상세표[직위],$P2108)&amp;"")</f>
        <v/>
      </c>
      <c r="E2108">
        <f>IF($P2108="","",IF(ISNUMBER(INDEX(상세표[시작],$P2108)),TEXT(INDEX(상세표[시작],$P2108),"yyyy-mm-dd hh:mm"),INDEX(상세표[시작],$P2108)&amp;""))</f>
        <v/>
      </c>
      <c r="F2108">
        <f>IF($P2108="","",IF(ISNUMBER(INDEX(상세표[블록종료],$P2108)),TEXT(INDEX(상세표[블록종료],$P2108),"yyyy-mm-dd hh:mm"),INDEX(상세표[블록종료],$P2108)&amp;""))</f>
        <v/>
      </c>
      <c r="G2108">
        <f>IF($P2108="","",CHOOSE(WEEKDAY(INDEX(상세표[시작],$P2108)),"일","월","화","수","목","금","토"))</f>
        <v/>
      </c>
      <c r="H2108">
        <f>IF($P2108="","",INDEX(상세표[연속 시간],$P2108))</f>
        <v/>
      </c>
      <c r="I2108">
        <f>IF($P2108="","",INDEX(상세표[기록 수],$P2108))</f>
        <v/>
      </c>
      <c r="J2108">
        <f>IF($P2108="","",INDEX(상세표[블록 06~07시],$P2108))</f>
        <v/>
      </c>
      <c r="K2108">
        <f>IF($P2108="","",INDEX(상세표[블록 07~18시],$P2108))</f>
        <v/>
      </c>
      <c r="L2108">
        <f>IF($P2108="","",INDEX(상세표[블록 18~22시],$P2108))</f>
        <v/>
      </c>
      <c r="M2108">
        <f>IF($P2108="","",INDEX(상세표[블록 22~06시],$P2108))</f>
        <v/>
      </c>
      <c r="N2108">
        <f>IF($P2108="","",INDEX(상세표[주말·휴일 포함],$P2108)&amp;"")</f>
        <v/>
      </c>
      <c r="O2108">
        <f>IF($P2108="","",INDEX(상세표[월 넘김 포함],$P2108)&amp;"")</f>
        <v/>
      </c>
      <c r="P2108" s="4">
        <f>IFERROR(MATCH(2103,상세표[연속순번],0),"")</f>
        <v/>
      </c>
    </row>
    <row r="2109">
      <c r="A2109">
        <f>IF($P2109="","",INDEX(상세표[사번],$P2109)&amp;"")</f>
        <v/>
      </c>
      <c r="B2109">
        <f>IF($P2109="","",INDEX(상세표[성명],$P2109)&amp;"")</f>
        <v/>
      </c>
      <c r="C2109">
        <f>IF($P2109="","",INDEX(상세표[부서],$P2109)&amp;"")</f>
        <v/>
      </c>
      <c r="D2109">
        <f>IF($P2109="","",INDEX(상세표[직위],$P2109)&amp;"")</f>
        <v/>
      </c>
      <c r="E2109">
        <f>IF($P2109="","",IF(ISNUMBER(INDEX(상세표[시작],$P2109)),TEXT(INDEX(상세표[시작],$P2109),"yyyy-mm-dd hh:mm"),INDEX(상세표[시작],$P2109)&amp;""))</f>
        <v/>
      </c>
      <c r="F2109">
        <f>IF($P2109="","",IF(ISNUMBER(INDEX(상세표[블록종료],$P2109)),TEXT(INDEX(상세표[블록종료],$P2109),"yyyy-mm-dd hh:mm"),INDEX(상세표[블록종료],$P2109)&amp;""))</f>
        <v/>
      </c>
      <c r="G2109">
        <f>IF($P2109="","",CHOOSE(WEEKDAY(INDEX(상세표[시작],$P2109)),"일","월","화","수","목","금","토"))</f>
        <v/>
      </c>
      <c r="H2109">
        <f>IF($P2109="","",INDEX(상세표[연속 시간],$P2109))</f>
        <v/>
      </c>
      <c r="I2109">
        <f>IF($P2109="","",INDEX(상세표[기록 수],$P2109))</f>
        <v/>
      </c>
      <c r="J2109">
        <f>IF($P2109="","",INDEX(상세표[블록 06~07시],$P2109))</f>
        <v/>
      </c>
      <c r="K2109">
        <f>IF($P2109="","",INDEX(상세표[블록 07~18시],$P2109))</f>
        <v/>
      </c>
      <c r="L2109">
        <f>IF($P2109="","",INDEX(상세표[블록 18~22시],$P2109))</f>
        <v/>
      </c>
      <c r="M2109">
        <f>IF($P2109="","",INDEX(상세표[블록 22~06시],$P2109))</f>
        <v/>
      </c>
      <c r="N2109">
        <f>IF($P2109="","",INDEX(상세표[주말·휴일 포함],$P2109)&amp;"")</f>
        <v/>
      </c>
      <c r="O2109">
        <f>IF($P2109="","",INDEX(상세표[월 넘김 포함],$P2109)&amp;"")</f>
        <v/>
      </c>
      <c r="P2109" s="4">
        <f>IFERROR(MATCH(2104,상세표[연속순번],0),"")</f>
        <v/>
      </c>
    </row>
    <row r="2110">
      <c r="A2110">
        <f>IF($P2110="","",INDEX(상세표[사번],$P2110)&amp;"")</f>
        <v/>
      </c>
      <c r="B2110">
        <f>IF($P2110="","",INDEX(상세표[성명],$P2110)&amp;"")</f>
        <v/>
      </c>
      <c r="C2110">
        <f>IF($P2110="","",INDEX(상세표[부서],$P2110)&amp;"")</f>
        <v/>
      </c>
      <c r="D2110">
        <f>IF($P2110="","",INDEX(상세표[직위],$P2110)&amp;"")</f>
        <v/>
      </c>
      <c r="E2110">
        <f>IF($P2110="","",IF(ISNUMBER(INDEX(상세표[시작],$P2110)),TEXT(INDEX(상세표[시작],$P2110),"yyyy-mm-dd hh:mm"),INDEX(상세표[시작],$P2110)&amp;""))</f>
        <v/>
      </c>
      <c r="F2110">
        <f>IF($P2110="","",IF(ISNUMBER(INDEX(상세표[블록종료],$P2110)),TEXT(INDEX(상세표[블록종료],$P2110),"yyyy-mm-dd hh:mm"),INDEX(상세표[블록종료],$P2110)&amp;""))</f>
        <v/>
      </c>
      <c r="G2110">
        <f>IF($P2110="","",CHOOSE(WEEKDAY(INDEX(상세표[시작],$P2110)),"일","월","화","수","목","금","토"))</f>
        <v/>
      </c>
      <c r="H2110">
        <f>IF($P2110="","",INDEX(상세표[연속 시간],$P2110))</f>
        <v/>
      </c>
      <c r="I2110">
        <f>IF($P2110="","",INDEX(상세표[기록 수],$P2110))</f>
        <v/>
      </c>
      <c r="J2110">
        <f>IF($P2110="","",INDEX(상세표[블록 06~07시],$P2110))</f>
        <v/>
      </c>
      <c r="K2110">
        <f>IF($P2110="","",INDEX(상세표[블록 07~18시],$P2110))</f>
        <v/>
      </c>
      <c r="L2110">
        <f>IF($P2110="","",INDEX(상세표[블록 18~22시],$P2110))</f>
        <v/>
      </c>
      <c r="M2110">
        <f>IF($P2110="","",INDEX(상세표[블록 22~06시],$P2110))</f>
        <v/>
      </c>
      <c r="N2110">
        <f>IF($P2110="","",INDEX(상세표[주말·휴일 포함],$P2110)&amp;"")</f>
        <v/>
      </c>
      <c r="O2110">
        <f>IF($P2110="","",INDEX(상세표[월 넘김 포함],$P2110)&amp;"")</f>
        <v/>
      </c>
      <c r="P2110" s="4">
        <f>IFERROR(MATCH(2105,상세표[연속순번],0),"")</f>
        <v/>
      </c>
    </row>
    <row r="2111">
      <c r="A2111">
        <f>IF($P2111="","",INDEX(상세표[사번],$P2111)&amp;"")</f>
        <v/>
      </c>
      <c r="B2111">
        <f>IF($P2111="","",INDEX(상세표[성명],$P2111)&amp;"")</f>
        <v/>
      </c>
      <c r="C2111">
        <f>IF($P2111="","",INDEX(상세표[부서],$P2111)&amp;"")</f>
        <v/>
      </c>
      <c r="D2111">
        <f>IF($P2111="","",INDEX(상세표[직위],$P2111)&amp;"")</f>
        <v/>
      </c>
      <c r="E2111">
        <f>IF($P2111="","",IF(ISNUMBER(INDEX(상세표[시작],$P2111)),TEXT(INDEX(상세표[시작],$P2111),"yyyy-mm-dd hh:mm"),INDEX(상세표[시작],$P2111)&amp;""))</f>
        <v/>
      </c>
      <c r="F2111">
        <f>IF($P2111="","",IF(ISNUMBER(INDEX(상세표[블록종료],$P2111)),TEXT(INDEX(상세표[블록종료],$P2111),"yyyy-mm-dd hh:mm"),INDEX(상세표[블록종료],$P2111)&amp;""))</f>
        <v/>
      </c>
      <c r="G2111">
        <f>IF($P2111="","",CHOOSE(WEEKDAY(INDEX(상세표[시작],$P2111)),"일","월","화","수","목","금","토"))</f>
        <v/>
      </c>
      <c r="H2111">
        <f>IF($P2111="","",INDEX(상세표[연속 시간],$P2111))</f>
        <v/>
      </c>
      <c r="I2111">
        <f>IF($P2111="","",INDEX(상세표[기록 수],$P2111))</f>
        <v/>
      </c>
      <c r="J2111">
        <f>IF($P2111="","",INDEX(상세표[블록 06~07시],$P2111))</f>
        <v/>
      </c>
      <c r="K2111">
        <f>IF($P2111="","",INDEX(상세표[블록 07~18시],$P2111))</f>
        <v/>
      </c>
      <c r="L2111">
        <f>IF($P2111="","",INDEX(상세표[블록 18~22시],$P2111))</f>
        <v/>
      </c>
      <c r="M2111">
        <f>IF($P2111="","",INDEX(상세표[블록 22~06시],$P2111))</f>
        <v/>
      </c>
      <c r="N2111">
        <f>IF($P2111="","",INDEX(상세표[주말·휴일 포함],$P2111)&amp;"")</f>
        <v/>
      </c>
      <c r="O2111">
        <f>IF($P2111="","",INDEX(상세표[월 넘김 포함],$P2111)&amp;"")</f>
        <v/>
      </c>
      <c r="P2111" s="4">
        <f>IFERROR(MATCH(2106,상세표[연속순번],0),"")</f>
        <v/>
      </c>
    </row>
    <row r="2112">
      <c r="A2112">
        <f>IF($P2112="","",INDEX(상세표[사번],$P2112)&amp;"")</f>
        <v/>
      </c>
      <c r="B2112">
        <f>IF($P2112="","",INDEX(상세표[성명],$P2112)&amp;"")</f>
        <v/>
      </c>
      <c r="C2112">
        <f>IF($P2112="","",INDEX(상세표[부서],$P2112)&amp;"")</f>
        <v/>
      </c>
      <c r="D2112">
        <f>IF($P2112="","",INDEX(상세표[직위],$P2112)&amp;"")</f>
        <v/>
      </c>
      <c r="E2112">
        <f>IF($P2112="","",IF(ISNUMBER(INDEX(상세표[시작],$P2112)),TEXT(INDEX(상세표[시작],$P2112),"yyyy-mm-dd hh:mm"),INDEX(상세표[시작],$P2112)&amp;""))</f>
        <v/>
      </c>
      <c r="F2112">
        <f>IF($P2112="","",IF(ISNUMBER(INDEX(상세표[블록종료],$P2112)),TEXT(INDEX(상세표[블록종료],$P2112),"yyyy-mm-dd hh:mm"),INDEX(상세표[블록종료],$P2112)&amp;""))</f>
        <v/>
      </c>
      <c r="G2112">
        <f>IF($P2112="","",CHOOSE(WEEKDAY(INDEX(상세표[시작],$P2112)),"일","월","화","수","목","금","토"))</f>
        <v/>
      </c>
      <c r="H2112">
        <f>IF($P2112="","",INDEX(상세표[연속 시간],$P2112))</f>
        <v/>
      </c>
      <c r="I2112">
        <f>IF($P2112="","",INDEX(상세표[기록 수],$P2112))</f>
        <v/>
      </c>
      <c r="J2112">
        <f>IF($P2112="","",INDEX(상세표[블록 06~07시],$P2112))</f>
        <v/>
      </c>
      <c r="K2112">
        <f>IF($P2112="","",INDEX(상세표[블록 07~18시],$P2112))</f>
        <v/>
      </c>
      <c r="L2112">
        <f>IF($P2112="","",INDEX(상세표[블록 18~22시],$P2112))</f>
        <v/>
      </c>
      <c r="M2112">
        <f>IF($P2112="","",INDEX(상세표[블록 22~06시],$P2112))</f>
        <v/>
      </c>
      <c r="N2112">
        <f>IF($P2112="","",INDEX(상세표[주말·휴일 포함],$P2112)&amp;"")</f>
        <v/>
      </c>
      <c r="O2112">
        <f>IF($P2112="","",INDEX(상세표[월 넘김 포함],$P2112)&amp;"")</f>
        <v/>
      </c>
      <c r="P2112" s="4">
        <f>IFERROR(MATCH(2107,상세표[연속순번],0),"")</f>
        <v/>
      </c>
    </row>
    <row r="2113">
      <c r="A2113">
        <f>IF($P2113="","",INDEX(상세표[사번],$P2113)&amp;"")</f>
        <v/>
      </c>
      <c r="B2113">
        <f>IF($P2113="","",INDEX(상세표[성명],$P2113)&amp;"")</f>
        <v/>
      </c>
      <c r="C2113">
        <f>IF($P2113="","",INDEX(상세표[부서],$P2113)&amp;"")</f>
        <v/>
      </c>
      <c r="D2113">
        <f>IF($P2113="","",INDEX(상세표[직위],$P2113)&amp;"")</f>
        <v/>
      </c>
      <c r="E2113">
        <f>IF($P2113="","",IF(ISNUMBER(INDEX(상세표[시작],$P2113)),TEXT(INDEX(상세표[시작],$P2113),"yyyy-mm-dd hh:mm"),INDEX(상세표[시작],$P2113)&amp;""))</f>
        <v/>
      </c>
      <c r="F2113">
        <f>IF($P2113="","",IF(ISNUMBER(INDEX(상세표[블록종료],$P2113)),TEXT(INDEX(상세표[블록종료],$P2113),"yyyy-mm-dd hh:mm"),INDEX(상세표[블록종료],$P2113)&amp;""))</f>
        <v/>
      </c>
      <c r="G2113">
        <f>IF($P2113="","",CHOOSE(WEEKDAY(INDEX(상세표[시작],$P2113)),"일","월","화","수","목","금","토"))</f>
        <v/>
      </c>
      <c r="H2113">
        <f>IF($P2113="","",INDEX(상세표[연속 시간],$P2113))</f>
        <v/>
      </c>
      <c r="I2113">
        <f>IF($P2113="","",INDEX(상세표[기록 수],$P2113))</f>
        <v/>
      </c>
      <c r="J2113">
        <f>IF($P2113="","",INDEX(상세표[블록 06~07시],$P2113))</f>
        <v/>
      </c>
      <c r="K2113">
        <f>IF($P2113="","",INDEX(상세표[블록 07~18시],$P2113))</f>
        <v/>
      </c>
      <c r="L2113">
        <f>IF($P2113="","",INDEX(상세표[블록 18~22시],$P2113))</f>
        <v/>
      </c>
      <c r="M2113">
        <f>IF($P2113="","",INDEX(상세표[블록 22~06시],$P2113))</f>
        <v/>
      </c>
      <c r="N2113">
        <f>IF($P2113="","",INDEX(상세표[주말·휴일 포함],$P2113)&amp;"")</f>
        <v/>
      </c>
      <c r="O2113">
        <f>IF($P2113="","",INDEX(상세표[월 넘김 포함],$P2113)&amp;"")</f>
        <v/>
      </c>
      <c r="P2113" s="4">
        <f>IFERROR(MATCH(2108,상세표[연속순번],0),"")</f>
        <v/>
      </c>
    </row>
    <row r="2114">
      <c r="A2114">
        <f>IF($P2114="","",INDEX(상세표[사번],$P2114)&amp;"")</f>
        <v/>
      </c>
      <c r="B2114">
        <f>IF($P2114="","",INDEX(상세표[성명],$P2114)&amp;"")</f>
        <v/>
      </c>
      <c r="C2114">
        <f>IF($P2114="","",INDEX(상세표[부서],$P2114)&amp;"")</f>
        <v/>
      </c>
      <c r="D2114">
        <f>IF($P2114="","",INDEX(상세표[직위],$P2114)&amp;"")</f>
        <v/>
      </c>
      <c r="E2114">
        <f>IF($P2114="","",IF(ISNUMBER(INDEX(상세표[시작],$P2114)),TEXT(INDEX(상세표[시작],$P2114),"yyyy-mm-dd hh:mm"),INDEX(상세표[시작],$P2114)&amp;""))</f>
        <v/>
      </c>
      <c r="F2114">
        <f>IF($P2114="","",IF(ISNUMBER(INDEX(상세표[블록종료],$P2114)),TEXT(INDEX(상세표[블록종료],$P2114),"yyyy-mm-dd hh:mm"),INDEX(상세표[블록종료],$P2114)&amp;""))</f>
        <v/>
      </c>
      <c r="G2114">
        <f>IF($P2114="","",CHOOSE(WEEKDAY(INDEX(상세표[시작],$P2114)),"일","월","화","수","목","금","토"))</f>
        <v/>
      </c>
      <c r="H2114">
        <f>IF($P2114="","",INDEX(상세표[연속 시간],$P2114))</f>
        <v/>
      </c>
      <c r="I2114">
        <f>IF($P2114="","",INDEX(상세표[기록 수],$P2114))</f>
        <v/>
      </c>
      <c r="J2114">
        <f>IF($P2114="","",INDEX(상세표[블록 06~07시],$P2114))</f>
        <v/>
      </c>
      <c r="K2114">
        <f>IF($P2114="","",INDEX(상세표[블록 07~18시],$P2114))</f>
        <v/>
      </c>
      <c r="L2114">
        <f>IF($P2114="","",INDEX(상세표[블록 18~22시],$P2114))</f>
        <v/>
      </c>
      <c r="M2114">
        <f>IF($P2114="","",INDEX(상세표[블록 22~06시],$P2114))</f>
        <v/>
      </c>
      <c r="N2114">
        <f>IF($P2114="","",INDEX(상세표[주말·휴일 포함],$P2114)&amp;"")</f>
        <v/>
      </c>
      <c r="O2114">
        <f>IF($P2114="","",INDEX(상세표[월 넘김 포함],$P2114)&amp;"")</f>
        <v/>
      </c>
      <c r="P2114" s="4">
        <f>IFERROR(MATCH(2109,상세표[연속순번],0),"")</f>
        <v/>
      </c>
    </row>
    <row r="2115">
      <c r="A2115">
        <f>IF($P2115="","",INDEX(상세표[사번],$P2115)&amp;"")</f>
        <v/>
      </c>
      <c r="B2115">
        <f>IF($P2115="","",INDEX(상세표[성명],$P2115)&amp;"")</f>
        <v/>
      </c>
      <c r="C2115">
        <f>IF($P2115="","",INDEX(상세표[부서],$P2115)&amp;"")</f>
        <v/>
      </c>
      <c r="D2115">
        <f>IF($P2115="","",INDEX(상세표[직위],$P2115)&amp;"")</f>
        <v/>
      </c>
      <c r="E2115">
        <f>IF($P2115="","",IF(ISNUMBER(INDEX(상세표[시작],$P2115)),TEXT(INDEX(상세표[시작],$P2115),"yyyy-mm-dd hh:mm"),INDEX(상세표[시작],$P2115)&amp;""))</f>
        <v/>
      </c>
      <c r="F2115">
        <f>IF($P2115="","",IF(ISNUMBER(INDEX(상세표[블록종료],$P2115)),TEXT(INDEX(상세표[블록종료],$P2115),"yyyy-mm-dd hh:mm"),INDEX(상세표[블록종료],$P2115)&amp;""))</f>
        <v/>
      </c>
      <c r="G2115">
        <f>IF($P2115="","",CHOOSE(WEEKDAY(INDEX(상세표[시작],$P2115)),"일","월","화","수","목","금","토"))</f>
        <v/>
      </c>
      <c r="H2115">
        <f>IF($P2115="","",INDEX(상세표[연속 시간],$P2115))</f>
        <v/>
      </c>
      <c r="I2115">
        <f>IF($P2115="","",INDEX(상세표[기록 수],$P2115))</f>
        <v/>
      </c>
      <c r="J2115">
        <f>IF($P2115="","",INDEX(상세표[블록 06~07시],$P2115))</f>
        <v/>
      </c>
      <c r="K2115">
        <f>IF($P2115="","",INDEX(상세표[블록 07~18시],$P2115))</f>
        <v/>
      </c>
      <c r="L2115">
        <f>IF($P2115="","",INDEX(상세표[블록 18~22시],$P2115))</f>
        <v/>
      </c>
      <c r="M2115">
        <f>IF($P2115="","",INDEX(상세표[블록 22~06시],$P2115))</f>
        <v/>
      </c>
      <c r="N2115">
        <f>IF($P2115="","",INDEX(상세표[주말·휴일 포함],$P2115)&amp;"")</f>
        <v/>
      </c>
      <c r="O2115">
        <f>IF($P2115="","",INDEX(상세표[월 넘김 포함],$P2115)&amp;"")</f>
        <v/>
      </c>
      <c r="P2115" s="4">
        <f>IFERROR(MATCH(2110,상세표[연속순번],0),"")</f>
        <v/>
      </c>
    </row>
    <row r="2116">
      <c r="A2116">
        <f>IF($P2116="","",INDEX(상세표[사번],$P2116)&amp;"")</f>
        <v/>
      </c>
      <c r="B2116">
        <f>IF($P2116="","",INDEX(상세표[성명],$P2116)&amp;"")</f>
        <v/>
      </c>
      <c r="C2116">
        <f>IF($P2116="","",INDEX(상세표[부서],$P2116)&amp;"")</f>
        <v/>
      </c>
      <c r="D2116">
        <f>IF($P2116="","",INDEX(상세표[직위],$P2116)&amp;"")</f>
        <v/>
      </c>
      <c r="E2116">
        <f>IF($P2116="","",IF(ISNUMBER(INDEX(상세표[시작],$P2116)),TEXT(INDEX(상세표[시작],$P2116),"yyyy-mm-dd hh:mm"),INDEX(상세표[시작],$P2116)&amp;""))</f>
        <v/>
      </c>
      <c r="F2116">
        <f>IF($P2116="","",IF(ISNUMBER(INDEX(상세표[블록종료],$P2116)),TEXT(INDEX(상세표[블록종료],$P2116),"yyyy-mm-dd hh:mm"),INDEX(상세표[블록종료],$P2116)&amp;""))</f>
        <v/>
      </c>
      <c r="G2116">
        <f>IF($P2116="","",CHOOSE(WEEKDAY(INDEX(상세표[시작],$P2116)),"일","월","화","수","목","금","토"))</f>
        <v/>
      </c>
      <c r="H2116">
        <f>IF($P2116="","",INDEX(상세표[연속 시간],$P2116))</f>
        <v/>
      </c>
      <c r="I2116">
        <f>IF($P2116="","",INDEX(상세표[기록 수],$P2116))</f>
        <v/>
      </c>
      <c r="J2116">
        <f>IF($P2116="","",INDEX(상세표[블록 06~07시],$P2116))</f>
        <v/>
      </c>
      <c r="K2116">
        <f>IF($P2116="","",INDEX(상세표[블록 07~18시],$P2116))</f>
        <v/>
      </c>
      <c r="L2116">
        <f>IF($P2116="","",INDEX(상세표[블록 18~22시],$P2116))</f>
        <v/>
      </c>
      <c r="M2116">
        <f>IF($P2116="","",INDEX(상세표[블록 22~06시],$P2116))</f>
        <v/>
      </c>
      <c r="N2116">
        <f>IF($P2116="","",INDEX(상세표[주말·휴일 포함],$P2116)&amp;"")</f>
        <v/>
      </c>
      <c r="O2116">
        <f>IF($P2116="","",INDEX(상세표[월 넘김 포함],$P2116)&amp;"")</f>
        <v/>
      </c>
      <c r="P2116" s="4">
        <f>IFERROR(MATCH(2111,상세표[연속순번],0),"")</f>
        <v/>
      </c>
    </row>
    <row r="2117">
      <c r="A2117">
        <f>IF($P2117="","",INDEX(상세표[사번],$P2117)&amp;"")</f>
        <v/>
      </c>
      <c r="B2117">
        <f>IF($P2117="","",INDEX(상세표[성명],$P2117)&amp;"")</f>
        <v/>
      </c>
      <c r="C2117">
        <f>IF($P2117="","",INDEX(상세표[부서],$P2117)&amp;"")</f>
        <v/>
      </c>
      <c r="D2117">
        <f>IF($P2117="","",INDEX(상세표[직위],$P2117)&amp;"")</f>
        <v/>
      </c>
      <c r="E2117">
        <f>IF($P2117="","",IF(ISNUMBER(INDEX(상세표[시작],$P2117)),TEXT(INDEX(상세표[시작],$P2117),"yyyy-mm-dd hh:mm"),INDEX(상세표[시작],$P2117)&amp;""))</f>
        <v/>
      </c>
      <c r="F2117">
        <f>IF($P2117="","",IF(ISNUMBER(INDEX(상세표[블록종료],$P2117)),TEXT(INDEX(상세표[블록종료],$P2117),"yyyy-mm-dd hh:mm"),INDEX(상세표[블록종료],$P2117)&amp;""))</f>
        <v/>
      </c>
      <c r="G2117">
        <f>IF($P2117="","",CHOOSE(WEEKDAY(INDEX(상세표[시작],$P2117)),"일","월","화","수","목","금","토"))</f>
        <v/>
      </c>
      <c r="H2117">
        <f>IF($P2117="","",INDEX(상세표[연속 시간],$P2117))</f>
        <v/>
      </c>
      <c r="I2117">
        <f>IF($P2117="","",INDEX(상세표[기록 수],$P2117))</f>
        <v/>
      </c>
      <c r="J2117">
        <f>IF($P2117="","",INDEX(상세표[블록 06~07시],$P2117))</f>
        <v/>
      </c>
      <c r="K2117">
        <f>IF($P2117="","",INDEX(상세표[블록 07~18시],$P2117))</f>
        <v/>
      </c>
      <c r="L2117">
        <f>IF($P2117="","",INDEX(상세표[블록 18~22시],$P2117))</f>
        <v/>
      </c>
      <c r="M2117">
        <f>IF($P2117="","",INDEX(상세표[블록 22~06시],$P2117))</f>
        <v/>
      </c>
      <c r="N2117">
        <f>IF($P2117="","",INDEX(상세표[주말·휴일 포함],$P2117)&amp;"")</f>
        <v/>
      </c>
      <c r="O2117">
        <f>IF($P2117="","",INDEX(상세표[월 넘김 포함],$P2117)&amp;"")</f>
        <v/>
      </c>
      <c r="P2117" s="4">
        <f>IFERROR(MATCH(2112,상세표[연속순번],0),"")</f>
        <v/>
      </c>
    </row>
    <row r="2118">
      <c r="A2118">
        <f>IF($P2118="","",INDEX(상세표[사번],$P2118)&amp;"")</f>
        <v/>
      </c>
      <c r="B2118">
        <f>IF($P2118="","",INDEX(상세표[성명],$P2118)&amp;"")</f>
        <v/>
      </c>
      <c r="C2118">
        <f>IF($P2118="","",INDEX(상세표[부서],$P2118)&amp;"")</f>
        <v/>
      </c>
      <c r="D2118">
        <f>IF($P2118="","",INDEX(상세표[직위],$P2118)&amp;"")</f>
        <v/>
      </c>
      <c r="E2118">
        <f>IF($P2118="","",IF(ISNUMBER(INDEX(상세표[시작],$P2118)),TEXT(INDEX(상세표[시작],$P2118),"yyyy-mm-dd hh:mm"),INDEX(상세표[시작],$P2118)&amp;""))</f>
        <v/>
      </c>
      <c r="F2118">
        <f>IF($P2118="","",IF(ISNUMBER(INDEX(상세표[블록종료],$P2118)),TEXT(INDEX(상세표[블록종료],$P2118),"yyyy-mm-dd hh:mm"),INDEX(상세표[블록종료],$P2118)&amp;""))</f>
        <v/>
      </c>
      <c r="G2118">
        <f>IF($P2118="","",CHOOSE(WEEKDAY(INDEX(상세표[시작],$P2118)),"일","월","화","수","목","금","토"))</f>
        <v/>
      </c>
      <c r="H2118">
        <f>IF($P2118="","",INDEX(상세표[연속 시간],$P2118))</f>
        <v/>
      </c>
      <c r="I2118">
        <f>IF($P2118="","",INDEX(상세표[기록 수],$P2118))</f>
        <v/>
      </c>
      <c r="J2118">
        <f>IF($P2118="","",INDEX(상세표[블록 06~07시],$P2118))</f>
        <v/>
      </c>
      <c r="K2118">
        <f>IF($P2118="","",INDEX(상세표[블록 07~18시],$P2118))</f>
        <v/>
      </c>
      <c r="L2118">
        <f>IF($P2118="","",INDEX(상세표[블록 18~22시],$P2118))</f>
        <v/>
      </c>
      <c r="M2118">
        <f>IF($P2118="","",INDEX(상세표[블록 22~06시],$P2118))</f>
        <v/>
      </c>
      <c r="N2118">
        <f>IF($P2118="","",INDEX(상세표[주말·휴일 포함],$P2118)&amp;"")</f>
        <v/>
      </c>
      <c r="O2118">
        <f>IF($P2118="","",INDEX(상세표[월 넘김 포함],$P2118)&amp;"")</f>
        <v/>
      </c>
      <c r="P2118" s="4">
        <f>IFERROR(MATCH(2113,상세표[연속순번],0),"")</f>
        <v/>
      </c>
    </row>
    <row r="2119">
      <c r="A2119">
        <f>IF($P2119="","",INDEX(상세표[사번],$P2119)&amp;"")</f>
        <v/>
      </c>
      <c r="B2119">
        <f>IF($P2119="","",INDEX(상세표[성명],$P2119)&amp;"")</f>
        <v/>
      </c>
      <c r="C2119">
        <f>IF($P2119="","",INDEX(상세표[부서],$P2119)&amp;"")</f>
        <v/>
      </c>
      <c r="D2119">
        <f>IF($P2119="","",INDEX(상세표[직위],$P2119)&amp;"")</f>
        <v/>
      </c>
      <c r="E2119">
        <f>IF($P2119="","",IF(ISNUMBER(INDEX(상세표[시작],$P2119)),TEXT(INDEX(상세표[시작],$P2119),"yyyy-mm-dd hh:mm"),INDEX(상세표[시작],$P2119)&amp;""))</f>
        <v/>
      </c>
      <c r="F2119">
        <f>IF($P2119="","",IF(ISNUMBER(INDEX(상세표[블록종료],$P2119)),TEXT(INDEX(상세표[블록종료],$P2119),"yyyy-mm-dd hh:mm"),INDEX(상세표[블록종료],$P2119)&amp;""))</f>
        <v/>
      </c>
      <c r="G2119">
        <f>IF($P2119="","",CHOOSE(WEEKDAY(INDEX(상세표[시작],$P2119)),"일","월","화","수","목","금","토"))</f>
        <v/>
      </c>
      <c r="H2119">
        <f>IF($P2119="","",INDEX(상세표[연속 시간],$P2119))</f>
        <v/>
      </c>
      <c r="I2119">
        <f>IF($P2119="","",INDEX(상세표[기록 수],$P2119))</f>
        <v/>
      </c>
      <c r="J2119">
        <f>IF($P2119="","",INDEX(상세표[블록 06~07시],$P2119))</f>
        <v/>
      </c>
      <c r="K2119">
        <f>IF($P2119="","",INDEX(상세표[블록 07~18시],$P2119))</f>
        <v/>
      </c>
      <c r="L2119">
        <f>IF($P2119="","",INDEX(상세표[블록 18~22시],$P2119))</f>
        <v/>
      </c>
      <c r="M2119">
        <f>IF($P2119="","",INDEX(상세표[블록 22~06시],$P2119))</f>
        <v/>
      </c>
      <c r="N2119">
        <f>IF($P2119="","",INDEX(상세표[주말·휴일 포함],$P2119)&amp;"")</f>
        <v/>
      </c>
      <c r="O2119">
        <f>IF($P2119="","",INDEX(상세표[월 넘김 포함],$P2119)&amp;"")</f>
        <v/>
      </c>
      <c r="P2119" s="4">
        <f>IFERROR(MATCH(2114,상세표[연속순번],0),"")</f>
        <v/>
      </c>
    </row>
    <row r="2120">
      <c r="A2120">
        <f>IF($P2120="","",INDEX(상세표[사번],$P2120)&amp;"")</f>
        <v/>
      </c>
      <c r="B2120">
        <f>IF($P2120="","",INDEX(상세표[성명],$P2120)&amp;"")</f>
        <v/>
      </c>
      <c r="C2120">
        <f>IF($P2120="","",INDEX(상세표[부서],$P2120)&amp;"")</f>
        <v/>
      </c>
      <c r="D2120">
        <f>IF($P2120="","",INDEX(상세표[직위],$P2120)&amp;"")</f>
        <v/>
      </c>
      <c r="E2120">
        <f>IF($P2120="","",IF(ISNUMBER(INDEX(상세표[시작],$P2120)),TEXT(INDEX(상세표[시작],$P2120),"yyyy-mm-dd hh:mm"),INDEX(상세표[시작],$P2120)&amp;""))</f>
        <v/>
      </c>
      <c r="F2120">
        <f>IF($P2120="","",IF(ISNUMBER(INDEX(상세표[블록종료],$P2120)),TEXT(INDEX(상세표[블록종료],$P2120),"yyyy-mm-dd hh:mm"),INDEX(상세표[블록종료],$P2120)&amp;""))</f>
        <v/>
      </c>
      <c r="G2120">
        <f>IF($P2120="","",CHOOSE(WEEKDAY(INDEX(상세표[시작],$P2120)),"일","월","화","수","목","금","토"))</f>
        <v/>
      </c>
      <c r="H2120">
        <f>IF($P2120="","",INDEX(상세표[연속 시간],$P2120))</f>
        <v/>
      </c>
      <c r="I2120">
        <f>IF($P2120="","",INDEX(상세표[기록 수],$P2120))</f>
        <v/>
      </c>
      <c r="J2120">
        <f>IF($P2120="","",INDEX(상세표[블록 06~07시],$P2120))</f>
        <v/>
      </c>
      <c r="K2120">
        <f>IF($P2120="","",INDEX(상세표[블록 07~18시],$P2120))</f>
        <v/>
      </c>
      <c r="L2120">
        <f>IF($P2120="","",INDEX(상세표[블록 18~22시],$P2120))</f>
        <v/>
      </c>
      <c r="M2120">
        <f>IF($P2120="","",INDEX(상세표[블록 22~06시],$P2120))</f>
        <v/>
      </c>
      <c r="N2120">
        <f>IF($P2120="","",INDEX(상세표[주말·휴일 포함],$P2120)&amp;"")</f>
        <v/>
      </c>
      <c r="O2120">
        <f>IF($P2120="","",INDEX(상세표[월 넘김 포함],$P2120)&amp;"")</f>
        <v/>
      </c>
      <c r="P2120" s="4">
        <f>IFERROR(MATCH(2115,상세표[연속순번],0),"")</f>
        <v/>
      </c>
    </row>
    <row r="2121">
      <c r="A2121">
        <f>IF($P2121="","",INDEX(상세표[사번],$P2121)&amp;"")</f>
        <v/>
      </c>
      <c r="B2121">
        <f>IF($P2121="","",INDEX(상세표[성명],$P2121)&amp;"")</f>
        <v/>
      </c>
      <c r="C2121">
        <f>IF($P2121="","",INDEX(상세표[부서],$P2121)&amp;"")</f>
        <v/>
      </c>
      <c r="D2121">
        <f>IF($P2121="","",INDEX(상세표[직위],$P2121)&amp;"")</f>
        <v/>
      </c>
      <c r="E2121">
        <f>IF($P2121="","",IF(ISNUMBER(INDEX(상세표[시작],$P2121)),TEXT(INDEX(상세표[시작],$P2121),"yyyy-mm-dd hh:mm"),INDEX(상세표[시작],$P2121)&amp;""))</f>
        <v/>
      </c>
      <c r="F2121">
        <f>IF($P2121="","",IF(ISNUMBER(INDEX(상세표[블록종료],$P2121)),TEXT(INDEX(상세표[블록종료],$P2121),"yyyy-mm-dd hh:mm"),INDEX(상세표[블록종료],$P2121)&amp;""))</f>
        <v/>
      </c>
      <c r="G2121">
        <f>IF($P2121="","",CHOOSE(WEEKDAY(INDEX(상세표[시작],$P2121)),"일","월","화","수","목","금","토"))</f>
        <v/>
      </c>
      <c r="H2121">
        <f>IF($P2121="","",INDEX(상세표[연속 시간],$P2121))</f>
        <v/>
      </c>
      <c r="I2121">
        <f>IF($P2121="","",INDEX(상세표[기록 수],$P2121))</f>
        <v/>
      </c>
      <c r="J2121">
        <f>IF($P2121="","",INDEX(상세표[블록 06~07시],$P2121))</f>
        <v/>
      </c>
      <c r="K2121">
        <f>IF($P2121="","",INDEX(상세표[블록 07~18시],$P2121))</f>
        <v/>
      </c>
      <c r="L2121">
        <f>IF($P2121="","",INDEX(상세표[블록 18~22시],$P2121))</f>
        <v/>
      </c>
      <c r="M2121">
        <f>IF($P2121="","",INDEX(상세표[블록 22~06시],$P2121))</f>
        <v/>
      </c>
      <c r="N2121">
        <f>IF($P2121="","",INDEX(상세표[주말·휴일 포함],$P2121)&amp;"")</f>
        <v/>
      </c>
      <c r="O2121">
        <f>IF($P2121="","",INDEX(상세표[월 넘김 포함],$P2121)&amp;"")</f>
        <v/>
      </c>
      <c r="P2121" s="4">
        <f>IFERROR(MATCH(2116,상세표[연속순번],0),"")</f>
        <v/>
      </c>
    </row>
    <row r="2122">
      <c r="A2122">
        <f>IF($P2122="","",INDEX(상세표[사번],$P2122)&amp;"")</f>
        <v/>
      </c>
      <c r="B2122">
        <f>IF($P2122="","",INDEX(상세표[성명],$P2122)&amp;"")</f>
        <v/>
      </c>
      <c r="C2122">
        <f>IF($P2122="","",INDEX(상세표[부서],$P2122)&amp;"")</f>
        <v/>
      </c>
      <c r="D2122">
        <f>IF($P2122="","",INDEX(상세표[직위],$P2122)&amp;"")</f>
        <v/>
      </c>
      <c r="E2122">
        <f>IF($P2122="","",IF(ISNUMBER(INDEX(상세표[시작],$P2122)),TEXT(INDEX(상세표[시작],$P2122),"yyyy-mm-dd hh:mm"),INDEX(상세표[시작],$P2122)&amp;""))</f>
        <v/>
      </c>
      <c r="F2122">
        <f>IF($P2122="","",IF(ISNUMBER(INDEX(상세표[블록종료],$P2122)),TEXT(INDEX(상세표[블록종료],$P2122),"yyyy-mm-dd hh:mm"),INDEX(상세표[블록종료],$P2122)&amp;""))</f>
        <v/>
      </c>
      <c r="G2122">
        <f>IF($P2122="","",CHOOSE(WEEKDAY(INDEX(상세표[시작],$P2122)),"일","월","화","수","목","금","토"))</f>
        <v/>
      </c>
      <c r="H2122">
        <f>IF($P2122="","",INDEX(상세표[연속 시간],$P2122))</f>
        <v/>
      </c>
      <c r="I2122">
        <f>IF($P2122="","",INDEX(상세표[기록 수],$P2122))</f>
        <v/>
      </c>
      <c r="J2122">
        <f>IF($P2122="","",INDEX(상세표[블록 06~07시],$P2122))</f>
        <v/>
      </c>
      <c r="K2122">
        <f>IF($P2122="","",INDEX(상세표[블록 07~18시],$P2122))</f>
        <v/>
      </c>
      <c r="L2122">
        <f>IF($P2122="","",INDEX(상세표[블록 18~22시],$P2122))</f>
        <v/>
      </c>
      <c r="M2122">
        <f>IF($P2122="","",INDEX(상세표[블록 22~06시],$P2122))</f>
        <v/>
      </c>
      <c r="N2122">
        <f>IF($P2122="","",INDEX(상세표[주말·휴일 포함],$P2122)&amp;"")</f>
        <v/>
      </c>
      <c r="O2122">
        <f>IF($P2122="","",INDEX(상세표[월 넘김 포함],$P2122)&amp;"")</f>
        <v/>
      </c>
      <c r="P2122" s="4">
        <f>IFERROR(MATCH(2117,상세표[연속순번],0),"")</f>
        <v/>
      </c>
    </row>
    <row r="2123">
      <c r="A2123">
        <f>IF($P2123="","",INDEX(상세표[사번],$P2123)&amp;"")</f>
        <v/>
      </c>
      <c r="B2123">
        <f>IF($P2123="","",INDEX(상세표[성명],$P2123)&amp;"")</f>
        <v/>
      </c>
      <c r="C2123">
        <f>IF($P2123="","",INDEX(상세표[부서],$P2123)&amp;"")</f>
        <v/>
      </c>
      <c r="D2123">
        <f>IF($P2123="","",INDEX(상세표[직위],$P2123)&amp;"")</f>
        <v/>
      </c>
      <c r="E2123">
        <f>IF($P2123="","",IF(ISNUMBER(INDEX(상세표[시작],$P2123)),TEXT(INDEX(상세표[시작],$P2123),"yyyy-mm-dd hh:mm"),INDEX(상세표[시작],$P2123)&amp;""))</f>
        <v/>
      </c>
      <c r="F2123">
        <f>IF($P2123="","",IF(ISNUMBER(INDEX(상세표[블록종료],$P2123)),TEXT(INDEX(상세표[블록종료],$P2123),"yyyy-mm-dd hh:mm"),INDEX(상세표[블록종료],$P2123)&amp;""))</f>
        <v/>
      </c>
      <c r="G2123">
        <f>IF($P2123="","",CHOOSE(WEEKDAY(INDEX(상세표[시작],$P2123)),"일","월","화","수","목","금","토"))</f>
        <v/>
      </c>
      <c r="H2123">
        <f>IF($P2123="","",INDEX(상세표[연속 시간],$P2123))</f>
        <v/>
      </c>
      <c r="I2123">
        <f>IF($P2123="","",INDEX(상세표[기록 수],$P2123))</f>
        <v/>
      </c>
      <c r="J2123">
        <f>IF($P2123="","",INDEX(상세표[블록 06~07시],$P2123))</f>
        <v/>
      </c>
      <c r="K2123">
        <f>IF($P2123="","",INDEX(상세표[블록 07~18시],$P2123))</f>
        <v/>
      </c>
      <c r="L2123">
        <f>IF($P2123="","",INDEX(상세표[블록 18~22시],$P2123))</f>
        <v/>
      </c>
      <c r="M2123">
        <f>IF($P2123="","",INDEX(상세표[블록 22~06시],$P2123))</f>
        <v/>
      </c>
      <c r="N2123">
        <f>IF($P2123="","",INDEX(상세표[주말·휴일 포함],$P2123)&amp;"")</f>
        <v/>
      </c>
      <c r="O2123">
        <f>IF($P2123="","",INDEX(상세표[월 넘김 포함],$P2123)&amp;"")</f>
        <v/>
      </c>
      <c r="P2123" s="4">
        <f>IFERROR(MATCH(2118,상세표[연속순번],0),"")</f>
        <v/>
      </c>
    </row>
    <row r="2124">
      <c r="A2124">
        <f>IF($P2124="","",INDEX(상세표[사번],$P2124)&amp;"")</f>
        <v/>
      </c>
      <c r="B2124">
        <f>IF($P2124="","",INDEX(상세표[성명],$P2124)&amp;"")</f>
        <v/>
      </c>
      <c r="C2124">
        <f>IF($P2124="","",INDEX(상세표[부서],$P2124)&amp;"")</f>
        <v/>
      </c>
      <c r="D2124">
        <f>IF($P2124="","",INDEX(상세표[직위],$P2124)&amp;"")</f>
        <v/>
      </c>
      <c r="E2124">
        <f>IF($P2124="","",IF(ISNUMBER(INDEX(상세표[시작],$P2124)),TEXT(INDEX(상세표[시작],$P2124),"yyyy-mm-dd hh:mm"),INDEX(상세표[시작],$P2124)&amp;""))</f>
        <v/>
      </c>
      <c r="F2124">
        <f>IF($P2124="","",IF(ISNUMBER(INDEX(상세표[블록종료],$P2124)),TEXT(INDEX(상세표[블록종료],$P2124),"yyyy-mm-dd hh:mm"),INDEX(상세표[블록종료],$P2124)&amp;""))</f>
        <v/>
      </c>
      <c r="G2124">
        <f>IF($P2124="","",CHOOSE(WEEKDAY(INDEX(상세표[시작],$P2124)),"일","월","화","수","목","금","토"))</f>
        <v/>
      </c>
      <c r="H2124">
        <f>IF($P2124="","",INDEX(상세표[연속 시간],$P2124))</f>
        <v/>
      </c>
      <c r="I2124">
        <f>IF($P2124="","",INDEX(상세표[기록 수],$P2124))</f>
        <v/>
      </c>
      <c r="J2124">
        <f>IF($P2124="","",INDEX(상세표[블록 06~07시],$P2124))</f>
        <v/>
      </c>
      <c r="K2124">
        <f>IF($P2124="","",INDEX(상세표[블록 07~18시],$P2124))</f>
        <v/>
      </c>
      <c r="L2124">
        <f>IF($P2124="","",INDEX(상세표[블록 18~22시],$P2124))</f>
        <v/>
      </c>
      <c r="M2124">
        <f>IF($P2124="","",INDEX(상세표[블록 22~06시],$P2124))</f>
        <v/>
      </c>
      <c r="N2124">
        <f>IF($P2124="","",INDEX(상세표[주말·휴일 포함],$P2124)&amp;"")</f>
        <v/>
      </c>
      <c r="O2124">
        <f>IF($P2124="","",INDEX(상세표[월 넘김 포함],$P2124)&amp;"")</f>
        <v/>
      </c>
      <c r="P2124" s="4">
        <f>IFERROR(MATCH(2119,상세표[연속순번],0),"")</f>
        <v/>
      </c>
    </row>
    <row r="2125">
      <c r="A2125">
        <f>IF($P2125="","",INDEX(상세표[사번],$P2125)&amp;"")</f>
        <v/>
      </c>
      <c r="B2125">
        <f>IF($P2125="","",INDEX(상세표[성명],$P2125)&amp;"")</f>
        <v/>
      </c>
      <c r="C2125">
        <f>IF($P2125="","",INDEX(상세표[부서],$P2125)&amp;"")</f>
        <v/>
      </c>
      <c r="D2125">
        <f>IF($P2125="","",INDEX(상세표[직위],$P2125)&amp;"")</f>
        <v/>
      </c>
      <c r="E2125">
        <f>IF($P2125="","",IF(ISNUMBER(INDEX(상세표[시작],$P2125)),TEXT(INDEX(상세표[시작],$P2125),"yyyy-mm-dd hh:mm"),INDEX(상세표[시작],$P2125)&amp;""))</f>
        <v/>
      </c>
      <c r="F2125">
        <f>IF($P2125="","",IF(ISNUMBER(INDEX(상세표[블록종료],$P2125)),TEXT(INDEX(상세표[블록종료],$P2125),"yyyy-mm-dd hh:mm"),INDEX(상세표[블록종료],$P2125)&amp;""))</f>
        <v/>
      </c>
      <c r="G2125">
        <f>IF($P2125="","",CHOOSE(WEEKDAY(INDEX(상세표[시작],$P2125)),"일","월","화","수","목","금","토"))</f>
        <v/>
      </c>
      <c r="H2125">
        <f>IF($P2125="","",INDEX(상세표[연속 시간],$P2125))</f>
        <v/>
      </c>
      <c r="I2125">
        <f>IF($P2125="","",INDEX(상세표[기록 수],$P2125))</f>
        <v/>
      </c>
      <c r="J2125">
        <f>IF($P2125="","",INDEX(상세표[블록 06~07시],$P2125))</f>
        <v/>
      </c>
      <c r="K2125">
        <f>IF($P2125="","",INDEX(상세표[블록 07~18시],$P2125))</f>
        <v/>
      </c>
      <c r="L2125">
        <f>IF($P2125="","",INDEX(상세표[블록 18~22시],$P2125))</f>
        <v/>
      </c>
      <c r="M2125">
        <f>IF($P2125="","",INDEX(상세표[블록 22~06시],$P2125))</f>
        <v/>
      </c>
      <c r="N2125">
        <f>IF($P2125="","",INDEX(상세표[주말·휴일 포함],$P2125)&amp;"")</f>
        <v/>
      </c>
      <c r="O2125">
        <f>IF($P2125="","",INDEX(상세표[월 넘김 포함],$P2125)&amp;"")</f>
        <v/>
      </c>
      <c r="P2125" s="4">
        <f>IFERROR(MATCH(2120,상세표[연속순번],0),"")</f>
        <v/>
      </c>
    </row>
    <row r="2126">
      <c r="A2126">
        <f>IF($P2126="","",INDEX(상세표[사번],$P2126)&amp;"")</f>
        <v/>
      </c>
      <c r="B2126">
        <f>IF($P2126="","",INDEX(상세표[성명],$P2126)&amp;"")</f>
        <v/>
      </c>
      <c r="C2126">
        <f>IF($P2126="","",INDEX(상세표[부서],$P2126)&amp;"")</f>
        <v/>
      </c>
      <c r="D2126">
        <f>IF($P2126="","",INDEX(상세표[직위],$P2126)&amp;"")</f>
        <v/>
      </c>
      <c r="E2126">
        <f>IF($P2126="","",IF(ISNUMBER(INDEX(상세표[시작],$P2126)),TEXT(INDEX(상세표[시작],$P2126),"yyyy-mm-dd hh:mm"),INDEX(상세표[시작],$P2126)&amp;""))</f>
        <v/>
      </c>
      <c r="F2126">
        <f>IF($P2126="","",IF(ISNUMBER(INDEX(상세표[블록종료],$P2126)),TEXT(INDEX(상세표[블록종료],$P2126),"yyyy-mm-dd hh:mm"),INDEX(상세표[블록종료],$P2126)&amp;""))</f>
        <v/>
      </c>
      <c r="G2126">
        <f>IF($P2126="","",CHOOSE(WEEKDAY(INDEX(상세표[시작],$P2126)),"일","월","화","수","목","금","토"))</f>
        <v/>
      </c>
      <c r="H2126">
        <f>IF($P2126="","",INDEX(상세표[연속 시간],$P2126))</f>
        <v/>
      </c>
      <c r="I2126">
        <f>IF($P2126="","",INDEX(상세표[기록 수],$P2126))</f>
        <v/>
      </c>
      <c r="J2126">
        <f>IF($P2126="","",INDEX(상세표[블록 06~07시],$P2126))</f>
        <v/>
      </c>
      <c r="K2126">
        <f>IF($P2126="","",INDEX(상세표[블록 07~18시],$P2126))</f>
        <v/>
      </c>
      <c r="L2126">
        <f>IF($P2126="","",INDEX(상세표[블록 18~22시],$P2126))</f>
        <v/>
      </c>
      <c r="M2126">
        <f>IF($P2126="","",INDEX(상세표[블록 22~06시],$P2126))</f>
        <v/>
      </c>
      <c r="N2126">
        <f>IF($P2126="","",INDEX(상세표[주말·휴일 포함],$P2126)&amp;"")</f>
        <v/>
      </c>
      <c r="O2126">
        <f>IF($P2126="","",INDEX(상세표[월 넘김 포함],$P2126)&amp;"")</f>
        <v/>
      </c>
      <c r="P2126" s="4">
        <f>IFERROR(MATCH(2121,상세표[연속순번],0),"")</f>
        <v/>
      </c>
    </row>
    <row r="2127">
      <c r="A2127">
        <f>IF($P2127="","",INDEX(상세표[사번],$P2127)&amp;"")</f>
        <v/>
      </c>
      <c r="B2127">
        <f>IF($P2127="","",INDEX(상세표[성명],$P2127)&amp;"")</f>
        <v/>
      </c>
      <c r="C2127">
        <f>IF($P2127="","",INDEX(상세표[부서],$P2127)&amp;"")</f>
        <v/>
      </c>
      <c r="D2127">
        <f>IF($P2127="","",INDEX(상세표[직위],$P2127)&amp;"")</f>
        <v/>
      </c>
      <c r="E2127">
        <f>IF($P2127="","",IF(ISNUMBER(INDEX(상세표[시작],$P2127)),TEXT(INDEX(상세표[시작],$P2127),"yyyy-mm-dd hh:mm"),INDEX(상세표[시작],$P2127)&amp;""))</f>
        <v/>
      </c>
      <c r="F2127">
        <f>IF($P2127="","",IF(ISNUMBER(INDEX(상세표[블록종료],$P2127)),TEXT(INDEX(상세표[블록종료],$P2127),"yyyy-mm-dd hh:mm"),INDEX(상세표[블록종료],$P2127)&amp;""))</f>
        <v/>
      </c>
      <c r="G2127">
        <f>IF($P2127="","",CHOOSE(WEEKDAY(INDEX(상세표[시작],$P2127)),"일","월","화","수","목","금","토"))</f>
        <v/>
      </c>
      <c r="H2127">
        <f>IF($P2127="","",INDEX(상세표[연속 시간],$P2127))</f>
        <v/>
      </c>
      <c r="I2127">
        <f>IF($P2127="","",INDEX(상세표[기록 수],$P2127))</f>
        <v/>
      </c>
      <c r="J2127">
        <f>IF($P2127="","",INDEX(상세표[블록 06~07시],$P2127))</f>
        <v/>
      </c>
      <c r="K2127">
        <f>IF($P2127="","",INDEX(상세표[블록 07~18시],$P2127))</f>
        <v/>
      </c>
      <c r="L2127">
        <f>IF($P2127="","",INDEX(상세표[블록 18~22시],$P2127))</f>
        <v/>
      </c>
      <c r="M2127">
        <f>IF($P2127="","",INDEX(상세표[블록 22~06시],$P2127))</f>
        <v/>
      </c>
      <c r="N2127">
        <f>IF($P2127="","",INDEX(상세표[주말·휴일 포함],$P2127)&amp;"")</f>
        <v/>
      </c>
      <c r="O2127">
        <f>IF($P2127="","",INDEX(상세표[월 넘김 포함],$P2127)&amp;"")</f>
        <v/>
      </c>
      <c r="P2127" s="4">
        <f>IFERROR(MATCH(2122,상세표[연속순번],0),"")</f>
        <v/>
      </c>
    </row>
    <row r="2128">
      <c r="A2128">
        <f>IF($P2128="","",INDEX(상세표[사번],$P2128)&amp;"")</f>
        <v/>
      </c>
      <c r="B2128">
        <f>IF($P2128="","",INDEX(상세표[성명],$P2128)&amp;"")</f>
        <v/>
      </c>
      <c r="C2128">
        <f>IF($P2128="","",INDEX(상세표[부서],$P2128)&amp;"")</f>
        <v/>
      </c>
      <c r="D2128">
        <f>IF($P2128="","",INDEX(상세표[직위],$P2128)&amp;"")</f>
        <v/>
      </c>
      <c r="E2128">
        <f>IF($P2128="","",IF(ISNUMBER(INDEX(상세표[시작],$P2128)),TEXT(INDEX(상세표[시작],$P2128),"yyyy-mm-dd hh:mm"),INDEX(상세표[시작],$P2128)&amp;""))</f>
        <v/>
      </c>
      <c r="F2128">
        <f>IF($P2128="","",IF(ISNUMBER(INDEX(상세표[블록종료],$P2128)),TEXT(INDEX(상세표[블록종료],$P2128),"yyyy-mm-dd hh:mm"),INDEX(상세표[블록종료],$P2128)&amp;""))</f>
        <v/>
      </c>
      <c r="G2128">
        <f>IF($P2128="","",CHOOSE(WEEKDAY(INDEX(상세표[시작],$P2128)),"일","월","화","수","목","금","토"))</f>
        <v/>
      </c>
      <c r="H2128">
        <f>IF($P2128="","",INDEX(상세표[연속 시간],$P2128))</f>
        <v/>
      </c>
      <c r="I2128">
        <f>IF($P2128="","",INDEX(상세표[기록 수],$P2128))</f>
        <v/>
      </c>
      <c r="J2128">
        <f>IF($P2128="","",INDEX(상세표[블록 06~07시],$P2128))</f>
        <v/>
      </c>
      <c r="K2128">
        <f>IF($P2128="","",INDEX(상세표[블록 07~18시],$P2128))</f>
        <v/>
      </c>
      <c r="L2128">
        <f>IF($P2128="","",INDEX(상세표[블록 18~22시],$P2128))</f>
        <v/>
      </c>
      <c r="M2128">
        <f>IF($P2128="","",INDEX(상세표[블록 22~06시],$P2128))</f>
        <v/>
      </c>
      <c r="N2128">
        <f>IF($P2128="","",INDEX(상세표[주말·휴일 포함],$P2128)&amp;"")</f>
        <v/>
      </c>
      <c r="O2128">
        <f>IF($P2128="","",INDEX(상세표[월 넘김 포함],$P2128)&amp;"")</f>
        <v/>
      </c>
      <c r="P2128" s="4">
        <f>IFERROR(MATCH(2123,상세표[연속순번],0),"")</f>
        <v/>
      </c>
    </row>
    <row r="2129">
      <c r="A2129">
        <f>IF($P2129="","",INDEX(상세표[사번],$P2129)&amp;"")</f>
        <v/>
      </c>
      <c r="B2129">
        <f>IF($P2129="","",INDEX(상세표[성명],$P2129)&amp;"")</f>
        <v/>
      </c>
      <c r="C2129">
        <f>IF($P2129="","",INDEX(상세표[부서],$P2129)&amp;"")</f>
        <v/>
      </c>
      <c r="D2129">
        <f>IF($P2129="","",INDEX(상세표[직위],$P2129)&amp;"")</f>
        <v/>
      </c>
      <c r="E2129">
        <f>IF($P2129="","",IF(ISNUMBER(INDEX(상세표[시작],$P2129)),TEXT(INDEX(상세표[시작],$P2129),"yyyy-mm-dd hh:mm"),INDEX(상세표[시작],$P2129)&amp;""))</f>
        <v/>
      </c>
      <c r="F2129">
        <f>IF($P2129="","",IF(ISNUMBER(INDEX(상세표[블록종료],$P2129)),TEXT(INDEX(상세표[블록종료],$P2129),"yyyy-mm-dd hh:mm"),INDEX(상세표[블록종료],$P2129)&amp;""))</f>
        <v/>
      </c>
      <c r="G2129">
        <f>IF($P2129="","",CHOOSE(WEEKDAY(INDEX(상세표[시작],$P2129)),"일","월","화","수","목","금","토"))</f>
        <v/>
      </c>
      <c r="H2129">
        <f>IF($P2129="","",INDEX(상세표[연속 시간],$P2129))</f>
        <v/>
      </c>
      <c r="I2129">
        <f>IF($P2129="","",INDEX(상세표[기록 수],$P2129))</f>
        <v/>
      </c>
      <c r="J2129">
        <f>IF($P2129="","",INDEX(상세표[블록 06~07시],$P2129))</f>
        <v/>
      </c>
      <c r="K2129">
        <f>IF($P2129="","",INDEX(상세표[블록 07~18시],$P2129))</f>
        <v/>
      </c>
      <c r="L2129">
        <f>IF($P2129="","",INDEX(상세표[블록 18~22시],$P2129))</f>
        <v/>
      </c>
      <c r="M2129">
        <f>IF($P2129="","",INDEX(상세표[블록 22~06시],$P2129))</f>
        <v/>
      </c>
      <c r="N2129">
        <f>IF($P2129="","",INDEX(상세표[주말·휴일 포함],$P2129)&amp;"")</f>
        <v/>
      </c>
      <c r="O2129">
        <f>IF($P2129="","",INDEX(상세표[월 넘김 포함],$P2129)&amp;"")</f>
        <v/>
      </c>
      <c r="P2129" s="4">
        <f>IFERROR(MATCH(2124,상세표[연속순번],0),"")</f>
        <v/>
      </c>
    </row>
    <row r="2130">
      <c r="A2130">
        <f>IF($P2130="","",INDEX(상세표[사번],$P2130)&amp;"")</f>
        <v/>
      </c>
      <c r="B2130">
        <f>IF($P2130="","",INDEX(상세표[성명],$P2130)&amp;"")</f>
        <v/>
      </c>
      <c r="C2130">
        <f>IF($P2130="","",INDEX(상세표[부서],$P2130)&amp;"")</f>
        <v/>
      </c>
      <c r="D2130">
        <f>IF($P2130="","",INDEX(상세표[직위],$P2130)&amp;"")</f>
        <v/>
      </c>
      <c r="E2130">
        <f>IF($P2130="","",IF(ISNUMBER(INDEX(상세표[시작],$P2130)),TEXT(INDEX(상세표[시작],$P2130),"yyyy-mm-dd hh:mm"),INDEX(상세표[시작],$P2130)&amp;""))</f>
        <v/>
      </c>
      <c r="F2130">
        <f>IF($P2130="","",IF(ISNUMBER(INDEX(상세표[블록종료],$P2130)),TEXT(INDEX(상세표[블록종료],$P2130),"yyyy-mm-dd hh:mm"),INDEX(상세표[블록종료],$P2130)&amp;""))</f>
        <v/>
      </c>
      <c r="G2130">
        <f>IF($P2130="","",CHOOSE(WEEKDAY(INDEX(상세표[시작],$P2130)),"일","월","화","수","목","금","토"))</f>
        <v/>
      </c>
      <c r="H2130">
        <f>IF($P2130="","",INDEX(상세표[연속 시간],$P2130))</f>
        <v/>
      </c>
      <c r="I2130">
        <f>IF($P2130="","",INDEX(상세표[기록 수],$P2130))</f>
        <v/>
      </c>
      <c r="J2130">
        <f>IF($P2130="","",INDEX(상세표[블록 06~07시],$P2130))</f>
        <v/>
      </c>
      <c r="K2130">
        <f>IF($P2130="","",INDEX(상세표[블록 07~18시],$P2130))</f>
        <v/>
      </c>
      <c r="L2130">
        <f>IF($P2130="","",INDEX(상세표[블록 18~22시],$P2130))</f>
        <v/>
      </c>
      <c r="M2130">
        <f>IF($P2130="","",INDEX(상세표[블록 22~06시],$P2130))</f>
        <v/>
      </c>
      <c r="N2130">
        <f>IF($P2130="","",INDEX(상세표[주말·휴일 포함],$P2130)&amp;"")</f>
        <v/>
      </c>
      <c r="O2130">
        <f>IF($P2130="","",INDEX(상세표[월 넘김 포함],$P2130)&amp;"")</f>
        <v/>
      </c>
      <c r="P2130" s="4">
        <f>IFERROR(MATCH(2125,상세표[연속순번],0),"")</f>
        <v/>
      </c>
    </row>
    <row r="2131">
      <c r="A2131">
        <f>IF($P2131="","",INDEX(상세표[사번],$P2131)&amp;"")</f>
        <v/>
      </c>
      <c r="B2131">
        <f>IF($P2131="","",INDEX(상세표[성명],$P2131)&amp;"")</f>
        <v/>
      </c>
      <c r="C2131">
        <f>IF($P2131="","",INDEX(상세표[부서],$P2131)&amp;"")</f>
        <v/>
      </c>
      <c r="D2131">
        <f>IF($P2131="","",INDEX(상세표[직위],$P2131)&amp;"")</f>
        <v/>
      </c>
      <c r="E2131">
        <f>IF($P2131="","",IF(ISNUMBER(INDEX(상세표[시작],$P2131)),TEXT(INDEX(상세표[시작],$P2131),"yyyy-mm-dd hh:mm"),INDEX(상세표[시작],$P2131)&amp;""))</f>
        <v/>
      </c>
      <c r="F2131">
        <f>IF($P2131="","",IF(ISNUMBER(INDEX(상세표[블록종료],$P2131)),TEXT(INDEX(상세표[블록종료],$P2131),"yyyy-mm-dd hh:mm"),INDEX(상세표[블록종료],$P2131)&amp;""))</f>
        <v/>
      </c>
      <c r="G2131">
        <f>IF($P2131="","",CHOOSE(WEEKDAY(INDEX(상세표[시작],$P2131)),"일","월","화","수","목","금","토"))</f>
        <v/>
      </c>
      <c r="H2131">
        <f>IF($P2131="","",INDEX(상세표[연속 시간],$P2131))</f>
        <v/>
      </c>
      <c r="I2131">
        <f>IF($P2131="","",INDEX(상세표[기록 수],$P2131))</f>
        <v/>
      </c>
      <c r="J2131">
        <f>IF($P2131="","",INDEX(상세표[블록 06~07시],$P2131))</f>
        <v/>
      </c>
      <c r="K2131">
        <f>IF($P2131="","",INDEX(상세표[블록 07~18시],$P2131))</f>
        <v/>
      </c>
      <c r="L2131">
        <f>IF($P2131="","",INDEX(상세표[블록 18~22시],$P2131))</f>
        <v/>
      </c>
      <c r="M2131">
        <f>IF($P2131="","",INDEX(상세표[블록 22~06시],$P2131))</f>
        <v/>
      </c>
      <c r="N2131">
        <f>IF($P2131="","",INDEX(상세표[주말·휴일 포함],$P2131)&amp;"")</f>
        <v/>
      </c>
      <c r="O2131">
        <f>IF($P2131="","",INDEX(상세표[월 넘김 포함],$P2131)&amp;"")</f>
        <v/>
      </c>
      <c r="P2131" s="4">
        <f>IFERROR(MATCH(2126,상세표[연속순번],0),"")</f>
        <v/>
      </c>
    </row>
    <row r="2132">
      <c r="A2132">
        <f>IF($P2132="","",INDEX(상세표[사번],$P2132)&amp;"")</f>
        <v/>
      </c>
      <c r="B2132">
        <f>IF($P2132="","",INDEX(상세표[성명],$P2132)&amp;"")</f>
        <v/>
      </c>
      <c r="C2132">
        <f>IF($P2132="","",INDEX(상세표[부서],$P2132)&amp;"")</f>
        <v/>
      </c>
      <c r="D2132">
        <f>IF($P2132="","",INDEX(상세표[직위],$P2132)&amp;"")</f>
        <v/>
      </c>
      <c r="E2132">
        <f>IF($P2132="","",IF(ISNUMBER(INDEX(상세표[시작],$P2132)),TEXT(INDEX(상세표[시작],$P2132),"yyyy-mm-dd hh:mm"),INDEX(상세표[시작],$P2132)&amp;""))</f>
        <v/>
      </c>
      <c r="F2132">
        <f>IF($P2132="","",IF(ISNUMBER(INDEX(상세표[블록종료],$P2132)),TEXT(INDEX(상세표[블록종료],$P2132),"yyyy-mm-dd hh:mm"),INDEX(상세표[블록종료],$P2132)&amp;""))</f>
        <v/>
      </c>
      <c r="G2132">
        <f>IF($P2132="","",CHOOSE(WEEKDAY(INDEX(상세표[시작],$P2132)),"일","월","화","수","목","금","토"))</f>
        <v/>
      </c>
      <c r="H2132">
        <f>IF($P2132="","",INDEX(상세표[연속 시간],$P2132))</f>
        <v/>
      </c>
      <c r="I2132">
        <f>IF($P2132="","",INDEX(상세표[기록 수],$P2132))</f>
        <v/>
      </c>
      <c r="J2132">
        <f>IF($P2132="","",INDEX(상세표[블록 06~07시],$P2132))</f>
        <v/>
      </c>
      <c r="K2132">
        <f>IF($P2132="","",INDEX(상세표[블록 07~18시],$P2132))</f>
        <v/>
      </c>
      <c r="L2132">
        <f>IF($P2132="","",INDEX(상세표[블록 18~22시],$P2132))</f>
        <v/>
      </c>
      <c r="M2132">
        <f>IF($P2132="","",INDEX(상세표[블록 22~06시],$P2132))</f>
        <v/>
      </c>
      <c r="N2132">
        <f>IF($P2132="","",INDEX(상세표[주말·휴일 포함],$P2132)&amp;"")</f>
        <v/>
      </c>
      <c r="O2132">
        <f>IF($P2132="","",INDEX(상세표[월 넘김 포함],$P2132)&amp;"")</f>
        <v/>
      </c>
      <c r="P2132" s="4">
        <f>IFERROR(MATCH(2127,상세표[연속순번],0),"")</f>
        <v/>
      </c>
    </row>
    <row r="2133">
      <c r="A2133">
        <f>IF($P2133="","",INDEX(상세표[사번],$P2133)&amp;"")</f>
        <v/>
      </c>
      <c r="B2133">
        <f>IF($P2133="","",INDEX(상세표[성명],$P2133)&amp;"")</f>
        <v/>
      </c>
      <c r="C2133">
        <f>IF($P2133="","",INDEX(상세표[부서],$P2133)&amp;"")</f>
        <v/>
      </c>
      <c r="D2133">
        <f>IF($P2133="","",INDEX(상세표[직위],$P2133)&amp;"")</f>
        <v/>
      </c>
      <c r="E2133">
        <f>IF($P2133="","",IF(ISNUMBER(INDEX(상세표[시작],$P2133)),TEXT(INDEX(상세표[시작],$P2133),"yyyy-mm-dd hh:mm"),INDEX(상세표[시작],$P2133)&amp;""))</f>
        <v/>
      </c>
      <c r="F2133">
        <f>IF($P2133="","",IF(ISNUMBER(INDEX(상세표[블록종료],$P2133)),TEXT(INDEX(상세표[블록종료],$P2133),"yyyy-mm-dd hh:mm"),INDEX(상세표[블록종료],$P2133)&amp;""))</f>
        <v/>
      </c>
      <c r="G2133">
        <f>IF($P2133="","",CHOOSE(WEEKDAY(INDEX(상세표[시작],$P2133)),"일","월","화","수","목","금","토"))</f>
        <v/>
      </c>
      <c r="H2133">
        <f>IF($P2133="","",INDEX(상세표[연속 시간],$P2133))</f>
        <v/>
      </c>
      <c r="I2133">
        <f>IF($P2133="","",INDEX(상세표[기록 수],$P2133))</f>
        <v/>
      </c>
      <c r="J2133">
        <f>IF($P2133="","",INDEX(상세표[블록 06~07시],$P2133))</f>
        <v/>
      </c>
      <c r="K2133">
        <f>IF($P2133="","",INDEX(상세표[블록 07~18시],$P2133))</f>
        <v/>
      </c>
      <c r="L2133">
        <f>IF($P2133="","",INDEX(상세표[블록 18~22시],$P2133))</f>
        <v/>
      </c>
      <c r="M2133">
        <f>IF($P2133="","",INDEX(상세표[블록 22~06시],$P2133))</f>
        <v/>
      </c>
      <c r="N2133">
        <f>IF($P2133="","",INDEX(상세표[주말·휴일 포함],$P2133)&amp;"")</f>
        <v/>
      </c>
      <c r="O2133">
        <f>IF($P2133="","",INDEX(상세표[월 넘김 포함],$P2133)&amp;"")</f>
        <v/>
      </c>
      <c r="P2133" s="4">
        <f>IFERROR(MATCH(2128,상세표[연속순번],0),"")</f>
        <v/>
      </c>
    </row>
    <row r="2134">
      <c r="A2134">
        <f>IF($P2134="","",INDEX(상세표[사번],$P2134)&amp;"")</f>
        <v/>
      </c>
      <c r="B2134">
        <f>IF($P2134="","",INDEX(상세표[성명],$P2134)&amp;"")</f>
        <v/>
      </c>
      <c r="C2134">
        <f>IF($P2134="","",INDEX(상세표[부서],$P2134)&amp;"")</f>
        <v/>
      </c>
      <c r="D2134">
        <f>IF($P2134="","",INDEX(상세표[직위],$P2134)&amp;"")</f>
        <v/>
      </c>
      <c r="E2134">
        <f>IF($P2134="","",IF(ISNUMBER(INDEX(상세표[시작],$P2134)),TEXT(INDEX(상세표[시작],$P2134),"yyyy-mm-dd hh:mm"),INDEX(상세표[시작],$P2134)&amp;""))</f>
        <v/>
      </c>
      <c r="F2134">
        <f>IF($P2134="","",IF(ISNUMBER(INDEX(상세표[블록종료],$P2134)),TEXT(INDEX(상세표[블록종료],$P2134),"yyyy-mm-dd hh:mm"),INDEX(상세표[블록종료],$P2134)&amp;""))</f>
        <v/>
      </c>
      <c r="G2134">
        <f>IF($P2134="","",CHOOSE(WEEKDAY(INDEX(상세표[시작],$P2134)),"일","월","화","수","목","금","토"))</f>
        <v/>
      </c>
      <c r="H2134">
        <f>IF($P2134="","",INDEX(상세표[연속 시간],$P2134))</f>
        <v/>
      </c>
      <c r="I2134">
        <f>IF($P2134="","",INDEX(상세표[기록 수],$P2134))</f>
        <v/>
      </c>
      <c r="J2134">
        <f>IF($P2134="","",INDEX(상세표[블록 06~07시],$P2134))</f>
        <v/>
      </c>
      <c r="K2134">
        <f>IF($P2134="","",INDEX(상세표[블록 07~18시],$P2134))</f>
        <v/>
      </c>
      <c r="L2134">
        <f>IF($P2134="","",INDEX(상세표[블록 18~22시],$P2134))</f>
        <v/>
      </c>
      <c r="M2134">
        <f>IF($P2134="","",INDEX(상세표[블록 22~06시],$P2134))</f>
        <v/>
      </c>
      <c r="N2134">
        <f>IF($P2134="","",INDEX(상세표[주말·휴일 포함],$P2134)&amp;"")</f>
        <v/>
      </c>
      <c r="O2134">
        <f>IF($P2134="","",INDEX(상세표[월 넘김 포함],$P2134)&amp;"")</f>
        <v/>
      </c>
      <c r="P2134" s="4">
        <f>IFERROR(MATCH(2129,상세표[연속순번],0),"")</f>
        <v/>
      </c>
    </row>
    <row r="2135">
      <c r="A2135">
        <f>IF($P2135="","",INDEX(상세표[사번],$P2135)&amp;"")</f>
        <v/>
      </c>
      <c r="B2135">
        <f>IF($P2135="","",INDEX(상세표[성명],$P2135)&amp;"")</f>
        <v/>
      </c>
      <c r="C2135">
        <f>IF($P2135="","",INDEX(상세표[부서],$P2135)&amp;"")</f>
        <v/>
      </c>
      <c r="D2135">
        <f>IF($P2135="","",INDEX(상세표[직위],$P2135)&amp;"")</f>
        <v/>
      </c>
      <c r="E2135">
        <f>IF($P2135="","",IF(ISNUMBER(INDEX(상세표[시작],$P2135)),TEXT(INDEX(상세표[시작],$P2135),"yyyy-mm-dd hh:mm"),INDEX(상세표[시작],$P2135)&amp;""))</f>
        <v/>
      </c>
      <c r="F2135">
        <f>IF($P2135="","",IF(ISNUMBER(INDEX(상세표[블록종료],$P2135)),TEXT(INDEX(상세표[블록종료],$P2135),"yyyy-mm-dd hh:mm"),INDEX(상세표[블록종료],$P2135)&amp;""))</f>
        <v/>
      </c>
      <c r="G2135">
        <f>IF($P2135="","",CHOOSE(WEEKDAY(INDEX(상세표[시작],$P2135)),"일","월","화","수","목","금","토"))</f>
        <v/>
      </c>
      <c r="H2135">
        <f>IF($P2135="","",INDEX(상세표[연속 시간],$P2135))</f>
        <v/>
      </c>
      <c r="I2135">
        <f>IF($P2135="","",INDEX(상세표[기록 수],$P2135))</f>
        <v/>
      </c>
      <c r="J2135">
        <f>IF($P2135="","",INDEX(상세표[블록 06~07시],$P2135))</f>
        <v/>
      </c>
      <c r="K2135">
        <f>IF($P2135="","",INDEX(상세표[블록 07~18시],$P2135))</f>
        <v/>
      </c>
      <c r="L2135">
        <f>IF($P2135="","",INDEX(상세표[블록 18~22시],$P2135))</f>
        <v/>
      </c>
      <c r="M2135">
        <f>IF($P2135="","",INDEX(상세표[블록 22~06시],$P2135))</f>
        <v/>
      </c>
      <c r="N2135">
        <f>IF($P2135="","",INDEX(상세표[주말·휴일 포함],$P2135)&amp;"")</f>
        <v/>
      </c>
      <c r="O2135">
        <f>IF($P2135="","",INDEX(상세표[월 넘김 포함],$P2135)&amp;"")</f>
        <v/>
      </c>
      <c r="P2135" s="4">
        <f>IFERROR(MATCH(2130,상세표[연속순번],0),"")</f>
        <v/>
      </c>
    </row>
    <row r="2136">
      <c r="A2136">
        <f>IF($P2136="","",INDEX(상세표[사번],$P2136)&amp;"")</f>
        <v/>
      </c>
      <c r="B2136">
        <f>IF($P2136="","",INDEX(상세표[성명],$P2136)&amp;"")</f>
        <v/>
      </c>
      <c r="C2136">
        <f>IF($P2136="","",INDEX(상세표[부서],$P2136)&amp;"")</f>
        <v/>
      </c>
      <c r="D2136">
        <f>IF($P2136="","",INDEX(상세표[직위],$P2136)&amp;"")</f>
        <v/>
      </c>
      <c r="E2136">
        <f>IF($P2136="","",IF(ISNUMBER(INDEX(상세표[시작],$P2136)),TEXT(INDEX(상세표[시작],$P2136),"yyyy-mm-dd hh:mm"),INDEX(상세표[시작],$P2136)&amp;""))</f>
        <v/>
      </c>
      <c r="F2136">
        <f>IF($P2136="","",IF(ISNUMBER(INDEX(상세표[블록종료],$P2136)),TEXT(INDEX(상세표[블록종료],$P2136),"yyyy-mm-dd hh:mm"),INDEX(상세표[블록종료],$P2136)&amp;""))</f>
        <v/>
      </c>
      <c r="G2136">
        <f>IF($P2136="","",CHOOSE(WEEKDAY(INDEX(상세표[시작],$P2136)),"일","월","화","수","목","금","토"))</f>
        <v/>
      </c>
      <c r="H2136">
        <f>IF($P2136="","",INDEX(상세표[연속 시간],$P2136))</f>
        <v/>
      </c>
      <c r="I2136">
        <f>IF($P2136="","",INDEX(상세표[기록 수],$P2136))</f>
        <v/>
      </c>
      <c r="J2136">
        <f>IF($P2136="","",INDEX(상세표[블록 06~07시],$P2136))</f>
        <v/>
      </c>
      <c r="K2136">
        <f>IF($P2136="","",INDEX(상세표[블록 07~18시],$P2136))</f>
        <v/>
      </c>
      <c r="L2136">
        <f>IF($P2136="","",INDEX(상세표[블록 18~22시],$P2136))</f>
        <v/>
      </c>
      <c r="M2136">
        <f>IF($P2136="","",INDEX(상세표[블록 22~06시],$P2136))</f>
        <v/>
      </c>
      <c r="N2136">
        <f>IF($P2136="","",INDEX(상세표[주말·휴일 포함],$P2136)&amp;"")</f>
        <v/>
      </c>
      <c r="O2136">
        <f>IF($P2136="","",INDEX(상세표[월 넘김 포함],$P2136)&amp;"")</f>
        <v/>
      </c>
      <c r="P2136" s="4">
        <f>IFERROR(MATCH(2131,상세표[연속순번],0),"")</f>
        <v/>
      </c>
    </row>
    <row r="2137">
      <c r="A2137">
        <f>IF($P2137="","",INDEX(상세표[사번],$P2137)&amp;"")</f>
        <v/>
      </c>
      <c r="B2137">
        <f>IF($P2137="","",INDEX(상세표[성명],$P2137)&amp;"")</f>
        <v/>
      </c>
      <c r="C2137">
        <f>IF($P2137="","",INDEX(상세표[부서],$P2137)&amp;"")</f>
        <v/>
      </c>
      <c r="D2137">
        <f>IF($P2137="","",INDEX(상세표[직위],$P2137)&amp;"")</f>
        <v/>
      </c>
      <c r="E2137">
        <f>IF($P2137="","",IF(ISNUMBER(INDEX(상세표[시작],$P2137)),TEXT(INDEX(상세표[시작],$P2137),"yyyy-mm-dd hh:mm"),INDEX(상세표[시작],$P2137)&amp;""))</f>
        <v/>
      </c>
      <c r="F2137">
        <f>IF($P2137="","",IF(ISNUMBER(INDEX(상세표[블록종료],$P2137)),TEXT(INDEX(상세표[블록종료],$P2137),"yyyy-mm-dd hh:mm"),INDEX(상세표[블록종료],$P2137)&amp;""))</f>
        <v/>
      </c>
      <c r="G2137">
        <f>IF($P2137="","",CHOOSE(WEEKDAY(INDEX(상세표[시작],$P2137)),"일","월","화","수","목","금","토"))</f>
        <v/>
      </c>
      <c r="H2137">
        <f>IF($P2137="","",INDEX(상세표[연속 시간],$P2137))</f>
        <v/>
      </c>
      <c r="I2137">
        <f>IF($P2137="","",INDEX(상세표[기록 수],$P2137))</f>
        <v/>
      </c>
      <c r="J2137">
        <f>IF($P2137="","",INDEX(상세표[블록 06~07시],$P2137))</f>
        <v/>
      </c>
      <c r="K2137">
        <f>IF($P2137="","",INDEX(상세표[블록 07~18시],$P2137))</f>
        <v/>
      </c>
      <c r="L2137">
        <f>IF($P2137="","",INDEX(상세표[블록 18~22시],$P2137))</f>
        <v/>
      </c>
      <c r="M2137">
        <f>IF($P2137="","",INDEX(상세표[블록 22~06시],$P2137))</f>
        <v/>
      </c>
      <c r="N2137">
        <f>IF($P2137="","",INDEX(상세표[주말·휴일 포함],$P2137)&amp;"")</f>
        <v/>
      </c>
      <c r="O2137">
        <f>IF($P2137="","",INDEX(상세표[월 넘김 포함],$P2137)&amp;"")</f>
        <v/>
      </c>
      <c r="P2137" s="4">
        <f>IFERROR(MATCH(2132,상세표[연속순번],0),"")</f>
        <v/>
      </c>
    </row>
    <row r="2138">
      <c r="A2138">
        <f>IF($P2138="","",INDEX(상세표[사번],$P2138)&amp;"")</f>
        <v/>
      </c>
      <c r="B2138">
        <f>IF($P2138="","",INDEX(상세표[성명],$P2138)&amp;"")</f>
        <v/>
      </c>
      <c r="C2138">
        <f>IF($P2138="","",INDEX(상세표[부서],$P2138)&amp;"")</f>
        <v/>
      </c>
      <c r="D2138">
        <f>IF($P2138="","",INDEX(상세표[직위],$P2138)&amp;"")</f>
        <v/>
      </c>
      <c r="E2138">
        <f>IF($P2138="","",IF(ISNUMBER(INDEX(상세표[시작],$P2138)),TEXT(INDEX(상세표[시작],$P2138),"yyyy-mm-dd hh:mm"),INDEX(상세표[시작],$P2138)&amp;""))</f>
        <v/>
      </c>
      <c r="F2138">
        <f>IF($P2138="","",IF(ISNUMBER(INDEX(상세표[블록종료],$P2138)),TEXT(INDEX(상세표[블록종료],$P2138),"yyyy-mm-dd hh:mm"),INDEX(상세표[블록종료],$P2138)&amp;""))</f>
        <v/>
      </c>
      <c r="G2138">
        <f>IF($P2138="","",CHOOSE(WEEKDAY(INDEX(상세표[시작],$P2138)),"일","월","화","수","목","금","토"))</f>
        <v/>
      </c>
      <c r="H2138">
        <f>IF($P2138="","",INDEX(상세표[연속 시간],$P2138))</f>
        <v/>
      </c>
      <c r="I2138">
        <f>IF($P2138="","",INDEX(상세표[기록 수],$P2138))</f>
        <v/>
      </c>
      <c r="J2138">
        <f>IF($P2138="","",INDEX(상세표[블록 06~07시],$P2138))</f>
        <v/>
      </c>
      <c r="K2138">
        <f>IF($P2138="","",INDEX(상세표[블록 07~18시],$P2138))</f>
        <v/>
      </c>
      <c r="L2138">
        <f>IF($P2138="","",INDEX(상세표[블록 18~22시],$P2138))</f>
        <v/>
      </c>
      <c r="M2138">
        <f>IF($P2138="","",INDEX(상세표[블록 22~06시],$P2138))</f>
        <v/>
      </c>
      <c r="N2138">
        <f>IF($P2138="","",INDEX(상세표[주말·휴일 포함],$P2138)&amp;"")</f>
        <v/>
      </c>
      <c r="O2138">
        <f>IF($P2138="","",INDEX(상세표[월 넘김 포함],$P2138)&amp;"")</f>
        <v/>
      </c>
      <c r="P2138" s="4">
        <f>IFERROR(MATCH(2133,상세표[연속순번],0),"")</f>
        <v/>
      </c>
    </row>
    <row r="2139">
      <c r="A2139">
        <f>IF($P2139="","",INDEX(상세표[사번],$P2139)&amp;"")</f>
        <v/>
      </c>
      <c r="B2139">
        <f>IF($P2139="","",INDEX(상세표[성명],$P2139)&amp;"")</f>
        <v/>
      </c>
      <c r="C2139">
        <f>IF($P2139="","",INDEX(상세표[부서],$P2139)&amp;"")</f>
        <v/>
      </c>
      <c r="D2139">
        <f>IF($P2139="","",INDEX(상세표[직위],$P2139)&amp;"")</f>
        <v/>
      </c>
      <c r="E2139">
        <f>IF($P2139="","",IF(ISNUMBER(INDEX(상세표[시작],$P2139)),TEXT(INDEX(상세표[시작],$P2139),"yyyy-mm-dd hh:mm"),INDEX(상세표[시작],$P2139)&amp;""))</f>
        <v/>
      </c>
      <c r="F2139">
        <f>IF($P2139="","",IF(ISNUMBER(INDEX(상세표[블록종료],$P2139)),TEXT(INDEX(상세표[블록종료],$P2139),"yyyy-mm-dd hh:mm"),INDEX(상세표[블록종료],$P2139)&amp;""))</f>
        <v/>
      </c>
      <c r="G2139">
        <f>IF($P2139="","",CHOOSE(WEEKDAY(INDEX(상세표[시작],$P2139)),"일","월","화","수","목","금","토"))</f>
        <v/>
      </c>
      <c r="H2139">
        <f>IF($P2139="","",INDEX(상세표[연속 시간],$P2139))</f>
        <v/>
      </c>
      <c r="I2139">
        <f>IF($P2139="","",INDEX(상세표[기록 수],$P2139))</f>
        <v/>
      </c>
      <c r="J2139">
        <f>IF($P2139="","",INDEX(상세표[블록 06~07시],$P2139))</f>
        <v/>
      </c>
      <c r="K2139">
        <f>IF($P2139="","",INDEX(상세표[블록 07~18시],$P2139))</f>
        <v/>
      </c>
      <c r="L2139">
        <f>IF($P2139="","",INDEX(상세표[블록 18~22시],$P2139))</f>
        <v/>
      </c>
      <c r="M2139">
        <f>IF($P2139="","",INDEX(상세표[블록 22~06시],$P2139))</f>
        <v/>
      </c>
      <c r="N2139">
        <f>IF($P2139="","",INDEX(상세표[주말·휴일 포함],$P2139)&amp;"")</f>
        <v/>
      </c>
      <c r="O2139">
        <f>IF($P2139="","",INDEX(상세표[월 넘김 포함],$P2139)&amp;"")</f>
        <v/>
      </c>
      <c r="P2139" s="4">
        <f>IFERROR(MATCH(2134,상세표[연속순번],0),"")</f>
        <v/>
      </c>
    </row>
    <row r="2140">
      <c r="A2140">
        <f>IF($P2140="","",INDEX(상세표[사번],$P2140)&amp;"")</f>
        <v/>
      </c>
      <c r="B2140">
        <f>IF($P2140="","",INDEX(상세표[성명],$P2140)&amp;"")</f>
        <v/>
      </c>
      <c r="C2140">
        <f>IF($P2140="","",INDEX(상세표[부서],$P2140)&amp;"")</f>
        <v/>
      </c>
      <c r="D2140">
        <f>IF($P2140="","",INDEX(상세표[직위],$P2140)&amp;"")</f>
        <v/>
      </c>
      <c r="E2140">
        <f>IF($P2140="","",IF(ISNUMBER(INDEX(상세표[시작],$P2140)),TEXT(INDEX(상세표[시작],$P2140),"yyyy-mm-dd hh:mm"),INDEX(상세표[시작],$P2140)&amp;""))</f>
        <v/>
      </c>
      <c r="F2140">
        <f>IF($P2140="","",IF(ISNUMBER(INDEX(상세표[블록종료],$P2140)),TEXT(INDEX(상세표[블록종료],$P2140),"yyyy-mm-dd hh:mm"),INDEX(상세표[블록종료],$P2140)&amp;""))</f>
        <v/>
      </c>
      <c r="G2140">
        <f>IF($P2140="","",CHOOSE(WEEKDAY(INDEX(상세표[시작],$P2140)),"일","월","화","수","목","금","토"))</f>
        <v/>
      </c>
      <c r="H2140">
        <f>IF($P2140="","",INDEX(상세표[연속 시간],$P2140))</f>
        <v/>
      </c>
      <c r="I2140">
        <f>IF($P2140="","",INDEX(상세표[기록 수],$P2140))</f>
        <v/>
      </c>
      <c r="J2140">
        <f>IF($P2140="","",INDEX(상세표[블록 06~07시],$P2140))</f>
        <v/>
      </c>
      <c r="K2140">
        <f>IF($P2140="","",INDEX(상세표[블록 07~18시],$P2140))</f>
        <v/>
      </c>
      <c r="L2140">
        <f>IF($P2140="","",INDEX(상세표[블록 18~22시],$P2140))</f>
        <v/>
      </c>
      <c r="M2140">
        <f>IF($P2140="","",INDEX(상세표[블록 22~06시],$P2140))</f>
        <v/>
      </c>
      <c r="N2140">
        <f>IF($P2140="","",INDEX(상세표[주말·휴일 포함],$P2140)&amp;"")</f>
        <v/>
      </c>
      <c r="O2140">
        <f>IF($P2140="","",INDEX(상세표[월 넘김 포함],$P2140)&amp;"")</f>
        <v/>
      </c>
      <c r="P2140" s="4">
        <f>IFERROR(MATCH(2135,상세표[연속순번],0),"")</f>
        <v/>
      </c>
    </row>
    <row r="2141">
      <c r="A2141">
        <f>IF($P2141="","",INDEX(상세표[사번],$P2141)&amp;"")</f>
        <v/>
      </c>
      <c r="B2141">
        <f>IF($P2141="","",INDEX(상세표[성명],$P2141)&amp;"")</f>
        <v/>
      </c>
      <c r="C2141">
        <f>IF($P2141="","",INDEX(상세표[부서],$P2141)&amp;"")</f>
        <v/>
      </c>
      <c r="D2141">
        <f>IF($P2141="","",INDEX(상세표[직위],$P2141)&amp;"")</f>
        <v/>
      </c>
      <c r="E2141">
        <f>IF($P2141="","",IF(ISNUMBER(INDEX(상세표[시작],$P2141)),TEXT(INDEX(상세표[시작],$P2141),"yyyy-mm-dd hh:mm"),INDEX(상세표[시작],$P2141)&amp;""))</f>
        <v/>
      </c>
      <c r="F2141">
        <f>IF($P2141="","",IF(ISNUMBER(INDEX(상세표[블록종료],$P2141)),TEXT(INDEX(상세표[블록종료],$P2141),"yyyy-mm-dd hh:mm"),INDEX(상세표[블록종료],$P2141)&amp;""))</f>
        <v/>
      </c>
      <c r="G2141">
        <f>IF($P2141="","",CHOOSE(WEEKDAY(INDEX(상세표[시작],$P2141)),"일","월","화","수","목","금","토"))</f>
        <v/>
      </c>
      <c r="H2141">
        <f>IF($P2141="","",INDEX(상세표[연속 시간],$P2141))</f>
        <v/>
      </c>
      <c r="I2141">
        <f>IF($P2141="","",INDEX(상세표[기록 수],$P2141))</f>
        <v/>
      </c>
      <c r="J2141">
        <f>IF($P2141="","",INDEX(상세표[블록 06~07시],$P2141))</f>
        <v/>
      </c>
      <c r="K2141">
        <f>IF($P2141="","",INDEX(상세표[블록 07~18시],$P2141))</f>
        <v/>
      </c>
      <c r="L2141">
        <f>IF($P2141="","",INDEX(상세표[블록 18~22시],$P2141))</f>
        <v/>
      </c>
      <c r="M2141">
        <f>IF($P2141="","",INDEX(상세표[블록 22~06시],$P2141))</f>
        <v/>
      </c>
      <c r="N2141">
        <f>IF($P2141="","",INDEX(상세표[주말·휴일 포함],$P2141)&amp;"")</f>
        <v/>
      </c>
      <c r="O2141">
        <f>IF($P2141="","",INDEX(상세표[월 넘김 포함],$P2141)&amp;"")</f>
        <v/>
      </c>
      <c r="P2141" s="4">
        <f>IFERROR(MATCH(2136,상세표[연속순번],0),"")</f>
        <v/>
      </c>
    </row>
    <row r="2142">
      <c r="A2142">
        <f>IF($P2142="","",INDEX(상세표[사번],$P2142)&amp;"")</f>
        <v/>
      </c>
      <c r="B2142">
        <f>IF($P2142="","",INDEX(상세표[성명],$P2142)&amp;"")</f>
        <v/>
      </c>
      <c r="C2142">
        <f>IF($P2142="","",INDEX(상세표[부서],$P2142)&amp;"")</f>
        <v/>
      </c>
      <c r="D2142">
        <f>IF($P2142="","",INDEX(상세표[직위],$P2142)&amp;"")</f>
        <v/>
      </c>
      <c r="E2142">
        <f>IF($P2142="","",IF(ISNUMBER(INDEX(상세표[시작],$P2142)),TEXT(INDEX(상세표[시작],$P2142),"yyyy-mm-dd hh:mm"),INDEX(상세표[시작],$P2142)&amp;""))</f>
        <v/>
      </c>
      <c r="F2142">
        <f>IF($P2142="","",IF(ISNUMBER(INDEX(상세표[블록종료],$P2142)),TEXT(INDEX(상세표[블록종료],$P2142),"yyyy-mm-dd hh:mm"),INDEX(상세표[블록종료],$P2142)&amp;""))</f>
        <v/>
      </c>
      <c r="G2142">
        <f>IF($P2142="","",CHOOSE(WEEKDAY(INDEX(상세표[시작],$P2142)),"일","월","화","수","목","금","토"))</f>
        <v/>
      </c>
      <c r="H2142">
        <f>IF($P2142="","",INDEX(상세표[연속 시간],$P2142))</f>
        <v/>
      </c>
      <c r="I2142">
        <f>IF($P2142="","",INDEX(상세표[기록 수],$P2142))</f>
        <v/>
      </c>
      <c r="J2142">
        <f>IF($P2142="","",INDEX(상세표[블록 06~07시],$P2142))</f>
        <v/>
      </c>
      <c r="K2142">
        <f>IF($P2142="","",INDEX(상세표[블록 07~18시],$P2142))</f>
        <v/>
      </c>
      <c r="L2142">
        <f>IF($P2142="","",INDEX(상세표[블록 18~22시],$P2142))</f>
        <v/>
      </c>
      <c r="M2142">
        <f>IF($P2142="","",INDEX(상세표[블록 22~06시],$P2142))</f>
        <v/>
      </c>
      <c r="N2142">
        <f>IF($P2142="","",INDEX(상세표[주말·휴일 포함],$P2142)&amp;"")</f>
        <v/>
      </c>
      <c r="O2142">
        <f>IF($P2142="","",INDEX(상세표[월 넘김 포함],$P2142)&amp;"")</f>
        <v/>
      </c>
      <c r="P2142" s="4">
        <f>IFERROR(MATCH(2137,상세표[연속순번],0),"")</f>
        <v/>
      </c>
    </row>
    <row r="2143">
      <c r="A2143">
        <f>IF($P2143="","",INDEX(상세표[사번],$P2143)&amp;"")</f>
        <v/>
      </c>
      <c r="B2143">
        <f>IF($P2143="","",INDEX(상세표[성명],$P2143)&amp;"")</f>
        <v/>
      </c>
      <c r="C2143">
        <f>IF($P2143="","",INDEX(상세표[부서],$P2143)&amp;"")</f>
        <v/>
      </c>
      <c r="D2143">
        <f>IF($P2143="","",INDEX(상세표[직위],$P2143)&amp;"")</f>
        <v/>
      </c>
      <c r="E2143">
        <f>IF($P2143="","",IF(ISNUMBER(INDEX(상세표[시작],$P2143)),TEXT(INDEX(상세표[시작],$P2143),"yyyy-mm-dd hh:mm"),INDEX(상세표[시작],$P2143)&amp;""))</f>
        <v/>
      </c>
      <c r="F2143">
        <f>IF($P2143="","",IF(ISNUMBER(INDEX(상세표[블록종료],$P2143)),TEXT(INDEX(상세표[블록종료],$P2143),"yyyy-mm-dd hh:mm"),INDEX(상세표[블록종료],$P2143)&amp;""))</f>
        <v/>
      </c>
      <c r="G2143">
        <f>IF($P2143="","",CHOOSE(WEEKDAY(INDEX(상세표[시작],$P2143)),"일","월","화","수","목","금","토"))</f>
        <v/>
      </c>
      <c r="H2143">
        <f>IF($P2143="","",INDEX(상세표[연속 시간],$P2143))</f>
        <v/>
      </c>
      <c r="I2143">
        <f>IF($P2143="","",INDEX(상세표[기록 수],$P2143))</f>
        <v/>
      </c>
      <c r="J2143">
        <f>IF($P2143="","",INDEX(상세표[블록 06~07시],$P2143))</f>
        <v/>
      </c>
      <c r="K2143">
        <f>IF($P2143="","",INDEX(상세표[블록 07~18시],$P2143))</f>
        <v/>
      </c>
      <c r="L2143">
        <f>IF($P2143="","",INDEX(상세표[블록 18~22시],$P2143))</f>
        <v/>
      </c>
      <c r="M2143">
        <f>IF($P2143="","",INDEX(상세표[블록 22~06시],$P2143))</f>
        <v/>
      </c>
      <c r="N2143">
        <f>IF($P2143="","",INDEX(상세표[주말·휴일 포함],$P2143)&amp;"")</f>
        <v/>
      </c>
      <c r="O2143">
        <f>IF($P2143="","",INDEX(상세표[월 넘김 포함],$P2143)&amp;"")</f>
        <v/>
      </c>
      <c r="P2143" s="4">
        <f>IFERROR(MATCH(2138,상세표[연속순번],0),"")</f>
        <v/>
      </c>
    </row>
    <row r="2144">
      <c r="A2144">
        <f>IF($P2144="","",INDEX(상세표[사번],$P2144)&amp;"")</f>
        <v/>
      </c>
      <c r="B2144">
        <f>IF($P2144="","",INDEX(상세표[성명],$P2144)&amp;"")</f>
        <v/>
      </c>
      <c r="C2144">
        <f>IF($P2144="","",INDEX(상세표[부서],$P2144)&amp;"")</f>
        <v/>
      </c>
      <c r="D2144">
        <f>IF($P2144="","",INDEX(상세표[직위],$P2144)&amp;"")</f>
        <v/>
      </c>
      <c r="E2144">
        <f>IF($P2144="","",IF(ISNUMBER(INDEX(상세표[시작],$P2144)),TEXT(INDEX(상세표[시작],$P2144),"yyyy-mm-dd hh:mm"),INDEX(상세표[시작],$P2144)&amp;""))</f>
        <v/>
      </c>
      <c r="F2144">
        <f>IF($P2144="","",IF(ISNUMBER(INDEX(상세표[블록종료],$P2144)),TEXT(INDEX(상세표[블록종료],$P2144),"yyyy-mm-dd hh:mm"),INDEX(상세표[블록종료],$P2144)&amp;""))</f>
        <v/>
      </c>
      <c r="G2144">
        <f>IF($P2144="","",CHOOSE(WEEKDAY(INDEX(상세표[시작],$P2144)),"일","월","화","수","목","금","토"))</f>
        <v/>
      </c>
      <c r="H2144">
        <f>IF($P2144="","",INDEX(상세표[연속 시간],$P2144))</f>
        <v/>
      </c>
      <c r="I2144">
        <f>IF($P2144="","",INDEX(상세표[기록 수],$P2144))</f>
        <v/>
      </c>
      <c r="J2144">
        <f>IF($P2144="","",INDEX(상세표[블록 06~07시],$P2144))</f>
        <v/>
      </c>
      <c r="K2144">
        <f>IF($P2144="","",INDEX(상세표[블록 07~18시],$P2144))</f>
        <v/>
      </c>
      <c r="L2144">
        <f>IF($P2144="","",INDEX(상세표[블록 18~22시],$P2144))</f>
        <v/>
      </c>
      <c r="M2144">
        <f>IF($P2144="","",INDEX(상세표[블록 22~06시],$P2144))</f>
        <v/>
      </c>
      <c r="N2144">
        <f>IF($P2144="","",INDEX(상세표[주말·휴일 포함],$P2144)&amp;"")</f>
        <v/>
      </c>
      <c r="O2144">
        <f>IF($P2144="","",INDEX(상세표[월 넘김 포함],$P2144)&amp;"")</f>
        <v/>
      </c>
      <c r="P2144" s="4">
        <f>IFERROR(MATCH(2139,상세표[연속순번],0),"")</f>
        <v/>
      </c>
    </row>
    <row r="2145">
      <c r="A2145">
        <f>IF($P2145="","",INDEX(상세표[사번],$P2145)&amp;"")</f>
        <v/>
      </c>
      <c r="B2145">
        <f>IF($P2145="","",INDEX(상세표[성명],$P2145)&amp;"")</f>
        <v/>
      </c>
      <c r="C2145">
        <f>IF($P2145="","",INDEX(상세표[부서],$P2145)&amp;"")</f>
        <v/>
      </c>
      <c r="D2145">
        <f>IF($P2145="","",INDEX(상세표[직위],$P2145)&amp;"")</f>
        <v/>
      </c>
      <c r="E2145">
        <f>IF($P2145="","",IF(ISNUMBER(INDEX(상세표[시작],$P2145)),TEXT(INDEX(상세표[시작],$P2145),"yyyy-mm-dd hh:mm"),INDEX(상세표[시작],$P2145)&amp;""))</f>
        <v/>
      </c>
      <c r="F2145">
        <f>IF($P2145="","",IF(ISNUMBER(INDEX(상세표[블록종료],$P2145)),TEXT(INDEX(상세표[블록종료],$P2145),"yyyy-mm-dd hh:mm"),INDEX(상세표[블록종료],$P2145)&amp;""))</f>
        <v/>
      </c>
      <c r="G2145">
        <f>IF($P2145="","",CHOOSE(WEEKDAY(INDEX(상세표[시작],$P2145)),"일","월","화","수","목","금","토"))</f>
        <v/>
      </c>
      <c r="H2145">
        <f>IF($P2145="","",INDEX(상세표[연속 시간],$P2145))</f>
        <v/>
      </c>
      <c r="I2145">
        <f>IF($P2145="","",INDEX(상세표[기록 수],$P2145))</f>
        <v/>
      </c>
      <c r="J2145">
        <f>IF($P2145="","",INDEX(상세표[블록 06~07시],$P2145))</f>
        <v/>
      </c>
      <c r="K2145">
        <f>IF($P2145="","",INDEX(상세표[블록 07~18시],$P2145))</f>
        <v/>
      </c>
      <c r="L2145">
        <f>IF($P2145="","",INDEX(상세표[블록 18~22시],$P2145))</f>
        <v/>
      </c>
      <c r="M2145">
        <f>IF($P2145="","",INDEX(상세표[블록 22~06시],$P2145))</f>
        <v/>
      </c>
      <c r="N2145">
        <f>IF($P2145="","",INDEX(상세표[주말·휴일 포함],$P2145)&amp;"")</f>
        <v/>
      </c>
      <c r="O2145">
        <f>IF($P2145="","",INDEX(상세표[월 넘김 포함],$P2145)&amp;"")</f>
        <v/>
      </c>
      <c r="P2145" s="4">
        <f>IFERROR(MATCH(2140,상세표[연속순번],0),"")</f>
        <v/>
      </c>
    </row>
    <row r="2146">
      <c r="A2146">
        <f>IF($P2146="","",INDEX(상세표[사번],$P2146)&amp;"")</f>
        <v/>
      </c>
      <c r="B2146">
        <f>IF($P2146="","",INDEX(상세표[성명],$P2146)&amp;"")</f>
        <v/>
      </c>
      <c r="C2146">
        <f>IF($P2146="","",INDEX(상세표[부서],$P2146)&amp;"")</f>
        <v/>
      </c>
      <c r="D2146">
        <f>IF($P2146="","",INDEX(상세표[직위],$P2146)&amp;"")</f>
        <v/>
      </c>
      <c r="E2146">
        <f>IF($P2146="","",IF(ISNUMBER(INDEX(상세표[시작],$P2146)),TEXT(INDEX(상세표[시작],$P2146),"yyyy-mm-dd hh:mm"),INDEX(상세표[시작],$P2146)&amp;""))</f>
        <v/>
      </c>
      <c r="F2146">
        <f>IF($P2146="","",IF(ISNUMBER(INDEX(상세표[블록종료],$P2146)),TEXT(INDEX(상세표[블록종료],$P2146),"yyyy-mm-dd hh:mm"),INDEX(상세표[블록종료],$P2146)&amp;""))</f>
        <v/>
      </c>
      <c r="G2146">
        <f>IF($P2146="","",CHOOSE(WEEKDAY(INDEX(상세표[시작],$P2146)),"일","월","화","수","목","금","토"))</f>
        <v/>
      </c>
      <c r="H2146">
        <f>IF($P2146="","",INDEX(상세표[연속 시간],$P2146))</f>
        <v/>
      </c>
      <c r="I2146">
        <f>IF($P2146="","",INDEX(상세표[기록 수],$P2146))</f>
        <v/>
      </c>
      <c r="J2146">
        <f>IF($P2146="","",INDEX(상세표[블록 06~07시],$P2146))</f>
        <v/>
      </c>
      <c r="K2146">
        <f>IF($P2146="","",INDEX(상세표[블록 07~18시],$P2146))</f>
        <v/>
      </c>
      <c r="L2146">
        <f>IF($P2146="","",INDEX(상세표[블록 18~22시],$P2146))</f>
        <v/>
      </c>
      <c r="M2146">
        <f>IF($P2146="","",INDEX(상세표[블록 22~06시],$P2146))</f>
        <v/>
      </c>
      <c r="N2146">
        <f>IF($P2146="","",INDEX(상세표[주말·휴일 포함],$P2146)&amp;"")</f>
        <v/>
      </c>
      <c r="O2146">
        <f>IF($P2146="","",INDEX(상세표[월 넘김 포함],$P2146)&amp;"")</f>
        <v/>
      </c>
      <c r="P2146" s="4">
        <f>IFERROR(MATCH(2141,상세표[연속순번],0),"")</f>
        <v/>
      </c>
    </row>
    <row r="2147">
      <c r="A2147">
        <f>IF($P2147="","",INDEX(상세표[사번],$P2147)&amp;"")</f>
        <v/>
      </c>
      <c r="B2147">
        <f>IF($P2147="","",INDEX(상세표[성명],$P2147)&amp;"")</f>
        <v/>
      </c>
      <c r="C2147">
        <f>IF($P2147="","",INDEX(상세표[부서],$P2147)&amp;"")</f>
        <v/>
      </c>
      <c r="D2147">
        <f>IF($P2147="","",INDEX(상세표[직위],$P2147)&amp;"")</f>
        <v/>
      </c>
      <c r="E2147">
        <f>IF($P2147="","",IF(ISNUMBER(INDEX(상세표[시작],$P2147)),TEXT(INDEX(상세표[시작],$P2147),"yyyy-mm-dd hh:mm"),INDEX(상세표[시작],$P2147)&amp;""))</f>
        <v/>
      </c>
      <c r="F2147">
        <f>IF($P2147="","",IF(ISNUMBER(INDEX(상세표[블록종료],$P2147)),TEXT(INDEX(상세표[블록종료],$P2147),"yyyy-mm-dd hh:mm"),INDEX(상세표[블록종료],$P2147)&amp;""))</f>
        <v/>
      </c>
      <c r="G2147">
        <f>IF($P2147="","",CHOOSE(WEEKDAY(INDEX(상세표[시작],$P2147)),"일","월","화","수","목","금","토"))</f>
        <v/>
      </c>
      <c r="H2147">
        <f>IF($P2147="","",INDEX(상세표[연속 시간],$P2147))</f>
        <v/>
      </c>
      <c r="I2147">
        <f>IF($P2147="","",INDEX(상세표[기록 수],$P2147))</f>
        <v/>
      </c>
      <c r="J2147">
        <f>IF($P2147="","",INDEX(상세표[블록 06~07시],$P2147))</f>
        <v/>
      </c>
      <c r="K2147">
        <f>IF($P2147="","",INDEX(상세표[블록 07~18시],$P2147))</f>
        <v/>
      </c>
      <c r="L2147">
        <f>IF($P2147="","",INDEX(상세표[블록 18~22시],$P2147))</f>
        <v/>
      </c>
      <c r="M2147">
        <f>IF($P2147="","",INDEX(상세표[블록 22~06시],$P2147))</f>
        <v/>
      </c>
      <c r="N2147">
        <f>IF($P2147="","",INDEX(상세표[주말·휴일 포함],$P2147)&amp;"")</f>
        <v/>
      </c>
      <c r="O2147">
        <f>IF($P2147="","",INDEX(상세표[월 넘김 포함],$P2147)&amp;"")</f>
        <v/>
      </c>
      <c r="P2147" s="4">
        <f>IFERROR(MATCH(2142,상세표[연속순번],0),"")</f>
        <v/>
      </c>
    </row>
    <row r="2148">
      <c r="A2148">
        <f>IF($P2148="","",INDEX(상세표[사번],$P2148)&amp;"")</f>
        <v/>
      </c>
      <c r="B2148">
        <f>IF($P2148="","",INDEX(상세표[성명],$P2148)&amp;"")</f>
        <v/>
      </c>
      <c r="C2148">
        <f>IF($P2148="","",INDEX(상세표[부서],$P2148)&amp;"")</f>
        <v/>
      </c>
      <c r="D2148">
        <f>IF($P2148="","",INDEX(상세표[직위],$P2148)&amp;"")</f>
        <v/>
      </c>
      <c r="E2148">
        <f>IF($P2148="","",IF(ISNUMBER(INDEX(상세표[시작],$P2148)),TEXT(INDEX(상세표[시작],$P2148),"yyyy-mm-dd hh:mm"),INDEX(상세표[시작],$P2148)&amp;""))</f>
        <v/>
      </c>
      <c r="F2148">
        <f>IF($P2148="","",IF(ISNUMBER(INDEX(상세표[블록종료],$P2148)),TEXT(INDEX(상세표[블록종료],$P2148),"yyyy-mm-dd hh:mm"),INDEX(상세표[블록종료],$P2148)&amp;""))</f>
        <v/>
      </c>
      <c r="G2148">
        <f>IF($P2148="","",CHOOSE(WEEKDAY(INDEX(상세표[시작],$P2148)),"일","월","화","수","목","금","토"))</f>
        <v/>
      </c>
      <c r="H2148">
        <f>IF($P2148="","",INDEX(상세표[연속 시간],$P2148))</f>
        <v/>
      </c>
      <c r="I2148">
        <f>IF($P2148="","",INDEX(상세표[기록 수],$P2148))</f>
        <v/>
      </c>
      <c r="J2148">
        <f>IF($P2148="","",INDEX(상세표[블록 06~07시],$P2148))</f>
        <v/>
      </c>
      <c r="K2148">
        <f>IF($P2148="","",INDEX(상세표[블록 07~18시],$P2148))</f>
        <v/>
      </c>
      <c r="L2148">
        <f>IF($P2148="","",INDEX(상세표[블록 18~22시],$P2148))</f>
        <v/>
      </c>
      <c r="M2148">
        <f>IF($P2148="","",INDEX(상세표[블록 22~06시],$P2148))</f>
        <v/>
      </c>
      <c r="N2148">
        <f>IF($P2148="","",INDEX(상세표[주말·휴일 포함],$P2148)&amp;"")</f>
        <v/>
      </c>
      <c r="O2148">
        <f>IF($P2148="","",INDEX(상세표[월 넘김 포함],$P2148)&amp;"")</f>
        <v/>
      </c>
      <c r="P2148" s="4">
        <f>IFERROR(MATCH(2143,상세표[연속순번],0),"")</f>
        <v/>
      </c>
    </row>
    <row r="2149">
      <c r="A2149">
        <f>IF($P2149="","",INDEX(상세표[사번],$P2149)&amp;"")</f>
        <v/>
      </c>
      <c r="B2149">
        <f>IF($P2149="","",INDEX(상세표[성명],$P2149)&amp;"")</f>
        <v/>
      </c>
      <c r="C2149">
        <f>IF($P2149="","",INDEX(상세표[부서],$P2149)&amp;"")</f>
        <v/>
      </c>
      <c r="D2149">
        <f>IF($P2149="","",INDEX(상세표[직위],$P2149)&amp;"")</f>
        <v/>
      </c>
      <c r="E2149">
        <f>IF($P2149="","",IF(ISNUMBER(INDEX(상세표[시작],$P2149)),TEXT(INDEX(상세표[시작],$P2149),"yyyy-mm-dd hh:mm"),INDEX(상세표[시작],$P2149)&amp;""))</f>
        <v/>
      </c>
      <c r="F2149">
        <f>IF($P2149="","",IF(ISNUMBER(INDEX(상세표[블록종료],$P2149)),TEXT(INDEX(상세표[블록종료],$P2149),"yyyy-mm-dd hh:mm"),INDEX(상세표[블록종료],$P2149)&amp;""))</f>
        <v/>
      </c>
      <c r="G2149">
        <f>IF($P2149="","",CHOOSE(WEEKDAY(INDEX(상세표[시작],$P2149)),"일","월","화","수","목","금","토"))</f>
        <v/>
      </c>
      <c r="H2149">
        <f>IF($P2149="","",INDEX(상세표[연속 시간],$P2149))</f>
        <v/>
      </c>
      <c r="I2149">
        <f>IF($P2149="","",INDEX(상세표[기록 수],$P2149))</f>
        <v/>
      </c>
      <c r="J2149">
        <f>IF($P2149="","",INDEX(상세표[블록 06~07시],$P2149))</f>
        <v/>
      </c>
      <c r="K2149">
        <f>IF($P2149="","",INDEX(상세표[블록 07~18시],$P2149))</f>
        <v/>
      </c>
      <c r="L2149">
        <f>IF($P2149="","",INDEX(상세표[블록 18~22시],$P2149))</f>
        <v/>
      </c>
      <c r="M2149">
        <f>IF($P2149="","",INDEX(상세표[블록 22~06시],$P2149))</f>
        <v/>
      </c>
      <c r="N2149">
        <f>IF($P2149="","",INDEX(상세표[주말·휴일 포함],$P2149)&amp;"")</f>
        <v/>
      </c>
      <c r="O2149">
        <f>IF($P2149="","",INDEX(상세표[월 넘김 포함],$P2149)&amp;"")</f>
        <v/>
      </c>
      <c r="P2149" s="4">
        <f>IFERROR(MATCH(2144,상세표[연속순번],0),"")</f>
        <v/>
      </c>
    </row>
    <row r="2150">
      <c r="A2150">
        <f>IF($P2150="","",INDEX(상세표[사번],$P2150)&amp;"")</f>
        <v/>
      </c>
      <c r="B2150">
        <f>IF($P2150="","",INDEX(상세표[성명],$P2150)&amp;"")</f>
        <v/>
      </c>
      <c r="C2150">
        <f>IF($P2150="","",INDEX(상세표[부서],$P2150)&amp;"")</f>
        <v/>
      </c>
      <c r="D2150">
        <f>IF($P2150="","",INDEX(상세표[직위],$P2150)&amp;"")</f>
        <v/>
      </c>
      <c r="E2150">
        <f>IF($P2150="","",IF(ISNUMBER(INDEX(상세표[시작],$P2150)),TEXT(INDEX(상세표[시작],$P2150),"yyyy-mm-dd hh:mm"),INDEX(상세표[시작],$P2150)&amp;""))</f>
        <v/>
      </c>
      <c r="F2150">
        <f>IF($P2150="","",IF(ISNUMBER(INDEX(상세표[블록종료],$P2150)),TEXT(INDEX(상세표[블록종료],$P2150),"yyyy-mm-dd hh:mm"),INDEX(상세표[블록종료],$P2150)&amp;""))</f>
        <v/>
      </c>
      <c r="G2150">
        <f>IF($P2150="","",CHOOSE(WEEKDAY(INDEX(상세표[시작],$P2150)),"일","월","화","수","목","금","토"))</f>
        <v/>
      </c>
      <c r="H2150">
        <f>IF($P2150="","",INDEX(상세표[연속 시간],$P2150))</f>
        <v/>
      </c>
      <c r="I2150">
        <f>IF($P2150="","",INDEX(상세표[기록 수],$P2150))</f>
        <v/>
      </c>
      <c r="J2150">
        <f>IF($P2150="","",INDEX(상세표[블록 06~07시],$P2150))</f>
        <v/>
      </c>
      <c r="K2150">
        <f>IF($P2150="","",INDEX(상세표[블록 07~18시],$P2150))</f>
        <v/>
      </c>
      <c r="L2150">
        <f>IF($P2150="","",INDEX(상세표[블록 18~22시],$P2150))</f>
        <v/>
      </c>
      <c r="M2150">
        <f>IF($P2150="","",INDEX(상세표[블록 22~06시],$P2150))</f>
        <v/>
      </c>
      <c r="N2150">
        <f>IF($P2150="","",INDEX(상세표[주말·휴일 포함],$P2150)&amp;"")</f>
        <v/>
      </c>
      <c r="O2150">
        <f>IF($P2150="","",INDEX(상세표[월 넘김 포함],$P2150)&amp;"")</f>
        <v/>
      </c>
      <c r="P2150" s="4">
        <f>IFERROR(MATCH(2145,상세표[연속순번],0),"")</f>
        <v/>
      </c>
    </row>
    <row r="2151">
      <c r="A2151">
        <f>IF($P2151="","",INDEX(상세표[사번],$P2151)&amp;"")</f>
        <v/>
      </c>
      <c r="B2151">
        <f>IF($P2151="","",INDEX(상세표[성명],$P2151)&amp;"")</f>
        <v/>
      </c>
      <c r="C2151">
        <f>IF($P2151="","",INDEX(상세표[부서],$P2151)&amp;"")</f>
        <v/>
      </c>
      <c r="D2151">
        <f>IF($P2151="","",INDEX(상세표[직위],$P2151)&amp;"")</f>
        <v/>
      </c>
      <c r="E2151">
        <f>IF($P2151="","",IF(ISNUMBER(INDEX(상세표[시작],$P2151)),TEXT(INDEX(상세표[시작],$P2151),"yyyy-mm-dd hh:mm"),INDEX(상세표[시작],$P2151)&amp;""))</f>
        <v/>
      </c>
      <c r="F2151">
        <f>IF($P2151="","",IF(ISNUMBER(INDEX(상세표[블록종료],$P2151)),TEXT(INDEX(상세표[블록종료],$P2151),"yyyy-mm-dd hh:mm"),INDEX(상세표[블록종료],$P2151)&amp;""))</f>
        <v/>
      </c>
      <c r="G2151">
        <f>IF($P2151="","",CHOOSE(WEEKDAY(INDEX(상세표[시작],$P2151)),"일","월","화","수","목","금","토"))</f>
        <v/>
      </c>
      <c r="H2151">
        <f>IF($P2151="","",INDEX(상세표[연속 시간],$P2151))</f>
        <v/>
      </c>
      <c r="I2151">
        <f>IF($P2151="","",INDEX(상세표[기록 수],$P2151))</f>
        <v/>
      </c>
      <c r="J2151">
        <f>IF($P2151="","",INDEX(상세표[블록 06~07시],$P2151))</f>
        <v/>
      </c>
      <c r="K2151">
        <f>IF($P2151="","",INDEX(상세표[블록 07~18시],$P2151))</f>
        <v/>
      </c>
      <c r="L2151">
        <f>IF($P2151="","",INDEX(상세표[블록 18~22시],$P2151))</f>
        <v/>
      </c>
      <c r="M2151">
        <f>IF($P2151="","",INDEX(상세표[블록 22~06시],$P2151))</f>
        <v/>
      </c>
      <c r="N2151">
        <f>IF($P2151="","",INDEX(상세표[주말·휴일 포함],$P2151)&amp;"")</f>
        <v/>
      </c>
      <c r="O2151">
        <f>IF($P2151="","",INDEX(상세표[월 넘김 포함],$P2151)&amp;"")</f>
        <v/>
      </c>
      <c r="P2151" s="4">
        <f>IFERROR(MATCH(2146,상세표[연속순번],0),"")</f>
        <v/>
      </c>
    </row>
    <row r="2152">
      <c r="A2152">
        <f>IF($P2152="","",INDEX(상세표[사번],$P2152)&amp;"")</f>
        <v/>
      </c>
      <c r="B2152">
        <f>IF($P2152="","",INDEX(상세표[성명],$P2152)&amp;"")</f>
        <v/>
      </c>
      <c r="C2152">
        <f>IF($P2152="","",INDEX(상세표[부서],$P2152)&amp;"")</f>
        <v/>
      </c>
      <c r="D2152">
        <f>IF($P2152="","",INDEX(상세표[직위],$P2152)&amp;"")</f>
        <v/>
      </c>
      <c r="E2152">
        <f>IF($P2152="","",IF(ISNUMBER(INDEX(상세표[시작],$P2152)),TEXT(INDEX(상세표[시작],$P2152),"yyyy-mm-dd hh:mm"),INDEX(상세표[시작],$P2152)&amp;""))</f>
        <v/>
      </c>
      <c r="F2152">
        <f>IF($P2152="","",IF(ISNUMBER(INDEX(상세표[블록종료],$P2152)),TEXT(INDEX(상세표[블록종료],$P2152),"yyyy-mm-dd hh:mm"),INDEX(상세표[블록종료],$P2152)&amp;""))</f>
        <v/>
      </c>
      <c r="G2152">
        <f>IF($P2152="","",CHOOSE(WEEKDAY(INDEX(상세표[시작],$P2152)),"일","월","화","수","목","금","토"))</f>
        <v/>
      </c>
      <c r="H2152">
        <f>IF($P2152="","",INDEX(상세표[연속 시간],$P2152))</f>
        <v/>
      </c>
      <c r="I2152">
        <f>IF($P2152="","",INDEX(상세표[기록 수],$P2152))</f>
        <v/>
      </c>
      <c r="J2152">
        <f>IF($P2152="","",INDEX(상세표[블록 06~07시],$P2152))</f>
        <v/>
      </c>
      <c r="K2152">
        <f>IF($P2152="","",INDEX(상세표[블록 07~18시],$P2152))</f>
        <v/>
      </c>
      <c r="L2152">
        <f>IF($P2152="","",INDEX(상세표[블록 18~22시],$P2152))</f>
        <v/>
      </c>
      <c r="M2152">
        <f>IF($P2152="","",INDEX(상세표[블록 22~06시],$P2152))</f>
        <v/>
      </c>
      <c r="N2152">
        <f>IF($P2152="","",INDEX(상세표[주말·휴일 포함],$P2152)&amp;"")</f>
        <v/>
      </c>
      <c r="O2152">
        <f>IF($P2152="","",INDEX(상세표[월 넘김 포함],$P2152)&amp;"")</f>
        <v/>
      </c>
      <c r="P2152" s="4">
        <f>IFERROR(MATCH(2147,상세표[연속순번],0),"")</f>
        <v/>
      </c>
    </row>
    <row r="2153">
      <c r="A2153">
        <f>IF($P2153="","",INDEX(상세표[사번],$P2153)&amp;"")</f>
        <v/>
      </c>
      <c r="B2153">
        <f>IF($P2153="","",INDEX(상세표[성명],$P2153)&amp;"")</f>
        <v/>
      </c>
      <c r="C2153">
        <f>IF($P2153="","",INDEX(상세표[부서],$P2153)&amp;"")</f>
        <v/>
      </c>
      <c r="D2153">
        <f>IF($P2153="","",INDEX(상세표[직위],$P2153)&amp;"")</f>
        <v/>
      </c>
      <c r="E2153">
        <f>IF($P2153="","",IF(ISNUMBER(INDEX(상세표[시작],$P2153)),TEXT(INDEX(상세표[시작],$P2153),"yyyy-mm-dd hh:mm"),INDEX(상세표[시작],$P2153)&amp;""))</f>
        <v/>
      </c>
      <c r="F2153">
        <f>IF($P2153="","",IF(ISNUMBER(INDEX(상세표[블록종료],$P2153)),TEXT(INDEX(상세표[블록종료],$P2153),"yyyy-mm-dd hh:mm"),INDEX(상세표[블록종료],$P2153)&amp;""))</f>
        <v/>
      </c>
      <c r="G2153">
        <f>IF($P2153="","",CHOOSE(WEEKDAY(INDEX(상세표[시작],$P2153)),"일","월","화","수","목","금","토"))</f>
        <v/>
      </c>
      <c r="H2153">
        <f>IF($P2153="","",INDEX(상세표[연속 시간],$P2153))</f>
        <v/>
      </c>
      <c r="I2153">
        <f>IF($P2153="","",INDEX(상세표[기록 수],$P2153))</f>
        <v/>
      </c>
      <c r="J2153">
        <f>IF($P2153="","",INDEX(상세표[블록 06~07시],$P2153))</f>
        <v/>
      </c>
      <c r="K2153">
        <f>IF($P2153="","",INDEX(상세표[블록 07~18시],$P2153))</f>
        <v/>
      </c>
      <c r="L2153">
        <f>IF($P2153="","",INDEX(상세표[블록 18~22시],$P2153))</f>
        <v/>
      </c>
      <c r="M2153">
        <f>IF($P2153="","",INDEX(상세표[블록 22~06시],$P2153))</f>
        <v/>
      </c>
      <c r="N2153">
        <f>IF($P2153="","",INDEX(상세표[주말·휴일 포함],$P2153)&amp;"")</f>
        <v/>
      </c>
      <c r="O2153">
        <f>IF($P2153="","",INDEX(상세표[월 넘김 포함],$P2153)&amp;"")</f>
        <v/>
      </c>
      <c r="P2153" s="4">
        <f>IFERROR(MATCH(2148,상세표[연속순번],0),"")</f>
        <v/>
      </c>
    </row>
    <row r="2154">
      <c r="A2154">
        <f>IF($P2154="","",INDEX(상세표[사번],$P2154)&amp;"")</f>
        <v/>
      </c>
      <c r="B2154">
        <f>IF($P2154="","",INDEX(상세표[성명],$P2154)&amp;"")</f>
        <v/>
      </c>
      <c r="C2154">
        <f>IF($P2154="","",INDEX(상세표[부서],$P2154)&amp;"")</f>
        <v/>
      </c>
      <c r="D2154">
        <f>IF($P2154="","",INDEX(상세표[직위],$P2154)&amp;"")</f>
        <v/>
      </c>
      <c r="E2154">
        <f>IF($P2154="","",IF(ISNUMBER(INDEX(상세표[시작],$P2154)),TEXT(INDEX(상세표[시작],$P2154),"yyyy-mm-dd hh:mm"),INDEX(상세표[시작],$P2154)&amp;""))</f>
        <v/>
      </c>
      <c r="F2154">
        <f>IF($P2154="","",IF(ISNUMBER(INDEX(상세표[블록종료],$P2154)),TEXT(INDEX(상세표[블록종료],$P2154),"yyyy-mm-dd hh:mm"),INDEX(상세표[블록종료],$P2154)&amp;""))</f>
        <v/>
      </c>
      <c r="G2154">
        <f>IF($P2154="","",CHOOSE(WEEKDAY(INDEX(상세표[시작],$P2154)),"일","월","화","수","목","금","토"))</f>
        <v/>
      </c>
      <c r="H2154">
        <f>IF($P2154="","",INDEX(상세표[연속 시간],$P2154))</f>
        <v/>
      </c>
      <c r="I2154">
        <f>IF($P2154="","",INDEX(상세표[기록 수],$P2154))</f>
        <v/>
      </c>
      <c r="J2154">
        <f>IF($P2154="","",INDEX(상세표[블록 06~07시],$P2154))</f>
        <v/>
      </c>
      <c r="K2154">
        <f>IF($P2154="","",INDEX(상세표[블록 07~18시],$P2154))</f>
        <v/>
      </c>
      <c r="L2154">
        <f>IF($P2154="","",INDEX(상세표[블록 18~22시],$P2154))</f>
        <v/>
      </c>
      <c r="M2154">
        <f>IF($P2154="","",INDEX(상세표[블록 22~06시],$P2154))</f>
        <v/>
      </c>
      <c r="N2154">
        <f>IF($P2154="","",INDEX(상세표[주말·휴일 포함],$P2154)&amp;"")</f>
        <v/>
      </c>
      <c r="O2154">
        <f>IF($P2154="","",INDEX(상세표[월 넘김 포함],$P2154)&amp;"")</f>
        <v/>
      </c>
      <c r="P2154" s="4">
        <f>IFERROR(MATCH(2149,상세표[연속순번],0),"")</f>
        <v/>
      </c>
    </row>
    <row r="2155">
      <c r="A2155">
        <f>IF($P2155="","",INDEX(상세표[사번],$P2155)&amp;"")</f>
        <v/>
      </c>
      <c r="B2155">
        <f>IF($P2155="","",INDEX(상세표[성명],$P2155)&amp;"")</f>
        <v/>
      </c>
      <c r="C2155">
        <f>IF($P2155="","",INDEX(상세표[부서],$P2155)&amp;"")</f>
        <v/>
      </c>
      <c r="D2155">
        <f>IF($P2155="","",INDEX(상세표[직위],$P2155)&amp;"")</f>
        <v/>
      </c>
      <c r="E2155">
        <f>IF($P2155="","",IF(ISNUMBER(INDEX(상세표[시작],$P2155)),TEXT(INDEX(상세표[시작],$P2155),"yyyy-mm-dd hh:mm"),INDEX(상세표[시작],$P2155)&amp;""))</f>
        <v/>
      </c>
      <c r="F2155">
        <f>IF($P2155="","",IF(ISNUMBER(INDEX(상세표[블록종료],$P2155)),TEXT(INDEX(상세표[블록종료],$P2155),"yyyy-mm-dd hh:mm"),INDEX(상세표[블록종료],$P2155)&amp;""))</f>
        <v/>
      </c>
      <c r="G2155">
        <f>IF($P2155="","",CHOOSE(WEEKDAY(INDEX(상세표[시작],$P2155)),"일","월","화","수","목","금","토"))</f>
        <v/>
      </c>
      <c r="H2155">
        <f>IF($P2155="","",INDEX(상세표[연속 시간],$P2155))</f>
        <v/>
      </c>
      <c r="I2155">
        <f>IF($P2155="","",INDEX(상세표[기록 수],$P2155))</f>
        <v/>
      </c>
      <c r="J2155">
        <f>IF($P2155="","",INDEX(상세표[블록 06~07시],$P2155))</f>
        <v/>
      </c>
      <c r="K2155">
        <f>IF($P2155="","",INDEX(상세표[블록 07~18시],$P2155))</f>
        <v/>
      </c>
      <c r="L2155">
        <f>IF($P2155="","",INDEX(상세표[블록 18~22시],$P2155))</f>
        <v/>
      </c>
      <c r="M2155">
        <f>IF($P2155="","",INDEX(상세표[블록 22~06시],$P2155))</f>
        <v/>
      </c>
      <c r="N2155">
        <f>IF($P2155="","",INDEX(상세표[주말·휴일 포함],$P2155)&amp;"")</f>
        <v/>
      </c>
      <c r="O2155">
        <f>IF($P2155="","",INDEX(상세표[월 넘김 포함],$P2155)&amp;"")</f>
        <v/>
      </c>
      <c r="P2155" s="4">
        <f>IFERROR(MATCH(2150,상세표[연속순번],0),"")</f>
        <v/>
      </c>
    </row>
    <row r="2156">
      <c r="A2156">
        <f>IF($P2156="","",INDEX(상세표[사번],$P2156)&amp;"")</f>
        <v/>
      </c>
      <c r="B2156">
        <f>IF($P2156="","",INDEX(상세표[성명],$P2156)&amp;"")</f>
        <v/>
      </c>
      <c r="C2156">
        <f>IF($P2156="","",INDEX(상세표[부서],$P2156)&amp;"")</f>
        <v/>
      </c>
      <c r="D2156">
        <f>IF($P2156="","",INDEX(상세표[직위],$P2156)&amp;"")</f>
        <v/>
      </c>
      <c r="E2156">
        <f>IF($P2156="","",IF(ISNUMBER(INDEX(상세표[시작],$P2156)),TEXT(INDEX(상세표[시작],$P2156),"yyyy-mm-dd hh:mm"),INDEX(상세표[시작],$P2156)&amp;""))</f>
        <v/>
      </c>
      <c r="F2156">
        <f>IF($P2156="","",IF(ISNUMBER(INDEX(상세표[블록종료],$P2156)),TEXT(INDEX(상세표[블록종료],$P2156),"yyyy-mm-dd hh:mm"),INDEX(상세표[블록종료],$P2156)&amp;""))</f>
        <v/>
      </c>
      <c r="G2156">
        <f>IF($P2156="","",CHOOSE(WEEKDAY(INDEX(상세표[시작],$P2156)),"일","월","화","수","목","금","토"))</f>
        <v/>
      </c>
      <c r="H2156">
        <f>IF($P2156="","",INDEX(상세표[연속 시간],$P2156))</f>
        <v/>
      </c>
      <c r="I2156">
        <f>IF($P2156="","",INDEX(상세표[기록 수],$P2156))</f>
        <v/>
      </c>
      <c r="J2156">
        <f>IF($P2156="","",INDEX(상세표[블록 06~07시],$P2156))</f>
        <v/>
      </c>
      <c r="K2156">
        <f>IF($P2156="","",INDEX(상세표[블록 07~18시],$P2156))</f>
        <v/>
      </c>
      <c r="L2156">
        <f>IF($P2156="","",INDEX(상세표[블록 18~22시],$P2156))</f>
        <v/>
      </c>
      <c r="M2156">
        <f>IF($P2156="","",INDEX(상세표[블록 22~06시],$P2156))</f>
        <v/>
      </c>
      <c r="N2156">
        <f>IF($P2156="","",INDEX(상세표[주말·휴일 포함],$P2156)&amp;"")</f>
        <v/>
      </c>
      <c r="O2156">
        <f>IF($P2156="","",INDEX(상세표[월 넘김 포함],$P2156)&amp;"")</f>
        <v/>
      </c>
      <c r="P2156" s="4">
        <f>IFERROR(MATCH(2151,상세표[연속순번],0),"")</f>
        <v/>
      </c>
    </row>
    <row r="2157">
      <c r="A2157">
        <f>IF($P2157="","",INDEX(상세표[사번],$P2157)&amp;"")</f>
        <v/>
      </c>
      <c r="B2157">
        <f>IF($P2157="","",INDEX(상세표[성명],$P2157)&amp;"")</f>
        <v/>
      </c>
      <c r="C2157">
        <f>IF($P2157="","",INDEX(상세표[부서],$P2157)&amp;"")</f>
        <v/>
      </c>
      <c r="D2157">
        <f>IF($P2157="","",INDEX(상세표[직위],$P2157)&amp;"")</f>
        <v/>
      </c>
      <c r="E2157">
        <f>IF($P2157="","",IF(ISNUMBER(INDEX(상세표[시작],$P2157)),TEXT(INDEX(상세표[시작],$P2157),"yyyy-mm-dd hh:mm"),INDEX(상세표[시작],$P2157)&amp;""))</f>
        <v/>
      </c>
      <c r="F2157">
        <f>IF($P2157="","",IF(ISNUMBER(INDEX(상세표[블록종료],$P2157)),TEXT(INDEX(상세표[블록종료],$P2157),"yyyy-mm-dd hh:mm"),INDEX(상세표[블록종료],$P2157)&amp;""))</f>
        <v/>
      </c>
      <c r="G2157">
        <f>IF($P2157="","",CHOOSE(WEEKDAY(INDEX(상세표[시작],$P2157)),"일","월","화","수","목","금","토"))</f>
        <v/>
      </c>
      <c r="H2157">
        <f>IF($P2157="","",INDEX(상세표[연속 시간],$P2157))</f>
        <v/>
      </c>
      <c r="I2157">
        <f>IF($P2157="","",INDEX(상세표[기록 수],$P2157))</f>
        <v/>
      </c>
      <c r="J2157">
        <f>IF($P2157="","",INDEX(상세표[블록 06~07시],$P2157))</f>
        <v/>
      </c>
      <c r="K2157">
        <f>IF($P2157="","",INDEX(상세표[블록 07~18시],$P2157))</f>
        <v/>
      </c>
      <c r="L2157">
        <f>IF($P2157="","",INDEX(상세표[블록 18~22시],$P2157))</f>
        <v/>
      </c>
      <c r="M2157">
        <f>IF($P2157="","",INDEX(상세표[블록 22~06시],$P2157))</f>
        <v/>
      </c>
      <c r="N2157">
        <f>IF($P2157="","",INDEX(상세표[주말·휴일 포함],$P2157)&amp;"")</f>
        <v/>
      </c>
      <c r="O2157">
        <f>IF($P2157="","",INDEX(상세표[월 넘김 포함],$P2157)&amp;"")</f>
        <v/>
      </c>
      <c r="P2157" s="4">
        <f>IFERROR(MATCH(2152,상세표[연속순번],0),"")</f>
        <v/>
      </c>
    </row>
    <row r="2158">
      <c r="A2158">
        <f>IF($P2158="","",INDEX(상세표[사번],$P2158)&amp;"")</f>
        <v/>
      </c>
      <c r="B2158">
        <f>IF($P2158="","",INDEX(상세표[성명],$P2158)&amp;"")</f>
        <v/>
      </c>
      <c r="C2158">
        <f>IF($P2158="","",INDEX(상세표[부서],$P2158)&amp;"")</f>
        <v/>
      </c>
      <c r="D2158">
        <f>IF($P2158="","",INDEX(상세표[직위],$P2158)&amp;"")</f>
        <v/>
      </c>
      <c r="E2158">
        <f>IF($P2158="","",IF(ISNUMBER(INDEX(상세표[시작],$P2158)),TEXT(INDEX(상세표[시작],$P2158),"yyyy-mm-dd hh:mm"),INDEX(상세표[시작],$P2158)&amp;""))</f>
        <v/>
      </c>
      <c r="F2158">
        <f>IF($P2158="","",IF(ISNUMBER(INDEX(상세표[블록종료],$P2158)),TEXT(INDEX(상세표[블록종료],$P2158),"yyyy-mm-dd hh:mm"),INDEX(상세표[블록종료],$P2158)&amp;""))</f>
        <v/>
      </c>
      <c r="G2158">
        <f>IF($P2158="","",CHOOSE(WEEKDAY(INDEX(상세표[시작],$P2158)),"일","월","화","수","목","금","토"))</f>
        <v/>
      </c>
      <c r="H2158">
        <f>IF($P2158="","",INDEX(상세표[연속 시간],$P2158))</f>
        <v/>
      </c>
      <c r="I2158">
        <f>IF($P2158="","",INDEX(상세표[기록 수],$P2158))</f>
        <v/>
      </c>
      <c r="J2158">
        <f>IF($P2158="","",INDEX(상세표[블록 06~07시],$P2158))</f>
        <v/>
      </c>
      <c r="K2158">
        <f>IF($P2158="","",INDEX(상세표[블록 07~18시],$P2158))</f>
        <v/>
      </c>
      <c r="L2158">
        <f>IF($P2158="","",INDEX(상세표[블록 18~22시],$P2158))</f>
        <v/>
      </c>
      <c r="M2158">
        <f>IF($P2158="","",INDEX(상세표[블록 22~06시],$P2158))</f>
        <v/>
      </c>
      <c r="N2158">
        <f>IF($P2158="","",INDEX(상세표[주말·휴일 포함],$P2158)&amp;"")</f>
        <v/>
      </c>
      <c r="O2158">
        <f>IF($P2158="","",INDEX(상세표[월 넘김 포함],$P2158)&amp;"")</f>
        <v/>
      </c>
      <c r="P2158" s="4">
        <f>IFERROR(MATCH(2153,상세표[연속순번],0),"")</f>
        <v/>
      </c>
    </row>
    <row r="2159">
      <c r="A2159">
        <f>IF($P2159="","",INDEX(상세표[사번],$P2159)&amp;"")</f>
        <v/>
      </c>
      <c r="B2159">
        <f>IF($P2159="","",INDEX(상세표[성명],$P2159)&amp;"")</f>
        <v/>
      </c>
      <c r="C2159">
        <f>IF($P2159="","",INDEX(상세표[부서],$P2159)&amp;"")</f>
        <v/>
      </c>
      <c r="D2159">
        <f>IF($P2159="","",INDEX(상세표[직위],$P2159)&amp;"")</f>
        <v/>
      </c>
      <c r="E2159">
        <f>IF($P2159="","",IF(ISNUMBER(INDEX(상세표[시작],$P2159)),TEXT(INDEX(상세표[시작],$P2159),"yyyy-mm-dd hh:mm"),INDEX(상세표[시작],$P2159)&amp;""))</f>
        <v/>
      </c>
      <c r="F2159">
        <f>IF($P2159="","",IF(ISNUMBER(INDEX(상세표[블록종료],$P2159)),TEXT(INDEX(상세표[블록종료],$P2159),"yyyy-mm-dd hh:mm"),INDEX(상세표[블록종료],$P2159)&amp;""))</f>
        <v/>
      </c>
      <c r="G2159">
        <f>IF($P2159="","",CHOOSE(WEEKDAY(INDEX(상세표[시작],$P2159)),"일","월","화","수","목","금","토"))</f>
        <v/>
      </c>
      <c r="H2159">
        <f>IF($P2159="","",INDEX(상세표[연속 시간],$P2159))</f>
        <v/>
      </c>
      <c r="I2159">
        <f>IF($P2159="","",INDEX(상세표[기록 수],$P2159))</f>
        <v/>
      </c>
      <c r="J2159">
        <f>IF($P2159="","",INDEX(상세표[블록 06~07시],$P2159))</f>
        <v/>
      </c>
      <c r="K2159">
        <f>IF($P2159="","",INDEX(상세표[블록 07~18시],$P2159))</f>
        <v/>
      </c>
      <c r="L2159">
        <f>IF($P2159="","",INDEX(상세표[블록 18~22시],$P2159))</f>
        <v/>
      </c>
      <c r="M2159">
        <f>IF($P2159="","",INDEX(상세표[블록 22~06시],$P2159))</f>
        <v/>
      </c>
      <c r="N2159">
        <f>IF($P2159="","",INDEX(상세표[주말·휴일 포함],$P2159)&amp;"")</f>
        <v/>
      </c>
      <c r="O2159">
        <f>IF($P2159="","",INDEX(상세표[월 넘김 포함],$P2159)&amp;"")</f>
        <v/>
      </c>
      <c r="P2159" s="4">
        <f>IFERROR(MATCH(2154,상세표[연속순번],0),"")</f>
        <v/>
      </c>
    </row>
    <row r="2160">
      <c r="A2160">
        <f>IF($P2160="","",INDEX(상세표[사번],$P2160)&amp;"")</f>
        <v/>
      </c>
      <c r="B2160">
        <f>IF($P2160="","",INDEX(상세표[성명],$P2160)&amp;"")</f>
        <v/>
      </c>
      <c r="C2160">
        <f>IF($P2160="","",INDEX(상세표[부서],$P2160)&amp;"")</f>
        <v/>
      </c>
      <c r="D2160">
        <f>IF($P2160="","",INDEX(상세표[직위],$P2160)&amp;"")</f>
        <v/>
      </c>
      <c r="E2160">
        <f>IF($P2160="","",IF(ISNUMBER(INDEX(상세표[시작],$P2160)),TEXT(INDEX(상세표[시작],$P2160),"yyyy-mm-dd hh:mm"),INDEX(상세표[시작],$P2160)&amp;""))</f>
        <v/>
      </c>
      <c r="F2160">
        <f>IF($P2160="","",IF(ISNUMBER(INDEX(상세표[블록종료],$P2160)),TEXT(INDEX(상세표[블록종료],$P2160),"yyyy-mm-dd hh:mm"),INDEX(상세표[블록종료],$P2160)&amp;""))</f>
        <v/>
      </c>
      <c r="G2160">
        <f>IF($P2160="","",CHOOSE(WEEKDAY(INDEX(상세표[시작],$P2160)),"일","월","화","수","목","금","토"))</f>
        <v/>
      </c>
      <c r="H2160">
        <f>IF($P2160="","",INDEX(상세표[연속 시간],$P2160))</f>
        <v/>
      </c>
      <c r="I2160">
        <f>IF($P2160="","",INDEX(상세표[기록 수],$P2160))</f>
        <v/>
      </c>
      <c r="J2160">
        <f>IF($P2160="","",INDEX(상세표[블록 06~07시],$P2160))</f>
        <v/>
      </c>
      <c r="K2160">
        <f>IF($P2160="","",INDEX(상세표[블록 07~18시],$P2160))</f>
        <v/>
      </c>
      <c r="L2160">
        <f>IF($P2160="","",INDEX(상세표[블록 18~22시],$P2160))</f>
        <v/>
      </c>
      <c r="M2160">
        <f>IF($P2160="","",INDEX(상세표[블록 22~06시],$P2160))</f>
        <v/>
      </c>
      <c r="N2160">
        <f>IF($P2160="","",INDEX(상세표[주말·휴일 포함],$P2160)&amp;"")</f>
        <v/>
      </c>
      <c r="O2160">
        <f>IF($P2160="","",INDEX(상세표[월 넘김 포함],$P2160)&amp;"")</f>
        <v/>
      </c>
      <c r="P2160" s="4">
        <f>IFERROR(MATCH(2155,상세표[연속순번],0),"")</f>
        <v/>
      </c>
    </row>
    <row r="2161">
      <c r="A2161">
        <f>IF($P2161="","",INDEX(상세표[사번],$P2161)&amp;"")</f>
        <v/>
      </c>
      <c r="B2161">
        <f>IF($P2161="","",INDEX(상세표[성명],$P2161)&amp;"")</f>
        <v/>
      </c>
      <c r="C2161">
        <f>IF($P2161="","",INDEX(상세표[부서],$P2161)&amp;"")</f>
        <v/>
      </c>
      <c r="D2161">
        <f>IF($P2161="","",INDEX(상세표[직위],$P2161)&amp;"")</f>
        <v/>
      </c>
      <c r="E2161">
        <f>IF($P2161="","",IF(ISNUMBER(INDEX(상세표[시작],$P2161)),TEXT(INDEX(상세표[시작],$P2161),"yyyy-mm-dd hh:mm"),INDEX(상세표[시작],$P2161)&amp;""))</f>
        <v/>
      </c>
      <c r="F2161">
        <f>IF($P2161="","",IF(ISNUMBER(INDEX(상세표[블록종료],$P2161)),TEXT(INDEX(상세표[블록종료],$P2161),"yyyy-mm-dd hh:mm"),INDEX(상세표[블록종료],$P2161)&amp;""))</f>
        <v/>
      </c>
      <c r="G2161">
        <f>IF($P2161="","",CHOOSE(WEEKDAY(INDEX(상세표[시작],$P2161)),"일","월","화","수","목","금","토"))</f>
        <v/>
      </c>
      <c r="H2161">
        <f>IF($P2161="","",INDEX(상세표[연속 시간],$P2161))</f>
        <v/>
      </c>
      <c r="I2161">
        <f>IF($P2161="","",INDEX(상세표[기록 수],$P2161))</f>
        <v/>
      </c>
      <c r="J2161">
        <f>IF($P2161="","",INDEX(상세표[블록 06~07시],$P2161))</f>
        <v/>
      </c>
      <c r="K2161">
        <f>IF($P2161="","",INDEX(상세표[블록 07~18시],$P2161))</f>
        <v/>
      </c>
      <c r="L2161">
        <f>IF($P2161="","",INDEX(상세표[블록 18~22시],$P2161))</f>
        <v/>
      </c>
      <c r="M2161">
        <f>IF($P2161="","",INDEX(상세표[블록 22~06시],$P2161))</f>
        <v/>
      </c>
      <c r="N2161">
        <f>IF($P2161="","",INDEX(상세표[주말·휴일 포함],$P2161)&amp;"")</f>
        <v/>
      </c>
      <c r="O2161">
        <f>IF($P2161="","",INDEX(상세표[월 넘김 포함],$P2161)&amp;"")</f>
        <v/>
      </c>
      <c r="P2161" s="4">
        <f>IFERROR(MATCH(2156,상세표[연속순번],0),"")</f>
        <v/>
      </c>
    </row>
    <row r="2162">
      <c r="A2162">
        <f>IF($P2162="","",INDEX(상세표[사번],$P2162)&amp;"")</f>
        <v/>
      </c>
      <c r="B2162">
        <f>IF($P2162="","",INDEX(상세표[성명],$P2162)&amp;"")</f>
        <v/>
      </c>
      <c r="C2162">
        <f>IF($P2162="","",INDEX(상세표[부서],$P2162)&amp;"")</f>
        <v/>
      </c>
      <c r="D2162">
        <f>IF($P2162="","",INDEX(상세표[직위],$P2162)&amp;"")</f>
        <v/>
      </c>
      <c r="E2162">
        <f>IF($P2162="","",IF(ISNUMBER(INDEX(상세표[시작],$P2162)),TEXT(INDEX(상세표[시작],$P2162),"yyyy-mm-dd hh:mm"),INDEX(상세표[시작],$P2162)&amp;""))</f>
        <v/>
      </c>
      <c r="F2162">
        <f>IF($P2162="","",IF(ISNUMBER(INDEX(상세표[블록종료],$P2162)),TEXT(INDEX(상세표[블록종료],$P2162),"yyyy-mm-dd hh:mm"),INDEX(상세표[블록종료],$P2162)&amp;""))</f>
        <v/>
      </c>
      <c r="G2162">
        <f>IF($P2162="","",CHOOSE(WEEKDAY(INDEX(상세표[시작],$P2162)),"일","월","화","수","목","금","토"))</f>
        <v/>
      </c>
      <c r="H2162">
        <f>IF($P2162="","",INDEX(상세표[연속 시간],$P2162))</f>
        <v/>
      </c>
      <c r="I2162">
        <f>IF($P2162="","",INDEX(상세표[기록 수],$P2162))</f>
        <v/>
      </c>
      <c r="J2162">
        <f>IF($P2162="","",INDEX(상세표[블록 06~07시],$P2162))</f>
        <v/>
      </c>
      <c r="K2162">
        <f>IF($P2162="","",INDEX(상세표[블록 07~18시],$P2162))</f>
        <v/>
      </c>
      <c r="L2162">
        <f>IF($P2162="","",INDEX(상세표[블록 18~22시],$P2162))</f>
        <v/>
      </c>
      <c r="M2162">
        <f>IF($P2162="","",INDEX(상세표[블록 22~06시],$P2162))</f>
        <v/>
      </c>
      <c r="N2162">
        <f>IF($P2162="","",INDEX(상세표[주말·휴일 포함],$P2162)&amp;"")</f>
        <v/>
      </c>
      <c r="O2162">
        <f>IF($P2162="","",INDEX(상세표[월 넘김 포함],$P2162)&amp;"")</f>
        <v/>
      </c>
      <c r="P2162" s="4">
        <f>IFERROR(MATCH(2157,상세표[연속순번],0),"")</f>
        <v/>
      </c>
    </row>
    <row r="2163">
      <c r="A2163">
        <f>IF($P2163="","",INDEX(상세표[사번],$P2163)&amp;"")</f>
        <v/>
      </c>
      <c r="B2163">
        <f>IF($P2163="","",INDEX(상세표[성명],$P2163)&amp;"")</f>
        <v/>
      </c>
      <c r="C2163">
        <f>IF($P2163="","",INDEX(상세표[부서],$P2163)&amp;"")</f>
        <v/>
      </c>
      <c r="D2163">
        <f>IF($P2163="","",INDEX(상세표[직위],$P2163)&amp;"")</f>
        <v/>
      </c>
      <c r="E2163">
        <f>IF($P2163="","",IF(ISNUMBER(INDEX(상세표[시작],$P2163)),TEXT(INDEX(상세표[시작],$P2163),"yyyy-mm-dd hh:mm"),INDEX(상세표[시작],$P2163)&amp;""))</f>
        <v/>
      </c>
      <c r="F2163">
        <f>IF($P2163="","",IF(ISNUMBER(INDEX(상세표[블록종료],$P2163)),TEXT(INDEX(상세표[블록종료],$P2163),"yyyy-mm-dd hh:mm"),INDEX(상세표[블록종료],$P2163)&amp;""))</f>
        <v/>
      </c>
      <c r="G2163">
        <f>IF($P2163="","",CHOOSE(WEEKDAY(INDEX(상세표[시작],$P2163)),"일","월","화","수","목","금","토"))</f>
        <v/>
      </c>
      <c r="H2163">
        <f>IF($P2163="","",INDEX(상세표[연속 시간],$P2163))</f>
        <v/>
      </c>
      <c r="I2163">
        <f>IF($P2163="","",INDEX(상세표[기록 수],$P2163))</f>
        <v/>
      </c>
      <c r="J2163">
        <f>IF($P2163="","",INDEX(상세표[블록 06~07시],$P2163))</f>
        <v/>
      </c>
      <c r="K2163">
        <f>IF($P2163="","",INDEX(상세표[블록 07~18시],$P2163))</f>
        <v/>
      </c>
      <c r="L2163">
        <f>IF($P2163="","",INDEX(상세표[블록 18~22시],$P2163))</f>
        <v/>
      </c>
      <c r="M2163">
        <f>IF($P2163="","",INDEX(상세표[블록 22~06시],$P2163))</f>
        <v/>
      </c>
      <c r="N2163">
        <f>IF($P2163="","",INDEX(상세표[주말·휴일 포함],$P2163)&amp;"")</f>
        <v/>
      </c>
      <c r="O2163">
        <f>IF($P2163="","",INDEX(상세표[월 넘김 포함],$P2163)&amp;"")</f>
        <v/>
      </c>
      <c r="P2163" s="4">
        <f>IFERROR(MATCH(2158,상세표[연속순번],0),"")</f>
        <v/>
      </c>
    </row>
    <row r="2164">
      <c r="A2164">
        <f>IF($P2164="","",INDEX(상세표[사번],$P2164)&amp;"")</f>
        <v/>
      </c>
      <c r="B2164">
        <f>IF($P2164="","",INDEX(상세표[성명],$P2164)&amp;"")</f>
        <v/>
      </c>
      <c r="C2164">
        <f>IF($P2164="","",INDEX(상세표[부서],$P2164)&amp;"")</f>
        <v/>
      </c>
      <c r="D2164">
        <f>IF($P2164="","",INDEX(상세표[직위],$P2164)&amp;"")</f>
        <v/>
      </c>
      <c r="E2164">
        <f>IF($P2164="","",IF(ISNUMBER(INDEX(상세표[시작],$P2164)),TEXT(INDEX(상세표[시작],$P2164),"yyyy-mm-dd hh:mm"),INDEX(상세표[시작],$P2164)&amp;""))</f>
        <v/>
      </c>
      <c r="F2164">
        <f>IF($P2164="","",IF(ISNUMBER(INDEX(상세표[블록종료],$P2164)),TEXT(INDEX(상세표[블록종료],$P2164),"yyyy-mm-dd hh:mm"),INDEX(상세표[블록종료],$P2164)&amp;""))</f>
        <v/>
      </c>
      <c r="G2164">
        <f>IF($P2164="","",CHOOSE(WEEKDAY(INDEX(상세표[시작],$P2164)),"일","월","화","수","목","금","토"))</f>
        <v/>
      </c>
      <c r="H2164">
        <f>IF($P2164="","",INDEX(상세표[연속 시간],$P2164))</f>
        <v/>
      </c>
      <c r="I2164">
        <f>IF($P2164="","",INDEX(상세표[기록 수],$P2164))</f>
        <v/>
      </c>
      <c r="J2164">
        <f>IF($P2164="","",INDEX(상세표[블록 06~07시],$P2164))</f>
        <v/>
      </c>
      <c r="K2164">
        <f>IF($P2164="","",INDEX(상세표[블록 07~18시],$P2164))</f>
        <v/>
      </c>
      <c r="L2164">
        <f>IF($P2164="","",INDEX(상세표[블록 18~22시],$P2164))</f>
        <v/>
      </c>
      <c r="M2164">
        <f>IF($P2164="","",INDEX(상세표[블록 22~06시],$P2164))</f>
        <v/>
      </c>
      <c r="N2164">
        <f>IF($P2164="","",INDEX(상세표[주말·휴일 포함],$P2164)&amp;"")</f>
        <v/>
      </c>
      <c r="O2164">
        <f>IF($P2164="","",INDEX(상세표[월 넘김 포함],$P2164)&amp;"")</f>
        <v/>
      </c>
      <c r="P2164" s="4">
        <f>IFERROR(MATCH(2159,상세표[연속순번],0),"")</f>
        <v/>
      </c>
    </row>
    <row r="2165">
      <c r="A2165">
        <f>IF($P2165="","",INDEX(상세표[사번],$P2165)&amp;"")</f>
        <v/>
      </c>
      <c r="B2165">
        <f>IF($P2165="","",INDEX(상세표[성명],$P2165)&amp;"")</f>
        <v/>
      </c>
      <c r="C2165">
        <f>IF($P2165="","",INDEX(상세표[부서],$P2165)&amp;"")</f>
        <v/>
      </c>
      <c r="D2165">
        <f>IF($P2165="","",INDEX(상세표[직위],$P2165)&amp;"")</f>
        <v/>
      </c>
      <c r="E2165">
        <f>IF($P2165="","",IF(ISNUMBER(INDEX(상세표[시작],$P2165)),TEXT(INDEX(상세표[시작],$P2165),"yyyy-mm-dd hh:mm"),INDEX(상세표[시작],$P2165)&amp;""))</f>
        <v/>
      </c>
      <c r="F2165">
        <f>IF($P2165="","",IF(ISNUMBER(INDEX(상세표[블록종료],$P2165)),TEXT(INDEX(상세표[블록종료],$P2165),"yyyy-mm-dd hh:mm"),INDEX(상세표[블록종료],$P2165)&amp;""))</f>
        <v/>
      </c>
      <c r="G2165">
        <f>IF($P2165="","",CHOOSE(WEEKDAY(INDEX(상세표[시작],$P2165)),"일","월","화","수","목","금","토"))</f>
        <v/>
      </c>
      <c r="H2165">
        <f>IF($P2165="","",INDEX(상세표[연속 시간],$P2165))</f>
        <v/>
      </c>
      <c r="I2165">
        <f>IF($P2165="","",INDEX(상세표[기록 수],$P2165))</f>
        <v/>
      </c>
      <c r="J2165">
        <f>IF($P2165="","",INDEX(상세표[블록 06~07시],$P2165))</f>
        <v/>
      </c>
      <c r="K2165">
        <f>IF($P2165="","",INDEX(상세표[블록 07~18시],$P2165))</f>
        <v/>
      </c>
      <c r="L2165">
        <f>IF($P2165="","",INDEX(상세표[블록 18~22시],$P2165))</f>
        <v/>
      </c>
      <c r="M2165">
        <f>IF($P2165="","",INDEX(상세표[블록 22~06시],$P2165))</f>
        <v/>
      </c>
      <c r="N2165">
        <f>IF($P2165="","",INDEX(상세표[주말·휴일 포함],$P2165)&amp;"")</f>
        <v/>
      </c>
      <c r="O2165">
        <f>IF($P2165="","",INDEX(상세표[월 넘김 포함],$P2165)&amp;"")</f>
        <v/>
      </c>
      <c r="P2165" s="4">
        <f>IFERROR(MATCH(2160,상세표[연속순번],0),"")</f>
        <v/>
      </c>
    </row>
    <row r="2166">
      <c r="A2166">
        <f>IF($P2166="","",INDEX(상세표[사번],$P2166)&amp;"")</f>
        <v/>
      </c>
      <c r="B2166">
        <f>IF($P2166="","",INDEX(상세표[성명],$P2166)&amp;"")</f>
        <v/>
      </c>
      <c r="C2166">
        <f>IF($P2166="","",INDEX(상세표[부서],$P2166)&amp;"")</f>
        <v/>
      </c>
      <c r="D2166">
        <f>IF($P2166="","",INDEX(상세표[직위],$P2166)&amp;"")</f>
        <v/>
      </c>
      <c r="E2166">
        <f>IF($P2166="","",IF(ISNUMBER(INDEX(상세표[시작],$P2166)),TEXT(INDEX(상세표[시작],$P2166),"yyyy-mm-dd hh:mm"),INDEX(상세표[시작],$P2166)&amp;""))</f>
        <v/>
      </c>
      <c r="F2166">
        <f>IF($P2166="","",IF(ISNUMBER(INDEX(상세표[블록종료],$P2166)),TEXT(INDEX(상세표[블록종료],$P2166),"yyyy-mm-dd hh:mm"),INDEX(상세표[블록종료],$P2166)&amp;""))</f>
        <v/>
      </c>
      <c r="G2166">
        <f>IF($P2166="","",CHOOSE(WEEKDAY(INDEX(상세표[시작],$P2166)),"일","월","화","수","목","금","토"))</f>
        <v/>
      </c>
      <c r="H2166">
        <f>IF($P2166="","",INDEX(상세표[연속 시간],$P2166))</f>
        <v/>
      </c>
      <c r="I2166">
        <f>IF($P2166="","",INDEX(상세표[기록 수],$P2166))</f>
        <v/>
      </c>
      <c r="J2166">
        <f>IF($P2166="","",INDEX(상세표[블록 06~07시],$P2166))</f>
        <v/>
      </c>
      <c r="K2166">
        <f>IF($P2166="","",INDEX(상세표[블록 07~18시],$P2166))</f>
        <v/>
      </c>
      <c r="L2166">
        <f>IF($P2166="","",INDEX(상세표[블록 18~22시],$P2166))</f>
        <v/>
      </c>
      <c r="M2166">
        <f>IF($P2166="","",INDEX(상세표[블록 22~06시],$P2166))</f>
        <v/>
      </c>
      <c r="N2166">
        <f>IF($P2166="","",INDEX(상세표[주말·휴일 포함],$P2166)&amp;"")</f>
        <v/>
      </c>
      <c r="O2166">
        <f>IF($P2166="","",INDEX(상세표[월 넘김 포함],$P2166)&amp;"")</f>
        <v/>
      </c>
      <c r="P2166" s="4">
        <f>IFERROR(MATCH(2161,상세표[연속순번],0),"")</f>
        <v/>
      </c>
    </row>
    <row r="2167">
      <c r="A2167">
        <f>IF($P2167="","",INDEX(상세표[사번],$P2167)&amp;"")</f>
        <v/>
      </c>
      <c r="B2167">
        <f>IF($P2167="","",INDEX(상세표[성명],$P2167)&amp;"")</f>
        <v/>
      </c>
      <c r="C2167">
        <f>IF($P2167="","",INDEX(상세표[부서],$P2167)&amp;"")</f>
        <v/>
      </c>
      <c r="D2167">
        <f>IF($P2167="","",INDEX(상세표[직위],$P2167)&amp;"")</f>
        <v/>
      </c>
      <c r="E2167">
        <f>IF($P2167="","",IF(ISNUMBER(INDEX(상세표[시작],$P2167)),TEXT(INDEX(상세표[시작],$P2167),"yyyy-mm-dd hh:mm"),INDEX(상세표[시작],$P2167)&amp;""))</f>
        <v/>
      </c>
      <c r="F2167">
        <f>IF($P2167="","",IF(ISNUMBER(INDEX(상세표[블록종료],$P2167)),TEXT(INDEX(상세표[블록종료],$P2167),"yyyy-mm-dd hh:mm"),INDEX(상세표[블록종료],$P2167)&amp;""))</f>
        <v/>
      </c>
      <c r="G2167">
        <f>IF($P2167="","",CHOOSE(WEEKDAY(INDEX(상세표[시작],$P2167)),"일","월","화","수","목","금","토"))</f>
        <v/>
      </c>
      <c r="H2167">
        <f>IF($P2167="","",INDEX(상세표[연속 시간],$P2167))</f>
        <v/>
      </c>
      <c r="I2167">
        <f>IF($P2167="","",INDEX(상세표[기록 수],$P2167))</f>
        <v/>
      </c>
      <c r="J2167">
        <f>IF($P2167="","",INDEX(상세표[블록 06~07시],$P2167))</f>
        <v/>
      </c>
      <c r="K2167">
        <f>IF($P2167="","",INDEX(상세표[블록 07~18시],$P2167))</f>
        <v/>
      </c>
      <c r="L2167">
        <f>IF($P2167="","",INDEX(상세표[블록 18~22시],$P2167))</f>
        <v/>
      </c>
      <c r="M2167">
        <f>IF($P2167="","",INDEX(상세표[블록 22~06시],$P2167))</f>
        <v/>
      </c>
      <c r="N2167">
        <f>IF($P2167="","",INDEX(상세표[주말·휴일 포함],$P2167)&amp;"")</f>
        <v/>
      </c>
      <c r="O2167">
        <f>IF($P2167="","",INDEX(상세표[월 넘김 포함],$P2167)&amp;"")</f>
        <v/>
      </c>
      <c r="P2167" s="4">
        <f>IFERROR(MATCH(2162,상세표[연속순번],0),"")</f>
        <v/>
      </c>
    </row>
    <row r="2168">
      <c r="A2168">
        <f>IF($P2168="","",INDEX(상세표[사번],$P2168)&amp;"")</f>
        <v/>
      </c>
      <c r="B2168">
        <f>IF($P2168="","",INDEX(상세표[성명],$P2168)&amp;"")</f>
        <v/>
      </c>
      <c r="C2168">
        <f>IF($P2168="","",INDEX(상세표[부서],$P2168)&amp;"")</f>
        <v/>
      </c>
      <c r="D2168">
        <f>IF($P2168="","",INDEX(상세표[직위],$P2168)&amp;"")</f>
        <v/>
      </c>
      <c r="E2168">
        <f>IF($P2168="","",IF(ISNUMBER(INDEX(상세표[시작],$P2168)),TEXT(INDEX(상세표[시작],$P2168),"yyyy-mm-dd hh:mm"),INDEX(상세표[시작],$P2168)&amp;""))</f>
        <v/>
      </c>
      <c r="F2168">
        <f>IF($P2168="","",IF(ISNUMBER(INDEX(상세표[블록종료],$P2168)),TEXT(INDEX(상세표[블록종료],$P2168),"yyyy-mm-dd hh:mm"),INDEX(상세표[블록종료],$P2168)&amp;""))</f>
        <v/>
      </c>
      <c r="G2168">
        <f>IF($P2168="","",CHOOSE(WEEKDAY(INDEX(상세표[시작],$P2168)),"일","월","화","수","목","금","토"))</f>
        <v/>
      </c>
      <c r="H2168">
        <f>IF($P2168="","",INDEX(상세표[연속 시간],$P2168))</f>
        <v/>
      </c>
      <c r="I2168">
        <f>IF($P2168="","",INDEX(상세표[기록 수],$P2168))</f>
        <v/>
      </c>
      <c r="J2168">
        <f>IF($P2168="","",INDEX(상세표[블록 06~07시],$P2168))</f>
        <v/>
      </c>
      <c r="K2168">
        <f>IF($P2168="","",INDEX(상세표[블록 07~18시],$P2168))</f>
        <v/>
      </c>
      <c r="L2168">
        <f>IF($P2168="","",INDEX(상세표[블록 18~22시],$P2168))</f>
        <v/>
      </c>
      <c r="M2168">
        <f>IF($P2168="","",INDEX(상세표[블록 22~06시],$P2168))</f>
        <v/>
      </c>
      <c r="N2168">
        <f>IF($P2168="","",INDEX(상세표[주말·휴일 포함],$P2168)&amp;"")</f>
        <v/>
      </c>
      <c r="O2168">
        <f>IF($P2168="","",INDEX(상세표[월 넘김 포함],$P2168)&amp;"")</f>
        <v/>
      </c>
      <c r="P2168" s="4">
        <f>IFERROR(MATCH(2163,상세표[연속순번],0),"")</f>
        <v/>
      </c>
    </row>
    <row r="2169">
      <c r="A2169">
        <f>IF($P2169="","",INDEX(상세표[사번],$P2169)&amp;"")</f>
        <v/>
      </c>
      <c r="B2169">
        <f>IF($P2169="","",INDEX(상세표[성명],$P2169)&amp;"")</f>
        <v/>
      </c>
      <c r="C2169">
        <f>IF($P2169="","",INDEX(상세표[부서],$P2169)&amp;"")</f>
        <v/>
      </c>
      <c r="D2169">
        <f>IF($P2169="","",INDEX(상세표[직위],$P2169)&amp;"")</f>
        <v/>
      </c>
      <c r="E2169">
        <f>IF($P2169="","",IF(ISNUMBER(INDEX(상세표[시작],$P2169)),TEXT(INDEX(상세표[시작],$P2169),"yyyy-mm-dd hh:mm"),INDEX(상세표[시작],$P2169)&amp;""))</f>
        <v/>
      </c>
      <c r="F2169">
        <f>IF($P2169="","",IF(ISNUMBER(INDEX(상세표[블록종료],$P2169)),TEXT(INDEX(상세표[블록종료],$P2169),"yyyy-mm-dd hh:mm"),INDEX(상세표[블록종료],$P2169)&amp;""))</f>
        <v/>
      </c>
      <c r="G2169">
        <f>IF($P2169="","",CHOOSE(WEEKDAY(INDEX(상세표[시작],$P2169)),"일","월","화","수","목","금","토"))</f>
        <v/>
      </c>
      <c r="H2169">
        <f>IF($P2169="","",INDEX(상세표[연속 시간],$P2169))</f>
        <v/>
      </c>
      <c r="I2169">
        <f>IF($P2169="","",INDEX(상세표[기록 수],$P2169))</f>
        <v/>
      </c>
      <c r="J2169">
        <f>IF($P2169="","",INDEX(상세표[블록 06~07시],$P2169))</f>
        <v/>
      </c>
      <c r="K2169">
        <f>IF($P2169="","",INDEX(상세표[블록 07~18시],$P2169))</f>
        <v/>
      </c>
      <c r="L2169">
        <f>IF($P2169="","",INDEX(상세표[블록 18~22시],$P2169))</f>
        <v/>
      </c>
      <c r="M2169">
        <f>IF($P2169="","",INDEX(상세표[블록 22~06시],$P2169))</f>
        <v/>
      </c>
      <c r="N2169">
        <f>IF($P2169="","",INDEX(상세표[주말·휴일 포함],$P2169)&amp;"")</f>
        <v/>
      </c>
      <c r="O2169">
        <f>IF($P2169="","",INDEX(상세표[월 넘김 포함],$P2169)&amp;"")</f>
        <v/>
      </c>
      <c r="P2169" s="4">
        <f>IFERROR(MATCH(2164,상세표[연속순번],0),"")</f>
        <v/>
      </c>
    </row>
    <row r="2170">
      <c r="A2170">
        <f>IF($P2170="","",INDEX(상세표[사번],$P2170)&amp;"")</f>
        <v/>
      </c>
      <c r="B2170">
        <f>IF($P2170="","",INDEX(상세표[성명],$P2170)&amp;"")</f>
        <v/>
      </c>
      <c r="C2170">
        <f>IF($P2170="","",INDEX(상세표[부서],$P2170)&amp;"")</f>
        <v/>
      </c>
      <c r="D2170">
        <f>IF($P2170="","",INDEX(상세표[직위],$P2170)&amp;"")</f>
        <v/>
      </c>
      <c r="E2170">
        <f>IF($P2170="","",IF(ISNUMBER(INDEX(상세표[시작],$P2170)),TEXT(INDEX(상세표[시작],$P2170),"yyyy-mm-dd hh:mm"),INDEX(상세표[시작],$P2170)&amp;""))</f>
        <v/>
      </c>
      <c r="F2170">
        <f>IF($P2170="","",IF(ISNUMBER(INDEX(상세표[블록종료],$P2170)),TEXT(INDEX(상세표[블록종료],$P2170),"yyyy-mm-dd hh:mm"),INDEX(상세표[블록종료],$P2170)&amp;""))</f>
        <v/>
      </c>
      <c r="G2170">
        <f>IF($P2170="","",CHOOSE(WEEKDAY(INDEX(상세표[시작],$P2170)),"일","월","화","수","목","금","토"))</f>
        <v/>
      </c>
      <c r="H2170">
        <f>IF($P2170="","",INDEX(상세표[연속 시간],$P2170))</f>
        <v/>
      </c>
      <c r="I2170">
        <f>IF($P2170="","",INDEX(상세표[기록 수],$P2170))</f>
        <v/>
      </c>
      <c r="J2170">
        <f>IF($P2170="","",INDEX(상세표[블록 06~07시],$P2170))</f>
        <v/>
      </c>
      <c r="K2170">
        <f>IF($P2170="","",INDEX(상세표[블록 07~18시],$P2170))</f>
        <v/>
      </c>
      <c r="L2170">
        <f>IF($P2170="","",INDEX(상세표[블록 18~22시],$P2170))</f>
        <v/>
      </c>
      <c r="M2170">
        <f>IF($P2170="","",INDEX(상세표[블록 22~06시],$P2170))</f>
        <v/>
      </c>
      <c r="N2170">
        <f>IF($P2170="","",INDEX(상세표[주말·휴일 포함],$P2170)&amp;"")</f>
        <v/>
      </c>
      <c r="O2170">
        <f>IF($P2170="","",INDEX(상세표[월 넘김 포함],$P2170)&amp;"")</f>
        <v/>
      </c>
      <c r="P2170" s="4">
        <f>IFERROR(MATCH(2165,상세표[연속순번],0),"")</f>
        <v/>
      </c>
    </row>
    <row r="2171">
      <c r="A2171">
        <f>IF($P2171="","",INDEX(상세표[사번],$P2171)&amp;"")</f>
        <v/>
      </c>
      <c r="B2171">
        <f>IF($P2171="","",INDEX(상세표[성명],$P2171)&amp;"")</f>
        <v/>
      </c>
      <c r="C2171">
        <f>IF($P2171="","",INDEX(상세표[부서],$P2171)&amp;"")</f>
        <v/>
      </c>
      <c r="D2171">
        <f>IF($P2171="","",INDEX(상세표[직위],$P2171)&amp;"")</f>
        <v/>
      </c>
      <c r="E2171">
        <f>IF($P2171="","",IF(ISNUMBER(INDEX(상세표[시작],$P2171)),TEXT(INDEX(상세표[시작],$P2171),"yyyy-mm-dd hh:mm"),INDEX(상세표[시작],$P2171)&amp;""))</f>
        <v/>
      </c>
      <c r="F2171">
        <f>IF($P2171="","",IF(ISNUMBER(INDEX(상세표[블록종료],$P2171)),TEXT(INDEX(상세표[블록종료],$P2171),"yyyy-mm-dd hh:mm"),INDEX(상세표[블록종료],$P2171)&amp;""))</f>
        <v/>
      </c>
      <c r="G2171">
        <f>IF($P2171="","",CHOOSE(WEEKDAY(INDEX(상세표[시작],$P2171)),"일","월","화","수","목","금","토"))</f>
        <v/>
      </c>
      <c r="H2171">
        <f>IF($P2171="","",INDEX(상세표[연속 시간],$P2171))</f>
        <v/>
      </c>
      <c r="I2171">
        <f>IF($P2171="","",INDEX(상세표[기록 수],$P2171))</f>
        <v/>
      </c>
      <c r="J2171">
        <f>IF($P2171="","",INDEX(상세표[블록 06~07시],$P2171))</f>
        <v/>
      </c>
      <c r="K2171">
        <f>IF($P2171="","",INDEX(상세표[블록 07~18시],$P2171))</f>
        <v/>
      </c>
      <c r="L2171">
        <f>IF($P2171="","",INDEX(상세표[블록 18~22시],$P2171))</f>
        <v/>
      </c>
      <c r="M2171">
        <f>IF($P2171="","",INDEX(상세표[블록 22~06시],$P2171))</f>
        <v/>
      </c>
      <c r="N2171">
        <f>IF($P2171="","",INDEX(상세표[주말·휴일 포함],$P2171)&amp;"")</f>
        <v/>
      </c>
      <c r="O2171">
        <f>IF($P2171="","",INDEX(상세표[월 넘김 포함],$P2171)&amp;"")</f>
        <v/>
      </c>
      <c r="P2171" s="4">
        <f>IFERROR(MATCH(2166,상세표[연속순번],0),"")</f>
        <v/>
      </c>
    </row>
    <row r="2172">
      <c r="A2172">
        <f>IF($P2172="","",INDEX(상세표[사번],$P2172)&amp;"")</f>
        <v/>
      </c>
      <c r="B2172">
        <f>IF($P2172="","",INDEX(상세표[성명],$P2172)&amp;"")</f>
        <v/>
      </c>
      <c r="C2172">
        <f>IF($P2172="","",INDEX(상세표[부서],$P2172)&amp;"")</f>
        <v/>
      </c>
      <c r="D2172">
        <f>IF($P2172="","",INDEX(상세표[직위],$P2172)&amp;"")</f>
        <v/>
      </c>
      <c r="E2172">
        <f>IF($P2172="","",IF(ISNUMBER(INDEX(상세표[시작],$P2172)),TEXT(INDEX(상세표[시작],$P2172),"yyyy-mm-dd hh:mm"),INDEX(상세표[시작],$P2172)&amp;""))</f>
        <v/>
      </c>
      <c r="F2172">
        <f>IF($P2172="","",IF(ISNUMBER(INDEX(상세표[블록종료],$P2172)),TEXT(INDEX(상세표[블록종료],$P2172),"yyyy-mm-dd hh:mm"),INDEX(상세표[블록종료],$P2172)&amp;""))</f>
        <v/>
      </c>
      <c r="G2172">
        <f>IF($P2172="","",CHOOSE(WEEKDAY(INDEX(상세표[시작],$P2172)),"일","월","화","수","목","금","토"))</f>
        <v/>
      </c>
      <c r="H2172">
        <f>IF($P2172="","",INDEX(상세표[연속 시간],$P2172))</f>
        <v/>
      </c>
      <c r="I2172">
        <f>IF($P2172="","",INDEX(상세표[기록 수],$P2172))</f>
        <v/>
      </c>
      <c r="J2172">
        <f>IF($P2172="","",INDEX(상세표[블록 06~07시],$P2172))</f>
        <v/>
      </c>
      <c r="K2172">
        <f>IF($P2172="","",INDEX(상세표[블록 07~18시],$P2172))</f>
        <v/>
      </c>
      <c r="L2172">
        <f>IF($P2172="","",INDEX(상세표[블록 18~22시],$P2172))</f>
        <v/>
      </c>
      <c r="M2172">
        <f>IF($P2172="","",INDEX(상세표[블록 22~06시],$P2172))</f>
        <v/>
      </c>
      <c r="N2172">
        <f>IF($P2172="","",INDEX(상세표[주말·휴일 포함],$P2172)&amp;"")</f>
        <v/>
      </c>
      <c r="O2172">
        <f>IF($P2172="","",INDEX(상세표[월 넘김 포함],$P2172)&amp;"")</f>
        <v/>
      </c>
      <c r="P2172" s="4">
        <f>IFERROR(MATCH(2167,상세표[연속순번],0),"")</f>
        <v/>
      </c>
    </row>
    <row r="2173">
      <c r="A2173">
        <f>IF($P2173="","",INDEX(상세표[사번],$P2173)&amp;"")</f>
        <v/>
      </c>
      <c r="B2173">
        <f>IF($P2173="","",INDEX(상세표[성명],$P2173)&amp;"")</f>
        <v/>
      </c>
      <c r="C2173">
        <f>IF($P2173="","",INDEX(상세표[부서],$P2173)&amp;"")</f>
        <v/>
      </c>
      <c r="D2173">
        <f>IF($P2173="","",INDEX(상세표[직위],$P2173)&amp;"")</f>
        <v/>
      </c>
      <c r="E2173">
        <f>IF($P2173="","",IF(ISNUMBER(INDEX(상세표[시작],$P2173)),TEXT(INDEX(상세표[시작],$P2173),"yyyy-mm-dd hh:mm"),INDEX(상세표[시작],$P2173)&amp;""))</f>
        <v/>
      </c>
      <c r="F2173">
        <f>IF($P2173="","",IF(ISNUMBER(INDEX(상세표[블록종료],$P2173)),TEXT(INDEX(상세표[블록종료],$P2173),"yyyy-mm-dd hh:mm"),INDEX(상세표[블록종료],$P2173)&amp;""))</f>
        <v/>
      </c>
      <c r="G2173">
        <f>IF($P2173="","",CHOOSE(WEEKDAY(INDEX(상세표[시작],$P2173)),"일","월","화","수","목","금","토"))</f>
        <v/>
      </c>
      <c r="H2173">
        <f>IF($P2173="","",INDEX(상세표[연속 시간],$P2173))</f>
        <v/>
      </c>
      <c r="I2173">
        <f>IF($P2173="","",INDEX(상세표[기록 수],$P2173))</f>
        <v/>
      </c>
      <c r="J2173">
        <f>IF($P2173="","",INDEX(상세표[블록 06~07시],$P2173))</f>
        <v/>
      </c>
      <c r="K2173">
        <f>IF($P2173="","",INDEX(상세표[블록 07~18시],$P2173))</f>
        <v/>
      </c>
      <c r="L2173">
        <f>IF($P2173="","",INDEX(상세표[블록 18~22시],$P2173))</f>
        <v/>
      </c>
      <c r="M2173">
        <f>IF($P2173="","",INDEX(상세표[블록 22~06시],$P2173))</f>
        <v/>
      </c>
      <c r="N2173">
        <f>IF($P2173="","",INDEX(상세표[주말·휴일 포함],$P2173)&amp;"")</f>
        <v/>
      </c>
      <c r="O2173">
        <f>IF($P2173="","",INDEX(상세표[월 넘김 포함],$P2173)&amp;"")</f>
        <v/>
      </c>
      <c r="P2173" s="4">
        <f>IFERROR(MATCH(2168,상세표[연속순번],0),"")</f>
        <v/>
      </c>
    </row>
    <row r="2174">
      <c r="A2174">
        <f>IF($P2174="","",INDEX(상세표[사번],$P2174)&amp;"")</f>
        <v/>
      </c>
      <c r="B2174">
        <f>IF($P2174="","",INDEX(상세표[성명],$P2174)&amp;"")</f>
        <v/>
      </c>
      <c r="C2174">
        <f>IF($P2174="","",INDEX(상세표[부서],$P2174)&amp;"")</f>
        <v/>
      </c>
      <c r="D2174">
        <f>IF($P2174="","",INDEX(상세표[직위],$P2174)&amp;"")</f>
        <v/>
      </c>
      <c r="E2174">
        <f>IF($P2174="","",IF(ISNUMBER(INDEX(상세표[시작],$P2174)),TEXT(INDEX(상세표[시작],$P2174),"yyyy-mm-dd hh:mm"),INDEX(상세표[시작],$P2174)&amp;""))</f>
        <v/>
      </c>
      <c r="F2174">
        <f>IF($P2174="","",IF(ISNUMBER(INDEX(상세표[블록종료],$P2174)),TEXT(INDEX(상세표[블록종료],$P2174),"yyyy-mm-dd hh:mm"),INDEX(상세표[블록종료],$P2174)&amp;""))</f>
        <v/>
      </c>
      <c r="G2174">
        <f>IF($P2174="","",CHOOSE(WEEKDAY(INDEX(상세표[시작],$P2174)),"일","월","화","수","목","금","토"))</f>
        <v/>
      </c>
      <c r="H2174">
        <f>IF($P2174="","",INDEX(상세표[연속 시간],$P2174))</f>
        <v/>
      </c>
      <c r="I2174">
        <f>IF($P2174="","",INDEX(상세표[기록 수],$P2174))</f>
        <v/>
      </c>
      <c r="J2174">
        <f>IF($P2174="","",INDEX(상세표[블록 06~07시],$P2174))</f>
        <v/>
      </c>
      <c r="K2174">
        <f>IF($P2174="","",INDEX(상세표[블록 07~18시],$P2174))</f>
        <v/>
      </c>
      <c r="L2174">
        <f>IF($P2174="","",INDEX(상세표[블록 18~22시],$P2174))</f>
        <v/>
      </c>
      <c r="M2174">
        <f>IF($P2174="","",INDEX(상세표[블록 22~06시],$P2174))</f>
        <v/>
      </c>
      <c r="N2174">
        <f>IF($P2174="","",INDEX(상세표[주말·휴일 포함],$P2174)&amp;"")</f>
        <v/>
      </c>
      <c r="O2174">
        <f>IF($P2174="","",INDEX(상세표[월 넘김 포함],$P2174)&amp;"")</f>
        <v/>
      </c>
      <c r="P2174" s="4">
        <f>IFERROR(MATCH(2169,상세표[연속순번],0),"")</f>
        <v/>
      </c>
    </row>
    <row r="2175">
      <c r="A2175">
        <f>IF($P2175="","",INDEX(상세표[사번],$P2175)&amp;"")</f>
        <v/>
      </c>
      <c r="B2175">
        <f>IF($P2175="","",INDEX(상세표[성명],$P2175)&amp;"")</f>
        <v/>
      </c>
      <c r="C2175">
        <f>IF($P2175="","",INDEX(상세표[부서],$P2175)&amp;"")</f>
        <v/>
      </c>
      <c r="D2175">
        <f>IF($P2175="","",INDEX(상세표[직위],$P2175)&amp;"")</f>
        <v/>
      </c>
      <c r="E2175">
        <f>IF($P2175="","",IF(ISNUMBER(INDEX(상세표[시작],$P2175)),TEXT(INDEX(상세표[시작],$P2175),"yyyy-mm-dd hh:mm"),INDEX(상세표[시작],$P2175)&amp;""))</f>
        <v/>
      </c>
      <c r="F2175">
        <f>IF($P2175="","",IF(ISNUMBER(INDEX(상세표[블록종료],$P2175)),TEXT(INDEX(상세표[블록종료],$P2175),"yyyy-mm-dd hh:mm"),INDEX(상세표[블록종료],$P2175)&amp;""))</f>
        <v/>
      </c>
      <c r="G2175">
        <f>IF($P2175="","",CHOOSE(WEEKDAY(INDEX(상세표[시작],$P2175)),"일","월","화","수","목","금","토"))</f>
        <v/>
      </c>
      <c r="H2175">
        <f>IF($P2175="","",INDEX(상세표[연속 시간],$P2175))</f>
        <v/>
      </c>
      <c r="I2175">
        <f>IF($P2175="","",INDEX(상세표[기록 수],$P2175))</f>
        <v/>
      </c>
      <c r="J2175">
        <f>IF($P2175="","",INDEX(상세표[블록 06~07시],$P2175))</f>
        <v/>
      </c>
      <c r="K2175">
        <f>IF($P2175="","",INDEX(상세표[블록 07~18시],$P2175))</f>
        <v/>
      </c>
      <c r="L2175">
        <f>IF($P2175="","",INDEX(상세표[블록 18~22시],$P2175))</f>
        <v/>
      </c>
      <c r="M2175">
        <f>IF($P2175="","",INDEX(상세표[블록 22~06시],$P2175))</f>
        <v/>
      </c>
      <c r="N2175">
        <f>IF($P2175="","",INDEX(상세표[주말·휴일 포함],$P2175)&amp;"")</f>
        <v/>
      </c>
      <c r="O2175">
        <f>IF($P2175="","",INDEX(상세표[월 넘김 포함],$P2175)&amp;"")</f>
        <v/>
      </c>
      <c r="P2175" s="4">
        <f>IFERROR(MATCH(2170,상세표[연속순번],0),"")</f>
        <v/>
      </c>
    </row>
    <row r="2176">
      <c r="A2176">
        <f>IF($P2176="","",INDEX(상세표[사번],$P2176)&amp;"")</f>
        <v/>
      </c>
      <c r="B2176">
        <f>IF($P2176="","",INDEX(상세표[성명],$P2176)&amp;"")</f>
        <v/>
      </c>
      <c r="C2176">
        <f>IF($P2176="","",INDEX(상세표[부서],$P2176)&amp;"")</f>
        <v/>
      </c>
      <c r="D2176">
        <f>IF($P2176="","",INDEX(상세표[직위],$P2176)&amp;"")</f>
        <v/>
      </c>
      <c r="E2176">
        <f>IF($P2176="","",IF(ISNUMBER(INDEX(상세표[시작],$P2176)),TEXT(INDEX(상세표[시작],$P2176),"yyyy-mm-dd hh:mm"),INDEX(상세표[시작],$P2176)&amp;""))</f>
        <v/>
      </c>
      <c r="F2176">
        <f>IF($P2176="","",IF(ISNUMBER(INDEX(상세표[블록종료],$P2176)),TEXT(INDEX(상세표[블록종료],$P2176),"yyyy-mm-dd hh:mm"),INDEX(상세표[블록종료],$P2176)&amp;""))</f>
        <v/>
      </c>
      <c r="G2176">
        <f>IF($P2176="","",CHOOSE(WEEKDAY(INDEX(상세표[시작],$P2176)),"일","월","화","수","목","금","토"))</f>
        <v/>
      </c>
      <c r="H2176">
        <f>IF($P2176="","",INDEX(상세표[연속 시간],$P2176))</f>
        <v/>
      </c>
      <c r="I2176">
        <f>IF($P2176="","",INDEX(상세표[기록 수],$P2176))</f>
        <v/>
      </c>
      <c r="J2176">
        <f>IF($P2176="","",INDEX(상세표[블록 06~07시],$P2176))</f>
        <v/>
      </c>
      <c r="K2176">
        <f>IF($P2176="","",INDEX(상세표[블록 07~18시],$P2176))</f>
        <v/>
      </c>
      <c r="L2176">
        <f>IF($P2176="","",INDEX(상세표[블록 18~22시],$P2176))</f>
        <v/>
      </c>
      <c r="M2176">
        <f>IF($P2176="","",INDEX(상세표[블록 22~06시],$P2176))</f>
        <v/>
      </c>
      <c r="N2176">
        <f>IF($P2176="","",INDEX(상세표[주말·휴일 포함],$P2176)&amp;"")</f>
        <v/>
      </c>
      <c r="O2176">
        <f>IF($P2176="","",INDEX(상세표[월 넘김 포함],$P2176)&amp;"")</f>
        <v/>
      </c>
      <c r="P2176" s="4">
        <f>IFERROR(MATCH(2171,상세표[연속순번],0),"")</f>
        <v/>
      </c>
    </row>
    <row r="2177">
      <c r="A2177">
        <f>IF($P2177="","",INDEX(상세표[사번],$P2177)&amp;"")</f>
        <v/>
      </c>
      <c r="B2177">
        <f>IF($P2177="","",INDEX(상세표[성명],$P2177)&amp;"")</f>
        <v/>
      </c>
      <c r="C2177">
        <f>IF($P2177="","",INDEX(상세표[부서],$P2177)&amp;"")</f>
        <v/>
      </c>
      <c r="D2177">
        <f>IF($P2177="","",INDEX(상세표[직위],$P2177)&amp;"")</f>
        <v/>
      </c>
      <c r="E2177">
        <f>IF($P2177="","",IF(ISNUMBER(INDEX(상세표[시작],$P2177)),TEXT(INDEX(상세표[시작],$P2177),"yyyy-mm-dd hh:mm"),INDEX(상세표[시작],$P2177)&amp;""))</f>
        <v/>
      </c>
      <c r="F2177">
        <f>IF($P2177="","",IF(ISNUMBER(INDEX(상세표[블록종료],$P2177)),TEXT(INDEX(상세표[블록종료],$P2177),"yyyy-mm-dd hh:mm"),INDEX(상세표[블록종료],$P2177)&amp;""))</f>
        <v/>
      </c>
      <c r="G2177">
        <f>IF($P2177="","",CHOOSE(WEEKDAY(INDEX(상세표[시작],$P2177)),"일","월","화","수","목","금","토"))</f>
        <v/>
      </c>
      <c r="H2177">
        <f>IF($P2177="","",INDEX(상세표[연속 시간],$P2177))</f>
        <v/>
      </c>
      <c r="I2177">
        <f>IF($P2177="","",INDEX(상세표[기록 수],$P2177))</f>
        <v/>
      </c>
      <c r="J2177">
        <f>IF($P2177="","",INDEX(상세표[블록 06~07시],$P2177))</f>
        <v/>
      </c>
      <c r="K2177">
        <f>IF($P2177="","",INDEX(상세표[블록 07~18시],$P2177))</f>
        <v/>
      </c>
      <c r="L2177">
        <f>IF($P2177="","",INDEX(상세표[블록 18~22시],$P2177))</f>
        <v/>
      </c>
      <c r="M2177">
        <f>IF($P2177="","",INDEX(상세표[블록 22~06시],$P2177))</f>
        <v/>
      </c>
      <c r="N2177">
        <f>IF($P2177="","",INDEX(상세표[주말·휴일 포함],$P2177)&amp;"")</f>
        <v/>
      </c>
      <c r="O2177">
        <f>IF($P2177="","",INDEX(상세표[월 넘김 포함],$P2177)&amp;"")</f>
        <v/>
      </c>
      <c r="P2177" s="4">
        <f>IFERROR(MATCH(2172,상세표[연속순번],0),"")</f>
        <v/>
      </c>
    </row>
    <row r="2178">
      <c r="A2178">
        <f>IF($P2178="","",INDEX(상세표[사번],$P2178)&amp;"")</f>
        <v/>
      </c>
      <c r="B2178">
        <f>IF($P2178="","",INDEX(상세표[성명],$P2178)&amp;"")</f>
        <v/>
      </c>
      <c r="C2178">
        <f>IF($P2178="","",INDEX(상세표[부서],$P2178)&amp;"")</f>
        <v/>
      </c>
      <c r="D2178">
        <f>IF($P2178="","",INDEX(상세표[직위],$P2178)&amp;"")</f>
        <v/>
      </c>
      <c r="E2178">
        <f>IF($P2178="","",IF(ISNUMBER(INDEX(상세표[시작],$P2178)),TEXT(INDEX(상세표[시작],$P2178),"yyyy-mm-dd hh:mm"),INDEX(상세표[시작],$P2178)&amp;""))</f>
        <v/>
      </c>
      <c r="F2178">
        <f>IF($P2178="","",IF(ISNUMBER(INDEX(상세표[블록종료],$P2178)),TEXT(INDEX(상세표[블록종료],$P2178),"yyyy-mm-dd hh:mm"),INDEX(상세표[블록종료],$P2178)&amp;""))</f>
        <v/>
      </c>
      <c r="G2178">
        <f>IF($P2178="","",CHOOSE(WEEKDAY(INDEX(상세표[시작],$P2178)),"일","월","화","수","목","금","토"))</f>
        <v/>
      </c>
      <c r="H2178">
        <f>IF($P2178="","",INDEX(상세표[연속 시간],$P2178))</f>
        <v/>
      </c>
      <c r="I2178">
        <f>IF($P2178="","",INDEX(상세표[기록 수],$P2178))</f>
        <v/>
      </c>
      <c r="J2178">
        <f>IF($P2178="","",INDEX(상세표[블록 06~07시],$P2178))</f>
        <v/>
      </c>
      <c r="K2178">
        <f>IF($P2178="","",INDEX(상세표[블록 07~18시],$P2178))</f>
        <v/>
      </c>
      <c r="L2178">
        <f>IF($P2178="","",INDEX(상세표[블록 18~22시],$P2178))</f>
        <v/>
      </c>
      <c r="M2178">
        <f>IF($P2178="","",INDEX(상세표[블록 22~06시],$P2178))</f>
        <v/>
      </c>
      <c r="N2178">
        <f>IF($P2178="","",INDEX(상세표[주말·휴일 포함],$P2178)&amp;"")</f>
        <v/>
      </c>
      <c r="O2178">
        <f>IF($P2178="","",INDEX(상세표[월 넘김 포함],$P2178)&amp;"")</f>
        <v/>
      </c>
      <c r="P2178" s="4">
        <f>IFERROR(MATCH(2173,상세표[연속순번],0),"")</f>
        <v/>
      </c>
    </row>
    <row r="2179">
      <c r="A2179">
        <f>IF($P2179="","",INDEX(상세표[사번],$P2179)&amp;"")</f>
        <v/>
      </c>
      <c r="B2179">
        <f>IF($P2179="","",INDEX(상세표[성명],$P2179)&amp;"")</f>
        <v/>
      </c>
      <c r="C2179">
        <f>IF($P2179="","",INDEX(상세표[부서],$P2179)&amp;"")</f>
        <v/>
      </c>
      <c r="D2179">
        <f>IF($P2179="","",INDEX(상세표[직위],$P2179)&amp;"")</f>
        <v/>
      </c>
      <c r="E2179">
        <f>IF($P2179="","",IF(ISNUMBER(INDEX(상세표[시작],$P2179)),TEXT(INDEX(상세표[시작],$P2179),"yyyy-mm-dd hh:mm"),INDEX(상세표[시작],$P2179)&amp;""))</f>
        <v/>
      </c>
      <c r="F2179">
        <f>IF($P2179="","",IF(ISNUMBER(INDEX(상세표[블록종료],$P2179)),TEXT(INDEX(상세표[블록종료],$P2179),"yyyy-mm-dd hh:mm"),INDEX(상세표[블록종료],$P2179)&amp;""))</f>
        <v/>
      </c>
      <c r="G2179">
        <f>IF($P2179="","",CHOOSE(WEEKDAY(INDEX(상세표[시작],$P2179)),"일","월","화","수","목","금","토"))</f>
        <v/>
      </c>
      <c r="H2179">
        <f>IF($P2179="","",INDEX(상세표[연속 시간],$P2179))</f>
        <v/>
      </c>
      <c r="I2179">
        <f>IF($P2179="","",INDEX(상세표[기록 수],$P2179))</f>
        <v/>
      </c>
      <c r="J2179">
        <f>IF($P2179="","",INDEX(상세표[블록 06~07시],$P2179))</f>
        <v/>
      </c>
      <c r="K2179">
        <f>IF($P2179="","",INDEX(상세표[블록 07~18시],$P2179))</f>
        <v/>
      </c>
      <c r="L2179">
        <f>IF($P2179="","",INDEX(상세표[블록 18~22시],$P2179))</f>
        <v/>
      </c>
      <c r="M2179">
        <f>IF($P2179="","",INDEX(상세표[블록 22~06시],$P2179))</f>
        <v/>
      </c>
      <c r="N2179">
        <f>IF($P2179="","",INDEX(상세표[주말·휴일 포함],$P2179)&amp;"")</f>
        <v/>
      </c>
      <c r="O2179">
        <f>IF($P2179="","",INDEX(상세표[월 넘김 포함],$P2179)&amp;"")</f>
        <v/>
      </c>
      <c r="P2179" s="4">
        <f>IFERROR(MATCH(2174,상세표[연속순번],0),"")</f>
        <v/>
      </c>
    </row>
    <row r="2180">
      <c r="A2180">
        <f>IF($P2180="","",INDEX(상세표[사번],$P2180)&amp;"")</f>
        <v/>
      </c>
      <c r="B2180">
        <f>IF($P2180="","",INDEX(상세표[성명],$P2180)&amp;"")</f>
        <v/>
      </c>
      <c r="C2180">
        <f>IF($P2180="","",INDEX(상세표[부서],$P2180)&amp;"")</f>
        <v/>
      </c>
      <c r="D2180">
        <f>IF($P2180="","",INDEX(상세표[직위],$P2180)&amp;"")</f>
        <v/>
      </c>
      <c r="E2180">
        <f>IF($P2180="","",IF(ISNUMBER(INDEX(상세표[시작],$P2180)),TEXT(INDEX(상세표[시작],$P2180),"yyyy-mm-dd hh:mm"),INDEX(상세표[시작],$P2180)&amp;""))</f>
        <v/>
      </c>
      <c r="F2180">
        <f>IF($P2180="","",IF(ISNUMBER(INDEX(상세표[블록종료],$P2180)),TEXT(INDEX(상세표[블록종료],$P2180),"yyyy-mm-dd hh:mm"),INDEX(상세표[블록종료],$P2180)&amp;""))</f>
        <v/>
      </c>
      <c r="G2180">
        <f>IF($P2180="","",CHOOSE(WEEKDAY(INDEX(상세표[시작],$P2180)),"일","월","화","수","목","금","토"))</f>
        <v/>
      </c>
      <c r="H2180">
        <f>IF($P2180="","",INDEX(상세표[연속 시간],$P2180))</f>
        <v/>
      </c>
      <c r="I2180">
        <f>IF($P2180="","",INDEX(상세표[기록 수],$P2180))</f>
        <v/>
      </c>
      <c r="J2180">
        <f>IF($P2180="","",INDEX(상세표[블록 06~07시],$P2180))</f>
        <v/>
      </c>
      <c r="K2180">
        <f>IF($P2180="","",INDEX(상세표[블록 07~18시],$P2180))</f>
        <v/>
      </c>
      <c r="L2180">
        <f>IF($P2180="","",INDEX(상세표[블록 18~22시],$P2180))</f>
        <v/>
      </c>
      <c r="M2180">
        <f>IF($P2180="","",INDEX(상세표[블록 22~06시],$P2180))</f>
        <v/>
      </c>
      <c r="N2180">
        <f>IF($P2180="","",INDEX(상세표[주말·휴일 포함],$P2180)&amp;"")</f>
        <v/>
      </c>
      <c r="O2180">
        <f>IF($P2180="","",INDEX(상세표[월 넘김 포함],$P2180)&amp;"")</f>
        <v/>
      </c>
      <c r="P2180" s="4">
        <f>IFERROR(MATCH(2175,상세표[연속순번],0),"")</f>
        <v/>
      </c>
    </row>
    <row r="2181">
      <c r="A2181">
        <f>IF($P2181="","",INDEX(상세표[사번],$P2181)&amp;"")</f>
        <v/>
      </c>
      <c r="B2181">
        <f>IF($P2181="","",INDEX(상세표[성명],$P2181)&amp;"")</f>
        <v/>
      </c>
      <c r="C2181">
        <f>IF($P2181="","",INDEX(상세표[부서],$P2181)&amp;"")</f>
        <v/>
      </c>
      <c r="D2181">
        <f>IF($P2181="","",INDEX(상세표[직위],$P2181)&amp;"")</f>
        <v/>
      </c>
      <c r="E2181">
        <f>IF($P2181="","",IF(ISNUMBER(INDEX(상세표[시작],$P2181)),TEXT(INDEX(상세표[시작],$P2181),"yyyy-mm-dd hh:mm"),INDEX(상세표[시작],$P2181)&amp;""))</f>
        <v/>
      </c>
      <c r="F2181">
        <f>IF($P2181="","",IF(ISNUMBER(INDEX(상세표[블록종료],$P2181)),TEXT(INDEX(상세표[블록종료],$P2181),"yyyy-mm-dd hh:mm"),INDEX(상세표[블록종료],$P2181)&amp;""))</f>
        <v/>
      </c>
      <c r="G2181">
        <f>IF($P2181="","",CHOOSE(WEEKDAY(INDEX(상세표[시작],$P2181)),"일","월","화","수","목","금","토"))</f>
        <v/>
      </c>
      <c r="H2181">
        <f>IF($P2181="","",INDEX(상세표[연속 시간],$P2181))</f>
        <v/>
      </c>
      <c r="I2181">
        <f>IF($P2181="","",INDEX(상세표[기록 수],$P2181))</f>
        <v/>
      </c>
      <c r="J2181">
        <f>IF($P2181="","",INDEX(상세표[블록 06~07시],$P2181))</f>
        <v/>
      </c>
      <c r="K2181">
        <f>IF($P2181="","",INDEX(상세표[블록 07~18시],$P2181))</f>
        <v/>
      </c>
      <c r="L2181">
        <f>IF($P2181="","",INDEX(상세표[블록 18~22시],$P2181))</f>
        <v/>
      </c>
      <c r="M2181">
        <f>IF($P2181="","",INDEX(상세표[블록 22~06시],$P2181))</f>
        <v/>
      </c>
      <c r="N2181">
        <f>IF($P2181="","",INDEX(상세표[주말·휴일 포함],$P2181)&amp;"")</f>
        <v/>
      </c>
      <c r="O2181">
        <f>IF($P2181="","",INDEX(상세표[월 넘김 포함],$P2181)&amp;"")</f>
        <v/>
      </c>
      <c r="P2181" s="4">
        <f>IFERROR(MATCH(2176,상세표[연속순번],0),"")</f>
        <v/>
      </c>
    </row>
    <row r="2182">
      <c r="A2182">
        <f>IF($P2182="","",INDEX(상세표[사번],$P2182)&amp;"")</f>
        <v/>
      </c>
      <c r="B2182">
        <f>IF($P2182="","",INDEX(상세표[성명],$P2182)&amp;"")</f>
        <v/>
      </c>
      <c r="C2182">
        <f>IF($P2182="","",INDEX(상세표[부서],$P2182)&amp;"")</f>
        <v/>
      </c>
      <c r="D2182">
        <f>IF($P2182="","",INDEX(상세표[직위],$P2182)&amp;"")</f>
        <v/>
      </c>
      <c r="E2182">
        <f>IF($P2182="","",IF(ISNUMBER(INDEX(상세표[시작],$P2182)),TEXT(INDEX(상세표[시작],$P2182),"yyyy-mm-dd hh:mm"),INDEX(상세표[시작],$P2182)&amp;""))</f>
        <v/>
      </c>
      <c r="F2182">
        <f>IF($P2182="","",IF(ISNUMBER(INDEX(상세표[블록종료],$P2182)),TEXT(INDEX(상세표[블록종료],$P2182),"yyyy-mm-dd hh:mm"),INDEX(상세표[블록종료],$P2182)&amp;""))</f>
        <v/>
      </c>
      <c r="G2182">
        <f>IF($P2182="","",CHOOSE(WEEKDAY(INDEX(상세표[시작],$P2182)),"일","월","화","수","목","금","토"))</f>
        <v/>
      </c>
      <c r="H2182">
        <f>IF($P2182="","",INDEX(상세표[연속 시간],$P2182))</f>
        <v/>
      </c>
      <c r="I2182">
        <f>IF($P2182="","",INDEX(상세표[기록 수],$P2182))</f>
        <v/>
      </c>
      <c r="J2182">
        <f>IF($P2182="","",INDEX(상세표[블록 06~07시],$P2182))</f>
        <v/>
      </c>
      <c r="K2182">
        <f>IF($P2182="","",INDEX(상세표[블록 07~18시],$P2182))</f>
        <v/>
      </c>
      <c r="L2182">
        <f>IF($P2182="","",INDEX(상세표[블록 18~22시],$P2182))</f>
        <v/>
      </c>
      <c r="M2182">
        <f>IF($P2182="","",INDEX(상세표[블록 22~06시],$P2182))</f>
        <v/>
      </c>
      <c r="N2182">
        <f>IF($P2182="","",INDEX(상세표[주말·휴일 포함],$P2182)&amp;"")</f>
        <v/>
      </c>
      <c r="O2182">
        <f>IF($P2182="","",INDEX(상세표[월 넘김 포함],$P2182)&amp;"")</f>
        <v/>
      </c>
      <c r="P2182" s="4">
        <f>IFERROR(MATCH(2177,상세표[연속순번],0),"")</f>
        <v/>
      </c>
    </row>
    <row r="2183">
      <c r="A2183">
        <f>IF($P2183="","",INDEX(상세표[사번],$P2183)&amp;"")</f>
        <v/>
      </c>
      <c r="B2183">
        <f>IF($P2183="","",INDEX(상세표[성명],$P2183)&amp;"")</f>
        <v/>
      </c>
      <c r="C2183">
        <f>IF($P2183="","",INDEX(상세표[부서],$P2183)&amp;"")</f>
        <v/>
      </c>
      <c r="D2183">
        <f>IF($P2183="","",INDEX(상세표[직위],$P2183)&amp;"")</f>
        <v/>
      </c>
      <c r="E2183">
        <f>IF($P2183="","",IF(ISNUMBER(INDEX(상세표[시작],$P2183)),TEXT(INDEX(상세표[시작],$P2183),"yyyy-mm-dd hh:mm"),INDEX(상세표[시작],$P2183)&amp;""))</f>
        <v/>
      </c>
      <c r="F2183">
        <f>IF($P2183="","",IF(ISNUMBER(INDEX(상세표[블록종료],$P2183)),TEXT(INDEX(상세표[블록종료],$P2183),"yyyy-mm-dd hh:mm"),INDEX(상세표[블록종료],$P2183)&amp;""))</f>
        <v/>
      </c>
      <c r="G2183">
        <f>IF($P2183="","",CHOOSE(WEEKDAY(INDEX(상세표[시작],$P2183)),"일","월","화","수","목","금","토"))</f>
        <v/>
      </c>
      <c r="H2183">
        <f>IF($P2183="","",INDEX(상세표[연속 시간],$P2183))</f>
        <v/>
      </c>
      <c r="I2183">
        <f>IF($P2183="","",INDEX(상세표[기록 수],$P2183))</f>
        <v/>
      </c>
      <c r="J2183">
        <f>IF($P2183="","",INDEX(상세표[블록 06~07시],$P2183))</f>
        <v/>
      </c>
      <c r="K2183">
        <f>IF($P2183="","",INDEX(상세표[블록 07~18시],$P2183))</f>
        <v/>
      </c>
      <c r="L2183">
        <f>IF($P2183="","",INDEX(상세표[블록 18~22시],$P2183))</f>
        <v/>
      </c>
      <c r="M2183">
        <f>IF($P2183="","",INDEX(상세표[블록 22~06시],$P2183))</f>
        <v/>
      </c>
      <c r="N2183">
        <f>IF($P2183="","",INDEX(상세표[주말·휴일 포함],$P2183)&amp;"")</f>
        <v/>
      </c>
      <c r="O2183">
        <f>IF($P2183="","",INDEX(상세표[월 넘김 포함],$P2183)&amp;"")</f>
        <v/>
      </c>
      <c r="P2183" s="4">
        <f>IFERROR(MATCH(2178,상세표[연속순번],0),"")</f>
        <v/>
      </c>
    </row>
    <row r="2184">
      <c r="A2184">
        <f>IF($P2184="","",INDEX(상세표[사번],$P2184)&amp;"")</f>
        <v/>
      </c>
      <c r="B2184">
        <f>IF($P2184="","",INDEX(상세표[성명],$P2184)&amp;"")</f>
        <v/>
      </c>
      <c r="C2184">
        <f>IF($P2184="","",INDEX(상세표[부서],$P2184)&amp;"")</f>
        <v/>
      </c>
      <c r="D2184">
        <f>IF($P2184="","",INDEX(상세표[직위],$P2184)&amp;"")</f>
        <v/>
      </c>
      <c r="E2184">
        <f>IF($P2184="","",IF(ISNUMBER(INDEX(상세표[시작],$P2184)),TEXT(INDEX(상세표[시작],$P2184),"yyyy-mm-dd hh:mm"),INDEX(상세표[시작],$P2184)&amp;""))</f>
        <v/>
      </c>
      <c r="F2184">
        <f>IF($P2184="","",IF(ISNUMBER(INDEX(상세표[블록종료],$P2184)),TEXT(INDEX(상세표[블록종료],$P2184),"yyyy-mm-dd hh:mm"),INDEX(상세표[블록종료],$P2184)&amp;""))</f>
        <v/>
      </c>
      <c r="G2184">
        <f>IF($P2184="","",CHOOSE(WEEKDAY(INDEX(상세표[시작],$P2184)),"일","월","화","수","목","금","토"))</f>
        <v/>
      </c>
      <c r="H2184">
        <f>IF($P2184="","",INDEX(상세표[연속 시간],$P2184))</f>
        <v/>
      </c>
      <c r="I2184">
        <f>IF($P2184="","",INDEX(상세표[기록 수],$P2184))</f>
        <v/>
      </c>
      <c r="J2184">
        <f>IF($P2184="","",INDEX(상세표[블록 06~07시],$P2184))</f>
        <v/>
      </c>
      <c r="K2184">
        <f>IF($P2184="","",INDEX(상세표[블록 07~18시],$P2184))</f>
        <v/>
      </c>
      <c r="L2184">
        <f>IF($P2184="","",INDEX(상세표[블록 18~22시],$P2184))</f>
        <v/>
      </c>
      <c r="M2184">
        <f>IF($P2184="","",INDEX(상세표[블록 22~06시],$P2184))</f>
        <v/>
      </c>
      <c r="N2184">
        <f>IF($P2184="","",INDEX(상세표[주말·휴일 포함],$P2184)&amp;"")</f>
        <v/>
      </c>
      <c r="O2184">
        <f>IF($P2184="","",INDEX(상세표[월 넘김 포함],$P2184)&amp;"")</f>
        <v/>
      </c>
      <c r="P2184" s="4">
        <f>IFERROR(MATCH(2179,상세표[연속순번],0),"")</f>
        <v/>
      </c>
    </row>
    <row r="2185">
      <c r="A2185">
        <f>IF($P2185="","",INDEX(상세표[사번],$P2185)&amp;"")</f>
        <v/>
      </c>
      <c r="B2185">
        <f>IF($P2185="","",INDEX(상세표[성명],$P2185)&amp;"")</f>
        <v/>
      </c>
      <c r="C2185">
        <f>IF($P2185="","",INDEX(상세표[부서],$P2185)&amp;"")</f>
        <v/>
      </c>
      <c r="D2185">
        <f>IF($P2185="","",INDEX(상세표[직위],$P2185)&amp;"")</f>
        <v/>
      </c>
      <c r="E2185">
        <f>IF($P2185="","",IF(ISNUMBER(INDEX(상세표[시작],$P2185)),TEXT(INDEX(상세표[시작],$P2185),"yyyy-mm-dd hh:mm"),INDEX(상세표[시작],$P2185)&amp;""))</f>
        <v/>
      </c>
      <c r="F2185">
        <f>IF($P2185="","",IF(ISNUMBER(INDEX(상세표[블록종료],$P2185)),TEXT(INDEX(상세표[블록종료],$P2185),"yyyy-mm-dd hh:mm"),INDEX(상세표[블록종료],$P2185)&amp;""))</f>
        <v/>
      </c>
      <c r="G2185">
        <f>IF($P2185="","",CHOOSE(WEEKDAY(INDEX(상세표[시작],$P2185)),"일","월","화","수","목","금","토"))</f>
        <v/>
      </c>
      <c r="H2185">
        <f>IF($P2185="","",INDEX(상세표[연속 시간],$P2185))</f>
        <v/>
      </c>
      <c r="I2185">
        <f>IF($P2185="","",INDEX(상세표[기록 수],$P2185))</f>
        <v/>
      </c>
      <c r="J2185">
        <f>IF($P2185="","",INDEX(상세표[블록 06~07시],$P2185))</f>
        <v/>
      </c>
      <c r="K2185">
        <f>IF($P2185="","",INDEX(상세표[블록 07~18시],$P2185))</f>
        <v/>
      </c>
      <c r="L2185">
        <f>IF($P2185="","",INDEX(상세표[블록 18~22시],$P2185))</f>
        <v/>
      </c>
      <c r="M2185">
        <f>IF($P2185="","",INDEX(상세표[블록 22~06시],$P2185))</f>
        <v/>
      </c>
      <c r="N2185">
        <f>IF($P2185="","",INDEX(상세표[주말·휴일 포함],$P2185)&amp;"")</f>
        <v/>
      </c>
      <c r="O2185">
        <f>IF($P2185="","",INDEX(상세표[월 넘김 포함],$P2185)&amp;"")</f>
        <v/>
      </c>
      <c r="P2185" s="4">
        <f>IFERROR(MATCH(2180,상세표[연속순번],0),"")</f>
        <v/>
      </c>
    </row>
    <row r="2186">
      <c r="A2186">
        <f>IF($P2186="","",INDEX(상세표[사번],$P2186)&amp;"")</f>
        <v/>
      </c>
      <c r="B2186">
        <f>IF($P2186="","",INDEX(상세표[성명],$P2186)&amp;"")</f>
        <v/>
      </c>
      <c r="C2186">
        <f>IF($P2186="","",INDEX(상세표[부서],$P2186)&amp;"")</f>
        <v/>
      </c>
      <c r="D2186">
        <f>IF($P2186="","",INDEX(상세표[직위],$P2186)&amp;"")</f>
        <v/>
      </c>
      <c r="E2186">
        <f>IF($P2186="","",IF(ISNUMBER(INDEX(상세표[시작],$P2186)),TEXT(INDEX(상세표[시작],$P2186),"yyyy-mm-dd hh:mm"),INDEX(상세표[시작],$P2186)&amp;""))</f>
        <v/>
      </c>
      <c r="F2186">
        <f>IF($P2186="","",IF(ISNUMBER(INDEX(상세표[블록종료],$P2186)),TEXT(INDEX(상세표[블록종료],$P2186),"yyyy-mm-dd hh:mm"),INDEX(상세표[블록종료],$P2186)&amp;""))</f>
        <v/>
      </c>
      <c r="G2186">
        <f>IF($P2186="","",CHOOSE(WEEKDAY(INDEX(상세표[시작],$P2186)),"일","월","화","수","목","금","토"))</f>
        <v/>
      </c>
      <c r="H2186">
        <f>IF($P2186="","",INDEX(상세표[연속 시간],$P2186))</f>
        <v/>
      </c>
      <c r="I2186">
        <f>IF($P2186="","",INDEX(상세표[기록 수],$P2186))</f>
        <v/>
      </c>
      <c r="J2186">
        <f>IF($P2186="","",INDEX(상세표[블록 06~07시],$P2186))</f>
        <v/>
      </c>
      <c r="K2186">
        <f>IF($P2186="","",INDEX(상세표[블록 07~18시],$P2186))</f>
        <v/>
      </c>
      <c r="L2186">
        <f>IF($P2186="","",INDEX(상세표[블록 18~22시],$P2186))</f>
        <v/>
      </c>
      <c r="M2186">
        <f>IF($P2186="","",INDEX(상세표[블록 22~06시],$P2186))</f>
        <v/>
      </c>
      <c r="N2186">
        <f>IF($P2186="","",INDEX(상세표[주말·휴일 포함],$P2186)&amp;"")</f>
        <v/>
      </c>
      <c r="O2186">
        <f>IF($P2186="","",INDEX(상세표[월 넘김 포함],$P2186)&amp;"")</f>
        <v/>
      </c>
      <c r="P2186" s="4">
        <f>IFERROR(MATCH(2181,상세표[연속순번],0),"")</f>
        <v/>
      </c>
    </row>
    <row r="2187">
      <c r="A2187">
        <f>IF($P2187="","",INDEX(상세표[사번],$P2187)&amp;"")</f>
        <v/>
      </c>
      <c r="B2187">
        <f>IF($P2187="","",INDEX(상세표[성명],$P2187)&amp;"")</f>
        <v/>
      </c>
      <c r="C2187">
        <f>IF($P2187="","",INDEX(상세표[부서],$P2187)&amp;"")</f>
        <v/>
      </c>
      <c r="D2187">
        <f>IF($P2187="","",INDEX(상세표[직위],$P2187)&amp;"")</f>
        <v/>
      </c>
      <c r="E2187">
        <f>IF($P2187="","",IF(ISNUMBER(INDEX(상세표[시작],$P2187)),TEXT(INDEX(상세표[시작],$P2187),"yyyy-mm-dd hh:mm"),INDEX(상세표[시작],$P2187)&amp;""))</f>
        <v/>
      </c>
      <c r="F2187">
        <f>IF($P2187="","",IF(ISNUMBER(INDEX(상세표[블록종료],$P2187)),TEXT(INDEX(상세표[블록종료],$P2187),"yyyy-mm-dd hh:mm"),INDEX(상세표[블록종료],$P2187)&amp;""))</f>
        <v/>
      </c>
      <c r="G2187">
        <f>IF($P2187="","",CHOOSE(WEEKDAY(INDEX(상세표[시작],$P2187)),"일","월","화","수","목","금","토"))</f>
        <v/>
      </c>
      <c r="H2187">
        <f>IF($P2187="","",INDEX(상세표[연속 시간],$P2187))</f>
        <v/>
      </c>
      <c r="I2187">
        <f>IF($P2187="","",INDEX(상세표[기록 수],$P2187))</f>
        <v/>
      </c>
      <c r="J2187">
        <f>IF($P2187="","",INDEX(상세표[블록 06~07시],$P2187))</f>
        <v/>
      </c>
      <c r="K2187">
        <f>IF($P2187="","",INDEX(상세표[블록 07~18시],$P2187))</f>
        <v/>
      </c>
      <c r="L2187">
        <f>IF($P2187="","",INDEX(상세표[블록 18~22시],$P2187))</f>
        <v/>
      </c>
      <c r="M2187">
        <f>IF($P2187="","",INDEX(상세표[블록 22~06시],$P2187))</f>
        <v/>
      </c>
      <c r="N2187">
        <f>IF($P2187="","",INDEX(상세표[주말·휴일 포함],$P2187)&amp;"")</f>
        <v/>
      </c>
      <c r="O2187">
        <f>IF($P2187="","",INDEX(상세표[월 넘김 포함],$P2187)&amp;"")</f>
        <v/>
      </c>
      <c r="P2187" s="4">
        <f>IFERROR(MATCH(2182,상세표[연속순번],0),"")</f>
        <v/>
      </c>
    </row>
    <row r="2188">
      <c r="A2188">
        <f>IF($P2188="","",INDEX(상세표[사번],$P2188)&amp;"")</f>
        <v/>
      </c>
      <c r="B2188">
        <f>IF($P2188="","",INDEX(상세표[성명],$P2188)&amp;"")</f>
        <v/>
      </c>
      <c r="C2188">
        <f>IF($P2188="","",INDEX(상세표[부서],$P2188)&amp;"")</f>
        <v/>
      </c>
      <c r="D2188">
        <f>IF($P2188="","",INDEX(상세표[직위],$P2188)&amp;"")</f>
        <v/>
      </c>
      <c r="E2188">
        <f>IF($P2188="","",IF(ISNUMBER(INDEX(상세표[시작],$P2188)),TEXT(INDEX(상세표[시작],$P2188),"yyyy-mm-dd hh:mm"),INDEX(상세표[시작],$P2188)&amp;""))</f>
        <v/>
      </c>
      <c r="F2188">
        <f>IF($P2188="","",IF(ISNUMBER(INDEX(상세표[블록종료],$P2188)),TEXT(INDEX(상세표[블록종료],$P2188),"yyyy-mm-dd hh:mm"),INDEX(상세표[블록종료],$P2188)&amp;""))</f>
        <v/>
      </c>
      <c r="G2188">
        <f>IF($P2188="","",CHOOSE(WEEKDAY(INDEX(상세표[시작],$P2188)),"일","월","화","수","목","금","토"))</f>
        <v/>
      </c>
      <c r="H2188">
        <f>IF($P2188="","",INDEX(상세표[연속 시간],$P2188))</f>
        <v/>
      </c>
      <c r="I2188">
        <f>IF($P2188="","",INDEX(상세표[기록 수],$P2188))</f>
        <v/>
      </c>
      <c r="J2188">
        <f>IF($P2188="","",INDEX(상세표[블록 06~07시],$P2188))</f>
        <v/>
      </c>
      <c r="K2188">
        <f>IF($P2188="","",INDEX(상세표[블록 07~18시],$P2188))</f>
        <v/>
      </c>
      <c r="L2188">
        <f>IF($P2188="","",INDEX(상세표[블록 18~22시],$P2188))</f>
        <v/>
      </c>
      <c r="M2188">
        <f>IF($P2188="","",INDEX(상세표[블록 22~06시],$P2188))</f>
        <v/>
      </c>
      <c r="N2188">
        <f>IF($P2188="","",INDEX(상세표[주말·휴일 포함],$P2188)&amp;"")</f>
        <v/>
      </c>
      <c r="O2188">
        <f>IF($P2188="","",INDEX(상세표[월 넘김 포함],$P2188)&amp;"")</f>
        <v/>
      </c>
      <c r="P2188" s="4">
        <f>IFERROR(MATCH(2183,상세표[연속순번],0),"")</f>
        <v/>
      </c>
    </row>
    <row r="2189">
      <c r="A2189">
        <f>IF($P2189="","",INDEX(상세표[사번],$P2189)&amp;"")</f>
        <v/>
      </c>
      <c r="B2189">
        <f>IF($P2189="","",INDEX(상세표[성명],$P2189)&amp;"")</f>
        <v/>
      </c>
      <c r="C2189">
        <f>IF($P2189="","",INDEX(상세표[부서],$P2189)&amp;"")</f>
        <v/>
      </c>
      <c r="D2189">
        <f>IF($P2189="","",INDEX(상세표[직위],$P2189)&amp;"")</f>
        <v/>
      </c>
      <c r="E2189">
        <f>IF($P2189="","",IF(ISNUMBER(INDEX(상세표[시작],$P2189)),TEXT(INDEX(상세표[시작],$P2189),"yyyy-mm-dd hh:mm"),INDEX(상세표[시작],$P2189)&amp;""))</f>
        <v/>
      </c>
      <c r="F2189">
        <f>IF($P2189="","",IF(ISNUMBER(INDEX(상세표[블록종료],$P2189)),TEXT(INDEX(상세표[블록종료],$P2189),"yyyy-mm-dd hh:mm"),INDEX(상세표[블록종료],$P2189)&amp;""))</f>
        <v/>
      </c>
      <c r="G2189">
        <f>IF($P2189="","",CHOOSE(WEEKDAY(INDEX(상세표[시작],$P2189)),"일","월","화","수","목","금","토"))</f>
        <v/>
      </c>
      <c r="H2189">
        <f>IF($P2189="","",INDEX(상세표[연속 시간],$P2189))</f>
        <v/>
      </c>
      <c r="I2189">
        <f>IF($P2189="","",INDEX(상세표[기록 수],$P2189))</f>
        <v/>
      </c>
      <c r="J2189">
        <f>IF($P2189="","",INDEX(상세표[블록 06~07시],$P2189))</f>
        <v/>
      </c>
      <c r="K2189">
        <f>IF($P2189="","",INDEX(상세표[블록 07~18시],$P2189))</f>
        <v/>
      </c>
      <c r="L2189">
        <f>IF($P2189="","",INDEX(상세표[블록 18~22시],$P2189))</f>
        <v/>
      </c>
      <c r="M2189">
        <f>IF($P2189="","",INDEX(상세표[블록 22~06시],$P2189))</f>
        <v/>
      </c>
      <c r="N2189">
        <f>IF($P2189="","",INDEX(상세표[주말·휴일 포함],$P2189)&amp;"")</f>
        <v/>
      </c>
      <c r="O2189">
        <f>IF($P2189="","",INDEX(상세표[월 넘김 포함],$P2189)&amp;"")</f>
        <v/>
      </c>
      <c r="P2189" s="4">
        <f>IFERROR(MATCH(2184,상세표[연속순번],0),"")</f>
        <v/>
      </c>
    </row>
    <row r="2190">
      <c r="A2190">
        <f>IF($P2190="","",INDEX(상세표[사번],$P2190)&amp;"")</f>
        <v/>
      </c>
      <c r="B2190">
        <f>IF($P2190="","",INDEX(상세표[성명],$P2190)&amp;"")</f>
        <v/>
      </c>
      <c r="C2190">
        <f>IF($P2190="","",INDEX(상세표[부서],$P2190)&amp;"")</f>
        <v/>
      </c>
      <c r="D2190">
        <f>IF($P2190="","",INDEX(상세표[직위],$P2190)&amp;"")</f>
        <v/>
      </c>
      <c r="E2190">
        <f>IF($P2190="","",IF(ISNUMBER(INDEX(상세표[시작],$P2190)),TEXT(INDEX(상세표[시작],$P2190),"yyyy-mm-dd hh:mm"),INDEX(상세표[시작],$P2190)&amp;""))</f>
        <v/>
      </c>
      <c r="F2190">
        <f>IF($P2190="","",IF(ISNUMBER(INDEX(상세표[블록종료],$P2190)),TEXT(INDEX(상세표[블록종료],$P2190),"yyyy-mm-dd hh:mm"),INDEX(상세표[블록종료],$P2190)&amp;""))</f>
        <v/>
      </c>
      <c r="G2190">
        <f>IF($P2190="","",CHOOSE(WEEKDAY(INDEX(상세표[시작],$P2190)),"일","월","화","수","목","금","토"))</f>
        <v/>
      </c>
      <c r="H2190">
        <f>IF($P2190="","",INDEX(상세표[연속 시간],$P2190))</f>
        <v/>
      </c>
      <c r="I2190">
        <f>IF($P2190="","",INDEX(상세표[기록 수],$P2190))</f>
        <v/>
      </c>
      <c r="J2190">
        <f>IF($P2190="","",INDEX(상세표[블록 06~07시],$P2190))</f>
        <v/>
      </c>
      <c r="K2190">
        <f>IF($P2190="","",INDEX(상세표[블록 07~18시],$P2190))</f>
        <v/>
      </c>
      <c r="L2190">
        <f>IF($P2190="","",INDEX(상세표[블록 18~22시],$P2190))</f>
        <v/>
      </c>
      <c r="M2190">
        <f>IF($P2190="","",INDEX(상세표[블록 22~06시],$P2190))</f>
        <v/>
      </c>
      <c r="N2190">
        <f>IF($P2190="","",INDEX(상세표[주말·휴일 포함],$P2190)&amp;"")</f>
        <v/>
      </c>
      <c r="O2190">
        <f>IF($P2190="","",INDEX(상세표[월 넘김 포함],$P2190)&amp;"")</f>
        <v/>
      </c>
      <c r="P2190" s="4">
        <f>IFERROR(MATCH(2185,상세표[연속순번],0),"")</f>
        <v/>
      </c>
    </row>
    <row r="2191">
      <c r="A2191">
        <f>IF($P2191="","",INDEX(상세표[사번],$P2191)&amp;"")</f>
        <v/>
      </c>
      <c r="B2191">
        <f>IF($P2191="","",INDEX(상세표[성명],$P2191)&amp;"")</f>
        <v/>
      </c>
      <c r="C2191">
        <f>IF($P2191="","",INDEX(상세표[부서],$P2191)&amp;"")</f>
        <v/>
      </c>
      <c r="D2191">
        <f>IF($P2191="","",INDEX(상세표[직위],$P2191)&amp;"")</f>
        <v/>
      </c>
      <c r="E2191">
        <f>IF($P2191="","",IF(ISNUMBER(INDEX(상세표[시작],$P2191)),TEXT(INDEX(상세표[시작],$P2191),"yyyy-mm-dd hh:mm"),INDEX(상세표[시작],$P2191)&amp;""))</f>
        <v/>
      </c>
      <c r="F2191">
        <f>IF($P2191="","",IF(ISNUMBER(INDEX(상세표[블록종료],$P2191)),TEXT(INDEX(상세표[블록종료],$P2191),"yyyy-mm-dd hh:mm"),INDEX(상세표[블록종료],$P2191)&amp;""))</f>
        <v/>
      </c>
      <c r="G2191">
        <f>IF($P2191="","",CHOOSE(WEEKDAY(INDEX(상세표[시작],$P2191)),"일","월","화","수","목","금","토"))</f>
        <v/>
      </c>
      <c r="H2191">
        <f>IF($P2191="","",INDEX(상세표[연속 시간],$P2191))</f>
        <v/>
      </c>
      <c r="I2191">
        <f>IF($P2191="","",INDEX(상세표[기록 수],$P2191))</f>
        <v/>
      </c>
      <c r="J2191">
        <f>IF($P2191="","",INDEX(상세표[블록 06~07시],$P2191))</f>
        <v/>
      </c>
      <c r="K2191">
        <f>IF($P2191="","",INDEX(상세표[블록 07~18시],$P2191))</f>
        <v/>
      </c>
      <c r="L2191">
        <f>IF($P2191="","",INDEX(상세표[블록 18~22시],$P2191))</f>
        <v/>
      </c>
      <c r="M2191">
        <f>IF($P2191="","",INDEX(상세표[블록 22~06시],$P2191))</f>
        <v/>
      </c>
      <c r="N2191">
        <f>IF($P2191="","",INDEX(상세표[주말·휴일 포함],$P2191)&amp;"")</f>
        <v/>
      </c>
      <c r="O2191">
        <f>IF($P2191="","",INDEX(상세표[월 넘김 포함],$P2191)&amp;"")</f>
        <v/>
      </c>
      <c r="P2191" s="4">
        <f>IFERROR(MATCH(2186,상세표[연속순번],0),"")</f>
        <v/>
      </c>
    </row>
    <row r="2192">
      <c r="A2192">
        <f>IF($P2192="","",INDEX(상세표[사번],$P2192)&amp;"")</f>
        <v/>
      </c>
      <c r="B2192">
        <f>IF($P2192="","",INDEX(상세표[성명],$P2192)&amp;"")</f>
        <v/>
      </c>
      <c r="C2192">
        <f>IF($P2192="","",INDEX(상세표[부서],$P2192)&amp;"")</f>
        <v/>
      </c>
      <c r="D2192">
        <f>IF($P2192="","",INDEX(상세표[직위],$P2192)&amp;"")</f>
        <v/>
      </c>
      <c r="E2192">
        <f>IF($P2192="","",IF(ISNUMBER(INDEX(상세표[시작],$P2192)),TEXT(INDEX(상세표[시작],$P2192),"yyyy-mm-dd hh:mm"),INDEX(상세표[시작],$P2192)&amp;""))</f>
        <v/>
      </c>
      <c r="F2192">
        <f>IF($P2192="","",IF(ISNUMBER(INDEX(상세표[블록종료],$P2192)),TEXT(INDEX(상세표[블록종료],$P2192),"yyyy-mm-dd hh:mm"),INDEX(상세표[블록종료],$P2192)&amp;""))</f>
        <v/>
      </c>
      <c r="G2192">
        <f>IF($P2192="","",CHOOSE(WEEKDAY(INDEX(상세표[시작],$P2192)),"일","월","화","수","목","금","토"))</f>
        <v/>
      </c>
      <c r="H2192">
        <f>IF($P2192="","",INDEX(상세표[연속 시간],$P2192))</f>
        <v/>
      </c>
      <c r="I2192">
        <f>IF($P2192="","",INDEX(상세표[기록 수],$P2192))</f>
        <v/>
      </c>
      <c r="J2192">
        <f>IF($P2192="","",INDEX(상세표[블록 06~07시],$P2192))</f>
        <v/>
      </c>
      <c r="K2192">
        <f>IF($P2192="","",INDEX(상세표[블록 07~18시],$P2192))</f>
        <v/>
      </c>
      <c r="L2192">
        <f>IF($P2192="","",INDEX(상세표[블록 18~22시],$P2192))</f>
        <v/>
      </c>
      <c r="M2192">
        <f>IF($P2192="","",INDEX(상세표[블록 22~06시],$P2192))</f>
        <v/>
      </c>
      <c r="N2192">
        <f>IF($P2192="","",INDEX(상세표[주말·휴일 포함],$P2192)&amp;"")</f>
        <v/>
      </c>
      <c r="O2192">
        <f>IF($P2192="","",INDEX(상세표[월 넘김 포함],$P2192)&amp;"")</f>
        <v/>
      </c>
      <c r="P2192" s="4">
        <f>IFERROR(MATCH(2187,상세표[연속순번],0),"")</f>
        <v/>
      </c>
    </row>
    <row r="2193">
      <c r="A2193">
        <f>IF($P2193="","",INDEX(상세표[사번],$P2193)&amp;"")</f>
        <v/>
      </c>
      <c r="B2193">
        <f>IF($P2193="","",INDEX(상세표[성명],$P2193)&amp;"")</f>
        <v/>
      </c>
      <c r="C2193">
        <f>IF($P2193="","",INDEX(상세표[부서],$P2193)&amp;"")</f>
        <v/>
      </c>
      <c r="D2193">
        <f>IF($P2193="","",INDEX(상세표[직위],$P2193)&amp;"")</f>
        <v/>
      </c>
      <c r="E2193">
        <f>IF($P2193="","",IF(ISNUMBER(INDEX(상세표[시작],$P2193)),TEXT(INDEX(상세표[시작],$P2193),"yyyy-mm-dd hh:mm"),INDEX(상세표[시작],$P2193)&amp;""))</f>
        <v/>
      </c>
      <c r="F2193">
        <f>IF($P2193="","",IF(ISNUMBER(INDEX(상세표[블록종료],$P2193)),TEXT(INDEX(상세표[블록종료],$P2193),"yyyy-mm-dd hh:mm"),INDEX(상세표[블록종료],$P2193)&amp;""))</f>
        <v/>
      </c>
      <c r="G2193">
        <f>IF($P2193="","",CHOOSE(WEEKDAY(INDEX(상세표[시작],$P2193)),"일","월","화","수","목","금","토"))</f>
        <v/>
      </c>
      <c r="H2193">
        <f>IF($P2193="","",INDEX(상세표[연속 시간],$P2193))</f>
        <v/>
      </c>
      <c r="I2193">
        <f>IF($P2193="","",INDEX(상세표[기록 수],$P2193))</f>
        <v/>
      </c>
      <c r="J2193">
        <f>IF($P2193="","",INDEX(상세표[블록 06~07시],$P2193))</f>
        <v/>
      </c>
      <c r="K2193">
        <f>IF($P2193="","",INDEX(상세표[블록 07~18시],$P2193))</f>
        <v/>
      </c>
      <c r="L2193">
        <f>IF($P2193="","",INDEX(상세표[블록 18~22시],$P2193))</f>
        <v/>
      </c>
      <c r="M2193">
        <f>IF($P2193="","",INDEX(상세표[블록 22~06시],$P2193))</f>
        <v/>
      </c>
      <c r="N2193">
        <f>IF($P2193="","",INDEX(상세표[주말·휴일 포함],$P2193)&amp;"")</f>
        <v/>
      </c>
      <c r="O2193">
        <f>IF($P2193="","",INDEX(상세표[월 넘김 포함],$P2193)&amp;"")</f>
        <v/>
      </c>
      <c r="P2193" s="4">
        <f>IFERROR(MATCH(2188,상세표[연속순번],0),"")</f>
        <v/>
      </c>
    </row>
    <row r="2194">
      <c r="A2194">
        <f>IF($P2194="","",INDEX(상세표[사번],$P2194)&amp;"")</f>
        <v/>
      </c>
      <c r="B2194">
        <f>IF($P2194="","",INDEX(상세표[성명],$P2194)&amp;"")</f>
        <v/>
      </c>
      <c r="C2194">
        <f>IF($P2194="","",INDEX(상세표[부서],$P2194)&amp;"")</f>
        <v/>
      </c>
      <c r="D2194">
        <f>IF($P2194="","",INDEX(상세표[직위],$P2194)&amp;"")</f>
        <v/>
      </c>
      <c r="E2194">
        <f>IF($P2194="","",IF(ISNUMBER(INDEX(상세표[시작],$P2194)),TEXT(INDEX(상세표[시작],$P2194),"yyyy-mm-dd hh:mm"),INDEX(상세표[시작],$P2194)&amp;""))</f>
        <v/>
      </c>
      <c r="F2194">
        <f>IF($P2194="","",IF(ISNUMBER(INDEX(상세표[블록종료],$P2194)),TEXT(INDEX(상세표[블록종료],$P2194),"yyyy-mm-dd hh:mm"),INDEX(상세표[블록종료],$P2194)&amp;""))</f>
        <v/>
      </c>
      <c r="G2194">
        <f>IF($P2194="","",CHOOSE(WEEKDAY(INDEX(상세표[시작],$P2194)),"일","월","화","수","목","금","토"))</f>
        <v/>
      </c>
      <c r="H2194">
        <f>IF($P2194="","",INDEX(상세표[연속 시간],$P2194))</f>
        <v/>
      </c>
      <c r="I2194">
        <f>IF($P2194="","",INDEX(상세표[기록 수],$P2194))</f>
        <v/>
      </c>
      <c r="J2194">
        <f>IF($P2194="","",INDEX(상세표[블록 06~07시],$P2194))</f>
        <v/>
      </c>
      <c r="K2194">
        <f>IF($P2194="","",INDEX(상세표[블록 07~18시],$P2194))</f>
        <v/>
      </c>
      <c r="L2194">
        <f>IF($P2194="","",INDEX(상세표[블록 18~22시],$P2194))</f>
        <v/>
      </c>
      <c r="M2194">
        <f>IF($P2194="","",INDEX(상세표[블록 22~06시],$P2194))</f>
        <v/>
      </c>
      <c r="N2194">
        <f>IF($P2194="","",INDEX(상세표[주말·휴일 포함],$P2194)&amp;"")</f>
        <v/>
      </c>
      <c r="O2194">
        <f>IF($P2194="","",INDEX(상세표[월 넘김 포함],$P2194)&amp;"")</f>
        <v/>
      </c>
      <c r="P2194" s="4">
        <f>IFERROR(MATCH(2189,상세표[연속순번],0),"")</f>
        <v/>
      </c>
    </row>
    <row r="2195">
      <c r="A2195">
        <f>IF($P2195="","",INDEX(상세표[사번],$P2195)&amp;"")</f>
        <v/>
      </c>
      <c r="B2195">
        <f>IF($P2195="","",INDEX(상세표[성명],$P2195)&amp;"")</f>
        <v/>
      </c>
      <c r="C2195">
        <f>IF($P2195="","",INDEX(상세표[부서],$P2195)&amp;"")</f>
        <v/>
      </c>
      <c r="D2195">
        <f>IF($P2195="","",INDEX(상세표[직위],$P2195)&amp;"")</f>
        <v/>
      </c>
      <c r="E2195">
        <f>IF($P2195="","",IF(ISNUMBER(INDEX(상세표[시작],$P2195)),TEXT(INDEX(상세표[시작],$P2195),"yyyy-mm-dd hh:mm"),INDEX(상세표[시작],$P2195)&amp;""))</f>
        <v/>
      </c>
      <c r="F2195">
        <f>IF($P2195="","",IF(ISNUMBER(INDEX(상세표[블록종료],$P2195)),TEXT(INDEX(상세표[블록종료],$P2195),"yyyy-mm-dd hh:mm"),INDEX(상세표[블록종료],$P2195)&amp;""))</f>
        <v/>
      </c>
      <c r="G2195">
        <f>IF($P2195="","",CHOOSE(WEEKDAY(INDEX(상세표[시작],$P2195)),"일","월","화","수","목","금","토"))</f>
        <v/>
      </c>
      <c r="H2195">
        <f>IF($P2195="","",INDEX(상세표[연속 시간],$P2195))</f>
        <v/>
      </c>
      <c r="I2195">
        <f>IF($P2195="","",INDEX(상세표[기록 수],$P2195))</f>
        <v/>
      </c>
      <c r="J2195">
        <f>IF($P2195="","",INDEX(상세표[블록 06~07시],$P2195))</f>
        <v/>
      </c>
      <c r="K2195">
        <f>IF($P2195="","",INDEX(상세표[블록 07~18시],$P2195))</f>
        <v/>
      </c>
      <c r="L2195">
        <f>IF($P2195="","",INDEX(상세표[블록 18~22시],$P2195))</f>
        <v/>
      </c>
      <c r="M2195">
        <f>IF($P2195="","",INDEX(상세표[블록 22~06시],$P2195))</f>
        <v/>
      </c>
      <c r="N2195">
        <f>IF($P2195="","",INDEX(상세표[주말·휴일 포함],$P2195)&amp;"")</f>
        <v/>
      </c>
      <c r="O2195">
        <f>IF($P2195="","",INDEX(상세표[월 넘김 포함],$P2195)&amp;"")</f>
        <v/>
      </c>
      <c r="P2195" s="4">
        <f>IFERROR(MATCH(2190,상세표[연속순번],0),"")</f>
        <v/>
      </c>
    </row>
    <row r="2196">
      <c r="A2196">
        <f>IF($P2196="","",INDEX(상세표[사번],$P2196)&amp;"")</f>
        <v/>
      </c>
      <c r="B2196">
        <f>IF($P2196="","",INDEX(상세표[성명],$P2196)&amp;"")</f>
        <v/>
      </c>
      <c r="C2196">
        <f>IF($P2196="","",INDEX(상세표[부서],$P2196)&amp;"")</f>
        <v/>
      </c>
      <c r="D2196">
        <f>IF($P2196="","",INDEX(상세표[직위],$P2196)&amp;"")</f>
        <v/>
      </c>
      <c r="E2196">
        <f>IF($P2196="","",IF(ISNUMBER(INDEX(상세표[시작],$P2196)),TEXT(INDEX(상세표[시작],$P2196),"yyyy-mm-dd hh:mm"),INDEX(상세표[시작],$P2196)&amp;""))</f>
        <v/>
      </c>
      <c r="F2196">
        <f>IF($P2196="","",IF(ISNUMBER(INDEX(상세표[블록종료],$P2196)),TEXT(INDEX(상세표[블록종료],$P2196),"yyyy-mm-dd hh:mm"),INDEX(상세표[블록종료],$P2196)&amp;""))</f>
        <v/>
      </c>
      <c r="G2196">
        <f>IF($P2196="","",CHOOSE(WEEKDAY(INDEX(상세표[시작],$P2196)),"일","월","화","수","목","금","토"))</f>
        <v/>
      </c>
      <c r="H2196">
        <f>IF($P2196="","",INDEX(상세표[연속 시간],$P2196))</f>
        <v/>
      </c>
      <c r="I2196">
        <f>IF($P2196="","",INDEX(상세표[기록 수],$P2196))</f>
        <v/>
      </c>
      <c r="J2196">
        <f>IF($P2196="","",INDEX(상세표[블록 06~07시],$P2196))</f>
        <v/>
      </c>
      <c r="K2196">
        <f>IF($P2196="","",INDEX(상세표[블록 07~18시],$P2196))</f>
        <v/>
      </c>
      <c r="L2196">
        <f>IF($P2196="","",INDEX(상세표[블록 18~22시],$P2196))</f>
        <v/>
      </c>
      <c r="M2196">
        <f>IF($P2196="","",INDEX(상세표[블록 22~06시],$P2196))</f>
        <v/>
      </c>
      <c r="N2196">
        <f>IF($P2196="","",INDEX(상세표[주말·휴일 포함],$P2196)&amp;"")</f>
        <v/>
      </c>
      <c r="O2196">
        <f>IF($P2196="","",INDEX(상세표[월 넘김 포함],$P2196)&amp;"")</f>
        <v/>
      </c>
      <c r="P2196" s="4">
        <f>IFERROR(MATCH(2191,상세표[연속순번],0),"")</f>
        <v/>
      </c>
    </row>
    <row r="2197">
      <c r="A2197">
        <f>IF($P2197="","",INDEX(상세표[사번],$P2197)&amp;"")</f>
        <v/>
      </c>
      <c r="B2197">
        <f>IF($P2197="","",INDEX(상세표[성명],$P2197)&amp;"")</f>
        <v/>
      </c>
      <c r="C2197">
        <f>IF($P2197="","",INDEX(상세표[부서],$P2197)&amp;"")</f>
        <v/>
      </c>
      <c r="D2197">
        <f>IF($P2197="","",INDEX(상세표[직위],$P2197)&amp;"")</f>
        <v/>
      </c>
      <c r="E2197">
        <f>IF($P2197="","",IF(ISNUMBER(INDEX(상세표[시작],$P2197)),TEXT(INDEX(상세표[시작],$P2197),"yyyy-mm-dd hh:mm"),INDEX(상세표[시작],$P2197)&amp;""))</f>
        <v/>
      </c>
      <c r="F2197">
        <f>IF($P2197="","",IF(ISNUMBER(INDEX(상세표[블록종료],$P2197)),TEXT(INDEX(상세표[블록종료],$P2197),"yyyy-mm-dd hh:mm"),INDEX(상세표[블록종료],$P2197)&amp;""))</f>
        <v/>
      </c>
      <c r="G2197">
        <f>IF($P2197="","",CHOOSE(WEEKDAY(INDEX(상세표[시작],$P2197)),"일","월","화","수","목","금","토"))</f>
        <v/>
      </c>
      <c r="H2197">
        <f>IF($P2197="","",INDEX(상세표[연속 시간],$P2197))</f>
        <v/>
      </c>
      <c r="I2197">
        <f>IF($P2197="","",INDEX(상세표[기록 수],$P2197))</f>
        <v/>
      </c>
      <c r="J2197">
        <f>IF($P2197="","",INDEX(상세표[블록 06~07시],$P2197))</f>
        <v/>
      </c>
      <c r="K2197">
        <f>IF($P2197="","",INDEX(상세표[블록 07~18시],$P2197))</f>
        <v/>
      </c>
      <c r="L2197">
        <f>IF($P2197="","",INDEX(상세표[블록 18~22시],$P2197))</f>
        <v/>
      </c>
      <c r="M2197">
        <f>IF($P2197="","",INDEX(상세표[블록 22~06시],$P2197))</f>
        <v/>
      </c>
      <c r="N2197">
        <f>IF($P2197="","",INDEX(상세표[주말·휴일 포함],$P2197)&amp;"")</f>
        <v/>
      </c>
      <c r="O2197">
        <f>IF($P2197="","",INDEX(상세표[월 넘김 포함],$P2197)&amp;"")</f>
        <v/>
      </c>
      <c r="P2197" s="4">
        <f>IFERROR(MATCH(2192,상세표[연속순번],0),"")</f>
        <v/>
      </c>
    </row>
    <row r="2198">
      <c r="A2198">
        <f>IF($P2198="","",INDEX(상세표[사번],$P2198)&amp;"")</f>
        <v/>
      </c>
      <c r="B2198">
        <f>IF($P2198="","",INDEX(상세표[성명],$P2198)&amp;"")</f>
        <v/>
      </c>
      <c r="C2198">
        <f>IF($P2198="","",INDEX(상세표[부서],$P2198)&amp;"")</f>
        <v/>
      </c>
      <c r="D2198">
        <f>IF($P2198="","",INDEX(상세표[직위],$P2198)&amp;"")</f>
        <v/>
      </c>
      <c r="E2198">
        <f>IF($P2198="","",IF(ISNUMBER(INDEX(상세표[시작],$P2198)),TEXT(INDEX(상세표[시작],$P2198),"yyyy-mm-dd hh:mm"),INDEX(상세표[시작],$P2198)&amp;""))</f>
        <v/>
      </c>
      <c r="F2198">
        <f>IF($P2198="","",IF(ISNUMBER(INDEX(상세표[블록종료],$P2198)),TEXT(INDEX(상세표[블록종료],$P2198),"yyyy-mm-dd hh:mm"),INDEX(상세표[블록종료],$P2198)&amp;""))</f>
        <v/>
      </c>
      <c r="G2198">
        <f>IF($P2198="","",CHOOSE(WEEKDAY(INDEX(상세표[시작],$P2198)),"일","월","화","수","목","금","토"))</f>
        <v/>
      </c>
      <c r="H2198">
        <f>IF($P2198="","",INDEX(상세표[연속 시간],$P2198))</f>
        <v/>
      </c>
      <c r="I2198">
        <f>IF($P2198="","",INDEX(상세표[기록 수],$P2198))</f>
        <v/>
      </c>
      <c r="J2198">
        <f>IF($P2198="","",INDEX(상세표[블록 06~07시],$P2198))</f>
        <v/>
      </c>
      <c r="K2198">
        <f>IF($P2198="","",INDEX(상세표[블록 07~18시],$P2198))</f>
        <v/>
      </c>
      <c r="L2198">
        <f>IF($P2198="","",INDEX(상세표[블록 18~22시],$P2198))</f>
        <v/>
      </c>
      <c r="M2198">
        <f>IF($P2198="","",INDEX(상세표[블록 22~06시],$P2198))</f>
        <v/>
      </c>
      <c r="N2198">
        <f>IF($P2198="","",INDEX(상세표[주말·휴일 포함],$P2198)&amp;"")</f>
        <v/>
      </c>
      <c r="O2198">
        <f>IF($P2198="","",INDEX(상세표[월 넘김 포함],$P2198)&amp;"")</f>
        <v/>
      </c>
      <c r="P2198" s="4">
        <f>IFERROR(MATCH(2193,상세표[연속순번],0),"")</f>
        <v/>
      </c>
    </row>
    <row r="2199">
      <c r="A2199">
        <f>IF($P2199="","",INDEX(상세표[사번],$P2199)&amp;"")</f>
        <v/>
      </c>
      <c r="B2199">
        <f>IF($P2199="","",INDEX(상세표[성명],$P2199)&amp;"")</f>
        <v/>
      </c>
      <c r="C2199">
        <f>IF($P2199="","",INDEX(상세표[부서],$P2199)&amp;"")</f>
        <v/>
      </c>
      <c r="D2199">
        <f>IF($P2199="","",INDEX(상세표[직위],$P2199)&amp;"")</f>
        <v/>
      </c>
      <c r="E2199">
        <f>IF($P2199="","",IF(ISNUMBER(INDEX(상세표[시작],$P2199)),TEXT(INDEX(상세표[시작],$P2199),"yyyy-mm-dd hh:mm"),INDEX(상세표[시작],$P2199)&amp;""))</f>
        <v/>
      </c>
      <c r="F2199">
        <f>IF($P2199="","",IF(ISNUMBER(INDEX(상세표[블록종료],$P2199)),TEXT(INDEX(상세표[블록종료],$P2199),"yyyy-mm-dd hh:mm"),INDEX(상세표[블록종료],$P2199)&amp;""))</f>
        <v/>
      </c>
      <c r="G2199">
        <f>IF($P2199="","",CHOOSE(WEEKDAY(INDEX(상세표[시작],$P2199)),"일","월","화","수","목","금","토"))</f>
        <v/>
      </c>
      <c r="H2199">
        <f>IF($P2199="","",INDEX(상세표[연속 시간],$P2199))</f>
        <v/>
      </c>
      <c r="I2199">
        <f>IF($P2199="","",INDEX(상세표[기록 수],$P2199))</f>
        <v/>
      </c>
      <c r="J2199">
        <f>IF($P2199="","",INDEX(상세표[블록 06~07시],$P2199))</f>
        <v/>
      </c>
      <c r="K2199">
        <f>IF($P2199="","",INDEX(상세표[블록 07~18시],$P2199))</f>
        <v/>
      </c>
      <c r="L2199">
        <f>IF($P2199="","",INDEX(상세표[블록 18~22시],$P2199))</f>
        <v/>
      </c>
      <c r="M2199">
        <f>IF($P2199="","",INDEX(상세표[블록 22~06시],$P2199))</f>
        <v/>
      </c>
      <c r="N2199">
        <f>IF($P2199="","",INDEX(상세표[주말·휴일 포함],$P2199)&amp;"")</f>
        <v/>
      </c>
      <c r="O2199">
        <f>IF($P2199="","",INDEX(상세표[월 넘김 포함],$P2199)&amp;"")</f>
        <v/>
      </c>
      <c r="P2199" s="4">
        <f>IFERROR(MATCH(2194,상세표[연속순번],0),"")</f>
        <v/>
      </c>
    </row>
    <row r="2200">
      <c r="A2200">
        <f>IF($P2200="","",INDEX(상세표[사번],$P2200)&amp;"")</f>
        <v/>
      </c>
      <c r="B2200">
        <f>IF($P2200="","",INDEX(상세표[성명],$P2200)&amp;"")</f>
        <v/>
      </c>
      <c r="C2200">
        <f>IF($P2200="","",INDEX(상세표[부서],$P2200)&amp;"")</f>
        <v/>
      </c>
      <c r="D2200">
        <f>IF($P2200="","",INDEX(상세표[직위],$P2200)&amp;"")</f>
        <v/>
      </c>
      <c r="E2200">
        <f>IF($P2200="","",IF(ISNUMBER(INDEX(상세표[시작],$P2200)),TEXT(INDEX(상세표[시작],$P2200),"yyyy-mm-dd hh:mm"),INDEX(상세표[시작],$P2200)&amp;""))</f>
        <v/>
      </c>
      <c r="F2200">
        <f>IF($P2200="","",IF(ISNUMBER(INDEX(상세표[블록종료],$P2200)),TEXT(INDEX(상세표[블록종료],$P2200),"yyyy-mm-dd hh:mm"),INDEX(상세표[블록종료],$P2200)&amp;""))</f>
        <v/>
      </c>
      <c r="G2200">
        <f>IF($P2200="","",CHOOSE(WEEKDAY(INDEX(상세표[시작],$P2200)),"일","월","화","수","목","금","토"))</f>
        <v/>
      </c>
      <c r="H2200">
        <f>IF($P2200="","",INDEX(상세표[연속 시간],$P2200))</f>
        <v/>
      </c>
      <c r="I2200">
        <f>IF($P2200="","",INDEX(상세표[기록 수],$P2200))</f>
        <v/>
      </c>
      <c r="J2200">
        <f>IF($P2200="","",INDEX(상세표[블록 06~07시],$P2200))</f>
        <v/>
      </c>
      <c r="K2200">
        <f>IF($P2200="","",INDEX(상세표[블록 07~18시],$P2200))</f>
        <v/>
      </c>
      <c r="L2200">
        <f>IF($P2200="","",INDEX(상세표[블록 18~22시],$P2200))</f>
        <v/>
      </c>
      <c r="M2200">
        <f>IF($P2200="","",INDEX(상세표[블록 22~06시],$P2200))</f>
        <v/>
      </c>
      <c r="N2200">
        <f>IF($P2200="","",INDEX(상세표[주말·휴일 포함],$P2200)&amp;"")</f>
        <v/>
      </c>
      <c r="O2200">
        <f>IF($P2200="","",INDEX(상세표[월 넘김 포함],$P2200)&amp;"")</f>
        <v/>
      </c>
      <c r="P2200" s="4">
        <f>IFERROR(MATCH(2195,상세표[연속순번],0),"")</f>
        <v/>
      </c>
    </row>
    <row r="2201">
      <c r="A2201">
        <f>IF($P2201="","",INDEX(상세표[사번],$P2201)&amp;"")</f>
        <v/>
      </c>
      <c r="B2201">
        <f>IF($P2201="","",INDEX(상세표[성명],$P2201)&amp;"")</f>
        <v/>
      </c>
      <c r="C2201">
        <f>IF($P2201="","",INDEX(상세표[부서],$P2201)&amp;"")</f>
        <v/>
      </c>
      <c r="D2201">
        <f>IF($P2201="","",INDEX(상세표[직위],$P2201)&amp;"")</f>
        <v/>
      </c>
      <c r="E2201">
        <f>IF($P2201="","",IF(ISNUMBER(INDEX(상세표[시작],$P2201)),TEXT(INDEX(상세표[시작],$P2201),"yyyy-mm-dd hh:mm"),INDEX(상세표[시작],$P2201)&amp;""))</f>
        <v/>
      </c>
      <c r="F2201">
        <f>IF($P2201="","",IF(ISNUMBER(INDEX(상세표[블록종료],$P2201)),TEXT(INDEX(상세표[블록종료],$P2201),"yyyy-mm-dd hh:mm"),INDEX(상세표[블록종료],$P2201)&amp;""))</f>
        <v/>
      </c>
      <c r="G2201">
        <f>IF($P2201="","",CHOOSE(WEEKDAY(INDEX(상세표[시작],$P2201)),"일","월","화","수","목","금","토"))</f>
        <v/>
      </c>
      <c r="H2201">
        <f>IF($P2201="","",INDEX(상세표[연속 시간],$P2201))</f>
        <v/>
      </c>
      <c r="I2201">
        <f>IF($P2201="","",INDEX(상세표[기록 수],$P2201))</f>
        <v/>
      </c>
      <c r="J2201">
        <f>IF($P2201="","",INDEX(상세표[블록 06~07시],$P2201))</f>
        <v/>
      </c>
      <c r="K2201">
        <f>IF($P2201="","",INDEX(상세표[블록 07~18시],$P2201))</f>
        <v/>
      </c>
      <c r="L2201">
        <f>IF($P2201="","",INDEX(상세표[블록 18~22시],$P2201))</f>
        <v/>
      </c>
      <c r="M2201">
        <f>IF($P2201="","",INDEX(상세표[블록 22~06시],$P2201))</f>
        <v/>
      </c>
      <c r="N2201">
        <f>IF($P2201="","",INDEX(상세표[주말·휴일 포함],$P2201)&amp;"")</f>
        <v/>
      </c>
      <c r="O2201">
        <f>IF($P2201="","",INDEX(상세표[월 넘김 포함],$P2201)&amp;"")</f>
        <v/>
      </c>
      <c r="P2201" s="4">
        <f>IFERROR(MATCH(2196,상세표[연속순번],0),"")</f>
        <v/>
      </c>
    </row>
    <row r="2202">
      <c r="A2202">
        <f>IF($P2202="","",INDEX(상세표[사번],$P2202)&amp;"")</f>
        <v/>
      </c>
      <c r="B2202">
        <f>IF($P2202="","",INDEX(상세표[성명],$P2202)&amp;"")</f>
        <v/>
      </c>
      <c r="C2202">
        <f>IF($P2202="","",INDEX(상세표[부서],$P2202)&amp;"")</f>
        <v/>
      </c>
      <c r="D2202">
        <f>IF($P2202="","",INDEX(상세표[직위],$P2202)&amp;"")</f>
        <v/>
      </c>
      <c r="E2202">
        <f>IF($P2202="","",IF(ISNUMBER(INDEX(상세표[시작],$P2202)),TEXT(INDEX(상세표[시작],$P2202),"yyyy-mm-dd hh:mm"),INDEX(상세표[시작],$P2202)&amp;""))</f>
        <v/>
      </c>
      <c r="F2202">
        <f>IF($P2202="","",IF(ISNUMBER(INDEX(상세표[블록종료],$P2202)),TEXT(INDEX(상세표[블록종료],$P2202),"yyyy-mm-dd hh:mm"),INDEX(상세표[블록종료],$P2202)&amp;""))</f>
        <v/>
      </c>
      <c r="G2202">
        <f>IF($P2202="","",CHOOSE(WEEKDAY(INDEX(상세표[시작],$P2202)),"일","월","화","수","목","금","토"))</f>
        <v/>
      </c>
      <c r="H2202">
        <f>IF($P2202="","",INDEX(상세표[연속 시간],$P2202))</f>
        <v/>
      </c>
      <c r="I2202">
        <f>IF($P2202="","",INDEX(상세표[기록 수],$P2202))</f>
        <v/>
      </c>
      <c r="J2202">
        <f>IF($P2202="","",INDEX(상세표[블록 06~07시],$P2202))</f>
        <v/>
      </c>
      <c r="K2202">
        <f>IF($P2202="","",INDEX(상세표[블록 07~18시],$P2202))</f>
        <v/>
      </c>
      <c r="L2202">
        <f>IF($P2202="","",INDEX(상세표[블록 18~22시],$P2202))</f>
        <v/>
      </c>
      <c r="M2202">
        <f>IF($P2202="","",INDEX(상세표[블록 22~06시],$P2202))</f>
        <v/>
      </c>
      <c r="N2202">
        <f>IF($P2202="","",INDEX(상세표[주말·휴일 포함],$P2202)&amp;"")</f>
        <v/>
      </c>
      <c r="O2202">
        <f>IF($P2202="","",INDEX(상세표[월 넘김 포함],$P2202)&amp;"")</f>
        <v/>
      </c>
      <c r="P2202" s="4">
        <f>IFERROR(MATCH(2197,상세표[연속순번],0),"")</f>
        <v/>
      </c>
    </row>
    <row r="2203">
      <c r="A2203">
        <f>IF($P2203="","",INDEX(상세표[사번],$P2203)&amp;"")</f>
        <v/>
      </c>
      <c r="B2203">
        <f>IF($P2203="","",INDEX(상세표[성명],$P2203)&amp;"")</f>
        <v/>
      </c>
      <c r="C2203">
        <f>IF($P2203="","",INDEX(상세표[부서],$P2203)&amp;"")</f>
        <v/>
      </c>
      <c r="D2203">
        <f>IF($P2203="","",INDEX(상세표[직위],$P2203)&amp;"")</f>
        <v/>
      </c>
      <c r="E2203">
        <f>IF($P2203="","",IF(ISNUMBER(INDEX(상세표[시작],$P2203)),TEXT(INDEX(상세표[시작],$P2203),"yyyy-mm-dd hh:mm"),INDEX(상세표[시작],$P2203)&amp;""))</f>
        <v/>
      </c>
      <c r="F2203">
        <f>IF($P2203="","",IF(ISNUMBER(INDEX(상세표[블록종료],$P2203)),TEXT(INDEX(상세표[블록종료],$P2203),"yyyy-mm-dd hh:mm"),INDEX(상세표[블록종료],$P2203)&amp;""))</f>
        <v/>
      </c>
      <c r="G2203">
        <f>IF($P2203="","",CHOOSE(WEEKDAY(INDEX(상세표[시작],$P2203)),"일","월","화","수","목","금","토"))</f>
        <v/>
      </c>
      <c r="H2203">
        <f>IF($P2203="","",INDEX(상세표[연속 시간],$P2203))</f>
        <v/>
      </c>
      <c r="I2203">
        <f>IF($P2203="","",INDEX(상세표[기록 수],$P2203))</f>
        <v/>
      </c>
      <c r="J2203">
        <f>IF($P2203="","",INDEX(상세표[블록 06~07시],$P2203))</f>
        <v/>
      </c>
      <c r="K2203">
        <f>IF($P2203="","",INDEX(상세표[블록 07~18시],$P2203))</f>
        <v/>
      </c>
      <c r="L2203">
        <f>IF($P2203="","",INDEX(상세표[블록 18~22시],$P2203))</f>
        <v/>
      </c>
      <c r="M2203">
        <f>IF($P2203="","",INDEX(상세표[블록 22~06시],$P2203))</f>
        <v/>
      </c>
      <c r="N2203">
        <f>IF($P2203="","",INDEX(상세표[주말·휴일 포함],$P2203)&amp;"")</f>
        <v/>
      </c>
      <c r="O2203">
        <f>IF($P2203="","",INDEX(상세표[월 넘김 포함],$P2203)&amp;"")</f>
        <v/>
      </c>
      <c r="P2203" s="4">
        <f>IFERROR(MATCH(2198,상세표[연속순번],0),"")</f>
        <v/>
      </c>
    </row>
    <row r="2204">
      <c r="A2204">
        <f>IF($P2204="","",INDEX(상세표[사번],$P2204)&amp;"")</f>
        <v/>
      </c>
      <c r="B2204">
        <f>IF($P2204="","",INDEX(상세표[성명],$P2204)&amp;"")</f>
        <v/>
      </c>
      <c r="C2204">
        <f>IF($P2204="","",INDEX(상세표[부서],$P2204)&amp;"")</f>
        <v/>
      </c>
      <c r="D2204">
        <f>IF($P2204="","",INDEX(상세표[직위],$P2204)&amp;"")</f>
        <v/>
      </c>
      <c r="E2204">
        <f>IF($P2204="","",IF(ISNUMBER(INDEX(상세표[시작],$P2204)),TEXT(INDEX(상세표[시작],$P2204),"yyyy-mm-dd hh:mm"),INDEX(상세표[시작],$P2204)&amp;""))</f>
        <v/>
      </c>
      <c r="F2204">
        <f>IF($P2204="","",IF(ISNUMBER(INDEX(상세표[블록종료],$P2204)),TEXT(INDEX(상세표[블록종료],$P2204),"yyyy-mm-dd hh:mm"),INDEX(상세표[블록종료],$P2204)&amp;""))</f>
        <v/>
      </c>
      <c r="G2204">
        <f>IF($P2204="","",CHOOSE(WEEKDAY(INDEX(상세표[시작],$P2204)),"일","월","화","수","목","금","토"))</f>
        <v/>
      </c>
      <c r="H2204">
        <f>IF($P2204="","",INDEX(상세표[연속 시간],$P2204))</f>
        <v/>
      </c>
      <c r="I2204">
        <f>IF($P2204="","",INDEX(상세표[기록 수],$P2204))</f>
        <v/>
      </c>
      <c r="J2204">
        <f>IF($P2204="","",INDEX(상세표[블록 06~07시],$P2204))</f>
        <v/>
      </c>
      <c r="K2204">
        <f>IF($P2204="","",INDEX(상세표[블록 07~18시],$P2204))</f>
        <v/>
      </c>
      <c r="L2204">
        <f>IF($P2204="","",INDEX(상세표[블록 18~22시],$P2204))</f>
        <v/>
      </c>
      <c r="M2204">
        <f>IF($P2204="","",INDEX(상세표[블록 22~06시],$P2204))</f>
        <v/>
      </c>
      <c r="N2204">
        <f>IF($P2204="","",INDEX(상세표[주말·휴일 포함],$P2204)&amp;"")</f>
        <v/>
      </c>
      <c r="O2204">
        <f>IF($P2204="","",INDEX(상세표[월 넘김 포함],$P2204)&amp;"")</f>
        <v/>
      </c>
      <c r="P2204" s="4">
        <f>IFERROR(MATCH(2199,상세표[연속순번],0),"")</f>
        <v/>
      </c>
    </row>
    <row r="2205">
      <c r="A2205">
        <f>IF($P2205="","",INDEX(상세표[사번],$P2205)&amp;"")</f>
        <v/>
      </c>
      <c r="B2205">
        <f>IF($P2205="","",INDEX(상세표[성명],$P2205)&amp;"")</f>
        <v/>
      </c>
      <c r="C2205">
        <f>IF($P2205="","",INDEX(상세표[부서],$P2205)&amp;"")</f>
        <v/>
      </c>
      <c r="D2205">
        <f>IF($P2205="","",INDEX(상세표[직위],$P2205)&amp;"")</f>
        <v/>
      </c>
      <c r="E2205">
        <f>IF($P2205="","",IF(ISNUMBER(INDEX(상세표[시작],$P2205)),TEXT(INDEX(상세표[시작],$P2205),"yyyy-mm-dd hh:mm"),INDEX(상세표[시작],$P2205)&amp;""))</f>
        <v/>
      </c>
      <c r="F2205">
        <f>IF($P2205="","",IF(ISNUMBER(INDEX(상세표[블록종료],$P2205)),TEXT(INDEX(상세표[블록종료],$P2205),"yyyy-mm-dd hh:mm"),INDEX(상세표[블록종료],$P2205)&amp;""))</f>
        <v/>
      </c>
      <c r="G2205">
        <f>IF($P2205="","",CHOOSE(WEEKDAY(INDEX(상세표[시작],$P2205)),"일","월","화","수","목","금","토"))</f>
        <v/>
      </c>
      <c r="H2205">
        <f>IF($P2205="","",INDEX(상세표[연속 시간],$P2205))</f>
        <v/>
      </c>
      <c r="I2205">
        <f>IF($P2205="","",INDEX(상세표[기록 수],$P2205))</f>
        <v/>
      </c>
      <c r="J2205">
        <f>IF($P2205="","",INDEX(상세표[블록 06~07시],$P2205))</f>
        <v/>
      </c>
      <c r="K2205">
        <f>IF($P2205="","",INDEX(상세표[블록 07~18시],$P2205))</f>
        <v/>
      </c>
      <c r="L2205">
        <f>IF($P2205="","",INDEX(상세표[블록 18~22시],$P2205))</f>
        <v/>
      </c>
      <c r="M2205">
        <f>IF($P2205="","",INDEX(상세표[블록 22~06시],$P2205))</f>
        <v/>
      </c>
      <c r="N2205">
        <f>IF($P2205="","",INDEX(상세표[주말·휴일 포함],$P2205)&amp;"")</f>
        <v/>
      </c>
      <c r="O2205">
        <f>IF($P2205="","",INDEX(상세표[월 넘김 포함],$P2205)&amp;"")</f>
        <v/>
      </c>
      <c r="P2205" s="4">
        <f>IFERROR(MATCH(2200,상세표[연속순번],0),"")</f>
        <v/>
      </c>
    </row>
    <row r="2206">
      <c r="A2206">
        <f>IF($P2206="","",INDEX(상세표[사번],$P2206)&amp;"")</f>
        <v/>
      </c>
      <c r="B2206">
        <f>IF($P2206="","",INDEX(상세표[성명],$P2206)&amp;"")</f>
        <v/>
      </c>
      <c r="C2206">
        <f>IF($P2206="","",INDEX(상세표[부서],$P2206)&amp;"")</f>
        <v/>
      </c>
      <c r="D2206">
        <f>IF($P2206="","",INDEX(상세표[직위],$P2206)&amp;"")</f>
        <v/>
      </c>
      <c r="E2206">
        <f>IF($P2206="","",IF(ISNUMBER(INDEX(상세표[시작],$P2206)),TEXT(INDEX(상세표[시작],$P2206),"yyyy-mm-dd hh:mm"),INDEX(상세표[시작],$P2206)&amp;""))</f>
        <v/>
      </c>
      <c r="F2206">
        <f>IF($P2206="","",IF(ISNUMBER(INDEX(상세표[블록종료],$P2206)),TEXT(INDEX(상세표[블록종료],$P2206),"yyyy-mm-dd hh:mm"),INDEX(상세표[블록종료],$P2206)&amp;""))</f>
        <v/>
      </c>
      <c r="G2206">
        <f>IF($P2206="","",CHOOSE(WEEKDAY(INDEX(상세표[시작],$P2206)),"일","월","화","수","목","금","토"))</f>
        <v/>
      </c>
      <c r="H2206">
        <f>IF($P2206="","",INDEX(상세표[연속 시간],$P2206))</f>
        <v/>
      </c>
      <c r="I2206">
        <f>IF($P2206="","",INDEX(상세표[기록 수],$P2206))</f>
        <v/>
      </c>
      <c r="J2206">
        <f>IF($P2206="","",INDEX(상세표[블록 06~07시],$P2206))</f>
        <v/>
      </c>
      <c r="K2206">
        <f>IF($P2206="","",INDEX(상세표[블록 07~18시],$P2206))</f>
        <v/>
      </c>
      <c r="L2206">
        <f>IF($P2206="","",INDEX(상세표[블록 18~22시],$P2206))</f>
        <v/>
      </c>
      <c r="M2206">
        <f>IF($P2206="","",INDEX(상세표[블록 22~06시],$P2206))</f>
        <v/>
      </c>
      <c r="N2206">
        <f>IF($P2206="","",INDEX(상세표[주말·휴일 포함],$P2206)&amp;"")</f>
        <v/>
      </c>
      <c r="O2206">
        <f>IF($P2206="","",INDEX(상세표[월 넘김 포함],$P2206)&amp;"")</f>
        <v/>
      </c>
      <c r="P2206" s="4">
        <f>IFERROR(MATCH(2201,상세표[연속순번],0),"")</f>
        <v/>
      </c>
    </row>
    <row r="2207">
      <c r="A2207">
        <f>IF($P2207="","",INDEX(상세표[사번],$P2207)&amp;"")</f>
        <v/>
      </c>
      <c r="B2207">
        <f>IF($P2207="","",INDEX(상세표[성명],$P2207)&amp;"")</f>
        <v/>
      </c>
      <c r="C2207">
        <f>IF($P2207="","",INDEX(상세표[부서],$P2207)&amp;"")</f>
        <v/>
      </c>
      <c r="D2207">
        <f>IF($P2207="","",INDEX(상세표[직위],$P2207)&amp;"")</f>
        <v/>
      </c>
      <c r="E2207">
        <f>IF($P2207="","",IF(ISNUMBER(INDEX(상세표[시작],$P2207)),TEXT(INDEX(상세표[시작],$P2207),"yyyy-mm-dd hh:mm"),INDEX(상세표[시작],$P2207)&amp;""))</f>
        <v/>
      </c>
      <c r="F2207">
        <f>IF($P2207="","",IF(ISNUMBER(INDEX(상세표[블록종료],$P2207)),TEXT(INDEX(상세표[블록종료],$P2207),"yyyy-mm-dd hh:mm"),INDEX(상세표[블록종료],$P2207)&amp;""))</f>
        <v/>
      </c>
      <c r="G2207">
        <f>IF($P2207="","",CHOOSE(WEEKDAY(INDEX(상세표[시작],$P2207)),"일","월","화","수","목","금","토"))</f>
        <v/>
      </c>
      <c r="H2207">
        <f>IF($P2207="","",INDEX(상세표[연속 시간],$P2207))</f>
        <v/>
      </c>
      <c r="I2207">
        <f>IF($P2207="","",INDEX(상세표[기록 수],$P2207))</f>
        <v/>
      </c>
      <c r="J2207">
        <f>IF($P2207="","",INDEX(상세표[블록 06~07시],$P2207))</f>
        <v/>
      </c>
      <c r="K2207">
        <f>IF($P2207="","",INDEX(상세표[블록 07~18시],$P2207))</f>
        <v/>
      </c>
      <c r="L2207">
        <f>IF($P2207="","",INDEX(상세표[블록 18~22시],$P2207))</f>
        <v/>
      </c>
      <c r="M2207">
        <f>IF($P2207="","",INDEX(상세표[블록 22~06시],$P2207))</f>
        <v/>
      </c>
      <c r="N2207">
        <f>IF($P2207="","",INDEX(상세표[주말·휴일 포함],$P2207)&amp;"")</f>
        <v/>
      </c>
      <c r="O2207">
        <f>IF($P2207="","",INDEX(상세표[월 넘김 포함],$P2207)&amp;"")</f>
        <v/>
      </c>
      <c r="P2207" s="4">
        <f>IFERROR(MATCH(2202,상세표[연속순번],0),"")</f>
        <v/>
      </c>
    </row>
    <row r="2208">
      <c r="A2208">
        <f>IF($P2208="","",INDEX(상세표[사번],$P2208)&amp;"")</f>
        <v/>
      </c>
      <c r="B2208">
        <f>IF($P2208="","",INDEX(상세표[성명],$P2208)&amp;"")</f>
        <v/>
      </c>
      <c r="C2208">
        <f>IF($P2208="","",INDEX(상세표[부서],$P2208)&amp;"")</f>
        <v/>
      </c>
      <c r="D2208">
        <f>IF($P2208="","",INDEX(상세표[직위],$P2208)&amp;"")</f>
        <v/>
      </c>
      <c r="E2208">
        <f>IF($P2208="","",IF(ISNUMBER(INDEX(상세표[시작],$P2208)),TEXT(INDEX(상세표[시작],$P2208),"yyyy-mm-dd hh:mm"),INDEX(상세표[시작],$P2208)&amp;""))</f>
        <v/>
      </c>
      <c r="F2208">
        <f>IF($P2208="","",IF(ISNUMBER(INDEX(상세표[블록종료],$P2208)),TEXT(INDEX(상세표[블록종료],$P2208),"yyyy-mm-dd hh:mm"),INDEX(상세표[블록종료],$P2208)&amp;""))</f>
        <v/>
      </c>
      <c r="G2208">
        <f>IF($P2208="","",CHOOSE(WEEKDAY(INDEX(상세표[시작],$P2208)),"일","월","화","수","목","금","토"))</f>
        <v/>
      </c>
      <c r="H2208">
        <f>IF($P2208="","",INDEX(상세표[연속 시간],$P2208))</f>
        <v/>
      </c>
      <c r="I2208">
        <f>IF($P2208="","",INDEX(상세표[기록 수],$P2208))</f>
        <v/>
      </c>
      <c r="J2208">
        <f>IF($P2208="","",INDEX(상세표[블록 06~07시],$P2208))</f>
        <v/>
      </c>
      <c r="K2208">
        <f>IF($P2208="","",INDEX(상세표[블록 07~18시],$P2208))</f>
        <v/>
      </c>
      <c r="L2208">
        <f>IF($P2208="","",INDEX(상세표[블록 18~22시],$P2208))</f>
        <v/>
      </c>
      <c r="M2208">
        <f>IF($P2208="","",INDEX(상세표[블록 22~06시],$P2208))</f>
        <v/>
      </c>
      <c r="N2208">
        <f>IF($P2208="","",INDEX(상세표[주말·휴일 포함],$P2208)&amp;"")</f>
        <v/>
      </c>
      <c r="O2208">
        <f>IF($P2208="","",INDEX(상세표[월 넘김 포함],$P2208)&amp;"")</f>
        <v/>
      </c>
      <c r="P2208" s="4">
        <f>IFERROR(MATCH(2203,상세표[연속순번],0),"")</f>
        <v/>
      </c>
    </row>
    <row r="2209">
      <c r="A2209">
        <f>IF($P2209="","",INDEX(상세표[사번],$P2209)&amp;"")</f>
        <v/>
      </c>
      <c r="B2209">
        <f>IF($P2209="","",INDEX(상세표[성명],$P2209)&amp;"")</f>
        <v/>
      </c>
      <c r="C2209">
        <f>IF($P2209="","",INDEX(상세표[부서],$P2209)&amp;"")</f>
        <v/>
      </c>
      <c r="D2209">
        <f>IF($P2209="","",INDEX(상세표[직위],$P2209)&amp;"")</f>
        <v/>
      </c>
      <c r="E2209">
        <f>IF($P2209="","",IF(ISNUMBER(INDEX(상세표[시작],$P2209)),TEXT(INDEX(상세표[시작],$P2209),"yyyy-mm-dd hh:mm"),INDEX(상세표[시작],$P2209)&amp;""))</f>
        <v/>
      </c>
      <c r="F2209">
        <f>IF($P2209="","",IF(ISNUMBER(INDEX(상세표[블록종료],$P2209)),TEXT(INDEX(상세표[블록종료],$P2209),"yyyy-mm-dd hh:mm"),INDEX(상세표[블록종료],$P2209)&amp;""))</f>
        <v/>
      </c>
      <c r="G2209">
        <f>IF($P2209="","",CHOOSE(WEEKDAY(INDEX(상세표[시작],$P2209)),"일","월","화","수","목","금","토"))</f>
        <v/>
      </c>
      <c r="H2209">
        <f>IF($P2209="","",INDEX(상세표[연속 시간],$P2209))</f>
        <v/>
      </c>
      <c r="I2209">
        <f>IF($P2209="","",INDEX(상세표[기록 수],$P2209))</f>
        <v/>
      </c>
      <c r="J2209">
        <f>IF($P2209="","",INDEX(상세표[블록 06~07시],$P2209))</f>
        <v/>
      </c>
      <c r="K2209">
        <f>IF($P2209="","",INDEX(상세표[블록 07~18시],$P2209))</f>
        <v/>
      </c>
      <c r="L2209">
        <f>IF($P2209="","",INDEX(상세표[블록 18~22시],$P2209))</f>
        <v/>
      </c>
      <c r="M2209">
        <f>IF($P2209="","",INDEX(상세표[블록 22~06시],$P2209))</f>
        <v/>
      </c>
      <c r="N2209">
        <f>IF($P2209="","",INDEX(상세표[주말·휴일 포함],$P2209)&amp;"")</f>
        <v/>
      </c>
      <c r="O2209">
        <f>IF($P2209="","",INDEX(상세표[월 넘김 포함],$P2209)&amp;"")</f>
        <v/>
      </c>
      <c r="P2209" s="4">
        <f>IFERROR(MATCH(2204,상세표[연속순번],0),"")</f>
        <v/>
      </c>
    </row>
    <row r="2210">
      <c r="A2210">
        <f>IF($P2210="","",INDEX(상세표[사번],$P2210)&amp;"")</f>
        <v/>
      </c>
      <c r="B2210">
        <f>IF($P2210="","",INDEX(상세표[성명],$P2210)&amp;"")</f>
        <v/>
      </c>
      <c r="C2210">
        <f>IF($P2210="","",INDEX(상세표[부서],$P2210)&amp;"")</f>
        <v/>
      </c>
      <c r="D2210">
        <f>IF($P2210="","",INDEX(상세표[직위],$P2210)&amp;"")</f>
        <v/>
      </c>
      <c r="E2210">
        <f>IF($P2210="","",IF(ISNUMBER(INDEX(상세표[시작],$P2210)),TEXT(INDEX(상세표[시작],$P2210),"yyyy-mm-dd hh:mm"),INDEX(상세표[시작],$P2210)&amp;""))</f>
        <v/>
      </c>
      <c r="F2210">
        <f>IF($P2210="","",IF(ISNUMBER(INDEX(상세표[블록종료],$P2210)),TEXT(INDEX(상세표[블록종료],$P2210),"yyyy-mm-dd hh:mm"),INDEX(상세표[블록종료],$P2210)&amp;""))</f>
        <v/>
      </c>
      <c r="G2210">
        <f>IF($P2210="","",CHOOSE(WEEKDAY(INDEX(상세표[시작],$P2210)),"일","월","화","수","목","금","토"))</f>
        <v/>
      </c>
      <c r="H2210">
        <f>IF($P2210="","",INDEX(상세표[연속 시간],$P2210))</f>
        <v/>
      </c>
      <c r="I2210">
        <f>IF($P2210="","",INDEX(상세표[기록 수],$P2210))</f>
        <v/>
      </c>
      <c r="J2210">
        <f>IF($P2210="","",INDEX(상세표[블록 06~07시],$P2210))</f>
        <v/>
      </c>
      <c r="K2210">
        <f>IF($P2210="","",INDEX(상세표[블록 07~18시],$P2210))</f>
        <v/>
      </c>
      <c r="L2210">
        <f>IF($P2210="","",INDEX(상세표[블록 18~22시],$P2210))</f>
        <v/>
      </c>
      <c r="M2210">
        <f>IF($P2210="","",INDEX(상세표[블록 22~06시],$P2210))</f>
        <v/>
      </c>
      <c r="N2210">
        <f>IF($P2210="","",INDEX(상세표[주말·휴일 포함],$P2210)&amp;"")</f>
        <v/>
      </c>
      <c r="O2210">
        <f>IF($P2210="","",INDEX(상세표[월 넘김 포함],$P2210)&amp;"")</f>
        <v/>
      </c>
      <c r="P2210" s="4">
        <f>IFERROR(MATCH(2205,상세표[연속순번],0),"")</f>
        <v/>
      </c>
    </row>
    <row r="2211">
      <c r="A2211">
        <f>IF($P2211="","",INDEX(상세표[사번],$P2211)&amp;"")</f>
        <v/>
      </c>
      <c r="B2211">
        <f>IF($P2211="","",INDEX(상세표[성명],$P2211)&amp;"")</f>
        <v/>
      </c>
      <c r="C2211">
        <f>IF($P2211="","",INDEX(상세표[부서],$P2211)&amp;"")</f>
        <v/>
      </c>
      <c r="D2211">
        <f>IF($P2211="","",INDEX(상세표[직위],$P2211)&amp;"")</f>
        <v/>
      </c>
      <c r="E2211">
        <f>IF($P2211="","",IF(ISNUMBER(INDEX(상세표[시작],$P2211)),TEXT(INDEX(상세표[시작],$P2211),"yyyy-mm-dd hh:mm"),INDEX(상세표[시작],$P2211)&amp;""))</f>
        <v/>
      </c>
      <c r="F2211">
        <f>IF($P2211="","",IF(ISNUMBER(INDEX(상세표[블록종료],$P2211)),TEXT(INDEX(상세표[블록종료],$P2211),"yyyy-mm-dd hh:mm"),INDEX(상세표[블록종료],$P2211)&amp;""))</f>
        <v/>
      </c>
      <c r="G2211">
        <f>IF($P2211="","",CHOOSE(WEEKDAY(INDEX(상세표[시작],$P2211)),"일","월","화","수","목","금","토"))</f>
        <v/>
      </c>
      <c r="H2211">
        <f>IF($P2211="","",INDEX(상세표[연속 시간],$P2211))</f>
        <v/>
      </c>
      <c r="I2211">
        <f>IF($P2211="","",INDEX(상세표[기록 수],$P2211))</f>
        <v/>
      </c>
      <c r="J2211">
        <f>IF($P2211="","",INDEX(상세표[블록 06~07시],$P2211))</f>
        <v/>
      </c>
      <c r="K2211">
        <f>IF($P2211="","",INDEX(상세표[블록 07~18시],$P2211))</f>
        <v/>
      </c>
      <c r="L2211">
        <f>IF($P2211="","",INDEX(상세표[블록 18~22시],$P2211))</f>
        <v/>
      </c>
      <c r="M2211">
        <f>IF($P2211="","",INDEX(상세표[블록 22~06시],$P2211))</f>
        <v/>
      </c>
      <c r="N2211">
        <f>IF($P2211="","",INDEX(상세표[주말·휴일 포함],$P2211)&amp;"")</f>
        <v/>
      </c>
      <c r="O2211">
        <f>IF($P2211="","",INDEX(상세표[월 넘김 포함],$P2211)&amp;"")</f>
        <v/>
      </c>
      <c r="P2211" s="4">
        <f>IFERROR(MATCH(2206,상세표[연속순번],0),"")</f>
        <v/>
      </c>
    </row>
    <row r="2212">
      <c r="A2212">
        <f>IF($P2212="","",INDEX(상세표[사번],$P2212)&amp;"")</f>
        <v/>
      </c>
      <c r="B2212">
        <f>IF($P2212="","",INDEX(상세표[성명],$P2212)&amp;"")</f>
        <v/>
      </c>
      <c r="C2212">
        <f>IF($P2212="","",INDEX(상세표[부서],$P2212)&amp;"")</f>
        <v/>
      </c>
      <c r="D2212">
        <f>IF($P2212="","",INDEX(상세표[직위],$P2212)&amp;"")</f>
        <v/>
      </c>
      <c r="E2212">
        <f>IF($P2212="","",IF(ISNUMBER(INDEX(상세표[시작],$P2212)),TEXT(INDEX(상세표[시작],$P2212),"yyyy-mm-dd hh:mm"),INDEX(상세표[시작],$P2212)&amp;""))</f>
        <v/>
      </c>
      <c r="F2212">
        <f>IF($P2212="","",IF(ISNUMBER(INDEX(상세표[블록종료],$P2212)),TEXT(INDEX(상세표[블록종료],$P2212),"yyyy-mm-dd hh:mm"),INDEX(상세표[블록종료],$P2212)&amp;""))</f>
        <v/>
      </c>
      <c r="G2212">
        <f>IF($P2212="","",CHOOSE(WEEKDAY(INDEX(상세표[시작],$P2212)),"일","월","화","수","목","금","토"))</f>
        <v/>
      </c>
      <c r="H2212">
        <f>IF($P2212="","",INDEX(상세표[연속 시간],$P2212))</f>
        <v/>
      </c>
      <c r="I2212">
        <f>IF($P2212="","",INDEX(상세표[기록 수],$P2212))</f>
        <v/>
      </c>
      <c r="J2212">
        <f>IF($P2212="","",INDEX(상세표[블록 06~07시],$P2212))</f>
        <v/>
      </c>
      <c r="K2212">
        <f>IF($P2212="","",INDEX(상세표[블록 07~18시],$P2212))</f>
        <v/>
      </c>
      <c r="L2212">
        <f>IF($P2212="","",INDEX(상세표[블록 18~22시],$P2212))</f>
        <v/>
      </c>
      <c r="M2212">
        <f>IF($P2212="","",INDEX(상세표[블록 22~06시],$P2212))</f>
        <v/>
      </c>
      <c r="N2212">
        <f>IF($P2212="","",INDEX(상세표[주말·휴일 포함],$P2212)&amp;"")</f>
        <v/>
      </c>
      <c r="O2212">
        <f>IF($P2212="","",INDEX(상세표[월 넘김 포함],$P2212)&amp;"")</f>
        <v/>
      </c>
      <c r="P2212" s="4">
        <f>IFERROR(MATCH(2207,상세표[연속순번],0),"")</f>
        <v/>
      </c>
    </row>
    <row r="2213">
      <c r="A2213">
        <f>IF($P2213="","",INDEX(상세표[사번],$P2213)&amp;"")</f>
        <v/>
      </c>
      <c r="B2213">
        <f>IF($P2213="","",INDEX(상세표[성명],$P2213)&amp;"")</f>
        <v/>
      </c>
      <c r="C2213">
        <f>IF($P2213="","",INDEX(상세표[부서],$P2213)&amp;"")</f>
        <v/>
      </c>
      <c r="D2213">
        <f>IF($P2213="","",INDEX(상세표[직위],$P2213)&amp;"")</f>
        <v/>
      </c>
      <c r="E2213">
        <f>IF($P2213="","",IF(ISNUMBER(INDEX(상세표[시작],$P2213)),TEXT(INDEX(상세표[시작],$P2213),"yyyy-mm-dd hh:mm"),INDEX(상세표[시작],$P2213)&amp;""))</f>
        <v/>
      </c>
      <c r="F2213">
        <f>IF($P2213="","",IF(ISNUMBER(INDEX(상세표[블록종료],$P2213)),TEXT(INDEX(상세표[블록종료],$P2213),"yyyy-mm-dd hh:mm"),INDEX(상세표[블록종료],$P2213)&amp;""))</f>
        <v/>
      </c>
      <c r="G2213">
        <f>IF($P2213="","",CHOOSE(WEEKDAY(INDEX(상세표[시작],$P2213)),"일","월","화","수","목","금","토"))</f>
        <v/>
      </c>
      <c r="H2213">
        <f>IF($P2213="","",INDEX(상세표[연속 시간],$P2213))</f>
        <v/>
      </c>
      <c r="I2213">
        <f>IF($P2213="","",INDEX(상세표[기록 수],$P2213))</f>
        <v/>
      </c>
      <c r="J2213">
        <f>IF($P2213="","",INDEX(상세표[블록 06~07시],$P2213))</f>
        <v/>
      </c>
      <c r="K2213">
        <f>IF($P2213="","",INDEX(상세표[블록 07~18시],$P2213))</f>
        <v/>
      </c>
      <c r="L2213">
        <f>IF($P2213="","",INDEX(상세표[블록 18~22시],$P2213))</f>
        <v/>
      </c>
      <c r="M2213">
        <f>IF($P2213="","",INDEX(상세표[블록 22~06시],$P2213))</f>
        <v/>
      </c>
      <c r="N2213">
        <f>IF($P2213="","",INDEX(상세표[주말·휴일 포함],$P2213)&amp;"")</f>
        <v/>
      </c>
      <c r="O2213">
        <f>IF($P2213="","",INDEX(상세표[월 넘김 포함],$P2213)&amp;"")</f>
        <v/>
      </c>
      <c r="P2213" s="4">
        <f>IFERROR(MATCH(2208,상세표[연속순번],0),"")</f>
        <v/>
      </c>
    </row>
    <row r="2214">
      <c r="A2214">
        <f>IF($P2214="","",INDEX(상세표[사번],$P2214)&amp;"")</f>
        <v/>
      </c>
      <c r="B2214">
        <f>IF($P2214="","",INDEX(상세표[성명],$P2214)&amp;"")</f>
        <v/>
      </c>
      <c r="C2214">
        <f>IF($P2214="","",INDEX(상세표[부서],$P2214)&amp;"")</f>
        <v/>
      </c>
      <c r="D2214">
        <f>IF($P2214="","",INDEX(상세표[직위],$P2214)&amp;"")</f>
        <v/>
      </c>
      <c r="E2214">
        <f>IF($P2214="","",IF(ISNUMBER(INDEX(상세표[시작],$P2214)),TEXT(INDEX(상세표[시작],$P2214),"yyyy-mm-dd hh:mm"),INDEX(상세표[시작],$P2214)&amp;""))</f>
        <v/>
      </c>
      <c r="F2214">
        <f>IF($P2214="","",IF(ISNUMBER(INDEX(상세표[블록종료],$P2214)),TEXT(INDEX(상세표[블록종료],$P2214),"yyyy-mm-dd hh:mm"),INDEX(상세표[블록종료],$P2214)&amp;""))</f>
        <v/>
      </c>
      <c r="G2214">
        <f>IF($P2214="","",CHOOSE(WEEKDAY(INDEX(상세표[시작],$P2214)),"일","월","화","수","목","금","토"))</f>
        <v/>
      </c>
      <c r="H2214">
        <f>IF($P2214="","",INDEX(상세표[연속 시간],$P2214))</f>
        <v/>
      </c>
      <c r="I2214">
        <f>IF($P2214="","",INDEX(상세표[기록 수],$P2214))</f>
        <v/>
      </c>
      <c r="J2214">
        <f>IF($P2214="","",INDEX(상세표[블록 06~07시],$P2214))</f>
        <v/>
      </c>
      <c r="K2214">
        <f>IF($P2214="","",INDEX(상세표[블록 07~18시],$P2214))</f>
        <v/>
      </c>
      <c r="L2214">
        <f>IF($P2214="","",INDEX(상세표[블록 18~22시],$P2214))</f>
        <v/>
      </c>
      <c r="M2214">
        <f>IF($P2214="","",INDEX(상세표[블록 22~06시],$P2214))</f>
        <v/>
      </c>
      <c r="N2214">
        <f>IF($P2214="","",INDEX(상세표[주말·휴일 포함],$P2214)&amp;"")</f>
        <v/>
      </c>
      <c r="O2214">
        <f>IF($P2214="","",INDEX(상세표[월 넘김 포함],$P2214)&amp;"")</f>
        <v/>
      </c>
      <c r="P2214" s="4">
        <f>IFERROR(MATCH(2209,상세표[연속순번],0),"")</f>
        <v/>
      </c>
    </row>
    <row r="2215">
      <c r="A2215">
        <f>IF($P2215="","",INDEX(상세표[사번],$P2215)&amp;"")</f>
        <v/>
      </c>
      <c r="B2215">
        <f>IF($P2215="","",INDEX(상세표[성명],$P2215)&amp;"")</f>
        <v/>
      </c>
      <c r="C2215">
        <f>IF($P2215="","",INDEX(상세표[부서],$P2215)&amp;"")</f>
        <v/>
      </c>
      <c r="D2215">
        <f>IF($P2215="","",INDEX(상세표[직위],$P2215)&amp;"")</f>
        <v/>
      </c>
      <c r="E2215">
        <f>IF($P2215="","",IF(ISNUMBER(INDEX(상세표[시작],$P2215)),TEXT(INDEX(상세표[시작],$P2215),"yyyy-mm-dd hh:mm"),INDEX(상세표[시작],$P2215)&amp;""))</f>
        <v/>
      </c>
      <c r="F2215">
        <f>IF($P2215="","",IF(ISNUMBER(INDEX(상세표[블록종료],$P2215)),TEXT(INDEX(상세표[블록종료],$P2215),"yyyy-mm-dd hh:mm"),INDEX(상세표[블록종료],$P2215)&amp;""))</f>
        <v/>
      </c>
      <c r="G2215">
        <f>IF($P2215="","",CHOOSE(WEEKDAY(INDEX(상세표[시작],$P2215)),"일","월","화","수","목","금","토"))</f>
        <v/>
      </c>
      <c r="H2215">
        <f>IF($P2215="","",INDEX(상세표[연속 시간],$P2215))</f>
        <v/>
      </c>
      <c r="I2215">
        <f>IF($P2215="","",INDEX(상세표[기록 수],$P2215))</f>
        <v/>
      </c>
      <c r="J2215">
        <f>IF($P2215="","",INDEX(상세표[블록 06~07시],$P2215))</f>
        <v/>
      </c>
      <c r="K2215">
        <f>IF($P2215="","",INDEX(상세표[블록 07~18시],$P2215))</f>
        <v/>
      </c>
      <c r="L2215">
        <f>IF($P2215="","",INDEX(상세표[블록 18~22시],$P2215))</f>
        <v/>
      </c>
      <c r="M2215">
        <f>IF($P2215="","",INDEX(상세표[블록 22~06시],$P2215))</f>
        <v/>
      </c>
      <c r="N2215">
        <f>IF($P2215="","",INDEX(상세표[주말·휴일 포함],$P2215)&amp;"")</f>
        <v/>
      </c>
      <c r="O2215">
        <f>IF($P2215="","",INDEX(상세표[월 넘김 포함],$P2215)&amp;"")</f>
        <v/>
      </c>
      <c r="P2215" s="4">
        <f>IFERROR(MATCH(2210,상세표[연속순번],0),"")</f>
        <v/>
      </c>
    </row>
    <row r="2216">
      <c r="A2216">
        <f>IF($P2216="","",INDEX(상세표[사번],$P2216)&amp;"")</f>
        <v/>
      </c>
      <c r="B2216">
        <f>IF($P2216="","",INDEX(상세표[성명],$P2216)&amp;"")</f>
        <v/>
      </c>
      <c r="C2216">
        <f>IF($P2216="","",INDEX(상세표[부서],$P2216)&amp;"")</f>
        <v/>
      </c>
      <c r="D2216">
        <f>IF($P2216="","",INDEX(상세표[직위],$P2216)&amp;"")</f>
        <v/>
      </c>
      <c r="E2216">
        <f>IF($P2216="","",IF(ISNUMBER(INDEX(상세표[시작],$P2216)),TEXT(INDEX(상세표[시작],$P2216),"yyyy-mm-dd hh:mm"),INDEX(상세표[시작],$P2216)&amp;""))</f>
        <v/>
      </c>
      <c r="F2216">
        <f>IF($P2216="","",IF(ISNUMBER(INDEX(상세표[블록종료],$P2216)),TEXT(INDEX(상세표[블록종료],$P2216),"yyyy-mm-dd hh:mm"),INDEX(상세표[블록종료],$P2216)&amp;""))</f>
        <v/>
      </c>
      <c r="G2216">
        <f>IF($P2216="","",CHOOSE(WEEKDAY(INDEX(상세표[시작],$P2216)),"일","월","화","수","목","금","토"))</f>
        <v/>
      </c>
      <c r="H2216">
        <f>IF($P2216="","",INDEX(상세표[연속 시간],$P2216))</f>
        <v/>
      </c>
      <c r="I2216">
        <f>IF($P2216="","",INDEX(상세표[기록 수],$P2216))</f>
        <v/>
      </c>
      <c r="J2216">
        <f>IF($P2216="","",INDEX(상세표[블록 06~07시],$P2216))</f>
        <v/>
      </c>
      <c r="K2216">
        <f>IF($P2216="","",INDEX(상세표[블록 07~18시],$P2216))</f>
        <v/>
      </c>
      <c r="L2216">
        <f>IF($P2216="","",INDEX(상세표[블록 18~22시],$P2216))</f>
        <v/>
      </c>
      <c r="M2216">
        <f>IF($P2216="","",INDEX(상세표[블록 22~06시],$P2216))</f>
        <v/>
      </c>
      <c r="N2216">
        <f>IF($P2216="","",INDEX(상세표[주말·휴일 포함],$P2216)&amp;"")</f>
        <v/>
      </c>
      <c r="O2216">
        <f>IF($P2216="","",INDEX(상세표[월 넘김 포함],$P2216)&amp;"")</f>
        <v/>
      </c>
      <c r="P2216" s="4">
        <f>IFERROR(MATCH(2211,상세표[연속순번],0),"")</f>
        <v/>
      </c>
    </row>
    <row r="2217">
      <c r="A2217">
        <f>IF($P2217="","",INDEX(상세표[사번],$P2217)&amp;"")</f>
        <v/>
      </c>
      <c r="B2217">
        <f>IF($P2217="","",INDEX(상세표[성명],$P2217)&amp;"")</f>
        <v/>
      </c>
      <c r="C2217">
        <f>IF($P2217="","",INDEX(상세표[부서],$P2217)&amp;"")</f>
        <v/>
      </c>
      <c r="D2217">
        <f>IF($P2217="","",INDEX(상세표[직위],$P2217)&amp;"")</f>
        <v/>
      </c>
      <c r="E2217">
        <f>IF($P2217="","",IF(ISNUMBER(INDEX(상세표[시작],$P2217)),TEXT(INDEX(상세표[시작],$P2217),"yyyy-mm-dd hh:mm"),INDEX(상세표[시작],$P2217)&amp;""))</f>
        <v/>
      </c>
      <c r="F2217">
        <f>IF($P2217="","",IF(ISNUMBER(INDEX(상세표[블록종료],$P2217)),TEXT(INDEX(상세표[블록종료],$P2217),"yyyy-mm-dd hh:mm"),INDEX(상세표[블록종료],$P2217)&amp;""))</f>
        <v/>
      </c>
      <c r="G2217">
        <f>IF($P2217="","",CHOOSE(WEEKDAY(INDEX(상세표[시작],$P2217)),"일","월","화","수","목","금","토"))</f>
        <v/>
      </c>
      <c r="H2217">
        <f>IF($P2217="","",INDEX(상세표[연속 시간],$P2217))</f>
        <v/>
      </c>
      <c r="I2217">
        <f>IF($P2217="","",INDEX(상세표[기록 수],$P2217))</f>
        <v/>
      </c>
      <c r="J2217">
        <f>IF($P2217="","",INDEX(상세표[블록 06~07시],$P2217))</f>
        <v/>
      </c>
      <c r="K2217">
        <f>IF($P2217="","",INDEX(상세표[블록 07~18시],$P2217))</f>
        <v/>
      </c>
      <c r="L2217">
        <f>IF($P2217="","",INDEX(상세표[블록 18~22시],$P2217))</f>
        <v/>
      </c>
      <c r="M2217">
        <f>IF($P2217="","",INDEX(상세표[블록 22~06시],$P2217))</f>
        <v/>
      </c>
      <c r="N2217">
        <f>IF($P2217="","",INDEX(상세표[주말·휴일 포함],$P2217)&amp;"")</f>
        <v/>
      </c>
      <c r="O2217">
        <f>IF($P2217="","",INDEX(상세표[월 넘김 포함],$P2217)&amp;"")</f>
        <v/>
      </c>
      <c r="P2217" s="4">
        <f>IFERROR(MATCH(2212,상세표[연속순번],0),"")</f>
        <v/>
      </c>
    </row>
    <row r="2218">
      <c r="A2218">
        <f>IF($P2218="","",INDEX(상세표[사번],$P2218)&amp;"")</f>
        <v/>
      </c>
      <c r="B2218">
        <f>IF($P2218="","",INDEX(상세표[성명],$P2218)&amp;"")</f>
        <v/>
      </c>
      <c r="C2218">
        <f>IF($P2218="","",INDEX(상세표[부서],$P2218)&amp;"")</f>
        <v/>
      </c>
      <c r="D2218">
        <f>IF($P2218="","",INDEX(상세표[직위],$P2218)&amp;"")</f>
        <v/>
      </c>
      <c r="E2218">
        <f>IF($P2218="","",IF(ISNUMBER(INDEX(상세표[시작],$P2218)),TEXT(INDEX(상세표[시작],$P2218),"yyyy-mm-dd hh:mm"),INDEX(상세표[시작],$P2218)&amp;""))</f>
        <v/>
      </c>
      <c r="F2218">
        <f>IF($P2218="","",IF(ISNUMBER(INDEX(상세표[블록종료],$P2218)),TEXT(INDEX(상세표[블록종료],$P2218),"yyyy-mm-dd hh:mm"),INDEX(상세표[블록종료],$P2218)&amp;""))</f>
        <v/>
      </c>
      <c r="G2218">
        <f>IF($P2218="","",CHOOSE(WEEKDAY(INDEX(상세표[시작],$P2218)),"일","월","화","수","목","금","토"))</f>
        <v/>
      </c>
      <c r="H2218">
        <f>IF($P2218="","",INDEX(상세표[연속 시간],$P2218))</f>
        <v/>
      </c>
      <c r="I2218">
        <f>IF($P2218="","",INDEX(상세표[기록 수],$P2218))</f>
        <v/>
      </c>
      <c r="J2218">
        <f>IF($P2218="","",INDEX(상세표[블록 06~07시],$P2218))</f>
        <v/>
      </c>
      <c r="K2218">
        <f>IF($P2218="","",INDEX(상세표[블록 07~18시],$P2218))</f>
        <v/>
      </c>
      <c r="L2218">
        <f>IF($P2218="","",INDEX(상세표[블록 18~22시],$P2218))</f>
        <v/>
      </c>
      <c r="M2218">
        <f>IF($P2218="","",INDEX(상세표[블록 22~06시],$P2218))</f>
        <v/>
      </c>
      <c r="N2218">
        <f>IF($P2218="","",INDEX(상세표[주말·휴일 포함],$P2218)&amp;"")</f>
        <v/>
      </c>
      <c r="O2218">
        <f>IF($P2218="","",INDEX(상세표[월 넘김 포함],$P2218)&amp;"")</f>
        <v/>
      </c>
      <c r="P2218" s="4">
        <f>IFERROR(MATCH(2213,상세표[연속순번],0),"")</f>
        <v/>
      </c>
    </row>
    <row r="2219">
      <c r="A2219">
        <f>IF($P2219="","",INDEX(상세표[사번],$P2219)&amp;"")</f>
        <v/>
      </c>
      <c r="B2219">
        <f>IF($P2219="","",INDEX(상세표[성명],$P2219)&amp;"")</f>
        <v/>
      </c>
      <c r="C2219">
        <f>IF($P2219="","",INDEX(상세표[부서],$P2219)&amp;"")</f>
        <v/>
      </c>
      <c r="D2219">
        <f>IF($P2219="","",INDEX(상세표[직위],$P2219)&amp;"")</f>
        <v/>
      </c>
      <c r="E2219">
        <f>IF($P2219="","",IF(ISNUMBER(INDEX(상세표[시작],$P2219)),TEXT(INDEX(상세표[시작],$P2219),"yyyy-mm-dd hh:mm"),INDEX(상세표[시작],$P2219)&amp;""))</f>
        <v/>
      </c>
      <c r="F2219">
        <f>IF($P2219="","",IF(ISNUMBER(INDEX(상세표[블록종료],$P2219)),TEXT(INDEX(상세표[블록종료],$P2219),"yyyy-mm-dd hh:mm"),INDEX(상세표[블록종료],$P2219)&amp;""))</f>
        <v/>
      </c>
      <c r="G2219">
        <f>IF($P2219="","",CHOOSE(WEEKDAY(INDEX(상세표[시작],$P2219)),"일","월","화","수","목","금","토"))</f>
        <v/>
      </c>
      <c r="H2219">
        <f>IF($P2219="","",INDEX(상세표[연속 시간],$P2219))</f>
        <v/>
      </c>
      <c r="I2219">
        <f>IF($P2219="","",INDEX(상세표[기록 수],$P2219))</f>
        <v/>
      </c>
      <c r="J2219">
        <f>IF($P2219="","",INDEX(상세표[블록 06~07시],$P2219))</f>
        <v/>
      </c>
      <c r="K2219">
        <f>IF($P2219="","",INDEX(상세표[블록 07~18시],$P2219))</f>
        <v/>
      </c>
      <c r="L2219">
        <f>IF($P2219="","",INDEX(상세표[블록 18~22시],$P2219))</f>
        <v/>
      </c>
      <c r="M2219">
        <f>IF($P2219="","",INDEX(상세표[블록 22~06시],$P2219))</f>
        <v/>
      </c>
      <c r="N2219">
        <f>IF($P2219="","",INDEX(상세표[주말·휴일 포함],$P2219)&amp;"")</f>
        <v/>
      </c>
      <c r="O2219">
        <f>IF($P2219="","",INDEX(상세표[월 넘김 포함],$P2219)&amp;"")</f>
        <v/>
      </c>
      <c r="P2219" s="4">
        <f>IFERROR(MATCH(2214,상세표[연속순번],0),"")</f>
        <v/>
      </c>
    </row>
    <row r="2220">
      <c r="A2220">
        <f>IF($P2220="","",INDEX(상세표[사번],$P2220)&amp;"")</f>
        <v/>
      </c>
      <c r="B2220">
        <f>IF($P2220="","",INDEX(상세표[성명],$P2220)&amp;"")</f>
        <v/>
      </c>
      <c r="C2220">
        <f>IF($P2220="","",INDEX(상세표[부서],$P2220)&amp;"")</f>
        <v/>
      </c>
      <c r="D2220">
        <f>IF($P2220="","",INDEX(상세표[직위],$P2220)&amp;"")</f>
        <v/>
      </c>
      <c r="E2220">
        <f>IF($P2220="","",IF(ISNUMBER(INDEX(상세표[시작],$P2220)),TEXT(INDEX(상세표[시작],$P2220),"yyyy-mm-dd hh:mm"),INDEX(상세표[시작],$P2220)&amp;""))</f>
        <v/>
      </c>
      <c r="F2220">
        <f>IF($P2220="","",IF(ISNUMBER(INDEX(상세표[블록종료],$P2220)),TEXT(INDEX(상세표[블록종료],$P2220),"yyyy-mm-dd hh:mm"),INDEX(상세표[블록종료],$P2220)&amp;""))</f>
        <v/>
      </c>
      <c r="G2220">
        <f>IF($P2220="","",CHOOSE(WEEKDAY(INDEX(상세표[시작],$P2220)),"일","월","화","수","목","금","토"))</f>
        <v/>
      </c>
      <c r="H2220">
        <f>IF($P2220="","",INDEX(상세표[연속 시간],$P2220))</f>
        <v/>
      </c>
      <c r="I2220">
        <f>IF($P2220="","",INDEX(상세표[기록 수],$P2220))</f>
        <v/>
      </c>
      <c r="J2220">
        <f>IF($P2220="","",INDEX(상세표[블록 06~07시],$P2220))</f>
        <v/>
      </c>
      <c r="K2220">
        <f>IF($P2220="","",INDEX(상세표[블록 07~18시],$P2220))</f>
        <v/>
      </c>
      <c r="L2220">
        <f>IF($P2220="","",INDEX(상세표[블록 18~22시],$P2220))</f>
        <v/>
      </c>
      <c r="M2220">
        <f>IF($P2220="","",INDEX(상세표[블록 22~06시],$P2220))</f>
        <v/>
      </c>
      <c r="N2220">
        <f>IF($P2220="","",INDEX(상세표[주말·휴일 포함],$P2220)&amp;"")</f>
        <v/>
      </c>
      <c r="O2220">
        <f>IF($P2220="","",INDEX(상세표[월 넘김 포함],$P2220)&amp;"")</f>
        <v/>
      </c>
      <c r="P2220" s="4">
        <f>IFERROR(MATCH(2215,상세표[연속순번],0),"")</f>
        <v/>
      </c>
    </row>
    <row r="2221">
      <c r="A2221">
        <f>IF($P2221="","",INDEX(상세표[사번],$P2221)&amp;"")</f>
        <v/>
      </c>
      <c r="B2221">
        <f>IF($P2221="","",INDEX(상세표[성명],$P2221)&amp;"")</f>
        <v/>
      </c>
      <c r="C2221">
        <f>IF($P2221="","",INDEX(상세표[부서],$P2221)&amp;"")</f>
        <v/>
      </c>
      <c r="D2221">
        <f>IF($P2221="","",INDEX(상세표[직위],$P2221)&amp;"")</f>
        <v/>
      </c>
      <c r="E2221">
        <f>IF($P2221="","",IF(ISNUMBER(INDEX(상세표[시작],$P2221)),TEXT(INDEX(상세표[시작],$P2221),"yyyy-mm-dd hh:mm"),INDEX(상세표[시작],$P2221)&amp;""))</f>
        <v/>
      </c>
      <c r="F2221">
        <f>IF($P2221="","",IF(ISNUMBER(INDEX(상세표[블록종료],$P2221)),TEXT(INDEX(상세표[블록종료],$P2221),"yyyy-mm-dd hh:mm"),INDEX(상세표[블록종료],$P2221)&amp;""))</f>
        <v/>
      </c>
      <c r="G2221">
        <f>IF($P2221="","",CHOOSE(WEEKDAY(INDEX(상세표[시작],$P2221)),"일","월","화","수","목","금","토"))</f>
        <v/>
      </c>
      <c r="H2221">
        <f>IF($P2221="","",INDEX(상세표[연속 시간],$P2221))</f>
        <v/>
      </c>
      <c r="I2221">
        <f>IF($P2221="","",INDEX(상세표[기록 수],$P2221))</f>
        <v/>
      </c>
      <c r="J2221">
        <f>IF($P2221="","",INDEX(상세표[블록 06~07시],$P2221))</f>
        <v/>
      </c>
      <c r="K2221">
        <f>IF($P2221="","",INDEX(상세표[블록 07~18시],$P2221))</f>
        <v/>
      </c>
      <c r="L2221">
        <f>IF($P2221="","",INDEX(상세표[블록 18~22시],$P2221))</f>
        <v/>
      </c>
      <c r="M2221">
        <f>IF($P2221="","",INDEX(상세표[블록 22~06시],$P2221))</f>
        <v/>
      </c>
      <c r="N2221">
        <f>IF($P2221="","",INDEX(상세표[주말·휴일 포함],$P2221)&amp;"")</f>
        <v/>
      </c>
      <c r="O2221">
        <f>IF($P2221="","",INDEX(상세표[월 넘김 포함],$P2221)&amp;"")</f>
        <v/>
      </c>
      <c r="P2221" s="4">
        <f>IFERROR(MATCH(2216,상세표[연속순번],0),"")</f>
        <v/>
      </c>
    </row>
    <row r="2222">
      <c r="A2222">
        <f>IF($P2222="","",INDEX(상세표[사번],$P2222)&amp;"")</f>
        <v/>
      </c>
      <c r="B2222">
        <f>IF($P2222="","",INDEX(상세표[성명],$P2222)&amp;"")</f>
        <v/>
      </c>
      <c r="C2222">
        <f>IF($P2222="","",INDEX(상세표[부서],$P2222)&amp;"")</f>
        <v/>
      </c>
      <c r="D2222">
        <f>IF($P2222="","",INDEX(상세표[직위],$P2222)&amp;"")</f>
        <v/>
      </c>
      <c r="E2222">
        <f>IF($P2222="","",IF(ISNUMBER(INDEX(상세표[시작],$P2222)),TEXT(INDEX(상세표[시작],$P2222),"yyyy-mm-dd hh:mm"),INDEX(상세표[시작],$P2222)&amp;""))</f>
        <v/>
      </c>
      <c r="F2222">
        <f>IF($P2222="","",IF(ISNUMBER(INDEX(상세표[블록종료],$P2222)),TEXT(INDEX(상세표[블록종료],$P2222),"yyyy-mm-dd hh:mm"),INDEX(상세표[블록종료],$P2222)&amp;""))</f>
        <v/>
      </c>
      <c r="G2222">
        <f>IF($P2222="","",CHOOSE(WEEKDAY(INDEX(상세표[시작],$P2222)),"일","월","화","수","목","금","토"))</f>
        <v/>
      </c>
      <c r="H2222">
        <f>IF($P2222="","",INDEX(상세표[연속 시간],$P2222))</f>
        <v/>
      </c>
      <c r="I2222">
        <f>IF($P2222="","",INDEX(상세표[기록 수],$P2222))</f>
        <v/>
      </c>
      <c r="J2222">
        <f>IF($P2222="","",INDEX(상세표[블록 06~07시],$P2222))</f>
        <v/>
      </c>
      <c r="K2222">
        <f>IF($P2222="","",INDEX(상세표[블록 07~18시],$P2222))</f>
        <v/>
      </c>
      <c r="L2222">
        <f>IF($P2222="","",INDEX(상세표[블록 18~22시],$P2222))</f>
        <v/>
      </c>
      <c r="M2222">
        <f>IF($P2222="","",INDEX(상세표[블록 22~06시],$P2222))</f>
        <v/>
      </c>
      <c r="N2222">
        <f>IF($P2222="","",INDEX(상세표[주말·휴일 포함],$P2222)&amp;"")</f>
        <v/>
      </c>
      <c r="O2222">
        <f>IF($P2222="","",INDEX(상세표[월 넘김 포함],$P2222)&amp;"")</f>
        <v/>
      </c>
      <c r="P2222" s="4">
        <f>IFERROR(MATCH(2217,상세표[연속순번],0),"")</f>
        <v/>
      </c>
    </row>
    <row r="2223">
      <c r="A2223">
        <f>IF($P2223="","",INDEX(상세표[사번],$P2223)&amp;"")</f>
        <v/>
      </c>
      <c r="B2223">
        <f>IF($P2223="","",INDEX(상세표[성명],$P2223)&amp;"")</f>
        <v/>
      </c>
      <c r="C2223">
        <f>IF($P2223="","",INDEX(상세표[부서],$P2223)&amp;"")</f>
        <v/>
      </c>
      <c r="D2223">
        <f>IF($P2223="","",INDEX(상세표[직위],$P2223)&amp;"")</f>
        <v/>
      </c>
      <c r="E2223">
        <f>IF($P2223="","",IF(ISNUMBER(INDEX(상세표[시작],$P2223)),TEXT(INDEX(상세표[시작],$P2223),"yyyy-mm-dd hh:mm"),INDEX(상세표[시작],$P2223)&amp;""))</f>
        <v/>
      </c>
      <c r="F2223">
        <f>IF($P2223="","",IF(ISNUMBER(INDEX(상세표[블록종료],$P2223)),TEXT(INDEX(상세표[블록종료],$P2223),"yyyy-mm-dd hh:mm"),INDEX(상세표[블록종료],$P2223)&amp;""))</f>
        <v/>
      </c>
      <c r="G2223">
        <f>IF($P2223="","",CHOOSE(WEEKDAY(INDEX(상세표[시작],$P2223)),"일","월","화","수","목","금","토"))</f>
        <v/>
      </c>
      <c r="H2223">
        <f>IF($P2223="","",INDEX(상세표[연속 시간],$P2223))</f>
        <v/>
      </c>
      <c r="I2223">
        <f>IF($P2223="","",INDEX(상세표[기록 수],$P2223))</f>
        <v/>
      </c>
      <c r="J2223">
        <f>IF($P2223="","",INDEX(상세표[블록 06~07시],$P2223))</f>
        <v/>
      </c>
      <c r="K2223">
        <f>IF($P2223="","",INDEX(상세표[블록 07~18시],$P2223))</f>
        <v/>
      </c>
      <c r="L2223">
        <f>IF($P2223="","",INDEX(상세표[블록 18~22시],$P2223))</f>
        <v/>
      </c>
      <c r="M2223">
        <f>IF($P2223="","",INDEX(상세표[블록 22~06시],$P2223))</f>
        <v/>
      </c>
      <c r="N2223">
        <f>IF($P2223="","",INDEX(상세표[주말·휴일 포함],$P2223)&amp;"")</f>
        <v/>
      </c>
      <c r="O2223">
        <f>IF($P2223="","",INDEX(상세표[월 넘김 포함],$P2223)&amp;"")</f>
        <v/>
      </c>
      <c r="P2223" s="4">
        <f>IFERROR(MATCH(2218,상세표[연속순번],0),"")</f>
        <v/>
      </c>
    </row>
    <row r="2224">
      <c r="A2224">
        <f>IF($P2224="","",INDEX(상세표[사번],$P2224)&amp;"")</f>
        <v/>
      </c>
      <c r="B2224">
        <f>IF($P2224="","",INDEX(상세표[성명],$P2224)&amp;"")</f>
        <v/>
      </c>
      <c r="C2224">
        <f>IF($P2224="","",INDEX(상세표[부서],$P2224)&amp;"")</f>
        <v/>
      </c>
      <c r="D2224">
        <f>IF($P2224="","",INDEX(상세표[직위],$P2224)&amp;"")</f>
        <v/>
      </c>
      <c r="E2224">
        <f>IF($P2224="","",IF(ISNUMBER(INDEX(상세표[시작],$P2224)),TEXT(INDEX(상세표[시작],$P2224),"yyyy-mm-dd hh:mm"),INDEX(상세표[시작],$P2224)&amp;""))</f>
        <v/>
      </c>
      <c r="F2224">
        <f>IF($P2224="","",IF(ISNUMBER(INDEX(상세표[블록종료],$P2224)),TEXT(INDEX(상세표[블록종료],$P2224),"yyyy-mm-dd hh:mm"),INDEX(상세표[블록종료],$P2224)&amp;""))</f>
        <v/>
      </c>
      <c r="G2224">
        <f>IF($P2224="","",CHOOSE(WEEKDAY(INDEX(상세표[시작],$P2224)),"일","월","화","수","목","금","토"))</f>
        <v/>
      </c>
      <c r="H2224">
        <f>IF($P2224="","",INDEX(상세표[연속 시간],$P2224))</f>
        <v/>
      </c>
      <c r="I2224">
        <f>IF($P2224="","",INDEX(상세표[기록 수],$P2224))</f>
        <v/>
      </c>
      <c r="J2224">
        <f>IF($P2224="","",INDEX(상세표[블록 06~07시],$P2224))</f>
        <v/>
      </c>
      <c r="K2224">
        <f>IF($P2224="","",INDEX(상세표[블록 07~18시],$P2224))</f>
        <v/>
      </c>
      <c r="L2224">
        <f>IF($P2224="","",INDEX(상세표[블록 18~22시],$P2224))</f>
        <v/>
      </c>
      <c r="M2224">
        <f>IF($P2224="","",INDEX(상세표[블록 22~06시],$P2224))</f>
        <v/>
      </c>
      <c r="N2224">
        <f>IF($P2224="","",INDEX(상세표[주말·휴일 포함],$P2224)&amp;"")</f>
        <v/>
      </c>
      <c r="O2224">
        <f>IF($P2224="","",INDEX(상세표[월 넘김 포함],$P2224)&amp;"")</f>
        <v/>
      </c>
      <c r="P2224" s="4">
        <f>IFERROR(MATCH(2219,상세표[연속순번],0),"")</f>
        <v/>
      </c>
    </row>
    <row r="2225">
      <c r="A2225">
        <f>IF($P2225="","",INDEX(상세표[사번],$P2225)&amp;"")</f>
        <v/>
      </c>
      <c r="B2225">
        <f>IF($P2225="","",INDEX(상세표[성명],$P2225)&amp;"")</f>
        <v/>
      </c>
      <c r="C2225">
        <f>IF($P2225="","",INDEX(상세표[부서],$P2225)&amp;"")</f>
        <v/>
      </c>
      <c r="D2225">
        <f>IF($P2225="","",INDEX(상세표[직위],$P2225)&amp;"")</f>
        <v/>
      </c>
      <c r="E2225">
        <f>IF($P2225="","",IF(ISNUMBER(INDEX(상세표[시작],$P2225)),TEXT(INDEX(상세표[시작],$P2225),"yyyy-mm-dd hh:mm"),INDEX(상세표[시작],$P2225)&amp;""))</f>
        <v/>
      </c>
      <c r="F2225">
        <f>IF($P2225="","",IF(ISNUMBER(INDEX(상세표[블록종료],$P2225)),TEXT(INDEX(상세표[블록종료],$P2225),"yyyy-mm-dd hh:mm"),INDEX(상세표[블록종료],$P2225)&amp;""))</f>
        <v/>
      </c>
      <c r="G2225">
        <f>IF($P2225="","",CHOOSE(WEEKDAY(INDEX(상세표[시작],$P2225)),"일","월","화","수","목","금","토"))</f>
        <v/>
      </c>
      <c r="H2225">
        <f>IF($P2225="","",INDEX(상세표[연속 시간],$P2225))</f>
        <v/>
      </c>
      <c r="I2225">
        <f>IF($P2225="","",INDEX(상세표[기록 수],$P2225))</f>
        <v/>
      </c>
      <c r="J2225">
        <f>IF($P2225="","",INDEX(상세표[블록 06~07시],$P2225))</f>
        <v/>
      </c>
      <c r="K2225">
        <f>IF($P2225="","",INDEX(상세표[블록 07~18시],$P2225))</f>
        <v/>
      </c>
      <c r="L2225">
        <f>IF($P2225="","",INDEX(상세표[블록 18~22시],$P2225))</f>
        <v/>
      </c>
      <c r="M2225">
        <f>IF($P2225="","",INDEX(상세표[블록 22~06시],$P2225))</f>
        <v/>
      </c>
      <c r="N2225">
        <f>IF($P2225="","",INDEX(상세표[주말·휴일 포함],$P2225)&amp;"")</f>
        <v/>
      </c>
      <c r="O2225">
        <f>IF($P2225="","",INDEX(상세표[월 넘김 포함],$P2225)&amp;"")</f>
        <v/>
      </c>
      <c r="P2225" s="4">
        <f>IFERROR(MATCH(2220,상세표[연속순번],0),"")</f>
        <v/>
      </c>
    </row>
    <row r="2226">
      <c r="A2226">
        <f>IF($P2226="","",INDEX(상세표[사번],$P2226)&amp;"")</f>
        <v/>
      </c>
      <c r="B2226">
        <f>IF($P2226="","",INDEX(상세표[성명],$P2226)&amp;"")</f>
        <v/>
      </c>
      <c r="C2226">
        <f>IF($P2226="","",INDEX(상세표[부서],$P2226)&amp;"")</f>
        <v/>
      </c>
      <c r="D2226">
        <f>IF($P2226="","",INDEX(상세표[직위],$P2226)&amp;"")</f>
        <v/>
      </c>
      <c r="E2226">
        <f>IF($P2226="","",IF(ISNUMBER(INDEX(상세표[시작],$P2226)),TEXT(INDEX(상세표[시작],$P2226),"yyyy-mm-dd hh:mm"),INDEX(상세표[시작],$P2226)&amp;""))</f>
        <v/>
      </c>
      <c r="F2226">
        <f>IF($P2226="","",IF(ISNUMBER(INDEX(상세표[블록종료],$P2226)),TEXT(INDEX(상세표[블록종료],$P2226),"yyyy-mm-dd hh:mm"),INDEX(상세표[블록종료],$P2226)&amp;""))</f>
        <v/>
      </c>
      <c r="G2226">
        <f>IF($P2226="","",CHOOSE(WEEKDAY(INDEX(상세표[시작],$P2226)),"일","월","화","수","목","금","토"))</f>
        <v/>
      </c>
      <c r="H2226">
        <f>IF($P2226="","",INDEX(상세표[연속 시간],$P2226))</f>
        <v/>
      </c>
      <c r="I2226">
        <f>IF($P2226="","",INDEX(상세표[기록 수],$P2226))</f>
        <v/>
      </c>
      <c r="J2226">
        <f>IF($P2226="","",INDEX(상세표[블록 06~07시],$P2226))</f>
        <v/>
      </c>
      <c r="K2226">
        <f>IF($P2226="","",INDEX(상세표[블록 07~18시],$P2226))</f>
        <v/>
      </c>
      <c r="L2226">
        <f>IF($P2226="","",INDEX(상세표[블록 18~22시],$P2226))</f>
        <v/>
      </c>
      <c r="M2226">
        <f>IF($P2226="","",INDEX(상세표[블록 22~06시],$P2226))</f>
        <v/>
      </c>
      <c r="N2226">
        <f>IF($P2226="","",INDEX(상세표[주말·휴일 포함],$P2226)&amp;"")</f>
        <v/>
      </c>
      <c r="O2226">
        <f>IF($P2226="","",INDEX(상세표[월 넘김 포함],$P2226)&amp;"")</f>
        <v/>
      </c>
      <c r="P2226" s="4">
        <f>IFERROR(MATCH(2221,상세표[연속순번],0),"")</f>
        <v/>
      </c>
    </row>
    <row r="2227">
      <c r="A2227">
        <f>IF($P2227="","",INDEX(상세표[사번],$P2227)&amp;"")</f>
        <v/>
      </c>
      <c r="B2227">
        <f>IF($P2227="","",INDEX(상세표[성명],$P2227)&amp;"")</f>
        <v/>
      </c>
      <c r="C2227">
        <f>IF($P2227="","",INDEX(상세표[부서],$P2227)&amp;"")</f>
        <v/>
      </c>
      <c r="D2227">
        <f>IF($P2227="","",INDEX(상세표[직위],$P2227)&amp;"")</f>
        <v/>
      </c>
      <c r="E2227">
        <f>IF($P2227="","",IF(ISNUMBER(INDEX(상세표[시작],$P2227)),TEXT(INDEX(상세표[시작],$P2227),"yyyy-mm-dd hh:mm"),INDEX(상세표[시작],$P2227)&amp;""))</f>
        <v/>
      </c>
      <c r="F2227">
        <f>IF($P2227="","",IF(ISNUMBER(INDEX(상세표[블록종료],$P2227)),TEXT(INDEX(상세표[블록종료],$P2227),"yyyy-mm-dd hh:mm"),INDEX(상세표[블록종료],$P2227)&amp;""))</f>
        <v/>
      </c>
      <c r="G2227">
        <f>IF($P2227="","",CHOOSE(WEEKDAY(INDEX(상세표[시작],$P2227)),"일","월","화","수","목","금","토"))</f>
        <v/>
      </c>
      <c r="H2227">
        <f>IF($P2227="","",INDEX(상세표[연속 시간],$P2227))</f>
        <v/>
      </c>
      <c r="I2227">
        <f>IF($P2227="","",INDEX(상세표[기록 수],$P2227))</f>
        <v/>
      </c>
      <c r="J2227">
        <f>IF($P2227="","",INDEX(상세표[블록 06~07시],$P2227))</f>
        <v/>
      </c>
      <c r="K2227">
        <f>IF($P2227="","",INDEX(상세표[블록 07~18시],$P2227))</f>
        <v/>
      </c>
      <c r="L2227">
        <f>IF($P2227="","",INDEX(상세표[블록 18~22시],$P2227))</f>
        <v/>
      </c>
      <c r="M2227">
        <f>IF($P2227="","",INDEX(상세표[블록 22~06시],$P2227))</f>
        <v/>
      </c>
      <c r="N2227">
        <f>IF($P2227="","",INDEX(상세표[주말·휴일 포함],$P2227)&amp;"")</f>
        <v/>
      </c>
      <c r="O2227">
        <f>IF($P2227="","",INDEX(상세표[월 넘김 포함],$P2227)&amp;"")</f>
        <v/>
      </c>
      <c r="P2227" s="4">
        <f>IFERROR(MATCH(2222,상세표[연속순번],0),"")</f>
        <v/>
      </c>
    </row>
    <row r="2228">
      <c r="A2228">
        <f>IF($P2228="","",INDEX(상세표[사번],$P2228)&amp;"")</f>
        <v/>
      </c>
      <c r="B2228">
        <f>IF($P2228="","",INDEX(상세표[성명],$P2228)&amp;"")</f>
        <v/>
      </c>
      <c r="C2228">
        <f>IF($P2228="","",INDEX(상세표[부서],$P2228)&amp;"")</f>
        <v/>
      </c>
      <c r="D2228">
        <f>IF($P2228="","",INDEX(상세표[직위],$P2228)&amp;"")</f>
        <v/>
      </c>
      <c r="E2228">
        <f>IF($P2228="","",IF(ISNUMBER(INDEX(상세표[시작],$P2228)),TEXT(INDEX(상세표[시작],$P2228),"yyyy-mm-dd hh:mm"),INDEX(상세표[시작],$P2228)&amp;""))</f>
        <v/>
      </c>
      <c r="F2228">
        <f>IF($P2228="","",IF(ISNUMBER(INDEX(상세표[블록종료],$P2228)),TEXT(INDEX(상세표[블록종료],$P2228),"yyyy-mm-dd hh:mm"),INDEX(상세표[블록종료],$P2228)&amp;""))</f>
        <v/>
      </c>
      <c r="G2228">
        <f>IF($P2228="","",CHOOSE(WEEKDAY(INDEX(상세표[시작],$P2228)),"일","월","화","수","목","금","토"))</f>
        <v/>
      </c>
      <c r="H2228">
        <f>IF($P2228="","",INDEX(상세표[연속 시간],$P2228))</f>
        <v/>
      </c>
      <c r="I2228">
        <f>IF($P2228="","",INDEX(상세표[기록 수],$P2228))</f>
        <v/>
      </c>
      <c r="J2228">
        <f>IF($P2228="","",INDEX(상세표[블록 06~07시],$P2228))</f>
        <v/>
      </c>
      <c r="K2228">
        <f>IF($P2228="","",INDEX(상세표[블록 07~18시],$P2228))</f>
        <v/>
      </c>
      <c r="L2228">
        <f>IF($P2228="","",INDEX(상세표[블록 18~22시],$P2228))</f>
        <v/>
      </c>
      <c r="M2228">
        <f>IF($P2228="","",INDEX(상세표[블록 22~06시],$P2228))</f>
        <v/>
      </c>
      <c r="N2228">
        <f>IF($P2228="","",INDEX(상세표[주말·휴일 포함],$P2228)&amp;"")</f>
        <v/>
      </c>
      <c r="O2228">
        <f>IF($P2228="","",INDEX(상세표[월 넘김 포함],$P2228)&amp;"")</f>
        <v/>
      </c>
      <c r="P2228" s="4">
        <f>IFERROR(MATCH(2223,상세표[연속순번],0),"")</f>
        <v/>
      </c>
    </row>
    <row r="2229">
      <c r="A2229">
        <f>IF($P2229="","",INDEX(상세표[사번],$P2229)&amp;"")</f>
        <v/>
      </c>
      <c r="B2229">
        <f>IF($P2229="","",INDEX(상세표[성명],$P2229)&amp;"")</f>
        <v/>
      </c>
      <c r="C2229">
        <f>IF($P2229="","",INDEX(상세표[부서],$P2229)&amp;"")</f>
        <v/>
      </c>
      <c r="D2229">
        <f>IF($P2229="","",INDEX(상세표[직위],$P2229)&amp;"")</f>
        <v/>
      </c>
      <c r="E2229">
        <f>IF($P2229="","",IF(ISNUMBER(INDEX(상세표[시작],$P2229)),TEXT(INDEX(상세표[시작],$P2229),"yyyy-mm-dd hh:mm"),INDEX(상세표[시작],$P2229)&amp;""))</f>
        <v/>
      </c>
      <c r="F2229">
        <f>IF($P2229="","",IF(ISNUMBER(INDEX(상세표[블록종료],$P2229)),TEXT(INDEX(상세표[블록종료],$P2229),"yyyy-mm-dd hh:mm"),INDEX(상세표[블록종료],$P2229)&amp;""))</f>
        <v/>
      </c>
      <c r="G2229">
        <f>IF($P2229="","",CHOOSE(WEEKDAY(INDEX(상세표[시작],$P2229)),"일","월","화","수","목","금","토"))</f>
        <v/>
      </c>
      <c r="H2229">
        <f>IF($P2229="","",INDEX(상세표[연속 시간],$P2229))</f>
        <v/>
      </c>
      <c r="I2229">
        <f>IF($P2229="","",INDEX(상세표[기록 수],$P2229))</f>
        <v/>
      </c>
      <c r="J2229">
        <f>IF($P2229="","",INDEX(상세표[블록 06~07시],$P2229))</f>
        <v/>
      </c>
      <c r="K2229">
        <f>IF($P2229="","",INDEX(상세표[블록 07~18시],$P2229))</f>
        <v/>
      </c>
      <c r="L2229">
        <f>IF($P2229="","",INDEX(상세표[블록 18~22시],$P2229))</f>
        <v/>
      </c>
      <c r="M2229">
        <f>IF($P2229="","",INDEX(상세표[블록 22~06시],$P2229))</f>
        <v/>
      </c>
      <c r="N2229">
        <f>IF($P2229="","",INDEX(상세표[주말·휴일 포함],$P2229)&amp;"")</f>
        <v/>
      </c>
      <c r="O2229">
        <f>IF($P2229="","",INDEX(상세표[월 넘김 포함],$P2229)&amp;"")</f>
        <v/>
      </c>
      <c r="P2229" s="4">
        <f>IFERROR(MATCH(2224,상세표[연속순번],0),"")</f>
        <v/>
      </c>
    </row>
    <row r="2230">
      <c r="A2230">
        <f>IF($P2230="","",INDEX(상세표[사번],$P2230)&amp;"")</f>
        <v/>
      </c>
      <c r="B2230">
        <f>IF($P2230="","",INDEX(상세표[성명],$P2230)&amp;"")</f>
        <v/>
      </c>
      <c r="C2230">
        <f>IF($P2230="","",INDEX(상세표[부서],$P2230)&amp;"")</f>
        <v/>
      </c>
      <c r="D2230">
        <f>IF($P2230="","",INDEX(상세표[직위],$P2230)&amp;"")</f>
        <v/>
      </c>
      <c r="E2230">
        <f>IF($P2230="","",IF(ISNUMBER(INDEX(상세표[시작],$P2230)),TEXT(INDEX(상세표[시작],$P2230),"yyyy-mm-dd hh:mm"),INDEX(상세표[시작],$P2230)&amp;""))</f>
        <v/>
      </c>
      <c r="F2230">
        <f>IF($P2230="","",IF(ISNUMBER(INDEX(상세표[블록종료],$P2230)),TEXT(INDEX(상세표[블록종료],$P2230),"yyyy-mm-dd hh:mm"),INDEX(상세표[블록종료],$P2230)&amp;""))</f>
        <v/>
      </c>
      <c r="G2230">
        <f>IF($P2230="","",CHOOSE(WEEKDAY(INDEX(상세표[시작],$P2230)),"일","월","화","수","목","금","토"))</f>
        <v/>
      </c>
      <c r="H2230">
        <f>IF($P2230="","",INDEX(상세표[연속 시간],$P2230))</f>
        <v/>
      </c>
      <c r="I2230">
        <f>IF($P2230="","",INDEX(상세표[기록 수],$P2230))</f>
        <v/>
      </c>
      <c r="J2230">
        <f>IF($P2230="","",INDEX(상세표[블록 06~07시],$P2230))</f>
        <v/>
      </c>
      <c r="K2230">
        <f>IF($P2230="","",INDEX(상세표[블록 07~18시],$P2230))</f>
        <v/>
      </c>
      <c r="L2230">
        <f>IF($P2230="","",INDEX(상세표[블록 18~22시],$P2230))</f>
        <v/>
      </c>
      <c r="M2230">
        <f>IF($P2230="","",INDEX(상세표[블록 22~06시],$P2230))</f>
        <v/>
      </c>
      <c r="N2230">
        <f>IF($P2230="","",INDEX(상세표[주말·휴일 포함],$P2230)&amp;"")</f>
        <v/>
      </c>
      <c r="O2230">
        <f>IF($P2230="","",INDEX(상세표[월 넘김 포함],$P2230)&amp;"")</f>
        <v/>
      </c>
      <c r="P2230" s="4">
        <f>IFERROR(MATCH(2225,상세표[연속순번],0),"")</f>
        <v/>
      </c>
    </row>
    <row r="2231">
      <c r="A2231">
        <f>IF($P2231="","",INDEX(상세표[사번],$P2231)&amp;"")</f>
        <v/>
      </c>
      <c r="B2231">
        <f>IF($P2231="","",INDEX(상세표[성명],$P2231)&amp;"")</f>
        <v/>
      </c>
      <c r="C2231">
        <f>IF($P2231="","",INDEX(상세표[부서],$P2231)&amp;"")</f>
        <v/>
      </c>
      <c r="D2231">
        <f>IF($P2231="","",INDEX(상세표[직위],$P2231)&amp;"")</f>
        <v/>
      </c>
      <c r="E2231">
        <f>IF($P2231="","",IF(ISNUMBER(INDEX(상세표[시작],$P2231)),TEXT(INDEX(상세표[시작],$P2231),"yyyy-mm-dd hh:mm"),INDEX(상세표[시작],$P2231)&amp;""))</f>
        <v/>
      </c>
      <c r="F2231">
        <f>IF($P2231="","",IF(ISNUMBER(INDEX(상세표[블록종료],$P2231)),TEXT(INDEX(상세표[블록종료],$P2231),"yyyy-mm-dd hh:mm"),INDEX(상세표[블록종료],$P2231)&amp;""))</f>
        <v/>
      </c>
      <c r="G2231">
        <f>IF($P2231="","",CHOOSE(WEEKDAY(INDEX(상세표[시작],$P2231)),"일","월","화","수","목","금","토"))</f>
        <v/>
      </c>
      <c r="H2231">
        <f>IF($P2231="","",INDEX(상세표[연속 시간],$P2231))</f>
        <v/>
      </c>
      <c r="I2231">
        <f>IF($P2231="","",INDEX(상세표[기록 수],$P2231))</f>
        <v/>
      </c>
      <c r="J2231">
        <f>IF($P2231="","",INDEX(상세표[블록 06~07시],$P2231))</f>
        <v/>
      </c>
      <c r="K2231">
        <f>IF($P2231="","",INDEX(상세표[블록 07~18시],$P2231))</f>
        <v/>
      </c>
      <c r="L2231">
        <f>IF($P2231="","",INDEX(상세표[블록 18~22시],$P2231))</f>
        <v/>
      </c>
      <c r="M2231">
        <f>IF($P2231="","",INDEX(상세표[블록 22~06시],$P2231))</f>
        <v/>
      </c>
      <c r="N2231">
        <f>IF($P2231="","",INDEX(상세표[주말·휴일 포함],$P2231)&amp;"")</f>
        <v/>
      </c>
      <c r="O2231">
        <f>IF($P2231="","",INDEX(상세표[월 넘김 포함],$P2231)&amp;"")</f>
        <v/>
      </c>
      <c r="P2231" s="4">
        <f>IFERROR(MATCH(2226,상세표[연속순번],0),"")</f>
        <v/>
      </c>
    </row>
    <row r="2232">
      <c r="A2232">
        <f>IF($P2232="","",INDEX(상세표[사번],$P2232)&amp;"")</f>
        <v/>
      </c>
      <c r="B2232">
        <f>IF($P2232="","",INDEX(상세표[성명],$P2232)&amp;"")</f>
        <v/>
      </c>
      <c r="C2232">
        <f>IF($P2232="","",INDEX(상세표[부서],$P2232)&amp;"")</f>
        <v/>
      </c>
      <c r="D2232">
        <f>IF($P2232="","",INDEX(상세표[직위],$P2232)&amp;"")</f>
        <v/>
      </c>
      <c r="E2232">
        <f>IF($P2232="","",IF(ISNUMBER(INDEX(상세표[시작],$P2232)),TEXT(INDEX(상세표[시작],$P2232),"yyyy-mm-dd hh:mm"),INDEX(상세표[시작],$P2232)&amp;""))</f>
        <v/>
      </c>
      <c r="F2232">
        <f>IF($P2232="","",IF(ISNUMBER(INDEX(상세표[블록종료],$P2232)),TEXT(INDEX(상세표[블록종료],$P2232),"yyyy-mm-dd hh:mm"),INDEX(상세표[블록종료],$P2232)&amp;""))</f>
        <v/>
      </c>
      <c r="G2232">
        <f>IF($P2232="","",CHOOSE(WEEKDAY(INDEX(상세표[시작],$P2232)),"일","월","화","수","목","금","토"))</f>
        <v/>
      </c>
      <c r="H2232">
        <f>IF($P2232="","",INDEX(상세표[연속 시간],$P2232))</f>
        <v/>
      </c>
      <c r="I2232">
        <f>IF($P2232="","",INDEX(상세표[기록 수],$P2232))</f>
        <v/>
      </c>
      <c r="J2232">
        <f>IF($P2232="","",INDEX(상세표[블록 06~07시],$P2232))</f>
        <v/>
      </c>
      <c r="K2232">
        <f>IF($P2232="","",INDEX(상세표[블록 07~18시],$P2232))</f>
        <v/>
      </c>
      <c r="L2232">
        <f>IF($P2232="","",INDEX(상세표[블록 18~22시],$P2232))</f>
        <v/>
      </c>
      <c r="M2232">
        <f>IF($P2232="","",INDEX(상세표[블록 22~06시],$P2232))</f>
        <v/>
      </c>
      <c r="N2232">
        <f>IF($P2232="","",INDEX(상세표[주말·휴일 포함],$P2232)&amp;"")</f>
        <v/>
      </c>
      <c r="O2232">
        <f>IF($P2232="","",INDEX(상세표[월 넘김 포함],$P2232)&amp;"")</f>
        <v/>
      </c>
      <c r="P2232" s="4">
        <f>IFERROR(MATCH(2227,상세표[연속순번],0),"")</f>
        <v/>
      </c>
    </row>
    <row r="2233">
      <c r="A2233">
        <f>IF($P2233="","",INDEX(상세표[사번],$P2233)&amp;"")</f>
        <v/>
      </c>
      <c r="B2233">
        <f>IF($P2233="","",INDEX(상세표[성명],$P2233)&amp;"")</f>
        <v/>
      </c>
      <c r="C2233">
        <f>IF($P2233="","",INDEX(상세표[부서],$P2233)&amp;"")</f>
        <v/>
      </c>
      <c r="D2233">
        <f>IF($P2233="","",INDEX(상세표[직위],$P2233)&amp;"")</f>
        <v/>
      </c>
      <c r="E2233">
        <f>IF($P2233="","",IF(ISNUMBER(INDEX(상세표[시작],$P2233)),TEXT(INDEX(상세표[시작],$P2233),"yyyy-mm-dd hh:mm"),INDEX(상세표[시작],$P2233)&amp;""))</f>
        <v/>
      </c>
      <c r="F2233">
        <f>IF($P2233="","",IF(ISNUMBER(INDEX(상세표[블록종료],$P2233)),TEXT(INDEX(상세표[블록종료],$P2233),"yyyy-mm-dd hh:mm"),INDEX(상세표[블록종료],$P2233)&amp;""))</f>
        <v/>
      </c>
      <c r="G2233">
        <f>IF($P2233="","",CHOOSE(WEEKDAY(INDEX(상세표[시작],$P2233)),"일","월","화","수","목","금","토"))</f>
        <v/>
      </c>
      <c r="H2233">
        <f>IF($P2233="","",INDEX(상세표[연속 시간],$P2233))</f>
        <v/>
      </c>
      <c r="I2233">
        <f>IF($P2233="","",INDEX(상세표[기록 수],$P2233))</f>
        <v/>
      </c>
      <c r="J2233">
        <f>IF($P2233="","",INDEX(상세표[블록 06~07시],$P2233))</f>
        <v/>
      </c>
      <c r="K2233">
        <f>IF($P2233="","",INDEX(상세표[블록 07~18시],$P2233))</f>
        <v/>
      </c>
      <c r="L2233">
        <f>IF($P2233="","",INDEX(상세표[블록 18~22시],$P2233))</f>
        <v/>
      </c>
      <c r="M2233">
        <f>IF($P2233="","",INDEX(상세표[블록 22~06시],$P2233))</f>
        <v/>
      </c>
      <c r="N2233">
        <f>IF($P2233="","",INDEX(상세표[주말·휴일 포함],$P2233)&amp;"")</f>
        <v/>
      </c>
      <c r="O2233">
        <f>IF($P2233="","",INDEX(상세표[월 넘김 포함],$P2233)&amp;"")</f>
        <v/>
      </c>
      <c r="P2233" s="4">
        <f>IFERROR(MATCH(2228,상세표[연속순번],0),"")</f>
        <v/>
      </c>
    </row>
    <row r="2234">
      <c r="A2234">
        <f>IF($P2234="","",INDEX(상세표[사번],$P2234)&amp;"")</f>
        <v/>
      </c>
      <c r="B2234">
        <f>IF($P2234="","",INDEX(상세표[성명],$P2234)&amp;"")</f>
        <v/>
      </c>
      <c r="C2234">
        <f>IF($P2234="","",INDEX(상세표[부서],$P2234)&amp;"")</f>
        <v/>
      </c>
      <c r="D2234">
        <f>IF($P2234="","",INDEX(상세표[직위],$P2234)&amp;"")</f>
        <v/>
      </c>
      <c r="E2234">
        <f>IF($P2234="","",IF(ISNUMBER(INDEX(상세표[시작],$P2234)),TEXT(INDEX(상세표[시작],$P2234),"yyyy-mm-dd hh:mm"),INDEX(상세표[시작],$P2234)&amp;""))</f>
        <v/>
      </c>
      <c r="F2234">
        <f>IF($P2234="","",IF(ISNUMBER(INDEX(상세표[블록종료],$P2234)),TEXT(INDEX(상세표[블록종료],$P2234),"yyyy-mm-dd hh:mm"),INDEX(상세표[블록종료],$P2234)&amp;""))</f>
        <v/>
      </c>
      <c r="G2234">
        <f>IF($P2234="","",CHOOSE(WEEKDAY(INDEX(상세표[시작],$P2234)),"일","월","화","수","목","금","토"))</f>
        <v/>
      </c>
      <c r="H2234">
        <f>IF($P2234="","",INDEX(상세표[연속 시간],$P2234))</f>
        <v/>
      </c>
      <c r="I2234">
        <f>IF($P2234="","",INDEX(상세표[기록 수],$P2234))</f>
        <v/>
      </c>
      <c r="J2234">
        <f>IF($P2234="","",INDEX(상세표[블록 06~07시],$P2234))</f>
        <v/>
      </c>
      <c r="K2234">
        <f>IF($P2234="","",INDEX(상세표[블록 07~18시],$P2234))</f>
        <v/>
      </c>
      <c r="L2234">
        <f>IF($P2234="","",INDEX(상세표[블록 18~22시],$P2234))</f>
        <v/>
      </c>
      <c r="M2234">
        <f>IF($P2234="","",INDEX(상세표[블록 22~06시],$P2234))</f>
        <v/>
      </c>
      <c r="N2234">
        <f>IF($P2234="","",INDEX(상세표[주말·휴일 포함],$P2234)&amp;"")</f>
        <v/>
      </c>
      <c r="O2234">
        <f>IF($P2234="","",INDEX(상세표[월 넘김 포함],$P2234)&amp;"")</f>
        <v/>
      </c>
      <c r="P2234" s="4">
        <f>IFERROR(MATCH(2229,상세표[연속순번],0),"")</f>
        <v/>
      </c>
    </row>
    <row r="2235">
      <c r="A2235">
        <f>IF($P2235="","",INDEX(상세표[사번],$P2235)&amp;"")</f>
        <v/>
      </c>
      <c r="B2235">
        <f>IF($P2235="","",INDEX(상세표[성명],$P2235)&amp;"")</f>
        <v/>
      </c>
      <c r="C2235">
        <f>IF($P2235="","",INDEX(상세표[부서],$P2235)&amp;"")</f>
        <v/>
      </c>
      <c r="D2235">
        <f>IF($P2235="","",INDEX(상세표[직위],$P2235)&amp;"")</f>
        <v/>
      </c>
      <c r="E2235">
        <f>IF($P2235="","",IF(ISNUMBER(INDEX(상세표[시작],$P2235)),TEXT(INDEX(상세표[시작],$P2235),"yyyy-mm-dd hh:mm"),INDEX(상세표[시작],$P2235)&amp;""))</f>
        <v/>
      </c>
      <c r="F2235">
        <f>IF($P2235="","",IF(ISNUMBER(INDEX(상세표[블록종료],$P2235)),TEXT(INDEX(상세표[블록종료],$P2235),"yyyy-mm-dd hh:mm"),INDEX(상세표[블록종료],$P2235)&amp;""))</f>
        <v/>
      </c>
      <c r="G2235">
        <f>IF($P2235="","",CHOOSE(WEEKDAY(INDEX(상세표[시작],$P2235)),"일","월","화","수","목","금","토"))</f>
        <v/>
      </c>
      <c r="H2235">
        <f>IF($P2235="","",INDEX(상세표[연속 시간],$P2235))</f>
        <v/>
      </c>
      <c r="I2235">
        <f>IF($P2235="","",INDEX(상세표[기록 수],$P2235))</f>
        <v/>
      </c>
      <c r="J2235">
        <f>IF($P2235="","",INDEX(상세표[블록 06~07시],$P2235))</f>
        <v/>
      </c>
      <c r="K2235">
        <f>IF($P2235="","",INDEX(상세표[블록 07~18시],$P2235))</f>
        <v/>
      </c>
      <c r="L2235">
        <f>IF($P2235="","",INDEX(상세표[블록 18~22시],$P2235))</f>
        <v/>
      </c>
      <c r="M2235">
        <f>IF($P2235="","",INDEX(상세표[블록 22~06시],$P2235))</f>
        <v/>
      </c>
      <c r="N2235">
        <f>IF($P2235="","",INDEX(상세표[주말·휴일 포함],$P2235)&amp;"")</f>
        <v/>
      </c>
      <c r="O2235">
        <f>IF($P2235="","",INDEX(상세표[월 넘김 포함],$P2235)&amp;"")</f>
        <v/>
      </c>
      <c r="P2235" s="4">
        <f>IFERROR(MATCH(2230,상세표[연속순번],0),"")</f>
        <v/>
      </c>
    </row>
    <row r="2236">
      <c r="A2236">
        <f>IF($P2236="","",INDEX(상세표[사번],$P2236)&amp;"")</f>
        <v/>
      </c>
      <c r="B2236">
        <f>IF($P2236="","",INDEX(상세표[성명],$P2236)&amp;"")</f>
        <v/>
      </c>
      <c r="C2236">
        <f>IF($P2236="","",INDEX(상세표[부서],$P2236)&amp;"")</f>
        <v/>
      </c>
      <c r="D2236">
        <f>IF($P2236="","",INDEX(상세표[직위],$P2236)&amp;"")</f>
        <v/>
      </c>
      <c r="E2236">
        <f>IF($P2236="","",IF(ISNUMBER(INDEX(상세표[시작],$P2236)),TEXT(INDEX(상세표[시작],$P2236),"yyyy-mm-dd hh:mm"),INDEX(상세표[시작],$P2236)&amp;""))</f>
        <v/>
      </c>
      <c r="F2236">
        <f>IF($P2236="","",IF(ISNUMBER(INDEX(상세표[블록종료],$P2236)),TEXT(INDEX(상세표[블록종료],$P2236),"yyyy-mm-dd hh:mm"),INDEX(상세표[블록종료],$P2236)&amp;""))</f>
        <v/>
      </c>
      <c r="G2236">
        <f>IF($P2236="","",CHOOSE(WEEKDAY(INDEX(상세표[시작],$P2236)),"일","월","화","수","목","금","토"))</f>
        <v/>
      </c>
      <c r="H2236">
        <f>IF($P2236="","",INDEX(상세표[연속 시간],$P2236))</f>
        <v/>
      </c>
      <c r="I2236">
        <f>IF($P2236="","",INDEX(상세표[기록 수],$P2236))</f>
        <v/>
      </c>
      <c r="J2236">
        <f>IF($P2236="","",INDEX(상세표[블록 06~07시],$P2236))</f>
        <v/>
      </c>
      <c r="K2236">
        <f>IF($P2236="","",INDEX(상세표[블록 07~18시],$P2236))</f>
        <v/>
      </c>
      <c r="L2236">
        <f>IF($P2236="","",INDEX(상세표[블록 18~22시],$P2236))</f>
        <v/>
      </c>
      <c r="M2236">
        <f>IF($P2236="","",INDEX(상세표[블록 22~06시],$P2236))</f>
        <v/>
      </c>
      <c r="N2236">
        <f>IF($P2236="","",INDEX(상세표[주말·휴일 포함],$P2236)&amp;"")</f>
        <v/>
      </c>
      <c r="O2236">
        <f>IF($P2236="","",INDEX(상세표[월 넘김 포함],$P2236)&amp;"")</f>
        <v/>
      </c>
      <c r="P2236" s="4">
        <f>IFERROR(MATCH(2231,상세표[연속순번],0),"")</f>
        <v/>
      </c>
    </row>
    <row r="2237">
      <c r="A2237">
        <f>IF($P2237="","",INDEX(상세표[사번],$P2237)&amp;"")</f>
        <v/>
      </c>
      <c r="B2237">
        <f>IF($P2237="","",INDEX(상세표[성명],$P2237)&amp;"")</f>
        <v/>
      </c>
      <c r="C2237">
        <f>IF($P2237="","",INDEX(상세표[부서],$P2237)&amp;"")</f>
        <v/>
      </c>
      <c r="D2237">
        <f>IF($P2237="","",INDEX(상세표[직위],$P2237)&amp;"")</f>
        <v/>
      </c>
      <c r="E2237">
        <f>IF($P2237="","",IF(ISNUMBER(INDEX(상세표[시작],$P2237)),TEXT(INDEX(상세표[시작],$P2237),"yyyy-mm-dd hh:mm"),INDEX(상세표[시작],$P2237)&amp;""))</f>
        <v/>
      </c>
      <c r="F2237">
        <f>IF($P2237="","",IF(ISNUMBER(INDEX(상세표[블록종료],$P2237)),TEXT(INDEX(상세표[블록종료],$P2237),"yyyy-mm-dd hh:mm"),INDEX(상세표[블록종료],$P2237)&amp;""))</f>
        <v/>
      </c>
      <c r="G2237">
        <f>IF($P2237="","",CHOOSE(WEEKDAY(INDEX(상세표[시작],$P2237)),"일","월","화","수","목","금","토"))</f>
        <v/>
      </c>
      <c r="H2237">
        <f>IF($P2237="","",INDEX(상세표[연속 시간],$P2237))</f>
        <v/>
      </c>
      <c r="I2237">
        <f>IF($P2237="","",INDEX(상세표[기록 수],$P2237))</f>
        <v/>
      </c>
      <c r="J2237">
        <f>IF($P2237="","",INDEX(상세표[블록 06~07시],$P2237))</f>
        <v/>
      </c>
      <c r="K2237">
        <f>IF($P2237="","",INDEX(상세표[블록 07~18시],$P2237))</f>
        <v/>
      </c>
      <c r="L2237">
        <f>IF($P2237="","",INDEX(상세표[블록 18~22시],$P2237))</f>
        <v/>
      </c>
      <c r="M2237">
        <f>IF($P2237="","",INDEX(상세표[블록 22~06시],$P2237))</f>
        <v/>
      </c>
      <c r="N2237">
        <f>IF($P2237="","",INDEX(상세표[주말·휴일 포함],$P2237)&amp;"")</f>
        <v/>
      </c>
      <c r="O2237">
        <f>IF($P2237="","",INDEX(상세표[월 넘김 포함],$P2237)&amp;"")</f>
        <v/>
      </c>
      <c r="P2237" s="4">
        <f>IFERROR(MATCH(2232,상세표[연속순번],0),"")</f>
        <v/>
      </c>
    </row>
    <row r="2238">
      <c r="A2238">
        <f>IF($P2238="","",INDEX(상세표[사번],$P2238)&amp;"")</f>
        <v/>
      </c>
      <c r="B2238">
        <f>IF($P2238="","",INDEX(상세표[성명],$P2238)&amp;"")</f>
        <v/>
      </c>
      <c r="C2238">
        <f>IF($P2238="","",INDEX(상세표[부서],$P2238)&amp;"")</f>
        <v/>
      </c>
      <c r="D2238">
        <f>IF($P2238="","",INDEX(상세표[직위],$P2238)&amp;"")</f>
        <v/>
      </c>
      <c r="E2238">
        <f>IF($P2238="","",IF(ISNUMBER(INDEX(상세표[시작],$P2238)),TEXT(INDEX(상세표[시작],$P2238),"yyyy-mm-dd hh:mm"),INDEX(상세표[시작],$P2238)&amp;""))</f>
        <v/>
      </c>
      <c r="F2238">
        <f>IF($P2238="","",IF(ISNUMBER(INDEX(상세표[블록종료],$P2238)),TEXT(INDEX(상세표[블록종료],$P2238),"yyyy-mm-dd hh:mm"),INDEX(상세표[블록종료],$P2238)&amp;""))</f>
        <v/>
      </c>
      <c r="G2238">
        <f>IF($P2238="","",CHOOSE(WEEKDAY(INDEX(상세표[시작],$P2238)),"일","월","화","수","목","금","토"))</f>
        <v/>
      </c>
      <c r="H2238">
        <f>IF($P2238="","",INDEX(상세표[연속 시간],$P2238))</f>
        <v/>
      </c>
      <c r="I2238">
        <f>IF($P2238="","",INDEX(상세표[기록 수],$P2238))</f>
        <v/>
      </c>
      <c r="J2238">
        <f>IF($P2238="","",INDEX(상세표[블록 06~07시],$P2238))</f>
        <v/>
      </c>
      <c r="K2238">
        <f>IF($P2238="","",INDEX(상세표[블록 07~18시],$P2238))</f>
        <v/>
      </c>
      <c r="L2238">
        <f>IF($P2238="","",INDEX(상세표[블록 18~22시],$P2238))</f>
        <v/>
      </c>
      <c r="M2238">
        <f>IF($P2238="","",INDEX(상세표[블록 22~06시],$P2238))</f>
        <v/>
      </c>
      <c r="N2238">
        <f>IF($P2238="","",INDEX(상세표[주말·휴일 포함],$P2238)&amp;"")</f>
        <v/>
      </c>
      <c r="O2238">
        <f>IF($P2238="","",INDEX(상세표[월 넘김 포함],$P2238)&amp;"")</f>
        <v/>
      </c>
      <c r="P2238" s="4">
        <f>IFERROR(MATCH(2233,상세표[연속순번],0),"")</f>
        <v/>
      </c>
    </row>
    <row r="2239">
      <c r="A2239">
        <f>IF($P2239="","",INDEX(상세표[사번],$P2239)&amp;"")</f>
        <v/>
      </c>
      <c r="B2239">
        <f>IF($P2239="","",INDEX(상세표[성명],$P2239)&amp;"")</f>
        <v/>
      </c>
      <c r="C2239">
        <f>IF($P2239="","",INDEX(상세표[부서],$P2239)&amp;"")</f>
        <v/>
      </c>
      <c r="D2239">
        <f>IF($P2239="","",INDEX(상세표[직위],$P2239)&amp;"")</f>
        <v/>
      </c>
      <c r="E2239">
        <f>IF($P2239="","",IF(ISNUMBER(INDEX(상세표[시작],$P2239)),TEXT(INDEX(상세표[시작],$P2239),"yyyy-mm-dd hh:mm"),INDEX(상세표[시작],$P2239)&amp;""))</f>
        <v/>
      </c>
      <c r="F2239">
        <f>IF($P2239="","",IF(ISNUMBER(INDEX(상세표[블록종료],$P2239)),TEXT(INDEX(상세표[블록종료],$P2239),"yyyy-mm-dd hh:mm"),INDEX(상세표[블록종료],$P2239)&amp;""))</f>
        <v/>
      </c>
      <c r="G2239">
        <f>IF($P2239="","",CHOOSE(WEEKDAY(INDEX(상세표[시작],$P2239)),"일","월","화","수","목","금","토"))</f>
        <v/>
      </c>
      <c r="H2239">
        <f>IF($P2239="","",INDEX(상세표[연속 시간],$P2239))</f>
        <v/>
      </c>
      <c r="I2239">
        <f>IF($P2239="","",INDEX(상세표[기록 수],$P2239))</f>
        <v/>
      </c>
      <c r="J2239">
        <f>IF($P2239="","",INDEX(상세표[블록 06~07시],$P2239))</f>
        <v/>
      </c>
      <c r="K2239">
        <f>IF($P2239="","",INDEX(상세표[블록 07~18시],$P2239))</f>
        <v/>
      </c>
      <c r="L2239">
        <f>IF($P2239="","",INDEX(상세표[블록 18~22시],$P2239))</f>
        <v/>
      </c>
      <c r="M2239">
        <f>IF($P2239="","",INDEX(상세표[블록 22~06시],$P2239))</f>
        <v/>
      </c>
      <c r="N2239">
        <f>IF($P2239="","",INDEX(상세표[주말·휴일 포함],$P2239)&amp;"")</f>
        <v/>
      </c>
      <c r="O2239">
        <f>IF($P2239="","",INDEX(상세표[월 넘김 포함],$P2239)&amp;"")</f>
        <v/>
      </c>
      <c r="P2239" s="4">
        <f>IFERROR(MATCH(2234,상세표[연속순번],0),"")</f>
        <v/>
      </c>
    </row>
    <row r="2240">
      <c r="A2240">
        <f>IF($P2240="","",INDEX(상세표[사번],$P2240)&amp;"")</f>
        <v/>
      </c>
      <c r="B2240">
        <f>IF($P2240="","",INDEX(상세표[성명],$P2240)&amp;"")</f>
        <v/>
      </c>
      <c r="C2240">
        <f>IF($P2240="","",INDEX(상세표[부서],$P2240)&amp;"")</f>
        <v/>
      </c>
      <c r="D2240">
        <f>IF($P2240="","",INDEX(상세표[직위],$P2240)&amp;"")</f>
        <v/>
      </c>
      <c r="E2240">
        <f>IF($P2240="","",IF(ISNUMBER(INDEX(상세표[시작],$P2240)),TEXT(INDEX(상세표[시작],$P2240),"yyyy-mm-dd hh:mm"),INDEX(상세표[시작],$P2240)&amp;""))</f>
        <v/>
      </c>
      <c r="F2240">
        <f>IF($P2240="","",IF(ISNUMBER(INDEX(상세표[블록종료],$P2240)),TEXT(INDEX(상세표[블록종료],$P2240),"yyyy-mm-dd hh:mm"),INDEX(상세표[블록종료],$P2240)&amp;""))</f>
        <v/>
      </c>
      <c r="G2240">
        <f>IF($P2240="","",CHOOSE(WEEKDAY(INDEX(상세표[시작],$P2240)),"일","월","화","수","목","금","토"))</f>
        <v/>
      </c>
      <c r="H2240">
        <f>IF($P2240="","",INDEX(상세표[연속 시간],$P2240))</f>
        <v/>
      </c>
      <c r="I2240">
        <f>IF($P2240="","",INDEX(상세표[기록 수],$P2240))</f>
        <v/>
      </c>
      <c r="J2240">
        <f>IF($P2240="","",INDEX(상세표[블록 06~07시],$P2240))</f>
        <v/>
      </c>
      <c r="K2240">
        <f>IF($P2240="","",INDEX(상세표[블록 07~18시],$P2240))</f>
        <v/>
      </c>
      <c r="L2240">
        <f>IF($P2240="","",INDEX(상세표[블록 18~22시],$P2240))</f>
        <v/>
      </c>
      <c r="M2240">
        <f>IF($P2240="","",INDEX(상세표[블록 22~06시],$P2240))</f>
        <v/>
      </c>
      <c r="N2240">
        <f>IF($P2240="","",INDEX(상세표[주말·휴일 포함],$P2240)&amp;"")</f>
        <v/>
      </c>
      <c r="O2240">
        <f>IF($P2240="","",INDEX(상세표[월 넘김 포함],$P2240)&amp;"")</f>
        <v/>
      </c>
      <c r="P2240" s="4">
        <f>IFERROR(MATCH(2235,상세표[연속순번],0),"")</f>
        <v/>
      </c>
    </row>
    <row r="2241">
      <c r="A2241">
        <f>IF($P2241="","",INDEX(상세표[사번],$P2241)&amp;"")</f>
        <v/>
      </c>
      <c r="B2241">
        <f>IF($P2241="","",INDEX(상세표[성명],$P2241)&amp;"")</f>
        <v/>
      </c>
      <c r="C2241">
        <f>IF($P2241="","",INDEX(상세표[부서],$P2241)&amp;"")</f>
        <v/>
      </c>
      <c r="D2241">
        <f>IF($P2241="","",INDEX(상세표[직위],$P2241)&amp;"")</f>
        <v/>
      </c>
      <c r="E2241">
        <f>IF($P2241="","",IF(ISNUMBER(INDEX(상세표[시작],$P2241)),TEXT(INDEX(상세표[시작],$P2241),"yyyy-mm-dd hh:mm"),INDEX(상세표[시작],$P2241)&amp;""))</f>
        <v/>
      </c>
      <c r="F2241">
        <f>IF($P2241="","",IF(ISNUMBER(INDEX(상세표[블록종료],$P2241)),TEXT(INDEX(상세표[블록종료],$P2241),"yyyy-mm-dd hh:mm"),INDEX(상세표[블록종료],$P2241)&amp;""))</f>
        <v/>
      </c>
      <c r="G2241">
        <f>IF($P2241="","",CHOOSE(WEEKDAY(INDEX(상세표[시작],$P2241)),"일","월","화","수","목","금","토"))</f>
        <v/>
      </c>
      <c r="H2241">
        <f>IF($P2241="","",INDEX(상세표[연속 시간],$P2241))</f>
        <v/>
      </c>
      <c r="I2241">
        <f>IF($P2241="","",INDEX(상세표[기록 수],$P2241))</f>
        <v/>
      </c>
      <c r="J2241">
        <f>IF($P2241="","",INDEX(상세표[블록 06~07시],$P2241))</f>
        <v/>
      </c>
      <c r="K2241">
        <f>IF($P2241="","",INDEX(상세표[블록 07~18시],$P2241))</f>
        <v/>
      </c>
      <c r="L2241">
        <f>IF($P2241="","",INDEX(상세표[블록 18~22시],$P2241))</f>
        <v/>
      </c>
      <c r="M2241">
        <f>IF($P2241="","",INDEX(상세표[블록 22~06시],$P2241))</f>
        <v/>
      </c>
      <c r="N2241">
        <f>IF($P2241="","",INDEX(상세표[주말·휴일 포함],$P2241)&amp;"")</f>
        <v/>
      </c>
      <c r="O2241">
        <f>IF($P2241="","",INDEX(상세표[월 넘김 포함],$P2241)&amp;"")</f>
        <v/>
      </c>
      <c r="P2241" s="4">
        <f>IFERROR(MATCH(2236,상세표[연속순번],0),"")</f>
        <v/>
      </c>
    </row>
    <row r="2242">
      <c r="A2242">
        <f>IF($P2242="","",INDEX(상세표[사번],$P2242)&amp;"")</f>
        <v/>
      </c>
      <c r="B2242">
        <f>IF($P2242="","",INDEX(상세표[성명],$P2242)&amp;"")</f>
        <v/>
      </c>
      <c r="C2242">
        <f>IF($P2242="","",INDEX(상세표[부서],$P2242)&amp;"")</f>
        <v/>
      </c>
      <c r="D2242">
        <f>IF($P2242="","",INDEX(상세표[직위],$P2242)&amp;"")</f>
        <v/>
      </c>
      <c r="E2242">
        <f>IF($P2242="","",IF(ISNUMBER(INDEX(상세표[시작],$P2242)),TEXT(INDEX(상세표[시작],$P2242),"yyyy-mm-dd hh:mm"),INDEX(상세표[시작],$P2242)&amp;""))</f>
        <v/>
      </c>
      <c r="F2242">
        <f>IF($P2242="","",IF(ISNUMBER(INDEX(상세표[블록종료],$P2242)),TEXT(INDEX(상세표[블록종료],$P2242),"yyyy-mm-dd hh:mm"),INDEX(상세표[블록종료],$P2242)&amp;""))</f>
        <v/>
      </c>
      <c r="G2242">
        <f>IF($P2242="","",CHOOSE(WEEKDAY(INDEX(상세표[시작],$P2242)),"일","월","화","수","목","금","토"))</f>
        <v/>
      </c>
      <c r="H2242">
        <f>IF($P2242="","",INDEX(상세표[연속 시간],$P2242))</f>
        <v/>
      </c>
      <c r="I2242">
        <f>IF($P2242="","",INDEX(상세표[기록 수],$P2242))</f>
        <v/>
      </c>
      <c r="J2242">
        <f>IF($P2242="","",INDEX(상세표[블록 06~07시],$P2242))</f>
        <v/>
      </c>
      <c r="K2242">
        <f>IF($P2242="","",INDEX(상세표[블록 07~18시],$P2242))</f>
        <v/>
      </c>
      <c r="L2242">
        <f>IF($P2242="","",INDEX(상세표[블록 18~22시],$P2242))</f>
        <v/>
      </c>
      <c r="M2242">
        <f>IF($P2242="","",INDEX(상세표[블록 22~06시],$P2242))</f>
        <v/>
      </c>
      <c r="N2242">
        <f>IF($P2242="","",INDEX(상세표[주말·휴일 포함],$P2242)&amp;"")</f>
        <v/>
      </c>
      <c r="O2242">
        <f>IF($P2242="","",INDEX(상세표[월 넘김 포함],$P2242)&amp;"")</f>
        <v/>
      </c>
      <c r="P2242" s="4">
        <f>IFERROR(MATCH(2237,상세표[연속순번],0),"")</f>
        <v/>
      </c>
    </row>
    <row r="2243">
      <c r="A2243">
        <f>IF($P2243="","",INDEX(상세표[사번],$P2243)&amp;"")</f>
        <v/>
      </c>
      <c r="B2243">
        <f>IF($P2243="","",INDEX(상세표[성명],$P2243)&amp;"")</f>
        <v/>
      </c>
      <c r="C2243">
        <f>IF($P2243="","",INDEX(상세표[부서],$P2243)&amp;"")</f>
        <v/>
      </c>
      <c r="D2243">
        <f>IF($P2243="","",INDEX(상세표[직위],$P2243)&amp;"")</f>
        <v/>
      </c>
      <c r="E2243">
        <f>IF($P2243="","",IF(ISNUMBER(INDEX(상세표[시작],$P2243)),TEXT(INDEX(상세표[시작],$P2243),"yyyy-mm-dd hh:mm"),INDEX(상세표[시작],$P2243)&amp;""))</f>
        <v/>
      </c>
      <c r="F2243">
        <f>IF($P2243="","",IF(ISNUMBER(INDEX(상세표[블록종료],$P2243)),TEXT(INDEX(상세표[블록종료],$P2243),"yyyy-mm-dd hh:mm"),INDEX(상세표[블록종료],$P2243)&amp;""))</f>
        <v/>
      </c>
      <c r="G2243">
        <f>IF($P2243="","",CHOOSE(WEEKDAY(INDEX(상세표[시작],$P2243)),"일","월","화","수","목","금","토"))</f>
        <v/>
      </c>
      <c r="H2243">
        <f>IF($P2243="","",INDEX(상세표[연속 시간],$P2243))</f>
        <v/>
      </c>
      <c r="I2243">
        <f>IF($P2243="","",INDEX(상세표[기록 수],$P2243))</f>
        <v/>
      </c>
      <c r="J2243">
        <f>IF($P2243="","",INDEX(상세표[블록 06~07시],$P2243))</f>
        <v/>
      </c>
      <c r="K2243">
        <f>IF($P2243="","",INDEX(상세표[블록 07~18시],$P2243))</f>
        <v/>
      </c>
      <c r="L2243">
        <f>IF($P2243="","",INDEX(상세표[블록 18~22시],$P2243))</f>
        <v/>
      </c>
      <c r="M2243">
        <f>IF($P2243="","",INDEX(상세표[블록 22~06시],$P2243))</f>
        <v/>
      </c>
      <c r="N2243">
        <f>IF($P2243="","",INDEX(상세표[주말·휴일 포함],$P2243)&amp;"")</f>
        <v/>
      </c>
      <c r="O2243">
        <f>IF($P2243="","",INDEX(상세표[월 넘김 포함],$P2243)&amp;"")</f>
        <v/>
      </c>
      <c r="P2243" s="4">
        <f>IFERROR(MATCH(2238,상세표[연속순번],0),"")</f>
        <v/>
      </c>
    </row>
    <row r="2244">
      <c r="A2244">
        <f>IF($P2244="","",INDEX(상세표[사번],$P2244)&amp;"")</f>
        <v/>
      </c>
      <c r="B2244">
        <f>IF($P2244="","",INDEX(상세표[성명],$P2244)&amp;"")</f>
        <v/>
      </c>
      <c r="C2244">
        <f>IF($P2244="","",INDEX(상세표[부서],$P2244)&amp;"")</f>
        <v/>
      </c>
      <c r="D2244">
        <f>IF($P2244="","",INDEX(상세표[직위],$P2244)&amp;"")</f>
        <v/>
      </c>
      <c r="E2244">
        <f>IF($P2244="","",IF(ISNUMBER(INDEX(상세표[시작],$P2244)),TEXT(INDEX(상세표[시작],$P2244),"yyyy-mm-dd hh:mm"),INDEX(상세표[시작],$P2244)&amp;""))</f>
        <v/>
      </c>
      <c r="F2244">
        <f>IF($P2244="","",IF(ISNUMBER(INDEX(상세표[블록종료],$P2244)),TEXT(INDEX(상세표[블록종료],$P2244),"yyyy-mm-dd hh:mm"),INDEX(상세표[블록종료],$P2244)&amp;""))</f>
        <v/>
      </c>
      <c r="G2244">
        <f>IF($P2244="","",CHOOSE(WEEKDAY(INDEX(상세표[시작],$P2244)),"일","월","화","수","목","금","토"))</f>
        <v/>
      </c>
      <c r="H2244">
        <f>IF($P2244="","",INDEX(상세표[연속 시간],$P2244))</f>
        <v/>
      </c>
      <c r="I2244">
        <f>IF($P2244="","",INDEX(상세표[기록 수],$P2244))</f>
        <v/>
      </c>
      <c r="J2244">
        <f>IF($P2244="","",INDEX(상세표[블록 06~07시],$P2244))</f>
        <v/>
      </c>
      <c r="K2244">
        <f>IF($P2244="","",INDEX(상세표[블록 07~18시],$P2244))</f>
        <v/>
      </c>
      <c r="L2244">
        <f>IF($P2244="","",INDEX(상세표[블록 18~22시],$P2244))</f>
        <v/>
      </c>
      <c r="M2244">
        <f>IF($P2244="","",INDEX(상세표[블록 22~06시],$P2244))</f>
        <v/>
      </c>
      <c r="N2244">
        <f>IF($P2244="","",INDEX(상세표[주말·휴일 포함],$P2244)&amp;"")</f>
        <v/>
      </c>
      <c r="O2244">
        <f>IF($P2244="","",INDEX(상세표[월 넘김 포함],$P2244)&amp;"")</f>
        <v/>
      </c>
      <c r="P2244" s="4">
        <f>IFERROR(MATCH(2239,상세표[연속순번],0),"")</f>
        <v/>
      </c>
    </row>
    <row r="2245">
      <c r="A2245">
        <f>IF($P2245="","",INDEX(상세표[사번],$P2245)&amp;"")</f>
        <v/>
      </c>
      <c r="B2245">
        <f>IF($P2245="","",INDEX(상세표[성명],$P2245)&amp;"")</f>
        <v/>
      </c>
      <c r="C2245">
        <f>IF($P2245="","",INDEX(상세표[부서],$P2245)&amp;"")</f>
        <v/>
      </c>
      <c r="D2245">
        <f>IF($P2245="","",INDEX(상세표[직위],$P2245)&amp;"")</f>
        <v/>
      </c>
      <c r="E2245">
        <f>IF($P2245="","",IF(ISNUMBER(INDEX(상세표[시작],$P2245)),TEXT(INDEX(상세표[시작],$P2245),"yyyy-mm-dd hh:mm"),INDEX(상세표[시작],$P2245)&amp;""))</f>
        <v/>
      </c>
      <c r="F2245">
        <f>IF($P2245="","",IF(ISNUMBER(INDEX(상세표[블록종료],$P2245)),TEXT(INDEX(상세표[블록종료],$P2245),"yyyy-mm-dd hh:mm"),INDEX(상세표[블록종료],$P2245)&amp;""))</f>
        <v/>
      </c>
      <c r="G2245">
        <f>IF($P2245="","",CHOOSE(WEEKDAY(INDEX(상세표[시작],$P2245)),"일","월","화","수","목","금","토"))</f>
        <v/>
      </c>
      <c r="H2245">
        <f>IF($P2245="","",INDEX(상세표[연속 시간],$P2245))</f>
        <v/>
      </c>
      <c r="I2245">
        <f>IF($P2245="","",INDEX(상세표[기록 수],$P2245))</f>
        <v/>
      </c>
      <c r="J2245">
        <f>IF($P2245="","",INDEX(상세표[블록 06~07시],$P2245))</f>
        <v/>
      </c>
      <c r="K2245">
        <f>IF($P2245="","",INDEX(상세표[블록 07~18시],$P2245))</f>
        <v/>
      </c>
      <c r="L2245">
        <f>IF($P2245="","",INDEX(상세표[블록 18~22시],$P2245))</f>
        <v/>
      </c>
      <c r="M2245">
        <f>IF($P2245="","",INDEX(상세표[블록 22~06시],$P2245))</f>
        <v/>
      </c>
      <c r="N2245">
        <f>IF($P2245="","",INDEX(상세표[주말·휴일 포함],$P2245)&amp;"")</f>
        <v/>
      </c>
      <c r="O2245">
        <f>IF($P2245="","",INDEX(상세표[월 넘김 포함],$P2245)&amp;"")</f>
        <v/>
      </c>
      <c r="P2245" s="4">
        <f>IFERROR(MATCH(2240,상세표[연속순번],0),"")</f>
        <v/>
      </c>
    </row>
    <row r="2246">
      <c r="A2246">
        <f>IF($P2246="","",INDEX(상세표[사번],$P2246)&amp;"")</f>
        <v/>
      </c>
      <c r="B2246">
        <f>IF($P2246="","",INDEX(상세표[성명],$P2246)&amp;"")</f>
        <v/>
      </c>
      <c r="C2246">
        <f>IF($P2246="","",INDEX(상세표[부서],$P2246)&amp;"")</f>
        <v/>
      </c>
      <c r="D2246">
        <f>IF($P2246="","",INDEX(상세표[직위],$P2246)&amp;"")</f>
        <v/>
      </c>
      <c r="E2246">
        <f>IF($P2246="","",IF(ISNUMBER(INDEX(상세표[시작],$P2246)),TEXT(INDEX(상세표[시작],$P2246),"yyyy-mm-dd hh:mm"),INDEX(상세표[시작],$P2246)&amp;""))</f>
        <v/>
      </c>
      <c r="F2246">
        <f>IF($P2246="","",IF(ISNUMBER(INDEX(상세표[블록종료],$P2246)),TEXT(INDEX(상세표[블록종료],$P2246),"yyyy-mm-dd hh:mm"),INDEX(상세표[블록종료],$P2246)&amp;""))</f>
        <v/>
      </c>
      <c r="G2246">
        <f>IF($P2246="","",CHOOSE(WEEKDAY(INDEX(상세표[시작],$P2246)),"일","월","화","수","목","금","토"))</f>
        <v/>
      </c>
      <c r="H2246">
        <f>IF($P2246="","",INDEX(상세표[연속 시간],$P2246))</f>
        <v/>
      </c>
      <c r="I2246">
        <f>IF($P2246="","",INDEX(상세표[기록 수],$P2246))</f>
        <v/>
      </c>
      <c r="J2246">
        <f>IF($P2246="","",INDEX(상세표[블록 06~07시],$P2246))</f>
        <v/>
      </c>
      <c r="K2246">
        <f>IF($P2246="","",INDEX(상세표[블록 07~18시],$P2246))</f>
        <v/>
      </c>
      <c r="L2246">
        <f>IF($P2246="","",INDEX(상세표[블록 18~22시],$P2246))</f>
        <v/>
      </c>
      <c r="M2246">
        <f>IF($P2246="","",INDEX(상세표[블록 22~06시],$P2246))</f>
        <v/>
      </c>
      <c r="N2246">
        <f>IF($P2246="","",INDEX(상세표[주말·휴일 포함],$P2246)&amp;"")</f>
        <v/>
      </c>
      <c r="O2246">
        <f>IF($P2246="","",INDEX(상세표[월 넘김 포함],$P2246)&amp;"")</f>
        <v/>
      </c>
      <c r="P2246" s="4">
        <f>IFERROR(MATCH(2241,상세표[연속순번],0),"")</f>
        <v/>
      </c>
    </row>
    <row r="2247">
      <c r="A2247">
        <f>IF($P2247="","",INDEX(상세표[사번],$P2247)&amp;"")</f>
        <v/>
      </c>
      <c r="B2247">
        <f>IF($P2247="","",INDEX(상세표[성명],$P2247)&amp;"")</f>
        <v/>
      </c>
      <c r="C2247">
        <f>IF($P2247="","",INDEX(상세표[부서],$P2247)&amp;"")</f>
        <v/>
      </c>
      <c r="D2247">
        <f>IF($P2247="","",INDEX(상세표[직위],$P2247)&amp;"")</f>
        <v/>
      </c>
      <c r="E2247">
        <f>IF($P2247="","",IF(ISNUMBER(INDEX(상세표[시작],$P2247)),TEXT(INDEX(상세표[시작],$P2247),"yyyy-mm-dd hh:mm"),INDEX(상세표[시작],$P2247)&amp;""))</f>
        <v/>
      </c>
      <c r="F2247">
        <f>IF($P2247="","",IF(ISNUMBER(INDEX(상세표[블록종료],$P2247)),TEXT(INDEX(상세표[블록종료],$P2247),"yyyy-mm-dd hh:mm"),INDEX(상세표[블록종료],$P2247)&amp;""))</f>
        <v/>
      </c>
      <c r="G2247">
        <f>IF($P2247="","",CHOOSE(WEEKDAY(INDEX(상세표[시작],$P2247)),"일","월","화","수","목","금","토"))</f>
        <v/>
      </c>
      <c r="H2247">
        <f>IF($P2247="","",INDEX(상세표[연속 시간],$P2247))</f>
        <v/>
      </c>
      <c r="I2247">
        <f>IF($P2247="","",INDEX(상세표[기록 수],$P2247))</f>
        <v/>
      </c>
      <c r="J2247">
        <f>IF($P2247="","",INDEX(상세표[블록 06~07시],$P2247))</f>
        <v/>
      </c>
      <c r="K2247">
        <f>IF($P2247="","",INDEX(상세표[블록 07~18시],$P2247))</f>
        <v/>
      </c>
      <c r="L2247">
        <f>IF($P2247="","",INDEX(상세표[블록 18~22시],$P2247))</f>
        <v/>
      </c>
      <c r="M2247">
        <f>IF($P2247="","",INDEX(상세표[블록 22~06시],$P2247))</f>
        <v/>
      </c>
      <c r="N2247">
        <f>IF($P2247="","",INDEX(상세표[주말·휴일 포함],$P2247)&amp;"")</f>
        <v/>
      </c>
      <c r="O2247">
        <f>IF($P2247="","",INDEX(상세표[월 넘김 포함],$P2247)&amp;"")</f>
        <v/>
      </c>
      <c r="P2247" s="4">
        <f>IFERROR(MATCH(2242,상세표[연속순번],0),"")</f>
        <v/>
      </c>
    </row>
    <row r="2248">
      <c r="A2248">
        <f>IF($P2248="","",INDEX(상세표[사번],$P2248)&amp;"")</f>
        <v/>
      </c>
      <c r="B2248">
        <f>IF($P2248="","",INDEX(상세표[성명],$P2248)&amp;"")</f>
        <v/>
      </c>
      <c r="C2248">
        <f>IF($P2248="","",INDEX(상세표[부서],$P2248)&amp;"")</f>
        <v/>
      </c>
      <c r="D2248">
        <f>IF($P2248="","",INDEX(상세표[직위],$P2248)&amp;"")</f>
        <v/>
      </c>
      <c r="E2248">
        <f>IF($P2248="","",IF(ISNUMBER(INDEX(상세표[시작],$P2248)),TEXT(INDEX(상세표[시작],$P2248),"yyyy-mm-dd hh:mm"),INDEX(상세표[시작],$P2248)&amp;""))</f>
        <v/>
      </c>
      <c r="F2248">
        <f>IF($P2248="","",IF(ISNUMBER(INDEX(상세표[블록종료],$P2248)),TEXT(INDEX(상세표[블록종료],$P2248),"yyyy-mm-dd hh:mm"),INDEX(상세표[블록종료],$P2248)&amp;""))</f>
        <v/>
      </c>
      <c r="G2248">
        <f>IF($P2248="","",CHOOSE(WEEKDAY(INDEX(상세표[시작],$P2248)),"일","월","화","수","목","금","토"))</f>
        <v/>
      </c>
      <c r="H2248">
        <f>IF($P2248="","",INDEX(상세표[연속 시간],$P2248))</f>
        <v/>
      </c>
      <c r="I2248">
        <f>IF($P2248="","",INDEX(상세표[기록 수],$P2248))</f>
        <v/>
      </c>
      <c r="J2248">
        <f>IF($P2248="","",INDEX(상세표[블록 06~07시],$P2248))</f>
        <v/>
      </c>
      <c r="K2248">
        <f>IF($P2248="","",INDEX(상세표[블록 07~18시],$P2248))</f>
        <v/>
      </c>
      <c r="L2248">
        <f>IF($P2248="","",INDEX(상세표[블록 18~22시],$P2248))</f>
        <v/>
      </c>
      <c r="M2248">
        <f>IF($P2248="","",INDEX(상세표[블록 22~06시],$P2248))</f>
        <v/>
      </c>
      <c r="N2248">
        <f>IF($P2248="","",INDEX(상세표[주말·휴일 포함],$P2248)&amp;"")</f>
        <v/>
      </c>
      <c r="O2248">
        <f>IF($P2248="","",INDEX(상세표[월 넘김 포함],$P2248)&amp;"")</f>
        <v/>
      </c>
      <c r="P2248" s="4">
        <f>IFERROR(MATCH(2243,상세표[연속순번],0),"")</f>
        <v/>
      </c>
    </row>
    <row r="2249">
      <c r="A2249">
        <f>IF($P2249="","",INDEX(상세표[사번],$P2249)&amp;"")</f>
        <v/>
      </c>
      <c r="B2249">
        <f>IF($P2249="","",INDEX(상세표[성명],$P2249)&amp;"")</f>
        <v/>
      </c>
      <c r="C2249">
        <f>IF($P2249="","",INDEX(상세표[부서],$P2249)&amp;"")</f>
        <v/>
      </c>
      <c r="D2249">
        <f>IF($P2249="","",INDEX(상세표[직위],$P2249)&amp;"")</f>
        <v/>
      </c>
      <c r="E2249">
        <f>IF($P2249="","",IF(ISNUMBER(INDEX(상세표[시작],$P2249)),TEXT(INDEX(상세표[시작],$P2249),"yyyy-mm-dd hh:mm"),INDEX(상세표[시작],$P2249)&amp;""))</f>
        <v/>
      </c>
      <c r="F2249">
        <f>IF($P2249="","",IF(ISNUMBER(INDEX(상세표[블록종료],$P2249)),TEXT(INDEX(상세표[블록종료],$P2249),"yyyy-mm-dd hh:mm"),INDEX(상세표[블록종료],$P2249)&amp;""))</f>
        <v/>
      </c>
      <c r="G2249">
        <f>IF($P2249="","",CHOOSE(WEEKDAY(INDEX(상세표[시작],$P2249)),"일","월","화","수","목","금","토"))</f>
        <v/>
      </c>
      <c r="H2249">
        <f>IF($P2249="","",INDEX(상세표[연속 시간],$P2249))</f>
        <v/>
      </c>
      <c r="I2249">
        <f>IF($P2249="","",INDEX(상세표[기록 수],$P2249))</f>
        <v/>
      </c>
      <c r="J2249">
        <f>IF($P2249="","",INDEX(상세표[블록 06~07시],$P2249))</f>
        <v/>
      </c>
      <c r="K2249">
        <f>IF($P2249="","",INDEX(상세표[블록 07~18시],$P2249))</f>
        <v/>
      </c>
      <c r="L2249">
        <f>IF($P2249="","",INDEX(상세표[블록 18~22시],$P2249))</f>
        <v/>
      </c>
      <c r="M2249">
        <f>IF($P2249="","",INDEX(상세표[블록 22~06시],$P2249))</f>
        <v/>
      </c>
      <c r="N2249">
        <f>IF($P2249="","",INDEX(상세표[주말·휴일 포함],$P2249)&amp;"")</f>
        <v/>
      </c>
      <c r="O2249">
        <f>IF($P2249="","",INDEX(상세표[월 넘김 포함],$P2249)&amp;"")</f>
        <v/>
      </c>
      <c r="P2249" s="4">
        <f>IFERROR(MATCH(2244,상세표[연속순번],0),"")</f>
        <v/>
      </c>
    </row>
    <row r="2250">
      <c r="A2250">
        <f>IF($P2250="","",INDEX(상세표[사번],$P2250)&amp;"")</f>
        <v/>
      </c>
      <c r="B2250">
        <f>IF($P2250="","",INDEX(상세표[성명],$P2250)&amp;"")</f>
        <v/>
      </c>
      <c r="C2250">
        <f>IF($P2250="","",INDEX(상세표[부서],$P2250)&amp;"")</f>
        <v/>
      </c>
      <c r="D2250">
        <f>IF($P2250="","",INDEX(상세표[직위],$P2250)&amp;"")</f>
        <v/>
      </c>
      <c r="E2250">
        <f>IF($P2250="","",IF(ISNUMBER(INDEX(상세표[시작],$P2250)),TEXT(INDEX(상세표[시작],$P2250),"yyyy-mm-dd hh:mm"),INDEX(상세표[시작],$P2250)&amp;""))</f>
        <v/>
      </c>
      <c r="F2250">
        <f>IF($P2250="","",IF(ISNUMBER(INDEX(상세표[블록종료],$P2250)),TEXT(INDEX(상세표[블록종료],$P2250),"yyyy-mm-dd hh:mm"),INDEX(상세표[블록종료],$P2250)&amp;""))</f>
        <v/>
      </c>
      <c r="G2250">
        <f>IF($P2250="","",CHOOSE(WEEKDAY(INDEX(상세표[시작],$P2250)),"일","월","화","수","목","금","토"))</f>
        <v/>
      </c>
      <c r="H2250">
        <f>IF($P2250="","",INDEX(상세표[연속 시간],$P2250))</f>
        <v/>
      </c>
      <c r="I2250">
        <f>IF($P2250="","",INDEX(상세표[기록 수],$P2250))</f>
        <v/>
      </c>
      <c r="J2250">
        <f>IF($P2250="","",INDEX(상세표[블록 06~07시],$P2250))</f>
        <v/>
      </c>
      <c r="K2250">
        <f>IF($P2250="","",INDEX(상세표[블록 07~18시],$P2250))</f>
        <v/>
      </c>
      <c r="L2250">
        <f>IF($P2250="","",INDEX(상세표[블록 18~22시],$P2250))</f>
        <v/>
      </c>
      <c r="M2250">
        <f>IF($P2250="","",INDEX(상세표[블록 22~06시],$P2250))</f>
        <v/>
      </c>
      <c r="N2250">
        <f>IF($P2250="","",INDEX(상세표[주말·휴일 포함],$P2250)&amp;"")</f>
        <v/>
      </c>
      <c r="O2250">
        <f>IF($P2250="","",INDEX(상세표[월 넘김 포함],$P2250)&amp;"")</f>
        <v/>
      </c>
      <c r="P2250" s="4">
        <f>IFERROR(MATCH(2245,상세표[연속순번],0),"")</f>
        <v/>
      </c>
    </row>
    <row r="2251">
      <c r="A2251">
        <f>IF($P2251="","",INDEX(상세표[사번],$P2251)&amp;"")</f>
        <v/>
      </c>
      <c r="B2251">
        <f>IF($P2251="","",INDEX(상세표[성명],$P2251)&amp;"")</f>
        <v/>
      </c>
      <c r="C2251">
        <f>IF($P2251="","",INDEX(상세표[부서],$P2251)&amp;"")</f>
        <v/>
      </c>
      <c r="D2251">
        <f>IF($P2251="","",INDEX(상세표[직위],$P2251)&amp;"")</f>
        <v/>
      </c>
      <c r="E2251">
        <f>IF($P2251="","",IF(ISNUMBER(INDEX(상세표[시작],$P2251)),TEXT(INDEX(상세표[시작],$P2251),"yyyy-mm-dd hh:mm"),INDEX(상세표[시작],$P2251)&amp;""))</f>
        <v/>
      </c>
      <c r="F2251">
        <f>IF($P2251="","",IF(ISNUMBER(INDEX(상세표[블록종료],$P2251)),TEXT(INDEX(상세표[블록종료],$P2251),"yyyy-mm-dd hh:mm"),INDEX(상세표[블록종료],$P2251)&amp;""))</f>
        <v/>
      </c>
      <c r="G2251">
        <f>IF($P2251="","",CHOOSE(WEEKDAY(INDEX(상세표[시작],$P2251)),"일","월","화","수","목","금","토"))</f>
        <v/>
      </c>
      <c r="H2251">
        <f>IF($P2251="","",INDEX(상세표[연속 시간],$P2251))</f>
        <v/>
      </c>
      <c r="I2251">
        <f>IF($P2251="","",INDEX(상세표[기록 수],$P2251))</f>
        <v/>
      </c>
      <c r="J2251">
        <f>IF($P2251="","",INDEX(상세표[블록 06~07시],$P2251))</f>
        <v/>
      </c>
      <c r="K2251">
        <f>IF($P2251="","",INDEX(상세표[블록 07~18시],$P2251))</f>
        <v/>
      </c>
      <c r="L2251">
        <f>IF($P2251="","",INDEX(상세표[블록 18~22시],$P2251))</f>
        <v/>
      </c>
      <c r="M2251">
        <f>IF($P2251="","",INDEX(상세표[블록 22~06시],$P2251))</f>
        <v/>
      </c>
      <c r="N2251">
        <f>IF($P2251="","",INDEX(상세표[주말·휴일 포함],$P2251)&amp;"")</f>
        <v/>
      </c>
      <c r="O2251">
        <f>IF($P2251="","",INDEX(상세표[월 넘김 포함],$P2251)&amp;"")</f>
        <v/>
      </c>
      <c r="P2251" s="4">
        <f>IFERROR(MATCH(2246,상세표[연속순번],0),"")</f>
        <v/>
      </c>
    </row>
    <row r="2252">
      <c r="A2252">
        <f>IF($P2252="","",INDEX(상세표[사번],$P2252)&amp;"")</f>
        <v/>
      </c>
      <c r="B2252">
        <f>IF($P2252="","",INDEX(상세표[성명],$P2252)&amp;"")</f>
        <v/>
      </c>
      <c r="C2252">
        <f>IF($P2252="","",INDEX(상세표[부서],$P2252)&amp;"")</f>
        <v/>
      </c>
      <c r="D2252">
        <f>IF($P2252="","",INDEX(상세표[직위],$P2252)&amp;"")</f>
        <v/>
      </c>
      <c r="E2252">
        <f>IF($P2252="","",IF(ISNUMBER(INDEX(상세표[시작],$P2252)),TEXT(INDEX(상세표[시작],$P2252),"yyyy-mm-dd hh:mm"),INDEX(상세표[시작],$P2252)&amp;""))</f>
        <v/>
      </c>
      <c r="F2252">
        <f>IF($P2252="","",IF(ISNUMBER(INDEX(상세표[블록종료],$P2252)),TEXT(INDEX(상세표[블록종료],$P2252),"yyyy-mm-dd hh:mm"),INDEX(상세표[블록종료],$P2252)&amp;""))</f>
        <v/>
      </c>
      <c r="G2252">
        <f>IF($P2252="","",CHOOSE(WEEKDAY(INDEX(상세표[시작],$P2252)),"일","월","화","수","목","금","토"))</f>
        <v/>
      </c>
      <c r="H2252">
        <f>IF($P2252="","",INDEX(상세표[연속 시간],$P2252))</f>
        <v/>
      </c>
      <c r="I2252">
        <f>IF($P2252="","",INDEX(상세표[기록 수],$P2252))</f>
        <v/>
      </c>
      <c r="J2252">
        <f>IF($P2252="","",INDEX(상세표[블록 06~07시],$P2252))</f>
        <v/>
      </c>
      <c r="K2252">
        <f>IF($P2252="","",INDEX(상세표[블록 07~18시],$P2252))</f>
        <v/>
      </c>
      <c r="L2252">
        <f>IF($P2252="","",INDEX(상세표[블록 18~22시],$P2252))</f>
        <v/>
      </c>
      <c r="M2252">
        <f>IF($P2252="","",INDEX(상세표[블록 22~06시],$P2252))</f>
        <v/>
      </c>
      <c r="N2252">
        <f>IF($P2252="","",INDEX(상세표[주말·휴일 포함],$P2252)&amp;"")</f>
        <v/>
      </c>
      <c r="O2252">
        <f>IF($P2252="","",INDEX(상세표[월 넘김 포함],$P2252)&amp;"")</f>
        <v/>
      </c>
      <c r="P2252" s="4">
        <f>IFERROR(MATCH(2247,상세표[연속순번],0),"")</f>
        <v/>
      </c>
    </row>
    <row r="2253">
      <c r="A2253">
        <f>IF($P2253="","",INDEX(상세표[사번],$P2253)&amp;"")</f>
        <v/>
      </c>
      <c r="B2253">
        <f>IF($P2253="","",INDEX(상세표[성명],$P2253)&amp;"")</f>
        <v/>
      </c>
      <c r="C2253">
        <f>IF($P2253="","",INDEX(상세표[부서],$P2253)&amp;"")</f>
        <v/>
      </c>
      <c r="D2253">
        <f>IF($P2253="","",INDEX(상세표[직위],$P2253)&amp;"")</f>
        <v/>
      </c>
      <c r="E2253">
        <f>IF($P2253="","",IF(ISNUMBER(INDEX(상세표[시작],$P2253)),TEXT(INDEX(상세표[시작],$P2253),"yyyy-mm-dd hh:mm"),INDEX(상세표[시작],$P2253)&amp;""))</f>
        <v/>
      </c>
      <c r="F2253">
        <f>IF($P2253="","",IF(ISNUMBER(INDEX(상세표[블록종료],$P2253)),TEXT(INDEX(상세표[블록종료],$P2253),"yyyy-mm-dd hh:mm"),INDEX(상세표[블록종료],$P2253)&amp;""))</f>
        <v/>
      </c>
      <c r="G2253">
        <f>IF($P2253="","",CHOOSE(WEEKDAY(INDEX(상세표[시작],$P2253)),"일","월","화","수","목","금","토"))</f>
        <v/>
      </c>
      <c r="H2253">
        <f>IF($P2253="","",INDEX(상세표[연속 시간],$P2253))</f>
        <v/>
      </c>
      <c r="I2253">
        <f>IF($P2253="","",INDEX(상세표[기록 수],$P2253))</f>
        <v/>
      </c>
      <c r="J2253">
        <f>IF($P2253="","",INDEX(상세표[블록 06~07시],$P2253))</f>
        <v/>
      </c>
      <c r="K2253">
        <f>IF($P2253="","",INDEX(상세표[블록 07~18시],$P2253))</f>
        <v/>
      </c>
      <c r="L2253">
        <f>IF($P2253="","",INDEX(상세표[블록 18~22시],$P2253))</f>
        <v/>
      </c>
      <c r="M2253">
        <f>IF($P2253="","",INDEX(상세표[블록 22~06시],$P2253))</f>
        <v/>
      </c>
      <c r="N2253">
        <f>IF($P2253="","",INDEX(상세표[주말·휴일 포함],$P2253)&amp;"")</f>
        <v/>
      </c>
      <c r="O2253">
        <f>IF($P2253="","",INDEX(상세표[월 넘김 포함],$P2253)&amp;"")</f>
        <v/>
      </c>
      <c r="P2253" s="4">
        <f>IFERROR(MATCH(2248,상세표[연속순번],0),"")</f>
        <v/>
      </c>
    </row>
    <row r="2254">
      <c r="A2254">
        <f>IF($P2254="","",INDEX(상세표[사번],$P2254)&amp;"")</f>
        <v/>
      </c>
      <c r="B2254">
        <f>IF($P2254="","",INDEX(상세표[성명],$P2254)&amp;"")</f>
        <v/>
      </c>
      <c r="C2254">
        <f>IF($P2254="","",INDEX(상세표[부서],$P2254)&amp;"")</f>
        <v/>
      </c>
      <c r="D2254">
        <f>IF($P2254="","",INDEX(상세표[직위],$P2254)&amp;"")</f>
        <v/>
      </c>
      <c r="E2254">
        <f>IF($P2254="","",IF(ISNUMBER(INDEX(상세표[시작],$P2254)),TEXT(INDEX(상세표[시작],$P2254),"yyyy-mm-dd hh:mm"),INDEX(상세표[시작],$P2254)&amp;""))</f>
        <v/>
      </c>
      <c r="F2254">
        <f>IF($P2254="","",IF(ISNUMBER(INDEX(상세표[블록종료],$P2254)),TEXT(INDEX(상세표[블록종료],$P2254),"yyyy-mm-dd hh:mm"),INDEX(상세표[블록종료],$P2254)&amp;""))</f>
        <v/>
      </c>
      <c r="G2254">
        <f>IF($P2254="","",CHOOSE(WEEKDAY(INDEX(상세표[시작],$P2254)),"일","월","화","수","목","금","토"))</f>
        <v/>
      </c>
      <c r="H2254">
        <f>IF($P2254="","",INDEX(상세표[연속 시간],$P2254))</f>
        <v/>
      </c>
      <c r="I2254">
        <f>IF($P2254="","",INDEX(상세표[기록 수],$P2254))</f>
        <v/>
      </c>
      <c r="J2254">
        <f>IF($P2254="","",INDEX(상세표[블록 06~07시],$P2254))</f>
        <v/>
      </c>
      <c r="K2254">
        <f>IF($P2254="","",INDEX(상세표[블록 07~18시],$P2254))</f>
        <v/>
      </c>
      <c r="L2254">
        <f>IF($P2254="","",INDEX(상세표[블록 18~22시],$P2254))</f>
        <v/>
      </c>
      <c r="M2254">
        <f>IF($P2254="","",INDEX(상세표[블록 22~06시],$P2254))</f>
        <v/>
      </c>
      <c r="N2254">
        <f>IF($P2254="","",INDEX(상세표[주말·휴일 포함],$P2254)&amp;"")</f>
        <v/>
      </c>
      <c r="O2254">
        <f>IF($P2254="","",INDEX(상세표[월 넘김 포함],$P2254)&amp;"")</f>
        <v/>
      </c>
      <c r="P2254" s="4">
        <f>IFERROR(MATCH(2249,상세표[연속순번],0),"")</f>
        <v/>
      </c>
    </row>
    <row r="2255">
      <c r="A2255">
        <f>IF($P2255="","",INDEX(상세표[사번],$P2255)&amp;"")</f>
        <v/>
      </c>
      <c r="B2255">
        <f>IF($P2255="","",INDEX(상세표[성명],$P2255)&amp;"")</f>
        <v/>
      </c>
      <c r="C2255">
        <f>IF($P2255="","",INDEX(상세표[부서],$P2255)&amp;"")</f>
        <v/>
      </c>
      <c r="D2255">
        <f>IF($P2255="","",INDEX(상세표[직위],$P2255)&amp;"")</f>
        <v/>
      </c>
      <c r="E2255">
        <f>IF($P2255="","",IF(ISNUMBER(INDEX(상세표[시작],$P2255)),TEXT(INDEX(상세표[시작],$P2255),"yyyy-mm-dd hh:mm"),INDEX(상세표[시작],$P2255)&amp;""))</f>
        <v/>
      </c>
      <c r="F2255">
        <f>IF($P2255="","",IF(ISNUMBER(INDEX(상세표[블록종료],$P2255)),TEXT(INDEX(상세표[블록종료],$P2255),"yyyy-mm-dd hh:mm"),INDEX(상세표[블록종료],$P2255)&amp;""))</f>
        <v/>
      </c>
      <c r="G2255">
        <f>IF($P2255="","",CHOOSE(WEEKDAY(INDEX(상세표[시작],$P2255)),"일","월","화","수","목","금","토"))</f>
        <v/>
      </c>
      <c r="H2255">
        <f>IF($P2255="","",INDEX(상세표[연속 시간],$P2255))</f>
        <v/>
      </c>
      <c r="I2255">
        <f>IF($P2255="","",INDEX(상세표[기록 수],$P2255))</f>
        <v/>
      </c>
      <c r="J2255">
        <f>IF($P2255="","",INDEX(상세표[블록 06~07시],$P2255))</f>
        <v/>
      </c>
      <c r="K2255">
        <f>IF($P2255="","",INDEX(상세표[블록 07~18시],$P2255))</f>
        <v/>
      </c>
      <c r="L2255">
        <f>IF($P2255="","",INDEX(상세표[블록 18~22시],$P2255))</f>
        <v/>
      </c>
      <c r="M2255">
        <f>IF($P2255="","",INDEX(상세표[블록 22~06시],$P2255))</f>
        <v/>
      </c>
      <c r="N2255">
        <f>IF($P2255="","",INDEX(상세표[주말·휴일 포함],$P2255)&amp;"")</f>
        <v/>
      </c>
      <c r="O2255">
        <f>IF($P2255="","",INDEX(상세표[월 넘김 포함],$P2255)&amp;"")</f>
        <v/>
      </c>
      <c r="P2255" s="4">
        <f>IFERROR(MATCH(2250,상세표[연속순번],0),"")</f>
        <v/>
      </c>
    </row>
    <row r="2256">
      <c r="A2256">
        <f>IF($P2256="","",INDEX(상세표[사번],$P2256)&amp;"")</f>
        <v/>
      </c>
      <c r="B2256">
        <f>IF($P2256="","",INDEX(상세표[성명],$P2256)&amp;"")</f>
        <v/>
      </c>
      <c r="C2256">
        <f>IF($P2256="","",INDEX(상세표[부서],$P2256)&amp;"")</f>
        <v/>
      </c>
      <c r="D2256">
        <f>IF($P2256="","",INDEX(상세표[직위],$P2256)&amp;"")</f>
        <v/>
      </c>
      <c r="E2256">
        <f>IF($P2256="","",IF(ISNUMBER(INDEX(상세표[시작],$P2256)),TEXT(INDEX(상세표[시작],$P2256),"yyyy-mm-dd hh:mm"),INDEX(상세표[시작],$P2256)&amp;""))</f>
        <v/>
      </c>
      <c r="F2256">
        <f>IF($P2256="","",IF(ISNUMBER(INDEX(상세표[블록종료],$P2256)),TEXT(INDEX(상세표[블록종료],$P2256),"yyyy-mm-dd hh:mm"),INDEX(상세표[블록종료],$P2256)&amp;""))</f>
        <v/>
      </c>
      <c r="G2256">
        <f>IF($P2256="","",CHOOSE(WEEKDAY(INDEX(상세표[시작],$P2256)),"일","월","화","수","목","금","토"))</f>
        <v/>
      </c>
      <c r="H2256">
        <f>IF($P2256="","",INDEX(상세표[연속 시간],$P2256))</f>
        <v/>
      </c>
      <c r="I2256">
        <f>IF($P2256="","",INDEX(상세표[기록 수],$P2256))</f>
        <v/>
      </c>
      <c r="J2256">
        <f>IF($P2256="","",INDEX(상세표[블록 06~07시],$P2256))</f>
        <v/>
      </c>
      <c r="K2256">
        <f>IF($P2256="","",INDEX(상세표[블록 07~18시],$P2256))</f>
        <v/>
      </c>
      <c r="L2256">
        <f>IF($P2256="","",INDEX(상세표[블록 18~22시],$P2256))</f>
        <v/>
      </c>
      <c r="M2256">
        <f>IF($P2256="","",INDEX(상세표[블록 22~06시],$P2256))</f>
        <v/>
      </c>
      <c r="N2256">
        <f>IF($P2256="","",INDEX(상세표[주말·휴일 포함],$P2256)&amp;"")</f>
        <v/>
      </c>
      <c r="O2256">
        <f>IF($P2256="","",INDEX(상세표[월 넘김 포함],$P2256)&amp;"")</f>
        <v/>
      </c>
      <c r="P2256" s="4">
        <f>IFERROR(MATCH(2251,상세표[연속순번],0),"")</f>
        <v/>
      </c>
    </row>
    <row r="2257">
      <c r="A2257">
        <f>IF($P2257="","",INDEX(상세표[사번],$P2257)&amp;"")</f>
        <v/>
      </c>
      <c r="B2257">
        <f>IF($P2257="","",INDEX(상세표[성명],$P2257)&amp;"")</f>
        <v/>
      </c>
      <c r="C2257">
        <f>IF($P2257="","",INDEX(상세표[부서],$P2257)&amp;"")</f>
        <v/>
      </c>
      <c r="D2257">
        <f>IF($P2257="","",INDEX(상세표[직위],$P2257)&amp;"")</f>
        <v/>
      </c>
      <c r="E2257">
        <f>IF($P2257="","",IF(ISNUMBER(INDEX(상세표[시작],$P2257)),TEXT(INDEX(상세표[시작],$P2257),"yyyy-mm-dd hh:mm"),INDEX(상세표[시작],$P2257)&amp;""))</f>
        <v/>
      </c>
      <c r="F2257">
        <f>IF($P2257="","",IF(ISNUMBER(INDEX(상세표[블록종료],$P2257)),TEXT(INDEX(상세표[블록종료],$P2257),"yyyy-mm-dd hh:mm"),INDEX(상세표[블록종료],$P2257)&amp;""))</f>
        <v/>
      </c>
      <c r="G2257">
        <f>IF($P2257="","",CHOOSE(WEEKDAY(INDEX(상세표[시작],$P2257)),"일","월","화","수","목","금","토"))</f>
        <v/>
      </c>
      <c r="H2257">
        <f>IF($P2257="","",INDEX(상세표[연속 시간],$P2257))</f>
        <v/>
      </c>
      <c r="I2257">
        <f>IF($P2257="","",INDEX(상세표[기록 수],$P2257))</f>
        <v/>
      </c>
      <c r="J2257">
        <f>IF($P2257="","",INDEX(상세표[블록 06~07시],$P2257))</f>
        <v/>
      </c>
      <c r="K2257">
        <f>IF($P2257="","",INDEX(상세표[블록 07~18시],$P2257))</f>
        <v/>
      </c>
      <c r="L2257">
        <f>IF($P2257="","",INDEX(상세표[블록 18~22시],$P2257))</f>
        <v/>
      </c>
      <c r="M2257">
        <f>IF($P2257="","",INDEX(상세표[블록 22~06시],$P2257))</f>
        <v/>
      </c>
      <c r="N2257">
        <f>IF($P2257="","",INDEX(상세표[주말·휴일 포함],$P2257)&amp;"")</f>
        <v/>
      </c>
      <c r="O2257">
        <f>IF($P2257="","",INDEX(상세표[월 넘김 포함],$P2257)&amp;"")</f>
        <v/>
      </c>
      <c r="P2257" s="4">
        <f>IFERROR(MATCH(2252,상세표[연속순번],0),"")</f>
        <v/>
      </c>
    </row>
    <row r="2258">
      <c r="A2258">
        <f>IF($P2258="","",INDEX(상세표[사번],$P2258)&amp;"")</f>
        <v/>
      </c>
      <c r="B2258">
        <f>IF($P2258="","",INDEX(상세표[성명],$P2258)&amp;"")</f>
        <v/>
      </c>
      <c r="C2258">
        <f>IF($P2258="","",INDEX(상세표[부서],$P2258)&amp;"")</f>
        <v/>
      </c>
      <c r="D2258">
        <f>IF($P2258="","",INDEX(상세표[직위],$P2258)&amp;"")</f>
        <v/>
      </c>
      <c r="E2258">
        <f>IF($P2258="","",IF(ISNUMBER(INDEX(상세표[시작],$P2258)),TEXT(INDEX(상세표[시작],$P2258),"yyyy-mm-dd hh:mm"),INDEX(상세표[시작],$P2258)&amp;""))</f>
        <v/>
      </c>
      <c r="F2258">
        <f>IF($P2258="","",IF(ISNUMBER(INDEX(상세표[블록종료],$P2258)),TEXT(INDEX(상세표[블록종료],$P2258),"yyyy-mm-dd hh:mm"),INDEX(상세표[블록종료],$P2258)&amp;""))</f>
        <v/>
      </c>
      <c r="G2258">
        <f>IF($P2258="","",CHOOSE(WEEKDAY(INDEX(상세표[시작],$P2258)),"일","월","화","수","목","금","토"))</f>
        <v/>
      </c>
      <c r="H2258">
        <f>IF($P2258="","",INDEX(상세표[연속 시간],$P2258))</f>
        <v/>
      </c>
      <c r="I2258">
        <f>IF($P2258="","",INDEX(상세표[기록 수],$P2258))</f>
        <v/>
      </c>
      <c r="J2258">
        <f>IF($P2258="","",INDEX(상세표[블록 06~07시],$P2258))</f>
        <v/>
      </c>
      <c r="K2258">
        <f>IF($P2258="","",INDEX(상세표[블록 07~18시],$P2258))</f>
        <v/>
      </c>
      <c r="L2258">
        <f>IF($P2258="","",INDEX(상세표[블록 18~22시],$P2258))</f>
        <v/>
      </c>
      <c r="M2258">
        <f>IF($P2258="","",INDEX(상세표[블록 22~06시],$P2258))</f>
        <v/>
      </c>
      <c r="N2258">
        <f>IF($P2258="","",INDEX(상세표[주말·휴일 포함],$P2258)&amp;"")</f>
        <v/>
      </c>
      <c r="O2258">
        <f>IF($P2258="","",INDEX(상세표[월 넘김 포함],$P2258)&amp;"")</f>
        <v/>
      </c>
      <c r="P2258" s="4">
        <f>IFERROR(MATCH(2253,상세표[연속순번],0),"")</f>
        <v/>
      </c>
    </row>
    <row r="2259">
      <c r="A2259">
        <f>IF($P2259="","",INDEX(상세표[사번],$P2259)&amp;"")</f>
        <v/>
      </c>
      <c r="B2259">
        <f>IF($P2259="","",INDEX(상세표[성명],$P2259)&amp;"")</f>
        <v/>
      </c>
      <c r="C2259">
        <f>IF($P2259="","",INDEX(상세표[부서],$P2259)&amp;"")</f>
        <v/>
      </c>
      <c r="D2259">
        <f>IF($P2259="","",INDEX(상세표[직위],$P2259)&amp;"")</f>
        <v/>
      </c>
      <c r="E2259">
        <f>IF($P2259="","",IF(ISNUMBER(INDEX(상세표[시작],$P2259)),TEXT(INDEX(상세표[시작],$P2259),"yyyy-mm-dd hh:mm"),INDEX(상세표[시작],$P2259)&amp;""))</f>
        <v/>
      </c>
      <c r="F2259">
        <f>IF($P2259="","",IF(ISNUMBER(INDEX(상세표[블록종료],$P2259)),TEXT(INDEX(상세표[블록종료],$P2259),"yyyy-mm-dd hh:mm"),INDEX(상세표[블록종료],$P2259)&amp;""))</f>
        <v/>
      </c>
      <c r="G2259">
        <f>IF($P2259="","",CHOOSE(WEEKDAY(INDEX(상세표[시작],$P2259)),"일","월","화","수","목","금","토"))</f>
        <v/>
      </c>
      <c r="H2259">
        <f>IF($P2259="","",INDEX(상세표[연속 시간],$P2259))</f>
        <v/>
      </c>
      <c r="I2259">
        <f>IF($P2259="","",INDEX(상세표[기록 수],$P2259))</f>
        <v/>
      </c>
      <c r="J2259">
        <f>IF($P2259="","",INDEX(상세표[블록 06~07시],$P2259))</f>
        <v/>
      </c>
      <c r="K2259">
        <f>IF($P2259="","",INDEX(상세표[블록 07~18시],$P2259))</f>
        <v/>
      </c>
      <c r="L2259">
        <f>IF($P2259="","",INDEX(상세표[블록 18~22시],$P2259))</f>
        <v/>
      </c>
      <c r="M2259">
        <f>IF($P2259="","",INDEX(상세표[블록 22~06시],$P2259))</f>
        <v/>
      </c>
      <c r="N2259">
        <f>IF($P2259="","",INDEX(상세표[주말·휴일 포함],$P2259)&amp;"")</f>
        <v/>
      </c>
      <c r="O2259">
        <f>IF($P2259="","",INDEX(상세표[월 넘김 포함],$P2259)&amp;"")</f>
        <v/>
      </c>
      <c r="P2259" s="4">
        <f>IFERROR(MATCH(2254,상세표[연속순번],0),"")</f>
        <v/>
      </c>
    </row>
    <row r="2260">
      <c r="A2260">
        <f>IF($P2260="","",INDEX(상세표[사번],$P2260)&amp;"")</f>
        <v/>
      </c>
      <c r="B2260">
        <f>IF($P2260="","",INDEX(상세표[성명],$P2260)&amp;"")</f>
        <v/>
      </c>
      <c r="C2260">
        <f>IF($P2260="","",INDEX(상세표[부서],$P2260)&amp;"")</f>
        <v/>
      </c>
      <c r="D2260">
        <f>IF($P2260="","",INDEX(상세표[직위],$P2260)&amp;"")</f>
        <v/>
      </c>
      <c r="E2260">
        <f>IF($P2260="","",IF(ISNUMBER(INDEX(상세표[시작],$P2260)),TEXT(INDEX(상세표[시작],$P2260),"yyyy-mm-dd hh:mm"),INDEX(상세표[시작],$P2260)&amp;""))</f>
        <v/>
      </c>
      <c r="F2260">
        <f>IF($P2260="","",IF(ISNUMBER(INDEX(상세표[블록종료],$P2260)),TEXT(INDEX(상세표[블록종료],$P2260),"yyyy-mm-dd hh:mm"),INDEX(상세표[블록종료],$P2260)&amp;""))</f>
        <v/>
      </c>
      <c r="G2260">
        <f>IF($P2260="","",CHOOSE(WEEKDAY(INDEX(상세표[시작],$P2260)),"일","월","화","수","목","금","토"))</f>
        <v/>
      </c>
      <c r="H2260">
        <f>IF($P2260="","",INDEX(상세표[연속 시간],$P2260))</f>
        <v/>
      </c>
      <c r="I2260">
        <f>IF($P2260="","",INDEX(상세표[기록 수],$P2260))</f>
        <v/>
      </c>
      <c r="J2260">
        <f>IF($P2260="","",INDEX(상세표[블록 06~07시],$P2260))</f>
        <v/>
      </c>
      <c r="K2260">
        <f>IF($P2260="","",INDEX(상세표[블록 07~18시],$P2260))</f>
        <v/>
      </c>
      <c r="L2260">
        <f>IF($P2260="","",INDEX(상세표[블록 18~22시],$P2260))</f>
        <v/>
      </c>
      <c r="M2260">
        <f>IF($P2260="","",INDEX(상세표[블록 22~06시],$P2260))</f>
        <v/>
      </c>
      <c r="N2260">
        <f>IF($P2260="","",INDEX(상세표[주말·휴일 포함],$P2260)&amp;"")</f>
        <v/>
      </c>
      <c r="O2260">
        <f>IF($P2260="","",INDEX(상세표[월 넘김 포함],$P2260)&amp;"")</f>
        <v/>
      </c>
      <c r="P2260" s="4">
        <f>IFERROR(MATCH(2255,상세표[연속순번],0),"")</f>
        <v/>
      </c>
    </row>
    <row r="2261">
      <c r="A2261">
        <f>IF($P2261="","",INDEX(상세표[사번],$P2261)&amp;"")</f>
        <v/>
      </c>
      <c r="B2261">
        <f>IF($P2261="","",INDEX(상세표[성명],$P2261)&amp;"")</f>
        <v/>
      </c>
      <c r="C2261">
        <f>IF($P2261="","",INDEX(상세표[부서],$P2261)&amp;"")</f>
        <v/>
      </c>
      <c r="D2261">
        <f>IF($P2261="","",INDEX(상세표[직위],$P2261)&amp;"")</f>
        <v/>
      </c>
      <c r="E2261">
        <f>IF($P2261="","",IF(ISNUMBER(INDEX(상세표[시작],$P2261)),TEXT(INDEX(상세표[시작],$P2261),"yyyy-mm-dd hh:mm"),INDEX(상세표[시작],$P2261)&amp;""))</f>
        <v/>
      </c>
      <c r="F2261">
        <f>IF($P2261="","",IF(ISNUMBER(INDEX(상세표[블록종료],$P2261)),TEXT(INDEX(상세표[블록종료],$P2261),"yyyy-mm-dd hh:mm"),INDEX(상세표[블록종료],$P2261)&amp;""))</f>
        <v/>
      </c>
      <c r="G2261">
        <f>IF($P2261="","",CHOOSE(WEEKDAY(INDEX(상세표[시작],$P2261)),"일","월","화","수","목","금","토"))</f>
        <v/>
      </c>
      <c r="H2261">
        <f>IF($P2261="","",INDEX(상세표[연속 시간],$P2261))</f>
        <v/>
      </c>
      <c r="I2261">
        <f>IF($P2261="","",INDEX(상세표[기록 수],$P2261))</f>
        <v/>
      </c>
      <c r="J2261">
        <f>IF($P2261="","",INDEX(상세표[블록 06~07시],$P2261))</f>
        <v/>
      </c>
      <c r="K2261">
        <f>IF($P2261="","",INDEX(상세표[블록 07~18시],$P2261))</f>
        <v/>
      </c>
      <c r="L2261">
        <f>IF($P2261="","",INDEX(상세표[블록 18~22시],$P2261))</f>
        <v/>
      </c>
      <c r="M2261">
        <f>IF($P2261="","",INDEX(상세표[블록 22~06시],$P2261))</f>
        <v/>
      </c>
      <c r="N2261">
        <f>IF($P2261="","",INDEX(상세표[주말·휴일 포함],$P2261)&amp;"")</f>
        <v/>
      </c>
      <c r="O2261">
        <f>IF($P2261="","",INDEX(상세표[월 넘김 포함],$P2261)&amp;"")</f>
        <v/>
      </c>
      <c r="P2261" s="4">
        <f>IFERROR(MATCH(2256,상세표[연속순번],0),"")</f>
        <v/>
      </c>
    </row>
    <row r="2262">
      <c r="A2262">
        <f>IF($P2262="","",INDEX(상세표[사번],$P2262)&amp;"")</f>
        <v/>
      </c>
      <c r="B2262">
        <f>IF($P2262="","",INDEX(상세표[성명],$P2262)&amp;"")</f>
        <v/>
      </c>
      <c r="C2262">
        <f>IF($P2262="","",INDEX(상세표[부서],$P2262)&amp;"")</f>
        <v/>
      </c>
      <c r="D2262">
        <f>IF($P2262="","",INDEX(상세표[직위],$P2262)&amp;"")</f>
        <v/>
      </c>
      <c r="E2262">
        <f>IF($P2262="","",IF(ISNUMBER(INDEX(상세표[시작],$P2262)),TEXT(INDEX(상세표[시작],$P2262),"yyyy-mm-dd hh:mm"),INDEX(상세표[시작],$P2262)&amp;""))</f>
        <v/>
      </c>
      <c r="F2262">
        <f>IF($P2262="","",IF(ISNUMBER(INDEX(상세표[블록종료],$P2262)),TEXT(INDEX(상세표[블록종료],$P2262),"yyyy-mm-dd hh:mm"),INDEX(상세표[블록종료],$P2262)&amp;""))</f>
        <v/>
      </c>
      <c r="G2262">
        <f>IF($P2262="","",CHOOSE(WEEKDAY(INDEX(상세표[시작],$P2262)),"일","월","화","수","목","금","토"))</f>
        <v/>
      </c>
      <c r="H2262">
        <f>IF($P2262="","",INDEX(상세표[연속 시간],$P2262))</f>
        <v/>
      </c>
      <c r="I2262">
        <f>IF($P2262="","",INDEX(상세표[기록 수],$P2262))</f>
        <v/>
      </c>
      <c r="J2262">
        <f>IF($P2262="","",INDEX(상세표[블록 06~07시],$P2262))</f>
        <v/>
      </c>
      <c r="K2262">
        <f>IF($P2262="","",INDEX(상세표[블록 07~18시],$P2262))</f>
        <v/>
      </c>
      <c r="L2262">
        <f>IF($P2262="","",INDEX(상세표[블록 18~22시],$P2262))</f>
        <v/>
      </c>
      <c r="M2262">
        <f>IF($P2262="","",INDEX(상세표[블록 22~06시],$P2262))</f>
        <v/>
      </c>
      <c r="N2262">
        <f>IF($P2262="","",INDEX(상세표[주말·휴일 포함],$P2262)&amp;"")</f>
        <v/>
      </c>
      <c r="O2262">
        <f>IF($P2262="","",INDEX(상세표[월 넘김 포함],$P2262)&amp;"")</f>
        <v/>
      </c>
      <c r="P2262" s="4">
        <f>IFERROR(MATCH(2257,상세표[연속순번],0),"")</f>
        <v/>
      </c>
    </row>
    <row r="2263">
      <c r="A2263">
        <f>IF($P2263="","",INDEX(상세표[사번],$P2263)&amp;"")</f>
        <v/>
      </c>
      <c r="B2263">
        <f>IF($P2263="","",INDEX(상세표[성명],$P2263)&amp;"")</f>
        <v/>
      </c>
      <c r="C2263">
        <f>IF($P2263="","",INDEX(상세표[부서],$P2263)&amp;"")</f>
        <v/>
      </c>
      <c r="D2263">
        <f>IF($P2263="","",INDEX(상세표[직위],$P2263)&amp;"")</f>
        <v/>
      </c>
      <c r="E2263">
        <f>IF($P2263="","",IF(ISNUMBER(INDEX(상세표[시작],$P2263)),TEXT(INDEX(상세표[시작],$P2263),"yyyy-mm-dd hh:mm"),INDEX(상세표[시작],$P2263)&amp;""))</f>
        <v/>
      </c>
      <c r="F2263">
        <f>IF($P2263="","",IF(ISNUMBER(INDEX(상세표[블록종료],$P2263)),TEXT(INDEX(상세표[블록종료],$P2263),"yyyy-mm-dd hh:mm"),INDEX(상세표[블록종료],$P2263)&amp;""))</f>
        <v/>
      </c>
      <c r="G2263">
        <f>IF($P2263="","",CHOOSE(WEEKDAY(INDEX(상세표[시작],$P2263)),"일","월","화","수","목","금","토"))</f>
        <v/>
      </c>
      <c r="H2263">
        <f>IF($P2263="","",INDEX(상세표[연속 시간],$P2263))</f>
        <v/>
      </c>
      <c r="I2263">
        <f>IF($P2263="","",INDEX(상세표[기록 수],$P2263))</f>
        <v/>
      </c>
      <c r="J2263">
        <f>IF($P2263="","",INDEX(상세표[블록 06~07시],$P2263))</f>
        <v/>
      </c>
      <c r="K2263">
        <f>IF($P2263="","",INDEX(상세표[블록 07~18시],$P2263))</f>
        <v/>
      </c>
      <c r="L2263">
        <f>IF($P2263="","",INDEX(상세표[블록 18~22시],$P2263))</f>
        <v/>
      </c>
      <c r="M2263">
        <f>IF($P2263="","",INDEX(상세표[블록 22~06시],$P2263))</f>
        <v/>
      </c>
      <c r="N2263">
        <f>IF($P2263="","",INDEX(상세표[주말·휴일 포함],$P2263)&amp;"")</f>
        <v/>
      </c>
      <c r="O2263">
        <f>IF($P2263="","",INDEX(상세표[월 넘김 포함],$P2263)&amp;"")</f>
        <v/>
      </c>
      <c r="P2263" s="4">
        <f>IFERROR(MATCH(2258,상세표[연속순번],0),"")</f>
        <v/>
      </c>
    </row>
    <row r="2264">
      <c r="A2264">
        <f>IF($P2264="","",INDEX(상세표[사번],$P2264)&amp;"")</f>
        <v/>
      </c>
      <c r="B2264">
        <f>IF($P2264="","",INDEX(상세표[성명],$P2264)&amp;"")</f>
        <v/>
      </c>
      <c r="C2264">
        <f>IF($P2264="","",INDEX(상세표[부서],$P2264)&amp;"")</f>
        <v/>
      </c>
      <c r="D2264">
        <f>IF($P2264="","",INDEX(상세표[직위],$P2264)&amp;"")</f>
        <v/>
      </c>
      <c r="E2264">
        <f>IF($P2264="","",IF(ISNUMBER(INDEX(상세표[시작],$P2264)),TEXT(INDEX(상세표[시작],$P2264),"yyyy-mm-dd hh:mm"),INDEX(상세표[시작],$P2264)&amp;""))</f>
        <v/>
      </c>
      <c r="F2264">
        <f>IF($P2264="","",IF(ISNUMBER(INDEX(상세표[블록종료],$P2264)),TEXT(INDEX(상세표[블록종료],$P2264),"yyyy-mm-dd hh:mm"),INDEX(상세표[블록종료],$P2264)&amp;""))</f>
        <v/>
      </c>
      <c r="G2264">
        <f>IF($P2264="","",CHOOSE(WEEKDAY(INDEX(상세표[시작],$P2264)),"일","월","화","수","목","금","토"))</f>
        <v/>
      </c>
      <c r="H2264">
        <f>IF($P2264="","",INDEX(상세표[연속 시간],$P2264))</f>
        <v/>
      </c>
      <c r="I2264">
        <f>IF($P2264="","",INDEX(상세표[기록 수],$P2264))</f>
        <v/>
      </c>
      <c r="J2264">
        <f>IF($P2264="","",INDEX(상세표[블록 06~07시],$P2264))</f>
        <v/>
      </c>
      <c r="K2264">
        <f>IF($P2264="","",INDEX(상세표[블록 07~18시],$P2264))</f>
        <v/>
      </c>
      <c r="L2264">
        <f>IF($P2264="","",INDEX(상세표[블록 18~22시],$P2264))</f>
        <v/>
      </c>
      <c r="M2264">
        <f>IF($P2264="","",INDEX(상세표[블록 22~06시],$P2264))</f>
        <v/>
      </c>
      <c r="N2264">
        <f>IF($P2264="","",INDEX(상세표[주말·휴일 포함],$P2264)&amp;"")</f>
        <v/>
      </c>
      <c r="O2264">
        <f>IF($P2264="","",INDEX(상세표[월 넘김 포함],$P2264)&amp;"")</f>
        <v/>
      </c>
      <c r="P2264" s="4">
        <f>IFERROR(MATCH(2259,상세표[연속순번],0),"")</f>
        <v/>
      </c>
    </row>
    <row r="2265">
      <c r="A2265">
        <f>IF($P2265="","",INDEX(상세표[사번],$P2265)&amp;"")</f>
        <v/>
      </c>
      <c r="B2265">
        <f>IF($P2265="","",INDEX(상세표[성명],$P2265)&amp;"")</f>
        <v/>
      </c>
      <c r="C2265">
        <f>IF($P2265="","",INDEX(상세표[부서],$P2265)&amp;"")</f>
        <v/>
      </c>
      <c r="D2265">
        <f>IF($P2265="","",INDEX(상세표[직위],$P2265)&amp;"")</f>
        <v/>
      </c>
      <c r="E2265">
        <f>IF($P2265="","",IF(ISNUMBER(INDEX(상세표[시작],$P2265)),TEXT(INDEX(상세표[시작],$P2265),"yyyy-mm-dd hh:mm"),INDEX(상세표[시작],$P2265)&amp;""))</f>
        <v/>
      </c>
      <c r="F2265">
        <f>IF($P2265="","",IF(ISNUMBER(INDEX(상세표[블록종료],$P2265)),TEXT(INDEX(상세표[블록종료],$P2265),"yyyy-mm-dd hh:mm"),INDEX(상세표[블록종료],$P2265)&amp;""))</f>
        <v/>
      </c>
      <c r="G2265">
        <f>IF($P2265="","",CHOOSE(WEEKDAY(INDEX(상세표[시작],$P2265)),"일","월","화","수","목","금","토"))</f>
        <v/>
      </c>
      <c r="H2265">
        <f>IF($P2265="","",INDEX(상세표[연속 시간],$P2265))</f>
        <v/>
      </c>
      <c r="I2265">
        <f>IF($P2265="","",INDEX(상세표[기록 수],$P2265))</f>
        <v/>
      </c>
      <c r="J2265">
        <f>IF($P2265="","",INDEX(상세표[블록 06~07시],$P2265))</f>
        <v/>
      </c>
      <c r="K2265">
        <f>IF($P2265="","",INDEX(상세표[블록 07~18시],$P2265))</f>
        <v/>
      </c>
      <c r="L2265">
        <f>IF($P2265="","",INDEX(상세표[블록 18~22시],$P2265))</f>
        <v/>
      </c>
      <c r="M2265">
        <f>IF($P2265="","",INDEX(상세표[블록 22~06시],$P2265))</f>
        <v/>
      </c>
      <c r="N2265">
        <f>IF($P2265="","",INDEX(상세표[주말·휴일 포함],$P2265)&amp;"")</f>
        <v/>
      </c>
      <c r="O2265">
        <f>IF($P2265="","",INDEX(상세표[월 넘김 포함],$P2265)&amp;"")</f>
        <v/>
      </c>
      <c r="P2265" s="4">
        <f>IFERROR(MATCH(2260,상세표[연속순번],0),"")</f>
        <v/>
      </c>
    </row>
    <row r="2266">
      <c r="A2266">
        <f>IF($P2266="","",INDEX(상세표[사번],$P2266)&amp;"")</f>
        <v/>
      </c>
      <c r="B2266">
        <f>IF($P2266="","",INDEX(상세표[성명],$P2266)&amp;"")</f>
        <v/>
      </c>
      <c r="C2266">
        <f>IF($P2266="","",INDEX(상세표[부서],$P2266)&amp;"")</f>
        <v/>
      </c>
      <c r="D2266">
        <f>IF($P2266="","",INDEX(상세표[직위],$P2266)&amp;"")</f>
        <v/>
      </c>
      <c r="E2266">
        <f>IF($P2266="","",IF(ISNUMBER(INDEX(상세표[시작],$P2266)),TEXT(INDEX(상세표[시작],$P2266),"yyyy-mm-dd hh:mm"),INDEX(상세표[시작],$P2266)&amp;""))</f>
        <v/>
      </c>
      <c r="F2266">
        <f>IF($P2266="","",IF(ISNUMBER(INDEX(상세표[블록종료],$P2266)),TEXT(INDEX(상세표[블록종료],$P2266),"yyyy-mm-dd hh:mm"),INDEX(상세표[블록종료],$P2266)&amp;""))</f>
        <v/>
      </c>
      <c r="G2266">
        <f>IF($P2266="","",CHOOSE(WEEKDAY(INDEX(상세표[시작],$P2266)),"일","월","화","수","목","금","토"))</f>
        <v/>
      </c>
      <c r="H2266">
        <f>IF($P2266="","",INDEX(상세표[연속 시간],$P2266))</f>
        <v/>
      </c>
      <c r="I2266">
        <f>IF($P2266="","",INDEX(상세표[기록 수],$P2266))</f>
        <v/>
      </c>
      <c r="J2266">
        <f>IF($P2266="","",INDEX(상세표[블록 06~07시],$P2266))</f>
        <v/>
      </c>
      <c r="K2266">
        <f>IF($P2266="","",INDEX(상세표[블록 07~18시],$P2266))</f>
        <v/>
      </c>
      <c r="L2266">
        <f>IF($P2266="","",INDEX(상세표[블록 18~22시],$P2266))</f>
        <v/>
      </c>
      <c r="M2266">
        <f>IF($P2266="","",INDEX(상세표[블록 22~06시],$P2266))</f>
        <v/>
      </c>
      <c r="N2266">
        <f>IF($P2266="","",INDEX(상세표[주말·휴일 포함],$P2266)&amp;"")</f>
        <v/>
      </c>
      <c r="O2266">
        <f>IF($P2266="","",INDEX(상세표[월 넘김 포함],$P2266)&amp;"")</f>
        <v/>
      </c>
      <c r="P2266" s="4">
        <f>IFERROR(MATCH(2261,상세표[연속순번],0),"")</f>
        <v/>
      </c>
    </row>
    <row r="2267">
      <c r="A2267">
        <f>IF($P2267="","",INDEX(상세표[사번],$P2267)&amp;"")</f>
        <v/>
      </c>
      <c r="B2267">
        <f>IF($P2267="","",INDEX(상세표[성명],$P2267)&amp;"")</f>
        <v/>
      </c>
      <c r="C2267">
        <f>IF($P2267="","",INDEX(상세표[부서],$P2267)&amp;"")</f>
        <v/>
      </c>
      <c r="D2267">
        <f>IF($P2267="","",INDEX(상세표[직위],$P2267)&amp;"")</f>
        <v/>
      </c>
      <c r="E2267">
        <f>IF($P2267="","",IF(ISNUMBER(INDEX(상세표[시작],$P2267)),TEXT(INDEX(상세표[시작],$P2267),"yyyy-mm-dd hh:mm"),INDEX(상세표[시작],$P2267)&amp;""))</f>
        <v/>
      </c>
      <c r="F2267">
        <f>IF($P2267="","",IF(ISNUMBER(INDEX(상세표[블록종료],$P2267)),TEXT(INDEX(상세표[블록종료],$P2267),"yyyy-mm-dd hh:mm"),INDEX(상세표[블록종료],$P2267)&amp;""))</f>
        <v/>
      </c>
      <c r="G2267">
        <f>IF($P2267="","",CHOOSE(WEEKDAY(INDEX(상세표[시작],$P2267)),"일","월","화","수","목","금","토"))</f>
        <v/>
      </c>
      <c r="H2267">
        <f>IF($P2267="","",INDEX(상세표[연속 시간],$P2267))</f>
        <v/>
      </c>
      <c r="I2267">
        <f>IF($P2267="","",INDEX(상세표[기록 수],$P2267))</f>
        <v/>
      </c>
      <c r="J2267">
        <f>IF($P2267="","",INDEX(상세표[블록 06~07시],$P2267))</f>
        <v/>
      </c>
      <c r="K2267">
        <f>IF($P2267="","",INDEX(상세표[블록 07~18시],$P2267))</f>
        <v/>
      </c>
      <c r="L2267">
        <f>IF($P2267="","",INDEX(상세표[블록 18~22시],$P2267))</f>
        <v/>
      </c>
      <c r="M2267">
        <f>IF($P2267="","",INDEX(상세표[블록 22~06시],$P2267))</f>
        <v/>
      </c>
      <c r="N2267">
        <f>IF($P2267="","",INDEX(상세표[주말·휴일 포함],$P2267)&amp;"")</f>
        <v/>
      </c>
      <c r="O2267">
        <f>IF($P2267="","",INDEX(상세표[월 넘김 포함],$P2267)&amp;"")</f>
        <v/>
      </c>
      <c r="P2267" s="4">
        <f>IFERROR(MATCH(2262,상세표[연속순번],0),"")</f>
        <v/>
      </c>
    </row>
    <row r="2268">
      <c r="A2268">
        <f>IF($P2268="","",INDEX(상세표[사번],$P2268)&amp;"")</f>
        <v/>
      </c>
      <c r="B2268">
        <f>IF($P2268="","",INDEX(상세표[성명],$P2268)&amp;"")</f>
        <v/>
      </c>
      <c r="C2268">
        <f>IF($P2268="","",INDEX(상세표[부서],$P2268)&amp;"")</f>
        <v/>
      </c>
      <c r="D2268">
        <f>IF($P2268="","",INDEX(상세표[직위],$P2268)&amp;"")</f>
        <v/>
      </c>
      <c r="E2268">
        <f>IF($P2268="","",IF(ISNUMBER(INDEX(상세표[시작],$P2268)),TEXT(INDEX(상세표[시작],$P2268),"yyyy-mm-dd hh:mm"),INDEX(상세표[시작],$P2268)&amp;""))</f>
        <v/>
      </c>
      <c r="F2268">
        <f>IF($P2268="","",IF(ISNUMBER(INDEX(상세표[블록종료],$P2268)),TEXT(INDEX(상세표[블록종료],$P2268),"yyyy-mm-dd hh:mm"),INDEX(상세표[블록종료],$P2268)&amp;""))</f>
        <v/>
      </c>
      <c r="G2268">
        <f>IF($P2268="","",CHOOSE(WEEKDAY(INDEX(상세표[시작],$P2268)),"일","월","화","수","목","금","토"))</f>
        <v/>
      </c>
      <c r="H2268">
        <f>IF($P2268="","",INDEX(상세표[연속 시간],$P2268))</f>
        <v/>
      </c>
      <c r="I2268">
        <f>IF($P2268="","",INDEX(상세표[기록 수],$P2268))</f>
        <v/>
      </c>
      <c r="J2268">
        <f>IF($P2268="","",INDEX(상세표[블록 06~07시],$P2268))</f>
        <v/>
      </c>
      <c r="K2268">
        <f>IF($P2268="","",INDEX(상세표[블록 07~18시],$P2268))</f>
        <v/>
      </c>
      <c r="L2268">
        <f>IF($P2268="","",INDEX(상세표[블록 18~22시],$P2268))</f>
        <v/>
      </c>
      <c r="M2268">
        <f>IF($P2268="","",INDEX(상세표[블록 22~06시],$P2268))</f>
        <v/>
      </c>
      <c r="N2268">
        <f>IF($P2268="","",INDEX(상세표[주말·휴일 포함],$P2268)&amp;"")</f>
        <v/>
      </c>
      <c r="O2268">
        <f>IF($P2268="","",INDEX(상세표[월 넘김 포함],$P2268)&amp;"")</f>
        <v/>
      </c>
      <c r="P2268" s="4">
        <f>IFERROR(MATCH(2263,상세표[연속순번],0),"")</f>
        <v/>
      </c>
    </row>
    <row r="2269">
      <c r="A2269">
        <f>IF($P2269="","",INDEX(상세표[사번],$P2269)&amp;"")</f>
        <v/>
      </c>
      <c r="B2269">
        <f>IF($P2269="","",INDEX(상세표[성명],$P2269)&amp;"")</f>
        <v/>
      </c>
      <c r="C2269">
        <f>IF($P2269="","",INDEX(상세표[부서],$P2269)&amp;"")</f>
        <v/>
      </c>
      <c r="D2269">
        <f>IF($P2269="","",INDEX(상세표[직위],$P2269)&amp;"")</f>
        <v/>
      </c>
      <c r="E2269">
        <f>IF($P2269="","",IF(ISNUMBER(INDEX(상세표[시작],$P2269)),TEXT(INDEX(상세표[시작],$P2269),"yyyy-mm-dd hh:mm"),INDEX(상세표[시작],$P2269)&amp;""))</f>
        <v/>
      </c>
      <c r="F2269">
        <f>IF($P2269="","",IF(ISNUMBER(INDEX(상세표[블록종료],$P2269)),TEXT(INDEX(상세표[블록종료],$P2269),"yyyy-mm-dd hh:mm"),INDEX(상세표[블록종료],$P2269)&amp;""))</f>
        <v/>
      </c>
      <c r="G2269">
        <f>IF($P2269="","",CHOOSE(WEEKDAY(INDEX(상세표[시작],$P2269)),"일","월","화","수","목","금","토"))</f>
        <v/>
      </c>
      <c r="H2269">
        <f>IF($P2269="","",INDEX(상세표[연속 시간],$P2269))</f>
        <v/>
      </c>
      <c r="I2269">
        <f>IF($P2269="","",INDEX(상세표[기록 수],$P2269))</f>
        <v/>
      </c>
      <c r="J2269">
        <f>IF($P2269="","",INDEX(상세표[블록 06~07시],$P2269))</f>
        <v/>
      </c>
      <c r="K2269">
        <f>IF($P2269="","",INDEX(상세표[블록 07~18시],$P2269))</f>
        <v/>
      </c>
      <c r="L2269">
        <f>IF($P2269="","",INDEX(상세표[블록 18~22시],$P2269))</f>
        <v/>
      </c>
      <c r="M2269">
        <f>IF($P2269="","",INDEX(상세표[블록 22~06시],$P2269))</f>
        <v/>
      </c>
      <c r="N2269">
        <f>IF($P2269="","",INDEX(상세표[주말·휴일 포함],$P2269)&amp;"")</f>
        <v/>
      </c>
      <c r="O2269">
        <f>IF($P2269="","",INDEX(상세표[월 넘김 포함],$P2269)&amp;"")</f>
        <v/>
      </c>
      <c r="P2269" s="4">
        <f>IFERROR(MATCH(2264,상세표[연속순번],0),"")</f>
        <v/>
      </c>
    </row>
    <row r="2270">
      <c r="A2270">
        <f>IF($P2270="","",INDEX(상세표[사번],$P2270)&amp;"")</f>
        <v/>
      </c>
      <c r="B2270">
        <f>IF($P2270="","",INDEX(상세표[성명],$P2270)&amp;"")</f>
        <v/>
      </c>
      <c r="C2270">
        <f>IF($P2270="","",INDEX(상세표[부서],$P2270)&amp;"")</f>
        <v/>
      </c>
      <c r="D2270">
        <f>IF($P2270="","",INDEX(상세표[직위],$P2270)&amp;"")</f>
        <v/>
      </c>
      <c r="E2270">
        <f>IF($P2270="","",IF(ISNUMBER(INDEX(상세표[시작],$P2270)),TEXT(INDEX(상세표[시작],$P2270),"yyyy-mm-dd hh:mm"),INDEX(상세표[시작],$P2270)&amp;""))</f>
        <v/>
      </c>
      <c r="F2270">
        <f>IF($P2270="","",IF(ISNUMBER(INDEX(상세표[블록종료],$P2270)),TEXT(INDEX(상세표[블록종료],$P2270),"yyyy-mm-dd hh:mm"),INDEX(상세표[블록종료],$P2270)&amp;""))</f>
        <v/>
      </c>
      <c r="G2270">
        <f>IF($P2270="","",CHOOSE(WEEKDAY(INDEX(상세표[시작],$P2270)),"일","월","화","수","목","금","토"))</f>
        <v/>
      </c>
      <c r="H2270">
        <f>IF($P2270="","",INDEX(상세표[연속 시간],$P2270))</f>
        <v/>
      </c>
      <c r="I2270">
        <f>IF($P2270="","",INDEX(상세표[기록 수],$P2270))</f>
        <v/>
      </c>
      <c r="J2270">
        <f>IF($P2270="","",INDEX(상세표[블록 06~07시],$P2270))</f>
        <v/>
      </c>
      <c r="K2270">
        <f>IF($P2270="","",INDEX(상세표[블록 07~18시],$P2270))</f>
        <v/>
      </c>
      <c r="L2270">
        <f>IF($P2270="","",INDEX(상세표[블록 18~22시],$P2270))</f>
        <v/>
      </c>
      <c r="M2270">
        <f>IF($P2270="","",INDEX(상세표[블록 22~06시],$P2270))</f>
        <v/>
      </c>
      <c r="N2270">
        <f>IF($P2270="","",INDEX(상세표[주말·휴일 포함],$P2270)&amp;"")</f>
        <v/>
      </c>
      <c r="O2270">
        <f>IF($P2270="","",INDEX(상세표[월 넘김 포함],$P2270)&amp;"")</f>
        <v/>
      </c>
      <c r="P2270" s="4">
        <f>IFERROR(MATCH(2265,상세표[연속순번],0),"")</f>
        <v/>
      </c>
    </row>
    <row r="2271">
      <c r="A2271">
        <f>IF($P2271="","",INDEX(상세표[사번],$P2271)&amp;"")</f>
        <v/>
      </c>
      <c r="B2271">
        <f>IF($P2271="","",INDEX(상세표[성명],$P2271)&amp;"")</f>
        <v/>
      </c>
      <c r="C2271">
        <f>IF($P2271="","",INDEX(상세표[부서],$P2271)&amp;"")</f>
        <v/>
      </c>
      <c r="D2271">
        <f>IF($P2271="","",INDEX(상세표[직위],$P2271)&amp;"")</f>
        <v/>
      </c>
      <c r="E2271">
        <f>IF($P2271="","",IF(ISNUMBER(INDEX(상세표[시작],$P2271)),TEXT(INDEX(상세표[시작],$P2271),"yyyy-mm-dd hh:mm"),INDEX(상세표[시작],$P2271)&amp;""))</f>
        <v/>
      </c>
      <c r="F2271">
        <f>IF($P2271="","",IF(ISNUMBER(INDEX(상세표[블록종료],$P2271)),TEXT(INDEX(상세표[블록종료],$P2271),"yyyy-mm-dd hh:mm"),INDEX(상세표[블록종료],$P2271)&amp;""))</f>
        <v/>
      </c>
      <c r="G2271">
        <f>IF($P2271="","",CHOOSE(WEEKDAY(INDEX(상세표[시작],$P2271)),"일","월","화","수","목","금","토"))</f>
        <v/>
      </c>
      <c r="H2271">
        <f>IF($P2271="","",INDEX(상세표[연속 시간],$P2271))</f>
        <v/>
      </c>
      <c r="I2271">
        <f>IF($P2271="","",INDEX(상세표[기록 수],$P2271))</f>
        <v/>
      </c>
      <c r="J2271">
        <f>IF($P2271="","",INDEX(상세표[블록 06~07시],$P2271))</f>
        <v/>
      </c>
      <c r="K2271">
        <f>IF($P2271="","",INDEX(상세표[블록 07~18시],$P2271))</f>
        <v/>
      </c>
      <c r="L2271">
        <f>IF($P2271="","",INDEX(상세표[블록 18~22시],$P2271))</f>
        <v/>
      </c>
      <c r="M2271">
        <f>IF($P2271="","",INDEX(상세표[블록 22~06시],$P2271))</f>
        <v/>
      </c>
      <c r="N2271">
        <f>IF($P2271="","",INDEX(상세표[주말·휴일 포함],$P2271)&amp;"")</f>
        <v/>
      </c>
      <c r="O2271">
        <f>IF($P2271="","",INDEX(상세표[월 넘김 포함],$P2271)&amp;"")</f>
        <v/>
      </c>
      <c r="P2271" s="4">
        <f>IFERROR(MATCH(2266,상세표[연속순번],0),"")</f>
        <v/>
      </c>
    </row>
    <row r="2272">
      <c r="A2272">
        <f>IF($P2272="","",INDEX(상세표[사번],$P2272)&amp;"")</f>
        <v/>
      </c>
      <c r="B2272">
        <f>IF($P2272="","",INDEX(상세표[성명],$P2272)&amp;"")</f>
        <v/>
      </c>
      <c r="C2272">
        <f>IF($P2272="","",INDEX(상세표[부서],$P2272)&amp;"")</f>
        <v/>
      </c>
      <c r="D2272">
        <f>IF($P2272="","",INDEX(상세표[직위],$P2272)&amp;"")</f>
        <v/>
      </c>
      <c r="E2272">
        <f>IF($P2272="","",IF(ISNUMBER(INDEX(상세표[시작],$P2272)),TEXT(INDEX(상세표[시작],$P2272),"yyyy-mm-dd hh:mm"),INDEX(상세표[시작],$P2272)&amp;""))</f>
        <v/>
      </c>
      <c r="F2272">
        <f>IF($P2272="","",IF(ISNUMBER(INDEX(상세표[블록종료],$P2272)),TEXT(INDEX(상세표[블록종료],$P2272),"yyyy-mm-dd hh:mm"),INDEX(상세표[블록종료],$P2272)&amp;""))</f>
        <v/>
      </c>
      <c r="G2272">
        <f>IF($P2272="","",CHOOSE(WEEKDAY(INDEX(상세표[시작],$P2272)),"일","월","화","수","목","금","토"))</f>
        <v/>
      </c>
      <c r="H2272">
        <f>IF($P2272="","",INDEX(상세표[연속 시간],$P2272))</f>
        <v/>
      </c>
      <c r="I2272">
        <f>IF($P2272="","",INDEX(상세표[기록 수],$P2272))</f>
        <v/>
      </c>
      <c r="J2272">
        <f>IF($P2272="","",INDEX(상세표[블록 06~07시],$P2272))</f>
        <v/>
      </c>
      <c r="K2272">
        <f>IF($P2272="","",INDEX(상세표[블록 07~18시],$P2272))</f>
        <v/>
      </c>
      <c r="L2272">
        <f>IF($P2272="","",INDEX(상세표[블록 18~22시],$P2272))</f>
        <v/>
      </c>
      <c r="M2272">
        <f>IF($P2272="","",INDEX(상세표[블록 22~06시],$P2272))</f>
        <v/>
      </c>
      <c r="N2272">
        <f>IF($P2272="","",INDEX(상세표[주말·휴일 포함],$P2272)&amp;"")</f>
        <v/>
      </c>
      <c r="O2272">
        <f>IF($P2272="","",INDEX(상세표[월 넘김 포함],$P2272)&amp;"")</f>
        <v/>
      </c>
      <c r="P2272" s="4">
        <f>IFERROR(MATCH(2267,상세표[연속순번],0),"")</f>
        <v/>
      </c>
    </row>
    <row r="2273">
      <c r="A2273">
        <f>IF($P2273="","",INDEX(상세표[사번],$P2273)&amp;"")</f>
        <v/>
      </c>
      <c r="B2273">
        <f>IF($P2273="","",INDEX(상세표[성명],$P2273)&amp;"")</f>
        <v/>
      </c>
      <c r="C2273">
        <f>IF($P2273="","",INDEX(상세표[부서],$P2273)&amp;"")</f>
        <v/>
      </c>
      <c r="D2273">
        <f>IF($P2273="","",INDEX(상세표[직위],$P2273)&amp;"")</f>
        <v/>
      </c>
      <c r="E2273">
        <f>IF($P2273="","",IF(ISNUMBER(INDEX(상세표[시작],$P2273)),TEXT(INDEX(상세표[시작],$P2273),"yyyy-mm-dd hh:mm"),INDEX(상세표[시작],$P2273)&amp;""))</f>
        <v/>
      </c>
      <c r="F2273">
        <f>IF($P2273="","",IF(ISNUMBER(INDEX(상세표[블록종료],$P2273)),TEXT(INDEX(상세표[블록종료],$P2273),"yyyy-mm-dd hh:mm"),INDEX(상세표[블록종료],$P2273)&amp;""))</f>
        <v/>
      </c>
      <c r="G2273">
        <f>IF($P2273="","",CHOOSE(WEEKDAY(INDEX(상세표[시작],$P2273)),"일","월","화","수","목","금","토"))</f>
        <v/>
      </c>
      <c r="H2273">
        <f>IF($P2273="","",INDEX(상세표[연속 시간],$P2273))</f>
        <v/>
      </c>
      <c r="I2273">
        <f>IF($P2273="","",INDEX(상세표[기록 수],$P2273))</f>
        <v/>
      </c>
      <c r="J2273">
        <f>IF($P2273="","",INDEX(상세표[블록 06~07시],$P2273))</f>
        <v/>
      </c>
      <c r="K2273">
        <f>IF($P2273="","",INDEX(상세표[블록 07~18시],$P2273))</f>
        <v/>
      </c>
      <c r="L2273">
        <f>IF($P2273="","",INDEX(상세표[블록 18~22시],$P2273))</f>
        <v/>
      </c>
      <c r="M2273">
        <f>IF($P2273="","",INDEX(상세표[블록 22~06시],$P2273))</f>
        <v/>
      </c>
      <c r="N2273">
        <f>IF($P2273="","",INDEX(상세표[주말·휴일 포함],$P2273)&amp;"")</f>
        <v/>
      </c>
      <c r="O2273">
        <f>IF($P2273="","",INDEX(상세표[월 넘김 포함],$P2273)&amp;"")</f>
        <v/>
      </c>
      <c r="P2273" s="4">
        <f>IFERROR(MATCH(2268,상세표[연속순번],0),"")</f>
        <v/>
      </c>
    </row>
    <row r="2274">
      <c r="A2274">
        <f>IF($P2274="","",INDEX(상세표[사번],$P2274)&amp;"")</f>
        <v/>
      </c>
      <c r="B2274">
        <f>IF($P2274="","",INDEX(상세표[성명],$P2274)&amp;"")</f>
        <v/>
      </c>
      <c r="C2274">
        <f>IF($P2274="","",INDEX(상세표[부서],$P2274)&amp;"")</f>
        <v/>
      </c>
      <c r="D2274">
        <f>IF($P2274="","",INDEX(상세표[직위],$P2274)&amp;"")</f>
        <v/>
      </c>
      <c r="E2274">
        <f>IF($P2274="","",IF(ISNUMBER(INDEX(상세표[시작],$P2274)),TEXT(INDEX(상세표[시작],$P2274),"yyyy-mm-dd hh:mm"),INDEX(상세표[시작],$P2274)&amp;""))</f>
        <v/>
      </c>
      <c r="F2274">
        <f>IF($P2274="","",IF(ISNUMBER(INDEX(상세표[블록종료],$P2274)),TEXT(INDEX(상세표[블록종료],$P2274),"yyyy-mm-dd hh:mm"),INDEX(상세표[블록종료],$P2274)&amp;""))</f>
        <v/>
      </c>
      <c r="G2274">
        <f>IF($P2274="","",CHOOSE(WEEKDAY(INDEX(상세표[시작],$P2274)),"일","월","화","수","목","금","토"))</f>
        <v/>
      </c>
      <c r="H2274">
        <f>IF($P2274="","",INDEX(상세표[연속 시간],$P2274))</f>
        <v/>
      </c>
      <c r="I2274">
        <f>IF($P2274="","",INDEX(상세표[기록 수],$P2274))</f>
        <v/>
      </c>
      <c r="J2274">
        <f>IF($P2274="","",INDEX(상세표[블록 06~07시],$P2274))</f>
        <v/>
      </c>
      <c r="K2274">
        <f>IF($P2274="","",INDEX(상세표[블록 07~18시],$P2274))</f>
        <v/>
      </c>
      <c r="L2274">
        <f>IF($P2274="","",INDEX(상세표[블록 18~22시],$P2274))</f>
        <v/>
      </c>
      <c r="M2274">
        <f>IF($P2274="","",INDEX(상세표[블록 22~06시],$P2274))</f>
        <v/>
      </c>
      <c r="N2274">
        <f>IF($P2274="","",INDEX(상세표[주말·휴일 포함],$P2274)&amp;"")</f>
        <v/>
      </c>
      <c r="O2274">
        <f>IF($P2274="","",INDEX(상세표[월 넘김 포함],$P2274)&amp;"")</f>
        <v/>
      </c>
      <c r="P2274" s="4">
        <f>IFERROR(MATCH(2269,상세표[연속순번],0),"")</f>
        <v/>
      </c>
    </row>
    <row r="2275">
      <c r="A2275">
        <f>IF($P2275="","",INDEX(상세표[사번],$P2275)&amp;"")</f>
        <v/>
      </c>
      <c r="B2275">
        <f>IF($P2275="","",INDEX(상세표[성명],$P2275)&amp;"")</f>
        <v/>
      </c>
      <c r="C2275">
        <f>IF($P2275="","",INDEX(상세표[부서],$P2275)&amp;"")</f>
        <v/>
      </c>
      <c r="D2275">
        <f>IF($P2275="","",INDEX(상세표[직위],$P2275)&amp;"")</f>
        <v/>
      </c>
      <c r="E2275">
        <f>IF($P2275="","",IF(ISNUMBER(INDEX(상세표[시작],$P2275)),TEXT(INDEX(상세표[시작],$P2275),"yyyy-mm-dd hh:mm"),INDEX(상세표[시작],$P2275)&amp;""))</f>
        <v/>
      </c>
      <c r="F2275">
        <f>IF($P2275="","",IF(ISNUMBER(INDEX(상세표[블록종료],$P2275)),TEXT(INDEX(상세표[블록종료],$P2275),"yyyy-mm-dd hh:mm"),INDEX(상세표[블록종료],$P2275)&amp;""))</f>
        <v/>
      </c>
      <c r="G2275">
        <f>IF($P2275="","",CHOOSE(WEEKDAY(INDEX(상세표[시작],$P2275)),"일","월","화","수","목","금","토"))</f>
        <v/>
      </c>
      <c r="H2275">
        <f>IF($P2275="","",INDEX(상세표[연속 시간],$P2275))</f>
        <v/>
      </c>
      <c r="I2275">
        <f>IF($P2275="","",INDEX(상세표[기록 수],$P2275))</f>
        <v/>
      </c>
      <c r="J2275">
        <f>IF($P2275="","",INDEX(상세표[블록 06~07시],$P2275))</f>
        <v/>
      </c>
      <c r="K2275">
        <f>IF($P2275="","",INDEX(상세표[블록 07~18시],$P2275))</f>
        <v/>
      </c>
      <c r="L2275">
        <f>IF($P2275="","",INDEX(상세표[블록 18~22시],$P2275))</f>
        <v/>
      </c>
      <c r="M2275">
        <f>IF($P2275="","",INDEX(상세표[블록 22~06시],$P2275))</f>
        <v/>
      </c>
      <c r="N2275">
        <f>IF($P2275="","",INDEX(상세표[주말·휴일 포함],$P2275)&amp;"")</f>
        <v/>
      </c>
      <c r="O2275">
        <f>IF($P2275="","",INDEX(상세표[월 넘김 포함],$P2275)&amp;"")</f>
        <v/>
      </c>
      <c r="P2275" s="4">
        <f>IFERROR(MATCH(2270,상세표[연속순번],0),"")</f>
        <v/>
      </c>
    </row>
    <row r="2276">
      <c r="A2276">
        <f>IF($P2276="","",INDEX(상세표[사번],$P2276)&amp;"")</f>
        <v/>
      </c>
      <c r="B2276">
        <f>IF($P2276="","",INDEX(상세표[성명],$P2276)&amp;"")</f>
        <v/>
      </c>
      <c r="C2276">
        <f>IF($P2276="","",INDEX(상세표[부서],$P2276)&amp;"")</f>
        <v/>
      </c>
      <c r="D2276">
        <f>IF($P2276="","",INDEX(상세표[직위],$P2276)&amp;"")</f>
        <v/>
      </c>
      <c r="E2276">
        <f>IF($P2276="","",IF(ISNUMBER(INDEX(상세표[시작],$P2276)),TEXT(INDEX(상세표[시작],$P2276),"yyyy-mm-dd hh:mm"),INDEX(상세표[시작],$P2276)&amp;""))</f>
        <v/>
      </c>
      <c r="F2276">
        <f>IF($P2276="","",IF(ISNUMBER(INDEX(상세표[블록종료],$P2276)),TEXT(INDEX(상세표[블록종료],$P2276),"yyyy-mm-dd hh:mm"),INDEX(상세표[블록종료],$P2276)&amp;""))</f>
        <v/>
      </c>
      <c r="G2276">
        <f>IF($P2276="","",CHOOSE(WEEKDAY(INDEX(상세표[시작],$P2276)),"일","월","화","수","목","금","토"))</f>
        <v/>
      </c>
      <c r="H2276">
        <f>IF($P2276="","",INDEX(상세표[연속 시간],$P2276))</f>
        <v/>
      </c>
      <c r="I2276">
        <f>IF($P2276="","",INDEX(상세표[기록 수],$P2276))</f>
        <v/>
      </c>
      <c r="J2276">
        <f>IF($P2276="","",INDEX(상세표[블록 06~07시],$P2276))</f>
        <v/>
      </c>
      <c r="K2276">
        <f>IF($P2276="","",INDEX(상세표[블록 07~18시],$P2276))</f>
        <v/>
      </c>
      <c r="L2276">
        <f>IF($P2276="","",INDEX(상세표[블록 18~22시],$P2276))</f>
        <v/>
      </c>
      <c r="M2276">
        <f>IF($P2276="","",INDEX(상세표[블록 22~06시],$P2276))</f>
        <v/>
      </c>
      <c r="N2276">
        <f>IF($P2276="","",INDEX(상세표[주말·휴일 포함],$P2276)&amp;"")</f>
        <v/>
      </c>
      <c r="O2276">
        <f>IF($P2276="","",INDEX(상세표[월 넘김 포함],$P2276)&amp;"")</f>
        <v/>
      </c>
      <c r="P2276" s="4">
        <f>IFERROR(MATCH(2271,상세표[연속순번],0),"")</f>
        <v/>
      </c>
    </row>
    <row r="2277">
      <c r="A2277">
        <f>IF($P2277="","",INDEX(상세표[사번],$P2277)&amp;"")</f>
        <v/>
      </c>
      <c r="B2277">
        <f>IF($P2277="","",INDEX(상세표[성명],$P2277)&amp;"")</f>
        <v/>
      </c>
      <c r="C2277">
        <f>IF($P2277="","",INDEX(상세표[부서],$P2277)&amp;"")</f>
        <v/>
      </c>
      <c r="D2277">
        <f>IF($P2277="","",INDEX(상세표[직위],$P2277)&amp;"")</f>
        <v/>
      </c>
      <c r="E2277">
        <f>IF($P2277="","",IF(ISNUMBER(INDEX(상세표[시작],$P2277)),TEXT(INDEX(상세표[시작],$P2277),"yyyy-mm-dd hh:mm"),INDEX(상세표[시작],$P2277)&amp;""))</f>
        <v/>
      </c>
      <c r="F2277">
        <f>IF($P2277="","",IF(ISNUMBER(INDEX(상세표[블록종료],$P2277)),TEXT(INDEX(상세표[블록종료],$P2277),"yyyy-mm-dd hh:mm"),INDEX(상세표[블록종료],$P2277)&amp;""))</f>
        <v/>
      </c>
      <c r="G2277">
        <f>IF($P2277="","",CHOOSE(WEEKDAY(INDEX(상세표[시작],$P2277)),"일","월","화","수","목","금","토"))</f>
        <v/>
      </c>
      <c r="H2277">
        <f>IF($P2277="","",INDEX(상세표[연속 시간],$P2277))</f>
        <v/>
      </c>
      <c r="I2277">
        <f>IF($P2277="","",INDEX(상세표[기록 수],$P2277))</f>
        <v/>
      </c>
      <c r="J2277">
        <f>IF($P2277="","",INDEX(상세표[블록 06~07시],$P2277))</f>
        <v/>
      </c>
      <c r="K2277">
        <f>IF($P2277="","",INDEX(상세표[블록 07~18시],$P2277))</f>
        <v/>
      </c>
      <c r="L2277">
        <f>IF($P2277="","",INDEX(상세표[블록 18~22시],$P2277))</f>
        <v/>
      </c>
      <c r="M2277">
        <f>IF($P2277="","",INDEX(상세표[블록 22~06시],$P2277))</f>
        <v/>
      </c>
      <c r="N2277">
        <f>IF($P2277="","",INDEX(상세표[주말·휴일 포함],$P2277)&amp;"")</f>
        <v/>
      </c>
      <c r="O2277">
        <f>IF($P2277="","",INDEX(상세표[월 넘김 포함],$P2277)&amp;"")</f>
        <v/>
      </c>
      <c r="P2277" s="4">
        <f>IFERROR(MATCH(2272,상세표[연속순번],0),"")</f>
        <v/>
      </c>
    </row>
    <row r="2278">
      <c r="A2278">
        <f>IF($P2278="","",INDEX(상세표[사번],$P2278)&amp;"")</f>
        <v/>
      </c>
      <c r="B2278">
        <f>IF($P2278="","",INDEX(상세표[성명],$P2278)&amp;"")</f>
        <v/>
      </c>
      <c r="C2278">
        <f>IF($P2278="","",INDEX(상세표[부서],$P2278)&amp;"")</f>
        <v/>
      </c>
      <c r="D2278">
        <f>IF($P2278="","",INDEX(상세표[직위],$P2278)&amp;"")</f>
        <v/>
      </c>
      <c r="E2278">
        <f>IF($P2278="","",IF(ISNUMBER(INDEX(상세표[시작],$P2278)),TEXT(INDEX(상세표[시작],$P2278),"yyyy-mm-dd hh:mm"),INDEX(상세표[시작],$P2278)&amp;""))</f>
        <v/>
      </c>
      <c r="F2278">
        <f>IF($P2278="","",IF(ISNUMBER(INDEX(상세표[블록종료],$P2278)),TEXT(INDEX(상세표[블록종료],$P2278),"yyyy-mm-dd hh:mm"),INDEX(상세표[블록종료],$P2278)&amp;""))</f>
        <v/>
      </c>
      <c r="G2278">
        <f>IF($P2278="","",CHOOSE(WEEKDAY(INDEX(상세표[시작],$P2278)),"일","월","화","수","목","금","토"))</f>
        <v/>
      </c>
      <c r="H2278">
        <f>IF($P2278="","",INDEX(상세표[연속 시간],$P2278))</f>
        <v/>
      </c>
      <c r="I2278">
        <f>IF($P2278="","",INDEX(상세표[기록 수],$P2278))</f>
        <v/>
      </c>
      <c r="J2278">
        <f>IF($P2278="","",INDEX(상세표[블록 06~07시],$P2278))</f>
        <v/>
      </c>
      <c r="K2278">
        <f>IF($P2278="","",INDEX(상세표[블록 07~18시],$P2278))</f>
        <v/>
      </c>
      <c r="L2278">
        <f>IF($P2278="","",INDEX(상세표[블록 18~22시],$P2278))</f>
        <v/>
      </c>
      <c r="M2278">
        <f>IF($P2278="","",INDEX(상세표[블록 22~06시],$P2278))</f>
        <v/>
      </c>
      <c r="N2278">
        <f>IF($P2278="","",INDEX(상세표[주말·휴일 포함],$P2278)&amp;"")</f>
        <v/>
      </c>
      <c r="O2278">
        <f>IF($P2278="","",INDEX(상세표[월 넘김 포함],$P2278)&amp;"")</f>
        <v/>
      </c>
      <c r="P2278" s="4">
        <f>IFERROR(MATCH(2273,상세표[연속순번],0),"")</f>
        <v/>
      </c>
    </row>
    <row r="2279">
      <c r="A2279">
        <f>IF($P2279="","",INDEX(상세표[사번],$P2279)&amp;"")</f>
        <v/>
      </c>
      <c r="B2279">
        <f>IF($P2279="","",INDEX(상세표[성명],$P2279)&amp;"")</f>
        <v/>
      </c>
      <c r="C2279">
        <f>IF($P2279="","",INDEX(상세표[부서],$P2279)&amp;"")</f>
        <v/>
      </c>
      <c r="D2279">
        <f>IF($P2279="","",INDEX(상세표[직위],$P2279)&amp;"")</f>
        <v/>
      </c>
      <c r="E2279">
        <f>IF($P2279="","",IF(ISNUMBER(INDEX(상세표[시작],$P2279)),TEXT(INDEX(상세표[시작],$P2279),"yyyy-mm-dd hh:mm"),INDEX(상세표[시작],$P2279)&amp;""))</f>
        <v/>
      </c>
      <c r="F2279">
        <f>IF($P2279="","",IF(ISNUMBER(INDEX(상세표[블록종료],$P2279)),TEXT(INDEX(상세표[블록종료],$P2279),"yyyy-mm-dd hh:mm"),INDEX(상세표[블록종료],$P2279)&amp;""))</f>
        <v/>
      </c>
      <c r="G2279">
        <f>IF($P2279="","",CHOOSE(WEEKDAY(INDEX(상세표[시작],$P2279)),"일","월","화","수","목","금","토"))</f>
        <v/>
      </c>
      <c r="H2279">
        <f>IF($P2279="","",INDEX(상세표[연속 시간],$P2279))</f>
        <v/>
      </c>
      <c r="I2279">
        <f>IF($P2279="","",INDEX(상세표[기록 수],$P2279))</f>
        <v/>
      </c>
      <c r="J2279">
        <f>IF($P2279="","",INDEX(상세표[블록 06~07시],$P2279))</f>
        <v/>
      </c>
      <c r="K2279">
        <f>IF($P2279="","",INDEX(상세표[블록 07~18시],$P2279))</f>
        <v/>
      </c>
      <c r="L2279">
        <f>IF($P2279="","",INDEX(상세표[블록 18~22시],$P2279))</f>
        <v/>
      </c>
      <c r="M2279">
        <f>IF($P2279="","",INDEX(상세표[블록 22~06시],$P2279))</f>
        <v/>
      </c>
      <c r="N2279">
        <f>IF($P2279="","",INDEX(상세표[주말·휴일 포함],$P2279)&amp;"")</f>
        <v/>
      </c>
      <c r="O2279">
        <f>IF($P2279="","",INDEX(상세표[월 넘김 포함],$P2279)&amp;"")</f>
        <v/>
      </c>
      <c r="P2279" s="4">
        <f>IFERROR(MATCH(2274,상세표[연속순번],0),"")</f>
        <v/>
      </c>
    </row>
    <row r="2280">
      <c r="A2280">
        <f>IF($P2280="","",INDEX(상세표[사번],$P2280)&amp;"")</f>
        <v/>
      </c>
      <c r="B2280">
        <f>IF($P2280="","",INDEX(상세표[성명],$P2280)&amp;"")</f>
        <v/>
      </c>
      <c r="C2280">
        <f>IF($P2280="","",INDEX(상세표[부서],$P2280)&amp;"")</f>
        <v/>
      </c>
      <c r="D2280">
        <f>IF($P2280="","",INDEX(상세표[직위],$P2280)&amp;"")</f>
        <v/>
      </c>
      <c r="E2280">
        <f>IF($P2280="","",IF(ISNUMBER(INDEX(상세표[시작],$P2280)),TEXT(INDEX(상세표[시작],$P2280),"yyyy-mm-dd hh:mm"),INDEX(상세표[시작],$P2280)&amp;""))</f>
        <v/>
      </c>
      <c r="F2280">
        <f>IF($P2280="","",IF(ISNUMBER(INDEX(상세표[블록종료],$P2280)),TEXT(INDEX(상세표[블록종료],$P2280),"yyyy-mm-dd hh:mm"),INDEX(상세표[블록종료],$P2280)&amp;""))</f>
        <v/>
      </c>
      <c r="G2280">
        <f>IF($P2280="","",CHOOSE(WEEKDAY(INDEX(상세표[시작],$P2280)),"일","월","화","수","목","금","토"))</f>
        <v/>
      </c>
      <c r="H2280">
        <f>IF($P2280="","",INDEX(상세표[연속 시간],$P2280))</f>
        <v/>
      </c>
      <c r="I2280">
        <f>IF($P2280="","",INDEX(상세표[기록 수],$P2280))</f>
        <v/>
      </c>
      <c r="J2280">
        <f>IF($P2280="","",INDEX(상세표[블록 06~07시],$P2280))</f>
        <v/>
      </c>
      <c r="K2280">
        <f>IF($P2280="","",INDEX(상세표[블록 07~18시],$P2280))</f>
        <v/>
      </c>
      <c r="L2280">
        <f>IF($P2280="","",INDEX(상세표[블록 18~22시],$P2280))</f>
        <v/>
      </c>
      <c r="M2280">
        <f>IF($P2280="","",INDEX(상세표[블록 22~06시],$P2280))</f>
        <v/>
      </c>
      <c r="N2280">
        <f>IF($P2280="","",INDEX(상세표[주말·휴일 포함],$P2280)&amp;"")</f>
        <v/>
      </c>
      <c r="O2280">
        <f>IF($P2280="","",INDEX(상세표[월 넘김 포함],$P2280)&amp;"")</f>
        <v/>
      </c>
      <c r="P2280" s="4">
        <f>IFERROR(MATCH(2275,상세표[연속순번],0),"")</f>
        <v/>
      </c>
    </row>
    <row r="2281">
      <c r="A2281">
        <f>IF($P2281="","",INDEX(상세표[사번],$P2281)&amp;"")</f>
        <v/>
      </c>
      <c r="B2281">
        <f>IF($P2281="","",INDEX(상세표[성명],$P2281)&amp;"")</f>
        <v/>
      </c>
      <c r="C2281">
        <f>IF($P2281="","",INDEX(상세표[부서],$P2281)&amp;"")</f>
        <v/>
      </c>
      <c r="D2281">
        <f>IF($P2281="","",INDEX(상세표[직위],$P2281)&amp;"")</f>
        <v/>
      </c>
      <c r="E2281">
        <f>IF($P2281="","",IF(ISNUMBER(INDEX(상세표[시작],$P2281)),TEXT(INDEX(상세표[시작],$P2281),"yyyy-mm-dd hh:mm"),INDEX(상세표[시작],$P2281)&amp;""))</f>
        <v/>
      </c>
      <c r="F2281">
        <f>IF($P2281="","",IF(ISNUMBER(INDEX(상세표[블록종료],$P2281)),TEXT(INDEX(상세표[블록종료],$P2281),"yyyy-mm-dd hh:mm"),INDEX(상세표[블록종료],$P2281)&amp;""))</f>
        <v/>
      </c>
      <c r="G2281">
        <f>IF($P2281="","",CHOOSE(WEEKDAY(INDEX(상세표[시작],$P2281)),"일","월","화","수","목","금","토"))</f>
        <v/>
      </c>
      <c r="H2281">
        <f>IF($P2281="","",INDEX(상세표[연속 시간],$P2281))</f>
        <v/>
      </c>
      <c r="I2281">
        <f>IF($P2281="","",INDEX(상세표[기록 수],$P2281))</f>
        <v/>
      </c>
      <c r="J2281">
        <f>IF($P2281="","",INDEX(상세표[블록 06~07시],$P2281))</f>
        <v/>
      </c>
      <c r="K2281">
        <f>IF($P2281="","",INDEX(상세표[블록 07~18시],$P2281))</f>
        <v/>
      </c>
      <c r="L2281">
        <f>IF($P2281="","",INDEX(상세표[블록 18~22시],$P2281))</f>
        <v/>
      </c>
      <c r="M2281">
        <f>IF($P2281="","",INDEX(상세표[블록 22~06시],$P2281))</f>
        <v/>
      </c>
      <c r="N2281">
        <f>IF($P2281="","",INDEX(상세표[주말·휴일 포함],$P2281)&amp;"")</f>
        <v/>
      </c>
      <c r="O2281">
        <f>IF($P2281="","",INDEX(상세표[월 넘김 포함],$P2281)&amp;"")</f>
        <v/>
      </c>
      <c r="P2281" s="4">
        <f>IFERROR(MATCH(2276,상세표[연속순번],0),"")</f>
        <v/>
      </c>
    </row>
    <row r="2282">
      <c r="A2282">
        <f>IF($P2282="","",INDEX(상세표[사번],$P2282)&amp;"")</f>
        <v/>
      </c>
      <c r="B2282">
        <f>IF($P2282="","",INDEX(상세표[성명],$P2282)&amp;"")</f>
        <v/>
      </c>
      <c r="C2282">
        <f>IF($P2282="","",INDEX(상세표[부서],$P2282)&amp;"")</f>
        <v/>
      </c>
      <c r="D2282">
        <f>IF($P2282="","",INDEX(상세표[직위],$P2282)&amp;"")</f>
        <v/>
      </c>
      <c r="E2282">
        <f>IF($P2282="","",IF(ISNUMBER(INDEX(상세표[시작],$P2282)),TEXT(INDEX(상세표[시작],$P2282),"yyyy-mm-dd hh:mm"),INDEX(상세표[시작],$P2282)&amp;""))</f>
        <v/>
      </c>
      <c r="F2282">
        <f>IF($P2282="","",IF(ISNUMBER(INDEX(상세표[블록종료],$P2282)),TEXT(INDEX(상세표[블록종료],$P2282),"yyyy-mm-dd hh:mm"),INDEX(상세표[블록종료],$P2282)&amp;""))</f>
        <v/>
      </c>
      <c r="G2282">
        <f>IF($P2282="","",CHOOSE(WEEKDAY(INDEX(상세표[시작],$P2282)),"일","월","화","수","목","금","토"))</f>
        <v/>
      </c>
      <c r="H2282">
        <f>IF($P2282="","",INDEX(상세표[연속 시간],$P2282))</f>
        <v/>
      </c>
      <c r="I2282">
        <f>IF($P2282="","",INDEX(상세표[기록 수],$P2282))</f>
        <v/>
      </c>
      <c r="J2282">
        <f>IF($P2282="","",INDEX(상세표[블록 06~07시],$P2282))</f>
        <v/>
      </c>
      <c r="K2282">
        <f>IF($P2282="","",INDEX(상세표[블록 07~18시],$P2282))</f>
        <v/>
      </c>
      <c r="L2282">
        <f>IF($P2282="","",INDEX(상세표[블록 18~22시],$P2282))</f>
        <v/>
      </c>
      <c r="M2282">
        <f>IF($P2282="","",INDEX(상세표[블록 22~06시],$P2282))</f>
        <v/>
      </c>
      <c r="N2282">
        <f>IF($P2282="","",INDEX(상세표[주말·휴일 포함],$P2282)&amp;"")</f>
        <v/>
      </c>
      <c r="O2282">
        <f>IF($P2282="","",INDEX(상세표[월 넘김 포함],$P2282)&amp;"")</f>
        <v/>
      </c>
      <c r="P2282" s="4">
        <f>IFERROR(MATCH(2277,상세표[연속순번],0),"")</f>
        <v/>
      </c>
    </row>
    <row r="2283">
      <c r="A2283">
        <f>IF($P2283="","",INDEX(상세표[사번],$P2283)&amp;"")</f>
        <v/>
      </c>
      <c r="B2283">
        <f>IF($P2283="","",INDEX(상세표[성명],$P2283)&amp;"")</f>
        <v/>
      </c>
      <c r="C2283">
        <f>IF($P2283="","",INDEX(상세표[부서],$P2283)&amp;"")</f>
        <v/>
      </c>
      <c r="D2283">
        <f>IF($P2283="","",INDEX(상세표[직위],$P2283)&amp;"")</f>
        <v/>
      </c>
      <c r="E2283">
        <f>IF($P2283="","",IF(ISNUMBER(INDEX(상세표[시작],$P2283)),TEXT(INDEX(상세표[시작],$P2283),"yyyy-mm-dd hh:mm"),INDEX(상세표[시작],$P2283)&amp;""))</f>
        <v/>
      </c>
      <c r="F2283">
        <f>IF($P2283="","",IF(ISNUMBER(INDEX(상세표[블록종료],$P2283)),TEXT(INDEX(상세표[블록종료],$P2283),"yyyy-mm-dd hh:mm"),INDEX(상세표[블록종료],$P2283)&amp;""))</f>
        <v/>
      </c>
      <c r="G2283">
        <f>IF($P2283="","",CHOOSE(WEEKDAY(INDEX(상세표[시작],$P2283)),"일","월","화","수","목","금","토"))</f>
        <v/>
      </c>
      <c r="H2283">
        <f>IF($P2283="","",INDEX(상세표[연속 시간],$P2283))</f>
        <v/>
      </c>
      <c r="I2283">
        <f>IF($P2283="","",INDEX(상세표[기록 수],$P2283))</f>
        <v/>
      </c>
      <c r="J2283">
        <f>IF($P2283="","",INDEX(상세표[블록 06~07시],$P2283))</f>
        <v/>
      </c>
      <c r="K2283">
        <f>IF($P2283="","",INDEX(상세표[블록 07~18시],$P2283))</f>
        <v/>
      </c>
      <c r="L2283">
        <f>IF($P2283="","",INDEX(상세표[블록 18~22시],$P2283))</f>
        <v/>
      </c>
      <c r="M2283">
        <f>IF($P2283="","",INDEX(상세표[블록 22~06시],$P2283))</f>
        <v/>
      </c>
      <c r="N2283">
        <f>IF($P2283="","",INDEX(상세표[주말·휴일 포함],$P2283)&amp;"")</f>
        <v/>
      </c>
      <c r="O2283">
        <f>IF($P2283="","",INDEX(상세표[월 넘김 포함],$P2283)&amp;"")</f>
        <v/>
      </c>
      <c r="P2283" s="4">
        <f>IFERROR(MATCH(2278,상세표[연속순번],0),"")</f>
        <v/>
      </c>
    </row>
    <row r="2284">
      <c r="A2284">
        <f>IF($P2284="","",INDEX(상세표[사번],$P2284)&amp;"")</f>
        <v/>
      </c>
      <c r="B2284">
        <f>IF($P2284="","",INDEX(상세표[성명],$P2284)&amp;"")</f>
        <v/>
      </c>
      <c r="C2284">
        <f>IF($P2284="","",INDEX(상세표[부서],$P2284)&amp;"")</f>
        <v/>
      </c>
      <c r="D2284">
        <f>IF($P2284="","",INDEX(상세표[직위],$P2284)&amp;"")</f>
        <v/>
      </c>
      <c r="E2284">
        <f>IF($P2284="","",IF(ISNUMBER(INDEX(상세표[시작],$P2284)),TEXT(INDEX(상세표[시작],$P2284),"yyyy-mm-dd hh:mm"),INDEX(상세표[시작],$P2284)&amp;""))</f>
        <v/>
      </c>
      <c r="F2284">
        <f>IF($P2284="","",IF(ISNUMBER(INDEX(상세표[블록종료],$P2284)),TEXT(INDEX(상세표[블록종료],$P2284),"yyyy-mm-dd hh:mm"),INDEX(상세표[블록종료],$P2284)&amp;""))</f>
        <v/>
      </c>
      <c r="G2284">
        <f>IF($P2284="","",CHOOSE(WEEKDAY(INDEX(상세표[시작],$P2284)),"일","월","화","수","목","금","토"))</f>
        <v/>
      </c>
      <c r="H2284">
        <f>IF($P2284="","",INDEX(상세표[연속 시간],$P2284))</f>
        <v/>
      </c>
      <c r="I2284">
        <f>IF($P2284="","",INDEX(상세표[기록 수],$P2284))</f>
        <v/>
      </c>
      <c r="J2284">
        <f>IF($P2284="","",INDEX(상세표[블록 06~07시],$P2284))</f>
        <v/>
      </c>
      <c r="K2284">
        <f>IF($P2284="","",INDEX(상세표[블록 07~18시],$P2284))</f>
        <v/>
      </c>
      <c r="L2284">
        <f>IF($P2284="","",INDEX(상세표[블록 18~22시],$P2284))</f>
        <v/>
      </c>
      <c r="M2284">
        <f>IF($P2284="","",INDEX(상세표[블록 22~06시],$P2284))</f>
        <v/>
      </c>
      <c r="N2284">
        <f>IF($P2284="","",INDEX(상세표[주말·휴일 포함],$P2284)&amp;"")</f>
        <v/>
      </c>
      <c r="O2284">
        <f>IF($P2284="","",INDEX(상세표[월 넘김 포함],$P2284)&amp;"")</f>
        <v/>
      </c>
      <c r="P2284" s="4">
        <f>IFERROR(MATCH(2279,상세표[연속순번],0),"")</f>
        <v/>
      </c>
    </row>
    <row r="2285">
      <c r="A2285">
        <f>IF($P2285="","",INDEX(상세표[사번],$P2285)&amp;"")</f>
        <v/>
      </c>
      <c r="B2285">
        <f>IF($P2285="","",INDEX(상세표[성명],$P2285)&amp;"")</f>
        <v/>
      </c>
      <c r="C2285">
        <f>IF($P2285="","",INDEX(상세표[부서],$P2285)&amp;"")</f>
        <v/>
      </c>
      <c r="D2285">
        <f>IF($P2285="","",INDEX(상세표[직위],$P2285)&amp;"")</f>
        <v/>
      </c>
      <c r="E2285">
        <f>IF($P2285="","",IF(ISNUMBER(INDEX(상세표[시작],$P2285)),TEXT(INDEX(상세표[시작],$P2285),"yyyy-mm-dd hh:mm"),INDEX(상세표[시작],$P2285)&amp;""))</f>
        <v/>
      </c>
      <c r="F2285">
        <f>IF($P2285="","",IF(ISNUMBER(INDEX(상세표[블록종료],$P2285)),TEXT(INDEX(상세표[블록종료],$P2285),"yyyy-mm-dd hh:mm"),INDEX(상세표[블록종료],$P2285)&amp;""))</f>
        <v/>
      </c>
      <c r="G2285">
        <f>IF($P2285="","",CHOOSE(WEEKDAY(INDEX(상세표[시작],$P2285)),"일","월","화","수","목","금","토"))</f>
        <v/>
      </c>
      <c r="H2285">
        <f>IF($P2285="","",INDEX(상세표[연속 시간],$P2285))</f>
        <v/>
      </c>
      <c r="I2285">
        <f>IF($P2285="","",INDEX(상세표[기록 수],$P2285))</f>
        <v/>
      </c>
      <c r="J2285">
        <f>IF($P2285="","",INDEX(상세표[블록 06~07시],$P2285))</f>
        <v/>
      </c>
      <c r="K2285">
        <f>IF($P2285="","",INDEX(상세표[블록 07~18시],$P2285))</f>
        <v/>
      </c>
      <c r="L2285">
        <f>IF($P2285="","",INDEX(상세표[블록 18~22시],$P2285))</f>
        <v/>
      </c>
      <c r="M2285">
        <f>IF($P2285="","",INDEX(상세표[블록 22~06시],$P2285))</f>
        <v/>
      </c>
      <c r="N2285">
        <f>IF($P2285="","",INDEX(상세표[주말·휴일 포함],$P2285)&amp;"")</f>
        <v/>
      </c>
      <c r="O2285">
        <f>IF($P2285="","",INDEX(상세표[월 넘김 포함],$P2285)&amp;"")</f>
        <v/>
      </c>
      <c r="P2285" s="4">
        <f>IFERROR(MATCH(2280,상세표[연속순번],0),"")</f>
        <v/>
      </c>
    </row>
    <row r="2286">
      <c r="A2286">
        <f>IF($P2286="","",INDEX(상세표[사번],$P2286)&amp;"")</f>
        <v/>
      </c>
      <c r="B2286">
        <f>IF($P2286="","",INDEX(상세표[성명],$P2286)&amp;"")</f>
        <v/>
      </c>
      <c r="C2286">
        <f>IF($P2286="","",INDEX(상세표[부서],$P2286)&amp;"")</f>
        <v/>
      </c>
      <c r="D2286">
        <f>IF($P2286="","",INDEX(상세표[직위],$P2286)&amp;"")</f>
        <v/>
      </c>
      <c r="E2286">
        <f>IF($P2286="","",IF(ISNUMBER(INDEX(상세표[시작],$P2286)),TEXT(INDEX(상세표[시작],$P2286),"yyyy-mm-dd hh:mm"),INDEX(상세표[시작],$P2286)&amp;""))</f>
        <v/>
      </c>
      <c r="F2286">
        <f>IF($P2286="","",IF(ISNUMBER(INDEX(상세표[블록종료],$P2286)),TEXT(INDEX(상세표[블록종료],$P2286),"yyyy-mm-dd hh:mm"),INDEX(상세표[블록종료],$P2286)&amp;""))</f>
        <v/>
      </c>
      <c r="G2286">
        <f>IF($P2286="","",CHOOSE(WEEKDAY(INDEX(상세표[시작],$P2286)),"일","월","화","수","목","금","토"))</f>
        <v/>
      </c>
      <c r="H2286">
        <f>IF($P2286="","",INDEX(상세표[연속 시간],$P2286))</f>
        <v/>
      </c>
      <c r="I2286">
        <f>IF($P2286="","",INDEX(상세표[기록 수],$P2286))</f>
        <v/>
      </c>
      <c r="J2286">
        <f>IF($P2286="","",INDEX(상세표[블록 06~07시],$P2286))</f>
        <v/>
      </c>
      <c r="K2286">
        <f>IF($P2286="","",INDEX(상세표[블록 07~18시],$P2286))</f>
        <v/>
      </c>
      <c r="L2286">
        <f>IF($P2286="","",INDEX(상세표[블록 18~22시],$P2286))</f>
        <v/>
      </c>
      <c r="M2286">
        <f>IF($P2286="","",INDEX(상세표[블록 22~06시],$P2286))</f>
        <v/>
      </c>
      <c r="N2286">
        <f>IF($P2286="","",INDEX(상세표[주말·휴일 포함],$P2286)&amp;"")</f>
        <v/>
      </c>
      <c r="O2286">
        <f>IF($P2286="","",INDEX(상세표[월 넘김 포함],$P2286)&amp;"")</f>
        <v/>
      </c>
      <c r="P2286" s="4">
        <f>IFERROR(MATCH(2281,상세표[연속순번],0),"")</f>
        <v/>
      </c>
    </row>
    <row r="2287">
      <c r="A2287">
        <f>IF($P2287="","",INDEX(상세표[사번],$P2287)&amp;"")</f>
        <v/>
      </c>
      <c r="B2287">
        <f>IF($P2287="","",INDEX(상세표[성명],$P2287)&amp;"")</f>
        <v/>
      </c>
      <c r="C2287">
        <f>IF($P2287="","",INDEX(상세표[부서],$P2287)&amp;"")</f>
        <v/>
      </c>
      <c r="D2287">
        <f>IF($P2287="","",INDEX(상세표[직위],$P2287)&amp;"")</f>
        <v/>
      </c>
      <c r="E2287">
        <f>IF($P2287="","",IF(ISNUMBER(INDEX(상세표[시작],$P2287)),TEXT(INDEX(상세표[시작],$P2287),"yyyy-mm-dd hh:mm"),INDEX(상세표[시작],$P2287)&amp;""))</f>
        <v/>
      </c>
      <c r="F2287">
        <f>IF($P2287="","",IF(ISNUMBER(INDEX(상세표[블록종료],$P2287)),TEXT(INDEX(상세표[블록종료],$P2287),"yyyy-mm-dd hh:mm"),INDEX(상세표[블록종료],$P2287)&amp;""))</f>
        <v/>
      </c>
      <c r="G2287">
        <f>IF($P2287="","",CHOOSE(WEEKDAY(INDEX(상세표[시작],$P2287)),"일","월","화","수","목","금","토"))</f>
        <v/>
      </c>
      <c r="H2287">
        <f>IF($P2287="","",INDEX(상세표[연속 시간],$P2287))</f>
        <v/>
      </c>
      <c r="I2287">
        <f>IF($P2287="","",INDEX(상세표[기록 수],$P2287))</f>
        <v/>
      </c>
      <c r="J2287">
        <f>IF($P2287="","",INDEX(상세표[블록 06~07시],$P2287))</f>
        <v/>
      </c>
      <c r="K2287">
        <f>IF($P2287="","",INDEX(상세표[블록 07~18시],$P2287))</f>
        <v/>
      </c>
      <c r="L2287">
        <f>IF($P2287="","",INDEX(상세표[블록 18~22시],$P2287))</f>
        <v/>
      </c>
      <c r="M2287">
        <f>IF($P2287="","",INDEX(상세표[블록 22~06시],$P2287))</f>
        <v/>
      </c>
      <c r="N2287">
        <f>IF($P2287="","",INDEX(상세표[주말·휴일 포함],$P2287)&amp;"")</f>
        <v/>
      </c>
      <c r="O2287">
        <f>IF($P2287="","",INDEX(상세표[월 넘김 포함],$P2287)&amp;"")</f>
        <v/>
      </c>
      <c r="P2287" s="4">
        <f>IFERROR(MATCH(2282,상세표[연속순번],0),"")</f>
        <v/>
      </c>
    </row>
    <row r="2288">
      <c r="A2288">
        <f>IF($P2288="","",INDEX(상세표[사번],$P2288)&amp;"")</f>
        <v/>
      </c>
      <c r="B2288">
        <f>IF($P2288="","",INDEX(상세표[성명],$P2288)&amp;"")</f>
        <v/>
      </c>
      <c r="C2288">
        <f>IF($P2288="","",INDEX(상세표[부서],$P2288)&amp;"")</f>
        <v/>
      </c>
      <c r="D2288">
        <f>IF($P2288="","",INDEX(상세표[직위],$P2288)&amp;"")</f>
        <v/>
      </c>
      <c r="E2288">
        <f>IF($P2288="","",IF(ISNUMBER(INDEX(상세표[시작],$P2288)),TEXT(INDEX(상세표[시작],$P2288),"yyyy-mm-dd hh:mm"),INDEX(상세표[시작],$P2288)&amp;""))</f>
        <v/>
      </c>
      <c r="F2288">
        <f>IF($P2288="","",IF(ISNUMBER(INDEX(상세표[블록종료],$P2288)),TEXT(INDEX(상세표[블록종료],$P2288),"yyyy-mm-dd hh:mm"),INDEX(상세표[블록종료],$P2288)&amp;""))</f>
        <v/>
      </c>
      <c r="G2288">
        <f>IF($P2288="","",CHOOSE(WEEKDAY(INDEX(상세표[시작],$P2288)),"일","월","화","수","목","금","토"))</f>
        <v/>
      </c>
      <c r="H2288">
        <f>IF($P2288="","",INDEX(상세표[연속 시간],$P2288))</f>
        <v/>
      </c>
      <c r="I2288">
        <f>IF($P2288="","",INDEX(상세표[기록 수],$P2288))</f>
        <v/>
      </c>
      <c r="J2288">
        <f>IF($P2288="","",INDEX(상세표[블록 06~07시],$P2288))</f>
        <v/>
      </c>
      <c r="K2288">
        <f>IF($P2288="","",INDEX(상세표[블록 07~18시],$P2288))</f>
        <v/>
      </c>
      <c r="L2288">
        <f>IF($P2288="","",INDEX(상세표[블록 18~22시],$P2288))</f>
        <v/>
      </c>
      <c r="M2288">
        <f>IF($P2288="","",INDEX(상세표[블록 22~06시],$P2288))</f>
        <v/>
      </c>
      <c r="N2288">
        <f>IF($P2288="","",INDEX(상세표[주말·휴일 포함],$P2288)&amp;"")</f>
        <v/>
      </c>
      <c r="O2288">
        <f>IF($P2288="","",INDEX(상세표[월 넘김 포함],$P2288)&amp;"")</f>
        <v/>
      </c>
      <c r="P2288" s="4">
        <f>IFERROR(MATCH(2283,상세표[연속순번],0),"")</f>
        <v/>
      </c>
    </row>
    <row r="2289">
      <c r="A2289">
        <f>IF($P2289="","",INDEX(상세표[사번],$P2289)&amp;"")</f>
        <v/>
      </c>
      <c r="B2289">
        <f>IF($P2289="","",INDEX(상세표[성명],$P2289)&amp;"")</f>
        <v/>
      </c>
      <c r="C2289">
        <f>IF($P2289="","",INDEX(상세표[부서],$P2289)&amp;"")</f>
        <v/>
      </c>
      <c r="D2289">
        <f>IF($P2289="","",INDEX(상세표[직위],$P2289)&amp;"")</f>
        <v/>
      </c>
      <c r="E2289">
        <f>IF($P2289="","",IF(ISNUMBER(INDEX(상세표[시작],$P2289)),TEXT(INDEX(상세표[시작],$P2289),"yyyy-mm-dd hh:mm"),INDEX(상세표[시작],$P2289)&amp;""))</f>
        <v/>
      </c>
      <c r="F2289">
        <f>IF($P2289="","",IF(ISNUMBER(INDEX(상세표[블록종료],$P2289)),TEXT(INDEX(상세표[블록종료],$P2289),"yyyy-mm-dd hh:mm"),INDEX(상세표[블록종료],$P2289)&amp;""))</f>
        <v/>
      </c>
      <c r="G2289">
        <f>IF($P2289="","",CHOOSE(WEEKDAY(INDEX(상세표[시작],$P2289)),"일","월","화","수","목","금","토"))</f>
        <v/>
      </c>
      <c r="H2289">
        <f>IF($P2289="","",INDEX(상세표[연속 시간],$P2289))</f>
        <v/>
      </c>
      <c r="I2289">
        <f>IF($P2289="","",INDEX(상세표[기록 수],$P2289))</f>
        <v/>
      </c>
      <c r="J2289">
        <f>IF($P2289="","",INDEX(상세표[블록 06~07시],$P2289))</f>
        <v/>
      </c>
      <c r="K2289">
        <f>IF($P2289="","",INDEX(상세표[블록 07~18시],$P2289))</f>
        <v/>
      </c>
      <c r="L2289">
        <f>IF($P2289="","",INDEX(상세표[블록 18~22시],$P2289))</f>
        <v/>
      </c>
      <c r="M2289">
        <f>IF($P2289="","",INDEX(상세표[블록 22~06시],$P2289))</f>
        <v/>
      </c>
      <c r="N2289">
        <f>IF($P2289="","",INDEX(상세표[주말·휴일 포함],$P2289)&amp;"")</f>
        <v/>
      </c>
      <c r="O2289">
        <f>IF($P2289="","",INDEX(상세표[월 넘김 포함],$P2289)&amp;"")</f>
        <v/>
      </c>
      <c r="P2289" s="4">
        <f>IFERROR(MATCH(2284,상세표[연속순번],0),"")</f>
        <v/>
      </c>
    </row>
    <row r="2290">
      <c r="A2290">
        <f>IF($P2290="","",INDEX(상세표[사번],$P2290)&amp;"")</f>
        <v/>
      </c>
      <c r="B2290">
        <f>IF($P2290="","",INDEX(상세표[성명],$P2290)&amp;"")</f>
        <v/>
      </c>
      <c r="C2290">
        <f>IF($P2290="","",INDEX(상세표[부서],$P2290)&amp;"")</f>
        <v/>
      </c>
      <c r="D2290">
        <f>IF($P2290="","",INDEX(상세표[직위],$P2290)&amp;"")</f>
        <v/>
      </c>
      <c r="E2290">
        <f>IF($P2290="","",IF(ISNUMBER(INDEX(상세표[시작],$P2290)),TEXT(INDEX(상세표[시작],$P2290),"yyyy-mm-dd hh:mm"),INDEX(상세표[시작],$P2290)&amp;""))</f>
        <v/>
      </c>
      <c r="F2290">
        <f>IF($P2290="","",IF(ISNUMBER(INDEX(상세표[블록종료],$P2290)),TEXT(INDEX(상세표[블록종료],$P2290),"yyyy-mm-dd hh:mm"),INDEX(상세표[블록종료],$P2290)&amp;""))</f>
        <v/>
      </c>
      <c r="G2290">
        <f>IF($P2290="","",CHOOSE(WEEKDAY(INDEX(상세표[시작],$P2290)),"일","월","화","수","목","금","토"))</f>
        <v/>
      </c>
      <c r="H2290">
        <f>IF($P2290="","",INDEX(상세표[연속 시간],$P2290))</f>
        <v/>
      </c>
      <c r="I2290">
        <f>IF($P2290="","",INDEX(상세표[기록 수],$P2290))</f>
        <v/>
      </c>
      <c r="J2290">
        <f>IF($P2290="","",INDEX(상세표[블록 06~07시],$P2290))</f>
        <v/>
      </c>
      <c r="K2290">
        <f>IF($P2290="","",INDEX(상세표[블록 07~18시],$P2290))</f>
        <v/>
      </c>
      <c r="L2290">
        <f>IF($P2290="","",INDEX(상세표[블록 18~22시],$P2290))</f>
        <v/>
      </c>
      <c r="M2290">
        <f>IF($P2290="","",INDEX(상세표[블록 22~06시],$P2290))</f>
        <v/>
      </c>
      <c r="N2290">
        <f>IF($P2290="","",INDEX(상세표[주말·휴일 포함],$P2290)&amp;"")</f>
        <v/>
      </c>
      <c r="O2290">
        <f>IF($P2290="","",INDEX(상세표[월 넘김 포함],$P2290)&amp;"")</f>
        <v/>
      </c>
      <c r="P2290" s="4">
        <f>IFERROR(MATCH(2285,상세표[연속순번],0),"")</f>
        <v/>
      </c>
    </row>
    <row r="2291">
      <c r="A2291">
        <f>IF($P2291="","",INDEX(상세표[사번],$P2291)&amp;"")</f>
        <v/>
      </c>
      <c r="B2291">
        <f>IF($P2291="","",INDEX(상세표[성명],$P2291)&amp;"")</f>
        <v/>
      </c>
      <c r="C2291">
        <f>IF($P2291="","",INDEX(상세표[부서],$P2291)&amp;"")</f>
        <v/>
      </c>
      <c r="D2291">
        <f>IF($P2291="","",INDEX(상세표[직위],$P2291)&amp;"")</f>
        <v/>
      </c>
      <c r="E2291">
        <f>IF($P2291="","",IF(ISNUMBER(INDEX(상세표[시작],$P2291)),TEXT(INDEX(상세표[시작],$P2291),"yyyy-mm-dd hh:mm"),INDEX(상세표[시작],$P2291)&amp;""))</f>
        <v/>
      </c>
      <c r="F2291">
        <f>IF($P2291="","",IF(ISNUMBER(INDEX(상세표[블록종료],$P2291)),TEXT(INDEX(상세표[블록종료],$P2291),"yyyy-mm-dd hh:mm"),INDEX(상세표[블록종료],$P2291)&amp;""))</f>
        <v/>
      </c>
      <c r="G2291">
        <f>IF($P2291="","",CHOOSE(WEEKDAY(INDEX(상세표[시작],$P2291)),"일","월","화","수","목","금","토"))</f>
        <v/>
      </c>
      <c r="H2291">
        <f>IF($P2291="","",INDEX(상세표[연속 시간],$P2291))</f>
        <v/>
      </c>
      <c r="I2291">
        <f>IF($P2291="","",INDEX(상세표[기록 수],$P2291))</f>
        <v/>
      </c>
      <c r="J2291">
        <f>IF($P2291="","",INDEX(상세표[블록 06~07시],$P2291))</f>
        <v/>
      </c>
      <c r="K2291">
        <f>IF($P2291="","",INDEX(상세표[블록 07~18시],$P2291))</f>
        <v/>
      </c>
      <c r="L2291">
        <f>IF($P2291="","",INDEX(상세표[블록 18~22시],$P2291))</f>
        <v/>
      </c>
      <c r="M2291">
        <f>IF($P2291="","",INDEX(상세표[블록 22~06시],$P2291))</f>
        <v/>
      </c>
      <c r="N2291">
        <f>IF($P2291="","",INDEX(상세표[주말·휴일 포함],$P2291)&amp;"")</f>
        <v/>
      </c>
      <c r="O2291">
        <f>IF($P2291="","",INDEX(상세표[월 넘김 포함],$P2291)&amp;"")</f>
        <v/>
      </c>
      <c r="P2291" s="4">
        <f>IFERROR(MATCH(2286,상세표[연속순번],0),"")</f>
        <v/>
      </c>
    </row>
    <row r="2292">
      <c r="A2292">
        <f>IF($P2292="","",INDEX(상세표[사번],$P2292)&amp;"")</f>
        <v/>
      </c>
      <c r="B2292">
        <f>IF($P2292="","",INDEX(상세표[성명],$P2292)&amp;"")</f>
        <v/>
      </c>
      <c r="C2292">
        <f>IF($P2292="","",INDEX(상세표[부서],$P2292)&amp;"")</f>
        <v/>
      </c>
      <c r="D2292">
        <f>IF($P2292="","",INDEX(상세표[직위],$P2292)&amp;"")</f>
        <v/>
      </c>
      <c r="E2292">
        <f>IF($P2292="","",IF(ISNUMBER(INDEX(상세표[시작],$P2292)),TEXT(INDEX(상세표[시작],$P2292),"yyyy-mm-dd hh:mm"),INDEX(상세표[시작],$P2292)&amp;""))</f>
        <v/>
      </c>
      <c r="F2292">
        <f>IF($P2292="","",IF(ISNUMBER(INDEX(상세표[블록종료],$P2292)),TEXT(INDEX(상세표[블록종료],$P2292),"yyyy-mm-dd hh:mm"),INDEX(상세표[블록종료],$P2292)&amp;""))</f>
        <v/>
      </c>
      <c r="G2292">
        <f>IF($P2292="","",CHOOSE(WEEKDAY(INDEX(상세표[시작],$P2292)),"일","월","화","수","목","금","토"))</f>
        <v/>
      </c>
      <c r="H2292">
        <f>IF($P2292="","",INDEX(상세표[연속 시간],$P2292))</f>
        <v/>
      </c>
      <c r="I2292">
        <f>IF($P2292="","",INDEX(상세표[기록 수],$P2292))</f>
        <v/>
      </c>
      <c r="J2292">
        <f>IF($P2292="","",INDEX(상세표[블록 06~07시],$P2292))</f>
        <v/>
      </c>
      <c r="K2292">
        <f>IF($P2292="","",INDEX(상세표[블록 07~18시],$P2292))</f>
        <v/>
      </c>
      <c r="L2292">
        <f>IF($P2292="","",INDEX(상세표[블록 18~22시],$P2292))</f>
        <v/>
      </c>
      <c r="M2292">
        <f>IF($P2292="","",INDEX(상세표[블록 22~06시],$P2292))</f>
        <v/>
      </c>
      <c r="N2292">
        <f>IF($P2292="","",INDEX(상세표[주말·휴일 포함],$P2292)&amp;"")</f>
        <v/>
      </c>
      <c r="O2292">
        <f>IF($P2292="","",INDEX(상세표[월 넘김 포함],$P2292)&amp;"")</f>
        <v/>
      </c>
      <c r="P2292" s="4">
        <f>IFERROR(MATCH(2287,상세표[연속순번],0),"")</f>
        <v/>
      </c>
    </row>
    <row r="2293">
      <c r="A2293">
        <f>IF($P2293="","",INDEX(상세표[사번],$P2293)&amp;"")</f>
        <v/>
      </c>
      <c r="B2293">
        <f>IF($P2293="","",INDEX(상세표[성명],$P2293)&amp;"")</f>
        <v/>
      </c>
      <c r="C2293">
        <f>IF($P2293="","",INDEX(상세표[부서],$P2293)&amp;"")</f>
        <v/>
      </c>
      <c r="D2293">
        <f>IF($P2293="","",INDEX(상세표[직위],$P2293)&amp;"")</f>
        <v/>
      </c>
      <c r="E2293">
        <f>IF($P2293="","",IF(ISNUMBER(INDEX(상세표[시작],$P2293)),TEXT(INDEX(상세표[시작],$P2293),"yyyy-mm-dd hh:mm"),INDEX(상세표[시작],$P2293)&amp;""))</f>
        <v/>
      </c>
      <c r="F2293">
        <f>IF($P2293="","",IF(ISNUMBER(INDEX(상세표[블록종료],$P2293)),TEXT(INDEX(상세표[블록종료],$P2293),"yyyy-mm-dd hh:mm"),INDEX(상세표[블록종료],$P2293)&amp;""))</f>
        <v/>
      </c>
      <c r="G2293">
        <f>IF($P2293="","",CHOOSE(WEEKDAY(INDEX(상세표[시작],$P2293)),"일","월","화","수","목","금","토"))</f>
        <v/>
      </c>
      <c r="H2293">
        <f>IF($P2293="","",INDEX(상세표[연속 시간],$P2293))</f>
        <v/>
      </c>
      <c r="I2293">
        <f>IF($P2293="","",INDEX(상세표[기록 수],$P2293))</f>
        <v/>
      </c>
      <c r="J2293">
        <f>IF($P2293="","",INDEX(상세표[블록 06~07시],$P2293))</f>
        <v/>
      </c>
      <c r="K2293">
        <f>IF($P2293="","",INDEX(상세표[블록 07~18시],$P2293))</f>
        <v/>
      </c>
      <c r="L2293">
        <f>IF($P2293="","",INDEX(상세표[블록 18~22시],$P2293))</f>
        <v/>
      </c>
      <c r="M2293">
        <f>IF($P2293="","",INDEX(상세표[블록 22~06시],$P2293))</f>
        <v/>
      </c>
      <c r="N2293">
        <f>IF($P2293="","",INDEX(상세표[주말·휴일 포함],$P2293)&amp;"")</f>
        <v/>
      </c>
      <c r="O2293">
        <f>IF($P2293="","",INDEX(상세표[월 넘김 포함],$P2293)&amp;"")</f>
        <v/>
      </c>
      <c r="P2293" s="4">
        <f>IFERROR(MATCH(2288,상세표[연속순번],0),"")</f>
        <v/>
      </c>
    </row>
    <row r="2294">
      <c r="A2294">
        <f>IF($P2294="","",INDEX(상세표[사번],$P2294)&amp;"")</f>
        <v/>
      </c>
      <c r="B2294">
        <f>IF($P2294="","",INDEX(상세표[성명],$P2294)&amp;"")</f>
        <v/>
      </c>
      <c r="C2294">
        <f>IF($P2294="","",INDEX(상세표[부서],$P2294)&amp;"")</f>
        <v/>
      </c>
      <c r="D2294">
        <f>IF($P2294="","",INDEX(상세표[직위],$P2294)&amp;"")</f>
        <v/>
      </c>
      <c r="E2294">
        <f>IF($P2294="","",IF(ISNUMBER(INDEX(상세표[시작],$P2294)),TEXT(INDEX(상세표[시작],$P2294),"yyyy-mm-dd hh:mm"),INDEX(상세표[시작],$P2294)&amp;""))</f>
        <v/>
      </c>
      <c r="F2294">
        <f>IF($P2294="","",IF(ISNUMBER(INDEX(상세표[블록종료],$P2294)),TEXT(INDEX(상세표[블록종료],$P2294),"yyyy-mm-dd hh:mm"),INDEX(상세표[블록종료],$P2294)&amp;""))</f>
        <v/>
      </c>
      <c r="G2294">
        <f>IF($P2294="","",CHOOSE(WEEKDAY(INDEX(상세표[시작],$P2294)),"일","월","화","수","목","금","토"))</f>
        <v/>
      </c>
      <c r="H2294">
        <f>IF($P2294="","",INDEX(상세표[연속 시간],$P2294))</f>
        <v/>
      </c>
      <c r="I2294">
        <f>IF($P2294="","",INDEX(상세표[기록 수],$P2294))</f>
        <v/>
      </c>
      <c r="J2294">
        <f>IF($P2294="","",INDEX(상세표[블록 06~07시],$P2294))</f>
        <v/>
      </c>
      <c r="K2294">
        <f>IF($P2294="","",INDEX(상세표[블록 07~18시],$P2294))</f>
        <v/>
      </c>
      <c r="L2294">
        <f>IF($P2294="","",INDEX(상세표[블록 18~22시],$P2294))</f>
        <v/>
      </c>
      <c r="M2294">
        <f>IF($P2294="","",INDEX(상세표[블록 22~06시],$P2294))</f>
        <v/>
      </c>
      <c r="N2294">
        <f>IF($P2294="","",INDEX(상세표[주말·휴일 포함],$P2294)&amp;"")</f>
        <v/>
      </c>
      <c r="O2294">
        <f>IF($P2294="","",INDEX(상세표[월 넘김 포함],$P2294)&amp;"")</f>
        <v/>
      </c>
      <c r="P2294" s="4">
        <f>IFERROR(MATCH(2289,상세표[연속순번],0),"")</f>
        <v/>
      </c>
    </row>
    <row r="2295">
      <c r="A2295">
        <f>IF($P2295="","",INDEX(상세표[사번],$P2295)&amp;"")</f>
        <v/>
      </c>
      <c r="B2295">
        <f>IF($P2295="","",INDEX(상세표[성명],$P2295)&amp;"")</f>
        <v/>
      </c>
      <c r="C2295">
        <f>IF($P2295="","",INDEX(상세표[부서],$P2295)&amp;"")</f>
        <v/>
      </c>
      <c r="D2295">
        <f>IF($P2295="","",INDEX(상세표[직위],$P2295)&amp;"")</f>
        <v/>
      </c>
      <c r="E2295">
        <f>IF($P2295="","",IF(ISNUMBER(INDEX(상세표[시작],$P2295)),TEXT(INDEX(상세표[시작],$P2295),"yyyy-mm-dd hh:mm"),INDEX(상세표[시작],$P2295)&amp;""))</f>
        <v/>
      </c>
      <c r="F2295">
        <f>IF($P2295="","",IF(ISNUMBER(INDEX(상세표[블록종료],$P2295)),TEXT(INDEX(상세표[블록종료],$P2295),"yyyy-mm-dd hh:mm"),INDEX(상세표[블록종료],$P2295)&amp;""))</f>
        <v/>
      </c>
      <c r="G2295">
        <f>IF($P2295="","",CHOOSE(WEEKDAY(INDEX(상세표[시작],$P2295)),"일","월","화","수","목","금","토"))</f>
        <v/>
      </c>
      <c r="H2295">
        <f>IF($P2295="","",INDEX(상세표[연속 시간],$P2295))</f>
        <v/>
      </c>
      <c r="I2295">
        <f>IF($P2295="","",INDEX(상세표[기록 수],$P2295))</f>
        <v/>
      </c>
      <c r="J2295">
        <f>IF($P2295="","",INDEX(상세표[블록 06~07시],$P2295))</f>
        <v/>
      </c>
      <c r="K2295">
        <f>IF($P2295="","",INDEX(상세표[블록 07~18시],$P2295))</f>
        <v/>
      </c>
      <c r="L2295">
        <f>IF($P2295="","",INDEX(상세표[블록 18~22시],$P2295))</f>
        <v/>
      </c>
      <c r="M2295">
        <f>IF($P2295="","",INDEX(상세표[블록 22~06시],$P2295))</f>
        <v/>
      </c>
      <c r="N2295">
        <f>IF($P2295="","",INDEX(상세표[주말·휴일 포함],$P2295)&amp;"")</f>
        <v/>
      </c>
      <c r="O2295">
        <f>IF($P2295="","",INDEX(상세표[월 넘김 포함],$P2295)&amp;"")</f>
        <v/>
      </c>
      <c r="P2295" s="4">
        <f>IFERROR(MATCH(2290,상세표[연속순번],0),"")</f>
        <v/>
      </c>
    </row>
    <row r="2296">
      <c r="A2296">
        <f>IF($P2296="","",INDEX(상세표[사번],$P2296)&amp;"")</f>
        <v/>
      </c>
      <c r="B2296">
        <f>IF($P2296="","",INDEX(상세표[성명],$P2296)&amp;"")</f>
        <v/>
      </c>
      <c r="C2296">
        <f>IF($P2296="","",INDEX(상세표[부서],$P2296)&amp;"")</f>
        <v/>
      </c>
      <c r="D2296">
        <f>IF($P2296="","",INDEX(상세표[직위],$P2296)&amp;"")</f>
        <v/>
      </c>
      <c r="E2296">
        <f>IF($P2296="","",IF(ISNUMBER(INDEX(상세표[시작],$P2296)),TEXT(INDEX(상세표[시작],$P2296),"yyyy-mm-dd hh:mm"),INDEX(상세표[시작],$P2296)&amp;""))</f>
        <v/>
      </c>
      <c r="F2296">
        <f>IF($P2296="","",IF(ISNUMBER(INDEX(상세표[블록종료],$P2296)),TEXT(INDEX(상세표[블록종료],$P2296),"yyyy-mm-dd hh:mm"),INDEX(상세표[블록종료],$P2296)&amp;""))</f>
        <v/>
      </c>
      <c r="G2296">
        <f>IF($P2296="","",CHOOSE(WEEKDAY(INDEX(상세표[시작],$P2296)),"일","월","화","수","목","금","토"))</f>
        <v/>
      </c>
      <c r="H2296">
        <f>IF($P2296="","",INDEX(상세표[연속 시간],$P2296))</f>
        <v/>
      </c>
      <c r="I2296">
        <f>IF($P2296="","",INDEX(상세표[기록 수],$P2296))</f>
        <v/>
      </c>
      <c r="J2296">
        <f>IF($P2296="","",INDEX(상세표[블록 06~07시],$P2296))</f>
        <v/>
      </c>
      <c r="K2296">
        <f>IF($P2296="","",INDEX(상세표[블록 07~18시],$P2296))</f>
        <v/>
      </c>
      <c r="L2296">
        <f>IF($P2296="","",INDEX(상세표[블록 18~22시],$P2296))</f>
        <v/>
      </c>
      <c r="M2296">
        <f>IF($P2296="","",INDEX(상세표[블록 22~06시],$P2296))</f>
        <v/>
      </c>
      <c r="N2296">
        <f>IF($P2296="","",INDEX(상세표[주말·휴일 포함],$P2296)&amp;"")</f>
        <v/>
      </c>
      <c r="O2296">
        <f>IF($P2296="","",INDEX(상세표[월 넘김 포함],$P2296)&amp;"")</f>
        <v/>
      </c>
      <c r="P2296" s="4">
        <f>IFERROR(MATCH(2291,상세표[연속순번],0),"")</f>
        <v/>
      </c>
    </row>
    <row r="2297">
      <c r="A2297">
        <f>IF($P2297="","",INDEX(상세표[사번],$P2297)&amp;"")</f>
        <v/>
      </c>
      <c r="B2297">
        <f>IF($P2297="","",INDEX(상세표[성명],$P2297)&amp;"")</f>
        <v/>
      </c>
      <c r="C2297">
        <f>IF($P2297="","",INDEX(상세표[부서],$P2297)&amp;"")</f>
        <v/>
      </c>
      <c r="D2297">
        <f>IF($P2297="","",INDEX(상세표[직위],$P2297)&amp;"")</f>
        <v/>
      </c>
      <c r="E2297">
        <f>IF($P2297="","",IF(ISNUMBER(INDEX(상세표[시작],$P2297)),TEXT(INDEX(상세표[시작],$P2297),"yyyy-mm-dd hh:mm"),INDEX(상세표[시작],$P2297)&amp;""))</f>
        <v/>
      </c>
      <c r="F2297">
        <f>IF($P2297="","",IF(ISNUMBER(INDEX(상세표[블록종료],$P2297)),TEXT(INDEX(상세표[블록종료],$P2297),"yyyy-mm-dd hh:mm"),INDEX(상세표[블록종료],$P2297)&amp;""))</f>
        <v/>
      </c>
      <c r="G2297">
        <f>IF($P2297="","",CHOOSE(WEEKDAY(INDEX(상세표[시작],$P2297)),"일","월","화","수","목","금","토"))</f>
        <v/>
      </c>
      <c r="H2297">
        <f>IF($P2297="","",INDEX(상세표[연속 시간],$P2297))</f>
        <v/>
      </c>
      <c r="I2297">
        <f>IF($P2297="","",INDEX(상세표[기록 수],$P2297))</f>
        <v/>
      </c>
      <c r="J2297">
        <f>IF($P2297="","",INDEX(상세표[블록 06~07시],$P2297))</f>
        <v/>
      </c>
      <c r="K2297">
        <f>IF($P2297="","",INDEX(상세표[블록 07~18시],$P2297))</f>
        <v/>
      </c>
      <c r="L2297">
        <f>IF($P2297="","",INDEX(상세표[블록 18~22시],$P2297))</f>
        <v/>
      </c>
      <c r="M2297">
        <f>IF($P2297="","",INDEX(상세표[블록 22~06시],$P2297))</f>
        <v/>
      </c>
      <c r="N2297">
        <f>IF($P2297="","",INDEX(상세표[주말·휴일 포함],$P2297)&amp;"")</f>
        <v/>
      </c>
      <c r="O2297">
        <f>IF($P2297="","",INDEX(상세표[월 넘김 포함],$P2297)&amp;"")</f>
        <v/>
      </c>
      <c r="P2297" s="4">
        <f>IFERROR(MATCH(2292,상세표[연속순번],0),"")</f>
        <v/>
      </c>
    </row>
    <row r="2298">
      <c r="A2298">
        <f>IF($P2298="","",INDEX(상세표[사번],$P2298)&amp;"")</f>
        <v/>
      </c>
      <c r="B2298">
        <f>IF($P2298="","",INDEX(상세표[성명],$P2298)&amp;"")</f>
        <v/>
      </c>
      <c r="C2298">
        <f>IF($P2298="","",INDEX(상세표[부서],$P2298)&amp;"")</f>
        <v/>
      </c>
      <c r="D2298">
        <f>IF($P2298="","",INDEX(상세표[직위],$P2298)&amp;"")</f>
        <v/>
      </c>
      <c r="E2298">
        <f>IF($P2298="","",IF(ISNUMBER(INDEX(상세표[시작],$P2298)),TEXT(INDEX(상세표[시작],$P2298),"yyyy-mm-dd hh:mm"),INDEX(상세표[시작],$P2298)&amp;""))</f>
        <v/>
      </c>
      <c r="F2298">
        <f>IF($P2298="","",IF(ISNUMBER(INDEX(상세표[블록종료],$P2298)),TEXT(INDEX(상세표[블록종료],$P2298),"yyyy-mm-dd hh:mm"),INDEX(상세표[블록종료],$P2298)&amp;""))</f>
        <v/>
      </c>
      <c r="G2298">
        <f>IF($P2298="","",CHOOSE(WEEKDAY(INDEX(상세표[시작],$P2298)),"일","월","화","수","목","금","토"))</f>
        <v/>
      </c>
      <c r="H2298">
        <f>IF($P2298="","",INDEX(상세표[연속 시간],$P2298))</f>
        <v/>
      </c>
      <c r="I2298">
        <f>IF($P2298="","",INDEX(상세표[기록 수],$P2298))</f>
        <v/>
      </c>
      <c r="J2298">
        <f>IF($P2298="","",INDEX(상세표[블록 06~07시],$P2298))</f>
        <v/>
      </c>
      <c r="K2298">
        <f>IF($P2298="","",INDEX(상세표[블록 07~18시],$P2298))</f>
        <v/>
      </c>
      <c r="L2298">
        <f>IF($P2298="","",INDEX(상세표[블록 18~22시],$P2298))</f>
        <v/>
      </c>
      <c r="M2298">
        <f>IF($P2298="","",INDEX(상세표[블록 22~06시],$P2298))</f>
        <v/>
      </c>
      <c r="N2298">
        <f>IF($P2298="","",INDEX(상세표[주말·휴일 포함],$P2298)&amp;"")</f>
        <v/>
      </c>
      <c r="O2298">
        <f>IF($P2298="","",INDEX(상세표[월 넘김 포함],$P2298)&amp;"")</f>
        <v/>
      </c>
      <c r="P2298" s="4">
        <f>IFERROR(MATCH(2293,상세표[연속순번],0),"")</f>
        <v/>
      </c>
    </row>
    <row r="2299">
      <c r="A2299">
        <f>IF($P2299="","",INDEX(상세표[사번],$P2299)&amp;"")</f>
        <v/>
      </c>
      <c r="B2299">
        <f>IF($P2299="","",INDEX(상세표[성명],$P2299)&amp;"")</f>
        <v/>
      </c>
      <c r="C2299">
        <f>IF($P2299="","",INDEX(상세표[부서],$P2299)&amp;"")</f>
        <v/>
      </c>
      <c r="D2299">
        <f>IF($P2299="","",INDEX(상세표[직위],$P2299)&amp;"")</f>
        <v/>
      </c>
      <c r="E2299">
        <f>IF($P2299="","",IF(ISNUMBER(INDEX(상세표[시작],$P2299)),TEXT(INDEX(상세표[시작],$P2299),"yyyy-mm-dd hh:mm"),INDEX(상세표[시작],$P2299)&amp;""))</f>
        <v/>
      </c>
      <c r="F2299">
        <f>IF($P2299="","",IF(ISNUMBER(INDEX(상세표[블록종료],$P2299)),TEXT(INDEX(상세표[블록종료],$P2299),"yyyy-mm-dd hh:mm"),INDEX(상세표[블록종료],$P2299)&amp;""))</f>
        <v/>
      </c>
      <c r="G2299">
        <f>IF($P2299="","",CHOOSE(WEEKDAY(INDEX(상세표[시작],$P2299)),"일","월","화","수","목","금","토"))</f>
        <v/>
      </c>
      <c r="H2299">
        <f>IF($P2299="","",INDEX(상세표[연속 시간],$P2299))</f>
        <v/>
      </c>
      <c r="I2299">
        <f>IF($P2299="","",INDEX(상세표[기록 수],$P2299))</f>
        <v/>
      </c>
      <c r="J2299">
        <f>IF($P2299="","",INDEX(상세표[블록 06~07시],$P2299))</f>
        <v/>
      </c>
      <c r="K2299">
        <f>IF($P2299="","",INDEX(상세표[블록 07~18시],$P2299))</f>
        <v/>
      </c>
      <c r="L2299">
        <f>IF($P2299="","",INDEX(상세표[블록 18~22시],$P2299))</f>
        <v/>
      </c>
      <c r="M2299">
        <f>IF($P2299="","",INDEX(상세표[블록 22~06시],$P2299))</f>
        <v/>
      </c>
      <c r="N2299">
        <f>IF($P2299="","",INDEX(상세표[주말·휴일 포함],$P2299)&amp;"")</f>
        <v/>
      </c>
      <c r="O2299">
        <f>IF($P2299="","",INDEX(상세표[월 넘김 포함],$P2299)&amp;"")</f>
        <v/>
      </c>
      <c r="P2299" s="4">
        <f>IFERROR(MATCH(2294,상세표[연속순번],0),"")</f>
        <v/>
      </c>
    </row>
    <row r="2300">
      <c r="A2300">
        <f>IF($P2300="","",INDEX(상세표[사번],$P2300)&amp;"")</f>
        <v/>
      </c>
      <c r="B2300">
        <f>IF($P2300="","",INDEX(상세표[성명],$P2300)&amp;"")</f>
        <v/>
      </c>
      <c r="C2300">
        <f>IF($P2300="","",INDEX(상세표[부서],$P2300)&amp;"")</f>
        <v/>
      </c>
      <c r="D2300">
        <f>IF($P2300="","",INDEX(상세표[직위],$P2300)&amp;"")</f>
        <v/>
      </c>
      <c r="E2300">
        <f>IF($P2300="","",IF(ISNUMBER(INDEX(상세표[시작],$P2300)),TEXT(INDEX(상세표[시작],$P2300),"yyyy-mm-dd hh:mm"),INDEX(상세표[시작],$P2300)&amp;""))</f>
        <v/>
      </c>
      <c r="F2300">
        <f>IF($P2300="","",IF(ISNUMBER(INDEX(상세표[블록종료],$P2300)),TEXT(INDEX(상세표[블록종료],$P2300),"yyyy-mm-dd hh:mm"),INDEX(상세표[블록종료],$P2300)&amp;""))</f>
        <v/>
      </c>
      <c r="G2300">
        <f>IF($P2300="","",CHOOSE(WEEKDAY(INDEX(상세표[시작],$P2300)),"일","월","화","수","목","금","토"))</f>
        <v/>
      </c>
      <c r="H2300">
        <f>IF($P2300="","",INDEX(상세표[연속 시간],$P2300))</f>
        <v/>
      </c>
      <c r="I2300">
        <f>IF($P2300="","",INDEX(상세표[기록 수],$P2300))</f>
        <v/>
      </c>
      <c r="J2300">
        <f>IF($P2300="","",INDEX(상세표[블록 06~07시],$P2300))</f>
        <v/>
      </c>
      <c r="K2300">
        <f>IF($P2300="","",INDEX(상세표[블록 07~18시],$P2300))</f>
        <v/>
      </c>
      <c r="L2300">
        <f>IF($P2300="","",INDEX(상세표[블록 18~22시],$P2300))</f>
        <v/>
      </c>
      <c r="M2300">
        <f>IF($P2300="","",INDEX(상세표[블록 22~06시],$P2300))</f>
        <v/>
      </c>
      <c r="N2300">
        <f>IF($P2300="","",INDEX(상세표[주말·휴일 포함],$P2300)&amp;"")</f>
        <v/>
      </c>
      <c r="O2300">
        <f>IF($P2300="","",INDEX(상세표[월 넘김 포함],$P2300)&amp;"")</f>
        <v/>
      </c>
      <c r="P2300" s="4">
        <f>IFERROR(MATCH(2295,상세표[연속순번],0),"")</f>
        <v/>
      </c>
    </row>
    <row r="2301">
      <c r="A2301">
        <f>IF($P2301="","",INDEX(상세표[사번],$P2301)&amp;"")</f>
        <v/>
      </c>
      <c r="B2301">
        <f>IF($P2301="","",INDEX(상세표[성명],$P2301)&amp;"")</f>
        <v/>
      </c>
      <c r="C2301">
        <f>IF($P2301="","",INDEX(상세표[부서],$P2301)&amp;"")</f>
        <v/>
      </c>
      <c r="D2301">
        <f>IF($P2301="","",INDEX(상세표[직위],$P2301)&amp;"")</f>
        <v/>
      </c>
      <c r="E2301">
        <f>IF($P2301="","",IF(ISNUMBER(INDEX(상세표[시작],$P2301)),TEXT(INDEX(상세표[시작],$P2301),"yyyy-mm-dd hh:mm"),INDEX(상세표[시작],$P2301)&amp;""))</f>
        <v/>
      </c>
      <c r="F2301">
        <f>IF($P2301="","",IF(ISNUMBER(INDEX(상세표[블록종료],$P2301)),TEXT(INDEX(상세표[블록종료],$P2301),"yyyy-mm-dd hh:mm"),INDEX(상세표[블록종료],$P2301)&amp;""))</f>
        <v/>
      </c>
      <c r="G2301">
        <f>IF($P2301="","",CHOOSE(WEEKDAY(INDEX(상세표[시작],$P2301)),"일","월","화","수","목","금","토"))</f>
        <v/>
      </c>
      <c r="H2301">
        <f>IF($P2301="","",INDEX(상세표[연속 시간],$P2301))</f>
        <v/>
      </c>
      <c r="I2301">
        <f>IF($P2301="","",INDEX(상세표[기록 수],$P2301))</f>
        <v/>
      </c>
      <c r="J2301">
        <f>IF($P2301="","",INDEX(상세표[블록 06~07시],$P2301))</f>
        <v/>
      </c>
      <c r="K2301">
        <f>IF($P2301="","",INDEX(상세표[블록 07~18시],$P2301))</f>
        <v/>
      </c>
      <c r="L2301">
        <f>IF($P2301="","",INDEX(상세표[블록 18~22시],$P2301))</f>
        <v/>
      </c>
      <c r="M2301">
        <f>IF($P2301="","",INDEX(상세표[블록 22~06시],$P2301))</f>
        <v/>
      </c>
      <c r="N2301">
        <f>IF($P2301="","",INDEX(상세표[주말·휴일 포함],$P2301)&amp;"")</f>
        <v/>
      </c>
      <c r="O2301">
        <f>IF($P2301="","",INDEX(상세표[월 넘김 포함],$P2301)&amp;"")</f>
        <v/>
      </c>
      <c r="P2301" s="4">
        <f>IFERROR(MATCH(2296,상세표[연속순번],0),"")</f>
        <v/>
      </c>
    </row>
    <row r="2302">
      <c r="A2302">
        <f>IF($P2302="","",INDEX(상세표[사번],$P2302)&amp;"")</f>
        <v/>
      </c>
      <c r="B2302">
        <f>IF($P2302="","",INDEX(상세표[성명],$P2302)&amp;"")</f>
        <v/>
      </c>
      <c r="C2302">
        <f>IF($P2302="","",INDEX(상세표[부서],$P2302)&amp;"")</f>
        <v/>
      </c>
      <c r="D2302">
        <f>IF($P2302="","",INDEX(상세표[직위],$P2302)&amp;"")</f>
        <v/>
      </c>
      <c r="E2302">
        <f>IF($P2302="","",IF(ISNUMBER(INDEX(상세표[시작],$P2302)),TEXT(INDEX(상세표[시작],$P2302),"yyyy-mm-dd hh:mm"),INDEX(상세표[시작],$P2302)&amp;""))</f>
        <v/>
      </c>
      <c r="F2302">
        <f>IF($P2302="","",IF(ISNUMBER(INDEX(상세표[블록종료],$P2302)),TEXT(INDEX(상세표[블록종료],$P2302),"yyyy-mm-dd hh:mm"),INDEX(상세표[블록종료],$P2302)&amp;""))</f>
        <v/>
      </c>
      <c r="G2302">
        <f>IF($P2302="","",CHOOSE(WEEKDAY(INDEX(상세표[시작],$P2302)),"일","월","화","수","목","금","토"))</f>
        <v/>
      </c>
      <c r="H2302">
        <f>IF($P2302="","",INDEX(상세표[연속 시간],$P2302))</f>
        <v/>
      </c>
      <c r="I2302">
        <f>IF($P2302="","",INDEX(상세표[기록 수],$P2302))</f>
        <v/>
      </c>
      <c r="J2302">
        <f>IF($P2302="","",INDEX(상세표[블록 06~07시],$P2302))</f>
        <v/>
      </c>
      <c r="K2302">
        <f>IF($P2302="","",INDEX(상세표[블록 07~18시],$P2302))</f>
        <v/>
      </c>
      <c r="L2302">
        <f>IF($P2302="","",INDEX(상세표[블록 18~22시],$P2302))</f>
        <v/>
      </c>
      <c r="M2302">
        <f>IF($P2302="","",INDEX(상세표[블록 22~06시],$P2302))</f>
        <v/>
      </c>
      <c r="N2302">
        <f>IF($P2302="","",INDEX(상세표[주말·휴일 포함],$P2302)&amp;"")</f>
        <v/>
      </c>
      <c r="O2302">
        <f>IF($P2302="","",INDEX(상세표[월 넘김 포함],$P2302)&amp;"")</f>
        <v/>
      </c>
      <c r="P2302" s="4">
        <f>IFERROR(MATCH(2297,상세표[연속순번],0),"")</f>
        <v/>
      </c>
    </row>
    <row r="2303">
      <c r="A2303">
        <f>IF($P2303="","",INDEX(상세표[사번],$P2303)&amp;"")</f>
        <v/>
      </c>
      <c r="B2303">
        <f>IF($P2303="","",INDEX(상세표[성명],$P2303)&amp;"")</f>
        <v/>
      </c>
      <c r="C2303">
        <f>IF($P2303="","",INDEX(상세표[부서],$P2303)&amp;"")</f>
        <v/>
      </c>
      <c r="D2303">
        <f>IF($P2303="","",INDEX(상세표[직위],$P2303)&amp;"")</f>
        <v/>
      </c>
      <c r="E2303">
        <f>IF($P2303="","",IF(ISNUMBER(INDEX(상세표[시작],$P2303)),TEXT(INDEX(상세표[시작],$P2303),"yyyy-mm-dd hh:mm"),INDEX(상세표[시작],$P2303)&amp;""))</f>
        <v/>
      </c>
      <c r="F2303">
        <f>IF($P2303="","",IF(ISNUMBER(INDEX(상세표[블록종료],$P2303)),TEXT(INDEX(상세표[블록종료],$P2303),"yyyy-mm-dd hh:mm"),INDEX(상세표[블록종료],$P2303)&amp;""))</f>
        <v/>
      </c>
      <c r="G2303">
        <f>IF($P2303="","",CHOOSE(WEEKDAY(INDEX(상세표[시작],$P2303)),"일","월","화","수","목","금","토"))</f>
        <v/>
      </c>
      <c r="H2303">
        <f>IF($P2303="","",INDEX(상세표[연속 시간],$P2303))</f>
        <v/>
      </c>
      <c r="I2303">
        <f>IF($P2303="","",INDEX(상세표[기록 수],$P2303))</f>
        <v/>
      </c>
      <c r="J2303">
        <f>IF($P2303="","",INDEX(상세표[블록 06~07시],$P2303))</f>
        <v/>
      </c>
      <c r="K2303">
        <f>IF($P2303="","",INDEX(상세표[블록 07~18시],$P2303))</f>
        <v/>
      </c>
      <c r="L2303">
        <f>IF($P2303="","",INDEX(상세표[블록 18~22시],$P2303))</f>
        <v/>
      </c>
      <c r="M2303">
        <f>IF($P2303="","",INDEX(상세표[블록 22~06시],$P2303))</f>
        <v/>
      </c>
      <c r="N2303">
        <f>IF($P2303="","",INDEX(상세표[주말·휴일 포함],$P2303)&amp;"")</f>
        <v/>
      </c>
      <c r="O2303">
        <f>IF($P2303="","",INDEX(상세표[월 넘김 포함],$P2303)&amp;"")</f>
        <v/>
      </c>
      <c r="P2303" s="4">
        <f>IFERROR(MATCH(2298,상세표[연속순번],0),"")</f>
        <v/>
      </c>
    </row>
    <row r="2304">
      <c r="A2304">
        <f>IF($P2304="","",INDEX(상세표[사번],$P2304)&amp;"")</f>
        <v/>
      </c>
      <c r="B2304">
        <f>IF($P2304="","",INDEX(상세표[성명],$P2304)&amp;"")</f>
        <v/>
      </c>
      <c r="C2304">
        <f>IF($P2304="","",INDEX(상세표[부서],$P2304)&amp;"")</f>
        <v/>
      </c>
      <c r="D2304">
        <f>IF($P2304="","",INDEX(상세표[직위],$P2304)&amp;"")</f>
        <v/>
      </c>
      <c r="E2304">
        <f>IF($P2304="","",IF(ISNUMBER(INDEX(상세표[시작],$P2304)),TEXT(INDEX(상세표[시작],$P2304),"yyyy-mm-dd hh:mm"),INDEX(상세표[시작],$P2304)&amp;""))</f>
        <v/>
      </c>
      <c r="F2304">
        <f>IF($P2304="","",IF(ISNUMBER(INDEX(상세표[블록종료],$P2304)),TEXT(INDEX(상세표[블록종료],$P2304),"yyyy-mm-dd hh:mm"),INDEX(상세표[블록종료],$P2304)&amp;""))</f>
        <v/>
      </c>
      <c r="G2304">
        <f>IF($P2304="","",CHOOSE(WEEKDAY(INDEX(상세표[시작],$P2304)),"일","월","화","수","목","금","토"))</f>
        <v/>
      </c>
      <c r="H2304">
        <f>IF($P2304="","",INDEX(상세표[연속 시간],$P2304))</f>
        <v/>
      </c>
      <c r="I2304">
        <f>IF($P2304="","",INDEX(상세표[기록 수],$P2304))</f>
        <v/>
      </c>
      <c r="J2304">
        <f>IF($P2304="","",INDEX(상세표[블록 06~07시],$P2304))</f>
        <v/>
      </c>
      <c r="K2304">
        <f>IF($P2304="","",INDEX(상세표[블록 07~18시],$P2304))</f>
        <v/>
      </c>
      <c r="L2304">
        <f>IF($P2304="","",INDEX(상세표[블록 18~22시],$P2304))</f>
        <v/>
      </c>
      <c r="M2304">
        <f>IF($P2304="","",INDEX(상세표[블록 22~06시],$P2304))</f>
        <v/>
      </c>
      <c r="N2304">
        <f>IF($P2304="","",INDEX(상세표[주말·휴일 포함],$P2304)&amp;"")</f>
        <v/>
      </c>
      <c r="O2304">
        <f>IF($P2304="","",INDEX(상세표[월 넘김 포함],$P2304)&amp;"")</f>
        <v/>
      </c>
      <c r="P2304" s="4">
        <f>IFERROR(MATCH(2299,상세표[연속순번],0),"")</f>
        <v/>
      </c>
    </row>
    <row r="2305">
      <c r="A2305">
        <f>IF($P2305="","",INDEX(상세표[사번],$P2305)&amp;"")</f>
        <v/>
      </c>
      <c r="B2305">
        <f>IF($P2305="","",INDEX(상세표[성명],$P2305)&amp;"")</f>
        <v/>
      </c>
      <c r="C2305">
        <f>IF($P2305="","",INDEX(상세표[부서],$P2305)&amp;"")</f>
        <v/>
      </c>
      <c r="D2305">
        <f>IF($P2305="","",INDEX(상세표[직위],$P2305)&amp;"")</f>
        <v/>
      </c>
      <c r="E2305">
        <f>IF($P2305="","",IF(ISNUMBER(INDEX(상세표[시작],$P2305)),TEXT(INDEX(상세표[시작],$P2305),"yyyy-mm-dd hh:mm"),INDEX(상세표[시작],$P2305)&amp;""))</f>
        <v/>
      </c>
      <c r="F2305">
        <f>IF($P2305="","",IF(ISNUMBER(INDEX(상세표[블록종료],$P2305)),TEXT(INDEX(상세표[블록종료],$P2305),"yyyy-mm-dd hh:mm"),INDEX(상세표[블록종료],$P2305)&amp;""))</f>
        <v/>
      </c>
      <c r="G2305">
        <f>IF($P2305="","",CHOOSE(WEEKDAY(INDEX(상세표[시작],$P2305)),"일","월","화","수","목","금","토"))</f>
        <v/>
      </c>
      <c r="H2305">
        <f>IF($P2305="","",INDEX(상세표[연속 시간],$P2305))</f>
        <v/>
      </c>
      <c r="I2305">
        <f>IF($P2305="","",INDEX(상세표[기록 수],$P2305))</f>
        <v/>
      </c>
      <c r="J2305">
        <f>IF($P2305="","",INDEX(상세표[블록 06~07시],$P2305))</f>
        <v/>
      </c>
      <c r="K2305">
        <f>IF($P2305="","",INDEX(상세표[블록 07~18시],$P2305))</f>
        <v/>
      </c>
      <c r="L2305">
        <f>IF($P2305="","",INDEX(상세표[블록 18~22시],$P2305))</f>
        <v/>
      </c>
      <c r="M2305">
        <f>IF($P2305="","",INDEX(상세표[블록 22~06시],$P2305))</f>
        <v/>
      </c>
      <c r="N2305">
        <f>IF($P2305="","",INDEX(상세표[주말·휴일 포함],$P2305)&amp;"")</f>
        <v/>
      </c>
      <c r="O2305">
        <f>IF($P2305="","",INDEX(상세표[월 넘김 포함],$P2305)&amp;"")</f>
        <v/>
      </c>
      <c r="P2305" s="4">
        <f>IFERROR(MATCH(2300,상세표[연속순번],0),"")</f>
        <v/>
      </c>
    </row>
    <row r="2306">
      <c r="A2306">
        <f>IF($P2306="","",INDEX(상세표[사번],$P2306)&amp;"")</f>
        <v/>
      </c>
      <c r="B2306">
        <f>IF($P2306="","",INDEX(상세표[성명],$P2306)&amp;"")</f>
        <v/>
      </c>
      <c r="C2306">
        <f>IF($P2306="","",INDEX(상세표[부서],$P2306)&amp;"")</f>
        <v/>
      </c>
      <c r="D2306">
        <f>IF($P2306="","",INDEX(상세표[직위],$P2306)&amp;"")</f>
        <v/>
      </c>
      <c r="E2306">
        <f>IF($P2306="","",IF(ISNUMBER(INDEX(상세표[시작],$P2306)),TEXT(INDEX(상세표[시작],$P2306),"yyyy-mm-dd hh:mm"),INDEX(상세표[시작],$P2306)&amp;""))</f>
        <v/>
      </c>
      <c r="F2306">
        <f>IF($P2306="","",IF(ISNUMBER(INDEX(상세표[블록종료],$P2306)),TEXT(INDEX(상세표[블록종료],$P2306),"yyyy-mm-dd hh:mm"),INDEX(상세표[블록종료],$P2306)&amp;""))</f>
        <v/>
      </c>
      <c r="G2306">
        <f>IF($P2306="","",CHOOSE(WEEKDAY(INDEX(상세표[시작],$P2306)),"일","월","화","수","목","금","토"))</f>
        <v/>
      </c>
      <c r="H2306">
        <f>IF($P2306="","",INDEX(상세표[연속 시간],$P2306))</f>
        <v/>
      </c>
      <c r="I2306">
        <f>IF($P2306="","",INDEX(상세표[기록 수],$P2306))</f>
        <v/>
      </c>
      <c r="J2306">
        <f>IF($P2306="","",INDEX(상세표[블록 06~07시],$P2306))</f>
        <v/>
      </c>
      <c r="K2306">
        <f>IF($P2306="","",INDEX(상세표[블록 07~18시],$P2306))</f>
        <v/>
      </c>
      <c r="L2306">
        <f>IF($P2306="","",INDEX(상세표[블록 18~22시],$P2306))</f>
        <v/>
      </c>
      <c r="M2306">
        <f>IF($P2306="","",INDEX(상세표[블록 22~06시],$P2306))</f>
        <v/>
      </c>
      <c r="N2306">
        <f>IF($P2306="","",INDEX(상세표[주말·휴일 포함],$P2306)&amp;"")</f>
        <v/>
      </c>
      <c r="O2306">
        <f>IF($P2306="","",INDEX(상세표[월 넘김 포함],$P2306)&amp;"")</f>
        <v/>
      </c>
      <c r="P2306" s="4">
        <f>IFERROR(MATCH(2301,상세표[연속순번],0),"")</f>
        <v/>
      </c>
    </row>
    <row r="2307">
      <c r="A2307">
        <f>IF($P2307="","",INDEX(상세표[사번],$P2307)&amp;"")</f>
        <v/>
      </c>
      <c r="B2307">
        <f>IF($P2307="","",INDEX(상세표[성명],$P2307)&amp;"")</f>
        <v/>
      </c>
      <c r="C2307">
        <f>IF($P2307="","",INDEX(상세표[부서],$P2307)&amp;"")</f>
        <v/>
      </c>
      <c r="D2307">
        <f>IF($P2307="","",INDEX(상세표[직위],$P2307)&amp;"")</f>
        <v/>
      </c>
      <c r="E2307">
        <f>IF($P2307="","",IF(ISNUMBER(INDEX(상세표[시작],$P2307)),TEXT(INDEX(상세표[시작],$P2307),"yyyy-mm-dd hh:mm"),INDEX(상세표[시작],$P2307)&amp;""))</f>
        <v/>
      </c>
      <c r="F2307">
        <f>IF($P2307="","",IF(ISNUMBER(INDEX(상세표[블록종료],$P2307)),TEXT(INDEX(상세표[블록종료],$P2307),"yyyy-mm-dd hh:mm"),INDEX(상세표[블록종료],$P2307)&amp;""))</f>
        <v/>
      </c>
      <c r="G2307">
        <f>IF($P2307="","",CHOOSE(WEEKDAY(INDEX(상세표[시작],$P2307)),"일","월","화","수","목","금","토"))</f>
        <v/>
      </c>
      <c r="H2307">
        <f>IF($P2307="","",INDEX(상세표[연속 시간],$P2307))</f>
        <v/>
      </c>
      <c r="I2307">
        <f>IF($P2307="","",INDEX(상세표[기록 수],$P2307))</f>
        <v/>
      </c>
      <c r="J2307">
        <f>IF($P2307="","",INDEX(상세표[블록 06~07시],$P2307))</f>
        <v/>
      </c>
      <c r="K2307">
        <f>IF($P2307="","",INDEX(상세표[블록 07~18시],$P2307))</f>
        <v/>
      </c>
      <c r="L2307">
        <f>IF($P2307="","",INDEX(상세표[블록 18~22시],$P2307))</f>
        <v/>
      </c>
      <c r="M2307">
        <f>IF($P2307="","",INDEX(상세표[블록 22~06시],$P2307))</f>
        <v/>
      </c>
      <c r="N2307">
        <f>IF($P2307="","",INDEX(상세표[주말·휴일 포함],$P2307)&amp;"")</f>
        <v/>
      </c>
      <c r="O2307">
        <f>IF($P2307="","",INDEX(상세표[월 넘김 포함],$P2307)&amp;"")</f>
        <v/>
      </c>
      <c r="P2307" s="4">
        <f>IFERROR(MATCH(2302,상세표[연속순번],0),"")</f>
        <v/>
      </c>
    </row>
    <row r="2308">
      <c r="A2308">
        <f>IF($P2308="","",INDEX(상세표[사번],$P2308)&amp;"")</f>
        <v/>
      </c>
      <c r="B2308">
        <f>IF($P2308="","",INDEX(상세표[성명],$P2308)&amp;"")</f>
        <v/>
      </c>
      <c r="C2308">
        <f>IF($P2308="","",INDEX(상세표[부서],$P2308)&amp;"")</f>
        <v/>
      </c>
      <c r="D2308">
        <f>IF($P2308="","",INDEX(상세표[직위],$P2308)&amp;"")</f>
        <v/>
      </c>
      <c r="E2308">
        <f>IF($P2308="","",IF(ISNUMBER(INDEX(상세표[시작],$P2308)),TEXT(INDEX(상세표[시작],$P2308),"yyyy-mm-dd hh:mm"),INDEX(상세표[시작],$P2308)&amp;""))</f>
        <v/>
      </c>
      <c r="F2308">
        <f>IF($P2308="","",IF(ISNUMBER(INDEX(상세표[블록종료],$P2308)),TEXT(INDEX(상세표[블록종료],$P2308),"yyyy-mm-dd hh:mm"),INDEX(상세표[블록종료],$P2308)&amp;""))</f>
        <v/>
      </c>
      <c r="G2308">
        <f>IF($P2308="","",CHOOSE(WEEKDAY(INDEX(상세표[시작],$P2308)),"일","월","화","수","목","금","토"))</f>
        <v/>
      </c>
      <c r="H2308">
        <f>IF($P2308="","",INDEX(상세표[연속 시간],$P2308))</f>
        <v/>
      </c>
      <c r="I2308">
        <f>IF($P2308="","",INDEX(상세표[기록 수],$P2308))</f>
        <v/>
      </c>
      <c r="J2308">
        <f>IF($P2308="","",INDEX(상세표[블록 06~07시],$P2308))</f>
        <v/>
      </c>
      <c r="K2308">
        <f>IF($P2308="","",INDEX(상세표[블록 07~18시],$P2308))</f>
        <v/>
      </c>
      <c r="L2308">
        <f>IF($P2308="","",INDEX(상세표[블록 18~22시],$P2308))</f>
        <v/>
      </c>
      <c r="M2308">
        <f>IF($P2308="","",INDEX(상세표[블록 22~06시],$P2308))</f>
        <v/>
      </c>
      <c r="N2308">
        <f>IF($P2308="","",INDEX(상세표[주말·휴일 포함],$P2308)&amp;"")</f>
        <v/>
      </c>
      <c r="O2308">
        <f>IF($P2308="","",INDEX(상세표[월 넘김 포함],$P2308)&amp;"")</f>
        <v/>
      </c>
      <c r="P2308" s="4">
        <f>IFERROR(MATCH(2303,상세표[연속순번],0),"")</f>
        <v/>
      </c>
    </row>
    <row r="2309">
      <c r="A2309">
        <f>IF($P2309="","",INDEX(상세표[사번],$P2309)&amp;"")</f>
        <v/>
      </c>
      <c r="B2309">
        <f>IF($P2309="","",INDEX(상세표[성명],$P2309)&amp;"")</f>
        <v/>
      </c>
      <c r="C2309">
        <f>IF($P2309="","",INDEX(상세표[부서],$P2309)&amp;"")</f>
        <v/>
      </c>
      <c r="D2309">
        <f>IF($P2309="","",INDEX(상세표[직위],$P2309)&amp;"")</f>
        <v/>
      </c>
      <c r="E2309">
        <f>IF($P2309="","",IF(ISNUMBER(INDEX(상세표[시작],$P2309)),TEXT(INDEX(상세표[시작],$P2309),"yyyy-mm-dd hh:mm"),INDEX(상세표[시작],$P2309)&amp;""))</f>
        <v/>
      </c>
      <c r="F2309">
        <f>IF($P2309="","",IF(ISNUMBER(INDEX(상세표[블록종료],$P2309)),TEXT(INDEX(상세표[블록종료],$P2309),"yyyy-mm-dd hh:mm"),INDEX(상세표[블록종료],$P2309)&amp;""))</f>
        <v/>
      </c>
      <c r="G2309">
        <f>IF($P2309="","",CHOOSE(WEEKDAY(INDEX(상세표[시작],$P2309)),"일","월","화","수","목","금","토"))</f>
        <v/>
      </c>
      <c r="H2309">
        <f>IF($P2309="","",INDEX(상세표[연속 시간],$P2309))</f>
        <v/>
      </c>
      <c r="I2309">
        <f>IF($P2309="","",INDEX(상세표[기록 수],$P2309))</f>
        <v/>
      </c>
      <c r="J2309">
        <f>IF($P2309="","",INDEX(상세표[블록 06~07시],$P2309))</f>
        <v/>
      </c>
      <c r="K2309">
        <f>IF($P2309="","",INDEX(상세표[블록 07~18시],$P2309))</f>
        <v/>
      </c>
      <c r="L2309">
        <f>IF($P2309="","",INDEX(상세표[블록 18~22시],$P2309))</f>
        <v/>
      </c>
      <c r="M2309">
        <f>IF($P2309="","",INDEX(상세표[블록 22~06시],$P2309))</f>
        <v/>
      </c>
      <c r="N2309">
        <f>IF($P2309="","",INDEX(상세표[주말·휴일 포함],$P2309)&amp;"")</f>
        <v/>
      </c>
      <c r="O2309">
        <f>IF($P2309="","",INDEX(상세표[월 넘김 포함],$P2309)&amp;"")</f>
        <v/>
      </c>
      <c r="P2309" s="4">
        <f>IFERROR(MATCH(2304,상세표[연속순번],0),"")</f>
        <v/>
      </c>
    </row>
    <row r="2310">
      <c r="A2310">
        <f>IF($P2310="","",INDEX(상세표[사번],$P2310)&amp;"")</f>
        <v/>
      </c>
      <c r="B2310">
        <f>IF($P2310="","",INDEX(상세표[성명],$P2310)&amp;"")</f>
        <v/>
      </c>
      <c r="C2310">
        <f>IF($P2310="","",INDEX(상세표[부서],$P2310)&amp;"")</f>
        <v/>
      </c>
      <c r="D2310">
        <f>IF($P2310="","",INDEX(상세표[직위],$P2310)&amp;"")</f>
        <v/>
      </c>
      <c r="E2310">
        <f>IF($P2310="","",IF(ISNUMBER(INDEX(상세표[시작],$P2310)),TEXT(INDEX(상세표[시작],$P2310),"yyyy-mm-dd hh:mm"),INDEX(상세표[시작],$P2310)&amp;""))</f>
        <v/>
      </c>
      <c r="F2310">
        <f>IF($P2310="","",IF(ISNUMBER(INDEX(상세표[블록종료],$P2310)),TEXT(INDEX(상세표[블록종료],$P2310),"yyyy-mm-dd hh:mm"),INDEX(상세표[블록종료],$P2310)&amp;""))</f>
        <v/>
      </c>
      <c r="G2310">
        <f>IF($P2310="","",CHOOSE(WEEKDAY(INDEX(상세표[시작],$P2310)),"일","월","화","수","목","금","토"))</f>
        <v/>
      </c>
      <c r="H2310">
        <f>IF($P2310="","",INDEX(상세표[연속 시간],$P2310))</f>
        <v/>
      </c>
      <c r="I2310">
        <f>IF($P2310="","",INDEX(상세표[기록 수],$P2310))</f>
        <v/>
      </c>
      <c r="J2310">
        <f>IF($P2310="","",INDEX(상세표[블록 06~07시],$P2310))</f>
        <v/>
      </c>
      <c r="K2310">
        <f>IF($P2310="","",INDEX(상세표[블록 07~18시],$P2310))</f>
        <v/>
      </c>
      <c r="L2310">
        <f>IF($P2310="","",INDEX(상세표[블록 18~22시],$P2310))</f>
        <v/>
      </c>
      <c r="M2310">
        <f>IF($P2310="","",INDEX(상세표[블록 22~06시],$P2310))</f>
        <v/>
      </c>
      <c r="N2310">
        <f>IF($P2310="","",INDEX(상세표[주말·휴일 포함],$P2310)&amp;"")</f>
        <v/>
      </c>
      <c r="O2310">
        <f>IF($P2310="","",INDEX(상세표[월 넘김 포함],$P2310)&amp;"")</f>
        <v/>
      </c>
      <c r="P2310" s="4">
        <f>IFERROR(MATCH(2305,상세표[연속순번],0),"")</f>
        <v/>
      </c>
    </row>
    <row r="2311">
      <c r="A2311">
        <f>IF($P2311="","",INDEX(상세표[사번],$P2311)&amp;"")</f>
        <v/>
      </c>
      <c r="B2311">
        <f>IF($P2311="","",INDEX(상세표[성명],$P2311)&amp;"")</f>
        <v/>
      </c>
      <c r="C2311">
        <f>IF($P2311="","",INDEX(상세표[부서],$P2311)&amp;"")</f>
        <v/>
      </c>
      <c r="D2311">
        <f>IF($P2311="","",INDEX(상세표[직위],$P2311)&amp;"")</f>
        <v/>
      </c>
      <c r="E2311">
        <f>IF($P2311="","",IF(ISNUMBER(INDEX(상세표[시작],$P2311)),TEXT(INDEX(상세표[시작],$P2311),"yyyy-mm-dd hh:mm"),INDEX(상세표[시작],$P2311)&amp;""))</f>
        <v/>
      </c>
      <c r="F2311">
        <f>IF($P2311="","",IF(ISNUMBER(INDEX(상세표[블록종료],$P2311)),TEXT(INDEX(상세표[블록종료],$P2311),"yyyy-mm-dd hh:mm"),INDEX(상세표[블록종료],$P2311)&amp;""))</f>
        <v/>
      </c>
      <c r="G2311">
        <f>IF($P2311="","",CHOOSE(WEEKDAY(INDEX(상세표[시작],$P2311)),"일","월","화","수","목","금","토"))</f>
        <v/>
      </c>
      <c r="H2311">
        <f>IF($P2311="","",INDEX(상세표[연속 시간],$P2311))</f>
        <v/>
      </c>
      <c r="I2311">
        <f>IF($P2311="","",INDEX(상세표[기록 수],$P2311))</f>
        <v/>
      </c>
      <c r="J2311">
        <f>IF($P2311="","",INDEX(상세표[블록 06~07시],$P2311))</f>
        <v/>
      </c>
      <c r="K2311">
        <f>IF($P2311="","",INDEX(상세표[블록 07~18시],$P2311))</f>
        <v/>
      </c>
      <c r="L2311">
        <f>IF($P2311="","",INDEX(상세표[블록 18~22시],$P2311))</f>
        <v/>
      </c>
      <c r="M2311">
        <f>IF($P2311="","",INDEX(상세표[블록 22~06시],$P2311))</f>
        <v/>
      </c>
      <c r="N2311">
        <f>IF($P2311="","",INDEX(상세표[주말·휴일 포함],$P2311)&amp;"")</f>
        <v/>
      </c>
      <c r="O2311">
        <f>IF($P2311="","",INDEX(상세표[월 넘김 포함],$P2311)&amp;"")</f>
        <v/>
      </c>
      <c r="P2311" s="4">
        <f>IFERROR(MATCH(2306,상세표[연속순번],0),"")</f>
        <v/>
      </c>
    </row>
    <row r="2312">
      <c r="A2312">
        <f>IF($P2312="","",INDEX(상세표[사번],$P2312)&amp;"")</f>
        <v/>
      </c>
      <c r="B2312">
        <f>IF($P2312="","",INDEX(상세표[성명],$P2312)&amp;"")</f>
        <v/>
      </c>
      <c r="C2312">
        <f>IF($P2312="","",INDEX(상세표[부서],$P2312)&amp;"")</f>
        <v/>
      </c>
      <c r="D2312">
        <f>IF($P2312="","",INDEX(상세표[직위],$P2312)&amp;"")</f>
        <v/>
      </c>
      <c r="E2312">
        <f>IF($P2312="","",IF(ISNUMBER(INDEX(상세표[시작],$P2312)),TEXT(INDEX(상세표[시작],$P2312),"yyyy-mm-dd hh:mm"),INDEX(상세표[시작],$P2312)&amp;""))</f>
        <v/>
      </c>
      <c r="F2312">
        <f>IF($P2312="","",IF(ISNUMBER(INDEX(상세표[블록종료],$P2312)),TEXT(INDEX(상세표[블록종료],$P2312),"yyyy-mm-dd hh:mm"),INDEX(상세표[블록종료],$P2312)&amp;""))</f>
        <v/>
      </c>
      <c r="G2312">
        <f>IF($P2312="","",CHOOSE(WEEKDAY(INDEX(상세표[시작],$P2312)),"일","월","화","수","목","금","토"))</f>
        <v/>
      </c>
      <c r="H2312">
        <f>IF($P2312="","",INDEX(상세표[연속 시간],$P2312))</f>
        <v/>
      </c>
      <c r="I2312">
        <f>IF($P2312="","",INDEX(상세표[기록 수],$P2312))</f>
        <v/>
      </c>
      <c r="J2312">
        <f>IF($P2312="","",INDEX(상세표[블록 06~07시],$P2312))</f>
        <v/>
      </c>
      <c r="K2312">
        <f>IF($P2312="","",INDEX(상세표[블록 07~18시],$P2312))</f>
        <v/>
      </c>
      <c r="L2312">
        <f>IF($P2312="","",INDEX(상세표[블록 18~22시],$P2312))</f>
        <v/>
      </c>
      <c r="M2312">
        <f>IF($P2312="","",INDEX(상세표[블록 22~06시],$P2312))</f>
        <v/>
      </c>
      <c r="N2312">
        <f>IF($P2312="","",INDEX(상세표[주말·휴일 포함],$P2312)&amp;"")</f>
        <v/>
      </c>
      <c r="O2312">
        <f>IF($P2312="","",INDEX(상세표[월 넘김 포함],$P2312)&amp;"")</f>
        <v/>
      </c>
      <c r="P2312" s="4">
        <f>IFERROR(MATCH(2307,상세표[연속순번],0),"")</f>
        <v/>
      </c>
    </row>
    <row r="2313">
      <c r="A2313">
        <f>IF($P2313="","",INDEX(상세표[사번],$P2313)&amp;"")</f>
        <v/>
      </c>
      <c r="B2313">
        <f>IF($P2313="","",INDEX(상세표[성명],$P2313)&amp;"")</f>
        <v/>
      </c>
      <c r="C2313">
        <f>IF($P2313="","",INDEX(상세표[부서],$P2313)&amp;"")</f>
        <v/>
      </c>
      <c r="D2313">
        <f>IF($P2313="","",INDEX(상세표[직위],$P2313)&amp;"")</f>
        <v/>
      </c>
      <c r="E2313">
        <f>IF($P2313="","",IF(ISNUMBER(INDEX(상세표[시작],$P2313)),TEXT(INDEX(상세표[시작],$P2313),"yyyy-mm-dd hh:mm"),INDEX(상세표[시작],$P2313)&amp;""))</f>
        <v/>
      </c>
      <c r="F2313">
        <f>IF($P2313="","",IF(ISNUMBER(INDEX(상세표[블록종료],$P2313)),TEXT(INDEX(상세표[블록종료],$P2313),"yyyy-mm-dd hh:mm"),INDEX(상세표[블록종료],$P2313)&amp;""))</f>
        <v/>
      </c>
      <c r="G2313">
        <f>IF($P2313="","",CHOOSE(WEEKDAY(INDEX(상세표[시작],$P2313)),"일","월","화","수","목","금","토"))</f>
        <v/>
      </c>
      <c r="H2313">
        <f>IF($P2313="","",INDEX(상세표[연속 시간],$P2313))</f>
        <v/>
      </c>
      <c r="I2313">
        <f>IF($P2313="","",INDEX(상세표[기록 수],$P2313))</f>
        <v/>
      </c>
      <c r="J2313">
        <f>IF($P2313="","",INDEX(상세표[블록 06~07시],$P2313))</f>
        <v/>
      </c>
      <c r="K2313">
        <f>IF($P2313="","",INDEX(상세표[블록 07~18시],$P2313))</f>
        <v/>
      </c>
      <c r="L2313">
        <f>IF($P2313="","",INDEX(상세표[블록 18~22시],$P2313))</f>
        <v/>
      </c>
      <c r="M2313">
        <f>IF($P2313="","",INDEX(상세표[블록 22~06시],$P2313))</f>
        <v/>
      </c>
      <c r="N2313">
        <f>IF($P2313="","",INDEX(상세표[주말·휴일 포함],$P2313)&amp;"")</f>
        <v/>
      </c>
      <c r="O2313">
        <f>IF($P2313="","",INDEX(상세표[월 넘김 포함],$P2313)&amp;"")</f>
        <v/>
      </c>
      <c r="P2313" s="4">
        <f>IFERROR(MATCH(2308,상세표[연속순번],0),"")</f>
        <v/>
      </c>
    </row>
    <row r="2314">
      <c r="A2314">
        <f>IF($P2314="","",INDEX(상세표[사번],$P2314)&amp;"")</f>
        <v/>
      </c>
      <c r="B2314">
        <f>IF($P2314="","",INDEX(상세표[성명],$P2314)&amp;"")</f>
        <v/>
      </c>
      <c r="C2314">
        <f>IF($P2314="","",INDEX(상세표[부서],$P2314)&amp;"")</f>
        <v/>
      </c>
      <c r="D2314">
        <f>IF($P2314="","",INDEX(상세표[직위],$P2314)&amp;"")</f>
        <v/>
      </c>
      <c r="E2314">
        <f>IF($P2314="","",IF(ISNUMBER(INDEX(상세표[시작],$P2314)),TEXT(INDEX(상세표[시작],$P2314),"yyyy-mm-dd hh:mm"),INDEX(상세표[시작],$P2314)&amp;""))</f>
        <v/>
      </c>
      <c r="F2314">
        <f>IF($P2314="","",IF(ISNUMBER(INDEX(상세표[블록종료],$P2314)),TEXT(INDEX(상세표[블록종료],$P2314),"yyyy-mm-dd hh:mm"),INDEX(상세표[블록종료],$P2314)&amp;""))</f>
        <v/>
      </c>
      <c r="G2314">
        <f>IF($P2314="","",CHOOSE(WEEKDAY(INDEX(상세표[시작],$P2314)),"일","월","화","수","목","금","토"))</f>
        <v/>
      </c>
      <c r="H2314">
        <f>IF($P2314="","",INDEX(상세표[연속 시간],$P2314))</f>
        <v/>
      </c>
      <c r="I2314">
        <f>IF($P2314="","",INDEX(상세표[기록 수],$P2314))</f>
        <v/>
      </c>
      <c r="J2314">
        <f>IF($P2314="","",INDEX(상세표[블록 06~07시],$P2314))</f>
        <v/>
      </c>
      <c r="K2314">
        <f>IF($P2314="","",INDEX(상세표[블록 07~18시],$P2314))</f>
        <v/>
      </c>
      <c r="L2314">
        <f>IF($P2314="","",INDEX(상세표[블록 18~22시],$P2314))</f>
        <v/>
      </c>
      <c r="M2314">
        <f>IF($P2314="","",INDEX(상세표[블록 22~06시],$P2314))</f>
        <v/>
      </c>
      <c r="N2314">
        <f>IF($P2314="","",INDEX(상세표[주말·휴일 포함],$P2314)&amp;"")</f>
        <v/>
      </c>
      <c r="O2314">
        <f>IF($P2314="","",INDEX(상세표[월 넘김 포함],$P2314)&amp;"")</f>
        <v/>
      </c>
      <c r="P2314" s="4">
        <f>IFERROR(MATCH(2309,상세표[연속순번],0),"")</f>
        <v/>
      </c>
    </row>
    <row r="2315">
      <c r="A2315">
        <f>IF($P2315="","",INDEX(상세표[사번],$P2315)&amp;"")</f>
        <v/>
      </c>
      <c r="B2315">
        <f>IF($P2315="","",INDEX(상세표[성명],$P2315)&amp;"")</f>
        <v/>
      </c>
      <c r="C2315">
        <f>IF($P2315="","",INDEX(상세표[부서],$P2315)&amp;"")</f>
        <v/>
      </c>
      <c r="D2315">
        <f>IF($P2315="","",INDEX(상세표[직위],$P2315)&amp;"")</f>
        <v/>
      </c>
      <c r="E2315">
        <f>IF($P2315="","",IF(ISNUMBER(INDEX(상세표[시작],$P2315)),TEXT(INDEX(상세표[시작],$P2315),"yyyy-mm-dd hh:mm"),INDEX(상세표[시작],$P2315)&amp;""))</f>
        <v/>
      </c>
      <c r="F2315">
        <f>IF($P2315="","",IF(ISNUMBER(INDEX(상세표[블록종료],$P2315)),TEXT(INDEX(상세표[블록종료],$P2315),"yyyy-mm-dd hh:mm"),INDEX(상세표[블록종료],$P2315)&amp;""))</f>
        <v/>
      </c>
      <c r="G2315">
        <f>IF($P2315="","",CHOOSE(WEEKDAY(INDEX(상세표[시작],$P2315)),"일","월","화","수","목","금","토"))</f>
        <v/>
      </c>
      <c r="H2315">
        <f>IF($P2315="","",INDEX(상세표[연속 시간],$P2315))</f>
        <v/>
      </c>
      <c r="I2315">
        <f>IF($P2315="","",INDEX(상세표[기록 수],$P2315))</f>
        <v/>
      </c>
      <c r="J2315">
        <f>IF($P2315="","",INDEX(상세표[블록 06~07시],$P2315))</f>
        <v/>
      </c>
      <c r="K2315">
        <f>IF($P2315="","",INDEX(상세표[블록 07~18시],$P2315))</f>
        <v/>
      </c>
      <c r="L2315">
        <f>IF($P2315="","",INDEX(상세표[블록 18~22시],$P2315))</f>
        <v/>
      </c>
      <c r="M2315">
        <f>IF($P2315="","",INDEX(상세표[블록 22~06시],$P2315))</f>
        <v/>
      </c>
      <c r="N2315">
        <f>IF($P2315="","",INDEX(상세표[주말·휴일 포함],$P2315)&amp;"")</f>
        <v/>
      </c>
      <c r="O2315">
        <f>IF($P2315="","",INDEX(상세표[월 넘김 포함],$P2315)&amp;"")</f>
        <v/>
      </c>
      <c r="P2315" s="4">
        <f>IFERROR(MATCH(2310,상세표[연속순번],0),"")</f>
        <v/>
      </c>
    </row>
    <row r="2316">
      <c r="A2316">
        <f>IF($P2316="","",INDEX(상세표[사번],$P2316)&amp;"")</f>
        <v/>
      </c>
      <c r="B2316">
        <f>IF($P2316="","",INDEX(상세표[성명],$P2316)&amp;"")</f>
        <v/>
      </c>
      <c r="C2316">
        <f>IF($P2316="","",INDEX(상세표[부서],$P2316)&amp;"")</f>
        <v/>
      </c>
      <c r="D2316">
        <f>IF($P2316="","",INDEX(상세표[직위],$P2316)&amp;"")</f>
        <v/>
      </c>
      <c r="E2316">
        <f>IF($P2316="","",IF(ISNUMBER(INDEX(상세표[시작],$P2316)),TEXT(INDEX(상세표[시작],$P2316),"yyyy-mm-dd hh:mm"),INDEX(상세표[시작],$P2316)&amp;""))</f>
        <v/>
      </c>
      <c r="F2316">
        <f>IF($P2316="","",IF(ISNUMBER(INDEX(상세표[블록종료],$P2316)),TEXT(INDEX(상세표[블록종료],$P2316),"yyyy-mm-dd hh:mm"),INDEX(상세표[블록종료],$P2316)&amp;""))</f>
        <v/>
      </c>
      <c r="G2316">
        <f>IF($P2316="","",CHOOSE(WEEKDAY(INDEX(상세표[시작],$P2316)),"일","월","화","수","목","금","토"))</f>
        <v/>
      </c>
      <c r="H2316">
        <f>IF($P2316="","",INDEX(상세표[연속 시간],$P2316))</f>
        <v/>
      </c>
      <c r="I2316">
        <f>IF($P2316="","",INDEX(상세표[기록 수],$P2316))</f>
        <v/>
      </c>
      <c r="J2316">
        <f>IF($P2316="","",INDEX(상세표[블록 06~07시],$P2316))</f>
        <v/>
      </c>
      <c r="K2316">
        <f>IF($P2316="","",INDEX(상세표[블록 07~18시],$P2316))</f>
        <v/>
      </c>
      <c r="L2316">
        <f>IF($P2316="","",INDEX(상세표[블록 18~22시],$P2316))</f>
        <v/>
      </c>
      <c r="M2316">
        <f>IF($P2316="","",INDEX(상세표[블록 22~06시],$P2316))</f>
        <v/>
      </c>
      <c r="N2316">
        <f>IF($P2316="","",INDEX(상세표[주말·휴일 포함],$P2316)&amp;"")</f>
        <v/>
      </c>
      <c r="O2316">
        <f>IF($P2316="","",INDEX(상세표[월 넘김 포함],$P2316)&amp;"")</f>
        <v/>
      </c>
      <c r="P2316" s="4">
        <f>IFERROR(MATCH(2311,상세표[연속순번],0),"")</f>
        <v/>
      </c>
    </row>
    <row r="2317">
      <c r="A2317">
        <f>IF($P2317="","",INDEX(상세표[사번],$P2317)&amp;"")</f>
        <v/>
      </c>
      <c r="B2317">
        <f>IF($P2317="","",INDEX(상세표[성명],$P2317)&amp;"")</f>
        <v/>
      </c>
      <c r="C2317">
        <f>IF($P2317="","",INDEX(상세표[부서],$P2317)&amp;"")</f>
        <v/>
      </c>
      <c r="D2317">
        <f>IF($P2317="","",INDEX(상세표[직위],$P2317)&amp;"")</f>
        <v/>
      </c>
      <c r="E2317">
        <f>IF($P2317="","",IF(ISNUMBER(INDEX(상세표[시작],$P2317)),TEXT(INDEX(상세표[시작],$P2317),"yyyy-mm-dd hh:mm"),INDEX(상세표[시작],$P2317)&amp;""))</f>
        <v/>
      </c>
      <c r="F2317">
        <f>IF($P2317="","",IF(ISNUMBER(INDEX(상세표[블록종료],$P2317)),TEXT(INDEX(상세표[블록종료],$P2317),"yyyy-mm-dd hh:mm"),INDEX(상세표[블록종료],$P2317)&amp;""))</f>
        <v/>
      </c>
      <c r="G2317">
        <f>IF($P2317="","",CHOOSE(WEEKDAY(INDEX(상세표[시작],$P2317)),"일","월","화","수","목","금","토"))</f>
        <v/>
      </c>
      <c r="H2317">
        <f>IF($P2317="","",INDEX(상세표[연속 시간],$P2317))</f>
        <v/>
      </c>
      <c r="I2317">
        <f>IF($P2317="","",INDEX(상세표[기록 수],$P2317))</f>
        <v/>
      </c>
      <c r="J2317">
        <f>IF($P2317="","",INDEX(상세표[블록 06~07시],$P2317))</f>
        <v/>
      </c>
      <c r="K2317">
        <f>IF($P2317="","",INDEX(상세표[블록 07~18시],$P2317))</f>
        <v/>
      </c>
      <c r="L2317">
        <f>IF($P2317="","",INDEX(상세표[블록 18~22시],$P2317))</f>
        <v/>
      </c>
      <c r="M2317">
        <f>IF($P2317="","",INDEX(상세표[블록 22~06시],$P2317))</f>
        <v/>
      </c>
      <c r="N2317">
        <f>IF($P2317="","",INDEX(상세표[주말·휴일 포함],$P2317)&amp;"")</f>
        <v/>
      </c>
      <c r="O2317">
        <f>IF($P2317="","",INDEX(상세표[월 넘김 포함],$P2317)&amp;"")</f>
        <v/>
      </c>
      <c r="P2317" s="4">
        <f>IFERROR(MATCH(2312,상세표[연속순번],0),"")</f>
        <v/>
      </c>
    </row>
    <row r="2318">
      <c r="A2318">
        <f>IF($P2318="","",INDEX(상세표[사번],$P2318)&amp;"")</f>
        <v/>
      </c>
      <c r="B2318">
        <f>IF($P2318="","",INDEX(상세표[성명],$P2318)&amp;"")</f>
        <v/>
      </c>
      <c r="C2318">
        <f>IF($P2318="","",INDEX(상세표[부서],$P2318)&amp;"")</f>
        <v/>
      </c>
      <c r="D2318">
        <f>IF($P2318="","",INDEX(상세표[직위],$P2318)&amp;"")</f>
        <v/>
      </c>
      <c r="E2318">
        <f>IF($P2318="","",IF(ISNUMBER(INDEX(상세표[시작],$P2318)),TEXT(INDEX(상세표[시작],$P2318),"yyyy-mm-dd hh:mm"),INDEX(상세표[시작],$P2318)&amp;""))</f>
        <v/>
      </c>
      <c r="F2318">
        <f>IF($P2318="","",IF(ISNUMBER(INDEX(상세표[블록종료],$P2318)),TEXT(INDEX(상세표[블록종료],$P2318),"yyyy-mm-dd hh:mm"),INDEX(상세표[블록종료],$P2318)&amp;""))</f>
        <v/>
      </c>
      <c r="G2318">
        <f>IF($P2318="","",CHOOSE(WEEKDAY(INDEX(상세표[시작],$P2318)),"일","월","화","수","목","금","토"))</f>
        <v/>
      </c>
      <c r="H2318">
        <f>IF($P2318="","",INDEX(상세표[연속 시간],$P2318))</f>
        <v/>
      </c>
      <c r="I2318">
        <f>IF($P2318="","",INDEX(상세표[기록 수],$P2318))</f>
        <v/>
      </c>
      <c r="J2318">
        <f>IF($P2318="","",INDEX(상세표[블록 06~07시],$P2318))</f>
        <v/>
      </c>
      <c r="K2318">
        <f>IF($P2318="","",INDEX(상세표[블록 07~18시],$P2318))</f>
        <v/>
      </c>
      <c r="L2318">
        <f>IF($P2318="","",INDEX(상세표[블록 18~22시],$P2318))</f>
        <v/>
      </c>
      <c r="M2318">
        <f>IF($P2318="","",INDEX(상세표[블록 22~06시],$P2318))</f>
        <v/>
      </c>
      <c r="N2318">
        <f>IF($P2318="","",INDEX(상세표[주말·휴일 포함],$P2318)&amp;"")</f>
        <v/>
      </c>
      <c r="O2318">
        <f>IF($P2318="","",INDEX(상세표[월 넘김 포함],$P2318)&amp;"")</f>
        <v/>
      </c>
      <c r="P2318" s="4">
        <f>IFERROR(MATCH(2313,상세표[연속순번],0),"")</f>
        <v/>
      </c>
    </row>
    <row r="2319">
      <c r="A2319">
        <f>IF($P2319="","",INDEX(상세표[사번],$P2319)&amp;"")</f>
        <v/>
      </c>
      <c r="B2319">
        <f>IF($P2319="","",INDEX(상세표[성명],$P2319)&amp;"")</f>
        <v/>
      </c>
      <c r="C2319">
        <f>IF($P2319="","",INDEX(상세표[부서],$P2319)&amp;"")</f>
        <v/>
      </c>
      <c r="D2319">
        <f>IF($P2319="","",INDEX(상세표[직위],$P2319)&amp;"")</f>
        <v/>
      </c>
      <c r="E2319">
        <f>IF($P2319="","",IF(ISNUMBER(INDEX(상세표[시작],$P2319)),TEXT(INDEX(상세표[시작],$P2319),"yyyy-mm-dd hh:mm"),INDEX(상세표[시작],$P2319)&amp;""))</f>
        <v/>
      </c>
      <c r="F2319">
        <f>IF($P2319="","",IF(ISNUMBER(INDEX(상세표[블록종료],$P2319)),TEXT(INDEX(상세표[블록종료],$P2319),"yyyy-mm-dd hh:mm"),INDEX(상세표[블록종료],$P2319)&amp;""))</f>
        <v/>
      </c>
      <c r="G2319">
        <f>IF($P2319="","",CHOOSE(WEEKDAY(INDEX(상세표[시작],$P2319)),"일","월","화","수","목","금","토"))</f>
        <v/>
      </c>
      <c r="H2319">
        <f>IF($P2319="","",INDEX(상세표[연속 시간],$P2319))</f>
        <v/>
      </c>
      <c r="I2319">
        <f>IF($P2319="","",INDEX(상세표[기록 수],$P2319))</f>
        <v/>
      </c>
      <c r="J2319">
        <f>IF($P2319="","",INDEX(상세표[블록 06~07시],$P2319))</f>
        <v/>
      </c>
      <c r="K2319">
        <f>IF($P2319="","",INDEX(상세표[블록 07~18시],$P2319))</f>
        <v/>
      </c>
      <c r="L2319">
        <f>IF($P2319="","",INDEX(상세표[블록 18~22시],$P2319))</f>
        <v/>
      </c>
      <c r="M2319">
        <f>IF($P2319="","",INDEX(상세표[블록 22~06시],$P2319))</f>
        <v/>
      </c>
      <c r="N2319">
        <f>IF($P2319="","",INDEX(상세표[주말·휴일 포함],$P2319)&amp;"")</f>
        <v/>
      </c>
      <c r="O2319">
        <f>IF($P2319="","",INDEX(상세표[월 넘김 포함],$P2319)&amp;"")</f>
        <v/>
      </c>
      <c r="P2319" s="4">
        <f>IFERROR(MATCH(2314,상세표[연속순번],0),"")</f>
        <v/>
      </c>
    </row>
    <row r="2320">
      <c r="A2320">
        <f>IF($P2320="","",INDEX(상세표[사번],$P2320)&amp;"")</f>
        <v/>
      </c>
      <c r="B2320">
        <f>IF($P2320="","",INDEX(상세표[성명],$P2320)&amp;"")</f>
        <v/>
      </c>
      <c r="C2320">
        <f>IF($P2320="","",INDEX(상세표[부서],$P2320)&amp;"")</f>
        <v/>
      </c>
      <c r="D2320">
        <f>IF($P2320="","",INDEX(상세표[직위],$P2320)&amp;"")</f>
        <v/>
      </c>
      <c r="E2320">
        <f>IF($P2320="","",IF(ISNUMBER(INDEX(상세표[시작],$P2320)),TEXT(INDEX(상세표[시작],$P2320),"yyyy-mm-dd hh:mm"),INDEX(상세표[시작],$P2320)&amp;""))</f>
        <v/>
      </c>
      <c r="F2320">
        <f>IF($P2320="","",IF(ISNUMBER(INDEX(상세표[블록종료],$P2320)),TEXT(INDEX(상세표[블록종료],$P2320),"yyyy-mm-dd hh:mm"),INDEX(상세표[블록종료],$P2320)&amp;""))</f>
        <v/>
      </c>
      <c r="G2320">
        <f>IF($P2320="","",CHOOSE(WEEKDAY(INDEX(상세표[시작],$P2320)),"일","월","화","수","목","금","토"))</f>
        <v/>
      </c>
      <c r="H2320">
        <f>IF($P2320="","",INDEX(상세표[연속 시간],$P2320))</f>
        <v/>
      </c>
      <c r="I2320">
        <f>IF($P2320="","",INDEX(상세표[기록 수],$P2320))</f>
        <v/>
      </c>
      <c r="J2320">
        <f>IF($P2320="","",INDEX(상세표[블록 06~07시],$P2320))</f>
        <v/>
      </c>
      <c r="K2320">
        <f>IF($P2320="","",INDEX(상세표[블록 07~18시],$P2320))</f>
        <v/>
      </c>
      <c r="L2320">
        <f>IF($P2320="","",INDEX(상세표[블록 18~22시],$P2320))</f>
        <v/>
      </c>
      <c r="M2320">
        <f>IF($P2320="","",INDEX(상세표[블록 22~06시],$P2320))</f>
        <v/>
      </c>
      <c r="N2320">
        <f>IF($P2320="","",INDEX(상세표[주말·휴일 포함],$P2320)&amp;"")</f>
        <v/>
      </c>
      <c r="O2320">
        <f>IF($P2320="","",INDEX(상세표[월 넘김 포함],$P2320)&amp;"")</f>
        <v/>
      </c>
      <c r="P2320" s="4">
        <f>IFERROR(MATCH(2315,상세표[연속순번],0),"")</f>
        <v/>
      </c>
    </row>
    <row r="2321">
      <c r="A2321">
        <f>IF($P2321="","",INDEX(상세표[사번],$P2321)&amp;"")</f>
        <v/>
      </c>
      <c r="B2321">
        <f>IF($P2321="","",INDEX(상세표[성명],$P2321)&amp;"")</f>
        <v/>
      </c>
      <c r="C2321">
        <f>IF($P2321="","",INDEX(상세표[부서],$P2321)&amp;"")</f>
        <v/>
      </c>
      <c r="D2321">
        <f>IF($P2321="","",INDEX(상세표[직위],$P2321)&amp;"")</f>
        <v/>
      </c>
      <c r="E2321">
        <f>IF($P2321="","",IF(ISNUMBER(INDEX(상세표[시작],$P2321)),TEXT(INDEX(상세표[시작],$P2321),"yyyy-mm-dd hh:mm"),INDEX(상세표[시작],$P2321)&amp;""))</f>
        <v/>
      </c>
      <c r="F2321">
        <f>IF($P2321="","",IF(ISNUMBER(INDEX(상세표[블록종료],$P2321)),TEXT(INDEX(상세표[블록종료],$P2321),"yyyy-mm-dd hh:mm"),INDEX(상세표[블록종료],$P2321)&amp;""))</f>
        <v/>
      </c>
      <c r="G2321">
        <f>IF($P2321="","",CHOOSE(WEEKDAY(INDEX(상세표[시작],$P2321)),"일","월","화","수","목","금","토"))</f>
        <v/>
      </c>
      <c r="H2321">
        <f>IF($P2321="","",INDEX(상세표[연속 시간],$P2321))</f>
        <v/>
      </c>
      <c r="I2321">
        <f>IF($P2321="","",INDEX(상세표[기록 수],$P2321))</f>
        <v/>
      </c>
      <c r="J2321">
        <f>IF($P2321="","",INDEX(상세표[블록 06~07시],$P2321))</f>
        <v/>
      </c>
      <c r="K2321">
        <f>IF($P2321="","",INDEX(상세표[블록 07~18시],$P2321))</f>
        <v/>
      </c>
      <c r="L2321">
        <f>IF($P2321="","",INDEX(상세표[블록 18~22시],$P2321))</f>
        <v/>
      </c>
      <c r="M2321">
        <f>IF($P2321="","",INDEX(상세표[블록 22~06시],$P2321))</f>
        <v/>
      </c>
      <c r="N2321">
        <f>IF($P2321="","",INDEX(상세표[주말·휴일 포함],$P2321)&amp;"")</f>
        <v/>
      </c>
      <c r="O2321">
        <f>IF($P2321="","",INDEX(상세표[월 넘김 포함],$P2321)&amp;"")</f>
        <v/>
      </c>
      <c r="P2321" s="4">
        <f>IFERROR(MATCH(2316,상세표[연속순번],0),"")</f>
        <v/>
      </c>
    </row>
    <row r="2322">
      <c r="A2322">
        <f>IF($P2322="","",INDEX(상세표[사번],$P2322)&amp;"")</f>
        <v/>
      </c>
      <c r="B2322">
        <f>IF($P2322="","",INDEX(상세표[성명],$P2322)&amp;"")</f>
        <v/>
      </c>
      <c r="C2322">
        <f>IF($P2322="","",INDEX(상세표[부서],$P2322)&amp;"")</f>
        <v/>
      </c>
      <c r="D2322">
        <f>IF($P2322="","",INDEX(상세표[직위],$P2322)&amp;"")</f>
        <v/>
      </c>
      <c r="E2322">
        <f>IF($P2322="","",IF(ISNUMBER(INDEX(상세표[시작],$P2322)),TEXT(INDEX(상세표[시작],$P2322),"yyyy-mm-dd hh:mm"),INDEX(상세표[시작],$P2322)&amp;""))</f>
        <v/>
      </c>
      <c r="F2322">
        <f>IF($P2322="","",IF(ISNUMBER(INDEX(상세표[블록종료],$P2322)),TEXT(INDEX(상세표[블록종료],$P2322),"yyyy-mm-dd hh:mm"),INDEX(상세표[블록종료],$P2322)&amp;""))</f>
        <v/>
      </c>
      <c r="G2322">
        <f>IF($P2322="","",CHOOSE(WEEKDAY(INDEX(상세표[시작],$P2322)),"일","월","화","수","목","금","토"))</f>
        <v/>
      </c>
      <c r="H2322">
        <f>IF($P2322="","",INDEX(상세표[연속 시간],$P2322))</f>
        <v/>
      </c>
      <c r="I2322">
        <f>IF($P2322="","",INDEX(상세표[기록 수],$P2322))</f>
        <v/>
      </c>
      <c r="J2322">
        <f>IF($P2322="","",INDEX(상세표[블록 06~07시],$P2322))</f>
        <v/>
      </c>
      <c r="K2322">
        <f>IF($P2322="","",INDEX(상세표[블록 07~18시],$P2322))</f>
        <v/>
      </c>
      <c r="L2322">
        <f>IF($P2322="","",INDEX(상세표[블록 18~22시],$P2322))</f>
        <v/>
      </c>
      <c r="M2322">
        <f>IF($P2322="","",INDEX(상세표[블록 22~06시],$P2322))</f>
        <v/>
      </c>
      <c r="N2322">
        <f>IF($P2322="","",INDEX(상세표[주말·휴일 포함],$P2322)&amp;"")</f>
        <v/>
      </c>
      <c r="O2322">
        <f>IF($P2322="","",INDEX(상세표[월 넘김 포함],$P2322)&amp;"")</f>
        <v/>
      </c>
      <c r="P2322" s="4">
        <f>IFERROR(MATCH(2317,상세표[연속순번],0),"")</f>
        <v/>
      </c>
    </row>
    <row r="2323">
      <c r="A2323">
        <f>IF($P2323="","",INDEX(상세표[사번],$P2323)&amp;"")</f>
        <v/>
      </c>
      <c r="B2323">
        <f>IF($P2323="","",INDEX(상세표[성명],$P2323)&amp;"")</f>
        <v/>
      </c>
      <c r="C2323">
        <f>IF($P2323="","",INDEX(상세표[부서],$P2323)&amp;"")</f>
        <v/>
      </c>
      <c r="D2323">
        <f>IF($P2323="","",INDEX(상세표[직위],$P2323)&amp;"")</f>
        <v/>
      </c>
      <c r="E2323">
        <f>IF($P2323="","",IF(ISNUMBER(INDEX(상세표[시작],$P2323)),TEXT(INDEX(상세표[시작],$P2323),"yyyy-mm-dd hh:mm"),INDEX(상세표[시작],$P2323)&amp;""))</f>
        <v/>
      </c>
      <c r="F2323">
        <f>IF($P2323="","",IF(ISNUMBER(INDEX(상세표[블록종료],$P2323)),TEXT(INDEX(상세표[블록종료],$P2323),"yyyy-mm-dd hh:mm"),INDEX(상세표[블록종료],$P2323)&amp;""))</f>
        <v/>
      </c>
      <c r="G2323">
        <f>IF($P2323="","",CHOOSE(WEEKDAY(INDEX(상세표[시작],$P2323)),"일","월","화","수","목","금","토"))</f>
        <v/>
      </c>
      <c r="H2323">
        <f>IF($P2323="","",INDEX(상세표[연속 시간],$P2323))</f>
        <v/>
      </c>
      <c r="I2323">
        <f>IF($P2323="","",INDEX(상세표[기록 수],$P2323))</f>
        <v/>
      </c>
      <c r="J2323">
        <f>IF($P2323="","",INDEX(상세표[블록 06~07시],$P2323))</f>
        <v/>
      </c>
      <c r="K2323">
        <f>IF($P2323="","",INDEX(상세표[블록 07~18시],$P2323))</f>
        <v/>
      </c>
      <c r="L2323">
        <f>IF($P2323="","",INDEX(상세표[블록 18~22시],$P2323))</f>
        <v/>
      </c>
      <c r="M2323">
        <f>IF($P2323="","",INDEX(상세표[블록 22~06시],$P2323))</f>
        <v/>
      </c>
      <c r="N2323">
        <f>IF($P2323="","",INDEX(상세표[주말·휴일 포함],$P2323)&amp;"")</f>
        <v/>
      </c>
      <c r="O2323">
        <f>IF($P2323="","",INDEX(상세표[월 넘김 포함],$P2323)&amp;"")</f>
        <v/>
      </c>
      <c r="P2323" s="4">
        <f>IFERROR(MATCH(2318,상세표[연속순번],0),"")</f>
        <v/>
      </c>
    </row>
    <row r="2324">
      <c r="A2324">
        <f>IF($P2324="","",INDEX(상세표[사번],$P2324)&amp;"")</f>
        <v/>
      </c>
      <c r="B2324">
        <f>IF($P2324="","",INDEX(상세표[성명],$P2324)&amp;"")</f>
        <v/>
      </c>
      <c r="C2324">
        <f>IF($P2324="","",INDEX(상세표[부서],$P2324)&amp;"")</f>
        <v/>
      </c>
      <c r="D2324">
        <f>IF($P2324="","",INDEX(상세표[직위],$P2324)&amp;"")</f>
        <v/>
      </c>
      <c r="E2324">
        <f>IF($P2324="","",IF(ISNUMBER(INDEX(상세표[시작],$P2324)),TEXT(INDEX(상세표[시작],$P2324),"yyyy-mm-dd hh:mm"),INDEX(상세표[시작],$P2324)&amp;""))</f>
        <v/>
      </c>
      <c r="F2324">
        <f>IF($P2324="","",IF(ISNUMBER(INDEX(상세표[블록종료],$P2324)),TEXT(INDEX(상세표[블록종료],$P2324),"yyyy-mm-dd hh:mm"),INDEX(상세표[블록종료],$P2324)&amp;""))</f>
        <v/>
      </c>
      <c r="G2324">
        <f>IF($P2324="","",CHOOSE(WEEKDAY(INDEX(상세표[시작],$P2324)),"일","월","화","수","목","금","토"))</f>
        <v/>
      </c>
      <c r="H2324">
        <f>IF($P2324="","",INDEX(상세표[연속 시간],$P2324))</f>
        <v/>
      </c>
      <c r="I2324">
        <f>IF($P2324="","",INDEX(상세표[기록 수],$P2324))</f>
        <v/>
      </c>
      <c r="J2324">
        <f>IF($P2324="","",INDEX(상세표[블록 06~07시],$P2324))</f>
        <v/>
      </c>
      <c r="K2324">
        <f>IF($P2324="","",INDEX(상세표[블록 07~18시],$P2324))</f>
        <v/>
      </c>
      <c r="L2324">
        <f>IF($P2324="","",INDEX(상세표[블록 18~22시],$P2324))</f>
        <v/>
      </c>
      <c r="M2324">
        <f>IF($P2324="","",INDEX(상세표[블록 22~06시],$P2324))</f>
        <v/>
      </c>
      <c r="N2324">
        <f>IF($P2324="","",INDEX(상세표[주말·휴일 포함],$P2324)&amp;"")</f>
        <v/>
      </c>
      <c r="O2324">
        <f>IF($P2324="","",INDEX(상세표[월 넘김 포함],$P2324)&amp;"")</f>
        <v/>
      </c>
      <c r="P2324" s="4">
        <f>IFERROR(MATCH(2319,상세표[연속순번],0),"")</f>
        <v/>
      </c>
    </row>
    <row r="2325">
      <c r="A2325">
        <f>IF($P2325="","",INDEX(상세표[사번],$P2325)&amp;"")</f>
        <v/>
      </c>
      <c r="B2325">
        <f>IF($P2325="","",INDEX(상세표[성명],$P2325)&amp;"")</f>
        <v/>
      </c>
      <c r="C2325">
        <f>IF($P2325="","",INDEX(상세표[부서],$P2325)&amp;"")</f>
        <v/>
      </c>
      <c r="D2325">
        <f>IF($P2325="","",INDEX(상세표[직위],$P2325)&amp;"")</f>
        <v/>
      </c>
      <c r="E2325">
        <f>IF($P2325="","",IF(ISNUMBER(INDEX(상세표[시작],$P2325)),TEXT(INDEX(상세표[시작],$P2325),"yyyy-mm-dd hh:mm"),INDEX(상세표[시작],$P2325)&amp;""))</f>
        <v/>
      </c>
      <c r="F2325">
        <f>IF($P2325="","",IF(ISNUMBER(INDEX(상세표[블록종료],$P2325)),TEXT(INDEX(상세표[블록종료],$P2325),"yyyy-mm-dd hh:mm"),INDEX(상세표[블록종료],$P2325)&amp;""))</f>
        <v/>
      </c>
      <c r="G2325">
        <f>IF($P2325="","",CHOOSE(WEEKDAY(INDEX(상세표[시작],$P2325)),"일","월","화","수","목","금","토"))</f>
        <v/>
      </c>
      <c r="H2325">
        <f>IF($P2325="","",INDEX(상세표[연속 시간],$P2325))</f>
        <v/>
      </c>
      <c r="I2325">
        <f>IF($P2325="","",INDEX(상세표[기록 수],$P2325))</f>
        <v/>
      </c>
      <c r="J2325">
        <f>IF($P2325="","",INDEX(상세표[블록 06~07시],$P2325))</f>
        <v/>
      </c>
      <c r="K2325">
        <f>IF($P2325="","",INDEX(상세표[블록 07~18시],$P2325))</f>
        <v/>
      </c>
      <c r="L2325">
        <f>IF($P2325="","",INDEX(상세표[블록 18~22시],$P2325))</f>
        <v/>
      </c>
      <c r="M2325">
        <f>IF($P2325="","",INDEX(상세표[블록 22~06시],$P2325))</f>
        <v/>
      </c>
      <c r="N2325">
        <f>IF($P2325="","",INDEX(상세표[주말·휴일 포함],$P2325)&amp;"")</f>
        <v/>
      </c>
      <c r="O2325">
        <f>IF($P2325="","",INDEX(상세표[월 넘김 포함],$P2325)&amp;"")</f>
        <v/>
      </c>
      <c r="P2325" s="4">
        <f>IFERROR(MATCH(2320,상세표[연속순번],0),"")</f>
        <v/>
      </c>
    </row>
    <row r="2326">
      <c r="A2326">
        <f>IF($P2326="","",INDEX(상세표[사번],$P2326)&amp;"")</f>
        <v/>
      </c>
      <c r="B2326">
        <f>IF($P2326="","",INDEX(상세표[성명],$P2326)&amp;"")</f>
        <v/>
      </c>
      <c r="C2326">
        <f>IF($P2326="","",INDEX(상세표[부서],$P2326)&amp;"")</f>
        <v/>
      </c>
      <c r="D2326">
        <f>IF($P2326="","",INDEX(상세표[직위],$P2326)&amp;"")</f>
        <v/>
      </c>
      <c r="E2326">
        <f>IF($P2326="","",IF(ISNUMBER(INDEX(상세표[시작],$P2326)),TEXT(INDEX(상세표[시작],$P2326),"yyyy-mm-dd hh:mm"),INDEX(상세표[시작],$P2326)&amp;""))</f>
        <v/>
      </c>
      <c r="F2326">
        <f>IF($P2326="","",IF(ISNUMBER(INDEX(상세표[블록종료],$P2326)),TEXT(INDEX(상세표[블록종료],$P2326),"yyyy-mm-dd hh:mm"),INDEX(상세표[블록종료],$P2326)&amp;""))</f>
        <v/>
      </c>
      <c r="G2326">
        <f>IF($P2326="","",CHOOSE(WEEKDAY(INDEX(상세표[시작],$P2326)),"일","월","화","수","목","금","토"))</f>
        <v/>
      </c>
      <c r="H2326">
        <f>IF($P2326="","",INDEX(상세표[연속 시간],$P2326))</f>
        <v/>
      </c>
      <c r="I2326">
        <f>IF($P2326="","",INDEX(상세표[기록 수],$P2326))</f>
        <v/>
      </c>
      <c r="J2326">
        <f>IF($P2326="","",INDEX(상세표[블록 06~07시],$P2326))</f>
        <v/>
      </c>
      <c r="K2326">
        <f>IF($P2326="","",INDEX(상세표[블록 07~18시],$P2326))</f>
        <v/>
      </c>
      <c r="L2326">
        <f>IF($P2326="","",INDEX(상세표[블록 18~22시],$P2326))</f>
        <v/>
      </c>
      <c r="M2326">
        <f>IF($P2326="","",INDEX(상세표[블록 22~06시],$P2326))</f>
        <v/>
      </c>
      <c r="N2326">
        <f>IF($P2326="","",INDEX(상세표[주말·휴일 포함],$P2326)&amp;"")</f>
        <v/>
      </c>
      <c r="O2326">
        <f>IF($P2326="","",INDEX(상세표[월 넘김 포함],$P2326)&amp;"")</f>
        <v/>
      </c>
      <c r="P2326" s="4">
        <f>IFERROR(MATCH(2321,상세표[연속순번],0),"")</f>
        <v/>
      </c>
    </row>
    <row r="2327">
      <c r="A2327">
        <f>IF($P2327="","",INDEX(상세표[사번],$P2327)&amp;"")</f>
        <v/>
      </c>
      <c r="B2327">
        <f>IF($P2327="","",INDEX(상세표[성명],$P2327)&amp;"")</f>
        <v/>
      </c>
      <c r="C2327">
        <f>IF($P2327="","",INDEX(상세표[부서],$P2327)&amp;"")</f>
        <v/>
      </c>
      <c r="D2327">
        <f>IF($P2327="","",INDEX(상세표[직위],$P2327)&amp;"")</f>
        <v/>
      </c>
      <c r="E2327">
        <f>IF($P2327="","",IF(ISNUMBER(INDEX(상세표[시작],$P2327)),TEXT(INDEX(상세표[시작],$P2327),"yyyy-mm-dd hh:mm"),INDEX(상세표[시작],$P2327)&amp;""))</f>
        <v/>
      </c>
      <c r="F2327">
        <f>IF($P2327="","",IF(ISNUMBER(INDEX(상세표[블록종료],$P2327)),TEXT(INDEX(상세표[블록종료],$P2327),"yyyy-mm-dd hh:mm"),INDEX(상세표[블록종료],$P2327)&amp;""))</f>
        <v/>
      </c>
      <c r="G2327">
        <f>IF($P2327="","",CHOOSE(WEEKDAY(INDEX(상세표[시작],$P2327)),"일","월","화","수","목","금","토"))</f>
        <v/>
      </c>
      <c r="H2327">
        <f>IF($P2327="","",INDEX(상세표[연속 시간],$P2327))</f>
        <v/>
      </c>
      <c r="I2327">
        <f>IF($P2327="","",INDEX(상세표[기록 수],$P2327))</f>
        <v/>
      </c>
      <c r="J2327">
        <f>IF($P2327="","",INDEX(상세표[블록 06~07시],$P2327))</f>
        <v/>
      </c>
      <c r="K2327">
        <f>IF($P2327="","",INDEX(상세표[블록 07~18시],$P2327))</f>
        <v/>
      </c>
      <c r="L2327">
        <f>IF($P2327="","",INDEX(상세표[블록 18~22시],$P2327))</f>
        <v/>
      </c>
      <c r="M2327">
        <f>IF($P2327="","",INDEX(상세표[블록 22~06시],$P2327))</f>
        <v/>
      </c>
      <c r="N2327">
        <f>IF($P2327="","",INDEX(상세표[주말·휴일 포함],$P2327)&amp;"")</f>
        <v/>
      </c>
      <c r="O2327">
        <f>IF($P2327="","",INDEX(상세표[월 넘김 포함],$P2327)&amp;"")</f>
        <v/>
      </c>
      <c r="P2327" s="4">
        <f>IFERROR(MATCH(2322,상세표[연속순번],0),"")</f>
        <v/>
      </c>
    </row>
    <row r="2328">
      <c r="A2328">
        <f>IF($P2328="","",INDEX(상세표[사번],$P2328)&amp;"")</f>
        <v/>
      </c>
      <c r="B2328">
        <f>IF($P2328="","",INDEX(상세표[성명],$P2328)&amp;"")</f>
        <v/>
      </c>
      <c r="C2328">
        <f>IF($P2328="","",INDEX(상세표[부서],$P2328)&amp;"")</f>
        <v/>
      </c>
      <c r="D2328">
        <f>IF($P2328="","",INDEX(상세표[직위],$P2328)&amp;"")</f>
        <v/>
      </c>
      <c r="E2328">
        <f>IF($P2328="","",IF(ISNUMBER(INDEX(상세표[시작],$P2328)),TEXT(INDEX(상세표[시작],$P2328),"yyyy-mm-dd hh:mm"),INDEX(상세표[시작],$P2328)&amp;""))</f>
        <v/>
      </c>
      <c r="F2328">
        <f>IF($P2328="","",IF(ISNUMBER(INDEX(상세표[블록종료],$P2328)),TEXT(INDEX(상세표[블록종료],$P2328),"yyyy-mm-dd hh:mm"),INDEX(상세표[블록종료],$P2328)&amp;""))</f>
        <v/>
      </c>
      <c r="G2328">
        <f>IF($P2328="","",CHOOSE(WEEKDAY(INDEX(상세표[시작],$P2328)),"일","월","화","수","목","금","토"))</f>
        <v/>
      </c>
      <c r="H2328">
        <f>IF($P2328="","",INDEX(상세표[연속 시간],$P2328))</f>
        <v/>
      </c>
      <c r="I2328">
        <f>IF($P2328="","",INDEX(상세표[기록 수],$P2328))</f>
        <v/>
      </c>
      <c r="J2328">
        <f>IF($P2328="","",INDEX(상세표[블록 06~07시],$P2328))</f>
        <v/>
      </c>
      <c r="K2328">
        <f>IF($P2328="","",INDEX(상세표[블록 07~18시],$P2328))</f>
        <v/>
      </c>
      <c r="L2328">
        <f>IF($P2328="","",INDEX(상세표[블록 18~22시],$P2328))</f>
        <v/>
      </c>
      <c r="M2328">
        <f>IF($P2328="","",INDEX(상세표[블록 22~06시],$P2328))</f>
        <v/>
      </c>
      <c r="N2328">
        <f>IF($P2328="","",INDEX(상세표[주말·휴일 포함],$P2328)&amp;"")</f>
        <v/>
      </c>
      <c r="O2328">
        <f>IF($P2328="","",INDEX(상세표[월 넘김 포함],$P2328)&amp;"")</f>
        <v/>
      </c>
      <c r="P2328" s="4">
        <f>IFERROR(MATCH(2323,상세표[연속순번],0),"")</f>
        <v/>
      </c>
    </row>
    <row r="2329">
      <c r="A2329">
        <f>IF($P2329="","",INDEX(상세표[사번],$P2329)&amp;"")</f>
        <v/>
      </c>
      <c r="B2329">
        <f>IF($P2329="","",INDEX(상세표[성명],$P2329)&amp;"")</f>
        <v/>
      </c>
      <c r="C2329">
        <f>IF($P2329="","",INDEX(상세표[부서],$P2329)&amp;"")</f>
        <v/>
      </c>
      <c r="D2329">
        <f>IF($P2329="","",INDEX(상세표[직위],$P2329)&amp;"")</f>
        <v/>
      </c>
      <c r="E2329">
        <f>IF($P2329="","",IF(ISNUMBER(INDEX(상세표[시작],$P2329)),TEXT(INDEX(상세표[시작],$P2329),"yyyy-mm-dd hh:mm"),INDEX(상세표[시작],$P2329)&amp;""))</f>
        <v/>
      </c>
      <c r="F2329">
        <f>IF($P2329="","",IF(ISNUMBER(INDEX(상세표[블록종료],$P2329)),TEXT(INDEX(상세표[블록종료],$P2329),"yyyy-mm-dd hh:mm"),INDEX(상세표[블록종료],$P2329)&amp;""))</f>
        <v/>
      </c>
      <c r="G2329">
        <f>IF($P2329="","",CHOOSE(WEEKDAY(INDEX(상세표[시작],$P2329)),"일","월","화","수","목","금","토"))</f>
        <v/>
      </c>
      <c r="H2329">
        <f>IF($P2329="","",INDEX(상세표[연속 시간],$P2329))</f>
        <v/>
      </c>
      <c r="I2329">
        <f>IF($P2329="","",INDEX(상세표[기록 수],$P2329))</f>
        <v/>
      </c>
      <c r="J2329">
        <f>IF($P2329="","",INDEX(상세표[블록 06~07시],$P2329))</f>
        <v/>
      </c>
      <c r="K2329">
        <f>IF($P2329="","",INDEX(상세표[블록 07~18시],$P2329))</f>
        <v/>
      </c>
      <c r="L2329">
        <f>IF($P2329="","",INDEX(상세표[블록 18~22시],$P2329))</f>
        <v/>
      </c>
      <c r="M2329">
        <f>IF($P2329="","",INDEX(상세표[블록 22~06시],$P2329))</f>
        <v/>
      </c>
      <c r="N2329">
        <f>IF($P2329="","",INDEX(상세표[주말·휴일 포함],$P2329)&amp;"")</f>
        <v/>
      </c>
      <c r="O2329">
        <f>IF($P2329="","",INDEX(상세표[월 넘김 포함],$P2329)&amp;"")</f>
        <v/>
      </c>
      <c r="P2329" s="4">
        <f>IFERROR(MATCH(2324,상세표[연속순번],0),"")</f>
        <v/>
      </c>
    </row>
    <row r="2330">
      <c r="A2330">
        <f>IF($P2330="","",INDEX(상세표[사번],$P2330)&amp;"")</f>
        <v/>
      </c>
      <c r="B2330">
        <f>IF($P2330="","",INDEX(상세표[성명],$P2330)&amp;"")</f>
        <v/>
      </c>
      <c r="C2330">
        <f>IF($P2330="","",INDEX(상세표[부서],$P2330)&amp;"")</f>
        <v/>
      </c>
      <c r="D2330">
        <f>IF($P2330="","",INDEX(상세표[직위],$P2330)&amp;"")</f>
        <v/>
      </c>
      <c r="E2330">
        <f>IF($P2330="","",IF(ISNUMBER(INDEX(상세표[시작],$P2330)),TEXT(INDEX(상세표[시작],$P2330),"yyyy-mm-dd hh:mm"),INDEX(상세표[시작],$P2330)&amp;""))</f>
        <v/>
      </c>
      <c r="F2330">
        <f>IF($P2330="","",IF(ISNUMBER(INDEX(상세표[블록종료],$P2330)),TEXT(INDEX(상세표[블록종료],$P2330),"yyyy-mm-dd hh:mm"),INDEX(상세표[블록종료],$P2330)&amp;""))</f>
        <v/>
      </c>
      <c r="G2330">
        <f>IF($P2330="","",CHOOSE(WEEKDAY(INDEX(상세표[시작],$P2330)),"일","월","화","수","목","금","토"))</f>
        <v/>
      </c>
      <c r="H2330">
        <f>IF($P2330="","",INDEX(상세표[연속 시간],$P2330))</f>
        <v/>
      </c>
      <c r="I2330">
        <f>IF($P2330="","",INDEX(상세표[기록 수],$P2330))</f>
        <v/>
      </c>
      <c r="J2330">
        <f>IF($P2330="","",INDEX(상세표[블록 06~07시],$P2330))</f>
        <v/>
      </c>
      <c r="K2330">
        <f>IF($P2330="","",INDEX(상세표[블록 07~18시],$P2330))</f>
        <v/>
      </c>
      <c r="L2330">
        <f>IF($P2330="","",INDEX(상세표[블록 18~22시],$P2330))</f>
        <v/>
      </c>
      <c r="M2330">
        <f>IF($P2330="","",INDEX(상세표[블록 22~06시],$P2330))</f>
        <v/>
      </c>
      <c r="N2330">
        <f>IF($P2330="","",INDEX(상세표[주말·휴일 포함],$P2330)&amp;"")</f>
        <v/>
      </c>
      <c r="O2330">
        <f>IF($P2330="","",INDEX(상세표[월 넘김 포함],$P2330)&amp;"")</f>
        <v/>
      </c>
      <c r="P2330" s="4">
        <f>IFERROR(MATCH(2325,상세표[연속순번],0),"")</f>
        <v/>
      </c>
    </row>
    <row r="2331">
      <c r="A2331">
        <f>IF($P2331="","",INDEX(상세표[사번],$P2331)&amp;"")</f>
        <v/>
      </c>
      <c r="B2331">
        <f>IF($P2331="","",INDEX(상세표[성명],$P2331)&amp;"")</f>
        <v/>
      </c>
      <c r="C2331">
        <f>IF($P2331="","",INDEX(상세표[부서],$P2331)&amp;"")</f>
        <v/>
      </c>
      <c r="D2331">
        <f>IF($P2331="","",INDEX(상세표[직위],$P2331)&amp;"")</f>
        <v/>
      </c>
      <c r="E2331">
        <f>IF($P2331="","",IF(ISNUMBER(INDEX(상세표[시작],$P2331)),TEXT(INDEX(상세표[시작],$P2331),"yyyy-mm-dd hh:mm"),INDEX(상세표[시작],$P2331)&amp;""))</f>
        <v/>
      </c>
      <c r="F2331">
        <f>IF($P2331="","",IF(ISNUMBER(INDEX(상세표[블록종료],$P2331)),TEXT(INDEX(상세표[블록종료],$P2331),"yyyy-mm-dd hh:mm"),INDEX(상세표[블록종료],$P2331)&amp;""))</f>
        <v/>
      </c>
      <c r="G2331">
        <f>IF($P2331="","",CHOOSE(WEEKDAY(INDEX(상세표[시작],$P2331)),"일","월","화","수","목","금","토"))</f>
        <v/>
      </c>
      <c r="H2331">
        <f>IF($P2331="","",INDEX(상세표[연속 시간],$P2331))</f>
        <v/>
      </c>
      <c r="I2331">
        <f>IF($P2331="","",INDEX(상세표[기록 수],$P2331))</f>
        <v/>
      </c>
      <c r="J2331">
        <f>IF($P2331="","",INDEX(상세표[블록 06~07시],$P2331))</f>
        <v/>
      </c>
      <c r="K2331">
        <f>IF($P2331="","",INDEX(상세표[블록 07~18시],$P2331))</f>
        <v/>
      </c>
      <c r="L2331">
        <f>IF($P2331="","",INDEX(상세표[블록 18~22시],$P2331))</f>
        <v/>
      </c>
      <c r="M2331">
        <f>IF($P2331="","",INDEX(상세표[블록 22~06시],$P2331))</f>
        <v/>
      </c>
      <c r="N2331">
        <f>IF($P2331="","",INDEX(상세표[주말·휴일 포함],$P2331)&amp;"")</f>
        <v/>
      </c>
      <c r="O2331">
        <f>IF($P2331="","",INDEX(상세표[월 넘김 포함],$P2331)&amp;"")</f>
        <v/>
      </c>
      <c r="P2331" s="4">
        <f>IFERROR(MATCH(2326,상세표[연속순번],0),"")</f>
        <v/>
      </c>
    </row>
    <row r="2332">
      <c r="A2332">
        <f>IF($P2332="","",INDEX(상세표[사번],$P2332)&amp;"")</f>
        <v/>
      </c>
      <c r="B2332">
        <f>IF($P2332="","",INDEX(상세표[성명],$P2332)&amp;"")</f>
        <v/>
      </c>
      <c r="C2332">
        <f>IF($P2332="","",INDEX(상세표[부서],$P2332)&amp;"")</f>
        <v/>
      </c>
      <c r="D2332">
        <f>IF($P2332="","",INDEX(상세표[직위],$P2332)&amp;"")</f>
        <v/>
      </c>
      <c r="E2332">
        <f>IF($P2332="","",IF(ISNUMBER(INDEX(상세표[시작],$P2332)),TEXT(INDEX(상세표[시작],$P2332),"yyyy-mm-dd hh:mm"),INDEX(상세표[시작],$P2332)&amp;""))</f>
        <v/>
      </c>
      <c r="F2332">
        <f>IF($P2332="","",IF(ISNUMBER(INDEX(상세표[블록종료],$P2332)),TEXT(INDEX(상세표[블록종료],$P2332),"yyyy-mm-dd hh:mm"),INDEX(상세표[블록종료],$P2332)&amp;""))</f>
        <v/>
      </c>
      <c r="G2332">
        <f>IF($P2332="","",CHOOSE(WEEKDAY(INDEX(상세표[시작],$P2332)),"일","월","화","수","목","금","토"))</f>
        <v/>
      </c>
      <c r="H2332">
        <f>IF($P2332="","",INDEX(상세표[연속 시간],$P2332))</f>
        <v/>
      </c>
      <c r="I2332">
        <f>IF($P2332="","",INDEX(상세표[기록 수],$P2332))</f>
        <v/>
      </c>
      <c r="J2332">
        <f>IF($P2332="","",INDEX(상세표[블록 06~07시],$P2332))</f>
        <v/>
      </c>
      <c r="K2332">
        <f>IF($P2332="","",INDEX(상세표[블록 07~18시],$P2332))</f>
        <v/>
      </c>
      <c r="L2332">
        <f>IF($P2332="","",INDEX(상세표[블록 18~22시],$P2332))</f>
        <v/>
      </c>
      <c r="M2332">
        <f>IF($P2332="","",INDEX(상세표[블록 22~06시],$P2332))</f>
        <v/>
      </c>
      <c r="N2332">
        <f>IF($P2332="","",INDEX(상세표[주말·휴일 포함],$P2332)&amp;"")</f>
        <v/>
      </c>
      <c r="O2332">
        <f>IF($P2332="","",INDEX(상세표[월 넘김 포함],$P2332)&amp;"")</f>
        <v/>
      </c>
      <c r="P2332" s="4">
        <f>IFERROR(MATCH(2327,상세표[연속순번],0),"")</f>
        <v/>
      </c>
    </row>
    <row r="2333">
      <c r="A2333">
        <f>IF($P2333="","",INDEX(상세표[사번],$P2333)&amp;"")</f>
        <v/>
      </c>
      <c r="B2333">
        <f>IF($P2333="","",INDEX(상세표[성명],$P2333)&amp;"")</f>
        <v/>
      </c>
      <c r="C2333">
        <f>IF($P2333="","",INDEX(상세표[부서],$P2333)&amp;"")</f>
        <v/>
      </c>
      <c r="D2333">
        <f>IF($P2333="","",INDEX(상세표[직위],$P2333)&amp;"")</f>
        <v/>
      </c>
      <c r="E2333">
        <f>IF($P2333="","",IF(ISNUMBER(INDEX(상세표[시작],$P2333)),TEXT(INDEX(상세표[시작],$P2333),"yyyy-mm-dd hh:mm"),INDEX(상세표[시작],$P2333)&amp;""))</f>
        <v/>
      </c>
      <c r="F2333">
        <f>IF($P2333="","",IF(ISNUMBER(INDEX(상세표[블록종료],$P2333)),TEXT(INDEX(상세표[블록종료],$P2333),"yyyy-mm-dd hh:mm"),INDEX(상세표[블록종료],$P2333)&amp;""))</f>
        <v/>
      </c>
      <c r="G2333">
        <f>IF($P2333="","",CHOOSE(WEEKDAY(INDEX(상세표[시작],$P2333)),"일","월","화","수","목","금","토"))</f>
        <v/>
      </c>
      <c r="H2333">
        <f>IF($P2333="","",INDEX(상세표[연속 시간],$P2333))</f>
        <v/>
      </c>
      <c r="I2333">
        <f>IF($P2333="","",INDEX(상세표[기록 수],$P2333))</f>
        <v/>
      </c>
      <c r="J2333">
        <f>IF($P2333="","",INDEX(상세표[블록 06~07시],$P2333))</f>
        <v/>
      </c>
      <c r="K2333">
        <f>IF($P2333="","",INDEX(상세표[블록 07~18시],$P2333))</f>
        <v/>
      </c>
      <c r="L2333">
        <f>IF($P2333="","",INDEX(상세표[블록 18~22시],$P2333))</f>
        <v/>
      </c>
      <c r="M2333">
        <f>IF($P2333="","",INDEX(상세표[블록 22~06시],$P2333))</f>
        <v/>
      </c>
      <c r="N2333">
        <f>IF($P2333="","",INDEX(상세표[주말·휴일 포함],$P2333)&amp;"")</f>
        <v/>
      </c>
      <c r="O2333">
        <f>IF($P2333="","",INDEX(상세표[월 넘김 포함],$P2333)&amp;"")</f>
        <v/>
      </c>
      <c r="P2333" s="4">
        <f>IFERROR(MATCH(2328,상세표[연속순번],0),"")</f>
        <v/>
      </c>
    </row>
    <row r="2334">
      <c r="A2334">
        <f>IF($P2334="","",INDEX(상세표[사번],$P2334)&amp;"")</f>
        <v/>
      </c>
      <c r="B2334">
        <f>IF($P2334="","",INDEX(상세표[성명],$P2334)&amp;"")</f>
        <v/>
      </c>
      <c r="C2334">
        <f>IF($P2334="","",INDEX(상세표[부서],$P2334)&amp;"")</f>
        <v/>
      </c>
      <c r="D2334">
        <f>IF($P2334="","",INDEX(상세표[직위],$P2334)&amp;"")</f>
        <v/>
      </c>
      <c r="E2334">
        <f>IF($P2334="","",IF(ISNUMBER(INDEX(상세표[시작],$P2334)),TEXT(INDEX(상세표[시작],$P2334),"yyyy-mm-dd hh:mm"),INDEX(상세표[시작],$P2334)&amp;""))</f>
        <v/>
      </c>
      <c r="F2334">
        <f>IF($P2334="","",IF(ISNUMBER(INDEX(상세표[블록종료],$P2334)),TEXT(INDEX(상세표[블록종료],$P2334),"yyyy-mm-dd hh:mm"),INDEX(상세표[블록종료],$P2334)&amp;""))</f>
        <v/>
      </c>
      <c r="G2334">
        <f>IF($P2334="","",CHOOSE(WEEKDAY(INDEX(상세표[시작],$P2334)),"일","월","화","수","목","금","토"))</f>
        <v/>
      </c>
      <c r="H2334">
        <f>IF($P2334="","",INDEX(상세표[연속 시간],$P2334))</f>
        <v/>
      </c>
      <c r="I2334">
        <f>IF($P2334="","",INDEX(상세표[기록 수],$P2334))</f>
        <v/>
      </c>
      <c r="J2334">
        <f>IF($P2334="","",INDEX(상세표[블록 06~07시],$P2334))</f>
        <v/>
      </c>
      <c r="K2334">
        <f>IF($P2334="","",INDEX(상세표[블록 07~18시],$P2334))</f>
        <v/>
      </c>
      <c r="L2334">
        <f>IF($P2334="","",INDEX(상세표[블록 18~22시],$P2334))</f>
        <v/>
      </c>
      <c r="M2334">
        <f>IF($P2334="","",INDEX(상세표[블록 22~06시],$P2334))</f>
        <v/>
      </c>
      <c r="N2334">
        <f>IF($P2334="","",INDEX(상세표[주말·휴일 포함],$P2334)&amp;"")</f>
        <v/>
      </c>
      <c r="O2334">
        <f>IF($P2334="","",INDEX(상세표[월 넘김 포함],$P2334)&amp;"")</f>
        <v/>
      </c>
      <c r="P2334" s="4">
        <f>IFERROR(MATCH(2329,상세표[연속순번],0),"")</f>
        <v/>
      </c>
    </row>
    <row r="2335">
      <c r="A2335">
        <f>IF($P2335="","",INDEX(상세표[사번],$P2335)&amp;"")</f>
        <v/>
      </c>
      <c r="B2335">
        <f>IF($P2335="","",INDEX(상세표[성명],$P2335)&amp;"")</f>
        <v/>
      </c>
      <c r="C2335">
        <f>IF($P2335="","",INDEX(상세표[부서],$P2335)&amp;"")</f>
        <v/>
      </c>
      <c r="D2335">
        <f>IF($P2335="","",INDEX(상세표[직위],$P2335)&amp;"")</f>
        <v/>
      </c>
      <c r="E2335">
        <f>IF($P2335="","",IF(ISNUMBER(INDEX(상세표[시작],$P2335)),TEXT(INDEX(상세표[시작],$P2335),"yyyy-mm-dd hh:mm"),INDEX(상세표[시작],$P2335)&amp;""))</f>
        <v/>
      </c>
      <c r="F2335">
        <f>IF($P2335="","",IF(ISNUMBER(INDEX(상세표[블록종료],$P2335)),TEXT(INDEX(상세표[블록종료],$P2335),"yyyy-mm-dd hh:mm"),INDEX(상세표[블록종료],$P2335)&amp;""))</f>
        <v/>
      </c>
      <c r="G2335">
        <f>IF($P2335="","",CHOOSE(WEEKDAY(INDEX(상세표[시작],$P2335)),"일","월","화","수","목","금","토"))</f>
        <v/>
      </c>
      <c r="H2335">
        <f>IF($P2335="","",INDEX(상세표[연속 시간],$P2335))</f>
        <v/>
      </c>
      <c r="I2335">
        <f>IF($P2335="","",INDEX(상세표[기록 수],$P2335))</f>
        <v/>
      </c>
      <c r="J2335">
        <f>IF($P2335="","",INDEX(상세표[블록 06~07시],$P2335))</f>
        <v/>
      </c>
      <c r="K2335">
        <f>IF($P2335="","",INDEX(상세표[블록 07~18시],$P2335))</f>
        <v/>
      </c>
      <c r="L2335">
        <f>IF($P2335="","",INDEX(상세표[블록 18~22시],$P2335))</f>
        <v/>
      </c>
      <c r="M2335">
        <f>IF($P2335="","",INDEX(상세표[블록 22~06시],$P2335))</f>
        <v/>
      </c>
      <c r="N2335">
        <f>IF($P2335="","",INDEX(상세표[주말·휴일 포함],$P2335)&amp;"")</f>
        <v/>
      </c>
      <c r="O2335">
        <f>IF($P2335="","",INDEX(상세표[월 넘김 포함],$P2335)&amp;"")</f>
        <v/>
      </c>
      <c r="P2335" s="4">
        <f>IFERROR(MATCH(2330,상세표[연속순번],0),"")</f>
        <v/>
      </c>
    </row>
    <row r="2336">
      <c r="A2336">
        <f>IF($P2336="","",INDEX(상세표[사번],$P2336)&amp;"")</f>
        <v/>
      </c>
      <c r="B2336">
        <f>IF($P2336="","",INDEX(상세표[성명],$P2336)&amp;"")</f>
        <v/>
      </c>
      <c r="C2336">
        <f>IF($P2336="","",INDEX(상세표[부서],$P2336)&amp;"")</f>
        <v/>
      </c>
      <c r="D2336">
        <f>IF($P2336="","",INDEX(상세표[직위],$P2336)&amp;"")</f>
        <v/>
      </c>
      <c r="E2336">
        <f>IF($P2336="","",IF(ISNUMBER(INDEX(상세표[시작],$P2336)),TEXT(INDEX(상세표[시작],$P2336),"yyyy-mm-dd hh:mm"),INDEX(상세표[시작],$P2336)&amp;""))</f>
        <v/>
      </c>
      <c r="F2336">
        <f>IF($P2336="","",IF(ISNUMBER(INDEX(상세표[블록종료],$P2336)),TEXT(INDEX(상세표[블록종료],$P2336),"yyyy-mm-dd hh:mm"),INDEX(상세표[블록종료],$P2336)&amp;""))</f>
        <v/>
      </c>
      <c r="G2336">
        <f>IF($P2336="","",CHOOSE(WEEKDAY(INDEX(상세표[시작],$P2336)),"일","월","화","수","목","금","토"))</f>
        <v/>
      </c>
      <c r="H2336">
        <f>IF($P2336="","",INDEX(상세표[연속 시간],$P2336))</f>
        <v/>
      </c>
      <c r="I2336">
        <f>IF($P2336="","",INDEX(상세표[기록 수],$P2336))</f>
        <v/>
      </c>
      <c r="J2336">
        <f>IF($P2336="","",INDEX(상세표[블록 06~07시],$P2336))</f>
        <v/>
      </c>
      <c r="K2336">
        <f>IF($P2336="","",INDEX(상세표[블록 07~18시],$P2336))</f>
        <v/>
      </c>
      <c r="L2336">
        <f>IF($P2336="","",INDEX(상세표[블록 18~22시],$P2336))</f>
        <v/>
      </c>
      <c r="M2336">
        <f>IF($P2336="","",INDEX(상세표[블록 22~06시],$P2336))</f>
        <v/>
      </c>
      <c r="N2336">
        <f>IF($P2336="","",INDEX(상세표[주말·휴일 포함],$P2336)&amp;"")</f>
        <v/>
      </c>
      <c r="O2336">
        <f>IF($P2336="","",INDEX(상세표[월 넘김 포함],$P2336)&amp;"")</f>
        <v/>
      </c>
      <c r="P2336" s="4">
        <f>IFERROR(MATCH(2331,상세표[연속순번],0),"")</f>
        <v/>
      </c>
    </row>
    <row r="2337">
      <c r="A2337">
        <f>IF($P2337="","",INDEX(상세표[사번],$P2337)&amp;"")</f>
        <v/>
      </c>
      <c r="B2337">
        <f>IF($P2337="","",INDEX(상세표[성명],$P2337)&amp;"")</f>
        <v/>
      </c>
      <c r="C2337">
        <f>IF($P2337="","",INDEX(상세표[부서],$P2337)&amp;"")</f>
        <v/>
      </c>
      <c r="D2337">
        <f>IF($P2337="","",INDEX(상세표[직위],$P2337)&amp;"")</f>
        <v/>
      </c>
      <c r="E2337">
        <f>IF($P2337="","",IF(ISNUMBER(INDEX(상세표[시작],$P2337)),TEXT(INDEX(상세표[시작],$P2337),"yyyy-mm-dd hh:mm"),INDEX(상세표[시작],$P2337)&amp;""))</f>
        <v/>
      </c>
      <c r="F2337">
        <f>IF($P2337="","",IF(ISNUMBER(INDEX(상세표[블록종료],$P2337)),TEXT(INDEX(상세표[블록종료],$P2337),"yyyy-mm-dd hh:mm"),INDEX(상세표[블록종료],$P2337)&amp;""))</f>
        <v/>
      </c>
      <c r="G2337">
        <f>IF($P2337="","",CHOOSE(WEEKDAY(INDEX(상세표[시작],$P2337)),"일","월","화","수","목","금","토"))</f>
        <v/>
      </c>
      <c r="H2337">
        <f>IF($P2337="","",INDEX(상세표[연속 시간],$P2337))</f>
        <v/>
      </c>
      <c r="I2337">
        <f>IF($P2337="","",INDEX(상세표[기록 수],$P2337))</f>
        <v/>
      </c>
      <c r="J2337">
        <f>IF($P2337="","",INDEX(상세표[블록 06~07시],$P2337))</f>
        <v/>
      </c>
      <c r="K2337">
        <f>IF($P2337="","",INDEX(상세표[블록 07~18시],$P2337))</f>
        <v/>
      </c>
      <c r="L2337">
        <f>IF($P2337="","",INDEX(상세표[블록 18~22시],$P2337))</f>
        <v/>
      </c>
      <c r="M2337">
        <f>IF($P2337="","",INDEX(상세표[블록 22~06시],$P2337))</f>
        <v/>
      </c>
      <c r="N2337">
        <f>IF($P2337="","",INDEX(상세표[주말·휴일 포함],$P2337)&amp;"")</f>
        <v/>
      </c>
      <c r="O2337">
        <f>IF($P2337="","",INDEX(상세표[월 넘김 포함],$P2337)&amp;"")</f>
        <v/>
      </c>
      <c r="P2337" s="4">
        <f>IFERROR(MATCH(2332,상세표[연속순번],0),"")</f>
        <v/>
      </c>
    </row>
    <row r="2338">
      <c r="A2338">
        <f>IF($P2338="","",INDEX(상세표[사번],$P2338)&amp;"")</f>
        <v/>
      </c>
      <c r="B2338">
        <f>IF($P2338="","",INDEX(상세표[성명],$P2338)&amp;"")</f>
        <v/>
      </c>
      <c r="C2338">
        <f>IF($P2338="","",INDEX(상세표[부서],$P2338)&amp;"")</f>
        <v/>
      </c>
      <c r="D2338">
        <f>IF($P2338="","",INDEX(상세표[직위],$P2338)&amp;"")</f>
        <v/>
      </c>
      <c r="E2338">
        <f>IF($P2338="","",IF(ISNUMBER(INDEX(상세표[시작],$P2338)),TEXT(INDEX(상세표[시작],$P2338),"yyyy-mm-dd hh:mm"),INDEX(상세표[시작],$P2338)&amp;""))</f>
        <v/>
      </c>
      <c r="F2338">
        <f>IF($P2338="","",IF(ISNUMBER(INDEX(상세표[블록종료],$P2338)),TEXT(INDEX(상세표[블록종료],$P2338),"yyyy-mm-dd hh:mm"),INDEX(상세표[블록종료],$P2338)&amp;""))</f>
        <v/>
      </c>
      <c r="G2338">
        <f>IF($P2338="","",CHOOSE(WEEKDAY(INDEX(상세표[시작],$P2338)),"일","월","화","수","목","금","토"))</f>
        <v/>
      </c>
      <c r="H2338">
        <f>IF($P2338="","",INDEX(상세표[연속 시간],$P2338))</f>
        <v/>
      </c>
      <c r="I2338">
        <f>IF($P2338="","",INDEX(상세표[기록 수],$P2338))</f>
        <v/>
      </c>
      <c r="J2338">
        <f>IF($P2338="","",INDEX(상세표[블록 06~07시],$P2338))</f>
        <v/>
      </c>
      <c r="K2338">
        <f>IF($P2338="","",INDEX(상세표[블록 07~18시],$P2338))</f>
        <v/>
      </c>
      <c r="L2338">
        <f>IF($P2338="","",INDEX(상세표[블록 18~22시],$P2338))</f>
        <v/>
      </c>
      <c r="M2338">
        <f>IF($P2338="","",INDEX(상세표[블록 22~06시],$P2338))</f>
        <v/>
      </c>
      <c r="N2338">
        <f>IF($P2338="","",INDEX(상세표[주말·휴일 포함],$P2338)&amp;"")</f>
        <v/>
      </c>
      <c r="O2338">
        <f>IF($P2338="","",INDEX(상세표[월 넘김 포함],$P2338)&amp;"")</f>
        <v/>
      </c>
      <c r="P2338" s="4">
        <f>IFERROR(MATCH(2333,상세표[연속순번],0),"")</f>
        <v/>
      </c>
    </row>
    <row r="2339">
      <c r="A2339">
        <f>IF($P2339="","",INDEX(상세표[사번],$P2339)&amp;"")</f>
        <v/>
      </c>
      <c r="B2339">
        <f>IF($P2339="","",INDEX(상세표[성명],$P2339)&amp;"")</f>
        <v/>
      </c>
      <c r="C2339">
        <f>IF($P2339="","",INDEX(상세표[부서],$P2339)&amp;"")</f>
        <v/>
      </c>
      <c r="D2339">
        <f>IF($P2339="","",INDEX(상세표[직위],$P2339)&amp;"")</f>
        <v/>
      </c>
      <c r="E2339">
        <f>IF($P2339="","",IF(ISNUMBER(INDEX(상세표[시작],$P2339)),TEXT(INDEX(상세표[시작],$P2339),"yyyy-mm-dd hh:mm"),INDEX(상세표[시작],$P2339)&amp;""))</f>
        <v/>
      </c>
      <c r="F2339">
        <f>IF($P2339="","",IF(ISNUMBER(INDEX(상세표[블록종료],$P2339)),TEXT(INDEX(상세표[블록종료],$P2339),"yyyy-mm-dd hh:mm"),INDEX(상세표[블록종료],$P2339)&amp;""))</f>
        <v/>
      </c>
      <c r="G2339">
        <f>IF($P2339="","",CHOOSE(WEEKDAY(INDEX(상세표[시작],$P2339)),"일","월","화","수","목","금","토"))</f>
        <v/>
      </c>
      <c r="H2339">
        <f>IF($P2339="","",INDEX(상세표[연속 시간],$P2339))</f>
        <v/>
      </c>
      <c r="I2339">
        <f>IF($P2339="","",INDEX(상세표[기록 수],$P2339))</f>
        <v/>
      </c>
      <c r="J2339">
        <f>IF($P2339="","",INDEX(상세표[블록 06~07시],$P2339))</f>
        <v/>
      </c>
      <c r="K2339">
        <f>IF($P2339="","",INDEX(상세표[블록 07~18시],$P2339))</f>
        <v/>
      </c>
      <c r="L2339">
        <f>IF($P2339="","",INDEX(상세표[블록 18~22시],$P2339))</f>
        <v/>
      </c>
      <c r="M2339">
        <f>IF($P2339="","",INDEX(상세표[블록 22~06시],$P2339))</f>
        <v/>
      </c>
      <c r="N2339">
        <f>IF($P2339="","",INDEX(상세표[주말·휴일 포함],$P2339)&amp;"")</f>
        <v/>
      </c>
      <c r="O2339">
        <f>IF($P2339="","",INDEX(상세표[월 넘김 포함],$P2339)&amp;"")</f>
        <v/>
      </c>
      <c r="P2339" s="4">
        <f>IFERROR(MATCH(2334,상세표[연속순번],0),"")</f>
        <v/>
      </c>
    </row>
    <row r="2340">
      <c r="A2340">
        <f>IF($P2340="","",INDEX(상세표[사번],$P2340)&amp;"")</f>
        <v/>
      </c>
      <c r="B2340">
        <f>IF($P2340="","",INDEX(상세표[성명],$P2340)&amp;"")</f>
        <v/>
      </c>
      <c r="C2340">
        <f>IF($P2340="","",INDEX(상세표[부서],$P2340)&amp;"")</f>
        <v/>
      </c>
      <c r="D2340">
        <f>IF($P2340="","",INDEX(상세표[직위],$P2340)&amp;"")</f>
        <v/>
      </c>
      <c r="E2340">
        <f>IF($P2340="","",IF(ISNUMBER(INDEX(상세표[시작],$P2340)),TEXT(INDEX(상세표[시작],$P2340),"yyyy-mm-dd hh:mm"),INDEX(상세표[시작],$P2340)&amp;""))</f>
        <v/>
      </c>
      <c r="F2340">
        <f>IF($P2340="","",IF(ISNUMBER(INDEX(상세표[블록종료],$P2340)),TEXT(INDEX(상세표[블록종료],$P2340),"yyyy-mm-dd hh:mm"),INDEX(상세표[블록종료],$P2340)&amp;""))</f>
        <v/>
      </c>
      <c r="G2340">
        <f>IF($P2340="","",CHOOSE(WEEKDAY(INDEX(상세표[시작],$P2340)),"일","월","화","수","목","금","토"))</f>
        <v/>
      </c>
      <c r="H2340">
        <f>IF($P2340="","",INDEX(상세표[연속 시간],$P2340))</f>
        <v/>
      </c>
      <c r="I2340">
        <f>IF($P2340="","",INDEX(상세표[기록 수],$P2340))</f>
        <v/>
      </c>
      <c r="J2340">
        <f>IF($P2340="","",INDEX(상세표[블록 06~07시],$P2340))</f>
        <v/>
      </c>
      <c r="K2340">
        <f>IF($P2340="","",INDEX(상세표[블록 07~18시],$P2340))</f>
        <v/>
      </c>
      <c r="L2340">
        <f>IF($P2340="","",INDEX(상세표[블록 18~22시],$P2340))</f>
        <v/>
      </c>
      <c r="M2340">
        <f>IF($P2340="","",INDEX(상세표[블록 22~06시],$P2340))</f>
        <v/>
      </c>
      <c r="N2340">
        <f>IF($P2340="","",INDEX(상세표[주말·휴일 포함],$P2340)&amp;"")</f>
        <v/>
      </c>
      <c r="O2340">
        <f>IF($P2340="","",INDEX(상세표[월 넘김 포함],$P2340)&amp;"")</f>
        <v/>
      </c>
      <c r="P2340" s="4">
        <f>IFERROR(MATCH(2335,상세표[연속순번],0),"")</f>
        <v/>
      </c>
    </row>
    <row r="2341">
      <c r="A2341">
        <f>IF($P2341="","",INDEX(상세표[사번],$P2341)&amp;"")</f>
        <v/>
      </c>
      <c r="B2341">
        <f>IF($P2341="","",INDEX(상세표[성명],$P2341)&amp;"")</f>
        <v/>
      </c>
      <c r="C2341">
        <f>IF($P2341="","",INDEX(상세표[부서],$P2341)&amp;"")</f>
        <v/>
      </c>
      <c r="D2341">
        <f>IF($P2341="","",INDEX(상세표[직위],$P2341)&amp;"")</f>
        <v/>
      </c>
      <c r="E2341">
        <f>IF($P2341="","",IF(ISNUMBER(INDEX(상세표[시작],$P2341)),TEXT(INDEX(상세표[시작],$P2341),"yyyy-mm-dd hh:mm"),INDEX(상세표[시작],$P2341)&amp;""))</f>
        <v/>
      </c>
      <c r="F2341">
        <f>IF($P2341="","",IF(ISNUMBER(INDEX(상세표[블록종료],$P2341)),TEXT(INDEX(상세표[블록종료],$P2341),"yyyy-mm-dd hh:mm"),INDEX(상세표[블록종료],$P2341)&amp;""))</f>
        <v/>
      </c>
      <c r="G2341">
        <f>IF($P2341="","",CHOOSE(WEEKDAY(INDEX(상세표[시작],$P2341)),"일","월","화","수","목","금","토"))</f>
        <v/>
      </c>
      <c r="H2341">
        <f>IF($P2341="","",INDEX(상세표[연속 시간],$P2341))</f>
        <v/>
      </c>
      <c r="I2341">
        <f>IF($P2341="","",INDEX(상세표[기록 수],$P2341))</f>
        <v/>
      </c>
      <c r="J2341">
        <f>IF($P2341="","",INDEX(상세표[블록 06~07시],$P2341))</f>
        <v/>
      </c>
      <c r="K2341">
        <f>IF($P2341="","",INDEX(상세표[블록 07~18시],$P2341))</f>
        <v/>
      </c>
      <c r="L2341">
        <f>IF($P2341="","",INDEX(상세표[블록 18~22시],$P2341))</f>
        <v/>
      </c>
      <c r="M2341">
        <f>IF($P2341="","",INDEX(상세표[블록 22~06시],$P2341))</f>
        <v/>
      </c>
      <c r="N2341">
        <f>IF($P2341="","",INDEX(상세표[주말·휴일 포함],$P2341)&amp;"")</f>
        <v/>
      </c>
      <c r="O2341">
        <f>IF($P2341="","",INDEX(상세표[월 넘김 포함],$P2341)&amp;"")</f>
        <v/>
      </c>
      <c r="P2341" s="4">
        <f>IFERROR(MATCH(2336,상세표[연속순번],0),"")</f>
        <v/>
      </c>
    </row>
    <row r="2342">
      <c r="A2342">
        <f>IF($P2342="","",INDEX(상세표[사번],$P2342)&amp;"")</f>
        <v/>
      </c>
      <c r="B2342">
        <f>IF($P2342="","",INDEX(상세표[성명],$P2342)&amp;"")</f>
        <v/>
      </c>
      <c r="C2342">
        <f>IF($P2342="","",INDEX(상세표[부서],$P2342)&amp;"")</f>
        <v/>
      </c>
      <c r="D2342">
        <f>IF($P2342="","",INDEX(상세표[직위],$P2342)&amp;"")</f>
        <v/>
      </c>
      <c r="E2342">
        <f>IF($P2342="","",IF(ISNUMBER(INDEX(상세표[시작],$P2342)),TEXT(INDEX(상세표[시작],$P2342),"yyyy-mm-dd hh:mm"),INDEX(상세표[시작],$P2342)&amp;""))</f>
        <v/>
      </c>
      <c r="F2342">
        <f>IF($P2342="","",IF(ISNUMBER(INDEX(상세표[블록종료],$P2342)),TEXT(INDEX(상세표[블록종료],$P2342),"yyyy-mm-dd hh:mm"),INDEX(상세표[블록종료],$P2342)&amp;""))</f>
        <v/>
      </c>
      <c r="G2342">
        <f>IF($P2342="","",CHOOSE(WEEKDAY(INDEX(상세표[시작],$P2342)),"일","월","화","수","목","금","토"))</f>
        <v/>
      </c>
      <c r="H2342">
        <f>IF($P2342="","",INDEX(상세표[연속 시간],$P2342))</f>
        <v/>
      </c>
      <c r="I2342">
        <f>IF($P2342="","",INDEX(상세표[기록 수],$P2342))</f>
        <v/>
      </c>
      <c r="J2342">
        <f>IF($P2342="","",INDEX(상세표[블록 06~07시],$P2342))</f>
        <v/>
      </c>
      <c r="K2342">
        <f>IF($P2342="","",INDEX(상세표[블록 07~18시],$P2342))</f>
        <v/>
      </c>
      <c r="L2342">
        <f>IF($P2342="","",INDEX(상세표[블록 18~22시],$P2342))</f>
        <v/>
      </c>
      <c r="M2342">
        <f>IF($P2342="","",INDEX(상세표[블록 22~06시],$P2342))</f>
        <v/>
      </c>
      <c r="N2342">
        <f>IF($P2342="","",INDEX(상세표[주말·휴일 포함],$P2342)&amp;"")</f>
        <v/>
      </c>
      <c r="O2342">
        <f>IF($P2342="","",INDEX(상세표[월 넘김 포함],$P2342)&amp;"")</f>
        <v/>
      </c>
      <c r="P2342" s="4">
        <f>IFERROR(MATCH(2337,상세표[연속순번],0),"")</f>
        <v/>
      </c>
    </row>
    <row r="2343">
      <c r="A2343">
        <f>IF($P2343="","",INDEX(상세표[사번],$P2343)&amp;"")</f>
        <v/>
      </c>
      <c r="B2343">
        <f>IF($P2343="","",INDEX(상세표[성명],$P2343)&amp;"")</f>
        <v/>
      </c>
      <c r="C2343">
        <f>IF($P2343="","",INDEX(상세표[부서],$P2343)&amp;"")</f>
        <v/>
      </c>
      <c r="D2343">
        <f>IF($P2343="","",INDEX(상세표[직위],$P2343)&amp;"")</f>
        <v/>
      </c>
      <c r="E2343">
        <f>IF($P2343="","",IF(ISNUMBER(INDEX(상세표[시작],$P2343)),TEXT(INDEX(상세표[시작],$P2343),"yyyy-mm-dd hh:mm"),INDEX(상세표[시작],$P2343)&amp;""))</f>
        <v/>
      </c>
      <c r="F2343">
        <f>IF($P2343="","",IF(ISNUMBER(INDEX(상세표[블록종료],$P2343)),TEXT(INDEX(상세표[블록종료],$P2343),"yyyy-mm-dd hh:mm"),INDEX(상세표[블록종료],$P2343)&amp;""))</f>
        <v/>
      </c>
      <c r="G2343">
        <f>IF($P2343="","",CHOOSE(WEEKDAY(INDEX(상세표[시작],$P2343)),"일","월","화","수","목","금","토"))</f>
        <v/>
      </c>
      <c r="H2343">
        <f>IF($P2343="","",INDEX(상세표[연속 시간],$P2343))</f>
        <v/>
      </c>
      <c r="I2343">
        <f>IF($P2343="","",INDEX(상세표[기록 수],$P2343))</f>
        <v/>
      </c>
      <c r="J2343">
        <f>IF($P2343="","",INDEX(상세표[블록 06~07시],$P2343))</f>
        <v/>
      </c>
      <c r="K2343">
        <f>IF($P2343="","",INDEX(상세표[블록 07~18시],$P2343))</f>
        <v/>
      </c>
      <c r="L2343">
        <f>IF($P2343="","",INDEX(상세표[블록 18~22시],$P2343))</f>
        <v/>
      </c>
      <c r="M2343">
        <f>IF($P2343="","",INDEX(상세표[블록 22~06시],$P2343))</f>
        <v/>
      </c>
      <c r="N2343">
        <f>IF($P2343="","",INDEX(상세표[주말·휴일 포함],$P2343)&amp;"")</f>
        <v/>
      </c>
      <c r="O2343">
        <f>IF($P2343="","",INDEX(상세표[월 넘김 포함],$P2343)&amp;"")</f>
        <v/>
      </c>
      <c r="P2343" s="4">
        <f>IFERROR(MATCH(2338,상세표[연속순번],0),"")</f>
        <v/>
      </c>
    </row>
    <row r="2344">
      <c r="A2344">
        <f>IF($P2344="","",INDEX(상세표[사번],$P2344)&amp;"")</f>
        <v/>
      </c>
      <c r="B2344">
        <f>IF($P2344="","",INDEX(상세표[성명],$P2344)&amp;"")</f>
        <v/>
      </c>
      <c r="C2344">
        <f>IF($P2344="","",INDEX(상세표[부서],$P2344)&amp;"")</f>
        <v/>
      </c>
      <c r="D2344">
        <f>IF($P2344="","",INDEX(상세표[직위],$P2344)&amp;"")</f>
        <v/>
      </c>
      <c r="E2344">
        <f>IF($P2344="","",IF(ISNUMBER(INDEX(상세표[시작],$P2344)),TEXT(INDEX(상세표[시작],$P2344),"yyyy-mm-dd hh:mm"),INDEX(상세표[시작],$P2344)&amp;""))</f>
        <v/>
      </c>
      <c r="F2344">
        <f>IF($P2344="","",IF(ISNUMBER(INDEX(상세표[블록종료],$P2344)),TEXT(INDEX(상세표[블록종료],$P2344),"yyyy-mm-dd hh:mm"),INDEX(상세표[블록종료],$P2344)&amp;""))</f>
        <v/>
      </c>
      <c r="G2344">
        <f>IF($P2344="","",CHOOSE(WEEKDAY(INDEX(상세표[시작],$P2344)),"일","월","화","수","목","금","토"))</f>
        <v/>
      </c>
      <c r="H2344">
        <f>IF($P2344="","",INDEX(상세표[연속 시간],$P2344))</f>
        <v/>
      </c>
      <c r="I2344">
        <f>IF($P2344="","",INDEX(상세표[기록 수],$P2344))</f>
        <v/>
      </c>
      <c r="J2344">
        <f>IF($P2344="","",INDEX(상세표[블록 06~07시],$P2344))</f>
        <v/>
      </c>
      <c r="K2344">
        <f>IF($P2344="","",INDEX(상세표[블록 07~18시],$P2344))</f>
        <v/>
      </c>
      <c r="L2344">
        <f>IF($P2344="","",INDEX(상세표[블록 18~22시],$P2344))</f>
        <v/>
      </c>
      <c r="M2344">
        <f>IF($P2344="","",INDEX(상세표[블록 22~06시],$P2344))</f>
        <v/>
      </c>
      <c r="N2344">
        <f>IF($P2344="","",INDEX(상세표[주말·휴일 포함],$P2344)&amp;"")</f>
        <v/>
      </c>
      <c r="O2344">
        <f>IF($P2344="","",INDEX(상세표[월 넘김 포함],$P2344)&amp;"")</f>
        <v/>
      </c>
      <c r="P2344" s="4">
        <f>IFERROR(MATCH(2339,상세표[연속순번],0),"")</f>
        <v/>
      </c>
    </row>
    <row r="2345">
      <c r="A2345">
        <f>IF($P2345="","",INDEX(상세표[사번],$P2345)&amp;"")</f>
        <v/>
      </c>
      <c r="B2345">
        <f>IF($P2345="","",INDEX(상세표[성명],$P2345)&amp;"")</f>
        <v/>
      </c>
      <c r="C2345">
        <f>IF($P2345="","",INDEX(상세표[부서],$P2345)&amp;"")</f>
        <v/>
      </c>
      <c r="D2345">
        <f>IF($P2345="","",INDEX(상세표[직위],$P2345)&amp;"")</f>
        <v/>
      </c>
      <c r="E2345">
        <f>IF($P2345="","",IF(ISNUMBER(INDEX(상세표[시작],$P2345)),TEXT(INDEX(상세표[시작],$P2345),"yyyy-mm-dd hh:mm"),INDEX(상세표[시작],$P2345)&amp;""))</f>
        <v/>
      </c>
      <c r="F2345">
        <f>IF($P2345="","",IF(ISNUMBER(INDEX(상세표[블록종료],$P2345)),TEXT(INDEX(상세표[블록종료],$P2345),"yyyy-mm-dd hh:mm"),INDEX(상세표[블록종료],$P2345)&amp;""))</f>
        <v/>
      </c>
      <c r="G2345">
        <f>IF($P2345="","",CHOOSE(WEEKDAY(INDEX(상세표[시작],$P2345)),"일","월","화","수","목","금","토"))</f>
        <v/>
      </c>
      <c r="H2345">
        <f>IF($P2345="","",INDEX(상세표[연속 시간],$P2345))</f>
        <v/>
      </c>
      <c r="I2345">
        <f>IF($P2345="","",INDEX(상세표[기록 수],$P2345))</f>
        <v/>
      </c>
      <c r="J2345">
        <f>IF($P2345="","",INDEX(상세표[블록 06~07시],$P2345))</f>
        <v/>
      </c>
      <c r="K2345">
        <f>IF($P2345="","",INDEX(상세표[블록 07~18시],$P2345))</f>
        <v/>
      </c>
      <c r="L2345">
        <f>IF($P2345="","",INDEX(상세표[블록 18~22시],$P2345))</f>
        <v/>
      </c>
      <c r="M2345">
        <f>IF($P2345="","",INDEX(상세표[블록 22~06시],$P2345))</f>
        <v/>
      </c>
      <c r="N2345">
        <f>IF($P2345="","",INDEX(상세표[주말·휴일 포함],$P2345)&amp;"")</f>
        <v/>
      </c>
      <c r="O2345">
        <f>IF($P2345="","",INDEX(상세표[월 넘김 포함],$P2345)&amp;"")</f>
        <v/>
      </c>
      <c r="P2345" s="4">
        <f>IFERROR(MATCH(2340,상세표[연속순번],0),"")</f>
        <v/>
      </c>
    </row>
    <row r="2346">
      <c r="A2346">
        <f>IF($P2346="","",INDEX(상세표[사번],$P2346)&amp;"")</f>
        <v/>
      </c>
      <c r="B2346">
        <f>IF($P2346="","",INDEX(상세표[성명],$P2346)&amp;"")</f>
        <v/>
      </c>
      <c r="C2346">
        <f>IF($P2346="","",INDEX(상세표[부서],$P2346)&amp;"")</f>
        <v/>
      </c>
      <c r="D2346">
        <f>IF($P2346="","",INDEX(상세표[직위],$P2346)&amp;"")</f>
        <v/>
      </c>
      <c r="E2346">
        <f>IF($P2346="","",IF(ISNUMBER(INDEX(상세표[시작],$P2346)),TEXT(INDEX(상세표[시작],$P2346),"yyyy-mm-dd hh:mm"),INDEX(상세표[시작],$P2346)&amp;""))</f>
        <v/>
      </c>
      <c r="F2346">
        <f>IF($P2346="","",IF(ISNUMBER(INDEX(상세표[블록종료],$P2346)),TEXT(INDEX(상세표[블록종료],$P2346),"yyyy-mm-dd hh:mm"),INDEX(상세표[블록종료],$P2346)&amp;""))</f>
        <v/>
      </c>
      <c r="G2346">
        <f>IF($P2346="","",CHOOSE(WEEKDAY(INDEX(상세표[시작],$P2346)),"일","월","화","수","목","금","토"))</f>
        <v/>
      </c>
      <c r="H2346">
        <f>IF($P2346="","",INDEX(상세표[연속 시간],$P2346))</f>
        <v/>
      </c>
      <c r="I2346">
        <f>IF($P2346="","",INDEX(상세표[기록 수],$P2346))</f>
        <v/>
      </c>
      <c r="J2346">
        <f>IF($P2346="","",INDEX(상세표[블록 06~07시],$P2346))</f>
        <v/>
      </c>
      <c r="K2346">
        <f>IF($P2346="","",INDEX(상세표[블록 07~18시],$P2346))</f>
        <v/>
      </c>
      <c r="L2346">
        <f>IF($P2346="","",INDEX(상세표[블록 18~22시],$P2346))</f>
        <v/>
      </c>
      <c r="M2346">
        <f>IF($P2346="","",INDEX(상세표[블록 22~06시],$P2346))</f>
        <v/>
      </c>
      <c r="N2346">
        <f>IF($P2346="","",INDEX(상세표[주말·휴일 포함],$P2346)&amp;"")</f>
        <v/>
      </c>
      <c r="O2346">
        <f>IF($P2346="","",INDEX(상세표[월 넘김 포함],$P2346)&amp;"")</f>
        <v/>
      </c>
      <c r="P2346" s="4">
        <f>IFERROR(MATCH(2341,상세표[연속순번],0),"")</f>
        <v/>
      </c>
    </row>
    <row r="2347">
      <c r="A2347">
        <f>IF($P2347="","",INDEX(상세표[사번],$P2347)&amp;"")</f>
        <v/>
      </c>
      <c r="B2347">
        <f>IF($P2347="","",INDEX(상세표[성명],$P2347)&amp;"")</f>
        <v/>
      </c>
      <c r="C2347">
        <f>IF($P2347="","",INDEX(상세표[부서],$P2347)&amp;"")</f>
        <v/>
      </c>
      <c r="D2347">
        <f>IF($P2347="","",INDEX(상세표[직위],$P2347)&amp;"")</f>
        <v/>
      </c>
      <c r="E2347">
        <f>IF($P2347="","",IF(ISNUMBER(INDEX(상세표[시작],$P2347)),TEXT(INDEX(상세표[시작],$P2347),"yyyy-mm-dd hh:mm"),INDEX(상세표[시작],$P2347)&amp;""))</f>
        <v/>
      </c>
      <c r="F2347">
        <f>IF($P2347="","",IF(ISNUMBER(INDEX(상세표[블록종료],$P2347)),TEXT(INDEX(상세표[블록종료],$P2347),"yyyy-mm-dd hh:mm"),INDEX(상세표[블록종료],$P2347)&amp;""))</f>
        <v/>
      </c>
      <c r="G2347">
        <f>IF($P2347="","",CHOOSE(WEEKDAY(INDEX(상세표[시작],$P2347)),"일","월","화","수","목","금","토"))</f>
        <v/>
      </c>
      <c r="H2347">
        <f>IF($P2347="","",INDEX(상세표[연속 시간],$P2347))</f>
        <v/>
      </c>
      <c r="I2347">
        <f>IF($P2347="","",INDEX(상세표[기록 수],$P2347))</f>
        <v/>
      </c>
      <c r="J2347">
        <f>IF($P2347="","",INDEX(상세표[블록 06~07시],$P2347))</f>
        <v/>
      </c>
      <c r="K2347">
        <f>IF($P2347="","",INDEX(상세표[블록 07~18시],$P2347))</f>
        <v/>
      </c>
      <c r="L2347">
        <f>IF($P2347="","",INDEX(상세표[블록 18~22시],$P2347))</f>
        <v/>
      </c>
      <c r="M2347">
        <f>IF($P2347="","",INDEX(상세표[블록 22~06시],$P2347))</f>
        <v/>
      </c>
      <c r="N2347">
        <f>IF($P2347="","",INDEX(상세표[주말·휴일 포함],$P2347)&amp;"")</f>
        <v/>
      </c>
      <c r="O2347">
        <f>IF($P2347="","",INDEX(상세표[월 넘김 포함],$P2347)&amp;"")</f>
        <v/>
      </c>
      <c r="P2347" s="4">
        <f>IFERROR(MATCH(2342,상세표[연속순번],0),"")</f>
        <v/>
      </c>
    </row>
    <row r="2348">
      <c r="A2348">
        <f>IF($P2348="","",INDEX(상세표[사번],$P2348)&amp;"")</f>
        <v/>
      </c>
      <c r="B2348">
        <f>IF($P2348="","",INDEX(상세표[성명],$P2348)&amp;"")</f>
        <v/>
      </c>
      <c r="C2348">
        <f>IF($P2348="","",INDEX(상세표[부서],$P2348)&amp;"")</f>
        <v/>
      </c>
      <c r="D2348">
        <f>IF($P2348="","",INDEX(상세표[직위],$P2348)&amp;"")</f>
        <v/>
      </c>
      <c r="E2348">
        <f>IF($P2348="","",IF(ISNUMBER(INDEX(상세표[시작],$P2348)),TEXT(INDEX(상세표[시작],$P2348),"yyyy-mm-dd hh:mm"),INDEX(상세표[시작],$P2348)&amp;""))</f>
        <v/>
      </c>
      <c r="F2348">
        <f>IF($P2348="","",IF(ISNUMBER(INDEX(상세표[블록종료],$P2348)),TEXT(INDEX(상세표[블록종료],$P2348),"yyyy-mm-dd hh:mm"),INDEX(상세표[블록종료],$P2348)&amp;""))</f>
        <v/>
      </c>
      <c r="G2348">
        <f>IF($P2348="","",CHOOSE(WEEKDAY(INDEX(상세표[시작],$P2348)),"일","월","화","수","목","금","토"))</f>
        <v/>
      </c>
      <c r="H2348">
        <f>IF($P2348="","",INDEX(상세표[연속 시간],$P2348))</f>
        <v/>
      </c>
      <c r="I2348">
        <f>IF($P2348="","",INDEX(상세표[기록 수],$P2348))</f>
        <v/>
      </c>
      <c r="J2348">
        <f>IF($P2348="","",INDEX(상세표[블록 06~07시],$P2348))</f>
        <v/>
      </c>
      <c r="K2348">
        <f>IF($P2348="","",INDEX(상세표[블록 07~18시],$P2348))</f>
        <v/>
      </c>
      <c r="L2348">
        <f>IF($P2348="","",INDEX(상세표[블록 18~22시],$P2348))</f>
        <v/>
      </c>
      <c r="M2348">
        <f>IF($P2348="","",INDEX(상세표[블록 22~06시],$P2348))</f>
        <v/>
      </c>
      <c r="N2348">
        <f>IF($P2348="","",INDEX(상세표[주말·휴일 포함],$P2348)&amp;"")</f>
        <v/>
      </c>
      <c r="O2348">
        <f>IF($P2348="","",INDEX(상세표[월 넘김 포함],$P2348)&amp;"")</f>
        <v/>
      </c>
      <c r="P2348" s="4">
        <f>IFERROR(MATCH(2343,상세표[연속순번],0),"")</f>
        <v/>
      </c>
    </row>
    <row r="2349">
      <c r="A2349">
        <f>IF($P2349="","",INDEX(상세표[사번],$P2349)&amp;"")</f>
        <v/>
      </c>
      <c r="B2349">
        <f>IF($P2349="","",INDEX(상세표[성명],$P2349)&amp;"")</f>
        <v/>
      </c>
      <c r="C2349">
        <f>IF($P2349="","",INDEX(상세표[부서],$P2349)&amp;"")</f>
        <v/>
      </c>
      <c r="D2349">
        <f>IF($P2349="","",INDEX(상세표[직위],$P2349)&amp;"")</f>
        <v/>
      </c>
      <c r="E2349">
        <f>IF($P2349="","",IF(ISNUMBER(INDEX(상세표[시작],$P2349)),TEXT(INDEX(상세표[시작],$P2349),"yyyy-mm-dd hh:mm"),INDEX(상세표[시작],$P2349)&amp;""))</f>
        <v/>
      </c>
      <c r="F2349">
        <f>IF($P2349="","",IF(ISNUMBER(INDEX(상세표[블록종료],$P2349)),TEXT(INDEX(상세표[블록종료],$P2349),"yyyy-mm-dd hh:mm"),INDEX(상세표[블록종료],$P2349)&amp;""))</f>
        <v/>
      </c>
      <c r="G2349">
        <f>IF($P2349="","",CHOOSE(WEEKDAY(INDEX(상세표[시작],$P2349)),"일","월","화","수","목","금","토"))</f>
        <v/>
      </c>
      <c r="H2349">
        <f>IF($P2349="","",INDEX(상세표[연속 시간],$P2349))</f>
        <v/>
      </c>
      <c r="I2349">
        <f>IF($P2349="","",INDEX(상세표[기록 수],$P2349))</f>
        <v/>
      </c>
      <c r="J2349">
        <f>IF($P2349="","",INDEX(상세표[블록 06~07시],$P2349))</f>
        <v/>
      </c>
      <c r="K2349">
        <f>IF($P2349="","",INDEX(상세표[블록 07~18시],$P2349))</f>
        <v/>
      </c>
      <c r="L2349">
        <f>IF($P2349="","",INDEX(상세표[블록 18~22시],$P2349))</f>
        <v/>
      </c>
      <c r="M2349">
        <f>IF($P2349="","",INDEX(상세표[블록 22~06시],$P2349))</f>
        <v/>
      </c>
      <c r="N2349">
        <f>IF($P2349="","",INDEX(상세표[주말·휴일 포함],$P2349)&amp;"")</f>
        <v/>
      </c>
      <c r="O2349">
        <f>IF($P2349="","",INDEX(상세표[월 넘김 포함],$P2349)&amp;"")</f>
        <v/>
      </c>
      <c r="P2349" s="4">
        <f>IFERROR(MATCH(2344,상세표[연속순번],0),"")</f>
        <v/>
      </c>
    </row>
    <row r="2350">
      <c r="A2350">
        <f>IF($P2350="","",INDEX(상세표[사번],$P2350)&amp;"")</f>
        <v/>
      </c>
      <c r="B2350">
        <f>IF($P2350="","",INDEX(상세표[성명],$P2350)&amp;"")</f>
        <v/>
      </c>
      <c r="C2350">
        <f>IF($P2350="","",INDEX(상세표[부서],$P2350)&amp;"")</f>
        <v/>
      </c>
      <c r="D2350">
        <f>IF($P2350="","",INDEX(상세표[직위],$P2350)&amp;"")</f>
        <v/>
      </c>
      <c r="E2350">
        <f>IF($P2350="","",IF(ISNUMBER(INDEX(상세표[시작],$P2350)),TEXT(INDEX(상세표[시작],$P2350),"yyyy-mm-dd hh:mm"),INDEX(상세표[시작],$P2350)&amp;""))</f>
        <v/>
      </c>
      <c r="F2350">
        <f>IF($P2350="","",IF(ISNUMBER(INDEX(상세표[블록종료],$P2350)),TEXT(INDEX(상세표[블록종료],$P2350),"yyyy-mm-dd hh:mm"),INDEX(상세표[블록종료],$P2350)&amp;""))</f>
        <v/>
      </c>
      <c r="G2350">
        <f>IF($P2350="","",CHOOSE(WEEKDAY(INDEX(상세표[시작],$P2350)),"일","월","화","수","목","금","토"))</f>
        <v/>
      </c>
      <c r="H2350">
        <f>IF($P2350="","",INDEX(상세표[연속 시간],$P2350))</f>
        <v/>
      </c>
      <c r="I2350">
        <f>IF($P2350="","",INDEX(상세표[기록 수],$P2350))</f>
        <v/>
      </c>
      <c r="J2350">
        <f>IF($P2350="","",INDEX(상세표[블록 06~07시],$P2350))</f>
        <v/>
      </c>
      <c r="K2350">
        <f>IF($P2350="","",INDEX(상세표[블록 07~18시],$P2350))</f>
        <v/>
      </c>
      <c r="L2350">
        <f>IF($P2350="","",INDEX(상세표[블록 18~22시],$P2350))</f>
        <v/>
      </c>
      <c r="M2350">
        <f>IF($P2350="","",INDEX(상세표[블록 22~06시],$P2350))</f>
        <v/>
      </c>
      <c r="N2350">
        <f>IF($P2350="","",INDEX(상세표[주말·휴일 포함],$P2350)&amp;"")</f>
        <v/>
      </c>
      <c r="O2350">
        <f>IF($P2350="","",INDEX(상세표[월 넘김 포함],$P2350)&amp;"")</f>
        <v/>
      </c>
      <c r="P2350" s="4">
        <f>IFERROR(MATCH(2345,상세표[연속순번],0),"")</f>
        <v/>
      </c>
    </row>
    <row r="2351">
      <c r="A2351">
        <f>IF($P2351="","",INDEX(상세표[사번],$P2351)&amp;"")</f>
        <v/>
      </c>
      <c r="B2351">
        <f>IF($P2351="","",INDEX(상세표[성명],$P2351)&amp;"")</f>
        <v/>
      </c>
      <c r="C2351">
        <f>IF($P2351="","",INDEX(상세표[부서],$P2351)&amp;"")</f>
        <v/>
      </c>
      <c r="D2351">
        <f>IF($P2351="","",INDEX(상세표[직위],$P2351)&amp;"")</f>
        <v/>
      </c>
      <c r="E2351">
        <f>IF($P2351="","",IF(ISNUMBER(INDEX(상세표[시작],$P2351)),TEXT(INDEX(상세표[시작],$P2351),"yyyy-mm-dd hh:mm"),INDEX(상세표[시작],$P2351)&amp;""))</f>
        <v/>
      </c>
      <c r="F2351">
        <f>IF($P2351="","",IF(ISNUMBER(INDEX(상세표[블록종료],$P2351)),TEXT(INDEX(상세표[블록종료],$P2351),"yyyy-mm-dd hh:mm"),INDEX(상세표[블록종료],$P2351)&amp;""))</f>
        <v/>
      </c>
      <c r="G2351">
        <f>IF($P2351="","",CHOOSE(WEEKDAY(INDEX(상세표[시작],$P2351)),"일","월","화","수","목","금","토"))</f>
        <v/>
      </c>
      <c r="H2351">
        <f>IF($P2351="","",INDEX(상세표[연속 시간],$P2351))</f>
        <v/>
      </c>
      <c r="I2351">
        <f>IF($P2351="","",INDEX(상세표[기록 수],$P2351))</f>
        <v/>
      </c>
      <c r="J2351">
        <f>IF($P2351="","",INDEX(상세표[블록 06~07시],$P2351))</f>
        <v/>
      </c>
      <c r="K2351">
        <f>IF($P2351="","",INDEX(상세표[블록 07~18시],$P2351))</f>
        <v/>
      </c>
      <c r="L2351">
        <f>IF($P2351="","",INDEX(상세표[블록 18~22시],$P2351))</f>
        <v/>
      </c>
      <c r="M2351">
        <f>IF($P2351="","",INDEX(상세표[블록 22~06시],$P2351))</f>
        <v/>
      </c>
      <c r="N2351">
        <f>IF($P2351="","",INDEX(상세표[주말·휴일 포함],$P2351)&amp;"")</f>
        <v/>
      </c>
      <c r="O2351">
        <f>IF($P2351="","",INDEX(상세표[월 넘김 포함],$P2351)&amp;"")</f>
        <v/>
      </c>
      <c r="P2351" s="4">
        <f>IFERROR(MATCH(2346,상세표[연속순번],0),"")</f>
        <v/>
      </c>
    </row>
    <row r="2352">
      <c r="A2352">
        <f>IF($P2352="","",INDEX(상세표[사번],$P2352)&amp;"")</f>
        <v/>
      </c>
      <c r="B2352">
        <f>IF($P2352="","",INDEX(상세표[성명],$P2352)&amp;"")</f>
        <v/>
      </c>
      <c r="C2352">
        <f>IF($P2352="","",INDEX(상세표[부서],$P2352)&amp;"")</f>
        <v/>
      </c>
      <c r="D2352">
        <f>IF($P2352="","",INDEX(상세표[직위],$P2352)&amp;"")</f>
        <v/>
      </c>
      <c r="E2352">
        <f>IF($P2352="","",IF(ISNUMBER(INDEX(상세표[시작],$P2352)),TEXT(INDEX(상세표[시작],$P2352),"yyyy-mm-dd hh:mm"),INDEX(상세표[시작],$P2352)&amp;""))</f>
        <v/>
      </c>
      <c r="F2352">
        <f>IF($P2352="","",IF(ISNUMBER(INDEX(상세표[블록종료],$P2352)),TEXT(INDEX(상세표[블록종료],$P2352),"yyyy-mm-dd hh:mm"),INDEX(상세표[블록종료],$P2352)&amp;""))</f>
        <v/>
      </c>
      <c r="G2352">
        <f>IF($P2352="","",CHOOSE(WEEKDAY(INDEX(상세표[시작],$P2352)),"일","월","화","수","목","금","토"))</f>
        <v/>
      </c>
      <c r="H2352">
        <f>IF($P2352="","",INDEX(상세표[연속 시간],$P2352))</f>
        <v/>
      </c>
      <c r="I2352">
        <f>IF($P2352="","",INDEX(상세표[기록 수],$P2352))</f>
        <v/>
      </c>
      <c r="J2352">
        <f>IF($P2352="","",INDEX(상세표[블록 06~07시],$P2352))</f>
        <v/>
      </c>
      <c r="K2352">
        <f>IF($P2352="","",INDEX(상세표[블록 07~18시],$P2352))</f>
        <v/>
      </c>
      <c r="L2352">
        <f>IF($P2352="","",INDEX(상세표[블록 18~22시],$P2352))</f>
        <v/>
      </c>
      <c r="M2352">
        <f>IF($P2352="","",INDEX(상세표[블록 22~06시],$P2352))</f>
        <v/>
      </c>
      <c r="N2352">
        <f>IF($P2352="","",INDEX(상세표[주말·휴일 포함],$P2352)&amp;"")</f>
        <v/>
      </c>
      <c r="O2352">
        <f>IF($P2352="","",INDEX(상세표[월 넘김 포함],$P2352)&amp;"")</f>
        <v/>
      </c>
      <c r="P2352" s="4">
        <f>IFERROR(MATCH(2347,상세표[연속순번],0),"")</f>
        <v/>
      </c>
    </row>
    <row r="2353">
      <c r="A2353">
        <f>IF($P2353="","",INDEX(상세표[사번],$P2353)&amp;"")</f>
        <v/>
      </c>
      <c r="B2353">
        <f>IF($P2353="","",INDEX(상세표[성명],$P2353)&amp;"")</f>
        <v/>
      </c>
      <c r="C2353">
        <f>IF($P2353="","",INDEX(상세표[부서],$P2353)&amp;"")</f>
        <v/>
      </c>
      <c r="D2353">
        <f>IF($P2353="","",INDEX(상세표[직위],$P2353)&amp;"")</f>
        <v/>
      </c>
      <c r="E2353">
        <f>IF($P2353="","",IF(ISNUMBER(INDEX(상세표[시작],$P2353)),TEXT(INDEX(상세표[시작],$P2353),"yyyy-mm-dd hh:mm"),INDEX(상세표[시작],$P2353)&amp;""))</f>
        <v/>
      </c>
      <c r="F2353">
        <f>IF($P2353="","",IF(ISNUMBER(INDEX(상세표[블록종료],$P2353)),TEXT(INDEX(상세표[블록종료],$P2353),"yyyy-mm-dd hh:mm"),INDEX(상세표[블록종료],$P2353)&amp;""))</f>
        <v/>
      </c>
      <c r="G2353">
        <f>IF($P2353="","",CHOOSE(WEEKDAY(INDEX(상세표[시작],$P2353)),"일","월","화","수","목","금","토"))</f>
        <v/>
      </c>
      <c r="H2353">
        <f>IF($P2353="","",INDEX(상세표[연속 시간],$P2353))</f>
        <v/>
      </c>
      <c r="I2353">
        <f>IF($P2353="","",INDEX(상세표[기록 수],$P2353))</f>
        <v/>
      </c>
      <c r="J2353">
        <f>IF($P2353="","",INDEX(상세표[블록 06~07시],$P2353))</f>
        <v/>
      </c>
      <c r="K2353">
        <f>IF($P2353="","",INDEX(상세표[블록 07~18시],$P2353))</f>
        <v/>
      </c>
      <c r="L2353">
        <f>IF($P2353="","",INDEX(상세표[블록 18~22시],$P2353))</f>
        <v/>
      </c>
      <c r="M2353">
        <f>IF($P2353="","",INDEX(상세표[블록 22~06시],$P2353))</f>
        <v/>
      </c>
      <c r="N2353">
        <f>IF($P2353="","",INDEX(상세표[주말·휴일 포함],$P2353)&amp;"")</f>
        <v/>
      </c>
      <c r="O2353">
        <f>IF($P2353="","",INDEX(상세표[월 넘김 포함],$P2353)&amp;"")</f>
        <v/>
      </c>
      <c r="P2353" s="4">
        <f>IFERROR(MATCH(2348,상세표[연속순번],0),"")</f>
        <v/>
      </c>
    </row>
    <row r="2354">
      <c r="A2354">
        <f>IF($P2354="","",INDEX(상세표[사번],$P2354)&amp;"")</f>
        <v/>
      </c>
      <c r="B2354">
        <f>IF($P2354="","",INDEX(상세표[성명],$P2354)&amp;"")</f>
        <v/>
      </c>
      <c r="C2354">
        <f>IF($P2354="","",INDEX(상세표[부서],$P2354)&amp;"")</f>
        <v/>
      </c>
      <c r="D2354">
        <f>IF($P2354="","",INDEX(상세표[직위],$P2354)&amp;"")</f>
        <v/>
      </c>
      <c r="E2354">
        <f>IF($P2354="","",IF(ISNUMBER(INDEX(상세표[시작],$P2354)),TEXT(INDEX(상세표[시작],$P2354),"yyyy-mm-dd hh:mm"),INDEX(상세표[시작],$P2354)&amp;""))</f>
        <v/>
      </c>
      <c r="F2354">
        <f>IF($P2354="","",IF(ISNUMBER(INDEX(상세표[블록종료],$P2354)),TEXT(INDEX(상세표[블록종료],$P2354),"yyyy-mm-dd hh:mm"),INDEX(상세표[블록종료],$P2354)&amp;""))</f>
        <v/>
      </c>
      <c r="G2354">
        <f>IF($P2354="","",CHOOSE(WEEKDAY(INDEX(상세표[시작],$P2354)),"일","월","화","수","목","금","토"))</f>
        <v/>
      </c>
      <c r="H2354">
        <f>IF($P2354="","",INDEX(상세표[연속 시간],$P2354))</f>
        <v/>
      </c>
      <c r="I2354">
        <f>IF($P2354="","",INDEX(상세표[기록 수],$P2354))</f>
        <v/>
      </c>
      <c r="J2354">
        <f>IF($P2354="","",INDEX(상세표[블록 06~07시],$P2354))</f>
        <v/>
      </c>
      <c r="K2354">
        <f>IF($P2354="","",INDEX(상세표[블록 07~18시],$P2354))</f>
        <v/>
      </c>
      <c r="L2354">
        <f>IF($P2354="","",INDEX(상세표[블록 18~22시],$P2354))</f>
        <v/>
      </c>
      <c r="M2354">
        <f>IF($P2354="","",INDEX(상세표[블록 22~06시],$P2354))</f>
        <v/>
      </c>
      <c r="N2354">
        <f>IF($P2354="","",INDEX(상세표[주말·휴일 포함],$P2354)&amp;"")</f>
        <v/>
      </c>
      <c r="O2354">
        <f>IF($P2354="","",INDEX(상세표[월 넘김 포함],$P2354)&amp;"")</f>
        <v/>
      </c>
      <c r="P2354" s="4">
        <f>IFERROR(MATCH(2349,상세표[연속순번],0),"")</f>
        <v/>
      </c>
    </row>
    <row r="2355">
      <c r="A2355">
        <f>IF($P2355="","",INDEX(상세표[사번],$P2355)&amp;"")</f>
        <v/>
      </c>
      <c r="B2355">
        <f>IF($P2355="","",INDEX(상세표[성명],$P2355)&amp;"")</f>
        <v/>
      </c>
      <c r="C2355">
        <f>IF($P2355="","",INDEX(상세표[부서],$P2355)&amp;"")</f>
        <v/>
      </c>
      <c r="D2355">
        <f>IF($P2355="","",INDEX(상세표[직위],$P2355)&amp;"")</f>
        <v/>
      </c>
      <c r="E2355">
        <f>IF($P2355="","",IF(ISNUMBER(INDEX(상세표[시작],$P2355)),TEXT(INDEX(상세표[시작],$P2355),"yyyy-mm-dd hh:mm"),INDEX(상세표[시작],$P2355)&amp;""))</f>
        <v/>
      </c>
      <c r="F2355">
        <f>IF($P2355="","",IF(ISNUMBER(INDEX(상세표[블록종료],$P2355)),TEXT(INDEX(상세표[블록종료],$P2355),"yyyy-mm-dd hh:mm"),INDEX(상세표[블록종료],$P2355)&amp;""))</f>
        <v/>
      </c>
      <c r="G2355">
        <f>IF($P2355="","",CHOOSE(WEEKDAY(INDEX(상세표[시작],$P2355)),"일","월","화","수","목","금","토"))</f>
        <v/>
      </c>
      <c r="H2355">
        <f>IF($P2355="","",INDEX(상세표[연속 시간],$P2355))</f>
        <v/>
      </c>
      <c r="I2355">
        <f>IF($P2355="","",INDEX(상세표[기록 수],$P2355))</f>
        <v/>
      </c>
      <c r="J2355">
        <f>IF($P2355="","",INDEX(상세표[블록 06~07시],$P2355))</f>
        <v/>
      </c>
      <c r="K2355">
        <f>IF($P2355="","",INDEX(상세표[블록 07~18시],$P2355))</f>
        <v/>
      </c>
      <c r="L2355">
        <f>IF($P2355="","",INDEX(상세표[블록 18~22시],$P2355))</f>
        <v/>
      </c>
      <c r="M2355">
        <f>IF($P2355="","",INDEX(상세표[블록 22~06시],$P2355))</f>
        <v/>
      </c>
      <c r="N2355">
        <f>IF($P2355="","",INDEX(상세표[주말·휴일 포함],$P2355)&amp;"")</f>
        <v/>
      </c>
      <c r="O2355">
        <f>IF($P2355="","",INDEX(상세표[월 넘김 포함],$P2355)&amp;"")</f>
        <v/>
      </c>
      <c r="P2355" s="4">
        <f>IFERROR(MATCH(2350,상세표[연속순번],0),"")</f>
        <v/>
      </c>
    </row>
    <row r="2356">
      <c r="A2356">
        <f>IF($P2356="","",INDEX(상세표[사번],$P2356)&amp;"")</f>
        <v/>
      </c>
      <c r="B2356">
        <f>IF($P2356="","",INDEX(상세표[성명],$P2356)&amp;"")</f>
        <v/>
      </c>
      <c r="C2356">
        <f>IF($P2356="","",INDEX(상세표[부서],$P2356)&amp;"")</f>
        <v/>
      </c>
      <c r="D2356">
        <f>IF($P2356="","",INDEX(상세표[직위],$P2356)&amp;"")</f>
        <v/>
      </c>
      <c r="E2356">
        <f>IF($P2356="","",IF(ISNUMBER(INDEX(상세표[시작],$P2356)),TEXT(INDEX(상세표[시작],$P2356),"yyyy-mm-dd hh:mm"),INDEX(상세표[시작],$P2356)&amp;""))</f>
        <v/>
      </c>
      <c r="F2356">
        <f>IF($P2356="","",IF(ISNUMBER(INDEX(상세표[블록종료],$P2356)),TEXT(INDEX(상세표[블록종료],$P2356),"yyyy-mm-dd hh:mm"),INDEX(상세표[블록종료],$P2356)&amp;""))</f>
        <v/>
      </c>
      <c r="G2356">
        <f>IF($P2356="","",CHOOSE(WEEKDAY(INDEX(상세표[시작],$P2356)),"일","월","화","수","목","금","토"))</f>
        <v/>
      </c>
      <c r="H2356">
        <f>IF($P2356="","",INDEX(상세표[연속 시간],$P2356))</f>
        <v/>
      </c>
      <c r="I2356">
        <f>IF($P2356="","",INDEX(상세표[기록 수],$P2356))</f>
        <v/>
      </c>
      <c r="J2356">
        <f>IF($P2356="","",INDEX(상세표[블록 06~07시],$P2356))</f>
        <v/>
      </c>
      <c r="K2356">
        <f>IF($P2356="","",INDEX(상세표[블록 07~18시],$P2356))</f>
        <v/>
      </c>
      <c r="L2356">
        <f>IF($P2356="","",INDEX(상세표[블록 18~22시],$P2356))</f>
        <v/>
      </c>
      <c r="M2356">
        <f>IF($P2356="","",INDEX(상세표[블록 22~06시],$P2356))</f>
        <v/>
      </c>
      <c r="N2356">
        <f>IF($P2356="","",INDEX(상세표[주말·휴일 포함],$P2356)&amp;"")</f>
        <v/>
      </c>
      <c r="O2356">
        <f>IF($P2356="","",INDEX(상세표[월 넘김 포함],$P2356)&amp;"")</f>
        <v/>
      </c>
      <c r="P2356" s="4">
        <f>IFERROR(MATCH(2351,상세표[연속순번],0),"")</f>
        <v/>
      </c>
    </row>
    <row r="2357">
      <c r="A2357">
        <f>IF($P2357="","",INDEX(상세표[사번],$P2357)&amp;"")</f>
        <v/>
      </c>
      <c r="B2357">
        <f>IF($P2357="","",INDEX(상세표[성명],$P2357)&amp;"")</f>
        <v/>
      </c>
      <c r="C2357">
        <f>IF($P2357="","",INDEX(상세표[부서],$P2357)&amp;"")</f>
        <v/>
      </c>
      <c r="D2357">
        <f>IF($P2357="","",INDEX(상세표[직위],$P2357)&amp;"")</f>
        <v/>
      </c>
      <c r="E2357">
        <f>IF($P2357="","",IF(ISNUMBER(INDEX(상세표[시작],$P2357)),TEXT(INDEX(상세표[시작],$P2357),"yyyy-mm-dd hh:mm"),INDEX(상세표[시작],$P2357)&amp;""))</f>
        <v/>
      </c>
      <c r="F2357">
        <f>IF($P2357="","",IF(ISNUMBER(INDEX(상세표[블록종료],$P2357)),TEXT(INDEX(상세표[블록종료],$P2357),"yyyy-mm-dd hh:mm"),INDEX(상세표[블록종료],$P2357)&amp;""))</f>
        <v/>
      </c>
      <c r="G2357">
        <f>IF($P2357="","",CHOOSE(WEEKDAY(INDEX(상세표[시작],$P2357)),"일","월","화","수","목","금","토"))</f>
        <v/>
      </c>
      <c r="H2357">
        <f>IF($P2357="","",INDEX(상세표[연속 시간],$P2357))</f>
        <v/>
      </c>
      <c r="I2357">
        <f>IF($P2357="","",INDEX(상세표[기록 수],$P2357))</f>
        <v/>
      </c>
      <c r="J2357">
        <f>IF($P2357="","",INDEX(상세표[블록 06~07시],$P2357))</f>
        <v/>
      </c>
      <c r="K2357">
        <f>IF($P2357="","",INDEX(상세표[블록 07~18시],$P2357))</f>
        <v/>
      </c>
      <c r="L2357">
        <f>IF($P2357="","",INDEX(상세표[블록 18~22시],$P2357))</f>
        <v/>
      </c>
      <c r="M2357">
        <f>IF($P2357="","",INDEX(상세표[블록 22~06시],$P2357))</f>
        <v/>
      </c>
      <c r="N2357">
        <f>IF($P2357="","",INDEX(상세표[주말·휴일 포함],$P2357)&amp;"")</f>
        <v/>
      </c>
      <c r="O2357">
        <f>IF($P2357="","",INDEX(상세표[월 넘김 포함],$P2357)&amp;"")</f>
        <v/>
      </c>
      <c r="P2357" s="4">
        <f>IFERROR(MATCH(2352,상세표[연속순번],0),"")</f>
        <v/>
      </c>
    </row>
    <row r="2358">
      <c r="A2358">
        <f>IF($P2358="","",INDEX(상세표[사번],$P2358)&amp;"")</f>
        <v/>
      </c>
      <c r="B2358">
        <f>IF($P2358="","",INDEX(상세표[성명],$P2358)&amp;"")</f>
        <v/>
      </c>
      <c r="C2358">
        <f>IF($P2358="","",INDEX(상세표[부서],$P2358)&amp;"")</f>
        <v/>
      </c>
      <c r="D2358">
        <f>IF($P2358="","",INDEX(상세표[직위],$P2358)&amp;"")</f>
        <v/>
      </c>
      <c r="E2358">
        <f>IF($P2358="","",IF(ISNUMBER(INDEX(상세표[시작],$P2358)),TEXT(INDEX(상세표[시작],$P2358),"yyyy-mm-dd hh:mm"),INDEX(상세표[시작],$P2358)&amp;""))</f>
        <v/>
      </c>
      <c r="F2358">
        <f>IF($P2358="","",IF(ISNUMBER(INDEX(상세표[블록종료],$P2358)),TEXT(INDEX(상세표[블록종료],$P2358),"yyyy-mm-dd hh:mm"),INDEX(상세표[블록종료],$P2358)&amp;""))</f>
        <v/>
      </c>
      <c r="G2358">
        <f>IF($P2358="","",CHOOSE(WEEKDAY(INDEX(상세표[시작],$P2358)),"일","월","화","수","목","금","토"))</f>
        <v/>
      </c>
      <c r="H2358">
        <f>IF($P2358="","",INDEX(상세표[연속 시간],$P2358))</f>
        <v/>
      </c>
      <c r="I2358">
        <f>IF($P2358="","",INDEX(상세표[기록 수],$P2358))</f>
        <v/>
      </c>
      <c r="J2358">
        <f>IF($P2358="","",INDEX(상세표[블록 06~07시],$P2358))</f>
        <v/>
      </c>
      <c r="K2358">
        <f>IF($P2358="","",INDEX(상세표[블록 07~18시],$P2358))</f>
        <v/>
      </c>
      <c r="L2358">
        <f>IF($P2358="","",INDEX(상세표[블록 18~22시],$P2358))</f>
        <v/>
      </c>
      <c r="M2358">
        <f>IF($P2358="","",INDEX(상세표[블록 22~06시],$P2358))</f>
        <v/>
      </c>
      <c r="N2358">
        <f>IF($P2358="","",INDEX(상세표[주말·휴일 포함],$P2358)&amp;"")</f>
        <v/>
      </c>
      <c r="O2358">
        <f>IF($P2358="","",INDEX(상세표[월 넘김 포함],$P2358)&amp;"")</f>
        <v/>
      </c>
      <c r="P2358" s="4">
        <f>IFERROR(MATCH(2353,상세표[연속순번],0),"")</f>
        <v/>
      </c>
    </row>
    <row r="2359">
      <c r="A2359">
        <f>IF($P2359="","",INDEX(상세표[사번],$P2359)&amp;"")</f>
        <v/>
      </c>
      <c r="B2359">
        <f>IF($P2359="","",INDEX(상세표[성명],$P2359)&amp;"")</f>
        <v/>
      </c>
      <c r="C2359">
        <f>IF($P2359="","",INDEX(상세표[부서],$P2359)&amp;"")</f>
        <v/>
      </c>
      <c r="D2359">
        <f>IF($P2359="","",INDEX(상세표[직위],$P2359)&amp;"")</f>
        <v/>
      </c>
      <c r="E2359">
        <f>IF($P2359="","",IF(ISNUMBER(INDEX(상세표[시작],$P2359)),TEXT(INDEX(상세표[시작],$P2359),"yyyy-mm-dd hh:mm"),INDEX(상세표[시작],$P2359)&amp;""))</f>
        <v/>
      </c>
      <c r="F2359">
        <f>IF($P2359="","",IF(ISNUMBER(INDEX(상세표[블록종료],$P2359)),TEXT(INDEX(상세표[블록종료],$P2359),"yyyy-mm-dd hh:mm"),INDEX(상세표[블록종료],$P2359)&amp;""))</f>
        <v/>
      </c>
      <c r="G2359">
        <f>IF($P2359="","",CHOOSE(WEEKDAY(INDEX(상세표[시작],$P2359)),"일","월","화","수","목","금","토"))</f>
        <v/>
      </c>
      <c r="H2359">
        <f>IF($P2359="","",INDEX(상세표[연속 시간],$P2359))</f>
        <v/>
      </c>
      <c r="I2359">
        <f>IF($P2359="","",INDEX(상세표[기록 수],$P2359))</f>
        <v/>
      </c>
      <c r="J2359">
        <f>IF($P2359="","",INDEX(상세표[블록 06~07시],$P2359))</f>
        <v/>
      </c>
      <c r="K2359">
        <f>IF($P2359="","",INDEX(상세표[블록 07~18시],$P2359))</f>
        <v/>
      </c>
      <c r="L2359">
        <f>IF($P2359="","",INDEX(상세표[블록 18~22시],$P2359))</f>
        <v/>
      </c>
      <c r="M2359">
        <f>IF($P2359="","",INDEX(상세표[블록 22~06시],$P2359))</f>
        <v/>
      </c>
      <c r="N2359">
        <f>IF($P2359="","",INDEX(상세표[주말·휴일 포함],$P2359)&amp;"")</f>
        <v/>
      </c>
      <c r="O2359">
        <f>IF($P2359="","",INDEX(상세표[월 넘김 포함],$P2359)&amp;"")</f>
        <v/>
      </c>
      <c r="P2359" s="4">
        <f>IFERROR(MATCH(2354,상세표[연속순번],0),"")</f>
        <v/>
      </c>
    </row>
    <row r="2360">
      <c r="A2360">
        <f>IF($P2360="","",INDEX(상세표[사번],$P2360)&amp;"")</f>
        <v/>
      </c>
      <c r="B2360">
        <f>IF($P2360="","",INDEX(상세표[성명],$P2360)&amp;"")</f>
        <v/>
      </c>
      <c r="C2360">
        <f>IF($P2360="","",INDEX(상세표[부서],$P2360)&amp;"")</f>
        <v/>
      </c>
      <c r="D2360">
        <f>IF($P2360="","",INDEX(상세표[직위],$P2360)&amp;"")</f>
        <v/>
      </c>
      <c r="E2360">
        <f>IF($P2360="","",IF(ISNUMBER(INDEX(상세표[시작],$P2360)),TEXT(INDEX(상세표[시작],$P2360),"yyyy-mm-dd hh:mm"),INDEX(상세표[시작],$P2360)&amp;""))</f>
        <v/>
      </c>
      <c r="F2360">
        <f>IF($P2360="","",IF(ISNUMBER(INDEX(상세표[블록종료],$P2360)),TEXT(INDEX(상세표[블록종료],$P2360),"yyyy-mm-dd hh:mm"),INDEX(상세표[블록종료],$P2360)&amp;""))</f>
        <v/>
      </c>
      <c r="G2360">
        <f>IF($P2360="","",CHOOSE(WEEKDAY(INDEX(상세표[시작],$P2360)),"일","월","화","수","목","금","토"))</f>
        <v/>
      </c>
      <c r="H2360">
        <f>IF($P2360="","",INDEX(상세표[연속 시간],$P2360))</f>
        <v/>
      </c>
      <c r="I2360">
        <f>IF($P2360="","",INDEX(상세표[기록 수],$P2360))</f>
        <v/>
      </c>
      <c r="J2360">
        <f>IF($P2360="","",INDEX(상세표[블록 06~07시],$P2360))</f>
        <v/>
      </c>
      <c r="K2360">
        <f>IF($P2360="","",INDEX(상세표[블록 07~18시],$P2360))</f>
        <v/>
      </c>
      <c r="L2360">
        <f>IF($P2360="","",INDEX(상세표[블록 18~22시],$P2360))</f>
        <v/>
      </c>
      <c r="M2360">
        <f>IF($P2360="","",INDEX(상세표[블록 22~06시],$P2360))</f>
        <v/>
      </c>
      <c r="N2360">
        <f>IF($P2360="","",INDEX(상세표[주말·휴일 포함],$P2360)&amp;"")</f>
        <v/>
      </c>
      <c r="O2360">
        <f>IF($P2360="","",INDEX(상세표[월 넘김 포함],$P2360)&amp;"")</f>
        <v/>
      </c>
      <c r="P2360" s="4">
        <f>IFERROR(MATCH(2355,상세표[연속순번],0),"")</f>
        <v/>
      </c>
    </row>
    <row r="2361">
      <c r="A2361">
        <f>IF($P2361="","",INDEX(상세표[사번],$P2361)&amp;"")</f>
        <v/>
      </c>
      <c r="B2361">
        <f>IF($P2361="","",INDEX(상세표[성명],$P2361)&amp;"")</f>
        <v/>
      </c>
      <c r="C2361">
        <f>IF($P2361="","",INDEX(상세표[부서],$P2361)&amp;"")</f>
        <v/>
      </c>
      <c r="D2361">
        <f>IF($P2361="","",INDEX(상세표[직위],$P2361)&amp;"")</f>
        <v/>
      </c>
      <c r="E2361">
        <f>IF($P2361="","",IF(ISNUMBER(INDEX(상세표[시작],$P2361)),TEXT(INDEX(상세표[시작],$P2361),"yyyy-mm-dd hh:mm"),INDEX(상세표[시작],$P2361)&amp;""))</f>
        <v/>
      </c>
      <c r="F2361">
        <f>IF($P2361="","",IF(ISNUMBER(INDEX(상세표[블록종료],$P2361)),TEXT(INDEX(상세표[블록종료],$P2361),"yyyy-mm-dd hh:mm"),INDEX(상세표[블록종료],$P2361)&amp;""))</f>
        <v/>
      </c>
      <c r="G2361">
        <f>IF($P2361="","",CHOOSE(WEEKDAY(INDEX(상세표[시작],$P2361)),"일","월","화","수","목","금","토"))</f>
        <v/>
      </c>
      <c r="H2361">
        <f>IF($P2361="","",INDEX(상세표[연속 시간],$P2361))</f>
        <v/>
      </c>
      <c r="I2361">
        <f>IF($P2361="","",INDEX(상세표[기록 수],$P2361))</f>
        <v/>
      </c>
      <c r="J2361">
        <f>IF($P2361="","",INDEX(상세표[블록 06~07시],$P2361))</f>
        <v/>
      </c>
      <c r="K2361">
        <f>IF($P2361="","",INDEX(상세표[블록 07~18시],$P2361))</f>
        <v/>
      </c>
      <c r="L2361">
        <f>IF($P2361="","",INDEX(상세표[블록 18~22시],$P2361))</f>
        <v/>
      </c>
      <c r="M2361">
        <f>IF($P2361="","",INDEX(상세표[블록 22~06시],$P2361))</f>
        <v/>
      </c>
      <c r="N2361">
        <f>IF($P2361="","",INDEX(상세표[주말·휴일 포함],$P2361)&amp;"")</f>
        <v/>
      </c>
      <c r="O2361">
        <f>IF($P2361="","",INDEX(상세표[월 넘김 포함],$P2361)&amp;"")</f>
        <v/>
      </c>
      <c r="P2361" s="4">
        <f>IFERROR(MATCH(2356,상세표[연속순번],0),"")</f>
        <v/>
      </c>
    </row>
    <row r="2362">
      <c r="A2362">
        <f>IF($P2362="","",INDEX(상세표[사번],$P2362)&amp;"")</f>
        <v/>
      </c>
      <c r="B2362">
        <f>IF($P2362="","",INDEX(상세표[성명],$P2362)&amp;"")</f>
        <v/>
      </c>
      <c r="C2362">
        <f>IF($P2362="","",INDEX(상세표[부서],$P2362)&amp;"")</f>
        <v/>
      </c>
      <c r="D2362">
        <f>IF($P2362="","",INDEX(상세표[직위],$P2362)&amp;"")</f>
        <v/>
      </c>
      <c r="E2362">
        <f>IF($P2362="","",IF(ISNUMBER(INDEX(상세표[시작],$P2362)),TEXT(INDEX(상세표[시작],$P2362),"yyyy-mm-dd hh:mm"),INDEX(상세표[시작],$P2362)&amp;""))</f>
        <v/>
      </c>
      <c r="F2362">
        <f>IF($P2362="","",IF(ISNUMBER(INDEX(상세표[블록종료],$P2362)),TEXT(INDEX(상세표[블록종료],$P2362),"yyyy-mm-dd hh:mm"),INDEX(상세표[블록종료],$P2362)&amp;""))</f>
        <v/>
      </c>
      <c r="G2362">
        <f>IF($P2362="","",CHOOSE(WEEKDAY(INDEX(상세표[시작],$P2362)),"일","월","화","수","목","금","토"))</f>
        <v/>
      </c>
      <c r="H2362">
        <f>IF($P2362="","",INDEX(상세표[연속 시간],$P2362))</f>
        <v/>
      </c>
      <c r="I2362">
        <f>IF($P2362="","",INDEX(상세표[기록 수],$P2362))</f>
        <v/>
      </c>
      <c r="J2362">
        <f>IF($P2362="","",INDEX(상세표[블록 06~07시],$P2362))</f>
        <v/>
      </c>
      <c r="K2362">
        <f>IF($P2362="","",INDEX(상세표[블록 07~18시],$P2362))</f>
        <v/>
      </c>
      <c r="L2362">
        <f>IF($P2362="","",INDEX(상세표[블록 18~22시],$P2362))</f>
        <v/>
      </c>
      <c r="M2362">
        <f>IF($P2362="","",INDEX(상세표[블록 22~06시],$P2362))</f>
        <v/>
      </c>
      <c r="N2362">
        <f>IF($P2362="","",INDEX(상세표[주말·휴일 포함],$P2362)&amp;"")</f>
        <v/>
      </c>
      <c r="O2362">
        <f>IF($P2362="","",INDEX(상세표[월 넘김 포함],$P2362)&amp;"")</f>
        <v/>
      </c>
      <c r="P2362" s="4">
        <f>IFERROR(MATCH(2357,상세표[연속순번],0),"")</f>
        <v/>
      </c>
    </row>
    <row r="2363">
      <c r="A2363">
        <f>IF($P2363="","",INDEX(상세표[사번],$P2363)&amp;"")</f>
        <v/>
      </c>
      <c r="B2363">
        <f>IF($P2363="","",INDEX(상세표[성명],$P2363)&amp;"")</f>
        <v/>
      </c>
      <c r="C2363">
        <f>IF($P2363="","",INDEX(상세표[부서],$P2363)&amp;"")</f>
        <v/>
      </c>
      <c r="D2363">
        <f>IF($P2363="","",INDEX(상세표[직위],$P2363)&amp;"")</f>
        <v/>
      </c>
      <c r="E2363">
        <f>IF($P2363="","",IF(ISNUMBER(INDEX(상세표[시작],$P2363)),TEXT(INDEX(상세표[시작],$P2363),"yyyy-mm-dd hh:mm"),INDEX(상세표[시작],$P2363)&amp;""))</f>
        <v/>
      </c>
      <c r="F2363">
        <f>IF($P2363="","",IF(ISNUMBER(INDEX(상세표[블록종료],$P2363)),TEXT(INDEX(상세표[블록종료],$P2363),"yyyy-mm-dd hh:mm"),INDEX(상세표[블록종료],$P2363)&amp;""))</f>
        <v/>
      </c>
      <c r="G2363">
        <f>IF($P2363="","",CHOOSE(WEEKDAY(INDEX(상세표[시작],$P2363)),"일","월","화","수","목","금","토"))</f>
        <v/>
      </c>
      <c r="H2363">
        <f>IF($P2363="","",INDEX(상세표[연속 시간],$P2363))</f>
        <v/>
      </c>
      <c r="I2363">
        <f>IF($P2363="","",INDEX(상세표[기록 수],$P2363))</f>
        <v/>
      </c>
      <c r="J2363">
        <f>IF($P2363="","",INDEX(상세표[블록 06~07시],$P2363))</f>
        <v/>
      </c>
      <c r="K2363">
        <f>IF($P2363="","",INDEX(상세표[블록 07~18시],$P2363))</f>
        <v/>
      </c>
      <c r="L2363">
        <f>IF($P2363="","",INDEX(상세표[블록 18~22시],$P2363))</f>
        <v/>
      </c>
      <c r="M2363">
        <f>IF($P2363="","",INDEX(상세표[블록 22~06시],$P2363))</f>
        <v/>
      </c>
      <c r="N2363">
        <f>IF($P2363="","",INDEX(상세표[주말·휴일 포함],$P2363)&amp;"")</f>
        <v/>
      </c>
      <c r="O2363">
        <f>IF($P2363="","",INDEX(상세표[월 넘김 포함],$P2363)&amp;"")</f>
        <v/>
      </c>
      <c r="P2363" s="4">
        <f>IFERROR(MATCH(2358,상세표[연속순번],0),"")</f>
        <v/>
      </c>
    </row>
    <row r="2364">
      <c r="A2364">
        <f>IF($P2364="","",INDEX(상세표[사번],$P2364)&amp;"")</f>
        <v/>
      </c>
      <c r="B2364">
        <f>IF($P2364="","",INDEX(상세표[성명],$P2364)&amp;"")</f>
        <v/>
      </c>
      <c r="C2364">
        <f>IF($P2364="","",INDEX(상세표[부서],$P2364)&amp;"")</f>
        <v/>
      </c>
      <c r="D2364">
        <f>IF($P2364="","",INDEX(상세표[직위],$P2364)&amp;"")</f>
        <v/>
      </c>
      <c r="E2364">
        <f>IF($P2364="","",IF(ISNUMBER(INDEX(상세표[시작],$P2364)),TEXT(INDEX(상세표[시작],$P2364),"yyyy-mm-dd hh:mm"),INDEX(상세표[시작],$P2364)&amp;""))</f>
        <v/>
      </c>
      <c r="F2364">
        <f>IF($P2364="","",IF(ISNUMBER(INDEX(상세표[블록종료],$P2364)),TEXT(INDEX(상세표[블록종료],$P2364),"yyyy-mm-dd hh:mm"),INDEX(상세표[블록종료],$P2364)&amp;""))</f>
        <v/>
      </c>
      <c r="G2364">
        <f>IF($P2364="","",CHOOSE(WEEKDAY(INDEX(상세표[시작],$P2364)),"일","월","화","수","목","금","토"))</f>
        <v/>
      </c>
      <c r="H2364">
        <f>IF($P2364="","",INDEX(상세표[연속 시간],$P2364))</f>
        <v/>
      </c>
      <c r="I2364">
        <f>IF($P2364="","",INDEX(상세표[기록 수],$P2364))</f>
        <v/>
      </c>
      <c r="J2364">
        <f>IF($P2364="","",INDEX(상세표[블록 06~07시],$P2364))</f>
        <v/>
      </c>
      <c r="K2364">
        <f>IF($P2364="","",INDEX(상세표[블록 07~18시],$P2364))</f>
        <v/>
      </c>
      <c r="L2364">
        <f>IF($P2364="","",INDEX(상세표[블록 18~22시],$P2364))</f>
        <v/>
      </c>
      <c r="M2364">
        <f>IF($P2364="","",INDEX(상세표[블록 22~06시],$P2364))</f>
        <v/>
      </c>
      <c r="N2364">
        <f>IF($P2364="","",INDEX(상세표[주말·휴일 포함],$P2364)&amp;"")</f>
        <v/>
      </c>
      <c r="O2364">
        <f>IF($P2364="","",INDEX(상세표[월 넘김 포함],$P2364)&amp;"")</f>
        <v/>
      </c>
      <c r="P2364" s="4">
        <f>IFERROR(MATCH(2359,상세표[연속순번],0),"")</f>
        <v/>
      </c>
    </row>
    <row r="2365">
      <c r="A2365">
        <f>IF($P2365="","",INDEX(상세표[사번],$P2365)&amp;"")</f>
        <v/>
      </c>
      <c r="B2365">
        <f>IF($P2365="","",INDEX(상세표[성명],$P2365)&amp;"")</f>
        <v/>
      </c>
      <c r="C2365">
        <f>IF($P2365="","",INDEX(상세표[부서],$P2365)&amp;"")</f>
        <v/>
      </c>
      <c r="D2365">
        <f>IF($P2365="","",INDEX(상세표[직위],$P2365)&amp;"")</f>
        <v/>
      </c>
      <c r="E2365">
        <f>IF($P2365="","",IF(ISNUMBER(INDEX(상세표[시작],$P2365)),TEXT(INDEX(상세표[시작],$P2365),"yyyy-mm-dd hh:mm"),INDEX(상세표[시작],$P2365)&amp;""))</f>
        <v/>
      </c>
      <c r="F2365">
        <f>IF($P2365="","",IF(ISNUMBER(INDEX(상세표[블록종료],$P2365)),TEXT(INDEX(상세표[블록종료],$P2365),"yyyy-mm-dd hh:mm"),INDEX(상세표[블록종료],$P2365)&amp;""))</f>
        <v/>
      </c>
      <c r="G2365">
        <f>IF($P2365="","",CHOOSE(WEEKDAY(INDEX(상세표[시작],$P2365)),"일","월","화","수","목","금","토"))</f>
        <v/>
      </c>
      <c r="H2365">
        <f>IF($P2365="","",INDEX(상세표[연속 시간],$P2365))</f>
        <v/>
      </c>
      <c r="I2365">
        <f>IF($P2365="","",INDEX(상세표[기록 수],$P2365))</f>
        <v/>
      </c>
      <c r="J2365">
        <f>IF($P2365="","",INDEX(상세표[블록 06~07시],$P2365))</f>
        <v/>
      </c>
      <c r="K2365">
        <f>IF($P2365="","",INDEX(상세표[블록 07~18시],$P2365))</f>
        <v/>
      </c>
      <c r="L2365">
        <f>IF($P2365="","",INDEX(상세표[블록 18~22시],$P2365))</f>
        <v/>
      </c>
      <c r="M2365">
        <f>IF($P2365="","",INDEX(상세표[블록 22~06시],$P2365))</f>
        <v/>
      </c>
      <c r="N2365">
        <f>IF($P2365="","",INDEX(상세표[주말·휴일 포함],$P2365)&amp;"")</f>
        <v/>
      </c>
      <c r="O2365">
        <f>IF($P2365="","",INDEX(상세표[월 넘김 포함],$P2365)&amp;"")</f>
        <v/>
      </c>
      <c r="P2365" s="4">
        <f>IFERROR(MATCH(2360,상세표[연속순번],0),"")</f>
        <v/>
      </c>
    </row>
    <row r="2366">
      <c r="A2366">
        <f>IF($P2366="","",INDEX(상세표[사번],$P2366)&amp;"")</f>
        <v/>
      </c>
      <c r="B2366">
        <f>IF($P2366="","",INDEX(상세표[성명],$P2366)&amp;"")</f>
        <v/>
      </c>
      <c r="C2366">
        <f>IF($P2366="","",INDEX(상세표[부서],$P2366)&amp;"")</f>
        <v/>
      </c>
      <c r="D2366">
        <f>IF($P2366="","",INDEX(상세표[직위],$P2366)&amp;"")</f>
        <v/>
      </c>
      <c r="E2366">
        <f>IF($P2366="","",IF(ISNUMBER(INDEX(상세표[시작],$P2366)),TEXT(INDEX(상세표[시작],$P2366),"yyyy-mm-dd hh:mm"),INDEX(상세표[시작],$P2366)&amp;""))</f>
        <v/>
      </c>
      <c r="F2366">
        <f>IF($P2366="","",IF(ISNUMBER(INDEX(상세표[블록종료],$P2366)),TEXT(INDEX(상세표[블록종료],$P2366),"yyyy-mm-dd hh:mm"),INDEX(상세표[블록종료],$P2366)&amp;""))</f>
        <v/>
      </c>
      <c r="G2366">
        <f>IF($P2366="","",CHOOSE(WEEKDAY(INDEX(상세표[시작],$P2366)),"일","월","화","수","목","금","토"))</f>
        <v/>
      </c>
      <c r="H2366">
        <f>IF($P2366="","",INDEX(상세표[연속 시간],$P2366))</f>
        <v/>
      </c>
      <c r="I2366">
        <f>IF($P2366="","",INDEX(상세표[기록 수],$P2366))</f>
        <v/>
      </c>
      <c r="J2366">
        <f>IF($P2366="","",INDEX(상세표[블록 06~07시],$P2366))</f>
        <v/>
      </c>
      <c r="K2366">
        <f>IF($P2366="","",INDEX(상세표[블록 07~18시],$P2366))</f>
        <v/>
      </c>
      <c r="L2366">
        <f>IF($P2366="","",INDEX(상세표[블록 18~22시],$P2366))</f>
        <v/>
      </c>
      <c r="M2366">
        <f>IF($P2366="","",INDEX(상세표[블록 22~06시],$P2366))</f>
        <v/>
      </c>
      <c r="N2366">
        <f>IF($P2366="","",INDEX(상세표[주말·휴일 포함],$P2366)&amp;"")</f>
        <v/>
      </c>
      <c r="O2366">
        <f>IF($P2366="","",INDEX(상세표[월 넘김 포함],$P2366)&amp;"")</f>
        <v/>
      </c>
      <c r="P2366" s="4">
        <f>IFERROR(MATCH(2361,상세표[연속순번],0),"")</f>
        <v/>
      </c>
    </row>
    <row r="2367">
      <c r="A2367">
        <f>IF($P2367="","",INDEX(상세표[사번],$P2367)&amp;"")</f>
        <v/>
      </c>
      <c r="B2367">
        <f>IF($P2367="","",INDEX(상세표[성명],$P2367)&amp;"")</f>
        <v/>
      </c>
      <c r="C2367">
        <f>IF($P2367="","",INDEX(상세표[부서],$P2367)&amp;"")</f>
        <v/>
      </c>
      <c r="D2367">
        <f>IF($P2367="","",INDEX(상세표[직위],$P2367)&amp;"")</f>
        <v/>
      </c>
      <c r="E2367">
        <f>IF($P2367="","",IF(ISNUMBER(INDEX(상세표[시작],$P2367)),TEXT(INDEX(상세표[시작],$P2367),"yyyy-mm-dd hh:mm"),INDEX(상세표[시작],$P2367)&amp;""))</f>
        <v/>
      </c>
      <c r="F2367">
        <f>IF($P2367="","",IF(ISNUMBER(INDEX(상세표[블록종료],$P2367)),TEXT(INDEX(상세표[블록종료],$P2367),"yyyy-mm-dd hh:mm"),INDEX(상세표[블록종료],$P2367)&amp;""))</f>
        <v/>
      </c>
      <c r="G2367">
        <f>IF($P2367="","",CHOOSE(WEEKDAY(INDEX(상세표[시작],$P2367)),"일","월","화","수","목","금","토"))</f>
        <v/>
      </c>
      <c r="H2367">
        <f>IF($P2367="","",INDEX(상세표[연속 시간],$P2367))</f>
        <v/>
      </c>
      <c r="I2367">
        <f>IF($P2367="","",INDEX(상세표[기록 수],$P2367))</f>
        <v/>
      </c>
      <c r="J2367">
        <f>IF($P2367="","",INDEX(상세표[블록 06~07시],$P2367))</f>
        <v/>
      </c>
      <c r="K2367">
        <f>IF($P2367="","",INDEX(상세표[블록 07~18시],$P2367))</f>
        <v/>
      </c>
      <c r="L2367">
        <f>IF($P2367="","",INDEX(상세표[블록 18~22시],$P2367))</f>
        <v/>
      </c>
      <c r="M2367">
        <f>IF($P2367="","",INDEX(상세표[블록 22~06시],$P2367))</f>
        <v/>
      </c>
      <c r="N2367">
        <f>IF($P2367="","",INDEX(상세표[주말·휴일 포함],$P2367)&amp;"")</f>
        <v/>
      </c>
      <c r="O2367">
        <f>IF($P2367="","",INDEX(상세표[월 넘김 포함],$P2367)&amp;"")</f>
        <v/>
      </c>
      <c r="P2367" s="4">
        <f>IFERROR(MATCH(2362,상세표[연속순번],0),"")</f>
        <v/>
      </c>
    </row>
    <row r="2368">
      <c r="A2368">
        <f>IF($P2368="","",INDEX(상세표[사번],$P2368)&amp;"")</f>
        <v/>
      </c>
      <c r="B2368">
        <f>IF($P2368="","",INDEX(상세표[성명],$P2368)&amp;"")</f>
        <v/>
      </c>
      <c r="C2368">
        <f>IF($P2368="","",INDEX(상세표[부서],$P2368)&amp;"")</f>
        <v/>
      </c>
      <c r="D2368">
        <f>IF($P2368="","",INDEX(상세표[직위],$P2368)&amp;"")</f>
        <v/>
      </c>
      <c r="E2368">
        <f>IF($P2368="","",IF(ISNUMBER(INDEX(상세표[시작],$P2368)),TEXT(INDEX(상세표[시작],$P2368),"yyyy-mm-dd hh:mm"),INDEX(상세표[시작],$P2368)&amp;""))</f>
        <v/>
      </c>
      <c r="F2368">
        <f>IF($P2368="","",IF(ISNUMBER(INDEX(상세표[블록종료],$P2368)),TEXT(INDEX(상세표[블록종료],$P2368),"yyyy-mm-dd hh:mm"),INDEX(상세표[블록종료],$P2368)&amp;""))</f>
        <v/>
      </c>
      <c r="G2368">
        <f>IF($P2368="","",CHOOSE(WEEKDAY(INDEX(상세표[시작],$P2368)),"일","월","화","수","목","금","토"))</f>
        <v/>
      </c>
      <c r="H2368">
        <f>IF($P2368="","",INDEX(상세표[연속 시간],$P2368))</f>
        <v/>
      </c>
      <c r="I2368">
        <f>IF($P2368="","",INDEX(상세표[기록 수],$P2368))</f>
        <v/>
      </c>
      <c r="J2368">
        <f>IF($P2368="","",INDEX(상세표[블록 06~07시],$P2368))</f>
        <v/>
      </c>
      <c r="K2368">
        <f>IF($P2368="","",INDEX(상세표[블록 07~18시],$P2368))</f>
        <v/>
      </c>
      <c r="L2368">
        <f>IF($P2368="","",INDEX(상세표[블록 18~22시],$P2368))</f>
        <v/>
      </c>
      <c r="M2368">
        <f>IF($P2368="","",INDEX(상세표[블록 22~06시],$P2368))</f>
        <v/>
      </c>
      <c r="N2368">
        <f>IF($P2368="","",INDEX(상세표[주말·휴일 포함],$P2368)&amp;"")</f>
        <v/>
      </c>
      <c r="O2368">
        <f>IF($P2368="","",INDEX(상세표[월 넘김 포함],$P2368)&amp;"")</f>
        <v/>
      </c>
      <c r="P2368" s="4">
        <f>IFERROR(MATCH(2363,상세표[연속순번],0),"")</f>
        <v/>
      </c>
    </row>
    <row r="2369">
      <c r="A2369">
        <f>IF($P2369="","",INDEX(상세표[사번],$P2369)&amp;"")</f>
        <v/>
      </c>
      <c r="B2369">
        <f>IF($P2369="","",INDEX(상세표[성명],$P2369)&amp;"")</f>
        <v/>
      </c>
      <c r="C2369">
        <f>IF($P2369="","",INDEX(상세표[부서],$P2369)&amp;"")</f>
        <v/>
      </c>
      <c r="D2369">
        <f>IF($P2369="","",INDEX(상세표[직위],$P2369)&amp;"")</f>
        <v/>
      </c>
      <c r="E2369">
        <f>IF($P2369="","",IF(ISNUMBER(INDEX(상세표[시작],$P2369)),TEXT(INDEX(상세표[시작],$P2369),"yyyy-mm-dd hh:mm"),INDEX(상세표[시작],$P2369)&amp;""))</f>
        <v/>
      </c>
      <c r="F2369">
        <f>IF($P2369="","",IF(ISNUMBER(INDEX(상세표[블록종료],$P2369)),TEXT(INDEX(상세표[블록종료],$P2369),"yyyy-mm-dd hh:mm"),INDEX(상세표[블록종료],$P2369)&amp;""))</f>
        <v/>
      </c>
      <c r="G2369">
        <f>IF($P2369="","",CHOOSE(WEEKDAY(INDEX(상세표[시작],$P2369)),"일","월","화","수","목","금","토"))</f>
        <v/>
      </c>
      <c r="H2369">
        <f>IF($P2369="","",INDEX(상세표[연속 시간],$P2369))</f>
        <v/>
      </c>
      <c r="I2369">
        <f>IF($P2369="","",INDEX(상세표[기록 수],$P2369))</f>
        <v/>
      </c>
      <c r="J2369">
        <f>IF($P2369="","",INDEX(상세표[블록 06~07시],$P2369))</f>
        <v/>
      </c>
      <c r="K2369">
        <f>IF($P2369="","",INDEX(상세표[블록 07~18시],$P2369))</f>
        <v/>
      </c>
      <c r="L2369">
        <f>IF($P2369="","",INDEX(상세표[블록 18~22시],$P2369))</f>
        <v/>
      </c>
      <c r="M2369">
        <f>IF($P2369="","",INDEX(상세표[블록 22~06시],$P2369))</f>
        <v/>
      </c>
      <c r="N2369">
        <f>IF($P2369="","",INDEX(상세표[주말·휴일 포함],$P2369)&amp;"")</f>
        <v/>
      </c>
      <c r="O2369">
        <f>IF($P2369="","",INDEX(상세표[월 넘김 포함],$P2369)&amp;"")</f>
        <v/>
      </c>
      <c r="P2369" s="4">
        <f>IFERROR(MATCH(2364,상세표[연속순번],0),"")</f>
        <v/>
      </c>
    </row>
    <row r="2370">
      <c r="A2370">
        <f>IF($P2370="","",INDEX(상세표[사번],$P2370)&amp;"")</f>
        <v/>
      </c>
      <c r="B2370">
        <f>IF($P2370="","",INDEX(상세표[성명],$P2370)&amp;"")</f>
        <v/>
      </c>
      <c r="C2370">
        <f>IF($P2370="","",INDEX(상세표[부서],$P2370)&amp;"")</f>
        <v/>
      </c>
      <c r="D2370">
        <f>IF($P2370="","",INDEX(상세표[직위],$P2370)&amp;"")</f>
        <v/>
      </c>
      <c r="E2370">
        <f>IF($P2370="","",IF(ISNUMBER(INDEX(상세표[시작],$P2370)),TEXT(INDEX(상세표[시작],$P2370),"yyyy-mm-dd hh:mm"),INDEX(상세표[시작],$P2370)&amp;""))</f>
        <v/>
      </c>
      <c r="F2370">
        <f>IF($P2370="","",IF(ISNUMBER(INDEX(상세표[블록종료],$P2370)),TEXT(INDEX(상세표[블록종료],$P2370),"yyyy-mm-dd hh:mm"),INDEX(상세표[블록종료],$P2370)&amp;""))</f>
        <v/>
      </c>
      <c r="G2370">
        <f>IF($P2370="","",CHOOSE(WEEKDAY(INDEX(상세표[시작],$P2370)),"일","월","화","수","목","금","토"))</f>
        <v/>
      </c>
      <c r="H2370">
        <f>IF($P2370="","",INDEX(상세표[연속 시간],$P2370))</f>
        <v/>
      </c>
      <c r="I2370">
        <f>IF($P2370="","",INDEX(상세표[기록 수],$P2370))</f>
        <v/>
      </c>
      <c r="J2370">
        <f>IF($P2370="","",INDEX(상세표[블록 06~07시],$P2370))</f>
        <v/>
      </c>
      <c r="K2370">
        <f>IF($P2370="","",INDEX(상세표[블록 07~18시],$P2370))</f>
        <v/>
      </c>
      <c r="L2370">
        <f>IF($P2370="","",INDEX(상세표[블록 18~22시],$P2370))</f>
        <v/>
      </c>
      <c r="M2370">
        <f>IF($P2370="","",INDEX(상세표[블록 22~06시],$P2370))</f>
        <v/>
      </c>
      <c r="N2370">
        <f>IF($P2370="","",INDEX(상세표[주말·휴일 포함],$P2370)&amp;"")</f>
        <v/>
      </c>
      <c r="O2370">
        <f>IF($P2370="","",INDEX(상세표[월 넘김 포함],$P2370)&amp;"")</f>
        <v/>
      </c>
      <c r="P2370" s="4">
        <f>IFERROR(MATCH(2365,상세표[연속순번],0),"")</f>
        <v/>
      </c>
    </row>
    <row r="2371">
      <c r="A2371">
        <f>IF($P2371="","",INDEX(상세표[사번],$P2371)&amp;"")</f>
        <v/>
      </c>
      <c r="B2371">
        <f>IF($P2371="","",INDEX(상세표[성명],$P2371)&amp;"")</f>
        <v/>
      </c>
      <c r="C2371">
        <f>IF($P2371="","",INDEX(상세표[부서],$P2371)&amp;"")</f>
        <v/>
      </c>
      <c r="D2371">
        <f>IF($P2371="","",INDEX(상세표[직위],$P2371)&amp;"")</f>
        <v/>
      </c>
      <c r="E2371">
        <f>IF($P2371="","",IF(ISNUMBER(INDEX(상세표[시작],$P2371)),TEXT(INDEX(상세표[시작],$P2371),"yyyy-mm-dd hh:mm"),INDEX(상세표[시작],$P2371)&amp;""))</f>
        <v/>
      </c>
      <c r="F2371">
        <f>IF($P2371="","",IF(ISNUMBER(INDEX(상세표[블록종료],$P2371)),TEXT(INDEX(상세표[블록종료],$P2371),"yyyy-mm-dd hh:mm"),INDEX(상세표[블록종료],$P2371)&amp;""))</f>
        <v/>
      </c>
      <c r="G2371">
        <f>IF($P2371="","",CHOOSE(WEEKDAY(INDEX(상세표[시작],$P2371)),"일","월","화","수","목","금","토"))</f>
        <v/>
      </c>
      <c r="H2371">
        <f>IF($P2371="","",INDEX(상세표[연속 시간],$P2371))</f>
        <v/>
      </c>
      <c r="I2371">
        <f>IF($P2371="","",INDEX(상세표[기록 수],$P2371))</f>
        <v/>
      </c>
      <c r="J2371">
        <f>IF($P2371="","",INDEX(상세표[블록 06~07시],$P2371))</f>
        <v/>
      </c>
      <c r="K2371">
        <f>IF($P2371="","",INDEX(상세표[블록 07~18시],$P2371))</f>
        <v/>
      </c>
      <c r="L2371">
        <f>IF($P2371="","",INDEX(상세표[블록 18~22시],$P2371))</f>
        <v/>
      </c>
      <c r="M2371">
        <f>IF($P2371="","",INDEX(상세표[블록 22~06시],$P2371))</f>
        <v/>
      </c>
      <c r="N2371">
        <f>IF($P2371="","",INDEX(상세표[주말·휴일 포함],$P2371)&amp;"")</f>
        <v/>
      </c>
      <c r="O2371">
        <f>IF($P2371="","",INDEX(상세표[월 넘김 포함],$P2371)&amp;"")</f>
        <v/>
      </c>
      <c r="P2371" s="4">
        <f>IFERROR(MATCH(2366,상세표[연속순번],0),"")</f>
        <v/>
      </c>
    </row>
    <row r="2372">
      <c r="A2372">
        <f>IF($P2372="","",INDEX(상세표[사번],$P2372)&amp;"")</f>
        <v/>
      </c>
      <c r="B2372">
        <f>IF($P2372="","",INDEX(상세표[성명],$P2372)&amp;"")</f>
        <v/>
      </c>
      <c r="C2372">
        <f>IF($P2372="","",INDEX(상세표[부서],$P2372)&amp;"")</f>
        <v/>
      </c>
      <c r="D2372">
        <f>IF($P2372="","",INDEX(상세표[직위],$P2372)&amp;"")</f>
        <v/>
      </c>
      <c r="E2372">
        <f>IF($P2372="","",IF(ISNUMBER(INDEX(상세표[시작],$P2372)),TEXT(INDEX(상세표[시작],$P2372),"yyyy-mm-dd hh:mm"),INDEX(상세표[시작],$P2372)&amp;""))</f>
        <v/>
      </c>
      <c r="F2372">
        <f>IF($P2372="","",IF(ISNUMBER(INDEX(상세표[블록종료],$P2372)),TEXT(INDEX(상세표[블록종료],$P2372),"yyyy-mm-dd hh:mm"),INDEX(상세표[블록종료],$P2372)&amp;""))</f>
        <v/>
      </c>
      <c r="G2372">
        <f>IF($P2372="","",CHOOSE(WEEKDAY(INDEX(상세표[시작],$P2372)),"일","월","화","수","목","금","토"))</f>
        <v/>
      </c>
      <c r="H2372">
        <f>IF($P2372="","",INDEX(상세표[연속 시간],$P2372))</f>
        <v/>
      </c>
      <c r="I2372">
        <f>IF($P2372="","",INDEX(상세표[기록 수],$P2372))</f>
        <v/>
      </c>
      <c r="J2372">
        <f>IF($P2372="","",INDEX(상세표[블록 06~07시],$P2372))</f>
        <v/>
      </c>
      <c r="K2372">
        <f>IF($P2372="","",INDEX(상세표[블록 07~18시],$P2372))</f>
        <v/>
      </c>
      <c r="L2372">
        <f>IF($P2372="","",INDEX(상세표[블록 18~22시],$P2372))</f>
        <v/>
      </c>
      <c r="M2372">
        <f>IF($P2372="","",INDEX(상세표[블록 22~06시],$P2372))</f>
        <v/>
      </c>
      <c r="N2372">
        <f>IF($P2372="","",INDEX(상세표[주말·휴일 포함],$P2372)&amp;"")</f>
        <v/>
      </c>
      <c r="O2372">
        <f>IF($P2372="","",INDEX(상세표[월 넘김 포함],$P2372)&amp;"")</f>
        <v/>
      </c>
      <c r="P2372" s="4">
        <f>IFERROR(MATCH(2367,상세표[연속순번],0),"")</f>
        <v/>
      </c>
    </row>
    <row r="2373">
      <c r="A2373">
        <f>IF($P2373="","",INDEX(상세표[사번],$P2373)&amp;"")</f>
        <v/>
      </c>
      <c r="B2373">
        <f>IF($P2373="","",INDEX(상세표[성명],$P2373)&amp;"")</f>
        <v/>
      </c>
      <c r="C2373">
        <f>IF($P2373="","",INDEX(상세표[부서],$P2373)&amp;"")</f>
        <v/>
      </c>
      <c r="D2373">
        <f>IF($P2373="","",INDEX(상세표[직위],$P2373)&amp;"")</f>
        <v/>
      </c>
      <c r="E2373">
        <f>IF($P2373="","",IF(ISNUMBER(INDEX(상세표[시작],$P2373)),TEXT(INDEX(상세표[시작],$P2373),"yyyy-mm-dd hh:mm"),INDEX(상세표[시작],$P2373)&amp;""))</f>
        <v/>
      </c>
      <c r="F2373">
        <f>IF($P2373="","",IF(ISNUMBER(INDEX(상세표[블록종료],$P2373)),TEXT(INDEX(상세표[블록종료],$P2373),"yyyy-mm-dd hh:mm"),INDEX(상세표[블록종료],$P2373)&amp;""))</f>
        <v/>
      </c>
      <c r="G2373">
        <f>IF($P2373="","",CHOOSE(WEEKDAY(INDEX(상세표[시작],$P2373)),"일","월","화","수","목","금","토"))</f>
        <v/>
      </c>
      <c r="H2373">
        <f>IF($P2373="","",INDEX(상세표[연속 시간],$P2373))</f>
        <v/>
      </c>
      <c r="I2373">
        <f>IF($P2373="","",INDEX(상세표[기록 수],$P2373))</f>
        <v/>
      </c>
      <c r="J2373">
        <f>IF($P2373="","",INDEX(상세표[블록 06~07시],$P2373))</f>
        <v/>
      </c>
      <c r="K2373">
        <f>IF($P2373="","",INDEX(상세표[블록 07~18시],$P2373))</f>
        <v/>
      </c>
      <c r="L2373">
        <f>IF($P2373="","",INDEX(상세표[블록 18~22시],$P2373))</f>
        <v/>
      </c>
      <c r="M2373">
        <f>IF($P2373="","",INDEX(상세표[블록 22~06시],$P2373))</f>
        <v/>
      </c>
      <c r="N2373">
        <f>IF($P2373="","",INDEX(상세표[주말·휴일 포함],$P2373)&amp;"")</f>
        <v/>
      </c>
      <c r="O2373">
        <f>IF($P2373="","",INDEX(상세표[월 넘김 포함],$P2373)&amp;"")</f>
        <v/>
      </c>
      <c r="P2373" s="4">
        <f>IFERROR(MATCH(2368,상세표[연속순번],0),"")</f>
        <v/>
      </c>
    </row>
    <row r="2374">
      <c r="A2374">
        <f>IF($P2374="","",INDEX(상세표[사번],$P2374)&amp;"")</f>
        <v/>
      </c>
      <c r="B2374">
        <f>IF($P2374="","",INDEX(상세표[성명],$P2374)&amp;"")</f>
        <v/>
      </c>
      <c r="C2374">
        <f>IF($P2374="","",INDEX(상세표[부서],$P2374)&amp;"")</f>
        <v/>
      </c>
      <c r="D2374">
        <f>IF($P2374="","",INDEX(상세표[직위],$P2374)&amp;"")</f>
        <v/>
      </c>
      <c r="E2374">
        <f>IF($P2374="","",IF(ISNUMBER(INDEX(상세표[시작],$P2374)),TEXT(INDEX(상세표[시작],$P2374),"yyyy-mm-dd hh:mm"),INDEX(상세표[시작],$P2374)&amp;""))</f>
        <v/>
      </c>
      <c r="F2374">
        <f>IF($P2374="","",IF(ISNUMBER(INDEX(상세표[블록종료],$P2374)),TEXT(INDEX(상세표[블록종료],$P2374),"yyyy-mm-dd hh:mm"),INDEX(상세표[블록종료],$P2374)&amp;""))</f>
        <v/>
      </c>
      <c r="G2374">
        <f>IF($P2374="","",CHOOSE(WEEKDAY(INDEX(상세표[시작],$P2374)),"일","월","화","수","목","금","토"))</f>
        <v/>
      </c>
      <c r="H2374">
        <f>IF($P2374="","",INDEX(상세표[연속 시간],$P2374))</f>
        <v/>
      </c>
      <c r="I2374">
        <f>IF($P2374="","",INDEX(상세표[기록 수],$P2374))</f>
        <v/>
      </c>
      <c r="J2374">
        <f>IF($P2374="","",INDEX(상세표[블록 06~07시],$P2374))</f>
        <v/>
      </c>
      <c r="K2374">
        <f>IF($P2374="","",INDEX(상세표[블록 07~18시],$P2374))</f>
        <v/>
      </c>
      <c r="L2374">
        <f>IF($P2374="","",INDEX(상세표[블록 18~22시],$P2374))</f>
        <v/>
      </c>
      <c r="M2374">
        <f>IF($P2374="","",INDEX(상세표[블록 22~06시],$P2374))</f>
        <v/>
      </c>
      <c r="N2374">
        <f>IF($P2374="","",INDEX(상세표[주말·휴일 포함],$P2374)&amp;"")</f>
        <v/>
      </c>
      <c r="O2374">
        <f>IF($P2374="","",INDEX(상세표[월 넘김 포함],$P2374)&amp;"")</f>
        <v/>
      </c>
      <c r="P2374" s="4">
        <f>IFERROR(MATCH(2369,상세표[연속순번],0),"")</f>
        <v/>
      </c>
    </row>
    <row r="2375">
      <c r="A2375">
        <f>IF($P2375="","",INDEX(상세표[사번],$P2375)&amp;"")</f>
        <v/>
      </c>
      <c r="B2375">
        <f>IF($P2375="","",INDEX(상세표[성명],$P2375)&amp;"")</f>
        <v/>
      </c>
      <c r="C2375">
        <f>IF($P2375="","",INDEX(상세표[부서],$P2375)&amp;"")</f>
        <v/>
      </c>
      <c r="D2375">
        <f>IF($P2375="","",INDEX(상세표[직위],$P2375)&amp;"")</f>
        <v/>
      </c>
      <c r="E2375">
        <f>IF($P2375="","",IF(ISNUMBER(INDEX(상세표[시작],$P2375)),TEXT(INDEX(상세표[시작],$P2375),"yyyy-mm-dd hh:mm"),INDEX(상세표[시작],$P2375)&amp;""))</f>
        <v/>
      </c>
      <c r="F2375">
        <f>IF($P2375="","",IF(ISNUMBER(INDEX(상세표[블록종료],$P2375)),TEXT(INDEX(상세표[블록종료],$P2375),"yyyy-mm-dd hh:mm"),INDEX(상세표[블록종료],$P2375)&amp;""))</f>
        <v/>
      </c>
      <c r="G2375">
        <f>IF($P2375="","",CHOOSE(WEEKDAY(INDEX(상세표[시작],$P2375)),"일","월","화","수","목","금","토"))</f>
        <v/>
      </c>
      <c r="H2375">
        <f>IF($P2375="","",INDEX(상세표[연속 시간],$P2375))</f>
        <v/>
      </c>
      <c r="I2375">
        <f>IF($P2375="","",INDEX(상세표[기록 수],$P2375))</f>
        <v/>
      </c>
      <c r="J2375">
        <f>IF($P2375="","",INDEX(상세표[블록 06~07시],$P2375))</f>
        <v/>
      </c>
      <c r="K2375">
        <f>IF($P2375="","",INDEX(상세표[블록 07~18시],$P2375))</f>
        <v/>
      </c>
      <c r="L2375">
        <f>IF($P2375="","",INDEX(상세표[블록 18~22시],$P2375))</f>
        <v/>
      </c>
      <c r="M2375">
        <f>IF($P2375="","",INDEX(상세표[블록 22~06시],$P2375))</f>
        <v/>
      </c>
      <c r="N2375">
        <f>IF($P2375="","",INDEX(상세표[주말·휴일 포함],$P2375)&amp;"")</f>
        <v/>
      </c>
      <c r="O2375">
        <f>IF($P2375="","",INDEX(상세표[월 넘김 포함],$P2375)&amp;"")</f>
        <v/>
      </c>
      <c r="P2375" s="4">
        <f>IFERROR(MATCH(2370,상세표[연속순번],0),"")</f>
        <v/>
      </c>
    </row>
    <row r="2376">
      <c r="A2376">
        <f>IF($P2376="","",INDEX(상세표[사번],$P2376)&amp;"")</f>
        <v/>
      </c>
      <c r="B2376">
        <f>IF($P2376="","",INDEX(상세표[성명],$P2376)&amp;"")</f>
        <v/>
      </c>
      <c r="C2376">
        <f>IF($P2376="","",INDEX(상세표[부서],$P2376)&amp;"")</f>
        <v/>
      </c>
      <c r="D2376">
        <f>IF($P2376="","",INDEX(상세표[직위],$P2376)&amp;"")</f>
        <v/>
      </c>
      <c r="E2376">
        <f>IF($P2376="","",IF(ISNUMBER(INDEX(상세표[시작],$P2376)),TEXT(INDEX(상세표[시작],$P2376),"yyyy-mm-dd hh:mm"),INDEX(상세표[시작],$P2376)&amp;""))</f>
        <v/>
      </c>
      <c r="F2376">
        <f>IF($P2376="","",IF(ISNUMBER(INDEX(상세표[블록종료],$P2376)),TEXT(INDEX(상세표[블록종료],$P2376),"yyyy-mm-dd hh:mm"),INDEX(상세표[블록종료],$P2376)&amp;""))</f>
        <v/>
      </c>
      <c r="G2376">
        <f>IF($P2376="","",CHOOSE(WEEKDAY(INDEX(상세표[시작],$P2376)),"일","월","화","수","목","금","토"))</f>
        <v/>
      </c>
      <c r="H2376">
        <f>IF($P2376="","",INDEX(상세표[연속 시간],$P2376))</f>
        <v/>
      </c>
      <c r="I2376">
        <f>IF($P2376="","",INDEX(상세표[기록 수],$P2376))</f>
        <v/>
      </c>
      <c r="J2376">
        <f>IF($P2376="","",INDEX(상세표[블록 06~07시],$P2376))</f>
        <v/>
      </c>
      <c r="K2376">
        <f>IF($P2376="","",INDEX(상세표[블록 07~18시],$P2376))</f>
        <v/>
      </c>
      <c r="L2376">
        <f>IF($P2376="","",INDEX(상세표[블록 18~22시],$P2376))</f>
        <v/>
      </c>
      <c r="M2376">
        <f>IF($P2376="","",INDEX(상세표[블록 22~06시],$P2376))</f>
        <v/>
      </c>
      <c r="N2376">
        <f>IF($P2376="","",INDEX(상세표[주말·휴일 포함],$P2376)&amp;"")</f>
        <v/>
      </c>
      <c r="O2376">
        <f>IF($P2376="","",INDEX(상세표[월 넘김 포함],$P2376)&amp;"")</f>
        <v/>
      </c>
      <c r="P2376" s="4">
        <f>IFERROR(MATCH(2371,상세표[연속순번],0),"")</f>
        <v/>
      </c>
    </row>
    <row r="2377">
      <c r="A2377">
        <f>IF($P2377="","",INDEX(상세표[사번],$P2377)&amp;"")</f>
        <v/>
      </c>
      <c r="B2377">
        <f>IF($P2377="","",INDEX(상세표[성명],$P2377)&amp;"")</f>
        <v/>
      </c>
      <c r="C2377">
        <f>IF($P2377="","",INDEX(상세표[부서],$P2377)&amp;"")</f>
        <v/>
      </c>
      <c r="D2377">
        <f>IF($P2377="","",INDEX(상세표[직위],$P2377)&amp;"")</f>
        <v/>
      </c>
      <c r="E2377">
        <f>IF($P2377="","",IF(ISNUMBER(INDEX(상세표[시작],$P2377)),TEXT(INDEX(상세표[시작],$P2377),"yyyy-mm-dd hh:mm"),INDEX(상세표[시작],$P2377)&amp;""))</f>
        <v/>
      </c>
      <c r="F2377">
        <f>IF($P2377="","",IF(ISNUMBER(INDEX(상세표[블록종료],$P2377)),TEXT(INDEX(상세표[블록종료],$P2377),"yyyy-mm-dd hh:mm"),INDEX(상세표[블록종료],$P2377)&amp;""))</f>
        <v/>
      </c>
      <c r="G2377">
        <f>IF($P2377="","",CHOOSE(WEEKDAY(INDEX(상세표[시작],$P2377)),"일","월","화","수","목","금","토"))</f>
        <v/>
      </c>
      <c r="H2377">
        <f>IF($P2377="","",INDEX(상세표[연속 시간],$P2377))</f>
        <v/>
      </c>
      <c r="I2377">
        <f>IF($P2377="","",INDEX(상세표[기록 수],$P2377))</f>
        <v/>
      </c>
      <c r="J2377">
        <f>IF($P2377="","",INDEX(상세표[블록 06~07시],$P2377))</f>
        <v/>
      </c>
      <c r="K2377">
        <f>IF($P2377="","",INDEX(상세표[블록 07~18시],$P2377))</f>
        <v/>
      </c>
      <c r="L2377">
        <f>IF($P2377="","",INDEX(상세표[블록 18~22시],$P2377))</f>
        <v/>
      </c>
      <c r="M2377">
        <f>IF($P2377="","",INDEX(상세표[블록 22~06시],$P2377))</f>
        <v/>
      </c>
      <c r="N2377">
        <f>IF($P2377="","",INDEX(상세표[주말·휴일 포함],$P2377)&amp;"")</f>
        <v/>
      </c>
      <c r="O2377">
        <f>IF($P2377="","",INDEX(상세표[월 넘김 포함],$P2377)&amp;"")</f>
        <v/>
      </c>
      <c r="P2377" s="4">
        <f>IFERROR(MATCH(2372,상세표[연속순번],0),"")</f>
        <v/>
      </c>
    </row>
    <row r="2378">
      <c r="A2378">
        <f>IF($P2378="","",INDEX(상세표[사번],$P2378)&amp;"")</f>
        <v/>
      </c>
      <c r="B2378">
        <f>IF($P2378="","",INDEX(상세표[성명],$P2378)&amp;"")</f>
        <v/>
      </c>
      <c r="C2378">
        <f>IF($P2378="","",INDEX(상세표[부서],$P2378)&amp;"")</f>
        <v/>
      </c>
      <c r="D2378">
        <f>IF($P2378="","",INDEX(상세표[직위],$P2378)&amp;"")</f>
        <v/>
      </c>
      <c r="E2378">
        <f>IF($P2378="","",IF(ISNUMBER(INDEX(상세표[시작],$P2378)),TEXT(INDEX(상세표[시작],$P2378),"yyyy-mm-dd hh:mm"),INDEX(상세표[시작],$P2378)&amp;""))</f>
        <v/>
      </c>
      <c r="F2378">
        <f>IF($P2378="","",IF(ISNUMBER(INDEX(상세표[블록종료],$P2378)),TEXT(INDEX(상세표[블록종료],$P2378),"yyyy-mm-dd hh:mm"),INDEX(상세표[블록종료],$P2378)&amp;""))</f>
        <v/>
      </c>
      <c r="G2378">
        <f>IF($P2378="","",CHOOSE(WEEKDAY(INDEX(상세표[시작],$P2378)),"일","월","화","수","목","금","토"))</f>
        <v/>
      </c>
      <c r="H2378">
        <f>IF($P2378="","",INDEX(상세표[연속 시간],$P2378))</f>
        <v/>
      </c>
      <c r="I2378">
        <f>IF($P2378="","",INDEX(상세표[기록 수],$P2378))</f>
        <v/>
      </c>
      <c r="J2378">
        <f>IF($P2378="","",INDEX(상세표[블록 06~07시],$P2378))</f>
        <v/>
      </c>
      <c r="K2378">
        <f>IF($P2378="","",INDEX(상세표[블록 07~18시],$P2378))</f>
        <v/>
      </c>
      <c r="L2378">
        <f>IF($P2378="","",INDEX(상세표[블록 18~22시],$P2378))</f>
        <v/>
      </c>
      <c r="M2378">
        <f>IF($P2378="","",INDEX(상세표[블록 22~06시],$P2378))</f>
        <v/>
      </c>
      <c r="N2378">
        <f>IF($P2378="","",INDEX(상세표[주말·휴일 포함],$P2378)&amp;"")</f>
        <v/>
      </c>
      <c r="O2378">
        <f>IF($P2378="","",INDEX(상세표[월 넘김 포함],$P2378)&amp;"")</f>
        <v/>
      </c>
      <c r="P2378" s="4">
        <f>IFERROR(MATCH(2373,상세표[연속순번],0),"")</f>
        <v/>
      </c>
    </row>
    <row r="2379">
      <c r="A2379">
        <f>IF($P2379="","",INDEX(상세표[사번],$P2379)&amp;"")</f>
        <v/>
      </c>
      <c r="B2379">
        <f>IF($P2379="","",INDEX(상세표[성명],$P2379)&amp;"")</f>
        <v/>
      </c>
      <c r="C2379">
        <f>IF($P2379="","",INDEX(상세표[부서],$P2379)&amp;"")</f>
        <v/>
      </c>
      <c r="D2379">
        <f>IF($P2379="","",INDEX(상세표[직위],$P2379)&amp;"")</f>
        <v/>
      </c>
      <c r="E2379">
        <f>IF($P2379="","",IF(ISNUMBER(INDEX(상세표[시작],$P2379)),TEXT(INDEX(상세표[시작],$P2379),"yyyy-mm-dd hh:mm"),INDEX(상세표[시작],$P2379)&amp;""))</f>
        <v/>
      </c>
      <c r="F2379">
        <f>IF($P2379="","",IF(ISNUMBER(INDEX(상세표[블록종료],$P2379)),TEXT(INDEX(상세표[블록종료],$P2379),"yyyy-mm-dd hh:mm"),INDEX(상세표[블록종료],$P2379)&amp;""))</f>
        <v/>
      </c>
      <c r="G2379">
        <f>IF($P2379="","",CHOOSE(WEEKDAY(INDEX(상세표[시작],$P2379)),"일","월","화","수","목","금","토"))</f>
        <v/>
      </c>
      <c r="H2379">
        <f>IF($P2379="","",INDEX(상세표[연속 시간],$P2379))</f>
        <v/>
      </c>
      <c r="I2379">
        <f>IF($P2379="","",INDEX(상세표[기록 수],$P2379))</f>
        <v/>
      </c>
      <c r="J2379">
        <f>IF($P2379="","",INDEX(상세표[블록 06~07시],$P2379))</f>
        <v/>
      </c>
      <c r="K2379">
        <f>IF($P2379="","",INDEX(상세표[블록 07~18시],$P2379))</f>
        <v/>
      </c>
      <c r="L2379">
        <f>IF($P2379="","",INDEX(상세표[블록 18~22시],$P2379))</f>
        <v/>
      </c>
      <c r="M2379">
        <f>IF($P2379="","",INDEX(상세표[블록 22~06시],$P2379))</f>
        <v/>
      </c>
      <c r="N2379">
        <f>IF($P2379="","",INDEX(상세표[주말·휴일 포함],$P2379)&amp;"")</f>
        <v/>
      </c>
      <c r="O2379">
        <f>IF($P2379="","",INDEX(상세표[월 넘김 포함],$P2379)&amp;"")</f>
        <v/>
      </c>
      <c r="P2379" s="4">
        <f>IFERROR(MATCH(2374,상세표[연속순번],0),"")</f>
        <v/>
      </c>
    </row>
    <row r="2380">
      <c r="A2380">
        <f>IF($P2380="","",INDEX(상세표[사번],$P2380)&amp;"")</f>
        <v/>
      </c>
      <c r="B2380">
        <f>IF($P2380="","",INDEX(상세표[성명],$P2380)&amp;"")</f>
        <v/>
      </c>
      <c r="C2380">
        <f>IF($P2380="","",INDEX(상세표[부서],$P2380)&amp;"")</f>
        <v/>
      </c>
      <c r="D2380">
        <f>IF($P2380="","",INDEX(상세표[직위],$P2380)&amp;"")</f>
        <v/>
      </c>
      <c r="E2380">
        <f>IF($P2380="","",IF(ISNUMBER(INDEX(상세표[시작],$P2380)),TEXT(INDEX(상세표[시작],$P2380),"yyyy-mm-dd hh:mm"),INDEX(상세표[시작],$P2380)&amp;""))</f>
        <v/>
      </c>
      <c r="F2380">
        <f>IF($P2380="","",IF(ISNUMBER(INDEX(상세표[블록종료],$P2380)),TEXT(INDEX(상세표[블록종료],$P2380),"yyyy-mm-dd hh:mm"),INDEX(상세표[블록종료],$P2380)&amp;""))</f>
        <v/>
      </c>
      <c r="G2380">
        <f>IF($P2380="","",CHOOSE(WEEKDAY(INDEX(상세표[시작],$P2380)),"일","월","화","수","목","금","토"))</f>
        <v/>
      </c>
      <c r="H2380">
        <f>IF($P2380="","",INDEX(상세표[연속 시간],$P2380))</f>
        <v/>
      </c>
      <c r="I2380">
        <f>IF($P2380="","",INDEX(상세표[기록 수],$P2380))</f>
        <v/>
      </c>
      <c r="J2380">
        <f>IF($P2380="","",INDEX(상세표[블록 06~07시],$P2380))</f>
        <v/>
      </c>
      <c r="K2380">
        <f>IF($P2380="","",INDEX(상세표[블록 07~18시],$P2380))</f>
        <v/>
      </c>
      <c r="L2380">
        <f>IF($P2380="","",INDEX(상세표[블록 18~22시],$P2380))</f>
        <v/>
      </c>
      <c r="M2380">
        <f>IF($P2380="","",INDEX(상세표[블록 22~06시],$P2380))</f>
        <v/>
      </c>
      <c r="N2380">
        <f>IF($P2380="","",INDEX(상세표[주말·휴일 포함],$P2380)&amp;"")</f>
        <v/>
      </c>
      <c r="O2380">
        <f>IF($P2380="","",INDEX(상세표[월 넘김 포함],$P2380)&amp;"")</f>
        <v/>
      </c>
      <c r="P2380" s="4">
        <f>IFERROR(MATCH(2375,상세표[연속순번],0),"")</f>
        <v/>
      </c>
    </row>
    <row r="2381">
      <c r="A2381">
        <f>IF($P2381="","",INDEX(상세표[사번],$P2381)&amp;"")</f>
        <v/>
      </c>
      <c r="B2381">
        <f>IF($P2381="","",INDEX(상세표[성명],$P2381)&amp;"")</f>
        <v/>
      </c>
      <c r="C2381">
        <f>IF($P2381="","",INDEX(상세표[부서],$P2381)&amp;"")</f>
        <v/>
      </c>
      <c r="D2381">
        <f>IF($P2381="","",INDEX(상세표[직위],$P2381)&amp;"")</f>
        <v/>
      </c>
      <c r="E2381">
        <f>IF($P2381="","",IF(ISNUMBER(INDEX(상세표[시작],$P2381)),TEXT(INDEX(상세표[시작],$P2381),"yyyy-mm-dd hh:mm"),INDEX(상세표[시작],$P2381)&amp;""))</f>
        <v/>
      </c>
      <c r="F2381">
        <f>IF($P2381="","",IF(ISNUMBER(INDEX(상세표[블록종료],$P2381)),TEXT(INDEX(상세표[블록종료],$P2381),"yyyy-mm-dd hh:mm"),INDEX(상세표[블록종료],$P2381)&amp;""))</f>
        <v/>
      </c>
      <c r="G2381">
        <f>IF($P2381="","",CHOOSE(WEEKDAY(INDEX(상세표[시작],$P2381)),"일","월","화","수","목","금","토"))</f>
        <v/>
      </c>
      <c r="H2381">
        <f>IF($P2381="","",INDEX(상세표[연속 시간],$P2381))</f>
        <v/>
      </c>
      <c r="I2381">
        <f>IF($P2381="","",INDEX(상세표[기록 수],$P2381))</f>
        <v/>
      </c>
      <c r="J2381">
        <f>IF($P2381="","",INDEX(상세표[블록 06~07시],$P2381))</f>
        <v/>
      </c>
      <c r="K2381">
        <f>IF($P2381="","",INDEX(상세표[블록 07~18시],$P2381))</f>
        <v/>
      </c>
      <c r="L2381">
        <f>IF($P2381="","",INDEX(상세표[블록 18~22시],$P2381))</f>
        <v/>
      </c>
      <c r="M2381">
        <f>IF($P2381="","",INDEX(상세표[블록 22~06시],$P2381))</f>
        <v/>
      </c>
      <c r="N2381">
        <f>IF($P2381="","",INDEX(상세표[주말·휴일 포함],$P2381)&amp;"")</f>
        <v/>
      </c>
      <c r="O2381">
        <f>IF($P2381="","",INDEX(상세표[월 넘김 포함],$P2381)&amp;"")</f>
        <v/>
      </c>
      <c r="P2381" s="4">
        <f>IFERROR(MATCH(2376,상세표[연속순번],0),"")</f>
        <v/>
      </c>
    </row>
    <row r="2382">
      <c r="A2382">
        <f>IF($P2382="","",INDEX(상세표[사번],$P2382)&amp;"")</f>
        <v/>
      </c>
      <c r="B2382">
        <f>IF($P2382="","",INDEX(상세표[성명],$P2382)&amp;"")</f>
        <v/>
      </c>
      <c r="C2382">
        <f>IF($P2382="","",INDEX(상세표[부서],$P2382)&amp;"")</f>
        <v/>
      </c>
      <c r="D2382">
        <f>IF($P2382="","",INDEX(상세표[직위],$P2382)&amp;"")</f>
        <v/>
      </c>
      <c r="E2382">
        <f>IF($P2382="","",IF(ISNUMBER(INDEX(상세표[시작],$P2382)),TEXT(INDEX(상세표[시작],$P2382),"yyyy-mm-dd hh:mm"),INDEX(상세표[시작],$P2382)&amp;""))</f>
        <v/>
      </c>
      <c r="F2382">
        <f>IF($P2382="","",IF(ISNUMBER(INDEX(상세표[블록종료],$P2382)),TEXT(INDEX(상세표[블록종료],$P2382),"yyyy-mm-dd hh:mm"),INDEX(상세표[블록종료],$P2382)&amp;""))</f>
        <v/>
      </c>
      <c r="G2382">
        <f>IF($P2382="","",CHOOSE(WEEKDAY(INDEX(상세표[시작],$P2382)),"일","월","화","수","목","금","토"))</f>
        <v/>
      </c>
      <c r="H2382">
        <f>IF($P2382="","",INDEX(상세표[연속 시간],$P2382))</f>
        <v/>
      </c>
      <c r="I2382">
        <f>IF($P2382="","",INDEX(상세표[기록 수],$P2382))</f>
        <v/>
      </c>
      <c r="J2382">
        <f>IF($P2382="","",INDEX(상세표[블록 06~07시],$P2382))</f>
        <v/>
      </c>
      <c r="K2382">
        <f>IF($P2382="","",INDEX(상세표[블록 07~18시],$P2382))</f>
        <v/>
      </c>
      <c r="L2382">
        <f>IF($P2382="","",INDEX(상세표[블록 18~22시],$P2382))</f>
        <v/>
      </c>
      <c r="M2382">
        <f>IF($P2382="","",INDEX(상세표[블록 22~06시],$P2382))</f>
        <v/>
      </c>
      <c r="N2382">
        <f>IF($P2382="","",INDEX(상세표[주말·휴일 포함],$P2382)&amp;"")</f>
        <v/>
      </c>
      <c r="O2382">
        <f>IF($P2382="","",INDEX(상세표[월 넘김 포함],$P2382)&amp;"")</f>
        <v/>
      </c>
      <c r="P2382" s="4">
        <f>IFERROR(MATCH(2377,상세표[연속순번],0),"")</f>
        <v/>
      </c>
    </row>
    <row r="2383">
      <c r="A2383">
        <f>IF($P2383="","",INDEX(상세표[사번],$P2383)&amp;"")</f>
        <v/>
      </c>
      <c r="B2383">
        <f>IF($P2383="","",INDEX(상세표[성명],$P2383)&amp;"")</f>
        <v/>
      </c>
      <c r="C2383">
        <f>IF($P2383="","",INDEX(상세표[부서],$P2383)&amp;"")</f>
        <v/>
      </c>
      <c r="D2383">
        <f>IF($P2383="","",INDEX(상세표[직위],$P2383)&amp;"")</f>
        <v/>
      </c>
      <c r="E2383">
        <f>IF($P2383="","",IF(ISNUMBER(INDEX(상세표[시작],$P2383)),TEXT(INDEX(상세표[시작],$P2383),"yyyy-mm-dd hh:mm"),INDEX(상세표[시작],$P2383)&amp;""))</f>
        <v/>
      </c>
      <c r="F2383">
        <f>IF($P2383="","",IF(ISNUMBER(INDEX(상세표[블록종료],$P2383)),TEXT(INDEX(상세표[블록종료],$P2383),"yyyy-mm-dd hh:mm"),INDEX(상세표[블록종료],$P2383)&amp;""))</f>
        <v/>
      </c>
      <c r="G2383">
        <f>IF($P2383="","",CHOOSE(WEEKDAY(INDEX(상세표[시작],$P2383)),"일","월","화","수","목","금","토"))</f>
        <v/>
      </c>
      <c r="H2383">
        <f>IF($P2383="","",INDEX(상세표[연속 시간],$P2383))</f>
        <v/>
      </c>
      <c r="I2383">
        <f>IF($P2383="","",INDEX(상세표[기록 수],$P2383))</f>
        <v/>
      </c>
      <c r="J2383">
        <f>IF($P2383="","",INDEX(상세표[블록 06~07시],$P2383))</f>
        <v/>
      </c>
      <c r="K2383">
        <f>IF($P2383="","",INDEX(상세표[블록 07~18시],$P2383))</f>
        <v/>
      </c>
      <c r="L2383">
        <f>IF($P2383="","",INDEX(상세표[블록 18~22시],$P2383))</f>
        <v/>
      </c>
      <c r="M2383">
        <f>IF($P2383="","",INDEX(상세표[블록 22~06시],$P2383))</f>
        <v/>
      </c>
      <c r="N2383">
        <f>IF($P2383="","",INDEX(상세표[주말·휴일 포함],$P2383)&amp;"")</f>
        <v/>
      </c>
      <c r="O2383">
        <f>IF($P2383="","",INDEX(상세표[월 넘김 포함],$P2383)&amp;"")</f>
        <v/>
      </c>
      <c r="P2383" s="4">
        <f>IFERROR(MATCH(2378,상세표[연속순번],0),"")</f>
        <v/>
      </c>
    </row>
    <row r="2384">
      <c r="A2384">
        <f>IF($P2384="","",INDEX(상세표[사번],$P2384)&amp;"")</f>
        <v/>
      </c>
      <c r="B2384">
        <f>IF($P2384="","",INDEX(상세표[성명],$P2384)&amp;"")</f>
        <v/>
      </c>
      <c r="C2384">
        <f>IF($P2384="","",INDEX(상세표[부서],$P2384)&amp;"")</f>
        <v/>
      </c>
      <c r="D2384">
        <f>IF($P2384="","",INDEX(상세표[직위],$P2384)&amp;"")</f>
        <v/>
      </c>
      <c r="E2384">
        <f>IF($P2384="","",IF(ISNUMBER(INDEX(상세표[시작],$P2384)),TEXT(INDEX(상세표[시작],$P2384),"yyyy-mm-dd hh:mm"),INDEX(상세표[시작],$P2384)&amp;""))</f>
        <v/>
      </c>
      <c r="F2384">
        <f>IF($P2384="","",IF(ISNUMBER(INDEX(상세표[블록종료],$P2384)),TEXT(INDEX(상세표[블록종료],$P2384),"yyyy-mm-dd hh:mm"),INDEX(상세표[블록종료],$P2384)&amp;""))</f>
        <v/>
      </c>
      <c r="G2384">
        <f>IF($P2384="","",CHOOSE(WEEKDAY(INDEX(상세표[시작],$P2384)),"일","월","화","수","목","금","토"))</f>
        <v/>
      </c>
      <c r="H2384">
        <f>IF($P2384="","",INDEX(상세표[연속 시간],$P2384))</f>
        <v/>
      </c>
      <c r="I2384">
        <f>IF($P2384="","",INDEX(상세표[기록 수],$P2384))</f>
        <v/>
      </c>
      <c r="J2384">
        <f>IF($P2384="","",INDEX(상세표[블록 06~07시],$P2384))</f>
        <v/>
      </c>
      <c r="K2384">
        <f>IF($P2384="","",INDEX(상세표[블록 07~18시],$P2384))</f>
        <v/>
      </c>
      <c r="L2384">
        <f>IF($P2384="","",INDEX(상세표[블록 18~22시],$P2384))</f>
        <v/>
      </c>
      <c r="M2384">
        <f>IF($P2384="","",INDEX(상세표[블록 22~06시],$P2384))</f>
        <v/>
      </c>
      <c r="N2384">
        <f>IF($P2384="","",INDEX(상세표[주말·휴일 포함],$P2384)&amp;"")</f>
        <v/>
      </c>
      <c r="O2384">
        <f>IF($P2384="","",INDEX(상세표[월 넘김 포함],$P2384)&amp;"")</f>
        <v/>
      </c>
      <c r="P2384" s="4">
        <f>IFERROR(MATCH(2379,상세표[연속순번],0),"")</f>
        <v/>
      </c>
    </row>
    <row r="2385">
      <c r="A2385">
        <f>IF($P2385="","",INDEX(상세표[사번],$P2385)&amp;"")</f>
        <v/>
      </c>
      <c r="B2385">
        <f>IF($P2385="","",INDEX(상세표[성명],$P2385)&amp;"")</f>
        <v/>
      </c>
      <c r="C2385">
        <f>IF($P2385="","",INDEX(상세표[부서],$P2385)&amp;"")</f>
        <v/>
      </c>
      <c r="D2385">
        <f>IF($P2385="","",INDEX(상세표[직위],$P2385)&amp;"")</f>
        <v/>
      </c>
      <c r="E2385">
        <f>IF($P2385="","",IF(ISNUMBER(INDEX(상세표[시작],$P2385)),TEXT(INDEX(상세표[시작],$P2385),"yyyy-mm-dd hh:mm"),INDEX(상세표[시작],$P2385)&amp;""))</f>
        <v/>
      </c>
      <c r="F2385">
        <f>IF($P2385="","",IF(ISNUMBER(INDEX(상세표[블록종료],$P2385)),TEXT(INDEX(상세표[블록종료],$P2385),"yyyy-mm-dd hh:mm"),INDEX(상세표[블록종료],$P2385)&amp;""))</f>
        <v/>
      </c>
      <c r="G2385">
        <f>IF($P2385="","",CHOOSE(WEEKDAY(INDEX(상세표[시작],$P2385)),"일","월","화","수","목","금","토"))</f>
        <v/>
      </c>
      <c r="H2385">
        <f>IF($P2385="","",INDEX(상세표[연속 시간],$P2385))</f>
        <v/>
      </c>
      <c r="I2385">
        <f>IF($P2385="","",INDEX(상세표[기록 수],$P2385))</f>
        <v/>
      </c>
      <c r="J2385">
        <f>IF($P2385="","",INDEX(상세표[블록 06~07시],$P2385))</f>
        <v/>
      </c>
      <c r="K2385">
        <f>IF($P2385="","",INDEX(상세표[블록 07~18시],$P2385))</f>
        <v/>
      </c>
      <c r="L2385">
        <f>IF($P2385="","",INDEX(상세표[블록 18~22시],$P2385))</f>
        <v/>
      </c>
      <c r="M2385">
        <f>IF($P2385="","",INDEX(상세표[블록 22~06시],$P2385))</f>
        <v/>
      </c>
      <c r="N2385">
        <f>IF($P2385="","",INDEX(상세표[주말·휴일 포함],$P2385)&amp;"")</f>
        <v/>
      </c>
      <c r="O2385">
        <f>IF($P2385="","",INDEX(상세표[월 넘김 포함],$P2385)&amp;"")</f>
        <v/>
      </c>
      <c r="P2385" s="4">
        <f>IFERROR(MATCH(2380,상세표[연속순번],0),"")</f>
        <v/>
      </c>
    </row>
    <row r="2386">
      <c r="A2386">
        <f>IF($P2386="","",INDEX(상세표[사번],$P2386)&amp;"")</f>
        <v/>
      </c>
      <c r="B2386">
        <f>IF($P2386="","",INDEX(상세표[성명],$P2386)&amp;"")</f>
        <v/>
      </c>
      <c r="C2386">
        <f>IF($P2386="","",INDEX(상세표[부서],$P2386)&amp;"")</f>
        <v/>
      </c>
      <c r="D2386">
        <f>IF($P2386="","",INDEX(상세표[직위],$P2386)&amp;"")</f>
        <v/>
      </c>
      <c r="E2386">
        <f>IF($P2386="","",IF(ISNUMBER(INDEX(상세표[시작],$P2386)),TEXT(INDEX(상세표[시작],$P2386),"yyyy-mm-dd hh:mm"),INDEX(상세표[시작],$P2386)&amp;""))</f>
        <v/>
      </c>
      <c r="F2386">
        <f>IF($P2386="","",IF(ISNUMBER(INDEX(상세표[블록종료],$P2386)),TEXT(INDEX(상세표[블록종료],$P2386),"yyyy-mm-dd hh:mm"),INDEX(상세표[블록종료],$P2386)&amp;""))</f>
        <v/>
      </c>
      <c r="G2386">
        <f>IF($P2386="","",CHOOSE(WEEKDAY(INDEX(상세표[시작],$P2386)),"일","월","화","수","목","금","토"))</f>
        <v/>
      </c>
      <c r="H2386">
        <f>IF($P2386="","",INDEX(상세표[연속 시간],$P2386))</f>
        <v/>
      </c>
      <c r="I2386">
        <f>IF($P2386="","",INDEX(상세표[기록 수],$P2386))</f>
        <v/>
      </c>
      <c r="J2386">
        <f>IF($P2386="","",INDEX(상세표[블록 06~07시],$P2386))</f>
        <v/>
      </c>
      <c r="K2386">
        <f>IF($P2386="","",INDEX(상세표[블록 07~18시],$P2386))</f>
        <v/>
      </c>
      <c r="L2386">
        <f>IF($P2386="","",INDEX(상세표[블록 18~22시],$P2386))</f>
        <v/>
      </c>
      <c r="M2386">
        <f>IF($P2386="","",INDEX(상세표[블록 22~06시],$P2386))</f>
        <v/>
      </c>
      <c r="N2386">
        <f>IF($P2386="","",INDEX(상세표[주말·휴일 포함],$P2386)&amp;"")</f>
        <v/>
      </c>
      <c r="O2386">
        <f>IF($P2386="","",INDEX(상세표[월 넘김 포함],$P2386)&amp;"")</f>
        <v/>
      </c>
      <c r="P2386" s="4">
        <f>IFERROR(MATCH(2381,상세표[연속순번],0),"")</f>
        <v/>
      </c>
    </row>
    <row r="2387">
      <c r="A2387">
        <f>IF($P2387="","",INDEX(상세표[사번],$P2387)&amp;"")</f>
        <v/>
      </c>
      <c r="B2387">
        <f>IF($P2387="","",INDEX(상세표[성명],$P2387)&amp;"")</f>
        <v/>
      </c>
      <c r="C2387">
        <f>IF($P2387="","",INDEX(상세표[부서],$P2387)&amp;"")</f>
        <v/>
      </c>
      <c r="D2387">
        <f>IF($P2387="","",INDEX(상세표[직위],$P2387)&amp;"")</f>
        <v/>
      </c>
      <c r="E2387">
        <f>IF($P2387="","",IF(ISNUMBER(INDEX(상세표[시작],$P2387)),TEXT(INDEX(상세표[시작],$P2387),"yyyy-mm-dd hh:mm"),INDEX(상세표[시작],$P2387)&amp;""))</f>
        <v/>
      </c>
      <c r="F2387">
        <f>IF($P2387="","",IF(ISNUMBER(INDEX(상세표[블록종료],$P2387)),TEXT(INDEX(상세표[블록종료],$P2387),"yyyy-mm-dd hh:mm"),INDEX(상세표[블록종료],$P2387)&amp;""))</f>
        <v/>
      </c>
      <c r="G2387">
        <f>IF($P2387="","",CHOOSE(WEEKDAY(INDEX(상세표[시작],$P2387)),"일","월","화","수","목","금","토"))</f>
        <v/>
      </c>
      <c r="H2387">
        <f>IF($P2387="","",INDEX(상세표[연속 시간],$P2387))</f>
        <v/>
      </c>
      <c r="I2387">
        <f>IF($P2387="","",INDEX(상세표[기록 수],$P2387))</f>
        <v/>
      </c>
      <c r="J2387">
        <f>IF($P2387="","",INDEX(상세표[블록 06~07시],$P2387))</f>
        <v/>
      </c>
      <c r="K2387">
        <f>IF($P2387="","",INDEX(상세표[블록 07~18시],$P2387))</f>
        <v/>
      </c>
      <c r="L2387">
        <f>IF($P2387="","",INDEX(상세표[블록 18~22시],$P2387))</f>
        <v/>
      </c>
      <c r="M2387">
        <f>IF($P2387="","",INDEX(상세표[블록 22~06시],$P2387))</f>
        <v/>
      </c>
      <c r="N2387">
        <f>IF($P2387="","",INDEX(상세표[주말·휴일 포함],$P2387)&amp;"")</f>
        <v/>
      </c>
      <c r="O2387">
        <f>IF($P2387="","",INDEX(상세표[월 넘김 포함],$P2387)&amp;"")</f>
        <v/>
      </c>
      <c r="P2387" s="4">
        <f>IFERROR(MATCH(2382,상세표[연속순번],0),"")</f>
        <v/>
      </c>
    </row>
    <row r="2388">
      <c r="A2388">
        <f>IF($P2388="","",INDEX(상세표[사번],$P2388)&amp;"")</f>
        <v/>
      </c>
      <c r="B2388">
        <f>IF($P2388="","",INDEX(상세표[성명],$P2388)&amp;"")</f>
        <v/>
      </c>
      <c r="C2388">
        <f>IF($P2388="","",INDEX(상세표[부서],$P2388)&amp;"")</f>
        <v/>
      </c>
      <c r="D2388">
        <f>IF($P2388="","",INDEX(상세표[직위],$P2388)&amp;"")</f>
        <v/>
      </c>
      <c r="E2388">
        <f>IF($P2388="","",IF(ISNUMBER(INDEX(상세표[시작],$P2388)),TEXT(INDEX(상세표[시작],$P2388),"yyyy-mm-dd hh:mm"),INDEX(상세표[시작],$P2388)&amp;""))</f>
        <v/>
      </c>
      <c r="F2388">
        <f>IF($P2388="","",IF(ISNUMBER(INDEX(상세표[블록종료],$P2388)),TEXT(INDEX(상세표[블록종료],$P2388),"yyyy-mm-dd hh:mm"),INDEX(상세표[블록종료],$P2388)&amp;""))</f>
        <v/>
      </c>
      <c r="G2388">
        <f>IF($P2388="","",CHOOSE(WEEKDAY(INDEX(상세표[시작],$P2388)),"일","월","화","수","목","금","토"))</f>
        <v/>
      </c>
      <c r="H2388">
        <f>IF($P2388="","",INDEX(상세표[연속 시간],$P2388))</f>
        <v/>
      </c>
      <c r="I2388">
        <f>IF($P2388="","",INDEX(상세표[기록 수],$P2388))</f>
        <v/>
      </c>
      <c r="J2388">
        <f>IF($P2388="","",INDEX(상세표[블록 06~07시],$P2388))</f>
        <v/>
      </c>
      <c r="K2388">
        <f>IF($P2388="","",INDEX(상세표[블록 07~18시],$P2388))</f>
        <v/>
      </c>
      <c r="L2388">
        <f>IF($P2388="","",INDEX(상세표[블록 18~22시],$P2388))</f>
        <v/>
      </c>
      <c r="M2388">
        <f>IF($P2388="","",INDEX(상세표[블록 22~06시],$P2388))</f>
        <v/>
      </c>
      <c r="N2388">
        <f>IF($P2388="","",INDEX(상세표[주말·휴일 포함],$P2388)&amp;"")</f>
        <v/>
      </c>
      <c r="O2388">
        <f>IF($P2388="","",INDEX(상세표[월 넘김 포함],$P2388)&amp;"")</f>
        <v/>
      </c>
      <c r="P2388" s="4">
        <f>IFERROR(MATCH(2383,상세표[연속순번],0),"")</f>
        <v/>
      </c>
    </row>
    <row r="2389">
      <c r="A2389">
        <f>IF($P2389="","",INDEX(상세표[사번],$P2389)&amp;"")</f>
        <v/>
      </c>
      <c r="B2389">
        <f>IF($P2389="","",INDEX(상세표[성명],$P2389)&amp;"")</f>
        <v/>
      </c>
      <c r="C2389">
        <f>IF($P2389="","",INDEX(상세표[부서],$P2389)&amp;"")</f>
        <v/>
      </c>
      <c r="D2389">
        <f>IF($P2389="","",INDEX(상세표[직위],$P2389)&amp;"")</f>
        <v/>
      </c>
      <c r="E2389">
        <f>IF($P2389="","",IF(ISNUMBER(INDEX(상세표[시작],$P2389)),TEXT(INDEX(상세표[시작],$P2389),"yyyy-mm-dd hh:mm"),INDEX(상세표[시작],$P2389)&amp;""))</f>
        <v/>
      </c>
      <c r="F2389">
        <f>IF($P2389="","",IF(ISNUMBER(INDEX(상세표[블록종료],$P2389)),TEXT(INDEX(상세표[블록종료],$P2389),"yyyy-mm-dd hh:mm"),INDEX(상세표[블록종료],$P2389)&amp;""))</f>
        <v/>
      </c>
      <c r="G2389">
        <f>IF($P2389="","",CHOOSE(WEEKDAY(INDEX(상세표[시작],$P2389)),"일","월","화","수","목","금","토"))</f>
        <v/>
      </c>
      <c r="H2389">
        <f>IF($P2389="","",INDEX(상세표[연속 시간],$P2389))</f>
        <v/>
      </c>
      <c r="I2389">
        <f>IF($P2389="","",INDEX(상세표[기록 수],$P2389))</f>
        <v/>
      </c>
      <c r="J2389">
        <f>IF($P2389="","",INDEX(상세표[블록 06~07시],$P2389))</f>
        <v/>
      </c>
      <c r="K2389">
        <f>IF($P2389="","",INDEX(상세표[블록 07~18시],$P2389))</f>
        <v/>
      </c>
      <c r="L2389">
        <f>IF($P2389="","",INDEX(상세표[블록 18~22시],$P2389))</f>
        <v/>
      </c>
      <c r="M2389">
        <f>IF($P2389="","",INDEX(상세표[블록 22~06시],$P2389))</f>
        <v/>
      </c>
      <c r="N2389">
        <f>IF($P2389="","",INDEX(상세표[주말·휴일 포함],$P2389)&amp;"")</f>
        <v/>
      </c>
      <c r="O2389">
        <f>IF($P2389="","",INDEX(상세표[월 넘김 포함],$P2389)&amp;"")</f>
        <v/>
      </c>
      <c r="P2389" s="4">
        <f>IFERROR(MATCH(2384,상세표[연속순번],0),"")</f>
        <v/>
      </c>
    </row>
    <row r="2390">
      <c r="A2390">
        <f>IF($P2390="","",INDEX(상세표[사번],$P2390)&amp;"")</f>
        <v/>
      </c>
      <c r="B2390">
        <f>IF($P2390="","",INDEX(상세표[성명],$P2390)&amp;"")</f>
        <v/>
      </c>
      <c r="C2390">
        <f>IF($P2390="","",INDEX(상세표[부서],$P2390)&amp;"")</f>
        <v/>
      </c>
      <c r="D2390">
        <f>IF($P2390="","",INDEX(상세표[직위],$P2390)&amp;"")</f>
        <v/>
      </c>
      <c r="E2390">
        <f>IF($P2390="","",IF(ISNUMBER(INDEX(상세표[시작],$P2390)),TEXT(INDEX(상세표[시작],$P2390),"yyyy-mm-dd hh:mm"),INDEX(상세표[시작],$P2390)&amp;""))</f>
        <v/>
      </c>
      <c r="F2390">
        <f>IF($P2390="","",IF(ISNUMBER(INDEX(상세표[블록종료],$P2390)),TEXT(INDEX(상세표[블록종료],$P2390),"yyyy-mm-dd hh:mm"),INDEX(상세표[블록종료],$P2390)&amp;""))</f>
        <v/>
      </c>
      <c r="G2390">
        <f>IF($P2390="","",CHOOSE(WEEKDAY(INDEX(상세표[시작],$P2390)),"일","월","화","수","목","금","토"))</f>
        <v/>
      </c>
      <c r="H2390">
        <f>IF($P2390="","",INDEX(상세표[연속 시간],$P2390))</f>
        <v/>
      </c>
      <c r="I2390">
        <f>IF($P2390="","",INDEX(상세표[기록 수],$P2390))</f>
        <v/>
      </c>
      <c r="J2390">
        <f>IF($P2390="","",INDEX(상세표[블록 06~07시],$P2390))</f>
        <v/>
      </c>
      <c r="K2390">
        <f>IF($P2390="","",INDEX(상세표[블록 07~18시],$P2390))</f>
        <v/>
      </c>
      <c r="L2390">
        <f>IF($P2390="","",INDEX(상세표[블록 18~22시],$P2390))</f>
        <v/>
      </c>
      <c r="M2390">
        <f>IF($P2390="","",INDEX(상세표[블록 22~06시],$P2390))</f>
        <v/>
      </c>
      <c r="N2390">
        <f>IF($P2390="","",INDEX(상세표[주말·휴일 포함],$P2390)&amp;"")</f>
        <v/>
      </c>
      <c r="O2390">
        <f>IF($P2390="","",INDEX(상세표[월 넘김 포함],$P2390)&amp;"")</f>
        <v/>
      </c>
      <c r="P2390" s="4">
        <f>IFERROR(MATCH(2385,상세표[연속순번],0),"")</f>
        <v/>
      </c>
    </row>
    <row r="2391">
      <c r="A2391">
        <f>IF($P2391="","",INDEX(상세표[사번],$P2391)&amp;"")</f>
        <v/>
      </c>
      <c r="B2391">
        <f>IF($P2391="","",INDEX(상세표[성명],$P2391)&amp;"")</f>
        <v/>
      </c>
      <c r="C2391">
        <f>IF($P2391="","",INDEX(상세표[부서],$P2391)&amp;"")</f>
        <v/>
      </c>
      <c r="D2391">
        <f>IF($P2391="","",INDEX(상세표[직위],$P2391)&amp;"")</f>
        <v/>
      </c>
      <c r="E2391">
        <f>IF($P2391="","",IF(ISNUMBER(INDEX(상세표[시작],$P2391)),TEXT(INDEX(상세표[시작],$P2391),"yyyy-mm-dd hh:mm"),INDEX(상세표[시작],$P2391)&amp;""))</f>
        <v/>
      </c>
      <c r="F2391">
        <f>IF($P2391="","",IF(ISNUMBER(INDEX(상세표[블록종료],$P2391)),TEXT(INDEX(상세표[블록종료],$P2391),"yyyy-mm-dd hh:mm"),INDEX(상세표[블록종료],$P2391)&amp;""))</f>
        <v/>
      </c>
      <c r="G2391">
        <f>IF($P2391="","",CHOOSE(WEEKDAY(INDEX(상세표[시작],$P2391)),"일","월","화","수","목","금","토"))</f>
        <v/>
      </c>
      <c r="H2391">
        <f>IF($P2391="","",INDEX(상세표[연속 시간],$P2391))</f>
        <v/>
      </c>
      <c r="I2391">
        <f>IF($P2391="","",INDEX(상세표[기록 수],$P2391))</f>
        <v/>
      </c>
      <c r="J2391">
        <f>IF($P2391="","",INDEX(상세표[블록 06~07시],$P2391))</f>
        <v/>
      </c>
      <c r="K2391">
        <f>IF($P2391="","",INDEX(상세표[블록 07~18시],$P2391))</f>
        <v/>
      </c>
      <c r="L2391">
        <f>IF($P2391="","",INDEX(상세표[블록 18~22시],$P2391))</f>
        <v/>
      </c>
      <c r="M2391">
        <f>IF($P2391="","",INDEX(상세표[블록 22~06시],$P2391))</f>
        <v/>
      </c>
      <c r="N2391">
        <f>IF($P2391="","",INDEX(상세표[주말·휴일 포함],$P2391)&amp;"")</f>
        <v/>
      </c>
      <c r="O2391">
        <f>IF($P2391="","",INDEX(상세표[월 넘김 포함],$P2391)&amp;"")</f>
        <v/>
      </c>
      <c r="P2391" s="4">
        <f>IFERROR(MATCH(2386,상세표[연속순번],0),"")</f>
        <v/>
      </c>
    </row>
    <row r="2392">
      <c r="A2392">
        <f>IF($P2392="","",INDEX(상세표[사번],$P2392)&amp;"")</f>
        <v/>
      </c>
      <c r="B2392">
        <f>IF($P2392="","",INDEX(상세표[성명],$P2392)&amp;"")</f>
        <v/>
      </c>
      <c r="C2392">
        <f>IF($P2392="","",INDEX(상세표[부서],$P2392)&amp;"")</f>
        <v/>
      </c>
      <c r="D2392">
        <f>IF($P2392="","",INDEX(상세표[직위],$P2392)&amp;"")</f>
        <v/>
      </c>
      <c r="E2392">
        <f>IF($P2392="","",IF(ISNUMBER(INDEX(상세표[시작],$P2392)),TEXT(INDEX(상세표[시작],$P2392),"yyyy-mm-dd hh:mm"),INDEX(상세표[시작],$P2392)&amp;""))</f>
        <v/>
      </c>
      <c r="F2392">
        <f>IF($P2392="","",IF(ISNUMBER(INDEX(상세표[블록종료],$P2392)),TEXT(INDEX(상세표[블록종료],$P2392),"yyyy-mm-dd hh:mm"),INDEX(상세표[블록종료],$P2392)&amp;""))</f>
        <v/>
      </c>
      <c r="G2392">
        <f>IF($P2392="","",CHOOSE(WEEKDAY(INDEX(상세표[시작],$P2392)),"일","월","화","수","목","금","토"))</f>
        <v/>
      </c>
      <c r="H2392">
        <f>IF($P2392="","",INDEX(상세표[연속 시간],$P2392))</f>
        <v/>
      </c>
      <c r="I2392">
        <f>IF($P2392="","",INDEX(상세표[기록 수],$P2392))</f>
        <v/>
      </c>
      <c r="J2392">
        <f>IF($P2392="","",INDEX(상세표[블록 06~07시],$P2392))</f>
        <v/>
      </c>
      <c r="K2392">
        <f>IF($P2392="","",INDEX(상세표[블록 07~18시],$P2392))</f>
        <v/>
      </c>
      <c r="L2392">
        <f>IF($P2392="","",INDEX(상세표[블록 18~22시],$P2392))</f>
        <v/>
      </c>
      <c r="M2392">
        <f>IF($P2392="","",INDEX(상세표[블록 22~06시],$P2392))</f>
        <v/>
      </c>
      <c r="N2392">
        <f>IF($P2392="","",INDEX(상세표[주말·휴일 포함],$P2392)&amp;"")</f>
        <v/>
      </c>
      <c r="O2392">
        <f>IF($P2392="","",INDEX(상세표[월 넘김 포함],$P2392)&amp;"")</f>
        <v/>
      </c>
      <c r="P2392" s="4">
        <f>IFERROR(MATCH(2387,상세표[연속순번],0),"")</f>
        <v/>
      </c>
    </row>
    <row r="2393">
      <c r="A2393">
        <f>IF($P2393="","",INDEX(상세표[사번],$P2393)&amp;"")</f>
        <v/>
      </c>
      <c r="B2393">
        <f>IF($P2393="","",INDEX(상세표[성명],$P2393)&amp;"")</f>
        <v/>
      </c>
      <c r="C2393">
        <f>IF($P2393="","",INDEX(상세표[부서],$P2393)&amp;"")</f>
        <v/>
      </c>
      <c r="D2393">
        <f>IF($P2393="","",INDEX(상세표[직위],$P2393)&amp;"")</f>
        <v/>
      </c>
      <c r="E2393">
        <f>IF($P2393="","",IF(ISNUMBER(INDEX(상세표[시작],$P2393)),TEXT(INDEX(상세표[시작],$P2393),"yyyy-mm-dd hh:mm"),INDEX(상세표[시작],$P2393)&amp;""))</f>
        <v/>
      </c>
      <c r="F2393">
        <f>IF($P2393="","",IF(ISNUMBER(INDEX(상세표[블록종료],$P2393)),TEXT(INDEX(상세표[블록종료],$P2393),"yyyy-mm-dd hh:mm"),INDEX(상세표[블록종료],$P2393)&amp;""))</f>
        <v/>
      </c>
      <c r="G2393">
        <f>IF($P2393="","",CHOOSE(WEEKDAY(INDEX(상세표[시작],$P2393)),"일","월","화","수","목","금","토"))</f>
        <v/>
      </c>
      <c r="H2393">
        <f>IF($P2393="","",INDEX(상세표[연속 시간],$P2393))</f>
        <v/>
      </c>
      <c r="I2393">
        <f>IF($P2393="","",INDEX(상세표[기록 수],$P2393))</f>
        <v/>
      </c>
      <c r="J2393">
        <f>IF($P2393="","",INDEX(상세표[블록 06~07시],$P2393))</f>
        <v/>
      </c>
      <c r="K2393">
        <f>IF($P2393="","",INDEX(상세표[블록 07~18시],$P2393))</f>
        <v/>
      </c>
      <c r="L2393">
        <f>IF($P2393="","",INDEX(상세표[블록 18~22시],$P2393))</f>
        <v/>
      </c>
      <c r="M2393">
        <f>IF($P2393="","",INDEX(상세표[블록 22~06시],$P2393))</f>
        <v/>
      </c>
      <c r="N2393">
        <f>IF($P2393="","",INDEX(상세표[주말·휴일 포함],$P2393)&amp;"")</f>
        <v/>
      </c>
      <c r="O2393">
        <f>IF($P2393="","",INDEX(상세표[월 넘김 포함],$P2393)&amp;"")</f>
        <v/>
      </c>
      <c r="P2393" s="4">
        <f>IFERROR(MATCH(2388,상세표[연속순번],0),"")</f>
        <v/>
      </c>
    </row>
    <row r="2394">
      <c r="A2394">
        <f>IF($P2394="","",INDEX(상세표[사번],$P2394)&amp;"")</f>
        <v/>
      </c>
      <c r="B2394">
        <f>IF($P2394="","",INDEX(상세표[성명],$P2394)&amp;"")</f>
        <v/>
      </c>
      <c r="C2394">
        <f>IF($P2394="","",INDEX(상세표[부서],$P2394)&amp;"")</f>
        <v/>
      </c>
      <c r="D2394">
        <f>IF($P2394="","",INDEX(상세표[직위],$P2394)&amp;"")</f>
        <v/>
      </c>
      <c r="E2394">
        <f>IF($P2394="","",IF(ISNUMBER(INDEX(상세표[시작],$P2394)),TEXT(INDEX(상세표[시작],$P2394),"yyyy-mm-dd hh:mm"),INDEX(상세표[시작],$P2394)&amp;""))</f>
        <v/>
      </c>
      <c r="F2394">
        <f>IF($P2394="","",IF(ISNUMBER(INDEX(상세표[블록종료],$P2394)),TEXT(INDEX(상세표[블록종료],$P2394),"yyyy-mm-dd hh:mm"),INDEX(상세표[블록종료],$P2394)&amp;""))</f>
        <v/>
      </c>
      <c r="G2394">
        <f>IF($P2394="","",CHOOSE(WEEKDAY(INDEX(상세표[시작],$P2394)),"일","월","화","수","목","금","토"))</f>
        <v/>
      </c>
      <c r="H2394">
        <f>IF($P2394="","",INDEX(상세표[연속 시간],$P2394))</f>
        <v/>
      </c>
      <c r="I2394">
        <f>IF($P2394="","",INDEX(상세표[기록 수],$P2394))</f>
        <v/>
      </c>
      <c r="J2394">
        <f>IF($P2394="","",INDEX(상세표[블록 06~07시],$P2394))</f>
        <v/>
      </c>
      <c r="K2394">
        <f>IF($P2394="","",INDEX(상세표[블록 07~18시],$P2394))</f>
        <v/>
      </c>
      <c r="L2394">
        <f>IF($P2394="","",INDEX(상세표[블록 18~22시],$P2394))</f>
        <v/>
      </c>
      <c r="M2394">
        <f>IF($P2394="","",INDEX(상세표[블록 22~06시],$P2394))</f>
        <v/>
      </c>
      <c r="N2394">
        <f>IF($P2394="","",INDEX(상세표[주말·휴일 포함],$P2394)&amp;"")</f>
        <v/>
      </c>
      <c r="O2394">
        <f>IF($P2394="","",INDEX(상세표[월 넘김 포함],$P2394)&amp;"")</f>
        <v/>
      </c>
      <c r="P2394" s="4">
        <f>IFERROR(MATCH(2389,상세표[연속순번],0),"")</f>
        <v/>
      </c>
    </row>
    <row r="2395">
      <c r="A2395">
        <f>IF($P2395="","",INDEX(상세표[사번],$P2395)&amp;"")</f>
        <v/>
      </c>
      <c r="B2395">
        <f>IF($P2395="","",INDEX(상세표[성명],$P2395)&amp;"")</f>
        <v/>
      </c>
      <c r="C2395">
        <f>IF($P2395="","",INDEX(상세표[부서],$P2395)&amp;"")</f>
        <v/>
      </c>
      <c r="D2395">
        <f>IF($P2395="","",INDEX(상세표[직위],$P2395)&amp;"")</f>
        <v/>
      </c>
      <c r="E2395">
        <f>IF($P2395="","",IF(ISNUMBER(INDEX(상세표[시작],$P2395)),TEXT(INDEX(상세표[시작],$P2395),"yyyy-mm-dd hh:mm"),INDEX(상세표[시작],$P2395)&amp;""))</f>
        <v/>
      </c>
      <c r="F2395">
        <f>IF($P2395="","",IF(ISNUMBER(INDEX(상세표[블록종료],$P2395)),TEXT(INDEX(상세표[블록종료],$P2395),"yyyy-mm-dd hh:mm"),INDEX(상세표[블록종료],$P2395)&amp;""))</f>
        <v/>
      </c>
      <c r="G2395">
        <f>IF($P2395="","",CHOOSE(WEEKDAY(INDEX(상세표[시작],$P2395)),"일","월","화","수","목","금","토"))</f>
        <v/>
      </c>
      <c r="H2395">
        <f>IF($P2395="","",INDEX(상세표[연속 시간],$P2395))</f>
        <v/>
      </c>
      <c r="I2395">
        <f>IF($P2395="","",INDEX(상세표[기록 수],$P2395))</f>
        <v/>
      </c>
      <c r="J2395">
        <f>IF($P2395="","",INDEX(상세표[블록 06~07시],$P2395))</f>
        <v/>
      </c>
      <c r="K2395">
        <f>IF($P2395="","",INDEX(상세표[블록 07~18시],$P2395))</f>
        <v/>
      </c>
      <c r="L2395">
        <f>IF($P2395="","",INDEX(상세표[블록 18~22시],$P2395))</f>
        <v/>
      </c>
      <c r="M2395">
        <f>IF($P2395="","",INDEX(상세표[블록 22~06시],$P2395))</f>
        <v/>
      </c>
      <c r="N2395">
        <f>IF($P2395="","",INDEX(상세표[주말·휴일 포함],$P2395)&amp;"")</f>
        <v/>
      </c>
      <c r="O2395">
        <f>IF($P2395="","",INDEX(상세표[월 넘김 포함],$P2395)&amp;"")</f>
        <v/>
      </c>
      <c r="P2395" s="4">
        <f>IFERROR(MATCH(2390,상세표[연속순번],0),"")</f>
        <v/>
      </c>
    </row>
    <row r="2396">
      <c r="A2396">
        <f>IF($P2396="","",INDEX(상세표[사번],$P2396)&amp;"")</f>
        <v/>
      </c>
      <c r="B2396">
        <f>IF($P2396="","",INDEX(상세표[성명],$P2396)&amp;"")</f>
        <v/>
      </c>
      <c r="C2396">
        <f>IF($P2396="","",INDEX(상세표[부서],$P2396)&amp;"")</f>
        <v/>
      </c>
      <c r="D2396">
        <f>IF($P2396="","",INDEX(상세표[직위],$P2396)&amp;"")</f>
        <v/>
      </c>
      <c r="E2396">
        <f>IF($P2396="","",IF(ISNUMBER(INDEX(상세표[시작],$P2396)),TEXT(INDEX(상세표[시작],$P2396),"yyyy-mm-dd hh:mm"),INDEX(상세표[시작],$P2396)&amp;""))</f>
        <v/>
      </c>
      <c r="F2396">
        <f>IF($P2396="","",IF(ISNUMBER(INDEX(상세표[블록종료],$P2396)),TEXT(INDEX(상세표[블록종료],$P2396),"yyyy-mm-dd hh:mm"),INDEX(상세표[블록종료],$P2396)&amp;""))</f>
        <v/>
      </c>
      <c r="G2396">
        <f>IF($P2396="","",CHOOSE(WEEKDAY(INDEX(상세표[시작],$P2396)),"일","월","화","수","목","금","토"))</f>
        <v/>
      </c>
      <c r="H2396">
        <f>IF($P2396="","",INDEX(상세표[연속 시간],$P2396))</f>
        <v/>
      </c>
      <c r="I2396">
        <f>IF($P2396="","",INDEX(상세표[기록 수],$P2396))</f>
        <v/>
      </c>
      <c r="J2396">
        <f>IF($P2396="","",INDEX(상세표[블록 06~07시],$P2396))</f>
        <v/>
      </c>
      <c r="K2396">
        <f>IF($P2396="","",INDEX(상세표[블록 07~18시],$P2396))</f>
        <v/>
      </c>
      <c r="L2396">
        <f>IF($P2396="","",INDEX(상세표[블록 18~22시],$P2396))</f>
        <v/>
      </c>
      <c r="M2396">
        <f>IF($P2396="","",INDEX(상세표[블록 22~06시],$P2396))</f>
        <v/>
      </c>
      <c r="N2396">
        <f>IF($P2396="","",INDEX(상세표[주말·휴일 포함],$P2396)&amp;"")</f>
        <v/>
      </c>
      <c r="O2396">
        <f>IF($P2396="","",INDEX(상세표[월 넘김 포함],$P2396)&amp;"")</f>
        <v/>
      </c>
      <c r="P2396" s="4">
        <f>IFERROR(MATCH(2391,상세표[연속순번],0),"")</f>
        <v/>
      </c>
    </row>
    <row r="2397">
      <c r="A2397">
        <f>IF($P2397="","",INDEX(상세표[사번],$P2397)&amp;"")</f>
        <v/>
      </c>
      <c r="B2397">
        <f>IF($P2397="","",INDEX(상세표[성명],$P2397)&amp;"")</f>
        <v/>
      </c>
      <c r="C2397">
        <f>IF($P2397="","",INDEX(상세표[부서],$P2397)&amp;"")</f>
        <v/>
      </c>
      <c r="D2397">
        <f>IF($P2397="","",INDEX(상세표[직위],$P2397)&amp;"")</f>
        <v/>
      </c>
      <c r="E2397">
        <f>IF($P2397="","",IF(ISNUMBER(INDEX(상세표[시작],$P2397)),TEXT(INDEX(상세표[시작],$P2397),"yyyy-mm-dd hh:mm"),INDEX(상세표[시작],$P2397)&amp;""))</f>
        <v/>
      </c>
      <c r="F2397">
        <f>IF($P2397="","",IF(ISNUMBER(INDEX(상세표[블록종료],$P2397)),TEXT(INDEX(상세표[블록종료],$P2397),"yyyy-mm-dd hh:mm"),INDEX(상세표[블록종료],$P2397)&amp;""))</f>
        <v/>
      </c>
      <c r="G2397">
        <f>IF($P2397="","",CHOOSE(WEEKDAY(INDEX(상세표[시작],$P2397)),"일","월","화","수","목","금","토"))</f>
        <v/>
      </c>
      <c r="H2397">
        <f>IF($P2397="","",INDEX(상세표[연속 시간],$P2397))</f>
        <v/>
      </c>
      <c r="I2397">
        <f>IF($P2397="","",INDEX(상세표[기록 수],$P2397))</f>
        <v/>
      </c>
      <c r="J2397">
        <f>IF($P2397="","",INDEX(상세표[블록 06~07시],$P2397))</f>
        <v/>
      </c>
      <c r="K2397">
        <f>IF($P2397="","",INDEX(상세표[블록 07~18시],$P2397))</f>
        <v/>
      </c>
      <c r="L2397">
        <f>IF($P2397="","",INDEX(상세표[블록 18~22시],$P2397))</f>
        <v/>
      </c>
      <c r="M2397">
        <f>IF($P2397="","",INDEX(상세표[블록 22~06시],$P2397))</f>
        <v/>
      </c>
      <c r="N2397">
        <f>IF($P2397="","",INDEX(상세표[주말·휴일 포함],$P2397)&amp;"")</f>
        <v/>
      </c>
      <c r="O2397">
        <f>IF($P2397="","",INDEX(상세표[월 넘김 포함],$P2397)&amp;"")</f>
        <v/>
      </c>
      <c r="P2397" s="4">
        <f>IFERROR(MATCH(2392,상세표[연속순번],0),"")</f>
        <v/>
      </c>
    </row>
    <row r="2398">
      <c r="A2398">
        <f>IF($P2398="","",INDEX(상세표[사번],$P2398)&amp;"")</f>
        <v/>
      </c>
      <c r="B2398">
        <f>IF($P2398="","",INDEX(상세표[성명],$P2398)&amp;"")</f>
        <v/>
      </c>
      <c r="C2398">
        <f>IF($P2398="","",INDEX(상세표[부서],$P2398)&amp;"")</f>
        <v/>
      </c>
      <c r="D2398">
        <f>IF($P2398="","",INDEX(상세표[직위],$P2398)&amp;"")</f>
        <v/>
      </c>
      <c r="E2398">
        <f>IF($P2398="","",IF(ISNUMBER(INDEX(상세표[시작],$P2398)),TEXT(INDEX(상세표[시작],$P2398),"yyyy-mm-dd hh:mm"),INDEX(상세표[시작],$P2398)&amp;""))</f>
        <v/>
      </c>
      <c r="F2398">
        <f>IF($P2398="","",IF(ISNUMBER(INDEX(상세표[블록종료],$P2398)),TEXT(INDEX(상세표[블록종료],$P2398),"yyyy-mm-dd hh:mm"),INDEX(상세표[블록종료],$P2398)&amp;""))</f>
        <v/>
      </c>
      <c r="G2398">
        <f>IF($P2398="","",CHOOSE(WEEKDAY(INDEX(상세표[시작],$P2398)),"일","월","화","수","목","금","토"))</f>
        <v/>
      </c>
      <c r="H2398">
        <f>IF($P2398="","",INDEX(상세표[연속 시간],$P2398))</f>
        <v/>
      </c>
      <c r="I2398">
        <f>IF($P2398="","",INDEX(상세표[기록 수],$P2398))</f>
        <v/>
      </c>
      <c r="J2398">
        <f>IF($P2398="","",INDEX(상세표[블록 06~07시],$P2398))</f>
        <v/>
      </c>
      <c r="K2398">
        <f>IF($P2398="","",INDEX(상세표[블록 07~18시],$P2398))</f>
        <v/>
      </c>
      <c r="L2398">
        <f>IF($P2398="","",INDEX(상세표[블록 18~22시],$P2398))</f>
        <v/>
      </c>
      <c r="M2398">
        <f>IF($P2398="","",INDEX(상세표[블록 22~06시],$P2398))</f>
        <v/>
      </c>
      <c r="N2398">
        <f>IF($P2398="","",INDEX(상세표[주말·휴일 포함],$P2398)&amp;"")</f>
        <v/>
      </c>
      <c r="O2398">
        <f>IF($P2398="","",INDEX(상세표[월 넘김 포함],$P2398)&amp;"")</f>
        <v/>
      </c>
      <c r="P2398" s="4">
        <f>IFERROR(MATCH(2393,상세표[연속순번],0),"")</f>
        <v/>
      </c>
    </row>
    <row r="2399">
      <c r="A2399">
        <f>IF($P2399="","",INDEX(상세표[사번],$P2399)&amp;"")</f>
        <v/>
      </c>
      <c r="B2399">
        <f>IF($P2399="","",INDEX(상세표[성명],$P2399)&amp;"")</f>
        <v/>
      </c>
      <c r="C2399">
        <f>IF($P2399="","",INDEX(상세표[부서],$P2399)&amp;"")</f>
        <v/>
      </c>
      <c r="D2399">
        <f>IF($P2399="","",INDEX(상세표[직위],$P2399)&amp;"")</f>
        <v/>
      </c>
      <c r="E2399">
        <f>IF($P2399="","",IF(ISNUMBER(INDEX(상세표[시작],$P2399)),TEXT(INDEX(상세표[시작],$P2399),"yyyy-mm-dd hh:mm"),INDEX(상세표[시작],$P2399)&amp;""))</f>
        <v/>
      </c>
      <c r="F2399">
        <f>IF($P2399="","",IF(ISNUMBER(INDEX(상세표[블록종료],$P2399)),TEXT(INDEX(상세표[블록종료],$P2399),"yyyy-mm-dd hh:mm"),INDEX(상세표[블록종료],$P2399)&amp;""))</f>
        <v/>
      </c>
      <c r="G2399">
        <f>IF($P2399="","",CHOOSE(WEEKDAY(INDEX(상세표[시작],$P2399)),"일","월","화","수","목","금","토"))</f>
        <v/>
      </c>
      <c r="H2399">
        <f>IF($P2399="","",INDEX(상세표[연속 시간],$P2399))</f>
        <v/>
      </c>
      <c r="I2399">
        <f>IF($P2399="","",INDEX(상세표[기록 수],$P2399))</f>
        <v/>
      </c>
      <c r="J2399">
        <f>IF($P2399="","",INDEX(상세표[블록 06~07시],$P2399))</f>
        <v/>
      </c>
      <c r="K2399">
        <f>IF($P2399="","",INDEX(상세표[블록 07~18시],$P2399))</f>
        <v/>
      </c>
      <c r="L2399">
        <f>IF($P2399="","",INDEX(상세표[블록 18~22시],$P2399))</f>
        <v/>
      </c>
      <c r="M2399">
        <f>IF($P2399="","",INDEX(상세표[블록 22~06시],$P2399))</f>
        <v/>
      </c>
      <c r="N2399">
        <f>IF($P2399="","",INDEX(상세표[주말·휴일 포함],$P2399)&amp;"")</f>
        <v/>
      </c>
      <c r="O2399">
        <f>IF($P2399="","",INDEX(상세표[월 넘김 포함],$P2399)&amp;"")</f>
        <v/>
      </c>
      <c r="P2399" s="4">
        <f>IFERROR(MATCH(2394,상세표[연속순번],0),"")</f>
        <v/>
      </c>
    </row>
    <row r="2400">
      <c r="A2400">
        <f>IF($P2400="","",INDEX(상세표[사번],$P2400)&amp;"")</f>
        <v/>
      </c>
      <c r="B2400">
        <f>IF($P2400="","",INDEX(상세표[성명],$P2400)&amp;"")</f>
        <v/>
      </c>
      <c r="C2400">
        <f>IF($P2400="","",INDEX(상세표[부서],$P2400)&amp;"")</f>
        <v/>
      </c>
      <c r="D2400">
        <f>IF($P2400="","",INDEX(상세표[직위],$P2400)&amp;"")</f>
        <v/>
      </c>
      <c r="E2400">
        <f>IF($P2400="","",IF(ISNUMBER(INDEX(상세표[시작],$P2400)),TEXT(INDEX(상세표[시작],$P2400),"yyyy-mm-dd hh:mm"),INDEX(상세표[시작],$P2400)&amp;""))</f>
        <v/>
      </c>
      <c r="F2400">
        <f>IF($P2400="","",IF(ISNUMBER(INDEX(상세표[블록종료],$P2400)),TEXT(INDEX(상세표[블록종료],$P2400),"yyyy-mm-dd hh:mm"),INDEX(상세표[블록종료],$P2400)&amp;""))</f>
        <v/>
      </c>
      <c r="G2400">
        <f>IF($P2400="","",CHOOSE(WEEKDAY(INDEX(상세표[시작],$P2400)),"일","월","화","수","목","금","토"))</f>
        <v/>
      </c>
      <c r="H2400">
        <f>IF($P2400="","",INDEX(상세표[연속 시간],$P2400))</f>
        <v/>
      </c>
      <c r="I2400">
        <f>IF($P2400="","",INDEX(상세표[기록 수],$P2400))</f>
        <v/>
      </c>
      <c r="J2400">
        <f>IF($P2400="","",INDEX(상세표[블록 06~07시],$P2400))</f>
        <v/>
      </c>
      <c r="K2400">
        <f>IF($P2400="","",INDEX(상세표[블록 07~18시],$P2400))</f>
        <v/>
      </c>
      <c r="L2400">
        <f>IF($P2400="","",INDEX(상세표[블록 18~22시],$P2400))</f>
        <v/>
      </c>
      <c r="M2400">
        <f>IF($P2400="","",INDEX(상세표[블록 22~06시],$P2400))</f>
        <v/>
      </c>
      <c r="N2400">
        <f>IF($P2400="","",INDEX(상세표[주말·휴일 포함],$P2400)&amp;"")</f>
        <v/>
      </c>
      <c r="O2400">
        <f>IF($P2400="","",INDEX(상세표[월 넘김 포함],$P2400)&amp;"")</f>
        <v/>
      </c>
      <c r="P2400" s="4">
        <f>IFERROR(MATCH(2395,상세표[연속순번],0),"")</f>
        <v/>
      </c>
    </row>
    <row r="2401">
      <c r="A2401">
        <f>IF($P2401="","",INDEX(상세표[사번],$P2401)&amp;"")</f>
        <v/>
      </c>
      <c r="B2401">
        <f>IF($P2401="","",INDEX(상세표[성명],$P2401)&amp;"")</f>
        <v/>
      </c>
      <c r="C2401">
        <f>IF($P2401="","",INDEX(상세표[부서],$P2401)&amp;"")</f>
        <v/>
      </c>
      <c r="D2401">
        <f>IF($P2401="","",INDEX(상세표[직위],$P2401)&amp;"")</f>
        <v/>
      </c>
      <c r="E2401">
        <f>IF($P2401="","",IF(ISNUMBER(INDEX(상세표[시작],$P2401)),TEXT(INDEX(상세표[시작],$P2401),"yyyy-mm-dd hh:mm"),INDEX(상세표[시작],$P2401)&amp;""))</f>
        <v/>
      </c>
      <c r="F2401">
        <f>IF($P2401="","",IF(ISNUMBER(INDEX(상세표[블록종료],$P2401)),TEXT(INDEX(상세표[블록종료],$P2401),"yyyy-mm-dd hh:mm"),INDEX(상세표[블록종료],$P2401)&amp;""))</f>
        <v/>
      </c>
      <c r="G2401">
        <f>IF($P2401="","",CHOOSE(WEEKDAY(INDEX(상세표[시작],$P2401)),"일","월","화","수","목","금","토"))</f>
        <v/>
      </c>
      <c r="H2401">
        <f>IF($P2401="","",INDEX(상세표[연속 시간],$P2401))</f>
        <v/>
      </c>
      <c r="I2401">
        <f>IF($P2401="","",INDEX(상세표[기록 수],$P2401))</f>
        <v/>
      </c>
      <c r="J2401">
        <f>IF($P2401="","",INDEX(상세표[블록 06~07시],$P2401))</f>
        <v/>
      </c>
      <c r="K2401">
        <f>IF($P2401="","",INDEX(상세표[블록 07~18시],$P2401))</f>
        <v/>
      </c>
      <c r="L2401">
        <f>IF($P2401="","",INDEX(상세표[블록 18~22시],$P2401))</f>
        <v/>
      </c>
      <c r="M2401">
        <f>IF($P2401="","",INDEX(상세표[블록 22~06시],$P2401))</f>
        <v/>
      </c>
      <c r="N2401">
        <f>IF($P2401="","",INDEX(상세표[주말·휴일 포함],$P2401)&amp;"")</f>
        <v/>
      </c>
      <c r="O2401">
        <f>IF($P2401="","",INDEX(상세표[월 넘김 포함],$P2401)&amp;"")</f>
        <v/>
      </c>
      <c r="P2401" s="4">
        <f>IFERROR(MATCH(2396,상세표[연속순번],0),"")</f>
        <v/>
      </c>
    </row>
    <row r="2402">
      <c r="A2402">
        <f>IF($P2402="","",INDEX(상세표[사번],$P2402)&amp;"")</f>
        <v/>
      </c>
      <c r="B2402">
        <f>IF($P2402="","",INDEX(상세표[성명],$P2402)&amp;"")</f>
        <v/>
      </c>
      <c r="C2402">
        <f>IF($P2402="","",INDEX(상세표[부서],$P2402)&amp;"")</f>
        <v/>
      </c>
      <c r="D2402">
        <f>IF($P2402="","",INDEX(상세표[직위],$P2402)&amp;"")</f>
        <v/>
      </c>
      <c r="E2402">
        <f>IF($P2402="","",IF(ISNUMBER(INDEX(상세표[시작],$P2402)),TEXT(INDEX(상세표[시작],$P2402),"yyyy-mm-dd hh:mm"),INDEX(상세표[시작],$P2402)&amp;""))</f>
        <v/>
      </c>
      <c r="F2402">
        <f>IF($P2402="","",IF(ISNUMBER(INDEX(상세표[블록종료],$P2402)),TEXT(INDEX(상세표[블록종료],$P2402),"yyyy-mm-dd hh:mm"),INDEX(상세표[블록종료],$P2402)&amp;""))</f>
        <v/>
      </c>
      <c r="G2402">
        <f>IF($P2402="","",CHOOSE(WEEKDAY(INDEX(상세표[시작],$P2402)),"일","월","화","수","목","금","토"))</f>
        <v/>
      </c>
      <c r="H2402">
        <f>IF($P2402="","",INDEX(상세표[연속 시간],$P2402))</f>
        <v/>
      </c>
      <c r="I2402">
        <f>IF($P2402="","",INDEX(상세표[기록 수],$P2402))</f>
        <v/>
      </c>
      <c r="J2402">
        <f>IF($P2402="","",INDEX(상세표[블록 06~07시],$P2402))</f>
        <v/>
      </c>
      <c r="K2402">
        <f>IF($P2402="","",INDEX(상세표[블록 07~18시],$P2402))</f>
        <v/>
      </c>
      <c r="L2402">
        <f>IF($P2402="","",INDEX(상세표[블록 18~22시],$P2402))</f>
        <v/>
      </c>
      <c r="M2402">
        <f>IF($P2402="","",INDEX(상세표[블록 22~06시],$P2402))</f>
        <v/>
      </c>
      <c r="N2402">
        <f>IF($P2402="","",INDEX(상세표[주말·휴일 포함],$P2402)&amp;"")</f>
        <v/>
      </c>
      <c r="O2402">
        <f>IF($P2402="","",INDEX(상세표[월 넘김 포함],$P2402)&amp;"")</f>
        <v/>
      </c>
      <c r="P2402" s="4">
        <f>IFERROR(MATCH(2397,상세표[연속순번],0),"")</f>
        <v/>
      </c>
    </row>
    <row r="2403">
      <c r="A2403">
        <f>IF($P2403="","",INDEX(상세표[사번],$P2403)&amp;"")</f>
        <v/>
      </c>
      <c r="B2403">
        <f>IF($P2403="","",INDEX(상세표[성명],$P2403)&amp;"")</f>
        <v/>
      </c>
      <c r="C2403">
        <f>IF($P2403="","",INDEX(상세표[부서],$P2403)&amp;"")</f>
        <v/>
      </c>
      <c r="D2403">
        <f>IF($P2403="","",INDEX(상세표[직위],$P2403)&amp;"")</f>
        <v/>
      </c>
      <c r="E2403">
        <f>IF($P2403="","",IF(ISNUMBER(INDEX(상세표[시작],$P2403)),TEXT(INDEX(상세표[시작],$P2403),"yyyy-mm-dd hh:mm"),INDEX(상세표[시작],$P2403)&amp;""))</f>
        <v/>
      </c>
      <c r="F2403">
        <f>IF($P2403="","",IF(ISNUMBER(INDEX(상세표[블록종료],$P2403)),TEXT(INDEX(상세표[블록종료],$P2403),"yyyy-mm-dd hh:mm"),INDEX(상세표[블록종료],$P2403)&amp;""))</f>
        <v/>
      </c>
      <c r="G2403">
        <f>IF($P2403="","",CHOOSE(WEEKDAY(INDEX(상세표[시작],$P2403)),"일","월","화","수","목","금","토"))</f>
        <v/>
      </c>
      <c r="H2403">
        <f>IF($P2403="","",INDEX(상세표[연속 시간],$P2403))</f>
        <v/>
      </c>
      <c r="I2403">
        <f>IF($P2403="","",INDEX(상세표[기록 수],$P2403))</f>
        <v/>
      </c>
      <c r="J2403">
        <f>IF($P2403="","",INDEX(상세표[블록 06~07시],$P2403))</f>
        <v/>
      </c>
      <c r="K2403">
        <f>IF($P2403="","",INDEX(상세표[블록 07~18시],$P2403))</f>
        <v/>
      </c>
      <c r="L2403">
        <f>IF($P2403="","",INDEX(상세표[블록 18~22시],$P2403))</f>
        <v/>
      </c>
      <c r="M2403">
        <f>IF($P2403="","",INDEX(상세표[블록 22~06시],$P2403))</f>
        <v/>
      </c>
      <c r="N2403">
        <f>IF($P2403="","",INDEX(상세표[주말·휴일 포함],$P2403)&amp;"")</f>
        <v/>
      </c>
      <c r="O2403">
        <f>IF($P2403="","",INDEX(상세표[월 넘김 포함],$P2403)&amp;"")</f>
        <v/>
      </c>
      <c r="P2403" s="4">
        <f>IFERROR(MATCH(2398,상세표[연속순번],0),"")</f>
        <v/>
      </c>
    </row>
    <row r="2404">
      <c r="A2404">
        <f>IF($P2404="","",INDEX(상세표[사번],$P2404)&amp;"")</f>
        <v/>
      </c>
      <c r="B2404">
        <f>IF($P2404="","",INDEX(상세표[성명],$P2404)&amp;"")</f>
        <v/>
      </c>
      <c r="C2404">
        <f>IF($P2404="","",INDEX(상세표[부서],$P2404)&amp;"")</f>
        <v/>
      </c>
      <c r="D2404">
        <f>IF($P2404="","",INDEX(상세표[직위],$P2404)&amp;"")</f>
        <v/>
      </c>
      <c r="E2404">
        <f>IF($P2404="","",IF(ISNUMBER(INDEX(상세표[시작],$P2404)),TEXT(INDEX(상세표[시작],$P2404),"yyyy-mm-dd hh:mm"),INDEX(상세표[시작],$P2404)&amp;""))</f>
        <v/>
      </c>
      <c r="F2404">
        <f>IF($P2404="","",IF(ISNUMBER(INDEX(상세표[블록종료],$P2404)),TEXT(INDEX(상세표[블록종료],$P2404),"yyyy-mm-dd hh:mm"),INDEX(상세표[블록종료],$P2404)&amp;""))</f>
        <v/>
      </c>
      <c r="G2404">
        <f>IF($P2404="","",CHOOSE(WEEKDAY(INDEX(상세표[시작],$P2404)),"일","월","화","수","목","금","토"))</f>
        <v/>
      </c>
      <c r="H2404">
        <f>IF($P2404="","",INDEX(상세표[연속 시간],$P2404))</f>
        <v/>
      </c>
      <c r="I2404">
        <f>IF($P2404="","",INDEX(상세표[기록 수],$P2404))</f>
        <v/>
      </c>
      <c r="J2404">
        <f>IF($P2404="","",INDEX(상세표[블록 06~07시],$P2404))</f>
        <v/>
      </c>
      <c r="K2404">
        <f>IF($P2404="","",INDEX(상세표[블록 07~18시],$P2404))</f>
        <v/>
      </c>
      <c r="L2404">
        <f>IF($P2404="","",INDEX(상세표[블록 18~22시],$P2404))</f>
        <v/>
      </c>
      <c r="M2404">
        <f>IF($P2404="","",INDEX(상세표[블록 22~06시],$P2404))</f>
        <v/>
      </c>
      <c r="N2404">
        <f>IF($P2404="","",INDEX(상세표[주말·휴일 포함],$P2404)&amp;"")</f>
        <v/>
      </c>
      <c r="O2404">
        <f>IF($P2404="","",INDEX(상세표[월 넘김 포함],$P2404)&amp;"")</f>
        <v/>
      </c>
      <c r="P2404" s="4">
        <f>IFERROR(MATCH(2399,상세표[연속순번],0),"")</f>
        <v/>
      </c>
    </row>
    <row r="2405">
      <c r="A2405">
        <f>IF($P2405="","",INDEX(상세표[사번],$P2405)&amp;"")</f>
        <v/>
      </c>
      <c r="B2405">
        <f>IF($P2405="","",INDEX(상세표[성명],$P2405)&amp;"")</f>
        <v/>
      </c>
      <c r="C2405">
        <f>IF($P2405="","",INDEX(상세표[부서],$P2405)&amp;"")</f>
        <v/>
      </c>
      <c r="D2405">
        <f>IF($P2405="","",INDEX(상세표[직위],$P2405)&amp;"")</f>
        <v/>
      </c>
      <c r="E2405">
        <f>IF($P2405="","",IF(ISNUMBER(INDEX(상세표[시작],$P2405)),TEXT(INDEX(상세표[시작],$P2405),"yyyy-mm-dd hh:mm"),INDEX(상세표[시작],$P2405)&amp;""))</f>
        <v/>
      </c>
      <c r="F2405">
        <f>IF($P2405="","",IF(ISNUMBER(INDEX(상세표[블록종료],$P2405)),TEXT(INDEX(상세표[블록종료],$P2405),"yyyy-mm-dd hh:mm"),INDEX(상세표[블록종료],$P2405)&amp;""))</f>
        <v/>
      </c>
      <c r="G2405">
        <f>IF($P2405="","",CHOOSE(WEEKDAY(INDEX(상세표[시작],$P2405)),"일","월","화","수","목","금","토"))</f>
        <v/>
      </c>
      <c r="H2405">
        <f>IF($P2405="","",INDEX(상세표[연속 시간],$P2405))</f>
        <v/>
      </c>
      <c r="I2405">
        <f>IF($P2405="","",INDEX(상세표[기록 수],$P2405))</f>
        <v/>
      </c>
      <c r="J2405">
        <f>IF($P2405="","",INDEX(상세표[블록 06~07시],$P2405))</f>
        <v/>
      </c>
      <c r="K2405">
        <f>IF($P2405="","",INDEX(상세표[블록 07~18시],$P2405))</f>
        <v/>
      </c>
      <c r="L2405">
        <f>IF($P2405="","",INDEX(상세표[블록 18~22시],$P2405))</f>
        <v/>
      </c>
      <c r="M2405">
        <f>IF($P2405="","",INDEX(상세표[블록 22~06시],$P2405))</f>
        <v/>
      </c>
      <c r="N2405">
        <f>IF($P2405="","",INDEX(상세표[주말·휴일 포함],$P2405)&amp;"")</f>
        <v/>
      </c>
      <c r="O2405">
        <f>IF($P2405="","",INDEX(상세표[월 넘김 포함],$P2405)&amp;"")</f>
        <v/>
      </c>
      <c r="P2405" s="4">
        <f>IFERROR(MATCH(2400,상세표[연속순번],0),"")</f>
        <v/>
      </c>
    </row>
    <row r="2406">
      <c r="A2406">
        <f>IF($P2406="","",INDEX(상세표[사번],$P2406)&amp;"")</f>
        <v/>
      </c>
      <c r="B2406">
        <f>IF($P2406="","",INDEX(상세표[성명],$P2406)&amp;"")</f>
        <v/>
      </c>
      <c r="C2406">
        <f>IF($P2406="","",INDEX(상세표[부서],$P2406)&amp;"")</f>
        <v/>
      </c>
      <c r="D2406">
        <f>IF($P2406="","",INDEX(상세표[직위],$P2406)&amp;"")</f>
        <v/>
      </c>
      <c r="E2406">
        <f>IF($P2406="","",IF(ISNUMBER(INDEX(상세표[시작],$P2406)),TEXT(INDEX(상세표[시작],$P2406),"yyyy-mm-dd hh:mm"),INDEX(상세표[시작],$P2406)&amp;""))</f>
        <v/>
      </c>
      <c r="F2406">
        <f>IF($P2406="","",IF(ISNUMBER(INDEX(상세표[블록종료],$P2406)),TEXT(INDEX(상세표[블록종료],$P2406),"yyyy-mm-dd hh:mm"),INDEX(상세표[블록종료],$P2406)&amp;""))</f>
        <v/>
      </c>
      <c r="G2406">
        <f>IF($P2406="","",CHOOSE(WEEKDAY(INDEX(상세표[시작],$P2406)),"일","월","화","수","목","금","토"))</f>
        <v/>
      </c>
      <c r="H2406">
        <f>IF($P2406="","",INDEX(상세표[연속 시간],$P2406))</f>
        <v/>
      </c>
      <c r="I2406">
        <f>IF($P2406="","",INDEX(상세표[기록 수],$P2406))</f>
        <v/>
      </c>
      <c r="J2406">
        <f>IF($P2406="","",INDEX(상세표[블록 06~07시],$P2406))</f>
        <v/>
      </c>
      <c r="K2406">
        <f>IF($P2406="","",INDEX(상세표[블록 07~18시],$P2406))</f>
        <v/>
      </c>
      <c r="L2406">
        <f>IF($P2406="","",INDEX(상세표[블록 18~22시],$P2406))</f>
        <v/>
      </c>
      <c r="M2406">
        <f>IF($P2406="","",INDEX(상세표[블록 22~06시],$P2406))</f>
        <v/>
      </c>
      <c r="N2406">
        <f>IF($P2406="","",INDEX(상세표[주말·휴일 포함],$P2406)&amp;"")</f>
        <v/>
      </c>
      <c r="O2406">
        <f>IF($P2406="","",INDEX(상세표[월 넘김 포함],$P2406)&amp;"")</f>
        <v/>
      </c>
      <c r="P2406" s="4">
        <f>IFERROR(MATCH(2401,상세표[연속순번],0),"")</f>
        <v/>
      </c>
    </row>
    <row r="2407">
      <c r="A2407">
        <f>IF($P2407="","",INDEX(상세표[사번],$P2407)&amp;"")</f>
        <v/>
      </c>
      <c r="B2407">
        <f>IF($P2407="","",INDEX(상세표[성명],$P2407)&amp;"")</f>
        <v/>
      </c>
      <c r="C2407">
        <f>IF($P2407="","",INDEX(상세표[부서],$P2407)&amp;"")</f>
        <v/>
      </c>
      <c r="D2407">
        <f>IF($P2407="","",INDEX(상세표[직위],$P2407)&amp;"")</f>
        <v/>
      </c>
      <c r="E2407">
        <f>IF($P2407="","",IF(ISNUMBER(INDEX(상세표[시작],$P2407)),TEXT(INDEX(상세표[시작],$P2407),"yyyy-mm-dd hh:mm"),INDEX(상세표[시작],$P2407)&amp;""))</f>
        <v/>
      </c>
      <c r="F2407">
        <f>IF($P2407="","",IF(ISNUMBER(INDEX(상세표[블록종료],$P2407)),TEXT(INDEX(상세표[블록종료],$P2407),"yyyy-mm-dd hh:mm"),INDEX(상세표[블록종료],$P2407)&amp;""))</f>
        <v/>
      </c>
      <c r="G2407">
        <f>IF($P2407="","",CHOOSE(WEEKDAY(INDEX(상세표[시작],$P2407)),"일","월","화","수","목","금","토"))</f>
        <v/>
      </c>
      <c r="H2407">
        <f>IF($P2407="","",INDEX(상세표[연속 시간],$P2407))</f>
        <v/>
      </c>
      <c r="I2407">
        <f>IF($P2407="","",INDEX(상세표[기록 수],$P2407))</f>
        <v/>
      </c>
      <c r="J2407">
        <f>IF($P2407="","",INDEX(상세표[블록 06~07시],$P2407))</f>
        <v/>
      </c>
      <c r="K2407">
        <f>IF($P2407="","",INDEX(상세표[블록 07~18시],$P2407))</f>
        <v/>
      </c>
      <c r="L2407">
        <f>IF($P2407="","",INDEX(상세표[블록 18~22시],$P2407))</f>
        <v/>
      </c>
      <c r="M2407">
        <f>IF($P2407="","",INDEX(상세표[블록 22~06시],$P2407))</f>
        <v/>
      </c>
      <c r="N2407">
        <f>IF($P2407="","",INDEX(상세표[주말·휴일 포함],$P2407)&amp;"")</f>
        <v/>
      </c>
      <c r="O2407">
        <f>IF($P2407="","",INDEX(상세표[월 넘김 포함],$P2407)&amp;"")</f>
        <v/>
      </c>
      <c r="P2407" s="4">
        <f>IFERROR(MATCH(2402,상세표[연속순번],0),"")</f>
        <v/>
      </c>
    </row>
    <row r="2408">
      <c r="A2408">
        <f>IF($P2408="","",INDEX(상세표[사번],$P2408)&amp;"")</f>
        <v/>
      </c>
      <c r="B2408">
        <f>IF($P2408="","",INDEX(상세표[성명],$P2408)&amp;"")</f>
        <v/>
      </c>
      <c r="C2408">
        <f>IF($P2408="","",INDEX(상세표[부서],$P2408)&amp;"")</f>
        <v/>
      </c>
      <c r="D2408">
        <f>IF($P2408="","",INDEX(상세표[직위],$P2408)&amp;"")</f>
        <v/>
      </c>
      <c r="E2408">
        <f>IF($P2408="","",IF(ISNUMBER(INDEX(상세표[시작],$P2408)),TEXT(INDEX(상세표[시작],$P2408),"yyyy-mm-dd hh:mm"),INDEX(상세표[시작],$P2408)&amp;""))</f>
        <v/>
      </c>
      <c r="F2408">
        <f>IF($P2408="","",IF(ISNUMBER(INDEX(상세표[블록종료],$P2408)),TEXT(INDEX(상세표[블록종료],$P2408),"yyyy-mm-dd hh:mm"),INDEX(상세표[블록종료],$P2408)&amp;""))</f>
        <v/>
      </c>
      <c r="G2408">
        <f>IF($P2408="","",CHOOSE(WEEKDAY(INDEX(상세표[시작],$P2408)),"일","월","화","수","목","금","토"))</f>
        <v/>
      </c>
      <c r="H2408">
        <f>IF($P2408="","",INDEX(상세표[연속 시간],$P2408))</f>
        <v/>
      </c>
      <c r="I2408">
        <f>IF($P2408="","",INDEX(상세표[기록 수],$P2408))</f>
        <v/>
      </c>
      <c r="J2408">
        <f>IF($P2408="","",INDEX(상세표[블록 06~07시],$P2408))</f>
        <v/>
      </c>
      <c r="K2408">
        <f>IF($P2408="","",INDEX(상세표[블록 07~18시],$P2408))</f>
        <v/>
      </c>
      <c r="L2408">
        <f>IF($P2408="","",INDEX(상세표[블록 18~22시],$P2408))</f>
        <v/>
      </c>
      <c r="M2408">
        <f>IF($P2408="","",INDEX(상세표[블록 22~06시],$P2408))</f>
        <v/>
      </c>
      <c r="N2408">
        <f>IF($P2408="","",INDEX(상세표[주말·휴일 포함],$P2408)&amp;"")</f>
        <v/>
      </c>
      <c r="O2408">
        <f>IF($P2408="","",INDEX(상세표[월 넘김 포함],$P2408)&amp;"")</f>
        <v/>
      </c>
      <c r="P2408" s="4">
        <f>IFERROR(MATCH(2403,상세표[연속순번],0),"")</f>
        <v/>
      </c>
    </row>
    <row r="2409">
      <c r="A2409">
        <f>IF($P2409="","",INDEX(상세표[사번],$P2409)&amp;"")</f>
        <v/>
      </c>
      <c r="B2409">
        <f>IF($P2409="","",INDEX(상세표[성명],$P2409)&amp;"")</f>
        <v/>
      </c>
      <c r="C2409">
        <f>IF($P2409="","",INDEX(상세표[부서],$P2409)&amp;"")</f>
        <v/>
      </c>
      <c r="D2409">
        <f>IF($P2409="","",INDEX(상세표[직위],$P2409)&amp;"")</f>
        <v/>
      </c>
      <c r="E2409">
        <f>IF($P2409="","",IF(ISNUMBER(INDEX(상세표[시작],$P2409)),TEXT(INDEX(상세표[시작],$P2409),"yyyy-mm-dd hh:mm"),INDEX(상세표[시작],$P2409)&amp;""))</f>
        <v/>
      </c>
      <c r="F2409">
        <f>IF($P2409="","",IF(ISNUMBER(INDEX(상세표[블록종료],$P2409)),TEXT(INDEX(상세표[블록종료],$P2409),"yyyy-mm-dd hh:mm"),INDEX(상세표[블록종료],$P2409)&amp;""))</f>
        <v/>
      </c>
      <c r="G2409">
        <f>IF($P2409="","",CHOOSE(WEEKDAY(INDEX(상세표[시작],$P2409)),"일","월","화","수","목","금","토"))</f>
        <v/>
      </c>
      <c r="H2409">
        <f>IF($P2409="","",INDEX(상세표[연속 시간],$P2409))</f>
        <v/>
      </c>
      <c r="I2409">
        <f>IF($P2409="","",INDEX(상세표[기록 수],$P2409))</f>
        <v/>
      </c>
      <c r="J2409">
        <f>IF($P2409="","",INDEX(상세표[블록 06~07시],$P2409))</f>
        <v/>
      </c>
      <c r="K2409">
        <f>IF($P2409="","",INDEX(상세표[블록 07~18시],$P2409))</f>
        <v/>
      </c>
      <c r="L2409">
        <f>IF($P2409="","",INDEX(상세표[블록 18~22시],$P2409))</f>
        <v/>
      </c>
      <c r="M2409">
        <f>IF($P2409="","",INDEX(상세표[블록 22~06시],$P2409))</f>
        <v/>
      </c>
      <c r="N2409">
        <f>IF($P2409="","",INDEX(상세표[주말·휴일 포함],$P2409)&amp;"")</f>
        <v/>
      </c>
      <c r="O2409">
        <f>IF($P2409="","",INDEX(상세표[월 넘김 포함],$P2409)&amp;"")</f>
        <v/>
      </c>
      <c r="P2409" s="4">
        <f>IFERROR(MATCH(2404,상세표[연속순번],0),"")</f>
        <v/>
      </c>
    </row>
    <row r="2410">
      <c r="A2410">
        <f>IF($P2410="","",INDEX(상세표[사번],$P2410)&amp;"")</f>
        <v/>
      </c>
      <c r="B2410">
        <f>IF($P2410="","",INDEX(상세표[성명],$P2410)&amp;"")</f>
        <v/>
      </c>
      <c r="C2410">
        <f>IF($P2410="","",INDEX(상세표[부서],$P2410)&amp;"")</f>
        <v/>
      </c>
      <c r="D2410">
        <f>IF($P2410="","",INDEX(상세표[직위],$P2410)&amp;"")</f>
        <v/>
      </c>
      <c r="E2410">
        <f>IF($P2410="","",IF(ISNUMBER(INDEX(상세표[시작],$P2410)),TEXT(INDEX(상세표[시작],$P2410),"yyyy-mm-dd hh:mm"),INDEX(상세표[시작],$P2410)&amp;""))</f>
        <v/>
      </c>
      <c r="F2410">
        <f>IF($P2410="","",IF(ISNUMBER(INDEX(상세표[블록종료],$P2410)),TEXT(INDEX(상세표[블록종료],$P2410),"yyyy-mm-dd hh:mm"),INDEX(상세표[블록종료],$P2410)&amp;""))</f>
        <v/>
      </c>
      <c r="G2410">
        <f>IF($P2410="","",CHOOSE(WEEKDAY(INDEX(상세표[시작],$P2410)),"일","월","화","수","목","금","토"))</f>
        <v/>
      </c>
      <c r="H2410">
        <f>IF($P2410="","",INDEX(상세표[연속 시간],$P2410))</f>
        <v/>
      </c>
      <c r="I2410">
        <f>IF($P2410="","",INDEX(상세표[기록 수],$P2410))</f>
        <v/>
      </c>
      <c r="J2410">
        <f>IF($P2410="","",INDEX(상세표[블록 06~07시],$P2410))</f>
        <v/>
      </c>
      <c r="K2410">
        <f>IF($P2410="","",INDEX(상세표[블록 07~18시],$P2410))</f>
        <v/>
      </c>
      <c r="L2410">
        <f>IF($P2410="","",INDEX(상세표[블록 18~22시],$P2410))</f>
        <v/>
      </c>
      <c r="M2410">
        <f>IF($P2410="","",INDEX(상세표[블록 22~06시],$P2410))</f>
        <v/>
      </c>
      <c r="N2410">
        <f>IF($P2410="","",INDEX(상세표[주말·휴일 포함],$P2410)&amp;"")</f>
        <v/>
      </c>
      <c r="O2410">
        <f>IF($P2410="","",INDEX(상세표[월 넘김 포함],$P2410)&amp;"")</f>
        <v/>
      </c>
      <c r="P2410" s="4">
        <f>IFERROR(MATCH(2405,상세표[연속순번],0),"")</f>
        <v/>
      </c>
    </row>
    <row r="2411">
      <c r="A2411">
        <f>IF($P2411="","",INDEX(상세표[사번],$P2411)&amp;"")</f>
        <v/>
      </c>
      <c r="B2411">
        <f>IF($P2411="","",INDEX(상세표[성명],$P2411)&amp;"")</f>
        <v/>
      </c>
      <c r="C2411">
        <f>IF($P2411="","",INDEX(상세표[부서],$P2411)&amp;"")</f>
        <v/>
      </c>
      <c r="D2411">
        <f>IF($P2411="","",INDEX(상세표[직위],$P2411)&amp;"")</f>
        <v/>
      </c>
      <c r="E2411">
        <f>IF($P2411="","",IF(ISNUMBER(INDEX(상세표[시작],$P2411)),TEXT(INDEX(상세표[시작],$P2411),"yyyy-mm-dd hh:mm"),INDEX(상세표[시작],$P2411)&amp;""))</f>
        <v/>
      </c>
      <c r="F2411">
        <f>IF($P2411="","",IF(ISNUMBER(INDEX(상세표[블록종료],$P2411)),TEXT(INDEX(상세표[블록종료],$P2411),"yyyy-mm-dd hh:mm"),INDEX(상세표[블록종료],$P2411)&amp;""))</f>
        <v/>
      </c>
      <c r="G2411">
        <f>IF($P2411="","",CHOOSE(WEEKDAY(INDEX(상세표[시작],$P2411)),"일","월","화","수","목","금","토"))</f>
        <v/>
      </c>
      <c r="H2411">
        <f>IF($P2411="","",INDEX(상세표[연속 시간],$P2411))</f>
        <v/>
      </c>
      <c r="I2411">
        <f>IF($P2411="","",INDEX(상세표[기록 수],$P2411))</f>
        <v/>
      </c>
      <c r="J2411">
        <f>IF($P2411="","",INDEX(상세표[블록 06~07시],$P2411))</f>
        <v/>
      </c>
      <c r="K2411">
        <f>IF($P2411="","",INDEX(상세표[블록 07~18시],$P2411))</f>
        <v/>
      </c>
      <c r="L2411">
        <f>IF($P2411="","",INDEX(상세표[블록 18~22시],$P2411))</f>
        <v/>
      </c>
      <c r="M2411">
        <f>IF($P2411="","",INDEX(상세표[블록 22~06시],$P2411))</f>
        <v/>
      </c>
      <c r="N2411">
        <f>IF($P2411="","",INDEX(상세표[주말·휴일 포함],$P2411)&amp;"")</f>
        <v/>
      </c>
      <c r="O2411">
        <f>IF($P2411="","",INDEX(상세표[월 넘김 포함],$P2411)&amp;"")</f>
        <v/>
      </c>
      <c r="P2411" s="4">
        <f>IFERROR(MATCH(2406,상세표[연속순번],0),"")</f>
        <v/>
      </c>
    </row>
    <row r="2412">
      <c r="A2412">
        <f>IF($P2412="","",INDEX(상세표[사번],$P2412)&amp;"")</f>
        <v/>
      </c>
      <c r="B2412">
        <f>IF($P2412="","",INDEX(상세표[성명],$P2412)&amp;"")</f>
        <v/>
      </c>
      <c r="C2412">
        <f>IF($P2412="","",INDEX(상세표[부서],$P2412)&amp;"")</f>
        <v/>
      </c>
      <c r="D2412">
        <f>IF($P2412="","",INDEX(상세표[직위],$P2412)&amp;"")</f>
        <v/>
      </c>
      <c r="E2412">
        <f>IF($P2412="","",IF(ISNUMBER(INDEX(상세표[시작],$P2412)),TEXT(INDEX(상세표[시작],$P2412),"yyyy-mm-dd hh:mm"),INDEX(상세표[시작],$P2412)&amp;""))</f>
        <v/>
      </c>
      <c r="F2412">
        <f>IF($P2412="","",IF(ISNUMBER(INDEX(상세표[블록종료],$P2412)),TEXT(INDEX(상세표[블록종료],$P2412),"yyyy-mm-dd hh:mm"),INDEX(상세표[블록종료],$P2412)&amp;""))</f>
        <v/>
      </c>
      <c r="G2412">
        <f>IF($P2412="","",CHOOSE(WEEKDAY(INDEX(상세표[시작],$P2412)),"일","월","화","수","목","금","토"))</f>
        <v/>
      </c>
      <c r="H2412">
        <f>IF($P2412="","",INDEX(상세표[연속 시간],$P2412))</f>
        <v/>
      </c>
      <c r="I2412">
        <f>IF($P2412="","",INDEX(상세표[기록 수],$P2412))</f>
        <v/>
      </c>
      <c r="J2412">
        <f>IF($P2412="","",INDEX(상세표[블록 06~07시],$P2412))</f>
        <v/>
      </c>
      <c r="K2412">
        <f>IF($P2412="","",INDEX(상세표[블록 07~18시],$P2412))</f>
        <v/>
      </c>
      <c r="L2412">
        <f>IF($P2412="","",INDEX(상세표[블록 18~22시],$P2412))</f>
        <v/>
      </c>
      <c r="M2412">
        <f>IF($P2412="","",INDEX(상세표[블록 22~06시],$P2412))</f>
        <v/>
      </c>
      <c r="N2412">
        <f>IF($P2412="","",INDEX(상세표[주말·휴일 포함],$P2412)&amp;"")</f>
        <v/>
      </c>
      <c r="O2412">
        <f>IF($P2412="","",INDEX(상세표[월 넘김 포함],$P2412)&amp;"")</f>
        <v/>
      </c>
      <c r="P2412" s="4">
        <f>IFERROR(MATCH(2407,상세표[연속순번],0),"")</f>
        <v/>
      </c>
    </row>
    <row r="2413">
      <c r="A2413">
        <f>IF($P2413="","",INDEX(상세표[사번],$P2413)&amp;"")</f>
        <v/>
      </c>
      <c r="B2413">
        <f>IF($P2413="","",INDEX(상세표[성명],$P2413)&amp;"")</f>
        <v/>
      </c>
      <c r="C2413">
        <f>IF($P2413="","",INDEX(상세표[부서],$P2413)&amp;"")</f>
        <v/>
      </c>
      <c r="D2413">
        <f>IF($P2413="","",INDEX(상세표[직위],$P2413)&amp;"")</f>
        <v/>
      </c>
      <c r="E2413">
        <f>IF($P2413="","",IF(ISNUMBER(INDEX(상세표[시작],$P2413)),TEXT(INDEX(상세표[시작],$P2413),"yyyy-mm-dd hh:mm"),INDEX(상세표[시작],$P2413)&amp;""))</f>
        <v/>
      </c>
      <c r="F2413">
        <f>IF($P2413="","",IF(ISNUMBER(INDEX(상세표[블록종료],$P2413)),TEXT(INDEX(상세표[블록종료],$P2413),"yyyy-mm-dd hh:mm"),INDEX(상세표[블록종료],$P2413)&amp;""))</f>
        <v/>
      </c>
      <c r="G2413">
        <f>IF($P2413="","",CHOOSE(WEEKDAY(INDEX(상세표[시작],$P2413)),"일","월","화","수","목","금","토"))</f>
        <v/>
      </c>
      <c r="H2413">
        <f>IF($P2413="","",INDEX(상세표[연속 시간],$P2413))</f>
        <v/>
      </c>
      <c r="I2413">
        <f>IF($P2413="","",INDEX(상세표[기록 수],$P2413))</f>
        <v/>
      </c>
      <c r="J2413">
        <f>IF($P2413="","",INDEX(상세표[블록 06~07시],$P2413))</f>
        <v/>
      </c>
      <c r="K2413">
        <f>IF($P2413="","",INDEX(상세표[블록 07~18시],$P2413))</f>
        <v/>
      </c>
      <c r="L2413">
        <f>IF($P2413="","",INDEX(상세표[블록 18~22시],$P2413))</f>
        <v/>
      </c>
      <c r="M2413">
        <f>IF($P2413="","",INDEX(상세표[블록 22~06시],$P2413))</f>
        <v/>
      </c>
      <c r="N2413">
        <f>IF($P2413="","",INDEX(상세표[주말·휴일 포함],$P2413)&amp;"")</f>
        <v/>
      </c>
      <c r="O2413">
        <f>IF($P2413="","",INDEX(상세표[월 넘김 포함],$P2413)&amp;"")</f>
        <v/>
      </c>
      <c r="P2413" s="4">
        <f>IFERROR(MATCH(2408,상세표[연속순번],0),"")</f>
        <v/>
      </c>
    </row>
    <row r="2414">
      <c r="A2414">
        <f>IF($P2414="","",INDEX(상세표[사번],$P2414)&amp;"")</f>
        <v/>
      </c>
      <c r="B2414">
        <f>IF($P2414="","",INDEX(상세표[성명],$P2414)&amp;"")</f>
        <v/>
      </c>
      <c r="C2414">
        <f>IF($P2414="","",INDEX(상세표[부서],$P2414)&amp;"")</f>
        <v/>
      </c>
      <c r="D2414">
        <f>IF($P2414="","",INDEX(상세표[직위],$P2414)&amp;"")</f>
        <v/>
      </c>
      <c r="E2414">
        <f>IF($P2414="","",IF(ISNUMBER(INDEX(상세표[시작],$P2414)),TEXT(INDEX(상세표[시작],$P2414),"yyyy-mm-dd hh:mm"),INDEX(상세표[시작],$P2414)&amp;""))</f>
        <v/>
      </c>
      <c r="F2414">
        <f>IF($P2414="","",IF(ISNUMBER(INDEX(상세표[블록종료],$P2414)),TEXT(INDEX(상세표[블록종료],$P2414),"yyyy-mm-dd hh:mm"),INDEX(상세표[블록종료],$P2414)&amp;""))</f>
        <v/>
      </c>
      <c r="G2414">
        <f>IF($P2414="","",CHOOSE(WEEKDAY(INDEX(상세표[시작],$P2414)),"일","월","화","수","목","금","토"))</f>
        <v/>
      </c>
      <c r="H2414">
        <f>IF($P2414="","",INDEX(상세표[연속 시간],$P2414))</f>
        <v/>
      </c>
      <c r="I2414">
        <f>IF($P2414="","",INDEX(상세표[기록 수],$P2414))</f>
        <v/>
      </c>
      <c r="J2414">
        <f>IF($P2414="","",INDEX(상세표[블록 06~07시],$P2414))</f>
        <v/>
      </c>
      <c r="K2414">
        <f>IF($P2414="","",INDEX(상세표[블록 07~18시],$P2414))</f>
        <v/>
      </c>
      <c r="L2414">
        <f>IF($P2414="","",INDEX(상세표[블록 18~22시],$P2414))</f>
        <v/>
      </c>
      <c r="M2414">
        <f>IF($P2414="","",INDEX(상세표[블록 22~06시],$P2414))</f>
        <v/>
      </c>
      <c r="N2414">
        <f>IF($P2414="","",INDEX(상세표[주말·휴일 포함],$P2414)&amp;"")</f>
        <v/>
      </c>
      <c r="O2414">
        <f>IF($P2414="","",INDEX(상세표[월 넘김 포함],$P2414)&amp;"")</f>
        <v/>
      </c>
      <c r="P2414" s="4">
        <f>IFERROR(MATCH(2409,상세표[연속순번],0),"")</f>
        <v/>
      </c>
    </row>
    <row r="2415">
      <c r="A2415">
        <f>IF($P2415="","",INDEX(상세표[사번],$P2415)&amp;"")</f>
        <v/>
      </c>
      <c r="B2415">
        <f>IF($P2415="","",INDEX(상세표[성명],$P2415)&amp;"")</f>
        <v/>
      </c>
      <c r="C2415">
        <f>IF($P2415="","",INDEX(상세표[부서],$P2415)&amp;"")</f>
        <v/>
      </c>
      <c r="D2415">
        <f>IF($P2415="","",INDEX(상세표[직위],$P2415)&amp;"")</f>
        <v/>
      </c>
      <c r="E2415">
        <f>IF($P2415="","",IF(ISNUMBER(INDEX(상세표[시작],$P2415)),TEXT(INDEX(상세표[시작],$P2415),"yyyy-mm-dd hh:mm"),INDEX(상세표[시작],$P2415)&amp;""))</f>
        <v/>
      </c>
      <c r="F2415">
        <f>IF($P2415="","",IF(ISNUMBER(INDEX(상세표[블록종료],$P2415)),TEXT(INDEX(상세표[블록종료],$P2415),"yyyy-mm-dd hh:mm"),INDEX(상세표[블록종료],$P2415)&amp;""))</f>
        <v/>
      </c>
      <c r="G2415">
        <f>IF($P2415="","",CHOOSE(WEEKDAY(INDEX(상세표[시작],$P2415)),"일","월","화","수","목","금","토"))</f>
        <v/>
      </c>
      <c r="H2415">
        <f>IF($P2415="","",INDEX(상세표[연속 시간],$P2415))</f>
        <v/>
      </c>
      <c r="I2415">
        <f>IF($P2415="","",INDEX(상세표[기록 수],$P2415))</f>
        <v/>
      </c>
      <c r="J2415">
        <f>IF($P2415="","",INDEX(상세표[블록 06~07시],$P2415))</f>
        <v/>
      </c>
      <c r="K2415">
        <f>IF($P2415="","",INDEX(상세표[블록 07~18시],$P2415))</f>
        <v/>
      </c>
      <c r="L2415">
        <f>IF($P2415="","",INDEX(상세표[블록 18~22시],$P2415))</f>
        <v/>
      </c>
      <c r="M2415">
        <f>IF($P2415="","",INDEX(상세표[블록 22~06시],$P2415))</f>
        <v/>
      </c>
      <c r="N2415">
        <f>IF($P2415="","",INDEX(상세표[주말·휴일 포함],$P2415)&amp;"")</f>
        <v/>
      </c>
      <c r="O2415">
        <f>IF($P2415="","",INDEX(상세표[월 넘김 포함],$P2415)&amp;"")</f>
        <v/>
      </c>
      <c r="P2415" s="4">
        <f>IFERROR(MATCH(2410,상세표[연속순번],0),"")</f>
        <v/>
      </c>
    </row>
    <row r="2416">
      <c r="A2416">
        <f>IF($P2416="","",INDEX(상세표[사번],$P2416)&amp;"")</f>
        <v/>
      </c>
      <c r="B2416">
        <f>IF($P2416="","",INDEX(상세표[성명],$P2416)&amp;"")</f>
        <v/>
      </c>
      <c r="C2416">
        <f>IF($P2416="","",INDEX(상세표[부서],$P2416)&amp;"")</f>
        <v/>
      </c>
      <c r="D2416">
        <f>IF($P2416="","",INDEX(상세표[직위],$P2416)&amp;"")</f>
        <v/>
      </c>
      <c r="E2416">
        <f>IF($P2416="","",IF(ISNUMBER(INDEX(상세표[시작],$P2416)),TEXT(INDEX(상세표[시작],$P2416),"yyyy-mm-dd hh:mm"),INDEX(상세표[시작],$P2416)&amp;""))</f>
        <v/>
      </c>
      <c r="F2416">
        <f>IF($P2416="","",IF(ISNUMBER(INDEX(상세표[블록종료],$P2416)),TEXT(INDEX(상세표[블록종료],$P2416),"yyyy-mm-dd hh:mm"),INDEX(상세표[블록종료],$P2416)&amp;""))</f>
        <v/>
      </c>
      <c r="G2416">
        <f>IF($P2416="","",CHOOSE(WEEKDAY(INDEX(상세표[시작],$P2416)),"일","월","화","수","목","금","토"))</f>
        <v/>
      </c>
      <c r="H2416">
        <f>IF($P2416="","",INDEX(상세표[연속 시간],$P2416))</f>
        <v/>
      </c>
      <c r="I2416">
        <f>IF($P2416="","",INDEX(상세표[기록 수],$P2416))</f>
        <v/>
      </c>
      <c r="J2416">
        <f>IF($P2416="","",INDEX(상세표[블록 06~07시],$P2416))</f>
        <v/>
      </c>
      <c r="K2416">
        <f>IF($P2416="","",INDEX(상세표[블록 07~18시],$P2416))</f>
        <v/>
      </c>
      <c r="L2416">
        <f>IF($P2416="","",INDEX(상세표[블록 18~22시],$P2416))</f>
        <v/>
      </c>
      <c r="M2416">
        <f>IF($P2416="","",INDEX(상세표[블록 22~06시],$P2416))</f>
        <v/>
      </c>
      <c r="N2416">
        <f>IF($P2416="","",INDEX(상세표[주말·휴일 포함],$P2416)&amp;"")</f>
        <v/>
      </c>
      <c r="O2416">
        <f>IF($P2416="","",INDEX(상세표[월 넘김 포함],$P2416)&amp;"")</f>
        <v/>
      </c>
      <c r="P2416" s="4">
        <f>IFERROR(MATCH(2411,상세표[연속순번],0),"")</f>
        <v/>
      </c>
    </row>
    <row r="2417">
      <c r="A2417">
        <f>IF($P2417="","",INDEX(상세표[사번],$P2417)&amp;"")</f>
        <v/>
      </c>
      <c r="B2417">
        <f>IF($P2417="","",INDEX(상세표[성명],$P2417)&amp;"")</f>
        <v/>
      </c>
      <c r="C2417">
        <f>IF($P2417="","",INDEX(상세표[부서],$P2417)&amp;"")</f>
        <v/>
      </c>
      <c r="D2417">
        <f>IF($P2417="","",INDEX(상세표[직위],$P2417)&amp;"")</f>
        <v/>
      </c>
      <c r="E2417">
        <f>IF($P2417="","",IF(ISNUMBER(INDEX(상세표[시작],$P2417)),TEXT(INDEX(상세표[시작],$P2417),"yyyy-mm-dd hh:mm"),INDEX(상세표[시작],$P2417)&amp;""))</f>
        <v/>
      </c>
      <c r="F2417">
        <f>IF($P2417="","",IF(ISNUMBER(INDEX(상세표[블록종료],$P2417)),TEXT(INDEX(상세표[블록종료],$P2417),"yyyy-mm-dd hh:mm"),INDEX(상세표[블록종료],$P2417)&amp;""))</f>
        <v/>
      </c>
      <c r="G2417">
        <f>IF($P2417="","",CHOOSE(WEEKDAY(INDEX(상세표[시작],$P2417)),"일","월","화","수","목","금","토"))</f>
        <v/>
      </c>
      <c r="H2417">
        <f>IF($P2417="","",INDEX(상세표[연속 시간],$P2417))</f>
        <v/>
      </c>
      <c r="I2417">
        <f>IF($P2417="","",INDEX(상세표[기록 수],$P2417))</f>
        <v/>
      </c>
      <c r="J2417">
        <f>IF($P2417="","",INDEX(상세표[블록 06~07시],$P2417))</f>
        <v/>
      </c>
      <c r="K2417">
        <f>IF($P2417="","",INDEX(상세표[블록 07~18시],$P2417))</f>
        <v/>
      </c>
      <c r="L2417">
        <f>IF($P2417="","",INDEX(상세표[블록 18~22시],$P2417))</f>
        <v/>
      </c>
      <c r="M2417">
        <f>IF($P2417="","",INDEX(상세표[블록 22~06시],$P2417))</f>
        <v/>
      </c>
      <c r="N2417">
        <f>IF($P2417="","",INDEX(상세표[주말·휴일 포함],$P2417)&amp;"")</f>
        <v/>
      </c>
      <c r="O2417">
        <f>IF($P2417="","",INDEX(상세표[월 넘김 포함],$P2417)&amp;"")</f>
        <v/>
      </c>
      <c r="P2417" s="4">
        <f>IFERROR(MATCH(2412,상세표[연속순번],0),"")</f>
        <v/>
      </c>
    </row>
    <row r="2418">
      <c r="A2418">
        <f>IF($P2418="","",INDEX(상세표[사번],$P2418)&amp;"")</f>
        <v/>
      </c>
      <c r="B2418">
        <f>IF($P2418="","",INDEX(상세표[성명],$P2418)&amp;"")</f>
        <v/>
      </c>
      <c r="C2418">
        <f>IF($P2418="","",INDEX(상세표[부서],$P2418)&amp;"")</f>
        <v/>
      </c>
      <c r="D2418">
        <f>IF($P2418="","",INDEX(상세표[직위],$P2418)&amp;"")</f>
        <v/>
      </c>
      <c r="E2418">
        <f>IF($P2418="","",IF(ISNUMBER(INDEX(상세표[시작],$P2418)),TEXT(INDEX(상세표[시작],$P2418),"yyyy-mm-dd hh:mm"),INDEX(상세표[시작],$P2418)&amp;""))</f>
        <v/>
      </c>
      <c r="F2418">
        <f>IF($P2418="","",IF(ISNUMBER(INDEX(상세표[블록종료],$P2418)),TEXT(INDEX(상세표[블록종료],$P2418),"yyyy-mm-dd hh:mm"),INDEX(상세표[블록종료],$P2418)&amp;""))</f>
        <v/>
      </c>
      <c r="G2418">
        <f>IF($P2418="","",CHOOSE(WEEKDAY(INDEX(상세표[시작],$P2418)),"일","월","화","수","목","금","토"))</f>
        <v/>
      </c>
      <c r="H2418">
        <f>IF($P2418="","",INDEX(상세표[연속 시간],$P2418))</f>
        <v/>
      </c>
      <c r="I2418">
        <f>IF($P2418="","",INDEX(상세표[기록 수],$P2418))</f>
        <v/>
      </c>
      <c r="J2418">
        <f>IF($P2418="","",INDEX(상세표[블록 06~07시],$P2418))</f>
        <v/>
      </c>
      <c r="K2418">
        <f>IF($P2418="","",INDEX(상세표[블록 07~18시],$P2418))</f>
        <v/>
      </c>
      <c r="L2418">
        <f>IF($P2418="","",INDEX(상세표[블록 18~22시],$P2418))</f>
        <v/>
      </c>
      <c r="M2418">
        <f>IF($P2418="","",INDEX(상세표[블록 22~06시],$P2418))</f>
        <v/>
      </c>
      <c r="N2418">
        <f>IF($P2418="","",INDEX(상세표[주말·휴일 포함],$P2418)&amp;"")</f>
        <v/>
      </c>
      <c r="O2418">
        <f>IF($P2418="","",INDEX(상세표[월 넘김 포함],$P2418)&amp;"")</f>
        <v/>
      </c>
      <c r="P2418" s="4">
        <f>IFERROR(MATCH(2413,상세표[연속순번],0),"")</f>
        <v/>
      </c>
    </row>
    <row r="2419">
      <c r="A2419">
        <f>IF($P2419="","",INDEX(상세표[사번],$P2419)&amp;"")</f>
        <v/>
      </c>
      <c r="B2419">
        <f>IF($P2419="","",INDEX(상세표[성명],$P2419)&amp;"")</f>
        <v/>
      </c>
      <c r="C2419">
        <f>IF($P2419="","",INDEX(상세표[부서],$P2419)&amp;"")</f>
        <v/>
      </c>
      <c r="D2419">
        <f>IF($P2419="","",INDEX(상세표[직위],$P2419)&amp;"")</f>
        <v/>
      </c>
      <c r="E2419">
        <f>IF($P2419="","",IF(ISNUMBER(INDEX(상세표[시작],$P2419)),TEXT(INDEX(상세표[시작],$P2419),"yyyy-mm-dd hh:mm"),INDEX(상세표[시작],$P2419)&amp;""))</f>
        <v/>
      </c>
      <c r="F2419">
        <f>IF($P2419="","",IF(ISNUMBER(INDEX(상세표[블록종료],$P2419)),TEXT(INDEX(상세표[블록종료],$P2419),"yyyy-mm-dd hh:mm"),INDEX(상세표[블록종료],$P2419)&amp;""))</f>
        <v/>
      </c>
      <c r="G2419">
        <f>IF($P2419="","",CHOOSE(WEEKDAY(INDEX(상세표[시작],$P2419)),"일","월","화","수","목","금","토"))</f>
        <v/>
      </c>
      <c r="H2419">
        <f>IF($P2419="","",INDEX(상세표[연속 시간],$P2419))</f>
        <v/>
      </c>
      <c r="I2419">
        <f>IF($P2419="","",INDEX(상세표[기록 수],$P2419))</f>
        <v/>
      </c>
      <c r="J2419">
        <f>IF($P2419="","",INDEX(상세표[블록 06~07시],$P2419))</f>
        <v/>
      </c>
      <c r="K2419">
        <f>IF($P2419="","",INDEX(상세표[블록 07~18시],$P2419))</f>
        <v/>
      </c>
      <c r="L2419">
        <f>IF($P2419="","",INDEX(상세표[블록 18~22시],$P2419))</f>
        <v/>
      </c>
      <c r="M2419">
        <f>IF($P2419="","",INDEX(상세표[블록 22~06시],$P2419))</f>
        <v/>
      </c>
      <c r="N2419">
        <f>IF($P2419="","",INDEX(상세표[주말·휴일 포함],$P2419)&amp;"")</f>
        <v/>
      </c>
      <c r="O2419">
        <f>IF($P2419="","",INDEX(상세표[월 넘김 포함],$P2419)&amp;"")</f>
        <v/>
      </c>
      <c r="P2419" s="4">
        <f>IFERROR(MATCH(2414,상세표[연속순번],0),"")</f>
        <v/>
      </c>
    </row>
    <row r="2420">
      <c r="A2420">
        <f>IF($P2420="","",INDEX(상세표[사번],$P2420)&amp;"")</f>
        <v/>
      </c>
      <c r="B2420">
        <f>IF($P2420="","",INDEX(상세표[성명],$P2420)&amp;"")</f>
        <v/>
      </c>
      <c r="C2420">
        <f>IF($P2420="","",INDEX(상세표[부서],$P2420)&amp;"")</f>
        <v/>
      </c>
      <c r="D2420">
        <f>IF($P2420="","",INDEX(상세표[직위],$P2420)&amp;"")</f>
        <v/>
      </c>
      <c r="E2420">
        <f>IF($P2420="","",IF(ISNUMBER(INDEX(상세표[시작],$P2420)),TEXT(INDEX(상세표[시작],$P2420),"yyyy-mm-dd hh:mm"),INDEX(상세표[시작],$P2420)&amp;""))</f>
        <v/>
      </c>
      <c r="F2420">
        <f>IF($P2420="","",IF(ISNUMBER(INDEX(상세표[블록종료],$P2420)),TEXT(INDEX(상세표[블록종료],$P2420),"yyyy-mm-dd hh:mm"),INDEX(상세표[블록종료],$P2420)&amp;""))</f>
        <v/>
      </c>
      <c r="G2420">
        <f>IF($P2420="","",CHOOSE(WEEKDAY(INDEX(상세표[시작],$P2420)),"일","월","화","수","목","금","토"))</f>
        <v/>
      </c>
      <c r="H2420">
        <f>IF($P2420="","",INDEX(상세표[연속 시간],$P2420))</f>
        <v/>
      </c>
      <c r="I2420">
        <f>IF($P2420="","",INDEX(상세표[기록 수],$P2420))</f>
        <v/>
      </c>
      <c r="J2420">
        <f>IF($P2420="","",INDEX(상세표[블록 06~07시],$P2420))</f>
        <v/>
      </c>
      <c r="K2420">
        <f>IF($P2420="","",INDEX(상세표[블록 07~18시],$P2420))</f>
        <v/>
      </c>
      <c r="L2420">
        <f>IF($P2420="","",INDEX(상세표[블록 18~22시],$P2420))</f>
        <v/>
      </c>
      <c r="M2420">
        <f>IF($P2420="","",INDEX(상세표[블록 22~06시],$P2420))</f>
        <v/>
      </c>
      <c r="N2420">
        <f>IF($P2420="","",INDEX(상세표[주말·휴일 포함],$P2420)&amp;"")</f>
        <v/>
      </c>
      <c r="O2420">
        <f>IF($P2420="","",INDEX(상세표[월 넘김 포함],$P2420)&amp;"")</f>
        <v/>
      </c>
      <c r="P2420" s="4">
        <f>IFERROR(MATCH(2415,상세표[연속순번],0),"")</f>
        <v/>
      </c>
    </row>
    <row r="2421">
      <c r="A2421">
        <f>IF($P2421="","",INDEX(상세표[사번],$P2421)&amp;"")</f>
        <v/>
      </c>
      <c r="B2421">
        <f>IF($P2421="","",INDEX(상세표[성명],$P2421)&amp;"")</f>
        <v/>
      </c>
      <c r="C2421">
        <f>IF($P2421="","",INDEX(상세표[부서],$P2421)&amp;"")</f>
        <v/>
      </c>
      <c r="D2421">
        <f>IF($P2421="","",INDEX(상세표[직위],$P2421)&amp;"")</f>
        <v/>
      </c>
      <c r="E2421">
        <f>IF($P2421="","",IF(ISNUMBER(INDEX(상세표[시작],$P2421)),TEXT(INDEX(상세표[시작],$P2421),"yyyy-mm-dd hh:mm"),INDEX(상세표[시작],$P2421)&amp;""))</f>
        <v/>
      </c>
      <c r="F2421">
        <f>IF($P2421="","",IF(ISNUMBER(INDEX(상세표[블록종료],$P2421)),TEXT(INDEX(상세표[블록종료],$P2421),"yyyy-mm-dd hh:mm"),INDEX(상세표[블록종료],$P2421)&amp;""))</f>
        <v/>
      </c>
      <c r="G2421">
        <f>IF($P2421="","",CHOOSE(WEEKDAY(INDEX(상세표[시작],$P2421)),"일","월","화","수","목","금","토"))</f>
        <v/>
      </c>
      <c r="H2421">
        <f>IF($P2421="","",INDEX(상세표[연속 시간],$P2421))</f>
        <v/>
      </c>
      <c r="I2421">
        <f>IF($P2421="","",INDEX(상세표[기록 수],$P2421))</f>
        <v/>
      </c>
      <c r="J2421">
        <f>IF($P2421="","",INDEX(상세표[블록 06~07시],$P2421))</f>
        <v/>
      </c>
      <c r="K2421">
        <f>IF($P2421="","",INDEX(상세표[블록 07~18시],$P2421))</f>
        <v/>
      </c>
      <c r="L2421">
        <f>IF($P2421="","",INDEX(상세표[블록 18~22시],$P2421))</f>
        <v/>
      </c>
      <c r="M2421">
        <f>IF($P2421="","",INDEX(상세표[블록 22~06시],$P2421))</f>
        <v/>
      </c>
      <c r="N2421">
        <f>IF($P2421="","",INDEX(상세표[주말·휴일 포함],$P2421)&amp;"")</f>
        <v/>
      </c>
      <c r="O2421">
        <f>IF($P2421="","",INDEX(상세표[월 넘김 포함],$P2421)&amp;"")</f>
        <v/>
      </c>
      <c r="P2421" s="4">
        <f>IFERROR(MATCH(2416,상세표[연속순번],0),"")</f>
        <v/>
      </c>
    </row>
    <row r="2422">
      <c r="A2422">
        <f>IF($P2422="","",INDEX(상세표[사번],$P2422)&amp;"")</f>
        <v/>
      </c>
      <c r="B2422">
        <f>IF($P2422="","",INDEX(상세표[성명],$P2422)&amp;"")</f>
        <v/>
      </c>
      <c r="C2422">
        <f>IF($P2422="","",INDEX(상세표[부서],$P2422)&amp;"")</f>
        <v/>
      </c>
      <c r="D2422">
        <f>IF($P2422="","",INDEX(상세표[직위],$P2422)&amp;"")</f>
        <v/>
      </c>
      <c r="E2422">
        <f>IF($P2422="","",IF(ISNUMBER(INDEX(상세표[시작],$P2422)),TEXT(INDEX(상세표[시작],$P2422),"yyyy-mm-dd hh:mm"),INDEX(상세표[시작],$P2422)&amp;""))</f>
        <v/>
      </c>
      <c r="F2422">
        <f>IF($P2422="","",IF(ISNUMBER(INDEX(상세표[블록종료],$P2422)),TEXT(INDEX(상세표[블록종료],$P2422),"yyyy-mm-dd hh:mm"),INDEX(상세표[블록종료],$P2422)&amp;""))</f>
        <v/>
      </c>
      <c r="G2422">
        <f>IF($P2422="","",CHOOSE(WEEKDAY(INDEX(상세표[시작],$P2422)),"일","월","화","수","목","금","토"))</f>
        <v/>
      </c>
      <c r="H2422">
        <f>IF($P2422="","",INDEX(상세표[연속 시간],$P2422))</f>
        <v/>
      </c>
      <c r="I2422">
        <f>IF($P2422="","",INDEX(상세표[기록 수],$P2422))</f>
        <v/>
      </c>
      <c r="J2422">
        <f>IF($P2422="","",INDEX(상세표[블록 06~07시],$P2422))</f>
        <v/>
      </c>
      <c r="K2422">
        <f>IF($P2422="","",INDEX(상세표[블록 07~18시],$P2422))</f>
        <v/>
      </c>
      <c r="L2422">
        <f>IF($P2422="","",INDEX(상세표[블록 18~22시],$P2422))</f>
        <v/>
      </c>
      <c r="M2422">
        <f>IF($P2422="","",INDEX(상세표[블록 22~06시],$P2422))</f>
        <v/>
      </c>
      <c r="N2422">
        <f>IF($P2422="","",INDEX(상세표[주말·휴일 포함],$P2422)&amp;"")</f>
        <v/>
      </c>
      <c r="O2422">
        <f>IF($P2422="","",INDEX(상세표[월 넘김 포함],$P2422)&amp;"")</f>
        <v/>
      </c>
      <c r="P2422" s="4">
        <f>IFERROR(MATCH(2417,상세표[연속순번],0),"")</f>
        <v/>
      </c>
    </row>
    <row r="2423">
      <c r="A2423">
        <f>IF($P2423="","",INDEX(상세표[사번],$P2423)&amp;"")</f>
        <v/>
      </c>
      <c r="B2423">
        <f>IF($P2423="","",INDEX(상세표[성명],$P2423)&amp;"")</f>
        <v/>
      </c>
      <c r="C2423">
        <f>IF($P2423="","",INDEX(상세표[부서],$P2423)&amp;"")</f>
        <v/>
      </c>
      <c r="D2423">
        <f>IF($P2423="","",INDEX(상세표[직위],$P2423)&amp;"")</f>
        <v/>
      </c>
      <c r="E2423">
        <f>IF($P2423="","",IF(ISNUMBER(INDEX(상세표[시작],$P2423)),TEXT(INDEX(상세표[시작],$P2423),"yyyy-mm-dd hh:mm"),INDEX(상세표[시작],$P2423)&amp;""))</f>
        <v/>
      </c>
      <c r="F2423">
        <f>IF($P2423="","",IF(ISNUMBER(INDEX(상세표[블록종료],$P2423)),TEXT(INDEX(상세표[블록종료],$P2423),"yyyy-mm-dd hh:mm"),INDEX(상세표[블록종료],$P2423)&amp;""))</f>
        <v/>
      </c>
      <c r="G2423">
        <f>IF($P2423="","",CHOOSE(WEEKDAY(INDEX(상세표[시작],$P2423)),"일","월","화","수","목","금","토"))</f>
        <v/>
      </c>
      <c r="H2423">
        <f>IF($P2423="","",INDEX(상세표[연속 시간],$P2423))</f>
        <v/>
      </c>
      <c r="I2423">
        <f>IF($P2423="","",INDEX(상세표[기록 수],$P2423))</f>
        <v/>
      </c>
      <c r="J2423">
        <f>IF($P2423="","",INDEX(상세표[블록 06~07시],$P2423))</f>
        <v/>
      </c>
      <c r="K2423">
        <f>IF($P2423="","",INDEX(상세표[블록 07~18시],$P2423))</f>
        <v/>
      </c>
      <c r="L2423">
        <f>IF($P2423="","",INDEX(상세표[블록 18~22시],$P2423))</f>
        <v/>
      </c>
      <c r="M2423">
        <f>IF($P2423="","",INDEX(상세표[블록 22~06시],$P2423))</f>
        <v/>
      </c>
      <c r="N2423">
        <f>IF($P2423="","",INDEX(상세표[주말·휴일 포함],$P2423)&amp;"")</f>
        <v/>
      </c>
      <c r="O2423">
        <f>IF($P2423="","",INDEX(상세표[월 넘김 포함],$P2423)&amp;"")</f>
        <v/>
      </c>
      <c r="P2423" s="4">
        <f>IFERROR(MATCH(2418,상세표[연속순번],0),"")</f>
        <v/>
      </c>
    </row>
    <row r="2424">
      <c r="A2424">
        <f>IF($P2424="","",INDEX(상세표[사번],$P2424)&amp;"")</f>
        <v/>
      </c>
      <c r="B2424">
        <f>IF($P2424="","",INDEX(상세표[성명],$P2424)&amp;"")</f>
        <v/>
      </c>
      <c r="C2424">
        <f>IF($P2424="","",INDEX(상세표[부서],$P2424)&amp;"")</f>
        <v/>
      </c>
      <c r="D2424">
        <f>IF($P2424="","",INDEX(상세표[직위],$P2424)&amp;"")</f>
        <v/>
      </c>
      <c r="E2424">
        <f>IF($P2424="","",IF(ISNUMBER(INDEX(상세표[시작],$P2424)),TEXT(INDEX(상세표[시작],$P2424),"yyyy-mm-dd hh:mm"),INDEX(상세표[시작],$P2424)&amp;""))</f>
        <v/>
      </c>
      <c r="F2424">
        <f>IF($P2424="","",IF(ISNUMBER(INDEX(상세표[블록종료],$P2424)),TEXT(INDEX(상세표[블록종료],$P2424),"yyyy-mm-dd hh:mm"),INDEX(상세표[블록종료],$P2424)&amp;""))</f>
        <v/>
      </c>
      <c r="G2424">
        <f>IF($P2424="","",CHOOSE(WEEKDAY(INDEX(상세표[시작],$P2424)),"일","월","화","수","목","금","토"))</f>
        <v/>
      </c>
      <c r="H2424">
        <f>IF($P2424="","",INDEX(상세표[연속 시간],$P2424))</f>
        <v/>
      </c>
      <c r="I2424">
        <f>IF($P2424="","",INDEX(상세표[기록 수],$P2424))</f>
        <v/>
      </c>
      <c r="J2424">
        <f>IF($P2424="","",INDEX(상세표[블록 06~07시],$P2424))</f>
        <v/>
      </c>
      <c r="K2424">
        <f>IF($P2424="","",INDEX(상세표[블록 07~18시],$P2424))</f>
        <v/>
      </c>
      <c r="L2424">
        <f>IF($P2424="","",INDEX(상세표[블록 18~22시],$P2424))</f>
        <v/>
      </c>
      <c r="M2424">
        <f>IF($P2424="","",INDEX(상세표[블록 22~06시],$P2424))</f>
        <v/>
      </c>
      <c r="N2424">
        <f>IF($P2424="","",INDEX(상세표[주말·휴일 포함],$P2424)&amp;"")</f>
        <v/>
      </c>
      <c r="O2424">
        <f>IF($P2424="","",INDEX(상세표[월 넘김 포함],$P2424)&amp;"")</f>
        <v/>
      </c>
      <c r="P2424" s="4">
        <f>IFERROR(MATCH(2419,상세표[연속순번],0),"")</f>
        <v/>
      </c>
    </row>
    <row r="2425">
      <c r="A2425">
        <f>IF($P2425="","",INDEX(상세표[사번],$P2425)&amp;"")</f>
        <v/>
      </c>
      <c r="B2425">
        <f>IF($P2425="","",INDEX(상세표[성명],$P2425)&amp;"")</f>
        <v/>
      </c>
      <c r="C2425">
        <f>IF($P2425="","",INDEX(상세표[부서],$P2425)&amp;"")</f>
        <v/>
      </c>
      <c r="D2425">
        <f>IF($P2425="","",INDEX(상세표[직위],$P2425)&amp;"")</f>
        <v/>
      </c>
      <c r="E2425">
        <f>IF($P2425="","",IF(ISNUMBER(INDEX(상세표[시작],$P2425)),TEXT(INDEX(상세표[시작],$P2425),"yyyy-mm-dd hh:mm"),INDEX(상세표[시작],$P2425)&amp;""))</f>
        <v/>
      </c>
      <c r="F2425">
        <f>IF($P2425="","",IF(ISNUMBER(INDEX(상세표[블록종료],$P2425)),TEXT(INDEX(상세표[블록종료],$P2425),"yyyy-mm-dd hh:mm"),INDEX(상세표[블록종료],$P2425)&amp;""))</f>
        <v/>
      </c>
      <c r="G2425">
        <f>IF($P2425="","",CHOOSE(WEEKDAY(INDEX(상세표[시작],$P2425)),"일","월","화","수","목","금","토"))</f>
        <v/>
      </c>
      <c r="H2425">
        <f>IF($P2425="","",INDEX(상세표[연속 시간],$P2425))</f>
        <v/>
      </c>
      <c r="I2425">
        <f>IF($P2425="","",INDEX(상세표[기록 수],$P2425))</f>
        <v/>
      </c>
      <c r="J2425">
        <f>IF($P2425="","",INDEX(상세표[블록 06~07시],$P2425))</f>
        <v/>
      </c>
      <c r="K2425">
        <f>IF($P2425="","",INDEX(상세표[블록 07~18시],$P2425))</f>
        <v/>
      </c>
      <c r="L2425">
        <f>IF($P2425="","",INDEX(상세표[블록 18~22시],$P2425))</f>
        <v/>
      </c>
      <c r="M2425">
        <f>IF($P2425="","",INDEX(상세표[블록 22~06시],$P2425))</f>
        <v/>
      </c>
      <c r="N2425">
        <f>IF($P2425="","",INDEX(상세표[주말·휴일 포함],$P2425)&amp;"")</f>
        <v/>
      </c>
      <c r="O2425">
        <f>IF($P2425="","",INDEX(상세표[월 넘김 포함],$P2425)&amp;"")</f>
        <v/>
      </c>
      <c r="P2425" s="4">
        <f>IFERROR(MATCH(2420,상세표[연속순번],0),"")</f>
        <v/>
      </c>
    </row>
    <row r="2426">
      <c r="A2426">
        <f>IF($P2426="","",INDEX(상세표[사번],$P2426)&amp;"")</f>
        <v/>
      </c>
      <c r="B2426">
        <f>IF($P2426="","",INDEX(상세표[성명],$P2426)&amp;"")</f>
        <v/>
      </c>
      <c r="C2426">
        <f>IF($P2426="","",INDEX(상세표[부서],$P2426)&amp;"")</f>
        <v/>
      </c>
      <c r="D2426">
        <f>IF($P2426="","",INDEX(상세표[직위],$P2426)&amp;"")</f>
        <v/>
      </c>
      <c r="E2426">
        <f>IF($P2426="","",IF(ISNUMBER(INDEX(상세표[시작],$P2426)),TEXT(INDEX(상세표[시작],$P2426),"yyyy-mm-dd hh:mm"),INDEX(상세표[시작],$P2426)&amp;""))</f>
        <v/>
      </c>
      <c r="F2426">
        <f>IF($P2426="","",IF(ISNUMBER(INDEX(상세표[블록종료],$P2426)),TEXT(INDEX(상세표[블록종료],$P2426),"yyyy-mm-dd hh:mm"),INDEX(상세표[블록종료],$P2426)&amp;""))</f>
        <v/>
      </c>
      <c r="G2426">
        <f>IF($P2426="","",CHOOSE(WEEKDAY(INDEX(상세표[시작],$P2426)),"일","월","화","수","목","금","토"))</f>
        <v/>
      </c>
      <c r="H2426">
        <f>IF($P2426="","",INDEX(상세표[연속 시간],$P2426))</f>
        <v/>
      </c>
      <c r="I2426">
        <f>IF($P2426="","",INDEX(상세표[기록 수],$P2426))</f>
        <v/>
      </c>
      <c r="J2426">
        <f>IF($P2426="","",INDEX(상세표[블록 06~07시],$P2426))</f>
        <v/>
      </c>
      <c r="K2426">
        <f>IF($P2426="","",INDEX(상세표[블록 07~18시],$P2426))</f>
        <v/>
      </c>
      <c r="L2426">
        <f>IF($P2426="","",INDEX(상세표[블록 18~22시],$P2426))</f>
        <v/>
      </c>
      <c r="M2426">
        <f>IF($P2426="","",INDEX(상세표[블록 22~06시],$P2426))</f>
        <v/>
      </c>
      <c r="N2426">
        <f>IF($P2426="","",INDEX(상세표[주말·휴일 포함],$P2426)&amp;"")</f>
        <v/>
      </c>
      <c r="O2426">
        <f>IF($P2426="","",INDEX(상세표[월 넘김 포함],$P2426)&amp;"")</f>
        <v/>
      </c>
      <c r="P2426" s="4">
        <f>IFERROR(MATCH(2421,상세표[연속순번],0),"")</f>
        <v/>
      </c>
    </row>
    <row r="2427">
      <c r="A2427">
        <f>IF($P2427="","",INDEX(상세표[사번],$P2427)&amp;"")</f>
        <v/>
      </c>
      <c r="B2427">
        <f>IF($P2427="","",INDEX(상세표[성명],$P2427)&amp;"")</f>
        <v/>
      </c>
      <c r="C2427">
        <f>IF($P2427="","",INDEX(상세표[부서],$P2427)&amp;"")</f>
        <v/>
      </c>
      <c r="D2427">
        <f>IF($P2427="","",INDEX(상세표[직위],$P2427)&amp;"")</f>
        <v/>
      </c>
      <c r="E2427">
        <f>IF($P2427="","",IF(ISNUMBER(INDEX(상세표[시작],$P2427)),TEXT(INDEX(상세표[시작],$P2427),"yyyy-mm-dd hh:mm"),INDEX(상세표[시작],$P2427)&amp;""))</f>
        <v/>
      </c>
      <c r="F2427">
        <f>IF($P2427="","",IF(ISNUMBER(INDEX(상세표[블록종료],$P2427)),TEXT(INDEX(상세표[블록종료],$P2427),"yyyy-mm-dd hh:mm"),INDEX(상세표[블록종료],$P2427)&amp;""))</f>
        <v/>
      </c>
      <c r="G2427">
        <f>IF($P2427="","",CHOOSE(WEEKDAY(INDEX(상세표[시작],$P2427)),"일","월","화","수","목","금","토"))</f>
        <v/>
      </c>
      <c r="H2427">
        <f>IF($P2427="","",INDEX(상세표[연속 시간],$P2427))</f>
        <v/>
      </c>
      <c r="I2427">
        <f>IF($P2427="","",INDEX(상세표[기록 수],$P2427))</f>
        <v/>
      </c>
      <c r="J2427">
        <f>IF($P2427="","",INDEX(상세표[블록 06~07시],$P2427))</f>
        <v/>
      </c>
      <c r="K2427">
        <f>IF($P2427="","",INDEX(상세표[블록 07~18시],$P2427))</f>
        <v/>
      </c>
      <c r="L2427">
        <f>IF($P2427="","",INDEX(상세표[블록 18~22시],$P2427))</f>
        <v/>
      </c>
      <c r="M2427">
        <f>IF($P2427="","",INDEX(상세표[블록 22~06시],$P2427))</f>
        <v/>
      </c>
      <c r="N2427">
        <f>IF($P2427="","",INDEX(상세표[주말·휴일 포함],$P2427)&amp;"")</f>
        <v/>
      </c>
      <c r="O2427">
        <f>IF($P2427="","",INDEX(상세표[월 넘김 포함],$P2427)&amp;"")</f>
        <v/>
      </c>
      <c r="P2427" s="4">
        <f>IFERROR(MATCH(2422,상세표[연속순번],0),"")</f>
        <v/>
      </c>
    </row>
    <row r="2428">
      <c r="A2428">
        <f>IF($P2428="","",INDEX(상세표[사번],$P2428)&amp;"")</f>
        <v/>
      </c>
      <c r="B2428">
        <f>IF($P2428="","",INDEX(상세표[성명],$P2428)&amp;"")</f>
        <v/>
      </c>
      <c r="C2428">
        <f>IF($P2428="","",INDEX(상세표[부서],$P2428)&amp;"")</f>
        <v/>
      </c>
      <c r="D2428">
        <f>IF($P2428="","",INDEX(상세표[직위],$P2428)&amp;"")</f>
        <v/>
      </c>
      <c r="E2428">
        <f>IF($P2428="","",IF(ISNUMBER(INDEX(상세표[시작],$P2428)),TEXT(INDEX(상세표[시작],$P2428),"yyyy-mm-dd hh:mm"),INDEX(상세표[시작],$P2428)&amp;""))</f>
        <v/>
      </c>
      <c r="F2428">
        <f>IF($P2428="","",IF(ISNUMBER(INDEX(상세표[블록종료],$P2428)),TEXT(INDEX(상세표[블록종료],$P2428),"yyyy-mm-dd hh:mm"),INDEX(상세표[블록종료],$P2428)&amp;""))</f>
        <v/>
      </c>
      <c r="G2428">
        <f>IF($P2428="","",CHOOSE(WEEKDAY(INDEX(상세표[시작],$P2428)),"일","월","화","수","목","금","토"))</f>
        <v/>
      </c>
      <c r="H2428">
        <f>IF($P2428="","",INDEX(상세표[연속 시간],$P2428))</f>
        <v/>
      </c>
      <c r="I2428">
        <f>IF($P2428="","",INDEX(상세표[기록 수],$P2428))</f>
        <v/>
      </c>
      <c r="J2428">
        <f>IF($P2428="","",INDEX(상세표[블록 06~07시],$P2428))</f>
        <v/>
      </c>
      <c r="K2428">
        <f>IF($P2428="","",INDEX(상세표[블록 07~18시],$P2428))</f>
        <v/>
      </c>
      <c r="L2428">
        <f>IF($P2428="","",INDEX(상세표[블록 18~22시],$P2428))</f>
        <v/>
      </c>
      <c r="M2428">
        <f>IF($P2428="","",INDEX(상세표[블록 22~06시],$P2428))</f>
        <v/>
      </c>
      <c r="N2428">
        <f>IF($P2428="","",INDEX(상세표[주말·휴일 포함],$P2428)&amp;"")</f>
        <v/>
      </c>
      <c r="O2428">
        <f>IF($P2428="","",INDEX(상세표[월 넘김 포함],$P2428)&amp;"")</f>
        <v/>
      </c>
      <c r="P2428" s="4">
        <f>IFERROR(MATCH(2423,상세표[연속순번],0),"")</f>
        <v/>
      </c>
    </row>
    <row r="2429">
      <c r="A2429">
        <f>IF($P2429="","",INDEX(상세표[사번],$P2429)&amp;"")</f>
        <v/>
      </c>
      <c r="B2429">
        <f>IF($P2429="","",INDEX(상세표[성명],$P2429)&amp;"")</f>
        <v/>
      </c>
      <c r="C2429">
        <f>IF($P2429="","",INDEX(상세표[부서],$P2429)&amp;"")</f>
        <v/>
      </c>
      <c r="D2429">
        <f>IF($P2429="","",INDEX(상세표[직위],$P2429)&amp;"")</f>
        <v/>
      </c>
      <c r="E2429">
        <f>IF($P2429="","",IF(ISNUMBER(INDEX(상세표[시작],$P2429)),TEXT(INDEX(상세표[시작],$P2429),"yyyy-mm-dd hh:mm"),INDEX(상세표[시작],$P2429)&amp;""))</f>
        <v/>
      </c>
      <c r="F2429">
        <f>IF($P2429="","",IF(ISNUMBER(INDEX(상세표[블록종료],$P2429)),TEXT(INDEX(상세표[블록종료],$P2429),"yyyy-mm-dd hh:mm"),INDEX(상세표[블록종료],$P2429)&amp;""))</f>
        <v/>
      </c>
      <c r="G2429">
        <f>IF($P2429="","",CHOOSE(WEEKDAY(INDEX(상세표[시작],$P2429)),"일","월","화","수","목","금","토"))</f>
        <v/>
      </c>
      <c r="H2429">
        <f>IF($P2429="","",INDEX(상세표[연속 시간],$P2429))</f>
        <v/>
      </c>
      <c r="I2429">
        <f>IF($P2429="","",INDEX(상세표[기록 수],$P2429))</f>
        <v/>
      </c>
      <c r="J2429">
        <f>IF($P2429="","",INDEX(상세표[블록 06~07시],$P2429))</f>
        <v/>
      </c>
      <c r="K2429">
        <f>IF($P2429="","",INDEX(상세표[블록 07~18시],$P2429))</f>
        <v/>
      </c>
      <c r="L2429">
        <f>IF($P2429="","",INDEX(상세표[블록 18~22시],$P2429))</f>
        <v/>
      </c>
      <c r="M2429">
        <f>IF($P2429="","",INDEX(상세표[블록 22~06시],$P2429))</f>
        <v/>
      </c>
      <c r="N2429">
        <f>IF($P2429="","",INDEX(상세표[주말·휴일 포함],$P2429)&amp;"")</f>
        <v/>
      </c>
      <c r="O2429">
        <f>IF($P2429="","",INDEX(상세표[월 넘김 포함],$P2429)&amp;"")</f>
        <v/>
      </c>
      <c r="P2429" s="4">
        <f>IFERROR(MATCH(2424,상세표[연속순번],0),"")</f>
        <v/>
      </c>
    </row>
    <row r="2430">
      <c r="A2430">
        <f>IF($P2430="","",INDEX(상세표[사번],$P2430)&amp;"")</f>
        <v/>
      </c>
      <c r="B2430">
        <f>IF($P2430="","",INDEX(상세표[성명],$P2430)&amp;"")</f>
        <v/>
      </c>
      <c r="C2430">
        <f>IF($P2430="","",INDEX(상세표[부서],$P2430)&amp;"")</f>
        <v/>
      </c>
      <c r="D2430">
        <f>IF($P2430="","",INDEX(상세표[직위],$P2430)&amp;"")</f>
        <v/>
      </c>
      <c r="E2430">
        <f>IF($P2430="","",IF(ISNUMBER(INDEX(상세표[시작],$P2430)),TEXT(INDEX(상세표[시작],$P2430),"yyyy-mm-dd hh:mm"),INDEX(상세표[시작],$P2430)&amp;""))</f>
        <v/>
      </c>
      <c r="F2430">
        <f>IF($P2430="","",IF(ISNUMBER(INDEX(상세표[블록종료],$P2430)),TEXT(INDEX(상세표[블록종료],$P2430),"yyyy-mm-dd hh:mm"),INDEX(상세표[블록종료],$P2430)&amp;""))</f>
        <v/>
      </c>
      <c r="G2430">
        <f>IF($P2430="","",CHOOSE(WEEKDAY(INDEX(상세표[시작],$P2430)),"일","월","화","수","목","금","토"))</f>
        <v/>
      </c>
      <c r="H2430">
        <f>IF($P2430="","",INDEX(상세표[연속 시간],$P2430))</f>
        <v/>
      </c>
      <c r="I2430">
        <f>IF($P2430="","",INDEX(상세표[기록 수],$P2430))</f>
        <v/>
      </c>
      <c r="J2430">
        <f>IF($P2430="","",INDEX(상세표[블록 06~07시],$P2430))</f>
        <v/>
      </c>
      <c r="K2430">
        <f>IF($P2430="","",INDEX(상세표[블록 07~18시],$P2430))</f>
        <v/>
      </c>
      <c r="L2430">
        <f>IF($P2430="","",INDEX(상세표[블록 18~22시],$P2430))</f>
        <v/>
      </c>
      <c r="M2430">
        <f>IF($P2430="","",INDEX(상세표[블록 22~06시],$P2430))</f>
        <v/>
      </c>
      <c r="N2430">
        <f>IF($P2430="","",INDEX(상세표[주말·휴일 포함],$P2430)&amp;"")</f>
        <v/>
      </c>
      <c r="O2430">
        <f>IF($P2430="","",INDEX(상세표[월 넘김 포함],$P2430)&amp;"")</f>
        <v/>
      </c>
      <c r="P2430" s="4">
        <f>IFERROR(MATCH(2425,상세표[연속순번],0),"")</f>
        <v/>
      </c>
    </row>
    <row r="2431">
      <c r="A2431">
        <f>IF($P2431="","",INDEX(상세표[사번],$P2431)&amp;"")</f>
        <v/>
      </c>
      <c r="B2431">
        <f>IF($P2431="","",INDEX(상세표[성명],$P2431)&amp;"")</f>
        <v/>
      </c>
      <c r="C2431">
        <f>IF($P2431="","",INDEX(상세표[부서],$P2431)&amp;"")</f>
        <v/>
      </c>
      <c r="D2431">
        <f>IF($P2431="","",INDEX(상세표[직위],$P2431)&amp;"")</f>
        <v/>
      </c>
      <c r="E2431">
        <f>IF($P2431="","",IF(ISNUMBER(INDEX(상세표[시작],$P2431)),TEXT(INDEX(상세표[시작],$P2431),"yyyy-mm-dd hh:mm"),INDEX(상세표[시작],$P2431)&amp;""))</f>
        <v/>
      </c>
      <c r="F2431">
        <f>IF($P2431="","",IF(ISNUMBER(INDEX(상세표[블록종료],$P2431)),TEXT(INDEX(상세표[블록종료],$P2431),"yyyy-mm-dd hh:mm"),INDEX(상세표[블록종료],$P2431)&amp;""))</f>
        <v/>
      </c>
      <c r="G2431">
        <f>IF($P2431="","",CHOOSE(WEEKDAY(INDEX(상세표[시작],$P2431)),"일","월","화","수","목","금","토"))</f>
        <v/>
      </c>
      <c r="H2431">
        <f>IF($P2431="","",INDEX(상세표[연속 시간],$P2431))</f>
        <v/>
      </c>
      <c r="I2431">
        <f>IF($P2431="","",INDEX(상세표[기록 수],$P2431))</f>
        <v/>
      </c>
      <c r="J2431">
        <f>IF($P2431="","",INDEX(상세표[블록 06~07시],$P2431))</f>
        <v/>
      </c>
      <c r="K2431">
        <f>IF($P2431="","",INDEX(상세표[블록 07~18시],$P2431))</f>
        <v/>
      </c>
      <c r="L2431">
        <f>IF($P2431="","",INDEX(상세표[블록 18~22시],$P2431))</f>
        <v/>
      </c>
      <c r="M2431">
        <f>IF($P2431="","",INDEX(상세표[블록 22~06시],$P2431))</f>
        <v/>
      </c>
      <c r="N2431">
        <f>IF($P2431="","",INDEX(상세표[주말·휴일 포함],$P2431)&amp;"")</f>
        <v/>
      </c>
      <c r="O2431">
        <f>IF($P2431="","",INDEX(상세표[월 넘김 포함],$P2431)&amp;"")</f>
        <v/>
      </c>
      <c r="P2431" s="4">
        <f>IFERROR(MATCH(2426,상세표[연속순번],0),"")</f>
        <v/>
      </c>
    </row>
    <row r="2432">
      <c r="A2432">
        <f>IF($P2432="","",INDEX(상세표[사번],$P2432)&amp;"")</f>
        <v/>
      </c>
      <c r="B2432">
        <f>IF($P2432="","",INDEX(상세표[성명],$P2432)&amp;"")</f>
        <v/>
      </c>
      <c r="C2432">
        <f>IF($P2432="","",INDEX(상세표[부서],$P2432)&amp;"")</f>
        <v/>
      </c>
      <c r="D2432">
        <f>IF($P2432="","",INDEX(상세표[직위],$P2432)&amp;"")</f>
        <v/>
      </c>
      <c r="E2432">
        <f>IF($P2432="","",IF(ISNUMBER(INDEX(상세표[시작],$P2432)),TEXT(INDEX(상세표[시작],$P2432),"yyyy-mm-dd hh:mm"),INDEX(상세표[시작],$P2432)&amp;""))</f>
        <v/>
      </c>
      <c r="F2432">
        <f>IF($P2432="","",IF(ISNUMBER(INDEX(상세표[블록종료],$P2432)),TEXT(INDEX(상세표[블록종료],$P2432),"yyyy-mm-dd hh:mm"),INDEX(상세표[블록종료],$P2432)&amp;""))</f>
        <v/>
      </c>
      <c r="G2432">
        <f>IF($P2432="","",CHOOSE(WEEKDAY(INDEX(상세표[시작],$P2432)),"일","월","화","수","목","금","토"))</f>
        <v/>
      </c>
      <c r="H2432">
        <f>IF($P2432="","",INDEX(상세표[연속 시간],$P2432))</f>
        <v/>
      </c>
      <c r="I2432">
        <f>IF($P2432="","",INDEX(상세표[기록 수],$P2432))</f>
        <v/>
      </c>
      <c r="J2432">
        <f>IF($P2432="","",INDEX(상세표[블록 06~07시],$P2432))</f>
        <v/>
      </c>
      <c r="K2432">
        <f>IF($P2432="","",INDEX(상세표[블록 07~18시],$P2432))</f>
        <v/>
      </c>
      <c r="L2432">
        <f>IF($P2432="","",INDEX(상세표[블록 18~22시],$P2432))</f>
        <v/>
      </c>
      <c r="M2432">
        <f>IF($P2432="","",INDEX(상세표[블록 22~06시],$P2432))</f>
        <v/>
      </c>
      <c r="N2432">
        <f>IF($P2432="","",INDEX(상세표[주말·휴일 포함],$P2432)&amp;"")</f>
        <v/>
      </c>
      <c r="O2432">
        <f>IF($P2432="","",INDEX(상세표[월 넘김 포함],$P2432)&amp;"")</f>
        <v/>
      </c>
      <c r="P2432" s="4">
        <f>IFERROR(MATCH(2427,상세표[연속순번],0),"")</f>
        <v/>
      </c>
    </row>
    <row r="2433">
      <c r="A2433">
        <f>IF($P2433="","",INDEX(상세표[사번],$P2433)&amp;"")</f>
        <v/>
      </c>
      <c r="B2433">
        <f>IF($P2433="","",INDEX(상세표[성명],$P2433)&amp;"")</f>
        <v/>
      </c>
      <c r="C2433">
        <f>IF($P2433="","",INDEX(상세표[부서],$P2433)&amp;"")</f>
        <v/>
      </c>
      <c r="D2433">
        <f>IF($P2433="","",INDEX(상세표[직위],$P2433)&amp;"")</f>
        <v/>
      </c>
      <c r="E2433">
        <f>IF($P2433="","",IF(ISNUMBER(INDEX(상세표[시작],$P2433)),TEXT(INDEX(상세표[시작],$P2433),"yyyy-mm-dd hh:mm"),INDEX(상세표[시작],$P2433)&amp;""))</f>
        <v/>
      </c>
      <c r="F2433">
        <f>IF($P2433="","",IF(ISNUMBER(INDEX(상세표[블록종료],$P2433)),TEXT(INDEX(상세표[블록종료],$P2433),"yyyy-mm-dd hh:mm"),INDEX(상세표[블록종료],$P2433)&amp;""))</f>
        <v/>
      </c>
      <c r="G2433">
        <f>IF($P2433="","",CHOOSE(WEEKDAY(INDEX(상세표[시작],$P2433)),"일","월","화","수","목","금","토"))</f>
        <v/>
      </c>
      <c r="H2433">
        <f>IF($P2433="","",INDEX(상세표[연속 시간],$P2433))</f>
        <v/>
      </c>
      <c r="I2433">
        <f>IF($P2433="","",INDEX(상세표[기록 수],$P2433))</f>
        <v/>
      </c>
      <c r="J2433">
        <f>IF($P2433="","",INDEX(상세표[블록 06~07시],$P2433))</f>
        <v/>
      </c>
      <c r="K2433">
        <f>IF($P2433="","",INDEX(상세표[블록 07~18시],$P2433))</f>
        <v/>
      </c>
      <c r="L2433">
        <f>IF($P2433="","",INDEX(상세표[블록 18~22시],$P2433))</f>
        <v/>
      </c>
      <c r="M2433">
        <f>IF($P2433="","",INDEX(상세표[블록 22~06시],$P2433))</f>
        <v/>
      </c>
      <c r="N2433">
        <f>IF($P2433="","",INDEX(상세표[주말·휴일 포함],$P2433)&amp;"")</f>
        <v/>
      </c>
      <c r="O2433">
        <f>IF($P2433="","",INDEX(상세표[월 넘김 포함],$P2433)&amp;"")</f>
        <v/>
      </c>
      <c r="P2433" s="4">
        <f>IFERROR(MATCH(2428,상세표[연속순번],0),"")</f>
        <v/>
      </c>
    </row>
    <row r="2434">
      <c r="A2434">
        <f>IF($P2434="","",INDEX(상세표[사번],$P2434)&amp;"")</f>
        <v/>
      </c>
      <c r="B2434">
        <f>IF($P2434="","",INDEX(상세표[성명],$P2434)&amp;"")</f>
        <v/>
      </c>
      <c r="C2434">
        <f>IF($P2434="","",INDEX(상세표[부서],$P2434)&amp;"")</f>
        <v/>
      </c>
      <c r="D2434">
        <f>IF($P2434="","",INDEX(상세표[직위],$P2434)&amp;"")</f>
        <v/>
      </c>
      <c r="E2434">
        <f>IF($P2434="","",IF(ISNUMBER(INDEX(상세표[시작],$P2434)),TEXT(INDEX(상세표[시작],$P2434),"yyyy-mm-dd hh:mm"),INDEX(상세표[시작],$P2434)&amp;""))</f>
        <v/>
      </c>
      <c r="F2434">
        <f>IF($P2434="","",IF(ISNUMBER(INDEX(상세표[블록종료],$P2434)),TEXT(INDEX(상세표[블록종료],$P2434),"yyyy-mm-dd hh:mm"),INDEX(상세표[블록종료],$P2434)&amp;""))</f>
        <v/>
      </c>
      <c r="G2434">
        <f>IF($P2434="","",CHOOSE(WEEKDAY(INDEX(상세표[시작],$P2434)),"일","월","화","수","목","금","토"))</f>
        <v/>
      </c>
      <c r="H2434">
        <f>IF($P2434="","",INDEX(상세표[연속 시간],$P2434))</f>
        <v/>
      </c>
      <c r="I2434">
        <f>IF($P2434="","",INDEX(상세표[기록 수],$P2434))</f>
        <v/>
      </c>
      <c r="J2434">
        <f>IF($P2434="","",INDEX(상세표[블록 06~07시],$P2434))</f>
        <v/>
      </c>
      <c r="K2434">
        <f>IF($P2434="","",INDEX(상세표[블록 07~18시],$P2434))</f>
        <v/>
      </c>
      <c r="L2434">
        <f>IF($P2434="","",INDEX(상세표[블록 18~22시],$P2434))</f>
        <v/>
      </c>
      <c r="M2434">
        <f>IF($P2434="","",INDEX(상세표[블록 22~06시],$P2434))</f>
        <v/>
      </c>
      <c r="N2434">
        <f>IF($P2434="","",INDEX(상세표[주말·휴일 포함],$P2434)&amp;"")</f>
        <v/>
      </c>
      <c r="O2434">
        <f>IF($P2434="","",INDEX(상세표[월 넘김 포함],$P2434)&amp;"")</f>
        <v/>
      </c>
      <c r="P2434" s="4">
        <f>IFERROR(MATCH(2429,상세표[연속순번],0),"")</f>
        <v/>
      </c>
    </row>
    <row r="2435">
      <c r="A2435">
        <f>IF($P2435="","",INDEX(상세표[사번],$P2435)&amp;"")</f>
        <v/>
      </c>
      <c r="B2435">
        <f>IF($P2435="","",INDEX(상세표[성명],$P2435)&amp;"")</f>
        <v/>
      </c>
      <c r="C2435">
        <f>IF($P2435="","",INDEX(상세표[부서],$P2435)&amp;"")</f>
        <v/>
      </c>
      <c r="D2435">
        <f>IF($P2435="","",INDEX(상세표[직위],$P2435)&amp;"")</f>
        <v/>
      </c>
      <c r="E2435">
        <f>IF($P2435="","",IF(ISNUMBER(INDEX(상세표[시작],$P2435)),TEXT(INDEX(상세표[시작],$P2435),"yyyy-mm-dd hh:mm"),INDEX(상세표[시작],$P2435)&amp;""))</f>
        <v/>
      </c>
      <c r="F2435">
        <f>IF($P2435="","",IF(ISNUMBER(INDEX(상세표[블록종료],$P2435)),TEXT(INDEX(상세표[블록종료],$P2435),"yyyy-mm-dd hh:mm"),INDEX(상세표[블록종료],$P2435)&amp;""))</f>
        <v/>
      </c>
      <c r="G2435">
        <f>IF($P2435="","",CHOOSE(WEEKDAY(INDEX(상세표[시작],$P2435)),"일","월","화","수","목","금","토"))</f>
        <v/>
      </c>
      <c r="H2435">
        <f>IF($P2435="","",INDEX(상세표[연속 시간],$P2435))</f>
        <v/>
      </c>
      <c r="I2435">
        <f>IF($P2435="","",INDEX(상세표[기록 수],$P2435))</f>
        <v/>
      </c>
      <c r="J2435">
        <f>IF($P2435="","",INDEX(상세표[블록 06~07시],$P2435))</f>
        <v/>
      </c>
      <c r="K2435">
        <f>IF($P2435="","",INDEX(상세표[블록 07~18시],$P2435))</f>
        <v/>
      </c>
      <c r="L2435">
        <f>IF($P2435="","",INDEX(상세표[블록 18~22시],$P2435))</f>
        <v/>
      </c>
      <c r="M2435">
        <f>IF($P2435="","",INDEX(상세표[블록 22~06시],$P2435))</f>
        <v/>
      </c>
      <c r="N2435">
        <f>IF($P2435="","",INDEX(상세표[주말·휴일 포함],$P2435)&amp;"")</f>
        <v/>
      </c>
      <c r="O2435">
        <f>IF($P2435="","",INDEX(상세표[월 넘김 포함],$P2435)&amp;"")</f>
        <v/>
      </c>
      <c r="P2435" s="4">
        <f>IFERROR(MATCH(2430,상세표[연속순번],0),"")</f>
        <v/>
      </c>
    </row>
    <row r="2436">
      <c r="A2436">
        <f>IF($P2436="","",INDEX(상세표[사번],$P2436)&amp;"")</f>
        <v/>
      </c>
      <c r="B2436">
        <f>IF($P2436="","",INDEX(상세표[성명],$P2436)&amp;"")</f>
        <v/>
      </c>
      <c r="C2436">
        <f>IF($P2436="","",INDEX(상세표[부서],$P2436)&amp;"")</f>
        <v/>
      </c>
      <c r="D2436">
        <f>IF($P2436="","",INDEX(상세표[직위],$P2436)&amp;"")</f>
        <v/>
      </c>
      <c r="E2436">
        <f>IF($P2436="","",IF(ISNUMBER(INDEX(상세표[시작],$P2436)),TEXT(INDEX(상세표[시작],$P2436),"yyyy-mm-dd hh:mm"),INDEX(상세표[시작],$P2436)&amp;""))</f>
        <v/>
      </c>
      <c r="F2436">
        <f>IF($P2436="","",IF(ISNUMBER(INDEX(상세표[블록종료],$P2436)),TEXT(INDEX(상세표[블록종료],$P2436),"yyyy-mm-dd hh:mm"),INDEX(상세표[블록종료],$P2436)&amp;""))</f>
        <v/>
      </c>
      <c r="G2436">
        <f>IF($P2436="","",CHOOSE(WEEKDAY(INDEX(상세표[시작],$P2436)),"일","월","화","수","목","금","토"))</f>
        <v/>
      </c>
      <c r="H2436">
        <f>IF($P2436="","",INDEX(상세표[연속 시간],$P2436))</f>
        <v/>
      </c>
      <c r="I2436">
        <f>IF($P2436="","",INDEX(상세표[기록 수],$P2436))</f>
        <v/>
      </c>
      <c r="J2436">
        <f>IF($P2436="","",INDEX(상세표[블록 06~07시],$P2436))</f>
        <v/>
      </c>
      <c r="K2436">
        <f>IF($P2436="","",INDEX(상세표[블록 07~18시],$P2436))</f>
        <v/>
      </c>
      <c r="L2436">
        <f>IF($P2436="","",INDEX(상세표[블록 18~22시],$P2436))</f>
        <v/>
      </c>
      <c r="M2436">
        <f>IF($P2436="","",INDEX(상세표[블록 22~06시],$P2436))</f>
        <v/>
      </c>
      <c r="N2436">
        <f>IF($P2436="","",INDEX(상세표[주말·휴일 포함],$P2436)&amp;"")</f>
        <v/>
      </c>
      <c r="O2436">
        <f>IF($P2436="","",INDEX(상세표[월 넘김 포함],$P2436)&amp;"")</f>
        <v/>
      </c>
      <c r="P2436" s="4">
        <f>IFERROR(MATCH(2431,상세표[연속순번],0),"")</f>
        <v/>
      </c>
    </row>
    <row r="2437">
      <c r="A2437">
        <f>IF($P2437="","",INDEX(상세표[사번],$P2437)&amp;"")</f>
        <v/>
      </c>
      <c r="B2437">
        <f>IF($P2437="","",INDEX(상세표[성명],$P2437)&amp;"")</f>
        <v/>
      </c>
      <c r="C2437">
        <f>IF($P2437="","",INDEX(상세표[부서],$P2437)&amp;"")</f>
        <v/>
      </c>
      <c r="D2437">
        <f>IF($P2437="","",INDEX(상세표[직위],$P2437)&amp;"")</f>
        <v/>
      </c>
      <c r="E2437">
        <f>IF($P2437="","",IF(ISNUMBER(INDEX(상세표[시작],$P2437)),TEXT(INDEX(상세표[시작],$P2437),"yyyy-mm-dd hh:mm"),INDEX(상세표[시작],$P2437)&amp;""))</f>
        <v/>
      </c>
      <c r="F2437">
        <f>IF($P2437="","",IF(ISNUMBER(INDEX(상세표[블록종료],$P2437)),TEXT(INDEX(상세표[블록종료],$P2437),"yyyy-mm-dd hh:mm"),INDEX(상세표[블록종료],$P2437)&amp;""))</f>
        <v/>
      </c>
      <c r="G2437">
        <f>IF($P2437="","",CHOOSE(WEEKDAY(INDEX(상세표[시작],$P2437)),"일","월","화","수","목","금","토"))</f>
        <v/>
      </c>
      <c r="H2437">
        <f>IF($P2437="","",INDEX(상세표[연속 시간],$P2437))</f>
        <v/>
      </c>
      <c r="I2437">
        <f>IF($P2437="","",INDEX(상세표[기록 수],$P2437))</f>
        <v/>
      </c>
      <c r="J2437">
        <f>IF($P2437="","",INDEX(상세표[블록 06~07시],$P2437))</f>
        <v/>
      </c>
      <c r="K2437">
        <f>IF($P2437="","",INDEX(상세표[블록 07~18시],$P2437))</f>
        <v/>
      </c>
      <c r="L2437">
        <f>IF($P2437="","",INDEX(상세표[블록 18~22시],$P2437))</f>
        <v/>
      </c>
      <c r="M2437">
        <f>IF($P2437="","",INDEX(상세표[블록 22~06시],$P2437))</f>
        <v/>
      </c>
      <c r="N2437">
        <f>IF($P2437="","",INDEX(상세표[주말·휴일 포함],$P2437)&amp;"")</f>
        <v/>
      </c>
      <c r="O2437">
        <f>IF($P2437="","",INDEX(상세표[월 넘김 포함],$P2437)&amp;"")</f>
        <v/>
      </c>
      <c r="P2437" s="4">
        <f>IFERROR(MATCH(2432,상세표[연속순번],0),"")</f>
        <v/>
      </c>
    </row>
    <row r="2438">
      <c r="A2438">
        <f>IF($P2438="","",INDEX(상세표[사번],$P2438)&amp;"")</f>
        <v/>
      </c>
      <c r="B2438">
        <f>IF($P2438="","",INDEX(상세표[성명],$P2438)&amp;"")</f>
        <v/>
      </c>
      <c r="C2438">
        <f>IF($P2438="","",INDEX(상세표[부서],$P2438)&amp;"")</f>
        <v/>
      </c>
      <c r="D2438">
        <f>IF($P2438="","",INDEX(상세표[직위],$P2438)&amp;"")</f>
        <v/>
      </c>
      <c r="E2438">
        <f>IF($P2438="","",IF(ISNUMBER(INDEX(상세표[시작],$P2438)),TEXT(INDEX(상세표[시작],$P2438),"yyyy-mm-dd hh:mm"),INDEX(상세표[시작],$P2438)&amp;""))</f>
        <v/>
      </c>
      <c r="F2438">
        <f>IF($P2438="","",IF(ISNUMBER(INDEX(상세표[블록종료],$P2438)),TEXT(INDEX(상세표[블록종료],$P2438),"yyyy-mm-dd hh:mm"),INDEX(상세표[블록종료],$P2438)&amp;""))</f>
        <v/>
      </c>
      <c r="G2438">
        <f>IF($P2438="","",CHOOSE(WEEKDAY(INDEX(상세표[시작],$P2438)),"일","월","화","수","목","금","토"))</f>
        <v/>
      </c>
      <c r="H2438">
        <f>IF($P2438="","",INDEX(상세표[연속 시간],$P2438))</f>
        <v/>
      </c>
      <c r="I2438">
        <f>IF($P2438="","",INDEX(상세표[기록 수],$P2438))</f>
        <v/>
      </c>
      <c r="J2438">
        <f>IF($P2438="","",INDEX(상세표[블록 06~07시],$P2438))</f>
        <v/>
      </c>
      <c r="K2438">
        <f>IF($P2438="","",INDEX(상세표[블록 07~18시],$P2438))</f>
        <v/>
      </c>
      <c r="L2438">
        <f>IF($P2438="","",INDEX(상세표[블록 18~22시],$P2438))</f>
        <v/>
      </c>
      <c r="M2438">
        <f>IF($P2438="","",INDEX(상세표[블록 22~06시],$P2438))</f>
        <v/>
      </c>
      <c r="N2438">
        <f>IF($P2438="","",INDEX(상세표[주말·휴일 포함],$P2438)&amp;"")</f>
        <v/>
      </c>
      <c r="O2438">
        <f>IF($P2438="","",INDEX(상세표[월 넘김 포함],$P2438)&amp;"")</f>
        <v/>
      </c>
      <c r="P2438" s="4">
        <f>IFERROR(MATCH(2433,상세표[연속순번],0),"")</f>
        <v/>
      </c>
    </row>
    <row r="2439">
      <c r="A2439">
        <f>IF($P2439="","",INDEX(상세표[사번],$P2439)&amp;"")</f>
        <v/>
      </c>
      <c r="B2439">
        <f>IF($P2439="","",INDEX(상세표[성명],$P2439)&amp;"")</f>
        <v/>
      </c>
      <c r="C2439">
        <f>IF($P2439="","",INDEX(상세표[부서],$P2439)&amp;"")</f>
        <v/>
      </c>
      <c r="D2439">
        <f>IF($P2439="","",INDEX(상세표[직위],$P2439)&amp;"")</f>
        <v/>
      </c>
      <c r="E2439">
        <f>IF($P2439="","",IF(ISNUMBER(INDEX(상세표[시작],$P2439)),TEXT(INDEX(상세표[시작],$P2439),"yyyy-mm-dd hh:mm"),INDEX(상세표[시작],$P2439)&amp;""))</f>
        <v/>
      </c>
      <c r="F2439">
        <f>IF($P2439="","",IF(ISNUMBER(INDEX(상세표[블록종료],$P2439)),TEXT(INDEX(상세표[블록종료],$P2439),"yyyy-mm-dd hh:mm"),INDEX(상세표[블록종료],$P2439)&amp;""))</f>
        <v/>
      </c>
      <c r="G2439">
        <f>IF($P2439="","",CHOOSE(WEEKDAY(INDEX(상세표[시작],$P2439)),"일","월","화","수","목","금","토"))</f>
        <v/>
      </c>
      <c r="H2439">
        <f>IF($P2439="","",INDEX(상세표[연속 시간],$P2439))</f>
        <v/>
      </c>
      <c r="I2439">
        <f>IF($P2439="","",INDEX(상세표[기록 수],$P2439))</f>
        <v/>
      </c>
      <c r="J2439">
        <f>IF($P2439="","",INDEX(상세표[블록 06~07시],$P2439))</f>
        <v/>
      </c>
      <c r="K2439">
        <f>IF($P2439="","",INDEX(상세표[블록 07~18시],$P2439))</f>
        <v/>
      </c>
      <c r="L2439">
        <f>IF($P2439="","",INDEX(상세표[블록 18~22시],$P2439))</f>
        <v/>
      </c>
      <c r="M2439">
        <f>IF($P2439="","",INDEX(상세표[블록 22~06시],$P2439))</f>
        <v/>
      </c>
      <c r="N2439">
        <f>IF($P2439="","",INDEX(상세표[주말·휴일 포함],$P2439)&amp;"")</f>
        <v/>
      </c>
      <c r="O2439">
        <f>IF($P2439="","",INDEX(상세표[월 넘김 포함],$P2439)&amp;"")</f>
        <v/>
      </c>
      <c r="P2439" s="4">
        <f>IFERROR(MATCH(2434,상세표[연속순번],0),"")</f>
        <v/>
      </c>
    </row>
    <row r="2440">
      <c r="A2440">
        <f>IF($P2440="","",INDEX(상세표[사번],$P2440)&amp;"")</f>
        <v/>
      </c>
      <c r="B2440">
        <f>IF($P2440="","",INDEX(상세표[성명],$P2440)&amp;"")</f>
        <v/>
      </c>
      <c r="C2440">
        <f>IF($P2440="","",INDEX(상세표[부서],$P2440)&amp;"")</f>
        <v/>
      </c>
      <c r="D2440">
        <f>IF($P2440="","",INDEX(상세표[직위],$P2440)&amp;"")</f>
        <v/>
      </c>
      <c r="E2440">
        <f>IF($P2440="","",IF(ISNUMBER(INDEX(상세표[시작],$P2440)),TEXT(INDEX(상세표[시작],$P2440),"yyyy-mm-dd hh:mm"),INDEX(상세표[시작],$P2440)&amp;""))</f>
        <v/>
      </c>
      <c r="F2440">
        <f>IF($P2440="","",IF(ISNUMBER(INDEX(상세표[블록종료],$P2440)),TEXT(INDEX(상세표[블록종료],$P2440),"yyyy-mm-dd hh:mm"),INDEX(상세표[블록종료],$P2440)&amp;""))</f>
        <v/>
      </c>
      <c r="G2440">
        <f>IF($P2440="","",CHOOSE(WEEKDAY(INDEX(상세표[시작],$P2440)),"일","월","화","수","목","금","토"))</f>
        <v/>
      </c>
      <c r="H2440">
        <f>IF($P2440="","",INDEX(상세표[연속 시간],$P2440))</f>
        <v/>
      </c>
      <c r="I2440">
        <f>IF($P2440="","",INDEX(상세표[기록 수],$P2440))</f>
        <v/>
      </c>
      <c r="J2440">
        <f>IF($P2440="","",INDEX(상세표[블록 06~07시],$P2440))</f>
        <v/>
      </c>
      <c r="K2440">
        <f>IF($P2440="","",INDEX(상세표[블록 07~18시],$P2440))</f>
        <v/>
      </c>
      <c r="L2440">
        <f>IF($P2440="","",INDEX(상세표[블록 18~22시],$P2440))</f>
        <v/>
      </c>
      <c r="M2440">
        <f>IF($P2440="","",INDEX(상세표[블록 22~06시],$P2440))</f>
        <v/>
      </c>
      <c r="N2440">
        <f>IF($P2440="","",INDEX(상세표[주말·휴일 포함],$P2440)&amp;"")</f>
        <v/>
      </c>
      <c r="O2440">
        <f>IF($P2440="","",INDEX(상세표[월 넘김 포함],$P2440)&amp;"")</f>
        <v/>
      </c>
      <c r="P2440" s="4">
        <f>IFERROR(MATCH(2435,상세표[연속순번],0),"")</f>
        <v/>
      </c>
    </row>
    <row r="2441">
      <c r="A2441">
        <f>IF($P2441="","",INDEX(상세표[사번],$P2441)&amp;"")</f>
        <v/>
      </c>
      <c r="B2441">
        <f>IF($P2441="","",INDEX(상세표[성명],$P2441)&amp;"")</f>
        <v/>
      </c>
      <c r="C2441">
        <f>IF($P2441="","",INDEX(상세표[부서],$P2441)&amp;"")</f>
        <v/>
      </c>
      <c r="D2441">
        <f>IF($P2441="","",INDEX(상세표[직위],$P2441)&amp;"")</f>
        <v/>
      </c>
      <c r="E2441">
        <f>IF($P2441="","",IF(ISNUMBER(INDEX(상세표[시작],$P2441)),TEXT(INDEX(상세표[시작],$P2441),"yyyy-mm-dd hh:mm"),INDEX(상세표[시작],$P2441)&amp;""))</f>
        <v/>
      </c>
      <c r="F2441">
        <f>IF($P2441="","",IF(ISNUMBER(INDEX(상세표[블록종료],$P2441)),TEXT(INDEX(상세표[블록종료],$P2441),"yyyy-mm-dd hh:mm"),INDEX(상세표[블록종료],$P2441)&amp;""))</f>
        <v/>
      </c>
      <c r="G2441">
        <f>IF($P2441="","",CHOOSE(WEEKDAY(INDEX(상세표[시작],$P2441)),"일","월","화","수","목","금","토"))</f>
        <v/>
      </c>
      <c r="H2441">
        <f>IF($P2441="","",INDEX(상세표[연속 시간],$P2441))</f>
        <v/>
      </c>
      <c r="I2441">
        <f>IF($P2441="","",INDEX(상세표[기록 수],$P2441))</f>
        <v/>
      </c>
      <c r="J2441">
        <f>IF($P2441="","",INDEX(상세표[블록 06~07시],$P2441))</f>
        <v/>
      </c>
      <c r="K2441">
        <f>IF($P2441="","",INDEX(상세표[블록 07~18시],$P2441))</f>
        <v/>
      </c>
      <c r="L2441">
        <f>IF($P2441="","",INDEX(상세표[블록 18~22시],$P2441))</f>
        <v/>
      </c>
      <c r="M2441">
        <f>IF($P2441="","",INDEX(상세표[블록 22~06시],$P2441))</f>
        <v/>
      </c>
      <c r="N2441">
        <f>IF($P2441="","",INDEX(상세표[주말·휴일 포함],$P2441)&amp;"")</f>
        <v/>
      </c>
      <c r="O2441">
        <f>IF($P2441="","",INDEX(상세표[월 넘김 포함],$P2441)&amp;"")</f>
        <v/>
      </c>
      <c r="P2441" s="4">
        <f>IFERROR(MATCH(2436,상세표[연속순번],0),"")</f>
        <v/>
      </c>
    </row>
    <row r="2442">
      <c r="A2442">
        <f>IF($P2442="","",INDEX(상세표[사번],$P2442)&amp;"")</f>
        <v/>
      </c>
      <c r="B2442">
        <f>IF($P2442="","",INDEX(상세표[성명],$P2442)&amp;"")</f>
        <v/>
      </c>
      <c r="C2442">
        <f>IF($P2442="","",INDEX(상세표[부서],$P2442)&amp;"")</f>
        <v/>
      </c>
      <c r="D2442">
        <f>IF($P2442="","",INDEX(상세표[직위],$P2442)&amp;"")</f>
        <v/>
      </c>
      <c r="E2442">
        <f>IF($P2442="","",IF(ISNUMBER(INDEX(상세표[시작],$P2442)),TEXT(INDEX(상세표[시작],$P2442),"yyyy-mm-dd hh:mm"),INDEX(상세표[시작],$P2442)&amp;""))</f>
        <v/>
      </c>
      <c r="F2442">
        <f>IF($P2442="","",IF(ISNUMBER(INDEX(상세표[블록종료],$P2442)),TEXT(INDEX(상세표[블록종료],$P2442),"yyyy-mm-dd hh:mm"),INDEX(상세표[블록종료],$P2442)&amp;""))</f>
        <v/>
      </c>
      <c r="G2442">
        <f>IF($P2442="","",CHOOSE(WEEKDAY(INDEX(상세표[시작],$P2442)),"일","월","화","수","목","금","토"))</f>
        <v/>
      </c>
      <c r="H2442">
        <f>IF($P2442="","",INDEX(상세표[연속 시간],$P2442))</f>
        <v/>
      </c>
      <c r="I2442">
        <f>IF($P2442="","",INDEX(상세표[기록 수],$P2442))</f>
        <v/>
      </c>
      <c r="J2442">
        <f>IF($P2442="","",INDEX(상세표[블록 06~07시],$P2442))</f>
        <v/>
      </c>
      <c r="K2442">
        <f>IF($P2442="","",INDEX(상세표[블록 07~18시],$P2442))</f>
        <v/>
      </c>
      <c r="L2442">
        <f>IF($P2442="","",INDEX(상세표[블록 18~22시],$P2442))</f>
        <v/>
      </c>
      <c r="M2442">
        <f>IF($P2442="","",INDEX(상세표[블록 22~06시],$P2442))</f>
        <v/>
      </c>
      <c r="N2442">
        <f>IF($P2442="","",INDEX(상세표[주말·휴일 포함],$P2442)&amp;"")</f>
        <v/>
      </c>
      <c r="O2442">
        <f>IF($P2442="","",INDEX(상세표[월 넘김 포함],$P2442)&amp;"")</f>
        <v/>
      </c>
      <c r="P2442" s="4">
        <f>IFERROR(MATCH(2437,상세표[연속순번],0),"")</f>
        <v/>
      </c>
    </row>
    <row r="2443">
      <c r="A2443">
        <f>IF($P2443="","",INDEX(상세표[사번],$P2443)&amp;"")</f>
        <v/>
      </c>
      <c r="B2443">
        <f>IF($P2443="","",INDEX(상세표[성명],$P2443)&amp;"")</f>
        <v/>
      </c>
      <c r="C2443">
        <f>IF($P2443="","",INDEX(상세표[부서],$P2443)&amp;"")</f>
        <v/>
      </c>
      <c r="D2443">
        <f>IF($P2443="","",INDEX(상세표[직위],$P2443)&amp;"")</f>
        <v/>
      </c>
      <c r="E2443">
        <f>IF($P2443="","",IF(ISNUMBER(INDEX(상세표[시작],$P2443)),TEXT(INDEX(상세표[시작],$P2443),"yyyy-mm-dd hh:mm"),INDEX(상세표[시작],$P2443)&amp;""))</f>
        <v/>
      </c>
      <c r="F2443">
        <f>IF($P2443="","",IF(ISNUMBER(INDEX(상세표[블록종료],$P2443)),TEXT(INDEX(상세표[블록종료],$P2443),"yyyy-mm-dd hh:mm"),INDEX(상세표[블록종료],$P2443)&amp;""))</f>
        <v/>
      </c>
      <c r="G2443">
        <f>IF($P2443="","",CHOOSE(WEEKDAY(INDEX(상세표[시작],$P2443)),"일","월","화","수","목","금","토"))</f>
        <v/>
      </c>
      <c r="H2443">
        <f>IF($P2443="","",INDEX(상세표[연속 시간],$P2443))</f>
        <v/>
      </c>
      <c r="I2443">
        <f>IF($P2443="","",INDEX(상세표[기록 수],$P2443))</f>
        <v/>
      </c>
      <c r="J2443">
        <f>IF($P2443="","",INDEX(상세표[블록 06~07시],$P2443))</f>
        <v/>
      </c>
      <c r="K2443">
        <f>IF($P2443="","",INDEX(상세표[블록 07~18시],$P2443))</f>
        <v/>
      </c>
      <c r="L2443">
        <f>IF($P2443="","",INDEX(상세표[블록 18~22시],$P2443))</f>
        <v/>
      </c>
      <c r="M2443">
        <f>IF($P2443="","",INDEX(상세표[블록 22~06시],$P2443))</f>
        <v/>
      </c>
      <c r="N2443">
        <f>IF($P2443="","",INDEX(상세표[주말·휴일 포함],$P2443)&amp;"")</f>
        <v/>
      </c>
      <c r="O2443">
        <f>IF($P2443="","",INDEX(상세표[월 넘김 포함],$P2443)&amp;"")</f>
        <v/>
      </c>
      <c r="P2443" s="4">
        <f>IFERROR(MATCH(2438,상세표[연속순번],0),"")</f>
        <v/>
      </c>
    </row>
    <row r="2444">
      <c r="A2444">
        <f>IF($P2444="","",INDEX(상세표[사번],$P2444)&amp;"")</f>
        <v/>
      </c>
      <c r="B2444">
        <f>IF($P2444="","",INDEX(상세표[성명],$P2444)&amp;"")</f>
        <v/>
      </c>
      <c r="C2444">
        <f>IF($P2444="","",INDEX(상세표[부서],$P2444)&amp;"")</f>
        <v/>
      </c>
      <c r="D2444">
        <f>IF($P2444="","",INDEX(상세표[직위],$P2444)&amp;"")</f>
        <v/>
      </c>
      <c r="E2444">
        <f>IF($P2444="","",IF(ISNUMBER(INDEX(상세표[시작],$P2444)),TEXT(INDEX(상세표[시작],$P2444),"yyyy-mm-dd hh:mm"),INDEX(상세표[시작],$P2444)&amp;""))</f>
        <v/>
      </c>
      <c r="F2444">
        <f>IF($P2444="","",IF(ISNUMBER(INDEX(상세표[블록종료],$P2444)),TEXT(INDEX(상세표[블록종료],$P2444),"yyyy-mm-dd hh:mm"),INDEX(상세표[블록종료],$P2444)&amp;""))</f>
        <v/>
      </c>
      <c r="G2444">
        <f>IF($P2444="","",CHOOSE(WEEKDAY(INDEX(상세표[시작],$P2444)),"일","월","화","수","목","금","토"))</f>
        <v/>
      </c>
      <c r="H2444">
        <f>IF($P2444="","",INDEX(상세표[연속 시간],$P2444))</f>
        <v/>
      </c>
      <c r="I2444">
        <f>IF($P2444="","",INDEX(상세표[기록 수],$P2444))</f>
        <v/>
      </c>
      <c r="J2444">
        <f>IF($P2444="","",INDEX(상세표[블록 06~07시],$P2444))</f>
        <v/>
      </c>
      <c r="K2444">
        <f>IF($P2444="","",INDEX(상세표[블록 07~18시],$P2444))</f>
        <v/>
      </c>
      <c r="L2444">
        <f>IF($P2444="","",INDEX(상세표[블록 18~22시],$P2444))</f>
        <v/>
      </c>
      <c r="M2444">
        <f>IF($P2444="","",INDEX(상세표[블록 22~06시],$P2444))</f>
        <v/>
      </c>
      <c r="N2444">
        <f>IF($P2444="","",INDEX(상세표[주말·휴일 포함],$P2444)&amp;"")</f>
        <v/>
      </c>
      <c r="O2444">
        <f>IF($P2444="","",INDEX(상세표[월 넘김 포함],$P2444)&amp;"")</f>
        <v/>
      </c>
      <c r="P2444" s="4">
        <f>IFERROR(MATCH(2439,상세표[연속순번],0),"")</f>
        <v/>
      </c>
    </row>
    <row r="2445">
      <c r="A2445">
        <f>IF($P2445="","",INDEX(상세표[사번],$P2445)&amp;"")</f>
        <v/>
      </c>
      <c r="B2445">
        <f>IF($P2445="","",INDEX(상세표[성명],$P2445)&amp;"")</f>
        <v/>
      </c>
      <c r="C2445">
        <f>IF($P2445="","",INDEX(상세표[부서],$P2445)&amp;"")</f>
        <v/>
      </c>
      <c r="D2445">
        <f>IF($P2445="","",INDEX(상세표[직위],$P2445)&amp;"")</f>
        <v/>
      </c>
      <c r="E2445">
        <f>IF($P2445="","",IF(ISNUMBER(INDEX(상세표[시작],$P2445)),TEXT(INDEX(상세표[시작],$P2445),"yyyy-mm-dd hh:mm"),INDEX(상세표[시작],$P2445)&amp;""))</f>
        <v/>
      </c>
      <c r="F2445">
        <f>IF($P2445="","",IF(ISNUMBER(INDEX(상세표[블록종료],$P2445)),TEXT(INDEX(상세표[블록종료],$P2445),"yyyy-mm-dd hh:mm"),INDEX(상세표[블록종료],$P2445)&amp;""))</f>
        <v/>
      </c>
      <c r="G2445">
        <f>IF($P2445="","",CHOOSE(WEEKDAY(INDEX(상세표[시작],$P2445)),"일","월","화","수","목","금","토"))</f>
        <v/>
      </c>
      <c r="H2445">
        <f>IF($P2445="","",INDEX(상세표[연속 시간],$P2445))</f>
        <v/>
      </c>
      <c r="I2445">
        <f>IF($P2445="","",INDEX(상세표[기록 수],$P2445))</f>
        <v/>
      </c>
      <c r="J2445">
        <f>IF($P2445="","",INDEX(상세표[블록 06~07시],$P2445))</f>
        <v/>
      </c>
      <c r="K2445">
        <f>IF($P2445="","",INDEX(상세표[블록 07~18시],$P2445))</f>
        <v/>
      </c>
      <c r="L2445">
        <f>IF($P2445="","",INDEX(상세표[블록 18~22시],$P2445))</f>
        <v/>
      </c>
      <c r="M2445">
        <f>IF($P2445="","",INDEX(상세표[블록 22~06시],$P2445))</f>
        <v/>
      </c>
      <c r="N2445">
        <f>IF($P2445="","",INDEX(상세표[주말·휴일 포함],$P2445)&amp;"")</f>
        <v/>
      </c>
      <c r="O2445">
        <f>IF($P2445="","",INDEX(상세표[월 넘김 포함],$P2445)&amp;"")</f>
        <v/>
      </c>
      <c r="P2445" s="4">
        <f>IFERROR(MATCH(2440,상세표[연속순번],0),"")</f>
        <v/>
      </c>
    </row>
    <row r="2446">
      <c r="A2446">
        <f>IF($P2446="","",INDEX(상세표[사번],$P2446)&amp;"")</f>
        <v/>
      </c>
      <c r="B2446">
        <f>IF($P2446="","",INDEX(상세표[성명],$P2446)&amp;"")</f>
        <v/>
      </c>
      <c r="C2446">
        <f>IF($P2446="","",INDEX(상세표[부서],$P2446)&amp;"")</f>
        <v/>
      </c>
      <c r="D2446">
        <f>IF($P2446="","",INDEX(상세표[직위],$P2446)&amp;"")</f>
        <v/>
      </c>
      <c r="E2446">
        <f>IF($P2446="","",IF(ISNUMBER(INDEX(상세표[시작],$P2446)),TEXT(INDEX(상세표[시작],$P2446),"yyyy-mm-dd hh:mm"),INDEX(상세표[시작],$P2446)&amp;""))</f>
        <v/>
      </c>
      <c r="F2446">
        <f>IF($P2446="","",IF(ISNUMBER(INDEX(상세표[블록종료],$P2446)),TEXT(INDEX(상세표[블록종료],$P2446),"yyyy-mm-dd hh:mm"),INDEX(상세표[블록종료],$P2446)&amp;""))</f>
        <v/>
      </c>
      <c r="G2446">
        <f>IF($P2446="","",CHOOSE(WEEKDAY(INDEX(상세표[시작],$P2446)),"일","월","화","수","목","금","토"))</f>
        <v/>
      </c>
      <c r="H2446">
        <f>IF($P2446="","",INDEX(상세표[연속 시간],$P2446))</f>
        <v/>
      </c>
      <c r="I2446">
        <f>IF($P2446="","",INDEX(상세표[기록 수],$P2446))</f>
        <v/>
      </c>
      <c r="J2446">
        <f>IF($P2446="","",INDEX(상세표[블록 06~07시],$P2446))</f>
        <v/>
      </c>
      <c r="K2446">
        <f>IF($P2446="","",INDEX(상세표[블록 07~18시],$P2446))</f>
        <v/>
      </c>
      <c r="L2446">
        <f>IF($P2446="","",INDEX(상세표[블록 18~22시],$P2446))</f>
        <v/>
      </c>
      <c r="M2446">
        <f>IF($P2446="","",INDEX(상세표[블록 22~06시],$P2446))</f>
        <v/>
      </c>
      <c r="N2446">
        <f>IF($P2446="","",INDEX(상세표[주말·휴일 포함],$P2446)&amp;"")</f>
        <v/>
      </c>
      <c r="O2446">
        <f>IF($P2446="","",INDEX(상세표[월 넘김 포함],$P2446)&amp;"")</f>
        <v/>
      </c>
      <c r="P2446" s="4">
        <f>IFERROR(MATCH(2441,상세표[연속순번],0),"")</f>
        <v/>
      </c>
    </row>
    <row r="2447">
      <c r="A2447">
        <f>IF($P2447="","",INDEX(상세표[사번],$P2447)&amp;"")</f>
        <v/>
      </c>
      <c r="B2447">
        <f>IF($P2447="","",INDEX(상세표[성명],$P2447)&amp;"")</f>
        <v/>
      </c>
      <c r="C2447">
        <f>IF($P2447="","",INDEX(상세표[부서],$P2447)&amp;"")</f>
        <v/>
      </c>
      <c r="D2447">
        <f>IF($P2447="","",INDEX(상세표[직위],$P2447)&amp;"")</f>
        <v/>
      </c>
      <c r="E2447">
        <f>IF($P2447="","",IF(ISNUMBER(INDEX(상세표[시작],$P2447)),TEXT(INDEX(상세표[시작],$P2447),"yyyy-mm-dd hh:mm"),INDEX(상세표[시작],$P2447)&amp;""))</f>
        <v/>
      </c>
      <c r="F2447">
        <f>IF($P2447="","",IF(ISNUMBER(INDEX(상세표[블록종료],$P2447)),TEXT(INDEX(상세표[블록종료],$P2447),"yyyy-mm-dd hh:mm"),INDEX(상세표[블록종료],$P2447)&amp;""))</f>
        <v/>
      </c>
      <c r="G2447">
        <f>IF($P2447="","",CHOOSE(WEEKDAY(INDEX(상세표[시작],$P2447)),"일","월","화","수","목","금","토"))</f>
        <v/>
      </c>
      <c r="H2447">
        <f>IF($P2447="","",INDEX(상세표[연속 시간],$P2447))</f>
        <v/>
      </c>
      <c r="I2447">
        <f>IF($P2447="","",INDEX(상세표[기록 수],$P2447))</f>
        <v/>
      </c>
      <c r="J2447">
        <f>IF($P2447="","",INDEX(상세표[블록 06~07시],$P2447))</f>
        <v/>
      </c>
      <c r="K2447">
        <f>IF($P2447="","",INDEX(상세표[블록 07~18시],$P2447))</f>
        <v/>
      </c>
      <c r="L2447">
        <f>IF($P2447="","",INDEX(상세표[블록 18~22시],$P2447))</f>
        <v/>
      </c>
      <c r="M2447">
        <f>IF($P2447="","",INDEX(상세표[블록 22~06시],$P2447))</f>
        <v/>
      </c>
      <c r="N2447">
        <f>IF($P2447="","",INDEX(상세표[주말·휴일 포함],$P2447)&amp;"")</f>
        <v/>
      </c>
      <c r="O2447">
        <f>IF($P2447="","",INDEX(상세표[월 넘김 포함],$P2447)&amp;"")</f>
        <v/>
      </c>
      <c r="P2447" s="4">
        <f>IFERROR(MATCH(2442,상세표[연속순번],0),"")</f>
        <v/>
      </c>
    </row>
    <row r="2448">
      <c r="A2448">
        <f>IF($P2448="","",INDEX(상세표[사번],$P2448)&amp;"")</f>
        <v/>
      </c>
      <c r="B2448">
        <f>IF($P2448="","",INDEX(상세표[성명],$P2448)&amp;"")</f>
        <v/>
      </c>
      <c r="C2448">
        <f>IF($P2448="","",INDEX(상세표[부서],$P2448)&amp;"")</f>
        <v/>
      </c>
      <c r="D2448">
        <f>IF($P2448="","",INDEX(상세표[직위],$P2448)&amp;"")</f>
        <v/>
      </c>
      <c r="E2448">
        <f>IF($P2448="","",IF(ISNUMBER(INDEX(상세표[시작],$P2448)),TEXT(INDEX(상세표[시작],$P2448),"yyyy-mm-dd hh:mm"),INDEX(상세표[시작],$P2448)&amp;""))</f>
        <v/>
      </c>
      <c r="F2448">
        <f>IF($P2448="","",IF(ISNUMBER(INDEX(상세표[블록종료],$P2448)),TEXT(INDEX(상세표[블록종료],$P2448),"yyyy-mm-dd hh:mm"),INDEX(상세표[블록종료],$P2448)&amp;""))</f>
        <v/>
      </c>
      <c r="G2448">
        <f>IF($P2448="","",CHOOSE(WEEKDAY(INDEX(상세표[시작],$P2448)),"일","월","화","수","목","금","토"))</f>
        <v/>
      </c>
      <c r="H2448">
        <f>IF($P2448="","",INDEX(상세표[연속 시간],$P2448))</f>
        <v/>
      </c>
      <c r="I2448">
        <f>IF($P2448="","",INDEX(상세표[기록 수],$P2448))</f>
        <v/>
      </c>
      <c r="J2448">
        <f>IF($P2448="","",INDEX(상세표[블록 06~07시],$P2448))</f>
        <v/>
      </c>
      <c r="K2448">
        <f>IF($P2448="","",INDEX(상세표[블록 07~18시],$P2448))</f>
        <v/>
      </c>
      <c r="L2448">
        <f>IF($P2448="","",INDEX(상세표[블록 18~22시],$P2448))</f>
        <v/>
      </c>
      <c r="M2448">
        <f>IF($P2448="","",INDEX(상세표[블록 22~06시],$P2448))</f>
        <v/>
      </c>
      <c r="N2448">
        <f>IF($P2448="","",INDEX(상세표[주말·휴일 포함],$P2448)&amp;"")</f>
        <v/>
      </c>
      <c r="O2448">
        <f>IF($P2448="","",INDEX(상세표[월 넘김 포함],$P2448)&amp;"")</f>
        <v/>
      </c>
      <c r="P2448" s="4">
        <f>IFERROR(MATCH(2443,상세표[연속순번],0),"")</f>
        <v/>
      </c>
    </row>
    <row r="2449">
      <c r="A2449">
        <f>IF($P2449="","",INDEX(상세표[사번],$P2449)&amp;"")</f>
        <v/>
      </c>
      <c r="B2449">
        <f>IF($P2449="","",INDEX(상세표[성명],$P2449)&amp;"")</f>
        <v/>
      </c>
      <c r="C2449">
        <f>IF($P2449="","",INDEX(상세표[부서],$P2449)&amp;"")</f>
        <v/>
      </c>
      <c r="D2449">
        <f>IF($P2449="","",INDEX(상세표[직위],$P2449)&amp;"")</f>
        <v/>
      </c>
      <c r="E2449">
        <f>IF($P2449="","",IF(ISNUMBER(INDEX(상세표[시작],$P2449)),TEXT(INDEX(상세표[시작],$P2449),"yyyy-mm-dd hh:mm"),INDEX(상세표[시작],$P2449)&amp;""))</f>
        <v/>
      </c>
      <c r="F2449">
        <f>IF($P2449="","",IF(ISNUMBER(INDEX(상세표[블록종료],$P2449)),TEXT(INDEX(상세표[블록종료],$P2449),"yyyy-mm-dd hh:mm"),INDEX(상세표[블록종료],$P2449)&amp;""))</f>
        <v/>
      </c>
      <c r="G2449">
        <f>IF($P2449="","",CHOOSE(WEEKDAY(INDEX(상세표[시작],$P2449)),"일","월","화","수","목","금","토"))</f>
        <v/>
      </c>
      <c r="H2449">
        <f>IF($P2449="","",INDEX(상세표[연속 시간],$P2449))</f>
        <v/>
      </c>
      <c r="I2449">
        <f>IF($P2449="","",INDEX(상세표[기록 수],$P2449))</f>
        <v/>
      </c>
      <c r="J2449">
        <f>IF($P2449="","",INDEX(상세표[블록 06~07시],$P2449))</f>
        <v/>
      </c>
      <c r="K2449">
        <f>IF($P2449="","",INDEX(상세표[블록 07~18시],$P2449))</f>
        <v/>
      </c>
      <c r="L2449">
        <f>IF($P2449="","",INDEX(상세표[블록 18~22시],$P2449))</f>
        <v/>
      </c>
      <c r="M2449">
        <f>IF($P2449="","",INDEX(상세표[블록 22~06시],$P2449))</f>
        <v/>
      </c>
      <c r="N2449">
        <f>IF($P2449="","",INDEX(상세표[주말·휴일 포함],$P2449)&amp;"")</f>
        <v/>
      </c>
      <c r="O2449">
        <f>IF($P2449="","",INDEX(상세표[월 넘김 포함],$P2449)&amp;"")</f>
        <v/>
      </c>
      <c r="P2449" s="4">
        <f>IFERROR(MATCH(2444,상세표[연속순번],0),"")</f>
        <v/>
      </c>
    </row>
    <row r="2450">
      <c r="A2450">
        <f>IF($P2450="","",INDEX(상세표[사번],$P2450)&amp;"")</f>
        <v/>
      </c>
      <c r="B2450">
        <f>IF($P2450="","",INDEX(상세표[성명],$P2450)&amp;"")</f>
        <v/>
      </c>
      <c r="C2450">
        <f>IF($P2450="","",INDEX(상세표[부서],$P2450)&amp;"")</f>
        <v/>
      </c>
      <c r="D2450">
        <f>IF($P2450="","",INDEX(상세표[직위],$P2450)&amp;"")</f>
        <v/>
      </c>
      <c r="E2450">
        <f>IF($P2450="","",IF(ISNUMBER(INDEX(상세표[시작],$P2450)),TEXT(INDEX(상세표[시작],$P2450),"yyyy-mm-dd hh:mm"),INDEX(상세표[시작],$P2450)&amp;""))</f>
        <v/>
      </c>
      <c r="F2450">
        <f>IF($P2450="","",IF(ISNUMBER(INDEX(상세표[블록종료],$P2450)),TEXT(INDEX(상세표[블록종료],$P2450),"yyyy-mm-dd hh:mm"),INDEX(상세표[블록종료],$P2450)&amp;""))</f>
        <v/>
      </c>
      <c r="G2450">
        <f>IF($P2450="","",CHOOSE(WEEKDAY(INDEX(상세표[시작],$P2450)),"일","월","화","수","목","금","토"))</f>
        <v/>
      </c>
      <c r="H2450">
        <f>IF($P2450="","",INDEX(상세표[연속 시간],$P2450))</f>
        <v/>
      </c>
      <c r="I2450">
        <f>IF($P2450="","",INDEX(상세표[기록 수],$P2450))</f>
        <v/>
      </c>
      <c r="J2450">
        <f>IF($P2450="","",INDEX(상세표[블록 06~07시],$P2450))</f>
        <v/>
      </c>
      <c r="K2450">
        <f>IF($P2450="","",INDEX(상세표[블록 07~18시],$P2450))</f>
        <v/>
      </c>
      <c r="L2450">
        <f>IF($P2450="","",INDEX(상세표[블록 18~22시],$P2450))</f>
        <v/>
      </c>
      <c r="M2450">
        <f>IF($P2450="","",INDEX(상세표[블록 22~06시],$P2450))</f>
        <v/>
      </c>
      <c r="N2450">
        <f>IF($P2450="","",INDEX(상세표[주말·휴일 포함],$P2450)&amp;"")</f>
        <v/>
      </c>
      <c r="O2450">
        <f>IF($P2450="","",INDEX(상세표[월 넘김 포함],$P2450)&amp;"")</f>
        <v/>
      </c>
      <c r="P2450" s="4">
        <f>IFERROR(MATCH(2445,상세표[연속순번],0),"")</f>
        <v/>
      </c>
    </row>
    <row r="2451">
      <c r="A2451">
        <f>IF($P2451="","",INDEX(상세표[사번],$P2451)&amp;"")</f>
        <v/>
      </c>
      <c r="B2451">
        <f>IF($P2451="","",INDEX(상세표[성명],$P2451)&amp;"")</f>
        <v/>
      </c>
      <c r="C2451">
        <f>IF($P2451="","",INDEX(상세표[부서],$P2451)&amp;"")</f>
        <v/>
      </c>
      <c r="D2451">
        <f>IF($P2451="","",INDEX(상세표[직위],$P2451)&amp;"")</f>
        <v/>
      </c>
      <c r="E2451">
        <f>IF($P2451="","",IF(ISNUMBER(INDEX(상세표[시작],$P2451)),TEXT(INDEX(상세표[시작],$P2451),"yyyy-mm-dd hh:mm"),INDEX(상세표[시작],$P2451)&amp;""))</f>
        <v/>
      </c>
      <c r="F2451">
        <f>IF($P2451="","",IF(ISNUMBER(INDEX(상세표[블록종료],$P2451)),TEXT(INDEX(상세표[블록종료],$P2451),"yyyy-mm-dd hh:mm"),INDEX(상세표[블록종료],$P2451)&amp;""))</f>
        <v/>
      </c>
      <c r="G2451">
        <f>IF($P2451="","",CHOOSE(WEEKDAY(INDEX(상세표[시작],$P2451)),"일","월","화","수","목","금","토"))</f>
        <v/>
      </c>
      <c r="H2451">
        <f>IF($P2451="","",INDEX(상세표[연속 시간],$P2451))</f>
        <v/>
      </c>
      <c r="I2451">
        <f>IF($P2451="","",INDEX(상세표[기록 수],$P2451))</f>
        <v/>
      </c>
      <c r="J2451">
        <f>IF($P2451="","",INDEX(상세표[블록 06~07시],$P2451))</f>
        <v/>
      </c>
      <c r="K2451">
        <f>IF($P2451="","",INDEX(상세표[블록 07~18시],$P2451))</f>
        <v/>
      </c>
      <c r="L2451">
        <f>IF($P2451="","",INDEX(상세표[블록 18~22시],$P2451))</f>
        <v/>
      </c>
      <c r="M2451">
        <f>IF($P2451="","",INDEX(상세표[블록 22~06시],$P2451))</f>
        <v/>
      </c>
      <c r="N2451">
        <f>IF($P2451="","",INDEX(상세표[주말·휴일 포함],$P2451)&amp;"")</f>
        <v/>
      </c>
      <c r="O2451">
        <f>IF($P2451="","",INDEX(상세표[월 넘김 포함],$P2451)&amp;"")</f>
        <v/>
      </c>
      <c r="P2451" s="4">
        <f>IFERROR(MATCH(2446,상세표[연속순번],0),"")</f>
        <v/>
      </c>
    </row>
    <row r="2452">
      <c r="A2452">
        <f>IF($P2452="","",INDEX(상세표[사번],$P2452)&amp;"")</f>
        <v/>
      </c>
      <c r="B2452">
        <f>IF($P2452="","",INDEX(상세표[성명],$P2452)&amp;"")</f>
        <v/>
      </c>
      <c r="C2452">
        <f>IF($P2452="","",INDEX(상세표[부서],$P2452)&amp;"")</f>
        <v/>
      </c>
      <c r="D2452">
        <f>IF($P2452="","",INDEX(상세표[직위],$P2452)&amp;"")</f>
        <v/>
      </c>
      <c r="E2452">
        <f>IF($P2452="","",IF(ISNUMBER(INDEX(상세표[시작],$P2452)),TEXT(INDEX(상세표[시작],$P2452),"yyyy-mm-dd hh:mm"),INDEX(상세표[시작],$P2452)&amp;""))</f>
        <v/>
      </c>
      <c r="F2452">
        <f>IF($P2452="","",IF(ISNUMBER(INDEX(상세표[블록종료],$P2452)),TEXT(INDEX(상세표[블록종료],$P2452),"yyyy-mm-dd hh:mm"),INDEX(상세표[블록종료],$P2452)&amp;""))</f>
        <v/>
      </c>
      <c r="G2452">
        <f>IF($P2452="","",CHOOSE(WEEKDAY(INDEX(상세표[시작],$P2452)),"일","월","화","수","목","금","토"))</f>
        <v/>
      </c>
      <c r="H2452">
        <f>IF($P2452="","",INDEX(상세표[연속 시간],$P2452))</f>
        <v/>
      </c>
      <c r="I2452">
        <f>IF($P2452="","",INDEX(상세표[기록 수],$P2452))</f>
        <v/>
      </c>
      <c r="J2452">
        <f>IF($P2452="","",INDEX(상세표[블록 06~07시],$P2452))</f>
        <v/>
      </c>
      <c r="K2452">
        <f>IF($P2452="","",INDEX(상세표[블록 07~18시],$P2452))</f>
        <v/>
      </c>
      <c r="L2452">
        <f>IF($P2452="","",INDEX(상세표[블록 18~22시],$P2452))</f>
        <v/>
      </c>
      <c r="M2452">
        <f>IF($P2452="","",INDEX(상세표[블록 22~06시],$P2452))</f>
        <v/>
      </c>
      <c r="N2452">
        <f>IF($P2452="","",INDEX(상세표[주말·휴일 포함],$P2452)&amp;"")</f>
        <v/>
      </c>
      <c r="O2452">
        <f>IF($P2452="","",INDEX(상세표[월 넘김 포함],$P2452)&amp;"")</f>
        <v/>
      </c>
      <c r="P2452" s="4">
        <f>IFERROR(MATCH(2447,상세표[연속순번],0),"")</f>
        <v/>
      </c>
    </row>
    <row r="2453">
      <c r="A2453">
        <f>IF($P2453="","",INDEX(상세표[사번],$P2453)&amp;"")</f>
        <v/>
      </c>
      <c r="B2453">
        <f>IF($P2453="","",INDEX(상세표[성명],$P2453)&amp;"")</f>
        <v/>
      </c>
      <c r="C2453">
        <f>IF($P2453="","",INDEX(상세표[부서],$P2453)&amp;"")</f>
        <v/>
      </c>
      <c r="D2453">
        <f>IF($P2453="","",INDEX(상세표[직위],$P2453)&amp;"")</f>
        <v/>
      </c>
      <c r="E2453">
        <f>IF($P2453="","",IF(ISNUMBER(INDEX(상세표[시작],$P2453)),TEXT(INDEX(상세표[시작],$P2453),"yyyy-mm-dd hh:mm"),INDEX(상세표[시작],$P2453)&amp;""))</f>
        <v/>
      </c>
      <c r="F2453">
        <f>IF($P2453="","",IF(ISNUMBER(INDEX(상세표[블록종료],$P2453)),TEXT(INDEX(상세표[블록종료],$P2453),"yyyy-mm-dd hh:mm"),INDEX(상세표[블록종료],$P2453)&amp;""))</f>
        <v/>
      </c>
      <c r="G2453">
        <f>IF($P2453="","",CHOOSE(WEEKDAY(INDEX(상세표[시작],$P2453)),"일","월","화","수","목","금","토"))</f>
        <v/>
      </c>
      <c r="H2453">
        <f>IF($P2453="","",INDEX(상세표[연속 시간],$P2453))</f>
        <v/>
      </c>
      <c r="I2453">
        <f>IF($P2453="","",INDEX(상세표[기록 수],$P2453))</f>
        <v/>
      </c>
      <c r="J2453">
        <f>IF($P2453="","",INDEX(상세표[블록 06~07시],$P2453))</f>
        <v/>
      </c>
      <c r="K2453">
        <f>IF($P2453="","",INDEX(상세표[블록 07~18시],$P2453))</f>
        <v/>
      </c>
      <c r="L2453">
        <f>IF($P2453="","",INDEX(상세표[블록 18~22시],$P2453))</f>
        <v/>
      </c>
      <c r="M2453">
        <f>IF($P2453="","",INDEX(상세표[블록 22~06시],$P2453))</f>
        <v/>
      </c>
      <c r="N2453">
        <f>IF($P2453="","",INDEX(상세표[주말·휴일 포함],$P2453)&amp;"")</f>
        <v/>
      </c>
      <c r="O2453">
        <f>IF($P2453="","",INDEX(상세표[월 넘김 포함],$P2453)&amp;"")</f>
        <v/>
      </c>
      <c r="P2453" s="4">
        <f>IFERROR(MATCH(2448,상세표[연속순번],0),"")</f>
        <v/>
      </c>
    </row>
    <row r="2454">
      <c r="A2454">
        <f>IF($P2454="","",INDEX(상세표[사번],$P2454)&amp;"")</f>
        <v/>
      </c>
      <c r="B2454">
        <f>IF($P2454="","",INDEX(상세표[성명],$P2454)&amp;"")</f>
        <v/>
      </c>
      <c r="C2454">
        <f>IF($P2454="","",INDEX(상세표[부서],$P2454)&amp;"")</f>
        <v/>
      </c>
      <c r="D2454">
        <f>IF($P2454="","",INDEX(상세표[직위],$P2454)&amp;"")</f>
        <v/>
      </c>
      <c r="E2454">
        <f>IF($P2454="","",IF(ISNUMBER(INDEX(상세표[시작],$P2454)),TEXT(INDEX(상세표[시작],$P2454),"yyyy-mm-dd hh:mm"),INDEX(상세표[시작],$P2454)&amp;""))</f>
        <v/>
      </c>
      <c r="F2454">
        <f>IF($P2454="","",IF(ISNUMBER(INDEX(상세표[블록종료],$P2454)),TEXT(INDEX(상세표[블록종료],$P2454),"yyyy-mm-dd hh:mm"),INDEX(상세표[블록종료],$P2454)&amp;""))</f>
        <v/>
      </c>
      <c r="G2454">
        <f>IF($P2454="","",CHOOSE(WEEKDAY(INDEX(상세표[시작],$P2454)),"일","월","화","수","목","금","토"))</f>
        <v/>
      </c>
      <c r="H2454">
        <f>IF($P2454="","",INDEX(상세표[연속 시간],$P2454))</f>
        <v/>
      </c>
      <c r="I2454">
        <f>IF($P2454="","",INDEX(상세표[기록 수],$P2454))</f>
        <v/>
      </c>
      <c r="J2454">
        <f>IF($P2454="","",INDEX(상세표[블록 06~07시],$P2454))</f>
        <v/>
      </c>
      <c r="K2454">
        <f>IF($P2454="","",INDEX(상세표[블록 07~18시],$P2454))</f>
        <v/>
      </c>
      <c r="L2454">
        <f>IF($P2454="","",INDEX(상세표[블록 18~22시],$P2454))</f>
        <v/>
      </c>
      <c r="M2454">
        <f>IF($P2454="","",INDEX(상세표[블록 22~06시],$P2454))</f>
        <v/>
      </c>
      <c r="N2454">
        <f>IF($P2454="","",INDEX(상세표[주말·휴일 포함],$P2454)&amp;"")</f>
        <v/>
      </c>
      <c r="O2454">
        <f>IF($P2454="","",INDEX(상세표[월 넘김 포함],$P2454)&amp;"")</f>
        <v/>
      </c>
      <c r="P2454" s="4">
        <f>IFERROR(MATCH(2449,상세표[연속순번],0),"")</f>
        <v/>
      </c>
    </row>
    <row r="2455">
      <c r="A2455">
        <f>IF($P2455="","",INDEX(상세표[사번],$P2455)&amp;"")</f>
        <v/>
      </c>
      <c r="B2455">
        <f>IF($P2455="","",INDEX(상세표[성명],$P2455)&amp;"")</f>
        <v/>
      </c>
      <c r="C2455">
        <f>IF($P2455="","",INDEX(상세표[부서],$P2455)&amp;"")</f>
        <v/>
      </c>
      <c r="D2455">
        <f>IF($P2455="","",INDEX(상세표[직위],$P2455)&amp;"")</f>
        <v/>
      </c>
      <c r="E2455">
        <f>IF($P2455="","",IF(ISNUMBER(INDEX(상세표[시작],$P2455)),TEXT(INDEX(상세표[시작],$P2455),"yyyy-mm-dd hh:mm"),INDEX(상세표[시작],$P2455)&amp;""))</f>
        <v/>
      </c>
      <c r="F2455">
        <f>IF($P2455="","",IF(ISNUMBER(INDEX(상세표[블록종료],$P2455)),TEXT(INDEX(상세표[블록종료],$P2455),"yyyy-mm-dd hh:mm"),INDEX(상세표[블록종료],$P2455)&amp;""))</f>
        <v/>
      </c>
      <c r="G2455">
        <f>IF($P2455="","",CHOOSE(WEEKDAY(INDEX(상세표[시작],$P2455)),"일","월","화","수","목","금","토"))</f>
        <v/>
      </c>
      <c r="H2455">
        <f>IF($P2455="","",INDEX(상세표[연속 시간],$P2455))</f>
        <v/>
      </c>
      <c r="I2455">
        <f>IF($P2455="","",INDEX(상세표[기록 수],$P2455))</f>
        <v/>
      </c>
      <c r="J2455">
        <f>IF($P2455="","",INDEX(상세표[블록 06~07시],$P2455))</f>
        <v/>
      </c>
      <c r="K2455">
        <f>IF($P2455="","",INDEX(상세표[블록 07~18시],$P2455))</f>
        <v/>
      </c>
      <c r="L2455">
        <f>IF($P2455="","",INDEX(상세표[블록 18~22시],$P2455))</f>
        <v/>
      </c>
      <c r="M2455">
        <f>IF($P2455="","",INDEX(상세표[블록 22~06시],$P2455))</f>
        <v/>
      </c>
      <c r="N2455">
        <f>IF($P2455="","",INDEX(상세표[주말·휴일 포함],$P2455)&amp;"")</f>
        <v/>
      </c>
      <c r="O2455">
        <f>IF($P2455="","",INDEX(상세표[월 넘김 포함],$P2455)&amp;"")</f>
        <v/>
      </c>
      <c r="P2455" s="4">
        <f>IFERROR(MATCH(2450,상세표[연속순번],0),"")</f>
        <v/>
      </c>
    </row>
    <row r="2456">
      <c r="A2456">
        <f>IF($P2456="","",INDEX(상세표[사번],$P2456)&amp;"")</f>
        <v/>
      </c>
      <c r="B2456">
        <f>IF($P2456="","",INDEX(상세표[성명],$P2456)&amp;"")</f>
        <v/>
      </c>
      <c r="C2456">
        <f>IF($P2456="","",INDEX(상세표[부서],$P2456)&amp;"")</f>
        <v/>
      </c>
      <c r="D2456">
        <f>IF($P2456="","",INDEX(상세표[직위],$P2456)&amp;"")</f>
        <v/>
      </c>
      <c r="E2456">
        <f>IF($P2456="","",IF(ISNUMBER(INDEX(상세표[시작],$P2456)),TEXT(INDEX(상세표[시작],$P2456),"yyyy-mm-dd hh:mm"),INDEX(상세표[시작],$P2456)&amp;""))</f>
        <v/>
      </c>
      <c r="F2456">
        <f>IF($P2456="","",IF(ISNUMBER(INDEX(상세표[블록종료],$P2456)),TEXT(INDEX(상세표[블록종료],$P2456),"yyyy-mm-dd hh:mm"),INDEX(상세표[블록종료],$P2456)&amp;""))</f>
        <v/>
      </c>
      <c r="G2456">
        <f>IF($P2456="","",CHOOSE(WEEKDAY(INDEX(상세표[시작],$P2456)),"일","월","화","수","목","금","토"))</f>
        <v/>
      </c>
      <c r="H2456">
        <f>IF($P2456="","",INDEX(상세표[연속 시간],$P2456))</f>
        <v/>
      </c>
      <c r="I2456">
        <f>IF($P2456="","",INDEX(상세표[기록 수],$P2456))</f>
        <v/>
      </c>
      <c r="J2456">
        <f>IF($P2456="","",INDEX(상세표[블록 06~07시],$P2456))</f>
        <v/>
      </c>
      <c r="K2456">
        <f>IF($P2456="","",INDEX(상세표[블록 07~18시],$P2456))</f>
        <v/>
      </c>
      <c r="L2456">
        <f>IF($P2456="","",INDEX(상세표[블록 18~22시],$P2456))</f>
        <v/>
      </c>
      <c r="M2456">
        <f>IF($P2456="","",INDEX(상세표[블록 22~06시],$P2456))</f>
        <v/>
      </c>
      <c r="N2456">
        <f>IF($P2456="","",INDEX(상세표[주말·휴일 포함],$P2456)&amp;"")</f>
        <v/>
      </c>
      <c r="O2456">
        <f>IF($P2456="","",INDEX(상세표[월 넘김 포함],$P2456)&amp;"")</f>
        <v/>
      </c>
      <c r="P2456" s="4">
        <f>IFERROR(MATCH(2451,상세표[연속순번],0),"")</f>
        <v/>
      </c>
    </row>
    <row r="2457">
      <c r="A2457">
        <f>IF($P2457="","",INDEX(상세표[사번],$P2457)&amp;"")</f>
        <v/>
      </c>
      <c r="B2457">
        <f>IF($P2457="","",INDEX(상세표[성명],$P2457)&amp;"")</f>
        <v/>
      </c>
      <c r="C2457">
        <f>IF($P2457="","",INDEX(상세표[부서],$P2457)&amp;"")</f>
        <v/>
      </c>
      <c r="D2457">
        <f>IF($P2457="","",INDEX(상세표[직위],$P2457)&amp;"")</f>
        <v/>
      </c>
      <c r="E2457">
        <f>IF($P2457="","",IF(ISNUMBER(INDEX(상세표[시작],$P2457)),TEXT(INDEX(상세표[시작],$P2457),"yyyy-mm-dd hh:mm"),INDEX(상세표[시작],$P2457)&amp;""))</f>
        <v/>
      </c>
      <c r="F2457">
        <f>IF($P2457="","",IF(ISNUMBER(INDEX(상세표[블록종료],$P2457)),TEXT(INDEX(상세표[블록종료],$P2457),"yyyy-mm-dd hh:mm"),INDEX(상세표[블록종료],$P2457)&amp;""))</f>
        <v/>
      </c>
      <c r="G2457">
        <f>IF($P2457="","",CHOOSE(WEEKDAY(INDEX(상세표[시작],$P2457)),"일","월","화","수","목","금","토"))</f>
        <v/>
      </c>
      <c r="H2457">
        <f>IF($P2457="","",INDEX(상세표[연속 시간],$P2457))</f>
        <v/>
      </c>
      <c r="I2457">
        <f>IF($P2457="","",INDEX(상세표[기록 수],$P2457))</f>
        <v/>
      </c>
      <c r="J2457">
        <f>IF($P2457="","",INDEX(상세표[블록 06~07시],$P2457))</f>
        <v/>
      </c>
      <c r="K2457">
        <f>IF($P2457="","",INDEX(상세표[블록 07~18시],$P2457))</f>
        <v/>
      </c>
      <c r="L2457">
        <f>IF($P2457="","",INDEX(상세표[블록 18~22시],$P2457))</f>
        <v/>
      </c>
      <c r="M2457">
        <f>IF($P2457="","",INDEX(상세표[블록 22~06시],$P2457))</f>
        <v/>
      </c>
      <c r="N2457">
        <f>IF($P2457="","",INDEX(상세표[주말·휴일 포함],$P2457)&amp;"")</f>
        <v/>
      </c>
      <c r="O2457">
        <f>IF($P2457="","",INDEX(상세표[월 넘김 포함],$P2457)&amp;"")</f>
        <v/>
      </c>
      <c r="P2457" s="4">
        <f>IFERROR(MATCH(2452,상세표[연속순번],0),"")</f>
        <v/>
      </c>
    </row>
    <row r="2458">
      <c r="A2458">
        <f>IF($P2458="","",INDEX(상세표[사번],$P2458)&amp;"")</f>
        <v/>
      </c>
      <c r="B2458">
        <f>IF($P2458="","",INDEX(상세표[성명],$P2458)&amp;"")</f>
        <v/>
      </c>
      <c r="C2458">
        <f>IF($P2458="","",INDEX(상세표[부서],$P2458)&amp;"")</f>
        <v/>
      </c>
      <c r="D2458">
        <f>IF($P2458="","",INDEX(상세표[직위],$P2458)&amp;"")</f>
        <v/>
      </c>
      <c r="E2458">
        <f>IF($P2458="","",IF(ISNUMBER(INDEX(상세표[시작],$P2458)),TEXT(INDEX(상세표[시작],$P2458),"yyyy-mm-dd hh:mm"),INDEX(상세표[시작],$P2458)&amp;""))</f>
        <v/>
      </c>
      <c r="F2458">
        <f>IF($P2458="","",IF(ISNUMBER(INDEX(상세표[블록종료],$P2458)),TEXT(INDEX(상세표[블록종료],$P2458),"yyyy-mm-dd hh:mm"),INDEX(상세표[블록종료],$P2458)&amp;""))</f>
        <v/>
      </c>
      <c r="G2458">
        <f>IF($P2458="","",CHOOSE(WEEKDAY(INDEX(상세표[시작],$P2458)),"일","월","화","수","목","금","토"))</f>
        <v/>
      </c>
      <c r="H2458">
        <f>IF($P2458="","",INDEX(상세표[연속 시간],$P2458))</f>
        <v/>
      </c>
      <c r="I2458">
        <f>IF($P2458="","",INDEX(상세표[기록 수],$P2458))</f>
        <v/>
      </c>
      <c r="J2458">
        <f>IF($P2458="","",INDEX(상세표[블록 06~07시],$P2458))</f>
        <v/>
      </c>
      <c r="K2458">
        <f>IF($P2458="","",INDEX(상세표[블록 07~18시],$P2458))</f>
        <v/>
      </c>
      <c r="L2458">
        <f>IF($P2458="","",INDEX(상세표[블록 18~22시],$P2458))</f>
        <v/>
      </c>
      <c r="M2458">
        <f>IF($P2458="","",INDEX(상세표[블록 22~06시],$P2458))</f>
        <v/>
      </c>
      <c r="N2458">
        <f>IF($P2458="","",INDEX(상세표[주말·휴일 포함],$P2458)&amp;"")</f>
        <v/>
      </c>
      <c r="O2458">
        <f>IF($P2458="","",INDEX(상세표[월 넘김 포함],$P2458)&amp;"")</f>
        <v/>
      </c>
      <c r="P2458" s="4">
        <f>IFERROR(MATCH(2453,상세표[연속순번],0),"")</f>
        <v/>
      </c>
    </row>
    <row r="2459">
      <c r="A2459">
        <f>IF($P2459="","",INDEX(상세표[사번],$P2459)&amp;"")</f>
        <v/>
      </c>
      <c r="B2459">
        <f>IF($P2459="","",INDEX(상세표[성명],$P2459)&amp;"")</f>
        <v/>
      </c>
      <c r="C2459">
        <f>IF($P2459="","",INDEX(상세표[부서],$P2459)&amp;"")</f>
        <v/>
      </c>
      <c r="D2459">
        <f>IF($P2459="","",INDEX(상세표[직위],$P2459)&amp;"")</f>
        <v/>
      </c>
      <c r="E2459">
        <f>IF($P2459="","",IF(ISNUMBER(INDEX(상세표[시작],$P2459)),TEXT(INDEX(상세표[시작],$P2459),"yyyy-mm-dd hh:mm"),INDEX(상세표[시작],$P2459)&amp;""))</f>
        <v/>
      </c>
      <c r="F2459">
        <f>IF($P2459="","",IF(ISNUMBER(INDEX(상세표[블록종료],$P2459)),TEXT(INDEX(상세표[블록종료],$P2459),"yyyy-mm-dd hh:mm"),INDEX(상세표[블록종료],$P2459)&amp;""))</f>
        <v/>
      </c>
      <c r="G2459">
        <f>IF($P2459="","",CHOOSE(WEEKDAY(INDEX(상세표[시작],$P2459)),"일","월","화","수","목","금","토"))</f>
        <v/>
      </c>
      <c r="H2459">
        <f>IF($P2459="","",INDEX(상세표[연속 시간],$P2459))</f>
        <v/>
      </c>
      <c r="I2459">
        <f>IF($P2459="","",INDEX(상세표[기록 수],$P2459))</f>
        <v/>
      </c>
      <c r="J2459">
        <f>IF($P2459="","",INDEX(상세표[블록 06~07시],$P2459))</f>
        <v/>
      </c>
      <c r="K2459">
        <f>IF($P2459="","",INDEX(상세표[블록 07~18시],$P2459))</f>
        <v/>
      </c>
      <c r="L2459">
        <f>IF($P2459="","",INDEX(상세표[블록 18~22시],$P2459))</f>
        <v/>
      </c>
      <c r="M2459">
        <f>IF($P2459="","",INDEX(상세표[블록 22~06시],$P2459))</f>
        <v/>
      </c>
      <c r="N2459">
        <f>IF($P2459="","",INDEX(상세표[주말·휴일 포함],$P2459)&amp;"")</f>
        <v/>
      </c>
      <c r="O2459">
        <f>IF($P2459="","",INDEX(상세표[월 넘김 포함],$P2459)&amp;"")</f>
        <v/>
      </c>
      <c r="P2459" s="4">
        <f>IFERROR(MATCH(2454,상세표[연속순번],0),"")</f>
        <v/>
      </c>
    </row>
    <row r="2460">
      <c r="A2460">
        <f>IF($P2460="","",INDEX(상세표[사번],$P2460)&amp;"")</f>
        <v/>
      </c>
      <c r="B2460">
        <f>IF($P2460="","",INDEX(상세표[성명],$P2460)&amp;"")</f>
        <v/>
      </c>
      <c r="C2460">
        <f>IF($P2460="","",INDEX(상세표[부서],$P2460)&amp;"")</f>
        <v/>
      </c>
      <c r="D2460">
        <f>IF($P2460="","",INDEX(상세표[직위],$P2460)&amp;"")</f>
        <v/>
      </c>
      <c r="E2460">
        <f>IF($P2460="","",IF(ISNUMBER(INDEX(상세표[시작],$P2460)),TEXT(INDEX(상세표[시작],$P2460),"yyyy-mm-dd hh:mm"),INDEX(상세표[시작],$P2460)&amp;""))</f>
        <v/>
      </c>
      <c r="F2460">
        <f>IF($P2460="","",IF(ISNUMBER(INDEX(상세표[블록종료],$P2460)),TEXT(INDEX(상세표[블록종료],$P2460),"yyyy-mm-dd hh:mm"),INDEX(상세표[블록종료],$P2460)&amp;""))</f>
        <v/>
      </c>
      <c r="G2460">
        <f>IF($P2460="","",CHOOSE(WEEKDAY(INDEX(상세표[시작],$P2460)),"일","월","화","수","목","금","토"))</f>
        <v/>
      </c>
      <c r="H2460">
        <f>IF($P2460="","",INDEX(상세표[연속 시간],$P2460))</f>
        <v/>
      </c>
      <c r="I2460">
        <f>IF($P2460="","",INDEX(상세표[기록 수],$P2460))</f>
        <v/>
      </c>
      <c r="J2460">
        <f>IF($P2460="","",INDEX(상세표[블록 06~07시],$P2460))</f>
        <v/>
      </c>
      <c r="K2460">
        <f>IF($P2460="","",INDEX(상세표[블록 07~18시],$P2460))</f>
        <v/>
      </c>
      <c r="L2460">
        <f>IF($P2460="","",INDEX(상세표[블록 18~22시],$P2460))</f>
        <v/>
      </c>
      <c r="M2460">
        <f>IF($P2460="","",INDEX(상세표[블록 22~06시],$P2460))</f>
        <v/>
      </c>
      <c r="N2460">
        <f>IF($P2460="","",INDEX(상세표[주말·휴일 포함],$P2460)&amp;"")</f>
        <v/>
      </c>
      <c r="O2460">
        <f>IF($P2460="","",INDEX(상세표[월 넘김 포함],$P2460)&amp;"")</f>
        <v/>
      </c>
      <c r="P2460" s="4">
        <f>IFERROR(MATCH(2455,상세표[연속순번],0),"")</f>
        <v/>
      </c>
    </row>
    <row r="2461">
      <c r="A2461">
        <f>IF($P2461="","",INDEX(상세표[사번],$P2461)&amp;"")</f>
        <v/>
      </c>
      <c r="B2461">
        <f>IF($P2461="","",INDEX(상세표[성명],$P2461)&amp;"")</f>
        <v/>
      </c>
      <c r="C2461">
        <f>IF($P2461="","",INDEX(상세표[부서],$P2461)&amp;"")</f>
        <v/>
      </c>
      <c r="D2461">
        <f>IF($P2461="","",INDEX(상세표[직위],$P2461)&amp;"")</f>
        <v/>
      </c>
      <c r="E2461">
        <f>IF($P2461="","",IF(ISNUMBER(INDEX(상세표[시작],$P2461)),TEXT(INDEX(상세표[시작],$P2461),"yyyy-mm-dd hh:mm"),INDEX(상세표[시작],$P2461)&amp;""))</f>
        <v/>
      </c>
      <c r="F2461">
        <f>IF($P2461="","",IF(ISNUMBER(INDEX(상세표[블록종료],$P2461)),TEXT(INDEX(상세표[블록종료],$P2461),"yyyy-mm-dd hh:mm"),INDEX(상세표[블록종료],$P2461)&amp;""))</f>
        <v/>
      </c>
      <c r="G2461">
        <f>IF($P2461="","",CHOOSE(WEEKDAY(INDEX(상세표[시작],$P2461)),"일","월","화","수","목","금","토"))</f>
        <v/>
      </c>
      <c r="H2461">
        <f>IF($P2461="","",INDEX(상세표[연속 시간],$P2461))</f>
        <v/>
      </c>
      <c r="I2461">
        <f>IF($P2461="","",INDEX(상세표[기록 수],$P2461))</f>
        <v/>
      </c>
      <c r="J2461">
        <f>IF($P2461="","",INDEX(상세표[블록 06~07시],$P2461))</f>
        <v/>
      </c>
      <c r="K2461">
        <f>IF($P2461="","",INDEX(상세표[블록 07~18시],$P2461))</f>
        <v/>
      </c>
      <c r="L2461">
        <f>IF($P2461="","",INDEX(상세표[블록 18~22시],$P2461))</f>
        <v/>
      </c>
      <c r="M2461">
        <f>IF($P2461="","",INDEX(상세표[블록 22~06시],$P2461))</f>
        <v/>
      </c>
      <c r="N2461">
        <f>IF($P2461="","",INDEX(상세표[주말·휴일 포함],$P2461)&amp;"")</f>
        <v/>
      </c>
      <c r="O2461">
        <f>IF($P2461="","",INDEX(상세표[월 넘김 포함],$P2461)&amp;"")</f>
        <v/>
      </c>
      <c r="P2461" s="4">
        <f>IFERROR(MATCH(2456,상세표[연속순번],0),"")</f>
        <v/>
      </c>
    </row>
    <row r="2462">
      <c r="A2462">
        <f>IF($P2462="","",INDEX(상세표[사번],$P2462)&amp;"")</f>
        <v/>
      </c>
      <c r="B2462">
        <f>IF($P2462="","",INDEX(상세표[성명],$P2462)&amp;"")</f>
        <v/>
      </c>
      <c r="C2462">
        <f>IF($P2462="","",INDEX(상세표[부서],$P2462)&amp;"")</f>
        <v/>
      </c>
      <c r="D2462">
        <f>IF($P2462="","",INDEX(상세표[직위],$P2462)&amp;"")</f>
        <v/>
      </c>
      <c r="E2462">
        <f>IF($P2462="","",IF(ISNUMBER(INDEX(상세표[시작],$P2462)),TEXT(INDEX(상세표[시작],$P2462),"yyyy-mm-dd hh:mm"),INDEX(상세표[시작],$P2462)&amp;""))</f>
        <v/>
      </c>
      <c r="F2462">
        <f>IF($P2462="","",IF(ISNUMBER(INDEX(상세표[블록종료],$P2462)),TEXT(INDEX(상세표[블록종료],$P2462),"yyyy-mm-dd hh:mm"),INDEX(상세표[블록종료],$P2462)&amp;""))</f>
        <v/>
      </c>
      <c r="G2462">
        <f>IF($P2462="","",CHOOSE(WEEKDAY(INDEX(상세표[시작],$P2462)),"일","월","화","수","목","금","토"))</f>
        <v/>
      </c>
      <c r="H2462">
        <f>IF($P2462="","",INDEX(상세표[연속 시간],$P2462))</f>
        <v/>
      </c>
      <c r="I2462">
        <f>IF($P2462="","",INDEX(상세표[기록 수],$P2462))</f>
        <v/>
      </c>
      <c r="J2462">
        <f>IF($P2462="","",INDEX(상세표[블록 06~07시],$P2462))</f>
        <v/>
      </c>
      <c r="K2462">
        <f>IF($P2462="","",INDEX(상세표[블록 07~18시],$P2462))</f>
        <v/>
      </c>
      <c r="L2462">
        <f>IF($P2462="","",INDEX(상세표[블록 18~22시],$P2462))</f>
        <v/>
      </c>
      <c r="M2462">
        <f>IF($P2462="","",INDEX(상세표[블록 22~06시],$P2462))</f>
        <v/>
      </c>
      <c r="N2462">
        <f>IF($P2462="","",INDEX(상세표[주말·휴일 포함],$P2462)&amp;"")</f>
        <v/>
      </c>
      <c r="O2462">
        <f>IF($P2462="","",INDEX(상세표[월 넘김 포함],$P2462)&amp;"")</f>
        <v/>
      </c>
      <c r="P2462" s="4">
        <f>IFERROR(MATCH(2457,상세표[연속순번],0),"")</f>
        <v/>
      </c>
    </row>
    <row r="2463">
      <c r="A2463">
        <f>IF($P2463="","",INDEX(상세표[사번],$P2463)&amp;"")</f>
        <v/>
      </c>
      <c r="B2463">
        <f>IF($P2463="","",INDEX(상세표[성명],$P2463)&amp;"")</f>
        <v/>
      </c>
      <c r="C2463">
        <f>IF($P2463="","",INDEX(상세표[부서],$P2463)&amp;"")</f>
        <v/>
      </c>
      <c r="D2463">
        <f>IF($P2463="","",INDEX(상세표[직위],$P2463)&amp;"")</f>
        <v/>
      </c>
      <c r="E2463">
        <f>IF($P2463="","",IF(ISNUMBER(INDEX(상세표[시작],$P2463)),TEXT(INDEX(상세표[시작],$P2463),"yyyy-mm-dd hh:mm"),INDEX(상세표[시작],$P2463)&amp;""))</f>
        <v/>
      </c>
      <c r="F2463">
        <f>IF($P2463="","",IF(ISNUMBER(INDEX(상세표[블록종료],$P2463)),TEXT(INDEX(상세표[블록종료],$P2463),"yyyy-mm-dd hh:mm"),INDEX(상세표[블록종료],$P2463)&amp;""))</f>
        <v/>
      </c>
      <c r="G2463">
        <f>IF($P2463="","",CHOOSE(WEEKDAY(INDEX(상세표[시작],$P2463)),"일","월","화","수","목","금","토"))</f>
        <v/>
      </c>
      <c r="H2463">
        <f>IF($P2463="","",INDEX(상세표[연속 시간],$P2463))</f>
        <v/>
      </c>
      <c r="I2463">
        <f>IF($P2463="","",INDEX(상세표[기록 수],$P2463))</f>
        <v/>
      </c>
      <c r="J2463">
        <f>IF($P2463="","",INDEX(상세표[블록 06~07시],$P2463))</f>
        <v/>
      </c>
      <c r="K2463">
        <f>IF($P2463="","",INDEX(상세표[블록 07~18시],$P2463))</f>
        <v/>
      </c>
      <c r="L2463">
        <f>IF($P2463="","",INDEX(상세표[블록 18~22시],$P2463))</f>
        <v/>
      </c>
      <c r="M2463">
        <f>IF($P2463="","",INDEX(상세표[블록 22~06시],$P2463))</f>
        <v/>
      </c>
      <c r="N2463">
        <f>IF($P2463="","",INDEX(상세표[주말·휴일 포함],$P2463)&amp;"")</f>
        <v/>
      </c>
      <c r="O2463">
        <f>IF($P2463="","",INDEX(상세표[월 넘김 포함],$P2463)&amp;"")</f>
        <v/>
      </c>
      <c r="P2463" s="4">
        <f>IFERROR(MATCH(2458,상세표[연속순번],0),"")</f>
        <v/>
      </c>
    </row>
    <row r="2464">
      <c r="A2464">
        <f>IF($P2464="","",INDEX(상세표[사번],$P2464)&amp;"")</f>
        <v/>
      </c>
      <c r="B2464">
        <f>IF($P2464="","",INDEX(상세표[성명],$P2464)&amp;"")</f>
        <v/>
      </c>
      <c r="C2464">
        <f>IF($P2464="","",INDEX(상세표[부서],$P2464)&amp;"")</f>
        <v/>
      </c>
      <c r="D2464">
        <f>IF($P2464="","",INDEX(상세표[직위],$P2464)&amp;"")</f>
        <v/>
      </c>
      <c r="E2464">
        <f>IF($P2464="","",IF(ISNUMBER(INDEX(상세표[시작],$P2464)),TEXT(INDEX(상세표[시작],$P2464),"yyyy-mm-dd hh:mm"),INDEX(상세표[시작],$P2464)&amp;""))</f>
        <v/>
      </c>
      <c r="F2464">
        <f>IF($P2464="","",IF(ISNUMBER(INDEX(상세표[블록종료],$P2464)),TEXT(INDEX(상세표[블록종료],$P2464),"yyyy-mm-dd hh:mm"),INDEX(상세표[블록종료],$P2464)&amp;""))</f>
        <v/>
      </c>
      <c r="G2464">
        <f>IF($P2464="","",CHOOSE(WEEKDAY(INDEX(상세표[시작],$P2464)),"일","월","화","수","목","금","토"))</f>
        <v/>
      </c>
      <c r="H2464">
        <f>IF($P2464="","",INDEX(상세표[연속 시간],$P2464))</f>
        <v/>
      </c>
      <c r="I2464">
        <f>IF($P2464="","",INDEX(상세표[기록 수],$P2464))</f>
        <v/>
      </c>
      <c r="J2464">
        <f>IF($P2464="","",INDEX(상세표[블록 06~07시],$P2464))</f>
        <v/>
      </c>
      <c r="K2464">
        <f>IF($P2464="","",INDEX(상세표[블록 07~18시],$P2464))</f>
        <v/>
      </c>
      <c r="L2464">
        <f>IF($P2464="","",INDEX(상세표[블록 18~22시],$P2464))</f>
        <v/>
      </c>
      <c r="M2464">
        <f>IF($P2464="","",INDEX(상세표[블록 22~06시],$P2464))</f>
        <v/>
      </c>
      <c r="N2464">
        <f>IF($P2464="","",INDEX(상세표[주말·휴일 포함],$P2464)&amp;"")</f>
        <v/>
      </c>
      <c r="O2464">
        <f>IF($P2464="","",INDEX(상세표[월 넘김 포함],$P2464)&amp;"")</f>
        <v/>
      </c>
      <c r="P2464" s="4">
        <f>IFERROR(MATCH(2459,상세표[연속순번],0),"")</f>
        <v/>
      </c>
    </row>
    <row r="2465">
      <c r="A2465">
        <f>IF($P2465="","",INDEX(상세표[사번],$P2465)&amp;"")</f>
        <v/>
      </c>
      <c r="B2465">
        <f>IF($P2465="","",INDEX(상세표[성명],$P2465)&amp;"")</f>
        <v/>
      </c>
      <c r="C2465">
        <f>IF($P2465="","",INDEX(상세표[부서],$P2465)&amp;"")</f>
        <v/>
      </c>
      <c r="D2465">
        <f>IF($P2465="","",INDEX(상세표[직위],$P2465)&amp;"")</f>
        <v/>
      </c>
      <c r="E2465">
        <f>IF($P2465="","",IF(ISNUMBER(INDEX(상세표[시작],$P2465)),TEXT(INDEX(상세표[시작],$P2465),"yyyy-mm-dd hh:mm"),INDEX(상세표[시작],$P2465)&amp;""))</f>
        <v/>
      </c>
      <c r="F2465">
        <f>IF($P2465="","",IF(ISNUMBER(INDEX(상세표[블록종료],$P2465)),TEXT(INDEX(상세표[블록종료],$P2465),"yyyy-mm-dd hh:mm"),INDEX(상세표[블록종료],$P2465)&amp;""))</f>
        <v/>
      </c>
      <c r="G2465">
        <f>IF($P2465="","",CHOOSE(WEEKDAY(INDEX(상세표[시작],$P2465)),"일","월","화","수","목","금","토"))</f>
        <v/>
      </c>
      <c r="H2465">
        <f>IF($P2465="","",INDEX(상세표[연속 시간],$P2465))</f>
        <v/>
      </c>
      <c r="I2465">
        <f>IF($P2465="","",INDEX(상세표[기록 수],$P2465))</f>
        <v/>
      </c>
      <c r="J2465">
        <f>IF($P2465="","",INDEX(상세표[블록 06~07시],$P2465))</f>
        <v/>
      </c>
      <c r="K2465">
        <f>IF($P2465="","",INDEX(상세표[블록 07~18시],$P2465))</f>
        <v/>
      </c>
      <c r="L2465">
        <f>IF($P2465="","",INDEX(상세표[블록 18~22시],$P2465))</f>
        <v/>
      </c>
      <c r="M2465">
        <f>IF($P2465="","",INDEX(상세표[블록 22~06시],$P2465))</f>
        <v/>
      </c>
      <c r="N2465">
        <f>IF($P2465="","",INDEX(상세표[주말·휴일 포함],$P2465)&amp;"")</f>
        <v/>
      </c>
      <c r="O2465">
        <f>IF($P2465="","",INDEX(상세표[월 넘김 포함],$P2465)&amp;"")</f>
        <v/>
      </c>
      <c r="P2465" s="4">
        <f>IFERROR(MATCH(2460,상세표[연속순번],0),"")</f>
        <v/>
      </c>
    </row>
    <row r="2466">
      <c r="A2466">
        <f>IF($P2466="","",INDEX(상세표[사번],$P2466)&amp;"")</f>
        <v/>
      </c>
      <c r="B2466">
        <f>IF($P2466="","",INDEX(상세표[성명],$P2466)&amp;"")</f>
        <v/>
      </c>
      <c r="C2466">
        <f>IF($P2466="","",INDEX(상세표[부서],$P2466)&amp;"")</f>
        <v/>
      </c>
      <c r="D2466">
        <f>IF($P2466="","",INDEX(상세표[직위],$P2466)&amp;"")</f>
        <v/>
      </c>
      <c r="E2466">
        <f>IF($P2466="","",IF(ISNUMBER(INDEX(상세표[시작],$P2466)),TEXT(INDEX(상세표[시작],$P2466),"yyyy-mm-dd hh:mm"),INDEX(상세표[시작],$P2466)&amp;""))</f>
        <v/>
      </c>
      <c r="F2466">
        <f>IF($P2466="","",IF(ISNUMBER(INDEX(상세표[블록종료],$P2466)),TEXT(INDEX(상세표[블록종료],$P2466),"yyyy-mm-dd hh:mm"),INDEX(상세표[블록종료],$P2466)&amp;""))</f>
        <v/>
      </c>
      <c r="G2466">
        <f>IF($P2466="","",CHOOSE(WEEKDAY(INDEX(상세표[시작],$P2466)),"일","월","화","수","목","금","토"))</f>
        <v/>
      </c>
      <c r="H2466">
        <f>IF($P2466="","",INDEX(상세표[연속 시간],$P2466))</f>
        <v/>
      </c>
      <c r="I2466">
        <f>IF($P2466="","",INDEX(상세표[기록 수],$P2466))</f>
        <v/>
      </c>
      <c r="J2466">
        <f>IF($P2466="","",INDEX(상세표[블록 06~07시],$P2466))</f>
        <v/>
      </c>
      <c r="K2466">
        <f>IF($P2466="","",INDEX(상세표[블록 07~18시],$P2466))</f>
        <v/>
      </c>
      <c r="L2466">
        <f>IF($P2466="","",INDEX(상세표[블록 18~22시],$P2466))</f>
        <v/>
      </c>
      <c r="M2466">
        <f>IF($P2466="","",INDEX(상세표[블록 22~06시],$P2466))</f>
        <v/>
      </c>
      <c r="N2466">
        <f>IF($P2466="","",INDEX(상세표[주말·휴일 포함],$P2466)&amp;"")</f>
        <v/>
      </c>
      <c r="O2466">
        <f>IF($P2466="","",INDEX(상세표[월 넘김 포함],$P2466)&amp;"")</f>
        <v/>
      </c>
      <c r="P2466" s="4">
        <f>IFERROR(MATCH(2461,상세표[연속순번],0),"")</f>
        <v/>
      </c>
    </row>
    <row r="2467">
      <c r="A2467">
        <f>IF($P2467="","",INDEX(상세표[사번],$P2467)&amp;"")</f>
        <v/>
      </c>
      <c r="B2467">
        <f>IF($P2467="","",INDEX(상세표[성명],$P2467)&amp;"")</f>
        <v/>
      </c>
      <c r="C2467">
        <f>IF($P2467="","",INDEX(상세표[부서],$P2467)&amp;"")</f>
        <v/>
      </c>
      <c r="D2467">
        <f>IF($P2467="","",INDEX(상세표[직위],$P2467)&amp;"")</f>
        <v/>
      </c>
      <c r="E2467">
        <f>IF($P2467="","",IF(ISNUMBER(INDEX(상세표[시작],$P2467)),TEXT(INDEX(상세표[시작],$P2467),"yyyy-mm-dd hh:mm"),INDEX(상세표[시작],$P2467)&amp;""))</f>
        <v/>
      </c>
      <c r="F2467">
        <f>IF($P2467="","",IF(ISNUMBER(INDEX(상세표[블록종료],$P2467)),TEXT(INDEX(상세표[블록종료],$P2467),"yyyy-mm-dd hh:mm"),INDEX(상세표[블록종료],$P2467)&amp;""))</f>
        <v/>
      </c>
      <c r="G2467">
        <f>IF($P2467="","",CHOOSE(WEEKDAY(INDEX(상세표[시작],$P2467)),"일","월","화","수","목","금","토"))</f>
        <v/>
      </c>
      <c r="H2467">
        <f>IF($P2467="","",INDEX(상세표[연속 시간],$P2467))</f>
        <v/>
      </c>
      <c r="I2467">
        <f>IF($P2467="","",INDEX(상세표[기록 수],$P2467))</f>
        <v/>
      </c>
      <c r="J2467">
        <f>IF($P2467="","",INDEX(상세표[블록 06~07시],$P2467))</f>
        <v/>
      </c>
      <c r="K2467">
        <f>IF($P2467="","",INDEX(상세표[블록 07~18시],$P2467))</f>
        <v/>
      </c>
      <c r="L2467">
        <f>IF($P2467="","",INDEX(상세표[블록 18~22시],$P2467))</f>
        <v/>
      </c>
      <c r="M2467">
        <f>IF($P2467="","",INDEX(상세표[블록 22~06시],$P2467))</f>
        <v/>
      </c>
      <c r="N2467">
        <f>IF($P2467="","",INDEX(상세표[주말·휴일 포함],$P2467)&amp;"")</f>
        <v/>
      </c>
      <c r="O2467">
        <f>IF($P2467="","",INDEX(상세표[월 넘김 포함],$P2467)&amp;"")</f>
        <v/>
      </c>
      <c r="P2467" s="4">
        <f>IFERROR(MATCH(2462,상세표[연속순번],0),"")</f>
        <v/>
      </c>
    </row>
    <row r="2468">
      <c r="A2468">
        <f>IF($P2468="","",INDEX(상세표[사번],$P2468)&amp;"")</f>
        <v/>
      </c>
      <c r="B2468">
        <f>IF($P2468="","",INDEX(상세표[성명],$P2468)&amp;"")</f>
        <v/>
      </c>
      <c r="C2468">
        <f>IF($P2468="","",INDEX(상세표[부서],$P2468)&amp;"")</f>
        <v/>
      </c>
      <c r="D2468">
        <f>IF($P2468="","",INDEX(상세표[직위],$P2468)&amp;"")</f>
        <v/>
      </c>
      <c r="E2468">
        <f>IF($P2468="","",IF(ISNUMBER(INDEX(상세표[시작],$P2468)),TEXT(INDEX(상세표[시작],$P2468),"yyyy-mm-dd hh:mm"),INDEX(상세표[시작],$P2468)&amp;""))</f>
        <v/>
      </c>
      <c r="F2468">
        <f>IF($P2468="","",IF(ISNUMBER(INDEX(상세표[블록종료],$P2468)),TEXT(INDEX(상세표[블록종료],$P2468),"yyyy-mm-dd hh:mm"),INDEX(상세표[블록종료],$P2468)&amp;""))</f>
        <v/>
      </c>
      <c r="G2468">
        <f>IF($P2468="","",CHOOSE(WEEKDAY(INDEX(상세표[시작],$P2468)),"일","월","화","수","목","금","토"))</f>
        <v/>
      </c>
      <c r="H2468">
        <f>IF($P2468="","",INDEX(상세표[연속 시간],$P2468))</f>
        <v/>
      </c>
      <c r="I2468">
        <f>IF($P2468="","",INDEX(상세표[기록 수],$P2468))</f>
        <v/>
      </c>
      <c r="J2468">
        <f>IF($P2468="","",INDEX(상세표[블록 06~07시],$P2468))</f>
        <v/>
      </c>
      <c r="K2468">
        <f>IF($P2468="","",INDEX(상세표[블록 07~18시],$P2468))</f>
        <v/>
      </c>
      <c r="L2468">
        <f>IF($P2468="","",INDEX(상세표[블록 18~22시],$P2468))</f>
        <v/>
      </c>
      <c r="M2468">
        <f>IF($P2468="","",INDEX(상세표[블록 22~06시],$P2468))</f>
        <v/>
      </c>
      <c r="N2468">
        <f>IF($P2468="","",INDEX(상세표[주말·휴일 포함],$P2468)&amp;"")</f>
        <v/>
      </c>
      <c r="O2468">
        <f>IF($P2468="","",INDEX(상세표[월 넘김 포함],$P2468)&amp;"")</f>
        <v/>
      </c>
      <c r="P2468" s="4">
        <f>IFERROR(MATCH(2463,상세표[연속순번],0),"")</f>
        <v/>
      </c>
    </row>
    <row r="2469">
      <c r="A2469">
        <f>IF($P2469="","",INDEX(상세표[사번],$P2469)&amp;"")</f>
        <v/>
      </c>
      <c r="B2469">
        <f>IF($P2469="","",INDEX(상세표[성명],$P2469)&amp;"")</f>
        <v/>
      </c>
      <c r="C2469">
        <f>IF($P2469="","",INDEX(상세표[부서],$P2469)&amp;"")</f>
        <v/>
      </c>
      <c r="D2469">
        <f>IF($P2469="","",INDEX(상세표[직위],$P2469)&amp;"")</f>
        <v/>
      </c>
      <c r="E2469">
        <f>IF($P2469="","",IF(ISNUMBER(INDEX(상세표[시작],$P2469)),TEXT(INDEX(상세표[시작],$P2469),"yyyy-mm-dd hh:mm"),INDEX(상세표[시작],$P2469)&amp;""))</f>
        <v/>
      </c>
      <c r="F2469">
        <f>IF($P2469="","",IF(ISNUMBER(INDEX(상세표[블록종료],$P2469)),TEXT(INDEX(상세표[블록종료],$P2469),"yyyy-mm-dd hh:mm"),INDEX(상세표[블록종료],$P2469)&amp;""))</f>
        <v/>
      </c>
      <c r="G2469">
        <f>IF($P2469="","",CHOOSE(WEEKDAY(INDEX(상세표[시작],$P2469)),"일","월","화","수","목","금","토"))</f>
        <v/>
      </c>
      <c r="H2469">
        <f>IF($P2469="","",INDEX(상세표[연속 시간],$P2469))</f>
        <v/>
      </c>
      <c r="I2469">
        <f>IF($P2469="","",INDEX(상세표[기록 수],$P2469))</f>
        <v/>
      </c>
      <c r="J2469">
        <f>IF($P2469="","",INDEX(상세표[블록 06~07시],$P2469))</f>
        <v/>
      </c>
      <c r="K2469">
        <f>IF($P2469="","",INDEX(상세표[블록 07~18시],$P2469))</f>
        <v/>
      </c>
      <c r="L2469">
        <f>IF($P2469="","",INDEX(상세표[블록 18~22시],$P2469))</f>
        <v/>
      </c>
      <c r="M2469">
        <f>IF($P2469="","",INDEX(상세표[블록 22~06시],$P2469))</f>
        <v/>
      </c>
      <c r="N2469">
        <f>IF($P2469="","",INDEX(상세표[주말·휴일 포함],$P2469)&amp;"")</f>
        <v/>
      </c>
      <c r="O2469">
        <f>IF($P2469="","",INDEX(상세표[월 넘김 포함],$P2469)&amp;"")</f>
        <v/>
      </c>
      <c r="P2469" s="4">
        <f>IFERROR(MATCH(2464,상세표[연속순번],0),"")</f>
        <v/>
      </c>
    </row>
    <row r="2470">
      <c r="A2470">
        <f>IF($P2470="","",INDEX(상세표[사번],$P2470)&amp;"")</f>
        <v/>
      </c>
      <c r="B2470">
        <f>IF($P2470="","",INDEX(상세표[성명],$P2470)&amp;"")</f>
        <v/>
      </c>
      <c r="C2470">
        <f>IF($P2470="","",INDEX(상세표[부서],$P2470)&amp;"")</f>
        <v/>
      </c>
      <c r="D2470">
        <f>IF($P2470="","",INDEX(상세표[직위],$P2470)&amp;"")</f>
        <v/>
      </c>
      <c r="E2470">
        <f>IF($P2470="","",IF(ISNUMBER(INDEX(상세표[시작],$P2470)),TEXT(INDEX(상세표[시작],$P2470),"yyyy-mm-dd hh:mm"),INDEX(상세표[시작],$P2470)&amp;""))</f>
        <v/>
      </c>
      <c r="F2470">
        <f>IF($P2470="","",IF(ISNUMBER(INDEX(상세표[블록종료],$P2470)),TEXT(INDEX(상세표[블록종료],$P2470),"yyyy-mm-dd hh:mm"),INDEX(상세표[블록종료],$P2470)&amp;""))</f>
        <v/>
      </c>
      <c r="G2470">
        <f>IF($P2470="","",CHOOSE(WEEKDAY(INDEX(상세표[시작],$P2470)),"일","월","화","수","목","금","토"))</f>
        <v/>
      </c>
      <c r="H2470">
        <f>IF($P2470="","",INDEX(상세표[연속 시간],$P2470))</f>
        <v/>
      </c>
      <c r="I2470">
        <f>IF($P2470="","",INDEX(상세표[기록 수],$P2470))</f>
        <v/>
      </c>
      <c r="J2470">
        <f>IF($P2470="","",INDEX(상세표[블록 06~07시],$P2470))</f>
        <v/>
      </c>
      <c r="K2470">
        <f>IF($P2470="","",INDEX(상세표[블록 07~18시],$P2470))</f>
        <v/>
      </c>
      <c r="L2470">
        <f>IF($P2470="","",INDEX(상세표[블록 18~22시],$P2470))</f>
        <v/>
      </c>
      <c r="M2470">
        <f>IF($P2470="","",INDEX(상세표[블록 22~06시],$P2470))</f>
        <v/>
      </c>
      <c r="N2470">
        <f>IF($P2470="","",INDEX(상세표[주말·휴일 포함],$P2470)&amp;"")</f>
        <v/>
      </c>
      <c r="O2470">
        <f>IF($P2470="","",INDEX(상세표[월 넘김 포함],$P2470)&amp;"")</f>
        <v/>
      </c>
      <c r="P2470" s="4">
        <f>IFERROR(MATCH(2465,상세표[연속순번],0),"")</f>
        <v/>
      </c>
    </row>
    <row r="2471">
      <c r="A2471">
        <f>IF($P2471="","",INDEX(상세표[사번],$P2471)&amp;"")</f>
        <v/>
      </c>
      <c r="B2471">
        <f>IF($P2471="","",INDEX(상세표[성명],$P2471)&amp;"")</f>
        <v/>
      </c>
      <c r="C2471">
        <f>IF($P2471="","",INDEX(상세표[부서],$P2471)&amp;"")</f>
        <v/>
      </c>
      <c r="D2471">
        <f>IF($P2471="","",INDEX(상세표[직위],$P2471)&amp;"")</f>
        <v/>
      </c>
      <c r="E2471">
        <f>IF($P2471="","",IF(ISNUMBER(INDEX(상세표[시작],$P2471)),TEXT(INDEX(상세표[시작],$P2471),"yyyy-mm-dd hh:mm"),INDEX(상세표[시작],$P2471)&amp;""))</f>
        <v/>
      </c>
      <c r="F2471">
        <f>IF($P2471="","",IF(ISNUMBER(INDEX(상세표[블록종료],$P2471)),TEXT(INDEX(상세표[블록종료],$P2471),"yyyy-mm-dd hh:mm"),INDEX(상세표[블록종료],$P2471)&amp;""))</f>
        <v/>
      </c>
      <c r="G2471">
        <f>IF($P2471="","",CHOOSE(WEEKDAY(INDEX(상세표[시작],$P2471)),"일","월","화","수","목","금","토"))</f>
        <v/>
      </c>
      <c r="H2471">
        <f>IF($P2471="","",INDEX(상세표[연속 시간],$P2471))</f>
        <v/>
      </c>
      <c r="I2471">
        <f>IF($P2471="","",INDEX(상세표[기록 수],$P2471))</f>
        <v/>
      </c>
      <c r="J2471">
        <f>IF($P2471="","",INDEX(상세표[블록 06~07시],$P2471))</f>
        <v/>
      </c>
      <c r="K2471">
        <f>IF($P2471="","",INDEX(상세표[블록 07~18시],$P2471))</f>
        <v/>
      </c>
      <c r="L2471">
        <f>IF($P2471="","",INDEX(상세표[블록 18~22시],$P2471))</f>
        <v/>
      </c>
      <c r="M2471">
        <f>IF($P2471="","",INDEX(상세표[블록 22~06시],$P2471))</f>
        <v/>
      </c>
      <c r="N2471">
        <f>IF($P2471="","",INDEX(상세표[주말·휴일 포함],$P2471)&amp;"")</f>
        <v/>
      </c>
      <c r="O2471">
        <f>IF($P2471="","",INDEX(상세표[월 넘김 포함],$P2471)&amp;"")</f>
        <v/>
      </c>
      <c r="P2471" s="4">
        <f>IFERROR(MATCH(2466,상세표[연속순번],0),"")</f>
        <v/>
      </c>
    </row>
    <row r="2472">
      <c r="A2472">
        <f>IF($P2472="","",INDEX(상세표[사번],$P2472)&amp;"")</f>
        <v/>
      </c>
      <c r="B2472">
        <f>IF($P2472="","",INDEX(상세표[성명],$P2472)&amp;"")</f>
        <v/>
      </c>
      <c r="C2472">
        <f>IF($P2472="","",INDEX(상세표[부서],$P2472)&amp;"")</f>
        <v/>
      </c>
      <c r="D2472">
        <f>IF($P2472="","",INDEX(상세표[직위],$P2472)&amp;"")</f>
        <v/>
      </c>
      <c r="E2472">
        <f>IF($P2472="","",IF(ISNUMBER(INDEX(상세표[시작],$P2472)),TEXT(INDEX(상세표[시작],$P2472),"yyyy-mm-dd hh:mm"),INDEX(상세표[시작],$P2472)&amp;""))</f>
        <v/>
      </c>
      <c r="F2472">
        <f>IF($P2472="","",IF(ISNUMBER(INDEX(상세표[블록종료],$P2472)),TEXT(INDEX(상세표[블록종료],$P2472),"yyyy-mm-dd hh:mm"),INDEX(상세표[블록종료],$P2472)&amp;""))</f>
        <v/>
      </c>
      <c r="G2472">
        <f>IF($P2472="","",CHOOSE(WEEKDAY(INDEX(상세표[시작],$P2472)),"일","월","화","수","목","금","토"))</f>
        <v/>
      </c>
      <c r="H2472">
        <f>IF($P2472="","",INDEX(상세표[연속 시간],$P2472))</f>
        <v/>
      </c>
      <c r="I2472">
        <f>IF($P2472="","",INDEX(상세표[기록 수],$P2472))</f>
        <v/>
      </c>
      <c r="J2472">
        <f>IF($P2472="","",INDEX(상세표[블록 06~07시],$P2472))</f>
        <v/>
      </c>
      <c r="K2472">
        <f>IF($P2472="","",INDEX(상세표[블록 07~18시],$P2472))</f>
        <v/>
      </c>
      <c r="L2472">
        <f>IF($P2472="","",INDEX(상세표[블록 18~22시],$P2472))</f>
        <v/>
      </c>
      <c r="M2472">
        <f>IF($P2472="","",INDEX(상세표[블록 22~06시],$P2472))</f>
        <v/>
      </c>
      <c r="N2472">
        <f>IF($P2472="","",INDEX(상세표[주말·휴일 포함],$P2472)&amp;"")</f>
        <v/>
      </c>
      <c r="O2472">
        <f>IF($P2472="","",INDEX(상세표[월 넘김 포함],$P2472)&amp;"")</f>
        <v/>
      </c>
      <c r="P2472" s="4">
        <f>IFERROR(MATCH(2467,상세표[연속순번],0),"")</f>
        <v/>
      </c>
    </row>
    <row r="2473">
      <c r="A2473">
        <f>IF($P2473="","",INDEX(상세표[사번],$P2473)&amp;"")</f>
        <v/>
      </c>
      <c r="B2473">
        <f>IF($P2473="","",INDEX(상세표[성명],$P2473)&amp;"")</f>
        <v/>
      </c>
      <c r="C2473">
        <f>IF($P2473="","",INDEX(상세표[부서],$P2473)&amp;"")</f>
        <v/>
      </c>
      <c r="D2473">
        <f>IF($P2473="","",INDEX(상세표[직위],$P2473)&amp;"")</f>
        <v/>
      </c>
      <c r="E2473">
        <f>IF($P2473="","",IF(ISNUMBER(INDEX(상세표[시작],$P2473)),TEXT(INDEX(상세표[시작],$P2473),"yyyy-mm-dd hh:mm"),INDEX(상세표[시작],$P2473)&amp;""))</f>
        <v/>
      </c>
      <c r="F2473">
        <f>IF($P2473="","",IF(ISNUMBER(INDEX(상세표[블록종료],$P2473)),TEXT(INDEX(상세표[블록종료],$P2473),"yyyy-mm-dd hh:mm"),INDEX(상세표[블록종료],$P2473)&amp;""))</f>
        <v/>
      </c>
      <c r="G2473">
        <f>IF($P2473="","",CHOOSE(WEEKDAY(INDEX(상세표[시작],$P2473)),"일","월","화","수","목","금","토"))</f>
        <v/>
      </c>
      <c r="H2473">
        <f>IF($P2473="","",INDEX(상세표[연속 시간],$P2473))</f>
        <v/>
      </c>
      <c r="I2473">
        <f>IF($P2473="","",INDEX(상세표[기록 수],$P2473))</f>
        <v/>
      </c>
      <c r="J2473">
        <f>IF($P2473="","",INDEX(상세표[블록 06~07시],$P2473))</f>
        <v/>
      </c>
      <c r="K2473">
        <f>IF($P2473="","",INDEX(상세표[블록 07~18시],$P2473))</f>
        <v/>
      </c>
      <c r="L2473">
        <f>IF($P2473="","",INDEX(상세표[블록 18~22시],$P2473))</f>
        <v/>
      </c>
      <c r="M2473">
        <f>IF($P2473="","",INDEX(상세표[블록 22~06시],$P2473))</f>
        <v/>
      </c>
      <c r="N2473">
        <f>IF($P2473="","",INDEX(상세표[주말·휴일 포함],$P2473)&amp;"")</f>
        <v/>
      </c>
      <c r="O2473">
        <f>IF($P2473="","",INDEX(상세표[월 넘김 포함],$P2473)&amp;"")</f>
        <v/>
      </c>
      <c r="P2473" s="4">
        <f>IFERROR(MATCH(2468,상세표[연속순번],0),"")</f>
        <v/>
      </c>
    </row>
    <row r="2474">
      <c r="A2474">
        <f>IF($P2474="","",INDEX(상세표[사번],$P2474)&amp;"")</f>
        <v/>
      </c>
      <c r="B2474">
        <f>IF($P2474="","",INDEX(상세표[성명],$P2474)&amp;"")</f>
        <v/>
      </c>
      <c r="C2474">
        <f>IF($P2474="","",INDEX(상세표[부서],$P2474)&amp;"")</f>
        <v/>
      </c>
      <c r="D2474">
        <f>IF($P2474="","",INDEX(상세표[직위],$P2474)&amp;"")</f>
        <v/>
      </c>
      <c r="E2474">
        <f>IF($P2474="","",IF(ISNUMBER(INDEX(상세표[시작],$P2474)),TEXT(INDEX(상세표[시작],$P2474),"yyyy-mm-dd hh:mm"),INDEX(상세표[시작],$P2474)&amp;""))</f>
        <v/>
      </c>
      <c r="F2474">
        <f>IF($P2474="","",IF(ISNUMBER(INDEX(상세표[블록종료],$P2474)),TEXT(INDEX(상세표[블록종료],$P2474),"yyyy-mm-dd hh:mm"),INDEX(상세표[블록종료],$P2474)&amp;""))</f>
        <v/>
      </c>
      <c r="G2474">
        <f>IF($P2474="","",CHOOSE(WEEKDAY(INDEX(상세표[시작],$P2474)),"일","월","화","수","목","금","토"))</f>
        <v/>
      </c>
      <c r="H2474">
        <f>IF($P2474="","",INDEX(상세표[연속 시간],$P2474))</f>
        <v/>
      </c>
      <c r="I2474">
        <f>IF($P2474="","",INDEX(상세표[기록 수],$P2474))</f>
        <v/>
      </c>
      <c r="J2474">
        <f>IF($P2474="","",INDEX(상세표[블록 06~07시],$P2474))</f>
        <v/>
      </c>
      <c r="K2474">
        <f>IF($P2474="","",INDEX(상세표[블록 07~18시],$P2474))</f>
        <v/>
      </c>
      <c r="L2474">
        <f>IF($P2474="","",INDEX(상세표[블록 18~22시],$P2474))</f>
        <v/>
      </c>
      <c r="M2474">
        <f>IF($P2474="","",INDEX(상세표[블록 22~06시],$P2474))</f>
        <v/>
      </c>
      <c r="N2474">
        <f>IF($P2474="","",INDEX(상세표[주말·휴일 포함],$P2474)&amp;"")</f>
        <v/>
      </c>
      <c r="O2474">
        <f>IF($P2474="","",INDEX(상세표[월 넘김 포함],$P2474)&amp;"")</f>
        <v/>
      </c>
      <c r="P2474" s="4">
        <f>IFERROR(MATCH(2469,상세표[연속순번],0),"")</f>
        <v/>
      </c>
    </row>
    <row r="2475">
      <c r="A2475">
        <f>IF($P2475="","",INDEX(상세표[사번],$P2475)&amp;"")</f>
        <v/>
      </c>
      <c r="B2475">
        <f>IF($P2475="","",INDEX(상세표[성명],$P2475)&amp;"")</f>
        <v/>
      </c>
      <c r="C2475">
        <f>IF($P2475="","",INDEX(상세표[부서],$P2475)&amp;"")</f>
        <v/>
      </c>
      <c r="D2475">
        <f>IF($P2475="","",INDEX(상세표[직위],$P2475)&amp;"")</f>
        <v/>
      </c>
      <c r="E2475">
        <f>IF($P2475="","",IF(ISNUMBER(INDEX(상세표[시작],$P2475)),TEXT(INDEX(상세표[시작],$P2475),"yyyy-mm-dd hh:mm"),INDEX(상세표[시작],$P2475)&amp;""))</f>
        <v/>
      </c>
      <c r="F2475">
        <f>IF($P2475="","",IF(ISNUMBER(INDEX(상세표[블록종료],$P2475)),TEXT(INDEX(상세표[블록종료],$P2475),"yyyy-mm-dd hh:mm"),INDEX(상세표[블록종료],$P2475)&amp;""))</f>
        <v/>
      </c>
      <c r="G2475">
        <f>IF($P2475="","",CHOOSE(WEEKDAY(INDEX(상세표[시작],$P2475)),"일","월","화","수","목","금","토"))</f>
        <v/>
      </c>
      <c r="H2475">
        <f>IF($P2475="","",INDEX(상세표[연속 시간],$P2475))</f>
        <v/>
      </c>
      <c r="I2475">
        <f>IF($P2475="","",INDEX(상세표[기록 수],$P2475))</f>
        <v/>
      </c>
      <c r="J2475">
        <f>IF($P2475="","",INDEX(상세표[블록 06~07시],$P2475))</f>
        <v/>
      </c>
      <c r="K2475">
        <f>IF($P2475="","",INDEX(상세표[블록 07~18시],$P2475))</f>
        <v/>
      </c>
      <c r="L2475">
        <f>IF($P2475="","",INDEX(상세표[블록 18~22시],$P2475))</f>
        <v/>
      </c>
      <c r="M2475">
        <f>IF($P2475="","",INDEX(상세표[블록 22~06시],$P2475))</f>
        <v/>
      </c>
      <c r="N2475">
        <f>IF($P2475="","",INDEX(상세표[주말·휴일 포함],$P2475)&amp;"")</f>
        <v/>
      </c>
      <c r="O2475">
        <f>IF($P2475="","",INDEX(상세표[월 넘김 포함],$P2475)&amp;"")</f>
        <v/>
      </c>
      <c r="P2475" s="4">
        <f>IFERROR(MATCH(2470,상세표[연속순번],0),"")</f>
        <v/>
      </c>
    </row>
    <row r="2476">
      <c r="A2476">
        <f>IF($P2476="","",INDEX(상세표[사번],$P2476)&amp;"")</f>
        <v/>
      </c>
      <c r="B2476">
        <f>IF($P2476="","",INDEX(상세표[성명],$P2476)&amp;"")</f>
        <v/>
      </c>
      <c r="C2476">
        <f>IF($P2476="","",INDEX(상세표[부서],$P2476)&amp;"")</f>
        <v/>
      </c>
      <c r="D2476">
        <f>IF($P2476="","",INDEX(상세표[직위],$P2476)&amp;"")</f>
        <v/>
      </c>
      <c r="E2476">
        <f>IF($P2476="","",IF(ISNUMBER(INDEX(상세표[시작],$P2476)),TEXT(INDEX(상세표[시작],$P2476),"yyyy-mm-dd hh:mm"),INDEX(상세표[시작],$P2476)&amp;""))</f>
        <v/>
      </c>
      <c r="F2476">
        <f>IF($P2476="","",IF(ISNUMBER(INDEX(상세표[블록종료],$P2476)),TEXT(INDEX(상세표[블록종료],$P2476),"yyyy-mm-dd hh:mm"),INDEX(상세표[블록종료],$P2476)&amp;""))</f>
        <v/>
      </c>
      <c r="G2476">
        <f>IF($P2476="","",CHOOSE(WEEKDAY(INDEX(상세표[시작],$P2476)),"일","월","화","수","목","금","토"))</f>
        <v/>
      </c>
      <c r="H2476">
        <f>IF($P2476="","",INDEX(상세표[연속 시간],$P2476))</f>
        <v/>
      </c>
      <c r="I2476">
        <f>IF($P2476="","",INDEX(상세표[기록 수],$P2476))</f>
        <v/>
      </c>
      <c r="J2476">
        <f>IF($P2476="","",INDEX(상세표[블록 06~07시],$P2476))</f>
        <v/>
      </c>
      <c r="K2476">
        <f>IF($P2476="","",INDEX(상세표[블록 07~18시],$P2476))</f>
        <v/>
      </c>
      <c r="L2476">
        <f>IF($P2476="","",INDEX(상세표[블록 18~22시],$P2476))</f>
        <v/>
      </c>
      <c r="M2476">
        <f>IF($P2476="","",INDEX(상세표[블록 22~06시],$P2476))</f>
        <v/>
      </c>
      <c r="N2476">
        <f>IF($P2476="","",INDEX(상세표[주말·휴일 포함],$P2476)&amp;"")</f>
        <v/>
      </c>
      <c r="O2476">
        <f>IF($P2476="","",INDEX(상세표[월 넘김 포함],$P2476)&amp;"")</f>
        <v/>
      </c>
      <c r="P2476" s="4">
        <f>IFERROR(MATCH(2471,상세표[연속순번],0),"")</f>
        <v/>
      </c>
    </row>
    <row r="2477">
      <c r="A2477">
        <f>IF($P2477="","",INDEX(상세표[사번],$P2477)&amp;"")</f>
        <v/>
      </c>
      <c r="B2477">
        <f>IF($P2477="","",INDEX(상세표[성명],$P2477)&amp;"")</f>
        <v/>
      </c>
      <c r="C2477">
        <f>IF($P2477="","",INDEX(상세표[부서],$P2477)&amp;"")</f>
        <v/>
      </c>
      <c r="D2477">
        <f>IF($P2477="","",INDEX(상세표[직위],$P2477)&amp;"")</f>
        <v/>
      </c>
      <c r="E2477">
        <f>IF($P2477="","",IF(ISNUMBER(INDEX(상세표[시작],$P2477)),TEXT(INDEX(상세표[시작],$P2477),"yyyy-mm-dd hh:mm"),INDEX(상세표[시작],$P2477)&amp;""))</f>
        <v/>
      </c>
      <c r="F2477">
        <f>IF($P2477="","",IF(ISNUMBER(INDEX(상세표[블록종료],$P2477)),TEXT(INDEX(상세표[블록종료],$P2477),"yyyy-mm-dd hh:mm"),INDEX(상세표[블록종료],$P2477)&amp;""))</f>
        <v/>
      </c>
      <c r="G2477">
        <f>IF($P2477="","",CHOOSE(WEEKDAY(INDEX(상세표[시작],$P2477)),"일","월","화","수","목","금","토"))</f>
        <v/>
      </c>
      <c r="H2477">
        <f>IF($P2477="","",INDEX(상세표[연속 시간],$P2477))</f>
        <v/>
      </c>
      <c r="I2477">
        <f>IF($P2477="","",INDEX(상세표[기록 수],$P2477))</f>
        <v/>
      </c>
      <c r="J2477">
        <f>IF($P2477="","",INDEX(상세표[블록 06~07시],$P2477))</f>
        <v/>
      </c>
      <c r="K2477">
        <f>IF($P2477="","",INDEX(상세표[블록 07~18시],$P2477))</f>
        <v/>
      </c>
      <c r="L2477">
        <f>IF($P2477="","",INDEX(상세표[블록 18~22시],$P2477))</f>
        <v/>
      </c>
      <c r="M2477">
        <f>IF($P2477="","",INDEX(상세표[블록 22~06시],$P2477))</f>
        <v/>
      </c>
      <c r="N2477">
        <f>IF($P2477="","",INDEX(상세표[주말·휴일 포함],$P2477)&amp;"")</f>
        <v/>
      </c>
      <c r="O2477">
        <f>IF($P2477="","",INDEX(상세표[월 넘김 포함],$P2477)&amp;"")</f>
        <v/>
      </c>
      <c r="P2477" s="4">
        <f>IFERROR(MATCH(2472,상세표[연속순번],0),"")</f>
        <v/>
      </c>
    </row>
    <row r="2478">
      <c r="A2478">
        <f>IF($P2478="","",INDEX(상세표[사번],$P2478)&amp;"")</f>
        <v/>
      </c>
      <c r="B2478">
        <f>IF($P2478="","",INDEX(상세표[성명],$P2478)&amp;"")</f>
        <v/>
      </c>
      <c r="C2478">
        <f>IF($P2478="","",INDEX(상세표[부서],$P2478)&amp;"")</f>
        <v/>
      </c>
      <c r="D2478">
        <f>IF($P2478="","",INDEX(상세표[직위],$P2478)&amp;"")</f>
        <v/>
      </c>
      <c r="E2478">
        <f>IF($P2478="","",IF(ISNUMBER(INDEX(상세표[시작],$P2478)),TEXT(INDEX(상세표[시작],$P2478),"yyyy-mm-dd hh:mm"),INDEX(상세표[시작],$P2478)&amp;""))</f>
        <v/>
      </c>
      <c r="F2478">
        <f>IF($P2478="","",IF(ISNUMBER(INDEX(상세표[블록종료],$P2478)),TEXT(INDEX(상세표[블록종료],$P2478),"yyyy-mm-dd hh:mm"),INDEX(상세표[블록종료],$P2478)&amp;""))</f>
        <v/>
      </c>
      <c r="G2478">
        <f>IF($P2478="","",CHOOSE(WEEKDAY(INDEX(상세표[시작],$P2478)),"일","월","화","수","목","금","토"))</f>
        <v/>
      </c>
      <c r="H2478">
        <f>IF($P2478="","",INDEX(상세표[연속 시간],$P2478))</f>
        <v/>
      </c>
      <c r="I2478">
        <f>IF($P2478="","",INDEX(상세표[기록 수],$P2478))</f>
        <v/>
      </c>
      <c r="J2478">
        <f>IF($P2478="","",INDEX(상세표[블록 06~07시],$P2478))</f>
        <v/>
      </c>
      <c r="K2478">
        <f>IF($P2478="","",INDEX(상세표[블록 07~18시],$P2478))</f>
        <v/>
      </c>
      <c r="L2478">
        <f>IF($P2478="","",INDEX(상세표[블록 18~22시],$P2478))</f>
        <v/>
      </c>
      <c r="M2478">
        <f>IF($P2478="","",INDEX(상세표[블록 22~06시],$P2478))</f>
        <v/>
      </c>
      <c r="N2478">
        <f>IF($P2478="","",INDEX(상세표[주말·휴일 포함],$P2478)&amp;"")</f>
        <v/>
      </c>
      <c r="O2478">
        <f>IF($P2478="","",INDEX(상세표[월 넘김 포함],$P2478)&amp;"")</f>
        <v/>
      </c>
      <c r="P2478" s="4">
        <f>IFERROR(MATCH(2473,상세표[연속순번],0),"")</f>
        <v/>
      </c>
    </row>
    <row r="2479">
      <c r="A2479">
        <f>IF($P2479="","",INDEX(상세표[사번],$P2479)&amp;"")</f>
        <v/>
      </c>
      <c r="B2479">
        <f>IF($P2479="","",INDEX(상세표[성명],$P2479)&amp;"")</f>
        <v/>
      </c>
      <c r="C2479">
        <f>IF($P2479="","",INDEX(상세표[부서],$P2479)&amp;"")</f>
        <v/>
      </c>
      <c r="D2479">
        <f>IF($P2479="","",INDEX(상세표[직위],$P2479)&amp;"")</f>
        <v/>
      </c>
      <c r="E2479">
        <f>IF($P2479="","",IF(ISNUMBER(INDEX(상세표[시작],$P2479)),TEXT(INDEX(상세표[시작],$P2479),"yyyy-mm-dd hh:mm"),INDEX(상세표[시작],$P2479)&amp;""))</f>
        <v/>
      </c>
      <c r="F2479">
        <f>IF($P2479="","",IF(ISNUMBER(INDEX(상세표[블록종료],$P2479)),TEXT(INDEX(상세표[블록종료],$P2479),"yyyy-mm-dd hh:mm"),INDEX(상세표[블록종료],$P2479)&amp;""))</f>
        <v/>
      </c>
      <c r="G2479">
        <f>IF($P2479="","",CHOOSE(WEEKDAY(INDEX(상세표[시작],$P2479)),"일","월","화","수","목","금","토"))</f>
        <v/>
      </c>
      <c r="H2479">
        <f>IF($P2479="","",INDEX(상세표[연속 시간],$P2479))</f>
        <v/>
      </c>
      <c r="I2479">
        <f>IF($P2479="","",INDEX(상세표[기록 수],$P2479))</f>
        <v/>
      </c>
      <c r="J2479">
        <f>IF($P2479="","",INDEX(상세표[블록 06~07시],$P2479))</f>
        <v/>
      </c>
      <c r="K2479">
        <f>IF($P2479="","",INDEX(상세표[블록 07~18시],$P2479))</f>
        <v/>
      </c>
      <c r="L2479">
        <f>IF($P2479="","",INDEX(상세표[블록 18~22시],$P2479))</f>
        <v/>
      </c>
      <c r="M2479">
        <f>IF($P2479="","",INDEX(상세표[블록 22~06시],$P2479))</f>
        <v/>
      </c>
      <c r="N2479">
        <f>IF($P2479="","",INDEX(상세표[주말·휴일 포함],$P2479)&amp;"")</f>
        <v/>
      </c>
      <c r="O2479">
        <f>IF($P2479="","",INDEX(상세표[월 넘김 포함],$P2479)&amp;"")</f>
        <v/>
      </c>
      <c r="P2479" s="4">
        <f>IFERROR(MATCH(2474,상세표[연속순번],0),"")</f>
        <v/>
      </c>
    </row>
    <row r="2480">
      <c r="A2480">
        <f>IF($P2480="","",INDEX(상세표[사번],$P2480)&amp;"")</f>
        <v/>
      </c>
      <c r="B2480">
        <f>IF($P2480="","",INDEX(상세표[성명],$P2480)&amp;"")</f>
        <v/>
      </c>
      <c r="C2480">
        <f>IF($P2480="","",INDEX(상세표[부서],$P2480)&amp;"")</f>
        <v/>
      </c>
      <c r="D2480">
        <f>IF($P2480="","",INDEX(상세표[직위],$P2480)&amp;"")</f>
        <v/>
      </c>
      <c r="E2480">
        <f>IF($P2480="","",IF(ISNUMBER(INDEX(상세표[시작],$P2480)),TEXT(INDEX(상세표[시작],$P2480),"yyyy-mm-dd hh:mm"),INDEX(상세표[시작],$P2480)&amp;""))</f>
        <v/>
      </c>
      <c r="F2480">
        <f>IF($P2480="","",IF(ISNUMBER(INDEX(상세표[블록종료],$P2480)),TEXT(INDEX(상세표[블록종료],$P2480),"yyyy-mm-dd hh:mm"),INDEX(상세표[블록종료],$P2480)&amp;""))</f>
        <v/>
      </c>
      <c r="G2480">
        <f>IF($P2480="","",CHOOSE(WEEKDAY(INDEX(상세표[시작],$P2480)),"일","월","화","수","목","금","토"))</f>
        <v/>
      </c>
      <c r="H2480">
        <f>IF($P2480="","",INDEX(상세표[연속 시간],$P2480))</f>
        <v/>
      </c>
      <c r="I2480">
        <f>IF($P2480="","",INDEX(상세표[기록 수],$P2480))</f>
        <v/>
      </c>
      <c r="J2480">
        <f>IF($P2480="","",INDEX(상세표[블록 06~07시],$P2480))</f>
        <v/>
      </c>
      <c r="K2480">
        <f>IF($P2480="","",INDEX(상세표[블록 07~18시],$P2480))</f>
        <v/>
      </c>
      <c r="L2480">
        <f>IF($P2480="","",INDEX(상세표[블록 18~22시],$P2480))</f>
        <v/>
      </c>
      <c r="M2480">
        <f>IF($P2480="","",INDEX(상세표[블록 22~06시],$P2480))</f>
        <v/>
      </c>
      <c r="N2480">
        <f>IF($P2480="","",INDEX(상세표[주말·휴일 포함],$P2480)&amp;"")</f>
        <v/>
      </c>
      <c r="O2480">
        <f>IF($P2480="","",INDEX(상세표[월 넘김 포함],$P2480)&amp;"")</f>
        <v/>
      </c>
      <c r="P2480" s="4">
        <f>IFERROR(MATCH(2475,상세표[연속순번],0),"")</f>
        <v/>
      </c>
    </row>
    <row r="2481">
      <c r="A2481">
        <f>IF($P2481="","",INDEX(상세표[사번],$P2481)&amp;"")</f>
        <v/>
      </c>
      <c r="B2481">
        <f>IF($P2481="","",INDEX(상세표[성명],$P2481)&amp;"")</f>
        <v/>
      </c>
      <c r="C2481">
        <f>IF($P2481="","",INDEX(상세표[부서],$P2481)&amp;"")</f>
        <v/>
      </c>
      <c r="D2481">
        <f>IF($P2481="","",INDEX(상세표[직위],$P2481)&amp;"")</f>
        <v/>
      </c>
      <c r="E2481">
        <f>IF($P2481="","",IF(ISNUMBER(INDEX(상세표[시작],$P2481)),TEXT(INDEX(상세표[시작],$P2481),"yyyy-mm-dd hh:mm"),INDEX(상세표[시작],$P2481)&amp;""))</f>
        <v/>
      </c>
      <c r="F2481">
        <f>IF($P2481="","",IF(ISNUMBER(INDEX(상세표[블록종료],$P2481)),TEXT(INDEX(상세표[블록종료],$P2481),"yyyy-mm-dd hh:mm"),INDEX(상세표[블록종료],$P2481)&amp;""))</f>
        <v/>
      </c>
      <c r="G2481">
        <f>IF($P2481="","",CHOOSE(WEEKDAY(INDEX(상세표[시작],$P2481)),"일","월","화","수","목","금","토"))</f>
        <v/>
      </c>
      <c r="H2481">
        <f>IF($P2481="","",INDEX(상세표[연속 시간],$P2481))</f>
        <v/>
      </c>
      <c r="I2481">
        <f>IF($P2481="","",INDEX(상세표[기록 수],$P2481))</f>
        <v/>
      </c>
      <c r="J2481">
        <f>IF($P2481="","",INDEX(상세표[블록 06~07시],$P2481))</f>
        <v/>
      </c>
      <c r="K2481">
        <f>IF($P2481="","",INDEX(상세표[블록 07~18시],$P2481))</f>
        <v/>
      </c>
      <c r="L2481">
        <f>IF($P2481="","",INDEX(상세표[블록 18~22시],$P2481))</f>
        <v/>
      </c>
      <c r="M2481">
        <f>IF($P2481="","",INDEX(상세표[블록 22~06시],$P2481))</f>
        <v/>
      </c>
      <c r="N2481">
        <f>IF($P2481="","",INDEX(상세표[주말·휴일 포함],$P2481)&amp;"")</f>
        <v/>
      </c>
      <c r="O2481">
        <f>IF($P2481="","",INDEX(상세표[월 넘김 포함],$P2481)&amp;"")</f>
        <v/>
      </c>
      <c r="P2481" s="4">
        <f>IFERROR(MATCH(2476,상세표[연속순번],0),"")</f>
        <v/>
      </c>
    </row>
    <row r="2482">
      <c r="A2482">
        <f>IF($P2482="","",INDEX(상세표[사번],$P2482)&amp;"")</f>
        <v/>
      </c>
      <c r="B2482">
        <f>IF($P2482="","",INDEX(상세표[성명],$P2482)&amp;"")</f>
        <v/>
      </c>
      <c r="C2482">
        <f>IF($P2482="","",INDEX(상세표[부서],$P2482)&amp;"")</f>
        <v/>
      </c>
      <c r="D2482">
        <f>IF($P2482="","",INDEX(상세표[직위],$P2482)&amp;"")</f>
        <v/>
      </c>
      <c r="E2482">
        <f>IF($P2482="","",IF(ISNUMBER(INDEX(상세표[시작],$P2482)),TEXT(INDEX(상세표[시작],$P2482),"yyyy-mm-dd hh:mm"),INDEX(상세표[시작],$P2482)&amp;""))</f>
        <v/>
      </c>
      <c r="F2482">
        <f>IF($P2482="","",IF(ISNUMBER(INDEX(상세표[블록종료],$P2482)),TEXT(INDEX(상세표[블록종료],$P2482),"yyyy-mm-dd hh:mm"),INDEX(상세표[블록종료],$P2482)&amp;""))</f>
        <v/>
      </c>
      <c r="G2482">
        <f>IF($P2482="","",CHOOSE(WEEKDAY(INDEX(상세표[시작],$P2482)),"일","월","화","수","목","금","토"))</f>
        <v/>
      </c>
      <c r="H2482">
        <f>IF($P2482="","",INDEX(상세표[연속 시간],$P2482))</f>
        <v/>
      </c>
      <c r="I2482">
        <f>IF($P2482="","",INDEX(상세표[기록 수],$P2482))</f>
        <v/>
      </c>
      <c r="J2482">
        <f>IF($P2482="","",INDEX(상세표[블록 06~07시],$P2482))</f>
        <v/>
      </c>
      <c r="K2482">
        <f>IF($P2482="","",INDEX(상세표[블록 07~18시],$P2482))</f>
        <v/>
      </c>
      <c r="L2482">
        <f>IF($P2482="","",INDEX(상세표[블록 18~22시],$P2482))</f>
        <v/>
      </c>
      <c r="M2482">
        <f>IF($P2482="","",INDEX(상세표[블록 22~06시],$P2482))</f>
        <v/>
      </c>
      <c r="N2482">
        <f>IF($P2482="","",INDEX(상세표[주말·휴일 포함],$P2482)&amp;"")</f>
        <v/>
      </c>
      <c r="O2482">
        <f>IF($P2482="","",INDEX(상세표[월 넘김 포함],$P2482)&amp;"")</f>
        <v/>
      </c>
      <c r="P2482" s="4">
        <f>IFERROR(MATCH(2477,상세표[연속순번],0),"")</f>
        <v/>
      </c>
    </row>
    <row r="2483">
      <c r="A2483">
        <f>IF($P2483="","",INDEX(상세표[사번],$P2483)&amp;"")</f>
        <v/>
      </c>
      <c r="B2483">
        <f>IF($P2483="","",INDEX(상세표[성명],$P2483)&amp;"")</f>
        <v/>
      </c>
      <c r="C2483">
        <f>IF($P2483="","",INDEX(상세표[부서],$P2483)&amp;"")</f>
        <v/>
      </c>
      <c r="D2483">
        <f>IF($P2483="","",INDEX(상세표[직위],$P2483)&amp;"")</f>
        <v/>
      </c>
      <c r="E2483">
        <f>IF($P2483="","",IF(ISNUMBER(INDEX(상세표[시작],$P2483)),TEXT(INDEX(상세표[시작],$P2483),"yyyy-mm-dd hh:mm"),INDEX(상세표[시작],$P2483)&amp;""))</f>
        <v/>
      </c>
      <c r="F2483">
        <f>IF($P2483="","",IF(ISNUMBER(INDEX(상세표[블록종료],$P2483)),TEXT(INDEX(상세표[블록종료],$P2483),"yyyy-mm-dd hh:mm"),INDEX(상세표[블록종료],$P2483)&amp;""))</f>
        <v/>
      </c>
      <c r="G2483">
        <f>IF($P2483="","",CHOOSE(WEEKDAY(INDEX(상세표[시작],$P2483)),"일","월","화","수","목","금","토"))</f>
        <v/>
      </c>
      <c r="H2483">
        <f>IF($P2483="","",INDEX(상세표[연속 시간],$P2483))</f>
        <v/>
      </c>
      <c r="I2483">
        <f>IF($P2483="","",INDEX(상세표[기록 수],$P2483))</f>
        <v/>
      </c>
      <c r="J2483">
        <f>IF($P2483="","",INDEX(상세표[블록 06~07시],$P2483))</f>
        <v/>
      </c>
      <c r="K2483">
        <f>IF($P2483="","",INDEX(상세표[블록 07~18시],$P2483))</f>
        <v/>
      </c>
      <c r="L2483">
        <f>IF($P2483="","",INDEX(상세표[블록 18~22시],$P2483))</f>
        <v/>
      </c>
      <c r="M2483">
        <f>IF($P2483="","",INDEX(상세표[블록 22~06시],$P2483))</f>
        <v/>
      </c>
      <c r="N2483">
        <f>IF($P2483="","",INDEX(상세표[주말·휴일 포함],$P2483)&amp;"")</f>
        <v/>
      </c>
      <c r="O2483">
        <f>IF($P2483="","",INDEX(상세표[월 넘김 포함],$P2483)&amp;"")</f>
        <v/>
      </c>
      <c r="P2483" s="4">
        <f>IFERROR(MATCH(2478,상세표[연속순번],0),"")</f>
        <v/>
      </c>
    </row>
    <row r="2484">
      <c r="A2484">
        <f>IF($P2484="","",INDEX(상세표[사번],$P2484)&amp;"")</f>
        <v/>
      </c>
      <c r="B2484">
        <f>IF($P2484="","",INDEX(상세표[성명],$P2484)&amp;"")</f>
        <v/>
      </c>
      <c r="C2484">
        <f>IF($P2484="","",INDEX(상세표[부서],$P2484)&amp;"")</f>
        <v/>
      </c>
      <c r="D2484">
        <f>IF($P2484="","",INDEX(상세표[직위],$P2484)&amp;"")</f>
        <v/>
      </c>
      <c r="E2484">
        <f>IF($P2484="","",IF(ISNUMBER(INDEX(상세표[시작],$P2484)),TEXT(INDEX(상세표[시작],$P2484),"yyyy-mm-dd hh:mm"),INDEX(상세표[시작],$P2484)&amp;""))</f>
        <v/>
      </c>
      <c r="F2484">
        <f>IF($P2484="","",IF(ISNUMBER(INDEX(상세표[블록종료],$P2484)),TEXT(INDEX(상세표[블록종료],$P2484),"yyyy-mm-dd hh:mm"),INDEX(상세표[블록종료],$P2484)&amp;""))</f>
        <v/>
      </c>
      <c r="G2484">
        <f>IF($P2484="","",CHOOSE(WEEKDAY(INDEX(상세표[시작],$P2484)),"일","월","화","수","목","금","토"))</f>
        <v/>
      </c>
      <c r="H2484">
        <f>IF($P2484="","",INDEX(상세표[연속 시간],$P2484))</f>
        <v/>
      </c>
      <c r="I2484">
        <f>IF($P2484="","",INDEX(상세표[기록 수],$P2484))</f>
        <v/>
      </c>
      <c r="J2484">
        <f>IF($P2484="","",INDEX(상세표[블록 06~07시],$P2484))</f>
        <v/>
      </c>
      <c r="K2484">
        <f>IF($P2484="","",INDEX(상세표[블록 07~18시],$P2484))</f>
        <v/>
      </c>
      <c r="L2484">
        <f>IF($P2484="","",INDEX(상세표[블록 18~22시],$P2484))</f>
        <v/>
      </c>
      <c r="M2484">
        <f>IF($P2484="","",INDEX(상세표[블록 22~06시],$P2484))</f>
        <v/>
      </c>
      <c r="N2484">
        <f>IF($P2484="","",INDEX(상세표[주말·휴일 포함],$P2484)&amp;"")</f>
        <v/>
      </c>
      <c r="O2484">
        <f>IF($P2484="","",INDEX(상세표[월 넘김 포함],$P2484)&amp;"")</f>
        <v/>
      </c>
      <c r="P2484" s="4">
        <f>IFERROR(MATCH(2479,상세표[연속순번],0),"")</f>
        <v/>
      </c>
    </row>
    <row r="2485">
      <c r="A2485">
        <f>IF($P2485="","",INDEX(상세표[사번],$P2485)&amp;"")</f>
        <v/>
      </c>
      <c r="B2485">
        <f>IF($P2485="","",INDEX(상세표[성명],$P2485)&amp;"")</f>
        <v/>
      </c>
      <c r="C2485">
        <f>IF($P2485="","",INDEX(상세표[부서],$P2485)&amp;"")</f>
        <v/>
      </c>
      <c r="D2485">
        <f>IF($P2485="","",INDEX(상세표[직위],$P2485)&amp;"")</f>
        <v/>
      </c>
      <c r="E2485">
        <f>IF($P2485="","",IF(ISNUMBER(INDEX(상세표[시작],$P2485)),TEXT(INDEX(상세표[시작],$P2485),"yyyy-mm-dd hh:mm"),INDEX(상세표[시작],$P2485)&amp;""))</f>
        <v/>
      </c>
      <c r="F2485">
        <f>IF($P2485="","",IF(ISNUMBER(INDEX(상세표[블록종료],$P2485)),TEXT(INDEX(상세표[블록종료],$P2485),"yyyy-mm-dd hh:mm"),INDEX(상세표[블록종료],$P2485)&amp;""))</f>
        <v/>
      </c>
      <c r="G2485">
        <f>IF($P2485="","",CHOOSE(WEEKDAY(INDEX(상세표[시작],$P2485)),"일","월","화","수","목","금","토"))</f>
        <v/>
      </c>
      <c r="H2485">
        <f>IF($P2485="","",INDEX(상세표[연속 시간],$P2485))</f>
        <v/>
      </c>
      <c r="I2485">
        <f>IF($P2485="","",INDEX(상세표[기록 수],$P2485))</f>
        <v/>
      </c>
      <c r="J2485">
        <f>IF($P2485="","",INDEX(상세표[블록 06~07시],$P2485))</f>
        <v/>
      </c>
      <c r="K2485">
        <f>IF($P2485="","",INDEX(상세표[블록 07~18시],$P2485))</f>
        <v/>
      </c>
      <c r="L2485">
        <f>IF($P2485="","",INDEX(상세표[블록 18~22시],$P2485))</f>
        <v/>
      </c>
      <c r="M2485">
        <f>IF($P2485="","",INDEX(상세표[블록 22~06시],$P2485))</f>
        <v/>
      </c>
      <c r="N2485">
        <f>IF($P2485="","",INDEX(상세표[주말·휴일 포함],$P2485)&amp;"")</f>
        <v/>
      </c>
      <c r="O2485">
        <f>IF($P2485="","",INDEX(상세표[월 넘김 포함],$P2485)&amp;"")</f>
        <v/>
      </c>
      <c r="P2485" s="4">
        <f>IFERROR(MATCH(2480,상세표[연속순번],0),"")</f>
        <v/>
      </c>
    </row>
    <row r="2486">
      <c r="A2486">
        <f>IF($P2486="","",INDEX(상세표[사번],$P2486)&amp;"")</f>
        <v/>
      </c>
      <c r="B2486">
        <f>IF($P2486="","",INDEX(상세표[성명],$P2486)&amp;"")</f>
        <v/>
      </c>
      <c r="C2486">
        <f>IF($P2486="","",INDEX(상세표[부서],$P2486)&amp;"")</f>
        <v/>
      </c>
      <c r="D2486">
        <f>IF($P2486="","",INDEX(상세표[직위],$P2486)&amp;"")</f>
        <v/>
      </c>
      <c r="E2486">
        <f>IF($P2486="","",IF(ISNUMBER(INDEX(상세표[시작],$P2486)),TEXT(INDEX(상세표[시작],$P2486),"yyyy-mm-dd hh:mm"),INDEX(상세표[시작],$P2486)&amp;""))</f>
        <v/>
      </c>
      <c r="F2486">
        <f>IF($P2486="","",IF(ISNUMBER(INDEX(상세표[블록종료],$P2486)),TEXT(INDEX(상세표[블록종료],$P2486),"yyyy-mm-dd hh:mm"),INDEX(상세표[블록종료],$P2486)&amp;""))</f>
        <v/>
      </c>
      <c r="G2486">
        <f>IF($P2486="","",CHOOSE(WEEKDAY(INDEX(상세표[시작],$P2486)),"일","월","화","수","목","금","토"))</f>
        <v/>
      </c>
      <c r="H2486">
        <f>IF($P2486="","",INDEX(상세표[연속 시간],$P2486))</f>
        <v/>
      </c>
      <c r="I2486">
        <f>IF($P2486="","",INDEX(상세표[기록 수],$P2486))</f>
        <v/>
      </c>
      <c r="J2486">
        <f>IF($P2486="","",INDEX(상세표[블록 06~07시],$P2486))</f>
        <v/>
      </c>
      <c r="K2486">
        <f>IF($P2486="","",INDEX(상세표[블록 07~18시],$P2486))</f>
        <v/>
      </c>
      <c r="L2486">
        <f>IF($P2486="","",INDEX(상세표[블록 18~22시],$P2486))</f>
        <v/>
      </c>
      <c r="M2486">
        <f>IF($P2486="","",INDEX(상세표[블록 22~06시],$P2486))</f>
        <v/>
      </c>
      <c r="N2486">
        <f>IF($P2486="","",INDEX(상세표[주말·휴일 포함],$P2486)&amp;"")</f>
        <v/>
      </c>
      <c r="O2486">
        <f>IF($P2486="","",INDEX(상세표[월 넘김 포함],$P2486)&amp;"")</f>
        <v/>
      </c>
      <c r="P2486" s="4">
        <f>IFERROR(MATCH(2481,상세표[연속순번],0),"")</f>
        <v/>
      </c>
    </row>
    <row r="2487">
      <c r="A2487">
        <f>IF($P2487="","",INDEX(상세표[사번],$P2487)&amp;"")</f>
        <v/>
      </c>
      <c r="B2487">
        <f>IF($P2487="","",INDEX(상세표[성명],$P2487)&amp;"")</f>
        <v/>
      </c>
      <c r="C2487">
        <f>IF($P2487="","",INDEX(상세표[부서],$P2487)&amp;"")</f>
        <v/>
      </c>
      <c r="D2487">
        <f>IF($P2487="","",INDEX(상세표[직위],$P2487)&amp;"")</f>
        <v/>
      </c>
      <c r="E2487">
        <f>IF($P2487="","",IF(ISNUMBER(INDEX(상세표[시작],$P2487)),TEXT(INDEX(상세표[시작],$P2487),"yyyy-mm-dd hh:mm"),INDEX(상세표[시작],$P2487)&amp;""))</f>
        <v/>
      </c>
      <c r="F2487">
        <f>IF($P2487="","",IF(ISNUMBER(INDEX(상세표[블록종료],$P2487)),TEXT(INDEX(상세표[블록종료],$P2487),"yyyy-mm-dd hh:mm"),INDEX(상세표[블록종료],$P2487)&amp;""))</f>
        <v/>
      </c>
      <c r="G2487">
        <f>IF($P2487="","",CHOOSE(WEEKDAY(INDEX(상세표[시작],$P2487)),"일","월","화","수","목","금","토"))</f>
        <v/>
      </c>
      <c r="H2487">
        <f>IF($P2487="","",INDEX(상세표[연속 시간],$P2487))</f>
        <v/>
      </c>
      <c r="I2487">
        <f>IF($P2487="","",INDEX(상세표[기록 수],$P2487))</f>
        <v/>
      </c>
      <c r="J2487">
        <f>IF($P2487="","",INDEX(상세표[블록 06~07시],$P2487))</f>
        <v/>
      </c>
      <c r="K2487">
        <f>IF($P2487="","",INDEX(상세표[블록 07~18시],$P2487))</f>
        <v/>
      </c>
      <c r="L2487">
        <f>IF($P2487="","",INDEX(상세표[블록 18~22시],$P2487))</f>
        <v/>
      </c>
      <c r="M2487">
        <f>IF($P2487="","",INDEX(상세표[블록 22~06시],$P2487))</f>
        <v/>
      </c>
      <c r="N2487">
        <f>IF($P2487="","",INDEX(상세표[주말·휴일 포함],$P2487)&amp;"")</f>
        <v/>
      </c>
      <c r="O2487">
        <f>IF($P2487="","",INDEX(상세표[월 넘김 포함],$P2487)&amp;"")</f>
        <v/>
      </c>
      <c r="P2487" s="4">
        <f>IFERROR(MATCH(2482,상세표[연속순번],0),"")</f>
        <v/>
      </c>
    </row>
    <row r="2488">
      <c r="A2488">
        <f>IF($P2488="","",INDEX(상세표[사번],$P2488)&amp;"")</f>
        <v/>
      </c>
      <c r="B2488">
        <f>IF($P2488="","",INDEX(상세표[성명],$P2488)&amp;"")</f>
        <v/>
      </c>
      <c r="C2488">
        <f>IF($P2488="","",INDEX(상세표[부서],$P2488)&amp;"")</f>
        <v/>
      </c>
      <c r="D2488">
        <f>IF($P2488="","",INDEX(상세표[직위],$P2488)&amp;"")</f>
        <v/>
      </c>
      <c r="E2488">
        <f>IF($P2488="","",IF(ISNUMBER(INDEX(상세표[시작],$P2488)),TEXT(INDEX(상세표[시작],$P2488),"yyyy-mm-dd hh:mm"),INDEX(상세표[시작],$P2488)&amp;""))</f>
        <v/>
      </c>
      <c r="F2488">
        <f>IF($P2488="","",IF(ISNUMBER(INDEX(상세표[블록종료],$P2488)),TEXT(INDEX(상세표[블록종료],$P2488),"yyyy-mm-dd hh:mm"),INDEX(상세표[블록종료],$P2488)&amp;""))</f>
        <v/>
      </c>
      <c r="G2488">
        <f>IF($P2488="","",CHOOSE(WEEKDAY(INDEX(상세표[시작],$P2488)),"일","월","화","수","목","금","토"))</f>
        <v/>
      </c>
      <c r="H2488">
        <f>IF($P2488="","",INDEX(상세표[연속 시간],$P2488))</f>
        <v/>
      </c>
      <c r="I2488">
        <f>IF($P2488="","",INDEX(상세표[기록 수],$P2488))</f>
        <v/>
      </c>
      <c r="J2488">
        <f>IF($P2488="","",INDEX(상세표[블록 06~07시],$P2488))</f>
        <v/>
      </c>
      <c r="K2488">
        <f>IF($P2488="","",INDEX(상세표[블록 07~18시],$P2488))</f>
        <v/>
      </c>
      <c r="L2488">
        <f>IF($P2488="","",INDEX(상세표[블록 18~22시],$P2488))</f>
        <v/>
      </c>
      <c r="M2488">
        <f>IF($P2488="","",INDEX(상세표[블록 22~06시],$P2488))</f>
        <v/>
      </c>
      <c r="N2488">
        <f>IF($P2488="","",INDEX(상세표[주말·휴일 포함],$P2488)&amp;"")</f>
        <v/>
      </c>
      <c r="O2488">
        <f>IF($P2488="","",INDEX(상세표[월 넘김 포함],$P2488)&amp;"")</f>
        <v/>
      </c>
      <c r="P2488" s="4">
        <f>IFERROR(MATCH(2483,상세표[연속순번],0),"")</f>
        <v/>
      </c>
    </row>
    <row r="2489">
      <c r="A2489">
        <f>IF($P2489="","",INDEX(상세표[사번],$P2489)&amp;"")</f>
        <v/>
      </c>
      <c r="B2489">
        <f>IF($P2489="","",INDEX(상세표[성명],$P2489)&amp;"")</f>
        <v/>
      </c>
      <c r="C2489">
        <f>IF($P2489="","",INDEX(상세표[부서],$P2489)&amp;"")</f>
        <v/>
      </c>
      <c r="D2489">
        <f>IF($P2489="","",INDEX(상세표[직위],$P2489)&amp;"")</f>
        <v/>
      </c>
      <c r="E2489">
        <f>IF($P2489="","",IF(ISNUMBER(INDEX(상세표[시작],$P2489)),TEXT(INDEX(상세표[시작],$P2489),"yyyy-mm-dd hh:mm"),INDEX(상세표[시작],$P2489)&amp;""))</f>
        <v/>
      </c>
      <c r="F2489">
        <f>IF($P2489="","",IF(ISNUMBER(INDEX(상세표[블록종료],$P2489)),TEXT(INDEX(상세표[블록종료],$P2489),"yyyy-mm-dd hh:mm"),INDEX(상세표[블록종료],$P2489)&amp;""))</f>
        <v/>
      </c>
      <c r="G2489">
        <f>IF($P2489="","",CHOOSE(WEEKDAY(INDEX(상세표[시작],$P2489)),"일","월","화","수","목","금","토"))</f>
        <v/>
      </c>
      <c r="H2489">
        <f>IF($P2489="","",INDEX(상세표[연속 시간],$P2489))</f>
        <v/>
      </c>
      <c r="I2489">
        <f>IF($P2489="","",INDEX(상세표[기록 수],$P2489))</f>
        <v/>
      </c>
      <c r="J2489">
        <f>IF($P2489="","",INDEX(상세표[블록 06~07시],$P2489))</f>
        <v/>
      </c>
      <c r="K2489">
        <f>IF($P2489="","",INDEX(상세표[블록 07~18시],$P2489))</f>
        <v/>
      </c>
      <c r="L2489">
        <f>IF($P2489="","",INDEX(상세표[블록 18~22시],$P2489))</f>
        <v/>
      </c>
      <c r="M2489">
        <f>IF($P2489="","",INDEX(상세표[블록 22~06시],$P2489))</f>
        <v/>
      </c>
      <c r="N2489">
        <f>IF($P2489="","",INDEX(상세표[주말·휴일 포함],$P2489)&amp;"")</f>
        <v/>
      </c>
      <c r="O2489">
        <f>IF($P2489="","",INDEX(상세표[월 넘김 포함],$P2489)&amp;"")</f>
        <v/>
      </c>
      <c r="P2489" s="4">
        <f>IFERROR(MATCH(2484,상세표[연속순번],0),"")</f>
        <v/>
      </c>
    </row>
    <row r="2490">
      <c r="A2490">
        <f>IF($P2490="","",INDEX(상세표[사번],$P2490)&amp;"")</f>
        <v/>
      </c>
      <c r="B2490">
        <f>IF($P2490="","",INDEX(상세표[성명],$P2490)&amp;"")</f>
        <v/>
      </c>
      <c r="C2490">
        <f>IF($P2490="","",INDEX(상세표[부서],$P2490)&amp;"")</f>
        <v/>
      </c>
      <c r="D2490">
        <f>IF($P2490="","",INDEX(상세표[직위],$P2490)&amp;"")</f>
        <v/>
      </c>
      <c r="E2490">
        <f>IF($P2490="","",IF(ISNUMBER(INDEX(상세표[시작],$P2490)),TEXT(INDEX(상세표[시작],$P2490),"yyyy-mm-dd hh:mm"),INDEX(상세표[시작],$P2490)&amp;""))</f>
        <v/>
      </c>
      <c r="F2490">
        <f>IF($P2490="","",IF(ISNUMBER(INDEX(상세표[블록종료],$P2490)),TEXT(INDEX(상세표[블록종료],$P2490),"yyyy-mm-dd hh:mm"),INDEX(상세표[블록종료],$P2490)&amp;""))</f>
        <v/>
      </c>
      <c r="G2490">
        <f>IF($P2490="","",CHOOSE(WEEKDAY(INDEX(상세표[시작],$P2490)),"일","월","화","수","목","금","토"))</f>
        <v/>
      </c>
      <c r="H2490">
        <f>IF($P2490="","",INDEX(상세표[연속 시간],$P2490))</f>
        <v/>
      </c>
      <c r="I2490">
        <f>IF($P2490="","",INDEX(상세표[기록 수],$P2490))</f>
        <v/>
      </c>
      <c r="J2490">
        <f>IF($P2490="","",INDEX(상세표[블록 06~07시],$P2490))</f>
        <v/>
      </c>
      <c r="K2490">
        <f>IF($P2490="","",INDEX(상세표[블록 07~18시],$P2490))</f>
        <v/>
      </c>
      <c r="L2490">
        <f>IF($P2490="","",INDEX(상세표[블록 18~22시],$P2490))</f>
        <v/>
      </c>
      <c r="M2490">
        <f>IF($P2490="","",INDEX(상세표[블록 22~06시],$P2490))</f>
        <v/>
      </c>
      <c r="N2490">
        <f>IF($P2490="","",INDEX(상세표[주말·휴일 포함],$P2490)&amp;"")</f>
        <v/>
      </c>
      <c r="O2490">
        <f>IF($P2490="","",INDEX(상세표[월 넘김 포함],$P2490)&amp;"")</f>
        <v/>
      </c>
      <c r="P2490" s="4">
        <f>IFERROR(MATCH(2485,상세표[연속순번],0),"")</f>
        <v/>
      </c>
    </row>
    <row r="2491">
      <c r="A2491">
        <f>IF($P2491="","",INDEX(상세표[사번],$P2491)&amp;"")</f>
        <v/>
      </c>
      <c r="B2491">
        <f>IF($P2491="","",INDEX(상세표[성명],$P2491)&amp;"")</f>
        <v/>
      </c>
      <c r="C2491">
        <f>IF($P2491="","",INDEX(상세표[부서],$P2491)&amp;"")</f>
        <v/>
      </c>
      <c r="D2491">
        <f>IF($P2491="","",INDEX(상세표[직위],$P2491)&amp;"")</f>
        <v/>
      </c>
      <c r="E2491">
        <f>IF($P2491="","",IF(ISNUMBER(INDEX(상세표[시작],$P2491)),TEXT(INDEX(상세표[시작],$P2491),"yyyy-mm-dd hh:mm"),INDEX(상세표[시작],$P2491)&amp;""))</f>
        <v/>
      </c>
      <c r="F2491">
        <f>IF($P2491="","",IF(ISNUMBER(INDEX(상세표[블록종료],$P2491)),TEXT(INDEX(상세표[블록종료],$P2491),"yyyy-mm-dd hh:mm"),INDEX(상세표[블록종료],$P2491)&amp;""))</f>
        <v/>
      </c>
      <c r="G2491">
        <f>IF($P2491="","",CHOOSE(WEEKDAY(INDEX(상세표[시작],$P2491)),"일","월","화","수","목","금","토"))</f>
        <v/>
      </c>
      <c r="H2491">
        <f>IF($P2491="","",INDEX(상세표[연속 시간],$P2491))</f>
        <v/>
      </c>
      <c r="I2491">
        <f>IF($P2491="","",INDEX(상세표[기록 수],$P2491))</f>
        <v/>
      </c>
      <c r="J2491">
        <f>IF($P2491="","",INDEX(상세표[블록 06~07시],$P2491))</f>
        <v/>
      </c>
      <c r="K2491">
        <f>IF($P2491="","",INDEX(상세표[블록 07~18시],$P2491))</f>
        <v/>
      </c>
      <c r="L2491">
        <f>IF($P2491="","",INDEX(상세표[블록 18~22시],$P2491))</f>
        <v/>
      </c>
      <c r="M2491">
        <f>IF($P2491="","",INDEX(상세표[블록 22~06시],$P2491))</f>
        <v/>
      </c>
      <c r="N2491">
        <f>IF($P2491="","",INDEX(상세표[주말·휴일 포함],$P2491)&amp;"")</f>
        <v/>
      </c>
      <c r="O2491">
        <f>IF($P2491="","",INDEX(상세표[월 넘김 포함],$P2491)&amp;"")</f>
        <v/>
      </c>
      <c r="P2491" s="4">
        <f>IFERROR(MATCH(2486,상세표[연속순번],0),"")</f>
        <v/>
      </c>
    </row>
    <row r="2492">
      <c r="A2492">
        <f>IF($P2492="","",INDEX(상세표[사번],$P2492)&amp;"")</f>
        <v/>
      </c>
      <c r="B2492">
        <f>IF($P2492="","",INDEX(상세표[성명],$P2492)&amp;"")</f>
        <v/>
      </c>
      <c r="C2492">
        <f>IF($P2492="","",INDEX(상세표[부서],$P2492)&amp;"")</f>
        <v/>
      </c>
      <c r="D2492">
        <f>IF($P2492="","",INDEX(상세표[직위],$P2492)&amp;"")</f>
        <v/>
      </c>
      <c r="E2492">
        <f>IF($P2492="","",IF(ISNUMBER(INDEX(상세표[시작],$P2492)),TEXT(INDEX(상세표[시작],$P2492),"yyyy-mm-dd hh:mm"),INDEX(상세표[시작],$P2492)&amp;""))</f>
        <v/>
      </c>
      <c r="F2492">
        <f>IF($P2492="","",IF(ISNUMBER(INDEX(상세표[블록종료],$P2492)),TEXT(INDEX(상세표[블록종료],$P2492),"yyyy-mm-dd hh:mm"),INDEX(상세표[블록종료],$P2492)&amp;""))</f>
        <v/>
      </c>
      <c r="G2492">
        <f>IF($P2492="","",CHOOSE(WEEKDAY(INDEX(상세표[시작],$P2492)),"일","월","화","수","목","금","토"))</f>
        <v/>
      </c>
      <c r="H2492">
        <f>IF($P2492="","",INDEX(상세표[연속 시간],$P2492))</f>
        <v/>
      </c>
      <c r="I2492">
        <f>IF($P2492="","",INDEX(상세표[기록 수],$P2492))</f>
        <v/>
      </c>
      <c r="J2492">
        <f>IF($P2492="","",INDEX(상세표[블록 06~07시],$P2492))</f>
        <v/>
      </c>
      <c r="K2492">
        <f>IF($P2492="","",INDEX(상세표[블록 07~18시],$P2492))</f>
        <v/>
      </c>
      <c r="L2492">
        <f>IF($P2492="","",INDEX(상세표[블록 18~22시],$P2492))</f>
        <v/>
      </c>
      <c r="M2492">
        <f>IF($P2492="","",INDEX(상세표[블록 22~06시],$P2492))</f>
        <v/>
      </c>
      <c r="N2492">
        <f>IF($P2492="","",INDEX(상세표[주말·휴일 포함],$P2492)&amp;"")</f>
        <v/>
      </c>
      <c r="O2492">
        <f>IF($P2492="","",INDEX(상세표[월 넘김 포함],$P2492)&amp;"")</f>
        <v/>
      </c>
      <c r="P2492" s="4">
        <f>IFERROR(MATCH(2487,상세표[연속순번],0),"")</f>
        <v/>
      </c>
    </row>
    <row r="2493">
      <c r="A2493">
        <f>IF($P2493="","",INDEX(상세표[사번],$P2493)&amp;"")</f>
        <v/>
      </c>
      <c r="B2493">
        <f>IF($P2493="","",INDEX(상세표[성명],$P2493)&amp;"")</f>
        <v/>
      </c>
      <c r="C2493">
        <f>IF($P2493="","",INDEX(상세표[부서],$P2493)&amp;"")</f>
        <v/>
      </c>
      <c r="D2493">
        <f>IF($P2493="","",INDEX(상세표[직위],$P2493)&amp;"")</f>
        <v/>
      </c>
      <c r="E2493">
        <f>IF($P2493="","",IF(ISNUMBER(INDEX(상세표[시작],$P2493)),TEXT(INDEX(상세표[시작],$P2493),"yyyy-mm-dd hh:mm"),INDEX(상세표[시작],$P2493)&amp;""))</f>
        <v/>
      </c>
      <c r="F2493">
        <f>IF($P2493="","",IF(ISNUMBER(INDEX(상세표[블록종료],$P2493)),TEXT(INDEX(상세표[블록종료],$P2493),"yyyy-mm-dd hh:mm"),INDEX(상세표[블록종료],$P2493)&amp;""))</f>
        <v/>
      </c>
      <c r="G2493">
        <f>IF($P2493="","",CHOOSE(WEEKDAY(INDEX(상세표[시작],$P2493)),"일","월","화","수","목","금","토"))</f>
        <v/>
      </c>
      <c r="H2493">
        <f>IF($P2493="","",INDEX(상세표[연속 시간],$P2493))</f>
        <v/>
      </c>
      <c r="I2493">
        <f>IF($P2493="","",INDEX(상세표[기록 수],$P2493))</f>
        <v/>
      </c>
      <c r="J2493">
        <f>IF($P2493="","",INDEX(상세표[블록 06~07시],$P2493))</f>
        <v/>
      </c>
      <c r="K2493">
        <f>IF($P2493="","",INDEX(상세표[블록 07~18시],$P2493))</f>
        <v/>
      </c>
      <c r="L2493">
        <f>IF($P2493="","",INDEX(상세표[블록 18~22시],$P2493))</f>
        <v/>
      </c>
      <c r="M2493">
        <f>IF($P2493="","",INDEX(상세표[블록 22~06시],$P2493))</f>
        <v/>
      </c>
      <c r="N2493">
        <f>IF($P2493="","",INDEX(상세표[주말·휴일 포함],$P2493)&amp;"")</f>
        <v/>
      </c>
      <c r="O2493">
        <f>IF($P2493="","",INDEX(상세표[월 넘김 포함],$P2493)&amp;"")</f>
        <v/>
      </c>
      <c r="P2493" s="4">
        <f>IFERROR(MATCH(2488,상세표[연속순번],0),"")</f>
        <v/>
      </c>
    </row>
    <row r="2494">
      <c r="A2494">
        <f>IF($P2494="","",INDEX(상세표[사번],$P2494)&amp;"")</f>
        <v/>
      </c>
      <c r="B2494">
        <f>IF($P2494="","",INDEX(상세표[성명],$P2494)&amp;"")</f>
        <v/>
      </c>
      <c r="C2494">
        <f>IF($P2494="","",INDEX(상세표[부서],$P2494)&amp;"")</f>
        <v/>
      </c>
      <c r="D2494">
        <f>IF($P2494="","",INDEX(상세표[직위],$P2494)&amp;"")</f>
        <v/>
      </c>
      <c r="E2494">
        <f>IF($P2494="","",IF(ISNUMBER(INDEX(상세표[시작],$P2494)),TEXT(INDEX(상세표[시작],$P2494),"yyyy-mm-dd hh:mm"),INDEX(상세표[시작],$P2494)&amp;""))</f>
        <v/>
      </c>
      <c r="F2494">
        <f>IF($P2494="","",IF(ISNUMBER(INDEX(상세표[블록종료],$P2494)),TEXT(INDEX(상세표[블록종료],$P2494),"yyyy-mm-dd hh:mm"),INDEX(상세표[블록종료],$P2494)&amp;""))</f>
        <v/>
      </c>
      <c r="G2494">
        <f>IF($P2494="","",CHOOSE(WEEKDAY(INDEX(상세표[시작],$P2494)),"일","월","화","수","목","금","토"))</f>
        <v/>
      </c>
      <c r="H2494">
        <f>IF($P2494="","",INDEX(상세표[연속 시간],$P2494))</f>
        <v/>
      </c>
      <c r="I2494">
        <f>IF($P2494="","",INDEX(상세표[기록 수],$P2494))</f>
        <v/>
      </c>
      <c r="J2494">
        <f>IF($P2494="","",INDEX(상세표[블록 06~07시],$P2494))</f>
        <v/>
      </c>
      <c r="K2494">
        <f>IF($P2494="","",INDEX(상세표[블록 07~18시],$P2494))</f>
        <v/>
      </c>
      <c r="L2494">
        <f>IF($P2494="","",INDEX(상세표[블록 18~22시],$P2494))</f>
        <v/>
      </c>
      <c r="M2494">
        <f>IF($P2494="","",INDEX(상세표[블록 22~06시],$P2494))</f>
        <v/>
      </c>
      <c r="N2494">
        <f>IF($P2494="","",INDEX(상세표[주말·휴일 포함],$P2494)&amp;"")</f>
        <v/>
      </c>
      <c r="O2494">
        <f>IF($P2494="","",INDEX(상세표[월 넘김 포함],$P2494)&amp;"")</f>
        <v/>
      </c>
      <c r="P2494" s="4">
        <f>IFERROR(MATCH(2489,상세표[연속순번],0),"")</f>
        <v/>
      </c>
    </row>
    <row r="2495">
      <c r="A2495">
        <f>IF($P2495="","",INDEX(상세표[사번],$P2495)&amp;"")</f>
        <v/>
      </c>
      <c r="B2495">
        <f>IF($P2495="","",INDEX(상세표[성명],$P2495)&amp;"")</f>
        <v/>
      </c>
      <c r="C2495">
        <f>IF($P2495="","",INDEX(상세표[부서],$P2495)&amp;"")</f>
        <v/>
      </c>
      <c r="D2495">
        <f>IF($P2495="","",INDEX(상세표[직위],$P2495)&amp;"")</f>
        <v/>
      </c>
      <c r="E2495">
        <f>IF($P2495="","",IF(ISNUMBER(INDEX(상세표[시작],$P2495)),TEXT(INDEX(상세표[시작],$P2495),"yyyy-mm-dd hh:mm"),INDEX(상세표[시작],$P2495)&amp;""))</f>
        <v/>
      </c>
      <c r="F2495">
        <f>IF($P2495="","",IF(ISNUMBER(INDEX(상세표[블록종료],$P2495)),TEXT(INDEX(상세표[블록종료],$P2495),"yyyy-mm-dd hh:mm"),INDEX(상세표[블록종료],$P2495)&amp;""))</f>
        <v/>
      </c>
      <c r="G2495">
        <f>IF($P2495="","",CHOOSE(WEEKDAY(INDEX(상세표[시작],$P2495)),"일","월","화","수","목","금","토"))</f>
        <v/>
      </c>
      <c r="H2495">
        <f>IF($P2495="","",INDEX(상세표[연속 시간],$P2495))</f>
        <v/>
      </c>
      <c r="I2495">
        <f>IF($P2495="","",INDEX(상세표[기록 수],$P2495))</f>
        <v/>
      </c>
      <c r="J2495">
        <f>IF($P2495="","",INDEX(상세표[블록 06~07시],$P2495))</f>
        <v/>
      </c>
      <c r="K2495">
        <f>IF($P2495="","",INDEX(상세표[블록 07~18시],$P2495))</f>
        <v/>
      </c>
      <c r="L2495">
        <f>IF($P2495="","",INDEX(상세표[블록 18~22시],$P2495))</f>
        <v/>
      </c>
      <c r="M2495">
        <f>IF($P2495="","",INDEX(상세표[블록 22~06시],$P2495))</f>
        <v/>
      </c>
      <c r="N2495">
        <f>IF($P2495="","",INDEX(상세표[주말·휴일 포함],$P2495)&amp;"")</f>
        <v/>
      </c>
      <c r="O2495">
        <f>IF($P2495="","",INDEX(상세표[월 넘김 포함],$P2495)&amp;"")</f>
        <v/>
      </c>
      <c r="P2495" s="4">
        <f>IFERROR(MATCH(2490,상세표[연속순번],0),"")</f>
        <v/>
      </c>
    </row>
    <row r="2496">
      <c r="A2496">
        <f>IF($P2496="","",INDEX(상세표[사번],$P2496)&amp;"")</f>
        <v/>
      </c>
      <c r="B2496">
        <f>IF($P2496="","",INDEX(상세표[성명],$P2496)&amp;"")</f>
        <v/>
      </c>
      <c r="C2496">
        <f>IF($P2496="","",INDEX(상세표[부서],$P2496)&amp;"")</f>
        <v/>
      </c>
      <c r="D2496">
        <f>IF($P2496="","",INDEX(상세표[직위],$P2496)&amp;"")</f>
        <v/>
      </c>
      <c r="E2496">
        <f>IF($P2496="","",IF(ISNUMBER(INDEX(상세표[시작],$P2496)),TEXT(INDEX(상세표[시작],$P2496),"yyyy-mm-dd hh:mm"),INDEX(상세표[시작],$P2496)&amp;""))</f>
        <v/>
      </c>
      <c r="F2496">
        <f>IF($P2496="","",IF(ISNUMBER(INDEX(상세표[블록종료],$P2496)),TEXT(INDEX(상세표[블록종료],$P2496),"yyyy-mm-dd hh:mm"),INDEX(상세표[블록종료],$P2496)&amp;""))</f>
        <v/>
      </c>
      <c r="G2496">
        <f>IF($P2496="","",CHOOSE(WEEKDAY(INDEX(상세표[시작],$P2496)),"일","월","화","수","목","금","토"))</f>
        <v/>
      </c>
      <c r="H2496">
        <f>IF($P2496="","",INDEX(상세표[연속 시간],$P2496))</f>
        <v/>
      </c>
      <c r="I2496">
        <f>IF($P2496="","",INDEX(상세표[기록 수],$P2496))</f>
        <v/>
      </c>
      <c r="J2496">
        <f>IF($P2496="","",INDEX(상세표[블록 06~07시],$P2496))</f>
        <v/>
      </c>
      <c r="K2496">
        <f>IF($P2496="","",INDEX(상세표[블록 07~18시],$P2496))</f>
        <v/>
      </c>
      <c r="L2496">
        <f>IF($P2496="","",INDEX(상세표[블록 18~22시],$P2496))</f>
        <v/>
      </c>
      <c r="M2496">
        <f>IF($P2496="","",INDEX(상세표[블록 22~06시],$P2496))</f>
        <v/>
      </c>
      <c r="N2496">
        <f>IF($P2496="","",INDEX(상세표[주말·휴일 포함],$P2496)&amp;"")</f>
        <v/>
      </c>
      <c r="O2496">
        <f>IF($P2496="","",INDEX(상세표[월 넘김 포함],$P2496)&amp;"")</f>
        <v/>
      </c>
      <c r="P2496" s="4">
        <f>IFERROR(MATCH(2491,상세표[연속순번],0),"")</f>
        <v/>
      </c>
    </row>
    <row r="2497">
      <c r="A2497">
        <f>IF($P2497="","",INDEX(상세표[사번],$P2497)&amp;"")</f>
        <v/>
      </c>
      <c r="B2497">
        <f>IF($P2497="","",INDEX(상세표[성명],$P2497)&amp;"")</f>
        <v/>
      </c>
      <c r="C2497">
        <f>IF($P2497="","",INDEX(상세표[부서],$P2497)&amp;"")</f>
        <v/>
      </c>
      <c r="D2497">
        <f>IF($P2497="","",INDEX(상세표[직위],$P2497)&amp;"")</f>
        <v/>
      </c>
      <c r="E2497">
        <f>IF($P2497="","",IF(ISNUMBER(INDEX(상세표[시작],$P2497)),TEXT(INDEX(상세표[시작],$P2497),"yyyy-mm-dd hh:mm"),INDEX(상세표[시작],$P2497)&amp;""))</f>
        <v/>
      </c>
      <c r="F2497">
        <f>IF($P2497="","",IF(ISNUMBER(INDEX(상세표[블록종료],$P2497)),TEXT(INDEX(상세표[블록종료],$P2497),"yyyy-mm-dd hh:mm"),INDEX(상세표[블록종료],$P2497)&amp;""))</f>
        <v/>
      </c>
      <c r="G2497">
        <f>IF($P2497="","",CHOOSE(WEEKDAY(INDEX(상세표[시작],$P2497)),"일","월","화","수","목","금","토"))</f>
        <v/>
      </c>
      <c r="H2497">
        <f>IF($P2497="","",INDEX(상세표[연속 시간],$P2497))</f>
        <v/>
      </c>
      <c r="I2497">
        <f>IF($P2497="","",INDEX(상세표[기록 수],$P2497))</f>
        <v/>
      </c>
      <c r="J2497">
        <f>IF($P2497="","",INDEX(상세표[블록 06~07시],$P2497))</f>
        <v/>
      </c>
      <c r="K2497">
        <f>IF($P2497="","",INDEX(상세표[블록 07~18시],$P2497))</f>
        <v/>
      </c>
      <c r="L2497">
        <f>IF($P2497="","",INDEX(상세표[블록 18~22시],$P2497))</f>
        <v/>
      </c>
      <c r="M2497">
        <f>IF($P2497="","",INDEX(상세표[블록 22~06시],$P2497))</f>
        <v/>
      </c>
      <c r="N2497">
        <f>IF($P2497="","",INDEX(상세표[주말·휴일 포함],$P2497)&amp;"")</f>
        <v/>
      </c>
      <c r="O2497">
        <f>IF($P2497="","",INDEX(상세표[월 넘김 포함],$P2497)&amp;"")</f>
        <v/>
      </c>
      <c r="P2497" s="4">
        <f>IFERROR(MATCH(2492,상세표[연속순번],0),"")</f>
        <v/>
      </c>
    </row>
    <row r="2498">
      <c r="A2498">
        <f>IF($P2498="","",INDEX(상세표[사번],$P2498)&amp;"")</f>
        <v/>
      </c>
      <c r="B2498">
        <f>IF($P2498="","",INDEX(상세표[성명],$P2498)&amp;"")</f>
        <v/>
      </c>
      <c r="C2498">
        <f>IF($P2498="","",INDEX(상세표[부서],$P2498)&amp;"")</f>
        <v/>
      </c>
      <c r="D2498">
        <f>IF($P2498="","",INDEX(상세표[직위],$P2498)&amp;"")</f>
        <v/>
      </c>
      <c r="E2498">
        <f>IF($P2498="","",IF(ISNUMBER(INDEX(상세표[시작],$P2498)),TEXT(INDEX(상세표[시작],$P2498),"yyyy-mm-dd hh:mm"),INDEX(상세표[시작],$P2498)&amp;""))</f>
        <v/>
      </c>
      <c r="F2498">
        <f>IF($P2498="","",IF(ISNUMBER(INDEX(상세표[블록종료],$P2498)),TEXT(INDEX(상세표[블록종료],$P2498),"yyyy-mm-dd hh:mm"),INDEX(상세표[블록종료],$P2498)&amp;""))</f>
        <v/>
      </c>
      <c r="G2498">
        <f>IF($P2498="","",CHOOSE(WEEKDAY(INDEX(상세표[시작],$P2498)),"일","월","화","수","목","금","토"))</f>
        <v/>
      </c>
      <c r="H2498">
        <f>IF($P2498="","",INDEX(상세표[연속 시간],$P2498))</f>
        <v/>
      </c>
      <c r="I2498">
        <f>IF($P2498="","",INDEX(상세표[기록 수],$P2498))</f>
        <v/>
      </c>
      <c r="J2498">
        <f>IF($P2498="","",INDEX(상세표[블록 06~07시],$P2498))</f>
        <v/>
      </c>
      <c r="K2498">
        <f>IF($P2498="","",INDEX(상세표[블록 07~18시],$P2498))</f>
        <v/>
      </c>
      <c r="L2498">
        <f>IF($P2498="","",INDEX(상세표[블록 18~22시],$P2498))</f>
        <v/>
      </c>
      <c r="M2498">
        <f>IF($P2498="","",INDEX(상세표[블록 22~06시],$P2498))</f>
        <v/>
      </c>
      <c r="N2498">
        <f>IF($P2498="","",INDEX(상세표[주말·휴일 포함],$P2498)&amp;"")</f>
        <v/>
      </c>
      <c r="O2498">
        <f>IF($P2498="","",INDEX(상세표[월 넘김 포함],$P2498)&amp;"")</f>
        <v/>
      </c>
      <c r="P2498" s="4">
        <f>IFERROR(MATCH(2493,상세표[연속순번],0),"")</f>
        <v/>
      </c>
    </row>
    <row r="2499">
      <c r="A2499">
        <f>IF($P2499="","",INDEX(상세표[사번],$P2499)&amp;"")</f>
        <v/>
      </c>
      <c r="B2499">
        <f>IF($P2499="","",INDEX(상세표[성명],$P2499)&amp;"")</f>
        <v/>
      </c>
      <c r="C2499">
        <f>IF($P2499="","",INDEX(상세표[부서],$P2499)&amp;"")</f>
        <v/>
      </c>
      <c r="D2499">
        <f>IF($P2499="","",INDEX(상세표[직위],$P2499)&amp;"")</f>
        <v/>
      </c>
      <c r="E2499">
        <f>IF($P2499="","",IF(ISNUMBER(INDEX(상세표[시작],$P2499)),TEXT(INDEX(상세표[시작],$P2499),"yyyy-mm-dd hh:mm"),INDEX(상세표[시작],$P2499)&amp;""))</f>
        <v/>
      </c>
      <c r="F2499">
        <f>IF($P2499="","",IF(ISNUMBER(INDEX(상세표[블록종료],$P2499)),TEXT(INDEX(상세표[블록종료],$P2499),"yyyy-mm-dd hh:mm"),INDEX(상세표[블록종료],$P2499)&amp;""))</f>
        <v/>
      </c>
      <c r="G2499">
        <f>IF($P2499="","",CHOOSE(WEEKDAY(INDEX(상세표[시작],$P2499)),"일","월","화","수","목","금","토"))</f>
        <v/>
      </c>
      <c r="H2499">
        <f>IF($P2499="","",INDEX(상세표[연속 시간],$P2499))</f>
        <v/>
      </c>
      <c r="I2499">
        <f>IF($P2499="","",INDEX(상세표[기록 수],$P2499))</f>
        <v/>
      </c>
      <c r="J2499">
        <f>IF($P2499="","",INDEX(상세표[블록 06~07시],$P2499))</f>
        <v/>
      </c>
      <c r="K2499">
        <f>IF($P2499="","",INDEX(상세표[블록 07~18시],$P2499))</f>
        <v/>
      </c>
      <c r="L2499">
        <f>IF($P2499="","",INDEX(상세표[블록 18~22시],$P2499))</f>
        <v/>
      </c>
      <c r="M2499">
        <f>IF($P2499="","",INDEX(상세표[블록 22~06시],$P2499))</f>
        <v/>
      </c>
      <c r="N2499">
        <f>IF($P2499="","",INDEX(상세표[주말·휴일 포함],$P2499)&amp;"")</f>
        <v/>
      </c>
      <c r="O2499">
        <f>IF($P2499="","",INDEX(상세표[월 넘김 포함],$P2499)&amp;"")</f>
        <v/>
      </c>
      <c r="P2499" s="4">
        <f>IFERROR(MATCH(2494,상세표[연속순번],0),"")</f>
        <v/>
      </c>
    </row>
    <row r="2500">
      <c r="A2500">
        <f>IF($P2500="","",INDEX(상세표[사번],$P2500)&amp;"")</f>
        <v/>
      </c>
      <c r="B2500">
        <f>IF($P2500="","",INDEX(상세표[성명],$P2500)&amp;"")</f>
        <v/>
      </c>
      <c r="C2500">
        <f>IF($P2500="","",INDEX(상세표[부서],$P2500)&amp;"")</f>
        <v/>
      </c>
      <c r="D2500">
        <f>IF($P2500="","",INDEX(상세표[직위],$P2500)&amp;"")</f>
        <v/>
      </c>
      <c r="E2500">
        <f>IF($P2500="","",IF(ISNUMBER(INDEX(상세표[시작],$P2500)),TEXT(INDEX(상세표[시작],$P2500),"yyyy-mm-dd hh:mm"),INDEX(상세표[시작],$P2500)&amp;""))</f>
        <v/>
      </c>
      <c r="F2500">
        <f>IF($P2500="","",IF(ISNUMBER(INDEX(상세표[블록종료],$P2500)),TEXT(INDEX(상세표[블록종료],$P2500),"yyyy-mm-dd hh:mm"),INDEX(상세표[블록종료],$P2500)&amp;""))</f>
        <v/>
      </c>
      <c r="G2500">
        <f>IF($P2500="","",CHOOSE(WEEKDAY(INDEX(상세표[시작],$P2500)),"일","월","화","수","목","금","토"))</f>
        <v/>
      </c>
      <c r="H2500">
        <f>IF($P2500="","",INDEX(상세표[연속 시간],$P2500))</f>
        <v/>
      </c>
      <c r="I2500">
        <f>IF($P2500="","",INDEX(상세표[기록 수],$P2500))</f>
        <v/>
      </c>
      <c r="J2500">
        <f>IF($P2500="","",INDEX(상세표[블록 06~07시],$P2500))</f>
        <v/>
      </c>
      <c r="K2500">
        <f>IF($P2500="","",INDEX(상세표[블록 07~18시],$P2500))</f>
        <v/>
      </c>
      <c r="L2500">
        <f>IF($P2500="","",INDEX(상세표[블록 18~22시],$P2500))</f>
        <v/>
      </c>
      <c r="M2500">
        <f>IF($P2500="","",INDEX(상세표[블록 22~06시],$P2500))</f>
        <v/>
      </c>
      <c r="N2500">
        <f>IF($P2500="","",INDEX(상세표[주말·휴일 포함],$P2500)&amp;"")</f>
        <v/>
      </c>
      <c r="O2500">
        <f>IF($P2500="","",INDEX(상세표[월 넘김 포함],$P2500)&amp;"")</f>
        <v/>
      </c>
      <c r="P2500" s="4">
        <f>IFERROR(MATCH(2495,상세표[연속순번],0),"")</f>
        <v/>
      </c>
    </row>
    <row r="2501">
      <c r="A2501">
        <f>IF($P2501="","",INDEX(상세표[사번],$P2501)&amp;"")</f>
        <v/>
      </c>
      <c r="B2501">
        <f>IF($P2501="","",INDEX(상세표[성명],$P2501)&amp;"")</f>
        <v/>
      </c>
      <c r="C2501">
        <f>IF($P2501="","",INDEX(상세표[부서],$P2501)&amp;"")</f>
        <v/>
      </c>
      <c r="D2501">
        <f>IF($P2501="","",INDEX(상세표[직위],$P2501)&amp;"")</f>
        <v/>
      </c>
      <c r="E2501">
        <f>IF($P2501="","",IF(ISNUMBER(INDEX(상세표[시작],$P2501)),TEXT(INDEX(상세표[시작],$P2501),"yyyy-mm-dd hh:mm"),INDEX(상세표[시작],$P2501)&amp;""))</f>
        <v/>
      </c>
      <c r="F2501">
        <f>IF($P2501="","",IF(ISNUMBER(INDEX(상세표[블록종료],$P2501)),TEXT(INDEX(상세표[블록종료],$P2501),"yyyy-mm-dd hh:mm"),INDEX(상세표[블록종료],$P2501)&amp;""))</f>
        <v/>
      </c>
      <c r="G2501">
        <f>IF($P2501="","",CHOOSE(WEEKDAY(INDEX(상세표[시작],$P2501)),"일","월","화","수","목","금","토"))</f>
        <v/>
      </c>
      <c r="H2501">
        <f>IF($P2501="","",INDEX(상세표[연속 시간],$P2501))</f>
        <v/>
      </c>
      <c r="I2501">
        <f>IF($P2501="","",INDEX(상세표[기록 수],$P2501))</f>
        <v/>
      </c>
      <c r="J2501">
        <f>IF($P2501="","",INDEX(상세표[블록 06~07시],$P2501))</f>
        <v/>
      </c>
      <c r="K2501">
        <f>IF($P2501="","",INDEX(상세표[블록 07~18시],$P2501))</f>
        <v/>
      </c>
      <c r="L2501">
        <f>IF($P2501="","",INDEX(상세표[블록 18~22시],$P2501))</f>
        <v/>
      </c>
      <c r="M2501">
        <f>IF($P2501="","",INDEX(상세표[블록 22~06시],$P2501))</f>
        <v/>
      </c>
      <c r="N2501">
        <f>IF($P2501="","",INDEX(상세표[주말·휴일 포함],$P2501)&amp;"")</f>
        <v/>
      </c>
      <c r="O2501">
        <f>IF($P2501="","",INDEX(상세표[월 넘김 포함],$P2501)&amp;"")</f>
        <v/>
      </c>
      <c r="P2501" s="4">
        <f>IFERROR(MATCH(2496,상세표[연속순번],0),"")</f>
        <v/>
      </c>
    </row>
    <row r="2502">
      <c r="A2502">
        <f>IF($P2502="","",INDEX(상세표[사번],$P2502)&amp;"")</f>
        <v/>
      </c>
      <c r="B2502">
        <f>IF($P2502="","",INDEX(상세표[성명],$P2502)&amp;"")</f>
        <v/>
      </c>
      <c r="C2502">
        <f>IF($P2502="","",INDEX(상세표[부서],$P2502)&amp;"")</f>
        <v/>
      </c>
      <c r="D2502">
        <f>IF($P2502="","",INDEX(상세표[직위],$P2502)&amp;"")</f>
        <v/>
      </c>
      <c r="E2502">
        <f>IF($P2502="","",IF(ISNUMBER(INDEX(상세표[시작],$P2502)),TEXT(INDEX(상세표[시작],$P2502),"yyyy-mm-dd hh:mm"),INDEX(상세표[시작],$P2502)&amp;""))</f>
        <v/>
      </c>
      <c r="F2502">
        <f>IF($P2502="","",IF(ISNUMBER(INDEX(상세표[블록종료],$P2502)),TEXT(INDEX(상세표[블록종료],$P2502),"yyyy-mm-dd hh:mm"),INDEX(상세표[블록종료],$P2502)&amp;""))</f>
        <v/>
      </c>
      <c r="G2502">
        <f>IF($P2502="","",CHOOSE(WEEKDAY(INDEX(상세표[시작],$P2502)),"일","월","화","수","목","금","토"))</f>
        <v/>
      </c>
      <c r="H2502">
        <f>IF($P2502="","",INDEX(상세표[연속 시간],$P2502))</f>
        <v/>
      </c>
      <c r="I2502">
        <f>IF($P2502="","",INDEX(상세표[기록 수],$P2502))</f>
        <v/>
      </c>
      <c r="J2502">
        <f>IF($P2502="","",INDEX(상세표[블록 06~07시],$P2502))</f>
        <v/>
      </c>
      <c r="K2502">
        <f>IF($P2502="","",INDEX(상세표[블록 07~18시],$P2502))</f>
        <v/>
      </c>
      <c r="L2502">
        <f>IF($P2502="","",INDEX(상세표[블록 18~22시],$P2502))</f>
        <v/>
      </c>
      <c r="M2502">
        <f>IF($P2502="","",INDEX(상세표[블록 22~06시],$P2502))</f>
        <v/>
      </c>
      <c r="N2502">
        <f>IF($P2502="","",INDEX(상세표[주말·휴일 포함],$P2502)&amp;"")</f>
        <v/>
      </c>
      <c r="O2502">
        <f>IF($P2502="","",INDEX(상세표[월 넘김 포함],$P2502)&amp;"")</f>
        <v/>
      </c>
      <c r="P2502" s="4">
        <f>IFERROR(MATCH(2497,상세표[연속순번],0),"")</f>
        <v/>
      </c>
    </row>
    <row r="2503">
      <c r="A2503">
        <f>IF($P2503="","",INDEX(상세표[사번],$P2503)&amp;"")</f>
        <v/>
      </c>
      <c r="B2503">
        <f>IF($P2503="","",INDEX(상세표[성명],$P2503)&amp;"")</f>
        <v/>
      </c>
      <c r="C2503">
        <f>IF($P2503="","",INDEX(상세표[부서],$P2503)&amp;"")</f>
        <v/>
      </c>
      <c r="D2503">
        <f>IF($P2503="","",INDEX(상세표[직위],$P2503)&amp;"")</f>
        <v/>
      </c>
      <c r="E2503">
        <f>IF($P2503="","",IF(ISNUMBER(INDEX(상세표[시작],$P2503)),TEXT(INDEX(상세표[시작],$P2503),"yyyy-mm-dd hh:mm"),INDEX(상세표[시작],$P2503)&amp;""))</f>
        <v/>
      </c>
      <c r="F2503">
        <f>IF($P2503="","",IF(ISNUMBER(INDEX(상세표[블록종료],$P2503)),TEXT(INDEX(상세표[블록종료],$P2503),"yyyy-mm-dd hh:mm"),INDEX(상세표[블록종료],$P2503)&amp;""))</f>
        <v/>
      </c>
      <c r="G2503">
        <f>IF($P2503="","",CHOOSE(WEEKDAY(INDEX(상세표[시작],$P2503)),"일","월","화","수","목","금","토"))</f>
        <v/>
      </c>
      <c r="H2503">
        <f>IF($P2503="","",INDEX(상세표[연속 시간],$P2503))</f>
        <v/>
      </c>
      <c r="I2503">
        <f>IF($P2503="","",INDEX(상세표[기록 수],$P2503))</f>
        <v/>
      </c>
      <c r="J2503">
        <f>IF($P2503="","",INDEX(상세표[블록 06~07시],$P2503))</f>
        <v/>
      </c>
      <c r="K2503">
        <f>IF($P2503="","",INDEX(상세표[블록 07~18시],$P2503))</f>
        <v/>
      </c>
      <c r="L2503">
        <f>IF($P2503="","",INDEX(상세표[블록 18~22시],$P2503))</f>
        <v/>
      </c>
      <c r="M2503">
        <f>IF($P2503="","",INDEX(상세표[블록 22~06시],$P2503))</f>
        <v/>
      </c>
      <c r="N2503">
        <f>IF($P2503="","",INDEX(상세표[주말·휴일 포함],$P2503)&amp;"")</f>
        <v/>
      </c>
      <c r="O2503">
        <f>IF($P2503="","",INDEX(상세표[월 넘김 포함],$P2503)&amp;"")</f>
        <v/>
      </c>
      <c r="P2503" s="4">
        <f>IFERROR(MATCH(2498,상세표[연속순번],0),"")</f>
        <v/>
      </c>
    </row>
    <row r="2504">
      <c r="A2504">
        <f>IF($P2504="","",INDEX(상세표[사번],$P2504)&amp;"")</f>
        <v/>
      </c>
      <c r="B2504">
        <f>IF($P2504="","",INDEX(상세표[성명],$P2504)&amp;"")</f>
        <v/>
      </c>
      <c r="C2504">
        <f>IF($P2504="","",INDEX(상세표[부서],$P2504)&amp;"")</f>
        <v/>
      </c>
      <c r="D2504">
        <f>IF($P2504="","",INDEX(상세표[직위],$P2504)&amp;"")</f>
        <v/>
      </c>
      <c r="E2504">
        <f>IF($P2504="","",IF(ISNUMBER(INDEX(상세표[시작],$P2504)),TEXT(INDEX(상세표[시작],$P2504),"yyyy-mm-dd hh:mm"),INDEX(상세표[시작],$P2504)&amp;""))</f>
        <v/>
      </c>
      <c r="F2504">
        <f>IF($P2504="","",IF(ISNUMBER(INDEX(상세표[블록종료],$P2504)),TEXT(INDEX(상세표[블록종료],$P2504),"yyyy-mm-dd hh:mm"),INDEX(상세표[블록종료],$P2504)&amp;""))</f>
        <v/>
      </c>
      <c r="G2504">
        <f>IF($P2504="","",CHOOSE(WEEKDAY(INDEX(상세표[시작],$P2504)),"일","월","화","수","목","금","토"))</f>
        <v/>
      </c>
      <c r="H2504">
        <f>IF($P2504="","",INDEX(상세표[연속 시간],$P2504))</f>
        <v/>
      </c>
      <c r="I2504">
        <f>IF($P2504="","",INDEX(상세표[기록 수],$P2504))</f>
        <v/>
      </c>
      <c r="J2504">
        <f>IF($P2504="","",INDEX(상세표[블록 06~07시],$P2504))</f>
        <v/>
      </c>
      <c r="K2504">
        <f>IF($P2504="","",INDEX(상세표[블록 07~18시],$P2504))</f>
        <v/>
      </c>
      <c r="L2504">
        <f>IF($P2504="","",INDEX(상세표[블록 18~22시],$P2504))</f>
        <v/>
      </c>
      <c r="M2504">
        <f>IF($P2504="","",INDEX(상세표[블록 22~06시],$P2504))</f>
        <v/>
      </c>
      <c r="N2504">
        <f>IF($P2504="","",INDEX(상세표[주말·휴일 포함],$P2504)&amp;"")</f>
        <v/>
      </c>
      <c r="O2504">
        <f>IF($P2504="","",INDEX(상세표[월 넘김 포함],$P2504)&amp;"")</f>
        <v/>
      </c>
      <c r="P2504" s="4">
        <f>IFERROR(MATCH(2499,상세표[연속순번],0),"")</f>
        <v/>
      </c>
    </row>
    <row r="2505">
      <c r="A2505">
        <f>IF($P2505="","",INDEX(상세표[사번],$P2505)&amp;"")</f>
        <v/>
      </c>
      <c r="B2505">
        <f>IF($P2505="","",INDEX(상세표[성명],$P2505)&amp;"")</f>
        <v/>
      </c>
      <c r="C2505">
        <f>IF($P2505="","",INDEX(상세표[부서],$P2505)&amp;"")</f>
        <v/>
      </c>
      <c r="D2505">
        <f>IF($P2505="","",INDEX(상세표[직위],$P2505)&amp;"")</f>
        <v/>
      </c>
      <c r="E2505">
        <f>IF($P2505="","",IF(ISNUMBER(INDEX(상세표[시작],$P2505)),TEXT(INDEX(상세표[시작],$P2505),"yyyy-mm-dd hh:mm"),INDEX(상세표[시작],$P2505)&amp;""))</f>
        <v/>
      </c>
      <c r="F2505">
        <f>IF($P2505="","",IF(ISNUMBER(INDEX(상세표[블록종료],$P2505)),TEXT(INDEX(상세표[블록종료],$P2505),"yyyy-mm-dd hh:mm"),INDEX(상세표[블록종료],$P2505)&amp;""))</f>
        <v/>
      </c>
      <c r="G2505">
        <f>IF($P2505="","",CHOOSE(WEEKDAY(INDEX(상세표[시작],$P2505)),"일","월","화","수","목","금","토"))</f>
        <v/>
      </c>
      <c r="H2505">
        <f>IF($P2505="","",INDEX(상세표[연속 시간],$P2505))</f>
        <v/>
      </c>
      <c r="I2505">
        <f>IF($P2505="","",INDEX(상세표[기록 수],$P2505))</f>
        <v/>
      </c>
      <c r="J2505">
        <f>IF($P2505="","",INDEX(상세표[블록 06~07시],$P2505))</f>
        <v/>
      </c>
      <c r="K2505">
        <f>IF($P2505="","",INDEX(상세표[블록 07~18시],$P2505))</f>
        <v/>
      </c>
      <c r="L2505">
        <f>IF($P2505="","",INDEX(상세표[블록 18~22시],$P2505))</f>
        <v/>
      </c>
      <c r="M2505">
        <f>IF($P2505="","",INDEX(상세표[블록 22~06시],$P2505))</f>
        <v/>
      </c>
      <c r="N2505">
        <f>IF($P2505="","",INDEX(상세표[주말·휴일 포함],$P2505)&amp;"")</f>
        <v/>
      </c>
      <c r="O2505">
        <f>IF($P2505="","",INDEX(상세표[월 넘김 포함],$P2505)&amp;"")</f>
        <v/>
      </c>
      <c r="P2505" s="4">
        <f>IFERROR(MATCH(2500,상세표[연속순번],0),"")</f>
        <v/>
      </c>
    </row>
    <row r="2506">
      <c r="A2506">
        <f>IF($P2506="","",INDEX(상세표[사번],$P2506)&amp;"")</f>
        <v/>
      </c>
      <c r="B2506">
        <f>IF($P2506="","",INDEX(상세표[성명],$P2506)&amp;"")</f>
        <v/>
      </c>
      <c r="C2506">
        <f>IF($P2506="","",INDEX(상세표[부서],$P2506)&amp;"")</f>
        <v/>
      </c>
      <c r="D2506">
        <f>IF($P2506="","",INDEX(상세표[직위],$P2506)&amp;"")</f>
        <v/>
      </c>
      <c r="E2506">
        <f>IF($P2506="","",IF(ISNUMBER(INDEX(상세표[시작],$P2506)),TEXT(INDEX(상세표[시작],$P2506),"yyyy-mm-dd hh:mm"),INDEX(상세표[시작],$P2506)&amp;""))</f>
        <v/>
      </c>
      <c r="F2506">
        <f>IF($P2506="","",IF(ISNUMBER(INDEX(상세표[블록종료],$P2506)),TEXT(INDEX(상세표[블록종료],$P2506),"yyyy-mm-dd hh:mm"),INDEX(상세표[블록종료],$P2506)&amp;""))</f>
        <v/>
      </c>
      <c r="G2506">
        <f>IF($P2506="","",CHOOSE(WEEKDAY(INDEX(상세표[시작],$P2506)),"일","월","화","수","목","금","토"))</f>
        <v/>
      </c>
      <c r="H2506">
        <f>IF($P2506="","",INDEX(상세표[연속 시간],$P2506))</f>
        <v/>
      </c>
      <c r="I2506">
        <f>IF($P2506="","",INDEX(상세표[기록 수],$P2506))</f>
        <v/>
      </c>
      <c r="J2506">
        <f>IF($P2506="","",INDEX(상세표[블록 06~07시],$P2506))</f>
        <v/>
      </c>
      <c r="K2506">
        <f>IF($P2506="","",INDEX(상세표[블록 07~18시],$P2506))</f>
        <v/>
      </c>
      <c r="L2506">
        <f>IF($P2506="","",INDEX(상세표[블록 18~22시],$P2506))</f>
        <v/>
      </c>
      <c r="M2506">
        <f>IF($P2506="","",INDEX(상세표[블록 22~06시],$P2506))</f>
        <v/>
      </c>
      <c r="N2506">
        <f>IF($P2506="","",INDEX(상세표[주말·휴일 포함],$P2506)&amp;"")</f>
        <v/>
      </c>
      <c r="O2506">
        <f>IF($P2506="","",INDEX(상세표[월 넘김 포함],$P2506)&amp;"")</f>
        <v/>
      </c>
      <c r="P2506" s="4">
        <f>IFERROR(MATCH(2501,상세표[연속순번],0),"")</f>
        <v/>
      </c>
    </row>
    <row r="2507">
      <c r="A2507">
        <f>IF($P2507="","",INDEX(상세표[사번],$P2507)&amp;"")</f>
        <v/>
      </c>
      <c r="B2507">
        <f>IF($P2507="","",INDEX(상세표[성명],$P2507)&amp;"")</f>
        <v/>
      </c>
      <c r="C2507">
        <f>IF($P2507="","",INDEX(상세표[부서],$P2507)&amp;"")</f>
        <v/>
      </c>
      <c r="D2507">
        <f>IF($P2507="","",INDEX(상세표[직위],$P2507)&amp;"")</f>
        <v/>
      </c>
      <c r="E2507">
        <f>IF($P2507="","",IF(ISNUMBER(INDEX(상세표[시작],$P2507)),TEXT(INDEX(상세표[시작],$P2507),"yyyy-mm-dd hh:mm"),INDEX(상세표[시작],$P2507)&amp;""))</f>
        <v/>
      </c>
      <c r="F2507">
        <f>IF($P2507="","",IF(ISNUMBER(INDEX(상세표[블록종료],$P2507)),TEXT(INDEX(상세표[블록종료],$P2507),"yyyy-mm-dd hh:mm"),INDEX(상세표[블록종료],$P2507)&amp;""))</f>
        <v/>
      </c>
      <c r="G2507">
        <f>IF($P2507="","",CHOOSE(WEEKDAY(INDEX(상세표[시작],$P2507)),"일","월","화","수","목","금","토"))</f>
        <v/>
      </c>
      <c r="H2507">
        <f>IF($P2507="","",INDEX(상세표[연속 시간],$P2507))</f>
        <v/>
      </c>
      <c r="I2507">
        <f>IF($P2507="","",INDEX(상세표[기록 수],$P2507))</f>
        <v/>
      </c>
      <c r="J2507">
        <f>IF($P2507="","",INDEX(상세표[블록 06~07시],$P2507))</f>
        <v/>
      </c>
      <c r="K2507">
        <f>IF($P2507="","",INDEX(상세표[블록 07~18시],$P2507))</f>
        <v/>
      </c>
      <c r="L2507">
        <f>IF($P2507="","",INDEX(상세표[블록 18~22시],$P2507))</f>
        <v/>
      </c>
      <c r="M2507">
        <f>IF($P2507="","",INDEX(상세표[블록 22~06시],$P2507))</f>
        <v/>
      </c>
      <c r="N2507">
        <f>IF($P2507="","",INDEX(상세표[주말·휴일 포함],$P2507)&amp;"")</f>
        <v/>
      </c>
      <c r="O2507">
        <f>IF($P2507="","",INDEX(상세표[월 넘김 포함],$P2507)&amp;"")</f>
        <v/>
      </c>
      <c r="P2507" s="4">
        <f>IFERROR(MATCH(2502,상세표[연속순번],0),"")</f>
        <v/>
      </c>
    </row>
    <row r="2508">
      <c r="A2508">
        <f>IF($P2508="","",INDEX(상세표[사번],$P2508)&amp;"")</f>
        <v/>
      </c>
      <c r="B2508">
        <f>IF($P2508="","",INDEX(상세표[성명],$P2508)&amp;"")</f>
        <v/>
      </c>
      <c r="C2508">
        <f>IF($P2508="","",INDEX(상세표[부서],$P2508)&amp;"")</f>
        <v/>
      </c>
      <c r="D2508">
        <f>IF($P2508="","",INDEX(상세표[직위],$P2508)&amp;"")</f>
        <v/>
      </c>
      <c r="E2508">
        <f>IF($P2508="","",IF(ISNUMBER(INDEX(상세표[시작],$P2508)),TEXT(INDEX(상세표[시작],$P2508),"yyyy-mm-dd hh:mm"),INDEX(상세표[시작],$P2508)&amp;""))</f>
        <v/>
      </c>
      <c r="F2508">
        <f>IF($P2508="","",IF(ISNUMBER(INDEX(상세표[블록종료],$P2508)),TEXT(INDEX(상세표[블록종료],$P2508),"yyyy-mm-dd hh:mm"),INDEX(상세표[블록종료],$P2508)&amp;""))</f>
        <v/>
      </c>
      <c r="G2508">
        <f>IF($P2508="","",CHOOSE(WEEKDAY(INDEX(상세표[시작],$P2508)),"일","월","화","수","목","금","토"))</f>
        <v/>
      </c>
      <c r="H2508">
        <f>IF($P2508="","",INDEX(상세표[연속 시간],$P2508))</f>
        <v/>
      </c>
      <c r="I2508">
        <f>IF($P2508="","",INDEX(상세표[기록 수],$P2508))</f>
        <v/>
      </c>
      <c r="J2508">
        <f>IF($P2508="","",INDEX(상세표[블록 06~07시],$P2508))</f>
        <v/>
      </c>
      <c r="K2508">
        <f>IF($P2508="","",INDEX(상세표[블록 07~18시],$P2508))</f>
        <v/>
      </c>
      <c r="L2508">
        <f>IF($P2508="","",INDEX(상세표[블록 18~22시],$P2508))</f>
        <v/>
      </c>
      <c r="M2508">
        <f>IF($P2508="","",INDEX(상세표[블록 22~06시],$P2508))</f>
        <v/>
      </c>
      <c r="N2508">
        <f>IF($P2508="","",INDEX(상세표[주말·휴일 포함],$P2508)&amp;"")</f>
        <v/>
      </c>
      <c r="O2508">
        <f>IF($P2508="","",INDEX(상세표[월 넘김 포함],$P2508)&amp;"")</f>
        <v/>
      </c>
      <c r="P2508" s="4">
        <f>IFERROR(MATCH(2503,상세표[연속순번],0),"")</f>
        <v/>
      </c>
    </row>
    <row r="2509">
      <c r="A2509">
        <f>IF($P2509="","",INDEX(상세표[사번],$P2509)&amp;"")</f>
        <v/>
      </c>
      <c r="B2509">
        <f>IF($P2509="","",INDEX(상세표[성명],$P2509)&amp;"")</f>
        <v/>
      </c>
      <c r="C2509">
        <f>IF($P2509="","",INDEX(상세표[부서],$P2509)&amp;"")</f>
        <v/>
      </c>
      <c r="D2509">
        <f>IF($P2509="","",INDEX(상세표[직위],$P2509)&amp;"")</f>
        <v/>
      </c>
      <c r="E2509">
        <f>IF($P2509="","",IF(ISNUMBER(INDEX(상세표[시작],$P2509)),TEXT(INDEX(상세표[시작],$P2509),"yyyy-mm-dd hh:mm"),INDEX(상세표[시작],$P2509)&amp;""))</f>
        <v/>
      </c>
      <c r="F2509">
        <f>IF($P2509="","",IF(ISNUMBER(INDEX(상세표[블록종료],$P2509)),TEXT(INDEX(상세표[블록종료],$P2509),"yyyy-mm-dd hh:mm"),INDEX(상세표[블록종료],$P2509)&amp;""))</f>
        <v/>
      </c>
      <c r="G2509">
        <f>IF($P2509="","",CHOOSE(WEEKDAY(INDEX(상세표[시작],$P2509)),"일","월","화","수","목","금","토"))</f>
        <v/>
      </c>
      <c r="H2509">
        <f>IF($P2509="","",INDEX(상세표[연속 시간],$P2509))</f>
        <v/>
      </c>
      <c r="I2509">
        <f>IF($P2509="","",INDEX(상세표[기록 수],$P2509))</f>
        <v/>
      </c>
      <c r="J2509">
        <f>IF($P2509="","",INDEX(상세표[블록 06~07시],$P2509))</f>
        <v/>
      </c>
      <c r="K2509">
        <f>IF($P2509="","",INDEX(상세표[블록 07~18시],$P2509))</f>
        <v/>
      </c>
      <c r="L2509">
        <f>IF($P2509="","",INDEX(상세표[블록 18~22시],$P2509))</f>
        <v/>
      </c>
      <c r="M2509">
        <f>IF($P2509="","",INDEX(상세표[블록 22~06시],$P2509))</f>
        <v/>
      </c>
      <c r="N2509">
        <f>IF($P2509="","",INDEX(상세표[주말·휴일 포함],$P2509)&amp;"")</f>
        <v/>
      </c>
      <c r="O2509">
        <f>IF($P2509="","",INDEX(상세표[월 넘김 포함],$P2509)&amp;"")</f>
        <v/>
      </c>
      <c r="P2509" s="4">
        <f>IFERROR(MATCH(2504,상세표[연속순번],0),"")</f>
        <v/>
      </c>
    </row>
    <row r="2510">
      <c r="A2510">
        <f>IF($P2510="","",INDEX(상세표[사번],$P2510)&amp;"")</f>
        <v/>
      </c>
      <c r="B2510">
        <f>IF($P2510="","",INDEX(상세표[성명],$P2510)&amp;"")</f>
        <v/>
      </c>
      <c r="C2510">
        <f>IF($P2510="","",INDEX(상세표[부서],$P2510)&amp;"")</f>
        <v/>
      </c>
      <c r="D2510">
        <f>IF($P2510="","",INDEX(상세표[직위],$P2510)&amp;"")</f>
        <v/>
      </c>
      <c r="E2510">
        <f>IF($P2510="","",IF(ISNUMBER(INDEX(상세표[시작],$P2510)),TEXT(INDEX(상세표[시작],$P2510),"yyyy-mm-dd hh:mm"),INDEX(상세표[시작],$P2510)&amp;""))</f>
        <v/>
      </c>
      <c r="F2510">
        <f>IF($P2510="","",IF(ISNUMBER(INDEX(상세표[블록종료],$P2510)),TEXT(INDEX(상세표[블록종료],$P2510),"yyyy-mm-dd hh:mm"),INDEX(상세표[블록종료],$P2510)&amp;""))</f>
        <v/>
      </c>
      <c r="G2510">
        <f>IF($P2510="","",CHOOSE(WEEKDAY(INDEX(상세표[시작],$P2510)),"일","월","화","수","목","금","토"))</f>
        <v/>
      </c>
      <c r="H2510">
        <f>IF($P2510="","",INDEX(상세표[연속 시간],$P2510))</f>
        <v/>
      </c>
      <c r="I2510">
        <f>IF($P2510="","",INDEX(상세표[기록 수],$P2510))</f>
        <v/>
      </c>
      <c r="J2510">
        <f>IF($P2510="","",INDEX(상세표[블록 06~07시],$P2510))</f>
        <v/>
      </c>
      <c r="K2510">
        <f>IF($P2510="","",INDEX(상세표[블록 07~18시],$P2510))</f>
        <v/>
      </c>
      <c r="L2510">
        <f>IF($P2510="","",INDEX(상세표[블록 18~22시],$P2510))</f>
        <v/>
      </c>
      <c r="M2510">
        <f>IF($P2510="","",INDEX(상세표[블록 22~06시],$P2510))</f>
        <v/>
      </c>
      <c r="N2510">
        <f>IF($P2510="","",INDEX(상세표[주말·휴일 포함],$P2510)&amp;"")</f>
        <v/>
      </c>
      <c r="O2510">
        <f>IF($P2510="","",INDEX(상세표[월 넘김 포함],$P2510)&amp;"")</f>
        <v/>
      </c>
      <c r="P2510" s="4">
        <f>IFERROR(MATCH(2505,상세표[연속순번],0),"")</f>
        <v/>
      </c>
    </row>
    <row r="2511">
      <c r="A2511">
        <f>IF($P2511="","",INDEX(상세표[사번],$P2511)&amp;"")</f>
        <v/>
      </c>
      <c r="B2511">
        <f>IF($P2511="","",INDEX(상세표[성명],$P2511)&amp;"")</f>
        <v/>
      </c>
      <c r="C2511">
        <f>IF($P2511="","",INDEX(상세표[부서],$P2511)&amp;"")</f>
        <v/>
      </c>
      <c r="D2511">
        <f>IF($P2511="","",INDEX(상세표[직위],$P2511)&amp;"")</f>
        <v/>
      </c>
      <c r="E2511">
        <f>IF($P2511="","",IF(ISNUMBER(INDEX(상세표[시작],$P2511)),TEXT(INDEX(상세표[시작],$P2511),"yyyy-mm-dd hh:mm"),INDEX(상세표[시작],$P2511)&amp;""))</f>
        <v/>
      </c>
      <c r="F2511">
        <f>IF($P2511="","",IF(ISNUMBER(INDEX(상세표[블록종료],$P2511)),TEXT(INDEX(상세표[블록종료],$P2511),"yyyy-mm-dd hh:mm"),INDEX(상세표[블록종료],$P2511)&amp;""))</f>
        <v/>
      </c>
      <c r="G2511">
        <f>IF($P2511="","",CHOOSE(WEEKDAY(INDEX(상세표[시작],$P2511)),"일","월","화","수","목","금","토"))</f>
        <v/>
      </c>
      <c r="H2511">
        <f>IF($P2511="","",INDEX(상세표[연속 시간],$P2511))</f>
        <v/>
      </c>
      <c r="I2511">
        <f>IF($P2511="","",INDEX(상세표[기록 수],$P2511))</f>
        <v/>
      </c>
      <c r="J2511">
        <f>IF($P2511="","",INDEX(상세표[블록 06~07시],$P2511))</f>
        <v/>
      </c>
      <c r="K2511">
        <f>IF($P2511="","",INDEX(상세표[블록 07~18시],$P2511))</f>
        <v/>
      </c>
      <c r="L2511">
        <f>IF($P2511="","",INDEX(상세표[블록 18~22시],$P2511))</f>
        <v/>
      </c>
      <c r="M2511">
        <f>IF($P2511="","",INDEX(상세표[블록 22~06시],$P2511))</f>
        <v/>
      </c>
      <c r="N2511">
        <f>IF($P2511="","",INDEX(상세표[주말·휴일 포함],$P2511)&amp;"")</f>
        <v/>
      </c>
      <c r="O2511">
        <f>IF($P2511="","",INDEX(상세표[월 넘김 포함],$P2511)&amp;"")</f>
        <v/>
      </c>
      <c r="P2511" s="4">
        <f>IFERROR(MATCH(2506,상세표[연속순번],0),"")</f>
        <v/>
      </c>
    </row>
    <row r="2512">
      <c r="A2512">
        <f>IF($P2512="","",INDEX(상세표[사번],$P2512)&amp;"")</f>
        <v/>
      </c>
      <c r="B2512">
        <f>IF($P2512="","",INDEX(상세표[성명],$P2512)&amp;"")</f>
        <v/>
      </c>
      <c r="C2512">
        <f>IF($P2512="","",INDEX(상세표[부서],$P2512)&amp;"")</f>
        <v/>
      </c>
      <c r="D2512">
        <f>IF($P2512="","",INDEX(상세표[직위],$P2512)&amp;"")</f>
        <v/>
      </c>
      <c r="E2512">
        <f>IF($P2512="","",IF(ISNUMBER(INDEX(상세표[시작],$P2512)),TEXT(INDEX(상세표[시작],$P2512),"yyyy-mm-dd hh:mm"),INDEX(상세표[시작],$P2512)&amp;""))</f>
        <v/>
      </c>
      <c r="F2512">
        <f>IF($P2512="","",IF(ISNUMBER(INDEX(상세표[블록종료],$P2512)),TEXT(INDEX(상세표[블록종료],$P2512),"yyyy-mm-dd hh:mm"),INDEX(상세표[블록종료],$P2512)&amp;""))</f>
        <v/>
      </c>
      <c r="G2512">
        <f>IF($P2512="","",CHOOSE(WEEKDAY(INDEX(상세표[시작],$P2512)),"일","월","화","수","목","금","토"))</f>
        <v/>
      </c>
      <c r="H2512">
        <f>IF($P2512="","",INDEX(상세표[연속 시간],$P2512))</f>
        <v/>
      </c>
      <c r="I2512">
        <f>IF($P2512="","",INDEX(상세표[기록 수],$P2512))</f>
        <v/>
      </c>
      <c r="J2512">
        <f>IF($P2512="","",INDEX(상세표[블록 06~07시],$P2512))</f>
        <v/>
      </c>
      <c r="K2512">
        <f>IF($P2512="","",INDEX(상세표[블록 07~18시],$P2512))</f>
        <v/>
      </c>
      <c r="L2512">
        <f>IF($P2512="","",INDEX(상세표[블록 18~22시],$P2512))</f>
        <v/>
      </c>
      <c r="M2512">
        <f>IF($P2512="","",INDEX(상세표[블록 22~06시],$P2512))</f>
        <v/>
      </c>
      <c r="N2512">
        <f>IF($P2512="","",INDEX(상세표[주말·휴일 포함],$P2512)&amp;"")</f>
        <v/>
      </c>
      <c r="O2512">
        <f>IF($P2512="","",INDEX(상세표[월 넘김 포함],$P2512)&amp;"")</f>
        <v/>
      </c>
      <c r="P2512" s="4">
        <f>IFERROR(MATCH(2507,상세표[연속순번],0),"")</f>
        <v/>
      </c>
    </row>
    <row r="2513">
      <c r="A2513">
        <f>IF($P2513="","",INDEX(상세표[사번],$P2513)&amp;"")</f>
        <v/>
      </c>
      <c r="B2513">
        <f>IF($P2513="","",INDEX(상세표[성명],$P2513)&amp;"")</f>
        <v/>
      </c>
      <c r="C2513">
        <f>IF($P2513="","",INDEX(상세표[부서],$P2513)&amp;"")</f>
        <v/>
      </c>
      <c r="D2513">
        <f>IF($P2513="","",INDEX(상세표[직위],$P2513)&amp;"")</f>
        <v/>
      </c>
      <c r="E2513">
        <f>IF($P2513="","",IF(ISNUMBER(INDEX(상세표[시작],$P2513)),TEXT(INDEX(상세표[시작],$P2513),"yyyy-mm-dd hh:mm"),INDEX(상세표[시작],$P2513)&amp;""))</f>
        <v/>
      </c>
      <c r="F2513">
        <f>IF($P2513="","",IF(ISNUMBER(INDEX(상세표[블록종료],$P2513)),TEXT(INDEX(상세표[블록종료],$P2513),"yyyy-mm-dd hh:mm"),INDEX(상세표[블록종료],$P2513)&amp;""))</f>
        <v/>
      </c>
      <c r="G2513">
        <f>IF($P2513="","",CHOOSE(WEEKDAY(INDEX(상세표[시작],$P2513)),"일","월","화","수","목","금","토"))</f>
        <v/>
      </c>
      <c r="H2513">
        <f>IF($P2513="","",INDEX(상세표[연속 시간],$P2513))</f>
        <v/>
      </c>
      <c r="I2513">
        <f>IF($P2513="","",INDEX(상세표[기록 수],$P2513))</f>
        <v/>
      </c>
      <c r="J2513">
        <f>IF($P2513="","",INDEX(상세표[블록 06~07시],$P2513))</f>
        <v/>
      </c>
      <c r="K2513">
        <f>IF($P2513="","",INDEX(상세표[블록 07~18시],$P2513))</f>
        <v/>
      </c>
      <c r="L2513">
        <f>IF($P2513="","",INDEX(상세표[블록 18~22시],$P2513))</f>
        <v/>
      </c>
      <c r="M2513">
        <f>IF($P2513="","",INDEX(상세표[블록 22~06시],$P2513))</f>
        <v/>
      </c>
      <c r="N2513">
        <f>IF($P2513="","",INDEX(상세표[주말·휴일 포함],$P2513)&amp;"")</f>
        <v/>
      </c>
      <c r="O2513">
        <f>IF($P2513="","",INDEX(상세표[월 넘김 포함],$P2513)&amp;"")</f>
        <v/>
      </c>
      <c r="P2513" s="4">
        <f>IFERROR(MATCH(2508,상세표[연속순번],0),"")</f>
        <v/>
      </c>
    </row>
    <row r="2514">
      <c r="A2514">
        <f>IF($P2514="","",INDEX(상세표[사번],$P2514)&amp;"")</f>
        <v/>
      </c>
      <c r="B2514">
        <f>IF($P2514="","",INDEX(상세표[성명],$P2514)&amp;"")</f>
        <v/>
      </c>
      <c r="C2514">
        <f>IF($P2514="","",INDEX(상세표[부서],$P2514)&amp;"")</f>
        <v/>
      </c>
      <c r="D2514">
        <f>IF($P2514="","",INDEX(상세표[직위],$P2514)&amp;"")</f>
        <v/>
      </c>
      <c r="E2514">
        <f>IF($P2514="","",IF(ISNUMBER(INDEX(상세표[시작],$P2514)),TEXT(INDEX(상세표[시작],$P2514),"yyyy-mm-dd hh:mm"),INDEX(상세표[시작],$P2514)&amp;""))</f>
        <v/>
      </c>
      <c r="F2514">
        <f>IF($P2514="","",IF(ISNUMBER(INDEX(상세표[블록종료],$P2514)),TEXT(INDEX(상세표[블록종료],$P2514),"yyyy-mm-dd hh:mm"),INDEX(상세표[블록종료],$P2514)&amp;""))</f>
        <v/>
      </c>
      <c r="G2514">
        <f>IF($P2514="","",CHOOSE(WEEKDAY(INDEX(상세표[시작],$P2514)),"일","월","화","수","목","금","토"))</f>
        <v/>
      </c>
      <c r="H2514">
        <f>IF($P2514="","",INDEX(상세표[연속 시간],$P2514))</f>
        <v/>
      </c>
      <c r="I2514">
        <f>IF($P2514="","",INDEX(상세표[기록 수],$P2514))</f>
        <v/>
      </c>
      <c r="J2514">
        <f>IF($P2514="","",INDEX(상세표[블록 06~07시],$P2514))</f>
        <v/>
      </c>
      <c r="K2514">
        <f>IF($P2514="","",INDEX(상세표[블록 07~18시],$P2514))</f>
        <v/>
      </c>
      <c r="L2514">
        <f>IF($P2514="","",INDEX(상세표[블록 18~22시],$P2514))</f>
        <v/>
      </c>
      <c r="M2514">
        <f>IF($P2514="","",INDEX(상세표[블록 22~06시],$P2514))</f>
        <v/>
      </c>
      <c r="N2514">
        <f>IF($P2514="","",INDEX(상세표[주말·휴일 포함],$P2514)&amp;"")</f>
        <v/>
      </c>
      <c r="O2514">
        <f>IF($P2514="","",INDEX(상세표[월 넘김 포함],$P2514)&amp;"")</f>
        <v/>
      </c>
      <c r="P2514" s="4">
        <f>IFERROR(MATCH(2509,상세표[연속순번],0),"")</f>
        <v/>
      </c>
    </row>
    <row r="2515">
      <c r="A2515">
        <f>IF($P2515="","",INDEX(상세표[사번],$P2515)&amp;"")</f>
        <v/>
      </c>
      <c r="B2515">
        <f>IF($P2515="","",INDEX(상세표[성명],$P2515)&amp;"")</f>
        <v/>
      </c>
      <c r="C2515">
        <f>IF($P2515="","",INDEX(상세표[부서],$P2515)&amp;"")</f>
        <v/>
      </c>
      <c r="D2515">
        <f>IF($P2515="","",INDEX(상세표[직위],$P2515)&amp;"")</f>
        <v/>
      </c>
      <c r="E2515">
        <f>IF($P2515="","",IF(ISNUMBER(INDEX(상세표[시작],$P2515)),TEXT(INDEX(상세표[시작],$P2515),"yyyy-mm-dd hh:mm"),INDEX(상세표[시작],$P2515)&amp;""))</f>
        <v/>
      </c>
      <c r="F2515">
        <f>IF($P2515="","",IF(ISNUMBER(INDEX(상세표[블록종료],$P2515)),TEXT(INDEX(상세표[블록종료],$P2515),"yyyy-mm-dd hh:mm"),INDEX(상세표[블록종료],$P2515)&amp;""))</f>
        <v/>
      </c>
      <c r="G2515">
        <f>IF($P2515="","",CHOOSE(WEEKDAY(INDEX(상세표[시작],$P2515)),"일","월","화","수","목","금","토"))</f>
        <v/>
      </c>
      <c r="H2515">
        <f>IF($P2515="","",INDEX(상세표[연속 시간],$P2515))</f>
        <v/>
      </c>
      <c r="I2515">
        <f>IF($P2515="","",INDEX(상세표[기록 수],$P2515))</f>
        <v/>
      </c>
      <c r="J2515">
        <f>IF($P2515="","",INDEX(상세표[블록 06~07시],$P2515))</f>
        <v/>
      </c>
      <c r="K2515">
        <f>IF($P2515="","",INDEX(상세표[블록 07~18시],$P2515))</f>
        <v/>
      </c>
      <c r="L2515">
        <f>IF($P2515="","",INDEX(상세표[블록 18~22시],$P2515))</f>
        <v/>
      </c>
      <c r="M2515">
        <f>IF($P2515="","",INDEX(상세표[블록 22~06시],$P2515))</f>
        <v/>
      </c>
      <c r="N2515">
        <f>IF($P2515="","",INDEX(상세표[주말·휴일 포함],$P2515)&amp;"")</f>
        <v/>
      </c>
      <c r="O2515">
        <f>IF($P2515="","",INDEX(상세표[월 넘김 포함],$P2515)&amp;"")</f>
        <v/>
      </c>
      <c r="P2515" s="4">
        <f>IFERROR(MATCH(2510,상세표[연속순번],0),"")</f>
        <v/>
      </c>
    </row>
    <row r="2516">
      <c r="A2516">
        <f>IF($P2516="","",INDEX(상세표[사번],$P2516)&amp;"")</f>
        <v/>
      </c>
      <c r="B2516">
        <f>IF($P2516="","",INDEX(상세표[성명],$P2516)&amp;"")</f>
        <v/>
      </c>
      <c r="C2516">
        <f>IF($P2516="","",INDEX(상세표[부서],$P2516)&amp;"")</f>
        <v/>
      </c>
      <c r="D2516">
        <f>IF($P2516="","",INDEX(상세표[직위],$P2516)&amp;"")</f>
        <v/>
      </c>
      <c r="E2516">
        <f>IF($P2516="","",IF(ISNUMBER(INDEX(상세표[시작],$P2516)),TEXT(INDEX(상세표[시작],$P2516),"yyyy-mm-dd hh:mm"),INDEX(상세표[시작],$P2516)&amp;""))</f>
        <v/>
      </c>
      <c r="F2516">
        <f>IF($P2516="","",IF(ISNUMBER(INDEX(상세표[블록종료],$P2516)),TEXT(INDEX(상세표[블록종료],$P2516),"yyyy-mm-dd hh:mm"),INDEX(상세표[블록종료],$P2516)&amp;""))</f>
        <v/>
      </c>
      <c r="G2516">
        <f>IF($P2516="","",CHOOSE(WEEKDAY(INDEX(상세표[시작],$P2516)),"일","월","화","수","목","금","토"))</f>
        <v/>
      </c>
      <c r="H2516">
        <f>IF($P2516="","",INDEX(상세표[연속 시간],$P2516))</f>
        <v/>
      </c>
      <c r="I2516">
        <f>IF($P2516="","",INDEX(상세표[기록 수],$P2516))</f>
        <v/>
      </c>
      <c r="J2516">
        <f>IF($P2516="","",INDEX(상세표[블록 06~07시],$P2516))</f>
        <v/>
      </c>
      <c r="K2516">
        <f>IF($P2516="","",INDEX(상세표[블록 07~18시],$P2516))</f>
        <v/>
      </c>
      <c r="L2516">
        <f>IF($P2516="","",INDEX(상세표[블록 18~22시],$P2516))</f>
        <v/>
      </c>
      <c r="M2516">
        <f>IF($P2516="","",INDEX(상세표[블록 22~06시],$P2516))</f>
        <v/>
      </c>
      <c r="N2516">
        <f>IF($P2516="","",INDEX(상세표[주말·휴일 포함],$P2516)&amp;"")</f>
        <v/>
      </c>
      <c r="O2516">
        <f>IF($P2516="","",INDEX(상세표[월 넘김 포함],$P2516)&amp;"")</f>
        <v/>
      </c>
      <c r="P2516" s="4">
        <f>IFERROR(MATCH(2511,상세표[연속순번],0),"")</f>
        <v/>
      </c>
    </row>
    <row r="2517">
      <c r="A2517">
        <f>IF($P2517="","",INDEX(상세표[사번],$P2517)&amp;"")</f>
        <v/>
      </c>
      <c r="B2517">
        <f>IF($P2517="","",INDEX(상세표[성명],$P2517)&amp;"")</f>
        <v/>
      </c>
      <c r="C2517">
        <f>IF($P2517="","",INDEX(상세표[부서],$P2517)&amp;"")</f>
        <v/>
      </c>
      <c r="D2517">
        <f>IF($P2517="","",INDEX(상세표[직위],$P2517)&amp;"")</f>
        <v/>
      </c>
      <c r="E2517">
        <f>IF($P2517="","",IF(ISNUMBER(INDEX(상세표[시작],$P2517)),TEXT(INDEX(상세표[시작],$P2517),"yyyy-mm-dd hh:mm"),INDEX(상세표[시작],$P2517)&amp;""))</f>
        <v/>
      </c>
      <c r="F2517">
        <f>IF($P2517="","",IF(ISNUMBER(INDEX(상세표[블록종료],$P2517)),TEXT(INDEX(상세표[블록종료],$P2517),"yyyy-mm-dd hh:mm"),INDEX(상세표[블록종료],$P2517)&amp;""))</f>
        <v/>
      </c>
      <c r="G2517">
        <f>IF($P2517="","",CHOOSE(WEEKDAY(INDEX(상세표[시작],$P2517)),"일","월","화","수","목","금","토"))</f>
        <v/>
      </c>
      <c r="H2517">
        <f>IF($P2517="","",INDEX(상세표[연속 시간],$P2517))</f>
        <v/>
      </c>
      <c r="I2517">
        <f>IF($P2517="","",INDEX(상세표[기록 수],$P2517))</f>
        <v/>
      </c>
      <c r="J2517">
        <f>IF($P2517="","",INDEX(상세표[블록 06~07시],$P2517))</f>
        <v/>
      </c>
      <c r="K2517">
        <f>IF($P2517="","",INDEX(상세표[블록 07~18시],$P2517))</f>
        <v/>
      </c>
      <c r="L2517">
        <f>IF($P2517="","",INDEX(상세표[블록 18~22시],$P2517))</f>
        <v/>
      </c>
      <c r="M2517">
        <f>IF($P2517="","",INDEX(상세표[블록 22~06시],$P2517))</f>
        <v/>
      </c>
      <c r="N2517">
        <f>IF($P2517="","",INDEX(상세표[주말·휴일 포함],$P2517)&amp;"")</f>
        <v/>
      </c>
      <c r="O2517">
        <f>IF($P2517="","",INDEX(상세표[월 넘김 포함],$P2517)&amp;"")</f>
        <v/>
      </c>
      <c r="P2517" s="4">
        <f>IFERROR(MATCH(2512,상세표[연속순번],0),"")</f>
        <v/>
      </c>
    </row>
    <row r="2518">
      <c r="A2518">
        <f>IF($P2518="","",INDEX(상세표[사번],$P2518)&amp;"")</f>
        <v/>
      </c>
      <c r="B2518">
        <f>IF($P2518="","",INDEX(상세표[성명],$P2518)&amp;"")</f>
        <v/>
      </c>
      <c r="C2518">
        <f>IF($P2518="","",INDEX(상세표[부서],$P2518)&amp;"")</f>
        <v/>
      </c>
      <c r="D2518">
        <f>IF($P2518="","",INDEX(상세표[직위],$P2518)&amp;"")</f>
        <v/>
      </c>
      <c r="E2518">
        <f>IF($P2518="","",IF(ISNUMBER(INDEX(상세표[시작],$P2518)),TEXT(INDEX(상세표[시작],$P2518),"yyyy-mm-dd hh:mm"),INDEX(상세표[시작],$P2518)&amp;""))</f>
        <v/>
      </c>
      <c r="F2518">
        <f>IF($P2518="","",IF(ISNUMBER(INDEX(상세표[블록종료],$P2518)),TEXT(INDEX(상세표[블록종료],$P2518),"yyyy-mm-dd hh:mm"),INDEX(상세표[블록종료],$P2518)&amp;""))</f>
        <v/>
      </c>
      <c r="G2518">
        <f>IF($P2518="","",CHOOSE(WEEKDAY(INDEX(상세표[시작],$P2518)),"일","월","화","수","목","금","토"))</f>
        <v/>
      </c>
      <c r="H2518">
        <f>IF($P2518="","",INDEX(상세표[연속 시간],$P2518))</f>
        <v/>
      </c>
      <c r="I2518">
        <f>IF($P2518="","",INDEX(상세표[기록 수],$P2518))</f>
        <v/>
      </c>
      <c r="J2518">
        <f>IF($P2518="","",INDEX(상세표[블록 06~07시],$P2518))</f>
        <v/>
      </c>
      <c r="K2518">
        <f>IF($P2518="","",INDEX(상세표[블록 07~18시],$P2518))</f>
        <v/>
      </c>
      <c r="L2518">
        <f>IF($P2518="","",INDEX(상세표[블록 18~22시],$P2518))</f>
        <v/>
      </c>
      <c r="M2518">
        <f>IF($P2518="","",INDEX(상세표[블록 22~06시],$P2518))</f>
        <v/>
      </c>
      <c r="N2518">
        <f>IF($P2518="","",INDEX(상세표[주말·휴일 포함],$P2518)&amp;"")</f>
        <v/>
      </c>
      <c r="O2518">
        <f>IF($P2518="","",INDEX(상세표[월 넘김 포함],$P2518)&amp;"")</f>
        <v/>
      </c>
      <c r="P2518" s="4">
        <f>IFERROR(MATCH(2513,상세표[연속순번],0),"")</f>
        <v/>
      </c>
    </row>
    <row r="2519">
      <c r="A2519">
        <f>IF($P2519="","",INDEX(상세표[사번],$P2519)&amp;"")</f>
        <v/>
      </c>
      <c r="B2519">
        <f>IF($P2519="","",INDEX(상세표[성명],$P2519)&amp;"")</f>
        <v/>
      </c>
      <c r="C2519">
        <f>IF($P2519="","",INDEX(상세표[부서],$P2519)&amp;"")</f>
        <v/>
      </c>
      <c r="D2519">
        <f>IF($P2519="","",INDEX(상세표[직위],$P2519)&amp;"")</f>
        <v/>
      </c>
      <c r="E2519">
        <f>IF($P2519="","",IF(ISNUMBER(INDEX(상세표[시작],$P2519)),TEXT(INDEX(상세표[시작],$P2519),"yyyy-mm-dd hh:mm"),INDEX(상세표[시작],$P2519)&amp;""))</f>
        <v/>
      </c>
      <c r="F2519">
        <f>IF($P2519="","",IF(ISNUMBER(INDEX(상세표[블록종료],$P2519)),TEXT(INDEX(상세표[블록종료],$P2519),"yyyy-mm-dd hh:mm"),INDEX(상세표[블록종료],$P2519)&amp;""))</f>
        <v/>
      </c>
      <c r="G2519">
        <f>IF($P2519="","",CHOOSE(WEEKDAY(INDEX(상세표[시작],$P2519)),"일","월","화","수","목","금","토"))</f>
        <v/>
      </c>
      <c r="H2519">
        <f>IF($P2519="","",INDEX(상세표[연속 시간],$P2519))</f>
        <v/>
      </c>
      <c r="I2519">
        <f>IF($P2519="","",INDEX(상세표[기록 수],$P2519))</f>
        <v/>
      </c>
      <c r="J2519">
        <f>IF($P2519="","",INDEX(상세표[블록 06~07시],$P2519))</f>
        <v/>
      </c>
      <c r="K2519">
        <f>IF($P2519="","",INDEX(상세표[블록 07~18시],$P2519))</f>
        <v/>
      </c>
      <c r="L2519">
        <f>IF($P2519="","",INDEX(상세표[블록 18~22시],$P2519))</f>
        <v/>
      </c>
      <c r="M2519">
        <f>IF($P2519="","",INDEX(상세표[블록 22~06시],$P2519))</f>
        <v/>
      </c>
      <c r="N2519">
        <f>IF($P2519="","",INDEX(상세표[주말·휴일 포함],$P2519)&amp;"")</f>
        <v/>
      </c>
      <c r="O2519">
        <f>IF($P2519="","",INDEX(상세표[월 넘김 포함],$P2519)&amp;"")</f>
        <v/>
      </c>
      <c r="P2519" s="4">
        <f>IFERROR(MATCH(2514,상세표[연속순번],0),"")</f>
        <v/>
      </c>
    </row>
    <row r="2520">
      <c r="A2520">
        <f>IF($P2520="","",INDEX(상세표[사번],$P2520)&amp;"")</f>
        <v/>
      </c>
      <c r="B2520">
        <f>IF($P2520="","",INDEX(상세표[성명],$P2520)&amp;"")</f>
        <v/>
      </c>
      <c r="C2520">
        <f>IF($P2520="","",INDEX(상세표[부서],$P2520)&amp;"")</f>
        <v/>
      </c>
      <c r="D2520">
        <f>IF($P2520="","",INDEX(상세표[직위],$P2520)&amp;"")</f>
        <v/>
      </c>
      <c r="E2520">
        <f>IF($P2520="","",IF(ISNUMBER(INDEX(상세표[시작],$P2520)),TEXT(INDEX(상세표[시작],$P2520),"yyyy-mm-dd hh:mm"),INDEX(상세표[시작],$P2520)&amp;""))</f>
        <v/>
      </c>
      <c r="F2520">
        <f>IF($P2520="","",IF(ISNUMBER(INDEX(상세표[블록종료],$P2520)),TEXT(INDEX(상세표[블록종료],$P2520),"yyyy-mm-dd hh:mm"),INDEX(상세표[블록종료],$P2520)&amp;""))</f>
        <v/>
      </c>
      <c r="G2520">
        <f>IF($P2520="","",CHOOSE(WEEKDAY(INDEX(상세표[시작],$P2520)),"일","월","화","수","목","금","토"))</f>
        <v/>
      </c>
      <c r="H2520">
        <f>IF($P2520="","",INDEX(상세표[연속 시간],$P2520))</f>
        <v/>
      </c>
      <c r="I2520">
        <f>IF($P2520="","",INDEX(상세표[기록 수],$P2520))</f>
        <v/>
      </c>
      <c r="J2520">
        <f>IF($P2520="","",INDEX(상세표[블록 06~07시],$P2520))</f>
        <v/>
      </c>
      <c r="K2520">
        <f>IF($P2520="","",INDEX(상세표[블록 07~18시],$P2520))</f>
        <v/>
      </c>
      <c r="L2520">
        <f>IF($P2520="","",INDEX(상세표[블록 18~22시],$P2520))</f>
        <v/>
      </c>
      <c r="M2520">
        <f>IF($P2520="","",INDEX(상세표[블록 22~06시],$P2520))</f>
        <v/>
      </c>
      <c r="N2520">
        <f>IF($P2520="","",INDEX(상세표[주말·휴일 포함],$P2520)&amp;"")</f>
        <v/>
      </c>
      <c r="O2520">
        <f>IF($P2520="","",INDEX(상세표[월 넘김 포함],$P2520)&amp;"")</f>
        <v/>
      </c>
      <c r="P2520" s="4">
        <f>IFERROR(MATCH(2515,상세표[연속순번],0),"")</f>
        <v/>
      </c>
    </row>
    <row r="2521">
      <c r="A2521">
        <f>IF($P2521="","",INDEX(상세표[사번],$P2521)&amp;"")</f>
        <v/>
      </c>
      <c r="B2521">
        <f>IF($P2521="","",INDEX(상세표[성명],$P2521)&amp;"")</f>
        <v/>
      </c>
      <c r="C2521">
        <f>IF($P2521="","",INDEX(상세표[부서],$P2521)&amp;"")</f>
        <v/>
      </c>
      <c r="D2521">
        <f>IF($P2521="","",INDEX(상세표[직위],$P2521)&amp;"")</f>
        <v/>
      </c>
      <c r="E2521">
        <f>IF($P2521="","",IF(ISNUMBER(INDEX(상세표[시작],$P2521)),TEXT(INDEX(상세표[시작],$P2521),"yyyy-mm-dd hh:mm"),INDEX(상세표[시작],$P2521)&amp;""))</f>
        <v/>
      </c>
      <c r="F2521">
        <f>IF($P2521="","",IF(ISNUMBER(INDEX(상세표[블록종료],$P2521)),TEXT(INDEX(상세표[블록종료],$P2521),"yyyy-mm-dd hh:mm"),INDEX(상세표[블록종료],$P2521)&amp;""))</f>
        <v/>
      </c>
      <c r="G2521">
        <f>IF($P2521="","",CHOOSE(WEEKDAY(INDEX(상세표[시작],$P2521)),"일","월","화","수","목","금","토"))</f>
        <v/>
      </c>
      <c r="H2521">
        <f>IF($P2521="","",INDEX(상세표[연속 시간],$P2521))</f>
        <v/>
      </c>
      <c r="I2521">
        <f>IF($P2521="","",INDEX(상세표[기록 수],$P2521))</f>
        <v/>
      </c>
      <c r="J2521">
        <f>IF($P2521="","",INDEX(상세표[블록 06~07시],$P2521))</f>
        <v/>
      </c>
      <c r="K2521">
        <f>IF($P2521="","",INDEX(상세표[블록 07~18시],$P2521))</f>
        <v/>
      </c>
      <c r="L2521">
        <f>IF($P2521="","",INDEX(상세표[블록 18~22시],$P2521))</f>
        <v/>
      </c>
      <c r="M2521">
        <f>IF($P2521="","",INDEX(상세표[블록 22~06시],$P2521))</f>
        <v/>
      </c>
      <c r="N2521">
        <f>IF($P2521="","",INDEX(상세표[주말·휴일 포함],$P2521)&amp;"")</f>
        <v/>
      </c>
      <c r="O2521">
        <f>IF($P2521="","",INDEX(상세표[월 넘김 포함],$P2521)&amp;"")</f>
        <v/>
      </c>
      <c r="P2521" s="4">
        <f>IFERROR(MATCH(2516,상세표[연속순번],0),"")</f>
        <v/>
      </c>
    </row>
    <row r="2522">
      <c r="A2522">
        <f>IF($P2522="","",INDEX(상세표[사번],$P2522)&amp;"")</f>
        <v/>
      </c>
      <c r="B2522">
        <f>IF($P2522="","",INDEX(상세표[성명],$P2522)&amp;"")</f>
        <v/>
      </c>
      <c r="C2522">
        <f>IF($P2522="","",INDEX(상세표[부서],$P2522)&amp;"")</f>
        <v/>
      </c>
      <c r="D2522">
        <f>IF($P2522="","",INDEX(상세표[직위],$P2522)&amp;"")</f>
        <v/>
      </c>
      <c r="E2522">
        <f>IF($P2522="","",IF(ISNUMBER(INDEX(상세표[시작],$P2522)),TEXT(INDEX(상세표[시작],$P2522),"yyyy-mm-dd hh:mm"),INDEX(상세표[시작],$P2522)&amp;""))</f>
        <v/>
      </c>
      <c r="F2522">
        <f>IF($P2522="","",IF(ISNUMBER(INDEX(상세표[블록종료],$P2522)),TEXT(INDEX(상세표[블록종료],$P2522),"yyyy-mm-dd hh:mm"),INDEX(상세표[블록종료],$P2522)&amp;""))</f>
        <v/>
      </c>
      <c r="G2522">
        <f>IF($P2522="","",CHOOSE(WEEKDAY(INDEX(상세표[시작],$P2522)),"일","월","화","수","목","금","토"))</f>
        <v/>
      </c>
      <c r="H2522">
        <f>IF($P2522="","",INDEX(상세표[연속 시간],$P2522))</f>
        <v/>
      </c>
      <c r="I2522">
        <f>IF($P2522="","",INDEX(상세표[기록 수],$P2522))</f>
        <v/>
      </c>
      <c r="J2522">
        <f>IF($P2522="","",INDEX(상세표[블록 06~07시],$P2522))</f>
        <v/>
      </c>
      <c r="K2522">
        <f>IF($P2522="","",INDEX(상세표[블록 07~18시],$P2522))</f>
        <v/>
      </c>
      <c r="L2522">
        <f>IF($P2522="","",INDEX(상세표[블록 18~22시],$P2522))</f>
        <v/>
      </c>
      <c r="M2522">
        <f>IF($P2522="","",INDEX(상세표[블록 22~06시],$P2522))</f>
        <v/>
      </c>
      <c r="N2522">
        <f>IF($P2522="","",INDEX(상세표[주말·휴일 포함],$P2522)&amp;"")</f>
        <v/>
      </c>
      <c r="O2522">
        <f>IF($P2522="","",INDEX(상세표[월 넘김 포함],$P2522)&amp;"")</f>
        <v/>
      </c>
      <c r="P2522" s="4">
        <f>IFERROR(MATCH(2517,상세표[연속순번],0),"")</f>
        <v/>
      </c>
    </row>
    <row r="2523">
      <c r="A2523">
        <f>IF($P2523="","",INDEX(상세표[사번],$P2523)&amp;"")</f>
        <v/>
      </c>
      <c r="B2523">
        <f>IF($P2523="","",INDEX(상세표[성명],$P2523)&amp;"")</f>
        <v/>
      </c>
      <c r="C2523">
        <f>IF($P2523="","",INDEX(상세표[부서],$P2523)&amp;"")</f>
        <v/>
      </c>
      <c r="D2523">
        <f>IF($P2523="","",INDEX(상세표[직위],$P2523)&amp;"")</f>
        <v/>
      </c>
      <c r="E2523">
        <f>IF($P2523="","",IF(ISNUMBER(INDEX(상세표[시작],$P2523)),TEXT(INDEX(상세표[시작],$P2523),"yyyy-mm-dd hh:mm"),INDEX(상세표[시작],$P2523)&amp;""))</f>
        <v/>
      </c>
      <c r="F2523">
        <f>IF($P2523="","",IF(ISNUMBER(INDEX(상세표[블록종료],$P2523)),TEXT(INDEX(상세표[블록종료],$P2523),"yyyy-mm-dd hh:mm"),INDEX(상세표[블록종료],$P2523)&amp;""))</f>
        <v/>
      </c>
      <c r="G2523">
        <f>IF($P2523="","",CHOOSE(WEEKDAY(INDEX(상세표[시작],$P2523)),"일","월","화","수","목","금","토"))</f>
        <v/>
      </c>
      <c r="H2523">
        <f>IF($P2523="","",INDEX(상세표[연속 시간],$P2523))</f>
        <v/>
      </c>
      <c r="I2523">
        <f>IF($P2523="","",INDEX(상세표[기록 수],$P2523))</f>
        <v/>
      </c>
      <c r="J2523">
        <f>IF($P2523="","",INDEX(상세표[블록 06~07시],$P2523))</f>
        <v/>
      </c>
      <c r="K2523">
        <f>IF($P2523="","",INDEX(상세표[블록 07~18시],$P2523))</f>
        <v/>
      </c>
      <c r="L2523">
        <f>IF($P2523="","",INDEX(상세표[블록 18~22시],$P2523))</f>
        <v/>
      </c>
      <c r="M2523">
        <f>IF($P2523="","",INDEX(상세표[블록 22~06시],$P2523))</f>
        <v/>
      </c>
      <c r="N2523">
        <f>IF($P2523="","",INDEX(상세표[주말·휴일 포함],$P2523)&amp;"")</f>
        <v/>
      </c>
      <c r="O2523">
        <f>IF($P2523="","",INDEX(상세표[월 넘김 포함],$P2523)&amp;"")</f>
        <v/>
      </c>
      <c r="P2523" s="4">
        <f>IFERROR(MATCH(2518,상세표[연속순번],0),"")</f>
        <v/>
      </c>
    </row>
    <row r="2524">
      <c r="A2524">
        <f>IF($P2524="","",INDEX(상세표[사번],$P2524)&amp;"")</f>
        <v/>
      </c>
      <c r="B2524">
        <f>IF($P2524="","",INDEX(상세표[성명],$P2524)&amp;"")</f>
        <v/>
      </c>
      <c r="C2524">
        <f>IF($P2524="","",INDEX(상세표[부서],$P2524)&amp;"")</f>
        <v/>
      </c>
      <c r="D2524">
        <f>IF($P2524="","",INDEX(상세표[직위],$P2524)&amp;"")</f>
        <v/>
      </c>
      <c r="E2524">
        <f>IF($P2524="","",IF(ISNUMBER(INDEX(상세표[시작],$P2524)),TEXT(INDEX(상세표[시작],$P2524),"yyyy-mm-dd hh:mm"),INDEX(상세표[시작],$P2524)&amp;""))</f>
        <v/>
      </c>
      <c r="F2524">
        <f>IF($P2524="","",IF(ISNUMBER(INDEX(상세표[블록종료],$P2524)),TEXT(INDEX(상세표[블록종료],$P2524),"yyyy-mm-dd hh:mm"),INDEX(상세표[블록종료],$P2524)&amp;""))</f>
        <v/>
      </c>
      <c r="G2524">
        <f>IF($P2524="","",CHOOSE(WEEKDAY(INDEX(상세표[시작],$P2524)),"일","월","화","수","목","금","토"))</f>
        <v/>
      </c>
      <c r="H2524">
        <f>IF($P2524="","",INDEX(상세표[연속 시간],$P2524))</f>
        <v/>
      </c>
      <c r="I2524">
        <f>IF($P2524="","",INDEX(상세표[기록 수],$P2524))</f>
        <v/>
      </c>
      <c r="J2524">
        <f>IF($P2524="","",INDEX(상세표[블록 06~07시],$P2524))</f>
        <v/>
      </c>
      <c r="K2524">
        <f>IF($P2524="","",INDEX(상세표[블록 07~18시],$P2524))</f>
        <v/>
      </c>
      <c r="L2524">
        <f>IF($P2524="","",INDEX(상세표[블록 18~22시],$P2524))</f>
        <v/>
      </c>
      <c r="M2524">
        <f>IF($P2524="","",INDEX(상세표[블록 22~06시],$P2524))</f>
        <v/>
      </c>
      <c r="N2524">
        <f>IF($P2524="","",INDEX(상세표[주말·휴일 포함],$P2524)&amp;"")</f>
        <v/>
      </c>
      <c r="O2524">
        <f>IF($P2524="","",INDEX(상세표[월 넘김 포함],$P2524)&amp;"")</f>
        <v/>
      </c>
      <c r="P2524" s="4">
        <f>IFERROR(MATCH(2519,상세표[연속순번],0),"")</f>
        <v/>
      </c>
    </row>
    <row r="2525">
      <c r="A2525">
        <f>IF($P2525="","",INDEX(상세표[사번],$P2525)&amp;"")</f>
        <v/>
      </c>
      <c r="B2525">
        <f>IF($P2525="","",INDEX(상세표[성명],$P2525)&amp;"")</f>
        <v/>
      </c>
      <c r="C2525">
        <f>IF($P2525="","",INDEX(상세표[부서],$P2525)&amp;"")</f>
        <v/>
      </c>
      <c r="D2525">
        <f>IF($P2525="","",INDEX(상세표[직위],$P2525)&amp;"")</f>
        <v/>
      </c>
      <c r="E2525">
        <f>IF($P2525="","",IF(ISNUMBER(INDEX(상세표[시작],$P2525)),TEXT(INDEX(상세표[시작],$P2525),"yyyy-mm-dd hh:mm"),INDEX(상세표[시작],$P2525)&amp;""))</f>
        <v/>
      </c>
      <c r="F2525">
        <f>IF($P2525="","",IF(ISNUMBER(INDEX(상세표[블록종료],$P2525)),TEXT(INDEX(상세표[블록종료],$P2525),"yyyy-mm-dd hh:mm"),INDEX(상세표[블록종료],$P2525)&amp;""))</f>
        <v/>
      </c>
      <c r="G2525">
        <f>IF($P2525="","",CHOOSE(WEEKDAY(INDEX(상세표[시작],$P2525)),"일","월","화","수","목","금","토"))</f>
        <v/>
      </c>
      <c r="H2525">
        <f>IF($P2525="","",INDEX(상세표[연속 시간],$P2525))</f>
        <v/>
      </c>
      <c r="I2525">
        <f>IF($P2525="","",INDEX(상세표[기록 수],$P2525))</f>
        <v/>
      </c>
      <c r="J2525">
        <f>IF($P2525="","",INDEX(상세표[블록 06~07시],$P2525))</f>
        <v/>
      </c>
      <c r="K2525">
        <f>IF($P2525="","",INDEX(상세표[블록 07~18시],$P2525))</f>
        <v/>
      </c>
      <c r="L2525">
        <f>IF($P2525="","",INDEX(상세표[블록 18~22시],$P2525))</f>
        <v/>
      </c>
      <c r="M2525">
        <f>IF($P2525="","",INDEX(상세표[블록 22~06시],$P2525))</f>
        <v/>
      </c>
      <c r="N2525">
        <f>IF($P2525="","",INDEX(상세표[주말·휴일 포함],$P2525)&amp;"")</f>
        <v/>
      </c>
      <c r="O2525">
        <f>IF($P2525="","",INDEX(상세표[월 넘김 포함],$P2525)&amp;"")</f>
        <v/>
      </c>
      <c r="P2525" s="4">
        <f>IFERROR(MATCH(2520,상세표[연속순번],0),"")</f>
        <v/>
      </c>
    </row>
    <row r="2526">
      <c r="A2526">
        <f>IF($P2526="","",INDEX(상세표[사번],$P2526)&amp;"")</f>
        <v/>
      </c>
      <c r="B2526">
        <f>IF($P2526="","",INDEX(상세표[성명],$P2526)&amp;"")</f>
        <v/>
      </c>
      <c r="C2526">
        <f>IF($P2526="","",INDEX(상세표[부서],$P2526)&amp;"")</f>
        <v/>
      </c>
      <c r="D2526">
        <f>IF($P2526="","",INDEX(상세표[직위],$P2526)&amp;"")</f>
        <v/>
      </c>
      <c r="E2526">
        <f>IF($P2526="","",IF(ISNUMBER(INDEX(상세표[시작],$P2526)),TEXT(INDEX(상세표[시작],$P2526),"yyyy-mm-dd hh:mm"),INDEX(상세표[시작],$P2526)&amp;""))</f>
        <v/>
      </c>
      <c r="F2526">
        <f>IF($P2526="","",IF(ISNUMBER(INDEX(상세표[블록종료],$P2526)),TEXT(INDEX(상세표[블록종료],$P2526),"yyyy-mm-dd hh:mm"),INDEX(상세표[블록종료],$P2526)&amp;""))</f>
        <v/>
      </c>
      <c r="G2526">
        <f>IF($P2526="","",CHOOSE(WEEKDAY(INDEX(상세표[시작],$P2526)),"일","월","화","수","목","금","토"))</f>
        <v/>
      </c>
      <c r="H2526">
        <f>IF($P2526="","",INDEX(상세표[연속 시간],$P2526))</f>
        <v/>
      </c>
      <c r="I2526">
        <f>IF($P2526="","",INDEX(상세표[기록 수],$P2526))</f>
        <v/>
      </c>
      <c r="J2526">
        <f>IF($P2526="","",INDEX(상세표[블록 06~07시],$P2526))</f>
        <v/>
      </c>
      <c r="K2526">
        <f>IF($P2526="","",INDEX(상세표[블록 07~18시],$P2526))</f>
        <v/>
      </c>
      <c r="L2526">
        <f>IF($P2526="","",INDEX(상세표[블록 18~22시],$P2526))</f>
        <v/>
      </c>
      <c r="M2526">
        <f>IF($P2526="","",INDEX(상세표[블록 22~06시],$P2526))</f>
        <v/>
      </c>
      <c r="N2526">
        <f>IF($P2526="","",INDEX(상세표[주말·휴일 포함],$P2526)&amp;"")</f>
        <v/>
      </c>
      <c r="O2526">
        <f>IF($P2526="","",INDEX(상세표[월 넘김 포함],$P2526)&amp;"")</f>
        <v/>
      </c>
      <c r="P2526" s="4">
        <f>IFERROR(MATCH(2521,상세표[연속순번],0),"")</f>
        <v/>
      </c>
    </row>
    <row r="2527">
      <c r="A2527">
        <f>IF($P2527="","",INDEX(상세표[사번],$P2527)&amp;"")</f>
        <v/>
      </c>
      <c r="B2527">
        <f>IF($P2527="","",INDEX(상세표[성명],$P2527)&amp;"")</f>
        <v/>
      </c>
      <c r="C2527">
        <f>IF($P2527="","",INDEX(상세표[부서],$P2527)&amp;"")</f>
        <v/>
      </c>
      <c r="D2527">
        <f>IF($P2527="","",INDEX(상세표[직위],$P2527)&amp;"")</f>
        <v/>
      </c>
      <c r="E2527">
        <f>IF($P2527="","",IF(ISNUMBER(INDEX(상세표[시작],$P2527)),TEXT(INDEX(상세표[시작],$P2527),"yyyy-mm-dd hh:mm"),INDEX(상세표[시작],$P2527)&amp;""))</f>
        <v/>
      </c>
      <c r="F2527">
        <f>IF($P2527="","",IF(ISNUMBER(INDEX(상세표[블록종료],$P2527)),TEXT(INDEX(상세표[블록종료],$P2527),"yyyy-mm-dd hh:mm"),INDEX(상세표[블록종료],$P2527)&amp;""))</f>
        <v/>
      </c>
      <c r="G2527">
        <f>IF($P2527="","",CHOOSE(WEEKDAY(INDEX(상세표[시작],$P2527)),"일","월","화","수","목","금","토"))</f>
        <v/>
      </c>
      <c r="H2527">
        <f>IF($P2527="","",INDEX(상세표[연속 시간],$P2527))</f>
        <v/>
      </c>
      <c r="I2527">
        <f>IF($P2527="","",INDEX(상세표[기록 수],$P2527))</f>
        <v/>
      </c>
      <c r="J2527">
        <f>IF($P2527="","",INDEX(상세표[블록 06~07시],$P2527))</f>
        <v/>
      </c>
      <c r="K2527">
        <f>IF($P2527="","",INDEX(상세표[블록 07~18시],$P2527))</f>
        <v/>
      </c>
      <c r="L2527">
        <f>IF($P2527="","",INDEX(상세표[블록 18~22시],$P2527))</f>
        <v/>
      </c>
      <c r="M2527">
        <f>IF($P2527="","",INDEX(상세표[블록 22~06시],$P2527))</f>
        <v/>
      </c>
      <c r="N2527">
        <f>IF($P2527="","",INDEX(상세표[주말·휴일 포함],$P2527)&amp;"")</f>
        <v/>
      </c>
      <c r="O2527">
        <f>IF($P2527="","",INDEX(상세표[월 넘김 포함],$P2527)&amp;"")</f>
        <v/>
      </c>
      <c r="P2527" s="4">
        <f>IFERROR(MATCH(2522,상세표[연속순번],0),"")</f>
        <v/>
      </c>
    </row>
    <row r="2528">
      <c r="A2528">
        <f>IF($P2528="","",INDEX(상세표[사번],$P2528)&amp;"")</f>
        <v/>
      </c>
      <c r="B2528">
        <f>IF($P2528="","",INDEX(상세표[성명],$P2528)&amp;"")</f>
        <v/>
      </c>
      <c r="C2528">
        <f>IF($P2528="","",INDEX(상세표[부서],$P2528)&amp;"")</f>
        <v/>
      </c>
      <c r="D2528">
        <f>IF($P2528="","",INDEX(상세표[직위],$P2528)&amp;"")</f>
        <v/>
      </c>
      <c r="E2528">
        <f>IF($P2528="","",IF(ISNUMBER(INDEX(상세표[시작],$P2528)),TEXT(INDEX(상세표[시작],$P2528),"yyyy-mm-dd hh:mm"),INDEX(상세표[시작],$P2528)&amp;""))</f>
        <v/>
      </c>
      <c r="F2528">
        <f>IF($P2528="","",IF(ISNUMBER(INDEX(상세표[블록종료],$P2528)),TEXT(INDEX(상세표[블록종료],$P2528),"yyyy-mm-dd hh:mm"),INDEX(상세표[블록종료],$P2528)&amp;""))</f>
        <v/>
      </c>
      <c r="G2528">
        <f>IF($P2528="","",CHOOSE(WEEKDAY(INDEX(상세표[시작],$P2528)),"일","월","화","수","목","금","토"))</f>
        <v/>
      </c>
      <c r="H2528">
        <f>IF($P2528="","",INDEX(상세표[연속 시간],$P2528))</f>
        <v/>
      </c>
      <c r="I2528">
        <f>IF($P2528="","",INDEX(상세표[기록 수],$P2528))</f>
        <v/>
      </c>
      <c r="J2528">
        <f>IF($P2528="","",INDEX(상세표[블록 06~07시],$P2528))</f>
        <v/>
      </c>
      <c r="K2528">
        <f>IF($P2528="","",INDEX(상세표[블록 07~18시],$P2528))</f>
        <v/>
      </c>
      <c r="L2528">
        <f>IF($P2528="","",INDEX(상세표[블록 18~22시],$P2528))</f>
        <v/>
      </c>
      <c r="M2528">
        <f>IF($P2528="","",INDEX(상세표[블록 22~06시],$P2528))</f>
        <v/>
      </c>
      <c r="N2528">
        <f>IF($P2528="","",INDEX(상세표[주말·휴일 포함],$P2528)&amp;"")</f>
        <v/>
      </c>
      <c r="O2528">
        <f>IF($P2528="","",INDEX(상세표[월 넘김 포함],$P2528)&amp;"")</f>
        <v/>
      </c>
      <c r="P2528" s="4">
        <f>IFERROR(MATCH(2523,상세표[연속순번],0),"")</f>
        <v/>
      </c>
    </row>
    <row r="2529">
      <c r="A2529">
        <f>IF($P2529="","",INDEX(상세표[사번],$P2529)&amp;"")</f>
        <v/>
      </c>
      <c r="B2529">
        <f>IF($P2529="","",INDEX(상세표[성명],$P2529)&amp;"")</f>
        <v/>
      </c>
      <c r="C2529">
        <f>IF($P2529="","",INDEX(상세표[부서],$P2529)&amp;"")</f>
        <v/>
      </c>
      <c r="D2529">
        <f>IF($P2529="","",INDEX(상세표[직위],$P2529)&amp;"")</f>
        <v/>
      </c>
      <c r="E2529">
        <f>IF($P2529="","",IF(ISNUMBER(INDEX(상세표[시작],$P2529)),TEXT(INDEX(상세표[시작],$P2529),"yyyy-mm-dd hh:mm"),INDEX(상세표[시작],$P2529)&amp;""))</f>
        <v/>
      </c>
      <c r="F2529">
        <f>IF($P2529="","",IF(ISNUMBER(INDEX(상세표[블록종료],$P2529)),TEXT(INDEX(상세표[블록종료],$P2529),"yyyy-mm-dd hh:mm"),INDEX(상세표[블록종료],$P2529)&amp;""))</f>
        <v/>
      </c>
      <c r="G2529">
        <f>IF($P2529="","",CHOOSE(WEEKDAY(INDEX(상세표[시작],$P2529)),"일","월","화","수","목","금","토"))</f>
        <v/>
      </c>
      <c r="H2529">
        <f>IF($P2529="","",INDEX(상세표[연속 시간],$P2529))</f>
        <v/>
      </c>
      <c r="I2529">
        <f>IF($P2529="","",INDEX(상세표[기록 수],$P2529))</f>
        <v/>
      </c>
      <c r="J2529">
        <f>IF($P2529="","",INDEX(상세표[블록 06~07시],$P2529))</f>
        <v/>
      </c>
      <c r="K2529">
        <f>IF($P2529="","",INDEX(상세표[블록 07~18시],$P2529))</f>
        <v/>
      </c>
      <c r="L2529">
        <f>IF($P2529="","",INDEX(상세표[블록 18~22시],$P2529))</f>
        <v/>
      </c>
      <c r="M2529">
        <f>IF($P2529="","",INDEX(상세표[블록 22~06시],$P2529))</f>
        <v/>
      </c>
      <c r="N2529">
        <f>IF($P2529="","",INDEX(상세표[주말·휴일 포함],$P2529)&amp;"")</f>
        <v/>
      </c>
      <c r="O2529">
        <f>IF($P2529="","",INDEX(상세표[월 넘김 포함],$P2529)&amp;"")</f>
        <v/>
      </c>
      <c r="P2529" s="4">
        <f>IFERROR(MATCH(2524,상세표[연속순번],0),"")</f>
        <v/>
      </c>
    </row>
    <row r="2530">
      <c r="A2530">
        <f>IF($P2530="","",INDEX(상세표[사번],$P2530)&amp;"")</f>
        <v/>
      </c>
      <c r="B2530">
        <f>IF($P2530="","",INDEX(상세표[성명],$P2530)&amp;"")</f>
        <v/>
      </c>
      <c r="C2530">
        <f>IF($P2530="","",INDEX(상세표[부서],$P2530)&amp;"")</f>
        <v/>
      </c>
      <c r="D2530">
        <f>IF($P2530="","",INDEX(상세표[직위],$P2530)&amp;"")</f>
        <v/>
      </c>
      <c r="E2530">
        <f>IF($P2530="","",IF(ISNUMBER(INDEX(상세표[시작],$P2530)),TEXT(INDEX(상세표[시작],$P2530),"yyyy-mm-dd hh:mm"),INDEX(상세표[시작],$P2530)&amp;""))</f>
        <v/>
      </c>
      <c r="F2530">
        <f>IF($P2530="","",IF(ISNUMBER(INDEX(상세표[블록종료],$P2530)),TEXT(INDEX(상세표[블록종료],$P2530),"yyyy-mm-dd hh:mm"),INDEX(상세표[블록종료],$P2530)&amp;""))</f>
        <v/>
      </c>
      <c r="G2530">
        <f>IF($P2530="","",CHOOSE(WEEKDAY(INDEX(상세표[시작],$P2530)),"일","월","화","수","목","금","토"))</f>
        <v/>
      </c>
      <c r="H2530">
        <f>IF($P2530="","",INDEX(상세표[연속 시간],$P2530))</f>
        <v/>
      </c>
      <c r="I2530">
        <f>IF($P2530="","",INDEX(상세표[기록 수],$P2530))</f>
        <v/>
      </c>
      <c r="J2530">
        <f>IF($P2530="","",INDEX(상세표[블록 06~07시],$P2530))</f>
        <v/>
      </c>
      <c r="K2530">
        <f>IF($P2530="","",INDEX(상세표[블록 07~18시],$P2530))</f>
        <v/>
      </c>
      <c r="L2530">
        <f>IF($P2530="","",INDEX(상세표[블록 18~22시],$P2530))</f>
        <v/>
      </c>
      <c r="M2530">
        <f>IF($P2530="","",INDEX(상세표[블록 22~06시],$P2530))</f>
        <v/>
      </c>
      <c r="N2530">
        <f>IF($P2530="","",INDEX(상세표[주말·휴일 포함],$P2530)&amp;"")</f>
        <v/>
      </c>
      <c r="O2530">
        <f>IF($P2530="","",INDEX(상세표[월 넘김 포함],$P2530)&amp;"")</f>
        <v/>
      </c>
      <c r="P2530" s="4">
        <f>IFERROR(MATCH(2525,상세표[연속순번],0),"")</f>
        <v/>
      </c>
    </row>
    <row r="2531">
      <c r="A2531">
        <f>IF($P2531="","",INDEX(상세표[사번],$P2531)&amp;"")</f>
        <v/>
      </c>
      <c r="B2531">
        <f>IF($P2531="","",INDEX(상세표[성명],$P2531)&amp;"")</f>
        <v/>
      </c>
      <c r="C2531">
        <f>IF($P2531="","",INDEX(상세표[부서],$P2531)&amp;"")</f>
        <v/>
      </c>
      <c r="D2531">
        <f>IF($P2531="","",INDEX(상세표[직위],$P2531)&amp;"")</f>
        <v/>
      </c>
      <c r="E2531">
        <f>IF($P2531="","",IF(ISNUMBER(INDEX(상세표[시작],$P2531)),TEXT(INDEX(상세표[시작],$P2531),"yyyy-mm-dd hh:mm"),INDEX(상세표[시작],$P2531)&amp;""))</f>
        <v/>
      </c>
      <c r="F2531">
        <f>IF($P2531="","",IF(ISNUMBER(INDEX(상세표[블록종료],$P2531)),TEXT(INDEX(상세표[블록종료],$P2531),"yyyy-mm-dd hh:mm"),INDEX(상세표[블록종료],$P2531)&amp;""))</f>
        <v/>
      </c>
      <c r="G2531">
        <f>IF($P2531="","",CHOOSE(WEEKDAY(INDEX(상세표[시작],$P2531)),"일","월","화","수","목","금","토"))</f>
        <v/>
      </c>
      <c r="H2531">
        <f>IF($P2531="","",INDEX(상세표[연속 시간],$P2531))</f>
        <v/>
      </c>
      <c r="I2531">
        <f>IF($P2531="","",INDEX(상세표[기록 수],$P2531))</f>
        <v/>
      </c>
      <c r="J2531">
        <f>IF($P2531="","",INDEX(상세표[블록 06~07시],$P2531))</f>
        <v/>
      </c>
      <c r="K2531">
        <f>IF($P2531="","",INDEX(상세표[블록 07~18시],$P2531))</f>
        <v/>
      </c>
      <c r="L2531">
        <f>IF($P2531="","",INDEX(상세표[블록 18~22시],$P2531))</f>
        <v/>
      </c>
      <c r="M2531">
        <f>IF($P2531="","",INDEX(상세표[블록 22~06시],$P2531))</f>
        <v/>
      </c>
      <c r="N2531">
        <f>IF($P2531="","",INDEX(상세표[주말·휴일 포함],$P2531)&amp;"")</f>
        <v/>
      </c>
      <c r="O2531">
        <f>IF($P2531="","",INDEX(상세표[월 넘김 포함],$P2531)&amp;"")</f>
        <v/>
      </c>
      <c r="P2531" s="4">
        <f>IFERROR(MATCH(2526,상세표[연속순번],0),"")</f>
        <v/>
      </c>
    </row>
    <row r="2532">
      <c r="A2532">
        <f>IF($P2532="","",INDEX(상세표[사번],$P2532)&amp;"")</f>
        <v/>
      </c>
      <c r="B2532">
        <f>IF($P2532="","",INDEX(상세표[성명],$P2532)&amp;"")</f>
        <v/>
      </c>
      <c r="C2532">
        <f>IF($P2532="","",INDEX(상세표[부서],$P2532)&amp;"")</f>
        <v/>
      </c>
      <c r="D2532">
        <f>IF($P2532="","",INDEX(상세표[직위],$P2532)&amp;"")</f>
        <v/>
      </c>
      <c r="E2532">
        <f>IF($P2532="","",IF(ISNUMBER(INDEX(상세표[시작],$P2532)),TEXT(INDEX(상세표[시작],$P2532),"yyyy-mm-dd hh:mm"),INDEX(상세표[시작],$P2532)&amp;""))</f>
        <v/>
      </c>
      <c r="F2532">
        <f>IF($P2532="","",IF(ISNUMBER(INDEX(상세표[블록종료],$P2532)),TEXT(INDEX(상세표[블록종료],$P2532),"yyyy-mm-dd hh:mm"),INDEX(상세표[블록종료],$P2532)&amp;""))</f>
        <v/>
      </c>
      <c r="G2532">
        <f>IF($P2532="","",CHOOSE(WEEKDAY(INDEX(상세표[시작],$P2532)),"일","월","화","수","목","금","토"))</f>
        <v/>
      </c>
      <c r="H2532">
        <f>IF($P2532="","",INDEX(상세표[연속 시간],$P2532))</f>
        <v/>
      </c>
      <c r="I2532">
        <f>IF($P2532="","",INDEX(상세표[기록 수],$P2532))</f>
        <v/>
      </c>
      <c r="J2532">
        <f>IF($P2532="","",INDEX(상세표[블록 06~07시],$P2532))</f>
        <v/>
      </c>
      <c r="K2532">
        <f>IF($P2532="","",INDEX(상세표[블록 07~18시],$P2532))</f>
        <v/>
      </c>
      <c r="L2532">
        <f>IF($P2532="","",INDEX(상세표[블록 18~22시],$P2532))</f>
        <v/>
      </c>
      <c r="M2532">
        <f>IF($P2532="","",INDEX(상세표[블록 22~06시],$P2532))</f>
        <v/>
      </c>
      <c r="N2532">
        <f>IF($P2532="","",INDEX(상세표[주말·휴일 포함],$P2532)&amp;"")</f>
        <v/>
      </c>
      <c r="O2532">
        <f>IF($P2532="","",INDEX(상세표[월 넘김 포함],$P2532)&amp;"")</f>
        <v/>
      </c>
      <c r="P2532" s="4">
        <f>IFERROR(MATCH(2527,상세표[연속순번],0),"")</f>
        <v/>
      </c>
    </row>
    <row r="2533">
      <c r="A2533">
        <f>IF($P2533="","",INDEX(상세표[사번],$P2533)&amp;"")</f>
        <v/>
      </c>
      <c r="B2533">
        <f>IF($P2533="","",INDEX(상세표[성명],$P2533)&amp;"")</f>
        <v/>
      </c>
      <c r="C2533">
        <f>IF($P2533="","",INDEX(상세표[부서],$P2533)&amp;"")</f>
        <v/>
      </c>
      <c r="D2533">
        <f>IF($P2533="","",INDEX(상세표[직위],$P2533)&amp;"")</f>
        <v/>
      </c>
      <c r="E2533">
        <f>IF($P2533="","",IF(ISNUMBER(INDEX(상세표[시작],$P2533)),TEXT(INDEX(상세표[시작],$P2533),"yyyy-mm-dd hh:mm"),INDEX(상세표[시작],$P2533)&amp;""))</f>
        <v/>
      </c>
      <c r="F2533">
        <f>IF($P2533="","",IF(ISNUMBER(INDEX(상세표[블록종료],$P2533)),TEXT(INDEX(상세표[블록종료],$P2533),"yyyy-mm-dd hh:mm"),INDEX(상세표[블록종료],$P2533)&amp;""))</f>
        <v/>
      </c>
      <c r="G2533">
        <f>IF($P2533="","",CHOOSE(WEEKDAY(INDEX(상세표[시작],$P2533)),"일","월","화","수","목","금","토"))</f>
        <v/>
      </c>
      <c r="H2533">
        <f>IF($P2533="","",INDEX(상세표[연속 시간],$P2533))</f>
        <v/>
      </c>
      <c r="I2533">
        <f>IF($P2533="","",INDEX(상세표[기록 수],$P2533))</f>
        <v/>
      </c>
      <c r="J2533">
        <f>IF($P2533="","",INDEX(상세표[블록 06~07시],$P2533))</f>
        <v/>
      </c>
      <c r="K2533">
        <f>IF($P2533="","",INDEX(상세표[블록 07~18시],$P2533))</f>
        <v/>
      </c>
      <c r="L2533">
        <f>IF($P2533="","",INDEX(상세표[블록 18~22시],$P2533))</f>
        <v/>
      </c>
      <c r="M2533">
        <f>IF($P2533="","",INDEX(상세표[블록 22~06시],$P2533))</f>
        <v/>
      </c>
      <c r="N2533">
        <f>IF($P2533="","",INDEX(상세표[주말·휴일 포함],$P2533)&amp;"")</f>
        <v/>
      </c>
      <c r="O2533">
        <f>IF($P2533="","",INDEX(상세표[월 넘김 포함],$P2533)&amp;"")</f>
        <v/>
      </c>
      <c r="P2533" s="4">
        <f>IFERROR(MATCH(2528,상세표[연속순번],0),"")</f>
        <v/>
      </c>
    </row>
    <row r="2534">
      <c r="A2534">
        <f>IF($P2534="","",INDEX(상세표[사번],$P2534)&amp;"")</f>
        <v/>
      </c>
      <c r="B2534">
        <f>IF($P2534="","",INDEX(상세표[성명],$P2534)&amp;"")</f>
        <v/>
      </c>
      <c r="C2534">
        <f>IF($P2534="","",INDEX(상세표[부서],$P2534)&amp;"")</f>
        <v/>
      </c>
      <c r="D2534">
        <f>IF($P2534="","",INDEX(상세표[직위],$P2534)&amp;"")</f>
        <v/>
      </c>
      <c r="E2534">
        <f>IF($P2534="","",IF(ISNUMBER(INDEX(상세표[시작],$P2534)),TEXT(INDEX(상세표[시작],$P2534),"yyyy-mm-dd hh:mm"),INDEX(상세표[시작],$P2534)&amp;""))</f>
        <v/>
      </c>
      <c r="F2534">
        <f>IF($P2534="","",IF(ISNUMBER(INDEX(상세표[블록종료],$P2534)),TEXT(INDEX(상세표[블록종료],$P2534),"yyyy-mm-dd hh:mm"),INDEX(상세표[블록종료],$P2534)&amp;""))</f>
        <v/>
      </c>
      <c r="G2534">
        <f>IF($P2534="","",CHOOSE(WEEKDAY(INDEX(상세표[시작],$P2534)),"일","월","화","수","목","금","토"))</f>
        <v/>
      </c>
      <c r="H2534">
        <f>IF($P2534="","",INDEX(상세표[연속 시간],$P2534))</f>
        <v/>
      </c>
      <c r="I2534">
        <f>IF($P2534="","",INDEX(상세표[기록 수],$P2534))</f>
        <v/>
      </c>
      <c r="J2534">
        <f>IF($P2534="","",INDEX(상세표[블록 06~07시],$P2534))</f>
        <v/>
      </c>
      <c r="K2534">
        <f>IF($P2534="","",INDEX(상세표[블록 07~18시],$P2534))</f>
        <v/>
      </c>
      <c r="L2534">
        <f>IF($P2534="","",INDEX(상세표[블록 18~22시],$P2534))</f>
        <v/>
      </c>
      <c r="M2534">
        <f>IF($P2534="","",INDEX(상세표[블록 22~06시],$P2534))</f>
        <v/>
      </c>
      <c r="N2534">
        <f>IF($P2534="","",INDEX(상세표[주말·휴일 포함],$P2534)&amp;"")</f>
        <v/>
      </c>
      <c r="O2534">
        <f>IF($P2534="","",INDEX(상세표[월 넘김 포함],$P2534)&amp;"")</f>
        <v/>
      </c>
      <c r="P2534" s="4">
        <f>IFERROR(MATCH(2529,상세표[연속순번],0),"")</f>
        <v/>
      </c>
    </row>
    <row r="2535">
      <c r="A2535">
        <f>IF($P2535="","",INDEX(상세표[사번],$P2535)&amp;"")</f>
        <v/>
      </c>
      <c r="B2535">
        <f>IF($P2535="","",INDEX(상세표[성명],$P2535)&amp;"")</f>
        <v/>
      </c>
      <c r="C2535">
        <f>IF($P2535="","",INDEX(상세표[부서],$P2535)&amp;"")</f>
        <v/>
      </c>
      <c r="D2535">
        <f>IF($P2535="","",INDEX(상세표[직위],$P2535)&amp;"")</f>
        <v/>
      </c>
      <c r="E2535">
        <f>IF($P2535="","",IF(ISNUMBER(INDEX(상세표[시작],$P2535)),TEXT(INDEX(상세표[시작],$P2535),"yyyy-mm-dd hh:mm"),INDEX(상세표[시작],$P2535)&amp;""))</f>
        <v/>
      </c>
      <c r="F2535">
        <f>IF($P2535="","",IF(ISNUMBER(INDEX(상세표[블록종료],$P2535)),TEXT(INDEX(상세표[블록종료],$P2535),"yyyy-mm-dd hh:mm"),INDEX(상세표[블록종료],$P2535)&amp;""))</f>
        <v/>
      </c>
      <c r="G2535">
        <f>IF($P2535="","",CHOOSE(WEEKDAY(INDEX(상세표[시작],$P2535)),"일","월","화","수","목","금","토"))</f>
        <v/>
      </c>
      <c r="H2535">
        <f>IF($P2535="","",INDEX(상세표[연속 시간],$P2535))</f>
        <v/>
      </c>
      <c r="I2535">
        <f>IF($P2535="","",INDEX(상세표[기록 수],$P2535))</f>
        <v/>
      </c>
      <c r="J2535">
        <f>IF($P2535="","",INDEX(상세표[블록 06~07시],$P2535))</f>
        <v/>
      </c>
      <c r="K2535">
        <f>IF($P2535="","",INDEX(상세표[블록 07~18시],$P2535))</f>
        <v/>
      </c>
      <c r="L2535">
        <f>IF($P2535="","",INDEX(상세표[블록 18~22시],$P2535))</f>
        <v/>
      </c>
      <c r="M2535">
        <f>IF($P2535="","",INDEX(상세표[블록 22~06시],$P2535))</f>
        <v/>
      </c>
      <c r="N2535">
        <f>IF($P2535="","",INDEX(상세표[주말·휴일 포함],$P2535)&amp;"")</f>
        <v/>
      </c>
      <c r="O2535">
        <f>IF($P2535="","",INDEX(상세표[월 넘김 포함],$P2535)&amp;"")</f>
        <v/>
      </c>
      <c r="P2535" s="4">
        <f>IFERROR(MATCH(2530,상세표[연속순번],0),"")</f>
        <v/>
      </c>
    </row>
    <row r="2536">
      <c r="A2536">
        <f>IF($P2536="","",INDEX(상세표[사번],$P2536)&amp;"")</f>
        <v/>
      </c>
      <c r="B2536">
        <f>IF($P2536="","",INDEX(상세표[성명],$P2536)&amp;"")</f>
        <v/>
      </c>
      <c r="C2536">
        <f>IF($P2536="","",INDEX(상세표[부서],$P2536)&amp;"")</f>
        <v/>
      </c>
      <c r="D2536">
        <f>IF($P2536="","",INDEX(상세표[직위],$P2536)&amp;"")</f>
        <v/>
      </c>
      <c r="E2536">
        <f>IF($P2536="","",IF(ISNUMBER(INDEX(상세표[시작],$P2536)),TEXT(INDEX(상세표[시작],$P2536),"yyyy-mm-dd hh:mm"),INDEX(상세표[시작],$P2536)&amp;""))</f>
        <v/>
      </c>
      <c r="F2536">
        <f>IF($P2536="","",IF(ISNUMBER(INDEX(상세표[블록종료],$P2536)),TEXT(INDEX(상세표[블록종료],$P2536),"yyyy-mm-dd hh:mm"),INDEX(상세표[블록종료],$P2536)&amp;""))</f>
        <v/>
      </c>
      <c r="G2536">
        <f>IF($P2536="","",CHOOSE(WEEKDAY(INDEX(상세표[시작],$P2536)),"일","월","화","수","목","금","토"))</f>
        <v/>
      </c>
      <c r="H2536">
        <f>IF($P2536="","",INDEX(상세표[연속 시간],$P2536))</f>
        <v/>
      </c>
      <c r="I2536">
        <f>IF($P2536="","",INDEX(상세표[기록 수],$P2536))</f>
        <v/>
      </c>
      <c r="J2536">
        <f>IF($P2536="","",INDEX(상세표[블록 06~07시],$P2536))</f>
        <v/>
      </c>
      <c r="K2536">
        <f>IF($P2536="","",INDEX(상세표[블록 07~18시],$P2536))</f>
        <v/>
      </c>
      <c r="L2536">
        <f>IF($P2536="","",INDEX(상세표[블록 18~22시],$P2536))</f>
        <v/>
      </c>
      <c r="M2536">
        <f>IF($P2536="","",INDEX(상세표[블록 22~06시],$P2536))</f>
        <v/>
      </c>
      <c r="N2536">
        <f>IF($P2536="","",INDEX(상세표[주말·휴일 포함],$P2536)&amp;"")</f>
        <v/>
      </c>
      <c r="O2536">
        <f>IF($P2536="","",INDEX(상세표[월 넘김 포함],$P2536)&amp;"")</f>
        <v/>
      </c>
      <c r="P2536" s="4">
        <f>IFERROR(MATCH(2531,상세표[연속순번],0),"")</f>
        <v/>
      </c>
    </row>
    <row r="2537">
      <c r="A2537">
        <f>IF($P2537="","",INDEX(상세표[사번],$P2537)&amp;"")</f>
        <v/>
      </c>
      <c r="B2537">
        <f>IF($P2537="","",INDEX(상세표[성명],$P2537)&amp;"")</f>
        <v/>
      </c>
      <c r="C2537">
        <f>IF($P2537="","",INDEX(상세표[부서],$P2537)&amp;"")</f>
        <v/>
      </c>
      <c r="D2537">
        <f>IF($P2537="","",INDEX(상세표[직위],$P2537)&amp;"")</f>
        <v/>
      </c>
      <c r="E2537">
        <f>IF($P2537="","",IF(ISNUMBER(INDEX(상세표[시작],$P2537)),TEXT(INDEX(상세표[시작],$P2537),"yyyy-mm-dd hh:mm"),INDEX(상세표[시작],$P2537)&amp;""))</f>
        <v/>
      </c>
      <c r="F2537">
        <f>IF($P2537="","",IF(ISNUMBER(INDEX(상세표[블록종료],$P2537)),TEXT(INDEX(상세표[블록종료],$P2537),"yyyy-mm-dd hh:mm"),INDEX(상세표[블록종료],$P2537)&amp;""))</f>
        <v/>
      </c>
      <c r="G2537">
        <f>IF($P2537="","",CHOOSE(WEEKDAY(INDEX(상세표[시작],$P2537)),"일","월","화","수","목","금","토"))</f>
        <v/>
      </c>
      <c r="H2537">
        <f>IF($P2537="","",INDEX(상세표[연속 시간],$P2537))</f>
        <v/>
      </c>
      <c r="I2537">
        <f>IF($P2537="","",INDEX(상세표[기록 수],$P2537))</f>
        <v/>
      </c>
      <c r="J2537">
        <f>IF($P2537="","",INDEX(상세표[블록 06~07시],$P2537))</f>
        <v/>
      </c>
      <c r="K2537">
        <f>IF($P2537="","",INDEX(상세표[블록 07~18시],$P2537))</f>
        <v/>
      </c>
      <c r="L2537">
        <f>IF($P2537="","",INDEX(상세표[블록 18~22시],$P2537))</f>
        <v/>
      </c>
      <c r="M2537">
        <f>IF($P2537="","",INDEX(상세표[블록 22~06시],$P2537))</f>
        <v/>
      </c>
      <c r="N2537">
        <f>IF($P2537="","",INDEX(상세표[주말·휴일 포함],$P2537)&amp;"")</f>
        <v/>
      </c>
      <c r="O2537">
        <f>IF($P2537="","",INDEX(상세표[월 넘김 포함],$P2537)&amp;"")</f>
        <v/>
      </c>
      <c r="P2537" s="4">
        <f>IFERROR(MATCH(2532,상세표[연속순번],0),"")</f>
        <v/>
      </c>
    </row>
    <row r="2538">
      <c r="A2538">
        <f>IF($P2538="","",INDEX(상세표[사번],$P2538)&amp;"")</f>
        <v/>
      </c>
      <c r="B2538">
        <f>IF($P2538="","",INDEX(상세표[성명],$P2538)&amp;"")</f>
        <v/>
      </c>
      <c r="C2538">
        <f>IF($P2538="","",INDEX(상세표[부서],$P2538)&amp;"")</f>
        <v/>
      </c>
      <c r="D2538">
        <f>IF($P2538="","",INDEX(상세표[직위],$P2538)&amp;"")</f>
        <v/>
      </c>
      <c r="E2538">
        <f>IF($P2538="","",IF(ISNUMBER(INDEX(상세표[시작],$P2538)),TEXT(INDEX(상세표[시작],$P2538),"yyyy-mm-dd hh:mm"),INDEX(상세표[시작],$P2538)&amp;""))</f>
        <v/>
      </c>
      <c r="F2538">
        <f>IF($P2538="","",IF(ISNUMBER(INDEX(상세표[블록종료],$P2538)),TEXT(INDEX(상세표[블록종료],$P2538),"yyyy-mm-dd hh:mm"),INDEX(상세표[블록종료],$P2538)&amp;""))</f>
        <v/>
      </c>
      <c r="G2538">
        <f>IF($P2538="","",CHOOSE(WEEKDAY(INDEX(상세표[시작],$P2538)),"일","월","화","수","목","금","토"))</f>
        <v/>
      </c>
      <c r="H2538">
        <f>IF($P2538="","",INDEX(상세표[연속 시간],$P2538))</f>
        <v/>
      </c>
      <c r="I2538">
        <f>IF($P2538="","",INDEX(상세표[기록 수],$P2538))</f>
        <v/>
      </c>
      <c r="J2538">
        <f>IF($P2538="","",INDEX(상세표[블록 06~07시],$P2538))</f>
        <v/>
      </c>
      <c r="K2538">
        <f>IF($P2538="","",INDEX(상세표[블록 07~18시],$P2538))</f>
        <v/>
      </c>
      <c r="L2538">
        <f>IF($P2538="","",INDEX(상세표[블록 18~22시],$P2538))</f>
        <v/>
      </c>
      <c r="M2538">
        <f>IF($P2538="","",INDEX(상세표[블록 22~06시],$P2538))</f>
        <v/>
      </c>
      <c r="N2538">
        <f>IF($P2538="","",INDEX(상세표[주말·휴일 포함],$P2538)&amp;"")</f>
        <v/>
      </c>
      <c r="O2538">
        <f>IF($P2538="","",INDEX(상세표[월 넘김 포함],$P2538)&amp;"")</f>
        <v/>
      </c>
      <c r="P2538" s="4">
        <f>IFERROR(MATCH(2533,상세표[연속순번],0),"")</f>
        <v/>
      </c>
    </row>
    <row r="2539">
      <c r="A2539">
        <f>IF($P2539="","",INDEX(상세표[사번],$P2539)&amp;"")</f>
        <v/>
      </c>
      <c r="B2539">
        <f>IF($P2539="","",INDEX(상세표[성명],$P2539)&amp;"")</f>
        <v/>
      </c>
      <c r="C2539">
        <f>IF($P2539="","",INDEX(상세표[부서],$P2539)&amp;"")</f>
        <v/>
      </c>
      <c r="D2539">
        <f>IF($P2539="","",INDEX(상세표[직위],$P2539)&amp;"")</f>
        <v/>
      </c>
      <c r="E2539">
        <f>IF($P2539="","",IF(ISNUMBER(INDEX(상세표[시작],$P2539)),TEXT(INDEX(상세표[시작],$P2539),"yyyy-mm-dd hh:mm"),INDEX(상세표[시작],$P2539)&amp;""))</f>
        <v/>
      </c>
      <c r="F2539">
        <f>IF($P2539="","",IF(ISNUMBER(INDEX(상세표[블록종료],$P2539)),TEXT(INDEX(상세표[블록종료],$P2539),"yyyy-mm-dd hh:mm"),INDEX(상세표[블록종료],$P2539)&amp;""))</f>
        <v/>
      </c>
      <c r="G2539">
        <f>IF($P2539="","",CHOOSE(WEEKDAY(INDEX(상세표[시작],$P2539)),"일","월","화","수","목","금","토"))</f>
        <v/>
      </c>
      <c r="H2539">
        <f>IF($P2539="","",INDEX(상세표[연속 시간],$P2539))</f>
        <v/>
      </c>
      <c r="I2539">
        <f>IF($P2539="","",INDEX(상세표[기록 수],$P2539))</f>
        <v/>
      </c>
      <c r="J2539">
        <f>IF($P2539="","",INDEX(상세표[블록 06~07시],$P2539))</f>
        <v/>
      </c>
      <c r="K2539">
        <f>IF($P2539="","",INDEX(상세표[블록 07~18시],$P2539))</f>
        <v/>
      </c>
      <c r="L2539">
        <f>IF($P2539="","",INDEX(상세표[블록 18~22시],$P2539))</f>
        <v/>
      </c>
      <c r="M2539">
        <f>IF($P2539="","",INDEX(상세표[블록 22~06시],$P2539))</f>
        <v/>
      </c>
      <c r="N2539">
        <f>IF($P2539="","",INDEX(상세표[주말·휴일 포함],$P2539)&amp;"")</f>
        <v/>
      </c>
      <c r="O2539">
        <f>IF($P2539="","",INDEX(상세표[월 넘김 포함],$P2539)&amp;"")</f>
        <v/>
      </c>
      <c r="P2539" s="4">
        <f>IFERROR(MATCH(2534,상세표[연속순번],0),"")</f>
        <v/>
      </c>
    </row>
    <row r="2540">
      <c r="A2540">
        <f>IF($P2540="","",INDEX(상세표[사번],$P2540)&amp;"")</f>
        <v/>
      </c>
      <c r="B2540">
        <f>IF($P2540="","",INDEX(상세표[성명],$P2540)&amp;"")</f>
        <v/>
      </c>
      <c r="C2540">
        <f>IF($P2540="","",INDEX(상세표[부서],$P2540)&amp;"")</f>
        <v/>
      </c>
      <c r="D2540">
        <f>IF($P2540="","",INDEX(상세표[직위],$P2540)&amp;"")</f>
        <v/>
      </c>
      <c r="E2540">
        <f>IF($P2540="","",IF(ISNUMBER(INDEX(상세표[시작],$P2540)),TEXT(INDEX(상세표[시작],$P2540),"yyyy-mm-dd hh:mm"),INDEX(상세표[시작],$P2540)&amp;""))</f>
        <v/>
      </c>
      <c r="F2540">
        <f>IF($P2540="","",IF(ISNUMBER(INDEX(상세표[블록종료],$P2540)),TEXT(INDEX(상세표[블록종료],$P2540),"yyyy-mm-dd hh:mm"),INDEX(상세표[블록종료],$P2540)&amp;""))</f>
        <v/>
      </c>
      <c r="G2540">
        <f>IF($P2540="","",CHOOSE(WEEKDAY(INDEX(상세표[시작],$P2540)),"일","월","화","수","목","금","토"))</f>
        <v/>
      </c>
      <c r="H2540">
        <f>IF($P2540="","",INDEX(상세표[연속 시간],$P2540))</f>
        <v/>
      </c>
      <c r="I2540">
        <f>IF($P2540="","",INDEX(상세표[기록 수],$P2540))</f>
        <v/>
      </c>
      <c r="J2540">
        <f>IF($P2540="","",INDEX(상세표[블록 06~07시],$P2540))</f>
        <v/>
      </c>
      <c r="K2540">
        <f>IF($P2540="","",INDEX(상세표[블록 07~18시],$P2540))</f>
        <v/>
      </c>
      <c r="L2540">
        <f>IF($P2540="","",INDEX(상세표[블록 18~22시],$P2540))</f>
        <v/>
      </c>
      <c r="M2540">
        <f>IF($P2540="","",INDEX(상세표[블록 22~06시],$P2540))</f>
        <v/>
      </c>
      <c r="N2540">
        <f>IF($P2540="","",INDEX(상세표[주말·휴일 포함],$P2540)&amp;"")</f>
        <v/>
      </c>
      <c r="O2540">
        <f>IF($P2540="","",INDEX(상세표[월 넘김 포함],$P2540)&amp;"")</f>
        <v/>
      </c>
      <c r="P2540" s="4">
        <f>IFERROR(MATCH(2535,상세표[연속순번],0),"")</f>
        <v/>
      </c>
    </row>
    <row r="2541">
      <c r="A2541">
        <f>IF($P2541="","",INDEX(상세표[사번],$P2541)&amp;"")</f>
        <v/>
      </c>
      <c r="B2541">
        <f>IF($P2541="","",INDEX(상세표[성명],$P2541)&amp;"")</f>
        <v/>
      </c>
      <c r="C2541">
        <f>IF($P2541="","",INDEX(상세표[부서],$P2541)&amp;"")</f>
        <v/>
      </c>
      <c r="D2541">
        <f>IF($P2541="","",INDEX(상세표[직위],$P2541)&amp;"")</f>
        <v/>
      </c>
      <c r="E2541">
        <f>IF($P2541="","",IF(ISNUMBER(INDEX(상세표[시작],$P2541)),TEXT(INDEX(상세표[시작],$P2541),"yyyy-mm-dd hh:mm"),INDEX(상세표[시작],$P2541)&amp;""))</f>
        <v/>
      </c>
      <c r="F2541">
        <f>IF($P2541="","",IF(ISNUMBER(INDEX(상세표[블록종료],$P2541)),TEXT(INDEX(상세표[블록종료],$P2541),"yyyy-mm-dd hh:mm"),INDEX(상세표[블록종료],$P2541)&amp;""))</f>
        <v/>
      </c>
      <c r="G2541">
        <f>IF($P2541="","",CHOOSE(WEEKDAY(INDEX(상세표[시작],$P2541)),"일","월","화","수","목","금","토"))</f>
        <v/>
      </c>
      <c r="H2541">
        <f>IF($P2541="","",INDEX(상세표[연속 시간],$P2541))</f>
        <v/>
      </c>
      <c r="I2541">
        <f>IF($P2541="","",INDEX(상세표[기록 수],$P2541))</f>
        <v/>
      </c>
      <c r="J2541">
        <f>IF($P2541="","",INDEX(상세표[블록 06~07시],$P2541))</f>
        <v/>
      </c>
      <c r="K2541">
        <f>IF($P2541="","",INDEX(상세표[블록 07~18시],$P2541))</f>
        <v/>
      </c>
      <c r="L2541">
        <f>IF($P2541="","",INDEX(상세표[블록 18~22시],$P2541))</f>
        <v/>
      </c>
      <c r="M2541">
        <f>IF($P2541="","",INDEX(상세표[블록 22~06시],$P2541))</f>
        <v/>
      </c>
      <c r="N2541">
        <f>IF($P2541="","",INDEX(상세표[주말·휴일 포함],$P2541)&amp;"")</f>
        <v/>
      </c>
      <c r="O2541">
        <f>IF($P2541="","",INDEX(상세표[월 넘김 포함],$P2541)&amp;"")</f>
        <v/>
      </c>
      <c r="P2541" s="4">
        <f>IFERROR(MATCH(2536,상세표[연속순번],0),"")</f>
        <v/>
      </c>
    </row>
    <row r="2542">
      <c r="A2542">
        <f>IF($P2542="","",INDEX(상세표[사번],$P2542)&amp;"")</f>
        <v/>
      </c>
      <c r="B2542">
        <f>IF($P2542="","",INDEX(상세표[성명],$P2542)&amp;"")</f>
        <v/>
      </c>
      <c r="C2542">
        <f>IF($P2542="","",INDEX(상세표[부서],$P2542)&amp;"")</f>
        <v/>
      </c>
      <c r="D2542">
        <f>IF($P2542="","",INDEX(상세표[직위],$P2542)&amp;"")</f>
        <v/>
      </c>
      <c r="E2542">
        <f>IF($P2542="","",IF(ISNUMBER(INDEX(상세표[시작],$P2542)),TEXT(INDEX(상세표[시작],$P2542),"yyyy-mm-dd hh:mm"),INDEX(상세표[시작],$P2542)&amp;""))</f>
        <v/>
      </c>
      <c r="F2542">
        <f>IF($P2542="","",IF(ISNUMBER(INDEX(상세표[블록종료],$P2542)),TEXT(INDEX(상세표[블록종료],$P2542),"yyyy-mm-dd hh:mm"),INDEX(상세표[블록종료],$P2542)&amp;""))</f>
        <v/>
      </c>
      <c r="G2542">
        <f>IF($P2542="","",CHOOSE(WEEKDAY(INDEX(상세표[시작],$P2542)),"일","월","화","수","목","금","토"))</f>
        <v/>
      </c>
      <c r="H2542">
        <f>IF($P2542="","",INDEX(상세표[연속 시간],$P2542))</f>
        <v/>
      </c>
      <c r="I2542">
        <f>IF($P2542="","",INDEX(상세표[기록 수],$P2542))</f>
        <v/>
      </c>
      <c r="J2542">
        <f>IF($P2542="","",INDEX(상세표[블록 06~07시],$P2542))</f>
        <v/>
      </c>
      <c r="K2542">
        <f>IF($P2542="","",INDEX(상세표[블록 07~18시],$P2542))</f>
        <v/>
      </c>
      <c r="L2542">
        <f>IF($P2542="","",INDEX(상세표[블록 18~22시],$P2542))</f>
        <v/>
      </c>
      <c r="M2542">
        <f>IF($P2542="","",INDEX(상세표[블록 22~06시],$P2542))</f>
        <v/>
      </c>
      <c r="N2542">
        <f>IF($P2542="","",INDEX(상세표[주말·휴일 포함],$P2542)&amp;"")</f>
        <v/>
      </c>
      <c r="O2542">
        <f>IF($P2542="","",INDEX(상세표[월 넘김 포함],$P2542)&amp;"")</f>
        <v/>
      </c>
      <c r="P2542" s="4">
        <f>IFERROR(MATCH(2537,상세표[연속순번],0),"")</f>
        <v/>
      </c>
    </row>
    <row r="2543">
      <c r="A2543">
        <f>IF($P2543="","",INDEX(상세표[사번],$P2543)&amp;"")</f>
        <v/>
      </c>
      <c r="B2543">
        <f>IF($P2543="","",INDEX(상세표[성명],$P2543)&amp;"")</f>
        <v/>
      </c>
      <c r="C2543">
        <f>IF($P2543="","",INDEX(상세표[부서],$P2543)&amp;"")</f>
        <v/>
      </c>
      <c r="D2543">
        <f>IF($P2543="","",INDEX(상세표[직위],$P2543)&amp;"")</f>
        <v/>
      </c>
      <c r="E2543">
        <f>IF($P2543="","",IF(ISNUMBER(INDEX(상세표[시작],$P2543)),TEXT(INDEX(상세표[시작],$P2543),"yyyy-mm-dd hh:mm"),INDEX(상세표[시작],$P2543)&amp;""))</f>
        <v/>
      </c>
      <c r="F2543">
        <f>IF($P2543="","",IF(ISNUMBER(INDEX(상세표[블록종료],$P2543)),TEXT(INDEX(상세표[블록종료],$P2543),"yyyy-mm-dd hh:mm"),INDEX(상세표[블록종료],$P2543)&amp;""))</f>
        <v/>
      </c>
      <c r="G2543">
        <f>IF($P2543="","",CHOOSE(WEEKDAY(INDEX(상세표[시작],$P2543)),"일","월","화","수","목","금","토"))</f>
        <v/>
      </c>
      <c r="H2543">
        <f>IF($P2543="","",INDEX(상세표[연속 시간],$P2543))</f>
        <v/>
      </c>
      <c r="I2543">
        <f>IF($P2543="","",INDEX(상세표[기록 수],$P2543))</f>
        <v/>
      </c>
      <c r="J2543">
        <f>IF($P2543="","",INDEX(상세표[블록 06~07시],$P2543))</f>
        <v/>
      </c>
      <c r="K2543">
        <f>IF($P2543="","",INDEX(상세표[블록 07~18시],$P2543))</f>
        <v/>
      </c>
      <c r="L2543">
        <f>IF($P2543="","",INDEX(상세표[블록 18~22시],$P2543))</f>
        <v/>
      </c>
      <c r="M2543">
        <f>IF($P2543="","",INDEX(상세표[블록 22~06시],$P2543))</f>
        <v/>
      </c>
      <c r="N2543">
        <f>IF($P2543="","",INDEX(상세표[주말·휴일 포함],$P2543)&amp;"")</f>
        <v/>
      </c>
      <c r="O2543">
        <f>IF($P2543="","",INDEX(상세표[월 넘김 포함],$P2543)&amp;"")</f>
        <v/>
      </c>
      <c r="P2543" s="4">
        <f>IFERROR(MATCH(2538,상세표[연속순번],0),"")</f>
        <v/>
      </c>
    </row>
    <row r="2544">
      <c r="A2544">
        <f>IF($P2544="","",INDEX(상세표[사번],$P2544)&amp;"")</f>
        <v/>
      </c>
      <c r="B2544">
        <f>IF($P2544="","",INDEX(상세표[성명],$P2544)&amp;"")</f>
        <v/>
      </c>
      <c r="C2544">
        <f>IF($P2544="","",INDEX(상세표[부서],$P2544)&amp;"")</f>
        <v/>
      </c>
      <c r="D2544">
        <f>IF($P2544="","",INDEX(상세표[직위],$P2544)&amp;"")</f>
        <v/>
      </c>
      <c r="E2544">
        <f>IF($P2544="","",IF(ISNUMBER(INDEX(상세표[시작],$P2544)),TEXT(INDEX(상세표[시작],$P2544),"yyyy-mm-dd hh:mm"),INDEX(상세표[시작],$P2544)&amp;""))</f>
        <v/>
      </c>
      <c r="F2544">
        <f>IF($P2544="","",IF(ISNUMBER(INDEX(상세표[블록종료],$P2544)),TEXT(INDEX(상세표[블록종료],$P2544),"yyyy-mm-dd hh:mm"),INDEX(상세표[블록종료],$P2544)&amp;""))</f>
        <v/>
      </c>
      <c r="G2544">
        <f>IF($P2544="","",CHOOSE(WEEKDAY(INDEX(상세표[시작],$P2544)),"일","월","화","수","목","금","토"))</f>
        <v/>
      </c>
      <c r="H2544">
        <f>IF($P2544="","",INDEX(상세표[연속 시간],$P2544))</f>
        <v/>
      </c>
      <c r="I2544">
        <f>IF($P2544="","",INDEX(상세표[기록 수],$P2544))</f>
        <v/>
      </c>
      <c r="J2544">
        <f>IF($P2544="","",INDEX(상세표[블록 06~07시],$P2544))</f>
        <v/>
      </c>
      <c r="K2544">
        <f>IF($P2544="","",INDEX(상세표[블록 07~18시],$P2544))</f>
        <v/>
      </c>
      <c r="L2544">
        <f>IF($P2544="","",INDEX(상세표[블록 18~22시],$P2544))</f>
        <v/>
      </c>
      <c r="M2544">
        <f>IF($P2544="","",INDEX(상세표[블록 22~06시],$P2544))</f>
        <v/>
      </c>
      <c r="N2544">
        <f>IF($P2544="","",INDEX(상세표[주말·휴일 포함],$P2544)&amp;"")</f>
        <v/>
      </c>
      <c r="O2544">
        <f>IF($P2544="","",INDEX(상세표[월 넘김 포함],$P2544)&amp;"")</f>
        <v/>
      </c>
      <c r="P2544" s="4">
        <f>IFERROR(MATCH(2539,상세표[연속순번],0),"")</f>
        <v/>
      </c>
    </row>
    <row r="2545">
      <c r="A2545">
        <f>IF($P2545="","",INDEX(상세표[사번],$P2545)&amp;"")</f>
        <v/>
      </c>
      <c r="B2545">
        <f>IF($P2545="","",INDEX(상세표[성명],$P2545)&amp;"")</f>
        <v/>
      </c>
      <c r="C2545">
        <f>IF($P2545="","",INDEX(상세표[부서],$P2545)&amp;"")</f>
        <v/>
      </c>
      <c r="D2545">
        <f>IF($P2545="","",INDEX(상세표[직위],$P2545)&amp;"")</f>
        <v/>
      </c>
      <c r="E2545">
        <f>IF($P2545="","",IF(ISNUMBER(INDEX(상세표[시작],$P2545)),TEXT(INDEX(상세표[시작],$P2545),"yyyy-mm-dd hh:mm"),INDEX(상세표[시작],$P2545)&amp;""))</f>
        <v/>
      </c>
      <c r="F2545">
        <f>IF($P2545="","",IF(ISNUMBER(INDEX(상세표[블록종료],$P2545)),TEXT(INDEX(상세표[블록종료],$P2545),"yyyy-mm-dd hh:mm"),INDEX(상세표[블록종료],$P2545)&amp;""))</f>
        <v/>
      </c>
      <c r="G2545">
        <f>IF($P2545="","",CHOOSE(WEEKDAY(INDEX(상세표[시작],$P2545)),"일","월","화","수","목","금","토"))</f>
        <v/>
      </c>
      <c r="H2545">
        <f>IF($P2545="","",INDEX(상세표[연속 시간],$P2545))</f>
        <v/>
      </c>
      <c r="I2545">
        <f>IF($P2545="","",INDEX(상세표[기록 수],$P2545))</f>
        <v/>
      </c>
      <c r="J2545">
        <f>IF($P2545="","",INDEX(상세표[블록 06~07시],$P2545))</f>
        <v/>
      </c>
      <c r="K2545">
        <f>IF($P2545="","",INDEX(상세표[블록 07~18시],$P2545))</f>
        <v/>
      </c>
      <c r="L2545">
        <f>IF($P2545="","",INDEX(상세표[블록 18~22시],$P2545))</f>
        <v/>
      </c>
      <c r="M2545">
        <f>IF($P2545="","",INDEX(상세표[블록 22~06시],$P2545))</f>
        <v/>
      </c>
      <c r="N2545">
        <f>IF($P2545="","",INDEX(상세표[주말·휴일 포함],$P2545)&amp;"")</f>
        <v/>
      </c>
      <c r="O2545">
        <f>IF($P2545="","",INDEX(상세표[월 넘김 포함],$P2545)&amp;"")</f>
        <v/>
      </c>
      <c r="P2545" s="4">
        <f>IFERROR(MATCH(2540,상세표[연속순번],0),"")</f>
        <v/>
      </c>
    </row>
    <row r="2546">
      <c r="A2546">
        <f>IF($P2546="","",INDEX(상세표[사번],$P2546)&amp;"")</f>
        <v/>
      </c>
      <c r="B2546">
        <f>IF($P2546="","",INDEX(상세표[성명],$P2546)&amp;"")</f>
        <v/>
      </c>
      <c r="C2546">
        <f>IF($P2546="","",INDEX(상세표[부서],$P2546)&amp;"")</f>
        <v/>
      </c>
      <c r="D2546">
        <f>IF($P2546="","",INDEX(상세표[직위],$P2546)&amp;"")</f>
        <v/>
      </c>
      <c r="E2546">
        <f>IF($P2546="","",IF(ISNUMBER(INDEX(상세표[시작],$P2546)),TEXT(INDEX(상세표[시작],$P2546),"yyyy-mm-dd hh:mm"),INDEX(상세표[시작],$P2546)&amp;""))</f>
        <v/>
      </c>
      <c r="F2546">
        <f>IF($P2546="","",IF(ISNUMBER(INDEX(상세표[블록종료],$P2546)),TEXT(INDEX(상세표[블록종료],$P2546),"yyyy-mm-dd hh:mm"),INDEX(상세표[블록종료],$P2546)&amp;""))</f>
        <v/>
      </c>
      <c r="G2546">
        <f>IF($P2546="","",CHOOSE(WEEKDAY(INDEX(상세표[시작],$P2546)),"일","월","화","수","목","금","토"))</f>
        <v/>
      </c>
      <c r="H2546">
        <f>IF($P2546="","",INDEX(상세표[연속 시간],$P2546))</f>
        <v/>
      </c>
      <c r="I2546">
        <f>IF($P2546="","",INDEX(상세표[기록 수],$P2546))</f>
        <v/>
      </c>
      <c r="J2546">
        <f>IF($P2546="","",INDEX(상세표[블록 06~07시],$P2546))</f>
        <v/>
      </c>
      <c r="K2546">
        <f>IF($P2546="","",INDEX(상세표[블록 07~18시],$P2546))</f>
        <v/>
      </c>
      <c r="L2546">
        <f>IF($P2546="","",INDEX(상세표[블록 18~22시],$P2546))</f>
        <v/>
      </c>
      <c r="M2546">
        <f>IF($P2546="","",INDEX(상세표[블록 22~06시],$P2546))</f>
        <v/>
      </c>
      <c r="N2546">
        <f>IF($P2546="","",INDEX(상세표[주말·휴일 포함],$P2546)&amp;"")</f>
        <v/>
      </c>
      <c r="O2546">
        <f>IF($P2546="","",INDEX(상세표[월 넘김 포함],$P2546)&amp;"")</f>
        <v/>
      </c>
      <c r="P2546" s="4">
        <f>IFERROR(MATCH(2541,상세표[연속순번],0),"")</f>
        <v/>
      </c>
    </row>
    <row r="2547">
      <c r="A2547">
        <f>IF($P2547="","",INDEX(상세표[사번],$P2547)&amp;"")</f>
        <v/>
      </c>
      <c r="B2547">
        <f>IF($P2547="","",INDEX(상세표[성명],$P2547)&amp;"")</f>
        <v/>
      </c>
      <c r="C2547">
        <f>IF($P2547="","",INDEX(상세표[부서],$P2547)&amp;"")</f>
        <v/>
      </c>
      <c r="D2547">
        <f>IF($P2547="","",INDEX(상세표[직위],$P2547)&amp;"")</f>
        <v/>
      </c>
      <c r="E2547">
        <f>IF($P2547="","",IF(ISNUMBER(INDEX(상세표[시작],$P2547)),TEXT(INDEX(상세표[시작],$P2547),"yyyy-mm-dd hh:mm"),INDEX(상세표[시작],$P2547)&amp;""))</f>
        <v/>
      </c>
      <c r="F2547">
        <f>IF($P2547="","",IF(ISNUMBER(INDEX(상세표[블록종료],$P2547)),TEXT(INDEX(상세표[블록종료],$P2547),"yyyy-mm-dd hh:mm"),INDEX(상세표[블록종료],$P2547)&amp;""))</f>
        <v/>
      </c>
      <c r="G2547">
        <f>IF($P2547="","",CHOOSE(WEEKDAY(INDEX(상세표[시작],$P2547)),"일","월","화","수","목","금","토"))</f>
        <v/>
      </c>
      <c r="H2547">
        <f>IF($P2547="","",INDEX(상세표[연속 시간],$P2547))</f>
        <v/>
      </c>
      <c r="I2547">
        <f>IF($P2547="","",INDEX(상세표[기록 수],$P2547))</f>
        <v/>
      </c>
      <c r="J2547">
        <f>IF($P2547="","",INDEX(상세표[블록 06~07시],$P2547))</f>
        <v/>
      </c>
      <c r="K2547">
        <f>IF($P2547="","",INDEX(상세표[블록 07~18시],$P2547))</f>
        <v/>
      </c>
      <c r="L2547">
        <f>IF($P2547="","",INDEX(상세표[블록 18~22시],$P2547))</f>
        <v/>
      </c>
      <c r="M2547">
        <f>IF($P2547="","",INDEX(상세표[블록 22~06시],$P2547))</f>
        <v/>
      </c>
      <c r="N2547">
        <f>IF($P2547="","",INDEX(상세표[주말·휴일 포함],$P2547)&amp;"")</f>
        <v/>
      </c>
      <c r="O2547">
        <f>IF($P2547="","",INDEX(상세표[월 넘김 포함],$P2547)&amp;"")</f>
        <v/>
      </c>
      <c r="P2547" s="4">
        <f>IFERROR(MATCH(2542,상세표[연속순번],0),"")</f>
        <v/>
      </c>
    </row>
    <row r="2548">
      <c r="A2548">
        <f>IF($P2548="","",INDEX(상세표[사번],$P2548)&amp;"")</f>
        <v/>
      </c>
      <c r="B2548">
        <f>IF($P2548="","",INDEX(상세표[성명],$P2548)&amp;"")</f>
        <v/>
      </c>
      <c r="C2548">
        <f>IF($P2548="","",INDEX(상세표[부서],$P2548)&amp;"")</f>
        <v/>
      </c>
      <c r="D2548">
        <f>IF($P2548="","",INDEX(상세표[직위],$P2548)&amp;"")</f>
        <v/>
      </c>
      <c r="E2548">
        <f>IF($P2548="","",IF(ISNUMBER(INDEX(상세표[시작],$P2548)),TEXT(INDEX(상세표[시작],$P2548),"yyyy-mm-dd hh:mm"),INDEX(상세표[시작],$P2548)&amp;""))</f>
        <v/>
      </c>
      <c r="F2548">
        <f>IF($P2548="","",IF(ISNUMBER(INDEX(상세표[블록종료],$P2548)),TEXT(INDEX(상세표[블록종료],$P2548),"yyyy-mm-dd hh:mm"),INDEX(상세표[블록종료],$P2548)&amp;""))</f>
        <v/>
      </c>
      <c r="G2548">
        <f>IF($P2548="","",CHOOSE(WEEKDAY(INDEX(상세표[시작],$P2548)),"일","월","화","수","목","금","토"))</f>
        <v/>
      </c>
      <c r="H2548">
        <f>IF($P2548="","",INDEX(상세표[연속 시간],$P2548))</f>
        <v/>
      </c>
      <c r="I2548">
        <f>IF($P2548="","",INDEX(상세표[기록 수],$P2548))</f>
        <v/>
      </c>
      <c r="J2548">
        <f>IF($P2548="","",INDEX(상세표[블록 06~07시],$P2548))</f>
        <v/>
      </c>
      <c r="K2548">
        <f>IF($P2548="","",INDEX(상세표[블록 07~18시],$P2548))</f>
        <v/>
      </c>
      <c r="L2548">
        <f>IF($P2548="","",INDEX(상세표[블록 18~22시],$P2548))</f>
        <v/>
      </c>
      <c r="M2548">
        <f>IF($P2548="","",INDEX(상세표[블록 22~06시],$P2548))</f>
        <v/>
      </c>
      <c r="N2548">
        <f>IF($P2548="","",INDEX(상세표[주말·휴일 포함],$P2548)&amp;"")</f>
        <v/>
      </c>
      <c r="O2548">
        <f>IF($P2548="","",INDEX(상세표[월 넘김 포함],$P2548)&amp;"")</f>
        <v/>
      </c>
      <c r="P2548" s="4">
        <f>IFERROR(MATCH(2543,상세표[연속순번],0),"")</f>
        <v/>
      </c>
    </row>
    <row r="2549">
      <c r="A2549">
        <f>IF($P2549="","",INDEX(상세표[사번],$P2549)&amp;"")</f>
        <v/>
      </c>
      <c r="B2549">
        <f>IF($P2549="","",INDEX(상세표[성명],$P2549)&amp;"")</f>
        <v/>
      </c>
      <c r="C2549">
        <f>IF($P2549="","",INDEX(상세표[부서],$P2549)&amp;"")</f>
        <v/>
      </c>
      <c r="D2549">
        <f>IF($P2549="","",INDEX(상세표[직위],$P2549)&amp;"")</f>
        <v/>
      </c>
      <c r="E2549">
        <f>IF($P2549="","",IF(ISNUMBER(INDEX(상세표[시작],$P2549)),TEXT(INDEX(상세표[시작],$P2549),"yyyy-mm-dd hh:mm"),INDEX(상세표[시작],$P2549)&amp;""))</f>
        <v/>
      </c>
      <c r="F2549">
        <f>IF($P2549="","",IF(ISNUMBER(INDEX(상세표[블록종료],$P2549)),TEXT(INDEX(상세표[블록종료],$P2549),"yyyy-mm-dd hh:mm"),INDEX(상세표[블록종료],$P2549)&amp;""))</f>
        <v/>
      </c>
      <c r="G2549">
        <f>IF($P2549="","",CHOOSE(WEEKDAY(INDEX(상세표[시작],$P2549)),"일","월","화","수","목","금","토"))</f>
        <v/>
      </c>
      <c r="H2549">
        <f>IF($P2549="","",INDEX(상세표[연속 시간],$P2549))</f>
        <v/>
      </c>
      <c r="I2549">
        <f>IF($P2549="","",INDEX(상세표[기록 수],$P2549))</f>
        <v/>
      </c>
      <c r="J2549">
        <f>IF($P2549="","",INDEX(상세표[블록 06~07시],$P2549))</f>
        <v/>
      </c>
      <c r="K2549">
        <f>IF($P2549="","",INDEX(상세표[블록 07~18시],$P2549))</f>
        <v/>
      </c>
      <c r="L2549">
        <f>IF($P2549="","",INDEX(상세표[블록 18~22시],$P2549))</f>
        <v/>
      </c>
      <c r="M2549">
        <f>IF($P2549="","",INDEX(상세표[블록 22~06시],$P2549))</f>
        <v/>
      </c>
      <c r="N2549">
        <f>IF($P2549="","",INDEX(상세표[주말·휴일 포함],$P2549)&amp;"")</f>
        <v/>
      </c>
      <c r="O2549">
        <f>IF($P2549="","",INDEX(상세표[월 넘김 포함],$P2549)&amp;"")</f>
        <v/>
      </c>
      <c r="P2549" s="4">
        <f>IFERROR(MATCH(2544,상세표[연속순번],0),"")</f>
        <v/>
      </c>
    </row>
    <row r="2550">
      <c r="A2550">
        <f>IF($P2550="","",INDEX(상세표[사번],$P2550)&amp;"")</f>
        <v/>
      </c>
      <c r="B2550">
        <f>IF($P2550="","",INDEX(상세표[성명],$P2550)&amp;"")</f>
        <v/>
      </c>
      <c r="C2550">
        <f>IF($P2550="","",INDEX(상세표[부서],$P2550)&amp;"")</f>
        <v/>
      </c>
      <c r="D2550">
        <f>IF($P2550="","",INDEX(상세표[직위],$P2550)&amp;"")</f>
        <v/>
      </c>
      <c r="E2550">
        <f>IF($P2550="","",IF(ISNUMBER(INDEX(상세표[시작],$P2550)),TEXT(INDEX(상세표[시작],$P2550),"yyyy-mm-dd hh:mm"),INDEX(상세표[시작],$P2550)&amp;""))</f>
        <v/>
      </c>
      <c r="F2550">
        <f>IF($P2550="","",IF(ISNUMBER(INDEX(상세표[블록종료],$P2550)),TEXT(INDEX(상세표[블록종료],$P2550),"yyyy-mm-dd hh:mm"),INDEX(상세표[블록종료],$P2550)&amp;""))</f>
        <v/>
      </c>
      <c r="G2550">
        <f>IF($P2550="","",CHOOSE(WEEKDAY(INDEX(상세표[시작],$P2550)),"일","월","화","수","목","금","토"))</f>
        <v/>
      </c>
      <c r="H2550">
        <f>IF($P2550="","",INDEX(상세표[연속 시간],$P2550))</f>
        <v/>
      </c>
      <c r="I2550">
        <f>IF($P2550="","",INDEX(상세표[기록 수],$P2550))</f>
        <v/>
      </c>
      <c r="J2550">
        <f>IF($P2550="","",INDEX(상세표[블록 06~07시],$P2550))</f>
        <v/>
      </c>
      <c r="K2550">
        <f>IF($P2550="","",INDEX(상세표[블록 07~18시],$P2550))</f>
        <v/>
      </c>
      <c r="L2550">
        <f>IF($P2550="","",INDEX(상세표[블록 18~22시],$P2550))</f>
        <v/>
      </c>
      <c r="M2550">
        <f>IF($P2550="","",INDEX(상세표[블록 22~06시],$P2550))</f>
        <v/>
      </c>
      <c r="N2550">
        <f>IF($P2550="","",INDEX(상세표[주말·휴일 포함],$P2550)&amp;"")</f>
        <v/>
      </c>
      <c r="O2550">
        <f>IF($P2550="","",INDEX(상세표[월 넘김 포함],$P2550)&amp;"")</f>
        <v/>
      </c>
      <c r="P2550" s="4">
        <f>IFERROR(MATCH(2545,상세표[연속순번],0),"")</f>
        <v/>
      </c>
    </row>
    <row r="2551">
      <c r="A2551">
        <f>IF($P2551="","",INDEX(상세표[사번],$P2551)&amp;"")</f>
        <v/>
      </c>
      <c r="B2551">
        <f>IF($P2551="","",INDEX(상세표[성명],$P2551)&amp;"")</f>
        <v/>
      </c>
      <c r="C2551">
        <f>IF($P2551="","",INDEX(상세표[부서],$P2551)&amp;"")</f>
        <v/>
      </c>
      <c r="D2551">
        <f>IF($P2551="","",INDEX(상세표[직위],$P2551)&amp;"")</f>
        <v/>
      </c>
      <c r="E2551">
        <f>IF($P2551="","",IF(ISNUMBER(INDEX(상세표[시작],$P2551)),TEXT(INDEX(상세표[시작],$P2551),"yyyy-mm-dd hh:mm"),INDEX(상세표[시작],$P2551)&amp;""))</f>
        <v/>
      </c>
      <c r="F2551">
        <f>IF($P2551="","",IF(ISNUMBER(INDEX(상세표[블록종료],$P2551)),TEXT(INDEX(상세표[블록종료],$P2551),"yyyy-mm-dd hh:mm"),INDEX(상세표[블록종료],$P2551)&amp;""))</f>
        <v/>
      </c>
      <c r="G2551">
        <f>IF($P2551="","",CHOOSE(WEEKDAY(INDEX(상세표[시작],$P2551)),"일","월","화","수","목","금","토"))</f>
        <v/>
      </c>
      <c r="H2551">
        <f>IF($P2551="","",INDEX(상세표[연속 시간],$P2551))</f>
        <v/>
      </c>
      <c r="I2551">
        <f>IF($P2551="","",INDEX(상세표[기록 수],$P2551))</f>
        <v/>
      </c>
      <c r="J2551">
        <f>IF($P2551="","",INDEX(상세표[블록 06~07시],$P2551))</f>
        <v/>
      </c>
      <c r="K2551">
        <f>IF($P2551="","",INDEX(상세표[블록 07~18시],$P2551))</f>
        <v/>
      </c>
      <c r="L2551">
        <f>IF($P2551="","",INDEX(상세표[블록 18~22시],$P2551))</f>
        <v/>
      </c>
      <c r="M2551">
        <f>IF($P2551="","",INDEX(상세표[블록 22~06시],$P2551))</f>
        <v/>
      </c>
      <c r="N2551">
        <f>IF($P2551="","",INDEX(상세표[주말·휴일 포함],$P2551)&amp;"")</f>
        <v/>
      </c>
      <c r="O2551">
        <f>IF($P2551="","",INDEX(상세표[월 넘김 포함],$P2551)&amp;"")</f>
        <v/>
      </c>
      <c r="P2551" s="4">
        <f>IFERROR(MATCH(2546,상세표[연속순번],0),"")</f>
        <v/>
      </c>
    </row>
    <row r="2552">
      <c r="A2552">
        <f>IF($P2552="","",INDEX(상세표[사번],$P2552)&amp;"")</f>
        <v/>
      </c>
      <c r="B2552">
        <f>IF($P2552="","",INDEX(상세표[성명],$P2552)&amp;"")</f>
        <v/>
      </c>
      <c r="C2552">
        <f>IF($P2552="","",INDEX(상세표[부서],$P2552)&amp;"")</f>
        <v/>
      </c>
      <c r="D2552">
        <f>IF($P2552="","",INDEX(상세표[직위],$P2552)&amp;"")</f>
        <v/>
      </c>
      <c r="E2552">
        <f>IF($P2552="","",IF(ISNUMBER(INDEX(상세표[시작],$P2552)),TEXT(INDEX(상세표[시작],$P2552),"yyyy-mm-dd hh:mm"),INDEX(상세표[시작],$P2552)&amp;""))</f>
        <v/>
      </c>
      <c r="F2552">
        <f>IF($P2552="","",IF(ISNUMBER(INDEX(상세표[블록종료],$P2552)),TEXT(INDEX(상세표[블록종료],$P2552),"yyyy-mm-dd hh:mm"),INDEX(상세표[블록종료],$P2552)&amp;""))</f>
        <v/>
      </c>
      <c r="G2552">
        <f>IF($P2552="","",CHOOSE(WEEKDAY(INDEX(상세표[시작],$P2552)),"일","월","화","수","목","금","토"))</f>
        <v/>
      </c>
      <c r="H2552">
        <f>IF($P2552="","",INDEX(상세표[연속 시간],$P2552))</f>
        <v/>
      </c>
      <c r="I2552">
        <f>IF($P2552="","",INDEX(상세표[기록 수],$P2552))</f>
        <v/>
      </c>
      <c r="J2552">
        <f>IF($P2552="","",INDEX(상세표[블록 06~07시],$P2552))</f>
        <v/>
      </c>
      <c r="K2552">
        <f>IF($P2552="","",INDEX(상세표[블록 07~18시],$P2552))</f>
        <v/>
      </c>
      <c r="L2552">
        <f>IF($P2552="","",INDEX(상세표[블록 18~22시],$P2552))</f>
        <v/>
      </c>
      <c r="M2552">
        <f>IF($P2552="","",INDEX(상세표[블록 22~06시],$P2552))</f>
        <v/>
      </c>
      <c r="N2552">
        <f>IF($P2552="","",INDEX(상세표[주말·휴일 포함],$P2552)&amp;"")</f>
        <v/>
      </c>
      <c r="O2552">
        <f>IF($P2552="","",INDEX(상세표[월 넘김 포함],$P2552)&amp;"")</f>
        <v/>
      </c>
      <c r="P2552" s="4">
        <f>IFERROR(MATCH(2547,상세표[연속순번],0),"")</f>
        <v/>
      </c>
    </row>
    <row r="2553">
      <c r="A2553">
        <f>IF($P2553="","",INDEX(상세표[사번],$P2553)&amp;"")</f>
        <v/>
      </c>
      <c r="B2553">
        <f>IF($P2553="","",INDEX(상세표[성명],$P2553)&amp;"")</f>
        <v/>
      </c>
      <c r="C2553">
        <f>IF($P2553="","",INDEX(상세표[부서],$P2553)&amp;"")</f>
        <v/>
      </c>
      <c r="D2553">
        <f>IF($P2553="","",INDEX(상세표[직위],$P2553)&amp;"")</f>
        <v/>
      </c>
      <c r="E2553">
        <f>IF($P2553="","",IF(ISNUMBER(INDEX(상세표[시작],$P2553)),TEXT(INDEX(상세표[시작],$P2553),"yyyy-mm-dd hh:mm"),INDEX(상세표[시작],$P2553)&amp;""))</f>
        <v/>
      </c>
      <c r="F2553">
        <f>IF($P2553="","",IF(ISNUMBER(INDEX(상세표[블록종료],$P2553)),TEXT(INDEX(상세표[블록종료],$P2553),"yyyy-mm-dd hh:mm"),INDEX(상세표[블록종료],$P2553)&amp;""))</f>
        <v/>
      </c>
      <c r="G2553">
        <f>IF($P2553="","",CHOOSE(WEEKDAY(INDEX(상세표[시작],$P2553)),"일","월","화","수","목","금","토"))</f>
        <v/>
      </c>
      <c r="H2553">
        <f>IF($P2553="","",INDEX(상세표[연속 시간],$P2553))</f>
        <v/>
      </c>
      <c r="I2553">
        <f>IF($P2553="","",INDEX(상세표[기록 수],$P2553))</f>
        <v/>
      </c>
      <c r="J2553">
        <f>IF($P2553="","",INDEX(상세표[블록 06~07시],$P2553))</f>
        <v/>
      </c>
      <c r="K2553">
        <f>IF($P2553="","",INDEX(상세표[블록 07~18시],$P2553))</f>
        <v/>
      </c>
      <c r="L2553">
        <f>IF($P2553="","",INDEX(상세표[블록 18~22시],$P2553))</f>
        <v/>
      </c>
      <c r="M2553">
        <f>IF($P2553="","",INDEX(상세표[블록 22~06시],$P2553))</f>
        <v/>
      </c>
      <c r="N2553">
        <f>IF($P2553="","",INDEX(상세표[주말·휴일 포함],$P2553)&amp;"")</f>
        <v/>
      </c>
      <c r="O2553">
        <f>IF($P2553="","",INDEX(상세표[월 넘김 포함],$P2553)&amp;"")</f>
        <v/>
      </c>
      <c r="P2553" s="4">
        <f>IFERROR(MATCH(2548,상세표[연속순번],0),"")</f>
        <v/>
      </c>
    </row>
    <row r="2554">
      <c r="A2554">
        <f>IF($P2554="","",INDEX(상세표[사번],$P2554)&amp;"")</f>
        <v/>
      </c>
      <c r="B2554">
        <f>IF($P2554="","",INDEX(상세표[성명],$P2554)&amp;"")</f>
        <v/>
      </c>
      <c r="C2554">
        <f>IF($P2554="","",INDEX(상세표[부서],$P2554)&amp;"")</f>
        <v/>
      </c>
      <c r="D2554">
        <f>IF($P2554="","",INDEX(상세표[직위],$P2554)&amp;"")</f>
        <v/>
      </c>
      <c r="E2554">
        <f>IF($P2554="","",IF(ISNUMBER(INDEX(상세표[시작],$P2554)),TEXT(INDEX(상세표[시작],$P2554),"yyyy-mm-dd hh:mm"),INDEX(상세표[시작],$P2554)&amp;""))</f>
        <v/>
      </c>
      <c r="F2554">
        <f>IF($P2554="","",IF(ISNUMBER(INDEX(상세표[블록종료],$P2554)),TEXT(INDEX(상세표[블록종료],$P2554),"yyyy-mm-dd hh:mm"),INDEX(상세표[블록종료],$P2554)&amp;""))</f>
        <v/>
      </c>
      <c r="G2554">
        <f>IF($P2554="","",CHOOSE(WEEKDAY(INDEX(상세표[시작],$P2554)),"일","월","화","수","목","금","토"))</f>
        <v/>
      </c>
      <c r="H2554">
        <f>IF($P2554="","",INDEX(상세표[연속 시간],$P2554))</f>
        <v/>
      </c>
      <c r="I2554">
        <f>IF($P2554="","",INDEX(상세표[기록 수],$P2554))</f>
        <v/>
      </c>
      <c r="J2554">
        <f>IF($P2554="","",INDEX(상세표[블록 06~07시],$P2554))</f>
        <v/>
      </c>
      <c r="K2554">
        <f>IF($P2554="","",INDEX(상세표[블록 07~18시],$P2554))</f>
        <v/>
      </c>
      <c r="L2554">
        <f>IF($P2554="","",INDEX(상세표[블록 18~22시],$P2554))</f>
        <v/>
      </c>
      <c r="M2554">
        <f>IF($P2554="","",INDEX(상세표[블록 22~06시],$P2554))</f>
        <v/>
      </c>
      <c r="N2554">
        <f>IF($P2554="","",INDEX(상세표[주말·휴일 포함],$P2554)&amp;"")</f>
        <v/>
      </c>
      <c r="O2554">
        <f>IF($P2554="","",INDEX(상세표[월 넘김 포함],$P2554)&amp;"")</f>
        <v/>
      </c>
      <c r="P2554" s="4">
        <f>IFERROR(MATCH(2549,상세표[연속순번],0),"")</f>
        <v/>
      </c>
    </row>
    <row r="2555">
      <c r="A2555">
        <f>IF($P2555="","",INDEX(상세표[사번],$P2555)&amp;"")</f>
        <v/>
      </c>
      <c r="B2555">
        <f>IF($P2555="","",INDEX(상세표[성명],$P2555)&amp;"")</f>
        <v/>
      </c>
      <c r="C2555">
        <f>IF($P2555="","",INDEX(상세표[부서],$P2555)&amp;"")</f>
        <v/>
      </c>
      <c r="D2555">
        <f>IF($P2555="","",INDEX(상세표[직위],$P2555)&amp;"")</f>
        <v/>
      </c>
      <c r="E2555">
        <f>IF($P2555="","",IF(ISNUMBER(INDEX(상세표[시작],$P2555)),TEXT(INDEX(상세표[시작],$P2555),"yyyy-mm-dd hh:mm"),INDEX(상세표[시작],$P2555)&amp;""))</f>
        <v/>
      </c>
      <c r="F2555">
        <f>IF($P2555="","",IF(ISNUMBER(INDEX(상세표[블록종료],$P2555)),TEXT(INDEX(상세표[블록종료],$P2555),"yyyy-mm-dd hh:mm"),INDEX(상세표[블록종료],$P2555)&amp;""))</f>
        <v/>
      </c>
      <c r="G2555">
        <f>IF($P2555="","",CHOOSE(WEEKDAY(INDEX(상세표[시작],$P2555)),"일","월","화","수","목","금","토"))</f>
        <v/>
      </c>
      <c r="H2555">
        <f>IF($P2555="","",INDEX(상세표[연속 시간],$P2555))</f>
        <v/>
      </c>
      <c r="I2555">
        <f>IF($P2555="","",INDEX(상세표[기록 수],$P2555))</f>
        <v/>
      </c>
      <c r="J2555">
        <f>IF($P2555="","",INDEX(상세표[블록 06~07시],$P2555))</f>
        <v/>
      </c>
      <c r="K2555">
        <f>IF($P2555="","",INDEX(상세표[블록 07~18시],$P2555))</f>
        <v/>
      </c>
      <c r="L2555">
        <f>IF($P2555="","",INDEX(상세표[블록 18~22시],$P2555))</f>
        <v/>
      </c>
      <c r="M2555">
        <f>IF($P2555="","",INDEX(상세표[블록 22~06시],$P2555))</f>
        <v/>
      </c>
      <c r="N2555">
        <f>IF($P2555="","",INDEX(상세표[주말·휴일 포함],$P2555)&amp;"")</f>
        <v/>
      </c>
      <c r="O2555">
        <f>IF($P2555="","",INDEX(상세표[월 넘김 포함],$P2555)&amp;"")</f>
        <v/>
      </c>
      <c r="P2555" s="4">
        <f>IFERROR(MATCH(2550,상세표[연속순번],0),"")</f>
        <v/>
      </c>
    </row>
    <row r="2556">
      <c r="A2556">
        <f>IF($P2556="","",INDEX(상세표[사번],$P2556)&amp;"")</f>
        <v/>
      </c>
      <c r="B2556">
        <f>IF($P2556="","",INDEX(상세표[성명],$P2556)&amp;"")</f>
        <v/>
      </c>
      <c r="C2556">
        <f>IF($P2556="","",INDEX(상세표[부서],$P2556)&amp;"")</f>
        <v/>
      </c>
      <c r="D2556">
        <f>IF($P2556="","",INDEX(상세표[직위],$P2556)&amp;"")</f>
        <v/>
      </c>
      <c r="E2556">
        <f>IF($P2556="","",IF(ISNUMBER(INDEX(상세표[시작],$P2556)),TEXT(INDEX(상세표[시작],$P2556),"yyyy-mm-dd hh:mm"),INDEX(상세표[시작],$P2556)&amp;""))</f>
        <v/>
      </c>
      <c r="F2556">
        <f>IF($P2556="","",IF(ISNUMBER(INDEX(상세표[블록종료],$P2556)),TEXT(INDEX(상세표[블록종료],$P2556),"yyyy-mm-dd hh:mm"),INDEX(상세표[블록종료],$P2556)&amp;""))</f>
        <v/>
      </c>
      <c r="G2556">
        <f>IF($P2556="","",CHOOSE(WEEKDAY(INDEX(상세표[시작],$P2556)),"일","월","화","수","목","금","토"))</f>
        <v/>
      </c>
      <c r="H2556">
        <f>IF($P2556="","",INDEX(상세표[연속 시간],$P2556))</f>
        <v/>
      </c>
      <c r="I2556">
        <f>IF($P2556="","",INDEX(상세표[기록 수],$P2556))</f>
        <v/>
      </c>
      <c r="J2556">
        <f>IF($P2556="","",INDEX(상세표[블록 06~07시],$P2556))</f>
        <v/>
      </c>
      <c r="K2556">
        <f>IF($P2556="","",INDEX(상세표[블록 07~18시],$P2556))</f>
        <v/>
      </c>
      <c r="L2556">
        <f>IF($P2556="","",INDEX(상세표[블록 18~22시],$P2556))</f>
        <v/>
      </c>
      <c r="M2556">
        <f>IF($P2556="","",INDEX(상세표[블록 22~06시],$P2556))</f>
        <v/>
      </c>
      <c r="N2556">
        <f>IF($P2556="","",INDEX(상세표[주말·휴일 포함],$P2556)&amp;"")</f>
        <v/>
      </c>
      <c r="O2556">
        <f>IF($P2556="","",INDEX(상세표[월 넘김 포함],$P2556)&amp;"")</f>
        <v/>
      </c>
      <c r="P2556" s="4">
        <f>IFERROR(MATCH(2551,상세표[연속순번],0),"")</f>
        <v/>
      </c>
    </row>
    <row r="2557">
      <c r="A2557">
        <f>IF($P2557="","",INDEX(상세표[사번],$P2557)&amp;"")</f>
        <v/>
      </c>
      <c r="B2557">
        <f>IF($P2557="","",INDEX(상세표[성명],$P2557)&amp;"")</f>
        <v/>
      </c>
      <c r="C2557">
        <f>IF($P2557="","",INDEX(상세표[부서],$P2557)&amp;"")</f>
        <v/>
      </c>
      <c r="D2557">
        <f>IF($P2557="","",INDEX(상세표[직위],$P2557)&amp;"")</f>
        <v/>
      </c>
      <c r="E2557">
        <f>IF($P2557="","",IF(ISNUMBER(INDEX(상세표[시작],$P2557)),TEXT(INDEX(상세표[시작],$P2557),"yyyy-mm-dd hh:mm"),INDEX(상세표[시작],$P2557)&amp;""))</f>
        <v/>
      </c>
      <c r="F2557">
        <f>IF($P2557="","",IF(ISNUMBER(INDEX(상세표[블록종료],$P2557)),TEXT(INDEX(상세표[블록종료],$P2557),"yyyy-mm-dd hh:mm"),INDEX(상세표[블록종료],$P2557)&amp;""))</f>
        <v/>
      </c>
      <c r="G2557">
        <f>IF($P2557="","",CHOOSE(WEEKDAY(INDEX(상세표[시작],$P2557)),"일","월","화","수","목","금","토"))</f>
        <v/>
      </c>
      <c r="H2557">
        <f>IF($P2557="","",INDEX(상세표[연속 시간],$P2557))</f>
        <v/>
      </c>
      <c r="I2557">
        <f>IF($P2557="","",INDEX(상세표[기록 수],$P2557))</f>
        <v/>
      </c>
      <c r="J2557">
        <f>IF($P2557="","",INDEX(상세표[블록 06~07시],$P2557))</f>
        <v/>
      </c>
      <c r="K2557">
        <f>IF($P2557="","",INDEX(상세표[블록 07~18시],$P2557))</f>
        <v/>
      </c>
      <c r="L2557">
        <f>IF($P2557="","",INDEX(상세표[블록 18~22시],$P2557))</f>
        <v/>
      </c>
      <c r="M2557">
        <f>IF($P2557="","",INDEX(상세표[블록 22~06시],$P2557))</f>
        <v/>
      </c>
      <c r="N2557">
        <f>IF($P2557="","",INDEX(상세표[주말·휴일 포함],$P2557)&amp;"")</f>
        <v/>
      </c>
      <c r="O2557">
        <f>IF($P2557="","",INDEX(상세표[월 넘김 포함],$P2557)&amp;"")</f>
        <v/>
      </c>
      <c r="P2557" s="4">
        <f>IFERROR(MATCH(2552,상세표[연속순번],0),"")</f>
        <v/>
      </c>
    </row>
    <row r="2558">
      <c r="A2558">
        <f>IF($P2558="","",INDEX(상세표[사번],$P2558)&amp;"")</f>
        <v/>
      </c>
      <c r="B2558">
        <f>IF($P2558="","",INDEX(상세표[성명],$P2558)&amp;"")</f>
        <v/>
      </c>
      <c r="C2558">
        <f>IF($P2558="","",INDEX(상세표[부서],$P2558)&amp;"")</f>
        <v/>
      </c>
      <c r="D2558">
        <f>IF($P2558="","",INDEX(상세표[직위],$P2558)&amp;"")</f>
        <v/>
      </c>
      <c r="E2558">
        <f>IF($P2558="","",IF(ISNUMBER(INDEX(상세표[시작],$P2558)),TEXT(INDEX(상세표[시작],$P2558),"yyyy-mm-dd hh:mm"),INDEX(상세표[시작],$P2558)&amp;""))</f>
        <v/>
      </c>
      <c r="F2558">
        <f>IF($P2558="","",IF(ISNUMBER(INDEX(상세표[블록종료],$P2558)),TEXT(INDEX(상세표[블록종료],$P2558),"yyyy-mm-dd hh:mm"),INDEX(상세표[블록종료],$P2558)&amp;""))</f>
        <v/>
      </c>
      <c r="G2558">
        <f>IF($P2558="","",CHOOSE(WEEKDAY(INDEX(상세표[시작],$P2558)),"일","월","화","수","목","금","토"))</f>
        <v/>
      </c>
      <c r="H2558">
        <f>IF($P2558="","",INDEX(상세표[연속 시간],$P2558))</f>
        <v/>
      </c>
      <c r="I2558">
        <f>IF($P2558="","",INDEX(상세표[기록 수],$P2558))</f>
        <v/>
      </c>
      <c r="J2558">
        <f>IF($P2558="","",INDEX(상세표[블록 06~07시],$P2558))</f>
        <v/>
      </c>
      <c r="K2558">
        <f>IF($P2558="","",INDEX(상세표[블록 07~18시],$P2558))</f>
        <v/>
      </c>
      <c r="L2558">
        <f>IF($P2558="","",INDEX(상세표[블록 18~22시],$P2558))</f>
        <v/>
      </c>
      <c r="M2558">
        <f>IF($P2558="","",INDEX(상세표[블록 22~06시],$P2558))</f>
        <v/>
      </c>
      <c r="N2558">
        <f>IF($P2558="","",INDEX(상세표[주말·휴일 포함],$P2558)&amp;"")</f>
        <v/>
      </c>
      <c r="O2558">
        <f>IF($P2558="","",INDEX(상세표[월 넘김 포함],$P2558)&amp;"")</f>
        <v/>
      </c>
      <c r="P2558" s="4">
        <f>IFERROR(MATCH(2553,상세표[연속순번],0),"")</f>
        <v/>
      </c>
    </row>
    <row r="2559">
      <c r="A2559">
        <f>IF($P2559="","",INDEX(상세표[사번],$P2559)&amp;"")</f>
        <v/>
      </c>
      <c r="B2559">
        <f>IF($P2559="","",INDEX(상세표[성명],$P2559)&amp;"")</f>
        <v/>
      </c>
      <c r="C2559">
        <f>IF($P2559="","",INDEX(상세표[부서],$P2559)&amp;"")</f>
        <v/>
      </c>
      <c r="D2559">
        <f>IF($P2559="","",INDEX(상세표[직위],$P2559)&amp;"")</f>
        <v/>
      </c>
      <c r="E2559">
        <f>IF($P2559="","",IF(ISNUMBER(INDEX(상세표[시작],$P2559)),TEXT(INDEX(상세표[시작],$P2559),"yyyy-mm-dd hh:mm"),INDEX(상세표[시작],$P2559)&amp;""))</f>
        <v/>
      </c>
      <c r="F2559">
        <f>IF($P2559="","",IF(ISNUMBER(INDEX(상세표[블록종료],$P2559)),TEXT(INDEX(상세표[블록종료],$P2559),"yyyy-mm-dd hh:mm"),INDEX(상세표[블록종료],$P2559)&amp;""))</f>
        <v/>
      </c>
      <c r="G2559">
        <f>IF($P2559="","",CHOOSE(WEEKDAY(INDEX(상세표[시작],$P2559)),"일","월","화","수","목","금","토"))</f>
        <v/>
      </c>
      <c r="H2559">
        <f>IF($P2559="","",INDEX(상세표[연속 시간],$P2559))</f>
        <v/>
      </c>
      <c r="I2559">
        <f>IF($P2559="","",INDEX(상세표[기록 수],$P2559))</f>
        <v/>
      </c>
      <c r="J2559">
        <f>IF($P2559="","",INDEX(상세표[블록 06~07시],$P2559))</f>
        <v/>
      </c>
      <c r="K2559">
        <f>IF($P2559="","",INDEX(상세표[블록 07~18시],$P2559))</f>
        <v/>
      </c>
      <c r="L2559">
        <f>IF($P2559="","",INDEX(상세표[블록 18~22시],$P2559))</f>
        <v/>
      </c>
      <c r="M2559">
        <f>IF($P2559="","",INDEX(상세표[블록 22~06시],$P2559))</f>
        <v/>
      </c>
      <c r="N2559">
        <f>IF($P2559="","",INDEX(상세표[주말·휴일 포함],$P2559)&amp;"")</f>
        <v/>
      </c>
      <c r="O2559">
        <f>IF($P2559="","",INDEX(상세표[월 넘김 포함],$P2559)&amp;"")</f>
        <v/>
      </c>
      <c r="P2559" s="4">
        <f>IFERROR(MATCH(2554,상세표[연속순번],0),"")</f>
        <v/>
      </c>
    </row>
    <row r="2560">
      <c r="A2560">
        <f>IF($P2560="","",INDEX(상세표[사번],$P2560)&amp;"")</f>
        <v/>
      </c>
      <c r="B2560">
        <f>IF($P2560="","",INDEX(상세표[성명],$P2560)&amp;"")</f>
        <v/>
      </c>
      <c r="C2560">
        <f>IF($P2560="","",INDEX(상세표[부서],$P2560)&amp;"")</f>
        <v/>
      </c>
      <c r="D2560">
        <f>IF($P2560="","",INDEX(상세표[직위],$P2560)&amp;"")</f>
        <v/>
      </c>
      <c r="E2560">
        <f>IF($P2560="","",IF(ISNUMBER(INDEX(상세표[시작],$P2560)),TEXT(INDEX(상세표[시작],$P2560),"yyyy-mm-dd hh:mm"),INDEX(상세표[시작],$P2560)&amp;""))</f>
        <v/>
      </c>
      <c r="F2560">
        <f>IF($P2560="","",IF(ISNUMBER(INDEX(상세표[블록종료],$P2560)),TEXT(INDEX(상세표[블록종료],$P2560),"yyyy-mm-dd hh:mm"),INDEX(상세표[블록종료],$P2560)&amp;""))</f>
        <v/>
      </c>
      <c r="G2560">
        <f>IF($P2560="","",CHOOSE(WEEKDAY(INDEX(상세표[시작],$P2560)),"일","월","화","수","목","금","토"))</f>
        <v/>
      </c>
      <c r="H2560">
        <f>IF($P2560="","",INDEX(상세표[연속 시간],$P2560))</f>
        <v/>
      </c>
      <c r="I2560">
        <f>IF($P2560="","",INDEX(상세표[기록 수],$P2560))</f>
        <v/>
      </c>
      <c r="J2560">
        <f>IF($P2560="","",INDEX(상세표[블록 06~07시],$P2560))</f>
        <v/>
      </c>
      <c r="K2560">
        <f>IF($P2560="","",INDEX(상세표[블록 07~18시],$P2560))</f>
        <v/>
      </c>
      <c r="L2560">
        <f>IF($P2560="","",INDEX(상세표[블록 18~22시],$P2560))</f>
        <v/>
      </c>
      <c r="M2560">
        <f>IF($P2560="","",INDEX(상세표[블록 22~06시],$P2560))</f>
        <v/>
      </c>
      <c r="N2560">
        <f>IF($P2560="","",INDEX(상세표[주말·휴일 포함],$P2560)&amp;"")</f>
        <v/>
      </c>
      <c r="O2560">
        <f>IF($P2560="","",INDEX(상세표[월 넘김 포함],$P2560)&amp;"")</f>
        <v/>
      </c>
      <c r="P2560" s="4">
        <f>IFERROR(MATCH(2555,상세표[연속순번],0),"")</f>
        <v/>
      </c>
    </row>
    <row r="2561">
      <c r="A2561">
        <f>IF($P2561="","",INDEX(상세표[사번],$P2561)&amp;"")</f>
        <v/>
      </c>
      <c r="B2561">
        <f>IF($P2561="","",INDEX(상세표[성명],$P2561)&amp;"")</f>
        <v/>
      </c>
      <c r="C2561">
        <f>IF($P2561="","",INDEX(상세표[부서],$P2561)&amp;"")</f>
        <v/>
      </c>
      <c r="D2561">
        <f>IF($P2561="","",INDEX(상세표[직위],$P2561)&amp;"")</f>
        <v/>
      </c>
      <c r="E2561">
        <f>IF($P2561="","",IF(ISNUMBER(INDEX(상세표[시작],$P2561)),TEXT(INDEX(상세표[시작],$P2561),"yyyy-mm-dd hh:mm"),INDEX(상세표[시작],$P2561)&amp;""))</f>
        <v/>
      </c>
      <c r="F2561">
        <f>IF($P2561="","",IF(ISNUMBER(INDEX(상세표[블록종료],$P2561)),TEXT(INDEX(상세표[블록종료],$P2561),"yyyy-mm-dd hh:mm"),INDEX(상세표[블록종료],$P2561)&amp;""))</f>
        <v/>
      </c>
      <c r="G2561">
        <f>IF($P2561="","",CHOOSE(WEEKDAY(INDEX(상세표[시작],$P2561)),"일","월","화","수","목","금","토"))</f>
        <v/>
      </c>
      <c r="H2561">
        <f>IF($P2561="","",INDEX(상세표[연속 시간],$P2561))</f>
        <v/>
      </c>
      <c r="I2561">
        <f>IF($P2561="","",INDEX(상세표[기록 수],$P2561))</f>
        <v/>
      </c>
      <c r="J2561">
        <f>IF($P2561="","",INDEX(상세표[블록 06~07시],$P2561))</f>
        <v/>
      </c>
      <c r="K2561">
        <f>IF($P2561="","",INDEX(상세표[블록 07~18시],$P2561))</f>
        <v/>
      </c>
      <c r="L2561">
        <f>IF($P2561="","",INDEX(상세표[블록 18~22시],$P2561))</f>
        <v/>
      </c>
      <c r="M2561">
        <f>IF($P2561="","",INDEX(상세표[블록 22~06시],$P2561))</f>
        <v/>
      </c>
      <c r="N2561">
        <f>IF($P2561="","",INDEX(상세표[주말·휴일 포함],$P2561)&amp;"")</f>
        <v/>
      </c>
      <c r="O2561">
        <f>IF($P2561="","",INDEX(상세표[월 넘김 포함],$P2561)&amp;"")</f>
        <v/>
      </c>
      <c r="P2561" s="4">
        <f>IFERROR(MATCH(2556,상세표[연속순번],0),"")</f>
        <v/>
      </c>
    </row>
    <row r="2562">
      <c r="A2562">
        <f>IF($P2562="","",INDEX(상세표[사번],$P2562)&amp;"")</f>
        <v/>
      </c>
      <c r="B2562">
        <f>IF($P2562="","",INDEX(상세표[성명],$P2562)&amp;"")</f>
        <v/>
      </c>
      <c r="C2562">
        <f>IF($P2562="","",INDEX(상세표[부서],$P2562)&amp;"")</f>
        <v/>
      </c>
      <c r="D2562">
        <f>IF($P2562="","",INDEX(상세표[직위],$P2562)&amp;"")</f>
        <v/>
      </c>
      <c r="E2562">
        <f>IF($P2562="","",IF(ISNUMBER(INDEX(상세표[시작],$P2562)),TEXT(INDEX(상세표[시작],$P2562),"yyyy-mm-dd hh:mm"),INDEX(상세표[시작],$P2562)&amp;""))</f>
        <v/>
      </c>
      <c r="F2562">
        <f>IF($P2562="","",IF(ISNUMBER(INDEX(상세표[블록종료],$P2562)),TEXT(INDEX(상세표[블록종료],$P2562),"yyyy-mm-dd hh:mm"),INDEX(상세표[블록종료],$P2562)&amp;""))</f>
        <v/>
      </c>
      <c r="G2562">
        <f>IF($P2562="","",CHOOSE(WEEKDAY(INDEX(상세표[시작],$P2562)),"일","월","화","수","목","금","토"))</f>
        <v/>
      </c>
      <c r="H2562">
        <f>IF($P2562="","",INDEX(상세표[연속 시간],$P2562))</f>
        <v/>
      </c>
      <c r="I2562">
        <f>IF($P2562="","",INDEX(상세표[기록 수],$P2562))</f>
        <v/>
      </c>
      <c r="J2562">
        <f>IF($P2562="","",INDEX(상세표[블록 06~07시],$P2562))</f>
        <v/>
      </c>
      <c r="K2562">
        <f>IF($P2562="","",INDEX(상세표[블록 07~18시],$P2562))</f>
        <v/>
      </c>
      <c r="L2562">
        <f>IF($P2562="","",INDEX(상세표[블록 18~22시],$P2562))</f>
        <v/>
      </c>
      <c r="M2562">
        <f>IF($P2562="","",INDEX(상세표[블록 22~06시],$P2562))</f>
        <v/>
      </c>
      <c r="N2562">
        <f>IF($P2562="","",INDEX(상세표[주말·휴일 포함],$P2562)&amp;"")</f>
        <v/>
      </c>
      <c r="O2562">
        <f>IF($P2562="","",INDEX(상세표[월 넘김 포함],$P2562)&amp;"")</f>
        <v/>
      </c>
      <c r="P2562" s="4">
        <f>IFERROR(MATCH(2557,상세표[연속순번],0),"")</f>
        <v/>
      </c>
    </row>
    <row r="2563">
      <c r="A2563">
        <f>IF($P2563="","",INDEX(상세표[사번],$P2563)&amp;"")</f>
        <v/>
      </c>
      <c r="B2563">
        <f>IF($P2563="","",INDEX(상세표[성명],$P2563)&amp;"")</f>
        <v/>
      </c>
      <c r="C2563">
        <f>IF($P2563="","",INDEX(상세표[부서],$P2563)&amp;"")</f>
        <v/>
      </c>
      <c r="D2563">
        <f>IF($P2563="","",INDEX(상세표[직위],$P2563)&amp;"")</f>
        <v/>
      </c>
      <c r="E2563">
        <f>IF($P2563="","",IF(ISNUMBER(INDEX(상세표[시작],$P2563)),TEXT(INDEX(상세표[시작],$P2563),"yyyy-mm-dd hh:mm"),INDEX(상세표[시작],$P2563)&amp;""))</f>
        <v/>
      </c>
      <c r="F2563">
        <f>IF($P2563="","",IF(ISNUMBER(INDEX(상세표[블록종료],$P2563)),TEXT(INDEX(상세표[블록종료],$P2563),"yyyy-mm-dd hh:mm"),INDEX(상세표[블록종료],$P2563)&amp;""))</f>
        <v/>
      </c>
      <c r="G2563">
        <f>IF($P2563="","",CHOOSE(WEEKDAY(INDEX(상세표[시작],$P2563)),"일","월","화","수","목","금","토"))</f>
        <v/>
      </c>
      <c r="H2563">
        <f>IF($P2563="","",INDEX(상세표[연속 시간],$P2563))</f>
        <v/>
      </c>
      <c r="I2563">
        <f>IF($P2563="","",INDEX(상세표[기록 수],$P2563))</f>
        <v/>
      </c>
      <c r="J2563">
        <f>IF($P2563="","",INDEX(상세표[블록 06~07시],$P2563))</f>
        <v/>
      </c>
      <c r="K2563">
        <f>IF($P2563="","",INDEX(상세표[블록 07~18시],$P2563))</f>
        <v/>
      </c>
      <c r="L2563">
        <f>IF($P2563="","",INDEX(상세표[블록 18~22시],$P2563))</f>
        <v/>
      </c>
      <c r="M2563">
        <f>IF($P2563="","",INDEX(상세표[블록 22~06시],$P2563))</f>
        <v/>
      </c>
      <c r="N2563">
        <f>IF($P2563="","",INDEX(상세표[주말·휴일 포함],$P2563)&amp;"")</f>
        <v/>
      </c>
      <c r="O2563">
        <f>IF($P2563="","",INDEX(상세표[월 넘김 포함],$P2563)&amp;"")</f>
        <v/>
      </c>
      <c r="P2563" s="4">
        <f>IFERROR(MATCH(2558,상세표[연속순번],0),"")</f>
        <v/>
      </c>
    </row>
    <row r="2564">
      <c r="A2564">
        <f>IF($P2564="","",INDEX(상세표[사번],$P2564)&amp;"")</f>
        <v/>
      </c>
      <c r="B2564">
        <f>IF($P2564="","",INDEX(상세표[성명],$P2564)&amp;"")</f>
        <v/>
      </c>
      <c r="C2564">
        <f>IF($P2564="","",INDEX(상세표[부서],$P2564)&amp;"")</f>
        <v/>
      </c>
      <c r="D2564">
        <f>IF($P2564="","",INDEX(상세표[직위],$P2564)&amp;"")</f>
        <v/>
      </c>
      <c r="E2564">
        <f>IF($P2564="","",IF(ISNUMBER(INDEX(상세표[시작],$P2564)),TEXT(INDEX(상세표[시작],$P2564),"yyyy-mm-dd hh:mm"),INDEX(상세표[시작],$P2564)&amp;""))</f>
        <v/>
      </c>
      <c r="F2564">
        <f>IF($P2564="","",IF(ISNUMBER(INDEX(상세표[블록종료],$P2564)),TEXT(INDEX(상세표[블록종료],$P2564),"yyyy-mm-dd hh:mm"),INDEX(상세표[블록종료],$P2564)&amp;""))</f>
        <v/>
      </c>
      <c r="G2564">
        <f>IF($P2564="","",CHOOSE(WEEKDAY(INDEX(상세표[시작],$P2564)),"일","월","화","수","목","금","토"))</f>
        <v/>
      </c>
      <c r="H2564">
        <f>IF($P2564="","",INDEX(상세표[연속 시간],$P2564))</f>
        <v/>
      </c>
      <c r="I2564">
        <f>IF($P2564="","",INDEX(상세표[기록 수],$P2564))</f>
        <v/>
      </c>
      <c r="J2564">
        <f>IF($P2564="","",INDEX(상세표[블록 06~07시],$P2564))</f>
        <v/>
      </c>
      <c r="K2564">
        <f>IF($P2564="","",INDEX(상세표[블록 07~18시],$P2564))</f>
        <v/>
      </c>
      <c r="L2564">
        <f>IF($P2564="","",INDEX(상세표[블록 18~22시],$P2564))</f>
        <v/>
      </c>
      <c r="M2564">
        <f>IF($P2564="","",INDEX(상세표[블록 22~06시],$P2564))</f>
        <v/>
      </c>
      <c r="N2564">
        <f>IF($P2564="","",INDEX(상세표[주말·휴일 포함],$P2564)&amp;"")</f>
        <v/>
      </c>
      <c r="O2564">
        <f>IF($P2564="","",INDEX(상세표[월 넘김 포함],$P2564)&amp;"")</f>
        <v/>
      </c>
      <c r="P2564" s="4">
        <f>IFERROR(MATCH(2559,상세표[연속순번],0),"")</f>
        <v/>
      </c>
    </row>
    <row r="2565">
      <c r="A2565">
        <f>IF($P2565="","",INDEX(상세표[사번],$P2565)&amp;"")</f>
        <v/>
      </c>
      <c r="B2565">
        <f>IF($P2565="","",INDEX(상세표[성명],$P2565)&amp;"")</f>
        <v/>
      </c>
      <c r="C2565">
        <f>IF($P2565="","",INDEX(상세표[부서],$P2565)&amp;"")</f>
        <v/>
      </c>
      <c r="D2565">
        <f>IF($P2565="","",INDEX(상세표[직위],$P2565)&amp;"")</f>
        <v/>
      </c>
      <c r="E2565">
        <f>IF($P2565="","",IF(ISNUMBER(INDEX(상세표[시작],$P2565)),TEXT(INDEX(상세표[시작],$P2565),"yyyy-mm-dd hh:mm"),INDEX(상세표[시작],$P2565)&amp;""))</f>
        <v/>
      </c>
      <c r="F2565">
        <f>IF($P2565="","",IF(ISNUMBER(INDEX(상세표[블록종료],$P2565)),TEXT(INDEX(상세표[블록종료],$P2565),"yyyy-mm-dd hh:mm"),INDEX(상세표[블록종료],$P2565)&amp;""))</f>
        <v/>
      </c>
      <c r="G2565">
        <f>IF($P2565="","",CHOOSE(WEEKDAY(INDEX(상세표[시작],$P2565)),"일","월","화","수","목","금","토"))</f>
        <v/>
      </c>
      <c r="H2565">
        <f>IF($P2565="","",INDEX(상세표[연속 시간],$P2565))</f>
        <v/>
      </c>
      <c r="I2565">
        <f>IF($P2565="","",INDEX(상세표[기록 수],$P2565))</f>
        <v/>
      </c>
      <c r="J2565">
        <f>IF($P2565="","",INDEX(상세표[블록 06~07시],$P2565))</f>
        <v/>
      </c>
      <c r="K2565">
        <f>IF($P2565="","",INDEX(상세표[블록 07~18시],$P2565))</f>
        <v/>
      </c>
      <c r="L2565">
        <f>IF($P2565="","",INDEX(상세표[블록 18~22시],$P2565))</f>
        <v/>
      </c>
      <c r="M2565">
        <f>IF($P2565="","",INDEX(상세표[블록 22~06시],$P2565))</f>
        <v/>
      </c>
      <c r="N2565">
        <f>IF($P2565="","",INDEX(상세표[주말·휴일 포함],$P2565)&amp;"")</f>
        <v/>
      </c>
      <c r="O2565">
        <f>IF($P2565="","",INDEX(상세표[월 넘김 포함],$P2565)&amp;"")</f>
        <v/>
      </c>
      <c r="P2565" s="4">
        <f>IFERROR(MATCH(2560,상세표[연속순번],0),"")</f>
        <v/>
      </c>
    </row>
    <row r="2566">
      <c r="A2566">
        <f>IF($P2566="","",INDEX(상세표[사번],$P2566)&amp;"")</f>
        <v/>
      </c>
      <c r="B2566">
        <f>IF($P2566="","",INDEX(상세표[성명],$P2566)&amp;"")</f>
        <v/>
      </c>
      <c r="C2566">
        <f>IF($P2566="","",INDEX(상세표[부서],$P2566)&amp;"")</f>
        <v/>
      </c>
      <c r="D2566">
        <f>IF($P2566="","",INDEX(상세표[직위],$P2566)&amp;"")</f>
        <v/>
      </c>
      <c r="E2566">
        <f>IF($P2566="","",IF(ISNUMBER(INDEX(상세표[시작],$P2566)),TEXT(INDEX(상세표[시작],$P2566),"yyyy-mm-dd hh:mm"),INDEX(상세표[시작],$P2566)&amp;""))</f>
        <v/>
      </c>
      <c r="F2566">
        <f>IF($P2566="","",IF(ISNUMBER(INDEX(상세표[블록종료],$P2566)),TEXT(INDEX(상세표[블록종료],$P2566),"yyyy-mm-dd hh:mm"),INDEX(상세표[블록종료],$P2566)&amp;""))</f>
        <v/>
      </c>
      <c r="G2566">
        <f>IF($P2566="","",CHOOSE(WEEKDAY(INDEX(상세표[시작],$P2566)),"일","월","화","수","목","금","토"))</f>
        <v/>
      </c>
      <c r="H2566">
        <f>IF($P2566="","",INDEX(상세표[연속 시간],$P2566))</f>
        <v/>
      </c>
      <c r="I2566">
        <f>IF($P2566="","",INDEX(상세표[기록 수],$P2566))</f>
        <v/>
      </c>
      <c r="J2566">
        <f>IF($P2566="","",INDEX(상세표[블록 06~07시],$P2566))</f>
        <v/>
      </c>
      <c r="K2566">
        <f>IF($P2566="","",INDEX(상세표[블록 07~18시],$P2566))</f>
        <v/>
      </c>
      <c r="L2566">
        <f>IF($P2566="","",INDEX(상세표[블록 18~22시],$P2566))</f>
        <v/>
      </c>
      <c r="M2566">
        <f>IF($P2566="","",INDEX(상세표[블록 22~06시],$P2566))</f>
        <v/>
      </c>
      <c r="N2566">
        <f>IF($P2566="","",INDEX(상세표[주말·휴일 포함],$P2566)&amp;"")</f>
        <v/>
      </c>
      <c r="O2566">
        <f>IF($P2566="","",INDEX(상세표[월 넘김 포함],$P2566)&amp;"")</f>
        <v/>
      </c>
      <c r="P2566" s="4">
        <f>IFERROR(MATCH(2561,상세표[연속순번],0),"")</f>
        <v/>
      </c>
    </row>
    <row r="2567">
      <c r="A2567">
        <f>IF($P2567="","",INDEX(상세표[사번],$P2567)&amp;"")</f>
        <v/>
      </c>
      <c r="B2567">
        <f>IF($P2567="","",INDEX(상세표[성명],$P2567)&amp;"")</f>
        <v/>
      </c>
      <c r="C2567">
        <f>IF($P2567="","",INDEX(상세표[부서],$P2567)&amp;"")</f>
        <v/>
      </c>
      <c r="D2567">
        <f>IF($P2567="","",INDEX(상세표[직위],$P2567)&amp;"")</f>
        <v/>
      </c>
      <c r="E2567">
        <f>IF($P2567="","",IF(ISNUMBER(INDEX(상세표[시작],$P2567)),TEXT(INDEX(상세표[시작],$P2567),"yyyy-mm-dd hh:mm"),INDEX(상세표[시작],$P2567)&amp;""))</f>
        <v/>
      </c>
      <c r="F2567">
        <f>IF($P2567="","",IF(ISNUMBER(INDEX(상세표[블록종료],$P2567)),TEXT(INDEX(상세표[블록종료],$P2567),"yyyy-mm-dd hh:mm"),INDEX(상세표[블록종료],$P2567)&amp;""))</f>
        <v/>
      </c>
      <c r="G2567">
        <f>IF($P2567="","",CHOOSE(WEEKDAY(INDEX(상세표[시작],$P2567)),"일","월","화","수","목","금","토"))</f>
        <v/>
      </c>
      <c r="H2567">
        <f>IF($P2567="","",INDEX(상세표[연속 시간],$P2567))</f>
        <v/>
      </c>
      <c r="I2567">
        <f>IF($P2567="","",INDEX(상세표[기록 수],$P2567))</f>
        <v/>
      </c>
      <c r="J2567">
        <f>IF($P2567="","",INDEX(상세표[블록 06~07시],$P2567))</f>
        <v/>
      </c>
      <c r="K2567">
        <f>IF($P2567="","",INDEX(상세표[블록 07~18시],$P2567))</f>
        <v/>
      </c>
      <c r="L2567">
        <f>IF($P2567="","",INDEX(상세표[블록 18~22시],$P2567))</f>
        <v/>
      </c>
      <c r="M2567">
        <f>IF($P2567="","",INDEX(상세표[블록 22~06시],$P2567))</f>
        <v/>
      </c>
      <c r="N2567">
        <f>IF($P2567="","",INDEX(상세표[주말·휴일 포함],$P2567)&amp;"")</f>
        <v/>
      </c>
      <c r="O2567">
        <f>IF($P2567="","",INDEX(상세표[월 넘김 포함],$P2567)&amp;"")</f>
        <v/>
      </c>
      <c r="P2567" s="4">
        <f>IFERROR(MATCH(2562,상세표[연속순번],0),"")</f>
        <v/>
      </c>
    </row>
    <row r="2568">
      <c r="A2568">
        <f>IF($P2568="","",INDEX(상세표[사번],$P2568)&amp;"")</f>
        <v/>
      </c>
      <c r="B2568">
        <f>IF($P2568="","",INDEX(상세표[성명],$P2568)&amp;"")</f>
        <v/>
      </c>
      <c r="C2568">
        <f>IF($P2568="","",INDEX(상세표[부서],$P2568)&amp;"")</f>
        <v/>
      </c>
      <c r="D2568">
        <f>IF($P2568="","",INDEX(상세표[직위],$P2568)&amp;"")</f>
        <v/>
      </c>
      <c r="E2568">
        <f>IF($P2568="","",IF(ISNUMBER(INDEX(상세표[시작],$P2568)),TEXT(INDEX(상세표[시작],$P2568),"yyyy-mm-dd hh:mm"),INDEX(상세표[시작],$P2568)&amp;""))</f>
        <v/>
      </c>
      <c r="F2568">
        <f>IF($P2568="","",IF(ISNUMBER(INDEX(상세표[블록종료],$P2568)),TEXT(INDEX(상세표[블록종료],$P2568),"yyyy-mm-dd hh:mm"),INDEX(상세표[블록종료],$P2568)&amp;""))</f>
        <v/>
      </c>
      <c r="G2568">
        <f>IF($P2568="","",CHOOSE(WEEKDAY(INDEX(상세표[시작],$P2568)),"일","월","화","수","목","금","토"))</f>
        <v/>
      </c>
      <c r="H2568">
        <f>IF($P2568="","",INDEX(상세표[연속 시간],$P2568))</f>
        <v/>
      </c>
      <c r="I2568">
        <f>IF($P2568="","",INDEX(상세표[기록 수],$P2568))</f>
        <v/>
      </c>
      <c r="J2568">
        <f>IF($P2568="","",INDEX(상세표[블록 06~07시],$P2568))</f>
        <v/>
      </c>
      <c r="K2568">
        <f>IF($P2568="","",INDEX(상세표[블록 07~18시],$P2568))</f>
        <v/>
      </c>
      <c r="L2568">
        <f>IF($P2568="","",INDEX(상세표[블록 18~22시],$P2568))</f>
        <v/>
      </c>
      <c r="M2568">
        <f>IF($P2568="","",INDEX(상세표[블록 22~06시],$P2568))</f>
        <v/>
      </c>
      <c r="N2568">
        <f>IF($P2568="","",INDEX(상세표[주말·휴일 포함],$P2568)&amp;"")</f>
        <v/>
      </c>
      <c r="O2568">
        <f>IF($P2568="","",INDEX(상세표[월 넘김 포함],$P2568)&amp;"")</f>
        <v/>
      </c>
      <c r="P2568" s="4">
        <f>IFERROR(MATCH(2563,상세표[연속순번],0),"")</f>
        <v/>
      </c>
    </row>
    <row r="2569">
      <c r="A2569">
        <f>IF($P2569="","",INDEX(상세표[사번],$P2569)&amp;"")</f>
        <v/>
      </c>
      <c r="B2569">
        <f>IF($P2569="","",INDEX(상세표[성명],$P2569)&amp;"")</f>
        <v/>
      </c>
      <c r="C2569">
        <f>IF($P2569="","",INDEX(상세표[부서],$P2569)&amp;"")</f>
        <v/>
      </c>
      <c r="D2569">
        <f>IF($P2569="","",INDEX(상세표[직위],$P2569)&amp;"")</f>
        <v/>
      </c>
      <c r="E2569">
        <f>IF($P2569="","",IF(ISNUMBER(INDEX(상세표[시작],$P2569)),TEXT(INDEX(상세표[시작],$P2569),"yyyy-mm-dd hh:mm"),INDEX(상세표[시작],$P2569)&amp;""))</f>
        <v/>
      </c>
      <c r="F2569">
        <f>IF($P2569="","",IF(ISNUMBER(INDEX(상세표[블록종료],$P2569)),TEXT(INDEX(상세표[블록종료],$P2569),"yyyy-mm-dd hh:mm"),INDEX(상세표[블록종료],$P2569)&amp;""))</f>
        <v/>
      </c>
      <c r="G2569">
        <f>IF($P2569="","",CHOOSE(WEEKDAY(INDEX(상세표[시작],$P2569)),"일","월","화","수","목","금","토"))</f>
        <v/>
      </c>
      <c r="H2569">
        <f>IF($P2569="","",INDEX(상세표[연속 시간],$P2569))</f>
        <v/>
      </c>
      <c r="I2569">
        <f>IF($P2569="","",INDEX(상세표[기록 수],$P2569))</f>
        <v/>
      </c>
      <c r="J2569">
        <f>IF($P2569="","",INDEX(상세표[블록 06~07시],$P2569))</f>
        <v/>
      </c>
      <c r="K2569">
        <f>IF($P2569="","",INDEX(상세표[블록 07~18시],$P2569))</f>
        <v/>
      </c>
      <c r="L2569">
        <f>IF($P2569="","",INDEX(상세표[블록 18~22시],$P2569))</f>
        <v/>
      </c>
      <c r="M2569">
        <f>IF($P2569="","",INDEX(상세표[블록 22~06시],$P2569))</f>
        <v/>
      </c>
      <c r="N2569">
        <f>IF($P2569="","",INDEX(상세표[주말·휴일 포함],$P2569)&amp;"")</f>
        <v/>
      </c>
      <c r="O2569">
        <f>IF($P2569="","",INDEX(상세표[월 넘김 포함],$P2569)&amp;"")</f>
        <v/>
      </c>
      <c r="P2569" s="4">
        <f>IFERROR(MATCH(2564,상세표[연속순번],0),"")</f>
        <v/>
      </c>
    </row>
    <row r="2570">
      <c r="A2570">
        <f>IF($P2570="","",INDEX(상세표[사번],$P2570)&amp;"")</f>
        <v/>
      </c>
      <c r="B2570">
        <f>IF($P2570="","",INDEX(상세표[성명],$P2570)&amp;"")</f>
        <v/>
      </c>
      <c r="C2570">
        <f>IF($P2570="","",INDEX(상세표[부서],$P2570)&amp;"")</f>
        <v/>
      </c>
      <c r="D2570">
        <f>IF($P2570="","",INDEX(상세표[직위],$P2570)&amp;"")</f>
        <v/>
      </c>
      <c r="E2570">
        <f>IF($P2570="","",IF(ISNUMBER(INDEX(상세표[시작],$P2570)),TEXT(INDEX(상세표[시작],$P2570),"yyyy-mm-dd hh:mm"),INDEX(상세표[시작],$P2570)&amp;""))</f>
        <v/>
      </c>
      <c r="F2570">
        <f>IF($P2570="","",IF(ISNUMBER(INDEX(상세표[블록종료],$P2570)),TEXT(INDEX(상세표[블록종료],$P2570),"yyyy-mm-dd hh:mm"),INDEX(상세표[블록종료],$P2570)&amp;""))</f>
        <v/>
      </c>
      <c r="G2570">
        <f>IF($P2570="","",CHOOSE(WEEKDAY(INDEX(상세표[시작],$P2570)),"일","월","화","수","목","금","토"))</f>
        <v/>
      </c>
      <c r="H2570">
        <f>IF($P2570="","",INDEX(상세표[연속 시간],$P2570))</f>
        <v/>
      </c>
      <c r="I2570">
        <f>IF($P2570="","",INDEX(상세표[기록 수],$P2570))</f>
        <v/>
      </c>
      <c r="J2570">
        <f>IF($P2570="","",INDEX(상세표[블록 06~07시],$P2570))</f>
        <v/>
      </c>
      <c r="K2570">
        <f>IF($P2570="","",INDEX(상세표[블록 07~18시],$P2570))</f>
        <v/>
      </c>
      <c r="L2570">
        <f>IF($P2570="","",INDEX(상세표[블록 18~22시],$P2570))</f>
        <v/>
      </c>
      <c r="M2570">
        <f>IF($P2570="","",INDEX(상세표[블록 22~06시],$P2570))</f>
        <v/>
      </c>
      <c r="N2570">
        <f>IF($P2570="","",INDEX(상세표[주말·휴일 포함],$P2570)&amp;"")</f>
        <v/>
      </c>
      <c r="O2570">
        <f>IF($P2570="","",INDEX(상세표[월 넘김 포함],$P2570)&amp;"")</f>
        <v/>
      </c>
      <c r="P2570" s="4">
        <f>IFERROR(MATCH(2565,상세표[연속순번],0),"")</f>
        <v/>
      </c>
    </row>
    <row r="2571">
      <c r="A2571">
        <f>IF($P2571="","",INDEX(상세표[사번],$P2571)&amp;"")</f>
        <v/>
      </c>
      <c r="B2571">
        <f>IF($P2571="","",INDEX(상세표[성명],$P2571)&amp;"")</f>
        <v/>
      </c>
      <c r="C2571">
        <f>IF($P2571="","",INDEX(상세표[부서],$P2571)&amp;"")</f>
        <v/>
      </c>
      <c r="D2571">
        <f>IF($P2571="","",INDEX(상세표[직위],$P2571)&amp;"")</f>
        <v/>
      </c>
      <c r="E2571">
        <f>IF($P2571="","",IF(ISNUMBER(INDEX(상세표[시작],$P2571)),TEXT(INDEX(상세표[시작],$P2571),"yyyy-mm-dd hh:mm"),INDEX(상세표[시작],$P2571)&amp;""))</f>
        <v/>
      </c>
      <c r="F2571">
        <f>IF($P2571="","",IF(ISNUMBER(INDEX(상세표[블록종료],$P2571)),TEXT(INDEX(상세표[블록종료],$P2571),"yyyy-mm-dd hh:mm"),INDEX(상세표[블록종료],$P2571)&amp;""))</f>
        <v/>
      </c>
      <c r="G2571">
        <f>IF($P2571="","",CHOOSE(WEEKDAY(INDEX(상세표[시작],$P2571)),"일","월","화","수","목","금","토"))</f>
        <v/>
      </c>
      <c r="H2571">
        <f>IF($P2571="","",INDEX(상세표[연속 시간],$P2571))</f>
        <v/>
      </c>
      <c r="I2571">
        <f>IF($P2571="","",INDEX(상세표[기록 수],$P2571))</f>
        <v/>
      </c>
      <c r="J2571">
        <f>IF($P2571="","",INDEX(상세표[블록 06~07시],$P2571))</f>
        <v/>
      </c>
      <c r="K2571">
        <f>IF($P2571="","",INDEX(상세표[블록 07~18시],$P2571))</f>
        <v/>
      </c>
      <c r="L2571">
        <f>IF($P2571="","",INDEX(상세표[블록 18~22시],$P2571))</f>
        <v/>
      </c>
      <c r="M2571">
        <f>IF($P2571="","",INDEX(상세표[블록 22~06시],$P2571))</f>
        <v/>
      </c>
      <c r="N2571">
        <f>IF($P2571="","",INDEX(상세표[주말·휴일 포함],$P2571)&amp;"")</f>
        <v/>
      </c>
      <c r="O2571">
        <f>IF($P2571="","",INDEX(상세표[월 넘김 포함],$P2571)&amp;"")</f>
        <v/>
      </c>
      <c r="P2571" s="4">
        <f>IFERROR(MATCH(2566,상세표[연속순번],0),"")</f>
        <v/>
      </c>
    </row>
    <row r="2572">
      <c r="A2572">
        <f>IF($P2572="","",INDEX(상세표[사번],$P2572)&amp;"")</f>
        <v/>
      </c>
      <c r="B2572">
        <f>IF($P2572="","",INDEX(상세표[성명],$P2572)&amp;"")</f>
        <v/>
      </c>
      <c r="C2572">
        <f>IF($P2572="","",INDEX(상세표[부서],$P2572)&amp;"")</f>
        <v/>
      </c>
      <c r="D2572">
        <f>IF($P2572="","",INDEX(상세표[직위],$P2572)&amp;"")</f>
        <v/>
      </c>
      <c r="E2572">
        <f>IF($P2572="","",IF(ISNUMBER(INDEX(상세표[시작],$P2572)),TEXT(INDEX(상세표[시작],$P2572),"yyyy-mm-dd hh:mm"),INDEX(상세표[시작],$P2572)&amp;""))</f>
        <v/>
      </c>
      <c r="F2572">
        <f>IF($P2572="","",IF(ISNUMBER(INDEX(상세표[블록종료],$P2572)),TEXT(INDEX(상세표[블록종료],$P2572),"yyyy-mm-dd hh:mm"),INDEX(상세표[블록종료],$P2572)&amp;""))</f>
        <v/>
      </c>
      <c r="G2572">
        <f>IF($P2572="","",CHOOSE(WEEKDAY(INDEX(상세표[시작],$P2572)),"일","월","화","수","목","금","토"))</f>
        <v/>
      </c>
      <c r="H2572">
        <f>IF($P2572="","",INDEX(상세표[연속 시간],$P2572))</f>
        <v/>
      </c>
      <c r="I2572">
        <f>IF($P2572="","",INDEX(상세표[기록 수],$P2572))</f>
        <v/>
      </c>
      <c r="J2572">
        <f>IF($P2572="","",INDEX(상세표[블록 06~07시],$P2572))</f>
        <v/>
      </c>
      <c r="K2572">
        <f>IF($P2572="","",INDEX(상세표[블록 07~18시],$P2572))</f>
        <v/>
      </c>
      <c r="L2572">
        <f>IF($P2572="","",INDEX(상세표[블록 18~22시],$P2572))</f>
        <v/>
      </c>
      <c r="M2572">
        <f>IF($P2572="","",INDEX(상세표[블록 22~06시],$P2572))</f>
        <v/>
      </c>
      <c r="N2572">
        <f>IF($P2572="","",INDEX(상세표[주말·휴일 포함],$P2572)&amp;"")</f>
        <v/>
      </c>
      <c r="O2572">
        <f>IF($P2572="","",INDEX(상세표[월 넘김 포함],$P2572)&amp;"")</f>
        <v/>
      </c>
      <c r="P2572" s="4">
        <f>IFERROR(MATCH(2567,상세표[연속순번],0),"")</f>
        <v/>
      </c>
    </row>
    <row r="2573">
      <c r="A2573">
        <f>IF($P2573="","",INDEX(상세표[사번],$P2573)&amp;"")</f>
        <v/>
      </c>
      <c r="B2573">
        <f>IF($P2573="","",INDEX(상세표[성명],$P2573)&amp;"")</f>
        <v/>
      </c>
      <c r="C2573">
        <f>IF($P2573="","",INDEX(상세표[부서],$P2573)&amp;"")</f>
        <v/>
      </c>
      <c r="D2573">
        <f>IF($P2573="","",INDEX(상세표[직위],$P2573)&amp;"")</f>
        <v/>
      </c>
      <c r="E2573">
        <f>IF($P2573="","",IF(ISNUMBER(INDEX(상세표[시작],$P2573)),TEXT(INDEX(상세표[시작],$P2573),"yyyy-mm-dd hh:mm"),INDEX(상세표[시작],$P2573)&amp;""))</f>
        <v/>
      </c>
      <c r="F2573">
        <f>IF($P2573="","",IF(ISNUMBER(INDEX(상세표[블록종료],$P2573)),TEXT(INDEX(상세표[블록종료],$P2573),"yyyy-mm-dd hh:mm"),INDEX(상세표[블록종료],$P2573)&amp;""))</f>
        <v/>
      </c>
      <c r="G2573">
        <f>IF($P2573="","",CHOOSE(WEEKDAY(INDEX(상세표[시작],$P2573)),"일","월","화","수","목","금","토"))</f>
        <v/>
      </c>
      <c r="H2573">
        <f>IF($P2573="","",INDEX(상세표[연속 시간],$P2573))</f>
        <v/>
      </c>
      <c r="I2573">
        <f>IF($P2573="","",INDEX(상세표[기록 수],$P2573))</f>
        <v/>
      </c>
      <c r="J2573">
        <f>IF($P2573="","",INDEX(상세표[블록 06~07시],$P2573))</f>
        <v/>
      </c>
      <c r="K2573">
        <f>IF($P2573="","",INDEX(상세표[블록 07~18시],$P2573))</f>
        <v/>
      </c>
      <c r="L2573">
        <f>IF($P2573="","",INDEX(상세표[블록 18~22시],$P2573))</f>
        <v/>
      </c>
      <c r="M2573">
        <f>IF($P2573="","",INDEX(상세표[블록 22~06시],$P2573))</f>
        <v/>
      </c>
      <c r="N2573">
        <f>IF($P2573="","",INDEX(상세표[주말·휴일 포함],$P2573)&amp;"")</f>
        <v/>
      </c>
      <c r="O2573">
        <f>IF($P2573="","",INDEX(상세표[월 넘김 포함],$P2573)&amp;"")</f>
        <v/>
      </c>
      <c r="P2573" s="4">
        <f>IFERROR(MATCH(2568,상세표[연속순번],0),"")</f>
        <v/>
      </c>
    </row>
    <row r="2574">
      <c r="A2574">
        <f>IF($P2574="","",INDEX(상세표[사번],$P2574)&amp;"")</f>
        <v/>
      </c>
      <c r="B2574">
        <f>IF($P2574="","",INDEX(상세표[성명],$P2574)&amp;"")</f>
        <v/>
      </c>
      <c r="C2574">
        <f>IF($P2574="","",INDEX(상세표[부서],$P2574)&amp;"")</f>
        <v/>
      </c>
      <c r="D2574">
        <f>IF($P2574="","",INDEX(상세표[직위],$P2574)&amp;"")</f>
        <v/>
      </c>
      <c r="E2574">
        <f>IF($P2574="","",IF(ISNUMBER(INDEX(상세표[시작],$P2574)),TEXT(INDEX(상세표[시작],$P2574),"yyyy-mm-dd hh:mm"),INDEX(상세표[시작],$P2574)&amp;""))</f>
        <v/>
      </c>
      <c r="F2574">
        <f>IF($P2574="","",IF(ISNUMBER(INDEX(상세표[블록종료],$P2574)),TEXT(INDEX(상세표[블록종료],$P2574),"yyyy-mm-dd hh:mm"),INDEX(상세표[블록종료],$P2574)&amp;""))</f>
        <v/>
      </c>
      <c r="G2574">
        <f>IF($P2574="","",CHOOSE(WEEKDAY(INDEX(상세표[시작],$P2574)),"일","월","화","수","목","금","토"))</f>
        <v/>
      </c>
      <c r="H2574">
        <f>IF($P2574="","",INDEX(상세표[연속 시간],$P2574))</f>
        <v/>
      </c>
      <c r="I2574">
        <f>IF($P2574="","",INDEX(상세표[기록 수],$P2574))</f>
        <v/>
      </c>
      <c r="J2574">
        <f>IF($P2574="","",INDEX(상세표[블록 06~07시],$P2574))</f>
        <v/>
      </c>
      <c r="K2574">
        <f>IF($P2574="","",INDEX(상세표[블록 07~18시],$P2574))</f>
        <v/>
      </c>
      <c r="L2574">
        <f>IF($P2574="","",INDEX(상세표[블록 18~22시],$P2574))</f>
        <v/>
      </c>
      <c r="M2574">
        <f>IF($P2574="","",INDEX(상세표[블록 22~06시],$P2574))</f>
        <v/>
      </c>
      <c r="N2574">
        <f>IF($P2574="","",INDEX(상세표[주말·휴일 포함],$P2574)&amp;"")</f>
        <v/>
      </c>
      <c r="O2574">
        <f>IF($P2574="","",INDEX(상세표[월 넘김 포함],$P2574)&amp;"")</f>
        <v/>
      </c>
      <c r="P2574" s="4">
        <f>IFERROR(MATCH(2569,상세표[연속순번],0),"")</f>
        <v/>
      </c>
    </row>
    <row r="2575">
      <c r="A2575">
        <f>IF($P2575="","",INDEX(상세표[사번],$P2575)&amp;"")</f>
        <v/>
      </c>
      <c r="B2575">
        <f>IF($P2575="","",INDEX(상세표[성명],$P2575)&amp;"")</f>
        <v/>
      </c>
      <c r="C2575">
        <f>IF($P2575="","",INDEX(상세표[부서],$P2575)&amp;"")</f>
        <v/>
      </c>
      <c r="D2575">
        <f>IF($P2575="","",INDEX(상세표[직위],$P2575)&amp;"")</f>
        <v/>
      </c>
      <c r="E2575">
        <f>IF($P2575="","",IF(ISNUMBER(INDEX(상세표[시작],$P2575)),TEXT(INDEX(상세표[시작],$P2575),"yyyy-mm-dd hh:mm"),INDEX(상세표[시작],$P2575)&amp;""))</f>
        <v/>
      </c>
      <c r="F2575">
        <f>IF($P2575="","",IF(ISNUMBER(INDEX(상세표[블록종료],$P2575)),TEXT(INDEX(상세표[블록종료],$P2575),"yyyy-mm-dd hh:mm"),INDEX(상세표[블록종료],$P2575)&amp;""))</f>
        <v/>
      </c>
      <c r="G2575">
        <f>IF($P2575="","",CHOOSE(WEEKDAY(INDEX(상세표[시작],$P2575)),"일","월","화","수","목","금","토"))</f>
        <v/>
      </c>
      <c r="H2575">
        <f>IF($P2575="","",INDEX(상세표[연속 시간],$P2575))</f>
        <v/>
      </c>
      <c r="I2575">
        <f>IF($P2575="","",INDEX(상세표[기록 수],$P2575))</f>
        <v/>
      </c>
      <c r="J2575">
        <f>IF($P2575="","",INDEX(상세표[블록 06~07시],$P2575))</f>
        <v/>
      </c>
      <c r="K2575">
        <f>IF($P2575="","",INDEX(상세표[블록 07~18시],$P2575))</f>
        <v/>
      </c>
      <c r="L2575">
        <f>IF($P2575="","",INDEX(상세표[블록 18~22시],$P2575))</f>
        <v/>
      </c>
      <c r="M2575">
        <f>IF($P2575="","",INDEX(상세표[블록 22~06시],$P2575))</f>
        <v/>
      </c>
      <c r="N2575">
        <f>IF($P2575="","",INDEX(상세표[주말·휴일 포함],$P2575)&amp;"")</f>
        <v/>
      </c>
      <c r="O2575">
        <f>IF($P2575="","",INDEX(상세표[월 넘김 포함],$P2575)&amp;"")</f>
        <v/>
      </c>
      <c r="P2575" s="4">
        <f>IFERROR(MATCH(2570,상세표[연속순번],0),"")</f>
        <v/>
      </c>
    </row>
    <row r="2576">
      <c r="A2576">
        <f>IF($P2576="","",INDEX(상세표[사번],$P2576)&amp;"")</f>
        <v/>
      </c>
      <c r="B2576">
        <f>IF($P2576="","",INDEX(상세표[성명],$P2576)&amp;"")</f>
        <v/>
      </c>
      <c r="C2576">
        <f>IF($P2576="","",INDEX(상세표[부서],$P2576)&amp;"")</f>
        <v/>
      </c>
      <c r="D2576">
        <f>IF($P2576="","",INDEX(상세표[직위],$P2576)&amp;"")</f>
        <v/>
      </c>
      <c r="E2576">
        <f>IF($P2576="","",IF(ISNUMBER(INDEX(상세표[시작],$P2576)),TEXT(INDEX(상세표[시작],$P2576),"yyyy-mm-dd hh:mm"),INDEX(상세표[시작],$P2576)&amp;""))</f>
        <v/>
      </c>
      <c r="F2576">
        <f>IF($P2576="","",IF(ISNUMBER(INDEX(상세표[블록종료],$P2576)),TEXT(INDEX(상세표[블록종료],$P2576),"yyyy-mm-dd hh:mm"),INDEX(상세표[블록종료],$P2576)&amp;""))</f>
        <v/>
      </c>
      <c r="G2576">
        <f>IF($P2576="","",CHOOSE(WEEKDAY(INDEX(상세표[시작],$P2576)),"일","월","화","수","목","금","토"))</f>
        <v/>
      </c>
      <c r="H2576">
        <f>IF($P2576="","",INDEX(상세표[연속 시간],$P2576))</f>
        <v/>
      </c>
      <c r="I2576">
        <f>IF($P2576="","",INDEX(상세표[기록 수],$P2576))</f>
        <v/>
      </c>
      <c r="J2576">
        <f>IF($P2576="","",INDEX(상세표[블록 06~07시],$P2576))</f>
        <v/>
      </c>
      <c r="K2576">
        <f>IF($P2576="","",INDEX(상세표[블록 07~18시],$P2576))</f>
        <v/>
      </c>
      <c r="L2576">
        <f>IF($P2576="","",INDEX(상세표[블록 18~22시],$P2576))</f>
        <v/>
      </c>
      <c r="M2576">
        <f>IF($P2576="","",INDEX(상세표[블록 22~06시],$P2576))</f>
        <v/>
      </c>
      <c r="N2576">
        <f>IF($P2576="","",INDEX(상세표[주말·휴일 포함],$P2576)&amp;"")</f>
        <v/>
      </c>
      <c r="O2576">
        <f>IF($P2576="","",INDEX(상세표[월 넘김 포함],$P2576)&amp;"")</f>
        <v/>
      </c>
      <c r="P2576" s="4">
        <f>IFERROR(MATCH(2571,상세표[연속순번],0),"")</f>
        <v/>
      </c>
    </row>
    <row r="2577">
      <c r="A2577">
        <f>IF($P2577="","",INDEX(상세표[사번],$P2577)&amp;"")</f>
        <v/>
      </c>
      <c r="B2577">
        <f>IF($P2577="","",INDEX(상세표[성명],$P2577)&amp;"")</f>
        <v/>
      </c>
      <c r="C2577">
        <f>IF($P2577="","",INDEX(상세표[부서],$P2577)&amp;"")</f>
        <v/>
      </c>
      <c r="D2577">
        <f>IF($P2577="","",INDEX(상세표[직위],$P2577)&amp;"")</f>
        <v/>
      </c>
      <c r="E2577">
        <f>IF($P2577="","",IF(ISNUMBER(INDEX(상세표[시작],$P2577)),TEXT(INDEX(상세표[시작],$P2577),"yyyy-mm-dd hh:mm"),INDEX(상세표[시작],$P2577)&amp;""))</f>
        <v/>
      </c>
      <c r="F2577">
        <f>IF($P2577="","",IF(ISNUMBER(INDEX(상세표[블록종료],$P2577)),TEXT(INDEX(상세표[블록종료],$P2577),"yyyy-mm-dd hh:mm"),INDEX(상세표[블록종료],$P2577)&amp;""))</f>
        <v/>
      </c>
      <c r="G2577">
        <f>IF($P2577="","",CHOOSE(WEEKDAY(INDEX(상세표[시작],$P2577)),"일","월","화","수","목","금","토"))</f>
        <v/>
      </c>
      <c r="H2577">
        <f>IF($P2577="","",INDEX(상세표[연속 시간],$P2577))</f>
        <v/>
      </c>
      <c r="I2577">
        <f>IF($P2577="","",INDEX(상세표[기록 수],$P2577))</f>
        <v/>
      </c>
      <c r="J2577">
        <f>IF($P2577="","",INDEX(상세표[블록 06~07시],$P2577))</f>
        <v/>
      </c>
      <c r="K2577">
        <f>IF($P2577="","",INDEX(상세표[블록 07~18시],$P2577))</f>
        <v/>
      </c>
      <c r="L2577">
        <f>IF($P2577="","",INDEX(상세표[블록 18~22시],$P2577))</f>
        <v/>
      </c>
      <c r="M2577">
        <f>IF($P2577="","",INDEX(상세표[블록 22~06시],$P2577))</f>
        <v/>
      </c>
      <c r="N2577">
        <f>IF($P2577="","",INDEX(상세표[주말·휴일 포함],$P2577)&amp;"")</f>
        <v/>
      </c>
      <c r="O2577">
        <f>IF($P2577="","",INDEX(상세표[월 넘김 포함],$P2577)&amp;"")</f>
        <v/>
      </c>
      <c r="P2577" s="4">
        <f>IFERROR(MATCH(2572,상세표[연속순번],0),"")</f>
        <v/>
      </c>
    </row>
    <row r="2578">
      <c r="A2578">
        <f>IF($P2578="","",INDEX(상세표[사번],$P2578)&amp;"")</f>
        <v/>
      </c>
      <c r="B2578">
        <f>IF($P2578="","",INDEX(상세표[성명],$P2578)&amp;"")</f>
        <v/>
      </c>
      <c r="C2578">
        <f>IF($P2578="","",INDEX(상세표[부서],$P2578)&amp;"")</f>
        <v/>
      </c>
      <c r="D2578">
        <f>IF($P2578="","",INDEX(상세표[직위],$P2578)&amp;"")</f>
        <v/>
      </c>
      <c r="E2578">
        <f>IF($P2578="","",IF(ISNUMBER(INDEX(상세표[시작],$P2578)),TEXT(INDEX(상세표[시작],$P2578),"yyyy-mm-dd hh:mm"),INDEX(상세표[시작],$P2578)&amp;""))</f>
        <v/>
      </c>
      <c r="F2578">
        <f>IF($P2578="","",IF(ISNUMBER(INDEX(상세표[블록종료],$P2578)),TEXT(INDEX(상세표[블록종료],$P2578),"yyyy-mm-dd hh:mm"),INDEX(상세표[블록종료],$P2578)&amp;""))</f>
        <v/>
      </c>
      <c r="G2578">
        <f>IF($P2578="","",CHOOSE(WEEKDAY(INDEX(상세표[시작],$P2578)),"일","월","화","수","목","금","토"))</f>
        <v/>
      </c>
      <c r="H2578">
        <f>IF($P2578="","",INDEX(상세표[연속 시간],$P2578))</f>
        <v/>
      </c>
      <c r="I2578">
        <f>IF($P2578="","",INDEX(상세표[기록 수],$P2578))</f>
        <v/>
      </c>
      <c r="J2578">
        <f>IF($P2578="","",INDEX(상세표[블록 06~07시],$P2578))</f>
        <v/>
      </c>
      <c r="K2578">
        <f>IF($P2578="","",INDEX(상세표[블록 07~18시],$P2578))</f>
        <v/>
      </c>
      <c r="L2578">
        <f>IF($P2578="","",INDEX(상세표[블록 18~22시],$P2578))</f>
        <v/>
      </c>
      <c r="M2578">
        <f>IF($P2578="","",INDEX(상세표[블록 22~06시],$P2578))</f>
        <v/>
      </c>
      <c r="N2578">
        <f>IF($P2578="","",INDEX(상세표[주말·휴일 포함],$P2578)&amp;"")</f>
        <v/>
      </c>
      <c r="O2578">
        <f>IF($P2578="","",INDEX(상세표[월 넘김 포함],$P2578)&amp;"")</f>
        <v/>
      </c>
      <c r="P2578" s="4">
        <f>IFERROR(MATCH(2573,상세표[연속순번],0),"")</f>
        <v/>
      </c>
    </row>
    <row r="2579">
      <c r="A2579">
        <f>IF($P2579="","",INDEX(상세표[사번],$P2579)&amp;"")</f>
        <v/>
      </c>
      <c r="B2579">
        <f>IF($P2579="","",INDEX(상세표[성명],$P2579)&amp;"")</f>
        <v/>
      </c>
      <c r="C2579">
        <f>IF($P2579="","",INDEX(상세표[부서],$P2579)&amp;"")</f>
        <v/>
      </c>
      <c r="D2579">
        <f>IF($P2579="","",INDEX(상세표[직위],$P2579)&amp;"")</f>
        <v/>
      </c>
      <c r="E2579">
        <f>IF($P2579="","",IF(ISNUMBER(INDEX(상세표[시작],$P2579)),TEXT(INDEX(상세표[시작],$P2579),"yyyy-mm-dd hh:mm"),INDEX(상세표[시작],$P2579)&amp;""))</f>
        <v/>
      </c>
      <c r="F2579">
        <f>IF($P2579="","",IF(ISNUMBER(INDEX(상세표[블록종료],$P2579)),TEXT(INDEX(상세표[블록종료],$P2579),"yyyy-mm-dd hh:mm"),INDEX(상세표[블록종료],$P2579)&amp;""))</f>
        <v/>
      </c>
      <c r="G2579">
        <f>IF($P2579="","",CHOOSE(WEEKDAY(INDEX(상세표[시작],$P2579)),"일","월","화","수","목","금","토"))</f>
        <v/>
      </c>
      <c r="H2579">
        <f>IF($P2579="","",INDEX(상세표[연속 시간],$P2579))</f>
        <v/>
      </c>
      <c r="I2579">
        <f>IF($P2579="","",INDEX(상세표[기록 수],$P2579))</f>
        <v/>
      </c>
      <c r="J2579">
        <f>IF($P2579="","",INDEX(상세표[블록 06~07시],$P2579))</f>
        <v/>
      </c>
      <c r="K2579">
        <f>IF($P2579="","",INDEX(상세표[블록 07~18시],$P2579))</f>
        <v/>
      </c>
      <c r="L2579">
        <f>IF($P2579="","",INDEX(상세표[블록 18~22시],$P2579))</f>
        <v/>
      </c>
      <c r="M2579">
        <f>IF($P2579="","",INDEX(상세표[블록 22~06시],$P2579))</f>
        <v/>
      </c>
      <c r="N2579">
        <f>IF($P2579="","",INDEX(상세표[주말·휴일 포함],$P2579)&amp;"")</f>
        <v/>
      </c>
      <c r="O2579">
        <f>IF($P2579="","",INDEX(상세표[월 넘김 포함],$P2579)&amp;"")</f>
        <v/>
      </c>
      <c r="P2579" s="4">
        <f>IFERROR(MATCH(2574,상세표[연속순번],0),"")</f>
        <v/>
      </c>
    </row>
    <row r="2580">
      <c r="A2580">
        <f>IF($P2580="","",INDEX(상세표[사번],$P2580)&amp;"")</f>
        <v/>
      </c>
      <c r="B2580">
        <f>IF($P2580="","",INDEX(상세표[성명],$P2580)&amp;"")</f>
        <v/>
      </c>
      <c r="C2580">
        <f>IF($P2580="","",INDEX(상세표[부서],$P2580)&amp;"")</f>
        <v/>
      </c>
      <c r="D2580">
        <f>IF($P2580="","",INDEX(상세표[직위],$P2580)&amp;"")</f>
        <v/>
      </c>
      <c r="E2580">
        <f>IF($P2580="","",IF(ISNUMBER(INDEX(상세표[시작],$P2580)),TEXT(INDEX(상세표[시작],$P2580),"yyyy-mm-dd hh:mm"),INDEX(상세표[시작],$P2580)&amp;""))</f>
        <v/>
      </c>
      <c r="F2580">
        <f>IF($P2580="","",IF(ISNUMBER(INDEX(상세표[블록종료],$P2580)),TEXT(INDEX(상세표[블록종료],$P2580),"yyyy-mm-dd hh:mm"),INDEX(상세표[블록종료],$P2580)&amp;""))</f>
        <v/>
      </c>
      <c r="G2580">
        <f>IF($P2580="","",CHOOSE(WEEKDAY(INDEX(상세표[시작],$P2580)),"일","월","화","수","목","금","토"))</f>
        <v/>
      </c>
      <c r="H2580">
        <f>IF($P2580="","",INDEX(상세표[연속 시간],$P2580))</f>
        <v/>
      </c>
      <c r="I2580">
        <f>IF($P2580="","",INDEX(상세표[기록 수],$P2580))</f>
        <v/>
      </c>
      <c r="J2580">
        <f>IF($P2580="","",INDEX(상세표[블록 06~07시],$P2580))</f>
        <v/>
      </c>
      <c r="K2580">
        <f>IF($P2580="","",INDEX(상세표[블록 07~18시],$P2580))</f>
        <v/>
      </c>
      <c r="L2580">
        <f>IF($P2580="","",INDEX(상세표[블록 18~22시],$P2580))</f>
        <v/>
      </c>
      <c r="M2580">
        <f>IF($P2580="","",INDEX(상세표[블록 22~06시],$P2580))</f>
        <v/>
      </c>
      <c r="N2580">
        <f>IF($P2580="","",INDEX(상세표[주말·휴일 포함],$P2580)&amp;"")</f>
        <v/>
      </c>
      <c r="O2580">
        <f>IF($P2580="","",INDEX(상세표[월 넘김 포함],$P2580)&amp;"")</f>
        <v/>
      </c>
      <c r="P2580" s="4">
        <f>IFERROR(MATCH(2575,상세표[연속순번],0),"")</f>
        <v/>
      </c>
    </row>
    <row r="2581">
      <c r="A2581">
        <f>IF($P2581="","",INDEX(상세표[사번],$P2581)&amp;"")</f>
        <v/>
      </c>
      <c r="B2581">
        <f>IF($P2581="","",INDEX(상세표[성명],$P2581)&amp;"")</f>
        <v/>
      </c>
      <c r="C2581">
        <f>IF($P2581="","",INDEX(상세표[부서],$P2581)&amp;"")</f>
        <v/>
      </c>
      <c r="D2581">
        <f>IF($P2581="","",INDEX(상세표[직위],$P2581)&amp;"")</f>
        <v/>
      </c>
      <c r="E2581">
        <f>IF($P2581="","",IF(ISNUMBER(INDEX(상세표[시작],$P2581)),TEXT(INDEX(상세표[시작],$P2581),"yyyy-mm-dd hh:mm"),INDEX(상세표[시작],$P2581)&amp;""))</f>
        <v/>
      </c>
      <c r="F2581">
        <f>IF($P2581="","",IF(ISNUMBER(INDEX(상세표[블록종료],$P2581)),TEXT(INDEX(상세표[블록종료],$P2581),"yyyy-mm-dd hh:mm"),INDEX(상세표[블록종료],$P2581)&amp;""))</f>
        <v/>
      </c>
      <c r="G2581">
        <f>IF($P2581="","",CHOOSE(WEEKDAY(INDEX(상세표[시작],$P2581)),"일","월","화","수","목","금","토"))</f>
        <v/>
      </c>
      <c r="H2581">
        <f>IF($P2581="","",INDEX(상세표[연속 시간],$P2581))</f>
        <v/>
      </c>
      <c r="I2581">
        <f>IF($P2581="","",INDEX(상세표[기록 수],$P2581))</f>
        <v/>
      </c>
      <c r="J2581">
        <f>IF($P2581="","",INDEX(상세표[블록 06~07시],$P2581))</f>
        <v/>
      </c>
      <c r="K2581">
        <f>IF($P2581="","",INDEX(상세표[블록 07~18시],$P2581))</f>
        <v/>
      </c>
      <c r="L2581">
        <f>IF($P2581="","",INDEX(상세표[블록 18~22시],$P2581))</f>
        <v/>
      </c>
      <c r="M2581">
        <f>IF($P2581="","",INDEX(상세표[블록 22~06시],$P2581))</f>
        <v/>
      </c>
      <c r="N2581">
        <f>IF($P2581="","",INDEX(상세표[주말·휴일 포함],$P2581)&amp;"")</f>
        <v/>
      </c>
      <c r="O2581">
        <f>IF($P2581="","",INDEX(상세표[월 넘김 포함],$P2581)&amp;"")</f>
        <v/>
      </c>
      <c r="P2581" s="4">
        <f>IFERROR(MATCH(2576,상세표[연속순번],0),"")</f>
        <v/>
      </c>
    </row>
    <row r="2582">
      <c r="A2582">
        <f>IF($P2582="","",INDEX(상세표[사번],$P2582)&amp;"")</f>
        <v/>
      </c>
      <c r="B2582">
        <f>IF($P2582="","",INDEX(상세표[성명],$P2582)&amp;"")</f>
        <v/>
      </c>
      <c r="C2582">
        <f>IF($P2582="","",INDEX(상세표[부서],$P2582)&amp;"")</f>
        <v/>
      </c>
      <c r="D2582">
        <f>IF($P2582="","",INDEX(상세표[직위],$P2582)&amp;"")</f>
        <v/>
      </c>
      <c r="E2582">
        <f>IF($P2582="","",IF(ISNUMBER(INDEX(상세표[시작],$P2582)),TEXT(INDEX(상세표[시작],$P2582),"yyyy-mm-dd hh:mm"),INDEX(상세표[시작],$P2582)&amp;""))</f>
        <v/>
      </c>
      <c r="F2582">
        <f>IF($P2582="","",IF(ISNUMBER(INDEX(상세표[블록종료],$P2582)),TEXT(INDEX(상세표[블록종료],$P2582),"yyyy-mm-dd hh:mm"),INDEX(상세표[블록종료],$P2582)&amp;""))</f>
        <v/>
      </c>
      <c r="G2582">
        <f>IF($P2582="","",CHOOSE(WEEKDAY(INDEX(상세표[시작],$P2582)),"일","월","화","수","목","금","토"))</f>
        <v/>
      </c>
      <c r="H2582">
        <f>IF($P2582="","",INDEX(상세표[연속 시간],$P2582))</f>
        <v/>
      </c>
      <c r="I2582">
        <f>IF($P2582="","",INDEX(상세표[기록 수],$P2582))</f>
        <v/>
      </c>
      <c r="J2582">
        <f>IF($P2582="","",INDEX(상세표[블록 06~07시],$P2582))</f>
        <v/>
      </c>
      <c r="K2582">
        <f>IF($P2582="","",INDEX(상세표[블록 07~18시],$P2582))</f>
        <v/>
      </c>
      <c r="L2582">
        <f>IF($P2582="","",INDEX(상세표[블록 18~22시],$P2582))</f>
        <v/>
      </c>
      <c r="M2582">
        <f>IF($P2582="","",INDEX(상세표[블록 22~06시],$P2582))</f>
        <v/>
      </c>
      <c r="N2582">
        <f>IF($P2582="","",INDEX(상세표[주말·휴일 포함],$P2582)&amp;"")</f>
        <v/>
      </c>
      <c r="O2582">
        <f>IF($P2582="","",INDEX(상세표[월 넘김 포함],$P2582)&amp;"")</f>
        <v/>
      </c>
      <c r="P2582" s="4">
        <f>IFERROR(MATCH(2577,상세표[연속순번],0),"")</f>
        <v/>
      </c>
    </row>
    <row r="2583">
      <c r="A2583">
        <f>IF($P2583="","",INDEX(상세표[사번],$P2583)&amp;"")</f>
        <v/>
      </c>
      <c r="B2583">
        <f>IF($P2583="","",INDEX(상세표[성명],$P2583)&amp;"")</f>
        <v/>
      </c>
      <c r="C2583">
        <f>IF($P2583="","",INDEX(상세표[부서],$P2583)&amp;"")</f>
        <v/>
      </c>
      <c r="D2583">
        <f>IF($P2583="","",INDEX(상세표[직위],$P2583)&amp;"")</f>
        <v/>
      </c>
      <c r="E2583">
        <f>IF($P2583="","",IF(ISNUMBER(INDEX(상세표[시작],$P2583)),TEXT(INDEX(상세표[시작],$P2583),"yyyy-mm-dd hh:mm"),INDEX(상세표[시작],$P2583)&amp;""))</f>
        <v/>
      </c>
      <c r="F2583">
        <f>IF($P2583="","",IF(ISNUMBER(INDEX(상세표[블록종료],$P2583)),TEXT(INDEX(상세표[블록종료],$P2583),"yyyy-mm-dd hh:mm"),INDEX(상세표[블록종료],$P2583)&amp;""))</f>
        <v/>
      </c>
      <c r="G2583">
        <f>IF($P2583="","",CHOOSE(WEEKDAY(INDEX(상세표[시작],$P2583)),"일","월","화","수","목","금","토"))</f>
        <v/>
      </c>
      <c r="H2583">
        <f>IF($P2583="","",INDEX(상세표[연속 시간],$P2583))</f>
        <v/>
      </c>
      <c r="I2583">
        <f>IF($P2583="","",INDEX(상세표[기록 수],$P2583))</f>
        <v/>
      </c>
      <c r="J2583">
        <f>IF($P2583="","",INDEX(상세표[블록 06~07시],$P2583))</f>
        <v/>
      </c>
      <c r="K2583">
        <f>IF($P2583="","",INDEX(상세표[블록 07~18시],$P2583))</f>
        <v/>
      </c>
      <c r="L2583">
        <f>IF($P2583="","",INDEX(상세표[블록 18~22시],$P2583))</f>
        <v/>
      </c>
      <c r="M2583">
        <f>IF($P2583="","",INDEX(상세표[블록 22~06시],$P2583))</f>
        <v/>
      </c>
      <c r="N2583">
        <f>IF($P2583="","",INDEX(상세표[주말·휴일 포함],$P2583)&amp;"")</f>
        <v/>
      </c>
      <c r="O2583">
        <f>IF($P2583="","",INDEX(상세표[월 넘김 포함],$P2583)&amp;"")</f>
        <v/>
      </c>
      <c r="P2583" s="4">
        <f>IFERROR(MATCH(2578,상세표[연속순번],0),"")</f>
        <v/>
      </c>
    </row>
    <row r="2584">
      <c r="A2584">
        <f>IF($P2584="","",INDEX(상세표[사번],$P2584)&amp;"")</f>
        <v/>
      </c>
      <c r="B2584">
        <f>IF($P2584="","",INDEX(상세표[성명],$P2584)&amp;"")</f>
        <v/>
      </c>
      <c r="C2584">
        <f>IF($P2584="","",INDEX(상세표[부서],$P2584)&amp;"")</f>
        <v/>
      </c>
      <c r="D2584">
        <f>IF($P2584="","",INDEX(상세표[직위],$P2584)&amp;"")</f>
        <v/>
      </c>
      <c r="E2584">
        <f>IF($P2584="","",IF(ISNUMBER(INDEX(상세표[시작],$P2584)),TEXT(INDEX(상세표[시작],$P2584),"yyyy-mm-dd hh:mm"),INDEX(상세표[시작],$P2584)&amp;""))</f>
        <v/>
      </c>
      <c r="F2584">
        <f>IF($P2584="","",IF(ISNUMBER(INDEX(상세표[블록종료],$P2584)),TEXT(INDEX(상세표[블록종료],$P2584),"yyyy-mm-dd hh:mm"),INDEX(상세표[블록종료],$P2584)&amp;""))</f>
        <v/>
      </c>
      <c r="G2584">
        <f>IF($P2584="","",CHOOSE(WEEKDAY(INDEX(상세표[시작],$P2584)),"일","월","화","수","목","금","토"))</f>
        <v/>
      </c>
      <c r="H2584">
        <f>IF($P2584="","",INDEX(상세표[연속 시간],$P2584))</f>
        <v/>
      </c>
      <c r="I2584">
        <f>IF($P2584="","",INDEX(상세표[기록 수],$P2584))</f>
        <v/>
      </c>
      <c r="J2584">
        <f>IF($P2584="","",INDEX(상세표[블록 06~07시],$P2584))</f>
        <v/>
      </c>
      <c r="K2584">
        <f>IF($P2584="","",INDEX(상세표[블록 07~18시],$P2584))</f>
        <v/>
      </c>
      <c r="L2584">
        <f>IF($P2584="","",INDEX(상세표[블록 18~22시],$P2584))</f>
        <v/>
      </c>
      <c r="M2584">
        <f>IF($P2584="","",INDEX(상세표[블록 22~06시],$P2584))</f>
        <v/>
      </c>
      <c r="N2584">
        <f>IF($P2584="","",INDEX(상세표[주말·휴일 포함],$P2584)&amp;"")</f>
        <v/>
      </c>
      <c r="O2584">
        <f>IF($P2584="","",INDEX(상세표[월 넘김 포함],$P2584)&amp;"")</f>
        <v/>
      </c>
      <c r="P2584" s="4">
        <f>IFERROR(MATCH(2579,상세표[연속순번],0),"")</f>
        <v/>
      </c>
    </row>
    <row r="2585">
      <c r="A2585">
        <f>IF($P2585="","",INDEX(상세표[사번],$P2585)&amp;"")</f>
        <v/>
      </c>
      <c r="B2585">
        <f>IF($P2585="","",INDEX(상세표[성명],$P2585)&amp;"")</f>
        <v/>
      </c>
      <c r="C2585">
        <f>IF($P2585="","",INDEX(상세표[부서],$P2585)&amp;"")</f>
        <v/>
      </c>
      <c r="D2585">
        <f>IF($P2585="","",INDEX(상세표[직위],$P2585)&amp;"")</f>
        <v/>
      </c>
      <c r="E2585">
        <f>IF($P2585="","",IF(ISNUMBER(INDEX(상세표[시작],$P2585)),TEXT(INDEX(상세표[시작],$P2585),"yyyy-mm-dd hh:mm"),INDEX(상세표[시작],$P2585)&amp;""))</f>
        <v/>
      </c>
      <c r="F2585">
        <f>IF($P2585="","",IF(ISNUMBER(INDEX(상세표[블록종료],$P2585)),TEXT(INDEX(상세표[블록종료],$P2585),"yyyy-mm-dd hh:mm"),INDEX(상세표[블록종료],$P2585)&amp;""))</f>
        <v/>
      </c>
      <c r="G2585">
        <f>IF($P2585="","",CHOOSE(WEEKDAY(INDEX(상세표[시작],$P2585)),"일","월","화","수","목","금","토"))</f>
        <v/>
      </c>
      <c r="H2585">
        <f>IF($P2585="","",INDEX(상세표[연속 시간],$P2585))</f>
        <v/>
      </c>
      <c r="I2585">
        <f>IF($P2585="","",INDEX(상세표[기록 수],$P2585))</f>
        <v/>
      </c>
      <c r="J2585">
        <f>IF($P2585="","",INDEX(상세표[블록 06~07시],$P2585))</f>
        <v/>
      </c>
      <c r="K2585">
        <f>IF($P2585="","",INDEX(상세표[블록 07~18시],$P2585))</f>
        <v/>
      </c>
      <c r="L2585">
        <f>IF($P2585="","",INDEX(상세표[블록 18~22시],$P2585))</f>
        <v/>
      </c>
      <c r="M2585">
        <f>IF($P2585="","",INDEX(상세표[블록 22~06시],$P2585))</f>
        <v/>
      </c>
      <c r="N2585">
        <f>IF($P2585="","",INDEX(상세표[주말·휴일 포함],$P2585)&amp;"")</f>
        <v/>
      </c>
      <c r="O2585">
        <f>IF($P2585="","",INDEX(상세표[월 넘김 포함],$P2585)&amp;"")</f>
        <v/>
      </c>
      <c r="P2585" s="4">
        <f>IFERROR(MATCH(2580,상세표[연속순번],0),"")</f>
        <v/>
      </c>
    </row>
    <row r="2586">
      <c r="A2586">
        <f>IF($P2586="","",INDEX(상세표[사번],$P2586)&amp;"")</f>
        <v/>
      </c>
      <c r="B2586">
        <f>IF($P2586="","",INDEX(상세표[성명],$P2586)&amp;"")</f>
        <v/>
      </c>
      <c r="C2586">
        <f>IF($P2586="","",INDEX(상세표[부서],$P2586)&amp;"")</f>
        <v/>
      </c>
      <c r="D2586">
        <f>IF($P2586="","",INDEX(상세표[직위],$P2586)&amp;"")</f>
        <v/>
      </c>
      <c r="E2586">
        <f>IF($P2586="","",IF(ISNUMBER(INDEX(상세표[시작],$P2586)),TEXT(INDEX(상세표[시작],$P2586),"yyyy-mm-dd hh:mm"),INDEX(상세표[시작],$P2586)&amp;""))</f>
        <v/>
      </c>
      <c r="F2586">
        <f>IF($P2586="","",IF(ISNUMBER(INDEX(상세표[블록종료],$P2586)),TEXT(INDEX(상세표[블록종료],$P2586),"yyyy-mm-dd hh:mm"),INDEX(상세표[블록종료],$P2586)&amp;""))</f>
        <v/>
      </c>
      <c r="G2586">
        <f>IF($P2586="","",CHOOSE(WEEKDAY(INDEX(상세표[시작],$P2586)),"일","월","화","수","목","금","토"))</f>
        <v/>
      </c>
      <c r="H2586">
        <f>IF($P2586="","",INDEX(상세표[연속 시간],$P2586))</f>
        <v/>
      </c>
      <c r="I2586">
        <f>IF($P2586="","",INDEX(상세표[기록 수],$P2586))</f>
        <v/>
      </c>
      <c r="J2586">
        <f>IF($P2586="","",INDEX(상세표[블록 06~07시],$P2586))</f>
        <v/>
      </c>
      <c r="K2586">
        <f>IF($P2586="","",INDEX(상세표[블록 07~18시],$P2586))</f>
        <v/>
      </c>
      <c r="L2586">
        <f>IF($P2586="","",INDEX(상세표[블록 18~22시],$P2586))</f>
        <v/>
      </c>
      <c r="M2586">
        <f>IF($P2586="","",INDEX(상세표[블록 22~06시],$P2586))</f>
        <v/>
      </c>
      <c r="N2586">
        <f>IF($P2586="","",INDEX(상세표[주말·휴일 포함],$P2586)&amp;"")</f>
        <v/>
      </c>
      <c r="O2586">
        <f>IF($P2586="","",INDEX(상세표[월 넘김 포함],$P2586)&amp;"")</f>
        <v/>
      </c>
      <c r="P2586" s="4">
        <f>IFERROR(MATCH(2581,상세표[연속순번],0),"")</f>
        <v/>
      </c>
    </row>
    <row r="2587">
      <c r="A2587">
        <f>IF($P2587="","",INDEX(상세표[사번],$P2587)&amp;"")</f>
        <v/>
      </c>
      <c r="B2587">
        <f>IF($P2587="","",INDEX(상세표[성명],$P2587)&amp;"")</f>
        <v/>
      </c>
      <c r="C2587">
        <f>IF($P2587="","",INDEX(상세표[부서],$P2587)&amp;"")</f>
        <v/>
      </c>
      <c r="D2587">
        <f>IF($P2587="","",INDEX(상세표[직위],$P2587)&amp;"")</f>
        <v/>
      </c>
      <c r="E2587">
        <f>IF($P2587="","",IF(ISNUMBER(INDEX(상세표[시작],$P2587)),TEXT(INDEX(상세표[시작],$P2587),"yyyy-mm-dd hh:mm"),INDEX(상세표[시작],$P2587)&amp;""))</f>
        <v/>
      </c>
      <c r="F2587">
        <f>IF($P2587="","",IF(ISNUMBER(INDEX(상세표[블록종료],$P2587)),TEXT(INDEX(상세표[블록종료],$P2587),"yyyy-mm-dd hh:mm"),INDEX(상세표[블록종료],$P2587)&amp;""))</f>
        <v/>
      </c>
      <c r="G2587">
        <f>IF($P2587="","",CHOOSE(WEEKDAY(INDEX(상세표[시작],$P2587)),"일","월","화","수","목","금","토"))</f>
        <v/>
      </c>
      <c r="H2587">
        <f>IF($P2587="","",INDEX(상세표[연속 시간],$P2587))</f>
        <v/>
      </c>
      <c r="I2587">
        <f>IF($P2587="","",INDEX(상세표[기록 수],$P2587))</f>
        <v/>
      </c>
      <c r="J2587">
        <f>IF($P2587="","",INDEX(상세표[블록 06~07시],$P2587))</f>
        <v/>
      </c>
      <c r="K2587">
        <f>IF($P2587="","",INDEX(상세표[블록 07~18시],$P2587))</f>
        <v/>
      </c>
      <c r="L2587">
        <f>IF($P2587="","",INDEX(상세표[블록 18~22시],$P2587))</f>
        <v/>
      </c>
      <c r="M2587">
        <f>IF($P2587="","",INDEX(상세표[블록 22~06시],$P2587))</f>
        <v/>
      </c>
      <c r="N2587">
        <f>IF($P2587="","",INDEX(상세표[주말·휴일 포함],$P2587)&amp;"")</f>
        <v/>
      </c>
      <c r="O2587">
        <f>IF($P2587="","",INDEX(상세표[월 넘김 포함],$P2587)&amp;"")</f>
        <v/>
      </c>
      <c r="P2587" s="4">
        <f>IFERROR(MATCH(2582,상세표[연속순번],0),"")</f>
        <v/>
      </c>
    </row>
    <row r="2588">
      <c r="A2588">
        <f>IF($P2588="","",INDEX(상세표[사번],$P2588)&amp;"")</f>
        <v/>
      </c>
      <c r="B2588">
        <f>IF($P2588="","",INDEX(상세표[성명],$P2588)&amp;"")</f>
        <v/>
      </c>
      <c r="C2588">
        <f>IF($P2588="","",INDEX(상세표[부서],$P2588)&amp;"")</f>
        <v/>
      </c>
      <c r="D2588">
        <f>IF($P2588="","",INDEX(상세표[직위],$P2588)&amp;"")</f>
        <v/>
      </c>
      <c r="E2588">
        <f>IF($P2588="","",IF(ISNUMBER(INDEX(상세표[시작],$P2588)),TEXT(INDEX(상세표[시작],$P2588),"yyyy-mm-dd hh:mm"),INDEX(상세표[시작],$P2588)&amp;""))</f>
        <v/>
      </c>
      <c r="F2588">
        <f>IF($P2588="","",IF(ISNUMBER(INDEX(상세표[블록종료],$P2588)),TEXT(INDEX(상세표[블록종료],$P2588),"yyyy-mm-dd hh:mm"),INDEX(상세표[블록종료],$P2588)&amp;""))</f>
        <v/>
      </c>
      <c r="G2588">
        <f>IF($P2588="","",CHOOSE(WEEKDAY(INDEX(상세표[시작],$P2588)),"일","월","화","수","목","금","토"))</f>
        <v/>
      </c>
      <c r="H2588">
        <f>IF($P2588="","",INDEX(상세표[연속 시간],$P2588))</f>
        <v/>
      </c>
      <c r="I2588">
        <f>IF($P2588="","",INDEX(상세표[기록 수],$P2588))</f>
        <v/>
      </c>
      <c r="J2588">
        <f>IF($P2588="","",INDEX(상세표[블록 06~07시],$P2588))</f>
        <v/>
      </c>
      <c r="K2588">
        <f>IF($P2588="","",INDEX(상세표[블록 07~18시],$P2588))</f>
        <v/>
      </c>
      <c r="L2588">
        <f>IF($P2588="","",INDEX(상세표[블록 18~22시],$P2588))</f>
        <v/>
      </c>
      <c r="M2588">
        <f>IF($P2588="","",INDEX(상세표[블록 22~06시],$P2588))</f>
        <v/>
      </c>
      <c r="N2588">
        <f>IF($P2588="","",INDEX(상세표[주말·휴일 포함],$P2588)&amp;"")</f>
        <v/>
      </c>
      <c r="O2588">
        <f>IF($P2588="","",INDEX(상세표[월 넘김 포함],$P2588)&amp;"")</f>
        <v/>
      </c>
      <c r="P2588" s="4">
        <f>IFERROR(MATCH(2583,상세표[연속순번],0),"")</f>
        <v/>
      </c>
    </row>
    <row r="2589">
      <c r="A2589">
        <f>IF($P2589="","",INDEX(상세표[사번],$P2589)&amp;"")</f>
        <v/>
      </c>
      <c r="B2589">
        <f>IF($P2589="","",INDEX(상세표[성명],$P2589)&amp;"")</f>
        <v/>
      </c>
      <c r="C2589">
        <f>IF($P2589="","",INDEX(상세표[부서],$P2589)&amp;"")</f>
        <v/>
      </c>
      <c r="D2589">
        <f>IF($P2589="","",INDEX(상세표[직위],$P2589)&amp;"")</f>
        <v/>
      </c>
      <c r="E2589">
        <f>IF($P2589="","",IF(ISNUMBER(INDEX(상세표[시작],$P2589)),TEXT(INDEX(상세표[시작],$P2589),"yyyy-mm-dd hh:mm"),INDEX(상세표[시작],$P2589)&amp;""))</f>
        <v/>
      </c>
      <c r="F2589">
        <f>IF($P2589="","",IF(ISNUMBER(INDEX(상세표[블록종료],$P2589)),TEXT(INDEX(상세표[블록종료],$P2589),"yyyy-mm-dd hh:mm"),INDEX(상세표[블록종료],$P2589)&amp;""))</f>
        <v/>
      </c>
      <c r="G2589">
        <f>IF($P2589="","",CHOOSE(WEEKDAY(INDEX(상세표[시작],$P2589)),"일","월","화","수","목","금","토"))</f>
        <v/>
      </c>
      <c r="H2589">
        <f>IF($P2589="","",INDEX(상세표[연속 시간],$P2589))</f>
        <v/>
      </c>
      <c r="I2589">
        <f>IF($P2589="","",INDEX(상세표[기록 수],$P2589))</f>
        <v/>
      </c>
      <c r="J2589">
        <f>IF($P2589="","",INDEX(상세표[블록 06~07시],$P2589))</f>
        <v/>
      </c>
      <c r="K2589">
        <f>IF($P2589="","",INDEX(상세표[블록 07~18시],$P2589))</f>
        <v/>
      </c>
      <c r="L2589">
        <f>IF($P2589="","",INDEX(상세표[블록 18~22시],$P2589))</f>
        <v/>
      </c>
      <c r="M2589">
        <f>IF($P2589="","",INDEX(상세표[블록 22~06시],$P2589))</f>
        <v/>
      </c>
      <c r="N2589">
        <f>IF($P2589="","",INDEX(상세표[주말·휴일 포함],$P2589)&amp;"")</f>
        <v/>
      </c>
      <c r="O2589">
        <f>IF($P2589="","",INDEX(상세표[월 넘김 포함],$P2589)&amp;"")</f>
        <v/>
      </c>
      <c r="P2589" s="4">
        <f>IFERROR(MATCH(2584,상세표[연속순번],0),"")</f>
        <v/>
      </c>
    </row>
    <row r="2590">
      <c r="A2590">
        <f>IF($P2590="","",INDEX(상세표[사번],$P2590)&amp;"")</f>
        <v/>
      </c>
      <c r="B2590">
        <f>IF($P2590="","",INDEX(상세표[성명],$P2590)&amp;"")</f>
        <v/>
      </c>
      <c r="C2590">
        <f>IF($P2590="","",INDEX(상세표[부서],$P2590)&amp;"")</f>
        <v/>
      </c>
      <c r="D2590">
        <f>IF($P2590="","",INDEX(상세표[직위],$P2590)&amp;"")</f>
        <v/>
      </c>
      <c r="E2590">
        <f>IF($P2590="","",IF(ISNUMBER(INDEX(상세표[시작],$P2590)),TEXT(INDEX(상세표[시작],$P2590),"yyyy-mm-dd hh:mm"),INDEX(상세표[시작],$P2590)&amp;""))</f>
        <v/>
      </c>
      <c r="F2590">
        <f>IF($P2590="","",IF(ISNUMBER(INDEX(상세표[블록종료],$P2590)),TEXT(INDEX(상세표[블록종료],$P2590),"yyyy-mm-dd hh:mm"),INDEX(상세표[블록종료],$P2590)&amp;""))</f>
        <v/>
      </c>
      <c r="G2590">
        <f>IF($P2590="","",CHOOSE(WEEKDAY(INDEX(상세표[시작],$P2590)),"일","월","화","수","목","금","토"))</f>
        <v/>
      </c>
      <c r="H2590">
        <f>IF($P2590="","",INDEX(상세표[연속 시간],$P2590))</f>
        <v/>
      </c>
      <c r="I2590">
        <f>IF($P2590="","",INDEX(상세표[기록 수],$P2590))</f>
        <v/>
      </c>
      <c r="J2590">
        <f>IF($P2590="","",INDEX(상세표[블록 06~07시],$P2590))</f>
        <v/>
      </c>
      <c r="K2590">
        <f>IF($P2590="","",INDEX(상세표[블록 07~18시],$P2590))</f>
        <v/>
      </c>
      <c r="L2590">
        <f>IF($P2590="","",INDEX(상세표[블록 18~22시],$P2590))</f>
        <v/>
      </c>
      <c r="M2590">
        <f>IF($P2590="","",INDEX(상세표[블록 22~06시],$P2590))</f>
        <v/>
      </c>
      <c r="N2590">
        <f>IF($P2590="","",INDEX(상세표[주말·휴일 포함],$P2590)&amp;"")</f>
        <v/>
      </c>
      <c r="O2590">
        <f>IF($P2590="","",INDEX(상세표[월 넘김 포함],$P2590)&amp;"")</f>
        <v/>
      </c>
      <c r="P2590" s="4">
        <f>IFERROR(MATCH(2585,상세표[연속순번],0),"")</f>
        <v/>
      </c>
    </row>
    <row r="2591">
      <c r="A2591">
        <f>IF($P2591="","",INDEX(상세표[사번],$P2591)&amp;"")</f>
        <v/>
      </c>
      <c r="B2591">
        <f>IF($P2591="","",INDEX(상세표[성명],$P2591)&amp;"")</f>
        <v/>
      </c>
      <c r="C2591">
        <f>IF($P2591="","",INDEX(상세표[부서],$P2591)&amp;"")</f>
        <v/>
      </c>
      <c r="D2591">
        <f>IF($P2591="","",INDEX(상세표[직위],$P2591)&amp;"")</f>
        <v/>
      </c>
      <c r="E2591">
        <f>IF($P2591="","",IF(ISNUMBER(INDEX(상세표[시작],$P2591)),TEXT(INDEX(상세표[시작],$P2591),"yyyy-mm-dd hh:mm"),INDEX(상세표[시작],$P2591)&amp;""))</f>
        <v/>
      </c>
      <c r="F2591">
        <f>IF($P2591="","",IF(ISNUMBER(INDEX(상세표[블록종료],$P2591)),TEXT(INDEX(상세표[블록종료],$P2591),"yyyy-mm-dd hh:mm"),INDEX(상세표[블록종료],$P2591)&amp;""))</f>
        <v/>
      </c>
      <c r="G2591">
        <f>IF($P2591="","",CHOOSE(WEEKDAY(INDEX(상세표[시작],$P2591)),"일","월","화","수","목","금","토"))</f>
        <v/>
      </c>
      <c r="H2591">
        <f>IF($P2591="","",INDEX(상세표[연속 시간],$P2591))</f>
        <v/>
      </c>
      <c r="I2591">
        <f>IF($P2591="","",INDEX(상세표[기록 수],$P2591))</f>
        <v/>
      </c>
      <c r="J2591">
        <f>IF($P2591="","",INDEX(상세표[블록 06~07시],$P2591))</f>
        <v/>
      </c>
      <c r="K2591">
        <f>IF($P2591="","",INDEX(상세표[블록 07~18시],$P2591))</f>
        <v/>
      </c>
      <c r="L2591">
        <f>IF($P2591="","",INDEX(상세표[블록 18~22시],$P2591))</f>
        <v/>
      </c>
      <c r="M2591">
        <f>IF($P2591="","",INDEX(상세표[블록 22~06시],$P2591))</f>
        <v/>
      </c>
      <c r="N2591">
        <f>IF($P2591="","",INDEX(상세표[주말·휴일 포함],$P2591)&amp;"")</f>
        <v/>
      </c>
      <c r="O2591">
        <f>IF($P2591="","",INDEX(상세표[월 넘김 포함],$P2591)&amp;"")</f>
        <v/>
      </c>
      <c r="P2591" s="4">
        <f>IFERROR(MATCH(2586,상세표[연속순번],0),"")</f>
        <v/>
      </c>
    </row>
    <row r="2592">
      <c r="A2592">
        <f>IF($P2592="","",INDEX(상세표[사번],$P2592)&amp;"")</f>
        <v/>
      </c>
      <c r="B2592">
        <f>IF($P2592="","",INDEX(상세표[성명],$P2592)&amp;"")</f>
        <v/>
      </c>
      <c r="C2592">
        <f>IF($P2592="","",INDEX(상세표[부서],$P2592)&amp;"")</f>
        <v/>
      </c>
      <c r="D2592">
        <f>IF($P2592="","",INDEX(상세표[직위],$P2592)&amp;"")</f>
        <v/>
      </c>
      <c r="E2592">
        <f>IF($P2592="","",IF(ISNUMBER(INDEX(상세표[시작],$P2592)),TEXT(INDEX(상세표[시작],$P2592),"yyyy-mm-dd hh:mm"),INDEX(상세표[시작],$P2592)&amp;""))</f>
        <v/>
      </c>
      <c r="F2592">
        <f>IF($P2592="","",IF(ISNUMBER(INDEX(상세표[블록종료],$P2592)),TEXT(INDEX(상세표[블록종료],$P2592),"yyyy-mm-dd hh:mm"),INDEX(상세표[블록종료],$P2592)&amp;""))</f>
        <v/>
      </c>
      <c r="G2592">
        <f>IF($P2592="","",CHOOSE(WEEKDAY(INDEX(상세표[시작],$P2592)),"일","월","화","수","목","금","토"))</f>
        <v/>
      </c>
      <c r="H2592">
        <f>IF($P2592="","",INDEX(상세표[연속 시간],$P2592))</f>
        <v/>
      </c>
      <c r="I2592">
        <f>IF($P2592="","",INDEX(상세표[기록 수],$P2592))</f>
        <v/>
      </c>
      <c r="J2592">
        <f>IF($P2592="","",INDEX(상세표[블록 06~07시],$P2592))</f>
        <v/>
      </c>
      <c r="K2592">
        <f>IF($P2592="","",INDEX(상세표[블록 07~18시],$P2592))</f>
        <v/>
      </c>
      <c r="L2592">
        <f>IF($P2592="","",INDEX(상세표[블록 18~22시],$P2592))</f>
        <v/>
      </c>
      <c r="M2592">
        <f>IF($P2592="","",INDEX(상세표[블록 22~06시],$P2592))</f>
        <v/>
      </c>
      <c r="N2592">
        <f>IF($P2592="","",INDEX(상세표[주말·휴일 포함],$P2592)&amp;"")</f>
        <v/>
      </c>
      <c r="O2592">
        <f>IF($P2592="","",INDEX(상세표[월 넘김 포함],$P2592)&amp;"")</f>
        <v/>
      </c>
      <c r="P2592" s="4">
        <f>IFERROR(MATCH(2587,상세표[연속순번],0),"")</f>
        <v/>
      </c>
    </row>
    <row r="2593">
      <c r="A2593">
        <f>IF($P2593="","",INDEX(상세표[사번],$P2593)&amp;"")</f>
        <v/>
      </c>
      <c r="B2593">
        <f>IF($P2593="","",INDEX(상세표[성명],$P2593)&amp;"")</f>
        <v/>
      </c>
      <c r="C2593">
        <f>IF($P2593="","",INDEX(상세표[부서],$P2593)&amp;"")</f>
        <v/>
      </c>
      <c r="D2593">
        <f>IF($P2593="","",INDEX(상세표[직위],$P2593)&amp;"")</f>
        <v/>
      </c>
      <c r="E2593">
        <f>IF($P2593="","",IF(ISNUMBER(INDEX(상세표[시작],$P2593)),TEXT(INDEX(상세표[시작],$P2593),"yyyy-mm-dd hh:mm"),INDEX(상세표[시작],$P2593)&amp;""))</f>
        <v/>
      </c>
      <c r="F2593">
        <f>IF($P2593="","",IF(ISNUMBER(INDEX(상세표[블록종료],$P2593)),TEXT(INDEX(상세표[블록종료],$P2593),"yyyy-mm-dd hh:mm"),INDEX(상세표[블록종료],$P2593)&amp;""))</f>
        <v/>
      </c>
      <c r="G2593">
        <f>IF($P2593="","",CHOOSE(WEEKDAY(INDEX(상세표[시작],$P2593)),"일","월","화","수","목","금","토"))</f>
        <v/>
      </c>
      <c r="H2593">
        <f>IF($P2593="","",INDEX(상세표[연속 시간],$P2593))</f>
        <v/>
      </c>
      <c r="I2593">
        <f>IF($P2593="","",INDEX(상세표[기록 수],$P2593))</f>
        <v/>
      </c>
      <c r="J2593">
        <f>IF($P2593="","",INDEX(상세표[블록 06~07시],$P2593))</f>
        <v/>
      </c>
      <c r="K2593">
        <f>IF($P2593="","",INDEX(상세표[블록 07~18시],$P2593))</f>
        <v/>
      </c>
      <c r="L2593">
        <f>IF($P2593="","",INDEX(상세표[블록 18~22시],$P2593))</f>
        <v/>
      </c>
      <c r="M2593">
        <f>IF($P2593="","",INDEX(상세표[블록 22~06시],$P2593))</f>
        <v/>
      </c>
      <c r="N2593">
        <f>IF($P2593="","",INDEX(상세표[주말·휴일 포함],$P2593)&amp;"")</f>
        <v/>
      </c>
      <c r="O2593">
        <f>IF($P2593="","",INDEX(상세표[월 넘김 포함],$P2593)&amp;"")</f>
        <v/>
      </c>
      <c r="P2593" s="4">
        <f>IFERROR(MATCH(2588,상세표[연속순번],0),"")</f>
        <v/>
      </c>
    </row>
    <row r="2594">
      <c r="A2594">
        <f>IF($P2594="","",INDEX(상세표[사번],$P2594)&amp;"")</f>
        <v/>
      </c>
      <c r="B2594">
        <f>IF($P2594="","",INDEX(상세표[성명],$P2594)&amp;"")</f>
        <v/>
      </c>
      <c r="C2594">
        <f>IF($P2594="","",INDEX(상세표[부서],$P2594)&amp;"")</f>
        <v/>
      </c>
      <c r="D2594">
        <f>IF($P2594="","",INDEX(상세표[직위],$P2594)&amp;"")</f>
        <v/>
      </c>
      <c r="E2594">
        <f>IF($P2594="","",IF(ISNUMBER(INDEX(상세표[시작],$P2594)),TEXT(INDEX(상세표[시작],$P2594),"yyyy-mm-dd hh:mm"),INDEX(상세표[시작],$P2594)&amp;""))</f>
        <v/>
      </c>
      <c r="F2594">
        <f>IF($P2594="","",IF(ISNUMBER(INDEX(상세표[블록종료],$P2594)),TEXT(INDEX(상세표[블록종료],$P2594),"yyyy-mm-dd hh:mm"),INDEX(상세표[블록종료],$P2594)&amp;""))</f>
        <v/>
      </c>
      <c r="G2594">
        <f>IF($P2594="","",CHOOSE(WEEKDAY(INDEX(상세표[시작],$P2594)),"일","월","화","수","목","금","토"))</f>
        <v/>
      </c>
      <c r="H2594">
        <f>IF($P2594="","",INDEX(상세표[연속 시간],$P2594))</f>
        <v/>
      </c>
      <c r="I2594">
        <f>IF($P2594="","",INDEX(상세표[기록 수],$P2594))</f>
        <v/>
      </c>
      <c r="J2594">
        <f>IF($P2594="","",INDEX(상세표[블록 06~07시],$P2594))</f>
        <v/>
      </c>
      <c r="K2594">
        <f>IF($P2594="","",INDEX(상세표[블록 07~18시],$P2594))</f>
        <v/>
      </c>
      <c r="L2594">
        <f>IF($P2594="","",INDEX(상세표[블록 18~22시],$P2594))</f>
        <v/>
      </c>
      <c r="M2594">
        <f>IF($P2594="","",INDEX(상세표[블록 22~06시],$P2594))</f>
        <v/>
      </c>
      <c r="N2594">
        <f>IF($P2594="","",INDEX(상세표[주말·휴일 포함],$P2594)&amp;"")</f>
        <v/>
      </c>
      <c r="O2594">
        <f>IF($P2594="","",INDEX(상세표[월 넘김 포함],$P2594)&amp;"")</f>
        <v/>
      </c>
      <c r="P2594" s="4">
        <f>IFERROR(MATCH(2589,상세표[연속순번],0),"")</f>
        <v/>
      </c>
    </row>
    <row r="2595">
      <c r="A2595">
        <f>IF($P2595="","",INDEX(상세표[사번],$P2595)&amp;"")</f>
        <v/>
      </c>
      <c r="B2595">
        <f>IF($P2595="","",INDEX(상세표[성명],$P2595)&amp;"")</f>
        <v/>
      </c>
      <c r="C2595">
        <f>IF($P2595="","",INDEX(상세표[부서],$P2595)&amp;"")</f>
        <v/>
      </c>
      <c r="D2595">
        <f>IF($P2595="","",INDEX(상세표[직위],$P2595)&amp;"")</f>
        <v/>
      </c>
      <c r="E2595">
        <f>IF($P2595="","",IF(ISNUMBER(INDEX(상세표[시작],$P2595)),TEXT(INDEX(상세표[시작],$P2595),"yyyy-mm-dd hh:mm"),INDEX(상세표[시작],$P2595)&amp;""))</f>
        <v/>
      </c>
      <c r="F2595">
        <f>IF($P2595="","",IF(ISNUMBER(INDEX(상세표[블록종료],$P2595)),TEXT(INDEX(상세표[블록종료],$P2595),"yyyy-mm-dd hh:mm"),INDEX(상세표[블록종료],$P2595)&amp;""))</f>
        <v/>
      </c>
      <c r="G2595">
        <f>IF($P2595="","",CHOOSE(WEEKDAY(INDEX(상세표[시작],$P2595)),"일","월","화","수","목","금","토"))</f>
        <v/>
      </c>
      <c r="H2595">
        <f>IF($P2595="","",INDEX(상세표[연속 시간],$P2595))</f>
        <v/>
      </c>
      <c r="I2595">
        <f>IF($P2595="","",INDEX(상세표[기록 수],$P2595))</f>
        <v/>
      </c>
      <c r="J2595">
        <f>IF($P2595="","",INDEX(상세표[블록 06~07시],$P2595))</f>
        <v/>
      </c>
      <c r="K2595">
        <f>IF($P2595="","",INDEX(상세표[블록 07~18시],$P2595))</f>
        <v/>
      </c>
      <c r="L2595">
        <f>IF($P2595="","",INDEX(상세표[블록 18~22시],$P2595))</f>
        <v/>
      </c>
      <c r="M2595">
        <f>IF($P2595="","",INDEX(상세표[블록 22~06시],$P2595))</f>
        <v/>
      </c>
      <c r="N2595">
        <f>IF($P2595="","",INDEX(상세표[주말·휴일 포함],$P2595)&amp;"")</f>
        <v/>
      </c>
      <c r="O2595">
        <f>IF($P2595="","",INDEX(상세표[월 넘김 포함],$P2595)&amp;"")</f>
        <v/>
      </c>
      <c r="P2595" s="4">
        <f>IFERROR(MATCH(2590,상세표[연속순번],0),"")</f>
        <v/>
      </c>
    </row>
    <row r="2596">
      <c r="A2596">
        <f>IF($P2596="","",INDEX(상세표[사번],$P2596)&amp;"")</f>
        <v/>
      </c>
      <c r="B2596">
        <f>IF($P2596="","",INDEX(상세표[성명],$P2596)&amp;"")</f>
        <v/>
      </c>
      <c r="C2596">
        <f>IF($P2596="","",INDEX(상세표[부서],$P2596)&amp;"")</f>
        <v/>
      </c>
      <c r="D2596">
        <f>IF($P2596="","",INDEX(상세표[직위],$P2596)&amp;"")</f>
        <v/>
      </c>
      <c r="E2596">
        <f>IF($P2596="","",IF(ISNUMBER(INDEX(상세표[시작],$P2596)),TEXT(INDEX(상세표[시작],$P2596),"yyyy-mm-dd hh:mm"),INDEX(상세표[시작],$P2596)&amp;""))</f>
        <v/>
      </c>
      <c r="F2596">
        <f>IF($P2596="","",IF(ISNUMBER(INDEX(상세표[블록종료],$P2596)),TEXT(INDEX(상세표[블록종료],$P2596),"yyyy-mm-dd hh:mm"),INDEX(상세표[블록종료],$P2596)&amp;""))</f>
        <v/>
      </c>
      <c r="G2596">
        <f>IF($P2596="","",CHOOSE(WEEKDAY(INDEX(상세표[시작],$P2596)),"일","월","화","수","목","금","토"))</f>
        <v/>
      </c>
      <c r="H2596">
        <f>IF($P2596="","",INDEX(상세표[연속 시간],$P2596))</f>
        <v/>
      </c>
      <c r="I2596">
        <f>IF($P2596="","",INDEX(상세표[기록 수],$P2596))</f>
        <v/>
      </c>
      <c r="J2596">
        <f>IF($P2596="","",INDEX(상세표[블록 06~07시],$P2596))</f>
        <v/>
      </c>
      <c r="K2596">
        <f>IF($P2596="","",INDEX(상세표[블록 07~18시],$P2596))</f>
        <v/>
      </c>
      <c r="L2596">
        <f>IF($P2596="","",INDEX(상세표[블록 18~22시],$P2596))</f>
        <v/>
      </c>
      <c r="M2596">
        <f>IF($P2596="","",INDEX(상세표[블록 22~06시],$P2596))</f>
        <v/>
      </c>
      <c r="N2596">
        <f>IF($P2596="","",INDEX(상세표[주말·휴일 포함],$P2596)&amp;"")</f>
        <v/>
      </c>
      <c r="O2596">
        <f>IF($P2596="","",INDEX(상세표[월 넘김 포함],$P2596)&amp;"")</f>
        <v/>
      </c>
      <c r="P2596" s="4">
        <f>IFERROR(MATCH(2591,상세표[연속순번],0),"")</f>
        <v/>
      </c>
    </row>
    <row r="2597">
      <c r="A2597">
        <f>IF($P2597="","",INDEX(상세표[사번],$P2597)&amp;"")</f>
        <v/>
      </c>
      <c r="B2597">
        <f>IF($P2597="","",INDEX(상세표[성명],$P2597)&amp;"")</f>
        <v/>
      </c>
      <c r="C2597">
        <f>IF($P2597="","",INDEX(상세표[부서],$P2597)&amp;"")</f>
        <v/>
      </c>
      <c r="D2597">
        <f>IF($P2597="","",INDEX(상세표[직위],$P2597)&amp;"")</f>
        <v/>
      </c>
      <c r="E2597">
        <f>IF($P2597="","",IF(ISNUMBER(INDEX(상세표[시작],$P2597)),TEXT(INDEX(상세표[시작],$P2597),"yyyy-mm-dd hh:mm"),INDEX(상세표[시작],$P2597)&amp;""))</f>
        <v/>
      </c>
      <c r="F2597">
        <f>IF($P2597="","",IF(ISNUMBER(INDEX(상세표[블록종료],$P2597)),TEXT(INDEX(상세표[블록종료],$P2597),"yyyy-mm-dd hh:mm"),INDEX(상세표[블록종료],$P2597)&amp;""))</f>
        <v/>
      </c>
      <c r="G2597">
        <f>IF($P2597="","",CHOOSE(WEEKDAY(INDEX(상세표[시작],$P2597)),"일","월","화","수","목","금","토"))</f>
        <v/>
      </c>
      <c r="H2597">
        <f>IF($P2597="","",INDEX(상세표[연속 시간],$P2597))</f>
        <v/>
      </c>
      <c r="I2597">
        <f>IF($P2597="","",INDEX(상세표[기록 수],$P2597))</f>
        <v/>
      </c>
      <c r="J2597">
        <f>IF($P2597="","",INDEX(상세표[블록 06~07시],$P2597))</f>
        <v/>
      </c>
      <c r="K2597">
        <f>IF($P2597="","",INDEX(상세표[블록 07~18시],$P2597))</f>
        <v/>
      </c>
      <c r="L2597">
        <f>IF($P2597="","",INDEX(상세표[블록 18~22시],$P2597))</f>
        <v/>
      </c>
      <c r="M2597">
        <f>IF($P2597="","",INDEX(상세표[블록 22~06시],$P2597))</f>
        <v/>
      </c>
      <c r="N2597">
        <f>IF($P2597="","",INDEX(상세표[주말·휴일 포함],$P2597)&amp;"")</f>
        <v/>
      </c>
      <c r="O2597">
        <f>IF($P2597="","",INDEX(상세표[월 넘김 포함],$P2597)&amp;"")</f>
        <v/>
      </c>
      <c r="P2597" s="4">
        <f>IFERROR(MATCH(2592,상세표[연속순번],0),"")</f>
        <v/>
      </c>
    </row>
    <row r="2598">
      <c r="A2598">
        <f>IF($P2598="","",INDEX(상세표[사번],$P2598)&amp;"")</f>
        <v/>
      </c>
      <c r="B2598">
        <f>IF($P2598="","",INDEX(상세표[성명],$P2598)&amp;"")</f>
        <v/>
      </c>
      <c r="C2598">
        <f>IF($P2598="","",INDEX(상세표[부서],$P2598)&amp;"")</f>
        <v/>
      </c>
      <c r="D2598">
        <f>IF($P2598="","",INDEX(상세표[직위],$P2598)&amp;"")</f>
        <v/>
      </c>
      <c r="E2598">
        <f>IF($P2598="","",IF(ISNUMBER(INDEX(상세표[시작],$P2598)),TEXT(INDEX(상세표[시작],$P2598),"yyyy-mm-dd hh:mm"),INDEX(상세표[시작],$P2598)&amp;""))</f>
        <v/>
      </c>
      <c r="F2598">
        <f>IF($P2598="","",IF(ISNUMBER(INDEX(상세표[블록종료],$P2598)),TEXT(INDEX(상세표[블록종료],$P2598),"yyyy-mm-dd hh:mm"),INDEX(상세표[블록종료],$P2598)&amp;""))</f>
        <v/>
      </c>
      <c r="G2598">
        <f>IF($P2598="","",CHOOSE(WEEKDAY(INDEX(상세표[시작],$P2598)),"일","월","화","수","목","금","토"))</f>
        <v/>
      </c>
      <c r="H2598">
        <f>IF($P2598="","",INDEX(상세표[연속 시간],$P2598))</f>
        <v/>
      </c>
      <c r="I2598">
        <f>IF($P2598="","",INDEX(상세표[기록 수],$P2598))</f>
        <v/>
      </c>
      <c r="J2598">
        <f>IF($P2598="","",INDEX(상세표[블록 06~07시],$P2598))</f>
        <v/>
      </c>
      <c r="K2598">
        <f>IF($P2598="","",INDEX(상세표[블록 07~18시],$P2598))</f>
        <v/>
      </c>
      <c r="L2598">
        <f>IF($P2598="","",INDEX(상세표[블록 18~22시],$P2598))</f>
        <v/>
      </c>
      <c r="M2598">
        <f>IF($P2598="","",INDEX(상세표[블록 22~06시],$P2598))</f>
        <v/>
      </c>
      <c r="N2598">
        <f>IF($P2598="","",INDEX(상세표[주말·휴일 포함],$P2598)&amp;"")</f>
        <v/>
      </c>
      <c r="O2598">
        <f>IF($P2598="","",INDEX(상세표[월 넘김 포함],$P2598)&amp;"")</f>
        <v/>
      </c>
      <c r="P2598" s="4">
        <f>IFERROR(MATCH(2593,상세표[연속순번],0),"")</f>
        <v/>
      </c>
    </row>
    <row r="2599">
      <c r="A2599">
        <f>IF($P2599="","",INDEX(상세표[사번],$P2599)&amp;"")</f>
        <v/>
      </c>
      <c r="B2599">
        <f>IF($P2599="","",INDEX(상세표[성명],$P2599)&amp;"")</f>
        <v/>
      </c>
      <c r="C2599">
        <f>IF($P2599="","",INDEX(상세표[부서],$P2599)&amp;"")</f>
        <v/>
      </c>
      <c r="D2599">
        <f>IF($P2599="","",INDEX(상세표[직위],$P2599)&amp;"")</f>
        <v/>
      </c>
      <c r="E2599">
        <f>IF($P2599="","",IF(ISNUMBER(INDEX(상세표[시작],$P2599)),TEXT(INDEX(상세표[시작],$P2599),"yyyy-mm-dd hh:mm"),INDEX(상세표[시작],$P2599)&amp;""))</f>
        <v/>
      </c>
      <c r="F2599">
        <f>IF($P2599="","",IF(ISNUMBER(INDEX(상세표[블록종료],$P2599)),TEXT(INDEX(상세표[블록종료],$P2599),"yyyy-mm-dd hh:mm"),INDEX(상세표[블록종료],$P2599)&amp;""))</f>
        <v/>
      </c>
      <c r="G2599">
        <f>IF($P2599="","",CHOOSE(WEEKDAY(INDEX(상세표[시작],$P2599)),"일","월","화","수","목","금","토"))</f>
        <v/>
      </c>
      <c r="H2599">
        <f>IF($P2599="","",INDEX(상세표[연속 시간],$P2599))</f>
        <v/>
      </c>
      <c r="I2599">
        <f>IF($P2599="","",INDEX(상세표[기록 수],$P2599))</f>
        <v/>
      </c>
      <c r="J2599">
        <f>IF($P2599="","",INDEX(상세표[블록 06~07시],$P2599))</f>
        <v/>
      </c>
      <c r="K2599">
        <f>IF($P2599="","",INDEX(상세표[블록 07~18시],$P2599))</f>
        <v/>
      </c>
      <c r="L2599">
        <f>IF($P2599="","",INDEX(상세표[블록 18~22시],$P2599))</f>
        <v/>
      </c>
      <c r="M2599">
        <f>IF($P2599="","",INDEX(상세표[블록 22~06시],$P2599))</f>
        <v/>
      </c>
      <c r="N2599">
        <f>IF($P2599="","",INDEX(상세표[주말·휴일 포함],$P2599)&amp;"")</f>
        <v/>
      </c>
      <c r="O2599">
        <f>IF($P2599="","",INDEX(상세표[월 넘김 포함],$P2599)&amp;"")</f>
        <v/>
      </c>
      <c r="P2599" s="4">
        <f>IFERROR(MATCH(2594,상세표[연속순번],0),"")</f>
        <v/>
      </c>
    </row>
    <row r="2600">
      <c r="A2600">
        <f>IF($P2600="","",INDEX(상세표[사번],$P2600)&amp;"")</f>
        <v/>
      </c>
      <c r="B2600">
        <f>IF($P2600="","",INDEX(상세표[성명],$P2600)&amp;"")</f>
        <v/>
      </c>
      <c r="C2600">
        <f>IF($P2600="","",INDEX(상세표[부서],$P2600)&amp;"")</f>
        <v/>
      </c>
      <c r="D2600">
        <f>IF($P2600="","",INDEX(상세표[직위],$P2600)&amp;"")</f>
        <v/>
      </c>
      <c r="E2600">
        <f>IF($P2600="","",IF(ISNUMBER(INDEX(상세표[시작],$P2600)),TEXT(INDEX(상세표[시작],$P2600),"yyyy-mm-dd hh:mm"),INDEX(상세표[시작],$P2600)&amp;""))</f>
        <v/>
      </c>
      <c r="F2600">
        <f>IF($P2600="","",IF(ISNUMBER(INDEX(상세표[블록종료],$P2600)),TEXT(INDEX(상세표[블록종료],$P2600),"yyyy-mm-dd hh:mm"),INDEX(상세표[블록종료],$P2600)&amp;""))</f>
        <v/>
      </c>
      <c r="G2600">
        <f>IF($P2600="","",CHOOSE(WEEKDAY(INDEX(상세표[시작],$P2600)),"일","월","화","수","목","금","토"))</f>
        <v/>
      </c>
      <c r="H2600">
        <f>IF($P2600="","",INDEX(상세표[연속 시간],$P2600))</f>
        <v/>
      </c>
      <c r="I2600">
        <f>IF($P2600="","",INDEX(상세표[기록 수],$P2600))</f>
        <v/>
      </c>
      <c r="J2600">
        <f>IF($P2600="","",INDEX(상세표[블록 06~07시],$P2600))</f>
        <v/>
      </c>
      <c r="K2600">
        <f>IF($P2600="","",INDEX(상세표[블록 07~18시],$P2600))</f>
        <v/>
      </c>
      <c r="L2600">
        <f>IF($P2600="","",INDEX(상세표[블록 18~22시],$P2600))</f>
        <v/>
      </c>
      <c r="M2600">
        <f>IF($P2600="","",INDEX(상세표[블록 22~06시],$P2600))</f>
        <v/>
      </c>
      <c r="N2600">
        <f>IF($P2600="","",INDEX(상세표[주말·휴일 포함],$P2600)&amp;"")</f>
        <v/>
      </c>
      <c r="O2600">
        <f>IF($P2600="","",INDEX(상세표[월 넘김 포함],$P2600)&amp;"")</f>
        <v/>
      </c>
      <c r="P2600" s="4">
        <f>IFERROR(MATCH(2595,상세표[연속순번],0),"")</f>
        <v/>
      </c>
    </row>
    <row r="2601">
      <c r="A2601">
        <f>IF($P2601="","",INDEX(상세표[사번],$P2601)&amp;"")</f>
        <v/>
      </c>
      <c r="B2601">
        <f>IF($P2601="","",INDEX(상세표[성명],$P2601)&amp;"")</f>
        <v/>
      </c>
      <c r="C2601">
        <f>IF($P2601="","",INDEX(상세표[부서],$P2601)&amp;"")</f>
        <v/>
      </c>
      <c r="D2601">
        <f>IF($P2601="","",INDEX(상세표[직위],$P2601)&amp;"")</f>
        <v/>
      </c>
      <c r="E2601">
        <f>IF($P2601="","",IF(ISNUMBER(INDEX(상세표[시작],$P2601)),TEXT(INDEX(상세표[시작],$P2601),"yyyy-mm-dd hh:mm"),INDEX(상세표[시작],$P2601)&amp;""))</f>
        <v/>
      </c>
      <c r="F2601">
        <f>IF($P2601="","",IF(ISNUMBER(INDEX(상세표[블록종료],$P2601)),TEXT(INDEX(상세표[블록종료],$P2601),"yyyy-mm-dd hh:mm"),INDEX(상세표[블록종료],$P2601)&amp;""))</f>
        <v/>
      </c>
      <c r="G2601">
        <f>IF($P2601="","",CHOOSE(WEEKDAY(INDEX(상세표[시작],$P2601)),"일","월","화","수","목","금","토"))</f>
        <v/>
      </c>
      <c r="H2601">
        <f>IF($P2601="","",INDEX(상세표[연속 시간],$P2601))</f>
        <v/>
      </c>
      <c r="I2601">
        <f>IF($P2601="","",INDEX(상세표[기록 수],$P2601))</f>
        <v/>
      </c>
      <c r="J2601">
        <f>IF($P2601="","",INDEX(상세표[블록 06~07시],$P2601))</f>
        <v/>
      </c>
      <c r="K2601">
        <f>IF($P2601="","",INDEX(상세표[블록 07~18시],$P2601))</f>
        <v/>
      </c>
      <c r="L2601">
        <f>IF($P2601="","",INDEX(상세표[블록 18~22시],$P2601))</f>
        <v/>
      </c>
      <c r="M2601">
        <f>IF($P2601="","",INDEX(상세표[블록 22~06시],$P2601))</f>
        <v/>
      </c>
      <c r="N2601">
        <f>IF($P2601="","",INDEX(상세표[주말·휴일 포함],$P2601)&amp;"")</f>
        <v/>
      </c>
      <c r="O2601">
        <f>IF($P2601="","",INDEX(상세표[월 넘김 포함],$P2601)&amp;"")</f>
        <v/>
      </c>
      <c r="P2601" s="4">
        <f>IFERROR(MATCH(2596,상세표[연속순번],0),"")</f>
        <v/>
      </c>
    </row>
    <row r="2602">
      <c r="A2602">
        <f>IF($P2602="","",INDEX(상세표[사번],$P2602)&amp;"")</f>
        <v/>
      </c>
      <c r="B2602">
        <f>IF($P2602="","",INDEX(상세표[성명],$P2602)&amp;"")</f>
        <v/>
      </c>
      <c r="C2602">
        <f>IF($P2602="","",INDEX(상세표[부서],$P2602)&amp;"")</f>
        <v/>
      </c>
      <c r="D2602">
        <f>IF($P2602="","",INDEX(상세표[직위],$P2602)&amp;"")</f>
        <v/>
      </c>
      <c r="E2602">
        <f>IF($P2602="","",IF(ISNUMBER(INDEX(상세표[시작],$P2602)),TEXT(INDEX(상세표[시작],$P2602),"yyyy-mm-dd hh:mm"),INDEX(상세표[시작],$P2602)&amp;""))</f>
        <v/>
      </c>
      <c r="F2602">
        <f>IF($P2602="","",IF(ISNUMBER(INDEX(상세표[블록종료],$P2602)),TEXT(INDEX(상세표[블록종료],$P2602),"yyyy-mm-dd hh:mm"),INDEX(상세표[블록종료],$P2602)&amp;""))</f>
        <v/>
      </c>
      <c r="G2602">
        <f>IF($P2602="","",CHOOSE(WEEKDAY(INDEX(상세표[시작],$P2602)),"일","월","화","수","목","금","토"))</f>
        <v/>
      </c>
      <c r="H2602">
        <f>IF($P2602="","",INDEX(상세표[연속 시간],$P2602))</f>
        <v/>
      </c>
      <c r="I2602">
        <f>IF($P2602="","",INDEX(상세표[기록 수],$P2602))</f>
        <v/>
      </c>
      <c r="J2602">
        <f>IF($P2602="","",INDEX(상세표[블록 06~07시],$P2602))</f>
        <v/>
      </c>
      <c r="K2602">
        <f>IF($P2602="","",INDEX(상세표[블록 07~18시],$P2602))</f>
        <v/>
      </c>
      <c r="L2602">
        <f>IF($P2602="","",INDEX(상세표[블록 18~22시],$P2602))</f>
        <v/>
      </c>
      <c r="M2602">
        <f>IF($P2602="","",INDEX(상세표[블록 22~06시],$P2602))</f>
        <v/>
      </c>
      <c r="N2602">
        <f>IF($P2602="","",INDEX(상세표[주말·휴일 포함],$P2602)&amp;"")</f>
        <v/>
      </c>
      <c r="O2602">
        <f>IF($P2602="","",INDEX(상세표[월 넘김 포함],$P2602)&amp;"")</f>
        <v/>
      </c>
      <c r="P2602" s="4">
        <f>IFERROR(MATCH(2597,상세표[연속순번],0),"")</f>
        <v/>
      </c>
    </row>
    <row r="2603">
      <c r="A2603">
        <f>IF($P2603="","",INDEX(상세표[사번],$P2603)&amp;"")</f>
        <v/>
      </c>
      <c r="B2603">
        <f>IF($P2603="","",INDEX(상세표[성명],$P2603)&amp;"")</f>
        <v/>
      </c>
      <c r="C2603">
        <f>IF($P2603="","",INDEX(상세표[부서],$P2603)&amp;"")</f>
        <v/>
      </c>
      <c r="D2603">
        <f>IF($P2603="","",INDEX(상세표[직위],$P2603)&amp;"")</f>
        <v/>
      </c>
      <c r="E2603">
        <f>IF($P2603="","",IF(ISNUMBER(INDEX(상세표[시작],$P2603)),TEXT(INDEX(상세표[시작],$P2603),"yyyy-mm-dd hh:mm"),INDEX(상세표[시작],$P2603)&amp;""))</f>
        <v/>
      </c>
      <c r="F2603">
        <f>IF($P2603="","",IF(ISNUMBER(INDEX(상세표[블록종료],$P2603)),TEXT(INDEX(상세표[블록종료],$P2603),"yyyy-mm-dd hh:mm"),INDEX(상세표[블록종료],$P2603)&amp;""))</f>
        <v/>
      </c>
      <c r="G2603">
        <f>IF($P2603="","",CHOOSE(WEEKDAY(INDEX(상세표[시작],$P2603)),"일","월","화","수","목","금","토"))</f>
        <v/>
      </c>
      <c r="H2603">
        <f>IF($P2603="","",INDEX(상세표[연속 시간],$P2603))</f>
        <v/>
      </c>
      <c r="I2603">
        <f>IF($P2603="","",INDEX(상세표[기록 수],$P2603))</f>
        <v/>
      </c>
      <c r="J2603">
        <f>IF($P2603="","",INDEX(상세표[블록 06~07시],$P2603))</f>
        <v/>
      </c>
      <c r="K2603">
        <f>IF($P2603="","",INDEX(상세표[블록 07~18시],$P2603))</f>
        <v/>
      </c>
      <c r="L2603">
        <f>IF($P2603="","",INDEX(상세표[블록 18~22시],$P2603))</f>
        <v/>
      </c>
      <c r="M2603">
        <f>IF($P2603="","",INDEX(상세표[블록 22~06시],$P2603))</f>
        <v/>
      </c>
      <c r="N2603">
        <f>IF($P2603="","",INDEX(상세표[주말·휴일 포함],$P2603)&amp;"")</f>
        <v/>
      </c>
      <c r="O2603">
        <f>IF($P2603="","",INDEX(상세표[월 넘김 포함],$P2603)&amp;"")</f>
        <v/>
      </c>
      <c r="P2603" s="4">
        <f>IFERROR(MATCH(2598,상세표[연속순번],0),"")</f>
        <v/>
      </c>
    </row>
    <row r="2604">
      <c r="A2604">
        <f>IF($P2604="","",INDEX(상세표[사번],$P2604)&amp;"")</f>
        <v/>
      </c>
      <c r="B2604">
        <f>IF($P2604="","",INDEX(상세표[성명],$P2604)&amp;"")</f>
        <v/>
      </c>
      <c r="C2604">
        <f>IF($P2604="","",INDEX(상세표[부서],$P2604)&amp;"")</f>
        <v/>
      </c>
      <c r="D2604">
        <f>IF($P2604="","",INDEX(상세표[직위],$P2604)&amp;"")</f>
        <v/>
      </c>
      <c r="E2604">
        <f>IF($P2604="","",IF(ISNUMBER(INDEX(상세표[시작],$P2604)),TEXT(INDEX(상세표[시작],$P2604),"yyyy-mm-dd hh:mm"),INDEX(상세표[시작],$P2604)&amp;""))</f>
        <v/>
      </c>
      <c r="F2604">
        <f>IF($P2604="","",IF(ISNUMBER(INDEX(상세표[블록종료],$P2604)),TEXT(INDEX(상세표[블록종료],$P2604),"yyyy-mm-dd hh:mm"),INDEX(상세표[블록종료],$P2604)&amp;""))</f>
        <v/>
      </c>
      <c r="G2604">
        <f>IF($P2604="","",CHOOSE(WEEKDAY(INDEX(상세표[시작],$P2604)),"일","월","화","수","목","금","토"))</f>
        <v/>
      </c>
      <c r="H2604">
        <f>IF($P2604="","",INDEX(상세표[연속 시간],$P2604))</f>
        <v/>
      </c>
      <c r="I2604">
        <f>IF($P2604="","",INDEX(상세표[기록 수],$P2604))</f>
        <v/>
      </c>
      <c r="J2604">
        <f>IF($P2604="","",INDEX(상세표[블록 06~07시],$P2604))</f>
        <v/>
      </c>
      <c r="K2604">
        <f>IF($P2604="","",INDEX(상세표[블록 07~18시],$P2604))</f>
        <v/>
      </c>
      <c r="L2604">
        <f>IF($P2604="","",INDEX(상세표[블록 18~22시],$P2604))</f>
        <v/>
      </c>
      <c r="M2604">
        <f>IF($P2604="","",INDEX(상세표[블록 22~06시],$P2604))</f>
        <v/>
      </c>
      <c r="N2604">
        <f>IF($P2604="","",INDEX(상세표[주말·휴일 포함],$P2604)&amp;"")</f>
        <v/>
      </c>
      <c r="O2604">
        <f>IF($P2604="","",INDEX(상세표[월 넘김 포함],$P2604)&amp;"")</f>
        <v/>
      </c>
      <c r="P2604" s="4">
        <f>IFERROR(MATCH(2599,상세표[연속순번],0),"")</f>
        <v/>
      </c>
    </row>
    <row r="2605">
      <c r="A2605">
        <f>IF($P2605="","",INDEX(상세표[사번],$P2605)&amp;"")</f>
        <v/>
      </c>
      <c r="B2605">
        <f>IF($P2605="","",INDEX(상세표[성명],$P2605)&amp;"")</f>
        <v/>
      </c>
      <c r="C2605">
        <f>IF($P2605="","",INDEX(상세표[부서],$P2605)&amp;"")</f>
        <v/>
      </c>
      <c r="D2605">
        <f>IF($P2605="","",INDEX(상세표[직위],$P2605)&amp;"")</f>
        <v/>
      </c>
      <c r="E2605">
        <f>IF($P2605="","",IF(ISNUMBER(INDEX(상세표[시작],$P2605)),TEXT(INDEX(상세표[시작],$P2605),"yyyy-mm-dd hh:mm"),INDEX(상세표[시작],$P2605)&amp;""))</f>
        <v/>
      </c>
      <c r="F2605">
        <f>IF($P2605="","",IF(ISNUMBER(INDEX(상세표[블록종료],$P2605)),TEXT(INDEX(상세표[블록종료],$P2605),"yyyy-mm-dd hh:mm"),INDEX(상세표[블록종료],$P2605)&amp;""))</f>
        <v/>
      </c>
      <c r="G2605">
        <f>IF($P2605="","",CHOOSE(WEEKDAY(INDEX(상세표[시작],$P2605)),"일","월","화","수","목","금","토"))</f>
        <v/>
      </c>
      <c r="H2605">
        <f>IF($P2605="","",INDEX(상세표[연속 시간],$P2605))</f>
        <v/>
      </c>
      <c r="I2605">
        <f>IF($P2605="","",INDEX(상세표[기록 수],$P2605))</f>
        <v/>
      </c>
      <c r="J2605">
        <f>IF($P2605="","",INDEX(상세표[블록 06~07시],$P2605))</f>
        <v/>
      </c>
      <c r="K2605">
        <f>IF($P2605="","",INDEX(상세표[블록 07~18시],$P2605))</f>
        <v/>
      </c>
      <c r="L2605">
        <f>IF($P2605="","",INDEX(상세표[블록 18~22시],$P2605))</f>
        <v/>
      </c>
      <c r="M2605">
        <f>IF($P2605="","",INDEX(상세표[블록 22~06시],$P2605))</f>
        <v/>
      </c>
      <c r="N2605">
        <f>IF($P2605="","",INDEX(상세표[주말·휴일 포함],$P2605)&amp;"")</f>
        <v/>
      </c>
      <c r="O2605">
        <f>IF($P2605="","",INDEX(상세표[월 넘김 포함],$P2605)&amp;"")</f>
        <v/>
      </c>
      <c r="P2605" s="4">
        <f>IFERROR(MATCH(2600,상세표[연속순번],0),"")</f>
        <v/>
      </c>
    </row>
    <row r="2606">
      <c r="A2606">
        <f>IF($P2606="","",INDEX(상세표[사번],$P2606)&amp;"")</f>
        <v/>
      </c>
      <c r="B2606">
        <f>IF($P2606="","",INDEX(상세표[성명],$P2606)&amp;"")</f>
        <v/>
      </c>
      <c r="C2606">
        <f>IF($P2606="","",INDEX(상세표[부서],$P2606)&amp;"")</f>
        <v/>
      </c>
      <c r="D2606">
        <f>IF($P2606="","",INDEX(상세표[직위],$P2606)&amp;"")</f>
        <v/>
      </c>
      <c r="E2606">
        <f>IF($P2606="","",IF(ISNUMBER(INDEX(상세표[시작],$P2606)),TEXT(INDEX(상세표[시작],$P2606),"yyyy-mm-dd hh:mm"),INDEX(상세표[시작],$P2606)&amp;""))</f>
        <v/>
      </c>
      <c r="F2606">
        <f>IF($P2606="","",IF(ISNUMBER(INDEX(상세표[블록종료],$P2606)),TEXT(INDEX(상세표[블록종료],$P2606),"yyyy-mm-dd hh:mm"),INDEX(상세표[블록종료],$P2606)&amp;""))</f>
        <v/>
      </c>
      <c r="G2606">
        <f>IF($P2606="","",CHOOSE(WEEKDAY(INDEX(상세표[시작],$P2606)),"일","월","화","수","목","금","토"))</f>
        <v/>
      </c>
      <c r="H2606">
        <f>IF($P2606="","",INDEX(상세표[연속 시간],$P2606))</f>
        <v/>
      </c>
      <c r="I2606">
        <f>IF($P2606="","",INDEX(상세표[기록 수],$P2606))</f>
        <v/>
      </c>
      <c r="J2606">
        <f>IF($P2606="","",INDEX(상세표[블록 06~07시],$P2606))</f>
        <v/>
      </c>
      <c r="K2606">
        <f>IF($P2606="","",INDEX(상세표[블록 07~18시],$P2606))</f>
        <v/>
      </c>
      <c r="L2606">
        <f>IF($P2606="","",INDEX(상세표[블록 18~22시],$P2606))</f>
        <v/>
      </c>
      <c r="M2606">
        <f>IF($P2606="","",INDEX(상세표[블록 22~06시],$P2606))</f>
        <v/>
      </c>
      <c r="N2606">
        <f>IF($P2606="","",INDEX(상세표[주말·휴일 포함],$P2606)&amp;"")</f>
        <v/>
      </c>
      <c r="O2606">
        <f>IF($P2606="","",INDEX(상세표[월 넘김 포함],$P2606)&amp;"")</f>
        <v/>
      </c>
      <c r="P2606" s="4">
        <f>IFERROR(MATCH(2601,상세표[연속순번],0),"")</f>
        <v/>
      </c>
    </row>
    <row r="2607">
      <c r="A2607">
        <f>IF($P2607="","",INDEX(상세표[사번],$P2607)&amp;"")</f>
        <v/>
      </c>
      <c r="B2607">
        <f>IF($P2607="","",INDEX(상세표[성명],$P2607)&amp;"")</f>
        <v/>
      </c>
      <c r="C2607">
        <f>IF($P2607="","",INDEX(상세표[부서],$P2607)&amp;"")</f>
        <v/>
      </c>
      <c r="D2607">
        <f>IF($P2607="","",INDEX(상세표[직위],$P2607)&amp;"")</f>
        <v/>
      </c>
      <c r="E2607">
        <f>IF($P2607="","",IF(ISNUMBER(INDEX(상세표[시작],$P2607)),TEXT(INDEX(상세표[시작],$P2607),"yyyy-mm-dd hh:mm"),INDEX(상세표[시작],$P2607)&amp;""))</f>
        <v/>
      </c>
      <c r="F2607">
        <f>IF($P2607="","",IF(ISNUMBER(INDEX(상세표[블록종료],$P2607)),TEXT(INDEX(상세표[블록종료],$P2607),"yyyy-mm-dd hh:mm"),INDEX(상세표[블록종료],$P2607)&amp;""))</f>
        <v/>
      </c>
      <c r="G2607">
        <f>IF($P2607="","",CHOOSE(WEEKDAY(INDEX(상세표[시작],$P2607)),"일","월","화","수","목","금","토"))</f>
        <v/>
      </c>
      <c r="H2607">
        <f>IF($P2607="","",INDEX(상세표[연속 시간],$P2607))</f>
        <v/>
      </c>
      <c r="I2607">
        <f>IF($P2607="","",INDEX(상세표[기록 수],$P2607))</f>
        <v/>
      </c>
      <c r="J2607">
        <f>IF($P2607="","",INDEX(상세표[블록 06~07시],$P2607))</f>
        <v/>
      </c>
      <c r="K2607">
        <f>IF($P2607="","",INDEX(상세표[블록 07~18시],$P2607))</f>
        <v/>
      </c>
      <c r="L2607">
        <f>IF($P2607="","",INDEX(상세표[블록 18~22시],$P2607))</f>
        <v/>
      </c>
      <c r="M2607">
        <f>IF($P2607="","",INDEX(상세표[블록 22~06시],$P2607))</f>
        <v/>
      </c>
      <c r="N2607">
        <f>IF($P2607="","",INDEX(상세표[주말·휴일 포함],$P2607)&amp;"")</f>
        <v/>
      </c>
      <c r="O2607">
        <f>IF($P2607="","",INDEX(상세표[월 넘김 포함],$P2607)&amp;"")</f>
        <v/>
      </c>
      <c r="P2607" s="4">
        <f>IFERROR(MATCH(2602,상세표[연속순번],0),"")</f>
        <v/>
      </c>
    </row>
    <row r="2608">
      <c r="A2608">
        <f>IF($P2608="","",INDEX(상세표[사번],$P2608)&amp;"")</f>
        <v/>
      </c>
      <c r="B2608">
        <f>IF($P2608="","",INDEX(상세표[성명],$P2608)&amp;"")</f>
        <v/>
      </c>
      <c r="C2608">
        <f>IF($P2608="","",INDEX(상세표[부서],$P2608)&amp;"")</f>
        <v/>
      </c>
      <c r="D2608">
        <f>IF($P2608="","",INDEX(상세표[직위],$P2608)&amp;"")</f>
        <v/>
      </c>
      <c r="E2608">
        <f>IF($P2608="","",IF(ISNUMBER(INDEX(상세표[시작],$P2608)),TEXT(INDEX(상세표[시작],$P2608),"yyyy-mm-dd hh:mm"),INDEX(상세표[시작],$P2608)&amp;""))</f>
        <v/>
      </c>
      <c r="F2608">
        <f>IF($P2608="","",IF(ISNUMBER(INDEX(상세표[블록종료],$P2608)),TEXT(INDEX(상세표[블록종료],$P2608),"yyyy-mm-dd hh:mm"),INDEX(상세표[블록종료],$P2608)&amp;""))</f>
        <v/>
      </c>
      <c r="G2608">
        <f>IF($P2608="","",CHOOSE(WEEKDAY(INDEX(상세표[시작],$P2608)),"일","월","화","수","목","금","토"))</f>
        <v/>
      </c>
      <c r="H2608">
        <f>IF($P2608="","",INDEX(상세표[연속 시간],$P2608))</f>
        <v/>
      </c>
      <c r="I2608">
        <f>IF($P2608="","",INDEX(상세표[기록 수],$P2608))</f>
        <v/>
      </c>
      <c r="J2608">
        <f>IF($P2608="","",INDEX(상세표[블록 06~07시],$P2608))</f>
        <v/>
      </c>
      <c r="K2608">
        <f>IF($P2608="","",INDEX(상세표[블록 07~18시],$P2608))</f>
        <v/>
      </c>
      <c r="L2608">
        <f>IF($P2608="","",INDEX(상세표[블록 18~22시],$P2608))</f>
        <v/>
      </c>
      <c r="M2608">
        <f>IF($P2608="","",INDEX(상세표[블록 22~06시],$P2608))</f>
        <v/>
      </c>
      <c r="N2608">
        <f>IF($P2608="","",INDEX(상세표[주말·휴일 포함],$P2608)&amp;"")</f>
        <v/>
      </c>
      <c r="O2608">
        <f>IF($P2608="","",INDEX(상세표[월 넘김 포함],$P2608)&amp;"")</f>
        <v/>
      </c>
      <c r="P2608" s="4">
        <f>IFERROR(MATCH(2603,상세표[연속순번],0),"")</f>
        <v/>
      </c>
    </row>
    <row r="2609">
      <c r="A2609">
        <f>IF($P2609="","",INDEX(상세표[사번],$P2609)&amp;"")</f>
        <v/>
      </c>
      <c r="B2609">
        <f>IF($P2609="","",INDEX(상세표[성명],$P2609)&amp;"")</f>
        <v/>
      </c>
      <c r="C2609">
        <f>IF($P2609="","",INDEX(상세표[부서],$P2609)&amp;"")</f>
        <v/>
      </c>
      <c r="D2609">
        <f>IF($P2609="","",INDEX(상세표[직위],$P2609)&amp;"")</f>
        <v/>
      </c>
      <c r="E2609">
        <f>IF($P2609="","",IF(ISNUMBER(INDEX(상세표[시작],$P2609)),TEXT(INDEX(상세표[시작],$P2609),"yyyy-mm-dd hh:mm"),INDEX(상세표[시작],$P2609)&amp;""))</f>
        <v/>
      </c>
      <c r="F2609">
        <f>IF($P2609="","",IF(ISNUMBER(INDEX(상세표[블록종료],$P2609)),TEXT(INDEX(상세표[블록종료],$P2609),"yyyy-mm-dd hh:mm"),INDEX(상세표[블록종료],$P2609)&amp;""))</f>
        <v/>
      </c>
      <c r="G2609">
        <f>IF($P2609="","",CHOOSE(WEEKDAY(INDEX(상세표[시작],$P2609)),"일","월","화","수","목","금","토"))</f>
        <v/>
      </c>
      <c r="H2609">
        <f>IF($P2609="","",INDEX(상세표[연속 시간],$P2609))</f>
        <v/>
      </c>
      <c r="I2609">
        <f>IF($P2609="","",INDEX(상세표[기록 수],$P2609))</f>
        <v/>
      </c>
      <c r="J2609">
        <f>IF($P2609="","",INDEX(상세표[블록 06~07시],$P2609))</f>
        <v/>
      </c>
      <c r="K2609">
        <f>IF($P2609="","",INDEX(상세표[블록 07~18시],$P2609))</f>
        <v/>
      </c>
      <c r="L2609">
        <f>IF($P2609="","",INDEX(상세표[블록 18~22시],$P2609))</f>
        <v/>
      </c>
      <c r="M2609">
        <f>IF($P2609="","",INDEX(상세표[블록 22~06시],$P2609))</f>
        <v/>
      </c>
      <c r="N2609">
        <f>IF($P2609="","",INDEX(상세표[주말·휴일 포함],$P2609)&amp;"")</f>
        <v/>
      </c>
      <c r="O2609">
        <f>IF($P2609="","",INDEX(상세표[월 넘김 포함],$P2609)&amp;"")</f>
        <v/>
      </c>
      <c r="P2609" s="4">
        <f>IFERROR(MATCH(2604,상세표[연속순번],0),"")</f>
        <v/>
      </c>
    </row>
    <row r="2610">
      <c r="A2610">
        <f>IF($P2610="","",INDEX(상세표[사번],$P2610)&amp;"")</f>
        <v/>
      </c>
      <c r="B2610">
        <f>IF($P2610="","",INDEX(상세표[성명],$P2610)&amp;"")</f>
        <v/>
      </c>
      <c r="C2610">
        <f>IF($P2610="","",INDEX(상세표[부서],$P2610)&amp;"")</f>
        <v/>
      </c>
      <c r="D2610">
        <f>IF($P2610="","",INDEX(상세표[직위],$P2610)&amp;"")</f>
        <v/>
      </c>
      <c r="E2610">
        <f>IF($P2610="","",IF(ISNUMBER(INDEX(상세표[시작],$P2610)),TEXT(INDEX(상세표[시작],$P2610),"yyyy-mm-dd hh:mm"),INDEX(상세표[시작],$P2610)&amp;""))</f>
        <v/>
      </c>
      <c r="F2610">
        <f>IF($P2610="","",IF(ISNUMBER(INDEX(상세표[블록종료],$P2610)),TEXT(INDEX(상세표[블록종료],$P2610),"yyyy-mm-dd hh:mm"),INDEX(상세표[블록종료],$P2610)&amp;""))</f>
        <v/>
      </c>
      <c r="G2610">
        <f>IF($P2610="","",CHOOSE(WEEKDAY(INDEX(상세표[시작],$P2610)),"일","월","화","수","목","금","토"))</f>
        <v/>
      </c>
      <c r="H2610">
        <f>IF($P2610="","",INDEX(상세표[연속 시간],$P2610))</f>
        <v/>
      </c>
      <c r="I2610">
        <f>IF($P2610="","",INDEX(상세표[기록 수],$P2610))</f>
        <v/>
      </c>
      <c r="J2610">
        <f>IF($P2610="","",INDEX(상세표[블록 06~07시],$P2610))</f>
        <v/>
      </c>
      <c r="K2610">
        <f>IF($P2610="","",INDEX(상세표[블록 07~18시],$P2610))</f>
        <v/>
      </c>
      <c r="L2610">
        <f>IF($P2610="","",INDEX(상세표[블록 18~22시],$P2610))</f>
        <v/>
      </c>
      <c r="M2610">
        <f>IF($P2610="","",INDEX(상세표[블록 22~06시],$P2610))</f>
        <v/>
      </c>
      <c r="N2610">
        <f>IF($P2610="","",INDEX(상세표[주말·휴일 포함],$P2610)&amp;"")</f>
        <v/>
      </c>
      <c r="O2610">
        <f>IF($P2610="","",INDEX(상세표[월 넘김 포함],$P2610)&amp;"")</f>
        <v/>
      </c>
      <c r="P2610" s="4">
        <f>IFERROR(MATCH(2605,상세표[연속순번],0),"")</f>
        <v/>
      </c>
    </row>
    <row r="2611">
      <c r="A2611">
        <f>IF($P2611="","",INDEX(상세표[사번],$P2611)&amp;"")</f>
        <v/>
      </c>
      <c r="B2611">
        <f>IF($P2611="","",INDEX(상세표[성명],$P2611)&amp;"")</f>
        <v/>
      </c>
      <c r="C2611">
        <f>IF($P2611="","",INDEX(상세표[부서],$P2611)&amp;"")</f>
        <v/>
      </c>
      <c r="D2611">
        <f>IF($P2611="","",INDEX(상세표[직위],$P2611)&amp;"")</f>
        <v/>
      </c>
      <c r="E2611">
        <f>IF($P2611="","",IF(ISNUMBER(INDEX(상세표[시작],$P2611)),TEXT(INDEX(상세표[시작],$P2611),"yyyy-mm-dd hh:mm"),INDEX(상세표[시작],$P2611)&amp;""))</f>
        <v/>
      </c>
      <c r="F2611">
        <f>IF($P2611="","",IF(ISNUMBER(INDEX(상세표[블록종료],$P2611)),TEXT(INDEX(상세표[블록종료],$P2611),"yyyy-mm-dd hh:mm"),INDEX(상세표[블록종료],$P2611)&amp;""))</f>
        <v/>
      </c>
      <c r="G2611">
        <f>IF($P2611="","",CHOOSE(WEEKDAY(INDEX(상세표[시작],$P2611)),"일","월","화","수","목","금","토"))</f>
        <v/>
      </c>
      <c r="H2611">
        <f>IF($P2611="","",INDEX(상세표[연속 시간],$P2611))</f>
        <v/>
      </c>
      <c r="I2611">
        <f>IF($P2611="","",INDEX(상세표[기록 수],$P2611))</f>
        <v/>
      </c>
      <c r="J2611">
        <f>IF($P2611="","",INDEX(상세표[블록 06~07시],$P2611))</f>
        <v/>
      </c>
      <c r="K2611">
        <f>IF($P2611="","",INDEX(상세표[블록 07~18시],$P2611))</f>
        <v/>
      </c>
      <c r="L2611">
        <f>IF($P2611="","",INDEX(상세표[블록 18~22시],$P2611))</f>
        <v/>
      </c>
      <c r="M2611">
        <f>IF($P2611="","",INDEX(상세표[블록 22~06시],$P2611))</f>
        <v/>
      </c>
      <c r="N2611">
        <f>IF($P2611="","",INDEX(상세표[주말·휴일 포함],$P2611)&amp;"")</f>
        <v/>
      </c>
      <c r="O2611">
        <f>IF($P2611="","",INDEX(상세표[월 넘김 포함],$P2611)&amp;"")</f>
        <v/>
      </c>
      <c r="P2611" s="4">
        <f>IFERROR(MATCH(2606,상세표[연속순번],0),"")</f>
        <v/>
      </c>
    </row>
    <row r="2612">
      <c r="A2612">
        <f>IF($P2612="","",INDEX(상세표[사번],$P2612)&amp;"")</f>
        <v/>
      </c>
      <c r="B2612">
        <f>IF($P2612="","",INDEX(상세표[성명],$P2612)&amp;"")</f>
        <v/>
      </c>
      <c r="C2612">
        <f>IF($P2612="","",INDEX(상세표[부서],$P2612)&amp;"")</f>
        <v/>
      </c>
      <c r="D2612">
        <f>IF($P2612="","",INDEX(상세표[직위],$P2612)&amp;"")</f>
        <v/>
      </c>
      <c r="E2612">
        <f>IF($P2612="","",IF(ISNUMBER(INDEX(상세표[시작],$P2612)),TEXT(INDEX(상세표[시작],$P2612),"yyyy-mm-dd hh:mm"),INDEX(상세표[시작],$P2612)&amp;""))</f>
        <v/>
      </c>
      <c r="F2612">
        <f>IF($P2612="","",IF(ISNUMBER(INDEX(상세표[블록종료],$P2612)),TEXT(INDEX(상세표[블록종료],$P2612),"yyyy-mm-dd hh:mm"),INDEX(상세표[블록종료],$P2612)&amp;""))</f>
        <v/>
      </c>
      <c r="G2612">
        <f>IF($P2612="","",CHOOSE(WEEKDAY(INDEX(상세표[시작],$P2612)),"일","월","화","수","목","금","토"))</f>
        <v/>
      </c>
      <c r="H2612">
        <f>IF($P2612="","",INDEX(상세표[연속 시간],$P2612))</f>
        <v/>
      </c>
      <c r="I2612">
        <f>IF($P2612="","",INDEX(상세표[기록 수],$P2612))</f>
        <v/>
      </c>
      <c r="J2612">
        <f>IF($P2612="","",INDEX(상세표[블록 06~07시],$P2612))</f>
        <v/>
      </c>
      <c r="K2612">
        <f>IF($P2612="","",INDEX(상세표[블록 07~18시],$P2612))</f>
        <v/>
      </c>
      <c r="L2612">
        <f>IF($P2612="","",INDEX(상세표[블록 18~22시],$P2612))</f>
        <v/>
      </c>
      <c r="M2612">
        <f>IF($P2612="","",INDEX(상세표[블록 22~06시],$P2612))</f>
        <v/>
      </c>
      <c r="N2612">
        <f>IF($P2612="","",INDEX(상세표[주말·휴일 포함],$P2612)&amp;"")</f>
        <v/>
      </c>
      <c r="O2612">
        <f>IF($P2612="","",INDEX(상세표[월 넘김 포함],$P2612)&amp;"")</f>
        <v/>
      </c>
      <c r="P2612" s="4">
        <f>IFERROR(MATCH(2607,상세표[연속순번],0),"")</f>
        <v/>
      </c>
    </row>
    <row r="2613">
      <c r="A2613">
        <f>IF($P2613="","",INDEX(상세표[사번],$P2613)&amp;"")</f>
        <v/>
      </c>
      <c r="B2613">
        <f>IF($P2613="","",INDEX(상세표[성명],$P2613)&amp;"")</f>
        <v/>
      </c>
      <c r="C2613">
        <f>IF($P2613="","",INDEX(상세표[부서],$P2613)&amp;"")</f>
        <v/>
      </c>
      <c r="D2613">
        <f>IF($P2613="","",INDEX(상세표[직위],$P2613)&amp;"")</f>
        <v/>
      </c>
      <c r="E2613">
        <f>IF($P2613="","",IF(ISNUMBER(INDEX(상세표[시작],$P2613)),TEXT(INDEX(상세표[시작],$P2613),"yyyy-mm-dd hh:mm"),INDEX(상세표[시작],$P2613)&amp;""))</f>
        <v/>
      </c>
      <c r="F2613">
        <f>IF($P2613="","",IF(ISNUMBER(INDEX(상세표[블록종료],$P2613)),TEXT(INDEX(상세표[블록종료],$P2613),"yyyy-mm-dd hh:mm"),INDEX(상세표[블록종료],$P2613)&amp;""))</f>
        <v/>
      </c>
      <c r="G2613">
        <f>IF($P2613="","",CHOOSE(WEEKDAY(INDEX(상세표[시작],$P2613)),"일","월","화","수","목","금","토"))</f>
        <v/>
      </c>
      <c r="H2613">
        <f>IF($P2613="","",INDEX(상세표[연속 시간],$P2613))</f>
        <v/>
      </c>
      <c r="I2613">
        <f>IF($P2613="","",INDEX(상세표[기록 수],$P2613))</f>
        <v/>
      </c>
      <c r="J2613">
        <f>IF($P2613="","",INDEX(상세표[블록 06~07시],$P2613))</f>
        <v/>
      </c>
      <c r="K2613">
        <f>IF($P2613="","",INDEX(상세표[블록 07~18시],$P2613))</f>
        <v/>
      </c>
      <c r="L2613">
        <f>IF($P2613="","",INDEX(상세표[블록 18~22시],$P2613))</f>
        <v/>
      </c>
      <c r="M2613">
        <f>IF($P2613="","",INDEX(상세표[블록 22~06시],$P2613))</f>
        <v/>
      </c>
      <c r="N2613">
        <f>IF($P2613="","",INDEX(상세표[주말·휴일 포함],$P2613)&amp;"")</f>
        <v/>
      </c>
      <c r="O2613">
        <f>IF($P2613="","",INDEX(상세표[월 넘김 포함],$P2613)&amp;"")</f>
        <v/>
      </c>
      <c r="P2613" s="4">
        <f>IFERROR(MATCH(2608,상세표[연속순번],0),"")</f>
        <v/>
      </c>
    </row>
    <row r="2614">
      <c r="A2614">
        <f>IF($P2614="","",INDEX(상세표[사번],$P2614)&amp;"")</f>
        <v/>
      </c>
      <c r="B2614">
        <f>IF($P2614="","",INDEX(상세표[성명],$P2614)&amp;"")</f>
        <v/>
      </c>
      <c r="C2614">
        <f>IF($P2614="","",INDEX(상세표[부서],$P2614)&amp;"")</f>
        <v/>
      </c>
      <c r="D2614">
        <f>IF($P2614="","",INDEX(상세표[직위],$P2614)&amp;"")</f>
        <v/>
      </c>
      <c r="E2614">
        <f>IF($P2614="","",IF(ISNUMBER(INDEX(상세표[시작],$P2614)),TEXT(INDEX(상세표[시작],$P2614),"yyyy-mm-dd hh:mm"),INDEX(상세표[시작],$P2614)&amp;""))</f>
        <v/>
      </c>
      <c r="F2614">
        <f>IF($P2614="","",IF(ISNUMBER(INDEX(상세표[블록종료],$P2614)),TEXT(INDEX(상세표[블록종료],$P2614),"yyyy-mm-dd hh:mm"),INDEX(상세표[블록종료],$P2614)&amp;""))</f>
        <v/>
      </c>
      <c r="G2614">
        <f>IF($P2614="","",CHOOSE(WEEKDAY(INDEX(상세표[시작],$P2614)),"일","월","화","수","목","금","토"))</f>
        <v/>
      </c>
      <c r="H2614">
        <f>IF($P2614="","",INDEX(상세표[연속 시간],$P2614))</f>
        <v/>
      </c>
      <c r="I2614">
        <f>IF($P2614="","",INDEX(상세표[기록 수],$P2614))</f>
        <v/>
      </c>
      <c r="J2614">
        <f>IF($P2614="","",INDEX(상세표[블록 06~07시],$P2614))</f>
        <v/>
      </c>
      <c r="K2614">
        <f>IF($P2614="","",INDEX(상세표[블록 07~18시],$P2614))</f>
        <v/>
      </c>
      <c r="L2614">
        <f>IF($P2614="","",INDEX(상세표[블록 18~22시],$P2614))</f>
        <v/>
      </c>
      <c r="M2614">
        <f>IF($P2614="","",INDEX(상세표[블록 22~06시],$P2614))</f>
        <v/>
      </c>
      <c r="N2614">
        <f>IF($P2614="","",INDEX(상세표[주말·휴일 포함],$P2614)&amp;"")</f>
        <v/>
      </c>
      <c r="O2614">
        <f>IF($P2614="","",INDEX(상세표[월 넘김 포함],$P2614)&amp;"")</f>
        <v/>
      </c>
      <c r="P2614" s="4">
        <f>IFERROR(MATCH(2609,상세표[연속순번],0),"")</f>
        <v/>
      </c>
    </row>
    <row r="2615">
      <c r="A2615">
        <f>IF($P2615="","",INDEX(상세표[사번],$P2615)&amp;"")</f>
        <v/>
      </c>
      <c r="B2615">
        <f>IF($P2615="","",INDEX(상세표[성명],$P2615)&amp;"")</f>
        <v/>
      </c>
      <c r="C2615">
        <f>IF($P2615="","",INDEX(상세표[부서],$P2615)&amp;"")</f>
        <v/>
      </c>
      <c r="D2615">
        <f>IF($P2615="","",INDEX(상세표[직위],$P2615)&amp;"")</f>
        <v/>
      </c>
      <c r="E2615">
        <f>IF($P2615="","",IF(ISNUMBER(INDEX(상세표[시작],$P2615)),TEXT(INDEX(상세표[시작],$P2615),"yyyy-mm-dd hh:mm"),INDEX(상세표[시작],$P2615)&amp;""))</f>
        <v/>
      </c>
      <c r="F2615">
        <f>IF($P2615="","",IF(ISNUMBER(INDEX(상세표[블록종료],$P2615)),TEXT(INDEX(상세표[블록종료],$P2615),"yyyy-mm-dd hh:mm"),INDEX(상세표[블록종료],$P2615)&amp;""))</f>
        <v/>
      </c>
      <c r="G2615">
        <f>IF($P2615="","",CHOOSE(WEEKDAY(INDEX(상세표[시작],$P2615)),"일","월","화","수","목","금","토"))</f>
        <v/>
      </c>
      <c r="H2615">
        <f>IF($P2615="","",INDEX(상세표[연속 시간],$P2615))</f>
        <v/>
      </c>
      <c r="I2615">
        <f>IF($P2615="","",INDEX(상세표[기록 수],$P2615))</f>
        <v/>
      </c>
      <c r="J2615">
        <f>IF($P2615="","",INDEX(상세표[블록 06~07시],$P2615))</f>
        <v/>
      </c>
      <c r="K2615">
        <f>IF($P2615="","",INDEX(상세표[블록 07~18시],$P2615))</f>
        <v/>
      </c>
      <c r="L2615">
        <f>IF($P2615="","",INDEX(상세표[블록 18~22시],$P2615))</f>
        <v/>
      </c>
      <c r="M2615">
        <f>IF($P2615="","",INDEX(상세표[블록 22~06시],$P2615))</f>
        <v/>
      </c>
      <c r="N2615">
        <f>IF($P2615="","",INDEX(상세표[주말·휴일 포함],$P2615)&amp;"")</f>
        <v/>
      </c>
      <c r="O2615">
        <f>IF($P2615="","",INDEX(상세표[월 넘김 포함],$P2615)&amp;"")</f>
        <v/>
      </c>
      <c r="P2615" s="4">
        <f>IFERROR(MATCH(2610,상세표[연속순번],0),"")</f>
        <v/>
      </c>
    </row>
    <row r="2616">
      <c r="A2616">
        <f>IF($P2616="","",INDEX(상세표[사번],$P2616)&amp;"")</f>
        <v/>
      </c>
      <c r="B2616">
        <f>IF($P2616="","",INDEX(상세표[성명],$P2616)&amp;"")</f>
        <v/>
      </c>
      <c r="C2616">
        <f>IF($P2616="","",INDEX(상세표[부서],$P2616)&amp;"")</f>
        <v/>
      </c>
      <c r="D2616">
        <f>IF($P2616="","",INDEX(상세표[직위],$P2616)&amp;"")</f>
        <v/>
      </c>
      <c r="E2616">
        <f>IF($P2616="","",IF(ISNUMBER(INDEX(상세표[시작],$P2616)),TEXT(INDEX(상세표[시작],$P2616),"yyyy-mm-dd hh:mm"),INDEX(상세표[시작],$P2616)&amp;""))</f>
        <v/>
      </c>
      <c r="F2616">
        <f>IF($P2616="","",IF(ISNUMBER(INDEX(상세표[블록종료],$P2616)),TEXT(INDEX(상세표[블록종료],$P2616),"yyyy-mm-dd hh:mm"),INDEX(상세표[블록종료],$P2616)&amp;""))</f>
        <v/>
      </c>
      <c r="G2616">
        <f>IF($P2616="","",CHOOSE(WEEKDAY(INDEX(상세표[시작],$P2616)),"일","월","화","수","목","금","토"))</f>
        <v/>
      </c>
      <c r="H2616">
        <f>IF($P2616="","",INDEX(상세표[연속 시간],$P2616))</f>
        <v/>
      </c>
      <c r="I2616">
        <f>IF($P2616="","",INDEX(상세표[기록 수],$P2616))</f>
        <v/>
      </c>
      <c r="J2616">
        <f>IF($P2616="","",INDEX(상세표[블록 06~07시],$P2616))</f>
        <v/>
      </c>
      <c r="K2616">
        <f>IF($P2616="","",INDEX(상세표[블록 07~18시],$P2616))</f>
        <v/>
      </c>
      <c r="L2616">
        <f>IF($P2616="","",INDEX(상세표[블록 18~22시],$P2616))</f>
        <v/>
      </c>
      <c r="M2616">
        <f>IF($P2616="","",INDEX(상세표[블록 22~06시],$P2616))</f>
        <v/>
      </c>
      <c r="N2616">
        <f>IF($P2616="","",INDEX(상세표[주말·휴일 포함],$P2616)&amp;"")</f>
        <v/>
      </c>
      <c r="O2616">
        <f>IF($P2616="","",INDEX(상세표[월 넘김 포함],$P2616)&amp;"")</f>
        <v/>
      </c>
      <c r="P2616" s="4">
        <f>IFERROR(MATCH(2611,상세표[연속순번],0),"")</f>
        <v/>
      </c>
    </row>
    <row r="2617">
      <c r="A2617">
        <f>IF($P2617="","",INDEX(상세표[사번],$P2617)&amp;"")</f>
        <v/>
      </c>
      <c r="B2617">
        <f>IF($P2617="","",INDEX(상세표[성명],$P2617)&amp;"")</f>
        <v/>
      </c>
      <c r="C2617">
        <f>IF($P2617="","",INDEX(상세표[부서],$P2617)&amp;"")</f>
        <v/>
      </c>
      <c r="D2617">
        <f>IF($P2617="","",INDEX(상세표[직위],$P2617)&amp;"")</f>
        <v/>
      </c>
      <c r="E2617">
        <f>IF($P2617="","",IF(ISNUMBER(INDEX(상세표[시작],$P2617)),TEXT(INDEX(상세표[시작],$P2617),"yyyy-mm-dd hh:mm"),INDEX(상세표[시작],$P2617)&amp;""))</f>
        <v/>
      </c>
      <c r="F2617">
        <f>IF($P2617="","",IF(ISNUMBER(INDEX(상세표[블록종료],$P2617)),TEXT(INDEX(상세표[블록종료],$P2617),"yyyy-mm-dd hh:mm"),INDEX(상세표[블록종료],$P2617)&amp;""))</f>
        <v/>
      </c>
      <c r="G2617">
        <f>IF($P2617="","",CHOOSE(WEEKDAY(INDEX(상세표[시작],$P2617)),"일","월","화","수","목","금","토"))</f>
        <v/>
      </c>
      <c r="H2617">
        <f>IF($P2617="","",INDEX(상세표[연속 시간],$P2617))</f>
        <v/>
      </c>
      <c r="I2617">
        <f>IF($P2617="","",INDEX(상세표[기록 수],$P2617))</f>
        <v/>
      </c>
      <c r="J2617">
        <f>IF($P2617="","",INDEX(상세표[블록 06~07시],$P2617))</f>
        <v/>
      </c>
      <c r="K2617">
        <f>IF($P2617="","",INDEX(상세표[블록 07~18시],$P2617))</f>
        <v/>
      </c>
      <c r="L2617">
        <f>IF($P2617="","",INDEX(상세표[블록 18~22시],$P2617))</f>
        <v/>
      </c>
      <c r="M2617">
        <f>IF($P2617="","",INDEX(상세표[블록 22~06시],$P2617))</f>
        <v/>
      </c>
      <c r="N2617">
        <f>IF($P2617="","",INDEX(상세표[주말·휴일 포함],$P2617)&amp;"")</f>
        <v/>
      </c>
      <c r="O2617">
        <f>IF($P2617="","",INDEX(상세표[월 넘김 포함],$P2617)&amp;"")</f>
        <v/>
      </c>
      <c r="P2617" s="4">
        <f>IFERROR(MATCH(2612,상세표[연속순번],0),"")</f>
        <v/>
      </c>
    </row>
    <row r="2618">
      <c r="A2618">
        <f>IF($P2618="","",INDEX(상세표[사번],$P2618)&amp;"")</f>
        <v/>
      </c>
      <c r="B2618">
        <f>IF($P2618="","",INDEX(상세표[성명],$P2618)&amp;"")</f>
        <v/>
      </c>
      <c r="C2618">
        <f>IF($P2618="","",INDEX(상세표[부서],$P2618)&amp;"")</f>
        <v/>
      </c>
      <c r="D2618">
        <f>IF($P2618="","",INDEX(상세표[직위],$P2618)&amp;"")</f>
        <v/>
      </c>
      <c r="E2618">
        <f>IF($P2618="","",IF(ISNUMBER(INDEX(상세표[시작],$P2618)),TEXT(INDEX(상세표[시작],$P2618),"yyyy-mm-dd hh:mm"),INDEX(상세표[시작],$P2618)&amp;""))</f>
        <v/>
      </c>
      <c r="F2618">
        <f>IF($P2618="","",IF(ISNUMBER(INDEX(상세표[블록종료],$P2618)),TEXT(INDEX(상세표[블록종료],$P2618),"yyyy-mm-dd hh:mm"),INDEX(상세표[블록종료],$P2618)&amp;""))</f>
        <v/>
      </c>
      <c r="G2618">
        <f>IF($P2618="","",CHOOSE(WEEKDAY(INDEX(상세표[시작],$P2618)),"일","월","화","수","목","금","토"))</f>
        <v/>
      </c>
      <c r="H2618">
        <f>IF($P2618="","",INDEX(상세표[연속 시간],$P2618))</f>
        <v/>
      </c>
      <c r="I2618">
        <f>IF($P2618="","",INDEX(상세표[기록 수],$P2618))</f>
        <v/>
      </c>
      <c r="J2618">
        <f>IF($P2618="","",INDEX(상세표[블록 06~07시],$P2618))</f>
        <v/>
      </c>
      <c r="K2618">
        <f>IF($P2618="","",INDEX(상세표[블록 07~18시],$P2618))</f>
        <v/>
      </c>
      <c r="L2618">
        <f>IF($P2618="","",INDEX(상세표[블록 18~22시],$P2618))</f>
        <v/>
      </c>
      <c r="M2618">
        <f>IF($P2618="","",INDEX(상세표[블록 22~06시],$P2618))</f>
        <v/>
      </c>
      <c r="N2618">
        <f>IF($P2618="","",INDEX(상세표[주말·휴일 포함],$P2618)&amp;"")</f>
        <v/>
      </c>
      <c r="O2618">
        <f>IF($P2618="","",INDEX(상세표[월 넘김 포함],$P2618)&amp;"")</f>
        <v/>
      </c>
      <c r="P2618" s="4">
        <f>IFERROR(MATCH(2613,상세표[연속순번],0),"")</f>
        <v/>
      </c>
    </row>
    <row r="2619">
      <c r="A2619">
        <f>IF($P2619="","",INDEX(상세표[사번],$P2619)&amp;"")</f>
        <v/>
      </c>
      <c r="B2619">
        <f>IF($P2619="","",INDEX(상세표[성명],$P2619)&amp;"")</f>
        <v/>
      </c>
      <c r="C2619">
        <f>IF($P2619="","",INDEX(상세표[부서],$P2619)&amp;"")</f>
        <v/>
      </c>
      <c r="D2619">
        <f>IF($P2619="","",INDEX(상세표[직위],$P2619)&amp;"")</f>
        <v/>
      </c>
      <c r="E2619">
        <f>IF($P2619="","",IF(ISNUMBER(INDEX(상세표[시작],$P2619)),TEXT(INDEX(상세표[시작],$P2619),"yyyy-mm-dd hh:mm"),INDEX(상세표[시작],$P2619)&amp;""))</f>
        <v/>
      </c>
      <c r="F2619">
        <f>IF($P2619="","",IF(ISNUMBER(INDEX(상세표[블록종료],$P2619)),TEXT(INDEX(상세표[블록종료],$P2619),"yyyy-mm-dd hh:mm"),INDEX(상세표[블록종료],$P2619)&amp;""))</f>
        <v/>
      </c>
      <c r="G2619">
        <f>IF($P2619="","",CHOOSE(WEEKDAY(INDEX(상세표[시작],$P2619)),"일","월","화","수","목","금","토"))</f>
        <v/>
      </c>
      <c r="H2619">
        <f>IF($P2619="","",INDEX(상세표[연속 시간],$P2619))</f>
        <v/>
      </c>
      <c r="I2619">
        <f>IF($P2619="","",INDEX(상세표[기록 수],$P2619))</f>
        <v/>
      </c>
      <c r="J2619">
        <f>IF($P2619="","",INDEX(상세표[블록 06~07시],$P2619))</f>
        <v/>
      </c>
      <c r="K2619">
        <f>IF($P2619="","",INDEX(상세표[블록 07~18시],$P2619))</f>
        <v/>
      </c>
      <c r="L2619">
        <f>IF($P2619="","",INDEX(상세표[블록 18~22시],$P2619))</f>
        <v/>
      </c>
      <c r="M2619">
        <f>IF($P2619="","",INDEX(상세표[블록 22~06시],$P2619))</f>
        <v/>
      </c>
      <c r="N2619">
        <f>IF($P2619="","",INDEX(상세표[주말·휴일 포함],$P2619)&amp;"")</f>
        <v/>
      </c>
      <c r="O2619">
        <f>IF($P2619="","",INDEX(상세표[월 넘김 포함],$P2619)&amp;"")</f>
        <v/>
      </c>
      <c r="P2619" s="4">
        <f>IFERROR(MATCH(2614,상세표[연속순번],0),"")</f>
        <v/>
      </c>
    </row>
    <row r="2620">
      <c r="A2620">
        <f>IF($P2620="","",INDEX(상세표[사번],$P2620)&amp;"")</f>
        <v/>
      </c>
      <c r="B2620">
        <f>IF($P2620="","",INDEX(상세표[성명],$P2620)&amp;"")</f>
        <v/>
      </c>
      <c r="C2620">
        <f>IF($P2620="","",INDEX(상세표[부서],$P2620)&amp;"")</f>
        <v/>
      </c>
      <c r="D2620">
        <f>IF($P2620="","",INDEX(상세표[직위],$P2620)&amp;"")</f>
        <v/>
      </c>
      <c r="E2620">
        <f>IF($P2620="","",IF(ISNUMBER(INDEX(상세표[시작],$P2620)),TEXT(INDEX(상세표[시작],$P2620),"yyyy-mm-dd hh:mm"),INDEX(상세표[시작],$P2620)&amp;""))</f>
        <v/>
      </c>
      <c r="F2620">
        <f>IF($P2620="","",IF(ISNUMBER(INDEX(상세표[블록종료],$P2620)),TEXT(INDEX(상세표[블록종료],$P2620),"yyyy-mm-dd hh:mm"),INDEX(상세표[블록종료],$P2620)&amp;""))</f>
        <v/>
      </c>
      <c r="G2620">
        <f>IF($P2620="","",CHOOSE(WEEKDAY(INDEX(상세표[시작],$P2620)),"일","월","화","수","목","금","토"))</f>
        <v/>
      </c>
      <c r="H2620">
        <f>IF($P2620="","",INDEX(상세표[연속 시간],$P2620))</f>
        <v/>
      </c>
      <c r="I2620">
        <f>IF($P2620="","",INDEX(상세표[기록 수],$P2620))</f>
        <v/>
      </c>
      <c r="J2620">
        <f>IF($P2620="","",INDEX(상세표[블록 06~07시],$P2620))</f>
        <v/>
      </c>
      <c r="K2620">
        <f>IF($P2620="","",INDEX(상세표[블록 07~18시],$P2620))</f>
        <v/>
      </c>
      <c r="L2620">
        <f>IF($P2620="","",INDEX(상세표[블록 18~22시],$P2620))</f>
        <v/>
      </c>
      <c r="M2620">
        <f>IF($P2620="","",INDEX(상세표[블록 22~06시],$P2620))</f>
        <v/>
      </c>
      <c r="N2620">
        <f>IF($P2620="","",INDEX(상세표[주말·휴일 포함],$P2620)&amp;"")</f>
        <v/>
      </c>
      <c r="O2620">
        <f>IF($P2620="","",INDEX(상세표[월 넘김 포함],$P2620)&amp;"")</f>
        <v/>
      </c>
      <c r="P2620" s="4">
        <f>IFERROR(MATCH(2615,상세표[연속순번],0),"")</f>
        <v/>
      </c>
    </row>
    <row r="2621">
      <c r="A2621">
        <f>IF($P2621="","",INDEX(상세표[사번],$P2621)&amp;"")</f>
        <v/>
      </c>
      <c r="B2621">
        <f>IF($P2621="","",INDEX(상세표[성명],$P2621)&amp;"")</f>
        <v/>
      </c>
      <c r="C2621">
        <f>IF($P2621="","",INDEX(상세표[부서],$P2621)&amp;"")</f>
        <v/>
      </c>
      <c r="D2621">
        <f>IF($P2621="","",INDEX(상세표[직위],$P2621)&amp;"")</f>
        <v/>
      </c>
      <c r="E2621">
        <f>IF($P2621="","",IF(ISNUMBER(INDEX(상세표[시작],$P2621)),TEXT(INDEX(상세표[시작],$P2621),"yyyy-mm-dd hh:mm"),INDEX(상세표[시작],$P2621)&amp;""))</f>
        <v/>
      </c>
      <c r="F2621">
        <f>IF($P2621="","",IF(ISNUMBER(INDEX(상세표[블록종료],$P2621)),TEXT(INDEX(상세표[블록종료],$P2621),"yyyy-mm-dd hh:mm"),INDEX(상세표[블록종료],$P2621)&amp;""))</f>
        <v/>
      </c>
      <c r="G2621">
        <f>IF($P2621="","",CHOOSE(WEEKDAY(INDEX(상세표[시작],$P2621)),"일","월","화","수","목","금","토"))</f>
        <v/>
      </c>
      <c r="H2621">
        <f>IF($P2621="","",INDEX(상세표[연속 시간],$P2621))</f>
        <v/>
      </c>
      <c r="I2621">
        <f>IF($P2621="","",INDEX(상세표[기록 수],$P2621))</f>
        <v/>
      </c>
      <c r="J2621">
        <f>IF($P2621="","",INDEX(상세표[블록 06~07시],$P2621))</f>
        <v/>
      </c>
      <c r="K2621">
        <f>IF($P2621="","",INDEX(상세표[블록 07~18시],$P2621))</f>
        <v/>
      </c>
      <c r="L2621">
        <f>IF($P2621="","",INDEX(상세표[블록 18~22시],$P2621))</f>
        <v/>
      </c>
      <c r="M2621">
        <f>IF($P2621="","",INDEX(상세표[블록 22~06시],$P2621))</f>
        <v/>
      </c>
      <c r="N2621">
        <f>IF($P2621="","",INDEX(상세표[주말·휴일 포함],$P2621)&amp;"")</f>
        <v/>
      </c>
      <c r="O2621">
        <f>IF($P2621="","",INDEX(상세표[월 넘김 포함],$P2621)&amp;"")</f>
        <v/>
      </c>
      <c r="P2621" s="4">
        <f>IFERROR(MATCH(2616,상세표[연속순번],0),"")</f>
        <v/>
      </c>
    </row>
    <row r="2622">
      <c r="A2622">
        <f>IF($P2622="","",INDEX(상세표[사번],$P2622)&amp;"")</f>
        <v/>
      </c>
      <c r="B2622">
        <f>IF($P2622="","",INDEX(상세표[성명],$P2622)&amp;"")</f>
        <v/>
      </c>
      <c r="C2622">
        <f>IF($P2622="","",INDEX(상세표[부서],$P2622)&amp;"")</f>
        <v/>
      </c>
      <c r="D2622">
        <f>IF($P2622="","",INDEX(상세표[직위],$P2622)&amp;"")</f>
        <v/>
      </c>
      <c r="E2622">
        <f>IF($P2622="","",IF(ISNUMBER(INDEX(상세표[시작],$P2622)),TEXT(INDEX(상세표[시작],$P2622),"yyyy-mm-dd hh:mm"),INDEX(상세표[시작],$P2622)&amp;""))</f>
        <v/>
      </c>
      <c r="F2622">
        <f>IF($P2622="","",IF(ISNUMBER(INDEX(상세표[블록종료],$P2622)),TEXT(INDEX(상세표[블록종료],$P2622),"yyyy-mm-dd hh:mm"),INDEX(상세표[블록종료],$P2622)&amp;""))</f>
        <v/>
      </c>
      <c r="G2622">
        <f>IF($P2622="","",CHOOSE(WEEKDAY(INDEX(상세표[시작],$P2622)),"일","월","화","수","목","금","토"))</f>
        <v/>
      </c>
      <c r="H2622">
        <f>IF($P2622="","",INDEX(상세표[연속 시간],$P2622))</f>
        <v/>
      </c>
      <c r="I2622">
        <f>IF($P2622="","",INDEX(상세표[기록 수],$P2622))</f>
        <v/>
      </c>
      <c r="J2622">
        <f>IF($P2622="","",INDEX(상세표[블록 06~07시],$P2622))</f>
        <v/>
      </c>
      <c r="K2622">
        <f>IF($P2622="","",INDEX(상세표[블록 07~18시],$P2622))</f>
        <v/>
      </c>
      <c r="L2622">
        <f>IF($P2622="","",INDEX(상세표[블록 18~22시],$P2622))</f>
        <v/>
      </c>
      <c r="M2622">
        <f>IF($P2622="","",INDEX(상세표[블록 22~06시],$P2622))</f>
        <v/>
      </c>
      <c r="N2622">
        <f>IF($P2622="","",INDEX(상세표[주말·휴일 포함],$P2622)&amp;"")</f>
        <v/>
      </c>
      <c r="O2622">
        <f>IF($P2622="","",INDEX(상세표[월 넘김 포함],$P2622)&amp;"")</f>
        <v/>
      </c>
      <c r="P2622" s="4">
        <f>IFERROR(MATCH(2617,상세표[연속순번],0),"")</f>
        <v/>
      </c>
    </row>
    <row r="2623">
      <c r="A2623">
        <f>IF($P2623="","",INDEX(상세표[사번],$P2623)&amp;"")</f>
        <v/>
      </c>
      <c r="B2623">
        <f>IF($P2623="","",INDEX(상세표[성명],$P2623)&amp;"")</f>
        <v/>
      </c>
      <c r="C2623">
        <f>IF($P2623="","",INDEX(상세표[부서],$P2623)&amp;"")</f>
        <v/>
      </c>
      <c r="D2623">
        <f>IF($P2623="","",INDEX(상세표[직위],$P2623)&amp;"")</f>
        <v/>
      </c>
      <c r="E2623">
        <f>IF($P2623="","",IF(ISNUMBER(INDEX(상세표[시작],$P2623)),TEXT(INDEX(상세표[시작],$P2623),"yyyy-mm-dd hh:mm"),INDEX(상세표[시작],$P2623)&amp;""))</f>
        <v/>
      </c>
      <c r="F2623">
        <f>IF($P2623="","",IF(ISNUMBER(INDEX(상세표[블록종료],$P2623)),TEXT(INDEX(상세표[블록종료],$P2623),"yyyy-mm-dd hh:mm"),INDEX(상세표[블록종료],$P2623)&amp;""))</f>
        <v/>
      </c>
      <c r="G2623">
        <f>IF($P2623="","",CHOOSE(WEEKDAY(INDEX(상세표[시작],$P2623)),"일","월","화","수","목","금","토"))</f>
        <v/>
      </c>
      <c r="H2623">
        <f>IF($P2623="","",INDEX(상세표[연속 시간],$P2623))</f>
        <v/>
      </c>
      <c r="I2623">
        <f>IF($P2623="","",INDEX(상세표[기록 수],$P2623))</f>
        <v/>
      </c>
      <c r="J2623">
        <f>IF($P2623="","",INDEX(상세표[블록 06~07시],$P2623))</f>
        <v/>
      </c>
      <c r="K2623">
        <f>IF($P2623="","",INDEX(상세표[블록 07~18시],$P2623))</f>
        <v/>
      </c>
      <c r="L2623">
        <f>IF($P2623="","",INDEX(상세표[블록 18~22시],$P2623))</f>
        <v/>
      </c>
      <c r="M2623">
        <f>IF($P2623="","",INDEX(상세표[블록 22~06시],$P2623))</f>
        <v/>
      </c>
      <c r="N2623">
        <f>IF($P2623="","",INDEX(상세표[주말·휴일 포함],$P2623)&amp;"")</f>
        <v/>
      </c>
      <c r="O2623">
        <f>IF($P2623="","",INDEX(상세표[월 넘김 포함],$P2623)&amp;"")</f>
        <v/>
      </c>
      <c r="P2623" s="4">
        <f>IFERROR(MATCH(2618,상세표[연속순번],0),"")</f>
        <v/>
      </c>
    </row>
    <row r="2624">
      <c r="A2624">
        <f>IF($P2624="","",INDEX(상세표[사번],$P2624)&amp;"")</f>
        <v/>
      </c>
      <c r="B2624">
        <f>IF($P2624="","",INDEX(상세표[성명],$P2624)&amp;"")</f>
        <v/>
      </c>
      <c r="C2624">
        <f>IF($P2624="","",INDEX(상세표[부서],$P2624)&amp;"")</f>
        <v/>
      </c>
      <c r="D2624">
        <f>IF($P2624="","",INDEX(상세표[직위],$P2624)&amp;"")</f>
        <v/>
      </c>
      <c r="E2624">
        <f>IF($P2624="","",IF(ISNUMBER(INDEX(상세표[시작],$P2624)),TEXT(INDEX(상세표[시작],$P2624),"yyyy-mm-dd hh:mm"),INDEX(상세표[시작],$P2624)&amp;""))</f>
        <v/>
      </c>
      <c r="F2624">
        <f>IF($P2624="","",IF(ISNUMBER(INDEX(상세표[블록종료],$P2624)),TEXT(INDEX(상세표[블록종료],$P2624),"yyyy-mm-dd hh:mm"),INDEX(상세표[블록종료],$P2624)&amp;""))</f>
        <v/>
      </c>
      <c r="G2624">
        <f>IF($P2624="","",CHOOSE(WEEKDAY(INDEX(상세표[시작],$P2624)),"일","월","화","수","목","금","토"))</f>
        <v/>
      </c>
      <c r="H2624">
        <f>IF($P2624="","",INDEX(상세표[연속 시간],$P2624))</f>
        <v/>
      </c>
      <c r="I2624">
        <f>IF($P2624="","",INDEX(상세표[기록 수],$P2624))</f>
        <v/>
      </c>
      <c r="J2624">
        <f>IF($P2624="","",INDEX(상세표[블록 06~07시],$P2624))</f>
        <v/>
      </c>
      <c r="K2624">
        <f>IF($P2624="","",INDEX(상세표[블록 07~18시],$P2624))</f>
        <v/>
      </c>
      <c r="L2624">
        <f>IF($P2624="","",INDEX(상세표[블록 18~22시],$P2624))</f>
        <v/>
      </c>
      <c r="M2624">
        <f>IF($P2624="","",INDEX(상세표[블록 22~06시],$P2624))</f>
        <v/>
      </c>
      <c r="N2624">
        <f>IF($P2624="","",INDEX(상세표[주말·휴일 포함],$P2624)&amp;"")</f>
        <v/>
      </c>
      <c r="O2624">
        <f>IF($P2624="","",INDEX(상세표[월 넘김 포함],$P2624)&amp;"")</f>
        <v/>
      </c>
      <c r="P2624" s="4">
        <f>IFERROR(MATCH(2619,상세표[연속순번],0),"")</f>
        <v/>
      </c>
    </row>
    <row r="2625">
      <c r="A2625">
        <f>IF($P2625="","",INDEX(상세표[사번],$P2625)&amp;"")</f>
        <v/>
      </c>
      <c r="B2625">
        <f>IF($P2625="","",INDEX(상세표[성명],$P2625)&amp;"")</f>
        <v/>
      </c>
      <c r="C2625">
        <f>IF($P2625="","",INDEX(상세표[부서],$P2625)&amp;"")</f>
        <v/>
      </c>
      <c r="D2625">
        <f>IF($P2625="","",INDEX(상세표[직위],$P2625)&amp;"")</f>
        <v/>
      </c>
      <c r="E2625">
        <f>IF($P2625="","",IF(ISNUMBER(INDEX(상세표[시작],$P2625)),TEXT(INDEX(상세표[시작],$P2625),"yyyy-mm-dd hh:mm"),INDEX(상세표[시작],$P2625)&amp;""))</f>
        <v/>
      </c>
      <c r="F2625">
        <f>IF($P2625="","",IF(ISNUMBER(INDEX(상세표[블록종료],$P2625)),TEXT(INDEX(상세표[블록종료],$P2625),"yyyy-mm-dd hh:mm"),INDEX(상세표[블록종료],$P2625)&amp;""))</f>
        <v/>
      </c>
      <c r="G2625">
        <f>IF($P2625="","",CHOOSE(WEEKDAY(INDEX(상세표[시작],$P2625)),"일","월","화","수","목","금","토"))</f>
        <v/>
      </c>
      <c r="H2625">
        <f>IF($P2625="","",INDEX(상세표[연속 시간],$P2625))</f>
        <v/>
      </c>
      <c r="I2625">
        <f>IF($P2625="","",INDEX(상세표[기록 수],$P2625))</f>
        <v/>
      </c>
      <c r="J2625">
        <f>IF($P2625="","",INDEX(상세표[블록 06~07시],$P2625))</f>
        <v/>
      </c>
      <c r="K2625">
        <f>IF($P2625="","",INDEX(상세표[블록 07~18시],$P2625))</f>
        <v/>
      </c>
      <c r="L2625">
        <f>IF($P2625="","",INDEX(상세표[블록 18~22시],$P2625))</f>
        <v/>
      </c>
      <c r="M2625">
        <f>IF($P2625="","",INDEX(상세표[블록 22~06시],$P2625))</f>
        <v/>
      </c>
      <c r="N2625">
        <f>IF($P2625="","",INDEX(상세표[주말·휴일 포함],$P2625)&amp;"")</f>
        <v/>
      </c>
      <c r="O2625">
        <f>IF($P2625="","",INDEX(상세표[월 넘김 포함],$P2625)&amp;"")</f>
        <v/>
      </c>
      <c r="P2625" s="4">
        <f>IFERROR(MATCH(2620,상세표[연속순번],0),"")</f>
        <v/>
      </c>
    </row>
    <row r="2626">
      <c r="A2626">
        <f>IF($P2626="","",INDEX(상세표[사번],$P2626)&amp;"")</f>
        <v/>
      </c>
      <c r="B2626">
        <f>IF($P2626="","",INDEX(상세표[성명],$P2626)&amp;"")</f>
        <v/>
      </c>
      <c r="C2626">
        <f>IF($P2626="","",INDEX(상세표[부서],$P2626)&amp;"")</f>
        <v/>
      </c>
      <c r="D2626">
        <f>IF($P2626="","",INDEX(상세표[직위],$P2626)&amp;"")</f>
        <v/>
      </c>
      <c r="E2626">
        <f>IF($P2626="","",IF(ISNUMBER(INDEX(상세표[시작],$P2626)),TEXT(INDEX(상세표[시작],$P2626),"yyyy-mm-dd hh:mm"),INDEX(상세표[시작],$P2626)&amp;""))</f>
        <v/>
      </c>
      <c r="F2626">
        <f>IF($P2626="","",IF(ISNUMBER(INDEX(상세표[블록종료],$P2626)),TEXT(INDEX(상세표[블록종료],$P2626),"yyyy-mm-dd hh:mm"),INDEX(상세표[블록종료],$P2626)&amp;""))</f>
        <v/>
      </c>
      <c r="G2626">
        <f>IF($P2626="","",CHOOSE(WEEKDAY(INDEX(상세표[시작],$P2626)),"일","월","화","수","목","금","토"))</f>
        <v/>
      </c>
      <c r="H2626">
        <f>IF($P2626="","",INDEX(상세표[연속 시간],$P2626))</f>
        <v/>
      </c>
      <c r="I2626">
        <f>IF($P2626="","",INDEX(상세표[기록 수],$P2626))</f>
        <v/>
      </c>
      <c r="J2626">
        <f>IF($P2626="","",INDEX(상세표[블록 06~07시],$P2626))</f>
        <v/>
      </c>
      <c r="K2626">
        <f>IF($P2626="","",INDEX(상세표[블록 07~18시],$P2626))</f>
        <v/>
      </c>
      <c r="L2626">
        <f>IF($P2626="","",INDEX(상세표[블록 18~22시],$P2626))</f>
        <v/>
      </c>
      <c r="M2626">
        <f>IF($P2626="","",INDEX(상세표[블록 22~06시],$P2626))</f>
        <v/>
      </c>
      <c r="N2626">
        <f>IF($P2626="","",INDEX(상세표[주말·휴일 포함],$P2626)&amp;"")</f>
        <v/>
      </c>
      <c r="O2626">
        <f>IF($P2626="","",INDEX(상세표[월 넘김 포함],$P2626)&amp;"")</f>
        <v/>
      </c>
      <c r="P2626" s="4">
        <f>IFERROR(MATCH(2621,상세표[연속순번],0),"")</f>
        <v/>
      </c>
    </row>
    <row r="2627">
      <c r="A2627">
        <f>IF($P2627="","",INDEX(상세표[사번],$P2627)&amp;"")</f>
        <v/>
      </c>
      <c r="B2627">
        <f>IF($P2627="","",INDEX(상세표[성명],$P2627)&amp;"")</f>
        <v/>
      </c>
      <c r="C2627">
        <f>IF($P2627="","",INDEX(상세표[부서],$P2627)&amp;"")</f>
        <v/>
      </c>
      <c r="D2627">
        <f>IF($P2627="","",INDEX(상세표[직위],$P2627)&amp;"")</f>
        <v/>
      </c>
      <c r="E2627">
        <f>IF($P2627="","",IF(ISNUMBER(INDEX(상세표[시작],$P2627)),TEXT(INDEX(상세표[시작],$P2627),"yyyy-mm-dd hh:mm"),INDEX(상세표[시작],$P2627)&amp;""))</f>
        <v/>
      </c>
      <c r="F2627">
        <f>IF($P2627="","",IF(ISNUMBER(INDEX(상세표[블록종료],$P2627)),TEXT(INDEX(상세표[블록종료],$P2627),"yyyy-mm-dd hh:mm"),INDEX(상세표[블록종료],$P2627)&amp;""))</f>
        <v/>
      </c>
      <c r="G2627">
        <f>IF($P2627="","",CHOOSE(WEEKDAY(INDEX(상세표[시작],$P2627)),"일","월","화","수","목","금","토"))</f>
        <v/>
      </c>
      <c r="H2627">
        <f>IF($P2627="","",INDEX(상세표[연속 시간],$P2627))</f>
        <v/>
      </c>
      <c r="I2627">
        <f>IF($P2627="","",INDEX(상세표[기록 수],$P2627))</f>
        <v/>
      </c>
      <c r="J2627">
        <f>IF($P2627="","",INDEX(상세표[블록 06~07시],$P2627))</f>
        <v/>
      </c>
      <c r="K2627">
        <f>IF($P2627="","",INDEX(상세표[블록 07~18시],$P2627))</f>
        <v/>
      </c>
      <c r="L2627">
        <f>IF($P2627="","",INDEX(상세표[블록 18~22시],$P2627))</f>
        <v/>
      </c>
      <c r="M2627">
        <f>IF($P2627="","",INDEX(상세표[블록 22~06시],$P2627))</f>
        <v/>
      </c>
      <c r="N2627">
        <f>IF($P2627="","",INDEX(상세표[주말·휴일 포함],$P2627)&amp;"")</f>
        <v/>
      </c>
      <c r="O2627">
        <f>IF($P2627="","",INDEX(상세표[월 넘김 포함],$P2627)&amp;"")</f>
        <v/>
      </c>
      <c r="P2627" s="4">
        <f>IFERROR(MATCH(2622,상세표[연속순번],0),"")</f>
        <v/>
      </c>
    </row>
    <row r="2628">
      <c r="A2628">
        <f>IF($P2628="","",INDEX(상세표[사번],$P2628)&amp;"")</f>
        <v/>
      </c>
      <c r="B2628">
        <f>IF($P2628="","",INDEX(상세표[성명],$P2628)&amp;"")</f>
        <v/>
      </c>
      <c r="C2628">
        <f>IF($P2628="","",INDEX(상세표[부서],$P2628)&amp;"")</f>
        <v/>
      </c>
      <c r="D2628">
        <f>IF($P2628="","",INDEX(상세표[직위],$P2628)&amp;"")</f>
        <v/>
      </c>
      <c r="E2628">
        <f>IF($P2628="","",IF(ISNUMBER(INDEX(상세표[시작],$P2628)),TEXT(INDEX(상세표[시작],$P2628),"yyyy-mm-dd hh:mm"),INDEX(상세표[시작],$P2628)&amp;""))</f>
        <v/>
      </c>
      <c r="F2628">
        <f>IF($P2628="","",IF(ISNUMBER(INDEX(상세표[블록종료],$P2628)),TEXT(INDEX(상세표[블록종료],$P2628),"yyyy-mm-dd hh:mm"),INDEX(상세표[블록종료],$P2628)&amp;""))</f>
        <v/>
      </c>
      <c r="G2628">
        <f>IF($P2628="","",CHOOSE(WEEKDAY(INDEX(상세표[시작],$P2628)),"일","월","화","수","목","금","토"))</f>
        <v/>
      </c>
      <c r="H2628">
        <f>IF($P2628="","",INDEX(상세표[연속 시간],$P2628))</f>
        <v/>
      </c>
      <c r="I2628">
        <f>IF($P2628="","",INDEX(상세표[기록 수],$P2628))</f>
        <v/>
      </c>
      <c r="J2628">
        <f>IF($P2628="","",INDEX(상세표[블록 06~07시],$P2628))</f>
        <v/>
      </c>
      <c r="K2628">
        <f>IF($P2628="","",INDEX(상세표[블록 07~18시],$P2628))</f>
        <v/>
      </c>
      <c r="L2628">
        <f>IF($P2628="","",INDEX(상세표[블록 18~22시],$P2628))</f>
        <v/>
      </c>
      <c r="M2628">
        <f>IF($P2628="","",INDEX(상세표[블록 22~06시],$P2628))</f>
        <v/>
      </c>
      <c r="N2628">
        <f>IF($P2628="","",INDEX(상세표[주말·휴일 포함],$P2628)&amp;"")</f>
        <v/>
      </c>
      <c r="O2628">
        <f>IF($P2628="","",INDEX(상세표[월 넘김 포함],$P2628)&amp;"")</f>
        <v/>
      </c>
      <c r="P2628" s="4">
        <f>IFERROR(MATCH(2623,상세표[연속순번],0),"")</f>
        <v/>
      </c>
    </row>
    <row r="2629">
      <c r="A2629">
        <f>IF($P2629="","",INDEX(상세표[사번],$P2629)&amp;"")</f>
        <v/>
      </c>
      <c r="B2629">
        <f>IF($P2629="","",INDEX(상세표[성명],$P2629)&amp;"")</f>
        <v/>
      </c>
      <c r="C2629">
        <f>IF($P2629="","",INDEX(상세표[부서],$P2629)&amp;"")</f>
        <v/>
      </c>
      <c r="D2629">
        <f>IF($P2629="","",INDEX(상세표[직위],$P2629)&amp;"")</f>
        <v/>
      </c>
      <c r="E2629">
        <f>IF($P2629="","",IF(ISNUMBER(INDEX(상세표[시작],$P2629)),TEXT(INDEX(상세표[시작],$P2629),"yyyy-mm-dd hh:mm"),INDEX(상세표[시작],$P2629)&amp;""))</f>
        <v/>
      </c>
      <c r="F2629">
        <f>IF($P2629="","",IF(ISNUMBER(INDEX(상세표[블록종료],$P2629)),TEXT(INDEX(상세표[블록종료],$P2629),"yyyy-mm-dd hh:mm"),INDEX(상세표[블록종료],$P2629)&amp;""))</f>
        <v/>
      </c>
      <c r="G2629">
        <f>IF($P2629="","",CHOOSE(WEEKDAY(INDEX(상세표[시작],$P2629)),"일","월","화","수","목","금","토"))</f>
        <v/>
      </c>
      <c r="H2629">
        <f>IF($P2629="","",INDEX(상세표[연속 시간],$P2629))</f>
        <v/>
      </c>
      <c r="I2629">
        <f>IF($P2629="","",INDEX(상세표[기록 수],$P2629))</f>
        <v/>
      </c>
      <c r="J2629">
        <f>IF($P2629="","",INDEX(상세표[블록 06~07시],$P2629))</f>
        <v/>
      </c>
      <c r="K2629">
        <f>IF($P2629="","",INDEX(상세표[블록 07~18시],$P2629))</f>
        <v/>
      </c>
      <c r="L2629">
        <f>IF($P2629="","",INDEX(상세표[블록 18~22시],$P2629))</f>
        <v/>
      </c>
      <c r="M2629">
        <f>IF($P2629="","",INDEX(상세표[블록 22~06시],$P2629))</f>
        <v/>
      </c>
      <c r="N2629">
        <f>IF($P2629="","",INDEX(상세표[주말·휴일 포함],$P2629)&amp;"")</f>
        <v/>
      </c>
      <c r="O2629">
        <f>IF($P2629="","",INDEX(상세표[월 넘김 포함],$P2629)&amp;"")</f>
        <v/>
      </c>
      <c r="P2629" s="4">
        <f>IFERROR(MATCH(2624,상세표[연속순번],0),"")</f>
        <v/>
      </c>
    </row>
    <row r="2630">
      <c r="A2630">
        <f>IF($P2630="","",INDEX(상세표[사번],$P2630)&amp;"")</f>
        <v/>
      </c>
      <c r="B2630">
        <f>IF($P2630="","",INDEX(상세표[성명],$P2630)&amp;"")</f>
        <v/>
      </c>
      <c r="C2630">
        <f>IF($P2630="","",INDEX(상세표[부서],$P2630)&amp;"")</f>
        <v/>
      </c>
      <c r="D2630">
        <f>IF($P2630="","",INDEX(상세표[직위],$P2630)&amp;"")</f>
        <v/>
      </c>
      <c r="E2630">
        <f>IF($P2630="","",IF(ISNUMBER(INDEX(상세표[시작],$P2630)),TEXT(INDEX(상세표[시작],$P2630),"yyyy-mm-dd hh:mm"),INDEX(상세표[시작],$P2630)&amp;""))</f>
        <v/>
      </c>
      <c r="F2630">
        <f>IF($P2630="","",IF(ISNUMBER(INDEX(상세표[블록종료],$P2630)),TEXT(INDEX(상세표[블록종료],$P2630),"yyyy-mm-dd hh:mm"),INDEX(상세표[블록종료],$P2630)&amp;""))</f>
        <v/>
      </c>
      <c r="G2630">
        <f>IF($P2630="","",CHOOSE(WEEKDAY(INDEX(상세표[시작],$P2630)),"일","월","화","수","목","금","토"))</f>
        <v/>
      </c>
      <c r="H2630">
        <f>IF($P2630="","",INDEX(상세표[연속 시간],$P2630))</f>
        <v/>
      </c>
      <c r="I2630">
        <f>IF($P2630="","",INDEX(상세표[기록 수],$P2630))</f>
        <v/>
      </c>
      <c r="J2630">
        <f>IF($P2630="","",INDEX(상세표[블록 06~07시],$P2630))</f>
        <v/>
      </c>
      <c r="K2630">
        <f>IF($P2630="","",INDEX(상세표[블록 07~18시],$P2630))</f>
        <v/>
      </c>
      <c r="L2630">
        <f>IF($P2630="","",INDEX(상세표[블록 18~22시],$P2630))</f>
        <v/>
      </c>
      <c r="M2630">
        <f>IF($P2630="","",INDEX(상세표[블록 22~06시],$P2630))</f>
        <v/>
      </c>
      <c r="N2630">
        <f>IF($P2630="","",INDEX(상세표[주말·휴일 포함],$P2630)&amp;"")</f>
        <v/>
      </c>
      <c r="O2630">
        <f>IF($P2630="","",INDEX(상세표[월 넘김 포함],$P2630)&amp;"")</f>
        <v/>
      </c>
      <c r="P2630" s="4">
        <f>IFERROR(MATCH(2625,상세표[연속순번],0),"")</f>
        <v/>
      </c>
    </row>
    <row r="2631">
      <c r="A2631">
        <f>IF($P2631="","",INDEX(상세표[사번],$P2631)&amp;"")</f>
        <v/>
      </c>
      <c r="B2631">
        <f>IF($P2631="","",INDEX(상세표[성명],$P2631)&amp;"")</f>
        <v/>
      </c>
      <c r="C2631">
        <f>IF($P2631="","",INDEX(상세표[부서],$P2631)&amp;"")</f>
        <v/>
      </c>
      <c r="D2631">
        <f>IF($P2631="","",INDEX(상세표[직위],$P2631)&amp;"")</f>
        <v/>
      </c>
      <c r="E2631">
        <f>IF($P2631="","",IF(ISNUMBER(INDEX(상세표[시작],$P2631)),TEXT(INDEX(상세표[시작],$P2631),"yyyy-mm-dd hh:mm"),INDEX(상세표[시작],$P2631)&amp;""))</f>
        <v/>
      </c>
      <c r="F2631">
        <f>IF($P2631="","",IF(ISNUMBER(INDEX(상세표[블록종료],$P2631)),TEXT(INDEX(상세표[블록종료],$P2631),"yyyy-mm-dd hh:mm"),INDEX(상세표[블록종료],$P2631)&amp;""))</f>
        <v/>
      </c>
      <c r="G2631">
        <f>IF($P2631="","",CHOOSE(WEEKDAY(INDEX(상세표[시작],$P2631)),"일","월","화","수","목","금","토"))</f>
        <v/>
      </c>
      <c r="H2631">
        <f>IF($P2631="","",INDEX(상세표[연속 시간],$P2631))</f>
        <v/>
      </c>
      <c r="I2631">
        <f>IF($P2631="","",INDEX(상세표[기록 수],$P2631))</f>
        <v/>
      </c>
      <c r="J2631">
        <f>IF($P2631="","",INDEX(상세표[블록 06~07시],$P2631))</f>
        <v/>
      </c>
      <c r="K2631">
        <f>IF($P2631="","",INDEX(상세표[블록 07~18시],$P2631))</f>
        <v/>
      </c>
      <c r="L2631">
        <f>IF($P2631="","",INDEX(상세표[블록 18~22시],$P2631))</f>
        <v/>
      </c>
      <c r="M2631">
        <f>IF($P2631="","",INDEX(상세표[블록 22~06시],$P2631))</f>
        <v/>
      </c>
      <c r="N2631">
        <f>IF($P2631="","",INDEX(상세표[주말·휴일 포함],$P2631)&amp;"")</f>
        <v/>
      </c>
      <c r="O2631">
        <f>IF($P2631="","",INDEX(상세표[월 넘김 포함],$P2631)&amp;"")</f>
        <v/>
      </c>
      <c r="P2631" s="4">
        <f>IFERROR(MATCH(2626,상세표[연속순번],0),"")</f>
        <v/>
      </c>
    </row>
    <row r="2632">
      <c r="A2632">
        <f>IF($P2632="","",INDEX(상세표[사번],$P2632)&amp;"")</f>
        <v/>
      </c>
      <c r="B2632">
        <f>IF($P2632="","",INDEX(상세표[성명],$P2632)&amp;"")</f>
        <v/>
      </c>
      <c r="C2632">
        <f>IF($P2632="","",INDEX(상세표[부서],$P2632)&amp;"")</f>
        <v/>
      </c>
      <c r="D2632">
        <f>IF($P2632="","",INDEX(상세표[직위],$P2632)&amp;"")</f>
        <v/>
      </c>
      <c r="E2632">
        <f>IF($P2632="","",IF(ISNUMBER(INDEX(상세표[시작],$P2632)),TEXT(INDEX(상세표[시작],$P2632),"yyyy-mm-dd hh:mm"),INDEX(상세표[시작],$P2632)&amp;""))</f>
        <v/>
      </c>
      <c r="F2632">
        <f>IF($P2632="","",IF(ISNUMBER(INDEX(상세표[블록종료],$P2632)),TEXT(INDEX(상세표[블록종료],$P2632),"yyyy-mm-dd hh:mm"),INDEX(상세표[블록종료],$P2632)&amp;""))</f>
        <v/>
      </c>
      <c r="G2632">
        <f>IF($P2632="","",CHOOSE(WEEKDAY(INDEX(상세표[시작],$P2632)),"일","월","화","수","목","금","토"))</f>
        <v/>
      </c>
      <c r="H2632">
        <f>IF($P2632="","",INDEX(상세표[연속 시간],$P2632))</f>
        <v/>
      </c>
      <c r="I2632">
        <f>IF($P2632="","",INDEX(상세표[기록 수],$P2632))</f>
        <v/>
      </c>
      <c r="J2632">
        <f>IF($P2632="","",INDEX(상세표[블록 06~07시],$P2632))</f>
        <v/>
      </c>
      <c r="K2632">
        <f>IF($P2632="","",INDEX(상세표[블록 07~18시],$P2632))</f>
        <v/>
      </c>
      <c r="L2632">
        <f>IF($P2632="","",INDEX(상세표[블록 18~22시],$P2632))</f>
        <v/>
      </c>
      <c r="M2632">
        <f>IF($P2632="","",INDEX(상세표[블록 22~06시],$P2632))</f>
        <v/>
      </c>
      <c r="N2632">
        <f>IF($P2632="","",INDEX(상세표[주말·휴일 포함],$P2632)&amp;"")</f>
        <v/>
      </c>
      <c r="O2632">
        <f>IF($P2632="","",INDEX(상세표[월 넘김 포함],$P2632)&amp;"")</f>
        <v/>
      </c>
      <c r="P2632" s="4">
        <f>IFERROR(MATCH(2627,상세표[연속순번],0),"")</f>
        <v/>
      </c>
    </row>
    <row r="2633">
      <c r="A2633">
        <f>IF($P2633="","",INDEX(상세표[사번],$P2633)&amp;"")</f>
        <v/>
      </c>
      <c r="B2633">
        <f>IF($P2633="","",INDEX(상세표[성명],$P2633)&amp;"")</f>
        <v/>
      </c>
      <c r="C2633">
        <f>IF($P2633="","",INDEX(상세표[부서],$P2633)&amp;"")</f>
        <v/>
      </c>
      <c r="D2633">
        <f>IF($P2633="","",INDEX(상세표[직위],$P2633)&amp;"")</f>
        <v/>
      </c>
      <c r="E2633">
        <f>IF($P2633="","",IF(ISNUMBER(INDEX(상세표[시작],$P2633)),TEXT(INDEX(상세표[시작],$P2633),"yyyy-mm-dd hh:mm"),INDEX(상세표[시작],$P2633)&amp;""))</f>
        <v/>
      </c>
      <c r="F2633">
        <f>IF($P2633="","",IF(ISNUMBER(INDEX(상세표[블록종료],$P2633)),TEXT(INDEX(상세표[블록종료],$P2633),"yyyy-mm-dd hh:mm"),INDEX(상세표[블록종료],$P2633)&amp;""))</f>
        <v/>
      </c>
      <c r="G2633">
        <f>IF($P2633="","",CHOOSE(WEEKDAY(INDEX(상세표[시작],$P2633)),"일","월","화","수","목","금","토"))</f>
        <v/>
      </c>
      <c r="H2633">
        <f>IF($P2633="","",INDEX(상세표[연속 시간],$P2633))</f>
        <v/>
      </c>
      <c r="I2633">
        <f>IF($P2633="","",INDEX(상세표[기록 수],$P2633))</f>
        <v/>
      </c>
      <c r="J2633">
        <f>IF($P2633="","",INDEX(상세표[블록 06~07시],$P2633))</f>
        <v/>
      </c>
      <c r="K2633">
        <f>IF($P2633="","",INDEX(상세표[블록 07~18시],$P2633))</f>
        <v/>
      </c>
      <c r="L2633">
        <f>IF($P2633="","",INDEX(상세표[블록 18~22시],$P2633))</f>
        <v/>
      </c>
      <c r="M2633">
        <f>IF($P2633="","",INDEX(상세표[블록 22~06시],$P2633))</f>
        <v/>
      </c>
      <c r="N2633">
        <f>IF($P2633="","",INDEX(상세표[주말·휴일 포함],$P2633)&amp;"")</f>
        <v/>
      </c>
      <c r="O2633">
        <f>IF($P2633="","",INDEX(상세표[월 넘김 포함],$P2633)&amp;"")</f>
        <v/>
      </c>
      <c r="P2633" s="4">
        <f>IFERROR(MATCH(2628,상세표[연속순번],0),"")</f>
        <v/>
      </c>
    </row>
    <row r="2634">
      <c r="A2634">
        <f>IF($P2634="","",INDEX(상세표[사번],$P2634)&amp;"")</f>
        <v/>
      </c>
      <c r="B2634">
        <f>IF($P2634="","",INDEX(상세표[성명],$P2634)&amp;"")</f>
        <v/>
      </c>
      <c r="C2634">
        <f>IF($P2634="","",INDEX(상세표[부서],$P2634)&amp;"")</f>
        <v/>
      </c>
      <c r="D2634">
        <f>IF($P2634="","",INDEX(상세표[직위],$P2634)&amp;"")</f>
        <v/>
      </c>
      <c r="E2634">
        <f>IF($P2634="","",IF(ISNUMBER(INDEX(상세표[시작],$P2634)),TEXT(INDEX(상세표[시작],$P2634),"yyyy-mm-dd hh:mm"),INDEX(상세표[시작],$P2634)&amp;""))</f>
        <v/>
      </c>
      <c r="F2634">
        <f>IF($P2634="","",IF(ISNUMBER(INDEX(상세표[블록종료],$P2634)),TEXT(INDEX(상세표[블록종료],$P2634),"yyyy-mm-dd hh:mm"),INDEX(상세표[블록종료],$P2634)&amp;""))</f>
        <v/>
      </c>
      <c r="G2634">
        <f>IF($P2634="","",CHOOSE(WEEKDAY(INDEX(상세표[시작],$P2634)),"일","월","화","수","목","금","토"))</f>
        <v/>
      </c>
      <c r="H2634">
        <f>IF($P2634="","",INDEX(상세표[연속 시간],$P2634))</f>
        <v/>
      </c>
      <c r="I2634">
        <f>IF($P2634="","",INDEX(상세표[기록 수],$P2634))</f>
        <v/>
      </c>
      <c r="J2634">
        <f>IF($P2634="","",INDEX(상세표[블록 06~07시],$P2634))</f>
        <v/>
      </c>
      <c r="K2634">
        <f>IF($P2634="","",INDEX(상세표[블록 07~18시],$P2634))</f>
        <v/>
      </c>
      <c r="L2634">
        <f>IF($P2634="","",INDEX(상세표[블록 18~22시],$P2634))</f>
        <v/>
      </c>
      <c r="M2634">
        <f>IF($P2634="","",INDEX(상세표[블록 22~06시],$P2634))</f>
        <v/>
      </c>
      <c r="N2634">
        <f>IF($P2634="","",INDEX(상세표[주말·휴일 포함],$P2634)&amp;"")</f>
        <v/>
      </c>
      <c r="O2634">
        <f>IF($P2634="","",INDEX(상세표[월 넘김 포함],$P2634)&amp;"")</f>
        <v/>
      </c>
      <c r="P2634" s="4">
        <f>IFERROR(MATCH(2629,상세표[연속순번],0),"")</f>
        <v/>
      </c>
    </row>
    <row r="2635">
      <c r="A2635">
        <f>IF($P2635="","",INDEX(상세표[사번],$P2635)&amp;"")</f>
        <v/>
      </c>
      <c r="B2635">
        <f>IF($P2635="","",INDEX(상세표[성명],$P2635)&amp;"")</f>
        <v/>
      </c>
      <c r="C2635">
        <f>IF($P2635="","",INDEX(상세표[부서],$P2635)&amp;"")</f>
        <v/>
      </c>
      <c r="D2635">
        <f>IF($P2635="","",INDEX(상세표[직위],$P2635)&amp;"")</f>
        <v/>
      </c>
      <c r="E2635">
        <f>IF($P2635="","",IF(ISNUMBER(INDEX(상세표[시작],$P2635)),TEXT(INDEX(상세표[시작],$P2635),"yyyy-mm-dd hh:mm"),INDEX(상세표[시작],$P2635)&amp;""))</f>
        <v/>
      </c>
      <c r="F2635">
        <f>IF($P2635="","",IF(ISNUMBER(INDEX(상세표[블록종료],$P2635)),TEXT(INDEX(상세표[블록종료],$P2635),"yyyy-mm-dd hh:mm"),INDEX(상세표[블록종료],$P2635)&amp;""))</f>
        <v/>
      </c>
      <c r="G2635">
        <f>IF($P2635="","",CHOOSE(WEEKDAY(INDEX(상세표[시작],$P2635)),"일","월","화","수","목","금","토"))</f>
        <v/>
      </c>
      <c r="H2635">
        <f>IF($P2635="","",INDEX(상세표[연속 시간],$P2635))</f>
        <v/>
      </c>
      <c r="I2635">
        <f>IF($P2635="","",INDEX(상세표[기록 수],$P2635))</f>
        <v/>
      </c>
      <c r="J2635">
        <f>IF($P2635="","",INDEX(상세표[블록 06~07시],$P2635))</f>
        <v/>
      </c>
      <c r="K2635">
        <f>IF($P2635="","",INDEX(상세표[블록 07~18시],$P2635))</f>
        <v/>
      </c>
      <c r="L2635">
        <f>IF($P2635="","",INDEX(상세표[블록 18~22시],$P2635))</f>
        <v/>
      </c>
      <c r="M2635">
        <f>IF($P2635="","",INDEX(상세표[블록 22~06시],$P2635))</f>
        <v/>
      </c>
      <c r="N2635">
        <f>IF($P2635="","",INDEX(상세표[주말·휴일 포함],$P2635)&amp;"")</f>
        <v/>
      </c>
      <c r="O2635">
        <f>IF($P2635="","",INDEX(상세표[월 넘김 포함],$P2635)&amp;"")</f>
        <v/>
      </c>
      <c r="P2635" s="4">
        <f>IFERROR(MATCH(2630,상세표[연속순번],0),"")</f>
        <v/>
      </c>
    </row>
    <row r="2636">
      <c r="A2636">
        <f>IF($P2636="","",INDEX(상세표[사번],$P2636)&amp;"")</f>
        <v/>
      </c>
      <c r="B2636">
        <f>IF($P2636="","",INDEX(상세표[성명],$P2636)&amp;"")</f>
        <v/>
      </c>
      <c r="C2636">
        <f>IF($P2636="","",INDEX(상세표[부서],$P2636)&amp;"")</f>
        <v/>
      </c>
      <c r="D2636">
        <f>IF($P2636="","",INDEX(상세표[직위],$P2636)&amp;"")</f>
        <v/>
      </c>
      <c r="E2636">
        <f>IF($P2636="","",IF(ISNUMBER(INDEX(상세표[시작],$P2636)),TEXT(INDEX(상세표[시작],$P2636),"yyyy-mm-dd hh:mm"),INDEX(상세표[시작],$P2636)&amp;""))</f>
        <v/>
      </c>
      <c r="F2636">
        <f>IF($P2636="","",IF(ISNUMBER(INDEX(상세표[블록종료],$P2636)),TEXT(INDEX(상세표[블록종료],$P2636),"yyyy-mm-dd hh:mm"),INDEX(상세표[블록종료],$P2636)&amp;""))</f>
        <v/>
      </c>
      <c r="G2636">
        <f>IF($P2636="","",CHOOSE(WEEKDAY(INDEX(상세표[시작],$P2636)),"일","월","화","수","목","금","토"))</f>
        <v/>
      </c>
      <c r="H2636">
        <f>IF($P2636="","",INDEX(상세표[연속 시간],$P2636))</f>
        <v/>
      </c>
      <c r="I2636">
        <f>IF($P2636="","",INDEX(상세표[기록 수],$P2636))</f>
        <v/>
      </c>
      <c r="J2636">
        <f>IF($P2636="","",INDEX(상세표[블록 06~07시],$P2636))</f>
        <v/>
      </c>
      <c r="K2636">
        <f>IF($P2636="","",INDEX(상세표[블록 07~18시],$P2636))</f>
        <v/>
      </c>
      <c r="L2636">
        <f>IF($P2636="","",INDEX(상세표[블록 18~22시],$P2636))</f>
        <v/>
      </c>
      <c r="M2636">
        <f>IF($P2636="","",INDEX(상세표[블록 22~06시],$P2636))</f>
        <v/>
      </c>
      <c r="N2636">
        <f>IF($P2636="","",INDEX(상세표[주말·휴일 포함],$P2636)&amp;"")</f>
        <v/>
      </c>
      <c r="O2636">
        <f>IF($P2636="","",INDEX(상세표[월 넘김 포함],$P2636)&amp;"")</f>
        <v/>
      </c>
      <c r="P2636" s="4">
        <f>IFERROR(MATCH(2631,상세표[연속순번],0),"")</f>
        <v/>
      </c>
    </row>
    <row r="2637">
      <c r="A2637">
        <f>IF($P2637="","",INDEX(상세표[사번],$P2637)&amp;"")</f>
        <v/>
      </c>
      <c r="B2637">
        <f>IF($P2637="","",INDEX(상세표[성명],$P2637)&amp;"")</f>
        <v/>
      </c>
      <c r="C2637">
        <f>IF($P2637="","",INDEX(상세표[부서],$P2637)&amp;"")</f>
        <v/>
      </c>
      <c r="D2637">
        <f>IF($P2637="","",INDEX(상세표[직위],$P2637)&amp;"")</f>
        <v/>
      </c>
      <c r="E2637">
        <f>IF($P2637="","",IF(ISNUMBER(INDEX(상세표[시작],$P2637)),TEXT(INDEX(상세표[시작],$P2637),"yyyy-mm-dd hh:mm"),INDEX(상세표[시작],$P2637)&amp;""))</f>
        <v/>
      </c>
      <c r="F2637">
        <f>IF($P2637="","",IF(ISNUMBER(INDEX(상세표[블록종료],$P2637)),TEXT(INDEX(상세표[블록종료],$P2637),"yyyy-mm-dd hh:mm"),INDEX(상세표[블록종료],$P2637)&amp;""))</f>
        <v/>
      </c>
      <c r="G2637">
        <f>IF($P2637="","",CHOOSE(WEEKDAY(INDEX(상세표[시작],$P2637)),"일","월","화","수","목","금","토"))</f>
        <v/>
      </c>
      <c r="H2637">
        <f>IF($P2637="","",INDEX(상세표[연속 시간],$P2637))</f>
        <v/>
      </c>
      <c r="I2637">
        <f>IF($P2637="","",INDEX(상세표[기록 수],$P2637))</f>
        <v/>
      </c>
      <c r="J2637">
        <f>IF($P2637="","",INDEX(상세표[블록 06~07시],$P2637))</f>
        <v/>
      </c>
      <c r="K2637">
        <f>IF($P2637="","",INDEX(상세표[블록 07~18시],$P2637))</f>
        <v/>
      </c>
      <c r="L2637">
        <f>IF($P2637="","",INDEX(상세표[블록 18~22시],$P2637))</f>
        <v/>
      </c>
      <c r="M2637">
        <f>IF($P2637="","",INDEX(상세표[블록 22~06시],$P2637))</f>
        <v/>
      </c>
      <c r="N2637">
        <f>IF($P2637="","",INDEX(상세표[주말·휴일 포함],$P2637)&amp;"")</f>
        <v/>
      </c>
      <c r="O2637">
        <f>IF($P2637="","",INDEX(상세표[월 넘김 포함],$P2637)&amp;"")</f>
        <v/>
      </c>
      <c r="P2637" s="4">
        <f>IFERROR(MATCH(2632,상세표[연속순번],0),"")</f>
        <v/>
      </c>
    </row>
    <row r="2638">
      <c r="A2638">
        <f>IF($P2638="","",INDEX(상세표[사번],$P2638)&amp;"")</f>
        <v/>
      </c>
      <c r="B2638">
        <f>IF($P2638="","",INDEX(상세표[성명],$P2638)&amp;"")</f>
        <v/>
      </c>
      <c r="C2638">
        <f>IF($P2638="","",INDEX(상세표[부서],$P2638)&amp;"")</f>
        <v/>
      </c>
      <c r="D2638">
        <f>IF($P2638="","",INDEX(상세표[직위],$P2638)&amp;"")</f>
        <v/>
      </c>
      <c r="E2638">
        <f>IF($P2638="","",IF(ISNUMBER(INDEX(상세표[시작],$P2638)),TEXT(INDEX(상세표[시작],$P2638),"yyyy-mm-dd hh:mm"),INDEX(상세표[시작],$P2638)&amp;""))</f>
        <v/>
      </c>
      <c r="F2638">
        <f>IF($P2638="","",IF(ISNUMBER(INDEX(상세표[블록종료],$P2638)),TEXT(INDEX(상세표[블록종료],$P2638),"yyyy-mm-dd hh:mm"),INDEX(상세표[블록종료],$P2638)&amp;""))</f>
        <v/>
      </c>
      <c r="G2638">
        <f>IF($P2638="","",CHOOSE(WEEKDAY(INDEX(상세표[시작],$P2638)),"일","월","화","수","목","금","토"))</f>
        <v/>
      </c>
      <c r="H2638">
        <f>IF($P2638="","",INDEX(상세표[연속 시간],$P2638))</f>
        <v/>
      </c>
      <c r="I2638">
        <f>IF($P2638="","",INDEX(상세표[기록 수],$P2638))</f>
        <v/>
      </c>
      <c r="J2638">
        <f>IF($P2638="","",INDEX(상세표[블록 06~07시],$P2638))</f>
        <v/>
      </c>
      <c r="K2638">
        <f>IF($P2638="","",INDEX(상세표[블록 07~18시],$P2638))</f>
        <v/>
      </c>
      <c r="L2638">
        <f>IF($P2638="","",INDEX(상세표[블록 18~22시],$P2638))</f>
        <v/>
      </c>
      <c r="M2638">
        <f>IF($P2638="","",INDEX(상세표[블록 22~06시],$P2638))</f>
        <v/>
      </c>
      <c r="N2638">
        <f>IF($P2638="","",INDEX(상세표[주말·휴일 포함],$P2638)&amp;"")</f>
        <v/>
      </c>
      <c r="O2638">
        <f>IF($P2638="","",INDEX(상세표[월 넘김 포함],$P2638)&amp;"")</f>
        <v/>
      </c>
      <c r="P2638" s="4">
        <f>IFERROR(MATCH(2633,상세표[연속순번],0),"")</f>
        <v/>
      </c>
    </row>
    <row r="2639">
      <c r="A2639">
        <f>IF($P2639="","",INDEX(상세표[사번],$P2639)&amp;"")</f>
        <v/>
      </c>
      <c r="B2639">
        <f>IF($P2639="","",INDEX(상세표[성명],$P2639)&amp;"")</f>
        <v/>
      </c>
      <c r="C2639">
        <f>IF($P2639="","",INDEX(상세표[부서],$P2639)&amp;"")</f>
        <v/>
      </c>
      <c r="D2639">
        <f>IF($P2639="","",INDEX(상세표[직위],$P2639)&amp;"")</f>
        <v/>
      </c>
      <c r="E2639">
        <f>IF($P2639="","",IF(ISNUMBER(INDEX(상세표[시작],$P2639)),TEXT(INDEX(상세표[시작],$P2639),"yyyy-mm-dd hh:mm"),INDEX(상세표[시작],$P2639)&amp;""))</f>
        <v/>
      </c>
      <c r="F2639">
        <f>IF($P2639="","",IF(ISNUMBER(INDEX(상세표[블록종료],$P2639)),TEXT(INDEX(상세표[블록종료],$P2639),"yyyy-mm-dd hh:mm"),INDEX(상세표[블록종료],$P2639)&amp;""))</f>
        <v/>
      </c>
      <c r="G2639">
        <f>IF($P2639="","",CHOOSE(WEEKDAY(INDEX(상세표[시작],$P2639)),"일","월","화","수","목","금","토"))</f>
        <v/>
      </c>
      <c r="H2639">
        <f>IF($P2639="","",INDEX(상세표[연속 시간],$P2639))</f>
        <v/>
      </c>
      <c r="I2639">
        <f>IF($P2639="","",INDEX(상세표[기록 수],$P2639))</f>
        <v/>
      </c>
      <c r="J2639">
        <f>IF($P2639="","",INDEX(상세표[블록 06~07시],$P2639))</f>
        <v/>
      </c>
      <c r="K2639">
        <f>IF($P2639="","",INDEX(상세표[블록 07~18시],$P2639))</f>
        <v/>
      </c>
      <c r="L2639">
        <f>IF($P2639="","",INDEX(상세표[블록 18~22시],$P2639))</f>
        <v/>
      </c>
      <c r="M2639">
        <f>IF($P2639="","",INDEX(상세표[블록 22~06시],$P2639))</f>
        <v/>
      </c>
      <c r="N2639">
        <f>IF($P2639="","",INDEX(상세표[주말·휴일 포함],$P2639)&amp;"")</f>
        <v/>
      </c>
      <c r="O2639">
        <f>IF($P2639="","",INDEX(상세표[월 넘김 포함],$P2639)&amp;"")</f>
        <v/>
      </c>
      <c r="P2639" s="4">
        <f>IFERROR(MATCH(2634,상세표[연속순번],0),"")</f>
        <v/>
      </c>
    </row>
    <row r="2640">
      <c r="A2640">
        <f>IF($P2640="","",INDEX(상세표[사번],$P2640)&amp;"")</f>
        <v/>
      </c>
      <c r="B2640">
        <f>IF($P2640="","",INDEX(상세표[성명],$P2640)&amp;"")</f>
        <v/>
      </c>
      <c r="C2640">
        <f>IF($P2640="","",INDEX(상세표[부서],$P2640)&amp;"")</f>
        <v/>
      </c>
      <c r="D2640">
        <f>IF($P2640="","",INDEX(상세표[직위],$P2640)&amp;"")</f>
        <v/>
      </c>
      <c r="E2640">
        <f>IF($P2640="","",IF(ISNUMBER(INDEX(상세표[시작],$P2640)),TEXT(INDEX(상세표[시작],$P2640),"yyyy-mm-dd hh:mm"),INDEX(상세표[시작],$P2640)&amp;""))</f>
        <v/>
      </c>
      <c r="F2640">
        <f>IF($P2640="","",IF(ISNUMBER(INDEX(상세표[블록종료],$P2640)),TEXT(INDEX(상세표[블록종료],$P2640),"yyyy-mm-dd hh:mm"),INDEX(상세표[블록종료],$P2640)&amp;""))</f>
        <v/>
      </c>
      <c r="G2640">
        <f>IF($P2640="","",CHOOSE(WEEKDAY(INDEX(상세표[시작],$P2640)),"일","월","화","수","목","금","토"))</f>
        <v/>
      </c>
      <c r="H2640">
        <f>IF($P2640="","",INDEX(상세표[연속 시간],$P2640))</f>
        <v/>
      </c>
      <c r="I2640">
        <f>IF($P2640="","",INDEX(상세표[기록 수],$P2640))</f>
        <v/>
      </c>
      <c r="J2640">
        <f>IF($P2640="","",INDEX(상세표[블록 06~07시],$P2640))</f>
        <v/>
      </c>
      <c r="K2640">
        <f>IF($P2640="","",INDEX(상세표[블록 07~18시],$P2640))</f>
        <v/>
      </c>
      <c r="L2640">
        <f>IF($P2640="","",INDEX(상세표[블록 18~22시],$P2640))</f>
        <v/>
      </c>
      <c r="M2640">
        <f>IF($P2640="","",INDEX(상세표[블록 22~06시],$P2640))</f>
        <v/>
      </c>
      <c r="N2640">
        <f>IF($P2640="","",INDEX(상세표[주말·휴일 포함],$P2640)&amp;"")</f>
        <v/>
      </c>
      <c r="O2640">
        <f>IF($P2640="","",INDEX(상세표[월 넘김 포함],$P2640)&amp;"")</f>
        <v/>
      </c>
      <c r="P2640" s="4">
        <f>IFERROR(MATCH(2635,상세표[연속순번],0),"")</f>
        <v/>
      </c>
    </row>
    <row r="2641">
      <c r="A2641">
        <f>IF($P2641="","",INDEX(상세표[사번],$P2641)&amp;"")</f>
        <v/>
      </c>
      <c r="B2641">
        <f>IF($P2641="","",INDEX(상세표[성명],$P2641)&amp;"")</f>
        <v/>
      </c>
      <c r="C2641">
        <f>IF($P2641="","",INDEX(상세표[부서],$P2641)&amp;"")</f>
        <v/>
      </c>
      <c r="D2641">
        <f>IF($P2641="","",INDEX(상세표[직위],$P2641)&amp;"")</f>
        <v/>
      </c>
      <c r="E2641">
        <f>IF($P2641="","",IF(ISNUMBER(INDEX(상세표[시작],$P2641)),TEXT(INDEX(상세표[시작],$P2641),"yyyy-mm-dd hh:mm"),INDEX(상세표[시작],$P2641)&amp;""))</f>
        <v/>
      </c>
      <c r="F2641">
        <f>IF($P2641="","",IF(ISNUMBER(INDEX(상세표[블록종료],$P2641)),TEXT(INDEX(상세표[블록종료],$P2641),"yyyy-mm-dd hh:mm"),INDEX(상세표[블록종료],$P2641)&amp;""))</f>
        <v/>
      </c>
      <c r="G2641">
        <f>IF($P2641="","",CHOOSE(WEEKDAY(INDEX(상세표[시작],$P2641)),"일","월","화","수","목","금","토"))</f>
        <v/>
      </c>
      <c r="H2641">
        <f>IF($P2641="","",INDEX(상세표[연속 시간],$P2641))</f>
        <v/>
      </c>
      <c r="I2641">
        <f>IF($P2641="","",INDEX(상세표[기록 수],$P2641))</f>
        <v/>
      </c>
      <c r="J2641">
        <f>IF($P2641="","",INDEX(상세표[블록 06~07시],$P2641))</f>
        <v/>
      </c>
      <c r="K2641">
        <f>IF($P2641="","",INDEX(상세표[블록 07~18시],$P2641))</f>
        <v/>
      </c>
      <c r="L2641">
        <f>IF($P2641="","",INDEX(상세표[블록 18~22시],$P2641))</f>
        <v/>
      </c>
      <c r="M2641">
        <f>IF($P2641="","",INDEX(상세표[블록 22~06시],$P2641))</f>
        <v/>
      </c>
      <c r="N2641">
        <f>IF($P2641="","",INDEX(상세표[주말·휴일 포함],$P2641)&amp;"")</f>
        <v/>
      </c>
      <c r="O2641">
        <f>IF($P2641="","",INDEX(상세표[월 넘김 포함],$P2641)&amp;"")</f>
        <v/>
      </c>
      <c r="P2641" s="4">
        <f>IFERROR(MATCH(2636,상세표[연속순번],0),"")</f>
        <v/>
      </c>
    </row>
    <row r="2642">
      <c r="A2642">
        <f>IF($P2642="","",INDEX(상세표[사번],$P2642)&amp;"")</f>
        <v/>
      </c>
      <c r="B2642">
        <f>IF($P2642="","",INDEX(상세표[성명],$P2642)&amp;"")</f>
        <v/>
      </c>
      <c r="C2642">
        <f>IF($P2642="","",INDEX(상세표[부서],$P2642)&amp;"")</f>
        <v/>
      </c>
      <c r="D2642">
        <f>IF($P2642="","",INDEX(상세표[직위],$P2642)&amp;"")</f>
        <v/>
      </c>
      <c r="E2642">
        <f>IF($P2642="","",IF(ISNUMBER(INDEX(상세표[시작],$P2642)),TEXT(INDEX(상세표[시작],$P2642),"yyyy-mm-dd hh:mm"),INDEX(상세표[시작],$P2642)&amp;""))</f>
        <v/>
      </c>
      <c r="F2642">
        <f>IF($P2642="","",IF(ISNUMBER(INDEX(상세표[블록종료],$P2642)),TEXT(INDEX(상세표[블록종료],$P2642),"yyyy-mm-dd hh:mm"),INDEX(상세표[블록종료],$P2642)&amp;""))</f>
        <v/>
      </c>
      <c r="G2642">
        <f>IF($P2642="","",CHOOSE(WEEKDAY(INDEX(상세표[시작],$P2642)),"일","월","화","수","목","금","토"))</f>
        <v/>
      </c>
      <c r="H2642">
        <f>IF($P2642="","",INDEX(상세표[연속 시간],$P2642))</f>
        <v/>
      </c>
      <c r="I2642">
        <f>IF($P2642="","",INDEX(상세표[기록 수],$P2642))</f>
        <v/>
      </c>
      <c r="J2642">
        <f>IF($P2642="","",INDEX(상세표[블록 06~07시],$P2642))</f>
        <v/>
      </c>
      <c r="K2642">
        <f>IF($P2642="","",INDEX(상세표[블록 07~18시],$P2642))</f>
        <v/>
      </c>
      <c r="L2642">
        <f>IF($P2642="","",INDEX(상세표[블록 18~22시],$P2642))</f>
        <v/>
      </c>
      <c r="M2642">
        <f>IF($P2642="","",INDEX(상세표[블록 22~06시],$P2642))</f>
        <v/>
      </c>
      <c r="N2642">
        <f>IF($P2642="","",INDEX(상세표[주말·휴일 포함],$P2642)&amp;"")</f>
        <v/>
      </c>
      <c r="O2642">
        <f>IF($P2642="","",INDEX(상세표[월 넘김 포함],$P2642)&amp;"")</f>
        <v/>
      </c>
      <c r="P2642" s="4">
        <f>IFERROR(MATCH(2637,상세표[연속순번],0),"")</f>
        <v/>
      </c>
    </row>
    <row r="2643">
      <c r="A2643">
        <f>IF($P2643="","",INDEX(상세표[사번],$P2643)&amp;"")</f>
        <v/>
      </c>
      <c r="B2643">
        <f>IF($P2643="","",INDEX(상세표[성명],$P2643)&amp;"")</f>
        <v/>
      </c>
      <c r="C2643">
        <f>IF($P2643="","",INDEX(상세표[부서],$P2643)&amp;"")</f>
        <v/>
      </c>
      <c r="D2643">
        <f>IF($P2643="","",INDEX(상세표[직위],$P2643)&amp;"")</f>
        <v/>
      </c>
      <c r="E2643">
        <f>IF($P2643="","",IF(ISNUMBER(INDEX(상세표[시작],$P2643)),TEXT(INDEX(상세표[시작],$P2643),"yyyy-mm-dd hh:mm"),INDEX(상세표[시작],$P2643)&amp;""))</f>
        <v/>
      </c>
      <c r="F2643">
        <f>IF($P2643="","",IF(ISNUMBER(INDEX(상세표[블록종료],$P2643)),TEXT(INDEX(상세표[블록종료],$P2643),"yyyy-mm-dd hh:mm"),INDEX(상세표[블록종료],$P2643)&amp;""))</f>
        <v/>
      </c>
      <c r="G2643">
        <f>IF($P2643="","",CHOOSE(WEEKDAY(INDEX(상세표[시작],$P2643)),"일","월","화","수","목","금","토"))</f>
        <v/>
      </c>
      <c r="H2643">
        <f>IF($P2643="","",INDEX(상세표[연속 시간],$P2643))</f>
        <v/>
      </c>
      <c r="I2643">
        <f>IF($P2643="","",INDEX(상세표[기록 수],$P2643))</f>
        <v/>
      </c>
      <c r="J2643">
        <f>IF($P2643="","",INDEX(상세표[블록 06~07시],$P2643))</f>
        <v/>
      </c>
      <c r="K2643">
        <f>IF($P2643="","",INDEX(상세표[블록 07~18시],$P2643))</f>
        <v/>
      </c>
      <c r="L2643">
        <f>IF($P2643="","",INDEX(상세표[블록 18~22시],$P2643))</f>
        <v/>
      </c>
      <c r="M2643">
        <f>IF($P2643="","",INDEX(상세표[블록 22~06시],$P2643))</f>
        <v/>
      </c>
      <c r="N2643">
        <f>IF($P2643="","",INDEX(상세표[주말·휴일 포함],$P2643)&amp;"")</f>
        <v/>
      </c>
      <c r="O2643">
        <f>IF($P2643="","",INDEX(상세표[월 넘김 포함],$P2643)&amp;"")</f>
        <v/>
      </c>
      <c r="P2643" s="4">
        <f>IFERROR(MATCH(2638,상세표[연속순번],0),"")</f>
        <v/>
      </c>
    </row>
    <row r="2644">
      <c r="A2644">
        <f>IF($P2644="","",INDEX(상세표[사번],$P2644)&amp;"")</f>
        <v/>
      </c>
      <c r="B2644">
        <f>IF($P2644="","",INDEX(상세표[성명],$P2644)&amp;"")</f>
        <v/>
      </c>
      <c r="C2644">
        <f>IF($P2644="","",INDEX(상세표[부서],$P2644)&amp;"")</f>
        <v/>
      </c>
      <c r="D2644">
        <f>IF($P2644="","",INDEX(상세표[직위],$P2644)&amp;"")</f>
        <v/>
      </c>
      <c r="E2644">
        <f>IF($P2644="","",IF(ISNUMBER(INDEX(상세표[시작],$P2644)),TEXT(INDEX(상세표[시작],$P2644),"yyyy-mm-dd hh:mm"),INDEX(상세표[시작],$P2644)&amp;""))</f>
        <v/>
      </c>
      <c r="F2644">
        <f>IF($P2644="","",IF(ISNUMBER(INDEX(상세표[블록종료],$P2644)),TEXT(INDEX(상세표[블록종료],$P2644),"yyyy-mm-dd hh:mm"),INDEX(상세표[블록종료],$P2644)&amp;""))</f>
        <v/>
      </c>
      <c r="G2644">
        <f>IF($P2644="","",CHOOSE(WEEKDAY(INDEX(상세표[시작],$P2644)),"일","월","화","수","목","금","토"))</f>
        <v/>
      </c>
      <c r="H2644">
        <f>IF($P2644="","",INDEX(상세표[연속 시간],$P2644))</f>
        <v/>
      </c>
      <c r="I2644">
        <f>IF($P2644="","",INDEX(상세표[기록 수],$P2644))</f>
        <v/>
      </c>
      <c r="J2644">
        <f>IF($P2644="","",INDEX(상세표[블록 06~07시],$P2644))</f>
        <v/>
      </c>
      <c r="K2644">
        <f>IF($P2644="","",INDEX(상세표[블록 07~18시],$P2644))</f>
        <v/>
      </c>
      <c r="L2644">
        <f>IF($P2644="","",INDEX(상세표[블록 18~22시],$P2644))</f>
        <v/>
      </c>
      <c r="M2644">
        <f>IF($P2644="","",INDEX(상세표[블록 22~06시],$P2644))</f>
        <v/>
      </c>
      <c r="N2644">
        <f>IF($P2644="","",INDEX(상세표[주말·휴일 포함],$P2644)&amp;"")</f>
        <v/>
      </c>
      <c r="O2644">
        <f>IF($P2644="","",INDEX(상세표[월 넘김 포함],$P2644)&amp;"")</f>
        <v/>
      </c>
      <c r="P2644" s="4">
        <f>IFERROR(MATCH(2639,상세표[연속순번],0),"")</f>
        <v/>
      </c>
    </row>
    <row r="2645">
      <c r="A2645">
        <f>IF($P2645="","",INDEX(상세표[사번],$P2645)&amp;"")</f>
        <v/>
      </c>
      <c r="B2645">
        <f>IF($P2645="","",INDEX(상세표[성명],$P2645)&amp;"")</f>
        <v/>
      </c>
      <c r="C2645">
        <f>IF($P2645="","",INDEX(상세표[부서],$P2645)&amp;"")</f>
        <v/>
      </c>
      <c r="D2645">
        <f>IF($P2645="","",INDEX(상세표[직위],$P2645)&amp;"")</f>
        <v/>
      </c>
      <c r="E2645">
        <f>IF($P2645="","",IF(ISNUMBER(INDEX(상세표[시작],$P2645)),TEXT(INDEX(상세표[시작],$P2645),"yyyy-mm-dd hh:mm"),INDEX(상세표[시작],$P2645)&amp;""))</f>
        <v/>
      </c>
      <c r="F2645">
        <f>IF($P2645="","",IF(ISNUMBER(INDEX(상세표[블록종료],$P2645)),TEXT(INDEX(상세표[블록종료],$P2645),"yyyy-mm-dd hh:mm"),INDEX(상세표[블록종료],$P2645)&amp;""))</f>
        <v/>
      </c>
      <c r="G2645">
        <f>IF($P2645="","",CHOOSE(WEEKDAY(INDEX(상세표[시작],$P2645)),"일","월","화","수","목","금","토"))</f>
        <v/>
      </c>
      <c r="H2645">
        <f>IF($P2645="","",INDEX(상세표[연속 시간],$P2645))</f>
        <v/>
      </c>
      <c r="I2645">
        <f>IF($P2645="","",INDEX(상세표[기록 수],$P2645))</f>
        <v/>
      </c>
      <c r="J2645">
        <f>IF($P2645="","",INDEX(상세표[블록 06~07시],$P2645))</f>
        <v/>
      </c>
      <c r="K2645">
        <f>IF($P2645="","",INDEX(상세표[블록 07~18시],$P2645))</f>
        <v/>
      </c>
      <c r="L2645">
        <f>IF($P2645="","",INDEX(상세표[블록 18~22시],$P2645))</f>
        <v/>
      </c>
      <c r="M2645">
        <f>IF($P2645="","",INDEX(상세표[블록 22~06시],$P2645))</f>
        <v/>
      </c>
      <c r="N2645">
        <f>IF($P2645="","",INDEX(상세표[주말·휴일 포함],$P2645)&amp;"")</f>
        <v/>
      </c>
      <c r="O2645">
        <f>IF($P2645="","",INDEX(상세표[월 넘김 포함],$P2645)&amp;"")</f>
        <v/>
      </c>
      <c r="P2645" s="4">
        <f>IFERROR(MATCH(2640,상세표[연속순번],0),"")</f>
        <v/>
      </c>
    </row>
    <row r="2646">
      <c r="A2646">
        <f>IF($P2646="","",INDEX(상세표[사번],$P2646)&amp;"")</f>
        <v/>
      </c>
      <c r="B2646">
        <f>IF($P2646="","",INDEX(상세표[성명],$P2646)&amp;"")</f>
        <v/>
      </c>
      <c r="C2646">
        <f>IF($P2646="","",INDEX(상세표[부서],$P2646)&amp;"")</f>
        <v/>
      </c>
      <c r="D2646">
        <f>IF($P2646="","",INDEX(상세표[직위],$P2646)&amp;"")</f>
        <v/>
      </c>
      <c r="E2646">
        <f>IF($P2646="","",IF(ISNUMBER(INDEX(상세표[시작],$P2646)),TEXT(INDEX(상세표[시작],$P2646),"yyyy-mm-dd hh:mm"),INDEX(상세표[시작],$P2646)&amp;""))</f>
        <v/>
      </c>
      <c r="F2646">
        <f>IF($P2646="","",IF(ISNUMBER(INDEX(상세표[블록종료],$P2646)),TEXT(INDEX(상세표[블록종료],$P2646),"yyyy-mm-dd hh:mm"),INDEX(상세표[블록종료],$P2646)&amp;""))</f>
        <v/>
      </c>
      <c r="G2646">
        <f>IF($P2646="","",CHOOSE(WEEKDAY(INDEX(상세표[시작],$P2646)),"일","월","화","수","목","금","토"))</f>
        <v/>
      </c>
      <c r="H2646">
        <f>IF($P2646="","",INDEX(상세표[연속 시간],$P2646))</f>
        <v/>
      </c>
      <c r="I2646">
        <f>IF($P2646="","",INDEX(상세표[기록 수],$P2646))</f>
        <v/>
      </c>
      <c r="J2646">
        <f>IF($P2646="","",INDEX(상세표[블록 06~07시],$P2646))</f>
        <v/>
      </c>
      <c r="K2646">
        <f>IF($P2646="","",INDEX(상세표[블록 07~18시],$P2646))</f>
        <v/>
      </c>
      <c r="L2646">
        <f>IF($P2646="","",INDEX(상세표[블록 18~22시],$P2646))</f>
        <v/>
      </c>
      <c r="M2646">
        <f>IF($P2646="","",INDEX(상세표[블록 22~06시],$P2646))</f>
        <v/>
      </c>
      <c r="N2646">
        <f>IF($P2646="","",INDEX(상세표[주말·휴일 포함],$P2646)&amp;"")</f>
        <v/>
      </c>
      <c r="O2646">
        <f>IF($P2646="","",INDEX(상세표[월 넘김 포함],$P2646)&amp;"")</f>
        <v/>
      </c>
      <c r="P2646" s="4">
        <f>IFERROR(MATCH(2641,상세표[연속순번],0),"")</f>
        <v/>
      </c>
    </row>
    <row r="2647">
      <c r="A2647">
        <f>IF($P2647="","",INDEX(상세표[사번],$P2647)&amp;"")</f>
        <v/>
      </c>
      <c r="B2647">
        <f>IF($P2647="","",INDEX(상세표[성명],$P2647)&amp;"")</f>
        <v/>
      </c>
      <c r="C2647">
        <f>IF($P2647="","",INDEX(상세표[부서],$P2647)&amp;"")</f>
        <v/>
      </c>
      <c r="D2647">
        <f>IF($P2647="","",INDEX(상세표[직위],$P2647)&amp;"")</f>
        <v/>
      </c>
      <c r="E2647">
        <f>IF($P2647="","",IF(ISNUMBER(INDEX(상세표[시작],$P2647)),TEXT(INDEX(상세표[시작],$P2647),"yyyy-mm-dd hh:mm"),INDEX(상세표[시작],$P2647)&amp;""))</f>
        <v/>
      </c>
      <c r="F2647">
        <f>IF($P2647="","",IF(ISNUMBER(INDEX(상세표[블록종료],$P2647)),TEXT(INDEX(상세표[블록종료],$P2647),"yyyy-mm-dd hh:mm"),INDEX(상세표[블록종료],$P2647)&amp;""))</f>
        <v/>
      </c>
      <c r="G2647">
        <f>IF($P2647="","",CHOOSE(WEEKDAY(INDEX(상세표[시작],$P2647)),"일","월","화","수","목","금","토"))</f>
        <v/>
      </c>
      <c r="H2647">
        <f>IF($P2647="","",INDEX(상세표[연속 시간],$P2647))</f>
        <v/>
      </c>
      <c r="I2647">
        <f>IF($P2647="","",INDEX(상세표[기록 수],$P2647))</f>
        <v/>
      </c>
      <c r="J2647">
        <f>IF($P2647="","",INDEX(상세표[블록 06~07시],$P2647))</f>
        <v/>
      </c>
      <c r="K2647">
        <f>IF($P2647="","",INDEX(상세표[블록 07~18시],$P2647))</f>
        <v/>
      </c>
      <c r="L2647">
        <f>IF($P2647="","",INDEX(상세표[블록 18~22시],$P2647))</f>
        <v/>
      </c>
      <c r="M2647">
        <f>IF($P2647="","",INDEX(상세표[블록 22~06시],$P2647))</f>
        <v/>
      </c>
      <c r="N2647">
        <f>IF($P2647="","",INDEX(상세표[주말·휴일 포함],$P2647)&amp;"")</f>
        <v/>
      </c>
      <c r="O2647">
        <f>IF($P2647="","",INDEX(상세표[월 넘김 포함],$P2647)&amp;"")</f>
        <v/>
      </c>
      <c r="P2647" s="4">
        <f>IFERROR(MATCH(2642,상세표[연속순번],0),"")</f>
        <v/>
      </c>
    </row>
    <row r="2648">
      <c r="A2648">
        <f>IF($P2648="","",INDEX(상세표[사번],$P2648)&amp;"")</f>
        <v/>
      </c>
      <c r="B2648">
        <f>IF($P2648="","",INDEX(상세표[성명],$P2648)&amp;"")</f>
        <v/>
      </c>
      <c r="C2648">
        <f>IF($P2648="","",INDEX(상세표[부서],$P2648)&amp;"")</f>
        <v/>
      </c>
      <c r="D2648">
        <f>IF($P2648="","",INDEX(상세표[직위],$P2648)&amp;"")</f>
        <v/>
      </c>
      <c r="E2648">
        <f>IF($P2648="","",IF(ISNUMBER(INDEX(상세표[시작],$P2648)),TEXT(INDEX(상세표[시작],$P2648),"yyyy-mm-dd hh:mm"),INDEX(상세표[시작],$P2648)&amp;""))</f>
        <v/>
      </c>
      <c r="F2648">
        <f>IF($P2648="","",IF(ISNUMBER(INDEX(상세표[블록종료],$P2648)),TEXT(INDEX(상세표[블록종료],$P2648),"yyyy-mm-dd hh:mm"),INDEX(상세표[블록종료],$P2648)&amp;""))</f>
        <v/>
      </c>
      <c r="G2648">
        <f>IF($P2648="","",CHOOSE(WEEKDAY(INDEX(상세표[시작],$P2648)),"일","월","화","수","목","금","토"))</f>
        <v/>
      </c>
      <c r="H2648">
        <f>IF($P2648="","",INDEX(상세표[연속 시간],$P2648))</f>
        <v/>
      </c>
      <c r="I2648">
        <f>IF($P2648="","",INDEX(상세표[기록 수],$P2648))</f>
        <v/>
      </c>
      <c r="J2648">
        <f>IF($P2648="","",INDEX(상세표[블록 06~07시],$P2648))</f>
        <v/>
      </c>
      <c r="K2648">
        <f>IF($P2648="","",INDEX(상세표[블록 07~18시],$P2648))</f>
        <v/>
      </c>
      <c r="L2648">
        <f>IF($P2648="","",INDEX(상세표[블록 18~22시],$P2648))</f>
        <v/>
      </c>
      <c r="M2648">
        <f>IF($P2648="","",INDEX(상세표[블록 22~06시],$P2648))</f>
        <v/>
      </c>
      <c r="N2648">
        <f>IF($P2648="","",INDEX(상세표[주말·휴일 포함],$P2648)&amp;"")</f>
        <v/>
      </c>
      <c r="O2648">
        <f>IF($P2648="","",INDEX(상세표[월 넘김 포함],$P2648)&amp;"")</f>
        <v/>
      </c>
      <c r="P2648" s="4">
        <f>IFERROR(MATCH(2643,상세표[연속순번],0),"")</f>
        <v/>
      </c>
    </row>
    <row r="2649">
      <c r="A2649">
        <f>IF($P2649="","",INDEX(상세표[사번],$P2649)&amp;"")</f>
        <v/>
      </c>
      <c r="B2649">
        <f>IF($P2649="","",INDEX(상세표[성명],$P2649)&amp;"")</f>
        <v/>
      </c>
      <c r="C2649">
        <f>IF($P2649="","",INDEX(상세표[부서],$P2649)&amp;"")</f>
        <v/>
      </c>
      <c r="D2649">
        <f>IF($P2649="","",INDEX(상세표[직위],$P2649)&amp;"")</f>
        <v/>
      </c>
      <c r="E2649">
        <f>IF($P2649="","",IF(ISNUMBER(INDEX(상세표[시작],$P2649)),TEXT(INDEX(상세표[시작],$P2649),"yyyy-mm-dd hh:mm"),INDEX(상세표[시작],$P2649)&amp;""))</f>
        <v/>
      </c>
      <c r="F2649">
        <f>IF($P2649="","",IF(ISNUMBER(INDEX(상세표[블록종료],$P2649)),TEXT(INDEX(상세표[블록종료],$P2649),"yyyy-mm-dd hh:mm"),INDEX(상세표[블록종료],$P2649)&amp;""))</f>
        <v/>
      </c>
      <c r="G2649">
        <f>IF($P2649="","",CHOOSE(WEEKDAY(INDEX(상세표[시작],$P2649)),"일","월","화","수","목","금","토"))</f>
        <v/>
      </c>
      <c r="H2649">
        <f>IF($P2649="","",INDEX(상세표[연속 시간],$P2649))</f>
        <v/>
      </c>
      <c r="I2649">
        <f>IF($P2649="","",INDEX(상세표[기록 수],$P2649))</f>
        <v/>
      </c>
      <c r="J2649">
        <f>IF($P2649="","",INDEX(상세표[블록 06~07시],$P2649))</f>
        <v/>
      </c>
      <c r="K2649">
        <f>IF($P2649="","",INDEX(상세표[블록 07~18시],$P2649))</f>
        <v/>
      </c>
      <c r="L2649">
        <f>IF($P2649="","",INDEX(상세표[블록 18~22시],$P2649))</f>
        <v/>
      </c>
      <c r="M2649">
        <f>IF($P2649="","",INDEX(상세표[블록 22~06시],$P2649))</f>
        <v/>
      </c>
      <c r="N2649">
        <f>IF($P2649="","",INDEX(상세표[주말·휴일 포함],$P2649)&amp;"")</f>
        <v/>
      </c>
      <c r="O2649">
        <f>IF($P2649="","",INDEX(상세표[월 넘김 포함],$P2649)&amp;"")</f>
        <v/>
      </c>
      <c r="P2649" s="4">
        <f>IFERROR(MATCH(2644,상세표[연속순번],0),"")</f>
        <v/>
      </c>
    </row>
    <row r="2650">
      <c r="A2650">
        <f>IF($P2650="","",INDEX(상세표[사번],$P2650)&amp;"")</f>
        <v/>
      </c>
      <c r="B2650">
        <f>IF($P2650="","",INDEX(상세표[성명],$P2650)&amp;"")</f>
        <v/>
      </c>
      <c r="C2650">
        <f>IF($P2650="","",INDEX(상세표[부서],$P2650)&amp;"")</f>
        <v/>
      </c>
      <c r="D2650">
        <f>IF($P2650="","",INDEX(상세표[직위],$P2650)&amp;"")</f>
        <v/>
      </c>
      <c r="E2650">
        <f>IF($P2650="","",IF(ISNUMBER(INDEX(상세표[시작],$P2650)),TEXT(INDEX(상세표[시작],$P2650),"yyyy-mm-dd hh:mm"),INDEX(상세표[시작],$P2650)&amp;""))</f>
        <v/>
      </c>
      <c r="F2650">
        <f>IF($P2650="","",IF(ISNUMBER(INDEX(상세표[블록종료],$P2650)),TEXT(INDEX(상세표[블록종료],$P2650),"yyyy-mm-dd hh:mm"),INDEX(상세표[블록종료],$P2650)&amp;""))</f>
        <v/>
      </c>
      <c r="G2650">
        <f>IF($P2650="","",CHOOSE(WEEKDAY(INDEX(상세표[시작],$P2650)),"일","월","화","수","목","금","토"))</f>
        <v/>
      </c>
      <c r="H2650">
        <f>IF($P2650="","",INDEX(상세표[연속 시간],$P2650))</f>
        <v/>
      </c>
      <c r="I2650">
        <f>IF($P2650="","",INDEX(상세표[기록 수],$P2650))</f>
        <v/>
      </c>
      <c r="J2650">
        <f>IF($P2650="","",INDEX(상세표[블록 06~07시],$P2650))</f>
        <v/>
      </c>
      <c r="K2650">
        <f>IF($P2650="","",INDEX(상세표[블록 07~18시],$P2650))</f>
        <v/>
      </c>
      <c r="L2650">
        <f>IF($P2650="","",INDEX(상세표[블록 18~22시],$P2650))</f>
        <v/>
      </c>
      <c r="M2650">
        <f>IF($P2650="","",INDEX(상세표[블록 22~06시],$P2650))</f>
        <v/>
      </c>
      <c r="N2650">
        <f>IF($P2650="","",INDEX(상세표[주말·휴일 포함],$P2650)&amp;"")</f>
        <v/>
      </c>
      <c r="O2650">
        <f>IF($P2650="","",INDEX(상세표[월 넘김 포함],$P2650)&amp;"")</f>
        <v/>
      </c>
      <c r="P2650" s="4">
        <f>IFERROR(MATCH(2645,상세표[연속순번],0),"")</f>
        <v/>
      </c>
    </row>
    <row r="2651">
      <c r="A2651">
        <f>IF($P2651="","",INDEX(상세표[사번],$P2651)&amp;"")</f>
        <v/>
      </c>
      <c r="B2651">
        <f>IF($P2651="","",INDEX(상세표[성명],$P2651)&amp;"")</f>
        <v/>
      </c>
      <c r="C2651">
        <f>IF($P2651="","",INDEX(상세표[부서],$P2651)&amp;"")</f>
        <v/>
      </c>
      <c r="D2651">
        <f>IF($P2651="","",INDEX(상세표[직위],$P2651)&amp;"")</f>
        <v/>
      </c>
      <c r="E2651">
        <f>IF($P2651="","",IF(ISNUMBER(INDEX(상세표[시작],$P2651)),TEXT(INDEX(상세표[시작],$P2651),"yyyy-mm-dd hh:mm"),INDEX(상세표[시작],$P2651)&amp;""))</f>
        <v/>
      </c>
      <c r="F2651">
        <f>IF($P2651="","",IF(ISNUMBER(INDEX(상세표[블록종료],$P2651)),TEXT(INDEX(상세표[블록종료],$P2651),"yyyy-mm-dd hh:mm"),INDEX(상세표[블록종료],$P2651)&amp;""))</f>
        <v/>
      </c>
      <c r="G2651">
        <f>IF($P2651="","",CHOOSE(WEEKDAY(INDEX(상세표[시작],$P2651)),"일","월","화","수","목","금","토"))</f>
        <v/>
      </c>
      <c r="H2651">
        <f>IF($P2651="","",INDEX(상세표[연속 시간],$P2651))</f>
        <v/>
      </c>
      <c r="I2651">
        <f>IF($P2651="","",INDEX(상세표[기록 수],$P2651))</f>
        <v/>
      </c>
      <c r="J2651">
        <f>IF($P2651="","",INDEX(상세표[블록 06~07시],$P2651))</f>
        <v/>
      </c>
      <c r="K2651">
        <f>IF($P2651="","",INDEX(상세표[블록 07~18시],$P2651))</f>
        <v/>
      </c>
      <c r="L2651">
        <f>IF($P2651="","",INDEX(상세표[블록 18~22시],$P2651))</f>
        <v/>
      </c>
      <c r="M2651">
        <f>IF($P2651="","",INDEX(상세표[블록 22~06시],$P2651))</f>
        <v/>
      </c>
      <c r="N2651">
        <f>IF($P2651="","",INDEX(상세표[주말·휴일 포함],$P2651)&amp;"")</f>
        <v/>
      </c>
      <c r="O2651">
        <f>IF($P2651="","",INDEX(상세표[월 넘김 포함],$P2651)&amp;"")</f>
        <v/>
      </c>
      <c r="P2651" s="4">
        <f>IFERROR(MATCH(2646,상세표[연속순번],0),"")</f>
        <v/>
      </c>
    </row>
    <row r="2652">
      <c r="A2652">
        <f>IF($P2652="","",INDEX(상세표[사번],$P2652)&amp;"")</f>
        <v/>
      </c>
      <c r="B2652">
        <f>IF($P2652="","",INDEX(상세표[성명],$P2652)&amp;"")</f>
        <v/>
      </c>
      <c r="C2652">
        <f>IF($P2652="","",INDEX(상세표[부서],$P2652)&amp;"")</f>
        <v/>
      </c>
      <c r="D2652">
        <f>IF($P2652="","",INDEX(상세표[직위],$P2652)&amp;"")</f>
        <v/>
      </c>
      <c r="E2652">
        <f>IF($P2652="","",IF(ISNUMBER(INDEX(상세표[시작],$P2652)),TEXT(INDEX(상세표[시작],$P2652),"yyyy-mm-dd hh:mm"),INDEX(상세표[시작],$P2652)&amp;""))</f>
        <v/>
      </c>
      <c r="F2652">
        <f>IF($P2652="","",IF(ISNUMBER(INDEX(상세표[블록종료],$P2652)),TEXT(INDEX(상세표[블록종료],$P2652),"yyyy-mm-dd hh:mm"),INDEX(상세표[블록종료],$P2652)&amp;""))</f>
        <v/>
      </c>
      <c r="G2652">
        <f>IF($P2652="","",CHOOSE(WEEKDAY(INDEX(상세표[시작],$P2652)),"일","월","화","수","목","금","토"))</f>
        <v/>
      </c>
      <c r="H2652">
        <f>IF($P2652="","",INDEX(상세표[연속 시간],$P2652))</f>
        <v/>
      </c>
      <c r="I2652">
        <f>IF($P2652="","",INDEX(상세표[기록 수],$P2652))</f>
        <v/>
      </c>
      <c r="J2652">
        <f>IF($P2652="","",INDEX(상세표[블록 06~07시],$P2652))</f>
        <v/>
      </c>
      <c r="K2652">
        <f>IF($P2652="","",INDEX(상세표[블록 07~18시],$P2652))</f>
        <v/>
      </c>
      <c r="L2652">
        <f>IF($P2652="","",INDEX(상세표[블록 18~22시],$P2652))</f>
        <v/>
      </c>
      <c r="M2652">
        <f>IF($P2652="","",INDEX(상세표[블록 22~06시],$P2652))</f>
        <v/>
      </c>
      <c r="N2652">
        <f>IF($P2652="","",INDEX(상세표[주말·휴일 포함],$P2652)&amp;"")</f>
        <v/>
      </c>
      <c r="O2652">
        <f>IF($P2652="","",INDEX(상세표[월 넘김 포함],$P2652)&amp;"")</f>
        <v/>
      </c>
      <c r="P2652" s="4">
        <f>IFERROR(MATCH(2647,상세표[연속순번],0),"")</f>
        <v/>
      </c>
    </row>
    <row r="2653">
      <c r="A2653">
        <f>IF($P2653="","",INDEX(상세표[사번],$P2653)&amp;"")</f>
        <v/>
      </c>
      <c r="B2653">
        <f>IF($P2653="","",INDEX(상세표[성명],$P2653)&amp;"")</f>
        <v/>
      </c>
      <c r="C2653">
        <f>IF($P2653="","",INDEX(상세표[부서],$P2653)&amp;"")</f>
        <v/>
      </c>
      <c r="D2653">
        <f>IF($P2653="","",INDEX(상세표[직위],$P2653)&amp;"")</f>
        <v/>
      </c>
      <c r="E2653">
        <f>IF($P2653="","",IF(ISNUMBER(INDEX(상세표[시작],$P2653)),TEXT(INDEX(상세표[시작],$P2653),"yyyy-mm-dd hh:mm"),INDEX(상세표[시작],$P2653)&amp;""))</f>
        <v/>
      </c>
      <c r="F2653">
        <f>IF($P2653="","",IF(ISNUMBER(INDEX(상세표[블록종료],$P2653)),TEXT(INDEX(상세표[블록종료],$P2653),"yyyy-mm-dd hh:mm"),INDEX(상세표[블록종료],$P2653)&amp;""))</f>
        <v/>
      </c>
      <c r="G2653">
        <f>IF($P2653="","",CHOOSE(WEEKDAY(INDEX(상세표[시작],$P2653)),"일","월","화","수","목","금","토"))</f>
        <v/>
      </c>
      <c r="H2653">
        <f>IF($P2653="","",INDEX(상세표[연속 시간],$P2653))</f>
        <v/>
      </c>
      <c r="I2653">
        <f>IF($P2653="","",INDEX(상세표[기록 수],$P2653))</f>
        <v/>
      </c>
      <c r="J2653">
        <f>IF($P2653="","",INDEX(상세표[블록 06~07시],$P2653))</f>
        <v/>
      </c>
      <c r="K2653">
        <f>IF($P2653="","",INDEX(상세표[블록 07~18시],$P2653))</f>
        <v/>
      </c>
      <c r="L2653">
        <f>IF($P2653="","",INDEX(상세표[블록 18~22시],$P2653))</f>
        <v/>
      </c>
      <c r="M2653">
        <f>IF($P2653="","",INDEX(상세표[블록 22~06시],$P2653))</f>
        <v/>
      </c>
      <c r="N2653">
        <f>IF($P2653="","",INDEX(상세표[주말·휴일 포함],$P2653)&amp;"")</f>
        <v/>
      </c>
      <c r="O2653">
        <f>IF($P2653="","",INDEX(상세표[월 넘김 포함],$P2653)&amp;"")</f>
        <v/>
      </c>
      <c r="P2653" s="4">
        <f>IFERROR(MATCH(2648,상세표[연속순번],0),"")</f>
        <v/>
      </c>
    </row>
    <row r="2654">
      <c r="A2654">
        <f>IF($P2654="","",INDEX(상세표[사번],$P2654)&amp;"")</f>
        <v/>
      </c>
      <c r="B2654">
        <f>IF($P2654="","",INDEX(상세표[성명],$P2654)&amp;"")</f>
        <v/>
      </c>
      <c r="C2654">
        <f>IF($P2654="","",INDEX(상세표[부서],$P2654)&amp;"")</f>
        <v/>
      </c>
      <c r="D2654">
        <f>IF($P2654="","",INDEX(상세표[직위],$P2654)&amp;"")</f>
        <v/>
      </c>
      <c r="E2654">
        <f>IF($P2654="","",IF(ISNUMBER(INDEX(상세표[시작],$P2654)),TEXT(INDEX(상세표[시작],$P2654),"yyyy-mm-dd hh:mm"),INDEX(상세표[시작],$P2654)&amp;""))</f>
        <v/>
      </c>
      <c r="F2654">
        <f>IF($P2654="","",IF(ISNUMBER(INDEX(상세표[블록종료],$P2654)),TEXT(INDEX(상세표[블록종료],$P2654),"yyyy-mm-dd hh:mm"),INDEX(상세표[블록종료],$P2654)&amp;""))</f>
        <v/>
      </c>
      <c r="G2654">
        <f>IF($P2654="","",CHOOSE(WEEKDAY(INDEX(상세표[시작],$P2654)),"일","월","화","수","목","금","토"))</f>
        <v/>
      </c>
      <c r="H2654">
        <f>IF($P2654="","",INDEX(상세표[연속 시간],$P2654))</f>
        <v/>
      </c>
      <c r="I2654">
        <f>IF($P2654="","",INDEX(상세표[기록 수],$P2654))</f>
        <v/>
      </c>
      <c r="J2654">
        <f>IF($P2654="","",INDEX(상세표[블록 06~07시],$P2654))</f>
        <v/>
      </c>
      <c r="K2654">
        <f>IF($P2654="","",INDEX(상세표[블록 07~18시],$P2654))</f>
        <v/>
      </c>
      <c r="L2654">
        <f>IF($P2654="","",INDEX(상세표[블록 18~22시],$P2654))</f>
        <v/>
      </c>
      <c r="M2654">
        <f>IF($P2654="","",INDEX(상세표[블록 22~06시],$P2654))</f>
        <v/>
      </c>
      <c r="N2654">
        <f>IF($P2654="","",INDEX(상세표[주말·휴일 포함],$P2654)&amp;"")</f>
        <v/>
      </c>
      <c r="O2654">
        <f>IF($P2654="","",INDEX(상세표[월 넘김 포함],$P2654)&amp;"")</f>
        <v/>
      </c>
      <c r="P2654" s="4">
        <f>IFERROR(MATCH(2649,상세표[연속순번],0),"")</f>
        <v/>
      </c>
    </row>
    <row r="2655">
      <c r="A2655">
        <f>IF($P2655="","",INDEX(상세표[사번],$P2655)&amp;"")</f>
        <v/>
      </c>
      <c r="B2655">
        <f>IF($P2655="","",INDEX(상세표[성명],$P2655)&amp;"")</f>
        <v/>
      </c>
      <c r="C2655">
        <f>IF($P2655="","",INDEX(상세표[부서],$P2655)&amp;"")</f>
        <v/>
      </c>
      <c r="D2655">
        <f>IF($P2655="","",INDEX(상세표[직위],$P2655)&amp;"")</f>
        <v/>
      </c>
      <c r="E2655">
        <f>IF($P2655="","",IF(ISNUMBER(INDEX(상세표[시작],$P2655)),TEXT(INDEX(상세표[시작],$P2655),"yyyy-mm-dd hh:mm"),INDEX(상세표[시작],$P2655)&amp;""))</f>
        <v/>
      </c>
      <c r="F2655">
        <f>IF($P2655="","",IF(ISNUMBER(INDEX(상세표[블록종료],$P2655)),TEXT(INDEX(상세표[블록종료],$P2655),"yyyy-mm-dd hh:mm"),INDEX(상세표[블록종료],$P2655)&amp;""))</f>
        <v/>
      </c>
      <c r="G2655">
        <f>IF($P2655="","",CHOOSE(WEEKDAY(INDEX(상세표[시작],$P2655)),"일","월","화","수","목","금","토"))</f>
        <v/>
      </c>
      <c r="H2655">
        <f>IF($P2655="","",INDEX(상세표[연속 시간],$P2655))</f>
        <v/>
      </c>
      <c r="I2655">
        <f>IF($P2655="","",INDEX(상세표[기록 수],$P2655))</f>
        <v/>
      </c>
      <c r="J2655">
        <f>IF($P2655="","",INDEX(상세표[블록 06~07시],$P2655))</f>
        <v/>
      </c>
      <c r="K2655">
        <f>IF($P2655="","",INDEX(상세표[블록 07~18시],$P2655))</f>
        <v/>
      </c>
      <c r="L2655">
        <f>IF($P2655="","",INDEX(상세표[블록 18~22시],$P2655))</f>
        <v/>
      </c>
      <c r="M2655">
        <f>IF($P2655="","",INDEX(상세표[블록 22~06시],$P2655))</f>
        <v/>
      </c>
      <c r="N2655">
        <f>IF($P2655="","",INDEX(상세표[주말·휴일 포함],$P2655)&amp;"")</f>
        <v/>
      </c>
      <c r="O2655">
        <f>IF($P2655="","",INDEX(상세표[월 넘김 포함],$P2655)&amp;"")</f>
        <v/>
      </c>
      <c r="P2655" s="4">
        <f>IFERROR(MATCH(2650,상세표[연속순번],0),"")</f>
        <v/>
      </c>
    </row>
    <row r="2656">
      <c r="A2656">
        <f>IF($P2656="","",INDEX(상세표[사번],$P2656)&amp;"")</f>
        <v/>
      </c>
      <c r="B2656">
        <f>IF($P2656="","",INDEX(상세표[성명],$P2656)&amp;"")</f>
        <v/>
      </c>
      <c r="C2656">
        <f>IF($P2656="","",INDEX(상세표[부서],$P2656)&amp;"")</f>
        <v/>
      </c>
      <c r="D2656">
        <f>IF($P2656="","",INDEX(상세표[직위],$P2656)&amp;"")</f>
        <v/>
      </c>
      <c r="E2656">
        <f>IF($P2656="","",IF(ISNUMBER(INDEX(상세표[시작],$P2656)),TEXT(INDEX(상세표[시작],$P2656),"yyyy-mm-dd hh:mm"),INDEX(상세표[시작],$P2656)&amp;""))</f>
        <v/>
      </c>
      <c r="F2656">
        <f>IF($P2656="","",IF(ISNUMBER(INDEX(상세표[블록종료],$P2656)),TEXT(INDEX(상세표[블록종료],$P2656),"yyyy-mm-dd hh:mm"),INDEX(상세표[블록종료],$P2656)&amp;""))</f>
        <v/>
      </c>
      <c r="G2656">
        <f>IF($P2656="","",CHOOSE(WEEKDAY(INDEX(상세표[시작],$P2656)),"일","월","화","수","목","금","토"))</f>
        <v/>
      </c>
      <c r="H2656">
        <f>IF($P2656="","",INDEX(상세표[연속 시간],$P2656))</f>
        <v/>
      </c>
      <c r="I2656">
        <f>IF($P2656="","",INDEX(상세표[기록 수],$P2656))</f>
        <v/>
      </c>
      <c r="J2656">
        <f>IF($P2656="","",INDEX(상세표[블록 06~07시],$P2656))</f>
        <v/>
      </c>
      <c r="K2656">
        <f>IF($P2656="","",INDEX(상세표[블록 07~18시],$P2656))</f>
        <v/>
      </c>
      <c r="L2656">
        <f>IF($P2656="","",INDEX(상세표[블록 18~22시],$P2656))</f>
        <v/>
      </c>
      <c r="M2656">
        <f>IF($P2656="","",INDEX(상세표[블록 22~06시],$P2656))</f>
        <v/>
      </c>
      <c r="N2656">
        <f>IF($P2656="","",INDEX(상세표[주말·휴일 포함],$P2656)&amp;"")</f>
        <v/>
      </c>
      <c r="O2656">
        <f>IF($P2656="","",INDEX(상세표[월 넘김 포함],$P2656)&amp;"")</f>
        <v/>
      </c>
      <c r="P2656" s="4">
        <f>IFERROR(MATCH(2651,상세표[연속순번],0),"")</f>
        <v/>
      </c>
    </row>
    <row r="2657">
      <c r="A2657">
        <f>IF($P2657="","",INDEX(상세표[사번],$P2657)&amp;"")</f>
        <v/>
      </c>
      <c r="B2657">
        <f>IF($P2657="","",INDEX(상세표[성명],$P2657)&amp;"")</f>
        <v/>
      </c>
      <c r="C2657">
        <f>IF($P2657="","",INDEX(상세표[부서],$P2657)&amp;"")</f>
        <v/>
      </c>
      <c r="D2657">
        <f>IF($P2657="","",INDEX(상세표[직위],$P2657)&amp;"")</f>
        <v/>
      </c>
      <c r="E2657">
        <f>IF($P2657="","",IF(ISNUMBER(INDEX(상세표[시작],$P2657)),TEXT(INDEX(상세표[시작],$P2657),"yyyy-mm-dd hh:mm"),INDEX(상세표[시작],$P2657)&amp;""))</f>
        <v/>
      </c>
      <c r="F2657">
        <f>IF($P2657="","",IF(ISNUMBER(INDEX(상세표[블록종료],$P2657)),TEXT(INDEX(상세표[블록종료],$P2657),"yyyy-mm-dd hh:mm"),INDEX(상세표[블록종료],$P2657)&amp;""))</f>
        <v/>
      </c>
      <c r="G2657">
        <f>IF($P2657="","",CHOOSE(WEEKDAY(INDEX(상세표[시작],$P2657)),"일","월","화","수","목","금","토"))</f>
        <v/>
      </c>
      <c r="H2657">
        <f>IF($P2657="","",INDEX(상세표[연속 시간],$P2657))</f>
        <v/>
      </c>
      <c r="I2657">
        <f>IF($P2657="","",INDEX(상세표[기록 수],$P2657))</f>
        <v/>
      </c>
      <c r="J2657">
        <f>IF($P2657="","",INDEX(상세표[블록 06~07시],$P2657))</f>
        <v/>
      </c>
      <c r="K2657">
        <f>IF($P2657="","",INDEX(상세표[블록 07~18시],$P2657))</f>
        <v/>
      </c>
      <c r="L2657">
        <f>IF($P2657="","",INDEX(상세표[블록 18~22시],$P2657))</f>
        <v/>
      </c>
      <c r="M2657">
        <f>IF($P2657="","",INDEX(상세표[블록 22~06시],$P2657))</f>
        <v/>
      </c>
      <c r="N2657">
        <f>IF($P2657="","",INDEX(상세표[주말·휴일 포함],$P2657)&amp;"")</f>
        <v/>
      </c>
      <c r="O2657">
        <f>IF($P2657="","",INDEX(상세표[월 넘김 포함],$P2657)&amp;"")</f>
        <v/>
      </c>
      <c r="P2657" s="4">
        <f>IFERROR(MATCH(2652,상세표[연속순번],0),"")</f>
        <v/>
      </c>
    </row>
    <row r="2658">
      <c r="A2658">
        <f>IF($P2658="","",INDEX(상세표[사번],$P2658)&amp;"")</f>
        <v/>
      </c>
      <c r="B2658">
        <f>IF($P2658="","",INDEX(상세표[성명],$P2658)&amp;"")</f>
        <v/>
      </c>
      <c r="C2658">
        <f>IF($P2658="","",INDEX(상세표[부서],$P2658)&amp;"")</f>
        <v/>
      </c>
      <c r="D2658">
        <f>IF($P2658="","",INDEX(상세표[직위],$P2658)&amp;"")</f>
        <v/>
      </c>
      <c r="E2658">
        <f>IF($P2658="","",IF(ISNUMBER(INDEX(상세표[시작],$P2658)),TEXT(INDEX(상세표[시작],$P2658),"yyyy-mm-dd hh:mm"),INDEX(상세표[시작],$P2658)&amp;""))</f>
        <v/>
      </c>
      <c r="F2658">
        <f>IF($P2658="","",IF(ISNUMBER(INDEX(상세표[블록종료],$P2658)),TEXT(INDEX(상세표[블록종료],$P2658),"yyyy-mm-dd hh:mm"),INDEX(상세표[블록종료],$P2658)&amp;""))</f>
        <v/>
      </c>
      <c r="G2658">
        <f>IF($P2658="","",CHOOSE(WEEKDAY(INDEX(상세표[시작],$P2658)),"일","월","화","수","목","금","토"))</f>
        <v/>
      </c>
      <c r="H2658">
        <f>IF($P2658="","",INDEX(상세표[연속 시간],$P2658))</f>
        <v/>
      </c>
      <c r="I2658">
        <f>IF($P2658="","",INDEX(상세표[기록 수],$P2658))</f>
        <v/>
      </c>
      <c r="J2658">
        <f>IF($P2658="","",INDEX(상세표[블록 06~07시],$P2658))</f>
        <v/>
      </c>
      <c r="K2658">
        <f>IF($P2658="","",INDEX(상세표[블록 07~18시],$P2658))</f>
        <v/>
      </c>
      <c r="L2658">
        <f>IF($P2658="","",INDEX(상세표[블록 18~22시],$P2658))</f>
        <v/>
      </c>
      <c r="M2658">
        <f>IF($P2658="","",INDEX(상세표[블록 22~06시],$P2658))</f>
        <v/>
      </c>
      <c r="N2658">
        <f>IF($P2658="","",INDEX(상세표[주말·휴일 포함],$P2658)&amp;"")</f>
        <v/>
      </c>
      <c r="O2658">
        <f>IF($P2658="","",INDEX(상세표[월 넘김 포함],$P2658)&amp;"")</f>
        <v/>
      </c>
      <c r="P2658" s="4">
        <f>IFERROR(MATCH(2653,상세표[연속순번],0),"")</f>
        <v/>
      </c>
    </row>
    <row r="2659">
      <c r="A2659">
        <f>IF($P2659="","",INDEX(상세표[사번],$P2659)&amp;"")</f>
        <v/>
      </c>
      <c r="B2659">
        <f>IF($P2659="","",INDEX(상세표[성명],$P2659)&amp;"")</f>
        <v/>
      </c>
      <c r="C2659">
        <f>IF($P2659="","",INDEX(상세표[부서],$P2659)&amp;"")</f>
        <v/>
      </c>
      <c r="D2659">
        <f>IF($P2659="","",INDEX(상세표[직위],$P2659)&amp;"")</f>
        <v/>
      </c>
      <c r="E2659">
        <f>IF($P2659="","",IF(ISNUMBER(INDEX(상세표[시작],$P2659)),TEXT(INDEX(상세표[시작],$P2659),"yyyy-mm-dd hh:mm"),INDEX(상세표[시작],$P2659)&amp;""))</f>
        <v/>
      </c>
      <c r="F2659">
        <f>IF($P2659="","",IF(ISNUMBER(INDEX(상세표[블록종료],$P2659)),TEXT(INDEX(상세표[블록종료],$P2659),"yyyy-mm-dd hh:mm"),INDEX(상세표[블록종료],$P2659)&amp;""))</f>
        <v/>
      </c>
      <c r="G2659">
        <f>IF($P2659="","",CHOOSE(WEEKDAY(INDEX(상세표[시작],$P2659)),"일","월","화","수","목","금","토"))</f>
        <v/>
      </c>
      <c r="H2659">
        <f>IF($P2659="","",INDEX(상세표[연속 시간],$P2659))</f>
        <v/>
      </c>
      <c r="I2659">
        <f>IF($P2659="","",INDEX(상세표[기록 수],$P2659))</f>
        <v/>
      </c>
      <c r="J2659">
        <f>IF($P2659="","",INDEX(상세표[블록 06~07시],$P2659))</f>
        <v/>
      </c>
      <c r="K2659">
        <f>IF($P2659="","",INDEX(상세표[블록 07~18시],$P2659))</f>
        <v/>
      </c>
      <c r="L2659">
        <f>IF($P2659="","",INDEX(상세표[블록 18~22시],$P2659))</f>
        <v/>
      </c>
      <c r="M2659">
        <f>IF($P2659="","",INDEX(상세표[블록 22~06시],$P2659))</f>
        <v/>
      </c>
      <c r="N2659">
        <f>IF($P2659="","",INDEX(상세표[주말·휴일 포함],$P2659)&amp;"")</f>
        <v/>
      </c>
      <c r="O2659">
        <f>IF($P2659="","",INDEX(상세표[월 넘김 포함],$P2659)&amp;"")</f>
        <v/>
      </c>
      <c r="P2659" s="4">
        <f>IFERROR(MATCH(2654,상세표[연속순번],0),"")</f>
        <v/>
      </c>
    </row>
    <row r="2660">
      <c r="A2660">
        <f>IF($P2660="","",INDEX(상세표[사번],$P2660)&amp;"")</f>
        <v/>
      </c>
      <c r="B2660">
        <f>IF($P2660="","",INDEX(상세표[성명],$P2660)&amp;"")</f>
        <v/>
      </c>
      <c r="C2660">
        <f>IF($P2660="","",INDEX(상세표[부서],$P2660)&amp;"")</f>
        <v/>
      </c>
      <c r="D2660">
        <f>IF($P2660="","",INDEX(상세표[직위],$P2660)&amp;"")</f>
        <v/>
      </c>
      <c r="E2660">
        <f>IF($P2660="","",IF(ISNUMBER(INDEX(상세표[시작],$P2660)),TEXT(INDEX(상세표[시작],$P2660),"yyyy-mm-dd hh:mm"),INDEX(상세표[시작],$P2660)&amp;""))</f>
        <v/>
      </c>
      <c r="F2660">
        <f>IF($P2660="","",IF(ISNUMBER(INDEX(상세표[블록종료],$P2660)),TEXT(INDEX(상세표[블록종료],$P2660),"yyyy-mm-dd hh:mm"),INDEX(상세표[블록종료],$P2660)&amp;""))</f>
        <v/>
      </c>
      <c r="G2660">
        <f>IF($P2660="","",CHOOSE(WEEKDAY(INDEX(상세표[시작],$P2660)),"일","월","화","수","목","금","토"))</f>
        <v/>
      </c>
      <c r="H2660">
        <f>IF($P2660="","",INDEX(상세표[연속 시간],$P2660))</f>
        <v/>
      </c>
      <c r="I2660">
        <f>IF($P2660="","",INDEX(상세표[기록 수],$P2660))</f>
        <v/>
      </c>
      <c r="J2660">
        <f>IF($P2660="","",INDEX(상세표[블록 06~07시],$P2660))</f>
        <v/>
      </c>
      <c r="K2660">
        <f>IF($P2660="","",INDEX(상세표[블록 07~18시],$P2660))</f>
        <v/>
      </c>
      <c r="L2660">
        <f>IF($P2660="","",INDEX(상세표[블록 18~22시],$P2660))</f>
        <v/>
      </c>
      <c r="M2660">
        <f>IF($P2660="","",INDEX(상세표[블록 22~06시],$P2660))</f>
        <v/>
      </c>
      <c r="N2660">
        <f>IF($P2660="","",INDEX(상세표[주말·휴일 포함],$P2660)&amp;"")</f>
        <v/>
      </c>
      <c r="O2660">
        <f>IF($P2660="","",INDEX(상세표[월 넘김 포함],$P2660)&amp;"")</f>
        <v/>
      </c>
      <c r="P2660" s="4">
        <f>IFERROR(MATCH(2655,상세표[연속순번],0),"")</f>
        <v/>
      </c>
    </row>
    <row r="2661">
      <c r="A2661">
        <f>IF($P2661="","",INDEX(상세표[사번],$P2661)&amp;"")</f>
        <v/>
      </c>
      <c r="B2661">
        <f>IF($P2661="","",INDEX(상세표[성명],$P2661)&amp;"")</f>
        <v/>
      </c>
      <c r="C2661">
        <f>IF($P2661="","",INDEX(상세표[부서],$P2661)&amp;"")</f>
        <v/>
      </c>
      <c r="D2661">
        <f>IF($P2661="","",INDEX(상세표[직위],$P2661)&amp;"")</f>
        <v/>
      </c>
      <c r="E2661">
        <f>IF($P2661="","",IF(ISNUMBER(INDEX(상세표[시작],$P2661)),TEXT(INDEX(상세표[시작],$P2661),"yyyy-mm-dd hh:mm"),INDEX(상세표[시작],$P2661)&amp;""))</f>
        <v/>
      </c>
      <c r="F2661">
        <f>IF($P2661="","",IF(ISNUMBER(INDEX(상세표[블록종료],$P2661)),TEXT(INDEX(상세표[블록종료],$P2661),"yyyy-mm-dd hh:mm"),INDEX(상세표[블록종료],$P2661)&amp;""))</f>
        <v/>
      </c>
      <c r="G2661">
        <f>IF($P2661="","",CHOOSE(WEEKDAY(INDEX(상세표[시작],$P2661)),"일","월","화","수","목","금","토"))</f>
        <v/>
      </c>
      <c r="H2661">
        <f>IF($P2661="","",INDEX(상세표[연속 시간],$P2661))</f>
        <v/>
      </c>
      <c r="I2661">
        <f>IF($P2661="","",INDEX(상세표[기록 수],$P2661))</f>
        <v/>
      </c>
      <c r="J2661">
        <f>IF($P2661="","",INDEX(상세표[블록 06~07시],$P2661))</f>
        <v/>
      </c>
      <c r="K2661">
        <f>IF($P2661="","",INDEX(상세표[블록 07~18시],$P2661))</f>
        <v/>
      </c>
      <c r="L2661">
        <f>IF($P2661="","",INDEX(상세표[블록 18~22시],$P2661))</f>
        <v/>
      </c>
      <c r="M2661">
        <f>IF($P2661="","",INDEX(상세표[블록 22~06시],$P2661))</f>
        <v/>
      </c>
      <c r="N2661">
        <f>IF($P2661="","",INDEX(상세표[주말·휴일 포함],$P2661)&amp;"")</f>
        <v/>
      </c>
      <c r="O2661">
        <f>IF($P2661="","",INDEX(상세표[월 넘김 포함],$P2661)&amp;"")</f>
        <v/>
      </c>
      <c r="P2661" s="4">
        <f>IFERROR(MATCH(2656,상세표[연속순번],0),"")</f>
        <v/>
      </c>
    </row>
    <row r="2662">
      <c r="A2662">
        <f>IF($P2662="","",INDEX(상세표[사번],$P2662)&amp;"")</f>
        <v/>
      </c>
      <c r="B2662">
        <f>IF($P2662="","",INDEX(상세표[성명],$P2662)&amp;"")</f>
        <v/>
      </c>
      <c r="C2662">
        <f>IF($P2662="","",INDEX(상세표[부서],$P2662)&amp;"")</f>
        <v/>
      </c>
      <c r="D2662">
        <f>IF($P2662="","",INDEX(상세표[직위],$P2662)&amp;"")</f>
        <v/>
      </c>
      <c r="E2662">
        <f>IF($P2662="","",IF(ISNUMBER(INDEX(상세표[시작],$P2662)),TEXT(INDEX(상세표[시작],$P2662),"yyyy-mm-dd hh:mm"),INDEX(상세표[시작],$P2662)&amp;""))</f>
        <v/>
      </c>
      <c r="F2662">
        <f>IF($P2662="","",IF(ISNUMBER(INDEX(상세표[블록종료],$P2662)),TEXT(INDEX(상세표[블록종료],$P2662),"yyyy-mm-dd hh:mm"),INDEX(상세표[블록종료],$P2662)&amp;""))</f>
        <v/>
      </c>
      <c r="G2662">
        <f>IF($P2662="","",CHOOSE(WEEKDAY(INDEX(상세표[시작],$P2662)),"일","월","화","수","목","금","토"))</f>
        <v/>
      </c>
      <c r="H2662">
        <f>IF($P2662="","",INDEX(상세표[연속 시간],$P2662))</f>
        <v/>
      </c>
      <c r="I2662">
        <f>IF($P2662="","",INDEX(상세표[기록 수],$P2662))</f>
        <v/>
      </c>
      <c r="J2662">
        <f>IF($P2662="","",INDEX(상세표[블록 06~07시],$P2662))</f>
        <v/>
      </c>
      <c r="K2662">
        <f>IF($P2662="","",INDEX(상세표[블록 07~18시],$P2662))</f>
        <v/>
      </c>
      <c r="L2662">
        <f>IF($P2662="","",INDEX(상세표[블록 18~22시],$P2662))</f>
        <v/>
      </c>
      <c r="M2662">
        <f>IF($P2662="","",INDEX(상세표[블록 22~06시],$P2662))</f>
        <v/>
      </c>
      <c r="N2662">
        <f>IF($P2662="","",INDEX(상세표[주말·휴일 포함],$P2662)&amp;"")</f>
        <v/>
      </c>
      <c r="O2662">
        <f>IF($P2662="","",INDEX(상세표[월 넘김 포함],$P2662)&amp;"")</f>
        <v/>
      </c>
      <c r="P2662" s="4">
        <f>IFERROR(MATCH(2657,상세표[연속순번],0),"")</f>
        <v/>
      </c>
    </row>
    <row r="2663">
      <c r="A2663">
        <f>IF($P2663="","",INDEX(상세표[사번],$P2663)&amp;"")</f>
        <v/>
      </c>
      <c r="B2663">
        <f>IF($P2663="","",INDEX(상세표[성명],$P2663)&amp;"")</f>
        <v/>
      </c>
      <c r="C2663">
        <f>IF($P2663="","",INDEX(상세표[부서],$P2663)&amp;"")</f>
        <v/>
      </c>
      <c r="D2663">
        <f>IF($P2663="","",INDEX(상세표[직위],$P2663)&amp;"")</f>
        <v/>
      </c>
      <c r="E2663">
        <f>IF($P2663="","",IF(ISNUMBER(INDEX(상세표[시작],$P2663)),TEXT(INDEX(상세표[시작],$P2663),"yyyy-mm-dd hh:mm"),INDEX(상세표[시작],$P2663)&amp;""))</f>
        <v/>
      </c>
      <c r="F2663">
        <f>IF($P2663="","",IF(ISNUMBER(INDEX(상세표[블록종료],$P2663)),TEXT(INDEX(상세표[블록종료],$P2663),"yyyy-mm-dd hh:mm"),INDEX(상세표[블록종료],$P2663)&amp;""))</f>
        <v/>
      </c>
      <c r="G2663">
        <f>IF($P2663="","",CHOOSE(WEEKDAY(INDEX(상세표[시작],$P2663)),"일","월","화","수","목","금","토"))</f>
        <v/>
      </c>
      <c r="H2663">
        <f>IF($P2663="","",INDEX(상세표[연속 시간],$P2663))</f>
        <v/>
      </c>
      <c r="I2663">
        <f>IF($P2663="","",INDEX(상세표[기록 수],$P2663))</f>
        <v/>
      </c>
      <c r="J2663">
        <f>IF($P2663="","",INDEX(상세표[블록 06~07시],$P2663))</f>
        <v/>
      </c>
      <c r="K2663">
        <f>IF($P2663="","",INDEX(상세표[블록 07~18시],$P2663))</f>
        <v/>
      </c>
      <c r="L2663">
        <f>IF($P2663="","",INDEX(상세표[블록 18~22시],$P2663))</f>
        <v/>
      </c>
      <c r="M2663">
        <f>IF($P2663="","",INDEX(상세표[블록 22~06시],$P2663))</f>
        <v/>
      </c>
      <c r="N2663">
        <f>IF($P2663="","",INDEX(상세표[주말·휴일 포함],$P2663)&amp;"")</f>
        <v/>
      </c>
      <c r="O2663">
        <f>IF($P2663="","",INDEX(상세표[월 넘김 포함],$P2663)&amp;"")</f>
        <v/>
      </c>
      <c r="P2663" s="4">
        <f>IFERROR(MATCH(2658,상세표[연속순번],0),"")</f>
        <v/>
      </c>
    </row>
    <row r="2664">
      <c r="A2664">
        <f>IF($P2664="","",INDEX(상세표[사번],$P2664)&amp;"")</f>
        <v/>
      </c>
      <c r="B2664">
        <f>IF($P2664="","",INDEX(상세표[성명],$P2664)&amp;"")</f>
        <v/>
      </c>
      <c r="C2664">
        <f>IF($P2664="","",INDEX(상세표[부서],$P2664)&amp;"")</f>
        <v/>
      </c>
      <c r="D2664">
        <f>IF($P2664="","",INDEX(상세표[직위],$P2664)&amp;"")</f>
        <v/>
      </c>
      <c r="E2664">
        <f>IF($P2664="","",IF(ISNUMBER(INDEX(상세표[시작],$P2664)),TEXT(INDEX(상세표[시작],$P2664),"yyyy-mm-dd hh:mm"),INDEX(상세표[시작],$P2664)&amp;""))</f>
        <v/>
      </c>
      <c r="F2664">
        <f>IF($P2664="","",IF(ISNUMBER(INDEX(상세표[블록종료],$P2664)),TEXT(INDEX(상세표[블록종료],$P2664),"yyyy-mm-dd hh:mm"),INDEX(상세표[블록종료],$P2664)&amp;""))</f>
        <v/>
      </c>
      <c r="G2664">
        <f>IF($P2664="","",CHOOSE(WEEKDAY(INDEX(상세표[시작],$P2664)),"일","월","화","수","목","금","토"))</f>
        <v/>
      </c>
      <c r="H2664">
        <f>IF($P2664="","",INDEX(상세표[연속 시간],$P2664))</f>
        <v/>
      </c>
      <c r="I2664">
        <f>IF($P2664="","",INDEX(상세표[기록 수],$P2664))</f>
        <v/>
      </c>
      <c r="J2664">
        <f>IF($P2664="","",INDEX(상세표[블록 06~07시],$P2664))</f>
        <v/>
      </c>
      <c r="K2664">
        <f>IF($P2664="","",INDEX(상세표[블록 07~18시],$P2664))</f>
        <v/>
      </c>
      <c r="L2664">
        <f>IF($P2664="","",INDEX(상세표[블록 18~22시],$P2664))</f>
        <v/>
      </c>
      <c r="M2664">
        <f>IF($P2664="","",INDEX(상세표[블록 22~06시],$P2664))</f>
        <v/>
      </c>
      <c r="N2664">
        <f>IF($P2664="","",INDEX(상세표[주말·휴일 포함],$P2664)&amp;"")</f>
        <v/>
      </c>
      <c r="O2664">
        <f>IF($P2664="","",INDEX(상세표[월 넘김 포함],$P2664)&amp;"")</f>
        <v/>
      </c>
      <c r="P2664" s="4">
        <f>IFERROR(MATCH(2659,상세표[연속순번],0),"")</f>
        <v/>
      </c>
    </row>
    <row r="2665">
      <c r="A2665">
        <f>IF($P2665="","",INDEX(상세표[사번],$P2665)&amp;"")</f>
        <v/>
      </c>
      <c r="B2665">
        <f>IF($P2665="","",INDEX(상세표[성명],$P2665)&amp;"")</f>
        <v/>
      </c>
      <c r="C2665">
        <f>IF($P2665="","",INDEX(상세표[부서],$P2665)&amp;"")</f>
        <v/>
      </c>
      <c r="D2665">
        <f>IF($P2665="","",INDEX(상세표[직위],$P2665)&amp;"")</f>
        <v/>
      </c>
      <c r="E2665">
        <f>IF($P2665="","",IF(ISNUMBER(INDEX(상세표[시작],$P2665)),TEXT(INDEX(상세표[시작],$P2665),"yyyy-mm-dd hh:mm"),INDEX(상세표[시작],$P2665)&amp;""))</f>
        <v/>
      </c>
      <c r="F2665">
        <f>IF($P2665="","",IF(ISNUMBER(INDEX(상세표[블록종료],$P2665)),TEXT(INDEX(상세표[블록종료],$P2665),"yyyy-mm-dd hh:mm"),INDEX(상세표[블록종료],$P2665)&amp;""))</f>
        <v/>
      </c>
      <c r="G2665">
        <f>IF($P2665="","",CHOOSE(WEEKDAY(INDEX(상세표[시작],$P2665)),"일","월","화","수","목","금","토"))</f>
        <v/>
      </c>
      <c r="H2665">
        <f>IF($P2665="","",INDEX(상세표[연속 시간],$P2665))</f>
        <v/>
      </c>
      <c r="I2665">
        <f>IF($P2665="","",INDEX(상세표[기록 수],$P2665))</f>
        <v/>
      </c>
      <c r="J2665">
        <f>IF($P2665="","",INDEX(상세표[블록 06~07시],$P2665))</f>
        <v/>
      </c>
      <c r="K2665">
        <f>IF($P2665="","",INDEX(상세표[블록 07~18시],$P2665))</f>
        <v/>
      </c>
      <c r="L2665">
        <f>IF($P2665="","",INDEX(상세표[블록 18~22시],$P2665))</f>
        <v/>
      </c>
      <c r="M2665">
        <f>IF($P2665="","",INDEX(상세표[블록 22~06시],$P2665))</f>
        <v/>
      </c>
      <c r="N2665">
        <f>IF($P2665="","",INDEX(상세표[주말·휴일 포함],$P2665)&amp;"")</f>
        <v/>
      </c>
      <c r="O2665">
        <f>IF($P2665="","",INDEX(상세표[월 넘김 포함],$P2665)&amp;"")</f>
        <v/>
      </c>
      <c r="P2665" s="4">
        <f>IFERROR(MATCH(2660,상세표[연속순번],0),"")</f>
        <v/>
      </c>
    </row>
    <row r="2666">
      <c r="A2666">
        <f>IF($P2666="","",INDEX(상세표[사번],$P2666)&amp;"")</f>
        <v/>
      </c>
      <c r="B2666">
        <f>IF($P2666="","",INDEX(상세표[성명],$P2666)&amp;"")</f>
        <v/>
      </c>
      <c r="C2666">
        <f>IF($P2666="","",INDEX(상세표[부서],$P2666)&amp;"")</f>
        <v/>
      </c>
      <c r="D2666">
        <f>IF($P2666="","",INDEX(상세표[직위],$P2666)&amp;"")</f>
        <v/>
      </c>
      <c r="E2666">
        <f>IF($P2666="","",IF(ISNUMBER(INDEX(상세표[시작],$P2666)),TEXT(INDEX(상세표[시작],$P2666),"yyyy-mm-dd hh:mm"),INDEX(상세표[시작],$P2666)&amp;""))</f>
        <v/>
      </c>
      <c r="F2666">
        <f>IF($P2666="","",IF(ISNUMBER(INDEX(상세표[블록종료],$P2666)),TEXT(INDEX(상세표[블록종료],$P2666),"yyyy-mm-dd hh:mm"),INDEX(상세표[블록종료],$P2666)&amp;""))</f>
        <v/>
      </c>
      <c r="G2666">
        <f>IF($P2666="","",CHOOSE(WEEKDAY(INDEX(상세표[시작],$P2666)),"일","월","화","수","목","금","토"))</f>
        <v/>
      </c>
      <c r="H2666">
        <f>IF($P2666="","",INDEX(상세표[연속 시간],$P2666))</f>
        <v/>
      </c>
      <c r="I2666">
        <f>IF($P2666="","",INDEX(상세표[기록 수],$P2666))</f>
        <v/>
      </c>
      <c r="J2666">
        <f>IF($P2666="","",INDEX(상세표[블록 06~07시],$P2666))</f>
        <v/>
      </c>
      <c r="K2666">
        <f>IF($P2666="","",INDEX(상세표[블록 07~18시],$P2666))</f>
        <v/>
      </c>
      <c r="L2666">
        <f>IF($P2666="","",INDEX(상세표[블록 18~22시],$P2666))</f>
        <v/>
      </c>
      <c r="M2666">
        <f>IF($P2666="","",INDEX(상세표[블록 22~06시],$P2666))</f>
        <v/>
      </c>
      <c r="N2666">
        <f>IF($P2666="","",INDEX(상세표[주말·휴일 포함],$P2666)&amp;"")</f>
        <v/>
      </c>
      <c r="O2666">
        <f>IF($P2666="","",INDEX(상세표[월 넘김 포함],$P2666)&amp;"")</f>
        <v/>
      </c>
      <c r="P2666" s="4">
        <f>IFERROR(MATCH(2661,상세표[연속순번],0),"")</f>
        <v/>
      </c>
    </row>
    <row r="2667">
      <c r="A2667">
        <f>IF($P2667="","",INDEX(상세표[사번],$P2667)&amp;"")</f>
        <v/>
      </c>
      <c r="B2667">
        <f>IF($P2667="","",INDEX(상세표[성명],$P2667)&amp;"")</f>
        <v/>
      </c>
      <c r="C2667">
        <f>IF($P2667="","",INDEX(상세표[부서],$P2667)&amp;"")</f>
        <v/>
      </c>
      <c r="D2667">
        <f>IF($P2667="","",INDEX(상세표[직위],$P2667)&amp;"")</f>
        <v/>
      </c>
      <c r="E2667">
        <f>IF($P2667="","",IF(ISNUMBER(INDEX(상세표[시작],$P2667)),TEXT(INDEX(상세표[시작],$P2667),"yyyy-mm-dd hh:mm"),INDEX(상세표[시작],$P2667)&amp;""))</f>
        <v/>
      </c>
      <c r="F2667">
        <f>IF($P2667="","",IF(ISNUMBER(INDEX(상세표[블록종료],$P2667)),TEXT(INDEX(상세표[블록종료],$P2667),"yyyy-mm-dd hh:mm"),INDEX(상세표[블록종료],$P2667)&amp;""))</f>
        <v/>
      </c>
      <c r="G2667">
        <f>IF($P2667="","",CHOOSE(WEEKDAY(INDEX(상세표[시작],$P2667)),"일","월","화","수","목","금","토"))</f>
        <v/>
      </c>
      <c r="H2667">
        <f>IF($P2667="","",INDEX(상세표[연속 시간],$P2667))</f>
        <v/>
      </c>
      <c r="I2667">
        <f>IF($P2667="","",INDEX(상세표[기록 수],$P2667))</f>
        <v/>
      </c>
      <c r="J2667">
        <f>IF($P2667="","",INDEX(상세표[블록 06~07시],$P2667))</f>
        <v/>
      </c>
      <c r="K2667">
        <f>IF($P2667="","",INDEX(상세표[블록 07~18시],$P2667))</f>
        <v/>
      </c>
      <c r="L2667">
        <f>IF($P2667="","",INDEX(상세표[블록 18~22시],$P2667))</f>
        <v/>
      </c>
      <c r="M2667">
        <f>IF($P2667="","",INDEX(상세표[블록 22~06시],$P2667))</f>
        <v/>
      </c>
      <c r="N2667">
        <f>IF($P2667="","",INDEX(상세표[주말·휴일 포함],$P2667)&amp;"")</f>
        <v/>
      </c>
      <c r="O2667">
        <f>IF($P2667="","",INDEX(상세표[월 넘김 포함],$P2667)&amp;"")</f>
        <v/>
      </c>
      <c r="P2667" s="4">
        <f>IFERROR(MATCH(2662,상세표[연속순번],0),"")</f>
        <v/>
      </c>
    </row>
    <row r="2668">
      <c r="A2668">
        <f>IF($P2668="","",INDEX(상세표[사번],$P2668)&amp;"")</f>
        <v/>
      </c>
      <c r="B2668">
        <f>IF($P2668="","",INDEX(상세표[성명],$P2668)&amp;"")</f>
        <v/>
      </c>
      <c r="C2668">
        <f>IF($P2668="","",INDEX(상세표[부서],$P2668)&amp;"")</f>
        <v/>
      </c>
      <c r="D2668">
        <f>IF($P2668="","",INDEX(상세표[직위],$P2668)&amp;"")</f>
        <v/>
      </c>
      <c r="E2668">
        <f>IF($P2668="","",IF(ISNUMBER(INDEX(상세표[시작],$P2668)),TEXT(INDEX(상세표[시작],$P2668),"yyyy-mm-dd hh:mm"),INDEX(상세표[시작],$P2668)&amp;""))</f>
        <v/>
      </c>
      <c r="F2668">
        <f>IF($P2668="","",IF(ISNUMBER(INDEX(상세표[블록종료],$P2668)),TEXT(INDEX(상세표[블록종료],$P2668),"yyyy-mm-dd hh:mm"),INDEX(상세표[블록종료],$P2668)&amp;""))</f>
        <v/>
      </c>
      <c r="G2668">
        <f>IF($P2668="","",CHOOSE(WEEKDAY(INDEX(상세표[시작],$P2668)),"일","월","화","수","목","금","토"))</f>
        <v/>
      </c>
      <c r="H2668">
        <f>IF($P2668="","",INDEX(상세표[연속 시간],$P2668))</f>
        <v/>
      </c>
      <c r="I2668">
        <f>IF($P2668="","",INDEX(상세표[기록 수],$P2668))</f>
        <v/>
      </c>
      <c r="J2668">
        <f>IF($P2668="","",INDEX(상세표[블록 06~07시],$P2668))</f>
        <v/>
      </c>
      <c r="K2668">
        <f>IF($P2668="","",INDEX(상세표[블록 07~18시],$P2668))</f>
        <v/>
      </c>
      <c r="L2668">
        <f>IF($P2668="","",INDEX(상세표[블록 18~22시],$P2668))</f>
        <v/>
      </c>
      <c r="M2668">
        <f>IF($P2668="","",INDEX(상세표[블록 22~06시],$P2668))</f>
        <v/>
      </c>
      <c r="N2668">
        <f>IF($P2668="","",INDEX(상세표[주말·휴일 포함],$P2668)&amp;"")</f>
        <v/>
      </c>
      <c r="O2668">
        <f>IF($P2668="","",INDEX(상세표[월 넘김 포함],$P2668)&amp;"")</f>
        <v/>
      </c>
      <c r="P2668" s="4">
        <f>IFERROR(MATCH(2663,상세표[연속순번],0),"")</f>
        <v/>
      </c>
    </row>
    <row r="2669">
      <c r="A2669">
        <f>IF($P2669="","",INDEX(상세표[사번],$P2669)&amp;"")</f>
        <v/>
      </c>
      <c r="B2669">
        <f>IF($P2669="","",INDEX(상세표[성명],$P2669)&amp;"")</f>
        <v/>
      </c>
      <c r="C2669">
        <f>IF($P2669="","",INDEX(상세표[부서],$P2669)&amp;"")</f>
        <v/>
      </c>
      <c r="D2669">
        <f>IF($P2669="","",INDEX(상세표[직위],$P2669)&amp;"")</f>
        <v/>
      </c>
      <c r="E2669">
        <f>IF($P2669="","",IF(ISNUMBER(INDEX(상세표[시작],$P2669)),TEXT(INDEX(상세표[시작],$P2669),"yyyy-mm-dd hh:mm"),INDEX(상세표[시작],$P2669)&amp;""))</f>
        <v/>
      </c>
      <c r="F2669">
        <f>IF($P2669="","",IF(ISNUMBER(INDEX(상세표[블록종료],$P2669)),TEXT(INDEX(상세표[블록종료],$P2669),"yyyy-mm-dd hh:mm"),INDEX(상세표[블록종료],$P2669)&amp;""))</f>
        <v/>
      </c>
      <c r="G2669">
        <f>IF($P2669="","",CHOOSE(WEEKDAY(INDEX(상세표[시작],$P2669)),"일","월","화","수","목","금","토"))</f>
        <v/>
      </c>
      <c r="H2669">
        <f>IF($P2669="","",INDEX(상세표[연속 시간],$P2669))</f>
        <v/>
      </c>
      <c r="I2669">
        <f>IF($P2669="","",INDEX(상세표[기록 수],$P2669))</f>
        <v/>
      </c>
      <c r="J2669">
        <f>IF($P2669="","",INDEX(상세표[블록 06~07시],$P2669))</f>
        <v/>
      </c>
      <c r="K2669">
        <f>IF($P2669="","",INDEX(상세표[블록 07~18시],$P2669))</f>
        <v/>
      </c>
      <c r="L2669">
        <f>IF($P2669="","",INDEX(상세표[블록 18~22시],$P2669))</f>
        <v/>
      </c>
      <c r="M2669">
        <f>IF($P2669="","",INDEX(상세표[블록 22~06시],$P2669))</f>
        <v/>
      </c>
      <c r="N2669">
        <f>IF($P2669="","",INDEX(상세표[주말·휴일 포함],$P2669)&amp;"")</f>
        <v/>
      </c>
      <c r="O2669">
        <f>IF($P2669="","",INDEX(상세표[월 넘김 포함],$P2669)&amp;"")</f>
        <v/>
      </c>
      <c r="P2669" s="4">
        <f>IFERROR(MATCH(2664,상세표[연속순번],0),"")</f>
        <v/>
      </c>
    </row>
    <row r="2670">
      <c r="A2670">
        <f>IF($P2670="","",INDEX(상세표[사번],$P2670)&amp;"")</f>
        <v/>
      </c>
      <c r="B2670">
        <f>IF($P2670="","",INDEX(상세표[성명],$P2670)&amp;"")</f>
        <v/>
      </c>
      <c r="C2670">
        <f>IF($P2670="","",INDEX(상세표[부서],$P2670)&amp;"")</f>
        <v/>
      </c>
      <c r="D2670">
        <f>IF($P2670="","",INDEX(상세표[직위],$P2670)&amp;"")</f>
        <v/>
      </c>
      <c r="E2670">
        <f>IF($P2670="","",IF(ISNUMBER(INDEX(상세표[시작],$P2670)),TEXT(INDEX(상세표[시작],$P2670),"yyyy-mm-dd hh:mm"),INDEX(상세표[시작],$P2670)&amp;""))</f>
        <v/>
      </c>
      <c r="F2670">
        <f>IF($P2670="","",IF(ISNUMBER(INDEX(상세표[블록종료],$P2670)),TEXT(INDEX(상세표[블록종료],$P2670),"yyyy-mm-dd hh:mm"),INDEX(상세표[블록종료],$P2670)&amp;""))</f>
        <v/>
      </c>
      <c r="G2670">
        <f>IF($P2670="","",CHOOSE(WEEKDAY(INDEX(상세표[시작],$P2670)),"일","월","화","수","목","금","토"))</f>
        <v/>
      </c>
      <c r="H2670">
        <f>IF($P2670="","",INDEX(상세표[연속 시간],$P2670))</f>
        <v/>
      </c>
      <c r="I2670">
        <f>IF($P2670="","",INDEX(상세표[기록 수],$P2670))</f>
        <v/>
      </c>
      <c r="J2670">
        <f>IF($P2670="","",INDEX(상세표[블록 06~07시],$P2670))</f>
        <v/>
      </c>
      <c r="K2670">
        <f>IF($P2670="","",INDEX(상세표[블록 07~18시],$P2670))</f>
        <v/>
      </c>
      <c r="L2670">
        <f>IF($P2670="","",INDEX(상세표[블록 18~22시],$P2670))</f>
        <v/>
      </c>
      <c r="M2670">
        <f>IF($P2670="","",INDEX(상세표[블록 22~06시],$P2670))</f>
        <v/>
      </c>
      <c r="N2670">
        <f>IF($P2670="","",INDEX(상세표[주말·휴일 포함],$P2670)&amp;"")</f>
        <v/>
      </c>
      <c r="O2670">
        <f>IF($P2670="","",INDEX(상세표[월 넘김 포함],$P2670)&amp;"")</f>
        <v/>
      </c>
      <c r="P2670" s="4">
        <f>IFERROR(MATCH(2665,상세표[연속순번],0),"")</f>
        <v/>
      </c>
    </row>
    <row r="2671">
      <c r="A2671">
        <f>IF($P2671="","",INDEX(상세표[사번],$P2671)&amp;"")</f>
        <v/>
      </c>
      <c r="B2671">
        <f>IF($P2671="","",INDEX(상세표[성명],$P2671)&amp;"")</f>
        <v/>
      </c>
      <c r="C2671">
        <f>IF($P2671="","",INDEX(상세표[부서],$P2671)&amp;"")</f>
        <v/>
      </c>
      <c r="D2671">
        <f>IF($P2671="","",INDEX(상세표[직위],$P2671)&amp;"")</f>
        <v/>
      </c>
      <c r="E2671">
        <f>IF($P2671="","",IF(ISNUMBER(INDEX(상세표[시작],$P2671)),TEXT(INDEX(상세표[시작],$P2671),"yyyy-mm-dd hh:mm"),INDEX(상세표[시작],$P2671)&amp;""))</f>
        <v/>
      </c>
      <c r="F2671">
        <f>IF($P2671="","",IF(ISNUMBER(INDEX(상세표[블록종료],$P2671)),TEXT(INDEX(상세표[블록종료],$P2671),"yyyy-mm-dd hh:mm"),INDEX(상세표[블록종료],$P2671)&amp;""))</f>
        <v/>
      </c>
      <c r="G2671">
        <f>IF($P2671="","",CHOOSE(WEEKDAY(INDEX(상세표[시작],$P2671)),"일","월","화","수","목","금","토"))</f>
        <v/>
      </c>
      <c r="H2671">
        <f>IF($P2671="","",INDEX(상세표[연속 시간],$P2671))</f>
        <v/>
      </c>
      <c r="I2671">
        <f>IF($P2671="","",INDEX(상세표[기록 수],$P2671))</f>
        <v/>
      </c>
      <c r="J2671">
        <f>IF($P2671="","",INDEX(상세표[블록 06~07시],$P2671))</f>
        <v/>
      </c>
      <c r="K2671">
        <f>IF($P2671="","",INDEX(상세표[블록 07~18시],$P2671))</f>
        <v/>
      </c>
      <c r="L2671">
        <f>IF($P2671="","",INDEX(상세표[블록 18~22시],$P2671))</f>
        <v/>
      </c>
      <c r="M2671">
        <f>IF($P2671="","",INDEX(상세표[블록 22~06시],$P2671))</f>
        <v/>
      </c>
      <c r="N2671">
        <f>IF($P2671="","",INDEX(상세표[주말·휴일 포함],$P2671)&amp;"")</f>
        <v/>
      </c>
      <c r="O2671">
        <f>IF($P2671="","",INDEX(상세표[월 넘김 포함],$P2671)&amp;"")</f>
        <v/>
      </c>
      <c r="P2671" s="4">
        <f>IFERROR(MATCH(2666,상세표[연속순번],0),"")</f>
        <v/>
      </c>
    </row>
    <row r="2672">
      <c r="A2672">
        <f>IF($P2672="","",INDEX(상세표[사번],$P2672)&amp;"")</f>
        <v/>
      </c>
      <c r="B2672">
        <f>IF($P2672="","",INDEX(상세표[성명],$P2672)&amp;"")</f>
        <v/>
      </c>
      <c r="C2672">
        <f>IF($P2672="","",INDEX(상세표[부서],$P2672)&amp;"")</f>
        <v/>
      </c>
      <c r="D2672">
        <f>IF($P2672="","",INDEX(상세표[직위],$P2672)&amp;"")</f>
        <v/>
      </c>
      <c r="E2672">
        <f>IF($P2672="","",IF(ISNUMBER(INDEX(상세표[시작],$P2672)),TEXT(INDEX(상세표[시작],$P2672),"yyyy-mm-dd hh:mm"),INDEX(상세표[시작],$P2672)&amp;""))</f>
        <v/>
      </c>
      <c r="F2672">
        <f>IF($P2672="","",IF(ISNUMBER(INDEX(상세표[블록종료],$P2672)),TEXT(INDEX(상세표[블록종료],$P2672),"yyyy-mm-dd hh:mm"),INDEX(상세표[블록종료],$P2672)&amp;""))</f>
        <v/>
      </c>
      <c r="G2672">
        <f>IF($P2672="","",CHOOSE(WEEKDAY(INDEX(상세표[시작],$P2672)),"일","월","화","수","목","금","토"))</f>
        <v/>
      </c>
      <c r="H2672">
        <f>IF($P2672="","",INDEX(상세표[연속 시간],$P2672))</f>
        <v/>
      </c>
      <c r="I2672">
        <f>IF($P2672="","",INDEX(상세표[기록 수],$P2672))</f>
        <v/>
      </c>
      <c r="J2672">
        <f>IF($P2672="","",INDEX(상세표[블록 06~07시],$P2672))</f>
        <v/>
      </c>
      <c r="K2672">
        <f>IF($P2672="","",INDEX(상세표[블록 07~18시],$P2672))</f>
        <v/>
      </c>
      <c r="L2672">
        <f>IF($P2672="","",INDEX(상세표[블록 18~22시],$P2672))</f>
        <v/>
      </c>
      <c r="M2672">
        <f>IF($P2672="","",INDEX(상세표[블록 22~06시],$P2672))</f>
        <v/>
      </c>
      <c r="N2672">
        <f>IF($P2672="","",INDEX(상세표[주말·휴일 포함],$P2672)&amp;"")</f>
        <v/>
      </c>
      <c r="O2672">
        <f>IF($P2672="","",INDEX(상세표[월 넘김 포함],$P2672)&amp;"")</f>
        <v/>
      </c>
      <c r="P2672" s="4">
        <f>IFERROR(MATCH(2667,상세표[연속순번],0),"")</f>
        <v/>
      </c>
    </row>
    <row r="2673">
      <c r="A2673">
        <f>IF($P2673="","",INDEX(상세표[사번],$P2673)&amp;"")</f>
        <v/>
      </c>
      <c r="B2673">
        <f>IF($P2673="","",INDEX(상세표[성명],$P2673)&amp;"")</f>
        <v/>
      </c>
      <c r="C2673">
        <f>IF($P2673="","",INDEX(상세표[부서],$P2673)&amp;"")</f>
        <v/>
      </c>
      <c r="D2673">
        <f>IF($P2673="","",INDEX(상세표[직위],$P2673)&amp;"")</f>
        <v/>
      </c>
      <c r="E2673">
        <f>IF($P2673="","",IF(ISNUMBER(INDEX(상세표[시작],$P2673)),TEXT(INDEX(상세표[시작],$P2673),"yyyy-mm-dd hh:mm"),INDEX(상세표[시작],$P2673)&amp;""))</f>
        <v/>
      </c>
      <c r="F2673">
        <f>IF($P2673="","",IF(ISNUMBER(INDEX(상세표[블록종료],$P2673)),TEXT(INDEX(상세표[블록종료],$P2673),"yyyy-mm-dd hh:mm"),INDEX(상세표[블록종료],$P2673)&amp;""))</f>
        <v/>
      </c>
      <c r="G2673">
        <f>IF($P2673="","",CHOOSE(WEEKDAY(INDEX(상세표[시작],$P2673)),"일","월","화","수","목","금","토"))</f>
        <v/>
      </c>
      <c r="H2673">
        <f>IF($P2673="","",INDEX(상세표[연속 시간],$P2673))</f>
        <v/>
      </c>
      <c r="I2673">
        <f>IF($P2673="","",INDEX(상세표[기록 수],$P2673))</f>
        <v/>
      </c>
      <c r="J2673">
        <f>IF($P2673="","",INDEX(상세표[블록 06~07시],$P2673))</f>
        <v/>
      </c>
      <c r="K2673">
        <f>IF($P2673="","",INDEX(상세표[블록 07~18시],$P2673))</f>
        <v/>
      </c>
      <c r="L2673">
        <f>IF($P2673="","",INDEX(상세표[블록 18~22시],$P2673))</f>
        <v/>
      </c>
      <c r="M2673">
        <f>IF($P2673="","",INDEX(상세표[블록 22~06시],$P2673))</f>
        <v/>
      </c>
      <c r="N2673">
        <f>IF($P2673="","",INDEX(상세표[주말·휴일 포함],$P2673)&amp;"")</f>
        <v/>
      </c>
      <c r="O2673">
        <f>IF($P2673="","",INDEX(상세표[월 넘김 포함],$P2673)&amp;"")</f>
        <v/>
      </c>
      <c r="P2673" s="4">
        <f>IFERROR(MATCH(2668,상세표[연속순번],0),"")</f>
        <v/>
      </c>
    </row>
    <row r="2674">
      <c r="A2674">
        <f>IF($P2674="","",INDEX(상세표[사번],$P2674)&amp;"")</f>
        <v/>
      </c>
      <c r="B2674">
        <f>IF($P2674="","",INDEX(상세표[성명],$P2674)&amp;"")</f>
        <v/>
      </c>
      <c r="C2674">
        <f>IF($P2674="","",INDEX(상세표[부서],$P2674)&amp;"")</f>
        <v/>
      </c>
      <c r="D2674">
        <f>IF($P2674="","",INDEX(상세표[직위],$P2674)&amp;"")</f>
        <v/>
      </c>
      <c r="E2674">
        <f>IF($P2674="","",IF(ISNUMBER(INDEX(상세표[시작],$P2674)),TEXT(INDEX(상세표[시작],$P2674),"yyyy-mm-dd hh:mm"),INDEX(상세표[시작],$P2674)&amp;""))</f>
        <v/>
      </c>
      <c r="F2674">
        <f>IF($P2674="","",IF(ISNUMBER(INDEX(상세표[블록종료],$P2674)),TEXT(INDEX(상세표[블록종료],$P2674),"yyyy-mm-dd hh:mm"),INDEX(상세표[블록종료],$P2674)&amp;""))</f>
        <v/>
      </c>
      <c r="G2674">
        <f>IF($P2674="","",CHOOSE(WEEKDAY(INDEX(상세표[시작],$P2674)),"일","월","화","수","목","금","토"))</f>
        <v/>
      </c>
      <c r="H2674">
        <f>IF($P2674="","",INDEX(상세표[연속 시간],$P2674))</f>
        <v/>
      </c>
      <c r="I2674">
        <f>IF($P2674="","",INDEX(상세표[기록 수],$P2674))</f>
        <v/>
      </c>
      <c r="J2674">
        <f>IF($P2674="","",INDEX(상세표[블록 06~07시],$P2674))</f>
        <v/>
      </c>
      <c r="K2674">
        <f>IF($P2674="","",INDEX(상세표[블록 07~18시],$P2674))</f>
        <v/>
      </c>
      <c r="L2674">
        <f>IF($P2674="","",INDEX(상세표[블록 18~22시],$P2674))</f>
        <v/>
      </c>
      <c r="M2674">
        <f>IF($P2674="","",INDEX(상세표[블록 22~06시],$P2674))</f>
        <v/>
      </c>
      <c r="N2674">
        <f>IF($P2674="","",INDEX(상세표[주말·휴일 포함],$P2674)&amp;"")</f>
        <v/>
      </c>
      <c r="O2674">
        <f>IF($P2674="","",INDEX(상세표[월 넘김 포함],$P2674)&amp;"")</f>
        <v/>
      </c>
      <c r="P2674" s="4">
        <f>IFERROR(MATCH(2669,상세표[연속순번],0),"")</f>
        <v/>
      </c>
    </row>
    <row r="2675">
      <c r="A2675">
        <f>IF($P2675="","",INDEX(상세표[사번],$P2675)&amp;"")</f>
        <v/>
      </c>
      <c r="B2675">
        <f>IF($P2675="","",INDEX(상세표[성명],$P2675)&amp;"")</f>
        <v/>
      </c>
      <c r="C2675">
        <f>IF($P2675="","",INDEX(상세표[부서],$P2675)&amp;"")</f>
        <v/>
      </c>
      <c r="D2675">
        <f>IF($P2675="","",INDEX(상세표[직위],$P2675)&amp;"")</f>
        <v/>
      </c>
      <c r="E2675">
        <f>IF($P2675="","",IF(ISNUMBER(INDEX(상세표[시작],$P2675)),TEXT(INDEX(상세표[시작],$P2675),"yyyy-mm-dd hh:mm"),INDEX(상세표[시작],$P2675)&amp;""))</f>
        <v/>
      </c>
      <c r="F2675">
        <f>IF($P2675="","",IF(ISNUMBER(INDEX(상세표[블록종료],$P2675)),TEXT(INDEX(상세표[블록종료],$P2675),"yyyy-mm-dd hh:mm"),INDEX(상세표[블록종료],$P2675)&amp;""))</f>
        <v/>
      </c>
      <c r="G2675">
        <f>IF($P2675="","",CHOOSE(WEEKDAY(INDEX(상세표[시작],$P2675)),"일","월","화","수","목","금","토"))</f>
        <v/>
      </c>
      <c r="H2675">
        <f>IF($P2675="","",INDEX(상세표[연속 시간],$P2675))</f>
        <v/>
      </c>
      <c r="I2675">
        <f>IF($P2675="","",INDEX(상세표[기록 수],$P2675))</f>
        <v/>
      </c>
      <c r="J2675">
        <f>IF($P2675="","",INDEX(상세표[블록 06~07시],$P2675))</f>
        <v/>
      </c>
      <c r="K2675">
        <f>IF($P2675="","",INDEX(상세표[블록 07~18시],$P2675))</f>
        <v/>
      </c>
      <c r="L2675">
        <f>IF($P2675="","",INDEX(상세표[블록 18~22시],$P2675))</f>
        <v/>
      </c>
      <c r="M2675">
        <f>IF($P2675="","",INDEX(상세표[블록 22~06시],$P2675))</f>
        <v/>
      </c>
      <c r="N2675">
        <f>IF($P2675="","",INDEX(상세표[주말·휴일 포함],$P2675)&amp;"")</f>
        <v/>
      </c>
      <c r="O2675">
        <f>IF($P2675="","",INDEX(상세표[월 넘김 포함],$P2675)&amp;"")</f>
        <v/>
      </c>
      <c r="P2675" s="4">
        <f>IFERROR(MATCH(2670,상세표[연속순번],0),"")</f>
        <v/>
      </c>
    </row>
    <row r="2676">
      <c r="A2676">
        <f>IF($P2676="","",INDEX(상세표[사번],$P2676)&amp;"")</f>
        <v/>
      </c>
      <c r="B2676">
        <f>IF($P2676="","",INDEX(상세표[성명],$P2676)&amp;"")</f>
        <v/>
      </c>
      <c r="C2676">
        <f>IF($P2676="","",INDEX(상세표[부서],$P2676)&amp;"")</f>
        <v/>
      </c>
      <c r="D2676">
        <f>IF($P2676="","",INDEX(상세표[직위],$P2676)&amp;"")</f>
        <v/>
      </c>
      <c r="E2676">
        <f>IF($P2676="","",IF(ISNUMBER(INDEX(상세표[시작],$P2676)),TEXT(INDEX(상세표[시작],$P2676),"yyyy-mm-dd hh:mm"),INDEX(상세표[시작],$P2676)&amp;""))</f>
        <v/>
      </c>
      <c r="F2676">
        <f>IF($P2676="","",IF(ISNUMBER(INDEX(상세표[블록종료],$P2676)),TEXT(INDEX(상세표[블록종료],$P2676),"yyyy-mm-dd hh:mm"),INDEX(상세표[블록종료],$P2676)&amp;""))</f>
        <v/>
      </c>
      <c r="G2676">
        <f>IF($P2676="","",CHOOSE(WEEKDAY(INDEX(상세표[시작],$P2676)),"일","월","화","수","목","금","토"))</f>
        <v/>
      </c>
      <c r="H2676">
        <f>IF($P2676="","",INDEX(상세표[연속 시간],$P2676))</f>
        <v/>
      </c>
      <c r="I2676">
        <f>IF($P2676="","",INDEX(상세표[기록 수],$P2676))</f>
        <v/>
      </c>
      <c r="J2676">
        <f>IF($P2676="","",INDEX(상세표[블록 06~07시],$P2676))</f>
        <v/>
      </c>
      <c r="K2676">
        <f>IF($P2676="","",INDEX(상세표[블록 07~18시],$P2676))</f>
        <v/>
      </c>
      <c r="L2676">
        <f>IF($P2676="","",INDEX(상세표[블록 18~22시],$P2676))</f>
        <v/>
      </c>
      <c r="M2676">
        <f>IF($P2676="","",INDEX(상세표[블록 22~06시],$P2676))</f>
        <v/>
      </c>
      <c r="N2676">
        <f>IF($P2676="","",INDEX(상세표[주말·휴일 포함],$P2676)&amp;"")</f>
        <v/>
      </c>
      <c r="O2676">
        <f>IF($P2676="","",INDEX(상세표[월 넘김 포함],$P2676)&amp;"")</f>
        <v/>
      </c>
      <c r="P2676" s="4">
        <f>IFERROR(MATCH(2671,상세표[연속순번],0),"")</f>
        <v/>
      </c>
    </row>
    <row r="2677">
      <c r="A2677">
        <f>IF($P2677="","",INDEX(상세표[사번],$P2677)&amp;"")</f>
        <v/>
      </c>
      <c r="B2677">
        <f>IF($P2677="","",INDEX(상세표[성명],$P2677)&amp;"")</f>
        <v/>
      </c>
      <c r="C2677">
        <f>IF($P2677="","",INDEX(상세표[부서],$P2677)&amp;"")</f>
        <v/>
      </c>
      <c r="D2677">
        <f>IF($P2677="","",INDEX(상세표[직위],$P2677)&amp;"")</f>
        <v/>
      </c>
      <c r="E2677">
        <f>IF($P2677="","",IF(ISNUMBER(INDEX(상세표[시작],$P2677)),TEXT(INDEX(상세표[시작],$P2677),"yyyy-mm-dd hh:mm"),INDEX(상세표[시작],$P2677)&amp;""))</f>
        <v/>
      </c>
      <c r="F2677">
        <f>IF($P2677="","",IF(ISNUMBER(INDEX(상세표[블록종료],$P2677)),TEXT(INDEX(상세표[블록종료],$P2677),"yyyy-mm-dd hh:mm"),INDEX(상세표[블록종료],$P2677)&amp;""))</f>
        <v/>
      </c>
      <c r="G2677">
        <f>IF($P2677="","",CHOOSE(WEEKDAY(INDEX(상세표[시작],$P2677)),"일","월","화","수","목","금","토"))</f>
        <v/>
      </c>
      <c r="H2677">
        <f>IF($P2677="","",INDEX(상세표[연속 시간],$P2677))</f>
        <v/>
      </c>
      <c r="I2677">
        <f>IF($P2677="","",INDEX(상세표[기록 수],$P2677))</f>
        <v/>
      </c>
      <c r="J2677">
        <f>IF($P2677="","",INDEX(상세표[블록 06~07시],$P2677))</f>
        <v/>
      </c>
      <c r="K2677">
        <f>IF($P2677="","",INDEX(상세표[블록 07~18시],$P2677))</f>
        <v/>
      </c>
      <c r="L2677">
        <f>IF($P2677="","",INDEX(상세표[블록 18~22시],$P2677))</f>
        <v/>
      </c>
      <c r="M2677">
        <f>IF($P2677="","",INDEX(상세표[블록 22~06시],$P2677))</f>
        <v/>
      </c>
      <c r="N2677">
        <f>IF($P2677="","",INDEX(상세표[주말·휴일 포함],$P2677)&amp;"")</f>
        <v/>
      </c>
      <c r="O2677">
        <f>IF($P2677="","",INDEX(상세표[월 넘김 포함],$P2677)&amp;"")</f>
        <v/>
      </c>
      <c r="P2677" s="4">
        <f>IFERROR(MATCH(2672,상세표[연속순번],0),"")</f>
        <v/>
      </c>
    </row>
    <row r="2678">
      <c r="A2678">
        <f>IF($P2678="","",INDEX(상세표[사번],$P2678)&amp;"")</f>
        <v/>
      </c>
      <c r="B2678">
        <f>IF($P2678="","",INDEX(상세표[성명],$P2678)&amp;"")</f>
        <v/>
      </c>
      <c r="C2678">
        <f>IF($P2678="","",INDEX(상세표[부서],$P2678)&amp;"")</f>
        <v/>
      </c>
      <c r="D2678">
        <f>IF($P2678="","",INDEX(상세표[직위],$P2678)&amp;"")</f>
        <v/>
      </c>
      <c r="E2678">
        <f>IF($P2678="","",IF(ISNUMBER(INDEX(상세표[시작],$P2678)),TEXT(INDEX(상세표[시작],$P2678),"yyyy-mm-dd hh:mm"),INDEX(상세표[시작],$P2678)&amp;""))</f>
        <v/>
      </c>
      <c r="F2678">
        <f>IF($P2678="","",IF(ISNUMBER(INDEX(상세표[블록종료],$P2678)),TEXT(INDEX(상세표[블록종료],$P2678),"yyyy-mm-dd hh:mm"),INDEX(상세표[블록종료],$P2678)&amp;""))</f>
        <v/>
      </c>
      <c r="G2678">
        <f>IF($P2678="","",CHOOSE(WEEKDAY(INDEX(상세표[시작],$P2678)),"일","월","화","수","목","금","토"))</f>
        <v/>
      </c>
      <c r="H2678">
        <f>IF($P2678="","",INDEX(상세표[연속 시간],$P2678))</f>
        <v/>
      </c>
      <c r="I2678">
        <f>IF($P2678="","",INDEX(상세표[기록 수],$P2678))</f>
        <v/>
      </c>
      <c r="J2678">
        <f>IF($P2678="","",INDEX(상세표[블록 06~07시],$P2678))</f>
        <v/>
      </c>
      <c r="K2678">
        <f>IF($P2678="","",INDEX(상세표[블록 07~18시],$P2678))</f>
        <v/>
      </c>
      <c r="L2678">
        <f>IF($P2678="","",INDEX(상세표[블록 18~22시],$P2678))</f>
        <v/>
      </c>
      <c r="M2678">
        <f>IF($P2678="","",INDEX(상세표[블록 22~06시],$P2678))</f>
        <v/>
      </c>
      <c r="N2678">
        <f>IF($P2678="","",INDEX(상세표[주말·휴일 포함],$P2678)&amp;"")</f>
        <v/>
      </c>
      <c r="O2678">
        <f>IF($P2678="","",INDEX(상세표[월 넘김 포함],$P2678)&amp;"")</f>
        <v/>
      </c>
      <c r="P2678" s="4">
        <f>IFERROR(MATCH(2673,상세표[연속순번],0),"")</f>
        <v/>
      </c>
    </row>
    <row r="2679">
      <c r="A2679">
        <f>IF($P2679="","",INDEX(상세표[사번],$P2679)&amp;"")</f>
        <v/>
      </c>
      <c r="B2679">
        <f>IF($P2679="","",INDEX(상세표[성명],$P2679)&amp;"")</f>
        <v/>
      </c>
      <c r="C2679">
        <f>IF($P2679="","",INDEX(상세표[부서],$P2679)&amp;"")</f>
        <v/>
      </c>
      <c r="D2679">
        <f>IF($P2679="","",INDEX(상세표[직위],$P2679)&amp;"")</f>
        <v/>
      </c>
      <c r="E2679">
        <f>IF($P2679="","",IF(ISNUMBER(INDEX(상세표[시작],$P2679)),TEXT(INDEX(상세표[시작],$P2679),"yyyy-mm-dd hh:mm"),INDEX(상세표[시작],$P2679)&amp;""))</f>
        <v/>
      </c>
      <c r="F2679">
        <f>IF($P2679="","",IF(ISNUMBER(INDEX(상세표[블록종료],$P2679)),TEXT(INDEX(상세표[블록종료],$P2679),"yyyy-mm-dd hh:mm"),INDEX(상세표[블록종료],$P2679)&amp;""))</f>
        <v/>
      </c>
      <c r="G2679">
        <f>IF($P2679="","",CHOOSE(WEEKDAY(INDEX(상세표[시작],$P2679)),"일","월","화","수","목","금","토"))</f>
        <v/>
      </c>
      <c r="H2679">
        <f>IF($P2679="","",INDEX(상세표[연속 시간],$P2679))</f>
        <v/>
      </c>
      <c r="I2679">
        <f>IF($P2679="","",INDEX(상세표[기록 수],$P2679))</f>
        <v/>
      </c>
      <c r="J2679">
        <f>IF($P2679="","",INDEX(상세표[블록 06~07시],$P2679))</f>
        <v/>
      </c>
      <c r="K2679">
        <f>IF($P2679="","",INDEX(상세표[블록 07~18시],$P2679))</f>
        <v/>
      </c>
      <c r="L2679">
        <f>IF($P2679="","",INDEX(상세표[블록 18~22시],$P2679))</f>
        <v/>
      </c>
      <c r="M2679">
        <f>IF($P2679="","",INDEX(상세표[블록 22~06시],$P2679))</f>
        <v/>
      </c>
      <c r="N2679">
        <f>IF($P2679="","",INDEX(상세표[주말·휴일 포함],$P2679)&amp;"")</f>
        <v/>
      </c>
      <c r="O2679">
        <f>IF($P2679="","",INDEX(상세표[월 넘김 포함],$P2679)&amp;"")</f>
        <v/>
      </c>
      <c r="P2679" s="4">
        <f>IFERROR(MATCH(2674,상세표[연속순번],0),"")</f>
        <v/>
      </c>
    </row>
    <row r="2680">
      <c r="A2680">
        <f>IF($P2680="","",INDEX(상세표[사번],$P2680)&amp;"")</f>
        <v/>
      </c>
      <c r="B2680">
        <f>IF($P2680="","",INDEX(상세표[성명],$P2680)&amp;"")</f>
        <v/>
      </c>
      <c r="C2680">
        <f>IF($P2680="","",INDEX(상세표[부서],$P2680)&amp;"")</f>
        <v/>
      </c>
      <c r="D2680">
        <f>IF($P2680="","",INDEX(상세표[직위],$P2680)&amp;"")</f>
        <v/>
      </c>
      <c r="E2680">
        <f>IF($P2680="","",IF(ISNUMBER(INDEX(상세표[시작],$P2680)),TEXT(INDEX(상세표[시작],$P2680),"yyyy-mm-dd hh:mm"),INDEX(상세표[시작],$P2680)&amp;""))</f>
        <v/>
      </c>
      <c r="F2680">
        <f>IF($P2680="","",IF(ISNUMBER(INDEX(상세표[블록종료],$P2680)),TEXT(INDEX(상세표[블록종료],$P2680),"yyyy-mm-dd hh:mm"),INDEX(상세표[블록종료],$P2680)&amp;""))</f>
        <v/>
      </c>
      <c r="G2680">
        <f>IF($P2680="","",CHOOSE(WEEKDAY(INDEX(상세표[시작],$P2680)),"일","월","화","수","목","금","토"))</f>
        <v/>
      </c>
      <c r="H2680">
        <f>IF($P2680="","",INDEX(상세표[연속 시간],$P2680))</f>
        <v/>
      </c>
      <c r="I2680">
        <f>IF($P2680="","",INDEX(상세표[기록 수],$P2680))</f>
        <v/>
      </c>
      <c r="J2680">
        <f>IF($P2680="","",INDEX(상세표[블록 06~07시],$P2680))</f>
        <v/>
      </c>
      <c r="K2680">
        <f>IF($P2680="","",INDEX(상세표[블록 07~18시],$P2680))</f>
        <v/>
      </c>
      <c r="L2680">
        <f>IF($P2680="","",INDEX(상세표[블록 18~22시],$P2680))</f>
        <v/>
      </c>
      <c r="M2680">
        <f>IF($P2680="","",INDEX(상세표[블록 22~06시],$P2680))</f>
        <v/>
      </c>
      <c r="N2680">
        <f>IF($P2680="","",INDEX(상세표[주말·휴일 포함],$P2680)&amp;"")</f>
        <v/>
      </c>
      <c r="O2680">
        <f>IF($P2680="","",INDEX(상세표[월 넘김 포함],$P2680)&amp;"")</f>
        <v/>
      </c>
      <c r="P2680" s="4">
        <f>IFERROR(MATCH(2675,상세표[연속순번],0),"")</f>
        <v/>
      </c>
    </row>
    <row r="2681">
      <c r="A2681">
        <f>IF($P2681="","",INDEX(상세표[사번],$P2681)&amp;"")</f>
        <v/>
      </c>
      <c r="B2681">
        <f>IF($P2681="","",INDEX(상세표[성명],$P2681)&amp;"")</f>
        <v/>
      </c>
      <c r="C2681">
        <f>IF($P2681="","",INDEX(상세표[부서],$P2681)&amp;"")</f>
        <v/>
      </c>
      <c r="D2681">
        <f>IF($P2681="","",INDEX(상세표[직위],$P2681)&amp;"")</f>
        <v/>
      </c>
      <c r="E2681">
        <f>IF($P2681="","",IF(ISNUMBER(INDEX(상세표[시작],$P2681)),TEXT(INDEX(상세표[시작],$P2681),"yyyy-mm-dd hh:mm"),INDEX(상세표[시작],$P2681)&amp;""))</f>
        <v/>
      </c>
      <c r="F2681">
        <f>IF($P2681="","",IF(ISNUMBER(INDEX(상세표[블록종료],$P2681)),TEXT(INDEX(상세표[블록종료],$P2681),"yyyy-mm-dd hh:mm"),INDEX(상세표[블록종료],$P2681)&amp;""))</f>
        <v/>
      </c>
      <c r="G2681">
        <f>IF($P2681="","",CHOOSE(WEEKDAY(INDEX(상세표[시작],$P2681)),"일","월","화","수","목","금","토"))</f>
        <v/>
      </c>
      <c r="H2681">
        <f>IF($P2681="","",INDEX(상세표[연속 시간],$P2681))</f>
        <v/>
      </c>
      <c r="I2681">
        <f>IF($P2681="","",INDEX(상세표[기록 수],$P2681))</f>
        <v/>
      </c>
      <c r="J2681">
        <f>IF($P2681="","",INDEX(상세표[블록 06~07시],$P2681))</f>
        <v/>
      </c>
      <c r="K2681">
        <f>IF($P2681="","",INDEX(상세표[블록 07~18시],$P2681))</f>
        <v/>
      </c>
      <c r="L2681">
        <f>IF($P2681="","",INDEX(상세표[블록 18~22시],$P2681))</f>
        <v/>
      </c>
      <c r="M2681">
        <f>IF($P2681="","",INDEX(상세표[블록 22~06시],$P2681))</f>
        <v/>
      </c>
      <c r="N2681">
        <f>IF($P2681="","",INDEX(상세표[주말·휴일 포함],$P2681)&amp;"")</f>
        <v/>
      </c>
      <c r="O2681">
        <f>IF($P2681="","",INDEX(상세표[월 넘김 포함],$P2681)&amp;"")</f>
        <v/>
      </c>
      <c r="P2681" s="4">
        <f>IFERROR(MATCH(2676,상세표[연속순번],0),"")</f>
        <v/>
      </c>
    </row>
    <row r="2682">
      <c r="A2682">
        <f>IF($P2682="","",INDEX(상세표[사번],$P2682)&amp;"")</f>
        <v/>
      </c>
      <c r="B2682">
        <f>IF($P2682="","",INDEX(상세표[성명],$P2682)&amp;"")</f>
        <v/>
      </c>
      <c r="C2682">
        <f>IF($P2682="","",INDEX(상세표[부서],$P2682)&amp;"")</f>
        <v/>
      </c>
      <c r="D2682">
        <f>IF($P2682="","",INDEX(상세표[직위],$P2682)&amp;"")</f>
        <v/>
      </c>
      <c r="E2682">
        <f>IF($P2682="","",IF(ISNUMBER(INDEX(상세표[시작],$P2682)),TEXT(INDEX(상세표[시작],$P2682),"yyyy-mm-dd hh:mm"),INDEX(상세표[시작],$P2682)&amp;""))</f>
        <v/>
      </c>
      <c r="F2682">
        <f>IF($P2682="","",IF(ISNUMBER(INDEX(상세표[블록종료],$P2682)),TEXT(INDEX(상세표[블록종료],$P2682),"yyyy-mm-dd hh:mm"),INDEX(상세표[블록종료],$P2682)&amp;""))</f>
        <v/>
      </c>
      <c r="G2682">
        <f>IF($P2682="","",CHOOSE(WEEKDAY(INDEX(상세표[시작],$P2682)),"일","월","화","수","목","금","토"))</f>
        <v/>
      </c>
      <c r="H2682">
        <f>IF($P2682="","",INDEX(상세표[연속 시간],$P2682))</f>
        <v/>
      </c>
      <c r="I2682">
        <f>IF($P2682="","",INDEX(상세표[기록 수],$P2682))</f>
        <v/>
      </c>
      <c r="J2682">
        <f>IF($P2682="","",INDEX(상세표[블록 06~07시],$P2682))</f>
        <v/>
      </c>
      <c r="K2682">
        <f>IF($P2682="","",INDEX(상세표[블록 07~18시],$P2682))</f>
        <v/>
      </c>
      <c r="L2682">
        <f>IF($P2682="","",INDEX(상세표[블록 18~22시],$P2682))</f>
        <v/>
      </c>
      <c r="M2682">
        <f>IF($P2682="","",INDEX(상세표[블록 22~06시],$P2682))</f>
        <v/>
      </c>
      <c r="N2682">
        <f>IF($P2682="","",INDEX(상세표[주말·휴일 포함],$P2682)&amp;"")</f>
        <v/>
      </c>
      <c r="O2682">
        <f>IF($P2682="","",INDEX(상세표[월 넘김 포함],$P2682)&amp;"")</f>
        <v/>
      </c>
      <c r="P2682" s="4">
        <f>IFERROR(MATCH(2677,상세표[연속순번],0),"")</f>
        <v/>
      </c>
    </row>
    <row r="2683">
      <c r="A2683">
        <f>IF($P2683="","",INDEX(상세표[사번],$P2683)&amp;"")</f>
        <v/>
      </c>
      <c r="B2683">
        <f>IF($P2683="","",INDEX(상세표[성명],$P2683)&amp;"")</f>
        <v/>
      </c>
      <c r="C2683">
        <f>IF($P2683="","",INDEX(상세표[부서],$P2683)&amp;"")</f>
        <v/>
      </c>
      <c r="D2683">
        <f>IF($P2683="","",INDEX(상세표[직위],$P2683)&amp;"")</f>
        <v/>
      </c>
      <c r="E2683">
        <f>IF($P2683="","",IF(ISNUMBER(INDEX(상세표[시작],$P2683)),TEXT(INDEX(상세표[시작],$P2683),"yyyy-mm-dd hh:mm"),INDEX(상세표[시작],$P2683)&amp;""))</f>
        <v/>
      </c>
      <c r="F2683">
        <f>IF($P2683="","",IF(ISNUMBER(INDEX(상세표[블록종료],$P2683)),TEXT(INDEX(상세표[블록종료],$P2683),"yyyy-mm-dd hh:mm"),INDEX(상세표[블록종료],$P2683)&amp;""))</f>
        <v/>
      </c>
      <c r="G2683">
        <f>IF($P2683="","",CHOOSE(WEEKDAY(INDEX(상세표[시작],$P2683)),"일","월","화","수","목","금","토"))</f>
        <v/>
      </c>
      <c r="H2683">
        <f>IF($P2683="","",INDEX(상세표[연속 시간],$P2683))</f>
        <v/>
      </c>
      <c r="I2683">
        <f>IF($P2683="","",INDEX(상세표[기록 수],$P2683))</f>
        <v/>
      </c>
      <c r="J2683">
        <f>IF($P2683="","",INDEX(상세표[블록 06~07시],$P2683))</f>
        <v/>
      </c>
      <c r="K2683">
        <f>IF($P2683="","",INDEX(상세표[블록 07~18시],$P2683))</f>
        <v/>
      </c>
      <c r="L2683">
        <f>IF($P2683="","",INDEX(상세표[블록 18~22시],$P2683))</f>
        <v/>
      </c>
      <c r="M2683">
        <f>IF($P2683="","",INDEX(상세표[블록 22~06시],$P2683))</f>
        <v/>
      </c>
      <c r="N2683">
        <f>IF($P2683="","",INDEX(상세표[주말·휴일 포함],$P2683)&amp;"")</f>
        <v/>
      </c>
      <c r="O2683">
        <f>IF($P2683="","",INDEX(상세표[월 넘김 포함],$P2683)&amp;"")</f>
        <v/>
      </c>
      <c r="P2683" s="4">
        <f>IFERROR(MATCH(2678,상세표[연속순번],0),"")</f>
        <v/>
      </c>
    </row>
    <row r="2684">
      <c r="A2684">
        <f>IF($P2684="","",INDEX(상세표[사번],$P2684)&amp;"")</f>
        <v/>
      </c>
      <c r="B2684">
        <f>IF($P2684="","",INDEX(상세표[성명],$P2684)&amp;"")</f>
        <v/>
      </c>
      <c r="C2684">
        <f>IF($P2684="","",INDEX(상세표[부서],$P2684)&amp;"")</f>
        <v/>
      </c>
      <c r="D2684">
        <f>IF($P2684="","",INDEX(상세표[직위],$P2684)&amp;"")</f>
        <v/>
      </c>
      <c r="E2684">
        <f>IF($P2684="","",IF(ISNUMBER(INDEX(상세표[시작],$P2684)),TEXT(INDEX(상세표[시작],$P2684),"yyyy-mm-dd hh:mm"),INDEX(상세표[시작],$P2684)&amp;""))</f>
        <v/>
      </c>
      <c r="F2684">
        <f>IF($P2684="","",IF(ISNUMBER(INDEX(상세표[블록종료],$P2684)),TEXT(INDEX(상세표[블록종료],$P2684),"yyyy-mm-dd hh:mm"),INDEX(상세표[블록종료],$P2684)&amp;""))</f>
        <v/>
      </c>
      <c r="G2684">
        <f>IF($P2684="","",CHOOSE(WEEKDAY(INDEX(상세표[시작],$P2684)),"일","월","화","수","목","금","토"))</f>
        <v/>
      </c>
      <c r="H2684">
        <f>IF($P2684="","",INDEX(상세표[연속 시간],$P2684))</f>
        <v/>
      </c>
      <c r="I2684">
        <f>IF($P2684="","",INDEX(상세표[기록 수],$P2684))</f>
        <v/>
      </c>
      <c r="J2684">
        <f>IF($P2684="","",INDEX(상세표[블록 06~07시],$P2684))</f>
        <v/>
      </c>
      <c r="K2684">
        <f>IF($P2684="","",INDEX(상세표[블록 07~18시],$P2684))</f>
        <v/>
      </c>
      <c r="L2684">
        <f>IF($P2684="","",INDEX(상세표[블록 18~22시],$P2684))</f>
        <v/>
      </c>
      <c r="M2684">
        <f>IF($P2684="","",INDEX(상세표[블록 22~06시],$P2684))</f>
        <v/>
      </c>
      <c r="N2684">
        <f>IF($P2684="","",INDEX(상세표[주말·휴일 포함],$P2684)&amp;"")</f>
        <v/>
      </c>
      <c r="O2684">
        <f>IF($P2684="","",INDEX(상세표[월 넘김 포함],$P2684)&amp;"")</f>
        <v/>
      </c>
      <c r="P2684" s="4">
        <f>IFERROR(MATCH(2679,상세표[연속순번],0),"")</f>
        <v/>
      </c>
    </row>
    <row r="2685">
      <c r="A2685">
        <f>IF($P2685="","",INDEX(상세표[사번],$P2685)&amp;"")</f>
        <v/>
      </c>
      <c r="B2685">
        <f>IF($P2685="","",INDEX(상세표[성명],$P2685)&amp;"")</f>
        <v/>
      </c>
      <c r="C2685">
        <f>IF($P2685="","",INDEX(상세표[부서],$P2685)&amp;"")</f>
        <v/>
      </c>
      <c r="D2685">
        <f>IF($P2685="","",INDEX(상세표[직위],$P2685)&amp;"")</f>
        <v/>
      </c>
      <c r="E2685">
        <f>IF($P2685="","",IF(ISNUMBER(INDEX(상세표[시작],$P2685)),TEXT(INDEX(상세표[시작],$P2685),"yyyy-mm-dd hh:mm"),INDEX(상세표[시작],$P2685)&amp;""))</f>
        <v/>
      </c>
      <c r="F2685">
        <f>IF($P2685="","",IF(ISNUMBER(INDEX(상세표[블록종료],$P2685)),TEXT(INDEX(상세표[블록종료],$P2685),"yyyy-mm-dd hh:mm"),INDEX(상세표[블록종료],$P2685)&amp;""))</f>
        <v/>
      </c>
      <c r="G2685">
        <f>IF($P2685="","",CHOOSE(WEEKDAY(INDEX(상세표[시작],$P2685)),"일","월","화","수","목","금","토"))</f>
        <v/>
      </c>
      <c r="H2685">
        <f>IF($P2685="","",INDEX(상세표[연속 시간],$P2685))</f>
        <v/>
      </c>
      <c r="I2685">
        <f>IF($P2685="","",INDEX(상세표[기록 수],$P2685))</f>
        <v/>
      </c>
      <c r="J2685">
        <f>IF($P2685="","",INDEX(상세표[블록 06~07시],$P2685))</f>
        <v/>
      </c>
      <c r="K2685">
        <f>IF($P2685="","",INDEX(상세표[블록 07~18시],$P2685))</f>
        <v/>
      </c>
      <c r="L2685">
        <f>IF($P2685="","",INDEX(상세표[블록 18~22시],$P2685))</f>
        <v/>
      </c>
      <c r="M2685">
        <f>IF($P2685="","",INDEX(상세표[블록 22~06시],$P2685))</f>
        <v/>
      </c>
      <c r="N2685">
        <f>IF($P2685="","",INDEX(상세표[주말·휴일 포함],$P2685)&amp;"")</f>
        <v/>
      </c>
      <c r="O2685">
        <f>IF($P2685="","",INDEX(상세표[월 넘김 포함],$P2685)&amp;"")</f>
        <v/>
      </c>
      <c r="P2685" s="4">
        <f>IFERROR(MATCH(2680,상세표[연속순번],0),"")</f>
        <v/>
      </c>
    </row>
    <row r="2686">
      <c r="A2686">
        <f>IF($P2686="","",INDEX(상세표[사번],$P2686)&amp;"")</f>
        <v/>
      </c>
      <c r="B2686">
        <f>IF($P2686="","",INDEX(상세표[성명],$P2686)&amp;"")</f>
        <v/>
      </c>
      <c r="C2686">
        <f>IF($P2686="","",INDEX(상세표[부서],$P2686)&amp;"")</f>
        <v/>
      </c>
      <c r="D2686">
        <f>IF($P2686="","",INDEX(상세표[직위],$P2686)&amp;"")</f>
        <v/>
      </c>
      <c r="E2686">
        <f>IF($P2686="","",IF(ISNUMBER(INDEX(상세표[시작],$P2686)),TEXT(INDEX(상세표[시작],$P2686),"yyyy-mm-dd hh:mm"),INDEX(상세표[시작],$P2686)&amp;""))</f>
        <v/>
      </c>
      <c r="F2686">
        <f>IF($P2686="","",IF(ISNUMBER(INDEX(상세표[블록종료],$P2686)),TEXT(INDEX(상세표[블록종료],$P2686),"yyyy-mm-dd hh:mm"),INDEX(상세표[블록종료],$P2686)&amp;""))</f>
        <v/>
      </c>
      <c r="G2686">
        <f>IF($P2686="","",CHOOSE(WEEKDAY(INDEX(상세표[시작],$P2686)),"일","월","화","수","목","금","토"))</f>
        <v/>
      </c>
      <c r="H2686">
        <f>IF($P2686="","",INDEX(상세표[연속 시간],$P2686))</f>
        <v/>
      </c>
      <c r="I2686">
        <f>IF($P2686="","",INDEX(상세표[기록 수],$P2686))</f>
        <v/>
      </c>
      <c r="J2686">
        <f>IF($P2686="","",INDEX(상세표[블록 06~07시],$P2686))</f>
        <v/>
      </c>
      <c r="K2686">
        <f>IF($P2686="","",INDEX(상세표[블록 07~18시],$P2686))</f>
        <v/>
      </c>
      <c r="L2686">
        <f>IF($P2686="","",INDEX(상세표[블록 18~22시],$P2686))</f>
        <v/>
      </c>
      <c r="M2686">
        <f>IF($P2686="","",INDEX(상세표[블록 22~06시],$P2686))</f>
        <v/>
      </c>
      <c r="N2686">
        <f>IF($P2686="","",INDEX(상세표[주말·휴일 포함],$P2686)&amp;"")</f>
        <v/>
      </c>
      <c r="O2686">
        <f>IF($P2686="","",INDEX(상세표[월 넘김 포함],$P2686)&amp;"")</f>
        <v/>
      </c>
      <c r="P2686" s="4">
        <f>IFERROR(MATCH(2681,상세표[연속순번],0),"")</f>
        <v/>
      </c>
    </row>
    <row r="2687">
      <c r="A2687">
        <f>IF($P2687="","",INDEX(상세표[사번],$P2687)&amp;"")</f>
        <v/>
      </c>
      <c r="B2687">
        <f>IF($P2687="","",INDEX(상세표[성명],$P2687)&amp;"")</f>
        <v/>
      </c>
      <c r="C2687">
        <f>IF($P2687="","",INDEX(상세표[부서],$P2687)&amp;"")</f>
        <v/>
      </c>
      <c r="D2687">
        <f>IF($P2687="","",INDEX(상세표[직위],$P2687)&amp;"")</f>
        <v/>
      </c>
      <c r="E2687">
        <f>IF($P2687="","",IF(ISNUMBER(INDEX(상세표[시작],$P2687)),TEXT(INDEX(상세표[시작],$P2687),"yyyy-mm-dd hh:mm"),INDEX(상세표[시작],$P2687)&amp;""))</f>
        <v/>
      </c>
      <c r="F2687">
        <f>IF($P2687="","",IF(ISNUMBER(INDEX(상세표[블록종료],$P2687)),TEXT(INDEX(상세표[블록종료],$P2687),"yyyy-mm-dd hh:mm"),INDEX(상세표[블록종료],$P2687)&amp;""))</f>
        <v/>
      </c>
      <c r="G2687">
        <f>IF($P2687="","",CHOOSE(WEEKDAY(INDEX(상세표[시작],$P2687)),"일","월","화","수","목","금","토"))</f>
        <v/>
      </c>
      <c r="H2687">
        <f>IF($P2687="","",INDEX(상세표[연속 시간],$P2687))</f>
        <v/>
      </c>
      <c r="I2687">
        <f>IF($P2687="","",INDEX(상세표[기록 수],$P2687))</f>
        <v/>
      </c>
      <c r="J2687">
        <f>IF($P2687="","",INDEX(상세표[블록 06~07시],$P2687))</f>
        <v/>
      </c>
      <c r="K2687">
        <f>IF($P2687="","",INDEX(상세표[블록 07~18시],$P2687))</f>
        <v/>
      </c>
      <c r="L2687">
        <f>IF($P2687="","",INDEX(상세표[블록 18~22시],$P2687))</f>
        <v/>
      </c>
      <c r="M2687">
        <f>IF($P2687="","",INDEX(상세표[블록 22~06시],$P2687))</f>
        <v/>
      </c>
      <c r="N2687">
        <f>IF($P2687="","",INDEX(상세표[주말·휴일 포함],$P2687)&amp;"")</f>
        <v/>
      </c>
      <c r="O2687">
        <f>IF($P2687="","",INDEX(상세표[월 넘김 포함],$P2687)&amp;"")</f>
        <v/>
      </c>
      <c r="P2687" s="4">
        <f>IFERROR(MATCH(2682,상세표[연속순번],0),"")</f>
        <v/>
      </c>
    </row>
    <row r="2688">
      <c r="A2688">
        <f>IF($P2688="","",INDEX(상세표[사번],$P2688)&amp;"")</f>
        <v/>
      </c>
      <c r="B2688">
        <f>IF($P2688="","",INDEX(상세표[성명],$P2688)&amp;"")</f>
        <v/>
      </c>
      <c r="C2688">
        <f>IF($P2688="","",INDEX(상세표[부서],$P2688)&amp;"")</f>
        <v/>
      </c>
      <c r="D2688">
        <f>IF($P2688="","",INDEX(상세표[직위],$P2688)&amp;"")</f>
        <v/>
      </c>
      <c r="E2688">
        <f>IF($P2688="","",IF(ISNUMBER(INDEX(상세표[시작],$P2688)),TEXT(INDEX(상세표[시작],$P2688),"yyyy-mm-dd hh:mm"),INDEX(상세표[시작],$P2688)&amp;""))</f>
        <v/>
      </c>
      <c r="F2688">
        <f>IF($P2688="","",IF(ISNUMBER(INDEX(상세표[블록종료],$P2688)),TEXT(INDEX(상세표[블록종료],$P2688),"yyyy-mm-dd hh:mm"),INDEX(상세표[블록종료],$P2688)&amp;""))</f>
        <v/>
      </c>
      <c r="G2688">
        <f>IF($P2688="","",CHOOSE(WEEKDAY(INDEX(상세표[시작],$P2688)),"일","월","화","수","목","금","토"))</f>
        <v/>
      </c>
      <c r="H2688">
        <f>IF($P2688="","",INDEX(상세표[연속 시간],$P2688))</f>
        <v/>
      </c>
      <c r="I2688">
        <f>IF($P2688="","",INDEX(상세표[기록 수],$P2688))</f>
        <v/>
      </c>
      <c r="J2688">
        <f>IF($P2688="","",INDEX(상세표[블록 06~07시],$P2688))</f>
        <v/>
      </c>
      <c r="K2688">
        <f>IF($P2688="","",INDEX(상세표[블록 07~18시],$P2688))</f>
        <v/>
      </c>
      <c r="L2688">
        <f>IF($P2688="","",INDEX(상세표[블록 18~22시],$P2688))</f>
        <v/>
      </c>
      <c r="M2688">
        <f>IF($P2688="","",INDEX(상세표[블록 22~06시],$P2688))</f>
        <v/>
      </c>
      <c r="N2688">
        <f>IF($P2688="","",INDEX(상세표[주말·휴일 포함],$P2688)&amp;"")</f>
        <v/>
      </c>
      <c r="O2688">
        <f>IF($P2688="","",INDEX(상세표[월 넘김 포함],$P2688)&amp;"")</f>
        <v/>
      </c>
      <c r="P2688" s="4">
        <f>IFERROR(MATCH(2683,상세표[연속순번],0),"")</f>
        <v/>
      </c>
    </row>
    <row r="2689">
      <c r="A2689">
        <f>IF($P2689="","",INDEX(상세표[사번],$P2689)&amp;"")</f>
        <v/>
      </c>
      <c r="B2689">
        <f>IF($P2689="","",INDEX(상세표[성명],$P2689)&amp;"")</f>
        <v/>
      </c>
      <c r="C2689">
        <f>IF($P2689="","",INDEX(상세표[부서],$P2689)&amp;"")</f>
        <v/>
      </c>
      <c r="D2689">
        <f>IF($P2689="","",INDEX(상세표[직위],$P2689)&amp;"")</f>
        <v/>
      </c>
      <c r="E2689">
        <f>IF($P2689="","",IF(ISNUMBER(INDEX(상세표[시작],$P2689)),TEXT(INDEX(상세표[시작],$P2689),"yyyy-mm-dd hh:mm"),INDEX(상세표[시작],$P2689)&amp;""))</f>
        <v/>
      </c>
      <c r="F2689">
        <f>IF($P2689="","",IF(ISNUMBER(INDEX(상세표[블록종료],$P2689)),TEXT(INDEX(상세표[블록종료],$P2689),"yyyy-mm-dd hh:mm"),INDEX(상세표[블록종료],$P2689)&amp;""))</f>
        <v/>
      </c>
      <c r="G2689">
        <f>IF($P2689="","",CHOOSE(WEEKDAY(INDEX(상세표[시작],$P2689)),"일","월","화","수","목","금","토"))</f>
        <v/>
      </c>
      <c r="H2689">
        <f>IF($P2689="","",INDEX(상세표[연속 시간],$P2689))</f>
        <v/>
      </c>
      <c r="I2689">
        <f>IF($P2689="","",INDEX(상세표[기록 수],$P2689))</f>
        <v/>
      </c>
      <c r="J2689">
        <f>IF($P2689="","",INDEX(상세표[블록 06~07시],$P2689))</f>
        <v/>
      </c>
      <c r="K2689">
        <f>IF($P2689="","",INDEX(상세표[블록 07~18시],$P2689))</f>
        <v/>
      </c>
      <c r="L2689">
        <f>IF($P2689="","",INDEX(상세표[블록 18~22시],$P2689))</f>
        <v/>
      </c>
      <c r="M2689">
        <f>IF($P2689="","",INDEX(상세표[블록 22~06시],$P2689))</f>
        <v/>
      </c>
      <c r="N2689">
        <f>IF($P2689="","",INDEX(상세표[주말·휴일 포함],$P2689)&amp;"")</f>
        <v/>
      </c>
      <c r="O2689">
        <f>IF($P2689="","",INDEX(상세표[월 넘김 포함],$P2689)&amp;"")</f>
        <v/>
      </c>
      <c r="P2689" s="4">
        <f>IFERROR(MATCH(2684,상세표[연속순번],0),"")</f>
        <v/>
      </c>
    </row>
    <row r="2690">
      <c r="A2690">
        <f>IF($P2690="","",INDEX(상세표[사번],$P2690)&amp;"")</f>
        <v/>
      </c>
      <c r="B2690">
        <f>IF($P2690="","",INDEX(상세표[성명],$P2690)&amp;"")</f>
        <v/>
      </c>
      <c r="C2690">
        <f>IF($P2690="","",INDEX(상세표[부서],$P2690)&amp;"")</f>
        <v/>
      </c>
      <c r="D2690">
        <f>IF($P2690="","",INDEX(상세표[직위],$P2690)&amp;"")</f>
        <v/>
      </c>
      <c r="E2690">
        <f>IF($P2690="","",IF(ISNUMBER(INDEX(상세표[시작],$P2690)),TEXT(INDEX(상세표[시작],$P2690),"yyyy-mm-dd hh:mm"),INDEX(상세표[시작],$P2690)&amp;""))</f>
        <v/>
      </c>
      <c r="F2690">
        <f>IF($P2690="","",IF(ISNUMBER(INDEX(상세표[블록종료],$P2690)),TEXT(INDEX(상세표[블록종료],$P2690),"yyyy-mm-dd hh:mm"),INDEX(상세표[블록종료],$P2690)&amp;""))</f>
        <v/>
      </c>
      <c r="G2690">
        <f>IF($P2690="","",CHOOSE(WEEKDAY(INDEX(상세표[시작],$P2690)),"일","월","화","수","목","금","토"))</f>
        <v/>
      </c>
      <c r="H2690">
        <f>IF($P2690="","",INDEX(상세표[연속 시간],$P2690))</f>
        <v/>
      </c>
      <c r="I2690">
        <f>IF($P2690="","",INDEX(상세표[기록 수],$P2690))</f>
        <v/>
      </c>
      <c r="J2690">
        <f>IF($P2690="","",INDEX(상세표[블록 06~07시],$P2690))</f>
        <v/>
      </c>
      <c r="K2690">
        <f>IF($P2690="","",INDEX(상세표[블록 07~18시],$P2690))</f>
        <v/>
      </c>
      <c r="L2690">
        <f>IF($P2690="","",INDEX(상세표[블록 18~22시],$P2690))</f>
        <v/>
      </c>
      <c r="M2690">
        <f>IF($P2690="","",INDEX(상세표[블록 22~06시],$P2690))</f>
        <v/>
      </c>
      <c r="N2690">
        <f>IF($P2690="","",INDEX(상세표[주말·휴일 포함],$P2690)&amp;"")</f>
        <v/>
      </c>
      <c r="O2690">
        <f>IF($P2690="","",INDEX(상세표[월 넘김 포함],$P2690)&amp;"")</f>
        <v/>
      </c>
      <c r="P2690" s="4">
        <f>IFERROR(MATCH(2685,상세표[연속순번],0),"")</f>
        <v/>
      </c>
    </row>
    <row r="2691">
      <c r="A2691">
        <f>IF($P2691="","",INDEX(상세표[사번],$P2691)&amp;"")</f>
        <v/>
      </c>
      <c r="B2691">
        <f>IF($P2691="","",INDEX(상세표[성명],$P2691)&amp;"")</f>
        <v/>
      </c>
      <c r="C2691">
        <f>IF($P2691="","",INDEX(상세표[부서],$P2691)&amp;"")</f>
        <v/>
      </c>
      <c r="D2691">
        <f>IF($P2691="","",INDEX(상세표[직위],$P2691)&amp;"")</f>
        <v/>
      </c>
      <c r="E2691">
        <f>IF($P2691="","",IF(ISNUMBER(INDEX(상세표[시작],$P2691)),TEXT(INDEX(상세표[시작],$P2691),"yyyy-mm-dd hh:mm"),INDEX(상세표[시작],$P2691)&amp;""))</f>
        <v/>
      </c>
      <c r="F2691">
        <f>IF($P2691="","",IF(ISNUMBER(INDEX(상세표[블록종료],$P2691)),TEXT(INDEX(상세표[블록종료],$P2691),"yyyy-mm-dd hh:mm"),INDEX(상세표[블록종료],$P2691)&amp;""))</f>
        <v/>
      </c>
      <c r="G2691">
        <f>IF($P2691="","",CHOOSE(WEEKDAY(INDEX(상세표[시작],$P2691)),"일","월","화","수","목","금","토"))</f>
        <v/>
      </c>
      <c r="H2691">
        <f>IF($P2691="","",INDEX(상세표[연속 시간],$P2691))</f>
        <v/>
      </c>
      <c r="I2691">
        <f>IF($P2691="","",INDEX(상세표[기록 수],$P2691))</f>
        <v/>
      </c>
      <c r="J2691">
        <f>IF($P2691="","",INDEX(상세표[블록 06~07시],$P2691))</f>
        <v/>
      </c>
      <c r="K2691">
        <f>IF($P2691="","",INDEX(상세표[블록 07~18시],$P2691))</f>
        <v/>
      </c>
      <c r="L2691">
        <f>IF($P2691="","",INDEX(상세표[블록 18~22시],$P2691))</f>
        <v/>
      </c>
      <c r="M2691">
        <f>IF($P2691="","",INDEX(상세표[블록 22~06시],$P2691))</f>
        <v/>
      </c>
      <c r="N2691">
        <f>IF($P2691="","",INDEX(상세표[주말·휴일 포함],$P2691)&amp;"")</f>
        <v/>
      </c>
      <c r="O2691">
        <f>IF($P2691="","",INDEX(상세표[월 넘김 포함],$P2691)&amp;"")</f>
        <v/>
      </c>
      <c r="P2691" s="4">
        <f>IFERROR(MATCH(2686,상세표[연속순번],0),"")</f>
        <v/>
      </c>
    </row>
    <row r="2692">
      <c r="A2692">
        <f>IF($P2692="","",INDEX(상세표[사번],$P2692)&amp;"")</f>
        <v/>
      </c>
      <c r="B2692">
        <f>IF($P2692="","",INDEX(상세표[성명],$P2692)&amp;"")</f>
        <v/>
      </c>
      <c r="C2692">
        <f>IF($P2692="","",INDEX(상세표[부서],$P2692)&amp;"")</f>
        <v/>
      </c>
      <c r="D2692">
        <f>IF($P2692="","",INDEX(상세표[직위],$P2692)&amp;"")</f>
        <v/>
      </c>
      <c r="E2692">
        <f>IF($P2692="","",IF(ISNUMBER(INDEX(상세표[시작],$P2692)),TEXT(INDEX(상세표[시작],$P2692),"yyyy-mm-dd hh:mm"),INDEX(상세표[시작],$P2692)&amp;""))</f>
        <v/>
      </c>
      <c r="F2692">
        <f>IF($P2692="","",IF(ISNUMBER(INDEX(상세표[블록종료],$P2692)),TEXT(INDEX(상세표[블록종료],$P2692),"yyyy-mm-dd hh:mm"),INDEX(상세표[블록종료],$P2692)&amp;""))</f>
        <v/>
      </c>
      <c r="G2692">
        <f>IF($P2692="","",CHOOSE(WEEKDAY(INDEX(상세표[시작],$P2692)),"일","월","화","수","목","금","토"))</f>
        <v/>
      </c>
      <c r="H2692">
        <f>IF($P2692="","",INDEX(상세표[연속 시간],$P2692))</f>
        <v/>
      </c>
      <c r="I2692">
        <f>IF($P2692="","",INDEX(상세표[기록 수],$P2692))</f>
        <v/>
      </c>
      <c r="J2692">
        <f>IF($P2692="","",INDEX(상세표[블록 06~07시],$P2692))</f>
        <v/>
      </c>
      <c r="K2692">
        <f>IF($P2692="","",INDEX(상세표[블록 07~18시],$P2692))</f>
        <v/>
      </c>
      <c r="L2692">
        <f>IF($P2692="","",INDEX(상세표[블록 18~22시],$P2692))</f>
        <v/>
      </c>
      <c r="M2692">
        <f>IF($P2692="","",INDEX(상세표[블록 22~06시],$P2692))</f>
        <v/>
      </c>
      <c r="N2692">
        <f>IF($P2692="","",INDEX(상세표[주말·휴일 포함],$P2692)&amp;"")</f>
        <v/>
      </c>
      <c r="O2692">
        <f>IF($P2692="","",INDEX(상세표[월 넘김 포함],$P2692)&amp;"")</f>
        <v/>
      </c>
      <c r="P2692" s="4">
        <f>IFERROR(MATCH(2687,상세표[연속순번],0),"")</f>
        <v/>
      </c>
    </row>
    <row r="2693">
      <c r="A2693">
        <f>IF($P2693="","",INDEX(상세표[사번],$P2693)&amp;"")</f>
        <v/>
      </c>
      <c r="B2693">
        <f>IF($P2693="","",INDEX(상세표[성명],$P2693)&amp;"")</f>
        <v/>
      </c>
      <c r="C2693">
        <f>IF($P2693="","",INDEX(상세표[부서],$P2693)&amp;"")</f>
        <v/>
      </c>
      <c r="D2693">
        <f>IF($P2693="","",INDEX(상세표[직위],$P2693)&amp;"")</f>
        <v/>
      </c>
      <c r="E2693">
        <f>IF($P2693="","",IF(ISNUMBER(INDEX(상세표[시작],$P2693)),TEXT(INDEX(상세표[시작],$P2693),"yyyy-mm-dd hh:mm"),INDEX(상세표[시작],$P2693)&amp;""))</f>
        <v/>
      </c>
      <c r="F2693">
        <f>IF($P2693="","",IF(ISNUMBER(INDEX(상세표[블록종료],$P2693)),TEXT(INDEX(상세표[블록종료],$P2693),"yyyy-mm-dd hh:mm"),INDEX(상세표[블록종료],$P2693)&amp;""))</f>
        <v/>
      </c>
      <c r="G2693">
        <f>IF($P2693="","",CHOOSE(WEEKDAY(INDEX(상세표[시작],$P2693)),"일","월","화","수","목","금","토"))</f>
        <v/>
      </c>
      <c r="H2693">
        <f>IF($P2693="","",INDEX(상세표[연속 시간],$P2693))</f>
        <v/>
      </c>
      <c r="I2693">
        <f>IF($P2693="","",INDEX(상세표[기록 수],$P2693))</f>
        <v/>
      </c>
      <c r="J2693">
        <f>IF($P2693="","",INDEX(상세표[블록 06~07시],$P2693))</f>
        <v/>
      </c>
      <c r="K2693">
        <f>IF($P2693="","",INDEX(상세표[블록 07~18시],$P2693))</f>
        <v/>
      </c>
      <c r="L2693">
        <f>IF($P2693="","",INDEX(상세표[블록 18~22시],$P2693))</f>
        <v/>
      </c>
      <c r="M2693">
        <f>IF($P2693="","",INDEX(상세표[블록 22~06시],$P2693))</f>
        <v/>
      </c>
      <c r="N2693">
        <f>IF($P2693="","",INDEX(상세표[주말·휴일 포함],$P2693)&amp;"")</f>
        <v/>
      </c>
      <c r="O2693">
        <f>IF($P2693="","",INDEX(상세표[월 넘김 포함],$P2693)&amp;"")</f>
        <v/>
      </c>
      <c r="P2693" s="4">
        <f>IFERROR(MATCH(2688,상세표[연속순번],0),"")</f>
        <v/>
      </c>
    </row>
    <row r="2694">
      <c r="A2694">
        <f>IF($P2694="","",INDEX(상세표[사번],$P2694)&amp;"")</f>
        <v/>
      </c>
      <c r="B2694">
        <f>IF($P2694="","",INDEX(상세표[성명],$P2694)&amp;"")</f>
        <v/>
      </c>
      <c r="C2694">
        <f>IF($P2694="","",INDEX(상세표[부서],$P2694)&amp;"")</f>
        <v/>
      </c>
      <c r="D2694">
        <f>IF($P2694="","",INDEX(상세표[직위],$P2694)&amp;"")</f>
        <v/>
      </c>
      <c r="E2694">
        <f>IF($P2694="","",IF(ISNUMBER(INDEX(상세표[시작],$P2694)),TEXT(INDEX(상세표[시작],$P2694),"yyyy-mm-dd hh:mm"),INDEX(상세표[시작],$P2694)&amp;""))</f>
        <v/>
      </c>
      <c r="F2694">
        <f>IF($P2694="","",IF(ISNUMBER(INDEX(상세표[블록종료],$P2694)),TEXT(INDEX(상세표[블록종료],$P2694),"yyyy-mm-dd hh:mm"),INDEX(상세표[블록종료],$P2694)&amp;""))</f>
        <v/>
      </c>
      <c r="G2694">
        <f>IF($P2694="","",CHOOSE(WEEKDAY(INDEX(상세표[시작],$P2694)),"일","월","화","수","목","금","토"))</f>
        <v/>
      </c>
      <c r="H2694">
        <f>IF($P2694="","",INDEX(상세표[연속 시간],$P2694))</f>
        <v/>
      </c>
      <c r="I2694">
        <f>IF($P2694="","",INDEX(상세표[기록 수],$P2694))</f>
        <v/>
      </c>
      <c r="J2694">
        <f>IF($P2694="","",INDEX(상세표[블록 06~07시],$P2694))</f>
        <v/>
      </c>
      <c r="K2694">
        <f>IF($P2694="","",INDEX(상세표[블록 07~18시],$P2694))</f>
        <v/>
      </c>
      <c r="L2694">
        <f>IF($P2694="","",INDEX(상세표[블록 18~22시],$P2694))</f>
        <v/>
      </c>
      <c r="M2694">
        <f>IF($P2694="","",INDEX(상세표[블록 22~06시],$P2694))</f>
        <v/>
      </c>
      <c r="N2694">
        <f>IF($P2694="","",INDEX(상세표[주말·휴일 포함],$P2694)&amp;"")</f>
        <v/>
      </c>
      <c r="O2694">
        <f>IF($P2694="","",INDEX(상세표[월 넘김 포함],$P2694)&amp;"")</f>
        <v/>
      </c>
      <c r="P2694" s="4">
        <f>IFERROR(MATCH(2689,상세표[연속순번],0),"")</f>
        <v/>
      </c>
    </row>
    <row r="2695">
      <c r="A2695">
        <f>IF($P2695="","",INDEX(상세표[사번],$P2695)&amp;"")</f>
        <v/>
      </c>
      <c r="B2695">
        <f>IF($P2695="","",INDEX(상세표[성명],$P2695)&amp;"")</f>
        <v/>
      </c>
      <c r="C2695">
        <f>IF($P2695="","",INDEX(상세표[부서],$P2695)&amp;"")</f>
        <v/>
      </c>
      <c r="D2695">
        <f>IF($P2695="","",INDEX(상세표[직위],$P2695)&amp;"")</f>
        <v/>
      </c>
      <c r="E2695">
        <f>IF($P2695="","",IF(ISNUMBER(INDEX(상세표[시작],$P2695)),TEXT(INDEX(상세표[시작],$P2695),"yyyy-mm-dd hh:mm"),INDEX(상세표[시작],$P2695)&amp;""))</f>
        <v/>
      </c>
      <c r="F2695">
        <f>IF($P2695="","",IF(ISNUMBER(INDEX(상세표[블록종료],$P2695)),TEXT(INDEX(상세표[블록종료],$P2695),"yyyy-mm-dd hh:mm"),INDEX(상세표[블록종료],$P2695)&amp;""))</f>
        <v/>
      </c>
      <c r="G2695">
        <f>IF($P2695="","",CHOOSE(WEEKDAY(INDEX(상세표[시작],$P2695)),"일","월","화","수","목","금","토"))</f>
        <v/>
      </c>
      <c r="H2695">
        <f>IF($P2695="","",INDEX(상세표[연속 시간],$P2695))</f>
        <v/>
      </c>
      <c r="I2695">
        <f>IF($P2695="","",INDEX(상세표[기록 수],$P2695))</f>
        <v/>
      </c>
      <c r="J2695">
        <f>IF($P2695="","",INDEX(상세표[블록 06~07시],$P2695))</f>
        <v/>
      </c>
      <c r="K2695">
        <f>IF($P2695="","",INDEX(상세표[블록 07~18시],$P2695))</f>
        <v/>
      </c>
      <c r="L2695">
        <f>IF($P2695="","",INDEX(상세표[블록 18~22시],$P2695))</f>
        <v/>
      </c>
      <c r="M2695">
        <f>IF($P2695="","",INDEX(상세표[블록 22~06시],$P2695))</f>
        <v/>
      </c>
      <c r="N2695">
        <f>IF($P2695="","",INDEX(상세표[주말·휴일 포함],$P2695)&amp;"")</f>
        <v/>
      </c>
      <c r="O2695">
        <f>IF($P2695="","",INDEX(상세표[월 넘김 포함],$P2695)&amp;"")</f>
        <v/>
      </c>
      <c r="P2695" s="4">
        <f>IFERROR(MATCH(2690,상세표[연속순번],0),"")</f>
        <v/>
      </c>
    </row>
    <row r="2696">
      <c r="A2696">
        <f>IF($P2696="","",INDEX(상세표[사번],$P2696)&amp;"")</f>
        <v/>
      </c>
      <c r="B2696">
        <f>IF($P2696="","",INDEX(상세표[성명],$P2696)&amp;"")</f>
        <v/>
      </c>
      <c r="C2696">
        <f>IF($P2696="","",INDEX(상세표[부서],$P2696)&amp;"")</f>
        <v/>
      </c>
      <c r="D2696">
        <f>IF($P2696="","",INDEX(상세표[직위],$P2696)&amp;"")</f>
        <v/>
      </c>
      <c r="E2696">
        <f>IF($P2696="","",IF(ISNUMBER(INDEX(상세표[시작],$P2696)),TEXT(INDEX(상세표[시작],$P2696),"yyyy-mm-dd hh:mm"),INDEX(상세표[시작],$P2696)&amp;""))</f>
        <v/>
      </c>
      <c r="F2696">
        <f>IF($P2696="","",IF(ISNUMBER(INDEX(상세표[블록종료],$P2696)),TEXT(INDEX(상세표[블록종료],$P2696),"yyyy-mm-dd hh:mm"),INDEX(상세표[블록종료],$P2696)&amp;""))</f>
        <v/>
      </c>
      <c r="G2696">
        <f>IF($P2696="","",CHOOSE(WEEKDAY(INDEX(상세표[시작],$P2696)),"일","월","화","수","목","금","토"))</f>
        <v/>
      </c>
      <c r="H2696">
        <f>IF($P2696="","",INDEX(상세표[연속 시간],$P2696))</f>
        <v/>
      </c>
      <c r="I2696">
        <f>IF($P2696="","",INDEX(상세표[기록 수],$P2696))</f>
        <v/>
      </c>
      <c r="J2696">
        <f>IF($P2696="","",INDEX(상세표[블록 06~07시],$P2696))</f>
        <v/>
      </c>
      <c r="K2696">
        <f>IF($P2696="","",INDEX(상세표[블록 07~18시],$P2696))</f>
        <v/>
      </c>
      <c r="L2696">
        <f>IF($P2696="","",INDEX(상세표[블록 18~22시],$P2696))</f>
        <v/>
      </c>
      <c r="M2696">
        <f>IF($P2696="","",INDEX(상세표[블록 22~06시],$P2696))</f>
        <v/>
      </c>
      <c r="N2696">
        <f>IF($P2696="","",INDEX(상세표[주말·휴일 포함],$P2696)&amp;"")</f>
        <v/>
      </c>
      <c r="O2696">
        <f>IF($P2696="","",INDEX(상세표[월 넘김 포함],$P2696)&amp;"")</f>
        <v/>
      </c>
      <c r="P2696" s="4">
        <f>IFERROR(MATCH(2691,상세표[연속순번],0),"")</f>
        <v/>
      </c>
    </row>
    <row r="2697">
      <c r="A2697">
        <f>IF($P2697="","",INDEX(상세표[사번],$P2697)&amp;"")</f>
        <v/>
      </c>
      <c r="B2697">
        <f>IF($P2697="","",INDEX(상세표[성명],$P2697)&amp;"")</f>
        <v/>
      </c>
      <c r="C2697">
        <f>IF($P2697="","",INDEX(상세표[부서],$P2697)&amp;"")</f>
        <v/>
      </c>
      <c r="D2697">
        <f>IF($P2697="","",INDEX(상세표[직위],$P2697)&amp;"")</f>
        <v/>
      </c>
      <c r="E2697">
        <f>IF($P2697="","",IF(ISNUMBER(INDEX(상세표[시작],$P2697)),TEXT(INDEX(상세표[시작],$P2697),"yyyy-mm-dd hh:mm"),INDEX(상세표[시작],$P2697)&amp;""))</f>
        <v/>
      </c>
      <c r="F2697">
        <f>IF($P2697="","",IF(ISNUMBER(INDEX(상세표[블록종료],$P2697)),TEXT(INDEX(상세표[블록종료],$P2697),"yyyy-mm-dd hh:mm"),INDEX(상세표[블록종료],$P2697)&amp;""))</f>
        <v/>
      </c>
      <c r="G2697">
        <f>IF($P2697="","",CHOOSE(WEEKDAY(INDEX(상세표[시작],$P2697)),"일","월","화","수","목","금","토"))</f>
        <v/>
      </c>
      <c r="H2697">
        <f>IF($P2697="","",INDEX(상세표[연속 시간],$P2697))</f>
        <v/>
      </c>
      <c r="I2697">
        <f>IF($P2697="","",INDEX(상세표[기록 수],$P2697))</f>
        <v/>
      </c>
      <c r="J2697">
        <f>IF($P2697="","",INDEX(상세표[블록 06~07시],$P2697))</f>
        <v/>
      </c>
      <c r="K2697">
        <f>IF($P2697="","",INDEX(상세표[블록 07~18시],$P2697))</f>
        <v/>
      </c>
      <c r="L2697">
        <f>IF($P2697="","",INDEX(상세표[블록 18~22시],$P2697))</f>
        <v/>
      </c>
      <c r="M2697">
        <f>IF($P2697="","",INDEX(상세표[블록 22~06시],$P2697))</f>
        <v/>
      </c>
      <c r="N2697">
        <f>IF($P2697="","",INDEX(상세표[주말·휴일 포함],$P2697)&amp;"")</f>
        <v/>
      </c>
      <c r="O2697">
        <f>IF($P2697="","",INDEX(상세표[월 넘김 포함],$P2697)&amp;"")</f>
        <v/>
      </c>
      <c r="P2697" s="4">
        <f>IFERROR(MATCH(2692,상세표[연속순번],0),"")</f>
        <v/>
      </c>
    </row>
    <row r="2698">
      <c r="A2698">
        <f>IF($P2698="","",INDEX(상세표[사번],$P2698)&amp;"")</f>
        <v/>
      </c>
      <c r="B2698">
        <f>IF($P2698="","",INDEX(상세표[성명],$P2698)&amp;"")</f>
        <v/>
      </c>
      <c r="C2698">
        <f>IF($P2698="","",INDEX(상세표[부서],$P2698)&amp;"")</f>
        <v/>
      </c>
      <c r="D2698">
        <f>IF($P2698="","",INDEX(상세표[직위],$P2698)&amp;"")</f>
        <v/>
      </c>
      <c r="E2698">
        <f>IF($P2698="","",IF(ISNUMBER(INDEX(상세표[시작],$P2698)),TEXT(INDEX(상세표[시작],$P2698),"yyyy-mm-dd hh:mm"),INDEX(상세표[시작],$P2698)&amp;""))</f>
        <v/>
      </c>
      <c r="F2698">
        <f>IF($P2698="","",IF(ISNUMBER(INDEX(상세표[블록종료],$P2698)),TEXT(INDEX(상세표[블록종료],$P2698),"yyyy-mm-dd hh:mm"),INDEX(상세표[블록종료],$P2698)&amp;""))</f>
        <v/>
      </c>
      <c r="G2698">
        <f>IF($P2698="","",CHOOSE(WEEKDAY(INDEX(상세표[시작],$P2698)),"일","월","화","수","목","금","토"))</f>
        <v/>
      </c>
      <c r="H2698">
        <f>IF($P2698="","",INDEX(상세표[연속 시간],$P2698))</f>
        <v/>
      </c>
      <c r="I2698">
        <f>IF($P2698="","",INDEX(상세표[기록 수],$P2698))</f>
        <v/>
      </c>
      <c r="J2698">
        <f>IF($P2698="","",INDEX(상세표[블록 06~07시],$P2698))</f>
        <v/>
      </c>
      <c r="K2698">
        <f>IF($P2698="","",INDEX(상세표[블록 07~18시],$P2698))</f>
        <v/>
      </c>
      <c r="L2698">
        <f>IF($P2698="","",INDEX(상세표[블록 18~22시],$P2698))</f>
        <v/>
      </c>
      <c r="M2698">
        <f>IF($P2698="","",INDEX(상세표[블록 22~06시],$P2698))</f>
        <v/>
      </c>
      <c r="N2698">
        <f>IF($P2698="","",INDEX(상세표[주말·휴일 포함],$P2698)&amp;"")</f>
        <v/>
      </c>
      <c r="O2698">
        <f>IF($P2698="","",INDEX(상세표[월 넘김 포함],$P2698)&amp;"")</f>
        <v/>
      </c>
      <c r="P2698" s="4">
        <f>IFERROR(MATCH(2693,상세표[연속순번],0),"")</f>
        <v/>
      </c>
    </row>
    <row r="2699">
      <c r="A2699">
        <f>IF($P2699="","",INDEX(상세표[사번],$P2699)&amp;"")</f>
        <v/>
      </c>
      <c r="B2699">
        <f>IF($P2699="","",INDEX(상세표[성명],$P2699)&amp;"")</f>
        <v/>
      </c>
      <c r="C2699">
        <f>IF($P2699="","",INDEX(상세표[부서],$P2699)&amp;"")</f>
        <v/>
      </c>
      <c r="D2699">
        <f>IF($P2699="","",INDEX(상세표[직위],$P2699)&amp;"")</f>
        <v/>
      </c>
      <c r="E2699">
        <f>IF($P2699="","",IF(ISNUMBER(INDEX(상세표[시작],$P2699)),TEXT(INDEX(상세표[시작],$P2699),"yyyy-mm-dd hh:mm"),INDEX(상세표[시작],$P2699)&amp;""))</f>
        <v/>
      </c>
      <c r="F2699">
        <f>IF($P2699="","",IF(ISNUMBER(INDEX(상세표[블록종료],$P2699)),TEXT(INDEX(상세표[블록종료],$P2699),"yyyy-mm-dd hh:mm"),INDEX(상세표[블록종료],$P2699)&amp;""))</f>
        <v/>
      </c>
      <c r="G2699">
        <f>IF($P2699="","",CHOOSE(WEEKDAY(INDEX(상세표[시작],$P2699)),"일","월","화","수","목","금","토"))</f>
        <v/>
      </c>
      <c r="H2699">
        <f>IF($P2699="","",INDEX(상세표[연속 시간],$P2699))</f>
        <v/>
      </c>
      <c r="I2699">
        <f>IF($P2699="","",INDEX(상세표[기록 수],$P2699))</f>
        <v/>
      </c>
      <c r="J2699">
        <f>IF($P2699="","",INDEX(상세표[블록 06~07시],$P2699))</f>
        <v/>
      </c>
      <c r="K2699">
        <f>IF($P2699="","",INDEX(상세표[블록 07~18시],$P2699))</f>
        <v/>
      </c>
      <c r="L2699">
        <f>IF($P2699="","",INDEX(상세표[블록 18~22시],$P2699))</f>
        <v/>
      </c>
      <c r="M2699">
        <f>IF($P2699="","",INDEX(상세표[블록 22~06시],$P2699))</f>
        <v/>
      </c>
      <c r="N2699">
        <f>IF($P2699="","",INDEX(상세표[주말·휴일 포함],$P2699)&amp;"")</f>
        <v/>
      </c>
      <c r="O2699">
        <f>IF($P2699="","",INDEX(상세표[월 넘김 포함],$P2699)&amp;"")</f>
        <v/>
      </c>
      <c r="P2699" s="4">
        <f>IFERROR(MATCH(2694,상세표[연속순번],0),"")</f>
        <v/>
      </c>
    </row>
    <row r="2700">
      <c r="A2700">
        <f>IF($P2700="","",INDEX(상세표[사번],$P2700)&amp;"")</f>
        <v/>
      </c>
      <c r="B2700">
        <f>IF($P2700="","",INDEX(상세표[성명],$P2700)&amp;"")</f>
        <v/>
      </c>
      <c r="C2700">
        <f>IF($P2700="","",INDEX(상세표[부서],$P2700)&amp;"")</f>
        <v/>
      </c>
      <c r="D2700">
        <f>IF($P2700="","",INDEX(상세표[직위],$P2700)&amp;"")</f>
        <v/>
      </c>
      <c r="E2700">
        <f>IF($P2700="","",IF(ISNUMBER(INDEX(상세표[시작],$P2700)),TEXT(INDEX(상세표[시작],$P2700),"yyyy-mm-dd hh:mm"),INDEX(상세표[시작],$P2700)&amp;""))</f>
        <v/>
      </c>
      <c r="F2700">
        <f>IF($P2700="","",IF(ISNUMBER(INDEX(상세표[블록종료],$P2700)),TEXT(INDEX(상세표[블록종료],$P2700),"yyyy-mm-dd hh:mm"),INDEX(상세표[블록종료],$P2700)&amp;""))</f>
        <v/>
      </c>
      <c r="G2700">
        <f>IF($P2700="","",CHOOSE(WEEKDAY(INDEX(상세표[시작],$P2700)),"일","월","화","수","목","금","토"))</f>
        <v/>
      </c>
      <c r="H2700">
        <f>IF($P2700="","",INDEX(상세표[연속 시간],$P2700))</f>
        <v/>
      </c>
      <c r="I2700">
        <f>IF($P2700="","",INDEX(상세표[기록 수],$P2700))</f>
        <v/>
      </c>
      <c r="J2700">
        <f>IF($P2700="","",INDEX(상세표[블록 06~07시],$P2700))</f>
        <v/>
      </c>
      <c r="K2700">
        <f>IF($P2700="","",INDEX(상세표[블록 07~18시],$P2700))</f>
        <v/>
      </c>
      <c r="L2700">
        <f>IF($P2700="","",INDEX(상세표[블록 18~22시],$P2700))</f>
        <v/>
      </c>
      <c r="M2700">
        <f>IF($P2700="","",INDEX(상세표[블록 22~06시],$P2700))</f>
        <v/>
      </c>
      <c r="N2700">
        <f>IF($P2700="","",INDEX(상세표[주말·휴일 포함],$P2700)&amp;"")</f>
        <v/>
      </c>
      <c r="O2700">
        <f>IF($P2700="","",INDEX(상세표[월 넘김 포함],$P2700)&amp;"")</f>
        <v/>
      </c>
      <c r="P2700" s="4">
        <f>IFERROR(MATCH(2695,상세표[연속순번],0),"")</f>
        <v/>
      </c>
    </row>
    <row r="2701">
      <c r="A2701">
        <f>IF($P2701="","",INDEX(상세표[사번],$P2701)&amp;"")</f>
        <v/>
      </c>
      <c r="B2701">
        <f>IF($P2701="","",INDEX(상세표[성명],$P2701)&amp;"")</f>
        <v/>
      </c>
      <c r="C2701">
        <f>IF($P2701="","",INDEX(상세표[부서],$P2701)&amp;"")</f>
        <v/>
      </c>
      <c r="D2701">
        <f>IF($P2701="","",INDEX(상세표[직위],$P2701)&amp;"")</f>
        <v/>
      </c>
      <c r="E2701">
        <f>IF($P2701="","",IF(ISNUMBER(INDEX(상세표[시작],$P2701)),TEXT(INDEX(상세표[시작],$P2701),"yyyy-mm-dd hh:mm"),INDEX(상세표[시작],$P2701)&amp;""))</f>
        <v/>
      </c>
      <c r="F2701">
        <f>IF($P2701="","",IF(ISNUMBER(INDEX(상세표[블록종료],$P2701)),TEXT(INDEX(상세표[블록종료],$P2701),"yyyy-mm-dd hh:mm"),INDEX(상세표[블록종료],$P2701)&amp;""))</f>
        <v/>
      </c>
      <c r="G2701">
        <f>IF($P2701="","",CHOOSE(WEEKDAY(INDEX(상세표[시작],$P2701)),"일","월","화","수","목","금","토"))</f>
        <v/>
      </c>
      <c r="H2701">
        <f>IF($P2701="","",INDEX(상세표[연속 시간],$P2701))</f>
        <v/>
      </c>
      <c r="I2701">
        <f>IF($P2701="","",INDEX(상세표[기록 수],$P2701))</f>
        <v/>
      </c>
      <c r="J2701">
        <f>IF($P2701="","",INDEX(상세표[블록 06~07시],$P2701))</f>
        <v/>
      </c>
      <c r="K2701">
        <f>IF($P2701="","",INDEX(상세표[블록 07~18시],$P2701))</f>
        <v/>
      </c>
      <c r="L2701">
        <f>IF($P2701="","",INDEX(상세표[블록 18~22시],$P2701))</f>
        <v/>
      </c>
      <c r="M2701">
        <f>IF($P2701="","",INDEX(상세표[블록 22~06시],$P2701))</f>
        <v/>
      </c>
      <c r="N2701">
        <f>IF($P2701="","",INDEX(상세표[주말·휴일 포함],$P2701)&amp;"")</f>
        <v/>
      </c>
      <c r="O2701">
        <f>IF($P2701="","",INDEX(상세표[월 넘김 포함],$P2701)&amp;"")</f>
        <v/>
      </c>
      <c r="P2701" s="4">
        <f>IFERROR(MATCH(2696,상세표[연속순번],0),"")</f>
        <v/>
      </c>
    </row>
    <row r="2702">
      <c r="A2702">
        <f>IF($P2702="","",INDEX(상세표[사번],$P2702)&amp;"")</f>
        <v/>
      </c>
      <c r="B2702">
        <f>IF($P2702="","",INDEX(상세표[성명],$P2702)&amp;"")</f>
        <v/>
      </c>
      <c r="C2702">
        <f>IF($P2702="","",INDEX(상세표[부서],$P2702)&amp;"")</f>
        <v/>
      </c>
      <c r="D2702">
        <f>IF($P2702="","",INDEX(상세표[직위],$P2702)&amp;"")</f>
        <v/>
      </c>
      <c r="E2702">
        <f>IF($P2702="","",IF(ISNUMBER(INDEX(상세표[시작],$P2702)),TEXT(INDEX(상세표[시작],$P2702),"yyyy-mm-dd hh:mm"),INDEX(상세표[시작],$P2702)&amp;""))</f>
        <v/>
      </c>
      <c r="F2702">
        <f>IF($P2702="","",IF(ISNUMBER(INDEX(상세표[블록종료],$P2702)),TEXT(INDEX(상세표[블록종료],$P2702),"yyyy-mm-dd hh:mm"),INDEX(상세표[블록종료],$P2702)&amp;""))</f>
        <v/>
      </c>
      <c r="G2702">
        <f>IF($P2702="","",CHOOSE(WEEKDAY(INDEX(상세표[시작],$P2702)),"일","월","화","수","목","금","토"))</f>
        <v/>
      </c>
      <c r="H2702">
        <f>IF($P2702="","",INDEX(상세표[연속 시간],$P2702))</f>
        <v/>
      </c>
      <c r="I2702">
        <f>IF($P2702="","",INDEX(상세표[기록 수],$P2702))</f>
        <v/>
      </c>
      <c r="J2702">
        <f>IF($P2702="","",INDEX(상세표[블록 06~07시],$P2702))</f>
        <v/>
      </c>
      <c r="K2702">
        <f>IF($P2702="","",INDEX(상세표[블록 07~18시],$P2702))</f>
        <v/>
      </c>
      <c r="L2702">
        <f>IF($P2702="","",INDEX(상세표[블록 18~22시],$P2702))</f>
        <v/>
      </c>
      <c r="M2702">
        <f>IF($P2702="","",INDEX(상세표[블록 22~06시],$P2702))</f>
        <v/>
      </c>
      <c r="N2702">
        <f>IF($P2702="","",INDEX(상세표[주말·휴일 포함],$P2702)&amp;"")</f>
        <v/>
      </c>
      <c r="O2702">
        <f>IF($P2702="","",INDEX(상세표[월 넘김 포함],$P2702)&amp;"")</f>
        <v/>
      </c>
      <c r="P2702" s="4">
        <f>IFERROR(MATCH(2697,상세표[연속순번],0),"")</f>
        <v/>
      </c>
    </row>
    <row r="2703">
      <c r="A2703">
        <f>IF($P2703="","",INDEX(상세표[사번],$P2703)&amp;"")</f>
        <v/>
      </c>
      <c r="B2703">
        <f>IF($P2703="","",INDEX(상세표[성명],$P2703)&amp;"")</f>
        <v/>
      </c>
      <c r="C2703">
        <f>IF($P2703="","",INDEX(상세표[부서],$P2703)&amp;"")</f>
        <v/>
      </c>
      <c r="D2703">
        <f>IF($P2703="","",INDEX(상세표[직위],$P2703)&amp;"")</f>
        <v/>
      </c>
      <c r="E2703">
        <f>IF($P2703="","",IF(ISNUMBER(INDEX(상세표[시작],$P2703)),TEXT(INDEX(상세표[시작],$P2703),"yyyy-mm-dd hh:mm"),INDEX(상세표[시작],$P2703)&amp;""))</f>
        <v/>
      </c>
      <c r="F2703">
        <f>IF($P2703="","",IF(ISNUMBER(INDEX(상세표[블록종료],$P2703)),TEXT(INDEX(상세표[블록종료],$P2703),"yyyy-mm-dd hh:mm"),INDEX(상세표[블록종료],$P2703)&amp;""))</f>
        <v/>
      </c>
      <c r="G2703">
        <f>IF($P2703="","",CHOOSE(WEEKDAY(INDEX(상세표[시작],$P2703)),"일","월","화","수","목","금","토"))</f>
        <v/>
      </c>
      <c r="H2703">
        <f>IF($P2703="","",INDEX(상세표[연속 시간],$P2703))</f>
        <v/>
      </c>
      <c r="I2703">
        <f>IF($P2703="","",INDEX(상세표[기록 수],$P2703))</f>
        <v/>
      </c>
      <c r="J2703">
        <f>IF($P2703="","",INDEX(상세표[블록 06~07시],$P2703))</f>
        <v/>
      </c>
      <c r="K2703">
        <f>IF($P2703="","",INDEX(상세표[블록 07~18시],$P2703))</f>
        <v/>
      </c>
      <c r="L2703">
        <f>IF($P2703="","",INDEX(상세표[블록 18~22시],$P2703))</f>
        <v/>
      </c>
      <c r="M2703">
        <f>IF($P2703="","",INDEX(상세표[블록 22~06시],$P2703))</f>
        <v/>
      </c>
      <c r="N2703">
        <f>IF($P2703="","",INDEX(상세표[주말·휴일 포함],$P2703)&amp;"")</f>
        <v/>
      </c>
      <c r="O2703">
        <f>IF($P2703="","",INDEX(상세표[월 넘김 포함],$P2703)&amp;"")</f>
        <v/>
      </c>
      <c r="P2703" s="4">
        <f>IFERROR(MATCH(2698,상세표[연속순번],0),"")</f>
        <v/>
      </c>
    </row>
    <row r="2704">
      <c r="A2704">
        <f>IF($P2704="","",INDEX(상세표[사번],$P2704)&amp;"")</f>
        <v/>
      </c>
      <c r="B2704">
        <f>IF($P2704="","",INDEX(상세표[성명],$P2704)&amp;"")</f>
        <v/>
      </c>
      <c r="C2704">
        <f>IF($P2704="","",INDEX(상세표[부서],$P2704)&amp;"")</f>
        <v/>
      </c>
      <c r="D2704">
        <f>IF($P2704="","",INDEX(상세표[직위],$P2704)&amp;"")</f>
        <v/>
      </c>
      <c r="E2704">
        <f>IF($P2704="","",IF(ISNUMBER(INDEX(상세표[시작],$P2704)),TEXT(INDEX(상세표[시작],$P2704),"yyyy-mm-dd hh:mm"),INDEX(상세표[시작],$P2704)&amp;""))</f>
        <v/>
      </c>
      <c r="F2704">
        <f>IF($P2704="","",IF(ISNUMBER(INDEX(상세표[블록종료],$P2704)),TEXT(INDEX(상세표[블록종료],$P2704),"yyyy-mm-dd hh:mm"),INDEX(상세표[블록종료],$P2704)&amp;""))</f>
        <v/>
      </c>
      <c r="G2704">
        <f>IF($P2704="","",CHOOSE(WEEKDAY(INDEX(상세표[시작],$P2704)),"일","월","화","수","목","금","토"))</f>
        <v/>
      </c>
      <c r="H2704">
        <f>IF($P2704="","",INDEX(상세표[연속 시간],$P2704))</f>
        <v/>
      </c>
      <c r="I2704">
        <f>IF($P2704="","",INDEX(상세표[기록 수],$P2704))</f>
        <v/>
      </c>
      <c r="J2704">
        <f>IF($P2704="","",INDEX(상세표[블록 06~07시],$P2704))</f>
        <v/>
      </c>
      <c r="K2704">
        <f>IF($P2704="","",INDEX(상세표[블록 07~18시],$P2704))</f>
        <v/>
      </c>
      <c r="L2704">
        <f>IF($P2704="","",INDEX(상세표[블록 18~22시],$P2704))</f>
        <v/>
      </c>
      <c r="M2704">
        <f>IF($P2704="","",INDEX(상세표[블록 22~06시],$P2704))</f>
        <v/>
      </c>
      <c r="N2704">
        <f>IF($P2704="","",INDEX(상세표[주말·휴일 포함],$P2704)&amp;"")</f>
        <v/>
      </c>
      <c r="O2704">
        <f>IF($P2704="","",INDEX(상세표[월 넘김 포함],$P2704)&amp;"")</f>
        <v/>
      </c>
      <c r="P2704" s="4">
        <f>IFERROR(MATCH(2699,상세표[연속순번],0),"")</f>
        <v/>
      </c>
    </row>
    <row r="2705">
      <c r="A2705">
        <f>IF($P2705="","",INDEX(상세표[사번],$P2705)&amp;"")</f>
        <v/>
      </c>
      <c r="B2705">
        <f>IF($P2705="","",INDEX(상세표[성명],$P2705)&amp;"")</f>
        <v/>
      </c>
      <c r="C2705">
        <f>IF($P2705="","",INDEX(상세표[부서],$P2705)&amp;"")</f>
        <v/>
      </c>
      <c r="D2705">
        <f>IF($P2705="","",INDEX(상세표[직위],$P2705)&amp;"")</f>
        <v/>
      </c>
      <c r="E2705">
        <f>IF($P2705="","",IF(ISNUMBER(INDEX(상세표[시작],$P2705)),TEXT(INDEX(상세표[시작],$P2705),"yyyy-mm-dd hh:mm"),INDEX(상세표[시작],$P2705)&amp;""))</f>
        <v/>
      </c>
      <c r="F2705">
        <f>IF($P2705="","",IF(ISNUMBER(INDEX(상세표[블록종료],$P2705)),TEXT(INDEX(상세표[블록종료],$P2705),"yyyy-mm-dd hh:mm"),INDEX(상세표[블록종료],$P2705)&amp;""))</f>
        <v/>
      </c>
      <c r="G2705">
        <f>IF($P2705="","",CHOOSE(WEEKDAY(INDEX(상세표[시작],$P2705)),"일","월","화","수","목","금","토"))</f>
        <v/>
      </c>
      <c r="H2705">
        <f>IF($P2705="","",INDEX(상세표[연속 시간],$P2705))</f>
        <v/>
      </c>
      <c r="I2705">
        <f>IF($P2705="","",INDEX(상세표[기록 수],$P2705))</f>
        <v/>
      </c>
      <c r="J2705">
        <f>IF($P2705="","",INDEX(상세표[블록 06~07시],$P2705))</f>
        <v/>
      </c>
      <c r="K2705">
        <f>IF($P2705="","",INDEX(상세표[블록 07~18시],$P2705))</f>
        <v/>
      </c>
      <c r="L2705">
        <f>IF($P2705="","",INDEX(상세표[블록 18~22시],$P2705))</f>
        <v/>
      </c>
      <c r="M2705">
        <f>IF($P2705="","",INDEX(상세표[블록 22~06시],$P2705))</f>
        <v/>
      </c>
      <c r="N2705">
        <f>IF($P2705="","",INDEX(상세표[주말·휴일 포함],$P2705)&amp;"")</f>
        <v/>
      </c>
      <c r="O2705">
        <f>IF($P2705="","",INDEX(상세표[월 넘김 포함],$P2705)&amp;"")</f>
        <v/>
      </c>
      <c r="P2705" s="4">
        <f>IFERROR(MATCH(2700,상세표[연속순번],0),"")</f>
        <v/>
      </c>
    </row>
    <row r="2706">
      <c r="A2706">
        <f>IF($P2706="","",INDEX(상세표[사번],$P2706)&amp;"")</f>
        <v/>
      </c>
      <c r="B2706">
        <f>IF($P2706="","",INDEX(상세표[성명],$P2706)&amp;"")</f>
        <v/>
      </c>
      <c r="C2706">
        <f>IF($P2706="","",INDEX(상세표[부서],$P2706)&amp;"")</f>
        <v/>
      </c>
      <c r="D2706">
        <f>IF($P2706="","",INDEX(상세표[직위],$P2706)&amp;"")</f>
        <v/>
      </c>
      <c r="E2706">
        <f>IF($P2706="","",IF(ISNUMBER(INDEX(상세표[시작],$P2706)),TEXT(INDEX(상세표[시작],$P2706),"yyyy-mm-dd hh:mm"),INDEX(상세표[시작],$P2706)&amp;""))</f>
        <v/>
      </c>
      <c r="F2706">
        <f>IF($P2706="","",IF(ISNUMBER(INDEX(상세표[블록종료],$P2706)),TEXT(INDEX(상세표[블록종료],$P2706),"yyyy-mm-dd hh:mm"),INDEX(상세표[블록종료],$P2706)&amp;""))</f>
        <v/>
      </c>
      <c r="G2706">
        <f>IF($P2706="","",CHOOSE(WEEKDAY(INDEX(상세표[시작],$P2706)),"일","월","화","수","목","금","토"))</f>
        <v/>
      </c>
      <c r="H2706">
        <f>IF($P2706="","",INDEX(상세표[연속 시간],$P2706))</f>
        <v/>
      </c>
      <c r="I2706">
        <f>IF($P2706="","",INDEX(상세표[기록 수],$P2706))</f>
        <v/>
      </c>
      <c r="J2706">
        <f>IF($P2706="","",INDEX(상세표[블록 06~07시],$P2706))</f>
        <v/>
      </c>
      <c r="K2706">
        <f>IF($P2706="","",INDEX(상세표[블록 07~18시],$P2706))</f>
        <v/>
      </c>
      <c r="L2706">
        <f>IF($P2706="","",INDEX(상세표[블록 18~22시],$P2706))</f>
        <v/>
      </c>
      <c r="M2706">
        <f>IF($P2706="","",INDEX(상세표[블록 22~06시],$P2706))</f>
        <v/>
      </c>
      <c r="N2706">
        <f>IF($P2706="","",INDEX(상세표[주말·휴일 포함],$P2706)&amp;"")</f>
        <v/>
      </c>
      <c r="O2706">
        <f>IF($P2706="","",INDEX(상세표[월 넘김 포함],$P2706)&amp;"")</f>
        <v/>
      </c>
      <c r="P2706" s="4">
        <f>IFERROR(MATCH(2701,상세표[연속순번],0),"")</f>
        <v/>
      </c>
    </row>
    <row r="2707">
      <c r="A2707">
        <f>IF($P2707="","",INDEX(상세표[사번],$P2707)&amp;"")</f>
        <v/>
      </c>
      <c r="B2707">
        <f>IF($P2707="","",INDEX(상세표[성명],$P2707)&amp;"")</f>
        <v/>
      </c>
      <c r="C2707">
        <f>IF($P2707="","",INDEX(상세표[부서],$P2707)&amp;"")</f>
        <v/>
      </c>
      <c r="D2707">
        <f>IF($P2707="","",INDEX(상세표[직위],$P2707)&amp;"")</f>
        <v/>
      </c>
      <c r="E2707">
        <f>IF($P2707="","",IF(ISNUMBER(INDEX(상세표[시작],$P2707)),TEXT(INDEX(상세표[시작],$P2707),"yyyy-mm-dd hh:mm"),INDEX(상세표[시작],$P2707)&amp;""))</f>
        <v/>
      </c>
      <c r="F2707">
        <f>IF($P2707="","",IF(ISNUMBER(INDEX(상세표[블록종료],$P2707)),TEXT(INDEX(상세표[블록종료],$P2707),"yyyy-mm-dd hh:mm"),INDEX(상세표[블록종료],$P2707)&amp;""))</f>
        <v/>
      </c>
      <c r="G2707">
        <f>IF($P2707="","",CHOOSE(WEEKDAY(INDEX(상세표[시작],$P2707)),"일","월","화","수","목","금","토"))</f>
        <v/>
      </c>
      <c r="H2707">
        <f>IF($P2707="","",INDEX(상세표[연속 시간],$P2707))</f>
        <v/>
      </c>
      <c r="I2707">
        <f>IF($P2707="","",INDEX(상세표[기록 수],$P2707))</f>
        <v/>
      </c>
      <c r="J2707">
        <f>IF($P2707="","",INDEX(상세표[블록 06~07시],$P2707))</f>
        <v/>
      </c>
      <c r="K2707">
        <f>IF($P2707="","",INDEX(상세표[블록 07~18시],$P2707))</f>
        <v/>
      </c>
      <c r="L2707">
        <f>IF($P2707="","",INDEX(상세표[블록 18~22시],$P2707))</f>
        <v/>
      </c>
      <c r="M2707">
        <f>IF($P2707="","",INDEX(상세표[블록 22~06시],$P2707))</f>
        <v/>
      </c>
      <c r="N2707">
        <f>IF($P2707="","",INDEX(상세표[주말·휴일 포함],$P2707)&amp;"")</f>
        <v/>
      </c>
      <c r="O2707">
        <f>IF($P2707="","",INDEX(상세표[월 넘김 포함],$P2707)&amp;"")</f>
        <v/>
      </c>
      <c r="P2707" s="4">
        <f>IFERROR(MATCH(2702,상세표[연속순번],0),"")</f>
        <v/>
      </c>
    </row>
    <row r="2708">
      <c r="A2708">
        <f>IF($P2708="","",INDEX(상세표[사번],$P2708)&amp;"")</f>
        <v/>
      </c>
      <c r="B2708">
        <f>IF($P2708="","",INDEX(상세표[성명],$P2708)&amp;"")</f>
        <v/>
      </c>
      <c r="C2708">
        <f>IF($P2708="","",INDEX(상세표[부서],$P2708)&amp;"")</f>
        <v/>
      </c>
      <c r="D2708">
        <f>IF($P2708="","",INDEX(상세표[직위],$P2708)&amp;"")</f>
        <v/>
      </c>
      <c r="E2708">
        <f>IF($P2708="","",IF(ISNUMBER(INDEX(상세표[시작],$P2708)),TEXT(INDEX(상세표[시작],$P2708),"yyyy-mm-dd hh:mm"),INDEX(상세표[시작],$P2708)&amp;""))</f>
        <v/>
      </c>
      <c r="F2708">
        <f>IF($P2708="","",IF(ISNUMBER(INDEX(상세표[블록종료],$P2708)),TEXT(INDEX(상세표[블록종료],$P2708),"yyyy-mm-dd hh:mm"),INDEX(상세표[블록종료],$P2708)&amp;""))</f>
        <v/>
      </c>
      <c r="G2708">
        <f>IF($P2708="","",CHOOSE(WEEKDAY(INDEX(상세표[시작],$P2708)),"일","월","화","수","목","금","토"))</f>
        <v/>
      </c>
      <c r="H2708">
        <f>IF($P2708="","",INDEX(상세표[연속 시간],$P2708))</f>
        <v/>
      </c>
      <c r="I2708">
        <f>IF($P2708="","",INDEX(상세표[기록 수],$P2708))</f>
        <v/>
      </c>
      <c r="J2708">
        <f>IF($P2708="","",INDEX(상세표[블록 06~07시],$P2708))</f>
        <v/>
      </c>
      <c r="K2708">
        <f>IF($P2708="","",INDEX(상세표[블록 07~18시],$P2708))</f>
        <v/>
      </c>
      <c r="L2708">
        <f>IF($P2708="","",INDEX(상세표[블록 18~22시],$P2708))</f>
        <v/>
      </c>
      <c r="M2708">
        <f>IF($P2708="","",INDEX(상세표[블록 22~06시],$P2708))</f>
        <v/>
      </c>
      <c r="N2708">
        <f>IF($P2708="","",INDEX(상세표[주말·휴일 포함],$P2708)&amp;"")</f>
        <v/>
      </c>
      <c r="O2708">
        <f>IF($P2708="","",INDEX(상세표[월 넘김 포함],$P2708)&amp;"")</f>
        <v/>
      </c>
      <c r="P2708" s="4">
        <f>IFERROR(MATCH(2703,상세표[연속순번],0),"")</f>
        <v/>
      </c>
    </row>
    <row r="2709">
      <c r="A2709">
        <f>IF($P2709="","",INDEX(상세표[사번],$P2709)&amp;"")</f>
        <v/>
      </c>
      <c r="B2709">
        <f>IF($P2709="","",INDEX(상세표[성명],$P2709)&amp;"")</f>
        <v/>
      </c>
      <c r="C2709">
        <f>IF($P2709="","",INDEX(상세표[부서],$P2709)&amp;"")</f>
        <v/>
      </c>
      <c r="D2709">
        <f>IF($P2709="","",INDEX(상세표[직위],$P2709)&amp;"")</f>
        <v/>
      </c>
      <c r="E2709">
        <f>IF($P2709="","",IF(ISNUMBER(INDEX(상세표[시작],$P2709)),TEXT(INDEX(상세표[시작],$P2709),"yyyy-mm-dd hh:mm"),INDEX(상세표[시작],$P2709)&amp;""))</f>
        <v/>
      </c>
      <c r="F2709">
        <f>IF($P2709="","",IF(ISNUMBER(INDEX(상세표[블록종료],$P2709)),TEXT(INDEX(상세표[블록종료],$P2709),"yyyy-mm-dd hh:mm"),INDEX(상세표[블록종료],$P2709)&amp;""))</f>
        <v/>
      </c>
      <c r="G2709">
        <f>IF($P2709="","",CHOOSE(WEEKDAY(INDEX(상세표[시작],$P2709)),"일","월","화","수","목","금","토"))</f>
        <v/>
      </c>
      <c r="H2709">
        <f>IF($P2709="","",INDEX(상세표[연속 시간],$P2709))</f>
        <v/>
      </c>
      <c r="I2709">
        <f>IF($P2709="","",INDEX(상세표[기록 수],$P2709))</f>
        <v/>
      </c>
      <c r="J2709">
        <f>IF($P2709="","",INDEX(상세표[블록 06~07시],$P2709))</f>
        <v/>
      </c>
      <c r="K2709">
        <f>IF($P2709="","",INDEX(상세표[블록 07~18시],$P2709))</f>
        <v/>
      </c>
      <c r="L2709">
        <f>IF($P2709="","",INDEX(상세표[블록 18~22시],$P2709))</f>
        <v/>
      </c>
      <c r="M2709">
        <f>IF($P2709="","",INDEX(상세표[블록 22~06시],$P2709))</f>
        <v/>
      </c>
      <c r="N2709">
        <f>IF($P2709="","",INDEX(상세표[주말·휴일 포함],$P2709)&amp;"")</f>
        <v/>
      </c>
      <c r="O2709">
        <f>IF($P2709="","",INDEX(상세표[월 넘김 포함],$P2709)&amp;"")</f>
        <v/>
      </c>
      <c r="P2709" s="4">
        <f>IFERROR(MATCH(2704,상세표[연속순번],0),"")</f>
        <v/>
      </c>
    </row>
    <row r="2710">
      <c r="A2710">
        <f>IF($P2710="","",INDEX(상세표[사번],$P2710)&amp;"")</f>
        <v/>
      </c>
      <c r="B2710">
        <f>IF($P2710="","",INDEX(상세표[성명],$P2710)&amp;"")</f>
        <v/>
      </c>
      <c r="C2710">
        <f>IF($P2710="","",INDEX(상세표[부서],$P2710)&amp;"")</f>
        <v/>
      </c>
      <c r="D2710">
        <f>IF($P2710="","",INDEX(상세표[직위],$P2710)&amp;"")</f>
        <v/>
      </c>
      <c r="E2710">
        <f>IF($P2710="","",IF(ISNUMBER(INDEX(상세표[시작],$P2710)),TEXT(INDEX(상세표[시작],$P2710),"yyyy-mm-dd hh:mm"),INDEX(상세표[시작],$P2710)&amp;""))</f>
        <v/>
      </c>
      <c r="F2710">
        <f>IF($P2710="","",IF(ISNUMBER(INDEX(상세표[블록종료],$P2710)),TEXT(INDEX(상세표[블록종료],$P2710),"yyyy-mm-dd hh:mm"),INDEX(상세표[블록종료],$P2710)&amp;""))</f>
        <v/>
      </c>
      <c r="G2710">
        <f>IF($P2710="","",CHOOSE(WEEKDAY(INDEX(상세표[시작],$P2710)),"일","월","화","수","목","금","토"))</f>
        <v/>
      </c>
      <c r="H2710">
        <f>IF($P2710="","",INDEX(상세표[연속 시간],$P2710))</f>
        <v/>
      </c>
      <c r="I2710">
        <f>IF($P2710="","",INDEX(상세표[기록 수],$P2710))</f>
        <v/>
      </c>
      <c r="J2710">
        <f>IF($P2710="","",INDEX(상세표[블록 06~07시],$P2710))</f>
        <v/>
      </c>
      <c r="K2710">
        <f>IF($P2710="","",INDEX(상세표[블록 07~18시],$P2710))</f>
        <v/>
      </c>
      <c r="L2710">
        <f>IF($P2710="","",INDEX(상세표[블록 18~22시],$P2710))</f>
        <v/>
      </c>
      <c r="M2710">
        <f>IF($P2710="","",INDEX(상세표[블록 22~06시],$P2710))</f>
        <v/>
      </c>
      <c r="N2710">
        <f>IF($P2710="","",INDEX(상세표[주말·휴일 포함],$P2710)&amp;"")</f>
        <v/>
      </c>
      <c r="O2710">
        <f>IF($P2710="","",INDEX(상세표[월 넘김 포함],$P2710)&amp;"")</f>
        <v/>
      </c>
      <c r="P2710" s="4">
        <f>IFERROR(MATCH(2705,상세표[연속순번],0),"")</f>
        <v/>
      </c>
    </row>
    <row r="2711">
      <c r="A2711">
        <f>IF($P2711="","",INDEX(상세표[사번],$P2711)&amp;"")</f>
        <v/>
      </c>
      <c r="B2711">
        <f>IF($P2711="","",INDEX(상세표[성명],$P2711)&amp;"")</f>
        <v/>
      </c>
      <c r="C2711">
        <f>IF($P2711="","",INDEX(상세표[부서],$P2711)&amp;"")</f>
        <v/>
      </c>
      <c r="D2711">
        <f>IF($P2711="","",INDEX(상세표[직위],$P2711)&amp;"")</f>
        <v/>
      </c>
      <c r="E2711">
        <f>IF($P2711="","",IF(ISNUMBER(INDEX(상세표[시작],$P2711)),TEXT(INDEX(상세표[시작],$P2711),"yyyy-mm-dd hh:mm"),INDEX(상세표[시작],$P2711)&amp;""))</f>
        <v/>
      </c>
      <c r="F2711">
        <f>IF($P2711="","",IF(ISNUMBER(INDEX(상세표[블록종료],$P2711)),TEXT(INDEX(상세표[블록종료],$P2711),"yyyy-mm-dd hh:mm"),INDEX(상세표[블록종료],$P2711)&amp;""))</f>
        <v/>
      </c>
      <c r="G2711">
        <f>IF($P2711="","",CHOOSE(WEEKDAY(INDEX(상세표[시작],$P2711)),"일","월","화","수","목","금","토"))</f>
        <v/>
      </c>
      <c r="H2711">
        <f>IF($P2711="","",INDEX(상세표[연속 시간],$P2711))</f>
        <v/>
      </c>
      <c r="I2711">
        <f>IF($P2711="","",INDEX(상세표[기록 수],$P2711))</f>
        <v/>
      </c>
      <c r="J2711">
        <f>IF($P2711="","",INDEX(상세표[블록 06~07시],$P2711))</f>
        <v/>
      </c>
      <c r="K2711">
        <f>IF($P2711="","",INDEX(상세표[블록 07~18시],$P2711))</f>
        <v/>
      </c>
      <c r="L2711">
        <f>IF($P2711="","",INDEX(상세표[블록 18~22시],$P2711))</f>
        <v/>
      </c>
      <c r="M2711">
        <f>IF($P2711="","",INDEX(상세표[블록 22~06시],$P2711))</f>
        <v/>
      </c>
      <c r="N2711">
        <f>IF($P2711="","",INDEX(상세표[주말·휴일 포함],$P2711)&amp;"")</f>
        <v/>
      </c>
      <c r="O2711">
        <f>IF($P2711="","",INDEX(상세표[월 넘김 포함],$P2711)&amp;"")</f>
        <v/>
      </c>
      <c r="P2711" s="4">
        <f>IFERROR(MATCH(2706,상세표[연속순번],0),"")</f>
        <v/>
      </c>
    </row>
    <row r="2712">
      <c r="A2712">
        <f>IF($P2712="","",INDEX(상세표[사번],$P2712)&amp;"")</f>
        <v/>
      </c>
      <c r="B2712">
        <f>IF($P2712="","",INDEX(상세표[성명],$P2712)&amp;"")</f>
        <v/>
      </c>
      <c r="C2712">
        <f>IF($P2712="","",INDEX(상세표[부서],$P2712)&amp;"")</f>
        <v/>
      </c>
      <c r="D2712">
        <f>IF($P2712="","",INDEX(상세표[직위],$P2712)&amp;"")</f>
        <v/>
      </c>
      <c r="E2712">
        <f>IF($P2712="","",IF(ISNUMBER(INDEX(상세표[시작],$P2712)),TEXT(INDEX(상세표[시작],$P2712),"yyyy-mm-dd hh:mm"),INDEX(상세표[시작],$P2712)&amp;""))</f>
        <v/>
      </c>
      <c r="F2712">
        <f>IF($P2712="","",IF(ISNUMBER(INDEX(상세표[블록종료],$P2712)),TEXT(INDEX(상세표[블록종료],$P2712),"yyyy-mm-dd hh:mm"),INDEX(상세표[블록종료],$P2712)&amp;""))</f>
        <v/>
      </c>
      <c r="G2712">
        <f>IF($P2712="","",CHOOSE(WEEKDAY(INDEX(상세표[시작],$P2712)),"일","월","화","수","목","금","토"))</f>
        <v/>
      </c>
      <c r="H2712">
        <f>IF($P2712="","",INDEX(상세표[연속 시간],$P2712))</f>
        <v/>
      </c>
      <c r="I2712">
        <f>IF($P2712="","",INDEX(상세표[기록 수],$P2712))</f>
        <v/>
      </c>
      <c r="J2712">
        <f>IF($P2712="","",INDEX(상세표[블록 06~07시],$P2712))</f>
        <v/>
      </c>
      <c r="K2712">
        <f>IF($P2712="","",INDEX(상세표[블록 07~18시],$P2712))</f>
        <v/>
      </c>
      <c r="L2712">
        <f>IF($P2712="","",INDEX(상세표[블록 18~22시],$P2712))</f>
        <v/>
      </c>
      <c r="M2712">
        <f>IF($P2712="","",INDEX(상세표[블록 22~06시],$P2712))</f>
        <v/>
      </c>
      <c r="N2712">
        <f>IF($P2712="","",INDEX(상세표[주말·휴일 포함],$P2712)&amp;"")</f>
        <v/>
      </c>
      <c r="O2712">
        <f>IF($P2712="","",INDEX(상세표[월 넘김 포함],$P2712)&amp;"")</f>
        <v/>
      </c>
      <c r="P2712" s="4">
        <f>IFERROR(MATCH(2707,상세표[연속순번],0),"")</f>
        <v/>
      </c>
    </row>
    <row r="2713">
      <c r="A2713">
        <f>IF($P2713="","",INDEX(상세표[사번],$P2713)&amp;"")</f>
        <v/>
      </c>
      <c r="B2713">
        <f>IF($P2713="","",INDEX(상세표[성명],$P2713)&amp;"")</f>
        <v/>
      </c>
      <c r="C2713">
        <f>IF($P2713="","",INDEX(상세표[부서],$P2713)&amp;"")</f>
        <v/>
      </c>
      <c r="D2713">
        <f>IF($P2713="","",INDEX(상세표[직위],$P2713)&amp;"")</f>
        <v/>
      </c>
      <c r="E2713">
        <f>IF($P2713="","",IF(ISNUMBER(INDEX(상세표[시작],$P2713)),TEXT(INDEX(상세표[시작],$P2713),"yyyy-mm-dd hh:mm"),INDEX(상세표[시작],$P2713)&amp;""))</f>
        <v/>
      </c>
      <c r="F2713">
        <f>IF($P2713="","",IF(ISNUMBER(INDEX(상세표[블록종료],$P2713)),TEXT(INDEX(상세표[블록종료],$P2713),"yyyy-mm-dd hh:mm"),INDEX(상세표[블록종료],$P2713)&amp;""))</f>
        <v/>
      </c>
      <c r="G2713">
        <f>IF($P2713="","",CHOOSE(WEEKDAY(INDEX(상세표[시작],$P2713)),"일","월","화","수","목","금","토"))</f>
        <v/>
      </c>
      <c r="H2713">
        <f>IF($P2713="","",INDEX(상세표[연속 시간],$P2713))</f>
        <v/>
      </c>
      <c r="I2713">
        <f>IF($P2713="","",INDEX(상세표[기록 수],$P2713))</f>
        <v/>
      </c>
      <c r="J2713">
        <f>IF($P2713="","",INDEX(상세표[블록 06~07시],$P2713))</f>
        <v/>
      </c>
      <c r="K2713">
        <f>IF($P2713="","",INDEX(상세표[블록 07~18시],$P2713))</f>
        <v/>
      </c>
      <c r="L2713">
        <f>IF($P2713="","",INDEX(상세표[블록 18~22시],$P2713))</f>
        <v/>
      </c>
      <c r="M2713">
        <f>IF($P2713="","",INDEX(상세표[블록 22~06시],$P2713))</f>
        <v/>
      </c>
      <c r="N2713">
        <f>IF($P2713="","",INDEX(상세표[주말·휴일 포함],$P2713)&amp;"")</f>
        <v/>
      </c>
      <c r="O2713">
        <f>IF($P2713="","",INDEX(상세표[월 넘김 포함],$P2713)&amp;"")</f>
        <v/>
      </c>
      <c r="P2713" s="4">
        <f>IFERROR(MATCH(2708,상세표[연속순번],0),"")</f>
        <v/>
      </c>
    </row>
    <row r="2714">
      <c r="A2714">
        <f>IF($P2714="","",INDEX(상세표[사번],$P2714)&amp;"")</f>
        <v/>
      </c>
      <c r="B2714">
        <f>IF($P2714="","",INDEX(상세표[성명],$P2714)&amp;"")</f>
        <v/>
      </c>
      <c r="C2714">
        <f>IF($P2714="","",INDEX(상세표[부서],$P2714)&amp;"")</f>
        <v/>
      </c>
      <c r="D2714">
        <f>IF($P2714="","",INDEX(상세표[직위],$P2714)&amp;"")</f>
        <v/>
      </c>
      <c r="E2714">
        <f>IF($P2714="","",IF(ISNUMBER(INDEX(상세표[시작],$P2714)),TEXT(INDEX(상세표[시작],$P2714),"yyyy-mm-dd hh:mm"),INDEX(상세표[시작],$P2714)&amp;""))</f>
        <v/>
      </c>
      <c r="F2714">
        <f>IF($P2714="","",IF(ISNUMBER(INDEX(상세표[블록종료],$P2714)),TEXT(INDEX(상세표[블록종료],$P2714),"yyyy-mm-dd hh:mm"),INDEX(상세표[블록종료],$P2714)&amp;""))</f>
        <v/>
      </c>
      <c r="G2714">
        <f>IF($P2714="","",CHOOSE(WEEKDAY(INDEX(상세표[시작],$P2714)),"일","월","화","수","목","금","토"))</f>
        <v/>
      </c>
      <c r="H2714">
        <f>IF($P2714="","",INDEX(상세표[연속 시간],$P2714))</f>
        <v/>
      </c>
      <c r="I2714">
        <f>IF($P2714="","",INDEX(상세표[기록 수],$P2714))</f>
        <v/>
      </c>
      <c r="J2714">
        <f>IF($P2714="","",INDEX(상세표[블록 06~07시],$P2714))</f>
        <v/>
      </c>
      <c r="K2714">
        <f>IF($P2714="","",INDEX(상세표[블록 07~18시],$P2714))</f>
        <v/>
      </c>
      <c r="L2714">
        <f>IF($P2714="","",INDEX(상세표[블록 18~22시],$P2714))</f>
        <v/>
      </c>
      <c r="M2714">
        <f>IF($P2714="","",INDEX(상세표[블록 22~06시],$P2714))</f>
        <v/>
      </c>
      <c r="N2714">
        <f>IF($P2714="","",INDEX(상세표[주말·휴일 포함],$P2714)&amp;"")</f>
        <v/>
      </c>
      <c r="O2714">
        <f>IF($P2714="","",INDEX(상세표[월 넘김 포함],$P2714)&amp;"")</f>
        <v/>
      </c>
      <c r="P2714" s="4">
        <f>IFERROR(MATCH(2709,상세표[연속순번],0),"")</f>
        <v/>
      </c>
    </row>
    <row r="2715">
      <c r="A2715">
        <f>IF($P2715="","",INDEX(상세표[사번],$P2715)&amp;"")</f>
        <v/>
      </c>
      <c r="B2715">
        <f>IF($P2715="","",INDEX(상세표[성명],$P2715)&amp;"")</f>
        <v/>
      </c>
      <c r="C2715">
        <f>IF($P2715="","",INDEX(상세표[부서],$P2715)&amp;"")</f>
        <v/>
      </c>
      <c r="D2715">
        <f>IF($P2715="","",INDEX(상세표[직위],$P2715)&amp;"")</f>
        <v/>
      </c>
      <c r="E2715">
        <f>IF($P2715="","",IF(ISNUMBER(INDEX(상세표[시작],$P2715)),TEXT(INDEX(상세표[시작],$P2715),"yyyy-mm-dd hh:mm"),INDEX(상세표[시작],$P2715)&amp;""))</f>
        <v/>
      </c>
      <c r="F2715">
        <f>IF($P2715="","",IF(ISNUMBER(INDEX(상세표[블록종료],$P2715)),TEXT(INDEX(상세표[블록종료],$P2715),"yyyy-mm-dd hh:mm"),INDEX(상세표[블록종료],$P2715)&amp;""))</f>
        <v/>
      </c>
      <c r="G2715">
        <f>IF($P2715="","",CHOOSE(WEEKDAY(INDEX(상세표[시작],$P2715)),"일","월","화","수","목","금","토"))</f>
        <v/>
      </c>
      <c r="H2715">
        <f>IF($P2715="","",INDEX(상세표[연속 시간],$P2715))</f>
        <v/>
      </c>
      <c r="I2715">
        <f>IF($P2715="","",INDEX(상세표[기록 수],$P2715))</f>
        <v/>
      </c>
      <c r="J2715">
        <f>IF($P2715="","",INDEX(상세표[블록 06~07시],$P2715))</f>
        <v/>
      </c>
      <c r="K2715">
        <f>IF($P2715="","",INDEX(상세표[블록 07~18시],$P2715))</f>
        <v/>
      </c>
      <c r="L2715">
        <f>IF($P2715="","",INDEX(상세표[블록 18~22시],$P2715))</f>
        <v/>
      </c>
      <c r="M2715">
        <f>IF($P2715="","",INDEX(상세표[블록 22~06시],$P2715))</f>
        <v/>
      </c>
      <c r="N2715">
        <f>IF($P2715="","",INDEX(상세표[주말·휴일 포함],$P2715)&amp;"")</f>
        <v/>
      </c>
      <c r="O2715">
        <f>IF($P2715="","",INDEX(상세표[월 넘김 포함],$P2715)&amp;"")</f>
        <v/>
      </c>
      <c r="P2715" s="4">
        <f>IFERROR(MATCH(2710,상세표[연속순번],0),"")</f>
        <v/>
      </c>
    </row>
    <row r="2716">
      <c r="A2716">
        <f>IF($P2716="","",INDEX(상세표[사번],$P2716)&amp;"")</f>
        <v/>
      </c>
      <c r="B2716">
        <f>IF($P2716="","",INDEX(상세표[성명],$P2716)&amp;"")</f>
        <v/>
      </c>
      <c r="C2716">
        <f>IF($P2716="","",INDEX(상세표[부서],$P2716)&amp;"")</f>
        <v/>
      </c>
      <c r="D2716">
        <f>IF($P2716="","",INDEX(상세표[직위],$P2716)&amp;"")</f>
        <v/>
      </c>
      <c r="E2716">
        <f>IF($P2716="","",IF(ISNUMBER(INDEX(상세표[시작],$P2716)),TEXT(INDEX(상세표[시작],$P2716),"yyyy-mm-dd hh:mm"),INDEX(상세표[시작],$P2716)&amp;""))</f>
        <v/>
      </c>
      <c r="F2716">
        <f>IF($P2716="","",IF(ISNUMBER(INDEX(상세표[블록종료],$P2716)),TEXT(INDEX(상세표[블록종료],$P2716),"yyyy-mm-dd hh:mm"),INDEX(상세표[블록종료],$P2716)&amp;""))</f>
        <v/>
      </c>
      <c r="G2716">
        <f>IF($P2716="","",CHOOSE(WEEKDAY(INDEX(상세표[시작],$P2716)),"일","월","화","수","목","금","토"))</f>
        <v/>
      </c>
      <c r="H2716">
        <f>IF($P2716="","",INDEX(상세표[연속 시간],$P2716))</f>
        <v/>
      </c>
      <c r="I2716">
        <f>IF($P2716="","",INDEX(상세표[기록 수],$P2716))</f>
        <v/>
      </c>
      <c r="J2716">
        <f>IF($P2716="","",INDEX(상세표[블록 06~07시],$P2716))</f>
        <v/>
      </c>
      <c r="K2716">
        <f>IF($P2716="","",INDEX(상세표[블록 07~18시],$P2716))</f>
        <v/>
      </c>
      <c r="L2716">
        <f>IF($P2716="","",INDEX(상세표[블록 18~22시],$P2716))</f>
        <v/>
      </c>
      <c r="M2716">
        <f>IF($P2716="","",INDEX(상세표[블록 22~06시],$P2716))</f>
        <v/>
      </c>
      <c r="N2716">
        <f>IF($P2716="","",INDEX(상세표[주말·휴일 포함],$P2716)&amp;"")</f>
        <v/>
      </c>
      <c r="O2716">
        <f>IF($P2716="","",INDEX(상세표[월 넘김 포함],$P2716)&amp;"")</f>
        <v/>
      </c>
      <c r="P2716" s="4">
        <f>IFERROR(MATCH(2711,상세표[연속순번],0),"")</f>
        <v/>
      </c>
    </row>
    <row r="2717">
      <c r="A2717">
        <f>IF($P2717="","",INDEX(상세표[사번],$P2717)&amp;"")</f>
        <v/>
      </c>
      <c r="B2717">
        <f>IF($P2717="","",INDEX(상세표[성명],$P2717)&amp;"")</f>
        <v/>
      </c>
      <c r="C2717">
        <f>IF($P2717="","",INDEX(상세표[부서],$P2717)&amp;"")</f>
        <v/>
      </c>
      <c r="D2717">
        <f>IF($P2717="","",INDEX(상세표[직위],$P2717)&amp;"")</f>
        <v/>
      </c>
      <c r="E2717">
        <f>IF($P2717="","",IF(ISNUMBER(INDEX(상세표[시작],$P2717)),TEXT(INDEX(상세표[시작],$P2717),"yyyy-mm-dd hh:mm"),INDEX(상세표[시작],$P2717)&amp;""))</f>
        <v/>
      </c>
      <c r="F2717">
        <f>IF($P2717="","",IF(ISNUMBER(INDEX(상세표[블록종료],$P2717)),TEXT(INDEX(상세표[블록종료],$P2717),"yyyy-mm-dd hh:mm"),INDEX(상세표[블록종료],$P2717)&amp;""))</f>
        <v/>
      </c>
      <c r="G2717">
        <f>IF($P2717="","",CHOOSE(WEEKDAY(INDEX(상세표[시작],$P2717)),"일","월","화","수","목","금","토"))</f>
        <v/>
      </c>
      <c r="H2717">
        <f>IF($P2717="","",INDEX(상세표[연속 시간],$P2717))</f>
        <v/>
      </c>
      <c r="I2717">
        <f>IF($P2717="","",INDEX(상세표[기록 수],$P2717))</f>
        <v/>
      </c>
      <c r="J2717">
        <f>IF($P2717="","",INDEX(상세표[블록 06~07시],$P2717))</f>
        <v/>
      </c>
      <c r="K2717">
        <f>IF($P2717="","",INDEX(상세표[블록 07~18시],$P2717))</f>
        <v/>
      </c>
      <c r="L2717">
        <f>IF($P2717="","",INDEX(상세표[블록 18~22시],$P2717))</f>
        <v/>
      </c>
      <c r="M2717">
        <f>IF($P2717="","",INDEX(상세표[블록 22~06시],$P2717))</f>
        <v/>
      </c>
      <c r="N2717">
        <f>IF($P2717="","",INDEX(상세표[주말·휴일 포함],$P2717)&amp;"")</f>
        <v/>
      </c>
      <c r="O2717">
        <f>IF($P2717="","",INDEX(상세표[월 넘김 포함],$P2717)&amp;"")</f>
        <v/>
      </c>
      <c r="P2717" s="4">
        <f>IFERROR(MATCH(2712,상세표[연속순번],0),"")</f>
        <v/>
      </c>
    </row>
    <row r="2718">
      <c r="A2718">
        <f>IF($P2718="","",INDEX(상세표[사번],$P2718)&amp;"")</f>
        <v/>
      </c>
      <c r="B2718">
        <f>IF($P2718="","",INDEX(상세표[성명],$P2718)&amp;"")</f>
        <v/>
      </c>
      <c r="C2718">
        <f>IF($P2718="","",INDEX(상세표[부서],$P2718)&amp;"")</f>
        <v/>
      </c>
      <c r="D2718">
        <f>IF($P2718="","",INDEX(상세표[직위],$P2718)&amp;"")</f>
        <v/>
      </c>
      <c r="E2718">
        <f>IF($P2718="","",IF(ISNUMBER(INDEX(상세표[시작],$P2718)),TEXT(INDEX(상세표[시작],$P2718),"yyyy-mm-dd hh:mm"),INDEX(상세표[시작],$P2718)&amp;""))</f>
        <v/>
      </c>
      <c r="F2718">
        <f>IF($P2718="","",IF(ISNUMBER(INDEX(상세표[블록종료],$P2718)),TEXT(INDEX(상세표[블록종료],$P2718),"yyyy-mm-dd hh:mm"),INDEX(상세표[블록종료],$P2718)&amp;""))</f>
        <v/>
      </c>
      <c r="G2718">
        <f>IF($P2718="","",CHOOSE(WEEKDAY(INDEX(상세표[시작],$P2718)),"일","월","화","수","목","금","토"))</f>
        <v/>
      </c>
      <c r="H2718">
        <f>IF($P2718="","",INDEX(상세표[연속 시간],$P2718))</f>
        <v/>
      </c>
      <c r="I2718">
        <f>IF($P2718="","",INDEX(상세표[기록 수],$P2718))</f>
        <v/>
      </c>
      <c r="J2718">
        <f>IF($P2718="","",INDEX(상세표[블록 06~07시],$P2718))</f>
        <v/>
      </c>
      <c r="K2718">
        <f>IF($P2718="","",INDEX(상세표[블록 07~18시],$P2718))</f>
        <v/>
      </c>
      <c r="L2718">
        <f>IF($P2718="","",INDEX(상세표[블록 18~22시],$P2718))</f>
        <v/>
      </c>
      <c r="M2718">
        <f>IF($P2718="","",INDEX(상세표[블록 22~06시],$P2718))</f>
        <v/>
      </c>
      <c r="N2718">
        <f>IF($P2718="","",INDEX(상세표[주말·휴일 포함],$P2718)&amp;"")</f>
        <v/>
      </c>
      <c r="O2718">
        <f>IF($P2718="","",INDEX(상세표[월 넘김 포함],$P2718)&amp;"")</f>
        <v/>
      </c>
      <c r="P2718" s="4">
        <f>IFERROR(MATCH(2713,상세표[연속순번],0),"")</f>
        <v/>
      </c>
    </row>
    <row r="2719">
      <c r="A2719">
        <f>IF($P2719="","",INDEX(상세표[사번],$P2719)&amp;"")</f>
        <v/>
      </c>
      <c r="B2719">
        <f>IF($P2719="","",INDEX(상세표[성명],$P2719)&amp;"")</f>
        <v/>
      </c>
      <c r="C2719">
        <f>IF($P2719="","",INDEX(상세표[부서],$P2719)&amp;"")</f>
        <v/>
      </c>
      <c r="D2719">
        <f>IF($P2719="","",INDEX(상세표[직위],$P2719)&amp;"")</f>
        <v/>
      </c>
      <c r="E2719">
        <f>IF($P2719="","",IF(ISNUMBER(INDEX(상세표[시작],$P2719)),TEXT(INDEX(상세표[시작],$P2719),"yyyy-mm-dd hh:mm"),INDEX(상세표[시작],$P2719)&amp;""))</f>
        <v/>
      </c>
      <c r="F2719">
        <f>IF($P2719="","",IF(ISNUMBER(INDEX(상세표[블록종료],$P2719)),TEXT(INDEX(상세표[블록종료],$P2719),"yyyy-mm-dd hh:mm"),INDEX(상세표[블록종료],$P2719)&amp;""))</f>
        <v/>
      </c>
      <c r="G2719">
        <f>IF($P2719="","",CHOOSE(WEEKDAY(INDEX(상세표[시작],$P2719)),"일","월","화","수","목","금","토"))</f>
        <v/>
      </c>
      <c r="H2719">
        <f>IF($P2719="","",INDEX(상세표[연속 시간],$P2719))</f>
        <v/>
      </c>
      <c r="I2719">
        <f>IF($P2719="","",INDEX(상세표[기록 수],$P2719))</f>
        <v/>
      </c>
      <c r="J2719">
        <f>IF($P2719="","",INDEX(상세표[블록 06~07시],$P2719))</f>
        <v/>
      </c>
      <c r="K2719">
        <f>IF($P2719="","",INDEX(상세표[블록 07~18시],$P2719))</f>
        <v/>
      </c>
      <c r="L2719">
        <f>IF($P2719="","",INDEX(상세표[블록 18~22시],$P2719))</f>
        <v/>
      </c>
      <c r="M2719">
        <f>IF($P2719="","",INDEX(상세표[블록 22~06시],$P2719))</f>
        <v/>
      </c>
      <c r="N2719">
        <f>IF($P2719="","",INDEX(상세표[주말·휴일 포함],$P2719)&amp;"")</f>
        <v/>
      </c>
      <c r="O2719">
        <f>IF($P2719="","",INDEX(상세표[월 넘김 포함],$P2719)&amp;"")</f>
        <v/>
      </c>
      <c r="P2719" s="4">
        <f>IFERROR(MATCH(2714,상세표[연속순번],0),"")</f>
        <v/>
      </c>
    </row>
    <row r="2720">
      <c r="A2720">
        <f>IF($P2720="","",INDEX(상세표[사번],$P2720)&amp;"")</f>
        <v/>
      </c>
      <c r="B2720">
        <f>IF($P2720="","",INDEX(상세표[성명],$P2720)&amp;"")</f>
        <v/>
      </c>
      <c r="C2720">
        <f>IF($P2720="","",INDEX(상세표[부서],$P2720)&amp;"")</f>
        <v/>
      </c>
      <c r="D2720">
        <f>IF($P2720="","",INDEX(상세표[직위],$P2720)&amp;"")</f>
        <v/>
      </c>
      <c r="E2720">
        <f>IF($P2720="","",IF(ISNUMBER(INDEX(상세표[시작],$P2720)),TEXT(INDEX(상세표[시작],$P2720),"yyyy-mm-dd hh:mm"),INDEX(상세표[시작],$P2720)&amp;""))</f>
        <v/>
      </c>
      <c r="F2720">
        <f>IF($P2720="","",IF(ISNUMBER(INDEX(상세표[블록종료],$P2720)),TEXT(INDEX(상세표[블록종료],$P2720),"yyyy-mm-dd hh:mm"),INDEX(상세표[블록종료],$P2720)&amp;""))</f>
        <v/>
      </c>
      <c r="G2720">
        <f>IF($P2720="","",CHOOSE(WEEKDAY(INDEX(상세표[시작],$P2720)),"일","월","화","수","목","금","토"))</f>
        <v/>
      </c>
      <c r="H2720">
        <f>IF($P2720="","",INDEX(상세표[연속 시간],$P2720))</f>
        <v/>
      </c>
      <c r="I2720">
        <f>IF($P2720="","",INDEX(상세표[기록 수],$P2720))</f>
        <v/>
      </c>
      <c r="J2720">
        <f>IF($P2720="","",INDEX(상세표[블록 06~07시],$P2720))</f>
        <v/>
      </c>
      <c r="K2720">
        <f>IF($P2720="","",INDEX(상세표[블록 07~18시],$P2720))</f>
        <v/>
      </c>
      <c r="L2720">
        <f>IF($P2720="","",INDEX(상세표[블록 18~22시],$P2720))</f>
        <v/>
      </c>
      <c r="M2720">
        <f>IF($P2720="","",INDEX(상세표[블록 22~06시],$P2720))</f>
        <v/>
      </c>
      <c r="N2720">
        <f>IF($P2720="","",INDEX(상세표[주말·휴일 포함],$P2720)&amp;"")</f>
        <v/>
      </c>
      <c r="O2720">
        <f>IF($P2720="","",INDEX(상세표[월 넘김 포함],$P2720)&amp;"")</f>
        <v/>
      </c>
      <c r="P2720" s="4">
        <f>IFERROR(MATCH(2715,상세표[연속순번],0),"")</f>
        <v/>
      </c>
    </row>
    <row r="2721">
      <c r="A2721">
        <f>IF($P2721="","",INDEX(상세표[사번],$P2721)&amp;"")</f>
        <v/>
      </c>
      <c r="B2721">
        <f>IF($P2721="","",INDEX(상세표[성명],$P2721)&amp;"")</f>
        <v/>
      </c>
      <c r="C2721">
        <f>IF($P2721="","",INDEX(상세표[부서],$P2721)&amp;"")</f>
        <v/>
      </c>
      <c r="D2721">
        <f>IF($P2721="","",INDEX(상세표[직위],$P2721)&amp;"")</f>
        <v/>
      </c>
      <c r="E2721">
        <f>IF($P2721="","",IF(ISNUMBER(INDEX(상세표[시작],$P2721)),TEXT(INDEX(상세표[시작],$P2721),"yyyy-mm-dd hh:mm"),INDEX(상세표[시작],$P2721)&amp;""))</f>
        <v/>
      </c>
      <c r="F2721">
        <f>IF($P2721="","",IF(ISNUMBER(INDEX(상세표[블록종료],$P2721)),TEXT(INDEX(상세표[블록종료],$P2721),"yyyy-mm-dd hh:mm"),INDEX(상세표[블록종료],$P2721)&amp;""))</f>
        <v/>
      </c>
      <c r="G2721">
        <f>IF($P2721="","",CHOOSE(WEEKDAY(INDEX(상세표[시작],$P2721)),"일","월","화","수","목","금","토"))</f>
        <v/>
      </c>
      <c r="H2721">
        <f>IF($P2721="","",INDEX(상세표[연속 시간],$P2721))</f>
        <v/>
      </c>
      <c r="I2721">
        <f>IF($P2721="","",INDEX(상세표[기록 수],$P2721))</f>
        <v/>
      </c>
      <c r="J2721">
        <f>IF($P2721="","",INDEX(상세표[블록 06~07시],$P2721))</f>
        <v/>
      </c>
      <c r="K2721">
        <f>IF($P2721="","",INDEX(상세표[블록 07~18시],$P2721))</f>
        <v/>
      </c>
      <c r="L2721">
        <f>IF($P2721="","",INDEX(상세표[블록 18~22시],$P2721))</f>
        <v/>
      </c>
      <c r="M2721">
        <f>IF($P2721="","",INDEX(상세표[블록 22~06시],$P2721))</f>
        <v/>
      </c>
      <c r="N2721">
        <f>IF($P2721="","",INDEX(상세표[주말·휴일 포함],$P2721)&amp;"")</f>
        <v/>
      </c>
      <c r="O2721">
        <f>IF($P2721="","",INDEX(상세표[월 넘김 포함],$P2721)&amp;"")</f>
        <v/>
      </c>
      <c r="P2721" s="4">
        <f>IFERROR(MATCH(2716,상세표[연속순번],0),"")</f>
        <v/>
      </c>
    </row>
    <row r="2722">
      <c r="A2722">
        <f>IF($P2722="","",INDEX(상세표[사번],$P2722)&amp;"")</f>
        <v/>
      </c>
      <c r="B2722">
        <f>IF($P2722="","",INDEX(상세표[성명],$P2722)&amp;"")</f>
        <v/>
      </c>
      <c r="C2722">
        <f>IF($P2722="","",INDEX(상세표[부서],$P2722)&amp;"")</f>
        <v/>
      </c>
      <c r="D2722">
        <f>IF($P2722="","",INDEX(상세표[직위],$P2722)&amp;"")</f>
        <v/>
      </c>
      <c r="E2722">
        <f>IF($P2722="","",IF(ISNUMBER(INDEX(상세표[시작],$P2722)),TEXT(INDEX(상세표[시작],$P2722),"yyyy-mm-dd hh:mm"),INDEX(상세표[시작],$P2722)&amp;""))</f>
        <v/>
      </c>
      <c r="F2722">
        <f>IF($P2722="","",IF(ISNUMBER(INDEX(상세표[블록종료],$P2722)),TEXT(INDEX(상세표[블록종료],$P2722),"yyyy-mm-dd hh:mm"),INDEX(상세표[블록종료],$P2722)&amp;""))</f>
        <v/>
      </c>
      <c r="G2722">
        <f>IF($P2722="","",CHOOSE(WEEKDAY(INDEX(상세표[시작],$P2722)),"일","월","화","수","목","금","토"))</f>
        <v/>
      </c>
      <c r="H2722">
        <f>IF($P2722="","",INDEX(상세표[연속 시간],$P2722))</f>
        <v/>
      </c>
      <c r="I2722">
        <f>IF($P2722="","",INDEX(상세표[기록 수],$P2722))</f>
        <v/>
      </c>
      <c r="J2722">
        <f>IF($P2722="","",INDEX(상세표[블록 06~07시],$P2722))</f>
        <v/>
      </c>
      <c r="K2722">
        <f>IF($P2722="","",INDEX(상세표[블록 07~18시],$P2722))</f>
        <v/>
      </c>
      <c r="L2722">
        <f>IF($P2722="","",INDEX(상세표[블록 18~22시],$P2722))</f>
        <v/>
      </c>
      <c r="M2722">
        <f>IF($P2722="","",INDEX(상세표[블록 22~06시],$P2722))</f>
        <v/>
      </c>
      <c r="N2722">
        <f>IF($P2722="","",INDEX(상세표[주말·휴일 포함],$P2722)&amp;"")</f>
        <v/>
      </c>
      <c r="O2722">
        <f>IF($P2722="","",INDEX(상세표[월 넘김 포함],$P2722)&amp;"")</f>
        <v/>
      </c>
      <c r="P2722" s="4">
        <f>IFERROR(MATCH(2717,상세표[연속순번],0),"")</f>
        <v/>
      </c>
    </row>
    <row r="2723">
      <c r="A2723">
        <f>IF($P2723="","",INDEX(상세표[사번],$P2723)&amp;"")</f>
        <v/>
      </c>
      <c r="B2723">
        <f>IF($P2723="","",INDEX(상세표[성명],$P2723)&amp;"")</f>
        <v/>
      </c>
      <c r="C2723">
        <f>IF($P2723="","",INDEX(상세표[부서],$P2723)&amp;"")</f>
        <v/>
      </c>
      <c r="D2723">
        <f>IF($P2723="","",INDEX(상세표[직위],$P2723)&amp;"")</f>
        <v/>
      </c>
      <c r="E2723">
        <f>IF($P2723="","",IF(ISNUMBER(INDEX(상세표[시작],$P2723)),TEXT(INDEX(상세표[시작],$P2723),"yyyy-mm-dd hh:mm"),INDEX(상세표[시작],$P2723)&amp;""))</f>
        <v/>
      </c>
      <c r="F2723">
        <f>IF($P2723="","",IF(ISNUMBER(INDEX(상세표[블록종료],$P2723)),TEXT(INDEX(상세표[블록종료],$P2723),"yyyy-mm-dd hh:mm"),INDEX(상세표[블록종료],$P2723)&amp;""))</f>
        <v/>
      </c>
      <c r="G2723">
        <f>IF($P2723="","",CHOOSE(WEEKDAY(INDEX(상세표[시작],$P2723)),"일","월","화","수","목","금","토"))</f>
        <v/>
      </c>
      <c r="H2723">
        <f>IF($P2723="","",INDEX(상세표[연속 시간],$P2723))</f>
        <v/>
      </c>
      <c r="I2723">
        <f>IF($P2723="","",INDEX(상세표[기록 수],$P2723))</f>
        <v/>
      </c>
      <c r="J2723">
        <f>IF($P2723="","",INDEX(상세표[블록 06~07시],$P2723))</f>
        <v/>
      </c>
      <c r="K2723">
        <f>IF($P2723="","",INDEX(상세표[블록 07~18시],$P2723))</f>
        <v/>
      </c>
      <c r="L2723">
        <f>IF($P2723="","",INDEX(상세표[블록 18~22시],$P2723))</f>
        <v/>
      </c>
      <c r="M2723">
        <f>IF($P2723="","",INDEX(상세표[블록 22~06시],$P2723))</f>
        <v/>
      </c>
      <c r="N2723">
        <f>IF($P2723="","",INDEX(상세표[주말·휴일 포함],$P2723)&amp;"")</f>
        <v/>
      </c>
      <c r="O2723">
        <f>IF($P2723="","",INDEX(상세표[월 넘김 포함],$P2723)&amp;"")</f>
        <v/>
      </c>
      <c r="P2723" s="4">
        <f>IFERROR(MATCH(2718,상세표[연속순번],0),"")</f>
        <v/>
      </c>
    </row>
    <row r="2724">
      <c r="A2724">
        <f>IF($P2724="","",INDEX(상세표[사번],$P2724)&amp;"")</f>
        <v/>
      </c>
      <c r="B2724">
        <f>IF($P2724="","",INDEX(상세표[성명],$P2724)&amp;"")</f>
        <v/>
      </c>
      <c r="C2724">
        <f>IF($P2724="","",INDEX(상세표[부서],$P2724)&amp;"")</f>
        <v/>
      </c>
      <c r="D2724">
        <f>IF($P2724="","",INDEX(상세표[직위],$P2724)&amp;"")</f>
        <v/>
      </c>
      <c r="E2724">
        <f>IF($P2724="","",IF(ISNUMBER(INDEX(상세표[시작],$P2724)),TEXT(INDEX(상세표[시작],$P2724),"yyyy-mm-dd hh:mm"),INDEX(상세표[시작],$P2724)&amp;""))</f>
        <v/>
      </c>
      <c r="F2724">
        <f>IF($P2724="","",IF(ISNUMBER(INDEX(상세표[블록종료],$P2724)),TEXT(INDEX(상세표[블록종료],$P2724),"yyyy-mm-dd hh:mm"),INDEX(상세표[블록종료],$P2724)&amp;""))</f>
        <v/>
      </c>
      <c r="G2724">
        <f>IF($P2724="","",CHOOSE(WEEKDAY(INDEX(상세표[시작],$P2724)),"일","월","화","수","목","금","토"))</f>
        <v/>
      </c>
      <c r="H2724">
        <f>IF($P2724="","",INDEX(상세표[연속 시간],$P2724))</f>
        <v/>
      </c>
      <c r="I2724">
        <f>IF($P2724="","",INDEX(상세표[기록 수],$P2724))</f>
        <v/>
      </c>
      <c r="J2724">
        <f>IF($P2724="","",INDEX(상세표[블록 06~07시],$P2724))</f>
        <v/>
      </c>
      <c r="K2724">
        <f>IF($P2724="","",INDEX(상세표[블록 07~18시],$P2724))</f>
        <v/>
      </c>
      <c r="L2724">
        <f>IF($P2724="","",INDEX(상세표[블록 18~22시],$P2724))</f>
        <v/>
      </c>
      <c r="M2724">
        <f>IF($P2724="","",INDEX(상세표[블록 22~06시],$P2724))</f>
        <v/>
      </c>
      <c r="N2724">
        <f>IF($P2724="","",INDEX(상세표[주말·휴일 포함],$P2724)&amp;"")</f>
        <v/>
      </c>
      <c r="O2724">
        <f>IF($P2724="","",INDEX(상세표[월 넘김 포함],$P2724)&amp;"")</f>
        <v/>
      </c>
      <c r="P2724" s="4">
        <f>IFERROR(MATCH(2719,상세표[연속순번],0),"")</f>
        <v/>
      </c>
    </row>
    <row r="2725">
      <c r="A2725">
        <f>IF($P2725="","",INDEX(상세표[사번],$P2725)&amp;"")</f>
        <v/>
      </c>
      <c r="B2725">
        <f>IF($P2725="","",INDEX(상세표[성명],$P2725)&amp;"")</f>
        <v/>
      </c>
      <c r="C2725">
        <f>IF($P2725="","",INDEX(상세표[부서],$P2725)&amp;"")</f>
        <v/>
      </c>
      <c r="D2725">
        <f>IF($P2725="","",INDEX(상세표[직위],$P2725)&amp;"")</f>
        <v/>
      </c>
      <c r="E2725">
        <f>IF($P2725="","",IF(ISNUMBER(INDEX(상세표[시작],$P2725)),TEXT(INDEX(상세표[시작],$P2725),"yyyy-mm-dd hh:mm"),INDEX(상세표[시작],$P2725)&amp;""))</f>
        <v/>
      </c>
      <c r="F2725">
        <f>IF($P2725="","",IF(ISNUMBER(INDEX(상세표[블록종료],$P2725)),TEXT(INDEX(상세표[블록종료],$P2725),"yyyy-mm-dd hh:mm"),INDEX(상세표[블록종료],$P2725)&amp;""))</f>
        <v/>
      </c>
      <c r="G2725">
        <f>IF($P2725="","",CHOOSE(WEEKDAY(INDEX(상세표[시작],$P2725)),"일","월","화","수","목","금","토"))</f>
        <v/>
      </c>
      <c r="H2725">
        <f>IF($P2725="","",INDEX(상세표[연속 시간],$P2725))</f>
        <v/>
      </c>
      <c r="I2725">
        <f>IF($P2725="","",INDEX(상세표[기록 수],$P2725))</f>
        <v/>
      </c>
      <c r="J2725">
        <f>IF($P2725="","",INDEX(상세표[블록 06~07시],$P2725))</f>
        <v/>
      </c>
      <c r="K2725">
        <f>IF($P2725="","",INDEX(상세표[블록 07~18시],$P2725))</f>
        <v/>
      </c>
      <c r="L2725">
        <f>IF($P2725="","",INDEX(상세표[블록 18~22시],$P2725))</f>
        <v/>
      </c>
      <c r="M2725">
        <f>IF($P2725="","",INDEX(상세표[블록 22~06시],$P2725))</f>
        <v/>
      </c>
      <c r="N2725">
        <f>IF($P2725="","",INDEX(상세표[주말·휴일 포함],$P2725)&amp;"")</f>
        <v/>
      </c>
      <c r="O2725">
        <f>IF($P2725="","",INDEX(상세표[월 넘김 포함],$P2725)&amp;"")</f>
        <v/>
      </c>
      <c r="P2725" s="4">
        <f>IFERROR(MATCH(2720,상세표[연속순번],0),"")</f>
        <v/>
      </c>
    </row>
    <row r="2726">
      <c r="A2726">
        <f>IF($P2726="","",INDEX(상세표[사번],$P2726)&amp;"")</f>
        <v/>
      </c>
      <c r="B2726">
        <f>IF($P2726="","",INDEX(상세표[성명],$P2726)&amp;"")</f>
        <v/>
      </c>
      <c r="C2726">
        <f>IF($P2726="","",INDEX(상세표[부서],$P2726)&amp;"")</f>
        <v/>
      </c>
      <c r="D2726">
        <f>IF($P2726="","",INDEX(상세표[직위],$P2726)&amp;"")</f>
        <v/>
      </c>
      <c r="E2726">
        <f>IF($P2726="","",IF(ISNUMBER(INDEX(상세표[시작],$P2726)),TEXT(INDEX(상세표[시작],$P2726),"yyyy-mm-dd hh:mm"),INDEX(상세표[시작],$P2726)&amp;""))</f>
        <v/>
      </c>
      <c r="F2726">
        <f>IF($P2726="","",IF(ISNUMBER(INDEX(상세표[블록종료],$P2726)),TEXT(INDEX(상세표[블록종료],$P2726),"yyyy-mm-dd hh:mm"),INDEX(상세표[블록종료],$P2726)&amp;""))</f>
        <v/>
      </c>
      <c r="G2726">
        <f>IF($P2726="","",CHOOSE(WEEKDAY(INDEX(상세표[시작],$P2726)),"일","월","화","수","목","금","토"))</f>
        <v/>
      </c>
      <c r="H2726">
        <f>IF($P2726="","",INDEX(상세표[연속 시간],$P2726))</f>
        <v/>
      </c>
      <c r="I2726">
        <f>IF($P2726="","",INDEX(상세표[기록 수],$P2726))</f>
        <v/>
      </c>
      <c r="J2726">
        <f>IF($P2726="","",INDEX(상세표[블록 06~07시],$P2726))</f>
        <v/>
      </c>
      <c r="K2726">
        <f>IF($P2726="","",INDEX(상세표[블록 07~18시],$P2726))</f>
        <v/>
      </c>
      <c r="L2726">
        <f>IF($P2726="","",INDEX(상세표[블록 18~22시],$P2726))</f>
        <v/>
      </c>
      <c r="M2726">
        <f>IF($P2726="","",INDEX(상세표[블록 22~06시],$P2726))</f>
        <v/>
      </c>
      <c r="N2726">
        <f>IF($P2726="","",INDEX(상세표[주말·휴일 포함],$P2726)&amp;"")</f>
        <v/>
      </c>
      <c r="O2726">
        <f>IF($P2726="","",INDEX(상세표[월 넘김 포함],$P2726)&amp;"")</f>
        <v/>
      </c>
      <c r="P2726" s="4">
        <f>IFERROR(MATCH(2721,상세표[연속순번],0),"")</f>
        <v/>
      </c>
    </row>
    <row r="2727">
      <c r="A2727">
        <f>IF($P2727="","",INDEX(상세표[사번],$P2727)&amp;"")</f>
        <v/>
      </c>
      <c r="B2727">
        <f>IF($P2727="","",INDEX(상세표[성명],$P2727)&amp;"")</f>
        <v/>
      </c>
      <c r="C2727">
        <f>IF($P2727="","",INDEX(상세표[부서],$P2727)&amp;"")</f>
        <v/>
      </c>
      <c r="D2727">
        <f>IF($P2727="","",INDEX(상세표[직위],$P2727)&amp;"")</f>
        <v/>
      </c>
      <c r="E2727">
        <f>IF($P2727="","",IF(ISNUMBER(INDEX(상세표[시작],$P2727)),TEXT(INDEX(상세표[시작],$P2727),"yyyy-mm-dd hh:mm"),INDEX(상세표[시작],$P2727)&amp;""))</f>
        <v/>
      </c>
      <c r="F2727">
        <f>IF($P2727="","",IF(ISNUMBER(INDEX(상세표[블록종료],$P2727)),TEXT(INDEX(상세표[블록종료],$P2727),"yyyy-mm-dd hh:mm"),INDEX(상세표[블록종료],$P2727)&amp;""))</f>
        <v/>
      </c>
      <c r="G2727">
        <f>IF($P2727="","",CHOOSE(WEEKDAY(INDEX(상세표[시작],$P2727)),"일","월","화","수","목","금","토"))</f>
        <v/>
      </c>
      <c r="H2727">
        <f>IF($P2727="","",INDEX(상세표[연속 시간],$P2727))</f>
        <v/>
      </c>
      <c r="I2727">
        <f>IF($P2727="","",INDEX(상세표[기록 수],$P2727))</f>
        <v/>
      </c>
      <c r="J2727">
        <f>IF($P2727="","",INDEX(상세표[블록 06~07시],$P2727))</f>
        <v/>
      </c>
      <c r="K2727">
        <f>IF($P2727="","",INDEX(상세표[블록 07~18시],$P2727))</f>
        <v/>
      </c>
      <c r="L2727">
        <f>IF($P2727="","",INDEX(상세표[블록 18~22시],$P2727))</f>
        <v/>
      </c>
      <c r="M2727">
        <f>IF($P2727="","",INDEX(상세표[블록 22~06시],$P2727))</f>
        <v/>
      </c>
      <c r="N2727">
        <f>IF($P2727="","",INDEX(상세표[주말·휴일 포함],$P2727)&amp;"")</f>
        <v/>
      </c>
      <c r="O2727">
        <f>IF($P2727="","",INDEX(상세표[월 넘김 포함],$P2727)&amp;"")</f>
        <v/>
      </c>
      <c r="P2727" s="4">
        <f>IFERROR(MATCH(2722,상세표[연속순번],0),"")</f>
        <v/>
      </c>
    </row>
    <row r="2728">
      <c r="A2728">
        <f>IF($P2728="","",INDEX(상세표[사번],$P2728)&amp;"")</f>
        <v/>
      </c>
      <c r="B2728">
        <f>IF($P2728="","",INDEX(상세표[성명],$P2728)&amp;"")</f>
        <v/>
      </c>
      <c r="C2728">
        <f>IF($P2728="","",INDEX(상세표[부서],$P2728)&amp;"")</f>
        <v/>
      </c>
      <c r="D2728">
        <f>IF($P2728="","",INDEX(상세표[직위],$P2728)&amp;"")</f>
        <v/>
      </c>
      <c r="E2728">
        <f>IF($P2728="","",IF(ISNUMBER(INDEX(상세표[시작],$P2728)),TEXT(INDEX(상세표[시작],$P2728),"yyyy-mm-dd hh:mm"),INDEX(상세표[시작],$P2728)&amp;""))</f>
        <v/>
      </c>
      <c r="F2728">
        <f>IF($P2728="","",IF(ISNUMBER(INDEX(상세표[블록종료],$P2728)),TEXT(INDEX(상세표[블록종료],$P2728),"yyyy-mm-dd hh:mm"),INDEX(상세표[블록종료],$P2728)&amp;""))</f>
        <v/>
      </c>
      <c r="G2728">
        <f>IF($P2728="","",CHOOSE(WEEKDAY(INDEX(상세표[시작],$P2728)),"일","월","화","수","목","금","토"))</f>
        <v/>
      </c>
      <c r="H2728">
        <f>IF($P2728="","",INDEX(상세표[연속 시간],$P2728))</f>
        <v/>
      </c>
      <c r="I2728">
        <f>IF($P2728="","",INDEX(상세표[기록 수],$P2728))</f>
        <v/>
      </c>
      <c r="J2728">
        <f>IF($P2728="","",INDEX(상세표[블록 06~07시],$P2728))</f>
        <v/>
      </c>
      <c r="K2728">
        <f>IF($P2728="","",INDEX(상세표[블록 07~18시],$P2728))</f>
        <v/>
      </c>
      <c r="L2728">
        <f>IF($P2728="","",INDEX(상세표[블록 18~22시],$P2728))</f>
        <v/>
      </c>
      <c r="M2728">
        <f>IF($P2728="","",INDEX(상세표[블록 22~06시],$P2728))</f>
        <v/>
      </c>
      <c r="N2728">
        <f>IF($P2728="","",INDEX(상세표[주말·휴일 포함],$P2728)&amp;"")</f>
        <v/>
      </c>
      <c r="O2728">
        <f>IF($P2728="","",INDEX(상세표[월 넘김 포함],$P2728)&amp;"")</f>
        <v/>
      </c>
      <c r="P2728" s="4">
        <f>IFERROR(MATCH(2723,상세표[연속순번],0),"")</f>
        <v/>
      </c>
    </row>
    <row r="2729">
      <c r="A2729">
        <f>IF($P2729="","",INDEX(상세표[사번],$P2729)&amp;"")</f>
        <v/>
      </c>
      <c r="B2729">
        <f>IF($P2729="","",INDEX(상세표[성명],$P2729)&amp;"")</f>
        <v/>
      </c>
      <c r="C2729">
        <f>IF($P2729="","",INDEX(상세표[부서],$P2729)&amp;"")</f>
        <v/>
      </c>
      <c r="D2729">
        <f>IF($P2729="","",INDEX(상세표[직위],$P2729)&amp;"")</f>
        <v/>
      </c>
      <c r="E2729">
        <f>IF($P2729="","",IF(ISNUMBER(INDEX(상세표[시작],$P2729)),TEXT(INDEX(상세표[시작],$P2729),"yyyy-mm-dd hh:mm"),INDEX(상세표[시작],$P2729)&amp;""))</f>
        <v/>
      </c>
      <c r="F2729">
        <f>IF($P2729="","",IF(ISNUMBER(INDEX(상세표[블록종료],$P2729)),TEXT(INDEX(상세표[블록종료],$P2729),"yyyy-mm-dd hh:mm"),INDEX(상세표[블록종료],$P2729)&amp;""))</f>
        <v/>
      </c>
      <c r="G2729">
        <f>IF($P2729="","",CHOOSE(WEEKDAY(INDEX(상세표[시작],$P2729)),"일","월","화","수","목","금","토"))</f>
        <v/>
      </c>
      <c r="H2729">
        <f>IF($P2729="","",INDEX(상세표[연속 시간],$P2729))</f>
        <v/>
      </c>
      <c r="I2729">
        <f>IF($P2729="","",INDEX(상세표[기록 수],$P2729))</f>
        <v/>
      </c>
      <c r="J2729">
        <f>IF($P2729="","",INDEX(상세표[블록 06~07시],$P2729))</f>
        <v/>
      </c>
      <c r="K2729">
        <f>IF($P2729="","",INDEX(상세표[블록 07~18시],$P2729))</f>
        <v/>
      </c>
      <c r="L2729">
        <f>IF($P2729="","",INDEX(상세표[블록 18~22시],$P2729))</f>
        <v/>
      </c>
      <c r="M2729">
        <f>IF($P2729="","",INDEX(상세표[블록 22~06시],$P2729))</f>
        <v/>
      </c>
      <c r="N2729">
        <f>IF($P2729="","",INDEX(상세표[주말·휴일 포함],$P2729)&amp;"")</f>
        <v/>
      </c>
      <c r="O2729">
        <f>IF($P2729="","",INDEX(상세표[월 넘김 포함],$P2729)&amp;"")</f>
        <v/>
      </c>
      <c r="P2729" s="4">
        <f>IFERROR(MATCH(2724,상세표[연속순번],0),"")</f>
        <v/>
      </c>
    </row>
    <row r="2730">
      <c r="A2730">
        <f>IF($P2730="","",INDEX(상세표[사번],$P2730)&amp;"")</f>
        <v/>
      </c>
      <c r="B2730">
        <f>IF($P2730="","",INDEX(상세표[성명],$P2730)&amp;"")</f>
        <v/>
      </c>
      <c r="C2730">
        <f>IF($P2730="","",INDEX(상세표[부서],$P2730)&amp;"")</f>
        <v/>
      </c>
      <c r="D2730">
        <f>IF($P2730="","",INDEX(상세표[직위],$P2730)&amp;"")</f>
        <v/>
      </c>
      <c r="E2730">
        <f>IF($P2730="","",IF(ISNUMBER(INDEX(상세표[시작],$P2730)),TEXT(INDEX(상세표[시작],$P2730),"yyyy-mm-dd hh:mm"),INDEX(상세표[시작],$P2730)&amp;""))</f>
        <v/>
      </c>
      <c r="F2730">
        <f>IF($P2730="","",IF(ISNUMBER(INDEX(상세표[블록종료],$P2730)),TEXT(INDEX(상세표[블록종료],$P2730),"yyyy-mm-dd hh:mm"),INDEX(상세표[블록종료],$P2730)&amp;""))</f>
        <v/>
      </c>
      <c r="G2730">
        <f>IF($P2730="","",CHOOSE(WEEKDAY(INDEX(상세표[시작],$P2730)),"일","월","화","수","목","금","토"))</f>
        <v/>
      </c>
      <c r="H2730">
        <f>IF($P2730="","",INDEX(상세표[연속 시간],$P2730))</f>
        <v/>
      </c>
      <c r="I2730">
        <f>IF($P2730="","",INDEX(상세표[기록 수],$P2730))</f>
        <v/>
      </c>
      <c r="J2730">
        <f>IF($P2730="","",INDEX(상세표[블록 06~07시],$P2730))</f>
        <v/>
      </c>
      <c r="K2730">
        <f>IF($P2730="","",INDEX(상세표[블록 07~18시],$P2730))</f>
        <v/>
      </c>
      <c r="L2730">
        <f>IF($P2730="","",INDEX(상세표[블록 18~22시],$P2730))</f>
        <v/>
      </c>
      <c r="M2730">
        <f>IF($P2730="","",INDEX(상세표[블록 22~06시],$P2730))</f>
        <v/>
      </c>
      <c r="N2730">
        <f>IF($P2730="","",INDEX(상세표[주말·휴일 포함],$P2730)&amp;"")</f>
        <v/>
      </c>
      <c r="O2730">
        <f>IF($P2730="","",INDEX(상세표[월 넘김 포함],$P2730)&amp;"")</f>
        <v/>
      </c>
      <c r="P2730" s="4">
        <f>IFERROR(MATCH(2725,상세표[연속순번],0),"")</f>
        <v/>
      </c>
    </row>
    <row r="2731">
      <c r="A2731">
        <f>IF($P2731="","",INDEX(상세표[사번],$P2731)&amp;"")</f>
        <v/>
      </c>
      <c r="B2731">
        <f>IF($P2731="","",INDEX(상세표[성명],$P2731)&amp;"")</f>
        <v/>
      </c>
      <c r="C2731">
        <f>IF($P2731="","",INDEX(상세표[부서],$P2731)&amp;"")</f>
        <v/>
      </c>
      <c r="D2731">
        <f>IF($P2731="","",INDEX(상세표[직위],$P2731)&amp;"")</f>
        <v/>
      </c>
      <c r="E2731">
        <f>IF($P2731="","",IF(ISNUMBER(INDEX(상세표[시작],$P2731)),TEXT(INDEX(상세표[시작],$P2731),"yyyy-mm-dd hh:mm"),INDEX(상세표[시작],$P2731)&amp;""))</f>
        <v/>
      </c>
      <c r="F2731">
        <f>IF($P2731="","",IF(ISNUMBER(INDEX(상세표[블록종료],$P2731)),TEXT(INDEX(상세표[블록종료],$P2731),"yyyy-mm-dd hh:mm"),INDEX(상세표[블록종료],$P2731)&amp;""))</f>
        <v/>
      </c>
      <c r="G2731">
        <f>IF($P2731="","",CHOOSE(WEEKDAY(INDEX(상세표[시작],$P2731)),"일","월","화","수","목","금","토"))</f>
        <v/>
      </c>
      <c r="H2731">
        <f>IF($P2731="","",INDEX(상세표[연속 시간],$P2731))</f>
        <v/>
      </c>
      <c r="I2731">
        <f>IF($P2731="","",INDEX(상세표[기록 수],$P2731))</f>
        <v/>
      </c>
      <c r="J2731">
        <f>IF($P2731="","",INDEX(상세표[블록 06~07시],$P2731))</f>
        <v/>
      </c>
      <c r="K2731">
        <f>IF($P2731="","",INDEX(상세표[블록 07~18시],$P2731))</f>
        <v/>
      </c>
      <c r="L2731">
        <f>IF($P2731="","",INDEX(상세표[블록 18~22시],$P2731))</f>
        <v/>
      </c>
      <c r="M2731">
        <f>IF($P2731="","",INDEX(상세표[블록 22~06시],$P2731))</f>
        <v/>
      </c>
      <c r="N2731">
        <f>IF($P2731="","",INDEX(상세표[주말·휴일 포함],$P2731)&amp;"")</f>
        <v/>
      </c>
      <c r="O2731">
        <f>IF($P2731="","",INDEX(상세표[월 넘김 포함],$P2731)&amp;"")</f>
        <v/>
      </c>
      <c r="P2731" s="4">
        <f>IFERROR(MATCH(2726,상세표[연속순번],0),"")</f>
        <v/>
      </c>
    </row>
    <row r="2732">
      <c r="A2732">
        <f>IF($P2732="","",INDEX(상세표[사번],$P2732)&amp;"")</f>
        <v/>
      </c>
      <c r="B2732">
        <f>IF($P2732="","",INDEX(상세표[성명],$P2732)&amp;"")</f>
        <v/>
      </c>
      <c r="C2732">
        <f>IF($P2732="","",INDEX(상세표[부서],$P2732)&amp;"")</f>
        <v/>
      </c>
      <c r="D2732">
        <f>IF($P2732="","",INDEX(상세표[직위],$P2732)&amp;"")</f>
        <v/>
      </c>
      <c r="E2732">
        <f>IF($P2732="","",IF(ISNUMBER(INDEX(상세표[시작],$P2732)),TEXT(INDEX(상세표[시작],$P2732),"yyyy-mm-dd hh:mm"),INDEX(상세표[시작],$P2732)&amp;""))</f>
        <v/>
      </c>
      <c r="F2732">
        <f>IF($P2732="","",IF(ISNUMBER(INDEX(상세표[블록종료],$P2732)),TEXT(INDEX(상세표[블록종료],$P2732),"yyyy-mm-dd hh:mm"),INDEX(상세표[블록종료],$P2732)&amp;""))</f>
        <v/>
      </c>
      <c r="G2732">
        <f>IF($P2732="","",CHOOSE(WEEKDAY(INDEX(상세표[시작],$P2732)),"일","월","화","수","목","금","토"))</f>
        <v/>
      </c>
      <c r="H2732">
        <f>IF($P2732="","",INDEX(상세표[연속 시간],$P2732))</f>
        <v/>
      </c>
      <c r="I2732">
        <f>IF($P2732="","",INDEX(상세표[기록 수],$P2732))</f>
        <v/>
      </c>
      <c r="J2732">
        <f>IF($P2732="","",INDEX(상세표[블록 06~07시],$P2732))</f>
        <v/>
      </c>
      <c r="K2732">
        <f>IF($P2732="","",INDEX(상세표[블록 07~18시],$P2732))</f>
        <v/>
      </c>
      <c r="L2732">
        <f>IF($P2732="","",INDEX(상세표[블록 18~22시],$P2732))</f>
        <v/>
      </c>
      <c r="M2732">
        <f>IF($P2732="","",INDEX(상세표[블록 22~06시],$P2732))</f>
        <v/>
      </c>
      <c r="N2732">
        <f>IF($P2732="","",INDEX(상세표[주말·휴일 포함],$P2732)&amp;"")</f>
        <v/>
      </c>
      <c r="O2732">
        <f>IF($P2732="","",INDEX(상세표[월 넘김 포함],$P2732)&amp;"")</f>
        <v/>
      </c>
      <c r="P2732" s="4">
        <f>IFERROR(MATCH(2727,상세표[연속순번],0),"")</f>
        <v/>
      </c>
    </row>
    <row r="2733">
      <c r="A2733">
        <f>IF($P2733="","",INDEX(상세표[사번],$P2733)&amp;"")</f>
        <v/>
      </c>
      <c r="B2733">
        <f>IF($P2733="","",INDEX(상세표[성명],$P2733)&amp;"")</f>
        <v/>
      </c>
      <c r="C2733">
        <f>IF($P2733="","",INDEX(상세표[부서],$P2733)&amp;"")</f>
        <v/>
      </c>
      <c r="D2733">
        <f>IF($P2733="","",INDEX(상세표[직위],$P2733)&amp;"")</f>
        <v/>
      </c>
      <c r="E2733">
        <f>IF($P2733="","",IF(ISNUMBER(INDEX(상세표[시작],$P2733)),TEXT(INDEX(상세표[시작],$P2733),"yyyy-mm-dd hh:mm"),INDEX(상세표[시작],$P2733)&amp;""))</f>
        <v/>
      </c>
      <c r="F2733">
        <f>IF($P2733="","",IF(ISNUMBER(INDEX(상세표[블록종료],$P2733)),TEXT(INDEX(상세표[블록종료],$P2733),"yyyy-mm-dd hh:mm"),INDEX(상세표[블록종료],$P2733)&amp;""))</f>
        <v/>
      </c>
      <c r="G2733">
        <f>IF($P2733="","",CHOOSE(WEEKDAY(INDEX(상세표[시작],$P2733)),"일","월","화","수","목","금","토"))</f>
        <v/>
      </c>
      <c r="H2733">
        <f>IF($P2733="","",INDEX(상세표[연속 시간],$P2733))</f>
        <v/>
      </c>
      <c r="I2733">
        <f>IF($P2733="","",INDEX(상세표[기록 수],$P2733))</f>
        <v/>
      </c>
      <c r="J2733">
        <f>IF($P2733="","",INDEX(상세표[블록 06~07시],$P2733))</f>
        <v/>
      </c>
      <c r="K2733">
        <f>IF($P2733="","",INDEX(상세표[블록 07~18시],$P2733))</f>
        <v/>
      </c>
      <c r="L2733">
        <f>IF($P2733="","",INDEX(상세표[블록 18~22시],$P2733))</f>
        <v/>
      </c>
      <c r="M2733">
        <f>IF($P2733="","",INDEX(상세표[블록 22~06시],$P2733))</f>
        <v/>
      </c>
      <c r="N2733">
        <f>IF($P2733="","",INDEX(상세표[주말·휴일 포함],$P2733)&amp;"")</f>
        <v/>
      </c>
      <c r="O2733">
        <f>IF($P2733="","",INDEX(상세표[월 넘김 포함],$P2733)&amp;"")</f>
        <v/>
      </c>
      <c r="P2733" s="4">
        <f>IFERROR(MATCH(2728,상세표[연속순번],0),"")</f>
        <v/>
      </c>
    </row>
    <row r="2734">
      <c r="A2734">
        <f>IF($P2734="","",INDEX(상세표[사번],$P2734)&amp;"")</f>
        <v/>
      </c>
      <c r="B2734">
        <f>IF($P2734="","",INDEX(상세표[성명],$P2734)&amp;"")</f>
        <v/>
      </c>
      <c r="C2734">
        <f>IF($P2734="","",INDEX(상세표[부서],$P2734)&amp;"")</f>
        <v/>
      </c>
      <c r="D2734">
        <f>IF($P2734="","",INDEX(상세표[직위],$P2734)&amp;"")</f>
        <v/>
      </c>
      <c r="E2734">
        <f>IF($P2734="","",IF(ISNUMBER(INDEX(상세표[시작],$P2734)),TEXT(INDEX(상세표[시작],$P2734),"yyyy-mm-dd hh:mm"),INDEX(상세표[시작],$P2734)&amp;""))</f>
        <v/>
      </c>
      <c r="F2734">
        <f>IF($P2734="","",IF(ISNUMBER(INDEX(상세표[블록종료],$P2734)),TEXT(INDEX(상세표[블록종료],$P2734),"yyyy-mm-dd hh:mm"),INDEX(상세표[블록종료],$P2734)&amp;""))</f>
        <v/>
      </c>
      <c r="G2734">
        <f>IF($P2734="","",CHOOSE(WEEKDAY(INDEX(상세표[시작],$P2734)),"일","월","화","수","목","금","토"))</f>
        <v/>
      </c>
      <c r="H2734">
        <f>IF($P2734="","",INDEX(상세표[연속 시간],$P2734))</f>
        <v/>
      </c>
      <c r="I2734">
        <f>IF($P2734="","",INDEX(상세표[기록 수],$P2734))</f>
        <v/>
      </c>
      <c r="J2734">
        <f>IF($P2734="","",INDEX(상세표[블록 06~07시],$P2734))</f>
        <v/>
      </c>
      <c r="K2734">
        <f>IF($P2734="","",INDEX(상세표[블록 07~18시],$P2734))</f>
        <v/>
      </c>
      <c r="L2734">
        <f>IF($P2734="","",INDEX(상세표[블록 18~22시],$P2734))</f>
        <v/>
      </c>
      <c r="M2734">
        <f>IF($P2734="","",INDEX(상세표[블록 22~06시],$P2734))</f>
        <v/>
      </c>
      <c r="N2734">
        <f>IF($P2734="","",INDEX(상세표[주말·휴일 포함],$P2734)&amp;"")</f>
        <v/>
      </c>
      <c r="O2734">
        <f>IF($P2734="","",INDEX(상세표[월 넘김 포함],$P2734)&amp;"")</f>
        <v/>
      </c>
      <c r="P2734" s="4">
        <f>IFERROR(MATCH(2729,상세표[연속순번],0),"")</f>
        <v/>
      </c>
    </row>
    <row r="2735">
      <c r="A2735">
        <f>IF($P2735="","",INDEX(상세표[사번],$P2735)&amp;"")</f>
        <v/>
      </c>
      <c r="B2735">
        <f>IF($P2735="","",INDEX(상세표[성명],$P2735)&amp;"")</f>
        <v/>
      </c>
      <c r="C2735">
        <f>IF($P2735="","",INDEX(상세표[부서],$P2735)&amp;"")</f>
        <v/>
      </c>
      <c r="D2735">
        <f>IF($P2735="","",INDEX(상세표[직위],$P2735)&amp;"")</f>
        <v/>
      </c>
      <c r="E2735">
        <f>IF($P2735="","",IF(ISNUMBER(INDEX(상세표[시작],$P2735)),TEXT(INDEX(상세표[시작],$P2735),"yyyy-mm-dd hh:mm"),INDEX(상세표[시작],$P2735)&amp;""))</f>
        <v/>
      </c>
      <c r="F2735">
        <f>IF($P2735="","",IF(ISNUMBER(INDEX(상세표[블록종료],$P2735)),TEXT(INDEX(상세표[블록종료],$P2735),"yyyy-mm-dd hh:mm"),INDEX(상세표[블록종료],$P2735)&amp;""))</f>
        <v/>
      </c>
      <c r="G2735">
        <f>IF($P2735="","",CHOOSE(WEEKDAY(INDEX(상세표[시작],$P2735)),"일","월","화","수","목","금","토"))</f>
        <v/>
      </c>
      <c r="H2735">
        <f>IF($P2735="","",INDEX(상세표[연속 시간],$P2735))</f>
        <v/>
      </c>
      <c r="I2735">
        <f>IF($P2735="","",INDEX(상세표[기록 수],$P2735))</f>
        <v/>
      </c>
      <c r="J2735">
        <f>IF($P2735="","",INDEX(상세표[블록 06~07시],$P2735))</f>
        <v/>
      </c>
      <c r="K2735">
        <f>IF($P2735="","",INDEX(상세표[블록 07~18시],$P2735))</f>
        <v/>
      </c>
      <c r="L2735">
        <f>IF($P2735="","",INDEX(상세표[블록 18~22시],$P2735))</f>
        <v/>
      </c>
      <c r="M2735">
        <f>IF($P2735="","",INDEX(상세표[블록 22~06시],$P2735))</f>
        <v/>
      </c>
      <c r="N2735">
        <f>IF($P2735="","",INDEX(상세표[주말·휴일 포함],$P2735)&amp;"")</f>
        <v/>
      </c>
      <c r="O2735">
        <f>IF($P2735="","",INDEX(상세표[월 넘김 포함],$P2735)&amp;"")</f>
        <v/>
      </c>
      <c r="P2735" s="4">
        <f>IFERROR(MATCH(2730,상세표[연속순번],0),"")</f>
        <v/>
      </c>
    </row>
    <row r="2736">
      <c r="A2736">
        <f>IF($P2736="","",INDEX(상세표[사번],$P2736)&amp;"")</f>
        <v/>
      </c>
      <c r="B2736">
        <f>IF($P2736="","",INDEX(상세표[성명],$P2736)&amp;"")</f>
        <v/>
      </c>
      <c r="C2736">
        <f>IF($P2736="","",INDEX(상세표[부서],$P2736)&amp;"")</f>
        <v/>
      </c>
      <c r="D2736">
        <f>IF($P2736="","",INDEX(상세표[직위],$P2736)&amp;"")</f>
        <v/>
      </c>
      <c r="E2736">
        <f>IF($P2736="","",IF(ISNUMBER(INDEX(상세표[시작],$P2736)),TEXT(INDEX(상세표[시작],$P2736),"yyyy-mm-dd hh:mm"),INDEX(상세표[시작],$P2736)&amp;""))</f>
        <v/>
      </c>
      <c r="F2736">
        <f>IF($P2736="","",IF(ISNUMBER(INDEX(상세표[블록종료],$P2736)),TEXT(INDEX(상세표[블록종료],$P2736),"yyyy-mm-dd hh:mm"),INDEX(상세표[블록종료],$P2736)&amp;""))</f>
        <v/>
      </c>
      <c r="G2736">
        <f>IF($P2736="","",CHOOSE(WEEKDAY(INDEX(상세표[시작],$P2736)),"일","월","화","수","목","금","토"))</f>
        <v/>
      </c>
      <c r="H2736">
        <f>IF($P2736="","",INDEX(상세표[연속 시간],$P2736))</f>
        <v/>
      </c>
      <c r="I2736">
        <f>IF($P2736="","",INDEX(상세표[기록 수],$P2736))</f>
        <v/>
      </c>
      <c r="J2736">
        <f>IF($P2736="","",INDEX(상세표[블록 06~07시],$P2736))</f>
        <v/>
      </c>
      <c r="K2736">
        <f>IF($P2736="","",INDEX(상세표[블록 07~18시],$P2736))</f>
        <v/>
      </c>
      <c r="L2736">
        <f>IF($P2736="","",INDEX(상세표[블록 18~22시],$P2736))</f>
        <v/>
      </c>
      <c r="M2736">
        <f>IF($P2736="","",INDEX(상세표[블록 22~06시],$P2736))</f>
        <v/>
      </c>
      <c r="N2736">
        <f>IF($P2736="","",INDEX(상세표[주말·휴일 포함],$P2736)&amp;"")</f>
        <v/>
      </c>
      <c r="O2736">
        <f>IF($P2736="","",INDEX(상세표[월 넘김 포함],$P2736)&amp;"")</f>
        <v/>
      </c>
      <c r="P2736" s="4">
        <f>IFERROR(MATCH(2731,상세표[연속순번],0),"")</f>
        <v/>
      </c>
    </row>
    <row r="2737">
      <c r="A2737">
        <f>IF($P2737="","",INDEX(상세표[사번],$P2737)&amp;"")</f>
        <v/>
      </c>
      <c r="B2737">
        <f>IF($P2737="","",INDEX(상세표[성명],$P2737)&amp;"")</f>
        <v/>
      </c>
      <c r="C2737">
        <f>IF($P2737="","",INDEX(상세표[부서],$P2737)&amp;"")</f>
        <v/>
      </c>
      <c r="D2737">
        <f>IF($P2737="","",INDEX(상세표[직위],$P2737)&amp;"")</f>
        <v/>
      </c>
      <c r="E2737">
        <f>IF($P2737="","",IF(ISNUMBER(INDEX(상세표[시작],$P2737)),TEXT(INDEX(상세표[시작],$P2737),"yyyy-mm-dd hh:mm"),INDEX(상세표[시작],$P2737)&amp;""))</f>
        <v/>
      </c>
      <c r="F2737">
        <f>IF($P2737="","",IF(ISNUMBER(INDEX(상세표[블록종료],$P2737)),TEXT(INDEX(상세표[블록종료],$P2737),"yyyy-mm-dd hh:mm"),INDEX(상세표[블록종료],$P2737)&amp;""))</f>
        <v/>
      </c>
      <c r="G2737">
        <f>IF($P2737="","",CHOOSE(WEEKDAY(INDEX(상세표[시작],$P2737)),"일","월","화","수","목","금","토"))</f>
        <v/>
      </c>
      <c r="H2737">
        <f>IF($P2737="","",INDEX(상세표[연속 시간],$P2737))</f>
        <v/>
      </c>
      <c r="I2737">
        <f>IF($P2737="","",INDEX(상세표[기록 수],$P2737))</f>
        <v/>
      </c>
      <c r="J2737">
        <f>IF($P2737="","",INDEX(상세표[블록 06~07시],$P2737))</f>
        <v/>
      </c>
      <c r="K2737">
        <f>IF($P2737="","",INDEX(상세표[블록 07~18시],$P2737))</f>
        <v/>
      </c>
      <c r="L2737">
        <f>IF($P2737="","",INDEX(상세표[블록 18~22시],$P2737))</f>
        <v/>
      </c>
      <c r="M2737">
        <f>IF($P2737="","",INDEX(상세표[블록 22~06시],$P2737))</f>
        <v/>
      </c>
      <c r="N2737">
        <f>IF($P2737="","",INDEX(상세표[주말·휴일 포함],$P2737)&amp;"")</f>
        <v/>
      </c>
      <c r="O2737">
        <f>IF($P2737="","",INDEX(상세표[월 넘김 포함],$P2737)&amp;"")</f>
        <v/>
      </c>
      <c r="P2737" s="4">
        <f>IFERROR(MATCH(2732,상세표[연속순번],0),"")</f>
        <v/>
      </c>
    </row>
    <row r="2738">
      <c r="A2738">
        <f>IF($P2738="","",INDEX(상세표[사번],$P2738)&amp;"")</f>
        <v/>
      </c>
      <c r="B2738">
        <f>IF($P2738="","",INDEX(상세표[성명],$P2738)&amp;"")</f>
        <v/>
      </c>
      <c r="C2738">
        <f>IF($P2738="","",INDEX(상세표[부서],$P2738)&amp;"")</f>
        <v/>
      </c>
      <c r="D2738">
        <f>IF($P2738="","",INDEX(상세표[직위],$P2738)&amp;"")</f>
        <v/>
      </c>
      <c r="E2738">
        <f>IF($P2738="","",IF(ISNUMBER(INDEX(상세표[시작],$P2738)),TEXT(INDEX(상세표[시작],$P2738),"yyyy-mm-dd hh:mm"),INDEX(상세표[시작],$P2738)&amp;""))</f>
        <v/>
      </c>
      <c r="F2738">
        <f>IF($P2738="","",IF(ISNUMBER(INDEX(상세표[블록종료],$P2738)),TEXT(INDEX(상세표[블록종료],$P2738),"yyyy-mm-dd hh:mm"),INDEX(상세표[블록종료],$P2738)&amp;""))</f>
        <v/>
      </c>
      <c r="G2738">
        <f>IF($P2738="","",CHOOSE(WEEKDAY(INDEX(상세표[시작],$P2738)),"일","월","화","수","목","금","토"))</f>
        <v/>
      </c>
      <c r="H2738">
        <f>IF($P2738="","",INDEX(상세표[연속 시간],$P2738))</f>
        <v/>
      </c>
      <c r="I2738">
        <f>IF($P2738="","",INDEX(상세표[기록 수],$P2738))</f>
        <v/>
      </c>
      <c r="J2738">
        <f>IF($P2738="","",INDEX(상세표[블록 06~07시],$P2738))</f>
        <v/>
      </c>
      <c r="K2738">
        <f>IF($P2738="","",INDEX(상세표[블록 07~18시],$P2738))</f>
        <v/>
      </c>
      <c r="L2738">
        <f>IF($P2738="","",INDEX(상세표[블록 18~22시],$P2738))</f>
        <v/>
      </c>
      <c r="M2738">
        <f>IF($P2738="","",INDEX(상세표[블록 22~06시],$P2738))</f>
        <v/>
      </c>
      <c r="N2738">
        <f>IF($P2738="","",INDEX(상세표[주말·휴일 포함],$P2738)&amp;"")</f>
        <v/>
      </c>
      <c r="O2738">
        <f>IF($P2738="","",INDEX(상세표[월 넘김 포함],$P2738)&amp;"")</f>
        <v/>
      </c>
      <c r="P2738" s="4">
        <f>IFERROR(MATCH(2733,상세표[연속순번],0),"")</f>
        <v/>
      </c>
    </row>
    <row r="2739">
      <c r="A2739">
        <f>IF($P2739="","",INDEX(상세표[사번],$P2739)&amp;"")</f>
        <v/>
      </c>
      <c r="B2739">
        <f>IF($P2739="","",INDEX(상세표[성명],$P2739)&amp;"")</f>
        <v/>
      </c>
      <c r="C2739">
        <f>IF($P2739="","",INDEX(상세표[부서],$P2739)&amp;"")</f>
        <v/>
      </c>
      <c r="D2739">
        <f>IF($P2739="","",INDEX(상세표[직위],$P2739)&amp;"")</f>
        <v/>
      </c>
      <c r="E2739">
        <f>IF($P2739="","",IF(ISNUMBER(INDEX(상세표[시작],$P2739)),TEXT(INDEX(상세표[시작],$P2739),"yyyy-mm-dd hh:mm"),INDEX(상세표[시작],$P2739)&amp;""))</f>
        <v/>
      </c>
      <c r="F2739">
        <f>IF($P2739="","",IF(ISNUMBER(INDEX(상세표[블록종료],$P2739)),TEXT(INDEX(상세표[블록종료],$P2739),"yyyy-mm-dd hh:mm"),INDEX(상세표[블록종료],$P2739)&amp;""))</f>
        <v/>
      </c>
      <c r="G2739">
        <f>IF($P2739="","",CHOOSE(WEEKDAY(INDEX(상세표[시작],$P2739)),"일","월","화","수","목","금","토"))</f>
        <v/>
      </c>
      <c r="H2739">
        <f>IF($P2739="","",INDEX(상세표[연속 시간],$P2739))</f>
        <v/>
      </c>
      <c r="I2739">
        <f>IF($P2739="","",INDEX(상세표[기록 수],$P2739))</f>
        <v/>
      </c>
      <c r="J2739">
        <f>IF($P2739="","",INDEX(상세표[블록 06~07시],$P2739))</f>
        <v/>
      </c>
      <c r="K2739">
        <f>IF($P2739="","",INDEX(상세표[블록 07~18시],$P2739))</f>
        <v/>
      </c>
      <c r="L2739">
        <f>IF($P2739="","",INDEX(상세표[블록 18~22시],$P2739))</f>
        <v/>
      </c>
      <c r="M2739">
        <f>IF($P2739="","",INDEX(상세표[블록 22~06시],$P2739))</f>
        <v/>
      </c>
      <c r="N2739">
        <f>IF($P2739="","",INDEX(상세표[주말·휴일 포함],$P2739)&amp;"")</f>
        <v/>
      </c>
      <c r="O2739">
        <f>IF($P2739="","",INDEX(상세표[월 넘김 포함],$P2739)&amp;"")</f>
        <v/>
      </c>
      <c r="P2739" s="4">
        <f>IFERROR(MATCH(2734,상세표[연속순번],0),"")</f>
        <v/>
      </c>
    </row>
    <row r="2740">
      <c r="A2740">
        <f>IF($P2740="","",INDEX(상세표[사번],$P2740)&amp;"")</f>
        <v/>
      </c>
      <c r="B2740">
        <f>IF($P2740="","",INDEX(상세표[성명],$P2740)&amp;"")</f>
        <v/>
      </c>
      <c r="C2740">
        <f>IF($P2740="","",INDEX(상세표[부서],$P2740)&amp;"")</f>
        <v/>
      </c>
      <c r="D2740">
        <f>IF($P2740="","",INDEX(상세표[직위],$P2740)&amp;"")</f>
        <v/>
      </c>
      <c r="E2740">
        <f>IF($P2740="","",IF(ISNUMBER(INDEX(상세표[시작],$P2740)),TEXT(INDEX(상세표[시작],$P2740),"yyyy-mm-dd hh:mm"),INDEX(상세표[시작],$P2740)&amp;""))</f>
        <v/>
      </c>
      <c r="F2740">
        <f>IF($P2740="","",IF(ISNUMBER(INDEX(상세표[블록종료],$P2740)),TEXT(INDEX(상세표[블록종료],$P2740),"yyyy-mm-dd hh:mm"),INDEX(상세표[블록종료],$P2740)&amp;""))</f>
        <v/>
      </c>
      <c r="G2740">
        <f>IF($P2740="","",CHOOSE(WEEKDAY(INDEX(상세표[시작],$P2740)),"일","월","화","수","목","금","토"))</f>
        <v/>
      </c>
      <c r="H2740">
        <f>IF($P2740="","",INDEX(상세표[연속 시간],$P2740))</f>
        <v/>
      </c>
      <c r="I2740">
        <f>IF($P2740="","",INDEX(상세표[기록 수],$P2740))</f>
        <v/>
      </c>
      <c r="J2740">
        <f>IF($P2740="","",INDEX(상세표[블록 06~07시],$P2740))</f>
        <v/>
      </c>
      <c r="K2740">
        <f>IF($P2740="","",INDEX(상세표[블록 07~18시],$P2740))</f>
        <v/>
      </c>
      <c r="L2740">
        <f>IF($P2740="","",INDEX(상세표[블록 18~22시],$P2740))</f>
        <v/>
      </c>
      <c r="M2740">
        <f>IF($P2740="","",INDEX(상세표[블록 22~06시],$P2740))</f>
        <v/>
      </c>
      <c r="N2740">
        <f>IF($P2740="","",INDEX(상세표[주말·휴일 포함],$P2740)&amp;"")</f>
        <v/>
      </c>
      <c r="O2740">
        <f>IF($P2740="","",INDEX(상세표[월 넘김 포함],$P2740)&amp;"")</f>
        <v/>
      </c>
      <c r="P2740" s="4">
        <f>IFERROR(MATCH(2735,상세표[연속순번],0),"")</f>
        <v/>
      </c>
    </row>
    <row r="2741">
      <c r="A2741">
        <f>IF($P2741="","",INDEX(상세표[사번],$P2741)&amp;"")</f>
        <v/>
      </c>
      <c r="B2741">
        <f>IF($P2741="","",INDEX(상세표[성명],$P2741)&amp;"")</f>
        <v/>
      </c>
      <c r="C2741">
        <f>IF($P2741="","",INDEX(상세표[부서],$P2741)&amp;"")</f>
        <v/>
      </c>
      <c r="D2741">
        <f>IF($P2741="","",INDEX(상세표[직위],$P2741)&amp;"")</f>
        <v/>
      </c>
      <c r="E2741">
        <f>IF($P2741="","",IF(ISNUMBER(INDEX(상세표[시작],$P2741)),TEXT(INDEX(상세표[시작],$P2741),"yyyy-mm-dd hh:mm"),INDEX(상세표[시작],$P2741)&amp;""))</f>
        <v/>
      </c>
      <c r="F2741">
        <f>IF($P2741="","",IF(ISNUMBER(INDEX(상세표[블록종료],$P2741)),TEXT(INDEX(상세표[블록종료],$P2741),"yyyy-mm-dd hh:mm"),INDEX(상세표[블록종료],$P2741)&amp;""))</f>
        <v/>
      </c>
      <c r="G2741">
        <f>IF($P2741="","",CHOOSE(WEEKDAY(INDEX(상세표[시작],$P2741)),"일","월","화","수","목","금","토"))</f>
        <v/>
      </c>
      <c r="H2741">
        <f>IF($P2741="","",INDEX(상세표[연속 시간],$P2741))</f>
        <v/>
      </c>
      <c r="I2741">
        <f>IF($P2741="","",INDEX(상세표[기록 수],$P2741))</f>
        <v/>
      </c>
      <c r="J2741">
        <f>IF($P2741="","",INDEX(상세표[블록 06~07시],$P2741))</f>
        <v/>
      </c>
      <c r="K2741">
        <f>IF($P2741="","",INDEX(상세표[블록 07~18시],$P2741))</f>
        <v/>
      </c>
      <c r="L2741">
        <f>IF($P2741="","",INDEX(상세표[블록 18~22시],$P2741))</f>
        <v/>
      </c>
      <c r="M2741">
        <f>IF($P2741="","",INDEX(상세표[블록 22~06시],$P2741))</f>
        <v/>
      </c>
      <c r="N2741">
        <f>IF($P2741="","",INDEX(상세표[주말·휴일 포함],$P2741)&amp;"")</f>
        <v/>
      </c>
      <c r="O2741">
        <f>IF($P2741="","",INDEX(상세표[월 넘김 포함],$P2741)&amp;"")</f>
        <v/>
      </c>
      <c r="P2741" s="4">
        <f>IFERROR(MATCH(2736,상세표[연속순번],0),"")</f>
        <v/>
      </c>
    </row>
    <row r="2742">
      <c r="A2742">
        <f>IF($P2742="","",INDEX(상세표[사번],$P2742)&amp;"")</f>
        <v/>
      </c>
      <c r="B2742">
        <f>IF($P2742="","",INDEX(상세표[성명],$P2742)&amp;"")</f>
        <v/>
      </c>
      <c r="C2742">
        <f>IF($P2742="","",INDEX(상세표[부서],$P2742)&amp;"")</f>
        <v/>
      </c>
      <c r="D2742">
        <f>IF($P2742="","",INDEX(상세표[직위],$P2742)&amp;"")</f>
        <v/>
      </c>
      <c r="E2742">
        <f>IF($P2742="","",IF(ISNUMBER(INDEX(상세표[시작],$P2742)),TEXT(INDEX(상세표[시작],$P2742),"yyyy-mm-dd hh:mm"),INDEX(상세표[시작],$P2742)&amp;""))</f>
        <v/>
      </c>
      <c r="F2742">
        <f>IF($P2742="","",IF(ISNUMBER(INDEX(상세표[블록종료],$P2742)),TEXT(INDEX(상세표[블록종료],$P2742),"yyyy-mm-dd hh:mm"),INDEX(상세표[블록종료],$P2742)&amp;""))</f>
        <v/>
      </c>
      <c r="G2742">
        <f>IF($P2742="","",CHOOSE(WEEKDAY(INDEX(상세표[시작],$P2742)),"일","월","화","수","목","금","토"))</f>
        <v/>
      </c>
      <c r="H2742">
        <f>IF($P2742="","",INDEX(상세표[연속 시간],$P2742))</f>
        <v/>
      </c>
      <c r="I2742">
        <f>IF($P2742="","",INDEX(상세표[기록 수],$P2742))</f>
        <v/>
      </c>
      <c r="J2742">
        <f>IF($P2742="","",INDEX(상세표[블록 06~07시],$P2742))</f>
        <v/>
      </c>
      <c r="K2742">
        <f>IF($P2742="","",INDEX(상세표[블록 07~18시],$P2742))</f>
        <v/>
      </c>
      <c r="L2742">
        <f>IF($P2742="","",INDEX(상세표[블록 18~22시],$P2742))</f>
        <v/>
      </c>
      <c r="M2742">
        <f>IF($P2742="","",INDEX(상세표[블록 22~06시],$P2742))</f>
        <v/>
      </c>
      <c r="N2742">
        <f>IF($P2742="","",INDEX(상세표[주말·휴일 포함],$P2742)&amp;"")</f>
        <v/>
      </c>
      <c r="O2742">
        <f>IF($P2742="","",INDEX(상세표[월 넘김 포함],$P2742)&amp;"")</f>
        <v/>
      </c>
      <c r="P2742" s="4">
        <f>IFERROR(MATCH(2737,상세표[연속순번],0),"")</f>
        <v/>
      </c>
    </row>
    <row r="2743">
      <c r="A2743">
        <f>IF($P2743="","",INDEX(상세표[사번],$P2743)&amp;"")</f>
        <v/>
      </c>
      <c r="B2743">
        <f>IF($P2743="","",INDEX(상세표[성명],$P2743)&amp;"")</f>
        <v/>
      </c>
      <c r="C2743">
        <f>IF($P2743="","",INDEX(상세표[부서],$P2743)&amp;"")</f>
        <v/>
      </c>
      <c r="D2743">
        <f>IF($P2743="","",INDEX(상세표[직위],$P2743)&amp;"")</f>
        <v/>
      </c>
      <c r="E2743">
        <f>IF($P2743="","",IF(ISNUMBER(INDEX(상세표[시작],$P2743)),TEXT(INDEX(상세표[시작],$P2743),"yyyy-mm-dd hh:mm"),INDEX(상세표[시작],$P2743)&amp;""))</f>
        <v/>
      </c>
      <c r="F2743">
        <f>IF($P2743="","",IF(ISNUMBER(INDEX(상세표[블록종료],$P2743)),TEXT(INDEX(상세표[블록종료],$P2743),"yyyy-mm-dd hh:mm"),INDEX(상세표[블록종료],$P2743)&amp;""))</f>
        <v/>
      </c>
      <c r="G2743">
        <f>IF($P2743="","",CHOOSE(WEEKDAY(INDEX(상세표[시작],$P2743)),"일","월","화","수","목","금","토"))</f>
        <v/>
      </c>
      <c r="H2743">
        <f>IF($P2743="","",INDEX(상세표[연속 시간],$P2743))</f>
        <v/>
      </c>
      <c r="I2743">
        <f>IF($P2743="","",INDEX(상세표[기록 수],$P2743))</f>
        <v/>
      </c>
      <c r="J2743">
        <f>IF($P2743="","",INDEX(상세표[블록 06~07시],$P2743))</f>
        <v/>
      </c>
      <c r="K2743">
        <f>IF($P2743="","",INDEX(상세표[블록 07~18시],$P2743))</f>
        <v/>
      </c>
      <c r="L2743">
        <f>IF($P2743="","",INDEX(상세표[블록 18~22시],$P2743))</f>
        <v/>
      </c>
      <c r="M2743">
        <f>IF($P2743="","",INDEX(상세표[블록 22~06시],$P2743))</f>
        <v/>
      </c>
      <c r="N2743">
        <f>IF($P2743="","",INDEX(상세표[주말·휴일 포함],$P2743)&amp;"")</f>
        <v/>
      </c>
      <c r="O2743">
        <f>IF($P2743="","",INDEX(상세표[월 넘김 포함],$P2743)&amp;"")</f>
        <v/>
      </c>
      <c r="P2743" s="4">
        <f>IFERROR(MATCH(2738,상세표[연속순번],0),"")</f>
        <v/>
      </c>
    </row>
    <row r="2744">
      <c r="A2744">
        <f>IF($P2744="","",INDEX(상세표[사번],$P2744)&amp;"")</f>
        <v/>
      </c>
      <c r="B2744">
        <f>IF($P2744="","",INDEX(상세표[성명],$P2744)&amp;"")</f>
        <v/>
      </c>
      <c r="C2744">
        <f>IF($P2744="","",INDEX(상세표[부서],$P2744)&amp;"")</f>
        <v/>
      </c>
      <c r="D2744">
        <f>IF($P2744="","",INDEX(상세표[직위],$P2744)&amp;"")</f>
        <v/>
      </c>
      <c r="E2744">
        <f>IF($P2744="","",IF(ISNUMBER(INDEX(상세표[시작],$P2744)),TEXT(INDEX(상세표[시작],$P2744),"yyyy-mm-dd hh:mm"),INDEX(상세표[시작],$P2744)&amp;""))</f>
        <v/>
      </c>
      <c r="F2744">
        <f>IF($P2744="","",IF(ISNUMBER(INDEX(상세표[블록종료],$P2744)),TEXT(INDEX(상세표[블록종료],$P2744),"yyyy-mm-dd hh:mm"),INDEX(상세표[블록종료],$P2744)&amp;""))</f>
        <v/>
      </c>
      <c r="G2744">
        <f>IF($P2744="","",CHOOSE(WEEKDAY(INDEX(상세표[시작],$P2744)),"일","월","화","수","목","금","토"))</f>
        <v/>
      </c>
      <c r="H2744">
        <f>IF($P2744="","",INDEX(상세표[연속 시간],$P2744))</f>
        <v/>
      </c>
      <c r="I2744">
        <f>IF($P2744="","",INDEX(상세표[기록 수],$P2744))</f>
        <v/>
      </c>
      <c r="J2744">
        <f>IF($P2744="","",INDEX(상세표[블록 06~07시],$P2744))</f>
        <v/>
      </c>
      <c r="K2744">
        <f>IF($P2744="","",INDEX(상세표[블록 07~18시],$P2744))</f>
        <v/>
      </c>
      <c r="L2744">
        <f>IF($P2744="","",INDEX(상세표[블록 18~22시],$P2744))</f>
        <v/>
      </c>
      <c r="M2744">
        <f>IF($P2744="","",INDEX(상세표[블록 22~06시],$P2744))</f>
        <v/>
      </c>
      <c r="N2744">
        <f>IF($P2744="","",INDEX(상세표[주말·휴일 포함],$P2744)&amp;"")</f>
        <v/>
      </c>
      <c r="O2744">
        <f>IF($P2744="","",INDEX(상세표[월 넘김 포함],$P2744)&amp;"")</f>
        <v/>
      </c>
      <c r="P2744" s="4">
        <f>IFERROR(MATCH(2739,상세표[연속순번],0),"")</f>
        <v/>
      </c>
    </row>
    <row r="2745">
      <c r="A2745">
        <f>IF($P2745="","",INDEX(상세표[사번],$P2745)&amp;"")</f>
        <v/>
      </c>
      <c r="B2745">
        <f>IF($P2745="","",INDEX(상세표[성명],$P2745)&amp;"")</f>
        <v/>
      </c>
      <c r="C2745">
        <f>IF($P2745="","",INDEX(상세표[부서],$P2745)&amp;"")</f>
        <v/>
      </c>
      <c r="D2745">
        <f>IF($P2745="","",INDEX(상세표[직위],$P2745)&amp;"")</f>
        <v/>
      </c>
      <c r="E2745">
        <f>IF($P2745="","",IF(ISNUMBER(INDEX(상세표[시작],$P2745)),TEXT(INDEX(상세표[시작],$P2745),"yyyy-mm-dd hh:mm"),INDEX(상세표[시작],$P2745)&amp;""))</f>
        <v/>
      </c>
      <c r="F2745">
        <f>IF($P2745="","",IF(ISNUMBER(INDEX(상세표[블록종료],$P2745)),TEXT(INDEX(상세표[블록종료],$P2745),"yyyy-mm-dd hh:mm"),INDEX(상세표[블록종료],$P2745)&amp;""))</f>
        <v/>
      </c>
      <c r="G2745">
        <f>IF($P2745="","",CHOOSE(WEEKDAY(INDEX(상세표[시작],$P2745)),"일","월","화","수","목","금","토"))</f>
        <v/>
      </c>
      <c r="H2745">
        <f>IF($P2745="","",INDEX(상세표[연속 시간],$P2745))</f>
        <v/>
      </c>
      <c r="I2745">
        <f>IF($P2745="","",INDEX(상세표[기록 수],$P2745))</f>
        <v/>
      </c>
      <c r="J2745">
        <f>IF($P2745="","",INDEX(상세표[블록 06~07시],$P2745))</f>
        <v/>
      </c>
      <c r="K2745">
        <f>IF($P2745="","",INDEX(상세표[블록 07~18시],$P2745))</f>
        <v/>
      </c>
      <c r="L2745">
        <f>IF($P2745="","",INDEX(상세표[블록 18~22시],$P2745))</f>
        <v/>
      </c>
      <c r="M2745">
        <f>IF($P2745="","",INDEX(상세표[블록 22~06시],$P2745))</f>
        <v/>
      </c>
      <c r="N2745">
        <f>IF($P2745="","",INDEX(상세표[주말·휴일 포함],$P2745)&amp;"")</f>
        <v/>
      </c>
      <c r="O2745">
        <f>IF($P2745="","",INDEX(상세표[월 넘김 포함],$P2745)&amp;"")</f>
        <v/>
      </c>
      <c r="P2745" s="4">
        <f>IFERROR(MATCH(2740,상세표[연속순번],0),"")</f>
        <v/>
      </c>
    </row>
    <row r="2746">
      <c r="A2746">
        <f>IF($P2746="","",INDEX(상세표[사번],$P2746)&amp;"")</f>
        <v/>
      </c>
      <c r="B2746">
        <f>IF($P2746="","",INDEX(상세표[성명],$P2746)&amp;"")</f>
        <v/>
      </c>
      <c r="C2746">
        <f>IF($P2746="","",INDEX(상세표[부서],$P2746)&amp;"")</f>
        <v/>
      </c>
      <c r="D2746">
        <f>IF($P2746="","",INDEX(상세표[직위],$P2746)&amp;"")</f>
        <v/>
      </c>
      <c r="E2746">
        <f>IF($P2746="","",IF(ISNUMBER(INDEX(상세표[시작],$P2746)),TEXT(INDEX(상세표[시작],$P2746),"yyyy-mm-dd hh:mm"),INDEX(상세표[시작],$P2746)&amp;""))</f>
        <v/>
      </c>
      <c r="F2746">
        <f>IF($P2746="","",IF(ISNUMBER(INDEX(상세표[블록종료],$P2746)),TEXT(INDEX(상세표[블록종료],$P2746),"yyyy-mm-dd hh:mm"),INDEX(상세표[블록종료],$P2746)&amp;""))</f>
        <v/>
      </c>
      <c r="G2746">
        <f>IF($P2746="","",CHOOSE(WEEKDAY(INDEX(상세표[시작],$P2746)),"일","월","화","수","목","금","토"))</f>
        <v/>
      </c>
      <c r="H2746">
        <f>IF($P2746="","",INDEX(상세표[연속 시간],$P2746))</f>
        <v/>
      </c>
      <c r="I2746">
        <f>IF($P2746="","",INDEX(상세표[기록 수],$P2746))</f>
        <v/>
      </c>
      <c r="J2746">
        <f>IF($P2746="","",INDEX(상세표[블록 06~07시],$P2746))</f>
        <v/>
      </c>
      <c r="K2746">
        <f>IF($P2746="","",INDEX(상세표[블록 07~18시],$P2746))</f>
        <v/>
      </c>
      <c r="L2746">
        <f>IF($P2746="","",INDEX(상세표[블록 18~22시],$P2746))</f>
        <v/>
      </c>
      <c r="M2746">
        <f>IF($P2746="","",INDEX(상세표[블록 22~06시],$P2746))</f>
        <v/>
      </c>
      <c r="N2746">
        <f>IF($P2746="","",INDEX(상세표[주말·휴일 포함],$P2746)&amp;"")</f>
        <v/>
      </c>
      <c r="O2746">
        <f>IF($P2746="","",INDEX(상세표[월 넘김 포함],$P2746)&amp;"")</f>
        <v/>
      </c>
      <c r="P2746" s="4">
        <f>IFERROR(MATCH(2741,상세표[연속순번],0),"")</f>
        <v/>
      </c>
    </row>
    <row r="2747">
      <c r="A2747">
        <f>IF($P2747="","",INDEX(상세표[사번],$P2747)&amp;"")</f>
        <v/>
      </c>
      <c r="B2747">
        <f>IF($P2747="","",INDEX(상세표[성명],$P2747)&amp;"")</f>
        <v/>
      </c>
      <c r="C2747">
        <f>IF($P2747="","",INDEX(상세표[부서],$P2747)&amp;"")</f>
        <v/>
      </c>
      <c r="D2747">
        <f>IF($P2747="","",INDEX(상세표[직위],$P2747)&amp;"")</f>
        <v/>
      </c>
      <c r="E2747">
        <f>IF($P2747="","",IF(ISNUMBER(INDEX(상세표[시작],$P2747)),TEXT(INDEX(상세표[시작],$P2747),"yyyy-mm-dd hh:mm"),INDEX(상세표[시작],$P2747)&amp;""))</f>
        <v/>
      </c>
      <c r="F2747">
        <f>IF($P2747="","",IF(ISNUMBER(INDEX(상세표[블록종료],$P2747)),TEXT(INDEX(상세표[블록종료],$P2747),"yyyy-mm-dd hh:mm"),INDEX(상세표[블록종료],$P2747)&amp;""))</f>
        <v/>
      </c>
      <c r="G2747">
        <f>IF($P2747="","",CHOOSE(WEEKDAY(INDEX(상세표[시작],$P2747)),"일","월","화","수","목","금","토"))</f>
        <v/>
      </c>
      <c r="H2747">
        <f>IF($P2747="","",INDEX(상세표[연속 시간],$P2747))</f>
        <v/>
      </c>
      <c r="I2747">
        <f>IF($P2747="","",INDEX(상세표[기록 수],$P2747))</f>
        <v/>
      </c>
      <c r="J2747">
        <f>IF($P2747="","",INDEX(상세표[블록 06~07시],$P2747))</f>
        <v/>
      </c>
      <c r="K2747">
        <f>IF($P2747="","",INDEX(상세표[블록 07~18시],$P2747))</f>
        <v/>
      </c>
      <c r="L2747">
        <f>IF($P2747="","",INDEX(상세표[블록 18~22시],$P2747))</f>
        <v/>
      </c>
      <c r="M2747">
        <f>IF($P2747="","",INDEX(상세표[블록 22~06시],$P2747))</f>
        <v/>
      </c>
      <c r="N2747">
        <f>IF($P2747="","",INDEX(상세표[주말·휴일 포함],$P2747)&amp;"")</f>
        <v/>
      </c>
      <c r="O2747">
        <f>IF($P2747="","",INDEX(상세표[월 넘김 포함],$P2747)&amp;"")</f>
        <v/>
      </c>
      <c r="P2747" s="4">
        <f>IFERROR(MATCH(2742,상세표[연속순번],0),"")</f>
        <v/>
      </c>
    </row>
    <row r="2748">
      <c r="A2748">
        <f>IF($P2748="","",INDEX(상세표[사번],$P2748)&amp;"")</f>
        <v/>
      </c>
      <c r="B2748">
        <f>IF($P2748="","",INDEX(상세표[성명],$P2748)&amp;"")</f>
        <v/>
      </c>
      <c r="C2748">
        <f>IF($P2748="","",INDEX(상세표[부서],$P2748)&amp;"")</f>
        <v/>
      </c>
      <c r="D2748">
        <f>IF($P2748="","",INDEX(상세표[직위],$P2748)&amp;"")</f>
        <v/>
      </c>
      <c r="E2748">
        <f>IF($P2748="","",IF(ISNUMBER(INDEX(상세표[시작],$P2748)),TEXT(INDEX(상세표[시작],$P2748),"yyyy-mm-dd hh:mm"),INDEX(상세표[시작],$P2748)&amp;""))</f>
        <v/>
      </c>
      <c r="F2748">
        <f>IF($P2748="","",IF(ISNUMBER(INDEX(상세표[블록종료],$P2748)),TEXT(INDEX(상세표[블록종료],$P2748),"yyyy-mm-dd hh:mm"),INDEX(상세표[블록종료],$P2748)&amp;""))</f>
        <v/>
      </c>
      <c r="G2748">
        <f>IF($P2748="","",CHOOSE(WEEKDAY(INDEX(상세표[시작],$P2748)),"일","월","화","수","목","금","토"))</f>
        <v/>
      </c>
      <c r="H2748">
        <f>IF($P2748="","",INDEX(상세표[연속 시간],$P2748))</f>
        <v/>
      </c>
      <c r="I2748">
        <f>IF($P2748="","",INDEX(상세표[기록 수],$P2748))</f>
        <v/>
      </c>
      <c r="J2748">
        <f>IF($P2748="","",INDEX(상세표[블록 06~07시],$P2748))</f>
        <v/>
      </c>
      <c r="K2748">
        <f>IF($P2748="","",INDEX(상세표[블록 07~18시],$P2748))</f>
        <v/>
      </c>
      <c r="L2748">
        <f>IF($P2748="","",INDEX(상세표[블록 18~22시],$P2748))</f>
        <v/>
      </c>
      <c r="M2748">
        <f>IF($P2748="","",INDEX(상세표[블록 22~06시],$P2748))</f>
        <v/>
      </c>
      <c r="N2748">
        <f>IF($P2748="","",INDEX(상세표[주말·휴일 포함],$P2748)&amp;"")</f>
        <v/>
      </c>
      <c r="O2748">
        <f>IF($P2748="","",INDEX(상세표[월 넘김 포함],$P2748)&amp;"")</f>
        <v/>
      </c>
      <c r="P2748" s="4">
        <f>IFERROR(MATCH(2743,상세표[연속순번],0),"")</f>
        <v/>
      </c>
    </row>
    <row r="2749">
      <c r="A2749">
        <f>IF($P2749="","",INDEX(상세표[사번],$P2749)&amp;"")</f>
        <v/>
      </c>
      <c r="B2749">
        <f>IF($P2749="","",INDEX(상세표[성명],$P2749)&amp;"")</f>
        <v/>
      </c>
      <c r="C2749">
        <f>IF($P2749="","",INDEX(상세표[부서],$P2749)&amp;"")</f>
        <v/>
      </c>
      <c r="D2749">
        <f>IF($P2749="","",INDEX(상세표[직위],$P2749)&amp;"")</f>
        <v/>
      </c>
      <c r="E2749">
        <f>IF($P2749="","",IF(ISNUMBER(INDEX(상세표[시작],$P2749)),TEXT(INDEX(상세표[시작],$P2749),"yyyy-mm-dd hh:mm"),INDEX(상세표[시작],$P2749)&amp;""))</f>
        <v/>
      </c>
      <c r="F2749">
        <f>IF($P2749="","",IF(ISNUMBER(INDEX(상세표[블록종료],$P2749)),TEXT(INDEX(상세표[블록종료],$P2749),"yyyy-mm-dd hh:mm"),INDEX(상세표[블록종료],$P2749)&amp;""))</f>
        <v/>
      </c>
      <c r="G2749">
        <f>IF($P2749="","",CHOOSE(WEEKDAY(INDEX(상세표[시작],$P2749)),"일","월","화","수","목","금","토"))</f>
        <v/>
      </c>
      <c r="H2749">
        <f>IF($P2749="","",INDEX(상세표[연속 시간],$P2749))</f>
        <v/>
      </c>
      <c r="I2749">
        <f>IF($P2749="","",INDEX(상세표[기록 수],$P2749))</f>
        <v/>
      </c>
      <c r="J2749">
        <f>IF($P2749="","",INDEX(상세표[블록 06~07시],$P2749))</f>
        <v/>
      </c>
      <c r="K2749">
        <f>IF($P2749="","",INDEX(상세표[블록 07~18시],$P2749))</f>
        <v/>
      </c>
      <c r="L2749">
        <f>IF($P2749="","",INDEX(상세표[블록 18~22시],$P2749))</f>
        <v/>
      </c>
      <c r="M2749">
        <f>IF($P2749="","",INDEX(상세표[블록 22~06시],$P2749))</f>
        <v/>
      </c>
      <c r="N2749">
        <f>IF($P2749="","",INDEX(상세표[주말·휴일 포함],$P2749)&amp;"")</f>
        <v/>
      </c>
      <c r="O2749">
        <f>IF($P2749="","",INDEX(상세표[월 넘김 포함],$P2749)&amp;"")</f>
        <v/>
      </c>
      <c r="P2749" s="4">
        <f>IFERROR(MATCH(2744,상세표[연속순번],0),"")</f>
        <v/>
      </c>
    </row>
    <row r="2750">
      <c r="A2750">
        <f>IF($P2750="","",INDEX(상세표[사번],$P2750)&amp;"")</f>
        <v/>
      </c>
      <c r="B2750">
        <f>IF($P2750="","",INDEX(상세표[성명],$P2750)&amp;"")</f>
        <v/>
      </c>
      <c r="C2750">
        <f>IF($P2750="","",INDEX(상세표[부서],$P2750)&amp;"")</f>
        <v/>
      </c>
      <c r="D2750">
        <f>IF($P2750="","",INDEX(상세표[직위],$P2750)&amp;"")</f>
        <v/>
      </c>
      <c r="E2750">
        <f>IF($P2750="","",IF(ISNUMBER(INDEX(상세표[시작],$P2750)),TEXT(INDEX(상세표[시작],$P2750),"yyyy-mm-dd hh:mm"),INDEX(상세표[시작],$P2750)&amp;""))</f>
        <v/>
      </c>
      <c r="F2750">
        <f>IF($P2750="","",IF(ISNUMBER(INDEX(상세표[블록종료],$P2750)),TEXT(INDEX(상세표[블록종료],$P2750),"yyyy-mm-dd hh:mm"),INDEX(상세표[블록종료],$P2750)&amp;""))</f>
        <v/>
      </c>
      <c r="G2750">
        <f>IF($P2750="","",CHOOSE(WEEKDAY(INDEX(상세표[시작],$P2750)),"일","월","화","수","목","금","토"))</f>
        <v/>
      </c>
      <c r="H2750">
        <f>IF($P2750="","",INDEX(상세표[연속 시간],$P2750))</f>
        <v/>
      </c>
      <c r="I2750">
        <f>IF($P2750="","",INDEX(상세표[기록 수],$P2750))</f>
        <v/>
      </c>
      <c r="J2750">
        <f>IF($P2750="","",INDEX(상세표[블록 06~07시],$P2750))</f>
        <v/>
      </c>
      <c r="K2750">
        <f>IF($P2750="","",INDEX(상세표[블록 07~18시],$P2750))</f>
        <v/>
      </c>
      <c r="L2750">
        <f>IF($P2750="","",INDEX(상세표[블록 18~22시],$P2750))</f>
        <v/>
      </c>
      <c r="M2750">
        <f>IF($P2750="","",INDEX(상세표[블록 22~06시],$P2750))</f>
        <v/>
      </c>
      <c r="N2750">
        <f>IF($P2750="","",INDEX(상세표[주말·휴일 포함],$P2750)&amp;"")</f>
        <v/>
      </c>
      <c r="O2750">
        <f>IF($P2750="","",INDEX(상세표[월 넘김 포함],$P2750)&amp;"")</f>
        <v/>
      </c>
      <c r="P2750" s="4">
        <f>IFERROR(MATCH(2745,상세표[연속순번],0),"")</f>
        <v/>
      </c>
    </row>
    <row r="2751">
      <c r="A2751">
        <f>IF($P2751="","",INDEX(상세표[사번],$P2751)&amp;"")</f>
        <v/>
      </c>
      <c r="B2751">
        <f>IF($P2751="","",INDEX(상세표[성명],$P2751)&amp;"")</f>
        <v/>
      </c>
      <c r="C2751">
        <f>IF($P2751="","",INDEX(상세표[부서],$P2751)&amp;"")</f>
        <v/>
      </c>
      <c r="D2751">
        <f>IF($P2751="","",INDEX(상세표[직위],$P2751)&amp;"")</f>
        <v/>
      </c>
      <c r="E2751">
        <f>IF($P2751="","",IF(ISNUMBER(INDEX(상세표[시작],$P2751)),TEXT(INDEX(상세표[시작],$P2751),"yyyy-mm-dd hh:mm"),INDEX(상세표[시작],$P2751)&amp;""))</f>
        <v/>
      </c>
      <c r="F2751">
        <f>IF($P2751="","",IF(ISNUMBER(INDEX(상세표[블록종료],$P2751)),TEXT(INDEX(상세표[블록종료],$P2751),"yyyy-mm-dd hh:mm"),INDEX(상세표[블록종료],$P2751)&amp;""))</f>
        <v/>
      </c>
      <c r="G2751">
        <f>IF($P2751="","",CHOOSE(WEEKDAY(INDEX(상세표[시작],$P2751)),"일","월","화","수","목","금","토"))</f>
        <v/>
      </c>
      <c r="H2751">
        <f>IF($P2751="","",INDEX(상세표[연속 시간],$P2751))</f>
        <v/>
      </c>
      <c r="I2751">
        <f>IF($P2751="","",INDEX(상세표[기록 수],$P2751))</f>
        <v/>
      </c>
      <c r="J2751">
        <f>IF($P2751="","",INDEX(상세표[블록 06~07시],$P2751))</f>
        <v/>
      </c>
      <c r="K2751">
        <f>IF($P2751="","",INDEX(상세표[블록 07~18시],$P2751))</f>
        <v/>
      </c>
      <c r="L2751">
        <f>IF($P2751="","",INDEX(상세표[블록 18~22시],$P2751))</f>
        <v/>
      </c>
      <c r="M2751">
        <f>IF($P2751="","",INDEX(상세표[블록 22~06시],$P2751))</f>
        <v/>
      </c>
      <c r="N2751">
        <f>IF($P2751="","",INDEX(상세표[주말·휴일 포함],$P2751)&amp;"")</f>
        <v/>
      </c>
      <c r="O2751">
        <f>IF($P2751="","",INDEX(상세표[월 넘김 포함],$P2751)&amp;"")</f>
        <v/>
      </c>
      <c r="P2751" s="4">
        <f>IFERROR(MATCH(2746,상세표[연속순번],0),"")</f>
        <v/>
      </c>
    </row>
    <row r="2752">
      <c r="A2752">
        <f>IF($P2752="","",INDEX(상세표[사번],$P2752)&amp;"")</f>
        <v/>
      </c>
      <c r="B2752">
        <f>IF($P2752="","",INDEX(상세표[성명],$P2752)&amp;"")</f>
        <v/>
      </c>
      <c r="C2752">
        <f>IF($P2752="","",INDEX(상세표[부서],$P2752)&amp;"")</f>
        <v/>
      </c>
      <c r="D2752">
        <f>IF($P2752="","",INDEX(상세표[직위],$P2752)&amp;"")</f>
        <v/>
      </c>
      <c r="E2752">
        <f>IF($P2752="","",IF(ISNUMBER(INDEX(상세표[시작],$P2752)),TEXT(INDEX(상세표[시작],$P2752),"yyyy-mm-dd hh:mm"),INDEX(상세표[시작],$P2752)&amp;""))</f>
        <v/>
      </c>
      <c r="F2752">
        <f>IF($P2752="","",IF(ISNUMBER(INDEX(상세표[블록종료],$P2752)),TEXT(INDEX(상세표[블록종료],$P2752),"yyyy-mm-dd hh:mm"),INDEX(상세표[블록종료],$P2752)&amp;""))</f>
        <v/>
      </c>
      <c r="G2752">
        <f>IF($P2752="","",CHOOSE(WEEKDAY(INDEX(상세표[시작],$P2752)),"일","월","화","수","목","금","토"))</f>
        <v/>
      </c>
      <c r="H2752">
        <f>IF($P2752="","",INDEX(상세표[연속 시간],$P2752))</f>
        <v/>
      </c>
      <c r="I2752">
        <f>IF($P2752="","",INDEX(상세표[기록 수],$P2752))</f>
        <v/>
      </c>
      <c r="J2752">
        <f>IF($P2752="","",INDEX(상세표[블록 06~07시],$P2752))</f>
        <v/>
      </c>
      <c r="K2752">
        <f>IF($P2752="","",INDEX(상세표[블록 07~18시],$P2752))</f>
        <v/>
      </c>
      <c r="L2752">
        <f>IF($P2752="","",INDEX(상세표[블록 18~22시],$P2752))</f>
        <v/>
      </c>
      <c r="M2752">
        <f>IF($P2752="","",INDEX(상세표[블록 22~06시],$P2752))</f>
        <v/>
      </c>
      <c r="N2752">
        <f>IF($P2752="","",INDEX(상세표[주말·휴일 포함],$P2752)&amp;"")</f>
        <v/>
      </c>
      <c r="O2752">
        <f>IF($P2752="","",INDEX(상세표[월 넘김 포함],$P2752)&amp;"")</f>
        <v/>
      </c>
      <c r="P2752" s="4">
        <f>IFERROR(MATCH(2747,상세표[연속순번],0),"")</f>
        <v/>
      </c>
    </row>
    <row r="2753">
      <c r="A2753">
        <f>IF($P2753="","",INDEX(상세표[사번],$P2753)&amp;"")</f>
        <v/>
      </c>
      <c r="B2753">
        <f>IF($P2753="","",INDEX(상세표[성명],$P2753)&amp;"")</f>
        <v/>
      </c>
      <c r="C2753">
        <f>IF($P2753="","",INDEX(상세표[부서],$P2753)&amp;"")</f>
        <v/>
      </c>
      <c r="D2753">
        <f>IF($P2753="","",INDEX(상세표[직위],$P2753)&amp;"")</f>
        <v/>
      </c>
      <c r="E2753">
        <f>IF($P2753="","",IF(ISNUMBER(INDEX(상세표[시작],$P2753)),TEXT(INDEX(상세표[시작],$P2753),"yyyy-mm-dd hh:mm"),INDEX(상세표[시작],$P2753)&amp;""))</f>
        <v/>
      </c>
      <c r="F2753">
        <f>IF($P2753="","",IF(ISNUMBER(INDEX(상세표[블록종료],$P2753)),TEXT(INDEX(상세표[블록종료],$P2753),"yyyy-mm-dd hh:mm"),INDEX(상세표[블록종료],$P2753)&amp;""))</f>
        <v/>
      </c>
      <c r="G2753">
        <f>IF($P2753="","",CHOOSE(WEEKDAY(INDEX(상세표[시작],$P2753)),"일","월","화","수","목","금","토"))</f>
        <v/>
      </c>
      <c r="H2753">
        <f>IF($P2753="","",INDEX(상세표[연속 시간],$P2753))</f>
        <v/>
      </c>
      <c r="I2753">
        <f>IF($P2753="","",INDEX(상세표[기록 수],$P2753))</f>
        <v/>
      </c>
      <c r="J2753">
        <f>IF($P2753="","",INDEX(상세표[블록 06~07시],$P2753))</f>
        <v/>
      </c>
      <c r="K2753">
        <f>IF($P2753="","",INDEX(상세표[블록 07~18시],$P2753))</f>
        <v/>
      </c>
      <c r="L2753">
        <f>IF($P2753="","",INDEX(상세표[블록 18~22시],$P2753))</f>
        <v/>
      </c>
      <c r="M2753">
        <f>IF($P2753="","",INDEX(상세표[블록 22~06시],$P2753))</f>
        <v/>
      </c>
      <c r="N2753">
        <f>IF($P2753="","",INDEX(상세표[주말·휴일 포함],$P2753)&amp;"")</f>
        <v/>
      </c>
      <c r="O2753">
        <f>IF($P2753="","",INDEX(상세표[월 넘김 포함],$P2753)&amp;"")</f>
        <v/>
      </c>
      <c r="P2753" s="4">
        <f>IFERROR(MATCH(2748,상세표[연속순번],0),"")</f>
        <v/>
      </c>
    </row>
    <row r="2754">
      <c r="A2754">
        <f>IF($P2754="","",INDEX(상세표[사번],$P2754)&amp;"")</f>
        <v/>
      </c>
      <c r="B2754">
        <f>IF($P2754="","",INDEX(상세표[성명],$P2754)&amp;"")</f>
        <v/>
      </c>
      <c r="C2754">
        <f>IF($P2754="","",INDEX(상세표[부서],$P2754)&amp;"")</f>
        <v/>
      </c>
      <c r="D2754">
        <f>IF($P2754="","",INDEX(상세표[직위],$P2754)&amp;"")</f>
        <v/>
      </c>
      <c r="E2754">
        <f>IF($P2754="","",IF(ISNUMBER(INDEX(상세표[시작],$P2754)),TEXT(INDEX(상세표[시작],$P2754),"yyyy-mm-dd hh:mm"),INDEX(상세표[시작],$P2754)&amp;""))</f>
        <v/>
      </c>
      <c r="F2754">
        <f>IF($P2754="","",IF(ISNUMBER(INDEX(상세표[블록종료],$P2754)),TEXT(INDEX(상세표[블록종료],$P2754),"yyyy-mm-dd hh:mm"),INDEX(상세표[블록종료],$P2754)&amp;""))</f>
        <v/>
      </c>
      <c r="G2754">
        <f>IF($P2754="","",CHOOSE(WEEKDAY(INDEX(상세표[시작],$P2754)),"일","월","화","수","목","금","토"))</f>
        <v/>
      </c>
      <c r="H2754">
        <f>IF($P2754="","",INDEX(상세표[연속 시간],$P2754))</f>
        <v/>
      </c>
      <c r="I2754">
        <f>IF($P2754="","",INDEX(상세표[기록 수],$P2754))</f>
        <v/>
      </c>
      <c r="J2754">
        <f>IF($P2754="","",INDEX(상세표[블록 06~07시],$P2754))</f>
        <v/>
      </c>
      <c r="K2754">
        <f>IF($P2754="","",INDEX(상세표[블록 07~18시],$P2754))</f>
        <v/>
      </c>
      <c r="L2754">
        <f>IF($P2754="","",INDEX(상세표[블록 18~22시],$P2754))</f>
        <v/>
      </c>
      <c r="M2754">
        <f>IF($P2754="","",INDEX(상세표[블록 22~06시],$P2754))</f>
        <v/>
      </c>
      <c r="N2754">
        <f>IF($P2754="","",INDEX(상세표[주말·휴일 포함],$P2754)&amp;"")</f>
        <v/>
      </c>
      <c r="O2754">
        <f>IF($P2754="","",INDEX(상세표[월 넘김 포함],$P2754)&amp;"")</f>
        <v/>
      </c>
      <c r="P2754" s="4">
        <f>IFERROR(MATCH(2749,상세표[연속순번],0),"")</f>
        <v/>
      </c>
    </row>
    <row r="2755">
      <c r="A2755">
        <f>IF($P2755="","",INDEX(상세표[사번],$P2755)&amp;"")</f>
        <v/>
      </c>
      <c r="B2755">
        <f>IF($P2755="","",INDEX(상세표[성명],$P2755)&amp;"")</f>
        <v/>
      </c>
      <c r="C2755">
        <f>IF($P2755="","",INDEX(상세표[부서],$P2755)&amp;"")</f>
        <v/>
      </c>
      <c r="D2755">
        <f>IF($P2755="","",INDEX(상세표[직위],$P2755)&amp;"")</f>
        <v/>
      </c>
      <c r="E2755">
        <f>IF($P2755="","",IF(ISNUMBER(INDEX(상세표[시작],$P2755)),TEXT(INDEX(상세표[시작],$P2755),"yyyy-mm-dd hh:mm"),INDEX(상세표[시작],$P2755)&amp;""))</f>
        <v/>
      </c>
      <c r="F2755">
        <f>IF($P2755="","",IF(ISNUMBER(INDEX(상세표[블록종료],$P2755)),TEXT(INDEX(상세표[블록종료],$P2755),"yyyy-mm-dd hh:mm"),INDEX(상세표[블록종료],$P2755)&amp;""))</f>
        <v/>
      </c>
      <c r="G2755">
        <f>IF($P2755="","",CHOOSE(WEEKDAY(INDEX(상세표[시작],$P2755)),"일","월","화","수","목","금","토"))</f>
        <v/>
      </c>
      <c r="H2755">
        <f>IF($P2755="","",INDEX(상세표[연속 시간],$P2755))</f>
        <v/>
      </c>
      <c r="I2755">
        <f>IF($P2755="","",INDEX(상세표[기록 수],$P2755))</f>
        <v/>
      </c>
      <c r="J2755">
        <f>IF($P2755="","",INDEX(상세표[블록 06~07시],$P2755))</f>
        <v/>
      </c>
      <c r="K2755">
        <f>IF($P2755="","",INDEX(상세표[블록 07~18시],$P2755))</f>
        <v/>
      </c>
      <c r="L2755">
        <f>IF($P2755="","",INDEX(상세표[블록 18~22시],$P2755))</f>
        <v/>
      </c>
      <c r="M2755">
        <f>IF($P2755="","",INDEX(상세표[블록 22~06시],$P2755))</f>
        <v/>
      </c>
      <c r="N2755">
        <f>IF($P2755="","",INDEX(상세표[주말·휴일 포함],$P2755)&amp;"")</f>
        <v/>
      </c>
      <c r="O2755">
        <f>IF($P2755="","",INDEX(상세표[월 넘김 포함],$P2755)&amp;"")</f>
        <v/>
      </c>
      <c r="P2755" s="4">
        <f>IFERROR(MATCH(2750,상세표[연속순번],0),"")</f>
        <v/>
      </c>
    </row>
    <row r="2756">
      <c r="A2756">
        <f>IF($P2756="","",INDEX(상세표[사번],$P2756)&amp;"")</f>
        <v/>
      </c>
      <c r="B2756">
        <f>IF($P2756="","",INDEX(상세표[성명],$P2756)&amp;"")</f>
        <v/>
      </c>
      <c r="C2756">
        <f>IF($P2756="","",INDEX(상세표[부서],$P2756)&amp;"")</f>
        <v/>
      </c>
      <c r="D2756">
        <f>IF($P2756="","",INDEX(상세표[직위],$P2756)&amp;"")</f>
        <v/>
      </c>
      <c r="E2756">
        <f>IF($P2756="","",IF(ISNUMBER(INDEX(상세표[시작],$P2756)),TEXT(INDEX(상세표[시작],$P2756),"yyyy-mm-dd hh:mm"),INDEX(상세표[시작],$P2756)&amp;""))</f>
        <v/>
      </c>
      <c r="F2756">
        <f>IF($P2756="","",IF(ISNUMBER(INDEX(상세표[블록종료],$P2756)),TEXT(INDEX(상세표[블록종료],$P2756),"yyyy-mm-dd hh:mm"),INDEX(상세표[블록종료],$P2756)&amp;""))</f>
        <v/>
      </c>
      <c r="G2756">
        <f>IF($P2756="","",CHOOSE(WEEKDAY(INDEX(상세표[시작],$P2756)),"일","월","화","수","목","금","토"))</f>
        <v/>
      </c>
      <c r="H2756">
        <f>IF($P2756="","",INDEX(상세표[연속 시간],$P2756))</f>
        <v/>
      </c>
      <c r="I2756">
        <f>IF($P2756="","",INDEX(상세표[기록 수],$P2756))</f>
        <v/>
      </c>
      <c r="J2756">
        <f>IF($P2756="","",INDEX(상세표[블록 06~07시],$P2756))</f>
        <v/>
      </c>
      <c r="K2756">
        <f>IF($P2756="","",INDEX(상세표[블록 07~18시],$P2756))</f>
        <v/>
      </c>
      <c r="L2756">
        <f>IF($P2756="","",INDEX(상세표[블록 18~22시],$P2756))</f>
        <v/>
      </c>
      <c r="M2756">
        <f>IF($P2756="","",INDEX(상세표[블록 22~06시],$P2756))</f>
        <v/>
      </c>
      <c r="N2756">
        <f>IF($P2756="","",INDEX(상세표[주말·휴일 포함],$P2756)&amp;"")</f>
        <v/>
      </c>
      <c r="O2756">
        <f>IF($P2756="","",INDEX(상세표[월 넘김 포함],$P2756)&amp;"")</f>
        <v/>
      </c>
      <c r="P2756" s="4">
        <f>IFERROR(MATCH(2751,상세표[연속순번],0),"")</f>
        <v/>
      </c>
    </row>
    <row r="2757">
      <c r="A2757">
        <f>IF($P2757="","",INDEX(상세표[사번],$P2757)&amp;"")</f>
        <v/>
      </c>
      <c r="B2757">
        <f>IF($P2757="","",INDEX(상세표[성명],$P2757)&amp;"")</f>
        <v/>
      </c>
      <c r="C2757">
        <f>IF($P2757="","",INDEX(상세표[부서],$P2757)&amp;"")</f>
        <v/>
      </c>
      <c r="D2757">
        <f>IF($P2757="","",INDEX(상세표[직위],$P2757)&amp;"")</f>
        <v/>
      </c>
      <c r="E2757">
        <f>IF($P2757="","",IF(ISNUMBER(INDEX(상세표[시작],$P2757)),TEXT(INDEX(상세표[시작],$P2757),"yyyy-mm-dd hh:mm"),INDEX(상세표[시작],$P2757)&amp;""))</f>
        <v/>
      </c>
      <c r="F2757">
        <f>IF($P2757="","",IF(ISNUMBER(INDEX(상세표[블록종료],$P2757)),TEXT(INDEX(상세표[블록종료],$P2757),"yyyy-mm-dd hh:mm"),INDEX(상세표[블록종료],$P2757)&amp;""))</f>
        <v/>
      </c>
      <c r="G2757">
        <f>IF($P2757="","",CHOOSE(WEEKDAY(INDEX(상세표[시작],$P2757)),"일","월","화","수","목","금","토"))</f>
        <v/>
      </c>
      <c r="H2757">
        <f>IF($P2757="","",INDEX(상세표[연속 시간],$P2757))</f>
        <v/>
      </c>
      <c r="I2757">
        <f>IF($P2757="","",INDEX(상세표[기록 수],$P2757))</f>
        <v/>
      </c>
      <c r="J2757">
        <f>IF($P2757="","",INDEX(상세표[블록 06~07시],$P2757))</f>
        <v/>
      </c>
      <c r="K2757">
        <f>IF($P2757="","",INDEX(상세표[블록 07~18시],$P2757))</f>
        <v/>
      </c>
      <c r="L2757">
        <f>IF($P2757="","",INDEX(상세표[블록 18~22시],$P2757))</f>
        <v/>
      </c>
      <c r="M2757">
        <f>IF($P2757="","",INDEX(상세표[블록 22~06시],$P2757))</f>
        <v/>
      </c>
      <c r="N2757">
        <f>IF($P2757="","",INDEX(상세표[주말·휴일 포함],$P2757)&amp;"")</f>
        <v/>
      </c>
      <c r="O2757">
        <f>IF($P2757="","",INDEX(상세표[월 넘김 포함],$P2757)&amp;"")</f>
        <v/>
      </c>
      <c r="P2757" s="4">
        <f>IFERROR(MATCH(2752,상세표[연속순번],0),"")</f>
        <v/>
      </c>
    </row>
    <row r="2758">
      <c r="A2758">
        <f>IF($P2758="","",INDEX(상세표[사번],$P2758)&amp;"")</f>
        <v/>
      </c>
      <c r="B2758">
        <f>IF($P2758="","",INDEX(상세표[성명],$P2758)&amp;"")</f>
        <v/>
      </c>
      <c r="C2758">
        <f>IF($P2758="","",INDEX(상세표[부서],$P2758)&amp;"")</f>
        <v/>
      </c>
      <c r="D2758">
        <f>IF($P2758="","",INDEX(상세표[직위],$P2758)&amp;"")</f>
        <v/>
      </c>
      <c r="E2758">
        <f>IF($P2758="","",IF(ISNUMBER(INDEX(상세표[시작],$P2758)),TEXT(INDEX(상세표[시작],$P2758),"yyyy-mm-dd hh:mm"),INDEX(상세표[시작],$P2758)&amp;""))</f>
        <v/>
      </c>
      <c r="F2758">
        <f>IF($P2758="","",IF(ISNUMBER(INDEX(상세표[블록종료],$P2758)),TEXT(INDEX(상세표[블록종료],$P2758),"yyyy-mm-dd hh:mm"),INDEX(상세표[블록종료],$P2758)&amp;""))</f>
        <v/>
      </c>
      <c r="G2758">
        <f>IF($P2758="","",CHOOSE(WEEKDAY(INDEX(상세표[시작],$P2758)),"일","월","화","수","목","금","토"))</f>
        <v/>
      </c>
      <c r="H2758">
        <f>IF($P2758="","",INDEX(상세표[연속 시간],$P2758))</f>
        <v/>
      </c>
      <c r="I2758">
        <f>IF($P2758="","",INDEX(상세표[기록 수],$P2758))</f>
        <v/>
      </c>
      <c r="J2758">
        <f>IF($P2758="","",INDEX(상세표[블록 06~07시],$P2758))</f>
        <v/>
      </c>
      <c r="K2758">
        <f>IF($P2758="","",INDEX(상세표[블록 07~18시],$P2758))</f>
        <v/>
      </c>
      <c r="L2758">
        <f>IF($P2758="","",INDEX(상세표[블록 18~22시],$P2758))</f>
        <v/>
      </c>
      <c r="M2758">
        <f>IF($P2758="","",INDEX(상세표[블록 22~06시],$P2758))</f>
        <v/>
      </c>
      <c r="N2758">
        <f>IF($P2758="","",INDEX(상세표[주말·휴일 포함],$P2758)&amp;"")</f>
        <v/>
      </c>
      <c r="O2758">
        <f>IF($P2758="","",INDEX(상세표[월 넘김 포함],$P2758)&amp;"")</f>
        <v/>
      </c>
      <c r="P2758" s="4">
        <f>IFERROR(MATCH(2753,상세표[연속순번],0),"")</f>
        <v/>
      </c>
    </row>
    <row r="2759">
      <c r="A2759">
        <f>IF($P2759="","",INDEX(상세표[사번],$P2759)&amp;"")</f>
        <v/>
      </c>
      <c r="B2759">
        <f>IF($P2759="","",INDEX(상세표[성명],$P2759)&amp;"")</f>
        <v/>
      </c>
      <c r="C2759">
        <f>IF($P2759="","",INDEX(상세표[부서],$P2759)&amp;"")</f>
        <v/>
      </c>
      <c r="D2759">
        <f>IF($P2759="","",INDEX(상세표[직위],$P2759)&amp;"")</f>
        <v/>
      </c>
      <c r="E2759">
        <f>IF($P2759="","",IF(ISNUMBER(INDEX(상세표[시작],$P2759)),TEXT(INDEX(상세표[시작],$P2759),"yyyy-mm-dd hh:mm"),INDEX(상세표[시작],$P2759)&amp;""))</f>
        <v/>
      </c>
      <c r="F2759">
        <f>IF($P2759="","",IF(ISNUMBER(INDEX(상세표[블록종료],$P2759)),TEXT(INDEX(상세표[블록종료],$P2759),"yyyy-mm-dd hh:mm"),INDEX(상세표[블록종료],$P2759)&amp;""))</f>
        <v/>
      </c>
      <c r="G2759">
        <f>IF($P2759="","",CHOOSE(WEEKDAY(INDEX(상세표[시작],$P2759)),"일","월","화","수","목","금","토"))</f>
        <v/>
      </c>
      <c r="H2759">
        <f>IF($P2759="","",INDEX(상세표[연속 시간],$P2759))</f>
        <v/>
      </c>
      <c r="I2759">
        <f>IF($P2759="","",INDEX(상세표[기록 수],$P2759))</f>
        <v/>
      </c>
      <c r="J2759">
        <f>IF($P2759="","",INDEX(상세표[블록 06~07시],$P2759))</f>
        <v/>
      </c>
      <c r="K2759">
        <f>IF($P2759="","",INDEX(상세표[블록 07~18시],$P2759))</f>
        <v/>
      </c>
      <c r="L2759">
        <f>IF($P2759="","",INDEX(상세표[블록 18~22시],$P2759))</f>
        <v/>
      </c>
      <c r="M2759">
        <f>IF($P2759="","",INDEX(상세표[블록 22~06시],$P2759))</f>
        <v/>
      </c>
      <c r="N2759">
        <f>IF($P2759="","",INDEX(상세표[주말·휴일 포함],$P2759)&amp;"")</f>
        <v/>
      </c>
      <c r="O2759">
        <f>IF($P2759="","",INDEX(상세표[월 넘김 포함],$P2759)&amp;"")</f>
        <v/>
      </c>
      <c r="P2759" s="4">
        <f>IFERROR(MATCH(2754,상세표[연속순번],0),"")</f>
        <v/>
      </c>
    </row>
    <row r="2760">
      <c r="A2760">
        <f>IF($P2760="","",INDEX(상세표[사번],$P2760)&amp;"")</f>
        <v/>
      </c>
      <c r="B2760">
        <f>IF($P2760="","",INDEX(상세표[성명],$P2760)&amp;"")</f>
        <v/>
      </c>
      <c r="C2760">
        <f>IF($P2760="","",INDEX(상세표[부서],$P2760)&amp;"")</f>
        <v/>
      </c>
      <c r="D2760">
        <f>IF($P2760="","",INDEX(상세표[직위],$P2760)&amp;"")</f>
        <v/>
      </c>
      <c r="E2760">
        <f>IF($P2760="","",IF(ISNUMBER(INDEX(상세표[시작],$P2760)),TEXT(INDEX(상세표[시작],$P2760),"yyyy-mm-dd hh:mm"),INDEX(상세표[시작],$P2760)&amp;""))</f>
        <v/>
      </c>
      <c r="F2760">
        <f>IF($P2760="","",IF(ISNUMBER(INDEX(상세표[블록종료],$P2760)),TEXT(INDEX(상세표[블록종료],$P2760),"yyyy-mm-dd hh:mm"),INDEX(상세표[블록종료],$P2760)&amp;""))</f>
        <v/>
      </c>
      <c r="G2760">
        <f>IF($P2760="","",CHOOSE(WEEKDAY(INDEX(상세표[시작],$P2760)),"일","월","화","수","목","금","토"))</f>
        <v/>
      </c>
      <c r="H2760">
        <f>IF($P2760="","",INDEX(상세표[연속 시간],$P2760))</f>
        <v/>
      </c>
      <c r="I2760">
        <f>IF($P2760="","",INDEX(상세표[기록 수],$P2760))</f>
        <v/>
      </c>
      <c r="J2760">
        <f>IF($P2760="","",INDEX(상세표[블록 06~07시],$P2760))</f>
        <v/>
      </c>
      <c r="K2760">
        <f>IF($P2760="","",INDEX(상세표[블록 07~18시],$P2760))</f>
        <v/>
      </c>
      <c r="L2760">
        <f>IF($P2760="","",INDEX(상세표[블록 18~22시],$P2760))</f>
        <v/>
      </c>
      <c r="M2760">
        <f>IF($P2760="","",INDEX(상세표[블록 22~06시],$P2760))</f>
        <v/>
      </c>
      <c r="N2760">
        <f>IF($P2760="","",INDEX(상세표[주말·휴일 포함],$P2760)&amp;"")</f>
        <v/>
      </c>
      <c r="O2760">
        <f>IF($P2760="","",INDEX(상세표[월 넘김 포함],$P2760)&amp;"")</f>
        <v/>
      </c>
      <c r="P2760" s="4">
        <f>IFERROR(MATCH(2755,상세표[연속순번],0),"")</f>
        <v/>
      </c>
    </row>
    <row r="2761">
      <c r="A2761">
        <f>IF($P2761="","",INDEX(상세표[사번],$P2761)&amp;"")</f>
        <v/>
      </c>
      <c r="B2761">
        <f>IF($P2761="","",INDEX(상세표[성명],$P2761)&amp;"")</f>
        <v/>
      </c>
      <c r="C2761">
        <f>IF($P2761="","",INDEX(상세표[부서],$P2761)&amp;"")</f>
        <v/>
      </c>
      <c r="D2761">
        <f>IF($P2761="","",INDEX(상세표[직위],$P2761)&amp;"")</f>
        <v/>
      </c>
      <c r="E2761">
        <f>IF($P2761="","",IF(ISNUMBER(INDEX(상세표[시작],$P2761)),TEXT(INDEX(상세표[시작],$P2761),"yyyy-mm-dd hh:mm"),INDEX(상세표[시작],$P2761)&amp;""))</f>
        <v/>
      </c>
      <c r="F2761">
        <f>IF($P2761="","",IF(ISNUMBER(INDEX(상세표[블록종료],$P2761)),TEXT(INDEX(상세표[블록종료],$P2761),"yyyy-mm-dd hh:mm"),INDEX(상세표[블록종료],$P2761)&amp;""))</f>
        <v/>
      </c>
      <c r="G2761">
        <f>IF($P2761="","",CHOOSE(WEEKDAY(INDEX(상세표[시작],$P2761)),"일","월","화","수","목","금","토"))</f>
        <v/>
      </c>
      <c r="H2761">
        <f>IF($P2761="","",INDEX(상세표[연속 시간],$P2761))</f>
        <v/>
      </c>
      <c r="I2761">
        <f>IF($P2761="","",INDEX(상세표[기록 수],$P2761))</f>
        <v/>
      </c>
      <c r="J2761">
        <f>IF($P2761="","",INDEX(상세표[블록 06~07시],$P2761))</f>
        <v/>
      </c>
      <c r="K2761">
        <f>IF($P2761="","",INDEX(상세표[블록 07~18시],$P2761))</f>
        <v/>
      </c>
      <c r="L2761">
        <f>IF($P2761="","",INDEX(상세표[블록 18~22시],$P2761))</f>
        <v/>
      </c>
      <c r="M2761">
        <f>IF($P2761="","",INDEX(상세표[블록 22~06시],$P2761))</f>
        <v/>
      </c>
      <c r="N2761">
        <f>IF($P2761="","",INDEX(상세표[주말·휴일 포함],$P2761)&amp;"")</f>
        <v/>
      </c>
      <c r="O2761">
        <f>IF($P2761="","",INDEX(상세표[월 넘김 포함],$P2761)&amp;"")</f>
        <v/>
      </c>
      <c r="P2761" s="4">
        <f>IFERROR(MATCH(2756,상세표[연속순번],0),"")</f>
        <v/>
      </c>
    </row>
    <row r="2762">
      <c r="A2762">
        <f>IF($P2762="","",INDEX(상세표[사번],$P2762)&amp;"")</f>
        <v/>
      </c>
      <c r="B2762">
        <f>IF($P2762="","",INDEX(상세표[성명],$P2762)&amp;"")</f>
        <v/>
      </c>
      <c r="C2762">
        <f>IF($P2762="","",INDEX(상세표[부서],$P2762)&amp;"")</f>
        <v/>
      </c>
      <c r="D2762">
        <f>IF($P2762="","",INDEX(상세표[직위],$P2762)&amp;"")</f>
        <v/>
      </c>
      <c r="E2762">
        <f>IF($P2762="","",IF(ISNUMBER(INDEX(상세표[시작],$P2762)),TEXT(INDEX(상세표[시작],$P2762),"yyyy-mm-dd hh:mm"),INDEX(상세표[시작],$P2762)&amp;""))</f>
        <v/>
      </c>
      <c r="F2762">
        <f>IF($P2762="","",IF(ISNUMBER(INDEX(상세표[블록종료],$P2762)),TEXT(INDEX(상세표[블록종료],$P2762),"yyyy-mm-dd hh:mm"),INDEX(상세표[블록종료],$P2762)&amp;""))</f>
        <v/>
      </c>
      <c r="G2762">
        <f>IF($P2762="","",CHOOSE(WEEKDAY(INDEX(상세표[시작],$P2762)),"일","월","화","수","목","금","토"))</f>
        <v/>
      </c>
      <c r="H2762">
        <f>IF($P2762="","",INDEX(상세표[연속 시간],$P2762))</f>
        <v/>
      </c>
      <c r="I2762">
        <f>IF($P2762="","",INDEX(상세표[기록 수],$P2762))</f>
        <v/>
      </c>
      <c r="J2762">
        <f>IF($P2762="","",INDEX(상세표[블록 06~07시],$P2762))</f>
        <v/>
      </c>
      <c r="K2762">
        <f>IF($P2762="","",INDEX(상세표[블록 07~18시],$P2762))</f>
        <v/>
      </c>
      <c r="L2762">
        <f>IF($P2762="","",INDEX(상세표[블록 18~22시],$P2762))</f>
        <v/>
      </c>
      <c r="M2762">
        <f>IF($P2762="","",INDEX(상세표[블록 22~06시],$P2762))</f>
        <v/>
      </c>
      <c r="N2762">
        <f>IF($P2762="","",INDEX(상세표[주말·휴일 포함],$P2762)&amp;"")</f>
        <v/>
      </c>
      <c r="O2762">
        <f>IF($P2762="","",INDEX(상세표[월 넘김 포함],$P2762)&amp;"")</f>
        <v/>
      </c>
      <c r="P2762" s="4">
        <f>IFERROR(MATCH(2757,상세표[연속순번],0),"")</f>
        <v/>
      </c>
    </row>
    <row r="2763">
      <c r="A2763">
        <f>IF($P2763="","",INDEX(상세표[사번],$P2763)&amp;"")</f>
        <v/>
      </c>
      <c r="B2763">
        <f>IF($P2763="","",INDEX(상세표[성명],$P2763)&amp;"")</f>
        <v/>
      </c>
      <c r="C2763">
        <f>IF($P2763="","",INDEX(상세표[부서],$P2763)&amp;"")</f>
        <v/>
      </c>
      <c r="D2763">
        <f>IF($P2763="","",INDEX(상세표[직위],$P2763)&amp;"")</f>
        <v/>
      </c>
      <c r="E2763">
        <f>IF($P2763="","",IF(ISNUMBER(INDEX(상세표[시작],$P2763)),TEXT(INDEX(상세표[시작],$P2763),"yyyy-mm-dd hh:mm"),INDEX(상세표[시작],$P2763)&amp;""))</f>
        <v/>
      </c>
      <c r="F2763">
        <f>IF($P2763="","",IF(ISNUMBER(INDEX(상세표[블록종료],$P2763)),TEXT(INDEX(상세표[블록종료],$P2763),"yyyy-mm-dd hh:mm"),INDEX(상세표[블록종료],$P2763)&amp;""))</f>
        <v/>
      </c>
      <c r="G2763">
        <f>IF($P2763="","",CHOOSE(WEEKDAY(INDEX(상세표[시작],$P2763)),"일","월","화","수","목","금","토"))</f>
        <v/>
      </c>
      <c r="H2763">
        <f>IF($P2763="","",INDEX(상세표[연속 시간],$P2763))</f>
        <v/>
      </c>
      <c r="I2763">
        <f>IF($P2763="","",INDEX(상세표[기록 수],$P2763))</f>
        <v/>
      </c>
      <c r="J2763">
        <f>IF($P2763="","",INDEX(상세표[블록 06~07시],$P2763))</f>
        <v/>
      </c>
      <c r="K2763">
        <f>IF($P2763="","",INDEX(상세표[블록 07~18시],$P2763))</f>
        <v/>
      </c>
      <c r="L2763">
        <f>IF($P2763="","",INDEX(상세표[블록 18~22시],$P2763))</f>
        <v/>
      </c>
      <c r="M2763">
        <f>IF($P2763="","",INDEX(상세표[블록 22~06시],$P2763))</f>
        <v/>
      </c>
      <c r="N2763">
        <f>IF($P2763="","",INDEX(상세표[주말·휴일 포함],$P2763)&amp;"")</f>
        <v/>
      </c>
      <c r="O2763">
        <f>IF($P2763="","",INDEX(상세표[월 넘김 포함],$P2763)&amp;"")</f>
        <v/>
      </c>
      <c r="P2763" s="4">
        <f>IFERROR(MATCH(2758,상세표[연속순번],0),"")</f>
        <v/>
      </c>
    </row>
    <row r="2764">
      <c r="A2764">
        <f>IF($P2764="","",INDEX(상세표[사번],$P2764)&amp;"")</f>
        <v/>
      </c>
      <c r="B2764">
        <f>IF($P2764="","",INDEX(상세표[성명],$P2764)&amp;"")</f>
        <v/>
      </c>
      <c r="C2764">
        <f>IF($P2764="","",INDEX(상세표[부서],$P2764)&amp;"")</f>
        <v/>
      </c>
      <c r="D2764">
        <f>IF($P2764="","",INDEX(상세표[직위],$P2764)&amp;"")</f>
        <v/>
      </c>
      <c r="E2764">
        <f>IF($P2764="","",IF(ISNUMBER(INDEX(상세표[시작],$P2764)),TEXT(INDEX(상세표[시작],$P2764),"yyyy-mm-dd hh:mm"),INDEX(상세표[시작],$P2764)&amp;""))</f>
        <v/>
      </c>
      <c r="F2764">
        <f>IF($P2764="","",IF(ISNUMBER(INDEX(상세표[블록종료],$P2764)),TEXT(INDEX(상세표[블록종료],$P2764),"yyyy-mm-dd hh:mm"),INDEX(상세표[블록종료],$P2764)&amp;""))</f>
        <v/>
      </c>
      <c r="G2764">
        <f>IF($P2764="","",CHOOSE(WEEKDAY(INDEX(상세표[시작],$P2764)),"일","월","화","수","목","금","토"))</f>
        <v/>
      </c>
      <c r="H2764">
        <f>IF($P2764="","",INDEX(상세표[연속 시간],$P2764))</f>
        <v/>
      </c>
      <c r="I2764">
        <f>IF($P2764="","",INDEX(상세표[기록 수],$P2764))</f>
        <v/>
      </c>
      <c r="J2764">
        <f>IF($P2764="","",INDEX(상세표[블록 06~07시],$P2764))</f>
        <v/>
      </c>
      <c r="K2764">
        <f>IF($P2764="","",INDEX(상세표[블록 07~18시],$P2764))</f>
        <v/>
      </c>
      <c r="L2764">
        <f>IF($P2764="","",INDEX(상세표[블록 18~22시],$P2764))</f>
        <v/>
      </c>
      <c r="M2764">
        <f>IF($P2764="","",INDEX(상세표[블록 22~06시],$P2764))</f>
        <v/>
      </c>
      <c r="N2764">
        <f>IF($P2764="","",INDEX(상세표[주말·휴일 포함],$P2764)&amp;"")</f>
        <v/>
      </c>
      <c r="O2764">
        <f>IF($P2764="","",INDEX(상세표[월 넘김 포함],$P2764)&amp;"")</f>
        <v/>
      </c>
      <c r="P2764" s="4">
        <f>IFERROR(MATCH(2759,상세표[연속순번],0),"")</f>
        <v/>
      </c>
    </row>
    <row r="2765">
      <c r="A2765">
        <f>IF($P2765="","",INDEX(상세표[사번],$P2765)&amp;"")</f>
        <v/>
      </c>
      <c r="B2765">
        <f>IF($P2765="","",INDEX(상세표[성명],$P2765)&amp;"")</f>
        <v/>
      </c>
      <c r="C2765">
        <f>IF($P2765="","",INDEX(상세표[부서],$P2765)&amp;"")</f>
        <v/>
      </c>
      <c r="D2765">
        <f>IF($P2765="","",INDEX(상세표[직위],$P2765)&amp;"")</f>
        <v/>
      </c>
      <c r="E2765">
        <f>IF($P2765="","",IF(ISNUMBER(INDEX(상세표[시작],$P2765)),TEXT(INDEX(상세표[시작],$P2765),"yyyy-mm-dd hh:mm"),INDEX(상세표[시작],$P2765)&amp;""))</f>
        <v/>
      </c>
      <c r="F2765">
        <f>IF($P2765="","",IF(ISNUMBER(INDEX(상세표[블록종료],$P2765)),TEXT(INDEX(상세표[블록종료],$P2765),"yyyy-mm-dd hh:mm"),INDEX(상세표[블록종료],$P2765)&amp;""))</f>
        <v/>
      </c>
      <c r="G2765">
        <f>IF($P2765="","",CHOOSE(WEEKDAY(INDEX(상세표[시작],$P2765)),"일","월","화","수","목","금","토"))</f>
        <v/>
      </c>
      <c r="H2765">
        <f>IF($P2765="","",INDEX(상세표[연속 시간],$P2765))</f>
        <v/>
      </c>
      <c r="I2765">
        <f>IF($P2765="","",INDEX(상세표[기록 수],$P2765))</f>
        <v/>
      </c>
      <c r="J2765">
        <f>IF($P2765="","",INDEX(상세표[블록 06~07시],$P2765))</f>
        <v/>
      </c>
      <c r="K2765">
        <f>IF($P2765="","",INDEX(상세표[블록 07~18시],$P2765))</f>
        <v/>
      </c>
      <c r="L2765">
        <f>IF($P2765="","",INDEX(상세표[블록 18~22시],$P2765))</f>
        <v/>
      </c>
      <c r="M2765">
        <f>IF($P2765="","",INDEX(상세표[블록 22~06시],$P2765))</f>
        <v/>
      </c>
      <c r="N2765">
        <f>IF($P2765="","",INDEX(상세표[주말·휴일 포함],$P2765)&amp;"")</f>
        <v/>
      </c>
      <c r="O2765">
        <f>IF($P2765="","",INDEX(상세표[월 넘김 포함],$P2765)&amp;"")</f>
        <v/>
      </c>
      <c r="P2765" s="4">
        <f>IFERROR(MATCH(2760,상세표[연속순번],0),"")</f>
        <v/>
      </c>
    </row>
    <row r="2766">
      <c r="A2766">
        <f>IF($P2766="","",INDEX(상세표[사번],$P2766)&amp;"")</f>
        <v/>
      </c>
      <c r="B2766">
        <f>IF($P2766="","",INDEX(상세표[성명],$P2766)&amp;"")</f>
        <v/>
      </c>
      <c r="C2766">
        <f>IF($P2766="","",INDEX(상세표[부서],$P2766)&amp;"")</f>
        <v/>
      </c>
      <c r="D2766">
        <f>IF($P2766="","",INDEX(상세표[직위],$P2766)&amp;"")</f>
        <v/>
      </c>
      <c r="E2766">
        <f>IF($P2766="","",IF(ISNUMBER(INDEX(상세표[시작],$P2766)),TEXT(INDEX(상세표[시작],$P2766),"yyyy-mm-dd hh:mm"),INDEX(상세표[시작],$P2766)&amp;""))</f>
        <v/>
      </c>
      <c r="F2766">
        <f>IF($P2766="","",IF(ISNUMBER(INDEX(상세표[블록종료],$P2766)),TEXT(INDEX(상세표[블록종료],$P2766),"yyyy-mm-dd hh:mm"),INDEX(상세표[블록종료],$P2766)&amp;""))</f>
        <v/>
      </c>
      <c r="G2766">
        <f>IF($P2766="","",CHOOSE(WEEKDAY(INDEX(상세표[시작],$P2766)),"일","월","화","수","목","금","토"))</f>
        <v/>
      </c>
      <c r="H2766">
        <f>IF($P2766="","",INDEX(상세표[연속 시간],$P2766))</f>
        <v/>
      </c>
      <c r="I2766">
        <f>IF($P2766="","",INDEX(상세표[기록 수],$P2766))</f>
        <v/>
      </c>
      <c r="J2766">
        <f>IF($P2766="","",INDEX(상세표[블록 06~07시],$P2766))</f>
        <v/>
      </c>
      <c r="K2766">
        <f>IF($P2766="","",INDEX(상세표[블록 07~18시],$P2766))</f>
        <v/>
      </c>
      <c r="L2766">
        <f>IF($P2766="","",INDEX(상세표[블록 18~22시],$P2766))</f>
        <v/>
      </c>
      <c r="M2766">
        <f>IF($P2766="","",INDEX(상세표[블록 22~06시],$P2766))</f>
        <v/>
      </c>
      <c r="N2766">
        <f>IF($P2766="","",INDEX(상세표[주말·휴일 포함],$P2766)&amp;"")</f>
        <v/>
      </c>
      <c r="O2766">
        <f>IF($P2766="","",INDEX(상세표[월 넘김 포함],$P2766)&amp;"")</f>
        <v/>
      </c>
      <c r="P2766" s="4">
        <f>IFERROR(MATCH(2761,상세표[연속순번],0),"")</f>
        <v/>
      </c>
    </row>
    <row r="2767">
      <c r="A2767">
        <f>IF($P2767="","",INDEX(상세표[사번],$P2767)&amp;"")</f>
        <v/>
      </c>
      <c r="B2767">
        <f>IF($P2767="","",INDEX(상세표[성명],$P2767)&amp;"")</f>
        <v/>
      </c>
      <c r="C2767">
        <f>IF($P2767="","",INDEX(상세표[부서],$P2767)&amp;"")</f>
        <v/>
      </c>
      <c r="D2767">
        <f>IF($P2767="","",INDEX(상세표[직위],$P2767)&amp;"")</f>
        <v/>
      </c>
      <c r="E2767">
        <f>IF($P2767="","",IF(ISNUMBER(INDEX(상세표[시작],$P2767)),TEXT(INDEX(상세표[시작],$P2767),"yyyy-mm-dd hh:mm"),INDEX(상세표[시작],$P2767)&amp;""))</f>
        <v/>
      </c>
      <c r="F2767">
        <f>IF($P2767="","",IF(ISNUMBER(INDEX(상세표[블록종료],$P2767)),TEXT(INDEX(상세표[블록종료],$P2767),"yyyy-mm-dd hh:mm"),INDEX(상세표[블록종료],$P2767)&amp;""))</f>
        <v/>
      </c>
      <c r="G2767">
        <f>IF($P2767="","",CHOOSE(WEEKDAY(INDEX(상세표[시작],$P2767)),"일","월","화","수","목","금","토"))</f>
        <v/>
      </c>
      <c r="H2767">
        <f>IF($P2767="","",INDEX(상세표[연속 시간],$P2767))</f>
        <v/>
      </c>
      <c r="I2767">
        <f>IF($P2767="","",INDEX(상세표[기록 수],$P2767))</f>
        <v/>
      </c>
      <c r="J2767">
        <f>IF($P2767="","",INDEX(상세표[블록 06~07시],$P2767))</f>
        <v/>
      </c>
      <c r="K2767">
        <f>IF($P2767="","",INDEX(상세표[블록 07~18시],$P2767))</f>
        <v/>
      </c>
      <c r="L2767">
        <f>IF($P2767="","",INDEX(상세표[블록 18~22시],$P2767))</f>
        <v/>
      </c>
      <c r="M2767">
        <f>IF($P2767="","",INDEX(상세표[블록 22~06시],$P2767))</f>
        <v/>
      </c>
      <c r="N2767">
        <f>IF($P2767="","",INDEX(상세표[주말·휴일 포함],$P2767)&amp;"")</f>
        <v/>
      </c>
      <c r="O2767">
        <f>IF($P2767="","",INDEX(상세표[월 넘김 포함],$P2767)&amp;"")</f>
        <v/>
      </c>
      <c r="P2767" s="4">
        <f>IFERROR(MATCH(2762,상세표[연속순번],0),"")</f>
        <v/>
      </c>
    </row>
    <row r="2768">
      <c r="A2768">
        <f>IF($P2768="","",INDEX(상세표[사번],$P2768)&amp;"")</f>
        <v/>
      </c>
      <c r="B2768">
        <f>IF($P2768="","",INDEX(상세표[성명],$P2768)&amp;"")</f>
        <v/>
      </c>
      <c r="C2768">
        <f>IF($P2768="","",INDEX(상세표[부서],$P2768)&amp;"")</f>
        <v/>
      </c>
      <c r="D2768">
        <f>IF($P2768="","",INDEX(상세표[직위],$P2768)&amp;"")</f>
        <v/>
      </c>
      <c r="E2768">
        <f>IF($P2768="","",IF(ISNUMBER(INDEX(상세표[시작],$P2768)),TEXT(INDEX(상세표[시작],$P2768),"yyyy-mm-dd hh:mm"),INDEX(상세표[시작],$P2768)&amp;""))</f>
        <v/>
      </c>
      <c r="F2768">
        <f>IF($P2768="","",IF(ISNUMBER(INDEX(상세표[블록종료],$P2768)),TEXT(INDEX(상세표[블록종료],$P2768),"yyyy-mm-dd hh:mm"),INDEX(상세표[블록종료],$P2768)&amp;""))</f>
        <v/>
      </c>
      <c r="G2768">
        <f>IF($P2768="","",CHOOSE(WEEKDAY(INDEX(상세표[시작],$P2768)),"일","월","화","수","목","금","토"))</f>
        <v/>
      </c>
      <c r="H2768">
        <f>IF($P2768="","",INDEX(상세표[연속 시간],$P2768))</f>
        <v/>
      </c>
      <c r="I2768">
        <f>IF($P2768="","",INDEX(상세표[기록 수],$P2768))</f>
        <v/>
      </c>
      <c r="J2768">
        <f>IF($P2768="","",INDEX(상세표[블록 06~07시],$P2768))</f>
        <v/>
      </c>
      <c r="K2768">
        <f>IF($P2768="","",INDEX(상세표[블록 07~18시],$P2768))</f>
        <v/>
      </c>
      <c r="L2768">
        <f>IF($P2768="","",INDEX(상세표[블록 18~22시],$P2768))</f>
        <v/>
      </c>
      <c r="M2768">
        <f>IF($P2768="","",INDEX(상세표[블록 22~06시],$P2768))</f>
        <v/>
      </c>
      <c r="N2768">
        <f>IF($P2768="","",INDEX(상세표[주말·휴일 포함],$P2768)&amp;"")</f>
        <v/>
      </c>
      <c r="O2768">
        <f>IF($P2768="","",INDEX(상세표[월 넘김 포함],$P2768)&amp;"")</f>
        <v/>
      </c>
      <c r="P2768" s="4">
        <f>IFERROR(MATCH(2763,상세표[연속순번],0),"")</f>
        <v/>
      </c>
    </row>
    <row r="2769">
      <c r="A2769">
        <f>IF($P2769="","",INDEX(상세표[사번],$P2769)&amp;"")</f>
        <v/>
      </c>
      <c r="B2769">
        <f>IF($P2769="","",INDEX(상세표[성명],$P2769)&amp;"")</f>
        <v/>
      </c>
      <c r="C2769">
        <f>IF($P2769="","",INDEX(상세표[부서],$P2769)&amp;"")</f>
        <v/>
      </c>
      <c r="D2769">
        <f>IF($P2769="","",INDEX(상세표[직위],$P2769)&amp;"")</f>
        <v/>
      </c>
      <c r="E2769">
        <f>IF($P2769="","",IF(ISNUMBER(INDEX(상세표[시작],$P2769)),TEXT(INDEX(상세표[시작],$P2769),"yyyy-mm-dd hh:mm"),INDEX(상세표[시작],$P2769)&amp;""))</f>
        <v/>
      </c>
      <c r="F2769">
        <f>IF($P2769="","",IF(ISNUMBER(INDEX(상세표[블록종료],$P2769)),TEXT(INDEX(상세표[블록종료],$P2769),"yyyy-mm-dd hh:mm"),INDEX(상세표[블록종료],$P2769)&amp;""))</f>
        <v/>
      </c>
      <c r="G2769">
        <f>IF($P2769="","",CHOOSE(WEEKDAY(INDEX(상세표[시작],$P2769)),"일","월","화","수","목","금","토"))</f>
        <v/>
      </c>
      <c r="H2769">
        <f>IF($P2769="","",INDEX(상세표[연속 시간],$P2769))</f>
        <v/>
      </c>
      <c r="I2769">
        <f>IF($P2769="","",INDEX(상세표[기록 수],$P2769))</f>
        <v/>
      </c>
      <c r="J2769">
        <f>IF($P2769="","",INDEX(상세표[블록 06~07시],$P2769))</f>
        <v/>
      </c>
      <c r="K2769">
        <f>IF($P2769="","",INDEX(상세표[블록 07~18시],$P2769))</f>
        <v/>
      </c>
      <c r="L2769">
        <f>IF($P2769="","",INDEX(상세표[블록 18~22시],$P2769))</f>
        <v/>
      </c>
      <c r="M2769">
        <f>IF($P2769="","",INDEX(상세표[블록 22~06시],$P2769))</f>
        <v/>
      </c>
      <c r="N2769">
        <f>IF($P2769="","",INDEX(상세표[주말·휴일 포함],$P2769)&amp;"")</f>
        <v/>
      </c>
      <c r="O2769">
        <f>IF($P2769="","",INDEX(상세표[월 넘김 포함],$P2769)&amp;"")</f>
        <v/>
      </c>
      <c r="P2769" s="4">
        <f>IFERROR(MATCH(2764,상세표[연속순번],0),"")</f>
        <v/>
      </c>
    </row>
    <row r="2770">
      <c r="A2770">
        <f>IF($P2770="","",INDEX(상세표[사번],$P2770)&amp;"")</f>
        <v/>
      </c>
      <c r="B2770">
        <f>IF($P2770="","",INDEX(상세표[성명],$P2770)&amp;"")</f>
        <v/>
      </c>
      <c r="C2770">
        <f>IF($P2770="","",INDEX(상세표[부서],$P2770)&amp;"")</f>
        <v/>
      </c>
      <c r="D2770">
        <f>IF($P2770="","",INDEX(상세표[직위],$P2770)&amp;"")</f>
        <v/>
      </c>
      <c r="E2770">
        <f>IF($P2770="","",IF(ISNUMBER(INDEX(상세표[시작],$P2770)),TEXT(INDEX(상세표[시작],$P2770),"yyyy-mm-dd hh:mm"),INDEX(상세표[시작],$P2770)&amp;""))</f>
        <v/>
      </c>
      <c r="F2770">
        <f>IF($P2770="","",IF(ISNUMBER(INDEX(상세표[블록종료],$P2770)),TEXT(INDEX(상세표[블록종료],$P2770),"yyyy-mm-dd hh:mm"),INDEX(상세표[블록종료],$P2770)&amp;""))</f>
        <v/>
      </c>
      <c r="G2770">
        <f>IF($P2770="","",CHOOSE(WEEKDAY(INDEX(상세표[시작],$P2770)),"일","월","화","수","목","금","토"))</f>
        <v/>
      </c>
      <c r="H2770">
        <f>IF($P2770="","",INDEX(상세표[연속 시간],$P2770))</f>
        <v/>
      </c>
      <c r="I2770">
        <f>IF($P2770="","",INDEX(상세표[기록 수],$P2770))</f>
        <v/>
      </c>
      <c r="J2770">
        <f>IF($P2770="","",INDEX(상세표[블록 06~07시],$P2770))</f>
        <v/>
      </c>
      <c r="K2770">
        <f>IF($P2770="","",INDEX(상세표[블록 07~18시],$P2770))</f>
        <v/>
      </c>
      <c r="L2770">
        <f>IF($P2770="","",INDEX(상세표[블록 18~22시],$P2770))</f>
        <v/>
      </c>
      <c r="M2770">
        <f>IF($P2770="","",INDEX(상세표[블록 22~06시],$P2770))</f>
        <v/>
      </c>
      <c r="N2770">
        <f>IF($P2770="","",INDEX(상세표[주말·휴일 포함],$P2770)&amp;"")</f>
        <v/>
      </c>
      <c r="O2770">
        <f>IF($P2770="","",INDEX(상세표[월 넘김 포함],$P2770)&amp;"")</f>
        <v/>
      </c>
      <c r="P2770" s="4">
        <f>IFERROR(MATCH(2765,상세표[연속순번],0),"")</f>
        <v/>
      </c>
    </row>
    <row r="2771">
      <c r="A2771">
        <f>IF($P2771="","",INDEX(상세표[사번],$P2771)&amp;"")</f>
        <v/>
      </c>
      <c r="B2771">
        <f>IF($P2771="","",INDEX(상세표[성명],$P2771)&amp;"")</f>
        <v/>
      </c>
      <c r="C2771">
        <f>IF($P2771="","",INDEX(상세표[부서],$P2771)&amp;"")</f>
        <v/>
      </c>
      <c r="D2771">
        <f>IF($P2771="","",INDEX(상세표[직위],$P2771)&amp;"")</f>
        <v/>
      </c>
      <c r="E2771">
        <f>IF($P2771="","",IF(ISNUMBER(INDEX(상세표[시작],$P2771)),TEXT(INDEX(상세표[시작],$P2771),"yyyy-mm-dd hh:mm"),INDEX(상세표[시작],$P2771)&amp;""))</f>
        <v/>
      </c>
      <c r="F2771">
        <f>IF($P2771="","",IF(ISNUMBER(INDEX(상세표[블록종료],$P2771)),TEXT(INDEX(상세표[블록종료],$P2771),"yyyy-mm-dd hh:mm"),INDEX(상세표[블록종료],$P2771)&amp;""))</f>
        <v/>
      </c>
      <c r="G2771">
        <f>IF($P2771="","",CHOOSE(WEEKDAY(INDEX(상세표[시작],$P2771)),"일","월","화","수","목","금","토"))</f>
        <v/>
      </c>
      <c r="H2771">
        <f>IF($P2771="","",INDEX(상세표[연속 시간],$P2771))</f>
        <v/>
      </c>
      <c r="I2771">
        <f>IF($P2771="","",INDEX(상세표[기록 수],$P2771))</f>
        <v/>
      </c>
      <c r="J2771">
        <f>IF($P2771="","",INDEX(상세표[블록 06~07시],$P2771))</f>
        <v/>
      </c>
      <c r="K2771">
        <f>IF($P2771="","",INDEX(상세표[블록 07~18시],$P2771))</f>
        <v/>
      </c>
      <c r="L2771">
        <f>IF($P2771="","",INDEX(상세표[블록 18~22시],$P2771))</f>
        <v/>
      </c>
      <c r="M2771">
        <f>IF($P2771="","",INDEX(상세표[블록 22~06시],$P2771))</f>
        <v/>
      </c>
      <c r="N2771">
        <f>IF($P2771="","",INDEX(상세표[주말·휴일 포함],$P2771)&amp;"")</f>
        <v/>
      </c>
      <c r="O2771">
        <f>IF($P2771="","",INDEX(상세표[월 넘김 포함],$P2771)&amp;"")</f>
        <v/>
      </c>
      <c r="P2771" s="4">
        <f>IFERROR(MATCH(2766,상세표[연속순번],0),"")</f>
        <v/>
      </c>
    </row>
    <row r="2772">
      <c r="A2772">
        <f>IF($P2772="","",INDEX(상세표[사번],$P2772)&amp;"")</f>
        <v/>
      </c>
      <c r="B2772">
        <f>IF($P2772="","",INDEX(상세표[성명],$P2772)&amp;"")</f>
        <v/>
      </c>
      <c r="C2772">
        <f>IF($P2772="","",INDEX(상세표[부서],$P2772)&amp;"")</f>
        <v/>
      </c>
      <c r="D2772">
        <f>IF($P2772="","",INDEX(상세표[직위],$P2772)&amp;"")</f>
        <v/>
      </c>
      <c r="E2772">
        <f>IF($P2772="","",IF(ISNUMBER(INDEX(상세표[시작],$P2772)),TEXT(INDEX(상세표[시작],$P2772),"yyyy-mm-dd hh:mm"),INDEX(상세표[시작],$P2772)&amp;""))</f>
        <v/>
      </c>
      <c r="F2772">
        <f>IF($P2772="","",IF(ISNUMBER(INDEX(상세표[블록종료],$P2772)),TEXT(INDEX(상세표[블록종료],$P2772),"yyyy-mm-dd hh:mm"),INDEX(상세표[블록종료],$P2772)&amp;""))</f>
        <v/>
      </c>
      <c r="G2772">
        <f>IF($P2772="","",CHOOSE(WEEKDAY(INDEX(상세표[시작],$P2772)),"일","월","화","수","목","금","토"))</f>
        <v/>
      </c>
      <c r="H2772">
        <f>IF($P2772="","",INDEX(상세표[연속 시간],$P2772))</f>
        <v/>
      </c>
      <c r="I2772">
        <f>IF($P2772="","",INDEX(상세표[기록 수],$P2772))</f>
        <v/>
      </c>
      <c r="J2772">
        <f>IF($P2772="","",INDEX(상세표[블록 06~07시],$P2772))</f>
        <v/>
      </c>
      <c r="K2772">
        <f>IF($P2772="","",INDEX(상세표[블록 07~18시],$P2772))</f>
        <v/>
      </c>
      <c r="L2772">
        <f>IF($P2772="","",INDEX(상세표[블록 18~22시],$P2772))</f>
        <v/>
      </c>
      <c r="M2772">
        <f>IF($P2772="","",INDEX(상세표[블록 22~06시],$P2772))</f>
        <v/>
      </c>
      <c r="N2772">
        <f>IF($P2772="","",INDEX(상세표[주말·휴일 포함],$P2772)&amp;"")</f>
        <v/>
      </c>
      <c r="O2772">
        <f>IF($P2772="","",INDEX(상세표[월 넘김 포함],$P2772)&amp;"")</f>
        <v/>
      </c>
      <c r="P2772" s="4">
        <f>IFERROR(MATCH(2767,상세표[연속순번],0),"")</f>
        <v/>
      </c>
    </row>
    <row r="2773">
      <c r="A2773">
        <f>IF($P2773="","",INDEX(상세표[사번],$P2773)&amp;"")</f>
        <v/>
      </c>
      <c r="B2773">
        <f>IF($P2773="","",INDEX(상세표[성명],$P2773)&amp;"")</f>
        <v/>
      </c>
      <c r="C2773">
        <f>IF($P2773="","",INDEX(상세표[부서],$P2773)&amp;"")</f>
        <v/>
      </c>
      <c r="D2773">
        <f>IF($P2773="","",INDEX(상세표[직위],$P2773)&amp;"")</f>
        <v/>
      </c>
      <c r="E2773">
        <f>IF($P2773="","",IF(ISNUMBER(INDEX(상세표[시작],$P2773)),TEXT(INDEX(상세표[시작],$P2773),"yyyy-mm-dd hh:mm"),INDEX(상세표[시작],$P2773)&amp;""))</f>
        <v/>
      </c>
      <c r="F2773">
        <f>IF($P2773="","",IF(ISNUMBER(INDEX(상세표[블록종료],$P2773)),TEXT(INDEX(상세표[블록종료],$P2773),"yyyy-mm-dd hh:mm"),INDEX(상세표[블록종료],$P2773)&amp;""))</f>
        <v/>
      </c>
      <c r="G2773">
        <f>IF($P2773="","",CHOOSE(WEEKDAY(INDEX(상세표[시작],$P2773)),"일","월","화","수","목","금","토"))</f>
        <v/>
      </c>
      <c r="H2773">
        <f>IF($P2773="","",INDEX(상세표[연속 시간],$P2773))</f>
        <v/>
      </c>
      <c r="I2773">
        <f>IF($P2773="","",INDEX(상세표[기록 수],$P2773))</f>
        <v/>
      </c>
      <c r="J2773">
        <f>IF($P2773="","",INDEX(상세표[블록 06~07시],$P2773))</f>
        <v/>
      </c>
      <c r="K2773">
        <f>IF($P2773="","",INDEX(상세표[블록 07~18시],$P2773))</f>
        <v/>
      </c>
      <c r="L2773">
        <f>IF($P2773="","",INDEX(상세표[블록 18~22시],$P2773))</f>
        <v/>
      </c>
      <c r="M2773">
        <f>IF($P2773="","",INDEX(상세표[블록 22~06시],$P2773))</f>
        <v/>
      </c>
      <c r="N2773">
        <f>IF($P2773="","",INDEX(상세표[주말·휴일 포함],$P2773)&amp;"")</f>
        <v/>
      </c>
      <c r="O2773">
        <f>IF($P2773="","",INDEX(상세표[월 넘김 포함],$P2773)&amp;"")</f>
        <v/>
      </c>
      <c r="P2773" s="4">
        <f>IFERROR(MATCH(2768,상세표[연속순번],0),"")</f>
        <v/>
      </c>
    </row>
    <row r="2774">
      <c r="A2774">
        <f>IF($P2774="","",INDEX(상세표[사번],$P2774)&amp;"")</f>
        <v/>
      </c>
      <c r="B2774">
        <f>IF($P2774="","",INDEX(상세표[성명],$P2774)&amp;"")</f>
        <v/>
      </c>
      <c r="C2774">
        <f>IF($P2774="","",INDEX(상세표[부서],$P2774)&amp;"")</f>
        <v/>
      </c>
      <c r="D2774">
        <f>IF($P2774="","",INDEX(상세표[직위],$P2774)&amp;"")</f>
        <v/>
      </c>
      <c r="E2774">
        <f>IF($P2774="","",IF(ISNUMBER(INDEX(상세표[시작],$P2774)),TEXT(INDEX(상세표[시작],$P2774),"yyyy-mm-dd hh:mm"),INDEX(상세표[시작],$P2774)&amp;""))</f>
        <v/>
      </c>
      <c r="F2774">
        <f>IF($P2774="","",IF(ISNUMBER(INDEX(상세표[블록종료],$P2774)),TEXT(INDEX(상세표[블록종료],$P2774),"yyyy-mm-dd hh:mm"),INDEX(상세표[블록종료],$P2774)&amp;""))</f>
        <v/>
      </c>
      <c r="G2774">
        <f>IF($P2774="","",CHOOSE(WEEKDAY(INDEX(상세표[시작],$P2774)),"일","월","화","수","목","금","토"))</f>
        <v/>
      </c>
      <c r="H2774">
        <f>IF($P2774="","",INDEX(상세표[연속 시간],$P2774))</f>
        <v/>
      </c>
      <c r="I2774">
        <f>IF($P2774="","",INDEX(상세표[기록 수],$P2774))</f>
        <v/>
      </c>
      <c r="J2774">
        <f>IF($P2774="","",INDEX(상세표[블록 06~07시],$P2774))</f>
        <v/>
      </c>
      <c r="K2774">
        <f>IF($P2774="","",INDEX(상세표[블록 07~18시],$P2774))</f>
        <v/>
      </c>
      <c r="L2774">
        <f>IF($P2774="","",INDEX(상세표[블록 18~22시],$P2774))</f>
        <v/>
      </c>
      <c r="M2774">
        <f>IF($P2774="","",INDEX(상세표[블록 22~06시],$P2774))</f>
        <v/>
      </c>
      <c r="N2774">
        <f>IF($P2774="","",INDEX(상세표[주말·휴일 포함],$P2774)&amp;"")</f>
        <v/>
      </c>
      <c r="O2774">
        <f>IF($P2774="","",INDEX(상세표[월 넘김 포함],$P2774)&amp;"")</f>
        <v/>
      </c>
      <c r="P2774" s="4">
        <f>IFERROR(MATCH(2769,상세표[연속순번],0),"")</f>
        <v/>
      </c>
    </row>
    <row r="2775">
      <c r="A2775">
        <f>IF($P2775="","",INDEX(상세표[사번],$P2775)&amp;"")</f>
        <v/>
      </c>
      <c r="B2775">
        <f>IF($P2775="","",INDEX(상세표[성명],$P2775)&amp;"")</f>
        <v/>
      </c>
      <c r="C2775">
        <f>IF($P2775="","",INDEX(상세표[부서],$P2775)&amp;"")</f>
        <v/>
      </c>
      <c r="D2775">
        <f>IF($P2775="","",INDEX(상세표[직위],$P2775)&amp;"")</f>
        <v/>
      </c>
      <c r="E2775">
        <f>IF($P2775="","",IF(ISNUMBER(INDEX(상세표[시작],$P2775)),TEXT(INDEX(상세표[시작],$P2775),"yyyy-mm-dd hh:mm"),INDEX(상세표[시작],$P2775)&amp;""))</f>
        <v/>
      </c>
      <c r="F2775">
        <f>IF($P2775="","",IF(ISNUMBER(INDEX(상세표[블록종료],$P2775)),TEXT(INDEX(상세표[블록종료],$P2775),"yyyy-mm-dd hh:mm"),INDEX(상세표[블록종료],$P2775)&amp;""))</f>
        <v/>
      </c>
      <c r="G2775">
        <f>IF($P2775="","",CHOOSE(WEEKDAY(INDEX(상세표[시작],$P2775)),"일","월","화","수","목","금","토"))</f>
        <v/>
      </c>
      <c r="H2775">
        <f>IF($P2775="","",INDEX(상세표[연속 시간],$P2775))</f>
        <v/>
      </c>
      <c r="I2775">
        <f>IF($P2775="","",INDEX(상세표[기록 수],$P2775))</f>
        <v/>
      </c>
      <c r="J2775">
        <f>IF($P2775="","",INDEX(상세표[블록 06~07시],$P2775))</f>
        <v/>
      </c>
      <c r="K2775">
        <f>IF($P2775="","",INDEX(상세표[블록 07~18시],$P2775))</f>
        <v/>
      </c>
      <c r="L2775">
        <f>IF($P2775="","",INDEX(상세표[블록 18~22시],$P2775))</f>
        <v/>
      </c>
      <c r="M2775">
        <f>IF($P2775="","",INDEX(상세표[블록 22~06시],$P2775))</f>
        <v/>
      </c>
      <c r="N2775">
        <f>IF($P2775="","",INDEX(상세표[주말·휴일 포함],$P2775)&amp;"")</f>
        <v/>
      </c>
      <c r="O2775">
        <f>IF($P2775="","",INDEX(상세표[월 넘김 포함],$P2775)&amp;"")</f>
        <v/>
      </c>
      <c r="P2775" s="4">
        <f>IFERROR(MATCH(2770,상세표[연속순번],0),"")</f>
        <v/>
      </c>
    </row>
    <row r="2776">
      <c r="A2776">
        <f>IF($P2776="","",INDEX(상세표[사번],$P2776)&amp;"")</f>
        <v/>
      </c>
      <c r="B2776">
        <f>IF($P2776="","",INDEX(상세표[성명],$P2776)&amp;"")</f>
        <v/>
      </c>
      <c r="C2776">
        <f>IF($P2776="","",INDEX(상세표[부서],$P2776)&amp;"")</f>
        <v/>
      </c>
      <c r="D2776">
        <f>IF($P2776="","",INDEX(상세표[직위],$P2776)&amp;"")</f>
        <v/>
      </c>
      <c r="E2776">
        <f>IF($P2776="","",IF(ISNUMBER(INDEX(상세표[시작],$P2776)),TEXT(INDEX(상세표[시작],$P2776),"yyyy-mm-dd hh:mm"),INDEX(상세표[시작],$P2776)&amp;""))</f>
        <v/>
      </c>
      <c r="F2776">
        <f>IF($P2776="","",IF(ISNUMBER(INDEX(상세표[블록종료],$P2776)),TEXT(INDEX(상세표[블록종료],$P2776),"yyyy-mm-dd hh:mm"),INDEX(상세표[블록종료],$P2776)&amp;""))</f>
        <v/>
      </c>
      <c r="G2776">
        <f>IF($P2776="","",CHOOSE(WEEKDAY(INDEX(상세표[시작],$P2776)),"일","월","화","수","목","금","토"))</f>
        <v/>
      </c>
      <c r="H2776">
        <f>IF($P2776="","",INDEX(상세표[연속 시간],$P2776))</f>
        <v/>
      </c>
      <c r="I2776">
        <f>IF($P2776="","",INDEX(상세표[기록 수],$P2776))</f>
        <v/>
      </c>
      <c r="J2776">
        <f>IF($P2776="","",INDEX(상세표[블록 06~07시],$P2776))</f>
        <v/>
      </c>
      <c r="K2776">
        <f>IF($P2776="","",INDEX(상세표[블록 07~18시],$P2776))</f>
        <v/>
      </c>
      <c r="L2776">
        <f>IF($P2776="","",INDEX(상세표[블록 18~22시],$P2776))</f>
        <v/>
      </c>
      <c r="M2776">
        <f>IF($P2776="","",INDEX(상세표[블록 22~06시],$P2776))</f>
        <v/>
      </c>
      <c r="N2776">
        <f>IF($P2776="","",INDEX(상세표[주말·휴일 포함],$P2776)&amp;"")</f>
        <v/>
      </c>
      <c r="O2776">
        <f>IF($P2776="","",INDEX(상세표[월 넘김 포함],$P2776)&amp;"")</f>
        <v/>
      </c>
      <c r="P2776" s="4">
        <f>IFERROR(MATCH(2771,상세표[연속순번],0),"")</f>
        <v/>
      </c>
    </row>
    <row r="2777">
      <c r="A2777">
        <f>IF($P2777="","",INDEX(상세표[사번],$P2777)&amp;"")</f>
        <v/>
      </c>
      <c r="B2777">
        <f>IF($P2777="","",INDEX(상세표[성명],$P2777)&amp;"")</f>
        <v/>
      </c>
      <c r="C2777">
        <f>IF($P2777="","",INDEX(상세표[부서],$P2777)&amp;"")</f>
        <v/>
      </c>
      <c r="D2777">
        <f>IF($P2777="","",INDEX(상세표[직위],$P2777)&amp;"")</f>
        <v/>
      </c>
      <c r="E2777">
        <f>IF($P2777="","",IF(ISNUMBER(INDEX(상세표[시작],$P2777)),TEXT(INDEX(상세표[시작],$P2777),"yyyy-mm-dd hh:mm"),INDEX(상세표[시작],$P2777)&amp;""))</f>
        <v/>
      </c>
      <c r="F2777">
        <f>IF($P2777="","",IF(ISNUMBER(INDEX(상세표[블록종료],$P2777)),TEXT(INDEX(상세표[블록종료],$P2777),"yyyy-mm-dd hh:mm"),INDEX(상세표[블록종료],$P2777)&amp;""))</f>
        <v/>
      </c>
      <c r="G2777">
        <f>IF($P2777="","",CHOOSE(WEEKDAY(INDEX(상세표[시작],$P2777)),"일","월","화","수","목","금","토"))</f>
        <v/>
      </c>
      <c r="H2777">
        <f>IF($P2777="","",INDEX(상세표[연속 시간],$P2777))</f>
        <v/>
      </c>
      <c r="I2777">
        <f>IF($P2777="","",INDEX(상세표[기록 수],$P2777))</f>
        <v/>
      </c>
      <c r="J2777">
        <f>IF($P2777="","",INDEX(상세표[블록 06~07시],$P2777))</f>
        <v/>
      </c>
      <c r="K2777">
        <f>IF($P2777="","",INDEX(상세표[블록 07~18시],$P2777))</f>
        <v/>
      </c>
      <c r="L2777">
        <f>IF($P2777="","",INDEX(상세표[블록 18~22시],$P2777))</f>
        <v/>
      </c>
      <c r="M2777">
        <f>IF($P2777="","",INDEX(상세표[블록 22~06시],$P2777))</f>
        <v/>
      </c>
      <c r="N2777">
        <f>IF($P2777="","",INDEX(상세표[주말·휴일 포함],$P2777)&amp;"")</f>
        <v/>
      </c>
      <c r="O2777">
        <f>IF($P2777="","",INDEX(상세표[월 넘김 포함],$P2777)&amp;"")</f>
        <v/>
      </c>
      <c r="P2777" s="4">
        <f>IFERROR(MATCH(2772,상세표[연속순번],0),"")</f>
        <v/>
      </c>
    </row>
    <row r="2778">
      <c r="A2778">
        <f>IF($P2778="","",INDEX(상세표[사번],$P2778)&amp;"")</f>
        <v/>
      </c>
      <c r="B2778">
        <f>IF($P2778="","",INDEX(상세표[성명],$P2778)&amp;"")</f>
        <v/>
      </c>
      <c r="C2778">
        <f>IF($P2778="","",INDEX(상세표[부서],$P2778)&amp;"")</f>
        <v/>
      </c>
      <c r="D2778">
        <f>IF($P2778="","",INDEX(상세표[직위],$P2778)&amp;"")</f>
        <v/>
      </c>
      <c r="E2778">
        <f>IF($P2778="","",IF(ISNUMBER(INDEX(상세표[시작],$P2778)),TEXT(INDEX(상세표[시작],$P2778),"yyyy-mm-dd hh:mm"),INDEX(상세표[시작],$P2778)&amp;""))</f>
        <v/>
      </c>
      <c r="F2778">
        <f>IF($P2778="","",IF(ISNUMBER(INDEX(상세표[블록종료],$P2778)),TEXT(INDEX(상세표[블록종료],$P2778),"yyyy-mm-dd hh:mm"),INDEX(상세표[블록종료],$P2778)&amp;""))</f>
        <v/>
      </c>
      <c r="G2778">
        <f>IF($P2778="","",CHOOSE(WEEKDAY(INDEX(상세표[시작],$P2778)),"일","월","화","수","목","금","토"))</f>
        <v/>
      </c>
      <c r="H2778">
        <f>IF($P2778="","",INDEX(상세표[연속 시간],$P2778))</f>
        <v/>
      </c>
      <c r="I2778">
        <f>IF($P2778="","",INDEX(상세표[기록 수],$P2778))</f>
        <v/>
      </c>
      <c r="J2778">
        <f>IF($P2778="","",INDEX(상세표[블록 06~07시],$P2778))</f>
        <v/>
      </c>
      <c r="K2778">
        <f>IF($P2778="","",INDEX(상세표[블록 07~18시],$P2778))</f>
        <v/>
      </c>
      <c r="L2778">
        <f>IF($P2778="","",INDEX(상세표[블록 18~22시],$P2778))</f>
        <v/>
      </c>
      <c r="M2778">
        <f>IF($P2778="","",INDEX(상세표[블록 22~06시],$P2778))</f>
        <v/>
      </c>
      <c r="N2778">
        <f>IF($P2778="","",INDEX(상세표[주말·휴일 포함],$P2778)&amp;"")</f>
        <v/>
      </c>
      <c r="O2778">
        <f>IF($P2778="","",INDEX(상세표[월 넘김 포함],$P2778)&amp;"")</f>
        <v/>
      </c>
      <c r="P2778" s="4">
        <f>IFERROR(MATCH(2773,상세표[연속순번],0),"")</f>
        <v/>
      </c>
    </row>
    <row r="2779">
      <c r="A2779">
        <f>IF($P2779="","",INDEX(상세표[사번],$P2779)&amp;"")</f>
        <v/>
      </c>
      <c r="B2779">
        <f>IF($P2779="","",INDEX(상세표[성명],$P2779)&amp;"")</f>
        <v/>
      </c>
      <c r="C2779">
        <f>IF($P2779="","",INDEX(상세표[부서],$P2779)&amp;"")</f>
        <v/>
      </c>
      <c r="D2779">
        <f>IF($P2779="","",INDEX(상세표[직위],$P2779)&amp;"")</f>
        <v/>
      </c>
      <c r="E2779">
        <f>IF($P2779="","",IF(ISNUMBER(INDEX(상세표[시작],$P2779)),TEXT(INDEX(상세표[시작],$P2779),"yyyy-mm-dd hh:mm"),INDEX(상세표[시작],$P2779)&amp;""))</f>
        <v/>
      </c>
      <c r="F2779">
        <f>IF($P2779="","",IF(ISNUMBER(INDEX(상세표[블록종료],$P2779)),TEXT(INDEX(상세표[블록종료],$P2779),"yyyy-mm-dd hh:mm"),INDEX(상세표[블록종료],$P2779)&amp;""))</f>
        <v/>
      </c>
      <c r="G2779">
        <f>IF($P2779="","",CHOOSE(WEEKDAY(INDEX(상세표[시작],$P2779)),"일","월","화","수","목","금","토"))</f>
        <v/>
      </c>
      <c r="H2779">
        <f>IF($P2779="","",INDEX(상세표[연속 시간],$P2779))</f>
        <v/>
      </c>
      <c r="I2779">
        <f>IF($P2779="","",INDEX(상세표[기록 수],$P2779))</f>
        <v/>
      </c>
      <c r="J2779">
        <f>IF($P2779="","",INDEX(상세표[블록 06~07시],$P2779))</f>
        <v/>
      </c>
      <c r="K2779">
        <f>IF($P2779="","",INDEX(상세표[블록 07~18시],$P2779))</f>
        <v/>
      </c>
      <c r="L2779">
        <f>IF($P2779="","",INDEX(상세표[블록 18~22시],$P2779))</f>
        <v/>
      </c>
      <c r="M2779">
        <f>IF($P2779="","",INDEX(상세표[블록 22~06시],$P2779))</f>
        <v/>
      </c>
      <c r="N2779">
        <f>IF($P2779="","",INDEX(상세표[주말·휴일 포함],$P2779)&amp;"")</f>
        <v/>
      </c>
      <c r="O2779">
        <f>IF($P2779="","",INDEX(상세표[월 넘김 포함],$P2779)&amp;"")</f>
        <v/>
      </c>
      <c r="P2779" s="4">
        <f>IFERROR(MATCH(2774,상세표[연속순번],0),"")</f>
        <v/>
      </c>
    </row>
    <row r="2780">
      <c r="A2780">
        <f>IF($P2780="","",INDEX(상세표[사번],$P2780)&amp;"")</f>
        <v/>
      </c>
      <c r="B2780">
        <f>IF($P2780="","",INDEX(상세표[성명],$P2780)&amp;"")</f>
        <v/>
      </c>
      <c r="C2780">
        <f>IF($P2780="","",INDEX(상세표[부서],$P2780)&amp;"")</f>
        <v/>
      </c>
      <c r="D2780">
        <f>IF($P2780="","",INDEX(상세표[직위],$P2780)&amp;"")</f>
        <v/>
      </c>
      <c r="E2780">
        <f>IF($P2780="","",IF(ISNUMBER(INDEX(상세표[시작],$P2780)),TEXT(INDEX(상세표[시작],$P2780),"yyyy-mm-dd hh:mm"),INDEX(상세표[시작],$P2780)&amp;""))</f>
        <v/>
      </c>
      <c r="F2780">
        <f>IF($P2780="","",IF(ISNUMBER(INDEX(상세표[블록종료],$P2780)),TEXT(INDEX(상세표[블록종료],$P2780),"yyyy-mm-dd hh:mm"),INDEX(상세표[블록종료],$P2780)&amp;""))</f>
        <v/>
      </c>
      <c r="G2780">
        <f>IF($P2780="","",CHOOSE(WEEKDAY(INDEX(상세표[시작],$P2780)),"일","월","화","수","목","금","토"))</f>
        <v/>
      </c>
      <c r="H2780">
        <f>IF($P2780="","",INDEX(상세표[연속 시간],$P2780))</f>
        <v/>
      </c>
      <c r="I2780">
        <f>IF($P2780="","",INDEX(상세표[기록 수],$P2780))</f>
        <v/>
      </c>
      <c r="J2780">
        <f>IF($P2780="","",INDEX(상세표[블록 06~07시],$P2780))</f>
        <v/>
      </c>
      <c r="K2780">
        <f>IF($P2780="","",INDEX(상세표[블록 07~18시],$P2780))</f>
        <v/>
      </c>
      <c r="L2780">
        <f>IF($P2780="","",INDEX(상세표[블록 18~22시],$P2780))</f>
        <v/>
      </c>
      <c r="M2780">
        <f>IF($P2780="","",INDEX(상세표[블록 22~06시],$P2780))</f>
        <v/>
      </c>
      <c r="N2780">
        <f>IF($P2780="","",INDEX(상세표[주말·휴일 포함],$P2780)&amp;"")</f>
        <v/>
      </c>
      <c r="O2780">
        <f>IF($P2780="","",INDEX(상세표[월 넘김 포함],$P2780)&amp;"")</f>
        <v/>
      </c>
      <c r="P2780" s="4">
        <f>IFERROR(MATCH(2775,상세표[연속순번],0),"")</f>
        <v/>
      </c>
    </row>
    <row r="2781">
      <c r="A2781">
        <f>IF($P2781="","",INDEX(상세표[사번],$P2781)&amp;"")</f>
        <v/>
      </c>
      <c r="B2781">
        <f>IF($P2781="","",INDEX(상세표[성명],$P2781)&amp;"")</f>
        <v/>
      </c>
      <c r="C2781">
        <f>IF($P2781="","",INDEX(상세표[부서],$P2781)&amp;"")</f>
        <v/>
      </c>
      <c r="D2781">
        <f>IF($P2781="","",INDEX(상세표[직위],$P2781)&amp;"")</f>
        <v/>
      </c>
      <c r="E2781">
        <f>IF($P2781="","",IF(ISNUMBER(INDEX(상세표[시작],$P2781)),TEXT(INDEX(상세표[시작],$P2781),"yyyy-mm-dd hh:mm"),INDEX(상세표[시작],$P2781)&amp;""))</f>
        <v/>
      </c>
      <c r="F2781">
        <f>IF($P2781="","",IF(ISNUMBER(INDEX(상세표[블록종료],$P2781)),TEXT(INDEX(상세표[블록종료],$P2781),"yyyy-mm-dd hh:mm"),INDEX(상세표[블록종료],$P2781)&amp;""))</f>
        <v/>
      </c>
      <c r="G2781">
        <f>IF($P2781="","",CHOOSE(WEEKDAY(INDEX(상세표[시작],$P2781)),"일","월","화","수","목","금","토"))</f>
        <v/>
      </c>
      <c r="H2781">
        <f>IF($P2781="","",INDEX(상세표[연속 시간],$P2781))</f>
        <v/>
      </c>
      <c r="I2781">
        <f>IF($P2781="","",INDEX(상세표[기록 수],$P2781))</f>
        <v/>
      </c>
      <c r="J2781">
        <f>IF($P2781="","",INDEX(상세표[블록 06~07시],$P2781))</f>
        <v/>
      </c>
      <c r="K2781">
        <f>IF($P2781="","",INDEX(상세표[블록 07~18시],$P2781))</f>
        <v/>
      </c>
      <c r="L2781">
        <f>IF($P2781="","",INDEX(상세표[블록 18~22시],$P2781))</f>
        <v/>
      </c>
      <c r="M2781">
        <f>IF($P2781="","",INDEX(상세표[블록 22~06시],$P2781))</f>
        <v/>
      </c>
      <c r="N2781">
        <f>IF($P2781="","",INDEX(상세표[주말·휴일 포함],$P2781)&amp;"")</f>
        <v/>
      </c>
      <c r="O2781">
        <f>IF($P2781="","",INDEX(상세표[월 넘김 포함],$P2781)&amp;"")</f>
        <v/>
      </c>
      <c r="P2781" s="4">
        <f>IFERROR(MATCH(2776,상세표[연속순번],0),"")</f>
        <v/>
      </c>
    </row>
    <row r="2782">
      <c r="A2782">
        <f>IF($P2782="","",INDEX(상세표[사번],$P2782)&amp;"")</f>
        <v/>
      </c>
      <c r="B2782">
        <f>IF($P2782="","",INDEX(상세표[성명],$P2782)&amp;"")</f>
        <v/>
      </c>
      <c r="C2782">
        <f>IF($P2782="","",INDEX(상세표[부서],$P2782)&amp;"")</f>
        <v/>
      </c>
      <c r="D2782">
        <f>IF($P2782="","",INDEX(상세표[직위],$P2782)&amp;"")</f>
        <v/>
      </c>
      <c r="E2782">
        <f>IF($P2782="","",IF(ISNUMBER(INDEX(상세표[시작],$P2782)),TEXT(INDEX(상세표[시작],$P2782),"yyyy-mm-dd hh:mm"),INDEX(상세표[시작],$P2782)&amp;""))</f>
        <v/>
      </c>
      <c r="F2782">
        <f>IF($P2782="","",IF(ISNUMBER(INDEX(상세표[블록종료],$P2782)),TEXT(INDEX(상세표[블록종료],$P2782),"yyyy-mm-dd hh:mm"),INDEX(상세표[블록종료],$P2782)&amp;""))</f>
        <v/>
      </c>
      <c r="G2782">
        <f>IF($P2782="","",CHOOSE(WEEKDAY(INDEX(상세표[시작],$P2782)),"일","월","화","수","목","금","토"))</f>
        <v/>
      </c>
      <c r="H2782">
        <f>IF($P2782="","",INDEX(상세표[연속 시간],$P2782))</f>
        <v/>
      </c>
      <c r="I2782">
        <f>IF($P2782="","",INDEX(상세표[기록 수],$P2782))</f>
        <v/>
      </c>
      <c r="J2782">
        <f>IF($P2782="","",INDEX(상세표[블록 06~07시],$P2782))</f>
        <v/>
      </c>
      <c r="K2782">
        <f>IF($P2782="","",INDEX(상세표[블록 07~18시],$P2782))</f>
        <v/>
      </c>
      <c r="L2782">
        <f>IF($P2782="","",INDEX(상세표[블록 18~22시],$P2782))</f>
        <v/>
      </c>
      <c r="M2782">
        <f>IF($P2782="","",INDEX(상세표[블록 22~06시],$P2782))</f>
        <v/>
      </c>
      <c r="N2782">
        <f>IF($P2782="","",INDEX(상세표[주말·휴일 포함],$P2782)&amp;"")</f>
        <v/>
      </c>
      <c r="O2782">
        <f>IF($P2782="","",INDEX(상세표[월 넘김 포함],$P2782)&amp;"")</f>
        <v/>
      </c>
      <c r="P2782" s="4">
        <f>IFERROR(MATCH(2777,상세표[연속순번],0),"")</f>
        <v/>
      </c>
    </row>
    <row r="2783">
      <c r="A2783">
        <f>IF($P2783="","",INDEX(상세표[사번],$P2783)&amp;"")</f>
        <v/>
      </c>
      <c r="B2783">
        <f>IF($P2783="","",INDEX(상세표[성명],$P2783)&amp;"")</f>
        <v/>
      </c>
      <c r="C2783">
        <f>IF($P2783="","",INDEX(상세표[부서],$P2783)&amp;"")</f>
        <v/>
      </c>
      <c r="D2783">
        <f>IF($P2783="","",INDEX(상세표[직위],$P2783)&amp;"")</f>
        <v/>
      </c>
      <c r="E2783">
        <f>IF($P2783="","",IF(ISNUMBER(INDEX(상세표[시작],$P2783)),TEXT(INDEX(상세표[시작],$P2783),"yyyy-mm-dd hh:mm"),INDEX(상세표[시작],$P2783)&amp;""))</f>
        <v/>
      </c>
      <c r="F2783">
        <f>IF($P2783="","",IF(ISNUMBER(INDEX(상세표[블록종료],$P2783)),TEXT(INDEX(상세표[블록종료],$P2783),"yyyy-mm-dd hh:mm"),INDEX(상세표[블록종료],$P2783)&amp;""))</f>
        <v/>
      </c>
      <c r="G2783">
        <f>IF($P2783="","",CHOOSE(WEEKDAY(INDEX(상세표[시작],$P2783)),"일","월","화","수","목","금","토"))</f>
        <v/>
      </c>
      <c r="H2783">
        <f>IF($P2783="","",INDEX(상세표[연속 시간],$P2783))</f>
        <v/>
      </c>
      <c r="I2783">
        <f>IF($P2783="","",INDEX(상세표[기록 수],$P2783))</f>
        <v/>
      </c>
      <c r="J2783">
        <f>IF($P2783="","",INDEX(상세표[블록 06~07시],$P2783))</f>
        <v/>
      </c>
      <c r="K2783">
        <f>IF($P2783="","",INDEX(상세표[블록 07~18시],$P2783))</f>
        <v/>
      </c>
      <c r="L2783">
        <f>IF($P2783="","",INDEX(상세표[블록 18~22시],$P2783))</f>
        <v/>
      </c>
      <c r="M2783">
        <f>IF($P2783="","",INDEX(상세표[블록 22~06시],$P2783))</f>
        <v/>
      </c>
      <c r="N2783">
        <f>IF($P2783="","",INDEX(상세표[주말·휴일 포함],$P2783)&amp;"")</f>
        <v/>
      </c>
      <c r="O2783">
        <f>IF($P2783="","",INDEX(상세표[월 넘김 포함],$P2783)&amp;"")</f>
        <v/>
      </c>
      <c r="P2783" s="4">
        <f>IFERROR(MATCH(2778,상세표[연속순번],0),"")</f>
        <v/>
      </c>
    </row>
    <row r="2784">
      <c r="A2784">
        <f>IF($P2784="","",INDEX(상세표[사번],$P2784)&amp;"")</f>
        <v/>
      </c>
      <c r="B2784">
        <f>IF($P2784="","",INDEX(상세표[성명],$P2784)&amp;"")</f>
        <v/>
      </c>
      <c r="C2784">
        <f>IF($P2784="","",INDEX(상세표[부서],$P2784)&amp;"")</f>
        <v/>
      </c>
      <c r="D2784">
        <f>IF($P2784="","",INDEX(상세표[직위],$P2784)&amp;"")</f>
        <v/>
      </c>
      <c r="E2784">
        <f>IF($P2784="","",IF(ISNUMBER(INDEX(상세표[시작],$P2784)),TEXT(INDEX(상세표[시작],$P2784),"yyyy-mm-dd hh:mm"),INDEX(상세표[시작],$P2784)&amp;""))</f>
        <v/>
      </c>
      <c r="F2784">
        <f>IF($P2784="","",IF(ISNUMBER(INDEX(상세표[블록종료],$P2784)),TEXT(INDEX(상세표[블록종료],$P2784),"yyyy-mm-dd hh:mm"),INDEX(상세표[블록종료],$P2784)&amp;""))</f>
        <v/>
      </c>
      <c r="G2784">
        <f>IF($P2784="","",CHOOSE(WEEKDAY(INDEX(상세표[시작],$P2784)),"일","월","화","수","목","금","토"))</f>
        <v/>
      </c>
      <c r="H2784">
        <f>IF($P2784="","",INDEX(상세표[연속 시간],$P2784))</f>
        <v/>
      </c>
      <c r="I2784">
        <f>IF($P2784="","",INDEX(상세표[기록 수],$P2784))</f>
        <v/>
      </c>
      <c r="J2784">
        <f>IF($P2784="","",INDEX(상세표[블록 06~07시],$P2784))</f>
        <v/>
      </c>
      <c r="K2784">
        <f>IF($P2784="","",INDEX(상세표[블록 07~18시],$P2784))</f>
        <v/>
      </c>
      <c r="L2784">
        <f>IF($P2784="","",INDEX(상세표[블록 18~22시],$P2784))</f>
        <v/>
      </c>
      <c r="M2784">
        <f>IF($P2784="","",INDEX(상세표[블록 22~06시],$P2784))</f>
        <v/>
      </c>
      <c r="N2784">
        <f>IF($P2784="","",INDEX(상세표[주말·휴일 포함],$P2784)&amp;"")</f>
        <v/>
      </c>
      <c r="O2784">
        <f>IF($P2784="","",INDEX(상세표[월 넘김 포함],$P2784)&amp;"")</f>
        <v/>
      </c>
      <c r="P2784" s="4">
        <f>IFERROR(MATCH(2779,상세표[연속순번],0),"")</f>
        <v/>
      </c>
    </row>
    <row r="2785">
      <c r="A2785">
        <f>IF($P2785="","",INDEX(상세표[사번],$P2785)&amp;"")</f>
        <v/>
      </c>
      <c r="B2785">
        <f>IF($P2785="","",INDEX(상세표[성명],$P2785)&amp;"")</f>
        <v/>
      </c>
      <c r="C2785">
        <f>IF($P2785="","",INDEX(상세표[부서],$P2785)&amp;"")</f>
        <v/>
      </c>
      <c r="D2785">
        <f>IF($P2785="","",INDEX(상세표[직위],$P2785)&amp;"")</f>
        <v/>
      </c>
      <c r="E2785">
        <f>IF($P2785="","",IF(ISNUMBER(INDEX(상세표[시작],$P2785)),TEXT(INDEX(상세표[시작],$P2785),"yyyy-mm-dd hh:mm"),INDEX(상세표[시작],$P2785)&amp;""))</f>
        <v/>
      </c>
      <c r="F2785">
        <f>IF($P2785="","",IF(ISNUMBER(INDEX(상세표[블록종료],$P2785)),TEXT(INDEX(상세표[블록종료],$P2785),"yyyy-mm-dd hh:mm"),INDEX(상세표[블록종료],$P2785)&amp;""))</f>
        <v/>
      </c>
      <c r="G2785">
        <f>IF($P2785="","",CHOOSE(WEEKDAY(INDEX(상세표[시작],$P2785)),"일","월","화","수","목","금","토"))</f>
        <v/>
      </c>
      <c r="H2785">
        <f>IF($P2785="","",INDEX(상세표[연속 시간],$P2785))</f>
        <v/>
      </c>
      <c r="I2785">
        <f>IF($P2785="","",INDEX(상세표[기록 수],$P2785))</f>
        <v/>
      </c>
      <c r="J2785">
        <f>IF($P2785="","",INDEX(상세표[블록 06~07시],$P2785))</f>
        <v/>
      </c>
      <c r="K2785">
        <f>IF($P2785="","",INDEX(상세표[블록 07~18시],$P2785))</f>
        <v/>
      </c>
      <c r="L2785">
        <f>IF($P2785="","",INDEX(상세표[블록 18~22시],$P2785))</f>
        <v/>
      </c>
      <c r="M2785">
        <f>IF($P2785="","",INDEX(상세표[블록 22~06시],$P2785))</f>
        <v/>
      </c>
      <c r="N2785">
        <f>IF($P2785="","",INDEX(상세표[주말·휴일 포함],$P2785)&amp;"")</f>
        <v/>
      </c>
      <c r="O2785">
        <f>IF($P2785="","",INDEX(상세표[월 넘김 포함],$P2785)&amp;"")</f>
        <v/>
      </c>
      <c r="P2785" s="4">
        <f>IFERROR(MATCH(2780,상세표[연속순번],0),"")</f>
        <v/>
      </c>
    </row>
    <row r="2786">
      <c r="A2786">
        <f>IF($P2786="","",INDEX(상세표[사번],$P2786)&amp;"")</f>
        <v/>
      </c>
      <c r="B2786">
        <f>IF($P2786="","",INDEX(상세표[성명],$P2786)&amp;"")</f>
        <v/>
      </c>
      <c r="C2786">
        <f>IF($P2786="","",INDEX(상세표[부서],$P2786)&amp;"")</f>
        <v/>
      </c>
      <c r="D2786">
        <f>IF($P2786="","",INDEX(상세표[직위],$P2786)&amp;"")</f>
        <v/>
      </c>
      <c r="E2786">
        <f>IF($P2786="","",IF(ISNUMBER(INDEX(상세표[시작],$P2786)),TEXT(INDEX(상세표[시작],$P2786),"yyyy-mm-dd hh:mm"),INDEX(상세표[시작],$P2786)&amp;""))</f>
        <v/>
      </c>
      <c r="F2786">
        <f>IF($P2786="","",IF(ISNUMBER(INDEX(상세표[블록종료],$P2786)),TEXT(INDEX(상세표[블록종료],$P2786),"yyyy-mm-dd hh:mm"),INDEX(상세표[블록종료],$P2786)&amp;""))</f>
        <v/>
      </c>
      <c r="G2786">
        <f>IF($P2786="","",CHOOSE(WEEKDAY(INDEX(상세표[시작],$P2786)),"일","월","화","수","목","금","토"))</f>
        <v/>
      </c>
      <c r="H2786">
        <f>IF($P2786="","",INDEX(상세표[연속 시간],$P2786))</f>
        <v/>
      </c>
      <c r="I2786">
        <f>IF($P2786="","",INDEX(상세표[기록 수],$P2786))</f>
        <v/>
      </c>
      <c r="J2786">
        <f>IF($P2786="","",INDEX(상세표[블록 06~07시],$P2786))</f>
        <v/>
      </c>
      <c r="K2786">
        <f>IF($P2786="","",INDEX(상세표[블록 07~18시],$P2786))</f>
        <v/>
      </c>
      <c r="L2786">
        <f>IF($P2786="","",INDEX(상세표[블록 18~22시],$P2786))</f>
        <v/>
      </c>
      <c r="M2786">
        <f>IF($P2786="","",INDEX(상세표[블록 22~06시],$P2786))</f>
        <v/>
      </c>
      <c r="N2786">
        <f>IF($P2786="","",INDEX(상세표[주말·휴일 포함],$P2786)&amp;"")</f>
        <v/>
      </c>
      <c r="O2786">
        <f>IF($P2786="","",INDEX(상세표[월 넘김 포함],$P2786)&amp;"")</f>
        <v/>
      </c>
      <c r="P2786" s="4">
        <f>IFERROR(MATCH(2781,상세표[연속순번],0),"")</f>
        <v/>
      </c>
    </row>
    <row r="2787">
      <c r="A2787">
        <f>IF($P2787="","",INDEX(상세표[사번],$P2787)&amp;"")</f>
        <v/>
      </c>
      <c r="B2787">
        <f>IF($P2787="","",INDEX(상세표[성명],$P2787)&amp;"")</f>
        <v/>
      </c>
      <c r="C2787">
        <f>IF($P2787="","",INDEX(상세표[부서],$P2787)&amp;"")</f>
        <v/>
      </c>
      <c r="D2787">
        <f>IF($P2787="","",INDEX(상세표[직위],$P2787)&amp;"")</f>
        <v/>
      </c>
      <c r="E2787">
        <f>IF($P2787="","",IF(ISNUMBER(INDEX(상세표[시작],$P2787)),TEXT(INDEX(상세표[시작],$P2787),"yyyy-mm-dd hh:mm"),INDEX(상세표[시작],$P2787)&amp;""))</f>
        <v/>
      </c>
      <c r="F2787">
        <f>IF($P2787="","",IF(ISNUMBER(INDEX(상세표[블록종료],$P2787)),TEXT(INDEX(상세표[블록종료],$P2787),"yyyy-mm-dd hh:mm"),INDEX(상세표[블록종료],$P2787)&amp;""))</f>
        <v/>
      </c>
      <c r="G2787">
        <f>IF($P2787="","",CHOOSE(WEEKDAY(INDEX(상세표[시작],$P2787)),"일","월","화","수","목","금","토"))</f>
        <v/>
      </c>
      <c r="H2787">
        <f>IF($P2787="","",INDEX(상세표[연속 시간],$P2787))</f>
        <v/>
      </c>
      <c r="I2787">
        <f>IF($P2787="","",INDEX(상세표[기록 수],$P2787))</f>
        <v/>
      </c>
      <c r="J2787">
        <f>IF($P2787="","",INDEX(상세표[블록 06~07시],$P2787))</f>
        <v/>
      </c>
      <c r="K2787">
        <f>IF($P2787="","",INDEX(상세표[블록 07~18시],$P2787))</f>
        <v/>
      </c>
      <c r="L2787">
        <f>IF($P2787="","",INDEX(상세표[블록 18~22시],$P2787))</f>
        <v/>
      </c>
      <c r="M2787">
        <f>IF($P2787="","",INDEX(상세표[블록 22~06시],$P2787))</f>
        <v/>
      </c>
      <c r="N2787">
        <f>IF($P2787="","",INDEX(상세표[주말·휴일 포함],$P2787)&amp;"")</f>
        <v/>
      </c>
      <c r="O2787">
        <f>IF($P2787="","",INDEX(상세표[월 넘김 포함],$P2787)&amp;"")</f>
        <v/>
      </c>
      <c r="P2787" s="4">
        <f>IFERROR(MATCH(2782,상세표[연속순번],0),"")</f>
        <v/>
      </c>
    </row>
    <row r="2788">
      <c r="A2788">
        <f>IF($P2788="","",INDEX(상세표[사번],$P2788)&amp;"")</f>
        <v/>
      </c>
      <c r="B2788">
        <f>IF($P2788="","",INDEX(상세표[성명],$P2788)&amp;"")</f>
        <v/>
      </c>
      <c r="C2788">
        <f>IF($P2788="","",INDEX(상세표[부서],$P2788)&amp;"")</f>
        <v/>
      </c>
      <c r="D2788">
        <f>IF($P2788="","",INDEX(상세표[직위],$P2788)&amp;"")</f>
        <v/>
      </c>
      <c r="E2788">
        <f>IF($P2788="","",IF(ISNUMBER(INDEX(상세표[시작],$P2788)),TEXT(INDEX(상세표[시작],$P2788),"yyyy-mm-dd hh:mm"),INDEX(상세표[시작],$P2788)&amp;""))</f>
        <v/>
      </c>
      <c r="F2788">
        <f>IF($P2788="","",IF(ISNUMBER(INDEX(상세표[블록종료],$P2788)),TEXT(INDEX(상세표[블록종료],$P2788),"yyyy-mm-dd hh:mm"),INDEX(상세표[블록종료],$P2788)&amp;""))</f>
        <v/>
      </c>
      <c r="G2788">
        <f>IF($P2788="","",CHOOSE(WEEKDAY(INDEX(상세표[시작],$P2788)),"일","월","화","수","목","금","토"))</f>
        <v/>
      </c>
      <c r="H2788">
        <f>IF($P2788="","",INDEX(상세표[연속 시간],$P2788))</f>
        <v/>
      </c>
      <c r="I2788">
        <f>IF($P2788="","",INDEX(상세표[기록 수],$P2788))</f>
        <v/>
      </c>
      <c r="J2788">
        <f>IF($P2788="","",INDEX(상세표[블록 06~07시],$P2788))</f>
        <v/>
      </c>
      <c r="K2788">
        <f>IF($P2788="","",INDEX(상세표[블록 07~18시],$P2788))</f>
        <v/>
      </c>
      <c r="L2788">
        <f>IF($P2788="","",INDEX(상세표[블록 18~22시],$P2788))</f>
        <v/>
      </c>
      <c r="M2788">
        <f>IF($P2788="","",INDEX(상세표[블록 22~06시],$P2788))</f>
        <v/>
      </c>
      <c r="N2788">
        <f>IF($P2788="","",INDEX(상세표[주말·휴일 포함],$P2788)&amp;"")</f>
        <v/>
      </c>
      <c r="O2788">
        <f>IF($P2788="","",INDEX(상세표[월 넘김 포함],$P2788)&amp;"")</f>
        <v/>
      </c>
      <c r="P2788" s="4">
        <f>IFERROR(MATCH(2783,상세표[연속순번],0),"")</f>
        <v/>
      </c>
    </row>
    <row r="2789">
      <c r="A2789">
        <f>IF($P2789="","",INDEX(상세표[사번],$P2789)&amp;"")</f>
        <v/>
      </c>
      <c r="B2789">
        <f>IF($P2789="","",INDEX(상세표[성명],$P2789)&amp;"")</f>
        <v/>
      </c>
      <c r="C2789">
        <f>IF($P2789="","",INDEX(상세표[부서],$P2789)&amp;"")</f>
        <v/>
      </c>
      <c r="D2789">
        <f>IF($P2789="","",INDEX(상세표[직위],$P2789)&amp;"")</f>
        <v/>
      </c>
      <c r="E2789">
        <f>IF($P2789="","",IF(ISNUMBER(INDEX(상세표[시작],$P2789)),TEXT(INDEX(상세표[시작],$P2789),"yyyy-mm-dd hh:mm"),INDEX(상세표[시작],$P2789)&amp;""))</f>
        <v/>
      </c>
      <c r="F2789">
        <f>IF($P2789="","",IF(ISNUMBER(INDEX(상세표[블록종료],$P2789)),TEXT(INDEX(상세표[블록종료],$P2789),"yyyy-mm-dd hh:mm"),INDEX(상세표[블록종료],$P2789)&amp;""))</f>
        <v/>
      </c>
      <c r="G2789">
        <f>IF($P2789="","",CHOOSE(WEEKDAY(INDEX(상세표[시작],$P2789)),"일","월","화","수","목","금","토"))</f>
        <v/>
      </c>
      <c r="H2789">
        <f>IF($P2789="","",INDEX(상세표[연속 시간],$P2789))</f>
        <v/>
      </c>
      <c r="I2789">
        <f>IF($P2789="","",INDEX(상세표[기록 수],$P2789))</f>
        <v/>
      </c>
      <c r="J2789">
        <f>IF($P2789="","",INDEX(상세표[블록 06~07시],$P2789))</f>
        <v/>
      </c>
      <c r="K2789">
        <f>IF($P2789="","",INDEX(상세표[블록 07~18시],$P2789))</f>
        <v/>
      </c>
      <c r="L2789">
        <f>IF($P2789="","",INDEX(상세표[블록 18~22시],$P2789))</f>
        <v/>
      </c>
      <c r="M2789">
        <f>IF($P2789="","",INDEX(상세표[블록 22~06시],$P2789))</f>
        <v/>
      </c>
      <c r="N2789">
        <f>IF($P2789="","",INDEX(상세표[주말·휴일 포함],$P2789)&amp;"")</f>
        <v/>
      </c>
      <c r="O2789">
        <f>IF($P2789="","",INDEX(상세표[월 넘김 포함],$P2789)&amp;"")</f>
        <v/>
      </c>
      <c r="P2789" s="4">
        <f>IFERROR(MATCH(2784,상세표[연속순번],0),"")</f>
        <v/>
      </c>
    </row>
    <row r="2790">
      <c r="A2790">
        <f>IF($P2790="","",INDEX(상세표[사번],$P2790)&amp;"")</f>
        <v/>
      </c>
      <c r="B2790">
        <f>IF($P2790="","",INDEX(상세표[성명],$P2790)&amp;"")</f>
        <v/>
      </c>
      <c r="C2790">
        <f>IF($P2790="","",INDEX(상세표[부서],$P2790)&amp;"")</f>
        <v/>
      </c>
      <c r="D2790">
        <f>IF($P2790="","",INDEX(상세표[직위],$P2790)&amp;"")</f>
        <v/>
      </c>
      <c r="E2790">
        <f>IF($P2790="","",IF(ISNUMBER(INDEX(상세표[시작],$P2790)),TEXT(INDEX(상세표[시작],$P2790),"yyyy-mm-dd hh:mm"),INDEX(상세표[시작],$P2790)&amp;""))</f>
        <v/>
      </c>
      <c r="F2790">
        <f>IF($P2790="","",IF(ISNUMBER(INDEX(상세표[블록종료],$P2790)),TEXT(INDEX(상세표[블록종료],$P2790),"yyyy-mm-dd hh:mm"),INDEX(상세표[블록종료],$P2790)&amp;""))</f>
        <v/>
      </c>
      <c r="G2790">
        <f>IF($P2790="","",CHOOSE(WEEKDAY(INDEX(상세표[시작],$P2790)),"일","월","화","수","목","금","토"))</f>
        <v/>
      </c>
      <c r="H2790">
        <f>IF($P2790="","",INDEX(상세표[연속 시간],$P2790))</f>
        <v/>
      </c>
      <c r="I2790">
        <f>IF($P2790="","",INDEX(상세표[기록 수],$P2790))</f>
        <v/>
      </c>
      <c r="J2790">
        <f>IF($P2790="","",INDEX(상세표[블록 06~07시],$P2790))</f>
        <v/>
      </c>
      <c r="K2790">
        <f>IF($P2790="","",INDEX(상세표[블록 07~18시],$P2790))</f>
        <v/>
      </c>
      <c r="L2790">
        <f>IF($P2790="","",INDEX(상세표[블록 18~22시],$P2790))</f>
        <v/>
      </c>
      <c r="M2790">
        <f>IF($P2790="","",INDEX(상세표[블록 22~06시],$P2790))</f>
        <v/>
      </c>
      <c r="N2790">
        <f>IF($P2790="","",INDEX(상세표[주말·휴일 포함],$P2790)&amp;"")</f>
        <v/>
      </c>
      <c r="O2790">
        <f>IF($P2790="","",INDEX(상세표[월 넘김 포함],$P2790)&amp;"")</f>
        <v/>
      </c>
      <c r="P2790" s="4">
        <f>IFERROR(MATCH(2785,상세표[연속순번],0),"")</f>
        <v/>
      </c>
    </row>
    <row r="2791">
      <c r="A2791">
        <f>IF($P2791="","",INDEX(상세표[사번],$P2791)&amp;"")</f>
        <v/>
      </c>
      <c r="B2791">
        <f>IF($P2791="","",INDEX(상세표[성명],$P2791)&amp;"")</f>
        <v/>
      </c>
      <c r="C2791">
        <f>IF($P2791="","",INDEX(상세표[부서],$P2791)&amp;"")</f>
        <v/>
      </c>
      <c r="D2791">
        <f>IF($P2791="","",INDEX(상세표[직위],$P2791)&amp;"")</f>
        <v/>
      </c>
      <c r="E2791">
        <f>IF($P2791="","",IF(ISNUMBER(INDEX(상세표[시작],$P2791)),TEXT(INDEX(상세표[시작],$P2791),"yyyy-mm-dd hh:mm"),INDEX(상세표[시작],$P2791)&amp;""))</f>
        <v/>
      </c>
      <c r="F2791">
        <f>IF($P2791="","",IF(ISNUMBER(INDEX(상세표[블록종료],$P2791)),TEXT(INDEX(상세표[블록종료],$P2791),"yyyy-mm-dd hh:mm"),INDEX(상세표[블록종료],$P2791)&amp;""))</f>
        <v/>
      </c>
      <c r="G2791">
        <f>IF($P2791="","",CHOOSE(WEEKDAY(INDEX(상세표[시작],$P2791)),"일","월","화","수","목","금","토"))</f>
        <v/>
      </c>
      <c r="H2791">
        <f>IF($P2791="","",INDEX(상세표[연속 시간],$P2791))</f>
        <v/>
      </c>
      <c r="I2791">
        <f>IF($P2791="","",INDEX(상세표[기록 수],$P2791))</f>
        <v/>
      </c>
      <c r="J2791">
        <f>IF($P2791="","",INDEX(상세표[블록 06~07시],$P2791))</f>
        <v/>
      </c>
      <c r="K2791">
        <f>IF($P2791="","",INDEX(상세표[블록 07~18시],$P2791))</f>
        <v/>
      </c>
      <c r="L2791">
        <f>IF($P2791="","",INDEX(상세표[블록 18~22시],$P2791))</f>
        <v/>
      </c>
      <c r="M2791">
        <f>IF($P2791="","",INDEX(상세표[블록 22~06시],$P2791))</f>
        <v/>
      </c>
      <c r="N2791">
        <f>IF($P2791="","",INDEX(상세표[주말·휴일 포함],$P2791)&amp;"")</f>
        <v/>
      </c>
      <c r="O2791">
        <f>IF($P2791="","",INDEX(상세표[월 넘김 포함],$P2791)&amp;"")</f>
        <v/>
      </c>
      <c r="P2791" s="4">
        <f>IFERROR(MATCH(2786,상세표[연속순번],0),"")</f>
        <v/>
      </c>
    </row>
    <row r="2792">
      <c r="A2792">
        <f>IF($P2792="","",INDEX(상세표[사번],$P2792)&amp;"")</f>
        <v/>
      </c>
      <c r="B2792">
        <f>IF($P2792="","",INDEX(상세표[성명],$P2792)&amp;"")</f>
        <v/>
      </c>
      <c r="C2792">
        <f>IF($P2792="","",INDEX(상세표[부서],$P2792)&amp;"")</f>
        <v/>
      </c>
      <c r="D2792">
        <f>IF($P2792="","",INDEX(상세표[직위],$P2792)&amp;"")</f>
        <v/>
      </c>
      <c r="E2792">
        <f>IF($P2792="","",IF(ISNUMBER(INDEX(상세표[시작],$P2792)),TEXT(INDEX(상세표[시작],$P2792),"yyyy-mm-dd hh:mm"),INDEX(상세표[시작],$P2792)&amp;""))</f>
        <v/>
      </c>
      <c r="F2792">
        <f>IF($P2792="","",IF(ISNUMBER(INDEX(상세표[블록종료],$P2792)),TEXT(INDEX(상세표[블록종료],$P2792),"yyyy-mm-dd hh:mm"),INDEX(상세표[블록종료],$P2792)&amp;""))</f>
        <v/>
      </c>
      <c r="G2792">
        <f>IF($P2792="","",CHOOSE(WEEKDAY(INDEX(상세표[시작],$P2792)),"일","월","화","수","목","금","토"))</f>
        <v/>
      </c>
      <c r="H2792">
        <f>IF($P2792="","",INDEX(상세표[연속 시간],$P2792))</f>
        <v/>
      </c>
      <c r="I2792">
        <f>IF($P2792="","",INDEX(상세표[기록 수],$P2792))</f>
        <v/>
      </c>
      <c r="J2792">
        <f>IF($P2792="","",INDEX(상세표[블록 06~07시],$P2792))</f>
        <v/>
      </c>
      <c r="K2792">
        <f>IF($P2792="","",INDEX(상세표[블록 07~18시],$P2792))</f>
        <v/>
      </c>
      <c r="L2792">
        <f>IF($P2792="","",INDEX(상세표[블록 18~22시],$P2792))</f>
        <v/>
      </c>
      <c r="M2792">
        <f>IF($P2792="","",INDEX(상세표[블록 22~06시],$P2792))</f>
        <v/>
      </c>
      <c r="N2792">
        <f>IF($P2792="","",INDEX(상세표[주말·휴일 포함],$P2792)&amp;"")</f>
        <v/>
      </c>
      <c r="O2792">
        <f>IF($P2792="","",INDEX(상세표[월 넘김 포함],$P2792)&amp;"")</f>
        <v/>
      </c>
      <c r="P2792" s="4">
        <f>IFERROR(MATCH(2787,상세표[연속순번],0),"")</f>
        <v/>
      </c>
    </row>
    <row r="2793">
      <c r="A2793">
        <f>IF($P2793="","",INDEX(상세표[사번],$P2793)&amp;"")</f>
        <v/>
      </c>
      <c r="B2793">
        <f>IF($P2793="","",INDEX(상세표[성명],$P2793)&amp;"")</f>
        <v/>
      </c>
      <c r="C2793">
        <f>IF($P2793="","",INDEX(상세표[부서],$P2793)&amp;"")</f>
        <v/>
      </c>
      <c r="D2793">
        <f>IF($P2793="","",INDEX(상세표[직위],$P2793)&amp;"")</f>
        <v/>
      </c>
      <c r="E2793">
        <f>IF($P2793="","",IF(ISNUMBER(INDEX(상세표[시작],$P2793)),TEXT(INDEX(상세표[시작],$P2793),"yyyy-mm-dd hh:mm"),INDEX(상세표[시작],$P2793)&amp;""))</f>
        <v/>
      </c>
      <c r="F2793">
        <f>IF($P2793="","",IF(ISNUMBER(INDEX(상세표[블록종료],$P2793)),TEXT(INDEX(상세표[블록종료],$P2793),"yyyy-mm-dd hh:mm"),INDEX(상세표[블록종료],$P2793)&amp;""))</f>
        <v/>
      </c>
      <c r="G2793">
        <f>IF($P2793="","",CHOOSE(WEEKDAY(INDEX(상세표[시작],$P2793)),"일","월","화","수","목","금","토"))</f>
        <v/>
      </c>
      <c r="H2793">
        <f>IF($P2793="","",INDEX(상세표[연속 시간],$P2793))</f>
        <v/>
      </c>
      <c r="I2793">
        <f>IF($P2793="","",INDEX(상세표[기록 수],$P2793))</f>
        <v/>
      </c>
      <c r="J2793">
        <f>IF($P2793="","",INDEX(상세표[블록 06~07시],$P2793))</f>
        <v/>
      </c>
      <c r="K2793">
        <f>IF($P2793="","",INDEX(상세표[블록 07~18시],$P2793))</f>
        <v/>
      </c>
      <c r="L2793">
        <f>IF($P2793="","",INDEX(상세표[블록 18~22시],$P2793))</f>
        <v/>
      </c>
      <c r="M2793">
        <f>IF($P2793="","",INDEX(상세표[블록 22~06시],$P2793))</f>
        <v/>
      </c>
      <c r="N2793">
        <f>IF($P2793="","",INDEX(상세표[주말·휴일 포함],$P2793)&amp;"")</f>
        <v/>
      </c>
      <c r="O2793">
        <f>IF($P2793="","",INDEX(상세표[월 넘김 포함],$P2793)&amp;"")</f>
        <v/>
      </c>
      <c r="P2793" s="4">
        <f>IFERROR(MATCH(2788,상세표[연속순번],0),"")</f>
        <v/>
      </c>
    </row>
    <row r="2794">
      <c r="A2794">
        <f>IF($P2794="","",INDEX(상세표[사번],$P2794)&amp;"")</f>
        <v/>
      </c>
      <c r="B2794">
        <f>IF($P2794="","",INDEX(상세표[성명],$P2794)&amp;"")</f>
        <v/>
      </c>
      <c r="C2794">
        <f>IF($P2794="","",INDEX(상세표[부서],$P2794)&amp;"")</f>
        <v/>
      </c>
      <c r="D2794">
        <f>IF($P2794="","",INDEX(상세표[직위],$P2794)&amp;"")</f>
        <v/>
      </c>
      <c r="E2794">
        <f>IF($P2794="","",IF(ISNUMBER(INDEX(상세표[시작],$P2794)),TEXT(INDEX(상세표[시작],$P2794),"yyyy-mm-dd hh:mm"),INDEX(상세표[시작],$P2794)&amp;""))</f>
        <v/>
      </c>
      <c r="F2794">
        <f>IF($P2794="","",IF(ISNUMBER(INDEX(상세표[블록종료],$P2794)),TEXT(INDEX(상세표[블록종료],$P2794),"yyyy-mm-dd hh:mm"),INDEX(상세표[블록종료],$P2794)&amp;""))</f>
        <v/>
      </c>
      <c r="G2794">
        <f>IF($P2794="","",CHOOSE(WEEKDAY(INDEX(상세표[시작],$P2794)),"일","월","화","수","목","금","토"))</f>
        <v/>
      </c>
      <c r="H2794">
        <f>IF($P2794="","",INDEX(상세표[연속 시간],$P2794))</f>
        <v/>
      </c>
      <c r="I2794">
        <f>IF($P2794="","",INDEX(상세표[기록 수],$P2794))</f>
        <v/>
      </c>
      <c r="J2794">
        <f>IF($P2794="","",INDEX(상세표[블록 06~07시],$P2794))</f>
        <v/>
      </c>
      <c r="K2794">
        <f>IF($P2794="","",INDEX(상세표[블록 07~18시],$P2794))</f>
        <v/>
      </c>
      <c r="L2794">
        <f>IF($P2794="","",INDEX(상세표[블록 18~22시],$P2794))</f>
        <v/>
      </c>
      <c r="M2794">
        <f>IF($P2794="","",INDEX(상세표[블록 22~06시],$P2794))</f>
        <v/>
      </c>
      <c r="N2794">
        <f>IF($P2794="","",INDEX(상세표[주말·휴일 포함],$P2794)&amp;"")</f>
        <v/>
      </c>
      <c r="O2794">
        <f>IF($P2794="","",INDEX(상세표[월 넘김 포함],$P2794)&amp;"")</f>
        <v/>
      </c>
      <c r="P2794" s="4">
        <f>IFERROR(MATCH(2789,상세표[연속순번],0),"")</f>
        <v/>
      </c>
    </row>
    <row r="2795">
      <c r="A2795">
        <f>IF($P2795="","",INDEX(상세표[사번],$P2795)&amp;"")</f>
        <v/>
      </c>
      <c r="B2795">
        <f>IF($P2795="","",INDEX(상세표[성명],$P2795)&amp;"")</f>
        <v/>
      </c>
      <c r="C2795">
        <f>IF($P2795="","",INDEX(상세표[부서],$P2795)&amp;"")</f>
        <v/>
      </c>
      <c r="D2795">
        <f>IF($P2795="","",INDEX(상세표[직위],$P2795)&amp;"")</f>
        <v/>
      </c>
      <c r="E2795">
        <f>IF($P2795="","",IF(ISNUMBER(INDEX(상세표[시작],$P2795)),TEXT(INDEX(상세표[시작],$P2795),"yyyy-mm-dd hh:mm"),INDEX(상세표[시작],$P2795)&amp;""))</f>
        <v/>
      </c>
      <c r="F2795">
        <f>IF($P2795="","",IF(ISNUMBER(INDEX(상세표[블록종료],$P2795)),TEXT(INDEX(상세표[블록종료],$P2795),"yyyy-mm-dd hh:mm"),INDEX(상세표[블록종료],$P2795)&amp;""))</f>
        <v/>
      </c>
      <c r="G2795">
        <f>IF($P2795="","",CHOOSE(WEEKDAY(INDEX(상세표[시작],$P2795)),"일","월","화","수","목","금","토"))</f>
        <v/>
      </c>
      <c r="H2795">
        <f>IF($P2795="","",INDEX(상세표[연속 시간],$P2795))</f>
        <v/>
      </c>
      <c r="I2795">
        <f>IF($P2795="","",INDEX(상세표[기록 수],$P2795))</f>
        <v/>
      </c>
      <c r="J2795">
        <f>IF($P2795="","",INDEX(상세표[블록 06~07시],$P2795))</f>
        <v/>
      </c>
      <c r="K2795">
        <f>IF($P2795="","",INDEX(상세표[블록 07~18시],$P2795))</f>
        <v/>
      </c>
      <c r="L2795">
        <f>IF($P2795="","",INDEX(상세표[블록 18~22시],$P2795))</f>
        <v/>
      </c>
      <c r="M2795">
        <f>IF($P2795="","",INDEX(상세표[블록 22~06시],$P2795))</f>
        <v/>
      </c>
      <c r="N2795">
        <f>IF($P2795="","",INDEX(상세표[주말·휴일 포함],$P2795)&amp;"")</f>
        <v/>
      </c>
      <c r="O2795">
        <f>IF($P2795="","",INDEX(상세표[월 넘김 포함],$P2795)&amp;"")</f>
        <v/>
      </c>
      <c r="P2795" s="4">
        <f>IFERROR(MATCH(2790,상세표[연속순번],0),"")</f>
        <v/>
      </c>
    </row>
    <row r="2796">
      <c r="A2796">
        <f>IF($P2796="","",INDEX(상세표[사번],$P2796)&amp;"")</f>
        <v/>
      </c>
      <c r="B2796">
        <f>IF($P2796="","",INDEX(상세표[성명],$P2796)&amp;"")</f>
        <v/>
      </c>
      <c r="C2796">
        <f>IF($P2796="","",INDEX(상세표[부서],$P2796)&amp;"")</f>
        <v/>
      </c>
      <c r="D2796">
        <f>IF($P2796="","",INDEX(상세표[직위],$P2796)&amp;"")</f>
        <v/>
      </c>
      <c r="E2796">
        <f>IF($P2796="","",IF(ISNUMBER(INDEX(상세표[시작],$P2796)),TEXT(INDEX(상세표[시작],$P2796),"yyyy-mm-dd hh:mm"),INDEX(상세표[시작],$P2796)&amp;""))</f>
        <v/>
      </c>
      <c r="F2796">
        <f>IF($P2796="","",IF(ISNUMBER(INDEX(상세표[블록종료],$P2796)),TEXT(INDEX(상세표[블록종료],$P2796),"yyyy-mm-dd hh:mm"),INDEX(상세표[블록종료],$P2796)&amp;""))</f>
        <v/>
      </c>
      <c r="G2796">
        <f>IF($P2796="","",CHOOSE(WEEKDAY(INDEX(상세표[시작],$P2796)),"일","월","화","수","목","금","토"))</f>
        <v/>
      </c>
      <c r="H2796">
        <f>IF($P2796="","",INDEX(상세표[연속 시간],$P2796))</f>
        <v/>
      </c>
      <c r="I2796">
        <f>IF($P2796="","",INDEX(상세표[기록 수],$P2796))</f>
        <v/>
      </c>
      <c r="J2796">
        <f>IF($P2796="","",INDEX(상세표[블록 06~07시],$P2796))</f>
        <v/>
      </c>
      <c r="K2796">
        <f>IF($P2796="","",INDEX(상세표[블록 07~18시],$P2796))</f>
        <v/>
      </c>
      <c r="L2796">
        <f>IF($P2796="","",INDEX(상세표[블록 18~22시],$P2796))</f>
        <v/>
      </c>
      <c r="M2796">
        <f>IF($P2796="","",INDEX(상세표[블록 22~06시],$P2796))</f>
        <v/>
      </c>
      <c r="N2796">
        <f>IF($P2796="","",INDEX(상세표[주말·휴일 포함],$P2796)&amp;"")</f>
        <v/>
      </c>
      <c r="O2796">
        <f>IF($P2796="","",INDEX(상세표[월 넘김 포함],$P2796)&amp;"")</f>
        <v/>
      </c>
      <c r="P2796" s="4">
        <f>IFERROR(MATCH(2791,상세표[연속순번],0),"")</f>
        <v/>
      </c>
    </row>
    <row r="2797">
      <c r="A2797">
        <f>IF($P2797="","",INDEX(상세표[사번],$P2797)&amp;"")</f>
        <v/>
      </c>
      <c r="B2797">
        <f>IF($P2797="","",INDEX(상세표[성명],$P2797)&amp;"")</f>
        <v/>
      </c>
      <c r="C2797">
        <f>IF($P2797="","",INDEX(상세표[부서],$P2797)&amp;"")</f>
        <v/>
      </c>
      <c r="D2797">
        <f>IF($P2797="","",INDEX(상세표[직위],$P2797)&amp;"")</f>
        <v/>
      </c>
      <c r="E2797">
        <f>IF($P2797="","",IF(ISNUMBER(INDEX(상세표[시작],$P2797)),TEXT(INDEX(상세표[시작],$P2797),"yyyy-mm-dd hh:mm"),INDEX(상세표[시작],$P2797)&amp;""))</f>
        <v/>
      </c>
      <c r="F2797">
        <f>IF($P2797="","",IF(ISNUMBER(INDEX(상세표[블록종료],$P2797)),TEXT(INDEX(상세표[블록종료],$P2797),"yyyy-mm-dd hh:mm"),INDEX(상세표[블록종료],$P2797)&amp;""))</f>
        <v/>
      </c>
      <c r="G2797">
        <f>IF($P2797="","",CHOOSE(WEEKDAY(INDEX(상세표[시작],$P2797)),"일","월","화","수","목","금","토"))</f>
        <v/>
      </c>
      <c r="H2797">
        <f>IF($P2797="","",INDEX(상세표[연속 시간],$P2797))</f>
        <v/>
      </c>
      <c r="I2797">
        <f>IF($P2797="","",INDEX(상세표[기록 수],$P2797))</f>
        <v/>
      </c>
      <c r="J2797">
        <f>IF($P2797="","",INDEX(상세표[블록 06~07시],$P2797))</f>
        <v/>
      </c>
      <c r="K2797">
        <f>IF($P2797="","",INDEX(상세표[블록 07~18시],$P2797))</f>
        <v/>
      </c>
      <c r="L2797">
        <f>IF($P2797="","",INDEX(상세표[블록 18~22시],$P2797))</f>
        <v/>
      </c>
      <c r="M2797">
        <f>IF($P2797="","",INDEX(상세표[블록 22~06시],$P2797))</f>
        <v/>
      </c>
      <c r="N2797">
        <f>IF($P2797="","",INDEX(상세표[주말·휴일 포함],$P2797)&amp;"")</f>
        <v/>
      </c>
      <c r="O2797">
        <f>IF($P2797="","",INDEX(상세표[월 넘김 포함],$P2797)&amp;"")</f>
        <v/>
      </c>
      <c r="P2797" s="4">
        <f>IFERROR(MATCH(2792,상세표[연속순번],0),"")</f>
        <v/>
      </c>
    </row>
    <row r="2798">
      <c r="A2798">
        <f>IF($P2798="","",INDEX(상세표[사번],$P2798)&amp;"")</f>
        <v/>
      </c>
      <c r="B2798">
        <f>IF($P2798="","",INDEX(상세표[성명],$P2798)&amp;"")</f>
        <v/>
      </c>
      <c r="C2798">
        <f>IF($P2798="","",INDEX(상세표[부서],$P2798)&amp;"")</f>
        <v/>
      </c>
      <c r="D2798">
        <f>IF($P2798="","",INDEX(상세표[직위],$P2798)&amp;"")</f>
        <v/>
      </c>
      <c r="E2798">
        <f>IF($P2798="","",IF(ISNUMBER(INDEX(상세표[시작],$P2798)),TEXT(INDEX(상세표[시작],$P2798),"yyyy-mm-dd hh:mm"),INDEX(상세표[시작],$P2798)&amp;""))</f>
        <v/>
      </c>
      <c r="F2798">
        <f>IF($P2798="","",IF(ISNUMBER(INDEX(상세표[블록종료],$P2798)),TEXT(INDEX(상세표[블록종료],$P2798),"yyyy-mm-dd hh:mm"),INDEX(상세표[블록종료],$P2798)&amp;""))</f>
        <v/>
      </c>
      <c r="G2798">
        <f>IF($P2798="","",CHOOSE(WEEKDAY(INDEX(상세표[시작],$P2798)),"일","월","화","수","목","금","토"))</f>
        <v/>
      </c>
      <c r="H2798">
        <f>IF($P2798="","",INDEX(상세표[연속 시간],$P2798))</f>
        <v/>
      </c>
      <c r="I2798">
        <f>IF($P2798="","",INDEX(상세표[기록 수],$P2798))</f>
        <v/>
      </c>
      <c r="J2798">
        <f>IF($P2798="","",INDEX(상세표[블록 06~07시],$P2798))</f>
        <v/>
      </c>
      <c r="K2798">
        <f>IF($P2798="","",INDEX(상세표[블록 07~18시],$P2798))</f>
        <v/>
      </c>
      <c r="L2798">
        <f>IF($P2798="","",INDEX(상세표[블록 18~22시],$P2798))</f>
        <v/>
      </c>
      <c r="M2798">
        <f>IF($P2798="","",INDEX(상세표[블록 22~06시],$P2798))</f>
        <v/>
      </c>
      <c r="N2798">
        <f>IF($P2798="","",INDEX(상세표[주말·휴일 포함],$P2798)&amp;"")</f>
        <v/>
      </c>
      <c r="O2798">
        <f>IF($P2798="","",INDEX(상세표[월 넘김 포함],$P2798)&amp;"")</f>
        <v/>
      </c>
      <c r="P2798" s="4">
        <f>IFERROR(MATCH(2793,상세표[연속순번],0),"")</f>
        <v/>
      </c>
    </row>
    <row r="2799">
      <c r="A2799">
        <f>IF($P2799="","",INDEX(상세표[사번],$P2799)&amp;"")</f>
        <v/>
      </c>
      <c r="B2799">
        <f>IF($P2799="","",INDEX(상세표[성명],$P2799)&amp;"")</f>
        <v/>
      </c>
      <c r="C2799">
        <f>IF($P2799="","",INDEX(상세표[부서],$P2799)&amp;"")</f>
        <v/>
      </c>
      <c r="D2799">
        <f>IF($P2799="","",INDEX(상세표[직위],$P2799)&amp;"")</f>
        <v/>
      </c>
      <c r="E2799">
        <f>IF($P2799="","",IF(ISNUMBER(INDEX(상세표[시작],$P2799)),TEXT(INDEX(상세표[시작],$P2799),"yyyy-mm-dd hh:mm"),INDEX(상세표[시작],$P2799)&amp;""))</f>
        <v/>
      </c>
      <c r="F2799">
        <f>IF($P2799="","",IF(ISNUMBER(INDEX(상세표[블록종료],$P2799)),TEXT(INDEX(상세표[블록종료],$P2799),"yyyy-mm-dd hh:mm"),INDEX(상세표[블록종료],$P2799)&amp;""))</f>
        <v/>
      </c>
      <c r="G2799">
        <f>IF($P2799="","",CHOOSE(WEEKDAY(INDEX(상세표[시작],$P2799)),"일","월","화","수","목","금","토"))</f>
        <v/>
      </c>
      <c r="H2799">
        <f>IF($P2799="","",INDEX(상세표[연속 시간],$P2799))</f>
        <v/>
      </c>
      <c r="I2799">
        <f>IF($P2799="","",INDEX(상세표[기록 수],$P2799))</f>
        <v/>
      </c>
      <c r="J2799">
        <f>IF($P2799="","",INDEX(상세표[블록 06~07시],$P2799))</f>
        <v/>
      </c>
      <c r="K2799">
        <f>IF($P2799="","",INDEX(상세표[블록 07~18시],$P2799))</f>
        <v/>
      </c>
      <c r="L2799">
        <f>IF($P2799="","",INDEX(상세표[블록 18~22시],$P2799))</f>
        <v/>
      </c>
      <c r="M2799">
        <f>IF($P2799="","",INDEX(상세표[블록 22~06시],$P2799))</f>
        <v/>
      </c>
      <c r="N2799">
        <f>IF($P2799="","",INDEX(상세표[주말·휴일 포함],$P2799)&amp;"")</f>
        <v/>
      </c>
      <c r="O2799">
        <f>IF($P2799="","",INDEX(상세표[월 넘김 포함],$P2799)&amp;"")</f>
        <v/>
      </c>
      <c r="P2799" s="4">
        <f>IFERROR(MATCH(2794,상세표[연속순번],0),"")</f>
        <v/>
      </c>
    </row>
    <row r="2800">
      <c r="A2800">
        <f>IF($P2800="","",INDEX(상세표[사번],$P2800)&amp;"")</f>
        <v/>
      </c>
      <c r="B2800">
        <f>IF($P2800="","",INDEX(상세표[성명],$P2800)&amp;"")</f>
        <v/>
      </c>
      <c r="C2800">
        <f>IF($P2800="","",INDEX(상세표[부서],$P2800)&amp;"")</f>
        <v/>
      </c>
      <c r="D2800">
        <f>IF($P2800="","",INDEX(상세표[직위],$P2800)&amp;"")</f>
        <v/>
      </c>
      <c r="E2800">
        <f>IF($P2800="","",IF(ISNUMBER(INDEX(상세표[시작],$P2800)),TEXT(INDEX(상세표[시작],$P2800),"yyyy-mm-dd hh:mm"),INDEX(상세표[시작],$P2800)&amp;""))</f>
        <v/>
      </c>
      <c r="F2800">
        <f>IF($P2800="","",IF(ISNUMBER(INDEX(상세표[블록종료],$P2800)),TEXT(INDEX(상세표[블록종료],$P2800),"yyyy-mm-dd hh:mm"),INDEX(상세표[블록종료],$P2800)&amp;""))</f>
        <v/>
      </c>
      <c r="G2800">
        <f>IF($P2800="","",CHOOSE(WEEKDAY(INDEX(상세표[시작],$P2800)),"일","월","화","수","목","금","토"))</f>
        <v/>
      </c>
      <c r="H2800">
        <f>IF($P2800="","",INDEX(상세표[연속 시간],$P2800))</f>
        <v/>
      </c>
      <c r="I2800">
        <f>IF($P2800="","",INDEX(상세표[기록 수],$P2800))</f>
        <v/>
      </c>
      <c r="J2800">
        <f>IF($P2800="","",INDEX(상세표[블록 06~07시],$P2800))</f>
        <v/>
      </c>
      <c r="K2800">
        <f>IF($P2800="","",INDEX(상세표[블록 07~18시],$P2800))</f>
        <v/>
      </c>
      <c r="L2800">
        <f>IF($P2800="","",INDEX(상세표[블록 18~22시],$P2800))</f>
        <v/>
      </c>
      <c r="M2800">
        <f>IF($P2800="","",INDEX(상세표[블록 22~06시],$P2800))</f>
        <v/>
      </c>
      <c r="N2800">
        <f>IF($P2800="","",INDEX(상세표[주말·휴일 포함],$P2800)&amp;"")</f>
        <v/>
      </c>
      <c r="O2800">
        <f>IF($P2800="","",INDEX(상세표[월 넘김 포함],$P2800)&amp;"")</f>
        <v/>
      </c>
      <c r="P2800" s="4">
        <f>IFERROR(MATCH(2795,상세표[연속순번],0),"")</f>
        <v/>
      </c>
    </row>
    <row r="2801">
      <c r="A2801">
        <f>IF($P2801="","",INDEX(상세표[사번],$P2801)&amp;"")</f>
        <v/>
      </c>
      <c r="B2801">
        <f>IF($P2801="","",INDEX(상세표[성명],$P2801)&amp;"")</f>
        <v/>
      </c>
      <c r="C2801">
        <f>IF($P2801="","",INDEX(상세표[부서],$P2801)&amp;"")</f>
        <v/>
      </c>
      <c r="D2801">
        <f>IF($P2801="","",INDEX(상세표[직위],$P2801)&amp;"")</f>
        <v/>
      </c>
      <c r="E2801">
        <f>IF($P2801="","",IF(ISNUMBER(INDEX(상세표[시작],$P2801)),TEXT(INDEX(상세표[시작],$P2801),"yyyy-mm-dd hh:mm"),INDEX(상세표[시작],$P2801)&amp;""))</f>
        <v/>
      </c>
      <c r="F2801">
        <f>IF($P2801="","",IF(ISNUMBER(INDEX(상세표[블록종료],$P2801)),TEXT(INDEX(상세표[블록종료],$P2801),"yyyy-mm-dd hh:mm"),INDEX(상세표[블록종료],$P2801)&amp;""))</f>
        <v/>
      </c>
      <c r="G2801">
        <f>IF($P2801="","",CHOOSE(WEEKDAY(INDEX(상세표[시작],$P2801)),"일","월","화","수","목","금","토"))</f>
        <v/>
      </c>
      <c r="H2801">
        <f>IF($P2801="","",INDEX(상세표[연속 시간],$P2801))</f>
        <v/>
      </c>
      <c r="I2801">
        <f>IF($P2801="","",INDEX(상세표[기록 수],$P2801))</f>
        <v/>
      </c>
      <c r="J2801">
        <f>IF($P2801="","",INDEX(상세표[블록 06~07시],$P2801))</f>
        <v/>
      </c>
      <c r="K2801">
        <f>IF($P2801="","",INDEX(상세표[블록 07~18시],$P2801))</f>
        <v/>
      </c>
      <c r="L2801">
        <f>IF($P2801="","",INDEX(상세표[블록 18~22시],$P2801))</f>
        <v/>
      </c>
      <c r="M2801">
        <f>IF($P2801="","",INDEX(상세표[블록 22~06시],$P2801))</f>
        <v/>
      </c>
      <c r="N2801">
        <f>IF($P2801="","",INDEX(상세표[주말·휴일 포함],$P2801)&amp;"")</f>
        <v/>
      </c>
      <c r="O2801">
        <f>IF($P2801="","",INDEX(상세표[월 넘김 포함],$P2801)&amp;"")</f>
        <v/>
      </c>
      <c r="P2801" s="4">
        <f>IFERROR(MATCH(2796,상세표[연속순번],0),"")</f>
        <v/>
      </c>
    </row>
    <row r="2802">
      <c r="A2802">
        <f>IF($P2802="","",INDEX(상세표[사번],$P2802)&amp;"")</f>
        <v/>
      </c>
      <c r="B2802">
        <f>IF($P2802="","",INDEX(상세표[성명],$P2802)&amp;"")</f>
        <v/>
      </c>
      <c r="C2802">
        <f>IF($P2802="","",INDEX(상세표[부서],$P2802)&amp;"")</f>
        <v/>
      </c>
      <c r="D2802">
        <f>IF($P2802="","",INDEX(상세표[직위],$P2802)&amp;"")</f>
        <v/>
      </c>
      <c r="E2802">
        <f>IF($P2802="","",IF(ISNUMBER(INDEX(상세표[시작],$P2802)),TEXT(INDEX(상세표[시작],$P2802),"yyyy-mm-dd hh:mm"),INDEX(상세표[시작],$P2802)&amp;""))</f>
        <v/>
      </c>
      <c r="F2802">
        <f>IF($P2802="","",IF(ISNUMBER(INDEX(상세표[블록종료],$P2802)),TEXT(INDEX(상세표[블록종료],$P2802),"yyyy-mm-dd hh:mm"),INDEX(상세표[블록종료],$P2802)&amp;""))</f>
        <v/>
      </c>
      <c r="G2802">
        <f>IF($P2802="","",CHOOSE(WEEKDAY(INDEX(상세표[시작],$P2802)),"일","월","화","수","목","금","토"))</f>
        <v/>
      </c>
      <c r="H2802">
        <f>IF($P2802="","",INDEX(상세표[연속 시간],$P2802))</f>
        <v/>
      </c>
      <c r="I2802">
        <f>IF($P2802="","",INDEX(상세표[기록 수],$P2802))</f>
        <v/>
      </c>
      <c r="J2802">
        <f>IF($P2802="","",INDEX(상세표[블록 06~07시],$P2802))</f>
        <v/>
      </c>
      <c r="K2802">
        <f>IF($P2802="","",INDEX(상세표[블록 07~18시],$P2802))</f>
        <v/>
      </c>
      <c r="L2802">
        <f>IF($P2802="","",INDEX(상세표[블록 18~22시],$P2802))</f>
        <v/>
      </c>
      <c r="M2802">
        <f>IF($P2802="","",INDEX(상세표[블록 22~06시],$P2802))</f>
        <v/>
      </c>
      <c r="N2802">
        <f>IF($P2802="","",INDEX(상세표[주말·휴일 포함],$P2802)&amp;"")</f>
        <v/>
      </c>
      <c r="O2802">
        <f>IF($P2802="","",INDEX(상세표[월 넘김 포함],$P2802)&amp;"")</f>
        <v/>
      </c>
      <c r="P2802" s="4">
        <f>IFERROR(MATCH(2797,상세표[연속순번],0),"")</f>
        <v/>
      </c>
    </row>
    <row r="2803">
      <c r="A2803">
        <f>IF($P2803="","",INDEX(상세표[사번],$P2803)&amp;"")</f>
        <v/>
      </c>
      <c r="B2803">
        <f>IF($P2803="","",INDEX(상세표[성명],$P2803)&amp;"")</f>
        <v/>
      </c>
      <c r="C2803">
        <f>IF($P2803="","",INDEX(상세표[부서],$P2803)&amp;"")</f>
        <v/>
      </c>
      <c r="D2803">
        <f>IF($P2803="","",INDEX(상세표[직위],$P2803)&amp;"")</f>
        <v/>
      </c>
      <c r="E2803">
        <f>IF($P2803="","",IF(ISNUMBER(INDEX(상세표[시작],$P2803)),TEXT(INDEX(상세표[시작],$P2803),"yyyy-mm-dd hh:mm"),INDEX(상세표[시작],$P2803)&amp;""))</f>
        <v/>
      </c>
      <c r="F2803">
        <f>IF($P2803="","",IF(ISNUMBER(INDEX(상세표[블록종료],$P2803)),TEXT(INDEX(상세표[블록종료],$P2803),"yyyy-mm-dd hh:mm"),INDEX(상세표[블록종료],$P2803)&amp;""))</f>
        <v/>
      </c>
      <c r="G2803">
        <f>IF($P2803="","",CHOOSE(WEEKDAY(INDEX(상세표[시작],$P2803)),"일","월","화","수","목","금","토"))</f>
        <v/>
      </c>
      <c r="H2803">
        <f>IF($P2803="","",INDEX(상세표[연속 시간],$P2803))</f>
        <v/>
      </c>
      <c r="I2803">
        <f>IF($P2803="","",INDEX(상세표[기록 수],$P2803))</f>
        <v/>
      </c>
      <c r="J2803">
        <f>IF($P2803="","",INDEX(상세표[블록 06~07시],$P2803))</f>
        <v/>
      </c>
      <c r="K2803">
        <f>IF($P2803="","",INDEX(상세표[블록 07~18시],$P2803))</f>
        <v/>
      </c>
      <c r="L2803">
        <f>IF($P2803="","",INDEX(상세표[블록 18~22시],$P2803))</f>
        <v/>
      </c>
      <c r="M2803">
        <f>IF($P2803="","",INDEX(상세표[블록 22~06시],$P2803))</f>
        <v/>
      </c>
      <c r="N2803">
        <f>IF($P2803="","",INDEX(상세표[주말·휴일 포함],$P2803)&amp;"")</f>
        <v/>
      </c>
      <c r="O2803">
        <f>IF($P2803="","",INDEX(상세표[월 넘김 포함],$P2803)&amp;"")</f>
        <v/>
      </c>
      <c r="P2803" s="4">
        <f>IFERROR(MATCH(2798,상세표[연속순번],0),"")</f>
        <v/>
      </c>
    </row>
    <row r="2804">
      <c r="A2804">
        <f>IF($P2804="","",INDEX(상세표[사번],$P2804)&amp;"")</f>
        <v/>
      </c>
      <c r="B2804">
        <f>IF($P2804="","",INDEX(상세표[성명],$P2804)&amp;"")</f>
        <v/>
      </c>
      <c r="C2804">
        <f>IF($P2804="","",INDEX(상세표[부서],$P2804)&amp;"")</f>
        <v/>
      </c>
      <c r="D2804">
        <f>IF($P2804="","",INDEX(상세표[직위],$P2804)&amp;"")</f>
        <v/>
      </c>
      <c r="E2804">
        <f>IF($P2804="","",IF(ISNUMBER(INDEX(상세표[시작],$P2804)),TEXT(INDEX(상세표[시작],$P2804),"yyyy-mm-dd hh:mm"),INDEX(상세표[시작],$P2804)&amp;""))</f>
        <v/>
      </c>
      <c r="F2804">
        <f>IF($P2804="","",IF(ISNUMBER(INDEX(상세표[블록종료],$P2804)),TEXT(INDEX(상세표[블록종료],$P2804),"yyyy-mm-dd hh:mm"),INDEX(상세표[블록종료],$P2804)&amp;""))</f>
        <v/>
      </c>
      <c r="G2804">
        <f>IF($P2804="","",CHOOSE(WEEKDAY(INDEX(상세표[시작],$P2804)),"일","월","화","수","목","금","토"))</f>
        <v/>
      </c>
      <c r="H2804">
        <f>IF($P2804="","",INDEX(상세표[연속 시간],$P2804))</f>
        <v/>
      </c>
      <c r="I2804">
        <f>IF($P2804="","",INDEX(상세표[기록 수],$P2804))</f>
        <v/>
      </c>
      <c r="J2804">
        <f>IF($P2804="","",INDEX(상세표[블록 06~07시],$P2804))</f>
        <v/>
      </c>
      <c r="K2804">
        <f>IF($P2804="","",INDEX(상세표[블록 07~18시],$P2804))</f>
        <v/>
      </c>
      <c r="L2804">
        <f>IF($P2804="","",INDEX(상세표[블록 18~22시],$P2804))</f>
        <v/>
      </c>
      <c r="M2804">
        <f>IF($P2804="","",INDEX(상세표[블록 22~06시],$P2804))</f>
        <v/>
      </c>
      <c r="N2804">
        <f>IF($P2804="","",INDEX(상세표[주말·휴일 포함],$P2804)&amp;"")</f>
        <v/>
      </c>
      <c r="O2804">
        <f>IF($P2804="","",INDEX(상세표[월 넘김 포함],$P2804)&amp;"")</f>
        <v/>
      </c>
      <c r="P2804" s="4">
        <f>IFERROR(MATCH(2799,상세표[연속순번],0),"")</f>
        <v/>
      </c>
    </row>
    <row r="2805">
      <c r="A2805">
        <f>IF($P2805="","",INDEX(상세표[사번],$P2805)&amp;"")</f>
        <v/>
      </c>
      <c r="B2805">
        <f>IF($P2805="","",INDEX(상세표[성명],$P2805)&amp;"")</f>
        <v/>
      </c>
      <c r="C2805">
        <f>IF($P2805="","",INDEX(상세표[부서],$P2805)&amp;"")</f>
        <v/>
      </c>
      <c r="D2805">
        <f>IF($P2805="","",INDEX(상세표[직위],$P2805)&amp;"")</f>
        <v/>
      </c>
      <c r="E2805">
        <f>IF($P2805="","",IF(ISNUMBER(INDEX(상세표[시작],$P2805)),TEXT(INDEX(상세표[시작],$P2805),"yyyy-mm-dd hh:mm"),INDEX(상세표[시작],$P2805)&amp;""))</f>
        <v/>
      </c>
      <c r="F2805">
        <f>IF($P2805="","",IF(ISNUMBER(INDEX(상세표[블록종료],$P2805)),TEXT(INDEX(상세표[블록종료],$P2805),"yyyy-mm-dd hh:mm"),INDEX(상세표[블록종료],$P2805)&amp;""))</f>
        <v/>
      </c>
      <c r="G2805">
        <f>IF($P2805="","",CHOOSE(WEEKDAY(INDEX(상세표[시작],$P2805)),"일","월","화","수","목","금","토"))</f>
        <v/>
      </c>
      <c r="H2805">
        <f>IF($P2805="","",INDEX(상세표[연속 시간],$P2805))</f>
        <v/>
      </c>
      <c r="I2805">
        <f>IF($P2805="","",INDEX(상세표[기록 수],$P2805))</f>
        <v/>
      </c>
      <c r="J2805">
        <f>IF($P2805="","",INDEX(상세표[블록 06~07시],$P2805))</f>
        <v/>
      </c>
      <c r="K2805">
        <f>IF($P2805="","",INDEX(상세표[블록 07~18시],$P2805))</f>
        <v/>
      </c>
      <c r="L2805">
        <f>IF($P2805="","",INDEX(상세표[블록 18~22시],$P2805))</f>
        <v/>
      </c>
      <c r="M2805">
        <f>IF($P2805="","",INDEX(상세표[블록 22~06시],$P2805))</f>
        <v/>
      </c>
      <c r="N2805">
        <f>IF($P2805="","",INDEX(상세표[주말·휴일 포함],$P2805)&amp;"")</f>
        <v/>
      </c>
      <c r="O2805">
        <f>IF($P2805="","",INDEX(상세표[월 넘김 포함],$P2805)&amp;"")</f>
        <v/>
      </c>
      <c r="P2805" s="4">
        <f>IFERROR(MATCH(2800,상세표[연속순번],0),"")</f>
        <v/>
      </c>
    </row>
    <row r="2806">
      <c r="A2806">
        <f>IF($P2806="","",INDEX(상세표[사번],$P2806)&amp;"")</f>
        <v/>
      </c>
      <c r="B2806">
        <f>IF($P2806="","",INDEX(상세표[성명],$P2806)&amp;"")</f>
        <v/>
      </c>
      <c r="C2806">
        <f>IF($P2806="","",INDEX(상세표[부서],$P2806)&amp;"")</f>
        <v/>
      </c>
      <c r="D2806">
        <f>IF($P2806="","",INDEX(상세표[직위],$P2806)&amp;"")</f>
        <v/>
      </c>
      <c r="E2806">
        <f>IF($P2806="","",IF(ISNUMBER(INDEX(상세표[시작],$P2806)),TEXT(INDEX(상세표[시작],$P2806),"yyyy-mm-dd hh:mm"),INDEX(상세표[시작],$P2806)&amp;""))</f>
        <v/>
      </c>
      <c r="F2806">
        <f>IF($P2806="","",IF(ISNUMBER(INDEX(상세표[블록종료],$P2806)),TEXT(INDEX(상세표[블록종료],$P2806),"yyyy-mm-dd hh:mm"),INDEX(상세표[블록종료],$P2806)&amp;""))</f>
        <v/>
      </c>
      <c r="G2806">
        <f>IF($P2806="","",CHOOSE(WEEKDAY(INDEX(상세표[시작],$P2806)),"일","월","화","수","목","금","토"))</f>
        <v/>
      </c>
      <c r="H2806">
        <f>IF($P2806="","",INDEX(상세표[연속 시간],$P2806))</f>
        <v/>
      </c>
      <c r="I2806">
        <f>IF($P2806="","",INDEX(상세표[기록 수],$P2806))</f>
        <v/>
      </c>
      <c r="J2806">
        <f>IF($P2806="","",INDEX(상세표[블록 06~07시],$P2806))</f>
        <v/>
      </c>
      <c r="K2806">
        <f>IF($P2806="","",INDEX(상세표[블록 07~18시],$P2806))</f>
        <v/>
      </c>
      <c r="L2806">
        <f>IF($P2806="","",INDEX(상세표[블록 18~22시],$P2806))</f>
        <v/>
      </c>
      <c r="M2806">
        <f>IF($P2806="","",INDEX(상세표[블록 22~06시],$P2806))</f>
        <v/>
      </c>
      <c r="N2806">
        <f>IF($P2806="","",INDEX(상세표[주말·휴일 포함],$P2806)&amp;"")</f>
        <v/>
      </c>
      <c r="O2806">
        <f>IF($P2806="","",INDEX(상세표[월 넘김 포함],$P2806)&amp;"")</f>
        <v/>
      </c>
      <c r="P2806" s="4">
        <f>IFERROR(MATCH(2801,상세표[연속순번],0),"")</f>
        <v/>
      </c>
    </row>
    <row r="2807">
      <c r="A2807">
        <f>IF($P2807="","",INDEX(상세표[사번],$P2807)&amp;"")</f>
        <v/>
      </c>
      <c r="B2807">
        <f>IF($P2807="","",INDEX(상세표[성명],$P2807)&amp;"")</f>
        <v/>
      </c>
      <c r="C2807">
        <f>IF($P2807="","",INDEX(상세표[부서],$P2807)&amp;"")</f>
        <v/>
      </c>
      <c r="D2807">
        <f>IF($P2807="","",INDEX(상세표[직위],$P2807)&amp;"")</f>
        <v/>
      </c>
      <c r="E2807">
        <f>IF($P2807="","",IF(ISNUMBER(INDEX(상세표[시작],$P2807)),TEXT(INDEX(상세표[시작],$P2807),"yyyy-mm-dd hh:mm"),INDEX(상세표[시작],$P2807)&amp;""))</f>
        <v/>
      </c>
      <c r="F2807">
        <f>IF($P2807="","",IF(ISNUMBER(INDEX(상세표[블록종료],$P2807)),TEXT(INDEX(상세표[블록종료],$P2807),"yyyy-mm-dd hh:mm"),INDEX(상세표[블록종료],$P2807)&amp;""))</f>
        <v/>
      </c>
      <c r="G2807">
        <f>IF($P2807="","",CHOOSE(WEEKDAY(INDEX(상세표[시작],$P2807)),"일","월","화","수","목","금","토"))</f>
        <v/>
      </c>
      <c r="H2807">
        <f>IF($P2807="","",INDEX(상세표[연속 시간],$P2807))</f>
        <v/>
      </c>
      <c r="I2807">
        <f>IF($P2807="","",INDEX(상세표[기록 수],$P2807))</f>
        <v/>
      </c>
      <c r="J2807">
        <f>IF($P2807="","",INDEX(상세표[블록 06~07시],$P2807))</f>
        <v/>
      </c>
      <c r="K2807">
        <f>IF($P2807="","",INDEX(상세표[블록 07~18시],$P2807))</f>
        <v/>
      </c>
      <c r="L2807">
        <f>IF($P2807="","",INDEX(상세표[블록 18~22시],$P2807))</f>
        <v/>
      </c>
      <c r="M2807">
        <f>IF($P2807="","",INDEX(상세표[블록 22~06시],$P2807))</f>
        <v/>
      </c>
      <c r="N2807">
        <f>IF($P2807="","",INDEX(상세표[주말·휴일 포함],$P2807)&amp;"")</f>
        <v/>
      </c>
      <c r="O2807">
        <f>IF($P2807="","",INDEX(상세표[월 넘김 포함],$P2807)&amp;"")</f>
        <v/>
      </c>
      <c r="P2807" s="4">
        <f>IFERROR(MATCH(2802,상세표[연속순번],0),"")</f>
        <v/>
      </c>
    </row>
    <row r="2808">
      <c r="A2808">
        <f>IF($P2808="","",INDEX(상세표[사번],$P2808)&amp;"")</f>
        <v/>
      </c>
      <c r="B2808">
        <f>IF($P2808="","",INDEX(상세표[성명],$P2808)&amp;"")</f>
        <v/>
      </c>
      <c r="C2808">
        <f>IF($P2808="","",INDEX(상세표[부서],$P2808)&amp;"")</f>
        <v/>
      </c>
      <c r="D2808">
        <f>IF($P2808="","",INDEX(상세표[직위],$P2808)&amp;"")</f>
        <v/>
      </c>
      <c r="E2808">
        <f>IF($P2808="","",IF(ISNUMBER(INDEX(상세표[시작],$P2808)),TEXT(INDEX(상세표[시작],$P2808),"yyyy-mm-dd hh:mm"),INDEX(상세표[시작],$P2808)&amp;""))</f>
        <v/>
      </c>
      <c r="F2808">
        <f>IF($P2808="","",IF(ISNUMBER(INDEX(상세표[블록종료],$P2808)),TEXT(INDEX(상세표[블록종료],$P2808),"yyyy-mm-dd hh:mm"),INDEX(상세표[블록종료],$P2808)&amp;""))</f>
        <v/>
      </c>
      <c r="G2808">
        <f>IF($P2808="","",CHOOSE(WEEKDAY(INDEX(상세표[시작],$P2808)),"일","월","화","수","목","금","토"))</f>
        <v/>
      </c>
      <c r="H2808">
        <f>IF($P2808="","",INDEX(상세표[연속 시간],$P2808))</f>
        <v/>
      </c>
      <c r="I2808">
        <f>IF($P2808="","",INDEX(상세표[기록 수],$P2808))</f>
        <v/>
      </c>
      <c r="J2808">
        <f>IF($P2808="","",INDEX(상세표[블록 06~07시],$P2808))</f>
        <v/>
      </c>
      <c r="K2808">
        <f>IF($P2808="","",INDEX(상세표[블록 07~18시],$P2808))</f>
        <v/>
      </c>
      <c r="L2808">
        <f>IF($P2808="","",INDEX(상세표[블록 18~22시],$P2808))</f>
        <v/>
      </c>
      <c r="M2808">
        <f>IF($P2808="","",INDEX(상세표[블록 22~06시],$P2808))</f>
        <v/>
      </c>
      <c r="N2808">
        <f>IF($P2808="","",INDEX(상세표[주말·휴일 포함],$P2808)&amp;"")</f>
        <v/>
      </c>
      <c r="O2808">
        <f>IF($P2808="","",INDEX(상세표[월 넘김 포함],$P2808)&amp;"")</f>
        <v/>
      </c>
      <c r="P2808" s="4">
        <f>IFERROR(MATCH(2803,상세표[연속순번],0),"")</f>
        <v/>
      </c>
    </row>
    <row r="2809">
      <c r="A2809">
        <f>IF($P2809="","",INDEX(상세표[사번],$P2809)&amp;"")</f>
        <v/>
      </c>
      <c r="B2809">
        <f>IF($P2809="","",INDEX(상세표[성명],$P2809)&amp;"")</f>
        <v/>
      </c>
      <c r="C2809">
        <f>IF($P2809="","",INDEX(상세표[부서],$P2809)&amp;"")</f>
        <v/>
      </c>
      <c r="D2809">
        <f>IF($P2809="","",INDEX(상세표[직위],$P2809)&amp;"")</f>
        <v/>
      </c>
      <c r="E2809">
        <f>IF($P2809="","",IF(ISNUMBER(INDEX(상세표[시작],$P2809)),TEXT(INDEX(상세표[시작],$P2809),"yyyy-mm-dd hh:mm"),INDEX(상세표[시작],$P2809)&amp;""))</f>
        <v/>
      </c>
      <c r="F2809">
        <f>IF($P2809="","",IF(ISNUMBER(INDEX(상세표[블록종료],$P2809)),TEXT(INDEX(상세표[블록종료],$P2809),"yyyy-mm-dd hh:mm"),INDEX(상세표[블록종료],$P2809)&amp;""))</f>
        <v/>
      </c>
      <c r="G2809">
        <f>IF($P2809="","",CHOOSE(WEEKDAY(INDEX(상세표[시작],$P2809)),"일","월","화","수","목","금","토"))</f>
        <v/>
      </c>
      <c r="H2809">
        <f>IF($P2809="","",INDEX(상세표[연속 시간],$P2809))</f>
        <v/>
      </c>
      <c r="I2809">
        <f>IF($P2809="","",INDEX(상세표[기록 수],$P2809))</f>
        <v/>
      </c>
      <c r="J2809">
        <f>IF($P2809="","",INDEX(상세표[블록 06~07시],$P2809))</f>
        <v/>
      </c>
      <c r="K2809">
        <f>IF($P2809="","",INDEX(상세표[블록 07~18시],$P2809))</f>
        <v/>
      </c>
      <c r="L2809">
        <f>IF($P2809="","",INDEX(상세표[블록 18~22시],$P2809))</f>
        <v/>
      </c>
      <c r="M2809">
        <f>IF($P2809="","",INDEX(상세표[블록 22~06시],$P2809))</f>
        <v/>
      </c>
      <c r="N2809">
        <f>IF($P2809="","",INDEX(상세표[주말·휴일 포함],$P2809)&amp;"")</f>
        <v/>
      </c>
      <c r="O2809">
        <f>IF($P2809="","",INDEX(상세표[월 넘김 포함],$P2809)&amp;"")</f>
        <v/>
      </c>
      <c r="P2809" s="4">
        <f>IFERROR(MATCH(2804,상세표[연속순번],0),"")</f>
        <v/>
      </c>
    </row>
    <row r="2810">
      <c r="A2810">
        <f>IF($P2810="","",INDEX(상세표[사번],$P2810)&amp;"")</f>
        <v/>
      </c>
      <c r="B2810">
        <f>IF($P2810="","",INDEX(상세표[성명],$P2810)&amp;"")</f>
        <v/>
      </c>
      <c r="C2810">
        <f>IF($P2810="","",INDEX(상세표[부서],$P2810)&amp;"")</f>
        <v/>
      </c>
      <c r="D2810">
        <f>IF($P2810="","",INDEX(상세표[직위],$P2810)&amp;"")</f>
        <v/>
      </c>
      <c r="E2810">
        <f>IF($P2810="","",IF(ISNUMBER(INDEX(상세표[시작],$P2810)),TEXT(INDEX(상세표[시작],$P2810),"yyyy-mm-dd hh:mm"),INDEX(상세표[시작],$P2810)&amp;""))</f>
        <v/>
      </c>
      <c r="F2810">
        <f>IF($P2810="","",IF(ISNUMBER(INDEX(상세표[블록종료],$P2810)),TEXT(INDEX(상세표[블록종료],$P2810),"yyyy-mm-dd hh:mm"),INDEX(상세표[블록종료],$P2810)&amp;""))</f>
        <v/>
      </c>
      <c r="G2810">
        <f>IF($P2810="","",CHOOSE(WEEKDAY(INDEX(상세표[시작],$P2810)),"일","월","화","수","목","금","토"))</f>
        <v/>
      </c>
      <c r="H2810">
        <f>IF($P2810="","",INDEX(상세표[연속 시간],$P2810))</f>
        <v/>
      </c>
      <c r="I2810">
        <f>IF($P2810="","",INDEX(상세표[기록 수],$P2810))</f>
        <v/>
      </c>
      <c r="J2810">
        <f>IF($P2810="","",INDEX(상세표[블록 06~07시],$P2810))</f>
        <v/>
      </c>
      <c r="K2810">
        <f>IF($P2810="","",INDEX(상세표[블록 07~18시],$P2810))</f>
        <v/>
      </c>
      <c r="L2810">
        <f>IF($P2810="","",INDEX(상세표[블록 18~22시],$P2810))</f>
        <v/>
      </c>
      <c r="M2810">
        <f>IF($P2810="","",INDEX(상세표[블록 22~06시],$P2810))</f>
        <v/>
      </c>
      <c r="N2810">
        <f>IF($P2810="","",INDEX(상세표[주말·휴일 포함],$P2810)&amp;"")</f>
        <v/>
      </c>
      <c r="O2810">
        <f>IF($P2810="","",INDEX(상세표[월 넘김 포함],$P2810)&amp;"")</f>
        <v/>
      </c>
      <c r="P2810" s="4">
        <f>IFERROR(MATCH(2805,상세표[연속순번],0),"")</f>
        <v/>
      </c>
    </row>
    <row r="2811">
      <c r="A2811">
        <f>IF($P2811="","",INDEX(상세표[사번],$P2811)&amp;"")</f>
        <v/>
      </c>
      <c r="B2811">
        <f>IF($P2811="","",INDEX(상세표[성명],$P2811)&amp;"")</f>
        <v/>
      </c>
      <c r="C2811">
        <f>IF($P2811="","",INDEX(상세표[부서],$P2811)&amp;"")</f>
        <v/>
      </c>
      <c r="D2811">
        <f>IF($P2811="","",INDEX(상세표[직위],$P2811)&amp;"")</f>
        <v/>
      </c>
      <c r="E2811">
        <f>IF($P2811="","",IF(ISNUMBER(INDEX(상세표[시작],$P2811)),TEXT(INDEX(상세표[시작],$P2811),"yyyy-mm-dd hh:mm"),INDEX(상세표[시작],$P2811)&amp;""))</f>
        <v/>
      </c>
      <c r="F2811">
        <f>IF($P2811="","",IF(ISNUMBER(INDEX(상세표[블록종료],$P2811)),TEXT(INDEX(상세표[블록종료],$P2811),"yyyy-mm-dd hh:mm"),INDEX(상세표[블록종료],$P2811)&amp;""))</f>
        <v/>
      </c>
      <c r="G2811">
        <f>IF($P2811="","",CHOOSE(WEEKDAY(INDEX(상세표[시작],$P2811)),"일","월","화","수","목","금","토"))</f>
        <v/>
      </c>
      <c r="H2811">
        <f>IF($P2811="","",INDEX(상세표[연속 시간],$P2811))</f>
        <v/>
      </c>
      <c r="I2811">
        <f>IF($P2811="","",INDEX(상세표[기록 수],$P2811))</f>
        <v/>
      </c>
      <c r="J2811">
        <f>IF($P2811="","",INDEX(상세표[블록 06~07시],$P2811))</f>
        <v/>
      </c>
      <c r="K2811">
        <f>IF($P2811="","",INDEX(상세표[블록 07~18시],$P2811))</f>
        <v/>
      </c>
      <c r="L2811">
        <f>IF($P2811="","",INDEX(상세표[블록 18~22시],$P2811))</f>
        <v/>
      </c>
      <c r="M2811">
        <f>IF($P2811="","",INDEX(상세표[블록 22~06시],$P2811))</f>
        <v/>
      </c>
      <c r="N2811">
        <f>IF($P2811="","",INDEX(상세표[주말·휴일 포함],$P2811)&amp;"")</f>
        <v/>
      </c>
      <c r="O2811">
        <f>IF($P2811="","",INDEX(상세표[월 넘김 포함],$P2811)&amp;"")</f>
        <v/>
      </c>
      <c r="P2811" s="4">
        <f>IFERROR(MATCH(2806,상세표[연속순번],0),"")</f>
        <v/>
      </c>
    </row>
    <row r="2812">
      <c r="A2812">
        <f>IF($P2812="","",INDEX(상세표[사번],$P2812)&amp;"")</f>
        <v/>
      </c>
      <c r="B2812">
        <f>IF($P2812="","",INDEX(상세표[성명],$P2812)&amp;"")</f>
        <v/>
      </c>
      <c r="C2812">
        <f>IF($P2812="","",INDEX(상세표[부서],$P2812)&amp;"")</f>
        <v/>
      </c>
      <c r="D2812">
        <f>IF($P2812="","",INDEX(상세표[직위],$P2812)&amp;"")</f>
        <v/>
      </c>
      <c r="E2812">
        <f>IF($P2812="","",IF(ISNUMBER(INDEX(상세표[시작],$P2812)),TEXT(INDEX(상세표[시작],$P2812),"yyyy-mm-dd hh:mm"),INDEX(상세표[시작],$P2812)&amp;""))</f>
        <v/>
      </c>
      <c r="F2812">
        <f>IF($P2812="","",IF(ISNUMBER(INDEX(상세표[블록종료],$P2812)),TEXT(INDEX(상세표[블록종료],$P2812),"yyyy-mm-dd hh:mm"),INDEX(상세표[블록종료],$P2812)&amp;""))</f>
        <v/>
      </c>
      <c r="G2812">
        <f>IF($P2812="","",CHOOSE(WEEKDAY(INDEX(상세표[시작],$P2812)),"일","월","화","수","목","금","토"))</f>
        <v/>
      </c>
      <c r="H2812">
        <f>IF($P2812="","",INDEX(상세표[연속 시간],$P2812))</f>
        <v/>
      </c>
      <c r="I2812">
        <f>IF($P2812="","",INDEX(상세표[기록 수],$P2812))</f>
        <v/>
      </c>
      <c r="J2812">
        <f>IF($P2812="","",INDEX(상세표[블록 06~07시],$P2812))</f>
        <v/>
      </c>
      <c r="K2812">
        <f>IF($P2812="","",INDEX(상세표[블록 07~18시],$P2812))</f>
        <v/>
      </c>
      <c r="L2812">
        <f>IF($P2812="","",INDEX(상세표[블록 18~22시],$P2812))</f>
        <v/>
      </c>
      <c r="M2812">
        <f>IF($P2812="","",INDEX(상세표[블록 22~06시],$P2812))</f>
        <v/>
      </c>
      <c r="N2812">
        <f>IF($P2812="","",INDEX(상세표[주말·휴일 포함],$P2812)&amp;"")</f>
        <v/>
      </c>
      <c r="O2812">
        <f>IF($P2812="","",INDEX(상세표[월 넘김 포함],$P2812)&amp;"")</f>
        <v/>
      </c>
      <c r="P2812" s="4">
        <f>IFERROR(MATCH(2807,상세표[연속순번],0),"")</f>
        <v/>
      </c>
    </row>
    <row r="2813">
      <c r="A2813">
        <f>IF($P2813="","",INDEX(상세표[사번],$P2813)&amp;"")</f>
        <v/>
      </c>
      <c r="B2813">
        <f>IF($P2813="","",INDEX(상세표[성명],$P2813)&amp;"")</f>
        <v/>
      </c>
      <c r="C2813">
        <f>IF($P2813="","",INDEX(상세표[부서],$P2813)&amp;"")</f>
        <v/>
      </c>
      <c r="D2813">
        <f>IF($P2813="","",INDEX(상세표[직위],$P2813)&amp;"")</f>
        <v/>
      </c>
      <c r="E2813">
        <f>IF($P2813="","",IF(ISNUMBER(INDEX(상세표[시작],$P2813)),TEXT(INDEX(상세표[시작],$P2813),"yyyy-mm-dd hh:mm"),INDEX(상세표[시작],$P2813)&amp;""))</f>
        <v/>
      </c>
      <c r="F2813">
        <f>IF($P2813="","",IF(ISNUMBER(INDEX(상세표[블록종료],$P2813)),TEXT(INDEX(상세표[블록종료],$P2813),"yyyy-mm-dd hh:mm"),INDEX(상세표[블록종료],$P2813)&amp;""))</f>
        <v/>
      </c>
      <c r="G2813">
        <f>IF($P2813="","",CHOOSE(WEEKDAY(INDEX(상세표[시작],$P2813)),"일","월","화","수","목","금","토"))</f>
        <v/>
      </c>
      <c r="H2813">
        <f>IF($P2813="","",INDEX(상세표[연속 시간],$P2813))</f>
        <v/>
      </c>
      <c r="I2813">
        <f>IF($P2813="","",INDEX(상세표[기록 수],$P2813))</f>
        <v/>
      </c>
      <c r="J2813">
        <f>IF($P2813="","",INDEX(상세표[블록 06~07시],$P2813))</f>
        <v/>
      </c>
      <c r="K2813">
        <f>IF($P2813="","",INDEX(상세표[블록 07~18시],$P2813))</f>
        <v/>
      </c>
      <c r="L2813">
        <f>IF($P2813="","",INDEX(상세표[블록 18~22시],$P2813))</f>
        <v/>
      </c>
      <c r="M2813">
        <f>IF($P2813="","",INDEX(상세표[블록 22~06시],$P2813))</f>
        <v/>
      </c>
      <c r="N2813">
        <f>IF($P2813="","",INDEX(상세표[주말·휴일 포함],$P2813)&amp;"")</f>
        <v/>
      </c>
      <c r="O2813">
        <f>IF($P2813="","",INDEX(상세표[월 넘김 포함],$P2813)&amp;"")</f>
        <v/>
      </c>
      <c r="P2813" s="4">
        <f>IFERROR(MATCH(2808,상세표[연속순번],0),"")</f>
        <v/>
      </c>
    </row>
    <row r="2814">
      <c r="A2814">
        <f>IF($P2814="","",INDEX(상세표[사번],$P2814)&amp;"")</f>
        <v/>
      </c>
      <c r="B2814">
        <f>IF($P2814="","",INDEX(상세표[성명],$P2814)&amp;"")</f>
        <v/>
      </c>
      <c r="C2814">
        <f>IF($P2814="","",INDEX(상세표[부서],$P2814)&amp;"")</f>
        <v/>
      </c>
      <c r="D2814">
        <f>IF($P2814="","",INDEX(상세표[직위],$P2814)&amp;"")</f>
        <v/>
      </c>
      <c r="E2814">
        <f>IF($P2814="","",IF(ISNUMBER(INDEX(상세표[시작],$P2814)),TEXT(INDEX(상세표[시작],$P2814),"yyyy-mm-dd hh:mm"),INDEX(상세표[시작],$P2814)&amp;""))</f>
        <v/>
      </c>
      <c r="F2814">
        <f>IF($P2814="","",IF(ISNUMBER(INDEX(상세표[블록종료],$P2814)),TEXT(INDEX(상세표[블록종료],$P2814),"yyyy-mm-dd hh:mm"),INDEX(상세표[블록종료],$P2814)&amp;""))</f>
        <v/>
      </c>
      <c r="G2814">
        <f>IF($P2814="","",CHOOSE(WEEKDAY(INDEX(상세표[시작],$P2814)),"일","월","화","수","목","금","토"))</f>
        <v/>
      </c>
      <c r="H2814">
        <f>IF($P2814="","",INDEX(상세표[연속 시간],$P2814))</f>
        <v/>
      </c>
      <c r="I2814">
        <f>IF($P2814="","",INDEX(상세표[기록 수],$P2814))</f>
        <v/>
      </c>
      <c r="J2814">
        <f>IF($P2814="","",INDEX(상세표[블록 06~07시],$P2814))</f>
        <v/>
      </c>
      <c r="K2814">
        <f>IF($P2814="","",INDEX(상세표[블록 07~18시],$P2814))</f>
        <v/>
      </c>
      <c r="L2814">
        <f>IF($P2814="","",INDEX(상세표[블록 18~22시],$P2814))</f>
        <v/>
      </c>
      <c r="M2814">
        <f>IF($P2814="","",INDEX(상세표[블록 22~06시],$P2814))</f>
        <v/>
      </c>
      <c r="N2814">
        <f>IF($P2814="","",INDEX(상세표[주말·휴일 포함],$P2814)&amp;"")</f>
        <v/>
      </c>
      <c r="O2814">
        <f>IF($P2814="","",INDEX(상세표[월 넘김 포함],$P2814)&amp;"")</f>
        <v/>
      </c>
      <c r="P2814" s="4">
        <f>IFERROR(MATCH(2809,상세표[연속순번],0),"")</f>
        <v/>
      </c>
    </row>
    <row r="2815">
      <c r="A2815">
        <f>IF($P2815="","",INDEX(상세표[사번],$P2815)&amp;"")</f>
        <v/>
      </c>
      <c r="B2815">
        <f>IF($P2815="","",INDEX(상세표[성명],$P2815)&amp;"")</f>
        <v/>
      </c>
      <c r="C2815">
        <f>IF($P2815="","",INDEX(상세표[부서],$P2815)&amp;"")</f>
        <v/>
      </c>
      <c r="D2815">
        <f>IF($P2815="","",INDEX(상세표[직위],$P2815)&amp;"")</f>
        <v/>
      </c>
      <c r="E2815">
        <f>IF($P2815="","",IF(ISNUMBER(INDEX(상세표[시작],$P2815)),TEXT(INDEX(상세표[시작],$P2815),"yyyy-mm-dd hh:mm"),INDEX(상세표[시작],$P2815)&amp;""))</f>
        <v/>
      </c>
      <c r="F2815">
        <f>IF($P2815="","",IF(ISNUMBER(INDEX(상세표[블록종료],$P2815)),TEXT(INDEX(상세표[블록종료],$P2815),"yyyy-mm-dd hh:mm"),INDEX(상세표[블록종료],$P2815)&amp;""))</f>
        <v/>
      </c>
      <c r="G2815">
        <f>IF($P2815="","",CHOOSE(WEEKDAY(INDEX(상세표[시작],$P2815)),"일","월","화","수","목","금","토"))</f>
        <v/>
      </c>
      <c r="H2815">
        <f>IF($P2815="","",INDEX(상세표[연속 시간],$P2815))</f>
        <v/>
      </c>
      <c r="I2815">
        <f>IF($P2815="","",INDEX(상세표[기록 수],$P2815))</f>
        <v/>
      </c>
      <c r="J2815">
        <f>IF($P2815="","",INDEX(상세표[블록 06~07시],$P2815))</f>
        <v/>
      </c>
      <c r="K2815">
        <f>IF($P2815="","",INDEX(상세표[블록 07~18시],$P2815))</f>
        <v/>
      </c>
      <c r="L2815">
        <f>IF($P2815="","",INDEX(상세표[블록 18~22시],$P2815))</f>
        <v/>
      </c>
      <c r="M2815">
        <f>IF($P2815="","",INDEX(상세표[블록 22~06시],$P2815))</f>
        <v/>
      </c>
      <c r="N2815">
        <f>IF($P2815="","",INDEX(상세표[주말·휴일 포함],$P2815)&amp;"")</f>
        <v/>
      </c>
      <c r="O2815">
        <f>IF($P2815="","",INDEX(상세표[월 넘김 포함],$P2815)&amp;"")</f>
        <v/>
      </c>
      <c r="P2815" s="4">
        <f>IFERROR(MATCH(2810,상세표[연속순번],0),"")</f>
        <v/>
      </c>
    </row>
    <row r="2816">
      <c r="A2816">
        <f>IF($P2816="","",INDEX(상세표[사번],$P2816)&amp;"")</f>
        <v/>
      </c>
      <c r="B2816">
        <f>IF($P2816="","",INDEX(상세표[성명],$P2816)&amp;"")</f>
        <v/>
      </c>
      <c r="C2816">
        <f>IF($P2816="","",INDEX(상세표[부서],$P2816)&amp;"")</f>
        <v/>
      </c>
      <c r="D2816">
        <f>IF($P2816="","",INDEX(상세표[직위],$P2816)&amp;"")</f>
        <v/>
      </c>
      <c r="E2816">
        <f>IF($P2816="","",IF(ISNUMBER(INDEX(상세표[시작],$P2816)),TEXT(INDEX(상세표[시작],$P2816),"yyyy-mm-dd hh:mm"),INDEX(상세표[시작],$P2816)&amp;""))</f>
        <v/>
      </c>
      <c r="F2816">
        <f>IF($P2816="","",IF(ISNUMBER(INDEX(상세표[블록종료],$P2816)),TEXT(INDEX(상세표[블록종료],$P2816),"yyyy-mm-dd hh:mm"),INDEX(상세표[블록종료],$P2816)&amp;""))</f>
        <v/>
      </c>
      <c r="G2816">
        <f>IF($P2816="","",CHOOSE(WEEKDAY(INDEX(상세표[시작],$P2816)),"일","월","화","수","목","금","토"))</f>
        <v/>
      </c>
      <c r="H2816">
        <f>IF($P2816="","",INDEX(상세표[연속 시간],$P2816))</f>
        <v/>
      </c>
      <c r="I2816">
        <f>IF($P2816="","",INDEX(상세표[기록 수],$P2816))</f>
        <v/>
      </c>
      <c r="J2816">
        <f>IF($P2816="","",INDEX(상세표[블록 06~07시],$P2816))</f>
        <v/>
      </c>
      <c r="K2816">
        <f>IF($P2816="","",INDEX(상세표[블록 07~18시],$P2816))</f>
        <v/>
      </c>
      <c r="L2816">
        <f>IF($P2816="","",INDEX(상세표[블록 18~22시],$P2816))</f>
        <v/>
      </c>
      <c r="M2816">
        <f>IF($P2816="","",INDEX(상세표[블록 22~06시],$P2816))</f>
        <v/>
      </c>
      <c r="N2816">
        <f>IF($P2816="","",INDEX(상세표[주말·휴일 포함],$P2816)&amp;"")</f>
        <v/>
      </c>
      <c r="O2816">
        <f>IF($P2816="","",INDEX(상세표[월 넘김 포함],$P2816)&amp;"")</f>
        <v/>
      </c>
      <c r="P2816" s="4">
        <f>IFERROR(MATCH(2811,상세표[연속순번],0),"")</f>
        <v/>
      </c>
    </row>
    <row r="2817">
      <c r="A2817">
        <f>IF($P2817="","",INDEX(상세표[사번],$P2817)&amp;"")</f>
        <v/>
      </c>
      <c r="B2817">
        <f>IF($P2817="","",INDEX(상세표[성명],$P2817)&amp;"")</f>
        <v/>
      </c>
      <c r="C2817">
        <f>IF($P2817="","",INDEX(상세표[부서],$P2817)&amp;"")</f>
        <v/>
      </c>
      <c r="D2817">
        <f>IF($P2817="","",INDEX(상세표[직위],$P2817)&amp;"")</f>
        <v/>
      </c>
      <c r="E2817">
        <f>IF($P2817="","",IF(ISNUMBER(INDEX(상세표[시작],$P2817)),TEXT(INDEX(상세표[시작],$P2817),"yyyy-mm-dd hh:mm"),INDEX(상세표[시작],$P2817)&amp;""))</f>
        <v/>
      </c>
      <c r="F2817">
        <f>IF($P2817="","",IF(ISNUMBER(INDEX(상세표[블록종료],$P2817)),TEXT(INDEX(상세표[블록종료],$P2817),"yyyy-mm-dd hh:mm"),INDEX(상세표[블록종료],$P2817)&amp;""))</f>
        <v/>
      </c>
      <c r="G2817">
        <f>IF($P2817="","",CHOOSE(WEEKDAY(INDEX(상세표[시작],$P2817)),"일","월","화","수","목","금","토"))</f>
        <v/>
      </c>
      <c r="H2817">
        <f>IF($P2817="","",INDEX(상세표[연속 시간],$P2817))</f>
        <v/>
      </c>
      <c r="I2817">
        <f>IF($P2817="","",INDEX(상세표[기록 수],$P2817))</f>
        <v/>
      </c>
      <c r="J2817">
        <f>IF($P2817="","",INDEX(상세표[블록 06~07시],$P2817))</f>
        <v/>
      </c>
      <c r="K2817">
        <f>IF($P2817="","",INDEX(상세표[블록 07~18시],$P2817))</f>
        <v/>
      </c>
      <c r="L2817">
        <f>IF($P2817="","",INDEX(상세표[블록 18~22시],$P2817))</f>
        <v/>
      </c>
      <c r="M2817">
        <f>IF($P2817="","",INDEX(상세표[블록 22~06시],$P2817))</f>
        <v/>
      </c>
      <c r="N2817">
        <f>IF($P2817="","",INDEX(상세표[주말·휴일 포함],$P2817)&amp;"")</f>
        <v/>
      </c>
      <c r="O2817">
        <f>IF($P2817="","",INDEX(상세표[월 넘김 포함],$P2817)&amp;"")</f>
        <v/>
      </c>
      <c r="P2817" s="4">
        <f>IFERROR(MATCH(2812,상세표[연속순번],0),"")</f>
        <v/>
      </c>
    </row>
    <row r="2818">
      <c r="A2818">
        <f>IF($P2818="","",INDEX(상세표[사번],$P2818)&amp;"")</f>
        <v/>
      </c>
      <c r="B2818">
        <f>IF($P2818="","",INDEX(상세표[성명],$P2818)&amp;"")</f>
        <v/>
      </c>
      <c r="C2818">
        <f>IF($P2818="","",INDEX(상세표[부서],$P2818)&amp;"")</f>
        <v/>
      </c>
      <c r="D2818">
        <f>IF($P2818="","",INDEX(상세표[직위],$P2818)&amp;"")</f>
        <v/>
      </c>
      <c r="E2818">
        <f>IF($P2818="","",IF(ISNUMBER(INDEX(상세표[시작],$P2818)),TEXT(INDEX(상세표[시작],$P2818),"yyyy-mm-dd hh:mm"),INDEX(상세표[시작],$P2818)&amp;""))</f>
        <v/>
      </c>
      <c r="F2818">
        <f>IF($P2818="","",IF(ISNUMBER(INDEX(상세표[블록종료],$P2818)),TEXT(INDEX(상세표[블록종료],$P2818),"yyyy-mm-dd hh:mm"),INDEX(상세표[블록종료],$P2818)&amp;""))</f>
        <v/>
      </c>
      <c r="G2818">
        <f>IF($P2818="","",CHOOSE(WEEKDAY(INDEX(상세표[시작],$P2818)),"일","월","화","수","목","금","토"))</f>
        <v/>
      </c>
      <c r="H2818">
        <f>IF($P2818="","",INDEX(상세표[연속 시간],$P2818))</f>
        <v/>
      </c>
      <c r="I2818">
        <f>IF($P2818="","",INDEX(상세표[기록 수],$P2818))</f>
        <v/>
      </c>
      <c r="J2818">
        <f>IF($P2818="","",INDEX(상세표[블록 06~07시],$P2818))</f>
        <v/>
      </c>
      <c r="K2818">
        <f>IF($P2818="","",INDEX(상세표[블록 07~18시],$P2818))</f>
        <v/>
      </c>
      <c r="L2818">
        <f>IF($P2818="","",INDEX(상세표[블록 18~22시],$P2818))</f>
        <v/>
      </c>
      <c r="M2818">
        <f>IF($P2818="","",INDEX(상세표[블록 22~06시],$P2818))</f>
        <v/>
      </c>
      <c r="N2818">
        <f>IF($P2818="","",INDEX(상세표[주말·휴일 포함],$P2818)&amp;"")</f>
        <v/>
      </c>
      <c r="O2818">
        <f>IF($P2818="","",INDEX(상세표[월 넘김 포함],$P2818)&amp;"")</f>
        <v/>
      </c>
      <c r="P2818" s="4">
        <f>IFERROR(MATCH(2813,상세표[연속순번],0),"")</f>
        <v/>
      </c>
    </row>
    <row r="2819">
      <c r="A2819">
        <f>IF($P2819="","",INDEX(상세표[사번],$P2819)&amp;"")</f>
        <v/>
      </c>
      <c r="B2819">
        <f>IF($P2819="","",INDEX(상세표[성명],$P2819)&amp;"")</f>
        <v/>
      </c>
      <c r="C2819">
        <f>IF($P2819="","",INDEX(상세표[부서],$P2819)&amp;"")</f>
        <v/>
      </c>
      <c r="D2819">
        <f>IF($P2819="","",INDEX(상세표[직위],$P2819)&amp;"")</f>
        <v/>
      </c>
      <c r="E2819">
        <f>IF($P2819="","",IF(ISNUMBER(INDEX(상세표[시작],$P2819)),TEXT(INDEX(상세표[시작],$P2819),"yyyy-mm-dd hh:mm"),INDEX(상세표[시작],$P2819)&amp;""))</f>
        <v/>
      </c>
      <c r="F2819">
        <f>IF($P2819="","",IF(ISNUMBER(INDEX(상세표[블록종료],$P2819)),TEXT(INDEX(상세표[블록종료],$P2819),"yyyy-mm-dd hh:mm"),INDEX(상세표[블록종료],$P2819)&amp;""))</f>
        <v/>
      </c>
      <c r="G2819">
        <f>IF($P2819="","",CHOOSE(WEEKDAY(INDEX(상세표[시작],$P2819)),"일","월","화","수","목","금","토"))</f>
        <v/>
      </c>
      <c r="H2819">
        <f>IF($P2819="","",INDEX(상세표[연속 시간],$P2819))</f>
        <v/>
      </c>
      <c r="I2819">
        <f>IF($P2819="","",INDEX(상세표[기록 수],$P2819))</f>
        <v/>
      </c>
      <c r="J2819">
        <f>IF($P2819="","",INDEX(상세표[블록 06~07시],$P2819))</f>
        <v/>
      </c>
      <c r="K2819">
        <f>IF($P2819="","",INDEX(상세표[블록 07~18시],$P2819))</f>
        <v/>
      </c>
      <c r="L2819">
        <f>IF($P2819="","",INDEX(상세표[블록 18~22시],$P2819))</f>
        <v/>
      </c>
      <c r="M2819">
        <f>IF($P2819="","",INDEX(상세표[블록 22~06시],$P2819))</f>
        <v/>
      </c>
      <c r="N2819">
        <f>IF($P2819="","",INDEX(상세표[주말·휴일 포함],$P2819)&amp;"")</f>
        <v/>
      </c>
      <c r="O2819">
        <f>IF($P2819="","",INDEX(상세표[월 넘김 포함],$P2819)&amp;"")</f>
        <v/>
      </c>
      <c r="P2819" s="4">
        <f>IFERROR(MATCH(2814,상세표[연속순번],0),"")</f>
        <v/>
      </c>
    </row>
    <row r="2820">
      <c r="A2820">
        <f>IF($P2820="","",INDEX(상세표[사번],$P2820)&amp;"")</f>
        <v/>
      </c>
      <c r="B2820">
        <f>IF($P2820="","",INDEX(상세표[성명],$P2820)&amp;"")</f>
        <v/>
      </c>
      <c r="C2820">
        <f>IF($P2820="","",INDEX(상세표[부서],$P2820)&amp;"")</f>
        <v/>
      </c>
      <c r="D2820">
        <f>IF($P2820="","",INDEX(상세표[직위],$P2820)&amp;"")</f>
        <v/>
      </c>
      <c r="E2820">
        <f>IF($P2820="","",IF(ISNUMBER(INDEX(상세표[시작],$P2820)),TEXT(INDEX(상세표[시작],$P2820),"yyyy-mm-dd hh:mm"),INDEX(상세표[시작],$P2820)&amp;""))</f>
        <v/>
      </c>
      <c r="F2820">
        <f>IF($P2820="","",IF(ISNUMBER(INDEX(상세표[블록종료],$P2820)),TEXT(INDEX(상세표[블록종료],$P2820),"yyyy-mm-dd hh:mm"),INDEX(상세표[블록종료],$P2820)&amp;""))</f>
        <v/>
      </c>
      <c r="G2820">
        <f>IF($P2820="","",CHOOSE(WEEKDAY(INDEX(상세표[시작],$P2820)),"일","월","화","수","목","금","토"))</f>
        <v/>
      </c>
      <c r="H2820">
        <f>IF($P2820="","",INDEX(상세표[연속 시간],$P2820))</f>
        <v/>
      </c>
      <c r="I2820">
        <f>IF($P2820="","",INDEX(상세표[기록 수],$P2820))</f>
        <v/>
      </c>
      <c r="J2820">
        <f>IF($P2820="","",INDEX(상세표[블록 06~07시],$P2820))</f>
        <v/>
      </c>
      <c r="K2820">
        <f>IF($P2820="","",INDEX(상세표[블록 07~18시],$P2820))</f>
        <v/>
      </c>
      <c r="L2820">
        <f>IF($P2820="","",INDEX(상세표[블록 18~22시],$P2820))</f>
        <v/>
      </c>
      <c r="M2820">
        <f>IF($P2820="","",INDEX(상세표[블록 22~06시],$P2820))</f>
        <v/>
      </c>
      <c r="N2820">
        <f>IF($P2820="","",INDEX(상세표[주말·휴일 포함],$P2820)&amp;"")</f>
        <v/>
      </c>
      <c r="O2820">
        <f>IF($P2820="","",INDEX(상세표[월 넘김 포함],$P2820)&amp;"")</f>
        <v/>
      </c>
      <c r="P2820" s="4">
        <f>IFERROR(MATCH(2815,상세표[연속순번],0),"")</f>
        <v/>
      </c>
    </row>
    <row r="2821">
      <c r="A2821">
        <f>IF($P2821="","",INDEX(상세표[사번],$P2821)&amp;"")</f>
        <v/>
      </c>
      <c r="B2821">
        <f>IF($P2821="","",INDEX(상세표[성명],$P2821)&amp;"")</f>
        <v/>
      </c>
      <c r="C2821">
        <f>IF($P2821="","",INDEX(상세표[부서],$P2821)&amp;"")</f>
        <v/>
      </c>
      <c r="D2821">
        <f>IF($P2821="","",INDEX(상세표[직위],$P2821)&amp;"")</f>
        <v/>
      </c>
      <c r="E2821">
        <f>IF($P2821="","",IF(ISNUMBER(INDEX(상세표[시작],$P2821)),TEXT(INDEX(상세표[시작],$P2821),"yyyy-mm-dd hh:mm"),INDEX(상세표[시작],$P2821)&amp;""))</f>
        <v/>
      </c>
      <c r="F2821">
        <f>IF($P2821="","",IF(ISNUMBER(INDEX(상세표[블록종료],$P2821)),TEXT(INDEX(상세표[블록종료],$P2821),"yyyy-mm-dd hh:mm"),INDEX(상세표[블록종료],$P2821)&amp;""))</f>
        <v/>
      </c>
      <c r="G2821">
        <f>IF($P2821="","",CHOOSE(WEEKDAY(INDEX(상세표[시작],$P2821)),"일","월","화","수","목","금","토"))</f>
        <v/>
      </c>
      <c r="H2821">
        <f>IF($P2821="","",INDEX(상세표[연속 시간],$P2821))</f>
        <v/>
      </c>
      <c r="I2821">
        <f>IF($P2821="","",INDEX(상세표[기록 수],$P2821))</f>
        <v/>
      </c>
      <c r="J2821">
        <f>IF($P2821="","",INDEX(상세표[블록 06~07시],$P2821))</f>
        <v/>
      </c>
      <c r="K2821">
        <f>IF($P2821="","",INDEX(상세표[블록 07~18시],$P2821))</f>
        <v/>
      </c>
      <c r="L2821">
        <f>IF($P2821="","",INDEX(상세표[블록 18~22시],$P2821))</f>
        <v/>
      </c>
      <c r="M2821">
        <f>IF($P2821="","",INDEX(상세표[블록 22~06시],$P2821))</f>
        <v/>
      </c>
      <c r="N2821">
        <f>IF($P2821="","",INDEX(상세표[주말·휴일 포함],$P2821)&amp;"")</f>
        <v/>
      </c>
      <c r="O2821">
        <f>IF($P2821="","",INDEX(상세표[월 넘김 포함],$P2821)&amp;"")</f>
        <v/>
      </c>
      <c r="P2821" s="4">
        <f>IFERROR(MATCH(2816,상세표[연속순번],0),"")</f>
        <v/>
      </c>
    </row>
    <row r="2822">
      <c r="A2822">
        <f>IF($P2822="","",INDEX(상세표[사번],$P2822)&amp;"")</f>
        <v/>
      </c>
      <c r="B2822">
        <f>IF($P2822="","",INDEX(상세표[성명],$P2822)&amp;"")</f>
        <v/>
      </c>
      <c r="C2822">
        <f>IF($P2822="","",INDEX(상세표[부서],$P2822)&amp;"")</f>
        <v/>
      </c>
      <c r="D2822">
        <f>IF($P2822="","",INDEX(상세표[직위],$P2822)&amp;"")</f>
        <v/>
      </c>
      <c r="E2822">
        <f>IF($P2822="","",IF(ISNUMBER(INDEX(상세표[시작],$P2822)),TEXT(INDEX(상세표[시작],$P2822),"yyyy-mm-dd hh:mm"),INDEX(상세표[시작],$P2822)&amp;""))</f>
        <v/>
      </c>
      <c r="F2822">
        <f>IF($P2822="","",IF(ISNUMBER(INDEX(상세표[블록종료],$P2822)),TEXT(INDEX(상세표[블록종료],$P2822),"yyyy-mm-dd hh:mm"),INDEX(상세표[블록종료],$P2822)&amp;""))</f>
        <v/>
      </c>
      <c r="G2822">
        <f>IF($P2822="","",CHOOSE(WEEKDAY(INDEX(상세표[시작],$P2822)),"일","월","화","수","목","금","토"))</f>
        <v/>
      </c>
      <c r="H2822">
        <f>IF($P2822="","",INDEX(상세표[연속 시간],$P2822))</f>
        <v/>
      </c>
      <c r="I2822">
        <f>IF($P2822="","",INDEX(상세표[기록 수],$P2822))</f>
        <v/>
      </c>
      <c r="J2822">
        <f>IF($P2822="","",INDEX(상세표[블록 06~07시],$P2822))</f>
        <v/>
      </c>
      <c r="K2822">
        <f>IF($P2822="","",INDEX(상세표[블록 07~18시],$P2822))</f>
        <v/>
      </c>
      <c r="L2822">
        <f>IF($P2822="","",INDEX(상세표[블록 18~22시],$P2822))</f>
        <v/>
      </c>
      <c r="M2822">
        <f>IF($P2822="","",INDEX(상세표[블록 22~06시],$P2822))</f>
        <v/>
      </c>
      <c r="N2822">
        <f>IF($P2822="","",INDEX(상세표[주말·휴일 포함],$P2822)&amp;"")</f>
        <v/>
      </c>
      <c r="O2822">
        <f>IF($P2822="","",INDEX(상세표[월 넘김 포함],$P2822)&amp;"")</f>
        <v/>
      </c>
      <c r="P2822" s="4">
        <f>IFERROR(MATCH(2817,상세표[연속순번],0),"")</f>
        <v/>
      </c>
    </row>
    <row r="2823">
      <c r="A2823">
        <f>IF($P2823="","",INDEX(상세표[사번],$P2823)&amp;"")</f>
        <v/>
      </c>
      <c r="B2823">
        <f>IF($P2823="","",INDEX(상세표[성명],$P2823)&amp;"")</f>
        <v/>
      </c>
      <c r="C2823">
        <f>IF($P2823="","",INDEX(상세표[부서],$P2823)&amp;"")</f>
        <v/>
      </c>
      <c r="D2823">
        <f>IF($P2823="","",INDEX(상세표[직위],$P2823)&amp;"")</f>
        <v/>
      </c>
      <c r="E2823">
        <f>IF($P2823="","",IF(ISNUMBER(INDEX(상세표[시작],$P2823)),TEXT(INDEX(상세표[시작],$P2823),"yyyy-mm-dd hh:mm"),INDEX(상세표[시작],$P2823)&amp;""))</f>
        <v/>
      </c>
      <c r="F2823">
        <f>IF($P2823="","",IF(ISNUMBER(INDEX(상세표[블록종료],$P2823)),TEXT(INDEX(상세표[블록종료],$P2823),"yyyy-mm-dd hh:mm"),INDEX(상세표[블록종료],$P2823)&amp;""))</f>
        <v/>
      </c>
      <c r="G2823">
        <f>IF($P2823="","",CHOOSE(WEEKDAY(INDEX(상세표[시작],$P2823)),"일","월","화","수","목","금","토"))</f>
        <v/>
      </c>
      <c r="H2823">
        <f>IF($P2823="","",INDEX(상세표[연속 시간],$P2823))</f>
        <v/>
      </c>
      <c r="I2823">
        <f>IF($P2823="","",INDEX(상세표[기록 수],$P2823))</f>
        <v/>
      </c>
      <c r="J2823">
        <f>IF($P2823="","",INDEX(상세표[블록 06~07시],$P2823))</f>
        <v/>
      </c>
      <c r="K2823">
        <f>IF($P2823="","",INDEX(상세표[블록 07~18시],$P2823))</f>
        <v/>
      </c>
      <c r="L2823">
        <f>IF($P2823="","",INDEX(상세표[블록 18~22시],$P2823))</f>
        <v/>
      </c>
      <c r="M2823">
        <f>IF($P2823="","",INDEX(상세표[블록 22~06시],$P2823))</f>
        <v/>
      </c>
      <c r="N2823">
        <f>IF($P2823="","",INDEX(상세표[주말·휴일 포함],$P2823)&amp;"")</f>
        <v/>
      </c>
      <c r="O2823">
        <f>IF($P2823="","",INDEX(상세표[월 넘김 포함],$P2823)&amp;"")</f>
        <v/>
      </c>
      <c r="P2823" s="4">
        <f>IFERROR(MATCH(2818,상세표[연속순번],0),"")</f>
        <v/>
      </c>
    </row>
    <row r="2824">
      <c r="A2824">
        <f>IF($P2824="","",INDEX(상세표[사번],$P2824)&amp;"")</f>
        <v/>
      </c>
      <c r="B2824">
        <f>IF($P2824="","",INDEX(상세표[성명],$P2824)&amp;"")</f>
        <v/>
      </c>
      <c r="C2824">
        <f>IF($P2824="","",INDEX(상세표[부서],$P2824)&amp;"")</f>
        <v/>
      </c>
      <c r="D2824">
        <f>IF($P2824="","",INDEX(상세표[직위],$P2824)&amp;"")</f>
        <v/>
      </c>
      <c r="E2824">
        <f>IF($P2824="","",IF(ISNUMBER(INDEX(상세표[시작],$P2824)),TEXT(INDEX(상세표[시작],$P2824),"yyyy-mm-dd hh:mm"),INDEX(상세표[시작],$P2824)&amp;""))</f>
        <v/>
      </c>
      <c r="F2824">
        <f>IF($P2824="","",IF(ISNUMBER(INDEX(상세표[블록종료],$P2824)),TEXT(INDEX(상세표[블록종료],$P2824),"yyyy-mm-dd hh:mm"),INDEX(상세표[블록종료],$P2824)&amp;""))</f>
        <v/>
      </c>
      <c r="G2824">
        <f>IF($P2824="","",CHOOSE(WEEKDAY(INDEX(상세표[시작],$P2824)),"일","월","화","수","목","금","토"))</f>
        <v/>
      </c>
      <c r="H2824">
        <f>IF($P2824="","",INDEX(상세표[연속 시간],$P2824))</f>
        <v/>
      </c>
      <c r="I2824">
        <f>IF($P2824="","",INDEX(상세표[기록 수],$P2824))</f>
        <v/>
      </c>
      <c r="J2824">
        <f>IF($P2824="","",INDEX(상세표[블록 06~07시],$P2824))</f>
        <v/>
      </c>
      <c r="K2824">
        <f>IF($P2824="","",INDEX(상세표[블록 07~18시],$P2824))</f>
        <v/>
      </c>
      <c r="L2824">
        <f>IF($P2824="","",INDEX(상세표[블록 18~22시],$P2824))</f>
        <v/>
      </c>
      <c r="M2824">
        <f>IF($P2824="","",INDEX(상세표[블록 22~06시],$P2824))</f>
        <v/>
      </c>
      <c r="N2824">
        <f>IF($P2824="","",INDEX(상세표[주말·휴일 포함],$P2824)&amp;"")</f>
        <v/>
      </c>
      <c r="O2824">
        <f>IF($P2824="","",INDEX(상세표[월 넘김 포함],$P2824)&amp;"")</f>
        <v/>
      </c>
      <c r="P2824" s="4">
        <f>IFERROR(MATCH(2819,상세표[연속순번],0),"")</f>
        <v/>
      </c>
    </row>
    <row r="2825">
      <c r="A2825">
        <f>IF($P2825="","",INDEX(상세표[사번],$P2825)&amp;"")</f>
        <v/>
      </c>
      <c r="B2825">
        <f>IF($P2825="","",INDEX(상세표[성명],$P2825)&amp;"")</f>
        <v/>
      </c>
      <c r="C2825">
        <f>IF($P2825="","",INDEX(상세표[부서],$P2825)&amp;"")</f>
        <v/>
      </c>
      <c r="D2825">
        <f>IF($P2825="","",INDEX(상세표[직위],$P2825)&amp;"")</f>
        <v/>
      </c>
      <c r="E2825">
        <f>IF($P2825="","",IF(ISNUMBER(INDEX(상세표[시작],$P2825)),TEXT(INDEX(상세표[시작],$P2825),"yyyy-mm-dd hh:mm"),INDEX(상세표[시작],$P2825)&amp;""))</f>
        <v/>
      </c>
      <c r="F2825">
        <f>IF($P2825="","",IF(ISNUMBER(INDEX(상세표[블록종료],$P2825)),TEXT(INDEX(상세표[블록종료],$P2825),"yyyy-mm-dd hh:mm"),INDEX(상세표[블록종료],$P2825)&amp;""))</f>
        <v/>
      </c>
      <c r="G2825">
        <f>IF($P2825="","",CHOOSE(WEEKDAY(INDEX(상세표[시작],$P2825)),"일","월","화","수","목","금","토"))</f>
        <v/>
      </c>
      <c r="H2825">
        <f>IF($P2825="","",INDEX(상세표[연속 시간],$P2825))</f>
        <v/>
      </c>
      <c r="I2825">
        <f>IF($P2825="","",INDEX(상세표[기록 수],$P2825))</f>
        <v/>
      </c>
      <c r="J2825">
        <f>IF($P2825="","",INDEX(상세표[블록 06~07시],$P2825))</f>
        <v/>
      </c>
      <c r="K2825">
        <f>IF($P2825="","",INDEX(상세표[블록 07~18시],$P2825))</f>
        <v/>
      </c>
      <c r="L2825">
        <f>IF($P2825="","",INDEX(상세표[블록 18~22시],$P2825))</f>
        <v/>
      </c>
      <c r="M2825">
        <f>IF($P2825="","",INDEX(상세표[블록 22~06시],$P2825))</f>
        <v/>
      </c>
      <c r="N2825">
        <f>IF($P2825="","",INDEX(상세표[주말·휴일 포함],$P2825)&amp;"")</f>
        <v/>
      </c>
      <c r="O2825">
        <f>IF($P2825="","",INDEX(상세표[월 넘김 포함],$P2825)&amp;"")</f>
        <v/>
      </c>
      <c r="P2825" s="4">
        <f>IFERROR(MATCH(2820,상세표[연속순번],0),"")</f>
        <v/>
      </c>
    </row>
    <row r="2826">
      <c r="A2826">
        <f>IF($P2826="","",INDEX(상세표[사번],$P2826)&amp;"")</f>
        <v/>
      </c>
      <c r="B2826">
        <f>IF($P2826="","",INDEX(상세표[성명],$P2826)&amp;"")</f>
        <v/>
      </c>
      <c r="C2826">
        <f>IF($P2826="","",INDEX(상세표[부서],$P2826)&amp;"")</f>
        <v/>
      </c>
      <c r="D2826">
        <f>IF($P2826="","",INDEX(상세표[직위],$P2826)&amp;"")</f>
        <v/>
      </c>
      <c r="E2826">
        <f>IF($P2826="","",IF(ISNUMBER(INDEX(상세표[시작],$P2826)),TEXT(INDEX(상세표[시작],$P2826),"yyyy-mm-dd hh:mm"),INDEX(상세표[시작],$P2826)&amp;""))</f>
        <v/>
      </c>
      <c r="F2826">
        <f>IF($P2826="","",IF(ISNUMBER(INDEX(상세표[블록종료],$P2826)),TEXT(INDEX(상세표[블록종료],$P2826),"yyyy-mm-dd hh:mm"),INDEX(상세표[블록종료],$P2826)&amp;""))</f>
        <v/>
      </c>
      <c r="G2826">
        <f>IF($P2826="","",CHOOSE(WEEKDAY(INDEX(상세표[시작],$P2826)),"일","월","화","수","목","금","토"))</f>
        <v/>
      </c>
      <c r="H2826">
        <f>IF($P2826="","",INDEX(상세표[연속 시간],$P2826))</f>
        <v/>
      </c>
      <c r="I2826">
        <f>IF($P2826="","",INDEX(상세표[기록 수],$P2826))</f>
        <v/>
      </c>
      <c r="J2826">
        <f>IF($P2826="","",INDEX(상세표[블록 06~07시],$P2826))</f>
        <v/>
      </c>
      <c r="K2826">
        <f>IF($P2826="","",INDEX(상세표[블록 07~18시],$P2826))</f>
        <v/>
      </c>
      <c r="L2826">
        <f>IF($P2826="","",INDEX(상세표[블록 18~22시],$P2826))</f>
        <v/>
      </c>
      <c r="M2826">
        <f>IF($P2826="","",INDEX(상세표[블록 22~06시],$P2826))</f>
        <v/>
      </c>
      <c r="N2826">
        <f>IF($P2826="","",INDEX(상세표[주말·휴일 포함],$P2826)&amp;"")</f>
        <v/>
      </c>
      <c r="O2826">
        <f>IF($P2826="","",INDEX(상세표[월 넘김 포함],$P2826)&amp;"")</f>
        <v/>
      </c>
      <c r="P2826" s="4">
        <f>IFERROR(MATCH(2821,상세표[연속순번],0),"")</f>
        <v/>
      </c>
    </row>
    <row r="2827">
      <c r="A2827">
        <f>IF($P2827="","",INDEX(상세표[사번],$P2827)&amp;"")</f>
        <v/>
      </c>
      <c r="B2827">
        <f>IF($P2827="","",INDEX(상세표[성명],$P2827)&amp;"")</f>
        <v/>
      </c>
      <c r="C2827">
        <f>IF($P2827="","",INDEX(상세표[부서],$P2827)&amp;"")</f>
        <v/>
      </c>
      <c r="D2827">
        <f>IF($P2827="","",INDEX(상세표[직위],$P2827)&amp;"")</f>
        <v/>
      </c>
      <c r="E2827">
        <f>IF($P2827="","",IF(ISNUMBER(INDEX(상세표[시작],$P2827)),TEXT(INDEX(상세표[시작],$P2827),"yyyy-mm-dd hh:mm"),INDEX(상세표[시작],$P2827)&amp;""))</f>
        <v/>
      </c>
      <c r="F2827">
        <f>IF($P2827="","",IF(ISNUMBER(INDEX(상세표[블록종료],$P2827)),TEXT(INDEX(상세표[블록종료],$P2827),"yyyy-mm-dd hh:mm"),INDEX(상세표[블록종료],$P2827)&amp;""))</f>
        <v/>
      </c>
      <c r="G2827">
        <f>IF($P2827="","",CHOOSE(WEEKDAY(INDEX(상세표[시작],$P2827)),"일","월","화","수","목","금","토"))</f>
        <v/>
      </c>
      <c r="H2827">
        <f>IF($P2827="","",INDEX(상세표[연속 시간],$P2827))</f>
        <v/>
      </c>
      <c r="I2827">
        <f>IF($P2827="","",INDEX(상세표[기록 수],$P2827))</f>
        <v/>
      </c>
      <c r="J2827">
        <f>IF($P2827="","",INDEX(상세표[블록 06~07시],$P2827))</f>
        <v/>
      </c>
      <c r="K2827">
        <f>IF($P2827="","",INDEX(상세표[블록 07~18시],$P2827))</f>
        <v/>
      </c>
      <c r="L2827">
        <f>IF($P2827="","",INDEX(상세표[블록 18~22시],$P2827))</f>
        <v/>
      </c>
      <c r="M2827">
        <f>IF($P2827="","",INDEX(상세표[블록 22~06시],$P2827))</f>
        <v/>
      </c>
      <c r="N2827">
        <f>IF($P2827="","",INDEX(상세표[주말·휴일 포함],$P2827)&amp;"")</f>
        <v/>
      </c>
      <c r="O2827">
        <f>IF($P2827="","",INDEX(상세표[월 넘김 포함],$P2827)&amp;"")</f>
        <v/>
      </c>
      <c r="P2827" s="4">
        <f>IFERROR(MATCH(2822,상세표[연속순번],0),"")</f>
        <v/>
      </c>
    </row>
    <row r="2828">
      <c r="A2828">
        <f>IF($P2828="","",INDEX(상세표[사번],$P2828)&amp;"")</f>
        <v/>
      </c>
      <c r="B2828">
        <f>IF($P2828="","",INDEX(상세표[성명],$P2828)&amp;"")</f>
        <v/>
      </c>
      <c r="C2828">
        <f>IF($P2828="","",INDEX(상세표[부서],$P2828)&amp;"")</f>
        <v/>
      </c>
      <c r="D2828">
        <f>IF($P2828="","",INDEX(상세표[직위],$P2828)&amp;"")</f>
        <v/>
      </c>
      <c r="E2828">
        <f>IF($P2828="","",IF(ISNUMBER(INDEX(상세표[시작],$P2828)),TEXT(INDEX(상세표[시작],$P2828),"yyyy-mm-dd hh:mm"),INDEX(상세표[시작],$P2828)&amp;""))</f>
        <v/>
      </c>
      <c r="F2828">
        <f>IF($P2828="","",IF(ISNUMBER(INDEX(상세표[블록종료],$P2828)),TEXT(INDEX(상세표[블록종료],$P2828),"yyyy-mm-dd hh:mm"),INDEX(상세표[블록종료],$P2828)&amp;""))</f>
        <v/>
      </c>
      <c r="G2828">
        <f>IF($P2828="","",CHOOSE(WEEKDAY(INDEX(상세표[시작],$P2828)),"일","월","화","수","목","금","토"))</f>
        <v/>
      </c>
      <c r="H2828">
        <f>IF($P2828="","",INDEX(상세표[연속 시간],$P2828))</f>
        <v/>
      </c>
      <c r="I2828">
        <f>IF($P2828="","",INDEX(상세표[기록 수],$P2828))</f>
        <v/>
      </c>
      <c r="J2828">
        <f>IF($P2828="","",INDEX(상세표[블록 06~07시],$P2828))</f>
        <v/>
      </c>
      <c r="K2828">
        <f>IF($P2828="","",INDEX(상세표[블록 07~18시],$P2828))</f>
        <v/>
      </c>
      <c r="L2828">
        <f>IF($P2828="","",INDEX(상세표[블록 18~22시],$P2828))</f>
        <v/>
      </c>
      <c r="M2828">
        <f>IF($P2828="","",INDEX(상세표[블록 22~06시],$P2828))</f>
        <v/>
      </c>
      <c r="N2828">
        <f>IF($P2828="","",INDEX(상세표[주말·휴일 포함],$P2828)&amp;"")</f>
        <v/>
      </c>
      <c r="O2828">
        <f>IF($P2828="","",INDEX(상세표[월 넘김 포함],$P2828)&amp;"")</f>
        <v/>
      </c>
      <c r="P2828" s="4">
        <f>IFERROR(MATCH(2823,상세표[연속순번],0),"")</f>
        <v/>
      </c>
    </row>
    <row r="2829">
      <c r="A2829">
        <f>IF($P2829="","",INDEX(상세표[사번],$P2829)&amp;"")</f>
        <v/>
      </c>
      <c r="B2829">
        <f>IF($P2829="","",INDEX(상세표[성명],$P2829)&amp;"")</f>
        <v/>
      </c>
      <c r="C2829">
        <f>IF($P2829="","",INDEX(상세표[부서],$P2829)&amp;"")</f>
        <v/>
      </c>
      <c r="D2829">
        <f>IF($P2829="","",INDEX(상세표[직위],$P2829)&amp;"")</f>
        <v/>
      </c>
      <c r="E2829">
        <f>IF($P2829="","",IF(ISNUMBER(INDEX(상세표[시작],$P2829)),TEXT(INDEX(상세표[시작],$P2829),"yyyy-mm-dd hh:mm"),INDEX(상세표[시작],$P2829)&amp;""))</f>
        <v/>
      </c>
      <c r="F2829">
        <f>IF($P2829="","",IF(ISNUMBER(INDEX(상세표[블록종료],$P2829)),TEXT(INDEX(상세표[블록종료],$P2829),"yyyy-mm-dd hh:mm"),INDEX(상세표[블록종료],$P2829)&amp;""))</f>
        <v/>
      </c>
      <c r="G2829">
        <f>IF($P2829="","",CHOOSE(WEEKDAY(INDEX(상세표[시작],$P2829)),"일","월","화","수","목","금","토"))</f>
        <v/>
      </c>
      <c r="H2829">
        <f>IF($P2829="","",INDEX(상세표[연속 시간],$P2829))</f>
        <v/>
      </c>
      <c r="I2829">
        <f>IF($P2829="","",INDEX(상세표[기록 수],$P2829))</f>
        <v/>
      </c>
      <c r="J2829">
        <f>IF($P2829="","",INDEX(상세표[블록 06~07시],$P2829))</f>
        <v/>
      </c>
      <c r="K2829">
        <f>IF($P2829="","",INDEX(상세표[블록 07~18시],$P2829))</f>
        <v/>
      </c>
      <c r="L2829">
        <f>IF($P2829="","",INDEX(상세표[블록 18~22시],$P2829))</f>
        <v/>
      </c>
      <c r="M2829">
        <f>IF($P2829="","",INDEX(상세표[블록 22~06시],$P2829))</f>
        <v/>
      </c>
      <c r="N2829">
        <f>IF($P2829="","",INDEX(상세표[주말·휴일 포함],$P2829)&amp;"")</f>
        <v/>
      </c>
      <c r="O2829">
        <f>IF($P2829="","",INDEX(상세표[월 넘김 포함],$P2829)&amp;"")</f>
        <v/>
      </c>
      <c r="P2829" s="4">
        <f>IFERROR(MATCH(2824,상세표[연속순번],0),"")</f>
        <v/>
      </c>
    </row>
    <row r="2830">
      <c r="A2830">
        <f>IF($P2830="","",INDEX(상세표[사번],$P2830)&amp;"")</f>
        <v/>
      </c>
      <c r="B2830">
        <f>IF($P2830="","",INDEX(상세표[성명],$P2830)&amp;"")</f>
        <v/>
      </c>
      <c r="C2830">
        <f>IF($P2830="","",INDEX(상세표[부서],$P2830)&amp;"")</f>
        <v/>
      </c>
      <c r="D2830">
        <f>IF($P2830="","",INDEX(상세표[직위],$P2830)&amp;"")</f>
        <v/>
      </c>
      <c r="E2830">
        <f>IF($P2830="","",IF(ISNUMBER(INDEX(상세표[시작],$P2830)),TEXT(INDEX(상세표[시작],$P2830),"yyyy-mm-dd hh:mm"),INDEX(상세표[시작],$P2830)&amp;""))</f>
        <v/>
      </c>
      <c r="F2830">
        <f>IF($P2830="","",IF(ISNUMBER(INDEX(상세표[블록종료],$P2830)),TEXT(INDEX(상세표[블록종료],$P2830),"yyyy-mm-dd hh:mm"),INDEX(상세표[블록종료],$P2830)&amp;""))</f>
        <v/>
      </c>
      <c r="G2830">
        <f>IF($P2830="","",CHOOSE(WEEKDAY(INDEX(상세표[시작],$P2830)),"일","월","화","수","목","금","토"))</f>
        <v/>
      </c>
      <c r="H2830">
        <f>IF($P2830="","",INDEX(상세표[연속 시간],$P2830))</f>
        <v/>
      </c>
      <c r="I2830">
        <f>IF($P2830="","",INDEX(상세표[기록 수],$P2830))</f>
        <v/>
      </c>
      <c r="J2830">
        <f>IF($P2830="","",INDEX(상세표[블록 06~07시],$P2830))</f>
        <v/>
      </c>
      <c r="K2830">
        <f>IF($P2830="","",INDEX(상세표[블록 07~18시],$P2830))</f>
        <v/>
      </c>
      <c r="L2830">
        <f>IF($P2830="","",INDEX(상세표[블록 18~22시],$P2830))</f>
        <v/>
      </c>
      <c r="M2830">
        <f>IF($P2830="","",INDEX(상세표[블록 22~06시],$P2830))</f>
        <v/>
      </c>
      <c r="N2830">
        <f>IF($P2830="","",INDEX(상세표[주말·휴일 포함],$P2830)&amp;"")</f>
        <v/>
      </c>
      <c r="O2830">
        <f>IF($P2830="","",INDEX(상세표[월 넘김 포함],$P2830)&amp;"")</f>
        <v/>
      </c>
      <c r="P2830" s="4">
        <f>IFERROR(MATCH(2825,상세표[연속순번],0),"")</f>
        <v/>
      </c>
    </row>
    <row r="2831">
      <c r="A2831">
        <f>IF($P2831="","",INDEX(상세표[사번],$P2831)&amp;"")</f>
        <v/>
      </c>
      <c r="B2831">
        <f>IF($P2831="","",INDEX(상세표[성명],$P2831)&amp;"")</f>
        <v/>
      </c>
      <c r="C2831">
        <f>IF($P2831="","",INDEX(상세표[부서],$P2831)&amp;"")</f>
        <v/>
      </c>
      <c r="D2831">
        <f>IF($P2831="","",INDEX(상세표[직위],$P2831)&amp;"")</f>
        <v/>
      </c>
      <c r="E2831">
        <f>IF($P2831="","",IF(ISNUMBER(INDEX(상세표[시작],$P2831)),TEXT(INDEX(상세표[시작],$P2831),"yyyy-mm-dd hh:mm"),INDEX(상세표[시작],$P2831)&amp;""))</f>
        <v/>
      </c>
      <c r="F2831">
        <f>IF($P2831="","",IF(ISNUMBER(INDEX(상세표[블록종료],$P2831)),TEXT(INDEX(상세표[블록종료],$P2831),"yyyy-mm-dd hh:mm"),INDEX(상세표[블록종료],$P2831)&amp;""))</f>
        <v/>
      </c>
      <c r="G2831">
        <f>IF($P2831="","",CHOOSE(WEEKDAY(INDEX(상세표[시작],$P2831)),"일","월","화","수","목","금","토"))</f>
        <v/>
      </c>
      <c r="H2831">
        <f>IF($P2831="","",INDEX(상세표[연속 시간],$P2831))</f>
        <v/>
      </c>
      <c r="I2831">
        <f>IF($P2831="","",INDEX(상세표[기록 수],$P2831))</f>
        <v/>
      </c>
      <c r="J2831">
        <f>IF($P2831="","",INDEX(상세표[블록 06~07시],$P2831))</f>
        <v/>
      </c>
      <c r="K2831">
        <f>IF($P2831="","",INDEX(상세표[블록 07~18시],$P2831))</f>
        <v/>
      </c>
      <c r="L2831">
        <f>IF($P2831="","",INDEX(상세표[블록 18~22시],$P2831))</f>
        <v/>
      </c>
      <c r="M2831">
        <f>IF($P2831="","",INDEX(상세표[블록 22~06시],$P2831))</f>
        <v/>
      </c>
      <c r="N2831">
        <f>IF($P2831="","",INDEX(상세표[주말·휴일 포함],$P2831)&amp;"")</f>
        <v/>
      </c>
      <c r="O2831">
        <f>IF($P2831="","",INDEX(상세표[월 넘김 포함],$P2831)&amp;"")</f>
        <v/>
      </c>
      <c r="P2831" s="4">
        <f>IFERROR(MATCH(2826,상세표[연속순번],0),"")</f>
        <v/>
      </c>
    </row>
    <row r="2832">
      <c r="A2832">
        <f>IF($P2832="","",INDEX(상세표[사번],$P2832)&amp;"")</f>
        <v/>
      </c>
      <c r="B2832">
        <f>IF($P2832="","",INDEX(상세표[성명],$P2832)&amp;"")</f>
        <v/>
      </c>
      <c r="C2832">
        <f>IF($P2832="","",INDEX(상세표[부서],$P2832)&amp;"")</f>
        <v/>
      </c>
      <c r="D2832">
        <f>IF($P2832="","",INDEX(상세표[직위],$P2832)&amp;"")</f>
        <v/>
      </c>
      <c r="E2832">
        <f>IF($P2832="","",IF(ISNUMBER(INDEX(상세표[시작],$P2832)),TEXT(INDEX(상세표[시작],$P2832),"yyyy-mm-dd hh:mm"),INDEX(상세표[시작],$P2832)&amp;""))</f>
        <v/>
      </c>
      <c r="F2832">
        <f>IF($P2832="","",IF(ISNUMBER(INDEX(상세표[블록종료],$P2832)),TEXT(INDEX(상세표[블록종료],$P2832),"yyyy-mm-dd hh:mm"),INDEX(상세표[블록종료],$P2832)&amp;""))</f>
        <v/>
      </c>
      <c r="G2832">
        <f>IF($P2832="","",CHOOSE(WEEKDAY(INDEX(상세표[시작],$P2832)),"일","월","화","수","목","금","토"))</f>
        <v/>
      </c>
      <c r="H2832">
        <f>IF($P2832="","",INDEX(상세표[연속 시간],$P2832))</f>
        <v/>
      </c>
      <c r="I2832">
        <f>IF($P2832="","",INDEX(상세표[기록 수],$P2832))</f>
        <v/>
      </c>
      <c r="J2832">
        <f>IF($P2832="","",INDEX(상세표[블록 06~07시],$P2832))</f>
        <v/>
      </c>
      <c r="K2832">
        <f>IF($P2832="","",INDEX(상세표[블록 07~18시],$P2832))</f>
        <v/>
      </c>
      <c r="L2832">
        <f>IF($P2832="","",INDEX(상세표[블록 18~22시],$P2832))</f>
        <v/>
      </c>
      <c r="M2832">
        <f>IF($P2832="","",INDEX(상세표[블록 22~06시],$P2832))</f>
        <v/>
      </c>
      <c r="N2832">
        <f>IF($P2832="","",INDEX(상세표[주말·휴일 포함],$P2832)&amp;"")</f>
        <v/>
      </c>
      <c r="O2832">
        <f>IF($P2832="","",INDEX(상세표[월 넘김 포함],$P2832)&amp;"")</f>
        <v/>
      </c>
      <c r="P2832" s="4">
        <f>IFERROR(MATCH(2827,상세표[연속순번],0),"")</f>
        <v/>
      </c>
    </row>
    <row r="2833">
      <c r="A2833">
        <f>IF($P2833="","",INDEX(상세표[사번],$P2833)&amp;"")</f>
        <v/>
      </c>
      <c r="B2833">
        <f>IF($P2833="","",INDEX(상세표[성명],$P2833)&amp;"")</f>
        <v/>
      </c>
      <c r="C2833">
        <f>IF($P2833="","",INDEX(상세표[부서],$P2833)&amp;"")</f>
        <v/>
      </c>
      <c r="D2833">
        <f>IF($P2833="","",INDEX(상세표[직위],$P2833)&amp;"")</f>
        <v/>
      </c>
      <c r="E2833">
        <f>IF($P2833="","",IF(ISNUMBER(INDEX(상세표[시작],$P2833)),TEXT(INDEX(상세표[시작],$P2833),"yyyy-mm-dd hh:mm"),INDEX(상세표[시작],$P2833)&amp;""))</f>
        <v/>
      </c>
      <c r="F2833">
        <f>IF($P2833="","",IF(ISNUMBER(INDEX(상세표[블록종료],$P2833)),TEXT(INDEX(상세표[블록종료],$P2833),"yyyy-mm-dd hh:mm"),INDEX(상세표[블록종료],$P2833)&amp;""))</f>
        <v/>
      </c>
      <c r="G2833">
        <f>IF($P2833="","",CHOOSE(WEEKDAY(INDEX(상세표[시작],$P2833)),"일","월","화","수","목","금","토"))</f>
        <v/>
      </c>
      <c r="H2833">
        <f>IF($P2833="","",INDEX(상세표[연속 시간],$P2833))</f>
        <v/>
      </c>
      <c r="I2833">
        <f>IF($P2833="","",INDEX(상세표[기록 수],$P2833))</f>
        <v/>
      </c>
      <c r="J2833">
        <f>IF($P2833="","",INDEX(상세표[블록 06~07시],$P2833))</f>
        <v/>
      </c>
      <c r="K2833">
        <f>IF($P2833="","",INDEX(상세표[블록 07~18시],$P2833))</f>
        <v/>
      </c>
      <c r="L2833">
        <f>IF($P2833="","",INDEX(상세표[블록 18~22시],$P2833))</f>
        <v/>
      </c>
      <c r="M2833">
        <f>IF($P2833="","",INDEX(상세표[블록 22~06시],$P2833))</f>
        <v/>
      </c>
      <c r="N2833">
        <f>IF($P2833="","",INDEX(상세표[주말·휴일 포함],$P2833)&amp;"")</f>
        <v/>
      </c>
      <c r="O2833">
        <f>IF($P2833="","",INDEX(상세표[월 넘김 포함],$P2833)&amp;"")</f>
        <v/>
      </c>
      <c r="P2833" s="4">
        <f>IFERROR(MATCH(2828,상세표[연속순번],0),"")</f>
        <v/>
      </c>
    </row>
    <row r="2834">
      <c r="A2834">
        <f>IF($P2834="","",INDEX(상세표[사번],$P2834)&amp;"")</f>
        <v/>
      </c>
      <c r="B2834">
        <f>IF($P2834="","",INDEX(상세표[성명],$P2834)&amp;"")</f>
        <v/>
      </c>
      <c r="C2834">
        <f>IF($P2834="","",INDEX(상세표[부서],$P2834)&amp;"")</f>
        <v/>
      </c>
      <c r="D2834">
        <f>IF($P2834="","",INDEX(상세표[직위],$P2834)&amp;"")</f>
        <v/>
      </c>
      <c r="E2834">
        <f>IF($P2834="","",IF(ISNUMBER(INDEX(상세표[시작],$P2834)),TEXT(INDEX(상세표[시작],$P2834),"yyyy-mm-dd hh:mm"),INDEX(상세표[시작],$P2834)&amp;""))</f>
        <v/>
      </c>
      <c r="F2834">
        <f>IF($P2834="","",IF(ISNUMBER(INDEX(상세표[블록종료],$P2834)),TEXT(INDEX(상세표[블록종료],$P2834),"yyyy-mm-dd hh:mm"),INDEX(상세표[블록종료],$P2834)&amp;""))</f>
        <v/>
      </c>
      <c r="G2834">
        <f>IF($P2834="","",CHOOSE(WEEKDAY(INDEX(상세표[시작],$P2834)),"일","월","화","수","목","금","토"))</f>
        <v/>
      </c>
      <c r="H2834">
        <f>IF($P2834="","",INDEX(상세표[연속 시간],$P2834))</f>
        <v/>
      </c>
      <c r="I2834">
        <f>IF($P2834="","",INDEX(상세표[기록 수],$P2834))</f>
        <v/>
      </c>
      <c r="J2834">
        <f>IF($P2834="","",INDEX(상세표[블록 06~07시],$P2834))</f>
        <v/>
      </c>
      <c r="K2834">
        <f>IF($P2834="","",INDEX(상세표[블록 07~18시],$P2834))</f>
        <v/>
      </c>
      <c r="L2834">
        <f>IF($P2834="","",INDEX(상세표[블록 18~22시],$P2834))</f>
        <v/>
      </c>
      <c r="M2834">
        <f>IF($P2834="","",INDEX(상세표[블록 22~06시],$P2834))</f>
        <v/>
      </c>
      <c r="N2834">
        <f>IF($P2834="","",INDEX(상세표[주말·휴일 포함],$P2834)&amp;"")</f>
        <v/>
      </c>
      <c r="O2834">
        <f>IF($P2834="","",INDEX(상세표[월 넘김 포함],$P2834)&amp;"")</f>
        <v/>
      </c>
      <c r="P2834" s="4">
        <f>IFERROR(MATCH(2829,상세표[연속순번],0),"")</f>
        <v/>
      </c>
    </row>
    <row r="2835">
      <c r="A2835">
        <f>IF($P2835="","",INDEX(상세표[사번],$P2835)&amp;"")</f>
        <v/>
      </c>
      <c r="B2835">
        <f>IF($P2835="","",INDEX(상세표[성명],$P2835)&amp;"")</f>
        <v/>
      </c>
      <c r="C2835">
        <f>IF($P2835="","",INDEX(상세표[부서],$P2835)&amp;"")</f>
        <v/>
      </c>
      <c r="D2835">
        <f>IF($P2835="","",INDEX(상세표[직위],$P2835)&amp;"")</f>
        <v/>
      </c>
      <c r="E2835">
        <f>IF($P2835="","",IF(ISNUMBER(INDEX(상세표[시작],$P2835)),TEXT(INDEX(상세표[시작],$P2835),"yyyy-mm-dd hh:mm"),INDEX(상세표[시작],$P2835)&amp;""))</f>
        <v/>
      </c>
      <c r="F2835">
        <f>IF($P2835="","",IF(ISNUMBER(INDEX(상세표[블록종료],$P2835)),TEXT(INDEX(상세표[블록종료],$P2835),"yyyy-mm-dd hh:mm"),INDEX(상세표[블록종료],$P2835)&amp;""))</f>
        <v/>
      </c>
      <c r="G2835">
        <f>IF($P2835="","",CHOOSE(WEEKDAY(INDEX(상세표[시작],$P2835)),"일","월","화","수","목","금","토"))</f>
        <v/>
      </c>
      <c r="H2835">
        <f>IF($P2835="","",INDEX(상세표[연속 시간],$P2835))</f>
        <v/>
      </c>
      <c r="I2835">
        <f>IF($P2835="","",INDEX(상세표[기록 수],$P2835))</f>
        <v/>
      </c>
      <c r="J2835">
        <f>IF($P2835="","",INDEX(상세표[블록 06~07시],$P2835))</f>
        <v/>
      </c>
      <c r="K2835">
        <f>IF($P2835="","",INDEX(상세표[블록 07~18시],$P2835))</f>
        <v/>
      </c>
      <c r="L2835">
        <f>IF($P2835="","",INDEX(상세표[블록 18~22시],$P2835))</f>
        <v/>
      </c>
      <c r="M2835">
        <f>IF($P2835="","",INDEX(상세표[블록 22~06시],$P2835))</f>
        <v/>
      </c>
      <c r="N2835">
        <f>IF($P2835="","",INDEX(상세표[주말·휴일 포함],$P2835)&amp;"")</f>
        <v/>
      </c>
      <c r="O2835">
        <f>IF($P2835="","",INDEX(상세표[월 넘김 포함],$P2835)&amp;"")</f>
        <v/>
      </c>
      <c r="P2835" s="4">
        <f>IFERROR(MATCH(2830,상세표[연속순번],0),"")</f>
        <v/>
      </c>
    </row>
    <row r="2836">
      <c r="A2836">
        <f>IF($P2836="","",INDEX(상세표[사번],$P2836)&amp;"")</f>
        <v/>
      </c>
      <c r="B2836">
        <f>IF($P2836="","",INDEX(상세표[성명],$P2836)&amp;"")</f>
        <v/>
      </c>
      <c r="C2836">
        <f>IF($P2836="","",INDEX(상세표[부서],$P2836)&amp;"")</f>
        <v/>
      </c>
      <c r="D2836">
        <f>IF($P2836="","",INDEX(상세표[직위],$P2836)&amp;"")</f>
        <v/>
      </c>
      <c r="E2836">
        <f>IF($P2836="","",IF(ISNUMBER(INDEX(상세표[시작],$P2836)),TEXT(INDEX(상세표[시작],$P2836),"yyyy-mm-dd hh:mm"),INDEX(상세표[시작],$P2836)&amp;""))</f>
        <v/>
      </c>
      <c r="F2836">
        <f>IF($P2836="","",IF(ISNUMBER(INDEX(상세표[블록종료],$P2836)),TEXT(INDEX(상세표[블록종료],$P2836),"yyyy-mm-dd hh:mm"),INDEX(상세표[블록종료],$P2836)&amp;""))</f>
        <v/>
      </c>
      <c r="G2836">
        <f>IF($P2836="","",CHOOSE(WEEKDAY(INDEX(상세표[시작],$P2836)),"일","월","화","수","목","금","토"))</f>
        <v/>
      </c>
      <c r="H2836">
        <f>IF($P2836="","",INDEX(상세표[연속 시간],$P2836))</f>
        <v/>
      </c>
      <c r="I2836">
        <f>IF($P2836="","",INDEX(상세표[기록 수],$P2836))</f>
        <v/>
      </c>
      <c r="J2836">
        <f>IF($P2836="","",INDEX(상세표[블록 06~07시],$P2836))</f>
        <v/>
      </c>
      <c r="K2836">
        <f>IF($P2836="","",INDEX(상세표[블록 07~18시],$P2836))</f>
        <v/>
      </c>
      <c r="L2836">
        <f>IF($P2836="","",INDEX(상세표[블록 18~22시],$P2836))</f>
        <v/>
      </c>
      <c r="M2836">
        <f>IF($P2836="","",INDEX(상세표[블록 22~06시],$P2836))</f>
        <v/>
      </c>
      <c r="N2836">
        <f>IF($P2836="","",INDEX(상세표[주말·휴일 포함],$P2836)&amp;"")</f>
        <v/>
      </c>
      <c r="O2836">
        <f>IF($P2836="","",INDEX(상세표[월 넘김 포함],$P2836)&amp;"")</f>
        <v/>
      </c>
      <c r="P2836" s="4">
        <f>IFERROR(MATCH(2831,상세표[연속순번],0),"")</f>
        <v/>
      </c>
    </row>
    <row r="2837">
      <c r="A2837">
        <f>IF($P2837="","",INDEX(상세표[사번],$P2837)&amp;"")</f>
        <v/>
      </c>
      <c r="B2837">
        <f>IF($P2837="","",INDEX(상세표[성명],$P2837)&amp;"")</f>
        <v/>
      </c>
      <c r="C2837">
        <f>IF($P2837="","",INDEX(상세표[부서],$P2837)&amp;"")</f>
        <v/>
      </c>
      <c r="D2837">
        <f>IF($P2837="","",INDEX(상세표[직위],$P2837)&amp;"")</f>
        <v/>
      </c>
      <c r="E2837">
        <f>IF($P2837="","",IF(ISNUMBER(INDEX(상세표[시작],$P2837)),TEXT(INDEX(상세표[시작],$P2837),"yyyy-mm-dd hh:mm"),INDEX(상세표[시작],$P2837)&amp;""))</f>
        <v/>
      </c>
      <c r="F2837">
        <f>IF($P2837="","",IF(ISNUMBER(INDEX(상세표[블록종료],$P2837)),TEXT(INDEX(상세표[블록종료],$P2837),"yyyy-mm-dd hh:mm"),INDEX(상세표[블록종료],$P2837)&amp;""))</f>
        <v/>
      </c>
      <c r="G2837">
        <f>IF($P2837="","",CHOOSE(WEEKDAY(INDEX(상세표[시작],$P2837)),"일","월","화","수","목","금","토"))</f>
        <v/>
      </c>
      <c r="H2837">
        <f>IF($P2837="","",INDEX(상세표[연속 시간],$P2837))</f>
        <v/>
      </c>
      <c r="I2837">
        <f>IF($P2837="","",INDEX(상세표[기록 수],$P2837))</f>
        <v/>
      </c>
      <c r="J2837">
        <f>IF($P2837="","",INDEX(상세표[블록 06~07시],$P2837))</f>
        <v/>
      </c>
      <c r="K2837">
        <f>IF($P2837="","",INDEX(상세표[블록 07~18시],$P2837))</f>
        <v/>
      </c>
      <c r="L2837">
        <f>IF($P2837="","",INDEX(상세표[블록 18~22시],$P2837))</f>
        <v/>
      </c>
      <c r="M2837">
        <f>IF($P2837="","",INDEX(상세표[블록 22~06시],$P2837))</f>
        <v/>
      </c>
      <c r="N2837">
        <f>IF($P2837="","",INDEX(상세표[주말·휴일 포함],$P2837)&amp;"")</f>
        <v/>
      </c>
      <c r="O2837">
        <f>IF($P2837="","",INDEX(상세표[월 넘김 포함],$P2837)&amp;"")</f>
        <v/>
      </c>
      <c r="P2837" s="4">
        <f>IFERROR(MATCH(2832,상세표[연속순번],0),"")</f>
        <v/>
      </c>
    </row>
    <row r="2838">
      <c r="A2838">
        <f>IF($P2838="","",INDEX(상세표[사번],$P2838)&amp;"")</f>
        <v/>
      </c>
      <c r="B2838">
        <f>IF($P2838="","",INDEX(상세표[성명],$P2838)&amp;"")</f>
        <v/>
      </c>
      <c r="C2838">
        <f>IF($P2838="","",INDEX(상세표[부서],$P2838)&amp;"")</f>
        <v/>
      </c>
      <c r="D2838">
        <f>IF($P2838="","",INDEX(상세표[직위],$P2838)&amp;"")</f>
        <v/>
      </c>
      <c r="E2838">
        <f>IF($P2838="","",IF(ISNUMBER(INDEX(상세표[시작],$P2838)),TEXT(INDEX(상세표[시작],$P2838),"yyyy-mm-dd hh:mm"),INDEX(상세표[시작],$P2838)&amp;""))</f>
        <v/>
      </c>
      <c r="F2838">
        <f>IF($P2838="","",IF(ISNUMBER(INDEX(상세표[블록종료],$P2838)),TEXT(INDEX(상세표[블록종료],$P2838),"yyyy-mm-dd hh:mm"),INDEX(상세표[블록종료],$P2838)&amp;""))</f>
        <v/>
      </c>
      <c r="G2838">
        <f>IF($P2838="","",CHOOSE(WEEKDAY(INDEX(상세표[시작],$P2838)),"일","월","화","수","목","금","토"))</f>
        <v/>
      </c>
      <c r="H2838">
        <f>IF($P2838="","",INDEX(상세표[연속 시간],$P2838))</f>
        <v/>
      </c>
      <c r="I2838">
        <f>IF($P2838="","",INDEX(상세표[기록 수],$P2838))</f>
        <v/>
      </c>
      <c r="J2838">
        <f>IF($P2838="","",INDEX(상세표[블록 06~07시],$P2838))</f>
        <v/>
      </c>
      <c r="K2838">
        <f>IF($P2838="","",INDEX(상세표[블록 07~18시],$P2838))</f>
        <v/>
      </c>
      <c r="L2838">
        <f>IF($P2838="","",INDEX(상세표[블록 18~22시],$P2838))</f>
        <v/>
      </c>
      <c r="M2838">
        <f>IF($P2838="","",INDEX(상세표[블록 22~06시],$P2838))</f>
        <v/>
      </c>
      <c r="N2838">
        <f>IF($P2838="","",INDEX(상세표[주말·휴일 포함],$P2838)&amp;"")</f>
        <v/>
      </c>
      <c r="O2838">
        <f>IF($P2838="","",INDEX(상세표[월 넘김 포함],$P2838)&amp;"")</f>
        <v/>
      </c>
      <c r="P2838" s="4">
        <f>IFERROR(MATCH(2833,상세표[연속순번],0),"")</f>
        <v/>
      </c>
    </row>
    <row r="2839">
      <c r="A2839">
        <f>IF($P2839="","",INDEX(상세표[사번],$P2839)&amp;"")</f>
        <v/>
      </c>
      <c r="B2839">
        <f>IF($P2839="","",INDEX(상세표[성명],$P2839)&amp;"")</f>
        <v/>
      </c>
      <c r="C2839">
        <f>IF($P2839="","",INDEX(상세표[부서],$P2839)&amp;"")</f>
        <v/>
      </c>
      <c r="D2839">
        <f>IF($P2839="","",INDEX(상세표[직위],$P2839)&amp;"")</f>
        <v/>
      </c>
      <c r="E2839">
        <f>IF($P2839="","",IF(ISNUMBER(INDEX(상세표[시작],$P2839)),TEXT(INDEX(상세표[시작],$P2839),"yyyy-mm-dd hh:mm"),INDEX(상세표[시작],$P2839)&amp;""))</f>
        <v/>
      </c>
      <c r="F2839">
        <f>IF($P2839="","",IF(ISNUMBER(INDEX(상세표[블록종료],$P2839)),TEXT(INDEX(상세표[블록종료],$P2839),"yyyy-mm-dd hh:mm"),INDEX(상세표[블록종료],$P2839)&amp;""))</f>
        <v/>
      </c>
      <c r="G2839">
        <f>IF($P2839="","",CHOOSE(WEEKDAY(INDEX(상세표[시작],$P2839)),"일","월","화","수","목","금","토"))</f>
        <v/>
      </c>
      <c r="H2839">
        <f>IF($P2839="","",INDEX(상세표[연속 시간],$P2839))</f>
        <v/>
      </c>
      <c r="I2839">
        <f>IF($P2839="","",INDEX(상세표[기록 수],$P2839))</f>
        <v/>
      </c>
      <c r="J2839">
        <f>IF($P2839="","",INDEX(상세표[블록 06~07시],$P2839))</f>
        <v/>
      </c>
      <c r="K2839">
        <f>IF($P2839="","",INDEX(상세표[블록 07~18시],$P2839))</f>
        <v/>
      </c>
      <c r="L2839">
        <f>IF($P2839="","",INDEX(상세표[블록 18~22시],$P2839))</f>
        <v/>
      </c>
      <c r="M2839">
        <f>IF($P2839="","",INDEX(상세표[블록 22~06시],$P2839))</f>
        <v/>
      </c>
      <c r="N2839">
        <f>IF($P2839="","",INDEX(상세표[주말·휴일 포함],$P2839)&amp;"")</f>
        <v/>
      </c>
      <c r="O2839">
        <f>IF($P2839="","",INDEX(상세표[월 넘김 포함],$P2839)&amp;"")</f>
        <v/>
      </c>
      <c r="P2839" s="4">
        <f>IFERROR(MATCH(2834,상세표[연속순번],0),"")</f>
        <v/>
      </c>
    </row>
    <row r="2840">
      <c r="A2840">
        <f>IF($P2840="","",INDEX(상세표[사번],$P2840)&amp;"")</f>
        <v/>
      </c>
      <c r="B2840">
        <f>IF($P2840="","",INDEX(상세표[성명],$P2840)&amp;"")</f>
        <v/>
      </c>
      <c r="C2840">
        <f>IF($P2840="","",INDEX(상세표[부서],$P2840)&amp;"")</f>
        <v/>
      </c>
      <c r="D2840">
        <f>IF($P2840="","",INDEX(상세표[직위],$P2840)&amp;"")</f>
        <v/>
      </c>
      <c r="E2840">
        <f>IF($P2840="","",IF(ISNUMBER(INDEX(상세표[시작],$P2840)),TEXT(INDEX(상세표[시작],$P2840),"yyyy-mm-dd hh:mm"),INDEX(상세표[시작],$P2840)&amp;""))</f>
        <v/>
      </c>
      <c r="F2840">
        <f>IF($P2840="","",IF(ISNUMBER(INDEX(상세표[블록종료],$P2840)),TEXT(INDEX(상세표[블록종료],$P2840),"yyyy-mm-dd hh:mm"),INDEX(상세표[블록종료],$P2840)&amp;""))</f>
        <v/>
      </c>
      <c r="G2840">
        <f>IF($P2840="","",CHOOSE(WEEKDAY(INDEX(상세표[시작],$P2840)),"일","월","화","수","목","금","토"))</f>
        <v/>
      </c>
      <c r="H2840">
        <f>IF($P2840="","",INDEX(상세표[연속 시간],$P2840))</f>
        <v/>
      </c>
      <c r="I2840">
        <f>IF($P2840="","",INDEX(상세표[기록 수],$P2840))</f>
        <v/>
      </c>
      <c r="J2840">
        <f>IF($P2840="","",INDEX(상세표[블록 06~07시],$P2840))</f>
        <v/>
      </c>
      <c r="K2840">
        <f>IF($P2840="","",INDEX(상세표[블록 07~18시],$P2840))</f>
        <v/>
      </c>
      <c r="L2840">
        <f>IF($P2840="","",INDEX(상세표[블록 18~22시],$P2840))</f>
        <v/>
      </c>
      <c r="M2840">
        <f>IF($P2840="","",INDEX(상세표[블록 22~06시],$P2840))</f>
        <v/>
      </c>
      <c r="N2840">
        <f>IF($P2840="","",INDEX(상세표[주말·휴일 포함],$P2840)&amp;"")</f>
        <v/>
      </c>
      <c r="O2840">
        <f>IF($P2840="","",INDEX(상세표[월 넘김 포함],$P2840)&amp;"")</f>
        <v/>
      </c>
      <c r="P2840" s="4">
        <f>IFERROR(MATCH(2835,상세표[연속순번],0),"")</f>
        <v/>
      </c>
    </row>
    <row r="2841">
      <c r="A2841">
        <f>IF($P2841="","",INDEX(상세표[사번],$P2841)&amp;"")</f>
        <v/>
      </c>
      <c r="B2841">
        <f>IF($P2841="","",INDEX(상세표[성명],$P2841)&amp;"")</f>
        <v/>
      </c>
      <c r="C2841">
        <f>IF($P2841="","",INDEX(상세표[부서],$P2841)&amp;"")</f>
        <v/>
      </c>
      <c r="D2841">
        <f>IF($P2841="","",INDEX(상세표[직위],$P2841)&amp;"")</f>
        <v/>
      </c>
      <c r="E2841">
        <f>IF($P2841="","",IF(ISNUMBER(INDEX(상세표[시작],$P2841)),TEXT(INDEX(상세표[시작],$P2841),"yyyy-mm-dd hh:mm"),INDEX(상세표[시작],$P2841)&amp;""))</f>
        <v/>
      </c>
      <c r="F2841">
        <f>IF($P2841="","",IF(ISNUMBER(INDEX(상세표[블록종료],$P2841)),TEXT(INDEX(상세표[블록종료],$P2841),"yyyy-mm-dd hh:mm"),INDEX(상세표[블록종료],$P2841)&amp;""))</f>
        <v/>
      </c>
      <c r="G2841">
        <f>IF($P2841="","",CHOOSE(WEEKDAY(INDEX(상세표[시작],$P2841)),"일","월","화","수","목","금","토"))</f>
        <v/>
      </c>
      <c r="H2841">
        <f>IF($P2841="","",INDEX(상세표[연속 시간],$P2841))</f>
        <v/>
      </c>
      <c r="I2841">
        <f>IF($P2841="","",INDEX(상세표[기록 수],$P2841))</f>
        <v/>
      </c>
      <c r="J2841">
        <f>IF($P2841="","",INDEX(상세표[블록 06~07시],$P2841))</f>
        <v/>
      </c>
      <c r="K2841">
        <f>IF($P2841="","",INDEX(상세표[블록 07~18시],$P2841))</f>
        <v/>
      </c>
      <c r="L2841">
        <f>IF($P2841="","",INDEX(상세표[블록 18~22시],$P2841))</f>
        <v/>
      </c>
      <c r="M2841">
        <f>IF($P2841="","",INDEX(상세표[블록 22~06시],$P2841))</f>
        <v/>
      </c>
      <c r="N2841">
        <f>IF($P2841="","",INDEX(상세표[주말·휴일 포함],$P2841)&amp;"")</f>
        <v/>
      </c>
      <c r="O2841">
        <f>IF($P2841="","",INDEX(상세표[월 넘김 포함],$P2841)&amp;"")</f>
        <v/>
      </c>
      <c r="P2841" s="4">
        <f>IFERROR(MATCH(2836,상세표[연속순번],0),"")</f>
        <v/>
      </c>
    </row>
    <row r="2842">
      <c r="A2842">
        <f>IF($P2842="","",INDEX(상세표[사번],$P2842)&amp;"")</f>
        <v/>
      </c>
      <c r="B2842">
        <f>IF($P2842="","",INDEX(상세표[성명],$P2842)&amp;"")</f>
        <v/>
      </c>
      <c r="C2842">
        <f>IF($P2842="","",INDEX(상세표[부서],$P2842)&amp;"")</f>
        <v/>
      </c>
      <c r="D2842">
        <f>IF($P2842="","",INDEX(상세표[직위],$P2842)&amp;"")</f>
        <v/>
      </c>
      <c r="E2842">
        <f>IF($P2842="","",IF(ISNUMBER(INDEX(상세표[시작],$P2842)),TEXT(INDEX(상세표[시작],$P2842),"yyyy-mm-dd hh:mm"),INDEX(상세표[시작],$P2842)&amp;""))</f>
        <v/>
      </c>
      <c r="F2842">
        <f>IF($P2842="","",IF(ISNUMBER(INDEX(상세표[블록종료],$P2842)),TEXT(INDEX(상세표[블록종료],$P2842),"yyyy-mm-dd hh:mm"),INDEX(상세표[블록종료],$P2842)&amp;""))</f>
        <v/>
      </c>
      <c r="G2842">
        <f>IF($P2842="","",CHOOSE(WEEKDAY(INDEX(상세표[시작],$P2842)),"일","월","화","수","목","금","토"))</f>
        <v/>
      </c>
      <c r="H2842">
        <f>IF($P2842="","",INDEX(상세표[연속 시간],$P2842))</f>
        <v/>
      </c>
      <c r="I2842">
        <f>IF($P2842="","",INDEX(상세표[기록 수],$P2842))</f>
        <v/>
      </c>
      <c r="J2842">
        <f>IF($P2842="","",INDEX(상세표[블록 06~07시],$P2842))</f>
        <v/>
      </c>
      <c r="K2842">
        <f>IF($P2842="","",INDEX(상세표[블록 07~18시],$P2842))</f>
        <v/>
      </c>
      <c r="L2842">
        <f>IF($P2842="","",INDEX(상세표[블록 18~22시],$P2842))</f>
        <v/>
      </c>
      <c r="M2842">
        <f>IF($P2842="","",INDEX(상세표[블록 22~06시],$P2842))</f>
        <v/>
      </c>
      <c r="N2842">
        <f>IF($P2842="","",INDEX(상세표[주말·휴일 포함],$P2842)&amp;"")</f>
        <v/>
      </c>
      <c r="O2842">
        <f>IF($P2842="","",INDEX(상세표[월 넘김 포함],$P2842)&amp;"")</f>
        <v/>
      </c>
      <c r="P2842" s="4">
        <f>IFERROR(MATCH(2837,상세표[연속순번],0),"")</f>
        <v/>
      </c>
    </row>
    <row r="2843">
      <c r="A2843">
        <f>IF($P2843="","",INDEX(상세표[사번],$P2843)&amp;"")</f>
        <v/>
      </c>
      <c r="B2843">
        <f>IF($P2843="","",INDEX(상세표[성명],$P2843)&amp;"")</f>
        <v/>
      </c>
      <c r="C2843">
        <f>IF($P2843="","",INDEX(상세표[부서],$P2843)&amp;"")</f>
        <v/>
      </c>
      <c r="D2843">
        <f>IF($P2843="","",INDEX(상세표[직위],$P2843)&amp;"")</f>
        <v/>
      </c>
      <c r="E2843">
        <f>IF($P2843="","",IF(ISNUMBER(INDEX(상세표[시작],$P2843)),TEXT(INDEX(상세표[시작],$P2843),"yyyy-mm-dd hh:mm"),INDEX(상세표[시작],$P2843)&amp;""))</f>
        <v/>
      </c>
      <c r="F2843">
        <f>IF($P2843="","",IF(ISNUMBER(INDEX(상세표[블록종료],$P2843)),TEXT(INDEX(상세표[블록종료],$P2843),"yyyy-mm-dd hh:mm"),INDEX(상세표[블록종료],$P2843)&amp;""))</f>
        <v/>
      </c>
      <c r="G2843">
        <f>IF($P2843="","",CHOOSE(WEEKDAY(INDEX(상세표[시작],$P2843)),"일","월","화","수","목","금","토"))</f>
        <v/>
      </c>
      <c r="H2843">
        <f>IF($P2843="","",INDEX(상세표[연속 시간],$P2843))</f>
        <v/>
      </c>
      <c r="I2843">
        <f>IF($P2843="","",INDEX(상세표[기록 수],$P2843))</f>
        <v/>
      </c>
      <c r="J2843">
        <f>IF($P2843="","",INDEX(상세표[블록 06~07시],$P2843))</f>
        <v/>
      </c>
      <c r="K2843">
        <f>IF($P2843="","",INDEX(상세표[블록 07~18시],$P2843))</f>
        <v/>
      </c>
      <c r="L2843">
        <f>IF($P2843="","",INDEX(상세표[블록 18~22시],$P2843))</f>
        <v/>
      </c>
      <c r="M2843">
        <f>IF($P2843="","",INDEX(상세표[블록 22~06시],$P2843))</f>
        <v/>
      </c>
      <c r="N2843">
        <f>IF($P2843="","",INDEX(상세표[주말·휴일 포함],$P2843)&amp;"")</f>
        <v/>
      </c>
      <c r="O2843">
        <f>IF($P2843="","",INDEX(상세표[월 넘김 포함],$P2843)&amp;"")</f>
        <v/>
      </c>
      <c r="P2843" s="4">
        <f>IFERROR(MATCH(2838,상세표[연속순번],0),"")</f>
        <v/>
      </c>
    </row>
    <row r="2844">
      <c r="A2844">
        <f>IF($P2844="","",INDEX(상세표[사번],$P2844)&amp;"")</f>
        <v/>
      </c>
      <c r="B2844">
        <f>IF($P2844="","",INDEX(상세표[성명],$P2844)&amp;"")</f>
        <v/>
      </c>
      <c r="C2844">
        <f>IF($P2844="","",INDEX(상세표[부서],$P2844)&amp;"")</f>
        <v/>
      </c>
      <c r="D2844">
        <f>IF($P2844="","",INDEX(상세표[직위],$P2844)&amp;"")</f>
        <v/>
      </c>
      <c r="E2844">
        <f>IF($P2844="","",IF(ISNUMBER(INDEX(상세표[시작],$P2844)),TEXT(INDEX(상세표[시작],$P2844),"yyyy-mm-dd hh:mm"),INDEX(상세표[시작],$P2844)&amp;""))</f>
        <v/>
      </c>
      <c r="F2844">
        <f>IF($P2844="","",IF(ISNUMBER(INDEX(상세표[블록종료],$P2844)),TEXT(INDEX(상세표[블록종료],$P2844),"yyyy-mm-dd hh:mm"),INDEX(상세표[블록종료],$P2844)&amp;""))</f>
        <v/>
      </c>
      <c r="G2844">
        <f>IF($P2844="","",CHOOSE(WEEKDAY(INDEX(상세표[시작],$P2844)),"일","월","화","수","목","금","토"))</f>
        <v/>
      </c>
      <c r="H2844">
        <f>IF($P2844="","",INDEX(상세표[연속 시간],$P2844))</f>
        <v/>
      </c>
      <c r="I2844">
        <f>IF($P2844="","",INDEX(상세표[기록 수],$P2844))</f>
        <v/>
      </c>
      <c r="J2844">
        <f>IF($P2844="","",INDEX(상세표[블록 06~07시],$P2844))</f>
        <v/>
      </c>
      <c r="K2844">
        <f>IF($P2844="","",INDEX(상세표[블록 07~18시],$P2844))</f>
        <v/>
      </c>
      <c r="L2844">
        <f>IF($P2844="","",INDEX(상세표[블록 18~22시],$P2844))</f>
        <v/>
      </c>
      <c r="M2844">
        <f>IF($P2844="","",INDEX(상세표[블록 22~06시],$P2844))</f>
        <v/>
      </c>
      <c r="N2844">
        <f>IF($P2844="","",INDEX(상세표[주말·휴일 포함],$P2844)&amp;"")</f>
        <v/>
      </c>
      <c r="O2844">
        <f>IF($P2844="","",INDEX(상세표[월 넘김 포함],$P2844)&amp;"")</f>
        <v/>
      </c>
      <c r="P2844" s="4">
        <f>IFERROR(MATCH(2839,상세표[연속순번],0),"")</f>
        <v/>
      </c>
    </row>
    <row r="2845">
      <c r="A2845">
        <f>IF($P2845="","",INDEX(상세표[사번],$P2845)&amp;"")</f>
        <v/>
      </c>
      <c r="B2845">
        <f>IF($P2845="","",INDEX(상세표[성명],$P2845)&amp;"")</f>
        <v/>
      </c>
      <c r="C2845">
        <f>IF($P2845="","",INDEX(상세표[부서],$P2845)&amp;"")</f>
        <v/>
      </c>
      <c r="D2845">
        <f>IF($P2845="","",INDEX(상세표[직위],$P2845)&amp;"")</f>
        <v/>
      </c>
      <c r="E2845">
        <f>IF($P2845="","",IF(ISNUMBER(INDEX(상세표[시작],$P2845)),TEXT(INDEX(상세표[시작],$P2845),"yyyy-mm-dd hh:mm"),INDEX(상세표[시작],$P2845)&amp;""))</f>
        <v/>
      </c>
      <c r="F2845">
        <f>IF($P2845="","",IF(ISNUMBER(INDEX(상세표[블록종료],$P2845)),TEXT(INDEX(상세표[블록종료],$P2845),"yyyy-mm-dd hh:mm"),INDEX(상세표[블록종료],$P2845)&amp;""))</f>
        <v/>
      </c>
      <c r="G2845">
        <f>IF($P2845="","",CHOOSE(WEEKDAY(INDEX(상세표[시작],$P2845)),"일","월","화","수","목","금","토"))</f>
        <v/>
      </c>
      <c r="H2845">
        <f>IF($P2845="","",INDEX(상세표[연속 시간],$P2845))</f>
        <v/>
      </c>
      <c r="I2845">
        <f>IF($P2845="","",INDEX(상세표[기록 수],$P2845))</f>
        <v/>
      </c>
      <c r="J2845">
        <f>IF($P2845="","",INDEX(상세표[블록 06~07시],$P2845))</f>
        <v/>
      </c>
      <c r="K2845">
        <f>IF($P2845="","",INDEX(상세표[블록 07~18시],$P2845))</f>
        <v/>
      </c>
      <c r="L2845">
        <f>IF($P2845="","",INDEX(상세표[블록 18~22시],$P2845))</f>
        <v/>
      </c>
      <c r="M2845">
        <f>IF($P2845="","",INDEX(상세표[블록 22~06시],$P2845))</f>
        <v/>
      </c>
      <c r="N2845">
        <f>IF($P2845="","",INDEX(상세표[주말·휴일 포함],$P2845)&amp;"")</f>
        <v/>
      </c>
      <c r="O2845">
        <f>IF($P2845="","",INDEX(상세표[월 넘김 포함],$P2845)&amp;"")</f>
        <v/>
      </c>
      <c r="P2845" s="4">
        <f>IFERROR(MATCH(2840,상세표[연속순번],0),"")</f>
        <v/>
      </c>
    </row>
    <row r="2846">
      <c r="A2846">
        <f>IF($P2846="","",INDEX(상세표[사번],$P2846)&amp;"")</f>
        <v/>
      </c>
      <c r="B2846">
        <f>IF($P2846="","",INDEX(상세표[성명],$P2846)&amp;"")</f>
        <v/>
      </c>
      <c r="C2846">
        <f>IF($P2846="","",INDEX(상세표[부서],$P2846)&amp;"")</f>
        <v/>
      </c>
      <c r="D2846">
        <f>IF($P2846="","",INDEX(상세표[직위],$P2846)&amp;"")</f>
        <v/>
      </c>
      <c r="E2846">
        <f>IF($P2846="","",IF(ISNUMBER(INDEX(상세표[시작],$P2846)),TEXT(INDEX(상세표[시작],$P2846),"yyyy-mm-dd hh:mm"),INDEX(상세표[시작],$P2846)&amp;""))</f>
        <v/>
      </c>
      <c r="F2846">
        <f>IF($P2846="","",IF(ISNUMBER(INDEX(상세표[블록종료],$P2846)),TEXT(INDEX(상세표[블록종료],$P2846),"yyyy-mm-dd hh:mm"),INDEX(상세표[블록종료],$P2846)&amp;""))</f>
        <v/>
      </c>
      <c r="G2846">
        <f>IF($P2846="","",CHOOSE(WEEKDAY(INDEX(상세표[시작],$P2846)),"일","월","화","수","목","금","토"))</f>
        <v/>
      </c>
      <c r="H2846">
        <f>IF($P2846="","",INDEX(상세표[연속 시간],$P2846))</f>
        <v/>
      </c>
      <c r="I2846">
        <f>IF($P2846="","",INDEX(상세표[기록 수],$P2846))</f>
        <v/>
      </c>
      <c r="J2846">
        <f>IF($P2846="","",INDEX(상세표[블록 06~07시],$P2846))</f>
        <v/>
      </c>
      <c r="K2846">
        <f>IF($P2846="","",INDEX(상세표[블록 07~18시],$P2846))</f>
        <v/>
      </c>
      <c r="L2846">
        <f>IF($P2846="","",INDEX(상세표[블록 18~22시],$P2846))</f>
        <v/>
      </c>
      <c r="M2846">
        <f>IF($P2846="","",INDEX(상세표[블록 22~06시],$P2846))</f>
        <v/>
      </c>
      <c r="N2846">
        <f>IF($P2846="","",INDEX(상세표[주말·휴일 포함],$P2846)&amp;"")</f>
        <v/>
      </c>
      <c r="O2846">
        <f>IF($P2846="","",INDEX(상세표[월 넘김 포함],$P2846)&amp;"")</f>
        <v/>
      </c>
      <c r="P2846" s="4">
        <f>IFERROR(MATCH(2841,상세표[연속순번],0),"")</f>
        <v/>
      </c>
    </row>
    <row r="2847">
      <c r="A2847">
        <f>IF($P2847="","",INDEX(상세표[사번],$P2847)&amp;"")</f>
        <v/>
      </c>
      <c r="B2847">
        <f>IF($P2847="","",INDEX(상세표[성명],$P2847)&amp;"")</f>
        <v/>
      </c>
      <c r="C2847">
        <f>IF($P2847="","",INDEX(상세표[부서],$P2847)&amp;"")</f>
        <v/>
      </c>
      <c r="D2847">
        <f>IF($P2847="","",INDEX(상세표[직위],$P2847)&amp;"")</f>
        <v/>
      </c>
      <c r="E2847">
        <f>IF($P2847="","",IF(ISNUMBER(INDEX(상세표[시작],$P2847)),TEXT(INDEX(상세표[시작],$P2847),"yyyy-mm-dd hh:mm"),INDEX(상세표[시작],$P2847)&amp;""))</f>
        <v/>
      </c>
      <c r="F2847">
        <f>IF($P2847="","",IF(ISNUMBER(INDEX(상세표[블록종료],$P2847)),TEXT(INDEX(상세표[블록종료],$P2847),"yyyy-mm-dd hh:mm"),INDEX(상세표[블록종료],$P2847)&amp;""))</f>
        <v/>
      </c>
      <c r="G2847">
        <f>IF($P2847="","",CHOOSE(WEEKDAY(INDEX(상세표[시작],$P2847)),"일","월","화","수","목","금","토"))</f>
        <v/>
      </c>
      <c r="H2847">
        <f>IF($P2847="","",INDEX(상세표[연속 시간],$P2847))</f>
        <v/>
      </c>
      <c r="I2847">
        <f>IF($P2847="","",INDEX(상세표[기록 수],$P2847))</f>
        <v/>
      </c>
      <c r="J2847">
        <f>IF($P2847="","",INDEX(상세표[블록 06~07시],$P2847))</f>
        <v/>
      </c>
      <c r="K2847">
        <f>IF($P2847="","",INDEX(상세표[블록 07~18시],$P2847))</f>
        <v/>
      </c>
      <c r="L2847">
        <f>IF($P2847="","",INDEX(상세표[블록 18~22시],$P2847))</f>
        <v/>
      </c>
      <c r="M2847">
        <f>IF($P2847="","",INDEX(상세표[블록 22~06시],$P2847))</f>
        <v/>
      </c>
      <c r="N2847">
        <f>IF($P2847="","",INDEX(상세표[주말·휴일 포함],$P2847)&amp;"")</f>
        <v/>
      </c>
      <c r="O2847">
        <f>IF($P2847="","",INDEX(상세표[월 넘김 포함],$P2847)&amp;"")</f>
        <v/>
      </c>
      <c r="P2847" s="4">
        <f>IFERROR(MATCH(2842,상세표[연속순번],0),"")</f>
        <v/>
      </c>
    </row>
    <row r="2848">
      <c r="A2848">
        <f>IF($P2848="","",INDEX(상세표[사번],$P2848)&amp;"")</f>
        <v/>
      </c>
      <c r="B2848">
        <f>IF($P2848="","",INDEX(상세표[성명],$P2848)&amp;"")</f>
        <v/>
      </c>
      <c r="C2848">
        <f>IF($P2848="","",INDEX(상세표[부서],$P2848)&amp;"")</f>
        <v/>
      </c>
      <c r="D2848">
        <f>IF($P2848="","",INDEX(상세표[직위],$P2848)&amp;"")</f>
        <v/>
      </c>
      <c r="E2848">
        <f>IF($P2848="","",IF(ISNUMBER(INDEX(상세표[시작],$P2848)),TEXT(INDEX(상세표[시작],$P2848),"yyyy-mm-dd hh:mm"),INDEX(상세표[시작],$P2848)&amp;""))</f>
        <v/>
      </c>
      <c r="F2848">
        <f>IF($P2848="","",IF(ISNUMBER(INDEX(상세표[블록종료],$P2848)),TEXT(INDEX(상세표[블록종료],$P2848),"yyyy-mm-dd hh:mm"),INDEX(상세표[블록종료],$P2848)&amp;""))</f>
        <v/>
      </c>
      <c r="G2848">
        <f>IF($P2848="","",CHOOSE(WEEKDAY(INDEX(상세표[시작],$P2848)),"일","월","화","수","목","금","토"))</f>
        <v/>
      </c>
      <c r="H2848">
        <f>IF($P2848="","",INDEX(상세표[연속 시간],$P2848))</f>
        <v/>
      </c>
      <c r="I2848">
        <f>IF($P2848="","",INDEX(상세표[기록 수],$P2848))</f>
        <v/>
      </c>
      <c r="J2848">
        <f>IF($P2848="","",INDEX(상세표[블록 06~07시],$P2848))</f>
        <v/>
      </c>
      <c r="K2848">
        <f>IF($P2848="","",INDEX(상세표[블록 07~18시],$P2848))</f>
        <v/>
      </c>
      <c r="L2848">
        <f>IF($P2848="","",INDEX(상세표[블록 18~22시],$P2848))</f>
        <v/>
      </c>
      <c r="M2848">
        <f>IF($P2848="","",INDEX(상세표[블록 22~06시],$P2848))</f>
        <v/>
      </c>
      <c r="N2848">
        <f>IF($P2848="","",INDEX(상세표[주말·휴일 포함],$P2848)&amp;"")</f>
        <v/>
      </c>
      <c r="O2848">
        <f>IF($P2848="","",INDEX(상세표[월 넘김 포함],$P2848)&amp;"")</f>
        <v/>
      </c>
      <c r="P2848" s="4">
        <f>IFERROR(MATCH(2843,상세표[연속순번],0),"")</f>
        <v/>
      </c>
    </row>
    <row r="2849">
      <c r="A2849">
        <f>IF($P2849="","",INDEX(상세표[사번],$P2849)&amp;"")</f>
        <v/>
      </c>
      <c r="B2849">
        <f>IF($P2849="","",INDEX(상세표[성명],$P2849)&amp;"")</f>
        <v/>
      </c>
      <c r="C2849">
        <f>IF($P2849="","",INDEX(상세표[부서],$P2849)&amp;"")</f>
        <v/>
      </c>
      <c r="D2849">
        <f>IF($P2849="","",INDEX(상세표[직위],$P2849)&amp;"")</f>
        <v/>
      </c>
      <c r="E2849">
        <f>IF($P2849="","",IF(ISNUMBER(INDEX(상세표[시작],$P2849)),TEXT(INDEX(상세표[시작],$P2849),"yyyy-mm-dd hh:mm"),INDEX(상세표[시작],$P2849)&amp;""))</f>
        <v/>
      </c>
      <c r="F2849">
        <f>IF($P2849="","",IF(ISNUMBER(INDEX(상세표[블록종료],$P2849)),TEXT(INDEX(상세표[블록종료],$P2849),"yyyy-mm-dd hh:mm"),INDEX(상세표[블록종료],$P2849)&amp;""))</f>
        <v/>
      </c>
      <c r="G2849">
        <f>IF($P2849="","",CHOOSE(WEEKDAY(INDEX(상세표[시작],$P2849)),"일","월","화","수","목","금","토"))</f>
        <v/>
      </c>
      <c r="H2849">
        <f>IF($P2849="","",INDEX(상세표[연속 시간],$P2849))</f>
        <v/>
      </c>
      <c r="I2849">
        <f>IF($P2849="","",INDEX(상세표[기록 수],$P2849))</f>
        <v/>
      </c>
      <c r="J2849">
        <f>IF($P2849="","",INDEX(상세표[블록 06~07시],$P2849))</f>
        <v/>
      </c>
      <c r="K2849">
        <f>IF($P2849="","",INDEX(상세표[블록 07~18시],$P2849))</f>
        <v/>
      </c>
      <c r="L2849">
        <f>IF($P2849="","",INDEX(상세표[블록 18~22시],$P2849))</f>
        <v/>
      </c>
      <c r="M2849">
        <f>IF($P2849="","",INDEX(상세표[블록 22~06시],$P2849))</f>
        <v/>
      </c>
      <c r="N2849">
        <f>IF($P2849="","",INDEX(상세표[주말·휴일 포함],$P2849)&amp;"")</f>
        <v/>
      </c>
      <c r="O2849">
        <f>IF($P2849="","",INDEX(상세표[월 넘김 포함],$P2849)&amp;"")</f>
        <v/>
      </c>
      <c r="P2849" s="4">
        <f>IFERROR(MATCH(2844,상세표[연속순번],0),"")</f>
        <v/>
      </c>
    </row>
    <row r="2850">
      <c r="A2850">
        <f>IF($P2850="","",INDEX(상세표[사번],$P2850)&amp;"")</f>
        <v/>
      </c>
      <c r="B2850">
        <f>IF($P2850="","",INDEX(상세표[성명],$P2850)&amp;"")</f>
        <v/>
      </c>
      <c r="C2850">
        <f>IF($P2850="","",INDEX(상세표[부서],$P2850)&amp;"")</f>
        <v/>
      </c>
      <c r="D2850">
        <f>IF($P2850="","",INDEX(상세표[직위],$P2850)&amp;"")</f>
        <v/>
      </c>
      <c r="E2850">
        <f>IF($P2850="","",IF(ISNUMBER(INDEX(상세표[시작],$P2850)),TEXT(INDEX(상세표[시작],$P2850),"yyyy-mm-dd hh:mm"),INDEX(상세표[시작],$P2850)&amp;""))</f>
        <v/>
      </c>
      <c r="F2850">
        <f>IF($P2850="","",IF(ISNUMBER(INDEX(상세표[블록종료],$P2850)),TEXT(INDEX(상세표[블록종료],$P2850),"yyyy-mm-dd hh:mm"),INDEX(상세표[블록종료],$P2850)&amp;""))</f>
        <v/>
      </c>
      <c r="G2850">
        <f>IF($P2850="","",CHOOSE(WEEKDAY(INDEX(상세표[시작],$P2850)),"일","월","화","수","목","금","토"))</f>
        <v/>
      </c>
      <c r="H2850">
        <f>IF($P2850="","",INDEX(상세표[연속 시간],$P2850))</f>
        <v/>
      </c>
      <c r="I2850">
        <f>IF($P2850="","",INDEX(상세표[기록 수],$P2850))</f>
        <v/>
      </c>
      <c r="J2850">
        <f>IF($P2850="","",INDEX(상세표[블록 06~07시],$P2850))</f>
        <v/>
      </c>
      <c r="K2850">
        <f>IF($P2850="","",INDEX(상세표[블록 07~18시],$P2850))</f>
        <v/>
      </c>
      <c r="L2850">
        <f>IF($P2850="","",INDEX(상세표[블록 18~22시],$P2850))</f>
        <v/>
      </c>
      <c r="M2850">
        <f>IF($P2850="","",INDEX(상세표[블록 22~06시],$P2850))</f>
        <v/>
      </c>
      <c r="N2850">
        <f>IF($P2850="","",INDEX(상세표[주말·휴일 포함],$P2850)&amp;"")</f>
        <v/>
      </c>
      <c r="O2850">
        <f>IF($P2850="","",INDEX(상세표[월 넘김 포함],$P2850)&amp;"")</f>
        <v/>
      </c>
      <c r="P2850" s="4">
        <f>IFERROR(MATCH(2845,상세표[연속순번],0),"")</f>
        <v/>
      </c>
    </row>
    <row r="2851">
      <c r="A2851">
        <f>IF($P2851="","",INDEX(상세표[사번],$P2851)&amp;"")</f>
        <v/>
      </c>
      <c r="B2851">
        <f>IF($P2851="","",INDEX(상세표[성명],$P2851)&amp;"")</f>
        <v/>
      </c>
      <c r="C2851">
        <f>IF($P2851="","",INDEX(상세표[부서],$P2851)&amp;"")</f>
        <v/>
      </c>
      <c r="D2851">
        <f>IF($P2851="","",INDEX(상세표[직위],$P2851)&amp;"")</f>
        <v/>
      </c>
      <c r="E2851">
        <f>IF($P2851="","",IF(ISNUMBER(INDEX(상세표[시작],$P2851)),TEXT(INDEX(상세표[시작],$P2851),"yyyy-mm-dd hh:mm"),INDEX(상세표[시작],$P2851)&amp;""))</f>
        <v/>
      </c>
      <c r="F2851">
        <f>IF($P2851="","",IF(ISNUMBER(INDEX(상세표[블록종료],$P2851)),TEXT(INDEX(상세표[블록종료],$P2851),"yyyy-mm-dd hh:mm"),INDEX(상세표[블록종료],$P2851)&amp;""))</f>
        <v/>
      </c>
      <c r="G2851">
        <f>IF($P2851="","",CHOOSE(WEEKDAY(INDEX(상세표[시작],$P2851)),"일","월","화","수","목","금","토"))</f>
        <v/>
      </c>
      <c r="H2851">
        <f>IF($P2851="","",INDEX(상세표[연속 시간],$P2851))</f>
        <v/>
      </c>
      <c r="I2851">
        <f>IF($P2851="","",INDEX(상세표[기록 수],$P2851))</f>
        <v/>
      </c>
      <c r="J2851">
        <f>IF($P2851="","",INDEX(상세표[블록 06~07시],$P2851))</f>
        <v/>
      </c>
      <c r="K2851">
        <f>IF($P2851="","",INDEX(상세표[블록 07~18시],$P2851))</f>
        <v/>
      </c>
      <c r="L2851">
        <f>IF($P2851="","",INDEX(상세표[블록 18~22시],$P2851))</f>
        <v/>
      </c>
      <c r="M2851">
        <f>IF($P2851="","",INDEX(상세표[블록 22~06시],$P2851))</f>
        <v/>
      </c>
      <c r="N2851">
        <f>IF($P2851="","",INDEX(상세표[주말·휴일 포함],$P2851)&amp;"")</f>
        <v/>
      </c>
      <c r="O2851">
        <f>IF($P2851="","",INDEX(상세표[월 넘김 포함],$P2851)&amp;"")</f>
        <v/>
      </c>
      <c r="P2851" s="4">
        <f>IFERROR(MATCH(2846,상세표[연속순번],0),"")</f>
        <v/>
      </c>
    </row>
    <row r="2852">
      <c r="A2852">
        <f>IF($P2852="","",INDEX(상세표[사번],$P2852)&amp;"")</f>
        <v/>
      </c>
      <c r="B2852">
        <f>IF($P2852="","",INDEX(상세표[성명],$P2852)&amp;"")</f>
        <v/>
      </c>
      <c r="C2852">
        <f>IF($P2852="","",INDEX(상세표[부서],$P2852)&amp;"")</f>
        <v/>
      </c>
      <c r="D2852">
        <f>IF($P2852="","",INDEX(상세표[직위],$P2852)&amp;"")</f>
        <v/>
      </c>
      <c r="E2852">
        <f>IF($P2852="","",IF(ISNUMBER(INDEX(상세표[시작],$P2852)),TEXT(INDEX(상세표[시작],$P2852),"yyyy-mm-dd hh:mm"),INDEX(상세표[시작],$P2852)&amp;""))</f>
        <v/>
      </c>
      <c r="F2852">
        <f>IF($P2852="","",IF(ISNUMBER(INDEX(상세표[블록종료],$P2852)),TEXT(INDEX(상세표[블록종료],$P2852),"yyyy-mm-dd hh:mm"),INDEX(상세표[블록종료],$P2852)&amp;""))</f>
        <v/>
      </c>
      <c r="G2852">
        <f>IF($P2852="","",CHOOSE(WEEKDAY(INDEX(상세표[시작],$P2852)),"일","월","화","수","목","금","토"))</f>
        <v/>
      </c>
      <c r="H2852">
        <f>IF($P2852="","",INDEX(상세표[연속 시간],$P2852))</f>
        <v/>
      </c>
      <c r="I2852">
        <f>IF($P2852="","",INDEX(상세표[기록 수],$P2852))</f>
        <v/>
      </c>
      <c r="J2852">
        <f>IF($P2852="","",INDEX(상세표[블록 06~07시],$P2852))</f>
        <v/>
      </c>
      <c r="K2852">
        <f>IF($P2852="","",INDEX(상세표[블록 07~18시],$P2852))</f>
        <v/>
      </c>
      <c r="L2852">
        <f>IF($P2852="","",INDEX(상세표[블록 18~22시],$P2852))</f>
        <v/>
      </c>
      <c r="M2852">
        <f>IF($P2852="","",INDEX(상세표[블록 22~06시],$P2852))</f>
        <v/>
      </c>
      <c r="N2852">
        <f>IF($P2852="","",INDEX(상세표[주말·휴일 포함],$P2852)&amp;"")</f>
        <v/>
      </c>
      <c r="O2852">
        <f>IF($P2852="","",INDEX(상세표[월 넘김 포함],$P2852)&amp;"")</f>
        <v/>
      </c>
      <c r="P2852" s="4">
        <f>IFERROR(MATCH(2847,상세표[연속순번],0),"")</f>
        <v/>
      </c>
    </row>
    <row r="2853">
      <c r="A2853">
        <f>IF($P2853="","",INDEX(상세표[사번],$P2853)&amp;"")</f>
        <v/>
      </c>
      <c r="B2853">
        <f>IF($P2853="","",INDEX(상세표[성명],$P2853)&amp;"")</f>
        <v/>
      </c>
      <c r="C2853">
        <f>IF($P2853="","",INDEX(상세표[부서],$P2853)&amp;"")</f>
        <v/>
      </c>
      <c r="D2853">
        <f>IF($P2853="","",INDEX(상세표[직위],$P2853)&amp;"")</f>
        <v/>
      </c>
      <c r="E2853">
        <f>IF($P2853="","",IF(ISNUMBER(INDEX(상세표[시작],$P2853)),TEXT(INDEX(상세표[시작],$P2853),"yyyy-mm-dd hh:mm"),INDEX(상세표[시작],$P2853)&amp;""))</f>
        <v/>
      </c>
      <c r="F2853">
        <f>IF($P2853="","",IF(ISNUMBER(INDEX(상세표[블록종료],$P2853)),TEXT(INDEX(상세표[블록종료],$P2853),"yyyy-mm-dd hh:mm"),INDEX(상세표[블록종료],$P2853)&amp;""))</f>
        <v/>
      </c>
      <c r="G2853">
        <f>IF($P2853="","",CHOOSE(WEEKDAY(INDEX(상세표[시작],$P2853)),"일","월","화","수","목","금","토"))</f>
        <v/>
      </c>
      <c r="H2853">
        <f>IF($P2853="","",INDEX(상세표[연속 시간],$P2853))</f>
        <v/>
      </c>
      <c r="I2853">
        <f>IF($P2853="","",INDEX(상세표[기록 수],$P2853))</f>
        <v/>
      </c>
      <c r="J2853">
        <f>IF($P2853="","",INDEX(상세표[블록 06~07시],$P2853))</f>
        <v/>
      </c>
      <c r="K2853">
        <f>IF($P2853="","",INDEX(상세표[블록 07~18시],$P2853))</f>
        <v/>
      </c>
      <c r="L2853">
        <f>IF($P2853="","",INDEX(상세표[블록 18~22시],$P2853))</f>
        <v/>
      </c>
      <c r="M2853">
        <f>IF($P2853="","",INDEX(상세표[블록 22~06시],$P2853))</f>
        <v/>
      </c>
      <c r="N2853">
        <f>IF($P2853="","",INDEX(상세표[주말·휴일 포함],$P2853)&amp;"")</f>
        <v/>
      </c>
      <c r="O2853">
        <f>IF($P2853="","",INDEX(상세표[월 넘김 포함],$P2853)&amp;"")</f>
        <v/>
      </c>
      <c r="P2853" s="4">
        <f>IFERROR(MATCH(2848,상세표[연속순번],0),"")</f>
        <v/>
      </c>
    </row>
    <row r="2854">
      <c r="A2854">
        <f>IF($P2854="","",INDEX(상세표[사번],$P2854)&amp;"")</f>
        <v/>
      </c>
      <c r="B2854">
        <f>IF($P2854="","",INDEX(상세표[성명],$P2854)&amp;"")</f>
        <v/>
      </c>
      <c r="C2854">
        <f>IF($P2854="","",INDEX(상세표[부서],$P2854)&amp;"")</f>
        <v/>
      </c>
      <c r="D2854">
        <f>IF($P2854="","",INDEX(상세표[직위],$P2854)&amp;"")</f>
        <v/>
      </c>
      <c r="E2854">
        <f>IF($P2854="","",IF(ISNUMBER(INDEX(상세표[시작],$P2854)),TEXT(INDEX(상세표[시작],$P2854),"yyyy-mm-dd hh:mm"),INDEX(상세표[시작],$P2854)&amp;""))</f>
        <v/>
      </c>
      <c r="F2854">
        <f>IF($P2854="","",IF(ISNUMBER(INDEX(상세표[블록종료],$P2854)),TEXT(INDEX(상세표[블록종료],$P2854),"yyyy-mm-dd hh:mm"),INDEX(상세표[블록종료],$P2854)&amp;""))</f>
        <v/>
      </c>
      <c r="G2854">
        <f>IF($P2854="","",CHOOSE(WEEKDAY(INDEX(상세표[시작],$P2854)),"일","월","화","수","목","금","토"))</f>
        <v/>
      </c>
      <c r="H2854">
        <f>IF($P2854="","",INDEX(상세표[연속 시간],$P2854))</f>
        <v/>
      </c>
      <c r="I2854">
        <f>IF($P2854="","",INDEX(상세표[기록 수],$P2854))</f>
        <v/>
      </c>
      <c r="J2854">
        <f>IF($P2854="","",INDEX(상세표[블록 06~07시],$P2854))</f>
        <v/>
      </c>
      <c r="K2854">
        <f>IF($P2854="","",INDEX(상세표[블록 07~18시],$P2854))</f>
        <v/>
      </c>
      <c r="L2854">
        <f>IF($P2854="","",INDEX(상세표[블록 18~22시],$P2854))</f>
        <v/>
      </c>
      <c r="M2854">
        <f>IF($P2854="","",INDEX(상세표[블록 22~06시],$P2854))</f>
        <v/>
      </c>
      <c r="N2854">
        <f>IF($P2854="","",INDEX(상세표[주말·휴일 포함],$P2854)&amp;"")</f>
        <v/>
      </c>
      <c r="O2854">
        <f>IF($P2854="","",INDEX(상세표[월 넘김 포함],$P2854)&amp;"")</f>
        <v/>
      </c>
      <c r="P2854" s="4">
        <f>IFERROR(MATCH(2849,상세표[연속순번],0),"")</f>
        <v/>
      </c>
    </row>
    <row r="2855">
      <c r="A2855">
        <f>IF($P2855="","",INDEX(상세표[사번],$P2855)&amp;"")</f>
        <v/>
      </c>
      <c r="B2855">
        <f>IF($P2855="","",INDEX(상세표[성명],$P2855)&amp;"")</f>
        <v/>
      </c>
      <c r="C2855">
        <f>IF($P2855="","",INDEX(상세표[부서],$P2855)&amp;"")</f>
        <v/>
      </c>
      <c r="D2855">
        <f>IF($P2855="","",INDEX(상세표[직위],$P2855)&amp;"")</f>
        <v/>
      </c>
      <c r="E2855">
        <f>IF($P2855="","",IF(ISNUMBER(INDEX(상세표[시작],$P2855)),TEXT(INDEX(상세표[시작],$P2855),"yyyy-mm-dd hh:mm"),INDEX(상세표[시작],$P2855)&amp;""))</f>
        <v/>
      </c>
      <c r="F2855">
        <f>IF($P2855="","",IF(ISNUMBER(INDEX(상세표[블록종료],$P2855)),TEXT(INDEX(상세표[블록종료],$P2855),"yyyy-mm-dd hh:mm"),INDEX(상세표[블록종료],$P2855)&amp;""))</f>
        <v/>
      </c>
      <c r="G2855">
        <f>IF($P2855="","",CHOOSE(WEEKDAY(INDEX(상세표[시작],$P2855)),"일","월","화","수","목","금","토"))</f>
        <v/>
      </c>
      <c r="H2855">
        <f>IF($P2855="","",INDEX(상세표[연속 시간],$P2855))</f>
        <v/>
      </c>
      <c r="I2855">
        <f>IF($P2855="","",INDEX(상세표[기록 수],$P2855))</f>
        <v/>
      </c>
      <c r="J2855">
        <f>IF($P2855="","",INDEX(상세표[블록 06~07시],$P2855))</f>
        <v/>
      </c>
      <c r="K2855">
        <f>IF($P2855="","",INDEX(상세표[블록 07~18시],$P2855))</f>
        <v/>
      </c>
      <c r="L2855">
        <f>IF($P2855="","",INDEX(상세표[블록 18~22시],$P2855))</f>
        <v/>
      </c>
      <c r="M2855">
        <f>IF($P2855="","",INDEX(상세표[블록 22~06시],$P2855))</f>
        <v/>
      </c>
      <c r="N2855">
        <f>IF($P2855="","",INDEX(상세표[주말·휴일 포함],$P2855)&amp;"")</f>
        <v/>
      </c>
      <c r="O2855">
        <f>IF($P2855="","",INDEX(상세표[월 넘김 포함],$P2855)&amp;"")</f>
        <v/>
      </c>
      <c r="P2855" s="4">
        <f>IFERROR(MATCH(2850,상세표[연속순번],0),"")</f>
        <v/>
      </c>
    </row>
    <row r="2856">
      <c r="A2856">
        <f>IF($P2856="","",INDEX(상세표[사번],$P2856)&amp;"")</f>
        <v/>
      </c>
      <c r="B2856">
        <f>IF($P2856="","",INDEX(상세표[성명],$P2856)&amp;"")</f>
        <v/>
      </c>
      <c r="C2856">
        <f>IF($P2856="","",INDEX(상세표[부서],$P2856)&amp;"")</f>
        <v/>
      </c>
      <c r="D2856">
        <f>IF($P2856="","",INDEX(상세표[직위],$P2856)&amp;"")</f>
        <v/>
      </c>
      <c r="E2856">
        <f>IF($P2856="","",IF(ISNUMBER(INDEX(상세표[시작],$P2856)),TEXT(INDEX(상세표[시작],$P2856),"yyyy-mm-dd hh:mm"),INDEX(상세표[시작],$P2856)&amp;""))</f>
        <v/>
      </c>
      <c r="F2856">
        <f>IF($P2856="","",IF(ISNUMBER(INDEX(상세표[블록종료],$P2856)),TEXT(INDEX(상세표[블록종료],$P2856),"yyyy-mm-dd hh:mm"),INDEX(상세표[블록종료],$P2856)&amp;""))</f>
        <v/>
      </c>
      <c r="G2856">
        <f>IF($P2856="","",CHOOSE(WEEKDAY(INDEX(상세표[시작],$P2856)),"일","월","화","수","목","금","토"))</f>
        <v/>
      </c>
      <c r="H2856">
        <f>IF($P2856="","",INDEX(상세표[연속 시간],$P2856))</f>
        <v/>
      </c>
      <c r="I2856">
        <f>IF($P2856="","",INDEX(상세표[기록 수],$P2856))</f>
        <v/>
      </c>
      <c r="J2856">
        <f>IF($P2856="","",INDEX(상세표[블록 06~07시],$P2856))</f>
        <v/>
      </c>
      <c r="K2856">
        <f>IF($P2856="","",INDEX(상세표[블록 07~18시],$P2856))</f>
        <v/>
      </c>
      <c r="L2856">
        <f>IF($P2856="","",INDEX(상세표[블록 18~22시],$P2856))</f>
        <v/>
      </c>
      <c r="M2856">
        <f>IF($P2856="","",INDEX(상세표[블록 22~06시],$P2856))</f>
        <v/>
      </c>
      <c r="N2856">
        <f>IF($P2856="","",INDEX(상세표[주말·휴일 포함],$P2856)&amp;"")</f>
        <v/>
      </c>
      <c r="O2856">
        <f>IF($P2856="","",INDEX(상세표[월 넘김 포함],$P2856)&amp;"")</f>
        <v/>
      </c>
      <c r="P2856" s="4">
        <f>IFERROR(MATCH(2851,상세표[연속순번],0),"")</f>
        <v/>
      </c>
    </row>
    <row r="2857">
      <c r="A2857">
        <f>IF($P2857="","",INDEX(상세표[사번],$P2857)&amp;"")</f>
        <v/>
      </c>
      <c r="B2857">
        <f>IF($P2857="","",INDEX(상세표[성명],$P2857)&amp;"")</f>
        <v/>
      </c>
      <c r="C2857">
        <f>IF($P2857="","",INDEX(상세표[부서],$P2857)&amp;"")</f>
        <v/>
      </c>
      <c r="D2857">
        <f>IF($P2857="","",INDEX(상세표[직위],$P2857)&amp;"")</f>
        <v/>
      </c>
      <c r="E2857">
        <f>IF($P2857="","",IF(ISNUMBER(INDEX(상세표[시작],$P2857)),TEXT(INDEX(상세표[시작],$P2857),"yyyy-mm-dd hh:mm"),INDEX(상세표[시작],$P2857)&amp;""))</f>
        <v/>
      </c>
      <c r="F2857">
        <f>IF($P2857="","",IF(ISNUMBER(INDEX(상세표[블록종료],$P2857)),TEXT(INDEX(상세표[블록종료],$P2857),"yyyy-mm-dd hh:mm"),INDEX(상세표[블록종료],$P2857)&amp;""))</f>
        <v/>
      </c>
      <c r="G2857">
        <f>IF($P2857="","",CHOOSE(WEEKDAY(INDEX(상세표[시작],$P2857)),"일","월","화","수","목","금","토"))</f>
        <v/>
      </c>
      <c r="H2857">
        <f>IF($P2857="","",INDEX(상세표[연속 시간],$P2857))</f>
        <v/>
      </c>
      <c r="I2857">
        <f>IF($P2857="","",INDEX(상세표[기록 수],$P2857))</f>
        <v/>
      </c>
      <c r="J2857">
        <f>IF($P2857="","",INDEX(상세표[블록 06~07시],$P2857))</f>
        <v/>
      </c>
      <c r="K2857">
        <f>IF($P2857="","",INDEX(상세표[블록 07~18시],$P2857))</f>
        <v/>
      </c>
      <c r="L2857">
        <f>IF($P2857="","",INDEX(상세표[블록 18~22시],$P2857))</f>
        <v/>
      </c>
      <c r="M2857">
        <f>IF($P2857="","",INDEX(상세표[블록 22~06시],$P2857))</f>
        <v/>
      </c>
      <c r="N2857">
        <f>IF($P2857="","",INDEX(상세표[주말·휴일 포함],$P2857)&amp;"")</f>
        <v/>
      </c>
      <c r="O2857">
        <f>IF($P2857="","",INDEX(상세표[월 넘김 포함],$P2857)&amp;"")</f>
        <v/>
      </c>
      <c r="P2857" s="4">
        <f>IFERROR(MATCH(2852,상세표[연속순번],0),"")</f>
        <v/>
      </c>
    </row>
    <row r="2858">
      <c r="A2858">
        <f>IF($P2858="","",INDEX(상세표[사번],$P2858)&amp;"")</f>
        <v/>
      </c>
      <c r="B2858">
        <f>IF($P2858="","",INDEX(상세표[성명],$P2858)&amp;"")</f>
        <v/>
      </c>
      <c r="C2858">
        <f>IF($P2858="","",INDEX(상세표[부서],$P2858)&amp;"")</f>
        <v/>
      </c>
      <c r="D2858">
        <f>IF($P2858="","",INDEX(상세표[직위],$P2858)&amp;"")</f>
        <v/>
      </c>
      <c r="E2858">
        <f>IF($P2858="","",IF(ISNUMBER(INDEX(상세표[시작],$P2858)),TEXT(INDEX(상세표[시작],$P2858),"yyyy-mm-dd hh:mm"),INDEX(상세표[시작],$P2858)&amp;""))</f>
        <v/>
      </c>
      <c r="F2858">
        <f>IF($P2858="","",IF(ISNUMBER(INDEX(상세표[블록종료],$P2858)),TEXT(INDEX(상세표[블록종료],$P2858),"yyyy-mm-dd hh:mm"),INDEX(상세표[블록종료],$P2858)&amp;""))</f>
        <v/>
      </c>
      <c r="G2858">
        <f>IF($P2858="","",CHOOSE(WEEKDAY(INDEX(상세표[시작],$P2858)),"일","월","화","수","목","금","토"))</f>
        <v/>
      </c>
      <c r="H2858">
        <f>IF($P2858="","",INDEX(상세표[연속 시간],$P2858))</f>
        <v/>
      </c>
      <c r="I2858">
        <f>IF($P2858="","",INDEX(상세표[기록 수],$P2858))</f>
        <v/>
      </c>
      <c r="J2858">
        <f>IF($P2858="","",INDEX(상세표[블록 06~07시],$P2858))</f>
        <v/>
      </c>
      <c r="K2858">
        <f>IF($P2858="","",INDEX(상세표[블록 07~18시],$P2858))</f>
        <v/>
      </c>
      <c r="L2858">
        <f>IF($P2858="","",INDEX(상세표[블록 18~22시],$P2858))</f>
        <v/>
      </c>
      <c r="M2858">
        <f>IF($P2858="","",INDEX(상세표[블록 22~06시],$P2858))</f>
        <v/>
      </c>
      <c r="N2858">
        <f>IF($P2858="","",INDEX(상세표[주말·휴일 포함],$P2858)&amp;"")</f>
        <v/>
      </c>
      <c r="O2858">
        <f>IF($P2858="","",INDEX(상세표[월 넘김 포함],$P2858)&amp;"")</f>
        <v/>
      </c>
      <c r="P2858" s="4">
        <f>IFERROR(MATCH(2853,상세표[연속순번],0),"")</f>
        <v/>
      </c>
    </row>
    <row r="2859">
      <c r="A2859">
        <f>IF($P2859="","",INDEX(상세표[사번],$P2859)&amp;"")</f>
        <v/>
      </c>
      <c r="B2859">
        <f>IF($P2859="","",INDEX(상세표[성명],$P2859)&amp;"")</f>
        <v/>
      </c>
      <c r="C2859">
        <f>IF($P2859="","",INDEX(상세표[부서],$P2859)&amp;"")</f>
        <v/>
      </c>
      <c r="D2859">
        <f>IF($P2859="","",INDEX(상세표[직위],$P2859)&amp;"")</f>
        <v/>
      </c>
      <c r="E2859">
        <f>IF($P2859="","",IF(ISNUMBER(INDEX(상세표[시작],$P2859)),TEXT(INDEX(상세표[시작],$P2859),"yyyy-mm-dd hh:mm"),INDEX(상세표[시작],$P2859)&amp;""))</f>
        <v/>
      </c>
      <c r="F2859">
        <f>IF($P2859="","",IF(ISNUMBER(INDEX(상세표[블록종료],$P2859)),TEXT(INDEX(상세표[블록종료],$P2859),"yyyy-mm-dd hh:mm"),INDEX(상세표[블록종료],$P2859)&amp;""))</f>
        <v/>
      </c>
      <c r="G2859">
        <f>IF($P2859="","",CHOOSE(WEEKDAY(INDEX(상세표[시작],$P2859)),"일","월","화","수","목","금","토"))</f>
        <v/>
      </c>
      <c r="H2859">
        <f>IF($P2859="","",INDEX(상세표[연속 시간],$P2859))</f>
        <v/>
      </c>
      <c r="I2859">
        <f>IF($P2859="","",INDEX(상세표[기록 수],$P2859))</f>
        <v/>
      </c>
      <c r="J2859">
        <f>IF($P2859="","",INDEX(상세표[블록 06~07시],$P2859))</f>
        <v/>
      </c>
      <c r="K2859">
        <f>IF($P2859="","",INDEX(상세표[블록 07~18시],$P2859))</f>
        <v/>
      </c>
      <c r="L2859">
        <f>IF($P2859="","",INDEX(상세표[블록 18~22시],$P2859))</f>
        <v/>
      </c>
      <c r="M2859">
        <f>IF($P2859="","",INDEX(상세표[블록 22~06시],$P2859))</f>
        <v/>
      </c>
      <c r="N2859">
        <f>IF($P2859="","",INDEX(상세표[주말·휴일 포함],$P2859)&amp;"")</f>
        <v/>
      </c>
      <c r="O2859">
        <f>IF($P2859="","",INDEX(상세표[월 넘김 포함],$P2859)&amp;"")</f>
        <v/>
      </c>
      <c r="P2859" s="4">
        <f>IFERROR(MATCH(2854,상세표[연속순번],0),"")</f>
        <v/>
      </c>
    </row>
    <row r="2860">
      <c r="A2860">
        <f>IF($P2860="","",INDEX(상세표[사번],$P2860)&amp;"")</f>
        <v/>
      </c>
      <c r="B2860">
        <f>IF($P2860="","",INDEX(상세표[성명],$P2860)&amp;"")</f>
        <v/>
      </c>
      <c r="C2860">
        <f>IF($P2860="","",INDEX(상세표[부서],$P2860)&amp;"")</f>
        <v/>
      </c>
      <c r="D2860">
        <f>IF($P2860="","",INDEX(상세표[직위],$P2860)&amp;"")</f>
        <v/>
      </c>
      <c r="E2860">
        <f>IF($P2860="","",IF(ISNUMBER(INDEX(상세표[시작],$P2860)),TEXT(INDEX(상세표[시작],$P2860),"yyyy-mm-dd hh:mm"),INDEX(상세표[시작],$P2860)&amp;""))</f>
        <v/>
      </c>
      <c r="F2860">
        <f>IF($P2860="","",IF(ISNUMBER(INDEX(상세표[블록종료],$P2860)),TEXT(INDEX(상세표[블록종료],$P2860),"yyyy-mm-dd hh:mm"),INDEX(상세표[블록종료],$P2860)&amp;""))</f>
        <v/>
      </c>
      <c r="G2860">
        <f>IF($P2860="","",CHOOSE(WEEKDAY(INDEX(상세표[시작],$P2860)),"일","월","화","수","목","금","토"))</f>
        <v/>
      </c>
      <c r="H2860">
        <f>IF($P2860="","",INDEX(상세표[연속 시간],$P2860))</f>
        <v/>
      </c>
      <c r="I2860">
        <f>IF($P2860="","",INDEX(상세표[기록 수],$P2860))</f>
        <v/>
      </c>
      <c r="J2860">
        <f>IF($P2860="","",INDEX(상세표[블록 06~07시],$P2860))</f>
        <v/>
      </c>
      <c r="K2860">
        <f>IF($P2860="","",INDEX(상세표[블록 07~18시],$P2860))</f>
        <v/>
      </c>
      <c r="L2860">
        <f>IF($P2860="","",INDEX(상세표[블록 18~22시],$P2860))</f>
        <v/>
      </c>
      <c r="M2860">
        <f>IF($P2860="","",INDEX(상세표[블록 22~06시],$P2860))</f>
        <v/>
      </c>
      <c r="N2860">
        <f>IF($P2860="","",INDEX(상세표[주말·휴일 포함],$P2860)&amp;"")</f>
        <v/>
      </c>
      <c r="O2860">
        <f>IF($P2860="","",INDEX(상세표[월 넘김 포함],$P2860)&amp;"")</f>
        <v/>
      </c>
      <c r="P2860" s="4">
        <f>IFERROR(MATCH(2855,상세표[연속순번],0),"")</f>
        <v/>
      </c>
    </row>
    <row r="2861">
      <c r="A2861">
        <f>IF($P2861="","",INDEX(상세표[사번],$P2861)&amp;"")</f>
        <v/>
      </c>
      <c r="B2861">
        <f>IF($P2861="","",INDEX(상세표[성명],$P2861)&amp;"")</f>
        <v/>
      </c>
      <c r="C2861">
        <f>IF($P2861="","",INDEX(상세표[부서],$P2861)&amp;"")</f>
        <v/>
      </c>
      <c r="D2861">
        <f>IF($P2861="","",INDEX(상세표[직위],$P2861)&amp;"")</f>
        <v/>
      </c>
      <c r="E2861">
        <f>IF($P2861="","",IF(ISNUMBER(INDEX(상세표[시작],$P2861)),TEXT(INDEX(상세표[시작],$P2861),"yyyy-mm-dd hh:mm"),INDEX(상세표[시작],$P2861)&amp;""))</f>
        <v/>
      </c>
      <c r="F2861">
        <f>IF($P2861="","",IF(ISNUMBER(INDEX(상세표[블록종료],$P2861)),TEXT(INDEX(상세표[블록종료],$P2861),"yyyy-mm-dd hh:mm"),INDEX(상세표[블록종료],$P2861)&amp;""))</f>
        <v/>
      </c>
      <c r="G2861">
        <f>IF($P2861="","",CHOOSE(WEEKDAY(INDEX(상세표[시작],$P2861)),"일","월","화","수","목","금","토"))</f>
        <v/>
      </c>
      <c r="H2861">
        <f>IF($P2861="","",INDEX(상세표[연속 시간],$P2861))</f>
        <v/>
      </c>
      <c r="I2861">
        <f>IF($P2861="","",INDEX(상세표[기록 수],$P2861))</f>
        <v/>
      </c>
      <c r="J2861">
        <f>IF($P2861="","",INDEX(상세표[블록 06~07시],$P2861))</f>
        <v/>
      </c>
      <c r="K2861">
        <f>IF($P2861="","",INDEX(상세표[블록 07~18시],$P2861))</f>
        <v/>
      </c>
      <c r="L2861">
        <f>IF($P2861="","",INDEX(상세표[블록 18~22시],$P2861))</f>
        <v/>
      </c>
      <c r="M2861">
        <f>IF($P2861="","",INDEX(상세표[블록 22~06시],$P2861))</f>
        <v/>
      </c>
      <c r="N2861">
        <f>IF($P2861="","",INDEX(상세표[주말·휴일 포함],$P2861)&amp;"")</f>
        <v/>
      </c>
      <c r="O2861">
        <f>IF($P2861="","",INDEX(상세표[월 넘김 포함],$P2861)&amp;"")</f>
        <v/>
      </c>
      <c r="P2861" s="4">
        <f>IFERROR(MATCH(2856,상세표[연속순번],0),"")</f>
        <v/>
      </c>
    </row>
    <row r="2862">
      <c r="A2862">
        <f>IF($P2862="","",INDEX(상세표[사번],$P2862)&amp;"")</f>
        <v/>
      </c>
      <c r="B2862">
        <f>IF($P2862="","",INDEX(상세표[성명],$P2862)&amp;"")</f>
        <v/>
      </c>
      <c r="C2862">
        <f>IF($P2862="","",INDEX(상세표[부서],$P2862)&amp;"")</f>
        <v/>
      </c>
      <c r="D2862">
        <f>IF($P2862="","",INDEX(상세표[직위],$P2862)&amp;"")</f>
        <v/>
      </c>
      <c r="E2862">
        <f>IF($P2862="","",IF(ISNUMBER(INDEX(상세표[시작],$P2862)),TEXT(INDEX(상세표[시작],$P2862),"yyyy-mm-dd hh:mm"),INDEX(상세표[시작],$P2862)&amp;""))</f>
        <v/>
      </c>
      <c r="F2862">
        <f>IF($P2862="","",IF(ISNUMBER(INDEX(상세표[블록종료],$P2862)),TEXT(INDEX(상세표[블록종료],$P2862),"yyyy-mm-dd hh:mm"),INDEX(상세표[블록종료],$P2862)&amp;""))</f>
        <v/>
      </c>
      <c r="G2862">
        <f>IF($P2862="","",CHOOSE(WEEKDAY(INDEX(상세표[시작],$P2862)),"일","월","화","수","목","금","토"))</f>
        <v/>
      </c>
      <c r="H2862">
        <f>IF($P2862="","",INDEX(상세표[연속 시간],$P2862))</f>
        <v/>
      </c>
      <c r="I2862">
        <f>IF($P2862="","",INDEX(상세표[기록 수],$P2862))</f>
        <v/>
      </c>
      <c r="J2862">
        <f>IF($P2862="","",INDEX(상세표[블록 06~07시],$P2862))</f>
        <v/>
      </c>
      <c r="K2862">
        <f>IF($P2862="","",INDEX(상세표[블록 07~18시],$P2862))</f>
        <v/>
      </c>
      <c r="L2862">
        <f>IF($P2862="","",INDEX(상세표[블록 18~22시],$P2862))</f>
        <v/>
      </c>
      <c r="M2862">
        <f>IF($P2862="","",INDEX(상세표[블록 22~06시],$P2862))</f>
        <v/>
      </c>
      <c r="N2862">
        <f>IF($P2862="","",INDEX(상세표[주말·휴일 포함],$P2862)&amp;"")</f>
        <v/>
      </c>
      <c r="O2862">
        <f>IF($P2862="","",INDEX(상세표[월 넘김 포함],$P2862)&amp;"")</f>
        <v/>
      </c>
      <c r="P2862" s="4">
        <f>IFERROR(MATCH(2857,상세표[연속순번],0),"")</f>
        <v/>
      </c>
    </row>
    <row r="2863">
      <c r="A2863">
        <f>IF($P2863="","",INDEX(상세표[사번],$P2863)&amp;"")</f>
        <v/>
      </c>
      <c r="B2863">
        <f>IF($P2863="","",INDEX(상세표[성명],$P2863)&amp;"")</f>
        <v/>
      </c>
      <c r="C2863">
        <f>IF($P2863="","",INDEX(상세표[부서],$P2863)&amp;"")</f>
        <v/>
      </c>
      <c r="D2863">
        <f>IF($P2863="","",INDEX(상세표[직위],$P2863)&amp;"")</f>
        <v/>
      </c>
      <c r="E2863">
        <f>IF($P2863="","",IF(ISNUMBER(INDEX(상세표[시작],$P2863)),TEXT(INDEX(상세표[시작],$P2863),"yyyy-mm-dd hh:mm"),INDEX(상세표[시작],$P2863)&amp;""))</f>
        <v/>
      </c>
      <c r="F2863">
        <f>IF($P2863="","",IF(ISNUMBER(INDEX(상세표[블록종료],$P2863)),TEXT(INDEX(상세표[블록종료],$P2863),"yyyy-mm-dd hh:mm"),INDEX(상세표[블록종료],$P2863)&amp;""))</f>
        <v/>
      </c>
      <c r="G2863">
        <f>IF($P2863="","",CHOOSE(WEEKDAY(INDEX(상세표[시작],$P2863)),"일","월","화","수","목","금","토"))</f>
        <v/>
      </c>
      <c r="H2863">
        <f>IF($P2863="","",INDEX(상세표[연속 시간],$P2863))</f>
        <v/>
      </c>
      <c r="I2863">
        <f>IF($P2863="","",INDEX(상세표[기록 수],$P2863))</f>
        <v/>
      </c>
      <c r="J2863">
        <f>IF($P2863="","",INDEX(상세표[블록 06~07시],$P2863))</f>
        <v/>
      </c>
      <c r="K2863">
        <f>IF($P2863="","",INDEX(상세표[블록 07~18시],$P2863))</f>
        <v/>
      </c>
      <c r="L2863">
        <f>IF($P2863="","",INDEX(상세표[블록 18~22시],$P2863))</f>
        <v/>
      </c>
      <c r="M2863">
        <f>IF($P2863="","",INDEX(상세표[블록 22~06시],$P2863))</f>
        <v/>
      </c>
      <c r="N2863">
        <f>IF($P2863="","",INDEX(상세표[주말·휴일 포함],$P2863)&amp;"")</f>
        <v/>
      </c>
      <c r="O2863">
        <f>IF($P2863="","",INDEX(상세표[월 넘김 포함],$P2863)&amp;"")</f>
        <v/>
      </c>
      <c r="P2863" s="4">
        <f>IFERROR(MATCH(2858,상세표[연속순번],0),"")</f>
        <v/>
      </c>
    </row>
    <row r="2864">
      <c r="A2864">
        <f>IF($P2864="","",INDEX(상세표[사번],$P2864)&amp;"")</f>
        <v/>
      </c>
      <c r="B2864">
        <f>IF($P2864="","",INDEX(상세표[성명],$P2864)&amp;"")</f>
        <v/>
      </c>
      <c r="C2864">
        <f>IF($P2864="","",INDEX(상세표[부서],$P2864)&amp;"")</f>
        <v/>
      </c>
      <c r="D2864">
        <f>IF($P2864="","",INDEX(상세표[직위],$P2864)&amp;"")</f>
        <v/>
      </c>
      <c r="E2864">
        <f>IF($P2864="","",IF(ISNUMBER(INDEX(상세표[시작],$P2864)),TEXT(INDEX(상세표[시작],$P2864),"yyyy-mm-dd hh:mm"),INDEX(상세표[시작],$P2864)&amp;""))</f>
        <v/>
      </c>
      <c r="F2864">
        <f>IF($P2864="","",IF(ISNUMBER(INDEX(상세표[블록종료],$P2864)),TEXT(INDEX(상세표[블록종료],$P2864),"yyyy-mm-dd hh:mm"),INDEX(상세표[블록종료],$P2864)&amp;""))</f>
        <v/>
      </c>
      <c r="G2864">
        <f>IF($P2864="","",CHOOSE(WEEKDAY(INDEX(상세표[시작],$P2864)),"일","월","화","수","목","금","토"))</f>
        <v/>
      </c>
      <c r="H2864">
        <f>IF($P2864="","",INDEX(상세표[연속 시간],$P2864))</f>
        <v/>
      </c>
      <c r="I2864">
        <f>IF($P2864="","",INDEX(상세표[기록 수],$P2864))</f>
        <v/>
      </c>
      <c r="J2864">
        <f>IF($P2864="","",INDEX(상세표[블록 06~07시],$P2864))</f>
        <v/>
      </c>
      <c r="K2864">
        <f>IF($P2864="","",INDEX(상세표[블록 07~18시],$P2864))</f>
        <v/>
      </c>
      <c r="L2864">
        <f>IF($P2864="","",INDEX(상세표[블록 18~22시],$P2864))</f>
        <v/>
      </c>
      <c r="M2864">
        <f>IF($P2864="","",INDEX(상세표[블록 22~06시],$P2864))</f>
        <v/>
      </c>
      <c r="N2864">
        <f>IF($P2864="","",INDEX(상세표[주말·휴일 포함],$P2864)&amp;"")</f>
        <v/>
      </c>
      <c r="O2864">
        <f>IF($P2864="","",INDEX(상세표[월 넘김 포함],$P2864)&amp;"")</f>
        <v/>
      </c>
      <c r="P2864" s="4">
        <f>IFERROR(MATCH(2859,상세표[연속순번],0),"")</f>
        <v/>
      </c>
    </row>
    <row r="2865">
      <c r="A2865">
        <f>IF($P2865="","",INDEX(상세표[사번],$P2865)&amp;"")</f>
        <v/>
      </c>
      <c r="B2865">
        <f>IF($P2865="","",INDEX(상세표[성명],$P2865)&amp;"")</f>
        <v/>
      </c>
      <c r="C2865">
        <f>IF($P2865="","",INDEX(상세표[부서],$P2865)&amp;"")</f>
        <v/>
      </c>
      <c r="D2865">
        <f>IF($P2865="","",INDEX(상세표[직위],$P2865)&amp;"")</f>
        <v/>
      </c>
      <c r="E2865">
        <f>IF($P2865="","",IF(ISNUMBER(INDEX(상세표[시작],$P2865)),TEXT(INDEX(상세표[시작],$P2865),"yyyy-mm-dd hh:mm"),INDEX(상세표[시작],$P2865)&amp;""))</f>
        <v/>
      </c>
      <c r="F2865">
        <f>IF($P2865="","",IF(ISNUMBER(INDEX(상세표[블록종료],$P2865)),TEXT(INDEX(상세표[블록종료],$P2865),"yyyy-mm-dd hh:mm"),INDEX(상세표[블록종료],$P2865)&amp;""))</f>
        <v/>
      </c>
      <c r="G2865">
        <f>IF($P2865="","",CHOOSE(WEEKDAY(INDEX(상세표[시작],$P2865)),"일","월","화","수","목","금","토"))</f>
        <v/>
      </c>
      <c r="H2865">
        <f>IF($P2865="","",INDEX(상세표[연속 시간],$P2865))</f>
        <v/>
      </c>
      <c r="I2865">
        <f>IF($P2865="","",INDEX(상세표[기록 수],$P2865))</f>
        <v/>
      </c>
      <c r="J2865">
        <f>IF($P2865="","",INDEX(상세표[블록 06~07시],$P2865))</f>
        <v/>
      </c>
      <c r="K2865">
        <f>IF($P2865="","",INDEX(상세표[블록 07~18시],$P2865))</f>
        <v/>
      </c>
      <c r="L2865">
        <f>IF($P2865="","",INDEX(상세표[블록 18~22시],$P2865))</f>
        <v/>
      </c>
      <c r="M2865">
        <f>IF($P2865="","",INDEX(상세표[블록 22~06시],$P2865))</f>
        <v/>
      </c>
      <c r="N2865">
        <f>IF($P2865="","",INDEX(상세표[주말·휴일 포함],$P2865)&amp;"")</f>
        <v/>
      </c>
      <c r="O2865">
        <f>IF($P2865="","",INDEX(상세표[월 넘김 포함],$P2865)&amp;"")</f>
        <v/>
      </c>
      <c r="P2865" s="4">
        <f>IFERROR(MATCH(2860,상세표[연속순번],0),"")</f>
        <v/>
      </c>
    </row>
    <row r="2866">
      <c r="A2866">
        <f>IF($P2866="","",INDEX(상세표[사번],$P2866)&amp;"")</f>
        <v/>
      </c>
      <c r="B2866">
        <f>IF($P2866="","",INDEX(상세표[성명],$P2866)&amp;"")</f>
        <v/>
      </c>
      <c r="C2866">
        <f>IF($P2866="","",INDEX(상세표[부서],$P2866)&amp;"")</f>
        <v/>
      </c>
      <c r="D2866">
        <f>IF($P2866="","",INDEX(상세표[직위],$P2866)&amp;"")</f>
        <v/>
      </c>
      <c r="E2866">
        <f>IF($P2866="","",IF(ISNUMBER(INDEX(상세표[시작],$P2866)),TEXT(INDEX(상세표[시작],$P2866),"yyyy-mm-dd hh:mm"),INDEX(상세표[시작],$P2866)&amp;""))</f>
        <v/>
      </c>
      <c r="F2866">
        <f>IF($P2866="","",IF(ISNUMBER(INDEX(상세표[블록종료],$P2866)),TEXT(INDEX(상세표[블록종료],$P2866),"yyyy-mm-dd hh:mm"),INDEX(상세표[블록종료],$P2866)&amp;""))</f>
        <v/>
      </c>
      <c r="G2866">
        <f>IF($P2866="","",CHOOSE(WEEKDAY(INDEX(상세표[시작],$P2866)),"일","월","화","수","목","금","토"))</f>
        <v/>
      </c>
      <c r="H2866">
        <f>IF($P2866="","",INDEX(상세표[연속 시간],$P2866))</f>
        <v/>
      </c>
      <c r="I2866">
        <f>IF($P2866="","",INDEX(상세표[기록 수],$P2866))</f>
        <v/>
      </c>
      <c r="J2866">
        <f>IF($P2866="","",INDEX(상세표[블록 06~07시],$P2866))</f>
        <v/>
      </c>
      <c r="K2866">
        <f>IF($P2866="","",INDEX(상세표[블록 07~18시],$P2866))</f>
        <v/>
      </c>
      <c r="L2866">
        <f>IF($P2866="","",INDEX(상세표[블록 18~22시],$P2866))</f>
        <v/>
      </c>
      <c r="M2866">
        <f>IF($P2866="","",INDEX(상세표[블록 22~06시],$P2866))</f>
        <v/>
      </c>
      <c r="N2866">
        <f>IF($P2866="","",INDEX(상세표[주말·휴일 포함],$P2866)&amp;"")</f>
        <v/>
      </c>
      <c r="O2866">
        <f>IF($P2866="","",INDEX(상세표[월 넘김 포함],$P2866)&amp;"")</f>
        <v/>
      </c>
      <c r="P2866" s="4">
        <f>IFERROR(MATCH(2861,상세표[연속순번],0),"")</f>
        <v/>
      </c>
    </row>
    <row r="2867">
      <c r="A2867">
        <f>IF($P2867="","",INDEX(상세표[사번],$P2867)&amp;"")</f>
        <v/>
      </c>
      <c r="B2867">
        <f>IF($P2867="","",INDEX(상세표[성명],$P2867)&amp;"")</f>
        <v/>
      </c>
      <c r="C2867">
        <f>IF($P2867="","",INDEX(상세표[부서],$P2867)&amp;"")</f>
        <v/>
      </c>
      <c r="D2867">
        <f>IF($P2867="","",INDEX(상세표[직위],$P2867)&amp;"")</f>
        <v/>
      </c>
      <c r="E2867">
        <f>IF($P2867="","",IF(ISNUMBER(INDEX(상세표[시작],$P2867)),TEXT(INDEX(상세표[시작],$P2867),"yyyy-mm-dd hh:mm"),INDEX(상세표[시작],$P2867)&amp;""))</f>
        <v/>
      </c>
      <c r="F2867">
        <f>IF($P2867="","",IF(ISNUMBER(INDEX(상세표[블록종료],$P2867)),TEXT(INDEX(상세표[블록종료],$P2867),"yyyy-mm-dd hh:mm"),INDEX(상세표[블록종료],$P2867)&amp;""))</f>
        <v/>
      </c>
      <c r="G2867">
        <f>IF($P2867="","",CHOOSE(WEEKDAY(INDEX(상세표[시작],$P2867)),"일","월","화","수","목","금","토"))</f>
        <v/>
      </c>
      <c r="H2867">
        <f>IF($P2867="","",INDEX(상세표[연속 시간],$P2867))</f>
        <v/>
      </c>
      <c r="I2867">
        <f>IF($P2867="","",INDEX(상세표[기록 수],$P2867))</f>
        <v/>
      </c>
      <c r="J2867">
        <f>IF($P2867="","",INDEX(상세표[블록 06~07시],$P2867))</f>
        <v/>
      </c>
      <c r="K2867">
        <f>IF($P2867="","",INDEX(상세표[블록 07~18시],$P2867))</f>
        <v/>
      </c>
      <c r="L2867">
        <f>IF($P2867="","",INDEX(상세표[블록 18~22시],$P2867))</f>
        <v/>
      </c>
      <c r="M2867">
        <f>IF($P2867="","",INDEX(상세표[블록 22~06시],$P2867))</f>
        <v/>
      </c>
      <c r="N2867">
        <f>IF($P2867="","",INDEX(상세표[주말·휴일 포함],$P2867)&amp;"")</f>
        <v/>
      </c>
      <c r="O2867">
        <f>IF($P2867="","",INDEX(상세표[월 넘김 포함],$P2867)&amp;"")</f>
        <v/>
      </c>
      <c r="P2867" s="4">
        <f>IFERROR(MATCH(2862,상세표[연속순번],0),"")</f>
        <v/>
      </c>
    </row>
    <row r="2868">
      <c r="A2868">
        <f>IF($P2868="","",INDEX(상세표[사번],$P2868)&amp;"")</f>
        <v/>
      </c>
      <c r="B2868">
        <f>IF($P2868="","",INDEX(상세표[성명],$P2868)&amp;"")</f>
        <v/>
      </c>
      <c r="C2868">
        <f>IF($P2868="","",INDEX(상세표[부서],$P2868)&amp;"")</f>
        <v/>
      </c>
      <c r="D2868">
        <f>IF($P2868="","",INDEX(상세표[직위],$P2868)&amp;"")</f>
        <v/>
      </c>
      <c r="E2868">
        <f>IF($P2868="","",IF(ISNUMBER(INDEX(상세표[시작],$P2868)),TEXT(INDEX(상세표[시작],$P2868),"yyyy-mm-dd hh:mm"),INDEX(상세표[시작],$P2868)&amp;""))</f>
        <v/>
      </c>
      <c r="F2868">
        <f>IF($P2868="","",IF(ISNUMBER(INDEX(상세표[블록종료],$P2868)),TEXT(INDEX(상세표[블록종료],$P2868),"yyyy-mm-dd hh:mm"),INDEX(상세표[블록종료],$P2868)&amp;""))</f>
        <v/>
      </c>
      <c r="G2868">
        <f>IF($P2868="","",CHOOSE(WEEKDAY(INDEX(상세표[시작],$P2868)),"일","월","화","수","목","금","토"))</f>
        <v/>
      </c>
      <c r="H2868">
        <f>IF($P2868="","",INDEX(상세표[연속 시간],$P2868))</f>
        <v/>
      </c>
      <c r="I2868">
        <f>IF($P2868="","",INDEX(상세표[기록 수],$P2868))</f>
        <v/>
      </c>
      <c r="J2868">
        <f>IF($P2868="","",INDEX(상세표[블록 06~07시],$P2868))</f>
        <v/>
      </c>
      <c r="K2868">
        <f>IF($P2868="","",INDEX(상세표[블록 07~18시],$P2868))</f>
        <v/>
      </c>
      <c r="L2868">
        <f>IF($P2868="","",INDEX(상세표[블록 18~22시],$P2868))</f>
        <v/>
      </c>
      <c r="M2868">
        <f>IF($P2868="","",INDEX(상세표[블록 22~06시],$P2868))</f>
        <v/>
      </c>
      <c r="N2868">
        <f>IF($P2868="","",INDEX(상세표[주말·휴일 포함],$P2868)&amp;"")</f>
        <v/>
      </c>
      <c r="O2868">
        <f>IF($P2868="","",INDEX(상세표[월 넘김 포함],$P2868)&amp;"")</f>
        <v/>
      </c>
      <c r="P2868" s="4">
        <f>IFERROR(MATCH(2863,상세표[연속순번],0),"")</f>
        <v/>
      </c>
    </row>
    <row r="2869">
      <c r="A2869">
        <f>IF($P2869="","",INDEX(상세표[사번],$P2869)&amp;"")</f>
        <v/>
      </c>
      <c r="B2869">
        <f>IF($P2869="","",INDEX(상세표[성명],$P2869)&amp;"")</f>
        <v/>
      </c>
      <c r="C2869">
        <f>IF($P2869="","",INDEX(상세표[부서],$P2869)&amp;"")</f>
        <v/>
      </c>
      <c r="D2869">
        <f>IF($P2869="","",INDEX(상세표[직위],$P2869)&amp;"")</f>
        <v/>
      </c>
      <c r="E2869">
        <f>IF($P2869="","",IF(ISNUMBER(INDEX(상세표[시작],$P2869)),TEXT(INDEX(상세표[시작],$P2869),"yyyy-mm-dd hh:mm"),INDEX(상세표[시작],$P2869)&amp;""))</f>
        <v/>
      </c>
      <c r="F2869">
        <f>IF($P2869="","",IF(ISNUMBER(INDEX(상세표[블록종료],$P2869)),TEXT(INDEX(상세표[블록종료],$P2869),"yyyy-mm-dd hh:mm"),INDEX(상세표[블록종료],$P2869)&amp;""))</f>
        <v/>
      </c>
      <c r="G2869">
        <f>IF($P2869="","",CHOOSE(WEEKDAY(INDEX(상세표[시작],$P2869)),"일","월","화","수","목","금","토"))</f>
        <v/>
      </c>
      <c r="H2869">
        <f>IF($P2869="","",INDEX(상세표[연속 시간],$P2869))</f>
        <v/>
      </c>
      <c r="I2869">
        <f>IF($P2869="","",INDEX(상세표[기록 수],$P2869))</f>
        <v/>
      </c>
      <c r="J2869">
        <f>IF($P2869="","",INDEX(상세표[블록 06~07시],$P2869))</f>
        <v/>
      </c>
      <c r="K2869">
        <f>IF($P2869="","",INDEX(상세표[블록 07~18시],$P2869))</f>
        <v/>
      </c>
      <c r="L2869">
        <f>IF($P2869="","",INDEX(상세표[블록 18~22시],$P2869))</f>
        <v/>
      </c>
      <c r="M2869">
        <f>IF($P2869="","",INDEX(상세표[블록 22~06시],$P2869))</f>
        <v/>
      </c>
      <c r="N2869">
        <f>IF($P2869="","",INDEX(상세표[주말·휴일 포함],$P2869)&amp;"")</f>
        <v/>
      </c>
      <c r="O2869">
        <f>IF($P2869="","",INDEX(상세표[월 넘김 포함],$P2869)&amp;"")</f>
        <v/>
      </c>
      <c r="P2869" s="4">
        <f>IFERROR(MATCH(2864,상세표[연속순번],0),"")</f>
        <v/>
      </c>
    </row>
    <row r="2870">
      <c r="A2870">
        <f>IF($P2870="","",INDEX(상세표[사번],$P2870)&amp;"")</f>
        <v/>
      </c>
      <c r="B2870">
        <f>IF($P2870="","",INDEX(상세표[성명],$P2870)&amp;"")</f>
        <v/>
      </c>
      <c r="C2870">
        <f>IF($P2870="","",INDEX(상세표[부서],$P2870)&amp;"")</f>
        <v/>
      </c>
      <c r="D2870">
        <f>IF($P2870="","",INDEX(상세표[직위],$P2870)&amp;"")</f>
        <v/>
      </c>
      <c r="E2870">
        <f>IF($P2870="","",IF(ISNUMBER(INDEX(상세표[시작],$P2870)),TEXT(INDEX(상세표[시작],$P2870),"yyyy-mm-dd hh:mm"),INDEX(상세표[시작],$P2870)&amp;""))</f>
        <v/>
      </c>
      <c r="F2870">
        <f>IF($P2870="","",IF(ISNUMBER(INDEX(상세표[블록종료],$P2870)),TEXT(INDEX(상세표[블록종료],$P2870),"yyyy-mm-dd hh:mm"),INDEX(상세표[블록종료],$P2870)&amp;""))</f>
        <v/>
      </c>
      <c r="G2870">
        <f>IF($P2870="","",CHOOSE(WEEKDAY(INDEX(상세표[시작],$P2870)),"일","월","화","수","목","금","토"))</f>
        <v/>
      </c>
      <c r="H2870">
        <f>IF($P2870="","",INDEX(상세표[연속 시간],$P2870))</f>
        <v/>
      </c>
      <c r="I2870">
        <f>IF($P2870="","",INDEX(상세표[기록 수],$P2870))</f>
        <v/>
      </c>
      <c r="J2870">
        <f>IF($P2870="","",INDEX(상세표[블록 06~07시],$P2870))</f>
        <v/>
      </c>
      <c r="K2870">
        <f>IF($P2870="","",INDEX(상세표[블록 07~18시],$P2870))</f>
        <v/>
      </c>
      <c r="L2870">
        <f>IF($P2870="","",INDEX(상세표[블록 18~22시],$P2870))</f>
        <v/>
      </c>
      <c r="M2870">
        <f>IF($P2870="","",INDEX(상세표[블록 22~06시],$P2870))</f>
        <v/>
      </c>
      <c r="N2870">
        <f>IF($P2870="","",INDEX(상세표[주말·휴일 포함],$P2870)&amp;"")</f>
        <v/>
      </c>
      <c r="O2870">
        <f>IF($P2870="","",INDEX(상세표[월 넘김 포함],$P2870)&amp;"")</f>
        <v/>
      </c>
      <c r="P2870" s="4">
        <f>IFERROR(MATCH(2865,상세표[연속순번],0),"")</f>
        <v/>
      </c>
    </row>
    <row r="2871">
      <c r="A2871">
        <f>IF($P2871="","",INDEX(상세표[사번],$P2871)&amp;"")</f>
        <v/>
      </c>
      <c r="B2871">
        <f>IF($P2871="","",INDEX(상세표[성명],$P2871)&amp;"")</f>
        <v/>
      </c>
      <c r="C2871">
        <f>IF($P2871="","",INDEX(상세표[부서],$P2871)&amp;"")</f>
        <v/>
      </c>
      <c r="D2871">
        <f>IF($P2871="","",INDEX(상세표[직위],$P2871)&amp;"")</f>
        <v/>
      </c>
      <c r="E2871">
        <f>IF($P2871="","",IF(ISNUMBER(INDEX(상세표[시작],$P2871)),TEXT(INDEX(상세표[시작],$P2871),"yyyy-mm-dd hh:mm"),INDEX(상세표[시작],$P2871)&amp;""))</f>
        <v/>
      </c>
      <c r="F2871">
        <f>IF($P2871="","",IF(ISNUMBER(INDEX(상세표[블록종료],$P2871)),TEXT(INDEX(상세표[블록종료],$P2871),"yyyy-mm-dd hh:mm"),INDEX(상세표[블록종료],$P2871)&amp;""))</f>
        <v/>
      </c>
      <c r="G2871">
        <f>IF($P2871="","",CHOOSE(WEEKDAY(INDEX(상세표[시작],$P2871)),"일","월","화","수","목","금","토"))</f>
        <v/>
      </c>
      <c r="H2871">
        <f>IF($P2871="","",INDEX(상세표[연속 시간],$P2871))</f>
        <v/>
      </c>
      <c r="I2871">
        <f>IF($P2871="","",INDEX(상세표[기록 수],$P2871))</f>
        <v/>
      </c>
      <c r="J2871">
        <f>IF($P2871="","",INDEX(상세표[블록 06~07시],$P2871))</f>
        <v/>
      </c>
      <c r="K2871">
        <f>IF($P2871="","",INDEX(상세표[블록 07~18시],$P2871))</f>
        <v/>
      </c>
      <c r="L2871">
        <f>IF($P2871="","",INDEX(상세표[블록 18~22시],$P2871))</f>
        <v/>
      </c>
      <c r="M2871">
        <f>IF($P2871="","",INDEX(상세표[블록 22~06시],$P2871))</f>
        <v/>
      </c>
      <c r="N2871">
        <f>IF($P2871="","",INDEX(상세표[주말·휴일 포함],$P2871)&amp;"")</f>
        <v/>
      </c>
      <c r="O2871">
        <f>IF($P2871="","",INDEX(상세표[월 넘김 포함],$P2871)&amp;"")</f>
        <v/>
      </c>
      <c r="P2871" s="4">
        <f>IFERROR(MATCH(2866,상세표[연속순번],0),"")</f>
        <v/>
      </c>
    </row>
    <row r="2872">
      <c r="A2872">
        <f>IF($P2872="","",INDEX(상세표[사번],$P2872)&amp;"")</f>
        <v/>
      </c>
      <c r="B2872">
        <f>IF($P2872="","",INDEX(상세표[성명],$P2872)&amp;"")</f>
        <v/>
      </c>
      <c r="C2872">
        <f>IF($P2872="","",INDEX(상세표[부서],$P2872)&amp;"")</f>
        <v/>
      </c>
      <c r="D2872">
        <f>IF($P2872="","",INDEX(상세표[직위],$P2872)&amp;"")</f>
        <v/>
      </c>
      <c r="E2872">
        <f>IF($P2872="","",IF(ISNUMBER(INDEX(상세표[시작],$P2872)),TEXT(INDEX(상세표[시작],$P2872),"yyyy-mm-dd hh:mm"),INDEX(상세표[시작],$P2872)&amp;""))</f>
        <v/>
      </c>
      <c r="F2872">
        <f>IF($P2872="","",IF(ISNUMBER(INDEX(상세표[블록종료],$P2872)),TEXT(INDEX(상세표[블록종료],$P2872),"yyyy-mm-dd hh:mm"),INDEX(상세표[블록종료],$P2872)&amp;""))</f>
        <v/>
      </c>
      <c r="G2872">
        <f>IF($P2872="","",CHOOSE(WEEKDAY(INDEX(상세표[시작],$P2872)),"일","월","화","수","목","금","토"))</f>
        <v/>
      </c>
      <c r="H2872">
        <f>IF($P2872="","",INDEX(상세표[연속 시간],$P2872))</f>
        <v/>
      </c>
      <c r="I2872">
        <f>IF($P2872="","",INDEX(상세표[기록 수],$P2872))</f>
        <v/>
      </c>
      <c r="J2872">
        <f>IF($P2872="","",INDEX(상세표[블록 06~07시],$P2872))</f>
        <v/>
      </c>
      <c r="K2872">
        <f>IF($P2872="","",INDEX(상세표[블록 07~18시],$P2872))</f>
        <v/>
      </c>
      <c r="L2872">
        <f>IF($P2872="","",INDEX(상세표[블록 18~22시],$P2872))</f>
        <v/>
      </c>
      <c r="M2872">
        <f>IF($P2872="","",INDEX(상세표[블록 22~06시],$P2872))</f>
        <v/>
      </c>
      <c r="N2872">
        <f>IF($P2872="","",INDEX(상세표[주말·휴일 포함],$P2872)&amp;"")</f>
        <v/>
      </c>
      <c r="O2872">
        <f>IF($P2872="","",INDEX(상세표[월 넘김 포함],$P2872)&amp;"")</f>
        <v/>
      </c>
      <c r="P2872" s="4">
        <f>IFERROR(MATCH(2867,상세표[연속순번],0),"")</f>
        <v/>
      </c>
    </row>
    <row r="2873">
      <c r="A2873">
        <f>IF($P2873="","",INDEX(상세표[사번],$P2873)&amp;"")</f>
        <v/>
      </c>
      <c r="B2873">
        <f>IF($P2873="","",INDEX(상세표[성명],$P2873)&amp;"")</f>
        <v/>
      </c>
      <c r="C2873">
        <f>IF($P2873="","",INDEX(상세표[부서],$P2873)&amp;"")</f>
        <v/>
      </c>
      <c r="D2873">
        <f>IF($P2873="","",INDEX(상세표[직위],$P2873)&amp;"")</f>
        <v/>
      </c>
      <c r="E2873">
        <f>IF($P2873="","",IF(ISNUMBER(INDEX(상세표[시작],$P2873)),TEXT(INDEX(상세표[시작],$P2873),"yyyy-mm-dd hh:mm"),INDEX(상세표[시작],$P2873)&amp;""))</f>
        <v/>
      </c>
      <c r="F2873">
        <f>IF($P2873="","",IF(ISNUMBER(INDEX(상세표[블록종료],$P2873)),TEXT(INDEX(상세표[블록종료],$P2873),"yyyy-mm-dd hh:mm"),INDEX(상세표[블록종료],$P2873)&amp;""))</f>
        <v/>
      </c>
      <c r="G2873">
        <f>IF($P2873="","",CHOOSE(WEEKDAY(INDEX(상세표[시작],$P2873)),"일","월","화","수","목","금","토"))</f>
        <v/>
      </c>
      <c r="H2873">
        <f>IF($P2873="","",INDEX(상세표[연속 시간],$P2873))</f>
        <v/>
      </c>
      <c r="I2873">
        <f>IF($P2873="","",INDEX(상세표[기록 수],$P2873))</f>
        <v/>
      </c>
      <c r="J2873">
        <f>IF($P2873="","",INDEX(상세표[블록 06~07시],$P2873))</f>
        <v/>
      </c>
      <c r="K2873">
        <f>IF($P2873="","",INDEX(상세표[블록 07~18시],$P2873))</f>
        <v/>
      </c>
      <c r="L2873">
        <f>IF($P2873="","",INDEX(상세표[블록 18~22시],$P2873))</f>
        <v/>
      </c>
      <c r="M2873">
        <f>IF($P2873="","",INDEX(상세표[블록 22~06시],$P2873))</f>
        <v/>
      </c>
      <c r="N2873">
        <f>IF($P2873="","",INDEX(상세표[주말·휴일 포함],$P2873)&amp;"")</f>
        <v/>
      </c>
      <c r="O2873">
        <f>IF($P2873="","",INDEX(상세표[월 넘김 포함],$P2873)&amp;"")</f>
        <v/>
      </c>
      <c r="P2873" s="4">
        <f>IFERROR(MATCH(2868,상세표[연속순번],0),"")</f>
        <v/>
      </c>
    </row>
    <row r="2874">
      <c r="A2874">
        <f>IF($P2874="","",INDEX(상세표[사번],$P2874)&amp;"")</f>
        <v/>
      </c>
      <c r="B2874">
        <f>IF($P2874="","",INDEX(상세표[성명],$P2874)&amp;"")</f>
        <v/>
      </c>
      <c r="C2874">
        <f>IF($P2874="","",INDEX(상세표[부서],$P2874)&amp;"")</f>
        <v/>
      </c>
      <c r="D2874">
        <f>IF($P2874="","",INDEX(상세표[직위],$P2874)&amp;"")</f>
        <v/>
      </c>
      <c r="E2874">
        <f>IF($P2874="","",IF(ISNUMBER(INDEX(상세표[시작],$P2874)),TEXT(INDEX(상세표[시작],$P2874),"yyyy-mm-dd hh:mm"),INDEX(상세표[시작],$P2874)&amp;""))</f>
        <v/>
      </c>
      <c r="F2874">
        <f>IF($P2874="","",IF(ISNUMBER(INDEX(상세표[블록종료],$P2874)),TEXT(INDEX(상세표[블록종료],$P2874),"yyyy-mm-dd hh:mm"),INDEX(상세표[블록종료],$P2874)&amp;""))</f>
        <v/>
      </c>
      <c r="G2874">
        <f>IF($P2874="","",CHOOSE(WEEKDAY(INDEX(상세표[시작],$P2874)),"일","월","화","수","목","금","토"))</f>
        <v/>
      </c>
      <c r="H2874">
        <f>IF($P2874="","",INDEX(상세표[연속 시간],$P2874))</f>
        <v/>
      </c>
      <c r="I2874">
        <f>IF($P2874="","",INDEX(상세표[기록 수],$P2874))</f>
        <v/>
      </c>
      <c r="J2874">
        <f>IF($P2874="","",INDEX(상세표[블록 06~07시],$P2874))</f>
        <v/>
      </c>
      <c r="K2874">
        <f>IF($P2874="","",INDEX(상세표[블록 07~18시],$P2874))</f>
        <v/>
      </c>
      <c r="L2874">
        <f>IF($P2874="","",INDEX(상세표[블록 18~22시],$P2874))</f>
        <v/>
      </c>
      <c r="M2874">
        <f>IF($P2874="","",INDEX(상세표[블록 22~06시],$P2874))</f>
        <v/>
      </c>
      <c r="N2874">
        <f>IF($P2874="","",INDEX(상세표[주말·휴일 포함],$P2874)&amp;"")</f>
        <v/>
      </c>
      <c r="O2874">
        <f>IF($P2874="","",INDEX(상세표[월 넘김 포함],$P2874)&amp;"")</f>
        <v/>
      </c>
      <c r="P2874" s="4">
        <f>IFERROR(MATCH(2869,상세표[연속순번],0),"")</f>
        <v/>
      </c>
    </row>
    <row r="2875">
      <c r="A2875">
        <f>IF($P2875="","",INDEX(상세표[사번],$P2875)&amp;"")</f>
        <v/>
      </c>
      <c r="B2875">
        <f>IF($P2875="","",INDEX(상세표[성명],$P2875)&amp;"")</f>
        <v/>
      </c>
      <c r="C2875">
        <f>IF($P2875="","",INDEX(상세표[부서],$P2875)&amp;"")</f>
        <v/>
      </c>
      <c r="D2875">
        <f>IF($P2875="","",INDEX(상세표[직위],$P2875)&amp;"")</f>
        <v/>
      </c>
      <c r="E2875">
        <f>IF($P2875="","",IF(ISNUMBER(INDEX(상세표[시작],$P2875)),TEXT(INDEX(상세표[시작],$P2875),"yyyy-mm-dd hh:mm"),INDEX(상세표[시작],$P2875)&amp;""))</f>
        <v/>
      </c>
      <c r="F2875">
        <f>IF($P2875="","",IF(ISNUMBER(INDEX(상세표[블록종료],$P2875)),TEXT(INDEX(상세표[블록종료],$P2875),"yyyy-mm-dd hh:mm"),INDEX(상세표[블록종료],$P2875)&amp;""))</f>
        <v/>
      </c>
      <c r="G2875">
        <f>IF($P2875="","",CHOOSE(WEEKDAY(INDEX(상세표[시작],$P2875)),"일","월","화","수","목","금","토"))</f>
        <v/>
      </c>
      <c r="H2875">
        <f>IF($P2875="","",INDEX(상세표[연속 시간],$P2875))</f>
        <v/>
      </c>
      <c r="I2875">
        <f>IF($P2875="","",INDEX(상세표[기록 수],$P2875))</f>
        <v/>
      </c>
      <c r="J2875">
        <f>IF($P2875="","",INDEX(상세표[블록 06~07시],$P2875))</f>
        <v/>
      </c>
      <c r="K2875">
        <f>IF($P2875="","",INDEX(상세표[블록 07~18시],$P2875))</f>
        <v/>
      </c>
      <c r="L2875">
        <f>IF($P2875="","",INDEX(상세표[블록 18~22시],$P2875))</f>
        <v/>
      </c>
      <c r="M2875">
        <f>IF($P2875="","",INDEX(상세표[블록 22~06시],$P2875))</f>
        <v/>
      </c>
      <c r="N2875">
        <f>IF($P2875="","",INDEX(상세표[주말·휴일 포함],$P2875)&amp;"")</f>
        <v/>
      </c>
      <c r="O2875">
        <f>IF($P2875="","",INDEX(상세표[월 넘김 포함],$P2875)&amp;"")</f>
        <v/>
      </c>
      <c r="P2875" s="4">
        <f>IFERROR(MATCH(2870,상세표[연속순번],0),"")</f>
        <v/>
      </c>
    </row>
    <row r="2876">
      <c r="A2876">
        <f>IF($P2876="","",INDEX(상세표[사번],$P2876)&amp;"")</f>
        <v/>
      </c>
      <c r="B2876">
        <f>IF($P2876="","",INDEX(상세표[성명],$P2876)&amp;"")</f>
        <v/>
      </c>
      <c r="C2876">
        <f>IF($P2876="","",INDEX(상세표[부서],$P2876)&amp;"")</f>
        <v/>
      </c>
      <c r="D2876">
        <f>IF($P2876="","",INDEX(상세표[직위],$P2876)&amp;"")</f>
        <v/>
      </c>
      <c r="E2876">
        <f>IF($P2876="","",IF(ISNUMBER(INDEX(상세표[시작],$P2876)),TEXT(INDEX(상세표[시작],$P2876),"yyyy-mm-dd hh:mm"),INDEX(상세표[시작],$P2876)&amp;""))</f>
        <v/>
      </c>
      <c r="F2876">
        <f>IF($P2876="","",IF(ISNUMBER(INDEX(상세표[블록종료],$P2876)),TEXT(INDEX(상세표[블록종료],$P2876),"yyyy-mm-dd hh:mm"),INDEX(상세표[블록종료],$P2876)&amp;""))</f>
        <v/>
      </c>
      <c r="G2876">
        <f>IF($P2876="","",CHOOSE(WEEKDAY(INDEX(상세표[시작],$P2876)),"일","월","화","수","목","금","토"))</f>
        <v/>
      </c>
      <c r="H2876">
        <f>IF($P2876="","",INDEX(상세표[연속 시간],$P2876))</f>
        <v/>
      </c>
      <c r="I2876">
        <f>IF($P2876="","",INDEX(상세표[기록 수],$P2876))</f>
        <v/>
      </c>
      <c r="J2876">
        <f>IF($P2876="","",INDEX(상세표[블록 06~07시],$P2876))</f>
        <v/>
      </c>
      <c r="K2876">
        <f>IF($P2876="","",INDEX(상세표[블록 07~18시],$P2876))</f>
        <v/>
      </c>
      <c r="L2876">
        <f>IF($P2876="","",INDEX(상세표[블록 18~22시],$P2876))</f>
        <v/>
      </c>
      <c r="M2876">
        <f>IF($P2876="","",INDEX(상세표[블록 22~06시],$P2876))</f>
        <v/>
      </c>
      <c r="N2876">
        <f>IF($P2876="","",INDEX(상세표[주말·휴일 포함],$P2876)&amp;"")</f>
        <v/>
      </c>
      <c r="O2876">
        <f>IF($P2876="","",INDEX(상세표[월 넘김 포함],$P2876)&amp;"")</f>
        <v/>
      </c>
      <c r="P2876" s="4">
        <f>IFERROR(MATCH(2871,상세표[연속순번],0),"")</f>
        <v/>
      </c>
    </row>
    <row r="2877">
      <c r="A2877">
        <f>IF($P2877="","",INDEX(상세표[사번],$P2877)&amp;"")</f>
        <v/>
      </c>
      <c r="B2877">
        <f>IF($P2877="","",INDEX(상세표[성명],$P2877)&amp;"")</f>
        <v/>
      </c>
      <c r="C2877">
        <f>IF($P2877="","",INDEX(상세표[부서],$P2877)&amp;"")</f>
        <v/>
      </c>
      <c r="D2877">
        <f>IF($P2877="","",INDEX(상세표[직위],$P2877)&amp;"")</f>
        <v/>
      </c>
      <c r="E2877">
        <f>IF($P2877="","",IF(ISNUMBER(INDEX(상세표[시작],$P2877)),TEXT(INDEX(상세표[시작],$P2877),"yyyy-mm-dd hh:mm"),INDEX(상세표[시작],$P2877)&amp;""))</f>
        <v/>
      </c>
      <c r="F2877">
        <f>IF($P2877="","",IF(ISNUMBER(INDEX(상세표[블록종료],$P2877)),TEXT(INDEX(상세표[블록종료],$P2877),"yyyy-mm-dd hh:mm"),INDEX(상세표[블록종료],$P2877)&amp;""))</f>
        <v/>
      </c>
      <c r="G2877">
        <f>IF($P2877="","",CHOOSE(WEEKDAY(INDEX(상세표[시작],$P2877)),"일","월","화","수","목","금","토"))</f>
        <v/>
      </c>
      <c r="H2877">
        <f>IF($P2877="","",INDEX(상세표[연속 시간],$P2877))</f>
        <v/>
      </c>
      <c r="I2877">
        <f>IF($P2877="","",INDEX(상세표[기록 수],$P2877))</f>
        <v/>
      </c>
      <c r="J2877">
        <f>IF($P2877="","",INDEX(상세표[블록 06~07시],$P2877))</f>
        <v/>
      </c>
      <c r="K2877">
        <f>IF($P2877="","",INDEX(상세표[블록 07~18시],$P2877))</f>
        <v/>
      </c>
      <c r="L2877">
        <f>IF($P2877="","",INDEX(상세표[블록 18~22시],$P2877))</f>
        <v/>
      </c>
      <c r="M2877">
        <f>IF($P2877="","",INDEX(상세표[블록 22~06시],$P2877))</f>
        <v/>
      </c>
      <c r="N2877">
        <f>IF($P2877="","",INDEX(상세표[주말·휴일 포함],$P2877)&amp;"")</f>
        <v/>
      </c>
      <c r="O2877">
        <f>IF($P2877="","",INDEX(상세표[월 넘김 포함],$P2877)&amp;"")</f>
        <v/>
      </c>
      <c r="P2877" s="4">
        <f>IFERROR(MATCH(2872,상세표[연속순번],0),"")</f>
        <v/>
      </c>
    </row>
    <row r="2878">
      <c r="A2878">
        <f>IF($P2878="","",INDEX(상세표[사번],$P2878)&amp;"")</f>
        <v/>
      </c>
      <c r="B2878">
        <f>IF($P2878="","",INDEX(상세표[성명],$P2878)&amp;"")</f>
        <v/>
      </c>
      <c r="C2878">
        <f>IF($P2878="","",INDEX(상세표[부서],$P2878)&amp;"")</f>
        <v/>
      </c>
      <c r="D2878">
        <f>IF($P2878="","",INDEX(상세표[직위],$P2878)&amp;"")</f>
        <v/>
      </c>
      <c r="E2878">
        <f>IF($P2878="","",IF(ISNUMBER(INDEX(상세표[시작],$P2878)),TEXT(INDEX(상세표[시작],$P2878),"yyyy-mm-dd hh:mm"),INDEX(상세표[시작],$P2878)&amp;""))</f>
        <v/>
      </c>
      <c r="F2878">
        <f>IF($P2878="","",IF(ISNUMBER(INDEX(상세표[블록종료],$P2878)),TEXT(INDEX(상세표[블록종료],$P2878),"yyyy-mm-dd hh:mm"),INDEX(상세표[블록종료],$P2878)&amp;""))</f>
        <v/>
      </c>
      <c r="G2878">
        <f>IF($P2878="","",CHOOSE(WEEKDAY(INDEX(상세표[시작],$P2878)),"일","월","화","수","목","금","토"))</f>
        <v/>
      </c>
      <c r="H2878">
        <f>IF($P2878="","",INDEX(상세표[연속 시간],$P2878))</f>
        <v/>
      </c>
      <c r="I2878">
        <f>IF($P2878="","",INDEX(상세표[기록 수],$P2878))</f>
        <v/>
      </c>
      <c r="J2878">
        <f>IF($P2878="","",INDEX(상세표[블록 06~07시],$P2878))</f>
        <v/>
      </c>
      <c r="K2878">
        <f>IF($P2878="","",INDEX(상세표[블록 07~18시],$P2878))</f>
        <v/>
      </c>
      <c r="L2878">
        <f>IF($P2878="","",INDEX(상세표[블록 18~22시],$P2878))</f>
        <v/>
      </c>
      <c r="M2878">
        <f>IF($P2878="","",INDEX(상세표[블록 22~06시],$P2878))</f>
        <v/>
      </c>
      <c r="N2878">
        <f>IF($P2878="","",INDEX(상세표[주말·휴일 포함],$P2878)&amp;"")</f>
        <v/>
      </c>
      <c r="O2878">
        <f>IF($P2878="","",INDEX(상세표[월 넘김 포함],$P2878)&amp;"")</f>
        <v/>
      </c>
      <c r="P2878" s="4">
        <f>IFERROR(MATCH(2873,상세표[연속순번],0),"")</f>
        <v/>
      </c>
    </row>
    <row r="2879">
      <c r="A2879">
        <f>IF($P2879="","",INDEX(상세표[사번],$P2879)&amp;"")</f>
        <v/>
      </c>
      <c r="B2879">
        <f>IF($P2879="","",INDEX(상세표[성명],$P2879)&amp;"")</f>
        <v/>
      </c>
      <c r="C2879">
        <f>IF($P2879="","",INDEX(상세표[부서],$P2879)&amp;"")</f>
        <v/>
      </c>
      <c r="D2879">
        <f>IF($P2879="","",INDEX(상세표[직위],$P2879)&amp;"")</f>
        <v/>
      </c>
      <c r="E2879">
        <f>IF($P2879="","",IF(ISNUMBER(INDEX(상세표[시작],$P2879)),TEXT(INDEX(상세표[시작],$P2879),"yyyy-mm-dd hh:mm"),INDEX(상세표[시작],$P2879)&amp;""))</f>
        <v/>
      </c>
      <c r="F2879">
        <f>IF($P2879="","",IF(ISNUMBER(INDEX(상세표[블록종료],$P2879)),TEXT(INDEX(상세표[블록종료],$P2879),"yyyy-mm-dd hh:mm"),INDEX(상세표[블록종료],$P2879)&amp;""))</f>
        <v/>
      </c>
      <c r="G2879">
        <f>IF($P2879="","",CHOOSE(WEEKDAY(INDEX(상세표[시작],$P2879)),"일","월","화","수","목","금","토"))</f>
        <v/>
      </c>
      <c r="H2879">
        <f>IF($P2879="","",INDEX(상세표[연속 시간],$P2879))</f>
        <v/>
      </c>
      <c r="I2879">
        <f>IF($P2879="","",INDEX(상세표[기록 수],$P2879))</f>
        <v/>
      </c>
      <c r="J2879">
        <f>IF($P2879="","",INDEX(상세표[블록 06~07시],$P2879))</f>
        <v/>
      </c>
      <c r="K2879">
        <f>IF($P2879="","",INDEX(상세표[블록 07~18시],$P2879))</f>
        <v/>
      </c>
      <c r="L2879">
        <f>IF($P2879="","",INDEX(상세표[블록 18~22시],$P2879))</f>
        <v/>
      </c>
      <c r="M2879">
        <f>IF($P2879="","",INDEX(상세표[블록 22~06시],$P2879))</f>
        <v/>
      </c>
      <c r="N2879">
        <f>IF($P2879="","",INDEX(상세표[주말·휴일 포함],$P2879)&amp;"")</f>
        <v/>
      </c>
      <c r="O2879">
        <f>IF($P2879="","",INDEX(상세표[월 넘김 포함],$P2879)&amp;"")</f>
        <v/>
      </c>
      <c r="P2879" s="4">
        <f>IFERROR(MATCH(2874,상세표[연속순번],0),"")</f>
        <v/>
      </c>
    </row>
    <row r="2880">
      <c r="A2880">
        <f>IF($P2880="","",INDEX(상세표[사번],$P2880)&amp;"")</f>
        <v/>
      </c>
      <c r="B2880">
        <f>IF($P2880="","",INDEX(상세표[성명],$P2880)&amp;"")</f>
        <v/>
      </c>
      <c r="C2880">
        <f>IF($P2880="","",INDEX(상세표[부서],$P2880)&amp;"")</f>
        <v/>
      </c>
      <c r="D2880">
        <f>IF($P2880="","",INDEX(상세표[직위],$P2880)&amp;"")</f>
        <v/>
      </c>
      <c r="E2880">
        <f>IF($P2880="","",IF(ISNUMBER(INDEX(상세표[시작],$P2880)),TEXT(INDEX(상세표[시작],$P2880),"yyyy-mm-dd hh:mm"),INDEX(상세표[시작],$P2880)&amp;""))</f>
        <v/>
      </c>
      <c r="F2880">
        <f>IF($P2880="","",IF(ISNUMBER(INDEX(상세표[블록종료],$P2880)),TEXT(INDEX(상세표[블록종료],$P2880),"yyyy-mm-dd hh:mm"),INDEX(상세표[블록종료],$P2880)&amp;""))</f>
        <v/>
      </c>
      <c r="G2880">
        <f>IF($P2880="","",CHOOSE(WEEKDAY(INDEX(상세표[시작],$P2880)),"일","월","화","수","목","금","토"))</f>
        <v/>
      </c>
      <c r="H2880">
        <f>IF($P2880="","",INDEX(상세표[연속 시간],$P2880))</f>
        <v/>
      </c>
      <c r="I2880">
        <f>IF($P2880="","",INDEX(상세표[기록 수],$P2880))</f>
        <v/>
      </c>
      <c r="J2880">
        <f>IF($P2880="","",INDEX(상세표[블록 06~07시],$P2880))</f>
        <v/>
      </c>
      <c r="K2880">
        <f>IF($P2880="","",INDEX(상세표[블록 07~18시],$P2880))</f>
        <v/>
      </c>
      <c r="L2880">
        <f>IF($P2880="","",INDEX(상세표[블록 18~22시],$P2880))</f>
        <v/>
      </c>
      <c r="M2880">
        <f>IF($P2880="","",INDEX(상세표[블록 22~06시],$P2880))</f>
        <v/>
      </c>
      <c r="N2880">
        <f>IF($P2880="","",INDEX(상세표[주말·휴일 포함],$P2880)&amp;"")</f>
        <v/>
      </c>
      <c r="O2880">
        <f>IF($P2880="","",INDEX(상세표[월 넘김 포함],$P2880)&amp;"")</f>
        <v/>
      </c>
      <c r="P2880" s="4">
        <f>IFERROR(MATCH(2875,상세표[연속순번],0),"")</f>
        <v/>
      </c>
    </row>
    <row r="2881">
      <c r="A2881">
        <f>IF($P2881="","",INDEX(상세표[사번],$P2881)&amp;"")</f>
        <v/>
      </c>
      <c r="B2881">
        <f>IF($P2881="","",INDEX(상세표[성명],$P2881)&amp;"")</f>
        <v/>
      </c>
      <c r="C2881">
        <f>IF($P2881="","",INDEX(상세표[부서],$P2881)&amp;"")</f>
        <v/>
      </c>
      <c r="D2881">
        <f>IF($P2881="","",INDEX(상세표[직위],$P2881)&amp;"")</f>
        <v/>
      </c>
      <c r="E2881">
        <f>IF($P2881="","",IF(ISNUMBER(INDEX(상세표[시작],$P2881)),TEXT(INDEX(상세표[시작],$P2881),"yyyy-mm-dd hh:mm"),INDEX(상세표[시작],$P2881)&amp;""))</f>
        <v/>
      </c>
      <c r="F2881">
        <f>IF($P2881="","",IF(ISNUMBER(INDEX(상세표[블록종료],$P2881)),TEXT(INDEX(상세표[블록종료],$P2881),"yyyy-mm-dd hh:mm"),INDEX(상세표[블록종료],$P2881)&amp;""))</f>
        <v/>
      </c>
      <c r="G2881">
        <f>IF($P2881="","",CHOOSE(WEEKDAY(INDEX(상세표[시작],$P2881)),"일","월","화","수","목","금","토"))</f>
        <v/>
      </c>
      <c r="H2881">
        <f>IF($P2881="","",INDEX(상세표[연속 시간],$P2881))</f>
        <v/>
      </c>
      <c r="I2881">
        <f>IF($P2881="","",INDEX(상세표[기록 수],$P2881))</f>
        <v/>
      </c>
      <c r="J2881">
        <f>IF($P2881="","",INDEX(상세표[블록 06~07시],$P2881))</f>
        <v/>
      </c>
      <c r="K2881">
        <f>IF($P2881="","",INDEX(상세표[블록 07~18시],$P2881))</f>
        <v/>
      </c>
      <c r="L2881">
        <f>IF($P2881="","",INDEX(상세표[블록 18~22시],$P2881))</f>
        <v/>
      </c>
      <c r="M2881">
        <f>IF($P2881="","",INDEX(상세표[블록 22~06시],$P2881))</f>
        <v/>
      </c>
      <c r="N2881">
        <f>IF($P2881="","",INDEX(상세표[주말·휴일 포함],$P2881)&amp;"")</f>
        <v/>
      </c>
      <c r="O2881">
        <f>IF($P2881="","",INDEX(상세표[월 넘김 포함],$P2881)&amp;"")</f>
        <v/>
      </c>
      <c r="P2881" s="4">
        <f>IFERROR(MATCH(2876,상세표[연속순번],0),"")</f>
        <v/>
      </c>
    </row>
    <row r="2882">
      <c r="A2882">
        <f>IF($P2882="","",INDEX(상세표[사번],$P2882)&amp;"")</f>
        <v/>
      </c>
      <c r="B2882">
        <f>IF($P2882="","",INDEX(상세표[성명],$P2882)&amp;"")</f>
        <v/>
      </c>
      <c r="C2882">
        <f>IF($P2882="","",INDEX(상세표[부서],$P2882)&amp;"")</f>
        <v/>
      </c>
      <c r="D2882">
        <f>IF($P2882="","",INDEX(상세표[직위],$P2882)&amp;"")</f>
        <v/>
      </c>
      <c r="E2882">
        <f>IF($P2882="","",IF(ISNUMBER(INDEX(상세표[시작],$P2882)),TEXT(INDEX(상세표[시작],$P2882),"yyyy-mm-dd hh:mm"),INDEX(상세표[시작],$P2882)&amp;""))</f>
        <v/>
      </c>
      <c r="F2882">
        <f>IF($P2882="","",IF(ISNUMBER(INDEX(상세표[블록종료],$P2882)),TEXT(INDEX(상세표[블록종료],$P2882),"yyyy-mm-dd hh:mm"),INDEX(상세표[블록종료],$P2882)&amp;""))</f>
        <v/>
      </c>
      <c r="G2882">
        <f>IF($P2882="","",CHOOSE(WEEKDAY(INDEX(상세표[시작],$P2882)),"일","월","화","수","목","금","토"))</f>
        <v/>
      </c>
      <c r="H2882">
        <f>IF($P2882="","",INDEX(상세표[연속 시간],$P2882))</f>
        <v/>
      </c>
      <c r="I2882">
        <f>IF($P2882="","",INDEX(상세표[기록 수],$P2882))</f>
        <v/>
      </c>
      <c r="J2882">
        <f>IF($P2882="","",INDEX(상세표[블록 06~07시],$P2882))</f>
        <v/>
      </c>
      <c r="K2882">
        <f>IF($P2882="","",INDEX(상세표[블록 07~18시],$P2882))</f>
        <v/>
      </c>
      <c r="L2882">
        <f>IF($P2882="","",INDEX(상세표[블록 18~22시],$P2882))</f>
        <v/>
      </c>
      <c r="M2882">
        <f>IF($P2882="","",INDEX(상세표[블록 22~06시],$P2882))</f>
        <v/>
      </c>
      <c r="N2882">
        <f>IF($P2882="","",INDEX(상세표[주말·휴일 포함],$P2882)&amp;"")</f>
        <v/>
      </c>
      <c r="O2882">
        <f>IF($P2882="","",INDEX(상세표[월 넘김 포함],$P2882)&amp;"")</f>
        <v/>
      </c>
      <c r="P2882" s="4">
        <f>IFERROR(MATCH(2877,상세표[연속순번],0),"")</f>
        <v/>
      </c>
    </row>
    <row r="2883">
      <c r="A2883">
        <f>IF($P2883="","",INDEX(상세표[사번],$P2883)&amp;"")</f>
        <v/>
      </c>
      <c r="B2883">
        <f>IF($P2883="","",INDEX(상세표[성명],$P2883)&amp;"")</f>
        <v/>
      </c>
      <c r="C2883">
        <f>IF($P2883="","",INDEX(상세표[부서],$P2883)&amp;"")</f>
        <v/>
      </c>
      <c r="D2883">
        <f>IF($P2883="","",INDEX(상세표[직위],$P2883)&amp;"")</f>
        <v/>
      </c>
      <c r="E2883">
        <f>IF($P2883="","",IF(ISNUMBER(INDEX(상세표[시작],$P2883)),TEXT(INDEX(상세표[시작],$P2883),"yyyy-mm-dd hh:mm"),INDEX(상세표[시작],$P2883)&amp;""))</f>
        <v/>
      </c>
      <c r="F2883">
        <f>IF($P2883="","",IF(ISNUMBER(INDEX(상세표[블록종료],$P2883)),TEXT(INDEX(상세표[블록종료],$P2883),"yyyy-mm-dd hh:mm"),INDEX(상세표[블록종료],$P2883)&amp;""))</f>
        <v/>
      </c>
      <c r="G2883">
        <f>IF($P2883="","",CHOOSE(WEEKDAY(INDEX(상세표[시작],$P2883)),"일","월","화","수","목","금","토"))</f>
        <v/>
      </c>
      <c r="H2883">
        <f>IF($P2883="","",INDEX(상세표[연속 시간],$P2883))</f>
        <v/>
      </c>
      <c r="I2883">
        <f>IF($P2883="","",INDEX(상세표[기록 수],$P2883))</f>
        <v/>
      </c>
      <c r="J2883">
        <f>IF($P2883="","",INDEX(상세표[블록 06~07시],$P2883))</f>
        <v/>
      </c>
      <c r="K2883">
        <f>IF($P2883="","",INDEX(상세표[블록 07~18시],$P2883))</f>
        <v/>
      </c>
      <c r="L2883">
        <f>IF($P2883="","",INDEX(상세표[블록 18~22시],$P2883))</f>
        <v/>
      </c>
      <c r="M2883">
        <f>IF($P2883="","",INDEX(상세표[블록 22~06시],$P2883))</f>
        <v/>
      </c>
      <c r="N2883">
        <f>IF($P2883="","",INDEX(상세표[주말·휴일 포함],$P2883)&amp;"")</f>
        <v/>
      </c>
      <c r="O2883">
        <f>IF($P2883="","",INDEX(상세표[월 넘김 포함],$P2883)&amp;"")</f>
        <v/>
      </c>
      <c r="P2883" s="4">
        <f>IFERROR(MATCH(2878,상세표[연속순번],0),"")</f>
        <v/>
      </c>
    </row>
    <row r="2884">
      <c r="A2884">
        <f>IF($P2884="","",INDEX(상세표[사번],$P2884)&amp;"")</f>
        <v/>
      </c>
      <c r="B2884">
        <f>IF($P2884="","",INDEX(상세표[성명],$P2884)&amp;"")</f>
        <v/>
      </c>
      <c r="C2884">
        <f>IF($P2884="","",INDEX(상세표[부서],$P2884)&amp;"")</f>
        <v/>
      </c>
      <c r="D2884">
        <f>IF($P2884="","",INDEX(상세표[직위],$P2884)&amp;"")</f>
        <v/>
      </c>
      <c r="E2884">
        <f>IF($P2884="","",IF(ISNUMBER(INDEX(상세표[시작],$P2884)),TEXT(INDEX(상세표[시작],$P2884),"yyyy-mm-dd hh:mm"),INDEX(상세표[시작],$P2884)&amp;""))</f>
        <v/>
      </c>
      <c r="F2884">
        <f>IF($P2884="","",IF(ISNUMBER(INDEX(상세표[블록종료],$P2884)),TEXT(INDEX(상세표[블록종료],$P2884),"yyyy-mm-dd hh:mm"),INDEX(상세표[블록종료],$P2884)&amp;""))</f>
        <v/>
      </c>
      <c r="G2884">
        <f>IF($P2884="","",CHOOSE(WEEKDAY(INDEX(상세표[시작],$P2884)),"일","월","화","수","목","금","토"))</f>
        <v/>
      </c>
      <c r="H2884">
        <f>IF($P2884="","",INDEX(상세표[연속 시간],$P2884))</f>
        <v/>
      </c>
      <c r="I2884">
        <f>IF($P2884="","",INDEX(상세표[기록 수],$P2884))</f>
        <v/>
      </c>
      <c r="J2884">
        <f>IF($P2884="","",INDEX(상세표[블록 06~07시],$P2884))</f>
        <v/>
      </c>
      <c r="K2884">
        <f>IF($P2884="","",INDEX(상세표[블록 07~18시],$P2884))</f>
        <v/>
      </c>
      <c r="L2884">
        <f>IF($P2884="","",INDEX(상세표[블록 18~22시],$P2884))</f>
        <v/>
      </c>
      <c r="M2884">
        <f>IF($P2884="","",INDEX(상세표[블록 22~06시],$P2884))</f>
        <v/>
      </c>
      <c r="N2884">
        <f>IF($P2884="","",INDEX(상세표[주말·휴일 포함],$P2884)&amp;"")</f>
        <v/>
      </c>
      <c r="O2884">
        <f>IF($P2884="","",INDEX(상세표[월 넘김 포함],$P2884)&amp;"")</f>
        <v/>
      </c>
      <c r="P2884" s="4">
        <f>IFERROR(MATCH(2879,상세표[연속순번],0),"")</f>
        <v/>
      </c>
    </row>
    <row r="2885">
      <c r="A2885">
        <f>IF($P2885="","",INDEX(상세표[사번],$P2885)&amp;"")</f>
        <v/>
      </c>
      <c r="B2885">
        <f>IF($P2885="","",INDEX(상세표[성명],$P2885)&amp;"")</f>
        <v/>
      </c>
      <c r="C2885">
        <f>IF($P2885="","",INDEX(상세표[부서],$P2885)&amp;"")</f>
        <v/>
      </c>
      <c r="D2885">
        <f>IF($P2885="","",INDEX(상세표[직위],$P2885)&amp;"")</f>
        <v/>
      </c>
      <c r="E2885">
        <f>IF($P2885="","",IF(ISNUMBER(INDEX(상세표[시작],$P2885)),TEXT(INDEX(상세표[시작],$P2885),"yyyy-mm-dd hh:mm"),INDEX(상세표[시작],$P2885)&amp;""))</f>
        <v/>
      </c>
      <c r="F2885">
        <f>IF($P2885="","",IF(ISNUMBER(INDEX(상세표[블록종료],$P2885)),TEXT(INDEX(상세표[블록종료],$P2885),"yyyy-mm-dd hh:mm"),INDEX(상세표[블록종료],$P2885)&amp;""))</f>
        <v/>
      </c>
      <c r="G2885">
        <f>IF($P2885="","",CHOOSE(WEEKDAY(INDEX(상세표[시작],$P2885)),"일","월","화","수","목","금","토"))</f>
        <v/>
      </c>
      <c r="H2885">
        <f>IF($P2885="","",INDEX(상세표[연속 시간],$P2885))</f>
        <v/>
      </c>
      <c r="I2885">
        <f>IF($P2885="","",INDEX(상세표[기록 수],$P2885))</f>
        <v/>
      </c>
      <c r="J2885">
        <f>IF($P2885="","",INDEX(상세표[블록 06~07시],$P2885))</f>
        <v/>
      </c>
      <c r="K2885">
        <f>IF($P2885="","",INDEX(상세표[블록 07~18시],$P2885))</f>
        <v/>
      </c>
      <c r="L2885">
        <f>IF($P2885="","",INDEX(상세표[블록 18~22시],$P2885))</f>
        <v/>
      </c>
      <c r="M2885">
        <f>IF($P2885="","",INDEX(상세표[블록 22~06시],$P2885))</f>
        <v/>
      </c>
      <c r="N2885">
        <f>IF($P2885="","",INDEX(상세표[주말·휴일 포함],$P2885)&amp;"")</f>
        <v/>
      </c>
      <c r="O2885">
        <f>IF($P2885="","",INDEX(상세표[월 넘김 포함],$P2885)&amp;"")</f>
        <v/>
      </c>
      <c r="P2885" s="4">
        <f>IFERROR(MATCH(2880,상세표[연속순번],0),"")</f>
        <v/>
      </c>
    </row>
    <row r="2886">
      <c r="A2886">
        <f>IF($P2886="","",INDEX(상세표[사번],$P2886)&amp;"")</f>
        <v/>
      </c>
      <c r="B2886">
        <f>IF($P2886="","",INDEX(상세표[성명],$P2886)&amp;"")</f>
        <v/>
      </c>
      <c r="C2886">
        <f>IF($P2886="","",INDEX(상세표[부서],$P2886)&amp;"")</f>
        <v/>
      </c>
      <c r="D2886">
        <f>IF($P2886="","",INDEX(상세표[직위],$P2886)&amp;"")</f>
        <v/>
      </c>
      <c r="E2886">
        <f>IF($P2886="","",IF(ISNUMBER(INDEX(상세표[시작],$P2886)),TEXT(INDEX(상세표[시작],$P2886),"yyyy-mm-dd hh:mm"),INDEX(상세표[시작],$P2886)&amp;""))</f>
        <v/>
      </c>
      <c r="F2886">
        <f>IF($P2886="","",IF(ISNUMBER(INDEX(상세표[블록종료],$P2886)),TEXT(INDEX(상세표[블록종료],$P2886),"yyyy-mm-dd hh:mm"),INDEX(상세표[블록종료],$P2886)&amp;""))</f>
        <v/>
      </c>
      <c r="G2886">
        <f>IF($P2886="","",CHOOSE(WEEKDAY(INDEX(상세표[시작],$P2886)),"일","월","화","수","목","금","토"))</f>
        <v/>
      </c>
      <c r="H2886">
        <f>IF($P2886="","",INDEX(상세표[연속 시간],$P2886))</f>
        <v/>
      </c>
      <c r="I2886">
        <f>IF($P2886="","",INDEX(상세표[기록 수],$P2886))</f>
        <v/>
      </c>
      <c r="J2886">
        <f>IF($P2886="","",INDEX(상세표[블록 06~07시],$P2886))</f>
        <v/>
      </c>
      <c r="K2886">
        <f>IF($P2886="","",INDEX(상세표[블록 07~18시],$P2886))</f>
        <v/>
      </c>
      <c r="L2886">
        <f>IF($P2886="","",INDEX(상세표[블록 18~22시],$P2886))</f>
        <v/>
      </c>
      <c r="M2886">
        <f>IF($P2886="","",INDEX(상세표[블록 22~06시],$P2886))</f>
        <v/>
      </c>
      <c r="N2886">
        <f>IF($P2886="","",INDEX(상세표[주말·휴일 포함],$P2886)&amp;"")</f>
        <v/>
      </c>
      <c r="O2886">
        <f>IF($P2886="","",INDEX(상세표[월 넘김 포함],$P2886)&amp;"")</f>
        <v/>
      </c>
      <c r="P2886" s="4">
        <f>IFERROR(MATCH(2881,상세표[연속순번],0),"")</f>
        <v/>
      </c>
    </row>
    <row r="2887">
      <c r="A2887">
        <f>IF($P2887="","",INDEX(상세표[사번],$P2887)&amp;"")</f>
        <v/>
      </c>
      <c r="B2887">
        <f>IF($P2887="","",INDEX(상세표[성명],$P2887)&amp;"")</f>
        <v/>
      </c>
      <c r="C2887">
        <f>IF($P2887="","",INDEX(상세표[부서],$P2887)&amp;"")</f>
        <v/>
      </c>
      <c r="D2887">
        <f>IF($P2887="","",INDEX(상세표[직위],$P2887)&amp;"")</f>
        <v/>
      </c>
      <c r="E2887">
        <f>IF($P2887="","",IF(ISNUMBER(INDEX(상세표[시작],$P2887)),TEXT(INDEX(상세표[시작],$P2887),"yyyy-mm-dd hh:mm"),INDEX(상세표[시작],$P2887)&amp;""))</f>
        <v/>
      </c>
      <c r="F2887">
        <f>IF($P2887="","",IF(ISNUMBER(INDEX(상세표[블록종료],$P2887)),TEXT(INDEX(상세표[블록종료],$P2887),"yyyy-mm-dd hh:mm"),INDEX(상세표[블록종료],$P2887)&amp;""))</f>
        <v/>
      </c>
      <c r="G2887">
        <f>IF($P2887="","",CHOOSE(WEEKDAY(INDEX(상세표[시작],$P2887)),"일","월","화","수","목","금","토"))</f>
        <v/>
      </c>
      <c r="H2887">
        <f>IF($P2887="","",INDEX(상세표[연속 시간],$P2887))</f>
        <v/>
      </c>
      <c r="I2887">
        <f>IF($P2887="","",INDEX(상세표[기록 수],$P2887))</f>
        <v/>
      </c>
      <c r="J2887">
        <f>IF($P2887="","",INDEX(상세표[블록 06~07시],$P2887))</f>
        <v/>
      </c>
      <c r="K2887">
        <f>IF($P2887="","",INDEX(상세표[블록 07~18시],$P2887))</f>
        <v/>
      </c>
      <c r="L2887">
        <f>IF($P2887="","",INDEX(상세표[블록 18~22시],$P2887))</f>
        <v/>
      </c>
      <c r="M2887">
        <f>IF($P2887="","",INDEX(상세표[블록 22~06시],$P2887))</f>
        <v/>
      </c>
      <c r="N2887">
        <f>IF($P2887="","",INDEX(상세표[주말·휴일 포함],$P2887)&amp;"")</f>
        <v/>
      </c>
      <c r="O2887">
        <f>IF($P2887="","",INDEX(상세표[월 넘김 포함],$P2887)&amp;"")</f>
        <v/>
      </c>
      <c r="P2887" s="4">
        <f>IFERROR(MATCH(2882,상세표[연속순번],0),"")</f>
        <v/>
      </c>
    </row>
    <row r="2888">
      <c r="A2888">
        <f>IF($P2888="","",INDEX(상세표[사번],$P2888)&amp;"")</f>
        <v/>
      </c>
      <c r="B2888">
        <f>IF($P2888="","",INDEX(상세표[성명],$P2888)&amp;"")</f>
        <v/>
      </c>
      <c r="C2888">
        <f>IF($P2888="","",INDEX(상세표[부서],$P2888)&amp;"")</f>
        <v/>
      </c>
      <c r="D2888">
        <f>IF($P2888="","",INDEX(상세표[직위],$P2888)&amp;"")</f>
        <v/>
      </c>
      <c r="E2888">
        <f>IF($P2888="","",IF(ISNUMBER(INDEX(상세표[시작],$P2888)),TEXT(INDEX(상세표[시작],$P2888),"yyyy-mm-dd hh:mm"),INDEX(상세표[시작],$P2888)&amp;""))</f>
        <v/>
      </c>
      <c r="F2888">
        <f>IF($P2888="","",IF(ISNUMBER(INDEX(상세표[블록종료],$P2888)),TEXT(INDEX(상세표[블록종료],$P2888),"yyyy-mm-dd hh:mm"),INDEX(상세표[블록종료],$P2888)&amp;""))</f>
        <v/>
      </c>
      <c r="G2888">
        <f>IF($P2888="","",CHOOSE(WEEKDAY(INDEX(상세표[시작],$P2888)),"일","월","화","수","목","금","토"))</f>
        <v/>
      </c>
      <c r="H2888">
        <f>IF($P2888="","",INDEX(상세표[연속 시간],$P2888))</f>
        <v/>
      </c>
      <c r="I2888">
        <f>IF($P2888="","",INDEX(상세표[기록 수],$P2888))</f>
        <v/>
      </c>
      <c r="J2888">
        <f>IF($P2888="","",INDEX(상세표[블록 06~07시],$P2888))</f>
        <v/>
      </c>
      <c r="K2888">
        <f>IF($P2888="","",INDEX(상세표[블록 07~18시],$P2888))</f>
        <v/>
      </c>
      <c r="L2888">
        <f>IF($P2888="","",INDEX(상세표[블록 18~22시],$P2888))</f>
        <v/>
      </c>
      <c r="M2888">
        <f>IF($P2888="","",INDEX(상세표[블록 22~06시],$P2888))</f>
        <v/>
      </c>
      <c r="N2888">
        <f>IF($P2888="","",INDEX(상세표[주말·휴일 포함],$P2888)&amp;"")</f>
        <v/>
      </c>
      <c r="O2888">
        <f>IF($P2888="","",INDEX(상세표[월 넘김 포함],$P2888)&amp;"")</f>
        <v/>
      </c>
      <c r="P2888" s="4">
        <f>IFERROR(MATCH(2883,상세표[연속순번],0),"")</f>
        <v/>
      </c>
    </row>
    <row r="2889">
      <c r="A2889">
        <f>IF($P2889="","",INDEX(상세표[사번],$P2889)&amp;"")</f>
        <v/>
      </c>
      <c r="B2889">
        <f>IF($P2889="","",INDEX(상세표[성명],$P2889)&amp;"")</f>
        <v/>
      </c>
      <c r="C2889">
        <f>IF($P2889="","",INDEX(상세표[부서],$P2889)&amp;"")</f>
        <v/>
      </c>
      <c r="D2889">
        <f>IF($P2889="","",INDEX(상세표[직위],$P2889)&amp;"")</f>
        <v/>
      </c>
      <c r="E2889">
        <f>IF($P2889="","",IF(ISNUMBER(INDEX(상세표[시작],$P2889)),TEXT(INDEX(상세표[시작],$P2889),"yyyy-mm-dd hh:mm"),INDEX(상세표[시작],$P2889)&amp;""))</f>
        <v/>
      </c>
      <c r="F2889">
        <f>IF($P2889="","",IF(ISNUMBER(INDEX(상세표[블록종료],$P2889)),TEXT(INDEX(상세표[블록종료],$P2889),"yyyy-mm-dd hh:mm"),INDEX(상세표[블록종료],$P2889)&amp;""))</f>
        <v/>
      </c>
      <c r="G2889">
        <f>IF($P2889="","",CHOOSE(WEEKDAY(INDEX(상세표[시작],$P2889)),"일","월","화","수","목","금","토"))</f>
        <v/>
      </c>
      <c r="H2889">
        <f>IF($P2889="","",INDEX(상세표[연속 시간],$P2889))</f>
        <v/>
      </c>
      <c r="I2889">
        <f>IF($P2889="","",INDEX(상세표[기록 수],$P2889))</f>
        <v/>
      </c>
      <c r="J2889">
        <f>IF($P2889="","",INDEX(상세표[블록 06~07시],$P2889))</f>
        <v/>
      </c>
      <c r="K2889">
        <f>IF($P2889="","",INDEX(상세표[블록 07~18시],$P2889))</f>
        <v/>
      </c>
      <c r="L2889">
        <f>IF($P2889="","",INDEX(상세표[블록 18~22시],$P2889))</f>
        <v/>
      </c>
      <c r="M2889">
        <f>IF($P2889="","",INDEX(상세표[블록 22~06시],$P2889))</f>
        <v/>
      </c>
      <c r="N2889">
        <f>IF($P2889="","",INDEX(상세표[주말·휴일 포함],$P2889)&amp;"")</f>
        <v/>
      </c>
      <c r="O2889">
        <f>IF($P2889="","",INDEX(상세표[월 넘김 포함],$P2889)&amp;"")</f>
        <v/>
      </c>
      <c r="P2889" s="4">
        <f>IFERROR(MATCH(2884,상세표[연속순번],0),"")</f>
        <v/>
      </c>
    </row>
    <row r="2890">
      <c r="A2890">
        <f>IF($P2890="","",INDEX(상세표[사번],$P2890)&amp;"")</f>
        <v/>
      </c>
      <c r="B2890">
        <f>IF($P2890="","",INDEX(상세표[성명],$P2890)&amp;"")</f>
        <v/>
      </c>
      <c r="C2890">
        <f>IF($P2890="","",INDEX(상세표[부서],$P2890)&amp;"")</f>
        <v/>
      </c>
      <c r="D2890">
        <f>IF($P2890="","",INDEX(상세표[직위],$P2890)&amp;"")</f>
        <v/>
      </c>
      <c r="E2890">
        <f>IF($P2890="","",IF(ISNUMBER(INDEX(상세표[시작],$P2890)),TEXT(INDEX(상세표[시작],$P2890),"yyyy-mm-dd hh:mm"),INDEX(상세표[시작],$P2890)&amp;""))</f>
        <v/>
      </c>
      <c r="F2890">
        <f>IF($P2890="","",IF(ISNUMBER(INDEX(상세표[블록종료],$P2890)),TEXT(INDEX(상세표[블록종료],$P2890),"yyyy-mm-dd hh:mm"),INDEX(상세표[블록종료],$P2890)&amp;""))</f>
        <v/>
      </c>
      <c r="G2890">
        <f>IF($P2890="","",CHOOSE(WEEKDAY(INDEX(상세표[시작],$P2890)),"일","월","화","수","목","금","토"))</f>
        <v/>
      </c>
      <c r="H2890">
        <f>IF($P2890="","",INDEX(상세표[연속 시간],$P2890))</f>
        <v/>
      </c>
      <c r="I2890">
        <f>IF($P2890="","",INDEX(상세표[기록 수],$P2890))</f>
        <v/>
      </c>
      <c r="J2890">
        <f>IF($P2890="","",INDEX(상세표[블록 06~07시],$P2890))</f>
        <v/>
      </c>
      <c r="K2890">
        <f>IF($P2890="","",INDEX(상세표[블록 07~18시],$P2890))</f>
        <v/>
      </c>
      <c r="L2890">
        <f>IF($P2890="","",INDEX(상세표[블록 18~22시],$P2890))</f>
        <v/>
      </c>
      <c r="M2890">
        <f>IF($P2890="","",INDEX(상세표[블록 22~06시],$P2890))</f>
        <v/>
      </c>
      <c r="N2890">
        <f>IF($P2890="","",INDEX(상세표[주말·휴일 포함],$P2890)&amp;"")</f>
        <v/>
      </c>
      <c r="O2890">
        <f>IF($P2890="","",INDEX(상세표[월 넘김 포함],$P2890)&amp;"")</f>
        <v/>
      </c>
      <c r="P2890" s="4">
        <f>IFERROR(MATCH(2885,상세표[연속순번],0),"")</f>
        <v/>
      </c>
    </row>
    <row r="2891">
      <c r="A2891">
        <f>IF($P2891="","",INDEX(상세표[사번],$P2891)&amp;"")</f>
        <v/>
      </c>
      <c r="B2891">
        <f>IF($P2891="","",INDEX(상세표[성명],$P2891)&amp;"")</f>
        <v/>
      </c>
      <c r="C2891">
        <f>IF($P2891="","",INDEX(상세표[부서],$P2891)&amp;"")</f>
        <v/>
      </c>
      <c r="D2891">
        <f>IF($P2891="","",INDEX(상세표[직위],$P2891)&amp;"")</f>
        <v/>
      </c>
      <c r="E2891">
        <f>IF($P2891="","",IF(ISNUMBER(INDEX(상세표[시작],$P2891)),TEXT(INDEX(상세표[시작],$P2891),"yyyy-mm-dd hh:mm"),INDEX(상세표[시작],$P2891)&amp;""))</f>
        <v/>
      </c>
      <c r="F2891">
        <f>IF($P2891="","",IF(ISNUMBER(INDEX(상세표[블록종료],$P2891)),TEXT(INDEX(상세표[블록종료],$P2891),"yyyy-mm-dd hh:mm"),INDEX(상세표[블록종료],$P2891)&amp;""))</f>
        <v/>
      </c>
      <c r="G2891">
        <f>IF($P2891="","",CHOOSE(WEEKDAY(INDEX(상세표[시작],$P2891)),"일","월","화","수","목","금","토"))</f>
        <v/>
      </c>
      <c r="H2891">
        <f>IF($P2891="","",INDEX(상세표[연속 시간],$P2891))</f>
        <v/>
      </c>
      <c r="I2891">
        <f>IF($P2891="","",INDEX(상세표[기록 수],$P2891))</f>
        <v/>
      </c>
      <c r="J2891">
        <f>IF($P2891="","",INDEX(상세표[블록 06~07시],$P2891))</f>
        <v/>
      </c>
      <c r="K2891">
        <f>IF($P2891="","",INDEX(상세표[블록 07~18시],$P2891))</f>
        <v/>
      </c>
      <c r="L2891">
        <f>IF($P2891="","",INDEX(상세표[블록 18~22시],$P2891))</f>
        <v/>
      </c>
      <c r="M2891">
        <f>IF($P2891="","",INDEX(상세표[블록 22~06시],$P2891))</f>
        <v/>
      </c>
      <c r="N2891">
        <f>IF($P2891="","",INDEX(상세표[주말·휴일 포함],$P2891)&amp;"")</f>
        <v/>
      </c>
      <c r="O2891">
        <f>IF($P2891="","",INDEX(상세표[월 넘김 포함],$P2891)&amp;"")</f>
        <v/>
      </c>
      <c r="P2891" s="4">
        <f>IFERROR(MATCH(2886,상세표[연속순번],0),"")</f>
        <v/>
      </c>
    </row>
    <row r="2892">
      <c r="A2892">
        <f>IF($P2892="","",INDEX(상세표[사번],$P2892)&amp;"")</f>
        <v/>
      </c>
      <c r="B2892">
        <f>IF($P2892="","",INDEX(상세표[성명],$P2892)&amp;"")</f>
        <v/>
      </c>
      <c r="C2892">
        <f>IF($P2892="","",INDEX(상세표[부서],$P2892)&amp;"")</f>
        <v/>
      </c>
      <c r="D2892">
        <f>IF($P2892="","",INDEX(상세표[직위],$P2892)&amp;"")</f>
        <v/>
      </c>
      <c r="E2892">
        <f>IF($P2892="","",IF(ISNUMBER(INDEX(상세표[시작],$P2892)),TEXT(INDEX(상세표[시작],$P2892),"yyyy-mm-dd hh:mm"),INDEX(상세표[시작],$P2892)&amp;""))</f>
        <v/>
      </c>
      <c r="F2892">
        <f>IF($P2892="","",IF(ISNUMBER(INDEX(상세표[블록종료],$P2892)),TEXT(INDEX(상세표[블록종료],$P2892),"yyyy-mm-dd hh:mm"),INDEX(상세표[블록종료],$P2892)&amp;""))</f>
        <v/>
      </c>
      <c r="G2892">
        <f>IF($P2892="","",CHOOSE(WEEKDAY(INDEX(상세표[시작],$P2892)),"일","월","화","수","목","금","토"))</f>
        <v/>
      </c>
      <c r="H2892">
        <f>IF($P2892="","",INDEX(상세표[연속 시간],$P2892))</f>
        <v/>
      </c>
      <c r="I2892">
        <f>IF($P2892="","",INDEX(상세표[기록 수],$P2892))</f>
        <v/>
      </c>
      <c r="J2892">
        <f>IF($P2892="","",INDEX(상세표[블록 06~07시],$P2892))</f>
        <v/>
      </c>
      <c r="K2892">
        <f>IF($P2892="","",INDEX(상세표[블록 07~18시],$P2892))</f>
        <v/>
      </c>
      <c r="L2892">
        <f>IF($P2892="","",INDEX(상세표[블록 18~22시],$P2892))</f>
        <v/>
      </c>
      <c r="M2892">
        <f>IF($P2892="","",INDEX(상세표[블록 22~06시],$P2892))</f>
        <v/>
      </c>
      <c r="N2892">
        <f>IF($P2892="","",INDEX(상세표[주말·휴일 포함],$P2892)&amp;"")</f>
        <v/>
      </c>
      <c r="O2892">
        <f>IF($P2892="","",INDEX(상세표[월 넘김 포함],$P2892)&amp;"")</f>
        <v/>
      </c>
      <c r="P2892" s="4">
        <f>IFERROR(MATCH(2887,상세표[연속순번],0),"")</f>
        <v/>
      </c>
    </row>
    <row r="2893">
      <c r="A2893">
        <f>IF($P2893="","",INDEX(상세표[사번],$P2893)&amp;"")</f>
        <v/>
      </c>
      <c r="B2893">
        <f>IF($P2893="","",INDEX(상세표[성명],$P2893)&amp;"")</f>
        <v/>
      </c>
      <c r="C2893">
        <f>IF($P2893="","",INDEX(상세표[부서],$P2893)&amp;"")</f>
        <v/>
      </c>
      <c r="D2893">
        <f>IF($P2893="","",INDEX(상세표[직위],$P2893)&amp;"")</f>
        <v/>
      </c>
      <c r="E2893">
        <f>IF($P2893="","",IF(ISNUMBER(INDEX(상세표[시작],$P2893)),TEXT(INDEX(상세표[시작],$P2893),"yyyy-mm-dd hh:mm"),INDEX(상세표[시작],$P2893)&amp;""))</f>
        <v/>
      </c>
      <c r="F2893">
        <f>IF($P2893="","",IF(ISNUMBER(INDEX(상세표[블록종료],$P2893)),TEXT(INDEX(상세표[블록종료],$P2893),"yyyy-mm-dd hh:mm"),INDEX(상세표[블록종료],$P2893)&amp;""))</f>
        <v/>
      </c>
      <c r="G2893">
        <f>IF($P2893="","",CHOOSE(WEEKDAY(INDEX(상세표[시작],$P2893)),"일","월","화","수","목","금","토"))</f>
        <v/>
      </c>
      <c r="H2893">
        <f>IF($P2893="","",INDEX(상세표[연속 시간],$P2893))</f>
        <v/>
      </c>
      <c r="I2893">
        <f>IF($P2893="","",INDEX(상세표[기록 수],$P2893))</f>
        <v/>
      </c>
      <c r="J2893">
        <f>IF($P2893="","",INDEX(상세표[블록 06~07시],$P2893))</f>
        <v/>
      </c>
      <c r="K2893">
        <f>IF($P2893="","",INDEX(상세표[블록 07~18시],$P2893))</f>
        <v/>
      </c>
      <c r="L2893">
        <f>IF($P2893="","",INDEX(상세표[블록 18~22시],$P2893))</f>
        <v/>
      </c>
      <c r="M2893">
        <f>IF($P2893="","",INDEX(상세표[블록 22~06시],$P2893))</f>
        <v/>
      </c>
      <c r="N2893">
        <f>IF($P2893="","",INDEX(상세표[주말·휴일 포함],$P2893)&amp;"")</f>
        <v/>
      </c>
      <c r="O2893">
        <f>IF($P2893="","",INDEX(상세표[월 넘김 포함],$P2893)&amp;"")</f>
        <v/>
      </c>
      <c r="P2893" s="4">
        <f>IFERROR(MATCH(2888,상세표[연속순번],0),"")</f>
        <v/>
      </c>
    </row>
    <row r="2894">
      <c r="A2894">
        <f>IF($P2894="","",INDEX(상세표[사번],$P2894)&amp;"")</f>
        <v/>
      </c>
      <c r="B2894">
        <f>IF($P2894="","",INDEX(상세표[성명],$P2894)&amp;"")</f>
        <v/>
      </c>
      <c r="C2894">
        <f>IF($P2894="","",INDEX(상세표[부서],$P2894)&amp;"")</f>
        <v/>
      </c>
      <c r="D2894">
        <f>IF($P2894="","",INDEX(상세표[직위],$P2894)&amp;"")</f>
        <v/>
      </c>
      <c r="E2894">
        <f>IF($P2894="","",IF(ISNUMBER(INDEX(상세표[시작],$P2894)),TEXT(INDEX(상세표[시작],$P2894),"yyyy-mm-dd hh:mm"),INDEX(상세표[시작],$P2894)&amp;""))</f>
        <v/>
      </c>
      <c r="F2894">
        <f>IF($P2894="","",IF(ISNUMBER(INDEX(상세표[블록종료],$P2894)),TEXT(INDEX(상세표[블록종료],$P2894),"yyyy-mm-dd hh:mm"),INDEX(상세표[블록종료],$P2894)&amp;""))</f>
        <v/>
      </c>
      <c r="G2894">
        <f>IF($P2894="","",CHOOSE(WEEKDAY(INDEX(상세표[시작],$P2894)),"일","월","화","수","목","금","토"))</f>
        <v/>
      </c>
      <c r="H2894">
        <f>IF($P2894="","",INDEX(상세표[연속 시간],$P2894))</f>
        <v/>
      </c>
      <c r="I2894">
        <f>IF($P2894="","",INDEX(상세표[기록 수],$P2894))</f>
        <v/>
      </c>
      <c r="J2894">
        <f>IF($P2894="","",INDEX(상세표[블록 06~07시],$P2894))</f>
        <v/>
      </c>
      <c r="K2894">
        <f>IF($P2894="","",INDEX(상세표[블록 07~18시],$P2894))</f>
        <v/>
      </c>
      <c r="L2894">
        <f>IF($P2894="","",INDEX(상세표[블록 18~22시],$P2894))</f>
        <v/>
      </c>
      <c r="M2894">
        <f>IF($P2894="","",INDEX(상세표[블록 22~06시],$P2894))</f>
        <v/>
      </c>
      <c r="N2894">
        <f>IF($P2894="","",INDEX(상세표[주말·휴일 포함],$P2894)&amp;"")</f>
        <v/>
      </c>
      <c r="O2894">
        <f>IF($P2894="","",INDEX(상세표[월 넘김 포함],$P2894)&amp;"")</f>
        <v/>
      </c>
      <c r="P2894" s="4">
        <f>IFERROR(MATCH(2889,상세표[연속순번],0),"")</f>
        <v/>
      </c>
    </row>
    <row r="2895">
      <c r="A2895">
        <f>IF($P2895="","",INDEX(상세표[사번],$P2895)&amp;"")</f>
        <v/>
      </c>
      <c r="B2895">
        <f>IF($P2895="","",INDEX(상세표[성명],$P2895)&amp;"")</f>
        <v/>
      </c>
      <c r="C2895">
        <f>IF($P2895="","",INDEX(상세표[부서],$P2895)&amp;"")</f>
        <v/>
      </c>
      <c r="D2895">
        <f>IF($P2895="","",INDEX(상세표[직위],$P2895)&amp;"")</f>
        <v/>
      </c>
      <c r="E2895">
        <f>IF($P2895="","",IF(ISNUMBER(INDEX(상세표[시작],$P2895)),TEXT(INDEX(상세표[시작],$P2895),"yyyy-mm-dd hh:mm"),INDEX(상세표[시작],$P2895)&amp;""))</f>
        <v/>
      </c>
      <c r="F2895">
        <f>IF($P2895="","",IF(ISNUMBER(INDEX(상세표[블록종료],$P2895)),TEXT(INDEX(상세표[블록종료],$P2895),"yyyy-mm-dd hh:mm"),INDEX(상세표[블록종료],$P2895)&amp;""))</f>
        <v/>
      </c>
      <c r="G2895">
        <f>IF($P2895="","",CHOOSE(WEEKDAY(INDEX(상세표[시작],$P2895)),"일","월","화","수","목","금","토"))</f>
        <v/>
      </c>
      <c r="H2895">
        <f>IF($P2895="","",INDEX(상세표[연속 시간],$P2895))</f>
        <v/>
      </c>
      <c r="I2895">
        <f>IF($P2895="","",INDEX(상세표[기록 수],$P2895))</f>
        <v/>
      </c>
      <c r="J2895">
        <f>IF($P2895="","",INDEX(상세표[블록 06~07시],$P2895))</f>
        <v/>
      </c>
      <c r="K2895">
        <f>IF($P2895="","",INDEX(상세표[블록 07~18시],$P2895))</f>
        <v/>
      </c>
      <c r="L2895">
        <f>IF($P2895="","",INDEX(상세표[블록 18~22시],$P2895))</f>
        <v/>
      </c>
      <c r="M2895">
        <f>IF($P2895="","",INDEX(상세표[블록 22~06시],$P2895))</f>
        <v/>
      </c>
      <c r="N2895">
        <f>IF($P2895="","",INDEX(상세표[주말·휴일 포함],$P2895)&amp;"")</f>
        <v/>
      </c>
      <c r="O2895">
        <f>IF($P2895="","",INDEX(상세표[월 넘김 포함],$P2895)&amp;"")</f>
        <v/>
      </c>
      <c r="P2895" s="4">
        <f>IFERROR(MATCH(2890,상세표[연속순번],0),"")</f>
        <v/>
      </c>
    </row>
    <row r="2896">
      <c r="A2896">
        <f>IF($P2896="","",INDEX(상세표[사번],$P2896)&amp;"")</f>
        <v/>
      </c>
      <c r="B2896">
        <f>IF($P2896="","",INDEX(상세표[성명],$P2896)&amp;"")</f>
        <v/>
      </c>
      <c r="C2896">
        <f>IF($P2896="","",INDEX(상세표[부서],$P2896)&amp;"")</f>
        <v/>
      </c>
      <c r="D2896">
        <f>IF($P2896="","",INDEX(상세표[직위],$P2896)&amp;"")</f>
        <v/>
      </c>
      <c r="E2896">
        <f>IF($P2896="","",IF(ISNUMBER(INDEX(상세표[시작],$P2896)),TEXT(INDEX(상세표[시작],$P2896),"yyyy-mm-dd hh:mm"),INDEX(상세표[시작],$P2896)&amp;""))</f>
        <v/>
      </c>
      <c r="F2896">
        <f>IF($P2896="","",IF(ISNUMBER(INDEX(상세표[블록종료],$P2896)),TEXT(INDEX(상세표[블록종료],$P2896),"yyyy-mm-dd hh:mm"),INDEX(상세표[블록종료],$P2896)&amp;""))</f>
        <v/>
      </c>
      <c r="G2896">
        <f>IF($P2896="","",CHOOSE(WEEKDAY(INDEX(상세표[시작],$P2896)),"일","월","화","수","목","금","토"))</f>
        <v/>
      </c>
      <c r="H2896">
        <f>IF($P2896="","",INDEX(상세표[연속 시간],$P2896))</f>
        <v/>
      </c>
      <c r="I2896">
        <f>IF($P2896="","",INDEX(상세표[기록 수],$P2896))</f>
        <v/>
      </c>
      <c r="J2896">
        <f>IF($P2896="","",INDEX(상세표[블록 06~07시],$P2896))</f>
        <v/>
      </c>
      <c r="K2896">
        <f>IF($P2896="","",INDEX(상세표[블록 07~18시],$P2896))</f>
        <v/>
      </c>
      <c r="L2896">
        <f>IF($P2896="","",INDEX(상세표[블록 18~22시],$P2896))</f>
        <v/>
      </c>
      <c r="M2896">
        <f>IF($P2896="","",INDEX(상세표[블록 22~06시],$P2896))</f>
        <v/>
      </c>
      <c r="N2896">
        <f>IF($P2896="","",INDEX(상세표[주말·휴일 포함],$P2896)&amp;"")</f>
        <v/>
      </c>
      <c r="O2896">
        <f>IF($P2896="","",INDEX(상세표[월 넘김 포함],$P2896)&amp;"")</f>
        <v/>
      </c>
      <c r="P2896" s="4">
        <f>IFERROR(MATCH(2891,상세표[연속순번],0),"")</f>
        <v/>
      </c>
    </row>
    <row r="2897">
      <c r="A2897">
        <f>IF($P2897="","",INDEX(상세표[사번],$P2897)&amp;"")</f>
        <v/>
      </c>
      <c r="B2897">
        <f>IF($P2897="","",INDEX(상세표[성명],$P2897)&amp;"")</f>
        <v/>
      </c>
      <c r="C2897">
        <f>IF($P2897="","",INDEX(상세표[부서],$P2897)&amp;"")</f>
        <v/>
      </c>
      <c r="D2897">
        <f>IF($P2897="","",INDEX(상세표[직위],$P2897)&amp;"")</f>
        <v/>
      </c>
      <c r="E2897">
        <f>IF($P2897="","",IF(ISNUMBER(INDEX(상세표[시작],$P2897)),TEXT(INDEX(상세표[시작],$P2897),"yyyy-mm-dd hh:mm"),INDEX(상세표[시작],$P2897)&amp;""))</f>
        <v/>
      </c>
      <c r="F2897">
        <f>IF($P2897="","",IF(ISNUMBER(INDEX(상세표[블록종료],$P2897)),TEXT(INDEX(상세표[블록종료],$P2897),"yyyy-mm-dd hh:mm"),INDEX(상세표[블록종료],$P2897)&amp;""))</f>
        <v/>
      </c>
      <c r="G2897">
        <f>IF($P2897="","",CHOOSE(WEEKDAY(INDEX(상세표[시작],$P2897)),"일","월","화","수","목","금","토"))</f>
        <v/>
      </c>
      <c r="H2897">
        <f>IF($P2897="","",INDEX(상세표[연속 시간],$P2897))</f>
        <v/>
      </c>
      <c r="I2897">
        <f>IF($P2897="","",INDEX(상세표[기록 수],$P2897))</f>
        <v/>
      </c>
      <c r="J2897">
        <f>IF($P2897="","",INDEX(상세표[블록 06~07시],$P2897))</f>
        <v/>
      </c>
      <c r="K2897">
        <f>IF($P2897="","",INDEX(상세표[블록 07~18시],$P2897))</f>
        <v/>
      </c>
      <c r="L2897">
        <f>IF($P2897="","",INDEX(상세표[블록 18~22시],$P2897))</f>
        <v/>
      </c>
      <c r="M2897">
        <f>IF($P2897="","",INDEX(상세표[블록 22~06시],$P2897))</f>
        <v/>
      </c>
      <c r="N2897">
        <f>IF($P2897="","",INDEX(상세표[주말·휴일 포함],$P2897)&amp;"")</f>
        <v/>
      </c>
      <c r="O2897">
        <f>IF($P2897="","",INDEX(상세표[월 넘김 포함],$P2897)&amp;"")</f>
        <v/>
      </c>
      <c r="P2897" s="4">
        <f>IFERROR(MATCH(2892,상세표[연속순번],0),"")</f>
        <v/>
      </c>
    </row>
    <row r="2898">
      <c r="A2898">
        <f>IF($P2898="","",INDEX(상세표[사번],$P2898)&amp;"")</f>
        <v/>
      </c>
      <c r="B2898">
        <f>IF($P2898="","",INDEX(상세표[성명],$P2898)&amp;"")</f>
        <v/>
      </c>
      <c r="C2898">
        <f>IF($P2898="","",INDEX(상세표[부서],$P2898)&amp;"")</f>
        <v/>
      </c>
      <c r="D2898">
        <f>IF($P2898="","",INDEX(상세표[직위],$P2898)&amp;"")</f>
        <v/>
      </c>
      <c r="E2898">
        <f>IF($P2898="","",IF(ISNUMBER(INDEX(상세표[시작],$P2898)),TEXT(INDEX(상세표[시작],$P2898),"yyyy-mm-dd hh:mm"),INDEX(상세표[시작],$P2898)&amp;""))</f>
        <v/>
      </c>
      <c r="F2898">
        <f>IF($P2898="","",IF(ISNUMBER(INDEX(상세표[블록종료],$P2898)),TEXT(INDEX(상세표[블록종료],$P2898),"yyyy-mm-dd hh:mm"),INDEX(상세표[블록종료],$P2898)&amp;""))</f>
        <v/>
      </c>
      <c r="G2898">
        <f>IF($P2898="","",CHOOSE(WEEKDAY(INDEX(상세표[시작],$P2898)),"일","월","화","수","목","금","토"))</f>
        <v/>
      </c>
      <c r="H2898">
        <f>IF($P2898="","",INDEX(상세표[연속 시간],$P2898))</f>
        <v/>
      </c>
      <c r="I2898">
        <f>IF($P2898="","",INDEX(상세표[기록 수],$P2898))</f>
        <v/>
      </c>
      <c r="J2898">
        <f>IF($P2898="","",INDEX(상세표[블록 06~07시],$P2898))</f>
        <v/>
      </c>
      <c r="K2898">
        <f>IF($P2898="","",INDEX(상세표[블록 07~18시],$P2898))</f>
        <v/>
      </c>
      <c r="L2898">
        <f>IF($P2898="","",INDEX(상세표[블록 18~22시],$P2898))</f>
        <v/>
      </c>
      <c r="M2898">
        <f>IF($P2898="","",INDEX(상세표[블록 22~06시],$P2898))</f>
        <v/>
      </c>
      <c r="N2898">
        <f>IF($P2898="","",INDEX(상세표[주말·휴일 포함],$P2898)&amp;"")</f>
        <v/>
      </c>
      <c r="O2898">
        <f>IF($P2898="","",INDEX(상세표[월 넘김 포함],$P2898)&amp;"")</f>
        <v/>
      </c>
      <c r="P2898" s="4">
        <f>IFERROR(MATCH(2893,상세표[연속순번],0),"")</f>
        <v/>
      </c>
    </row>
    <row r="2899">
      <c r="A2899">
        <f>IF($P2899="","",INDEX(상세표[사번],$P2899)&amp;"")</f>
        <v/>
      </c>
      <c r="B2899">
        <f>IF($P2899="","",INDEX(상세표[성명],$P2899)&amp;"")</f>
        <v/>
      </c>
      <c r="C2899">
        <f>IF($P2899="","",INDEX(상세표[부서],$P2899)&amp;"")</f>
        <v/>
      </c>
      <c r="D2899">
        <f>IF($P2899="","",INDEX(상세표[직위],$P2899)&amp;"")</f>
        <v/>
      </c>
      <c r="E2899">
        <f>IF($P2899="","",IF(ISNUMBER(INDEX(상세표[시작],$P2899)),TEXT(INDEX(상세표[시작],$P2899),"yyyy-mm-dd hh:mm"),INDEX(상세표[시작],$P2899)&amp;""))</f>
        <v/>
      </c>
      <c r="F2899">
        <f>IF($P2899="","",IF(ISNUMBER(INDEX(상세표[블록종료],$P2899)),TEXT(INDEX(상세표[블록종료],$P2899),"yyyy-mm-dd hh:mm"),INDEX(상세표[블록종료],$P2899)&amp;""))</f>
        <v/>
      </c>
      <c r="G2899">
        <f>IF($P2899="","",CHOOSE(WEEKDAY(INDEX(상세표[시작],$P2899)),"일","월","화","수","목","금","토"))</f>
        <v/>
      </c>
      <c r="H2899">
        <f>IF($P2899="","",INDEX(상세표[연속 시간],$P2899))</f>
        <v/>
      </c>
      <c r="I2899">
        <f>IF($P2899="","",INDEX(상세표[기록 수],$P2899))</f>
        <v/>
      </c>
      <c r="J2899">
        <f>IF($P2899="","",INDEX(상세표[블록 06~07시],$P2899))</f>
        <v/>
      </c>
      <c r="K2899">
        <f>IF($P2899="","",INDEX(상세표[블록 07~18시],$P2899))</f>
        <v/>
      </c>
      <c r="L2899">
        <f>IF($P2899="","",INDEX(상세표[블록 18~22시],$P2899))</f>
        <v/>
      </c>
      <c r="M2899">
        <f>IF($P2899="","",INDEX(상세표[블록 22~06시],$P2899))</f>
        <v/>
      </c>
      <c r="N2899">
        <f>IF($P2899="","",INDEX(상세표[주말·휴일 포함],$P2899)&amp;"")</f>
        <v/>
      </c>
      <c r="O2899">
        <f>IF($P2899="","",INDEX(상세표[월 넘김 포함],$P2899)&amp;"")</f>
        <v/>
      </c>
      <c r="P2899" s="4">
        <f>IFERROR(MATCH(2894,상세표[연속순번],0),"")</f>
        <v/>
      </c>
    </row>
    <row r="2900">
      <c r="A2900">
        <f>IF($P2900="","",INDEX(상세표[사번],$P2900)&amp;"")</f>
        <v/>
      </c>
      <c r="B2900">
        <f>IF($P2900="","",INDEX(상세표[성명],$P2900)&amp;"")</f>
        <v/>
      </c>
      <c r="C2900">
        <f>IF($P2900="","",INDEX(상세표[부서],$P2900)&amp;"")</f>
        <v/>
      </c>
      <c r="D2900">
        <f>IF($P2900="","",INDEX(상세표[직위],$P2900)&amp;"")</f>
        <v/>
      </c>
      <c r="E2900">
        <f>IF($P2900="","",IF(ISNUMBER(INDEX(상세표[시작],$P2900)),TEXT(INDEX(상세표[시작],$P2900),"yyyy-mm-dd hh:mm"),INDEX(상세표[시작],$P2900)&amp;""))</f>
        <v/>
      </c>
      <c r="F2900">
        <f>IF($P2900="","",IF(ISNUMBER(INDEX(상세표[블록종료],$P2900)),TEXT(INDEX(상세표[블록종료],$P2900),"yyyy-mm-dd hh:mm"),INDEX(상세표[블록종료],$P2900)&amp;""))</f>
        <v/>
      </c>
      <c r="G2900">
        <f>IF($P2900="","",CHOOSE(WEEKDAY(INDEX(상세표[시작],$P2900)),"일","월","화","수","목","금","토"))</f>
        <v/>
      </c>
      <c r="H2900">
        <f>IF($P2900="","",INDEX(상세표[연속 시간],$P2900))</f>
        <v/>
      </c>
      <c r="I2900">
        <f>IF($P2900="","",INDEX(상세표[기록 수],$P2900))</f>
        <v/>
      </c>
      <c r="J2900">
        <f>IF($P2900="","",INDEX(상세표[블록 06~07시],$P2900))</f>
        <v/>
      </c>
      <c r="K2900">
        <f>IF($P2900="","",INDEX(상세표[블록 07~18시],$P2900))</f>
        <v/>
      </c>
      <c r="L2900">
        <f>IF($P2900="","",INDEX(상세표[블록 18~22시],$P2900))</f>
        <v/>
      </c>
      <c r="M2900">
        <f>IF($P2900="","",INDEX(상세표[블록 22~06시],$P2900))</f>
        <v/>
      </c>
      <c r="N2900">
        <f>IF($P2900="","",INDEX(상세표[주말·휴일 포함],$P2900)&amp;"")</f>
        <v/>
      </c>
      <c r="O2900">
        <f>IF($P2900="","",INDEX(상세표[월 넘김 포함],$P2900)&amp;"")</f>
        <v/>
      </c>
      <c r="P2900" s="4">
        <f>IFERROR(MATCH(2895,상세표[연속순번],0),"")</f>
        <v/>
      </c>
    </row>
    <row r="2901">
      <c r="A2901">
        <f>IF($P2901="","",INDEX(상세표[사번],$P2901)&amp;"")</f>
        <v/>
      </c>
      <c r="B2901">
        <f>IF($P2901="","",INDEX(상세표[성명],$P2901)&amp;"")</f>
        <v/>
      </c>
      <c r="C2901">
        <f>IF($P2901="","",INDEX(상세표[부서],$P2901)&amp;"")</f>
        <v/>
      </c>
      <c r="D2901">
        <f>IF($P2901="","",INDEX(상세표[직위],$P2901)&amp;"")</f>
        <v/>
      </c>
      <c r="E2901">
        <f>IF($P2901="","",IF(ISNUMBER(INDEX(상세표[시작],$P2901)),TEXT(INDEX(상세표[시작],$P2901),"yyyy-mm-dd hh:mm"),INDEX(상세표[시작],$P2901)&amp;""))</f>
        <v/>
      </c>
      <c r="F2901">
        <f>IF($P2901="","",IF(ISNUMBER(INDEX(상세표[블록종료],$P2901)),TEXT(INDEX(상세표[블록종료],$P2901),"yyyy-mm-dd hh:mm"),INDEX(상세표[블록종료],$P2901)&amp;""))</f>
        <v/>
      </c>
      <c r="G2901">
        <f>IF($P2901="","",CHOOSE(WEEKDAY(INDEX(상세표[시작],$P2901)),"일","월","화","수","목","금","토"))</f>
        <v/>
      </c>
      <c r="H2901">
        <f>IF($P2901="","",INDEX(상세표[연속 시간],$P2901))</f>
        <v/>
      </c>
      <c r="I2901">
        <f>IF($P2901="","",INDEX(상세표[기록 수],$P2901))</f>
        <v/>
      </c>
      <c r="J2901">
        <f>IF($P2901="","",INDEX(상세표[블록 06~07시],$P2901))</f>
        <v/>
      </c>
      <c r="K2901">
        <f>IF($P2901="","",INDEX(상세표[블록 07~18시],$P2901))</f>
        <v/>
      </c>
      <c r="L2901">
        <f>IF($P2901="","",INDEX(상세표[블록 18~22시],$P2901))</f>
        <v/>
      </c>
      <c r="M2901">
        <f>IF($P2901="","",INDEX(상세표[블록 22~06시],$P2901))</f>
        <v/>
      </c>
      <c r="N2901">
        <f>IF($P2901="","",INDEX(상세표[주말·휴일 포함],$P2901)&amp;"")</f>
        <v/>
      </c>
      <c r="O2901">
        <f>IF($P2901="","",INDEX(상세표[월 넘김 포함],$P2901)&amp;"")</f>
        <v/>
      </c>
      <c r="P2901" s="4">
        <f>IFERROR(MATCH(2896,상세표[연속순번],0),"")</f>
        <v/>
      </c>
    </row>
    <row r="2902">
      <c r="A2902">
        <f>IF($P2902="","",INDEX(상세표[사번],$P2902)&amp;"")</f>
        <v/>
      </c>
      <c r="B2902">
        <f>IF($P2902="","",INDEX(상세표[성명],$P2902)&amp;"")</f>
        <v/>
      </c>
      <c r="C2902">
        <f>IF($P2902="","",INDEX(상세표[부서],$P2902)&amp;"")</f>
        <v/>
      </c>
      <c r="D2902">
        <f>IF($P2902="","",INDEX(상세표[직위],$P2902)&amp;"")</f>
        <v/>
      </c>
      <c r="E2902">
        <f>IF($P2902="","",IF(ISNUMBER(INDEX(상세표[시작],$P2902)),TEXT(INDEX(상세표[시작],$P2902),"yyyy-mm-dd hh:mm"),INDEX(상세표[시작],$P2902)&amp;""))</f>
        <v/>
      </c>
      <c r="F2902">
        <f>IF($P2902="","",IF(ISNUMBER(INDEX(상세표[블록종료],$P2902)),TEXT(INDEX(상세표[블록종료],$P2902),"yyyy-mm-dd hh:mm"),INDEX(상세표[블록종료],$P2902)&amp;""))</f>
        <v/>
      </c>
      <c r="G2902">
        <f>IF($P2902="","",CHOOSE(WEEKDAY(INDEX(상세표[시작],$P2902)),"일","월","화","수","목","금","토"))</f>
        <v/>
      </c>
      <c r="H2902">
        <f>IF($P2902="","",INDEX(상세표[연속 시간],$P2902))</f>
        <v/>
      </c>
      <c r="I2902">
        <f>IF($P2902="","",INDEX(상세표[기록 수],$P2902))</f>
        <v/>
      </c>
      <c r="J2902">
        <f>IF($P2902="","",INDEX(상세표[블록 06~07시],$P2902))</f>
        <v/>
      </c>
      <c r="K2902">
        <f>IF($P2902="","",INDEX(상세표[블록 07~18시],$P2902))</f>
        <v/>
      </c>
      <c r="L2902">
        <f>IF($P2902="","",INDEX(상세표[블록 18~22시],$P2902))</f>
        <v/>
      </c>
      <c r="M2902">
        <f>IF($P2902="","",INDEX(상세표[블록 22~06시],$P2902))</f>
        <v/>
      </c>
      <c r="N2902">
        <f>IF($P2902="","",INDEX(상세표[주말·휴일 포함],$P2902)&amp;"")</f>
        <v/>
      </c>
      <c r="O2902">
        <f>IF($P2902="","",INDEX(상세표[월 넘김 포함],$P2902)&amp;"")</f>
        <v/>
      </c>
      <c r="P2902" s="4">
        <f>IFERROR(MATCH(2897,상세표[연속순번],0),"")</f>
        <v/>
      </c>
    </row>
    <row r="2903">
      <c r="A2903">
        <f>IF($P2903="","",INDEX(상세표[사번],$P2903)&amp;"")</f>
        <v/>
      </c>
      <c r="B2903">
        <f>IF($P2903="","",INDEX(상세표[성명],$P2903)&amp;"")</f>
        <v/>
      </c>
      <c r="C2903">
        <f>IF($P2903="","",INDEX(상세표[부서],$P2903)&amp;"")</f>
        <v/>
      </c>
      <c r="D2903">
        <f>IF($P2903="","",INDEX(상세표[직위],$P2903)&amp;"")</f>
        <v/>
      </c>
      <c r="E2903">
        <f>IF($P2903="","",IF(ISNUMBER(INDEX(상세표[시작],$P2903)),TEXT(INDEX(상세표[시작],$P2903),"yyyy-mm-dd hh:mm"),INDEX(상세표[시작],$P2903)&amp;""))</f>
        <v/>
      </c>
      <c r="F2903">
        <f>IF($P2903="","",IF(ISNUMBER(INDEX(상세표[블록종료],$P2903)),TEXT(INDEX(상세표[블록종료],$P2903),"yyyy-mm-dd hh:mm"),INDEX(상세표[블록종료],$P2903)&amp;""))</f>
        <v/>
      </c>
      <c r="G2903">
        <f>IF($P2903="","",CHOOSE(WEEKDAY(INDEX(상세표[시작],$P2903)),"일","월","화","수","목","금","토"))</f>
        <v/>
      </c>
      <c r="H2903">
        <f>IF($P2903="","",INDEX(상세표[연속 시간],$P2903))</f>
        <v/>
      </c>
      <c r="I2903">
        <f>IF($P2903="","",INDEX(상세표[기록 수],$P2903))</f>
        <v/>
      </c>
      <c r="J2903">
        <f>IF($P2903="","",INDEX(상세표[블록 06~07시],$P2903))</f>
        <v/>
      </c>
      <c r="K2903">
        <f>IF($P2903="","",INDEX(상세표[블록 07~18시],$P2903))</f>
        <v/>
      </c>
      <c r="L2903">
        <f>IF($P2903="","",INDEX(상세표[블록 18~22시],$P2903))</f>
        <v/>
      </c>
      <c r="M2903">
        <f>IF($P2903="","",INDEX(상세표[블록 22~06시],$P2903))</f>
        <v/>
      </c>
      <c r="N2903">
        <f>IF($P2903="","",INDEX(상세표[주말·휴일 포함],$P2903)&amp;"")</f>
        <v/>
      </c>
      <c r="O2903">
        <f>IF($P2903="","",INDEX(상세표[월 넘김 포함],$P2903)&amp;"")</f>
        <v/>
      </c>
      <c r="P2903" s="4">
        <f>IFERROR(MATCH(2898,상세표[연속순번],0),"")</f>
        <v/>
      </c>
    </row>
    <row r="2904">
      <c r="A2904">
        <f>IF($P2904="","",INDEX(상세표[사번],$P2904)&amp;"")</f>
        <v/>
      </c>
      <c r="B2904">
        <f>IF($P2904="","",INDEX(상세표[성명],$P2904)&amp;"")</f>
        <v/>
      </c>
      <c r="C2904">
        <f>IF($P2904="","",INDEX(상세표[부서],$P2904)&amp;"")</f>
        <v/>
      </c>
      <c r="D2904">
        <f>IF($P2904="","",INDEX(상세표[직위],$P2904)&amp;"")</f>
        <v/>
      </c>
      <c r="E2904">
        <f>IF($P2904="","",IF(ISNUMBER(INDEX(상세표[시작],$P2904)),TEXT(INDEX(상세표[시작],$P2904),"yyyy-mm-dd hh:mm"),INDEX(상세표[시작],$P2904)&amp;""))</f>
        <v/>
      </c>
      <c r="F2904">
        <f>IF($P2904="","",IF(ISNUMBER(INDEX(상세표[블록종료],$P2904)),TEXT(INDEX(상세표[블록종료],$P2904),"yyyy-mm-dd hh:mm"),INDEX(상세표[블록종료],$P2904)&amp;""))</f>
        <v/>
      </c>
      <c r="G2904">
        <f>IF($P2904="","",CHOOSE(WEEKDAY(INDEX(상세표[시작],$P2904)),"일","월","화","수","목","금","토"))</f>
        <v/>
      </c>
      <c r="H2904">
        <f>IF($P2904="","",INDEX(상세표[연속 시간],$P2904))</f>
        <v/>
      </c>
      <c r="I2904">
        <f>IF($P2904="","",INDEX(상세표[기록 수],$P2904))</f>
        <v/>
      </c>
      <c r="J2904">
        <f>IF($P2904="","",INDEX(상세표[블록 06~07시],$P2904))</f>
        <v/>
      </c>
      <c r="K2904">
        <f>IF($P2904="","",INDEX(상세표[블록 07~18시],$P2904))</f>
        <v/>
      </c>
      <c r="L2904">
        <f>IF($P2904="","",INDEX(상세표[블록 18~22시],$P2904))</f>
        <v/>
      </c>
      <c r="M2904">
        <f>IF($P2904="","",INDEX(상세표[블록 22~06시],$P2904))</f>
        <v/>
      </c>
      <c r="N2904">
        <f>IF($P2904="","",INDEX(상세표[주말·휴일 포함],$P2904)&amp;"")</f>
        <v/>
      </c>
      <c r="O2904">
        <f>IF($P2904="","",INDEX(상세표[월 넘김 포함],$P2904)&amp;"")</f>
        <v/>
      </c>
      <c r="P2904" s="4">
        <f>IFERROR(MATCH(2899,상세표[연속순번],0),"")</f>
        <v/>
      </c>
    </row>
    <row r="2905">
      <c r="A2905">
        <f>IF($P2905="","",INDEX(상세표[사번],$P2905)&amp;"")</f>
        <v/>
      </c>
      <c r="B2905">
        <f>IF($P2905="","",INDEX(상세표[성명],$P2905)&amp;"")</f>
        <v/>
      </c>
      <c r="C2905">
        <f>IF($P2905="","",INDEX(상세표[부서],$P2905)&amp;"")</f>
        <v/>
      </c>
      <c r="D2905">
        <f>IF($P2905="","",INDEX(상세표[직위],$P2905)&amp;"")</f>
        <v/>
      </c>
      <c r="E2905">
        <f>IF($P2905="","",IF(ISNUMBER(INDEX(상세표[시작],$P2905)),TEXT(INDEX(상세표[시작],$P2905),"yyyy-mm-dd hh:mm"),INDEX(상세표[시작],$P2905)&amp;""))</f>
        <v/>
      </c>
      <c r="F2905">
        <f>IF($P2905="","",IF(ISNUMBER(INDEX(상세표[블록종료],$P2905)),TEXT(INDEX(상세표[블록종료],$P2905),"yyyy-mm-dd hh:mm"),INDEX(상세표[블록종료],$P2905)&amp;""))</f>
        <v/>
      </c>
      <c r="G2905">
        <f>IF($P2905="","",CHOOSE(WEEKDAY(INDEX(상세표[시작],$P2905)),"일","월","화","수","목","금","토"))</f>
        <v/>
      </c>
      <c r="H2905">
        <f>IF($P2905="","",INDEX(상세표[연속 시간],$P2905))</f>
        <v/>
      </c>
      <c r="I2905">
        <f>IF($P2905="","",INDEX(상세표[기록 수],$P2905))</f>
        <v/>
      </c>
      <c r="J2905">
        <f>IF($P2905="","",INDEX(상세표[블록 06~07시],$P2905))</f>
        <v/>
      </c>
      <c r="K2905">
        <f>IF($P2905="","",INDEX(상세표[블록 07~18시],$P2905))</f>
        <v/>
      </c>
      <c r="L2905">
        <f>IF($P2905="","",INDEX(상세표[블록 18~22시],$P2905))</f>
        <v/>
      </c>
      <c r="M2905">
        <f>IF($P2905="","",INDEX(상세표[블록 22~06시],$P2905))</f>
        <v/>
      </c>
      <c r="N2905">
        <f>IF($P2905="","",INDEX(상세표[주말·휴일 포함],$P2905)&amp;"")</f>
        <v/>
      </c>
      <c r="O2905">
        <f>IF($P2905="","",INDEX(상세표[월 넘김 포함],$P2905)&amp;"")</f>
        <v/>
      </c>
      <c r="P2905" s="4">
        <f>IFERROR(MATCH(2900,상세표[연속순번],0),"")</f>
        <v/>
      </c>
    </row>
    <row r="2906">
      <c r="A2906">
        <f>IF($P2906="","",INDEX(상세표[사번],$P2906)&amp;"")</f>
        <v/>
      </c>
      <c r="B2906">
        <f>IF($P2906="","",INDEX(상세표[성명],$P2906)&amp;"")</f>
        <v/>
      </c>
      <c r="C2906">
        <f>IF($P2906="","",INDEX(상세표[부서],$P2906)&amp;"")</f>
        <v/>
      </c>
      <c r="D2906">
        <f>IF($P2906="","",INDEX(상세표[직위],$P2906)&amp;"")</f>
        <v/>
      </c>
      <c r="E2906">
        <f>IF($P2906="","",IF(ISNUMBER(INDEX(상세표[시작],$P2906)),TEXT(INDEX(상세표[시작],$P2906),"yyyy-mm-dd hh:mm"),INDEX(상세표[시작],$P2906)&amp;""))</f>
        <v/>
      </c>
      <c r="F2906">
        <f>IF($P2906="","",IF(ISNUMBER(INDEX(상세표[블록종료],$P2906)),TEXT(INDEX(상세표[블록종료],$P2906),"yyyy-mm-dd hh:mm"),INDEX(상세표[블록종료],$P2906)&amp;""))</f>
        <v/>
      </c>
      <c r="G2906">
        <f>IF($P2906="","",CHOOSE(WEEKDAY(INDEX(상세표[시작],$P2906)),"일","월","화","수","목","금","토"))</f>
        <v/>
      </c>
      <c r="H2906">
        <f>IF($P2906="","",INDEX(상세표[연속 시간],$P2906))</f>
        <v/>
      </c>
      <c r="I2906">
        <f>IF($P2906="","",INDEX(상세표[기록 수],$P2906))</f>
        <v/>
      </c>
      <c r="J2906">
        <f>IF($P2906="","",INDEX(상세표[블록 06~07시],$P2906))</f>
        <v/>
      </c>
      <c r="K2906">
        <f>IF($P2906="","",INDEX(상세표[블록 07~18시],$P2906))</f>
        <v/>
      </c>
      <c r="L2906">
        <f>IF($P2906="","",INDEX(상세표[블록 18~22시],$P2906))</f>
        <v/>
      </c>
      <c r="M2906">
        <f>IF($P2906="","",INDEX(상세표[블록 22~06시],$P2906))</f>
        <v/>
      </c>
      <c r="N2906">
        <f>IF($P2906="","",INDEX(상세표[주말·휴일 포함],$P2906)&amp;"")</f>
        <v/>
      </c>
      <c r="O2906">
        <f>IF($P2906="","",INDEX(상세표[월 넘김 포함],$P2906)&amp;"")</f>
        <v/>
      </c>
      <c r="P2906" s="4">
        <f>IFERROR(MATCH(2901,상세표[연속순번],0),"")</f>
        <v/>
      </c>
    </row>
    <row r="2907">
      <c r="A2907">
        <f>IF($P2907="","",INDEX(상세표[사번],$P2907)&amp;"")</f>
        <v/>
      </c>
      <c r="B2907">
        <f>IF($P2907="","",INDEX(상세표[성명],$P2907)&amp;"")</f>
        <v/>
      </c>
      <c r="C2907">
        <f>IF($P2907="","",INDEX(상세표[부서],$P2907)&amp;"")</f>
        <v/>
      </c>
      <c r="D2907">
        <f>IF($P2907="","",INDEX(상세표[직위],$P2907)&amp;"")</f>
        <v/>
      </c>
      <c r="E2907">
        <f>IF($P2907="","",IF(ISNUMBER(INDEX(상세표[시작],$P2907)),TEXT(INDEX(상세표[시작],$P2907),"yyyy-mm-dd hh:mm"),INDEX(상세표[시작],$P2907)&amp;""))</f>
        <v/>
      </c>
      <c r="F2907">
        <f>IF($P2907="","",IF(ISNUMBER(INDEX(상세표[블록종료],$P2907)),TEXT(INDEX(상세표[블록종료],$P2907),"yyyy-mm-dd hh:mm"),INDEX(상세표[블록종료],$P2907)&amp;""))</f>
        <v/>
      </c>
      <c r="G2907">
        <f>IF($P2907="","",CHOOSE(WEEKDAY(INDEX(상세표[시작],$P2907)),"일","월","화","수","목","금","토"))</f>
        <v/>
      </c>
      <c r="H2907">
        <f>IF($P2907="","",INDEX(상세표[연속 시간],$P2907))</f>
        <v/>
      </c>
      <c r="I2907">
        <f>IF($P2907="","",INDEX(상세표[기록 수],$P2907))</f>
        <v/>
      </c>
      <c r="J2907">
        <f>IF($P2907="","",INDEX(상세표[블록 06~07시],$P2907))</f>
        <v/>
      </c>
      <c r="K2907">
        <f>IF($P2907="","",INDEX(상세표[블록 07~18시],$P2907))</f>
        <v/>
      </c>
      <c r="L2907">
        <f>IF($P2907="","",INDEX(상세표[블록 18~22시],$P2907))</f>
        <v/>
      </c>
      <c r="M2907">
        <f>IF($P2907="","",INDEX(상세표[블록 22~06시],$P2907))</f>
        <v/>
      </c>
      <c r="N2907">
        <f>IF($P2907="","",INDEX(상세표[주말·휴일 포함],$P2907)&amp;"")</f>
        <v/>
      </c>
      <c r="O2907">
        <f>IF($P2907="","",INDEX(상세표[월 넘김 포함],$P2907)&amp;"")</f>
        <v/>
      </c>
      <c r="P2907" s="4">
        <f>IFERROR(MATCH(2902,상세표[연속순번],0),"")</f>
        <v/>
      </c>
    </row>
    <row r="2908">
      <c r="A2908">
        <f>IF($P2908="","",INDEX(상세표[사번],$P2908)&amp;"")</f>
        <v/>
      </c>
      <c r="B2908">
        <f>IF($P2908="","",INDEX(상세표[성명],$P2908)&amp;"")</f>
        <v/>
      </c>
      <c r="C2908">
        <f>IF($P2908="","",INDEX(상세표[부서],$P2908)&amp;"")</f>
        <v/>
      </c>
      <c r="D2908">
        <f>IF($P2908="","",INDEX(상세표[직위],$P2908)&amp;"")</f>
        <v/>
      </c>
      <c r="E2908">
        <f>IF($P2908="","",IF(ISNUMBER(INDEX(상세표[시작],$P2908)),TEXT(INDEX(상세표[시작],$P2908),"yyyy-mm-dd hh:mm"),INDEX(상세표[시작],$P2908)&amp;""))</f>
        <v/>
      </c>
      <c r="F2908">
        <f>IF($P2908="","",IF(ISNUMBER(INDEX(상세표[블록종료],$P2908)),TEXT(INDEX(상세표[블록종료],$P2908),"yyyy-mm-dd hh:mm"),INDEX(상세표[블록종료],$P2908)&amp;""))</f>
        <v/>
      </c>
      <c r="G2908">
        <f>IF($P2908="","",CHOOSE(WEEKDAY(INDEX(상세표[시작],$P2908)),"일","월","화","수","목","금","토"))</f>
        <v/>
      </c>
      <c r="H2908">
        <f>IF($P2908="","",INDEX(상세표[연속 시간],$P2908))</f>
        <v/>
      </c>
      <c r="I2908">
        <f>IF($P2908="","",INDEX(상세표[기록 수],$P2908))</f>
        <v/>
      </c>
      <c r="J2908">
        <f>IF($P2908="","",INDEX(상세표[블록 06~07시],$P2908))</f>
        <v/>
      </c>
      <c r="K2908">
        <f>IF($P2908="","",INDEX(상세표[블록 07~18시],$P2908))</f>
        <v/>
      </c>
      <c r="L2908">
        <f>IF($P2908="","",INDEX(상세표[블록 18~22시],$P2908))</f>
        <v/>
      </c>
      <c r="M2908">
        <f>IF($P2908="","",INDEX(상세표[블록 22~06시],$P2908))</f>
        <v/>
      </c>
      <c r="N2908">
        <f>IF($P2908="","",INDEX(상세표[주말·휴일 포함],$P2908)&amp;"")</f>
        <v/>
      </c>
      <c r="O2908">
        <f>IF($P2908="","",INDEX(상세표[월 넘김 포함],$P2908)&amp;"")</f>
        <v/>
      </c>
      <c r="P2908" s="4">
        <f>IFERROR(MATCH(2903,상세표[연속순번],0),"")</f>
        <v/>
      </c>
    </row>
    <row r="2909">
      <c r="A2909">
        <f>IF($P2909="","",INDEX(상세표[사번],$P2909)&amp;"")</f>
        <v/>
      </c>
      <c r="B2909">
        <f>IF($P2909="","",INDEX(상세표[성명],$P2909)&amp;"")</f>
        <v/>
      </c>
      <c r="C2909">
        <f>IF($P2909="","",INDEX(상세표[부서],$P2909)&amp;"")</f>
        <v/>
      </c>
      <c r="D2909">
        <f>IF($P2909="","",INDEX(상세표[직위],$P2909)&amp;"")</f>
        <v/>
      </c>
      <c r="E2909">
        <f>IF($P2909="","",IF(ISNUMBER(INDEX(상세표[시작],$P2909)),TEXT(INDEX(상세표[시작],$P2909),"yyyy-mm-dd hh:mm"),INDEX(상세표[시작],$P2909)&amp;""))</f>
        <v/>
      </c>
      <c r="F2909">
        <f>IF($P2909="","",IF(ISNUMBER(INDEX(상세표[블록종료],$P2909)),TEXT(INDEX(상세표[블록종료],$P2909),"yyyy-mm-dd hh:mm"),INDEX(상세표[블록종료],$P2909)&amp;""))</f>
        <v/>
      </c>
      <c r="G2909">
        <f>IF($P2909="","",CHOOSE(WEEKDAY(INDEX(상세표[시작],$P2909)),"일","월","화","수","목","금","토"))</f>
        <v/>
      </c>
      <c r="H2909">
        <f>IF($P2909="","",INDEX(상세표[연속 시간],$P2909))</f>
        <v/>
      </c>
      <c r="I2909">
        <f>IF($P2909="","",INDEX(상세표[기록 수],$P2909))</f>
        <v/>
      </c>
      <c r="J2909">
        <f>IF($P2909="","",INDEX(상세표[블록 06~07시],$P2909))</f>
        <v/>
      </c>
      <c r="K2909">
        <f>IF($P2909="","",INDEX(상세표[블록 07~18시],$P2909))</f>
        <v/>
      </c>
      <c r="L2909">
        <f>IF($P2909="","",INDEX(상세표[블록 18~22시],$P2909))</f>
        <v/>
      </c>
      <c r="M2909">
        <f>IF($P2909="","",INDEX(상세표[블록 22~06시],$P2909))</f>
        <v/>
      </c>
      <c r="N2909">
        <f>IF($P2909="","",INDEX(상세표[주말·휴일 포함],$P2909)&amp;"")</f>
        <v/>
      </c>
      <c r="O2909">
        <f>IF($P2909="","",INDEX(상세표[월 넘김 포함],$P2909)&amp;"")</f>
        <v/>
      </c>
      <c r="P2909" s="4">
        <f>IFERROR(MATCH(2904,상세표[연속순번],0),"")</f>
        <v/>
      </c>
    </row>
    <row r="2910">
      <c r="A2910">
        <f>IF($P2910="","",INDEX(상세표[사번],$P2910)&amp;"")</f>
        <v/>
      </c>
      <c r="B2910">
        <f>IF($P2910="","",INDEX(상세표[성명],$P2910)&amp;"")</f>
        <v/>
      </c>
      <c r="C2910">
        <f>IF($P2910="","",INDEX(상세표[부서],$P2910)&amp;"")</f>
        <v/>
      </c>
      <c r="D2910">
        <f>IF($P2910="","",INDEX(상세표[직위],$P2910)&amp;"")</f>
        <v/>
      </c>
      <c r="E2910">
        <f>IF($P2910="","",IF(ISNUMBER(INDEX(상세표[시작],$P2910)),TEXT(INDEX(상세표[시작],$P2910),"yyyy-mm-dd hh:mm"),INDEX(상세표[시작],$P2910)&amp;""))</f>
        <v/>
      </c>
      <c r="F2910">
        <f>IF($P2910="","",IF(ISNUMBER(INDEX(상세표[블록종료],$P2910)),TEXT(INDEX(상세표[블록종료],$P2910),"yyyy-mm-dd hh:mm"),INDEX(상세표[블록종료],$P2910)&amp;""))</f>
        <v/>
      </c>
      <c r="G2910">
        <f>IF($P2910="","",CHOOSE(WEEKDAY(INDEX(상세표[시작],$P2910)),"일","월","화","수","목","금","토"))</f>
        <v/>
      </c>
      <c r="H2910">
        <f>IF($P2910="","",INDEX(상세표[연속 시간],$P2910))</f>
        <v/>
      </c>
      <c r="I2910">
        <f>IF($P2910="","",INDEX(상세표[기록 수],$P2910))</f>
        <v/>
      </c>
      <c r="J2910">
        <f>IF($P2910="","",INDEX(상세표[블록 06~07시],$P2910))</f>
        <v/>
      </c>
      <c r="K2910">
        <f>IF($P2910="","",INDEX(상세표[블록 07~18시],$P2910))</f>
        <v/>
      </c>
      <c r="L2910">
        <f>IF($P2910="","",INDEX(상세표[블록 18~22시],$P2910))</f>
        <v/>
      </c>
      <c r="M2910">
        <f>IF($P2910="","",INDEX(상세표[블록 22~06시],$P2910))</f>
        <v/>
      </c>
      <c r="N2910">
        <f>IF($P2910="","",INDEX(상세표[주말·휴일 포함],$P2910)&amp;"")</f>
        <v/>
      </c>
      <c r="O2910">
        <f>IF($P2910="","",INDEX(상세표[월 넘김 포함],$P2910)&amp;"")</f>
        <v/>
      </c>
      <c r="P2910" s="4">
        <f>IFERROR(MATCH(2905,상세표[연속순번],0),"")</f>
        <v/>
      </c>
    </row>
    <row r="2911">
      <c r="A2911">
        <f>IF($P2911="","",INDEX(상세표[사번],$P2911)&amp;"")</f>
        <v/>
      </c>
      <c r="B2911">
        <f>IF($P2911="","",INDEX(상세표[성명],$P2911)&amp;"")</f>
        <v/>
      </c>
      <c r="C2911">
        <f>IF($P2911="","",INDEX(상세표[부서],$P2911)&amp;"")</f>
        <v/>
      </c>
      <c r="D2911">
        <f>IF($P2911="","",INDEX(상세표[직위],$P2911)&amp;"")</f>
        <v/>
      </c>
      <c r="E2911">
        <f>IF($P2911="","",IF(ISNUMBER(INDEX(상세표[시작],$P2911)),TEXT(INDEX(상세표[시작],$P2911),"yyyy-mm-dd hh:mm"),INDEX(상세표[시작],$P2911)&amp;""))</f>
        <v/>
      </c>
      <c r="F2911">
        <f>IF($P2911="","",IF(ISNUMBER(INDEX(상세표[블록종료],$P2911)),TEXT(INDEX(상세표[블록종료],$P2911),"yyyy-mm-dd hh:mm"),INDEX(상세표[블록종료],$P2911)&amp;""))</f>
        <v/>
      </c>
      <c r="G2911">
        <f>IF($P2911="","",CHOOSE(WEEKDAY(INDEX(상세표[시작],$P2911)),"일","월","화","수","목","금","토"))</f>
        <v/>
      </c>
      <c r="H2911">
        <f>IF($P2911="","",INDEX(상세표[연속 시간],$P2911))</f>
        <v/>
      </c>
      <c r="I2911">
        <f>IF($P2911="","",INDEX(상세표[기록 수],$P2911))</f>
        <v/>
      </c>
      <c r="J2911">
        <f>IF($P2911="","",INDEX(상세표[블록 06~07시],$P2911))</f>
        <v/>
      </c>
      <c r="K2911">
        <f>IF($P2911="","",INDEX(상세표[블록 07~18시],$P2911))</f>
        <v/>
      </c>
      <c r="L2911">
        <f>IF($P2911="","",INDEX(상세표[블록 18~22시],$P2911))</f>
        <v/>
      </c>
      <c r="M2911">
        <f>IF($P2911="","",INDEX(상세표[블록 22~06시],$P2911))</f>
        <v/>
      </c>
      <c r="N2911">
        <f>IF($P2911="","",INDEX(상세표[주말·휴일 포함],$P2911)&amp;"")</f>
        <v/>
      </c>
      <c r="O2911">
        <f>IF($P2911="","",INDEX(상세표[월 넘김 포함],$P2911)&amp;"")</f>
        <v/>
      </c>
      <c r="P2911" s="4">
        <f>IFERROR(MATCH(2906,상세표[연속순번],0),"")</f>
        <v/>
      </c>
    </row>
    <row r="2912">
      <c r="A2912">
        <f>IF($P2912="","",INDEX(상세표[사번],$P2912)&amp;"")</f>
        <v/>
      </c>
      <c r="B2912">
        <f>IF($P2912="","",INDEX(상세표[성명],$P2912)&amp;"")</f>
        <v/>
      </c>
      <c r="C2912">
        <f>IF($P2912="","",INDEX(상세표[부서],$P2912)&amp;"")</f>
        <v/>
      </c>
      <c r="D2912">
        <f>IF($P2912="","",INDEX(상세표[직위],$P2912)&amp;"")</f>
        <v/>
      </c>
      <c r="E2912">
        <f>IF($P2912="","",IF(ISNUMBER(INDEX(상세표[시작],$P2912)),TEXT(INDEX(상세표[시작],$P2912),"yyyy-mm-dd hh:mm"),INDEX(상세표[시작],$P2912)&amp;""))</f>
        <v/>
      </c>
      <c r="F2912">
        <f>IF($P2912="","",IF(ISNUMBER(INDEX(상세표[블록종료],$P2912)),TEXT(INDEX(상세표[블록종료],$P2912),"yyyy-mm-dd hh:mm"),INDEX(상세표[블록종료],$P2912)&amp;""))</f>
        <v/>
      </c>
      <c r="G2912">
        <f>IF($P2912="","",CHOOSE(WEEKDAY(INDEX(상세표[시작],$P2912)),"일","월","화","수","목","금","토"))</f>
        <v/>
      </c>
      <c r="H2912">
        <f>IF($P2912="","",INDEX(상세표[연속 시간],$P2912))</f>
        <v/>
      </c>
      <c r="I2912">
        <f>IF($P2912="","",INDEX(상세표[기록 수],$P2912))</f>
        <v/>
      </c>
      <c r="J2912">
        <f>IF($P2912="","",INDEX(상세표[블록 06~07시],$P2912))</f>
        <v/>
      </c>
      <c r="K2912">
        <f>IF($P2912="","",INDEX(상세표[블록 07~18시],$P2912))</f>
        <v/>
      </c>
      <c r="L2912">
        <f>IF($P2912="","",INDEX(상세표[블록 18~22시],$P2912))</f>
        <v/>
      </c>
      <c r="M2912">
        <f>IF($P2912="","",INDEX(상세표[블록 22~06시],$P2912))</f>
        <v/>
      </c>
      <c r="N2912">
        <f>IF($P2912="","",INDEX(상세표[주말·휴일 포함],$P2912)&amp;"")</f>
        <v/>
      </c>
      <c r="O2912">
        <f>IF($P2912="","",INDEX(상세표[월 넘김 포함],$P2912)&amp;"")</f>
        <v/>
      </c>
      <c r="P2912" s="4">
        <f>IFERROR(MATCH(2907,상세표[연속순번],0),"")</f>
        <v/>
      </c>
    </row>
    <row r="2913">
      <c r="A2913">
        <f>IF($P2913="","",INDEX(상세표[사번],$P2913)&amp;"")</f>
        <v/>
      </c>
      <c r="B2913">
        <f>IF($P2913="","",INDEX(상세표[성명],$P2913)&amp;"")</f>
        <v/>
      </c>
      <c r="C2913">
        <f>IF($P2913="","",INDEX(상세표[부서],$P2913)&amp;"")</f>
        <v/>
      </c>
      <c r="D2913">
        <f>IF($P2913="","",INDEX(상세표[직위],$P2913)&amp;"")</f>
        <v/>
      </c>
      <c r="E2913">
        <f>IF($P2913="","",IF(ISNUMBER(INDEX(상세표[시작],$P2913)),TEXT(INDEX(상세표[시작],$P2913),"yyyy-mm-dd hh:mm"),INDEX(상세표[시작],$P2913)&amp;""))</f>
        <v/>
      </c>
      <c r="F2913">
        <f>IF($P2913="","",IF(ISNUMBER(INDEX(상세표[블록종료],$P2913)),TEXT(INDEX(상세표[블록종료],$P2913),"yyyy-mm-dd hh:mm"),INDEX(상세표[블록종료],$P2913)&amp;""))</f>
        <v/>
      </c>
      <c r="G2913">
        <f>IF($P2913="","",CHOOSE(WEEKDAY(INDEX(상세표[시작],$P2913)),"일","월","화","수","목","금","토"))</f>
        <v/>
      </c>
      <c r="H2913">
        <f>IF($P2913="","",INDEX(상세표[연속 시간],$P2913))</f>
        <v/>
      </c>
      <c r="I2913">
        <f>IF($P2913="","",INDEX(상세표[기록 수],$P2913))</f>
        <v/>
      </c>
      <c r="J2913">
        <f>IF($P2913="","",INDEX(상세표[블록 06~07시],$P2913))</f>
        <v/>
      </c>
      <c r="K2913">
        <f>IF($P2913="","",INDEX(상세표[블록 07~18시],$P2913))</f>
        <v/>
      </c>
      <c r="L2913">
        <f>IF($P2913="","",INDEX(상세표[블록 18~22시],$P2913))</f>
        <v/>
      </c>
      <c r="M2913">
        <f>IF($P2913="","",INDEX(상세표[블록 22~06시],$P2913))</f>
        <v/>
      </c>
      <c r="N2913">
        <f>IF($P2913="","",INDEX(상세표[주말·휴일 포함],$P2913)&amp;"")</f>
        <v/>
      </c>
      <c r="O2913">
        <f>IF($P2913="","",INDEX(상세표[월 넘김 포함],$P2913)&amp;"")</f>
        <v/>
      </c>
      <c r="P2913" s="4">
        <f>IFERROR(MATCH(2908,상세표[연속순번],0),"")</f>
        <v/>
      </c>
    </row>
    <row r="2914">
      <c r="A2914">
        <f>IF($P2914="","",INDEX(상세표[사번],$P2914)&amp;"")</f>
        <v/>
      </c>
      <c r="B2914">
        <f>IF($P2914="","",INDEX(상세표[성명],$P2914)&amp;"")</f>
        <v/>
      </c>
      <c r="C2914">
        <f>IF($P2914="","",INDEX(상세표[부서],$P2914)&amp;"")</f>
        <v/>
      </c>
      <c r="D2914">
        <f>IF($P2914="","",INDEX(상세표[직위],$P2914)&amp;"")</f>
        <v/>
      </c>
      <c r="E2914">
        <f>IF($P2914="","",IF(ISNUMBER(INDEX(상세표[시작],$P2914)),TEXT(INDEX(상세표[시작],$P2914),"yyyy-mm-dd hh:mm"),INDEX(상세표[시작],$P2914)&amp;""))</f>
        <v/>
      </c>
      <c r="F2914">
        <f>IF($P2914="","",IF(ISNUMBER(INDEX(상세표[블록종료],$P2914)),TEXT(INDEX(상세표[블록종료],$P2914),"yyyy-mm-dd hh:mm"),INDEX(상세표[블록종료],$P2914)&amp;""))</f>
        <v/>
      </c>
      <c r="G2914">
        <f>IF($P2914="","",CHOOSE(WEEKDAY(INDEX(상세표[시작],$P2914)),"일","월","화","수","목","금","토"))</f>
        <v/>
      </c>
      <c r="H2914">
        <f>IF($P2914="","",INDEX(상세표[연속 시간],$P2914))</f>
        <v/>
      </c>
      <c r="I2914">
        <f>IF($P2914="","",INDEX(상세표[기록 수],$P2914))</f>
        <v/>
      </c>
      <c r="J2914">
        <f>IF($P2914="","",INDEX(상세표[블록 06~07시],$P2914))</f>
        <v/>
      </c>
      <c r="K2914">
        <f>IF($P2914="","",INDEX(상세표[블록 07~18시],$P2914))</f>
        <v/>
      </c>
      <c r="L2914">
        <f>IF($P2914="","",INDEX(상세표[블록 18~22시],$P2914))</f>
        <v/>
      </c>
      <c r="M2914">
        <f>IF($P2914="","",INDEX(상세표[블록 22~06시],$P2914))</f>
        <v/>
      </c>
      <c r="N2914">
        <f>IF($P2914="","",INDEX(상세표[주말·휴일 포함],$P2914)&amp;"")</f>
        <v/>
      </c>
      <c r="O2914">
        <f>IF($P2914="","",INDEX(상세표[월 넘김 포함],$P2914)&amp;"")</f>
        <v/>
      </c>
      <c r="P2914" s="4">
        <f>IFERROR(MATCH(2909,상세표[연속순번],0),"")</f>
        <v/>
      </c>
    </row>
    <row r="2915">
      <c r="A2915">
        <f>IF($P2915="","",INDEX(상세표[사번],$P2915)&amp;"")</f>
        <v/>
      </c>
      <c r="B2915">
        <f>IF($P2915="","",INDEX(상세표[성명],$P2915)&amp;"")</f>
        <v/>
      </c>
      <c r="C2915">
        <f>IF($P2915="","",INDEX(상세표[부서],$P2915)&amp;"")</f>
        <v/>
      </c>
      <c r="D2915">
        <f>IF($P2915="","",INDEX(상세표[직위],$P2915)&amp;"")</f>
        <v/>
      </c>
      <c r="E2915">
        <f>IF($P2915="","",IF(ISNUMBER(INDEX(상세표[시작],$P2915)),TEXT(INDEX(상세표[시작],$P2915),"yyyy-mm-dd hh:mm"),INDEX(상세표[시작],$P2915)&amp;""))</f>
        <v/>
      </c>
      <c r="F2915">
        <f>IF($P2915="","",IF(ISNUMBER(INDEX(상세표[블록종료],$P2915)),TEXT(INDEX(상세표[블록종료],$P2915),"yyyy-mm-dd hh:mm"),INDEX(상세표[블록종료],$P2915)&amp;""))</f>
        <v/>
      </c>
      <c r="G2915">
        <f>IF($P2915="","",CHOOSE(WEEKDAY(INDEX(상세표[시작],$P2915)),"일","월","화","수","목","금","토"))</f>
        <v/>
      </c>
      <c r="H2915">
        <f>IF($P2915="","",INDEX(상세표[연속 시간],$P2915))</f>
        <v/>
      </c>
      <c r="I2915">
        <f>IF($P2915="","",INDEX(상세표[기록 수],$P2915))</f>
        <v/>
      </c>
      <c r="J2915">
        <f>IF($P2915="","",INDEX(상세표[블록 06~07시],$P2915))</f>
        <v/>
      </c>
      <c r="K2915">
        <f>IF($P2915="","",INDEX(상세표[블록 07~18시],$P2915))</f>
        <v/>
      </c>
      <c r="L2915">
        <f>IF($P2915="","",INDEX(상세표[블록 18~22시],$P2915))</f>
        <v/>
      </c>
      <c r="M2915">
        <f>IF($P2915="","",INDEX(상세표[블록 22~06시],$P2915))</f>
        <v/>
      </c>
      <c r="N2915">
        <f>IF($P2915="","",INDEX(상세표[주말·휴일 포함],$P2915)&amp;"")</f>
        <v/>
      </c>
      <c r="O2915">
        <f>IF($P2915="","",INDEX(상세표[월 넘김 포함],$P2915)&amp;"")</f>
        <v/>
      </c>
      <c r="P2915" s="4">
        <f>IFERROR(MATCH(2910,상세표[연속순번],0),"")</f>
        <v/>
      </c>
    </row>
    <row r="2916">
      <c r="A2916">
        <f>IF($P2916="","",INDEX(상세표[사번],$P2916)&amp;"")</f>
        <v/>
      </c>
      <c r="B2916">
        <f>IF($P2916="","",INDEX(상세표[성명],$P2916)&amp;"")</f>
        <v/>
      </c>
      <c r="C2916">
        <f>IF($P2916="","",INDEX(상세표[부서],$P2916)&amp;"")</f>
        <v/>
      </c>
      <c r="D2916">
        <f>IF($P2916="","",INDEX(상세표[직위],$P2916)&amp;"")</f>
        <v/>
      </c>
      <c r="E2916">
        <f>IF($P2916="","",IF(ISNUMBER(INDEX(상세표[시작],$P2916)),TEXT(INDEX(상세표[시작],$P2916),"yyyy-mm-dd hh:mm"),INDEX(상세표[시작],$P2916)&amp;""))</f>
        <v/>
      </c>
      <c r="F2916">
        <f>IF($P2916="","",IF(ISNUMBER(INDEX(상세표[블록종료],$P2916)),TEXT(INDEX(상세표[블록종료],$P2916),"yyyy-mm-dd hh:mm"),INDEX(상세표[블록종료],$P2916)&amp;""))</f>
        <v/>
      </c>
      <c r="G2916">
        <f>IF($P2916="","",CHOOSE(WEEKDAY(INDEX(상세표[시작],$P2916)),"일","월","화","수","목","금","토"))</f>
        <v/>
      </c>
      <c r="H2916">
        <f>IF($P2916="","",INDEX(상세표[연속 시간],$P2916))</f>
        <v/>
      </c>
      <c r="I2916">
        <f>IF($P2916="","",INDEX(상세표[기록 수],$P2916))</f>
        <v/>
      </c>
      <c r="J2916">
        <f>IF($P2916="","",INDEX(상세표[블록 06~07시],$P2916))</f>
        <v/>
      </c>
      <c r="K2916">
        <f>IF($P2916="","",INDEX(상세표[블록 07~18시],$P2916))</f>
        <v/>
      </c>
      <c r="L2916">
        <f>IF($P2916="","",INDEX(상세표[블록 18~22시],$P2916))</f>
        <v/>
      </c>
      <c r="M2916">
        <f>IF($P2916="","",INDEX(상세표[블록 22~06시],$P2916))</f>
        <v/>
      </c>
      <c r="N2916">
        <f>IF($P2916="","",INDEX(상세표[주말·휴일 포함],$P2916)&amp;"")</f>
        <v/>
      </c>
      <c r="O2916">
        <f>IF($P2916="","",INDEX(상세표[월 넘김 포함],$P2916)&amp;"")</f>
        <v/>
      </c>
      <c r="P2916" s="4">
        <f>IFERROR(MATCH(2911,상세표[연속순번],0),"")</f>
        <v/>
      </c>
    </row>
    <row r="2917">
      <c r="A2917">
        <f>IF($P2917="","",INDEX(상세표[사번],$P2917)&amp;"")</f>
        <v/>
      </c>
      <c r="B2917">
        <f>IF($P2917="","",INDEX(상세표[성명],$P2917)&amp;"")</f>
        <v/>
      </c>
      <c r="C2917">
        <f>IF($P2917="","",INDEX(상세표[부서],$P2917)&amp;"")</f>
        <v/>
      </c>
      <c r="D2917">
        <f>IF($P2917="","",INDEX(상세표[직위],$P2917)&amp;"")</f>
        <v/>
      </c>
      <c r="E2917">
        <f>IF($P2917="","",IF(ISNUMBER(INDEX(상세표[시작],$P2917)),TEXT(INDEX(상세표[시작],$P2917),"yyyy-mm-dd hh:mm"),INDEX(상세표[시작],$P2917)&amp;""))</f>
        <v/>
      </c>
      <c r="F2917">
        <f>IF($P2917="","",IF(ISNUMBER(INDEX(상세표[블록종료],$P2917)),TEXT(INDEX(상세표[블록종료],$P2917),"yyyy-mm-dd hh:mm"),INDEX(상세표[블록종료],$P2917)&amp;""))</f>
        <v/>
      </c>
      <c r="G2917">
        <f>IF($P2917="","",CHOOSE(WEEKDAY(INDEX(상세표[시작],$P2917)),"일","월","화","수","목","금","토"))</f>
        <v/>
      </c>
      <c r="H2917">
        <f>IF($P2917="","",INDEX(상세표[연속 시간],$P2917))</f>
        <v/>
      </c>
      <c r="I2917">
        <f>IF($P2917="","",INDEX(상세표[기록 수],$P2917))</f>
        <v/>
      </c>
      <c r="J2917">
        <f>IF($P2917="","",INDEX(상세표[블록 06~07시],$P2917))</f>
        <v/>
      </c>
      <c r="K2917">
        <f>IF($P2917="","",INDEX(상세표[블록 07~18시],$P2917))</f>
        <v/>
      </c>
      <c r="L2917">
        <f>IF($P2917="","",INDEX(상세표[블록 18~22시],$P2917))</f>
        <v/>
      </c>
      <c r="M2917">
        <f>IF($P2917="","",INDEX(상세표[블록 22~06시],$P2917))</f>
        <v/>
      </c>
      <c r="N2917">
        <f>IF($P2917="","",INDEX(상세표[주말·휴일 포함],$P2917)&amp;"")</f>
        <v/>
      </c>
      <c r="O2917">
        <f>IF($P2917="","",INDEX(상세표[월 넘김 포함],$P2917)&amp;"")</f>
        <v/>
      </c>
      <c r="P2917" s="4">
        <f>IFERROR(MATCH(2912,상세표[연속순번],0),"")</f>
        <v/>
      </c>
    </row>
    <row r="2918">
      <c r="A2918">
        <f>IF($P2918="","",INDEX(상세표[사번],$P2918)&amp;"")</f>
        <v/>
      </c>
      <c r="B2918">
        <f>IF($P2918="","",INDEX(상세표[성명],$P2918)&amp;"")</f>
        <v/>
      </c>
      <c r="C2918">
        <f>IF($P2918="","",INDEX(상세표[부서],$P2918)&amp;"")</f>
        <v/>
      </c>
      <c r="D2918">
        <f>IF($P2918="","",INDEX(상세표[직위],$P2918)&amp;"")</f>
        <v/>
      </c>
      <c r="E2918">
        <f>IF($P2918="","",IF(ISNUMBER(INDEX(상세표[시작],$P2918)),TEXT(INDEX(상세표[시작],$P2918),"yyyy-mm-dd hh:mm"),INDEX(상세표[시작],$P2918)&amp;""))</f>
        <v/>
      </c>
      <c r="F2918">
        <f>IF($P2918="","",IF(ISNUMBER(INDEX(상세표[블록종료],$P2918)),TEXT(INDEX(상세표[블록종료],$P2918),"yyyy-mm-dd hh:mm"),INDEX(상세표[블록종료],$P2918)&amp;""))</f>
        <v/>
      </c>
      <c r="G2918">
        <f>IF($P2918="","",CHOOSE(WEEKDAY(INDEX(상세표[시작],$P2918)),"일","월","화","수","목","금","토"))</f>
        <v/>
      </c>
      <c r="H2918">
        <f>IF($P2918="","",INDEX(상세표[연속 시간],$P2918))</f>
        <v/>
      </c>
      <c r="I2918">
        <f>IF($P2918="","",INDEX(상세표[기록 수],$P2918))</f>
        <v/>
      </c>
      <c r="J2918">
        <f>IF($P2918="","",INDEX(상세표[블록 06~07시],$P2918))</f>
        <v/>
      </c>
      <c r="K2918">
        <f>IF($P2918="","",INDEX(상세표[블록 07~18시],$P2918))</f>
        <v/>
      </c>
      <c r="L2918">
        <f>IF($P2918="","",INDEX(상세표[블록 18~22시],$P2918))</f>
        <v/>
      </c>
      <c r="M2918">
        <f>IF($P2918="","",INDEX(상세표[블록 22~06시],$P2918))</f>
        <v/>
      </c>
      <c r="N2918">
        <f>IF($P2918="","",INDEX(상세표[주말·휴일 포함],$P2918)&amp;"")</f>
        <v/>
      </c>
      <c r="O2918">
        <f>IF($P2918="","",INDEX(상세표[월 넘김 포함],$P2918)&amp;"")</f>
        <v/>
      </c>
      <c r="P2918" s="4">
        <f>IFERROR(MATCH(2913,상세표[연속순번],0),"")</f>
        <v/>
      </c>
    </row>
    <row r="2919">
      <c r="A2919">
        <f>IF($P2919="","",INDEX(상세표[사번],$P2919)&amp;"")</f>
        <v/>
      </c>
      <c r="B2919">
        <f>IF($P2919="","",INDEX(상세표[성명],$P2919)&amp;"")</f>
        <v/>
      </c>
      <c r="C2919">
        <f>IF($P2919="","",INDEX(상세표[부서],$P2919)&amp;"")</f>
        <v/>
      </c>
      <c r="D2919">
        <f>IF($P2919="","",INDEX(상세표[직위],$P2919)&amp;"")</f>
        <v/>
      </c>
      <c r="E2919">
        <f>IF($P2919="","",IF(ISNUMBER(INDEX(상세표[시작],$P2919)),TEXT(INDEX(상세표[시작],$P2919),"yyyy-mm-dd hh:mm"),INDEX(상세표[시작],$P2919)&amp;""))</f>
        <v/>
      </c>
      <c r="F2919">
        <f>IF($P2919="","",IF(ISNUMBER(INDEX(상세표[블록종료],$P2919)),TEXT(INDEX(상세표[블록종료],$P2919),"yyyy-mm-dd hh:mm"),INDEX(상세표[블록종료],$P2919)&amp;""))</f>
        <v/>
      </c>
      <c r="G2919">
        <f>IF($P2919="","",CHOOSE(WEEKDAY(INDEX(상세표[시작],$P2919)),"일","월","화","수","목","금","토"))</f>
        <v/>
      </c>
      <c r="H2919">
        <f>IF($P2919="","",INDEX(상세표[연속 시간],$P2919))</f>
        <v/>
      </c>
      <c r="I2919">
        <f>IF($P2919="","",INDEX(상세표[기록 수],$P2919))</f>
        <v/>
      </c>
      <c r="J2919">
        <f>IF($P2919="","",INDEX(상세표[블록 06~07시],$P2919))</f>
        <v/>
      </c>
      <c r="K2919">
        <f>IF($P2919="","",INDEX(상세표[블록 07~18시],$P2919))</f>
        <v/>
      </c>
      <c r="L2919">
        <f>IF($P2919="","",INDEX(상세표[블록 18~22시],$P2919))</f>
        <v/>
      </c>
      <c r="M2919">
        <f>IF($P2919="","",INDEX(상세표[블록 22~06시],$P2919))</f>
        <v/>
      </c>
      <c r="N2919">
        <f>IF($P2919="","",INDEX(상세표[주말·휴일 포함],$P2919)&amp;"")</f>
        <v/>
      </c>
      <c r="O2919">
        <f>IF($P2919="","",INDEX(상세표[월 넘김 포함],$P2919)&amp;"")</f>
        <v/>
      </c>
      <c r="P2919" s="4">
        <f>IFERROR(MATCH(2914,상세표[연속순번],0),"")</f>
        <v/>
      </c>
    </row>
    <row r="2920">
      <c r="A2920">
        <f>IF($P2920="","",INDEX(상세표[사번],$P2920)&amp;"")</f>
        <v/>
      </c>
      <c r="B2920">
        <f>IF($P2920="","",INDEX(상세표[성명],$P2920)&amp;"")</f>
        <v/>
      </c>
      <c r="C2920">
        <f>IF($P2920="","",INDEX(상세표[부서],$P2920)&amp;"")</f>
        <v/>
      </c>
      <c r="D2920">
        <f>IF($P2920="","",INDEX(상세표[직위],$P2920)&amp;"")</f>
        <v/>
      </c>
      <c r="E2920">
        <f>IF($P2920="","",IF(ISNUMBER(INDEX(상세표[시작],$P2920)),TEXT(INDEX(상세표[시작],$P2920),"yyyy-mm-dd hh:mm"),INDEX(상세표[시작],$P2920)&amp;""))</f>
        <v/>
      </c>
      <c r="F2920">
        <f>IF($P2920="","",IF(ISNUMBER(INDEX(상세표[블록종료],$P2920)),TEXT(INDEX(상세표[블록종료],$P2920),"yyyy-mm-dd hh:mm"),INDEX(상세표[블록종료],$P2920)&amp;""))</f>
        <v/>
      </c>
      <c r="G2920">
        <f>IF($P2920="","",CHOOSE(WEEKDAY(INDEX(상세표[시작],$P2920)),"일","월","화","수","목","금","토"))</f>
        <v/>
      </c>
      <c r="H2920">
        <f>IF($P2920="","",INDEX(상세표[연속 시간],$P2920))</f>
        <v/>
      </c>
      <c r="I2920">
        <f>IF($P2920="","",INDEX(상세표[기록 수],$P2920))</f>
        <v/>
      </c>
      <c r="J2920">
        <f>IF($P2920="","",INDEX(상세표[블록 06~07시],$P2920))</f>
        <v/>
      </c>
      <c r="K2920">
        <f>IF($P2920="","",INDEX(상세표[블록 07~18시],$P2920))</f>
        <v/>
      </c>
      <c r="L2920">
        <f>IF($P2920="","",INDEX(상세표[블록 18~22시],$P2920))</f>
        <v/>
      </c>
      <c r="M2920">
        <f>IF($P2920="","",INDEX(상세표[블록 22~06시],$P2920))</f>
        <v/>
      </c>
      <c r="N2920">
        <f>IF($P2920="","",INDEX(상세표[주말·휴일 포함],$P2920)&amp;"")</f>
        <v/>
      </c>
      <c r="O2920">
        <f>IF($P2920="","",INDEX(상세표[월 넘김 포함],$P2920)&amp;"")</f>
        <v/>
      </c>
      <c r="P2920" s="4">
        <f>IFERROR(MATCH(2915,상세표[연속순번],0),"")</f>
        <v/>
      </c>
    </row>
    <row r="2921">
      <c r="A2921">
        <f>IF($P2921="","",INDEX(상세표[사번],$P2921)&amp;"")</f>
        <v/>
      </c>
      <c r="B2921">
        <f>IF($P2921="","",INDEX(상세표[성명],$P2921)&amp;"")</f>
        <v/>
      </c>
      <c r="C2921">
        <f>IF($P2921="","",INDEX(상세표[부서],$P2921)&amp;"")</f>
        <v/>
      </c>
      <c r="D2921">
        <f>IF($P2921="","",INDEX(상세표[직위],$P2921)&amp;"")</f>
        <v/>
      </c>
      <c r="E2921">
        <f>IF($P2921="","",IF(ISNUMBER(INDEX(상세표[시작],$P2921)),TEXT(INDEX(상세표[시작],$P2921),"yyyy-mm-dd hh:mm"),INDEX(상세표[시작],$P2921)&amp;""))</f>
        <v/>
      </c>
      <c r="F2921">
        <f>IF($P2921="","",IF(ISNUMBER(INDEX(상세표[블록종료],$P2921)),TEXT(INDEX(상세표[블록종료],$P2921),"yyyy-mm-dd hh:mm"),INDEX(상세표[블록종료],$P2921)&amp;""))</f>
        <v/>
      </c>
      <c r="G2921">
        <f>IF($P2921="","",CHOOSE(WEEKDAY(INDEX(상세표[시작],$P2921)),"일","월","화","수","목","금","토"))</f>
        <v/>
      </c>
      <c r="H2921">
        <f>IF($P2921="","",INDEX(상세표[연속 시간],$P2921))</f>
        <v/>
      </c>
      <c r="I2921">
        <f>IF($P2921="","",INDEX(상세표[기록 수],$P2921))</f>
        <v/>
      </c>
      <c r="J2921">
        <f>IF($P2921="","",INDEX(상세표[블록 06~07시],$P2921))</f>
        <v/>
      </c>
      <c r="K2921">
        <f>IF($P2921="","",INDEX(상세표[블록 07~18시],$P2921))</f>
        <v/>
      </c>
      <c r="L2921">
        <f>IF($P2921="","",INDEX(상세표[블록 18~22시],$P2921))</f>
        <v/>
      </c>
      <c r="M2921">
        <f>IF($P2921="","",INDEX(상세표[블록 22~06시],$P2921))</f>
        <v/>
      </c>
      <c r="N2921">
        <f>IF($P2921="","",INDEX(상세표[주말·휴일 포함],$P2921)&amp;"")</f>
        <v/>
      </c>
      <c r="O2921">
        <f>IF($P2921="","",INDEX(상세표[월 넘김 포함],$P2921)&amp;"")</f>
        <v/>
      </c>
      <c r="P2921" s="4">
        <f>IFERROR(MATCH(2916,상세표[연속순번],0),"")</f>
        <v/>
      </c>
    </row>
    <row r="2922">
      <c r="A2922">
        <f>IF($P2922="","",INDEX(상세표[사번],$P2922)&amp;"")</f>
        <v/>
      </c>
      <c r="B2922">
        <f>IF($P2922="","",INDEX(상세표[성명],$P2922)&amp;"")</f>
        <v/>
      </c>
      <c r="C2922">
        <f>IF($P2922="","",INDEX(상세표[부서],$P2922)&amp;"")</f>
        <v/>
      </c>
      <c r="D2922">
        <f>IF($P2922="","",INDEX(상세표[직위],$P2922)&amp;"")</f>
        <v/>
      </c>
      <c r="E2922">
        <f>IF($P2922="","",IF(ISNUMBER(INDEX(상세표[시작],$P2922)),TEXT(INDEX(상세표[시작],$P2922),"yyyy-mm-dd hh:mm"),INDEX(상세표[시작],$P2922)&amp;""))</f>
        <v/>
      </c>
      <c r="F2922">
        <f>IF($P2922="","",IF(ISNUMBER(INDEX(상세표[블록종료],$P2922)),TEXT(INDEX(상세표[블록종료],$P2922),"yyyy-mm-dd hh:mm"),INDEX(상세표[블록종료],$P2922)&amp;""))</f>
        <v/>
      </c>
      <c r="G2922">
        <f>IF($P2922="","",CHOOSE(WEEKDAY(INDEX(상세표[시작],$P2922)),"일","월","화","수","목","금","토"))</f>
        <v/>
      </c>
      <c r="H2922">
        <f>IF($P2922="","",INDEX(상세표[연속 시간],$P2922))</f>
        <v/>
      </c>
      <c r="I2922">
        <f>IF($P2922="","",INDEX(상세표[기록 수],$P2922))</f>
        <v/>
      </c>
      <c r="J2922">
        <f>IF($P2922="","",INDEX(상세표[블록 06~07시],$P2922))</f>
        <v/>
      </c>
      <c r="K2922">
        <f>IF($P2922="","",INDEX(상세표[블록 07~18시],$P2922))</f>
        <v/>
      </c>
      <c r="L2922">
        <f>IF($P2922="","",INDEX(상세표[블록 18~22시],$P2922))</f>
        <v/>
      </c>
      <c r="M2922">
        <f>IF($P2922="","",INDEX(상세표[블록 22~06시],$P2922))</f>
        <v/>
      </c>
      <c r="N2922">
        <f>IF($P2922="","",INDEX(상세표[주말·휴일 포함],$P2922)&amp;"")</f>
        <v/>
      </c>
      <c r="O2922">
        <f>IF($P2922="","",INDEX(상세표[월 넘김 포함],$P2922)&amp;"")</f>
        <v/>
      </c>
      <c r="P2922" s="4">
        <f>IFERROR(MATCH(2917,상세표[연속순번],0),"")</f>
        <v/>
      </c>
    </row>
    <row r="2923">
      <c r="A2923">
        <f>IF($P2923="","",INDEX(상세표[사번],$P2923)&amp;"")</f>
        <v/>
      </c>
      <c r="B2923">
        <f>IF($P2923="","",INDEX(상세표[성명],$P2923)&amp;"")</f>
        <v/>
      </c>
      <c r="C2923">
        <f>IF($P2923="","",INDEX(상세표[부서],$P2923)&amp;"")</f>
        <v/>
      </c>
      <c r="D2923">
        <f>IF($P2923="","",INDEX(상세표[직위],$P2923)&amp;"")</f>
        <v/>
      </c>
      <c r="E2923">
        <f>IF($P2923="","",IF(ISNUMBER(INDEX(상세표[시작],$P2923)),TEXT(INDEX(상세표[시작],$P2923),"yyyy-mm-dd hh:mm"),INDEX(상세표[시작],$P2923)&amp;""))</f>
        <v/>
      </c>
      <c r="F2923">
        <f>IF($P2923="","",IF(ISNUMBER(INDEX(상세표[블록종료],$P2923)),TEXT(INDEX(상세표[블록종료],$P2923),"yyyy-mm-dd hh:mm"),INDEX(상세표[블록종료],$P2923)&amp;""))</f>
        <v/>
      </c>
      <c r="G2923">
        <f>IF($P2923="","",CHOOSE(WEEKDAY(INDEX(상세표[시작],$P2923)),"일","월","화","수","목","금","토"))</f>
        <v/>
      </c>
      <c r="H2923">
        <f>IF($P2923="","",INDEX(상세표[연속 시간],$P2923))</f>
        <v/>
      </c>
      <c r="I2923">
        <f>IF($P2923="","",INDEX(상세표[기록 수],$P2923))</f>
        <v/>
      </c>
      <c r="J2923">
        <f>IF($P2923="","",INDEX(상세표[블록 06~07시],$P2923))</f>
        <v/>
      </c>
      <c r="K2923">
        <f>IF($P2923="","",INDEX(상세표[블록 07~18시],$P2923))</f>
        <v/>
      </c>
      <c r="L2923">
        <f>IF($P2923="","",INDEX(상세표[블록 18~22시],$P2923))</f>
        <v/>
      </c>
      <c r="M2923">
        <f>IF($P2923="","",INDEX(상세표[블록 22~06시],$P2923))</f>
        <v/>
      </c>
      <c r="N2923">
        <f>IF($P2923="","",INDEX(상세표[주말·휴일 포함],$P2923)&amp;"")</f>
        <v/>
      </c>
      <c r="O2923">
        <f>IF($P2923="","",INDEX(상세표[월 넘김 포함],$P2923)&amp;"")</f>
        <v/>
      </c>
      <c r="P2923" s="4">
        <f>IFERROR(MATCH(2918,상세표[연속순번],0),"")</f>
        <v/>
      </c>
    </row>
    <row r="2924">
      <c r="A2924">
        <f>IF($P2924="","",INDEX(상세표[사번],$P2924)&amp;"")</f>
        <v/>
      </c>
      <c r="B2924">
        <f>IF($P2924="","",INDEX(상세표[성명],$P2924)&amp;"")</f>
        <v/>
      </c>
      <c r="C2924">
        <f>IF($P2924="","",INDEX(상세표[부서],$P2924)&amp;"")</f>
        <v/>
      </c>
      <c r="D2924">
        <f>IF($P2924="","",INDEX(상세표[직위],$P2924)&amp;"")</f>
        <v/>
      </c>
      <c r="E2924">
        <f>IF($P2924="","",IF(ISNUMBER(INDEX(상세표[시작],$P2924)),TEXT(INDEX(상세표[시작],$P2924),"yyyy-mm-dd hh:mm"),INDEX(상세표[시작],$P2924)&amp;""))</f>
        <v/>
      </c>
      <c r="F2924">
        <f>IF($P2924="","",IF(ISNUMBER(INDEX(상세표[블록종료],$P2924)),TEXT(INDEX(상세표[블록종료],$P2924),"yyyy-mm-dd hh:mm"),INDEX(상세표[블록종료],$P2924)&amp;""))</f>
        <v/>
      </c>
      <c r="G2924">
        <f>IF($P2924="","",CHOOSE(WEEKDAY(INDEX(상세표[시작],$P2924)),"일","월","화","수","목","금","토"))</f>
        <v/>
      </c>
      <c r="H2924">
        <f>IF($P2924="","",INDEX(상세표[연속 시간],$P2924))</f>
        <v/>
      </c>
      <c r="I2924">
        <f>IF($P2924="","",INDEX(상세표[기록 수],$P2924))</f>
        <v/>
      </c>
      <c r="J2924">
        <f>IF($P2924="","",INDEX(상세표[블록 06~07시],$P2924))</f>
        <v/>
      </c>
      <c r="K2924">
        <f>IF($P2924="","",INDEX(상세표[블록 07~18시],$P2924))</f>
        <v/>
      </c>
      <c r="L2924">
        <f>IF($P2924="","",INDEX(상세표[블록 18~22시],$P2924))</f>
        <v/>
      </c>
      <c r="M2924">
        <f>IF($P2924="","",INDEX(상세표[블록 22~06시],$P2924))</f>
        <v/>
      </c>
      <c r="N2924">
        <f>IF($P2924="","",INDEX(상세표[주말·휴일 포함],$P2924)&amp;"")</f>
        <v/>
      </c>
      <c r="O2924">
        <f>IF($P2924="","",INDEX(상세표[월 넘김 포함],$P2924)&amp;"")</f>
        <v/>
      </c>
      <c r="P2924" s="4">
        <f>IFERROR(MATCH(2919,상세표[연속순번],0),"")</f>
        <v/>
      </c>
    </row>
    <row r="2925">
      <c r="A2925">
        <f>IF($P2925="","",INDEX(상세표[사번],$P2925)&amp;"")</f>
        <v/>
      </c>
      <c r="B2925">
        <f>IF($P2925="","",INDEX(상세표[성명],$P2925)&amp;"")</f>
        <v/>
      </c>
      <c r="C2925">
        <f>IF($P2925="","",INDEX(상세표[부서],$P2925)&amp;"")</f>
        <v/>
      </c>
      <c r="D2925">
        <f>IF($P2925="","",INDEX(상세표[직위],$P2925)&amp;"")</f>
        <v/>
      </c>
      <c r="E2925">
        <f>IF($P2925="","",IF(ISNUMBER(INDEX(상세표[시작],$P2925)),TEXT(INDEX(상세표[시작],$P2925),"yyyy-mm-dd hh:mm"),INDEX(상세표[시작],$P2925)&amp;""))</f>
        <v/>
      </c>
      <c r="F2925">
        <f>IF($P2925="","",IF(ISNUMBER(INDEX(상세표[블록종료],$P2925)),TEXT(INDEX(상세표[블록종료],$P2925),"yyyy-mm-dd hh:mm"),INDEX(상세표[블록종료],$P2925)&amp;""))</f>
        <v/>
      </c>
      <c r="G2925">
        <f>IF($P2925="","",CHOOSE(WEEKDAY(INDEX(상세표[시작],$P2925)),"일","월","화","수","목","금","토"))</f>
        <v/>
      </c>
      <c r="H2925">
        <f>IF($P2925="","",INDEX(상세표[연속 시간],$P2925))</f>
        <v/>
      </c>
      <c r="I2925">
        <f>IF($P2925="","",INDEX(상세표[기록 수],$P2925))</f>
        <v/>
      </c>
      <c r="J2925">
        <f>IF($P2925="","",INDEX(상세표[블록 06~07시],$P2925))</f>
        <v/>
      </c>
      <c r="K2925">
        <f>IF($P2925="","",INDEX(상세표[블록 07~18시],$P2925))</f>
        <v/>
      </c>
      <c r="L2925">
        <f>IF($P2925="","",INDEX(상세표[블록 18~22시],$P2925))</f>
        <v/>
      </c>
      <c r="M2925">
        <f>IF($P2925="","",INDEX(상세표[블록 22~06시],$P2925))</f>
        <v/>
      </c>
      <c r="N2925">
        <f>IF($P2925="","",INDEX(상세표[주말·휴일 포함],$P2925)&amp;"")</f>
        <v/>
      </c>
      <c r="O2925">
        <f>IF($P2925="","",INDEX(상세표[월 넘김 포함],$P2925)&amp;"")</f>
        <v/>
      </c>
      <c r="P2925" s="4">
        <f>IFERROR(MATCH(2920,상세표[연속순번],0),"")</f>
        <v/>
      </c>
    </row>
    <row r="2926">
      <c r="A2926">
        <f>IF($P2926="","",INDEX(상세표[사번],$P2926)&amp;"")</f>
        <v/>
      </c>
      <c r="B2926">
        <f>IF($P2926="","",INDEX(상세표[성명],$P2926)&amp;"")</f>
        <v/>
      </c>
      <c r="C2926">
        <f>IF($P2926="","",INDEX(상세표[부서],$P2926)&amp;"")</f>
        <v/>
      </c>
      <c r="D2926">
        <f>IF($P2926="","",INDEX(상세표[직위],$P2926)&amp;"")</f>
        <v/>
      </c>
      <c r="E2926">
        <f>IF($P2926="","",IF(ISNUMBER(INDEX(상세표[시작],$P2926)),TEXT(INDEX(상세표[시작],$P2926),"yyyy-mm-dd hh:mm"),INDEX(상세표[시작],$P2926)&amp;""))</f>
        <v/>
      </c>
      <c r="F2926">
        <f>IF($P2926="","",IF(ISNUMBER(INDEX(상세표[블록종료],$P2926)),TEXT(INDEX(상세표[블록종료],$P2926),"yyyy-mm-dd hh:mm"),INDEX(상세표[블록종료],$P2926)&amp;""))</f>
        <v/>
      </c>
      <c r="G2926">
        <f>IF($P2926="","",CHOOSE(WEEKDAY(INDEX(상세표[시작],$P2926)),"일","월","화","수","목","금","토"))</f>
        <v/>
      </c>
      <c r="H2926">
        <f>IF($P2926="","",INDEX(상세표[연속 시간],$P2926))</f>
        <v/>
      </c>
      <c r="I2926">
        <f>IF($P2926="","",INDEX(상세표[기록 수],$P2926))</f>
        <v/>
      </c>
      <c r="J2926">
        <f>IF($P2926="","",INDEX(상세표[블록 06~07시],$P2926))</f>
        <v/>
      </c>
      <c r="K2926">
        <f>IF($P2926="","",INDEX(상세표[블록 07~18시],$P2926))</f>
        <v/>
      </c>
      <c r="L2926">
        <f>IF($P2926="","",INDEX(상세표[블록 18~22시],$P2926))</f>
        <v/>
      </c>
      <c r="M2926">
        <f>IF($P2926="","",INDEX(상세표[블록 22~06시],$P2926))</f>
        <v/>
      </c>
      <c r="N2926">
        <f>IF($P2926="","",INDEX(상세표[주말·휴일 포함],$P2926)&amp;"")</f>
        <v/>
      </c>
      <c r="O2926">
        <f>IF($P2926="","",INDEX(상세표[월 넘김 포함],$P2926)&amp;"")</f>
        <v/>
      </c>
      <c r="P2926" s="4">
        <f>IFERROR(MATCH(2921,상세표[연속순번],0),"")</f>
        <v/>
      </c>
    </row>
    <row r="2927">
      <c r="A2927">
        <f>IF($P2927="","",INDEX(상세표[사번],$P2927)&amp;"")</f>
        <v/>
      </c>
      <c r="B2927">
        <f>IF($P2927="","",INDEX(상세표[성명],$P2927)&amp;"")</f>
        <v/>
      </c>
      <c r="C2927">
        <f>IF($P2927="","",INDEX(상세표[부서],$P2927)&amp;"")</f>
        <v/>
      </c>
      <c r="D2927">
        <f>IF($P2927="","",INDEX(상세표[직위],$P2927)&amp;"")</f>
        <v/>
      </c>
      <c r="E2927">
        <f>IF($P2927="","",IF(ISNUMBER(INDEX(상세표[시작],$P2927)),TEXT(INDEX(상세표[시작],$P2927),"yyyy-mm-dd hh:mm"),INDEX(상세표[시작],$P2927)&amp;""))</f>
        <v/>
      </c>
      <c r="F2927">
        <f>IF($P2927="","",IF(ISNUMBER(INDEX(상세표[블록종료],$P2927)),TEXT(INDEX(상세표[블록종료],$P2927),"yyyy-mm-dd hh:mm"),INDEX(상세표[블록종료],$P2927)&amp;""))</f>
        <v/>
      </c>
      <c r="G2927">
        <f>IF($P2927="","",CHOOSE(WEEKDAY(INDEX(상세표[시작],$P2927)),"일","월","화","수","목","금","토"))</f>
        <v/>
      </c>
      <c r="H2927">
        <f>IF($P2927="","",INDEX(상세표[연속 시간],$P2927))</f>
        <v/>
      </c>
      <c r="I2927">
        <f>IF($P2927="","",INDEX(상세표[기록 수],$P2927))</f>
        <v/>
      </c>
      <c r="J2927">
        <f>IF($P2927="","",INDEX(상세표[블록 06~07시],$P2927))</f>
        <v/>
      </c>
      <c r="K2927">
        <f>IF($P2927="","",INDEX(상세표[블록 07~18시],$P2927))</f>
        <v/>
      </c>
      <c r="L2927">
        <f>IF($P2927="","",INDEX(상세표[블록 18~22시],$P2927))</f>
        <v/>
      </c>
      <c r="M2927">
        <f>IF($P2927="","",INDEX(상세표[블록 22~06시],$P2927))</f>
        <v/>
      </c>
      <c r="N2927">
        <f>IF($P2927="","",INDEX(상세표[주말·휴일 포함],$P2927)&amp;"")</f>
        <v/>
      </c>
      <c r="O2927">
        <f>IF($P2927="","",INDEX(상세표[월 넘김 포함],$P2927)&amp;"")</f>
        <v/>
      </c>
      <c r="P2927" s="4">
        <f>IFERROR(MATCH(2922,상세표[연속순번],0),"")</f>
        <v/>
      </c>
    </row>
    <row r="2928">
      <c r="A2928">
        <f>IF($P2928="","",INDEX(상세표[사번],$P2928)&amp;"")</f>
        <v/>
      </c>
      <c r="B2928">
        <f>IF($P2928="","",INDEX(상세표[성명],$P2928)&amp;"")</f>
        <v/>
      </c>
      <c r="C2928">
        <f>IF($P2928="","",INDEX(상세표[부서],$P2928)&amp;"")</f>
        <v/>
      </c>
      <c r="D2928">
        <f>IF($P2928="","",INDEX(상세표[직위],$P2928)&amp;"")</f>
        <v/>
      </c>
      <c r="E2928">
        <f>IF($P2928="","",IF(ISNUMBER(INDEX(상세표[시작],$P2928)),TEXT(INDEX(상세표[시작],$P2928),"yyyy-mm-dd hh:mm"),INDEX(상세표[시작],$P2928)&amp;""))</f>
        <v/>
      </c>
      <c r="F2928">
        <f>IF($P2928="","",IF(ISNUMBER(INDEX(상세표[블록종료],$P2928)),TEXT(INDEX(상세표[블록종료],$P2928),"yyyy-mm-dd hh:mm"),INDEX(상세표[블록종료],$P2928)&amp;""))</f>
        <v/>
      </c>
      <c r="G2928">
        <f>IF($P2928="","",CHOOSE(WEEKDAY(INDEX(상세표[시작],$P2928)),"일","월","화","수","목","금","토"))</f>
        <v/>
      </c>
      <c r="H2928">
        <f>IF($P2928="","",INDEX(상세표[연속 시간],$P2928))</f>
        <v/>
      </c>
      <c r="I2928">
        <f>IF($P2928="","",INDEX(상세표[기록 수],$P2928))</f>
        <v/>
      </c>
      <c r="J2928">
        <f>IF($P2928="","",INDEX(상세표[블록 06~07시],$P2928))</f>
        <v/>
      </c>
      <c r="K2928">
        <f>IF($P2928="","",INDEX(상세표[블록 07~18시],$P2928))</f>
        <v/>
      </c>
      <c r="L2928">
        <f>IF($P2928="","",INDEX(상세표[블록 18~22시],$P2928))</f>
        <v/>
      </c>
      <c r="M2928">
        <f>IF($P2928="","",INDEX(상세표[블록 22~06시],$P2928))</f>
        <v/>
      </c>
      <c r="N2928">
        <f>IF($P2928="","",INDEX(상세표[주말·휴일 포함],$P2928)&amp;"")</f>
        <v/>
      </c>
      <c r="O2928">
        <f>IF($P2928="","",INDEX(상세표[월 넘김 포함],$P2928)&amp;"")</f>
        <v/>
      </c>
      <c r="P2928" s="4">
        <f>IFERROR(MATCH(2923,상세표[연속순번],0),"")</f>
        <v/>
      </c>
    </row>
    <row r="2929">
      <c r="A2929">
        <f>IF($P2929="","",INDEX(상세표[사번],$P2929)&amp;"")</f>
        <v/>
      </c>
      <c r="B2929">
        <f>IF($P2929="","",INDEX(상세표[성명],$P2929)&amp;"")</f>
        <v/>
      </c>
      <c r="C2929">
        <f>IF($P2929="","",INDEX(상세표[부서],$P2929)&amp;"")</f>
        <v/>
      </c>
      <c r="D2929">
        <f>IF($P2929="","",INDEX(상세표[직위],$P2929)&amp;"")</f>
        <v/>
      </c>
      <c r="E2929">
        <f>IF($P2929="","",IF(ISNUMBER(INDEX(상세표[시작],$P2929)),TEXT(INDEX(상세표[시작],$P2929),"yyyy-mm-dd hh:mm"),INDEX(상세표[시작],$P2929)&amp;""))</f>
        <v/>
      </c>
      <c r="F2929">
        <f>IF($P2929="","",IF(ISNUMBER(INDEX(상세표[블록종료],$P2929)),TEXT(INDEX(상세표[블록종료],$P2929),"yyyy-mm-dd hh:mm"),INDEX(상세표[블록종료],$P2929)&amp;""))</f>
        <v/>
      </c>
      <c r="G2929">
        <f>IF($P2929="","",CHOOSE(WEEKDAY(INDEX(상세표[시작],$P2929)),"일","월","화","수","목","금","토"))</f>
        <v/>
      </c>
      <c r="H2929">
        <f>IF($P2929="","",INDEX(상세표[연속 시간],$P2929))</f>
        <v/>
      </c>
      <c r="I2929">
        <f>IF($P2929="","",INDEX(상세표[기록 수],$P2929))</f>
        <v/>
      </c>
      <c r="J2929">
        <f>IF($P2929="","",INDEX(상세표[블록 06~07시],$P2929))</f>
        <v/>
      </c>
      <c r="K2929">
        <f>IF($P2929="","",INDEX(상세표[블록 07~18시],$P2929))</f>
        <v/>
      </c>
      <c r="L2929">
        <f>IF($P2929="","",INDEX(상세표[블록 18~22시],$P2929))</f>
        <v/>
      </c>
      <c r="M2929">
        <f>IF($P2929="","",INDEX(상세표[블록 22~06시],$P2929))</f>
        <v/>
      </c>
      <c r="N2929">
        <f>IF($P2929="","",INDEX(상세표[주말·휴일 포함],$P2929)&amp;"")</f>
        <v/>
      </c>
      <c r="O2929">
        <f>IF($P2929="","",INDEX(상세표[월 넘김 포함],$P2929)&amp;"")</f>
        <v/>
      </c>
      <c r="P2929" s="4">
        <f>IFERROR(MATCH(2924,상세표[연속순번],0),"")</f>
        <v/>
      </c>
    </row>
    <row r="2930">
      <c r="A2930">
        <f>IF($P2930="","",INDEX(상세표[사번],$P2930)&amp;"")</f>
        <v/>
      </c>
      <c r="B2930">
        <f>IF($P2930="","",INDEX(상세표[성명],$P2930)&amp;"")</f>
        <v/>
      </c>
      <c r="C2930">
        <f>IF($P2930="","",INDEX(상세표[부서],$P2930)&amp;"")</f>
        <v/>
      </c>
      <c r="D2930">
        <f>IF($P2930="","",INDEX(상세표[직위],$P2930)&amp;"")</f>
        <v/>
      </c>
      <c r="E2930">
        <f>IF($P2930="","",IF(ISNUMBER(INDEX(상세표[시작],$P2930)),TEXT(INDEX(상세표[시작],$P2930),"yyyy-mm-dd hh:mm"),INDEX(상세표[시작],$P2930)&amp;""))</f>
        <v/>
      </c>
      <c r="F2930">
        <f>IF($P2930="","",IF(ISNUMBER(INDEX(상세표[블록종료],$P2930)),TEXT(INDEX(상세표[블록종료],$P2930),"yyyy-mm-dd hh:mm"),INDEX(상세표[블록종료],$P2930)&amp;""))</f>
        <v/>
      </c>
      <c r="G2930">
        <f>IF($P2930="","",CHOOSE(WEEKDAY(INDEX(상세표[시작],$P2930)),"일","월","화","수","목","금","토"))</f>
        <v/>
      </c>
      <c r="H2930">
        <f>IF($P2930="","",INDEX(상세표[연속 시간],$P2930))</f>
        <v/>
      </c>
      <c r="I2930">
        <f>IF($P2930="","",INDEX(상세표[기록 수],$P2930))</f>
        <v/>
      </c>
      <c r="J2930">
        <f>IF($P2930="","",INDEX(상세표[블록 06~07시],$P2930))</f>
        <v/>
      </c>
      <c r="K2930">
        <f>IF($P2930="","",INDEX(상세표[블록 07~18시],$P2930))</f>
        <v/>
      </c>
      <c r="L2930">
        <f>IF($P2930="","",INDEX(상세표[블록 18~22시],$P2930))</f>
        <v/>
      </c>
      <c r="M2930">
        <f>IF($P2930="","",INDEX(상세표[블록 22~06시],$P2930))</f>
        <v/>
      </c>
      <c r="N2930">
        <f>IF($P2930="","",INDEX(상세표[주말·휴일 포함],$P2930)&amp;"")</f>
        <v/>
      </c>
      <c r="O2930">
        <f>IF($P2930="","",INDEX(상세표[월 넘김 포함],$P2930)&amp;"")</f>
        <v/>
      </c>
      <c r="P2930" s="4">
        <f>IFERROR(MATCH(2925,상세표[연속순번],0),"")</f>
        <v/>
      </c>
    </row>
    <row r="2931">
      <c r="A2931">
        <f>IF($P2931="","",INDEX(상세표[사번],$P2931)&amp;"")</f>
        <v/>
      </c>
      <c r="B2931">
        <f>IF($P2931="","",INDEX(상세표[성명],$P2931)&amp;"")</f>
        <v/>
      </c>
      <c r="C2931">
        <f>IF($P2931="","",INDEX(상세표[부서],$P2931)&amp;"")</f>
        <v/>
      </c>
      <c r="D2931">
        <f>IF($P2931="","",INDEX(상세표[직위],$P2931)&amp;"")</f>
        <v/>
      </c>
      <c r="E2931">
        <f>IF($P2931="","",IF(ISNUMBER(INDEX(상세표[시작],$P2931)),TEXT(INDEX(상세표[시작],$P2931),"yyyy-mm-dd hh:mm"),INDEX(상세표[시작],$P2931)&amp;""))</f>
        <v/>
      </c>
      <c r="F2931">
        <f>IF($P2931="","",IF(ISNUMBER(INDEX(상세표[블록종료],$P2931)),TEXT(INDEX(상세표[블록종료],$P2931),"yyyy-mm-dd hh:mm"),INDEX(상세표[블록종료],$P2931)&amp;""))</f>
        <v/>
      </c>
      <c r="G2931">
        <f>IF($P2931="","",CHOOSE(WEEKDAY(INDEX(상세표[시작],$P2931)),"일","월","화","수","목","금","토"))</f>
        <v/>
      </c>
      <c r="H2931">
        <f>IF($P2931="","",INDEX(상세표[연속 시간],$P2931))</f>
        <v/>
      </c>
      <c r="I2931">
        <f>IF($P2931="","",INDEX(상세표[기록 수],$P2931))</f>
        <v/>
      </c>
      <c r="J2931">
        <f>IF($P2931="","",INDEX(상세표[블록 06~07시],$P2931))</f>
        <v/>
      </c>
      <c r="K2931">
        <f>IF($P2931="","",INDEX(상세표[블록 07~18시],$P2931))</f>
        <v/>
      </c>
      <c r="L2931">
        <f>IF($P2931="","",INDEX(상세표[블록 18~22시],$P2931))</f>
        <v/>
      </c>
      <c r="M2931">
        <f>IF($P2931="","",INDEX(상세표[블록 22~06시],$P2931))</f>
        <v/>
      </c>
      <c r="N2931">
        <f>IF($P2931="","",INDEX(상세표[주말·휴일 포함],$P2931)&amp;"")</f>
        <v/>
      </c>
      <c r="O2931">
        <f>IF($P2931="","",INDEX(상세표[월 넘김 포함],$P2931)&amp;"")</f>
        <v/>
      </c>
      <c r="P2931" s="4">
        <f>IFERROR(MATCH(2926,상세표[연속순번],0),"")</f>
        <v/>
      </c>
    </row>
    <row r="2932">
      <c r="A2932">
        <f>IF($P2932="","",INDEX(상세표[사번],$P2932)&amp;"")</f>
        <v/>
      </c>
      <c r="B2932">
        <f>IF($P2932="","",INDEX(상세표[성명],$P2932)&amp;"")</f>
        <v/>
      </c>
      <c r="C2932">
        <f>IF($P2932="","",INDEX(상세표[부서],$P2932)&amp;"")</f>
        <v/>
      </c>
      <c r="D2932">
        <f>IF($P2932="","",INDEX(상세표[직위],$P2932)&amp;"")</f>
        <v/>
      </c>
      <c r="E2932">
        <f>IF($P2932="","",IF(ISNUMBER(INDEX(상세표[시작],$P2932)),TEXT(INDEX(상세표[시작],$P2932),"yyyy-mm-dd hh:mm"),INDEX(상세표[시작],$P2932)&amp;""))</f>
        <v/>
      </c>
      <c r="F2932">
        <f>IF($P2932="","",IF(ISNUMBER(INDEX(상세표[블록종료],$P2932)),TEXT(INDEX(상세표[블록종료],$P2932),"yyyy-mm-dd hh:mm"),INDEX(상세표[블록종료],$P2932)&amp;""))</f>
        <v/>
      </c>
      <c r="G2932">
        <f>IF($P2932="","",CHOOSE(WEEKDAY(INDEX(상세표[시작],$P2932)),"일","월","화","수","목","금","토"))</f>
        <v/>
      </c>
      <c r="H2932">
        <f>IF($P2932="","",INDEX(상세표[연속 시간],$P2932))</f>
        <v/>
      </c>
      <c r="I2932">
        <f>IF($P2932="","",INDEX(상세표[기록 수],$P2932))</f>
        <v/>
      </c>
      <c r="J2932">
        <f>IF($P2932="","",INDEX(상세표[블록 06~07시],$P2932))</f>
        <v/>
      </c>
      <c r="K2932">
        <f>IF($P2932="","",INDEX(상세표[블록 07~18시],$P2932))</f>
        <v/>
      </c>
      <c r="L2932">
        <f>IF($P2932="","",INDEX(상세표[블록 18~22시],$P2932))</f>
        <v/>
      </c>
      <c r="M2932">
        <f>IF($P2932="","",INDEX(상세표[블록 22~06시],$P2932))</f>
        <v/>
      </c>
      <c r="N2932">
        <f>IF($P2932="","",INDEX(상세표[주말·휴일 포함],$P2932)&amp;"")</f>
        <v/>
      </c>
      <c r="O2932">
        <f>IF($P2932="","",INDEX(상세표[월 넘김 포함],$P2932)&amp;"")</f>
        <v/>
      </c>
      <c r="P2932" s="4">
        <f>IFERROR(MATCH(2927,상세표[연속순번],0),"")</f>
        <v/>
      </c>
    </row>
    <row r="2933">
      <c r="A2933">
        <f>IF($P2933="","",INDEX(상세표[사번],$P2933)&amp;"")</f>
        <v/>
      </c>
      <c r="B2933">
        <f>IF($P2933="","",INDEX(상세표[성명],$P2933)&amp;"")</f>
        <v/>
      </c>
      <c r="C2933">
        <f>IF($P2933="","",INDEX(상세표[부서],$P2933)&amp;"")</f>
        <v/>
      </c>
      <c r="D2933">
        <f>IF($P2933="","",INDEX(상세표[직위],$P2933)&amp;"")</f>
        <v/>
      </c>
      <c r="E2933">
        <f>IF($P2933="","",IF(ISNUMBER(INDEX(상세표[시작],$P2933)),TEXT(INDEX(상세표[시작],$P2933),"yyyy-mm-dd hh:mm"),INDEX(상세표[시작],$P2933)&amp;""))</f>
        <v/>
      </c>
      <c r="F2933">
        <f>IF($P2933="","",IF(ISNUMBER(INDEX(상세표[블록종료],$P2933)),TEXT(INDEX(상세표[블록종료],$P2933),"yyyy-mm-dd hh:mm"),INDEX(상세표[블록종료],$P2933)&amp;""))</f>
        <v/>
      </c>
      <c r="G2933">
        <f>IF($P2933="","",CHOOSE(WEEKDAY(INDEX(상세표[시작],$P2933)),"일","월","화","수","목","금","토"))</f>
        <v/>
      </c>
      <c r="H2933">
        <f>IF($P2933="","",INDEX(상세표[연속 시간],$P2933))</f>
        <v/>
      </c>
      <c r="I2933">
        <f>IF($P2933="","",INDEX(상세표[기록 수],$P2933))</f>
        <v/>
      </c>
      <c r="J2933">
        <f>IF($P2933="","",INDEX(상세표[블록 06~07시],$P2933))</f>
        <v/>
      </c>
      <c r="K2933">
        <f>IF($P2933="","",INDEX(상세표[블록 07~18시],$P2933))</f>
        <v/>
      </c>
      <c r="L2933">
        <f>IF($P2933="","",INDEX(상세표[블록 18~22시],$P2933))</f>
        <v/>
      </c>
      <c r="M2933">
        <f>IF($P2933="","",INDEX(상세표[블록 22~06시],$P2933))</f>
        <v/>
      </c>
      <c r="N2933">
        <f>IF($P2933="","",INDEX(상세표[주말·휴일 포함],$P2933)&amp;"")</f>
        <v/>
      </c>
      <c r="O2933">
        <f>IF($P2933="","",INDEX(상세표[월 넘김 포함],$P2933)&amp;"")</f>
        <v/>
      </c>
      <c r="P2933" s="4">
        <f>IFERROR(MATCH(2928,상세표[연속순번],0),"")</f>
        <v/>
      </c>
    </row>
    <row r="2934">
      <c r="A2934">
        <f>IF($P2934="","",INDEX(상세표[사번],$P2934)&amp;"")</f>
        <v/>
      </c>
      <c r="B2934">
        <f>IF($P2934="","",INDEX(상세표[성명],$P2934)&amp;"")</f>
        <v/>
      </c>
      <c r="C2934">
        <f>IF($P2934="","",INDEX(상세표[부서],$P2934)&amp;"")</f>
        <v/>
      </c>
      <c r="D2934">
        <f>IF($P2934="","",INDEX(상세표[직위],$P2934)&amp;"")</f>
        <v/>
      </c>
      <c r="E2934">
        <f>IF($P2934="","",IF(ISNUMBER(INDEX(상세표[시작],$P2934)),TEXT(INDEX(상세표[시작],$P2934),"yyyy-mm-dd hh:mm"),INDEX(상세표[시작],$P2934)&amp;""))</f>
        <v/>
      </c>
      <c r="F2934">
        <f>IF($P2934="","",IF(ISNUMBER(INDEX(상세표[블록종료],$P2934)),TEXT(INDEX(상세표[블록종료],$P2934),"yyyy-mm-dd hh:mm"),INDEX(상세표[블록종료],$P2934)&amp;""))</f>
        <v/>
      </c>
      <c r="G2934">
        <f>IF($P2934="","",CHOOSE(WEEKDAY(INDEX(상세표[시작],$P2934)),"일","월","화","수","목","금","토"))</f>
        <v/>
      </c>
      <c r="H2934">
        <f>IF($P2934="","",INDEX(상세표[연속 시간],$P2934))</f>
        <v/>
      </c>
      <c r="I2934">
        <f>IF($P2934="","",INDEX(상세표[기록 수],$P2934))</f>
        <v/>
      </c>
      <c r="J2934">
        <f>IF($P2934="","",INDEX(상세표[블록 06~07시],$P2934))</f>
        <v/>
      </c>
      <c r="K2934">
        <f>IF($P2934="","",INDEX(상세표[블록 07~18시],$P2934))</f>
        <v/>
      </c>
      <c r="L2934">
        <f>IF($P2934="","",INDEX(상세표[블록 18~22시],$P2934))</f>
        <v/>
      </c>
      <c r="M2934">
        <f>IF($P2934="","",INDEX(상세표[블록 22~06시],$P2934))</f>
        <v/>
      </c>
      <c r="N2934">
        <f>IF($P2934="","",INDEX(상세표[주말·휴일 포함],$P2934)&amp;"")</f>
        <v/>
      </c>
      <c r="O2934">
        <f>IF($P2934="","",INDEX(상세표[월 넘김 포함],$P2934)&amp;"")</f>
        <v/>
      </c>
      <c r="P2934" s="4">
        <f>IFERROR(MATCH(2929,상세표[연속순번],0),"")</f>
        <v/>
      </c>
    </row>
    <row r="2935">
      <c r="A2935">
        <f>IF($P2935="","",INDEX(상세표[사번],$P2935)&amp;"")</f>
        <v/>
      </c>
      <c r="B2935">
        <f>IF($P2935="","",INDEX(상세표[성명],$P2935)&amp;"")</f>
        <v/>
      </c>
      <c r="C2935">
        <f>IF($P2935="","",INDEX(상세표[부서],$P2935)&amp;"")</f>
        <v/>
      </c>
      <c r="D2935">
        <f>IF($P2935="","",INDEX(상세표[직위],$P2935)&amp;"")</f>
        <v/>
      </c>
      <c r="E2935">
        <f>IF($P2935="","",IF(ISNUMBER(INDEX(상세표[시작],$P2935)),TEXT(INDEX(상세표[시작],$P2935),"yyyy-mm-dd hh:mm"),INDEX(상세표[시작],$P2935)&amp;""))</f>
        <v/>
      </c>
      <c r="F2935">
        <f>IF($P2935="","",IF(ISNUMBER(INDEX(상세표[블록종료],$P2935)),TEXT(INDEX(상세표[블록종료],$P2935),"yyyy-mm-dd hh:mm"),INDEX(상세표[블록종료],$P2935)&amp;""))</f>
        <v/>
      </c>
      <c r="G2935">
        <f>IF($P2935="","",CHOOSE(WEEKDAY(INDEX(상세표[시작],$P2935)),"일","월","화","수","목","금","토"))</f>
        <v/>
      </c>
      <c r="H2935">
        <f>IF($P2935="","",INDEX(상세표[연속 시간],$P2935))</f>
        <v/>
      </c>
      <c r="I2935">
        <f>IF($P2935="","",INDEX(상세표[기록 수],$P2935))</f>
        <v/>
      </c>
      <c r="J2935">
        <f>IF($P2935="","",INDEX(상세표[블록 06~07시],$P2935))</f>
        <v/>
      </c>
      <c r="K2935">
        <f>IF($P2935="","",INDEX(상세표[블록 07~18시],$P2935))</f>
        <v/>
      </c>
      <c r="L2935">
        <f>IF($P2935="","",INDEX(상세표[블록 18~22시],$P2935))</f>
        <v/>
      </c>
      <c r="M2935">
        <f>IF($P2935="","",INDEX(상세표[블록 22~06시],$P2935))</f>
        <v/>
      </c>
      <c r="N2935">
        <f>IF($P2935="","",INDEX(상세표[주말·휴일 포함],$P2935)&amp;"")</f>
        <v/>
      </c>
      <c r="O2935">
        <f>IF($P2935="","",INDEX(상세표[월 넘김 포함],$P2935)&amp;"")</f>
        <v/>
      </c>
      <c r="P2935" s="4">
        <f>IFERROR(MATCH(2930,상세표[연속순번],0),"")</f>
        <v/>
      </c>
    </row>
    <row r="2936">
      <c r="A2936">
        <f>IF($P2936="","",INDEX(상세표[사번],$P2936)&amp;"")</f>
        <v/>
      </c>
      <c r="B2936">
        <f>IF($P2936="","",INDEX(상세표[성명],$P2936)&amp;"")</f>
        <v/>
      </c>
      <c r="C2936">
        <f>IF($P2936="","",INDEX(상세표[부서],$P2936)&amp;"")</f>
        <v/>
      </c>
      <c r="D2936">
        <f>IF($P2936="","",INDEX(상세표[직위],$P2936)&amp;"")</f>
        <v/>
      </c>
      <c r="E2936">
        <f>IF($P2936="","",IF(ISNUMBER(INDEX(상세표[시작],$P2936)),TEXT(INDEX(상세표[시작],$P2936),"yyyy-mm-dd hh:mm"),INDEX(상세표[시작],$P2936)&amp;""))</f>
        <v/>
      </c>
      <c r="F2936">
        <f>IF($P2936="","",IF(ISNUMBER(INDEX(상세표[블록종료],$P2936)),TEXT(INDEX(상세표[블록종료],$P2936),"yyyy-mm-dd hh:mm"),INDEX(상세표[블록종료],$P2936)&amp;""))</f>
        <v/>
      </c>
      <c r="G2936">
        <f>IF($P2936="","",CHOOSE(WEEKDAY(INDEX(상세표[시작],$P2936)),"일","월","화","수","목","금","토"))</f>
        <v/>
      </c>
      <c r="H2936">
        <f>IF($P2936="","",INDEX(상세표[연속 시간],$P2936))</f>
        <v/>
      </c>
      <c r="I2936">
        <f>IF($P2936="","",INDEX(상세표[기록 수],$P2936))</f>
        <v/>
      </c>
      <c r="J2936">
        <f>IF($P2936="","",INDEX(상세표[블록 06~07시],$P2936))</f>
        <v/>
      </c>
      <c r="K2936">
        <f>IF($P2936="","",INDEX(상세표[블록 07~18시],$P2936))</f>
        <v/>
      </c>
      <c r="L2936">
        <f>IF($P2936="","",INDEX(상세표[블록 18~22시],$P2936))</f>
        <v/>
      </c>
      <c r="M2936">
        <f>IF($P2936="","",INDEX(상세표[블록 22~06시],$P2936))</f>
        <v/>
      </c>
      <c r="N2936">
        <f>IF($P2936="","",INDEX(상세표[주말·휴일 포함],$P2936)&amp;"")</f>
        <v/>
      </c>
      <c r="O2936">
        <f>IF($P2936="","",INDEX(상세표[월 넘김 포함],$P2936)&amp;"")</f>
        <v/>
      </c>
      <c r="P2936" s="4">
        <f>IFERROR(MATCH(2931,상세표[연속순번],0),"")</f>
        <v/>
      </c>
    </row>
    <row r="2937">
      <c r="A2937">
        <f>IF($P2937="","",INDEX(상세표[사번],$P2937)&amp;"")</f>
        <v/>
      </c>
      <c r="B2937">
        <f>IF($P2937="","",INDEX(상세표[성명],$P2937)&amp;"")</f>
        <v/>
      </c>
      <c r="C2937">
        <f>IF($P2937="","",INDEX(상세표[부서],$P2937)&amp;"")</f>
        <v/>
      </c>
      <c r="D2937">
        <f>IF($P2937="","",INDEX(상세표[직위],$P2937)&amp;"")</f>
        <v/>
      </c>
      <c r="E2937">
        <f>IF($P2937="","",IF(ISNUMBER(INDEX(상세표[시작],$P2937)),TEXT(INDEX(상세표[시작],$P2937),"yyyy-mm-dd hh:mm"),INDEX(상세표[시작],$P2937)&amp;""))</f>
        <v/>
      </c>
      <c r="F2937">
        <f>IF($P2937="","",IF(ISNUMBER(INDEX(상세표[블록종료],$P2937)),TEXT(INDEX(상세표[블록종료],$P2937),"yyyy-mm-dd hh:mm"),INDEX(상세표[블록종료],$P2937)&amp;""))</f>
        <v/>
      </c>
      <c r="G2937">
        <f>IF($P2937="","",CHOOSE(WEEKDAY(INDEX(상세표[시작],$P2937)),"일","월","화","수","목","금","토"))</f>
        <v/>
      </c>
      <c r="H2937">
        <f>IF($P2937="","",INDEX(상세표[연속 시간],$P2937))</f>
        <v/>
      </c>
      <c r="I2937">
        <f>IF($P2937="","",INDEX(상세표[기록 수],$P2937))</f>
        <v/>
      </c>
      <c r="J2937">
        <f>IF($P2937="","",INDEX(상세표[블록 06~07시],$P2937))</f>
        <v/>
      </c>
      <c r="K2937">
        <f>IF($P2937="","",INDEX(상세표[블록 07~18시],$P2937))</f>
        <v/>
      </c>
      <c r="L2937">
        <f>IF($P2937="","",INDEX(상세표[블록 18~22시],$P2937))</f>
        <v/>
      </c>
      <c r="M2937">
        <f>IF($P2937="","",INDEX(상세표[블록 22~06시],$P2937))</f>
        <v/>
      </c>
      <c r="N2937">
        <f>IF($P2937="","",INDEX(상세표[주말·휴일 포함],$P2937)&amp;"")</f>
        <v/>
      </c>
      <c r="O2937">
        <f>IF($P2937="","",INDEX(상세표[월 넘김 포함],$P2937)&amp;"")</f>
        <v/>
      </c>
      <c r="P2937" s="4">
        <f>IFERROR(MATCH(2932,상세표[연속순번],0),"")</f>
        <v/>
      </c>
    </row>
    <row r="2938">
      <c r="A2938">
        <f>IF($P2938="","",INDEX(상세표[사번],$P2938)&amp;"")</f>
        <v/>
      </c>
      <c r="B2938">
        <f>IF($P2938="","",INDEX(상세표[성명],$P2938)&amp;"")</f>
        <v/>
      </c>
      <c r="C2938">
        <f>IF($P2938="","",INDEX(상세표[부서],$P2938)&amp;"")</f>
        <v/>
      </c>
      <c r="D2938">
        <f>IF($P2938="","",INDEX(상세표[직위],$P2938)&amp;"")</f>
        <v/>
      </c>
      <c r="E2938">
        <f>IF($P2938="","",IF(ISNUMBER(INDEX(상세표[시작],$P2938)),TEXT(INDEX(상세표[시작],$P2938),"yyyy-mm-dd hh:mm"),INDEX(상세표[시작],$P2938)&amp;""))</f>
        <v/>
      </c>
      <c r="F2938">
        <f>IF($P2938="","",IF(ISNUMBER(INDEX(상세표[블록종료],$P2938)),TEXT(INDEX(상세표[블록종료],$P2938),"yyyy-mm-dd hh:mm"),INDEX(상세표[블록종료],$P2938)&amp;""))</f>
        <v/>
      </c>
      <c r="G2938">
        <f>IF($P2938="","",CHOOSE(WEEKDAY(INDEX(상세표[시작],$P2938)),"일","월","화","수","목","금","토"))</f>
        <v/>
      </c>
      <c r="H2938">
        <f>IF($P2938="","",INDEX(상세표[연속 시간],$P2938))</f>
        <v/>
      </c>
      <c r="I2938">
        <f>IF($P2938="","",INDEX(상세표[기록 수],$P2938))</f>
        <v/>
      </c>
      <c r="J2938">
        <f>IF($P2938="","",INDEX(상세표[블록 06~07시],$P2938))</f>
        <v/>
      </c>
      <c r="K2938">
        <f>IF($P2938="","",INDEX(상세표[블록 07~18시],$P2938))</f>
        <v/>
      </c>
      <c r="L2938">
        <f>IF($P2938="","",INDEX(상세표[블록 18~22시],$P2938))</f>
        <v/>
      </c>
      <c r="M2938">
        <f>IF($P2938="","",INDEX(상세표[블록 22~06시],$P2938))</f>
        <v/>
      </c>
      <c r="N2938">
        <f>IF($P2938="","",INDEX(상세표[주말·휴일 포함],$P2938)&amp;"")</f>
        <v/>
      </c>
      <c r="O2938">
        <f>IF($P2938="","",INDEX(상세표[월 넘김 포함],$P2938)&amp;"")</f>
        <v/>
      </c>
      <c r="P2938" s="4">
        <f>IFERROR(MATCH(2933,상세표[연속순번],0),"")</f>
        <v/>
      </c>
    </row>
    <row r="2939">
      <c r="A2939">
        <f>IF($P2939="","",INDEX(상세표[사번],$P2939)&amp;"")</f>
        <v/>
      </c>
      <c r="B2939">
        <f>IF($P2939="","",INDEX(상세표[성명],$P2939)&amp;"")</f>
        <v/>
      </c>
      <c r="C2939">
        <f>IF($P2939="","",INDEX(상세표[부서],$P2939)&amp;"")</f>
        <v/>
      </c>
      <c r="D2939">
        <f>IF($P2939="","",INDEX(상세표[직위],$P2939)&amp;"")</f>
        <v/>
      </c>
      <c r="E2939">
        <f>IF($P2939="","",IF(ISNUMBER(INDEX(상세표[시작],$P2939)),TEXT(INDEX(상세표[시작],$P2939),"yyyy-mm-dd hh:mm"),INDEX(상세표[시작],$P2939)&amp;""))</f>
        <v/>
      </c>
      <c r="F2939">
        <f>IF($P2939="","",IF(ISNUMBER(INDEX(상세표[블록종료],$P2939)),TEXT(INDEX(상세표[블록종료],$P2939),"yyyy-mm-dd hh:mm"),INDEX(상세표[블록종료],$P2939)&amp;""))</f>
        <v/>
      </c>
      <c r="G2939">
        <f>IF($P2939="","",CHOOSE(WEEKDAY(INDEX(상세표[시작],$P2939)),"일","월","화","수","목","금","토"))</f>
        <v/>
      </c>
      <c r="H2939">
        <f>IF($P2939="","",INDEX(상세표[연속 시간],$P2939))</f>
        <v/>
      </c>
      <c r="I2939">
        <f>IF($P2939="","",INDEX(상세표[기록 수],$P2939))</f>
        <v/>
      </c>
      <c r="J2939">
        <f>IF($P2939="","",INDEX(상세표[블록 06~07시],$P2939))</f>
        <v/>
      </c>
      <c r="K2939">
        <f>IF($P2939="","",INDEX(상세표[블록 07~18시],$P2939))</f>
        <v/>
      </c>
      <c r="L2939">
        <f>IF($P2939="","",INDEX(상세표[블록 18~22시],$P2939))</f>
        <v/>
      </c>
      <c r="M2939">
        <f>IF($P2939="","",INDEX(상세표[블록 22~06시],$P2939))</f>
        <v/>
      </c>
      <c r="N2939">
        <f>IF($P2939="","",INDEX(상세표[주말·휴일 포함],$P2939)&amp;"")</f>
        <v/>
      </c>
      <c r="O2939">
        <f>IF($P2939="","",INDEX(상세표[월 넘김 포함],$P2939)&amp;"")</f>
        <v/>
      </c>
      <c r="P2939" s="4">
        <f>IFERROR(MATCH(2934,상세표[연속순번],0),"")</f>
        <v/>
      </c>
    </row>
    <row r="2940">
      <c r="A2940">
        <f>IF($P2940="","",INDEX(상세표[사번],$P2940)&amp;"")</f>
        <v/>
      </c>
      <c r="B2940">
        <f>IF($P2940="","",INDEX(상세표[성명],$P2940)&amp;"")</f>
        <v/>
      </c>
      <c r="C2940">
        <f>IF($P2940="","",INDEX(상세표[부서],$P2940)&amp;"")</f>
        <v/>
      </c>
      <c r="D2940">
        <f>IF($P2940="","",INDEX(상세표[직위],$P2940)&amp;"")</f>
        <v/>
      </c>
      <c r="E2940">
        <f>IF($P2940="","",IF(ISNUMBER(INDEX(상세표[시작],$P2940)),TEXT(INDEX(상세표[시작],$P2940),"yyyy-mm-dd hh:mm"),INDEX(상세표[시작],$P2940)&amp;""))</f>
        <v/>
      </c>
      <c r="F2940">
        <f>IF($P2940="","",IF(ISNUMBER(INDEX(상세표[블록종료],$P2940)),TEXT(INDEX(상세표[블록종료],$P2940),"yyyy-mm-dd hh:mm"),INDEX(상세표[블록종료],$P2940)&amp;""))</f>
        <v/>
      </c>
      <c r="G2940">
        <f>IF($P2940="","",CHOOSE(WEEKDAY(INDEX(상세표[시작],$P2940)),"일","월","화","수","목","금","토"))</f>
        <v/>
      </c>
      <c r="H2940">
        <f>IF($P2940="","",INDEX(상세표[연속 시간],$P2940))</f>
        <v/>
      </c>
      <c r="I2940">
        <f>IF($P2940="","",INDEX(상세표[기록 수],$P2940))</f>
        <v/>
      </c>
      <c r="J2940">
        <f>IF($P2940="","",INDEX(상세표[블록 06~07시],$P2940))</f>
        <v/>
      </c>
      <c r="K2940">
        <f>IF($P2940="","",INDEX(상세표[블록 07~18시],$P2940))</f>
        <v/>
      </c>
      <c r="L2940">
        <f>IF($P2940="","",INDEX(상세표[블록 18~22시],$P2940))</f>
        <v/>
      </c>
      <c r="M2940">
        <f>IF($P2940="","",INDEX(상세표[블록 22~06시],$P2940))</f>
        <v/>
      </c>
      <c r="N2940">
        <f>IF($P2940="","",INDEX(상세표[주말·휴일 포함],$P2940)&amp;"")</f>
        <v/>
      </c>
      <c r="O2940">
        <f>IF($P2940="","",INDEX(상세표[월 넘김 포함],$P2940)&amp;"")</f>
        <v/>
      </c>
      <c r="P2940" s="4">
        <f>IFERROR(MATCH(2935,상세표[연속순번],0),"")</f>
        <v/>
      </c>
    </row>
    <row r="2941">
      <c r="A2941">
        <f>IF($P2941="","",INDEX(상세표[사번],$P2941)&amp;"")</f>
        <v/>
      </c>
      <c r="B2941">
        <f>IF($P2941="","",INDEX(상세표[성명],$P2941)&amp;"")</f>
        <v/>
      </c>
      <c r="C2941">
        <f>IF($P2941="","",INDEX(상세표[부서],$P2941)&amp;"")</f>
        <v/>
      </c>
      <c r="D2941">
        <f>IF($P2941="","",INDEX(상세표[직위],$P2941)&amp;"")</f>
        <v/>
      </c>
      <c r="E2941">
        <f>IF($P2941="","",IF(ISNUMBER(INDEX(상세표[시작],$P2941)),TEXT(INDEX(상세표[시작],$P2941),"yyyy-mm-dd hh:mm"),INDEX(상세표[시작],$P2941)&amp;""))</f>
        <v/>
      </c>
      <c r="F2941">
        <f>IF($P2941="","",IF(ISNUMBER(INDEX(상세표[블록종료],$P2941)),TEXT(INDEX(상세표[블록종료],$P2941),"yyyy-mm-dd hh:mm"),INDEX(상세표[블록종료],$P2941)&amp;""))</f>
        <v/>
      </c>
      <c r="G2941">
        <f>IF($P2941="","",CHOOSE(WEEKDAY(INDEX(상세표[시작],$P2941)),"일","월","화","수","목","금","토"))</f>
        <v/>
      </c>
      <c r="H2941">
        <f>IF($P2941="","",INDEX(상세표[연속 시간],$P2941))</f>
        <v/>
      </c>
      <c r="I2941">
        <f>IF($P2941="","",INDEX(상세표[기록 수],$P2941))</f>
        <v/>
      </c>
      <c r="J2941">
        <f>IF($P2941="","",INDEX(상세표[블록 06~07시],$P2941))</f>
        <v/>
      </c>
      <c r="K2941">
        <f>IF($P2941="","",INDEX(상세표[블록 07~18시],$P2941))</f>
        <v/>
      </c>
      <c r="L2941">
        <f>IF($P2941="","",INDEX(상세표[블록 18~22시],$P2941))</f>
        <v/>
      </c>
      <c r="M2941">
        <f>IF($P2941="","",INDEX(상세표[블록 22~06시],$P2941))</f>
        <v/>
      </c>
      <c r="N2941">
        <f>IF($P2941="","",INDEX(상세표[주말·휴일 포함],$P2941)&amp;"")</f>
        <v/>
      </c>
      <c r="O2941">
        <f>IF($P2941="","",INDEX(상세표[월 넘김 포함],$P2941)&amp;"")</f>
        <v/>
      </c>
      <c r="P2941" s="4">
        <f>IFERROR(MATCH(2936,상세표[연속순번],0),"")</f>
        <v/>
      </c>
    </row>
    <row r="2942">
      <c r="A2942">
        <f>IF($P2942="","",INDEX(상세표[사번],$P2942)&amp;"")</f>
        <v/>
      </c>
      <c r="B2942">
        <f>IF($P2942="","",INDEX(상세표[성명],$P2942)&amp;"")</f>
        <v/>
      </c>
      <c r="C2942">
        <f>IF($P2942="","",INDEX(상세표[부서],$P2942)&amp;"")</f>
        <v/>
      </c>
      <c r="D2942">
        <f>IF($P2942="","",INDEX(상세표[직위],$P2942)&amp;"")</f>
        <v/>
      </c>
      <c r="E2942">
        <f>IF($P2942="","",IF(ISNUMBER(INDEX(상세표[시작],$P2942)),TEXT(INDEX(상세표[시작],$P2942),"yyyy-mm-dd hh:mm"),INDEX(상세표[시작],$P2942)&amp;""))</f>
        <v/>
      </c>
      <c r="F2942">
        <f>IF($P2942="","",IF(ISNUMBER(INDEX(상세표[블록종료],$P2942)),TEXT(INDEX(상세표[블록종료],$P2942),"yyyy-mm-dd hh:mm"),INDEX(상세표[블록종료],$P2942)&amp;""))</f>
        <v/>
      </c>
      <c r="G2942">
        <f>IF($P2942="","",CHOOSE(WEEKDAY(INDEX(상세표[시작],$P2942)),"일","월","화","수","목","금","토"))</f>
        <v/>
      </c>
      <c r="H2942">
        <f>IF($P2942="","",INDEX(상세표[연속 시간],$P2942))</f>
        <v/>
      </c>
      <c r="I2942">
        <f>IF($P2942="","",INDEX(상세표[기록 수],$P2942))</f>
        <v/>
      </c>
      <c r="J2942">
        <f>IF($P2942="","",INDEX(상세표[블록 06~07시],$P2942))</f>
        <v/>
      </c>
      <c r="K2942">
        <f>IF($P2942="","",INDEX(상세표[블록 07~18시],$P2942))</f>
        <v/>
      </c>
      <c r="L2942">
        <f>IF($P2942="","",INDEX(상세표[블록 18~22시],$P2942))</f>
        <v/>
      </c>
      <c r="M2942">
        <f>IF($P2942="","",INDEX(상세표[블록 22~06시],$P2942))</f>
        <v/>
      </c>
      <c r="N2942">
        <f>IF($P2942="","",INDEX(상세표[주말·휴일 포함],$P2942)&amp;"")</f>
        <v/>
      </c>
      <c r="O2942">
        <f>IF($P2942="","",INDEX(상세표[월 넘김 포함],$P2942)&amp;"")</f>
        <v/>
      </c>
      <c r="P2942" s="4">
        <f>IFERROR(MATCH(2937,상세표[연속순번],0),"")</f>
        <v/>
      </c>
    </row>
    <row r="2943">
      <c r="A2943">
        <f>IF($P2943="","",INDEX(상세표[사번],$P2943)&amp;"")</f>
        <v/>
      </c>
      <c r="B2943">
        <f>IF($P2943="","",INDEX(상세표[성명],$P2943)&amp;"")</f>
        <v/>
      </c>
      <c r="C2943">
        <f>IF($P2943="","",INDEX(상세표[부서],$P2943)&amp;"")</f>
        <v/>
      </c>
      <c r="D2943">
        <f>IF($P2943="","",INDEX(상세표[직위],$P2943)&amp;"")</f>
        <v/>
      </c>
      <c r="E2943">
        <f>IF($P2943="","",IF(ISNUMBER(INDEX(상세표[시작],$P2943)),TEXT(INDEX(상세표[시작],$P2943),"yyyy-mm-dd hh:mm"),INDEX(상세표[시작],$P2943)&amp;""))</f>
        <v/>
      </c>
      <c r="F2943">
        <f>IF($P2943="","",IF(ISNUMBER(INDEX(상세표[블록종료],$P2943)),TEXT(INDEX(상세표[블록종료],$P2943),"yyyy-mm-dd hh:mm"),INDEX(상세표[블록종료],$P2943)&amp;""))</f>
        <v/>
      </c>
      <c r="G2943">
        <f>IF($P2943="","",CHOOSE(WEEKDAY(INDEX(상세표[시작],$P2943)),"일","월","화","수","목","금","토"))</f>
        <v/>
      </c>
      <c r="H2943">
        <f>IF($P2943="","",INDEX(상세표[연속 시간],$P2943))</f>
        <v/>
      </c>
      <c r="I2943">
        <f>IF($P2943="","",INDEX(상세표[기록 수],$P2943))</f>
        <v/>
      </c>
      <c r="J2943">
        <f>IF($P2943="","",INDEX(상세표[블록 06~07시],$P2943))</f>
        <v/>
      </c>
      <c r="K2943">
        <f>IF($P2943="","",INDEX(상세표[블록 07~18시],$P2943))</f>
        <v/>
      </c>
      <c r="L2943">
        <f>IF($P2943="","",INDEX(상세표[블록 18~22시],$P2943))</f>
        <v/>
      </c>
      <c r="M2943">
        <f>IF($P2943="","",INDEX(상세표[블록 22~06시],$P2943))</f>
        <v/>
      </c>
      <c r="N2943">
        <f>IF($P2943="","",INDEX(상세표[주말·휴일 포함],$P2943)&amp;"")</f>
        <v/>
      </c>
      <c r="O2943">
        <f>IF($P2943="","",INDEX(상세표[월 넘김 포함],$P2943)&amp;"")</f>
        <v/>
      </c>
      <c r="P2943" s="4">
        <f>IFERROR(MATCH(2938,상세표[연속순번],0),"")</f>
        <v/>
      </c>
    </row>
    <row r="2944">
      <c r="A2944">
        <f>IF($P2944="","",INDEX(상세표[사번],$P2944)&amp;"")</f>
        <v/>
      </c>
      <c r="B2944">
        <f>IF($P2944="","",INDEX(상세표[성명],$P2944)&amp;"")</f>
        <v/>
      </c>
      <c r="C2944">
        <f>IF($P2944="","",INDEX(상세표[부서],$P2944)&amp;"")</f>
        <v/>
      </c>
      <c r="D2944">
        <f>IF($P2944="","",INDEX(상세표[직위],$P2944)&amp;"")</f>
        <v/>
      </c>
      <c r="E2944">
        <f>IF($P2944="","",IF(ISNUMBER(INDEX(상세표[시작],$P2944)),TEXT(INDEX(상세표[시작],$P2944),"yyyy-mm-dd hh:mm"),INDEX(상세표[시작],$P2944)&amp;""))</f>
        <v/>
      </c>
      <c r="F2944">
        <f>IF($P2944="","",IF(ISNUMBER(INDEX(상세표[블록종료],$P2944)),TEXT(INDEX(상세표[블록종료],$P2944),"yyyy-mm-dd hh:mm"),INDEX(상세표[블록종료],$P2944)&amp;""))</f>
        <v/>
      </c>
      <c r="G2944">
        <f>IF($P2944="","",CHOOSE(WEEKDAY(INDEX(상세표[시작],$P2944)),"일","월","화","수","목","금","토"))</f>
        <v/>
      </c>
      <c r="H2944">
        <f>IF($P2944="","",INDEX(상세표[연속 시간],$P2944))</f>
        <v/>
      </c>
      <c r="I2944">
        <f>IF($P2944="","",INDEX(상세표[기록 수],$P2944))</f>
        <v/>
      </c>
      <c r="J2944">
        <f>IF($P2944="","",INDEX(상세표[블록 06~07시],$P2944))</f>
        <v/>
      </c>
      <c r="K2944">
        <f>IF($P2944="","",INDEX(상세표[블록 07~18시],$P2944))</f>
        <v/>
      </c>
      <c r="L2944">
        <f>IF($P2944="","",INDEX(상세표[블록 18~22시],$P2944))</f>
        <v/>
      </c>
      <c r="M2944">
        <f>IF($P2944="","",INDEX(상세표[블록 22~06시],$P2944))</f>
        <v/>
      </c>
      <c r="N2944">
        <f>IF($P2944="","",INDEX(상세표[주말·휴일 포함],$P2944)&amp;"")</f>
        <v/>
      </c>
      <c r="O2944">
        <f>IF($P2944="","",INDEX(상세표[월 넘김 포함],$P2944)&amp;"")</f>
        <v/>
      </c>
      <c r="P2944" s="4">
        <f>IFERROR(MATCH(2939,상세표[연속순번],0),"")</f>
        <v/>
      </c>
    </row>
    <row r="2945">
      <c r="A2945">
        <f>IF($P2945="","",INDEX(상세표[사번],$P2945)&amp;"")</f>
        <v/>
      </c>
      <c r="B2945">
        <f>IF($P2945="","",INDEX(상세표[성명],$P2945)&amp;"")</f>
        <v/>
      </c>
      <c r="C2945">
        <f>IF($P2945="","",INDEX(상세표[부서],$P2945)&amp;"")</f>
        <v/>
      </c>
      <c r="D2945">
        <f>IF($P2945="","",INDEX(상세표[직위],$P2945)&amp;"")</f>
        <v/>
      </c>
      <c r="E2945">
        <f>IF($P2945="","",IF(ISNUMBER(INDEX(상세표[시작],$P2945)),TEXT(INDEX(상세표[시작],$P2945),"yyyy-mm-dd hh:mm"),INDEX(상세표[시작],$P2945)&amp;""))</f>
        <v/>
      </c>
      <c r="F2945">
        <f>IF($P2945="","",IF(ISNUMBER(INDEX(상세표[블록종료],$P2945)),TEXT(INDEX(상세표[블록종료],$P2945),"yyyy-mm-dd hh:mm"),INDEX(상세표[블록종료],$P2945)&amp;""))</f>
        <v/>
      </c>
      <c r="G2945">
        <f>IF($P2945="","",CHOOSE(WEEKDAY(INDEX(상세표[시작],$P2945)),"일","월","화","수","목","금","토"))</f>
        <v/>
      </c>
      <c r="H2945">
        <f>IF($P2945="","",INDEX(상세표[연속 시간],$P2945))</f>
        <v/>
      </c>
      <c r="I2945">
        <f>IF($P2945="","",INDEX(상세표[기록 수],$P2945))</f>
        <v/>
      </c>
      <c r="J2945">
        <f>IF($P2945="","",INDEX(상세표[블록 06~07시],$P2945))</f>
        <v/>
      </c>
      <c r="K2945">
        <f>IF($P2945="","",INDEX(상세표[블록 07~18시],$P2945))</f>
        <v/>
      </c>
      <c r="L2945">
        <f>IF($P2945="","",INDEX(상세표[블록 18~22시],$P2945))</f>
        <v/>
      </c>
      <c r="M2945">
        <f>IF($P2945="","",INDEX(상세표[블록 22~06시],$P2945))</f>
        <v/>
      </c>
      <c r="N2945">
        <f>IF($P2945="","",INDEX(상세표[주말·휴일 포함],$P2945)&amp;"")</f>
        <v/>
      </c>
      <c r="O2945">
        <f>IF($P2945="","",INDEX(상세표[월 넘김 포함],$P2945)&amp;"")</f>
        <v/>
      </c>
      <c r="P2945" s="4">
        <f>IFERROR(MATCH(2940,상세표[연속순번],0),"")</f>
        <v/>
      </c>
    </row>
    <row r="2946">
      <c r="A2946">
        <f>IF($P2946="","",INDEX(상세표[사번],$P2946)&amp;"")</f>
        <v/>
      </c>
      <c r="B2946">
        <f>IF($P2946="","",INDEX(상세표[성명],$P2946)&amp;"")</f>
        <v/>
      </c>
      <c r="C2946">
        <f>IF($P2946="","",INDEX(상세표[부서],$P2946)&amp;"")</f>
        <v/>
      </c>
      <c r="D2946">
        <f>IF($P2946="","",INDEX(상세표[직위],$P2946)&amp;"")</f>
        <v/>
      </c>
      <c r="E2946">
        <f>IF($P2946="","",IF(ISNUMBER(INDEX(상세표[시작],$P2946)),TEXT(INDEX(상세표[시작],$P2946),"yyyy-mm-dd hh:mm"),INDEX(상세표[시작],$P2946)&amp;""))</f>
        <v/>
      </c>
      <c r="F2946">
        <f>IF($P2946="","",IF(ISNUMBER(INDEX(상세표[블록종료],$P2946)),TEXT(INDEX(상세표[블록종료],$P2946),"yyyy-mm-dd hh:mm"),INDEX(상세표[블록종료],$P2946)&amp;""))</f>
        <v/>
      </c>
      <c r="G2946">
        <f>IF($P2946="","",CHOOSE(WEEKDAY(INDEX(상세표[시작],$P2946)),"일","월","화","수","목","금","토"))</f>
        <v/>
      </c>
      <c r="H2946">
        <f>IF($P2946="","",INDEX(상세표[연속 시간],$P2946))</f>
        <v/>
      </c>
      <c r="I2946">
        <f>IF($P2946="","",INDEX(상세표[기록 수],$P2946))</f>
        <v/>
      </c>
      <c r="J2946">
        <f>IF($P2946="","",INDEX(상세표[블록 06~07시],$P2946))</f>
        <v/>
      </c>
      <c r="K2946">
        <f>IF($P2946="","",INDEX(상세표[블록 07~18시],$P2946))</f>
        <v/>
      </c>
      <c r="L2946">
        <f>IF($P2946="","",INDEX(상세표[블록 18~22시],$P2946))</f>
        <v/>
      </c>
      <c r="M2946">
        <f>IF($P2946="","",INDEX(상세표[블록 22~06시],$P2946))</f>
        <v/>
      </c>
      <c r="N2946">
        <f>IF($P2946="","",INDEX(상세표[주말·휴일 포함],$P2946)&amp;"")</f>
        <v/>
      </c>
      <c r="O2946">
        <f>IF($P2946="","",INDEX(상세표[월 넘김 포함],$P2946)&amp;"")</f>
        <v/>
      </c>
      <c r="P2946" s="4">
        <f>IFERROR(MATCH(2941,상세표[연속순번],0),"")</f>
        <v/>
      </c>
    </row>
    <row r="2947">
      <c r="A2947">
        <f>IF($P2947="","",INDEX(상세표[사번],$P2947)&amp;"")</f>
        <v/>
      </c>
      <c r="B2947">
        <f>IF($P2947="","",INDEX(상세표[성명],$P2947)&amp;"")</f>
        <v/>
      </c>
      <c r="C2947">
        <f>IF($P2947="","",INDEX(상세표[부서],$P2947)&amp;"")</f>
        <v/>
      </c>
      <c r="D2947">
        <f>IF($P2947="","",INDEX(상세표[직위],$P2947)&amp;"")</f>
        <v/>
      </c>
      <c r="E2947">
        <f>IF($P2947="","",IF(ISNUMBER(INDEX(상세표[시작],$P2947)),TEXT(INDEX(상세표[시작],$P2947),"yyyy-mm-dd hh:mm"),INDEX(상세표[시작],$P2947)&amp;""))</f>
        <v/>
      </c>
      <c r="F2947">
        <f>IF($P2947="","",IF(ISNUMBER(INDEX(상세표[블록종료],$P2947)),TEXT(INDEX(상세표[블록종료],$P2947),"yyyy-mm-dd hh:mm"),INDEX(상세표[블록종료],$P2947)&amp;""))</f>
        <v/>
      </c>
      <c r="G2947">
        <f>IF($P2947="","",CHOOSE(WEEKDAY(INDEX(상세표[시작],$P2947)),"일","월","화","수","목","금","토"))</f>
        <v/>
      </c>
      <c r="H2947">
        <f>IF($P2947="","",INDEX(상세표[연속 시간],$P2947))</f>
        <v/>
      </c>
      <c r="I2947">
        <f>IF($P2947="","",INDEX(상세표[기록 수],$P2947))</f>
        <v/>
      </c>
      <c r="J2947">
        <f>IF($P2947="","",INDEX(상세표[블록 06~07시],$P2947))</f>
        <v/>
      </c>
      <c r="K2947">
        <f>IF($P2947="","",INDEX(상세표[블록 07~18시],$P2947))</f>
        <v/>
      </c>
      <c r="L2947">
        <f>IF($P2947="","",INDEX(상세표[블록 18~22시],$P2947))</f>
        <v/>
      </c>
      <c r="M2947">
        <f>IF($P2947="","",INDEX(상세표[블록 22~06시],$P2947))</f>
        <v/>
      </c>
      <c r="N2947">
        <f>IF($P2947="","",INDEX(상세표[주말·휴일 포함],$P2947)&amp;"")</f>
        <v/>
      </c>
      <c r="O2947">
        <f>IF($P2947="","",INDEX(상세표[월 넘김 포함],$P2947)&amp;"")</f>
        <v/>
      </c>
      <c r="P2947" s="4">
        <f>IFERROR(MATCH(2942,상세표[연속순번],0),"")</f>
        <v/>
      </c>
    </row>
    <row r="2948">
      <c r="A2948">
        <f>IF($P2948="","",INDEX(상세표[사번],$P2948)&amp;"")</f>
        <v/>
      </c>
      <c r="B2948">
        <f>IF($P2948="","",INDEX(상세표[성명],$P2948)&amp;"")</f>
        <v/>
      </c>
      <c r="C2948">
        <f>IF($P2948="","",INDEX(상세표[부서],$P2948)&amp;"")</f>
        <v/>
      </c>
      <c r="D2948">
        <f>IF($P2948="","",INDEX(상세표[직위],$P2948)&amp;"")</f>
        <v/>
      </c>
      <c r="E2948">
        <f>IF($P2948="","",IF(ISNUMBER(INDEX(상세표[시작],$P2948)),TEXT(INDEX(상세표[시작],$P2948),"yyyy-mm-dd hh:mm"),INDEX(상세표[시작],$P2948)&amp;""))</f>
        <v/>
      </c>
      <c r="F2948">
        <f>IF($P2948="","",IF(ISNUMBER(INDEX(상세표[블록종료],$P2948)),TEXT(INDEX(상세표[블록종료],$P2948),"yyyy-mm-dd hh:mm"),INDEX(상세표[블록종료],$P2948)&amp;""))</f>
        <v/>
      </c>
      <c r="G2948">
        <f>IF($P2948="","",CHOOSE(WEEKDAY(INDEX(상세표[시작],$P2948)),"일","월","화","수","목","금","토"))</f>
        <v/>
      </c>
      <c r="H2948">
        <f>IF($P2948="","",INDEX(상세표[연속 시간],$P2948))</f>
        <v/>
      </c>
      <c r="I2948">
        <f>IF($P2948="","",INDEX(상세표[기록 수],$P2948))</f>
        <v/>
      </c>
      <c r="J2948">
        <f>IF($P2948="","",INDEX(상세표[블록 06~07시],$P2948))</f>
        <v/>
      </c>
      <c r="K2948">
        <f>IF($P2948="","",INDEX(상세표[블록 07~18시],$P2948))</f>
        <v/>
      </c>
      <c r="L2948">
        <f>IF($P2948="","",INDEX(상세표[블록 18~22시],$P2948))</f>
        <v/>
      </c>
      <c r="M2948">
        <f>IF($P2948="","",INDEX(상세표[블록 22~06시],$P2948))</f>
        <v/>
      </c>
      <c r="N2948">
        <f>IF($P2948="","",INDEX(상세표[주말·휴일 포함],$P2948)&amp;"")</f>
        <v/>
      </c>
      <c r="O2948">
        <f>IF($P2948="","",INDEX(상세표[월 넘김 포함],$P2948)&amp;"")</f>
        <v/>
      </c>
      <c r="P2948" s="4">
        <f>IFERROR(MATCH(2943,상세표[연속순번],0),"")</f>
        <v/>
      </c>
    </row>
    <row r="2949">
      <c r="A2949">
        <f>IF($P2949="","",INDEX(상세표[사번],$P2949)&amp;"")</f>
        <v/>
      </c>
      <c r="B2949">
        <f>IF($P2949="","",INDEX(상세표[성명],$P2949)&amp;"")</f>
        <v/>
      </c>
      <c r="C2949">
        <f>IF($P2949="","",INDEX(상세표[부서],$P2949)&amp;"")</f>
        <v/>
      </c>
      <c r="D2949">
        <f>IF($P2949="","",INDEX(상세표[직위],$P2949)&amp;"")</f>
        <v/>
      </c>
      <c r="E2949">
        <f>IF($P2949="","",IF(ISNUMBER(INDEX(상세표[시작],$P2949)),TEXT(INDEX(상세표[시작],$P2949),"yyyy-mm-dd hh:mm"),INDEX(상세표[시작],$P2949)&amp;""))</f>
        <v/>
      </c>
      <c r="F2949">
        <f>IF($P2949="","",IF(ISNUMBER(INDEX(상세표[블록종료],$P2949)),TEXT(INDEX(상세표[블록종료],$P2949),"yyyy-mm-dd hh:mm"),INDEX(상세표[블록종료],$P2949)&amp;""))</f>
        <v/>
      </c>
      <c r="G2949">
        <f>IF($P2949="","",CHOOSE(WEEKDAY(INDEX(상세표[시작],$P2949)),"일","월","화","수","목","금","토"))</f>
        <v/>
      </c>
      <c r="H2949">
        <f>IF($P2949="","",INDEX(상세표[연속 시간],$P2949))</f>
        <v/>
      </c>
      <c r="I2949">
        <f>IF($P2949="","",INDEX(상세표[기록 수],$P2949))</f>
        <v/>
      </c>
      <c r="J2949">
        <f>IF($P2949="","",INDEX(상세표[블록 06~07시],$P2949))</f>
        <v/>
      </c>
      <c r="K2949">
        <f>IF($P2949="","",INDEX(상세표[블록 07~18시],$P2949))</f>
        <v/>
      </c>
      <c r="L2949">
        <f>IF($P2949="","",INDEX(상세표[블록 18~22시],$P2949))</f>
        <v/>
      </c>
      <c r="M2949">
        <f>IF($P2949="","",INDEX(상세표[블록 22~06시],$P2949))</f>
        <v/>
      </c>
      <c r="N2949">
        <f>IF($P2949="","",INDEX(상세표[주말·휴일 포함],$P2949)&amp;"")</f>
        <v/>
      </c>
      <c r="O2949">
        <f>IF($P2949="","",INDEX(상세표[월 넘김 포함],$P2949)&amp;"")</f>
        <v/>
      </c>
      <c r="P2949" s="4">
        <f>IFERROR(MATCH(2944,상세표[연속순번],0),"")</f>
        <v/>
      </c>
    </row>
    <row r="2950">
      <c r="A2950">
        <f>IF($P2950="","",INDEX(상세표[사번],$P2950)&amp;"")</f>
        <v/>
      </c>
      <c r="B2950">
        <f>IF($P2950="","",INDEX(상세표[성명],$P2950)&amp;"")</f>
        <v/>
      </c>
      <c r="C2950">
        <f>IF($P2950="","",INDEX(상세표[부서],$P2950)&amp;"")</f>
        <v/>
      </c>
      <c r="D2950">
        <f>IF($P2950="","",INDEX(상세표[직위],$P2950)&amp;"")</f>
        <v/>
      </c>
      <c r="E2950">
        <f>IF($P2950="","",IF(ISNUMBER(INDEX(상세표[시작],$P2950)),TEXT(INDEX(상세표[시작],$P2950),"yyyy-mm-dd hh:mm"),INDEX(상세표[시작],$P2950)&amp;""))</f>
        <v/>
      </c>
      <c r="F2950">
        <f>IF($P2950="","",IF(ISNUMBER(INDEX(상세표[블록종료],$P2950)),TEXT(INDEX(상세표[블록종료],$P2950),"yyyy-mm-dd hh:mm"),INDEX(상세표[블록종료],$P2950)&amp;""))</f>
        <v/>
      </c>
      <c r="G2950">
        <f>IF($P2950="","",CHOOSE(WEEKDAY(INDEX(상세표[시작],$P2950)),"일","월","화","수","목","금","토"))</f>
        <v/>
      </c>
      <c r="H2950">
        <f>IF($P2950="","",INDEX(상세표[연속 시간],$P2950))</f>
        <v/>
      </c>
      <c r="I2950">
        <f>IF($P2950="","",INDEX(상세표[기록 수],$P2950))</f>
        <v/>
      </c>
      <c r="J2950">
        <f>IF($P2950="","",INDEX(상세표[블록 06~07시],$P2950))</f>
        <v/>
      </c>
      <c r="K2950">
        <f>IF($P2950="","",INDEX(상세표[블록 07~18시],$P2950))</f>
        <v/>
      </c>
      <c r="L2950">
        <f>IF($P2950="","",INDEX(상세표[블록 18~22시],$P2950))</f>
        <v/>
      </c>
      <c r="M2950">
        <f>IF($P2950="","",INDEX(상세표[블록 22~06시],$P2950))</f>
        <v/>
      </c>
      <c r="N2950">
        <f>IF($P2950="","",INDEX(상세표[주말·휴일 포함],$P2950)&amp;"")</f>
        <v/>
      </c>
      <c r="O2950">
        <f>IF($P2950="","",INDEX(상세표[월 넘김 포함],$P2950)&amp;"")</f>
        <v/>
      </c>
      <c r="P2950" s="4">
        <f>IFERROR(MATCH(2945,상세표[연속순번],0),"")</f>
        <v/>
      </c>
    </row>
    <row r="2951">
      <c r="A2951">
        <f>IF($P2951="","",INDEX(상세표[사번],$P2951)&amp;"")</f>
        <v/>
      </c>
      <c r="B2951">
        <f>IF($P2951="","",INDEX(상세표[성명],$P2951)&amp;"")</f>
        <v/>
      </c>
      <c r="C2951">
        <f>IF($P2951="","",INDEX(상세표[부서],$P2951)&amp;"")</f>
        <v/>
      </c>
      <c r="D2951">
        <f>IF($P2951="","",INDEX(상세표[직위],$P2951)&amp;"")</f>
        <v/>
      </c>
      <c r="E2951">
        <f>IF($P2951="","",IF(ISNUMBER(INDEX(상세표[시작],$P2951)),TEXT(INDEX(상세표[시작],$P2951),"yyyy-mm-dd hh:mm"),INDEX(상세표[시작],$P2951)&amp;""))</f>
        <v/>
      </c>
      <c r="F2951">
        <f>IF($P2951="","",IF(ISNUMBER(INDEX(상세표[블록종료],$P2951)),TEXT(INDEX(상세표[블록종료],$P2951),"yyyy-mm-dd hh:mm"),INDEX(상세표[블록종료],$P2951)&amp;""))</f>
        <v/>
      </c>
      <c r="G2951">
        <f>IF($P2951="","",CHOOSE(WEEKDAY(INDEX(상세표[시작],$P2951)),"일","월","화","수","목","금","토"))</f>
        <v/>
      </c>
      <c r="H2951">
        <f>IF($P2951="","",INDEX(상세표[연속 시간],$P2951))</f>
        <v/>
      </c>
      <c r="I2951">
        <f>IF($P2951="","",INDEX(상세표[기록 수],$P2951))</f>
        <v/>
      </c>
      <c r="J2951">
        <f>IF($P2951="","",INDEX(상세표[블록 06~07시],$P2951))</f>
        <v/>
      </c>
      <c r="K2951">
        <f>IF($P2951="","",INDEX(상세표[블록 07~18시],$P2951))</f>
        <v/>
      </c>
      <c r="L2951">
        <f>IF($P2951="","",INDEX(상세표[블록 18~22시],$P2951))</f>
        <v/>
      </c>
      <c r="M2951">
        <f>IF($P2951="","",INDEX(상세표[블록 22~06시],$P2951))</f>
        <v/>
      </c>
      <c r="N2951">
        <f>IF($P2951="","",INDEX(상세표[주말·휴일 포함],$P2951)&amp;"")</f>
        <v/>
      </c>
      <c r="O2951">
        <f>IF($P2951="","",INDEX(상세표[월 넘김 포함],$P2951)&amp;"")</f>
        <v/>
      </c>
      <c r="P2951" s="4">
        <f>IFERROR(MATCH(2946,상세표[연속순번],0),"")</f>
        <v/>
      </c>
    </row>
    <row r="2952">
      <c r="A2952">
        <f>IF($P2952="","",INDEX(상세표[사번],$P2952)&amp;"")</f>
        <v/>
      </c>
      <c r="B2952">
        <f>IF($P2952="","",INDEX(상세표[성명],$P2952)&amp;"")</f>
        <v/>
      </c>
      <c r="C2952">
        <f>IF($P2952="","",INDEX(상세표[부서],$P2952)&amp;"")</f>
        <v/>
      </c>
      <c r="D2952">
        <f>IF($P2952="","",INDEX(상세표[직위],$P2952)&amp;"")</f>
        <v/>
      </c>
      <c r="E2952">
        <f>IF($P2952="","",IF(ISNUMBER(INDEX(상세표[시작],$P2952)),TEXT(INDEX(상세표[시작],$P2952),"yyyy-mm-dd hh:mm"),INDEX(상세표[시작],$P2952)&amp;""))</f>
        <v/>
      </c>
      <c r="F2952">
        <f>IF($P2952="","",IF(ISNUMBER(INDEX(상세표[블록종료],$P2952)),TEXT(INDEX(상세표[블록종료],$P2952),"yyyy-mm-dd hh:mm"),INDEX(상세표[블록종료],$P2952)&amp;""))</f>
        <v/>
      </c>
      <c r="G2952">
        <f>IF($P2952="","",CHOOSE(WEEKDAY(INDEX(상세표[시작],$P2952)),"일","월","화","수","목","금","토"))</f>
        <v/>
      </c>
      <c r="H2952">
        <f>IF($P2952="","",INDEX(상세표[연속 시간],$P2952))</f>
        <v/>
      </c>
      <c r="I2952">
        <f>IF($P2952="","",INDEX(상세표[기록 수],$P2952))</f>
        <v/>
      </c>
      <c r="J2952">
        <f>IF($P2952="","",INDEX(상세표[블록 06~07시],$P2952))</f>
        <v/>
      </c>
      <c r="K2952">
        <f>IF($P2952="","",INDEX(상세표[블록 07~18시],$P2952))</f>
        <v/>
      </c>
      <c r="L2952">
        <f>IF($P2952="","",INDEX(상세표[블록 18~22시],$P2952))</f>
        <v/>
      </c>
      <c r="M2952">
        <f>IF($P2952="","",INDEX(상세표[블록 22~06시],$P2952))</f>
        <v/>
      </c>
      <c r="N2952">
        <f>IF($P2952="","",INDEX(상세표[주말·휴일 포함],$P2952)&amp;"")</f>
        <v/>
      </c>
      <c r="O2952">
        <f>IF($P2952="","",INDEX(상세표[월 넘김 포함],$P2952)&amp;"")</f>
        <v/>
      </c>
      <c r="P2952" s="4">
        <f>IFERROR(MATCH(2947,상세표[연속순번],0),"")</f>
        <v/>
      </c>
    </row>
    <row r="2953">
      <c r="A2953">
        <f>IF($P2953="","",INDEX(상세표[사번],$P2953)&amp;"")</f>
        <v/>
      </c>
      <c r="B2953">
        <f>IF($P2953="","",INDEX(상세표[성명],$P2953)&amp;"")</f>
        <v/>
      </c>
      <c r="C2953">
        <f>IF($P2953="","",INDEX(상세표[부서],$P2953)&amp;"")</f>
        <v/>
      </c>
      <c r="D2953">
        <f>IF($P2953="","",INDEX(상세표[직위],$P2953)&amp;"")</f>
        <v/>
      </c>
      <c r="E2953">
        <f>IF($P2953="","",IF(ISNUMBER(INDEX(상세표[시작],$P2953)),TEXT(INDEX(상세표[시작],$P2953),"yyyy-mm-dd hh:mm"),INDEX(상세표[시작],$P2953)&amp;""))</f>
        <v/>
      </c>
      <c r="F2953">
        <f>IF($P2953="","",IF(ISNUMBER(INDEX(상세표[블록종료],$P2953)),TEXT(INDEX(상세표[블록종료],$P2953),"yyyy-mm-dd hh:mm"),INDEX(상세표[블록종료],$P2953)&amp;""))</f>
        <v/>
      </c>
      <c r="G2953">
        <f>IF($P2953="","",CHOOSE(WEEKDAY(INDEX(상세표[시작],$P2953)),"일","월","화","수","목","금","토"))</f>
        <v/>
      </c>
      <c r="H2953">
        <f>IF($P2953="","",INDEX(상세표[연속 시간],$P2953))</f>
        <v/>
      </c>
      <c r="I2953">
        <f>IF($P2953="","",INDEX(상세표[기록 수],$P2953))</f>
        <v/>
      </c>
      <c r="J2953">
        <f>IF($P2953="","",INDEX(상세표[블록 06~07시],$P2953))</f>
        <v/>
      </c>
      <c r="K2953">
        <f>IF($P2953="","",INDEX(상세표[블록 07~18시],$P2953))</f>
        <v/>
      </c>
      <c r="L2953">
        <f>IF($P2953="","",INDEX(상세표[블록 18~22시],$P2953))</f>
        <v/>
      </c>
      <c r="M2953">
        <f>IF($P2953="","",INDEX(상세표[블록 22~06시],$P2953))</f>
        <v/>
      </c>
      <c r="N2953">
        <f>IF($P2953="","",INDEX(상세표[주말·휴일 포함],$P2953)&amp;"")</f>
        <v/>
      </c>
      <c r="O2953">
        <f>IF($P2953="","",INDEX(상세표[월 넘김 포함],$P2953)&amp;"")</f>
        <v/>
      </c>
      <c r="P2953" s="4">
        <f>IFERROR(MATCH(2948,상세표[연속순번],0),"")</f>
        <v/>
      </c>
    </row>
    <row r="2954">
      <c r="A2954">
        <f>IF($P2954="","",INDEX(상세표[사번],$P2954)&amp;"")</f>
        <v/>
      </c>
      <c r="B2954">
        <f>IF($P2954="","",INDEX(상세표[성명],$P2954)&amp;"")</f>
        <v/>
      </c>
      <c r="C2954">
        <f>IF($P2954="","",INDEX(상세표[부서],$P2954)&amp;"")</f>
        <v/>
      </c>
      <c r="D2954">
        <f>IF($P2954="","",INDEX(상세표[직위],$P2954)&amp;"")</f>
        <v/>
      </c>
      <c r="E2954">
        <f>IF($P2954="","",IF(ISNUMBER(INDEX(상세표[시작],$P2954)),TEXT(INDEX(상세표[시작],$P2954),"yyyy-mm-dd hh:mm"),INDEX(상세표[시작],$P2954)&amp;""))</f>
        <v/>
      </c>
      <c r="F2954">
        <f>IF($P2954="","",IF(ISNUMBER(INDEX(상세표[블록종료],$P2954)),TEXT(INDEX(상세표[블록종료],$P2954),"yyyy-mm-dd hh:mm"),INDEX(상세표[블록종료],$P2954)&amp;""))</f>
        <v/>
      </c>
      <c r="G2954">
        <f>IF($P2954="","",CHOOSE(WEEKDAY(INDEX(상세표[시작],$P2954)),"일","월","화","수","목","금","토"))</f>
        <v/>
      </c>
      <c r="H2954">
        <f>IF($P2954="","",INDEX(상세표[연속 시간],$P2954))</f>
        <v/>
      </c>
      <c r="I2954">
        <f>IF($P2954="","",INDEX(상세표[기록 수],$P2954))</f>
        <v/>
      </c>
      <c r="J2954">
        <f>IF($P2954="","",INDEX(상세표[블록 06~07시],$P2954))</f>
        <v/>
      </c>
      <c r="K2954">
        <f>IF($P2954="","",INDEX(상세표[블록 07~18시],$P2954))</f>
        <v/>
      </c>
      <c r="L2954">
        <f>IF($P2954="","",INDEX(상세표[블록 18~22시],$P2954))</f>
        <v/>
      </c>
      <c r="M2954">
        <f>IF($P2954="","",INDEX(상세표[블록 22~06시],$P2954))</f>
        <v/>
      </c>
      <c r="N2954">
        <f>IF($P2954="","",INDEX(상세표[주말·휴일 포함],$P2954)&amp;"")</f>
        <v/>
      </c>
      <c r="O2954">
        <f>IF($P2954="","",INDEX(상세표[월 넘김 포함],$P2954)&amp;"")</f>
        <v/>
      </c>
      <c r="P2954" s="4">
        <f>IFERROR(MATCH(2949,상세표[연속순번],0),"")</f>
        <v/>
      </c>
    </row>
    <row r="2955">
      <c r="A2955">
        <f>IF($P2955="","",INDEX(상세표[사번],$P2955)&amp;"")</f>
        <v/>
      </c>
      <c r="B2955">
        <f>IF($P2955="","",INDEX(상세표[성명],$P2955)&amp;"")</f>
        <v/>
      </c>
      <c r="C2955">
        <f>IF($P2955="","",INDEX(상세표[부서],$P2955)&amp;"")</f>
        <v/>
      </c>
      <c r="D2955">
        <f>IF($P2955="","",INDEX(상세표[직위],$P2955)&amp;"")</f>
        <v/>
      </c>
      <c r="E2955">
        <f>IF($P2955="","",IF(ISNUMBER(INDEX(상세표[시작],$P2955)),TEXT(INDEX(상세표[시작],$P2955),"yyyy-mm-dd hh:mm"),INDEX(상세표[시작],$P2955)&amp;""))</f>
        <v/>
      </c>
      <c r="F2955">
        <f>IF($P2955="","",IF(ISNUMBER(INDEX(상세표[블록종료],$P2955)),TEXT(INDEX(상세표[블록종료],$P2955),"yyyy-mm-dd hh:mm"),INDEX(상세표[블록종료],$P2955)&amp;""))</f>
        <v/>
      </c>
      <c r="G2955">
        <f>IF($P2955="","",CHOOSE(WEEKDAY(INDEX(상세표[시작],$P2955)),"일","월","화","수","목","금","토"))</f>
        <v/>
      </c>
      <c r="H2955">
        <f>IF($P2955="","",INDEX(상세표[연속 시간],$P2955))</f>
        <v/>
      </c>
      <c r="I2955">
        <f>IF($P2955="","",INDEX(상세표[기록 수],$P2955))</f>
        <v/>
      </c>
      <c r="J2955">
        <f>IF($P2955="","",INDEX(상세표[블록 06~07시],$P2955))</f>
        <v/>
      </c>
      <c r="K2955">
        <f>IF($P2955="","",INDEX(상세표[블록 07~18시],$P2955))</f>
        <v/>
      </c>
      <c r="L2955">
        <f>IF($P2955="","",INDEX(상세표[블록 18~22시],$P2955))</f>
        <v/>
      </c>
      <c r="M2955">
        <f>IF($P2955="","",INDEX(상세표[블록 22~06시],$P2955))</f>
        <v/>
      </c>
      <c r="N2955">
        <f>IF($P2955="","",INDEX(상세표[주말·휴일 포함],$P2955)&amp;"")</f>
        <v/>
      </c>
      <c r="O2955">
        <f>IF($P2955="","",INDEX(상세표[월 넘김 포함],$P2955)&amp;"")</f>
        <v/>
      </c>
      <c r="P2955" s="4">
        <f>IFERROR(MATCH(2950,상세표[연속순번],0),"")</f>
        <v/>
      </c>
    </row>
    <row r="2956">
      <c r="A2956">
        <f>IF($P2956="","",INDEX(상세표[사번],$P2956)&amp;"")</f>
        <v/>
      </c>
      <c r="B2956">
        <f>IF($P2956="","",INDEX(상세표[성명],$P2956)&amp;"")</f>
        <v/>
      </c>
      <c r="C2956">
        <f>IF($P2956="","",INDEX(상세표[부서],$P2956)&amp;"")</f>
        <v/>
      </c>
      <c r="D2956">
        <f>IF($P2956="","",INDEX(상세표[직위],$P2956)&amp;"")</f>
        <v/>
      </c>
      <c r="E2956">
        <f>IF($P2956="","",IF(ISNUMBER(INDEX(상세표[시작],$P2956)),TEXT(INDEX(상세표[시작],$P2956),"yyyy-mm-dd hh:mm"),INDEX(상세표[시작],$P2956)&amp;""))</f>
        <v/>
      </c>
      <c r="F2956">
        <f>IF($P2956="","",IF(ISNUMBER(INDEX(상세표[블록종료],$P2956)),TEXT(INDEX(상세표[블록종료],$P2956),"yyyy-mm-dd hh:mm"),INDEX(상세표[블록종료],$P2956)&amp;""))</f>
        <v/>
      </c>
      <c r="G2956">
        <f>IF($P2956="","",CHOOSE(WEEKDAY(INDEX(상세표[시작],$P2956)),"일","월","화","수","목","금","토"))</f>
        <v/>
      </c>
      <c r="H2956">
        <f>IF($P2956="","",INDEX(상세표[연속 시간],$P2956))</f>
        <v/>
      </c>
      <c r="I2956">
        <f>IF($P2956="","",INDEX(상세표[기록 수],$P2956))</f>
        <v/>
      </c>
      <c r="J2956">
        <f>IF($P2956="","",INDEX(상세표[블록 06~07시],$P2956))</f>
        <v/>
      </c>
      <c r="K2956">
        <f>IF($P2956="","",INDEX(상세표[블록 07~18시],$P2956))</f>
        <v/>
      </c>
      <c r="L2956">
        <f>IF($P2956="","",INDEX(상세표[블록 18~22시],$P2956))</f>
        <v/>
      </c>
      <c r="M2956">
        <f>IF($P2956="","",INDEX(상세표[블록 22~06시],$P2956))</f>
        <v/>
      </c>
      <c r="N2956">
        <f>IF($P2956="","",INDEX(상세표[주말·휴일 포함],$P2956)&amp;"")</f>
        <v/>
      </c>
      <c r="O2956">
        <f>IF($P2956="","",INDEX(상세표[월 넘김 포함],$P2956)&amp;"")</f>
        <v/>
      </c>
      <c r="P2956" s="4">
        <f>IFERROR(MATCH(2951,상세표[연속순번],0),"")</f>
        <v/>
      </c>
    </row>
    <row r="2957">
      <c r="A2957">
        <f>IF($P2957="","",INDEX(상세표[사번],$P2957)&amp;"")</f>
        <v/>
      </c>
      <c r="B2957">
        <f>IF($P2957="","",INDEX(상세표[성명],$P2957)&amp;"")</f>
        <v/>
      </c>
      <c r="C2957">
        <f>IF($P2957="","",INDEX(상세표[부서],$P2957)&amp;"")</f>
        <v/>
      </c>
      <c r="D2957">
        <f>IF($P2957="","",INDEX(상세표[직위],$P2957)&amp;"")</f>
        <v/>
      </c>
      <c r="E2957">
        <f>IF($P2957="","",IF(ISNUMBER(INDEX(상세표[시작],$P2957)),TEXT(INDEX(상세표[시작],$P2957),"yyyy-mm-dd hh:mm"),INDEX(상세표[시작],$P2957)&amp;""))</f>
        <v/>
      </c>
      <c r="F2957">
        <f>IF($P2957="","",IF(ISNUMBER(INDEX(상세표[블록종료],$P2957)),TEXT(INDEX(상세표[블록종료],$P2957),"yyyy-mm-dd hh:mm"),INDEX(상세표[블록종료],$P2957)&amp;""))</f>
        <v/>
      </c>
      <c r="G2957">
        <f>IF($P2957="","",CHOOSE(WEEKDAY(INDEX(상세표[시작],$P2957)),"일","월","화","수","목","금","토"))</f>
        <v/>
      </c>
      <c r="H2957">
        <f>IF($P2957="","",INDEX(상세표[연속 시간],$P2957))</f>
        <v/>
      </c>
      <c r="I2957">
        <f>IF($P2957="","",INDEX(상세표[기록 수],$P2957))</f>
        <v/>
      </c>
      <c r="J2957">
        <f>IF($P2957="","",INDEX(상세표[블록 06~07시],$P2957))</f>
        <v/>
      </c>
      <c r="K2957">
        <f>IF($P2957="","",INDEX(상세표[블록 07~18시],$P2957))</f>
        <v/>
      </c>
      <c r="L2957">
        <f>IF($P2957="","",INDEX(상세표[블록 18~22시],$P2957))</f>
        <v/>
      </c>
      <c r="M2957">
        <f>IF($P2957="","",INDEX(상세표[블록 22~06시],$P2957))</f>
        <v/>
      </c>
      <c r="N2957">
        <f>IF($P2957="","",INDEX(상세표[주말·휴일 포함],$P2957)&amp;"")</f>
        <v/>
      </c>
      <c r="O2957">
        <f>IF($P2957="","",INDEX(상세표[월 넘김 포함],$P2957)&amp;"")</f>
        <v/>
      </c>
      <c r="P2957" s="4">
        <f>IFERROR(MATCH(2952,상세표[연속순번],0),"")</f>
        <v/>
      </c>
    </row>
    <row r="2958">
      <c r="A2958">
        <f>IF($P2958="","",INDEX(상세표[사번],$P2958)&amp;"")</f>
        <v/>
      </c>
      <c r="B2958">
        <f>IF($P2958="","",INDEX(상세표[성명],$P2958)&amp;"")</f>
        <v/>
      </c>
      <c r="C2958">
        <f>IF($P2958="","",INDEX(상세표[부서],$P2958)&amp;"")</f>
        <v/>
      </c>
      <c r="D2958">
        <f>IF($P2958="","",INDEX(상세표[직위],$P2958)&amp;"")</f>
        <v/>
      </c>
      <c r="E2958">
        <f>IF($P2958="","",IF(ISNUMBER(INDEX(상세표[시작],$P2958)),TEXT(INDEX(상세표[시작],$P2958),"yyyy-mm-dd hh:mm"),INDEX(상세표[시작],$P2958)&amp;""))</f>
        <v/>
      </c>
      <c r="F2958">
        <f>IF($P2958="","",IF(ISNUMBER(INDEX(상세표[블록종료],$P2958)),TEXT(INDEX(상세표[블록종료],$P2958),"yyyy-mm-dd hh:mm"),INDEX(상세표[블록종료],$P2958)&amp;""))</f>
        <v/>
      </c>
      <c r="G2958">
        <f>IF($P2958="","",CHOOSE(WEEKDAY(INDEX(상세표[시작],$P2958)),"일","월","화","수","목","금","토"))</f>
        <v/>
      </c>
      <c r="H2958">
        <f>IF($P2958="","",INDEX(상세표[연속 시간],$P2958))</f>
        <v/>
      </c>
      <c r="I2958">
        <f>IF($P2958="","",INDEX(상세표[기록 수],$P2958))</f>
        <v/>
      </c>
      <c r="J2958">
        <f>IF($P2958="","",INDEX(상세표[블록 06~07시],$P2958))</f>
        <v/>
      </c>
      <c r="K2958">
        <f>IF($P2958="","",INDEX(상세표[블록 07~18시],$P2958))</f>
        <v/>
      </c>
      <c r="L2958">
        <f>IF($P2958="","",INDEX(상세표[블록 18~22시],$P2958))</f>
        <v/>
      </c>
      <c r="M2958">
        <f>IF($P2958="","",INDEX(상세표[블록 22~06시],$P2958))</f>
        <v/>
      </c>
      <c r="N2958">
        <f>IF($P2958="","",INDEX(상세표[주말·휴일 포함],$P2958)&amp;"")</f>
        <v/>
      </c>
      <c r="O2958">
        <f>IF($P2958="","",INDEX(상세표[월 넘김 포함],$P2958)&amp;"")</f>
        <v/>
      </c>
      <c r="P2958" s="4">
        <f>IFERROR(MATCH(2953,상세표[연속순번],0),"")</f>
        <v/>
      </c>
    </row>
    <row r="2959">
      <c r="A2959">
        <f>IF($P2959="","",INDEX(상세표[사번],$P2959)&amp;"")</f>
        <v/>
      </c>
      <c r="B2959">
        <f>IF($P2959="","",INDEX(상세표[성명],$P2959)&amp;"")</f>
        <v/>
      </c>
      <c r="C2959">
        <f>IF($P2959="","",INDEX(상세표[부서],$P2959)&amp;"")</f>
        <v/>
      </c>
      <c r="D2959">
        <f>IF($P2959="","",INDEX(상세표[직위],$P2959)&amp;"")</f>
        <v/>
      </c>
      <c r="E2959">
        <f>IF($P2959="","",IF(ISNUMBER(INDEX(상세표[시작],$P2959)),TEXT(INDEX(상세표[시작],$P2959),"yyyy-mm-dd hh:mm"),INDEX(상세표[시작],$P2959)&amp;""))</f>
        <v/>
      </c>
      <c r="F2959">
        <f>IF($P2959="","",IF(ISNUMBER(INDEX(상세표[블록종료],$P2959)),TEXT(INDEX(상세표[블록종료],$P2959),"yyyy-mm-dd hh:mm"),INDEX(상세표[블록종료],$P2959)&amp;""))</f>
        <v/>
      </c>
      <c r="G2959">
        <f>IF($P2959="","",CHOOSE(WEEKDAY(INDEX(상세표[시작],$P2959)),"일","월","화","수","목","금","토"))</f>
        <v/>
      </c>
      <c r="H2959">
        <f>IF($P2959="","",INDEX(상세표[연속 시간],$P2959))</f>
        <v/>
      </c>
      <c r="I2959">
        <f>IF($P2959="","",INDEX(상세표[기록 수],$P2959))</f>
        <v/>
      </c>
      <c r="J2959">
        <f>IF($P2959="","",INDEX(상세표[블록 06~07시],$P2959))</f>
        <v/>
      </c>
      <c r="K2959">
        <f>IF($P2959="","",INDEX(상세표[블록 07~18시],$P2959))</f>
        <v/>
      </c>
      <c r="L2959">
        <f>IF($P2959="","",INDEX(상세표[블록 18~22시],$P2959))</f>
        <v/>
      </c>
      <c r="M2959">
        <f>IF($P2959="","",INDEX(상세표[블록 22~06시],$P2959))</f>
        <v/>
      </c>
      <c r="N2959">
        <f>IF($P2959="","",INDEX(상세표[주말·휴일 포함],$P2959)&amp;"")</f>
        <v/>
      </c>
      <c r="O2959">
        <f>IF($P2959="","",INDEX(상세표[월 넘김 포함],$P2959)&amp;"")</f>
        <v/>
      </c>
      <c r="P2959" s="4">
        <f>IFERROR(MATCH(2954,상세표[연속순번],0),"")</f>
        <v/>
      </c>
    </row>
    <row r="2960">
      <c r="A2960">
        <f>IF($P2960="","",INDEX(상세표[사번],$P2960)&amp;"")</f>
        <v/>
      </c>
      <c r="B2960">
        <f>IF($P2960="","",INDEX(상세표[성명],$P2960)&amp;"")</f>
        <v/>
      </c>
      <c r="C2960">
        <f>IF($P2960="","",INDEX(상세표[부서],$P2960)&amp;"")</f>
        <v/>
      </c>
      <c r="D2960">
        <f>IF($P2960="","",INDEX(상세표[직위],$P2960)&amp;"")</f>
        <v/>
      </c>
      <c r="E2960">
        <f>IF($P2960="","",IF(ISNUMBER(INDEX(상세표[시작],$P2960)),TEXT(INDEX(상세표[시작],$P2960),"yyyy-mm-dd hh:mm"),INDEX(상세표[시작],$P2960)&amp;""))</f>
        <v/>
      </c>
      <c r="F2960">
        <f>IF($P2960="","",IF(ISNUMBER(INDEX(상세표[블록종료],$P2960)),TEXT(INDEX(상세표[블록종료],$P2960),"yyyy-mm-dd hh:mm"),INDEX(상세표[블록종료],$P2960)&amp;""))</f>
        <v/>
      </c>
      <c r="G2960">
        <f>IF($P2960="","",CHOOSE(WEEKDAY(INDEX(상세표[시작],$P2960)),"일","월","화","수","목","금","토"))</f>
        <v/>
      </c>
      <c r="H2960">
        <f>IF($P2960="","",INDEX(상세표[연속 시간],$P2960))</f>
        <v/>
      </c>
      <c r="I2960">
        <f>IF($P2960="","",INDEX(상세표[기록 수],$P2960))</f>
        <v/>
      </c>
      <c r="J2960">
        <f>IF($P2960="","",INDEX(상세표[블록 06~07시],$P2960))</f>
        <v/>
      </c>
      <c r="K2960">
        <f>IF($P2960="","",INDEX(상세표[블록 07~18시],$P2960))</f>
        <v/>
      </c>
      <c r="L2960">
        <f>IF($P2960="","",INDEX(상세표[블록 18~22시],$P2960))</f>
        <v/>
      </c>
      <c r="M2960">
        <f>IF($P2960="","",INDEX(상세표[블록 22~06시],$P2960))</f>
        <v/>
      </c>
      <c r="N2960">
        <f>IF($P2960="","",INDEX(상세표[주말·휴일 포함],$P2960)&amp;"")</f>
        <v/>
      </c>
      <c r="O2960">
        <f>IF($P2960="","",INDEX(상세표[월 넘김 포함],$P2960)&amp;"")</f>
        <v/>
      </c>
      <c r="P2960" s="4">
        <f>IFERROR(MATCH(2955,상세표[연속순번],0),"")</f>
        <v/>
      </c>
    </row>
    <row r="2961">
      <c r="A2961">
        <f>IF($P2961="","",INDEX(상세표[사번],$P2961)&amp;"")</f>
        <v/>
      </c>
      <c r="B2961">
        <f>IF($P2961="","",INDEX(상세표[성명],$P2961)&amp;"")</f>
        <v/>
      </c>
      <c r="C2961">
        <f>IF($P2961="","",INDEX(상세표[부서],$P2961)&amp;"")</f>
        <v/>
      </c>
      <c r="D2961">
        <f>IF($P2961="","",INDEX(상세표[직위],$P2961)&amp;"")</f>
        <v/>
      </c>
      <c r="E2961">
        <f>IF($P2961="","",IF(ISNUMBER(INDEX(상세표[시작],$P2961)),TEXT(INDEX(상세표[시작],$P2961),"yyyy-mm-dd hh:mm"),INDEX(상세표[시작],$P2961)&amp;""))</f>
        <v/>
      </c>
      <c r="F2961">
        <f>IF($P2961="","",IF(ISNUMBER(INDEX(상세표[블록종료],$P2961)),TEXT(INDEX(상세표[블록종료],$P2961),"yyyy-mm-dd hh:mm"),INDEX(상세표[블록종료],$P2961)&amp;""))</f>
        <v/>
      </c>
      <c r="G2961">
        <f>IF($P2961="","",CHOOSE(WEEKDAY(INDEX(상세표[시작],$P2961)),"일","월","화","수","목","금","토"))</f>
        <v/>
      </c>
      <c r="H2961">
        <f>IF($P2961="","",INDEX(상세표[연속 시간],$P2961))</f>
        <v/>
      </c>
      <c r="I2961">
        <f>IF($P2961="","",INDEX(상세표[기록 수],$P2961))</f>
        <v/>
      </c>
      <c r="J2961">
        <f>IF($P2961="","",INDEX(상세표[블록 06~07시],$P2961))</f>
        <v/>
      </c>
      <c r="K2961">
        <f>IF($P2961="","",INDEX(상세표[블록 07~18시],$P2961))</f>
        <v/>
      </c>
      <c r="L2961">
        <f>IF($P2961="","",INDEX(상세표[블록 18~22시],$P2961))</f>
        <v/>
      </c>
      <c r="M2961">
        <f>IF($P2961="","",INDEX(상세표[블록 22~06시],$P2961))</f>
        <v/>
      </c>
      <c r="N2961">
        <f>IF($P2961="","",INDEX(상세표[주말·휴일 포함],$P2961)&amp;"")</f>
        <v/>
      </c>
      <c r="O2961">
        <f>IF($P2961="","",INDEX(상세표[월 넘김 포함],$P2961)&amp;"")</f>
        <v/>
      </c>
      <c r="P2961" s="4">
        <f>IFERROR(MATCH(2956,상세표[연속순번],0),"")</f>
        <v/>
      </c>
    </row>
    <row r="2962">
      <c r="A2962">
        <f>IF($P2962="","",INDEX(상세표[사번],$P2962)&amp;"")</f>
        <v/>
      </c>
      <c r="B2962">
        <f>IF($P2962="","",INDEX(상세표[성명],$P2962)&amp;"")</f>
        <v/>
      </c>
      <c r="C2962">
        <f>IF($P2962="","",INDEX(상세표[부서],$P2962)&amp;"")</f>
        <v/>
      </c>
      <c r="D2962">
        <f>IF($P2962="","",INDEX(상세표[직위],$P2962)&amp;"")</f>
        <v/>
      </c>
      <c r="E2962">
        <f>IF($P2962="","",IF(ISNUMBER(INDEX(상세표[시작],$P2962)),TEXT(INDEX(상세표[시작],$P2962),"yyyy-mm-dd hh:mm"),INDEX(상세표[시작],$P2962)&amp;""))</f>
        <v/>
      </c>
      <c r="F2962">
        <f>IF($P2962="","",IF(ISNUMBER(INDEX(상세표[블록종료],$P2962)),TEXT(INDEX(상세표[블록종료],$P2962),"yyyy-mm-dd hh:mm"),INDEX(상세표[블록종료],$P2962)&amp;""))</f>
        <v/>
      </c>
      <c r="G2962">
        <f>IF($P2962="","",CHOOSE(WEEKDAY(INDEX(상세표[시작],$P2962)),"일","월","화","수","목","금","토"))</f>
        <v/>
      </c>
      <c r="H2962">
        <f>IF($P2962="","",INDEX(상세표[연속 시간],$P2962))</f>
        <v/>
      </c>
      <c r="I2962">
        <f>IF($P2962="","",INDEX(상세표[기록 수],$P2962))</f>
        <v/>
      </c>
      <c r="J2962">
        <f>IF($P2962="","",INDEX(상세표[블록 06~07시],$P2962))</f>
        <v/>
      </c>
      <c r="K2962">
        <f>IF($P2962="","",INDEX(상세표[블록 07~18시],$P2962))</f>
        <v/>
      </c>
      <c r="L2962">
        <f>IF($P2962="","",INDEX(상세표[블록 18~22시],$P2962))</f>
        <v/>
      </c>
      <c r="M2962">
        <f>IF($P2962="","",INDEX(상세표[블록 22~06시],$P2962))</f>
        <v/>
      </c>
      <c r="N2962">
        <f>IF($P2962="","",INDEX(상세표[주말·휴일 포함],$P2962)&amp;"")</f>
        <v/>
      </c>
      <c r="O2962">
        <f>IF($P2962="","",INDEX(상세표[월 넘김 포함],$P2962)&amp;"")</f>
        <v/>
      </c>
      <c r="P2962" s="4">
        <f>IFERROR(MATCH(2957,상세표[연속순번],0),"")</f>
        <v/>
      </c>
    </row>
    <row r="2963">
      <c r="A2963">
        <f>IF($P2963="","",INDEX(상세표[사번],$P2963)&amp;"")</f>
        <v/>
      </c>
      <c r="B2963">
        <f>IF($P2963="","",INDEX(상세표[성명],$P2963)&amp;"")</f>
        <v/>
      </c>
      <c r="C2963">
        <f>IF($P2963="","",INDEX(상세표[부서],$P2963)&amp;"")</f>
        <v/>
      </c>
      <c r="D2963">
        <f>IF($P2963="","",INDEX(상세표[직위],$P2963)&amp;"")</f>
        <v/>
      </c>
      <c r="E2963">
        <f>IF($P2963="","",IF(ISNUMBER(INDEX(상세표[시작],$P2963)),TEXT(INDEX(상세표[시작],$P2963),"yyyy-mm-dd hh:mm"),INDEX(상세표[시작],$P2963)&amp;""))</f>
        <v/>
      </c>
      <c r="F2963">
        <f>IF($P2963="","",IF(ISNUMBER(INDEX(상세표[블록종료],$P2963)),TEXT(INDEX(상세표[블록종료],$P2963),"yyyy-mm-dd hh:mm"),INDEX(상세표[블록종료],$P2963)&amp;""))</f>
        <v/>
      </c>
      <c r="G2963">
        <f>IF($P2963="","",CHOOSE(WEEKDAY(INDEX(상세표[시작],$P2963)),"일","월","화","수","목","금","토"))</f>
        <v/>
      </c>
      <c r="H2963">
        <f>IF($P2963="","",INDEX(상세표[연속 시간],$P2963))</f>
        <v/>
      </c>
      <c r="I2963">
        <f>IF($P2963="","",INDEX(상세표[기록 수],$P2963))</f>
        <v/>
      </c>
      <c r="J2963">
        <f>IF($P2963="","",INDEX(상세표[블록 06~07시],$P2963))</f>
        <v/>
      </c>
      <c r="K2963">
        <f>IF($P2963="","",INDEX(상세표[블록 07~18시],$P2963))</f>
        <v/>
      </c>
      <c r="L2963">
        <f>IF($P2963="","",INDEX(상세표[블록 18~22시],$P2963))</f>
        <v/>
      </c>
      <c r="M2963">
        <f>IF($P2963="","",INDEX(상세표[블록 22~06시],$P2963))</f>
        <v/>
      </c>
      <c r="N2963">
        <f>IF($P2963="","",INDEX(상세표[주말·휴일 포함],$P2963)&amp;"")</f>
        <v/>
      </c>
      <c r="O2963">
        <f>IF($P2963="","",INDEX(상세표[월 넘김 포함],$P2963)&amp;"")</f>
        <v/>
      </c>
      <c r="P2963" s="4">
        <f>IFERROR(MATCH(2958,상세표[연속순번],0),"")</f>
        <v/>
      </c>
    </row>
    <row r="2964">
      <c r="A2964">
        <f>IF($P2964="","",INDEX(상세표[사번],$P2964)&amp;"")</f>
        <v/>
      </c>
      <c r="B2964">
        <f>IF($P2964="","",INDEX(상세표[성명],$P2964)&amp;"")</f>
        <v/>
      </c>
      <c r="C2964">
        <f>IF($P2964="","",INDEX(상세표[부서],$P2964)&amp;"")</f>
        <v/>
      </c>
      <c r="D2964">
        <f>IF($P2964="","",INDEX(상세표[직위],$P2964)&amp;"")</f>
        <v/>
      </c>
      <c r="E2964">
        <f>IF($P2964="","",IF(ISNUMBER(INDEX(상세표[시작],$P2964)),TEXT(INDEX(상세표[시작],$P2964),"yyyy-mm-dd hh:mm"),INDEX(상세표[시작],$P2964)&amp;""))</f>
        <v/>
      </c>
      <c r="F2964">
        <f>IF($P2964="","",IF(ISNUMBER(INDEX(상세표[블록종료],$P2964)),TEXT(INDEX(상세표[블록종료],$P2964),"yyyy-mm-dd hh:mm"),INDEX(상세표[블록종료],$P2964)&amp;""))</f>
        <v/>
      </c>
      <c r="G2964">
        <f>IF($P2964="","",CHOOSE(WEEKDAY(INDEX(상세표[시작],$P2964)),"일","월","화","수","목","금","토"))</f>
        <v/>
      </c>
      <c r="H2964">
        <f>IF($P2964="","",INDEX(상세표[연속 시간],$P2964))</f>
        <v/>
      </c>
      <c r="I2964">
        <f>IF($P2964="","",INDEX(상세표[기록 수],$P2964))</f>
        <v/>
      </c>
      <c r="J2964">
        <f>IF($P2964="","",INDEX(상세표[블록 06~07시],$P2964))</f>
        <v/>
      </c>
      <c r="K2964">
        <f>IF($P2964="","",INDEX(상세표[블록 07~18시],$P2964))</f>
        <v/>
      </c>
      <c r="L2964">
        <f>IF($P2964="","",INDEX(상세표[블록 18~22시],$P2964))</f>
        <v/>
      </c>
      <c r="M2964">
        <f>IF($P2964="","",INDEX(상세표[블록 22~06시],$P2964))</f>
        <v/>
      </c>
      <c r="N2964">
        <f>IF($P2964="","",INDEX(상세표[주말·휴일 포함],$P2964)&amp;"")</f>
        <v/>
      </c>
      <c r="O2964">
        <f>IF($P2964="","",INDEX(상세표[월 넘김 포함],$P2964)&amp;"")</f>
        <v/>
      </c>
      <c r="P2964" s="4">
        <f>IFERROR(MATCH(2959,상세표[연속순번],0),"")</f>
        <v/>
      </c>
    </row>
    <row r="2965">
      <c r="A2965">
        <f>IF($P2965="","",INDEX(상세표[사번],$P2965)&amp;"")</f>
        <v/>
      </c>
      <c r="B2965">
        <f>IF($P2965="","",INDEX(상세표[성명],$P2965)&amp;"")</f>
        <v/>
      </c>
      <c r="C2965">
        <f>IF($P2965="","",INDEX(상세표[부서],$P2965)&amp;"")</f>
        <v/>
      </c>
      <c r="D2965">
        <f>IF($P2965="","",INDEX(상세표[직위],$P2965)&amp;"")</f>
        <v/>
      </c>
      <c r="E2965">
        <f>IF($P2965="","",IF(ISNUMBER(INDEX(상세표[시작],$P2965)),TEXT(INDEX(상세표[시작],$P2965),"yyyy-mm-dd hh:mm"),INDEX(상세표[시작],$P2965)&amp;""))</f>
        <v/>
      </c>
      <c r="F2965">
        <f>IF($P2965="","",IF(ISNUMBER(INDEX(상세표[블록종료],$P2965)),TEXT(INDEX(상세표[블록종료],$P2965),"yyyy-mm-dd hh:mm"),INDEX(상세표[블록종료],$P2965)&amp;""))</f>
        <v/>
      </c>
      <c r="G2965">
        <f>IF($P2965="","",CHOOSE(WEEKDAY(INDEX(상세표[시작],$P2965)),"일","월","화","수","목","금","토"))</f>
        <v/>
      </c>
      <c r="H2965">
        <f>IF($P2965="","",INDEX(상세표[연속 시간],$P2965))</f>
        <v/>
      </c>
      <c r="I2965">
        <f>IF($P2965="","",INDEX(상세표[기록 수],$P2965))</f>
        <v/>
      </c>
      <c r="J2965">
        <f>IF($P2965="","",INDEX(상세표[블록 06~07시],$P2965))</f>
        <v/>
      </c>
      <c r="K2965">
        <f>IF($P2965="","",INDEX(상세표[블록 07~18시],$P2965))</f>
        <v/>
      </c>
      <c r="L2965">
        <f>IF($P2965="","",INDEX(상세표[블록 18~22시],$P2965))</f>
        <v/>
      </c>
      <c r="M2965">
        <f>IF($P2965="","",INDEX(상세표[블록 22~06시],$P2965))</f>
        <v/>
      </c>
      <c r="N2965">
        <f>IF($P2965="","",INDEX(상세표[주말·휴일 포함],$P2965)&amp;"")</f>
        <v/>
      </c>
      <c r="O2965">
        <f>IF($P2965="","",INDEX(상세표[월 넘김 포함],$P2965)&amp;"")</f>
        <v/>
      </c>
      <c r="P2965" s="4">
        <f>IFERROR(MATCH(2960,상세표[연속순번],0),"")</f>
        <v/>
      </c>
    </row>
    <row r="2966">
      <c r="A2966">
        <f>IF($P2966="","",INDEX(상세표[사번],$P2966)&amp;"")</f>
        <v/>
      </c>
      <c r="B2966">
        <f>IF($P2966="","",INDEX(상세표[성명],$P2966)&amp;"")</f>
        <v/>
      </c>
      <c r="C2966">
        <f>IF($P2966="","",INDEX(상세표[부서],$P2966)&amp;"")</f>
        <v/>
      </c>
      <c r="D2966">
        <f>IF($P2966="","",INDEX(상세표[직위],$P2966)&amp;"")</f>
        <v/>
      </c>
      <c r="E2966">
        <f>IF($P2966="","",IF(ISNUMBER(INDEX(상세표[시작],$P2966)),TEXT(INDEX(상세표[시작],$P2966),"yyyy-mm-dd hh:mm"),INDEX(상세표[시작],$P2966)&amp;""))</f>
        <v/>
      </c>
      <c r="F2966">
        <f>IF($P2966="","",IF(ISNUMBER(INDEX(상세표[블록종료],$P2966)),TEXT(INDEX(상세표[블록종료],$P2966),"yyyy-mm-dd hh:mm"),INDEX(상세표[블록종료],$P2966)&amp;""))</f>
        <v/>
      </c>
      <c r="G2966">
        <f>IF($P2966="","",CHOOSE(WEEKDAY(INDEX(상세표[시작],$P2966)),"일","월","화","수","목","금","토"))</f>
        <v/>
      </c>
      <c r="H2966">
        <f>IF($P2966="","",INDEX(상세표[연속 시간],$P2966))</f>
        <v/>
      </c>
      <c r="I2966">
        <f>IF($P2966="","",INDEX(상세표[기록 수],$P2966))</f>
        <v/>
      </c>
      <c r="J2966">
        <f>IF($P2966="","",INDEX(상세표[블록 06~07시],$P2966))</f>
        <v/>
      </c>
      <c r="K2966">
        <f>IF($P2966="","",INDEX(상세표[블록 07~18시],$P2966))</f>
        <v/>
      </c>
      <c r="L2966">
        <f>IF($P2966="","",INDEX(상세표[블록 18~22시],$P2966))</f>
        <v/>
      </c>
      <c r="M2966">
        <f>IF($P2966="","",INDEX(상세표[블록 22~06시],$P2966))</f>
        <v/>
      </c>
      <c r="N2966">
        <f>IF($P2966="","",INDEX(상세표[주말·휴일 포함],$P2966)&amp;"")</f>
        <v/>
      </c>
      <c r="O2966">
        <f>IF($P2966="","",INDEX(상세표[월 넘김 포함],$P2966)&amp;"")</f>
        <v/>
      </c>
      <c r="P2966" s="4">
        <f>IFERROR(MATCH(2961,상세표[연속순번],0),"")</f>
        <v/>
      </c>
    </row>
    <row r="2967">
      <c r="A2967">
        <f>IF($P2967="","",INDEX(상세표[사번],$P2967)&amp;"")</f>
        <v/>
      </c>
      <c r="B2967">
        <f>IF($P2967="","",INDEX(상세표[성명],$P2967)&amp;"")</f>
        <v/>
      </c>
      <c r="C2967">
        <f>IF($P2967="","",INDEX(상세표[부서],$P2967)&amp;"")</f>
        <v/>
      </c>
      <c r="D2967">
        <f>IF($P2967="","",INDEX(상세표[직위],$P2967)&amp;"")</f>
        <v/>
      </c>
      <c r="E2967">
        <f>IF($P2967="","",IF(ISNUMBER(INDEX(상세표[시작],$P2967)),TEXT(INDEX(상세표[시작],$P2967),"yyyy-mm-dd hh:mm"),INDEX(상세표[시작],$P2967)&amp;""))</f>
        <v/>
      </c>
      <c r="F2967">
        <f>IF($P2967="","",IF(ISNUMBER(INDEX(상세표[블록종료],$P2967)),TEXT(INDEX(상세표[블록종료],$P2967),"yyyy-mm-dd hh:mm"),INDEX(상세표[블록종료],$P2967)&amp;""))</f>
        <v/>
      </c>
      <c r="G2967">
        <f>IF($P2967="","",CHOOSE(WEEKDAY(INDEX(상세표[시작],$P2967)),"일","월","화","수","목","금","토"))</f>
        <v/>
      </c>
      <c r="H2967">
        <f>IF($P2967="","",INDEX(상세표[연속 시간],$P2967))</f>
        <v/>
      </c>
      <c r="I2967">
        <f>IF($P2967="","",INDEX(상세표[기록 수],$P2967))</f>
        <v/>
      </c>
      <c r="J2967">
        <f>IF($P2967="","",INDEX(상세표[블록 06~07시],$P2967))</f>
        <v/>
      </c>
      <c r="K2967">
        <f>IF($P2967="","",INDEX(상세표[블록 07~18시],$P2967))</f>
        <v/>
      </c>
      <c r="L2967">
        <f>IF($P2967="","",INDEX(상세표[블록 18~22시],$P2967))</f>
        <v/>
      </c>
      <c r="M2967">
        <f>IF($P2967="","",INDEX(상세표[블록 22~06시],$P2967))</f>
        <v/>
      </c>
      <c r="N2967">
        <f>IF($P2967="","",INDEX(상세표[주말·휴일 포함],$P2967)&amp;"")</f>
        <v/>
      </c>
      <c r="O2967">
        <f>IF($P2967="","",INDEX(상세표[월 넘김 포함],$P2967)&amp;"")</f>
        <v/>
      </c>
      <c r="P2967" s="4">
        <f>IFERROR(MATCH(2962,상세표[연속순번],0),"")</f>
        <v/>
      </c>
    </row>
    <row r="2968">
      <c r="A2968">
        <f>IF($P2968="","",INDEX(상세표[사번],$P2968)&amp;"")</f>
        <v/>
      </c>
      <c r="B2968">
        <f>IF($P2968="","",INDEX(상세표[성명],$P2968)&amp;"")</f>
        <v/>
      </c>
      <c r="C2968">
        <f>IF($P2968="","",INDEX(상세표[부서],$P2968)&amp;"")</f>
        <v/>
      </c>
      <c r="D2968">
        <f>IF($P2968="","",INDEX(상세표[직위],$P2968)&amp;"")</f>
        <v/>
      </c>
      <c r="E2968">
        <f>IF($P2968="","",IF(ISNUMBER(INDEX(상세표[시작],$P2968)),TEXT(INDEX(상세표[시작],$P2968),"yyyy-mm-dd hh:mm"),INDEX(상세표[시작],$P2968)&amp;""))</f>
        <v/>
      </c>
      <c r="F2968">
        <f>IF($P2968="","",IF(ISNUMBER(INDEX(상세표[블록종료],$P2968)),TEXT(INDEX(상세표[블록종료],$P2968),"yyyy-mm-dd hh:mm"),INDEX(상세표[블록종료],$P2968)&amp;""))</f>
        <v/>
      </c>
      <c r="G2968">
        <f>IF($P2968="","",CHOOSE(WEEKDAY(INDEX(상세표[시작],$P2968)),"일","월","화","수","목","금","토"))</f>
        <v/>
      </c>
      <c r="H2968">
        <f>IF($P2968="","",INDEX(상세표[연속 시간],$P2968))</f>
        <v/>
      </c>
      <c r="I2968">
        <f>IF($P2968="","",INDEX(상세표[기록 수],$P2968))</f>
        <v/>
      </c>
      <c r="J2968">
        <f>IF($P2968="","",INDEX(상세표[블록 06~07시],$P2968))</f>
        <v/>
      </c>
      <c r="K2968">
        <f>IF($P2968="","",INDEX(상세표[블록 07~18시],$P2968))</f>
        <v/>
      </c>
      <c r="L2968">
        <f>IF($P2968="","",INDEX(상세표[블록 18~22시],$P2968))</f>
        <v/>
      </c>
      <c r="M2968">
        <f>IF($P2968="","",INDEX(상세표[블록 22~06시],$P2968))</f>
        <v/>
      </c>
      <c r="N2968">
        <f>IF($P2968="","",INDEX(상세표[주말·휴일 포함],$P2968)&amp;"")</f>
        <v/>
      </c>
      <c r="O2968">
        <f>IF($P2968="","",INDEX(상세표[월 넘김 포함],$P2968)&amp;"")</f>
        <v/>
      </c>
      <c r="P2968" s="4">
        <f>IFERROR(MATCH(2963,상세표[연속순번],0),"")</f>
        <v/>
      </c>
    </row>
    <row r="2969">
      <c r="A2969">
        <f>IF($P2969="","",INDEX(상세표[사번],$P2969)&amp;"")</f>
        <v/>
      </c>
      <c r="B2969">
        <f>IF($P2969="","",INDEX(상세표[성명],$P2969)&amp;"")</f>
        <v/>
      </c>
      <c r="C2969">
        <f>IF($P2969="","",INDEX(상세표[부서],$P2969)&amp;"")</f>
        <v/>
      </c>
      <c r="D2969">
        <f>IF($P2969="","",INDEX(상세표[직위],$P2969)&amp;"")</f>
        <v/>
      </c>
      <c r="E2969">
        <f>IF($P2969="","",IF(ISNUMBER(INDEX(상세표[시작],$P2969)),TEXT(INDEX(상세표[시작],$P2969),"yyyy-mm-dd hh:mm"),INDEX(상세표[시작],$P2969)&amp;""))</f>
        <v/>
      </c>
      <c r="F2969">
        <f>IF($P2969="","",IF(ISNUMBER(INDEX(상세표[블록종료],$P2969)),TEXT(INDEX(상세표[블록종료],$P2969),"yyyy-mm-dd hh:mm"),INDEX(상세표[블록종료],$P2969)&amp;""))</f>
        <v/>
      </c>
      <c r="G2969">
        <f>IF($P2969="","",CHOOSE(WEEKDAY(INDEX(상세표[시작],$P2969)),"일","월","화","수","목","금","토"))</f>
        <v/>
      </c>
      <c r="H2969">
        <f>IF($P2969="","",INDEX(상세표[연속 시간],$P2969))</f>
        <v/>
      </c>
      <c r="I2969">
        <f>IF($P2969="","",INDEX(상세표[기록 수],$P2969))</f>
        <v/>
      </c>
      <c r="J2969">
        <f>IF($P2969="","",INDEX(상세표[블록 06~07시],$P2969))</f>
        <v/>
      </c>
      <c r="K2969">
        <f>IF($P2969="","",INDEX(상세표[블록 07~18시],$P2969))</f>
        <v/>
      </c>
      <c r="L2969">
        <f>IF($P2969="","",INDEX(상세표[블록 18~22시],$P2969))</f>
        <v/>
      </c>
      <c r="M2969">
        <f>IF($P2969="","",INDEX(상세표[블록 22~06시],$P2969))</f>
        <v/>
      </c>
      <c r="N2969">
        <f>IF($P2969="","",INDEX(상세표[주말·휴일 포함],$P2969)&amp;"")</f>
        <v/>
      </c>
      <c r="O2969">
        <f>IF($P2969="","",INDEX(상세표[월 넘김 포함],$P2969)&amp;"")</f>
        <v/>
      </c>
      <c r="P2969" s="4">
        <f>IFERROR(MATCH(2964,상세표[연속순번],0),"")</f>
        <v/>
      </c>
    </row>
    <row r="2970">
      <c r="A2970">
        <f>IF($P2970="","",INDEX(상세표[사번],$P2970)&amp;"")</f>
        <v/>
      </c>
      <c r="B2970">
        <f>IF($P2970="","",INDEX(상세표[성명],$P2970)&amp;"")</f>
        <v/>
      </c>
      <c r="C2970">
        <f>IF($P2970="","",INDEX(상세표[부서],$P2970)&amp;"")</f>
        <v/>
      </c>
      <c r="D2970">
        <f>IF($P2970="","",INDEX(상세표[직위],$P2970)&amp;"")</f>
        <v/>
      </c>
      <c r="E2970">
        <f>IF($P2970="","",IF(ISNUMBER(INDEX(상세표[시작],$P2970)),TEXT(INDEX(상세표[시작],$P2970),"yyyy-mm-dd hh:mm"),INDEX(상세표[시작],$P2970)&amp;""))</f>
        <v/>
      </c>
      <c r="F2970">
        <f>IF($P2970="","",IF(ISNUMBER(INDEX(상세표[블록종료],$P2970)),TEXT(INDEX(상세표[블록종료],$P2970),"yyyy-mm-dd hh:mm"),INDEX(상세표[블록종료],$P2970)&amp;""))</f>
        <v/>
      </c>
      <c r="G2970">
        <f>IF($P2970="","",CHOOSE(WEEKDAY(INDEX(상세표[시작],$P2970)),"일","월","화","수","목","금","토"))</f>
        <v/>
      </c>
      <c r="H2970">
        <f>IF($P2970="","",INDEX(상세표[연속 시간],$P2970))</f>
        <v/>
      </c>
      <c r="I2970">
        <f>IF($P2970="","",INDEX(상세표[기록 수],$P2970))</f>
        <v/>
      </c>
      <c r="J2970">
        <f>IF($P2970="","",INDEX(상세표[블록 06~07시],$P2970))</f>
        <v/>
      </c>
      <c r="K2970">
        <f>IF($P2970="","",INDEX(상세표[블록 07~18시],$P2970))</f>
        <v/>
      </c>
      <c r="L2970">
        <f>IF($P2970="","",INDEX(상세표[블록 18~22시],$P2970))</f>
        <v/>
      </c>
      <c r="M2970">
        <f>IF($P2970="","",INDEX(상세표[블록 22~06시],$P2970))</f>
        <v/>
      </c>
      <c r="N2970">
        <f>IF($P2970="","",INDEX(상세표[주말·휴일 포함],$P2970)&amp;"")</f>
        <v/>
      </c>
      <c r="O2970">
        <f>IF($P2970="","",INDEX(상세표[월 넘김 포함],$P2970)&amp;"")</f>
        <v/>
      </c>
      <c r="P2970" s="4">
        <f>IFERROR(MATCH(2965,상세표[연속순번],0),"")</f>
        <v/>
      </c>
    </row>
    <row r="2971">
      <c r="A2971">
        <f>IF($P2971="","",INDEX(상세표[사번],$P2971)&amp;"")</f>
        <v/>
      </c>
      <c r="B2971">
        <f>IF($P2971="","",INDEX(상세표[성명],$P2971)&amp;"")</f>
        <v/>
      </c>
      <c r="C2971">
        <f>IF($P2971="","",INDEX(상세표[부서],$P2971)&amp;"")</f>
        <v/>
      </c>
      <c r="D2971">
        <f>IF($P2971="","",INDEX(상세표[직위],$P2971)&amp;"")</f>
        <v/>
      </c>
      <c r="E2971">
        <f>IF($P2971="","",IF(ISNUMBER(INDEX(상세표[시작],$P2971)),TEXT(INDEX(상세표[시작],$P2971),"yyyy-mm-dd hh:mm"),INDEX(상세표[시작],$P2971)&amp;""))</f>
        <v/>
      </c>
      <c r="F2971">
        <f>IF($P2971="","",IF(ISNUMBER(INDEX(상세표[블록종료],$P2971)),TEXT(INDEX(상세표[블록종료],$P2971),"yyyy-mm-dd hh:mm"),INDEX(상세표[블록종료],$P2971)&amp;""))</f>
        <v/>
      </c>
      <c r="G2971">
        <f>IF($P2971="","",CHOOSE(WEEKDAY(INDEX(상세표[시작],$P2971)),"일","월","화","수","목","금","토"))</f>
        <v/>
      </c>
      <c r="H2971">
        <f>IF($P2971="","",INDEX(상세표[연속 시간],$P2971))</f>
        <v/>
      </c>
      <c r="I2971">
        <f>IF($P2971="","",INDEX(상세표[기록 수],$P2971))</f>
        <v/>
      </c>
      <c r="J2971">
        <f>IF($P2971="","",INDEX(상세표[블록 06~07시],$P2971))</f>
        <v/>
      </c>
      <c r="K2971">
        <f>IF($P2971="","",INDEX(상세표[블록 07~18시],$P2971))</f>
        <v/>
      </c>
      <c r="L2971">
        <f>IF($P2971="","",INDEX(상세표[블록 18~22시],$P2971))</f>
        <v/>
      </c>
      <c r="M2971">
        <f>IF($P2971="","",INDEX(상세표[블록 22~06시],$P2971))</f>
        <v/>
      </c>
      <c r="N2971">
        <f>IF($P2971="","",INDEX(상세표[주말·휴일 포함],$P2971)&amp;"")</f>
        <v/>
      </c>
      <c r="O2971">
        <f>IF($P2971="","",INDEX(상세표[월 넘김 포함],$P2971)&amp;"")</f>
        <v/>
      </c>
      <c r="P2971" s="4">
        <f>IFERROR(MATCH(2966,상세표[연속순번],0),"")</f>
        <v/>
      </c>
    </row>
    <row r="2972">
      <c r="A2972">
        <f>IF($P2972="","",INDEX(상세표[사번],$P2972)&amp;"")</f>
        <v/>
      </c>
      <c r="B2972">
        <f>IF($P2972="","",INDEX(상세표[성명],$P2972)&amp;"")</f>
        <v/>
      </c>
      <c r="C2972">
        <f>IF($P2972="","",INDEX(상세표[부서],$P2972)&amp;"")</f>
        <v/>
      </c>
      <c r="D2972">
        <f>IF($P2972="","",INDEX(상세표[직위],$P2972)&amp;"")</f>
        <v/>
      </c>
      <c r="E2972">
        <f>IF($P2972="","",IF(ISNUMBER(INDEX(상세표[시작],$P2972)),TEXT(INDEX(상세표[시작],$P2972),"yyyy-mm-dd hh:mm"),INDEX(상세표[시작],$P2972)&amp;""))</f>
        <v/>
      </c>
      <c r="F2972">
        <f>IF($P2972="","",IF(ISNUMBER(INDEX(상세표[블록종료],$P2972)),TEXT(INDEX(상세표[블록종료],$P2972),"yyyy-mm-dd hh:mm"),INDEX(상세표[블록종료],$P2972)&amp;""))</f>
        <v/>
      </c>
      <c r="G2972">
        <f>IF($P2972="","",CHOOSE(WEEKDAY(INDEX(상세표[시작],$P2972)),"일","월","화","수","목","금","토"))</f>
        <v/>
      </c>
      <c r="H2972">
        <f>IF($P2972="","",INDEX(상세표[연속 시간],$P2972))</f>
        <v/>
      </c>
      <c r="I2972">
        <f>IF($P2972="","",INDEX(상세표[기록 수],$P2972))</f>
        <v/>
      </c>
      <c r="J2972">
        <f>IF($P2972="","",INDEX(상세표[블록 06~07시],$P2972))</f>
        <v/>
      </c>
      <c r="K2972">
        <f>IF($P2972="","",INDEX(상세표[블록 07~18시],$P2972))</f>
        <v/>
      </c>
      <c r="L2972">
        <f>IF($P2972="","",INDEX(상세표[블록 18~22시],$P2972))</f>
        <v/>
      </c>
      <c r="M2972">
        <f>IF($P2972="","",INDEX(상세표[블록 22~06시],$P2972))</f>
        <v/>
      </c>
      <c r="N2972">
        <f>IF($P2972="","",INDEX(상세표[주말·휴일 포함],$P2972)&amp;"")</f>
        <v/>
      </c>
      <c r="O2972">
        <f>IF($P2972="","",INDEX(상세표[월 넘김 포함],$P2972)&amp;"")</f>
        <v/>
      </c>
      <c r="P2972" s="4">
        <f>IFERROR(MATCH(2967,상세표[연속순번],0),"")</f>
        <v/>
      </c>
    </row>
    <row r="2973">
      <c r="A2973">
        <f>IF($P2973="","",INDEX(상세표[사번],$P2973)&amp;"")</f>
        <v/>
      </c>
      <c r="B2973">
        <f>IF($P2973="","",INDEX(상세표[성명],$P2973)&amp;"")</f>
        <v/>
      </c>
      <c r="C2973">
        <f>IF($P2973="","",INDEX(상세표[부서],$P2973)&amp;"")</f>
        <v/>
      </c>
      <c r="D2973">
        <f>IF($P2973="","",INDEX(상세표[직위],$P2973)&amp;"")</f>
        <v/>
      </c>
      <c r="E2973">
        <f>IF($P2973="","",IF(ISNUMBER(INDEX(상세표[시작],$P2973)),TEXT(INDEX(상세표[시작],$P2973),"yyyy-mm-dd hh:mm"),INDEX(상세표[시작],$P2973)&amp;""))</f>
        <v/>
      </c>
      <c r="F2973">
        <f>IF($P2973="","",IF(ISNUMBER(INDEX(상세표[블록종료],$P2973)),TEXT(INDEX(상세표[블록종료],$P2973),"yyyy-mm-dd hh:mm"),INDEX(상세표[블록종료],$P2973)&amp;""))</f>
        <v/>
      </c>
      <c r="G2973">
        <f>IF($P2973="","",CHOOSE(WEEKDAY(INDEX(상세표[시작],$P2973)),"일","월","화","수","목","금","토"))</f>
        <v/>
      </c>
      <c r="H2973">
        <f>IF($P2973="","",INDEX(상세표[연속 시간],$P2973))</f>
        <v/>
      </c>
      <c r="I2973">
        <f>IF($P2973="","",INDEX(상세표[기록 수],$P2973))</f>
        <v/>
      </c>
      <c r="J2973">
        <f>IF($P2973="","",INDEX(상세표[블록 06~07시],$P2973))</f>
        <v/>
      </c>
      <c r="K2973">
        <f>IF($P2973="","",INDEX(상세표[블록 07~18시],$P2973))</f>
        <v/>
      </c>
      <c r="L2973">
        <f>IF($P2973="","",INDEX(상세표[블록 18~22시],$P2973))</f>
        <v/>
      </c>
      <c r="M2973">
        <f>IF($P2973="","",INDEX(상세표[블록 22~06시],$P2973))</f>
        <v/>
      </c>
      <c r="N2973">
        <f>IF($P2973="","",INDEX(상세표[주말·휴일 포함],$P2973)&amp;"")</f>
        <v/>
      </c>
      <c r="O2973">
        <f>IF($P2973="","",INDEX(상세표[월 넘김 포함],$P2973)&amp;"")</f>
        <v/>
      </c>
      <c r="P2973" s="4">
        <f>IFERROR(MATCH(2968,상세표[연속순번],0),"")</f>
        <v/>
      </c>
    </row>
    <row r="2974">
      <c r="A2974">
        <f>IF($P2974="","",INDEX(상세표[사번],$P2974)&amp;"")</f>
        <v/>
      </c>
      <c r="B2974">
        <f>IF($P2974="","",INDEX(상세표[성명],$P2974)&amp;"")</f>
        <v/>
      </c>
      <c r="C2974">
        <f>IF($P2974="","",INDEX(상세표[부서],$P2974)&amp;"")</f>
        <v/>
      </c>
      <c r="D2974">
        <f>IF($P2974="","",INDEX(상세표[직위],$P2974)&amp;"")</f>
        <v/>
      </c>
      <c r="E2974">
        <f>IF($P2974="","",IF(ISNUMBER(INDEX(상세표[시작],$P2974)),TEXT(INDEX(상세표[시작],$P2974),"yyyy-mm-dd hh:mm"),INDEX(상세표[시작],$P2974)&amp;""))</f>
        <v/>
      </c>
      <c r="F2974">
        <f>IF($P2974="","",IF(ISNUMBER(INDEX(상세표[블록종료],$P2974)),TEXT(INDEX(상세표[블록종료],$P2974),"yyyy-mm-dd hh:mm"),INDEX(상세표[블록종료],$P2974)&amp;""))</f>
        <v/>
      </c>
      <c r="G2974">
        <f>IF($P2974="","",CHOOSE(WEEKDAY(INDEX(상세표[시작],$P2974)),"일","월","화","수","목","금","토"))</f>
        <v/>
      </c>
      <c r="H2974">
        <f>IF($P2974="","",INDEX(상세표[연속 시간],$P2974))</f>
        <v/>
      </c>
      <c r="I2974">
        <f>IF($P2974="","",INDEX(상세표[기록 수],$P2974))</f>
        <v/>
      </c>
      <c r="J2974">
        <f>IF($P2974="","",INDEX(상세표[블록 06~07시],$P2974))</f>
        <v/>
      </c>
      <c r="K2974">
        <f>IF($P2974="","",INDEX(상세표[블록 07~18시],$P2974))</f>
        <v/>
      </c>
      <c r="L2974">
        <f>IF($P2974="","",INDEX(상세표[블록 18~22시],$P2974))</f>
        <v/>
      </c>
      <c r="M2974">
        <f>IF($P2974="","",INDEX(상세표[블록 22~06시],$P2974))</f>
        <v/>
      </c>
      <c r="N2974">
        <f>IF($P2974="","",INDEX(상세표[주말·휴일 포함],$P2974)&amp;"")</f>
        <v/>
      </c>
      <c r="O2974">
        <f>IF($P2974="","",INDEX(상세표[월 넘김 포함],$P2974)&amp;"")</f>
        <v/>
      </c>
      <c r="P2974" s="4">
        <f>IFERROR(MATCH(2969,상세표[연속순번],0),"")</f>
        <v/>
      </c>
    </row>
    <row r="2975">
      <c r="A2975">
        <f>IF($P2975="","",INDEX(상세표[사번],$P2975)&amp;"")</f>
        <v/>
      </c>
      <c r="B2975">
        <f>IF($P2975="","",INDEX(상세표[성명],$P2975)&amp;"")</f>
        <v/>
      </c>
      <c r="C2975">
        <f>IF($P2975="","",INDEX(상세표[부서],$P2975)&amp;"")</f>
        <v/>
      </c>
      <c r="D2975">
        <f>IF($P2975="","",INDEX(상세표[직위],$P2975)&amp;"")</f>
        <v/>
      </c>
      <c r="E2975">
        <f>IF($P2975="","",IF(ISNUMBER(INDEX(상세표[시작],$P2975)),TEXT(INDEX(상세표[시작],$P2975),"yyyy-mm-dd hh:mm"),INDEX(상세표[시작],$P2975)&amp;""))</f>
        <v/>
      </c>
      <c r="F2975">
        <f>IF($P2975="","",IF(ISNUMBER(INDEX(상세표[블록종료],$P2975)),TEXT(INDEX(상세표[블록종료],$P2975),"yyyy-mm-dd hh:mm"),INDEX(상세표[블록종료],$P2975)&amp;""))</f>
        <v/>
      </c>
      <c r="G2975">
        <f>IF($P2975="","",CHOOSE(WEEKDAY(INDEX(상세표[시작],$P2975)),"일","월","화","수","목","금","토"))</f>
        <v/>
      </c>
      <c r="H2975">
        <f>IF($P2975="","",INDEX(상세표[연속 시간],$P2975))</f>
        <v/>
      </c>
      <c r="I2975">
        <f>IF($P2975="","",INDEX(상세표[기록 수],$P2975))</f>
        <v/>
      </c>
      <c r="J2975">
        <f>IF($P2975="","",INDEX(상세표[블록 06~07시],$P2975))</f>
        <v/>
      </c>
      <c r="K2975">
        <f>IF($P2975="","",INDEX(상세표[블록 07~18시],$P2975))</f>
        <v/>
      </c>
      <c r="L2975">
        <f>IF($P2975="","",INDEX(상세표[블록 18~22시],$P2975))</f>
        <v/>
      </c>
      <c r="M2975">
        <f>IF($P2975="","",INDEX(상세표[블록 22~06시],$P2975))</f>
        <v/>
      </c>
      <c r="N2975">
        <f>IF($P2975="","",INDEX(상세표[주말·휴일 포함],$P2975)&amp;"")</f>
        <v/>
      </c>
      <c r="O2975">
        <f>IF($P2975="","",INDEX(상세표[월 넘김 포함],$P2975)&amp;"")</f>
        <v/>
      </c>
      <c r="P2975" s="4">
        <f>IFERROR(MATCH(2970,상세표[연속순번],0),"")</f>
        <v/>
      </c>
    </row>
    <row r="2976">
      <c r="A2976">
        <f>IF($P2976="","",INDEX(상세표[사번],$P2976)&amp;"")</f>
        <v/>
      </c>
      <c r="B2976">
        <f>IF($P2976="","",INDEX(상세표[성명],$P2976)&amp;"")</f>
        <v/>
      </c>
      <c r="C2976">
        <f>IF($P2976="","",INDEX(상세표[부서],$P2976)&amp;"")</f>
        <v/>
      </c>
      <c r="D2976">
        <f>IF($P2976="","",INDEX(상세표[직위],$P2976)&amp;"")</f>
        <v/>
      </c>
      <c r="E2976">
        <f>IF($P2976="","",IF(ISNUMBER(INDEX(상세표[시작],$P2976)),TEXT(INDEX(상세표[시작],$P2976),"yyyy-mm-dd hh:mm"),INDEX(상세표[시작],$P2976)&amp;""))</f>
        <v/>
      </c>
      <c r="F2976">
        <f>IF($P2976="","",IF(ISNUMBER(INDEX(상세표[블록종료],$P2976)),TEXT(INDEX(상세표[블록종료],$P2976),"yyyy-mm-dd hh:mm"),INDEX(상세표[블록종료],$P2976)&amp;""))</f>
        <v/>
      </c>
      <c r="G2976">
        <f>IF($P2976="","",CHOOSE(WEEKDAY(INDEX(상세표[시작],$P2976)),"일","월","화","수","목","금","토"))</f>
        <v/>
      </c>
      <c r="H2976">
        <f>IF($P2976="","",INDEX(상세표[연속 시간],$P2976))</f>
        <v/>
      </c>
      <c r="I2976">
        <f>IF($P2976="","",INDEX(상세표[기록 수],$P2976))</f>
        <v/>
      </c>
      <c r="J2976">
        <f>IF($P2976="","",INDEX(상세표[블록 06~07시],$P2976))</f>
        <v/>
      </c>
      <c r="K2976">
        <f>IF($P2976="","",INDEX(상세표[블록 07~18시],$P2976))</f>
        <v/>
      </c>
      <c r="L2976">
        <f>IF($P2976="","",INDEX(상세표[블록 18~22시],$P2976))</f>
        <v/>
      </c>
      <c r="M2976">
        <f>IF($P2976="","",INDEX(상세표[블록 22~06시],$P2976))</f>
        <v/>
      </c>
      <c r="N2976">
        <f>IF($P2976="","",INDEX(상세표[주말·휴일 포함],$P2976)&amp;"")</f>
        <v/>
      </c>
      <c r="O2976">
        <f>IF($P2976="","",INDEX(상세표[월 넘김 포함],$P2976)&amp;"")</f>
        <v/>
      </c>
      <c r="P2976" s="4">
        <f>IFERROR(MATCH(2971,상세표[연속순번],0),"")</f>
        <v/>
      </c>
    </row>
    <row r="2977">
      <c r="A2977">
        <f>IF($P2977="","",INDEX(상세표[사번],$P2977)&amp;"")</f>
        <v/>
      </c>
      <c r="B2977">
        <f>IF($P2977="","",INDEX(상세표[성명],$P2977)&amp;"")</f>
        <v/>
      </c>
      <c r="C2977">
        <f>IF($P2977="","",INDEX(상세표[부서],$P2977)&amp;"")</f>
        <v/>
      </c>
      <c r="D2977">
        <f>IF($P2977="","",INDEX(상세표[직위],$P2977)&amp;"")</f>
        <v/>
      </c>
      <c r="E2977">
        <f>IF($P2977="","",IF(ISNUMBER(INDEX(상세표[시작],$P2977)),TEXT(INDEX(상세표[시작],$P2977),"yyyy-mm-dd hh:mm"),INDEX(상세표[시작],$P2977)&amp;""))</f>
        <v/>
      </c>
      <c r="F2977">
        <f>IF($P2977="","",IF(ISNUMBER(INDEX(상세표[블록종료],$P2977)),TEXT(INDEX(상세표[블록종료],$P2977),"yyyy-mm-dd hh:mm"),INDEX(상세표[블록종료],$P2977)&amp;""))</f>
        <v/>
      </c>
      <c r="G2977">
        <f>IF($P2977="","",CHOOSE(WEEKDAY(INDEX(상세표[시작],$P2977)),"일","월","화","수","목","금","토"))</f>
        <v/>
      </c>
      <c r="H2977">
        <f>IF($P2977="","",INDEX(상세표[연속 시간],$P2977))</f>
        <v/>
      </c>
      <c r="I2977">
        <f>IF($P2977="","",INDEX(상세표[기록 수],$P2977))</f>
        <v/>
      </c>
      <c r="J2977">
        <f>IF($P2977="","",INDEX(상세표[블록 06~07시],$P2977))</f>
        <v/>
      </c>
      <c r="K2977">
        <f>IF($P2977="","",INDEX(상세표[블록 07~18시],$P2977))</f>
        <v/>
      </c>
      <c r="L2977">
        <f>IF($P2977="","",INDEX(상세표[블록 18~22시],$P2977))</f>
        <v/>
      </c>
      <c r="M2977">
        <f>IF($P2977="","",INDEX(상세표[블록 22~06시],$P2977))</f>
        <v/>
      </c>
      <c r="N2977">
        <f>IF($P2977="","",INDEX(상세표[주말·휴일 포함],$P2977)&amp;"")</f>
        <v/>
      </c>
      <c r="O2977">
        <f>IF($P2977="","",INDEX(상세표[월 넘김 포함],$P2977)&amp;"")</f>
        <v/>
      </c>
      <c r="P2977" s="4">
        <f>IFERROR(MATCH(2972,상세표[연속순번],0),"")</f>
        <v/>
      </c>
    </row>
    <row r="2978">
      <c r="A2978">
        <f>IF($P2978="","",INDEX(상세표[사번],$P2978)&amp;"")</f>
        <v/>
      </c>
      <c r="B2978">
        <f>IF($P2978="","",INDEX(상세표[성명],$P2978)&amp;"")</f>
        <v/>
      </c>
      <c r="C2978">
        <f>IF($P2978="","",INDEX(상세표[부서],$P2978)&amp;"")</f>
        <v/>
      </c>
      <c r="D2978">
        <f>IF($P2978="","",INDEX(상세표[직위],$P2978)&amp;"")</f>
        <v/>
      </c>
      <c r="E2978">
        <f>IF($P2978="","",IF(ISNUMBER(INDEX(상세표[시작],$P2978)),TEXT(INDEX(상세표[시작],$P2978),"yyyy-mm-dd hh:mm"),INDEX(상세표[시작],$P2978)&amp;""))</f>
        <v/>
      </c>
      <c r="F2978">
        <f>IF($P2978="","",IF(ISNUMBER(INDEX(상세표[블록종료],$P2978)),TEXT(INDEX(상세표[블록종료],$P2978),"yyyy-mm-dd hh:mm"),INDEX(상세표[블록종료],$P2978)&amp;""))</f>
        <v/>
      </c>
      <c r="G2978">
        <f>IF($P2978="","",CHOOSE(WEEKDAY(INDEX(상세표[시작],$P2978)),"일","월","화","수","목","금","토"))</f>
        <v/>
      </c>
      <c r="H2978">
        <f>IF($P2978="","",INDEX(상세표[연속 시간],$P2978))</f>
        <v/>
      </c>
      <c r="I2978">
        <f>IF($P2978="","",INDEX(상세표[기록 수],$P2978))</f>
        <v/>
      </c>
      <c r="J2978">
        <f>IF($P2978="","",INDEX(상세표[블록 06~07시],$P2978))</f>
        <v/>
      </c>
      <c r="K2978">
        <f>IF($P2978="","",INDEX(상세표[블록 07~18시],$P2978))</f>
        <v/>
      </c>
      <c r="L2978">
        <f>IF($P2978="","",INDEX(상세표[블록 18~22시],$P2978))</f>
        <v/>
      </c>
      <c r="M2978">
        <f>IF($P2978="","",INDEX(상세표[블록 22~06시],$P2978))</f>
        <v/>
      </c>
      <c r="N2978">
        <f>IF($P2978="","",INDEX(상세표[주말·휴일 포함],$P2978)&amp;"")</f>
        <v/>
      </c>
      <c r="O2978">
        <f>IF($P2978="","",INDEX(상세표[월 넘김 포함],$P2978)&amp;"")</f>
        <v/>
      </c>
      <c r="P2978" s="4">
        <f>IFERROR(MATCH(2973,상세표[연속순번],0),"")</f>
        <v/>
      </c>
    </row>
    <row r="2979">
      <c r="A2979">
        <f>IF($P2979="","",INDEX(상세표[사번],$P2979)&amp;"")</f>
        <v/>
      </c>
      <c r="B2979">
        <f>IF($P2979="","",INDEX(상세표[성명],$P2979)&amp;"")</f>
        <v/>
      </c>
      <c r="C2979">
        <f>IF($P2979="","",INDEX(상세표[부서],$P2979)&amp;"")</f>
        <v/>
      </c>
      <c r="D2979">
        <f>IF($P2979="","",INDEX(상세표[직위],$P2979)&amp;"")</f>
        <v/>
      </c>
      <c r="E2979">
        <f>IF($P2979="","",IF(ISNUMBER(INDEX(상세표[시작],$P2979)),TEXT(INDEX(상세표[시작],$P2979),"yyyy-mm-dd hh:mm"),INDEX(상세표[시작],$P2979)&amp;""))</f>
        <v/>
      </c>
      <c r="F2979">
        <f>IF($P2979="","",IF(ISNUMBER(INDEX(상세표[블록종료],$P2979)),TEXT(INDEX(상세표[블록종료],$P2979),"yyyy-mm-dd hh:mm"),INDEX(상세표[블록종료],$P2979)&amp;""))</f>
        <v/>
      </c>
      <c r="G2979">
        <f>IF($P2979="","",CHOOSE(WEEKDAY(INDEX(상세표[시작],$P2979)),"일","월","화","수","목","금","토"))</f>
        <v/>
      </c>
      <c r="H2979">
        <f>IF($P2979="","",INDEX(상세표[연속 시간],$P2979))</f>
        <v/>
      </c>
      <c r="I2979">
        <f>IF($P2979="","",INDEX(상세표[기록 수],$P2979))</f>
        <v/>
      </c>
      <c r="J2979">
        <f>IF($P2979="","",INDEX(상세표[블록 06~07시],$P2979))</f>
        <v/>
      </c>
      <c r="K2979">
        <f>IF($P2979="","",INDEX(상세표[블록 07~18시],$P2979))</f>
        <v/>
      </c>
      <c r="L2979">
        <f>IF($P2979="","",INDEX(상세표[블록 18~22시],$P2979))</f>
        <v/>
      </c>
      <c r="M2979">
        <f>IF($P2979="","",INDEX(상세표[블록 22~06시],$P2979))</f>
        <v/>
      </c>
      <c r="N2979">
        <f>IF($P2979="","",INDEX(상세표[주말·휴일 포함],$P2979)&amp;"")</f>
        <v/>
      </c>
      <c r="O2979">
        <f>IF($P2979="","",INDEX(상세표[월 넘김 포함],$P2979)&amp;"")</f>
        <v/>
      </c>
      <c r="P2979" s="4">
        <f>IFERROR(MATCH(2974,상세표[연속순번],0),"")</f>
        <v/>
      </c>
    </row>
    <row r="2980">
      <c r="A2980">
        <f>IF($P2980="","",INDEX(상세표[사번],$P2980)&amp;"")</f>
        <v/>
      </c>
      <c r="B2980">
        <f>IF($P2980="","",INDEX(상세표[성명],$P2980)&amp;"")</f>
        <v/>
      </c>
      <c r="C2980">
        <f>IF($P2980="","",INDEX(상세표[부서],$P2980)&amp;"")</f>
        <v/>
      </c>
      <c r="D2980">
        <f>IF($P2980="","",INDEX(상세표[직위],$P2980)&amp;"")</f>
        <v/>
      </c>
      <c r="E2980">
        <f>IF($P2980="","",IF(ISNUMBER(INDEX(상세표[시작],$P2980)),TEXT(INDEX(상세표[시작],$P2980),"yyyy-mm-dd hh:mm"),INDEX(상세표[시작],$P2980)&amp;""))</f>
        <v/>
      </c>
      <c r="F2980">
        <f>IF($P2980="","",IF(ISNUMBER(INDEX(상세표[블록종료],$P2980)),TEXT(INDEX(상세표[블록종료],$P2980),"yyyy-mm-dd hh:mm"),INDEX(상세표[블록종료],$P2980)&amp;""))</f>
        <v/>
      </c>
      <c r="G2980">
        <f>IF($P2980="","",CHOOSE(WEEKDAY(INDEX(상세표[시작],$P2980)),"일","월","화","수","목","금","토"))</f>
        <v/>
      </c>
      <c r="H2980">
        <f>IF($P2980="","",INDEX(상세표[연속 시간],$P2980))</f>
        <v/>
      </c>
      <c r="I2980">
        <f>IF($P2980="","",INDEX(상세표[기록 수],$P2980))</f>
        <v/>
      </c>
      <c r="J2980">
        <f>IF($P2980="","",INDEX(상세표[블록 06~07시],$P2980))</f>
        <v/>
      </c>
      <c r="K2980">
        <f>IF($P2980="","",INDEX(상세표[블록 07~18시],$P2980))</f>
        <v/>
      </c>
      <c r="L2980">
        <f>IF($P2980="","",INDEX(상세표[블록 18~22시],$P2980))</f>
        <v/>
      </c>
      <c r="M2980">
        <f>IF($P2980="","",INDEX(상세표[블록 22~06시],$P2980))</f>
        <v/>
      </c>
      <c r="N2980">
        <f>IF($P2980="","",INDEX(상세표[주말·휴일 포함],$P2980)&amp;"")</f>
        <v/>
      </c>
      <c r="O2980">
        <f>IF($P2980="","",INDEX(상세표[월 넘김 포함],$P2980)&amp;"")</f>
        <v/>
      </c>
      <c r="P2980" s="4">
        <f>IFERROR(MATCH(2975,상세표[연속순번],0),"")</f>
        <v/>
      </c>
    </row>
    <row r="2981">
      <c r="A2981">
        <f>IF($P2981="","",INDEX(상세표[사번],$P2981)&amp;"")</f>
        <v/>
      </c>
      <c r="B2981">
        <f>IF($P2981="","",INDEX(상세표[성명],$P2981)&amp;"")</f>
        <v/>
      </c>
      <c r="C2981">
        <f>IF($P2981="","",INDEX(상세표[부서],$P2981)&amp;"")</f>
        <v/>
      </c>
      <c r="D2981">
        <f>IF($P2981="","",INDEX(상세표[직위],$P2981)&amp;"")</f>
        <v/>
      </c>
      <c r="E2981">
        <f>IF($P2981="","",IF(ISNUMBER(INDEX(상세표[시작],$P2981)),TEXT(INDEX(상세표[시작],$P2981),"yyyy-mm-dd hh:mm"),INDEX(상세표[시작],$P2981)&amp;""))</f>
        <v/>
      </c>
      <c r="F2981">
        <f>IF($P2981="","",IF(ISNUMBER(INDEX(상세표[블록종료],$P2981)),TEXT(INDEX(상세표[블록종료],$P2981),"yyyy-mm-dd hh:mm"),INDEX(상세표[블록종료],$P2981)&amp;""))</f>
        <v/>
      </c>
      <c r="G2981">
        <f>IF($P2981="","",CHOOSE(WEEKDAY(INDEX(상세표[시작],$P2981)),"일","월","화","수","목","금","토"))</f>
        <v/>
      </c>
      <c r="H2981">
        <f>IF($P2981="","",INDEX(상세표[연속 시간],$P2981))</f>
        <v/>
      </c>
      <c r="I2981">
        <f>IF($P2981="","",INDEX(상세표[기록 수],$P2981))</f>
        <v/>
      </c>
      <c r="J2981">
        <f>IF($P2981="","",INDEX(상세표[블록 06~07시],$P2981))</f>
        <v/>
      </c>
      <c r="K2981">
        <f>IF($P2981="","",INDEX(상세표[블록 07~18시],$P2981))</f>
        <v/>
      </c>
      <c r="L2981">
        <f>IF($P2981="","",INDEX(상세표[블록 18~22시],$P2981))</f>
        <v/>
      </c>
      <c r="M2981">
        <f>IF($P2981="","",INDEX(상세표[블록 22~06시],$P2981))</f>
        <v/>
      </c>
      <c r="N2981">
        <f>IF($P2981="","",INDEX(상세표[주말·휴일 포함],$P2981)&amp;"")</f>
        <v/>
      </c>
      <c r="O2981">
        <f>IF($P2981="","",INDEX(상세표[월 넘김 포함],$P2981)&amp;"")</f>
        <v/>
      </c>
      <c r="P2981" s="4">
        <f>IFERROR(MATCH(2976,상세표[연속순번],0),"")</f>
        <v/>
      </c>
    </row>
    <row r="2982">
      <c r="A2982">
        <f>IF($P2982="","",INDEX(상세표[사번],$P2982)&amp;"")</f>
        <v/>
      </c>
      <c r="B2982">
        <f>IF($P2982="","",INDEX(상세표[성명],$P2982)&amp;"")</f>
        <v/>
      </c>
      <c r="C2982">
        <f>IF($P2982="","",INDEX(상세표[부서],$P2982)&amp;"")</f>
        <v/>
      </c>
      <c r="D2982">
        <f>IF($P2982="","",INDEX(상세표[직위],$P2982)&amp;"")</f>
        <v/>
      </c>
      <c r="E2982">
        <f>IF($P2982="","",IF(ISNUMBER(INDEX(상세표[시작],$P2982)),TEXT(INDEX(상세표[시작],$P2982),"yyyy-mm-dd hh:mm"),INDEX(상세표[시작],$P2982)&amp;""))</f>
        <v/>
      </c>
      <c r="F2982">
        <f>IF($P2982="","",IF(ISNUMBER(INDEX(상세표[블록종료],$P2982)),TEXT(INDEX(상세표[블록종료],$P2982),"yyyy-mm-dd hh:mm"),INDEX(상세표[블록종료],$P2982)&amp;""))</f>
        <v/>
      </c>
      <c r="G2982">
        <f>IF($P2982="","",CHOOSE(WEEKDAY(INDEX(상세표[시작],$P2982)),"일","월","화","수","목","금","토"))</f>
        <v/>
      </c>
      <c r="H2982">
        <f>IF($P2982="","",INDEX(상세표[연속 시간],$P2982))</f>
        <v/>
      </c>
      <c r="I2982">
        <f>IF($P2982="","",INDEX(상세표[기록 수],$P2982))</f>
        <v/>
      </c>
      <c r="J2982">
        <f>IF($P2982="","",INDEX(상세표[블록 06~07시],$P2982))</f>
        <v/>
      </c>
      <c r="K2982">
        <f>IF($P2982="","",INDEX(상세표[블록 07~18시],$P2982))</f>
        <v/>
      </c>
      <c r="L2982">
        <f>IF($P2982="","",INDEX(상세표[블록 18~22시],$P2982))</f>
        <v/>
      </c>
      <c r="M2982">
        <f>IF($P2982="","",INDEX(상세표[블록 22~06시],$P2982))</f>
        <v/>
      </c>
      <c r="N2982">
        <f>IF($P2982="","",INDEX(상세표[주말·휴일 포함],$P2982)&amp;"")</f>
        <v/>
      </c>
      <c r="O2982">
        <f>IF($P2982="","",INDEX(상세표[월 넘김 포함],$P2982)&amp;"")</f>
        <v/>
      </c>
      <c r="P2982" s="4">
        <f>IFERROR(MATCH(2977,상세표[연속순번],0),"")</f>
        <v/>
      </c>
    </row>
    <row r="2983">
      <c r="A2983">
        <f>IF($P2983="","",INDEX(상세표[사번],$P2983)&amp;"")</f>
        <v/>
      </c>
      <c r="B2983">
        <f>IF($P2983="","",INDEX(상세표[성명],$P2983)&amp;"")</f>
        <v/>
      </c>
      <c r="C2983">
        <f>IF($P2983="","",INDEX(상세표[부서],$P2983)&amp;"")</f>
        <v/>
      </c>
      <c r="D2983">
        <f>IF($P2983="","",INDEX(상세표[직위],$P2983)&amp;"")</f>
        <v/>
      </c>
      <c r="E2983">
        <f>IF($P2983="","",IF(ISNUMBER(INDEX(상세표[시작],$P2983)),TEXT(INDEX(상세표[시작],$P2983),"yyyy-mm-dd hh:mm"),INDEX(상세표[시작],$P2983)&amp;""))</f>
        <v/>
      </c>
      <c r="F2983">
        <f>IF($P2983="","",IF(ISNUMBER(INDEX(상세표[블록종료],$P2983)),TEXT(INDEX(상세표[블록종료],$P2983),"yyyy-mm-dd hh:mm"),INDEX(상세표[블록종료],$P2983)&amp;""))</f>
        <v/>
      </c>
      <c r="G2983">
        <f>IF($P2983="","",CHOOSE(WEEKDAY(INDEX(상세표[시작],$P2983)),"일","월","화","수","목","금","토"))</f>
        <v/>
      </c>
      <c r="H2983">
        <f>IF($P2983="","",INDEX(상세표[연속 시간],$P2983))</f>
        <v/>
      </c>
      <c r="I2983">
        <f>IF($P2983="","",INDEX(상세표[기록 수],$P2983))</f>
        <v/>
      </c>
      <c r="J2983">
        <f>IF($P2983="","",INDEX(상세표[블록 06~07시],$P2983))</f>
        <v/>
      </c>
      <c r="K2983">
        <f>IF($P2983="","",INDEX(상세표[블록 07~18시],$P2983))</f>
        <v/>
      </c>
      <c r="L2983">
        <f>IF($P2983="","",INDEX(상세표[블록 18~22시],$P2983))</f>
        <v/>
      </c>
      <c r="M2983">
        <f>IF($P2983="","",INDEX(상세표[블록 22~06시],$P2983))</f>
        <v/>
      </c>
      <c r="N2983">
        <f>IF($P2983="","",INDEX(상세표[주말·휴일 포함],$P2983)&amp;"")</f>
        <v/>
      </c>
      <c r="O2983">
        <f>IF($P2983="","",INDEX(상세표[월 넘김 포함],$P2983)&amp;"")</f>
        <v/>
      </c>
      <c r="P2983" s="4">
        <f>IFERROR(MATCH(2978,상세표[연속순번],0),"")</f>
        <v/>
      </c>
    </row>
    <row r="2984">
      <c r="A2984">
        <f>IF($P2984="","",INDEX(상세표[사번],$P2984)&amp;"")</f>
        <v/>
      </c>
      <c r="B2984">
        <f>IF($P2984="","",INDEX(상세표[성명],$P2984)&amp;"")</f>
        <v/>
      </c>
      <c r="C2984">
        <f>IF($P2984="","",INDEX(상세표[부서],$P2984)&amp;"")</f>
        <v/>
      </c>
      <c r="D2984">
        <f>IF($P2984="","",INDEX(상세표[직위],$P2984)&amp;"")</f>
        <v/>
      </c>
      <c r="E2984">
        <f>IF($P2984="","",IF(ISNUMBER(INDEX(상세표[시작],$P2984)),TEXT(INDEX(상세표[시작],$P2984),"yyyy-mm-dd hh:mm"),INDEX(상세표[시작],$P2984)&amp;""))</f>
        <v/>
      </c>
      <c r="F2984">
        <f>IF($P2984="","",IF(ISNUMBER(INDEX(상세표[블록종료],$P2984)),TEXT(INDEX(상세표[블록종료],$P2984),"yyyy-mm-dd hh:mm"),INDEX(상세표[블록종료],$P2984)&amp;""))</f>
        <v/>
      </c>
      <c r="G2984">
        <f>IF($P2984="","",CHOOSE(WEEKDAY(INDEX(상세표[시작],$P2984)),"일","월","화","수","목","금","토"))</f>
        <v/>
      </c>
      <c r="H2984">
        <f>IF($P2984="","",INDEX(상세표[연속 시간],$P2984))</f>
        <v/>
      </c>
      <c r="I2984">
        <f>IF($P2984="","",INDEX(상세표[기록 수],$P2984))</f>
        <v/>
      </c>
      <c r="J2984">
        <f>IF($P2984="","",INDEX(상세표[블록 06~07시],$P2984))</f>
        <v/>
      </c>
      <c r="K2984">
        <f>IF($P2984="","",INDEX(상세표[블록 07~18시],$P2984))</f>
        <v/>
      </c>
      <c r="L2984">
        <f>IF($P2984="","",INDEX(상세표[블록 18~22시],$P2984))</f>
        <v/>
      </c>
      <c r="M2984">
        <f>IF($P2984="","",INDEX(상세표[블록 22~06시],$P2984))</f>
        <v/>
      </c>
      <c r="N2984">
        <f>IF($P2984="","",INDEX(상세표[주말·휴일 포함],$P2984)&amp;"")</f>
        <v/>
      </c>
      <c r="O2984">
        <f>IF($P2984="","",INDEX(상세표[월 넘김 포함],$P2984)&amp;"")</f>
        <v/>
      </c>
      <c r="P2984" s="4">
        <f>IFERROR(MATCH(2979,상세표[연속순번],0),"")</f>
        <v/>
      </c>
    </row>
    <row r="2985">
      <c r="A2985">
        <f>IF($P2985="","",INDEX(상세표[사번],$P2985)&amp;"")</f>
        <v/>
      </c>
      <c r="B2985">
        <f>IF($P2985="","",INDEX(상세표[성명],$P2985)&amp;"")</f>
        <v/>
      </c>
      <c r="C2985">
        <f>IF($P2985="","",INDEX(상세표[부서],$P2985)&amp;"")</f>
        <v/>
      </c>
      <c r="D2985">
        <f>IF($P2985="","",INDEX(상세표[직위],$P2985)&amp;"")</f>
        <v/>
      </c>
      <c r="E2985">
        <f>IF($P2985="","",IF(ISNUMBER(INDEX(상세표[시작],$P2985)),TEXT(INDEX(상세표[시작],$P2985),"yyyy-mm-dd hh:mm"),INDEX(상세표[시작],$P2985)&amp;""))</f>
        <v/>
      </c>
      <c r="F2985">
        <f>IF($P2985="","",IF(ISNUMBER(INDEX(상세표[블록종료],$P2985)),TEXT(INDEX(상세표[블록종료],$P2985),"yyyy-mm-dd hh:mm"),INDEX(상세표[블록종료],$P2985)&amp;""))</f>
        <v/>
      </c>
      <c r="G2985">
        <f>IF($P2985="","",CHOOSE(WEEKDAY(INDEX(상세표[시작],$P2985)),"일","월","화","수","목","금","토"))</f>
        <v/>
      </c>
      <c r="H2985">
        <f>IF($P2985="","",INDEX(상세표[연속 시간],$P2985))</f>
        <v/>
      </c>
      <c r="I2985">
        <f>IF($P2985="","",INDEX(상세표[기록 수],$P2985))</f>
        <v/>
      </c>
      <c r="J2985">
        <f>IF($P2985="","",INDEX(상세표[블록 06~07시],$P2985))</f>
        <v/>
      </c>
      <c r="K2985">
        <f>IF($P2985="","",INDEX(상세표[블록 07~18시],$P2985))</f>
        <v/>
      </c>
      <c r="L2985">
        <f>IF($P2985="","",INDEX(상세표[블록 18~22시],$P2985))</f>
        <v/>
      </c>
      <c r="M2985">
        <f>IF($P2985="","",INDEX(상세표[블록 22~06시],$P2985))</f>
        <v/>
      </c>
      <c r="N2985">
        <f>IF($P2985="","",INDEX(상세표[주말·휴일 포함],$P2985)&amp;"")</f>
        <v/>
      </c>
      <c r="O2985">
        <f>IF($P2985="","",INDEX(상세표[월 넘김 포함],$P2985)&amp;"")</f>
        <v/>
      </c>
      <c r="P2985" s="4">
        <f>IFERROR(MATCH(2980,상세표[연속순번],0),"")</f>
        <v/>
      </c>
    </row>
    <row r="2986">
      <c r="A2986">
        <f>IF($P2986="","",INDEX(상세표[사번],$P2986)&amp;"")</f>
        <v/>
      </c>
      <c r="B2986">
        <f>IF($P2986="","",INDEX(상세표[성명],$P2986)&amp;"")</f>
        <v/>
      </c>
      <c r="C2986">
        <f>IF($P2986="","",INDEX(상세표[부서],$P2986)&amp;"")</f>
        <v/>
      </c>
      <c r="D2986">
        <f>IF($P2986="","",INDEX(상세표[직위],$P2986)&amp;"")</f>
        <v/>
      </c>
      <c r="E2986">
        <f>IF($P2986="","",IF(ISNUMBER(INDEX(상세표[시작],$P2986)),TEXT(INDEX(상세표[시작],$P2986),"yyyy-mm-dd hh:mm"),INDEX(상세표[시작],$P2986)&amp;""))</f>
        <v/>
      </c>
      <c r="F2986">
        <f>IF($P2986="","",IF(ISNUMBER(INDEX(상세표[블록종료],$P2986)),TEXT(INDEX(상세표[블록종료],$P2986),"yyyy-mm-dd hh:mm"),INDEX(상세표[블록종료],$P2986)&amp;""))</f>
        <v/>
      </c>
      <c r="G2986">
        <f>IF($P2986="","",CHOOSE(WEEKDAY(INDEX(상세표[시작],$P2986)),"일","월","화","수","목","금","토"))</f>
        <v/>
      </c>
      <c r="H2986">
        <f>IF($P2986="","",INDEX(상세표[연속 시간],$P2986))</f>
        <v/>
      </c>
      <c r="I2986">
        <f>IF($P2986="","",INDEX(상세표[기록 수],$P2986))</f>
        <v/>
      </c>
      <c r="J2986">
        <f>IF($P2986="","",INDEX(상세표[블록 06~07시],$P2986))</f>
        <v/>
      </c>
      <c r="K2986">
        <f>IF($P2986="","",INDEX(상세표[블록 07~18시],$P2986))</f>
        <v/>
      </c>
      <c r="L2986">
        <f>IF($P2986="","",INDEX(상세표[블록 18~22시],$P2986))</f>
        <v/>
      </c>
      <c r="M2986">
        <f>IF($P2986="","",INDEX(상세표[블록 22~06시],$P2986))</f>
        <v/>
      </c>
      <c r="N2986">
        <f>IF($P2986="","",INDEX(상세표[주말·휴일 포함],$P2986)&amp;"")</f>
        <v/>
      </c>
      <c r="O2986">
        <f>IF($P2986="","",INDEX(상세표[월 넘김 포함],$P2986)&amp;"")</f>
        <v/>
      </c>
      <c r="P2986" s="4">
        <f>IFERROR(MATCH(2981,상세표[연속순번],0),"")</f>
        <v/>
      </c>
    </row>
    <row r="2987">
      <c r="A2987">
        <f>IF($P2987="","",INDEX(상세표[사번],$P2987)&amp;"")</f>
        <v/>
      </c>
      <c r="B2987">
        <f>IF($P2987="","",INDEX(상세표[성명],$P2987)&amp;"")</f>
        <v/>
      </c>
      <c r="C2987">
        <f>IF($P2987="","",INDEX(상세표[부서],$P2987)&amp;"")</f>
        <v/>
      </c>
      <c r="D2987">
        <f>IF($P2987="","",INDEX(상세표[직위],$P2987)&amp;"")</f>
        <v/>
      </c>
      <c r="E2987">
        <f>IF($P2987="","",IF(ISNUMBER(INDEX(상세표[시작],$P2987)),TEXT(INDEX(상세표[시작],$P2987),"yyyy-mm-dd hh:mm"),INDEX(상세표[시작],$P2987)&amp;""))</f>
        <v/>
      </c>
      <c r="F2987">
        <f>IF($P2987="","",IF(ISNUMBER(INDEX(상세표[블록종료],$P2987)),TEXT(INDEX(상세표[블록종료],$P2987),"yyyy-mm-dd hh:mm"),INDEX(상세표[블록종료],$P2987)&amp;""))</f>
        <v/>
      </c>
      <c r="G2987">
        <f>IF($P2987="","",CHOOSE(WEEKDAY(INDEX(상세표[시작],$P2987)),"일","월","화","수","목","금","토"))</f>
        <v/>
      </c>
      <c r="H2987">
        <f>IF($P2987="","",INDEX(상세표[연속 시간],$P2987))</f>
        <v/>
      </c>
      <c r="I2987">
        <f>IF($P2987="","",INDEX(상세표[기록 수],$P2987))</f>
        <v/>
      </c>
      <c r="J2987">
        <f>IF($P2987="","",INDEX(상세표[블록 06~07시],$P2987))</f>
        <v/>
      </c>
      <c r="K2987">
        <f>IF($P2987="","",INDEX(상세표[블록 07~18시],$P2987))</f>
        <v/>
      </c>
      <c r="L2987">
        <f>IF($P2987="","",INDEX(상세표[블록 18~22시],$P2987))</f>
        <v/>
      </c>
      <c r="M2987">
        <f>IF($P2987="","",INDEX(상세표[블록 22~06시],$P2987))</f>
        <v/>
      </c>
      <c r="N2987">
        <f>IF($P2987="","",INDEX(상세표[주말·휴일 포함],$P2987)&amp;"")</f>
        <v/>
      </c>
      <c r="O2987">
        <f>IF($P2987="","",INDEX(상세표[월 넘김 포함],$P2987)&amp;"")</f>
        <v/>
      </c>
      <c r="P2987" s="4">
        <f>IFERROR(MATCH(2982,상세표[연속순번],0),"")</f>
        <v/>
      </c>
    </row>
    <row r="2988">
      <c r="A2988">
        <f>IF($P2988="","",INDEX(상세표[사번],$P2988)&amp;"")</f>
        <v/>
      </c>
      <c r="B2988">
        <f>IF($P2988="","",INDEX(상세표[성명],$P2988)&amp;"")</f>
        <v/>
      </c>
      <c r="C2988">
        <f>IF($P2988="","",INDEX(상세표[부서],$P2988)&amp;"")</f>
        <v/>
      </c>
      <c r="D2988">
        <f>IF($P2988="","",INDEX(상세표[직위],$P2988)&amp;"")</f>
        <v/>
      </c>
      <c r="E2988">
        <f>IF($P2988="","",IF(ISNUMBER(INDEX(상세표[시작],$P2988)),TEXT(INDEX(상세표[시작],$P2988),"yyyy-mm-dd hh:mm"),INDEX(상세표[시작],$P2988)&amp;""))</f>
        <v/>
      </c>
      <c r="F2988">
        <f>IF($P2988="","",IF(ISNUMBER(INDEX(상세표[블록종료],$P2988)),TEXT(INDEX(상세표[블록종료],$P2988),"yyyy-mm-dd hh:mm"),INDEX(상세표[블록종료],$P2988)&amp;""))</f>
        <v/>
      </c>
      <c r="G2988">
        <f>IF($P2988="","",CHOOSE(WEEKDAY(INDEX(상세표[시작],$P2988)),"일","월","화","수","목","금","토"))</f>
        <v/>
      </c>
      <c r="H2988">
        <f>IF($P2988="","",INDEX(상세표[연속 시간],$P2988))</f>
        <v/>
      </c>
      <c r="I2988">
        <f>IF($P2988="","",INDEX(상세표[기록 수],$P2988))</f>
        <v/>
      </c>
      <c r="J2988">
        <f>IF($P2988="","",INDEX(상세표[블록 06~07시],$P2988))</f>
        <v/>
      </c>
      <c r="K2988">
        <f>IF($P2988="","",INDEX(상세표[블록 07~18시],$P2988))</f>
        <v/>
      </c>
      <c r="L2988">
        <f>IF($P2988="","",INDEX(상세표[블록 18~22시],$P2988))</f>
        <v/>
      </c>
      <c r="M2988">
        <f>IF($P2988="","",INDEX(상세표[블록 22~06시],$P2988))</f>
        <v/>
      </c>
      <c r="N2988">
        <f>IF($P2988="","",INDEX(상세표[주말·휴일 포함],$P2988)&amp;"")</f>
        <v/>
      </c>
      <c r="O2988">
        <f>IF($P2988="","",INDEX(상세표[월 넘김 포함],$P2988)&amp;"")</f>
        <v/>
      </c>
      <c r="P2988" s="4">
        <f>IFERROR(MATCH(2983,상세표[연속순번],0),"")</f>
        <v/>
      </c>
    </row>
    <row r="2989">
      <c r="A2989">
        <f>IF($P2989="","",INDEX(상세표[사번],$P2989)&amp;"")</f>
        <v/>
      </c>
      <c r="B2989">
        <f>IF($P2989="","",INDEX(상세표[성명],$P2989)&amp;"")</f>
        <v/>
      </c>
      <c r="C2989">
        <f>IF($P2989="","",INDEX(상세표[부서],$P2989)&amp;"")</f>
        <v/>
      </c>
      <c r="D2989">
        <f>IF($P2989="","",INDEX(상세표[직위],$P2989)&amp;"")</f>
        <v/>
      </c>
      <c r="E2989">
        <f>IF($P2989="","",IF(ISNUMBER(INDEX(상세표[시작],$P2989)),TEXT(INDEX(상세표[시작],$P2989),"yyyy-mm-dd hh:mm"),INDEX(상세표[시작],$P2989)&amp;""))</f>
        <v/>
      </c>
      <c r="F2989">
        <f>IF($P2989="","",IF(ISNUMBER(INDEX(상세표[블록종료],$P2989)),TEXT(INDEX(상세표[블록종료],$P2989),"yyyy-mm-dd hh:mm"),INDEX(상세표[블록종료],$P2989)&amp;""))</f>
        <v/>
      </c>
      <c r="G2989">
        <f>IF($P2989="","",CHOOSE(WEEKDAY(INDEX(상세표[시작],$P2989)),"일","월","화","수","목","금","토"))</f>
        <v/>
      </c>
      <c r="H2989">
        <f>IF($P2989="","",INDEX(상세표[연속 시간],$P2989))</f>
        <v/>
      </c>
      <c r="I2989">
        <f>IF($P2989="","",INDEX(상세표[기록 수],$P2989))</f>
        <v/>
      </c>
      <c r="J2989">
        <f>IF($P2989="","",INDEX(상세표[블록 06~07시],$P2989))</f>
        <v/>
      </c>
      <c r="K2989">
        <f>IF($P2989="","",INDEX(상세표[블록 07~18시],$P2989))</f>
        <v/>
      </c>
      <c r="L2989">
        <f>IF($P2989="","",INDEX(상세표[블록 18~22시],$P2989))</f>
        <v/>
      </c>
      <c r="M2989">
        <f>IF($P2989="","",INDEX(상세표[블록 22~06시],$P2989))</f>
        <v/>
      </c>
      <c r="N2989">
        <f>IF($P2989="","",INDEX(상세표[주말·휴일 포함],$P2989)&amp;"")</f>
        <v/>
      </c>
      <c r="O2989">
        <f>IF($P2989="","",INDEX(상세표[월 넘김 포함],$P2989)&amp;"")</f>
        <v/>
      </c>
      <c r="P2989" s="4">
        <f>IFERROR(MATCH(2984,상세표[연속순번],0),"")</f>
        <v/>
      </c>
    </row>
    <row r="2990">
      <c r="A2990">
        <f>IF($P2990="","",INDEX(상세표[사번],$P2990)&amp;"")</f>
        <v/>
      </c>
      <c r="B2990">
        <f>IF($P2990="","",INDEX(상세표[성명],$P2990)&amp;"")</f>
        <v/>
      </c>
      <c r="C2990">
        <f>IF($P2990="","",INDEX(상세표[부서],$P2990)&amp;"")</f>
        <v/>
      </c>
      <c r="D2990">
        <f>IF($P2990="","",INDEX(상세표[직위],$P2990)&amp;"")</f>
        <v/>
      </c>
      <c r="E2990">
        <f>IF($P2990="","",IF(ISNUMBER(INDEX(상세표[시작],$P2990)),TEXT(INDEX(상세표[시작],$P2990),"yyyy-mm-dd hh:mm"),INDEX(상세표[시작],$P2990)&amp;""))</f>
        <v/>
      </c>
      <c r="F2990">
        <f>IF($P2990="","",IF(ISNUMBER(INDEX(상세표[블록종료],$P2990)),TEXT(INDEX(상세표[블록종료],$P2990),"yyyy-mm-dd hh:mm"),INDEX(상세표[블록종료],$P2990)&amp;""))</f>
        <v/>
      </c>
      <c r="G2990">
        <f>IF($P2990="","",CHOOSE(WEEKDAY(INDEX(상세표[시작],$P2990)),"일","월","화","수","목","금","토"))</f>
        <v/>
      </c>
      <c r="H2990">
        <f>IF($P2990="","",INDEX(상세표[연속 시간],$P2990))</f>
        <v/>
      </c>
      <c r="I2990">
        <f>IF($P2990="","",INDEX(상세표[기록 수],$P2990))</f>
        <v/>
      </c>
      <c r="J2990">
        <f>IF($P2990="","",INDEX(상세표[블록 06~07시],$P2990))</f>
        <v/>
      </c>
      <c r="K2990">
        <f>IF($P2990="","",INDEX(상세표[블록 07~18시],$P2990))</f>
        <v/>
      </c>
      <c r="L2990">
        <f>IF($P2990="","",INDEX(상세표[블록 18~22시],$P2990))</f>
        <v/>
      </c>
      <c r="M2990">
        <f>IF($P2990="","",INDEX(상세표[블록 22~06시],$P2990))</f>
        <v/>
      </c>
      <c r="N2990">
        <f>IF($P2990="","",INDEX(상세표[주말·휴일 포함],$P2990)&amp;"")</f>
        <v/>
      </c>
      <c r="O2990">
        <f>IF($P2990="","",INDEX(상세표[월 넘김 포함],$P2990)&amp;"")</f>
        <v/>
      </c>
      <c r="P2990" s="4">
        <f>IFERROR(MATCH(2985,상세표[연속순번],0),"")</f>
        <v/>
      </c>
    </row>
    <row r="2991">
      <c r="A2991">
        <f>IF($P2991="","",INDEX(상세표[사번],$P2991)&amp;"")</f>
        <v/>
      </c>
      <c r="B2991">
        <f>IF($P2991="","",INDEX(상세표[성명],$P2991)&amp;"")</f>
        <v/>
      </c>
      <c r="C2991">
        <f>IF($P2991="","",INDEX(상세표[부서],$P2991)&amp;"")</f>
        <v/>
      </c>
      <c r="D2991">
        <f>IF($P2991="","",INDEX(상세표[직위],$P2991)&amp;"")</f>
        <v/>
      </c>
      <c r="E2991">
        <f>IF($P2991="","",IF(ISNUMBER(INDEX(상세표[시작],$P2991)),TEXT(INDEX(상세표[시작],$P2991),"yyyy-mm-dd hh:mm"),INDEX(상세표[시작],$P2991)&amp;""))</f>
        <v/>
      </c>
      <c r="F2991">
        <f>IF($P2991="","",IF(ISNUMBER(INDEX(상세표[블록종료],$P2991)),TEXT(INDEX(상세표[블록종료],$P2991),"yyyy-mm-dd hh:mm"),INDEX(상세표[블록종료],$P2991)&amp;""))</f>
        <v/>
      </c>
      <c r="G2991">
        <f>IF($P2991="","",CHOOSE(WEEKDAY(INDEX(상세표[시작],$P2991)),"일","월","화","수","목","금","토"))</f>
        <v/>
      </c>
      <c r="H2991">
        <f>IF($P2991="","",INDEX(상세표[연속 시간],$P2991))</f>
        <v/>
      </c>
      <c r="I2991">
        <f>IF($P2991="","",INDEX(상세표[기록 수],$P2991))</f>
        <v/>
      </c>
      <c r="J2991">
        <f>IF($P2991="","",INDEX(상세표[블록 06~07시],$P2991))</f>
        <v/>
      </c>
      <c r="K2991">
        <f>IF($P2991="","",INDEX(상세표[블록 07~18시],$P2991))</f>
        <v/>
      </c>
      <c r="L2991">
        <f>IF($P2991="","",INDEX(상세표[블록 18~22시],$P2991))</f>
        <v/>
      </c>
      <c r="M2991">
        <f>IF($P2991="","",INDEX(상세표[블록 22~06시],$P2991))</f>
        <v/>
      </c>
      <c r="N2991">
        <f>IF($P2991="","",INDEX(상세표[주말·휴일 포함],$P2991)&amp;"")</f>
        <v/>
      </c>
      <c r="O2991">
        <f>IF($P2991="","",INDEX(상세표[월 넘김 포함],$P2991)&amp;"")</f>
        <v/>
      </c>
      <c r="P2991" s="4">
        <f>IFERROR(MATCH(2986,상세표[연속순번],0),"")</f>
        <v/>
      </c>
    </row>
    <row r="2992">
      <c r="A2992">
        <f>IF($P2992="","",INDEX(상세표[사번],$P2992)&amp;"")</f>
        <v/>
      </c>
      <c r="B2992">
        <f>IF($P2992="","",INDEX(상세표[성명],$P2992)&amp;"")</f>
        <v/>
      </c>
      <c r="C2992">
        <f>IF($P2992="","",INDEX(상세표[부서],$P2992)&amp;"")</f>
        <v/>
      </c>
      <c r="D2992">
        <f>IF($P2992="","",INDEX(상세표[직위],$P2992)&amp;"")</f>
        <v/>
      </c>
      <c r="E2992">
        <f>IF($P2992="","",IF(ISNUMBER(INDEX(상세표[시작],$P2992)),TEXT(INDEX(상세표[시작],$P2992),"yyyy-mm-dd hh:mm"),INDEX(상세표[시작],$P2992)&amp;""))</f>
        <v/>
      </c>
      <c r="F2992">
        <f>IF($P2992="","",IF(ISNUMBER(INDEX(상세표[블록종료],$P2992)),TEXT(INDEX(상세표[블록종료],$P2992),"yyyy-mm-dd hh:mm"),INDEX(상세표[블록종료],$P2992)&amp;""))</f>
        <v/>
      </c>
      <c r="G2992">
        <f>IF($P2992="","",CHOOSE(WEEKDAY(INDEX(상세표[시작],$P2992)),"일","월","화","수","목","금","토"))</f>
        <v/>
      </c>
      <c r="H2992">
        <f>IF($P2992="","",INDEX(상세표[연속 시간],$P2992))</f>
        <v/>
      </c>
      <c r="I2992">
        <f>IF($P2992="","",INDEX(상세표[기록 수],$P2992))</f>
        <v/>
      </c>
      <c r="J2992">
        <f>IF($P2992="","",INDEX(상세표[블록 06~07시],$P2992))</f>
        <v/>
      </c>
      <c r="K2992">
        <f>IF($P2992="","",INDEX(상세표[블록 07~18시],$P2992))</f>
        <v/>
      </c>
      <c r="L2992">
        <f>IF($P2992="","",INDEX(상세표[블록 18~22시],$P2992))</f>
        <v/>
      </c>
      <c r="M2992">
        <f>IF($P2992="","",INDEX(상세표[블록 22~06시],$P2992))</f>
        <v/>
      </c>
      <c r="N2992">
        <f>IF($P2992="","",INDEX(상세표[주말·휴일 포함],$P2992)&amp;"")</f>
        <v/>
      </c>
      <c r="O2992">
        <f>IF($P2992="","",INDEX(상세표[월 넘김 포함],$P2992)&amp;"")</f>
        <v/>
      </c>
      <c r="P2992" s="4">
        <f>IFERROR(MATCH(2987,상세표[연속순번],0),"")</f>
        <v/>
      </c>
    </row>
    <row r="2993">
      <c r="A2993">
        <f>IF($P2993="","",INDEX(상세표[사번],$P2993)&amp;"")</f>
        <v/>
      </c>
      <c r="B2993">
        <f>IF($P2993="","",INDEX(상세표[성명],$P2993)&amp;"")</f>
        <v/>
      </c>
      <c r="C2993">
        <f>IF($P2993="","",INDEX(상세표[부서],$P2993)&amp;"")</f>
        <v/>
      </c>
      <c r="D2993">
        <f>IF($P2993="","",INDEX(상세표[직위],$P2993)&amp;"")</f>
        <v/>
      </c>
      <c r="E2993">
        <f>IF($P2993="","",IF(ISNUMBER(INDEX(상세표[시작],$P2993)),TEXT(INDEX(상세표[시작],$P2993),"yyyy-mm-dd hh:mm"),INDEX(상세표[시작],$P2993)&amp;""))</f>
        <v/>
      </c>
      <c r="F2993">
        <f>IF($P2993="","",IF(ISNUMBER(INDEX(상세표[블록종료],$P2993)),TEXT(INDEX(상세표[블록종료],$P2993),"yyyy-mm-dd hh:mm"),INDEX(상세표[블록종료],$P2993)&amp;""))</f>
        <v/>
      </c>
      <c r="G2993">
        <f>IF($P2993="","",CHOOSE(WEEKDAY(INDEX(상세표[시작],$P2993)),"일","월","화","수","목","금","토"))</f>
        <v/>
      </c>
      <c r="H2993">
        <f>IF($P2993="","",INDEX(상세표[연속 시간],$P2993))</f>
        <v/>
      </c>
      <c r="I2993">
        <f>IF($P2993="","",INDEX(상세표[기록 수],$P2993))</f>
        <v/>
      </c>
      <c r="J2993">
        <f>IF($P2993="","",INDEX(상세표[블록 06~07시],$P2993))</f>
        <v/>
      </c>
      <c r="K2993">
        <f>IF($P2993="","",INDEX(상세표[블록 07~18시],$P2993))</f>
        <v/>
      </c>
      <c r="L2993">
        <f>IF($P2993="","",INDEX(상세표[블록 18~22시],$P2993))</f>
        <v/>
      </c>
      <c r="M2993">
        <f>IF($P2993="","",INDEX(상세표[블록 22~06시],$P2993))</f>
        <v/>
      </c>
      <c r="N2993">
        <f>IF($P2993="","",INDEX(상세표[주말·휴일 포함],$P2993)&amp;"")</f>
        <v/>
      </c>
      <c r="O2993">
        <f>IF($P2993="","",INDEX(상세표[월 넘김 포함],$P2993)&amp;"")</f>
        <v/>
      </c>
      <c r="P2993" s="4">
        <f>IFERROR(MATCH(2988,상세표[연속순번],0),"")</f>
        <v/>
      </c>
    </row>
    <row r="2994">
      <c r="A2994">
        <f>IF($P2994="","",INDEX(상세표[사번],$P2994)&amp;"")</f>
        <v/>
      </c>
      <c r="B2994">
        <f>IF($P2994="","",INDEX(상세표[성명],$P2994)&amp;"")</f>
        <v/>
      </c>
      <c r="C2994">
        <f>IF($P2994="","",INDEX(상세표[부서],$P2994)&amp;"")</f>
        <v/>
      </c>
      <c r="D2994">
        <f>IF($P2994="","",INDEX(상세표[직위],$P2994)&amp;"")</f>
        <v/>
      </c>
      <c r="E2994">
        <f>IF($P2994="","",IF(ISNUMBER(INDEX(상세표[시작],$P2994)),TEXT(INDEX(상세표[시작],$P2994),"yyyy-mm-dd hh:mm"),INDEX(상세표[시작],$P2994)&amp;""))</f>
        <v/>
      </c>
      <c r="F2994">
        <f>IF($P2994="","",IF(ISNUMBER(INDEX(상세표[블록종료],$P2994)),TEXT(INDEX(상세표[블록종료],$P2994),"yyyy-mm-dd hh:mm"),INDEX(상세표[블록종료],$P2994)&amp;""))</f>
        <v/>
      </c>
      <c r="G2994">
        <f>IF($P2994="","",CHOOSE(WEEKDAY(INDEX(상세표[시작],$P2994)),"일","월","화","수","목","금","토"))</f>
        <v/>
      </c>
      <c r="H2994">
        <f>IF($P2994="","",INDEX(상세표[연속 시간],$P2994))</f>
        <v/>
      </c>
      <c r="I2994">
        <f>IF($P2994="","",INDEX(상세표[기록 수],$P2994))</f>
        <v/>
      </c>
      <c r="J2994">
        <f>IF($P2994="","",INDEX(상세표[블록 06~07시],$P2994))</f>
        <v/>
      </c>
      <c r="K2994">
        <f>IF($P2994="","",INDEX(상세표[블록 07~18시],$P2994))</f>
        <v/>
      </c>
      <c r="L2994">
        <f>IF($P2994="","",INDEX(상세표[블록 18~22시],$P2994))</f>
        <v/>
      </c>
      <c r="M2994">
        <f>IF($P2994="","",INDEX(상세표[블록 22~06시],$P2994))</f>
        <v/>
      </c>
      <c r="N2994">
        <f>IF($P2994="","",INDEX(상세표[주말·휴일 포함],$P2994)&amp;"")</f>
        <v/>
      </c>
      <c r="O2994">
        <f>IF($P2994="","",INDEX(상세표[월 넘김 포함],$P2994)&amp;"")</f>
        <v/>
      </c>
      <c r="P2994" s="4">
        <f>IFERROR(MATCH(2989,상세표[연속순번],0),"")</f>
        <v/>
      </c>
    </row>
    <row r="2995">
      <c r="A2995">
        <f>IF($P2995="","",INDEX(상세표[사번],$P2995)&amp;"")</f>
        <v/>
      </c>
      <c r="B2995">
        <f>IF($P2995="","",INDEX(상세표[성명],$P2995)&amp;"")</f>
        <v/>
      </c>
      <c r="C2995">
        <f>IF($P2995="","",INDEX(상세표[부서],$P2995)&amp;"")</f>
        <v/>
      </c>
      <c r="D2995">
        <f>IF($P2995="","",INDEX(상세표[직위],$P2995)&amp;"")</f>
        <v/>
      </c>
      <c r="E2995">
        <f>IF($P2995="","",IF(ISNUMBER(INDEX(상세표[시작],$P2995)),TEXT(INDEX(상세표[시작],$P2995),"yyyy-mm-dd hh:mm"),INDEX(상세표[시작],$P2995)&amp;""))</f>
        <v/>
      </c>
      <c r="F2995">
        <f>IF($P2995="","",IF(ISNUMBER(INDEX(상세표[블록종료],$P2995)),TEXT(INDEX(상세표[블록종료],$P2995),"yyyy-mm-dd hh:mm"),INDEX(상세표[블록종료],$P2995)&amp;""))</f>
        <v/>
      </c>
      <c r="G2995">
        <f>IF($P2995="","",CHOOSE(WEEKDAY(INDEX(상세표[시작],$P2995)),"일","월","화","수","목","금","토"))</f>
        <v/>
      </c>
      <c r="H2995">
        <f>IF($P2995="","",INDEX(상세표[연속 시간],$P2995))</f>
        <v/>
      </c>
      <c r="I2995">
        <f>IF($P2995="","",INDEX(상세표[기록 수],$P2995))</f>
        <v/>
      </c>
      <c r="J2995">
        <f>IF($P2995="","",INDEX(상세표[블록 06~07시],$P2995))</f>
        <v/>
      </c>
      <c r="K2995">
        <f>IF($P2995="","",INDEX(상세표[블록 07~18시],$P2995))</f>
        <v/>
      </c>
      <c r="L2995">
        <f>IF($P2995="","",INDEX(상세표[블록 18~22시],$P2995))</f>
        <v/>
      </c>
      <c r="M2995">
        <f>IF($P2995="","",INDEX(상세표[블록 22~06시],$P2995))</f>
        <v/>
      </c>
      <c r="N2995">
        <f>IF($P2995="","",INDEX(상세표[주말·휴일 포함],$P2995)&amp;"")</f>
        <v/>
      </c>
      <c r="O2995">
        <f>IF($P2995="","",INDEX(상세표[월 넘김 포함],$P2995)&amp;"")</f>
        <v/>
      </c>
      <c r="P2995" s="4">
        <f>IFERROR(MATCH(2990,상세표[연속순번],0),"")</f>
        <v/>
      </c>
    </row>
    <row r="2996">
      <c r="A2996">
        <f>IF($P2996="","",INDEX(상세표[사번],$P2996)&amp;"")</f>
        <v/>
      </c>
      <c r="B2996">
        <f>IF($P2996="","",INDEX(상세표[성명],$P2996)&amp;"")</f>
        <v/>
      </c>
      <c r="C2996">
        <f>IF($P2996="","",INDEX(상세표[부서],$P2996)&amp;"")</f>
        <v/>
      </c>
      <c r="D2996">
        <f>IF($P2996="","",INDEX(상세표[직위],$P2996)&amp;"")</f>
        <v/>
      </c>
      <c r="E2996">
        <f>IF($P2996="","",IF(ISNUMBER(INDEX(상세표[시작],$P2996)),TEXT(INDEX(상세표[시작],$P2996),"yyyy-mm-dd hh:mm"),INDEX(상세표[시작],$P2996)&amp;""))</f>
        <v/>
      </c>
      <c r="F2996">
        <f>IF($P2996="","",IF(ISNUMBER(INDEX(상세표[블록종료],$P2996)),TEXT(INDEX(상세표[블록종료],$P2996),"yyyy-mm-dd hh:mm"),INDEX(상세표[블록종료],$P2996)&amp;""))</f>
        <v/>
      </c>
      <c r="G2996">
        <f>IF($P2996="","",CHOOSE(WEEKDAY(INDEX(상세표[시작],$P2996)),"일","월","화","수","목","금","토"))</f>
        <v/>
      </c>
      <c r="H2996">
        <f>IF($P2996="","",INDEX(상세표[연속 시간],$P2996))</f>
        <v/>
      </c>
      <c r="I2996">
        <f>IF($P2996="","",INDEX(상세표[기록 수],$P2996))</f>
        <v/>
      </c>
      <c r="J2996">
        <f>IF($P2996="","",INDEX(상세표[블록 06~07시],$P2996))</f>
        <v/>
      </c>
      <c r="K2996">
        <f>IF($P2996="","",INDEX(상세표[블록 07~18시],$P2996))</f>
        <v/>
      </c>
      <c r="L2996">
        <f>IF($P2996="","",INDEX(상세표[블록 18~22시],$P2996))</f>
        <v/>
      </c>
      <c r="M2996">
        <f>IF($P2996="","",INDEX(상세표[블록 22~06시],$P2996))</f>
        <v/>
      </c>
      <c r="N2996">
        <f>IF($P2996="","",INDEX(상세표[주말·휴일 포함],$P2996)&amp;"")</f>
        <v/>
      </c>
      <c r="O2996">
        <f>IF($P2996="","",INDEX(상세표[월 넘김 포함],$P2996)&amp;"")</f>
        <v/>
      </c>
      <c r="P2996" s="4">
        <f>IFERROR(MATCH(2991,상세표[연속순번],0),"")</f>
        <v/>
      </c>
    </row>
    <row r="2997">
      <c r="A2997">
        <f>IF($P2997="","",INDEX(상세표[사번],$P2997)&amp;"")</f>
        <v/>
      </c>
      <c r="B2997">
        <f>IF($P2997="","",INDEX(상세표[성명],$P2997)&amp;"")</f>
        <v/>
      </c>
      <c r="C2997">
        <f>IF($P2997="","",INDEX(상세표[부서],$P2997)&amp;"")</f>
        <v/>
      </c>
      <c r="D2997">
        <f>IF($P2997="","",INDEX(상세표[직위],$P2997)&amp;"")</f>
        <v/>
      </c>
      <c r="E2997">
        <f>IF($P2997="","",IF(ISNUMBER(INDEX(상세표[시작],$P2997)),TEXT(INDEX(상세표[시작],$P2997),"yyyy-mm-dd hh:mm"),INDEX(상세표[시작],$P2997)&amp;""))</f>
        <v/>
      </c>
      <c r="F2997">
        <f>IF($P2997="","",IF(ISNUMBER(INDEX(상세표[블록종료],$P2997)),TEXT(INDEX(상세표[블록종료],$P2997),"yyyy-mm-dd hh:mm"),INDEX(상세표[블록종료],$P2997)&amp;""))</f>
        <v/>
      </c>
      <c r="G2997">
        <f>IF($P2997="","",CHOOSE(WEEKDAY(INDEX(상세표[시작],$P2997)),"일","월","화","수","목","금","토"))</f>
        <v/>
      </c>
      <c r="H2997">
        <f>IF($P2997="","",INDEX(상세표[연속 시간],$P2997))</f>
        <v/>
      </c>
      <c r="I2997">
        <f>IF($P2997="","",INDEX(상세표[기록 수],$P2997))</f>
        <v/>
      </c>
      <c r="J2997">
        <f>IF($P2997="","",INDEX(상세표[블록 06~07시],$P2997))</f>
        <v/>
      </c>
      <c r="K2997">
        <f>IF($P2997="","",INDEX(상세표[블록 07~18시],$P2997))</f>
        <v/>
      </c>
      <c r="L2997">
        <f>IF($P2997="","",INDEX(상세표[블록 18~22시],$P2997))</f>
        <v/>
      </c>
      <c r="M2997">
        <f>IF($P2997="","",INDEX(상세표[블록 22~06시],$P2997))</f>
        <v/>
      </c>
      <c r="N2997">
        <f>IF($P2997="","",INDEX(상세표[주말·휴일 포함],$P2997)&amp;"")</f>
        <v/>
      </c>
      <c r="O2997">
        <f>IF($P2997="","",INDEX(상세표[월 넘김 포함],$P2997)&amp;"")</f>
        <v/>
      </c>
      <c r="P2997" s="4">
        <f>IFERROR(MATCH(2992,상세표[연속순번],0),"")</f>
        <v/>
      </c>
    </row>
    <row r="2998">
      <c r="A2998">
        <f>IF($P2998="","",INDEX(상세표[사번],$P2998)&amp;"")</f>
        <v/>
      </c>
      <c r="B2998">
        <f>IF($P2998="","",INDEX(상세표[성명],$P2998)&amp;"")</f>
        <v/>
      </c>
      <c r="C2998">
        <f>IF($P2998="","",INDEX(상세표[부서],$P2998)&amp;"")</f>
        <v/>
      </c>
      <c r="D2998">
        <f>IF($P2998="","",INDEX(상세표[직위],$P2998)&amp;"")</f>
        <v/>
      </c>
      <c r="E2998">
        <f>IF($P2998="","",IF(ISNUMBER(INDEX(상세표[시작],$P2998)),TEXT(INDEX(상세표[시작],$P2998),"yyyy-mm-dd hh:mm"),INDEX(상세표[시작],$P2998)&amp;""))</f>
        <v/>
      </c>
      <c r="F2998">
        <f>IF($P2998="","",IF(ISNUMBER(INDEX(상세표[블록종료],$P2998)),TEXT(INDEX(상세표[블록종료],$P2998),"yyyy-mm-dd hh:mm"),INDEX(상세표[블록종료],$P2998)&amp;""))</f>
        <v/>
      </c>
      <c r="G2998">
        <f>IF($P2998="","",CHOOSE(WEEKDAY(INDEX(상세표[시작],$P2998)),"일","월","화","수","목","금","토"))</f>
        <v/>
      </c>
      <c r="H2998">
        <f>IF($P2998="","",INDEX(상세표[연속 시간],$P2998))</f>
        <v/>
      </c>
      <c r="I2998">
        <f>IF($P2998="","",INDEX(상세표[기록 수],$P2998))</f>
        <v/>
      </c>
      <c r="J2998">
        <f>IF($P2998="","",INDEX(상세표[블록 06~07시],$P2998))</f>
        <v/>
      </c>
      <c r="K2998">
        <f>IF($P2998="","",INDEX(상세표[블록 07~18시],$P2998))</f>
        <v/>
      </c>
      <c r="L2998">
        <f>IF($P2998="","",INDEX(상세표[블록 18~22시],$P2998))</f>
        <v/>
      </c>
      <c r="M2998">
        <f>IF($P2998="","",INDEX(상세표[블록 22~06시],$P2998))</f>
        <v/>
      </c>
      <c r="N2998">
        <f>IF($P2998="","",INDEX(상세표[주말·휴일 포함],$P2998)&amp;"")</f>
        <v/>
      </c>
      <c r="O2998">
        <f>IF($P2998="","",INDEX(상세표[월 넘김 포함],$P2998)&amp;"")</f>
        <v/>
      </c>
      <c r="P2998" s="4">
        <f>IFERROR(MATCH(2993,상세표[연속순번],0),"")</f>
        <v/>
      </c>
    </row>
    <row r="2999">
      <c r="A2999">
        <f>IF($P2999="","",INDEX(상세표[사번],$P2999)&amp;"")</f>
        <v/>
      </c>
      <c r="B2999">
        <f>IF($P2999="","",INDEX(상세표[성명],$P2999)&amp;"")</f>
        <v/>
      </c>
      <c r="C2999">
        <f>IF($P2999="","",INDEX(상세표[부서],$P2999)&amp;"")</f>
        <v/>
      </c>
      <c r="D2999">
        <f>IF($P2999="","",INDEX(상세표[직위],$P2999)&amp;"")</f>
        <v/>
      </c>
      <c r="E2999">
        <f>IF($P2999="","",IF(ISNUMBER(INDEX(상세표[시작],$P2999)),TEXT(INDEX(상세표[시작],$P2999),"yyyy-mm-dd hh:mm"),INDEX(상세표[시작],$P2999)&amp;""))</f>
        <v/>
      </c>
      <c r="F2999">
        <f>IF($P2999="","",IF(ISNUMBER(INDEX(상세표[블록종료],$P2999)),TEXT(INDEX(상세표[블록종료],$P2999),"yyyy-mm-dd hh:mm"),INDEX(상세표[블록종료],$P2999)&amp;""))</f>
        <v/>
      </c>
      <c r="G2999">
        <f>IF($P2999="","",CHOOSE(WEEKDAY(INDEX(상세표[시작],$P2999)),"일","월","화","수","목","금","토"))</f>
        <v/>
      </c>
      <c r="H2999">
        <f>IF($P2999="","",INDEX(상세표[연속 시간],$P2999))</f>
        <v/>
      </c>
      <c r="I2999">
        <f>IF($P2999="","",INDEX(상세표[기록 수],$P2999))</f>
        <v/>
      </c>
      <c r="J2999">
        <f>IF($P2999="","",INDEX(상세표[블록 06~07시],$P2999))</f>
        <v/>
      </c>
      <c r="K2999">
        <f>IF($P2999="","",INDEX(상세표[블록 07~18시],$P2999))</f>
        <v/>
      </c>
      <c r="L2999">
        <f>IF($P2999="","",INDEX(상세표[블록 18~22시],$P2999))</f>
        <v/>
      </c>
      <c r="M2999">
        <f>IF($P2999="","",INDEX(상세표[블록 22~06시],$P2999))</f>
        <v/>
      </c>
      <c r="N2999">
        <f>IF($P2999="","",INDEX(상세표[주말·휴일 포함],$P2999)&amp;"")</f>
        <v/>
      </c>
      <c r="O2999">
        <f>IF($P2999="","",INDEX(상세표[월 넘김 포함],$P2999)&amp;"")</f>
        <v/>
      </c>
      <c r="P2999" s="4">
        <f>IFERROR(MATCH(2994,상세표[연속순번],0),"")</f>
        <v/>
      </c>
    </row>
    <row r="3000">
      <c r="A3000">
        <f>IF($P3000="","",INDEX(상세표[사번],$P3000)&amp;"")</f>
        <v/>
      </c>
      <c r="B3000">
        <f>IF($P3000="","",INDEX(상세표[성명],$P3000)&amp;"")</f>
        <v/>
      </c>
      <c r="C3000">
        <f>IF($P3000="","",INDEX(상세표[부서],$P3000)&amp;"")</f>
        <v/>
      </c>
      <c r="D3000">
        <f>IF($P3000="","",INDEX(상세표[직위],$P3000)&amp;"")</f>
        <v/>
      </c>
      <c r="E3000">
        <f>IF($P3000="","",IF(ISNUMBER(INDEX(상세표[시작],$P3000)),TEXT(INDEX(상세표[시작],$P3000),"yyyy-mm-dd hh:mm"),INDEX(상세표[시작],$P3000)&amp;""))</f>
        <v/>
      </c>
      <c r="F3000">
        <f>IF($P3000="","",IF(ISNUMBER(INDEX(상세표[블록종료],$P3000)),TEXT(INDEX(상세표[블록종료],$P3000),"yyyy-mm-dd hh:mm"),INDEX(상세표[블록종료],$P3000)&amp;""))</f>
        <v/>
      </c>
      <c r="G3000">
        <f>IF($P3000="","",CHOOSE(WEEKDAY(INDEX(상세표[시작],$P3000)),"일","월","화","수","목","금","토"))</f>
        <v/>
      </c>
      <c r="H3000">
        <f>IF($P3000="","",INDEX(상세표[연속 시간],$P3000))</f>
        <v/>
      </c>
      <c r="I3000">
        <f>IF($P3000="","",INDEX(상세표[기록 수],$P3000))</f>
        <v/>
      </c>
      <c r="J3000">
        <f>IF($P3000="","",INDEX(상세표[블록 06~07시],$P3000))</f>
        <v/>
      </c>
      <c r="K3000">
        <f>IF($P3000="","",INDEX(상세표[블록 07~18시],$P3000))</f>
        <v/>
      </c>
      <c r="L3000">
        <f>IF($P3000="","",INDEX(상세표[블록 18~22시],$P3000))</f>
        <v/>
      </c>
      <c r="M3000">
        <f>IF($P3000="","",INDEX(상세표[블록 22~06시],$P3000))</f>
        <v/>
      </c>
      <c r="N3000">
        <f>IF($P3000="","",INDEX(상세표[주말·휴일 포함],$P3000)&amp;"")</f>
        <v/>
      </c>
      <c r="O3000">
        <f>IF($P3000="","",INDEX(상세표[월 넘김 포함],$P3000)&amp;"")</f>
        <v/>
      </c>
      <c r="P3000" s="4">
        <f>IFERROR(MATCH(2995,상세표[연속순번],0),"")</f>
        <v/>
      </c>
    </row>
    <row r="3001">
      <c r="A3001">
        <f>IF($P3001="","",INDEX(상세표[사번],$P3001)&amp;"")</f>
        <v/>
      </c>
      <c r="B3001">
        <f>IF($P3001="","",INDEX(상세표[성명],$P3001)&amp;"")</f>
        <v/>
      </c>
      <c r="C3001">
        <f>IF($P3001="","",INDEX(상세표[부서],$P3001)&amp;"")</f>
        <v/>
      </c>
      <c r="D3001">
        <f>IF($P3001="","",INDEX(상세표[직위],$P3001)&amp;"")</f>
        <v/>
      </c>
      <c r="E3001">
        <f>IF($P3001="","",IF(ISNUMBER(INDEX(상세표[시작],$P3001)),TEXT(INDEX(상세표[시작],$P3001),"yyyy-mm-dd hh:mm"),INDEX(상세표[시작],$P3001)&amp;""))</f>
        <v/>
      </c>
      <c r="F3001">
        <f>IF($P3001="","",IF(ISNUMBER(INDEX(상세표[블록종료],$P3001)),TEXT(INDEX(상세표[블록종료],$P3001),"yyyy-mm-dd hh:mm"),INDEX(상세표[블록종료],$P3001)&amp;""))</f>
        <v/>
      </c>
      <c r="G3001">
        <f>IF($P3001="","",CHOOSE(WEEKDAY(INDEX(상세표[시작],$P3001)),"일","월","화","수","목","금","토"))</f>
        <v/>
      </c>
      <c r="H3001">
        <f>IF($P3001="","",INDEX(상세표[연속 시간],$P3001))</f>
        <v/>
      </c>
      <c r="I3001">
        <f>IF($P3001="","",INDEX(상세표[기록 수],$P3001))</f>
        <v/>
      </c>
      <c r="J3001">
        <f>IF($P3001="","",INDEX(상세표[블록 06~07시],$P3001))</f>
        <v/>
      </c>
      <c r="K3001">
        <f>IF($P3001="","",INDEX(상세표[블록 07~18시],$P3001))</f>
        <v/>
      </c>
      <c r="L3001">
        <f>IF($P3001="","",INDEX(상세표[블록 18~22시],$P3001))</f>
        <v/>
      </c>
      <c r="M3001">
        <f>IF($P3001="","",INDEX(상세표[블록 22~06시],$P3001))</f>
        <v/>
      </c>
      <c r="N3001">
        <f>IF($P3001="","",INDEX(상세표[주말·휴일 포함],$P3001)&amp;"")</f>
        <v/>
      </c>
      <c r="O3001">
        <f>IF($P3001="","",INDEX(상세표[월 넘김 포함],$P3001)&amp;"")</f>
        <v/>
      </c>
      <c r="P3001" s="4">
        <f>IFERROR(MATCH(2996,상세표[연속순번],0),"")</f>
        <v/>
      </c>
    </row>
    <row r="3002">
      <c r="A3002">
        <f>IF($P3002="","",INDEX(상세표[사번],$P3002)&amp;"")</f>
        <v/>
      </c>
      <c r="B3002">
        <f>IF($P3002="","",INDEX(상세표[성명],$P3002)&amp;"")</f>
        <v/>
      </c>
      <c r="C3002">
        <f>IF($P3002="","",INDEX(상세표[부서],$P3002)&amp;"")</f>
        <v/>
      </c>
      <c r="D3002">
        <f>IF($P3002="","",INDEX(상세표[직위],$P3002)&amp;"")</f>
        <v/>
      </c>
      <c r="E3002">
        <f>IF($P3002="","",IF(ISNUMBER(INDEX(상세표[시작],$P3002)),TEXT(INDEX(상세표[시작],$P3002),"yyyy-mm-dd hh:mm"),INDEX(상세표[시작],$P3002)&amp;""))</f>
        <v/>
      </c>
      <c r="F3002">
        <f>IF($P3002="","",IF(ISNUMBER(INDEX(상세표[블록종료],$P3002)),TEXT(INDEX(상세표[블록종료],$P3002),"yyyy-mm-dd hh:mm"),INDEX(상세표[블록종료],$P3002)&amp;""))</f>
        <v/>
      </c>
      <c r="G3002">
        <f>IF($P3002="","",CHOOSE(WEEKDAY(INDEX(상세표[시작],$P3002)),"일","월","화","수","목","금","토"))</f>
        <v/>
      </c>
      <c r="H3002">
        <f>IF($P3002="","",INDEX(상세표[연속 시간],$P3002))</f>
        <v/>
      </c>
      <c r="I3002">
        <f>IF($P3002="","",INDEX(상세표[기록 수],$P3002))</f>
        <v/>
      </c>
      <c r="J3002">
        <f>IF($P3002="","",INDEX(상세표[블록 06~07시],$P3002))</f>
        <v/>
      </c>
      <c r="K3002">
        <f>IF($P3002="","",INDEX(상세표[블록 07~18시],$P3002))</f>
        <v/>
      </c>
      <c r="L3002">
        <f>IF($P3002="","",INDEX(상세표[블록 18~22시],$P3002))</f>
        <v/>
      </c>
      <c r="M3002">
        <f>IF($P3002="","",INDEX(상세표[블록 22~06시],$P3002))</f>
        <v/>
      </c>
      <c r="N3002">
        <f>IF($P3002="","",INDEX(상세표[주말·휴일 포함],$P3002)&amp;"")</f>
        <v/>
      </c>
      <c r="O3002">
        <f>IF($P3002="","",INDEX(상세표[월 넘김 포함],$P3002)&amp;"")</f>
        <v/>
      </c>
      <c r="P3002" s="4">
        <f>IFERROR(MATCH(2997,상세표[연속순번],0),"")</f>
        <v/>
      </c>
    </row>
    <row r="3003">
      <c r="A3003">
        <f>IF($P3003="","",INDEX(상세표[사번],$P3003)&amp;"")</f>
        <v/>
      </c>
      <c r="B3003">
        <f>IF($P3003="","",INDEX(상세표[성명],$P3003)&amp;"")</f>
        <v/>
      </c>
      <c r="C3003">
        <f>IF($P3003="","",INDEX(상세표[부서],$P3003)&amp;"")</f>
        <v/>
      </c>
      <c r="D3003">
        <f>IF($P3003="","",INDEX(상세표[직위],$P3003)&amp;"")</f>
        <v/>
      </c>
      <c r="E3003">
        <f>IF($P3003="","",IF(ISNUMBER(INDEX(상세표[시작],$P3003)),TEXT(INDEX(상세표[시작],$P3003),"yyyy-mm-dd hh:mm"),INDEX(상세표[시작],$P3003)&amp;""))</f>
        <v/>
      </c>
      <c r="F3003">
        <f>IF($P3003="","",IF(ISNUMBER(INDEX(상세표[블록종료],$P3003)),TEXT(INDEX(상세표[블록종료],$P3003),"yyyy-mm-dd hh:mm"),INDEX(상세표[블록종료],$P3003)&amp;""))</f>
        <v/>
      </c>
      <c r="G3003">
        <f>IF($P3003="","",CHOOSE(WEEKDAY(INDEX(상세표[시작],$P3003)),"일","월","화","수","목","금","토"))</f>
        <v/>
      </c>
      <c r="H3003">
        <f>IF($P3003="","",INDEX(상세표[연속 시간],$P3003))</f>
        <v/>
      </c>
      <c r="I3003">
        <f>IF($P3003="","",INDEX(상세표[기록 수],$P3003))</f>
        <v/>
      </c>
      <c r="J3003">
        <f>IF($P3003="","",INDEX(상세표[블록 06~07시],$P3003))</f>
        <v/>
      </c>
      <c r="K3003">
        <f>IF($P3003="","",INDEX(상세표[블록 07~18시],$P3003))</f>
        <v/>
      </c>
      <c r="L3003">
        <f>IF($P3003="","",INDEX(상세표[블록 18~22시],$P3003))</f>
        <v/>
      </c>
      <c r="M3003">
        <f>IF($P3003="","",INDEX(상세표[블록 22~06시],$P3003))</f>
        <v/>
      </c>
      <c r="N3003">
        <f>IF($P3003="","",INDEX(상세표[주말·휴일 포함],$P3003)&amp;"")</f>
        <v/>
      </c>
      <c r="O3003">
        <f>IF($P3003="","",INDEX(상세표[월 넘김 포함],$P3003)&amp;"")</f>
        <v/>
      </c>
      <c r="P3003" s="4">
        <f>IFERROR(MATCH(2998,상세표[연속순번],0),"")</f>
        <v/>
      </c>
    </row>
    <row r="3004">
      <c r="A3004">
        <f>IF($P3004="","",INDEX(상세표[사번],$P3004)&amp;"")</f>
        <v/>
      </c>
      <c r="B3004">
        <f>IF($P3004="","",INDEX(상세표[성명],$P3004)&amp;"")</f>
        <v/>
      </c>
      <c r="C3004">
        <f>IF($P3004="","",INDEX(상세표[부서],$P3004)&amp;"")</f>
        <v/>
      </c>
      <c r="D3004">
        <f>IF($P3004="","",INDEX(상세표[직위],$P3004)&amp;"")</f>
        <v/>
      </c>
      <c r="E3004">
        <f>IF($P3004="","",IF(ISNUMBER(INDEX(상세표[시작],$P3004)),TEXT(INDEX(상세표[시작],$P3004),"yyyy-mm-dd hh:mm"),INDEX(상세표[시작],$P3004)&amp;""))</f>
        <v/>
      </c>
      <c r="F3004">
        <f>IF($P3004="","",IF(ISNUMBER(INDEX(상세표[블록종료],$P3004)),TEXT(INDEX(상세표[블록종료],$P3004),"yyyy-mm-dd hh:mm"),INDEX(상세표[블록종료],$P3004)&amp;""))</f>
        <v/>
      </c>
      <c r="G3004">
        <f>IF($P3004="","",CHOOSE(WEEKDAY(INDEX(상세표[시작],$P3004)),"일","월","화","수","목","금","토"))</f>
        <v/>
      </c>
      <c r="H3004">
        <f>IF($P3004="","",INDEX(상세표[연속 시간],$P3004))</f>
        <v/>
      </c>
      <c r="I3004">
        <f>IF($P3004="","",INDEX(상세표[기록 수],$P3004))</f>
        <v/>
      </c>
      <c r="J3004">
        <f>IF($P3004="","",INDEX(상세표[블록 06~07시],$P3004))</f>
        <v/>
      </c>
      <c r="K3004">
        <f>IF($P3004="","",INDEX(상세표[블록 07~18시],$P3004))</f>
        <v/>
      </c>
      <c r="L3004">
        <f>IF($P3004="","",INDEX(상세표[블록 18~22시],$P3004))</f>
        <v/>
      </c>
      <c r="M3004">
        <f>IF($P3004="","",INDEX(상세표[블록 22~06시],$P3004))</f>
        <v/>
      </c>
      <c r="N3004">
        <f>IF($P3004="","",INDEX(상세표[주말·휴일 포함],$P3004)&amp;"")</f>
        <v/>
      </c>
      <c r="O3004">
        <f>IF($P3004="","",INDEX(상세표[월 넘김 포함],$P3004)&amp;"")</f>
        <v/>
      </c>
      <c r="P3004" s="4">
        <f>IFERROR(MATCH(2999,상세표[연속순번],0),"")</f>
        <v/>
      </c>
    </row>
    <row r="3005">
      <c r="A3005">
        <f>IF($P3005="","",INDEX(상세표[사번],$P3005)&amp;"")</f>
        <v/>
      </c>
      <c r="B3005">
        <f>IF($P3005="","",INDEX(상세표[성명],$P3005)&amp;"")</f>
        <v/>
      </c>
      <c r="C3005">
        <f>IF($P3005="","",INDEX(상세표[부서],$P3005)&amp;"")</f>
        <v/>
      </c>
      <c r="D3005">
        <f>IF($P3005="","",INDEX(상세표[직위],$P3005)&amp;"")</f>
        <v/>
      </c>
      <c r="E3005">
        <f>IF($P3005="","",IF(ISNUMBER(INDEX(상세표[시작],$P3005)),TEXT(INDEX(상세표[시작],$P3005),"yyyy-mm-dd hh:mm"),INDEX(상세표[시작],$P3005)&amp;""))</f>
        <v/>
      </c>
      <c r="F3005">
        <f>IF($P3005="","",IF(ISNUMBER(INDEX(상세표[블록종료],$P3005)),TEXT(INDEX(상세표[블록종료],$P3005),"yyyy-mm-dd hh:mm"),INDEX(상세표[블록종료],$P3005)&amp;""))</f>
        <v/>
      </c>
      <c r="G3005">
        <f>IF($P3005="","",CHOOSE(WEEKDAY(INDEX(상세표[시작],$P3005)),"일","월","화","수","목","금","토"))</f>
        <v/>
      </c>
      <c r="H3005">
        <f>IF($P3005="","",INDEX(상세표[연속 시간],$P3005))</f>
        <v/>
      </c>
      <c r="I3005">
        <f>IF($P3005="","",INDEX(상세표[기록 수],$P3005))</f>
        <v/>
      </c>
      <c r="J3005">
        <f>IF($P3005="","",INDEX(상세표[블록 06~07시],$P3005))</f>
        <v/>
      </c>
      <c r="K3005">
        <f>IF($P3005="","",INDEX(상세표[블록 07~18시],$P3005))</f>
        <v/>
      </c>
      <c r="L3005">
        <f>IF($P3005="","",INDEX(상세표[블록 18~22시],$P3005))</f>
        <v/>
      </c>
      <c r="M3005">
        <f>IF($P3005="","",INDEX(상세표[블록 22~06시],$P3005))</f>
        <v/>
      </c>
      <c r="N3005">
        <f>IF($P3005="","",INDEX(상세표[주말·휴일 포함],$P3005)&amp;"")</f>
        <v/>
      </c>
      <c r="O3005">
        <f>IF($P3005="","",INDEX(상세표[월 넘김 포함],$P3005)&amp;"")</f>
        <v/>
      </c>
      <c r="P3005" s="4">
        <f>IFERROR(MATCH(3000,상세표[연속순번],0),"")</f>
        <v/>
      </c>
    </row>
  </sheetData>
  <conditionalFormatting sqref="H3">
    <cfRule type="expression" priority="1" dxfId="1">
      <formula>H3&gt;0</formula>
    </cfRule>
  </conditionalFormatting>
  <conditionalFormatting sqref="J3">
    <cfRule type="expression" priority="2" dxfId="1">
      <formula>J3&gt;0</formula>
    </cfRule>
  </conditionalFormatting>
  <conditionalFormatting sqref="A6:O3005">
    <cfRule type="expression" priority="3" dxfId="1">
      <formula>AND(ISNUMBER($H6),$H6&gt;36)</formula>
    </cfRule>
    <cfRule type="expression" priority="4" dxfId="2">
      <formula>$O6="포함"</formula>
    </cfRule>
    <cfRule type="expression" priority="5" dxfId="3">
      <formula>$N6="포함"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M10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3.6" customWidth="1" min="3" max="3"/>
    <col width="16.6" customWidth="1" min="4" max="4"/>
    <col width="16" customWidth="1" min="5" max="5"/>
    <col width="8" customWidth="1" min="6" max="6"/>
    <col width="14.6" customWidth="1" min="7" max="7"/>
    <col width="11" customWidth="1" min="8" max="8"/>
    <col width="26" customWidth="1" min="9" max="9"/>
    <col width="9" customWidth="1" min="10" max="10"/>
    <col width="26" customWidth="1" min="11" max="11"/>
    <col width="9" customWidth="1" min="12" max="12"/>
  </cols>
  <sheetData>
    <row r="1">
      <c r="A1" s="1" t="inlineStr">
        <is>
          <t>월을 넘는 당직 (전월 말일→이번 달, 이번 달 말일→익월)</t>
        </is>
      </c>
    </row>
    <row r="2">
      <c r="A2" s="4" t="inlineStr">
        <is>
          <t>※ 같은 기관이면 시작한 달에 반영. 서울↔구리는 시작한 달의 15일 이상 근무 기관(그 달 급여지급병원)에 반영. 구리↔인천·오산·창원·제주는 '익월초 급여 반영'(종료한 달 급여). 그 밖의 조합은 '규정 확인 필요'.</t>
        </is>
      </c>
    </row>
    <row r="3">
      <c r="A3" s="16" t="inlineStr">
        <is>
          <t>월 넘김 당직</t>
        </is>
      </c>
      <c r="B3" s="17">
        <f>SUM(상세표[경계표시])</f>
        <v/>
      </c>
      <c r="C3" s="16" t="inlineStr">
        <is>
          <t>전월→이번 달</t>
        </is>
      </c>
      <c r="D3" s="17">
        <f>COUNTIFS(상세표[경계표시],1,상세표[종료월],대상월키)</f>
        <v/>
      </c>
      <c r="E3" s="16" t="inlineStr">
        <is>
          <t>이번 달→익월</t>
        </is>
      </c>
      <c r="F3" s="17">
        <f>COUNTIFS(상세표[경계표시],1,상세표[기록월],대상월키)</f>
        <v/>
      </c>
      <c r="G3" s="16" t="inlineStr">
        <is>
          <t>익월초 급여 반영</t>
        </is>
      </c>
      <c r="H3" s="17">
        <f>COUNTIFS(상세표[경계표시],1,상세표[월경계 판정],"익월초 급여 반영")</f>
        <v/>
      </c>
      <c r="I3" s="16" t="inlineStr">
        <is>
          <t>기관 정보 없음·확인 필요</t>
        </is>
      </c>
      <c r="J3" s="17">
        <f>COUNTIFS(상세표[경계표시],1,상세표[월경계 판정],"기관*")+COUNTIFS(상세표[경계표시],1,상세표[월경계 판정],"규정 확인 필요")</f>
        <v/>
      </c>
      <c r="K3" s="18">
        <f>IF(B3&gt;1000,"⚠ 표시 한도(1000건) 초과","")</f>
        <v/>
      </c>
    </row>
    <row r="4"/>
    <row r="5" ht="30" customHeight="1">
      <c r="A5" s="5" t="inlineStr">
        <is>
          <t>사번</t>
        </is>
      </c>
      <c r="B5" s="5" t="inlineStr">
        <is>
          <t>성명</t>
        </is>
      </c>
      <c r="C5" s="5" t="inlineStr">
        <is>
          <t>구분</t>
        </is>
      </c>
      <c r="D5" s="5" t="inlineStr">
        <is>
          <t>시작</t>
        </is>
      </c>
      <c r="E5" s="5" t="inlineStr">
        <is>
          <t>종료</t>
        </is>
      </c>
      <c r="F5" s="5" t="inlineStr">
        <is>
          <t>시간외 시간</t>
        </is>
      </c>
      <c r="G5" s="5" t="inlineStr">
        <is>
          <t>시작월 기관</t>
        </is>
      </c>
      <c r="H5" s="5" t="inlineStr">
        <is>
          <t>종료월 기관</t>
        </is>
      </c>
      <c r="I5" s="5" t="inlineStr">
        <is>
          <t>판정</t>
        </is>
      </c>
      <c r="J5" s="5" t="inlineStr">
        <is>
          <t>반영 급여월</t>
        </is>
      </c>
      <c r="K5" s="5" t="inlineStr">
        <is>
          <t>반영 기관</t>
        </is>
      </c>
      <c r="L5" s="5" t="inlineStr">
        <is>
          <t>기관 출처</t>
        </is>
      </c>
      <c r="M5" s="19" t="inlineStr">
        <is>
          <t>(행)</t>
        </is>
      </c>
    </row>
    <row r="6">
      <c r="A6">
        <f>IF($M6="",IF(SUM(상세표[경계표시])=0,"월을 넘는 당직 없음",""),INDEX(상세표[사번],$M6)&amp;"")</f>
        <v/>
      </c>
      <c r="B6">
        <f>IF($M6="","",INDEX(상세표[성명],$M6)&amp;"")</f>
        <v/>
      </c>
      <c r="C6">
        <f>IF($M6="","",IF(INDEX(상세표[종료월],$M6)=대상월키,"전월→이번 달","이번 달→익월"))</f>
        <v/>
      </c>
      <c r="D6">
        <f>IF($M6="","",IF(ISNUMBER(INDEX(상세표[시작],$M6)),TEXT(INDEX(상세표[시작],$M6),"yyyy-mm-dd hh:mm"),INDEX(상세표[시작],$M6)&amp;""))</f>
        <v/>
      </c>
      <c r="E6">
        <f>IF($M6="","",IF(ISNUMBER(INDEX(상세표[종료],$M6)),TEXT(INDEX(상세표[종료],$M6),"yyyy-mm-dd hh:mm"),INDEX(상세표[종료],$M6)&amp;""))</f>
        <v/>
      </c>
      <c r="F6">
        <f>IF($M6="","",INDEX(상세표[기록 시간외],$M6))</f>
        <v/>
      </c>
      <c r="G6">
        <f>IF($M6="","",INDEX(상세표[시작월 기관],$M6)&amp;"")</f>
        <v/>
      </c>
      <c r="H6">
        <f>IF($M6="","",INDEX(상세표[종료월 기관],$M6)&amp;"")</f>
        <v/>
      </c>
      <c r="I6">
        <f>IF($M6="","",INDEX(상세표[월경계 판정],$M6)&amp;"")</f>
        <v/>
      </c>
      <c r="J6">
        <f>IF($M6="","",INDEX(상세표[반영월],$M6)&amp;"")</f>
        <v/>
      </c>
      <c r="K6">
        <f>IF($M6="","",INDEX(상세표[반영 기관],$M6)&amp;"")</f>
        <v/>
      </c>
      <c r="L6">
        <f>IF($M6="","",INDEX(상세표[기관 출처],$M6)&amp;"")</f>
        <v/>
      </c>
      <c r="M6" s="4">
        <f>IFERROR(MATCH(1,상세표[경계순번],0),"")</f>
        <v/>
      </c>
    </row>
    <row r="7">
      <c r="A7">
        <f>IF($M7="","",INDEX(상세표[사번],$M7)&amp;"")</f>
        <v/>
      </c>
      <c r="B7">
        <f>IF($M7="","",INDEX(상세표[성명],$M7)&amp;"")</f>
        <v/>
      </c>
      <c r="C7">
        <f>IF($M7="","",IF(INDEX(상세표[종료월],$M7)=대상월키,"전월→이번 달","이번 달→익월"))</f>
        <v/>
      </c>
      <c r="D7">
        <f>IF($M7="","",IF(ISNUMBER(INDEX(상세표[시작],$M7)),TEXT(INDEX(상세표[시작],$M7),"yyyy-mm-dd hh:mm"),INDEX(상세표[시작],$M7)&amp;""))</f>
        <v/>
      </c>
      <c r="E7">
        <f>IF($M7="","",IF(ISNUMBER(INDEX(상세표[종료],$M7)),TEXT(INDEX(상세표[종료],$M7),"yyyy-mm-dd hh:mm"),INDEX(상세표[종료],$M7)&amp;""))</f>
        <v/>
      </c>
      <c r="F7">
        <f>IF($M7="","",INDEX(상세표[기록 시간외],$M7))</f>
        <v/>
      </c>
      <c r="G7">
        <f>IF($M7="","",INDEX(상세표[시작월 기관],$M7)&amp;"")</f>
        <v/>
      </c>
      <c r="H7">
        <f>IF($M7="","",INDEX(상세표[종료월 기관],$M7)&amp;"")</f>
        <v/>
      </c>
      <c r="I7">
        <f>IF($M7="","",INDEX(상세표[월경계 판정],$M7)&amp;"")</f>
        <v/>
      </c>
      <c r="J7">
        <f>IF($M7="","",INDEX(상세표[반영월],$M7)&amp;"")</f>
        <v/>
      </c>
      <c r="K7">
        <f>IF($M7="","",INDEX(상세표[반영 기관],$M7)&amp;"")</f>
        <v/>
      </c>
      <c r="L7">
        <f>IF($M7="","",INDEX(상세표[기관 출처],$M7)&amp;"")</f>
        <v/>
      </c>
      <c r="M7" s="4">
        <f>IFERROR(MATCH(2,상세표[경계순번],0),"")</f>
        <v/>
      </c>
    </row>
    <row r="8">
      <c r="A8">
        <f>IF($M8="","",INDEX(상세표[사번],$M8)&amp;"")</f>
        <v/>
      </c>
      <c r="B8">
        <f>IF($M8="","",INDEX(상세표[성명],$M8)&amp;"")</f>
        <v/>
      </c>
      <c r="C8">
        <f>IF($M8="","",IF(INDEX(상세표[종료월],$M8)=대상월키,"전월→이번 달","이번 달→익월"))</f>
        <v/>
      </c>
      <c r="D8">
        <f>IF($M8="","",IF(ISNUMBER(INDEX(상세표[시작],$M8)),TEXT(INDEX(상세표[시작],$M8),"yyyy-mm-dd hh:mm"),INDEX(상세표[시작],$M8)&amp;""))</f>
        <v/>
      </c>
      <c r="E8">
        <f>IF($M8="","",IF(ISNUMBER(INDEX(상세표[종료],$M8)),TEXT(INDEX(상세표[종료],$M8),"yyyy-mm-dd hh:mm"),INDEX(상세표[종료],$M8)&amp;""))</f>
        <v/>
      </c>
      <c r="F8">
        <f>IF($M8="","",INDEX(상세표[기록 시간외],$M8))</f>
        <v/>
      </c>
      <c r="G8">
        <f>IF($M8="","",INDEX(상세표[시작월 기관],$M8)&amp;"")</f>
        <v/>
      </c>
      <c r="H8">
        <f>IF($M8="","",INDEX(상세표[종료월 기관],$M8)&amp;"")</f>
        <v/>
      </c>
      <c r="I8">
        <f>IF($M8="","",INDEX(상세표[월경계 판정],$M8)&amp;"")</f>
        <v/>
      </c>
      <c r="J8">
        <f>IF($M8="","",INDEX(상세표[반영월],$M8)&amp;"")</f>
        <v/>
      </c>
      <c r="K8">
        <f>IF($M8="","",INDEX(상세표[반영 기관],$M8)&amp;"")</f>
        <v/>
      </c>
      <c r="L8">
        <f>IF($M8="","",INDEX(상세표[기관 출처],$M8)&amp;"")</f>
        <v/>
      </c>
      <c r="M8" s="4">
        <f>IFERROR(MATCH(3,상세표[경계순번],0),"")</f>
        <v/>
      </c>
    </row>
    <row r="9">
      <c r="A9">
        <f>IF($M9="","",INDEX(상세표[사번],$M9)&amp;"")</f>
        <v/>
      </c>
      <c r="B9">
        <f>IF($M9="","",INDEX(상세표[성명],$M9)&amp;"")</f>
        <v/>
      </c>
      <c r="C9">
        <f>IF($M9="","",IF(INDEX(상세표[종료월],$M9)=대상월키,"전월→이번 달","이번 달→익월"))</f>
        <v/>
      </c>
      <c r="D9">
        <f>IF($M9="","",IF(ISNUMBER(INDEX(상세표[시작],$M9)),TEXT(INDEX(상세표[시작],$M9),"yyyy-mm-dd hh:mm"),INDEX(상세표[시작],$M9)&amp;""))</f>
        <v/>
      </c>
      <c r="E9">
        <f>IF($M9="","",IF(ISNUMBER(INDEX(상세표[종료],$M9)),TEXT(INDEX(상세표[종료],$M9),"yyyy-mm-dd hh:mm"),INDEX(상세표[종료],$M9)&amp;""))</f>
        <v/>
      </c>
      <c r="F9">
        <f>IF($M9="","",INDEX(상세표[기록 시간외],$M9))</f>
        <v/>
      </c>
      <c r="G9">
        <f>IF($M9="","",INDEX(상세표[시작월 기관],$M9)&amp;"")</f>
        <v/>
      </c>
      <c r="H9">
        <f>IF($M9="","",INDEX(상세표[종료월 기관],$M9)&amp;"")</f>
        <v/>
      </c>
      <c r="I9">
        <f>IF($M9="","",INDEX(상세표[월경계 판정],$M9)&amp;"")</f>
        <v/>
      </c>
      <c r="J9">
        <f>IF($M9="","",INDEX(상세표[반영월],$M9)&amp;"")</f>
        <v/>
      </c>
      <c r="K9">
        <f>IF($M9="","",INDEX(상세표[반영 기관],$M9)&amp;"")</f>
        <v/>
      </c>
      <c r="L9">
        <f>IF($M9="","",INDEX(상세표[기관 출처],$M9)&amp;"")</f>
        <v/>
      </c>
      <c r="M9" s="4">
        <f>IFERROR(MATCH(4,상세표[경계순번],0),"")</f>
        <v/>
      </c>
    </row>
    <row r="10">
      <c r="A10">
        <f>IF($M10="","",INDEX(상세표[사번],$M10)&amp;"")</f>
        <v/>
      </c>
      <c r="B10">
        <f>IF($M10="","",INDEX(상세표[성명],$M10)&amp;"")</f>
        <v/>
      </c>
      <c r="C10">
        <f>IF($M10="","",IF(INDEX(상세표[종료월],$M10)=대상월키,"전월→이번 달","이번 달→익월"))</f>
        <v/>
      </c>
      <c r="D10">
        <f>IF($M10="","",IF(ISNUMBER(INDEX(상세표[시작],$M10)),TEXT(INDEX(상세표[시작],$M10),"yyyy-mm-dd hh:mm"),INDEX(상세표[시작],$M10)&amp;""))</f>
        <v/>
      </c>
      <c r="E10">
        <f>IF($M10="","",IF(ISNUMBER(INDEX(상세표[종료],$M10)),TEXT(INDEX(상세표[종료],$M10),"yyyy-mm-dd hh:mm"),INDEX(상세표[종료],$M10)&amp;""))</f>
        <v/>
      </c>
      <c r="F10">
        <f>IF($M10="","",INDEX(상세표[기록 시간외],$M10))</f>
        <v/>
      </c>
      <c r="G10">
        <f>IF($M10="","",INDEX(상세표[시작월 기관],$M10)&amp;"")</f>
        <v/>
      </c>
      <c r="H10">
        <f>IF($M10="","",INDEX(상세표[종료월 기관],$M10)&amp;"")</f>
        <v/>
      </c>
      <c r="I10">
        <f>IF($M10="","",INDEX(상세표[월경계 판정],$M10)&amp;"")</f>
        <v/>
      </c>
      <c r="J10">
        <f>IF($M10="","",INDEX(상세표[반영월],$M10)&amp;"")</f>
        <v/>
      </c>
      <c r="K10">
        <f>IF($M10="","",INDEX(상세표[반영 기관],$M10)&amp;"")</f>
        <v/>
      </c>
      <c r="L10">
        <f>IF($M10="","",INDEX(상세표[기관 출처],$M10)&amp;"")</f>
        <v/>
      </c>
      <c r="M10" s="4">
        <f>IFERROR(MATCH(5,상세표[경계순번],0),"")</f>
        <v/>
      </c>
    </row>
    <row r="11">
      <c r="A11">
        <f>IF($M11="","",INDEX(상세표[사번],$M11)&amp;"")</f>
        <v/>
      </c>
      <c r="B11">
        <f>IF($M11="","",INDEX(상세표[성명],$M11)&amp;"")</f>
        <v/>
      </c>
      <c r="C11">
        <f>IF($M11="","",IF(INDEX(상세표[종료월],$M11)=대상월키,"전월→이번 달","이번 달→익월"))</f>
        <v/>
      </c>
      <c r="D11">
        <f>IF($M11="","",IF(ISNUMBER(INDEX(상세표[시작],$M11)),TEXT(INDEX(상세표[시작],$M11),"yyyy-mm-dd hh:mm"),INDEX(상세표[시작],$M11)&amp;""))</f>
        <v/>
      </c>
      <c r="E11">
        <f>IF($M11="","",IF(ISNUMBER(INDEX(상세표[종료],$M11)),TEXT(INDEX(상세표[종료],$M11),"yyyy-mm-dd hh:mm"),INDEX(상세표[종료],$M11)&amp;""))</f>
        <v/>
      </c>
      <c r="F11">
        <f>IF($M11="","",INDEX(상세표[기록 시간외],$M11))</f>
        <v/>
      </c>
      <c r="G11">
        <f>IF($M11="","",INDEX(상세표[시작월 기관],$M11)&amp;"")</f>
        <v/>
      </c>
      <c r="H11">
        <f>IF($M11="","",INDEX(상세표[종료월 기관],$M11)&amp;"")</f>
        <v/>
      </c>
      <c r="I11">
        <f>IF($M11="","",INDEX(상세표[월경계 판정],$M11)&amp;"")</f>
        <v/>
      </c>
      <c r="J11">
        <f>IF($M11="","",INDEX(상세표[반영월],$M11)&amp;"")</f>
        <v/>
      </c>
      <c r="K11">
        <f>IF($M11="","",INDEX(상세표[반영 기관],$M11)&amp;"")</f>
        <v/>
      </c>
      <c r="L11">
        <f>IF($M11="","",INDEX(상세표[기관 출처],$M11)&amp;"")</f>
        <v/>
      </c>
      <c r="M11" s="4">
        <f>IFERROR(MATCH(6,상세표[경계순번],0),"")</f>
        <v/>
      </c>
    </row>
    <row r="12">
      <c r="A12">
        <f>IF($M12="","",INDEX(상세표[사번],$M12)&amp;"")</f>
        <v/>
      </c>
      <c r="B12">
        <f>IF($M12="","",INDEX(상세표[성명],$M12)&amp;"")</f>
        <v/>
      </c>
      <c r="C12">
        <f>IF($M12="","",IF(INDEX(상세표[종료월],$M12)=대상월키,"전월→이번 달","이번 달→익월"))</f>
        <v/>
      </c>
      <c r="D12">
        <f>IF($M12="","",IF(ISNUMBER(INDEX(상세표[시작],$M12)),TEXT(INDEX(상세표[시작],$M12),"yyyy-mm-dd hh:mm"),INDEX(상세표[시작],$M12)&amp;""))</f>
        <v/>
      </c>
      <c r="E12">
        <f>IF($M12="","",IF(ISNUMBER(INDEX(상세표[종료],$M12)),TEXT(INDEX(상세표[종료],$M12),"yyyy-mm-dd hh:mm"),INDEX(상세표[종료],$M12)&amp;""))</f>
        <v/>
      </c>
      <c r="F12">
        <f>IF($M12="","",INDEX(상세표[기록 시간외],$M12))</f>
        <v/>
      </c>
      <c r="G12">
        <f>IF($M12="","",INDEX(상세표[시작월 기관],$M12)&amp;"")</f>
        <v/>
      </c>
      <c r="H12">
        <f>IF($M12="","",INDEX(상세표[종료월 기관],$M12)&amp;"")</f>
        <v/>
      </c>
      <c r="I12">
        <f>IF($M12="","",INDEX(상세표[월경계 판정],$M12)&amp;"")</f>
        <v/>
      </c>
      <c r="J12">
        <f>IF($M12="","",INDEX(상세표[반영월],$M12)&amp;"")</f>
        <v/>
      </c>
      <c r="K12">
        <f>IF($M12="","",INDEX(상세표[반영 기관],$M12)&amp;"")</f>
        <v/>
      </c>
      <c r="L12">
        <f>IF($M12="","",INDEX(상세표[기관 출처],$M12)&amp;"")</f>
        <v/>
      </c>
      <c r="M12" s="4">
        <f>IFERROR(MATCH(7,상세표[경계순번],0),"")</f>
        <v/>
      </c>
    </row>
    <row r="13">
      <c r="A13">
        <f>IF($M13="","",INDEX(상세표[사번],$M13)&amp;"")</f>
        <v/>
      </c>
      <c r="B13">
        <f>IF($M13="","",INDEX(상세표[성명],$M13)&amp;"")</f>
        <v/>
      </c>
      <c r="C13">
        <f>IF($M13="","",IF(INDEX(상세표[종료월],$M13)=대상월키,"전월→이번 달","이번 달→익월"))</f>
        <v/>
      </c>
      <c r="D13">
        <f>IF($M13="","",IF(ISNUMBER(INDEX(상세표[시작],$M13)),TEXT(INDEX(상세표[시작],$M13),"yyyy-mm-dd hh:mm"),INDEX(상세표[시작],$M13)&amp;""))</f>
        <v/>
      </c>
      <c r="E13">
        <f>IF($M13="","",IF(ISNUMBER(INDEX(상세표[종료],$M13)),TEXT(INDEX(상세표[종료],$M13),"yyyy-mm-dd hh:mm"),INDEX(상세표[종료],$M13)&amp;""))</f>
        <v/>
      </c>
      <c r="F13">
        <f>IF($M13="","",INDEX(상세표[기록 시간외],$M13))</f>
        <v/>
      </c>
      <c r="G13">
        <f>IF($M13="","",INDEX(상세표[시작월 기관],$M13)&amp;"")</f>
        <v/>
      </c>
      <c r="H13">
        <f>IF($M13="","",INDEX(상세표[종료월 기관],$M13)&amp;"")</f>
        <v/>
      </c>
      <c r="I13">
        <f>IF($M13="","",INDEX(상세표[월경계 판정],$M13)&amp;"")</f>
        <v/>
      </c>
      <c r="J13">
        <f>IF($M13="","",INDEX(상세표[반영월],$M13)&amp;"")</f>
        <v/>
      </c>
      <c r="K13">
        <f>IF($M13="","",INDEX(상세표[반영 기관],$M13)&amp;"")</f>
        <v/>
      </c>
      <c r="L13">
        <f>IF($M13="","",INDEX(상세표[기관 출처],$M13)&amp;"")</f>
        <v/>
      </c>
      <c r="M13" s="4">
        <f>IFERROR(MATCH(8,상세표[경계순번],0),"")</f>
        <v/>
      </c>
    </row>
    <row r="14">
      <c r="A14">
        <f>IF($M14="","",INDEX(상세표[사번],$M14)&amp;"")</f>
        <v/>
      </c>
      <c r="B14">
        <f>IF($M14="","",INDEX(상세표[성명],$M14)&amp;"")</f>
        <v/>
      </c>
      <c r="C14">
        <f>IF($M14="","",IF(INDEX(상세표[종료월],$M14)=대상월키,"전월→이번 달","이번 달→익월"))</f>
        <v/>
      </c>
      <c r="D14">
        <f>IF($M14="","",IF(ISNUMBER(INDEX(상세표[시작],$M14)),TEXT(INDEX(상세표[시작],$M14),"yyyy-mm-dd hh:mm"),INDEX(상세표[시작],$M14)&amp;""))</f>
        <v/>
      </c>
      <c r="E14">
        <f>IF($M14="","",IF(ISNUMBER(INDEX(상세표[종료],$M14)),TEXT(INDEX(상세표[종료],$M14),"yyyy-mm-dd hh:mm"),INDEX(상세표[종료],$M14)&amp;""))</f>
        <v/>
      </c>
      <c r="F14">
        <f>IF($M14="","",INDEX(상세표[기록 시간외],$M14))</f>
        <v/>
      </c>
      <c r="G14">
        <f>IF($M14="","",INDEX(상세표[시작월 기관],$M14)&amp;"")</f>
        <v/>
      </c>
      <c r="H14">
        <f>IF($M14="","",INDEX(상세표[종료월 기관],$M14)&amp;"")</f>
        <v/>
      </c>
      <c r="I14">
        <f>IF($M14="","",INDEX(상세표[월경계 판정],$M14)&amp;"")</f>
        <v/>
      </c>
      <c r="J14">
        <f>IF($M14="","",INDEX(상세표[반영월],$M14)&amp;"")</f>
        <v/>
      </c>
      <c r="K14">
        <f>IF($M14="","",INDEX(상세표[반영 기관],$M14)&amp;"")</f>
        <v/>
      </c>
      <c r="L14">
        <f>IF($M14="","",INDEX(상세표[기관 출처],$M14)&amp;"")</f>
        <v/>
      </c>
      <c r="M14" s="4">
        <f>IFERROR(MATCH(9,상세표[경계순번],0),"")</f>
        <v/>
      </c>
    </row>
    <row r="15">
      <c r="A15">
        <f>IF($M15="","",INDEX(상세표[사번],$M15)&amp;"")</f>
        <v/>
      </c>
      <c r="B15">
        <f>IF($M15="","",INDEX(상세표[성명],$M15)&amp;"")</f>
        <v/>
      </c>
      <c r="C15">
        <f>IF($M15="","",IF(INDEX(상세표[종료월],$M15)=대상월키,"전월→이번 달","이번 달→익월"))</f>
        <v/>
      </c>
      <c r="D15">
        <f>IF($M15="","",IF(ISNUMBER(INDEX(상세표[시작],$M15)),TEXT(INDEX(상세표[시작],$M15),"yyyy-mm-dd hh:mm"),INDEX(상세표[시작],$M15)&amp;""))</f>
        <v/>
      </c>
      <c r="E15">
        <f>IF($M15="","",IF(ISNUMBER(INDEX(상세표[종료],$M15)),TEXT(INDEX(상세표[종료],$M15),"yyyy-mm-dd hh:mm"),INDEX(상세표[종료],$M15)&amp;""))</f>
        <v/>
      </c>
      <c r="F15">
        <f>IF($M15="","",INDEX(상세표[기록 시간외],$M15))</f>
        <v/>
      </c>
      <c r="G15">
        <f>IF($M15="","",INDEX(상세표[시작월 기관],$M15)&amp;"")</f>
        <v/>
      </c>
      <c r="H15">
        <f>IF($M15="","",INDEX(상세표[종료월 기관],$M15)&amp;"")</f>
        <v/>
      </c>
      <c r="I15">
        <f>IF($M15="","",INDEX(상세표[월경계 판정],$M15)&amp;"")</f>
        <v/>
      </c>
      <c r="J15">
        <f>IF($M15="","",INDEX(상세표[반영월],$M15)&amp;"")</f>
        <v/>
      </c>
      <c r="K15">
        <f>IF($M15="","",INDEX(상세표[반영 기관],$M15)&amp;"")</f>
        <v/>
      </c>
      <c r="L15">
        <f>IF($M15="","",INDEX(상세표[기관 출처],$M15)&amp;"")</f>
        <v/>
      </c>
      <c r="M15" s="4">
        <f>IFERROR(MATCH(10,상세표[경계순번],0),"")</f>
        <v/>
      </c>
    </row>
    <row r="16">
      <c r="A16">
        <f>IF($M16="","",INDEX(상세표[사번],$M16)&amp;"")</f>
        <v/>
      </c>
      <c r="B16">
        <f>IF($M16="","",INDEX(상세표[성명],$M16)&amp;"")</f>
        <v/>
      </c>
      <c r="C16">
        <f>IF($M16="","",IF(INDEX(상세표[종료월],$M16)=대상월키,"전월→이번 달","이번 달→익월"))</f>
        <v/>
      </c>
      <c r="D16">
        <f>IF($M16="","",IF(ISNUMBER(INDEX(상세표[시작],$M16)),TEXT(INDEX(상세표[시작],$M16),"yyyy-mm-dd hh:mm"),INDEX(상세표[시작],$M16)&amp;""))</f>
        <v/>
      </c>
      <c r="E16">
        <f>IF($M16="","",IF(ISNUMBER(INDEX(상세표[종료],$M16)),TEXT(INDEX(상세표[종료],$M16),"yyyy-mm-dd hh:mm"),INDEX(상세표[종료],$M16)&amp;""))</f>
        <v/>
      </c>
      <c r="F16">
        <f>IF($M16="","",INDEX(상세표[기록 시간외],$M16))</f>
        <v/>
      </c>
      <c r="G16">
        <f>IF($M16="","",INDEX(상세표[시작월 기관],$M16)&amp;"")</f>
        <v/>
      </c>
      <c r="H16">
        <f>IF($M16="","",INDEX(상세표[종료월 기관],$M16)&amp;"")</f>
        <v/>
      </c>
      <c r="I16">
        <f>IF($M16="","",INDEX(상세표[월경계 판정],$M16)&amp;"")</f>
        <v/>
      </c>
      <c r="J16">
        <f>IF($M16="","",INDEX(상세표[반영월],$M16)&amp;"")</f>
        <v/>
      </c>
      <c r="K16">
        <f>IF($M16="","",INDEX(상세표[반영 기관],$M16)&amp;"")</f>
        <v/>
      </c>
      <c r="L16">
        <f>IF($M16="","",INDEX(상세표[기관 출처],$M16)&amp;"")</f>
        <v/>
      </c>
      <c r="M16" s="4">
        <f>IFERROR(MATCH(11,상세표[경계순번],0),"")</f>
        <v/>
      </c>
    </row>
    <row r="17">
      <c r="A17">
        <f>IF($M17="","",INDEX(상세표[사번],$M17)&amp;"")</f>
        <v/>
      </c>
      <c r="B17">
        <f>IF($M17="","",INDEX(상세표[성명],$M17)&amp;"")</f>
        <v/>
      </c>
      <c r="C17">
        <f>IF($M17="","",IF(INDEX(상세표[종료월],$M17)=대상월키,"전월→이번 달","이번 달→익월"))</f>
        <v/>
      </c>
      <c r="D17">
        <f>IF($M17="","",IF(ISNUMBER(INDEX(상세표[시작],$M17)),TEXT(INDEX(상세표[시작],$M17),"yyyy-mm-dd hh:mm"),INDEX(상세표[시작],$M17)&amp;""))</f>
        <v/>
      </c>
      <c r="E17">
        <f>IF($M17="","",IF(ISNUMBER(INDEX(상세표[종료],$M17)),TEXT(INDEX(상세표[종료],$M17),"yyyy-mm-dd hh:mm"),INDEX(상세표[종료],$M17)&amp;""))</f>
        <v/>
      </c>
      <c r="F17">
        <f>IF($M17="","",INDEX(상세표[기록 시간외],$M17))</f>
        <v/>
      </c>
      <c r="G17">
        <f>IF($M17="","",INDEX(상세표[시작월 기관],$M17)&amp;"")</f>
        <v/>
      </c>
      <c r="H17">
        <f>IF($M17="","",INDEX(상세표[종료월 기관],$M17)&amp;"")</f>
        <v/>
      </c>
      <c r="I17">
        <f>IF($M17="","",INDEX(상세표[월경계 판정],$M17)&amp;"")</f>
        <v/>
      </c>
      <c r="J17">
        <f>IF($M17="","",INDEX(상세표[반영월],$M17)&amp;"")</f>
        <v/>
      </c>
      <c r="K17">
        <f>IF($M17="","",INDEX(상세표[반영 기관],$M17)&amp;"")</f>
        <v/>
      </c>
      <c r="L17">
        <f>IF($M17="","",INDEX(상세표[기관 출처],$M17)&amp;"")</f>
        <v/>
      </c>
      <c r="M17" s="4">
        <f>IFERROR(MATCH(12,상세표[경계순번],0),"")</f>
        <v/>
      </c>
    </row>
    <row r="18">
      <c r="A18">
        <f>IF($M18="","",INDEX(상세표[사번],$M18)&amp;"")</f>
        <v/>
      </c>
      <c r="B18">
        <f>IF($M18="","",INDEX(상세표[성명],$M18)&amp;"")</f>
        <v/>
      </c>
      <c r="C18">
        <f>IF($M18="","",IF(INDEX(상세표[종료월],$M18)=대상월키,"전월→이번 달","이번 달→익월"))</f>
        <v/>
      </c>
      <c r="D18">
        <f>IF($M18="","",IF(ISNUMBER(INDEX(상세표[시작],$M18)),TEXT(INDEX(상세표[시작],$M18),"yyyy-mm-dd hh:mm"),INDEX(상세표[시작],$M18)&amp;""))</f>
        <v/>
      </c>
      <c r="E18">
        <f>IF($M18="","",IF(ISNUMBER(INDEX(상세표[종료],$M18)),TEXT(INDEX(상세표[종료],$M18),"yyyy-mm-dd hh:mm"),INDEX(상세표[종료],$M18)&amp;""))</f>
        <v/>
      </c>
      <c r="F18">
        <f>IF($M18="","",INDEX(상세표[기록 시간외],$M18))</f>
        <v/>
      </c>
      <c r="G18">
        <f>IF($M18="","",INDEX(상세표[시작월 기관],$M18)&amp;"")</f>
        <v/>
      </c>
      <c r="H18">
        <f>IF($M18="","",INDEX(상세표[종료월 기관],$M18)&amp;"")</f>
        <v/>
      </c>
      <c r="I18">
        <f>IF($M18="","",INDEX(상세표[월경계 판정],$M18)&amp;"")</f>
        <v/>
      </c>
      <c r="J18">
        <f>IF($M18="","",INDEX(상세표[반영월],$M18)&amp;"")</f>
        <v/>
      </c>
      <c r="K18">
        <f>IF($M18="","",INDEX(상세표[반영 기관],$M18)&amp;"")</f>
        <v/>
      </c>
      <c r="L18">
        <f>IF($M18="","",INDEX(상세표[기관 출처],$M18)&amp;"")</f>
        <v/>
      </c>
      <c r="M18" s="4">
        <f>IFERROR(MATCH(13,상세표[경계순번],0),"")</f>
        <v/>
      </c>
    </row>
    <row r="19">
      <c r="A19">
        <f>IF($M19="","",INDEX(상세표[사번],$M19)&amp;"")</f>
        <v/>
      </c>
      <c r="B19">
        <f>IF($M19="","",INDEX(상세표[성명],$M19)&amp;"")</f>
        <v/>
      </c>
      <c r="C19">
        <f>IF($M19="","",IF(INDEX(상세표[종료월],$M19)=대상월키,"전월→이번 달","이번 달→익월"))</f>
        <v/>
      </c>
      <c r="D19">
        <f>IF($M19="","",IF(ISNUMBER(INDEX(상세표[시작],$M19)),TEXT(INDEX(상세표[시작],$M19),"yyyy-mm-dd hh:mm"),INDEX(상세표[시작],$M19)&amp;""))</f>
        <v/>
      </c>
      <c r="E19">
        <f>IF($M19="","",IF(ISNUMBER(INDEX(상세표[종료],$M19)),TEXT(INDEX(상세표[종료],$M19),"yyyy-mm-dd hh:mm"),INDEX(상세표[종료],$M19)&amp;""))</f>
        <v/>
      </c>
      <c r="F19">
        <f>IF($M19="","",INDEX(상세표[기록 시간외],$M19))</f>
        <v/>
      </c>
      <c r="G19">
        <f>IF($M19="","",INDEX(상세표[시작월 기관],$M19)&amp;"")</f>
        <v/>
      </c>
      <c r="H19">
        <f>IF($M19="","",INDEX(상세표[종료월 기관],$M19)&amp;"")</f>
        <v/>
      </c>
      <c r="I19">
        <f>IF($M19="","",INDEX(상세표[월경계 판정],$M19)&amp;"")</f>
        <v/>
      </c>
      <c r="J19">
        <f>IF($M19="","",INDEX(상세표[반영월],$M19)&amp;"")</f>
        <v/>
      </c>
      <c r="K19">
        <f>IF($M19="","",INDEX(상세표[반영 기관],$M19)&amp;"")</f>
        <v/>
      </c>
      <c r="L19">
        <f>IF($M19="","",INDEX(상세표[기관 출처],$M19)&amp;"")</f>
        <v/>
      </c>
      <c r="M19" s="4">
        <f>IFERROR(MATCH(14,상세표[경계순번],0),"")</f>
        <v/>
      </c>
    </row>
    <row r="20">
      <c r="A20">
        <f>IF($M20="","",INDEX(상세표[사번],$M20)&amp;"")</f>
        <v/>
      </c>
      <c r="B20">
        <f>IF($M20="","",INDEX(상세표[성명],$M20)&amp;"")</f>
        <v/>
      </c>
      <c r="C20">
        <f>IF($M20="","",IF(INDEX(상세표[종료월],$M20)=대상월키,"전월→이번 달","이번 달→익월"))</f>
        <v/>
      </c>
      <c r="D20">
        <f>IF($M20="","",IF(ISNUMBER(INDEX(상세표[시작],$M20)),TEXT(INDEX(상세표[시작],$M20),"yyyy-mm-dd hh:mm"),INDEX(상세표[시작],$M20)&amp;""))</f>
        <v/>
      </c>
      <c r="E20">
        <f>IF($M20="","",IF(ISNUMBER(INDEX(상세표[종료],$M20)),TEXT(INDEX(상세표[종료],$M20),"yyyy-mm-dd hh:mm"),INDEX(상세표[종료],$M20)&amp;""))</f>
        <v/>
      </c>
      <c r="F20">
        <f>IF($M20="","",INDEX(상세표[기록 시간외],$M20))</f>
        <v/>
      </c>
      <c r="G20">
        <f>IF($M20="","",INDEX(상세표[시작월 기관],$M20)&amp;"")</f>
        <v/>
      </c>
      <c r="H20">
        <f>IF($M20="","",INDEX(상세표[종료월 기관],$M20)&amp;"")</f>
        <v/>
      </c>
      <c r="I20">
        <f>IF($M20="","",INDEX(상세표[월경계 판정],$M20)&amp;"")</f>
        <v/>
      </c>
      <c r="J20">
        <f>IF($M20="","",INDEX(상세표[반영월],$M20)&amp;"")</f>
        <v/>
      </c>
      <c r="K20">
        <f>IF($M20="","",INDEX(상세표[반영 기관],$M20)&amp;"")</f>
        <v/>
      </c>
      <c r="L20">
        <f>IF($M20="","",INDEX(상세표[기관 출처],$M20)&amp;"")</f>
        <v/>
      </c>
      <c r="M20" s="4">
        <f>IFERROR(MATCH(15,상세표[경계순번],0),"")</f>
        <v/>
      </c>
    </row>
    <row r="21">
      <c r="A21">
        <f>IF($M21="","",INDEX(상세표[사번],$M21)&amp;"")</f>
        <v/>
      </c>
      <c r="B21">
        <f>IF($M21="","",INDEX(상세표[성명],$M21)&amp;"")</f>
        <v/>
      </c>
      <c r="C21">
        <f>IF($M21="","",IF(INDEX(상세표[종료월],$M21)=대상월키,"전월→이번 달","이번 달→익월"))</f>
        <v/>
      </c>
      <c r="D21">
        <f>IF($M21="","",IF(ISNUMBER(INDEX(상세표[시작],$M21)),TEXT(INDEX(상세표[시작],$M21),"yyyy-mm-dd hh:mm"),INDEX(상세표[시작],$M21)&amp;""))</f>
        <v/>
      </c>
      <c r="E21">
        <f>IF($M21="","",IF(ISNUMBER(INDEX(상세표[종료],$M21)),TEXT(INDEX(상세표[종료],$M21),"yyyy-mm-dd hh:mm"),INDEX(상세표[종료],$M21)&amp;""))</f>
        <v/>
      </c>
      <c r="F21">
        <f>IF($M21="","",INDEX(상세표[기록 시간외],$M21))</f>
        <v/>
      </c>
      <c r="G21">
        <f>IF($M21="","",INDEX(상세표[시작월 기관],$M21)&amp;"")</f>
        <v/>
      </c>
      <c r="H21">
        <f>IF($M21="","",INDEX(상세표[종료월 기관],$M21)&amp;"")</f>
        <v/>
      </c>
      <c r="I21">
        <f>IF($M21="","",INDEX(상세표[월경계 판정],$M21)&amp;"")</f>
        <v/>
      </c>
      <c r="J21">
        <f>IF($M21="","",INDEX(상세표[반영월],$M21)&amp;"")</f>
        <v/>
      </c>
      <c r="K21">
        <f>IF($M21="","",INDEX(상세표[반영 기관],$M21)&amp;"")</f>
        <v/>
      </c>
      <c r="L21">
        <f>IF($M21="","",INDEX(상세표[기관 출처],$M21)&amp;"")</f>
        <v/>
      </c>
      <c r="M21" s="4">
        <f>IFERROR(MATCH(16,상세표[경계순번],0),"")</f>
        <v/>
      </c>
    </row>
    <row r="22">
      <c r="A22">
        <f>IF($M22="","",INDEX(상세표[사번],$M22)&amp;"")</f>
        <v/>
      </c>
      <c r="B22">
        <f>IF($M22="","",INDEX(상세표[성명],$M22)&amp;"")</f>
        <v/>
      </c>
      <c r="C22">
        <f>IF($M22="","",IF(INDEX(상세표[종료월],$M22)=대상월키,"전월→이번 달","이번 달→익월"))</f>
        <v/>
      </c>
      <c r="D22">
        <f>IF($M22="","",IF(ISNUMBER(INDEX(상세표[시작],$M22)),TEXT(INDEX(상세표[시작],$M22),"yyyy-mm-dd hh:mm"),INDEX(상세표[시작],$M22)&amp;""))</f>
        <v/>
      </c>
      <c r="E22">
        <f>IF($M22="","",IF(ISNUMBER(INDEX(상세표[종료],$M22)),TEXT(INDEX(상세표[종료],$M22),"yyyy-mm-dd hh:mm"),INDEX(상세표[종료],$M22)&amp;""))</f>
        <v/>
      </c>
      <c r="F22">
        <f>IF($M22="","",INDEX(상세표[기록 시간외],$M22))</f>
        <v/>
      </c>
      <c r="G22">
        <f>IF($M22="","",INDEX(상세표[시작월 기관],$M22)&amp;"")</f>
        <v/>
      </c>
      <c r="H22">
        <f>IF($M22="","",INDEX(상세표[종료월 기관],$M22)&amp;"")</f>
        <v/>
      </c>
      <c r="I22">
        <f>IF($M22="","",INDEX(상세표[월경계 판정],$M22)&amp;"")</f>
        <v/>
      </c>
      <c r="J22">
        <f>IF($M22="","",INDEX(상세표[반영월],$M22)&amp;"")</f>
        <v/>
      </c>
      <c r="K22">
        <f>IF($M22="","",INDEX(상세표[반영 기관],$M22)&amp;"")</f>
        <v/>
      </c>
      <c r="L22">
        <f>IF($M22="","",INDEX(상세표[기관 출처],$M22)&amp;"")</f>
        <v/>
      </c>
      <c r="M22" s="4">
        <f>IFERROR(MATCH(17,상세표[경계순번],0),"")</f>
        <v/>
      </c>
    </row>
    <row r="23">
      <c r="A23">
        <f>IF($M23="","",INDEX(상세표[사번],$M23)&amp;"")</f>
        <v/>
      </c>
      <c r="B23">
        <f>IF($M23="","",INDEX(상세표[성명],$M23)&amp;"")</f>
        <v/>
      </c>
      <c r="C23">
        <f>IF($M23="","",IF(INDEX(상세표[종료월],$M23)=대상월키,"전월→이번 달","이번 달→익월"))</f>
        <v/>
      </c>
      <c r="D23">
        <f>IF($M23="","",IF(ISNUMBER(INDEX(상세표[시작],$M23)),TEXT(INDEX(상세표[시작],$M23),"yyyy-mm-dd hh:mm"),INDEX(상세표[시작],$M23)&amp;""))</f>
        <v/>
      </c>
      <c r="E23">
        <f>IF($M23="","",IF(ISNUMBER(INDEX(상세표[종료],$M23)),TEXT(INDEX(상세표[종료],$M23),"yyyy-mm-dd hh:mm"),INDEX(상세표[종료],$M23)&amp;""))</f>
        <v/>
      </c>
      <c r="F23">
        <f>IF($M23="","",INDEX(상세표[기록 시간외],$M23))</f>
        <v/>
      </c>
      <c r="G23">
        <f>IF($M23="","",INDEX(상세표[시작월 기관],$M23)&amp;"")</f>
        <v/>
      </c>
      <c r="H23">
        <f>IF($M23="","",INDEX(상세표[종료월 기관],$M23)&amp;"")</f>
        <v/>
      </c>
      <c r="I23">
        <f>IF($M23="","",INDEX(상세표[월경계 판정],$M23)&amp;"")</f>
        <v/>
      </c>
      <c r="J23">
        <f>IF($M23="","",INDEX(상세표[반영월],$M23)&amp;"")</f>
        <v/>
      </c>
      <c r="K23">
        <f>IF($M23="","",INDEX(상세표[반영 기관],$M23)&amp;"")</f>
        <v/>
      </c>
      <c r="L23">
        <f>IF($M23="","",INDEX(상세표[기관 출처],$M23)&amp;"")</f>
        <v/>
      </c>
      <c r="M23" s="4">
        <f>IFERROR(MATCH(18,상세표[경계순번],0),"")</f>
        <v/>
      </c>
    </row>
    <row r="24">
      <c r="A24">
        <f>IF($M24="","",INDEX(상세표[사번],$M24)&amp;"")</f>
        <v/>
      </c>
      <c r="B24">
        <f>IF($M24="","",INDEX(상세표[성명],$M24)&amp;"")</f>
        <v/>
      </c>
      <c r="C24">
        <f>IF($M24="","",IF(INDEX(상세표[종료월],$M24)=대상월키,"전월→이번 달","이번 달→익월"))</f>
        <v/>
      </c>
      <c r="D24">
        <f>IF($M24="","",IF(ISNUMBER(INDEX(상세표[시작],$M24)),TEXT(INDEX(상세표[시작],$M24),"yyyy-mm-dd hh:mm"),INDEX(상세표[시작],$M24)&amp;""))</f>
        <v/>
      </c>
      <c r="E24">
        <f>IF($M24="","",IF(ISNUMBER(INDEX(상세표[종료],$M24)),TEXT(INDEX(상세표[종료],$M24),"yyyy-mm-dd hh:mm"),INDEX(상세표[종료],$M24)&amp;""))</f>
        <v/>
      </c>
      <c r="F24">
        <f>IF($M24="","",INDEX(상세표[기록 시간외],$M24))</f>
        <v/>
      </c>
      <c r="G24">
        <f>IF($M24="","",INDEX(상세표[시작월 기관],$M24)&amp;"")</f>
        <v/>
      </c>
      <c r="H24">
        <f>IF($M24="","",INDEX(상세표[종료월 기관],$M24)&amp;"")</f>
        <v/>
      </c>
      <c r="I24">
        <f>IF($M24="","",INDEX(상세표[월경계 판정],$M24)&amp;"")</f>
        <v/>
      </c>
      <c r="J24">
        <f>IF($M24="","",INDEX(상세표[반영월],$M24)&amp;"")</f>
        <v/>
      </c>
      <c r="K24">
        <f>IF($M24="","",INDEX(상세표[반영 기관],$M24)&amp;"")</f>
        <v/>
      </c>
      <c r="L24">
        <f>IF($M24="","",INDEX(상세표[기관 출처],$M24)&amp;"")</f>
        <v/>
      </c>
      <c r="M24" s="4">
        <f>IFERROR(MATCH(19,상세표[경계순번],0),"")</f>
        <v/>
      </c>
    </row>
    <row r="25">
      <c r="A25">
        <f>IF($M25="","",INDEX(상세표[사번],$M25)&amp;"")</f>
        <v/>
      </c>
      <c r="B25">
        <f>IF($M25="","",INDEX(상세표[성명],$M25)&amp;"")</f>
        <v/>
      </c>
      <c r="C25">
        <f>IF($M25="","",IF(INDEX(상세표[종료월],$M25)=대상월키,"전월→이번 달","이번 달→익월"))</f>
        <v/>
      </c>
      <c r="D25">
        <f>IF($M25="","",IF(ISNUMBER(INDEX(상세표[시작],$M25)),TEXT(INDEX(상세표[시작],$M25),"yyyy-mm-dd hh:mm"),INDEX(상세표[시작],$M25)&amp;""))</f>
        <v/>
      </c>
      <c r="E25">
        <f>IF($M25="","",IF(ISNUMBER(INDEX(상세표[종료],$M25)),TEXT(INDEX(상세표[종료],$M25),"yyyy-mm-dd hh:mm"),INDEX(상세표[종료],$M25)&amp;""))</f>
        <v/>
      </c>
      <c r="F25">
        <f>IF($M25="","",INDEX(상세표[기록 시간외],$M25))</f>
        <v/>
      </c>
      <c r="G25">
        <f>IF($M25="","",INDEX(상세표[시작월 기관],$M25)&amp;"")</f>
        <v/>
      </c>
      <c r="H25">
        <f>IF($M25="","",INDEX(상세표[종료월 기관],$M25)&amp;"")</f>
        <v/>
      </c>
      <c r="I25">
        <f>IF($M25="","",INDEX(상세표[월경계 판정],$M25)&amp;"")</f>
        <v/>
      </c>
      <c r="J25">
        <f>IF($M25="","",INDEX(상세표[반영월],$M25)&amp;"")</f>
        <v/>
      </c>
      <c r="K25">
        <f>IF($M25="","",INDEX(상세표[반영 기관],$M25)&amp;"")</f>
        <v/>
      </c>
      <c r="L25">
        <f>IF($M25="","",INDEX(상세표[기관 출처],$M25)&amp;"")</f>
        <v/>
      </c>
      <c r="M25" s="4">
        <f>IFERROR(MATCH(20,상세표[경계순번],0),"")</f>
        <v/>
      </c>
    </row>
    <row r="26">
      <c r="A26">
        <f>IF($M26="","",INDEX(상세표[사번],$M26)&amp;"")</f>
        <v/>
      </c>
      <c r="B26">
        <f>IF($M26="","",INDEX(상세표[성명],$M26)&amp;"")</f>
        <v/>
      </c>
      <c r="C26">
        <f>IF($M26="","",IF(INDEX(상세표[종료월],$M26)=대상월키,"전월→이번 달","이번 달→익월"))</f>
        <v/>
      </c>
      <c r="D26">
        <f>IF($M26="","",IF(ISNUMBER(INDEX(상세표[시작],$M26)),TEXT(INDEX(상세표[시작],$M26),"yyyy-mm-dd hh:mm"),INDEX(상세표[시작],$M26)&amp;""))</f>
        <v/>
      </c>
      <c r="E26">
        <f>IF($M26="","",IF(ISNUMBER(INDEX(상세표[종료],$M26)),TEXT(INDEX(상세표[종료],$M26),"yyyy-mm-dd hh:mm"),INDEX(상세표[종료],$M26)&amp;""))</f>
        <v/>
      </c>
      <c r="F26">
        <f>IF($M26="","",INDEX(상세표[기록 시간외],$M26))</f>
        <v/>
      </c>
      <c r="G26">
        <f>IF($M26="","",INDEX(상세표[시작월 기관],$M26)&amp;"")</f>
        <v/>
      </c>
      <c r="H26">
        <f>IF($M26="","",INDEX(상세표[종료월 기관],$M26)&amp;"")</f>
        <v/>
      </c>
      <c r="I26">
        <f>IF($M26="","",INDEX(상세표[월경계 판정],$M26)&amp;"")</f>
        <v/>
      </c>
      <c r="J26">
        <f>IF($M26="","",INDEX(상세표[반영월],$M26)&amp;"")</f>
        <v/>
      </c>
      <c r="K26">
        <f>IF($M26="","",INDEX(상세표[반영 기관],$M26)&amp;"")</f>
        <v/>
      </c>
      <c r="L26">
        <f>IF($M26="","",INDEX(상세표[기관 출처],$M26)&amp;"")</f>
        <v/>
      </c>
      <c r="M26" s="4">
        <f>IFERROR(MATCH(21,상세표[경계순번],0),"")</f>
        <v/>
      </c>
    </row>
    <row r="27">
      <c r="A27">
        <f>IF($M27="","",INDEX(상세표[사번],$M27)&amp;"")</f>
        <v/>
      </c>
      <c r="B27">
        <f>IF($M27="","",INDEX(상세표[성명],$M27)&amp;"")</f>
        <v/>
      </c>
      <c r="C27">
        <f>IF($M27="","",IF(INDEX(상세표[종료월],$M27)=대상월키,"전월→이번 달","이번 달→익월"))</f>
        <v/>
      </c>
      <c r="D27">
        <f>IF($M27="","",IF(ISNUMBER(INDEX(상세표[시작],$M27)),TEXT(INDEX(상세표[시작],$M27),"yyyy-mm-dd hh:mm"),INDEX(상세표[시작],$M27)&amp;""))</f>
        <v/>
      </c>
      <c r="E27">
        <f>IF($M27="","",IF(ISNUMBER(INDEX(상세표[종료],$M27)),TEXT(INDEX(상세표[종료],$M27),"yyyy-mm-dd hh:mm"),INDEX(상세표[종료],$M27)&amp;""))</f>
        <v/>
      </c>
      <c r="F27">
        <f>IF($M27="","",INDEX(상세표[기록 시간외],$M27))</f>
        <v/>
      </c>
      <c r="G27">
        <f>IF($M27="","",INDEX(상세표[시작월 기관],$M27)&amp;"")</f>
        <v/>
      </c>
      <c r="H27">
        <f>IF($M27="","",INDEX(상세표[종료월 기관],$M27)&amp;"")</f>
        <v/>
      </c>
      <c r="I27">
        <f>IF($M27="","",INDEX(상세표[월경계 판정],$M27)&amp;"")</f>
        <v/>
      </c>
      <c r="J27">
        <f>IF($M27="","",INDEX(상세표[반영월],$M27)&amp;"")</f>
        <v/>
      </c>
      <c r="K27">
        <f>IF($M27="","",INDEX(상세표[반영 기관],$M27)&amp;"")</f>
        <v/>
      </c>
      <c r="L27">
        <f>IF($M27="","",INDEX(상세표[기관 출처],$M27)&amp;"")</f>
        <v/>
      </c>
      <c r="M27" s="4">
        <f>IFERROR(MATCH(22,상세표[경계순번],0),"")</f>
        <v/>
      </c>
    </row>
    <row r="28">
      <c r="A28">
        <f>IF($M28="","",INDEX(상세표[사번],$M28)&amp;"")</f>
        <v/>
      </c>
      <c r="B28">
        <f>IF($M28="","",INDEX(상세표[성명],$M28)&amp;"")</f>
        <v/>
      </c>
      <c r="C28">
        <f>IF($M28="","",IF(INDEX(상세표[종료월],$M28)=대상월키,"전월→이번 달","이번 달→익월"))</f>
        <v/>
      </c>
      <c r="D28">
        <f>IF($M28="","",IF(ISNUMBER(INDEX(상세표[시작],$M28)),TEXT(INDEX(상세표[시작],$M28),"yyyy-mm-dd hh:mm"),INDEX(상세표[시작],$M28)&amp;""))</f>
        <v/>
      </c>
      <c r="E28">
        <f>IF($M28="","",IF(ISNUMBER(INDEX(상세표[종료],$M28)),TEXT(INDEX(상세표[종료],$M28),"yyyy-mm-dd hh:mm"),INDEX(상세표[종료],$M28)&amp;""))</f>
        <v/>
      </c>
      <c r="F28">
        <f>IF($M28="","",INDEX(상세표[기록 시간외],$M28))</f>
        <v/>
      </c>
      <c r="G28">
        <f>IF($M28="","",INDEX(상세표[시작월 기관],$M28)&amp;"")</f>
        <v/>
      </c>
      <c r="H28">
        <f>IF($M28="","",INDEX(상세표[종료월 기관],$M28)&amp;"")</f>
        <v/>
      </c>
      <c r="I28">
        <f>IF($M28="","",INDEX(상세표[월경계 판정],$M28)&amp;"")</f>
        <v/>
      </c>
      <c r="J28">
        <f>IF($M28="","",INDEX(상세표[반영월],$M28)&amp;"")</f>
        <v/>
      </c>
      <c r="K28">
        <f>IF($M28="","",INDEX(상세표[반영 기관],$M28)&amp;"")</f>
        <v/>
      </c>
      <c r="L28">
        <f>IF($M28="","",INDEX(상세표[기관 출처],$M28)&amp;"")</f>
        <v/>
      </c>
      <c r="M28" s="4">
        <f>IFERROR(MATCH(23,상세표[경계순번],0),"")</f>
        <v/>
      </c>
    </row>
    <row r="29">
      <c r="A29">
        <f>IF($M29="","",INDEX(상세표[사번],$M29)&amp;"")</f>
        <v/>
      </c>
      <c r="B29">
        <f>IF($M29="","",INDEX(상세표[성명],$M29)&amp;"")</f>
        <v/>
      </c>
      <c r="C29">
        <f>IF($M29="","",IF(INDEX(상세표[종료월],$M29)=대상월키,"전월→이번 달","이번 달→익월"))</f>
        <v/>
      </c>
      <c r="D29">
        <f>IF($M29="","",IF(ISNUMBER(INDEX(상세표[시작],$M29)),TEXT(INDEX(상세표[시작],$M29),"yyyy-mm-dd hh:mm"),INDEX(상세표[시작],$M29)&amp;""))</f>
        <v/>
      </c>
      <c r="E29">
        <f>IF($M29="","",IF(ISNUMBER(INDEX(상세표[종료],$M29)),TEXT(INDEX(상세표[종료],$M29),"yyyy-mm-dd hh:mm"),INDEX(상세표[종료],$M29)&amp;""))</f>
        <v/>
      </c>
      <c r="F29">
        <f>IF($M29="","",INDEX(상세표[기록 시간외],$M29))</f>
        <v/>
      </c>
      <c r="G29">
        <f>IF($M29="","",INDEX(상세표[시작월 기관],$M29)&amp;"")</f>
        <v/>
      </c>
      <c r="H29">
        <f>IF($M29="","",INDEX(상세표[종료월 기관],$M29)&amp;"")</f>
        <v/>
      </c>
      <c r="I29">
        <f>IF($M29="","",INDEX(상세표[월경계 판정],$M29)&amp;"")</f>
        <v/>
      </c>
      <c r="J29">
        <f>IF($M29="","",INDEX(상세표[반영월],$M29)&amp;"")</f>
        <v/>
      </c>
      <c r="K29">
        <f>IF($M29="","",INDEX(상세표[반영 기관],$M29)&amp;"")</f>
        <v/>
      </c>
      <c r="L29">
        <f>IF($M29="","",INDEX(상세표[기관 출처],$M29)&amp;"")</f>
        <v/>
      </c>
      <c r="M29" s="4">
        <f>IFERROR(MATCH(24,상세표[경계순번],0),"")</f>
        <v/>
      </c>
    </row>
    <row r="30">
      <c r="A30">
        <f>IF($M30="","",INDEX(상세표[사번],$M30)&amp;"")</f>
        <v/>
      </c>
      <c r="B30">
        <f>IF($M30="","",INDEX(상세표[성명],$M30)&amp;"")</f>
        <v/>
      </c>
      <c r="C30">
        <f>IF($M30="","",IF(INDEX(상세표[종료월],$M30)=대상월키,"전월→이번 달","이번 달→익월"))</f>
        <v/>
      </c>
      <c r="D30">
        <f>IF($M30="","",IF(ISNUMBER(INDEX(상세표[시작],$M30)),TEXT(INDEX(상세표[시작],$M30),"yyyy-mm-dd hh:mm"),INDEX(상세표[시작],$M30)&amp;""))</f>
        <v/>
      </c>
      <c r="E30">
        <f>IF($M30="","",IF(ISNUMBER(INDEX(상세표[종료],$M30)),TEXT(INDEX(상세표[종료],$M30),"yyyy-mm-dd hh:mm"),INDEX(상세표[종료],$M30)&amp;""))</f>
        <v/>
      </c>
      <c r="F30">
        <f>IF($M30="","",INDEX(상세표[기록 시간외],$M30))</f>
        <v/>
      </c>
      <c r="G30">
        <f>IF($M30="","",INDEX(상세표[시작월 기관],$M30)&amp;"")</f>
        <v/>
      </c>
      <c r="H30">
        <f>IF($M30="","",INDEX(상세표[종료월 기관],$M30)&amp;"")</f>
        <v/>
      </c>
      <c r="I30">
        <f>IF($M30="","",INDEX(상세표[월경계 판정],$M30)&amp;"")</f>
        <v/>
      </c>
      <c r="J30">
        <f>IF($M30="","",INDEX(상세표[반영월],$M30)&amp;"")</f>
        <v/>
      </c>
      <c r="K30">
        <f>IF($M30="","",INDEX(상세표[반영 기관],$M30)&amp;"")</f>
        <v/>
      </c>
      <c r="L30">
        <f>IF($M30="","",INDEX(상세표[기관 출처],$M30)&amp;"")</f>
        <v/>
      </c>
      <c r="M30" s="4">
        <f>IFERROR(MATCH(25,상세표[경계순번],0),"")</f>
        <v/>
      </c>
    </row>
    <row r="31">
      <c r="A31">
        <f>IF($M31="","",INDEX(상세표[사번],$M31)&amp;"")</f>
        <v/>
      </c>
      <c r="B31">
        <f>IF($M31="","",INDEX(상세표[성명],$M31)&amp;"")</f>
        <v/>
      </c>
      <c r="C31">
        <f>IF($M31="","",IF(INDEX(상세표[종료월],$M31)=대상월키,"전월→이번 달","이번 달→익월"))</f>
        <v/>
      </c>
      <c r="D31">
        <f>IF($M31="","",IF(ISNUMBER(INDEX(상세표[시작],$M31)),TEXT(INDEX(상세표[시작],$M31),"yyyy-mm-dd hh:mm"),INDEX(상세표[시작],$M31)&amp;""))</f>
        <v/>
      </c>
      <c r="E31">
        <f>IF($M31="","",IF(ISNUMBER(INDEX(상세표[종료],$M31)),TEXT(INDEX(상세표[종료],$M31),"yyyy-mm-dd hh:mm"),INDEX(상세표[종료],$M31)&amp;""))</f>
        <v/>
      </c>
      <c r="F31">
        <f>IF($M31="","",INDEX(상세표[기록 시간외],$M31))</f>
        <v/>
      </c>
      <c r="G31">
        <f>IF($M31="","",INDEX(상세표[시작월 기관],$M31)&amp;"")</f>
        <v/>
      </c>
      <c r="H31">
        <f>IF($M31="","",INDEX(상세표[종료월 기관],$M31)&amp;"")</f>
        <v/>
      </c>
      <c r="I31">
        <f>IF($M31="","",INDEX(상세표[월경계 판정],$M31)&amp;"")</f>
        <v/>
      </c>
      <c r="J31">
        <f>IF($M31="","",INDEX(상세표[반영월],$M31)&amp;"")</f>
        <v/>
      </c>
      <c r="K31">
        <f>IF($M31="","",INDEX(상세표[반영 기관],$M31)&amp;"")</f>
        <v/>
      </c>
      <c r="L31">
        <f>IF($M31="","",INDEX(상세표[기관 출처],$M31)&amp;"")</f>
        <v/>
      </c>
      <c r="M31" s="4">
        <f>IFERROR(MATCH(26,상세표[경계순번],0),"")</f>
        <v/>
      </c>
    </row>
    <row r="32">
      <c r="A32">
        <f>IF($M32="","",INDEX(상세표[사번],$M32)&amp;"")</f>
        <v/>
      </c>
      <c r="B32">
        <f>IF($M32="","",INDEX(상세표[성명],$M32)&amp;"")</f>
        <v/>
      </c>
      <c r="C32">
        <f>IF($M32="","",IF(INDEX(상세표[종료월],$M32)=대상월키,"전월→이번 달","이번 달→익월"))</f>
        <v/>
      </c>
      <c r="D32">
        <f>IF($M32="","",IF(ISNUMBER(INDEX(상세표[시작],$M32)),TEXT(INDEX(상세표[시작],$M32),"yyyy-mm-dd hh:mm"),INDEX(상세표[시작],$M32)&amp;""))</f>
        <v/>
      </c>
      <c r="E32">
        <f>IF($M32="","",IF(ISNUMBER(INDEX(상세표[종료],$M32)),TEXT(INDEX(상세표[종료],$M32),"yyyy-mm-dd hh:mm"),INDEX(상세표[종료],$M32)&amp;""))</f>
        <v/>
      </c>
      <c r="F32">
        <f>IF($M32="","",INDEX(상세표[기록 시간외],$M32))</f>
        <v/>
      </c>
      <c r="G32">
        <f>IF($M32="","",INDEX(상세표[시작월 기관],$M32)&amp;"")</f>
        <v/>
      </c>
      <c r="H32">
        <f>IF($M32="","",INDEX(상세표[종료월 기관],$M32)&amp;"")</f>
        <v/>
      </c>
      <c r="I32">
        <f>IF($M32="","",INDEX(상세표[월경계 판정],$M32)&amp;"")</f>
        <v/>
      </c>
      <c r="J32">
        <f>IF($M32="","",INDEX(상세표[반영월],$M32)&amp;"")</f>
        <v/>
      </c>
      <c r="K32">
        <f>IF($M32="","",INDEX(상세표[반영 기관],$M32)&amp;"")</f>
        <v/>
      </c>
      <c r="L32">
        <f>IF($M32="","",INDEX(상세표[기관 출처],$M32)&amp;"")</f>
        <v/>
      </c>
      <c r="M32" s="4">
        <f>IFERROR(MATCH(27,상세표[경계순번],0),"")</f>
        <v/>
      </c>
    </row>
    <row r="33">
      <c r="A33">
        <f>IF($M33="","",INDEX(상세표[사번],$M33)&amp;"")</f>
        <v/>
      </c>
      <c r="B33">
        <f>IF($M33="","",INDEX(상세표[성명],$M33)&amp;"")</f>
        <v/>
      </c>
      <c r="C33">
        <f>IF($M33="","",IF(INDEX(상세표[종료월],$M33)=대상월키,"전월→이번 달","이번 달→익월"))</f>
        <v/>
      </c>
      <c r="D33">
        <f>IF($M33="","",IF(ISNUMBER(INDEX(상세표[시작],$M33)),TEXT(INDEX(상세표[시작],$M33),"yyyy-mm-dd hh:mm"),INDEX(상세표[시작],$M33)&amp;""))</f>
        <v/>
      </c>
      <c r="E33">
        <f>IF($M33="","",IF(ISNUMBER(INDEX(상세표[종료],$M33)),TEXT(INDEX(상세표[종료],$M33),"yyyy-mm-dd hh:mm"),INDEX(상세표[종료],$M33)&amp;""))</f>
        <v/>
      </c>
      <c r="F33">
        <f>IF($M33="","",INDEX(상세표[기록 시간외],$M33))</f>
        <v/>
      </c>
      <c r="G33">
        <f>IF($M33="","",INDEX(상세표[시작월 기관],$M33)&amp;"")</f>
        <v/>
      </c>
      <c r="H33">
        <f>IF($M33="","",INDEX(상세표[종료월 기관],$M33)&amp;"")</f>
        <v/>
      </c>
      <c r="I33">
        <f>IF($M33="","",INDEX(상세표[월경계 판정],$M33)&amp;"")</f>
        <v/>
      </c>
      <c r="J33">
        <f>IF($M33="","",INDEX(상세표[반영월],$M33)&amp;"")</f>
        <v/>
      </c>
      <c r="K33">
        <f>IF($M33="","",INDEX(상세표[반영 기관],$M33)&amp;"")</f>
        <v/>
      </c>
      <c r="L33">
        <f>IF($M33="","",INDEX(상세표[기관 출처],$M33)&amp;"")</f>
        <v/>
      </c>
      <c r="M33" s="4">
        <f>IFERROR(MATCH(28,상세표[경계순번],0),"")</f>
        <v/>
      </c>
    </row>
    <row r="34">
      <c r="A34">
        <f>IF($M34="","",INDEX(상세표[사번],$M34)&amp;"")</f>
        <v/>
      </c>
      <c r="B34">
        <f>IF($M34="","",INDEX(상세표[성명],$M34)&amp;"")</f>
        <v/>
      </c>
      <c r="C34">
        <f>IF($M34="","",IF(INDEX(상세표[종료월],$M34)=대상월키,"전월→이번 달","이번 달→익월"))</f>
        <v/>
      </c>
      <c r="D34">
        <f>IF($M34="","",IF(ISNUMBER(INDEX(상세표[시작],$M34)),TEXT(INDEX(상세표[시작],$M34),"yyyy-mm-dd hh:mm"),INDEX(상세표[시작],$M34)&amp;""))</f>
        <v/>
      </c>
      <c r="E34">
        <f>IF($M34="","",IF(ISNUMBER(INDEX(상세표[종료],$M34)),TEXT(INDEX(상세표[종료],$M34),"yyyy-mm-dd hh:mm"),INDEX(상세표[종료],$M34)&amp;""))</f>
        <v/>
      </c>
      <c r="F34">
        <f>IF($M34="","",INDEX(상세표[기록 시간외],$M34))</f>
        <v/>
      </c>
      <c r="G34">
        <f>IF($M34="","",INDEX(상세표[시작월 기관],$M34)&amp;"")</f>
        <v/>
      </c>
      <c r="H34">
        <f>IF($M34="","",INDEX(상세표[종료월 기관],$M34)&amp;"")</f>
        <v/>
      </c>
      <c r="I34">
        <f>IF($M34="","",INDEX(상세표[월경계 판정],$M34)&amp;"")</f>
        <v/>
      </c>
      <c r="J34">
        <f>IF($M34="","",INDEX(상세표[반영월],$M34)&amp;"")</f>
        <v/>
      </c>
      <c r="K34">
        <f>IF($M34="","",INDEX(상세표[반영 기관],$M34)&amp;"")</f>
        <v/>
      </c>
      <c r="L34">
        <f>IF($M34="","",INDEX(상세표[기관 출처],$M34)&amp;"")</f>
        <v/>
      </c>
      <c r="M34" s="4">
        <f>IFERROR(MATCH(29,상세표[경계순번],0),"")</f>
        <v/>
      </c>
    </row>
    <row r="35">
      <c r="A35">
        <f>IF($M35="","",INDEX(상세표[사번],$M35)&amp;"")</f>
        <v/>
      </c>
      <c r="B35">
        <f>IF($M35="","",INDEX(상세표[성명],$M35)&amp;"")</f>
        <v/>
      </c>
      <c r="C35">
        <f>IF($M35="","",IF(INDEX(상세표[종료월],$M35)=대상월키,"전월→이번 달","이번 달→익월"))</f>
        <v/>
      </c>
      <c r="D35">
        <f>IF($M35="","",IF(ISNUMBER(INDEX(상세표[시작],$M35)),TEXT(INDEX(상세표[시작],$M35),"yyyy-mm-dd hh:mm"),INDEX(상세표[시작],$M35)&amp;""))</f>
        <v/>
      </c>
      <c r="E35">
        <f>IF($M35="","",IF(ISNUMBER(INDEX(상세표[종료],$M35)),TEXT(INDEX(상세표[종료],$M35),"yyyy-mm-dd hh:mm"),INDEX(상세표[종료],$M35)&amp;""))</f>
        <v/>
      </c>
      <c r="F35">
        <f>IF($M35="","",INDEX(상세표[기록 시간외],$M35))</f>
        <v/>
      </c>
      <c r="G35">
        <f>IF($M35="","",INDEX(상세표[시작월 기관],$M35)&amp;"")</f>
        <v/>
      </c>
      <c r="H35">
        <f>IF($M35="","",INDEX(상세표[종료월 기관],$M35)&amp;"")</f>
        <v/>
      </c>
      <c r="I35">
        <f>IF($M35="","",INDEX(상세표[월경계 판정],$M35)&amp;"")</f>
        <v/>
      </c>
      <c r="J35">
        <f>IF($M35="","",INDEX(상세표[반영월],$M35)&amp;"")</f>
        <v/>
      </c>
      <c r="K35">
        <f>IF($M35="","",INDEX(상세표[반영 기관],$M35)&amp;"")</f>
        <v/>
      </c>
      <c r="L35">
        <f>IF($M35="","",INDEX(상세표[기관 출처],$M35)&amp;"")</f>
        <v/>
      </c>
      <c r="M35" s="4">
        <f>IFERROR(MATCH(30,상세표[경계순번],0),"")</f>
        <v/>
      </c>
    </row>
    <row r="36">
      <c r="A36">
        <f>IF($M36="","",INDEX(상세표[사번],$M36)&amp;"")</f>
        <v/>
      </c>
      <c r="B36">
        <f>IF($M36="","",INDEX(상세표[성명],$M36)&amp;"")</f>
        <v/>
      </c>
      <c r="C36">
        <f>IF($M36="","",IF(INDEX(상세표[종료월],$M36)=대상월키,"전월→이번 달","이번 달→익월"))</f>
        <v/>
      </c>
      <c r="D36">
        <f>IF($M36="","",IF(ISNUMBER(INDEX(상세표[시작],$M36)),TEXT(INDEX(상세표[시작],$M36),"yyyy-mm-dd hh:mm"),INDEX(상세표[시작],$M36)&amp;""))</f>
        <v/>
      </c>
      <c r="E36">
        <f>IF($M36="","",IF(ISNUMBER(INDEX(상세표[종료],$M36)),TEXT(INDEX(상세표[종료],$M36),"yyyy-mm-dd hh:mm"),INDEX(상세표[종료],$M36)&amp;""))</f>
        <v/>
      </c>
      <c r="F36">
        <f>IF($M36="","",INDEX(상세표[기록 시간외],$M36))</f>
        <v/>
      </c>
      <c r="G36">
        <f>IF($M36="","",INDEX(상세표[시작월 기관],$M36)&amp;"")</f>
        <v/>
      </c>
      <c r="H36">
        <f>IF($M36="","",INDEX(상세표[종료월 기관],$M36)&amp;"")</f>
        <v/>
      </c>
      <c r="I36">
        <f>IF($M36="","",INDEX(상세표[월경계 판정],$M36)&amp;"")</f>
        <v/>
      </c>
      <c r="J36">
        <f>IF($M36="","",INDEX(상세표[반영월],$M36)&amp;"")</f>
        <v/>
      </c>
      <c r="K36">
        <f>IF($M36="","",INDEX(상세표[반영 기관],$M36)&amp;"")</f>
        <v/>
      </c>
      <c r="L36">
        <f>IF($M36="","",INDEX(상세표[기관 출처],$M36)&amp;"")</f>
        <v/>
      </c>
      <c r="M36" s="4">
        <f>IFERROR(MATCH(31,상세표[경계순번],0),"")</f>
        <v/>
      </c>
    </row>
    <row r="37">
      <c r="A37">
        <f>IF($M37="","",INDEX(상세표[사번],$M37)&amp;"")</f>
        <v/>
      </c>
      <c r="B37">
        <f>IF($M37="","",INDEX(상세표[성명],$M37)&amp;"")</f>
        <v/>
      </c>
      <c r="C37">
        <f>IF($M37="","",IF(INDEX(상세표[종료월],$M37)=대상월키,"전월→이번 달","이번 달→익월"))</f>
        <v/>
      </c>
      <c r="D37">
        <f>IF($M37="","",IF(ISNUMBER(INDEX(상세표[시작],$M37)),TEXT(INDEX(상세표[시작],$M37),"yyyy-mm-dd hh:mm"),INDEX(상세표[시작],$M37)&amp;""))</f>
        <v/>
      </c>
      <c r="E37">
        <f>IF($M37="","",IF(ISNUMBER(INDEX(상세표[종료],$M37)),TEXT(INDEX(상세표[종료],$M37),"yyyy-mm-dd hh:mm"),INDEX(상세표[종료],$M37)&amp;""))</f>
        <v/>
      </c>
      <c r="F37">
        <f>IF($M37="","",INDEX(상세표[기록 시간외],$M37))</f>
        <v/>
      </c>
      <c r="G37">
        <f>IF($M37="","",INDEX(상세표[시작월 기관],$M37)&amp;"")</f>
        <v/>
      </c>
      <c r="H37">
        <f>IF($M37="","",INDEX(상세표[종료월 기관],$M37)&amp;"")</f>
        <v/>
      </c>
      <c r="I37">
        <f>IF($M37="","",INDEX(상세표[월경계 판정],$M37)&amp;"")</f>
        <v/>
      </c>
      <c r="J37">
        <f>IF($M37="","",INDEX(상세표[반영월],$M37)&amp;"")</f>
        <v/>
      </c>
      <c r="K37">
        <f>IF($M37="","",INDEX(상세표[반영 기관],$M37)&amp;"")</f>
        <v/>
      </c>
      <c r="L37">
        <f>IF($M37="","",INDEX(상세표[기관 출처],$M37)&amp;"")</f>
        <v/>
      </c>
      <c r="M37" s="4">
        <f>IFERROR(MATCH(32,상세표[경계순번],0),"")</f>
        <v/>
      </c>
    </row>
    <row r="38">
      <c r="A38">
        <f>IF($M38="","",INDEX(상세표[사번],$M38)&amp;"")</f>
        <v/>
      </c>
      <c r="B38">
        <f>IF($M38="","",INDEX(상세표[성명],$M38)&amp;"")</f>
        <v/>
      </c>
      <c r="C38">
        <f>IF($M38="","",IF(INDEX(상세표[종료월],$M38)=대상월키,"전월→이번 달","이번 달→익월"))</f>
        <v/>
      </c>
      <c r="D38">
        <f>IF($M38="","",IF(ISNUMBER(INDEX(상세표[시작],$M38)),TEXT(INDEX(상세표[시작],$M38),"yyyy-mm-dd hh:mm"),INDEX(상세표[시작],$M38)&amp;""))</f>
        <v/>
      </c>
      <c r="E38">
        <f>IF($M38="","",IF(ISNUMBER(INDEX(상세표[종료],$M38)),TEXT(INDEX(상세표[종료],$M38),"yyyy-mm-dd hh:mm"),INDEX(상세표[종료],$M38)&amp;""))</f>
        <v/>
      </c>
      <c r="F38">
        <f>IF($M38="","",INDEX(상세표[기록 시간외],$M38))</f>
        <v/>
      </c>
      <c r="G38">
        <f>IF($M38="","",INDEX(상세표[시작월 기관],$M38)&amp;"")</f>
        <v/>
      </c>
      <c r="H38">
        <f>IF($M38="","",INDEX(상세표[종료월 기관],$M38)&amp;"")</f>
        <v/>
      </c>
      <c r="I38">
        <f>IF($M38="","",INDEX(상세표[월경계 판정],$M38)&amp;"")</f>
        <v/>
      </c>
      <c r="J38">
        <f>IF($M38="","",INDEX(상세표[반영월],$M38)&amp;"")</f>
        <v/>
      </c>
      <c r="K38">
        <f>IF($M38="","",INDEX(상세표[반영 기관],$M38)&amp;"")</f>
        <v/>
      </c>
      <c r="L38">
        <f>IF($M38="","",INDEX(상세표[기관 출처],$M38)&amp;"")</f>
        <v/>
      </c>
      <c r="M38" s="4">
        <f>IFERROR(MATCH(33,상세표[경계순번],0),"")</f>
        <v/>
      </c>
    </row>
    <row r="39">
      <c r="A39">
        <f>IF($M39="","",INDEX(상세표[사번],$M39)&amp;"")</f>
        <v/>
      </c>
      <c r="B39">
        <f>IF($M39="","",INDEX(상세표[성명],$M39)&amp;"")</f>
        <v/>
      </c>
      <c r="C39">
        <f>IF($M39="","",IF(INDEX(상세표[종료월],$M39)=대상월키,"전월→이번 달","이번 달→익월"))</f>
        <v/>
      </c>
      <c r="D39">
        <f>IF($M39="","",IF(ISNUMBER(INDEX(상세표[시작],$M39)),TEXT(INDEX(상세표[시작],$M39),"yyyy-mm-dd hh:mm"),INDEX(상세표[시작],$M39)&amp;""))</f>
        <v/>
      </c>
      <c r="E39">
        <f>IF($M39="","",IF(ISNUMBER(INDEX(상세표[종료],$M39)),TEXT(INDEX(상세표[종료],$M39),"yyyy-mm-dd hh:mm"),INDEX(상세표[종료],$M39)&amp;""))</f>
        <v/>
      </c>
      <c r="F39">
        <f>IF($M39="","",INDEX(상세표[기록 시간외],$M39))</f>
        <v/>
      </c>
      <c r="G39">
        <f>IF($M39="","",INDEX(상세표[시작월 기관],$M39)&amp;"")</f>
        <v/>
      </c>
      <c r="H39">
        <f>IF($M39="","",INDEX(상세표[종료월 기관],$M39)&amp;"")</f>
        <v/>
      </c>
      <c r="I39">
        <f>IF($M39="","",INDEX(상세표[월경계 판정],$M39)&amp;"")</f>
        <v/>
      </c>
      <c r="J39">
        <f>IF($M39="","",INDEX(상세표[반영월],$M39)&amp;"")</f>
        <v/>
      </c>
      <c r="K39">
        <f>IF($M39="","",INDEX(상세표[반영 기관],$M39)&amp;"")</f>
        <v/>
      </c>
      <c r="L39">
        <f>IF($M39="","",INDEX(상세표[기관 출처],$M39)&amp;"")</f>
        <v/>
      </c>
      <c r="M39" s="4">
        <f>IFERROR(MATCH(34,상세표[경계순번],0),"")</f>
        <v/>
      </c>
    </row>
    <row r="40">
      <c r="A40">
        <f>IF($M40="","",INDEX(상세표[사번],$M40)&amp;"")</f>
        <v/>
      </c>
      <c r="B40">
        <f>IF($M40="","",INDEX(상세표[성명],$M40)&amp;"")</f>
        <v/>
      </c>
      <c r="C40">
        <f>IF($M40="","",IF(INDEX(상세표[종료월],$M40)=대상월키,"전월→이번 달","이번 달→익월"))</f>
        <v/>
      </c>
      <c r="D40">
        <f>IF($M40="","",IF(ISNUMBER(INDEX(상세표[시작],$M40)),TEXT(INDEX(상세표[시작],$M40),"yyyy-mm-dd hh:mm"),INDEX(상세표[시작],$M40)&amp;""))</f>
        <v/>
      </c>
      <c r="E40">
        <f>IF($M40="","",IF(ISNUMBER(INDEX(상세표[종료],$M40)),TEXT(INDEX(상세표[종료],$M40),"yyyy-mm-dd hh:mm"),INDEX(상세표[종료],$M40)&amp;""))</f>
        <v/>
      </c>
      <c r="F40">
        <f>IF($M40="","",INDEX(상세표[기록 시간외],$M40))</f>
        <v/>
      </c>
      <c r="G40">
        <f>IF($M40="","",INDEX(상세표[시작월 기관],$M40)&amp;"")</f>
        <v/>
      </c>
      <c r="H40">
        <f>IF($M40="","",INDEX(상세표[종료월 기관],$M40)&amp;"")</f>
        <v/>
      </c>
      <c r="I40">
        <f>IF($M40="","",INDEX(상세표[월경계 판정],$M40)&amp;"")</f>
        <v/>
      </c>
      <c r="J40">
        <f>IF($M40="","",INDEX(상세표[반영월],$M40)&amp;"")</f>
        <v/>
      </c>
      <c r="K40">
        <f>IF($M40="","",INDEX(상세표[반영 기관],$M40)&amp;"")</f>
        <v/>
      </c>
      <c r="L40">
        <f>IF($M40="","",INDEX(상세표[기관 출처],$M40)&amp;"")</f>
        <v/>
      </c>
      <c r="M40" s="4">
        <f>IFERROR(MATCH(35,상세표[경계순번],0),"")</f>
        <v/>
      </c>
    </row>
    <row r="41">
      <c r="A41">
        <f>IF($M41="","",INDEX(상세표[사번],$M41)&amp;"")</f>
        <v/>
      </c>
      <c r="B41">
        <f>IF($M41="","",INDEX(상세표[성명],$M41)&amp;"")</f>
        <v/>
      </c>
      <c r="C41">
        <f>IF($M41="","",IF(INDEX(상세표[종료월],$M41)=대상월키,"전월→이번 달","이번 달→익월"))</f>
        <v/>
      </c>
      <c r="D41">
        <f>IF($M41="","",IF(ISNUMBER(INDEX(상세표[시작],$M41)),TEXT(INDEX(상세표[시작],$M41),"yyyy-mm-dd hh:mm"),INDEX(상세표[시작],$M41)&amp;""))</f>
        <v/>
      </c>
      <c r="E41">
        <f>IF($M41="","",IF(ISNUMBER(INDEX(상세표[종료],$M41)),TEXT(INDEX(상세표[종료],$M41),"yyyy-mm-dd hh:mm"),INDEX(상세표[종료],$M41)&amp;""))</f>
        <v/>
      </c>
      <c r="F41">
        <f>IF($M41="","",INDEX(상세표[기록 시간외],$M41))</f>
        <v/>
      </c>
      <c r="G41">
        <f>IF($M41="","",INDEX(상세표[시작월 기관],$M41)&amp;"")</f>
        <v/>
      </c>
      <c r="H41">
        <f>IF($M41="","",INDEX(상세표[종료월 기관],$M41)&amp;"")</f>
        <v/>
      </c>
      <c r="I41">
        <f>IF($M41="","",INDEX(상세표[월경계 판정],$M41)&amp;"")</f>
        <v/>
      </c>
      <c r="J41">
        <f>IF($M41="","",INDEX(상세표[반영월],$M41)&amp;"")</f>
        <v/>
      </c>
      <c r="K41">
        <f>IF($M41="","",INDEX(상세표[반영 기관],$M41)&amp;"")</f>
        <v/>
      </c>
      <c r="L41">
        <f>IF($M41="","",INDEX(상세표[기관 출처],$M41)&amp;"")</f>
        <v/>
      </c>
      <c r="M41" s="4">
        <f>IFERROR(MATCH(36,상세표[경계순번],0),"")</f>
        <v/>
      </c>
    </row>
    <row r="42">
      <c r="A42">
        <f>IF($M42="","",INDEX(상세표[사번],$M42)&amp;"")</f>
        <v/>
      </c>
      <c r="B42">
        <f>IF($M42="","",INDEX(상세표[성명],$M42)&amp;"")</f>
        <v/>
      </c>
      <c r="C42">
        <f>IF($M42="","",IF(INDEX(상세표[종료월],$M42)=대상월키,"전월→이번 달","이번 달→익월"))</f>
        <v/>
      </c>
      <c r="D42">
        <f>IF($M42="","",IF(ISNUMBER(INDEX(상세표[시작],$M42)),TEXT(INDEX(상세표[시작],$M42),"yyyy-mm-dd hh:mm"),INDEX(상세표[시작],$M42)&amp;""))</f>
        <v/>
      </c>
      <c r="E42">
        <f>IF($M42="","",IF(ISNUMBER(INDEX(상세표[종료],$M42)),TEXT(INDEX(상세표[종료],$M42),"yyyy-mm-dd hh:mm"),INDEX(상세표[종료],$M42)&amp;""))</f>
        <v/>
      </c>
      <c r="F42">
        <f>IF($M42="","",INDEX(상세표[기록 시간외],$M42))</f>
        <v/>
      </c>
      <c r="G42">
        <f>IF($M42="","",INDEX(상세표[시작월 기관],$M42)&amp;"")</f>
        <v/>
      </c>
      <c r="H42">
        <f>IF($M42="","",INDEX(상세표[종료월 기관],$M42)&amp;"")</f>
        <v/>
      </c>
      <c r="I42">
        <f>IF($M42="","",INDEX(상세표[월경계 판정],$M42)&amp;"")</f>
        <v/>
      </c>
      <c r="J42">
        <f>IF($M42="","",INDEX(상세표[반영월],$M42)&amp;"")</f>
        <v/>
      </c>
      <c r="K42">
        <f>IF($M42="","",INDEX(상세표[반영 기관],$M42)&amp;"")</f>
        <v/>
      </c>
      <c r="L42">
        <f>IF($M42="","",INDEX(상세표[기관 출처],$M42)&amp;"")</f>
        <v/>
      </c>
      <c r="M42" s="4">
        <f>IFERROR(MATCH(37,상세표[경계순번],0),"")</f>
        <v/>
      </c>
    </row>
    <row r="43">
      <c r="A43">
        <f>IF($M43="","",INDEX(상세표[사번],$M43)&amp;"")</f>
        <v/>
      </c>
      <c r="B43">
        <f>IF($M43="","",INDEX(상세표[성명],$M43)&amp;"")</f>
        <v/>
      </c>
      <c r="C43">
        <f>IF($M43="","",IF(INDEX(상세표[종료월],$M43)=대상월키,"전월→이번 달","이번 달→익월"))</f>
        <v/>
      </c>
      <c r="D43">
        <f>IF($M43="","",IF(ISNUMBER(INDEX(상세표[시작],$M43)),TEXT(INDEX(상세표[시작],$M43),"yyyy-mm-dd hh:mm"),INDEX(상세표[시작],$M43)&amp;""))</f>
        <v/>
      </c>
      <c r="E43">
        <f>IF($M43="","",IF(ISNUMBER(INDEX(상세표[종료],$M43)),TEXT(INDEX(상세표[종료],$M43),"yyyy-mm-dd hh:mm"),INDEX(상세표[종료],$M43)&amp;""))</f>
        <v/>
      </c>
      <c r="F43">
        <f>IF($M43="","",INDEX(상세표[기록 시간외],$M43))</f>
        <v/>
      </c>
      <c r="G43">
        <f>IF($M43="","",INDEX(상세표[시작월 기관],$M43)&amp;"")</f>
        <v/>
      </c>
      <c r="H43">
        <f>IF($M43="","",INDEX(상세표[종료월 기관],$M43)&amp;"")</f>
        <v/>
      </c>
      <c r="I43">
        <f>IF($M43="","",INDEX(상세표[월경계 판정],$M43)&amp;"")</f>
        <v/>
      </c>
      <c r="J43">
        <f>IF($M43="","",INDEX(상세표[반영월],$M43)&amp;"")</f>
        <v/>
      </c>
      <c r="K43">
        <f>IF($M43="","",INDEX(상세표[반영 기관],$M43)&amp;"")</f>
        <v/>
      </c>
      <c r="L43">
        <f>IF($M43="","",INDEX(상세표[기관 출처],$M43)&amp;"")</f>
        <v/>
      </c>
      <c r="M43" s="4">
        <f>IFERROR(MATCH(38,상세표[경계순번],0),"")</f>
        <v/>
      </c>
    </row>
    <row r="44">
      <c r="A44">
        <f>IF($M44="","",INDEX(상세표[사번],$M44)&amp;"")</f>
        <v/>
      </c>
      <c r="B44">
        <f>IF($M44="","",INDEX(상세표[성명],$M44)&amp;"")</f>
        <v/>
      </c>
      <c r="C44">
        <f>IF($M44="","",IF(INDEX(상세표[종료월],$M44)=대상월키,"전월→이번 달","이번 달→익월"))</f>
        <v/>
      </c>
      <c r="D44">
        <f>IF($M44="","",IF(ISNUMBER(INDEX(상세표[시작],$M44)),TEXT(INDEX(상세표[시작],$M44),"yyyy-mm-dd hh:mm"),INDEX(상세표[시작],$M44)&amp;""))</f>
        <v/>
      </c>
      <c r="E44">
        <f>IF($M44="","",IF(ISNUMBER(INDEX(상세표[종료],$M44)),TEXT(INDEX(상세표[종료],$M44),"yyyy-mm-dd hh:mm"),INDEX(상세표[종료],$M44)&amp;""))</f>
        <v/>
      </c>
      <c r="F44">
        <f>IF($M44="","",INDEX(상세표[기록 시간외],$M44))</f>
        <v/>
      </c>
      <c r="G44">
        <f>IF($M44="","",INDEX(상세표[시작월 기관],$M44)&amp;"")</f>
        <v/>
      </c>
      <c r="H44">
        <f>IF($M44="","",INDEX(상세표[종료월 기관],$M44)&amp;"")</f>
        <v/>
      </c>
      <c r="I44">
        <f>IF($M44="","",INDEX(상세표[월경계 판정],$M44)&amp;"")</f>
        <v/>
      </c>
      <c r="J44">
        <f>IF($M44="","",INDEX(상세표[반영월],$M44)&amp;"")</f>
        <v/>
      </c>
      <c r="K44">
        <f>IF($M44="","",INDEX(상세표[반영 기관],$M44)&amp;"")</f>
        <v/>
      </c>
      <c r="L44">
        <f>IF($M44="","",INDEX(상세표[기관 출처],$M44)&amp;"")</f>
        <v/>
      </c>
      <c r="M44" s="4">
        <f>IFERROR(MATCH(39,상세표[경계순번],0),"")</f>
        <v/>
      </c>
    </row>
    <row r="45">
      <c r="A45">
        <f>IF($M45="","",INDEX(상세표[사번],$M45)&amp;"")</f>
        <v/>
      </c>
      <c r="B45">
        <f>IF($M45="","",INDEX(상세표[성명],$M45)&amp;"")</f>
        <v/>
      </c>
      <c r="C45">
        <f>IF($M45="","",IF(INDEX(상세표[종료월],$M45)=대상월키,"전월→이번 달","이번 달→익월"))</f>
        <v/>
      </c>
      <c r="D45">
        <f>IF($M45="","",IF(ISNUMBER(INDEX(상세표[시작],$M45)),TEXT(INDEX(상세표[시작],$M45),"yyyy-mm-dd hh:mm"),INDEX(상세표[시작],$M45)&amp;""))</f>
        <v/>
      </c>
      <c r="E45">
        <f>IF($M45="","",IF(ISNUMBER(INDEX(상세표[종료],$M45)),TEXT(INDEX(상세표[종료],$M45),"yyyy-mm-dd hh:mm"),INDEX(상세표[종료],$M45)&amp;""))</f>
        <v/>
      </c>
      <c r="F45">
        <f>IF($M45="","",INDEX(상세표[기록 시간외],$M45))</f>
        <v/>
      </c>
      <c r="G45">
        <f>IF($M45="","",INDEX(상세표[시작월 기관],$M45)&amp;"")</f>
        <v/>
      </c>
      <c r="H45">
        <f>IF($M45="","",INDEX(상세표[종료월 기관],$M45)&amp;"")</f>
        <v/>
      </c>
      <c r="I45">
        <f>IF($M45="","",INDEX(상세표[월경계 판정],$M45)&amp;"")</f>
        <v/>
      </c>
      <c r="J45">
        <f>IF($M45="","",INDEX(상세표[반영월],$M45)&amp;"")</f>
        <v/>
      </c>
      <c r="K45">
        <f>IF($M45="","",INDEX(상세표[반영 기관],$M45)&amp;"")</f>
        <v/>
      </c>
      <c r="L45">
        <f>IF($M45="","",INDEX(상세표[기관 출처],$M45)&amp;"")</f>
        <v/>
      </c>
      <c r="M45" s="4">
        <f>IFERROR(MATCH(40,상세표[경계순번],0),"")</f>
        <v/>
      </c>
    </row>
    <row r="46">
      <c r="A46">
        <f>IF($M46="","",INDEX(상세표[사번],$M46)&amp;"")</f>
        <v/>
      </c>
      <c r="B46">
        <f>IF($M46="","",INDEX(상세표[성명],$M46)&amp;"")</f>
        <v/>
      </c>
      <c r="C46">
        <f>IF($M46="","",IF(INDEX(상세표[종료월],$M46)=대상월키,"전월→이번 달","이번 달→익월"))</f>
        <v/>
      </c>
      <c r="D46">
        <f>IF($M46="","",IF(ISNUMBER(INDEX(상세표[시작],$M46)),TEXT(INDEX(상세표[시작],$M46),"yyyy-mm-dd hh:mm"),INDEX(상세표[시작],$M46)&amp;""))</f>
        <v/>
      </c>
      <c r="E46">
        <f>IF($M46="","",IF(ISNUMBER(INDEX(상세표[종료],$M46)),TEXT(INDEX(상세표[종료],$M46),"yyyy-mm-dd hh:mm"),INDEX(상세표[종료],$M46)&amp;""))</f>
        <v/>
      </c>
      <c r="F46">
        <f>IF($M46="","",INDEX(상세표[기록 시간외],$M46))</f>
        <v/>
      </c>
      <c r="G46">
        <f>IF($M46="","",INDEX(상세표[시작월 기관],$M46)&amp;"")</f>
        <v/>
      </c>
      <c r="H46">
        <f>IF($M46="","",INDEX(상세표[종료월 기관],$M46)&amp;"")</f>
        <v/>
      </c>
      <c r="I46">
        <f>IF($M46="","",INDEX(상세표[월경계 판정],$M46)&amp;"")</f>
        <v/>
      </c>
      <c r="J46">
        <f>IF($M46="","",INDEX(상세표[반영월],$M46)&amp;"")</f>
        <v/>
      </c>
      <c r="K46">
        <f>IF($M46="","",INDEX(상세표[반영 기관],$M46)&amp;"")</f>
        <v/>
      </c>
      <c r="L46">
        <f>IF($M46="","",INDEX(상세표[기관 출처],$M46)&amp;"")</f>
        <v/>
      </c>
      <c r="M46" s="4">
        <f>IFERROR(MATCH(41,상세표[경계순번],0),"")</f>
        <v/>
      </c>
    </row>
    <row r="47">
      <c r="A47">
        <f>IF($M47="","",INDEX(상세표[사번],$M47)&amp;"")</f>
        <v/>
      </c>
      <c r="B47">
        <f>IF($M47="","",INDEX(상세표[성명],$M47)&amp;"")</f>
        <v/>
      </c>
      <c r="C47">
        <f>IF($M47="","",IF(INDEX(상세표[종료월],$M47)=대상월키,"전월→이번 달","이번 달→익월"))</f>
        <v/>
      </c>
      <c r="D47">
        <f>IF($M47="","",IF(ISNUMBER(INDEX(상세표[시작],$M47)),TEXT(INDEX(상세표[시작],$M47),"yyyy-mm-dd hh:mm"),INDEX(상세표[시작],$M47)&amp;""))</f>
        <v/>
      </c>
      <c r="E47">
        <f>IF($M47="","",IF(ISNUMBER(INDEX(상세표[종료],$M47)),TEXT(INDEX(상세표[종료],$M47),"yyyy-mm-dd hh:mm"),INDEX(상세표[종료],$M47)&amp;""))</f>
        <v/>
      </c>
      <c r="F47">
        <f>IF($M47="","",INDEX(상세표[기록 시간외],$M47))</f>
        <v/>
      </c>
      <c r="G47">
        <f>IF($M47="","",INDEX(상세표[시작월 기관],$M47)&amp;"")</f>
        <v/>
      </c>
      <c r="H47">
        <f>IF($M47="","",INDEX(상세표[종료월 기관],$M47)&amp;"")</f>
        <v/>
      </c>
      <c r="I47">
        <f>IF($M47="","",INDEX(상세표[월경계 판정],$M47)&amp;"")</f>
        <v/>
      </c>
      <c r="J47">
        <f>IF($M47="","",INDEX(상세표[반영월],$M47)&amp;"")</f>
        <v/>
      </c>
      <c r="K47">
        <f>IF($M47="","",INDEX(상세표[반영 기관],$M47)&amp;"")</f>
        <v/>
      </c>
      <c r="L47">
        <f>IF($M47="","",INDEX(상세표[기관 출처],$M47)&amp;"")</f>
        <v/>
      </c>
      <c r="M47" s="4">
        <f>IFERROR(MATCH(42,상세표[경계순번],0),"")</f>
        <v/>
      </c>
    </row>
    <row r="48">
      <c r="A48">
        <f>IF($M48="","",INDEX(상세표[사번],$M48)&amp;"")</f>
        <v/>
      </c>
      <c r="B48">
        <f>IF($M48="","",INDEX(상세표[성명],$M48)&amp;"")</f>
        <v/>
      </c>
      <c r="C48">
        <f>IF($M48="","",IF(INDEX(상세표[종료월],$M48)=대상월키,"전월→이번 달","이번 달→익월"))</f>
        <v/>
      </c>
      <c r="D48">
        <f>IF($M48="","",IF(ISNUMBER(INDEX(상세표[시작],$M48)),TEXT(INDEX(상세표[시작],$M48),"yyyy-mm-dd hh:mm"),INDEX(상세표[시작],$M48)&amp;""))</f>
        <v/>
      </c>
      <c r="E48">
        <f>IF($M48="","",IF(ISNUMBER(INDEX(상세표[종료],$M48)),TEXT(INDEX(상세표[종료],$M48),"yyyy-mm-dd hh:mm"),INDEX(상세표[종료],$M48)&amp;""))</f>
        <v/>
      </c>
      <c r="F48">
        <f>IF($M48="","",INDEX(상세표[기록 시간외],$M48))</f>
        <v/>
      </c>
      <c r="G48">
        <f>IF($M48="","",INDEX(상세표[시작월 기관],$M48)&amp;"")</f>
        <v/>
      </c>
      <c r="H48">
        <f>IF($M48="","",INDEX(상세표[종료월 기관],$M48)&amp;"")</f>
        <v/>
      </c>
      <c r="I48">
        <f>IF($M48="","",INDEX(상세표[월경계 판정],$M48)&amp;"")</f>
        <v/>
      </c>
      <c r="J48">
        <f>IF($M48="","",INDEX(상세표[반영월],$M48)&amp;"")</f>
        <v/>
      </c>
      <c r="K48">
        <f>IF($M48="","",INDEX(상세표[반영 기관],$M48)&amp;"")</f>
        <v/>
      </c>
      <c r="L48">
        <f>IF($M48="","",INDEX(상세표[기관 출처],$M48)&amp;"")</f>
        <v/>
      </c>
      <c r="M48" s="4">
        <f>IFERROR(MATCH(43,상세표[경계순번],0),"")</f>
        <v/>
      </c>
    </row>
    <row r="49">
      <c r="A49">
        <f>IF($M49="","",INDEX(상세표[사번],$M49)&amp;"")</f>
        <v/>
      </c>
      <c r="B49">
        <f>IF($M49="","",INDEX(상세표[성명],$M49)&amp;"")</f>
        <v/>
      </c>
      <c r="C49">
        <f>IF($M49="","",IF(INDEX(상세표[종료월],$M49)=대상월키,"전월→이번 달","이번 달→익월"))</f>
        <v/>
      </c>
      <c r="D49">
        <f>IF($M49="","",IF(ISNUMBER(INDEX(상세표[시작],$M49)),TEXT(INDEX(상세표[시작],$M49),"yyyy-mm-dd hh:mm"),INDEX(상세표[시작],$M49)&amp;""))</f>
        <v/>
      </c>
      <c r="E49">
        <f>IF($M49="","",IF(ISNUMBER(INDEX(상세표[종료],$M49)),TEXT(INDEX(상세표[종료],$M49),"yyyy-mm-dd hh:mm"),INDEX(상세표[종료],$M49)&amp;""))</f>
        <v/>
      </c>
      <c r="F49">
        <f>IF($M49="","",INDEX(상세표[기록 시간외],$M49))</f>
        <v/>
      </c>
      <c r="G49">
        <f>IF($M49="","",INDEX(상세표[시작월 기관],$M49)&amp;"")</f>
        <v/>
      </c>
      <c r="H49">
        <f>IF($M49="","",INDEX(상세표[종료월 기관],$M49)&amp;"")</f>
        <v/>
      </c>
      <c r="I49">
        <f>IF($M49="","",INDEX(상세표[월경계 판정],$M49)&amp;"")</f>
        <v/>
      </c>
      <c r="J49">
        <f>IF($M49="","",INDEX(상세표[반영월],$M49)&amp;"")</f>
        <v/>
      </c>
      <c r="K49">
        <f>IF($M49="","",INDEX(상세표[반영 기관],$M49)&amp;"")</f>
        <v/>
      </c>
      <c r="L49">
        <f>IF($M49="","",INDEX(상세표[기관 출처],$M49)&amp;"")</f>
        <v/>
      </c>
      <c r="M49" s="4">
        <f>IFERROR(MATCH(44,상세표[경계순번],0),"")</f>
        <v/>
      </c>
    </row>
    <row r="50">
      <c r="A50">
        <f>IF($M50="","",INDEX(상세표[사번],$M50)&amp;"")</f>
        <v/>
      </c>
      <c r="B50">
        <f>IF($M50="","",INDEX(상세표[성명],$M50)&amp;"")</f>
        <v/>
      </c>
      <c r="C50">
        <f>IF($M50="","",IF(INDEX(상세표[종료월],$M50)=대상월키,"전월→이번 달","이번 달→익월"))</f>
        <v/>
      </c>
      <c r="D50">
        <f>IF($M50="","",IF(ISNUMBER(INDEX(상세표[시작],$M50)),TEXT(INDEX(상세표[시작],$M50),"yyyy-mm-dd hh:mm"),INDEX(상세표[시작],$M50)&amp;""))</f>
        <v/>
      </c>
      <c r="E50">
        <f>IF($M50="","",IF(ISNUMBER(INDEX(상세표[종료],$M50)),TEXT(INDEX(상세표[종료],$M50),"yyyy-mm-dd hh:mm"),INDEX(상세표[종료],$M50)&amp;""))</f>
        <v/>
      </c>
      <c r="F50">
        <f>IF($M50="","",INDEX(상세표[기록 시간외],$M50))</f>
        <v/>
      </c>
      <c r="G50">
        <f>IF($M50="","",INDEX(상세표[시작월 기관],$M50)&amp;"")</f>
        <v/>
      </c>
      <c r="H50">
        <f>IF($M50="","",INDEX(상세표[종료월 기관],$M50)&amp;"")</f>
        <v/>
      </c>
      <c r="I50">
        <f>IF($M50="","",INDEX(상세표[월경계 판정],$M50)&amp;"")</f>
        <v/>
      </c>
      <c r="J50">
        <f>IF($M50="","",INDEX(상세표[반영월],$M50)&amp;"")</f>
        <v/>
      </c>
      <c r="K50">
        <f>IF($M50="","",INDEX(상세표[반영 기관],$M50)&amp;"")</f>
        <v/>
      </c>
      <c r="L50">
        <f>IF($M50="","",INDEX(상세표[기관 출처],$M50)&amp;"")</f>
        <v/>
      </c>
      <c r="M50" s="4">
        <f>IFERROR(MATCH(45,상세표[경계순번],0),"")</f>
        <v/>
      </c>
    </row>
    <row r="51">
      <c r="A51">
        <f>IF($M51="","",INDEX(상세표[사번],$M51)&amp;"")</f>
        <v/>
      </c>
      <c r="B51">
        <f>IF($M51="","",INDEX(상세표[성명],$M51)&amp;"")</f>
        <v/>
      </c>
      <c r="C51">
        <f>IF($M51="","",IF(INDEX(상세표[종료월],$M51)=대상월키,"전월→이번 달","이번 달→익월"))</f>
        <v/>
      </c>
      <c r="D51">
        <f>IF($M51="","",IF(ISNUMBER(INDEX(상세표[시작],$M51)),TEXT(INDEX(상세표[시작],$M51),"yyyy-mm-dd hh:mm"),INDEX(상세표[시작],$M51)&amp;""))</f>
        <v/>
      </c>
      <c r="E51">
        <f>IF($M51="","",IF(ISNUMBER(INDEX(상세표[종료],$M51)),TEXT(INDEX(상세표[종료],$M51),"yyyy-mm-dd hh:mm"),INDEX(상세표[종료],$M51)&amp;""))</f>
        <v/>
      </c>
      <c r="F51">
        <f>IF($M51="","",INDEX(상세표[기록 시간외],$M51))</f>
        <v/>
      </c>
      <c r="G51">
        <f>IF($M51="","",INDEX(상세표[시작월 기관],$M51)&amp;"")</f>
        <v/>
      </c>
      <c r="H51">
        <f>IF($M51="","",INDEX(상세표[종료월 기관],$M51)&amp;"")</f>
        <v/>
      </c>
      <c r="I51">
        <f>IF($M51="","",INDEX(상세표[월경계 판정],$M51)&amp;"")</f>
        <v/>
      </c>
      <c r="J51">
        <f>IF($M51="","",INDEX(상세표[반영월],$M51)&amp;"")</f>
        <v/>
      </c>
      <c r="K51">
        <f>IF($M51="","",INDEX(상세표[반영 기관],$M51)&amp;"")</f>
        <v/>
      </c>
      <c r="L51">
        <f>IF($M51="","",INDEX(상세표[기관 출처],$M51)&amp;"")</f>
        <v/>
      </c>
      <c r="M51" s="4">
        <f>IFERROR(MATCH(46,상세표[경계순번],0),"")</f>
        <v/>
      </c>
    </row>
    <row r="52">
      <c r="A52">
        <f>IF($M52="","",INDEX(상세표[사번],$M52)&amp;"")</f>
        <v/>
      </c>
      <c r="B52">
        <f>IF($M52="","",INDEX(상세표[성명],$M52)&amp;"")</f>
        <v/>
      </c>
      <c r="C52">
        <f>IF($M52="","",IF(INDEX(상세표[종료월],$M52)=대상월키,"전월→이번 달","이번 달→익월"))</f>
        <v/>
      </c>
      <c r="D52">
        <f>IF($M52="","",IF(ISNUMBER(INDEX(상세표[시작],$M52)),TEXT(INDEX(상세표[시작],$M52),"yyyy-mm-dd hh:mm"),INDEX(상세표[시작],$M52)&amp;""))</f>
        <v/>
      </c>
      <c r="E52">
        <f>IF($M52="","",IF(ISNUMBER(INDEX(상세표[종료],$M52)),TEXT(INDEX(상세표[종료],$M52),"yyyy-mm-dd hh:mm"),INDEX(상세표[종료],$M52)&amp;""))</f>
        <v/>
      </c>
      <c r="F52">
        <f>IF($M52="","",INDEX(상세표[기록 시간외],$M52))</f>
        <v/>
      </c>
      <c r="G52">
        <f>IF($M52="","",INDEX(상세표[시작월 기관],$M52)&amp;"")</f>
        <v/>
      </c>
      <c r="H52">
        <f>IF($M52="","",INDEX(상세표[종료월 기관],$M52)&amp;"")</f>
        <v/>
      </c>
      <c r="I52">
        <f>IF($M52="","",INDEX(상세표[월경계 판정],$M52)&amp;"")</f>
        <v/>
      </c>
      <c r="J52">
        <f>IF($M52="","",INDEX(상세표[반영월],$M52)&amp;"")</f>
        <v/>
      </c>
      <c r="K52">
        <f>IF($M52="","",INDEX(상세표[반영 기관],$M52)&amp;"")</f>
        <v/>
      </c>
      <c r="L52">
        <f>IF($M52="","",INDEX(상세표[기관 출처],$M52)&amp;"")</f>
        <v/>
      </c>
      <c r="M52" s="4">
        <f>IFERROR(MATCH(47,상세표[경계순번],0),"")</f>
        <v/>
      </c>
    </row>
    <row r="53">
      <c r="A53">
        <f>IF($M53="","",INDEX(상세표[사번],$M53)&amp;"")</f>
        <v/>
      </c>
      <c r="B53">
        <f>IF($M53="","",INDEX(상세표[성명],$M53)&amp;"")</f>
        <v/>
      </c>
      <c r="C53">
        <f>IF($M53="","",IF(INDEX(상세표[종료월],$M53)=대상월키,"전월→이번 달","이번 달→익월"))</f>
        <v/>
      </c>
      <c r="D53">
        <f>IF($M53="","",IF(ISNUMBER(INDEX(상세표[시작],$M53)),TEXT(INDEX(상세표[시작],$M53),"yyyy-mm-dd hh:mm"),INDEX(상세표[시작],$M53)&amp;""))</f>
        <v/>
      </c>
      <c r="E53">
        <f>IF($M53="","",IF(ISNUMBER(INDEX(상세표[종료],$M53)),TEXT(INDEX(상세표[종료],$M53),"yyyy-mm-dd hh:mm"),INDEX(상세표[종료],$M53)&amp;""))</f>
        <v/>
      </c>
      <c r="F53">
        <f>IF($M53="","",INDEX(상세표[기록 시간외],$M53))</f>
        <v/>
      </c>
      <c r="G53">
        <f>IF($M53="","",INDEX(상세표[시작월 기관],$M53)&amp;"")</f>
        <v/>
      </c>
      <c r="H53">
        <f>IF($M53="","",INDEX(상세표[종료월 기관],$M53)&amp;"")</f>
        <v/>
      </c>
      <c r="I53">
        <f>IF($M53="","",INDEX(상세표[월경계 판정],$M53)&amp;"")</f>
        <v/>
      </c>
      <c r="J53">
        <f>IF($M53="","",INDEX(상세표[반영월],$M53)&amp;"")</f>
        <v/>
      </c>
      <c r="K53">
        <f>IF($M53="","",INDEX(상세표[반영 기관],$M53)&amp;"")</f>
        <v/>
      </c>
      <c r="L53">
        <f>IF($M53="","",INDEX(상세표[기관 출처],$M53)&amp;"")</f>
        <v/>
      </c>
      <c r="M53" s="4">
        <f>IFERROR(MATCH(48,상세표[경계순번],0),"")</f>
        <v/>
      </c>
    </row>
    <row r="54">
      <c r="A54">
        <f>IF($M54="","",INDEX(상세표[사번],$M54)&amp;"")</f>
        <v/>
      </c>
      <c r="B54">
        <f>IF($M54="","",INDEX(상세표[성명],$M54)&amp;"")</f>
        <v/>
      </c>
      <c r="C54">
        <f>IF($M54="","",IF(INDEX(상세표[종료월],$M54)=대상월키,"전월→이번 달","이번 달→익월"))</f>
        <v/>
      </c>
      <c r="D54">
        <f>IF($M54="","",IF(ISNUMBER(INDEX(상세표[시작],$M54)),TEXT(INDEX(상세표[시작],$M54),"yyyy-mm-dd hh:mm"),INDEX(상세표[시작],$M54)&amp;""))</f>
        <v/>
      </c>
      <c r="E54">
        <f>IF($M54="","",IF(ISNUMBER(INDEX(상세표[종료],$M54)),TEXT(INDEX(상세표[종료],$M54),"yyyy-mm-dd hh:mm"),INDEX(상세표[종료],$M54)&amp;""))</f>
        <v/>
      </c>
      <c r="F54">
        <f>IF($M54="","",INDEX(상세표[기록 시간외],$M54))</f>
        <v/>
      </c>
      <c r="G54">
        <f>IF($M54="","",INDEX(상세표[시작월 기관],$M54)&amp;"")</f>
        <v/>
      </c>
      <c r="H54">
        <f>IF($M54="","",INDEX(상세표[종료월 기관],$M54)&amp;"")</f>
        <v/>
      </c>
      <c r="I54">
        <f>IF($M54="","",INDEX(상세표[월경계 판정],$M54)&amp;"")</f>
        <v/>
      </c>
      <c r="J54">
        <f>IF($M54="","",INDEX(상세표[반영월],$M54)&amp;"")</f>
        <v/>
      </c>
      <c r="K54">
        <f>IF($M54="","",INDEX(상세표[반영 기관],$M54)&amp;"")</f>
        <v/>
      </c>
      <c r="L54">
        <f>IF($M54="","",INDEX(상세표[기관 출처],$M54)&amp;"")</f>
        <v/>
      </c>
      <c r="M54" s="4">
        <f>IFERROR(MATCH(49,상세표[경계순번],0),"")</f>
        <v/>
      </c>
    </row>
    <row r="55">
      <c r="A55">
        <f>IF($M55="","",INDEX(상세표[사번],$M55)&amp;"")</f>
        <v/>
      </c>
      <c r="B55">
        <f>IF($M55="","",INDEX(상세표[성명],$M55)&amp;"")</f>
        <v/>
      </c>
      <c r="C55">
        <f>IF($M55="","",IF(INDEX(상세표[종료월],$M55)=대상월키,"전월→이번 달","이번 달→익월"))</f>
        <v/>
      </c>
      <c r="D55">
        <f>IF($M55="","",IF(ISNUMBER(INDEX(상세표[시작],$M55)),TEXT(INDEX(상세표[시작],$M55),"yyyy-mm-dd hh:mm"),INDEX(상세표[시작],$M55)&amp;""))</f>
        <v/>
      </c>
      <c r="E55">
        <f>IF($M55="","",IF(ISNUMBER(INDEX(상세표[종료],$M55)),TEXT(INDEX(상세표[종료],$M55),"yyyy-mm-dd hh:mm"),INDEX(상세표[종료],$M55)&amp;""))</f>
        <v/>
      </c>
      <c r="F55">
        <f>IF($M55="","",INDEX(상세표[기록 시간외],$M55))</f>
        <v/>
      </c>
      <c r="G55">
        <f>IF($M55="","",INDEX(상세표[시작월 기관],$M55)&amp;"")</f>
        <v/>
      </c>
      <c r="H55">
        <f>IF($M55="","",INDEX(상세표[종료월 기관],$M55)&amp;"")</f>
        <v/>
      </c>
      <c r="I55">
        <f>IF($M55="","",INDEX(상세표[월경계 판정],$M55)&amp;"")</f>
        <v/>
      </c>
      <c r="J55">
        <f>IF($M55="","",INDEX(상세표[반영월],$M55)&amp;"")</f>
        <v/>
      </c>
      <c r="K55">
        <f>IF($M55="","",INDEX(상세표[반영 기관],$M55)&amp;"")</f>
        <v/>
      </c>
      <c r="L55">
        <f>IF($M55="","",INDEX(상세표[기관 출처],$M55)&amp;"")</f>
        <v/>
      </c>
      <c r="M55" s="4">
        <f>IFERROR(MATCH(50,상세표[경계순번],0),"")</f>
        <v/>
      </c>
    </row>
    <row r="56">
      <c r="A56">
        <f>IF($M56="","",INDEX(상세표[사번],$M56)&amp;"")</f>
        <v/>
      </c>
      <c r="B56">
        <f>IF($M56="","",INDEX(상세표[성명],$M56)&amp;"")</f>
        <v/>
      </c>
      <c r="C56">
        <f>IF($M56="","",IF(INDEX(상세표[종료월],$M56)=대상월키,"전월→이번 달","이번 달→익월"))</f>
        <v/>
      </c>
      <c r="D56">
        <f>IF($M56="","",IF(ISNUMBER(INDEX(상세표[시작],$M56)),TEXT(INDEX(상세표[시작],$M56),"yyyy-mm-dd hh:mm"),INDEX(상세표[시작],$M56)&amp;""))</f>
        <v/>
      </c>
      <c r="E56">
        <f>IF($M56="","",IF(ISNUMBER(INDEX(상세표[종료],$M56)),TEXT(INDEX(상세표[종료],$M56),"yyyy-mm-dd hh:mm"),INDEX(상세표[종료],$M56)&amp;""))</f>
        <v/>
      </c>
      <c r="F56">
        <f>IF($M56="","",INDEX(상세표[기록 시간외],$M56))</f>
        <v/>
      </c>
      <c r="G56">
        <f>IF($M56="","",INDEX(상세표[시작월 기관],$M56)&amp;"")</f>
        <v/>
      </c>
      <c r="H56">
        <f>IF($M56="","",INDEX(상세표[종료월 기관],$M56)&amp;"")</f>
        <v/>
      </c>
      <c r="I56">
        <f>IF($M56="","",INDEX(상세표[월경계 판정],$M56)&amp;"")</f>
        <v/>
      </c>
      <c r="J56">
        <f>IF($M56="","",INDEX(상세표[반영월],$M56)&amp;"")</f>
        <v/>
      </c>
      <c r="K56">
        <f>IF($M56="","",INDEX(상세표[반영 기관],$M56)&amp;"")</f>
        <v/>
      </c>
      <c r="L56">
        <f>IF($M56="","",INDEX(상세표[기관 출처],$M56)&amp;"")</f>
        <v/>
      </c>
      <c r="M56" s="4">
        <f>IFERROR(MATCH(51,상세표[경계순번],0),"")</f>
        <v/>
      </c>
    </row>
    <row r="57">
      <c r="A57">
        <f>IF($M57="","",INDEX(상세표[사번],$M57)&amp;"")</f>
        <v/>
      </c>
      <c r="B57">
        <f>IF($M57="","",INDEX(상세표[성명],$M57)&amp;"")</f>
        <v/>
      </c>
      <c r="C57">
        <f>IF($M57="","",IF(INDEX(상세표[종료월],$M57)=대상월키,"전월→이번 달","이번 달→익월"))</f>
        <v/>
      </c>
      <c r="D57">
        <f>IF($M57="","",IF(ISNUMBER(INDEX(상세표[시작],$M57)),TEXT(INDEX(상세표[시작],$M57),"yyyy-mm-dd hh:mm"),INDEX(상세표[시작],$M57)&amp;""))</f>
        <v/>
      </c>
      <c r="E57">
        <f>IF($M57="","",IF(ISNUMBER(INDEX(상세표[종료],$M57)),TEXT(INDEX(상세표[종료],$M57),"yyyy-mm-dd hh:mm"),INDEX(상세표[종료],$M57)&amp;""))</f>
        <v/>
      </c>
      <c r="F57">
        <f>IF($M57="","",INDEX(상세표[기록 시간외],$M57))</f>
        <v/>
      </c>
      <c r="G57">
        <f>IF($M57="","",INDEX(상세표[시작월 기관],$M57)&amp;"")</f>
        <v/>
      </c>
      <c r="H57">
        <f>IF($M57="","",INDEX(상세표[종료월 기관],$M57)&amp;"")</f>
        <v/>
      </c>
      <c r="I57">
        <f>IF($M57="","",INDEX(상세표[월경계 판정],$M57)&amp;"")</f>
        <v/>
      </c>
      <c r="J57">
        <f>IF($M57="","",INDEX(상세표[반영월],$M57)&amp;"")</f>
        <v/>
      </c>
      <c r="K57">
        <f>IF($M57="","",INDEX(상세표[반영 기관],$M57)&amp;"")</f>
        <v/>
      </c>
      <c r="L57">
        <f>IF($M57="","",INDEX(상세표[기관 출처],$M57)&amp;"")</f>
        <v/>
      </c>
      <c r="M57" s="4">
        <f>IFERROR(MATCH(52,상세표[경계순번],0),"")</f>
        <v/>
      </c>
    </row>
    <row r="58">
      <c r="A58">
        <f>IF($M58="","",INDEX(상세표[사번],$M58)&amp;"")</f>
        <v/>
      </c>
      <c r="B58">
        <f>IF($M58="","",INDEX(상세표[성명],$M58)&amp;"")</f>
        <v/>
      </c>
      <c r="C58">
        <f>IF($M58="","",IF(INDEX(상세표[종료월],$M58)=대상월키,"전월→이번 달","이번 달→익월"))</f>
        <v/>
      </c>
      <c r="D58">
        <f>IF($M58="","",IF(ISNUMBER(INDEX(상세표[시작],$M58)),TEXT(INDEX(상세표[시작],$M58),"yyyy-mm-dd hh:mm"),INDEX(상세표[시작],$M58)&amp;""))</f>
        <v/>
      </c>
      <c r="E58">
        <f>IF($M58="","",IF(ISNUMBER(INDEX(상세표[종료],$M58)),TEXT(INDEX(상세표[종료],$M58),"yyyy-mm-dd hh:mm"),INDEX(상세표[종료],$M58)&amp;""))</f>
        <v/>
      </c>
      <c r="F58">
        <f>IF($M58="","",INDEX(상세표[기록 시간외],$M58))</f>
        <v/>
      </c>
      <c r="G58">
        <f>IF($M58="","",INDEX(상세표[시작월 기관],$M58)&amp;"")</f>
        <v/>
      </c>
      <c r="H58">
        <f>IF($M58="","",INDEX(상세표[종료월 기관],$M58)&amp;"")</f>
        <v/>
      </c>
      <c r="I58">
        <f>IF($M58="","",INDEX(상세표[월경계 판정],$M58)&amp;"")</f>
        <v/>
      </c>
      <c r="J58">
        <f>IF($M58="","",INDEX(상세표[반영월],$M58)&amp;"")</f>
        <v/>
      </c>
      <c r="K58">
        <f>IF($M58="","",INDEX(상세표[반영 기관],$M58)&amp;"")</f>
        <v/>
      </c>
      <c r="L58">
        <f>IF($M58="","",INDEX(상세표[기관 출처],$M58)&amp;"")</f>
        <v/>
      </c>
      <c r="M58" s="4">
        <f>IFERROR(MATCH(53,상세표[경계순번],0),"")</f>
        <v/>
      </c>
    </row>
    <row r="59">
      <c r="A59">
        <f>IF($M59="","",INDEX(상세표[사번],$M59)&amp;"")</f>
        <v/>
      </c>
      <c r="B59">
        <f>IF($M59="","",INDEX(상세표[성명],$M59)&amp;"")</f>
        <v/>
      </c>
      <c r="C59">
        <f>IF($M59="","",IF(INDEX(상세표[종료월],$M59)=대상월키,"전월→이번 달","이번 달→익월"))</f>
        <v/>
      </c>
      <c r="D59">
        <f>IF($M59="","",IF(ISNUMBER(INDEX(상세표[시작],$M59)),TEXT(INDEX(상세표[시작],$M59),"yyyy-mm-dd hh:mm"),INDEX(상세표[시작],$M59)&amp;""))</f>
        <v/>
      </c>
      <c r="E59">
        <f>IF($M59="","",IF(ISNUMBER(INDEX(상세표[종료],$M59)),TEXT(INDEX(상세표[종료],$M59),"yyyy-mm-dd hh:mm"),INDEX(상세표[종료],$M59)&amp;""))</f>
        <v/>
      </c>
      <c r="F59">
        <f>IF($M59="","",INDEX(상세표[기록 시간외],$M59))</f>
        <v/>
      </c>
      <c r="G59">
        <f>IF($M59="","",INDEX(상세표[시작월 기관],$M59)&amp;"")</f>
        <v/>
      </c>
      <c r="H59">
        <f>IF($M59="","",INDEX(상세표[종료월 기관],$M59)&amp;"")</f>
        <v/>
      </c>
      <c r="I59">
        <f>IF($M59="","",INDEX(상세표[월경계 판정],$M59)&amp;"")</f>
        <v/>
      </c>
      <c r="J59">
        <f>IF($M59="","",INDEX(상세표[반영월],$M59)&amp;"")</f>
        <v/>
      </c>
      <c r="K59">
        <f>IF($M59="","",INDEX(상세표[반영 기관],$M59)&amp;"")</f>
        <v/>
      </c>
      <c r="L59">
        <f>IF($M59="","",INDEX(상세표[기관 출처],$M59)&amp;"")</f>
        <v/>
      </c>
      <c r="M59" s="4">
        <f>IFERROR(MATCH(54,상세표[경계순번],0),"")</f>
        <v/>
      </c>
    </row>
    <row r="60">
      <c r="A60">
        <f>IF($M60="","",INDEX(상세표[사번],$M60)&amp;"")</f>
        <v/>
      </c>
      <c r="B60">
        <f>IF($M60="","",INDEX(상세표[성명],$M60)&amp;"")</f>
        <v/>
      </c>
      <c r="C60">
        <f>IF($M60="","",IF(INDEX(상세표[종료월],$M60)=대상월키,"전월→이번 달","이번 달→익월"))</f>
        <v/>
      </c>
      <c r="D60">
        <f>IF($M60="","",IF(ISNUMBER(INDEX(상세표[시작],$M60)),TEXT(INDEX(상세표[시작],$M60),"yyyy-mm-dd hh:mm"),INDEX(상세표[시작],$M60)&amp;""))</f>
        <v/>
      </c>
      <c r="E60">
        <f>IF($M60="","",IF(ISNUMBER(INDEX(상세표[종료],$M60)),TEXT(INDEX(상세표[종료],$M60),"yyyy-mm-dd hh:mm"),INDEX(상세표[종료],$M60)&amp;""))</f>
        <v/>
      </c>
      <c r="F60">
        <f>IF($M60="","",INDEX(상세표[기록 시간외],$M60))</f>
        <v/>
      </c>
      <c r="G60">
        <f>IF($M60="","",INDEX(상세표[시작월 기관],$M60)&amp;"")</f>
        <v/>
      </c>
      <c r="H60">
        <f>IF($M60="","",INDEX(상세표[종료월 기관],$M60)&amp;"")</f>
        <v/>
      </c>
      <c r="I60">
        <f>IF($M60="","",INDEX(상세표[월경계 판정],$M60)&amp;"")</f>
        <v/>
      </c>
      <c r="J60">
        <f>IF($M60="","",INDEX(상세표[반영월],$M60)&amp;"")</f>
        <v/>
      </c>
      <c r="K60">
        <f>IF($M60="","",INDEX(상세표[반영 기관],$M60)&amp;"")</f>
        <v/>
      </c>
      <c r="L60">
        <f>IF($M60="","",INDEX(상세표[기관 출처],$M60)&amp;"")</f>
        <v/>
      </c>
      <c r="M60" s="4">
        <f>IFERROR(MATCH(55,상세표[경계순번],0),"")</f>
        <v/>
      </c>
    </row>
    <row r="61">
      <c r="A61">
        <f>IF($M61="","",INDEX(상세표[사번],$M61)&amp;"")</f>
        <v/>
      </c>
      <c r="B61">
        <f>IF($M61="","",INDEX(상세표[성명],$M61)&amp;"")</f>
        <v/>
      </c>
      <c r="C61">
        <f>IF($M61="","",IF(INDEX(상세표[종료월],$M61)=대상월키,"전월→이번 달","이번 달→익월"))</f>
        <v/>
      </c>
      <c r="D61">
        <f>IF($M61="","",IF(ISNUMBER(INDEX(상세표[시작],$M61)),TEXT(INDEX(상세표[시작],$M61),"yyyy-mm-dd hh:mm"),INDEX(상세표[시작],$M61)&amp;""))</f>
        <v/>
      </c>
      <c r="E61">
        <f>IF($M61="","",IF(ISNUMBER(INDEX(상세표[종료],$M61)),TEXT(INDEX(상세표[종료],$M61),"yyyy-mm-dd hh:mm"),INDEX(상세표[종료],$M61)&amp;""))</f>
        <v/>
      </c>
      <c r="F61">
        <f>IF($M61="","",INDEX(상세표[기록 시간외],$M61))</f>
        <v/>
      </c>
      <c r="G61">
        <f>IF($M61="","",INDEX(상세표[시작월 기관],$M61)&amp;"")</f>
        <v/>
      </c>
      <c r="H61">
        <f>IF($M61="","",INDEX(상세표[종료월 기관],$M61)&amp;"")</f>
        <v/>
      </c>
      <c r="I61">
        <f>IF($M61="","",INDEX(상세표[월경계 판정],$M61)&amp;"")</f>
        <v/>
      </c>
      <c r="J61">
        <f>IF($M61="","",INDEX(상세표[반영월],$M61)&amp;"")</f>
        <v/>
      </c>
      <c r="K61">
        <f>IF($M61="","",INDEX(상세표[반영 기관],$M61)&amp;"")</f>
        <v/>
      </c>
      <c r="L61">
        <f>IF($M61="","",INDEX(상세표[기관 출처],$M61)&amp;"")</f>
        <v/>
      </c>
      <c r="M61" s="4">
        <f>IFERROR(MATCH(56,상세표[경계순번],0),"")</f>
        <v/>
      </c>
    </row>
    <row r="62">
      <c r="A62">
        <f>IF($M62="","",INDEX(상세표[사번],$M62)&amp;"")</f>
        <v/>
      </c>
      <c r="B62">
        <f>IF($M62="","",INDEX(상세표[성명],$M62)&amp;"")</f>
        <v/>
      </c>
      <c r="C62">
        <f>IF($M62="","",IF(INDEX(상세표[종료월],$M62)=대상월키,"전월→이번 달","이번 달→익월"))</f>
        <v/>
      </c>
      <c r="D62">
        <f>IF($M62="","",IF(ISNUMBER(INDEX(상세표[시작],$M62)),TEXT(INDEX(상세표[시작],$M62),"yyyy-mm-dd hh:mm"),INDEX(상세표[시작],$M62)&amp;""))</f>
        <v/>
      </c>
      <c r="E62">
        <f>IF($M62="","",IF(ISNUMBER(INDEX(상세표[종료],$M62)),TEXT(INDEX(상세표[종료],$M62),"yyyy-mm-dd hh:mm"),INDEX(상세표[종료],$M62)&amp;""))</f>
        <v/>
      </c>
      <c r="F62">
        <f>IF($M62="","",INDEX(상세표[기록 시간외],$M62))</f>
        <v/>
      </c>
      <c r="G62">
        <f>IF($M62="","",INDEX(상세표[시작월 기관],$M62)&amp;"")</f>
        <v/>
      </c>
      <c r="H62">
        <f>IF($M62="","",INDEX(상세표[종료월 기관],$M62)&amp;"")</f>
        <v/>
      </c>
      <c r="I62">
        <f>IF($M62="","",INDEX(상세표[월경계 판정],$M62)&amp;"")</f>
        <v/>
      </c>
      <c r="J62">
        <f>IF($M62="","",INDEX(상세표[반영월],$M62)&amp;"")</f>
        <v/>
      </c>
      <c r="K62">
        <f>IF($M62="","",INDEX(상세표[반영 기관],$M62)&amp;"")</f>
        <v/>
      </c>
      <c r="L62">
        <f>IF($M62="","",INDEX(상세표[기관 출처],$M62)&amp;"")</f>
        <v/>
      </c>
      <c r="M62" s="4">
        <f>IFERROR(MATCH(57,상세표[경계순번],0),"")</f>
        <v/>
      </c>
    </row>
    <row r="63">
      <c r="A63">
        <f>IF($M63="","",INDEX(상세표[사번],$M63)&amp;"")</f>
        <v/>
      </c>
      <c r="B63">
        <f>IF($M63="","",INDEX(상세표[성명],$M63)&amp;"")</f>
        <v/>
      </c>
      <c r="C63">
        <f>IF($M63="","",IF(INDEX(상세표[종료월],$M63)=대상월키,"전월→이번 달","이번 달→익월"))</f>
        <v/>
      </c>
      <c r="D63">
        <f>IF($M63="","",IF(ISNUMBER(INDEX(상세표[시작],$M63)),TEXT(INDEX(상세표[시작],$M63),"yyyy-mm-dd hh:mm"),INDEX(상세표[시작],$M63)&amp;""))</f>
        <v/>
      </c>
      <c r="E63">
        <f>IF($M63="","",IF(ISNUMBER(INDEX(상세표[종료],$M63)),TEXT(INDEX(상세표[종료],$M63),"yyyy-mm-dd hh:mm"),INDEX(상세표[종료],$M63)&amp;""))</f>
        <v/>
      </c>
      <c r="F63">
        <f>IF($M63="","",INDEX(상세표[기록 시간외],$M63))</f>
        <v/>
      </c>
      <c r="G63">
        <f>IF($M63="","",INDEX(상세표[시작월 기관],$M63)&amp;"")</f>
        <v/>
      </c>
      <c r="H63">
        <f>IF($M63="","",INDEX(상세표[종료월 기관],$M63)&amp;"")</f>
        <v/>
      </c>
      <c r="I63">
        <f>IF($M63="","",INDEX(상세표[월경계 판정],$M63)&amp;"")</f>
        <v/>
      </c>
      <c r="J63">
        <f>IF($M63="","",INDEX(상세표[반영월],$M63)&amp;"")</f>
        <v/>
      </c>
      <c r="K63">
        <f>IF($M63="","",INDEX(상세표[반영 기관],$M63)&amp;"")</f>
        <v/>
      </c>
      <c r="L63">
        <f>IF($M63="","",INDEX(상세표[기관 출처],$M63)&amp;"")</f>
        <v/>
      </c>
      <c r="M63" s="4">
        <f>IFERROR(MATCH(58,상세표[경계순번],0),"")</f>
        <v/>
      </c>
    </row>
    <row r="64">
      <c r="A64">
        <f>IF($M64="","",INDEX(상세표[사번],$M64)&amp;"")</f>
        <v/>
      </c>
      <c r="B64">
        <f>IF($M64="","",INDEX(상세표[성명],$M64)&amp;"")</f>
        <v/>
      </c>
      <c r="C64">
        <f>IF($M64="","",IF(INDEX(상세표[종료월],$M64)=대상월키,"전월→이번 달","이번 달→익월"))</f>
        <v/>
      </c>
      <c r="D64">
        <f>IF($M64="","",IF(ISNUMBER(INDEX(상세표[시작],$M64)),TEXT(INDEX(상세표[시작],$M64),"yyyy-mm-dd hh:mm"),INDEX(상세표[시작],$M64)&amp;""))</f>
        <v/>
      </c>
      <c r="E64">
        <f>IF($M64="","",IF(ISNUMBER(INDEX(상세표[종료],$M64)),TEXT(INDEX(상세표[종료],$M64),"yyyy-mm-dd hh:mm"),INDEX(상세표[종료],$M64)&amp;""))</f>
        <v/>
      </c>
      <c r="F64">
        <f>IF($M64="","",INDEX(상세표[기록 시간외],$M64))</f>
        <v/>
      </c>
      <c r="G64">
        <f>IF($M64="","",INDEX(상세표[시작월 기관],$M64)&amp;"")</f>
        <v/>
      </c>
      <c r="H64">
        <f>IF($M64="","",INDEX(상세표[종료월 기관],$M64)&amp;"")</f>
        <v/>
      </c>
      <c r="I64">
        <f>IF($M64="","",INDEX(상세표[월경계 판정],$M64)&amp;"")</f>
        <v/>
      </c>
      <c r="J64">
        <f>IF($M64="","",INDEX(상세표[반영월],$M64)&amp;"")</f>
        <v/>
      </c>
      <c r="K64">
        <f>IF($M64="","",INDEX(상세표[반영 기관],$M64)&amp;"")</f>
        <v/>
      </c>
      <c r="L64">
        <f>IF($M64="","",INDEX(상세표[기관 출처],$M64)&amp;"")</f>
        <v/>
      </c>
      <c r="M64" s="4">
        <f>IFERROR(MATCH(59,상세표[경계순번],0),"")</f>
        <v/>
      </c>
    </row>
    <row r="65">
      <c r="A65">
        <f>IF($M65="","",INDEX(상세표[사번],$M65)&amp;"")</f>
        <v/>
      </c>
      <c r="B65">
        <f>IF($M65="","",INDEX(상세표[성명],$M65)&amp;"")</f>
        <v/>
      </c>
      <c r="C65">
        <f>IF($M65="","",IF(INDEX(상세표[종료월],$M65)=대상월키,"전월→이번 달","이번 달→익월"))</f>
        <v/>
      </c>
      <c r="D65">
        <f>IF($M65="","",IF(ISNUMBER(INDEX(상세표[시작],$M65)),TEXT(INDEX(상세표[시작],$M65),"yyyy-mm-dd hh:mm"),INDEX(상세표[시작],$M65)&amp;""))</f>
        <v/>
      </c>
      <c r="E65">
        <f>IF($M65="","",IF(ISNUMBER(INDEX(상세표[종료],$M65)),TEXT(INDEX(상세표[종료],$M65),"yyyy-mm-dd hh:mm"),INDEX(상세표[종료],$M65)&amp;""))</f>
        <v/>
      </c>
      <c r="F65">
        <f>IF($M65="","",INDEX(상세표[기록 시간외],$M65))</f>
        <v/>
      </c>
      <c r="G65">
        <f>IF($M65="","",INDEX(상세표[시작월 기관],$M65)&amp;"")</f>
        <v/>
      </c>
      <c r="H65">
        <f>IF($M65="","",INDEX(상세표[종료월 기관],$M65)&amp;"")</f>
        <v/>
      </c>
      <c r="I65">
        <f>IF($M65="","",INDEX(상세표[월경계 판정],$M65)&amp;"")</f>
        <v/>
      </c>
      <c r="J65">
        <f>IF($M65="","",INDEX(상세표[반영월],$M65)&amp;"")</f>
        <v/>
      </c>
      <c r="K65">
        <f>IF($M65="","",INDEX(상세표[반영 기관],$M65)&amp;"")</f>
        <v/>
      </c>
      <c r="L65">
        <f>IF($M65="","",INDEX(상세표[기관 출처],$M65)&amp;"")</f>
        <v/>
      </c>
      <c r="M65" s="4">
        <f>IFERROR(MATCH(60,상세표[경계순번],0),"")</f>
        <v/>
      </c>
    </row>
    <row r="66">
      <c r="A66">
        <f>IF($M66="","",INDEX(상세표[사번],$M66)&amp;"")</f>
        <v/>
      </c>
      <c r="B66">
        <f>IF($M66="","",INDEX(상세표[성명],$M66)&amp;"")</f>
        <v/>
      </c>
      <c r="C66">
        <f>IF($M66="","",IF(INDEX(상세표[종료월],$M66)=대상월키,"전월→이번 달","이번 달→익월"))</f>
        <v/>
      </c>
      <c r="D66">
        <f>IF($M66="","",IF(ISNUMBER(INDEX(상세표[시작],$M66)),TEXT(INDEX(상세표[시작],$M66),"yyyy-mm-dd hh:mm"),INDEX(상세표[시작],$M66)&amp;""))</f>
        <v/>
      </c>
      <c r="E66">
        <f>IF($M66="","",IF(ISNUMBER(INDEX(상세표[종료],$M66)),TEXT(INDEX(상세표[종료],$M66),"yyyy-mm-dd hh:mm"),INDEX(상세표[종료],$M66)&amp;""))</f>
        <v/>
      </c>
      <c r="F66">
        <f>IF($M66="","",INDEX(상세표[기록 시간외],$M66))</f>
        <v/>
      </c>
      <c r="G66">
        <f>IF($M66="","",INDEX(상세표[시작월 기관],$M66)&amp;"")</f>
        <v/>
      </c>
      <c r="H66">
        <f>IF($M66="","",INDEX(상세표[종료월 기관],$M66)&amp;"")</f>
        <v/>
      </c>
      <c r="I66">
        <f>IF($M66="","",INDEX(상세표[월경계 판정],$M66)&amp;"")</f>
        <v/>
      </c>
      <c r="J66">
        <f>IF($M66="","",INDEX(상세표[반영월],$M66)&amp;"")</f>
        <v/>
      </c>
      <c r="K66">
        <f>IF($M66="","",INDEX(상세표[반영 기관],$M66)&amp;"")</f>
        <v/>
      </c>
      <c r="L66">
        <f>IF($M66="","",INDEX(상세표[기관 출처],$M66)&amp;"")</f>
        <v/>
      </c>
      <c r="M66" s="4">
        <f>IFERROR(MATCH(61,상세표[경계순번],0),"")</f>
        <v/>
      </c>
    </row>
    <row r="67">
      <c r="A67">
        <f>IF($M67="","",INDEX(상세표[사번],$M67)&amp;"")</f>
        <v/>
      </c>
      <c r="B67">
        <f>IF($M67="","",INDEX(상세표[성명],$M67)&amp;"")</f>
        <v/>
      </c>
      <c r="C67">
        <f>IF($M67="","",IF(INDEX(상세표[종료월],$M67)=대상월키,"전월→이번 달","이번 달→익월"))</f>
        <v/>
      </c>
      <c r="D67">
        <f>IF($M67="","",IF(ISNUMBER(INDEX(상세표[시작],$M67)),TEXT(INDEX(상세표[시작],$M67),"yyyy-mm-dd hh:mm"),INDEX(상세표[시작],$M67)&amp;""))</f>
        <v/>
      </c>
      <c r="E67">
        <f>IF($M67="","",IF(ISNUMBER(INDEX(상세표[종료],$M67)),TEXT(INDEX(상세표[종료],$M67),"yyyy-mm-dd hh:mm"),INDEX(상세표[종료],$M67)&amp;""))</f>
        <v/>
      </c>
      <c r="F67">
        <f>IF($M67="","",INDEX(상세표[기록 시간외],$M67))</f>
        <v/>
      </c>
      <c r="G67">
        <f>IF($M67="","",INDEX(상세표[시작월 기관],$M67)&amp;"")</f>
        <v/>
      </c>
      <c r="H67">
        <f>IF($M67="","",INDEX(상세표[종료월 기관],$M67)&amp;"")</f>
        <v/>
      </c>
      <c r="I67">
        <f>IF($M67="","",INDEX(상세표[월경계 판정],$M67)&amp;"")</f>
        <v/>
      </c>
      <c r="J67">
        <f>IF($M67="","",INDEX(상세표[반영월],$M67)&amp;"")</f>
        <v/>
      </c>
      <c r="K67">
        <f>IF($M67="","",INDEX(상세표[반영 기관],$M67)&amp;"")</f>
        <v/>
      </c>
      <c r="L67">
        <f>IF($M67="","",INDEX(상세표[기관 출처],$M67)&amp;"")</f>
        <v/>
      </c>
      <c r="M67" s="4">
        <f>IFERROR(MATCH(62,상세표[경계순번],0),"")</f>
        <v/>
      </c>
    </row>
    <row r="68">
      <c r="A68">
        <f>IF($M68="","",INDEX(상세표[사번],$M68)&amp;"")</f>
        <v/>
      </c>
      <c r="B68">
        <f>IF($M68="","",INDEX(상세표[성명],$M68)&amp;"")</f>
        <v/>
      </c>
      <c r="C68">
        <f>IF($M68="","",IF(INDEX(상세표[종료월],$M68)=대상월키,"전월→이번 달","이번 달→익월"))</f>
        <v/>
      </c>
      <c r="D68">
        <f>IF($M68="","",IF(ISNUMBER(INDEX(상세표[시작],$M68)),TEXT(INDEX(상세표[시작],$M68),"yyyy-mm-dd hh:mm"),INDEX(상세표[시작],$M68)&amp;""))</f>
        <v/>
      </c>
      <c r="E68">
        <f>IF($M68="","",IF(ISNUMBER(INDEX(상세표[종료],$M68)),TEXT(INDEX(상세표[종료],$M68),"yyyy-mm-dd hh:mm"),INDEX(상세표[종료],$M68)&amp;""))</f>
        <v/>
      </c>
      <c r="F68">
        <f>IF($M68="","",INDEX(상세표[기록 시간외],$M68))</f>
        <v/>
      </c>
      <c r="G68">
        <f>IF($M68="","",INDEX(상세표[시작월 기관],$M68)&amp;"")</f>
        <v/>
      </c>
      <c r="H68">
        <f>IF($M68="","",INDEX(상세표[종료월 기관],$M68)&amp;"")</f>
        <v/>
      </c>
      <c r="I68">
        <f>IF($M68="","",INDEX(상세표[월경계 판정],$M68)&amp;"")</f>
        <v/>
      </c>
      <c r="J68">
        <f>IF($M68="","",INDEX(상세표[반영월],$M68)&amp;"")</f>
        <v/>
      </c>
      <c r="K68">
        <f>IF($M68="","",INDEX(상세표[반영 기관],$M68)&amp;"")</f>
        <v/>
      </c>
      <c r="L68">
        <f>IF($M68="","",INDEX(상세표[기관 출처],$M68)&amp;"")</f>
        <v/>
      </c>
      <c r="M68" s="4">
        <f>IFERROR(MATCH(63,상세표[경계순번],0),"")</f>
        <v/>
      </c>
    </row>
    <row r="69">
      <c r="A69">
        <f>IF($M69="","",INDEX(상세표[사번],$M69)&amp;"")</f>
        <v/>
      </c>
      <c r="B69">
        <f>IF($M69="","",INDEX(상세표[성명],$M69)&amp;"")</f>
        <v/>
      </c>
      <c r="C69">
        <f>IF($M69="","",IF(INDEX(상세표[종료월],$M69)=대상월키,"전월→이번 달","이번 달→익월"))</f>
        <v/>
      </c>
      <c r="D69">
        <f>IF($M69="","",IF(ISNUMBER(INDEX(상세표[시작],$M69)),TEXT(INDEX(상세표[시작],$M69),"yyyy-mm-dd hh:mm"),INDEX(상세표[시작],$M69)&amp;""))</f>
        <v/>
      </c>
      <c r="E69">
        <f>IF($M69="","",IF(ISNUMBER(INDEX(상세표[종료],$M69)),TEXT(INDEX(상세표[종료],$M69),"yyyy-mm-dd hh:mm"),INDEX(상세표[종료],$M69)&amp;""))</f>
        <v/>
      </c>
      <c r="F69">
        <f>IF($M69="","",INDEX(상세표[기록 시간외],$M69))</f>
        <v/>
      </c>
      <c r="G69">
        <f>IF($M69="","",INDEX(상세표[시작월 기관],$M69)&amp;"")</f>
        <v/>
      </c>
      <c r="H69">
        <f>IF($M69="","",INDEX(상세표[종료월 기관],$M69)&amp;"")</f>
        <v/>
      </c>
      <c r="I69">
        <f>IF($M69="","",INDEX(상세표[월경계 판정],$M69)&amp;"")</f>
        <v/>
      </c>
      <c r="J69">
        <f>IF($M69="","",INDEX(상세표[반영월],$M69)&amp;"")</f>
        <v/>
      </c>
      <c r="K69">
        <f>IF($M69="","",INDEX(상세표[반영 기관],$M69)&amp;"")</f>
        <v/>
      </c>
      <c r="L69">
        <f>IF($M69="","",INDEX(상세표[기관 출처],$M69)&amp;"")</f>
        <v/>
      </c>
      <c r="M69" s="4">
        <f>IFERROR(MATCH(64,상세표[경계순번],0),"")</f>
        <v/>
      </c>
    </row>
    <row r="70">
      <c r="A70">
        <f>IF($M70="","",INDEX(상세표[사번],$M70)&amp;"")</f>
        <v/>
      </c>
      <c r="B70">
        <f>IF($M70="","",INDEX(상세표[성명],$M70)&amp;"")</f>
        <v/>
      </c>
      <c r="C70">
        <f>IF($M70="","",IF(INDEX(상세표[종료월],$M70)=대상월키,"전월→이번 달","이번 달→익월"))</f>
        <v/>
      </c>
      <c r="D70">
        <f>IF($M70="","",IF(ISNUMBER(INDEX(상세표[시작],$M70)),TEXT(INDEX(상세표[시작],$M70),"yyyy-mm-dd hh:mm"),INDEX(상세표[시작],$M70)&amp;""))</f>
        <v/>
      </c>
      <c r="E70">
        <f>IF($M70="","",IF(ISNUMBER(INDEX(상세표[종료],$M70)),TEXT(INDEX(상세표[종료],$M70),"yyyy-mm-dd hh:mm"),INDEX(상세표[종료],$M70)&amp;""))</f>
        <v/>
      </c>
      <c r="F70">
        <f>IF($M70="","",INDEX(상세표[기록 시간외],$M70))</f>
        <v/>
      </c>
      <c r="G70">
        <f>IF($M70="","",INDEX(상세표[시작월 기관],$M70)&amp;"")</f>
        <v/>
      </c>
      <c r="H70">
        <f>IF($M70="","",INDEX(상세표[종료월 기관],$M70)&amp;"")</f>
        <v/>
      </c>
      <c r="I70">
        <f>IF($M70="","",INDEX(상세표[월경계 판정],$M70)&amp;"")</f>
        <v/>
      </c>
      <c r="J70">
        <f>IF($M70="","",INDEX(상세표[반영월],$M70)&amp;"")</f>
        <v/>
      </c>
      <c r="K70">
        <f>IF($M70="","",INDEX(상세표[반영 기관],$M70)&amp;"")</f>
        <v/>
      </c>
      <c r="L70">
        <f>IF($M70="","",INDEX(상세표[기관 출처],$M70)&amp;"")</f>
        <v/>
      </c>
      <c r="M70" s="4">
        <f>IFERROR(MATCH(65,상세표[경계순번],0),"")</f>
        <v/>
      </c>
    </row>
    <row r="71">
      <c r="A71">
        <f>IF($M71="","",INDEX(상세표[사번],$M71)&amp;"")</f>
        <v/>
      </c>
      <c r="B71">
        <f>IF($M71="","",INDEX(상세표[성명],$M71)&amp;"")</f>
        <v/>
      </c>
      <c r="C71">
        <f>IF($M71="","",IF(INDEX(상세표[종료월],$M71)=대상월키,"전월→이번 달","이번 달→익월"))</f>
        <v/>
      </c>
      <c r="D71">
        <f>IF($M71="","",IF(ISNUMBER(INDEX(상세표[시작],$M71)),TEXT(INDEX(상세표[시작],$M71),"yyyy-mm-dd hh:mm"),INDEX(상세표[시작],$M71)&amp;""))</f>
        <v/>
      </c>
      <c r="E71">
        <f>IF($M71="","",IF(ISNUMBER(INDEX(상세표[종료],$M71)),TEXT(INDEX(상세표[종료],$M71),"yyyy-mm-dd hh:mm"),INDEX(상세표[종료],$M71)&amp;""))</f>
        <v/>
      </c>
      <c r="F71">
        <f>IF($M71="","",INDEX(상세표[기록 시간외],$M71))</f>
        <v/>
      </c>
      <c r="G71">
        <f>IF($M71="","",INDEX(상세표[시작월 기관],$M71)&amp;"")</f>
        <v/>
      </c>
      <c r="H71">
        <f>IF($M71="","",INDEX(상세표[종료월 기관],$M71)&amp;"")</f>
        <v/>
      </c>
      <c r="I71">
        <f>IF($M71="","",INDEX(상세표[월경계 판정],$M71)&amp;"")</f>
        <v/>
      </c>
      <c r="J71">
        <f>IF($M71="","",INDEX(상세표[반영월],$M71)&amp;"")</f>
        <v/>
      </c>
      <c r="K71">
        <f>IF($M71="","",INDEX(상세표[반영 기관],$M71)&amp;"")</f>
        <v/>
      </c>
      <c r="L71">
        <f>IF($M71="","",INDEX(상세표[기관 출처],$M71)&amp;"")</f>
        <v/>
      </c>
      <c r="M71" s="4">
        <f>IFERROR(MATCH(66,상세표[경계순번],0),"")</f>
        <v/>
      </c>
    </row>
    <row r="72">
      <c r="A72">
        <f>IF($M72="","",INDEX(상세표[사번],$M72)&amp;"")</f>
        <v/>
      </c>
      <c r="B72">
        <f>IF($M72="","",INDEX(상세표[성명],$M72)&amp;"")</f>
        <v/>
      </c>
      <c r="C72">
        <f>IF($M72="","",IF(INDEX(상세표[종료월],$M72)=대상월키,"전월→이번 달","이번 달→익월"))</f>
        <v/>
      </c>
      <c r="D72">
        <f>IF($M72="","",IF(ISNUMBER(INDEX(상세표[시작],$M72)),TEXT(INDEX(상세표[시작],$M72),"yyyy-mm-dd hh:mm"),INDEX(상세표[시작],$M72)&amp;""))</f>
        <v/>
      </c>
      <c r="E72">
        <f>IF($M72="","",IF(ISNUMBER(INDEX(상세표[종료],$M72)),TEXT(INDEX(상세표[종료],$M72),"yyyy-mm-dd hh:mm"),INDEX(상세표[종료],$M72)&amp;""))</f>
        <v/>
      </c>
      <c r="F72">
        <f>IF($M72="","",INDEX(상세표[기록 시간외],$M72))</f>
        <v/>
      </c>
      <c r="G72">
        <f>IF($M72="","",INDEX(상세표[시작월 기관],$M72)&amp;"")</f>
        <v/>
      </c>
      <c r="H72">
        <f>IF($M72="","",INDEX(상세표[종료월 기관],$M72)&amp;"")</f>
        <v/>
      </c>
      <c r="I72">
        <f>IF($M72="","",INDEX(상세표[월경계 판정],$M72)&amp;"")</f>
        <v/>
      </c>
      <c r="J72">
        <f>IF($M72="","",INDEX(상세표[반영월],$M72)&amp;"")</f>
        <v/>
      </c>
      <c r="K72">
        <f>IF($M72="","",INDEX(상세표[반영 기관],$M72)&amp;"")</f>
        <v/>
      </c>
      <c r="L72">
        <f>IF($M72="","",INDEX(상세표[기관 출처],$M72)&amp;"")</f>
        <v/>
      </c>
      <c r="M72" s="4">
        <f>IFERROR(MATCH(67,상세표[경계순번],0),"")</f>
        <v/>
      </c>
    </row>
    <row r="73">
      <c r="A73">
        <f>IF($M73="","",INDEX(상세표[사번],$M73)&amp;"")</f>
        <v/>
      </c>
      <c r="B73">
        <f>IF($M73="","",INDEX(상세표[성명],$M73)&amp;"")</f>
        <v/>
      </c>
      <c r="C73">
        <f>IF($M73="","",IF(INDEX(상세표[종료월],$M73)=대상월키,"전월→이번 달","이번 달→익월"))</f>
        <v/>
      </c>
      <c r="D73">
        <f>IF($M73="","",IF(ISNUMBER(INDEX(상세표[시작],$M73)),TEXT(INDEX(상세표[시작],$M73),"yyyy-mm-dd hh:mm"),INDEX(상세표[시작],$M73)&amp;""))</f>
        <v/>
      </c>
      <c r="E73">
        <f>IF($M73="","",IF(ISNUMBER(INDEX(상세표[종료],$M73)),TEXT(INDEX(상세표[종료],$M73),"yyyy-mm-dd hh:mm"),INDEX(상세표[종료],$M73)&amp;""))</f>
        <v/>
      </c>
      <c r="F73">
        <f>IF($M73="","",INDEX(상세표[기록 시간외],$M73))</f>
        <v/>
      </c>
      <c r="G73">
        <f>IF($M73="","",INDEX(상세표[시작월 기관],$M73)&amp;"")</f>
        <v/>
      </c>
      <c r="H73">
        <f>IF($M73="","",INDEX(상세표[종료월 기관],$M73)&amp;"")</f>
        <v/>
      </c>
      <c r="I73">
        <f>IF($M73="","",INDEX(상세표[월경계 판정],$M73)&amp;"")</f>
        <v/>
      </c>
      <c r="J73">
        <f>IF($M73="","",INDEX(상세표[반영월],$M73)&amp;"")</f>
        <v/>
      </c>
      <c r="K73">
        <f>IF($M73="","",INDEX(상세표[반영 기관],$M73)&amp;"")</f>
        <v/>
      </c>
      <c r="L73">
        <f>IF($M73="","",INDEX(상세표[기관 출처],$M73)&amp;"")</f>
        <v/>
      </c>
      <c r="M73" s="4">
        <f>IFERROR(MATCH(68,상세표[경계순번],0),"")</f>
        <v/>
      </c>
    </row>
    <row r="74">
      <c r="A74">
        <f>IF($M74="","",INDEX(상세표[사번],$M74)&amp;"")</f>
        <v/>
      </c>
      <c r="B74">
        <f>IF($M74="","",INDEX(상세표[성명],$M74)&amp;"")</f>
        <v/>
      </c>
      <c r="C74">
        <f>IF($M74="","",IF(INDEX(상세표[종료월],$M74)=대상월키,"전월→이번 달","이번 달→익월"))</f>
        <v/>
      </c>
      <c r="D74">
        <f>IF($M74="","",IF(ISNUMBER(INDEX(상세표[시작],$M74)),TEXT(INDEX(상세표[시작],$M74),"yyyy-mm-dd hh:mm"),INDEX(상세표[시작],$M74)&amp;""))</f>
        <v/>
      </c>
      <c r="E74">
        <f>IF($M74="","",IF(ISNUMBER(INDEX(상세표[종료],$M74)),TEXT(INDEX(상세표[종료],$M74),"yyyy-mm-dd hh:mm"),INDEX(상세표[종료],$M74)&amp;""))</f>
        <v/>
      </c>
      <c r="F74">
        <f>IF($M74="","",INDEX(상세표[기록 시간외],$M74))</f>
        <v/>
      </c>
      <c r="G74">
        <f>IF($M74="","",INDEX(상세표[시작월 기관],$M74)&amp;"")</f>
        <v/>
      </c>
      <c r="H74">
        <f>IF($M74="","",INDEX(상세표[종료월 기관],$M74)&amp;"")</f>
        <v/>
      </c>
      <c r="I74">
        <f>IF($M74="","",INDEX(상세표[월경계 판정],$M74)&amp;"")</f>
        <v/>
      </c>
      <c r="J74">
        <f>IF($M74="","",INDEX(상세표[반영월],$M74)&amp;"")</f>
        <v/>
      </c>
      <c r="K74">
        <f>IF($M74="","",INDEX(상세표[반영 기관],$M74)&amp;"")</f>
        <v/>
      </c>
      <c r="L74">
        <f>IF($M74="","",INDEX(상세표[기관 출처],$M74)&amp;"")</f>
        <v/>
      </c>
      <c r="M74" s="4">
        <f>IFERROR(MATCH(69,상세표[경계순번],0),"")</f>
        <v/>
      </c>
    </row>
    <row r="75">
      <c r="A75">
        <f>IF($M75="","",INDEX(상세표[사번],$M75)&amp;"")</f>
        <v/>
      </c>
      <c r="B75">
        <f>IF($M75="","",INDEX(상세표[성명],$M75)&amp;"")</f>
        <v/>
      </c>
      <c r="C75">
        <f>IF($M75="","",IF(INDEX(상세표[종료월],$M75)=대상월키,"전월→이번 달","이번 달→익월"))</f>
        <v/>
      </c>
      <c r="D75">
        <f>IF($M75="","",IF(ISNUMBER(INDEX(상세표[시작],$M75)),TEXT(INDEX(상세표[시작],$M75),"yyyy-mm-dd hh:mm"),INDEX(상세표[시작],$M75)&amp;""))</f>
        <v/>
      </c>
      <c r="E75">
        <f>IF($M75="","",IF(ISNUMBER(INDEX(상세표[종료],$M75)),TEXT(INDEX(상세표[종료],$M75),"yyyy-mm-dd hh:mm"),INDEX(상세표[종료],$M75)&amp;""))</f>
        <v/>
      </c>
      <c r="F75">
        <f>IF($M75="","",INDEX(상세표[기록 시간외],$M75))</f>
        <v/>
      </c>
      <c r="G75">
        <f>IF($M75="","",INDEX(상세표[시작월 기관],$M75)&amp;"")</f>
        <v/>
      </c>
      <c r="H75">
        <f>IF($M75="","",INDEX(상세표[종료월 기관],$M75)&amp;"")</f>
        <v/>
      </c>
      <c r="I75">
        <f>IF($M75="","",INDEX(상세표[월경계 판정],$M75)&amp;"")</f>
        <v/>
      </c>
      <c r="J75">
        <f>IF($M75="","",INDEX(상세표[반영월],$M75)&amp;"")</f>
        <v/>
      </c>
      <c r="K75">
        <f>IF($M75="","",INDEX(상세표[반영 기관],$M75)&amp;"")</f>
        <v/>
      </c>
      <c r="L75">
        <f>IF($M75="","",INDEX(상세표[기관 출처],$M75)&amp;"")</f>
        <v/>
      </c>
      <c r="M75" s="4">
        <f>IFERROR(MATCH(70,상세표[경계순번],0),"")</f>
        <v/>
      </c>
    </row>
    <row r="76">
      <c r="A76">
        <f>IF($M76="","",INDEX(상세표[사번],$M76)&amp;"")</f>
        <v/>
      </c>
      <c r="B76">
        <f>IF($M76="","",INDEX(상세표[성명],$M76)&amp;"")</f>
        <v/>
      </c>
      <c r="C76">
        <f>IF($M76="","",IF(INDEX(상세표[종료월],$M76)=대상월키,"전월→이번 달","이번 달→익월"))</f>
        <v/>
      </c>
      <c r="D76">
        <f>IF($M76="","",IF(ISNUMBER(INDEX(상세표[시작],$M76)),TEXT(INDEX(상세표[시작],$M76),"yyyy-mm-dd hh:mm"),INDEX(상세표[시작],$M76)&amp;""))</f>
        <v/>
      </c>
      <c r="E76">
        <f>IF($M76="","",IF(ISNUMBER(INDEX(상세표[종료],$M76)),TEXT(INDEX(상세표[종료],$M76),"yyyy-mm-dd hh:mm"),INDEX(상세표[종료],$M76)&amp;""))</f>
        <v/>
      </c>
      <c r="F76">
        <f>IF($M76="","",INDEX(상세표[기록 시간외],$M76))</f>
        <v/>
      </c>
      <c r="G76">
        <f>IF($M76="","",INDEX(상세표[시작월 기관],$M76)&amp;"")</f>
        <v/>
      </c>
      <c r="H76">
        <f>IF($M76="","",INDEX(상세표[종료월 기관],$M76)&amp;"")</f>
        <v/>
      </c>
      <c r="I76">
        <f>IF($M76="","",INDEX(상세표[월경계 판정],$M76)&amp;"")</f>
        <v/>
      </c>
      <c r="J76">
        <f>IF($M76="","",INDEX(상세표[반영월],$M76)&amp;"")</f>
        <v/>
      </c>
      <c r="K76">
        <f>IF($M76="","",INDEX(상세표[반영 기관],$M76)&amp;"")</f>
        <v/>
      </c>
      <c r="L76">
        <f>IF($M76="","",INDEX(상세표[기관 출처],$M76)&amp;"")</f>
        <v/>
      </c>
      <c r="M76" s="4">
        <f>IFERROR(MATCH(71,상세표[경계순번],0),"")</f>
        <v/>
      </c>
    </row>
    <row r="77">
      <c r="A77">
        <f>IF($M77="","",INDEX(상세표[사번],$M77)&amp;"")</f>
        <v/>
      </c>
      <c r="B77">
        <f>IF($M77="","",INDEX(상세표[성명],$M77)&amp;"")</f>
        <v/>
      </c>
      <c r="C77">
        <f>IF($M77="","",IF(INDEX(상세표[종료월],$M77)=대상월키,"전월→이번 달","이번 달→익월"))</f>
        <v/>
      </c>
      <c r="D77">
        <f>IF($M77="","",IF(ISNUMBER(INDEX(상세표[시작],$M77)),TEXT(INDEX(상세표[시작],$M77),"yyyy-mm-dd hh:mm"),INDEX(상세표[시작],$M77)&amp;""))</f>
        <v/>
      </c>
      <c r="E77">
        <f>IF($M77="","",IF(ISNUMBER(INDEX(상세표[종료],$M77)),TEXT(INDEX(상세표[종료],$M77),"yyyy-mm-dd hh:mm"),INDEX(상세표[종료],$M77)&amp;""))</f>
        <v/>
      </c>
      <c r="F77">
        <f>IF($M77="","",INDEX(상세표[기록 시간외],$M77))</f>
        <v/>
      </c>
      <c r="G77">
        <f>IF($M77="","",INDEX(상세표[시작월 기관],$M77)&amp;"")</f>
        <v/>
      </c>
      <c r="H77">
        <f>IF($M77="","",INDEX(상세표[종료월 기관],$M77)&amp;"")</f>
        <v/>
      </c>
      <c r="I77">
        <f>IF($M77="","",INDEX(상세표[월경계 판정],$M77)&amp;"")</f>
        <v/>
      </c>
      <c r="J77">
        <f>IF($M77="","",INDEX(상세표[반영월],$M77)&amp;"")</f>
        <v/>
      </c>
      <c r="K77">
        <f>IF($M77="","",INDEX(상세표[반영 기관],$M77)&amp;"")</f>
        <v/>
      </c>
      <c r="L77">
        <f>IF($M77="","",INDEX(상세표[기관 출처],$M77)&amp;"")</f>
        <v/>
      </c>
      <c r="M77" s="4">
        <f>IFERROR(MATCH(72,상세표[경계순번],0),"")</f>
        <v/>
      </c>
    </row>
    <row r="78">
      <c r="A78">
        <f>IF($M78="","",INDEX(상세표[사번],$M78)&amp;"")</f>
        <v/>
      </c>
      <c r="B78">
        <f>IF($M78="","",INDEX(상세표[성명],$M78)&amp;"")</f>
        <v/>
      </c>
      <c r="C78">
        <f>IF($M78="","",IF(INDEX(상세표[종료월],$M78)=대상월키,"전월→이번 달","이번 달→익월"))</f>
        <v/>
      </c>
      <c r="D78">
        <f>IF($M78="","",IF(ISNUMBER(INDEX(상세표[시작],$M78)),TEXT(INDEX(상세표[시작],$M78),"yyyy-mm-dd hh:mm"),INDEX(상세표[시작],$M78)&amp;""))</f>
        <v/>
      </c>
      <c r="E78">
        <f>IF($M78="","",IF(ISNUMBER(INDEX(상세표[종료],$M78)),TEXT(INDEX(상세표[종료],$M78),"yyyy-mm-dd hh:mm"),INDEX(상세표[종료],$M78)&amp;""))</f>
        <v/>
      </c>
      <c r="F78">
        <f>IF($M78="","",INDEX(상세표[기록 시간외],$M78))</f>
        <v/>
      </c>
      <c r="G78">
        <f>IF($M78="","",INDEX(상세표[시작월 기관],$M78)&amp;"")</f>
        <v/>
      </c>
      <c r="H78">
        <f>IF($M78="","",INDEX(상세표[종료월 기관],$M78)&amp;"")</f>
        <v/>
      </c>
      <c r="I78">
        <f>IF($M78="","",INDEX(상세표[월경계 판정],$M78)&amp;"")</f>
        <v/>
      </c>
      <c r="J78">
        <f>IF($M78="","",INDEX(상세표[반영월],$M78)&amp;"")</f>
        <v/>
      </c>
      <c r="K78">
        <f>IF($M78="","",INDEX(상세표[반영 기관],$M78)&amp;"")</f>
        <v/>
      </c>
      <c r="L78">
        <f>IF($M78="","",INDEX(상세표[기관 출처],$M78)&amp;"")</f>
        <v/>
      </c>
      <c r="M78" s="4">
        <f>IFERROR(MATCH(73,상세표[경계순번],0),"")</f>
        <v/>
      </c>
    </row>
    <row r="79">
      <c r="A79">
        <f>IF($M79="","",INDEX(상세표[사번],$M79)&amp;"")</f>
        <v/>
      </c>
      <c r="B79">
        <f>IF($M79="","",INDEX(상세표[성명],$M79)&amp;"")</f>
        <v/>
      </c>
      <c r="C79">
        <f>IF($M79="","",IF(INDEX(상세표[종료월],$M79)=대상월키,"전월→이번 달","이번 달→익월"))</f>
        <v/>
      </c>
      <c r="D79">
        <f>IF($M79="","",IF(ISNUMBER(INDEX(상세표[시작],$M79)),TEXT(INDEX(상세표[시작],$M79),"yyyy-mm-dd hh:mm"),INDEX(상세표[시작],$M79)&amp;""))</f>
        <v/>
      </c>
      <c r="E79">
        <f>IF($M79="","",IF(ISNUMBER(INDEX(상세표[종료],$M79)),TEXT(INDEX(상세표[종료],$M79),"yyyy-mm-dd hh:mm"),INDEX(상세표[종료],$M79)&amp;""))</f>
        <v/>
      </c>
      <c r="F79">
        <f>IF($M79="","",INDEX(상세표[기록 시간외],$M79))</f>
        <v/>
      </c>
      <c r="G79">
        <f>IF($M79="","",INDEX(상세표[시작월 기관],$M79)&amp;"")</f>
        <v/>
      </c>
      <c r="H79">
        <f>IF($M79="","",INDEX(상세표[종료월 기관],$M79)&amp;"")</f>
        <v/>
      </c>
      <c r="I79">
        <f>IF($M79="","",INDEX(상세표[월경계 판정],$M79)&amp;"")</f>
        <v/>
      </c>
      <c r="J79">
        <f>IF($M79="","",INDEX(상세표[반영월],$M79)&amp;"")</f>
        <v/>
      </c>
      <c r="K79">
        <f>IF($M79="","",INDEX(상세표[반영 기관],$M79)&amp;"")</f>
        <v/>
      </c>
      <c r="L79">
        <f>IF($M79="","",INDEX(상세표[기관 출처],$M79)&amp;"")</f>
        <v/>
      </c>
      <c r="M79" s="4">
        <f>IFERROR(MATCH(74,상세표[경계순번],0),"")</f>
        <v/>
      </c>
    </row>
    <row r="80">
      <c r="A80">
        <f>IF($M80="","",INDEX(상세표[사번],$M80)&amp;"")</f>
        <v/>
      </c>
      <c r="B80">
        <f>IF($M80="","",INDEX(상세표[성명],$M80)&amp;"")</f>
        <v/>
      </c>
      <c r="C80">
        <f>IF($M80="","",IF(INDEX(상세표[종료월],$M80)=대상월키,"전월→이번 달","이번 달→익월"))</f>
        <v/>
      </c>
      <c r="D80">
        <f>IF($M80="","",IF(ISNUMBER(INDEX(상세표[시작],$M80)),TEXT(INDEX(상세표[시작],$M80),"yyyy-mm-dd hh:mm"),INDEX(상세표[시작],$M80)&amp;""))</f>
        <v/>
      </c>
      <c r="E80">
        <f>IF($M80="","",IF(ISNUMBER(INDEX(상세표[종료],$M80)),TEXT(INDEX(상세표[종료],$M80),"yyyy-mm-dd hh:mm"),INDEX(상세표[종료],$M80)&amp;""))</f>
        <v/>
      </c>
      <c r="F80">
        <f>IF($M80="","",INDEX(상세표[기록 시간외],$M80))</f>
        <v/>
      </c>
      <c r="G80">
        <f>IF($M80="","",INDEX(상세표[시작월 기관],$M80)&amp;"")</f>
        <v/>
      </c>
      <c r="H80">
        <f>IF($M80="","",INDEX(상세표[종료월 기관],$M80)&amp;"")</f>
        <v/>
      </c>
      <c r="I80">
        <f>IF($M80="","",INDEX(상세표[월경계 판정],$M80)&amp;"")</f>
        <v/>
      </c>
      <c r="J80">
        <f>IF($M80="","",INDEX(상세표[반영월],$M80)&amp;"")</f>
        <v/>
      </c>
      <c r="K80">
        <f>IF($M80="","",INDEX(상세표[반영 기관],$M80)&amp;"")</f>
        <v/>
      </c>
      <c r="L80">
        <f>IF($M80="","",INDEX(상세표[기관 출처],$M80)&amp;"")</f>
        <v/>
      </c>
      <c r="M80" s="4">
        <f>IFERROR(MATCH(75,상세표[경계순번],0),"")</f>
        <v/>
      </c>
    </row>
    <row r="81">
      <c r="A81">
        <f>IF($M81="","",INDEX(상세표[사번],$M81)&amp;"")</f>
        <v/>
      </c>
      <c r="B81">
        <f>IF($M81="","",INDEX(상세표[성명],$M81)&amp;"")</f>
        <v/>
      </c>
      <c r="C81">
        <f>IF($M81="","",IF(INDEX(상세표[종료월],$M81)=대상월키,"전월→이번 달","이번 달→익월"))</f>
        <v/>
      </c>
      <c r="D81">
        <f>IF($M81="","",IF(ISNUMBER(INDEX(상세표[시작],$M81)),TEXT(INDEX(상세표[시작],$M81),"yyyy-mm-dd hh:mm"),INDEX(상세표[시작],$M81)&amp;""))</f>
        <v/>
      </c>
      <c r="E81">
        <f>IF($M81="","",IF(ISNUMBER(INDEX(상세표[종료],$M81)),TEXT(INDEX(상세표[종료],$M81),"yyyy-mm-dd hh:mm"),INDEX(상세표[종료],$M81)&amp;""))</f>
        <v/>
      </c>
      <c r="F81">
        <f>IF($M81="","",INDEX(상세표[기록 시간외],$M81))</f>
        <v/>
      </c>
      <c r="G81">
        <f>IF($M81="","",INDEX(상세표[시작월 기관],$M81)&amp;"")</f>
        <v/>
      </c>
      <c r="H81">
        <f>IF($M81="","",INDEX(상세표[종료월 기관],$M81)&amp;"")</f>
        <v/>
      </c>
      <c r="I81">
        <f>IF($M81="","",INDEX(상세표[월경계 판정],$M81)&amp;"")</f>
        <v/>
      </c>
      <c r="J81">
        <f>IF($M81="","",INDEX(상세표[반영월],$M81)&amp;"")</f>
        <v/>
      </c>
      <c r="K81">
        <f>IF($M81="","",INDEX(상세표[반영 기관],$M81)&amp;"")</f>
        <v/>
      </c>
      <c r="L81">
        <f>IF($M81="","",INDEX(상세표[기관 출처],$M81)&amp;"")</f>
        <v/>
      </c>
      <c r="M81" s="4">
        <f>IFERROR(MATCH(76,상세표[경계순번],0),"")</f>
        <v/>
      </c>
    </row>
    <row r="82">
      <c r="A82">
        <f>IF($M82="","",INDEX(상세표[사번],$M82)&amp;"")</f>
        <v/>
      </c>
      <c r="B82">
        <f>IF($M82="","",INDEX(상세표[성명],$M82)&amp;"")</f>
        <v/>
      </c>
      <c r="C82">
        <f>IF($M82="","",IF(INDEX(상세표[종료월],$M82)=대상월키,"전월→이번 달","이번 달→익월"))</f>
        <v/>
      </c>
      <c r="D82">
        <f>IF($M82="","",IF(ISNUMBER(INDEX(상세표[시작],$M82)),TEXT(INDEX(상세표[시작],$M82),"yyyy-mm-dd hh:mm"),INDEX(상세표[시작],$M82)&amp;""))</f>
        <v/>
      </c>
      <c r="E82">
        <f>IF($M82="","",IF(ISNUMBER(INDEX(상세표[종료],$M82)),TEXT(INDEX(상세표[종료],$M82),"yyyy-mm-dd hh:mm"),INDEX(상세표[종료],$M82)&amp;""))</f>
        <v/>
      </c>
      <c r="F82">
        <f>IF($M82="","",INDEX(상세표[기록 시간외],$M82))</f>
        <v/>
      </c>
      <c r="G82">
        <f>IF($M82="","",INDEX(상세표[시작월 기관],$M82)&amp;"")</f>
        <v/>
      </c>
      <c r="H82">
        <f>IF($M82="","",INDEX(상세표[종료월 기관],$M82)&amp;"")</f>
        <v/>
      </c>
      <c r="I82">
        <f>IF($M82="","",INDEX(상세표[월경계 판정],$M82)&amp;"")</f>
        <v/>
      </c>
      <c r="J82">
        <f>IF($M82="","",INDEX(상세표[반영월],$M82)&amp;"")</f>
        <v/>
      </c>
      <c r="K82">
        <f>IF($M82="","",INDEX(상세표[반영 기관],$M82)&amp;"")</f>
        <v/>
      </c>
      <c r="L82">
        <f>IF($M82="","",INDEX(상세표[기관 출처],$M82)&amp;"")</f>
        <v/>
      </c>
      <c r="M82" s="4">
        <f>IFERROR(MATCH(77,상세표[경계순번],0),"")</f>
        <v/>
      </c>
    </row>
    <row r="83">
      <c r="A83">
        <f>IF($M83="","",INDEX(상세표[사번],$M83)&amp;"")</f>
        <v/>
      </c>
      <c r="B83">
        <f>IF($M83="","",INDEX(상세표[성명],$M83)&amp;"")</f>
        <v/>
      </c>
      <c r="C83">
        <f>IF($M83="","",IF(INDEX(상세표[종료월],$M83)=대상월키,"전월→이번 달","이번 달→익월"))</f>
        <v/>
      </c>
      <c r="D83">
        <f>IF($M83="","",IF(ISNUMBER(INDEX(상세표[시작],$M83)),TEXT(INDEX(상세표[시작],$M83),"yyyy-mm-dd hh:mm"),INDEX(상세표[시작],$M83)&amp;""))</f>
        <v/>
      </c>
      <c r="E83">
        <f>IF($M83="","",IF(ISNUMBER(INDEX(상세표[종료],$M83)),TEXT(INDEX(상세표[종료],$M83),"yyyy-mm-dd hh:mm"),INDEX(상세표[종료],$M83)&amp;""))</f>
        <v/>
      </c>
      <c r="F83">
        <f>IF($M83="","",INDEX(상세표[기록 시간외],$M83))</f>
        <v/>
      </c>
      <c r="G83">
        <f>IF($M83="","",INDEX(상세표[시작월 기관],$M83)&amp;"")</f>
        <v/>
      </c>
      <c r="H83">
        <f>IF($M83="","",INDEX(상세표[종료월 기관],$M83)&amp;"")</f>
        <v/>
      </c>
      <c r="I83">
        <f>IF($M83="","",INDEX(상세표[월경계 판정],$M83)&amp;"")</f>
        <v/>
      </c>
      <c r="J83">
        <f>IF($M83="","",INDEX(상세표[반영월],$M83)&amp;"")</f>
        <v/>
      </c>
      <c r="K83">
        <f>IF($M83="","",INDEX(상세표[반영 기관],$M83)&amp;"")</f>
        <v/>
      </c>
      <c r="L83">
        <f>IF($M83="","",INDEX(상세표[기관 출처],$M83)&amp;"")</f>
        <v/>
      </c>
      <c r="M83" s="4">
        <f>IFERROR(MATCH(78,상세표[경계순번],0),"")</f>
        <v/>
      </c>
    </row>
    <row r="84">
      <c r="A84">
        <f>IF($M84="","",INDEX(상세표[사번],$M84)&amp;"")</f>
        <v/>
      </c>
      <c r="B84">
        <f>IF($M84="","",INDEX(상세표[성명],$M84)&amp;"")</f>
        <v/>
      </c>
      <c r="C84">
        <f>IF($M84="","",IF(INDEX(상세표[종료월],$M84)=대상월키,"전월→이번 달","이번 달→익월"))</f>
        <v/>
      </c>
      <c r="D84">
        <f>IF($M84="","",IF(ISNUMBER(INDEX(상세표[시작],$M84)),TEXT(INDEX(상세표[시작],$M84),"yyyy-mm-dd hh:mm"),INDEX(상세표[시작],$M84)&amp;""))</f>
        <v/>
      </c>
      <c r="E84">
        <f>IF($M84="","",IF(ISNUMBER(INDEX(상세표[종료],$M84)),TEXT(INDEX(상세표[종료],$M84),"yyyy-mm-dd hh:mm"),INDEX(상세표[종료],$M84)&amp;""))</f>
        <v/>
      </c>
      <c r="F84">
        <f>IF($M84="","",INDEX(상세표[기록 시간외],$M84))</f>
        <v/>
      </c>
      <c r="G84">
        <f>IF($M84="","",INDEX(상세표[시작월 기관],$M84)&amp;"")</f>
        <v/>
      </c>
      <c r="H84">
        <f>IF($M84="","",INDEX(상세표[종료월 기관],$M84)&amp;"")</f>
        <v/>
      </c>
      <c r="I84">
        <f>IF($M84="","",INDEX(상세표[월경계 판정],$M84)&amp;"")</f>
        <v/>
      </c>
      <c r="J84">
        <f>IF($M84="","",INDEX(상세표[반영월],$M84)&amp;"")</f>
        <v/>
      </c>
      <c r="K84">
        <f>IF($M84="","",INDEX(상세표[반영 기관],$M84)&amp;"")</f>
        <v/>
      </c>
      <c r="L84">
        <f>IF($M84="","",INDEX(상세표[기관 출처],$M84)&amp;"")</f>
        <v/>
      </c>
      <c r="M84" s="4">
        <f>IFERROR(MATCH(79,상세표[경계순번],0),"")</f>
        <v/>
      </c>
    </row>
    <row r="85">
      <c r="A85">
        <f>IF($M85="","",INDEX(상세표[사번],$M85)&amp;"")</f>
        <v/>
      </c>
      <c r="B85">
        <f>IF($M85="","",INDEX(상세표[성명],$M85)&amp;"")</f>
        <v/>
      </c>
      <c r="C85">
        <f>IF($M85="","",IF(INDEX(상세표[종료월],$M85)=대상월키,"전월→이번 달","이번 달→익월"))</f>
        <v/>
      </c>
      <c r="D85">
        <f>IF($M85="","",IF(ISNUMBER(INDEX(상세표[시작],$M85)),TEXT(INDEX(상세표[시작],$M85),"yyyy-mm-dd hh:mm"),INDEX(상세표[시작],$M85)&amp;""))</f>
        <v/>
      </c>
      <c r="E85">
        <f>IF($M85="","",IF(ISNUMBER(INDEX(상세표[종료],$M85)),TEXT(INDEX(상세표[종료],$M85),"yyyy-mm-dd hh:mm"),INDEX(상세표[종료],$M85)&amp;""))</f>
        <v/>
      </c>
      <c r="F85">
        <f>IF($M85="","",INDEX(상세표[기록 시간외],$M85))</f>
        <v/>
      </c>
      <c r="G85">
        <f>IF($M85="","",INDEX(상세표[시작월 기관],$M85)&amp;"")</f>
        <v/>
      </c>
      <c r="H85">
        <f>IF($M85="","",INDEX(상세표[종료월 기관],$M85)&amp;"")</f>
        <v/>
      </c>
      <c r="I85">
        <f>IF($M85="","",INDEX(상세표[월경계 판정],$M85)&amp;"")</f>
        <v/>
      </c>
      <c r="J85">
        <f>IF($M85="","",INDEX(상세표[반영월],$M85)&amp;"")</f>
        <v/>
      </c>
      <c r="K85">
        <f>IF($M85="","",INDEX(상세표[반영 기관],$M85)&amp;"")</f>
        <v/>
      </c>
      <c r="L85">
        <f>IF($M85="","",INDEX(상세표[기관 출처],$M85)&amp;"")</f>
        <v/>
      </c>
      <c r="M85" s="4">
        <f>IFERROR(MATCH(80,상세표[경계순번],0),"")</f>
        <v/>
      </c>
    </row>
    <row r="86">
      <c r="A86">
        <f>IF($M86="","",INDEX(상세표[사번],$M86)&amp;"")</f>
        <v/>
      </c>
      <c r="B86">
        <f>IF($M86="","",INDEX(상세표[성명],$M86)&amp;"")</f>
        <v/>
      </c>
      <c r="C86">
        <f>IF($M86="","",IF(INDEX(상세표[종료월],$M86)=대상월키,"전월→이번 달","이번 달→익월"))</f>
        <v/>
      </c>
      <c r="D86">
        <f>IF($M86="","",IF(ISNUMBER(INDEX(상세표[시작],$M86)),TEXT(INDEX(상세표[시작],$M86),"yyyy-mm-dd hh:mm"),INDEX(상세표[시작],$M86)&amp;""))</f>
        <v/>
      </c>
      <c r="E86">
        <f>IF($M86="","",IF(ISNUMBER(INDEX(상세표[종료],$M86)),TEXT(INDEX(상세표[종료],$M86),"yyyy-mm-dd hh:mm"),INDEX(상세표[종료],$M86)&amp;""))</f>
        <v/>
      </c>
      <c r="F86">
        <f>IF($M86="","",INDEX(상세표[기록 시간외],$M86))</f>
        <v/>
      </c>
      <c r="G86">
        <f>IF($M86="","",INDEX(상세표[시작월 기관],$M86)&amp;"")</f>
        <v/>
      </c>
      <c r="H86">
        <f>IF($M86="","",INDEX(상세표[종료월 기관],$M86)&amp;"")</f>
        <v/>
      </c>
      <c r="I86">
        <f>IF($M86="","",INDEX(상세표[월경계 판정],$M86)&amp;"")</f>
        <v/>
      </c>
      <c r="J86">
        <f>IF($M86="","",INDEX(상세표[반영월],$M86)&amp;"")</f>
        <v/>
      </c>
      <c r="K86">
        <f>IF($M86="","",INDEX(상세표[반영 기관],$M86)&amp;"")</f>
        <v/>
      </c>
      <c r="L86">
        <f>IF($M86="","",INDEX(상세표[기관 출처],$M86)&amp;"")</f>
        <v/>
      </c>
      <c r="M86" s="4">
        <f>IFERROR(MATCH(81,상세표[경계순번],0),"")</f>
        <v/>
      </c>
    </row>
    <row r="87">
      <c r="A87">
        <f>IF($M87="","",INDEX(상세표[사번],$M87)&amp;"")</f>
        <v/>
      </c>
      <c r="B87">
        <f>IF($M87="","",INDEX(상세표[성명],$M87)&amp;"")</f>
        <v/>
      </c>
      <c r="C87">
        <f>IF($M87="","",IF(INDEX(상세표[종료월],$M87)=대상월키,"전월→이번 달","이번 달→익월"))</f>
        <v/>
      </c>
      <c r="D87">
        <f>IF($M87="","",IF(ISNUMBER(INDEX(상세표[시작],$M87)),TEXT(INDEX(상세표[시작],$M87),"yyyy-mm-dd hh:mm"),INDEX(상세표[시작],$M87)&amp;""))</f>
        <v/>
      </c>
      <c r="E87">
        <f>IF($M87="","",IF(ISNUMBER(INDEX(상세표[종료],$M87)),TEXT(INDEX(상세표[종료],$M87),"yyyy-mm-dd hh:mm"),INDEX(상세표[종료],$M87)&amp;""))</f>
        <v/>
      </c>
      <c r="F87">
        <f>IF($M87="","",INDEX(상세표[기록 시간외],$M87))</f>
        <v/>
      </c>
      <c r="G87">
        <f>IF($M87="","",INDEX(상세표[시작월 기관],$M87)&amp;"")</f>
        <v/>
      </c>
      <c r="H87">
        <f>IF($M87="","",INDEX(상세표[종료월 기관],$M87)&amp;"")</f>
        <v/>
      </c>
      <c r="I87">
        <f>IF($M87="","",INDEX(상세표[월경계 판정],$M87)&amp;"")</f>
        <v/>
      </c>
      <c r="J87">
        <f>IF($M87="","",INDEX(상세표[반영월],$M87)&amp;"")</f>
        <v/>
      </c>
      <c r="K87">
        <f>IF($M87="","",INDEX(상세표[반영 기관],$M87)&amp;"")</f>
        <v/>
      </c>
      <c r="L87">
        <f>IF($M87="","",INDEX(상세표[기관 출처],$M87)&amp;"")</f>
        <v/>
      </c>
      <c r="M87" s="4">
        <f>IFERROR(MATCH(82,상세표[경계순번],0),"")</f>
        <v/>
      </c>
    </row>
    <row r="88">
      <c r="A88">
        <f>IF($M88="","",INDEX(상세표[사번],$M88)&amp;"")</f>
        <v/>
      </c>
      <c r="B88">
        <f>IF($M88="","",INDEX(상세표[성명],$M88)&amp;"")</f>
        <v/>
      </c>
      <c r="C88">
        <f>IF($M88="","",IF(INDEX(상세표[종료월],$M88)=대상월키,"전월→이번 달","이번 달→익월"))</f>
        <v/>
      </c>
      <c r="D88">
        <f>IF($M88="","",IF(ISNUMBER(INDEX(상세표[시작],$M88)),TEXT(INDEX(상세표[시작],$M88),"yyyy-mm-dd hh:mm"),INDEX(상세표[시작],$M88)&amp;""))</f>
        <v/>
      </c>
      <c r="E88">
        <f>IF($M88="","",IF(ISNUMBER(INDEX(상세표[종료],$M88)),TEXT(INDEX(상세표[종료],$M88),"yyyy-mm-dd hh:mm"),INDEX(상세표[종료],$M88)&amp;""))</f>
        <v/>
      </c>
      <c r="F88">
        <f>IF($M88="","",INDEX(상세표[기록 시간외],$M88))</f>
        <v/>
      </c>
      <c r="G88">
        <f>IF($M88="","",INDEX(상세표[시작월 기관],$M88)&amp;"")</f>
        <v/>
      </c>
      <c r="H88">
        <f>IF($M88="","",INDEX(상세표[종료월 기관],$M88)&amp;"")</f>
        <v/>
      </c>
      <c r="I88">
        <f>IF($M88="","",INDEX(상세표[월경계 판정],$M88)&amp;"")</f>
        <v/>
      </c>
      <c r="J88">
        <f>IF($M88="","",INDEX(상세표[반영월],$M88)&amp;"")</f>
        <v/>
      </c>
      <c r="K88">
        <f>IF($M88="","",INDEX(상세표[반영 기관],$M88)&amp;"")</f>
        <v/>
      </c>
      <c r="L88">
        <f>IF($M88="","",INDEX(상세표[기관 출처],$M88)&amp;"")</f>
        <v/>
      </c>
      <c r="M88" s="4">
        <f>IFERROR(MATCH(83,상세표[경계순번],0),"")</f>
        <v/>
      </c>
    </row>
    <row r="89">
      <c r="A89">
        <f>IF($M89="","",INDEX(상세표[사번],$M89)&amp;"")</f>
        <v/>
      </c>
      <c r="B89">
        <f>IF($M89="","",INDEX(상세표[성명],$M89)&amp;"")</f>
        <v/>
      </c>
      <c r="C89">
        <f>IF($M89="","",IF(INDEX(상세표[종료월],$M89)=대상월키,"전월→이번 달","이번 달→익월"))</f>
        <v/>
      </c>
      <c r="D89">
        <f>IF($M89="","",IF(ISNUMBER(INDEX(상세표[시작],$M89)),TEXT(INDEX(상세표[시작],$M89),"yyyy-mm-dd hh:mm"),INDEX(상세표[시작],$M89)&amp;""))</f>
        <v/>
      </c>
      <c r="E89">
        <f>IF($M89="","",IF(ISNUMBER(INDEX(상세표[종료],$M89)),TEXT(INDEX(상세표[종료],$M89),"yyyy-mm-dd hh:mm"),INDEX(상세표[종료],$M89)&amp;""))</f>
        <v/>
      </c>
      <c r="F89">
        <f>IF($M89="","",INDEX(상세표[기록 시간외],$M89))</f>
        <v/>
      </c>
      <c r="G89">
        <f>IF($M89="","",INDEX(상세표[시작월 기관],$M89)&amp;"")</f>
        <v/>
      </c>
      <c r="H89">
        <f>IF($M89="","",INDEX(상세표[종료월 기관],$M89)&amp;"")</f>
        <v/>
      </c>
      <c r="I89">
        <f>IF($M89="","",INDEX(상세표[월경계 판정],$M89)&amp;"")</f>
        <v/>
      </c>
      <c r="J89">
        <f>IF($M89="","",INDEX(상세표[반영월],$M89)&amp;"")</f>
        <v/>
      </c>
      <c r="K89">
        <f>IF($M89="","",INDEX(상세표[반영 기관],$M89)&amp;"")</f>
        <v/>
      </c>
      <c r="L89">
        <f>IF($M89="","",INDEX(상세표[기관 출처],$M89)&amp;"")</f>
        <v/>
      </c>
      <c r="M89" s="4">
        <f>IFERROR(MATCH(84,상세표[경계순번],0),"")</f>
        <v/>
      </c>
    </row>
    <row r="90">
      <c r="A90">
        <f>IF($M90="","",INDEX(상세표[사번],$M90)&amp;"")</f>
        <v/>
      </c>
      <c r="B90">
        <f>IF($M90="","",INDEX(상세표[성명],$M90)&amp;"")</f>
        <v/>
      </c>
      <c r="C90">
        <f>IF($M90="","",IF(INDEX(상세표[종료월],$M90)=대상월키,"전월→이번 달","이번 달→익월"))</f>
        <v/>
      </c>
      <c r="D90">
        <f>IF($M90="","",IF(ISNUMBER(INDEX(상세표[시작],$M90)),TEXT(INDEX(상세표[시작],$M90),"yyyy-mm-dd hh:mm"),INDEX(상세표[시작],$M90)&amp;""))</f>
        <v/>
      </c>
      <c r="E90">
        <f>IF($M90="","",IF(ISNUMBER(INDEX(상세표[종료],$M90)),TEXT(INDEX(상세표[종료],$M90),"yyyy-mm-dd hh:mm"),INDEX(상세표[종료],$M90)&amp;""))</f>
        <v/>
      </c>
      <c r="F90">
        <f>IF($M90="","",INDEX(상세표[기록 시간외],$M90))</f>
        <v/>
      </c>
      <c r="G90">
        <f>IF($M90="","",INDEX(상세표[시작월 기관],$M90)&amp;"")</f>
        <v/>
      </c>
      <c r="H90">
        <f>IF($M90="","",INDEX(상세표[종료월 기관],$M90)&amp;"")</f>
        <v/>
      </c>
      <c r="I90">
        <f>IF($M90="","",INDEX(상세표[월경계 판정],$M90)&amp;"")</f>
        <v/>
      </c>
      <c r="J90">
        <f>IF($M90="","",INDEX(상세표[반영월],$M90)&amp;"")</f>
        <v/>
      </c>
      <c r="K90">
        <f>IF($M90="","",INDEX(상세표[반영 기관],$M90)&amp;"")</f>
        <v/>
      </c>
      <c r="L90">
        <f>IF($M90="","",INDEX(상세표[기관 출처],$M90)&amp;"")</f>
        <v/>
      </c>
      <c r="M90" s="4">
        <f>IFERROR(MATCH(85,상세표[경계순번],0),"")</f>
        <v/>
      </c>
    </row>
    <row r="91">
      <c r="A91">
        <f>IF($M91="","",INDEX(상세표[사번],$M91)&amp;"")</f>
        <v/>
      </c>
      <c r="B91">
        <f>IF($M91="","",INDEX(상세표[성명],$M91)&amp;"")</f>
        <v/>
      </c>
      <c r="C91">
        <f>IF($M91="","",IF(INDEX(상세표[종료월],$M91)=대상월키,"전월→이번 달","이번 달→익월"))</f>
        <v/>
      </c>
      <c r="D91">
        <f>IF($M91="","",IF(ISNUMBER(INDEX(상세표[시작],$M91)),TEXT(INDEX(상세표[시작],$M91),"yyyy-mm-dd hh:mm"),INDEX(상세표[시작],$M91)&amp;""))</f>
        <v/>
      </c>
      <c r="E91">
        <f>IF($M91="","",IF(ISNUMBER(INDEX(상세표[종료],$M91)),TEXT(INDEX(상세표[종료],$M91),"yyyy-mm-dd hh:mm"),INDEX(상세표[종료],$M91)&amp;""))</f>
        <v/>
      </c>
      <c r="F91">
        <f>IF($M91="","",INDEX(상세표[기록 시간외],$M91))</f>
        <v/>
      </c>
      <c r="G91">
        <f>IF($M91="","",INDEX(상세표[시작월 기관],$M91)&amp;"")</f>
        <v/>
      </c>
      <c r="H91">
        <f>IF($M91="","",INDEX(상세표[종료월 기관],$M91)&amp;"")</f>
        <v/>
      </c>
      <c r="I91">
        <f>IF($M91="","",INDEX(상세표[월경계 판정],$M91)&amp;"")</f>
        <v/>
      </c>
      <c r="J91">
        <f>IF($M91="","",INDEX(상세표[반영월],$M91)&amp;"")</f>
        <v/>
      </c>
      <c r="K91">
        <f>IF($M91="","",INDEX(상세표[반영 기관],$M91)&amp;"")</f>
        <v/>
      </c>
      <c r="L91">
        <f>IF($M91="","",INDEX(상세표[기관 출처],$M91)&amp;"")</f>
        <v/>
      </c>
      <c r="M91" s="4">
        <f>IFERROR(MATCH(86,상세표[경계순번],0),"")</f>
        <v/>
      </c>
    </row>
    <row r="92">
      <c r="A92">
        <f>IF($M92="","",INDEX(상세표[사번],$M92)&amp;"")</f>
        <v/>
      </c>
      <c r="B92">
        <f>IF($M92="","",INDEX(상세표[성명],$M92)&amp;"")</f>
        <v/>
      </c>
      <c r="C92">
        <f>IF($M92="","",IF(INDEX(상세표[종료월],$M92)=대상월키,"전월→이번 달","이번 달→익월"))</f>
        <v/>
      </c>
      <c r="D92">
        <f>IF($M92="","",IF(ISNUMBER(INDEX(상세표[시작],$M92)),TEXT(INDEX(상세표[시작],$M92),"yyyy-mm-dd hh:mm"),INDEX(상세표[시작],$M92)&amp;""))</f>
        <v/>
      </c>
      <c r="E92">
        <f>IF($M92="","",IF(ISNUMBER(INDEX(상세표[종료],$M92)),TEXT(INDEX(상세표[종료],$M92),"yyyy-mm-dd hh:mm"),INDEX(상세표[종료],$M92)&amp;""))</f>
        <v/>
      </c>
      <c r="F92">
        <f>IF($M92="","",INDEX(상세표[기록 시간외],$M92))</f>
        <v/>
      </c>
      <c r="G92">
        <f>IF($M92="","",INDEX(상세표[시작월 기관],$M92)&amp;"")</f>
        <v/>
      </c>
      <c r="H92">
        <f>IF($M92="","",INDEX(상세표[종료월 기관],$M92)&amp;"")</f>
        <v/>
      </c>
      <c r="I92">
        <f>IF($M92="","",INDEX(상세표[월경계 판정],$M92)&amp;"")</f>
        <v/>
      </c>
      <c r="J92">
        <f>IF($M92="","",INDEX(상세표[반영월],$M92)&amp;"")</f>
        <v/>
      </c>
      <c r="K92">
        <f>IF($M92="","",INDEX(상세표[반영 기관],$M92)&amp;"")</f>
        <v/>
      </c>
      <c r="L92">
        <f>IF($M92="","",INDEX(상세표[기관 출처],$M92)&amp;"")</f>
        <v/>
      </c>
      <c r="M92" s="4">
        <f>IFERROR(MATCH(87,상세표[경계순번],0),"")</f>
        <v/>
      </c>
    </row>
    <row r="93">
      <c r="A93">
        <f>IF($M93="","",INDEX(상세표[사번],$M93)&amp;"")</f>
        <v/>
      </c>
      <c r="B93">
        <f>IF($M93="","",INDEX(상세표[성명],$M93)&amp;"")</f>
        <v/>
      </c>
      <c r="C93">
        <f>IF($M93="","",IF(INDEX(상세표[종료월],$M93)=대상월키,"전월→이번 달","이번 달→익월"))</f>
        <v/>
      </c>
      <c r="D93">
        <f>IF($M93="","",IF(ISNUMBER(INDEX(상세표[시작],$M93)),TEXT(INDEX(상세표[시작],$M93),"yyyy-mm-dd hh:mm"),INDEX(상세표[시작],$M93)&amp;""))</f>
        <v/>
      </c>
      <c r="E93">
        <f>IF($M93="","",IF(ISNUMBER(INDEX(상세표[종료],$M93)),TEXT(INDEX(상세표[종료],$M93),"yyyy-mm-dd hh:mm"),INDEX(상세표[종료],$M93)&amp;""))</f>
        <v/>
      </c>
      <c r="F93">
        <f>IF($M93="","",INDEX(상세표[기록 시간외],$M93))</f>
        <v/>
      </c>
      <c r="G93">
        <f>IF($M93="","",INDEX(상세표[시작월 기관],$M93)&amp;"")</f>
        <v/>
      </c>
      <c r="H93">
        <f>IF($M93="","",INDEX(상세표[종료월 기관],$M93)&amp;"")</f>
        <v/>
      </c>
      <c r="I93">
        <f>IF($M93="","",INDEX(상세표[월경계 판정],$M93)&amp;"")</f>
        <v/>
      </c>
      <c r="J93">
        <f>IF($M93="","",INDEX(상세표[반영월],$M93)&amp;"")</f>
        <v/>
      </c>
      <c r="K93">
        <f>IF($M93="","",INDEX(상세표[반영 기관],$M93)&amp;"")</f>
        <v/>
      </c>
      <c r="L93">
        <f>IF($M93="","",INDEX(상세표[기관 출처],$M93)&amp;"")</f>
        <v/>
      </c>
      <c r="M93" s="4">
        <f>IFERROR(MATCH(88,상세표[경계순번],0),"")</f>
        <v/>
      </c>
    </row>
    <row r="94">
      <c r="A94">
        <f>IF($M94="","",INDEX(상세표[사번],$M94)&amp;"")</f>
        <v/>
      </c>
      <c r="B94">
        <f>IF($M94="","",INDEX(상세표[성명],$M94)&amp;"")</f>
        <v/>
      </c>
      <c r="C94">
        <f>IF($M94="","",IF(INDEX(상세표[종료월],$M94)=대상월키,"전월→이번 달","이번 달→익월"))</f>
        <v/>
      </c>
      <c r="D94">
        <f>IF($M94="","",IF(ISNUMBER(INDEX(상세표[시작],$M94)),TEXT(INDEX(상세표[시작],$M94),"yyyy-mm-dd hh:mm"),INDEX(상세표[시작],$M94)&amp;""))</f>
        <v/>
      </c>
      <c r="E94">
        <f>IF($M94="","",IF(ISNUMBER(INDEX(상세표[종료],$M94)),TEXT(INDEX(상세표[종료],$M94),"yyyy-mm-dd hh:mm"),INDEX(상세표[종료],$M94)&amp;""))</f>
        <v/>
      </c>
      <c r="F94">
        <f>IF($M94="","",INDEX(상세표[기록 시간외],$M94))</f>
        <v/>
      </c>
      <c r="G94">
        <f>IF($M94="","",INDEX(상세표[시작월 기관],$M94)&amp;"")</f>
        <v/>
      </c>
      <c r="H94">
        <f>IF($M94="","",INDEX(상세표[종료월 기관],$M94)&amp;"")</f>
        <v/>
      </c>
      <c r="I94">
        <f>IF($M94="","",INDEX(상세표[월경계 판정],$M94)&amp;"")</f>
        <v/>
      </c>
      <c r="J94">
        <f>IF($M94="","",INDEX(상세표[반영월],$M94)&amp;"")</f>
        <v/>
      </c>
      <c r="K94">
        <f>IF($M94="","",INDEX(상세표[반영 기관],$M94)&amp;"")</f>
        <v/>
      </c>
      <c r="L94">
        <f>IF($M94="","",INDEX(상세표[기관 출처],$M94)&amp;"")</f>
        <v/>
      </c>
      <c r="M94" s="4">
        <f>IFERROR(MATCH(89,상세표[경계순번],0),"")</f>
        <v/>
      </c>
    </row>
    <row r="95">
      <c r="A95">
        <f>IF($M95="","",INDEX(상세표[사번],$M95)&amp;"")</f>
        <v/>
      </c>
      <c r="B95">
        <f>IF($M95="","",INDEX(상세표[성명],$M95)&amp;"")</f>
        <v/>
      </c>
      <c r="C95">
        <f>IF($M95="","",IF(INDEX(상세표[종료월],$M95)=대상월키,"전월→이번 달","이번 달→익월"))</f>
        <v/>
      </c>
      <c r="D95">
        <f>IF($M95="","",IF(ISNUMBER(INDEX(상세표[시작],$M95)),TEXT(INDEX(상세표[시작],$M95),"yyyy-mm-dd hh:mm"),INDEX(상세표[시작],$M95)&amp;""))</f>
        <v/>
      </c>
      <c r="E95">
        <f>IF($M95="","",IF(ISNUMBER(INDEX(상세표[종료],$M95)),TEXT(INDEX(상세표[종료],$M95),"yyyy-mm-dd hh:mm"),INDEX(상세표[종료],$M95)&amp;""))</f>
        <v/>
      </c>
      <c r="F95">
        <f>IF($M95="","",INDEX(상세표[기록 시간외],$M95))</f>
        <v/>
      </c>
      <c r="G95">
        <f>IF($M95="","",INDEX(상세표[시작월 기관],$M95)&amp;"")</f>
        <v/>
      </c>
      <c r="H95">
        <f>IF($M95="","",INDEX(상세표[종료월 기관],$M95)&amp;"")</f>
        <v/>
      </c>
      <c r="I95">
        <f>IF($M95="","",INDEX(상세표[월경계 판정],$M95)&amp;"")</f>
        <v/>
      </c>
      <c r="J95">
        <f>IF($M95="","",INDEX(상세표[반영월],$M95)&amp;"")</f>
        <v/>
      </c>
      <c r="K95">
        <f>IF($M95="","",INDEX(상세표[반영 기관],$M95)&amp;"")</f>
        <v/>
      </c>
      <c r="L95">
        <f>IF($M95="","",INDEX(상세표[기관 출처],$M95)&amp;"")</f>
        <v/>
      </c>
      <c r="M95" s="4">
        <f>IFERROR(MATCH(90,상세표[경계순번],0),"")</f>
        <v/>
      </c>
    </row>
    <row r="96">
      <c r="A96">
        <f>IF($M96="","",INDEX(상세표[사번],$M96)&amp;"")</f>
        <v/>
      </c>
      <c r="B96">
        <f>IF($M96="","",INDEX(상세표[성명],$M96)&amp;"")</f>
        <v/>
      </c>
      <c r="C96">
        <f>IF($M96="","",IF(INDEX(상세표[종료월],$M96)=대상월키,"전월→이번 달","이번 달→익월"))</f>
        <v/>
      </c>
      <c r="D96">
        <f>IF($M96="","",IF(ISNUMBER(INDEX(상세표[시작],$M96)),TEXT(INDEX(상세표[시작],$M96),"yyyy-mm-dd hh:mm"),INDEX(상세표[시작],$M96)&amp;""))</f>
        <v/>
      </c>
      <c r="E96">
        <f>IF($M96="","",IF(ISNUMBER(INDEX(상세표[종료],$M96)),TEXT(INDEX(상세표[종료],$M96),"yyyy-mm-dd hh:mm"),INDEX(상세표[종료],$M96)&amp;""))</f>
        <v/>
      </c>
      <c r="F96">
        <f>IF($M96="","",INDEX(상세표[기록 시간외],$M96))</f>
        <v/>
      </c>
      <c r="G96">
        <f>IF($M96="","",INDEX(상세표[시작월 기관],$M96)&amp;"")</f>
        <v/>
      </c>
      <c r="H96">
        <f>IF($M96="","",INDEX(상세표[종료월 기관],$M96)&amp;"")</f>
        <v/>
      </c>
      <c r="I96">
        <f>IF($M96="","",INDEX(상세표[월경계 판정],$M96)&amp;"")</f>
        <v/>
      </c>
      <c r="J96">
        <f>IF($M96="","",INDEX(상세표[반영월],$M96)&amp;"")</f>
        <v/>
      </c>
      <c r="K96">
        <f>IF($M96="","",INDEX(상세표[반영 기관],$M96)&amp;"")</f>
        <v/>
      </c>
      <c r="L96">
        <f>IF($M96="","",INDEX(상세표[기관 출처],$M96)&amp;"")</f>
        <v/>
      </c>
      <c r="M96" s="4">
        <f>IFERROR(MATCH(91,상세표[경계순번],0),"")</f>
        <v/>
      </c>
    </row>
    <row r="97">
      <c r="A97">
        <f>IF($M97="","",INDEX(상세표[사번],$M97)&amp;"")</f>
        <v/>
      </c>
      <c r="B97">
        <f>IF($M97="","",INDEX(상세표[성명],$M97)&amp;"")</f>
        <v/>
      </c>
      <c r="C97">
        <f>IF($M97="","",IF(INDEX(상세표[종료월],$M97)=대상월키,"전월→이번 달","이번 달→익월"))</f>
        <v/>
      </c>
      <c r="D97">
        <f>IF($M97="","",IF(ISNUMBER(INDEX(상세표[시작],$M97)),TEXT(INDEX(상세표[시작],$M97),"yyyy-mm-dd hh:mm"),INDEX(상세표[시작],$M97)&amp;""))</f>
        <v/>
      </c>
      <c r="E97">
        <f>IF($M97="","",IF(ISNUMBER(INDEX(상세표[종료],$M97)),TEXT(INDEX(상세표[종료],$M97),"yyyy-mm-dd hh:mm"),INDEX(상세표[종료],$M97)&amp;""))</f>
        <v/>
      </c>
      <c r="F97">
        <f>IF($M97="","",INDEX(상세표[기록 시간외],$M97))</f>
        <v/>
      </c>
      <c r="G97">
        <f>IF($M97="","",INDEX(상세표[시작월 기관],$M97)&amp;"")</f>
        <v/>
      </c>
      <c r="H97">
        <f>IF($M97="","",INDEX(상세표[종료월 기관],$M97)&amp;"")</f>
        <v/>
      </c>
      <c r="I97">
        <f>IF($M97="","",INDEX(상세표[월경계 판정],$M97)&amp;"")</f>
        <v/>
      </c>
      <c r="J97">
        <f>IF($M97="","",INDEX(상세표[반영월],$M97)&amp;"")</f>
        <v/>
      </c>
      <c r="K97">
        <f>IF($M97="","",INDEX(상세표[반영 기관],$M97)&amp;"")</f>
        <v/>
      </c>
      <c r="L97">
        <f>IF($M97="","",INDEX(상세표[기관 출처],$M97)&amp;"")</f>
        <v/>
      </c>
      <c r="M97" s="4">
        <f>IFERROR(MATCH(92,상세표[경계순번],0),"")</f>
        <v/>
      </c>
    </row>
    <row r="98">
      <c r="A98">
        <f>IF($M98="","",INDEX(상세표[사번],$M98)&amp;"")</f>
        <v/>
      </c>
      <c r="B98">
        <f>IF($M98="","",INDEX(상세표[성명],$M98)&amp;"")</f>
        <v/>
      </c>
      <c r="C98">
        <f>IF($M98="","",IF(INDEX(상세표[종료월],$M98)=대상월키,"전월→이번 달","이번 달→익월"))</f>
        <v/>
      </c>
      <c r="D98">
        <f>IF($M98="","",IF(ISNUMBER(INDEX(상세표[시작],$M98)),TEXT(INDEX(상세표[시작],$M98),"yyyy-mm-dd hh:mm"),INDEX(상세표[시작],$M98)&amp;""))</f>
        <v/>
      </c>
      <c r="E98">
        <f>IF($M98="","",IF(ISNUMBER(INDEX(상세표[종료],$M98)),TEXT(INDEX(상세표[종료],$M98),"yyyy-mm-dd hh:mm"),INDEX(상세표[종료],$M98)&amp;""))</f>
        <v/>
      </c>
      <c r="F98">
        <f>IF($M98="","",INDEX(상세표[기록 시간외],$M98))</f>
        <v/>
      </c>
      <c r="G98">
        <f>IF($M98="","",INDEX(상세표[시작월 기관],$M98)&amp;"")</f>
        <v/>
      </c>
      <c r="H98">
        <f>IF($M98="","",INDEX(상세표[종료월 기관],$M98)&amp;"")</f>
        <v/>
      </c>
      <c r="I98">
        <f>IF($M98="","",INDEX(상세표[월경계 판정],$M98)&amp;"")</f>
        <v/>
      </c>
      <c r="J98">
        <f>IF($M98="","",INDEX(상세표[반영월],$M98)&amp;"")</f>
        <v/>
      </c>
      <c r="K98">
        <f>IF($M98="","",INDEX(상세표[반영 기관],$M98)&amp;"")</f>
        <v/>
      </c>
      <c r="L98">
        <f>IF($M98="","",INDEX(상세표[기관 출처],$M98)&amp;"")</f>
        <v/>
      </c>
      <c r="M98" s="4">
        <f>IFERROR(MATCH(93,상세표[경계순번],0),"")</f>
        <v/>
      </c>
    </row>
    <row r="99">
      <c r="A99">
        <f>IF($M99="","",INDEX(상세표[사번],$M99)&amp;"")</f>
        <v/>
      </c>
      <c r="B99">
        <f>IF($M99="","",INDEX(상세표[성명],$M99)&amp;"")</f>
        <v/>
      </c>
      <c r="C99">
        <f>IF($M99="","",IF(INDEX(상세표[종료월],$M99)=대상월키,"전월→이번 달","이번 달→익월"))</f>
        <v/>
      </c>
      <c r="D99">
        <f>IF($M99="","",IF(ISNUMBER(INDEX(상세표[시작],$M99)),TEXT(INDEX(상세표[시작],$M99),"yyyy-mm-dd hh:mm"),INDEX(상세표[시작],$M99)&amp;""))</f>
        <v/>
      </c>
      <c r="E99">
        <f>IF($M99="","",IF(ISNUMBER(INDEX(상세표[종료],$M99)),TEXT(INDEX(상세표[종료],$M99),"yyyy-mm-dd hh:mm"),INDEX(상세표[종료],$M99)&amp;""))</f>
        <v/>
      </c>
      <c r="F99">
        <f>IF($M99="","",INDEX(상세표[기록 시간외],$M99))</f>
        <v/>
      </c>
      <c r="G99">
        <f>IF($M99="","",INDEX(상세표[시작월 기관],$M99)&amp;"")</f>
        <v/>
      </c>
      <c r="H99">
        <f>IF($M99="","",INDEX(상세표[종료월 기관],$M99)&amp;"")</f>
        <v/>
      </c>
      <c r="I99">
        <f>IF($M99="","",INDEX(상세표[월경계 판정],$M99)&amp;"")</f>
        <v/>
      </c>
      <c r="J99">
        <f>IF($M99="","",INDEX(상세표[반영월],$M99)&amp;"")</f>
        <v/>
      </c>
      <c r="K99">
        <f>IF($M99="","",INDEX(상세표[반영 기관],$M99)&amp;"")</f>
        <v/>
      </c>
      <c r="L99">
        <f>IF($M99="","",INDEX(상세표[기관 출처],$M99)&amp;"")</f>
        <v/>
      </c>
      <c r="M99" s="4">
        <f>IFERROR(MATCH(94,상세표[경계순번],0),"")</f>
        <v/>
      </c>
    </row>
    <row r="100">
      <c r="A100">
        <f>IF($M100="","",INDEX(상세표[사번],$M100)&amp;"")</f>
        <v/>
      </c>
      <c r="B100">
        <f>IF($M100="","",INDEX(상세표[성명],$M100)&amp;"")</f>
        <v/>
      </c>
      <c r="C100">
        <f>IF($M100="","",IF(INDEX(상세표[종료월],$M100)=대상월키,"전월→이번 달","이번 달→익월"))</f>
        <v/>
      </c>
      <c r="D100">
        <f>IF($M100="","",IF(ISNUMBER(INDEX(상세표[시작],$M100)),TEXT(INDEX(상세표[시작],$M100),"yyyy-mm-dd hh:mm"),INDEX(상세표[시작],$M100)&amp;""))</f>
        <v/>
      </c>
      <c r="E100">
        <f>IF($M100="","",IF(ISNUMBER(INDEX(상세표[종료],$M100)),TEXT(INDEX(상세표[종료],$M100),"yyyy-mm-dd hh:mm"),INDEX(상세표[종료],$M100)&amp;""))</f>
        <v/>
      </c>
      <c r="F100">
        <f>IF($M100="","",INDEX(상세표[기록 시간외],$M100))</f>
        <v/>
      </c>
      <c r="G100">
        <f>IF($M100="","",INDEX(상세표[시작월 기관],$M100)&amp;"")</f>
        <v/>
      </c>
      <c r="H100">
        <f>IF($M100="","",INDEX(상세표[종료월 기관],$M100)&amp;"")</f>
        <v/>
      </c>
      <c r="I100">
        <f>IF($M100="","",INDEX(상세표[월경계 판정],$M100)&amp;"")</f>
        <v/>
      </c>
      <c r="J100">
        <f>IF($M100="","",INDEX(상세표[반영월],$M100)&amp;"")</f>
        <v/>
      </c>
      <c r="K100">
        <f>IF($M100="","",INDEX(상세표[반영 기관],$M100)&amp;"")</f>
        <v/>
      </c>
      <c r="L100">
        <f>IF($M100="","",INDEX(상세표[기관 출처],$M100)&amp;"")</f>
        <v/>
      </c>
      <c r="M100" s="4">
        <f>IFERROR(MATCH(95,상세표[경계순번],0),"")</f>
        <v/>
      </c>
    </row>
    <row r="101">
      <c r="A101">
        <f>IF($M101="","",INDEX(상세표[사번],$M101)&amp;"")</f>
        <v/>
      </c>
      <c r="B101">
        <f>IF($M101="","",INDEX(상세표[성명],$M101)&amp;"")</f>
        <v/>
      </c>
      <c r="C101">
        <f>IF($M101="","",IF(INDEX(상세표[종료월],$M101)=대상월키,"전월→이번 달","이번 달→익월"))</f>
        <v/>
      </c>
      <c r="D101">
        <f>IF($M101="","",IF(ISNUMBER(INDEX(상세표[시작],$M101)),TEXT(INDEX(상세표[시작],$M101),"yyyy-mm-dd hh:mm"),INDEX(상세표[시작],$M101)&amp;""))</f>
        <v/>
      </c>
      <c r="E101">
        <f>IF($M101="","",IF(ISNUMBER(INDEX(상세표[종료],$M101)),TEXT(INDEX(상세표[종료],$M101),"yyyy-mm-dd hh:mm"),INDEX(상세표[종료],$M101)&amp;""))</f>
        <v/>
      </c>
      <c r="F101">
        <f>IF($M101="","",INDEX(상세표[기록 시간외],$M101))</f>
        <v/>
      </c>
      <c r="G101">
        <f>IF($M101="","",INDEX(상세표[시작월 기관],$M101)&amp;"")</f>
        <v/>
      </c>
      <c r="H101">
        <f>IF($M101="","",INDEX(상세표[종료월 기관],$M101)&amp;"")</f>
        <v/>
      </c>
      <c r="I101">
        <f>IF($M101="","",INDEX(상세표[월경계 판정],$M101)&amp;"")</f>
        <v/>
      </c>
      <c r="J101">
        <f>IF($M101="","",INDEX(상세표[반영월],$M101)&amp;"")</f>
        <v/>
      </c>
      <c r="K101">
        <f>IF($M101="","",INDEX(상세표[반영 기관],$M101)&amp;"")</f>
        <v/>
      </c>
      <c r="L101">
        <f>IF($M101="","",INDEX(상세표[기관 출처],$M101)&amp;"")</f>
        <v/>
      </c>
      <c r="M101" s="4">
        <f>IFERROR(MATCH(96,상세표[경계순번],0),"")</f>
        <v/>
      </c>
    </row>
    <row r="102">
      <c r="A102">
        <f>IF($M102="","",INDEX(상세표[사번],$M102)&amp;"")</f>
        <v/>
      </c>
      <c r="B102">
        <f>IF($M102="","",INDEX(상세표[성명],$M102)&amp;"")</f>
        <v/>
      </c>
      <c r="C102">
        <f>IF($M102="","",IF(INDEX(상세표[종료월],$M102)=대상월키,"전월→이번 달","이번 달→익월"))</f>
        <v/>
      </c>
      <c r="D102">
        <f>IF($M102="","",IF(ISNUMBER(INDEX(상세표[시작],$M102)),TEXT(INDEX(상세표[시작],$M102),"yyyy-mm-dd hh:mm"),INDEX(상세표[시작],$M102)&amp;""))</f>
        <v/>
      </c>
      <c r="E102">
        <f>IF($M102="","",IF(ISNUMBER(INDEX(상세표[종료],$M102)),TEXT(INDEX(상세표[종료],$M102),"yyyy-mm-dd hh:mm"),INDEX(상세표[종료],$M102)&amp;""))</f>
        <v/>
      </c>
      <c r="F102">
        <f>IF($M102="","",INDEX(상세표[기록 시간외],$M102))</f>
        <v/>
      </c>
      <c r="G102">
        <f>IF($M102="","",INDEX(상세표[시작월 기관],$M102)&amp;"")</f>
        <v/>
      </c>
      <c r="H102">
        <f>IF($M102="","",INDEX(상세표[종료월 기관],$M102)&amp;"")</f>
        <v/>
      </c>
      <c r="I102">
        <f>IF($M102="","",INDEX(상세표[월경계 판정],$M102)&amp;"")</f>
        <v/>
      </c>
      <c r="J102">
        <f>IF($M102="","",INDEX(상세표[반영월],$M102)&amp;"")</f>
        <v/>
      </c>
      <c r="K102">
        <f>IF($M102="","",INDEX(상세표[반영 기관],$M102)&amp;"")</f>
        <v/>
      </c>
      <c r="L102">
        <f>IF($M102="","",INDEX(상세표[기관 출처],$M102)&amp;"")</f>
        <v/>
      </c>
      <c r="M102" s="4">
        <f>IFERROR(MATCH(97,상세표[경계순번],0),"")</f>
        <v/>
      </c>
    </row>
    <row r="103">
      <c r="A103">
        <f>IF($M103="","",INDEX(상세표[사번],$M103)&amp;"")</f>
        <v/>
      </c>
      <c r="B103">
        <f>IF($M103="","",INDEX(상세표[성명],$M103)&amp;"")</f>
        <v/>
      </c>
      <c r="C103">
        <f>IF($M103="","",IF(INDEX(상세표[종료월],$M103)=대상월키,"전월→이번 달","이번 달→익월"))</f>
        <v/>
      </c>
      <c r="D103">
        <f>IF($M103="","",IF(ISNUMBER(INDEX(상세표[시작],$M103)),TEXT(INDEX(상세표[시작],$M103),"yyyy-mm-dd hh:mm"),INDEX(상세표[시작],$M103)&amp;""))</f>
        <v/>
      </c>
      <c r="E103">
        <f>IF($M103="","",IF(ISNUMBER(INDEX(상세표[종료],$M103)),TEXT(INDEX(상세표[종료],$M103),"yyyy-mm-dd hh:mm"),INDEX(상세표[종료],$M103)&amp;""))</f>
        <v/>
      </c>
      <c r="F103">
        <f>IF($M103="","",INDEX(상세표[기록 시간외],$M103))</f>
        <v/>
      </c>
      <c r="G103">
        <f>IF($M103="","",INDEX(상세표[시작월 기관],$M103)&amp;"")</f>
        <v/>
      </c>
      <c r="H103">
        <f>IF($M103="","",INDEX(상세표[종료월 기관],$M103)&amp;"")</f>
        <v/>
      </c>
      <c r="I103">
        <f>IF($M103="","",INDEX(상세표[월경계 판정],$M103)&amp;"")</f>
        <v/>
      </c>
      <c r="J103">
        <f>IF($M103="","",INDEX(상세표[반영월],$M103)&amp;"")</f>
        <v/>
      </c>
      <c r="K103">
        <f>IF($M103="","",INDEX(상세표[반영 기관],$M103)&amp;"")</f>
        <v/>
      </c>
      <c r="L103">
        <f>IF($M103="","",INDEX(상세표[기관 출처],$M103)&amp;"")</f>
        <v/>
      </c>
      <c r="M103" s="4">
        <f>IFERROR(MATCH(98,상세표[경계순번],0),"")</f>
        <v/>
      </c>
    </row>
    <row r="104">
      <c r="A104">
        <f>IF($M104="","",INDEX(상세표[사번],$M104)&amp;"")</f>
        <v/>
      </c>
      <c r="B104">
        <f>IF($M104="","",INDEX(상세표[성명],$M104)&amp;"")</f>
        <v/>
      </c>
      <c r="C104">
        <f>IF($M104="","",IF(INDEX(상세표[종료월],$M104)=대상월키,"전월→이번 달","이번 달→익월"))</f>
        <v/>
      </c>
      <c r="D104">
        <f>IF($M104="","",IF(ISNUMBER(INDEX(상세표[시작],$M104)),TEXT(INDEX(상세표[시작],$M104),"yyyy-mm-dd hh:mm"),INDEX(상세표[시작],$M104)&amp;""))</f>
        <v/>
      </c>
      <c r="E104">
        <f>IF($M104="","",IF(ISNUMBER(INDEX(상세표[종료],$M104)),TEXT(INDEX(상세표[종료],$M104),"yyyy-mm-dd hh:mm"),INDEX(상세표[종료],$M104)&amp;""))</f>
        <v/>
      </c>
      <c r="F104">
        <f>IF($M104="","",INDEX(상세표[기록 시간외],$M104))</f>
        <v/>
      </c>
      <c r="G104">
        <f>IF($M104="","",INDEX(상세표[시작월 기관],$M104)&amp;"")</f>
        <v/>
      </c>
      <c r="H104">
        <f>IF($M104="","",INDEX(상세표[종료월 기관],$M104)&amp;"")</f>
        <v/>
      </c>
      <c r="I104">
        <f>IF($M104="","",INDEX(상세표[월경계 판정],$M104)&amp;"")</f>
        <v/>
      </c>
      <c r="J104">
        <f>IF($M104="","",INDEX(상세표[반영월],$M104)&amp;"")</f>
        <v/>
      </c>
      <c r="K104">
        <f>IF($M104="","",INDEX(상세표[반영 기관],$M104)&amp;"")</f>
        <v/>
      </c>
      <c r="L104">
        <f>IF($M104="","",INDEX(상세표[기관 출처],$M104)&amp;"")</f>
        <v/>
      </c>
      <c r="M104" s="4">
        <f>IFERROR(MATCH(99,상세표[경계순번],0),"")</f>
        <v/>
      </c>
    </row>
    <row r="105">
      <c r="A105">
        <f>IF($M105="","",INDEX(상세표[사번],$M105)&amp;"")</f>
        <v/>
      </c>
      <c r="B105">
        <f>IF($M105="","",INDEX(상세표[성명],$M105)&amp;"")</f>
        <v/>
      </c>
      <c r="C105">
        <f>IF($M105="","",IF(INDEX(상세표[종료월],$M105)=대상월키,"전월→이번 달","이번 달→익월"))</f>
        <v/>
      </c>
      <c r="D105">
        <f>IF($M105="","",IF(ISNUMBER(INDEX(상세표[시작],$M105)),TEXT(INDEX(상세표[시작],$M105),"yyyy-mm-dd hh:mm"),INDEX(상세표[시작],$M105)&amp;""))</f>
        <v/>
      </c>
      <c r="E105">
        <f>IF($M105="","",IF(ISNUMBER(INDEX(상세표[종료],$M105)),TEXT(INDEX(상세표[종료],$M105),"yyyy-mm-dd hh:mm"),INDEX(상세표[종료],$M105)&amp;""))</f>
        <v/>
      </c>
      <c r="F105">
        <f>IF($M105="","",INDEX(상세표[기록 시간외],$M105))</f>
        <v/>
      </c>
      <c r="G105">
        <f>IF($M105="","",INDEX(상세표[시작월 기관],$M105)&amp;"")</f>
        <v/>
      </c>
      <c r="H105">
        <f>IF($M105="","",INDEX(상세표[종료월 기관],$M105)&amp;"")</f>
        <v/>
      </c>
      <c r="I105">
        <f>IF($M105="","",INDEX(상세표[월경계 판정],$M105)&amp;"")</f>
        <v/>
      </c>
      <c r="J105">
        <f>IF($M105="","",INDEX(상세표[반영월],$M105)&amp;"")</f>
        <v/>
      </c>
      <c r="K105">
        <f>IF($M105="","",INDEX(상세표[반영 기관],$M105)&amp;"")</f>
        <v/>
      </c>
      <c r="L105">
        <f>IF($M105="","",INDEX(상세표[기관 출처],$M105)&amp;"")</f>
        <v/>
      </c>
      <c r="M105" s="4">
        <f>IFERROR(MATCH(100,상세표[경계순번],0),"")</f>
        <v/>
      </c>
    </row>
    <row r="106">
      <c r="A106">
        <f>IF($M106="","",INDEX(상세표[사번],$M106)&amp;"")</f>
        <v/>
      </c>
      <c r="B106">
        <f>IF($M106="","",INDEX(상세표[성명],$M106)&amp;"")</f>
        <v/>
      </c>
      <c r="C106">
        <f>IF($M106="","",IF(INDEX(상세표[종료월],$M106)=대상월키,"전월→이번 달","이번 달→익월"))</f>
        <v/>
      </c>
      <c r="D106">
        <f>IF($M106="","",IF(ISNUMBER(INDEX(상세표[시작],$M106)),TEXT(INDEX(상세표[시작],$M106),"yyyy-mm-dd hh:mm"),INDEX(상세표[시작],$M106)&amp;""))</f>
        <v/>
      </c>
      <c r="E106">
        <f>IF($M106="","",IF(ISNUMBER(INDEX(상세표[종료],$M106)),TEXT(INDEX(상세표[종료],$M106),"yyyy-mm-dd hh:mm"),INDEX(상세표[종료],$M106)&amp;""))</f>
        <v/>
      </c>
      <c r="F106">
        <f>IF($M106="","",INDEX(상세표[기록 시간외],$M106))</f>
        <v/>
      </c>
      <c r="G106">
        <f>IF($M106="","",INDEX(상세표[시작월 기관],$M106)&amp;"")</f>
        <v/>
      </c>
      <c r="H106">
        <f>IF($M106="","",INDEX(상세표[종료월 기관],$M106)&amp;"")</f>
        <v/>
      </c>
      <c r="I106">
        <f>IF($M106="","",INDEX(상세표[월경계 판정],$M106)&amp;"")</f>
        <v/>
      </c>
      <c r="J106">
        <f>IF($M106="","",INDEX(상세표[반영월],$M106)&amp;"")</f>
        <v/>
      </c>
      <c r="K106">
        <f>IF($M106="","",INDEX(상세표[반영 기관],$M106)&amp;"")</f>
        <v/>
      </c>
      <c r="L106">
        <f>IF($M106="","",INDEX(상세표[기관 출처],$M106)&amp;"")</f>
        <v/>
      </c>
      <c r="M106" s="4">
        <f>IFERROR(MATCH(101,상세표[경계순번],0),"")</f>
        <v/>
      </c>
    </row>
    <row r="107">
      <c r="A107">
        <f>IF($M107="","",INDEX(상세표[사번],$M107)&amp;"")</f>
        <v/>
      </c>
      <c r="B107">
        <f>IF($M107="","",INDEX(상세표[성명],$M107)&amp;"")</f>
        <v/>
      </c>
      <c r="C107">
        <f>IF($M107="","",IF(INDEX(상세표[종료월],$M107)=대상월키,"전월→이번 달","이번 달→익월"))</f>
        <v/>
      </c>
      <c r="D107">
        <f>IF($M107="","",IF(ISNUMBER(INDEX(상세표[시작],$M107)),TEXT(INDEX(상세표[시작],$M107),"yyyy-mm-dd hh:mm"),INDEX(상세표[시작],$M107)&amp;""))</f>
        <v/>
      </c>
      <c r="E107">
        <f>IF($M107="","",IF(ISNUMBER(INDEX(상세표[종료],$M107)),TEXT(INDEX(상세표[종료],$M107),"yyyy-mm-dd hh:mm"),INDEX(상세표[종료],$M107)&amp;""))</f>
        <v/>
      </c>
      <c r="F107">
        <f>IF($M107="","",INDEX(상세표[기록 시간외],$M107))</f>
        <v/>
      </c>
      <c r="G107">
        <f>IF($M107="","",INDEX(상세표[시작월 기관],$M107)&amp;"")</f>
        <v/>
      </c>
      <c r="H107">
        <f>IF($M107="","",INDEX(상세표[종료월 기관],$M107)&amp;"")</f>
        <v/>
      </c>
      <c r="I107">
        <f>IF($M107="","",INDEX(상세표[월경계 판정],$M107)&amp;"")</f>
        <v/>
      </c>
      <c r="J107">
        <f>IF($M107="","",INDEX(상세표[반영월],$M107)&amp;"")</f>
        <v/>
      </c>
      <c r="K107">
        <f>IF($M107="","",INDEX(상세표[반영 기관],$M107)&amp;"")</f>
        <v/>
      </c>
      <c r="L107">
        <f>IF($M107="","",INDEX(상세표[기관 출처],$M107)&amp;"")</f>
        <v/>
      </c>
      <c r="M107" s="4">
        <f>IFERROR(MATCH(102,상세표[경계순번],0),"")</f>
        <v/>
      </c>
    </row>
    <row r="108">
      <c r="A108">
        <f>IF($M108="","",INDEX(상세표[사번],$M108)&amp;"")</f>
        <v/>
      </c>
      <c r="B108">
        <f>IF($M108="","",INDEX(상세표[성명],$M108)&amp;"")</f>
        <v/>
      </c>
      <c r="C108">
        <f>IF($M108="","",IF(INDEX(상세표[종료월],$M108)=대상월키,"전월→이번 달","이번 달→익월"))</f>
        <v/>
      </c>
      <c r="D108">
        <f>IF($M108="","",IF(ISNUMBER(INDEX(상세표[시작],$M108)),TEXT(INDEX(상세표[시작],$M108),"yyyy-mm-dd hh:mm"),INDEX(상세표[시작],$M108)&amp;""))</f>
        <v/>
      </c>
      <c r="E108">
        <f>IF($M108="","",IF(ISNUMBER(INDEX(상세표[종료],$M108)),TEXT(INDEX(상세표[종료],$M108),"yyyy-mm-dd hh:mm"),INDEX(상세표[종료],$M108)&amp;""))</f>
        <v/>
      </c>
      <c r="F108">
        <f>IF($M108="","",INDEX(상세표[기록 시간외],$M108))</f>
        <v/>
      </c>
      <c r="G108">
        <f>IF($M108="","",INDEX(상세표[시작월 기관],$M108)&amp;"")</f>
        <v/>
      </c>
      <c r="H108">
        <f>IF($M108="","",INDEX(상세표[종료월 기관],$M108)&amp;"")</f>
        <v/>
      </c>
      <c r="I108">
        <f>IF($M108="","",INDEX(상세표[월경계 판정],$M108)&amp;"")</f>
        <v/>
      </c>
      <c r="J108">
        <f>IF($M108="","",INDEX(상세표[반영월],$M108)&amp;"")</f>
        <v/>
      </c>
      <c r="K108">
        <f>IF($M108="","",INDEX(상세표[반영 기관],$M108)&amp;"")</f>
        <v/>
      </c>
      <c r="L108">
        <f>IF($M108="","",INDEX(상세표[기관 출처],$M108)&amp;"")</f>
        <v/>
      </c>
      <c r="M108" s="4">
        <f>IFERROR(MATCH(103,상세표[경계순번],0),"")</f>
        <v/>
      </c>
    </row>
    <row r="109">
      <c r="A109">
        <f>IF($M109="","",INDEX(상세표[사번],$M109)&amp;"")</f>
        <v/>
      </c>
      <c r="B109">
        <f>IF($M109="","",INDEX(상세표[성명],$M109)&amp;"")</f>
        <v/>
      </c>
      <c r="C109">
        <f>IF($M109="","",IF(INDEX(상세표[종료월],$M109)=대상월키,"전월→이번 달","이번 달→익월"))</f>
        <v/>
      </c>
      <c r="D109">
        <f>IF($M109="","",IF(ISNUMBER(INDEX(상세표[시작],$M109)),TEXT(INDEX(상세표[시작],$M109),"yyyy-mm-dd hh:mm"),INDEX(상세표[시작],$M109)&amp;""))</f>
        <v/>
      </c>
      <c r="E109">
        <f>IF($M109="","",IF(ISNUMBER(INDEX(상세표[종료],$M109)),TEXT(INDEX(상세표[종료],$M109),"yyyy-mm-dd hh:mm"),INDEX(상세표[종료],$M109)&amp;""))</f>
        <v/>
      </c>
      <c r="F109">
        <f>IF($M109="","",INDEX(상세표[기록 시간외],$M109))</f>
        <v/>
      </c>
      <c r="G109">
        <f>IF($M109="","",INDEX(상세표[시작월 기관],$M109)&amp;"")</f>
        <v/>
      </c>
      <c r="H109">
        <f>IF($M109="","",INDEX(상세표[종료월 기관],$M109)&amp;"")</f>
        <v/>
      </c>
      <c r="I109">
        <f>IF($M109="","",INDEX(상세표[월경계 판정],$M109)&amp;"")</f>
        <v/>
      </c>
      <c r="J109">
        <f>IF($M109="","",INDEX(상세표[반영월],$M109)&amp;"")</f>
        <v/>
      </c>
      <c r="K109">
        <f>IF($M109="","",INDEX(상세표[반영 기관],$M109)&amp;"")</f>
        <v/>
      </c>
      <c r="L109">
        <f>IF($M109="","",INDEX(상세표[기관 출처],$M109)&amp;"")</f>
        <v/>
      </c>
      <c r="M109" s="4">
        <f>IFERROR(MATCH(104,상세표[경계순번],0),"")</f>
        <v/>
      </c>
    </row>
    <row r="110">
      <c r="A110">
        <f>IF($M110="","",INDEX(상세표[사번],$M110)&amp;"")</f>
        <v/>
      </c>
      <c r="B110">
        <f>IF($M110="","",INDEX(상세표[성명],$M110)&amp;"")</f>
        <v/>
      </c>
      <c r="C110">
        <f>IF($M110="","",IF(INDEX(상세표[종료월],$M110)=대상월키,"전월→이번 달","이번 달→익월"))</f>
        <v/>
      </c>
      <c r="D110">
        <f>IF($M110="","",IF(ISNUMBER(INDEX(상세표[시작],$M110)),TEXT(INDEX(상세표[시작],$M110),"yyyy-mm-dd hh:mm"),INDEX(상세표[시작],$M110)&amp;""))</f>
        <v/>
      </c>
      <c r="E110">
        <f>IF($M110="","",IF(ISNUMBER(INDEX(상세표[종료],$M110)),TEXT(INDEX(상세표[종료],$M110),"yyyy-mm-dd hh:mm"),INDEX(상세표[종료],$M110)&amp;""))</f>
        <v/>
      </c>
      <c r="F110">
        <f>IF($M110="","",INDEX(상세표[기록 시간외],$M110))</f>
        <v/>
      </c>
      <c r="G110">
        <f>IF($M110="","",INDEX(상세표[시작월 기관],$M110)&amp;"")</f>
        <v/>
      </c>
      <c r="H110">
        <f>IF($M110="","",INDEX(상세표[종료월 기관],$M110)&amp;"")</f>
        <v/>
      </c>
      <c r="I110">
        <f>IF($M110="","",INDEX(상세표[월경계 판정],$M110)&amp;"")</f>
        <v/>
      </c>
      <c r="J110">
        <f>IF($M110="","",INDEX(상세표[반영월],$M110)&amp;"")</f>
        <v/>
      </c>
      <c r="K110">
        <f>IF($M110="","",INDEX(상세표[반영 기관],$M110)&amp;"")</f>
        <v/>
      </c>
      <c r="L110">
        <f>IF($M110="","",INDEX(상세표[기관 출처],$M110)&amp;"")</f>
        <v/>
      </c>
      <c r="M110" s="4">
        <f>IFERROR(MATCH(105,상세표[경계순번],0),"")</f>
        <v/>
      </c>
    </row>
    <row r="111">
      <c r="A111">
        <f>IF($M111="","",INDEX(상세표[사번],$M111)&amp;"")</f>
        <v/>
      </c>
      <c r="B111">
        <f>IF($M111="","",INDEX(상세표[성명],$M111)&amp;"")</f>
        <v/>
      </c>
      <c r="C111">
        <f>IF($M111="","",IF(INDEX(상세표[종료월],$M111)=대상월키,"전월→이번 달","이번 달→익월"))</f>
        <v/>
      </c>
      <c r="D111">
        <f>IF($M111="","",IF(ISNUMBER(INDEX(상세표[시작],$M111)),TEXT(INDEX(상세표[시작],$M111),"yyyy-mm-dd hh:mm"),INDEX(상세표[시작],$M111)&amp;""))</f>
        <v/>
      </c>
      <c r="E111">
        <f>IF($M111="","",IF(ISNUMBER(INDEX(상세표[종료],$M111)),TEXT(INDEX(상세표[종료],$M111),"yyyy-mm-dd hh:mm"),INDEX(상세표[종료],$M111)&amp;""))</f>
        <v/>
      </c>
      <c r="F111">
        <f>IF($M111="","",INDEX(상세표[기록 시간외],$M111))</f>
        <v/>
      </c>
      <c r="G111">
        <f>IF($M111="","",INDEX(상세표[시작월 기관],$M111)&amp;"")</f>
        <v/>
      </c>
      <c r="H111">
        <f>IF($M111="","",INDEX(상세표[종료월 기관],$M111)&amp;"")</f>
        <v/>
      </c>
      <c r="I111">
        <f>IF($M111="","",INDEX(상세표[월경계 판정],$M111)&amp;"")</f>
        <v/>
      </c>
      <c r="J111">
        <f>IF($M111="","",INDEX(상세표[반영월],$M111)&amp;"")</f>
        <v/>
      </c>
      <c r="K111">
        <f>IF($M111="","",INDEX(상세표[반영 기관],$M111)&amp;"")</f>
        <v/>
      </c>
      <c r="L111">
        <f>IF($M111="","",INDEX(상세표[기관 출처],$M111)&amp;"")</f>
        <v/>
      </c>
      <c r="M111" s="4">
        <f>IFERROR(MATCH(106,상세표[경계순번],0),"")</f>
        <v/>
      </c>
    </row>
    <row r="112">
      <c r="A112">
        <f>IF($M112="","",INDEX(상세표[사번],$M112)&amp;"")</f>
        <v/>
      </c>
      <c r="B112">
        <f>IF($M112="","",INDEX(상세표[성명],$M112)&amp;"")</f>
        <v/>
      </c>
      <c r="C112">
        <f>IF($M112="","",IF(INDEX(상세표[종료월],$M112)=대상월키,"전월→이번 달","이번 달→익월"))</f>
        <v/>
      </c>
      <c r="D112">
        <f>IF($M112="","",IF(ISNUMBER(INDEX(상세표[시작],$M112)),TEXT(INDEX(상세표[시작],$M112),"yyyy-mm-dd hh:mm"),INDEX(상세표[시작],$M112)&amp;""))</f>
        <v/>
      </c>
      <c r="E112">
        <f>IF($M112="","",IF(ISNUMBER(INDEX(상세표[종료],$M112)),TEXT(INDEX(상세표[종료],$M112),"yyyy-mm-dd hh:mm"),INDEX(상세표[종료],$M112)&amp;""))</f>
        <v/>
      </c>
      <c r="F112">
        <f>IF($M112="","",INDEX(상세표[기록 시간외],$M112))</f>
        <v/>
      </c>
      <c r="G112">
        <f>IF($M112="","",INDEX(상세표[시작월 기관],$M112)&amp;"")</f>
        <v/>
      </c>
      <c r="H112">
        <f>IF($M112="","",INDEX(상세표[종료월 기관],$M112)&amp;"")</f>
        <v/>
      </c>
      <c r="I112">
        <f>IF($M112="","",INDEX(상세표[월경계 판정],$M112)&amp;"")</f>
        <v/>
      </c>
      <c r="J112">
        <f>IF($M112="","",INDEX(상세표[반영월],$M112)&amp;"")</f>
        <v/>
      </c>
      <c r="K112">
        <f>IF($M112="","",INDEX(상세표[반영 기관],$M112)&amp;"")</f>
        <v/>
      </c>
      <c r="L112">
        <f>IF($M112="","",INDEX(상세표[기관 출처],$M112)&amp;"")</f>
        <v/>
      </c>
      <c r="M112" s="4">
        <f>IFERROR(MATCH(107,상세표[경계순번],0),"")</f>
        <v/>
      </c>
    </row>
    <row r="113">
      <c r="A113">
        <f>IF($M113="","",INDEX(상세표[사번],$M113)&amp;"")</f>
        <v/>
      </c>
      <c r="B113">
        <f>IF($M113="","",INDEX(상세표[성명],$M113)&amp;"")</f>
        <v/>
      </c>
      <c r="C113">
        <f>IF($M113="","",IF(INDEX(상세표[종료월],$M113)=대상월키,"전월→이번 달","이번 달→익월"))</f>
        <v/>
      </c>
      <c r="D113">
        <f>IF($M113="","",IF(ISNUMBER(INDEX(상세표[시작],$M113)),TEXT(INDEX(상세표[시작],$M113),"yyyy-mm-dd hh:mm"),INDEX(상세표[시작],$M113)&amp;""))</f>
        <v/>
      </c>
      <c r="E113">
        <f>IF($M113="","",IF(ISNUMBER(INDEX(상세표[종료],$M113)),TEXT(INDEX(상세표[종료],$M113),"yyyy-mm-dd hh:mm"),INDEX(상세표[종료],$M113)&amp;""))</f>
        <v/>
      </c>
      <c r="F113">
        <f>IF($M113="","",INDEX(상세표[기록 시간외],$M113))</f>
        <v/>
      </c>
      <c r="G113">
        <f>IF($M113="","",INDEX(상세표[시작월 기관],$M113)&amp;"")</f>
        <v/>
      </c>
      <c r="H113">
        <f>IF($M113="","",INDEX(상세표[종료월 기관],$M113)&amp;"")</f>
        <v/>
      </c>
      <c r="I113">
        <f>IF($M113="","",INDEX(상세표[월경계 판정],$M113)&amp;"")</f>
        <v/>
      </c>
      <c r="J113">
        <f>IF($M113="","",INDEX(상세표[반영월],$M113)&amp;"")</f>
        <v/>
      </c>
      <c r="K113">
        <f>IF($M113="","",INDEX(상세표[반영 기관],$M113)&amp;"")</f>
        <v/>
      </c>
      <c r="L113">
        <f>IF($M113="","",INDEX(상세표[기관 출처],$M113)&amp;"")</f>
        <v/>
      </c>
      <c r="M113" s="4">
        <f>IFERROR(MATCH(108,상세표[경계순번],0),"")</f>
        <v/>
      </c>
    </row>
    <row r="114">
      <c r="A114">
        <f>IF($M114="","",INDEX(상세표[사번],$M114)&amp;"")</f>
        <v/>
      </c>
      <c r="B114">
        <f>IF($M114="","",INDEX(상세표[성명],$M114)&amp;"")</f>
        <v/>
      </c>
      <c r="C114">
        <f>IF($M114="","",IF(INDEX(상세표[종료월],$M114)=대상월키,"전월→이번 달","이번 달→익월"))</f>
        <v/>
      </c>
      <c r="D114">
        <f>IF($M114="","",IF(ISNUMBER(INDEX(상세표[시작],$M114)),TEXT(INDEX(상세표[시작],$M114),"yyyy-mm-dd hh:mm"),INDEX(상세표[시작],$M114)&amp;""))</f>
        <v/>
      </c>
      <c r="E114">
        <f>IF($M114="","",IF(ISNUMBER(INDEX(상세표[종료],$M114)),TEXT(INDEX(상세표[종료],$M114),"yyyy-mm-dd hh:mm"),INDEX(상세표[종료],$M114)&amp;""))</f>
        <v/>
      </c>
      <c r="F114">
        <f>IF($M114="","",INDEX(상세표[기록 시간외],$M114))</f>
        <v/>
      </c>
      <c r="G114">
        <f>IF($M114="","",INDEX(상세표[시작월 기관],$M114)&amp;"")</f>
        <v/>
      </c>
      <c r="H114">
        <f>IF($M114="","",INDEX(상세표[종료월 기관],$M114)&amp;"")</f>
        <v/>
      </c>
      <c r="I114">
        <f>IF($M114="","",INDEX(상세표[월경계 판정],$M114)&amp;"")</f>
        <v/>
      </c>
      <c r="J114">
        <f>IF($M114="","",INDEX(상세표[반영월],$M114)&amp;"")</f>
        <v/>
      </c>
      <c r="K114">
        <f>IF($M114="","",INDEX(상세표[반영 기관],$M114)&amp;"")</f>
        <v/>
      </c>
      <c r="L114">
        <f>IF($M114="","",INDEX(상세표[기관 출처],$M114)&amp;"")</f>
        <v/>
      </c>
      <c r="M114" s="4">
        <f>IFERROR(MATCH(109,상세표[경계순번],0),"")</f>
        <v/>
      </c>
    </row>
    <row r="115">
      <c r="A115">
        <f>IF($M115="","",INDEX(상세표[사번],$M115)&amp;"")</f>
        <v/>
      </c>
      <c r="B115">
        <f>IF($M115="","",INDEX(상세표[성명],$M115)&amp;"")</f>
        <v/>
      </c>
      <c r="C115">
        <f>IF($M115="","",IF(INDEX(상세표[종료월],$M115)=대상월키,"전월→이번 달","이번 달→익월"))</f>
        <v/>
      </c>
      <c r="D115">
        <f>IF($M115="","",IF(ISNUMBER(INDEX(상세표[시작],$M115)),TEXT(INDEX(상세표[시작],$M115),"yyyy-mm-dd hh:mm"),INDEX(상세표[시작],$M115)&amp;""))</f>
        <v/>
      </c>
      <c r="E115">
        <f>IF($M115="","",IF(ISNUMBER(INDEX(상세표[종료],$M115)),TEXT(INDEX(상세표[종료],$M115),"yyyy-mm-dd hh:mm"),INDEX(상세표[종료],$M115)&amp;""))</f>
        <v/>
      </c>
      <c r="F115">
        <f>IF($M115="","",INDEX(상세표[기록 시간외],$M115))</f>
        <v/>
      </c>
      <c r="G115">
        <f>IF($M115="","",INDEX(상세표[시작월 기관],$M115)&amp;"")</f>
        <v/>
      </c>
      <c r="H115">
        <f>IF($M115="","",INDEX(상세표[종료월 기관],$M115)&amp;"")</f>
        <v/>
      </c>
      <c r="I115">
        <f>IF($M115="","",INDEX(상세표[월경계 판정],$M115)&amp;"")</f>
        <v/>
      </c>
      <c r="J115">
        <f>IF($M115="","",INDEX(상세표[반영월],$M115)&amp;"")</f>
        <v/>
      </c>
      <c r="K115">
        <f>IF($M115="","",INDEX(상세표[반영 기관],$M115)&amp;"")</f>
        <v/>
      </c>
      <c r="L115">
        <f>IF($M115="","",INDEX(상세표[기관 출처],$M115)&amp;"")</f>
        <v/>
      </c>
      <c r="M115" s="4">
        <f>IFERROR(MATCH(110,상세표[경계순번],0),"")</f>
        <v/>
      </c>
    </row>
    <row r="116">
      <c r="A116">
        <f>IF($M116="","",INDEX(상세표[사번],$M116)&amp;"")</f>
        <v/>
      </c>
      <c r="B116">
        <f>IF($M116="","",INDEX(상세표[성명],$M116)&amp;"")</f>
        <v/>
      </c>
      <c r="C116">
        <f>IF($M116="","",IF(INDEX(상세표[종료월],$M116)=대상월키,"전월→이번 달","이번 달→익월"))</f>
        <v/>
      </c>
      <c r="D116">
        <f>IF($M116="","",IF(ISNUMBER(INDEX(상세표[시작],$M116)),TEXT(INDEX(상세표[시작],$M116),"yyyy-mm-dd hh:mm"),INDEX(상세표[시작],$M116)&amp;""))</f>
        <v/>
      </c>
      <c r="E116">
        <f>IF($M116="","",IF(ISNUMBER(INDEX(상세표[종료],$M116)),TEXT(INDEX(상세표[종료],$M116),"yyyy-mm-dd hh:mm"),INDEX(상세표[종료],$M116)&amp;""))</f>
        <v/>
      </c>
      <c r="F116">
        <f>IF($M116="","",INDEX(상세표[기록 시간외],$M116))</f>
        <v/>
      </c>
      <c r="G116">
        <f>IF($M116="","",INDEX(상세표[시작월 기관],$M116)&amp;"")</f>
        <v/>
      </c>
      <c r="H116">
        <f>IF($M116="","",INDEX(상세표[종료월 기관],$M116)&amp;"")</f>
        <v/>
      </c>
      <c r="I116">
        <f>IF($M116="","",INDEX(상세표[월경계 판정],$M116)&amp;"")</f>
        <v/>
      </c>
      <c r="J116">
        <f>IF($M116="","",INDEX(상세표[반영월],$M116)&amp;"")</f>
        <v/>
      </c>
      <c r="K116">
        <f>IF($M116="","",INDEX(상세표[반영 기관],$M116)&amp;"")</f>
        <v/>
      </c>
      <c r="L116">
        <f>IF($M116="","",INDEX(상세표[기관 출처],$M116)&amp;"")</f>
        <v/>
      </c>
      <c r="M116" s="4">
        <f>IFERROR(MATCH(111,상세표[경계순번],0),"")</f>
        <v/>
      </c>
    </row>
    <row r="117">
      <c r="A117">
        <f>IF($M117="","",INDEX(상세표[사번],$M117)&amp;"")</f>
        <v/>
      </c>
      <c r="B117">
        <f>IF($M117="","",INDEX(상세표[성명],$M117)&amp;"")</f>
        <v/>
      </c>
      <c r="C117">
        <f>IF($M117="","",IF(INDEX(상세표[종료월],$M117)=대상월키,"전월→이번 달","이번 달→익월"))</f>
        <v/>
      </c>
      <c r="D117">
        <f>IF($M117="","",IF(ISNUMBER(INDEX(상세표[시작],$M117)),TEXT(INDEX(상세표[시작],$M117),"yyyy-mm-dd hh:mm"),INDEX(상세표[시작],$M117)&amp;""))</f>
        <v/>
      </c>
      <c r="E117">
        <f>IF($M117="","",IF(ISNUMBER(INDEX(상세표[종료],$M117)),TEXT(INDEX(상세표[종료],$M117),"yyyy-mm-dd hh:mm"),INDEX(상세표[종료],$M117)&amp;""))</f>
        <v/>
      </c>
      <c r="F117">
        <f>IF($M117="","",INDEX(상세표[기록 시간외],$M117))</f>
        <v/>
      </c>
      <c r="G117">
        <f>IF($M117="","",INDEX(상세표[시작월 기관],$M117)&amp;"")</f>
        <v/>
      </c>
      <c r="H117">
        <f>IF($M117="","",INDEX(상세표[종료월 기관],$M117)&amp;"")</f>
        <v/>
      </c>
      <c r="I117">
        <f>IF($M117="","",INDEX(상세표[월경계 판정],$M117)&amp;"")</f>
        <v/>
      </c>
      <c r="J117">
        <f>IF($M117="","",INDEX(상세표[반영월],$M117)&amp;"")</f>
        <v/>
      </c>
      <c r="K117">
        <f>IF($M117="","",INDEX(상세표[반영 기관],$M117)&amp;"")</f>
        <v/>
      </c>
      <c r="L117">
        <f>IF($M117="","",INDEX(상세표[기관 출처],$M117)&amp;"")</f>
        <v/>
      </c>
      <c r="M117" s="4">
        <f>IFERROR(MATCH(112,상세표[경계순번],0),"")</f>
        <v/>
      </c>
    </row>
    <row r="118">
      <c r="A118">
        <f>IF($M118="","",INDEX(상세표[사번],$M118)&amp;"")</f>
        <v/>
      </c>
      <c r="B118">
        <f>IF($M118="","",INDEX(상세표[성명],$M118)&amp;"")</f>
        <v/>
      </c>
      <c r="C118">
        <f>IF($M118="","",IF(INDEX(상세표[종료월],$M118)=대상월키,"전월→이번 달","이번 달→익월"))</f>
        <v/>
      </c>
      <c r="D118">
        <f>IF($M118="","",IF(ISNUMBER(INDEX(상세표[시작],$M118)),TEXT(INDEX(상세표[시작],$M118),"yyyy-mm-dd hh:mm"),INDEX(상세표[시작],$M118)&amp;""))</f>
        <v/>
      </c>
      <c r="E118">
        <f>IF($M118="","",IF(ISNUMBER(INDEX(상세표[종료],$M118)),TEXT(INDEX(상세표[종료],$M118),"yyyy-mm-dd hh:mm"),INDEX(상세표[종료],$M118)&amp;""))</f>
        <v/>
      </c>
      <c r="F118">
        <f>IF($M118="","",INDEX(상세표[기록 시간외],$M118))</f>
        <v/>
      </c>
      <c r="G118">
        <f>IF($M118="","",INDEX(상세표[시작월 기관],$M118)&amp;"")</f>
        <v/>
      </c>
      <c r="H118">
        <f>IF($M118="","",INDEX(상세표[종료월 기관],$M118)&amp;"")</f>
        <v/>
      </c>
      <c r="I118">
        <f>IF($M118="","",INDEX(상세표[월경계 판정],$M118)&amp;"")</f>
        <v/>
      </c>
      <c r="J118">
        <f>IF($M118="","",INDEX(상세표[반영월],$M118)&amp;"")</f>
        <v/>
      </c>
      <c r="K118">
        <f>IF($M118="","",INDEX(상세표[반영 기관],$M118)&amp;"")</f>
        <v/>
      </c>
      <c r="L118">
        <f>IF($M118="","",INDEX(상세표[기관 출처],$M118)&amp;"")</f>
        <v/>
      </c>
      <c r="M118" s="4">
        <f>IFERROR(MATCH(113,상세표[경계순번],0),"")</f>
        <v/>
      </c>
    </row>
    <row r="119">
      <c r="A119">
        <f>IF($M119="","",INDEX(상세표[사번],$M119)&amp;"")</f>
        <v/>
      </c>
      <c r="B119">
        <f>IF($M119="","",INDEX(상세표[성명],$M119)&amp;"")</f>
        <v/>
      </c>
      <c r="C119">
        <f>IF($M119="","",IF(INDEX(상세표[종료월],$M119)=대상월키,"전월→이번 달","이번 달→익월"))</f>
        <v/>
      </c>
      <c r="D119">
        <f>IF($M119="","",IF(ISNUMBER(INDEX(상세표[시작],$M119)),TEXT(INDEX(상세표[시작],$M119),"yyyy-mm-dd hh:mm"),INDEX(상세표[시작],$M119)&amp;""))</f>
        <v/>
      </c>
      <c r="E119">
        <f>IF($M119="","",IF(ISNUMBER(INDEX(상세표[종료],$M119)),TEXT(INDEX(상세표[종료],$M119),"yyyy-mm-dd hh:mm"),INDEX(상세표[종료],$M119)&amp;""))</f>
        <v/>
      </c>
      <c r="F119">
        <f>IF($M119="","",INDEX(상세표[기록 시간외],$M119))</f>
        <v/>
      </c>
      <c r="G119">
        <f>IF($M119="","",INDEX(상세표[시작월 기관],$M119)&amp;"")</f>
        <v/>
      </c>
      <c r="H119">
        <f>IF($M119="","",INDEX(상세표[종료월 기관],$M119)&amp;"")</f>
        <v/>
      </c>
      <c r="I119">
        <f>IF($M119="","",INDEX(상세표[월경계 판정],$M119)&amp;"")</f>
        <v/>
      </c>
      <c r="J119">
        <f>IF($M119="","",INDEX(상세표[반영월],$M119)&amp;"")</f>
        <v/>
      </c>
      <c r="K119">
        <f>IF($M119="","",INDEX(상세표[반영 기관],$M119)&amp;"")</f>
        <v/>
      </c>
      <c r="L119">
        <f>IF($M119="","",INDEX(상세표[기관 출처],$M119)&amp;"")</f>
        <v/>
      </c>
      <c r="M119" s="4">
        <f>IFERROR(MATCH(114,상세표[경계순번],0),"")</f>
        <v/>
      </c>
    </row>
    <row r="120">
      <c r="A120">
        <f>IF($M120="","",INDEX(상세표[사번],$M120)&amp;"")</f>
        <v/>
      </c>
      <c r="B120">
        <f>IF($M120="","",INDEX(상세표[성명],$M120)&amp;"")</f>
        <v/>
      </c>
      <c r="C120">
        <f>IF($M120="","",IF(INDEX(상세표[종료월],$M120)=대상월키,"전월→이번 달","이번 달→익월"))</f>
        <v/>
      </c>
      <c r="D120">
        <f>IF($M120="","",IF(ISNUMBER(INDEX(상세표[시작],$M120)),TEXT(INDEX(상세표[시작],$M120),"yyyy-mm-dd hh:mm"),INDEX(상세표[시작],$M120)&amp;""))</f>
        <v/>
      </c>
      <c r="E120">
        <f>IF($M120="","",IF(ISNUMBER(INDEX(상세표[종료],$M120)),TEXT(INDEX(상세표[종료],$M120),"yyyy-mm-dd hh:mm"),INDEX(상세표[종료],$M120)&amp;""))</f>
        <v/>
      </c>
      <c r="F120">
        <f>IF($M120="","",INDEX(상세표[기록 시간외],$M120))</f>
        <v/>
      </c>
      <c r="G120">
        <f>IF($M120="","",INDEX(상세표[시작월 기관],$M120)&amp;"")</f>
        <v/>
      </c>
      <c r="H120">
        <f>IF($M120="","",INDEX(상세표[종료월 기관],$M120)&amp;"")</f>
        <v/>
      </c>
      <c r="I120">
        <f>IF($M120="","",INDEX(상세표[월경계 판정],$M120)&amp;"")</f>
        <v/>
      </c>
      <c r="J120">
        <f>IF($M120="","",INDEX(상세표[반영월],$M120)&amp;"")</f>
        <v/>
      </c>
      <c r="K120">
        <f>IF($M120="","",INDEX(상세표[반영 기관],$M120)&amp;"")</f>
        <v/>
      </c>
      <c r="L120">
        <f>IF($M120="","",INDEX(상세표[기관 출처],$M120)&amp;"")</f>
        <v/>
      </c>
      <c r="M120" s="4">
        <f>IFERROR(MATCH(115,상세표[경계순번],0),"")</f>
        <v/>
      </c>
    </row>
    <row r="121">
      <c r="A121">
        <f>IF($M121="","",INDEX(상세표[사번],$M121)&amp;"")</f>
        <v/>
      </c>
      <c r="B121">
        <f>IF($M121="","",INDEX(상세표[성명],$M121)&amp;"")</f>
        <v/>
      </c>
      <c r="C121">
        <f>IF($M121="","",IF(INDEX(상세표[종료월],$M121)=대상월키,"전월→이번 달","이번 달→익월"))</f>
        <v/>
      </c>
      <c r="D121">
        <f>IF($M121="","",IF(ISNUMBER(INDEX(상세표[시작],$M121)),TEXT(INDEX(상세표[시작],$M121),"yyyy-mm-dd hh:mm"),INDEX(상세표[시작],$M121)&amp;""))</f>
        <v/>
      </c>
      <c r="E121">
        <f>IF($M121="","",IF(ISNUMBER(INDEX(상세표[종료],$M121)),TEXT(INDEX(상세표[종료],$M121),"yyyy-mm-dd hh:mm"),INDEX(상세표[종료],$M121)&amp;""))</f>
        <v/>
      </c>
      <c r="F121">
        <f>IF($M121="","",INDEX(상세표[기록 시간외],$M121))</f>
        <v/>
      </c>
      <c r="G121">
        <f>IF($M121="","",INDEX(상세표[시작월 기관],$M121)&amp;"")</f>
        <v/>
      </c>
      <c r="H121">
        <f>IF($M121="","",INDEX(상세표[종료월 기관],$M121)&amp;"")</f>
        <v/>
      </c>
      <c r="I121">
        <f>IF($M121="","",INDEX(상세표[월경계 판정],$M121)&amp;"")</f>
        <v/>
      </c>
      <c r="J121">
        <f>IF($M121="","",INDEX(상세표[반영월],$M121)&amp;"")</f>
        <v/>
      </c>
      <c r="K121">
        <f>IF($M121="","",INDEX(상세표[반영 기관],$M121)&amp;"")</f>
        <v/>
      </c>
      <c r="L121">
        <f>IF($M121="","",INDEX(상세표[기관 출처],$M121)&amp;"")</f>
        <v/>
      </c>
      <c r="M121" s="4">
        <f>IFERROR(MATCH(116,상세표[경계순번],0),"")</f>
        <v/>
      </c>
    </row>
    <row r="122">
      <c r="A122">
        <f>IF($M122="","",INDEX(상세표[사번],$M122)&amp;"")</f>
        <v/>
      </c>
      <c r="B122">
        <f>IF($M122="","",INDEX(상세표[성명],$M122)&amp;"")</f>
        <v/>
      </c>
      <c r="C122">
        <f>IF($M122="","",IF(INDEX(상세표[종료월],$M122)=대상월키,"전월→이번 달","이번 달→익월"))</f>
        <v/>
      </c>
      <c r="D122">
        <f>IF($M122="","",IF(ISNUMBER(INDEX(상세표[시작],$M122)),TEXT(INDEX(상세표[시작],$M122),"yyyy-mm-dd hh:mm"),INDEX(상세표[시작],$M122)&amp;""))</f>
        <v/>
      </c>
      <c r="E122">
        <f>IF($M122="","",IF(ISNUMBER(INDEX(상세표[종료],$M122)),TEXT(INDEX(상세표[종료],$M122),"yyyy-mm-dd hh:mm"),INDEX(상세표[종료],$M122)&amp;""))</f>
        <v/>
      </c>
      <c r="F122">
        <f>IF($M122="","",INDEX(상세표[기록 시간외],$M122))</f>
        <v/>
      </c>
      <c r="G122">
        <f>IF($M122="","",INDEX(상세표[시작월 기관],$M122)&amp;"")</f>
        <v/>
      </c>
      <c r="H122">
        <f>IF($M122="","",INDEX(상세표[종료월 기관],$M122)&amp;"")</f>
        <v/>
      </c>
      <c r="I122">
        <f>IF($M122="","",INDEX(상세표[월경계 판정],$M122)&amp;"")</f>
        <v/>
      </c>
      <c r="J122">
        <f>IF($M122="","",INDEX(상세표[반영월],$M122)&amp;"")</f>
        <v/>
      </c>
      <c r="K122">
        <f>IF($M122="","",INDEX(상세표[반영 기관],$M122)&amp;"")</f>
        <v/>
      </c>
      <c r="L122">
        <f>IF($M122="","",INDEX(상세표[기관 출처],$M122)&amp;"")</f>
        <v/>
      </c>
      <c r="M122" s="4">
        <f>IFERROR(MATCH(117,상세표[경계순번],0),"")</f>
        <v/>
      </c>
    </row>
    <row r="123">
      <c r="A123">
        <f>IF($M123="","",INDEX(상세표[사번],$M123)&amp;"")</f>
        <v/>
      </c>
      <c r="B123">
        <f>IF($M123="","",INDEX(상세표[성명],$M123)&amp;"")</f>
        <v/>
      </c>
      <c r="C123">
        <f>IF($M123="","",IF(INDEX(상세표[종료월],$M123)=대상월키,"전월→이번 달","이번 달→익월"))</f>
        <v/>
      </c>
      <c r="D123">
        <f>IF($M123="","",IF(ISNUMBER(INDEX(상세표[시작],$M123)),TEXT(INDEX(상세표[시작],$M123),"yyyy-mm-dd hh:mm"),INDEX(상세표[시작],$M123)&amp;""))</f>
        <v/>
      </c>
      <c r="E123">
        <f>IF($M123="","",IF(ISNUMBER(INDEX(상세표[종료],$M123)),TEXT(INDEX(상세표[종료],$M123),"yyyy-mm-dd hh:mm"),INDEX(상세표[종료],$M123)&amp;""))</f>
        <v/>
      </c>
      <c r="F123">
        <f>IF($M123="","",INDEX(상세표[기록 시간외],$M123))</f>
        <v/>
      </c>
      <c r="G123">
        <f>IF($M123="","",INDEX(상세표[시작월 기관],$M123)&amp;"")</f>
        <v/>
      </c>
      <c r="H123">
        <f>IF($M123="","",INDEX(상세표[종료월 기관],$M123)&amp;"")</f>
        <v/>
      </c>
      <c r="I123">
        <f>IF($M123="","",INDEX(상세표[월경계 판정],$M123)&amp;"")</f>
        <v/>
      </c>
      <c r="J123">
        <f>IF($M123="","",INDEX(상세표[반영월],$M123)&amp;"")</f>
        <v/>
      </c>
      <c r="K123">
        <f>IF($M123="","",INDEX(상세표[반영 기관],$M123)&amp;"")</f>
        <v/>
      </c>
      <c r="L123">
        <f>IF($M123="","",INDEX(상세표[기관 출처],$M123)&amp;"")</f>
        <v/>
      </c>
      <c r="M123" s="4">
        <f>IFERROR(MATCH(118,상세표[경계순번],0),"")</f>
        <v/>
      </c>
    </row>
    <row r="124">
      <c r="A124">
        <f>IF($M124="","",INDEX(상세표[사번],$M124)&amp;"")</f>
        <v/>
      </c>
      <c r="B124">
        <f>IF($M124="","",INDEX(상세표[성명],$M124)&amp;"")</f>
        <v/>
      </c>
      <c r="C124">
        <f>IF($M124="","",IF(INDEX(상세표[종료월],$M124)=대상월키,"전월→이번 달","이번 달→익월"))</f>
        <v/>
      </c>
      <c r="D124">
        <f>IF($M124="","",IF(ISNUMBER(INDEX(상세표[시작],$M124)),TEXT(INDEX(상세표[시작],$M124),"yyyy-mm-dd hh:mm"),INDEX(상세표[시작],$M124)&amp;""))</f>
        <v/>
      </c>
      <c r="E124">
        <f>IF($M124="","",IF(ISNUMBER(INDEX(상세표[종료],$M124)),TEXT(INDEX(상세표[종료],$M124),"yyyy-mm-dd hh:mm"),INDEX(상세표[종료],$M124)&amp;""))</f>
        <v/>
      </c>
      <c r="F124">
        <f>IF($M124="","",INDEX(상세표[기록 시간외],$M124))</f>
        <v/>
      </c>
      <c r="G124">
        <f>IF($M124="","",INDEX(상세표[시작월 기관],$M124)&amp;"")</f>
        <v/>
      </c>
      <c r="H124">
        <f>IF($M124="","",INDEX(상세표[종료월 기관],$M124)&amp;"")</f>
        <v/>
      </c>
      <c r="I124">
        <f>IF($M124="","",INDEX(상세표[월경계 판정],$M124)&amp;"")</f>
        <v/>
      </c>
      <c r="J124">
        <f>IF($M124="","",INDEX(상세표[반영월],$M124)&amp;"")</f>
        <v/>
      </c>
      <c r="K124">
        <f>IF($M124="","",INDEX(상세표[반영 기관],$M124)&amp;"")</f>
        <v/>
      </c>
      <c r="L124">
        <f>IF($M124="","",INDEX(상세표[기관 출처],$M124)&amp;"")</f>
        <v/>
      </c>
      <c r="M124" s="4">
        <f>IFERROR(MATCH(119,상세표[경계순번],0),"")</f>
        <v/>
      </c>
    </row>
    <row r="125">
      <c r="A125">
        <f>IF($M125="","",INDEX(상세표[사번],$M125)&amp;"")</f>
        <v/>
      </c>
      <c r="B125">
        <f>IF($M125="","",INDEX(상세표[성명],$M125)&amp;"")</f>
        <v/>
      </c>
      <c r="C125">
        <f>IF($M125="","",IF(INDEX(상세표[종료월],$M125)=대상월키,"전월→이번 달","이번 달→익월"))</f>
        <v/>
      </c>
      <c r="D125">
        <f>IF($M125="","",IF(ISNUMBER(INDEX(상세표[시작],$M125)),TEXT(INDEX(상세표[시작],$M125),"yyyy-mm-dd hh:mm"),INDEX(상세표[시작],$M125)&amp;""))</f>
        <v/>
      </c>
      <c r="E125">
        <f>IF($M125="","",IF(ISNUMBER(INDEX(상세표[종료],$M125)),TEXT(INDEX(상세표[종료],$M125),"yyyy-mm-dd hh:mm"),INDEX(상세표[종료],$M125)&amp;""))</f>
        <v/>
      </c>
      <c r="F125">
        <f>IF($M125="","",INDEX(상세표[기록 시간외],$M125))</f>
        <v/>
      </c>
      <c r="G125">
        <f>IF($M125="","",INDEX(상세표[시작월 기관],$M125)&amp;"")</f>
        <v/>
      </c>
      <c r="H125">
        <f>IF($M125="","",INDEX(상세표[종료월 기관],$M125)&amp;"")</f>
        <v/>
      </c>
      <c r="I125">
        <f>IF($M125="","",INDEX(상세표[월경계 판정],$M125)&amp;"")</f>
        <v/>
      </c>
      <c r="J125">
        <f>IF($M125="","",INDEX(상세표[반영월],$M125)&amp;"")</f>
        <v/>
      </c>
      <c r="K125">
        <f>IF($M125="","",INDEX(상세표[반영 기관],$M125)&amp;"")</f>
        <v/>
      </c>
      <c r="L125">
        <f>IF($M125="","",INDEX(상세표[기관 출처],$M125)&amp;"")</f>
        <v/>
      </c>
      <c r="M125" s="4">
        <f>IFERROR(MATCH(120,상세표[경계순번],0),"")</f>
        <v/>
      </c>
    </row>
    <row r="126">
      <c r="A126">
        <f>IF($M126="","",INDEX(상세표[사번],$M126)&amp;"")</f>
        <v/>
      </c>
      <c r="B126">
        <f>IF($M126="","",INDEX(상세표[성명],$M126)&amp;"")</f>
        <v/>
      </c>
      <c r="C126">
        <f>IF($M126="","",IF(INDEX(상세표[종료월],$M126)=대상월키,"전월→이번 달","이번 달→익월"))</f>
        <v/>
      </c>
      <c r="D126">
        <f>IF($M126="","",IF(ISNUMBER(INDEX(상세표[시작],$M126)),TEXT(INDEX(상세표[시작],$M126),"yyyy-mm-dd hh:mm"),INDEX(상세표[시작],$M126)&amp;""))</f>
        <v/>
      </c>
      <c r="E126">
        <f>IF($M126="","",IF(ISNUMBER(INDEX(상세표[종료],$M126)),TEXT(INDEX(상세표[종료],$M126),"yyyy-mm-dd hh:mm"),INDEX(상세표[종료],$M126)&amp;""))</f>
        <v/>
      </c>
      <c r="F126">
        <f>IF($M126="","",INDEX(상세표[기록 시간외],$M126))</f>
        <v/>
      </c>
      <c r="G126">
        <f>IF($M126="","",INDEX(상세표[시작월 기관],$M126)&amp;"")</f>
        <v/>
      </c>
      <c r="H126">
        <f>IF($M126="","",INDEX(상세표[종료월 기관],$M126)&amp;"")</f>
        <v/>
      </c>
      <c r="I126">
        <f>IF($M126="","",INDEX(상세표[월경계 판정],$M126)&amp;"")</f>
        <v/>
      </c>
      <c r="J126">
        <f>IF($M126="","",INDEX(상세표[반영월],$M126)&amp;"")</f>
        <v/>
      </c>
      <c r="K126">
        <f>IF($M126="","",INDEX(상세표[반영 기관],$M126)&amp;"")</f>
        <v/>
      </c>
      <c r="L126">
        <f>IF($M126="","",INDEX(상세표[기관 출처],$M126)&amp;"")</f>
        <v/>
      </c>
      <c r="M126" s="4">
        <f>IFERROR(MATCH(121,상세표[경계순번],0),"")</f>
        <v/>
      </c>
    </row>
    <row r="127">
      <c r="A127">
        <f>IF($M127="","",INDEX(상세표[사번],$M127)&amp;"")</f>
        <v/>
      </c>
      <c r="B127">
        <f>IF($M127="","",INDEX(상세표[성명],$M127)&amp;"")</f>
        <v/>
      </c>
      <c r="C127">
        <f>IF($M127="","",IF(INDEX(상세표[종료월],$M127)=대상월키,"전월→이번 달","이번 달→익월"))</f>
        <v/>
      </c>
      <c r="D127">
        <f>IF($M127="","",IF(ISNUMBER(INDEX(상세표[시작],$M127)),TEXT(INDEX(상세표[시작],$M127),"yyyy-mm-dd hh:mm"),INDEX(상세표[시작],$M127)&amp;""))</f>
        <v/>
      </c>
      <c r="E127">
        <f>IF($M127="","",IF(ISNUMBER(INDEX(상세표[종료],$M127)),TEXT(INDEX(상세표[종료],$M127),"yyyy-mm-dd hh:mm"),INDEX(상세표[종료],$M127)&amp;""))</f>
        <v/>
      </c>
      <c r="F127">
        <f>IF($M127="","",INDEX(상세표[기록 시간외],$M127))</f>
        <v/>
      </c>
      <c r="G127">
        <f>IF($M127="","",INDEX(상세표[시작월 기관],$M127)&amp;"")</f>
        <v/>
      </c>
      <c r="H127">
        <f>IF($M127="","",INDEX(상세표[종료월 기관],$M127)&amp;"")</f>
        <v/>
      </c>
      <c r="I127">
        <f>IF($M127="","",INDEX(상세표[월경계 판정],$M127)&amp;"")</f>
        <v/>
      </c>
      <c r="J127">
        <f>IF($M127="","",INDEX(상세표[반영월],$M127)&amp;"")</f>
        <v/>
      </c>
      <c r="K127">
        <f>IF($M127="","",INDEX(상세표[반영 기관],$M127)&amp;"")</f>
        <v/>
      </c>
      <c r="L127">
        <f>IF($M127="","",INDEX(상세표[기관 출처],$M127)&amp;"")</f>
        <v/>
      </c>
      <c r="M127" s="4">
        <f>IFERROR(MATCH(122,상세표[경계순번],0),"")</f>
        <v/>
      </c>
    </row>
    <row r="128">
      <c r="A128">
        <f>IF($M128="","",INDEX(상세표[사번],$M128)&amp;"")</f>
        <v/>
      </c>
      <c r="B128">
        <f>IF($M128="","",INDEX(상세표[성명],$M128)&amp;"")</f>
        <v/>
      </c>
      <c r="C128">
        <f>IF($M128="","",IF(INDEX(상세표[종료월],$M128)=대상월키,"전월→이번 달","이번 달→익월"))</f>
        <v/>
      </c>
      <c r="D128">
        <f>IF($M128="","",IF(ISNUMBER(INDEX(상세표[시작],$M128)),TEXT(INDEX(상세표[시작],$M128),"yyyy-mm-dd hh:mm"),INDEX(상세표[시작],$M128)&amp;""))</f>
        <v/>
      </c>
      <c r="E128">
        <f>IF($M128="","",IF(ISNUMBER(INDEX(상세표[종료],$M128)),TEXT(INDEX(상세표[종료],$M128),"yyyy-mm-dd hh:mm"),INDEX(상세표[종료],$M128)&amp;""))</f>
        <v/>
      </c>
      <c r="F128">
        <f>IF($M128="","",INDEX(상세표[기록 시간외],$M128))</f>
        <v/>
      </c>
      <c r="G128">
        <f>IF($M128="","",INDEX(상세표[시작월 기관],$M128)&amp;"")</f>
        <v/>
      </c>
      <c r="H128">
        <f>IF($M128="","",INDEX(상세표[종료월 기관],$M128)&amp;"")</f>
        <v/>
      </c>
      <c r="I128">
        <f>IF($M128="","",INDEX(상세표[월경계 판정],$M128)&amp;"")</f>
        <v/>
      </c>
      <c r="J128">
        <f>IF($M128="","",INDEX(상세표[반영월],$M128)&amp;"")</f>
        <v/>
      </c>
      <c r="K128">
        <f>IF($M128="","",INDEX(상세표[반영 기관],$M128)&amp;"")</f>
        <v/>
      </c>
      <c r="L128">
        <f>IF($M128="","",INDEX(상세표[기관 출처],$M128)&amp;"")</f>
        <v/>
      </c>
      <c r="M128" s="4">
        <f>IFERROR(MATCH(123,상세표[경계순번],0),"")</f>
        <v/>
      </c>
    </row>
    <row r="129">
      <c r="A129">
        <f>IF($M129="","",INDEX(상세표[사번],$M129)&amp;"")</f>
        <v/>
      </c>
      <c r="B129">
        <f>IF($M129="","",INDEX(상세표[성명],$M129)&amp;"")</f>
        <v/>
      </c>
      <c r="C129">
        <f>IF($M129="","",IF(INDEX(상세표[종료월],$M129)=대상월키,"전월→이번 달","이번 달→익월"))</f>
        <v/>
      </c>
      <c r="D129">
        <f>IF($M129="","",IF(ISNUMBER(INDEX(상세표[시작],$M129)),TEXT(INDEX(상세표[시작],$M129),"yyyy-mm-dd hh:mm"),INDEX(상세표[시작],$M129)&amp;""))</f>
        <v/>
      </c>
      <c r="E129">
        <f>IF($M129="","",IF(ISNUMBER(INDEX(상세표[종료],$M129)),TEXT(INDEX(상세표[종료],$M129),"yyyy-mm-dd hh:mm"),INDEX(상세표[종료],$M129)&amp;""))</f>
        <v/>
      </c>
      <c r="F129">
        <f>IF($M129="","",INDEX(상세표[기록 시간외],$M129))</f>
        <v/>
      </c>
      <c r="G129">
        <f>IF($M129="","",INDEX(상세표[시작월 기관],$M129)&amp;"")</f>
        <v/>
      </c>
      <c r="H129">
        <f>IF($M129="","",INDEX(상세표[종료월 기관],$M129)&amp;"")</f>
        <v/>
      </c>
      <c r="I129">
        <f>IF($M129="","",INDEX(상세표[월경계 판정],$M129)&amp;"")</f>
        <v/>
      </c>
      <c r="J129">
        <f>IF($M129="","",INDEX(상세표[반영월],$M129)&amp;"")</f>
        <v/>
      </c>
      <c r="K129">
        <f>IF($M129="","",INDEX(상세표[반영 기관],$M129)&amp;"")</f>
        <v/>
      </c>
      <c r="L129">
        <f>IF($M129="","",INDEX(상세표[기관 출처],$M129)&amp;"")</f>
        <v/>
      </c>
      <c r="M129" s="4">
        <f>IFERROR(MATCH(124,상세표[경계순번],0),"")</f>
        <v/>
      </c>
    </row>
    <row r="130">
      <c r="A130">
        <f>IF($M130="","",INDEX(상세표[사번],$M130)&amp;"")</f>
        <v/>
      </c>
      <c r="B130">
        <f>IF($M130="","",INDEX(상세표[성명],$M130)&amp;"")</f>
        <v/>
      </c>
      <c r="C130">
        <f>IF($M130="","",IF(INDEX(상세표[종료월],$M130)=대상월키,"전월→이번 달","이번 달→익월"))</f>
        <v/>
      </c>
      <c r="D130">
        <f>IF($M130="","",IF(ISNUMBER(INDEX(상세표[시작],$M130)),TEXT(INDEX(상세표[시작],$M130),"yyyy-mm-dd hh:mm"),INDEX(상세표[시작],$M130)&amp;""))</f>
        <v/>
      </c>
      <c r="E130">
        <f>IF($M130="","",IF(ISNUMBER(INDEX(상세표[종료],$M130)),TEXT(INDEX(상세표[종료],$M130),"yyyy-mm-dd hh:mm"),INDEX(상세표[종료],$M130)&amp;""))</f>
        <v/>
      </c>
      <c r="F130">
        <f>IF($M130="","",INDEX(상세표[기록 시간외],$M130))</f>
        <v/>
      </c>
      <c r="G130">
        <f>IF($M130="","",INDEX(상세표[시작월 기관],$M130)&amp;"")</f>
        <v/>
      </c>
      <c r="H130">
        <f>IF($M130="","",INDEX(상세표[종료월 기관],$M130)&amp;"")</f>
        <v/>
      </c>
      <c r="I130">
        <f>IF($M130="","",INDEX(상세표[월경계 판정],$M130)&amp;"")</f>
        <v/>
      </c>
      <c r="J130">
        <f>IF($M130="","",INDEX(상세표[반영월],$M130)&amp;"")</f>
        <v/>
      </c>
      <c r="K130">
        <f>IF($M130="","",INDEX(상세표[반영 기관],$M130)&amp;"")</f>
        <v/>
      </c>
      <c r="L130">
        <f>IF($M130="","",INDEX(상세표[기관 출처],$M130)&amp;"")</f>
        <v/>
      </c>
      <c r="M130" s="4">
        <f>IFERROR(MATCH(125,상세표[경계순번],0),"")</f>
        <v/>
      </c>
    </row>
    <row r="131">
      <c r="A131">
        <f>IF($M131="","",INDEX(상세표[사번],$M131)&amp;"")</f>
        <v/>
      </c>
      <c r="B131">
        <f>IF($M131="","",INDEX(상세표[성명],$M131)&amp;"")</f>
        <v/>
      </c>
      <c r="C131">
        <f>IF($M131="","",IF(INDEX(상세표[종료월],$M131)=대상월키,"전월→이번 달","이번 달→익월"))</f>
        <v/>
      </c>
      <c r="D131">
        <f>IF($M131="","",IF(ISNUMBER(INDEX(상세표[시작],$M131)),TEXT(INDEX(상세표[시작],$M131),"yyyy-mm-dd hh:mm"),INDEX(상세표[시작],$M131)&amp;""))</f>
        <v/>
      </c>
      <c r="E131">
        <f>IF($M131="","",IF(ISNUMBER(INDEX(상세표[종료],$M131)),TEXT(INDEX(상세표[종료],$M131),"yyyy-mm-dd hh:mm"),INDEX(상세표[종료],$M131)&amp;""))</f>
        <v/>
      </c>
      <c r="F131">
        <f>IF($M131="","",INDEX(상세표[기록 시간외],$M131))</f>
        <v/>
      </c>
      <c r="G131">
        <f>IF($M131="","",INDEX(상세표[시작월 기관],$M131)&amp;"")</f>
        <v/>
      </c>
      <c r="H131">
        <f>IF($M131="","",INDEX(상세표[종료월 기관],$M131)&amp;"")</f>
        <v/>
      </c>
      <c r="I131">
        <f>IF($M131="","",INDEX(상세표[월경계 판정],$M131)&amp;"")</f>
        <v/>
      </c>
      <c r="J131">
        <f>IF($M131="","",INDEX(상세표[반영월],$M131)&amp;"")</f>
        <v/>
      </c>
      <c r="K131">
        <f>IF($M131="","",INDEX(상세표[반영 기관],$M131)&amp;"")</f>
        <v/>
      </c>
      <c r="L131">
        <f>IF($M131="","",INDEX(상세표[기관 출처],$M131)&amp;"")</f>
        <v/>
      </c>
      <c r="M131" s="4">
        <f>IFERROR(MATCH(126,상세표[경계순번],0),"")</f>
        <v/>
      </c>
    </row>
    <row r="132">
      <c r="A132">
        <f>IF($M132="","",INDEX(상세표[사번],$M132)&amp;"")</f>
        <v/>
      </c>
      <c r="B132">
        <f>IF($M132="","",INDEX(상세표[성명],$M132)&amp;"")</f>
        <v/>
      </c>
      <c r="C132">
        <f>IF($M132="","",IF(INDEX(상세표[종료월],$M132)=대상월키,"전월→이번 달","이번 달→익월"))</f>
        <v/>
      </c>
      <c r="D132">
        <f>IF($M132="","",IF(ISNUMBER(INDEX(상세표[시작],$M132)),TEXT(INDEX(상세표[시작],$M132),"yyyy-mm-dd hh:mm"),INDEX(상세표[시작],$M132)&amp;""))</f>
        <v/>
      </c>
      <c r="E132">
        <f>IF($M132="","",IF(ISNUMBER(INDEX(상세표[종료],$M132)),TEXT(INDEX(상세표[종료],$M132),"yyyy-mm-dd hh:mm"),INDEX(상세표[종료],$M132)&amp;""))</f>
        <v/>
      </c>
      <c r="F132">
        <f>IF($M132="","",INDEX(상세표[기록 시간외],$M132))</f>
        <v/>
      </c>
      <c r="G132">
        <f>IF($M132="","",INDEX(상세표[시작월 기관],$M132)&amp;"")</f>
        <v/>
      </c>
      <c r="H132">
        <f>IF($M132="","",INDEX(상세표[종료월 기관],$M132)&amp;"")</f>
        <v/>
      </c>
      <c r="I132">
        <f>IF($M132="","",INDEX(상세표[월경계 판정],$M132)&amp;"")</f>
        <v/>
      </c>
      <c r="J132">
        <f>IF($M132="","",INDEX(상세표[반영월],$M132)&amp;"")</f>
        <v/>
      </c>
      <c r="K132">
        <f>IF($M132="","",INDEX(상세표[반영 기관],$M132)&amp;"")</f>
        <v/>
      </c>
      <c r="L132">
        <f>IF($M132="","",INDEX(상세표[기관 출처],$M132)&amp;"")</f>
        <v/>
      </c>
      <c r="M132" s="4">
        <f>IFERROR(MATCH(127,상세표[경계순번],0),"")</f>
        <v/>
      </c>
    </row>
    <row r="133">
      <c r="A133">
        <f>IF($M133="","",INDEX(상세표[사번],$M133)&amp;"")</f>
        <v/>
      </c>
      <c r="B133">
        <f>IF($M133="","",INDEX(상세표[성명],$M133)&amp;"")</f>
        <v/>
      </c>
      <c r="C133">
        <f>IF($M133="","",IF(INDEX(상세표[종료월],$M133)=대상월키,"전월→이번 달","이번 달→익월"))</f>
        <v/>
      </c>
      <c r="D133">
        <f>IF($M133="","",IF(ISNUMBER(INDEX(상세표[시작],$M133)),TEXT(INDEX(상세표[시작],$M133),"yyyy-mm-dd hh:mm"),INDEX(상세표[시작],$M133)&amp;""))</f>
        <v/>
      </c>
      <c r="E133">
        <f>IF($M133="","",IF(ISNUMBER(INDEX(상세표[종료],$M133)),TEXT(INDEX(상세표[종료],$M133),"yyyy-mm-dd hh:mm"),INDEX(상세표[종료],$M133)&amp;""))</f>
        <v/>
      </c>
      <c r="F133">
        <f>IF($M133="","",INDEX(상세표[기록 시간외],$M133))</f>
        <v/>
      </c>
      <c r="G133">
        <f>IF($M133="","",INDEX(상세표[시작월 기관],$M133)&amp;"")</f>
        <v/>
      </c>
      <c r="H133">
        <f>IF($M133="","",INDEX(상세표[종료월 기관],$M133)&amp;"")</f>
        <v/>
      </c>
      <c r="I133">
        <f>IF($M133="","",INDEX(상세표[월경계 판정],$M133)&amp;"")</f>
        <v/>
      </c>
      <c r="J133">
        <f>IF($M133="","",INDEX(상세표[반영월],$M133)&amp;"")</f>
        <v/>
      </c>
      <c r="K133">
        <f>IF($M133="","",INDEX(상세표[반영 기관],$M133)&amp;"")</f>
        <v/>
      </c>
      <c r="L133">
        <f>IF($M133="","",INDEX(상세표[기관 출처],$M133)&amp;"")</f>
        <v/>
      </c>
      <c r="M133" s="4">
        <f>IFERROR(MATCH(128,상세표[경계순번],0),"")</f>
        <v/>
      </c>
    </row>
    <row r="134">
      <c r="A134">
        <f>IF($M134="","",INDEX(상세표[사번],$M134)&amp;"")</f>
        <v/>
      </c>
      <c r="B134">
        <f>IF($M134="","",INDEX(상세표[성명],$M134)&amp;"")</f>
        <v/>
      </c>
      <c r="C134">
        <f>IF($M134="","",IF(INDEX(상세표[종료월],$M134)=대상월키,"전월→이번 달","이번 달→익월"))</f>
        <v/>
      </c>
      <c r="D134">
        <f>IF($M134="","",IF(ISNUMBER(INDEX(상세표[시작],$M134)),TEXT(INDEX(상세표[시작],$M134),"yyyy-mm-dd hh:mm"),INDEX(상세표[시작],$M134)&amp;""))</f>
        <v/>
      </c>
      <c r="E134">
        <f>IF($M134="","",IF(ISNUMBER(INDEX(상세표[종료],$M134)),TEXT(INDEX(상세표[종료],$M134),"yyyy-mm-dd hh:mm"),INDEX(상세표[종료],$M134)&amp;""))</f>
        <v/>
      </c>
      <c r="F134">
        <f>IF($M134="","",INDEX(상세표[기록 시간외],$M134))</f>
        <v/>
      </c>
      <c r="G134">
        <f>IF($M134="","",INDEX(상세표[시작월 기관],$M134)&amp;"")</f>
        <v/>
      </c>
      <c r="H134">
        <f>IF($M134="","",INDEX(상세표[종료월 기관],$M134)&amp;"")</f>
        <v/>
      </c>
      <c r="I134">
        <f>IF($M134="","",INDEX(상세표[월경계 판정],$M134)&amp;"")</f>
        <v/>
      </c>
      <c r="J134">
        <f>IF($M134="","",INDEX(상세표[반영월],$M134)&amp;"")</f>
        <v/>
      </c>
      <c r="K134">
        <f>IF($M134="","",INDEX(상세표[반영 기관],$M134)&amp;"")</f>
        <v/>
      </c>
      <c r="L134">
        <f>IF($M134="","",INDEX(상세표[기관 출처],$M134)&amp;"")</f>
        <v/>
      </c>
      <c r="M134" s="4">
        <f>IFERROR(MATCH(129,상세표[경계순번],0),"")</f>
        <v/>
      </c>
    </row>
    <row r="135">
      <c r="A135">
        <f>IF($M135="","",INDEX(상세표[사번],$M135)&amp;"")</f>
        <v/>
      </c>
      <c r="B135">
        <f>IF($M135="","",INDEX(상세표[성명],$M135)&amp;"")</f>
        <v/>
      </c>
      <c r="C135">
        <f>IF($M135="","",IF(INDEX(상세표[종료월],$M135)=대상월키,"전월→이번 달","이번 달→익월"))</f>
        <v/>
      </c>
      <c r="D135">
        <f>IF($M135="","",IF(ISNUMBER(INDEX(상세표[시작],$M135)),TEXT(INDEX(상세표[시작],$M135),"yyyy-mm-dd hh:mm"),INDEX(상세표[시작],$M135)&amp;""))</f>
        <v/>
      </c>
      <c r="E135">
        <f>IF($M135="","",IF(ISNUMBER(INDEX(상세표[종료],$M135)),TEXT(INDEX(상세표[종료],$M135),"yyyy-mm-dd hh:mm"),INDEX(상세표[종료],$M135)&amp;""))</f>
        <v/>
      </c>
      <c r="F135">
        <f>IF($M135="","",INDEX(상세표[기록 시간외],$M135))</f>
        <v/>
      </c>
      <c r="G135">
        <f>IF($M135="","",INDEX(상세표[시작월 기관],$M135)&amp;"")</f>
        <v/>
      </c>
      <c r="H135">
        <f>IF($M135="","",INDEX(상세표[종료월 기관],$M135)&amp;"")</f>
        <v/>
      </c>
      <c r="I135">
        <f>IF($M135="","",INDEX(상세표[월경계 판정],$M135)&amp;"")</f>
        <v/>
      </c>
      <c r="J135">
        <f>IF($M135="","",INDEX(상세표[반영월],$M135)&amp;"")</f>
        <v/>
      </c>
      <c r="K135">
        <f>IF($M135="","",INDEX(상세표[반영 기관],$M135)&amp;"")</f>
        <v/>
      </c>
      <c r="L135">
        <f>IF($M135="","",INDEX(상세표[기관 출처],$M135)&amp;"")</f>
        <v/>
      </c>
      <c r="M135" s="4">
        <f>IFERROR(MATCH(130,상세표[경계순번],0),"")</f>
        <v/>
      </c>
    </row>
    <row r="136">
      <c r="A136">
        <f>IF($M136="","",INDEX(상세표[사번],$M136)&amp;"")</f>
        <v/>
      </c>
      <c r="B136">
        <f>IF($M136="","",INDEX(상세표[성명],$M136)&amp;"")</f>
        <v/>
      </c>
      <c r="C136">
        <f>IF($M136="","",IF(INDEX(상세표[종료월],$M136)=대상월키,"전월→이번 달","이번 달→익월"))</f>
        <v/>
      </c>
      <c r="D136">
        <f>IF($M136="","",IF(ISNUMBER(INDEX(상세표[시작],$M136)),TEXT(INDEX(상세표[시작],$M136),"yyyy-mm-dd hh:mm"),INDEX(상세표[시작],$M136)&amp;""))</f>
        <v/>
      </c>
      <c r="E136">
        <f>IF($M136="","",IF(ISNUMBER(INDEX(상세표[종료],$M136)),TEXT(INDEX(상세표[종료],$M136),"yyyy-mm-dd hh:mm"),INDEX(상세표[종료],$M136)&amp;""))</f>
        <v/>
      </c>
      <c r="F136">
        <f>IF($M136="","",INDEX(상세표[기록 시간외],$M136))</f>
        <v/>
      </c>
      <c r="G136">
        <f>IF($M136="","",INDEX(상세표[시작월 기관],$M136)&amp;"")</f>
        <v/>
      </c>
      <c r="H136">
        <f>IF($M136="","",INDEX(상세표[종료월 기관],$M136)&amp;"")</f>
        <v/>
      </c>
      <c r="I136">
        <f>IF($M136="","",INDEX(상세표[월경계 판정],$M136)&amp;"")</f>
        <v/>
      </c>
      <c r="J136">
        <f>IF($M136="","",INDEX(상세표[반영월],$M136)&amp;"")</f>
        <v/>
      </c>
      <c r="K136">
        <f>IF($M136="","",INDEX(상세표[반영 기관],$M136)&amp;"")</f>
        <v/>
      </c>
      <c r="L136">
        <f>IF($M136="","",INDEX(상세표[기관 출처],$M136)&amp;"")</f>
        <v/>
      </c>
      <c r="M136" s="4">
        <f>IFERROR(MATCH(131,상세표[경계순번],0),"")</f>
        <v/>
      </c>
    </row>
    <row r="137">
      <c r="A137">
        <f>IF($M137="","",INDEX(상세표[사번],$M137)&amp;"")</f>
        <v/>
      </c>
      <c r="B137">
        <f>IF($M137="","",INDEX(상세표[성명],$M137)&amp;"")</f>
        <v/>
      </c>
      <c r="C137">
        <f>IF($M137="","",IF(INDEX(상세표[종료월],$M137)=대상월키,"전월→이번 달","이번 달→익월"))</f>
        <v/>
      </c>
      <c r="D137">
        <f>IF($M137="","",IF(ISNUMBER(INDEX(상세표[시작],$M137)),TEXT(INDEX(상세표[시작],$M137),"yyyy-mm-dd hh:mm"),INDEX(상세표[시작],$M137)&amp;""))</f>
        <v/>
      </c>
      <c r="E137">
        <f>IF($M137="","",IF(ISNUMBER(INDEX(상세표[종료],$M137)),TEXT(INDEX(상세표[종료],$M137),"yyyy-mm-dd hh:mm"),INDEX(상세표[종료],$M137)&amp;""))</f>
        <v/>
      </c>
      <c r="F137">
        <f>IF($M137="","",INDEX(상세표[기록 시간외],$M137))</f>
        <v/>
      </c>
      <c r="G137">
        <f>IF($M137="","",INDEX(상세표[시작월 기관],$M137)&amp;"")</f>
        <v/>
      </c>
      <c r="H137">
        <f>IF($M137="","",INDEX(상세표[종료월 기관],$M137)&amp;"")</f>
        <v/>
      </c>
      <c r="I137">
        <f>IF($M137="","",INDEX(상세표[월경계 판정],$M137)&amp;"")</f>
        <v/>
      </c>
      <c r="J137">
        <f>IF($M137="","",INDEX(상세표[반영월],$M137)&amp;"")</f>
        <v/>
      </c>
      <c r="K137">
        <f>IF($M137="","",INDEX(상세표[반영 기관],$M137)&amp;"")</f>
        <v/>
      </c>
      <c r="L137">
        <f>IF($M137="","",INDEX(상세표[기관 출처],$M137)&amp;"")</f>
        <v/>
      </c>
      <c r="M137" s="4">
        <f>IFERROR(MATCH(132,상세표[경계순번],0),"")</f>
        <v/>
      </c>
    </row>
    <row r="138">
      <c r="A138">
        <f>IF($M138="","",INDEX(상세표[사번],$M138)&amp;"")</f>
        <v/>
      </c>
      <c r="B138">
        <f>IF($M138="","",INDEX(상세표[성명],$M138)&amp;"")</f>
        <v/>
      </c>
      <c r="C138">
        <f>IF($M138="","",IF(INDEX(상세표[종료월],$M138)=대상월키,"전월→이번 달","이번 달→익월"))</f>
        <v/>
      </c>
      <c r="D138">
        <f>IF($M138="","",IF(ISNUMBER(INDEX(상세표[시작],$M138)),TEXT(INDEX(상세표[시작],$M138),"yyyy-mm-dd hh:mm"),INDEX(상세표[시작],$M138)&amp;""))</f>
        <v/>
      </c>
      <c r="E138">
        <f>IF($M138="","",IF(ISNUMBER(INDEX(상세표[종료],$M138)),TEXT(INDEX(상세표[종료],$M138),"yyyy-mm-dd hh:mm"),INDEX(상세표[종료],$M138)&amp;""))</f>
        <v/>
      </c>
      <c r="F138">
        <f>IF($M138="","",INDEX(상세표[기록 시간외],$M138))</f>
        <v/>
      </c>
      <c r="G138">
        <f>IF($M138="","",INDEX(상세표[시작월 기관],$M138)&amp;"")</f>
        <v/>
      </c>
      <c r="H138">
        <f>IF($M138="","",INDEX(상세표[종료월 기관],$M138)&amp;"")</f>
        <v/>
      </c>
      <c r="I138">
        <f>IF($M138="","",INDEX(상세표[월경계 판정],$M138)&amp;"")</f>
        <v/>
      </c>
      <c r="J138">
        <f>IF($M138="","",INDEX(상세표[반영월],$M138)&amp;"")</f>
        <v/>
      </c>
      <c r="K138">
        <f>IF($M138="","",INDEX(상세표[반영 기관],$M138)&amp;"")</f>
        <v/>
      </c>
      <c r="L138">
        <f>IF($M138="","",INDEX(상세표[기관 출처],$M138)&amp;"")</f>
        <v/>
      </c>
      <c r="M138" s="4">
        <f>IFERROR(MATCH(133,상세표[경계순번],0),"")</f>
        <v/>
      </c>
    </row>
    <row r="139">
      <c r="A139">
        <f>IF($M139="","",INDEX(상세표[사번],$M139)&amp;"")</f>
        <v/>
      </c>
      <c r="B139">
        <f>IF($M139="","",INDEX(상세표[성명],$M139)&amp;"")</f>
        <v/>
      </c>
      <c r="C139">
        <f>IF($M139="","",IF(INDEX(상세표[종료월],$M139)=대상월키,"전월→이번 달","이번 달→익월"))</f>
        <v/>
      </c>
      <c r="D139">
        <f>IF($M139="","",IF(ISNUMBER(INDEX(상세표[시작],$M139)),TEXT(INDEX(상세표[시작],$M139),"yyyy-mm-dd hh:mm"),INDEX(상세표[시작],$M139)&amp;""))</f>
        <v/>
      </c>
      <c r="E139">
        <f>IF($M139="","",IF(ISNUMBER(INDEX(상세표[종료],$M139)),TEXT(INDEX(상세표[종료],$M139),"yyyy-mm-dd hh:mm"),INDEX(상세표[종료],$M139)&amp;""))</f>
        <v/>
      </c>
      <c r="F139">
        <f>IF($M139="","",INDEX(상세표[기록 시간외],$M139))</f>
        <v/>
      </c>
      <c r="G139">
        <f>IF($M139="","",INDEX(상세표[시작월 기관],$M139)&amp;"")</f>
        <v/>
      </c>
      <c r="H139">
        <f>IF($M139="","",INDEX(상세표[종료월 기관],$M139)&amp;"")</f>
        <v/>
      </c>
      <c r="I139">
        <f>IF($M139="","",INDEX(상세표[월경계 판정],$M139)&amp;"")</f>
        <v/>
      </c>
      <c r="J139">
        <f>IF($M139="","",INDEX(상세표[반영월],$M139)&amp;"")</f>
        <v/>
      </c>
      <c r="K139">
        <f>IF($M139="","",INDEX(상세표[반영 기관],$M139)&amp;"")</f>
        <v/>
      </c>
      <c r="L139">
        <f>IF($M139="","",INDEX(상세표[기관 출처],$M139)&amp;"")</f>
        <v/>
      </c>
      <c r="M139" s="4">
        <f>IFERROR(MATCH(134,상세표[경계순번],0),"")</f>
        <v/>
      </c>
    </row>
    <row r="140">
      <c r="A140">
        <f>IF($M140="","",INDEX(상세표[사번],$M140)&amp;"")</f>
        <v/>
      </c>
      <c r="B140">
        <f>IF($M140="","",INDEX(상세표[성명],$M140)&amp;"")</f>
        <v/>
      </c>
      <c r="C140">
        <f>IF($M140="","",IF(INDEX(상세표[종료월],$M140)=대상월키,"전월→이번 달","이번 달→익월"))</f>
        <v/>
      </c>
      <c r="D140">
        <f>IF($M140="","",IF(ISNUMBER(INDEX(상세표[시작],$M140)),TEXT(INDEX(상세표[시작],$M140),"yyyy-mm-dd hh:mm"),INDEX(상세표[시작],$M140)&amp;""))</f>
        <v/>
      </c>
      <c r="E140">
        <f>IF($M140="","",IF(ISNUMBER(INDEX(상세표[종료],$M140)),TEXT(INDEX(상세표[종료],$M140),"yyyy-mm-dd hh:mm"),INDEX(상세표[종료],$M140)&amp;""))</f>
        <v/>
      </c>
      <c r="F140">
        <f>IF($M140="","",INDEX(상세표[기록 시간외],$M140))</f>
        <v/>
      </c>
      <c r="G140">
        <f>IF($M140="","",INDEX(상세표[시작월 기관],$M140)&amp;"")</f>
        <v/>
      </c>
      <c r="H140">
        <f>IF($M140="","",INDEX(상세표[종료월 기관],$M140)&amp;"")</f>
        <v/>
      </c>
      <c r="I140">
        <f>IF($M140="","",INDEX(상세표[월경계 판정],$M140)&amp;"")</f>
        <v/>
      </c>
      <c r="J140">
        <f>IF($M140="","",INDEX(상세표[반영월],$M140)&amp;"")</f>
        <v/>
      </c>
      <c r="K140">
        <f>IF($M140="","",INDEX(상세표[반영 기관],$M140)&amp;"")</f>
        <v/>
      </c>
      <c r="L140">
        <f>IF($M140="","",INDEX(상세표[기관 출처],$M140)&amp;"")</f>
        <v/>
      </c>
      <c r="M140" s="4">
        <f>IFERROR(MATCH(135,상세표[경계순번],0),"")</f>
        <v/>
      </c>
    </row>
    <row r="141">
      <c r="A141">
        <f>IF($M141="","",INDEX(상세표[사번],$M141)&amp;"")</f>
        <v/>
      </c>
      <c r="B141">
        <f>IF($M141="","",INDEX(상세표[성명],$M141)&amp;"")</f>
        <v/>
      </c>
      <c r="C141">
        <f>IF($M141="","",IF(INDEX(상세표[종료월],$M141)=대상월키,"전월→이번 달","이번 달→익월"))</f>
        <v/>
      </c>
      <c r="D141">
        <f>IF($M141="","",IF(ISNUMBER(INDEX(상세표[시작],$M141)),TEXT(INDEX(상세표[시작],$M141),"yyyy-mm-dd hh:mm"),INDEX(상세표[시작],$M141)&amp;""))</f>
        <v/>
      </c>
      <c r="E141">
        <f>IF($M141="","",IF(ISNUMBER(INDEX(상세표[종료],$M141)),TEXT(INDEX(상세표[종료],$M141),"yyyy-mm-dd hh:mm"),INDEX(상세표[종료],$M141)&amp;""))</f>
        <v/>
      </c>
      <c r="F141">
        <f>IF($M141="","",INDEX(상세표[기록 시간외],$M141))</f>
        <v/>
      </c>
      <c r="G141">
        <f>IF($M141="","",INDEX(상세표[시작월 기관],$M141)&amp;"")</f>
        <v/>
      </c>
      <c r="H141">
        <f>IF($M141="","",INDEX(상세표[종료월 기관],$M141)&amp;"")</f>
        <v/>
      </c>
      <c r="I141">
        <f>IF($M141="","",INDEX(상세표[월경계 판정],$M141)&amp;"")</f>
        <v/>
      </c>
      <c r="J141">
        <f>IF($M141="","",INDEX(상세표[반영월],$M141)&amp;"")</f>
        <v/>
      </c>
      <c r="K141">
        <f>IF($M141="","",INDEX(상세표[반영 기관],$M141)&amp;"")</f>
        <v/>
      </c>
      <c r="L141">
        <f>IF($M141="","",INDEX(상세표[기관 출처],$M141)&amp;"")</f>
        <v/>
      </c>
      <c r="M141" s="4">
        <f>IFERROR(MATCH(136,상세표[경계순번],0),"")</f>
        <v/>
      </c>
    </row>
    <row r="142">
      <c r="A142">
        <f>IF($M142="","",INDEX(상세표[사번],$M142)&amp;"")</f>
        <v/>
      </c>
      <c r="B142">
        <f>IF($M142="","",INDEX(상세표[성명],$M142)&amp;"")</f>
        <v/>
      </c>
      <c r="C142">
        <f>IF($M142="","",IF(INDEX(상세표[종료월],$M142)=대상월키,"전월→이번 달","이번 달→익월"))</f>
        <v/>
      </c>
      <c r="D142">
        <f>IF($M142="","",IF(ISNUMBER(INDEX(상세표[시작],$M142)),TEXT(INDEX(상세표[시작],$M142),"yyyy-mm-dd hh:mm"),INDEX(상세표[시작],$M142)&amp;""))</f>
        <v/>
      </c>
      <c r="E142">
        <f>IF($M142="","",IF(ISNUMBER(INDEX(상세표[종료],$M142)),TEXT(INDEX(상세표[종료],$M142),"yyyy-mm-dd hh:mm"),INDEX(상세표[종료],$M142)&amp;""))</f>
        <v/>
      </c>
      <c r="F142">
        <f>IF($M142="","",INDEX(상세표[기록 시간외],$M142))</f>
        <v/>
      </c>
      <c r="G142">
        <f>IF($M142="","",INDEX(상세표[시작월 기관],$M142)&amp;"")</f>
        <v/>
      </c>
      <c r="H142">
        <f>IF($M142="","",INDEX(상세표[종료월 기관],$M142)&amp;"")</f>
        <v/>
      </c>
      <c r="I142">
        <f>IF($M142="","",INDEX(상세표[월경계 판정],$M142)&amp;"")</f>
        <v/>
      </c>
      <c r="J142">
        <f>IF($M142="","",INDEX(상세표[반영월],$M142)&amp;"")</f>
        <v/>
      </c>
      <c r="K142">
        <f>IF($M142="","",INDEX(상세표[반영 기관],$M142)&amp;"")</f>
        <v/>
      </c>
      <c r="L142">
        <f>IF($M142="","",INDEX(상세표[기관 출처],$M142)&amp;"")</f>
        <v/>
      </c>
      <c r="M142" s="4">
        <f>IFERROR(MATCH(137,상세표[경계순번],0),"")</f>
        <v/>
      </c>
    </row>
    <row r="143">
      <c r="A143">
        <f>IF($M143="","",INDEX(상세표[사번],$M143)&amp;"")</f>
        <v/>
      </c>
      <c r="B143">
        <f>IF($M143="","",INDEX(상세표[성명],$M143)&amp;"")</f>
        <v/>
      </c>
      <c r="C143">
        <f>IF($M143="","",IF(INDEX(상세표[종료월],$M143)=대상월키,"전월→이번 달","이번 달→익월"))</f>
        <v/>
      </c>
      <c r="D143">
        <f>IF($M143="","",IF(ISNUMBER(INDEX(상세표[시작],$M143)),TEXT(INDEX(상세표[시작],$M143),"yyyy-mm-dd hh:mm"),INDEX(상세표[시작],$M143)&amp;""))</f>
        <v/>
      </c>
      <c r="E143">
        <f>IF($M143="","",IF(ISNUMBER(INDEX(상세표[종료],$M143)),TEXT(INDEX(상세표[종료],$M143),"yyyy-mm-dd hh:mm"),INDEX(상세표[종료],$M143)&amp;""))</f>
        <v/>
      </c>
      <c r="F143">
        <f>IF($M143="","",INDEX(상세표[기록 시간외],$M143))</f>
        <v/>
      </c>
      <c r="G143">
        <f>IF($M143="","",INDEX(상세표[시작월 기관],$M143)&amp;"")</f>
        <v/>
      </c>
      <c r="H143">
        <f>IF($M143="","",INDEX(상세표[종료월 기관],$M143)&amp;"")</f>
        <v/>
      </c>
      <c r="I143">
        <f>IF($M143="","",INDEX(상세표[월경계 판정],$M143)&amp;"")</f>
        <v/>
      </c>
      <c r="J143">
        <f>IF($M143="","",INDEX(상세표[반영월],$M143)&amp;"")</f>
        <v/>
      </c>
      <c r="K143">
        <f>IF($M143="","",INDEX(상세표[반영 기관],$M143)&amp;"")</f>
        <v/>
      </c>
      <c r="L143">
        <f>IF($M143="","",INDEX(상세표[기관 출처],$M143)&amp;"")</f>
        <v/>
      </c>
      <c r="M143" s="4">
        <f>IFERROR(MATCH(138,상세표[경계순번],0),"")</f>
        <v/>
      </c>
    </row>
    <row r="144">
      <c r="A144">
        <f>IF($M144="","",INDEX(상세표[사번],$M144)&amp;"")</f>
        <v/>
      </c>
      <c r="B144">
        <f>IF($M144="","",INDEX(상세표[성명],$M144)&amp;"")</f>
        <v/>
      </c>
      <c r="C144">
        <f>IF($M144="","",IF(INDEX(상세표[종료월],$M144)=대상월키,"전월→이번 달","이번 달→익월"))</f>
        <v/>
      </c>
      <c r="D144">
        <f>IF($M144="","",IF(ISNUMBER(INDEX(상세표[시작],$M144)),TEXT(INDEX(상세표[시작],$M144),"yyyy-mm-dd hh:mm"),INDEX(상세표[시작],$M144)&amp;""))</f>
        <v/>
      </c>
      <c r="E144">
        <f>IF($M144="","",IF(ISNUMBER(INDEX(상세표[종료],$M144)),TEXT(INDEX(상세표[종료],$M144),"yyyy-mm-dd hh:mm"),INDEX(상세표[종료],$M144)&amp;""))</f>
        <v/>
      </c>
      <c r="F144">
        <f>IF($M144="","",INDEX(상세표[기록 시간외],$M144))</f>
        <v/>
      </c>
      <c r="G144">
        <f>IF($M144="","",INDEX(상세표[시작월 기관],$M144)&amp;"")</f>
        <v/>
      </c>
      <c r="H144">
        <f>IF($M144="","",INDEX(상세표[종료월 기관],$M144)&amp;"")</f>
        <v/>
      </c>
      <c r="I144">
        <f>IF($M144="","",INDEX(상세표[월경계 판정],$M144)&amp;"")</f>
        <v/>
      </c>
      <c r="J144">
        <f>IF($M144="","",INDEX(상세표[반영월],$M144)&amp;"")</f>
        <v/>
      </c>
      <c r="K144">
        <f>IF($M144="","",INDEX(상세표[반영 기관],$M144)&amp;"")</f>
        <v/>
      </c>
      <c r="L144">
        <f>IF($M144="","",INDEX(상세표[기관 출처],$M144)&amp;"")</f>
        <v/>
      </c>
      <c r="M144" s="4">
        <f>IFERROR(MATCH(139,상세표[경계순번],0),"")</f>
        <v/>
      </c>
    </row>
    <row r="145">
      <c r="A145">
        <f>IF($M145="","",INDEX(상세표[사번],$M145)&amp;"")</f>
        <v/>
      </c>
      <c r="B145">
        <f>IF($M145="","",INDEX(상세표[성명],$M145)&amp;"")</f>
        <v/>
      </c>
      <c r="C145">
        <f>IF($M145="","",IF(INDEX(상세표[종료월],$M145)=대상월키,"전월→이번 달","이번 달→익월"))</f>
        <v/>
      </c>
      <c r="D145">
        <f>IF($M145="","",IF(ISNUMBER(INDEX(상세표[시작],$M145)),TEXT(INDEX(상세표[시작],$M145),"yyyy-mm-dd hh:mm"),INDEX(상세표[시작],$M145)&amp;""))</f>
        <v/>
      </c>
      <c r="E145">
        <f>IF($M145="","",IF(ISNUMBER(INDEX(상세표[종료],$M145)),TEXT(INDEX(상세표[종료],$M145),"yyyy-mm-dd hh:mm"),INDEX(상세표[종료],$M145)&amp;""))</f>
        <v/>
      </c>
      <c r="F145">
        <f>IF($M145="","",INDEX(상세표[기록 시간외],$M145))</f>
        <v/>
      </c>
      <c r="G145">
        <f>IF($M145="","",INDEX(상세표[시작월 기관],$M145)&amp;"")</f>
        <v/>
      </c>
      <c r="H145">
        <f>IF($M145="","",INDEX(상세표[종료월 기관],$M145)&amp;"")</f>
        <v/>
      </c>
      <c r="I145">
        <f>IF($M145="","",INDEX(상세표[월경계 판정],$M145)&amp;"")</f>
        <v/>
      </c>
      <c r="J145">
        <f>IF($M145="","",INDEX(상세표[반영월],$M145)&amp;"")</f>
        <v/>
      </c>
      <c r="K145">
        <f>IF($M145="","",INDEX(상세표[반영 기관],$M145)&amp;"")</f>
        <v/>
      </c>
      <c r="L145">
        <f>IF($M145="","",INDEX(상세표[기관 출처],$M145)&amp;"")</f>
        <v/>
      </c>
      <c r="M145" s="4">
        <f>IFERROR(MATCH(140,상세표[경계순번],0),"")</f>
        <v/>
      </c>
    </row>
    <row r="146">
      <c r="A146">
        <f>IF($M146="","",INDEX(상세표[사번],$M146)&amp;"")</f>
        <v/>
      </c>
      <c r="B146">
        <f>IF($M146="","",INDEX(상세표[성명],$M146)&amp;"")</f>
        <v/>
      </c>
      <c r="C146">
        <f>IF($M146="","",IF(INDEX(상세표[종료월],$M146)=대상월키,"전월→이번 달","이번 달→익월"))</f>
        <v/>
      </c>
      <c r="D146">
        <f>IF($M146="","",IF(ISNUMBER(INDEX(상세표[시작],$M146)),TEXT(INDEX(상세표[시작],$M146),"yyyy-mm-dd hh:mm"),INDEX(상세표[시작],$M146)&amp;""))</f>
        <v/>
      </c>
      <c r="E146">
        <f>IF($M146="","",IF(ISNUMBER(INDEX(상세표[종료],$M146)),TEXT(INDEX(상세표[종료],$M146),"yyyy-mm-dd hh:mm"),INDEX(상세표[종료],$M146)&amp;""))</f>
        <v/>
      </c>
      <c r="F146">
        <f>IF($M146="","",INDEX(상세표[기록 시간외],$M146))</f>
        <v/>
      </c>
      <c r="G146">
        <f>IF($M146="","",INDEX(상세표[시작월 기관],$M146)&amp;"")</f>
        <v/>
      </c>
      <c r="H146">
        <f>IF($M146="","",INDEX(상세표[종료월 기관],$M146)&amp;"")</f>
        <v/>
      </c>
      <c r="I146">
        <f>IF($M146="","",INDEX(상세표[월경계 판정],$M146)&amp;"")</f>
        <v/>
      </c>
      <c r="J146">
        <f>IF($M146="","",INDEX(상세표[반영월],$M146)&amp;"")</f>
        <v/>
      </c>
      <c r="K146">
        <f>IF($M146="","",INDEX(상세표[반영 기관],$M146)&amp;"")</f>
        <v/>
      </c>
      <c r="L146">
        <f>IF($M146="","",INDEX(상세표[기관 출처],$M146)&amp;"")</f>
        <v/>
      </c>
      <c r="M146" s="4">
        <f>IFERROR(MATCH(141,상세표[경계순번],0),"")</f>
        <v/>
      </c>
    </row>
    <row r="147">
      <c r="A147">
        <f>IF($M147="","",INDEX(상세표[사번],$M147)&amp;"")</f>
        <v/>
      </c>
      <c r="B147">
        <f>IF($M147="","",INDEX(상세표[성명],$M147)&amp;"")</f>
        <v/>
      </c>
      <c r="C147">
        <f>IF($M147="","",IF(INDEX(상세표[종료월],$M147)=대상월키,"전월→이번 달","이번 달→익월"))</f>
        <v/>
      </c>
      <c r="D147">
        <f>IF($M147="","",IF(ISNUMBER(INDEX(상세표[시작],$M147)),TEXT(INDEX(상세표[시작],$M147),"yyyy-mm-dd hh:mm"),INDEX(상세표[시작],$M147)&amp;""))</f>
        <v/>
      </c>
      <c r="E147">
        <f>IF($M147="","",IF(ISNUMBER(INDEX(상세표[종료],$M147)),TEXT(INDEX(상세표[종료],$M147),"yyyy-mm-dd hh:mm"),INDEX(상세표[종료],$M147)&amp;""))</f>
        <v/>
      </c>
      <c r="F147">
        <f>IF($M147="","",INDEX(상세표[기록 시간외],$M147))</f>
        <v/>
      </c>
      <c r="G147">
        <f>IF($M147="","",INDEX(상세표[시작월 기관],$M147)&amp;"")</f>
        <v/>
      </c>
      <c r="H147">
        <f>IF($M147="","",INDEX(상세표[종료월 기관],$M147)&amp;"")</f>
        <v/>
      </c>
      <c r="I147">
        <f>IF($M147="","",INDEX(상세표[월경계 판정],$M147)&amp;"")</f>
        <v/>
      </c>
      <c r="J147">
        <f>IF($M147="","",INDEX(상세표[반영월],$M147)&amp;"")</f>
        <v/>
      </c>
      <c r="K147">
        <f>IF($M147="","",INDEX(상세표[반영 기관],$M147)&amp;"")</f>
        <v/>
      </c>
      <c r="L147">
        <f>IF($M147="","",INDEX(상세표[기관 출처],$M147)&amp;"")</f>
        <v/>
      </c>
      <c r="M147" s="4">
        <f>IFERROR(MATCH(142,상세표[경계순번],0),"")</f>
        <v/>
      </c>
    </row>
    <row r="148">
      <c r="A148">
        <f>IF($M148="","",INDEX(상세표[사번],$M148)&amp;"")</f>
        <v/>
      </c>
      <c r="B148">
        <f>IF($M148="","",INDEX(상세표[성명],$M148)&amp;"")</f>
        <v/>
      </c>
      <c r="C148">
        <f>IF($M148="","",IF(INDEX(상세표[종료월],$M148)=대상월키,"전월→이번 달","이번 달→익월"))</f>
        <v/>
      </c>
      <c r="D148">
        <f>IF($M148="","",IF(ISNUMBER(INDEX(상세표[시작],$M148)),TEXT(INDEX(상세표[시작],$M148),"yyyy-mm-dd hh:mm"),INDEX(상세표[시작],$M148)&amp;""))</f>
        <v/>
      </c>
      <c r="E148">
        <f>IF($M148="","",IF(ISNUMBER(INDEX(상세표[종료],$M148)),TEXT(INDEX(상세표[종료],$M148),"yyyy-mm-dd hh:mm"),INDEX(상세표[종료],$M148)&amp;""))</f>
        <v/>
      </c>
      <c r="F148">
        <f>IF($M148="","",INDEX(상세표[기록 시간외],$M148))</f>
        <v/>
      </c>
      <c r="G148">
        <f>IF($M148="","",INDEX(상세표[시작월 기관],$M148)&amp;"")</f>
        <v/>
      </c>
      <c r="H148">
        <f>IF($M148="","",INDEX(상세표[종료월 기관],$M148)&amp;"")</f>
        <v/>
      </c>
      <c r="I148">
        <f>IF($M148="","",INDEX(상세표[월경계 판정],$M148)&amp;"")</f>
        <v/>
      </c>
      <c r="J148">
        <f>IF($M148="","",INDEX(상세표[반영월],$M148)&amp;"")</f>
        <v/>
      </c>
      <c r="K148">
        <f>IF($M148="","",INDEX(상세표[반영 기관],$M148)&amp;"")</f>
        <v/>
      </c>
      <c r="L148">
        <f>IF($M148="","",INDEX(상세표[기관 출처],$M148)&amp;"")</f>
        <v/>
      </c>
      <c r="M148" s="4">
        <f>IFERROR(MATCH(143,상세표[경계순번],0),"")</f>
        <v/>
      </c>
    </row>
    <row r="149">
      <c r="A149">
        <f>IF($M149="","",INDEX(상세표[사번],$M149)&amp;"")</f>
        <v/>
      </c>
      <c r="B149">
        <f>IF($M149="","",INDEX(상세표[성명],$M149)&amp;"")</f>
        <v/>
      </c>
      <c r="C149">
        <f>IF($M149="","",IF(INDEX(상세표[종료월],$M149)=대상월키,"전월→이번 달","이번 달→익월"))</f>
        <v/>
      </c>
      <c r="D149">
        <f>IF($M149="","",IF(ISNUMBER(INDEX(상세표[시작],$M149)),TEXT(INDEX(상세표[시작],$M149),"yyyy-mm-dd hh:mm"),INDEX(상세표[시작],$M149)&amp;""))</f>
        <v/>
      </c>
      <c r="E149">
        <f>IF($M149="","",IF(ISNUMBER(INDEX(상세표[종료],$M149)),TEXT(INDEX(상세표[종료],$M149),"yyyy-mm-dd hh:mm"),INDEX(상세표[종료],$M149)&amp;""))</f>
        <v/>
      </c>
      <c r="F149">
        <f>IF($M149="","",INDEX(상세표[기록 시간외],$M149))</f>
        <v/>
      </c>
      <c r="G149">
        <f>IF($M149="","",INDEX(상세표[시작월 기관],$M149)&amp;"")</f>
        <v/>
      </c>
      <c r="H149">
        <f>IF($M149="","",INDEX(상세표[종료월 기관],$M149)&amp;"")</f>
        <v/>
      </c>
      <c r="I149">
        <f>IF($M149="","",INDEX(상세표[월경계 판정],$M149)&amp;"")</f>
        <v/>
      </c>
      <c r="J149">
        <f>IF($M149="","",INDEX(상세표[반영월],$M149)&amp;"")</f>
        <v/>
      </c>
      <c r="K149">
        <f>IF($M149="","",INDEX(상세표[반영 기관],$M149)&amp;"")</f>
        <v/>
      </c>
      <c r="L149">
        <f>IF($M149="","",INDEX(상세표[기관 출처],$M149)&amp;"")</f>
        <v/>
      </c>
      <c r="M149" s="4">
        <f>IFERROR(MATCH(144,상세표[경계순번],0),"")</f>
        <v/>
      </c>
    </row>
    <row r="150">
      <c r="A150">
        <f>IF($M150="","",INDEX(상세표[사번],$M150)&amp;"")</f>
        <v/>
      </c>
      <c r="B150">
        <f>IF($M150="","",INDEX(상세표[성명],$M150)&amp;"")</f>
        <v/>
      </c>
      <c r="C150">
        <f>IF($M150="","",IF(INDEX(상세표[종료월],$M150)=대상월키,"전월→이번 달","이번 달→익월"))</f>
        <v/>
      </c>
      <c r="D150">
        <f>IF($M150="","",IF(ISNUMBER(INDEX(상세표[시작],$M150)),TEXT(INDEX(상세표[시작],$M150),"yyyy-mm-dd hh:mm"),INDEX(상세표[시작],$M150)&amp;""))</f>
        <v/>
      </c>
      <c r="E150">
        <f>IF($M150="","",IF(ISNUMBER(INDEX(상세표[종료],$M150)),TEXT(INDEX(상세표[종료],$M150),"yyyy-mm-dd hh:mm"),INDEX(상세표[종료],$M150)&amp;""))</f>
        <v/>
      </c>
      <c r="F150">
        <f>IF($M150="","",INDEX(상세표[기록 시간외],$M150))</f>
        <v/>
      </c>
      <c r="G150">
        <f>IF($M150="","",INDEX(상세표[시작월 기관],$M150)&amp;"")</f>
        <v/>
      </c>
      <c r="H150">
        <f>IF($M150="","",INDEX(상세표[종료월 기관],$M150)&amp;"")</f>
        <v/>
      </c>
      <c r="I150">
        <f>IF($M150="","",INDEX(상세표[월경계 판정],$M150)&amp;"")</f>
        <v/>
      </c>
      <c r="J150">
        <f>IF($M150="","",INDEX(상세표[반영월],$M150)&amp;"")</f>
        <v/>
      </c>
      <c r="K150">
        <f>IF($M150="","",INDEX(상세표[반영 기관],$M150)&amp;"")</f>
        <v/>
      </c>
      <c r="L150">
        <f>IF($M150="","",INDEX(상세표[기관 출처],$M150)&amp;"")</f>
        <v/>
      </c>
      <c r="M150" s="4">
        <f>IFERROR(MATCH(145,상세표[경계순번],0),"")</f>
        <v/>
      </c>
    </row>
    <row r="151">
      <c r="A151">
        <f>IF($M151="","",INDEX(상세표[사번],$M151)&amp;"")</f>
        <v/>
      </c>
      <c r="B151">
        <f>IF($M151="","",INDEX(상세표[성명],$M151)&amp;"")</f>
        <v/>
      </c>
      <c r="C151">
        <f>IF($M151="","",IF(INDEX(상세표[종료월],$M151)=대상월키,"전월→이번 달","이번 달→익월"))</f>
        <v/>
      </c>
      <c r="D151">
        <f>IF($M151="","",IF(ISNUMBER(INDEX(상세표[시작],$M151)),TEXT(INDEX(상세표[시작],$M151),"yyyy-mm-dd hh:mm"),INDEX(상세표[시작],$M151)&amp;""))</f>
        <v/>
      </c>
      <c r="E151">
        <f>IF($M151="","",IF(ISNUMBER(INDEX(상세표[종료],$M151)),TEXT(INDEX(상세표[종료],$M151),"yyyy-mm-dd hh:mm"),INDEX(상세표[종료],$M151)&amp;""))</f>
        <v/>
      </c>
      <c r="F151">
        <f>IF($M151="","",INDEX(상세표[기록 시간외],$M151))</f>
        <v/>
      </c>
      <c r="G151">
        <f>IF($M151="","",INDEX(상세표[시작월 기관],$M151)&amp;"")</f>
        <v/>
      </c>
      <c r="H151">
        <f>IF($M151="","",INDEX(상세표[종료월 기관],$M151)&amp;"")</f>
        <v/>
      </c>
      <c r="I151">
        <f>IF($M151="","",INDEX(상세표[월경계 판정],$M151)&amp;"")</f>
        <v/>
      </c>
      <c r="J151">
        <f>IF($M151="","",INDEX(상세표[반영월],$M151)&amp;"")</f>
        <v/>
      </c>
      <c r="K151">
        <f>IF($M151="","",INDEX(상세표[반영 기관],$M151)&amp;"")</f>
        <v/>
      </c>
      <c r="L151">
        <f>IF($M151="","",INDEX(상세표[기관 출처],$M151)&amp;"")</f>
        <v/>
      </c>
      <c r="M151" s="4">
        <f>IFERROR(MATCH(146,상세표[경계순번],0),"")</f>
        <v/>
      </c>
    </row>
    <row r="152">
      <c r="A152">
        <f>IF($M152="","",INDEX(상세표[사번],$M152)&amp;"")</f>
        <v/>
      </c>
      <c r="B152">
        <f>IF($M152="","",INDEX(상세표[성명],$M152)&amp;"")</f>
        <v/>
      </c>
      <c r="C152">
        <f>IF($M152="","",IF(INDEX(상세표[종료월],$M152)=대상월키,"전월→이번 달","이번 달→익월"))</f>
        <v/>
      </c>
      <c r="D152">
        <f>IF($M152="","",IF(ISNUMBER(INDEX(상세표[시작],$M152)),TEXT(INDEX(상세표[시작],$M152),"yyyy-mm-dd hh:mm"),INDEX(상세표[시작],$M152)&amp;""))</f>
        <v/>
      </c>
      <c r="E152">
        <f>IF($M152="","",IF(ISNUMBER(INDEX(상세표[종료],$M152)),TEXT(INDEX(상세표[종료],$M152),"yyyy-mm-dd hh:mm"),INDEX(상세표[종료],$M152)&amp;""))</f>
        <v/>
      </c>
      <c r="F152">
        <f>IF($M152="","",INDEX(상세표[기록 시간외],$M152))</f>
        <v/>
      </c>
      <c r="G152">
        <f>IF($M152="","",INDEX(상세표[시작월 기관],$M152)&amp;"")</f>
        <v/>
      </c>
      <c r="H152">
        <f>IF($M152="","",INDEX(상세표[종료월 기관],$M152)&amp;"")</f>
        <v/>
      </c>
      <c r="I152">
        <f>IF($M152="","",INDEX(상세표[월경계 판정],$M152)&amp;"")</f>
        <v/>
      </c>
      <c r="J152">
        <f>IF($M152="","",INDEX(상세표[반영월],$M152)&amp;"")</f>
        <v/>
      </c>
      <c r="K152">
        <f>IF($M152="","",INDEX(상세표[반영 기관],$M152)&amp;"")</f>
        <v/>
      </c>
      <c r="L152">
        <f>IF($M152="","",INDEX(상세표[기관 출처],$M152)&amp;"")</f>
        <v/>
      </c>
      <c r="M152" s="4">
        <f>IFERROR(MATCH(147,상세표[경계순번],0),"")</f>
        <v/>
      </c>
    </row>
    <row r="153">
      <c r="A153">
        <f>IF($M153="","",INDEX(상세표[사번],$M153)&amp;"")</f>
        <v/>
      </c>
      <c r="B153">
        <f>IF($M153="","",INDEX(상세표[성명],$M153)&amp;"")</f>
        <v/>
      </c>
      <c r="C153">
        <f>IF($M153="","",IF(INDEX(상세표[종료월],$M153)=대상월키,"전월→이번 달","이번 달→익월"))</f>
        <v/>
      </c>
      <c r="D153">
        <f>IF($M153="","",IF(ISNUMBER(INDEX(상세표[시작],$M153)),TEXT(INDEX(상세표[시작],$M153),"yyyy-mm-dd hh:mm"),INDEX(상세표[시작],$M153)&amp;""))</f>
        <v/>
      </c>
      <c r="E153">
        <f>IF($M153="","",IF(ISNUMBER(INDEX(상세표[종료],$M153)),TEXT(INDEX(상세표[종료],$M153),"yyyy-mm-dd hh:mm"),INDEX(상세표[종료],$M153)&amp;""))</f>
        <v/>
      </c>
      <c r="F153">
        <f>IF($M153="","",INDEX(상세표[기록 시간외],$M153))</f>
        <v/>
      </c>
      <c r="G153">
        <f>IF($M153="","",INDEX(상세표[시작월 기관],$M153)&amp;"")</f>
        <v/>
      </c>
      <c r="H153">
        <f>IF($M153="","",INDEX(상세표[종료월 기관],$M153)&amp;"")</f>
        <v/>
      </c>
      <c r="I153">
        <f>IF($M153="","",INDEX(상세표[월경계 판정],$M153)&amp;"")</f>
        <v/>
      </c>
      <c r="J153">
        <f>IF($M153="","",INDEX(상세표[반영월],$M153)&amp;"")</f>
        <v/>
      </c>
      <c r="K153">
        <f>IF($M153="","",INDEX(상세표[반영 기관],$M153)&amp;"")</f>
        <v/>
      </c>
      <c r="L153">
        <f>IF($M153="","",INDEX(상세표[기관 출처],$M153)&amp;"")</f>
        <v/>
      </c>
      <c r="M153" s="4">
        <f>IFERROR(MATCH(148,상세표[경계순번],0),"")</f>
        <v/>
      </c>
    </row>
    <row r="154">
      <c r="A154">
        <f>IF($M154="","",INDEX(상세표[사번],$M154)&amp;"")</f>
        <v/>
      </c>
      <c r="B154">
        <f>IF($M154="","",INDEX(상세표[성명],$M154)&amp;"")</f>
        <v/>
      </c>
      <c r="C154">
        <f>IF($M154="","",IF(INDEX(상세표[종료월],$M154)=대상월키,"전월→이번 달","이번 달→익월"))</f>
        <v/>
      </c>
      <c r="D154">
        <f>IF($M154="","",IF(ISNUMBER(INDEX(상세표[시작],$M154)),TEXT(INDEX(상세표[시작],$M154),"yyyy-mm-dd hh:mm"),INDEX(상세표[시작],$M154)&amp;""))</f>
        <v/>
      </c>
      <c r="E154">
        <f>IF($M154="","",IF(ISNUMBER(INDEX(상세표[종료],$M154)),TEXT(INDEX(상세표[종료],$M154),"yyyy-mm-dd hh:mm"),INDEX(상세표[종료],$M154)&amp;""))</f>
        <v/>
      </c>
      <c r="F154">
        <f>IF($M154="","",INDEX(상세표[기록 시간외],$M154))</f>
        <v/>
      </c>
      <c r="G154">
        <f>IF($M154="","",INDEX(상세표[시작월 기관],$M154)&amp;"")</f>
        <v/>
      </c>
      <c r="H154">
        <f>IF($M154="","",INDEX(상세표[종료월 기관],$M154)&amp;"")</f>
        <v/>
      </c>
      <c r="I154">
        <f>IF($M154="","",INDEX(상세표[월경계 판정],$M154)&amp;"")</f>
        <v/>
      </c>
      <c r="J154">
        <f>IF($M154="","",INDEX(상세표[반영월],$M154)&amp;"")</f>
        <v/>
      </c>
      <c r="K154">
        <f>IF($M154="","",INDEX(상세표[반영 기관],$M154)&amp;"")</f>
        <v/>
      </c>
      <c r="L154">
        <f>IF($M154="","",INDEX(상세표[기관 출처],$M154)&amp;"")</f>
        <v/>
      </c>
      <c r="M154" s="4">
        <f>IFERROR(MATCH(149,상세표[경계순번],0),"")</f>
        <v/>
      </c>
    </row>
    <row r="155">
      <c r="A155">
        <f>IF($M155="","",INDEX(상세표[사번],$M155)&amp;"")</f>
        <v/>
      </c>
      <c r="B155">
        <f>IF($M155="","",INDEX(상세표[성명],$M155)&amp;"")</f>
        <v/>
      </c>
      <c r="C155">
        <f>IF($M155="","",IF(INDEX(상세표[종료월],$M155)=대상월키,"전월→이번 달","이번 달→익월"))</f>
        <v/>
      </c>
      <c r="D155">
        <f>IF($M155="","",IF(ISNUMBER(INDEX(상세표[시작],$M155)),TEXT(INDEX(상세표[시작],$M155),"yyyy-mm-dd hh:mm"),INDEX(상세표[시작],$M155)&amp;""))</f>
        <v/>
      </c>
      <c r="E155">
        <f>IF($M155="","",IF(ISNUMBER(INDEX(상세표[종료],$M155)),TEXT(INDEX(상세표[종료],$M155),"yyyy-mm-dd hh:mm"),INDEX(상세표[종료],$M155)&amp;""))</f>
        <v/>
      </c>
      <c r="F155">
        <f>IF($M155="","",INDEX(상세표[기록 시간외],$M155))</f>
        <v/>
      </c>
      <c r="G155">
        <f>IF($M155="","",INDEX(상세표[시작월 기관],$M155)&amp;"")</f>
        <v/>
      </c>
      <c r="H155">
        <f>IF($M155="","",INDEX(상세표[종료월 기관],$M155)&amp;"")</f>
        <v/>
      </c>
      <c r="I155">
        <f>IF($M155="","",INDEX(상세표[월경계 판정],$M155)&amp;"")</f>
        <v/>
      </c>
      <c r="J155">
        <f>IF($M155="","",INDEX(상세표[반영월],$M155)&amp;"")</f>
        <v/>
      </c>
      <c r="K155">
        <f>IF($M155="","",INDEX(상세표[반영 기관],$M155)&amp;"")</f>
        <v/>
      </c>
      <c r="L155">
        <f>IF($M155="","",INDEX(상세표[기관 출처],$M155)&amp;"")</f>
        <v/>
      </c>
      <c r="M155" s="4">
        <f>IFERROR(MATCH(150,상세표[경계순번],0),"")</f>
        <v/>
      </c>
    </row>
    <row r="156">
      <c r="A156">
        <f>IF($M156="","",INDEX(상세표[사번],$M156)&amp;"")</f>
        <v/>
      </c>
      <c r="B156">
        <f>IF($M156="","",INDEX(상세표[성명],$M156)&amp;"")</f>
        <v/>
      </c>
      <c r="C156">
        <f>IF($M156="","",IF(INDEX(상세표[종료월],$M156)=대상월키,"전월→이번 달","이번 달→익월"))</f>
        <v/>
      </c>
      <c r="D156">
        <f>IF($M156="","",IF(ISNUMBER(INDEX(상세표[시작],$M156)),TEXT(INDEX(상세표[시작],$M156),"yyyy-mm-dd hh:mm"),INDEX(상세표[시작],$M156)&amp;""))</f>
        <v/>
      </c>
      <c r="E156">
        <f>IF($M156="","",IF(ISNUMBER(INDEX(상세표[종료],$M156)),TEXT(INDEX(상세표[종료],$M156),"yyyy-mm-dd hh:mm"),INDEX(상세표[종료],$M156)&amp;""))</f>
        <v/>
      </c>
      <c r="F156">
        <f>IF($M156="","",INDEX(상세표[기록 시간외],$M156))</f>
        <v/>
      </c>
      <c r="G156">
        <f>IF($M156="","",INDEX(상세표[시작월 기관],$M156)&amp;"")</f>
        <v/>
      </c>
      <c r="H156">
        <f>IF($M156="","",INDEX(상세표[종료월 기관],$M156)&amp;"")</f>
        <v/>
      </c>
      <c r="I156">
        <f>IF($M156="","",INDEX(상세표[월경계 판정],$M156)&amp;"")</f>
        <v/>
      </c>
      <c r="J156">
        <f>IF($M156="","",INDEX(상세표[반영월],$M156)&amp;"")</f>
        <v/>
      </c>
      <c r="K156">
        <f>IF($M156="","",INDEX(상세표[반영 기관],$M156)&amp;"")</f>
        <v/>
      </c>
      <c r="L156">
        <f>IF($M156="","",INDEX(상세표[기관 출처],$M156)&amp;"")</f>
        <v/>
      </c>
      <c r="M156" s="4">
        <f>IFERROR(MATCH(151,상세표[경계순번],0),"")</f>
        <v/>
      </c>
    </row>
    <row r="157">
      <c r="A157">
        <f>IF($M157="","",INDEX(상세표[사번],$M157)&amp;"")</f>
        <v/>
      </c>
      <c r="B157">
        <f>IF($M157="","",INDEX(상세표[성명],$M157)&amp;"")</f>
        <v/>
      </c>
      <c r="C157">
        <f>IF($M157="","",IF(INDEX(상세표[종료월],$M157)=대상월키,"전월→이번 달","이번 달→익월"))</f>
        <v/>
      </c>
      <c r="D157">
        <f>IF($M157="","",IF(ISNUMBER(INDEX(상세표[시작],$M157)),TEXT(INDEX(상세표[시작],$M157),"yyyy-mm-dd hh:mm"),INDEX(상세표[시작],$M157)&amp;""))</f>
        <v/>
      </c>
      <c r="E157">
        <f>IF($M157="","",IF(ISNUMBER(INDEX(상세표[종료],$M157)),TEXT(INDEX(상세표[종료],$M157),"yyyy-mm-dd hh:mm"),INDEX(상세표[종료],$M157)&amp;""))</f>
        <v/>
      </c>
      <c r="F157">
        <f>IF($M157="","",INDEX(상세표[기록 시간외],$M157))</f>
        <v/>
      </c>
      <c r="G157">
        <f>IF($M157="","",INDEX(상세표[시작월 기관],$M157)&amp;"")</f>
        <v/>
      </c>
      <c r="H157">
        <f>IF($M157="","",INDEX(상세표[종료월 기관],$M157)&amp;"")</f>
        <v/>
      </c>
      <c r="I157">
        <f>IF($M157="","",INDEX(상세표[월경계 판정],$M157)&amp;"")</f>
        <v/>
      </c>
      <c r="J157">
        <f>IF($M157="","",INDEX(상세표[반영월],$M157)&amp;"")</f>
        <v/>
      </c>
      <c r="K157">
        <f>IF($M157="","",INDEX(상세표[반영 기관],$M157)&amp;"")</f>
        <v/>
      </c>
      <c r="L157">
        <f>IF($M157="","",INDEX(상세표[기관 출처],$M157)&amp;"")</f>
        <v/>
      </c>
      <c r="M157" s="4">
        <f>IFERROR(MATCH(152,상세표[경계순번],0),"")</f>
        <v/>
      </c>
    </row>
    <row r="158">
      <c r="A158">
        <f>IF($M158="","",INDEX(상세표[사번],$M158)&amp;"")</f>
        <v/>
      </c>
      <c r="B158">
        <f>IF($M158="","",INDEX(상세표[성명],$M158)&amp;"")</f>
        <v/>
      </c>
      <c r="C158">
        <f>IF($M158="","",IF(INDEX(상세표[종료월],$M158)=대상월키,"전월→이번 달","이번 달→익월"))</f>
        <v/>
      </c>
      <c r="D158">
        <f>IF($M158="","",IF(ISNUMBER(INDEX(상세표[시작],$M158)),TEXT(INDEX(상세표[시작],$M158),"yyyy-mm-dd hh:mm"),INDEX(상세표[시작],$M158)&amp;""))</f>
        <v/>
      </c>
      <c r="E158">
        <f>IF($M158="","",IF(ISNUMBER(INDEX(상세표[종료],$M158)),TEXT(INDEX(상세표[종료],$M158),"yyyy-mm-dd hh:mm"),INDEX(상세표[종료],$M158)&amp;""))</f>
        <v/>
      </c>
      <c r="F158">
        <f>IF($M158="","",INDEX(상세표[기록 시간외],$M158))</f>
        <v/>
      </c>
      <c r="G158">
        <f>IF($M158="","",INDEX(상세표[시작월 기관],$M158)&amp;"")</f>
        <v/>
      </c>
      <c r="H158">
        <f>IF($M158="","",INDEX(상세표[종료월 기관],$M158)&amp;"")</f>
        <v/>
      </c>
      <c r="I158">
        <f>IF($M158="","",INDEX(상세표[월경계 판정],$M158)&amp;"")</f>
        <v/>
      </c>
      <c r="J158">
        <f>IF($M158="","",INDEX(상세표[반영월],$M158)&amp;"")</f>
        <v/>
      </c>
      <c r="K158">
        <f>IF($M158="","",INDEX(상세표[반영 기관],$M158)&amp;"")</f>
        <v/>
      </c>
      <c r="L158">
        <f>IF($M158="","",INDEX(상세표[기관 출처],$M158)&amp;"")</f>
        <v/>
      </c>
      <c r="M158" s="4">
        <f>IFERROR(MATCH(153,상세표[경계순번],0),"")</f>
        <v/>
      </c>
    </row>
    <row r="159">
      <c r="A159">
        <f>IF($M159="","",INDEX(상세표[사번],$M159)&amp;"")</f>
        <v/>
      </c>
      <c r="B159">
        <f>IF($M159="","",INDEX(상세표[성명],$M159)&amp;"")</f>
        <v/>
      </c>
      <c r="C159">
        <f>IF($M159="","",IF(INDEX(상세표[종료월],$M159)=대상월키,"전월→이번 달","이번 달→익월"))</f>
        <v/>
      </c>
      <c r="D159">
        <f>IF($M159="","",IF(ISNUMBER(INDEX(상세표[시작],$M159)),TEXT(INDEX(상세표[시작],$M159),"yyyy-mm-dd hh:mm"),INDEX(상세표[시작],$M159)&amp;""))</f>
        <v/>
      </c>
      <c r="E159">
        <f>IF($M159="","",IF(ISNUMBER(INDEX(상세표[종료],$M159)),TEXT(INDEX(상세표[종료],$M159),"yyyy-mm-dd hh:mm"),INDEX(상세표[종료],$M159)&amp;""))</f>
        <v/>
      </c>
      <c r="F159">
        <f>IF($M159="","",INDEX(상세표[기록 시간외],$M159))</f>
        <v/>
      </c>
      <c r="G159">
        <f>IF($M159="","",INDEX(상세표[시작월 기관],$M159)&amp;"")</f>
        <v/>
      </c>
      <c r="H159">
        <f>IF($M159="","",INDEX(상세표[종료월 기관],$M159)&amp;"")</f>
        <v/>
      </c>
      <c r="I159">
        <f>IF($M159="","",INDEX(상세표[월경계 판정],$M159)&amp;"")</f>
        <v/>
      </c>
      <c r="J159">
        <f>IF($M159="","",INDEX(상세표[반영월],$M159)&amp;"")</f>
        <v/>
      </c>
      <c r="K159">
        <f>IF($M159="","",INDEX(상세표[반영 기관],$M159)&amp;"")</f>
        <v/>
      </c>
      <c r="L159">
        <f>IF($M159="","",INDEX(상세표[기관 출처],$M159)&amp;"")</f>
        <v/>
      </c>
      <c r="M159" s="4">
        <f>IFERROR(MATCH(154,상세표[경계순번],0),"")</f>
        <v/>
      </c>
    </row>
    <row r="160">
      <c r="A160">
        <f>IF($M160="","",INDEX(상세표[사번],$M160)&amp;"")</f>
        <v/>
      </c>
      <c r="B160">
        <f>IF($M160="","",INDEX(상세표[성명],$M160)&amp;"")</f>
        <v/>
      </c>
      <c r="C160">
        <f>IF($M160="","",IF(INDEX(상세표[종료월],$M160)=대상월키,"전월→이번 달","이번 달→익월"))</f>
        <v/>
      </c>
      <c r="D160">
        <f>IF($M160="","",IF(ISNUMBER(INDEX(상세표[시작],$M160)),TEXT(INDEX(상세표[시작],$M160),"yyyy-mm-dd hh:mm"),INDEX(상세표[시작],$M160)&amp;""))</f>
        <v/>
      </c>
      <c r="E160">
        <f>IF($M160="","",IF(ISNUMBER(INDEX(상세표[종료],$M160)),TEXT(INDEX(상세표[종료],$M160),"yyyy-mm-dd hh:mm"),INDEX(상세표[종료],$M160)&amp;""))</f>
        <v/>
      </c>
      <c r="F160">
        <f>IF($M160="","",INDEX(상세표[기록 시간외],$M160))</f>
        <v/>
      </c>
      <c r="G160">
        <f>IF($M160="","",INDEX(상세표[시작월 기관],$M160)&amp;"")</f>
        <v/>
      </c>
      <c r="H160">
        <f>IF($M160="","",INDEX(상세표[종료월 기관],$M160)&amp;"")</f>
        <v/>
      </c>
      <c r="I160">
        <f>IF($M160="","",INDEX(상세표[월경계 판정],$M160)&amp;"")</f>
        <v/>
      </c>
      <c r="J160">
        <f>IF($M160="","",INDEX(상세표[반영월],$M160)&amp;"")</f>
        <v/>
      </c>
      <c r="K160">
        <f>IF($M160="","",INDEX(상세표[반영 기관],$M160)&amp;"")</f>
        <v/>
      </c>
      <c r="L160">
        <f>IF($M160="","",INDEX(상세표[기관 출처],$M160)&amp;"")</f>
        <v/>
      </c>
      <c r="M160" s="4">
        <f>IFERROR(MATCH(155,상세표[경계순번],0),"")</f>
        <v/>
      </c>
    </row>
    <row r="161">
      <c r="A161">
        <f>IF($M161="","",INDEX(상세표[사번],$M161)&amp;"")</f>
        <v/>
      </c>
      <c r="B161">
        <f>IF($M161="","",INDEX(상세표[성명],$M161)&amp;"")</f>
        <v/>
      </c>
      <c r="C161">
        <f>IF($M161="","",IF(INDEX(상세표[종료월],$M161)=대상월키,"전월→이번 달","이번 달→익월"))</f>
        <v/>
      </c>
      <c r="D161">
        <f>IF($M161="","",IF(ISNUMBER(INDEX(상세표[시작],$M161)),TEXT(INDEX(상세표[시작],$M161),"yyyy-mm-dd hh:mm"),INDEX(상세표[시작],$M161)&amp;""))</f>
        <v/>
      </c>
      <c r="E161">
        <f>IF($M161="","",IF(ISNUMBER(INDEX(상세표[종료],$M161)),TEXT(INDEX(상세표[종료],$M161),"yyyy-mm-dd hh:mm"),INDEX(상세표[종료],$M161)&amp;""))</f>
        <v/>
      </c>
      <c r="F161">
        <f>IF($M161="","",INDEX(상세표[기록 시간외],$M161))</f>
        <v/>
      </c>
      <c r="G161">
        <f>IF($M161="","",INDEX(상세표[시작월 기관],$M161)&amp;"")</f>
        <v/>
      </c>
      <c r="H161">
        <f>IF($M161="","",INDEX(상세표[종료월 기관],$M161)&amp;"")</f>
        <v/>
      </c>
      <c r="I161">
        <f>IF($M161="","",INDEX(상세표[월경계 판정],$M161)&amp;"")</f>
        <v/>
      </c>
      <c r="J161">
        <f>IF($M161="","",INDEX(상세표[반영월],$M161)&amp;"")</f>
        <v/>
      </c>
      <c r="K161">
        <f>IF($M161="","",INDEX(상세표[반영 기관],$M161)&amp;"")</f>
        <v/>
      </c>
      <c r="L161">
        <f>IF($M161="","",INDEX(상세표[기관 출처],$M161)&amp;"")</f>
        <v/>
      </c>
      <c r="M161" s="4">
        <f>IFERROR(MATCH(156,상세표[경계순번],0),"")</f>
        <v/>
      </c>
    </row>
    <row r="162">
      <c r="A162">
        <f>IF($M162="","",INDEX(상세표[사번],$M162)&amp;"")</f>
        <v/>
      </c>
      <c r="B162">
        <f>IF($M162="","",INDEX(상세표[성명],$M162)&amp;"")</f>
        <v/>
      </c>
      <c r="C162">
        <f>IF($M162="","",IF(INDEX(상세표[종료월],$M162)=대상월키,"전월→이번 달","이번 달→익월"))</f>
        <v/>
      </c>
      <c r="D162">
        <f>IF($M162="","",IF(ISNUMBER(INDEX(상세표[시작],$M162)),TEXT(INDEX(상세표[시작],$M162),"yyyy-mm-dd hh:mm"),INDEX(상세표[시작],$M162)&amp;""))</f>
        <v/>
      </c>
      <c r="E162">
        <f>IF($M162="","",IF(ISNUMBER(INDEX(상세표[종료],$M162)),TEXT(INDEX(상세표[종료],$M162),"yyyy-mm-dd hh:mm"),INDEX(상세표[종료],$M162)&amp;""))</f>
        <v/>
      </c>
      <c r="F162">
        <f>IF($M162="","",INDEX(상세표[기록 시간외],$M162))</f>
        <v/>
      </c>
      <c r="G162">
        <f>IF($M162="","",INDEX(상세표[시작월 기관],$M162)&amp;"")</f>
        <v/>
      </c>
      <c r="H162">
        <f>IF($M162="","",INDEX(상세표[종료월 기관],$M162)&amp;"")</f>
        <v/>
      </c>
      <c r="I162">
        <f>IF($M162="","",INDEX(상세표[월경계 판정],$M162)&amp;"")</f>
        <v/>
      </c>
      <c r="J162">
        <f>IF($M162="","",INDEX(상세표[반영월],$M162)&amp;"")</f>
        <v/>
      </c>
      <c r="K162">
        <f>IF($M162="","",INDEX(상세표[반영 기관],$M162)&amp;"")</f>
        <v/>
      </c>
      <c r="L162">
        <f>IF($M162="","",INDEX(상세표[기관 출처],$M162)&amp;"")</f>
        <v/>
      </c>
      <c r="M162" s="4">
        <f>IFERROR(MATCH(157,상세표[경계순번],0),"")</f>
        <v/>
      </c>
    </row>
    <row r="163">
      <c r="A163">
        <f>IF($M163="","",INDEX(상세표[사번],$M163)&amp;"")</f>
        <v/>
      </c>
      <c r="B163">
        <f>IF($M163="","",INDEX(상세표[성명],$M163)&amp;"")</f>
        <v/>
      </c>
      <c r="C163">
        <f>IF($M163="","",IF(INDEX(상세표[종료월],$M163)=대상월키,"전월→이번 달","이번 달→익월"))</f>
        <v/>
      </c>
      <c r="D163">
        <f>IF($M163="","",IF(ISNUMBER(INDEX(상세표[시작],$M163)),TEXT(INDEX(상세표[시작],$M163),"yyyy-mm-dd hh:mm"),INDEX(상세표[시작],$M163)&amp;""))</f>
        <v/>
      </c>
      <c r="E163">
        <f>IF($M163="","",IF(ISNUMBER(INDEX(상세표[종료],$M163)),TEXT(INDEX(상세표[종료],$M163),"yyyy-mm-dd hh:mm"),INDEX(상세표[종료],$M163)&amp;""))</f>
        <v/>
      </c>
      <c r="F163">
        <f>IF($M163="","",INDEX(상세표[기록 시간외],$M163))</f>
        <v/>
      </c>
      <c r="G163">
        <f>IF($M163="","",INDEX(상세표[시작월 기관],$M163)&amp;"")</f>
        <v/>
      </c>
      <c r="H163">
        <f>IF($M163="","",INDEX(상세표[종료월 기관],$M163)&amp;"")</f>
        <v/>
      </c>
      <c r="I163">
        <f>IF($M163="","",INDEX(상세표[월경계 판정],$M163)&amp;"")</f>
        <v/>
      </c>
      <c r="J163">
        <f>IF($M163="","",INDEX(상세표[반영월],$M163)&amp;"")</f>
        <v/>
      </c>
      <c r="K163">
        <f>IF($M163="","",INDEX(상세표[반영 기관],$M163)&amp;"")</f>
        <v/>
      </c>
      <c r="L163">
        <f>IF($M163="","",INDEX(상세표[기관 출처],$M163)&amp;"")</f>
        <v/>
      </c>
      <c r="M163" s="4">
        <f>IFERROR(MATCH(158,상세표[경계순번],0),"")</f>
        <v/>
      </c>
    </row>
    <row r="164">
      <c r="A164">
        <f>IF($M164="","",INDEX(상세표[사번],$M164)&amp;"")</f>
        <v/>
      </c>
      <c r="B164">
        <f>IF($M164="","",INDEX(상세표[성명],$M164)&amp;"")</f>
        <v/>
      </c>
      <c r="C164">
        <f>IF($M164="","",IF(INDEX(상세표[종료월],$M164)=대상월키,"전월→이번 달","이번 달→익월"))</f>
        <v/>
      </c>
      <c r="D164">
        <f>IF($M164="","",IF(ISNUMBER(INDEX(상세표[시작],$M164)),TEXT(INDEX(상세표[시작],$M164),"yyyy-mm-dd hh:mm"),INDEX(상세표[시작],$M164)&amp;""))</f>
        <v/>
      </c>
      <c r="E164">
        <f>IF($M164="","",IF(ISNUMBER(INDEX(상세표[종료],$M164)),TEXT(INDEX(상세표[종료],$M164),"yyyy-mm-dd hh:mm"),INDEX(상세표[종료],$M164)&amp;""))</f>
        <v/>
      </c>
      <c r="F164">
        <f>IF($M164="","",INDEX(상세표[기록 시간외],$M164))</f>
        <v/>
      </c>
      <c r="G164">
        <f>IF($M164="","",INDEX(상세표[시작월 기관],$M164)&amp;"")</f>
        <v/>
      </c>
      <c r="H164">
        <f>IF($M164="","",INDEX(상세표[종료월 기관],$M164)&amp;"")</f>
        <v/>
      </c>
      <c r="I164">
        <f>IF($M164="","",INDEX(상세표[월경계 판정],$M164)&amp;"")</f>
        <v/>
      </c>
      <c r="J164">
        <f>IF($M164="","",INDEX(상세표[반영월],$M164)&amp;"")</f>
        <v/>
      </c>
      <c r="K164">
        <f>IF($M164="","",INDEX(상세표[반영 기관],$M164)&amp;"")</f>
        <v/>
      </c>
      <c r="L164">
        <f>IF($M164="","",INDEX(상세표[기관 출처],$M164)&amp;"")</f>
        <v/>
      </c>
      <c r="M164" s="4">
        <f>IFERROR(MATCH(159,상세표[경계순번],0),"")</f>
        <v/>
      </c>
    </row>
    <row r="165">
      <c r="A165">
        <f>IF($M165="","",INDEX(상세표[사번],$M165)&amp;"")</f>
        <v/>
      </c>
      <c r="B165">
        <f>IF($M165="","",INDEX(상세표[성명],$M165)&amp;"")</f>
        <v/>
      </c>
      <c r="C165">
        <f>IF($M165="","",IF(INDEX(상세표[종료월],$M165)=대상월키,"전월→이번 달","이번 달→익월"))</f>
        <v/>
      </c>
      <c r="D165">
        <f>IF($M165="","",IF(ISNUMBER(INDEX(상세표[시작],$M165)),TEXT(INDEX(상세표[시작],$M165),"yyyy-mm-dd hh:mm"),INDEX(상세표[시작],$M165)&amp;""))</f>
        <v/>
      </c>
      <c r="E165">
        <f>IF($M165="","",IF(ISNUMBER(INDEX(상세표[종료],$M165)),TEXT(INDEX(상세표[종료],$M165),"yyyy-mm-dd hh:mm"),INDEX(상세표[종료],$M165)&amp;""))</f>
        <v/>
      </c>
      <c r="F165">
        <f>IF($M165="","",INDEX(상세표[기록 시간외],$M165))</f>
        <v/>
      </c>
      <c r="G165">
        <f>IF($M165="","",INDEX(상세표[시작월 기관],$M165)&amp;"")</f>
        <v/>
      </c>
      <c r="H165">
        <f>IF($M165="","",INDEX(상세표[종료월 기관],$M165)&amp;"")</f>
        <v/>
      </c>
      <c r="I165">
        <f>IF($M165="","",INDEX(상세표[월경계 판정],$M165)&amp;"")</f>
        <v/>
      </c>
      <c r="J165">
        <f>IF($M165="","",INDEX(상세표[반영월],$M165)&amp;"")</f>
        <v/>
      </c>
      <c r="K165">
        <f>IF($M165="","",INDEX(상세표[반영 기관],$M165)&amp;"")</f>
        <v/>
      </c>
      <c r="L165">
        <f>IF($M165="","",INDEX(상세표[기관 출처],$M165)&amp;"")</f>
        <v/>
      </c>
      <c r="M165" s="4">
        <f>IFERROR(MATCH(160,상세표[경계순번],0),"")</f>
        <v/>
      </c>
    </row>
    <row r="166">
      <c r="A166">
        <f>IF($M166="","",INDEX(상세표[사번],$M166)&amp;"")</f>
        <v/>
      </c>
      <c r="B166">
        <f>IF($M166="","",INDEX(상세표[성명],$M166)&amp;"")</f>
        <v/>
      </c>
      <c r="C166">
        <f>IF($M166="","",IF(INDEX(상세표[종료월],$M166)=대상월키,"전월→이번 달","이번 달→익월"))</f>
        <v/>
      </c>
      <c r="D166">
        <f>IF($M166="","",IF(ISNUMBER(INDEX(상세표[시작],$M166)),TEXT(INDEX(상세표[시작],$M166),"yyyy-mm-dd hh:mm"),INDEX(상세표[시작],$M166)&amp;""))</f>
        <v/>
      </c>
      <c r="E166">
        <f>IF($M166="","",IF(ISNUMBER(INDEX(상세표[종료],$M166)),TEXT(INDEX(상세표[종료],$M166),"yyyy-mm-dd hh:mm"),INDEX(상세표[종료],$M166)&amp;""))</f>
        <v/>
      </c>
      <c r="F166">
        <f>IF($M166="","",INDEX(상세표[기록 시간외],$M166))</f>
        <v/>
      </c>
      <c r="G166">
        <f>IF($M166="","",INDEX(상세표[시작월 기관],$M166)&amp;"")</f>
        <v/>
      </c>
      <c r="H166">
        <f>IF($M166="","",INDEX(상세표[종료월 기관],$M166)&amp;"")</f>
        <v/>
      </c>
      <c r="I166">
        <f>IF($M166="","",INDEX(상세표[월경계 판정],$M166)&amp;"")</f>
        <v/>
      </c>
      <c r="J166">
        <f>IF($M166="","",INDEX(상세표[반영월],$M166)&amp;"")</f>
        <v/>
      </c>
      <c r="K166">
        <f>IF($M166="","",INDEX(상세표[반영 기관],$M166)&amp;"")</f>
        <v/>
      </c>
      <c r="L166">
        <f>IF($M166="","",INDEX(상세표[기관 출처],$M166)&amp;"")</f>
        <v/>
      </c>
      <c r="M166" s="4">
        <f>IFERROR(MATCH(161,상세표[경계순번],0),"")</f>
        <v/>
      </c>
    </row>
    <row r="167">
      <c r="A167">
        <f>IF($M167="","",INDEX(상세표[사번],$M167)&amp;"")</f>
        <v/>
      </c>
      <c r="B167">
        <f>IF($M167="","",INDEX(상세표[성명],$M167)&amp;"")</f>
        <v/>
      </c>
      <c r="C167">
        <f>IF($M167="","",IF(INDEX(상세표[종료월],$M167)=대상월키,"전월→이번 달","이번 달→익월"))</f>
        <v/>
      </c>
      <c r="D167">
        <f>IF($M167="","",IF(ISNUMBER(INDEX(상세표[시작],$M167)),TEXT(INDEX(상세표[시작],$M167),"yyyy-mm-dd hh:mm"),INDEX(상세표[시작],$M167)&amp;""))</f>
        <v/>
      </c>
      <c r="E167">
        <f>IF($M167="","",IF(ISNUMBER(INDEX(상세표[종료],$M167)),TEXT(INDEX(상세표[종료],$M167),"yyyy-mm-dd hh:mm"),INDEX(상세표[종료],$M167)&amp;""))</f>
        <v/>
      </c>
      <c r="F167">
        <f>IF($M167="","",INDEX(상세표[기록 시간외],$M167))</f>
        <v/>
      </c>
      <c r="G167">
        <f>IF($M167="","",INDEX(상세표[시작월 기관],$M167)&amp;"")</f>
        <v/>
      </c>
      <c r="H167">
        <f>IF($M167="","",INDEX(상세표[종료월 기관],$M167)&amp;"")</f>
        <v/>
      </c>
      <c r="I167">
        <f>IF($M167="","",INDEX(상세표[월경계 판정],$M167)&amp;"")</f>
        <v/>
      </c>
      <c r="J167">
        <f>IF($M167="","",INDEX(상세표[반영월],$M167)&amp;"")</f>
        <v/>
      </c>
      <c r="K167">
        <f>IF($M167="","",INDEX(상세표[반영 기관],$M167)&amp;"")</f>
        <v/>
      </c>
      <c r="L167">
        <f>IF($M167="","",INDEX(상세표[기관 출처],$M167)&amp;"")</f>
        <v/>
      </c>
      <c r="M167" s="4">
        <f>IFERROR(MATCH(162,상세표[경계순번],0),"")</f>
        <v/>
      </c>
    </row>
    <row r="168">
      <c r="A168">
        <f>IF($M168="","",INDEX(상세표[사번],$M168)&amp;"")</f>
        <v/>
      </c>
      <c r="B168">
        <f>IF($M168="","",INDEX(상세표[성명],$M168)&amp;"")</f>
        <v/>
      </c>
      <c r="C168">
        <f>IF($M168="","",IF(INDEX(상세표[종료월],$M168)=대상월키,"전월→이번 달","이번 달→익월"))</f>
        <v/>
      </c>
      <c r="D168">
        <f>IF($M168="","",IF(ISNUMBER(INDEX(상세표[시작],$M168)),TEXT(INDEX(상세표[시작],$M168),"yyyy-mm-dd hh:mm"),INDEX(상세표[시작],$M168)&amp;""))</f>
        <v/>
      </c>
      <c r="E168">
        <f>IF($M168="","",IF(ISNUMBER(INDEX(상세표[종료],$M168)),TEXT(INDEX(상세표[종료],$M168),"yyyy-mm-dd hh:mm"),INDEX(상세표[종료],$M168)&amp;""))</f>
        <v/>
      </c>
      <c r="F168">
        <f>IF($M168="","",INDEX(상세표[기록 시간외],$M168))</f>
        <v/>
      </c>
      <c r="G168">
        <f>IF($M168="","",INDEX(상세표[시작월 기관],$M168)&amp;"")</f>
        <v/>
      </c>
      <c r="H168">
        <f>IF($M168="","",INDEX(상세표[종료월 기관],$M168)&amp;"")</f>
        <v/>
      </c>
      <c r="I168">
        <f>IF($M168="","",INDEX(상세표[월경계 판정],$M168)&amp;"")</f>
        <v/>
      </c>
      <c r="J168">
        <f>IF($M168="","",INDEX(상세표[반영월],$M168)&amp;"")</f>
        <v/>
      </c>
      <c r="K168">
        <f>IF($M168="","",INDEX(상세표[반영 기관],$M168)&amp;"")</f>
        <v/>
      </c>
      <c r="L168">
        <f>IF($M168="","",INDEX(상세표[기관 출처],$M168)&amp;"")</f>
        <v/>
      </c>
      <c r="M168" s="4">
        <f>IFERROR(MATCH(163,상세표[경계순번],0),"")</f>
        <v/>
      </c>
    </row>
    <row r="169">
      <c r="A169">
        <f>IF($M169="","",INDEX(상세표[사번],$M169)&amp;"")</f>
        <v/>
      </c>
      <c r="B169">
        <f>IF($M169="","",INDEX(상세표[성명],$M169)&amp;"")</f>
        <v/>
      </c>
      <c r="C169">
        <f>IF($M169="","",IF(INDEX(상세표[종료월],$M169)=대상월키,"전월→이번 달","이번 달→익월"))</f>
        <v/>
      </c>
      <c r="D169">
        <f>IF($M169="","",IF(ISNUMBER(INDEX(상세표[시작],$M169)),TEXT(INDEX(상세표[시작],$M169),"yyyy-mm-dd hh:mm"),INDEX(상세표[시작],$M169)&amp;""))</f>
        <v/>
      </c>
      <c r="E169">
        <f>IF($M169="","",IF(ISNUMBER(INDEX(상세표[종료],$M169)),TEXT(INDEX(상세표[종료],$M169),"yyyy-mm-dd hh:mm"),INDEX(상세표[종료],$M169)&amp;""))</f>
        <v/>
      </c>
      <c r="F169">
        <f>IF($M169="","",INDEX(상세표[기록 시간외],$M169))</f>
        <v/>
      </c>
      <c r="G169">
        <f>IF($M169="","",INDEX(상세표[시작월 기관],$M169)&amp;"")</f>
        <v/>
      </c>
      <c r="H169">
        <f>IF($M169="","",INDEX(상세표[종료월 기관],$M169)&amp;"")</f>
        <v/>
      </c>
      <c r="I169">
        <f>IF($M169="","",INDEX(상세표[월경계 판정],$M169)&amp;"")</f>
        <v/>
      </c>
      <c r="J169">
        <f>IF($M169="","",INDEX(상세표[반영월],$M169)&amp;"")</f>
        <v/>
      </c>
      <c r="K169">
        <f>IF($M169="","",INDEX(상세표[반영 기관],$M169)&amp;"")</f>
        <v/>
      </c>
      <c r="L169">
        <f>IF($M169="","",INDEX(상세표[기관 출처],$M169)&amp;"")</f>
        <v/>
      </c>
      <c r="M169" s="4">
        <f>IFERROR(MATCH(164,상세표[경계순번],0),"")</f>
        <v/>
      </c>
    </row>
    <row r="170">
      <c r="A170">
        <f>IF($M170="","",INDEX(상세표[사번],$M170)&amp;"")</f>
        <v/>
      </c>
      <c r="B170">
        <f>IF($M170="","",INDEX(상세표[성명],$M170)&amp;"")</f>
        <v/>
      </c>
      <c r="C170">
        <f>IF($M170="","",IF(INDEX(상세표[종료월],$M170)=대상월키,"전월→이번 달","이번 달→익월"))</f>
        <v/>
      </c>
      <c r="D170">
        <f>IF($M170="","",IF(ISNUMBER(INDEX(상세표[시작],$M170)),TEXT(INDEX(상세표[시작],$M170),"yyyy-mm-dd hh:mm"),INDEX(상세표[시작],$M170)&amp;""))</f>
        <v/>
      </c>
      <c r="E170">
        <f>IF($M170="","",IF(ISNUMBER(INDEX(상세표[종료],$M170)),TEXT(INDEX(상세표[종료],$M170),"yyyy-mm-dd hh:mm"),INDEX(상세표[종료],$M170)&amp;""))</f>
        <v/>
      </c>
      <c r="F170">
        <f>IF($M170="","",INDEX(상세표[기록 시간외],$M170))</f>
        <v/>
      </c>
      <c r="G170">
        <f>IF($M170="","",INDEX(상세표[시작월 기관],$M170)&amp;"")</f>
        <v/>
      </c>
      <c r="H170">
        <f>IF($M170="","",INDEX(상세표[종료월 기관],$M170)&amp;"")</f>
        <v/>
      </c>
      <c r="I170">
        <f>IF($M170="","",INDEX(상세표[월경계 판정],$M170)&amp;"")</f>
        <v/>
      </c>
      <c r="J170">
        <f>IF($M170="","",INDEX(상세표[반영월],$M170)&amp;"")</f>
        <v/>
      </c>
      <c r="K170">
        <f>IF($M170="","",INDEX(상세표[반영 기관],$M170)&amp;"")</f>
        <v/>
      </c>
      <c r="L170">
        <f>IF($M170="","",INDEX(상세표[기관 출처],$M170)&amp;"")</f>
        <v/>
      </c>
      <c r="M170" s="4">
        <f>IFERROR(MATCH(165,상세표[경계순번],0),"")</f>
        <v/>
      </c>
    </row>
    <row r="171">
      <c r="A171">
        <f>IF($M171="","",INDEX(상세표[사번],$M171)&amp;"")</f>
        <v/>
      </c>
      <c r="B171">
        <f>IF($M171="","",INDEX(상세표[성명],$M171)&amp;"")</f>
        <v/>
      </c>
      <c r="C171">
        <f>IF($M171="","",IF(INDEX(상세표[종료월],$M171)=대상월키,"전월→이번 달","이번 달→익월"))</f>
        <v/>
      </c>
      <c r="D171">
        <f>IF($M171="","",IF(ISNUMBER(INDEX(상세표[시작],$M171)),TEXT(INDEX(상세표[시작],$M171),"yyyy-mm-dd hh:mm"),INDEX(상세표[시작],$M171)&amp;""))</f>
        <v/>
      </c>
      <c r="E171">
        <f>IF($M171="","",IF(ISNUMBER(INDEX(상세표[종료],$M171)),TEXT(INDEX(상세표[종료],$M171),"yyyy-mm-dd hh:mm"),INDEX(상세표[종료],$M171)&amp;""))</f>
        <v/>
      </c>
      <c r="F171">
        <f>IF($M171="","",INDEX(상세표[기록 시간외],$M171))</f>
        <v/>
      </c>
      <c r="G171">
        <f>IF($M171="","",INDEX(상세표[시작월 기관],$M171)&amp;"")</f>
        <v/>
      </c>
      <c r="H171">
        <f>IF($M171="","",INDEX(상세표[종료월 기관],$M171)&amp;"")</f>
        <v/>
      </c>
      <c r="I171">
        <f>IF($M171="","",INDEX(상세표[월경계 판정],$M171)&amp;"")</f>
        <v/>
      </c>
      <c r="J171">
        <f>IF($M171="","",INDEX(상세표[반영월],$M171)&amp;"")</f>
        <v/>
      </c>
      <c r="K171">
        <f>IF($M171="","",INDEX(상세표[반영 기관],$M171)&amp;"")</f>
        <v/>
      </c>
      <c r="L171">
        <f>IF($M171="","",INDEX(상세표[기관 출처],$M171)&amp;"")</f>
        <v/>
      </c>
      <c r="M171" s="4">
        <f>IFERROR(MATCH(166,상세표[경계순번],0),"")</f>
        <v/>
      </c>
    </row>
    <row r="172">
      <c r="A172">
        <f>IF($M172="","",INDEX(상세표[사번],$M172)&amp;"")</f>
        <v/>
      </c>
      <c r="B172">
        <f>IF($M172="","",INDEX(상세표[성명],$M172)&amp;"")</f>
        <v/>
      </c>
      <c r="C172">
        <f>IF($M172="","",IF(INDEX(상세표[종료월],$M172)=대상월키,"전월→이번 달","이번 달→익월"))</f>
        <v/>
      </c>
      <c r="D172">
        <f>IF($M172="","",IF(ISNUMBER(INDEX(상세표[시작],$M172)),TEXT(INDEX(상세표[시작],$M172),"yyyy-mm-dd hh:mm"),INDEX(상세표[시작],$M172)&amp;""))</f>
        <v/>
      </c>
      <c r="E172">
        <f>IF($M172="","",IF(ISNUMBER(INDEX(상세표[종료],$M172)),TEXT(INDEX(상세표[종료],$M172),"yyyy-mm-dd hh:mm"),INDEX(상세표[종료],$M172)&amp;""))</f>
        <v/>
      </c>
      <c r="F172">
        <f>IF($M172="","",INDEX(상세표[기록 시간외],$M172))</f>
        <v/>
      </c>
      <c r="G172">
        <f>IF($M172="","",INDEX(상세표[시작월 기관],$M172)&amp;"")</f>
        <v/>
      </c>
      <c r="H172">
        <f>IF($M172="","",INDEX(상세표[종료월 기관],$M172)&amp;"")</f>
        <v/>
      </c>
      <c r="I172">
        <f>IF($M172="","",INDEX(상세표[월경계 판정],$M172)&amp;"")</f>
        <v/>
      </c>
      <c r="J172">
        <f>IF($M172="","",INDEX(상세표[반영월],$M172)&amp;"")</f>
        <v/>
      </c>
      <c r="K172">
        <f>IF($M172="","",INDEX(상세표[반영 기관],$M172)&amp;"")</f>
        <v/>
      </c>
      <c r="L172">
        <f>IF($M172="","",INDEX(상세표[기관 출처],$M172)&amp;"")</f>
        <v/>
      </c>
      <c r="M172" s="4">
        <f>IFERROR(MATCH(167,상세표[경계순번],0),"")</f>
        <v/>
      </c>
    </row>
    <row r="173">
      <c r="A173">
        <f>IF($M173="","",INDEX(상세표[사번],$M173)&amp;"")</f>
        <v/>
      </c>
      <c r="B173">
        <f>IF($M173="","",INDEX(상세표[성명],$M173)&amp;"")</f>
        <v/>
      </c>
      <c r="C173">
        <f>IF($M173="","",IF(INDEX(상세표[종료월],$M173)=대상월키,"전월→이번 달","이번 달→익월"))</f>
        <v/>
      </c>
      <c r="D173">
        <f>IF($M173="","",IF(ISNUMBER(INDEX(상세표[시작],$M173)),TEXT(INDEX(상세표[시작],$M173),"yyyy-mm-dd hh:mm"),INDEX(상세표[시작],$M173)&amp;""))</f>
        <v/>
      </c>
      <c r="E173">
        <f>IF($M173="","",IF(ISNUMBER(INDEX(상세표[종료],$M173)),TEXT(INDEX(상세표[종료],$M173),"yyyy-mm-dd hh:mm"),INDEX(상세표[종료],$M173)&amp;""))</f>
        <v/>
      </c>
      <c r="F173">
        <f>IF($M173="","",INDEX(상세표[기록 시간외],$M173))</f>
        <v/>
      </c>
      <c r="G173">
        <f>IF($M173="","",INDEX(상세표[시작월 기관],$M173)&amp;"")</f>
        <v/>
      </c>
      <c r="H173">
        <f>IF($M173="","",INDEX(상세표[종료월 기관],$M173)&amp;"")</f>
        <v/>
      </c>
      <c r="I173">
        <f>IF($M173="","",INDEX(상세표[월경계 판정],$M173)&amp;"")</f>
        <v/>
      </c>
      <c r="J173">
        <f>IF($M173="","",INDEX(상세표[반영월],$M173)&amp;"")</f>
        <v/>
      </c>
      <c r="K173">
        <f>IF($M173="","",INDEX(상세표[반영 기관],$M173)&amp;"")</f>
        <v/>
      </c>
      <c r="L173">
        <f>IF($M173="","",INDEX(상세표[기관 출처],$M173)&amp;"")</f>
        <v/>
      </c>
      <c r="M173" s="4">
        <f>IFERROR(MATCH(168,상세표[경계순번],0),"")</f>
        <v/>
      </c>
    </row>
    <row r="174">
      <c r="A174">
        <f>IF($M174="","",INDEX(상세표[사번],$M174)&amp;"")</f>
        <v/>
      </c>
      <c r="B174">
        <f>IF($M174="","",INDEX(상세표[성명],$M174)&amp;"")</f>
        <v/>
      </c>
      <c r="C174">
        <f>IF($M174="","",IF(INDEX(상세표[종료월],$M174)=대상월키,"전월→이번 달","이번 달→익월"))</f>
        <v/>
      </c>
      <c r="D174">
        <f>IF($M174="","",IF(ISNUMBER(INDEX(상세표[시작],$M174)),TEXT(INDEX(상세표[시작],$M174),"yyyy-mm-dd hh:mm"),INDEX(상세표[시작],$M174)&amp;""))</f>
        <v/>
      </c>
      <c r="E174">
        <f>IF($M174="","",IF(ISNUMBER(INDEX(상세표[종료],$M174)),TEXT(INDEX(상세표[종료],$M174),"yyyy-mm-dd hh:mm"),INDEX(상세표[종료],$M174)&amp;""))</f>
        <v/>
      </c>
      <c r="F174">
        <f>IF($M174="","",INDEX(상세표[기록 시간외],$M174))</f>
        <v/>
      </c>
      <c r="G174">
        <f>IF($M174="","",INDEX(상세표[시작월 기관],$M174)&amp;"")</f>
        <v/>
      </c>
      <c r="H174">
        <f>IF($M174="","",INDEX(상세표[종료월 기관],$M174)&amp;"")</f>
        <v/>
      </c>
      <c r="I174">
        <f>IF($M174="","",INDEX(상세표[월경계 판정],$M174)&amp;"")</f>
        <v/>
      </c>
      <c r="J174">
        <f>IF($M174="","",INDEX(상세표[반영월],$M174)&amp;"")</f>
        <v/>
      </c>
      <c r="K174">
        <f>IF($M174="","",INDEX(상세표[반영 기관],$M174)&amp;"")</f>
        <v/>
      </c>
      <c r="L174">
        <f>IF($M174="","",INDEX(상세표[기관 출처],$M174)&amp;"")</f>
        <v/>
      </c>
      <c r="M174" s="4">
        <f>IFERROR(MATCH(169,상세표[경계순번],0),"")</f>
        <v/>
      </c>
    </row>
    <row r="175">
      <c r="A175">
        <f>IF($M175="","",INDEX(상세표[사번],$M175)&amp;"")</f>
        <v/>
      </c>
      <c r="B175">
        <f>IF($M175="","",INDEX(상세표[성명],$M175)&amp;"")</f>
        <v/>
      </c>
      <c r="C175">
        <f>IF($M175="","",IF(INDEX(상세표[종료월],$M175)=대상월키,"전월→이번 달","이번 달→익월"))</f>
        <v/>
      </c>
      <c r="D175">
        <f>IF($M175="","",IF(ISNUMBER(INDEX(상세표[시작],$M175)),TEXT(INDEX(상세표[시작],$M175),"yyyy-mm-dd hh:mm"),INDEX(상세표[시작],$M175)&amp;""))</f>
        <v/>
      </c>
      <c r="E175">
        <f>IF($M175="","",IF(ISNUMBER(INDEX(상세표[종료],$M175)),TEXT(INDEX(상세표[종료],$M175),"yyyy-mm-dd hh:mm"),INDEX(상세표[종료],$M175)&amp;""))</f>
        <v/>
      </c>
      <c r="F175">
        <f>IF($M175="","",INDEX(상세표[기록 시간외],$M175))</f>
        <v/>
      </c>
      <c r="G175">
        <f>IF($M175="","",INDEX(상세표[시작월 기관],$M175)&amp;"")</f>
        <v/>
      </c>
      <c r="H175">
        <f>IF($M175="","",INDEX(상세표[종료월 기관],$M175)&amp;"")</f>
        <v/>
      </c>
      <c r="I175">
        <f>IF($M175="","",INDEX(상세표[월경계 판정],$M175)&amp;"")</f>
        <v/>
      </c>
      <c r="J175">
        <f>IF($M175="","",INDEX(상세표[반영월],$M175)&amp;"")</f>
        <v/>
      </c>
      <c r="K175">
        <f>IF($M175="","",INDEX(상세표[반영 기관],$M175)&amp;"")</f>
        <v/>
      </c>
      <c r="L175">
        <f>IF($M175="","",INDEX(상세표[기관 출처],$M175)&amp;"")</f>
        <v/>
      </c>
      <c r="M175" s="4">
        <f>IFERROR(MATCH(170,상세표[경계순번],0),"")</f>
        <v/>
      </c>
    </row>
    <row r="176">
      <c r="A176">
        <f>IF($M176="","",INDEX(상세표[사번],$M176)&amp;"")</f>
        <v/>
      </c>
      <c r="B176">
        <f>IF($M176="","",INDEX(상세표[성명],$M176)&amp;"")</f>
        <v/>
      </c>
      <c r="C176">
        <f>IF($M176="","",IF(INDEX(상세표[종료월],$M176)=대상월키,"전월→이번 달","이번 달→익월"))</f>
        <v/>
      </c>
      <c r="D176">
        <f>IF($M176="","",IF(ISNUMBER(INDEX(상세표[시작],$M176)),TEXT(INDEX(상세표[시작],$M176),"yyyy-mm-dd hh:mm"),INDEX(상세표[시작],$M176)&amp;""))</f>
        <v/>
      </c>
      <c r="E176">
        <f>IF($M176="","",IF(ISNUMBER(INDEX(상세표[종료],$M176)),TEXT(INDEX(상세표[종료],$M176),"yyyy-mm-dd hh:mm"),INDEX(상세표[종료],$M176)&amp;""))</f>
        <v/>
      </c>
      <c r="F176">
        <f>IF($M176="","",INDEX(상세표[기록 시간외],$M176))</f>
        <v/>
      </c>
      <c r="G176">
        <f>IF($M176="","",INDEX(상세표[시작월 기관],$M176)&amp;"")</f>
        <v/>
      </c>
      <c r="H176">
        <f>IF($M176="","",INDEX(상세표[종료월 기관],$M176)&amp;"")</f>
        <v/>
      </c>
      <c r="I176">
        <f>IF($M176="","",INDEX(상세표[월경계 판정],$M176)&amp;"")</f>
        <v/>
      </c>
      <c r="J176">
        <f>IF($M176="","",INDEX(상세표[반영월],$M176)&amp;"")</f>
        <v/>
      </c>
      <c r="K176">
        <f>IF($M176="","",INDEX(상세표[반영 기관],$M176)&amp;"")</f>
        <v/>
      </c>
      <c r="L176">
        <f>IF($M176="","",INDEX(상세표[기관 출처],$M176)&amp;"")</f>
        <v/>
      </c>
      <c r="M176" s="4">
        <f>IFERROR(MATCH(171,상세표[경계순번],0),"")</f>
        <v/>
      </c>
    </row>
    <row r="177">
      <c r="A177">
        <f>IF($M177="","",INDEX(상세표[사번],$M177)&amp;"")</f>
        <v/>
      </c>
      <c r="B177">
        <f>IF($M177="","",INDEX(상세표[성명],$M177)&amp;"")</f>
        <v/>
      </c>
      <c r="C177">
        <f>IF($M177="","",IF(INDEX(상세표[종료월],$M177)=대상월키,"전월→이번 달","이번 달→익월"))</f>
        <v/>
      </c>
      <c r="D177">
        <f>IF($M177="","",IF(ISNUMBER(INDEX(상세표[시작],$M177)),TEXT(INDEX(상세표[시작],$M177),"yyyy-mm-dd hh:mm"),INDEX(상세표[시작],$M177)&amp;""))</f>
        <v/>
      </c>
      <c r="E177">
        <f>IF($M177="","",IF(ISNUMBER(INDEX(상세표[종료],$M177)),TEXT(INDEX(상세표[종료],$M177),"yyyy-mm-dd hh:mm"),INDEX(상세표[종료],$M177)&amp;""))</f>
        <v/>
      </c>
      <c r="F177">
        <f>IF($M177="","",INDEX(상세표[기록 시간외],$M177))</f>
        <v/>
      </c>
      <c r="G177">
        <f>IF($M177="","",INDEX(상세표[시작월 기관],$M177)&amp;"")</f>
        <v/>
      </c>
      <c r="H177">
        <f>IF($M177="","",INDEX(상세표[종료월 기관],$M177)&amp;"")</f>
        <v/>
      </c>
      <c r="I177">
        <f>IF($M177="","",INDEX(상세표[월경계 판정],$M177)&amp;"")</f>
        <v/>
      </c>
      <c r="J177">
        <f>IF($M177="","",INDEX(상세표[반영월],$M177)&amp;"")</f>
        <v/>
      </c>
      <c r="K177">
        <f>IF($M177="","",INDEX(상세표[반영 기관],$M177)&amp;"")</f>
        <v/>
      </c>
      <c r="L177">
        <f>IF($M177="","",INDEX(상세표[기관 출처],$M177)&amp;"")</f>
        <v/>
      </c>
      <c r="M177" s="4">
        <f>IFERROR(MATCH(172,상세표[경계순번],0),"")</f>
        <v/>
      </c>
    </row>
    <row r="178">
      <c r="A178">
        <f>IF($M178="","",INDEX(상세표[사번],$M178)&amp;"")</f>
        <v/>
      </c>
      <c r="B178">
        <f>IF($M178="","",INDEX(상세표[성명],$M178)&amp;"")</f>
        <v/>
      </c>
      <c r="C178">
        <f>IF($M178="","",IF(INDEX(상세표[종료월],$M178)=대상월키,"전월→이번 달","이번 달→익월"))</f>
        <v/>
      </c>
      <c r="D178">
        <f>IF($M178="","",IF(ISNUMBER(INDEX(상세표[시작],$M178)),TEXT(INDEX(상세표[시작],$M178),"yyyy-mm-dd hh:mm"),INDEX(상세표[시작],$M178)&amp;""))</f>
        <v/>
      </c>
      <c r="E178">
        <f>IF($M178="","",IF(ISNUMBER(INDEX(상세표[종료],$M178)),TEXT(INDEX(상세표[종료],$M178),"yyyy-mm-dd hh:mm"),INDEX(상세표[종료],$M178)&amp;""))</f>
        <v/>
      </c>
      <c r="F178">
        <f>IF($M178="","",INDEX(상세표[기록 시간외],$M178))</f>
        <v/>
      </c>
      <c r="G178">
        <f>IF($M178="","",INDEX(상세표[시작월 기관],$M178)&amp;"")</f>
        <v/>
      </c>
      <c r="H178">
        <f>IF($M178="","",INDEX(상세표[종료월 기관],$M178)&amp;"")</f>
        <v/>
      </c>
      <c r="I178">
        <f>IF($M178="","",INDEX(상세표[월경계 판정],$M178)&amp;"")</f>
        <v/>
      </c>
      <c r="J178">
        <f>IF($M178="","",INDEX(상세표[반영월],$M178)&amp;"")</f>
        <v/>
      </c>
      <c r="K178">
        <f>IF($M178="","",INDEX(상세표[반영 기관],$M178)&amp;"")</f>
        <v/>
      </c>
      <c r="L178">
        <f>IF($M178="","",INDEX(상세표[기관 출처],$M178)&amp;"")</f>
        <v/>
      </c>
      <c r="M178" s="4">
        <f>IFERROR(MATCH(173,상세표[경계순번],0),"")</f>
        <v/>
      </c>
    </row>
    <row r="179">
      <c r="A179">
        <f>IF($M179="","",INDEX(상세표[사번],$M179)&amp;"")</f>
        <v/>
      </c>
      <c r="B179">
        <f>IF($M179="","",INDEX(상세표[성명],$M179)&amp;"")</f>
        <v/>
      </c>
      <c r="C179">
        <f>IF($M179="","",IF(INDEX(상세표[종료월],$M179)=대상월키,"전월→이번 달","이번 달→익월"))</f>
        <v/>
      </c>
      <c r="D179">
        <f>IF($M179="","",IF(ISNUMBER(INDEX(상세표[시작],$M179)),TEXT(INDEX(상세표[시작],$M179),"yyyy-mm-dd hh:mm"),INDEX(상세표[시작],$M179)&amp;""))</f>
        <v/>
      </c>
      <c r="E179">
        <f>IF($M179="","",IF(ISNUMBER(INDEX(상세표[종료],$M179)),TEXT(INDEX(상세표[종료],$M179),"yyyy-mm-dd hh:mm"),INDEX(상세표[종료],$M179)&amp;""))</f>
        <v/>
      </c>
      <c r="F179">
        <f>IF($M179="","",INDEX(상세표[기록 시간외],$M179))</f>
        <v/>
      </c>
      <c r="G179">
        <f>IF($M179="","",INDEX(상세표[시작월 기관],$M179)&amp;"")</f>
        <v/>
      </c>
      <c r="H179">
        <f>IF($M179="","",INDEX(상세표[종료월 기관],$M179)&amp;"")</f>
        <v/>
      </c>
      <c r="I179">
        <f>IF($M179="","",INDEX(상세표[월경계 판정],$M179)&amp;"")</f>
        <v/>
      </c>
      <c r="J179">
        <f>IF($M179="","",INDEX(상세표[반영월],$M179)&amp;"")</f>
        <v/>
      </c>
      <c r="K179">
        <f>IF($M179="","",INDEX(상세표[반영 기관],$M179)&amp;"")</f>
        <v/>
      </c>
      <c r="L179">
        <f>IF($M179="","",INDEX(상세표[기관 출처],$M179)&amp;"")</f>
        <v/>
      </c>
      <c r="M179" s="4">
        <f>IFERROR(MATCH(174,상세표[경계순번],0),"")</f>
        <v/>
      </c>
    </row>
    <row r="180">
      <c r="A180">
        <f>IF($M180="","",INDEX(상세표[사번],$M180)&amp;"")</f>
        <v/>
      </c>
      <c r="B180">
        <f>IF($M180="","",INDEX(상세표[성명],$M180)&amp;"")</f>
        <v/>
      </c>
      <c r="C180">
        <f>IF($M180="","",IF(INDEX(상세표[종료월],$M180)=대상월키,"전월→이번 달","이번 달→익월"))</f>
        <v/>
      </c>
      <c r="D180">
        <f>IF($M180="","",IF(ISNUMBER(INDEX(상세표[시작],$M180)),TEXT(INDEX(상세표[시작],$M180),"yyyy-mm-dd hh:mm"),INDEX(상세표[시작],$M180)&amp;""))</f>
        <v/>
      </c>
      <c r="E180">
        <f>IF($M180="","",IF(ISNUMBER(INDEX(상세표[종료],$M180)),TEXT(INDEX(상세표[종료],$M180),"yyyy-mm-dd hh:mm"),INDEX(상세표[종료],$M180)&amp;""))</f>
        <v/>
      </c>
      <c r="F180">
        <f>IF($M180="","",INDEX(상세표[기록 시간외],$M180))</f>
        <v/>
      </c>
      <c r="G180">
        <f>IF($M180="","",INDEX(상세표[시작월 기관],$M180)&amp;"")</f>
        <v/>
      </c>
      <c r="H180">
        <f>IF($M180="","",INDEX(상세표[종료월 기관],$M180)&amp;"")</f>
        <v/>
      </c>
      <c r="I180">
        <f>IF($M180="","",INDEX(상세표[월경계 판정],$M180)&amp;"")</f>
        <v/>
      </c>
      <c r="J180">
        <f>IF($M180="","",INDEX(상세표[반영월],$M180)&amp;"")</f>
        <v/>
      </c>
      <c r="K180">
        <f>IF($M180="","",INDEX(상세표[반영 기관],$M180)&amp;"")</f>
        <v/>
      </c>
      <c r="L180">
        <f>IF($M180="","",INDEX(상세표[기관 출처],$M180)&amp;"")</f>
        <v/>
      </c>
      <c r="M180" s="4">
        <f>IFERROR(MATCH(175,상세표[경계순번],0),"")</f>
        <v/>
      </c>
    </row>
    <row r="181">
      <c r="A181">
        <f>IF($M181="","",INDEX(상세표[사번],$M181)&amp;"")</f>
        <v/>
      </c>
      <c r="B181">
        <f>IF($M181="","",INDEX(상세표[성명],$M181)&amp;"")</f>
        <v/>
      </c>
      <c r="C181">
        <f>IF($M181="","",IF(INDEX(상세표[종료월],$M181)=대상월키,"전월→이번 달","이번 달→익월"))</f>
        <v/>
      </c>
      <c r="D181">
        <f>IF($M181="","",IF(ISNUMBER(INDEX(상세표[시작],$M181)),TEXT(INDEX(상세표[시작],$M181),"yyyy-mm-dd hh:mm"),INDEX(상세표[시작],$M181)&amp;""))</f>
        <v/>
      </c>
      <c r="E181">
        <f>IF($M181="","",IF(ISNUMBER(INDEX(상세표[종료],$M181)),TEXT(INDEX(상세표[종료],$M181),"yyyy-mm-dd hh:mm"),INDEX(상세표[종료],$M181)&amp;""))</f>
        <v/>
      </c>
      <c r="F181">
        <f>IF($M181="","",INDEX(상세표[기록 시간외],$M181))</f>
        <v/>
      </c>
      <c r="G181">
        <f>IF($M181="","",INDEX(상세표[시작월 기관],$M181)&amp;"")</f>
        <v/>
      </c>
      <c r="H181">
        <f>IF($M181="","",INDEX(상세표[종료월 기관],$M181)&amp;"")</f>
        <v/>
      </c>
      <c r="I181">
        <f>IF($M181="","",INDEX(상세표[월경계 판정],$M181)&amp;"")</f>
        <v/>
      </c>
      <c r="J181">
        <f>IF($M181="","",INDEX(상세표[반영월],$M181)&amp;"")</f>
        <v/>
      </c>
      <c r="K181">
        <f>IF($M181="","",INDEX(상세표[반영 기관],$M181)&amp;"")</f>
        <v/>
      </c>
      <c r="L181">
        <f>IF($M181="","",INDEX(상세표[기관 출처],$M181)&amp;"")</f>
        <v/>
      </c>
      <c r="M181" s="4">
        <f>IFERROR(MATCH(176,상세표[경계순번],0),"")</f>
        <v/>
      </c>
    </row>
    <row r="182">
      <c r="A182">
        <f>IF($M182="","",INDEX(상세표[사번],$M182)&amp;"")</f>
        <v/>
      </c>
      <c r="B182">
        <f>IF($M182="","",INDEX(상세표[성명],$M182)&amp;"")</f>
        <v/>
      </c>
      <c r="C182">
        <f>IF($M182="","",IF(INDEX(상세표[종료월],$M182)=대상월키,"전월→이번 달","이번 달→익월"))</f>
        <v/>
      </c>
      <c r="D182">
        <f>IF($M182="","",IF(ISNUMBER(INDEX(상세표[시작],$M182)),TEXT(INDEX(상세표[시작],$M182),"yyyy-mm-dd hh:mm"),INDEX(상세표[시작],$M182)&amp;""))</f>
        <v/>
      </c>
      <c r="E182">
        <f>IF($M182="","",IF(ISNUMBER(INDEX(상세표[종료],$M182)),TEXT(INDEX(상세표[종료],$M182),"yyyy-mm-dd hh:mm"),INDEX(상세표[종료],$M182)&amp;""))</f>
        <v/>
      </c>
      <c r="F182">
        <f>IF($M182="","",INDEX(상세표[기록 시간외],$M182))</f>
        <v/>
      </c>
      <c r="G182">
        <f>IF($M182="","",INDEX(상세표[시작월 기관],$M182)&amp;"")</f>
        <v/>
      </c>
      <c r="H182">
        <f>IF($M182="","",INDEX(상세표[종료월 기관],$M182)&amp;"")</f>
        <v/>
      </c>
      <c r="I182">
        <f>IF($M182="","",INDEX(상세표[월경계 판정],$M182)&amp;"")</f>
        <v/>
      </c>
      <c r="J182">
        <f>IF($M182="","",INDEX(상세표[반영월],$M182)&amp;"")</f>
        <v/>
      </c>
      <c r="K182">
        <f>IF($M182="","",INDEX(상세표[반영 기관],$M182)&amp;"")</f>
        <v/>
      </c>
      <c r="L182">
        <f>IF($M182="","",INDEX(상세표[기관 출처],$M182)&amp;"")</f>
        <v/>
      </c>
      <c r="M182" s="4">
        <f>IFERROR(MATCH(177,상세표[경계순번],0),"")</f>
        <v/>
      </c>
    </row>
    <row r="183">
      <c r="A183">
        <f>IF($M183="","",INDEX(상세표[사번],$M183)&amp;"")</f>
        <v/>
      </c>
      <c r="B183">
        <f>IF($M183="","",INDEX(상세표[성명],$M183)&amp;"")</f>
        <v/>
      </c>
      <c r="C183">
        <f>IF($M183="","",IF(INDEX(상세표[종료월],$M183)=대상월키,"전월→이번 달","이번 달→익월"))</f>
        <v/>
      </c>
      <c r="D183">
        <f>IF($M183="","",IF(ISNUMBER(INDEX(상세표[시작],$M183)),TEXT(INDEX(상세표[시작],$M183),"yyyy-mm-dd hh:mm"),INDEX(상세표[시작],$M183)&amp;""))</f>
        <v/>
      </c>
      <c r="E183">
        <f>IF($M183="","",IF(ISNUMBER(INDEX(상세표[종료],$M183)),TEXT(INDEX(상세표[종료],$M183),"yyyy-mm-dd hh:mm"),INDEX(상세표[종료],$M183)&amp;""))</f>
        <v/>
      </c>
      <c r="F183">
        <f>IF($M183="","",INDEX(상세표[기록 시간외],$M183))</f>
        <v/>
      </c>
      <c r="G183">
        <f>IF($M183="","",INDEX(상세표[시작월 기관],$M183)&amp;"")</f>
        <v/>
      </c>
      <c r="H183">
        <f>IF($M183="","",INDEX(상세표[종료월 기관],$M183)&amp;"")</f>
        <v/>
      </c>
      <c r="I183">
        <f>IF($M183="","",INDEX(상세표[월경계 판정],$M183)&amp;"")</f>
        <v/>
      </c>
      <c r="J183">
        <f>IF($M183="","",INDEX(상세표[반영월],$M183)&amp;"")</f>
        <v/>
      </c>
      <c r="K183">
        <f>IF($M183="","",INDEX(상세표[반영 기관],$M183)&amp;"")</f>
        <v/>
      </c>
      <c r="L183">
        <f>IF($M183="","",INDEX(상세표[기관 출처],$M183)&amp;"")</f>
        <v/>
      </c>
      <c r="M183" s="4">
        <f>IFERROR(MATCH(178,상세표[경계순번],0),"")</f>
        <v/>
      </c>
    </row>
    <row r="184">
      <c r="A184">
        <f>IF($M184="","",INDEX(상세표[사번],$M184)&amp;"")</f>
        <v/>
      </c>
      <c r="B184">
        <f>IF($M184="","",INDEX(상세표[성명],$M184)&amp;"")</f>
        <v/>
      </c>
      <c r="C184">
        <f>IF($M184="","",IF(INDEX(상세표[종료월],$M184)=대상월키,"전월→이번 달","이번 달→익월"))</f>
        <v/>
      </c>
      <c r="D184">
        <f>IF($M184="","",IF(ISNUMBER(INDEX(상세표[시작],$M184)),TEXT(INDEX(상세표[시작],$M184),"yyyy-mm-dd hh:mm"),INDEX(상세표[시작],$M184)&amp;""))</f>
        <v/>
      </c>
      <c r="E184">
        <f>IF($M184="","",IF(ISNUMBER(INDEX(상세표[종료],$M184)),TEXT(INDEX(상세표[종료],$M184),"yyyy-mm-dd hh:mm"),INDEX(상세표[종료],$M184)&amp;""))</f>
        <v/>
      </c>
      <c r="F184">
        <f>IF($M184="","",INDEX(상세표[기록 시간외],$M184))</f>
        <v/>
      </c>
      <c r="G184">
        <f>IF($M184="","",INDEX(상세표[시작월 기관],$M184)&amp;"")</f>
        <v/>
      </c>
      <c r="H184">
        <f>IF($M184="","",INDEX(상세표[종료월 기관],$M184)&amp;"")</f>
        <v/>
      </c>
      <c r="I184">
        <f>IF($M184="","",INDEX(상세표[월경계 판정],$M184)&amp;"")</f>
        <v/>
      </c>
      <c r="J184">
        <f>IF($M184="","",INDEX(상세표[반영월],$M184)&amp;"")</f>
        <v/>
      </c>
      <c r="K184">
        <f>IF($M184="","",INDEX(상세표[반영 기관],$M184)&amp;"")</f>
        <v/>
      </c>
      <c r="L184">
        <f>IF($M184="","",INDEX(상세표[기관 출처],$M184)&amp;"")</f>
        <v/>
      </c>
      <c r="M184" s="4">
        <f>IFERROR(MATCH(179,상세표[경계순번],0),"")</f>
        <v/>
      </c>
    </row>
    <row r="185">
      <c r="A185">
        <f>IF($M185="","",INDEX(상세표[사번],$M185)&amp;"")</f>
        <v/>
      </c>
      <c r="B185">
        <f>IF($M185="","",INDEX(상세표[성명],$M185)&amp;"")</f>
        <v/>
      </c>
      <c r="C185">
        <f>IF($M185="","",IF(INDEX(상세표[종료월],$M185)=대상월키,"전월→이번 달","이번 달→익월"))</f>
        <v/>
      </c>
      <c r="D185">
        <f>IF($M185="","",IF(ISNUMBER(INDEX(상세표[시작],$M185)),TEXT(INDEX(상세표[시작],$M185),"yyyy-mm-dd hh:mm"),INDEX(상세표[시작],$M185)&amp;""))</f>
        <v/>
      </c>
      <c r="E185">
        <f>IF($M185="","",IF(ISNUMBER(INDEX(상세표[종료],$M185)),TEXT(INDEX(상세표[종료],$M185),"yyyy-mm-dd hh:mm"),INDEX(상세표[종료],$M185)&amp;""))</f>
        <v/>
      </c>
      <c r="F185">
        <f>IF($M185="","",INDEX(상세표[기록 시간외],$M185))</f>
        <v/>
      </c>
      <c r="G185">
        <f>IF($M185="","",INDEX(상세표[시작월 기관],$M185)&amp;"")</f>
        <v/>
      </c>
      <c r="H185">
        <f>IF($M185="","",INDEX(상세표[종료월 기관],$M185)&amp;"")</f>
        <v/>
      </c>
      <c r="I185">
        <f>IF($M185="","",INDEX(상세표[월경계 판정],$M185)&amp;"")</f>
        <v/>
      </c>
      <c r="J185">
        <f>IF($M185="","",INDEX(상세표[반영월],$M185)&amp;"")</f>
        <v/>
      </c>
      <c r="K185">
        <f>IF($M185="","",INDEX(상세표[반영 기관],$M185)&amp;"")</f>
        <v/>
      </c>
      <c r="L185">
        <f>IF($M185="","",INDEX(상세표[기관 출처],$M185)&amp;"")</f>
        <v/>
      </c>
      <c r="M185" s="4">
        <f>IFERROR(MATCH(180,상세표[경계순번],0),"")</f>
        <v/>
      </c>
    </row>
    <row r="186">
      <c r="A186">
        <f>IF($M186="","",INDEX(상세표[사번],$M186)&amp;"")</f>
        <v/>
      </c>
      <c r="B186">
        <f>IF($M186="","",INDEX(상세표[성명],$M186)&amp;"")</f>
        <v/>
      </c>
      <c r="C186">
        <f>IF($M186="","",IF(INDEX(상세표[종료월],$M186)=대상월키,"전월→이번 달","이번 달→익월"))</f>
        <v/>
      </c>
      <c r="D186">
        <f>IF($M186="","",IF(ISNUMBER(INDEX(상세표[시작],$M186)),TEXT(INDEX(상세표[시작],$M186),"yyyy-mm-dd hh:mm"),INDEX(상세표[시작],$M186)&amp;""))</f>
        <v/>
      </c>
      <c r="E186">
        <f>IF($M186="","",IF(ISNUMBER(INDEX(상세표[종료],$M186)),TEXT(INDEX(상세표[종료],$M186),"yyyy-mm-dd hh:mm"),INDEX(상세표[종료],$M186)&amp;""))</f>
        <v/>
      </c>
      <c r="F186">
        <f>IF($M186="","",INDEX(상세표[기록 시간외],$M186))</f>
        <v/>
      </c>
      <c r="G186">
        <f>IF($M186="","",INDEX(상세표[시작월 기관],$M186)&amp;"")</f>
        <v/>
      </c>
      <c r="H186">
        <f>IF($M186="","",INDEX(상세표[종료월 기관],$M186)&amp;"")</f>
        <v/>
      </c>
      <c r="I186">
        <f>IF($M186="","",INDEX(상세표[월경계 판정],$M186)&amp;"")</f>
        <v/>
      </c>
      <c r="J186">
        <f>IF($M186="","",INDEX(상세표[반영월],$M186)&amp;"")</f>
        <v/>
      </c>
      <c r="K186">
        <f>IF($M186="","",INDEX(상세표[반영 기관],$M186)&amp;"")</f>
        <v/>
      </c>
      <c r="L186">
        <f>IF($M186="","",INDEX(상세표[기관 출처],$M186)&amp;"")</f>
        <v/>
      </c>
      <c r="M186" s="4">
        <f>IFERROR(MATCH(181,상세표[경계순번],0),"")</f>
        <v/>
      </c>
    </row>
    <row r="187">
      <c r="A187">
        <f>IF($M187="","",INDEX(상세표[사번],$M187)&amp;"")</f>
        <v/>
      </c>
      <c r="B187">
        <f>IF($M187="","",INDEX(상세표[성명],$M187)&amp;"")</f>
        <v/>
      </c>
      <c r="C187">
        <f>IF($M187="","",IF(INDEX(상세표[종료월],$M187)=대상월키,"전월→이번 달","이번 달→익월"))</f>
        <v/>
      </c>
      <c r="D187">
        <f>IF($M187="","",IF(ISNUMBER(INDEX(상세표[시작],$M187)),TEXT(INDEX(상세표[시작],$M187),"yyyy-mm-dd hh:mm"),INDEX(상세표[시작],$M187)&amp;""))</f>
        <v/>
      </c>
      <c r="E187">
        <f>IF($M187="","",IF(ISNUMBER(INDEX(상세표[종료],$M187)),TEXT(INDEX(상세표[종료],$M187),"yyyy-mm-dd hh:mm"),INDEX(상세표[종료],$M187)&amp;""))</f>
        <v/>
      </c>
      <c r="F187">
        <f>IF($M187="","",INDEX(상세표[기록 시간외],$M187))</f>
        <v/>
      </c>
      <c r="G187">
        <f>IF($M187="","",INDEX(상세표[시작월 기관],$M187)&amp;"")</f>
        <v/>
      </c>
      <c r="H187">
        <f>IF($M187="","",INDEX(상세표[종료월 기관],$M187)&amp;"")</f>
        <v/>
      </c>
      <c r="I187">
        <f>IF($M187="","",INDEX(상세표[월경계 판정],$M187)&amp;"")</f>
        <v/>
      </c>
      <c r="J187">
        <f>IF($M187="","",INDEX(상세표[반영월],$M187)&amp;"")</f>
        <v/>
      </c>
      <c r="K187">
        <f>IF($M187="","",INDEX(상세표[반영 기관],$M187)&amp;"")</f>
        <v/>
      </c>
      <c r="L187">
        <f>IF($M187="","",INDEX(상세표[기관 출처],$M187)&amp;"")</f>
        <v/>
      </c>
      <c r="M187" s="4">
        <f>IFERROR(MATCH(182,상세표[경계순번],0),"")</f>
        <v/>
      </c>
    </row>
    <row r="188">
      <c r="A188">
        <f>IF($M188="","",INDEX(상세표[사번],$M188)&amp;"")</f>
        <v/>
      </c>
      <c r="B188">
        <f>IF($M188="","",INDEX(상세표[성명],$M188)&amp;"")</f>
        <v/>
      </c>
      <c r="C188">
        <f>IF($M188="","",IF(INDEX(상세표[종료월],$M188)=대상월키,"전월→이번 달","이번 달→익월"))</f>
        <v/>
      </c>
      <c r="D188">
        <f>IF($M188="","",IF(ISNUMBER(INDEX(상세표[시작],$M188)),TEXT(INDEX(상세표[시작],$M188),"yyyy-mm-dd hh:mm"),INDEX(상세표[시작],$M188)&amp;""))</f>
        <v/>
      </c>
      <c r="E188">
        <f>IF($M188="","",IF(ISNUMBER(INDEX(상세표[종료],$M188)),TEXT(INDEX(상세표[종료],$M188),"yyyy-mm-dd hh:mm"),INDEX(상세표[종료],$M188)&amp;""))</f>
        <v/>
      </c>
      <c r="F188">
        <f>IF($M188="","",INDEX(상세표[기록 시간외],$M188))</f>
        <v/>
      </c>
      <c r="G188">
        <f>IF($M188="","",INDEX(상세표[시작월 기관],$M188)&amp;"")</f>
        <v/>
      </c>
      <c r="H188">
        <f>IF($M188="","",INDEX(상세표[종료월 기관],$M188)&amp;"")</f>
        <v/>
      </c>
      <c r="I188">
        <f>IF($M188="","",INDEX(상세표[월경계 판정],$M188)&amp;"")</f>
        <v/>
      </c>
      <c r="J188">
        <f>IF($M188="","",INDEX(상세표[반영월],$M188)&amp;"")</f>
        <v/>
      </c>
      <c r="K188">
        <f>IF($M188="","",INDEX(상세표[반영 기관],$M188)&amp;"")</f>
        <v/>
      </c>
      <c r="L188">
        <f>IF($M188="","",INDEX(상세표[기관 출처],$M188)&amp;"")</f>
        <v/>
      </c>
      <c r="M188" s="4">
        <f>IFERROR(MATCH(183,상세표[경계순번],0),"")</f>
        <v/>
      </c>
    </row>
    <row r="189">
      <c r="A189">
        <f>IF($M189="","",INDEX(상세표[사번],$M189)&amp;"")</f>
        <v/>
      </c>
      <c r="B189">
        <f>IF($M189="","",INDEX(상세표[성명],$M189)&amp;"")</f>
        <v/>
      </c>
      <c r="C189">
        <f>IF($M189="","",IF(INDEX(상세표[종료월],$M189)=대상월키,"전월→이번 달","이번 달→익월"))</f>
        <v/>
      </c>
      <c r="D189">
        <f>IF($M189="","",IF(ISNUMBER(INDEX(상세표[시작],$M189)),TEXT(INDEX(상세표[시작],$M189),"yyyy-mm-dd hh:mm"),INDEX(상세표[시작],$M189)&amp;""))</f>
        <v/>
      </c>
      <c r="E189">
        <f>IF($M189="","",IF(ISNUMBER(INDEX(상세표[종료],$M189)),TEXT(INDEX(상세표[종료],$M189),"yyyy-mm-dd hh:mm"),INDEX(상세표[종료],$M189)&amp;""))</f>
        <v/>
      </c>
      <c r="F189">
        <f>IF($M189="","",INDEX(상세표[기록 시간외],$M189))</f>
        <v/>
      </c>
      <c r="G189">
        <f>IF($M189="","",INDEX(상세표[시작월 기관],$M189)&amp;"")</f>
        <v/>
      </c>
      <c r="H189">
        <f>IF($M189="","",INDEX(상세표[종료월 기관],$M189)&amp;"")</f>
        <v/>
      </c>
      <c r="I189">
        <f>IF($M189="","",INDEX(상세표[월경계 판정],$M189)&amp;"")</f>
        <v/>
      </c>
      <c r="J189">
        <f>IF($M189="","",INDEX(상세표[반영월],$M189)&amp;"")</f>
        <v/>
      </c>
      <c r="K189">
        <f>IF($M189="","",INDEX(상세표[반영 기관],$M189)&amp;"")</f>
        <v/>
      </c>
      <c r="L189">
        <f>IF($M189="","",INDEX(상세표[기관 출처],$M189)&amp;"")</f>
        <v/>
      </c>
      <c r="M189" s="4">
        <f>IFERROR(MATCH(184,상세표[경계순번],0),"")</f>
        <v/>
      </c>
    </row>
    <row r="190">
      <c r="A190">
        <f>IF($M190="","",INDEX(상세표[사번],$M190)&amp;"")</f>
        <v/>
      </c>
      <c r="B190">
        <f>IF($M190="","",INDEX(상세표[성명],$M190)&amp;"")</f>
        <v/>
      </c>
      <c r="C190">
        <f>IF($M190="","",IF(INDEX(상세표[종료월],$M190)=대상월키,"전월→이번 달","이번 달→익월"))</f>
        <v/>
      </c>
      <c r="D190">
        <f>IF($M190="","",IF(ISNUMBER(INDEX(상세표[시작],$M190)),TEXT(INDEX(상세표[시작],$M190),"yyyy-mm-dd hh:mm"),INDEX(상세표[시작],$M190)&amp;""))</f>
        <v/>
      </c>
      <c r="E190">
        <f>IF($M190="","",IF(ISNUMBER(INDEX(상세표[종료],$M190)),TEXT(INDEX(상세표[종료],$M190),"yyyy-mm-dd hh:mm"),INDEX(상세표[종료],$M190)&amp;""))</f>
        <v/>
      </c>
      <c r="F190">
        <f>IF($M190="","",INDEX(상세표[기록 시간외],$M190))</f>
        <v/>
      </c>
      <c r="G190">
        <f>IF($M190="","",INDEX(상세표[시작월 기관],$M190)&amp;"")</f>
        <v/>
      </c>
      <c r="H190">
        <f>IF($M190="","",INDEX(상세표[종료월 기관],$M190)&amp;"")</f>
        <v/>
      </c>
      <c r="I190">
        <f>IF($M190="","",INDEX(상세표[월경계 판정],$M190)&amp;"")</f>
        <v/>
      </c>
      <c r="J190">
        <f>IF($M190="","",INDEX(상세표[반영월],$M190)&amp;"")</f>
        <v/>
      </c>
      <c r="K190">
        <f>IF($M190="","",INDEX(상세표[반영 기관],$M190)&amp;"")</f>
        <v/>
      </c>
      <c r="L190">
        <f>IF($M190="","",INDEX(상세표[기관 출처],$M190)&amp;"")</f>
        <v/>
      </c>
      <c r="M190" s="4">
        <f>IFERROR(MATCH(185,상세표[경계순번],0),"")</f>
        <v/>
      </c>
    </row>
    <row r="191">
      <c r="A191">
        <f>IF($M191="","",INDEX(상세표[사번],$M191)&amp;"")</f>
        <v/>
      </c>
      <c r="B191">
        <f>IF($M191="","",INDEX(상세표[성명],$M191)&amp;"")</f>
        <v/>
      </c>
      <c r="C191">
        <f>IF($M191="","",IF(INDEX(상세표[종료월],$M191)=대상월키,"전월→이번 달","이번 달→익월"))</f>
        <v/>
      </c>
      <c r="D191">
        <f>IF($M191="","",IF(ISNUMBER(INDEX(상세표[시작],$M191)),TEXT(INDEX(상세표[시작],$M191),"yyyy-mm-dd hh:mm"),INDEX(상세표[시작],$M191)&amp;""))</f>
        <v/>
      </c>
      <c r="E191">
        <f>IF($M191="","",IF(ISNUMBER(INDEX(상세표[종료],$M191)),TEXT(INDEX(상세표[종료],$M191),"yyyy-mm-dd hh:mm"),INDEX(상세표[종료],$M191)&amp;""))</f>
        <v/>
      </c>
      <c r="F191">
        <f>IF($M191="","",INDEX(상세표[기록 시간외],$M191))</f>
        <v/>
      </c>
      <c r="G191">
        <f>IF($M191="","",INDEX(상세표[시작월 기관],$M191)&amp;"")</f>
        <v/>
      </c>
      <c r="H191">
        <f>IF($M191="","",INDEX(상세표[종료월 기관],$M191)&amp;"")</f>
        <v/>
      </c>
      <c r="I191">
        <f>IF($M191="","",INDEX(상세표[월경계 판정],$M191)&amp;"")</f>
        <v/>
      </c>
      <c r="J191">
        <f>IF($M191="","",INDEX(상세표[반영월],$M191)&amp;"")</f>
        <v/>
      </c>
      <c r="K191">
        <f>IF($M191="","",INDEX(상세표[반영 기관],$M191)&amp;"")</f>
        <v/>
      </c>
      <c r="L191">
        <f>IF($M191="","",INDEX(상세표[기관 출처],$M191)&amp;"")</f>
        <v/>
      </c>
      <c r="M191" s="4">
        <f>IFERROR(MATCH(186,상세표[경계순번],0),"")</f>
        <v/>
      </c>
    </row>
    <row r="192">
      <c r="A192">
        <f>IF($M192="","",INDEX(상세표[사번],$M192)&amp;"")</f>
        <v/>
      </c>
      <c r="B192">
        <f>IF($M192="","",INDEX(상세표[성명],$M192)&amp;"")</f>
        <v/>
      </c>
      <c r="C192">
        <f>IF($M192="","",IF(INDEX(상세표[종료월],$M192)=대상월키,"전월→이번 달","이번 달→익월"))</f>
        <v/>
      </c>
      <c r="D192">
        <f>IF($M192="","",IF(ISNUMBER(INDEX(상세표[시작],$M192)),TEXT(INDEX(상세표[시작],$M192),"yyyy-mm-dd hh:mm"),INDEX(상세표[시작],$M192)&amp;""))</f>
        <v/>
      </c>
      <c r="E192">
        <f>IF($M192="","",IF(ISNUMBER(INDEX(상세표[종료],$M192)),TEXT(INDEX(상세표[종료],$M192),"yyyy-mm-dd hh:mm"),INDEX(상세표[종료],$M192)&amp;""))</f>
        <v/>
      </c>
      <c r="F192">
        <f>IF($M192="","",INDEX(상세표[기록 시간외],$M192))</f>
        <v/>
      </c>
      <c r="G192">
        <f>IF($M192="","",INDEX(상세표[시작월 기관],$M192)&amp;"")</f>
        <v/>
      </c>
      <c r="H192">
        <f>IF($M192="","",INDEX(상세표[종료월 기관],$M192)&amp;"")</f>
        <v/>
      </c>
      <c r="I192">
        <f>IF($M192="","",INDEX(상세표[월경계 판정],$M192)&amp;"")</f>
        <v/>
      </c>
      <c r="J192">
        <f>IF($M192="","",INDEX(상세표[반영월],$M192)&amp;"")</f>
        <v/>
      </c>
      <c r="K192">
        <f>IF($M192="","",INDEX(상세표[반영 기관],$M192)&amp;"")</f>
        <v/>
      </c>
      <c r="L192">
        <f>IF($M192="","",INDEX(상세표[기관 출처],$M192)&amp;"")</f>
        <v/>
      </c>
      <c r="M192" s="4">
        <f>IFERROR(MATCH(187,상세표[경계순번],0),"")</f>
        <v/>
      </c>
    </row>
    <row r="193">
      <c r="A193">
        <f>IF($M193="","",INDEX(상세표[사번],$M193)&amp;"")</f>
        <v/>
      </c>
      <c r="B193">
        <f>IF($M193="","",INDEX(상세표[성명],$M193)&amp;"")</f>
        <v/>
      </c>
      <c r="C193">
        <f>IF($M193="","",IF(INDEX(상세표[종료월],$M193)=대상월키,"전월→이번 달","이번 달→익월"))</f>
        <v/>
      </c>
      <c r="D193">
        <f>IF($M193="","",IF(ISNUMBER(INDEX(상세표[시작],$M193)),TEXT(INDEX(상세표[시작],$M193),"yyyy-mm-dd hh:mm"),INDEX(상세표[시작],$M193)&amp;""))</f>
        <v/>
      </c>
      <c r="E193">
        <f>IF($M193="","",IF(ISNUMBER(INDEX(상세표[종료],$M193)),TEXT(INDEX(상세표[종료],$M193),"yyyy-mm-dd hh:mm"),INDEX(상세표[종료],$M193)&amp;""))</f>
        <v/>
      </c>
      <c r="F193">
        <f>IF($M193="","",INDEX(상세표[기록 시간외],$M193))</f>
        <v/>
      </c>
      <c r="G193">
        <f>IF($M193="","",INDEX(상세표[시작월 기관],$M193)&amp;"")</f>
        <v/>
      </c>
      <c r="H193">
        <f>IF($M193="","",INDEX(상세표[종료월 기관],$M193)&amp;"")</f>
        <v/>
      </c>
      <c r="I193">
        <f>IF($M193="","",INDEX(상세표[월경계 판정],$M193)&amp;"")</f>
        <v/>
      </c>
      <c r="J193">
        <f>IF($M193="","",INDEX(상세표[반영월],$M193)&amp;"")</f>
        <v/>
      </c>
      <c r="K193">
        <f>IF($M193="","",INDEX(상세표[반영 기관],$M193)&amp;"")</f>
        <v/>
      </c>
      <c r="L193">
        <f>IF($M193="","",INDEX(상세표[기관 출처],$M193)&amp;"")</f>
        <v/>
      </c>
      <c r="M193" s="4">
        <f>IFERROR(MATCH(188,상세표[경계순번],0),"")</f>
        <v/>
      </c>
    </row>
    <row r="194">
      <c r="A194">
        <f>IF($M194="","",INDEX(상세표[사번],$M194)&amp;"")</f>
        <v/>
      </c>
      <c r="B194">
        <f>IF($M194="","",INDEX(상세표[성명],$M194)&amp;"")</f>
        <v/>
      </c>
      <c r="C194">
        <f>IF($M194="","",IF(INDEX(상세표[종료월],$M194)=대상월키,"전월→이번 달","이번 달→익월"))</f>
        <v/>
      </c>
      <c r="D194">
        <f>IF($M194="","",IF(ISNUMBER(INDEX(상세표[시작],$M194)),TEXT(INDEX(상세표[시작],$M194),"yyyy-mm-dd hh:mm"),INDEX(상세표[시작],$M194)&amp;""))</f>
        <v/>
      </c>
      <c r="E194">
        <f>IF($M194="","",IF(ISNUMBER(INDEX(상세표[종료],$M194)),TEXT(INDEX(상세표[종료],$M194),"yyyy-mm-dd hh:mm"),INDEX(상세표[종료],$M194)&amp;""))</f>
        <v/>
      </c>
      <c r="F194">
        <f>IF($M194="","",INDEX(상세표[기록 시간외],$M194))</f>
        <v/>
      </c>
      <c r="G194">
        <f>IF($M194="","",INDEX(상세표[시작월 기관],$M194)&amp;"")</f>
        <v/>
      </c>
      <c r="H194">
        <f>IF($M194="","",INDEX(상세표[종료월 기관],$M194)&amp;"")</f>
        <v/>
      </c>
      <c r="I194">
        <f>IF($M194="","",INDEX(상세표[월경계 판정],$M194)&amp;"")</f>
        <v/>
      </c>
      <c r="J194">
        <f>IF($M194="","",INDEX(상세표[반영월],$M194)&amp;"")</f>
        <v/>
      </c>
      <c r="K194">
        <f>IF($M194="","",INDEX(상세표[반영 기관],$M194)&amp;"")</f>
        <v/>
      </c>
      <c r="L194">
        <f>IF($M194="","",INDEX(상세표[기관 출처],$M194)&amp;"")</f>
        <v/>
      </c>
      <c r="M194" s="4">
        <f>IFERROR(MATCH(189,상세표[경계순번],0),"")</f>
        <v/>
      </c>
    </row>
    <row r="195">
      <c r="A195">
        <f>IF($M195="","",INDEX(상세표[사번],$M195)&amp;"")</f>
        <v/>
      </c>
      <c r="B195">
        <f>IF($M195="","",INDEX(상세표[성명],$M195)&amp;"")</f>
        <v/>
      </c>
      <c r="C195">
        <f>IF($M195="","",IF(INDEX(상세표[종료월],$M195)=대상월키,"전월→이번 달","이번 달→익월"))</f>
        <v/>
      </c>
      <c r="D195">
        <f>IF($M195="","",IF(ISNUMBER(INDEX(상세표[시작],$M195)),TEXT(INDEX(상세표[시작],$M195),"yyyy-mm-dd hh:mm"),INDEX(상세표[시작],$M195)&amp;""))</f>
        <v/>
      </c>
      <c r="E195">
        <f>IF($M195="","",IF(ISNUMBER(INDEX(상세표[종료],$M195)),TEXT(INDEX(상세표[종료],$M195),"yyyy-mm-dd hh:mm"),INDEX(상세표[종료],$M195)&amp;""))</f>
        <v/>
      </c>
      <c r="F195">
        <f>IF($M195="","",INDEX(상세표[기록 시간외],$M195))</f>
        <v/>
      </c>
      <c r="G195">
        <f>IF($M195="","",INDEX(상세표[시작월 기관],$M195)&amp;"")</f>
        <v/>
      </c>
      <c r="H195">
        <f>IF($M195="","",INDEX(상세표[종료월 기관],$M195)&amp;"")</f>
        <v/>
      </c>
      <c r="I195">
        <f>IF($M195="","",INDEX(상세표[월경계 판정],$M195)&amp;"")</f>
        <v/>
      </c>
      <c r="J195">
        <f>IF($M195="","",INDEX(상세표[반영월],$M195)&amp;"")</f>
        <v/>
      </c>
      <c r="K195">
        <f>IF($M195="","",INDEX(상세표[반영 기관],$M195)&amp;"")</f>
        <v/>
      </c>
      <c r="L195">
        <f>IF($M195="","",INDEX(상세표[기관 출처],$M195)&amp;"")</f>
        <v/>
      </c>
      <c r="M195" s="4">
        <f>IFERROR(MATCH(190,상세표[경계순번],0),"")</f>
        <v/>
      </c>
    </row>
    <row r="196">
      <c r="A196">
        <f>IF($M196="","",INDEX(상세표[사번],$M196)&amp;"")</f>
        <v/>
      </c>
      <c r="B196">
        <f>IF($M196="","",INDEX(상세표[성명],$M196)&amp;"")</f>
        <v/>
      </c>
      <c r="C196">
        <f>IF($M196="","",IF(INDEX(상세표[종료월],$M196)=대상월키,"전월→이번 달","이번 달→익월"))</f>
        <v/>
      </c>
      <c r="D196">
        <f>IF($M196="","",IF(ISNUMBER(INDEX(상세표[시작],$M196)),TEXT(INDEX(상세표[시작],$M196),"yyyy-mm-dd hh:mm"),INDEX(상세표[시작],$M196)&amp;""))</f>
        <v/>
      </c>
      <c r="E196">
        <f>IF($M196="","",IF(ISNUMBER(INDEX(상세표[종료],$M196)),TEXT(INDEX(상세표[종료],$M196),"yyyy-mm-dd hh:mm"),INDEX(상세표[종료],$M196)&amp;""))</f>
        <v/>
      </c>
      <c r="F196">
        <f>IF($M196="","",INDEX(상세표[기록 시간외],$M196))</f>
        <v/>
      </c>
      <c r="G196">
        <f>IF($M196="","",INDEX(상세표[시작월 기관],$M196)&amp;"")</f>
        <v/>
      </c>
      <c r="H196">
        <f>IF($M196="","",INDEX(상세표[종료월 기관],$M196)&amp;"")</f>
        <v/>
      </c>
      <c r="I196">
        <f>IF($M196="","",INDEX(상세표[월경계 판정],$M196)&amp;"")</f>
        <v/>
      </c>
      <c r="J196">
        <f>IF($M196="","",INDEX(상세표[반영월],$M196)&amp;"")</f>
        <v/>
      </c>
      <c r="K196">
        <f>IF($M196="","",INDEX(상세표[반영 기관],$M196)&amp;"")</f>
        <v/>
      </c>
      <c r="L196">
        <f>IF($M196="","",INDEX(상세표[기관 출처],$M196)&amp;"")</f>
        <v/>
      </c>
      <c r="M196" s="4">
        <f>IFERROR(MATCH(191,상세표[경계순번],0),"")</f>
        <v/>
      </c>
    </row>
    <row r="197">
      <c r="A197">
        <f>IF($M197="","",INDEX(상세표[사번],$M197)&amp;"")</f>
        <v/>
      </c>
      <c r="B197">
        <f>IF($M197="","",INDEX(상세표[성명],$M197)&amp;"")</f>
        <v/>
      </c>
      <c r="C197">
        <f>IF($M197="","",IF(INDEX(상세표[종료월],$M197)=대상월키,"전월→이번 달","이번 달→익월"))</f>
        <v/>
      </c>
      <c r="D197">
        <f>IF($M197="","",IF(ISNUMBER(INDEX(상세표[시작],$M197)),TEXT(INDEX(상세표[시작],$M197),"yyyy-mm-dd hh:mm"),INDEX(상세표[시작],$M197)&amp;""))</f>
        <v/>
      </c>
      <c r="E197">
        <f>IF($M197="","",IF(ISNUMBER(INDEX(상세표[종료],$M197)),TEXT(INDEX(상세표[종료],$M197),"yyyy-mm-dd hh:mm"),INDEX(상세표[종료],$M197)&amp;""))</f>
        <v/>
      </c>
      <c r="F197">
        <f>IF($M197="","",INDEX(상세표[기록 시간외],$M197))</f>
        <v/>
      </c>
      <c r="G197">
        <f>IF($M197="","",INDEX(상세표[시작월 기관],$M197)&amp;"")</f>
        <v/>
      </c>
      <c r="H197">
        <f>IF($M197="","",INDEX(상세표[종료월 기관],$M197)&amp;"")</f>
        <v/>
      </c>
      <c r="I197">
        <f>IF($M197="","",INDEX(상세표[월경계 판정],$M197)&amp;"")</f>
        <v/>
      </c>
      <c r="J197">
        <f>IF($M197="","",INDEX(상세표[반영월],$M197)&amp;"")</f>
        <v/>
      </c>
      <c r="K197">
        <f>IF($M197="","",INDEX(상세표[반영 기관],$M197)&amp;"")</f>
        <v/>
      </c>
      <c r="L197">
        <f>IF($M197="","",INDEX(상세표[기관 출처],$M197)&amp;"")</f>
        <v/>
      </c>
      <c r="M197" s="4">
        <f>IFERROR(MATCH(192,상세표[경계순번],0),"")</f>
        <v/>
      </c>
    </row>
    <row r="198">
      <c r="A198">
        <f>IF($M198="","",INDEX(상세표[사번],$M198)&amp;"")</f>
        <v/>
      </c>
      <c r="B198">
        <f>IF($M198="","",INDEX(상세표[성명],$M198)&amp;"")</f>
        <v/>
      </c>
      <c r="C198">
        <f>IF($M198="","",IF(INDEX(상세표[종료월],$M198)=대상월키,"전월→이번 달","이번 달→익월"))</f>
        <v/>
      </c>
      <c r="D198">
        <f>IF($M198="","",IF(ISNUMBER(INDEX(상세표[시작],$M198)),TEXT(INDEX(상세표[시작],$M198),"yyyy-mm-dd hh:mm"),INDEX(상세표[시작],$M198)&amp;""))</f>
        <v/>
      </c>
      <c r="E198">
        <f>IF($M198="","",IF(ISNUMBER(INDEX(상세표[종료],$M198)),TEXT(INDEX(상세표[종료],$M198),"yyyy-mm-dd hh:mm"),INDEX(상세표[종료],$M198)&amp;""))</f>
        <v/>
      </c>
      <c r="F198">
        <f>IF($M198="","",INDEX(상세표[기록 시간외],$M198))</f>
        <v/>
      </c>
      <c r="G198">
        <f>IF($M198="","",INDEX(상세표[시작월 기관],$M198)&amp;"")</f>
        <v/>
      </c>
      <c r="H198">
        <f>IF($M198="","",INDEX(상세표[종료월 기관],$M198)&amp;"")</f>
        <v/>
      </c>
      <c r="I198">
        <f>IF($M198="","",INDEX(상세표[월경계 판정],$M198)&amp;"")</f>
        <v/>
      </c>
      <c r="J198">
        <f>IF($M198="","",INDEX(상세표[반영월],$M198)&amp;"")</f>
        <v/>
      </c>
      <c r="K198">
        <f>IF($M198="","",INDEX(상세표[반영 기관],$M198)&amp;"")</f>
        <v/>
      </c>
      <c r="L198">
        <f>IF($M198="","",INDEX(상세표[기관 출처],$M198)&amp;"")</f>
        <v/>
      </c>
      <c r="M198" s="4">
        <f>IFERROR(MATCH(193,상세표[경계순번],0),"")</f>
        <v/>
      </c>
    </row>
    <row r="199">
      <c r="A199">
        <f>IF($M199="","",INDEX(상세표[사번],$M199)&amp;"")</f>
        <v/>
      </c>
      <c r="B199">
        <f>IF($M199="","",INDEX(상세표[성명],$M199)&amp;"")</f>
        <v/>
      </c>
      <c r="C199">
        <f>IF($M199="","",IF(INDEX(상세표[종료월],$M199)=대상월키,"전월→이번 달","이번 달→익월"))</f>
        <v/>
      </c>
      <c r="D199">
        <f>IF($M199="","",IF(ISNUMBER(INDEX(상세표[시작],$M199)),TEXT(INDEX(상세표[시작],$M199),"yyyy-mm-dd hh:mm"),INDEX(상세표[시작],$M199)&amp;""))</f>
        <v/>
      </c>
      <c r="E199">
        <f>IF($M199="","",IF(ISNUMBER(INDEX(상세표[종료],$M199)),TEXT(INDEX(상세표[종료],$M199),"yyyy-mm-dd hh:mm"),INDEX(상세표[종료],$M199)&amp;""))</f>
        <v/>
      </c>
      <c r="F199">
        <f>IF($M199="","",INDEX(상세표[기록 시간외],$M199))</f>
        <v/>
      </c>
      <c r="G199">
        <f>IF($M199="","",INDEX(상세표[시작월 기관],$M199)&amp;"")</f>
        <v/>
      </c>
      <c r="H199">
        <f>IF($M199="","",INDEX(상세표[종료월 기관],$M199)&amp;"")</f>
        <v/>
      </c>
      <c r="I199">
        <f>IF($M199="","",INDEX(상세표[월경계 판정],$M199)&amp;"")</f>
        <v/>
      </c>
      <c r="J199">
        <f>IF($M199="","",INDEX(상세표[반영월],$M199)&amp;"")</f>
        <v/>
      </c>
      <c r="K199">
        <f>IF($M199="","",INDEX(상세표[반영 기관],$M199)&amp;"")</f>
        <v/>
      </c>
      <c r="L199">
        <f>IF($M199="","",INDEX(상세표[기관 출처],$M199)&amp;"")</f>
        <v/>
      </c>
      <c r="M199" s="4">
        <f>IFERROR(MATCH(194,상세표[경계순번],0),"")</f>
        <v/>
      </c>
    </row>
    <row r="200">
      <c r="A200">
        <f>IF($M200="","",INDEX(상세표[사번],$M200)&amp;"")</f>
        <v/>
      </c>
      <c r="B200">
        <f>IF($M200="","",INDEX(상세표[성명],$M200)&amp;"")</f>
        <v/>
      </c>
      <c r="C200">
        <f>IF($M200="","",IF(INDEX(상세표[종료월],$M200)=대상월키,"전월→이번 달","이번 달→익월"))</f>
        <v/>
      </c>
      <c r="D200">
        <f>IF($M200="","",IF(ISNUMBER(INDEX(상세표[시작],$M200)),TEXT(INDEX(상세표[시작],$M200),"yyyy-mm-dd hh:mm"),INDEX(상세표[시작],$M200)&amp;""))</f>
        <v/>
      </c>
      <c r="E200">
        <f>IF($M200="","",IF(ISNUMBER(INDEX(상세표[종료],$M200)),TEXT(INDEX(상세표[종료],$M200),"yyyy-mm-dd hh:mm"),INDEX(상세표[종료],$M200)&amp;""))</f>
        <v/>
      </c>
      <c r="F200">
        <f>IF($M200="","",INDEX(상세표[기록 시간외],$M200))</f>
        <v/>
      </c>
      <c r="G200">
        <f>IF($M200="","",INDEX(상세표[시작월 기관],$M200)&amp;"")</f>
        <v/>
      </c>
      <c r="H200">
        <f>IF($M200="","",INDEX(상세표[종료월 기관],$M200)&amp;"")</f>
        <v/>
      </c>
      <c r="I200">
        <f>IF($M200="","",INDEX(상세표[월경계 판정],$M200)&amp;"")</f>
        <v/>
      </c>
      <c r="J200">
        <f>IF($M200="","",INDEX(상세표[반영월],$M200)&amp;"")</f>
        <v/>
      </c>
      <c r="K200">
        <f>IF($M200="","",INDEX(상세표[반영 기관],$M200)&amp;"")</f>
        <v/>
      </c>
      <c r="L200">
        <f>IF($M200="","",INDEX(상세표[기관 출처],$M200)&amp;"")</f>
        <v/>
      </c>
      <c r="M200" s="4">
        <f>IFERROR(MATCH(195,상세표[경계순번],0),"")</f>
        <v/>
      </c>
    </row>
    <row r="201">
      <c r="A201">
        <f>IF($M201="","",INDEX(상세표[사번],$M201)&amp;"")</f>
        <v/>
      </c>
      <c r="B201">
        <f>IF($M201="","",INDEX(상세표[성명],$M201)&amp;"")</f>
        <v/>
      </c>
      <c r="C201">
        <f>IF($M201="","",IF(INDEX(상세표[종료월],$M201)=대상월키,"전월→이번 달","이번 달→익월"))</f>
        <v/>
      </c>
      <c r="D201">
        <f>IF($M201="","",IF(ISNUMBER(INDEX(상세표[시작],$M201)),TEXT(INDEX(상세표[시작],$M201),"yyyy-mm-dd hh:mm"),INDEX(상세표[시작],$M201)&amp;""))</f>
        <v/>
      </c>
      <c r="E201">
        <f>IF($M201="","",IF(ISNUMBER(INDEX(상세표[종료],$M201)),TEXT(INDEX(상세표[종료],$M201),"yyyy-mm-dd hh:mm"),INDEX(상세표[종료],$M201)&amp;""))</f>
        <v/>
      </c>
      <c r="F201">
        <f>IF($M201="","",INDEX(상세표[기록 시간외],$M201))</f>
        <v/>
      </c>
      <c r="G201">
        <f>IF($M201="","",INDEX(상세표[시작월 기관],$M201)&amp;"")</f>
        <v/>
      </c>
      <c r="H201">
        <f>IF($M201="","",INDEX(상세표[종료월 기관],$M201)&amp;"")</f>
        <v/>
      </c>
      <c r="I201">
        <f>IF($M201="","",INDEX(상세표[월경계 판정],$M201)&amp;"")</f>
        <v/>
      </c>
      <c r="J201">
        <f>IF($M201="","",INDEX(상세표[반영월],$M201)&amp;"")</f>
        <v/>
      </c>
      <c r="K201">
        <f>IF($M201="","",INDEX(상세표[반영 기관],$M201)&amp;"")</f>
        <v/>
      </c>
      <c r="L201">
        <f>IF($M201="","",INDEX(상세표[기관 출처],$M201)&amp;"")</f>
        <v/>
      </c>
      <c r="M201" s="4">
        <f>IFERROR(MATCH(196,상세표[경계순번],0),"")</f>
        <v/>
      </c>
    </row>
    <row r="202">
      <c r="A202">
        <f>IF($M202="","",INDEX(상세표[사번],$M202)&amp;"")</f>
        <v/>
      </c>
      <c r="B202">
        <f>IF($M202="","",INDEX(상세표[성명],$M202)&amp;"")</f>
        <v/>
      </c>
      <c r="C202">
        <f>IF($M202="","",IF(INDEX(상세표[종료월],$M202)=대상월키,"전월→이번 달","이번 달→익월"))</f>
        <v/>
      </c>
      <c r="D202">
        <f>IF($M202="","",IF(ISNUMBER(INDEX(상세표[시작],$M202)),TEXT(INDEX(상세표[시작],$M202),"yyyy-mm-dd hh:mm"),INDEX(상세표[시작],$M202)&amp;""))</f>
        <v/>
      </c>
      <c r="E202">
        <f>IF($M202="","",IF(ISNUMBER(INDEX(상세표[종료],$M202)),TEXT(INDEX(상세표[종료],$M202),"yyyy-mm-dd hh:mm"),INDEX(상세표[종료],$M202)&amp;""))</f>
        <v/>
      </c>
      <c r="F202">
        <f>IF($M202="","",INDEX(상세표[기록 시간외],$M202))</f>
        <v/>
      </c>
      <c r="G202">
        <f>IF($M202="","",INDEX(상세표[시작월 기관],$M202)&amp;"")</f>
        <v/>
      </c>
      <c r="H202">
        <f>IF($M202="","",INDEX(상세표[종료월 기관],$M202)&amp;"")</f>
        <v/>
      </c>
      <c r="I202">
        <f>IF($M202="","",INDEX(상세표[월경계 판정],$M202)&amp;"")</f>
        <v/>
      </c>
      <c r="J202">
        <f>IF($M202="","",INDEX(상세표[반영월],$M202)&amp;"")</f>
        <v/>
      </c>
      <c r="K202">
        <f>IF($M202="","",INDEX(상세표[반영 기관],$M202)&amp;"")</f>
        <v/>
      </c>
      <c r="L202">
        <f>IF($M202="","",INDEX(상세표[기관 출처],$M202)&amp;"")</f>
        <v/>
      </c>
      <c r="M202" s="4">
        <f>IFERROR(MATCH(197,상세표[경계순번],0),"")</f>
        <v/>
      </c>
    </row>
    <row r="203">
      <c r="A203">
        <f>IF($M203="","",INDEX(상세표[사번],$M203)&amp;"")</f>
        <v/>
      </c>
      <c r="B203">
        <f>IF($M203="","",INDEX(상세표[성명],$M203)&amp;"")</f>
        <v/>
      </c>
      <c r="C203">
        <f>IF($M203="","",IF(INDEX(상세표[종료월],$M203)=대상월키,"전월→이번 달","이번 달→익월"))</f>
        <v/>
      </c>
      <c r="D203">
        <f>IF($M203="","",IF(ISNUMBER(INDEX(상세표[시작],$M203)),TEXT(INDEX(상세표[시작],$M203),"yyyy-mm-dd hh:mm"),INDEX(상세표[시작],$M203)&amp;""))</f>
        <v/>
      </c>
      <c r="E203">
        <f>IF($M203="","",IF(ISNUMBER(INDEX(상세표[종료],$M203)),TEXT(INDEX(상세표[종료],$M203),"yyyy-mm-dd hh:mm"),INDEX(상세표[종료],$M203)&amp;""))</f>
        <v/>
      </c>
      <c r="F203">
        <f>IF($M203="","",INDEX(상세표[기록 시간외],$M203))</f>
        <v/>
      </c>
      <c r="G203">
        <f>IF($M203="","",INDEX(상세표[시작월 기관],$M203)&amp;"")</f>
        <v/>
      </c>
      <c r="H203">
        <f>IF($M203="","",INDEX(상세표[종료월 기관],$M203)&amp;"")</f>
        <v/>
      </c>
      <c r="I203">
        <f>IF($M203="","",INDEX(상세표[월경계 판정],$M203)&amp;"")</f>
        <v/>
      </c>
      <c r="J203">
        <f>IF($M203="","",INDEX(상세표[반영월],$M203)&amp;"")</f>
        <v/>
      </c>
      <c r="K203">
        <f>IF($M203="","",INDEX(상세표[반영 기관],$M203)&amp;"")</f>
        <v/>
      </c>
      <c r="L203">
        <f>IF($M203="","",INDEX(상세표[기관 출처],$M203)&amp;"")</f>
        <v/>
      </c>
      <c r="M203" s="4">
        <f>IFERROR(MATCH(198,상세표[경계순번],0),"")</f>
        <v/>
      </c>
    </row>
    <row r="204">
      <c r="A204">
        <f>IF($M204="","",INDEX(상세표[사번],$M204)&amp;"")</f>
        <v/>
      </c>
      <c r="B204">
        <f>IF($M204="","",INDEX(상세표[성명],$M204)&amp;"")</f>
        <v/>
      </c>
      <c r="C204">
        <f>IF($M204="","",IF(INDEX(상세표[종료월],$M204)=대상월키,"전월→이번 달","이번 달→익월"))</f>
        <v/>
      </c>
      <c r="D204">
        <f>IF($M204="","",IF(ISNUMBER(INDEX(상세표[시작],$M204)),TEXT(INDEX(상세표[시작],$M204),"yyyy-mm-dd hh:mm"),INDEX(상세표[시작],$M204)&amp;""))</f>
        <v/>
      </c>
      <c r="E204">
        <f>IF($M204="","",IF(ISNUMBER(INDEX(상세표[종료],$M204)),TEXT(INDEX(상세표[종료],$M204),"yyyy-mm-dd hh:mm"),INDEX(상세표[종료],$M204)&amp;""))</f>
        <v/>
      </c>
      <c r="F204">
        <f>IF($M204="","",INDEX(상세표[기록 시간외],$M204))</f>
        <v/>
      </c>
      <c r="G204">
        <f>IF($M204="","",INDEX(상세표[시작월 기관],$M204)&amp;"")</f>
        <v/>
      </c>
      <c r="H204">
        <f>IF($M204="","",INDEX(상세표[종료월 기관],$M204)&amp;"")</f>
        <v/>
      </c>
      <c r="I204">
        <f>IF($M204="","",INDEX(상세표[월경계 판정],$M204)&amp;"")</f>
        <v/>
      </c>
      <c r="J204">
        <f>IF($M204="","",INDEX(상세표[반영월],$M204)&amp;"")</f>
        <v/>
      </c>
      <c r="K204">
        <f>IF($M204="","",INDEX(상세표[반영 기관],$M204)&amp;"")</f>
        <v/>
      </c>
      <c r="L204">
        <f>IF($M204="","",INDEX(상세표[기관 출처],$M204)&amp;"")</f>
        <v/>
      </c>
      <c r="M204" s="4">
        <f>IFERROR(MATCH(199,상세표[경계순번],0),"")</f>
        <v/>
      </c>
    </row>
    <row r="205">
      <c r="A205">
        <f>IF($M205="","",INDEX(상세표[사번],$M205)&amp;"")</f>
        <v/>
      </c>
      <c r="B205">
        <f>IF($M205="","",INDEX(상세표[성명],$M205)&amp;"")</f>
        <v/>
      </c>
      <c r="C205">
        <f>IF($M205="","",IF(INDEX(상세표[종료월],$M205)=대상월키,"전월→이번 달","이번 달→익월"))</f>
        <v/>
      </c>
      <c r="D205">
        <f>IF($M205="","",IF(ISNUMBER(INDEX(상세표[시작],$M205)),TEXT(INDEX(상세표[시작],$M205),"yyyy-mm-dd hh:mm"),INDEX(상세표[시작],$M205)&amp;""))</f>
        <v/>
      </c>
      <c r="E205">
        <f>IF($M205="","",IF(ISNUMBER(INDEX(상세표[종료],$M205)),TEXT(INDEX(상세표[종료],$M205),"yyyy-mm-dd hh:mm"),INDEX(상세표[종료],$M205)&amp;""))</f>
        <v/>
      </c>
      <c r="F205">
        <f>IF($M205="","",INDEX(상세표[기록 시간외],$M205))</f>
        <v/>
      </c>
      <c r="G205">
        <f>IF($M205="","",INDEX(상세표[시작월 기관],$M205)&amp;"")</f>
        <v/>
      </c>
      <c r="H205">
        <f>IF($M205="","",INDEX(상세표[종료월 기관],$M205)&amp;"")</f>
        <v/>
      </c>
      <c r="I205">
        <f>IF($M205="","",INDEX(상세표[월경계 판정],$M205)&amp;"")</f>
        <v/>
      </c>
      <c r="J205">
        <f>IF($M205="","",INDEX(상세표[반영월],$M205)&amp;"")</f>
        <v/>
      </c>
      <c r="K205">
        <f>IF($M205="","",INDEX(상세표[반영 기관],$M205)&amp;"")</f>
        <v/>
      </c>
      <c r="L205">
        <f>IF($M205="","",INDEX(상세표[기관 출처],$M205)&amp;"")</f>
        <v/>
      </c>
      <c r="M205" s="4">
        <f>IFERROR(MATCH(200,상세표[경계순번],0),"")</f>
        <v/>
      </c>
    </row>
    <row r="206">
      <c r="A206">
        <f>IF($M206="","",INDEX(상세표[사번],$M206)&amp;"")</f>
        <v/>
      </c>
      <c r="B206">
        <f>IF($M206="","",INDEX(상세표[성명],$M206)&amp;"")</f>
        <v/>
      </c>
      <c r="C206">
        <f>IF($M206="","",IF(INDEX(상세표[종료월],$M206)=대상월키,"전월→이번 달","이번 달→익월"))</f>
        <v/>
      </c>
      <c r="D206">
        <f>IF($M206="","",IF(ISNUMBER(INDEX(상세표[시작],$M206)),TEXT(INDEX(상세표[시작],$M206),"yyyy-mm-dd hh:mm"),INDEX(상세표[시작],$M206)&amp;""))</f>
        <v/>
      </c>
      <c r="E206">
        <f>IF($M206="","",IF(ISNUMBER(INDEX(상세표[종료],$M206)),TEXT(INDEX(상세표[종료],$M206),"yyyy-mm-dd hh:mm"),INDEX(상세표[종료],$M206)&amp;""))</f>
        <v/>
      </c>
      <c r="F206">
        <f>IF($M206="","",INDEX(상세표[기록 시간외],$M206))</f>
        <v/>
      </c>
      <c r="G206">
        <f>IF($M206="","",INDEX(상세표[시작월 기관],$M206)&amp;"")</f>
        <v/>
      </c>
      <c r="H206">
        <f>IF($M206="","",INDEX(상세표[종료월 기관],$M206)&amp;"")</f>
        <v/>
      </c>
      <c r="I206">
        <f>IF($M206="","",INDEX(상세표[월경계 판정],$M206)&amp;"")</f>
        <v/>
      </c>
      <c r="J206">
        <f>IF($M206="","",INDEX(상세표[반영월],$M206)&amp;"")</f>
        <v/>
      </c>
      <c r="K206">
        <f>IF($M206="","",INDEX(상세표[반영 기관],$M206)&amp;"")</f>
        <v/>
      </c>
      <c r="L206">
        <f>IF($M206="","",INDEX(상세표[기관 출처],$M206)&amp;"")</f>
        <v/>
      </c>
      <c r="M206" s="4">
        <f>IFERROR(MATCH(201,상세표[경계순번],0),"")</f>
        <v/>
      </c>
    </row>
    <row r="207">
      <c r="A207">
        <f>IF($M207="","",INDEX(상세표[사번],$M207)&amp;"")</f>
        <v/>
      </c>
      <c r="B207">
        <f>IF($M207="","",INDEX(상세표[성명],$M207)&amp;"")</f>
        <v/>
      </c>
      <c r="C207">
        <f>IF($M207="","",IF(INDEX(상세표[종료월],$M207)=대상월키,"전월→이번 달","이번 달→익월"))</f>
        <v/>
      </c>
      <c r="D207">
        <f>IF($M207="","",IF(ISNUMBER(INDEX(상세표[시작],$M207)),TEXT(INDEX(상세표[시작],$M207),"yyyy-mm-dd hh:mm"),INDEX(상세표[시작],$M207)&amp;""))</f>
        <v/>
      </c>
      <c r="E207">
        <f>IF($M207="","",IF(ISNUMBER(INDEX(상세표[종료],$M207)),TEXT(INDEX(상세표[종료],$M207),"yyyy-mm-dd hh:mm"),INDEX(상세표[종료],$M207)&amp;""))</f>
        <v/>
      </c>
      <c r="F207">
        <f>IF($M207="","",INDEX(상세표[기록 시간외],$M207))</f>
        <v/>
      </c>
      <c r="G207">
        <f>IF($M207="","",INDEX(상세표[시작월 기관],$M207)&amp;"")</f>
        <v/>
      </c>
      <c r="H207">
        <f>IF($M207="","",INDEX(상세표[종료월 기관],$M207)&amp;"")</f>
        <v/>
      </c>
      <c r="I207">
        <f>IF($M207="","",INDEX(상세표[월경계 판정],$M207)&amp;"")</f>
        <v/>
      </c>
      <c r="J207">
        <f>IF($M207="","",INDEX(상세표[반영월],$M207)&amp;"")</f>
        <v/>
      </c>
      <c r="K207">
        <f>IF($M207="","",INDEX(상세표[반영 기관],$M207)&amp;"")</f>
        <v/>
      </c>
      <c r="L207">
        <f>IF($M207="","",INDEX(상세표[기관 출처],$M207)&amp;"")</f>
        <v/>
      </c>
      <c r="M207" s="4">
        <f>IFERROR(MATCH(202,상세표[경계순번],0),"")</f>
        <v/>
      </c>
    </row>
    <row r="208">
      <c r="A208">
        <f>IF($M208="","",INDEX(상세표[사번],$M208)&amp;"")</f>
        <v/>
      </c>
      <c r="B208">
        <f>IF($M208="","",INDEX(상세표[성명],$M208)&amp;"")</f>
        <v/>
      </c>
      <c r="C208">
        <f>IF($M208="","",IF(INDEX(상세표[종료월],$M208)=대상월키,"전월→이번 달","이번 달→익월"))</f>
        <v/>
      </c>
      <c r="D208">
        <f>IF($M208="","",IF(ISNUMBER(INDEX(상세표[시작],$M208)),TEXT(INDEX(상세표[시작],$M208),"yyyy-mm-dd hh:mm"),INDEX(상세표[시작],$M208)&amp;""))</f>
        <v/>
      </c>
      <c r="E208">
        <f>IF($M208="","",IF(ISNUMBER(INDEX(상세표[종료],$M208)),TEXT(INDEX(상세표[종료],$M208),"yyyy-mm-dd hh:mm"),INDEX(상세표[종료],$M208)&amp;""))</f>
        <v/>
      </c>
      <c r="F208">
        <f>IF($M208="","",INDEX(상세표[기록 시간외],$M208))</f>
        <v/>
      </c>
      <c r="G208">
        <f>IF($M208="","",INDEX(상세표[시작월 기관],$M208)&amp;"")</f>
        <v/>
      </c>
      <c r="H208">
        <f>IF($M208="","",INDEX(상세표[종료월 기관],$M208)&amp;"")</f>
        <v/>
      </c>
      <c r="I208">
        <f>IF($M208="","",INDEX(상세표[월경계 판정],$M208)&amp;"")</f>
        <v/>
      </c>
      <c r="J208">
        <f>IF($M208="","",INDEX(상세표[반영월],$M208)&amp;"")</f>
        <v/>
      </c>
      <c r="K208">
        <f>IF($M208="","",INDEX(상세표[반영 기관],$M208)&amp;"")</f>
        <v/>
      </c>
      <c r="L208">
        <f>IF($M208="","",INDEX(상세표[기관 출처],$M208)&amp;"")</f>
        <v/>
      </c>
      <c r="M208" s="4">
        <f>IFERROR(MATCH(203,상세표[경계순번],0),"")</f>
        <v/>
      </c>
    </row>
    <row r="209">
      <c r="A209">
        <f>IF($M209="","",INDEX(상세표[사번],$M209)&amp;"")</f>
        <v/>
      </c>
      <c r="B209">
        <f>IF($M209="","",INDEX(상세표[성명],$M209)&amp;"")</f>
        <v/>
      </c>
      <c r="C209">
        <f>IF($M209="","",IF(INDEX(상세표[종료월],$M209)=대상월키,"전월→이번 달","이번 달→익월"))</f>
        <v/>
      </c>
      <c r="D209">
        <f>IF($M209="","",IF(ISNUMBER(INDEX(상세표[시작],$M209)),TEXT(INDEX(상세표[시작],$M209),"yyyy-mm-dd hh:mm"),INDEX(상세표[시작],$M209)&amp;""))</f>
        <v/>
      </c>
      <c r="E209">
        <f>IF($M209="","",IF(ISNUMBER(INDEX(상세표[종료],$M209)),TEXT(INDEX(상세표[종료],$M209),"yyyy-mm-dd hh:mm"),INDEX(상세표[종료],$M209)&amp;""))</f>
        <v/>
      </c>
      <c r="F209">
        <f>IF($M209="","",INDEX(상세표[기록 시간외],$M209))</f>
        <v/>
      </c>
      <c r="G209">
        <f>IF($M209="","",INDEX(상세표[시작월 기관],$M209)&amp;"")</f>
        <v/>
      </c>
      <c r="H209">
        <f>IF($M209="","",INDEX(상세표[종료월 기관],$M209)&amp;"")</f>
        <v/>
      </c>
      <c r="I209">
        <f>IF($M209="","",INDEX(상세표[월경계 판정],$M209)&amp;"")</f>
        <v/>
      </c>
      <c r="J209">
        <f>IF($M209="","",INDEX(상세표[반영월],$M209)&amp;"")</f>
        <v/>
      </c>
      <c r="K209">
        <f>IF($M209="","",INDEX(상세표[반영 기관],$M209)&amp;"")</f>
        <v/>
      </c>
      <c r="L209">
        <f>IF($M209="","",INDEX(상세표[기관 출처],$M209)&amp;"")</f>
        <v/>
      </c>
      <c r="M209" s="4">
        <f>IFERROR(MATCH(204,상세표[경계순번],0),"")</f>
        <v/>
      </c>
    </row>
    <row r="210">
      <c r="A210">
        <f>IF($M210="","",INDEX(상세표[사번],$M210)&amp;"")</f>
        <v/>
      </c>
      <c r="B210">
        <f>IF($M210="","",INDEX(상세표[성명],$M210)&amp;"")</f>
        <v/>
      </c>
      <c r="C210">
        <f>IF($M210="","",IF(INDEX(상세표[종료월],$M210)=대상월키,"전월→이번 달","이번 달→익월"))</f>
        <v/>
      </c>
      <c r="D210">
        <f>IF($M210="","",IF(ISNUMBER(INDEX(상세표[시작],$M210)),TEXT(INDEX(상세표[시작],$M210),"yyyy-mm-dd hh:mm"),INDEX(상세표[시작],$M210)&amp;""))</f>
        <v/>
      </c>
      <c r="E210">
        <f>IF($M210="","",IF(ISNUMBER(INDEX(상세표[종료],$M210)),TEXT(INDEX(상세표[종료],$M210),"yyyy-mm-dd hh:mm"),INDEX(상세표[종료],$M210)&amp;""))</f>
        <v/>
      </c>
      <c r="F210">
        <f>IF($M210="","",INDEX(상세표[기록 시간외],$M210))</f>
        <v/>
      </c>
      <c r="G210">
        <f>IF($M210="","",INDEX(상세표[시작월 기관],$M210)&amp;"")</f>
        <v/>
      </c>
      <c r="H210">
        <f>IF($M210="","",INDEX(상세표[종료월 기관],$M210)&amp;"")</f>
        <v/>
      </c>
      <c r="I210">
        <f>IF($M210="","",INDEX(상세표[월경계 판정],$M210)&amp;"")</f>
        <v/>
      </c>
      <c r="J210">
        <f>IF($M210="","",INDEX(상세표[반영월],$M210)&amp;"")</f>
        <v/>
      </c>
      <c r="K210">
        <f>IF($M210="","",INDEX(상세표[반영 기관],$M210)&amp;"")</f>
        <v/>
      </c>
      <c r="L210">
        <f>IF($M210="","",INDEX(상세표[기관 출처],$M210)&amp;"")</f>
        <v/>
      </c>
      <c r="M210" s="4">
        <f>IFERROR(MATCH(205,상세표[경계순번],0),"")</f>
        <v/>
      </c>
    </row>
    <row r="211">
      <c r="A211">
        <f>IF($M211="","",INDEX(상세표[사번],$M211)&amp;"")</f>
        <v/>
      </c>
      <c r="B211">
        <f>IF($M211="","",INDEX(상세표[성명],$M211)&amp;"")</f>
        <v/>
      </c>
      <c r="C211">
        <f>IF($M211="","",IF(INDEX(상세표[종료월],$M211)=대상월키,"전월→이번 달","이번 달→익월"))</f>
        <v/>
      </c>
      <c r="D211">
        <f>IF($M211="","",IF(ISNUMBER(INDEX(상세표[시작],$M211)),TEXT(INDEX(상세표[시작],$M211),"yyyy-mm-dd hh:mm"),INDEX(상세표[시작],$M211)&amp;""))</f>
        <v/>
      </c>
      <c r="E211">
        <f>IF($M211="","",IF(ISNUMBER(INDEX(상세표[종료],$M211)),TEXT(INDEX(상세표[종료],$M211),"yyyy-mm-dd hh:mm"),INDEX(상세표[종료],$M211)&amp;""))</f>
        <v/>
      </c>
      <c r="F211">
        <f>IF($M211="","",INDEX(상세표[기록 시간외],$M211))</f>
        <v/>
      </c>
      <c r="G211">
        <f>IF($M211="","",INDEX(상세표[시작월 기관],$M211)&amp;"")</f>
        <v/>
      </c>
      <c r="H211">
        <f>IF($M211="","",INDEX(상세표[종료월 기관],$M211)&amp;"")</f>
        <v/>
      </c>
      <c r="I211">
        <f>IF($M211="","",INDEX(상세표[월경계 판정],$M211)&amp;"")</f>
        <v/>
      </c>
      <c r="J211">
        <f>IF($M211="","",INDEX(상세표[반영월],$M211)&amp;"")</f>
        <v/>
      </c>
      <c r="K211">
        <f>IF($M211="","",INDEX(상세표[반영 기관],$M211)&amp;"")</f>
        <v/>
      </c>
      <c r="L211">
        <f>IF($M211="","",INDEX(상세표[기관 출처],$M211)&amp;"")</f>
        <v/>
      </c>
      <c r="M211" s="4">
        <f>IFERROR(MATCH(206,상세표[경계순번],0),"")</f>
        <v/>
      </c>
    </row>
    <row r="212">
      <c r="A212">
        <f>IF($M212="","",INDEX(상세표[사번],$M212)&amp;"")</f>
        <v/>
      </c>
      <c r="B212">
        <f>IF($M212="","",INDEX(상세표[성명],$M212)&amp;"")</f>
        <v/>
      </c>
      <c r="C212">
        <f>IF($M212="","",IF(INDEX(상세표[종료월],$M212)=대상월키,"전월→이번 달","이번 달→익월"))</f>
        <v/>
      </c>
      <c r="D212">
        <f>IF($M212="","",IF(ISNUMBER(INDEX(상세표[시작],$M212)),TEXT(INDEX(상세표[시작],$M212),"yyyy-mm-dd hh:mm"),INDEX(상세표[시작],$M212)&amp;""))</f>
        <v/>
      </c>
      <c r="E212">
        <f>IF($M212="","",IF(ISNUMBER(INDEX(상세표[종료],$M212)),TEXT(INDEX(상세표[종료],$M212),"yyyy-mm-dd hh:mm"),INDEX(상세표[종료],$M212)&amp;""))</f>
        <v/>
      </c>
      <c r="F212">
        <f>IF($M212="","",INDEX(상세표[기록 시간외],$M212))</f>
        <v/>
      </c>
      <c r="G212">
        <f>IF($M212="","",INDEX(상세표[시작월 기관],$M212)&amp;"")</f>
        <v/>
      </c>
      <c r="H212">
        <f>IF($M212="","",INDEX(상세표[종료월 기관],$M212)&amp;"")</f>
        <v/>
      </c>
      <c r="I212">
        <f>IF($M212="","",INDEX(상세표[월경계 판정],$M212)&amp;"")</f>
        <v/>
      </c>
      <c r="J212">
        <f>IF($M212="","",INDEX(상세표[반영월],$M212)&amp;"")</f>
        <v/>
      </c>
      <c r="K212">
        <f>IF($M212="","",INDEX(상세표[반영 기관],$M212)&amp;"")</f>
        <v/>
      </c>
      <c r="L212">
        <f>IF($M212="","",INDEX(상세표[기관 출처],$M212)&amp;"")</f>
        <v/>
      </c>
      <c r="M212" s="4">
        <f>IFERROR(MATCH(207,상세표[경계순번],0),"")</f>
        <v/>
      </c>
    </row>
    <row r="213">
      <c r="A213">
        <f>IF($M213="","",INDEX(상세표[사번],$M213)&amp;"")</f>
        <v/>
      </c>
      <c r="B213">
        <f>IF($M213="","",INDEX(상세표[성명],$M213)&amp;"")</f>
        <v/>
      </c>
      <c r="C213">
        <f>IF($M213="","",IF(INDEX(상세표[종료월],$M213)=대상월키,"전월→이번 달","이번 달→익월"))</f>
        <v/>
      </c>
      <c r="D213">
        <f>IF($M213="","",IF(ISNUMBER(INDEX(상세표[시작],$M213)),TEXT(INDEX(상세표[시작],$M213),"yyyy-mm-dd hh:mm"),INDEX(상세표[시작],$M213)&amp;""))</f>
        <v/>
      </c>
      <c r="E213">
        <f>IF($M213="","",IF(ISNUMBER(INDEX(상세표[종료],$M213)),TEXT(INDEX(상세표[종료],$M213),"yyyy-mm-dd hh:mm"),INDEX(상세표[종료],$M213)&amp;""))</f>
        <v/>
      </c>
      <c r="F213">
        <f>IF($M213="","",INDEX(상세표[기록 시간외],$M213))</f>
        <v/>
      </c>
      <c r="G213">
        <f>IF($M213="","",INDEX(상세표[시작월 기관],$M213)&amp;"")</f>
        <v/>
      </c>
      <c r="H213">
        <f>IF($M213="","",INDEX(상세표[종료월 기관],$M213)&amp;"")</f>
        <v/>
      </c>
      <c r="I213">
        <f>IF($M213="","",INDEX(상세표[월경계 판정],$M213)&amp;"")</f>
        <v/>
      </c>
      <c r="J213">
        <f>IF($M213="","",INDEX(상세표[반영월],$M213)&amp;"")</f>
        <v/>
      </c>
      <c r="K213">
        <f>IF($M213="","",INDEX(상세표[반영 기관],$M213)&amp;"")</f>
        <v/>
      </c>
      <c r="L213">
        <f>IF($M213="","",INDEX(상세표[기관 출처],$M213)&amp;"")</f>
        <v/>
      </c>
      <c r="M213" s="4">
        <f>IFERROR(MATCH(208,상세표[경계순번],0),"")</f>
        <v/>
      </c>
    </row>
    <row r="214">
      <c r="A214">
        <f>IF($M214="","",INDEX(상세표[사번],$M214)&amp;"")</f>
        <v/>
      </c>
      <c r="B214">
        <f>IF($M214="","",INDEX(상세표[성명],$M214)&amp;"")</f>
        <v/>
      </c>
      <c r="C214">
        <f>IF($M214="","",IF(INDEX(상세표[종료월],$M214)=대상월키,"전월→이번 달","이번 달→익월"))</f>
        <v/>
      </c>
      <c r="D214">
        <f>IF($M214="","",IF(ISNUMBER(INDEX(상세표[시작],$M214)),TEXT(INDEX(상세표[시작],$M214),"yyyy-mm-dd hh:mm"),INDEX(상세표[시작],$M214)&amp;""))</f>
        <v/>
      </c>
      <c r="E214">
        <f>IF($M214="","",IF(ISNUMBER(INDEX(상세표[종료],$M214)),TEXT(INDEX(상세표[종료],$M214),"yyyy-mm-dd hh:mm"),INDEX(상세표[종료],$M214)&amp;""))</f>
        <v/>
      </c>
      <c r="F214">
        <f>IF($M214="","",INDEX(상세표[기록 시간외],$M214))</f>
        <v/>
      </c>
      <c r="G214">
        <f>IF($M214="","",INDEX(상세표[시작월 기관],$M214)&amp;"")</f>
        <v/>
      </c>
      <c r="H214">
        <f>IF($M214="","",INDEX(상세표[종료월 기관],$M214)&amp;"")</f>
        <v/>
      </c>
      <c r="I214">
        <f>IF($M214="","",INDEX(상세표[월경계 판정],$M214)&amp;"")</f>
        <v/>
      </c>
      <c r="J214">
        <f>IF($M214="","",INDEX(상세표[반영월],$M214)&amp;"")</f>
        <v/>
      </c>
      <c r="K214">
        <f>IF($M214="","",INDEX(상세표[반영 기관],$M214)&amp;"")</f>
        <v/>
      </c>
      <c r="L214">
        <f>IF($M214="","",INDEX(상세표[기관 출처],$M214)&amp;"")</f>
        <v/>
      </c>
      <c r="M214" s="4">
        <f>IFERROR(MATCH(209,상세표[경계순번],0),"")</f>
        <v/>
      </c>
    </row>
    <row r="215">
      <c r="A215">
        <f>IF($M215="","",INDEX(상세표[사번],$M215)&amp;"")</f>
        <v/>
      </c>
      <c r="B215">
        <f>IF($M215="","",INDEX(상세표[성명],$M215)&amp;"")</f>
        <v/>
      </c>
      <c r="C215">
        <f>IF($M215="","",IF(INDEX(상세표[종료월],$M215)=대상월키,"전월→이번 달","이번 달→익월"))</f>
        <v/>
      </c>
      <c r="D215">
        <f>IF($M215="","",IF(ISNUMBER(INDEX(상세표[시작],$M215)),TEXT(INDEX(상세표[시작],$M215),"yyyy-mm-dd hh:mm"),INDEX(상세표[시작],$M215)&amp;""))</f>
        <v/>
      </c>
      <c r="E215">
        <f>IF($M215="","",IF(ISNUMBER(INDEX(상세표[종료],$M215)),TEXT(INDEX(상세표[종료],$M215),"yyyy-mm-dd hh:mm"),INDEX(상세표[종료],$M215)&amp;""))</f>
        <v/>
      </c>
      <c r="F215">
        <f>IF($M215="","",INDEX(상세표[기록 시간외],$M215))</f>
        <v/>
      </c>
      <c r="G215">
        <f>IF($M215="","",INDEX(상세표[시작월 기관],$M215)&amp;"")</f>
        <v/>
      </c>
      <c r="H215">
        <f>IF($M215="","",INDEX(상세표[종료월 기관],$M215)&amp;"")</f>
        <v/>
      </c>
      <c r="I215">
        <f>IF($M215="","",INDEX(상세표[월경계 판정],$M215)&amp;"")</f>
        <v/>
      </c>
      <c r="J215">
        <f>IF($M215="","",INDEX(상세표[반영월],$M215)&amp;"")</f>
        <v/>
      </c>
      <c r="K215">
        <f>IF($M215="","",INDEX(상세표[반영 기관],$M215)&amp;"")</f>
        <v/>
      </c>
      <c r="L215">
        <f>IF($M215="","",INDEX(상세표[기관 출처],$M215)&amp;"")</f>
        <v/>
      </c>
      <c r="M215" s="4">
        <f>IFERROR(MATCH(210,상세표[경계순번],0),"")</f>
        <v/>
      </c>
    </row>
    <row r="216">
      <c r="A216">
        <f>IF($M216="","",INDEX(상세표[사번],$M216)&amp;"")</f>
        <v/>
      </c>
      <c r="B216">
        <f>IF($M216="","",INDEX(상세표[성명],$M216)&amp;"")</f>
        <v/>
      </c>
      <c r="C216">
        <f>IF($M216="","",IF(INDEX(상세표[종료월],$M216)=대상월키,"전월→이번 달","이번 달→익월"))</f>
        <v/>
      </c>
      <c r="D216">
        <f>IF($M216="","",IF(ISNUMBER(INDEX(상세표[시작],$M216)),TEXT(INDEX(상세표[시작],$M216),"yyyy-mm-dd hh:mm"),INDEX(상세표[시작],$M216)&amp;""))</f>
        <v/>
      </c>
      <c r="E216">
        <f>IF($M216="","",IF(ISNUMBER(INDEX(상세표[종료],$M216)),TEXT(INDEX(상세표[종료],$M216),"yyyy-mm-dd hh:mm"),INDEX(상세표[종료],$M216)&amp;""))</f>
        <v/>
      </c>
      <c r="F216">
        <f>IF($M216="","",INDEX(상세표[기록 시간외],$M216))</f>
        <v/>
      </c>
      <c r="G216">
        <f>IF($M216="","",INDEX(상세표[시작월 기관],$M216)&amp;"")</f>
        <v/>
      </c>
      <c r="H216">
        <f>IF($M216="","",INDEX(상세표[종료월 기관],$M216)&amp;"")</f>
        <v/>
      </c>
      <c r="I216">
        <f>IF($M216="","",INDEX(상세표[월경계 판정],$M216)&amp;"")</f>
        <v/>
      </c>
      <c r="J216">
        <f>IF($M216="","",INDEX(상세표[반영월],$M216)&amp;"")</f>
        <v/>
      </c>
      <c r="K216">
        <f>IF($M216="","",INDEX(상세표[반영 기관],$M216)&amp;"")</f>
        <v/>
      </c>
      <c r="L216">
        <f>IF($M216="","",INDEX(상세표[기관 출처],$M216)&amp;"")</f>
        <v/>
      </c>
      <c r="M216" s="4">
        <f>IFERROR(MATCH(211,상세표[경계순번],0),"")</f>
        <v/>
      </c>
    </row>
    <row r="217">
      <c r="A217">
        <f>IF($M217="","",INDEX(상세표[사번],$M217)&amp;"")</f>
        <v/>
      </c>
      <c r="B217">
        <f>IF($M217="","",INDEX(상세표[성명],$M217)&amp;"")</f>
        <v/>
      </c>
      <c r="C217">
        <f>IF($M217="","",IF(INDEX(상세표[종료월],$M217)=대상월키,"전월→이번 달","이번 달→익월"))</f>
        <v/>
      </c>
      <c r="D217">
        <f>IF($M217="","",IF(ISNUMBER(INDEX(상세표[시작],$M217)),TEXT(INDEX(상세표[시작],$M217),"yyyy-mm-dd hh:mm"),INDEX(상세표[시작],$M217)&amp;""))</f>
        <v/>
      </c>
      <c r="E217">
        <f>IF($M217="","",IF(ISNUMBER(INDEX(상세표[종료],$M217)),TEXT(INDEX(상세표[종료],$M217),"yyyy-mm-dd hh:mm"),INDEX(상세표[종료],$M217)&amp;""))</f>
        <v/>
      </c>
      <c r="F217">
        <f>IF($M217="","",INDEX(상세표[기록 시간외],$M217))</f>
        <v/>
      </c>
      <c r="G217">
        <f>IF($M217="","",INDEX(상세표[시작월 기관],$M217)&amp;"")</f>
        <v/>
      </c>
      <c r="H217">
        <f>IF($M217="","",INDEX(상세표[종료월 기관],$M217)&amp;"")</f>
        <v/>
      </c>
      <c r="I217">
        <f>IF($M217="","",INDEX(상세표[월경계 판정],$M217)&amp;"")</f>
        <v/>
      </c>
      <c r="J217">
        <f>IF($M217="","",INDEX(상세표[반영월],$M217)&amp;"")</f>
        <v/>
      </c>
      <c r="K217">
        <f>IF($M217="","",INDEX(상세표[반영 기관],$M217)&amp;"")</f>
        <v/>
      </c>
      <c r="L217">
        <f>IF($M217="","",INDEX(상세표[기관 출처],$M217)&amp;"")</f>
        <v/>
      </c>
      <c r="M217" s="4">
        <f>IFERROR(MATCH(212,상세표[경계순번],0),"")</f>
        <v/>
      </c>
    </row>
    <row r="218">
      <c r="A218">
        <f>IF($M218="","",INDEX(상세표[사번],$M218)&amp;"")</f>
        <v/>
      </c>
      <c r="B218">
        <f>IF($M218="","",INDEX(상세표[성명],$M218)&amp;"")</f>
        <v/>
      </c>
      <c r="C218">
        <f>IF($M218="","",IF(INDEX(상세표[종료월],$M218)=대상월키,"전월→이번 달","이번 달→익월"))</f>
        <v/>
      </c>
      <c r="D218">
        <f>IF($M218="","",IF(ISNUMBER(INDEX(상세표[시작],$M218)),TEXT(INDEX(상세표[시작],$M218),"yyyy-mm-dd hh:mm"),INDEX(상세표[시작],$M218)&amp;""))</f>
        <v/>
      </c>
      <c r="E218">
        <f>IF($M218="","",IF(ISNUMBER(INDEX(상세표[종료],$M218)),TEXT(INDEX(상세표[종료],$M218),"yyyy-mm-dd hh:mm"),INDEX(상세표[종료],$M218)&amp;""))</f>
        <v/>
      </c>
      <c r="F218">
        <f>IF($M218="","",INDEX(상세표[기록 시간외],$M218))</f>
        <v/>
      </c>
      <c r="G218">
        <f>IF($M218="","",INDEX(상세표[시작월 기관],$M218)&amp;"")</f>
        <v/>
      </c>
      <c r="H218">
        <f>IF($M218="","",INDEX(상세표[종료월 기관],$M218)&amp;"")</f>
        <v/>
      </c>
      <c r="I218">
        <f>IF($M218="","",INDEX(상세표[월경계 판정],$M218)&amp;"")</f>
        <v/>
      </c>
      <c r="J218">
        <f>IF($M218="","",INDEX(상세표[반영월],$M218)&amp;"")</f>
        <v/>
      </c>
      <c r="K218">
        <f>IF($M218="","",INDEX(상세표[반영 기관],$M218)&amp;"")</f>
        <v/>
      </c>
      <c r="L218">
        <f>IF($M218="","",INDEX(상세표[기관 출처],$M218)&amp;"")</f>
        <v/>
      </c>
      <c r="M218" s="4">
        <f>IFERROR(MATCH(213,상세표[경계순번],0),"")</f>
        <v/>
      </c>
    </row>
    <row r="219">
      <c r="A219">
        <f>IF($M219="","",INDEX(상세표[사번],$M219)&amp;"")</f>
        <v/>
      </c>
      <c r="B219">
        <f>IF($M219="","",INDEX(상세표[성명],$M219)&amp;"")</f>
        <v/>
      </c>
      <c r="C219">
        <f>IF($M219="","",IF(INDEX(상세표[종료월],$M219)=대상월키,"전월→이번 달","이번 달→익월"))</f>
        <v/>
      </c>
      <c r="D219">
        <f>IF($M219="","",IF(ISNUMBER(INDEX(상세표[시작],$M219)),TEXT(INDEX(상세표[시작],$M219),"yyyy-mm-dd hh:mm"),INDEX(상세표[시작],$M219)&amp;""))</f>
        <v/>
      </c>
      <c r="E219">
        <f>IF($M219="","",IF(ISNUMBER(INDEX(상세표[종료],$M219)),TEXT(INDEX(상세표[종료],$M219),"yyyy-mm-dd hh:mm"),INDEX(상세표[종료],$M219)&amp;""))</f>
        <v/>
      </c>
      <c r="F219">
        <f>IF($M219="","",INDEX(상세표[기록 시간외],$M219))</f>
        <v/>
      </c>
      <c r="G219">
        <f>IF($M219="","",INDEX(상세표[시작월 기관],$M219)&amp;"")</f>
        <v/>
      </c>
      <c r="H219">
        <f>IF($M219="","",INDEX(상세표[종료월 기관],$M219)&amp;"")</f>
        <v/>
      </c>
      <c r="I219">
        <f>IF($M219="","",INDEX(상세표[월경계 판정],$M219)&amp;"")</f>
        <v/>
      </c>
      <c r="J219">
        <f>IF($M219="","",INDEX(상세표[반영월],$M219)&amp;"")</f>
        <v/>
      </c>
      <c r="K219">
        <f>IF($M219="","",INDEX(상세표[반영 기관],$M219)&amp;"")</f>
        <v/>
      </c>
      <c r="L219">
        <f>IF($M219="","",INDEX(상세표[기관 출처],$M219)&amp;"")</f>
        <v/>
      </c>
      <c r="M219" s="4">
        <f>IFERROR(MATCH(214,상세표[경계순번],0),"")</f>
        <v/>
      </c>
    </row>
    <row r="220">
      <c r="A220">
        <f>IF($M220="","",INDEX(상세표[사번],$M220)&amp;"")</f>
        <v/>
      </c>
      <c r="B220">
        <f>IF($M220="","",INDEX(상세표[성명],$M220)&amp;"")</f>
        <v/>
      </c>
      <c r="C220">
        <f>IF($M220="","",IF(INDEX(상세표[종료월],$M220)=대상월키,"전월→이번 달","이번 달→익월"))</f>
        <v/>
      </c>
      <c r="D220">
        <f>IF($M220="","",IF(ISNUMBER(INDEX(상세표[시작],$M220)),TEXT(INDEX(상세표[시작],$M220),"yyyy-mm-dd hh:mm"),INDEX(상세표[시작],$M220)&amp;""))</f>
        <v/>
      </c>
      <c r="E220">
        <f>IF($M220="","",IF(ISNUMBER(INDEX(상세표[종료],$M220)),TEXT(INDEX(상세표[종료],$M220),"yyyy-mm-dd hh:mm"),INDEX(상세표[종료],$M220)&amp;""))</f>
        <v/>
      </c>
      <c r="F220">
        <f>IF($M220="","",INDEX(상세표[기록 시간외],$M220))</f>
        <v/>
      </c>
      <c r="G220">
        <f>IF($M220="","",INDEX(상세표[시작월 기관],$M220)&amp;"")</f>
        <v/>
      </c>
      <c r="H220">
        <f>IF($M220="","",INDEX(상세표[종료월 기관],$M220)&amp;"")</f>
        <v/>
      </c>
      <c r="I220">
        <f>IF($M220="","",INDEX(상세표[월경계 판정],$M220)&amp;"")</f>
        <v/>
      </c>
      <c r="J220">
        <f>IF($M220="","",INDEX(상세표[반영월],$M220)&amp;"")</f>
        <v/>
      </c>
      <c r="K220">
        <f>IF($M220="","",INDEX(상세표[반영 기관],$M220)&amp;"")</f>
        <v/>
      </c>
      <c r="L220">
        <f>IF($M220="","",INDEX(상세표[기관 출처],$M220)&amp;"")</f>
        <v/>
      </c>
      <c r="M220" s="4">
        <f>IFERROR(MATCH(215,상세표[경계순번],0),"")</f>
        <v/>
      </c>
    </row>
    <row r="221">
      <c r="A221">
        <f>IF($M221="","",INDEX(상세표[사번],$M221)&amp;"")</f>
        <v/>
      </c>
      <c r="B221">
        <f>IF($M221="","",INDEX(상세표[성명],$M221)&amp;"")</f>
        <v/>
      </c>
      <c r="C221">
        <f>IF($M221="","",IF(INDEX(상세표[종료월],$M221)=대상월키,"전월→이번 달","이번 달→익월"))</f>
        <v/>
      </c>
      <c r="D221">
        <f>IF($M221="","",IF(ISNUMBER(INDEX(상세표[시작],$M221)),TEXT(INDEX(상세표[시작],$M221),"yyyy-mm-dd hh:mm"),INDEX(상세표[시작],$M221)&amp;""))</f>
        <v/>
      </c>
      <c r="E221">
        <f>IF($M221="","",IF(ISNUMBER(INDEX(상세표[종료],$M221)),TEXT(INDEX(상세표[종료],$M221),"yyyy-mm-dd hh:mm"),INDEX(상세표[종료],$M221)&amp;""))</f>
        <v/>
      </c>
      <c r="F221">
        <f>IF($M221="","",INDEX(상세표[기록 시간외],$M221))</f>
        <v/>
      </c>
      <c r="G221">
        <f>IF($M221="","",INDEX(상세표[시작월 기관],$M221)&amp;"")</f>
        <v/>
      </c>
      <c r="H221">
        <f>IF($M221="","",INDEX(상세표[종료월 기관],$M221)&amp;"")</f>
        <v/>
      </c>
      <c r="I221">
        <f>IF($M221="","",INDEX(상세표[월경계 판정],$M221)&amp;"")</f>
        <v/>
      </c>
      <c r="J221">
        <f>IF($M221="","",INDEX(상세표[반영월],$M221)&amp;"")</f>
        <v/>
      </c>
      <c r="K221">
        <f>IF($M221="","",INDEX(상세표[반영 기관],$M221)&amp;"")</f>
        <v/>
      </c>
      <c r="L221">
        <f>IF($M221="","",INDEX(상세표[기관 출처],$M221)&amp;"")</f>
        <v/>
      </c>
      <c r="M221" s="4">
        <f>IFERROR(MATCH(216,상세표[경계순번],0),"")</f>
        <v/>
      </c>
    </row>
    <row r="222">
      <c r="A222">
        <f>IF($M222="","",INDEX(상세표[사번],$M222)&amp;"")</f>
        <v/>
      </c>
      <c r="B222">
        <f>IF($M222="","",INDEX(상세표[성명],$M222)&amp;"")</f>
        <v/>
      </c>
      <c r="C222">
        <f>IF($M222="","",IF(INDEX(상세표[종료월],$M222)=대상월키,"전월→이번 달","이번 달→익월"))</f>
        <v/>
      </c>
      <c r="D222">
        <f>IF($M222="","",IF(ISNUMBER(INDEX(상세표[시작],$M222)),TEXT(INDEX(상세표[시작],$M222),"yyyy-mm-dd hh:mm"),INDEX(상세표[시작],$M222)&amp;""))</f>
        <v/>
      </c>
      <c r="E222">
        <f>IF($M222="","",IF(ISNUMBER(INDEX(상세표[종료],$M222)),TEXT(INDEX(상세표[종료],$M222),"yyyy-mm-dd hh:mm"),INDEX(상세표[종료],$M222)&amp;""))</f>
        <v/>
      </c>
      <c r="F222">
        <f>IF($M222="","",INDEX(상세표[기록 시간외],$M222))</f>
        <v/>
      </c>
      <c r="G222">
        <f>IF($M222="","",INDEX(상세표[시작월 기관],$M222)&amp;"")</f>
        <v/>
      </c>
      <c r="H222">
        <f>IF($M222="","",INDEX(상세표[종료월 기관],$M222)&amp;"")</f>
        <v/>
      </c>
      <c r="I222">
        <f>IF($M222="","",INDEX(상세표[월경계 판정],$M222)&amp;"")</f>
        <v/>
      </c>
      <c r="J222">
        <f>IF($M222="","",INDEX(상세표[반영월],$M222)&amp;"")</f>
        <v/>
      </c>
      <c r="K222">
        <f>IF($M222="","",INDEX(상세표[반영 기관],$M222)&amp;"")</f>
        <v/>
      </c>
      <c r="L222">
        <f>IF($M222="","",INDEX(상세표[기관 출처],$M222)&amp;"")</f>
        <v/>
      </c>
      <c r="M222" s="4">
        <f>IFERROR(MATCH(217,상세표[경계순번],0),"")</f>
        <v/>
      </c>
    </row>
    <row r="223">
      <c r="A223">
        <f>IF($M223="","",INDEX(상세표[사번],$M223)&amp;"")</f>
        <v/>
      </c>
      <c r="B223">
        <f>IF($M223="","",INDEX(상세표[성명],$M223)&amp;"")</f>
        <v/>
      </c>
      <c r="C223">
        <f>IF($M223="","",IF(INDEX(상세표[종료월],$M223)=대상월키,"전월→이번 달","이번 달→익월"))</f>
        <v/>
      </c>
      <c r="D223">
        <f>IF($M223="","",IF(ISNUMBER(INDEX(상세표[시작],$M223)),TEXT(INDEX(상세표[시작],$M223),"yyyy-mm-dd hh:mm"),INDEX(상세표[시작],$M223)&amp;""))</f>
        <v/>
      </c>
      <c r="E223">
        <f>IF($M223="","",IF(ISNUMBER(INDEX(상세표[종료],$M223)),TEXT(INDEX(상세표[종료],$M223),"yyyy-mm-dd hh:mm"),INDEX(상세표[종료],$M223)&amp;""))</f>
        <v/>
      </c>
      <c r="F223">
        <f>IF($M223="","",INDEX(상세표[기록 시간외],$M223))</f>
        <v/>
      </c>
      <c r="G223">
        <f>IF($M223="","",INDEX(상세표[시작월 기관],$M223)&amp;"")</f>
        <v/>
      </c>
      <c r="H223">
        <f>IF($M223="","",INDEX(상세표[종료월 기관],$M223)&amp;"")</f>
        <v/>
      </c>
      <c r="I223">
        <f>IF($M223="","",INDEX(상세표[월경계 판정],$M223)&amp;"")</f>
        <v/>
      </c>
      <c r="J223">
        <f>IF($M223="","",INDEX(상세표[반영월],$M223)&amp;"")</f>
        <v/>
      </c>
      <c r="K223">
        <f>IF($M223="","",INDEX(상세표[반영 기관],$M223)&amp;"")</f>
        <v/>
      </c>
      <c r="L223">
        <f>IF($M223="","",INDEX(상세표[기관 출처],$M223)&amp;"")</f>
        <v/>
      </c>
      <c r="M223" s="4">
        <f>IFERROR(MATCH(218,상세표[경계순번],0),"")</f>
        <v/>
      </c>
    </row>
    <row r="224">
      <c r="A224">
        <f>IF($M224="","",INDEX(상세표[사번],$M224)&amp;"")</f>
        <v/>
      </c>
      <c r="B224">
        <f>IF($M224="","",INDEX(상세표[성명],$M224)&amp;"")</f>
        <v/>
      </c>
      <c r="C224">
        <f>IF($M224="","",IF(INDEX(상세표[종료월],$M224)=대상월키,"전월→이번 달","이번 달→익월"))</f>
        <v/>
      </c>
      <c r="D224">
        <f>IF($M224="","",IF(ISNUMBER(INDEX(상세표[시작],$M224)),TEXT(INDEX(상세표[시작],$M224),"yyyy-mm-dd hh:mm"),INDEX(상세표[시작],$M224)&amp;""))</f>
        <v/>
      </c>
      <c r="E224">
        <f>IF($M224="","",IF(ISNUMBER(INDEX(상세표[종료],$M224)),TEXT(INDEX(상세표[종료],$M224),"yyyy-mm-dd hh:mm"),INDEX(상세표[종료],$M224)&amp;""))</f>
        <v/>
      </c>
      <c r="F224">
        <f>IF($M224="","",INDEX(상세표[기록 시간외],$M224))</f>
        <v/>
      </c>
      <c r="G224">
        <f>IF($M224="","",INDEX(상세표[시작월 기관],$M224)&amp;"")</f>
        <v/>
      </c>
      <c r="H224">
        <f>IF($M224="","",INDEX(상세표[종료월 기관],$M224)&amp;"")</f>
        <v/>
      </c>
      <c r="I224">
        <f>IF($M224="","",INDEX(상세표[월경계 판정],$M224)&amp;"")</f>
        <v/>
      </c>
      <c r="J224">
        <f>IF($M224="","",INDEX(상세표[반영월],$M224)&amp;"")</f>
        <v/>
      </c>
      <c r="K224">
        <f>IF($M224="","",INDEX(상세표[반영 기관],$M224)&amp;"")</f>
        <v/>
      </c>
      <c r="L224">
        <f>IF($M224="","",INDEX(상세표[기관 출처],$M224)&amp;"")</f>
        <v/>
      </c>
      <c r="M224" s="4">
        <f>IFERROR(MATCH(219,상세표[경계순번],0),"")</f>
        <v/>
      </c>
    </row>
    <row r="225">
      <c r="A225">
        <f>IF($M225="","",INDEX(상세표[사번],$M225)&amp;"")</f>
        <v/>
      </c>
      <c r="B225">
        <f>IF($M225="","",INDEX(상세표[성명],$M225)&amp;"")</f>
        <v/>
      </c>
      <c r="C225">
        <f>IF($M225="","",IF(INDEX(상세표[종료월],$M225)=대상월키,"전월→이번 달","이번 달→익월"))</f>
        <v/>
      </c>
      <c r="D225">
        <f>IF($M225="","",IF(ISNUMBER(INDEX(상세표[시작],$M225)),TEXT(INDEX(상세표[시작],$M225),"yyyy-mm-dd hh:mm"),INDEX(상세표[시작],$M225)&amp;""))</f>
        <v/>
      </c>
      <c r="E225">
        <f>IF($M225="","",IF(ISNUMBER(INDEX(상세표[종료],$M225)),TEXT(INDEX(상세표[종료],$M225),"yyyy-mm-dd hh:mm"),INDEX(상세표[종료],$M225)&amp;""))</f>
        <v/>
      </c>
      <c r="F225">
        <f>IF($M225="","",INDEX(상세표[기록 시간외],$M225))</f>
        <v/>
      </c>
      <c r="G225">
        <f>IF($M225="","",INDEX(상세표[시작월 기관],$M225)&amp;"")</f>
        <v/>
      </c>
      <c r="H225">
        <f>IF($M225="","",INDEX(상세표[종료월 기관],$M225)&amp;"")</f>
        <v/>
      </c>
      <c r="I225">
        <f>IF($M225="","",INDEX(상세표[월경계 판정],$M225)&amp;"")</f>
        <v/>
      </c>
      <c r="J225">
        <f>IF($M225="","",INDEX(상세표[반영월],$M225)&amp;"")</f>
        <v/>
      </c>
      <c r="K225">
        <f>IF($M225="","",INDEX(상세표[반영 기관],$M225)&amp;"")</f>
        <v/>
      </c>
      <c r="L225">
        <f>IF($M225="","",INDEX(상세표[기관 출처],$M225)&amp;"")</f>
        <v/>
      </c>
      <c r="M225" s="4">
        <f>IFERROR(MATCH(220,상세표[경계순번],0),"")</f>
        <v/>
      </c>
    </row>
    <row r="226">
      <c r="A226">
        <f>IF($M226="","",INDEX(상세표[사번],$M226)&amp;"")</f>
        <v/>
      </c>
      <c r="B226">
        <f>IF($M226="","",INDEX(상세표[성명],$M226)&amp;"")</f>
        <v/>
      </c>
      <c r="C226">
        <f>IF($M226="","",IF(INDEX(상세표[종료월],$M226)=대상월키,"전월→이번 달","이번 달→익월"))</f>
        <v/>
      </c>
      <c r="D226">
        <f>IF($M226="","",IF(ISNUMBER(INDEX(상세표[시작],$M226)),TEXT(INDEX(상세표[시작],$M226),"yyyy-mm-dd hh:mm"),INDEX(상세표[시작],$M226)&amp;""))</f>
        <v/>
      </c>
      <c r="E226">
        <f>IF($M226="","",IF(ISNUMBER(INDEX(상세표[종료],$M226)),TEXT(INDEX(상세표[종료],$M226),"yyyy-mm-dd hh:mm"),INDEX(상세표[종료],$M226)&amp;""))</f>
        <v/>
      </c>
      <c r="F226">
        <f>IF($M226="","",INDEX(상세표[기록 시간외],$M226))</f>
        <v/>
      </c>
      <c r="G226">
        <f>IF($M226="","",INDEX(상세표[시작월 기관],$M226)&amp;"")</f>
        <v/>
      </c>
      <c r="H226">
        <f>IF($M226="","",INDEX(상세표[종료월 기관],$M226)&amp;"")</f>
        <v/>
      </c>
      <c r="I226">
        <f>IF($M226="","",INDEX(상세표[월경계 판정],$M226)&amp;"")</f>
        <v/>
      </c>
      <c r="J226">
        <f>IF($M226="","",INDEX(상세표[반영월],$M226)&amp;"")</f>
        <v/>
      </c>
      <c r="K226">
        <f>IF($M226="","",INDEX(상세표[반영 기관],$M226)&amp;"")</f>
        <v/>
      </c>
      <c r="L226">
        <f>IF($M226="","",INDEX(상세표[기관 출처],$M226)&amp;"")</f>
        <v/>
      </c>
      <c r="M226" s="4">
        <f>IFERROR(MATCH(221,상세표[경계순번],0),"")</f>
        <v/>
      </c>
    </row>
    <row r="227">
      <c r="A227">
        <f>IF($M227="","",INDEX(상세표[사번],$M227)&amp;"")</f>
        <v/>
      </c>
      <c r="B227">
        <f>IF($M227="","",INDEX(상세표[성명],$M227)&amp;"")</f>
        <v/>
      </c>
      <c r="C227">
        <f>IF($M227="","",IF(INDEX(상세표[종료월],$M227)=대상월키,"전월→이번 달","이번 달→익월"))</f>
        <v/>
      </c>
      <c r="D227">
        <f>IF($M227="","",IF(ISNUMBER(INDEX(상세표[시작],$M227)),TEXT(INDEX(상세표[시작],$M227),"yyyy-mm-dd hh:mm"),INDEX(상세표[시작],$M227)&amp;""))</f>
        <v/>
      </c>
      <c r="E227">
        <f>IF($M227="","",IF(ISNUMBER(INDEX(상세표[종료],$M227)),TEXT(INDEX(상세표[종료],$M227),"yyyy-mm-dd hh:mm"),INDEX(상세표[종료],$M227)&amp;""))</f>
        <v/>
      </c>
      <c r="F227">
        <f>IF($M227="","",INDEX(상세표[기록 시간외],$M227))</f>
        <v/>
      </c>
      <c r="G227">
        <f>IF($M227="","",INDEX(상세표[시작월 기관],$M227)&amp;"")</f>
        <v/>
      </c>
      <c r="H227">
        <f>IF($M227="","",INDEX(상세표[종료월 기관],$M227)&amp;"")</f>
        <v/>
      </c>
      <c r="I227">
        <f>IF($M227="","",INDEX(상세표[월경계 판정],$M227)&amp;"")</f>
        <v/>
      </c>
      <c r="J227">
        <f>IF($M227="","",INDEX(상세표[반영월],$M227)&amp;"")</f>
        <v/>
      </c>
      <c r="K227">
        <f>IF($M227="","",INDEX(상세표[반영 기관],$M227)&amp;"")</f>
        <v/>
      </c>
      <c r="L227">
        <f>IF($M227="","",INDEX(상세표[기관 출처],$M227)&amp;"")</f>
        <v/>
      </c>
      <c r="M227" s="4">
        <f>IFERROR(MATCH(222,상세표[경계순번],0),"")</f>
        <v/>
      </c>
    </row>
    <row r="228">
      <c r="A228">
        <f>IF($M228="","",INDEX(상세표[사번],$M228)&amp;"")</f>
        <v/>
      </c>
      <c r="B228">
        <f>IF($M228="","",INDEX(상세표[성명],$M228)&amp;"")</f>
        <v/>
      </c>
      <c r="C228">
        <f>IF($M228="","",IF(INDEX(상세표[종료월],$M228)=대상월키,"전월→이번 달","이번 달→익월"))</f>
        <v/>
      </c>
      <c r="D228">
        <f>IF($M228="","",IF(ISNUMBER(INDEX(상세표[시작],$M228)),TEXT(INDEX(상세표[시작],$M228),"yyyy-mm-dd hh:mm"),INDEX(상세표[시작],$M228)&amp;""))</f>
        <v/>
      </c>
      <c r="E228">
        <f>IF($M228="","",IF(ISNUMBER(INDEX(상세표[종료],$M228)),TEXT(INDEX(상세표[종료],$M228),"yyyy-mm-dd hh:mm"),INDEX(상세표[종료],$M228)&amp;""))</f>
        <v/>
      </c>
      <c r="F228">
        <f>IF($M228="","",INDEX(상세표[기록 시간외],$M228))</f>
        <v/>
      </c>
      <c r="G228">
        <f>IF($M228="","",INDEX(상세표[시작월 기관],$M228)&amp;"")</f>
        <v/>
      </c>
      <c r="H228">
        <f>IF($M228="","",INDEX(상세표[종료월 기관],$M228)&amp;"")</f>
        <v/>
      </c>
      <c r="I228">
        <f>IF($M228="","",INDEX(상세표[월경계 판정],$M228)&amp;"")</f>
        <v/>
      </c>
      <c r="J228">
        <f>IF($M228="","",INDEX(상세표[반영월],$M228)&amp;"")</f>
        <v/>
      </c>
      <c r="K228">
        <f>IF($M228="","",INDEX(상세표[반영 기관],$M228)&amp;"")</f>
        <v/>
      </c>
      <c r="L228">
        <f>IF($M228="","",INDEX(상세표[기관 출처],$M228)&amp;"")</f>
        <v/>
      </c>
      <c r="M228" s="4">
        <f>IFERROR(MATCH(223,상세표[경계순번],0),"")</f>
        <v/>
      </c>
    </row>
    <row r="229">
      <c r="A229">
        <f>IF($M229="","",INDEX(상세표[사번],$M229)&amp;"")</f>
        <v/>
      </c>
      <c r="B229">
        <f>IF($M229="","",INDEX(상세표[성명],$M229)&amp;"")</f>
        <v/>
      </c>
      <c r="C229">
        <f>IF($M229="","",IF(INDEX(상세표[종료월],$M229)=대상월키,"전월→이번 달","이번 달→익월"))</f>
        <v/>
      </c>
      <c r="D229">
        <f>IF($M229="","",IF(ISNUMBER(INDEX(상세표[시작],$M229)),TEXT(INDEX(상세표[시작],$M229),"yyyy-mm-dd hh:mm"),INDEX(상세표[시작],$M229)&amp;""))</f>
        <v/>
      </c>
      <c r="E229">
        <f>IF($M229="","",IF(ISNUMBER(INDEX(상세표[종료],$M229)),TEXT(INDEX(상세표[종료],$M229),"yyyy-mm-dd hh:mm"),INDEX(상세표[종료],$M229)&amp;""))</f>
        <v/>
      </c>
      <c r="F229">
        <f>IF($M229="","",INDEX(상세표[기록 시간외],$M229))</f>
        <v/>
      </c>
      <c r="G229">
        <f>IF($M229="","",INDEX(상세표[시작월 기관],$M229)&amp;"")</f>
        <v/>
      </c>
      <c r="H229">
        <f>IF($M229="","",INDEX(상세표[종료월 기관],$M229)&amp;"")</f>
        <v/>
      </c>
      <c r="I229">
        <f>IF($M229="","",INDEX(상세표[월경계 판정],$M229)&amp;"")</f>
        <v/>
      </c>
      <c r="J229">
        <f>IF($M229="","",INDEX(상세표[반영월],$M229)&amp;"")</f>
        <v/>
      </c>
      <c r="K229">
        <f>IF($M229="","",INDEX(상세표[반영 기관],$M229)&amp;"")</f>
        <v/>
      </c>
      <c r="L229">
        <f>IF($M229="","",INDEX(상세표[기관 출처],$M229)&amp;"")</f>
        <v/>
      </c>
      <c r="M229" s="4">
        <f>IFERROR(MATCH(224,상세표[경계순번],0),"")</f>
        <v/>
      </c>
    </row>
    <row r="230">
      <c r="A230">
        <f>IF($M230="","",INDEX(상세표[사번],$M230)&amp;"")</f>
        <v/>
      </c>
      <c r="B230">
        <f>IF($M230="","",INDEX(상세표[성명],$M230)&amp;"")</f>
        <v/>
      </c>
      <c r="C230">
        <f>IF($M230="","",IF(INDEX(상세표[종료월],$M230)=대상월키,"전월→이번 달","이번 달→익월"))</f>
        <v/>
      </c>
      <c r="D230">
        <f>IF($M230="","",IF(ISNUMBER(INDEX(상세표[시작],$M230)),TEXT(INDEX(상세표[시작],$M230),"yyyy-mm-dd hh:mm"),INDEX(상세표[시작],$M230)&amp;""))</f>
        <v/>
      </c>
      <c r="E230">
        <f>IF($M230="","",IF(ISNUMBER(INDEX(상세표[종료],$M230)),TEXT(INDEX(상세표[종료],$M230),"yyyy-mm-dd hh:mm"),INDEX(상세표[종료],$M230)&amp;""))</f>
        <v/>
      </c>
      <c r="F230">
        <f>IF($M230="","",INDEX(상세표[기록 시간외],$M230))</f>
        <v/>
      </c>
      <c r="G230">
        <f>IF($M230="","",INDEX(상세표[시작월 기관],$M230)&amp;"")</f>
        <v/>
      </c>
      <c r="H230">
        <f>IF($M230="","",INDEX(상세표[종료월 기관],$M230)&amp;"")</f>
        <v/>
      </c>
      <c r="I230">
        <f>IF($M230="","",INDEX(상세표[월경계 판정],$M230)&amp;"")</f>
        <v/>
      </c>
      <c r="J230">
        <f>IF($M230="","",INDEX(상세표[반영월],$M230)&amp;"")</f>
        <v/>
      </c>
      <c r="K230">
        <f>IF($M230="","",INDEX(상세표[반영 기관],$M230)&amp;"")</f>
        <v/>
      </c>
      <c r="L230">
        <f>IF($M230="","",INDEX(상세표[기관 출처],$M230)&amp;"")</f>
        <v/>
      </c>
      <c r="M230" s="4">
        <f>IFERROR(MATCH(225,상세표[경계순번],0),"")</f>
        <v/>
      </c>
    </row>
    <row r="231">
      <c r="A231">
        <f>IF($M231="","",INDEX(상세표[사번],$M231)&amp;"")</f>
        <v/>
      </c>
      <c r="B231">
        <f>IF($M231="","",INDEX(상세표[성명],$M231)&amp;"")</f>
        <v/>
      </c>
      <c r="C231">
        <f>IF($M231="","",IF(INDEX(상세표[종료월],$M231)=대상월키,"전월→이번 달","이번 달→익월"))</f>
        <v/>
      </c>
      <c r="D231">
        <f>IF($M231="","",IF(ISNUMBER(INDEX(상세표[시작],$M231)),TEXT(INDEX(상세표[시작],$M231),"yyyy-mm-dd hh:mm"),INDEX(상세표[시작],$M231)&amp;""))</f>
        <v/>
      </c>
      <c r="E231">
        <f>IF($M231="","",IF(ISNUMBER(INDEX(상세표[종료],$M231)),TEXT(INDEX(상세표[종료],$M231),"yyyy-mm-dd hh:mm"),INDEX(상세표[종료],$M231)&amp;""))</f>
        <v/>
      </c>
      <c r="F231">
        <f>IF($M231="","",INDEX(상세표[기록 시간외],$M231))</f>
        <v/>
      </c>
      <c r="G231">
        <f>IF($M231="","",INDEX(상세표[시작월 기관],$M231)&amp;"")</f>
        <v/>
      </c>
      <c r="H231">
        <f>IF($M231="","",INDEX(상세표[종료월 기관],$M231)&amp;"")</f>
        <v/>
      </c>
      <c r="I231">
        <f>IF($M231="","",INDEX(상세표[월경계 판정],$M231)&amp;"")</f>
        <v/>
      </c>
      <c r="J231">
        <f>IF($M231="","",INDEX(상세표[반영월],$M231)&amp;"")</f>
        <v/>
      </c>
      <c r="K231">
        <f>IF($M231="","",INDEX(상세표[반영 기관],$M231)&amp;"")</f>
        <v/>
      </c>
      <c r="L231">
        <f>IF($M231="","",INDEX(상세표[기관 출처],$M231)&amp;"")</f>
        <v/>
      </c>
      <c r="M231" s="4">
        <f>IFERROR(MATCH(226,상세표[경계순번],0),"")</f>
        <v/>
      </c>
    </row>
    <row r="232">
      <c r="A232">
        <f>IF($M232="","",INDEX(상세표[사번],$M232)&amp;"")</f>
        <v/>
      </c>
      <c r="B232">
        <f>IF($M232="","",INDEX(상세표[성명],$M232)&amp;"")</f>
        <v/>
      </c>
      <c r="C232">
        <f>IF($M232="","",IF(INDEX(상세표[종료월],$M232)=대상월키,"전월→이번 달","이번 달→익월"))</f>
        <v/>
      </c>
      <c r="D232">
        <f>IF($M232="","",IF(ISNUMBER(INDEX(상세표[시작],$M232)),TEXT(INDEX(상세표[시작],$M232),"yyyy-mm-dd hh:mm"),INDEX(상세표[시작],$M232)&amp;""))</f>
        <v/>
      </c>
      <c r="E232">
        <f>IF($M232="","",IF(ISNUMBER(INDEX(상세표[종료],$M232)),TEXT(INDEX(상세표[종료],$M232),"yyyy-mm-dd hh:mm"),INDEX(상세표[종료],$M232)&amp;""))</f>
        <v/>
      </c>
      <c r="F232">
        <f>IF($M232="","",INDEX(상세표[기록 시간외],$M232))</f>
        <v/>
      </c>
      <c r="G232">
        <f>IF($M232="","",INDEX(상세표[시작월 기관],$M232)&amp;"")</f>
        <v/>
      </c>
      <c r="H232">
        <f>IF($M232="","",INDEX(상세표[종료월 기관],$M232)&amp;"")</f>
        <v/>
      </c>
      <c r="I232">
        <f>IF($M232="","",INDEX(상세표[월경계 판정],$M232)&amp;"")</f>
        <v/>
      </c>
      <c r="J232">
        <f>IF($M232="","",INDEX(상세표[반영월],$M232)&amp;"")</f>
        <v/>
      </c>
      <c r="K232">
        <f>IF($M232="","",INDEX(상세표[반영 기관],$M232)&amp;"")</f>
        <v/>
      </c>
      <c r="L232">
        <f>IF($M232="","",INDEX(상세표[기관 출처],$M232)&amp;"")</f>
        <v/>
      </c>
      <c r="M232" s="4">
        <f>IFERROR(MATCH(227,상세표[경계순번],0),"")</f>
        <v/>
      </c>
    </row>
    <row r="233">
      <c r="A233">
        <f>IF($M233="","",INDEX(상세표[사번],$M233)&amp;"")</f>
        <v/>
      </c>
      <c r="B233">
        <f>IF($M233="","",INDEX(상세표[성명],$M233)&amp;"")</f>
        <v/>
      </c>
      <c r="C233">
        <f>IF($M233="","",IF(INDEX(상세표[종료월],$M233)=대상월키,"전월→이번 달","이번 달→익월"))</f>
        <v/>
      </c>
      <c r="D233">
        <f>IF($M233="","",IF(ISNUMBER(INDEX(상세표[시작],$M233)),TEXT(INDEX(상세표[시작],$M233),"yyyy-mm-dd hh:mm"),INDEX(상세표[시작],$M233)&amp;""))</f>
        <v/>
      </c>
      <c r="E233">
        <f>IF($M233="","",IF(ISNUMBER(INDEX(상세표[종료],$M233)),TEXT(INDEX(상세표[종료],$M233),"yyyy-mm-dd hh:mm"),INDEX(상세표[종료],$M233)&amp;""))</f>
        <v/>
      </c>
      <c r="F233">
        <f>IF($M233="","",INDEX(상세표[기록 시간외],$M233))</f>
        <v/>
      </c>
      <c r="G233">
        <f>IF($M233="","",INDEX(상세표[시작월 기관],$M233)&amp;"")</f>
        <v/>
      </c>
      <c r="H233">
        <f>IF($M233="","",INDEX(상세표[종료월 기관],$M233)&amp;"")</f>
        <v/>
      </c>
      <c r="I233">
        <f>IF($M233="","",INDEX(상세표[월경계 판정],$M233)&amp;"")</f>
        <v/>
      </c>
      <c r="J233">
        <f>IF($M233="","",INDEX(상세표[반영월],$M233)&amp;"")</f>
        <v/>
      </c>
      <c r="K233">
        <f>IF($M233="","",INDEX(상세표[반영 기관],$M233)&amp;"")</f>
        <v/>
      </c>
      <c r="L233">
        <f>IF($M233="","",INDEX(상세표[기관 출처],$M233)&amp;"")</f>
        <v/>
      </c>
      <c r="M233" s="4">
        <f>IFERROR(MATCH(228,상세표[경계순번],0),"")</f>
        <v/>
      </c>
    </row>
    <row r="234">
      <c r="A234">
        <f>IF($M234="","",INDEX(상세표[사번],$M234)&amp;"")</f>
        <v/>
      </c>
      <c r="B234">
        <f>IF($M234="","",INDEX(상세표[성명],$M234)&amp;"")</f>
        <v/>
      </c>
      <c r="C234">
        <f>IF($M234="","",IF(INDEX(상세표[종료월],$M234)=대상월키,"전월→이번 달","이번 달→익월"))</f>
        <v/>
      </c>
      <c r="D234">
        <f>IF($M234="","",IF(ISNUMBER(INDEX(상세표[시작],$M234)),TEXT(INDEX(상세표[시작],$M234),"yyyy-mm-dd hh:mm"),INDEX(상세표[시작],$M234)&amp;""))</f>
        <v/>
      </c>
      <c r="E234">
        <f>IF($M234="","",IF(ISNUMBER(INDEX(상세표[종료],$M234)),TEXT(INDEX(상세표[종료],$M234),"yyyy-mm-dd hh:mm"),INDEX(상세표[종료],$M234)&amp;""))</f>
        <v/>
      </c>
      <c r="F234">
        <f>IF($M234="","",INDEX(상세표[기록 시간외],$M234))</f>
        <v/>
      </c>
      <c r="G234">
        <f>IF($M234="","",INDEX(상세표[시작월 기관],$M234)&amp;"")</f>
        <v/>
      </c>
      <c r="H234">
        <f>IF($M234="","",INDEX(상세표[종료월 기관],$M234)&amp;"")</f>
        <v/>
      </c>
      <c r="I234">
        <f>IF($M234="","",INDEX(상세표[월경계 판정],$M234)&amp;"")</f>
        <v/>
      </c>
      <c r="J234">
        <f>IF($M234="","",INDEX(상세표[반영월],$M234)&amp;"")</f>
        <v/>
      </c>
      <c r="K234">
        <f>IF($M234="","",INDEX(상세표[반영 기관],$M234)&amp;"")</f>
        <v/>
      </c>
      <c r="L234">
        <f>IF($M234="","",INDEX(상세표[기관 출처],$M234)&amp;"")</f>
        <v/>
      </c>
      <c r="M234" s="4">
        <f>IFERROR(MATCH(229,상세표[경계순번],0),"")</f>
        <v/>
      </c>
    </row>
    <row r="235">
      <c r="A235">
        <f>IF($M235="","",INDEX(상세표[사번],$M235)&amp;"")</f>
        <v/>
      </c>
      <c r="B235">
        <f>IF($M235="","",INDEX(상세표[성명],$M235)&amp;"")</f>
        <v/>
      </c>
      <c r="C235">
        <f>IF($M235="","",IF(INDEX(상세표[종료월],$M235)=대상월키,"전월→이번 달","이번 달→익월"))</f>
        <v/>
      </c>
      <c r="D235">
        <f>IF($M235="","",IF(ISNUMBER(INDEX(상세표[시작],$M235)),TEXT(INDEX(상세표[시작],$M235),"yyyy-mm-dd hh:mm"),INDEX(상세표[시작],$M235)&amp;""))</f>
        <v/>
      </c>
      <c r="E235">
        <f>IF($M235="","",IF(ISNUMBER(INDEX(상세표[종료],$M235)),TEXT(INDEX(상세표[종료],$M235),"yyyy-mm-dd hh:mm"),INDEX(상세표[종료],$M235)&amp;""))</f>
        <v/>
      </c>
      <c r="F235">
        <f>IF($M235="","",INDEX(상세표[기록 시간외],$M235))</f>
        <v/>
      </c>
      <c r="G235">
        <f>IF($M235="","",INDEX(상세표[시작월 기관],$M235)&amp;"")</f>
        <v/>
      </c>
      <c r="H235">
        <f>IF($M235="","",INDEX(상세표[종료월 기관],$M235)&amp;"")</f>
        <v/>
      </c>
      <c r="I235">
        <f>IF($M235="","",INDEX(상세표[월경계 판정],$M235)&amp;"")</f>
        <v/>
      </c>
      <c r="J235">
        <f>IF($M235="","",INDEX(상세표[반영월],$M235)&amp;"")</f>
        <v/>
      </c>
      <c r="K235">
        <f>IF($M235="","",INDEX(상세표[반영 기관],$M235)&amp;"")</f>
        <v/>
      </c>
      <c r="L235">
        <f>IF($M235="","",INDEX(상세표[기관 출처],$M235)&amp;"")</f>
        <v/>
      </c>
      <c r="M235" s="4">
        <f>IFERROR(MATCH(230,상세표[경계순번],0),"")</f>
        <v/>
      </c>
    </row>
    <row r="236">
      <c r="A236">
        <f>IF($M236="","",INDEX(상세표[사번],$M236)&amp;"")</f>
        <v/>
      </c>
      <c r="B236">
        <f>IF($M236="","",INDEX(상세표[성명],$M236)&amp;"")</f>
        <v/>
      </c>
      <c r="C236">
        <f>IF($M236="","",IF(INDEX(상세표[종료월],$M236)=대상월키,"전월→이번 달","이번 달→익월"))</f>
        <v/>
      </c>
      <c r="D236">
        <f>IF($M236="","",IF(ISNUMBER(INDEX(상세표[시작],$M236)),TEXT(INDEX(상세표[시작],$M236),"yyyy-mm-dd hh:mm"),INDEX(상세표[시작],$M236)&amp;""))</f>
        <v/>
      </c>
      <c r="E236">
        <f>IF($M236="","",IF(ISNUMBER(INDEX(상세표[종료],$M236)),TEXT(INDEX(상세표[종료],$M236),"yyyy-mm-dd hh:mm"),INDEX(상세표[종료],$M236)&amp;""))</f>
        <v/>
      </c>
      <c r="F236">
        <f>IF($M236="","",INDEX(상세표[기록 시간외],$M236))</f>
        <v/>
      </c>
      <c r="G236">
        <f>IF($M236="","",INDEX(상세표[시작월 기관],$M236)&amp;"")</f>
        <v/>
      </c>
      <c r="H236">
        <f>IF($M236="","",INDEX(상세표[종료월 기관],$M236)&amp;"")</f>
        <v/>
      </c>
      <c r="I236">
        <f>IF($M236="","",INDEX(상세표[월경계 판정],$M236)&amp;"")</f>
        <v/>
      </c>
      <c r="J236">
        <f>IF($M236="","",INDEX(상세표[반영월],$M236)&amp;"")</f>
        <v/>
      </c>
      <c r="K236">
        <f>IF($M236="","",INDEX(상세표[반영 기관],$M236)&amp;"")</f>
        <v/>
      </c>
      <c r="L236">
        <f>IF($M236="","",INDEX(상세표[기관 출처],$M236)&amp;"")</f>
        <v/>
      </c>
      <c r="M236" s="4">
        <f>IFERROR(MATCH(231,상세표[경계순번],0),"")</f>
        <v/>
      </c>
    </row>
    <row r="237">
      <c r="A237">
        <f>IF($M237="","",INDEX(상세표[사번],$M237)&amp;"")</f>
        <v/>
      </c>
      <c r="B237">
        <f>IF($M237="","",INDEX(상세표[성명],$M237)&amp;"")</f>
        <v/>
      </c>
      <c r="C237">
        <f>IF($M237="","",IF(INDEX(상세표[종료월],$M237)=대상월키,"전월→이번 달","이번 달→익월"))</f>
        <v/>
      </c>
      <c r="D237">
        <f>IF($M237="","",IF(ISNUMBER(INDEX(상세표[시작],$M237)),TEXT(INDEX(상세표[시작],$M237),"yyyy-mm-dd hh:mm"),INDEX(상세표[시작],$M237)&amp;""))</f>
        <v/>
      </c>
      <c r="E237">
        <f>IF($M237="","",IF(ISNUMBER(INDEX(상세표[종료],$M237)),TEXT(INDEX(상세표[종료],$M237),"yyyy-mm-dd hh:mm"),INDEX(상세표[종료],$M237)&amp;""))</f>
        <v/>
      </c>
      <c r="F237">
        <f>IF($M237="","",INDEX(상세표[기록 시간외],$M237))</f>
        <v/>
      </c>
      <c r="G237">
        <f>IF($M237="","",INDEX(상세표[시작월 기관],$M237)&amp;"")</f>
        <v/>
      </c>
      <c r="H237">
        <f>IF($M237="","",INDEX(상세표[종료월 기관],$M237)&amp;"")</f>
        <v/>
      </c>
      <c r="I237">
        <f>IF($M237="","",INDEX(상세표[월경계 판정],$M237)&amp;"")</f>
        <v/>
      </c>
      <c r="J237">
        <f>IF($M237="","",INDEX(상세표[반영월],$M237)&amp;"")</f>
        <v/>
      </c>
      <c r="K237">
        <f>IF($M237="","",INDEX(상세표[반영 기관],$M237)&amp;"")</f>
        <v/>
      </c>
      <c r="L237">
        <f>IF($M237="","",INDEX(상세표[기관 출처],$M237)&amp;"")</f>
        <v/>
      </c>
      <c r="M237" s="4">
        <f>IFERROR(MATCH(232,상세표[경계순번],0),"")</f>
        <v/>
      </c>
    </row>
    <row r="238">
      <c r="A238">
        <f>IF($M238="","",INDEX(상세표[사번],$M238)&amp;"")</f>
        <v/>
      </c>
      <c r="B238">
        <f>IF($M238="","",INDEX(상세표[성명],$M238)&amp;"")</f>
        <v/>
      </c>
      <c r="C238">
        <f>IF($M238="","",IF(INDEX(상세표[종료월],$M238)=대상월키,"전월→이번 달","이번 달→익월"))</f>
        <v/>
      </c>
      <c r="D238">
        <f>IF($M238="","",IF(ISNUMBER(INDEX(상세표[시작],$M238)),TEXT(INDEX(상세표[시작],$M238),"yyyy-mm-dd hh:mm"),INDEX(상세표[시작],$M238)&amp;""))</f>
        <v/>
      </c>
      <c r="E238">
        <f>IF($M238="","",IF(ISNUMBER(INDEX(상세표[종료],$M238)),TEXT(INDEX(상세표[종료],$M238),"yyyy-mm-dd hh:mm"),INDEX(상세표[종료],$M238)&amp;""))</f>
        <v/>
      </c>
      <c r="F238">
        <f>IF($M238="","",INDEX(상세표[기록 시간외],$M238))</f>
        <v/>
      </c>
      <c r="G238">
        <f>IF($M238="","",INDEX(상세표[시작월 기관],$M238)&amp;"")</f>
        <v/>
      </c>
      <c r="H238">
        <f>IF($M238="","",INDEX(상세표[종료월 기관],$M238)&amp;"")</f>
        <v/>
      </c>
      <c r="I238">
        <f>IF($M238="","",INDEX(상세표[월경계 판정],$M238)&amp;"")</f>
        <v/>
      </c>
      <c r="J238">
        <f>IF($M238="","",INDEX(상세표[반영월],$M238)&amp;"")</f>
        <v/>
      </c>
      <c r="K238">
        <f>IF($M238="","",INDEX(상세표[반영 기관],$M238)&amp;"")</f>
        <v/>
      </c>
      <c r="L238">
        <f>IF($M238="","",INDEX(상세표[기관 출처],$M238)&amp;"")</f>
        <v/>
      </c>
      <c r="M238" s="4">
        <f>IFERROR(MATCH(233,상세표[경계순번],0),"")</f>
        <v/>
      </c>
    </row>
    <row r="239">
      <c r="A239">
        <f>IF($M239="","",INDEX(상세표[사번],$M239)&amp;"")</f>
        <v/>
      </c>
      <c r="B239">
        <f>IF($M239="","",INDEX(상세표[성명],$M239)&amp;"")</f>
        <v/>
      </c>
      <c r="C239">
        <f>IF($M239="","",IF(INDEX(상세표[종료월],$M239)=대상월키,"전월→이번 달","이번 달→익월"))</f>
        <v/>
      </c>
      <c r="D239">
        <f>IF($M239="","",IF(ISNUMBER(INDEX(상세표[시작],$M239)),TEXT(INDEX(상세표[시작],$M239),"yyyy-mm-dd hh:mm"),INDEX(상세표[시작],$M239)&amp;""))</f>
        <v/>
      </c>
      <c r="E239">
        <f>IF($M239="","",IF(ISNUMBER(INDEX(상세표[종료],$M239)),TEXT(INDEX(상세표[종료],$M239),"yyyy-mm-dd hh:mm"),INDEX(상세표[종료],$M239)&amp;""))</f>
        <v/>
      </c>
      <c r="F239">
        <f>IF($M239="","",INDEX(상세표[기록 시간외],$M239))</f>
        <v/>
      </c>
      <c r="G239">
        <f>IF($M239="","",INDEX(상세표[시작월 기관],$M239)&amp;"")</f>
        <v/>
      </c>
      <c r="H239">
        <f>IF($M239="","",INDEX(상세표[종료월 기관],$M239)&amp;"")</f>
        <v/>
      </c>
      <c r="I239">
        <f>IF($M239="","",INDEX(상세표[월경계 판정],$M239)&amp;"")</f>
        <v/>
      </c>
      <c r="J239">
        <f>IF($M239="","",INDEX(상세표[반영월],$M239)&amp;"")</f>
        <v/>
      </c>
      <c r="K239">
        <f>IF($M239="","",INDEX(상세표[반영 기관],$M239)&amp;"")</f>
        <v/>
      </c>
      <c r="L239">
        <f>IF($M239="","",INDEX(상세표[기관 출처],$M239)&amp;"")</f>
        <v/>
      </c>
      <c r="M239" s="4">
        <f>IFERROR(MATCH(234,상세표[경계순번],0),"")</f>
        <v/>
      </c>
    </row>
    <row r="240">
      <c r="A240">
        <f>IF($M240="","",INDEX(상세표[사번],$M240)&amp;"")</f>
        <v/>
      </c>
      <c r="B240">
        <f>IF($M240="","",INDEX(상세표[성명],$M240)&amp;"")</f>
        <v/>
      </c>
      <c r="C240">
        <f>IF($M240="","",IF(INDEX(상세표[종료월],$M240)=대상월키,"전월→이번 달","이번 달→익월"))</f>
        <v/>
      </c>
      <c r="D240">
        <f>IF($M240="","",IF(ISNUMBER(INDEX(상세표[시작],$M240)),TEXT(INDEX(상세표[시작],$M240),"yyyy-mm-dd hh:mm"),INDEX(상세표[시작],$M240)&amp;""))</f>
        <v/>
      </c>
      <c r="E240">
        <f>IF($M240="","",IF(ISNUMBER(INDEX(상세표[종료],$M240)),TEXT(INDEX(상세표[종료],$M240),"yyyy-mm-dd hh:mm"),INDEX(상세표[종료],$M240)&amp;""))</f>
        <v/>
      </c>
      <c r="F240">
        <f>IF($M240="","",INDEX(상세표[기록 시간외],$M240))</f>
        <v/>
      </c>
      <c r="G240">
        <f>IF($M240="","",INDEX(상세표[시작월 기관],$M240)&amp;"")</f>
        <v/>
      </c>
      <c r="H240">
        <f>IF($M240="","",INDEX(상세표[종료월 기관],$M240)&amp;"")</f>
        <v/>
      </c>
      <c r="I240">
        <f>IF($M240="","",INDEX(상세표[월경계 판정],$M240)&amp;"")</f>
        <v/>
      </c>
      <c r="J240">
        <f>IF($M240="","",INDEX(상세표[반영월],$M240)&amp;"")</f>
        <v/>
      </c>
      <c r="K240">
        <f>IF($M240="","",INDEX(상세표[반영 기관],$M240)&amp;"")</f>
        <v/>
      </c>
      <c r="L240">
        <f>IF($M240="","",INDEX(상세표[기관 출처],$M240)&amp;"")</f>
        <v/>
      </c>
      <c r="M240" s="4">
        <f>IFERROR(MATCH(235,상세표[경계순번],0),"")</f>
        <v/>
      </c>
    </row>
    <row r="241">
      <c r="A241">
        <f>IF($M241="","",INDEX(상세표[사번],$M241)&amp;"")</f>
        <v/>
      </c>
      <c r="B241">
        <f>IF($M241="","",INDEX(상세표[성명],$M241)&amp;"")</f>
        <v/>
      </c>
      <c r="C241">
        <f>IF($M241="","",IF(INDEX(상세표[종료월],$M241)=대상월키,"전월→이번 달","이번 달→익월"))</f>
        <v/>
      </c>
      <c r="D241">
        <f>IF($M241="","",IF(ISNUMBER(INDEX(상세표[시작],$M241)),TEXT(INDEX(상세표[시작],$M241),"yyyy-mm-dd hh:mm"),INDEX(상세표[시작],$M241)&amp;""))</f>
        <v/>
      </c>
      <c r="E241">
        <f>IF($M241="","",IF(ISNUMBER(INDEX(상세표[종료],$M241)),TEXT(INDEX(상세표[종료],$M241),"yyyy-mm-dd hh:mm"),INDEX(상세표[종료],$M241)&amp;""))</f>
        <v/>
      </c>
      <c r="F241">
        <f>IF($M241="","",INDEX(상세표[기록 시간외],$M241))</f>
        <v/>
      </c>
      <c r="G241">
        <f>IF($M241="","",INDEX(상세표[시작월 기관],$M241)&amp;"")</f>
        <v/>
      </c>
      <c r="H241">
        <f>IF($M241="","",INDEX(상세표[종료월 기관],$M241)&amp;"")</f>
        <v/>
      </c>
      <c r="I241">
        <f>IF($M241="","",INDEX(상세표[월경계 판정],$M241)&amp;"")</f>
        <v/>
      </c>
      <c r="J241">
        <f>IF($M241="","",INDEX(상세표[반영월],$M241)&amp;"")</f>
        <v/>
      </c>
      <c r="K241">
        <f>IF($M241="","",INDEX(상세표[반영 기관],$M241)&amp;"")</f>
        <v/>
      </c>
      <c r="L241">
        <f>IF($M241="","",INDEX(상세표[기관 출처],$M241)&amp;"")</f>
        <v/>
      </c>
      <c r="M241" s="4">
        <f>IFERROR(MATCH(236,상세표[경계순번],0),"")</f>
        <v/>
      </c>
    </row>
    <row r="242">
      <c r="A242">
        <f>IF($M242="","",INDEX(상세표[사번],$M242)&amp;"")</f>
        <v/>
      </c>
      <c r="B242">
        <f>IF($M242="","",INDEX(상세표[성명],$M242)&amp;"")</f>
        <v/>
      </c>
      <c r="C242">
        <f>IF($M242="","",IF(INDEX(상세표[종료월],$M242)=대상월키,"전월→이번 달","이번 달→익월"))</f>
        <v/>
      </c>
      <c r="D242">
        <f>IF($M242="","",IF(ISNUMBER(INDEX(상세표[시작],$M242)),TEXT(INDEX(상세표[시작],$M242),"yyyy-mm-dd hh:mm"),INDEX(상세표[시작],$M242)&amp;""))</f>
        <v/>
      </c>
      <c r="E242">
        <f>IF($M242="","",IF(ISNUMBER(INDEX(상세표[종료],$M242)),TEXT(INDEX(상세표[종료],$M242),"yyyy-mm-dd hh:mm"),INDEX(상세표[종료],$M242)&amp;""))</f>
        <v/>
      </c>
      <c r="F242">
        <f>IF($M242="","",INDEX(상세표[기록 시간외],$M242))</f>
        <v/>
      </c>
      <c r="G242">
        <f>IF($M242="","",INDEX(상세표[시작월 기관],$M242)&amp;"")</f>
        <v/>
      </c>
      <c r="H242">
        <f>IF($M242="","",INDEX(상세표[종료월 기관],$M242)&amp;"")</f>
        <v/>
      </c>
      <c r="I242">
        <f>IF($M242="","",INDEX(상세표[월경계 판정],$M242)&amp;"")</f>
        <v/>
      </c>
      <c r="J242">
        <f>IF($M242="","",INDEX(상세표[반영월],$M242)&amp;"")</f>
        <v/>
      </c>
      <c r="K242">
        <f>IF($M242="","",INDEX(상세표[반영 기관],$M242)&amp;"")</f>
        <v/>
      </c>
      <c r="L242">
        <f>IF($M242="","",INDEX(상세표[기관 출처],$M242)&amp;"")</f>
        <v/>
      </c>
      <c r="M242" s="4">
        <f>IFERROR(MATCH(237,상세표[경계순번],0),"")</f>
        <v/>
      </c>
    </row>
    <row r="243">
      <c r="A243">
        <f>IF($M243="","",INDEX(상세표[사번],$M243)&amp;"")</f>
        <v/>
      </c>
      <c r="B243">
        <f>IF($M243="","",INDEX(상세표[성명],$M243)&amp;"")</f>
        <v/>
      </c>
      <c r="C243">
        <f>IF($M243="","",IF(INDEX(상세표[종료월],$M243)=대상월키,"전월→이번 달","이번 달→익월"))</f>
        <v/>
      </c>
      <c r="D243">
        <f>IF($M243="","",IF(ISNUMBER(INDEX(상세표[시작],$M243)),TEXT(INDEX(상세표[시작],$M243),"yyyy-mm-dd hh:mm"),INDEX(상세표[시작],$M243)&amp;""))</f>
        <v/>
      </c>
      <c r="E243">
        <f>IF($M243="","",IF(ISNUMBER(INDEX(상세표[종료],$M243)),TEXT(INDEX(상세표[종료],$M243),"yyyy-mm-dd hh:mm"),INDEX(상세표[종료],$M243)&amp;""))</f>
        <v/>
      </c>
      <c r="F243">
        <f>IF($M243="","",INDEX(상세표[기록 시간외],$M243))</f>
        <v/>
      </c>
      <c r="G243">
        <f>IF($M243="","",INDEX(상세표[시작월 기관],$M243)&amp;"")</f>
        <v/>
      </c>
      <c r="H243">
        <f>IF($M243="","",INDEX(상세표[종료월 기관],$M243)&amp;"")</f>
        <v/>
      </c>
      <c r="I243">
        <f>IF($M243="","",INDEX(상세표[월경계 판정],$M243)&amp;"")</f>
        <v/>
      </c>
      <c r="J243">
        <f>IF($M243="","",INDEX(상세표[반영월],$M243)&amp;"")</f>
        <v/>
      </c>
      <c r="K243">
        <f>IF($M243="","",INDEX(상세표[반영 기관],$M243)&amp;"")</f>
        <v/>
      </c>
      <c r="L243">
        <f>IF($M243="","",INDEX(상세표[기관 출처],$M243)&amp;"")</f>
        <v/>
      </c>
      <c r="M243" s="4">
        <f>IFERROR(MATCH(238,상세표[경계순번],0),"")</f>
        <v/>
      </c>
    </row>
    <row r="244">
      <c r="A244">
        <f>IF($M244="","",INDEX(상세표[사번],$M244)&amp;"")</f>
        <v/>
      </c>
      <c r="B244">
        <f>IF($M244="","",INDEX(상세표[성명],$M244)&amp;"")</f>
        <v/>
      </c>
      <c r="C244">
        <f>IF($M244="","",IF(INDEX(상세표[종료월],$M244)=대상월키,"전월→이번 달","이번 달→익월"))</f>
        <v/>
      </c>
      <c r="D244">
        <f>IF($M244="","",IF(ISNUMBER(INDEX(상세표[시작],$M244)),TEXT(INDEX(상세표[시작],$M244),"yyyy-mm-dd hh:mm"),INDEX(상세표[시작],$M244)&amp;""))</f>
        <v/>
      </c>
      <c r="E244">
        <f>IF($M244="","",IF(ISNUMBER(INDEX(상세표[종료],$M244)),TEXT(INDEX(상세표[종료],$M244),"yyyy-mm-dd hh:mm"),INDEX(상세표[종료],$M244)&amp;""))</f>
        <v/>
      </c>
      <c r="F244">
        <f>IF($M244="","",INDEX(상세표[기록 시간외],$M244))</f>
        <v/>
      </c>
      <c r="G244">
        <f>IF($M244="","",INDEX(상세표[시작월 기관],$M244)&amp;"")</f>
        <v/>
      </c>
      <c r="H244">
        <f>IF($M244="","",INDEX(상세표[종료월 기관],$M244)&amp;"")</f>
        <v/>
      </c>
      <c r="I244">
        <f>IF($M244="","",INDEX(상세표[월경계 판정],$M244)&amp;"")</f>
        <v/>
      </c>
      <c r="J244">
        <f>IF($M244="","",INDEX(상세표[반영월],$M244)&amp;"")</f>
        <v/>
      </c>
      <c r="K244">
        <f>IF($M244="","",INDEX(상세표[반영 기관],$M244)&amp;"")</f>
        <v/>
      </c>
      <c r="L244">
        <f>IF($M244="","",INDEX(상세표[기관 출처],$M244)&amp;"")</f>
        <v/>
      </c>
      <c r="M244" s="4">
        <f>IFERROR(MATCH(239,상세표[경계순번],0),"")</f>
        <v/>
      </c>
    </row>
    <row r="245">
      <c r="A245">
        <f>IF($M245="","",INDEX(상세표[사번],$M245)&amp;"")</f>
        <v/>
      </c>
      <c r="B245">
        <f>IF($M245="","",INDEX(상세표[성명],$M245)&amp;"")</f>
        <v/>
      </c>
      <c r="C245">
        <f>IF($M245="","",IF(INDEX(상세표[종료월],$M245)=대상월키,"전월→이번 달","이번 달→익월"))</f>
        <v/>
      </c>
      <c r="D245">
        <f>IF($M245="","",IF(ISNUMBER(INDEX(상세표[시작],$M245)),TEXT(INDEX(상세표[시작],$M245),"yyyy-mm-dd hh:mm"),INDEX(상세표[시작],$M245)&amp;""))</f>
        <v/>
      </c>
      <c r="E245">
        <f>IF($M245="","",IF(ISNUMBER(INDEX(상세표[종료],$M245)),TEXT(INDEX(상세표[종료],$M245),"yyyy-mm-dd hh:mm"),INDEX(상세표[종료],$M245)&amp;""))</f>
        <v/>
      </c>
      <c r="F245">
        <f>IF($M245="","",INDEX(상세표[기록 시간외],$M245))</f>
        <v/>
      </c>
      <c r="G245">
        <f>IF($M245="","",INDEX(상세표[시작월 기관],$M245)&amp;"")</f>
        <v/>
      </c>
      <c r="H245">
        <f>IF($M245="","",INDEX(상세표[종료월 기관],$M245)&amp;"")</f>
        <v/>
      </c>
      <c r="I245">
        <f>IF($M245="","",INDEX(상세표[월경계 판정],$M245)&amp;"")</f>
        <v/>
      </c>
      <c r="J245">
        <f>IF($M245="","",INDEX(상세표[반영월],$M245)&amp;"")</f>
        <v/>
      </c>
      <c r="K245">
        <f>IF($M245="","",INDEX(상세표[반영 기관],$M245)&amp;"")</f>
        <v/>
      </c>
      <c r="L245">
        <f>IF($M245="","",INDEX(상세표[기관 출처],$M245)&amp;"")</f>
        <v/>
      </c>
      <c r="M245" s="4">
        <f>IFERROR(MATCH(240,상세표[경계순번],0),"")</f>
        <v/>
      </c>
    </row>
    <row r="246">
      <c r="A246">
        <f>IF($M246="","",INDEX(상세표[사번],$M246)&amp;"")</f>
        <v/>
      </c>
      <c r="B246">
        <f>IF($M246="","",INDEX(상세표[성명],$M246)&amp;"")</f>
        <v/>
      </c>
      <c r="C246">
        <f>IF($M246="","",IF(INDEX(상세표[종료월],$M246)=대상월키,"전월→이번 달","이번 달→익월"))</f>
        <v/>
      </c>
      <c r="D246">
        <f>IF($M246="","",IF(ISNUMBER(INDEX(상세표[시작],$M246)),TEXT(INDEX(상세표[시작],$M246),"yyyy-mm-dd hh:mm"),INDEX(상세표[시작],$M246)&amp;""))</f>
        <v/>
      </c>
      <c r="E246">
        <f>IF($M246="","",IF(ISNUMBER(INDEX(상세표[종료],$M246)),TEXT(INDEX(상세표[종료],$M246),"yyyy-mm-dd hh:mm"),INDEX(상세표[종료],$M246)&amp;""))</f>
        <v/>
      </c>
      <c r="F246">
        <f>IF($M246="","",INDEX(상세표[기록 시간외],$M246))</f>
        <v/>
      </c>
      <c r="G246">
        <f>IF($M246="","",INDEX(상세표[시작월 기관],$M246)&amp;"")</f>
        <v/>
      </c>
      <c r="H246">
        <f>IF($M246="","",INDEX(상세표[종료월 기관],$M246)&amp;"")</f>
        <v/>
      </c>
      <c r="I246">
        <f>IF($M246="","",INDEX(상세표[월경계 판정],$M246)&amp;"")</f>
        <v/>
      </c>
      <c r="J246">
        <f>IF($M246="","",INDEX(상세표[반영월],$M246)&amp;"")</f>
        <v/>
      </c>
      <c r="K246">
        <f>IF($M246="","",INDEX(상세표[반영 기관],$M246)&amp;"")</f>
        <v/>
      </c>
      <c r="L246">
        <f>IF($M246="","",INDEX(상세표[기관 출처],$M246)&amp;"")</f>
        <v/>
      </c>
      <c r="M246" s="4">
        <f>IFERROR(MATCH(241,상세표[경계순번],0),"")</f>
        <v/>
      </c>
    </row>
    <row r="247">
      <c r="A247">
        <f>IF($M247="","",INDEX(상세표[사번],$M247)&amp;"")</f>
        <v/>
      </c>
      <c r="B247">
        <f>IF($M247="","",INDEX(상세표[성명],$M247)&amp;"")</f>
        <v/>
      </c>
      <c r="C247">
        <f>IF($M247="","",IF(INDEX(상세표[종료월],$M247)=대상월키,"전월→이번 달","이번 달→익월"))</f>
        <v/>
      </c>
      <c r="D247">
        <f>IF($M247="","",IF(ISNUMBER(INDEX(상세표[시작],$M247)),TEXT(INDEX(상세표[시작],$M247),"yyyy-mm-dd hh:mm"),INDEX(상세표[시작],$M247)&amp;""))</f>
        <v/>
      </c>
      <c r="E247">
        <f>IF($M247="","",IF(ISNUMBER(INDEX(상세표[종료],$M247)),TEXT(INDEX(상세표[종료],$M247),"yyyy-mm-dd hh:mm"),INDEX(상세표[종료],$M247)&amp;""))</f>
        <v/>
      </c>
      <c r="F247">
        <f>IF($M247="","",INDEX(상세표[기록 시간외],$M247))</f>
        <v/>
      </c>
      <c r="G247">
        <f>IF($M247="","",INDEX(상세표[시작월 기관],$M247)&amp;"")</f>
        <v/>
      </c>
      <c r="H247">
        <f>IF($M247="","",INDEX(상세표[종료월 기관],$M247)&amp;"")</f>
        <v/>
      </c>
      <c r="I247">
        <f>IF($M247="","",INDEX(상세표[월경계 판정],$M247)&amp;"")</f>
        <v/>
      </c>
      <c r="J247">
        <f>IF($M247="","",INDEX(상세표[반영월],$M247)&amp;"")</f>
        <v/>
      </c>
      <c r="K247">
        <f>IF($M247="","",INDEX(상세표[반영 기관],$M247)&amp;"")</f>
        <v/>
      </c>
      <c r="L247">
        <f>IF($M247="","",INDEX(상세표[기관 출처],$M247)&amp;"")</f>
        <v/>
      </c>
      <c r="M247" s="4">
        <f>IFERROR(MATCH(242,상세표[경계순번],0),"")</f>
        <v/>
      </c>
    </row>
    <row r="248">
      <c r="A248">
        <f>IF($M248="","",INDEX(상세표[사번],$M248)&amp;"")</f>
        <v/>
      </c>
      <c r="B248">
        <f>IF($M248="","",INDEX(상세표[성명],$M248)&amp;"")</f>
        <v/>
      </c>
      <c r="C248">
        <f>IF($M248="","",IF(INDEX(상세표[종료월],$M248)=대상월키,"전월→이번 달","이번 달→익월"))</f>
        <v/>
      </c>
      <c r="D248">
        <f>IF($M248="","",IF(ISNUMBER(INDEX(상세표[시작],$M248)),TEXT(INDEX(상세표[시작],$M248),"yyyy-mm-dd hh:mm"),INDEX(상세표[시작],$M248)&amp;""))</f>
        <v/>
      </c>
      <c r="E248">
        <f>IF($M248="","",IF(ISNUMBER(INDEX(상세표[종료],$M248)),TEXT(INDEX(상세표[종료],$M248),"yyyy-mm-dd hh:mm"),INDEX(상세표[종료],$M248)&amp;""))</f>
        <v/>
      </c>
      <c r="F248">
        <f>IF($M248="","",INDEX(상세표[기록 시간외],$M248))</f>
        <v/>
      </c>
      <c r="G248">
        <f>IF($M248="","",INDEX(상세표[시작월 기관],$M248)&amp;"")</f>
        <v/>
      </c>
      <c r="H248">
        <f>IF($M248="","",INDEX(상세표[종료월 기관],$M248)&amp;"")</f>
        <v/>
      </c>
      <c r="I248">
        <f>IF($M248="","",INDEX(상세표[월경계 판정],$M248)&amp;"")</f>
        <v/>
      </c>
      <c r="J248">
        <f>IF($M248="","",INDEX(상세표[반영월],$M248)&amp;"")</f>
        <v/>
      </c>
      <c r="K248">
        <f>IF($M248="","",INDEX(상세표[반영 기관],$M248)&amp;"")</f>
        <v/>
      </c>
      <c r="L248">
        <f>IF($M248="","",INDEX(상세표[기관 출처],$M248)&amp;"")</f>
        <v/>
      </c>
      <c r="M248" s="4">
        <f>IFERROR(MATCH(243,상세표[경계순번],0),"")</f>
        <v/>
      </c>
    </row>
    <row r="249">
      <c r="A249">
        <f>IF($M249="","",INDEX(상세표[사번],$M249)&amp;"")</f>
        <v/>
      </c>
      <c r="B249">
        <f>IF($M249="","",INDEX(상세표[성명],$M249)&amp;"")</f>
        <v/>
      </c>
      <c r="C249">
        <f>IF($M249="","",IF(INDEX(상세표[종료월],$M249)=대상월키,"전월→이번 달","이번 달→익월"))</f>
        <v/>
      </c>
      <c r="D249">
        <f>IF($M249="","",IF(ISNUMBER(INDEX(상세표[시작],$M249)),TEXT(INDEX(상세표[시작],$M249),"yyyy-mm-dd hh:mm"),INDEX(상세표[시작],$M249)&amp;""))</f>
        <v/>
      </c>
      <c r="E249">
        <f>IF($M249="","",IF(ISNUMBER(INDEX(상세표[종료],$M249)),TEXT(INDEX(상세표[종료],$M249),"yyyy-mm-dd hh:mm"),INDEX(상세표[종료],$M249)&amp;""))</f>
        <v/>
      </c>
      <c r="F249">
        <f>IF($M249="","",INDEX(상세표[기록 시간외],$M249))</f>
        <v/>
      </c>
      <c r="G249">
        <f>IF($M249="","",INDEX(상세표[시작월 기관],$M249)&amp;"")</f>
        <v/>
      </c>
      <c r="H249">
        <f>IF($M249="","",INDEX(상세표[종료월 기관],$M249)&amp;"")</f>
        <v/>
      </c>
      <c r="I249">
        <f>IF($M249="","",INDEX(상세표[월경계 판정],$M249)&amp;"")</f>
        <v/>
      </c>
      <c r="J249">
        <f>IF($M249="","",INDEX(상세표[반영월],$M249)&amp;"")</f>
        <v/>
      </c>
      <c r="K249">
        <f>IF($M249="","",INDEX(상세표[반영 기관],$M249)&amp;"")</f>
        <v/>
      </c>
      <c r="L249">
        <f>IF($M249="","",INDEX(상세표[기관 출처],$M249)&amp;"")</f>
        <v/>
      </c>
      <c r="M249" s="4">
        <f>IFERROR(MATCH(244,상세표[경계순번],0),"")</f>
        <v/>
      </c>
    </row>
    <row r="250">
      <c r="A250">
        <f>IF($M250="","",INDEX(상세표[사번],$M250)&amp;"")</f>
        <v/>
      </c>
      <c r="B250">
        <f>IF($M250="","",INDEX(상세표[성명],$M250)&amp;"")</f>
        <v/>
      </c>
      <c r="C250">
        <f>IF($M250="","",IF(INDEX(상세표[종료월],$M250)=대상월키,"전월→이번 달","이번 달→익월"))</f>
        <v/>
      </c>
      <c r="D250">
        <f>IF($M250="","",IF(ISNUMBER(INDEX(상세표[시작],$M250)),TEXT(INDEX(상세표[시작],$M250),"yyyy-mm-dd hh:mm"),INDEX(상세표[시작],$M250)&amp;""))</f>
        <v/>
      </c>
      <c r="E250">
        <f>IF($M250="","",IF(ISNUMBER(INDEX(상세표[종료],$M250)),TEXT(INDEX(상세표[종료],$M250),"yyyy-mm-dd hh:mm"),INDEX(상세표[종료],$M250)&amp;""))</f>
        <v/>
      </c>
      <c r="F250">
        <f>IF($M250="","",INDEX(상세표[기록 시간외],$M250))</f>
        <v/>
      </c>
      <c r="G250">
        <f>IF($M250="","",INDEX(상세표[시작월 기관],$M250)&amp;"")</f>
        <v/>
      </c>
      <c r="H250">
        <f>IF($M250="","",INDEX(상세표[종료월 기관],$M250)&amp;"")</f>
        <v/>
      </c>
      <c r="I250">
        <f>IF($M250="","",INDEX(상세표[월경계 판정],$M250)&amp;"")</f>
        <v/>
      </c>
      <c r="J250">
        <f>IF($M250="","",INDEX(상세표[반영월],$M250)&amp;"")</f>
        <v/>
      </c>
      <c r="K250">
        <f>IF($M250="","",INDEX(상세표[반영 기관],$M250)&amp;"")</f>
        <v/>
      </c>
      <c r="L250">
        <f>IF($M250="","",INDEX(상세표[기관 출처],$M250)&amp;"")</f>
        <v/>
      </c>
      <c r="M250" s="4">
        <f>IFERROR(MATCH(245,상세표[경계순번],0),"")</f>
        <v/>
      </c>
    </row>
    <row r="251">
      <c r="A251">
        <f>IF($M251="","",INDEX(상세표[사번],$M251)&amp;"")</f>
        <v/>
      </c>
      <c r="B251">
        <f>IF($M251="","",INDEX(상세표[성명],$M251)&amp;"")</f>
        <v/>
      </c>
      <c r="C251">
        <f>IF($M251="","",IF(INDEX(상세표[종료월],$M251)=대상월키,"전월→이번 달","이번 달→익월"))</f>
        <v/>
      </c>
      <c r="D251">
        <f>IF($M251="","",IF(ISNUMBER(INDEX(상세표[시작],$M251)),TEXT(INDEX(상세표[시작],$M251),"yyyy-mm-dd hh:mm"),INDEX(상세표[시작],$M251)&amp;""))</f>
        <v/>
      </c>
      <c r="E251">
        <f>IF($M251="","",IF(ISNUMBER(INDEX(상세표[종료],$M251)),TEXT(INDEX(상세표[종료],$M251),"yyyy-mm-dd hh:mm"),INDEX(상세표[종료],$M251)&amp;""))</f>
        <v/>
      </c>
      <c r="F251">
        <f>IF($M251="","",INDEX(상세표[기록 시간외],$M251))</f>
        <v/>
      </c>
      <c r="G251">
        <f>IF($M251="","",INDEX(상세표[시작월 기관],$M251)&amp;"")</f>
        <v/>
      </c>
      <c r="H251">
        <f>IF($M251="","",INDEX(상세표[종료월 기관],$M251)&amp;"")</f>
        <v/>
      </c>
      <c r="I251">
        <f>IF($M251="","",INDEX(상세표[월경계 판정],$M251)&amp;"")</f>
        <v/>
      </c>
      <c r="J251">
        <f>IF($M251="","",INDEX(상세표[반영월],$M251)&amp;"")</f>
        <v/>
      </c>
      <c r="K251">
        <f>IF($M251="","",INDEX(상세표[반영 기관],$M251)&amp;"")</f>
        <v/>
      </c>
      <c r="L251">
        <f>IF($M251="","",INDEX(상세표[기관 출처],$M251)&amp;"")</f>
        <v/>
      </c>
      <c r="M251" s="4">
        <f>IFERROR(MATCH(246,상세표[경계순번],0),"")</f>
        <v/>
      </c>
    </row>
    <row r="252">
      <c r="A252">
        <f>IF($M252="","",INDEX(상세표[사번],$M252)&amp;"")</f>
        <v/>
      </c>
      <c r="B252">
        <f>IF($M252="","",INDEX(상세표[성명],$M252)&amp;"")</f>
        <v/>
      </c>
      <c r="C252">
        <f>IF($M252="","",IF(INDEX(상세표[종료월],$M252)=대상월키,"전월→이번 달","이번 달→익월"))</f>
        <v/>
      </c>
      <c r="D252">
        <f>IF($M252="","",IF(ISNUMBER(INDEX(상세표[시작],$M252)),TEXT(INDEX(상세표[시작],$M252),"yyyy-mm-dd hh:mm"),INDEX(상세표[시작],$M252)&amp;""))</f>
        <v/>
      </c>
      <c r="E252">
        <f>IF($M252="","",IF(ISNUMBER(INDEX(상세표[종료],$M252)),TEXT(INDEX(상세표[종료],$M252),"yyyy-mm-dd hh:mm"),INDEX(상세표[종료],$M252)&amp;""))</f>
        <v/>
      </c>
      <c r="F252">
        <f>IF($M252="","",INDEX(상세표[기록 시간외],$M252))</f>
        <v/>
      </c>
      <c r="G252">
        <f>IF($M252="","",INDEX(상세표[시작월 기관],$M252)&amp;"")</f>
        <v/>
      </c>
      <c r="H252">
        <f>IF($M252="","",INDEX(상세표[종료월 기관],$M252)&amp;"")</f>
        <v/>
      </c>
      <c r="I252">
        <f>IF($M252="","",INDEX(상세표[월경계 판정],$M252)&amp;"")</f>
        <v/>
      </c>
      <c r="J252">
        <f>IF($M252="","",INDEX(상세표[반영월],$M252)&amp;"")</f>
        <v/>
      </c>
      <c r="K252">
        <f>IF($M252="","",INDEX(상세표[반영 기관],$M252)&amp;"")</f>
        <v/>
      </c>
      <c r="L252">
        <f>IF($M252="","",INDEX(상세표[기관 출처],$M252)&amp;"")</f>
        <v/>
      </c>
      <c r="M252" s="4">
        <f>IFERROR(MATCH(247,상세표[경계순번],0),"")</f>
        <v/>
      </c>
    </row>
    <row r="253">
      <c r="A253">
        <f>IF($M253="","",INDEX(상세표[사번],$M253)&amp;"")</f>
        <v/>
      </c>
      <c r="B253">
        <f>IF($M253="","",INDEX(상세표[성명],$M253)&amp;"")</f>
        <v/>
      </c>
      <c r="C253">
        <f>IF($M253="","",IF(INDEX(상세표[종료월],$M253)=대상월키,"전월→이번 달","이번 달→익월"))</f>
        <v/>
      </c>
      <c r="D253">
        <f>IF($M253="","",IF(ISNUMBER(INDEX(상세표[시작],$M253)),TEXT(INDEX(상세표[시작],$M253),"yyyy-mm-dd hh:mm"),INDEX(상세표[시작],$M253)&amp;""))</f>
        <v/>
      </c>
      <c r="E253">
        <f>IF($M253="","",IF(ISNUMBER(INDEX(상세표[종료],$M253)),TEXT(INDEX(상세표[종료],$M253),"yyyy-mm-dd hh:mm"),INDEX(상세표[종료],$M253)&amp;""))</f>
        <v/>
      </c>
      <c r="F253">
        <f>IF($M253="","",INDEX(상세표[기록 시간외],$M253))</f>
        <v/>
      </c>
      <c r="G253">
        <f>IF($M253="","",INDEX(상세표[시작월 기관],$M253)&amp;"")</f>
        <v/>
      </c>
      <c r="H253">
        <f>IF($M253="","",INDEX(상세표[종료월 기관],$M253)&amp;"")</f>
        <v/>
      </c>
      <c r="I253">
        <f>IF($M253="","",INDEX(상세표[월경계 판정],$M253)&amp;"")</f>
        <v/>
      </c>
      <c r="J253">
        <f>IF($M253="","",INDEX(상세표[반영월],$M253)&amp;"")</f>
        <v/>
      </c>
      <c r="K253">
        <f>IF($M253="","",INDEX(상세표[반영 기관],$M253)&amp;"")</f>
        <v/>
      </c>
      <c r="L253">
        <f>IF($M253="","",INDEX(상세표[기관 출처],$M253)&amp;"")</f>
        <v/>
      </c>
      <c r="M253" s="4">
        <f>IFERROR(MATCH(248,상세표[경계순번],0),"")</f>
        <v/>
      </c>
    </row>
    <row r="254">
      <c r="A254">
        <f>IF($M254="","",INDEX(상세표[사번],$M254)&amp;"")</f>
        <v/>
      </c>
      <c r="B254">
        <f>IF($M254="","",INDEX(상세표[성명],$M254)&amp;"")</f>
        <v/>
      </c>
      <c r="C254">
        <f>IF($M254="","",IF(INDEX(상세표[종료월],$M254)=대상월키,"전월→이번 달","이번 달→익월"))</f>
        <v/>
      </c>
      <c r="D254">
        <f>IF($M254="","",IF(ISNUMBER(INDEX(상세표[시작],$M254)),TEXT(INDEX(상세표[시작],$M254),"yyyy-mm-dd hh:mm"),INDEX(상세표[시작],$M254)&amp;""))</f>
        <v/>
      </c>
      <c r="E254">
        <f>IF($M254="","",IF(ISNUMBER(INDEX(상세표[종료],$M254)),TEXT(INDEX(상세표[종료],$M254),"yyyy-mm-dd hh:mm"),INDEX(상세표[종료],$M254)&amp;""))</f>
        <v/>
      </c>
      <c r="F254">
        <f>IF($M254="","",INDEX(상세표[기록 시간외],$M254))</f>
        <v/>
      </c>
      <c r="G254">
        <f>IF($M254="","",INDEX(상세표[시작월 기관],$M254)&amp;"")</f>
        <v/>
      </c>
      <c r="H254">
        <f>IF($M254="","",INDEX(상세표[종료월 기관],$M254)&amp;"")</f>
        <v/>
      </c>
      <c r="I254">
        <f>IF($M254="","",INDEX(상세표[월경계 판정],$M254)&amp;"")</f>
        <v/>
      </c>
      <c r="J254">
        <f>IF($M254="","",INDEX(상세표[반영월],$M254)&amp;"")</f>
        <v/>
      </c>
      <c r="K254">
        <f>IF($M254="","",INDEX(상세표[반영 기관],$M254)&amp;"")</f>
        <v/>
      </c>
      <c r="L254">
        <f>IF($M254="","",INDEX(상세표[기관 출처],$M254)&amp;"")</f>
        <v/>
      </c>
      <c r="M254" s="4">
        <f>IFERROR(MATCH(249,상세표[경계순번],0),"")</f>
        <v/>
      </c>
    </row>
    <row r="255">
      <c r="A255">
        <f>IF($M255="","",INDEX(상세표[사번],$M255)&amp;"")</f>
        <v/>
      </c>
      <c r="B255">
        <f>IF($M255="","",INDEX(상세표[성명],$M255)&amp;"")</f>
        <v/>
      </c>
      <c r="C255">
        <f>IF($M255="","",IF(INDEX(상세표[종료월],$M255)=대상월키,"전월→이번 달","이번 달→익월"))</f>
        <v/>
      </c>
      <c r="D255">
        <f>IF($M255="","",IF(ISNUMBER(INDEX(상세표[시작],$M255)),TEXT(INDEX(상세표[시작],$M255),"yyyy-mm-dd hh:mm"),INDEX(상세표[시작],$M255)&amp;""))</f>
        <v/>
      </c>
      <c r="E255">
        <f>IF($M255="","",IF(ISNUMBER(INDEX(상세표[종료],$M255)),TEXT(INDEX(상세표[종료],$M255),"yyyy-mm-dd hh:mm"),INDEX(상세표[종료],$M255)&amp;""))</f>
        <v/>
      </c>
      <c r="F255">
        <f>IF($M255="","",INDEX(상세표[기록 시간외],$M255))</f>
        <v/>
      </c>
      <c r="G255">
        <f>IF($M255="","",INDEX(상세표[시작월 기관],$M255)&amp;"")</f>
        <v/>
      </c>
      <c r="H255">
        <f>IF($M255="","",INDEX(상세표[종료월 기관],$M255)&amp;"")</f>
        <v/>
      </c>
      <c r="I255">
        <f>IF($M255="","",INDEX(상세표[월경계 판정],$M255)&amp;"")</f>
        <v/>
      </c>
      <c r="J255">
        <f>IF($M255="","",INDEX(상세표[반영월],$M255)&amp;"")</f>
        <v/>
      </c>
      <c r="K255">
        <f>IF($M255="","",INDEX(상세표[반영 기관],$M255)&amp;"")</f>
        <v/>
      </c>
      <c r="L255">
        <f>IF($M255="","",INDEX(상세표[기관 출처],$M255)&amp;"")</f>
        <v/>
      </c>
      <c r="M255" s="4">
        <f>IFERROR(MATCH(250,상세표[경계순번],0),"")</f>
        <v/>
      </c>
    </row>
    <row r="256">
      <c r="A256">
        <f>IF($M256="","",INDEX(상세표[사번],$M256)&amp;"")</f>
        <v/>
      </c>
      <c r="B256">
        <f>IF($M256="","",INDEX(상세표[성명],$M256)&amp;"")</f>
        <v/>
      </c>
      <c r="C256">
        <f>IF($M256="","",IF(INDEX(상세표[종료월],$M256)=대상월키,"전월→이번 달","이번 달→익월"))</f>
        <v/>
      </c>
      <c r="D256">
        <f>IF($M256="","",IF(ISNUMBER(INDEX(상세표[시작],$M256)),TEXT(INDEX(상세표[시작],$M256),"yyyy-mm-dd hh:mm"),INDEX(상세표[시작],$M256)&amp;""))</f>
        <v/>
      </c>
      <c r="E256">
        <f>IF($M256="","",IF(ISNUMBER(INDEX(상세표[종료],$M256)),TEXT(INDEX(상세표[종료],$M256),"yyyy-mm-dd hh:mm"),INDEX(상세표[종료],$M256)&amp;""))</f>
        <v/>
      </c>
      <c r="F256">
        <f>IF($M256="","",INDEX(상세표[기록 시간외],$M256))</f>
        <v/>
      </c>
      <c r="G256">
        <f>IF($M256="","",INDEX(상세표[시작월 기관],$M256)&amp;"")</f>
        <v/>
      </c>
      <c r="H256">
        <f>IF($M256="","",INDEX(상세표[종료월 기관],$M256)&amp;"")</f>
        <v/>
      </c>
      <c r="I256">
        <f>IF($M256="","",INDEX(상세표[월경계 판정],$M256)&amp;"")</f>
        <v/>
      </c>
      <c r="J256">
        <f>IF($M256="","",INDEX(상세표[반영월],$M256)&amp;"")</f>
        <v/>
      </c>
      <c r="K256">
        <f>IF($M256="","",INDEX(상세표[반영 기관],$M256)&amp;"")</f>
        <v/>
      </c>
      <c r="L256">
        <f>IF($M256="","",INDEX(상세표[기관 출처],$M256)&amp;"")</f>
        <v/>
      </c>
      <c r="M256" s="4">
        <f>IFERROR(MATCH(251,상세표[경계순번],0),"")</f>
        <v/>
      </c>
    </row>
    <row r="257">
      <c r="A257">
        <f>IF($M257="","",INDEX(상세표[사번],$M257)&amp;"")</f>
        <v/>
      </c>
      <c r="B257">
        <f>IF($M257="","",INDEX(상세표[성명],$M257)&amp;"")</f>
        <v/>
      </c>
      <c r="C257">
        <f>IF($M257="","",IF(INDEX(상세표[종료월],$M257)=대상월키,"전월→이번 달","이번 달→익월"))</f>
        <v/>
      </c>
      <c r="D257">
        <f>IF($M257="","",IF(ISNUMBER(INDEX(상세표[시작],$M257)),TEXT(INDEX(상세표[시작],$M257),"yyyy-mm-dd hh:mm"),INDEX(상세표[시작],$M257)&amp;""))</f>
        <v/>
      </c>
      <c r="E257">
        <f>IF($M257="","",IF(ISNUMBER(INDEX(상세표[종료],$M257)),TEXT(INDEX(상세표[종료],$M257),"yyyy-mm-dd hh:mm"),INDEX(상세표[종료],$M257)&amp;""))</f>
        <v/>
      </c>
      <c r="F257">
        <f>IF($M257="","",INDEX(상세표[기록 시간외],$M257))</f>
        <v/>
      </c>
      <c r="G257">
        <f>IF($M257="","",INDEX(상세표[시작월 기관],$M257)&amp;"")</f>
        <v/>
      </c>
      <c r="H257">
        <f>IF($M257="","",INDEX(상세표[종료월 기관],$M257)&amp;"")</f>
        <v/>
      </c>
      <c r="I257">
        <f>IF($M257="","",INDEX(상세표[월경계 판정],$M257)&amp;"")</f>
        <v/>
      </c>
      <c r="J257">
        <f>IF($M257="","",INDEX(상세표[반영월],$M257)&amp;"")</f>
        <v/>
      </c>
      <c r="K257">
        <f>IF($M257="","",INDEX(상세표[반영 기관],$M257)&amp;"")</f>
        <v/>
      </c>
      <c r="L257">
        <f>IF($M257="","",INDEX(상세표[기관 출처],$M257)&amp;"")</f>
        <v/>
      </c>
      <c r="M257" s="4">
        <f>IFERROR(MATCH(252,상세표[경계순번],0),"")</f>
        <v/>
      </c>
    </row>
    <row r="258">
      <c r="A258">
        <f>IF($M258="","",INDEX(상세표[사번],$M258)&amp;"")</f>
        <v/>
      </c>
      <c r="B258">
        <f>IF($M258="","",INDEX(상세표[성명],$M258)&amp;"")</f>
        <v/>
      </c>
      <c r="C258">
        <f>IF($M258="","",IF(INDEX(상세표[종료월],$M258)=대상월키,"전월→이번 달","이번 달→익월"))</f>
        <v/>
      </c>
      <c r="D258">
        <f>IF($M258="","",IF(ISNUMBER(INDEX(상세표[시작],$M258)),TEXT(INDEX(상세표[시작],$M258),"yyyy-mm-dd hh:mm"),INDEX(상세표[시작],$M258)&amp;""))</f>
        <v/>
      </c>
      <c r="E258">
        <f>IF($M258="","",IF(ISNUMBER(INDEX(상세표[종료],$M258)),TEXT(INDEX(상세표[종료],$M258),"yyyy-mm-dd hh:mm"),INDEX(상세표[종료],$M258)&amp;""))</f>
        <v/>
      </c>
      <c r="F258">
        <f>IF($M258="","",INDEX(상세표[기록 시간외],$M258))</f>
        <v/>
      </c>
      <c r="G258">
        <f>IF($M258="","",INDEX(상세표[시작월 기관],$M258)&amp;"")</f>
        <v/>
      </c>
      <c r="H258">
        <f>IF($M258="","",INDEX(상세표[종료월 기관],$M258)&amp;"")</f>
        <v/>
      </c>
      <c r="I258">
        <f>IF($M258="","",INDEX(상세표[월경계 판정],$M258)&amp;"")</f>
        <v/>
      </c>
      <c r="J258">
        <f>IF($M258="","",INDEX(상세표[반영월],$M258)&amp;"")</f>
        <v/>
      </c>
      <c r="K258">
        <f>IF($M258="","",INDEX(상세표[반영 기관],$M258)&amp;"")</f>
        <v/>
      </c>
      <c r="L258">
        <f>IF($M258="","",INDEX(상세표[기관 출처],$M258)&amp;"")</f>
        <v/>
      </c>
      <c r="M258" s="4">
        <f>IFERROR(MATCH(253,상세표[경계순번],0),"")</f>
        <v/>
      </c>
    </row>
    <row r="259">
      <c r="A259">
        <f>IF($M259="","",INDEX(상세표[사번],$M259)&amp;"")</f>
        <v/>
      </c>
      <c r="B259">
        <f>IF($M259="","",INDEX(상세표[성명],$M259)&amp;"")</f>
        <v/>
      </c>
      <c r="C259">
        <f>IF($M259="","",IF(INDEX(상세표[종료월],$M259)=대상월키,"전월→이번 달","이번 달→익월"))</f>
        <v/>
      </c>
      <c r="D259">
        <f>IF($M259="","",IF(ISNUMBER(INDEX(상세표[시작],$M259)),TEXT(INDEX(상세표[시작],$M259),"yyyy-mm-dd hh:mm"),INDEX(상세표[시작],$M259)&amp;""))</f>
        <v/>
      </c>
      <c r="E259">
        <f>IF($M259="","",IF(ISNUMBER(INDEX(상세표[종료],$M259)),TEXT(INDEX(상세표[종료],$M259),"yyyy-mm-dd hh:mm"),INDEX(상세표[종료],$M259)&amp;""))</f>
        <v/>
      </c>
      <c r="F259">
        <f>IF($M259="","",INDEX(상세표[기록 시간외],$M259))</f>
        <v/>
      </c>
      <c r="G259">
        <f>IF($M259="","",INDEX(상세표[시작월 기관],$M259)&amp;"")</f>
        <v/>
      </c>
      <c r="H259">
        <f>IF($M259="","",INDEX(상세표[종료월 기관],$M259)&amp;"")</f>
        <v/>
      </c>
      <c r="I259">
        <f>IF($M259="","",INDEX(상세표[월경계 판정],$M259)&amp;"")</f>
        <v/>
      </c>
      <c r="J259">
        <f>IF($M259="","",INDEX(상세표[반영월],$M259)&amp;"")</f>
        <v/>
      </c>
      <c r="K259">
        <f>IF($M259="","",INDEX(상세표[반영 기관],$M259)&amp;"")</f>
        <v/>
      </c>
      <c r="L259">
        <f>IF($M259="","",INDEX(상세표[기관 출처],$M259)&amp;"")</f>
        <v/>
      </c>
      <c r="M259" s="4">
        <f>IFERROR(MATCH(254,상세표[경계순번],0),"")</f>
        <v/>
      </c>
    </row>
    <row r="260">
      <c r="A260">
        <f>IF($M260="","",INDEX(상세표[사번],$M260)&amp;"")</f>
        <v/>
      </c>
      <c r="B260">
        <f>IF($M260="","",INDEX(상세표[성명],$M260)&amp;"")</f>
        <v/>
      </c>
      <c r="C260">
        <f>IF($M260="","",IF(INDEX(상세표[종료월],$M260)=대상월키,"전월→이번 달","이번 달→익월"))</f>
        <v/>
      </c>
      <c r="D260">
        <f>IF($M260="","",IF(ISNUMBER(INDEX(상세표[시작],$M260)),TEXT(INDEX(상세표[시작],$M260),"yyyy-mm-dd hh:mm"),INDEX(상세표[시작],$M260)&amp;""))</f>
        <v/>
      </c>
      <c r="E260">
        <f>IF($M260="","",IF(ISNUMBER(INDEX(상세표[종료],$M260)),TEXT(INDEX(상세표[종료],$M260),"yyyy-mm-dd hh:mm"),INDEX(상세표[종료],$M260)&amp;""))</f>
        <v/>
      </c>
      <c r="F260">
        <f>IF($M260="","",INDEX(상세표[기록 시간외],$M260))</f>
        <v/>
      </c>
      <c r="G260">
        <f>IF($M260="","",INDEX(상세표[시작월 기관],$M260)&amp;"")</f>
        <v/>
      </c>
      <c r="H260">
        <f>IF($M260="","",INDEX(상세표[종료월 기관],$M260)&amp;"")</f>
        <v/>
      </c>
      <c r="I260">
        <f>IF($M260="","",INDEX(상세표[월경계 판정],$M260)&amp;"")</f>
        <v/>
      </c>
      <c r="J260">
        <f>IF($M260="","",INDEX(상세표[반영월],$M260)&amp;"")</f>
        <v/>
      </c>
      <c r="K260">
        <f>IF($M260="","",INDEX(상세표[반영 기관],$M260)&amp;"")</f>
        <v/>
      </c>
      <c r="L260">
        <f>IF($M260="","",INDEX(상세표[기관 출처],$M260)&amp;"")</f>
        <v/>
      </c>
      <c r="M260" s="4">
        <f>IFERROR(MATCH(255,상세표[경계순번],0),"")</f>
        <v/>
      </c>
    </row>
    <row r="261">
      <c r="A261">
        <f>IF($M261="","",INDEX(상세표[사번],$M261)&amp;"")</f>
        <v/>
      </c>
      <c r="B261">
        <f>IF($M261="","",INDEX(상세표[성명],$M261)&amp;"")</f>
        <v/>
      </c>
      <c r="C261">
        <f>IF($M261="","",IF(INDEX(상세표[종료월],$M261)=대상월키,"전월→이번 달","이번 달→익월"))</f>
        <v/>
      </c>
      <c r="D261">
        <f>IF($M261="","",IF(ISNUMBER(INDEX(상세표[시작],$M261)),TEXT(INDEX(상세표[시작],$M261),"yyyy-mm-dd hh:mm"),INDEX(상세표[시작],$M261)&amp;""))</f>
        <v/>
      </c>
      <c r="E261">
        <f>IF($M261="","",IF(ISNUMBER(INDEX(상세표[종료],$M261)),TEXT(INDEX(상세표[종료],$M261),"yyyy-mm-dd hh:mm"),INDEX(상세표[종료],$M261)&amp;""))</f>
        <v/>
      </c>
      <c r="F261">
        <f>IF($M261="","",INDEX(상세표[기록 시간외],$M261))</f>
        <v/>
      </c>
      <c r="G261">
        <f>IF($M261="","",INDEX(상세표[시작월 기관],$M261)&amp;"")</f>
        <v/>
      </c>
      <c r="H261">
        <f>IF($M261="","",INDEX(상세표[종료월 기관],$M261)&amp;"")</f>
        <v/>
      </c>
      <c r="I261">
        <f>IF($M261="","",INDEX(상세표[월경계 판정],$M261)&amp;"")</f>
        <v/>
      </c>
      <c r="J261">
        <f>IF($M261="","",INDEX(상세표[반영월],$M261)&amp;"")</f>
        <v/>
      </c>
      <c r="K261">
        <f>IF($M261="","",INDEX(상세표[반영 기관],$M261)&amp;"")</f>
        <v/>
      </c>
      <c r="L261">
        <f>IF($M261="","",INDEX(상세표[기관 출처],$M261)&amp;"")</f>
        <v/>
      </c>
      <c r="M261" s="4">
        <f>IFERROR(MATCH(256,상세표[경계순번],0),"")</f>
        <v/>
      </c>
    </row>
    <row r="262">
      <c r="A262">
        <f>IF($M262="","",INDEX(상세표[사번],$M262)&amp;"")</f>
        <v/>
      </c>
      <c r="B262">
        <f>IF($M262="","",INDEX(상세표[성명],$M262)&amp;"")</f>
        <v/>
      </c>
      <c r="C262">
        <f>IF($M262="","",IF(INDEX(상세표[종료월],$M262)=대상월키,"전월→이번 달","이번 달→익월"))</f>
        <v/>
      </c>
      <c r="D262">
        <f>IF($M262="","",IF(ISNUMBER(INDEX(상세표[시작],$M262)),TEXT(INDEX(상세표[시작],$M262),"yyyy-mm-dd hh:mm"),INDEX(상세표[시작],$M262)&amp;""))</f>
        <v/>
      </c>
      <c r="E262">
        <f>IF($M262="","",IF(ISNUMBER(INDEX(상세표[종료],$M262)),TEXT(INDEX(상세표[종료],$M262),"yyyy-mm-dd hh:mm"),INDEX(상세표[종료],$M262)&amp;""))</f>
        <v/>
      </c>
      <c r="F262">
        <f>IF($M262="","",INDEX(상세표[기록 시간외],$M262))</f>
        <v/>
      </c>
      <c r="G262">
        <f>IF($M262="","",INDEX(상세표[시작월 기관],$M262)&amp;"")</f>
        <v/>
      </c>
      <c r="H262">
        <f>IF($M262="","",INDEX(상세표[종료월 기관],$M262)&amp;"")</f>
        <v/>
      </c>
      <c r="I262">
        <f>IF($M262="","",INDEX(상세표[월경계 판정],$M262)&amp;"")</f>
        <v/>
      </c>
      <c r="J262">
        <f>IF($M262="","",INDEX(상세표[반영월],$M262)&amp;"")</f>
        <v/>
      </c>
      <c r="K262">
        <f>IF($M262="","",INDEX(상세표[반영 기관],$M262)&amp;"")</f>
        <v/>
      </c>
      <c r="L262">
        <f>IF($M262="","",INDEX(상세표[기관 출처],$M262)&amp;"")</f>
        <v/>
      </c>
      <c r="M262" s="4">
        <f>IFERROR(MATCH(257,상세표[경계순번],0),"")</f>
        <v/>
      </c>
    </row>
    <row r="263">
      <c r="A263">
        <f>IF($M263="","",INDEX(상세표[사번],$M263)&amp;"")</f>
        <v/>
      </c>
      <c r="B263">
        <f>IF($M263="","",INDEX(상세표[성명],$M263)&amp;"")</f>
        <v/>
      </c>
      <c r="C263">
        <f>IF($M263="","",IF(INDEX(상세표[종료월],$M263)=대상월키,"전월→이번 달","이번 달→익월"))</f>
        <v/>
      </c>
      <c r="D263">
        <f>IF($M263="","",IF(ISNUMBER(INDEX(상세표[시작],$M263)),TEXT(INDEX(상세표[시작],$M263),"yyyy-mm-dd hh:mm"),INDEX(상세표[시작],$M263)&amp;""))</f>
        <v/>
      </c>
      <c r="E263">
        <f>IF($M263="","",IF(ISNUMBER(INDEX(상세표[종료],$M263)),TEXT(INDEX(상세표[종료],$M263),"yyyy-mm-dd hh:mm"),INDEX(상세표[종료],$M263)&amp;""))</f>
        <v/>
      </c>
      <c r="F263">
        <f>IF($M263="","",INDEX(상세표[기록 시간외],$M263))</f>
        <v/>
      </c>
      <c r="G263">
        <f>IF($M263="","",INDEX(상세표[시작월 기관],$M263)&amp;"")</f>
        <v/>
      </c>
      <c r="H263">
        <f>IF($M263="","",INDEX(상세표[종료월 기관],$M263)&amp;"")</f>
        <v/>
      </c>
      <c r="I263">
        <f>IF($M263="","",INDEX(상세표[월경계 판정],$M263)&amp;"")</f>
        <v/>
      </c>
      <c r="J263">
        <f>IF($M263="","",INDEX(상세표[반영월],$M263)&amp;"")</f>
        <v/>
      </c>
      <c r="K263">
        <f>IF($M263="","",INDEX(상세표[반영 기관],$M263)&amp;"")</f>
        <v/>
      </c>
      <c r="L263">
        <f>IF($M263="","",INDEX(상세표[기관 출처],$M263)&amp;"")</f>
        <v/>
      </c>
      <c r="M263" s="4">
        <f>IFERROR(MATCH(258,상세표[경계순번],0),"")</f>
        <v/>
      </c>
    </row>
    <row r="264">
      <c r="A264">
        <f>IF($M264="","",INDEX(상세표[사번],$M264)&amp;"")</f>
        <v/>
      </c>
      <c r="B264">
        <f>IF($M264="","",INDEX(상세표[성명],$M264)&amp;"")</f>
        <v/>
      </c>
      <c r="C264">
        <f>IF($M264="","",IF(INDEX(상세표[종료월],$M264)=대상월키,"전월→이번 달","이번 달→익월"))</f>
        <v/>
      </c>
      <c r="D264">
        <f>IF($M264="","",IF(ISNUMBER(INDEX(상세표[시작],$M264)),TEXT(INDEX(상세표[시작],$M264),"yyyy-mm-dd hh:mm"),INDEX(상세표[시작],$M264)&amp;""))</f>
        <v/>
      </c>
      <c r="E264">
        <f>IF($M264="","",IF(ISNUMBER(INDEX(상세표[종료],$M264)),TEXT(INDEX(상세표[종료],$M264),"yyyy-mm-dd hh:mm"),INDEX(상세표[종료],$M264)&amp;""))</f>
        <v/>
      </c>
      <c r="F264">
        <f>IF($M264="","",INDEX(상세표[기록 시간외],$M264))</f>
        <v/>
      </c>
      <c r="G264">
        <f>IF($M264="","",INDEX(상세표[시작월 기관],$M264)&amp;"")</f>
        <v/>
      </c>
      <c r="H264">
        <f>IF($M264="","",INDEX(상세표[종료월 기관],$M264)&amp;"")</f>
        <v/>
      </c>
      <c r="I264">
        <f>IF($M264="","",INDEX(상세표[월경계 판정],$M264)&amp;"")</f>
        <v/>
      </c>
      <c r="J264">
        <f>IF($M264="","",INDEX(상세표[반영월],$M264)&amp;"")</f>
        <v/>
      </c>
      <c r="K264">
        <f>IF($M264="","",INDEX(상세표[반영 기관],$M264)&amp;"")</f>
        <v/>
      </c>
      <c r="L264">
        <f>IF($M264="","",INDEX(상세표[기관 출처],$M264)&amp;"")</f>
        <v/>
      </c>
      <c r="M264" s="4">
        <f>IFERROR(MATCH(259,상세표[경계순번],0),"")</f>
        <v/>
      </c>
    </row>
    <row r="265">
      <c r="A265">
        <f>IF($M265="","",INDEX(상세표[사번],$M265)&amp;"")</f>
        <v/>
      </c>
      <c r="B265">
        <f>IF($M265="","",INDEX(상세표[성명],$M265)&amp;"")</f>
        <v/>
      </c>
      <c r="C265">
        <f>IF($M265="","",IF(INDEX(상세표[종료월],$M265)=대상월키,"전월→이번 달","이번 달→익월"))</f>
        <v/>
      </c>
      <c r="D265">
        <f>IF($M265="","",IF(ISNUMBER(INDEX(상세표[시작],$M265)),TEXT(INDEX(상세표[시작],$M265),"yyyy-mm-dd hh:mm"),INDEX(상세표[시작],$M265)&amp;""))</f>
        <v/>
      </c>
      <c r="E265">
        <f>IF($M265="","",IF(ISNUMBER(INDEX(상세표[종료],$M265)),TEXT(INDEX(상세표[종료],$M265),"yyyy-mm-dd hh:mm"),INDEX(상세표[종료],$M265)&amp;""))</f>
        <v/>
      </c>
      <c r="F265">
        <f>IF($M265="","",INDEX(상세표[기록 시간외],$M265))</f>
        <v/>
      </c>
      <c r="G265">
        <f>IF($M265="","",INDEX(상세표[시작월 기관],$M265)&amp;"")</f>
        <v/>
      </c>
      <c r="H265">
        <f>IF($M265="","",INDEX(상세표[종료월 기관],$M265)&amp;"")</f>
        <v/>
      </c>
      <c r="I265">
        <f>IF($M265="","",INDEX(상세표[월경계 판정],$M265)&amp;"")</f>
        <v/>
      </c>
      <c r="J265">
        <f>IF($M265="","",INDEX(상세표[반영월],$M265)&amp;"")</f>
        <v/>
      </c>
      <c r="K265">
        <f>IF($M265="","",INDEX(상세표[반영 기관],$M265)&amp;"")</f>
        <v/>
      </c>
      <c r="L265">
        <f>IF($M265="","",INDEX(상세표[기관 출처],$M265)&amp;"")</f>
        <v/>
      </c>
      <c r="M265" s="4">
        <f>IFERROR(MATCH(260,상세표[경계순번],0),"")</f>
        <v/>
      </c>
    </row>
    <row r="266">
      <c r="A266">
        <f>IF($M266="","",INDEX(상세표[사번],$M266)&amp;"")</f>
        <v/>
      </c>
      <c r="B266">
        <f>IF($M266="","",INDEX(상세표[성명],$M266)&amp;"")</f>
        <v/>
      </c>
      <c r="C266">
        <f>IF($M266="","",IF(INDEX(상세표[종료월],$M266)=대상월키,"전월→이번 달","이번 달→익월"))</f>
        <v/>
      </c>
      <c r="D266">
        <f>IF($M266="","",IF(ISNUMBER(INDEX(상세표[시작],$M266)),TEXT(INDEX(상세표[시작],$M266),"yyyy-mm-dd hh:mm"),INDEX(상세표[시작],$M266)&amp;""))</f>
        <v/>
      </c>
      <c r="E266">
        <f>IF($M266="","",IF(ISNUMBER(INDEX(상세표[종료],$M266)),TEXT(INDEX(상세표[종료],$M266),"yyyy-mm-dd hh:mm"),INDEX(상세표[종료],$M266)&amp;""))</f>
        <v/>
      </c>
      <c r="F266">
        <f>IF($M266="","",INDEX(상세표[기록 시간외],$M266))</f>
        <v/>
      </c>
      <c r="G266">
        <f>IF($M266="","",INDEX(상세표[시작월 기관],$M266)&amp;"")</f>
        <v/>
      </c>
      <c r="H266">
        <f>IF($M266="","",INDEX(상세표[종료월 기관],$M266)&amp;"")</f>
        <v/>
      </c>
      <c r="I266">
        <f>IF($M266="","",INDEX(상세표[월경계 판정],$M266)&amp;"")</f>
        <v/>
      </c>
      <c r="J266">
        <f>IF($M266="","",INDEX(상세표[반영월],$M266)&amp;"")</f>
        <v/>
      </c>
      <c r="K266">
        <f>IF($M266="","",INDEX(상세표[반영 기관],$M266)&amp;"")</f>
        <v/>
      </c>
      <c r="L266">
        <f>IF($M266="","",INDEX(상세표[기관 출처],$M266)&amp;"")</f>
        <v/>
      </c>
      <c r="M266" s="4">
        <f>IFERROR(MATCH(261,상세표[경계순번],0),"")</f>
        <v/>
      </c>
    </row>
    <row r="267">
      <c r="A267">
        <f>IF($M267="","",INDEX(상세표[사번],$M267)&amp;"")</f>
        <v/>
      </c>
      <c r="B267">
        <f>IF($M267="","",INDEX(상세표[성명],$M267)&amp;"")</f>
        <v/>
      </c>
      <c r="C267">
        <f>IF($M267="","",IF(INDEX(상세표[종료월],$M267)=대상월키,"전월→이번 달","이번 달→익월"))</f>
        <v/>
      </c>
      <c r="D267">
        <f>IF($M267="","",IF(ISNUMBER(INDEX(상세표[시작],$M267)),TEXT(INDEX(상세표[시작],$M267),"yyyy-mm-dd hh:mm"),INDEX(상세표[시작],$M267)&amp;""))</f>
        <v/>
      </c>
      <c r="E267">
        <f>IF($M267="","",IF(ISNUMBER(INDEX(상세표[종료],$M267)),TEXT(INDEX(상세표[종료],$M267),"yyyy-mm-dd hh:mm"),INDEX(상세표[종료],$M267)&amp;""))</f>
        <v/>
      </c>
      <c r="F267">
        <f>IF($M267="","",INDEX(상세표[기록 시간외],$M267))</f>
        <v/>
      </c>
      <c r="G267">
        <f>IF($M267="","",INDEX(상세표[시작월 기관],$M267)&amp;"")</f>
        <v/>
      </c>
      <c r="H267">
        <f>IF($M267="","",INDEX(상세표[종료월 기관],$M267)&amp;"")</f>
        <v/>
      </c>
      <c r="I267">
        <f>IF($M267="","",INDEX(상세표[월경계 판정],$M267)&amp;"")</f>
        <v/>
      </c>
      <c r="J267">
        <f>IF($M267="","",INDEX(상세표[반영월],$M267)&amp;"")</f>
        <v/>
      </c>
      <c r="K267">
        <f>IF($M267="","",INDEX(상세표[반영 기관],$M267)&amp;"")</f>
        <v/>
      </c>
      <c r="L267">
        <f>IF($M267="","",INDEX(상세표[기관 출처],$M267)&amp;"")</f>
        <v/>
      </c>
      <c r="M267" s="4">
        <f>IFERROR(MATCH(262,상세표[경계순번],0),"")</f>
        <v/>
      </c>
    </row>
    <row r="268">
      <c r="A268">
        <f>IF($M268="","",INDEX(상세표[사번],$M268)&amp;"")</f>
        <v/>
      </c>
      <c r="B268">
        <f>IF($M268="","",INDEX(상세표[성명],$M268)&amp;"")</f>
        <v/>
      </c>
      <c r="C268">
        <f>IF($M268="","",IF(INDEX(상세표[종료월],$M268)=대상월키,"전월→이번 달","이번 달→익월"))</f>
        <v/>
      </c>
      <c r="D268">
        <f>IF($M268="","",IF(ISNUMBER(INDEX(상세표[시작],$M268)),TEXT(INDEX(상세표[시작],$M268),"yyyy-mm-dd hh:mm"),INDEX(상세표[시작],$M268)&amp;""))</f>
        <v/>
      </c>
      <c r="E268">
        <f>IF($M268="","",IF(ISNUMBER(INDEX(상세표[종료],$M268)),TEXT(INDEX(상세표[종료],$M268),"yyyy-mm-dd hh:mm"),INDEX(상세표[종료],$M268)&amp;""))</f>
        <v/>
      </c>
      <c r="F268">
        <f>IF($M268="","",INDEX(상세표[기록 시간외],$M268))</f>
        <v/>
      </c>
      <c r="G268">
        <f>IF($M268="","",INDEX(상세표[시작월 기관],$M268)&amp;"")</f>
        <v/>
      </c>
      <c r="H268">
        <f>IF($M268="","",INDEX(상세표[종료월 기관],$M268)&amp;"")</f>
        <v/>
      </c>
      <c r="I268">
        <f>IF($M268="","",INDEX(상세표[월경계 판정],$M268)&amp;"")</f>
        <v/>
      </c>
      <c r="J268">
        <f>IF($M268="","",INDEX(상세표[반영월],$M268)&amp;"")</f>
        <v/>
      </c>
      <c r="K268">
        <f>IF($M268="","",INDEX(상세표[반영 기관],$M268)&amp;"")</f>
        <v/>
      </c>
      <c r="L268">
        <f>IF($M268="","",INDEX(상세표[기관 출처],$M268)&amp;"")</f>
        <v/>
      </c>
      <c r="M268" s="4">
        <f>IFERROR(MATCH(263,상세표[경계순번],0),"")</f>
        <v/>
      </c>
    </row>
    <row r="269">
      <c r="A269">
        <f>IF($M269="","",INDEX(상세표[사번],$M269)&amp;"")</f>
        <v/>
      </c>
      <c r="B269">
        <f>IF($M269="","",INDEX(상세표[성명],$M269)&amp;"")</f>
        <v/>
      </c>
      <c r="C269">
        <f>IF($M269="","",IF(INDEX(상세표[종료월],$M269)=대상월키,"전월→이번 달","이번 달→익월"))</f>
        <v/>
      </c>
      <c r="D269">
        <f>IF($M269="","",IF(ISNUMBER(INDEX(상세표[시작],$M269)),TEXT(INDEX(상세표[시작],$M269),"yyyy-mm-dd hh:mm"),INDEX(상세표[시작],$M269)&amp;""))</f>
        <v/>
      </c>
      <c r="E269">
        <f>IF($M269="","",IF(ISNUMBER(INDEX(상세표[종료],$M269)),TEXT(INDEX(상세표[종료],$M269),"yyyy-mm-dd hh:mm"),INDEX(상세표[종료],$M269)&amp;""))</f>
        <v/>
      </c>
      <c r="F269">
        <f>IF($M269="","",INDEX(상세표[기록 시간외],$M269))</f>
        <v/>
      </c>
      <c r="G269">
        <f>IF($M269="","",INDEX(상세표[시작월 기관],$M269)&amp;"")</f>
        <v/>
      </c>
      <c r="H269">
        <f>IF($M269="","",INDEX(상세표[종료월 기관],$M269)&amp;"")</f>
        <v/>
      </c>
      <c r="I269">
        <f>IF($M269="","",INDEX(상세표[월경계 판정],$M269)&amp;"")</f>
        <v/>
      </c>
      <c r="J269">
        <f>IF($M269="","",INDEX(상세표[반영월],$M269)&amp;"")</f>
        <v/>
      </c>
      <c r="K269">
        <f>IF($M269="","",INDEX(상세표[반영 기관],$M269)&amp;"")</f>
        <v/>
      </c>
      <c r="L269">
        <f>IF($M269="","",INDEX(상세표[기관 출처],$M269)&amp;"")</f>
        <v/>
      </c>
      <c r="M269" s="4">
        <f>IFERROR(MATCH(264,상세표[경계순번],0),"")</f>
        <v/>
      </c>
    </row>
    <row r="270">
      <c r="A270">
        <f>IF($M270="","",INDEX(상세표[사번],$M270)&amp;"")</f>
        <v/>
      </c>
      <c r="B270">
        <f>IF($M270="","",INDEX(상세표[성명],$M270)&amp;"")</f>
        <v/>
      </c>
      <c r="C270">
        <f>IF($M270="","",IF(INDEX(상세표[종료월],$M270)=대상월키,"전월→이번 달","이번 달→익월"))</f>
        <v/>
      </c>
      <c r="D270">
        <f>IF($M270="","",IF(ISNUMBER(INDEX(상세표[시작],$M270)),TEXT(INDEX(상세표[시작],$M270),"yyyy-mm-dd hh:mm"),INDEX(상세표[시작],$M270)&amp;""))</f>
        <v/>
      </c>
      <c r="E270">
        <f>IF($M270="","",IF(ISNUMBER(INDEX(상세표[종료],$M270)),TEXT(INDEX(상세표[종료],$M270),"yyyy-mm-dd hh:mm"),INDEX(상세표[종료],$M270)&amp;""))</f>
        <v/>
      </c>
      <c r="F270">
        <f>IF($M270="","",INDEX(상세표[기록 시간외],$M270))</f>
        <v/>
      </c>
      <c r="G270">
        <f>IF($M270="","",INDEX(상세표[시작월 기관],$M270)&amp;"")</f>
        <v/>
      </c>
      <c r="H270">
        <f>IF($M270="","",INDEX(상세표[종료월 기관],$M270)&amp;"")</f>
        <v/>
      </c>
      <c r="I270">
        <f>IF($M270="","",INDEX(상세표[월경계 판정],$M270)&amp;"")</f>
        <v/>
      </c>
      <c r="J270">
        <f>IF($M270="","",INDEX(상세표[반영월],$M270)&amp;"")</f>
        <v/>
      </c>
      <c r="K270">
        <f>IF($M270="","",INDEX(상세표[반영 기관],$M270)&amp;"")</f>
        <v/>
      </c>
      <c r="L270">
        <f>IF($M270="","",INDEX(상세표[기관 출처],$M270)&amp;"")</f>
        <v/>
      </c>
      <c r="M270" s="4">
        <f>IFERROR(MATCH(265,상세표[경계순번],0),"")</f>
        <v/>
      </c>
    </row>
    <row r="271">
      <c r="A271">
        <f>IF($M271="","",INDEX(상세표[사번],$M271)&amp;"")</f>
        <v/>
      </c>
      <c r="B271">
        <f>IF($M271="","",INDEX(상세표[성명],$M271)&amp;"")</f>
        <v/>
      </c>
      <c r="C271">
        <f>IF($M271="","",IF(INDEX(상세표[종료월],$M271)=대상월키,"전월→이번 달","이번 달→익월"))</f>
        <v/>
      </c>
      <c r="D271">
        <f>IF($M271="","",IF(ISNUMBER(INDEX(상세표[시작],$M271)),TEXT(INDEX(상세표[시작],$M271),"yyyy-mm-dd hh:mm"),INDEX(상세표[시작],$M271)&amp;""))</f>
        <v/>
      </c>
      <c r="E271">
        <f>IF($M271="","",IF(ISNUMBER(INDEX(상세표[종료],$M271)),TEXT(INDEX(상세표[종료],$M271),"yyyy-mm-dd hh:mm"),INDEX(상세표[종료],$M271)&amp;""))</f>
        <v/>
      </c>
      <c r="F271">
        <f>IF($M271="","",INDEX(상세표[기록 시간외],$M271))</f>
        <v/>
      </c>
      <c r="G271">
        <f>IF($M271="","",INDEX(상세표[시작월 기관],$M271)&amp;"")</f>
        <v/>
      </c>
      <c r="H271">
        <f>IF($M271="","",INDEX(상세표[종료월 기관],$M271)&amp;"")</f>
        <v/>
      </c>
      <c r="I271">
        <f>IF($M271="","",INDEX(상세표[월경계 판정],$M271)&amp;"")</f>
        <v/>
      </c>
      <c r="J271">
        <f>IF($M271="","",INDEX(상세표[반영월],$M271)&amp;"")</f>
        <v/>
      </c>
      <c r="K271">
        <f>IF($M271="","",INDEX(상세표[반영 기관],$M271)&amp;"")</f>
        <v/>
      </c>
      <c r="L271">
        <f>IF($M271="","",INDEX(상세표[기관 출처],$M271)&amp;"")</f>
        <v/>
      </c>
      <c r="M271" s="4">
        <f>IFERROR(MATCH(266,상세표[경계순번],0),"")</f>
        <v/>
      </c>
    </row>
    <row r="272">
      <c r="A272">
        <f>IF($M272="","",INDEX(상세표[사번],$M272)&amp;"")</f>
        <v/>
      </c>
      <c r="B272">
        <f>IF($M272="","",INDEX(상세표[성명],$M272)&amp;"")</f>
        <v/>
      </c>
      <c r="C272">
        <f>IF($M272="","",IF(INDEX(상세표[종료월],$M272)=대상월키,"전월→이번 달","이번 달→익월"))</f>
        <v/>
      </c>
      <c r="D272">
        <f>IF($M272="","",IF(ISNUMBER(INDEX(상세표[시작],$M272)),TEXT(INDEX(상세표[시작],$M272),"yyyy-mm-dd hh:mm"),INDEX(상세표[시작],$M272)&amp;""))</f>
        <v/>
      </c>
      <c r="E272">
        <f>IF($M272="","",IF(ISNUMBER(INDEX(상세표[종료],$M272)),TEXT(INDEX(상세표[종료],$M272),"yyyy-mm-dd hh:mm"),INDEX(상세표[종료],$M272)&amp;""))</f>
        <v/>
      </c>
      <c r="F272">
        <f>IF($M272="","",INDEX(상세표[기록 시간외],$M272))</f>
        <v/>
      </c>
      <c r="G272">
        <f>IF($M272="","",INDEX(상세표[시작월 기관],$M272)&amp;"")</f>
        <v/>
      </c>
      <c r="H272">
        <f>IF($M272="","",INDEX(상세표[종료월 기관],$M272)&amp;"")</f>
        <v/>
      </c>
      <c r="I272">
        <f>IF($M272="","",INDEX(상세표[월경계 판정],$M272)&amp;"")</f>
        <v/>
      </c>
      <c r="J272">
        <f>IF($M272="","",INDEX(상세표[반영월],$M272)&amp;"")</f>
        <v/>
      </c>
      <c r="K272">
        <f>IF($M272="","",INDEX(상세표[반영 기관],$M272)&amp;"")</f>
        <v/>
      </c>
      <c r="L272">
        <f>IF($M272="","",INDEX(상세표[기관 출처],$M272)&amp;"")</f>
        <v/>
      </c>
      <c r="M272" s="4">
        <f>IFERROR(MATCH(267,상세표[경계순번],0),"")</f>
        <v/>
      </c>
    </row>
    <row r="273">
      <c r="A273">
        <f>IF($M273="","",INDEX(상세표[사번],$M273)&amp;"")</f>
        <v/>
      </c>
      <c r="B273">
        <f>IF($M273="","",INDEX(상세표[성명],$M273)&amp;"")</f>
        <v/>
      </c>
      <c r="C273">
        <f>IF($M273="","",IF(INDEX(상세표[종료월],$M273)=대상월키,"전월→이번 달","이번 달→익월"))</f>
        <v/>
      </c>
      <c r="D273">
        <f>IF($M273="","",IF(ISNUMBER(INDEX(상세표[시작],$M273)),TEXT(INDEX(상세표[시작],$M273),"yyyy-mm-dd hh:mm"),INDEX(상세표[시작],$M273)&amp;""))</f>
        <v/>
      </c>
      <c r="E273">
        <f>IF($M273="","",IF(ISNUMBER(INDEX(상세표[종료],$M273)),TEXT(INDEX(상세표[종료],$M273),"yyyy-mm-dd hh:mm"),INDEX(상세표[종료],$M273)&amp;""))</f>
        <v/>
      </c>
      <c r="F273">
        <f>IF($M273="","",INDEX(상세표[기록 시간외],$M273))</f>
        <v/>
      </c>
      <c r="G273">
        <f>IF($M273="","",INDEX(상세표[시작월 기관],$M273)&amp;"")</f>
        <v/>
      </c>
      <c r="H273">
        <f>IF($M273="","",INDEX(상세표[종료월 기관],$M273)&amp;"")</f>
        <v/>
      </c>
      <c r="I273">
        <f>IF($M273="","",INDEX(상세표[월경계 판정],$M273)&amp;"")</f>
        <v/>
      </c>
      <c r="J273">
        <f>IF($M273="","",INDEX(상세표[반영월],$M273)&amp;"")</f>
        <v/>
      </c>
      <c r="K273">
        <f>IF($M273="","",INDEX(상세표[반영 기관],$M273)&amp;"")</f>
        <v/>
      </c>
      <c r="L273">
        <f>IF($M273="","",INDEX(상세표[기관 출처],$M273)&amp;"")</f>
        <v/>
      </c>
      <c r="M273" s="4">
        <f>IFERROR(MATCH(268,상세표[경계순번],0),"")</f>
        <v/>
      </c>
    </row>
    <row r="274">
      <c r="A274">
        <f>IF($M274="","",INDEX(상세표[사번],$M274)&amp;"")</f>
        <v/>
      </c>
      <c r="B274">
        <f>IF($M274="","",INDEX(상세표[성명],$M274)&amp;"")</f>
        <v/>
      </c>
      <c r="C274">
        <f>IF($M274="","",IF(INDEX(상세표[종료월],$M274)=대상월키,"전월→이번 달","이번 달→익월"))</f>
        <v/>
      </c>
      <c r="D274">
        <f>IF($M274="","",IF(ISNUMBER(INDEX(상세표[시작],$M274)),TEXT(INDEX(상세표[시작],$M274),"yyyy-mm-dd hh:mm"),INDEX(상세표[시작],$M274)&amp;""))</f>
        <v/>
      </c>
      <c r="E274">
        <f>IF($M274="","",IF(ISNUMBER(INDEX(상세표[종료],$M274)),TEXT(INDEX(상세표[종료],$M274),"yyyy-mm-dd hh:mm"),INDEX(상세표[종료],$M274)&amp;""))</f>
        <v/>
      </c>
      <c r="F274">
        <f>IF($M274="","",INDEX(상세표[기록 시간외],$M274))</f>
        <v/>
      </c>
      <c r="G274">
        <f>IF($M274="","",INDEX(상세표[시작월 기관],$M274)&amp;"")</f>
        <v/>
      </c>
      <c r="H274">
        <f>IF($M274="","",INDEX(상세표[종료월 기관],$M274)&amp;"")</f>
        <v/>
      </c>
      <c r="I274">
        <f>IF($M274="","",INDEX(상세표[월경계 판정],$M274)&amp;"")</f>
        <v/>
      </c>
      <c r="J274">
        <f>IF($M274="","",INDEX(상세표[반영월],$M274)&amp;"")</f>
        <v/>
      </c>
      <c r="K274">
        <f>IF($M274="","",INDEX(상세표[반영 기관],$M274)&amp;"")</f>
        <v/>
      </c>
      <c r="L274">
        <f>IF($M274="","",INDEX(상세표[기관 출처],$M274)&amp;"")</f>
        <v/>
      </c>
      <c r="M274" s="4">
        <f>IFERROR(MATCH(269,상세표[경계순번],0),"")</f>
        <v/>
      </c>
    </row>
    <row r="275">
      <c r="A275">
        <f>IF($M275="","",INDEX(상세표[사번],$M275)&amp;"")</f>
        <v/>
      </c>
      <c r="B275">
        <f>IF($M275="","",INDEX(상세표[성명],$M275)&amp;"")</f>
        <v/>
      </c>
      <c r="C275">
        <f>IF($M275="","",IF(INDEX(상세표[종료월],$M275)=대상월키,"전월→이번 달","이번 달→익월"))</f>
        <v/>
      </c>
      <c r="D275">
        <f>IF($M275="","",IF(ISNUMBER(INDEX(상세표[시작],$M275)),TEXT(INDEX(상세표[시작],$M275),"yyyy-mm-dd hh:mm"),INDEX(상세표[시작],$M275)&amp;""))</f>
        <v/>
      </c>
      <c r="E275">
        <f>IF($M275="","",IF(ISNUMBER(INDEX(상세표[종료],$M275)),TEXT(INDEX(상세표[종료],$M275),"yyyy-mm-dd hh:mm"),INDEX(상세표[종료],$M275)&amp;""))</f>
        <v/>
      </c>
      <c r="F275">
        <f>IF($M275="","",INDEX(상세표[기록 시간외],$M275))</f>
        <v/>
      </c>
      <c r="G275">
        <f>IF($M275="","",INDEX(상세표[시작월 기관],$M275)&amp;"")</f>
        <v/>
      </c>
      <c r="H275">
        <f>IF($M275="","",INDEX(상세표[종료월 기관],$M275)&amp;"")</f>
        <v/>
      </c>
      <c r="I275">
        <f>IF($M275="","",INDEX(상세표[월경계 판정],$M275)&amp;"")</f>
        <v/>
      </c>
      <c r="J275">
        <f>IF($M275="","",INDEX(상세표[반영월],$M275)&amp;"")</f>
        <v/>
      </c>
      <c r="K275">
        <f>IF($M275="","",INDEX(상세표[반영 기관],$M275)&amp;"")</f>
        <v/>
      </c>
      <c r="L275">
        <f>IF($M275="","",INDEX(상세표[기관 출처],$M275)&amp;"")</f>
        <v/>
      </c>
      <c r="M275" s="4">
        <f>IFERROR(MATCH(270,상세표[경계순번],0),"")</f>
        <v/>
      </c>
    </row>
    <row r="276">
      <c r="A276">
        <f>IF($M276="","",INDEX(상세표[사번],$M276)&amp;"")</f>
        <v/>
      </c>
      <c r="B276">
        <f>IF($M276="","",INDEX(상세표[성명],$M276)&amp;"")</f>
        <v/>
      </c>
      <c r="C276">
        <f>IF($M276="","",IF(INDEX(상세표[종료월],$M276)=대상월키,"전월→이번 달","이번 달→익월"))</f>
        <v/>
      </c>
      <c r="D276">
        <f>IF($M276="","",IF(ISNUMBER(INDEX(상세표[시작],$M276)),TEXT(INDEX(상세표[시작],$M276),"yyyy-mm-dd hh:mm"),INDEX(상세표[시작],$M276)&amp;""))</f>
        <v/>
      </c>
      <c r="E276">
        <f>IF($M276="","",IF(ISNUMBER(INDEX(상세표[종료],$M276)),TEXT(INDEX(상세표[종료],$M276),"yyyy-mm-dd hh:mm"),INDEX(상세표[종료],$M276)&amp;""))</f>
        <v/>
      </c>
      <c r="F276">
        <f>IF($M276="","",INDEX(상세표[기록 시간외],$M276))</f>
        <v/>
      </c>
      <c r="G276">
        <f>IF($M276="","",INDEX(상세표[시작월 기관],$M276)&amp;"")</f>
        <v/>
      </c>
      <c r="H276">
        <f>IF($M276="","",INDEX(상세표[종료월 기관],$M276)&amp;"")</f>
        <v/>
      </c>
      <c r="I276">
        <f>IF($M276="","",INDEX(상세표[월경계 판정],$M276)&amp;"")</f>
        <v/>
      </c>
      <c r="J276">
        <f>IF($M276="","",INDEX(상세표[반영월],$M276)&amp;"")</f>
        <v/>
      </c>
      <c r="K276">
        <f>IF($M276="","",INDEX(상세표[반영 기관],$M276)&amp;"")</f>
        <v/>
      </c>
      <c r="L276">
        <f>IF($M276="","",INDEX(상세표[기관 출처],$M276)&amp;"")</f>
        <v/>
      </c>
      <c r="M276" s="4">
        <f>IFERROR(MATCH(271,상세표[경계순번],0),"")</f>
        <v/>
      </c>
    </row>
    <row r="277">
      <c r="A277">
        <f>IF($M277="","",INDEX(상세표[사번],$M277)&amp;"")</f>
        <v/>
      </c>
      <c r="B277">
        <f>IF($M277="","",INDEX(상세표[성명],$M277)&amp;"")</f>
        <v/>
      </c>
      <c r="C277">
        <f>IF($M277="","",IF(INDEX(상세표[종료월],$M277)=대상월키,"전월→이번 달","이번 달→익월"))</f>
        <v/>
      </c>
      <c r="D277">
        <f>IF($M277="","",IF(ISNUMBER(INDEX(상세표[시작],$M277)),TEXT(INDEX(상세표[시작],$M277),"yyyy-mm-dd hh:mm"),INDEX(상세표[시작],$M277)&amp;""))</f>
        <v/>
      </c>
      <c r="E277">
        <f>IF($M277="","",IF(ISNUMBER(INDEX(상세표[종료],$M277)),TEXT(INDEX(상세표[종료],$M277),"yyyy-mm-dd hh:mm"),INDEX(상세표[종료],$M277)&amp;""))</f>
        <v/>
      </c>
      <c r="F277">
        <f>IF($M277="","",INDEX(상세표[기록 시간외],$M277))</f>
        <v/>
      </c>
      <c r="G277">
        <f>IF($M277="","",INDEX(상세표[시작월 기관],$M277)&amp;"")</f>
        <v/>
      </c>
      <c r="H277">
        <f>IF($M277="","",INDEX(상세표[종료월 기관],$M277)&amp;"")</f>
        <v/>
      </c>
      <c r="I277">
        <f>IF($M277="","",INDEX(상세표[월경계 판정],$M277)&amp;"")</f>
        <v/>
      </c>
      <c r="J277">
        <f>IF($M277="","",INDEX(상세표[반영월],$M277)&amp;"")</f>
        <v/>
      </c>
      <c r="K277">
        <f>IF($M277="","",INDEX(상세표[반영 기관],$M277)&amp;"")</f>
        <v/>
      </c>
      <c r="L277">
        <f>IF($M277="","",INDEX(상세표[기관 출처],$M277)&amp;"")</f>
        <v/>
      </c>
      <c r="M277" s="4">
        <f>IFERROR(MATCH(272,상세표[경계순번],0),"")</f>
        <v/>
      </c>
    </row>
    <row r="278">
      <c r="A278">
        <f>IF($M278="","",INDEX(상세표[사번],$M278)&amp;"")</f>
        <v/>
      </c>
      <c r="B278">
        <f>IF($M278="","",INDEX(상세표[성명],$M278)&amp;"")</f>
        <v/>
      </c>
      <c r="C278">
        <f>IF($M278="","",IF(INDEX(상세표[종료월],$M278)=대상월키,"전월→이번 달","이번 달→익월"))</f>
        <v/>
      </c>
      <c r="D278">
        <f>IF($M278="","",IF(ISNUMBER(INDEX(상세표[시작],$M278)),TEXT(INDEX(상세표[시작],$M278),"yyyy-mm-dd hh:mm"),INDEX(상세표[시작],$M278)&amp;""))</f>
        <v/>
      </c>
      <c r="E278">
        <f>IF($M278="","",IF(ISNUMBER(INDEX(상세표[종료],$M278)),TEXT(INDEX(상세표[종료],$M278),"yyyy-mm-dd hh:mm"),INDEX(상세표[종료],$M278)&amp;""))</f>
        <v/>
      </c>
      <c r="F278">
        <f>IF($M278="","",INDEX(상세표[기록 시간외],$M278))</f>
        <v/>
      </c>
      <c r="G278">
        <f>IF($M278="","",INDEX(상세표[시작월 기관],$M278)&amp;"")</f>
        <v/>
      </c>
      <c r="H278">
        <f>IF($M278="","",INDEX(상세표[종료월 기관],$M278)&amp;"")</f>
        <v/>
      </c>
      <c r="I278">
        <f>IF($M278="","",INDEX(상세표[월경계 판정],$M278)&amp;"")</f>
        <v/>
      </c>
      <c r="J278">
        <f>IF($M278="","",INDEX(상세표[반영월],$M278)&amp;"")</f>
        <v/>
      </c>
      <c r="K278">
        <f>IF($M278="","",INDEX(상세표[반영 기관],$M278)&amp;"")</f>
        <v/>
      </c>
      <c r="L278">
        <f>IF($M278="","",INDEX(상세표[기관 출처],$M278)&amp;"")</f>
        <v/>
      </c>
      <c r="M278" s="4">
        <f>IFERROR(MATCH(273,상세표[경계순번],0),"")</f>
        <v/>
      </c>
    </row>
    <row r="279">
      <c r="A279">
        <f>IF($M279="","",INDEX(상세표[사번],$M279)&amp;"")</f>
        <v/>
      </c>
      <c r="B279">
        <f>IF($M279="","",INDEX(상세표[성명],$M279)&amp;"")</f>
        <v/>
      </c>
      <c r="C279">
        <f>IF($M279="","",IF(INDEX(상세표[종료월],$M279)=대상월키,"전월→이번 달","이번 달→익월"))</f>
        <v/>
      </c>
      <c r="D279">
        <f>IF($M279="","",IF(ISNUMBER(INDEX(상세표[시작],$M279)),TEXT(INDEX(상세표[시작],$M279),"yyyy-mm-dd hh:mm"),INDEX(상세표[시작],$M279)&amp;""))</f>
        <v/>
      </c>
      <c r="E279">
        <f>IF($M279="","",IF(ISNUMBER(INDEX(상세표[종료],$M279)),TEXT(INDEX(상세표[종료],$M279),"yyyy-mm-dd hh:mm"),INDEX(상세표[종료],$M279)&amp;""))</f>
        <v/>
      </c>
      <c r="F279">
        <f>IF($M279="","",INDEX(상세표[기록 시간외],$M279))</f>
        <v/>
      </c>
      <c r="G279">
        <f>IF($M279="","",INDEX(상세표[시작월 기관],$M279)&amp;"")</f>
        <v/>
      </c>
      <c r="H279">
        <f>IF($M279="","",INDEX(상세표[종료월 기관],$M279)&amp;"")</f>
        <v/>
      </c>
      <c r="I279">
        <f>IF($M279="","",INDEX(상세표[월경계 판정],$M279)&amp;"")</f>
        <v/>
      </c>
      <c r="J279">
        <f>IF($M279="","",INDEX(상세표[반영월],$M279)&amp;"")</f>
        <v/>
      </c>
      <c r="K279">
        <f>IF($M279="","",INDEX(상세표[반영 기관],$M279)&amp;"")</f>
        <v/>
      </c>
      <c r="L279">
        <f>IF($M279="","",INDEX(상세표[기관 출처],$M279)&amp;"")</f>
        <v/>
      </c>
      <c r="M279" s="4">
        <f>IFERROR(MATCH(274,상세표[경계순번],0),"")</f>
        <v/>
      </c>
    </row>
    <row r="280">
      <c r="A280">
        <f>IF($M280="","",INDEX(상세표[사번],$M280)&amp;"")</f>
        <v/>
      </c>
      <c r="B280">
        <f>IF($M280="","",INDEX(상세표[성명],$M280)&amp;"")</f>
        <v/>
      </c>
      <c r="C280">
        <f>IF($M280="","",IF(INDEX(상세표[종료월],$M280)=대상월키,"전월→이번 달","이번 달→익월"))</f>
        <v/>
      </c>
      <c r="D280">
        <f>IF($M280="","",IF(ISNUMBER(INDEX(상세표[시작],$M280)),TEXT(INDEX(상세표[시작],$M280),"yyyy-mm-dd hh:mm"),INDEX(상세표[시작],$M280)&amp;""))</f>
        <v/>
      </c>
      <c r="E280">
        <f>IF($M280="","",IF(ISNUMBER(INDEX(상세표[종료],$M280)),TEXT(INDEX(상세표[종료],$M280),"yyyy-mm-dd hh:mm"),INDEX(상세표[종료],$M280)&amp;""))</f>
        <v/>
      </c>
      <c r="F280">
        <f>IF($M280="","",INDEX(상세표[기록 시간외],$M280))</f>
        <v/>
      </c>
      <c r="G280">
        <f>IF($M280="","",INDEX(상세표[시작월 기관],$M280)&amp;"")</f>
        <v/>
      </c>
      <c r="H280">
        <f>IF($M280="","",INDEX(상세표[종료월 기관],$M280)&amp;"")</f>
        <v/>
      </c>
      <c r="I280">
        <f>IF($M280="","",INDEX(상세표[월경계 판정],$M280)&amp;"")</f>
        <v/>
      </c>
      <c r="J280">
        <f>IF($M280="","",INDEX(상세표[반영월],$M280)&amp;"")</f>
        <v/>
      </c>
      <c r="K280">
        <f>IF($M280="","",INDEX(상세표[반영 기관],$M280)&amp;"")</f>
        <v/>
      </c>
      <c r="L280">
        <f>IF($M280="","",INDEX(상세표[기관 출처],$M280)&amp;"")</f>
        <v/>
      </c>
      <c r="M280" s="4">
        <f>IFERROR(MATCH(275,상세표[경계순번],0),"")</f>
        <v/>
      </c>
    </row>
    <row r="281">
      <c r="A281">
        <f>IF($M281="","",INDEX(상세표[사번],$M281)&amp;"")</f>
        <v/>
      </c>
      <c r="B281">
        <f>IF($M281="","",INDEX(상세표[성명],$M281)&amp;"")</f>
        <v/>
      </c>
      <c r="C281">
        <f>IF($M281="","",IF(INDEX(상세표[종료월],$M281)=대상월키,"전월→이번 달","이번 달→익월"))</f>
        <v/>
      </c>
      <c r="D281">
        <f>IF($M281="","",IF(ISNUMBER(INDEX(상세표[시작],$M281)),TEXT(INDEX(상세표[시작],$M281),"yyyy-mm-dd hh:mm"),INDEX(상세표[시작],$M281)&amp;""))</f>
        <v/>
      </c>
      <c r="E281">
        <f>IF($M281="","",IF(ISNUMBER(INDEX(상세표[종료],$M281)),TEXT(INDEX(상세표[종료],$M281),"yyyy-mm-dd hh:mm"),INDEX(상세표[종료],$M281)&amp;""))</f>
        <v/>
      </c>
      <c r="F281">
        <f>IF($M281="","",INDEX(상세표[기록 시간외],$M281))</f>
        <v/>
      </c>
      <c r="G281">
        <f>IF($M281="","",INDEX(상세표[시작월 기관],$M281)&amp;"")</f>
        <v/>
      </c>
      <c r="H281">
        <f>IF($M281="","",INDEX(상세표[종료월 기관],$M281)&amp;"")</f>
        <v/>
      </c>
      <c r="I281">
        <f>IF($M281="","",INDEX(상세표[월경계 판정],$M281)&amp;"")</f>
        <v/>
      </c>
      <c r="J281">
        <f>IF($M281="","",INDEX(상세표[반영월],$M281)&amp;"")</f>
        <v/>
      </c>
      <c r="K281">
        <f>IF($M281="","",INDEX(상세표[반영 기관],$M281)&amp;"")</f>
        <v/>
      </c>
      <c r="L281">
        <f>IF($M281="","",INDEX(상세표[기관 출처],$M281)&amp;"")</f>
        <v/>
      </c>
      <c r="M281" s="4">
        <f>IFERROR(MATCH(276,상세표[경계순번],0),"")</f>
        <v/>
      </c>
    </row>
    <row r="282">
      <c r="A282">
        <f>IF($M282="","",INDEX(상세표[사번],$M282)&amp;"")</f>
        <v/>
      </c>
      <c r="B282">
        <f>IF($M282="","",INDEX(상세표[성명],$M282)&amp;"")</f>
        <v/>
      </c>
      <c r="C282">
        <f>IF($M282="","",IF(INDEX(상세표[종료월],$M282)=대상월키,"전월→이번 달","이번 달→익월"))</f>
        <v/>
      </c>
      <c r="D282">
        <f>IF($M282="","",IF(ISNUMBER(INDEX(상세표[시작],$M282)),TEXT(INDEX(상세표[시작],$M282),"yyyy-mm-dd hh:mm"),INDEX(상세표[시작],$M282)&amp;""))</f>
        <v/>
      </c>
      <c r="E282">
        <f>IF($M282="","",IF(ISNUMBER(INDEX(상세표[종료],$M282)),TEXT(INDEX(상세표[종료],$M282),"yyyy-mm-dd hh:mm"),INDEX(상세표[종료],$M282)&amp;""))</f>
        <v/>
      </c>
      <c r="F282">
        <f>IF($M282="","",INDEX(상세표[기록 시간외],$M282))</f>
        <v/>
      </c>
      <c r="G282">
        <f>IF($M282="","",INDEX(상세표[시작월 기관],$M282)&amp;"")</f>
        <v/>
      </c>
      <c r="H282">
        <f>IF($M282="","",INDEX(상세표[종료월 기관],$M282)&amp;"")</f>
        <v/>
      </c>
      <c r="I282">
        <f>IF($M282="","",INDEX(상세표[월경계 판정],$M282)&amp;"")</f>
        <v/>
      </c>
      <c r="J282">
        <f>IF($M282="","",INDEX(상세표[반영월],$M282)&amp;"")</f>
        <v/>
      </c>
      <c r="K282">
        <f>IF($M282="","",INDEX(상세표[반영 기관],$M282)&amp;"")</f>
        <v/>
      </c>
      <c r="L282">
        <f>IF($M282="","",INDEX(상세표[기관 출처],$M282)&amp;"")</f>
        <v/>
      </c>
      <c r="M282" s="4">
        <f>IFERROR(MATCH(277,상세표[경계순번],0),"")</f>
        <v/>
      </c>
    </row>
    <row r="283">
      <c r="A283">
        <f>IF($M283="","",INDEX(상세표[사번],$M283)&amp;"")</f>
        <v/>
      </c>
      <c r="B283">
        <f>IF($M283="","",INDEX(상세표[성명],$M283)&amp;"")</f>
        <v/>
      </c>
      <c r="C283">
        <f>IF($M283="","",IF(INDEX(상세표[종료월],$M283)=대상월키,"전월→이번 달","이번 달→익월"))</f>
        <v/>
      </c>
      <c r="D283">
        <f>IF($M283="","",IF(ISNUMBER(INDEX(상세표[시작],$M283)),TEXT(INDEX(상세표[시작],$M283),"yyyy-mm-dd hh:mm"),INDEX(상세표[시작],$M283)&amp;""))</f>
        <v/>
      </c>
      <c r="E283">
        <f>IF($M283="","",IF(ISNUMBER(INDEX(상세표[종료],$M283)),TEXT(INDEX(상세표[종료],$M283),"yyyy-mm-dd hh:mm"),INDEX(상세표[종료],$M283)&amp;""))</f>
        <v/>
      </c>
      <c r="F283">
        <f>IF($M283="","",INDEX(상세표[기록 시간외],$M283))</f>
        <v/>
      </c>
      <c r="G283">
        <f>IF($M283="","",INDEX(상세표[시작월 기관],$M283)&amp;"")</f>
        <v/>
      </c>
      <c r="H283">
        <f>IF($M283="","",INDEX(상세표[종료월 기관],$M283)&amp;"")</f>
        <v/>
      </c>
      <c r="I283">
        <f>IF($M283="","",INDEX(상세표[월경계 판정],$M283)&amp;"")</f>
        <v/>
      </c>
      <c r="J283">
        <f>IF($M283="","",INDEX(상세표[반영월],$M283)&amp;"")</f>
        <v/>
      </c>
      <c r="K283">
        <f>IF($M283="","",INDEX(상세표[반영 기관],$M283)&amp;"")</f>
        <v/>
      </c>
      <c r="L283">
        <f>IF($M283="","",INDEX(상세표[기관 출처],$M283)&amp;"")</f>
        <v/>
      </c>
      <c r="M283" s="4">
        <f>IFERROR(MATCH(278,상세표[경계순번],0),"")</f>
        <v/>
      </c>
    </row>
    <row r="284">
      <c r="A284">
        <f>IF($M284="","",INDEX(상세표[사번],$M284)&amp;"")</f>
        <v/>
      </c>
      <c r="B284">
        <f>IF($M284="","",INDEX(상세표[성명],$M284)&amp;"")</f>
        <v/>
      </c>
      <c r="C284">
        <f>IF($M284="","",IF(INDEX(상세표[종료월],$M284)=대상월키,"전월→이번 달","이번 달→익월"))</f>
        <v/>
      </c>
      <c r="D284">
        <f>IF($M284="","",IF(ISNUMBER(INDEX(상세표[시작],$M284)),TEXT(INDEX(상세표[시작],$M284),"yyyy-mm-dd hh:mm"),INDEX(상세표[시작],$M284)&amp;""))</f>
        <v/>
      </c>
      <c r="E284">
        <f>IF($M284="","",IF(ISNUMBER(INDEX(상세표[종료],$M284)),TEXT(INDEX(상세표[종료],$M284),"yyyy-mm-dd hh:mm"),INDEX(상세표[종료],$M284)&amp;""))</f>
        <v/>
      </c>
      <c r="F284">
        <f>IF($M284="","",INDEX(상세표[기록 시간외],$M284))</f>
        <v/>
      </c>
      <c r="G284">
        <f>IF($M284="","",INDEX(상세표[시작월 기관],$M284)&amp;"")</f>
        <v/>
      </c>
      <c r="H284">
        <f>IF($M284="","",INDEX(상세표[종료월 기관],$M284)&amp;"")</f>
        <v/>
      </c>
      <c r="I284">
        <f>IF($M284="","",INDEX(상세표[월경계 판정],$M284)&amp;"")</f>
        <v/>
      </c>
      <c r="J284">
        <f>IF($M284="","",INDEX(상세표[반영월],$M284)&amp;"")</f>
        <v/>
      </c>
      <c r="K284">
        <f>IF($M284="","",INDEX(상세표[반영 기관],$M284)&amp;"")</f>
        <v/>
      </c>
      <c r="L284">
        <f>IF($M284="","",INDEX(상세표[기관 출처],$M284)&amp;"")</f>
        <v/>
      </c>
      <c r="M284" s="4">
        <f>IFERROR(MATCH(279,상세표[경계순번],0),"")</f>
        <v/>
      </c>
    </row>
    <row r="285">
      <c r="A285">
        <f>IF($M285="","",INDEX(상세표[사번],$M285)&amp;"")</f>
        <v/>
      </c>
      <c r="B285">
        <f>IF($M285="","",INDEX(상세표[성명],$M285)&amp;"")</f>
        <v/>
      </c>
      <c r="C285">
        <f>IF($M285="","",IF(INDEX(상세표[종료월],$M285)=대상월키,"전월→이번 달","이번 달→익월"))</f>
        <v/>
      </c>
      <c r="D285">
        <f>IF($M285="","",IF(ISNUMBER(INDEX(상세표[시작],$M285)),TEXT(INDEX(상세표[시작],$M285),"yyyy-mm-dd hh:mm"),INDEX(상세표[시작],$M285)&amp;""))</f>
        <v/>
      </c>
      <c r="E285">
        <f>IF($M285="","",IF(ISNUMBER(INDEX(상세표[종료],$M285)),TEXT(INDEX(상세표[종료],$M285),"yyyy-mm-dd hh:mm"),INDEX(상세표[종료],$M285)&amp;""))</f>
        <v/>
      </c>
      <c r="F285">
        <f>IF($M285="","",INDEX(상세표[기록 시간외],$M285))</f>
        <v/>
      </c>
      <c r="G285">
        <f>IF($M285="","",INDEX(상세표[시작월 기관],$M285)&amp;"")</f>
        <v/>
      </c>
      <c r="H285">
        <f>IF($M285="","",INDEX(상세표[종료월 기관],$M285)&amp;"")</f>
        <v/>
      </c>
      <c r="I285">
        <f>IF($M285="","",INDEX(상세표[월경계 판정],$M285)&amp;"")</f>
        <v/>
      </c>
      <c r="J285">
        <f>IF($M285="","",INDEX(상세표[반영월],$M285)&amp;"")</f>
        <v/>
      </c>
      <c r="K285">
        <f>IF($M285="","",INDEX(상세표[반영 기관],$M285)&amp;"")</f>
        <v/>
      </c>
      <c r="L285">
        <f>IF($M285="","",INDEX(상세표[기관 출처],$M285)&amp;"")</f>
        <v/>
      </c>
      <c r="M285" s="4">
        <f>IFERROR(MATCH(280,상세표[경계순번],0),"")</f>
        <v/>
      </c>
    </row>
    <row r="286">
      <c r="A286">
        <f>IF($M286="","",INDEX(상세표[사번],$M286)&amp;"")</f>
        <v/>
      </c>
      <c r="B286">
        <f>IF($M286="","",INDEX(상세표[성명],$M286)&amp;"")</f>
        <v/>
      </c>
      <c r="C286">
        <f>IF($M286="","",IF(INDEX(상세표[종료월],$M286)=대상월키,"전월→이번 달","이번 달→익월"))</f>
        <v/>
      </c>
      <c r="D286">
        <f>IF($M286="","",IF(ISNUMBER(INDEX(상세표[시작],$M286)),TEXT(INDEX(상세표[시작],$M286),"yyyy-mm-dd hh:mm"),INDEX(상세표[시작],$M286)&amp;""))</f>
        <v/>
      </c>
      <c r="E286">
        <f>IF($M286="","",IF(ISNUMBER(INDEX(상세표[종료],$M286)),TEXT(INDEX(상세표[종료],$M286),"yyyy-mm-dd hh:mm"),INDEX(상세표[종료],$M286)&amp;""))</f>
        <v/>
      </c>
      <c r="F286">
        <f>IF($M286="","",INDEX(상세표[기록 시간외],$M286))</f>
        <v/>
      </c>
      <c r="G286">
        <f>IF($M286="","",INDEX(상세표[시작월 기관],$M286)&amp;"")</f>
        <v/>
      </c>
      <c r="H286">
        <f>IF($M286="","",INDEX(상세표[종료월 기관],$M286)&amp;"")</f>
        <v/>
      </c>
      <c r="I286">
        <f>IF($M286="","",INDEX(상세표[월경계 판정],$M286)&amp;"")</f>
        <v/>
      </c>
      <c r="J286">
        <f>IF($M286="","",INDEX(상세표[반영월],$M286)&amp;"")</f>
        <v/>
      </c>
      <c r="K286">
        <f>IF($M286="","",INDEX(상세표[반영 기관],$M286)&amp;"")</f>
        <v/>
      </c>
      <c r="L286">
        <f>IF($M286="","",INDEX(상세표[기관 출처],$M286)&amp;"")</f>
        <v/>
      </c>
      <c r="M286" s="4">
        <f>IFERROR(MATCH(281,상세표[경계순번],0),"")</f>
        <v/>
      </c>
    </row>
    <row r="287">
      <c r="A287">
        <f>IF($M287="","",INDEX(상세표[사번],$M287)&amp;"")</f>
        <v/>
      </c>
      <c r="B287">
        <f>IF($M287="","",INDEX(상세표[성명],$M287)&amp;"")</f>
        <v/>
      </c>
      <c r="C287">
        <f>IF($M287="","",IF(INDEX(상세표[종료월],$M287)=대상월키,"전월→이번 달","이번 달→익월"))</f>
        <v/>
      </c>
      <c r="D287">
        <f>IF($M287="","",IF(ISNUMBER(INDEX(상세표[시작],$M287)),TEXT(INDEX(상세표[시작],$M287),"yyyy-mm-dd hh:mm"),INDEX(상세표[시작],$M287)&amp;""))</f>
        <v/>
      </c>
      <c r="E287">
        <f>IF($M287="","",IF(ISNUMBER(INDEX(상세표[종료],$M287)),TEXT(INDEX(상세표[종료],$M287),"yyyy-mm-dd hh:mm"),INDEX(상세표[종료],$M287)&amp;""))</f>
        <v/>
      </c>
      <c r="F287">
        <f>IF($M287="","",INDEX(상세표[기록 시간외],$M287))</f>
        <v/>
      </c>
      <c r="G287">
        <f>IF($M287="","",INDEX(상세표[시작월 기관],$M287)&amp;"")</f>
        <v/>
      </c>
      <c r="H287">
        <f>IF($M287="","",INDEX(상세표[종료월 기관],$M287)&amp;"")</f>
        <v/>
      </c>
      <c r="I287">
        <f>IF($M287="","",INDEX(상세표[월경계 판정],$M287)&amp;"")</f>
        <v/>
      </c>
      <c r="J287">
        <f>IF($M287="","",INDEX(상세표[반영월],$M287)&amp;"")</f>
        <v/>
      </c>
      <c r="K287">
        <f>IF($M287="","",INDEX(상세표[반영 기관],$M287)&amp;"")</f>
        <v/>
      </c>
      <c r="L287">
        <f>IF($M287="","",INDEX(상세표[기관 출처],$M287)&amp;"")</f>
        <v/>
      </c>
      <c r="M287" s="4">
        <f>IFERROR(MATCH(282,상세표[경계순번],0),"")</f>
        <v/>
      </c>
    </row>
    <row r="288">
      <c r="A288">
        <f>IF($M288="","",INDEX(상세표[사번],$M288)&amp;"")</f>
        <v/>
      </c>
      <c r="B288">
        <f>IF($M288="","",INDEX(상세표[성명],$M288)&amp;"")</f>
        <v/>
      </c>
      <c r="C288">
        <f>IF($M288="","",IF(INDEX(상세표[종료월],$M288)=대상월키,"전월→이번 달","이번 달→익월"))</f>
        <v/>
      </c>
      <c r="D288">
        <f>IF($M288="","",IF(ISNUMBER(INDEX(상세표[시작],$M288)),TEXT(INDEX(상세표[시작],$M288),"yyyy-mm-dd hh:mm"),INDEX(상세표[시작],$M288)&amp;""))</f>
        <v/>
      </c>
      <c r="E288">
        <f>IF($M288="","",IF(ISNUMBER(INDEX(상세표[종료],$M288)),TEXT(INDEX(상세표[종료],$M288),"yyyy-mm-dd hh:mm"),INDEX(상세표[종료],$M288)&amp;""))</f>
        <v/>
      </c>
      <c r="F288">
        <f>IF($M288="","",INDEX(상세표[기록 시간외],$M288))</f>
        <v/>
      </c>
      <c r="G288">
        <f>IF($M288="","",INDEX(상세표[시작월 기관],$M288)&amp;"")</f>
        <v/>
      </c>
      <c r="H288">
        <f>IF($M288="","",INDEX(상세표[종료월 기관],$M288)&amp;"")</f>
        <v/>
      </c>
      <c r="I288">
        <f>IF($M288="","",INDEX(상세표[월경계 판정],$M288)&amp;"")</f>
        <v/>
      </c>
      <c r="J288">
        <f>IF($M288="","",INDEX(상세표[반영월],$M288)&amp;"")</f>
        <v/>
      </c>
      <c r="K288">
        <f>IF($M288="","",INDEX(상세표[반영 기관],$M288)&amp;"")</f>
        <v/>
      </c>
      <c r="L288">
        <f>IF($M288="","",INDEX(상세표[기관 출처],$M288)&amp;"")</f>
        <v/>
      </c>
      <c r="M288" s="4">
        <f>IFERROR(MATCH(283,상세표[경계순번],0),"")</f>
        <v/>
      </c>
    </row>
    <row r="289">
      <c r="A289">
        <f>IF($M289="","",INDEX(상세표[사번],$M289)&amp;"")</f>
        <v/>
      </c>
      <c r="B289">
        <f>IF($M289="","",INDEX(상세표[성명],$M289)&amp;"")</f>
        <v/>
      </c>
      <c r="C289">
        <f>IF($M289="","",IF(INDEX(상세표[종료월],$M289)=대상월키,"전월→이번 달","이번 달→익월"))</f>
        <v/>
      </c>
      <c r="D289">
        <f>IF($M289="","",IF(ISNUMBER(INDEX(상세표[시작],$M289)),TEXT(INDEX(상세표[시작],$M289),"yyyy-mm-dd hh:mm"),INDEX(상세표[시작],$M289)&amp;""))</f>
        <v/>
      </c>
      <c r="E289">
        <f>IF($M289="","",IF(ISNUMBER(INDEX(상세표[종료],$M289)),TEXT(INDEX(상세표[종료],$M289),"yyyy-mm-dd hh:mm"),INDEX(상세표[종료],$M289)&amp;""))</f>
        <v/>
      </c>
      <c r="F289">
        <f>IF($M289="","",INDEX(상세표[기록 시간외],$M289))</f>
        <v/>
      </c>
      <c r="G289">
        <f>IF($M289="","",INDEX(상세표[시작월 기관],$M289)&amp;"")</f>
        <v/>
      </c>
      <c r="H289">
        <f>IF($M289="","",INDEX(상세표[종료월 기관],$M289)&amp;"")</f>
        <v/>
      </c>
      <c r="I289">
        <f>IF($M289="","",INDEX(상세표[월경계 판정],$M289)&amp;"")</f>
        <v/>
      </c>
      <c r="J289">
        <f>IF($M289="","",INDEX(상세표[반영월],$M289)&amp;"")</f>
        <v/>
      </c>
      <c r="K289">
        <f>IF($M289="","",INDEX(상세표[반영 기관],$M289)&amp;"")</f>
        <v/>
      </c>
      <c r="L289">
        <f>IF($M289="","",INDEX(상세표[기관 출처],$M289)&amp;"")</f>
        <v/>
      </c>
      <c r="M289" s="4">
        <f>IFERROR(MATCH(284,상세표[경계순번],0),"")</f>
        <v/>
      </c>
    </row>
    <row r="290">
      <c r="A290">
        <f>IF($M290="","",INDEX(상세표[사번],$M290)&amp;"")</f>
        <v/>
      </c>
      <c r="B290">
        <f>IF($M290="","",INDEX(상세표[성명],$M290)&amp;"")</f>
        <v/>
      </c>
      <c r="C290">
        <f>IF($M290="","",IF(INDEX(상세표[종료월],$M290)=대상월키,"전월→이번 달","이번 달→익월"))</f>
        <v/>
      </c>
      <c r="D290">
        <f>IF($M290="","",IF(ISNUMBER(INDEX(상세표[시작],$M290)),TEXT(INDEX(상세표[시작],$M290),"yyyy-mm-dd hh:mm"),INDEX(상세표[시작],$M290)&amp;""))</f>
        <v/>
      </c>
      <c r="E290">
        <f>IF($M290="","",IF(ISNUMBER(INDEX(상세표[종료],$M290)),TEXT(INDEX(상세표[종료],$M290),"yyyy-mm-dd hh:mm"),INDEX(상세표[종료],$M290)&amp;""))</f>
        <v/>
      </c>
      <c r="F290">
        <f>IF($M290="","",INDEX(상세표[기록 시간외],$M290))</f>
        <v/>
      </c>
      <c r="G290">
        <f>IF($M290="","",INDEX(상세표[시작월 기관],$M290)&amp;"")</f>
        <v/>
      </c>
      <c r="H290">
        <f>IF($M290="","",INDEX(상세표[종료월 기관],$M290)&amp;"")</f>
        <v/>
      </c>
      <c r="I290">
        <f>IF($M290="","",INDEX(상세표[월경계 판정],$M290)&amp;"")</f>
        <v/>
      </c>
      <c r="J290">
        <f>IF($M290="","",INDEX(상세표[반영월],$M290)&amp;"")</f>
        <v/>
      </c>
      <c r="K290">
        <f>IF($M290="","",INDEX(상세표[반영 기관],$M290)&amp;"")</f>
        <v/>
      </c>
      <c r="L290">
        <f>IF($M290="","",INDEX(상세표[기관 출처],$M290)&amp;"")</f>
        <v/>
      </c>
      <c r="M290" s="4">
        <f>IFERROR(MATCH(285,상세표[경계순번],0),"")</f>
        <v/>
      </c>
    </row>
    <row r="291">
      <c r="A291">
        <f>IF($M291="","",INDEX(상세표[사번],$M291)&amp;"")</f>
        <v/>
      </c>
      <c r="B291">
        <f>IF($M291="","",INDEX(상세표[성명],$M291)&amp;"")</f>
        <v/>
      </c>
      <c r="C291">
        <f>IF($M291="","",IF(INDEX(상세표[종료월],$M291)=대상월키,"전월→이번 달","이번 달→익월"))</f>
        <v/>
      </c>
      <c r="D291">
        <f>IF($M291="","",IF(ISNUMBER(INDEX(상세표[시작],$M291)),TEXT(INDEX(상세표[시작],$M291),"yyyy-mm-dd hh:mm"),INDEX(상세표[시작],$M291)&amp;""))</f>
        <v/>
      </c>
      <c r="E291">
        <f>IF($M291="","",IF(ISNUMBER(INDEX(상세표[종료],$M291)),TEXT(INDEX(상세표[종료],$M291),"yyyy-mm-dd hh:mm"),INDEX(상세표[종료],$M291)&amp;""))</f>
        <v/>
      </c>
      <c r="F291">
        <f>IF($M291="","",INDEX(상세표[기록 시간외],$M291))</f>
        <v/>
      </c>
      <c r="G291">
        <f>IF($M291="","",INDEX(상세표[시작월 기관],$M291)&amp;"")</f>
        <v/>
      </c>
      <c r="H291">
        <f>IF($M291="","",INDEX(상세표[종료월 기관],$M291)&amp;"")</f>
        <v/>
      </c>
      <c r="I291">
        <f>IF($M291="","",INDEX(상세표[월경계 판정],$M291)&amp;"")</f>
        <v/>
      </c>
      <c r="J291">
        <f>IF($M291="","",INDEX(상세표[반영월],$M291)&amp;"")</f>
        <v/>
      </c>
      <c r="K291">
        <f>IF($M291="","",INDEX(상세표[반영 기관],$M291)&amp;"")</f>
        <v/>
      </c>
      <c r="L291">
        <f>IF($M291="","",INDEX(상세표[기관 출처],$M291)&amp;"")</f>
        <v/>
      </c>
      <c r="M291" s="4">
        <f>IFERROR(MATCH(286,상세표[경계순번],0),"")</f>
        <v/>
      </c>
    </row>
    <row r="292">
      <c r="A292">
        <f>IF($M292="","",INDEX(상세표[사번],$M292)&amp;"")</f>
        <v/>
      </c>
      <c r="B292">
        <f>IF($M292="","",INDEX(상세표[성명],$M292)&amp;"")</f>
        <v/>
      </c>
      <c r="C292">
        <f>IF($M292="","",IF(INDEX(상세표[종료월],$M292)=대상월키,"전월→이번 달","이번 달→익월"))</f>
        <v/>
      </c>
      <c r="D292">
        <f>IF($M292="","",IF(ISNUMBER(INDEX(상세표[시작],$M292)),TEXT(INDEX(상세표[시작],$M292),"yyyy-mm-dd hh:mm"),INDEX(상세표[시작],$M292)&amp;""))</f>
        <v/>
      </c>
      <c r="E292">
        <f>IF($M292="","",IF(ISNUMBER(INDEX(상세표[종료],$M292)),TEXT(INDEX(상세표[종료],$M292),"yyyy-mm-dd hh:mm"),INDEX(상세표[종료],$M292)&amp;""))</f>
        <v/>
      </c>
      <c r="F292">
        <f>IF($M292="","",INDEX(상세표[기록 시간외],$M292))</f>
        <v/>
      </c>
      <c r="G292">
        <f>IF($M292="","",INDEX(상세표[시작월 기관],$M292)&amp;"")</f>
        <v/>
      </c>
      <c r="H292">
        <f>IF($M292="","",INDEX(상세표[종료월 기관],$M292)&amp;"")</f>
        <v/>
      </c>
      <c r="I292">
        <f>IF($M292="","",INDEX(상세표[월경계 판정],$M292)&amp;"")</f>
        <v/>
      </c>
      <c r="J292">
        <f>IF($M292="","",INDEX(상세표[반영월],$M292)&amp;"")</f>
        <v/>
      </c>
      <c r="K292">
        <f>IF($M292="","",INDEX(상세표[반영 기관],$M292)&amp;"")</f>
        <v/>
      </c>
      <c r="L292">
        <f>IF($M292="","",INDEX(상세표[기관 출처],$M292)&amp;"")</f>
        <v/>
      </c>
      <c r="M292" s="4">
        <f>IFERROR(MATCH(287,상세표[경계순번],0),"")</f>
        <v/>
      </c>
    </row>
    <row r="293">
      <c r="A293">
        <f>IF($M293="","",INDEX(상세표[사번],$M293)&amp;"")</f>
        <v/>
      </c>
      <c r="B293">
        <f>IF($M293="","",INDEX(상세표[성명],$M293)&amp;"")</f>
        <v/>
      </c>
      <c r="C293">
        <f>IF($M293="","",IF(INDEX(상세표[종료월],$M293)=대상월키,"전월→이번 달","이번 달→익월"))</f>
        <v/>
      </c>
      <c r="D293">
        <f>IF($M293="","",IF(ISNUMBER(INDEX(상세표[시작],$M293)),TEXT(INDEX(상세표[시작],$M293),"yyyy-mm-dd hh:mm"),INDEX(상세표[시작],$M293)&amp;""))</f>
        <v/>
      </c>
      <c r="E293">
        <f>IF($M293="","",IF(ISNUMBER(INDEX(상세표[종료],$M293)),TEXT(INDEX(상세표[종료],$M293),"yyyy-mm-dd hh:mm"),INDEX(상세표[종료],$M293)&amp;""))</f>
        <v/>
      </c>
      <c r="F293">
        <f>IF($M293="","",INDEX(상세표[기록 시간외],$M293))</f>
        <v/>
      </c>
      <c r="G293">
        <f>IF($M293="","",INDEX(상세표[시작월 기관],$M293)&amp;"")</f>
        <v/>
      </c>
      <c r="H293">
        <f>IF($M293="","",INDEX(상세표[종료월 기관],$M293)&amp;"")</f>
        <v/>
      </c>
      <c r="I293">
        <f>IF($M293="","",INDEX(상세표[월경계 판정],$M293)&amp;"")</f>
        <v/>
      </c>
      <c r="J293">
        <f>IF($M293="","",INDEX(상세표[반영월],$M293)&amp;"")</f>
        <v/>
      </c>
      <c r="K293">
        <f>IF($M293="","",INDEX(상세표[반영 기관],$M293)&amp;"")</f>
        <v/>
      </c>
      <c r="L293">
        <f>IF($M293="","",INDEX(상세표[기관 출처],$M293)&amp;"")</f>
        <v/>
      </c>
      <c r="M293" s="4">
        <f>IFERROR(MATCH(288,상세표[경계순번],0),"")</f>
        <v/>
      </c>
    </row>
    <row r="294">
      <c r="A294">
        <f>IF($M294="","",INDEX(상세표[사번],$M294)&amp;"")</f>
        <v/>
      </c>
      <c r="B294">
        <f>IF($M294="","",INDEX(상세표[성명],$M294)&amp;"")</f>
        <v/>
      </c>
      <c r="C294">
        <f>IF($M294="","",IF(INDEX(상세표[종료월],$M294)=대상월키,"전월→이번 달","이번 달→익월"))</f>
        <v/>
      </c>
      <c r="D294">
        <f>IF($M294="","",IF(ISNUMBER(INDEX(상세표[시작],$M294)),TEXT(INDEX(상세표[시작],$M294),"yyyy-mm-dd hh:mm"),INDEX(상세표[시작],$M294)&amp;""))</f>
        <v/>
      </c>
      <c r="E294">
        <f>IF($M294="","",IF(ISNUMBER(INDEX(상세표[종료],$M294)),TEXT(INDEX(상세표[종료],$M294),"yyyy-mm-dd hh:mm"),INDEX(상세표[종료],$M294)&amp;""))</f>
        <v/>
      </c>
      <c r="F294">
        <f>IF($M294="","",INDEX(상세표[기록 시간외],$M294))</f>
        <v/>
      </c>
      <c r="G294">
        <f>IF($M294="","",INDEX(상세표[시작월 기관],$M294)&amp;"")</f>
        <v/>
      </c>
      <c r="H294">
        <f>IF($M294="","",INDEX(상세표[종료월 기관],$M294)&amp;"")</f>
        <v/>
      </c>
      <c r="I294">
        <f>IF($M294="","",INDEX(상세표[월경계 판정],$M294)&amp;"")</f>
        <v/>
      </c>
      <c r="J294">
        <f>IF($M294="","",INDEX(상세표[반영월],$M294)&amp;"")</f>
        <v/>
      </c>
      <c r="K294">
        <f>IF($M294="","",INDEX(상세표[반영 기관],$M294)&amp;"")</f>
        <v/>
      </c>
      <c r="L294">
        <f>IF($M294="","",INDEX(상세표[기관 출처],$M294)&amp;"")</f>
        <v/>
      </c>
      <c r="M294" s="4">
        <f>IFERROR(MATCH(289,상세표[경계순번],0),"")</f>
        <v/>
      </c>
    </row>
    <row r="295">
      <c r="A295">
        <f>IF($M295="","",INDEX(상세표[사번],$M295)&amp;"")</f>
        <v/>
      </c>
      <c r="B295">
        <f>IF($M295="","",INDEX(상세표[성명],$M295)&amp;"")</f>
        <v/>
      </c>
      <c r="C295">
        <f>IF($M295="","",IF(INDEX(상세표[종료월],$M295)=대상월키,"전월→이번 달","이번 달→익월"))</f>
        <v/>
      </c>
      <c r="D295">
        <f>IF($M295="","",IF(ISNUMBER(INDEX(상세표[시작],$M295)),TEXT(INDEX(상세표[시작],$M295),"yyyy-mm-dd hh:mm"),INDEX(상세표[시작],$M295)&amp;""))</f>
        <v/>
      </c>
      <c r="E295">
        <f>IF($M295="","",IF(ISNUMBER(INDEX(상세표[종료],$M295)),TEXT(INDEX(상세표[종료],$M295),"yyyy-mm-dd hh:mm"),INDEX(상세표[종료],$M295)&amp;""))</f>
        <v/>
      </c>
      <c r="F295">
        <f>IF($M295="","",INDEX(상세표[기록 시간외],$M295))</f>
        <v/>
      </c>
      <c r="G295">
        <f>IF($M295="","",INDEX(상세표[시작월 기관],$M295)&amp;"")</f>
        <v/>
      </c>
      <c r="H295">
        <f>IF($M295="","",INDEX(상세표[종료월 기관],$M295)&amp;"")</f>
        <v/>
      </c>
      <c r="I295">
        <f>IF($M295="","",INDEX(상세표[월경계 판정],$M295)&amp;"")</f>
        <v/>
      </c>
      <c r="J295">
        <f>IF($M295="","",INDEX(상세표[반영월],$M295)&amp;"")</f>
        <v/>
      </c>
      <c r="K295">
        <f>IF($M295="","",INDEX(상세표[반영 기관],$M295)&amp;"")</f>
        <v/>
      </c>
      <c r="L295">
        <f>IF($M295="","",INDEX(상세표[기관 출처],$M295)&amp;"")</f>
        <v/>
      </c>
      <c r="M295" s="4">
        <f>IFERROR(MATCH(290,상세표[경계순번],0),"")</f>
        <v/>
      </c>
    </row>
    <row r="296">
      <c r="A296">
        <f>IF($M296="","",INDEX(상세표[사번],$M296)&amp;"")</f>
        <v/>
      </c>
      <c r="B296">
        <f>IF($M296="","",INDEX(상세표[성명],$M296)&amp;"")</f>
        <v/>
      </c>
      <c r="C296">
        <f>IF($M296="","",IF(INDEX(상세표[종료월],$M296)=대상월키,"전월→이번 달","이번 달→익월"))</f>
        <v/>
      </c>
      <c r="D296">
        <f>IF($M296="","",IF(ISNUMBER(INDEX(상세표[시작],$M296)),TEXT(INDEX(상세표[시작],$M296),"yyyy-mm-dd hh:mm"),INDEX(상세표[시작],$M296)&amp;""))</f>
        <v/>
      </c>
      <c r="E296">
        <f>IF($M296="","",IF(ISNUMBER(INDEX(상세표[종료],$M296)),TEXT(INDEX(상세표[종료],$M296),"yyyy-mm-dd hh:mm"),INDEX(상세표[종료],$M296)&amp;""))</f>
        <v/>
      </c>
      <c r="F296">
        <f>IF($M296="","",INDEX(상세표[기록 시간외],$M296))</f>
        <v/>
      </c>
      <c r="G296">
        <f>IF($M296="","",INDEX(상세표[시작월 기관],$M296)&amp;"")</f>
        <v/>
      </c>
      <c r="H296">
        <f>IF($M296="","",INDEX(상세표[종료월 기관],$M296)&amp;"")</f>
        <v/>
      </c>
      <c r="I296">
        <f>IF($M296="","",INDEX(상세표[월경계 판정],$M296)&amp;"")</f>
        <v/>
      </c>
      <c r="J296">
        <f>IF($M296="","",INDEX(상세표[반영월],$M296)&amp;"")</f>
        <v/>
      </c>
      <c r="K296">
        <f>IF($M296="","",INDEX(상세표[반영 기관],$M296)&amp;"")</f>
        <v/>
      </c>
      <c r="L296">
        <f>IF($M296="","",INDEX(상세표[기관 출처],$M296)&amp;"")</f>
        <v/>
      </c>
      <c r="M296" s="4">
        <f>IFERROR(MATCH(291,상세표[경계순번],0),"")</f>
        <v/>
      </c>
    </row>
    <row r="297">
      <c r="A297">
        <f>IF($M297="","",INDEX(상세표[사번],$M297)&amp;"")</f>
        <v/>
      </c>
      <c r="B297">
        <f>IF($M297="","",INDEX(상세표[성명],$M297)&amp;"")</f>
        <v/>
      </c>
      <c r="C297">
        <f>IF($M297="","",IF(INDEX(상세표[종료월],$M297)=대상월키,"전월→이번 달","이번 달→익월"))</f>
        <v/>
      </c>
      <c r="D297">
        <f>IF($M297="","",IF(ISNUMBER(INDEX(상세표[시작],$M297)),TEXT(INDEX(상세표[시작],$M297),"yyyy-mm-dd hh:mm"),INDEX(상세표[시작],$M297)&amp;""))</f>
        <v/>
      </c>
      <c r="E297">
        <f>IF($M297="","",IF(ISNUMBER(INDEX(상세표[종료],$M297)),TEXT(INDEX(상세표[종료],$M297),"yyyy-mm-dd hh:mm"),INDEX(상세표[종료],$M297)&amp;""))</f>
        <v/>
      </c>
      <c r="F297">
        <f>IF($M297="","",INDEX(상세표[기록 시간외],$M297))</f>
        <v/>
      </c>
      <c r="G297">
        <f>IF($M297="","",INDEX(상세표[시작월 기관],$M297)&amp;"")</f>
        <v/>
      </c>
      <c r="H297">
        <f>IF($M297="","",INDEX(상세표[종료월 기관],$M297)&amp;"")</f>
        <v/>
      </c>
      <c r="I297">
        <f>IF($M297="","",INDEX(상세표[월경계 판정],$M297)&amp;"")</f>
        <v/>
      </c>
      <c r="J297">
        <f>IF($M297="","",INDEX(상세표[반영월],$M297)&amp;"")</f>
        <v/>
      </c>
      <c r="K297">
        <f>IF($M297="","",INDEX(상세표[반영 기관],$M297)&amp;"")</f>
        <v/>
      </c>
      <c r="L297">
        <f>IF($M297="","",INDEX(상세표[기관 출처],$M297)&amp;"")</f>
        <v/>
      </c>
      <c r="M297" s="4">
        <f>IFERROR(MATCH(292,상세표[경계순번],0),"")</f>
        <v/>
      </c>
    </row>
    <row r="298">
      <c r="A298">
        <f>IF($M298="","",INDEX(상세표[사번],$M298)&amp;"")</f>
        <v/>
      </c>
      <c r="B298">
        <f>IF($M298="","",INDEX(상세표[성명],$M298)&amp;"")</f>
        <v/>
      </c>
      <c r="C298">
        <f>IF($M298="","",IF(INDEX(상세표[종료월],$M298)=대상월키,"전월→이번 달","이번 달→익월"))</f>
        <v/>
      </c>
      <c r="D298">
        <f>IF($M298="","",IF(ISNUMBER(INDEX(상세표[시작],$M298)),TEXT(INDEX(상세표[시작],$M298),"yyyy-mm-dd hh:mm"),INDEX(상세표[시작],$M298)&amp;""))</f>
        <v/>
      </c>
      <c r="E298">
        <f>IF($M298="","",IF(ISNUMBER(INDEX(상세표[종료],$M298)),TEXT(INDEX(상세표[종료],$M298),"yyyy-mm-dd hh:mm"),INDEX(상세표[종료],$M298)&amp;""))</f>
        <v/>
      </c>
      <c r="F298">
        <f>IF($M298="","",INDEX(상세표[기록 시간외],$M298))</f>
        <v/>
      </c>
      <c r="G298">
        <f>IF($M298="","",INDEX(상세표[시작월 기관],$M298)&amp;"")</f>
        <v/>
      </c>
      <c r="H298">
        <f>IF($M298="","",INDEX(상세표[종료월 기관],$M298)&amp;"")</f>
        <v/>
      </c>
      <c r="I298">
        <f>IF($M298="","",INDEX(상세표[월경계 판정],$M298)&amp;"")</f>
        <v/>
      </c>
      <c r="J298">
        <f>IF($M298="","",INDEX(상세표[반영월],$M298)&amp;"")</f>
        <v/>
      </c>
      <c r="K298">
        <f>IF($M298="","",INDEX(상세표[반영 기관],$M298)&amp;"")</f>
        <v/>
      </c>
      <c r="L298">
        <f>IF($M298="","",INDEX(상세표[기관 출처],$M298)&amp;"")</f>
        <v/>
      </c>
      <c r="M298" s="4">
        <f>IFERROR(MATCH(293,상세표[경계순번],0),"")</f>
        <v/>
      </c>
    </row>
    <row r="299">
      <c r="A299">
        <f>IF($M299="","",INDEX(상세표[사번],$M299)&amp;"")</f>
        <v/>
      </c>
      <c r="B299">
        <f>IF($M299="","",INDEX(상세표[성명],$M299)&amp;"")</f>
        <v/>
      </c>
      <c r="C299">
        <f>IF($M299="","",IF(INDEX(상세표[종료월],$M299)=대상월키,"전월→이번 달","이번 달→익월"))</f>
        <v/>
      </c>
      <c r="D299">
        <f>IF($M299="","",IF(ISNUMBER(INDEX(상세표[시작],$M299)),TEXT(INDEX(상세표[시작],$M299),"yyyy-mm-dd hh:mm"),INDEX(상세표[시작],$M299)&amp;""))</f>
        <v/>
      </c>
      <c r="E299">
        <f>IF($M299="","",IF(ISNUMBER(INDEX(상세표[종료],$M299)),TEXT(INDEX(상세표[종료],$M299),"yyyy-mm-dd hh:mm"),INDEX(상세표[종료],$M299)&amp;""))</f>
        <v/>
      </c>
      <c r="F299">
        <f>IF($M299="","",INDEX(상세표[기록 시간외],$M299))</f>
        <v/>
      </c>
      <c r="G299">
        <f>IF($M299="","",INDEX(상세표[시작월 기관],$M299)&amp;"")</f>
        <v/>
      </c>
      <c r="H299">
        <f>IF($M299="","",INDEX(상세표[종료월 기관],$M299)&amp;"")</f>
        <v/>
      </c>
      <c r="I299">
        <f>IF($M299="","",INDEX(상세표[월경계 판정],$M299)&amp;"")</f>
        <v/>
      </c>
      <c r="J299">
        <f>IF($M299="","",INDEX(상세표[반영월],$M299)&amp;"")</f>
        <v/>
      </c>
      <c r="K299">
        <f>IF($M299="","",INDEX(상세표[반영 기관],$M299)&amp;"")</f>
        <v/>
      </c>
      <c r="L299">
        <f>IF($M299="","",INDEX(상세표[기관 출처],$M299)&amp;"")</f>
        <v/>
      </c>
      <c r="M299" s="4">
        <f>IFERROR(MATCH(294,상세표[경계순번],0),"")</f>
        <v/>
      </c>
    </row>
    <row r="300">
      <c r="A300">
        <f>IF($M300="","",INDEX(상세표[사번],$M300)&amp;"")</f>
        <v/>
      </c>
      <c r="B300">
        <f>IF($M300="","",INDEX(상세표[성명],$M300)&amp;"")</f>
        <v/>
      </c>
      <c r="C300">
        <f>IF($M300="","",IF(INDEX(상세표[종료월],$M300)=대상월키,"전월→이번 달","이번 달→익월"))</f>
        <v/>
      </c>
      <c r="D300">
        <f>IF($M300="","",IF(ISNUMBER(INDEX(상세표[시작],$M300)),TEXT(INDEX(상세표[시작],$M300),"yyyy-mm-dd hh:mm"),INDEX(상세표[시작],$M300)&amp;""))</f>
        <v/>
      </c>
      <c r="E300">
        <f>IF($M300="","",IF(ISNUMBER(INDEX(상세표[종료],$M300)),TEXT(INDEX(상세표[종료],$M300),"yyyy-mm-dd hh:mm"),INDEX(상세표[종료],$M300)&amp;""))</f>
        <v/>
      </c>
      <c r="F300">
        <f>IF($M300="","",INDEX(상세표[기록 시간외],$M300))</f>
        <v/>
      </c>
      <c r="G300">
        <f>IF($M300="","",INDEX(상세표[시작월 기관],$M300)&amp;"")</f>
        <v/>
      </c>
      <c r="H300">
        <f>IF($M300="","",INDEX(상세표[종료월 기관],$M300)&amp;"")</f>
        <v/>
      </c>
      <c r="I300">
        <f>IF($M300="","",INDEX(상세표[월경계 판정],$M300)&amp;"")</f>
        <v/>
      </c>
      <c r="J300">
        <f>IF($M300="","",INDEX(상세표[반영월],$M300)&amp;"")</f>
        <v/>
      </c>
      <c r="K300">
        <f>IF($M300="","",INDEX(상세표[반영 기관],$M300)&amp;"")</f>
        <v/>
      </c>
      <c r="L300">
        <f>IF($M300="","",INDEX(상세표[기관 출처],$M300)&amp;"")</f>
        <v/>
      </c>
      <c r="M300" s="4">
        <f>IFERROR(MATCH(295,상세표[경계순번],0),"")</f>
        <v/>
      </c>
    </row>
    <row r="301">
      <c r="A301">
        <f>IF($M301="","",INDEX(상세표[사번],$M301)&amp;"")</f>
        <v/>
      </c>
      <c r="B301">
        <f>IF($M301="","",INDEX(상세표[성명],$M301)&amp;"")</f>
        <v/>
      </c>
      <c r="C301">
        <f>IF($M301="","",IF(INDEX(상세표[종료월],$M301)=대상월키,"전월→이번 달","이번 달→익월"))</f>
        <v/>
      </c>
      <c r="D301">
        <f>IF($M301="","",IF(ISNUMBER(INDEX(상세표[시작],$M301)),TEXT(INDEX(상세표[시작],$M301),"yyyy-mm-dd hh:mm"),INDEX(상세표[시작],$M301)&amp;""))</f>
        <v/>
      </c>
      <c r="E301">
        <f>IF($M301="","",IF(ISNUMBER(INDEX(상세표[종료],$M301)),TEXT(INDEX(상세표[종료],$M301),"yyyy-mm-dd hh:mm"),INDEX(상세표[종료],$M301)&amp;""))</f>
        <v/>
      </c>
      <c r="F301">
        <f>IF($M301="","",INDEX(상세표[기록 시간외],$M301))</f>
        <v/>
      </c>
      <c r="G301">
        <f>IF($M301="","",INDEX(상세표[시작월 기관],$M301)&amp;"")</f>
        <v/>
      </c>
      <c r="H301">
        <f>IF($M301="","",INDEX(상세표[종료월 기관],$M301)&amp;"")</f>
        <v/>
      </c>
      <c r="I301">
        <f>IF($M301="","",INDEX(상세표[월경계 판정],$M301)&amp;"")</f>
        <v/>
      </c>
      <c r="J301">
        <f>IF($M301="","",INDEX(상세표[반영월],$M301)&amp;"")</f>
        <v/>
      </c>
      <c r="K301">
        <f>IF($M301="","",INDEX(상세표[반영 기관],$M301)&amp;"")</f>
        <v/>
      </c>
      <c r="L301">
        <f>IF($M301="","",INDEX(상세표[기관 출처],$M301)&amp;"")</f>
        <v/>
      </c>
      <c r="M301" s="4">
        <f>IFERROR(MATCH(296,상세표[경계순번],0),"")</f>
        <v/>
      </c>
    </row>
    <row r="302">
      <c r="A302">
        <f>IF($M302="","",INDEX(상세표[사번],$M302)&amp;"")</f>
        <v/>
      </c>
      <c r="B302">
        <f>IF($M302="","",INDEX(상세표[성명],$M302)&amp;"")</f>
        <v/>
      </c>
      <c r="C302">
        <f>IF($M302="","",IF(INDEX(상세표[종료월],$M302)=대상월키,"전월→이번 달","이번 달→익월"))</f>
        <v/>
      </c>
      <c r="D302">
        <f>IF($M302="","",IF(ISNUMBER(INDEX(상세표[시작],$M302)),TEXT(INDEX(상세표[시작],$M302),"yyyy-mm-dd hh:mm"),INDEX(상세표[시작],$M302)&amp;""))</f>
        <v/>
      </c>
      <c r="E302">
        <f>IF($M302="","",IF(ISNUMBER(INDEX(상세표[종료],$M302)),TEXT(INDEX(상세표[종료],$M302),"yyyy-mm-dd hh:mm"),INDEX(상세표[종료],$M302)&amp;""))</f>
        <v/>
      </c>
      <c r="F302">
        <f>IF($M302="","",INDEX(상세표[기록 시간외],$M302))</f>
        <v/>
      </c>
      <c r="G302">
        <f>IF($M302="","",INDEX(상세표[시작월 기관],$M302)&amp;"")</f>
        <v/>
      </c>
      <c r="H302">
        <f>IF($M302="","",INDEX(상세표[종료월 기관],$M302)&amp;"")</f>
        <v/>
      </c>
      <c r="I302">
        <f>IF($M302="","",INDEX(상세표[월경계 판정],$M302)&amp;"")</f>
        <v/>
      </c>
      <c r="J302">
        <f>IF($M302="","",INDEX(상세표[반영월],$M302)&amp;"")</f>
        <v/>
      </c>
      <c r="K302">
        <f>IF($M302="","",INDEX(상세표[반영 기관],$M302)&amp;"")</f>
        <v/>
      </c>
      <c r="L302">
        <f>IF($M302="","",INDEX(상세표[기관 출처],$M302)&amp;"")</f>
        <v/>
      </c>
      <c r="M302" s="4">
        <f>IFERROR(MATCH(297,상세표[경계순번],0),"")</f>
        <v/>
      </c>
    </row>
    <row r="303">
      <c r="A303">
        <f>IF($M303="","",INDEX(상세표[사번],$M303)&amp;"")</f>
        <v/>
      </c>
      <c r="B303">
        <f>IF($M303="","",INDEX(상세표[성명],$M303)&amp;"")</f>
        <v/>
      </c>
      <c r="C303">
        <f>IF($M303="","",IF(INDEX(상세표[종료월],$M303)=대상월키,"전월→이번 달","이번 달→익월"))</f>
        <v/>
      </c>
      <c r="D303">
        <f>IF($M303="","",IF(ISNUMBER(INDEX(상세표[시작],$M303)),TEXT(INDEX(상세표[시작],$M303),"yyyy-mm-dd hh:mm"),INDEX(상세표[시작],$M303)&amp;""))</f>
        <v/>
      </c>
      <c r="E303">
        <f>IF($M303="","",IF(ISNUMBER(INDEX(상세표[종료],$M303)),TEXT(INDEX(상세표[종료],$M303),"yyyy-mm-dd hh:mm"),INDEX(상세표[종료],$M303)&amp;""))</f>
        <v/>
      </c>
      <c r="F303">
        <f>IF($M303="","",INDEX(상세표[기록 시간외],$M303))</f>
        <v/>
      </c>
      <c r="G303">
        <f>IF($M303="","",INDEX(상세표[시작월 기관],$M303)&amp;"")</f>
        <v/>
      </c>
      <c r="H303">
        <f>IF($M303="","",INDEX(상세표[종료월 기관],$M303)&amp;"")</f>
        <v/>
      </c>
      <c r="I303">
        <f>IF($M303="","",INDEX(상세표[월경계 판정],$M303)&amp;"")</f>
        <v/>
      </c>
      <c r="J303">
        <f>IF($M303="","",INDEX(상세표[반영월],$M303)&amp;"")</f>
        <v/>
      </c>
      <c r="K303">
        <f>IF($M303="","",INDEX(상세표[반영 기관],$M303)&amp;"")</f>
        <v/>
      </c>
      <c r="L303">
        <f>IF($M303="","",INDEX(상세표[기관 출처],$M303)&amp;"")</f>
        <v/>
      </c>
      <c r="M303" s="4">
        <f>IFERROR(MATCH(298,상세표[경계순번],0),"")</f>
        <v/>
      </c>
    </row>
    <row r="304">
      <c r="A304">
        <f>IF($M304="","",INDEX(상세표[사번],$M304)&amp;"")</f>
        <v/>
      </c>
      <c r="B304">
        <f>IF($M304="","",INDEX(상세표[성명],$M304)&amp;"")</f>
        <v/>
      </c>
      <c r="C304">
        <f>IF($M304="","",IF(INDEX(상세표[종료월],$M304)=대상월키,"전월→이번 달","이번 달→익월"))</f>
        <v/>
      </c>
      <c r="D304">
        <f>IF($M304="","",IF(ISNUMBER(INDEX(상세표[시작],$M304)),TEXT(INDEX(상세표[시작],$M304),"yyyy-mm-dd hh:mm"),INDEX(상세표[시작],$M304)&amp;""))</f>
        <v/>
      </c>
      <c r="E304">
        <f>IF($M304="","",IF(ISNUMBER(INDEX(상세표[종료],$M304)),TEXT(INDEX(상세표[종료],$M304),"yyyy-mm-dd hh:mm"),INDEX(상세표[종료],$M304)&amp;""))</f>
        <v/>
      </c>
      <c r="F304">
        <f>IF($M304="","",INDEX(상세표[기록 시간외],$M304))</f>
        <v/>
      </c>
      <c r="G304">
        <f>IF($M304="","",INDEX(상세표[시작월 기관],$M304)&amp;"")</f>
        <v/>
      </c>
      <c r="H304">
        <f>IF($M304="","",INDEX(상세표[종료월 기관],$M304)&amp;"")</f>
        <v/>
      </c>
      <c r="I304">
        <f>IF($M304="","",INDEX(상세표[월경계 판정],$M304)&amp;"")</f>
        <v/>
      </c>
      <c r="J304">
        <f>IF($M304="","",INDEX(상세표[반영월],$M304)&amp;"")</f>
        <v/>
      </c>
      <c r="K304">
        <f>IF($M304="","",INDEX(상세표[반영 기관],$M304)&amp;"")</f>
        <v/>
      </c>
      <c r="L304">
        <f>IF($M304="","",INDEX(상세표[기관 출처],$M304)&amp;"")</f>
        <v/>
      </c>
      <c r="M304" s="4">
        <f>IFERROR(MATCH(299,상세표[경계순번],0),"")</f>
        <v/>
      </c>
    </row>
    <row r="305">
      <c r="A305">
        <f>IF($M305="","",INDEX(상세표[사번],$M305)&amp;"")</f>
        <v/>
      </c>
      <c r="B305">
        <f>IF($M305="","",INDEX(상세표[성명],$M305)&amp;"")</f>
        <v/>
      </c>
      <c r="C305">
        <f>IF($M305="","",IF(INDEX(상세표[종료월],$M305)=대상월키,"전월→이번 달","이번 달→익월"))</f>
        <v/>
      </c>
      <c r="D305">
        <f>IF($M305="","",IF(ISNUMBER(INDEX(상세표[시작],$M305)),TEXT(INDEX(상세표[시작],$M305),"yyyy-mm-dd hh:mm"),INDEX(상세표[시작],$M305)&amp;""))</f>
        <v/>
      </c>
      <c r="E305">
        <f>IF($M305="","",IF(ISNUMBER(INDEX(상세표[종료],$M305)),TEXT(INDEX(상세표[종료],$M305),"yyyy-mm-dd hh:mm"),INDEX(상세표[종료],$M305)&amp;""))</f>
        <v/>
      </c>
      <c r="F305">
        <f>IF($M305="","",INDEX(상세표[기록 시간외],$M305))</f>
        <v/>
      </c>
      <c r="G305">
        <f>IF($M305="","",INDEX(상세표[시작월 기관],$M305)&amp;"")</f>
        <v/>
      </c>
      <c r="H305">
        <f>IF($M305="","",INDEX(상세표[종료월 기관],$M305)&amp;"")</f>
        <v/>
      </c>
      <c r="I305">
        <f>IF($M305="","",INDEX(상세표[월경계 판정],$M305)&amp;"")</f>
        <v/>
      </c>
      <c r="J305">
        <f>IF($M305="","",INDEX(상세표[반영월],$M305)&amp;"")</f>
        <v/>
      </c>
      <c r="K305">
        <f>IF($M305="","",INDEX(상세표[반영 기관],$M305)&amp;"")</f>
        <v/>
      </c>
      <c r="L305">
        <f>IF($M305="","",INDEX(상세표[기관 출처],$M305)&amp;"")</f>
        <v/>
      </c>
      <c r="M305" s="4">
        <f>IFERROR(MATCH(300,상세표[경계순번],0),"")</f>
        <v/>
      </c>
    </row>
    <row r="306">
      <c r="A306">
        <f>IF($M306="","",INDEX(상세표[사번],$M306)&amp;"")</f>
        <v/>
      </c>
      <c r="B306">
        <f>IF($M306="","",INDEX(상세표[성명],$M306)&amp;"")</f>
        <v/>
      </c>
      <c r="C306">
        <f>IF($M306="","",IF(INDEX(상세표[종료월],$M306)=대상월키,"전월→이번 달","이번 달→익월"))</f>
        <v/>
      </c>
      <c r="D306">
        <f>IF($M306="","",IF(ISNUMBER(INDEX(상세표[시작],$M306)),TEXT(INDEX(상세표[시작],$M306),"yyyy-mm-dd hh:mm"),INDEX(상세표[시작],$M306)&amp;""))</f>
        <v/>
      </c>
      <c r="E306">
        <f>IF($M306="","",IF(ISNUMBER(INDEX(상세표[종료],$M306)),TEXT(INDEX(상세표[종료],$M306),"yyyy-mm-dd hh:mm"),INDEX(상세표[종료],$M306)&amp;""))</f>
        <v/>
      </c>
      <c r="F306">
        <f>IF($M306="","",INDEX(상세표[기록 시간외],$M306))</f>
        <v/>
      </c>
      <c r="G306">
        <f>IF($M306="","",INDEX(상세표[시작월 기관],$M306)&amp;"")</f>
        <v/>
      </c>
      <c r="H306">
        <f>IF($M306="","",INDEX(상세표[종료월 기관],$M306)&amp;"")</f>
        <v/>
      </c>
      <c r="I306">
        <f>IF($M306="","",INDEX(상세표[월경계 판정],$M306)&amp;"")</f>
        <v/>
      </c>
      <c r="J306">
        <f>IF($M306="","",INDEX(상세표[반영월],$M306)&amp;"")</f>
        <v/>
      </c>
      <c r="K306">
        <f>IF($M306="","",INDEX(상세표[반영 기관],$M306)&amp;"")</f>
        <v/>
      </c>
      <c r="L306">
        <f>IF($M306="","",INDEX(상세표[기관 출처],$M306)&amp;"")</f>
        <v/>
      </c>
      <c r="M306" s="4">
        <f>IFERROR(MATCH(301,상세표[경계순번],0),"")</f>
        <v/>
      </c>
    </row>
    <row r="307">
      <c r="A307">
        <f>IF($M307="","",INDEX(상세표[사번],$M307)&amp;"")</f>
        <v/>
      </c>
      <c r="B307">
        <f>IF($M307="","",INDEX(상세표[성명],$M307)&amp;"")</f>
        <v/>
      </c>
      <c r="C307">
        <f>IF($M307="","",IF(INDEX(상세표[종료월],$M307)=대상월키,"전월→이번 달","이번 달→익월"))</f>
        <v/>
      </c>
      <c r="D307">
        <f>IF($M307="","",IF(ISNUMBER(INDEX(상세표[시작],$M307)),TEXT(INDEX(상세표[시작],$M307),"yyyy-mm-dd hh:mm"),INDEX(상세표[시작],$M307)&amp;""))</f>
        <v/>
      </c>
      <c r="E307">
        <f>IF($M307="","",IF(ISNUMBER(INDEX(상세표[종료],$M307)),TEXT(INDEX(상세표[종료],$M307),"yyyy-mm-dd hh:mm"),INDEX(상세표[종료],$M307)&amp;""))</f>
        <v/>
      </c>
      <c r="F307">
        <f>IF($M307="","",INDEX(상세표[기록 시간외],$M307))</f>
        <v/>
      </c>
      <c r="G307">
        <f>IF($M307="","",INDEX(상세표[시작월 기관],$M307)&amp;"")</f>
        <v/>
      </c>
      <c r="H307">
        <f>IF($M307="","",INDEX(상세표[종료월 기관],$M307)&amp;"")</f>
        <v/>
      </c>
      <c r="I307">
        <f>IF($M307="","",INDEX(상세표[월경계 판정],$M307)&amp;"")</f>
        <v/>
      </c>
      <c r="J307">
        <f>IF($M307="","",INDEX(상세표[반영월],$M307)&amp;"")</f>
        <v/>
      </c>
      <c r="K307">
        <f>IF($M307="","",INDEX(상세표[반영 기관],$M307)&amp;"")</f>
        <v/>
      </c>
      <c r="L307">
        <f>IF($M307="","",INDEX(상세표[기관 출처],$M307)&amp;"")</f>
        <v/>
      </c>
      <c r="M307" s="4">
        <f>IFERROR(MATCH(302,상세표[경계순번],0),"")</f>
        <v/>
      </c>
    </row>
    <row r="308">
      <c r="A308">
        <f>IF($M308="","",INDEX(상세표[사번],$M308)&amp;"")</f>
        <v/>
      </c>
      <c r="B308">
        <f>IF($M308="","",INDEX(상세표[성명],$M308)&amp;"")</f>
        <v/>
      </c>
      <c r="C308">
        <f>IF($M308="","",IF(INDEX(상세표[종료월],$M308)=대상월키,"전월→이번 달","이번 달→익월"))</f>
        <v/>
      </c>
      <c r="D308">
        <f>IF($M308="","",IF(ISNUMBER(INDEX(상세표[시작],$M308)),TEXT(INDEX(상세표[시작],$M308),"yyyy-mm-dd hh:mm"),INDEX(상세표[시작],$M308)&amp;""))</f>
        <v/>
      </c>
      <c r="E308">
        <f>IF($M308="","",IF(ISNUMBER(INDEX(상세표[종료],$M308)),TEXT(INDEX(상세표[종료],$M308),"yyyy-mm-dd hh:mm"),INDEX(상세표[종료],$M308)&amp;""))</f>
        <v/>
      </c>
      <c r="F308">
        <f>IF($M308="","",INDEX(상세표[기록 시간외],$M308))</f>
        <v/>
      </c>
      <c r="G308">
        <f>IF($M308="","",INDEX(상세표[시작월 기관],$M308)&amp;"")</f>
        <v/>
      </c>
      <c r="H308">
        <f>IF($M308="","",INDEX(상세표[종료월 기관],$M308)&amp;"")</f>
        <v/>
      </c>
      <c r="I308">
        <f>IF($M308="","",INDEX(상세표[월경계 판정],$M308)&amp;"")</f>
        <v/>
      </c>
      <c r="J308">
        <f>IF($M308="","",INDEX(상세표[반영월],$M308)&amp;"")</f>
        <v/>
      </c>
      <c r="K308">
        <f>IF($M308="","",INDEX(상세표[반영 기관],$M308)&amp;"")</f>
        <v/>
      </c>
      <c r="L308">
        <f>IF($M308="","",INDEX(상세표[기관 출처],$M308)&amp;"")</f>
        <v/>
      </c>
      <c r="M308" s="4">
        <f>IFERROR(MATCH(303,상세표[경계순번],0),"")</f>
        <v/>
      </c>
    </row>
    <row r="309">
      <c r="A309">
        <f>IF($M309="","",INDEX(상세표[사번],$M309)&amp;"")</f>
        <v/>
      </c>
      <c r="B309">
        <f>IF($M309="","",INDEX(상세표[성명],$M309)&amp;"")</f>
        <v/>
      </c>
      <c r="C309">
        <f>IF($M309="","",IF(INDEX(상세표[종료월],$M309)=대상월키,"전월→이번 달","이번 달→익월"))</f>
        <v/>
      </c>
      <c r="D309">
        <f>IF($M309="","",IF(ISNUMBER(INDEX(상세표[시작],$M309)),TEXT(INDEX(상세표[시작],$M309),"yyyy-mm-dd hh:mm"),INDEX(상세표[시작],$M309)&amp;""))</f>
        <v/>
      </c>
      <c r="E309">
        <f>IF($M309="","",IF(ISNUMBER(INDEX(상세표[종료],$M309)),TEXT(INDEX(상세표[종료],$M309),"yyyy-mm-dd hh:mm"),INDEX(상세표[종료],$M309)&amp;""))</f>
        <v/>
      </c>
      <c r="F309">
        <f>IF($M309="","",INDEX(상세표[기록 시간외],$M309))</f>
        <v/>
      </c>
      <c r="G309">
        <f>IF($M309="","",INDEX(상세표[시작월 기관],$M309)&amp;"")</f>
        <v/>
      </c>
      <c r="H309">
        <f>IF($M309="","",INDEX(상세표[종료월 기관],$M309)&amp;"")</f>
        <v/>
      </c>
      <c r="I309">
        <f>IF($M309="","",INDEX(상세표[월경계 판정],$M309)&amp;"")</f>
        <v/>
      </c>
      <c r="J309">
        <f>IF($M309="","",INDEX(상세표[반영월],$M309)&amp;"")</f>
        <v/>
      </c>
      <c r="K309">
        <f>IF($M309="","",INDEX(상세표[반영 기관],$M309)&amp;"")</f>
        <v/>
      </c>
      <c r="L309">
        <f>IF($M309="","",INDEX(상세표[기관 출처],$M309)&amp;"")</f>
        <v/>
      </c>
      <c r="M309" s="4">
        <f>IFERROR(MATCH(304,상세표[경계순번],0),"")</f>
        <v/>
      </c>
    </row>
    <row r="310">
      <c r="A310">
        <f>IF($M310="","",INDEX(상세표[사번],$M310)&amp;"")</f>
        <v/>
      </c>
      <c r="B310">
        <f>IF($M310="","",INDEX(상세표[성명],$M310)&amp;"")</f>
        <v/>
      </c>
      <c r="C310">
        <f>IF($M310="","",IF(INDEX(상세표[종료월],$M310)=대상월키,"전월→이번 달","이번 달→익월"))</f>
        <v/>
      </c>
      <c r="D310">
        <f>IF($M310="","",IF(ISNUMBER(INDEX(상세표[시작],$M310)),TEXT(INDEX(상세표[시작],$M310),"yyyy-mm-dd hh:mm"),INDEX(상세표[시작],$M310)&amp;""))</f>
        <v/>
      </c>
      <c r="E310">
        <f>IF($M310="","",IF(ISNUMBER(INDEX(상세표[종료],$M310)),TEXT(INDEX(상세표[종료],$M310),"yyyy-mm-dd hh:mm"),INDEX(상세표[종료],$M310)&amp;""))</f>
        <v/>
      </c>
      <c r="F310">
        <f>IF($M310="","",INDEX(상세표[기록 시간외],$M310))</f>
        <v/>
      </c>
      <c r="G310">
        <f>IF($M310="","",INDEX(상세표[시작월 기관],$M310)&amp;"")</f>
        <v/>
      </c>
      <c r="H310">
        <f>IF($M310="","",INDEX(상세표[종료월 기관],$M310)&amp;"")</f>
        <v/>
      </c>
      <c r="I310">
        <f>IF($M310="","",INDEX(상세표[월경계 판정],$M310)&amp;"")</f>
        <v/>
      </c>
      <c r="J310">
        <f>IF($M310="","",INDEX(상세표[반영월],$M310)&amp;"")</f>
        <v/>
      </c>
      <c r="K310">
        <f>IF($M310="","",INDEX(상세표[반영 기관],$M310)&amp;"")</f>
        <v/>
      </c>
      <c r="L310">
        <f>IF($M310="","",INDEX(상세표[기관 출처],$M310)&amp;"")</f>
        <v/>
      </c>
      <c r="M310" s="4">
        <f>IFERROR(MATCH(305,상세표[경계순번],0),"")</f>
        <v/>
      </c>
    </row>
    <row r="311">
      <c r="A311">
        <f>IF($M311="","",INDEX(상세표[사번],$M311)&amp;"")</f>
        <v/>
      </c>
      <c r="B311">
        <f>IF($M311="","",INDEX(상세표[성명],$M311)&amp;"")</f>
        <v/>
      </c>
      <c r="C311">
        <f>IF($M311="","",IF(INDEX(상세표[종료월],$M311)=대상월키,"전월→이번 달","이번 달→익월"))</f>
        <v/>
      </c>
      <c r="D311">
        <f>IF($M311="","",IF(ISNUMBER(INDEX(상세표[시작],$M311)),TEXT(INDEX(상세표[시작],$M311),"yyyy-mm-dd hh:mm"),INDEX(상세표[시작],$M311)&amp;""))</f>
        <v/>
      </c>
      <c r="E311">
        <f>IF($M311="","",IF(ISNUMBER(INDEX(상세표[종료],$M311)),TEXT(INDEX(상세표[종료],$M311),"yyyy-mm-dd hh:mm"),INDEX(상세표[종료],$M311)&amp;""))</f>
        <v/>
      </c>
      <c r="F311">
        <f>IF($M311="","",INDEX(상세표[기록 시간외],$M311))</f>
        <v/>
      </c>
      <c r="G311">
        <f>IF($M311="","",INDEX(상세표[시작월 기관],$M311)&amp;"")</f>
        <v/>
      </c>
      <c r="H311">
        <f>IF($M311="","",INDEX(상세표[종료월 기관],$M311)&amp;"")</f>
        <v/>
      </c>
      <c r="I311">
        <f>IF($M311="","",INDEX(상세표[월경계 판정],$M311)&amp;"")</f>
        <v/>
      </c>
      <c r="J311">
        <f>IF($M311="","",INDEX(상세표[반영월],$M311)&amp;"")</f>
        <v/>
      </c>
      <c r="K311">
        <f>IF($M311="","",INDEX(상세표[반영 기관],$M311)&amp;"")</f>
        <v/>
      </c>
      <c r="L311">
        <f>IF($M311="","",INDEX(상세표[기관 출처],$M311)&amp;"")</f>
        <v/>
      </c>
      <c r="M311" s="4">
        <f>IFERROR(MATCH(306,상세표[경계순번],0),"")</f>
        <v/>
      </c>
    </row>
    <row r="312">
      <c r="A312">
        <f>IF($M312="","",INDEX(상세표[사번],$M312)&amp;"")</f>
        <v/>
      </c>
      <c r="B312">
        <f>IF($M312="","",INDEX(상세표[성명],$M312)&amp;"")</f>
        <v/>
      </c>
      <c r="C312">
        <f>IF($M312="","",IF(INDEX(상세표[종료월],$M312)=대상월키,"전월→이번 달","이번 달→익월"))</f>
        <v/>
      </c>
      <c r="D312">
        <f>IF($M312="","",IF(ISNUMBER(INDEX(상세표[시작],$M312)),TEXT(INDEX(상세표[시작],$M312),"yyyy-mm-dd hh:mm"),INDEX(상세표[시작],$M312)&amp;""))</f>
        <v/>
      </c>
      <c r="E312">
        <f>IF($M312="","",IF(ISNUMBER(INDEX(상세표[종료],$M312)),TEXT(INDEX(상세표[종료],$M312),"yyyy-mm-dd hh:mm"),INDEX(상세표[종료],$M312)&amp;""))</f>
        <v/>
      </c>
      <c r="F312">
        <f>IF($M312="","",INDEX(상세표[기록 시간외],$M312))</f>
        <v/>
      </c>
      <c r="G312">
        <f>IF($M312="","",INDEX(상세표[시작월 기관],$M312)&amp;"")</f>
        <v/>
      </c>
      <c r="H312">
        <f>IF($M312="","",INDEX(상세표[종료월 기관],$M312)&amp;"")</f>
        <v/>
      </c>
      <c r="I312">
        <f>IF($M312="","",INDEX(상세표[월경계 판정],$M312)&amp;"")</f>
        <v/>
      </c>
      <c r="J312">
        <f>IF($M312="","",INDEX(상세표[반영월],$M312)&amp;"")</f>
        <v/>
      </c>
      <c r="K312">
        <f>IF($M312="","",INDEX(상세표[반영 기관],$M312)&amp;"")</f>
        <v/>
      </c>
      <c r="L312">
        <f>IF($M312="","",INDEX(상세표[기관 출처],$M312)&amp;"")</f>
        <v/>
      </c>
      <c r="M312" s="4">
        <f>IFERROR(MATCH(307,상세표[경계순번],0),"")</f>
        <v/>
      </c>
    </row>
    <row r="313">
      <c r="A313">
        <f>IF($M313="","",INDEX(상세표[사번],$M313)&amp;"")</f>
        <v/>
      </c>
      <c r="B313">
        <f>IF($M313="","",INDEX(상세표[성명],$M313)&amp;"")</f>
        <v/>
      </c>
      <c r="C313">
        <f>IF($M313="","",IF(INDEX(상세표[종료월],$M313)=대상월키,"전월→이번 달","이번 달→익월"))</f>
        <v/>
      </c>
      <c r="D313">
        <f>IF($M313="","",IF(ISNUMBER(INDEX(상세표[시작],$M313)),TEXT(INDEX(상세표[시작],$M313),"yyyy-mm-dd hh:mm"),INDEX(상세표[시작],$M313)&amp;""))</f>
        <v/>
      </c>
      <c r="E313">
        <f>IF($M313="","",IF(ISNUMBER(INDEX(상세표[종료],$M313)),TEXT(INDEX(상세표[종료],$M313),"yyyy-mm-dd hh:mm"),INDEX(상세표[종료],$M313)&amp;""))</f>
        <v/>
      </c>
      <c r="F313">
        <f>IF($M313="","",INDEX(상세표[기록 시간외],$M313))</f>
        <v/>
      </c>
      <c r="G313">
        <f>IF($M313="","",INDEX(상세표[시작월 기관],$M313)&amp;"")</f>
        <v/>
      </c>
      <c r="H313">
        <f>IF($M313="","",INDEX(상세표[종료월 기관],$M313)&amp;"")</f>
        <v/>
      </c>
      <c r="I313">
        <f>IF($M313="","",INDEX(상세표[월경계 판정],$M313)&amp;"")</f>
        <v/>
      </c>
      <c r="J313">
        <f>IF($M313="","",INDEX(상세표[반영월],$M313)&amp;"")</f>
        <v/>
      </c>
      <c r="K313">
        <f>IF($M313="","",INDEX(상세표[반영 기관],$M313)&amp;"")</f>
        <v/>
      </c>
      <c r="L313">
        <f>IF($M313="","",INDEX(상세표[기관 출처],$M313)&amp;"")</f>
        <v/>
      </c>
      <c r="M313" s="4">
        <f>IFERROR(MATCH(308,상세표[경계순번],0),"")</f>
        <v/>
      </c>
    </row>
    <row r="314">
      <c r="A314">
        <f>IF($M314="","",INDEX(상세표[사번],$M314)&amp;"")</f>
        <v/>
      </c>
      <c r="B314">
        <f>IF($M314="","",INDEX(상세표[성명],$M314)&amp;"")</f>
        <v/>
      </c>
      <c r="C314">
        <f>IF($M314="","",IF(INDEX(상세표[종료월],$M314)=대상월키,"전월→이번 달","이번 달→익월"))</f>
        <v/>
      </c>
      <c r="D314">
        <f>IF($M314="","",IF(ISNUMBER(INDEX(상세표[시작],$M314)),TEXT(INDEX(상세표[시작],$M314),"yyyy-mm-dd hh:mm"),INDEX(상세표[시작],$M314)&amp;""))</f>
        <v/>
      </c>
      <c r="E314">
        <f>IF($M314="","",IF(ISNUMBER(INDEX(상세표[종료],$M314)),TEXT(INDEX(상세표[종료],$M314),"yyyy-mm-dd hh:mm"),INDEX(상세표[종료],$M314)&amp;""))</f>
        <v/>
      </c>
      <c r="F314">
        <f>IF($M314="","",INDEX(상세표[기록 시간외],$M314))</f>
        <v/>
      </c>
      <c r="G314">
        <f>IF($M314="","",INDEX(상세표[시작월 기관],$M314)&amp;"")</f>
        <v/>
      </c>
      <c r="H314">
        <f>IF($M314="","",INDEX(상세표[종료월 기관],$M314)&amp;"")</f>
        <v/>
      </c>
      <c r="I314">
        <f>IF($M314="","",INDEX(상세표[월경계 판정],$M314)&amp;"")</f>
        <v/>
      </c>
      <c r="J314">
        <f>IF($M314="","",INDEX(상세표[반영월],$M314)&amp;"")</f>
        <v/>
      </c>
      <c r="K314">
        <f>IF($M314="","",INDEX(상세표[반영 기관],$M314)&amp;"")</f>
        <v/>
      </c>
      <c r="L314">
        <f>IF($M314="","",INDEX(상세표[기관 출처],$M314)&amp;"")</f>
        <v/>
      </c>
      <c r="M314" s="4">
        <f>IFERROR(MATCH(309,상세표[경계순번],0),"")</f>
        <v/>
      </c>
    </row>
    <row r="315">
      <c r="A315">
        <f>IF($M315="","",INDEX(상세표[사번],$M315)&amp;"")</f>
        <v/>
      </c>
      <c r="B315">
        <f>IF($M315="","",INDEX(상세표[성명],$M315)&amp;"")</f>
        <v/>
      </c>
      <c r="C315">
        <f>IF($M315="","",IF(INDEX(상세표[종료월],$M315)=대상월키,"전월→이번 달","이번 달→익월"))</f>
        <v/>
      </c>
      <c r="D315">
        <f>IF($M315="","",IF(ISNUMBER(INDEX(상세표[시작],$M315)),TEXT(INDEX(상세표[시작],$M315),"yyyy-mm-dd hh:mm"),INDEX(상세표[시작],$M315)&amp;""))</f>
        <v/>
      </c>
      <c r="E315">
        <f>IF($M315="","",IF(ISNUMBER(INDEX(상세표[종료],$M315)),TEXT(INDEX(상세표[종료],$M315),"yyyy-mm-dd hh:mm"),INDEX(상세표[종료],$M315)&amp;""))</f>
        <v/>
      </c>
      <c r="F315">
        <f>IF($M315="","",INDEX(상세표[기록 시간외],$M315))</f>
        <v/>
      </c>
      <c r="G315">
        <f>IF($M315="","",INDEX(상세표[시작월 기관],$M315)&amp;"")</f>
        <v/>
      </c>
      <c r="H315">
        <f>IF($M315="","",INDEX(상세표[종료월 기관],$M315)&amp;"")</f>
        <v/>
      </c>
      <c r="I315">
        <f>IF($M315="","",INDEX(상세표[월경계 판정],$M315)&amp;"")</f>
        <v/>
      </c>
      <c r="J315">
        <f>IF($M315="","",INDEX(상세표[반영월],$M315)&amp;"")</f>
        <v/>
      </c>
      <c r="K315">
        <f>IF($M315="","",INDEX(상세표[반영 기관],$M315)&amp;"")</f>
        <v/>
      </c>
      <c r="L315">
        <f>IF($M315="","",INDEX(상세표[기관 출처],$M315)&amp;"")</f>
        <v/>
      </c>
      <c r="M315" s="4">
        <f>IFERROR(MATCH(310,상세표[경계순번],0),"")</f>
        <v/>
      </c>
    </row>
    <row r="316">
      <c r="A316">
        <f>IF($M316="","",INDEX(상세표[사번],$M316)&amp;"")</f>
        <v/>
      </c>
      <c r="B316">
        <f>IF($M316="","",INDEX(상세표[성명],$M316)&amp;"")</f>
        <v/>
      </c>
      <c r="C316">
        <f>IF($M316="","",IF(INDEX(상세표[종료월],$M316)=대상월키,"전월→이번 달","이번 달→익월"))</f>
        <v/>
      </c>
      <c r="D316">
        <f>IF($M316="","",IF(ISNUMBER(INDEX(상세표[시작],$M316)),TEXT(INDEX(상세표[시작],$M316),"yyyy-mm-dd hh:mm"),INDEX(상세표[시작],$M316)&amp;""))</f>
        <v/>
      </c>
      <c r="E316">
        <f>IF($M316="","",IF(ISNUMBER(INDEX(상세표[종료],$M316)),TEXT(INDEX(상세표[종료],$M316),"yyyy-mm-dd hh:mm"),INDEX(상세표[종료],$M316)&amp;""))</f>
        <v/>
      </c>
      <c r="F316">
        <f>IF($M316="","",INDEX(상세표[기록 시간외],$M316))</f>
        <v/>
      </c>
      <c r="G316">
        <f>IF($M316="","",INDEX(상세표[시작월 기관],$M316)&amp;"")</f>
        <v/>
      </c>
      <c r="H316">
        <f>IF($M316="","",INDEX(상세표[종료월 기관],$M316)&amp;"")</f>
        <v/>
      </c>
      <c r="I316">
        <f>IF($M316="","",INDEX(상세표[월경계 판정],$M316)&amp;"")</f>
        <v/>
      </c>
      <c r="J316">
        <f>IF($M316="","",INDEX(상세표[반영월],$M316)&amp;"")</f>
        <v/>
      </c>
      <c r="K316">
        <f>IF($M316="","",INDEX(상세표[반영 기관],$M316)&amp;"")</f>
        <v/>
      </c>
      <c r="L316">
        <f>IF($M316="","",INDEX(상세표[기관 출처],$M316)&amp;"")</f>
        <v/>
      </c>
      <c r="M316" s="4">
        <f>IFERROR(MATCH(311,상세표[경계순번],0),"")</f>
        <v/>
      </c>
    </row>
    <row r="317">
      <c r="A317">
        <f>IF($M317="","",INDEX(상세표[사번],$M317)&amp;"")</f>
        <v/>
      </c>
      <c r="B317">
        <f>IF($M317="","",INDEX(상세표[성명],$M317)&amp;"")</f>
        <v/>
      </c>
      <c r="C317">
        <f>IF($M317="","",IF(INDEX(상세표[종료월],$M317)=대상월키,"전월→이번 달","이번 달→익월"))</f>
        <v/>
      </c>
      <c r="D317">
        <f>IF($M317="","",IF(ISNUMBER(INDEX(상세표[시작],$M317)),TEXT(INDEX(상세표[시작],$M317),"yyyy-mm-dd hh:mm"),INDEX(상세표[시작],$M317)&amp;""))</f>
        <v/>
      </c>
      <c r="E317">
        <f>IF($M317="","",IF(ISNUMBER(INDEX(상세표[종료],$M317)),TEXT(INDEX(상세표[종료],$M317),"yyyy-mm-dd hh:mm"),INDEX(상세표[종료],$M317)&amp;""))</f>
        <v/>
      </c>
      <c r="F317">
        <f>IF($M317="","",INDEX(상세표[기록 시간외],$M317))</f>
        <v/>
      </c>
      <c r="G317">
        <f>IF($M317="","",INDEX(상세표[시작월 기관],$M317)&amp;"")</f>
        <v/>
      </c>
      <c r="H317">
        <f>IF($M317="","",INDEX(상세표[종료월 기관],$M317)&amp;"")</f>
        <v/>
      </c>
      <c r="I317">
        <f>IF($M317="","",INDEX(상세표[월경계 판정],$M317)&amp;"")</f>
        <v/>
      </c>
      <c r="J317">
        <f>IF($M317="","",INDEX(상세표[반영월],$M317)&amp;"")</f>
        <v/>
      </c>
      <c r="K317">
        <f>IF($M317="","",INDEX(상세표[반영 기관],$M317)&amp;"")</f>
        <v/>
      </c>
      <c r="L317">
        <f>IF($M317="","",INDEX(상세표[기관 출처],$M317)&amp;"")</f>
        <v/>
      </c>
      <c r="M317" s="4">
        <f>IFERROR(MATCH(312,상세표[경계순번],0),"")</f>
        <v/>
      </c>
    </row>
    <row r="318">
      <c r="A318">
        <f>IF($M318="","",INDEX(상세표[사번],$M318)&amp;"")</f>
        <v/>
      </c>
      <c r="B318">
        <f>IF($M318="","",INDEX(상세표[성명],$M318)&amp;"")</f>
        <v/>
      </c>
      <c r="C318">
        <f>IF($M318="","",IF(INDEX(상세표[종료월],$M318)=대상월키,"전월→이번 달","이번 달→익월"))</f>
        <v/>
      </c>
      <c r="D318">
        <f>IF($M318="","",IF(ISNUMBER(INDEX(상세표[시작],$M318)),TEXT(INDEX(상세표[시작],$M318),"yyyy-mm-dd hh:mm"),INDEX(상세표[시작],$M318)&amp;""))</f>
        <v/>
      </c>
      <c r="E318">
        <f>IF($M318="","",IF(ISNUMBER(INDEX(상세표[종료],$M318)),TEXT(INDEX(상세표[종료],$M318),"yyyy-mm-dd hh:mm"),INDEX(상세표[종료],$M318)&amp;""))</f>
        <v/>
      </c>
      <c r="F318">
        <f>IF($M318="","",INDEX(상세표[기록 시간외],$M318))</f>
        <v/>
      </c>
      <c r="G318">
        <f>IF($M318="","",INDEX(상세표[시작월 기관],$M318)&amp;"")</f>
        <v/>
      </c>
      <c r="H318">
        <f>IF($M318="","",INDEX(상세표[종료월 기관],$M318)&amp;"")</f>
        <v/>
      </c>
      <c r="I318">
        <f>IF($M318="","",INDEX(상세표[월경계 판정],$M318)&amp;"")</f>
        <v/>
      </c>
      <c r="J318">
        <f>IF($M318="","",INDEX(상세표[반영월],$M318)&amp;"")</f>
        <v/>
      </c>
      <c r="K318">
        <f>IF($M318="","",INDEX(상세표[반영 기관],$M318)&amp;"")</f>
        <v/>
      </c>
      <c r="L318">
        <f>IF($M318="","",INDEX(상세표[기관 출처],$M318)&amp;"")</f>
        <v/>
      </c>
      <c r="M318" s="4">
        <f>IFERROR(MATCH(313,상세표[경계순번],0),"")</f>
        <v/>
      </c>
    </row>
    <row r="319">
      <c r="A319">
        <f>IF($M319="","",INDEX(상세표[사번],$M319)&amp;"")</f>
        <v/>
      </c>
      <c r="B319">
        <f>IF($M319="","",INDEX(상세표[성명],$M319)&amp;"")</f>
        <v/>
      </c>
      <c r="C319">
        <f>IF($M319="","",IF(INDEX(상세표[종료월],$M319)=대상월키,"전월→이번 달","이번 달→익월"))</f>
        <v/>
      </c>
      <c r="D319">
        <f>IF($M319="","",IF(ISNUMBER(INDEX(상세표[시작],$M319)),TEXT(INDEX(상세표[시작],$M319),"yyyy-mm-dd hh:mm"),INDEX(상세표[시작],$M319)&amp;""))</f>
        <v/>
      </c>
      <c r="E319">
        <f>IF($M319="","",IF(ISNUMBER(INDEX(상세표[종료],$M319)),TEXT(INDEX(상세표[종료],$M319),"yyyy-mm-dd hh:mm"),INDEX(상세표[종료],$M319)&amp;""))</f>
        <v/>
      </c>
      <c r="F319">
        <f>IF($M319="","",INDEX(상세표[기록 시간외],$M319))</f>
        <v/>
      </c>
      <c r="G319">
        <f>IF($M319="","",INDEX(상세표[시작월 기관],$M319)&amp;"")</f>
        <v/>
      </c>
      <c r="H319">
        <f>IF($M319="","",INDEX(상세표[종료월 기관],$M319)&amp;"")</f>
        <v/>
      </c>
      <c r="I319">
        <f>IF($M319="","",INDEX(상세표[월경계 판정],$M319)&amp;"")</f>
        <v/>
      </c>
      <c r="J319">
        <f>IF($M319="","",INDEX(상세표[반영월],$M319)&amp;"")</f>
        <v/>
      </c>
      <c r="K319">
        <f>IF($M319="","",INDEX(상세표[반영 기관],$M319)&amp;"")</f>
        <v/>
      </c>
      <c r="L319">
        <f>IF($M319="","",INDEX(상세표[기관 출처],$M319)&amp;"")</f>
        <v/>
      </c>
      <c r="M319" s="4">
        <f>IFERROR(MATCH(314,상세표[경계순번],0),"")</f>
        <v/>
      </c>
    </row>
    <row r="320">
      <c r="A320">
        <f>IF($M320="","",INDEX(상세표[사번],$M320)&amp;"")</f>
        <v/>
      </c>
      <c r="B320">
        <f>IF($M320="","",INDEX(상세표[성명],$M320)&amp;"")</f>
        <v/>
      </c>
      <c r="C320">
        <f>IF($M320="","",IF(INDEX(상세표[종료월],$M320)=대상월키,"전월→이번 달","이번 달→익월"))</f>
        <v/>
      </c>
      <c r="D320">
        <f>IF($M320="","",IF(ISNUMBER(INDEX(상세표[시작],$M320)),TEXT(INDEX(상세표[시작],$M320),"yyyy-mm-dd hh:mm"),INDEX(상세표[시작],$M320)&amp;""))</f>
        <v/>
      </c>
      <c r="E320">
        <f>IF($M320="","",IF(ISNUMBER(INDEX(상세표[종료],$M320)),TEXT(INDEX(상세표[종료],$M320),"yyyy-mm-dd hh:mm"),INDEX(상세표[종료],$M320)&amp;""))</f>
        <v/>
      </c>
      <c r="F320">
        <f>IF($M320="","",INDEX(상세표[기록 시간외],$M320))</f>
        <v/>
      </c>
      <c r="G320">
        <f>IF($M320="","",INDEX(상세표[시작월 기관],$M320)&amp;"")</f>
        <v/>
      </c>
      <c r="H320">
        <f>IF($M320="","",INDEX(상세표[종료월 기관],$M320)&amp;"")</f>
        <v/>
      </c>
      <c r="I320">
        <f>IF($M320="","",INDEX(상세표[월경계 판정],$M320)&amp;"")</f>
        <v/>
      </c>
      <c r="J320">
        <f>IF($M320="","",INDEX(상세표[반영월],$M320)&amp;"")</f>
        <v/>
      </c>
      <c r="K320">
        <f>IF($M320="","",INDEX(상세표[반영 기관],$M320)&amp;"")</f>
        <v/>
      </c>
      <c r="L320">
        <f>IF($M320="","",INDEX(상세표[기관 출처],$M320)&amp;"")</f>
        <v/>
      </c>
      <c r="M320" s="4">
        <f>IFERROR(MATCH(315,상세표[경계순번],0),"")</f>
        <v/>
      </c>
    </row>
    <row r="321">
      <c r="A321">
        <f>IF($M321="","",INDEX(상세표[사번],$M321)&amp;"")</f>
        <v/>
      </c>
      <c r="B321">
        <f>IF($M321="","",INDEX(상세표[성명],$M321)&amp;"")</f>
        <v/>
      </c>
      <c r="C321">
        <f>IF($M321="","",IF(INDEX(상세표[종료월],$M321)=대상월키,"전월→이번 달","이번 달→익월"))</f>
        <v/>
      </c>
      <c r="D321">
        <f>IF($M321="","",IF(ISNUMBER(INDEX(상세표[시작],$M321)),TEXT(INDEX(상세표[시작],$M321),"yyyy-mm-dd hh:mm"),INDEX(상세표[시작],$M321)&amp;""))</f>
        <v/>
      </c>
      <c r="E321">
        <f>IF($M321="","",IF(ISNUMBER(INDEX(상세표[종료],$M321)),TEXT(INDEX(상세표[종료],$M321),"yyyy-mm-dd hh:mm"),INDEX(상세표[종료],$M321)&amp;""))</f>
        <v/>
      </c>
      <c r="F321">
        <f>IF($M321="","",INDEX(상세표[기록 시간외],$M321))</f>
        <v/>
      </c>
      <c r="G321">
        <f>IF($M321="","",INDEX(상세표[시작월 기관],$M321)&amp;"")</f>
        <v/>
      </c>
      <c r="H321">
        <f>IF($M321="","",INDEX(상세표[종료월 기관],$M321)&amp;"")</f>
        <v/>
      </c>
      <c r="I321">
        <f>IF($M321="","",INDEX(상세표[월경계 판정],$M321)&amp;"")</f>
        <v/>
      </c>
      <c r="J321">
        <f>IF($M321="","",INDEX(상세표[반영월],$M321)&amp;"")</f>
        <v/>
      </c>
      <c r="K321">
        <f>IF($M321="","",INDEX(상세표[반영 기관],$M321)&amp;"")</f>
        <v/>
      </c>
      <c r="L321">
        <f>IF($M321="","",INDEX(상세표[기관 출처],$M321)&amp;"")</f>
        <v/>
      </c>
      <c r="M321" s="4">
        <f>IFERROR(MATCH(316,상세표[경계순번],0),"")</f>
        <v/>
      </c>
    </row>
    <row r="322">
      <c r="A322">
        <f>IF($M322="","",INDEX(상세표[사번],$M322)&amp;"")</f>
        <v/>
      </c>
      <c r="B322">
        <f>IF($M322="","",INDEX(상세표[성명],$M322)&amp;"")</f>
        <v/>
      </c>
      <c r="C322">
        <f>IF($M322="","",IF(INDEX(상세표[종료월],$M322)=대상월키,"전월→이번 달","이번 달→익월"))</f>
        <v/>
      </c>
      <c r="D322">
        <f>IF($M322="","",IF(ISNUMBER(INDEX(상세표[시작],$M322)),TEXT(INDEX(상세표[시작],$M322),"yyyy-mm-dd hh:mm"),INDEX(상세표[시작],$M322)&amp;""))</f>
        <v/>
      </c>
      <c r="E322">
        <f>IF($M322="","",IF(ISNUMBER(INDEX(상세표[종료],$M322)),TEXT(INDEX(상세표[종료],$M322),"yyyy-mm-dd hh:mm"),INDEX(상세표[종료],$M322)&amp;""))</f>
        <v/>
      </c>
      <c r="F322">
        <f>IF($M322="","",INDEX(상세표[기록 시간외],$M322))</f>
        <v/>
      </c>
      <c r="G322">
        <f>IF($M322="","",INDEX(상세표[시작월 기관],$M322)&amp;"")</f>
        <v/>
      </c>
      <c r="H322">
        <f>IF($M322="","",INDEX(상세표[종료월 기관],$M322)&amp;"")</f>
        <v/>
      </c>
      <c r="I322">
        <f>IF($M322="","",INDEX(상세표[월경계 판정],$M322)&amp;"")</f>
        <v/>
      </c>
      <c r="J322">
        <f>IF($M322="","",INDEX(상세표[반영월],$M322)&amp;"")</f>
        <v/>
      </c>
      <c r="K322">
        <f>IF($M322="","",INDEX(상세표[반영 기관],$M322)&amp;"")</f>
        <v/>
      </c>
      <c r="L322">
        <f>IF($M322="","",INDEX(상세표[기관 출처],$M322)&amp;"")</f>
        <v/>
      </c>
      <c r="M322" s="4">
        <f>IFERROR(MATCH(317,상세표[경계순번],0),"")</f>
        <v/>
      </c>
    </row>
    <row r="323">
      <c r="A323">
        <f>IF($M323="","",INDEX(상세표[사번],$M323)&amp;"")</f>
        <v/>
      </c>
      <c r="B323">
        <f>IF($M323="","",INDEX(상세표[성명],$M323)&amp;"")</f>
        <v/>
      </c>
      <c r="C323">
        <f>IF($M323="","",IF(INDEX(상세표[종료월],$M323)=대상월키,"전월→이번 달","이번 달→익월"))</f>
        <v/>
      </c>
      <c r="D323">
        <f>IF($M323="","",IF(ISNUMBER(INDEX(상세표[시작],$M323)),TEXT(INDEX(상세표[시작],$M323),"yyyy-mm-dd hh:mm"),INDEX(상세표[시작],$M323)&amp;""))</f>
        <v/>
      </c>
      <c r="E323">
        <f>IF($M323="","",IF(ISNUMBER(INDEX(상세표[종료],$M323)),TEXT(INDEX(상세표[종료],$M323),"yyyy-mm-dd hh:mm"),INDEX(상세표[종료],$M323)&amp;""))</f>
        <v/>
      </c>
      <c r="F323">
        <f>IF($M323="","",INDEX(상세표[기록 시간외],$M323))</f>
        <v/>
      </c>
      <c r="G323">
        <f>IF($M323="","",INDEX(상세표[시작월 기관],$M323)&amp;"")</f>
        <v/>
      </c>
      <c r="H323">
        <f>IF($M323="","",INDEX(상세표[종료월 기관],$M323)&amp;"")</f>
        <v/>
      </c>
      <c r="I323">
        <f>IF($M323="","",INDEX(상세표[월경계 판정],$M323)&amp;"")</f>
        <v/>
      </c>
      <c r="J323">
        <f>IF($M323="","",INDEX(상세표[반영월],$M323)&amp;"")</f>
        <v/>
      </c>
      <c r="K323">
        <f>IF($M323="","",INDEX(상세표[반영 기관],$M323)&amp;"")</f>
        <v/>
      </c>
      <c r="L323">
        <f>IF($M323="","",INDEX(상세표[기관 출처],$M323)&amp;"")</f>
        <v/>
      </c>
      <c r="M323" s="4">
        <f>IFERROR(MATCH(318,상세표[경계순번],0),"")</f>
        <v/>
      </c>
    </row>
    <row r="324">
      <c r="A324">
        <f>IF($M324="","",INDEX(상세표[사번],$M324)&amp;"")</f>
        <v/>
      </c>
      <c r="B324">
        <f>IF($M324="","",INDEX(상세표[성명],$M324)&amp;"")</f>
        <v/>
      </c>
      <c r="C324">
        <f>IF($M324="","",IF(INDEX(상세표[종료월],$M324)=대상월키,"전월→이번 달","이번 달→익월"))</f>
        <v/>
      </c>
      <c r="D324">
        <f>IF($M324="","",IF(ISNUMBER(INDEX(상세표[시작],$M324)),TEXT(INDEX(상세표[시작],$M324),"yyyy-mm-dd hh:mm"),INDEX(상세표[시작],$M324)&amp;""))</f>
        <v/>
      </c>
      <c r="E324">
        <f>IF($M324="","",IF(ISNUMBER(INDEX(상세표[종료],$M324)),TEXT(INDEX(상세표[종료],$M324),"yyyy-mm-dd hh:mm"),INDEX(상세표[종료],$M324)&amp;""))</f>
        <v/>
      </c>
      <c r="F324">
        <f>IF($M324="","",INDEX(상세표[기록 시간외],$M324))</f>
        <v/>
      </c>
      <c r="G324">
        <f>IF($M324="","",INDEX(상세표[시작월 기관],$M324)&amp;"")</f>
        <v/>
      </c>
      <c r="H324">
        <f>IF($M324="","",INDEX(상세표[종료월 기관],$M324)&amp;"")</f>
        <v/>
      </c>
      <c r="I324">
        <f>IF($M324="","",INDEX(상세표[월경계 판정],$M324)&amp;"")</f>
        <v/>
      </c>
      <c r="J324">
        <f>IF($M324="","",INDEX(상세표[반영월],$M324)&amp;"")</f>
        <v/>
      </c>
      <c r="K324">
        <f>IF($M324="","",INDEX(상세표[반영 기관],$M324)&amp;"")</f>
        <v/>
      </c>
      <c r="L324">
        <f>IF($M324="","",INDEX(상세표[기관 출처],$M324)&amp;"")</f>
        <v/>
      </c>
      <c r="M324" s="4">
        <f>IFERROR(MATCH(319,상세표[경계순번],0),"")</f>
        <v/>
      </c>
    </row>
    <row r="325">
      <c r="A325">
        <f>IF($M325="","",INDEX(상세표[사번],$M325)&amp;"")</f>
        <v/>
      </c>
      <c r="B325">
        <f>IF($M325="","",INDEX(상세표[성명],$M325)&amp;"")</f>
        <v/>
      </c>
      <c r="C325">
        <f>IF($M325="","",IF(INDEX(상세표[종료월],$M325)=대상월키,"전월→이번 달","이번 달→익월"))</f>
        <v/>
      </c>
      <c r="D325">
        <f>IF($M325="","",IF(ISNUMBER(INDEX(상세표[시작],$M325)),TEXT(INDEX(상세표[시작],$M325),"yyyy-mm-dd hh:mm"),INDEX(상세표[시작],$M325)&amp;""))</f>
        <v/>
      </c>
      <c r="E325">
        <f>IF($M325="","",IF(ISNUMBER(INDEX(상세표[종료],$M325)),TEXT(INDEX(상세표[종료],$M325),"yyyy-mm-dd hh:mm"),INDEX(상세표[종료],$M325)&amp;""))</f>
        <v/>
      </c>
      <c r="F325">
        <f>IF($M325="","",INDEX(상세표[기록 시간외],$M325))</f>
        <v/>
      </c>
      <c r="G325">
        <f>IF($M325="","",INDEX(상세표[시작월 기관],$M325)&amp;"")</f>
        <v/>
      </c>
      <c r="H325">
        <f>IF($M325="","",INDEX(상세표[종료월 기관],$M325)&amp;"")</f>
        <v/>
      </c>
      <c r="I325">
        <f>IF($M325="","",INDEX(상세표[월경계 판정],$M325)&amp;"")</f>
        <v/>
      </c>
      <c r="J325">
        <f>IF($M325="","",INDEX(상세표[반영월],$M325)&amp;"")</f>
        <v/>
      </c>
      <c r="K325">
        <f>IF($M325="","",INDEX(상세표[반영 기관],$M325)&amp;"")</f>
        <v/>
      </c>
      <c r="L325">
        <f>IF($M325="","",INDEX(상세표[기관 출처],$M325)&amp;"")</f>
        <v/>
      </c>
      <c r="M325" s="4">
        <f>IFERROR(MATCH(320,상세표[경계순번],0),"")</f>
        <v/>
      </c>
    </row>
    <row r="326">
      <c r="A326">
        <f>IF($M326="","",INDEX(상세표[사번],$M326)&amp;"")</f>
        <v/>
      </c>
      <c r="B326">
        <f>IF($M326="","",INDEX(상세표[성명],$M326)&amp;"")</f>
        <v/>
      </c>
      <c r="C326">
        <f>IF($M326="","",IF(INDEX(상세표[종료월],$M326)=대상월키,"전월→이번 달","이번 달→익월"))</f>
        <v/>
      </c>
      <c r="D326">
        <f>IF($M326="","",IF(ISNUMBER(INDEX(상세표[시작],$M326)),TEXT(INDEX(상세표[시작],$M326),"yyyy-mm-dd hh:mm"),INDEX(상세표[시작],$M326)&amp;""))</f>
        <v/>
      </c>
      <c r="E326">
        <f>IF($M326="","",IF(ISNUMBER(INDEX(상세표[종료],$M326)),TEXT(INDEX(상세표[종료],$M326),"yyyy-mm-dd hh:mm"),INDEX(상세표[종료],$M326)&amp;""))</f>
        <v/>
      </c>
      <c r="F326">
        <f>IF($M326="","",INDEX(상세표[기록 시간외],$M326))</f>
        <v/>
      </c>
      <c r="G326">
        <f>IF($M326="","",INDEX(상세표[시작월 기관],$M326)&amp;"")</f>
        <v/>
      </c>
      <c r="H326">
        <f>IF($M326="","",INDEX(상세표[종료월 기관],$M326)&amp;"")</f>
        <v/>
      </c>
      <c r="I326">
        <f>IF($M326="","",INDEX(상세표[월경계 판정],$M326)&amp;"")</f>
        <v/>
      </c>
      <c r="J326">
        <f>IF($M326="","",INDEX(상세표[반영월],$M326)&amp;"")</f>
        <v/>
      </c>
      <c r="K326">
        <f>IF($M326="","",INDEX(상세표[반영 기관],$M326)&amp;"")</f>
        <v/>
      </c>
      <c r="L326">
        <f>IF($M326="","",INDEX(상세표[기관 출처],$M326)&amp;"")</f>
        <v/>
      </c>
      <c r="M326" s="4">
        <f>IFERROR(MATCH(321,상세표[경계순번],0),"")</f>
        <v/>
      </c>
    </row>
    <row r="327">
      <c r="A327">
        <f>IF($M327="","",INDEX(상세표[사번],$M327)&amp;"")</f>
        <v/>
      </c>
      <c r="B327">
        <f>IF($M327="","",INDEX(상세표[성명],$M327)&amp;"")</f>
        <v/>
      </c>
      <c r="C327">
        <f>IF($M327="","",IF(INDEX(상세표[종료월],$M327)=대상월키,"전월→이번 달","이번 달→익월"))</f>
        <v/>
      </c>
      <c r="D327">
        <f>IF($M327="","",IF(ISNUMBER(INDEX(상세표[시작],$M327)),TEXT(INDEX(상세표[시작],$M327),"yyyy-mm-dd hh:mm"),INDEX(상세표[시작],$M327)&amp;""))</f>
        <v/>
      </c>
      <c r="E327">
        <f>IF($M327="","",IF(ISNUMBER(INDEX(상세표[종료],$M327)),TEXT(INDEX(상세표[종료],$M327),"yyyy-mm-dd hh:mm"),INDEX(상세표[종료],$M327)&amp;""))</f>
        <v/>
      </c>
      <c r="F327">
        <f>IF($M327="","",INDEX(상세표[기록 시간외],$M327))</f>
        <v/>
      </c>
      <c r="G327">
        <f>IF($M327="","",INDEX(상세표[시작월 기관],$M327)&amp;"")</f>
        <v/>
      </c>
      <c r="H327">
        <f>IF($M327="","",INDEX(상세표[종료월 기관],$M327)&amp;"")</f>
        <v/>
      </c>
      <c r="I327">
        <f>IF($M327="","",INDEX(상세표[월경계 판정],$M327)&amp;"")</f>
        <v/>
      </c>
      <c r="J327">
        <f>IF($M327="","",INDEX(상세표[반영월],$M327)&amp;"")</f>
        <v/>
      </c>
      <c r="K327">
        <f>IF($M327="","",INDEX(상세표[반영 기관],$M327)&amp;"")</f>
        <v/>
      </c>
      <c r="L327">
        <f>IF($M327="","",INDEX(상세표[기관 출처],$M327)&amp;"")</f>
        <v/>
      </c>
      <c r="M327" s="4">
        <f>IFERROR(MATCH(322,상세표[경계순번],0),"")</f>
        <v/>
      </c>
    </row>
    <row r="328">
      <c r="A328">
        <f>IF($M328="","",INDEX(상세표[사번],$M328)&amp;"")</f>
        <v/>
      </c>
      <c r="B328">
        <f>IF($M328="","",INDEX(상세표[성명],$M328)&amp;"")</f>
        <v/>
      </c>
      <c r="C328">
        <f>IF($M328="","",IF(INDEX(상세표[종료월],$M328)=대상월키,"전월→이번 달","이번 달→익월"))</f>
        <v/>
      </c>
      <c r="D328">
        <f>IF($M328="","",IF(ISNUMBER(INDEX(상세표[시작],$M328)),TEXT(INDEX(상세표[시작],$M328),"yyyy-mm-dd hh:mm"),INDEX(상세표[시작],$M328)&amp;""))</f>
        <v/>
      </c>
      <c r="E328">
        <f>IF($M328="","",IF(ISNUMBER(INDEX(상세표[종료],$M328)),TEXT(INDEX(상세표[종료],$M328),"yyyy-mm-dd hh:mm"),INDEX(상세표[종료],$M328)&amp;""))</f>
        <v/>
      </c>
      <c r="F328">
        <f>IF($M328="","",INDEX(상세표[기록 시간외],$M328))</f>
        <v/>
      </c>
      <c r="G328">
        <f>IF($M328="","",INDEX(상세표[시작월 기관],$M328)&amp;"")</f>
        <v/>
      </c>
      <c r="H328">
        <f>IF($M328="","",INDEX(상세표[종료월 기관],$M328)&amp;"")</f>
        <v/>
      </c>
      <c r="I328">
        <f>IF($M328="","",INDEX(상세표[월경계 판정],$M328)&amp;"")</f>
        <v/>
      </c>
      <c r="J328">
        <f>IF($M328="","",INDEX(상세표[반영월],$M328)&amp;"")</f>
        <v/>
      </c>
      <c r="K328">
        <f>IF($M328="","",INDEX(상세표[반영 기관],$M328)&amp;"")</f>
        <v/>
      </c>
      <c r="L328">
        <f>IF($M328="","",INDEX(상세표[기관 출처],$M328)&amp;"")</f>
        <v/>
      </c>
      <c r="M328" s="4">
        <f>IFERROR(MATCH(323,상세표[경계순번],0),"")</f>
        <v/>
      </c>
    </row>
    <row r="329">
      <c r="A329">
        <f>IF($M329="","",INDEX(상세표[사번],$M329)&amp;"")</f>
        <v/>
      </c>
      <c r="B329">
        <f>IF($M329="","",INDEX(상세표[성명],$M329)&amp;"")</f>
        <v/>
      </c>
      <c r="C329">
        <f>IF($M329="","",IF(INDEX(상세표[종료월],$M329)=대상월키,"전월→이번 달","이번 달→익월"))</f>
        <v/>
      </c>
      <c r="D329">
        <f>IF($M329="","",IF(ISNUMBER(INDEX(상세표[시작],$M329)),TEXT(INDEX(상세표[시작],$M329),"yyyy-mm-dd hh:mm"),INDEX(상세표[시작],$M329)&amp;""))</f>
        <v/>
      </c>
      <c r="E329">
        <f>IF($M329="","",IF(ISNUMBER(INDEX(상세표[종료],$M329)),TEXT(INDEX(상세표[종료],$M329),"yyyy-mm-dd hh:mm"),INDEX(상세표[종료],$M329)&amp;""))</f>
        <v/>
      </c>
      <c r="F329">
        <f>IF($M329="","",INDEX(상세표[기록 시간외],$M329))</f>
        <v/>
      </c>
      <c r="G329">
        <f>IF($M329="","",INDEX(상세표[시작월 기관],$M329)&amp;"")</f>
        <v/>
      </c>
      <c r="H329">
        <f>IF($M329="","",INDEX(상세표[종료월 기관],$M329)&amp;"")</f>
        <v/>
      </c>
      <c r="I329">
        <f>IF($M329="","",INDEX(상세표[월경계 판정],$M329)&amp;"")</f>
        <v/>
      </c>
      <c r="J329">
        <f>IF($M329="","",INDEX(상세표[반영월],$M329)&amp;"")</f>
        <v/>
      </c>
      <c r="K329">
        <f>IF($M329="","",INDEX(상세표[반영 기관],$M329)&amp;"")</f>
        <v/>
      </c>
      <c r="L329">
        <f>IF($M329="","",INDEX(상세표[기관 출처],$M329)&amp;"")</f>
        <v/>
      </c>
      <c r="M329" s="4">
        <f>IFERROR(MATCH(324,상세표[경계순번],0),"")</f>
        <v/>
      </c>
    </row>
    <row r="330">
      <c r="A330">
        <f>IF($M330="","",INDEX(상세표[사번],$M330)&amp;"")</f>
        <v/>
      </c>
      <c r="B330">
        <f>IF($M330="","",INDEX(상세표[성명],$M330)&amp;"")</f>
        <v/>
      </c>
      <c r="C330">
        <f>IF($M330="","",IF(INDEX(상세표[종료월],$M330)=대상월키,"전월→이번 달","이번 달→익월"))</f>
        <v/>
      </c>
      <c r="D330">
        <f>IF($M330="","",IF(ISNUMBER(INDEX(상세표[시작],$M330)),TEXT(INDEX(상세표[시작],$M330),"yyyy-mm-dd hh:mm"),INDEX(상세표[시작],$M330)&amp;""))</f>
        <v/>
      </c>
      <c r="E330">
        <f>IF($M330="","",IF(ISNUMBER(INDEX(상세표[종료],$M330)),TEXT(INDEX(상세표[종료],$M330),"yyyy-mm-dd hh:mm"),INDEX(상세표[종료],$M330)&amp;""))</f>
        <v/>
      </c>
      <c r="F330">
        <f>IF($M330="","",INDEX(상세표[기록 시간외],$M330))</f>
        <v/>
      </c>
      <c r="G330">
        <f>IF($M330="","",INDEX(상세표[시작월 기관],$M330)&amp;"")</f>
        <v/>
      </c>
      <c r="H330">
        <f>IF($M330="","",INDEX(상세표[종료월 기관],$M330)&amp;"")</f>
        <v/>
      </c>
      <c r="I330">
        <f>IF($M330="","",INDEX(상세표[월경계 판정],$M330)&amp;"")</f>
        <v/>
      </c>
      <c r="J330">
        <f>IF($M330="","",INDEX(상세표[반영월],$M330)&amp;"")</f>
        <v/>
      </c>
      <c r="K330">
        <f>IF($M330="","",INDEX(상세표[반영 기관],$M330)&amp;"")</f>
        <v/>
      </c>
      <c r="L330">
        <f>IF($M330="","",INDEX(상세표[기관 출처],$M330)&amp;"")</f>
        <v/>
      </c>
      <c r="M330" s="4">
        <f>IFERROR(MATCH(325,상세표[경계순번],0),"")</f>
        <v/>
      </c>
    </row>
    <row r="331">
      <c r="A331">
        <f>IF($M331="","",INDEX(상세표[사번],$M331)&amp;"")</f>
        <v/>
      </c>
      <c r="B331">
        <f>IF($M331="","",INDEX(상세표[성명],$M331)&amp;"")</f>
        <v/>
      </c>
      <c r="C331">
        <f>IF($M331="","",IF(INDEX(상세표[종료월],$M331)=대상월키,"전월→이번 달","이번 달→익월"))</f>
        <v/>
      </c>
      <c r="D331">
        <f>IF($M331="","",IF(ISNUMBER(INDEX(상세표[시작],$M331)),TEXT(INDEX(상세표[시작],$M331),"yyyy-mm-dd hh:mm"),INDEX(상세표[시작],$M331)&amp;""))</f>
        <v/>
      </c>
      <c r="E331">
        <f>IF($M331="","",IF(ISNUMBER(INDEX(상세표[종료],$M331)),TEXT(INDEX(상세표[종료],$M331),"yyyy-mm-dd hh:mm"),INDEX(상세표[종료],$M331)&amp;""))</f>
        <v/>
      </c>
      <c r="F331">
        <f>IF($M331="","",INDEX(상세표[기록 시간외],$M331))</f>
        <v/>
      </c>
      <c r="G331">
        <f>IF($M331="","",INDEX(상세표[시작월 기관],$M331)&amp;"")</f>
        <v/>
      </c>
      <c r="H331">
        <f>IF($M331="","",INDEX(상세표[종료월 기관],$M331)&amp;"")</f>
        <v/>
      </c>
      <c r="I331">
        <f>IF($M331="","",INDEX(상세표[월경계 판정],$M331)&amp;"")</f>
        <v/>
      </c>
      <c r="J331">
        <f>IF($M331="","",INDEX(상세표[반영월],$M331)&amp;"")</f>
        <v/>
      </c>
      <c r="K331">
        <f>IF($M331="","",INDEX(상세표[반영 기관],$M331)&amp;"")</f>
        <v/>
      </c>
      <c r="L331">
        <f>IF($M331="","",INDEX(상세표[기관 출처],$M331)&amp;"")</f>
        <v/>
      </c>
      <c r="M331" s="4">
        <f>IFERROR(MATCH(326,상세표[경계순번],0),"")</f>
        <v/>
      </c>
    </row>
    <row r="332">
      <c r="A332">
        <f>IF($M332="","",INDEX(상세표[사번],$M332)&amp;"")</f>
        <v/>
      </c>
      <c r="B332">
        <f>IF($M332="","",INDEX(상세표[성명],$M332)&amp;"")</f>
        <v/>
      </c>
      <c r="C332">
        <f>IF($M332="","",IF(INDEX(상세표[종료월],$M332)=대상월키,"전월→이번 달","이번 달→익월"))</f>
        <v/>
      </c>
      <c r="D332">
        <f>IF($M332="","",IF(ISNUMBER(INDEX(상세표[시작],$M332)),TEXT(INDEX(상세표[시작],$M332),"yyyy-mm-dd hh:mm"),INDEX(상세표[시작],$M332)&amp;""))</f>
        <v/>
      </c>
      <c r="E332">
        <f>IF($M332="","",IF(ISNUMBER(INDEX(상세표[종료],$M332)),TEXT(INDEX(상세표[종료],$M332),"yyyy-mm-dd hh:mm"),INDEX(상세표[종료],$M332)&amp;""))</f>
        <v/>
      </c>
      <c r="F332">
        <f>IF($M332="","",INDEX(상세표[기록 시간외],$M332))</f>
        <v/>
      </c>
      <c r="G332">
        <f>IF($M332="","",INDEX(상세표[시작월 기관],$M332)&amp;"")</f>
        <v/>
      </c>
      <c r="H332">
        <f>IF($M332="","",INDEX(상세표[종료월 기관],$M332)&amp;"")</f>
        <v/>
      </c>
      <c r="I332">
        <f>IF($M332="","",INDEX(상세표[월경계 판정],$M332)&amp;"")</f>
        <v/>
      </c>
      <c r="J332">
        <f>IF($M332="","",INDEX(상세표[반영월],$M332)&amp;"")</f>
        <v/>
      </c>
      <c r="K332">
        <f>IF($M332="","",INDEX(상세표[반영 기관],$M332)&amp;"")</f>
        <v/>
      </c>
      <c r="L332">
        <f>IF($M332="","",INDEX(상세표[기관 출처],$M332)&amp;"")</f>
        <v/>
      </c>
      <c r="M332" s="4">
        <f>IFERROR(MATCH(327,상세표[경계순번],0),"")</f>
        <v/>
      </c>
    </row>
    <row r="333">
      <c r="A333">
        <f>IF($M333="","",INDEX(상세표[사번],$M333)&amp;"")</f>
        <v/>
      </c>
      <c r="B333">
        <f>IF($M333="","",INDEX(상세표[성명],$M333)&amp;"")</f>
        <v/>
      </c>
      <c r="C333">
        <f>IF($M333="","",IF(INDEX(상세표[종료월],$M333)=대상월키,"전월→이번 달","이번 달→익월"))</f>
        <v/>
      </c>
      <c r="D333">
        <f>IF($M333="","",IF(ISNUMBER(INDEX(상세표[시작],$M333)),TEXT(INDEX(상세표[시작],$M333),"yyyy-mm-dd hh:mm"),INDEX(상세표[시작],$M333)&amp;""))</f>
        <v/>
      </c>
      <c r="E333">
        <f>IF($M333="","",IF(ISNUMBER(INDEX(상세표[종료],$M333)),TEXT(INDEX(상세표[종료],$M333),"yyyy-mm-dd hh:mm"),INDEX(상세표[종료],$M333)&amp;""))</f>
        <v/>
      </c>
      <c r="F333">
        <f>IF($M333="","",INDEX(상세표[기록 시간외],$M333))</f>
        <v/>
      </c>
      <c r="G333">
        <f>IF($M333="","",INDEX(상세표[시작월 기관],$M333)&amp;"")</f>
        <v/>
      </c>
      <c r="H333">
        <f>IF($M333="","",INDEX(상세표[종료월 기관],$M333)&amp;"")</f>
        <v/>
      </c>
      <c r="I333">
        <f>IF($M333="","",INDEX(상세표[월경계 판정],$M333)&amp;"")</f>
        <v/>
      </c>
      <c r="J333">
        <f>IF($M333="","",INDEX(상세표[반영월],$M333)&amp;"")</f>
        <v/>
      </c>
      <c r="K333">
        <f>IF($M333="","",INDEX(상세표[반영 기관],$M333)&amp;"")</f>
        <v/>
      </c>
      <c r="L333">
        <f>IF($M333="","",INDEX(상세표[기관 출처],$M333)&amp;"")</f>
        <v/>
      </c>
      <c r="M333" s="4">
        <f>IFERROR(MATCH(328,상세표[경계순번],0),"")</f>
        <v/>
      </c>
    </row>
    <row r="334">
      <c r="A334">
        <f>IF($M334="","",INDEX(상세표[사번],$M334)&amp;"")</f>
        <v/>
      </c>
      <c r="B334">
        <f>IF($M334="","",INDEX(상세표[성명],$M334)&amp;"")</f>
        <v/>
      </c>
      <c r="C334">
        <f>IF($M334="","",IF(INDEX(상세표[종료월],$M334)=대상월키,"전월→이번 달","이번 달→익월"))</f>
        <v/>
      </c>
      <c r="D334">
        <f>IF($M334="","",IF(ISNUMBER(INDEX(상세표[시작],$M334)),TEXT(INDEX(상세표[시작],$M334),"yyyy-mm-dd hh:mm"),INDEX(상세표[시작],$M334)&amp;""))</f>
        <v/>
      </c>
      <c r="E334">
        <f>IF($M334="","",IF(ISNUMBER(INDEX(상세표[종료],$M334)),TEXT(INDEX(상세표[종료],$M334),"yyyy-mm-dd hh:mm"),INDEX(상세표[종료],$M334)&amp;""))</f>
        <v/>
      </c>
      <c r="F334">
        <f>IF($M334="","",INDEX(상세표[기록 시간외],$M334))</f>
        <v/>
      </c>
      <c r="G334">
        <f>IF($M334="","",INDEX(상세표[시작월 기관],$M334)&amp;"")</f>
        <v/>
      </c>
      <c r="H334">
        <f>IF($M334="","",INDEX(상세표[종료월 기관],$M334)&amp;"")</f>
        <v/>
      </c>
      <c r="I334">
        <f>IF($M334="","",INDEX(상세표[월경계 판정],$M334)&amp;"")</f>
        <v/>
      </c>
      <c r="J334">
        <f>IF($M334="","",INDEX(상세표[반영월],$M334)&amp;"")</f>
        <v/>
      </c>
      <c r="K334">
        <f>IF($M334="","",INDEX(상세표[반영 기관],$M334)&amp;"")</f>
        <v/>
      </c>
      <c r="L334">
        <f>IF($M334="","",INDEX(상세표[기관 출처],$M334)&amp;"")</f>
        <v/>
      </c>
      <c r="M334" s="4">
        <f>IFERROR(MATCH(329,상세표[경계순번],0),"")</f>
        <v/>
      </c>
    </row>
    <row r="335">
      <c r="A335">
        <f>IF($M335="","",INDEX(상세표[사번],$M335)&amp;"")</f>
        <v/>
      </c>
      <c r="B335">
        <f>IF($M335="","",INDEX(상세표[성명],$M335)&amp;"")</f>
        <v/>
      </c>
      <c r="C335">
        <f>IF($M335="","",IF(INDEX(상세표[종료월],$M335)=대상월키,"전월→이번 달","이번 달→익월"))</f>
        <v/>
      </c>
      <c r="D335">
        <f>IF($M335="","",IF(ISNUMBER(INDEX(상세표[시작],$M335)),TEXT(INDEX(상세표[시작],$M335),"yyyy-mm-dd hh:mm"),INDEX(상세표[시작],$M335)&amp;""))</f>
        <v/>
      </c>
      <c r="E335">
        <f>IF($M335="","",IF(ISNUMBER(INDEX(상세표[종료],$M335)),TEXT(INDEX(상세표[종료],$M335),"yyyy-mm-dd hh:mm"),INDEX(상세표[종료],$M335)&amp;""))</f>
        <v/>
      </c>
      <c r="F335">
        <f>IF($M335="","",INDEX(상세표[기록 시간외],$M335))</f>
        <v/>
      </c>
      <c r="G335">
        <f>IF($M335="","",INDEX(상세표[시작월 기관],$M335)&amp;"")</f>
        <v/>
      </c>
      <c r="H335">
        <f>IF($M335="","",INDEX(상세표[종료월 기관],$M335)&amp;"")</f>
        <v/>
      </c>
      <c r="I335">
        <f>IF($M335="","",INDEX(상세표[월경계 판정],$M335)&amp;"")</f>
        <v/>
      </c>
      <c r="J335">
        <f>IF($M335="","",INDEX(상세표[반영월],$M335)&amp;"")</f>
        <v/>
      </c>
      <c r="K335">
        <f>IF($M335="","",INDEX(상세표[반영 기관],$M335)&amp;"")</f>
        <v/>
      </c>
      <c r="L335">
        <f>IF($M335="","",INDEX(상세표[기관 출처],$M335)&amp;"")</f>
        <v/>
      </c>
      <c r="M335" s="4">
        <f>IFERROR(MATCH(330,상세표[경계순번],0),"")</f>
        <v/>
      </c>
    </row>
    <row r="336">
      <c r="A336">
        <f>IF($M336="","",INDEX(상세표[사번],$M336)&amp;"")</f>
        <v/>
      </c>
      <c r="B336">
        <f>IF($M336="","",INDEX(상세표[성명],$M336)&amp;"")</f>
        <v/>
      </c>
      <c r="C336">
        <f>IF($M336="","",IF(INDEX(상세표[종료월],$M336)=대상월키,"전월→이번 달","이번 달→익월"))</f>
        <v/>
      </c>
      <c r="D336">
        <f>IF($M336="","",IF(ISNUMBER(INDEX(상세표[시작],$M336)),TEXT(INDEX(상세표[시작],$M336),"yyyy-mm-dd hh:mm"),INDEX(상세표[시작],$M336)&amp;""))</f>
        <v/>
      </c>
      <c r="E336">
        <f>IF($M336="","",IF(ISNUMBER(INDEX(상세표[종료],$M336)),TEXT(INDEX(상세표[종료],$M336),"yyyy-mm-dd hh:mm"),INDEX(상세표[종료],$M336)&amp;""))</f>
        <v/>
      </c>
      <c r="F336">
        <f>IF($M336="","",INDEX(상세표[기록 시간외],$M336))</f>
        <v/>
      </c>
      <c r="G336">
        <f>IF($M336="","",INDEX(상세표[시작월 기관],$M336)&amp;"")</f>
        <v/>
      </c>
      <c r="H336">
        <f>IF($M336="","",INDEX(상세표[종료월 기관],$M336)&amp;"")</f>
        <v/>
      </c>
      <c r="I336">
        <f>IF($M336="","",INDEX(상세표[월경계 판정],$M336)&amp;"")</f>
        <v/>
      </c>
      <c r="J336">
        <f>IF($M336="","",INDEX(상세표[반영월],$M336)&amp;"")</f>
        <v/>
      </c>
      <c r="K336">
        <f>IF($M336="","",INDEX(상세표[반영 기관],$M336)&amp;"")</f>
        <v/>
      </c>
      <c r="L336">
        <f>IF($M336="","",INDEX(상세표[기관 출처],$M336)&amp;"")</f>
        <v/>
      </c>
      <c r="M336" s="4">
        <f>IFERROR(MATCH(331,상세표[경계순번],0),"")</f>
        <v/>
      </c>
    </row>
    <row r="337">
      <c r="A337">
        <f>IF($M337="","",INDEX(상세표[사번],$M337)&amp;"")</f>
        <v/>
      </c>
      <c r="B337">
        <f>IF($M337="","",INDEX(상세표[성명],$M337)&amp;"")</f>
        <v/>
      </c>
      <c r="C337">
        <f>IF($M337="","",IF(INDEX(상세표[종료월],$M337)=대상월키,"전월→이번 달","이번 달→익월"))</f>
        <v/>
      </c>
      <c r="D337">
        <f>IF($M337="","",IF(ISNUMBER(INDEX(상세표[시작],$M337)),TEXT(INDEX(상세표[시작],$M337),"yyyy-mm-dd hh:mm"),INDEX(상세표[시작],$M337)&amp;""))</f>
        <v/>
      </c>
      <c r="E337">
        <f>IF($M337="","",IF(ISNUMBER(INDEX(상세표[종료],$M337)),TEXT(INDEX(상세표[종료],$M337),"yyyy-mm-dd hh:mm"),INDEX(상세표[종료],$M337)&amp;""))</f>
        <v/>
      </c>
      <c r="F337">
        <f>IF($M337="","",INDEX(상세표[기록 시간외],$M337))</f>
        <v/>
      </c>
      <c r="G337">
        <f>IF($M337="","",INDEX(상세표[시작월 기관],$M337)&amp;"")</f>
        <v/>
      </c>
      <c r="H337">
        <f>IF($M337="","",INDEX(상세표[종료월 기관],$M337)&amp;"")</f>
        <v/>
      </c>
      <c r="I337">
        <f>IF($M337="","",INDEX(상세표[월경계 판정],$M337)&amp;"")</f>
        <v/>
      </c>
      <c r="J337">
        <f>IF($M337="","",INDEX(상세표[반영월],$M337)&amp;"")</f>
        <v/>
      </c>
      <c r="K337">
        <f>IF($M337="","",INDEX(상세표[반영 기관],$M337)&amp;"")</f>
        <v/>
      </c>
      <c r="L337">
        <f>IF($M337="","",INDEX(상세표[기관 출처],$M337)&amp;"")</f>
        <v/>
      </c>
      <c r="M337" s="4">
        <f>IFERROR(MATCH(332,상세표[경계순번],0),"")</f>
        <v/>
      </c>
    </row>
    <row r="338">
      <c r="A338">
        <f>IF($M338="","",INDEX(상세표[사번],$M338)&amp;"")</f>
        <v/>
      </c>
      <c r="B338">
        <f>IF($M338="","",INDEX(상세표[성명],$M338)&amp;"")</f>
        <v/>
      </c>
      <c r="C338">
        <f>IF($M338="","",IF(INDEX(상세표[종료월],$M338)=대상월키,"전월→이번 달","이번 달→익월"))</f>
        <v/>
      </c>
      <c r="D338">
        <f>IF($M338="","",IF(ISNUMBER(INDEX(상세표[시작],$M338)),TEXT(INDEX(상세표[시작],$M338),"yyyy-mm-dd hh:mm"),INDEX(상세표[시작],$M338)&amp;""))</f>
        <v/>
      </c>
      <c r="E338">
        <f>IF($M338="","",IF(ISNUMBER(INDEX(상세표[종료],$M338)),TEXT(INDEX(상세표[종료],$M338),"yyyy-mm-dd hh:mm"),INDEX(상세표[종료],$M338)&amp;""))</f>
        <v/>
      </c>
      <c r="F338">
        <f>IF($M338="","",INDEX(상세표[기록 시간외],$M338))</f>
        <v/>
      </c>
      <c r="G338">
        <f>IF($M338="","",INDEX(상세표[시작월 기관],$M338)&amp;"")</f>
        <v/>
      </c>
      <c r="H338">
        <f>IF($M338="","",INDEX(상세표[종료월 기관],$M338)&amp;"")</f>
        <v/>
      </c>
      <c r="I338">
        <f>IF($M338="","",INDEX(상세표[월경계 판정],$M338)&amp;"")</f>
        <v/>
      </c>
      <c r="J338">
        <f>IF($M338="","",INDEX(상세표[반영월],$M338)&amp;"")</f>
        <v/>
      </c>
      <c r="K338">
        <f>IF($M338="","",INDEX(상세표[반영 기관],$M338)&amp;"")</f>
        <v/>
      </c>
      <c r="L338">
        <f>IF($M338="","",INDEX(상세표[기관 출처],$M338)&amp;"")</f>
        <v/>
      </c>
      <c r="M338" s="4">
        <f>IFERROR(MATCH(333,상세표[경계순번],0),"")</f>
        <v/>
      </c>
    </row>
    <row r="339">
      <c r="A339">
        <f>IF($M339="","",INDEX(상세표[사번],$M339)&amp;"")</f>
        <v/>
      </c>
      <c r="B339">
        <f>IF($M339="","",INDEX(상세표[성명],$M339)&amp;"")</f>
        <v/>
      </c>
      <c r="C339">
        <f>IF($M339="","",IF(INDEX(상세표[종료월],$M339)=대상월키,"전월→이번 달","이번 달→익월"))</f>
        <v/>
      </c>
      <c r="D339">
        <f>IF($M339="","",IF(ISNUMBER(INDEX(상세표[시작],$M339)),TEXT(INDEX(상세표[시작],$M339),"yyyy-mm-dd hh:mm"),INDEX(상세표[시작],$M339)&amp;""))</f>
        <v/>
      </c>
      <c r="E339">
        <f>IF($M339="","",IF(ISNUMBER(INDEX(상세표[종료],$M339)),TEXT(INDEX(상세표[종료],$M339),"yyyy-mm-dd hh:mm"),INDEX(상세표[종료],$M339)&amp;""))</f>
        <v/>
      </c>
      <c r="F339">
        <f>IF($M339="","",INDEX(상세표[기록 시간외],$M339))</f>
        <v/>
      </c>
      <c r="G339">
        <f>IF($M339="","",INDEX(상세표[시작월 기관],$M339)&amp;"")</f>
        <v/>
      </c>
      <c r="H339">
        <f>IF($M339="","",INDEX(상세표[종료월 기관],$M339)&amp;"")</f>
        <v/>
      </c>
      <c r="I339">
        <f>IF($M339="","",INDEX(상세표[월경계 판정],$M339)&amp;"")</f>
        <v/>
      </c>
      <c r="J339">
        <f>IF($M339="","",INDEX(상세표[반영월],$M339)&amp;"")</f>
        <v/>
      </c>
      <c r="K339">
        <f>IF($M339="","",INDEX(상세표[반영 기관],$M339)&amp;"")</f>
        <v/>
      </c>
      <c r="L339">
        <f>IF($M339="","",INDEX(상세표[기관 출처],$M339)&amp;"")</f>
        <v/>
      </c>
      <c r="M339" s="4">
        <f>IFERROR(MATCH(334,상세표[경계순번],0),"")</f>
        <v/>
      </c>
    </row>
    <row r="340">
      <c r="A340">
        <f>IF($M340="","",INDEX(상세표[사번],$M340)&amp;"")</f>
        <v/>
      </c>
      <c r="B340">
        <f>IF($M340="","",INDEX(상세표[성명],$M340)&amp;"")</f>
        <v/>
      </c>
      <c r="C340">
        <f>IF($M340="","",IF(INDEX(상세표[종료월],$M340)=대상월키,"전월→이번 달","이번 달→익월"))</f>
        <v/>
      </c>
      <c r="D340">
        <f>IF($M340="","",IF(ISNUMBER(INDEX(상세표[시작],$M340)),TEXT(INDEX(상세표[시작],$M340),"yyyy-mm-dd hh:mm"),INDEX(상세표[시작],$M340)&amp;""))</f>
        <v/>
      </c>
      <c r="E340">
        <f>IF($M340="","",IF(ISNUMBER(INDEX(상세표[종료],$M340)),TEXT(INDEX(상세표[종료],$M340),"yyyy-mm-dd hh:mm"),INDEX(상세표[종료],$M340)&amp;""))</f>
        <v/>
      </c>
      <c r="F340">
        <f>IF($M340="","",INDEX(상세표[기록 시간외],$M340))</f>
        <v/>
      </c>
      <c r="G340">
        <f>IF($M340="","",INDEX(상세표[시작월 기관],$M340)&amp;"")</f>
        <v/>
      </c>
      <c r="H340">
        <f>IF($M340="","",INDEX(상세표[종료월 기관],$M340)&amp;"")</f>
        <v/>
      </c>
      <c r="I340">
        <f>IF($M340="","",INDEX(상세표[월경계 판정],$M340)&amp;"")</f>
        <v/>
      </c>
      <c r="J340">
        <f>IF($M340="","",INDEX(상세표[반영월],$M340)&amp;"")</f>
        <v/>
      </c>
      <c r="K340">
        <f>IF($M340="","",INDEX(상세표[반영 기관],$M340)&amp;"")</f>
        <v/>
      </c>
      <c r="L340">
        <f>IF($M340="","",INDEX(상세표[기관 출처],$M340)&amp;"")</f>
        <v/>
      </c>
      <c r="M340" s="4">
        <f>IFERROR(MATCH(335,상세표[경계순번],0),"")</f>
        <v/>
      </c>
    </row>
    <row r="341">
      <c r="A341">
        <f>IF($M341="","",INDEX(상세표[사번],$M341)&amp;"")</f>
        <v/>
      </c>
      <c r="B341">
        <f>IF($M341="","",INDEX(상세표[성명],$M341)&amp;"")</f>
        <v/>
      </c>
      <c r="C341">
        <f>IF($M341="","",IF(INDEX(상세표[종료월],$M341)=대상월키,"전월→이번 달","이번 달→익월"))</f>
        <v/>
      </c>
      <c r="D341">
        <f>IF($M341="","",IF(ISNUMBER(INDEX(상세표[시작],$M341)),TEXT(INDEX(상세표[시작],$M341),"yyyy-mm-dd hh:mm"),INDEX(상세표[시작],$M341)&amp;""))</f>
        <v/>
      </c>
      <c r="E341">
        <f>IF($M341="","",IF(ISNUMBER(INDEX(상세표[종료],$M341)),TEXT(INDEX(상세표[종료],$M341),"yyyy-mm-dd hh:mm"),INDEX(상세표[종료],$M341)&amp;""))</f>
        <v/>
      </c>
      <c r="F341">
        <f>IF($M341="","",INDEX(상세표[기록 시간외],$M341))</f>
        <v/>
      </c>
      <c r="G341">
        <f>IF($M341="","",INDEX(상세표[시작월 기관],$M341)&amp;"")</f>
        <v/>
      </c>
      <c r="H341">
        <f>IF($M341="","",INDEX(상세표[종료월 기관],$M341)&amp;"")</f>
        <v/>
      </c>
      <c r="I341">
        <f>IF($M341="","",INDEX(상세표[월경계 판정],$M341)&amp;"")</f>
        <v/>
      </c>
      <c r="J341">
        <f>IF($M341="","",INDEX(상세표[반영월],$M341)&amp;"")</f>
        <v/>
      </c>
      <c r="K341">
        <f>IF($M341="","",INDEX(상세표[반영 기관],$M341)&amp;"")</f>
        <v/>
      </c>
      <c r="L341">
        <f>IF($M341="","",INDEX(상세표[기관 출처],$M341)&amp;"")</f>
        <v/>
      </c>
      <c r="M341" s="4">
        <f>IFERROR(MATCH(336,상세표[경계순번],0),"")</f>
        <v/>
      </c>
    </row>
    <row r="342">
      <c r="A342">
        <f>IF($M342="","",INDEX(상세표[사번],$M342)&amp;"")</f>
        <v/>
      </c>
      <c r="B342">
        <f>IF($M342="","",INDEX(상세표[성명],$M342)&amp;"")</f>
        <v/>
      </c>
      <c r="C342">
        <f>IF($M342="","",IF(INDEX(상세표[종료월],$M342)=대상월키,"전월→이번 달","이번 달→익월"))</f>
        <v/>
      </c>
      <c r="D342">
        <f>IF($M342="","",IF(ISNUMBER(INDEX(상세표[시작],$M342)),TEXT(INDEX(상세표[시작],$M342),"yyyy-mm-dd hh:mm"),INDEX(상세표[시작],$M342)&amp;""))</f>
        <v/>
      </c>
      <c r="E342">
        <f>IF($M342="","",IF(ISNUMBER(INDEX(상세표[종료],$M342)),TEXT(INDEX(상세표[종료],$M342),"yyyy-mm-dd hh:mm"),INDEX(상세표[종료],$M342)&amp;""))</f>
        <v/>
      </c>
      <c r="F342">
        <f>IF($M342="","",INDEX(상세표[기록 시간외],$M342))</f>
        <v/>
      </c>
      <c r="G342">
        <f>IF($M342="","",INDEX(상세표[시작월 기관],$M342)&amp;"")</f>
        <v/>
      </c>
      <c r="H342">
        <f>IF($M342="","",INDEX(상세표[종료월 기관],$M342)&amp;"")</f>
        <v/>
      </c>
      <c r="I342">
        <f>IF($M342="","",INDEX(상세표[월경계 판정],$M342)&amp;"")</f>
        <v/>
      </c>
      <c r="J342">
        <f>IF($M342="","",INDEX(상세표[반영월],$M342)&amp;"")</f>
        <v/>
      </c>
      <c r="K342">
        <f>IF($M342="","",INDEX(상세표[반영 기관],$M342)&amp;"")</f>
        <v/>
      </c>
      <c r="L342">
        <f>IF($M342="","",INDEX(상세표[기관 출처],$M342)&amp;"")</f>
        <v/>
      </c>
      <c r="M342" s="4">
        <f>IFERROR(MATCH(337,상세표[경계순번],0),"")</f>
        <v/>
      </c>
    </row>
    <row r="343">
      <c r="A343">
        <f>IF($M343="","",INDEX(상세표[사번],$M343)&amp;"")</f>
        <v/>
      </c>
      <c r="B343">
        <f>IF($M343="","",INDEX(상세표[성명],$M343)&amp;"")</f>
        <v/>
      </c>
      <c r="C343">
        <f>IF($M343="","",IF(INDEX(상세표[종료월],$M343)=대상월키,"전월→이번 달","이번 달→익월"))</f>
        <v/>
      </c>
      <c r="D343">
        <f>IF($M343="","",IF(ISNUMBER(INDEX(상세표[시작],$M343)),TEXT(INDEX(상세표[시작],$M343),"yyyy-mm-dd hh:mm"),INDEX(상세표[시작],$M343)&amp;""))</f>
        <v/>
      </c>
      <c r="E343">
        <f>IF($M343="","",IF(ISNUMBER(INDEX(상세표[종료],$M343)),TEXT(INDEX(상세표[종료],$M343),"yyyy-mm-dd hh:mm"),INDEX(상세표[종료],$M343)&amp;""))</f>
        <v/>
      </c>
      <c r="F343">
        <f>IF($M343="","",INDEX(상세표[기록 시간외],$M343))</f>
        <v/>
      </c>
      <c r="G343">
        <f>IF($M343="","",INDEX(상세표[시작월 기관],$M343)&amp;"")</f>
        <v/>
      </c>
      <c r="H343">
        <f>IF($M343="","",INDEX(상세표[종료월 기관],$M343)&amp;"")</f>
        <v/>
      </c>
      <c r="I343">
        <f>IF($M343="","",INDEX(상세표[월경계 판정],$M343)&amp;"")</f>
        <v/>
      </c>
      <c r="J343">
        <f>IF($M343="","",INDEX(상세표[반영월],$M343)&amp;"")</f>
        <v/>
      </c>
      <c r="K343">
        <f>IF($M343="","",INDEX(상세표[반영 기관],$M343)&amp;"")</f>
        <v/>
      </c>
      <c r="L343">
        <f>IF($M343="","",INDEX(상세표[기관 출처],$M343)&amp;"")</f>
        <v/>
      </c>
      <c r="M343" s="4">
        <f>IFERROR(MATCH(338,상세표[경계순번],0),"")</f>
        <v/>
      </c>
    </row>
    <row r="344">
      <c r="A344">
        <f>IF($M344="","",INDEX(상세표[사번],$M344)&amp;"")</f>
        <v/>
      </c>
      <c r="B344">
        <f>IF($M344="","",INDEX(상세표[성명],$M344)&amp;"")</f>
        <v/>
      </c>
      <c r="C344">
        <f>IF($M344="","",IF(INDEX(상세표[종료월],$M344)=대상월키,"전월→이번 달","이번 달→익월"))</f>
        <v/>
      </c>
      <c r="D344">
        <f>IF($M344="","",IF(ISNUMBER(INDEX(상세표[시작],$M344)),TEXT(INDEX(상세표[시작],$M344),"yyyy-mm-dd hh:mm"),INDEX(상세표[시작],$M344)&amp;""))</f>
        <v/>
      </c>
      <c r="E344">
        <f>IF($M344="","",IF(ISNUMBER(INDEX(상세표[종료],$M344)),TEXT(INDEX(상세표[종료],$M344),"yyyy-mm-dd hh:mm"),INDEX(상세표[종료],$M344)&amp;""))</f>
        <v/>
      </c>
      <c r="F344">
        <f>IF($M344="","",INDEX(상세표[기록 시간외],$M344))</f>
        <v/>
      </c>
      <c r="G344">
        <f>IF($M344="","",INDEX(상세표[시작월 기관],$M344)&amp;"")</f>
        <v/>
      </c>
      <c r="H344">
        <f>IF($M344="","",INDEX(상세표[종료월 기관],$M344)&amp;"")</f>
        <v/>
      </c>
      <c r="I344">
        <f>IF($M344="","",INDEX(상세표[월경계 판정],$M344)&amp;"")</f>
        <v/>
      </c>
      <c r="J344">
        <f>IF($M344="","",INDEX(상세표[반영월],$M344)&amp;"")</f>
        <v/>
      </c>
      <c r="K344">
        <f>IF($M344="","",INDEX(상세표[반영 기관],$M344)&amp;"")</f>
        <v/>
      </c>
      <c r="L344">
        <f>IF($M344="","",INDEX(상세표[기관 출처],$M344)&amp;"")</f>
        <v/>
      </c>
      <c r="M344" s="4">
        <f>IFERROR(MATCH(339,상세표[경계순번],0),"")</f>
        <v/>
      </c>
    </row>
    <row r="345">
      <c r="A345">
        <f>IF($M345="","",INDEX(상세표[사번],$M345)&amp;"")</f>
        <v/>
      </c>
      <c r="B345">
        <f>IF($M345="","",INDEX(상세표[성명],$M345)&amp;"")</f>
        <v/>
      </c>
      <c r="C345">
        <f>IF($M345="","",IF(INDEX(상세표[종료월],$M345)=대상월키,"전월→이번 달","이번 달→익월"))</f>
        <v/>
      </c>
      <c r="D345">
        <f>IF($M345="","",IF(ISNUMBER(INDEX(상세표[시작],$M345)),TEXT(INDEX(상세표[시작],$M345),"yyyy-mm-dd hh:mm"),INDEX(상세표[시작],$M345)&amp;""))</f>
        <v/>
      </c>
      <c r="E345">
        <f>IF($M345="","",IF(ISNUMBER(INDEX(상세표[종료],$M345)),TEXT(INDEX(상세표[종료],$M345),"yyyy-mm-dd hh:mm"),INDEX(상세표[종료],$M345)&amp;""))</f>
        <v/>
      </c>
      <c r="F345">
        <f>IF($M345="","",INDEX(상세표[기록 시간외],$M345))</f>
        <v/>
      </c>
      <c r="G345">
        <f>IF($M345="","",INDEX(상세표[시작월 기관],$M345)&amp;"")</f>
        <v/>
      </c>
      <c r="H345">
        <f>IF($M345="","",INDEX(상세표[종료월 기관],$M345)&amp;"")</f>
        <v/>
      </c>
      <c r="I345">
        <f>IF($M345="","",INDEX(상세표[월경계 판정],$M345)&amp;"")</f>
        <v/>
      </c>
      <c r="J345">
        <f>IF($M345="","",INDEX(상세표[반영월],$M345)&amp;"")</f>
        <v/>
      </c>
      <c r="K345">
        <f>IF($M345="","",INDEX(상세표[반영 기관],$M345)&amp;"")</f>
        <v/>
      </c>
      <c r="L345">
        <f>IF($M345="","",INDEX(상세표[기관 출처],$M345)&amp;"")</f>
        <v/>
      </c>
      <c r="M345" s="4">
        <f>IFERROR(MATCH(340,상세표[경계순번],0),"")</f>
        <v/>
      </c>
    </row>
    <row r="346">
      <c r="A346">
        <f>IF($M346="","",INDEX(상세표[사번],$M346)&amp;"")</f>
        <v/>
      </c>
      <c r="B346">
        <f>IF($M346="","",INDEX(상세표[성명],$M346)&amp;"")</f>
        <v/>
      </c>
      <c r="C346">
        <f>IF($M346="","",IF(INDEX(상세표[종료월],$M346)=대상월키,"전월→이번 달","이번 달→익월"))</f>
        <v/>
      </c>
      <c r="D346">
        <f>IF($M346="","",IF(ISNUMBER(INDEX(상세표[시작],$M346)),TEXT(INDEX(상세표[시작],$M346),"yyyy-mm-dd hh:mm"),INDEX(상세표[시작],$M346)&amp;""))</f>
        <v/>
      </c>
      <c r="E346">
        <f>IF($M346="","",IF(ISNUMBER(INDEX(상세표[종료],$M346)),TEXT(INDEX(상세표[종료],$M346),"yyyy-mm-dd hh:mm"),INDEX(상세표[종료],$M346)&amp;""))</f>
        <v/>
      </c>
      <c r="F346">
        <f>IF($M346="","",INDEX(상세표[기록 시간외],$M346))</f>
        <v/>
      </c>
      <c r="G346">
        <f>IF($M346="","",INDEX(상세표[시작월 기관],$M346)&amp;"")</f>
        <v/>
      </c>
      <c r="H346">
        <f>IF($M346="","",INDEX(상세표[종료월 기관],$M346)&amp;"")</f>
        <v/>
      </c>
      <c r="I346">
        <f>IF($M346="","",INDEX(상세표[월경계 판정],$M346)&amp;"")</f>
        <v/>
      </c>
      <c r="J346">
        <f>IF($M346="","",INDEX(상세표[반영월],$M346)&amp;"")</f>
        <v/>
      </c>
      <c r="K346">
        <f>IF($M346="","",INDEX(상세표[반영 기관],$M346)&amp;"")</f>
        <v/>
      </c>
      <c r="L346">
        <f>IF($M346="","",INDEX(상세표[기관 출처],$M346)&amp;"")</f>
        <v/>
      </c>
      <c r="M346" s="4">
        <f>IFERROR(MATCH(341,상세표[경계순번],0),"")</f>
        <v/>
      </c>
    </row>
    <row r="347">
      <c r="A347">
        <f>IF($M347="","",INDEX(상세표[사번],$M347)&amp;"")</f>
        <v/>
      </c>
      <c r="B347">
        <f>IF($M347="","",INDEX(상세표[성명],$M347)&amp;"")</f>
        <v/>
      </c>
      <c r="C347">
        <f>IF($M347="","",IF(INDEX(상세표[종료월],$M347)=대상월키,"전월→이번 달","이번 달→익월"))</f>
        <v/>
      </c>
      <c r="D347">
        <f>IF($M347="","",IF(ISNUMBER(INDEX(상세표[시작],$M347)),TEXT(INDEX(상세표[시작],$M347),"yyyy-mm-dd hh:mm"),INDEX(상세표[시작],$M347)&amp;""))</f>
        <v/>
      </c>
      <c r="E347">
        <f>IF($M347="","",IF(ISNUMBER(INDEX(상세표[종료],$M347)),TEXT(INDEX(상세표[종료],$M347),"yyyy-mm-dd hh:mm"),INDEX(상세표[종료],$M347)&amp;""))</f>
        <v/>
      </c>
      <c r="F347">
        <f>IF($M347="","",INDEX(상세표[기록 시간외],$M347))</f>
        <v/>
      </c>
      <c r="G347">
        <f>IF($M347="","",INDEX(상세표[시작월 기관],$M347)&amp;"")</f>
        <v/>
      </c>
      <c r="H347">
        <f>IF($M347="","",INDEX(상세표[종료월 기관],$M347)&amp;"")</f>
        <v/>
      </c>
      <c r="I347">
        <f>IF($M347="","",INDEX(상세표[월경계 판정],$M347)&amp;"")</f>
        <v/>
      </c>
      <c r="J347">
        <f>IF($M347="","",INDEX(상세표[반영월],$M347)&amp;"")</f>
        <v/>
      </c>
      <c r="K347">
        <f>IF($M347="","",INDEX(상세표[반영 기관],$M347)&amp;"")</f>
        <v/>
      </c>
      <c r="L347">
        <f>IF($M347="","",INDEX(상세표[기관 출처],$M347)&amp;"")</f>
        <v/>
      </c>
      <c r="M347" s="4">
        <f>IFERROR(MATCH(342,상세표[경계순번],0),"")</f>
        <v/>
      </c>
    </row>
    <row r="348">
      <c r="A348">
        <f>IF($M348="","",INDEX(상세표[사번],$M348)&amp;"")</f>
        <v/>
      </c>
      <c r="B348">
        <f>IF($M348="","",INDEX(상세표[성명],$M348)&amp;"")</f>
        <v/>
      </c>
      <c r="C348">
        <f>IF($M348="","",IF(INDEX(상세표[종료월],$M348)=대상월키,"전월→이번 달","이번 달→익월"))</f>
        <v/>
      </c>
      <c r="D348">
        <f>IF($M348="","",IF(ISNUMBER(INDEX(상세표[시작],$M348)),TEXT(INDEX(상세표[시작],$M348),"yyyy-mm-dd hh:mm"),INDEX(상세표[시작],$M348)&amp;""))</f>
        <v/>
      </c>
      <c r="E348">
        <f>IF($M348="","",IF(ISNUMBER(INDEX(상세표[종료],$M348)),TEXT(INDEX(상세표[종료],$M348),"yyyy-mm-dd hh:mm"),INDEX(상세표[종료],$M348)&amp;""))</f>
        <v/>
      </c>
      <c r="F348">
        <f>IF($M348="","",INDEX(상세표[기록 시간외],$M348))</f>
        <v/>
      </c>
      <c r="G348">
        <f>IF($M348="","",INDEX(상세표[시작월 기관],$M348)&amp;"")</f>
        <v/>
      </c>
      <c r="H348">
        <f>IF($M348="","",INDEX(상세표[종료월 기관],$M348)&amp;"")</f>
        <v/>
      </c>
      <c r="I348">
        <f>IF($M348="","",INDEX(상세표[월경계 판정],$M348)&amp;"")</f>
        <v/>
      </c>
      <c r="J348">
        <f>IF($M348="","",INDEX(상세표[반영월],$M348)&amp;"")</f>
        <v/>
      </c>
      <c r="K348">
        <f>IF($M348="","",INDEX(상세표[반영 기관],$M348)&amp;"")</f>
        <v/>
      </c>
      <c r="L348">
        <f>IF($M348="","",INDEX(상세표[기관 출처],$M348)&amp;"")</f>
        <v/>
      </c>
      <c r="M348" s="4">
        <f>IFERROR(MATCH(343,상세표[경계순번],0),"")</f>
        <v/>
      </c>
    </row>
    <row r="349">
      <c r="A349">
        <f>IF($M349="","",INDEX(상세표[사번],$M349)&amp;"")</f>
        <v/>
      </c>
      <c r="B349">
        <f>IF($M349="","",INDEX(상세표[성명],$M349)&amp;"")</f>
        <v/>
      </c>
      <c r="C349">
        <f>IF($M349="","",IF(INDEX(상세표[종료월],$M349)=대상월키,"전월→이번 달","이번 달→익월"))</f>
        <v/>
      </c>
      <c r="D349">
        <f>IF($M349="","",IF(ISNUMBER(INDEX(상세표[시작],$M349)),TEXT(INDEX(상세표[시작],$M349),"yyyy-mm-dd hh:mm"),INDEX(상세표[시작],$M349)&amp;""))</f>
        <v/>
      </c>
      <c r="E349">
        <f>IF($M349="","",IF(ISNUMBER(INDEX(상세표[종료],$M349)),TEXT(INDEX(상세표[종료],$M349),"yyyy-mm-dd hh:mm"),INDEX(상세표[종료],$M349)&amp;""))</f>
        <v/>
      </c>
      <c r="F349">
        <f>IF($M349="","",INDEX(상세표[기록 시간외],$M349))</f>
        <v/>
      </c>
      <c r="G349">
        <f>IF($M349="","",INDEX(상세표[시작월 기관],$M349)&amp;"")</f>
        <v/>
      </c>
      <c r="H349">
        <f>IF($M349="","",INDEX(상세표[종료월 기관],$M349)&amp;"")</f>
        <v/>
      </c>
      <c r="I349">
        <f>IF($M349="","",INDEX(상세표[월경계 판정],$M349)&amp;"")</f>
        <v/>
      </c>
      <c r="J349">
        <f>IF($M349="","",INDEX(상세표[반영월],$M349)&amp;"")</f>
        <v/>
      </c>
      <c r="K349">
        <f>IF($M349="","",INDEX(상세표[반영 기관],$M349)&amp;"")</f>
        <v/>
      </c>
      <c r="L349">
        <f>IF($M349="","",INDEX(상세표[기관 출처],$M349)&amp;"")</f>
        <v/>
      </c>
      <c r="M349" s="4">
        <f>IFERROR(MATCH(344,상세표[경계순번],0),"")</f>
        <v/>
      </c>
    </row>
    <row r="350">
      <c r="A350">
        <f>IF($M350="","",INDEX(상세표[사번],$M350)&amp;"")</f>
        <v/>
      </c>
      <c r="B350">
        <f>IF($M350="","",INDEX(상세표[성명],$M350)&amp;"")</f>
        <v/>
      </c>
      <c r="C350">
        <f>IF($M350="","",IF(INDEX(상세표[종료월],$M350)=대상월키,"전월→이번 달","이번 달→익월"))</f>
        <v/>
      </c>
      <c r="D350">
        <f>IF($M350="","",IF(ISNUMBER(INDEX(상세표[시작],$M350)),TEXT(INDEX(상세표[시작],$M350),"yyyy-mm-dd hh:mm"),INDEX(상세표[시작],$M350)&amp;""))</f>
        <v/>
      </c>
      <c r="E350">
        <f>IF($M350="","",IF(ISNUMBER(INDEX(상세표[종료],$M350)),TEXT(INDEX(상세표[종료],$M350),"yyyy-mm-dd hh:mm"),INDEX(상세표[종료],$M350)&amp;""))</f>
        <v/>
      </c>
      <c r="F350">
        <f>IF($M350="","",INDEX(상세표[기록 시간외],$M350))</f>
        <v/>
      </c>
      <c r="G350">
        <f>IF($M350="","",INDEX(상세표[시작월 기관],$M350)&amp;"")</f>
        <v/>
      </c>
      <c r="H350">
        <f>IF($M350="","",INDEX(상세표[종료월 기관],$M350)&amp;"")</f>
        <v/>
      </c>
      <c r="I350">
        <f>IF($M350="","",INDEX(상세표[월경계 판정],$M350)&amp;"")</f>
        <v/>
      </c>
      <c r="J350">
        <f>IF($M350="","",INDEX(상세표[반영월],$M350)&amp;"")</f>
        <v/>
      </c>
      <c r="K350">
        <f>IF($M350="","",INDEX(상세표[반영 기관],$M350)&amp;"")</f>
        <v/>
      </c>
      <c r="L350">
        <f>IF($M350="","",INDEX(상세표[기관 출처],$M350)&amp;"")</f>
        <v/>
      </c>
      <c r="M350" s="4">
        <f>IFERROR(MATCH(345,상세표[경계순번],0),"")</f>
        <v/>
      </c>
    </row>
    <row r="351">
      <c r="A351">
        <f>IF($M351="","",INDEX(상세표[사번],$M351)&amp;"")</f>
        <v/>
      </c>
      <c r="B351">
        <f>IF($M351="","",INDEX(상세표[성명],$M351)&amp;"")</f>
        <v/>
      </c>
      <c r="C351">
        <f>IF($M351="","",IF(INDEX(상세표[종료월],$M351)=대상월키,"전월→이번 달","이번 달→익월"))</f>
        <v/>
      </c>
      <c r="D351">
        <f>IF($M351="","",IF(ISNUMBER(INDEX(상세표[시작],$M351)),TEXT(INDEX(상세표[시작],$M351),"yyyy-mm-dd hh:mm"),INDEX(상세표[시작],$M351)&amp;""))</f>
        <v/>
      </c>
      <c r="E351">
        <f>IF($M351="","",IF(ISNUMBER(INDEX(상세표[종료],$M351)),TEXT(INDEX(상세표[종료],$M351),"yyyy-mm-dd hh:mm"),INDEX(상세표[종료],$M351)&amp;""))</f>
        <v/>
      </c>
      <c r="F351">
        <f>IF($M351="","",INDEX(상세표[기록 시간외],$M351))</f>
        <v/>
      </c>
      <c r="G351">
        <f>IF($M351="","",INDEX(상세표[시작월 기관],$M351)&amp;"")</f>
        <v/>
      </c>
      <c r="H351">
        <f>IF($M351="","",INDEX(상세표[종료월 기관],$M351)&amp;"")</f>
        <v/>
      </c>
      <c r="I351">
        <f>IF($M351="","",INDEX(상세표[월경계 판정],$M351)&amp;"")</f>
        <v/>
      </c>
      <c r="J351">
        <f>IF($M351="","",INDEX(상세표[반영월],$M351)&amp;"")</f>
        <v/>
      </c>
      <c r="K351">
        <f>IF($M351="","",INDEX(상세표[반영 기관],$M351)&amp;"")</f>
        <v/>
      </c>
      <c r="L351">
        <f>IF($M351="","",INDEX(상세표[기관 출처],$M351)&amp;"")</f>
        <v/>
      </c>
      <c r="M351" s="4">
        <f>IFERROR(MATCH(346,상세표[경계순번],0),"")</f>
        <v/>
      </c>
    </row>
    <row r="352">
      <c r="A352">
        <f>IF($M352="","",INDEX(상세표[사번],$M352)&amp;"")</f>
        <v/>
      </c>
      <c r="B352">
        <f>IF($M352="","",INDEX(상세표[성명],$M352)&amp;"")</f>
        <v/>
      </c>
      <c r="C352">
        <f>IF($M352="","",IF(INDEX(상세표[종료월],$M352)=대상월키,"전월→이번 달","이번 달→익월"))</f>
        <v/>
      </c>
      <c r="D352">
        <f>IF($M352="","",IF(ISNUMBER(INDEX(상세표[시작],$M352)),TEXT(INDEX(상세표[시작],$M352),"yyyy-mm-dd hh:mm"),INDEX(상세표[시작],$M352)&amp;""))</f>
        <v/>
      </c>
      <c r="E352">
        <f>IF($M352="","",IF(ISNUMBER(INDEX(상세표[종료],$M352)),TEXT(INDEX(상세표[종료],$M352),"yyyy-mm-dd hh:mm"),INDEX(상세표[종료],$M352)&amp;""))</f>
        <v/>
      </c>
      <c r="F352">
        <f>IF($M352="","",INDEX(상세표[기록 시간외],$M352))</f>
        <v/>
      </c>
      <c r="G352">
        <f>IF($M352="","",INDEX(상세표[시작월 기관],$M352)&amp;"")</f>
        <v/>
      </c>
      <c r="H352">
        <f>IF($M352="","",INDEX(상세표[종료월 기관],$M352)&amp;"")</f>
        <v/>
      </c>
      <c r="I352">
        <f>IF($M352="","",INDEX(상세표[월경계 판정],$M352)&amp;"")</f>
        <v/>
      </c>
      <c r="J352">
        <f>IF($M352="","",INDEX(상세표[반영월],$M352)&amp;"")</f>
        <v/>
      </c>
      <c r="K352">
        <f>IF($M352="","",INDEX(상세표[반영 기관],$M352)&amp;"")</f>
        <v/>
      </c>
      <c r="L352">
        <f>IF($M352="","",INDEX(상세표[기관 출처],$M352)&amp;"")</f>
        <v/>
      </c>
      <c r="M352" s="4">
        <f>IFERROR(MATCH(347,상세표[경계순번],0),"")</f>
        <v/>
      </c>
    </row>
    <row r="353">
      <c r="A353">
        <f>IF($M353="","",INDEX(상세표[사번],$M353)&amp;"")</f>
        <v/>
      </c>
      <c r="B353">
        <f>IF($M353="","",INDEX(상세표[성명],$M353)&amp;"")</f>
        <v/>
      </c>
      <c r="C353">
        <f>IF($M353="","",IF(INDEX(상세표[종료월],$M353)=대상월키,"전월→이번 달","이번 달→익월"))</f>
        <v/>
      </c>
      <c r="D353">
        <f>IF($M353="","",IF(ISNUMBER(INDEX(상세표[시작],$M353)),TEXT(INDEX(상세표[시작],$M353),"yyyy-mm-dd hh:mm"),INDEX(상세표[시작],$M353)&amp;""))</f>
        <v/>
      </c>
      <c r="E353">
        <f>IF($M353="","",IF(ISNUMBER(INDEX(상세표[종료],$M353)),TEXT(INDEX(상세표[종료],$M353),"yyyy-mm-dd hh:mm"),INDEX(상세표[종료],$M353)&amp;""))</f>
        <v/>
      </c>
      <c r="F353">
        <f>IF($M353="","",INDEX(상세표[기록 시간외],$M353))</f>
        <v/>
      </c>
      <c r="G353">
        <f>IF($M353="","",INDEX(상세표[시작월 기관],$M353)&amp;"")</f>
        <v/>
      </c>
      <c r="H353">
        <f>IF($M353="","",INDEX(상세표[종료월 기관],$M353)&amp;"")</f>
        <v/>
      </c>
      <c r="I353">
        <f>IF($M353="","",INDEX(상세표[월경계 판정],$M353)&amp;"")</f>
        <v/>
      </c>
      <c r="J353">
        <f>IF($M353="","",INDEX(상세표[반영월],$M353)&amp;"")</f>
        <v/>
      </c>
      <c r="K353">
        <f>IF($M353="","",INDEX(상세표[반영 기관],$M353)&amp;"")</f>
        <v/>
      </c>
      <c r="L353">
        <f>IF($M353="","",INDEX(상세표[기관 출처],$M353)&amp;"")</f>
        <v/>
      </c>
      <c r="M353" s="4">
        <f>IFERROR(MATCH(348,상세표[경계순번],0),"")</f>
        <v/>
      </c>
    </row>
    <row r="354">
      <c r="A354">
        <f>IF($M354="","",INDEX(상세표[사번],$M354)&amp;"")</f>
        <v/>
      </c>
      <c r="B354">
        <f>IF($M354="","",INDEX(상세표[성명],$M354)&amp;"")</f>
        <v/>
      </c>
      <c r="C354">
        <f>IF($M354="","",IF(INDEX(상세표[종료월],$M354)=대상월키,"전월→이번 달","이번 달→익월"))</f>
        <v/>
      </c>
      <c r="D354">
        <f>IF($M354="","",IF(ISNUMBER(INDEX(상세표[시작],$M354)),TEXT(INDEX(상세표[시작],$M354),"yyyy-mm-dd hh:mm"),INDEX(상세표[시작],$M354)&amp;""))</f>
        <v/>
      </c>
      <c r="E354">
        <f>IF($M354="","",IF(ISNUMBER(INDEX(상세표[종료],$M354)),TEXT(INDEX(상세표[종료],$M354),"yyyy-mm-dd hh:mm"),INDEX(상세표[종료],$M354)&amp;""))</f>
        <v/>
      </c>
      <c r="F354">
        <f>IF($M354="","",INDEX(상세표[기록 시간외],$M354))</f>
        <v/>
      </c>
      <c r="G354">
        <f>IF($M354="","",INDEX(상세표[시작월 기관],$M354)&amp;"")</f>
        <v/>
      </c>
      <c r="H354">
        <f>IF($M354="","",INDEX(상세표[종료월 기관],$M354)&amp;"")</f>
        <v/>
      </c>
      <c r="I354">
        <f>IF($M354="","",INDEX(상세표[월경계 판정],$M354)&amp;"")</f>
        <v/>
      </c>
      <c r="J354">
        <f>IF($M354="","",INDEX(상세표[반영월],$M354)&amp;"")</f>
        <v/>
      </c>
      <c r="K354">
        <f>IF($M354="","",INDEX(상세표[반영 기관],$M354)&amp;"")</f>
        <v/>
      </c>
      <c r="L354">
        <f>IF($M354="","",INDEX(상세표[기관 출처],$M354)&amp;"")</f>
        <v/>
      </c>
      <c r="M354" s="4">
        <f>IFERROR(MATCH(349,상세표[경계순번],0),"")</f>
        <v/>
      </c>
    </row>
    <row r="355">
      <c r="A355">
        <f>IF($M355="","",INDEX(상세표[사번],$M355)&amp;"")</f>
        <v/>
      </c>
      <c r="B355">
        <f>IF($M355="","",INDEX(상세표[성명],$M355)&amp;"")</f>
        <v/>
      </c>
      <c r="C355">
        <f>IF($M355="","",IF(INDEX(상세표[종료월],$M355)=대상월키,"전월→이번 달","이번 달→익월"))</f>
        <v/>
      </c>
      <c r="D355">
        <f>IF($M355="","",IF(ISNUMBER(INDEX(상세표[시작],$M355)),TEXT(INDEX(상세표[시작],$M355),"yyyy-mm-dd hh:mm"),INDEX(상세표[시작],$M355)&amp;""))</f>
        <v/>
      </c>
      <c r="E355">
        <f>IF($M355="","",IF(ISNUMBER(INDEX(상세표[종료],$M355)),TEXT(INDEX(상세표[종료],$M355),"yyyy-mm-dd hh:mm"),INDEX(상세표[종료],$M355)&amp;""))</f>
        <v/>
      </c>
      <c r="F355">
        <f>IF($M355="","",INDEX(상세표[기록 시간외],$M355))</f>
        <v/>
      </c>
      <c r="G355">
        <f>IF($M355="","",INDEX(상세표[시작월 기관],$M355)&amp;"")</f>
        <v/>
      </c>
      <c r="H355">
        <f>IF($M355="","",INDEX(상세표[종료월 기관],$M355)&amp;"")</f>
        <v/>
      </c>
      <c r="I355">
        <f>IF($M355="","",INDEX(상세표[월경계 판정],$M355)&amp;"")</f>
        <v/>
      </c>
      <c r="J355">
        <f>IF($M355="","",INDEX(상세표[반영월],$M355)&amp;"")</f>
        <v/>
      </c>
      <c r="K355">
        <f>IF($M355="","",INDEX(상세표[반영 기관],$M355)&amp;"")</f>
        <v/>
      </c>
      <c r="L355">
        <f>IF($M355="","",INDEX(상세표[기관 출처],$M355)&amp;"")</f>
        <v/>
      </c>
      <c r="M355" s="4">
        <f>IFERROR(MATCH(350,상세표[경계순번],0),"")</f>
        <v/>
      </c>
    </row>
    <row r="356">
      <c r="A356">
        <f>IF($M356="","",INDEX(상세표[사번],$M356)&amp;"")</f>
        <v/>
      </c>
      <c r="B356">
        <f>IF($M356="","",INDEX(상세표[성명],$M356)&amp;"")</f>
        <v/>
      </c>
      <c r="C356">
        <f>IF($M356="","",IF(INDEX(상세표[종료월],$M356)=대상월키,"전월→이번 달","이번 달→익월"))</f>
        <v/>
      </c>
      <c r="D356">
        <f>IF($M356="","",IF(ISNUMBER(INDEX(상세표[시작],$M356)),TEXT(INDEX(상세표[시작],$M356),"yyyy-mm-dd hh:mm"),INDEX(상세표[시작],$M356)&amp;""))</f>
        <v/>
      </c>
      <c r="E356">
        <f>IF($M356="","",IF(ISNUMBER(INDEX(상세표[종료],$M356)),TEXT(INDEX(상세표[종료],$M356),"yyyy-mm-dd hh:mm"),INDEX(상세표[종료],$M356)&amp;""))</f>
        <v/>
      </c>
      <c r="F356">
        <f>IF($M356="","",INDEX(상세표[기록 시간외],$M356))</f>
        <v/>
      </c>
      <c r="G356">
        <f>IF($M356="","",INDEX(상세표[시작월 기관],$M356)&amp;"")</f>
        <v/>
      </c>
      <c r="H356">
        <f>IF($M356="","",INDEX(상세표[종료월 기관],$M356)&amp;"")</f>
        <v/>
      </c>
      <c r="I356">
        <f>IF($M356="","",INDEX(상세표[월경계 판정],$M356)&amp;"")</f>
        <v/>
      </c>
      <c r="J356">
        <f>IF($M356="","",INDEX(상세표[반영월],$M356)&amp;"")</f>
        <v/>
      </c>
      <c r="K356">
        <f>IF($M356="","",INDEX(상세표[반영 기관],$M356)&amp;"")</f>
        <v/>
      </c>
      <c r="L356">
        <f>IF($M356="","",INDEX(상세표[기관 출처],$M356)&amp;"")</f>
        <v/>
      </c>
      <c r="M356" s="4">
        <f>IFERROR(MATCH(351,상세표[경계순번],0),"")</f>
        <v/>
      </c>
    </row>
    <row r="357">
      <c r="A357">
        <f>IF($M357="","",INDEX(상세표[사번],$M357)&amp;"")</f>
        <v/>
      </c>
      <c r="B357">
        <f>IF($M357="","",INDEX(상세표[성명],$M357)&amp;"")</f>
        <v/>
      </c>
      <c r="C357">
        <f>IF($M357="","",IF(INDEX(상세표[종료월],$M357)=대상월키,"전월→이번 달","이번 달→익월"))</f>
        <v/>
      </c>
      <c r="D357">
        <f>IF($M357="","",IF(ISNUMBER(INDEX(상세표[시작],$M357)),TEXT(INDEX(상세표[시작],$M357),"yyyy-mm-dd hh:mm"),INDEX(상세표[시작],$M357)&amp;""))</f>
        <v/>
      </c>
      <c r="E357">
        <f>IF($M357="","",IF(ISNUMBER(INDEX(상세표[종료],$M357)),TEXT(INDEX(상세표[종료],$M357),"yyyy-mm-dd hh:mm"),INDEX(상세표[종료],$M357)&amp;""))</f>
        <v/>
      </c>
      <c r="F357">
        <f>IF($M357="","",INDEX(상세표[기록 시간외],$M357))</f>
        <v/>
      </c>
      <c r="G357">
        <f>IF($M357="","",INDEX(상세표[시작월 기관],$M357)&amp;"")</f>
        <v/>
      </c>
      <c r="H357">
        <f>IF($M357="","",INDEX(상세표[종료월 기관],$M357)&amp;"")</f>
        <v/>
      </c>
      <c r="I357">
        <f>IF($M357="","",INDEX(상세표[월경계 판정],$M357)&amp;"")</f>
        <v/>
      </c>
      <c r="J357">
        <f>IF($M357="","",INDEX(상세표[반영월],$M357)&amp;"")</f>
        <v/>
      </c>
      <c r="K357">
        <f>IF($M357="","",INDEX(상세표[반영 기관],$M357)&amp;"")</f>
        <v/>
      </c>
      <c r="L357">
        <f>IF($M357="","",INDEX(상세표[기관 출처],$M357)&amp;"")</f>
        <v/>
      </c>
      <c r="M357" s="4">
        <f>IFERROR(MATCH(352,상세표[경계순번],0),"")</f>
        <v/>
      </c>
    </row>
    <row r="358">
      <c r="A358">
        <f>IF($M358="","",INDEX(상세표[사번],$M358)&amp;"")</f>
        <v/>
      </c>
      <c r="B358">
        <f>IF($M358="","",INDEX(상세표[성명],$M358)&amp;"")</f>
        <v/>
      </c>
      <c r="C358">
        <f>IF($M358="","",IF(INDEX(상세표[종료월],$M358)=대상월키,"전월→이번 달","이번 달→익월"))</f>
        <v/>
      </c>
      <c r="D358">
        <f>IF($M358="","",IF(ISNUMBER(INDEX(상세표[시작],$M358)),TEXT(INDEX(상세표[시작],$M358),"yyyy-mm-dd hh:mm"),INDEX(상세표[시작],$M358)&amp;""))</f>
        <v/>
      </c>
      <c r="E358">
        <f>IF($M358="","",IF(ISNUMBER(INDEX(상세표[종료],$M358)),TEXT(INDEX(상세표[종료],$M358),"yyyy-mm-dd hh:mm"),INDEX(상세표[종료],$M358)&amp;""))</f>
        <v/>
      </c>
      <c r="F358">
        <f>IF($M358="","",INDEX(상세표[기록 시간외],$M358))</f>
        <v/>
      </c>
      <c r="G358">
        <f>IF($M358="","",INDEX(상세표[시작월 기관],$M358)&amp;"")</f>
        <v/>
      </c>
      <c r="H358">
        <f>IF($M358="","",INDEX(상세표[종료월 기관],$M358)&amp;"")</f>
        <v/>
      </c>
      <c r="I358">
        <f>IF($M358="","",INDEX(상세표[월경계 판정],$M358)&amp;"")</f>
        <v/>
      </c>
      <c r="J358">
        <f>IF($M358="","",INDEX(상세표[반영월],$M358)&amp;"")</f>
        <v/>
      </c>
      <c r="K358">
        <f>IF($M358="","",INDEX(상세표[반영 기관],$M358)&amp;"")</f>
        <v/>
      </c>
      <c r="L358">
        <f>IF($M358="","",INDEX(상세표[기관 출처],$M358)&amp;"")</f>
        <v/>
      </c>
      <c r="M358" s="4">
        <f>IFERROR(MATCH(353,상세표[경계순번],0),"")</f>
        <v/>
      </c>
    </row>
    <row r="359">
      <c r="A359">
        <f>IF($M359="","",INDEX(상세표[사번],$M359)&amp;"")</f>
        <v/>
      </c>
      <c r="B359">
        <f>IF($M359="","",INDEX(상세표[성명],$M359)&amp;"")</f>
        <v/>
      </c>
      <c r="C359">
        <f>IF($M359="","",IF(INDEX(상세표[종료월],$M359)=대상월키,"전월→이번 달","이번 달→익월"))</f>
        <v/>
      </c>
      <c r="D359">
        <f>IF($M359="","",IF(ISNUMBER(INDEX(상세표[시작],$M359)),TEXT(INDEX(상세표[시작],$M359),"yyyy-mm-dd hh:mm"),INDEX(상세표[시작],$M359)&amp;""))</f>
        <v/>
      </c>
      <c r="E359">
        <f>IF($M359="","",IF(ISNUMBER(INDEX(상세표[종료],$M359)),TEXT(INDEX(상세표[종료],$M359),"yyyy-mm-dd hh:mm"),INDEX(상세표[종료],$M359)&amp;""))</f>
        <v/>
      </c>
      <c r="F359">
        <f>IF($M359="","",INDEX(상세표[기록 시간외],$M359))</f>
        <v/>
      </c>
      <c r="G359">
        <f>IF($M359="","",INDEX(상세표[시작월 기관],$M359)&amp;"")</f>
        <v/>
      </c>
      <c r="H359">
        <f>IF($M359="","",INDEX(상세표[종료월 기관],$M359)&amp;"")</f>
        <v/>
      </c>
      <c r="I359">
        <f>IF($M359="","",INDEX(상세표[월경계 판정],$M359)&amp;"")</f>
        <v/>
      </c>
      <c r="J359">
        <f>IF($M359="","",INDEX(상세표[반영월],$M359)&amp;"")</f>
        <v/>
      </c>
      <c r="K359">
        <f>IF($M359="","",INDEX(상세표[반영 기관],$M359)&amp;"")</f>
        <v/>
      </c>
      <c r="L359">
        <f>IF($M359="","",INDEX(상세표[기관 출처],$M359)&amp;"")</f>
        <v/>
      </c>
      <c r="M359" s="4">
        <f>IFERROR(MATCH(354,상세표[경계순번],0),"")</f>
        <v/>
      </c>
    </row>
    <row r="360">
      <c r="A360">
        <f>IF($M360="","",INDEX(상세표[사번],$M360)&amp;"")</f>
        <v/>
      </c>
      <c r="B360">
        <f>IF($M360="","",INDEX(상세표[성명],$M360)&amp;"")</f>
        <v/>
      </c>
      <c r="C360">
        <f>IF($M360="","",IF(INDEX(상세표[종료월],$M360)=대상월키,"전월→이번 달","이번 달→익월"))</f>
        <v/>
      </c>
      <c r="D360">
        <f>IF($M360="","",IF(ISNUMBER(INDEX(상세표[시작],$M360)),TEXT(INDEX(상세표[시작],$M360),"yyyy-mm-dd hh:mm"),INDEX(상세표[시작],$M360)&amp;""))</f>
        <v/>
      </c>
      <c r="E360">
        <f>IF($M360="","",IF(ISNUMBER(INDEX(상세표[종료],$M360)),TEXT(INDEX(상세표[종료],$M360),"yyyy-mm-dd hh:mm"),INDEX(상세표[종료],$M360)&amp;""))</f>
        <v/>
      </c>
      <c r="F360">
        <f>IF($M360="","",INDEX(상세표[기록 시간외],$M360))</f>
        <v/>
      </c>
      <c r="G360">
        <f>IF($M360="","",INDEX(상세표[시작월 기관],$M360)&amp;"")</f>
        <v/>
      </c>
      <c r="H360">
        <f>IF($M360="","",INDEX(상세표[종료월 기관],$M360)&amp;"")</f>
        <v/>
      </c>
      <c r="I360">
        <f>IF($M360="","",INDEX(상세표[월경계 판정],$M360)&amp;"")</f>
        <v/>
      </c>
      <c r="J360">
        <f>IF($M360="","",INDEX(상세표[반영월],$M360)&amp;"")</f>
        <v/>
      </c>
      <c r="K360">
        <f>IF($M360="","",INDEX(상세표[반영 기관],$M360)&amp;"")</f>
        <v/>
      </c>
      <c r="L360">
        <f>IF($M360="","",INDEX(상세표[기관 출처],$M360)&amp;"")</f>
        <v/>
      </c>
      <c r="M360" s="4">
        <f>IFERROR(MATCH(355,상세표[경계순번],0),"")</f>
        <v/>
      </c>
    </row>
    <row r="361">
      <c r="A361">
        <f>IF($M361="","",INDEX(상세표[사번],$M361)&amp;"")</f>
        <v/>
      </c>
      <c r="B361">
        <f>IF($M361="","",INDEX(상세표[성명],$M361)&amp;"")</f>
        <v/>
      </c>
      <c r="C361">
        <f>IF($M361="","",IF(INDEX(상세표[종료월],$M361)=대상월키,"전월→이번 달","이번 달→익월"))</f>
        <v/>
      </c>
      <c r="D361">
        <f>IF($M361="","",IF(ISNUMBER(INDEX(상세표[시작],$M361)),TEXT(INDEX(상세표[시작],$M361),"yyyy-mm-dd hh:mm"),INDEX(상세표[시작],$M361)&amp;""))</f>
        <v/>
      </c>
      <c r="E361">
        <f>IF($M361="","",IF(ISNUMBER(INDEX(상세표[종료],$M361)),TEXT(INDEX(상세표[종료],$M361),"yyyy-mm-dd hh:mm"),INDEX(상세표[종료],$M361)&amp;""))</f>
        <v/>
      </c>
      <c r="F361">
        <f>IF($M361="","",INDEX(상세표[기록 시간외],$M361))</f>
        <v/>
      </c>
      <c r="G361">
        <f>IF($M361="","",INDEX(상세표[시작월 기관],$M361)&amp;"")</f>
        <v/>
      </c>
      <c r="H361">
        <f>IF($M361="","",INDEX(상세표[종료월 기관],$M361)&amp;"")</f>
        <v/>
      </c>
      <c r="I361">
        <f>IF($M361="","",INDEX(상세표[월경계 판정],$M361)&amp;"")</f>
        <v/>
      </c>
      <c r="J361">
        <f>IF($M361="","",INDEX(상세표[반영월],$M361)&amp;"")</f>
        <v/>
      </c>
      <c r="K361">
        <f>IF($M361="","",INDEX(상세표[반영 기관],$M361)&amp;"")</f>
        <v/>
      </c>
      <c r="L361">
        <f>IF($M361="","",INDEX(상세표[기관 출처],$M361)&amp;"")</f>
        <v/>
      </c>
      <c r="M361" s="4">
        <f>IFERROR(MATCH(356,상세표[경계순번],0),"")</f>
        <v/>
      </c>
    </row>
    <row r="362">
      <c r="A362">
        <f>IF($M362="","",INDEX(상세표[사번],$M362)&amp;"")</f>
        <v/>
      </c>
      <c r="B362">
        <f>IF($M362="","",INDEX(상세표[성명],$M362)&amp;"")</f>
        <v/>
      </c>
      <c r="C362">
        <f>IF($M362="","",IF(INDEX(상세표[종료월],$M362)=대상월키,"전월→이번 달","이번 달→익월"))</f>
        <v/>
      </c>
      <c r="D362">
        <f>IF($M362="","",IF(ISNUMBER(INDEX(상세표[시작],$M362)),TEXT(INDEX(상세표[시작],$M362),"yyyy-mm-dd hh:mm"),INDEX(상세표[시작],$M362)&amp;""))</f>
        <v/>
      </c>
      <c r="E362">
        <f>IF($M362="","",IF(ISNUMBER(INDEX(상세표[종료],$M362)),TEXT(INDEX(상세표[종료],$M362),"yyyy-mm-dd hh:mm"),INDEX(상세표[종료],$M362)&amp;""))</f>
        <v/>
      </c>
      <c r="F362">
        <f>IF($M362="","",INDEX(상세표[기록 시간외],$M362))</f>
        <v/>
      </c>
      <c r="G362">
        <f>IF($M362="","",INDEX(상세표[시작월 기관],$M362)&amp;"")</f>
        <v/>
      </c>
      <c r="H362">
        <f>IF($M362="","",INDEX(상세표[종료월 기관],$M362)&amp;"")</f>
        <v/>
      </c>
      <c r="I362">
        <f>IF($M362="","",INDEX(상세표[월경계 판정],$M362)&amp;"")</f>
        <v/>
      </c>
      <c r="J362">
        <f>IF($M362="","",INDEX(상세표[반영월],$M362)&amp;"")</f>
        <v/>
      </c>
      <c r="K362">
        <f>IF($M362="","",INDEX(상세표[반영 기관],$M362)&amp;"")</f>
        <v/>
      </c>
      <c r="L362">
        <f>IF($M362="","",INDEX(상세표[기관 출처],$M362)&amp;"")</f>
        <v/>
      </c>
      <c r="M362" s="4">
        <f>IFERROR(MATCH(357,상세표[경계순번],0),"")</f>
        <v/>
      </c>
    </row>
    <row r="363">
      <c r="A363">
        <f>IF($M363="","",INDEX(상세표[사번],$M363)&amp;"")</f>
        <v/>
      </c>
      <c r="B363">
        <f>IF($M363="","",INDEX(상세표[성명],$M363)&amp;"")</f>
        <v/>
      </c>
      <c r="C363">
        <f>IF($M363="","",IF(INDEX(상세표[종료월],$M363)=대상월키,"전월→이번 달","이번 달→익월"))</f>
        <v/>
      </c>
      <c r="D363">
        <f>IF($M363="","",IF(ISNUMBER(INDEX(상세표[시작],$M363)),TEXT(INDEX(상세표[시작],$M363),"yyyy-mm-dd hh:mm"),INDEX(상세표[시작],$M363)&amp;""))</f>
        <v/>
      </c>
      <c r="E363">
        <f>IF($M363="","",IF(ISNUMBER(INDEX(상세표[종료],$M363)),TEXT(INDEX(상세표[종료],$M363),"yyyy-mm-dd hh:mm"),INDEX(상세표[종료],$M363)&amp;""))</f>
        <v/>
      </c>
      <c r="F363">
        <f>IF($M363="","",INDEX(상세표[기록 시간외],$M363))</f>
        <v/>
      </c>
      <c r="G363">
        <f>IF($M363="","",INDEX(상세표[시작월 기관],$M363)&amp;"")</f>
        <v/>
      </c>
      <c r="H363">
        <f>IF($M363="","",INDEX(상세표[종료월 기관],$M363)&amp;"")</f>
        <v/>
      </c>
      <c r="I363">
        <f>IF($M363="","",INDEX(상세표[월경계 판정],$M363)&amp;"")</f>
        <v/>
      </c>
      <c r="J363">
        <f>IF($M363="","",INDEX(상세표[반영월],$M363)&amp;"")</f>
        <v/>
      </c>
      <c r="K363">
        <f>IF($M363="","",INDEX(상세표[반영 기관],$M363)&amp;"")</f>
        <v/>
      </c>
      <c r="L363">
        <f>IF($M363="","",INDEX(상세표[기관 출처],$M363)&amp;"")</f>
        <v/>
      </c>
      <c r="M363" s="4">
        <f>IFERROR(MATCH(358,상세표[경계순번],0),"")</f>
        <v/>
      </c>
    </row>
    <row r="364">
      <c r="A364">
        <f>IF($M364="","",INDEX(상세표[사번],$M364)&amp;"")</f>
        <v/>
      </c>
      <c r="B364">
        <f>IF($M364="","",INDEX(상세표[성명],$M364)&amp;"")</f>
        <v/>
      </c>
      <c r="C364">
        <f>IF($M364="","",IF(INDEX(상세표[종료월],$M364)=대상월키,"전월→이번 달","이번 달→익월"))</f>
        <v/>
      </c>
      <c r="D364">
        <f>IF($M364="","",IF(ISNUMBER(INDEX(상세표[시작],$M364)),TEXT(INDEX(상세표[시작],$M364),"yyyy-mm-dd hh:mm"),INDEX(상세표[시작],$M364)&amp;""))</f>
        <v/>
      </c>
      <c r="E364">
        <f>IF($M364="","",IF(ISNUMBER(INDEX(상세표[종료],$M364)),TEXT(INDEX(상세표[종료],$M364),"yyyy-mm-dd hh:mm"),INDEX(상세표[종료],$M364)&amp;""))</f>
        <v/>
      </c>
      <c r="F364">
        <f>IF($M364="","",INDEX(상세표[기록 시간외],$M364))</f>
        <v/>
      </c>
      <c r="G364">
        <f>IF($M364="","",INDEX(상세표[시작월 기관],$M364)&amp;"")</f>
        <v/>
      </c>
      <c r="H364">
        <f>IF($M364="","",INDEX(상세표[종료월 기관],$M364)&amp;"")</f>
        <v/>
      </c>
      <c r="I364">
        <f>IF($M364="","",INDEX(상세표[월경계 판정],$M364)&amp;"")</f>
        <v/>
      </c>
      <c r="J364">
        <f>IF($M364="","",INDEX(상세표[반영월],$M364)&amp;"")</f>
        <v/>
      </c>
      <c r="K364">
        <f>IF($M364="","",INDEX(상세표[반영 기관],$M364)&amp;"")</f>
        <v/>
      </c>
      <c r="L364">
        <f>IF($M364="","",INDEX(상세표[기관 출처],$M364)&amp;"")</f>
        <v/>
      </c>
      <c r="M364" s="4">
        <f>IFERROR(MATCH(359,상세표[경계순번],0),"")</f>
        <v/>
      </c>
    </row>
    <row r="365">
      <c r="A365">
        <f>IF($M365="","",INDEX(상세표[사번],$M365)&amp;"")</f>
        <v/>
      </c>
      <c r="B365">
        <f>IF($M365="","",INDEX(상세표[성명],$M365)&amp;"")</f>
        <v/>
      </c>
      <c r="C365">
        <f>IF($M365="","",IF(INDEX(상세표[종료월],$M365)=대상월키,"전월→이번 달","이번 달→익월"))</f>
        <v/>
      </c>
      <c r="D365">
        <f>IF($M365="","",IF(ISNUMBER(INDEX(상세표[시작],$M365)),TEXT(INDEX(상세표[시작],$M365),"yyyy-mm-dd hh:mm"),INDEX(상세표[시작],$M365)&amp;""))</f>
        <v/>
      </c>
      <c r="E365">
        <f>IF($M365="","",IF(ISNUMBER(INDEX(상세표[종료],$M365)),TEXT(INDEX(상세표[종료],$M365),"yyyy-mm-dd hh:mm"),INDEX(상세표[종료],$M365)&amp;""))</f>
        <v/>
      </c>
      <c r="F365">
        <f>IF($M365="","",INDEX(상세표[기록 시간외],$M365))</f>
        <v/>
      </c>
      <c r="G365">
        <f>IF($M365="","",INDEX(상세표[시작월 기관],$M365)&amp;"")</f>
        <v/>
      </c>
      <c r="H365">
        <f>IF($M365="","",INDEX(상세표[종료월 기관],$M365)&amp;"")</f>
        <v/>
      </c>
      <c r="I365">
        <f>IF($M365="","",INDEX(상세표[월경계 판정],$M365)&amp;"")</f>
        <v/>
      </c>
      <c r="J365">
        <f>IF($M365="","",INDEX(상세표[반영월],$M365)&amp;"")</f>
        <v/>
      </c>
      <c r="K365">
        <f>IF($M365="","",INDEX(상세표[반영 기관],$M365)&amp;"")</f>
        <v/>
      </c>
      <c r="L365">
        <f>IF($M365="","",INDEX(상세표[기관 출처],$M365)&amp;"")</f>
        <v/>
      </c>
      <c r="M365" s="4">
        <f>IFERROR(MATCH(360,상세표[경계순번],0),"")</f>
        <v/>
      </c>
    </row>
    <row r="366">
      <c r="A366">
        <f>IF($M366="","",INDEX(상세표[사번],$M366)&amp;"")</f>
        <v/>
      </c>
      <c r="B366">
        <f>IF($M366="","",INDEX(상세표[성명],$M366)&amp;"")</f>
        <v/>
      </c>
      <c r="C366">
        <f>IF($M366="","",IF(INDEX(상세표[종료월],$M366)=대상월키,"전월→이번 달","이번 달→익월"))</f>
        <v/>
      </c>
      <c r="D366">
        <f>IF($M366="","",IF(ISNUMBER(INDEX(상세표[시작],$M366)),TEXT(INDEX(상세표[시작],$M366),"yyyy-mm-dd hh:mm"),INDEX(상세표[시작],$M366)&amp;""))</f>
        <v/>
      </c>
      <c r="E366">
        <f>IF($M366="","",IF(ISNUMBER(INDEX(상세표[종료],$M366)),TEXT(INDEX(상세표[종료],$M366),"yyyy-mm-dd hh:mm"),INDEX(상세표[종료],$M366)&amp;""))</f>
        <v/>
      </c>
      <c r="F366">
        <f>IF($M366="","",INDEX(상세표[기록 시간외],$M366))</f>
        <v/>
      </c>
      <c r="G366">
        <f>IF($M366="","",INDEX(상세표[시작월 기관],$M366)&amp;"")</f>
        <v/>
      </c>
      <c r="H366">
        <f>IF($M366="","",INDEX(상세표[종료월 기관],$M366)&amp;"")</f>
        <v/>
      </c>
      <c r="I366">
        <f>IF($M366="","",INDEX(상세표[월경계 판정],$M366)&amp;"")</f>
        <v/>
      </c>
      <c r="J366">
        <f>IF($M366="","",INDEX(상세표[반영월],$M366)&amp;"")</f>
        <v/>
      </c>
      <c r="K366">
        <f>IF($M366="","",INDEX(상세표[반영 기관],$M366)&amp;"")</f>
        <v/>
      </c>
      <c r="L366">
        <f>IF($M366="","",INDEX(상세표[기관 출처],$M366)&amp;"")</f>
        <v/>
      </c>
      <c r="M366" s="4">
        <f>IFERROR(MATCH(361,상세표[경계순번],0),"")</f>
        <v/>
      </c>
    </row>
    <row r="367">
      <c r="A367">
        <f>IF($M367="","",INDEX(상세표[사번],$M367)&amp;"")</f>
        <v/>
      </c>
      <c r="B367">
        <f>IF($M367="","",INDEX(상세표[성명],$M367)&amp;"")</f>
        <v/>
      </c>
      <c r="C367">
        <f>IF($M367="","",IF(INDEX(상세표[종료월],$M367)=대상월키,"전월→이번 달","이번 달→익월"))</f>
        <v/>
      </c>
      <c r="D367">
        <f>IF($M367="","",IF(ISNUMBER(INDEX(상세표[시작],$M367)),TEXT(INDEX(상세표[시작],$M367),"yyyy-mm-dd hh:mm"),INDEX(상세표[시작],$M367)&amp;""))</f>
        <v/>
      </c>
      <c r="E367">
        <f>IF($M367="","",IF(ISNUMBER(INDEX(상세표[종료],$M367)),TEXT(INDEX(상세표[종료],$M367),"yyyy-mm-dd hh:mm"),INDEX(상세표[종료],$M367)&amp;""))</f>
        <v/>
      </c>
      <c r="F367">
        <f>IF($M367="","",INDEX(상세표[기록 시간외],$M367))</f>
        <v/>
      </c>
      <c r="G367">
        <f>IF($M367="","",INDEX(상세표[시작월 기관],$M367)&amp;"")</f>
        <v/>
      </c>
      <c r="H367">
        <f>IF($M367="","",INDEX(상세표[종료월 기관],$M367)&amp;"")</f>
        <v/>
      </c>
      <c r="I367">
        <f>IF($M367="","",INDEX(상세표[월경계 판정],$M367)&amp;"")</f>
        <v/>
      </c>
      <c r="J367">
        <f>IF($M367="","",INDEX(상세표[반영월],$M367)&amp;"")</f>
        <v/>
      </c>
      <c r="K367">
        <f>IF($M367="","",INDEX(상세표[반영 기관],$M367)&amp;"")</f>
        <v/>
      </c>
      <c r="L367">
        <f>IF($M367="","",INDEX(상세표[기관 출처],$M367)&amp;"")</f>
        <v/>
      </c>
      <c r="M367" s="4">
        <f>IFERROR(MATCH(362,상세표[경계순번],0),"")</f>
        <v/>
      </c>
    </row>
    <row r="368">
      <c r="A368">
        <f>IF($M368="","",INDEX(상세표[사번],$M368)&amp;"")</f>
        <v/>
      </c>
      <c r="B368">
        <f>IF($M368="","",INDEX(상세표[성명],$M368)&amp;"")</f>
        <v/>
      </c>
      <c r="C368">
        <f>IF($M368="","",IF(INDEX(상세표[종료월],$M368)=대상월키,"전월→이번 달","이번 달→익월"))</f>
        <v/>
      </c>
      <c r="D368">
        <f>IF($M368="","",IF(ISNUMBER(INDEX(상세표[시작],$M368)),TEXT(INDEX(상세표[시작],$M368),"yyyy-mm-dd hh:mm"),INDEX(상세표[시작],$M368)&amp;""))</f>
        <v/>
      </c>
      <c r="E368">
        <f>IF($M368="","",IF(ISNUMBER(INDEX(상세표[종료],$M368)),TEXT(INDEX(상세표[종료],$M368),"yyyy-mm-dd hh:mm"),INDEX(상세표[종료],$M368)&amp;""))</f>
        <v/>
      </c>
      <c r="F368">
        <f>IF($M368="","",INDEX(상세표[기록 시간외],$M368))</f>
        <v/>
      </c>
      <c r="G368">
        <f>IF($M368="","",INDEX(상세표[시작월 기관],$M368)&amp;"")</f>
        <v/>
      </c>
      <c r="H368">
        <f>IF($M368="","",INDEX(상세표[종료월 기관],$M368)&amp;"")</f>
        <v/>
      </c>
      <c r="I368">
        <f>IF($M368="","",INDEX(상세표[월경계 판정],$M368)&amp;"")</f>
        <v/>
      </c>
      <c r="J368">
        <f>IF($M368="","",INDEX(상세표[반영월],$M368)&amp;"")</f>
        <v/>
      </c>
      <c r="K368">
        <f>IF($M368="","",INDEX(상세표[반영 기관],$M368)&amp;"")</f>
        <v/>
      </c>
      <c r="L368">
        <f>IF($M368="","",INDEX(상세표[기관 출처],$M368)&amp;"")</f>
        <v/>
      </c>
      <c r="M368" s="4">
        <f>IFERROR(MATCH(363,상세표[경계순번],0),"")</f>
        <v/>
      </c>
    </row>
    <row r="369">
      <c r="A369">
        <f>IF($M369="","",INDEX(상세표[사번],$M369)&amp;"")</f>
        <v/>
      </c>
      <c r="B369">
        <f>IF($M369="","",INDEX(상세표[성명],$M369)&amp;"")</f>
        <v/>
      </c>
      <c r="C369">
        <f>IF($M369="","",IF(INDEX(상세표[종료월],$M369)=대상월키,"전월→이번 달","이번 달→익월"))</f>
        <v/>
      </c>
      <c r="D369">
        <f>IF($M369="","",IF(ISNUMBER(INDEX(상세표[시작],$M369)),TEXT(INDEX(상세표[시작],$M369),"yyyy-mm-dd hh:mm"),INDEX(상세표[시작],$M369)&amp;""))</f>
        <v/>
      </c>
      <c r="E369">
        <f>IF($M369="","",IF(ISNUMBER(INDEX(상세표[종료],$M369)),TEXT(INDEX(상세표[종료],$M369),"yyyy-mm-dd hh:mm"),INDEX(상세표[종료],$M369)&amp;""))</f>
        <v/>
      </c>
      <c r="F369">
        <f>IF($M369="","",INDEX(상세표[기록 시간외],$M369))</f>
        <v/>
      </c>
      <c r="G369">
        <f>IF($M369="","",INDEX(상세표[시작월 기관],$M369)&amp;"")</f>
        <v/>
      </c>
      <c r="H369">
        <f>IF($M369="","",INDEX(상세표[종료월 기관],$M369)&amp;"")</f>
        <v/>
      </c>
      <c r="I369">
        <f>IF($M369="","",INDEX(상세표[월경계 판정],$M369)&amp;"")</f>
        <v/>
      </c>
      <c r="J369">
        <f>IF($M369="","",INDEX(상세표[반영월],$M369)&amp;"")</f>
        <v/>
      </c>
      <c r="K369">
        <f>IF($M369="","",INDEX(상세표[반영 기관],$M369)&amp;"")</f>
        <v/>
      </c>
      <c r="L369">
        <f>IF($M369="","",INDEX(상세표[기관 출처],$M369)&amp;"")</f>
        <v/>
      </c>
      <c r="M369" s="4">
        <f>IFERROR(MATCH(364,상세표[경계순번],0),"")</f>
        <v/>
      </c>
    </row>
    <row r="370">
      <c r="A370">
        <f>IF($M370="","",INDEX(상세표[사번],$M370)&amp;"")</f>
        <v/>
      </c>
      <c r="B370">
        <f>IF($M370="","",INDEX(상세표[성명],$M370)&amp;"")</f>
        <v/>
      </c>
      <c r="C370">
        <f>IF($M370="","",IF(INDEX(상세표[종료월],$M370)=대상월키,"전월→이번 달","이번 달→익월"))</f>
        <v/>
      </c>
      <c r="D370">
        <f>IF($M370="","",IF(ISNUMBER(INDEX(상세표[시작],$M370)),TEXT(INDEX(상세표[시작],$M370),"yyyy-mm-dd hh:mm"),INDEX(상세표[시작],$M370)&amp;""))</f>
        <v/>
      </c>
      <c r="E370">
        <f>IF($M370="","",IF(ISNUMBER(INDEX(상세표[종료],$M370)),TEXT(INDEX(상세표[종료],$M370),"yyyy-mm-dd hh:mm"),INDEX(상세표[종료],$M370)&amp;""))</f>
        <v/>
      </c>
      <c r="F370">
        <f>IF($M370="","",INDEX(상세표[기록 시간외],$M370))</f>
        <v/>
      </c>
      <c r="G370">
        <f>IF($M370="","",INDEX(상세표[시작월 기관],$M370)&amp;"")</f>
        <v/>
      </c>
      <c r="H370">
        <f>IF($M370="","",INDEX(상세표[종료월 기관],$M370)&amp;"")</f>
        <v/>
      </c>
      <c r="I370">
        <f>IF($M370="","",INDEX(상세표[월경계 판정],$M370)&amp;"")</f>
        <v/>
      </c>
      <c r="J370">
        <f>IF($M370="","",INDEX(상세표[반영월],$M370)&amp;"")</f>
        <v/>
      </c>
      <c r="K370">
        <f>IF($M370="","",INDEX(상세표[반영 기관],$M370)&amp;"")</f>
        <v/>
      </c>
      <c r="L370">
        <f>IF($M370="","",INDEX(상세표[기관 출처],$M370)&amp;"")</f>
        <v/>
      </c>
      <c r="M370" s="4">
        <f>IFERROR(MATCH(365,상세표[경계순번],0),"")</f>
        <v/>
      </c>
    </row>
    <row r="371">
      <c r="A371">
        <f>IF($M371="","",INDEX(상세표[사번],$M371)&amp;"")</f>
        <v/>
      </c>
      <c r="B371">
        <f>IF($M371="","",INDEX(상세표[성명],$M371)&amp;"")</f>
        <v/>
      </c>
      <c r="C371">
        <f>IF($M371="","",IF(INDEX(상세표[종료월],$M371)=대상월키,"전월→이번 달","이번 달→익월"))</f>
        <v/>
      </c>
      <c r="D371">
        <f>IF($M371="","",IF(ISNUMBER(INDEX(상세표[시작],$M371)),TEXT(INDEX(상세표[시작],$M371),"yyyy-mm-dd hh:mm"),INDEX(상세표[시작],$M371)&amp;""))</f>
        <v/>
      </c>
      <c r="E371">
        <f>IF($M371="","",IF(ISNUMBER(INDEX(상세표[종료],$M371)),TEXT(INDEX(상세표[종료],$M371),"yyyy-mm-dd hh:mm"),INDEX(상세표[종료],$M371)&amp;""))</f>
        <v/>
      </c>
      <c r="F371">
        <f>IF($M371="","",INDEX(상세표[기록 시간외],$M371))</f>
        <v/>
      </c>
      <c r="G371">
        <f>IF($M371="","",INDEX(상세표[시작월 기관],$M371)&amp;"")</f>
        <v/>
      </c>
      <c r="H371">
        <f>IF($M371="","",INDEX(상세표[종료월 기관],$M371)&amp;"")</f>
        <v/>
      </c>
      <c r="I371">
        <f>IF($M371="","",INDEX(상세표[월경계 판정],$M371)&amp;"")</f>
        <v/>
      </c>
      <c r="J371">
        <f>IF($M371="","",INDEX(상세표[반영월],$M371)&amp;"")</f>
        <v/>
      </c>
      <c r="K371">
        <f>IF($M371="","",INDEX(상세표[반영 기관],$M371)&amp;"")</f>
        <v/>
      </c>
      <c r="L371">
        <f>IF($M371="","",INDEX(상세표[기관 출처],$M371)&amp;"")</f>
        <v/>
      </c>
      <c r="M371" s="4">
        <f>IFERROR(MATCH(366,상세표[경계순번],0),"")</f>
        <v/>
      </c>
    </row>
    <row r="372">
      <c r="A372">
        <f>IF($M372="","",INDEX(상세표[사번],$M372)&amp;"")</f>
        <v/>
      </c>
      <c r="B372">
        <f>IF($M372="","",INDEX(상세표[성명],$M372)&amp;"")</f>
        <v/>
      </c>
      <c r="C372">
        <f>IF($M372="","",IF(INDEX(상세표[종료월],$M372)=대상월키,"전월→이번 달","이번 달→익월"))</f>
        <v/>
      </c>
      <c r="D372">
        <f>IF($M372="","",IF(ISNUMBER(INDEX(상세표[시작],$M372)),TEXT(INDEX(상세표[시작],$M372),"yyyy-mm-dd hh:mm"),INDEX(상세표[시작],$M372)&amp;""))</f>
        <v/>
      </c>
      <c r="E372">
        <f>IF($M372="","",IF(ISNUMBER(INDEX(상세표[종료],$M372)),TEXT(INDEX(상세표[종료],$M372),"yyyy-mm-dd hh:mm"),INDEX(상세표[종료],$M372)&amp;""))</f>
        <v/>
      </c>
      <c r="F372">
        <f>IF($M372="","",INDEX(상세표[기록 시간외],$M372))</f>
        <v/>
      </c>
      <c r="G372">
        <f>IF($M372="","",INDEX(상세표[시작월 기관],$M372)&amp;"")</f>
        <v/>
      </c>
      <c r="H372">
        <f>IF($M372="","",INDEX(상세표[종료월 기관],$M372)&amp;"")</f>
        <v/>
      </c>
      <c r="I372">
        <f>IF($M372="","",INDEX(상세표[월경계 판정],$M372)&amp;"")</f>
        <v/>
      </c>
      <c r="J372">
        <f>IF($M372="","",INDEX(상세표[반영월],$M372)&amp;"")</f>
        <v/>
      </c>
      <c r="K372">
        <f>IF($M372="","",INDEX(상세표[반영 기관],$M372)&amp;"")</f>
        <v/>
      </c>
      <c r="L372">
        <f>IF($M372="","",INDEX(상세표[기관 출처],$M372)&amp;"")</f>
        <v/>
      </c>
      <c r="M372" s="4">
        <f>IFERROR(MATCH(367,상세표[경계순번],0),"")</f>
        <v/>
      </c>
    </row>
    <row r="373">
      <c r="A373">
        <f>IF($M373="","",INDEX(상세표[사번],$M373)&amp;"")</f>
        <v/>
      </c>
      <c r="B373">
        <f>IF($M373="","",INDEX(상세표[성명],$M373)&amp;"")</f>
        <v/>
      </c>
      <c r="C373">
        <f>IF($M373="","",IF(INDEX(상세표[종료월],$M373)=대상월키,"전월→이번 달","이번 달→익월"))</f>
        <v/>
      </c>
      <c r="D373">
        <f>IF($M373="","",IF(ISNUMBER(INDEX(상세표[시작],$M373)),TEXT(INDEX(상세표[시작],$M373),"yyyy-mm-dd hh:mm"),INDEX(상세표[시작],$M373)&amp;""))</f>
        <v/>
      </c>
      <c r="E373">
        <f>IF($M373="","",IF(ISNUMBER(INDEX(상세표[종료],$M373)),TEXT(INDEX(상세표[종료],$M373),"yyyy-mm-dd hh:mm"),INDEX(상세표[종료],$M373)&amp;""))</f>
        <v/>
      </c>
      <c r="F373">
        <f>IF($M373="","",INDEX(상세표[기록 시간외],$M373))</f>
        <v/>
      </c>
      <c r="G373">
        <f>IF($M373="","",INDEX(상세표[시작월 기관],$M373)&amp;"")</f>
        <v/>
      </c>
      <c r="H373">
        <f>IF($M373="","",INDEX(상세표[종료월 기관],$M373)&amp;"")</f>
        <v/>
      </c>
      <c r="I373">
        <f>IF($M373="","",INDEX(상세표[월경계 판정],$M373)&amp;"")</f>
        <v/>
      </c>
      <c r="J373">
        <f>IF($M373="","",INDEX(상세표[반영월],$M373)&amp;"")</f>
        <v/>
      </c>
      <c r="K373">
        <f>IF($M373="","",INDEX(상세표[반영 기관],$M373)&amp;"")</f>
        <v/>
      </c>
      <c r="L373">
        <f>IF($M373="","",INDEX(상세표[기관 출처],$M373)&amp;"")</f>
        <v/>
      </c>
      <c r="M373" s="4">
        <f>IFERROR(MATCH(368,상세표[경계순번],0),"")</f>
        <v/>
      </c>
    </row>
    <row r="374">
      <c r="A374">
        <f>IF($M374="","",INDEX(상세표[사번],$M374)&amp;"")</f>
        <v/>
      </c>
      <c r="B374">
        <f>IF($M374="","",INDEX(상세표[성명],$M374)&amp;"")</f>
        <v/>
      </c>
      <c r="C374">
        <f>IF($M374="","",IF(INDEX(상세표[종료월],$M374)=대상월키,"전월→이번 달","이번 달→익월"))</f>
        <v/>
      </c>
      <c r="D374">
        <f>IF($M374="","",IF(ISNUMBER(INDEX(상세표[시작],$M374)),TEXT(INDEX(상세표[시작],$M374),"yyyy-mm-dd hh:mm"),INDEX(상세표[시작],$M374)&amp;""))</f>
        <v/>
      </c>
      <c r="E374">
        <f>IF($M374="","",IF(ISNUMBER(INDEX(상세표[종료],$M374)),TEXT(INDEX(상세표[종료],$M374),"yyyy-mm-dd hh:mm"),INDEX(상세표[종료],$M374)&amp;""))</f>
        <v/>
      </c>
      <c r="F374">
        <f>IF($M374="","",INDEX(상세표[기록 시간외],$M374))</f>
        <v/>
      </c>
      <c r="G374">
        <f>IF($M374="","",INDEX(상세표[시작월 기관],$M374)&amp;"")</f>
        <v/>
      </c>
      <c r="H374">
        <f>IF($M374="","",INDEX(상세표[종료월 기관],$M374)&amp;"")</f>
        <v/>
      </c>
      <c r="I374">
        <f>IF($M374="","",INDEX(상세표[월경계 판정],$M374)&amp;"")</f>
        <v/>
      </c>
      <c r="J374">
        <f>IF($M374="","",INDEX(상세표[반영월],$M374)&amp;"")</f>
        <v/>
      </c>
      <c r="K374">
        <f>IF($M374="","",INDEX(상세표[반영 기관],$M374)&amp;"")</f>
        <v/>
      </c>
      <c r="L374">
        <f>IF($M374="","",INDEX(상세표[기관 출처],$M374)&amp;"")</f>
        <v/>
      </c>
      <c r="M374" s="4">
        <f>IFERROR(MATCH(369,상세표[경계순번],0),"")</f>
        <v/>
      </c>
    </row>
    <row r="375">
      <c r="A375">
        <f>IF($M375="","",INDEX(상세표[사번],$M375)&amp;"")</f>
        <v/>
      </c>
      <c r="B375">
        <f>IF($M375="","",INDEX(상세표[성명],$M375)&amp;"")</f>
        <v/>
      </c>
      <c r="C375">
        <f>IF($M375="","",IF(INDEX(상세표[종료월],$M375)=대상월키,"전월→이번 달","이번 달→익월"))</f>
        <v/>
      </c>
      <c r="D375">
        <f>IF($M375="","",IF(ISNUMBER(INDEX(상세표[시작],$M375)),TEXT(INDEX(상세표[시작],$M375),"yyyy-mm-dd hh:mm"),INDEX(상세표[시작],$M375)&amp;""))</f>
        <v/>
      </c>
      <c r="E375">
        <f>IF($M375="","",IF(ISNUMBER(INDEX(상세표[종료],$M375)),TEXT(INDEX(상세표[종료],$M375),"yyyy-mm-dd hh:mm"),INDEX(상세표[종료],$M375)&amp;""))</f>
        <v/>
      </c>
      <c r="F375">
        <f>IF($M375="","",INDEX(상세표[기록 시간외],$M375))</f>
        <v/>
      </c>
      <c r="G375">
        <f>IF($M375="","",INDEX(상세표[시작월 기관],$M375)&amp;"")</f>
        <v/>
      </c>
      <c r="H375">
        <f>IF($M375="","",INDEX(상세표[종료월 기관],$M375)&amp;"")</f>
        <v/>
      </c>
      <c r="I375">
        <f>IF($M375="","",INDEX(상세표[월경계 판정],$M375)&amp;"")</f>
        <v/>
      </c>
      <c r="J375">
        <f>IF($M375="","",INDEX(상세표[반영월],$M375)&amp;"")</f>
        <v/>
      </c>
      <c r="K375">
        <f>IF($M375="","",INDEX(상세표[반영 기관],$M375)&amp;"")</f>
        <v/>
      </c>
      <c r="L375">
        <f>IF($M375="","",INDEX(상세표[기관 출처],$M375)&amp;"")</f>
        <v/>
      </c>
      <c r="M375" s="4">
        <f>IFERROR(MATCH(370,상세표[경계순번],0),"")</f>
        <v/>
      </c>
    </row>
    <row r="376">
      <c r="A376">
        <f>IF($M376="","",INDEX(상세표[사번],$M376)&amp;"")</f>
        <v/>
      </c>
      <c r="B376">
        <f>IF($M376="","",INDEX(상세표[성명],$M376)&amp;"")</f>
        <v/>
      </c>
      <c r="C376">
        <f>IF($M376="","",IF(INDEX(상세표[종료월],$M376)=대상월키,"전월→이번 달","이번 달→익월"))</f>
        <v/>
      </c>
      <c r="D376">
        <f>IF($M376="","",IF(ISNUMBER(INDEX(상세표[시작],$M376)),TEXT(INDEX(상세표[시작],$M376),"yyyy-mm-dd hh:mm"),INDEX(상세표[시작],$M376)&amp;""))</f>
        <v/>
      </c>
      <c r="E376">
        <f>IF($M376="","",IF(ISNUMBER(INDEX(상세표[종료],$M376)),TEXT(INDEX(상세표[종료],$M376),"yyyy-mm-dd hh:mm"),INDEX(상세표[종료],$M376)&amp;""))</f>
        <v/>
      </c>
      <c r="F376">
        <f>IF($M376="","",INDEX(상세표[기록 시간외],$M376))</f>
        <v/>
      </c>
      <c r="G376">
        <f>IF($M376="","",INDEX(상세표[시작월 기관],$M376)&amp;"")</f>
        <v/>
      </c>
      <c r="H376">
        <f>IF($M376="","",INDEX(상세표[종료월 기관],$M376)&amp;"")</f>
        <v/>
      </c>
      <c r="I376">
        <f>IF($M376="","",INDEX(상세표[월경계 판정],$M376)&amp;"")</f>
        <v/>
      </c>
      <c r="J376">
        <f>IF($M376="","",INDEX(상세표[반영월],$M376)&amp;"")</f>
        <v/>
      </c>
      <c r="K376">
        <f>IF($M376="","",INDEX(상세표[반영 기관],$M376)&amp;"")</f>
        <v/>
      </c>
      <c r="L376">
        <f>IF($M376="","",INDEX(상세표[기관 출처],$M376)&amp;"")</f>
        <v/>
      </c>
      <c r="M376" s="4">
        <f>IFERROR(MATCH(371,상세표[경계순번],0),"")</f>
        <v/>
      </c>
    </row>
    <row r="377">
      <c r="A377">
        <f>IF($M377="","",INDEX(상세표[사번],$M377)&amp;"")</f>
        <v/>
      </c>
      <c r="B377">
        <f>IF($M377="","",INDEX(상세표[성명],$M377)&amp;"")</f>
        <v/>
      </c>
      <c r="C377">
        <f>IF($M377="","",IF(INDEX(상세표[종료월],$M377)=대상월키,"전월→이번 달","이번 달→익월"))</f>
        <v/>
      </c>
      <c r="D377">
        <f>IF($M377="","",IF(ISNUMBER(INDEX(상세표[시작],$M377)),TEXT(INDEX(상세표[시작],$M377),"yyyy-mm-dd hh:mm"),INDEX(상세표[시작],$M377)&amp;""))</f>
        <v/>
      </c>
      <c r="E377">
        <f>IF($M377="","",IF(ISNUMBER(INDEX(상세표[종료],$M377)),TEXT(INDEX(상세표[종료],$M377),"yyyy-mm-dd hh:mm"),INDEX(상세표[종료],$M377)&amp;""))</f>
        <v/>
      </c>
      <c r="F377">
        <f>IF($M377="","",INDEX(상세표[기록 시간외],$M377))</f>
        <v/>
      </c>
      <c r="G377">
        <f>IF($M377="","",INDEX(상세표[시작월 기관],$M377)&amp;"")</f>
        <v/>
      </c>
      <c r="H377">
        <f>IF($M377="","",INDEX(상세표[종료월 기관],$M377)&amp;"")</f>
        <v/>
      </c>
      <c r="I377">
        <f>IF($M377="","",INDEX(상세표[월경계 판정],$M377)&amp;"")</f>
        <v/>
      </c>
      <c r="J377">
        <f>IF($M377="","",INDEX(상세표[반영월],$M377)&amp;"")</f>
        <v/>
      </c>
      <c r="K377">
        <f>IF($M377="","",INDEX(상세표[반영 기관],$M377)&amp;"")</f>
        <v/>
      </c>
      <c r="L377">
        <f>IF($M377="","",INDEX(상세표[기관 출처],$M377)&amp;"")</f>
        <v/>
      </c>
      <c r="M377" s="4">
        <f>IFERROR(MATCH(372,상세표[경계순번],0),"")</f>
        <v/>
      </c>
    </row>
    <row r="378">
      <c r="A378">
        <f>IF($M378="","",INDEX(상세표[사번],$M378)&amp;"")</f>
        <v/>
      </c>
      <c r="B378">
        <f>IF($M378="","",INDEX(상세표[성명],$M378)&amp;"")</f>
        <v/>
      </c>
      <c r="C378">
        <f>IF($M378="","",IF(INDEX(상세표[종료월],$M378)=대상월키,"전월→이번 달","이번 달→익월"))</f>
        <v/>
      </c>
      <c r="D378">
        <f>IF($M378="","",IF(ISNUMBER(INDEX(상세표[시작],$M378)),TEXT(INDEX(상세표[시작],$M378),"yyyy-mm-dd hh:mm"),INDEX(상세표[시작],$M378)&amp;""))</f>
        <v/>
      </c>
      <c r="E378">
        <f>IF($M378="","",IF(ISNUMBER(INDEX(상세표[종료],$M378)),TEXT(INDEX(상세표[종료],$M378),"yyyy-mm-dd hh:mm"),INDEX(상세표[종료],$M378)&amp;""))</f>
        <v/>
      </c>
      <c r="F378">
        <f>IF($M378="","",INDEX(상세표[기록 시간외],$M378))</f>
        <v/>
      </c>
      <c r="G378">
        <f>IF($M378="","",INDEX(상세표[시작월 기관],$M378)&amp;"")</f>
        <v/>
      </c>
      <c r="H378">
        <f>IF($M378="","",INDEX(상세표[종료월 기관],$M378)&amp;"")</f>
        <v/>
      </c>
      <c r="I378">
        <f>IF($M378="","",INDEX(상세표[월경계 판정],$M378)&amp;"")</f>
        <v/>
      </c>
      <c r="J378">
        <f>IF($M378="","",INDEX(상세표[반영월],$M378)&amp;"")</f>
        <v/>
      </c>
      <c r="K378">
        <f>IF($M378="","",INDEX(상세표[반영 기관],$M378)&amp;"")</f>
        <v/>
      </c>
      <c r="L378">
        <f>IF($M378="","",INDEX(상세표[기관 출처],$M378)&amp;"")</f>
        <v/>
      </c>
      <c r="M378" s="4">
        <f>IFERROR(MATCH(373,상세표[경계순번],0),"")</f>
        <v/>
      </c>
    </row>
    <row r="379">
      <c r="A379">
        <f>IF($M379="","",INDEX(상세표[사번],$M379)&amp;"")</f>
        <v/>
      </c>
      <c r="B379">
        <f>IF($M379="","",INDEX(상세표[성명],$M379)&amp;"")</f>
        <v/>
      </c>
      <c r="C379">
        <f>IF($M379="","",IF(INDEX(상세표[종료월],$M379)=대상월키,"전월→이번 달","이번 달→익월"))</f>
        <v/>
      </c>
      <c r="D379">
        <f>IF($M379="","",IF(ISNUMBER(INDEX(상세표[시작],$M379)),TEXT(INDEX(상세표[시작],$M379),"yyyy-mm-dd hh:mm"),INDEX(상세표[시작],$M379)&amp;""))</f>
        <v/>
      </c>
      <c r="E379">
        <f>IF($M379="","",IF(ISNUMBER(INDEX(상세표[종료],$M379)),TEXT(INDEX(상세표[종료],$M379),"yyyy-mm-dd hh:mm"),INDEX(상세표[종료],$M379)&amp;""))</f>
        <v/>
      </c>
      <c r="F379">
        <f>IF($M379="","",INDEX(상세표[기록 시간외],$M379))</f>
        <v/>
      </c>
      <c r="G379">
        <f>IF($M379="","",INDEX(상세표[시작월 기관],$M379)&amp;"")</f>
        <v/>
      </c>
      <c r="H379">
        <f>IF($M379="","",INDEX(상세표[종료월 기관],$M379)&amp;"")</f>
        <v/>
      </c>
      <c r="I379">
        <f>IF($M379="","",INDEX(상세표[월경계 판정],$M379)&amp;"")</f>
        <v/>
      </c>
      <c r="J379">
        <f>IF($M379="","",INDEX(상세표[반영월],$M379)&amp;"")</f>
        <v/>
      </c>
      <c r="K379">
        <f>IF($M379="","",INDEX(상세표[반영 기관],$M379)&amp;"")</f>
        <v/>
      </c>
      <c r="L379">
        <f>IF($M379="","",INDEX(상세표[기관 출처],$M379)&amp;"")</f>
        <v/>
      </c>
      <c r="M379" s="4">
        <f>IFERROR(MATCH(374,상세표[경계순번],0),"")</f>
        <v/>
      </c>
    </row>
    <row r="380">
      <c r="A380">
        <f>IF($M380="","",INDEX(상세표[사번],$M380)&amp;"")</f>
        <v/>
      </c>
      <c r="B380">
        <f>IF($M380="","",INDEX(상세표[성명],$M380)&amp;"")</f>
        <v/>
      </c>
      <c r="C380">
        <f>IF($M380="","",IF(INDEX(상세표[종료월],$M380)=대상월키,"전월→이번 달","이번 달→익월"))</f>
        <v/>
      </c>
      <c r="D380">
        <f>IF($M380="","",IF(ISNUMBER(INDEX(상세표[시작],$M380)),TEXT(INDEX(상세표[시작],$M380),"yyyy-mm-dd hh:mm"),INDEX(상세표[시작],$M380)&amp;""))</f>
        <v/>
      </c>
      <c r="E380">
        <f>IF($M380="","",IF(ISNUMBER(INDEX(상세표[종료],$M380)),TEXT(INDEX(상세표[종료],$M380),"yyyy-mm-dd hh:mm"),INDEX(상세표[종료],$M380)&amp;""))</f>
        <v/>
      </c>
      <c r="F380">
        <f>IF($M380="","",INDEX(상세표[기록 시간외],$M380))</f>
        <v/>
      </c>
      <c r="G380">
        <f>IF($M380="","",INDEX(상세표[시작월 기관],$M380)&amp;"")</f>
        <v/>
      </c>
      <c r="H380">
        <f>IF($M380="","",INDEX(상세표[종료월 기관],$M380)&amp;"")</f>
        <v/>
      </c>
      <c r="I380">
        <f>IF($M380="","",INDEX(상세표[월경계 판정],$M380)&amp;"")</f>
        <v/>
      </c>
      <c r="J380">
        <f>IF($M380="","",INDEX(상세표[반영월],$M380)&amp;"")</f>
        <v/>
      </c>
      <c r="K380">
        <f>IF($M380="","",INDEX(상세표[반영 기관],$M380)&amp;"")</f>
        <v/>
      </c>
      <c r="L380">
        <f>IF($M380="","",INDEX(상세표[기관 출처],$M380)&amp;"")</f>
        <v/>
      </c>
      <c r="M380" s="4">
        <f>IFERROR(MATCH(375,상세표[경계순번],0),"")</f>
        <v/>
      </c>
    </row>
    <row r="381">
      <c r="A381">
        <f>IF($M381="","",INDEX(상세표[사번],$M381)&amp;"")</f>
        <v/>
      </c>
      <c r="B381">
        <f>IF($M381="","",INDEX(상세표[성명],$M381)&amp;"")</f>
        <v/>
      </c>
      <c r="C381">
        <f>IF($M381="","",IF(INDEX(상세표[종료월],$M381)=대상월키,"전월→이번 달","이번 달→익월"))</f>
        <v/>
      </c>
      <c r="D381">
        <f>IF($M381="","",IF(ISNUMBER(INDEX(상세표[시작],$M381)),TEXT(INDEX(상세표[시작],$M381),"yyyy-mm-dd hh:mm"),INDEX(상세표[시작],$M381)&amp;""))</f>
        <v/>
      </c>
      <c r="E381">
        <f>IF($M381="","",IF(ISNUMBER(INDEX(상세표[종료],$M381)),TEXT(INDEX(상세표[종료],$M381),"yyyy-mm-dd hh:mm"),INDEX(상세표[종료],$M381)&amp;""))</f>
        <v/>
      </c>
      <c r="F381">
        <f>IF($M381="","",INDEX(상세표[기록 시간외],$M381))</f>
        <v/>
      </c>
      <c r="G381">
        <f>IF($M381="","",INDEX(상세표[시작월 기관],$M381)&amp;"")</f>
        <v/>
      </c>
      <c r="H381">
        <f>IF($M381="","",INDEX(상세표[종료월 기관],$M381)&amp;"")</f>
        <v/>
      </c>
      <c r="I381">
        <f>IF($M381="","",INDEX(상세표[월경계 판정],$M381)&amp;"")</f>
        <v/>
      </c>
      <c r="J381">
        <f>IF($M381="","",INDEX(상세표[반영월],$M381)&amp;"")</f>
        <v/>
      </c>
      <c r="K381">
        <f>IF($M381="","",INDEX(상세표[반영 기관],$M381)&amp;"")</f>
        <v/>
      </c>
      <c r="L381">
        <f>IF($M381="","",INDEX(상세표[기관 출처],$M381)&amp;"")</f>
        <v/>
      </c>
      <c r="M381" s="4">
        <f>IFERROR(MATCH(376,상세표[경계순번],0),"")</f>
        <v/>
      </c>
    </row>
    <row r="382">
      <c r="A382">
        <f>IF($M382="","",INDEX(상세표[사번],$M382)&amp;"")</f>
        <v/>
      </c>
      <c r="B382">
        <f>IF($M382="","",INDEX(상세표[성명],$M382)&amp;"")</f>
        <v/>
      </c>
      <c r="C382">
        <f>IF($M382="","",IF(INDEX(상세표[종료월],$M382)=대상월키,"전월→이번 달","이번 달→익월"))</f>
        <v/>
      </c>
      <c r="D382">
        <f>IF($M382="","",IF(ISNUMBER(INDEX(상세표[시작],$M382)),TEXT(INDEX(상세표[시작],$M382),"yyyy-mm-dd hh:mm"),INDEX(상세표[시작],$M382)&amp;""))</f>
        <v/>
      </c>
      <c r="E382">
        <f>IF($M382="","",IF(ISNUMBER(INDEX(상세표[종료],$M382)),TEXT(INDEX(상세표[종료],$M382),"yyyy-mm-dd hh:mm"),INDEX(상세표[종료],$M382)&amp;""))</f>
        <v/>
      </c>
      <c r="F382">
        <f>IF($M382="","",INDEX(상세표[기록 시간외],$M382))</f>
        <v/>
      </c>
      <c r="G382">
        <f>IF($M382="","",INDEX(상세표[시작월 기관],$M382)&amp;"")</f>
        <v/>
      </c>
      <c r="H382">
        <f>IF($M382="","",INDEX(상세표[종료월 기관],$M382)&amp;"")</f>
        <v/>
      </c>
      <c r="I382">
        <f>IF($M382="","",INDEX(상세표[월경계 판정],$M382)&amp;"")</f>
        <v/>
      </c>
      <c r="J382">
        <f>IF($M382="","",INDEX(상세표[반영월],$M382)&amp;"")</f>
        <v/>
      </c>
      <c r="K382">
        <f>IF($M382="","",INDEX(상세표[반영 기관],$M382)&amp;"")</f>
        <v/>
      </c>
      <c r="L382">
        <f>IF($M382="","",INDEX(상세표[기관 출처],$M382)&amp;"")</f>
        <v/>
      </c>
      <c r="M382" s="4">
        <f>IFERROR(MATCH(377,상세표[경계순번],0),"")</f>
        <v/>
      </c>
    </row>
    <row r="383">
      <c r="A383">
        <f>IF($M383="","",INDEX(상세표[사번],$M383)&amp;"")</f>
        <v/>
      </c>
      <c r="B383">
        <f>IF($M383="","",INDEX(상세표[성명],$M383)&amp;"")</f>
        <v/>
      </c>
      <c r="C383">
        <f>IF($M383="","",IF(INDEX(상세표[종료월],$M383)=대상월키,"전월→이번 달","이번 달→익월"))</f>
        <v/>
      </c>
      <c r="D383">
        <f>IF($M383="","",IF(ISNUMBER(INDEX(상세표[시작],$M383)),TEXT(INDEX(상세표[시작],$M383),"yyyy-mm-dd hh:mm"),INDEX(상세표[시작],$M383)&amp;""))</f>
        <v/>
      </c>
      <c r="E383">
        <f>IF($M383="","",IF(ISNUMBER(INDEX(상세표[종료],$M383)),TEXT(INDEX(상세표[종료],$M383),"yyyy-mm-dd hh:mm"),INDEX(상세표[종료],$M383)&amp;""))</f>
        <v/>
      </c>
      <c r="F383">
        <f>IF($M383="","",INDEX(상세표[기록 시간외],$M383))</f>
        <v/>
      </c>
      <c r="G383">
        <f>IF($M383="","",INDEX(상세표[시작월 기관],$M383)&amp;"")</f>
        <v/>
      </c>
      <c r="H383">
        <f>IF($M383="","",INDEX(상세표[종료월 기관],$M383)&amp;"")</f>
        <v/>
      </c>
      <c r="I383">
        <f>IF($M383="","",INDEX(상세표[월경계 판정],$M383)&amp;"")</f>
        <v/>
      </c>
      <c r="J383">
        <f>IF($M383="","",INDEX(상세표[반영월],$M383)&amp;"")</f>
        <v/>
      </c>
      <c r="K383">
        <f>IF($M383="","",INDEX(상세표[반영 기관],$M383)&amp;"")</f>
        <v/>
      </c>
      <c r="L383">
        <f>IF($M383="","",INDEX(상세표[기관 출처],$M383)&amp;"")</f>
        <v/>
      </c>
      <c r="M383" s="4">
        <f>IFERROR(MATCH(378,상세표[경계순번],0),"")</f>
        <v/>
      </c>
    </row>
    <row r="384">
      <c r="A384">
        <f>IF($M384="","",INDEX(상세표[사번],$M384)&amp;"")</f>
        <v/>
      </c>
      <c r="B384">
        <f>IF($M384="","",INDEX(상세표[성명],$M384)&amp;"")</f>
        <v/>
      </c>
      <c r="C384">
        <f>IF($M384="","",IF(INDEX(상세표[종료월],$M384)=대상월키,"전월→이번 달","이번 달→익월"))</f>
        <v/>
      </c>
      <c r="D384">
        <f>IF($M384="","",IF(ISNUMBER(INDEX(상세표[시작],$M384)),TEXT(INDEX(상세표[시작],$M384),"yyyy-mm-dd hh:mm"),INDEX(상세표[시작],$M384)&amp;""))</f>
        <v/>
      </c>
      <c r="E384">
        <f>IF($M384="","",IF(ISNUMBER(INDEX(상세표[종료],$M384)),TEXT(INDEX(상세표[종료],$M384),"yyyy-mm-dd hh:mm"),INDEX(상세표[종료],$M384)&amp;""))</f>
        <v/>
      </c>
      <c r="F384">
        <f>IF($M384="","",INDEX(상세표[기록 시간외],$M384))</f>
        <v/>
      </c>
      <c r="G384">
        <f>IF($M384="","",INDEX(상세표[시작월 기관],$M384)&amp;"")</f>
        <v/>
      </c>
      <c r="H384">
        <f>IF($M384="","",INDEX(상세표[종료월 기관],$M384)&amp;"")</f>
        <v/>
      </c>
      <c r="I384">
        <f>IF($M384="","",INDEX(상세표[월경계 판정],$M384)&amp;"")</f>
        <v/>
      </c>
      <c r="J384">
        <f>IF($M384="","",INDEX(상세표[반영월],$M384)&amp;"")</f>
        <v/>
      </c>
      <c r="K384">
        <f>IF($M384="","",INDEX(상세표[반영 기관],$M384)&amp;"")</f>
        <v/>
      </c>
      <c r="L384">
        <f>IF($M384="","",INDEX(상세표[기관 출처],$M384)&amp;"")</f>
        <v/>
      </c>
      <c r="M384" s="4">
        <f>IFERROR(MATCH(379,상세표[경계순번],0),"")</f>
        <v/>
      </c>
    </row>
    <row r="385">
      <c r="A385">
        <f>IF($M385="","",INDEX(상세표[사번],$M385)&amp;"")</f>
        <v/>
      </c>
      <c r="B385">
        <f>IF($M385="","",INDEX(상세표[성명],$M385)&amp;"")</f>
        <v/>
      </c>
      <c r="C385">
        <f>IF($M385="","",IF(INDEX(상세표[종료월],$M385)=대상월키,"전월→이번 달","이번 달→익월"))</f>
        <v/>
      </c>
      <c r="D385">
        <f>IF($M385="","",IF(ISNUMBER(INDEX(상세표[시작],$M385)),TEXT(INDEX(상세표[시작],$M385),"yyyy-mm-dd hh:mm"),INDEX(상세표[시작],$M385)&amp;""))</f>
        <v/>
      </c>
      <c r="E385">
        <f>IF($M385="","",IF(ISNUMBER(INDEX(상세표[종료],$M385)),TEXT(INDEX(상세표[종료],$M385),"yyyy-mm-dd hh:mm"),INDEX(상세표[종료],$M385)&amp;""))</f>
        <v/>
      </c>
      <c r="F385">
        <f>IF($M385="","",INDEX(상세표[기록 시간외],$M385))</f>
        <v/>
      </c>
      <c r="G385">
        <f>IF($M385="","",INDEX(상세표[시작월 기관],$M385)&amp;"")</f>
        <v/>
      </c>
      <c r="H385">
        <f>IF($M385="","",INDEX(상세표[종료월 기관],$M385)&amp;"")</f>
        <v/>
      </c>
      <c r="I385">
        <f>IF($M385="","",INDEX(상세표[월경계 판정],$M385)&amp;"")</f>
        <v/>
      </c>
      <c r="J385">
        <f>IF($M385="","",INDEX(상세표[반영월],$M385)&amp;"")</f>
        <v/>
      </c>
      <c r="K385">
        <f>IF($M385="","",INDEX(상세표[반영 기관],$M385)&amp;"")</f>
        <v/>
      </c>
      <c r="L385">
        <f>IF($M385="","",INDEX(상세표[기관 출처],$M385)&amp;"")</f>
        <v/>
      </c>
      <c r="M385" s="4">
        <f>IFERROR(MATCH(380,상세표[경계순번],0),"")</f>
        <v/>
      </c>
    </row>
    <row r="386">
      <c r="A386">
        <f>IF($M386="","",INDEX(상세표[사번],$M386)&amp;"")</f>
        <v/>
      </c>
      <c r="B386">
        <f>IF($M386="","",INDEX(상세표[성명],$M386)&amp;"")</f>
        <v/>
      </c>
      <c r="C386">
        <f>IF($M386="","",IF(INDEX(상세표[종료월],$M386)=대상월키,"전월→이번 달","이번 달→익월"))</f>
        <v/>
      </c>
      <c r="D386">
        <f>IF($M386="","",IF(ISNUMBER(INDEX(상세표[시작],$M386)),TEXT(INDEX(상세표[시작],$M386),"yyyy-mm-dd hh:mm"),INDEX(상세표[시작],$M386)&amp;""))</f>
        <v/>
      </c>
      <c r="E386">
        <f>IF($M386="","",IF(ISNUMBER(INDEX(상세표[종료],$M386)),TEXT(INDEX(상세표[종료],$M386),"yyyy-mm-dd hh:mm"),INDEX(상세표[종료],$M386)&amp;""))</f>
        <v/>
      </c>
      <c r="F386">
        <f>IF($M386="","",INDEX(상세표[기록 시간외],$M386))</f>
        <v/>
      </c>
      <c r="G386">
        <f>IF($M386="","",INDEX(상세표[시작월 기관],$M386)&amp;"")</f>
        <v/>
      </c>
      <c r="H386">
        <f>IF($M386="","",INDEX(상세표[종료월 기관],$M386)&amp;"")</f>
        <v/>
      </c>
      <c r="I386">
        <f>IF($M386="","",INDEX(상세표[월경계 판정],$M386)&amp;"")</f>
        <v/>
      </c>
      <c r="J386">
        <f>IF($M386="","",INDEX(상세표[반영월],$M386)&amp;"")</f>
        <v/>
      </c>
      <c r="K386">
        <f>IF($M386="","",INDEX(상세표[반영 기관],$M386)&amp;"")</f>
        <v/>
      </c>
      <c r="L386">
        <f>IF($M386="","",INDEX(상세표[기관 출처],$M386)&amp;"")</f>
        <v/>
      </c>
      <c r="M386" s="4">
        <f>IFERROR(MATCH(381,상세표[경계순번],0),"")</f>
        <v/>
      </c>
    </row>
    <row r="387">
      <c r="A387">
        <f>IF($M387="","",INDEX(상세표[사번],$M387)&amp;"")</f>
        <v/>
      </c>
      <c r="B387">
        <f>IF($M387="","",INDEX(상세표[성명],$M387)&amp;"")</f>
        <v/>
      </c>
      <c r="C387">
        <f>IF($M387="","",IF(INDEX(상세표[종료월],$M387)=대상월키,"전월→이번 달","이번 달→익월"))</f>
        <v/>
      </c>
      <c r="D387">
        <f>IF($M387="","",IF(ISNUMBER(INDEX(상세표[시작],$M387)),TEXT(INDEX(상세표[시작],$M387),"yyyy-mm-dd hh:mm"),INDEX(상세표[시작],$M387)&amp;""))</f>
        <v/>
      </c>
      <c r="E387">
        <f>IF($M387="","",IF(ISNUMBER(INDEX(상세표[종료],$M387)),TEXT(INDEX(상세표[종료],$M387),"yyyy-mm-dd hh:mm"),INDEX(상세표[종료],$M387)&amp;""))</f>
        <v/>
      </c>
      <c r="F387">
        <f>IF($M387="","",INDEX(상세표[기록 시간외],$M387))</f>
        <v/>
      </c>
      <c r="G387">
        <f>IF($M387="","",INDEX(상세표[시작월 기관],$M387)&amp;"")</f>
        <v/>
      </c>
      <c r="H387">
        <f>IF($M387="","",INDEX(상세표[종료월 기관],$M387)&amp;"")</f>
        <v/>
      </c>
      <c r="I387">
        <f>IF($M387="","",INDEX(상세표[월경계 판정],$M387)&amp;"")</f>
        <v/>
      </c>
      <c r="J387">
        <f>IF($M387="","",INDEX(상세표[반영월],$M387)&amp;"")</f>
        <v/>
      </c>
      <c r="K387">
        <f>IF($M387="","",INDEX(상세표[반영 기관],$M387)&amp;"")</f>
        <v/>
      </c>
      <c r="L387">
        <f>IF($M387="","",INDEX(상세표[기관 출처],$M387)&amp;"")</f>
        <v/>
      </c>
      <c r="M387" s="4">
        <f>IFERROR(MATCH(382,상세표[경계순번],0),"")</f>
        <v/>
      </c>
    </row>
    <row r="388">
      <c r="A388">
        <f>IF($M388="","",INDEX(상세표[사번],$M388)&amp;"")</f>
        <v/>
      </c>
      <c r="B388">
        <f>IF($M388="","",INDEX(상세표[성명],$M388)&amp;"")</f>
        <v/>
      </c>
      <c r="C388">
        <f>IF($M388="","",IF(INDEX(상세표[종료월],$M388)=대상월키,"전월→이번 달","이번 달→익월"))</f>
        <v/>
      </c>
      <c r="D388">
        <f>IF($M388="","",IF(ISNUMBER(INDEX(상세표[시작],$M388)),TEXT(INDEX(상세표[시작],$M388),"yyyy-mm-dd hh:mm"),INDEX(상세표[시작],$M388)&amp;""))</f>
        <v/>
      </c>
      <c r="E388">
        <f>IF($M388="","",IF(ISNUMBER(INDEX(상세표[종료],$M388)),TEXT(INDEX(상세표[종료],$M388),"yyyy-mm-dd hh:mm"),INDEX(상세표[종료],$M388)&amp;""))</f>
        <v/>
      </c>
      <c r="F388">
        <f>IF($M388="","",INDEX(상세표[기록 시간외],$M388))</f>
        <v/>
      </c>
      <c r="G388">
        <f>IF($M388="","",INDEX(상세표[시작월 기관],$M388)&amp;"")</f>
        <v/>
      </c>
      <c r="H388">
        <f>IF($M388="","",INDEX(상세표[종료월 기관],$M388)&amp;"")</f>
        <v/>
      </c>
      <c r="I388">
        <f>IF($M388="","",INDEX(상세표[월경계 판정],$M388)&amp;"")</f>
        <v/>
      </c>
      <c r="J388">
        <f>IF($M388="","",INDEX(상세표[반영월],$M388)&amp;"")</f>
        <v/>
      </c>
      <c r="K388">
        <f>IF($M388="","",INDEX(상세표[반영 기관],$M388)&amp;"")</f>
        <v/>
      </c>
      <c r="L388">
        <f>IF($M388="","",INDEX(상세표[기관 출처],$M388)&amp;"")</f>
        <v/>
      </c>
      <c r="M388" s="4">
        <f>IFERROR(MATCH(383,상세표[경계순번],0),"")</f>
        <v/>
      </c>
    </row>
    <row r="389">
      <c r="A389">
        <f>IF($M389="","",INDEX(상세표[사번],$M389)&amp;"")</f>
        <v/>
      </c>
      <c r="B389">
        <f>IF($M389="","",INDEX(상세표[성명],$M389)&amp;"")</f>
        <v/>
      </c>
      <c r="C389">
        <f>IF($M389="","",IF(INDEX(상세표[종료월],$M389)=대상월키,"전월→이번 달","이번 달→익월"))</f>
        <v/>
      </c>
      <c r="D389">
        <f>IF($M389="","",IF(ISNUMBER(INDEX(상세표[시작],$M389)),TEXT(INDEX(상세표[시작],$M389),"yyyy-mm-dd hh:mm"),INDEX(상세표[시작],$M389)&amp;""))</f>
        <v/>
      </c>
      <c r="E389">
        <f>IF($M389="","",IF(ISNUMBER(INDEX(상세표[종료],$M389)),TEXT(INDEX(상세표[종료],$M389),"yyyy-mm-dd hh:mm"),INDEX(상세표[종료],$M389)&amp;""))</f>
        <v/>
      </c>
      <c r="F389">
        <f>IF($M389="","",INDEX(상세표[기록 시간외],$M389))</f>
        <v/>
      </c>
      <c r="G389">
        <f>IF($M389="","",INDEX(상세표[시작월 기관],$M389)&amp;"")</f>
        <v/>
      </c>
      <c r="H389">
        <f>IF($M389="","",INDEX(상세표[종료월 기관],$M389)&amp;"")</f>
        <v/>
      </c>
      <c r="I389">
        <f>IF($M389="","",INDEX(상세표[월경계 판정],$M389)&amp;"")</f>
        <v/>
      </c>
      <c r="J389">
        <f>IF($M389="","",INDEX(상세표[반영월],$M389)&amp;"")</f>
        <v/>
      </c>
      <c r="K389">
        <f>IF($M389="","",INDEX(상세표[반영 기관],$M389)&amp;"")</f>
        <v/>
      </c>
      <c r="L389">
        <f>IF($M389="","",INDEX(상세표[기관 출처],$M389)&amp;"")</f>
        <v/>
      </c>
      <c r="M389" s="4">
        <f>IFERROR(MATCH(384,상세표[경계순번],0),"")</f>
        <v/>
      </c>
    </row>
    <row r="390">
      <c r="A390">
        <f>IF($M390="","",INDEX(상세표[사번],$M390)&amp;"")</f>
        <v/>
      </c>
      <c r="B390">
        <f>IF($M390="","",INDEX(상세표[성명],$M390)&amp;"")</f>
        <v/>
      </c>
      <c r="C390">
        <f>IF($M390="","",IF(INDEX(상세표[종료월],$M390)=대상월키,"전월→이번 달","이번 달→익월"))</f>
        <v/>
      </c>
      <c r="D390">
        <f>IF($M390="","",IF(ISNUMBER(INDEX(상세표[시작],$M390)),TEXT(INDEX(상세표[시작],$M390),"yyyy-mm-dd hh:mm"),INDEX(상세표[시작],$M390)&amp;""))</f>
        <v/>
      </c>
      <c r="E390">
        <f>IF($M390="","",IF(ISNUMBER(INDEX(상세표[종료],$M390)),TEXT(INDEX(상세표[종료],$M390),"yyyy-mm-dd hh:mm"),INDEX(상세표[종료],$M390)&amp;""))</f>
        <v/>
      </c>
      <c r="F390">
        <f>IF($M390="","",INDEX(상세표[기록 시간외],$M390))</f>
        <v/>
      </c>
      <c r="G390">
        <f>IF($M390="","",INDEX(상세표[시작월 기관],$M390)&amp;"")</f>
        <v/>
      </c>
      <c r="H390">
        <f>IF($M390="","",INDEX(상세표[종료월 기관],$M390)&amp;"")</f>
        <v/>
      </c>
      <c r="I390">
        <f>IF($M390="","",INDEX(상세표[월경계 판정],$M390)&amp;"")</f>
        <v/>
      </c>
      <c r="J390">
        <f>IF($M390="","",INDEX(상세표[반영월],$M390)&amp;"")</f>
        <v/>
      </c>
      <c r="K390">
        <f>IF($M390="","",INDEX(상세표[반영 기관],$M390)&amp;"")</f>
        <v/>
      </c>
      <c r="L390">
        <f>IF($M390="","",INDEX(상세표[기관 출처],$M390)&amp;"")</f>
        <v/>
      </c>
      <c r="M390" s="4">
        <f>IFERROR(MATCH(385,상세표[경계순번],0),"")</f>
        <v/>
      </c>
    </row>
    <row r="391">
      <c r="A391">
        <f>IF($M391="","",INDEX(상세표[사번],$M391)&amp;"")</f>
        <v/>
      </c>
      <c r="B391">
        <f>IF($M391="","",INDEX(상세표[성명],$M391)&amp;"")</f>
        <v/>
      </c>
      <c r="C391">
        <f>IF($M391="","",IF(INDEX(상세표[종료월],$M391)=대상월키,"전월→이번 달","이번 달→익월"))</f>
        <v/>
      </c>
      <c r="D391">
        <f>IF($M391="","",IF(ISNUMBER(INDEX(상세표[시작],$M391)),TEXT(INDEX(상세표[시작],$M391),"yyyy-mm-dd hh:mm"),INDEX(상세표[시작],$M391)&amp;""))</f>
        <v/>
      </c>
      <c r="E391">
        <f>IF($M391="","",IF(ISNUMBER(INDEX(상세표[종료],$M391)),TEXT(INDEX(상세표[종료],$M391),"yyyy-mm-dd hh:mm"),INDEX(상세표[종료],$M391)&amp;""))</f>
        <v/>
      </c>
      <c r="F391">
        <f>IF($M391="","",INDEX(상세표[기록 시간외],$M391))</f>
        <v/>
      </c>
      <c r="G391">
        <f>IF($M391="","",INDEX(상세표[시작월 기관],$M391)&amp;"")</f>
        <v/>
      </c>
      <c r="H391">
        <f>IF($M391="","",INDEX(상세표[종료월 기관],$M391)&amp;"")</f>
        <v/>
      </c>
      <c r="I391">
        <f>IF($M391="","",INDEX(상세표[월경계 판정],$M391)&amp;"")</f>
        <v/>
      </c>
      <c r="J391">
        <f>IF($M391="","",INDEX(상세표[반영월],$M391)&amp;"")</f>
        <v/>
      </c>
      <c r="K391">
        <f>IF($M391="","",INDEX(상세표[반영 기관],$M391)&amp;"")</f>
        <v/>
      </c>
      <c r="L391">
        <f>IF($M391="","",INDEX(상세표[기관 출처],$M391)&amp;"")</f>
        <v/>
      </c>
      <c r="M391" s="4">
        <f>IFERROR(MATCH(386,상세표[경계순번],0),"")</f>
        <v/>
      </c>
    </row>
    <row r="392">
      <c r="A392">
        <f>IF($M392="","",INDEX(상세표[사번],$M392)&amp;"")</f>
        <v/>
      </c>
      <c r="B392">
        <f>IF($M392="","",INDEX(상세표[성명],$M392)&amp;"")</f>
        <v/>
      </c>
      <c r="C392">
        <f>IF($M392="","",IF(INDEX(상세표[종료월],$M392)=대상월키,"전월→이번 달","이번 달→익월"))</f>
        <v/>
      </c>
      <c r="D392">
        <f>IF($M392="","",IF(ISNUMBER(INDEX(상세표[시작],$M392)),TEXT(INDEX(상세표[시작],$M392),"yyyy-mm-dd hh:mm"),INDEX(상세표[시작],$M392)&amp;""))</f>
        <v/>
      </c>
      <c r="E392">
        <f>IF($M392="","",IF(ISNUMBER(INDEX(상세표[종료],$M392)),TEXT(INDEX(상세표[종료],$M392),"yyyy-mm-dd hh:mm"),INDEX(상세표[종료],$M392)&amp;""))</f>
        <v/>
      </c>
      <c r="F392">
        <f>IF($M392="","",INDEX(상세표[기록 시간외],$M392))</f>
        <v/>
      </c>
      <c r="G392">
        <f>IF($M392="","",INDEX(상세표[시작월 기관],$M392)&amp;"")</f>
        <v/>
      </c>
      <c r="H392">
        <f>IF($M392="","",INDEX(상세표[종료월 기관],$M392)&amp;"")</f>
        <v/>
      </c>
      <c r="I392">
        <f>IF($M392="","",INDEX(상세표[월경계 판정],$M392)&amp;"")</f>
        <v/>
      </c>
      <c r="J392">
        <f>IF($M392="","",INDEX(상세표[반영월],$M392)&amp;"")</f>
        <v/>
      </c>
      <c r="K392">
        <f>IF($M392="","",INDEX(상세표[반영 기관],$M392)&amp;"")</f>
        <v/>
      </c>
      <c r="L392">
        <f>IF($M392="","",INDEX(상세표[기관 출처],$M392)&amp;"")</f>
        <v/>
      </c>
      <c r="M392" s="4">
        <f>IFERROR(MATCH(387,상세표[경계순번],0),"")</f>
        <v/>
      </c>
    </row>
    <row r="393">
      <c r="A393">
        <f>IF($M393="","",INDEX(상세표[사번],$M393)&amp;"")</f>
        <v/>
      </c>
      <c r="B393">
        <f>IF($M393="","",INDEX(상세표[성명],$M393)&amp;"")</f>
        <v/>
      </c>
      <c r="C393">
        <f>IF($M393="","",IF(INDEX(상세표[종료월],$M393)=대상월키,"전월→이번 달","이번 달→익월"))</f>
        <v/>
      </c>
      <c r="D393">
        <f>IF($M393="","",IF(ISNUMBER(INDEX(상세표[시작],$M393)),TEXT(INDEX(상세표[시작],$M393),"yyyy-mm-dd hh:mm"),INDEX(상세표[시작],$M393)&amp;""))</f>
        <v/>
      </c>
      <c r="E393">
        <f>IF($M393="","",IF(ISNUMBER(INDEX(상세표[종료],$M393)),TEXT(INDEX(상세표[종료],$M393),"yyyy-mm-dd hh:mm"),INDEX(상세표[종료],$M393)&amp;""))</f>
        <v/>
      </c>
      <c r="F393">
        <f>IF($M393="","",INDEX(상세표[기록 시간외],$M393))</f>
        <v/>
      </c>
      <c r="G393">
        <f>IF($M393="","",INDEX(상세표[시작월 기관],$M393)&amp;"")</f>
        <v/>
      </c>
      <c r="H393">
        <f>IF($M393="","",INDEX(상세표[종료월 기관],$M393)&amp;"")</f>
        <v/>
      </c>
      <c r="I393">
        <f>IF($M393="","",INDEX(상세표[월경계 판정],$M393)&amp;"")</f>
        <v/>
      </c>
      <c r="J393">
        <f>IF($M393="","",INDEX(상세표[반영월],$M393)&amp;"")</f>
        <v/>
      </c>
      <c r="K393">
        <f>IF($M393="","",INDEX(상세표[반영 기관],$M393)&amp;"")</f>
        <v/>
      </c>
      <c r="L393">
        <f>IF($M393="","",INDEX(상세표[기관 출처],$M393)&amp;"")</f>
        <v/>
      </c>
      <c r="M393" s="4">
        <f>IFERROR(MATCH(388,상세표[경계순번],0),"")</f>
        <v/>
      </c>
    </row>
    <row r="394">
      <c r="A394">
        <f>IF($M394="","",INDEX(상세표[사번],$M394)&amp;"")</f>
        <v/>
      </c>
      <c r="B394">
        <f>IF($M394="","",INDEX(상세표[성명],$M394)&amp;"")</f>
        <v/>
      </c>
      <c r="C394">
        <f>IF($M394="","",IF(INDEX(상세표[종료월],$M394)=대상월키,"전월→이번 달","이번 달→익월"))</f>
        <v/>
      </c>
      <c r="D394">
        <f>IF($M394="","",IF(ISNUMBER(INDEX(상세표[시작],$M394)),TEXT(INDEX(상세표[시작],$M394),"yyyy-mm-dd hh:mm"),INDEX(상세표[시작],$M394)&amp;""))</f>
        <v/>
      </c>
      <c r="E394">
        <f>IF($M394="","",IF(ISNUMBER(INDEX(상세표[종료],$M394)),TEXT(INDEX(상세표[종료],$M394),"yyyy-mm-dd hh:mm"),INDEX(상세표[종료],$M394)&amp;""))</f>
        <v/>
      </c>
      <c r="F394">
        <f>IF($M394="","",INDEX(상세표[기록 시간외],$M394))</f>
        <v/>
      </c>
      <c r="G394">
        <f>IF($M394="","",INDEX(상세표[시작월 기관],$M394)&amp;"")</f>
        <v/>
      </c>
      <c r="H394">
        <f>IF($M394="","",INDEX(상세표[종료월 기관],$M394)&amp;"")</f>
        <v/>
      </c>
      <c r="I394">
        <f>IF($M394="","",INDEX(상세표[월경계 판정],$M394)&amp;"")</f>
        <v/>
      </c>
      <c r="J394">
        <f>IF($M394="","",INDEX(상세표[반영월],$M394)&amp;"")</f>
        <v/>
      </c>
      <c r="K394">
        <f>IF($M394="","",INDEX(상세표[반영 기관],$M394)&amp;"")</f>
        <v/>
      </c>
      <c r="L394">
        <f>IF($M394="","",INDEX(상세표[기관 출처],$M394)&amp;"")</f>
        <v/>
      </c>
      <c r="M394" s="4">
        <f>IFERROR(MATCH(389,상세표[경계순번],0),"")</f>
        <v/>
      </c>
    </row>
    <row r="395">
      <c r="A395">
        <f>IF($M395="","",INDEX(상세표[사번],$M395)&amp;"")</f>
        <v/>
      </c>
      <c r="B395">
        <f>IF($M395="","",INDEX(상세표[성명],$M395)&amp;"")</f>
        <v/>
      </c>
      <c r="C395">
        <f>IF($M395="","",IF(INDEX(상세표[종료월],$M395)=대상월키,"전월→이번 달","이번 달→익월"))</f>
        <v/>
      </c>
      <c r="D395">
        <f>IF($M395="","",IF(ISNUMBER(INDEX(상세표[시작],$M395)),TEXT(INDEX(상세표[시작],$M395),"yyyy-mm-dd hh:mm"),INDEX(상세표[시작],$M395)&amp;""))</f>
        <v/>
      </c>
      <c r="E395">
        <f>IF($M395="","",IF(ISNUMBER(INDEX(상세표[종료],$M395)),TEXT(INDEX(상세표[종료],$M395),"yyyy-mm-dd hh:mm"),INDEX(상세표[종료],$M395)&amp;""))</f>
        <v/>
      </c>
      <c r="F395">
        <f>IF($M395="","",INDEX(상세표[기록 시간외],$M395))</f>
        <v/>
      </c>
      <c r="G395">
        <f>IF($M395="","",INDEX(상세표[시작월 기관],$M395)&amp;"")</f>
        <v/>
      </c>
      <c r="H395">
        <f>IF($M395="","",INDEX(상세표[종료월 기관],$M395)&amp;"")</f>
        <v/>
      </c>
      <c r="I395">
        <f>IF($M395="","",INDEX(상세표[월경계 판정],$M395)&amp;"")</f>
        <v/>
      </c>
      <c r="J395">
        <f>IF($M395="","",INDEX(상세표[반영월],$M395)&amp;"")</f>
        <v/>
      </c>
      <c r="K395">
        <f>IF($M395="","",INDEX(상세표[반영 기관],$M395)&amp;"")</f>
        <v/>
      </c>
      <c r="L395">
        <f>IF($M395="","",INDEX(상세표[기관 출처],$M395)&amp;"")</f>
        <v/>
      </c>
      <c r="M395" s="4">
        <f>IFERROR(MATCH(390,상세표[경계순번],0),"")</f>
        <v/>
      </c>
    </row>
    <row r="396">
      <c r="A396">
        <f>IF($M396="","",INDEX(상세표[사번],$M396)&amp;"")</f>
        <v/>
      </c>
      <c r="B396">
        <f>IF($M396="","",INDEX(상세표[성명],$M396)&amp;"")</f>
        <v/>
      </c>
      <c r="C396">
        <f>IF($M396="","",IF(INDEX(상세표[종료월],$M396)=대상월키,"전월→이번 달","이번 달→익월"))</f>
        <v/>
      </c>
      <c r="D396">
        <f>IF($M396="","",IF(ISNUMBER(INDEX(상세표[시작],$M396)),TEXT(INDEX(상세표[시작],$M396),"yyyy-mm-dd hh:mm"),INDEX(상세표[시작],$M396)&amp;""))</f>
        <v/>
      </c>
      <c r="E396">
        <f>IF($M396="","",IF(ISNUMBER(INDEX(상세표[종료],$M396)),TEXT(INDEX(상세표[종료],$M396),"yyyy-mm-dd hh:mm"),INDEX(상세표[종료],$M396)&amp;""))</f>
        <v/>
      </c>
      <c r="F396">
        <f>IF($M396="","",INDEX(상세표[기록 시간외],$M396))</f>
        <v/>
      </c>
      <c r="G396">
        <f>IF($M396="","",INDEX(상세표[시작월 기관],$M396)&amp;"")</f>
        <v/>
      </c>
      <c r="H396">
        <f>IF($M396="","",INDEX(상세표[종료월 기관],$M396)&amp;"")</f>
        <v/>
      </c>
      <c r="I396">
        <f>IF($M396="","",INDEX(상세표[월경계 판정],$M396)&amp;"")</f>
        <v/>
      </c>
      <c r="J396">
        <f>IF($M396="","",INDEX(상세표[반영월],$M396)&amp;"")</f>
        <v/>
      </c>
      <c r="K396">
        <f>IF($M396="","",INDEX(상세표[반영 기관],$M396)&amp;"")</f>
        <v/>
      </c>
      <c r="L396">
        <f>IF($M396="","",INDEX(상세표[기관 출처],$M396)&amp;"")</f>
        <v/>
      </c>
      <c r="M396" s="4">
        <f>IFERROR(MATCH(391,상세표[경계순번],0),"")</f>
        <v/>
      </c>
    </row>
    <row r="397">
      <c r="A397">
        <f>IF($M397="","",INDEX(상세표[사번],$M397)&amp;"")</f>
        <v/>
      </c>
      <c r="B397">
        <f>IF($M397="","",INDEX(상세표[성명],$M397)&amp;"")</f>
        <v/>
      </c>
      <c r="C397">
        <f>IF($M397="","",IF(INDEX(상세표[종료월],$M397)=대상월키,"전월→이번 달","이번 달→익월"))</f>
        <v/>
      </c>
      <c r="D397">
        <f>IF($M397="","",IF(ISNUMBER(INDEX(상세표[시작],$M397)),TEXT(INDEX(상세표[시작],$M397),"yyyy-mm-dd hh:mm"),INDEX(상세표[시작],$M397)&amp;""))</f>
        <v/>
      </c>
      <c r="E397">
        <f>IF($M397="","",IF(ISNUMBER(INDEX(상세표[종료],$M397)),TEXT(INDEX(상세표[종료],$M397),"yyyy-mm-dd hh:mm"),INDEX(상세표[종료],$M397)&amp;""))</f>
        <v/>
      </c>
      <c r="F397">
        <f>IF($M397="","",INDEX(상세표[기록 시간외],$M397))</f>
        <v/>
      </c>
      <c r="G397">
        <f>IF($M397="","",INDEX(상세표[시작월 기관],$M397)&amp;"")</f>
        <v/>
      </c>
      <c r="H397">
        <f>IF($M397="","",INDEX(상세표[종료월 기관],$M397)&amp;"")</f>
        <v/>
      </c>
      <c r="I397">
        <f>IF($M397="","",INDEX(상세표[월경계 판정],$M397)&amp;"")</f>
        <v/>
      </c>
      <c r="J397">
        <f>IF($M397="","",INDEX(상세표[반영월],$M397)&amp;"")</f>
        <v/>
      </c>
      <c r="K397">
        <f>IF($M397="","",INDEX(상세표[반영 기관],$M397)&amp;"")</f>
        <v/>
      </c>
      <c r="L397">
        <f>IF($M397="","",INDEX(상세표[기관 출처],$M397)&amp;"")</f>
        <v/>
      </c>
      <c r="M397" s="4">
        <f>IFERROR(MATCH(392,상세표[경계순번],0),"")</f>
        <v/>
      </c>
    </row>
    <row r="398">
      <c r="A398">
        <f>IF($M398="","",INDEX(상세표[사번],$M398)&amp;"")</f>
        <v/>
      </c>
      <c r="B398">
        <f>IF($M398="","",INDEX(상세표[성명],$M398)&amp;"")</f>
        <v/>
      </c>
      <c r="C398">
        <f>IF($M398="","",IF(INDEX(상세표[종료월],$M398)=대상월키,"전월→이번 달","이번 달→익월"))</f>
        <v/>
      </c>
      <c r="D398">
        <f>IF($M398="","",IF(ISNUMBER(INDEX(상세표[시작],$M398)),TEXT(INDEX(상세표[시작],$M398),"yyyy-mm-dd hh:mm"),INDEX(상세표[시작],$M398)&amp;""))</f>
        <v/>
      </c>
      <c r="E398">
        <f>IF($M398="","",IF(ISNUMBER(INDEX(상세표[종료],$M398)),TEXT(INDEX(상세표[종료],$M398),"yyyy-mm-dd hh:mm"),INDEX(상세표[종료],$M398)&amp;""))</f>
        <v/>
      </c>
      <c r="F398">
        <f>IF($M398="","",INDEX(상세표[기록 시간외],$M398))</f>
        <v/>
      </c>
      <c r="G398">
        <f>IF($M398="","",INDEX(상세표[시작월 기관],$M398)&amp;"")</f>
        <v/>
      </c>
      <c r="H398">
        <f>IF($M398="","",INDEX(상세표[종료월 기관],$M398)&amp;"")</f>
        <v/>
      </c>
      <c r="I398">
        <f>IF($M398="","",INDEX(상세표[월경계 판정],$M398)&amp;"")</f>
        <v/>
      </c>
      <c r="J398">
        <f>IF($M398="","",INDEX(상세표[반영월],$M398)&amp;"")</f>
        <v/>
      </c>
      <c r="K398">
        <f>IF($M398="","",INDEX(상세표[반영 기관],$M398)&amp;"")</f>
        <v/>
      </c>
      <c r="L398">
        <f>IF($M398="","",INDEX(상세표[기관 출처],$M398)&amp;"")</f>
        <v/>
      </c>
      <c r="M398" s="4">
        <f>IFERROR(MATCH(393,상세표[경계순번],0),"")</f>
        <v/>
      </c>
    </row>
    <row r="399">
      <c r="A399">
        <f>IF($M399="","",INDEX(상세표[사번],$M399)&amp;"")</f>
        <v/>
      </c>
      <c r="B399">
        <f>IF($M399="","",INDEX(상세표[성명],$M399)&amp;"")</f>
        <v/>
      </c>
      <c r="C399">
        <f>IF($M399="","",IF(INDEX(상세표[종료월],$M399)=대상월키,"전월→이번 달","이번 달→익월"))</f>
        <v/>
      </c>
      <c r="D399">
        <f>IF($M399="","",IF(ISNUMBER(INDEX(상세표[시작],$M399)),TEXT(INDEX(상세표[시작],$M399),"yyyy-mm-dd hh:mm"),INDEX(상세표[시작],$M399)&amp;""))</f>
        <v/>
      </c>
      <c r="E399">
        <f>IF($M399="","",IF(ISNUMBER(INDEX(상세표[종료],$M399)),TEXT(INDEX(상세표[종료],$M399),"yyyy-mm-dd hh:mm"),INDEX(상세표[종료],$M399)&amp;""))</f>
        <v/>
      </c>
      <c r="F399">
        <f>IF($M399="","",INDEX(상세표[기록 시간외],$M399))</f>
        <v/>
      </c>
      <c r="G399">
        <f>IF($M399="","",INDEX(상세표[시작월 기관],$M399)&amp;"")</f>
        <v/>
      </c>
      <c r="H399">
        <f>IF($M399="","",INDEX(상세표[종료월 기관],$M399)&amp;"")</f>
        <v/>
      </c>
      <c r="I399">
        <f>IF($M399="","",INDEX(상세표[월경계 판정],$M399)&amp;"")</f>
        <v/>
      </c>
      <c r="J399">
        <f>IF($M399="","",INDEX(상세표[반영월],$M399)&amp;"")</f>
        <v/>
      </c>
      <c r="K399">
        <f>IF($M399="","",INDEX(상세표[반영 기관],$M399)&amp;"")</f>
        <v/>
      </c>
      <c r="L399">
        <f>IF($M399="","",INDEX(상세표[기관 출처],$M399)&amp;"")</f>
        <v/>
      </c>
      <c r="M399" s="4">
        <f>IFERROR(MATCH(394,상세표[경계순번],0),"")</f>
        <v/>
      </c>
    </row>
    <row r="400">
      <c r="A400">
        <f>IF($M400="","",INDEX(상세표[사번],$M400)&amp;"")</f>
        <v/>
      </c>
      <c r="B400">
        <f>IF($M400="","",INDEX(상세표[성명],$M400)&amp;"")</f>
        <v/>
      </c>
      <c r="C400">
        <f>IF($M400="","",IF(INDEX(상세표[종료월],$M400)=대상월키,"전월→이번 달","이번 달→익월"))</f>
        <v/>
      </c>
      <c r="D400">
        <f>IF($M400="","",IF(ISNUMBER(INDEX(상세표[시작],$M400)),TEXT(INDEX(상세표[시작],$M400),"yyyy-mm-dd hh:mm"),INDEX(상세표[시작],$M400)&amp;""))</f>
        <v/>
      </c>
      <c r="E400">
        <f>IF($M400="","",IF(ISNUMBER(INDEX(상세표[종료],$M400)),TEXT(INDEX(상세표[종료],$M400),"yyyy-mm-dd hh:mm"),INDEX(상세표[종료],$M400)&amp;""))</f>
        <v/>
      </c>
      <c r="F400">
        <f>IF($M400="","",INDEX(상세표[기록 시간외],$M400))</f>
        <v/>
      </c>
      <c r="G400">
        <f>IF($M400="","",INDEX(상세표[시작월 기관],$M400)&amp;"")</f>
        <v/>
      </c>
      <c r="H400">
        <f>IF($M400="","",INDEX(상세표[종료월 기관],$M400)&amp;"")</f>
        <v/>
      </c>
      <c r="I400">
        <f>IF($M400="","",INDEX(상세표[월경계 판정],$M400)&amp;"")</f>
        <v/>
      </c>
      <c r="J400">
        <f>IF($M400="","",INDEX(상세표[반영월],$M400)&amp;"")</f>
        <v/>
      </c>
      <c r="K400">
        <f>IF($M400="","",INDEX(상세표[반영 기관],$M400)&amp;"")</f>
        <v/>
      </c>
      <c r="L400">
        <f>IF($M400="","",INDEX(상세표[기관 출처],$M400)&amp;"")</f>
        <v/>
      </c>
      <c r="M400" s="4">
        <f>IFERROR(MATCH(395,상세표[경계순번],0),"")</f>
        <v/>
      </c>
    </row>
    <row r="401">
      <c r="A401">
        <f>IF($M401="","",INDEX(상세표[사번],$M401)&amp;"")</f>
        <v/>
      </c>
      <c r="B401">
        <f>IF($M401="","",INDEX(상세표[성명],$M401)&amp;"")</f>
        <v/>
      </c>
      <c r="C401">
        <f>IF($M401="","",IF(INDEX(상세표[종료월],$M401)=대상월키,"전월→이번 달","이번 달→익월"))</f>
        <v/>
      </c>
      <c r="D401">
        <f>IF($M401="","",IF(ISNUMBER(INDEX(상세표[시작],$M401)),TEXT(INDEX(상세표[시작],$M401),"yyyy-mm-dd hh:mm"),INDEX(상세표[시작],$M401)&amp;""))</f>
        <v/>
      </c>
      <c r="E401">
        <f>IF($M401="","",IF(ISNUMBER(INDEX(상세표[종료],$M401)),TEXT(INDEX(상세표[종료],$M401),"yyyy-mm-dd hh:mm"),INDEX(상세표[종료],$M401)&amp;""))</f>
        <v/>
      </c>
      <c r="F401">
        <f>IF($M401="","",INDEX(상세표[기록 시간외],$M401))</f>
        <v/>
      </c>
      <c r="G401">
        <f>IF($M401="","",INDEX(상세표[시작월 기관],$M401)&amp;"")</f>
        <v/>
      </c>
      <c r="H401">
        <f>IF($M401="","",INDEX(상세표[종료월 기관],$M401)&amp;"")</f>
        <v/>
      </c>
      <c r="I401">
        <f>IF($M401="","",INDEX(상세표[월경계 판정],$M401)&amp;"")</f>
        <v/>
      </c>
      <c r="J401">
        <f>IF($M401="","",INDEX(상세표[반영월],$M401)&amp;"")</f>
        <v/>
      </c>
      <c r="K401">
        <f>IF($M401="","",INDEX(상세표[반영 기관],$M401)&amp;"")</f>
        <v/>
      </c>
      <c r="L401">
        <f>IF($M401="","",INDEX(상세표[기관 출처],$M401)&amp;"")</f>
        <v/>
      </c>
      <c r="M401" s="4">
        <f>IFERROR(MATCH(396,상세표[경계순번],0),"")</f>
        <v/>
      </c>
    </row>
    <row r="402">
      <c r="A402">
        <f>IF($M402="","",INDEX(상세표[사번],$M402)&amp;"")</f>
        <v/>
      </c>
      <c r="B402">
        <f>IF($M402="","",INDEX(상세표[성명],$M402)&amp;"")</f>
        <v/>
      </c>
      <c r="C402">
        <f>IF($M402="","",IF(INDEX(상세표[종료월],$M402)=대상월키,"전월→이번 달","이번 달→익월"))</f>
        <v/>
      </c>
      <c r="D402">
        <f>IF($M402="","",IF(ISNUMBER(INDEX(상세표[시작],$M402)),TEXT(INDEX(상세표[시작],$M402),"yyyy-mm-dd hh:mm"),INDEX(상세표[시작],$M402)&amp;""))</f>
        <v/>
      </c>
      <c r="E402">
        <f>IF($M402="","",IF(ISNUMBER(INDEX(상세표[종료],$M402)),TEXT(INDEX(상세표[종료],$M402),"yyyy-mm-dd hh:mm"),INDEX(상세표[종료],$M402)&amp;""))</f>
        <v/>
      </c>
      <c r="F402">
        <f>IF($M402="","",INDEX(상세표[기록 시간외],$M402))</f>
        <v/>
      </c>
      <c r="G402">
        <f>IF($M402="","",INDEX(상세표[시작월 기관],$M402)&amp;"")</f>
        <v/>
      </c>
      <c r="H402">
        <f>IF($M402="","",INDEX(상세표[종료월 기관],$M402)&amp;"")</f>
        <v/>
      </c>
      <c r="I402">
        <f>IF($M402="","",INDEX(상세표[월경계 판정],$M402)&amp;"")</f>
        <v/>
      </c>
      <c r="J402">
        <f>IF($M402="","",INDEX(상세표[반영월],$M402)&amp;"")</f>
        <v/>
      </c>
      <c r="K402">
        <f>IF($M402="","",INDEX(상세표[반영 기관],$M402)&amp;"")</f>
        <v/>
      </c>
      <c r="L402">
        <f>IF($M402="","",INDEX(상세표[기관 출처],$M402)&amp;"")</f>
        <v/>
      </c>
      <c r="M402" s="4">
        <f>IFERROR(MATCH(397,상세표[경계순번],0),"")</f>
        <v/>
      </c>
    </row>
    <row r="403">
      <c r="A403">
        <f>IF($M403="","",INDEX(상세표[사번],$M403)&amp;"")</f>
        <v/>
      </c>
      <c r="B403">
        <f>IF($M403="","",INDEX(상세표[성명],$M403)&amp;"")</f>
        <v/>
      </c>
      <c r="C403">
        <f>IF($M403="","",IF(INDEX(상세표[종료월],$M403)=대상월키,"전월→이번 달","이번 달→익월"))</f>
        <v/>
      </c>
      <c r="D403">
        <f>IF($M403="","",IF(ISNUMBER(INDEX(상세표[시작],$M403)),TEXT(INDEX(상세표[시작],$M403),"yyyy-mm-dd hh:mm"),INDEX(상세표[시작],$M403)&amp;""))</f>
        <v/>
      </c>
      <c r="E403">
        <f>IF($M403="","",IF(ISNUMBER(INDEX(상세표[종료],$M403)),TEXT(INDEX(상세표[종료],$M403),"yyyy-mm-dd hh:mm"),INDEX(상세표[종료],$M403)&amp;""))</f>
        <v/>
      </c>
      <c r="F403">
        <f>IF($M403="","",INDEX(상세표[기록 시간외],$M403))</f>
        <v/>
      </c>
      <c r="G403">
        <f>IF($M403="","",INDEX(상세표[시작월 기관],$M403)&amp;"")</f>
        <v/>
      </c>
      <c r="H403">
        <f>IF($M403="","",INDEX(상세표[종료월 기관],$M403)&amp;"")</f>
        <v/>
      </c>
      <c r="I403">
        <f>IF($M403="","",INDEX(상세표[월경계 판정],$M403)&amp;"")</f>
        <v/>
      </c>
      <c r="J403">
        <f>IF($M403="","",INDEX(상세표[반영월],$M403)&amp;"")</f>
        <v/>
      </c>
      <c r="K403">
        <f>IF($M403="","",INDEX(상세표[반영 기관],$M403)&amp;"")</f>
        <v/>
      </c>
      <c r="L403">
        <f>IF($M403="","",INDEX(상세표[기관 출처],$M403)&amp;"")</f>
        <v/>
      </c>
      <c r="M403" s="4">
        <f>IFERROR(MATCH(398,상세표[경계순번],0),"")</f>
        <v/>
      </c>
    </row>
    <row r="404">
      <c r="A404">
        <f>IF($M404="","",INDEX(상세표[사번],$M404)&amp;"")</f>
        <v/>
      </c>
      <c r="B404">
        <f>IF($M404="","",INDEX(상세표[성명],$M404)&amp;"")</f>
        <v/>
      </c>
      <c r="C404">
        <f>IF($M404="","",IF(INDEX(상세표[종료월],$M404)=대상월키,"전월→이번 달","이번 달→익월"))</f>
        <v/>
      </c>
      <c r="D404">
        <f>IF($M404="","",IF(ISNUMBER(INDEX(상세표[시작],$M404)),TEXT(INDEX(상세표[시작],$M404),"yyyy-mm-dd hh:mm"),INDEX(상세표[시작],$M404)&amp;""))</f>
        <v/>
      </c>
      <c r="E404">
        <f>IF($M404="","",IF(ISNUMBER(INDEX(상세표[종료],$M404)),TEXT(INDEX(상세표[종료],$M404),"yyyy-mm-dd hh:mm"),INDEX(상세표[종료],$M404)&amp;""))</f>
        <v/>
      </c>
      <c r="F404">
        <f>IF($M404="","",INDEX(상세표[기록 시간외],$M404))</f>
        <v/>
      </c>
      <c r="G404">
        <f>IF($M404="","",INDEX(상세표[시작월 기관],$M404)&amp;"")</f>
        <v/>
      </c>
      <c r="H404">
        <f>IF($M404="","",INDEX(상세표[종료월 기관],$M404)&amp;"")</f>
        <v/>
      </c>
      <c r="I404">
        <f>IF($M404="","",INDEX(상세표[월경계 판정],$M404)&amp;"")</f>
        <v/>
      </c>
      <c r="J404">
        <f>IF($M404="","",INDEX(상세표[반영월],$M404)&amp;"")</f>
        <v/>
      </c>
      <c r="K404">
        <f>IF($M404="","",INDEX(상세표[반영 기관],$M404)&amp;"")</f>
        <v/>
      </c>
      <c r="L404">
        <f>IF($M404="","",INDEX(상세표[기관 출처],$M404)&amp;"")</f>
        <v/>
      </c>
      <c r="M404" s="4">
        <f>IFERROR(MATCH(399,상세표[경계순번],0),"")</f>
        <v/>
      </c>
    </row>
    <row r="405">
      <c r="A405">
        <f>IF($M405="","",INDEX(상세표[사번],$M405)&amp;"")</f>
        <v/>
      </c>
      <c r="B405">
        <f>IF($M405="","",INDEX(상세표[성명],$M405)&amp;"")</f>
        <v/>
      </c>
      <c r="C405">
        <f>IF($M405="","",IF(INDEX(상세표[종료월],$M405)=대상월키,"전월→이번 달","이번 달→익월"))</f>
        <v/>
      </c>
      <c r="D405">
        <f>IF($M405="","",IF(ISNUMBER(INDEX(상세표[시작],$M405)),TEXT(INDEX(상세표[시작],$M405),"yyyy-mm-dd hh:mm"),INDEX(상세표[시작],$M405)&amp;""))</f>
        <v/>
      </c>
      <c r="E405">
        <f>IF($M405="","",IF(ISNUMBER(INDEX(상세표[종료],$M405)),TEXT(INDEX(상세표[종료],$M405),"yyyy-mm-dd hh:mm"),INDEX(상세표[종료],$M405)&amp;""))</f>
        <v/>
      </c>
      <c r="F405">
        <f>IF($M405="","",INDEX(상세표[기록 시간외],$M405))</f>
        <v/>
      </c>
      <c r="G405">
        <f>IF($M405="","",INDEX(상세표[시작월 기관],$M405)&amp;"")</f>
        <v/>
      </c>
      <c r="H405">
        <f>IF($M405="","",INDEX(상세표[종료월 기관],$M405)&amp;"")</f>
        <v/>
      </c>
      <c r="I405">
        <f>IF($M405="","",INDEX(상세표[월경계 판정],$M405)&amp;"")</f>
        <v/>
      </c>
      <c r="J405">
        <f>IF($M405="","",INDEX(상세표[반영월],$M405)&amp;"")</f>
        <v/>
      </c>
      <c r="K405">
        <f>IF($M405="","",INDEX(상세표[반영 기관],$M405)&amp;"")</f>
        <v/>
      </c>
      <c r="L405">
        <f>IF($M405="","",INDEX(상세표[기관 출처],$M405)&amp;"")</f>
        <v/>
      </c>
      <c r="M405" s="4">
        <f>IFERROR(MATCH(400,상세표[경계순번],0),"")</f>
        <v/>
      </c>
    </row>
    <row r="406">
      <c r="A406">
        <f>IF($M406="","",INDEX(상세표[사번],$M406)&amp;"")</f>
        <v/>
      </c>
      <c r="B406">
        <f>IF($M406="","",INDEX(상세표[성명],$M406)&amp;"")</f>
        <v/>
      </c>
      <c r="C406">
        <f>IF($M406="","",IF(INDEX(상세표[종료월],$M406)=대상월키,"전월→이번 달","이번 달→익월"))</f>
        <v/>
      </c>
      <c r="D406">
        <f>IF($M406="","",IF(ISNUMBER(INDEX(상세표[시작],$M406)),TEXT(INDEX(상세표[시작],$M406),"yyyy-mm-dd hh:mm"),INDEX(상세표[시작],$M406)&amp;""))</f>
        <v/>
      </c>
      <c r="E406">
        <f>IF($M406="","",IF(ISNUMBER(INDEX(상세표[종료],$M406)),TEXT(INDEX(상세표[종료],$M406),"yyyy-mm-dd hh:mm"),INDEX(상세표[종료],$M406)&amp;""))</f>
        <v/>
      </c>
      <c r="F406">
        <f>IF($M406="","",INDEX(상세표[기록 시간외],$M406))</f>
        <v/>
      </c>
      <c r="G406">
        <f>IF($M406="","",INDEX(상세표[시작월 기관],$M406)&amp;"")</f>
        <v/>
      </c>
      <c r="H406">
        <f>IF($M406="","",INDEX(상세표[종료월 기관],$M406)&amp;"")</f>
        <v/>
      </c>
      <c r="I406">
        <f>IF($M406="","",INDEX(상세표[월경계 판정],$M406)&amp;"")</f>
        <v/>
      </c>
      <c r="J406">
        <f>IF($M406="","",INDEX(상세표[반영월],$M406)&amp;"")</f>
        <v/>
      </c>
      <c r="K406">
        <f>IF($M406="","",INDEX(상세표[반영 기관],$M406)&amp;"")</f>
        <v/>
      </c>
      <c r="L406">
        <f>IF($M406="","",INDEX(상세표[기관 출처],$M406)&amp;"")</f>
        <v/>
      </c>
      <c r="M406" s="4">
        <f>IFERROR(MATCH(401,상세표[경계순번],0),"")</f>
        <v/>
      </c>
    </row>
    <row r="407">
      <c r="A407">
        <f>IF($M407="","",INDEX(상세표[사번],$M407)&amp;"")</f>
        <v/>
      </c>
      <c r="B407">
        <f>IF($M407="","",INDEX(상세표[성명],$M407)&amp;"")</f>
        <v/>
      </c>
      <c r="C407">
        <f>IF($M407="","",IF(INDEX(상세표[종료월],$M407)=대상월키,"전월→이번 달","이번 달→익월"))</f>
        <v/>
      </c>
      <c r="D407">
        <f>IF($M407="","",IF(ISNUMBER(INDEX(상세표[시작],$M407)),TEXT(INDEX(상세표[시작],$M407),"yyyy-mm-dd hh:mm"),INDEX(상세표[시작],$M407)&amp;""))</f>
        <v/>
      </c>
      <c r="E407">
        <f>IF($M407="","",IF(ISNUMBER(INDEX(상세표[종료],$M407)),TEXT(INDEX(상세표[종료],$M407),"yyyy-mm-dd hh:mm"),INDEX(상세표[종료],$M407)&amp;""))</f>
        <v/>
      </c>
      <c r="F407">
        <f>IF($M407="","",INDEX(상세표[기록 시간외],$M407))</f>
        <v/>
      </c>
      <c r="G407">
        <f>IF($M407="","",INDEX(상세표[시작월 기관],$M407)&amp;"")</f>
        <v/>
      </c>
      <c r="H407">
        <f>IF($M407="","",INDEX(상세표[종료월 기관],$M407)&amp;"")</f>
        <v/>
      </c>
      <c r="I407">
        <f>IF($M407="","",INDEX(상세표[월경계 판정],$M407)&amp;"")</f>
        <v/>
      </c>
      <c r="J407">
        <f>IF($M407="","",INDEX(상세표[반영월],$M407)&amp;"")</f>
        <v/>
      </c>
      <c r="K407">
        <f>IF($M407="","",INDEX(상세표[반영 기관],$M407)&amp;"")</f>
        <v/>
      </c>
      <c r="L407">
        <f>IF($M407="","",INDEX(상세표[기관 출처],$M407)&amp;"")</f>
        <v/>
      </c>
      <c r="M407" s="4">
        <f>IFERROR(MATCH(402,상세표[경계순번],0),"")</f>
        <v/>
      </c>
    </row>
    <row r="408">
      <c r="A408">
        <f>IF($M408="","",INDEX(상세표[사번],$M408)&amp;"")</f>
        <v/>
      </c>
      <c r="B408">
        <f>IF($M408="","",INDEX(상세표[성명],$M408)&amp;"")</f>
        <v/>
      </c>
      <c r="C408">
        <f>IF($M408="","",IF(INDEX(상세표[종료월],$M408)=대상월키,"전월→이번 달","이번 달→익월"))</f>
        <v/>
      </c>
      <c r="D408">
        <f>IF($M408="","",IF(ISNUMBER(INDEX(상세표[시작],$M408)),TEXT(INDEX(상세표[시작],$M408),"yyyy-mm-dd hh:mm"),INDEX(상세표[시작],$M408)&amp;""))</f>
        <v/>
      </c>
      <c r="E408">
        <f>IF($M408="","",IF(ISNUMBER(INDEX(상세표[종료],$M408)),TEXT(INDEX(상세표[종료],$M408),"yyyy-mm-dd hh:mm"),INDEX(상세표[종료],$M408)&amp;""))</f>
        <v/>
      </c>
      <c r="F408">
        <f>IF($M408="","",INDEX(상세표[기록 시간외],$M408))</f>
        <v/>
      </c>
      <c r="G408">
        <f>IF($M408="","",INDEX(상세표[시작월 기관],$M408)&amp;"")</f>
        <v/>
      </c>
      <c r="H408">
        <f>IF($M408="","",INDEX(상세표[종료월 기관],$M408)&amp;"")</f>
        <v/>
      </c>
      <c r="I408">
        <f>IF($M408="","",INDEX(상세표[월경계 판정],$M408)&amp;"")</f>
        <v/>
      </c>
      <c r="J408">
        <f>IF($M408="","",INDEX(상세표[반영월],$M408)&amp;"")</f>
        <v/>
      </c>
      <c r="K408">
        <f>IF($M408="","",INDEX(상세표[반영 기관],$M408)&amp;"")</f>
        <v/>
      </c>
      <c r="L408">
        <f>IF($M408="","",INDEX(상세표[기관 출처],$M408)&amp;"")</f>
        <v/>
      </c>
      <c r="M408" s="4">
        <f>IFERROR(MATCH(403,상세표[경계순번],0),"")</f>
        <v/>
      </c>
    </row>
    <row r="409">
      <c r="A409">
        <f>IF($M409="","",INDEX(상세표[사번],$M409)&amp;"")</f>
        <v/>
      </c>
      <c r="B409">
        <f>IF($M409="","",INDEX(상세표[성명],$M409)&amp;"")</f>
        <v/>
      </c>
      <c r="C409">
        <f>IF($M409="","",IF(INDEX(상세표[종료월],$M409)=대상월키,"전월→이번 달","이번 달→익월"))</f>
        <v/>
      </c>
      <c r="D409">
        <f>IF($M409="","",IF(ISNUMBER(INDEX(상세표[시작],$M409)),TEXT(INDEX(상세표[시작],$M409),"yyyy-mm-dd hh:mm"),INDEX(상세표[시작],$M409)&amp;""))</f>
        <v/>
      </c>
      <c r="E409">
        <f>IF($M409="","",IF(ISNUMBER(INDEX(상세표[종료],$M409)),TEXT(INDEX(상세표[종료],$M409),"yyyy-mm-dd hh:mm"),INDEX(상세표[종료],$M409)&amp;""))</f>
        <v/>
      </c>
      <c r="F409">
        <f>IF($M409="","",INDEX(상세표[기록 시간외],$M409))</f>
        <v/>
      </c>
      <c r="G409">
        <f>IF($M409="","",INDEX(상세표[시작월 기관],$M409)&amp;"")</f>
        <v/>
      </c>
      <c r="H409">
        <f>IF($M409="","",INDEX(상세표[종료월 기관],$M409)&amp;"")</f>
        <v/>
      </c>
      <c r="I409">
        <f>IF($M409="","",INDEX(상세표[월경계 판정],$M409)&amp;"")</f>
        <v/>
      </c>
      <c r="J409">
        <f>IF($M409="","",INDEX(상세표[반영월],$M409)&amp;"")</f>
        <v/>
      </c>
      <c r="K409">
        <f>IF($M409="","",INDEX(상세표[반영 기관],$M409)&amp;"")</f>
        <v/>
      </c>
      <c r="L409">
        <f>IF($M409="","",INDEX(상세표[기관 출처],$M409)&amp;"")</f>
        <v/>
      </c>
      <c r="M409" s="4">
        <f>IFERROR(MATCH(404,상세표[경계순번],0),"")</f>
        <v/>
      </c>
    </row>
    <row r="410">
      <c r="A410">
        <f>IF($M410="","",INDEX(상세표[사번],$M410)&amp;"")</f>
        <v/>
      </c>
      <c r="B410">
        <f>IF($M410="","",INDEX(상세표[성명],$M410)&amp;"")</f>
        <v/>
      </c>
      <c r="C410">
        <f>IF($M410="","",IF(INDEX(상세표[종료월],$M410)=대상월키,"전월→이번 달","이번 달→익월"))</f>
        <v/>
      </c>
      <c r="D410">
        <f>IF($M410="","",IF(ISNUMBER(INDEX(상세표[시작],$M410)),TEXT(INDEX(상세표[시작],$M410),"yyyy-mm-dd hh:mm"),INDEX(상세표[시작],$M410)&amp;""))</f>
        <v/>
      </c>
      <c r="E410">
        <f>IF($M410="","",IF(ISNUMBER(INDEX(상세표[종료],$M410)),TEXT(INDEX(상세표[종료],$M410),"yyyy-mm-dd hh:mm"),INDEX(상세표[종료],$M410)&amp;""))</f>
        <v/>
      </c>
      <c r="F410">
        <f>IF($M410="","",INDEX(상세표[기록 시간외],$M410))</f>
        <v/>
      </c>
      <c r="G410">
        <f>IF($M410="","",INDEX(상세표[시작월 기관],$M410)&amp;"")</f>
        <v/>
      </c>
      <c r="H410">
        <f>IF($M410="","",INDEX(상세표[종료월 기관],$M410)&amp;"")</f>
        <v/>
      </c>
      <c r="I410">
        <f>IF($M410="","",INDEX(상세표[월경계 판정],$M410)&amp;"")</f>
        <v/>
      </c>
      <c r="J410">
        <f>IF($M410="","",INDEX(상세표[반영월],$M410)&amp;"")</f>
        <v/>
      </c>
      <c r="K410">
        <f>IF($M410="","",INDEX(상세표[반영 기관],$M410)&amp;"")</f>
        <v/>
      </c>
      <c r="L410">
        <f>IF($M410="","",INDEX(상세표[기관 출처],$M410)&amp;"")</f>
        <v/>
      </c>
      <c r="M410" s="4">
        <f>IFERROR(MATCH(405,상세표[경계순번],0),"")</f>
        <v/>
      </c>
    </row>
    <row r="411">
      <c r="A411">
        <f>IF($M411="","",INDEX(상세표[사번],$M411)&amp;"")</f>
        <v/>
      </c>
      <c r="B411">
        <f>IF($M411="","",INDEX(상세표[성명],$M411)&amp;"")</f>
        <v/>
      </c>
      <c r="C411">
        <f>IF($M411="","",IF(INDEX(상세표[종료월],$M411)=대상월키,"전월→이번 달","이번 달→익월"))</f>
        <v/>
      </c>
      <c r="D411">
        <f>IF($M411="","",IF(ISNUMBER(INDEX(상세표[시작],$M411)),TEXT(INDEX(상세표[시작],$M411),"yyyy-mm-dd hh:mm"),INDEX(상세표[시작],$M411)&amp;""))</f>
        <v/>
      </c>
      <c r="E411">
        <f>IF($M411="","",IF(ISNUMBER(INDEX(상세표[종료],$M411)),TEXT(INDEX(상세표[종료],$M411),"yyyy-mm-dd hh:mm"),INDEX(상세표[종료],$M411)&amp;""))</f>
        <v/>
      </c>
      <c r="F411">
        <f>IF($M411="","",INDEX(상세표[기록 시간외],$M411))</f>
        <v/>
      </c>
      <c r="G411">
        <f>IF($M411="","",INDEX(상세표[시작월 기관],$M411)&amp;"")</f>
        <v/>
      </c>
      <c r="H411">
        <f>IF($M411="","",INDEX(상세표[종료월 기관],$M411)&amp;"")</f>
        <v/>
      </c>
      <c r="I411">
        <f>IF($M411="","",INDEX(상세표[월경계 판정],$M411)&amp;"")</f>
        <v/>
      </c>
      <c r="J411">
        <f>IF($M411="","",INDEX(상세표[반영월],$M411)&amp;"")</f>
        <v/>
      </c>
      <c r="K411">
        <f>IF($M411="","",INDEX(상세표[반영 기관],$M411)&amp;"")</f>
        <v/>
      </c>
      <c r="L411">
        <f>IF($M411="","",INDEX(상세표[기관 출처],$M411)&amp;"")</f>
        <v/>
      </c>
      <c r="M411" s="4">
        <f>IFERROR(MATCH(406,상세표[경계순번],0),"")</f>
        <v/>
      </c>
    </row>
    <row r="412">
      <c r="A412">
        <f>IF($M412="","",INDEX(상세표[사번],$M412)&amp;"")</f>
        <v/>
      </c>
      <c r="B412">
        <f>IF($M412="","",INDEX(상세표[성명],$M412)&amp;"")</f>
        <v/>
      </c>
      <c r="C412">
        <f>IF($M412="","",IF(INDEX(상세표[종료월],$M412)=대상월키,"전월→이번 달","이번 달→익월"))</f>
        <v/>
      </c>
      <c r="D412">
        <f>IF($M412="","",IF(ISNUMBER(INDEX(상세표[시작],$M412)),TEXT(INDEX(상세표[시작],$M412),"yyyy-mm-dd hh:mm"),INDEX(상세표[시작],$M412)&amp;""))</f>
        <v/>
      </c>
      <c r="E412">
        <f>IF($M412="","",IF(ISNUMBER(INDEX(상세표[종료],$M412)),TEXT(INDEX(상세표[종료],$M412),"yyyy-mm-dd hh:mm"),INDEX(상세표[종료],$M412)&amp;""))</f>
        <v/>
      </c>
      <c r="F412">
        <f>IF($M412="","",INDEX(상세표[기록 시간외],$M412))</f>
        <v/>
      </c>
      <c r="G412">
        <f>IF($M412="","",INDEX(상세표[시작월 기관],$M412)&amp;"")</f>
        <v/>
      </c>
      <c r="H412">
        <f>IF($M412="","",INDEX(상세표[종료월 기관],$M412)&amp;"")</f>
        <v/>
      </c>
      <c r="I412">
        <f>IF($M412="","",INDEX(상세표[월경계 판정],$M412)&amp;"")</f>
        <v/>
      </c>
      <c r="J412">
        <f>IF($M412="","",INDEX(상세표[반영월],$M412)&amp;"")</f>
        <v/>
      </c>
      <c r="K412">
        <f>IF($M412="","",INDEX(상세표[반영 기관],$M412)&amp;"")</f>
        <v/>
      </c>
      <c r="L412">
        <f>IF($M412="","",INDEX(상세표[기관 출처],$M412)&amp;"")</f>
        <v/>
      </c>
      <c r="M412" s="4">
        <f>IFERROR(MATCH(407,상세표[경계순번],0),"")</f>
        <v/>
      </c>
    </row>
    <row r="413">
      <c r="A413">
        <f>IF($M413="","",INDEX(상세표[사번],$M413)&amp;"")</f>
        <v/>
      </c>
      <c r="B413">
        <f>IF($M413="","",INDEX(상세표[성명],$M413)&amp;"")</f>
        <v/>
      </c>
      <c r="C413">
        <f>IF($M413="","",IF(INDEX(상세표[종료월],$M413)=대상월키,"전월→이번 달","이번 달→익월"))</f>
        <v/>
      </c>
      <c r="D413">
        <f>IF($M413="","",IF(ISNUMBER(INDEX(상세표[시작],$M413)),TEXT(INDEX(상세표[시작],$M413),"yyyy-mm-dd hh:mm"),INDEX(상세표[시작],$M413)&amp;""))</f>
        <v/>
      </c>
      <c r="E413">
        <f>IF($M413="","",IF(ISNUMBER(INDEX(상세표[종료],$M413)),TEXT(INDEX(상세표[종료],$M413),"yyyy-mm-dd hh:mm"),INDEX(상세표[종료],$M413)&amp;""))</f>
        <v/>
      </c>
      <c r="F413">
        <f>IF($M413="","",INDEX(상세표[기록 시간외],$M413))</f>
        <v/>
      </c>
      <c r="G413">
        <f>IF($M413="","",INDEX(상세표[시작월 기관],$M413)&amp;"")</f>
        <v/>
      </c>
      <c r="H413">
        <f>IF($M413="","",INDEX(상세표[종료월 기관],$M413)&amp;"")</f>
        <v/>
      </c>
      <c r="I413">
        <f>IF($M413="","",INDEX(상세표[월경계 판정],$M413)&amp;"")</f>
        <v/>
      </c>
      <c r="J413">
        <f>IF($M413="","",INDEX(상세표[반영월],$M413)&amp;"")</f>
        <v/>
      </c>
      <c r="K413">
        <f>IF($M413="","",INDEX(상세표[반영 기관],$M413)&amp;"")</f>
        <v/>
      </c>
      <c r="L413">
        <f>IF($M413="","",INDEX(상세표[기관 출처],$M413)&amp;"")</f>
        <v/>
      </c>
      <c r="M413" s="4">
        <f>IFERROR(MATCH(408,상세표[경계순번],0),"")</f>
        <v/>
      </c>
    </row>
    <row r="414">
      <c r="A414">
        <f>IF($M414="","",INDEX(상세표[사번],$M414)&amp;"")</f>
        <v/>
      </c>
      <c r="B414">
        <f>IF($M414="","",INDEX(상세표[성명],$M414)&amp;"")</f>
        <v/>
      </c>
      <c r="C414">
        <f>IF($M414="","",IF(INDEX(상세표[종료월],$M414)=대상월키,"전월→이번 달","이번 달→익월"))</f>
        <v/>
      </c>
      <c r="D414">
        <f>IF($M414="","",IF(ISNUMBER(INDEX(상세표[시작],$M414)),TEXT(INDEX(상세표[시작],$M414),"yyyy-mm-dd hh:mm"),INDEX(상세표[시작],$M414)&amp;""))</f>
        <v/>
      </c>
      <c r="E414">
        <f>IF($M414="","",IF(ISNUMBER(INDEX(상세표[종료],$M414)),TEXT(INDEX(상세표[종료],$M414),"yyyy-mm-dd hh:mm"),INDEX(상세표[종료],$M414)&amp;""))</f>
        <v/>
      </c>
      <c r="F414">
        <f>IF($M414="","",INDEX(상세표[기록 시간외],$M414))</f>
        <v/>
      </c>
      <c r="G414">
        <f>IF($M414="","",INDEX(상세표[시작월 기관],$M414)&amp;"")</f>
        <v/>
      </c>
      <c r="H414">
        <f>IF($M414="","",INDEX(상세표[종료월 기관],$M414)&amp;"")</f>
        <v/>
      </c>
      <c r="I414">
        <f>IF($M414="","",INDEX(상세표[월경계 판정],$M414)&amp;"")</f>
        <v/>
      </c>
      <c r="J414">
        <f>IF($M414="","",INDEX(상세표[반영월],$M414)&amp;"")</f>
        <v/>
      </c>
      <c r="K414">
        <f>IF($M414="","",INDEX(상세표[반영 기관],$M414)&amp;"")</f>
        <v/>
      </c>
      <c r="L414">
        <f>IF($M414="","",INDEX(상세표[기관 출처],$M414)&amp;"")</f>
        <v/>
      </c>
      <c r="M414" s="4">
        <f>IFERROR(MATCH(409,상세표[경계순번],0),"")</f>
        <v/>
      </c>
    </row>
    <row r="415">
      <c r="A415">
        <f>IF($M415="","",INDEX(상세표[사번],$M415)&amp;"")</f>
        <v/>
      </c>
      <c r="B415">
        <f>IF($M415="","",INDEX(상세표[성명],$M415)&amp;"")</f>
        <v/>
      </c>
      <c r="C415">
        <f>IF($M415="","",IF(INDEX(상세표[종료월],$M415)=대상월키,"전월→이번 달","이번 달→익월"))</f>
        <v/>
      </c>
      <c r="D415">
        <f>IF($M415="","",IF(ISNUMBER(INDEX(상세표[시작],$M415)),TEXT(INDEX(상세표[시작],$M415),"yyyy-mm-dd hh:mm"),INDEX(상세표[시작],$M415)&amp;""))</f>
        <v/>
      </c>
      <c r="E415">
        <f>IF($M415="","",IF(ISNUMBER(INDEX(상세표[종료],$M415)),TEXT(INDEX(상세표[종료],$M415),"yyyy-mm-dd hh:mm"),INDEX(상세표[종료],$M415)&amp;""))</f>
        <v/>
      </c>
      <c r="F415">
        <f>IF($M415="","",INDEX(상세표[기록 시간외],$M415))</f>
        <v/>
      </c>
      <c r="G415">
        <f>IF($M415="","",INDEX(상세표[시작월 기관],$M415)&amp;"")</f>
        <v/>
      </c>
      <c r="H415">
        <f>IF($M415="","",INDEX(상세표[종료월 기관],$M415)&amp;"")</f>
        <v/>
      </c>
      <c r="I415">
        <f>IF($M415="","",INDEX(상세표[월경계 판정],$M415)&amp;"")</f>
        <v/>
      </c>
      <c r="J415">
        <f>IF($M415="","",INDEX(상세표[반영월],$M415)&amp;"")</f>
        <v/>
      </c>
      <c r="K415">
        <f>IF($M415="","",INDEX(상세표[반영 기관],$M415)&amp;"")</f>
        <v/>
      </c>
      <c r="L415">
        <f>IF($M415="","",INDEX(상세표[기관 출처],$M415)&amp;"")</f>
        <v/>
      </c>
      <c r="M415" s="4">
        <f>IFERROR(MATCH(410,상세표[경계순번],0),"")</f>
        <v/>
      </c>
    </row>
    <row r="416">
      <c r="A416">
        <f>IF($M416="","",INDEX(상세표[사번],$M416)&amp;"")</f>
        <v/>
      </c>
      <c r="B416">
        <f>IF($M416="","",INDEX(상세표[성명],$M416)&amp;"")</f>
        <v/>
      </c>
      <c r="C416">
        <f>IF($M416="","",IF(INDEX(상세표[종료월],$M416)=대상월키,"전월→이번 달","이번 달→익월"))</f>
        <v/>
      </c>
      <c r="D416">
        <f>IF($M416="","",IF(ISNUMBER(INDEX(상세표[시작],$M416)),TEXT(INDEX(상세표[시작],$M416),"yyyy-mm-dd hh:mm"),INDEX(상세표[시작],$M416)&amp;""))</f>
        <v/>
      </c>
      <c r="E416">
        <f>IF($M416="","",IF(ISNUMBER(INDEX(상세표[종료],$M416)),TEXT(INDEX(상세표[종료],$M416),"yyyy-mm-dd hh:mm"),INDEX(상세표[종료],$M416)&amp;""))</f>
        <v/>
      </c>
      <c r="F416">
        <f>IF($M416="","",INDEX(상세표[기록 시간외],$M416))</f>
        <v/>
      </c>
      <c r="G416">
        <f>IF($M416="","",INDEX(상세표[시작월 기관],$M416)&amp;"")</f>
        <v/>
      </c>
      <c r="H416">
        <f>IF($M416="","",INDEX(상세표[종료월 기관],$M416)&amp;"")</f>
        <v/>
      </c>
      <c r="I416">
        <f>IF($M416="","",INDEX(상세표[월경계 판정],$M416)&amp;"")</f>
        <v/>
      </c>
      <c r="J416">
        <f>IF($M416="","",INDEX(상세표[반영월],$M416)&amp;"")</f>
        <v/>
      </c>
      <c r="K416">
        <f>IF($M416="","",INDEX(상세표[반영 기관],$M416)&amp;"")</f>
        <v/>
      </c>
      <c r="L416">
        <f>IF($M416="","",INDEX(상세표[기관 출처],$M416)&amp;"")</f>
        <v/>
      </c>
      <c r="M416" s="4">
        <f>IFERROR(MATCH(411,상세표[경계순번],0),"")</f>
        <v/>
      </c>
    </row>
    <row r="417">
      <c r="A417">
        <f>IF($M417="","",INDEX(상세표[사번],$M417)&amp;"")</f>
        <v/>
      </c>
      <c r="B417">
        <f>IF($M417="","",INDEX(상세표[성명],$M417)&amp;"")</f>
        <v/>
      </c>
      <c r="C417">
        <f>IF($M417="","",IF(INDEX(상세표[종료월],$M417)=대상월키,"전월→이번 달","이번 달→익월"))</f>
        <v/>
      </c>
      <c r="D417">
        <f>IF($M417="","",IF(ISNUMBER(INDEX(상세표[시작],$M417)),TEXT(INDEX(상세표[시작],$M417),"yyyy-mm-dd hh:mm"),INDEX(상세표[시작],$M417)&amp;""))</f>
        <v/>
      </c>
      <c r="E417">
        <f>IF($M417="","",IF(ISNUMBER(INDEX(상세표[종료],$M417)),TEXT(INDEX(상세표[종료],$M417),"yyyy-mm-dd hh:mm"),INDEX(상세표[종료],$M417)&amp;""))</f>
        <v/>
      </c>
      <c r="F417">
        <f>IF($M417="","",INDEX(상세표[기록 시간외],$M417))</f>
        <v/>
      </c>
      <c r="G417">
        <f>IF($M417="","",INDEX(상세표[시작월 기관],$M417)&amp;"")</f>
        <v/>
      </c>
      <c r="H417">
        <f>IF($M417="","",INDEX(상세표[종료월 기관],$M417)&amp;"")</f>
        <v/>
      </c>
      <c r="I417">
        <f>IF($M417="","",INDEX(상세표[월경계 판정],$M417)&amp;"")</f>
        <v/>
      </c>
      <c r="J417">
        <f>IF($M417="","",INDEX(상세표[반영월],$M417)&amp;"")</f>
        <v/>
      </c>
      <c r="K417">
        <f>IF($M417="","",INDEX(상세표[반영 기관],$M417)&amp;"")</f>
        <v/>
      </c>
      <c r="L417">
        <f>IF($M417="","",INDEX(상세표[기관 출처],$M417)&amp;"")</f>
        <v/>
      </c>
      <c r="M417" s="4">
        <f>IFERROR(MATCH(412,상세표[경계순번],0),"")</f>
        <v/>
      </c>
    </row>
    <row r="418">
      <c r="A418">
        <f>IF($M418="","",INDEX(상세표[사번],$M418)&amp;"")</f>
        <v/>
      </c>
      <c r="B418">
        <f>IF($M418="","",INDEX(상세표[성명],$M418)&amp;"")</f>
        <v/>
      </c>
      <c r="C418">
        <f>IF($M418="","",IF(INDEX(상세표[종료월],$M418)=대상월키,"전월→이번 달","이번 달→익월"))</f>
        <v/>
      </c>
      <c r="D418">
        <f>IF($M418="","",IF(ISNUMBER(INDEX(상세표[시작],$M418)),TEXT(INDEX(상세표[시작],$M418),"yyyy-mm-dd hh:mm"),INDEX(상세표[시작],$M418)&amp;""))</f>
        <v/>
      </c>
      <c r="E418">
        <f>IF($M418="","",IF(ISNUMBER(INDEX(상세표[종료],$M418)),TEXT(INDEX(상세표[종료],$M418),"yyyy-mm-dd hh:mm"),INDEX(상세표[종료],$M418)&amp;""))</f>
        <v/>
      </c>
      <c r="F418">
        <f>IF($M418="","",INDEX(상세표[기록 시간외],$M418))</f>
        <v/>
      </c>
      <c r="G418">
        <f>IF($M418="","",INDEX(상세표[시작월 기관],$M418)&amp;"")</f>
        <v/>
      </c>
      <c r="H418">
        <f>IF($M418="","",INDEX(상세표[종료월 기관],$M418)&amp;"")</f>
        <v/>
      </c>
      <c r="I418">
        <f>IF($M418="","",INDEX(상세표[월경계 판정],$M418)&amp;"")</f>
        <v/>
      </c>
      <c r="J418">
        <f>IF($M418="","",INDEX(상세표[반영월],$M418)&amp;"")</f>
        <v/>
      </c>
      <c r="K418">
        <f>IF($M418="","",INDEX(상세표[반영 기관],$M418)&amp;"")</f>
        <v/>
      </c>
      <c r="L418">
        <f>IF($M418="","",INDEX(상세표[기관 출처],$M418)&amp;"")</f>
        <v/>
      </c>
      <c r="M418" s="4">
        <f>IFERROR(MATCH(413,상세표[경계순번],0),"")</f>
        <v/>
      </c>
    </row>
    <row r="419">
      <c r="A419">
        <f>IF($M419="","",INDEX(상세표[사번],$M419)&amp;"")</f>
        <v/>
      </c>
      <c r="B419">
        <f>IF($M419="","",INDEX(상세표[성명],$M419)&amp;"")</f>
        <v/>
      </c>
      <c r="C419">
        <f>IF($M419="","",IF(INDEX(상세표[종료월],$M419)=대상월키,"전월→이번 달","이번 달→익월"))</f>
        <v/>
      </c>
      <c r="D419">
        <f>IF($M419="","",IF(ISNUMBER(INDEX(상세표[시작],$M419)),TEXT(INDEX(상세표[시작],$M419),"yyyy-mm-dd hh:mm"),INDEX(상세표[시작],$M419)&amp;""))</f>
        <v/>
      </c>
      <c r="E419">
        <f>IF($M419="","",IF(ISNUMBER(INDEX(상세표[종료],$M419)),TEXT(INDEX(상세표[종료],$M419),"yyyy-mm-dd hh:mm"),INDEX(상세표[종료],$M419)&amp;""))</f>
        <v/>
      </c>
      <c r="F419">
        <f>IF($M419="","",INDEX(상세표[기록 시간외],$M419))</f>
        <v/>
      </c>
      <c r="G419">
        <f>IF($M419="","",INDEX(상세표[시작월 기관],$M419)&amp;"")</f>
        <v/>
      </c>
      <c r="H419">
        <f>IF($M419="","",INDEX(상세표[종료월 기관],$M419)&amp;"")</f>
        <v/>
      </c>
      <c r="I419">
        <f>IF($M419="","",INDEX(상세표[월경계 판정],$M419)&amp;"")</f>
        <v/>
      </c>
      <c r="J419">
        <f>IF($M419="","",INDEX(상세표[반영월],$M419)&amp;"")</f>
        <v/>
      </c>
      <c r="K419">
        <f>IF($M419="","",INDEX(상세표[반영 기관],$M419)&amp;"")</f>
        <v/>
      </c>
      <c r="L419">
        <f>IF($M419="","",INDEX(상세표[기관 출처],$M419)&amp;"")</f>
        <v/>
      </c>
      <c r="M419" s="4">
        <f>IFERROR(MATCH(414,상세표[경계순번],0),"")</f>
        <v/>
      </c>
    </row>
    <row r="420">
      <c r="A420">
        <f>IF($M420="","",INDEX(상세표[사번],$M420)&amp;"")</f>
        <v/>
      </c>
      <c r="B420">
        <f>IF($M420="","",INDEX(상세표[성명],$M420)&amp;"")</f>
        <v/>
      </c>
      <c r="C420">
        <f>IF($M420="","",IF(INDEX(상세표[종료월],$M420)=대상월키,"전월→이번 달","이번 달→익월"))</f>
        <v/>
      </c>
      <c r="D420">
        <f>IF($M420="","",IF(ISNUMBER(INDEX(상세표[시작],$M420)),TEXT(INDEX(상세표[시작],$M420),"yyyy-mm-dd hh:mm"),INDEX(상세표[시작],$M420)&amp;""))</f>
        <v/>
      </c>
      <c r="E420">
        <f>IF($M420="","",IF(ISNUMBER(INDEX(상세표[종료],$M420)),TEXT(INDEX(상세표[종료],$M420),"yyyy-mm-dd hh:mm"),INDEX(상세표[종료],$M420)&amp;""))</f>
        <v/>
      </c>
      <c r="F420">
        <f>IF($M420="","",INDEX(상세표[기록 시간외],$M420))</f>
        <v/>
      </c>
      <c r="G420">
        <f>IF($M420="","",INDEX(상세표[시작월 기관],$M420)&amp;"")</f>
        <v/>
      </c>
      <c r="H420">
        <f>IF($M420="","",INDEX(상세표[종료월 기관],$M420)&amp;"")</f>
        <v/>
      </c>
      <c r="I420">
        <f>IF($M420="","",INDEX(상세표[월경계 판정],$M420)&amp;"")</f>
        <v/>
      </c>
      <c r="J420">
        <f>IF($M420="","",INDEX(상세표[반영월],$M420)&amp;"")</f>
        <v/>
      </c>
      <c r="K420">
        <f>IF($M420="","",INDEX(상세표[반영 기관],$M420)&amp;"")</f>
        <v/>
      </c>
      <c r="L420">
        <f>IF($M420="","",INDEX(상세표[기관 출처],$M420)&amp;"")</f>
        <v/>
      </c>
      <c r="M420" s="4">
        <f>IFERROR(MATCH(415,상세표[경계순번],0),"")</f>
        <v/>
      </c>
    </row>
    <row r="421">
      <c r="A421">
        <f>IF($M421="","",INDEX(상세표[사번],$M421)&amp;"")</f>
        <v/>
      </c>
      <c r="B421">
        <f>IF($M421="","",INDEX(상세표[성명],$M421)&amp;"")</f>
        <v/>
      </c>
      <c r="C421">
        <f>IF($M421="","",IF(INDEX(상세표[종료월],$M421)=대상월키,"전월→이번 달","이번 달→익월"))</f>
        <v/>
      </c>
      <c r="D421">
        <f>IF($M421="","",IF(ISNUMBER(INDEX(상세표[시작],$M421)),TEXT(INDEX(상세표[시작],$M421),"yyyy-mm-dd hh:mm"),INDEX(상세표[시작],$M421)&amp;""))</f>
        <v/>
      </c>
      <c r="E421">
        <f>IF($M421="","",IF(ISNUMBER(INDEX(상세표[종료],$M421)),TEXT(INDEX(상세표[종료],$M421),"yyyy-mm-dd hh:mm"),INDEX(상세표[종료],$M421)&amp;""))</f>
        <v/>
      </c>
      <c r="F421">
        <f>IF($M421="","",INDEX(상세표[기록 시간외],$M421))</f>
        <v/>
      </c>
      <c r="G421">
        <f>IF($M421="","",INDEX(상세표[시작월 기관],$M421)&amp;"")</f>
        <v/>
      </c>
      <c r="H421">
        <f>IF($M421="","",INDEX(상세표[종료월 기관],$M421)&amp;"")</f>
        <v/>
      </c>
      <c r="I421">
        <f>IF($M421="","",INDEX(상세표[월경계 판정],$M421)&amp;"")</f>
        <v/>
      </c>
      <c r="J421">
        <f>IF($M421="","",INDEX(상세표[반영월],$M421)&amp;"")</f>
        <v/>
      </c>
      <c r="K421">
        <f>IF($M421="","",INDEX(상세표[반영 기관],$M421)&amp;"")</f>
        <v/>
      </c>
      <c r="L421">
        <f>IF($M421="","",INDEX(상세표[기관 출처],$M421)&amp;"")</f>
        <v/>
      </c>
      <c r="M421" s="4">
        <f>IFERROR(MATCH(416,상세표[경계순번],0),"")</f>
        <v/>
      </c>
    </row>
    <row r="422">
      <c r="A422">
        <f>IF($M422="","",INDEX(상세표[사번],$M422)&amp;"")</f>
        <v/>
      </c>
      <c r="B422">
        <f>IF($M422="","",INDEX(상세표[성명],$M422)&amp;"")</f>
        <v/>
      </c>
      <c r="C422">
        <f>IF($M422="","",IF(INDEX(상세표[종료월],$M422)=대상월키,"전월→이번 달","이번 달→익월"))</f>
        <v/>
      </c>
      <c r="D422">
        <f>IF($M422="","",IF(ISNUMBER(INDEX(상세표[시작],$M422)),TEXT(INDEX(상세표[시작],$M422),"yyyy-mm-dd hh:mm"),INDEX(상세표[시작],$M422)&amp;""))</f>
        <v/>
      </c>
      <c r="E422">
        <f>IF($M422="","",IF(ISNUMBER(INDEX(상세표[종료],$M422)),TEXT(INDEX(상세표[종료],$M422),"yyyy-mm-dd hh:mm"),INDEX(상세표[종료],$M422)&amp;""))</f>
        <v/>
      </c>
      <c r="F422">
        <f>IF($M422="","",INDEX(상세표[기록 시간외],$M422))</f>
        <v/>
      </c>
      <c r="G422">
        <f>IF($M422="","",INDEX(상세표[시작월 기관],$M422)&amp;"")</f>
        <v/>
      </c>
      <c r="H422">
        <f>IF($M422="","",INDEX(상세표[종료월 기관],$M422)&amp;"")</f>
        <v/>
      </c>
      <c r="I422">
        <f>IF($M422="","",INDEX(상세표[월경계 판정],$M422)&amp;"")</f>
        <v/>
      </c>
      <c r="J422">
        <f>IF($M422="","",INDEX(상세표[반영월],$M422)&amp;"")</f>
        <v/>
      </c>
      <c r="K422">
        <f>IF($M422="","",INDEX(상세표[반영 기관],$M422)&amp;"")</f>
        <v/>
      </c>
      <c r="L422">
        <f>IF($M422="","",INDEX(상세표[기관 출처],$M422)&amp;"")</f>
        <v/>
      </c>
      <c r="M422" s="4">
        <f>IFERROR(MATCH(417,상세표[경계순번],0),"")</f>
        <v/>
      </c>
    </row>
    <row r="423">
      <c r="A423">
        <f>IF($M423="","",INDEX(상세표[사번],$M423)&amp;"")</f>
        <v/>
      </c>
      <c r="B423">
        <f>IF($M423="","",INDEX(상세표[성명],$M423)&amp;"")</f>
        <v/>
      </c>
      <c r="C423">
        <f>IF($M423="","",IF(INDEX(상세표[종료월],$M423)=대상월키,"전월→이번 달","이번 달→익월"))</f>
        <v/>
      </c>
      <c r="D423">
        <f>IF($M423="","",IF(ISNUMBER(INDEX(상세표[시작],$M423)),TEXT(INDEX(상세표[시작],$M423),"yyyy-mm-dd hh:mm"),INDEX(상세표[시작],$M423)&amp;""))</f>
        <v/>
      </c>
      <c r="E423">
        <f>IF($M423="","",IF(ISNUMBER(INDEX(상세표[종료],$M423)),TEXT(INDEX(상세표[종료],$M423),"yyyy-mm-dd hh:mm"),INDEX(상세표[종료],$M423)&amp;""))</f>
        <v/>
      </c>
      <c r="F423">
        <f>IF($M423="","",INDEX(상세표[기록 시간외],$M423))</f>
        <v/>
      </c>
      <c r="G423">
        <f>IF($M423="","",INDEX(상세표[시작월 기관],$M423)&amp;"")</f>
        <v/>
      </c>
      <c r="H423">
        <f>IF($M423="","",INDEX(상세표[종료월 기관],$M423)&amp;"")</f>
        <v/>
      </c>
      <c r="I423">
        <f>IF($M423="","",INDEX(상세표[월경계 판정],$M423)&amp;"")</f>
        <v/>
      </c>
      <c r="J423">
        <f>IF($M423="","",INDEX(상세표[반영월],$M423)&amp;"")</f>
        <v/>
      </c>
      <c r="K423">
        <f>IF($M423="","",INDEX(상세표[반영 기관],$M423)&amp;"")</f>
        <v/>
      </c>
      <c r="L423">
        <f>IF($M423="","",INDEX(상세표[기관 출처],$M423)&amp;"")</f>
        <v/>
      </c>
      <c r="M423" s="4">
        <f>IFERROR(MATCH(418,상세표[경계순번],0),"")</f>
        <v/>
      </c>
    </row>
    <row r="424">
      <c r="A424">
        <f>IF($M424="","",INDEX(상세표[사번],$M424)&amp;"")</f>
        <v/>
      </c>
      <c r="B424">
        <f>IF($M424="","",INDEX(상세표[성명],$M424)&amp;"")</f>
        <v/>
      </c>
      <c r="C424">
        <f>IF($M424="","",IF(INDEX(상세표[종료월],$M424)=대상월키,"전월→이번 달","이번 달→익월"))</f>
        <v/>
      </c>
      <c r="D424">
        <f>IF($M424="","",IF(ISNUMBER(INDEX(상세표[시작],$M424)),TEXT(INDEX(상세표[시작],$M424),"yyyy-mm-dd hh:mm"),INDEX(상세표[시작],$M424)&amp;""))</f>
        <v/>
      </c>
      <c r="E424">
        <f>IF($M424="","",IF(ISNUMBER(INDEX(상세표[종료],$M424)),TEXT(INDEX(상세표[종료],$M424),"yyyy-mm-dd hh:mm"),INDEX(상세표[종료],$M424)&amp;""))</f>
        <v/>
      </c>
      <c r="F424">
        <f>IF($M424="","",INDEX(상세표[기록 시간외],$M424))</f>
        <v/>
      </c>
      <c r="G424">
        <f>IF($M424="","",INDEX(상세표[시작월 기관],$M424)&amp;"")</f>
        <v/>
      </c>
      <c r="H424">
        <f>IF($M424="","",INDEX(상세표[종료월 기관],$M424)&amp;"")</f>
        <v/>
      </c>
      <c r="I424">
        <f>IF($M424="","",INDEX(상세표[월경계 판정],$M424)&amp;"")</f>
        <v/>
      </c>
      <c r="J424">
        <f>IF($M424="","",INDEX(상세표[반영월],$M424)&amp;"")</f>
        <v/>
      </c>
      <c r="K424">
        <f>IF($M424="","",INDEX(상세표[반영 기관],$M424)&amp;"")</f>
        <v/>
      </c>
      <c r="L424">
        <f>IF($M424="","",INDEX(상세표[기관 출처],$M424)&amp;"")</f>
        <v/>
      </c>
      <c r="M424" s="4">
        <f>IFERROR(MATCH(419,상세표[경계순번],0),"")</f>
        <v/>
      </c>
    </row>
    <row r="425">
      <c r="A425">
        <f>IF($M425="","",INDEX(상세표[사번],$M425)&amp;"")</f>
        <v/>
      </c>
      <c r="B425">
        <f>IF($M425="","",INDEX(상세표[성명],$M425)&amp;"")</f>
        <v/>
      </c>
      <c r="C425">
        <f>IF($M425="","",IF(INDEX(상세표[종료월],$M425)=대상월키,"전월→이번 달","이번 달→익월"))</f>
        <v/>
      </c>
      <c r="D425">
        <f>IF($M425="","",IF(ISNUMBER(INDEX(상세표[시작],$M425)),TEXT(INDEX(상세표[시작],$M425),"yyyy-mm-dd hh:mm"),INDEX(상세표[시작],$M425)&amp;""))</f>
        <v/>
      </c>
      <c r="E425">
        <f>IF($M425="","",IF(ISNUMBER(INDEX(상세표[종료],$M425)),TEXT(INDEX(상세표[종료],$M425),"yyyy-mm-dd hh:mm"),INDEX(상세표[종료],$M425)&amp;""))</f>
        <v/>
      </c>
      <c r="F425">
        <f>IF($M425="","",INDEX(상세표[기록 시간외],$M425))</f>
        <v/>
      </c>
      <c r="G425">
        <f>IF($M425="","",INDEX(상세표[시작월 기관],$M425)&amp;"")</f>
        <v/>
      </c>
      <c r="H425">
        <f>IF($M425="","",INDEX(상세표[종료월 기관],$M425)&amp;"")</f>
        <v/>
      </c>
      <c r="I425">
        <f>IF($M425="","",INDEX(상세표[월경계 판정],$M425)&amp;"")</f>
        <v/>
      </c>
      <c r="J425">
        <f>IF($M425="","",INDEX(상세표[반영월],$M425)&amp;"")</f>
        <v/>
      </c>
      <c r="K425">
        <f>IF($M425="","",INDEX(상세표[반영 기관],$M425)&amp;"")</f>
        <v/>
      </c>
      <c r="L425">
        <f>IF($M425="","",INDEX(상세표[기관 출처],$M425)&amp;"")</f>
        <v/>
      </c>
      <c r="M425" s="4">
        <f>IFERROR(MATCH(420,상세표[경계순번],0),"")</f>
        <v/>
      </c>
    </row>
    <row r="426">
      <c r="A426">
        <f>IF($M426="","",INDEX(상세표[사번],$M426)&amp;"")</f>
        <v/>
      </c>
      <c r="B426">
        <f>IF($M426="","",INDEX(상세표[성명],$M426)&amp;"")</f>
        <v/>
      </c>
      <c r="C426">
        <f>IF($M426="","",IF(INDEX(상세표[종료월],$M426)=대상월키,"전월→이번 달","이번 달→익월"))</f>
        <v/>
      </c>
      <c r="D426">
        <f>IF($M426="","",IF(ISNUMBER(INDEX(상세표[시작],$M426)),TEXT(INDEX(상세표[시작],$M426),"yyyy-mm-dd hh:mm"),INDEX(상세표[시작],$M426)&amp;""))</f>
        <v/>
      </c>
      <c r="E426">
        <f>IF($M426="","",IF(ISNUMBER(INDEX(상세표[종료],$M426)),TEXT(INDEX(상세표[종료],$M426),"yyyy-mm-dd hh:mm"),INDEX(상세표[종료],$M426)&amp;""))</f>
        <v/>
      </c>
      <c r="F426">
        <f>IF($M426="","",INDEX(상세표[기록 시간외],$M426))</f>
        <v/>
      </c>
      <c r="G426">
        <f>IF($M426="","",INDEX(상세표[시작월 기관],$M426)&amp;"")</f>
        <v/>
      </c>
      <c r="H426">
        <f>IF($M426="","",INDEX(상세표[종료월 기관],$M426)&amp;"")</f>
        <v/>
      </c>
      <c r="I426">
        <f>IF($M426="","",INDEX(상세표[월경계 판정],$M426)&amp;"")</f>
        <v/>
      </c>
      <c r="J426">
        <f>IF($M426="","",INDEX(상세표[반영월],$M426)&amp;"")</f>
        <v/>
      </c>
      <c r="K426">
        <f>IF($M426="","",INDEX(상세표[반영 기관],$M426)&amp;"")</f>
        <v/>
      </c>
      <c r="L426">
        <f>IF($M426="","",INDEX(상세표[기관 출처],$M426)&amp;"")</f>
        <v/>
      </c>
      <c r="M426" s="4">
        <f>IFERROR(MATCH(421,상세표[경계순번],0),"")</f>
        <v/>
      </c>
    </row>
    <row r="427">
      <c r="A427">
        <f>IF($M427="","",INDEX(상세표[사번],$M427)&amp;"")</f>
        <v/>
      </c>
      <c r="B427">
        <f>IF($M427="","",INDEX(상세표[성명],$M427)&amp;"")</f>
        <v/>
      </c>
      <c r="C427">
        <f>IF($M427="","",IF(INDEX(상세표[종료월],$M427)=대상월키,"전월→이번 달","이번 달→익월"))</f>
        <v/>
      </c>
      <c r="D427">
        <f>IF($M427="","",IF(ISNUMBER(INDEX(상세표[시작],$M427)),TEXT(INDEX(상세표[시작],$M427),"yyyy-mm-dd hh:mm"),INDEX(상세표[시작],$M427)&amp;""))</f>
        <v/>
      </c>
      <c r="E427">
        <f>IF($M427="","",IF(ISNUMBER(INDEX(상세표[종료],$M427)),TEXT(INDEX(상세표[종료],$M427),"yyyy-mm-dd hh:mm"),INDEX(상세표[종료],$M427)&amp;""))</f>
        <v/>
      </c>
      <c r="F427">
        <f>IF($M427="","",INDEX(상세표[기록 시간외],$M427))</f>
        <v/>
      </c>
      <c r="G427">
        <f>IF($M427="","",INDEX(상세표[시작월 기관],$M427)&amp;"")</f>
        <v/>
      </c>
      <c r="H427">
        <f>IF($M427="","",INDEX(상세표[종료월 기관],$M427)&amp;"")</f>
        <v/>
      </c>
      <c r="I427">
        <f>IF($M427="","",INDEX(상세표[월경계 판정],$M427)&amp;"")</f>
        <v/>
      </c>
      <c r="J427">
        <f>IF($M427="","",INDEX(상세표[반영월],$M427)&amp;"")</f>
        <v/>
      </c>
      <c r="K427">
        <f>IF($M427="","",INDEX(상세표[반영 기관],$M427)&amp;"")</f>
        <v/>
      </c>
      <c r="L427">
        <f>IF($M427="","",INDEX(상세표[기관 출처],$M427)&amp;"")</f>
        <v/>
      </c>
      <c r="M427" s="4">
        <f>IFERROR(MATCH(422,상세표[경계순번],0),"")</f>
        <v/>
      </c>
    </row>
    <row r="428">
      <c r="A428">
        <f>IF($M428="","",INDEX(상세표[사번],$M428)&amp;"")</f>
        <v/>
      </c>
      <c r="B428">
        <f>IF($M428="","",INDEX(상세표[성명],$M428)&amp;"")</f>
        <v/>
      </c>
      <c r="C428">
        <f>IF($M428="","",IF(INDEX(상세표[종료월],$M428)=대상월키,"전월→이번 달","이번 달→익월"))</f>
        <v/>
      </c>
      <c r="D428">
        <f>IF($M428="","",IF(ISNUMBER(INDEX(상세표[시작],$M428)),TEXT(INDEX(상세표[시작],$M428),"yyyy-mm-dd hh:mm"),INDEX(상세표[시작],$M428)&amp;""))</f>
        <v/>
      </c>
      <c r="E428">
        <f>IF($M428="","",IF(ISNUMBER(INDEX(상세표[종료],$M428)),TEXT(INDEX(상세표[종료],$M428),"yyyy-mm-dd hh:mm"),INDEX(상세표[종료],$M428)&amp;""))</f>
        <v/>
      </c>
      <c r="F428">
        <f>IF($M428="","",INDEX(상세표[기록 시간외],$M428))</f>
        <v/>
      </c>
      <c r="G428">
        <f>IF($M428="","",INDEX(상세표[시작월 기관],$M428)&amp;"")</f>
        <v/>
      </c>
      <c r="H428">
        <f>IF($M428="","",INDEX(상세표[종료월 기관],$M428)&amp;"")</f>
        <v/>
      </c>
      <c r="I428">
        <f>IF($M428="","",INDEX(상세표[월경계 판정],$M428)&amp;"")</f>
        <v/>
      </c>
      <c r="J428">
        <f>IF($M428="","",INDEX(상세표[반영월],$M428)&amp;"")</f>
        <v/>
      </c>
      <c r="K428">
        <f>IF($M428="","",INDEX(상세표[반영 기관],$M428)&amp;"")</f>
        <v/>
      </c>
      <c r="L428">
        <f>IF($M428="","",INDEX(상세표[기관 출처],$M428)&amp;"")</f>
        <v/>
      </c>
      <c r="M428" s="4">
        <f>IFERROR(MATCH(423,상세표[경계순번],0),"")</f>
        <v/>
      </c>
    </row>
    <row r="429">
      <c r="A429">
        <f>IF($M429="","",INDEX(상세표[사번],$M429)&amp;"")</f>
        <v/>
      </c>
      <c r="B429">
        <f>IF($M429="","",INDEX(상세표[성명],$M429)&amp;"")</f>
        <v/>
      </c>
      <c r="C429">
        <f>IF($M429="","",IF(INDEX(상세표[종료월],$M429)=대상월키,"전월→이번 달","이번 달→익월"))</f>
        <v/>
      </c>
      <c r="D429">
        <f>IF($M429="","",IF(ISNUMBER(INDEX(상세표[시작],$M429)),TEXT(INDEX(상세표[시작],$M429),"yyyy-mm-dd hh:mm"),INDEX(상세표[시작],$M429)&amp;""))</f>
        <v/>
      </c>
      <c r="E429">
        <f>IF($M429="","",IF(ISNUMBER(INDEX(상세표[종료],$M429)),TEXT(INDEX(상세표[종료],$M429),"yyyy-mm-dd hh:mm"),INDEX(상세표[종료],$M429)&amp;""))</f>
        <v/>
      </c>
      <c r="F429">
        <f>IF($M429="","",INDEX(상세표[기록 시간외],$M429))</f>
        <v/>
      </c>
      <c r="G429">
        <f>IF($M429="","",INDEX(상세표[시작월 기관],$M429)&amp;"")</f>
        <v/>
      </c>
      <c r="H429">
        <f>IF($M429="","",INDEX(상세표[종료월 기관],$M429)&amp;"")</f>
        <v/>
      </c>
      <c r="I429">
        <f>IF($M429="","",INDEX(상세표[월경계 판정],$M429)&amp;"")</f>
        <v/>
      </c>
      <c r="J429">
        <f>IF($M429="","",INDEX(상세표[반영월],$M429)&amp;"")</f>
        <v/>
      </c>
      <c r="K429">
        <f>IF($M429="","",INDEX(상세표[반영 기관],$M429)&amp;"")</f>
        <v/>
      </c>
      <c r="L429">
        <f>IF($M429="","",INDEX(상세표[기관 출처],$M429)&amp;"")</f>
        <v/>
      </c>
      <c r="M429" s="4">
        <f>IFERROR(MATCH(424,상세표[경계순번],0),"")</f>
        <v/>
      </c>
    </row>
    <row r="430">
      <c r="A430">
        <f>IF($M430="","",INDEX(상세표[사번],$M430)&amp;"")</f>
        <v/>
      </c>
      <c r="B430">
        <f>IF($M430="","",INDEX(상세표[성명],$M430)&amp;"")</f>
        <v/>
      </c>
      <c r="C430">
        <f>IF($M430="","",IF(INDEX(상세표[종료월],$M430)=대상월키,"전월→이번 달","이번 달→익월"))</f>
        <v/>
      </c>
      <c r="D430">
        <f>IF($M430="","",IF(ISNUMBER(INDEX(상세표[시작],$M430)),TEXT(INDEX(상세표[시작],$M430),"yyyy-mm-dd hh:mm"),INDEX(상세표[시작],$M430)&amp;""))</f>
        <v/>
      </c>
      <c r="E430">
        <f>IF($M430="","",IF(ISNUMBER(INDEX(상세표[종료],$M430)),TEXT(INDEX(상세표[종료],$M430),"yyyy-mm-dd hh:mm"),INDEX(상세표[종료],$M430)&amp;""))</f>
        <v/>
      </c>
      <c r="F430">
        <f>IF($M430="","",INDEX(상세표[기록 시간외],$M430))</f>
        <v/>
      </c>
      <c r="G430">
        <f>IF($M430="","",INDEX(상세표[시작월 기관],$M430)&amp;"")</f>
        <v/>
      </c>
      <c r="H430">
        <f>IF($M430="","",INDEX(상세표[종료월 기관],$M430)&amp;"")</f>
        <v/>
      </c>
      <c r="I430">
        <f>IF($M430="","",INDEX(상세표[월경계 판정],$M430)&amp;"")</f>
        <v/>
      </c>
      <c r="J430">
        <f>IF($M430="","",INDEX(상세표[반영월],$M430)&amp;"")</f>
        <v/>
      </c>
      <c r="K430">
        <f>IF($M430="","",INDEX(상세표[반영 기관],$M430)&amp;"")</f>
        <v/>
      </c>
      <c r="L430">
        <f>IF($M430="","",INDEX(상세표[기관 출처],$M430)&amp;"")</f>
        <v/>
      </c>
      <c r="M430" s="4">
        <f>IFERROR(MATCH(425,상세표[경계순번],0),"")</f>
        <v/>
      </c>
    </row>
    <row r="431">
      <c r="A431">
        <f>IF($M431="","",INDEX(상세표[사번],$M431)&amp;"")</f>
        <v/>
      </c>
      <c r="B431">
        <f>IF($M431="","",INDEX(상세표[성명],$M431)&amp;"")</f>
        <v/>
      </c>
      <c r="C431">
        <f>IF($M431="","",IF(INDEX(상세표[종료월],$M431)=대상월키,"전월→이번 달","이번 달→익월"))</f>
        <v/>
      </c>
      <c r="D431">
        <f>IF($M431="","",IF(ISNUMBER(INDEX(상세표[시작],$M431)),TEXT(INDEX(상세표[시작],$M431),"yyyy-mm-dd hh:mm"),INDEX(상세표[시작],$M431)&amp;""))</f>
        <v/>
      </c>
      <c r="E431">
        <f>IF($M431="","",IF(ISNUMBER(INDEX(상세표[종료],$M431)),TEXT(INDEX(상세표[종료],$M431),"yyyy-mm-dd hh:mm"),INDEX(상세표[종료],$M431)&amp;""))</f>
        <v/>
      </c>
      <c r="F431">
        <f>IF($M431="","",INDEX(상세표[기록 시간외],$M431))</f>
        <v/>
      </c>
      <c r="G431">
        <f>IF($M431="","",INDEX(상세표[시작월 기관],$M431)&amp;"")</f>
        <v/>
      </c>
      <c r="H431">
        <f>IF($M431="","",INDEX(상세표[종료월 기관],$M431)&amp;"")</f>
        <v/>
      </c>
      <c r="I431">
        <f>IF($M431="","",INDEX(상세표[월경계 판정],$M431)&amp;"")</f>
        <v/>
      </c>
      <c r="J431">
        <f>IF($M431="","",INDEX(상세표[반영월],$M431)&amp;"")</f>
        <v/>
      </c>
      <c r="K431">
        <f>IF($M431="","",INDEX(상세표[반영 기관],$M431)&amp;"")</f>
        <v/>
      </c>
      <c r="L431">
        <f>IF($M431="","",INDEX(상세표[기관 출처],$M431)&amp;"")</f>
        <v/>
      </c>
      <c r="M431" s="4">
        <f>IFERROR(MATCH(426,상세표[경계순번],0),"")</f>
        <v/>
      </c>
    </row>
    <row r="432">
      <c r="A432">
        <f>IF($M432="","",INDEX(상세표[사번],$M432)&amp;"")</f>
        <v/>
      </c>
      <c r="B432">
        <f>IF($M432="","",INDEX(상세표[성명],$M432)&amp;"")</f>
        <v/>
      </c>
      <c r="C432">
        <f>IF($M432="","",IF(INDEX(상세표[종료월],$M432)=대상월키,"전월→이번 달","이번 달→익월"))</f>
        <v/>
      </c>
      <c r="D432">
        <f>IF($M432="","",IF(ISNUMBER(INDEX(상세표[시작],$M432)),TEXT(INDEX(상세표[시작],$M432),"yyyy-mm-dd hh:mm"),INDEX(상세표[시작],$M432)&amp;""))</f>
        <v/>
      </c>
      <c r="E432">
        <f>IF($M432="","",IF(ISNUMBER(INDEX(상세표[종료],$M432)),TEXT(INDEX(상세표[종료],$M432),"yyyy-mm-dd hh:mm"),INDEX(상세표[종료],$M432)&amp;""))</f>
        <v/>
      </c>
      <c r="F432">
        <f>IF($M432="","",INDEX(상세표[기록 시간외],$M432))</f>
        <v/>
      </c>
      <c r="G432">
        <f>IF($M432="","",INDEX(상세표[시작월 기관],$M432)&amp;"")</f>
        <v/>
      </c>
      <c r="H432">
        <f>IF($M432="","",INDEX(상세표[종료월 기관],$M432)&amp;"")</f>
        <v/>
      </c>
      <c r="I432">
        <f>IF($M432="","",INDEX(상세표[월경계 판정],$M432)&amp;"")</f>
        <v/>
      </c>
      <c r="J432">
        <f>IF($M432="","",INDEX(상세표[반영월],$M432)&amp;"")</f>
        <v/>
      </c>
      <c r="K432">
        <f>IF($M432="","",INDEX(상세표[반영 기관],$M432)&amp;"")</f>
        <v/>
      </c>
      <c r="L432">
        <f>IF($M432="","",INDEX(상세표[기관 출처],$M432)&amp;"")</f>
        <v/>
      </c>
      <c r="M432" s="4">
        <f>IFERROR(MATCH(427,상세표[경계순번],0),"")</f>
        <v/>
      </c>
    </row>
    <row r="433">
      <c r="A433">
        <f>IF($M433="","",INDEX(상세표[사번],$M433)&amp;"")</f>
        <v/>
      </c>
      <c r="B433">
        <f>IF($M433="","",INDEX(상세표[성명],$M433)&amp;"")</f>
        <v/>
      </c>
      <c r="C433">
        <f>IF($M433="","",IF(INDEX(상세표[종료월],$M433)=대상월키,"전월→이번 달","이번 달→익월"))</f>
        <v/>
      </c>
      <c r="D433">
        <f>IF($M433="","",IF(ISNUMBER(INDEX(상세표[시작],$M433)),TEXT(INDEX(상세표[시작],$M433),"yyyy-mm-dd hh:mm"),INDEX(상세표[시작],$M433)&amp;""))</f>
        <v/>
      </c>
      <c r="E433">
        <f>IF($M433="","",IF(ISNUMBER(INDEX(상세표[종료],$M433)),TEXT(INDEX(상세표[종료],$M433),"yyyy-mm-dd hh:mm"),INDEX(상세표[종료],$M433)&amp;""))</f>
        <v/>
      </c>
      <c r="F433">
        <f>IF($M433="","",INDEX(상세표[기록 시간외],$M433))</f>
        <v/>
      </c>
      <c r="G433">
        <f>IF($M433="","",INDEX(상세표[시작월 기관],$M433)&amp;"")</f>
        <v/>
      </c>
      <c r="H433">
        <f>IF($M433="","",INDEX(상세표[종료월 기관],$M433)&amp;"")</f>
        <v/>
      </c>
      <c r="I433">
        <f>IF($M433="","",INDEX(상세표[월경계 판정],$M433)&amp;"")</f>
        <v/>
      </c>
      <c r="J433">
        <f>IF($M433="","",INDEX(상세표[반영월],$M433)&amp;"")</f>
        <v/>
      </c>
      <c r="K433">
        <f>IF($M433="","",INDEX(상세표[반영 기관],$M433)&amp;"")</f>
        <v/>
      </c>
      <c r="L433">
        <f>IF($M433="","",INDEX(상세표[기관 출처],$M433)&amp;"")</f>
        <v/>
      </c>
      <c r="M433" s="4">
        <f>IFERROR(MATCH(428,상세표[경계순번],0),"")</f>
        <v/>
      </c>
    </row>
    <row r="434">
      <c r="A434">
        <f>IF($M434="","",INDEX(상세표[사번],$M434)&amp;"")</f>
        <v/>
      </c>
      <c r="B434">
        <f>IF($M434="","",INDEX(상세표[성명],$M434)&amp;"")</f>
        <v/>
      </c>
      <c r="C434">
        <f>IF($M434="","",IF(INDEX(상세표[종료월],$M434)=대상월키,"전월→이번 달","이번 달→익월"))</f>
        <v/>
      </c>
      <c r="D434">
        <f>IF($M434="","",IF(ISNUMBER(INDEX(상세표[시작],$M434)),TEXT(INDEX(상세표[시작],$M434),"yyyy-mm-dd hh:mm"),INDEX(상세표[시작],$M434)&amp;""))</f>
        <v/>
      </c>
      <c r="E434">
        <f>IF($M434="","",IF(ISNUMBER(INDEX(상세표[종료],$M434)),TEXT(INDEX(상세표[종료],$M434),"yyyy-mm-dd hh:mm"),INDEX(상세표[종료],$M434)&amp;""))</f>
        <v/>
      </c>
      <c r="F434">
        <f>IF($M434="","",INDEX(상세표[기록 시간외],$M434))</f>
        <v/>
      </c>
      <c r="G434">
        <f>IF($M434="","",INDEX(상세표[시작월 기관],$M434)&amp;"")</f>
        <v/>
      </c>
      <c r="H434">
        <f>IF($M434="","",INDEX(상세표[종료월 기관],$M434)&amp;"")</f>
        <v/>
      </c>
      <c r="I434">
        <f>IF($M434="","",INDEX(상세표[월경계 판정],$M434)&amp;"")</f>
        <v/>
      </c>
      <c r="J434">
        <f>IF($M434="","",INDEX(상세표[반영월],$M434)&amp;"")</f>
        <v/>
      </c>
      <c r="K434">
        <f>IF($M434="","",INDEX(상세표[반영 기관],$M434)&amp;"")</f>
        <v/>
      </c>
      <c r="L434">
        <f>IF($M434="","",INDEX(상세표[기관 출처],$M434)&amp;"")</f>
        <v/>
      </c>
      <c r="M434" s="4">
        <f>IFERROR(MATCH(429,상세표[경계순번],0),"")</f>
        <v/>
      </c>
    </row>
    <row r="435">
      <c r="A435">
        <f>IF($M435="","",INDEX(상세표[사번],$M435)&amp;"")</f>
        <v/>
      </c>
      <c r="B435">
        <f>IF($M435="","",INDEX(상세표[성명],$M435)&amp;"")</f>
        <v/>
      </c>
      <c r="C435">
        <f>IF($M435="","",IF(INDEX(상세표[종료월],$M435)=대상월키,"전월→이번 달","이번 달→익월"))</f>
        <v/>
      </c>
      <c r="D435">
        <f>IF($M435="","",IF(ISNUMBER(INDEX(상세표[시작],$M435)),TEXT(INDEX(상세표[시작],$M435),"yyyy-mm-dd hh:mm"),INDEX(상세표[시작],$M435)&amp;""))</f>
        <v/>
      </c>
      <c r="E435">
        <f>IF($M435="","",IF(ISNUMBER(INDEX(상세표[종료],$M435)),TEXT(INDEX(상세표[종료],$M435),"yyyy-mm-dd hh:mm"),INDEX(상세표[종료],$M435)&amp;""))</f>
        <v/>
      </c>
      <c r="F435">
        <f>IF($M435="","",INDEX(상세표[기록 시간외],$M435))</f>
        <v/>
      </c>
      <c r="G435">
        <f>IF($M435="","",INDEX(상세표[시작월 기관],$M435)&amp;"")</f>
        <v/>
      </c>
      <c r="H435">
        <f>IF($M435="","",INDEX(상세표[종료월 기관],$M435)&amp;"")</f>
        <v/>
      </c>
      <c r="I435">
        <f>IF($M435="","",INDEX(상세표[월경계 판정],$M435)&amp;"")</f>
        <v/>
      </c>
      <c r="J435">
        <f>IF($M435="","",INDEX(상세표[반영월],$M435)&amp;"")</f>
        <v/>
      </c>
      <c r="K435">
        <f>IF($M435="","",INDEX(상세표[반영 기관],$M435)&amp;"")</f>
        <v/>
      </c>
      <c r="L435">
        <f>IF($M435="","",INDEX(상세표[기관 출처],$M435)&amp;"")</f>
        <v/>
      </c>
      <c r="M435" s="4">
        <f>IFERROR(MATCH(430,상세표[경계순번],0),"")</f>
        <v/>
      </c>
    </row>
    <row r="436">
      <c r="A436">
        <f>IF($M436="","",INDEX(상세표[사번],$M436)&amp;"")</f>
        <v/>
      </c>
      <c r="B436">
        <f>IF($M436="","",INDEX(상세표[성명],$M436)&amp;"")</f>
        <v/>
      </c>
      <c r="C436">
        <f>IF($M436="","",IF(INDEX(상세표[종료월],$M436)=대상월키,"전월→이번 달","이번 달→익월"))</f>
        <v/>
      </c>
      <c r="D436">
        <f>IF($M436="","",IF(ISNUMBER(INDEX(상세표[시작],$M436)),TEXT(INDEX(상세표[시작],$M436),"yyyy-mm-dd hh:mm"),INDEX(상세표[시작],$M436)&amp;""))</f>
        <v/>
      </c>
      <c r="E436">
        <f>IF($M436="","",IF(ISNUMBER(INDEX(상세표[종료],$M436)),TEXT(INDEX(상세표[종료],$M436),"yyyy-mm-dd hh:mm"),INDEX(상세표[종료],$M436)&amp;""))</f>
        <v/>
      </c>
      <c r="F436">
        <f>IF($M436="","",INDEX(상세표[기록 시간외],$M436))</f>
        <v/>
      </c>
      <c r="G436">
        <f>IF($M436="","",INDEX(상세표[시작월 기관],$M436)&amp;"")</f>
        <v/>
      </c>
      <c r="H436">
        <f>IF($M436="","",INDEX(상세표[종료월 기관],$M436)&amp;"")</f>
        <v/>
      </c>
      <c r="I436">
        <f>IF($M436="","",INDEX(상세표[월경계 판정],$M436)&amp;"")</f>
        <v/>
      </c>
      <c r="J436">
        <f>IF($M436="","",INDEX(상세표[반영월],$M436)&amp;"")</f>
        <v/>
      </c>
      <c r="K436">
        <f>IF($M436="","",INDEX(상세표[반영 기관],$M436)&amp;"")</f>
        <v/>
      </c>
      <c r="L436">
        <f>IF($M436="","",INDEX(상세표[기관 출처],$M436)&amp;"")</f>
        <v/>
      </c>
      <c r="M436" s="4">
        <f>IFERROR(MATCH(431,상세표[경계순번],0),"")</f>
        <v/>
      </c>
    </row>
    <row r="437">
      <c r="A437">
        <f>IF($M437="","",INDEX(상세표[사번],$M437)&amp;"")</f>
        <v/>
      </c>
      <c r="B437">
        <f>IF($M437="","",INDEX(상세표[성명],$M437)&amp;"")</f>
        <v/>
      </c>
      <c r="C437">
        <f>IF($M437="","",IF(INDEX(상세표[종료월],$M437)=대상월키,"전월→이번 달","이번 달→익월"))</f>
        <v/>
      </c>
      <c r="D437">
        <f>IF($M437="","",IF(ISNUMBER(INDEX(상세표[시작],$M437)),TEXT(INDEX(상세표[시작],$M437),"yyyy-mm-dd hh:mm"),INDEX(상세표[시작],$M437)&amp;""))</f>
        <v/>
      </c>
      <c r="E437">
        <f>IF($M437="","",IF(ISNUMBER(INDEX(상세표[종료],$M437)),TEXT(INDEX(상세표[종료],$M437),"yyyy-mm-dd hh:mm"),INDEX(상세표[종료],$M437)&amp;""))</f>
        <v/>
      </c>
      <c r="F437">
        <f>IF($M437="","",INDEX(상세표[기록 시간외],$M437))</f>
        <v/>
      </c>
      <c r="G437">
        <f>IF($M437="","",INDEX(상세표[시작월 기관],$M437)&amp;"")</f>
        <v/>
      </c>
      <c r="H437">
        <f>IF($M437="","",INDEX(상세표[종료월 기관],$M437)&amp;"")</f>
        <v/>
      </c>
      <c r="I437">
        <f>IF($M437="","",INDEX(상세표[월경계 판정],$M437)&amp;"")</f>
        <v/>
      </c>
      <c r="J437">
        <f>IF($M437="","",INDEX(상세표[반영월],$M437)&amp;"")</f>
        <v/>
      </c>
      <c r="K437">
        <f>IF($M437="","",INDEX(상세표[반영 기관],$M437)&amp;"")</f>
        <v/>
      </c>
      <c r="L437">
        <f>IF($M437="","",INDEX(상세표[기관 출처],$M437)&amp;"")</f>
        <v/>
      </c>
      <c r="M437" s="4">
        <f>IFERROR(MATCH(432,상세표[경계순번],0),"")</f>
        <v/>
      </c>
    </row>
    <row r="438">
      <c r="A438">
        <f>IF($M438="","",INDEX(상세표[사번],$M438)&amp;"")</f>
        <v/>
      </c>
      <c r="B438">
        <f>IF($M438="","",INDEX(상세표[성명],$M438)&amp;"")</f>
        <v/>
      </c>
      <c r="C438">
        <f>IF($M438="","",IF(INDEX(상세표[종료월],$M438)=대상월키,"전월→이번 달","이번 달→익월"))</f>
        <v/>
      </c>
      <c r="D438">
        <f>IF($M438="","",IF(ISNUMBER(INDEX(상세표[시작],$M438)),TEXT(INDEX(상세표[시작],$M438),"yyyy-mm-dd hh:mm"),INDEX(상세표[시작],$M438)&amp;""))</f>
        <v/>
      </c>
      <c r="E438">
        <f>IF($M438="","",IF(ISNUMBER(INDEX(상세표[종료],$M438)),TEXT(INDEX(상세표[종료],$M438),"yyyy-mm-dd hh:mm"),INDEX(상세표[종료],$M438)&amp;""))</f>
        <v/>
      </c>
      <c r="F438">
        <f>IF($M438="","",INDEX(상세표[기록 시간외],$M438))</f>
        <v/>
      </c>
      <c r="G438">
        <f>IF($M438="","",INDEX(상세표[시작월 기관],$M438)&amp;"")</f>
        <v/>
      </c>
      <c r="H438">
        <f>IF($M438="","",INDEX(상세표[종료월 기관],$M438)&amp;"")</f>
        <v/>
      </c>
      <c r="I438">
        <f>IF($M438="","",INDEX(상세표[월경계 판정],$M438)&amp;"")</f>
        <v/>
      </c>
      <c r="J438">
        <f>IF($M438="","",INDEX(상세표[반영월],$M438)&amp;"")</f>
        <v/>
      </c>
      <c r="K438">
        <f>IF($M438="","",INDEX(상세표[반영 기관],$M438)&amp;"")</f>
        <v/>
      </c>
      <c r="L438">
        <f>IF($M438="","",INDEX(상세표[기관 출처],$M438)&amp;"")</f>
        <v/>
      </c>
      <c r="M438" s="4">
        <f>IFERROR(MATCH(433,상세표[경계순번],0),"")</f>
        <v/>
      </c>
    </row>
    <row r="439">
      <c r="A439">
        <f>IF($M439="","",INDEX(상세표[사번],$M439)&amp;"")</f>
        <v/>
      </c>
      <c r="B439">
        <f>IF($M439="","",INDEX(상세표[성명],$M439)&amp;"")</f>
        <v/>
      </c>
      <c r="C439">
        <f>IF($M439="","",IF(INDEX(상세표[종료월],$M439)=대상월키,"전월→이번 달","이번 달→익월"))</f>
        <v/>
      </c>
      <c r="D439">
        <f>IF($M439="","",IF(ISNUMBER(INDEX(상세표[시작],$M439)),TEXT(INDEX(상세표[시작],$M439),"yyyy-mm-dd hh:mm"),INDEX(상세표[시작],$M439)&amp;""))</f>
        <v/>
      </c>
      <c r="E439">
        <f>IF($M439="","",IF(ISNUMBER(INDEX(상세표[종료],$M439)),TEXT(INDEX(상세표[종료],$M439),"yyyy-mm-dd hh:mm"),INDEX(상세표[종료],$M439)&amp;""))</f>
        <v/>
      </c>
      <c r="F439">
        <f>IF($M439="","",INDEX(상세표[기록 시간외],$M439))</f>
        <v/>
      </c>
      <c r="G439">
        <f>IF($M439="","",INDEX(상세표[시작월 기관],$M439)&amp;"")</f>
        <v/>
      </c>
      <c r="H439">
        <f>IF($M439="","",INDEX(상세표[종료월 기관],$M439)&amp;"")</f>
        <v/>
      </c>
      <c r="I439">
        <f>IF($M439="","",INDEX(상세표[월경계 판정],$M439)&amp;"")</f>
        <v/>
      </c>
      <c r="J439">
        <f>IF($M439="","",INDEX(상세표[반영월],$M439)&amp;"")</f>
        <v/>
      </c>
      <c r="K439">
        <f>IF($M439="","",INDEX(상세표[반영 기관],$M439)&amp;"")</f>
        <v/>
      </c>
      <c r="L439">
        <f>IF($M439="","",INDEX(상세표[기관 출처],$M439)&amp;"")</f>
        <v/>
      </c>
      <c r="M439" s="4">
        <f>IFERROR(MATCH(434,상세표[경계순번],0),"")</f>
        <v/>
      </c>
    </row>
    <row r="440">
      <c r="A440">
        <f>IF($M440="","",INDEX(상세표[사번],$M440)&amp;"")</f>
        <v/>
      </c>
      <c r="B440">
        <f>IF($M440="","",INDEX(상세표[성명],$M440)&amp;"")</f>
        <v/>
      </c>
      <c r="C440">
        <f>IF($M440="","",IF(INDEX(상세표[종료월],$M440)=대상월키,"전월→이번 달","이번 달→익월"))</f>
        <v/>
      </c>
      <c r="D440">
        <f>IF($M440="","",IF(ISNUMBER(INDEX(상세표[시작],$M440)),TEXT(INDEX(상세표[시작],$M440),"yyyy-mm-dd hh:mm"),INDEX(상세표[시작],$M440)&amp;""))</f>
        <v/>
      </c>
      <c r="E440">
        <f>IF($M440="","",IF(ISNUMBER(INDEX(상세표[종료],$M440)),TEXT(INDEX(상세표[종료],$M440),"yyyy-mm-dd hh:mm"),INDEX(상세표[종료],$M440)&amp;""))</f>
        <v/>
      </c>
      <c r="F440">
        <f>IF($M440="","",INDEX(상세표[기록 시간외],$M440))</f>
        <v/>
      </c>
      <c r="G440">
        <f>IF($M440="","",INDEX(상세표[시작월 기관],$M440)&amp;"")</f>
        <v/>
      </c>
      <c r="H440">
        <f>IF($M440="","",INDEX(상세표[종료월 기관],$M440)&amp;"")</f>
        <v/>
      </c>
      <c r="I440">
        <f>IF($M440="","",INDEX(상세표[월경계 판정],$M440)&amp;"")</f>
        <v/>
      </c>
      <c r="J440">
        <f>IF($M440="","",INDEX(상세표[반영월],$M440)&amp;"")</f>
        <v/>
      </c>
      <c r="K440">
        <f>IF($M440="","",INDEX(상세표[반영 기관],$M440)&amp;"")</f>
        <v/>
      </c>
      <c r="L440">
        <f>IF($M440="","",INDEX(상세표[기관 출처],$M440)&amp;"")</f>
        <v/>
      </c>
      <c r="M440" s="4">
        <f>IFERROR(MATCH(435,상세표[경계순번],0),"")</f>
        <v/>
      </c>
    </row>
    <row r="441">
      <c r="A441">
        <f>IF($M441="","",INDEX(상세표[사번],$M441)&amp;"")</f>
        <v/>
      </c>
      <c r="B441">
        <f>IF($M441="","",INDEX(상세표[성명],$M441)&amp;"")</f>
        <v/>
      </c>
      <c r="C441">
        <f>IF($M441="","",IF(INDEX(상세표[종료월],$M441)=대상월키,"전월→이번 달","이번 달→익월"))</f>
        <v/>
      </c>
      <c r="D441">
        <f>IF($M441="","",IF(ISNUMBER(INDEX(상세표[시작],$M441)),TEXT(INDEX(상세표[시작],$M441),"yyyy-mm-dd hh:mm"),INDEX(상세표[시작],$M441)&amp;""))</f>
        <v/>
      </c>
      <c r="E441">
        <f>IF($M441="","",IF(ISNUMBER(INDEX(상세표[종료],$M441)),TEXT(INDEX(상세표[종료],$M441),"yyyy-mm-dd hh:mm"),INDEX(상세표[종료],$M441)&amp;""))</f>
        <v/>
      </c>
      <c r="F441">
        <f>IF($M441="","",INDEX(상세표[기록 시간외],$M441))</f>
        <v/>
      </c>
      <c r="G441">
        <f>IF($M441="","",INDEX(상세표[시작월 기관],$M441)&amp;"")</f>
        <v/>
      </c>
      <c r="H441">
        <f>IF($M441="","",INDEX(상세표[종료월 기관],$M441)&amp;"")</f>
        <v/>
      </c>
      <c r="I441">
        <f>IF($M441="","",INDEX(상세표[월경계 판정],$M441)&amp;"")</f>
        <v/>
      </c>
      <c r="J441">
        <f>IF($M441="","",INDEX(상세표[반영월],$M441)&amp;"")</f>
        <v/>
      </c>
      <c r="K441">
        <f>IF($M441="","",INDEX(상세표[반영 기관],$M441)&amp;"")</f>
        <v/>
      </c>
      <c r="L441">
        <f>IF($M441="","",INDEX(상세표[기관 출처],$M441)&amp;"")</f>
        <v/>
      </c>
      <c r="M441" s="4">
        <f>IFERROR(MATCH(436,상세표[경계순번],0),"")</f>
        <v/>
      </c>
    </row>
    <row r="442">
      <c r="A442">
        <f>IF($M442="","",INDEX(상세표[사번],$M442)&amp;"")</f>
        <v/>
      </c>
      <c r="B442">
        <f>IF($M442="","",INDEX(상세표[성명],$M442)&amp;"")</f>
        <v/>
      </c>
      <c r="C442">
        <f>IF($M442="","",IF(INDEX(상세표[종료월],$M442)=대상월키,"전월→이번 달","이번 달→익월"))</f>
        <v/>
      </c>
      <c r="D442">
        <f>IF($M442="","",IF(ISNUMBER(INDEX(상세표[시작],$M442)),TEXT(INDEX(상세표[시작],$M442),"yyyy-mm-dd hh:mm"),INDEX(상세표[시작],$M442)&amp;""))</f>
        <v/>
      </c>
      <c r="E442">
        <f>IF($M442="","",IF(ISNUMBER(INDEX(상세표[종료],$M442)),TEXT(INDEX(상세표[종료],$M442),"yyyy-mm-dd hh:mm"),INDEX(상세표[종료],$M442)&amp;""))</f>
        <v/>
      </c>
      <c r="F442">
        <f>IF($M442="","",INDEX(상세표[기록 시간외],$M442))</f>
        <v/>
      </c>
      <c r="G442">
        <f>IF($M442="","",INDEX(상세표[시작월 기관],$M442)&amp;"")</f>
        <v/>
      </c>
      <c r="H442">
        <f>IF($M442="","",INDEX(상세표[종료월 기관],$M442)&amp;"")</f>
        <v/>
      </c>
      <c r="I442">
        <f>IF($M442="","",INDEX(상세표[월경계 판정],$M442)&amp;"")</f>
        <v/>
      </c>
      <c r="J442">
        <f>IF($M442="","",INDEX(상세표[반영월],$M442)&amp;"")</f>
        <v/>
      </c>
      <c r="K442">
        <f>IF($M442="","",INDEX(상세표[반영 기관],$M442)&amp;"")</f>
        <v/>
      </c>
      <c r="L442">
        <f>IF($M442="","",INDEX(상세표[기관 출처],$M442)&amp;"")</f>
        <v/>
      </c>
      <c r="M442" s="4">
        <f>IFERROR(MATCH(437,상세표[경계순번],0),"")</f>
        <v/>
      </c>
    </row>
    <row r="443">
      <c r="A443">
        <f>IF($M443="","",INDEX(상세표[사번],$M443)&amp;"")</f>
        <v/>
      </c>
      <c r="B443">
        <f>IF($M443="","",INDEX(상세표[성명],$M443)&amp;"")</f>
        <v/>
      </c>
      <c r="C443">
        <f>IF($M443="","",IF(INDEX(상세표[종료월],$M443)=대상월키,"전월→이번 달","이번 달→익월"))</f>
        <v/>
      </c>
      <c r="D443">
        <f>IF($M443="","",IF(ISNUMBER(INDEX(상세표[시작],$M443)),TEXT(INDEX(상세표[시작],$M443),"yyyy-mm-dd hh:mm"),INDEX(상세표[시작],$M443)&amp;""))</f>
        <v/>
      </c>
      <c r="E443">
        <f>IF($M443="","",IF(ISNUMBER(INDEX(상세표[종료],$M443)),TEXT(INDEX(상세표[종료],$M443),"yyyy-mm-dd hh:mm"),INDEX(상세표[종료],$M443)&amp;""))</f>
        <v/>
      </c>
      <c r="F443">
        <f>IF($M443="","",INDEX(상세표[기록 시간외],$M443))</f>
        <v/>
      </c>
      <c r="G443">
        <f>IF($M443="","",INDEX(상세표[시작월 기관],$M443)&amp;"")</f>
        <v/>
      </c>
      <c r="H443">
        <f>IF($M443="","",INDEX(상세표[종료월 기관],$M443)&amp;"")</f>
        <v/>
      </c>
      <c r="I443">
        <f>IF($M443="","",INDEX(상세표[월경계 판정],$M443)&amp;"")</f>
        <v/>
      </c>
      <c r="J443">
        <f>IF($M443="","",INDEX(상세표[반영월],$M443)&amp;"")</f>
        <v/>
      </c>
      <c r="K443">
        <f>IF($M443="","",INDEX(상세표[반영 기관],$M443)&amp;"")</f>
        <v/>
      </c>
      <c r="L443">
        <f>IF($M443="","",INDEX(상세표[기관 출처],$M443)&amp;"")</f>
        <v/>
      </c>
      <c r="M443" s="4">
        <f>IFERROR(MATCH(438,상세표[경계순번],0),"")</f>
        <v/>
      </c>
    </row>
    <row r="444">
      <c r="A444">
        <f>IF($M444="","",INDEX(상세표[사번],$M444)&amp;"")</f>
        <v/>
      </c>
      <c r="B444">
        <f>IF($M444="","",INDEX(상세표[성명],$M444)&amp;"")</f>
        <v/>
      </c>
      <c r="C444">
        <f>IF($M444="","",IF(INDEX(상세표[종료월],$M444)=대상월키,"전월→이번 달","이번 달→익월"))</f>
        <v/>
      </c>
      <c r="D444">
        <f>IF($M444="","",IF(ISNUMBER(INDEX(상세표[시작],$M444)),TEXT(INDEX(상세표[시작],$M444),"yyyy-mm-dd hh:mm"),INDEX(상세표[시작],$M444)&amp;""))</f>
        <v/>
      </c>
      <c r="E444">
        <f>IF($M444="","",IF(ISNUMBER(INDEX(상세표[종료],$M444)),TEXT(INDEX(상세표[종료],$M444),"yyyy-mm-dd hh:mm"),INDEX(상세표[종료],$M444)&amp;""))</f>
        <v/>
      </c>
      <c r="F444">
        <f>IF($M444="","",INDEX(상세표[기록 시간외],$M444))</f>
        <v/>
      </c>
      <c r="G444">
        <f>IF($M444="","",INDEX(상세표[시작월 기관],$M444)&amp;"")</f>
        <v/>
      </c>
      <c r="H444">
        <f>IF($M444="","",INDEX(상세표[종료월 기관],$M444)&amp;"")</f>
        <v/>
      </c>
      <c r="I444">
        <f>IF($M444="","",INDEX(상세표[월경계 판정],$M444)&amp;"")</f>
        <v/>
      </c>
      <c r="J444">
        <f>IF($M444="","",INDEX(상세표[반영월],$M444)&amp;"")</f>
        <v/>
      </c>
      <c r="K444">
        <f>IF($M444="","",INDEX(상세표[반영 기관],$M444)&amp;"")</f>
        <v/>
      </c>
      <c r="L444">
        <f>IF($M444="","",INDEX(상세표[기관 출처],$M444)&amp;"")</f>
        <v/>
      </c>
      <c r="M444" s="4">
        <f>IFERROR(MATCH(439,상세표[경계순번],0),"")</f>
        <v/>
      </c>
    </row>
    <row r="445">
      <c r="A445">
        <f>IF($M445="","",INDEX(상세표[사번],$M445)&amp;"")</f>
        <v/>
      </c>
      <c r="B445">
        <f>IF($M445="","",INDEX(상세표[성명],$M445)&amp;"")</f>
        <v/>
      </c>
      <c r="C445">
        <f>IF($M445="","",IF(INDEX(상세표[종료월],$M445)=대상월키,"전월→이번 달","이번 달→익월"))</f>
        <v/>
      </c>
      <c r="D445">
        <f>IF($M445="","",IF(ISNUMBER(INDEX(상세표[시작],$M445)),TEXT(INDEX(상세표[시작],$M445),"yyyy-mm-dd hh:mm"),INDEX(상세표[시작],$M445)&amp;""))</f>
        <v/>
      </c>
      <c r="E445">
        <f>IF($M445="","",IF(ISNUMBER(INDEX(상세표[종료],$M445)),TEXT(INDEX(상세표[종료],$M445),"yyyy-mm-dd hh:mm"),INDEX(상세표[종료],$M445)&amp;""))</f>
        <v/>
      </c>
      <c r="F445">
        <f>IF($M445="","",INDEX(상세표[기록 시간외],$M445))</f>
        <v/>
      </c>
      <c r="G445">
        <f>IF($M445="","",INDEX(상세표[시작월 기관],$M445)&amp;"")</f>
        <v/>
      </c>
      <c r="H445">
        <f>IF($M445="","",INDEX(상세표[종료월 기관],$M445)&amp;"")</f>
        <v/>
      </c>
      <c r="I445">
        <f>IF($M445="","",INDEX(상세표[월경계 판정],$M445)&amp;"")</f>
        <v/>
      </c>
      <c r="J445">
        <f>IF($M445="","",INDEX(상세표[반영월],$M445)&amp;"")</f>
        <v/>
      </c>
      <c r="K445">
        <f>IF($M445="","",INDEX(상세표[반영 기관],$M445)&amp;"")</f>
        <v/>
      </c>
      <c r="L445">
        <f>IF($M445="","",INDEX(상세표[기관 출처],$M445)&amp;"")</f>
        <v/>
      </c>
      <c r="M445" s="4">
        <f>IFERROR(MATCH(440,상세표[경계순번],0),"")</f>
        <v/>
      </c>
    </row>
    <row r="446">
      <c r="A446">
        <f>IF($M446="","",INDEX(상세표[사번],$M446)&amp;"")</f>
        <v/>
      </c>
      <c r="B446">
        <f>IF($M446="","",INDEX(상세표[성명],$M446)&amp;"")</f>
        <v/>
      </c>
      <c r="C446">
        <f>IF($M446="","",IF(INDEX(상세표[종료월],$M446)=대상월키,"전월→이번 달","이번 달→익월"))</f>
        <v/>
      </c>
      <c r="D446">
        <f>IF($M446="","",IF(ISNUMBER(INDEX(상세표[시작],$M446)),TEXT(INDEX(상세표[시작],$M446),"yyyy-mm-dd hh:mm"),INDEX(상세표[시작],$M446)&amp;""))</f>
        <v/>
      </c>
      <c r="E446">
        <f>IF($M446="","",IF(ISNUMBER(INDEX(상세표[종료],$M446)),TEXT(INDEX(상세표[종료],$M446),"yyyy-mm-dd hh:mm"),INDEX(상세표[종료],$M446)&amp;""))</f>
        <v/>
      </c>
      <c r="F446">
        <f>IF($M446="","",INDEX(상세표[기록 시간외],$M446))</f>
        <v/>
      </c>
      <c r="G446">
        <f>IF($M446="","",INDEX(상세표[시작월 기관],$M446)&amp;"")</f>
        <v/>
      </c>
      <c r="H446">
        <f>IF($M446="","",INDEX(상세표[종료월 기관],$M446)&amp;"")</f>
        <v/>
      </c>
      <c r="I446">
        <f>IF($M446="","",INDEX(상세표[월경계 판정],$M446)&amp;"")</f>
        <v/>
      </c>
      <c r="J446">
        <f>IF($M446="","",INDEX(상세표[반영월],$M446)&amp;"")</f>
        <v/>
      </c>
      <c r="K446">
        <f>IF($M446="","",INDEX(상세표[반영 기관],$M446)&amp;"")</f>
        <v/>
      </c>
      <c r="L446">
        <f>IF($M446="","",INDEX(상세표[기관 출처],$M446)&amp;"")</f>
        <v/>
      </c>
      <c r="M446" s="4">
        <f>IFERROR(MATCH(441,상세표[경계순번],0),"")</f>
        <v/>
      </c>
    </row>
    <row r="447">
      <c r="A447">
        <f>IF($M447="","",INDEX(상세표[사번],$M447)&amp;"")</f>
        <v/>
      </c>
      <c r="B447">
        <f>IF($M447="","",INDEX(상세표[성명],$M447)&amp;"")</f>
        <v/>
      </c>
      <c r="C447">
        <f>IF($M447="","",IF(INDEX(상세표[종료월],$M447)=대상월키,"전월→이번 달","이번 달→익월"))</f>
        <v/>
      </c>
      <c r="D447">
        <f>IF($M447="","",IF(ISNUMBER(INDEX(상세표[시작],$M447)),TEXT(INDEX(상세표[시작],$M447),"yyyy-mm-dd hh:mm"),INDEX(상세표[시작],$M447)&amp;""))</f>
        <v/>
      </c>
      <c r="E447">
        <f>IF($M447="","",IF(ISNUMBER(INDEX(상세표[종료],$M447)),TEXT(INDEX(상세표[종료],$M447),"yyyy-mm-dd hh:mm"),INDEX(상세표[종료],$M447)&amp;""))</f>
        <v/>
      </c>
      <c r="F447">
        <f>IF($M447="","",INDEX(상세표[기록 시간외],$M447))</f>
        <v/>
      </c>
      <c r="G447">
        <f>IF($M447="","",INDEX(상세표[시작월 기관],$M447)&amp;"")</f>
        <v/>
      </c>
      <c r="H447">
        <f>IF($M447="","",INDEX(상세표[종료월 기관],$M447)&amp;"")</f>
        <v/>
      </c>
      <c r="I447">
        <f>IF($M447="","",INDEX(상세표[월경계 판정],$M447)&amp;"")</f>
        <v/>
      </c>
      <c r="J447">
        <f>IF($M447="","",INDEX(상세표[반영월],$M447)&amp;"")</f>
        <v/>
      </c>
      <c r="K447">
        <f>IF($M447="","",INDEX(상세표[반영 기관],$M447)&amp;"")</f>
        <v/>
      </c>
      <c r="L447">
        <f>IF($M447="","",INDEX(상세표[기관 출처],$M447)&amp;"")</f>
        <v/>
      </c>
      <c r="M447" s="4">
        <f>IFERROR(MATCH(442,상세표[경계순번],0),"")</f>
        <v/>
      </c>
    </row>
    <row r="448">
      <c r="A448">
        <f>IF($M448="","",INDEX(상세표[사번],$M448)&amp;"")</f>
        <v/>
      </c>
      <c r="B448">
        <f>IF($M448="","",INDEX(상세표[성명],$M448)&amp;"")</f>
        <v/>
      </c>
      <c r="C448">
        <f>IF($M448="","",IF(INDEX(상세표[종료월],$M448)=대상월키,"전월→이번 달","이번 달→익월"))</f>
        <v/>
      </c>
      <c r="D448">
        <f>IF($M448="","",IF(ISNUMBER(INDEX(상세표[시작],$M448)),TEXT(INDEX(상세표[시작],$M448),"yyyy-mm-dd hh:mm"),INDEX(상세표[시작],$M448)&amp;""))</f>
        <v/>
      </c>
      <c r="E448">
        <f>IF($M448="","",IF(ISNUMBER(INDEX(상세표[종료],$M448)),TEXT(INDEX(상세표[종료],$M448),"yyyy-mm-dd hh:mm"),INDEX(상세표[종료],$M448)&amp;""))</f>
        <v/>
      </c>
      <c r="F448">
        <f>IF($M448="","",INDEX(상세표[기록 시간외],$M448))</f>
        <v/>
      </c>
      <c r="G448">
        <f>IF($M448="","",INDEX(상세표[시작월 기관],$M448)&amp;"")</f>
        <v/>
      </c>
      <c r="H448">
        <f>IF($M448="","",INDEX(상세표[종료월 기관],$M448)&amp;"")</f>
        <v/>
      </c>
      <c r="I448">
        <f>IF($M448="","",INDEX(상세표[월경계 판정],$M448)&amp;"")</f>
        <v/>
      </c>
      <c r="J448">
        <f>IF($M448="","",INDEX(상세표[반영월],$M448)&amp;"")</f>
        <v/>
      </c>
      <c r="K448">
        <f>IF($M448="","",INDEX(상세표[반영 기관],$M448)&amp;"")</f>
        <v/>
      </c>
      <c r="L448">
        <f>IF($M448="","",INDEX(상세표[기관 출처],$M448)&amp;"")</f>
        <v/>
      </c>
      <c r="M448" s="4">
        <f>IFERROR(MATCH(443,상세표[경계순번],0),"")</f>
        <v/>
      </c>
    </row>
    <row r="449">
      <c r="A449">
        <f>IF($M449="","",INDEX(상세표[사번],$M449)&amp;"")</f>
        <v/>
      </c>
      <c r="B449">
        <f>IF($M449="","",INDEX(상세표[성명],$M449)&amp;"")</f>
        <v/>
      </c>
      <c r="C449">
        <f>IF($M449="","",IF(INDEX(상세표[종료월],$M449)=대상월키,"전월→이번 달","이번 달→익월"))</f>
        <v/>
      </c>
      <c r="D449">
        <f>IF($M449="","",IF(ISNUMBER(INDEX(상세표[시작],$M449)),TEXT(INDEX(상세표[시작],$M449),"yyyy-mm-dd hh:mm"),INDEX(상세표[시작],$M449)&amp;""))</f>
        <v/>
      </c>
      <c r="E449">
        <f>IF($M449="","",IF(ISNUMBER(INDEX(상세표[종료],$M449)),TEXT(INDEX(상세표[종료],$M449),"yyyy-mm-dd hh:mm"),INDEX(상세표[종료],$M449)&amp;""))</f>
        <v/>
      </c>
      <c r="F449">
        <f>IF($M449="","",INDEX(상세표[기록 시간외],$M449))</f>
        <v/>
      </c>
      <c r="G449">
        <f>IF($M449="","",INDEX(상세표[시작월 기관],$M449)&amp;"")</f>
        <v/>
      </c>
      <c r="H449">
        <f>IF($M449="","",INDEX(상세표[종료월 기관],$M449)&amp;"")</f>
        <v/>
      </c>
      <c r="I449">
        <f>IF($M449="","",INDEX(상세표[월경계 판정],$M449)&amp;"")</f>
        <v/>
      </c>
      <c r="J449">
        <f>IF($M449="","",INDEX(상세표[반영월],$M449)&amp;"")</f>
        <v/>
      </c>
      <c r="K449">
        <f>IF($M449="","",INDEX(상세표[반영 기관],$M449)&amp;"")</f>
        <v/>
      </c>
      <c r="L449">
        <f>IF($M449="","",INDEX(상세표[기관 출처],$M449)&amp;"")</f>
        <v/>
      </c>
      <c r="M449" s="4">
        <f>IFERROR(MATCH(444,상세표[경계순번],0),"")</f>
        <v/>
      </c>
    </row>
    <row r="450">
      <c r="A450">
        <f>IF($M450="","",INDEX(상세표[사번],$M450)&amp;"")</f>
        <v/>
      </c>
      <c r="B450">
        <f>IF($M450="","",INDEX(상세표[성명],$M450)&amp;"")</f>
        <v/>
      </c>
      <c r="C450">
        <f>IF($M450="","",IF(INDEX(상세표[종료월],$M450)=대상월키,"전월→이번 달","이번 달→익월"))</f>
        <v/>
      </c>
      <c r="D450">
        <f>IF($M450="","",IF(ISNUMBER(INDEX(상세표[시작],$M450)),TEXT(INDEX(상세표[시작],$M450),"yyyy-mm-dd hh:mm"),INDEX(상세표[시작],$M450)&amp;""))</f>
        <v/>
      </c>
      <c r="E450">
        <f>IF($M450="","",IF(ISNUMBER(INDEX(상세표[종료],$M450)),TEXT(INDEX(상세표[종료],$M450),"yyyy-mm-dd hh:mm"),INDEX(상세표[종료],$M450)&amp;""))</f>
        <v/>
      </c>
      <c r="F450">
        <f>IF($M450="","",INDEX(상세표[기록 시간외],$M450))</f>
        <v/>
      </c>
      <c r="G450">
        <f>IF($M450="","",INDEX(상세표[시작월 기관],$M450)&amp;"")</f>
        <v/>
      </c>
      <c r="H450">
        <f>IF($M450="","",INDEX(상세표[종료월 기관],$M450)&amp;"")</f>
        <v/>
      </c>
      <c r="I450">
        <f>IF($M450="","",INDEX(상세표[월경계 판정],$M450)&amp;"")</f>
        <v/>
      </c>
      <c r="J450">
        <f>IF($M450="","",INDEX(상세표[반영월],$M450)&amp;"")</f>
        <v/>
      </c>
      <c r="K450">
        <f>IF($M450="","",INDEX(상세표[반영 기관],$M450)&amp;"")</f>
        <v/>
      </c>
      <c r="L450">
        <f>IF($M450="","",INDEX(상세표[기관 출처],$M450)&amp;"")</f>
        <v/>
      </c>
      <c r="M450" s="4">
        <f>IFERROR(MATCH(445,상세표[경계순번],0),"")</f>
        <v/>
      </c>
    </row>
    <row r="451">
      <c r="A451">
        <f>IF($M451="","",INDEX(상세표[사번],$M451)&amp;"")</f>
        <v/>
      </c>
      <c r="B451">
        <f>IF($M451="","",INDEX(상세표[성명],$M451)&amp;"")</f>
        <v/>
      </c>
      <c r="C451">
        <f>IF($M451="","",IF(INDEX(상세표[종료월],$M451)=대상월키,"전월→이번 달","이번 달→익월"))</f>
        <v/>
      </c>
      <c r="D451">
        <f>IF($M451="","",IF(ISNUMBER(INDEX(상세표[시작],$M451)),TEXT(INDEX(상세표[시작],$M451),"yyyy-mm-dd hh:mm"),INDEX(상세표[시작],$M451)&amp;""))</f>
        <v/>
      </c>
      <c r="E451">
        <f>IF($M451="","",IF(ISNUMBER(INDEX(상세표[종료],$M451)),TEXT(INDEX(상세표[종료],$M451),"yyyy-mm-dd hh:mm"),INDEX(상세표[종료],$M451)&amp;""))</f>
        <v/>
      </c>
      <c r="F451">
        <f>IF($M451="","",INDEX(상세표[기록 시간외],$M451))</f>
        <v/>
      </c>
      <c r="G451">
        <f>IF($M451="","",INDEX(상세표[시작월 기관],$M451)&amp;"")</f>
        <v/>
      </c>
      <c r="H451">
        <f>IF($M451="","",INDEX(상세표[종료월 기관],$M451)&amp;"")</f>
        <v/>
      </c>
      <c r="I451">
        <f>IF($M451="","",INDEX(상세표[월경계 판정],$M451)&amp;"")</f>
        <v/>
      </c>
      <c r="J451">
        <f>IF($M451="","",INDEX(상세표[반영월],$M451)&amp;"")</f>
        <v/>
      </c>
      <c r="K451">
        <f>IF($M451="","",INDEX(상세표[반영 기관],$M451)&amp;"")</f>
        <v/>
      </c>
      <c r="L451">
        <f>IF($M451="","",INDEX(상세표[기관 출처],$M451)&amp;"")</f>
        <v/>
      </c>
      <c r="M451" s="4">
        <f>IFERROR(MATCH(446,상세표[경계순번],0),"")</f>
        <v/>
      </c>
    </row>
    <row r="452">
      <c r="A452">
        <f>IF($M452="","",INDEX(상세표[사번],$M452)&amp;"")</f>
        <v/>
      </c>
      <c r="B452">
        <f>IF($M452="","",INDEX(상세표[성명],$M452)&amp;"")</f>
        <v/>
      </c>
      <c r="C452">
        <f>IF($M452="","",IF(INDEX(상세표[종료월],$M452)=대상월키,"전월→이번 달","이번 달→익월"))</f>
        <v/>
      </c>
      <c r="D452">
        <f>IF($M452="","",IF(ISNUMBER(INDEX(상세표[시작],$M452)),TEXT(INDEX(상세표[시작],$M452),"yyyy-mm-dd hh:mm"),INDEX(상세표[시작],$M452)&amp;""))</f>
        <v/>
      </c>
      <c r="E452">
        <f>IF($M452="","",IF(ISNUMBER(INDEX(상세표[종료],$M452)),TEXT(INDEX(상세표[종료],$M452),"yyyy-mm-dd hh:mm"),INDEX(상세표[종료],$M452)&amp;""))</f>
        <v/>
      </c>
      <c r="F452">
        <f>IF($M452="","",INDEX(상세표[기록 시간외],$M452))</f>
        <v/>
      </c>
      <c r="G452">
        <f>IF($M452="","",INDEX(상세표[시작월 기관],$M452)&amp;"")</f>
        <v/>
      </c>
      <c r="H452">
        <f>IF($M452="","",INDEX(상세표[종료월 기관],$M452)&amp;"")</f>
        <v/>
      </c>
      <c r="I452">
        <f>IF($M452="","",INDEX(상세표[월경계 판정],$M452)&amp;"")</f>
        <v/>
      </c>
      <c r="J452">
        <f>IF($M452="","",INDEX(상세표[반영월],$M452)&amp;"")</f>
        <v/>
      </c>
      <c r="K452">
        <f>IF($M452="","",INDEX(상세표[반영 기관],$M452)&amp;"")</f>
        <v/>
      </c>
      <c r="L452">
        <f>IF($M452="","",INDEX(상세표[기관 출처],$M452)&amp;"")</f>
        <v/>
      </c>
      <c r="M452" s="4">
        <f>IFERROR(MATCH(447,상세표[경계순번],0),"")</f>
        <v/>
      </c>
    </row>
    <row r="453">
      <c r="A453">
        <f>IF($M453="","",INDEX(상세표[사번],$M453)&amp;"")</f>
        <v/>
      </c>
      <c r="B453">
        <f>IF($M453="","",INDEX(상세표[성명],$M453)&amp;"")</f>
        <v/>
      </c>
      <c r="C453">
        <f>IF($M453="","",IF(INDEX(상세표[종료월],$M453)=대상월키,"전월→이번 달","이번 달→익월"))</f>
        <v/>
      </c>
      <c r="D453">
        <f>IF($M453="","",IF(ISNUMBER(INDEX(상세표[시작],$M453)),TEXT(INDEX(상세표[시작],$M453),"yyyy-mm-dd hh:mm"),INDEX(상세표[시작],$M453)&amp;""))</f>
        <v/>
      </c>
      <c r="E453">
        <f>IF($M453="","",IF(ISNUMBER(INDEX(상세표[종료],$M453)),TEXT(INDEX(상세표[종료],$M453),"yyyy-mm-dd hh:mm"),INDEX(상세표[종료],$M453)&amp;""))</f>
        <v/>
      </c>
      <c r="F453">
        <f>IF($M453="","",INDEX(상세표[기록 시간외],$M453))</f>
        <v/>
      </c>
      <c r="G453">
        <f>IF($M453="","",INDEX(상세표[시작월 기관],$M453)&amp;"")</f>
        <v/>
      </c>
      <c r="H453">
        <f>IF($M453="","",INDEX(상세표[종료월 기관],$M453)&amp;"")</f>
        <v/>
      </c>
      <c r="I453">
        <f>IF($M453="","",INDEX(상세표[월경계 판정],$M453)&amp;"")</f>
        <v/>
      </c>
      <c r="J453">
        <f>IF($M453="","",INDEX(상세표[반영월],$M453)&amp;"")</f>
        <v/>
      </c>
      <c r="K453">
        <f>IF($M453="","",INDEX(상세표[반영 기관],$M453)&amp;"")</f>
        <v/>
      </c>
      <c r="L453">
        <f>IF($M453="","",INDEX(상세표[기관 출처],$M453)&amp;"")</f>
        <v/>
      </c>
      <c r="M453" s="4">
        <f>IFERROR(MATCH(448,상세표[경계순번],0),"")</f>
        <v/>
      </c>
    </row>
    <row r="454">
      <c r="A454">
        <f>IF($M454="","",INDEX(상세표[사번],$M454)&amp;"")</f>
        <v/>
      </c>
      <c r="B454">
        <f>IF($M454="","",INDEX(상세표[성명],$M454)&amp;"")</f>
        <v/>
      </c>
      <c r="C454">
        <f>IF($M454="","",IF(INDEX(상세표[종료월],$M454)=대상월키,"전월→이번 달","이번 달→익월"))</f>
        <v/>
      </c>
      <c r="D454">
        <f>IF($M454="","",IF(ISNUMBER(INDEX(상세표[시작],$M454)),TEXT(INDEX(상세표[시작],$M454),"yyyy-mm-dd hh:mm"),INDEX(상세표[시작],$M454)&amp;""))</f>
        <v/>
      </c>
      <c r="E454">
        <f>IF($M454="","",IF(ISNUMBER(INDEX(상세표[종료],$M454)),TEXT(INDEX(상세표[종료],$M454),"yyyy-mm-dd hh:mm"),INDEX(상세표[종료],$M454)&amp;""))</f>
        <v/>
      </c>
      <c r="F454">
        <f>IF($M454="","",INDEX(상세표[기록 시간외],$M454))</f>
        <v/>
      </c>
      <c r="G454">
        <f>IF($M454="","",INDEX(상세표[시작월 기관],$M454)&amp;"")</f>
        <v/>
      </c>
      <c r="H454">
        <f>IF($M454="","",INDEX(상세표[종료월 기관],$M454)&amp;"")</f>
        <v/>
      </c>
      <c r="I454">
        <f>IF($M454="","",INDEX(상세표[월경계 판정],$M454)&amp;"")</f>
        <v/>
      </c>
      <c r="J454">
        <f>IF($M454="","",INDEX(상세표[반영월],$M454)&amp;"")</f>
        <v/>
      </c>
      <c r="K454">
        <f>IF($M454="","",INDEX(상세표[반영 기관],$M454)&amp;"")</f>
        <v/>
      </c>
      <c r="L454">
        <f>IF($M454="","",INDEX(상세표[기관 출처],$M454)&amp;"")</f>
        <v/>
      </c>
      <c r="M454" s="4">
        <f>IFERROR(MATCH(449,상세표[경계순번],0),"")</f>
        <v/>
      </c>
    </row>
    <row r="455">
      <c r="A455">
        <f>IF($M455="","",INDEX(상세표[사번],$M455)&amp;"")</f>
        <v/>
      </c>
      <c r="B455">
        <f>IF($M455="","",INDEX(상세표[성명],$M455)&amp;"")</f>
        <v/>
      </c>
      <c r="C455">
        <f>IF($M455="","",IF(INDEX(상세표[종료월],$M455)=대상월키,"전월→이번 달","이번 달→익월"))</f>
        <v/>
      </c>
      <c r="D455">
        <f>IF($M455="","",IF(ISNUMBER(INDEX(상세표[시작],$M455)),TEXT(INDEX(상세표[시작],$M455),"yyyy-mm-dd hh:mm"),INDEX(상세표[시작],$M455)&amp;""))</f>
        <v/>
      </c>
      <c r="E455">
        <f>IF($M455="","",IF(ISNUMBER(INDEX(상세표[종료],$M455)),TEXT(INDEX(상세표[종료],$M455),"yyyy-mm-dd hh:mm"),INDEX(상세표[종료],$M455)&amp;""))</f>
        <v/>
      </c>
      <c r="F455">
        <f>IF($M455="","",INDEX(상세표[기록 시간외],$M455))</f>
        <v/>
      </c>
      <c r="G455">
        <f>IF($M455="","",INDEX(상세표[시작월 기관],$M455)&amp;"")</f>
        <v/>
      </c>
      <c r="H455">
        <f>IF($M455="","",INDEX(상세표[종료월 기관],$M455)&amp;"")</f>
        <v/>
      </c>
      <c r="I455">
        <f>IF($M455="","",INDEX(상세표[월경계 판정],$M455)&amp;"")</f>
        <v/>
      </c>
      <c r="J455">
        <f>IF($M455="","",INDEX(상세표[반영월],$M455)&amp;"")</f>
        <v/>
      </c>
      <c r="K455">
        <f>IF($M455="","",INDEX(상세표[반영 기관],$M455)&amp;"")</f>
        <v/>
      </c>
      <c r="L455">
        <f>IF($M455="","",INDEX(상세표[기관 출처],$M455)&amp;"")</f>
        <v/>
      </c>
      <c r="M455" s="4">
        <f>IFERROR(MATCH(450,상세표[경계순번],0),"")</f>
        <v/>
      </c>
    </row>
    <row r="456">
      <c r="A456">
        <f>IF($M456="","",INDEX(상세표[사번],$M456)&amp;"")</f>
        <v/>
      </c>
      <c r="B456">
        <f>IF($M456="","",INDEX(상세표[성명],$M456)&amp;"")</f>
        <v/>
      </c>
      <c r="C456">
        <f>IF($M456="","",IF(INDEX(상세표[종료월],$M456)=대상월키,"전월→이번 달","이번 달→익월"))</f>
        <v/>
      </c>
      <c r="D456">
        <f>IF($M456="","",IF(ISNUMBER(INDEX(상세표[시작],$M456)),TEXT(INDEX(상세표[시작],$M456),"yyyy-mm-dd hh:mm"),INDEX(상세표[시작],$M456)&amp;""))</f>
        <v/>
      </c>
      <c r="E456">
        <f>IF($M456="","",IF(ISNUMBER(INDEX(상세표[종료],$M456)),TEXT(INDEX(상세표[종료],$M456),"yyyy-mm-dd hh:mm"),INDEX(상세표[종료],$M456)&amp;""))</f>
        <v/>
      </c>
      <c r="F456">
        <f>IF($M456="","",INDEX(상세표[기록 시간외],$M456))</f>
        <v/>
      </c>
      <c r="G456">
        <f>IF($M456="","",INDEX(상세표[시작월 기관],$M456)&amp;"")</f>
        <v/>
      </c>
      <c r="H456">
        <f>IF($M456="","",INDEX(상세표[종료월 기관],$M456)&amp;"")</f>
        <v/>
      </c>
      <c r="I456">
        <f>IF($M456="","",INDEX(상세표[월경계 판정],$M456)&amp;"")</f>
        <v/>
      </c>
      <c r="J456">
        <f>IF($M456="","",INDEX(상세표[반영월],$M456)&amp;"")</f>
        <v/>
      </c>
      <c r="K456">
        <f>IF($M456="","",INDEX(상세표[반영 기관],$M456)&amp;"")</f>
        <v/>
      </c>
      <c r="L456">
        <f>IF($M456="","",INDEX(상세표[기관 출처],$M456)&amp;"")</f>
        <v/>
      </c>
      <c r="M456" s="4">
        <f>IFERROR(MATCH(451,상세표[경계순번],0),"")</f>
        <v/>
      </c>
    </row>
    <row r="457">
      <c r="A457">
        <f>IF($M457="","",INDEX(상세표[사번],$M457)&amp;"")</f>
        <v/>
      </c>
      <c r="B457">
        <f>IF($M457="","",INDEX(상세표[성명],$M457)&amp;"")</f>
        <v/>
      </c>
      <c r="C457">
        <f>IF($M457="","",IF(INDEX(상세표[종료월],$M457)=대상월키,"전월→이번 달","이번 달→익월"))</f>
        <v/>
      </c>
      <c r="D457">
        <f>IF($M457="","",IF(ISNUMBER(INDEX(상세표[시작],$M457)),TEXT(INDEX(상세표[시작],$M457),"yyyy-mm-dd hh:mm"),INDEX(상세표[시작],$M457)&amp;""))</f>
        <v/>
      </c>
      <c r="E457">
        <f>IF($M457="","",IF(ISNUMBER(INDEX(상세표[종료],$M457)),TEXT(INDEX(상세표[종료],$M457),"yyyy-mm-dd hh:mm"),INDEX(상세표[종료],$M457)&amp;""))</f>
        <v/>
      </c>
      <c r="F457">
        <f>IF($M457="","",INDEX(상세표[기록 시간외],$M457))</f>
        <v/>
      </c>
      <c r="G457">
        <f>IF($M457="","",INDEX(상세표[시작월 기관],$M457)&amp;"")</f>
        <v/>
      </c>
      <c r="H457">
        <f>IF($M457="","",INDEX(상세표[종료월 기관],$M457)&amp;"")</f>
        <v/>
      </c>
      <c r="I457">
        <f>IF($M457="","",INDEX(상세표[월경계 판정],$M457)&amp;"")</f>
        <v/>
      </c>
      <c r="J457">
        <f>IF($M457="","",INDEX(상세표[반영월],$M457)&amp;"")</f>
        <v/>
      </c>
      <c r="K457">
        <f>IF($M457="","",INDEX(상세표[반영 기관],$M457)&amp;"")</f>
        <v/>
      </c>
      <c r="L457">
        <f>IF($M457="","",INDEX(상세표[기관 출처],$M457)&amp;"")</f>
        <v/>
      </c>
      <c r="M457" s="4">
        <f>IFERROR(MATCH(452,상세표[경계순번],0),"")</f>
        <v/>
      </c>
    </row>
    <row r="458">
      <c r="A458">
        <f>IF($M458="","",INDEX(상세표[사번],$M458)&amp;"")</f>
        <v/>
      </c>
      <c r="B458">
        <f>IF($M458="","",INDEX(상세표[성명],$M458)&amp;"")</f>
        <v/>
      </c>
      <c r="C458">
        <f>IF($M458="","",IF(INDEX(상세표[종료월],$M458)=대상월키,"전월→이번 달","이번 달→익월"))</f>
        <v/>
      </c>
      <c r="D458">
        <f>IF($M458="","",IF(ISNUMBER(INDEX(상세표[시작],$M458)),TEXT(INDEX(상세표[시작],$M458),"yyyy-mm-dd hh:mm"),INDEX(상세표[시작],$M458)&amp;""))</f>
        <v/>
      </c>
      <c r="E458">
        <f>IF($M458="","",IF(ISNUMBER(INDEX(상세표[종료],$M458)),TEXT(INDEX(상세표[종료],$M458),"yyyy-mm-dd hh:mm"),INDEX(상세표[종료],$M458)&amp;""))</f>
        <v/>
      </c>
      <c r="F458">
        <f>IF($M458="","",INDEX(상세표[기록 시간외],$M458))</f>
        <v/>
      </c>
      <c r="G458">
        <f>IF($M458="","",INDEX(상세표[시작월 기관],$M458)&amp;"")</f>
        <v/>
      </c>
      <c r="H458">
        <f>IF($M458="","",INDEX(상세표[종료월 기관],$M458)&amp;"")</f>
        <v/>
      </c>
      <c r="I458">
        <f>IF($M458="","",INDEX(상세표[월경계 판정],$M458)&amp;"")</f>
        <v/>
      </c>
      <c r="J458">
        <f>IF($M458="","",INDEX(상세표[반영월],$M458)&amp;"")</f>
        <v/>
      </c>
      <c r="K458">
        <f>IF($M458="","",INDEX(상세표[반영 기관],$M458)&amp;"")</f>
        <v/>
      </c>
      <c r="L458">
        <f>IF($M458="","",INDEX(상세표[기관 출처],$M458)&amp;"")</f>
        <v/>
      </c>
      <c r="M458" s="4">
        <f>IFERROR(MATCH(453,상세표[경계순번],0),"")</f>
        <v/>
      </c>
    </row>
    <row r="459">
      <c r="A459">
        <f>IF($M459="","",INDEX(상세표[사번],$M459)&amp;"")</f>
        <v/>
      </c>
      <c r="B459">
        <f>IF($M459="","",INDEX(상세표[성명],$M459)&amp;"")</f>
        <v/>
      </c>
      <c r="C459">
        <f>IF($M459="","",IF(INDEX(상세표[종료월],$M459)=대상월키,"전월→이번 달","이번 달→익월"))</f>
        <v/>
      </c>
      <c r="D459">
        <f>IF($M459="","",IF(ISNUMBER(INDEX(상세표[시작],$M459)),TEXT(INDEX(상세표[시작],$M459),"yyyy-mm-dd hh:mm"),INDEX(상세표[시작],$M459)&amp;""))</f>
        <v/>
      </c>
      <c r="E459">
        <f>IF($M459="","",IF(ISNUMBER(INDEX(상세표[종료],$M459)),TEXT(INDEX(상세표[종료],$M459),"yyyy-mm-dd hh:mm"),INDEX(상세표[종료],$M459)&amp;""))</f>
        <v/>
      </c>
      <c r="F459">
        <f>IF($M459="","",INDEX(상세표[기록 시간외],$M459))</f>
        <v/>
      </c>
      <c r="G459">
        <f>IF($M459="","",INDEX(상세표[시작월 기관],$M459)&amp;"")</f>
        <v/>
      </c>
      <c r="H459">
        <f>IF($M459="","",INDEX(상세표[종료월 기관],$M459)&amp;"")</f>
        <v/>
      </c>
      <c r="I459">
        <f>IF($M459="","",INDEX(상세표[월경계 판정],$M459)&amp;"")</f>
        <v/>
      </c>
      <c r="J459">
        <f>IF($M459="","",INDEX(상세표[반영월],$M459)&amp;"")</f>
        <v/>
      </c>
      <c r="K459">
        <f>IF($M459="","",INDEX(상세표[반영 기관],$M459)&amp;"")</f>
        <v/>
      </c>
      <c r="L459">
        <f>IF($M459="","",INDEX(상세표[기관 출처],$M459)&amp;"")</f>
        <v/>
      </c>
      <c r="M459" s="4">
        <f>IFERROR(MATCH(454,상세표[경계순번],0),"")</f>
        <v/>
      </c>
    </row>
    <row r="460">
      <c r="A460">
        <f>IF($M460="","",INDEX(상세표[사번],$M460)&amp;"")</f>
        <v/>
      </c>
      <c r="B460">
        <f>IF($M460="","",INDEX(상세표[성명],$M460)&amp;"")</f>
        <v/>
      </c>
      <c r="C460">
        <f>IF($M460="","",IF(INDEX(상세표[종료월],$M460)=대상월키,"전월→이번 달","이번 달→익월"))</f>
        <v/>
      </c>
      <c r="D460">
        <f>IF($M460="","",IF(ISNUMBER(INDEX(상세표[시작],$M460)),TEXT(INDEX(상세표[시작],$M460),"yyyy-mm-dd hh:mm"),INDEX(상세표[시작],$M460)&amp;""))</f>
        <v/>
      </c>
      <c r="E460">
        <f>IF($M460="","",IF(ISNUMBER(INDEX(상세표[종료],$M460)),TEXT(INDEX(상세표[종료],$M460),"yyyy-mm-dd hh:mm"),INDEX(상세표[종료],$M460)&amp;""))</f>
        <v/>
      </c>
      <c r="F460">
        <f>IF($M460="","",INDEX(상세표[기록 시간외],$M460))</f>
        <v/>
      </c>
      <c r="G460">
        <f>IF($M460="","",INDEX(상세표[시작월 기관],$M460)&amp;"")</f>
        <v/>
      </c>
      <c r="H460">
        <f>IF($M460="","",INDEX(상세표[종료월 기관],$M460)&amp;"")</f>
        <v/>
      </c>
      <c r="I460">
        <f>IF($M460="","",INDEX(상세표[월경계 판정],$M460)&amp;"")</f>
        <v/>
      </c>
      <c r="J460">
        <f>IF($M460="","",INDEX(상세표[반영월],$M460)&amp;"")</f>
        <v/>
      </c>
      <c r="K460">
        <f>IF($M460="","",INDEX(상세표[반영 기관],$M460)&amp;"")</f>
        <v/>
      </c>
      <c r="L460">
        <f>IF($M460="","",INDEX(상세표[기관 출처],$M460)&amp;"")</f>
        <v/>
      </c>
      <c r="M460" s="4">
        <f>IFERROR(MATCH(455,상세표[경계순번],0),"")</f>
        <v/>
      </c>
    </row>
    <row r="461">
      <c r="A461">
        <f>IF($M461="","",INDEX(상세표[사번],$M461)&amp;"")</f>
        <v/>
      </c>
      <c r="B461">
        <f>IF($M461="","",INDEX(상세표[성명],$M461)&amp;"")</f>
        <v/>
      </c>
      <c r="C461">
        <f>IF($M461="","",IF(INDEX(상세표[종료월],$M461)=대상월키,"전월→이번 달","이번 달→익월"))</f>
        <v/>
      </c>
      <c r="D461">
        <f>IF($M461="","",IF(ISNUMBER(INDEX(상세표[시작],$M461)),TEXT(INDEX(상세표[시작],$M461),"yyyy-mm-dd hh:mm"),INDEX(상세표[시작],$M461)&amp;""))</f>
        <v/>
      </c>
      <c r="E461">
        <f>IF($M461="","",IF(ISNUMBER(INDEX(상세표[종료],$M461)),TEXT(INDEX(상세표[종료],$M461),"yyyy-mm-dd hh:mm"),INDEX(상세표[종료],$M461)&amp;""))</f>
        <v/>
      </c>
      <c r="F461">
        <f>IF($M461="","",INDEX(상세표[기록 시간외],$M461))</f>
        <v/>
      </c>
      <c r="G461">
        <f>IF($M461="","",INDEX(상세표[시작월 기관],$M461)&amp;"")</f>
        <v/>
      </c>
      <c r="H461">
        <f>IF($M461="","",INDEX(상세표[종료월 기관],$M461)&amp;"")</f>
        <v/>
      </c>
      <c r="I461">
        <f>IF($M461="","",INDEX(상세표[월경계 판정],$M461)&amp;"")</f>
        <v/>
      </c>
      <c r="J461">
        <f>IF($M461="","",INDEX(상세표[반영월],$M461)&amp;"")</f>
        <v/>
      </c>
      <c r="K461">
        <f>IF($M461="","",INDEX(상세표[반영 기관],$M461)&amp;"")</f>
        <v/>
      </c>
      <c r="L461">
        <f>IF($M461="","",INDEX(상세표[기관 출처],$M461)&amp;"")</f>
        <v/>
      </c>
      <c r="M461" s="4">
        <f>IFERROR(MATCH(456,상세표[경계순번],0),"")</f>
        <v/>
      </c>
    </row>
    <row r="462">
      <c r="A462">
        <f>IF($M462="","",INDEX(상세표[사번],$M462)&amp;"")</f>
        <v/>
      </c>
      <c r="B462">
        <f>IF($M462="","",INDEX(상세표[성명],$M462)&amp;"")</f>
        <v/>
      </c>
      <c r="C462">
        <f>IF($M462="","",IF(INDEX(상세표[종료월],$M462)=대상월키,"전월→이번 달","이번 달→익월"))</f>
        <v/>
      </c>
      <c r="D462">
        <f>IF($M462="","",IF(ISNUMBER(INDEX(상세표[시작],$M462)),TEXT(INDEX(상세표[시작],$M462),"yyyy-mm-dd hh:mm"),INDEX(상세표[시작],$M462)&amp;""))</f>
        <v/>
      </c>
      <c r="E462">
        <f>IF($M462="","",IF(ISNUMBER(INDEX(상세표[종료],$M462)),TEXT(INDEX(상세표[종료],$M462),"yyyy-mm-dd hh:mm"),INDEX(상세표[종료],$M462)&amp;""))</f>
        <v/>
      </c>
      <c r="F462">
        <f>IF($M462="","",INDEX(상세표[기록 시간외],$M462))</f>
        <v/>
      </c>
      <c r="G462">
        <f>IF($M462="","",INDEX(상세표[시작월 기관],$M462)&amp;"")</f>
        <v/>
      </c>
      <c r="H462">
        <f>IF($M462="","",INDEX(상세표[종료월 기관],$M462)&amp;"")</f>
        <v/>
      </c>
      <c r="I462">
        <f>IF($M462="","",INDEX(상세표[월경계 판정],$M462)&amp;"")</f>
        <v/>
      </c>
      <c r="J462">
        <f>IF($M462="","",INDEX(상세표[반영월],$M462)&amp;"")</f>
        <v/>
      </c>
      <c r="K462">
        <f>IF($M462="","",INDEX(상세표[반영 기관],$M462)&amp;"")</f>
        <v/>
      </c>
      <c r="L462">
        <f>IF($M462="","",INDEX(상세표[기관 출처],$M462)&amp;"")</f>
        <v/>
      </c>
      <c r="M462" s="4">
        <f>IFERROR(MATCH(457,상세표[경계순번],0),"")</f>
        <v/>
      </c>
    </row>
    <row r="463">
      <c r="A463">
        <f>IF($M463="","",INDEX(상세표[사번],$M463)&amp;"")</f>
        <v/>
      </c>
      <c r="B463">
        <f>IF($M463="","",INDEX(상세표[성명],$M463)&amp;"")</f>
        <v/>
      </c>
      <c r="C463">
        <f>IF($M463="","",IF(INDEX(상세표[종료월],$M463)=대상월키,"전월→이번 달","이번 달→익월"))</f>
        <v/>
      </c>
      <c r="D463">
        <f>IF($M463="","",IF(ISNUMBER(INDEX(상세표[시작],$M463)),TEXT(INDEX(상세표[시작],$M463),"yyyy-mm-dd hh:mm"),INDEX(상세표[시작],$M463)&amp;""))</f>
        <v/>
      </c>
      <c r="E463">
        <f>IF($M463="","",IF(ISNUMBER(INDEX(상세표[종료],$M463)),TEXT(INDEX(상세표[종료],$M463),"yyyy-mm-dd hh:mm"),INDEX(상세표[종료],$M463)&amp;""))</f>
        <v/>
      </c>
      <c r="F463">
        <f>IF($M463="","",INDEX(상세표[기록 시간외],$M463))</f>
        <v/>
      </c>
      <c r="G463">
        <f>IF($M463="","",INDEX(상세표[시작월 기관],$M463)&amp;"")</f>
        <v/>
      </c>
      <c r="H463">
        <f>IF($M463="","",INDEX(상세표[종료월 기관],$M463)&amp;"")</f>
        <v/>
      </c>
      <c r="I463">
        <f>IF($M463="","",INDEX(상세표[월경계 판정],$M463)&amp;"")</f>
        <v/>
      </c>
      <c r="J463">
        <f>IF($M463="","",INDEX(상세표[반영월],$M463)&amp;"")</f>
        <v/>
      </c>
      <c r="K463">
        <f>IF($M463="","",INDEX(상세표[반영 기관],$M463)&amp;"")</f>
        <v/>
      </c>
      <c r="L463">
        <f>IF($M463="","",INDEX(상세표[기관 출처],$M463)&amp;"")</f>
        <v/>
      </c>
      <c r="M463" s="4">
        <f>IFERROR(MATCH(458,상세표[경계순번],0),"")</f>
        <v/>
      </c>
    </row>
    <row r="464">
      <c r="A464">
        <f>IF($M464="","",INDEX(상세표[사번],$M464)&amp;"")</f>
        <v/>
      </c>
      <c r="B464">
        <f>IF($M464="","",INDEX(상세표[성명],$M464)&amp;"")</f>
        <v/>
      </c>
      <c r="C464">
        <f>IF($M464="","",IF(INDEX(상세표[종료월],$M464)=대상월키,"전월→이번 달","이번 달→익월"))</f>
        <v/>
      </c>
      <c r="D464">
        <f>IF($M464="","",IF(ISNUMBER(INDEX(상세표[시작],$M464)),TEXT(INDEX(상세표[시작],$M464),"yyyy-mm-dd hh:mm"),INDEX(상세표[시작],$M464)&amp;""))</f>
        <v/>
      </c>
      <c r="E464">
        <f>IF($M464="","",IF(ISNUMBER(INDEX(상세표[종료],$M464)),TEXT(INDEX(상세표[종료],$M464),"yyyy-mm-dd hh:mm"),INDEX(상세표[종료],$M464)&amp;""))</f>
        <v/>
      </c>
      <c r="F464">
        <f>IF($M464="","",INDEX(상세표[기록 시간외],$M464))</f>
        <v/>
      </c>
      <c r="G464">
        <f>IF($M464="","",INDEX(상세표[시작월 기관],$M464)&amp;"")</f>
        <v/>
      </c>
      <c r="H464">
        <f>IF($M464="","",INDEX(상세표[종료월 기관],$M464)&amp;"")</f>
        <v/>
      </c>
      <c r="I464">
        <f>IF($M464="","",INDEX(상세표[월경계 판정],$M464)&amp;"")</f>
        <v/>
      </c>
      <c r="J464">
        <f>IF($M464="","",INDEX(상세표[반영월],$M464)&amp;"")</f>
        <v/>
      </c>
      <c r="K464">
        <f>IF($M464="","",INDEX(상세표[반영 기관],$M464)&amp;"")</f>
        <v/>
      </c>
      <c r="L464">
        <f>IF($M464="","",INDEX(상세표[기관 출처],$M464)&amp;"")</f>
        <v/>
      </c>
      <c r="M464" s="4">
        <f>IFERROR(MATCH(459,상세표[경계순번],0),"")</f>
        <v/>
      </c>
    </row>
    <row r="465">
      <c r="A465">
        <f>IF($M465="","",INDEX(상세표[사번],$M465)&amp;"")</f>
        <v/>
      </c>
      <c r="B465">
        <f>IF($M465="","",INDEX(상세표[성명],$M465)&amp;"")</f>
        <v/>
      </c>
      <c r="C465">
        <f>IF($M465="","",IF(INDEX(상세표[종료월],$M465)=대상월키,"전월→이번 달","이번 달→익월"))</f>
        <v/>
      </c>
      <c r="D465">
        <f>IF($M465="","",IF(ISNUMBER(INDEX(상세표[시작],$M465)),TEXT(INDEX(상세표[시작],$M465),"yyyy-mm-dd hh:mm"),INDEX(상세표[시작],$M465)&amp;""))</f>
        <v/>
      </c>
      <c r="E465">
        <f>IF($M465="","",IF(ISNUMBER(INDEX(상세표[종료],$M465)),TEXT(INDEX(상세표[종료],$M465),"yyyy-mm-dd hh:mm"),INDEX(상세표[종료],$M465)&amp;""))</f>
        <v/>
      </c>
      <c r="F465">
        <f>IF($M465="","",INDEX(상세표[기록 시간외],$M465))</f>
        <v/>
      </c>
      <c r="G465">
        <f>IF($M465="","",INDEX(상세표[시작월 기관],$M465)&amp;"")</f>
        <v/>
      </c>
      <c r="H465">
        <f>IF($M465="","",INDEX(상세표[종료월 기관],$M465)&amp;"")</f>
        <v/>
      </c>
      <c r="I465">
        <f>IF($M465="","",INDEX(상세표[월경계 판정],$M465)&amp;"")</f>
        <v/>
      </c>
      <c r="J465">
        <f>IF($M465="","",INDEX(상세표[반영월],$M465)&amp;"")</f>
        <v/>
      </c>
      <c r="K465">
        <f>IF($M465="","",INDEX(상세표[반영 기관],$M465)&amp;"")</f>
        <v/>
      </c>
      <c r="L465">
        <f>IF($M465="","",INDEX(상세표[기관 출처],$M465)&amp;"")</f>
        <v/>
      </c>
      <c r="M465" s="4">
        <f>IFERROR(MATCH(460,상세표[경계순번],0),"")</f>
        <v/>
      </c>
    </row>
    <row r="466">
      <c r="A466">
        <f>IF($M466="","",INDEX(상세표[사번],$M466)&amp;"")</f>
        <v/>
      </c>
      <c r="B466">
        <f>IF($M466="","",INDEX(상세표[성명],$M466)&amp;"")</f>
        <v/>
      </c>
      <c r="C466">
        <f>IF($M466="","",IF(INDEX(상세표[종료월],$M466)=대상월키,"전월→이번 달","이번 달→익월"))</f>
        <v/>
      </c>
      <c r="D466">
        <f>IF($M466="","",IF(ISNUMBER(INDEX(상세표[시작],$M466)),TEXT(INDEX(상세표[시작],$M466),"yyyy-mm-dd hh:mm"),INDEX(상세표[시작],$M466)&amp;""))</f>
        <v/>
      </c>
      <c r="E466">
        <f>IF($M466="","",IF(ISNUMBER(INDEX(상세표[종료],$M466)),TEXT(INDEX(상세표[종료],$M466),"yyyy-mm-dd hh:mm"),INDEX(상세표[종료],$M466)&amp;""))</f>
        <v/>
      </c>
      <c r="F466">
        <f>IF($M466="","",INDEX(상세표[기록 시간외],$M466))</f>
        <v/>
      </c>
      <c r="G466">
        <f>IF($M466="","",INDEX(상세표[시작월 기관],$M466)&amp;"")</f>
        <v/>
      </c>
      <c r="H466">
        <f>IF($M466="","",INDEX(상세표[종료월 기관],$M466)&amp;"")</f>
        <v/>
      </c>
      <c r="I466">
        <f>IF($M466="","",INDEX(상세표[월경계 판정],$M466)&amp;"")</f>
        <v/>
      </c>
      <c r="J466">
        <f>IF($M466="","",INDEX(상세표[반영월],$M466)&amp;"")</f>
        <v/>
      </c>
      <c r="K466">
        <f>IF($M466="","",INDEX(상세표[반영 기관],$M466)&amp;"")</f>
        <v/>
      </c>
      <c r="L466">
        <f>IF($M466="","",INDEX(상세표[기관 출처],$M466)&amp;"")</f>
        <v/>
      </c>
      <c r="M466" s="4">
        <f>IFERROR(MATCH(461,상세표[경계순번],0),"")</f>
        <v/>
      </c>
    </row>
    <row r="467">
      <c r="A467">
        <f>IF($M467="","",INDEX(상세표[사번],$M467)&amp;"")</f>
        <v/>
      </c>
      <c r="B467">
        <f>IF($M467="","",INDEX(상세표[성명],$M467)&amp;"")</f>
        <v/>
      </c>
      <c r="C467">
        <f>IF($M467="","",IF(INDEX(상세표[종료월],$M467)=대상월키,"전월→이번 달","이번 달→익월"))</f>
        <v/>
      </c>
      <c r="D467">
        <f>IF($M467="","",IF(ISNUMBER(INDEX(상세표[시작],$M467)),TEXT(INDEX(상세표[시작],$M467),"yyyy-mm-dd hh:mm"),INDEX(상세표[시작],$M467)&amp;""))</f>
        <v/>
      </c>
      <c r="E467">
        <f>IF($M467="","",IF(ISNUMBER(INDEX(상세표[종료],$M467)),TEXT(INDEX(상세표[종료],$M467),"yyyy-mm-dd hh:mm"),INDEX(상세표[종료],$M467)&amp;""))</f>
        <v/>
      </c>
      <c r="F467">
        <f>IF($M467="","",INDEX(상세표[기록 시간외],$M467))</f>
        <v/>
      </c>
      <c r="G467">
        <f>IF($M467="","",INDEX(상세표[시작월 기관],$M467)&amp;"")</f>
        <v/>
      </c>
      <c r="H467">
        <f>IF($M467="","",INDEX(상세표[종료월 기관],$M467)&amp;"")</f>
        <v/>
      </c>
      <c r="I467">
        <f>IF($M467="","",INDEX(상세표[월경계 판정],$M467)&amp;"")</f>
        <v/>
      </c>
      <c r="J467">
        <f>IF($M467="","",INDEX(상세표[반영월],$M467)&amp;"")</f>
        <v/>
      </c>
      <c r="K467">
        <f>IF($M467="","",INDEX(상세표[반영 기관],$M467)&amp;"")</f>
        <v/>
      </c>
      <c r="L467">
        <f>IF($M467="","",INDEX(상세표[기관 출처],$M467)&amp;"")</f>
        <v/>
      </c>
      <c r="M467" s="4">
        <f>IFERROR(MATCH(462,상세표[경계순번],0),"")</f>
        <v/>
      </c>
    </row>
    <row r="468">
      <c r="A468">
        <f>IF($M468="","",INDEX(상세표[사번],$M468)&amp;"")</f>
        <v/>
      </c>
      <c r="B468">
        <f>IF($M468="","",INDEX(상세표[성명],$M468)&amp;"")</f>
        <v/>
      </c>
      <c r="C468">
        <f>IF($M468="","",IF(INDEX(상세표[종료월],$M468)=대상월키,"전월→이번 달","이번 달→익월"))</f>
        <v/>
      </c>
      <c r="D468">
        <f>IF($M468="","",IF(ISNUMBER(INDEX(상세표[시작],$M468)),TEXT(INDEX(상세표[시작],$M468),"yyyy-mm-dd hh:mm"),INDEX(상세표[시작],$M468)&amp;""))</f>
        <v/>
      </c>
      <c r="E468">
        <f>IF($M468="","",IF(ISNUMBER(INDEX(상세표[종료],$M468)),TEXT(INDEX(상세표[종료],$M468),"yyyy-mm-dd hh:mm"),INDEX(상세표[종료],$M468)&amp;""))</f>
        <v/>
      </c>
      <c r="F468">
        <f>IF($M468="","",INDEX(상세표[기록 시간외],$M468))</f>
        <v/>
      </c>
      <c r="G468">
        <f>IF($M468="","",INDEX(상세표[시작월 기관],$M468)&amp;"")</f>
        <v/>
      </c>
      <c r="H468">
        <f>IF($M468="","",INDEX(상세표[종료월 기관],$M468)&amp;"")</f>
        <v/>
      </c>
      <c r="I468">
        <f>IF($M468="","",INDEX(상세표[월경계 판정],$M468)&amp;"")</f>
        <v/>
      </c>
      <c r="J468">
        <f>IF($M468="","",INDEX(상세표[반영월],$M468)&amp;"")</f>
        <v/>
      </c>
      <c r="K468">
        <f>IF($M468="","",INDEX(상세표[반영 기관],$M468)&amp;"")</f>
        <v/>
      </c>
      <c r="L468">
        <f>IF($M468="","",INDEX(상세표[기관 출처],$M468)&amp;"")</f>
        <v/>
      </c>
      <c r="M468" s="4">
        <f>IFERROR(MATCH(463,상세표[경계순번],0),"")</f>
        <v/>
      </c>
    </row>
    <row r="469">
      <c r="A469">
        <f>IF($M469="","",INDEX(상세표[사번],$M469)&amp;"")</f>
        <v/>
      </c>
      <c r="B469">
        <f>IF($M469="","",INDEX(상세표[성명],$M469)&amp;"")</f>
        <v/>
      </c>
      <c r="C469">
        <f>IF($M469="","",IF(INDEX(상세표[종료월],$M469)=대상월키,"전월→이번 달","이번 달→익월"))</f>
        <v/>
      </c>
      <c r="D469">
        <f>IF($M469="","",IF(ISNUMBER(INDEX(상세표[시작],$M469)),TEXT(INDEX(상세표[시작],$M469),"yyyy-mm-dd hh:mm"),INDEX(상세표[시작],$M469)&amp;""))</f>
        <v/>
      </c>
      <c r="E469">
        <f>IF($M469="","",IF(ISNUMBER(INDEX(상세표[종료],$M469)),TEXT(INDEX(상세표[종료],$M469),"yyyy-mm-dd hh:mm"),INDEX(상세표[종료],$M469)&amp;""))</f>
        <v/>
      </c>
      <c r="F469">
        <f>IF($M469="","",INDEX(상세표[기록 시간외],$M469))</f>
        <v/>
      </c>
      <c r="G469">
        <f>IF($M469="","",INDEX(상세표[시작월 기관],$M469)&amp;"")</f>
        <v/>
      </c>
      <c r="H469">
        <f>IF($M469="","",INDEX(상세표[종료월 기관],$M469)&amp;"")</f>
        <v/>
      </c>
      <c r="I469">
        <f>IF($M469="","",INDEX(상세표[월경계 판정],$M469)&amp;"")</f>
        <v/>
      </c>
      <c r="J469">
        <f>IF($M469="","",INDEX(상세표[반영월],$M469)&amp;"")</f>
        <v/>
      </c>
      <c r="K469">
        <f>IF($M469="","",INDEX(상세표[반영 기관],$M469)&amp;"")</f>
        <v/>
      </c>
      <c r="L469">
        <f>IF($M469="","",INDEX(상세표[기관 출처],$M469)&amp;"")</f>
        <v/>
      </c>
      <c r="M469" s="4">
        <f>IFERROR(MATCH(464,상세표[경계순번],0),"")</f>
        <v/>
      </c>
    </row>
    <row r="470">
      <c r="A470">
        <f>IF($M470="","",INDEX(상세표[사번],$M470)&amp;"")</f>
        <v/>
      </c>
      <c r="B470">
        <f>IF($M470="","",INDEX(상세표[성명],$M470)&amp;"")</f>
        <v/>
      </c>
      <c r="C470">
        <f>IF($M470="","",IF(INDEX(상세표[종료월],$M470)=대상월키,"전월→이번 달","이번 달→익월"))</f>
        <v/>
      </c>
      <c r="D470">
        <f>IF($M470="","",IF(ISNUMBER(INDEX(상세표[시작],$M470)),TEXT(INDEX(상세표[시작],$M470),"yyyy-mm-dd hh:mm"),INDEX(상세표[시작],$M470)&amp;""))</f>
        <v/>
      </c>
      <c r="E470">
        <f>IF($M470="","",IF(ISNUMBER(INDEX(상세표[종료],$M470)),TEXT(INDEX(상세표[종료],$M470),"yyyy-mm-dd hh:mm"),INDEX(상세표[종료],$M470)&amp;""))</f>
        <v/>
      </c>
      <c r="F470">
        <f>IF($M470="","",INDEX(상세표[기록 시간외],$M470))</f>
        <v/>
      </c>
      <c r="G470">
        <f>IF($M470="","",INDEX(상세표[시작월 기관],$M470)&amp;"")</f>
        <v/>
      </c>
      <c r="H470">
        <f>IF($M470="","",INDEX(상세표[종료월 기관],$M470)&amp;"")</f>
        <v/>
      </c>
      <c r="I470">
        <f>IF($M470="","",INDEX(상세표[월경계 판정],$M470)&amp;"")</f>
        <v/>
      </c>
      <c r="J470">
        <f>IF($M470="","",INDEX(상세표[반영월],$M470)&amp;"")</f>
        <v/>
      </c>
      <c r="K470">
        <f>IF($M470="","",INDEX(상세표[반영 기관],$M470)&amp;"")</f>
        <v/>
      </c>
      <c r="L470">
        <f>IF($M470="","",INDEX(상세표[기관 출처],$M470)&amp;"")</f>
        <v/>
      </c>
      <c r="M470" s="4">
        <f>IFERROR(MATCH(465,상세표[경계순번],0),"")</f>
        <v/>
      </c>
    </row>
    <row r="471">
      <c r="A471">
        <f>IF($M471="","",INDEX(상세표[사번],$M471)&amp;"")</f>
        <v/>
      </c>
      <c r="B471">
        <f>IF($M471="","",INDEX(상세표[성명],$M471)&amp;"")</f>
        <v/>
      </c>
      <c r="C471">
        <f>IF($M471="","",IF(INDEX(상세표[종료월],$M471)=대상월키,"전월→이번 달","이번 달→익월"))</f>
        <v/>
      </c>
      <c r="D471">
        <f>IF($M471="","",IF(ISNUMBER(INDEX(상세표[시작],$M471)),TEXT(INDEX(상세표[시작],$M471),"yyyy-mm-dd hh:mm"),INDEX(상세표[시작],$M471)&amp;""))</f>
        <v/>
      </c>
      <c r="E471">
        <f>IF($M471="","",IF(ISNUMBER(INDEX(상세표[종료],$M471)),TEXT(INDEX(상세표[종료],$M471),"yyyy-mm-dd hh:mm"),INDEX(상세표[종료],$M471)&amp;""))</f>
        <v/>
      </c>
      <c r="F471">
        <f>IF($M471="","",INDEX(상세표[기록 시간외],$M471))</f>
        <v/>
      </c>
      <c r="G471">
        <f>IF($M471="","",INDEX(상세표[시작월 기관],$M471)&amp;"")</f>
        <v/>
      </c>
      <c r="H471">
        <f>IF($M471="","",INDEX(상세표[종료월 기관],$M471)&amp;"")</f>
        <v/>
      </c>
      <c r="I471">
        <f>IF($M471="","",INDEX(상세표[월경계 판정],$M471)&amp;"")</f>
        <v/>
      </c>
      <c r="J471">
        <f>IF($M471="","",INDEX(상세표[반영월],$M471)&amp;"")</f>
        <v/>
      </c>
      <c r="K471">
        <f>IF($M471="","",INDEX(상세표[반영 기관],$M471)&amp;"")</f>
        <v/>
      </c>
      <c r="L471">
        <f>IF($M471="","",INDEX(상세표[기관 출처],$M471)&amp;"")</f>
        <v/>
      </c>
      <c r="M471" s="4">
        <f>IFERROR(MATCH(466,상세표[경계순번],0),"")</f>
        <v/>
      </c>
    </row>
    <row r="472">
      <c r="A472">
        <f>IF($M472="","",INDEX(상세표[사번],$M472)&amp;"")</f>
        <v/>
      </c>
      <c r="B472">
        <f>IF($M472="","",INDEX(상세표[성명],$M472)&amp;"")</f>
        <v/>
      </c>
      <c r="C472">
        <f>IF($M472="","",IF(INDEX(상세표[종료월],$M472)=대상월키,"전월→이번 달","이번 달→익월"))</f>
        <v/>
      </c>
      <c r="D472">
        <f>IF($M472="","",IF(ISNUMBER(INDEX(상세표[시작],$M472)),TEXT(INDEX(상세표[시작],$M472),"yyyy-mm-dd hh:mm"),INDEX(상세표[시작],$M472)&amp;""))</f>
        <v/>
      </c>
      <c r="E472">
        <f>IF($M472="","",IF(ISNUMBER(INDEX(상세표[종료],$M472)),TEXT(INDEX(상세표[종료],$M472),"yyyy-mm-dd hh:mm"),INDEX(상세표[종료],$M472)&amp;""))</f>
        <v/>
      </c>
      <c r="F472">
        <f>IF($M472="","",INDEX(상세표[기록 시간외],$M472))</f>
        <v/>
      </c>
      <c r="G472">
        <f>IF($M472="","",INDEX(상세표[시작월 기관],$M472)&amp;"")</f>
        <v/>
      </c>
      <c r="H472">
        <f>IF($M472="","",INDEX(상세표[종료월 기관],$M472)&amp;"")</f>
        <v/>
      </c>
      <c r="I472">
        <f>IF($M472="","",INDEX(상세표[월경계 판정],$M472)&amp;"")</f>
        <v/>
      </c>
      <c r="J472">
        <f>IF($M472="","",INDEX(상세표[반영월],$M472)&amp;"")</f>
        <v/>
      </c>
      <c r="K472">
        <f>IF($M472="","",INDEX(상세표[반영 기관],$M472)&amp;"")</f>
        <v/>
      </c>
      <c r="L472">
        <f>IF($M472="","",INDEX(상세표[기관 출처],$M472)&amp;"")</f>
        <v/>
      </c>
      <c r="M472" s="4">
        <f>IFERROR(MATCH(467,상세표[경계순번],0),"")</f>
        <v/>
      </c>
    </row>
    <row r="473">
      <c r="A473">
        <f>IF($M473="","",INDEX(상세표[사번],$M473)&amp;"")</f>
        <v/>
      </c>
      <c r="B473">
        <f>IF($M473="","",INDEX(상세표[성명],$M473)&amp;"")</f>
        <v/>
      </c>
      <c r="C473">
        <f>IF($M473="","",IF(INDEX(상세표[종료월],$M473)=대상월키,"전월→이번 달","이번 달→익월"))</f>
        <v/>
      </c>
      <c r="D473">
        <f>IF($M473="","",IF(ISNUMBER(INDEX(상세표[시작],$M473)),TEXT(INDEX(상세표[시작],$M473),"yyyy-mm-dd hh:mm"),INDEX(상세표[시작],$M473)&amp;""))</f>
        <v/>
      </c>
      <c r="E473">
        <f>IF($M473="","",IF(ISNUMBER(INDEX(상세표[종료],$M473)),TEXT(INDEX(상세표[종료],$M473),"yyyy-mm-dd hh:mm"),INDEX(상세표[종료],$M473)&amp;""))</f>
        <v/>
      </c>
      <c r="F473">
        <f>IF($M473="","",INDEX(상세표[기록 시간외],$M473))</f>
        <v/>
      </c>
      <c r="G473">
        <f>IF($M473="","",INDEX(상세표[시작월 기관],$M473)&amp;"")</f>
        <v/>
      </c>
      <c r="H473">
        <f>IF($M473="","",INDEX(상세표[종료월 기관],$M473)&amp;"")</f>
        <v/>
      </c>
      <c r="I473">
        <f>IF($M473="","",INDEX(상세표[월경계 판정],$M473)&amp;"")</f>
        <v/>
      </c>
      <c r="J473">
        <f>IF($M473="","",INDEX(상세표[반영월],$M473)&amp;"")</f>
        <v/>
      </c>
      <c r="K473">
        <f>IF($M473="","",INDEX(상세표[반영 기관],$M473)&amp;"")</f>
        <v/>
      </c>
      <c r="L473">
        <f>IF($M473="","",INDEX(상세표[기관 출처],$M473)&amp;"")</f>
        <v/>
      </c>
      <c r="M473" s="4">
        <f>IFERROR(MATCH(468,상세표[경계순번],0),"")</f>
        <v/>
      </c>
    </row>
    <row r="474">
      <c r="A474">
        <f>IF($M474="","",INDEX(상세표[사번],$M474)&amp;"")</f>
        <v/>
      </c>
      <c r="B474">
        <f>IF($M474="","",INDEX(상세표[성명],$M474)&amp;"")</f>
        <v/>
      </c>
      <c r="C474">
        <f>IF($M474="","",IF(INDEX(상세표[종료월],$M474)=대상월키,"전월→이번 달","이번 달→익월"))</f>
        <v/>
      </c>
      <c r="D474">
        <f>IF($M474="","",IF(ISNUMBER(INDEX(상세표[시작],$M474)),TEXT(INDEX(상세표[시작],$M474),"yyyy-mm-dd hh:mm"),INDEX(상세표[시작],$M474)&amp;""))</f>
        <v/>
      </c>
      <c r="E474">
        <f>IF($M474="","",IF(ISNUMBER(INDEX(상세표[종료],$M474)),TEXT(INDEX(상세표[종료],$M474),"yyyy-mm-dd hh:mm"),INDEX(상세표[종료],$M474)&amp;""))</f>
        <v/>
      </c>
      <c r="F474">
        <f>IF($M474="","",INDEX(상세표[기록 시간외],$M474))</f>
        <v/>
      </c>
      <c r="G474">
        <f>IF($M474="","",INDEX(상세표[시작월 기관],$M474)&amp;"")</f>
        <v/>
      </c>
      <c r="H474">
        <f>IF($M474="","",INDEX(상세표[종료월 기관],$M474)&amp;"")</f>
        <v/>
      </c>
      <c r="I474">
        <f>IF($M474="","",INDEX(상세표[월경계 판정],$M474)&amp;"")</f>
        <v/>
      </c>
      <c r="J474">
        <f>IF($M474="","",INDEX(상세표[반영월],$M474)&amp;"")</f>
        <v/>
      </c>
      <c r="K474">
        <f>IF($M474="","",INDEX(상세표[반영 기관],$M474)&amp;"")</f>
        <v/>
      </c>
      <c r="L474">
        <f>IF($M474="","",INDEX(상세표[기관 출처],$M474)&amp;"")</f>
        <v/>
      </c>
      <c r="M474" s="4">
        <f>IFERROR(MATCH(469,상세표[경계순번],0),"")</f>
        <v/>
      </c>
    </row>
    <row r="475">
      <c r="A475">
        <f>IF($M475="","",INDEX(상세표[사번],$M475)&amp;"")</f>
        <v/>
      </c>
      <c r="B475">
        <f>IF($M475="","",INDEX(상세표[성명],$M475)&amp;"")</f>
        <v/>
      </c>
      <c r="C475">
        <f>IF($M475="","",IF(INDEX(상세표[종료월],$M475)=대상월키,"전월→이번 달","이번 달→익월"))</f>
        <v/>
      </c>
      <c r="D475">
        <f>IF($M475="","",IF(ISNUMBER(INDEX(상세표[시작],$M475)),TEXT(INDEX(상세표[시작],$M475),"yyyy-mm-dd hh:mm"),INDEX(상세표[시작],$M475)&amp;""))</f>
        <v/>
      </c>
      <c r="E475">
        <f>IF($M475="","",IF(ISNUMBER(INDEX(상세표[종료],$M475)),TEXT(INDEX(상세표[종료],$M475),"yyyy-mm-dd hh:mm"),INDEX(상세표[종료],$M475)&amp;""))</f>
        <v/>
      </c>
      <c r="F475">
        <f>IF($M475="","",INDEX(상세표[기록 시간외],$M475))</f>
        <v/>
      </c>
      <c r="G475">
        <f>IF($M475="","",INDEX(상세표[시작월 기관],$M475)&amp;"")</f>
        <v/>
      </c>
      <c r="H475">
        <f>IF($M475="","",INDEX(상세표[종료월 기관],$M475)&amp;"")</f>
        <v/>
      </c>
      <c r="I475">
        <f>IF($M475="","",INDEX(상세표[월경계 판정],$M475)&amp;"")</f>
        <v/>
      </c>
      <c r="J475">
        <f>IF($M475="","",INDEX(상세표[반영월],$M475)&amp;"")</f>
        <v/>
      </c>
      <c r="K475">
        <f>IF($M475="","",INDEX(상세표[반영 기관],$M475)&amp;"")</f>
        <v/>
      </c>
      <c r="L475">
        <f>IF($M475="","",INDEX(상세표[기관 출처],$M475)&amp;"")</f>
        <v/>
      </c>
      <c r="M475" s="4">
        <f>IFERROR(MATCH(470,상세표[경계순번],0),"")</f>
        <v/>
      </c>
    </row>
    <row r="476">
      <c r="A476">
        <f>IF($M476="","",INDEX(상세표[사번],$M476)&amp;"")</f>
        <v/>
      </c>
      <c r="B476">
        <f>IF($M476="","",INDEX(상세표[성명],$M476)&amp;"")</f>
        <v/>
      </c>
      <c r="C476">
        <f>IF($M476="","",IF(INDEX(상세표[종료월],$M476)=대상월키,"전월→이번 달","이번 달→익월"))</f>
        <v/>
      </c>
      <c r="D476">
        <f>IF($M476="","",IF(ISNUMBER(INDEX(상세표[시작],$M476)),TEXT(INDEX(상세표[시작],$M476),"yyyy-mm-dd hh:mm"),INDEX(상세표[시작],$M476)&amp;""))</f>
        <v/>
      </c>
      <c r="E476">
        <f>IF($M476="","",IF(ISNUMBER(INDEX(상세표[종료],$M476)),TEXT(INDEX(상세표[종료],$M476),"yyyy-mm-dd hh:mm"),INDEX(상세표[종료],$M476)&amp;""))</f>
        <v/>
      </c>
      <c r="F476">
        <f>IF($M476="","",INDEX(상세표[기록 시간외],$M476))</f>
        <v/>
      </c>
      <c r="G476">
        <f>IF($M476="","",INDEX(상세표[시작월 기관],$M476)&amp;"")</f>
        <v/>
      </c>
      <c r="H476">
        <f>IF($M476="","",INDEX(상세표[종료월 기관],$M476)&amp;"")</f>
        <v/>
      </c>
      <c r="I476">
        <f>IF($M476="","",INDEX(상세표[월경계 판정],$M476)&amp;"")</f>
        <v/>
      </c>
      <c r="J476">
        <f>IF($M476="","",INDEX(상세표[반영월],$M476)&amp;"")</f>
        <v/>
      </c>
      <c r="K476">
        <f>IF($M476="","",INDEX(상세표[반영 기관],$M476)&amp;"")</f>
        <v/>
      </c>
      <c r="L476">
        <f>IF($M476="","",INDEX(상세표[기관 출처],$M476)&amp;"")</f>
        <v/>
      </c>
      <c r="M476" s="4">
        <f>IFERROR(MATCH(471,상세표[경계순번],0),"")</f>
        <v/>
      </c>
    </row>
    <row r="477">
      <c r="A477">
        <f>IF($M477="","",INDEX(상세표[사번],$M477)&amp;"")</f>
        <v/>
      </c>
      <c r="B477">
        <f>IF($M477="","",INDEX(상세표[성명],$M477)&amp;"")</f>
        <v/>
      </c>
      <c r="C477">
        <f>IF($M477="","",IF(INDEX(상세표[종료월],$M477)=대상월키,"전월→이번 달","이번 달→익월"))</f>
        <v/>
      </c>
      <c r="D477">
        <f>IF($M477="","",IF(ISNUMBER(INDEX(상세표[시작],$M477)),TEXT(INDEX(상세표[시작],$M477),"yyyy-mm-dd hh:mm"),INDEX(상세표[시작],$M477)&amp;""))</f>
        <v/>
      </c>
      <c r="E477">
        <f>IF($M477="","",IF(ISNUMBER(INDEX(상세표[종료],$M477)),TEXT(INDEX(상세표[종료],$M477),"yyyy-mm-dd hh:mm"),INDEX(상세표[종료],$M477)&amp;""))</f>
        <v/>
      </c>
      <c r="F477">
        <f>IF($M477="","",INDEX(상세표[기록 시간외],$M477))</f>
        <v/>
      </c>
      <c r="G477">
        <f>IF($M477="","",INDEX(상세표[시작월 기관],$M477)&amp;"")</f>
        <v/>
      </c>
      <c r="H477">
        <f>IF($M477="","",INDEX(상세표[종료월 기관],$M477)&amp;"")</f>
        <v/>
      </c>
      <c r="I477">
        <f>IF($M477="","",INDEX(상세표[월경계 판정],$M477)&amp;"")</f>
        <v/>
      </c>
      <c r="J477">
        <f>IF($M477="","",INDEX(상세표[반영월],$M477)&amp;"")</f>
        <v/>
      </c>
      <c r="K477">
        <f>IF($M477="","",INDEX(상세표[반영 기관],$M477)&amp;"")</f>
        <v/>
      </c>
      <c r="L477">
        <f>IF($M477="","",INDEX(상세표[기관 출처],$M477)&amp;"")</f>
        <v/>
      </c>
      <c r="M477" s="4">
        <f>IFERROR(MATCH(472,상세표[경계순번],0),"")</f>
        <v/>
      </c>
    </row>
    <row r="478">
      <c r="A478">
        <f>IF($M478="","",INDEX(상세표[사번],$M478)&amp;"")</f>
        <v/>
      </c>
      <c r="B478">
        <f>IF($M478="","",INDEX(상세표[성명],$M478)&amp;"")</f>
        <v/>
      </c>
      <c r="C478">
        <f>IF($M478="","",IF(INDEX(상세표[종료월],$M478)=대상월키,"전월→이번 달","이번 달→익월"))</f>
        <v/>
      </c>
      <c r="D478">
        <f>IF($M478="","",IF(ISNUMBER(INDEX(상세표[시작],$M478)),TEXT(INDEX(상세표[시작],$M478),"yyyy-mm-dd hh:mm"),INDEX(상세표[시작],$M478)&amp;""))</f>
        <v/>
      </c>
      <c r="E478">
        <f>IF($M478="","",IF(ISNUMBER(INDEX(상세표[종료],$M478)),TEXT(INDEX(상세표[종료],$M478),"yyyy-mm-dd hh:mm"),INDEX(상세표[종료],$M478)&amp;""))</f>
        <v/>
      </c>
      <c r="F478">
        <f>IF($M478="","",INDEX(상세표[기록 시간외],$M478))</f>
        <v/>
      </c>
      <c r="G478">
        <f>IF($M478="","",INDEX(상세표[시작월 기관],$M478)&amp;"")</f>
        <v/>
      </c>
      <c r="H478">
        <f>IF($M478="","",INDEX(상세표[종료월 기관],$M478)&amp;"")</f>
        <v/>
      </c>
      <c r="I478">
        <f>IF($M478="","",INDEX(상세표[월경계 판정],$M478)&amp;"")</f>
        <v/>
      </c>
      <c r="J478">
        <f>IF($M478="","",INDEX(상세표[반영월],$M478)&amp;"")</f>
        <v/>
      </c>
      <c r="K478">
        <f>IF($M478="","",INDEX(상세표[반영 기관],$M478)&amp;"")</f>
        <v/>
      </c>
      <c r="L478">
        <f>IF($M478="","",INDEX(상세표[기관 출처],$M478)&amp;"")</f>
        <v/>
      </c>
      <c r="M478" s="4">
        <f>IFERROR(MATCH(473,상세표[경계순번],0),"")</f>
        <v/>
      </c>
    </row>
    <row r="479">
      <c r="A479">
        <f>IF($M479="","",INDEX(상세표[사번],$M479)&amp;"")</f>
        <v/>
      </c>
      <c r="B479">
        <f>IF($M479="","",INDEX(상세표[성명],$M479)&amp;"")</f>
        <v/>
      </c>
      <c r="C479">
        <f>IF($M479="","",IF(INDEX(상세표[종료월],$M479)=대상월키,"전월→이번 달","이번 달→익월"))</f>
        <v/>
      </c>
      <c r="D479">
        <f>IF($M479="","",IF(ISNUMBER(INDEX(상세표[시작],$M479)),TEXT(INDEX(상세표[시작],$M479),"yyyy-mm-dd hh:mm"),INDEX(상세표[시작],$M479)&amp;""))</f>
        <v/>
      </c>
      <c r="E479">
        <f>IF($M479="","",IF(ISNUMBER(INDEX(상세표[종료],$M479)),TEXT(INDEX(상세표[종료],$M479),"yyyy-mm-dd hh:mm"),INDEX(상세표[종료],$M479)&amp;""))</f>
        <v/>
      </c>
      <c r="F479">
        <f>IF($M479="","",INDEX(상세표[기록 시간외],$M479))</f>
        <v/>
      </c>
      <c r="G479">
        <f>IF($M479="","",INDEX(상세표[시작월 기관],$M479)&amp;"")</f>
        <v/>
      </c>
      <c r="H479">
        <f>IF($M479="","",INDEX(상세표[종료월 기관],$M479)&amp;"")</f>
        <v/>
      </c>
      <c r="I479">
        <f>IF($M479="","",INDEX(상세표[월경계 판정],$M479)&amp;"")</f>
        <v/>
      </c>
      <c r="J479">
        <f>IF($M479="","",INDEX(상세표[반영월],$M479)&amp;"")</f>
        <v/>
      </c>
      <c r="K479">
        <f>IF($M479="","",INDEX(상세표[반영 기관],$M479)&amp;"")</f>
        <v/>
      </c>
      <c r="L479">
        <f>IF($M479="","",INDEX(상세표[기관 출처],$M479)&amp;"")</f>
        <v/>
      </c>
      <c r="M479" s="4">
        <f>IFERROR(MATCH(474,상세표[경계순번],0),"")</f>
        <v/>
      </c>
    </row>
    <row r="480">
      <c r="A480">
        <f>IF($M480="","",INDEX(상세표[사번],$M480)&amp;"")</f>
        <v/>
      </c>
      <c r="B480">
        <f>IF($M480="","",INDEX(상세표[성명],$M480)&amp;"")</f>
        <v/>
      </c>
      <c r="C480">
        <f>IF($M480="","",IF(INDEX(상세표[종료월],$M480)=대상월키,"전월→이번 달","이번 달→익월"))</f>
        <v/>
      </c>
      <c r="D480">
        <f>IF($M480="","",IF(ISNUMBER(INDEX(상세표[시작],$M480)),TEXT(INDEX(상세표[시작],$M480),"yyyy-mm-dd hh:mm"),INDEX(상세표[시작],$M480)&amp;""))</f>
        <v/>
      </c>
      <c r="E480">
        <f>IF($M480="","",IF(ISNUMBER(INDEX(상세표[종료],$M480)),TEXT(INDEX(상세표[종료],$M480),"yyyy-mm-dd hh:mm"),INDEX(상세표[종료],$M480)&amp;""))</f>
        <v/>
      </c>
      <c r="F480">
        <f>IF($M480="","",INDEX(상세표[기록 시간외],$M480))</f>
        <v/>
      </c>
      <c r="G480">
        <f>IF($M480="","",INDEX(상세표[시작월 기관],$M480)&amp;"")</f>
        <v/>
      </c>
      <c r="H480">
        <f>IF($M480="","",INDEX(상세표[종료월 기관],$M480)&amp;"")</f>
        <v/>
      </c>
      <c r="I480">
        <f>IF($M480="","",INDEX(상세표[월경계 판정],$M480)&amp;"")</f>
        <v/>
      </c>
      <c r="J480">
        <f>IF($M480="","",INDEX(상세표[반영월],$M480)&amp;"")</f>
        <v/>
      </c>
      <c r="K480">
        <f>IF($M480="","",INDEX(상세표[반영 기관],$M480)&amp;"")</f>
        <v/>
      </c>
      <c r="L480">
        <f>IF($M480="","",INDEX(상세표[기관 출처],$M480)&amp;"")</f>
        <v/>
      </c>
      <c r="M480" s="4">
        <f>IFERROR(MATCH(475,상세표[경계순번],0),"")</f>
        <v/>
      </c>
    </row>
    <row r="481">
      <c r="A481">
        <f>IF($M481="","",INDEX(상세표[사번],$M481)&amp;"")</f>
        <v/>
      </c>
      <c r="B481">
        <f>IF($M481="","",INDEX(상세표[성명],$M481)&amp;"")</f>
        <v/>
      </c>
      <c r="C481">
        <f>IF($M481="","",IF(INDEX(상세표[종료월],$M481)=대상월키,"전월→이번 달","이번 달→익월"))</f>
        <v/>
      </c>
      <c r="D481">
        <f>IF($M481="","",IF(ISNUMBER(INDEX(상세표[시작],$M481)),TEXT(INDEX(상세표[시작],$M481),"yyyy-mm-dd hh:mm"),INDEX(상세표[시작],$M481)&amp;""))</f>
        <v/>
      </c>
      <c r="E481">
        <f>IF($M481="","",IF(ISNUMBER(INDEX(상세표[종료],$M481)),TEXT(INDEX(상세표[종료],$M481),"yyyy-mm-dd hh:mm"),INDEX(상세표[종료],$M481)&amp;""))</f>
        <v/>
      </c>
      <c r="F481">
        <f>IF($M481="","",INDEX(상세표[기록 시간외],$M481))</f>
        <v/>
      </c>
      <c r="G481">
        <f>IF($M481="","",INDEX(상세표[시작월 기관],$M481)&amp;"")</f>
        <v/>
      </c>
      <c r="H481">
        <f>IF($M481="","",INDEX(상세표[종료월 기관],$M481)&amp;"")</f>
        <v/>
      </c>
      <c r="I481">
        <f>IF($M481="","",INDEX(상세표[월경계 판정],$M481)&amp;"")</f>
        <v/>
      </c>
      <c r="J481">
        <f>IF($M481="","",INDEX(상세표[반영월],$M481)&amp;"")</f>
        <v/>
      </c>
      <c r="K481">
        <f>IF($M481="","",INDEX(상세표[반영 기관],$M481)&amp;"")</f>
        <v/>
      </c>
      <c r="L481">
        <f>IF($M481="","",INDEX(상세표[기관 출처],$M481)&amp;"")</f>
        <v/>
      </c>
      <c r="M481" s="4">
        <f>IFERROR(MATCH(476,상세표[경계순번],0),"")</f>
        <v/>
      </c>
    </row>
    <row r="482">
      <c r="A482">
        <f>IF($M482="","",INDEX(상세표[사번],$M482)&amp;"")</f>
        <v/>
      </c>
      <c r="B482">
        <f>IF($M482="","",INDEX(상세표[성명],$M482)&amp;"")</f>
        <v/>
      </c>
      <c r="C482">
        <f>IF($M482="","",IF(INDEX(상세표[종료월],$M482)=대상월키,"전월→이번 달","이번 달→익월"))</f>
        <v/>
      </c>
      <c r="D482">
        <f>IF($M482="","",IF(ISNUMBER(INDEX(상세표[시작],$M482)),TEXT(INDEX(상세표[시작],$M482),"yyyy-mm-dd hh:mm"),INDEX(상세표[시작],$M482)&amp;""))</f>
        <v/>
      </c>
      <c r="E482">
        <f>IF($M482="","",IF(ISNUMBER(INDEX(상세표[종료],$M482)),TEXT(INDEX(상세표[종료],$M482),"yyyy-mm-dd hh:mm"),INDEX(상세표[종료],$M482)&amp;""))</f>
        <v/>
      </c>
      <c r="F482">
        <f>IF($M482="","",INDEX(상세표[기록 시간외],$M482))</f>
        <v/>
      </c>
      <c r="G482">
        <f>IF($M482="","",INDEX(상세표[시작월 기관],$M482)&amp;"")</f>
        <v/>
      </c>
      <c r="H482">
        <f>IF($M482="","",INDEX(상세표[종료월 기관],$M482)&amp;"")</f>
        <v/>
      </c>
      <c r="I482">
        <f>IF($M482="","",INDEX(상세표[월경계 판정],$M482)&amp;"")</f>
        <v/>
      </c>
      <c r="J482">
        <f>IF($M482="","",INDEX(상세표[반영월],$M482)&amp;"")</f>
        <v/>
      </c>
      <c r="K482">
        <f>IF($M482="","",INDEX(상세표[반영 기관],$M482)&amp;"")</f>
        <v/>
      </c>
      <c r="L482">
        <f>IF($M482="","",INDEX(상세표[기관 출처],$M482)&amp;"")</f>
        <v/>
      </c>
      <c r="M482" s="4">
        <f>IFERROR(MATCH(477,상세표[경계순번],0),"")</f>
        <v/>
      </c>
    </row>
    <row r="483">
      <c r="A483">
        <f>IF($M483="","",INDEX(상세표[사번],$M483)&amp;"")</f>
        <v/>
      </c>
      <c r="B483">
        <f>IF($M483="","",INDEX(상세표[성명],$M483)&amp;"")</f>
        <v/>
      </c>
      <c r="C483">
        <f>IF($M483="","",IF(INDEX(상세표[종료월],$M483)=대상월키,"전월→이번 달","이번 달→익월"))</f>
        <v/>
      </c>
      <c r="D483">
        <f>IF($M483="","",IF(ISNUMBER(INDEX(상세표[시작],$M483)),TEXT(INDEX(상세표[시작],$M483),"yyyy-mm-dd hh:mm"),INDEX(상세표[시작],$M483)&amp;""))</f>
        <v/>
      </c>
      <c r="E483">
        <f>IF($M483="","",IF(ISNUMBER(INDEX(상세표[종료],$M483)),TEXT(INDEX(상세표[종료],$M483),"yyyy-mm-dd hh:mm"),INDEX(상세표[종료],$M483)&amp;""))</f>
        <v/>
      </c>
      <c r="F483">
        <f>IF($M483="","",INDEX(상세표[기록 시간외],$M483))</f>
        <v/>
      </c>
      <c r="G483">
        <f>IF($M483="","",INDEX(상세표[시작월 기관],$M483)&amp;"")</f>
        <v/>
      </c>
      <c r="H483">
        <f>IF($M483="","",INDEX(상세표[종료월 기관],$M483)&amp;"")</f>
        <v/>
      </c>
      <c r="I483">
        <f>IF($M483="","",INDEX(상세표[월경계 판정],$M483)&amp;"")</f>
        <v/>
      </c>
      <c r="J483">
        <f>IF($M483="","",INDEX(상세표[반영월],$M483)&amp;"")</f>
        <v/>
      </c>
      <c r="K483">
        <f>IF($M483="","",INDEX(상세표[반영 기관],$M483)&amp;"")</f>
        <v/>
      </c>
      <c r="L483">
        <f>IF($M483="","",INDEX(상세표[기관 출처],$M483)&amp;"")</f>
        <v/>
      </c>
      <c r="M483" s="4">
        <f>IFERROR(MATCH(478,상세표[경계순번],0),"")</f>
        <v/>
      </c>
    </row>
    <row r="484">
      <c r="A484">
        <f>IF($M484="","",INDEX(상세표[사번],$M484)&amp;"")</f>
        <v/>
      </c>
      <c r="B484">
        <f>IF($M484="","",INDEX(상세표[성명],$M484)&amp;"")</f>
        <v/>
      </c>
      <c r="C484">
        <f>IF($M484="","",IF(INDEX(상세표[종료월],$M484)=대상월키,"전월→이번 달","이번 달→익월"))</f>
        <v/>
      </c>
      <c r="D484">
        <f>IF($M484="","",IF(ISNUMBER(INDEX(상세표[시작],$M484)),TEXT(INDEX(상세표[시작],$M484),"yyyy-mm-dd hh:mm"),INDEX(상세표[시작],$M484)&amp;""))</f>
        <v/>
      </c>
      <c r="E484">
        <f>IF($M484="","",IF(ISNUMBER(INDEX(상세표[종료],$M484)),TEXT(INDEX(상세표[종료],$M484),"yyyy-mm-dd hh:mm"),INDEX(상세표[종료],$M484)&amp;""))</f>
        <v/>
      </c>
      <c r="F484">
        <f>IF($M484="","",INDEX(상세표[기록 시간외],$M484))</f>
        <v/>
      </c>
      <c r="G484">
        <f>IF($M484="","",INDEX(상세표[시작월 기관],$M484)&amp;"")</f>
        <v/>
      </c>
      <c r="H484">
        <f>IF($M484="","",INDEX(상세표[종료월 기관],$M484)&amp;"")</f>
        <v/>
      </c>
      <c r="I484">
        <f>IF($M484="","",INDEX(상세표[월경계 판정],$M484)&amp;"")</f>
        <v/>
      </c>
      <c r="J484">
        <f>IF($M484="","",INDEX(상세표[반영월],$M484)&amp;"")</f>
        <v/>
      </c>
      <c r="K484">
        <f>IF($M484="","",INDEX(상세표[반영 기관],$M484)&amp;"")</f>
        <v/>
      </c>
      <c r="L484">
        <f>IF($M484="","",INDEX(상세표[기관 출처],$M484)&amp;"")</f>
        <v/>
      </c>
      <c r="M484" s="4">
        <f>IFERROR(MATCH(479,상세표[경계순번],0),"")</f>
        <v/>
      </c>
    </row>
    <row r="485">
      <c r="A485">
        <f>IF($M485="","",INDEX(상세표[사번],$M485)&amp;"")</f>
        <v/>
      </c>
      <c r="B485">
        <f>IF($M485="","",INDEX(상세표[성명],$M485)&amp;"")</f>
        <v/>
      </c>
      <c r="C485">
        <f>IF($M485="","",IF(INDEX(상세표[종료월],$M485)=대상월키,"전월→이번 달","이번 달→익월"))</f>
        <v/>
      </c>
      <c r="D485">
        <f>IF($M485="","",IF(ISNUMBER(INDEX(상세표[시작],$M485)),TEXT(INDEX(상세표[시작],$M485),"yyyy-mm-dd hh:mm"),INDEX(상세표[시작],$M485)&amp;""))</f>
        <v/>
      </c>
      <c r="E485">
        <f>IF($M485="","",IF(ISNUMBER(INDEX(상세표[종료],$M485)),TEXT(INDEX(상세표[종료],$M485),"yyyy-mm-dd hh:mm"),INDEX(상세표[종료],$M485)&amp;""))</f>
        <v/>
      </c>
      <c r="F485">
        <f>IF($M485="","",INDEX(상세표[기록 시간외],$M485))</f>
        <v/>
      </c>
      <c r="G485">
        <f>IF($M485="","",INDEX(상세표[시작월 기관],$M485)&amp;"")</f>
        <v/>
      </c>
      <c r="H485">
        <f>IF($M485="","",INDEX(상세표[종료월 기관],$M485)&amp;"")</f>
        <v/>
      </c>
      <c r="I485">
        <f>IF($M485="","",INDEX(상세표[월경계 판정],$M485)&amp;"")</f>
        <v/>
      </c>
      <c r="J485">
        <f>IF($M485="","",INDEX(상세표[반영월],$M485)&amp;"")</f>
        <v/>
      </c>
      <c r="K485">
        <f>IF($M485="","",INDEX(상세표[반영 기관],$M485)&amp;"")</f>
        <v/>
      </c>
      <c r="L485">
        <f>IF($M485="","",INDEX(상세표[기관 출처],$M485)&amp;"")</f>
        <v/>
      </c>
      <c r="M485" s="4">
        <f>IFERROR(MATCH(480,상세표[경계순번],0),"")</f>
        <v/>
      </c>
    </row>
    <row r="486">
      <c r="A486">
        <f>IF($M486="","",INDEX(상세표[사번],$M486)&amp;"")</f>
        <v/>
      </c>
      <c r="B486">
        <f>IF($M486="","",INDEX(상세표[성명],$M486)&amp;"")</f>
        <v/>
      </c>
      <c r="C486">
        <f>IF($M486="","",IF(INDEX(상세표[종료월],$M486)=대상월키,"전월→이번 달","이번 달→익월"))</f>
        <v/>
      </c>
      <c r="D486">
        <f>IF($M486="","",IF(ISNUMBER(INDEX(상세표[시작],$M486)),TEXT(INDEX(상세표[시작],$M486),"yyyy-mm-dd hh:mm"),INDEX(상세표[시작],$M486)&amp;""))</f>
        <v/>
      </c>
      <c r="E486">
        <f>IF($M486="","",IF(ISNUMBER(INDEX(상세표[종료],$M486)),TEXT(INDEX(상세표[종료],$M486),"yyyy-mm-dd hh:mm"),INDEX(상세표[종료],$M486)&amp;""))</f>
        <v/>
      </c>
      <c r="F486">
        <f>IF($M486="","",INDEX(상세표[기록 시간외],$M486))</f>
        <v/>
      </c>
      <c r="G486">
        <f>IF($M486="","",INDEX(상세표[시작월 기관],$M486)&amp;"")</f>
        <v/>
      </c>
      <c r="H486">
        <f>IF($M486="","",INDEX(상세표[종료월 기관],$M486)&amp;"")</f>
        <v/>
      </c>
      <c r="I486">
        <f>IF($M486="","",INDEX(상세표[월경계 판정],$M486)&amp;"")</f>
        <v/>
      </c>
      <c r="J486">
        <f>IF($M486="","",INDEX(상세표[반영월],$M486)&amp;"")</f>
        <v/>
      </c>
      <c r="K486">
        <f>IF($M486="","",INDEX(상세표[반영 기관],$M486)&amp;"")</f>
        <v/>
      </c>
      <c r="L486">
        <f>IF($M486="","",INDEX(상세표[기관 출처],$M486)&amp;"")</f>
        <v/>
      </c>
      <c r="M486" s="4">
        <f>IFERROR(MATCH(481,상세표[경계순번],0),"")</f>
        <v/>
      </c>
    </row>
    <row r="487">
      <c r="A487">
        <f>IF($M487="","",INDEX(상세표[사번],$M487)&amp;"")</f>
        <v/>
      </c>
      <c r="B487">
        <f>IF($M487="","",INDEX(상세표[성명],$M487)&amp;"")</f>
        <v/>
      </c>
      <c r="C487">
        <f>IF($M487="","",IF(INDEX(상세표[종료월],$M487)=대상월키,"전월→이번 달","이번 달→익월"))</f>
        <v/>
      </c>
      <c r="D487">
        <f>IF($M487="","",IF(ISNUMBER(INDEX(상세표[시작],$M487)),TEXT(INDEX(상세표[시작],$M487),"yyyy-mm-dd hh:mm"),INDEX(상세표[시작],$M487)&amp;""))</f>
        <v/>
      </c>
      <c r="E487">
        <f>IF($M487="","",IF(ISNUMBER(INDEX(상세표[종료],$M487)),TEXT(INDEX(상세표[종료],$M487),"yyyy-mm-dd hh:mm"),INDEX(상세표[종료],$M487)&amp;""))</f>
        <v/>
      </c>
      <c r="F487">
        <f>IF($M487="","",INDEX(상세표[기록 시간외],$M487))</f>
        <v/>
      </c>
      <c r="G487">
        <f>IF($M487="","",INDEX(상세표[시작월 기관],$M487)&amp;"")</f>
        <v/>
      </c>
      <c r="H487">
        <f>IF($M487="","",INDEX(상세표[종료월 기관],$M487)&amp;"")</f>
        <v/>
      </c>
      <c r="I487">
        <f>IF($M487="","",INDEX(상세표[월경계 판정],$M487)&amp;"")</f>
        <v/>
      </c>
      <c r="J487">
        <f>IF($M487="","",INDEX(상세표[반영월],$M487)&amp;"")</f>
        <v/>
      </c>
      <c r="K487">
        <f>IF($M487="","",INDEX(상세표[반영 기관],$M487)&amp;"")</f>
        <v/>
      </c>
      <c r="L487">
        <f>IF($M487="","",INDEX(상세표[기관 출처],$M487)&amp;"")</f>
        <v/>
      </c>
      <c r="M487" s="4">
        <f>IFERROR(MATCH(482,상세표[경계순번],0),"")</f>
        <v/>
      </c>
    </row>
    <row r="488">
      <c r="A488">
        <f>IF($M488="","",INDEX(상세표[사번],$M488)&amp;"")</f>
        <v/>
      </c>
      <c r="B488">
        <f>IF($M488="","",INDEX(상세표[성명],$M488)&amp;"")</f>
        <v/>
      </c>
      <c r="C488">
        <f>IF($M488="","",IF(INDEX(상세표[종료월],$M488)=대상월키,"전월→이번 달","이번 달→익월"))</f>
        <v/>
      </c>
      <c r="D488">
        <f>IF($M488="","",IF(ISNUMBER(INDEX(상세표[시작],$M488)),TEXT(INDEX(상세표[시작],$M488),"yyyy-mm-dd hh:mm"),INDEX(상세표[시작],$M488)&amp;""))</f>
        <v/>
      </c>
      <c r="E488">
        <f>IF($M488="","",IF(ISNUMBER(INDEX(상세표[종료],$M488)),TEXT(INDEX(상세표[종료],$M488),"yyyy-mm-dd hh:mm"),INDEX(상세표[종료],$M488)&amp;""))</f>
        <v/>
      </c>
      <c r="F488">
        <f>IF($M488="","",INDEX(상세표[기록 시간외],$M488))</f>
        <v/>
      </c>
      <c r="G488">
        <f>IF($M488="","",INDEX(상세표[시작월 기관],$M488)&amp;"")</f>
        <v/>
      </c>
      <c r="H488">
        <f>IF($M488="","",INDEX(상세표[종료월 기관],$M488)&amp;"")</f>
        <v/>
      </c>
      <c r="I488">
        <f>IF($M488="","",INDEX(상세표[월경계 판정],$M488)&amp;"")</f>
        <v/>
      </c>
      <c r="J488">
        <f>IF($M488="","",INDEX(상세표[반영월],$M488)&amp;"")</f>
        <v/>
      </c>
      <c r="K488">
        <f>IF($M488="","",INDEX(상세표[반영 기관],$M488)&amp;"")</f>
        <v/>
      </c>
      <c r="L488">
        <f>IF($M488="","",INDEX(상세표[기관 출처],$M488)&amp;"")</f>
        <v/>
      </c>
      <c r="M488" s="4">
        <f>IFERROR(MATCH(483,상세표[경계순번],0),"")</f>
        <v/>
      </c>
    </row>
    <row r="489">
      <c r="A489">
        <f>IF($M489="","",INDEX(상세표[사번],$M489)&amp;"")</f>
        <v/>
      </c>
      <c r="B489">
        <f>IF($M489="","",INDEX(상세표[성명],$M489)&amp;"")</f>
        <v/>
      </c>
      <c r="C489">
        <f>IF($M489="","",IF(INDEX(상세표[종료월],$M489)=대상월키,"전월→이번 달","이번 달→익월"))</f>
        <v/>
      </c>
      <c r="D489">
        <f>IF($M489="","",IF(ISNUMBER(INDEX(상세표[시작],$M489)),TEXT(INDEX(상세표[시작],$M489),"yyyy-mm-dd hh:mm"),INDEX(상세표[시작],$M489)&amp;""))</f>
        <v/>
      </c>
      <c r="E489">
        <f>IF($M489="","",IF(ISNUMBER(INDEX(상세표[종료],$M489)),TEXT(INDEX(상세표[종료],$M489),"yyyy-mm-dd hh:mm"),INDEX(상세표[종료],$M489)&amp;""))</f>
        <v/>
      </c>
      <c r="F489">
        <f>IF($M489="","",INDEX(상세표[기록 시간외],$M489))</f>
        <v/>
      </c>
      <c r="G489">
        <f>IF($M489="","",INDEX(상세표[시작월 기관],$M489)&amp;"")</f>
        <v/>
      </c>
      <c r="H489">
        <f>IF($M489="","",INDEX(상세표[종료월 기관],$M489)&amp;"")</f>
        <v/>
      </c>
      <c r="I489">
        <f>IF($M489="","",INDEX(상세표[월경계 판정],$M489)&amp;"")</f>
        <v/>
      </c>
      <c r="J489">
        <f>IF($M489="","",INDEX(상세표[반영월],$M489)&amp;"")</f>
        <v/>
      </c>
      <c r="K489">
        <f>IF($M489="","",INDEX(상세표[반영 기관],$M489)&amp;"")</f>
        <v/>
      </c>
      <c r="L489">
        <f>IF($M489="","",INDEX(상세표[기관 출처],$M489)&amp;"")</f>
        <v/>
      </c>
      <c r="M489" s="4">
        <f>IFERROR(MATCH(484,상세표[경계순번],0),"")</f>
        <v/>
      </c>
    </row>
    <row r="490">
      <c r="A490">
        <f>IF($M490="","",INDEX(상세표[사번],$M490)&amp;"")</f>
        <v/>
      </c>
      <c r="B490">
        <f>IF($M490="","",INDEX(상세표[성명],$M490)&amp;"")</f>
        <v/>
      </c>
      <c r="C490">
        <f>IF($M490="","",IF(INDEX(상세표[종료월],$M490)=대상월키,"전월→이번 달","이번 달→익월"))</f>
        <v/>
      </c>
      <c r="D490">
        <f>IF($M490="","",IF(ISNUMBER(INDEX(상세표[시작],$M490)),TEXT(INDEX(상세표[시작],$M490),"yyyy-mm-dd hh:mm"),INDEX(상세표[시작],$M490)&amp;""))</f>
        <v/>
      </c>
      <c r="E490">
        <f>IF($M490="","",IF(ISNUMBER(INDEX(상세표[종료],$M490)),TEXT(INDEX(상세표[종료],$M490),"yyyy-mm-dd hh:mm"),INDEX(상세표[종료],$M490)&amp;""))</f>
        <v/>
      </c>
      <c r="F490">
        <f>IF($M490="","",INDEX(상세표[기록 시간외],$M490))</f>
        <v/>
      </c>
      <c r="G490">
        <f>IF($M490="","",INDEX(상세표[시작월 기관],$M490)&amp;"")</f>
        <v/>
      </c>
      <c r="H490">
        <f>IF($M490="","",INDEX(상세표[종료월 기관],$M490)&amp;"")</f>
        <v/>
      </c>
      <c r="I490">
        <f>IF($M490="","",INDEX(상세표[월경계 판정],$M490)&amp;"")</f>
        <v/>
      </c>
      <c r="J490">
        <f>IF($M490="","",INDEX(상세표[반영월],$M490)&amp;"")</f>
        <v/>
      </c>
      <c r="K490">
        <f>IF($M490="","",INDEX(상세표[반영 기관],$M490)&amp;"")</f>
        <v/>
      </c>
      <c r="L490">
        <f>IF($M490="","",INDEX(상세표[기관 출처],$M490)&amp;"")</f>
        <v/>
      </c>
      <c r="M490" s="4">
        <f>IFERROR(MATCH(485,상세표[경계순번],0),"")</f>
        <v/>
      </c>
    </row>
    <row r="491">
      <c r="A491">
        <f>IF($M491="","",INDEX(상세표[사번],$M491)&amp;"")</f>
        <v/>
      </c>
      <c r="B491">
        <f>IF($M491="","",INDEX(상세표[성명],$M491)&amp;"")</f>
        <v/>
      </c>
      <c r="C491">
        <f>IF($M491="","",IF(INDEX(상세표[종료월],$M491)=대상월키,"전월→이번 달","이번 달→익월"))</f>
        <v/>
      </c>
      <c r="D491">
        <f>IF($M491="","",IF(ISNUMBER(INDEX(상세표[시작],$M491)),TEXT(INDEX(상세표[시작],$M491),"yyyy-mm-dd hh:mm"),INDEX(상세표[시작],$M491)&amp;""))</f>
        <v/>
      </c>
      <c r="E491">
        <f>IF($M491="","",IF(ISNUMBER(INDEX(상세표[종료],$M491)),TEXT(INDEX(상세표[종료],$M491),"yyyy-mm-dd hh:mm"),INDEX(상세표[종료],$M491)&amp;""))</f>
        <v/>
      </c>
      <c r="F491">
        <f>IF($M491="","",INDEX(상세표[기록 시간외],$M491))</f>
        <v/>
      </c>
      <c r="G491">
        <f>IF($M491="","",INDEX(상세표[시작월 기관],$M491)&amp;"")</f>
        <v/>
      </c>
      <c r="H491">
        <f>IF($M491="","",INDEX(상세표[종료월 기관],$M491)&amp;"")</f>
        <v/>
      </c>
      <c r="I491">
        <f>IF($M491="","",INDEX(상세표[월경계 판정],$M491)&amp;"")</f>
        <v/>
      </c>
      <c r="J491">
        <f>IF($M491="","",INDEX(상세표[반영월],$M491)&amp;"")</f>
        <v/>
      </c>
      <c r="K491">
        <f>IF($M491="","",INDEX(상세표[반영 기관],$M491)&amp;"")</f>
        <v/>
      </c>
      <c r="L491">
        <f>IF($M491="","",INDEX(상세표[기관 출처],$M491)&amp;"")</f>
        <v/>
      </c>
      <c r="M491" s="4">
        <f>IFERROR(MATCH(486,상세표[경계순번],0),"")</f>
        <v/>
      </c>
    </row>
    <row r="492">
      <c r="A492">
        <f>IF($M492="","",INDEX(상세표[사번],$M492)&amp;"")</f>
        <v/>
      </c>
      <c r="B492">
        <f>IF($M492="","",INDEX(상세표[성명],$M492)&amp;"")</f>
        <v/>
      </c>
      <c r="C492">
        <f>IF($M492="","",IF(INDEX(상세표[종료월],$M492)=대상월키,"전월→이번 달","이번 달→익월"))</f>
        <v/>
      </c>
      <c r="D492">
        <f>IF($M492="","",IF(ISNUMBER(INDEX(상세표[시작],$M492)),TEXT(INDEX(상세표[시작],$M492),"yyyy-mm-dd hh:mm"),INDEX(상세표[시작],$M492)&amp;""))</f>
        <v/>
      </c>
      <c r="E492">
        <f>IF($M492="","",IF(ISNUMBER(INDEX(상세표[종료],$M492)),TEXT(INDEX(상세표[종료],$M492),"yyyy-mm-dd hh:mm"),INDEX(상세표[종료],$M492)&amp;""))</f>
        <v/>
      </c>
      <c r="F492">
        <f>IF($M492="","",INDEX(상세표[기록 시간외],$M492))</f>
        <v/>
      </c>
      <c r="G492">
        <f>IF($M492="","",INDEX(상세표[시작월 기관],$M492)&amp;"")</f>
        <v/>
      </c>
      <c r="H492">
        <f>IF($M492="","",INDEX(상세표[종료월 기관],$M492)&amp;"")</f>
        <v/>
      </c>
      <c r="I492">
        <f>IF($M492="","",INDEX(상세표[월경계 판정],$M492)&amp;"")</f>
        <v/>
      </c>
      <c r="J492">
        <f>IF($M492="","",INDEX(상세표[반영월],$M492)&amp;"")</f>
        <v/>
      </c>
      <c r="K492">
        <f>IF($M492="","",INDEX(상세표[반영 기관],$M492)&amp;"")</f>
        <v/>
      </c>
      <c r="L492">
        <f>IF($M492="","",INDEX(상세표[기관 출처],$M492)&amp;"")</f>
        <v/>
      </c>
      <c r="M492" s="4">
        <f>IFERROR(MATCH(487,상세표[경계순번],0),"")</f>
        <v/>
      </c>
    </row>
    <row r="493">
      <c r="A493">
        <f>IF($M493="","",INDEX(상세표[사번],$M493)&amp;"")</f>
        <v/>
      </c>
      <c r="B493">
        <f>IF($M493="","",INDEX(상세표[성명],$M493)&amp;"")</f>
        <v/>
      </c>
      <c r="C493">
        <f>IF($M493="","",IF(INDEX(상세표[종료월],$M493)=대상월키,"전월→이번 달","이번 달→익월"))</f>
        <v/>
      </c>
      <c r="D493">
        <f>IF($M493="","",IF(ISNUMBER(INDEX(상세표[시작],$M493)),TEXT(INDEX(상세표[시작],$M493),"yyyy-mm-dd hh:mm"),INDEX(상세표[시작],$M493)&amp;""))</f>
        <v/>
      </c>
      <c r="E493">
        <f>IF($M493="","",IF(ISNUMBER(INDEX(상세표[종료],$M493)),TEXT(INDEX(상세표[종료],$M493),"yyyy-mm-dd hh:mm"),INDEX(상세표[종료],$M493)&amp;""))</f>
        <v/>
      </c>
      <c r="F493">
        <f>IF($M493="","",INDEX(상세표[기록 시간외],$M493))</f>
        <v/>
      </c>
      <c r="G493">
        <f>IF($M493="","",INDEX(상세표[시작월 기관],$M493)&amp;"")</f>
        <v/>
      </c>
      <c r="H493">
        <f>IF($M493="","",INDEX(상세표[종료월 기관],$M493)&amp;"")</f>
        <v/>
      </c>
      <c r="I493">
        <f>IF($M493="","",INDEX(상세표[월경계 판정],$M493)&amp;"")</f>
        <v/>
      </c>
      <c r="J493">
        <f>IF($M493="","",INDEX(상세표[반영월],$M493)&amp;"")</f>
        <v/>
      </c>
      <c r="K493">
        <f>IF($M493="","",INDEX(상세표[반영 기관],$M493)&amp;"")</f>
        <v/>
      </c>
      <c r="L493">
        <f>IF($M493="","",INDEX(상세표[기관 출처],$M493)&amp;"")</f>
        <v/>
      </c>
      <c r="M493" s="4">
        <f>IFERROR(MATCH(488,상세표[경계순번],0),"")</f>
        <v/>
      </c>
    </row>
    <row r="494">
      <c r="A494">
        <f>IF($M494="","",INDEX(상세표[사번],$M494)&amp;"")</f>
        <v/>
      </c>
      <c r="B494">
        <f>IF($M494="","",INDEX(상세표[성명],$M494)&amp;"")</f>
        <v/>
      </c>
      <c r="C494">
        <f>IF($M494="","",IF(INDEX(상세표[종료월],$M494)=대상월키,"전월→이번 달","이번 달→익월"))</f>
        <v/>
      </c>
      <c r="D494">
        <f>IF($M494="","",IF(ISNUMBER(INDEX(상세표[시작],$M494)),TEXT(INDEX(상세표[시작],$M494),"yyyy-mm-dd hh:mm"),INDEX(상세표[시작],$M494)&amp;""))</f>
        <v/>
      </c>
      <c r="E494">
        <f>IF($M494="","",IF(ISNUMBER(INDEX(상세표[종료],$M494)),TEXT(INDEX(상세표[종료],$M494),"yyyy-mm-dd hh:mm"),INDEX(상세표[종료],$M494)&amp;""))</f>
        <v/>
      </c>
      <c r="F494">
        <f>IF($M494="","",INDEX(상세표[기록 시간외],$M494))</f>
        <v/>
      </c>
      <c r="G494">
        <f>IF($M494="","",INDEX(상세표[시작월 기관],$M494)&amp;"")</f>
        <v/>
      </c>
      <c r="H494">
        <f>IF($M494="","",INDEX(상세표[종료월 기관],$M494)&amp;"")</f>
        <v/>
      </c>
      <c r="I494">
        <f>IF($M494="","",INDEX(상세표[월경계 판정],$M494)&amp;"")</f>
        <v/>
      </c>
      <c r="J494">
        <f>IF($M494="","",INDEX(상세표[반영월],$M494)&amp;"")</f>
        <v/>
      </c>
      <c r="K494">
        <f>IF($M494="","",INDEX(상세표[반영 기관],$M494)&amp;"")</f>
        <v/>
      </c>
      <c r="L494">
        <f>IF($M494="","",INDEX(상세표[기관 출처],$M494)&amp;"")</f>
        <v/>
      </c>
      <c r="M494" s="4">
        <f>IFERROR(MATCH(489,상세표[경계순번],0),"")</f>
        <v/>
      </c>
    </row>
    <row r="495">
      <c r="A495">
        <f>IF($M495="","",INDEX(상세표[사번],$M495)&amp;"")</f>
        <v/>
      </c>
      <c r="B495">
        <f>IF($M495="","",INDEX(상세표[성명],$M495)&amp;"")</f>
        <v/>
      </c>
      <c r="C495">
        <f>IF($M495="","",IF(INDEX(상세표[종료월],$M495)=대상월키,"전월→이번 달","이번 달→익월"))</f>
        <v/>
      </c>
      <c r="D495">
        <f>IF($M495="","",IF(ISNUMBER(INDEX(상세표[시작],$M495)),TEXT(INDEX(상세표[시작],$M495),"yyyy-mm-dd hh:mm"),INDEX(상세표[시작],$M495)&amp;""))</f>
        <v/>
      </c>
      <c r="E495">
        <f>IF($M495="","",IF(ISNUMBER(INDEX(상세표[종료],$M495)),TEXT(INDEX(상세표[종료],$M495),"yyyy-mm-dd hh:mm"),INDEX(상세표[종료],$M495)&amp;""))</f>
        <v/>
      </c>
      <c r="F495">
        <f>IF($M495="","",INDEX(상세표[기록 시간외],$M495))</f>
        <v/>
      </c>
      <c r="G495">
        <f>IF($M495="","",INDEX(상세표[시작월 기관],$M495)&amp;"")</f>
        <v/>
      </c>
      <c r="H495">
        <f>IF($M495="","",INDEX(상세표[종료월 기관],$M495)&amp;"")</f>
        <v/>
      </c>
      <c r="I495">
        <f>IF($M495="","",INDEX(상세표[월경계 판정],$M495)&amp;"")</f>
        <v/>
      </c>
      <c r="J495">
        <f>IF($M495="","",INDEX(상세표[반영월],$M495)&amp;"")</f>
        <v/>
      </c>
      <c r="K495">
        <f>IF($M495="","",INDEX(상세표[반영 기관],$M495)&amp;"")</f>
        <v/>
      </c>
      <c r="L495">
        <f>IF($M495="","",INDEX(상세표[기관 출처],$M495)&amp;"")</f>
        <v/>
      </c>
      <c r="M495" s="4">
        <f>IFERROR(MATCH(490,상세표[경계순번],0),"")</f>
        <v/>
      </c>
    </row>
    <row r="496">
      <c r="A496">
        <f>IF($M496="","",INDEX(상세표[사번],$M496)&amp;"")</f>
        <v/>
      </c>
      <c r="B496">
        <f>IF($M496="","",INDEX(상세표[성명],$M496)&amp;"")</f>
        <v/>
      </c>
      <c r="C496">
        <f>IF($M496="","",IF(INDEX(상세표[종료월],$M496)=대상월키,"전월→이번 달","이번 달→익월"))</f>
        <v/>
      </c>
      <c r="D496">
        <f>IF($M496="","",IF(ISNUMBER(INDEX(상세표[시작],$M496)),TEXT(INDEX(상세표[시작],$M496),"yyyy-mm-dd hh:mm"),INDEX(상세표[시작],$M496)&amp;""))</f>
        <v/>
      </c>
      <c r="E496">
        <f>IF($M496="","",IF(ISNUMBER(INDEX(상세표[종료],$M496)),TEXT(INDEX(상세표[종료],$M496),"yyyy-mm-dd hh:mm"),INDEX(상세표[종료],$M496)&amp;""))</f>
        <v/>
      </c>
      <c r="F496">
        <f>IF($M496="","",INDEX(상세표[기록 시간외],$M496))</f>
        <v/>
      </c>
      <c r="G496">
        <f>IF($M496="","",INDEX(상세표[시작월 기관],$M496)&amp;"")</f>
        <v/>
      </c>
      <c r="H496">
        <f>IF($M496="","",INDEX(상세표[종료월 기관],$M496)&amp;"")</f>
        <v/>
      </c>
      <c r="I496">
        <f>IF($M496="","",INDEX(상세표[월경계 판정],$M496)&amp;"")</f>
        <v/>
      </c>
      <c r="J496">
        <f>IF($M496="","",INDEX(상세표[반영월],$M496)&amp;"")</f>
        <v/>
      </c>
      <c r="K496">
        <f>IF($M496="","",INDEX(상세표[반영 기관],$M496)&amp;"")</f>
        <v/>
      </c>
      <c r="L496">
        <f>IF($M496="","",INDEX(상세표[기관 출처],$M496)&amp;"")</f>
        <v/>
      </c>
      <c r="M496" s="4">
        <f>IFERROR(MATCH(491,상세표[경계순번],0),"")</f>
        <v/>
      </c>
    </row>
    <row r="497">
      <c r="A497">
        <f>IF($M497="","",INDEX(상세표[사번],$M497)&amp;"")</f>
        <v/>
      </c>
      <c r="B497">
        <f>IF($M497="","",INDEX(상세표[성명],$M497)&amp;"")</f>
        <v/>
      </c>
      <c r="C497">
        <f>IF($M497="","",IF(INDEX(상세표[종료월],$M497)=대상월키,"전월→이번 달","이번 달→익월"))</f>
        <v/>
      </c>
      <c r="D497">
        <f>IF($M497="","",IF(ISNUMBER(INDEX(상세표[시작],$M497)),TEXT(INDEX(상세표[시작],$M497),"yyyy-mm-dd hh:mm"),INDEX(상세표[시작],$M497)&amp;""))</f>
        <v/>
      </c>
      <c r="E497">
        <f>IF($M497="","",IF(ISNUMBER(INDEX(상세표[종료],$M497)),TEXT(INDEX(상세표[종료],$M497),"yyyy-mm-dd hh:mm"),INDEX(상세표[종료],$M497)&amp;""))</f>
        <v/>
      </c>
      <c r="F497">
        <f>IF($M497="","",INDEX(상세표[기록 시간외],$M497))</f>
        <v/>
      </c>
      <c r="G497">
        <f>IF($M497="","",INDEX(상세표[시작월 기관],$M497)&amp;"")</f>
        <v/>
      </c>
      <c r="H497">
        <f>IF($M497="","",INDEX(상세표[종료월 기관],$M497)&amp;"")</f>
        <v/>
      </c>
      <c r="I497">
        <f>IF($M497="","",INDEX(상세표[월경계 판정],$M497)&amp;"")</f>
        <v/>
      </c>
      <c r="J497">
        <f>IF($M497="","",INDEX(상세표[반영월],$M497)&amp;"")</f>
        <v/>
      </c>
      <c r="K497">
        <f>IF($M497="","",INDEX(상세표[반영 기관],$M497)&amp;"")</f>
        <v/>
      </c>
      <c r="L497">
        <f>IF($M497="","",INDEX(상세표[기관 출처],$M497)&amp;"")</f>
        <v/>
      </c>
      <c r="M497" s="4">
        <f>IFERROR(MATCH(492,상세표[경계순번],0),"")</f>
        <v/>
      </c>
    </row>
    <row r="498">
      <c r="A498">
        <f>IF($M498="","",INDEX(상세표[사번],$M498)&amp;"")</f>
        <v/>
      </c>
      <c r="B498">
        <f>IF($M498="","",INDEX(상세표[성명],$M498)&amp;"")</f>
        <v/>
      </c>
      <c r="C498">
        <f>IF($M498="","",IF(INDEX(상세표[종료월],$M498)=대상월키,"전월→이번 달","이번 달→익월"))</f>
        <v/>
      </c>
      <c r="D498">
        <f>IF($M498="","",IF(ISNUMBER(INDEX(상세표[시작],$M498)),TEXT(INDEX(상세표[시작],$M498),"yyyy-mm-dd hh:mm"),INDEX(상세표[시작],$M498)&amp;""))</f>
        <v/>
      </c>
      <c r="E498">
        <f>IF($M498="","",IF(ISNUMBER(INDEX(상세표[종료],$M498)),TEXT(INDEX(상세표[종료],$M498),"yyyy-mm-dd hh:mm"),INDEX(상세표[종료],$M498)&amp;""))</f>
        <v/>
      </c>
      <c r="F498">
        <f>IF($M498="","",INDEX(상세표[기록 시간외],$M498))</f>
        <v/>
      </c>
      <c r="G498">
        <f>IF($M498="","",INDEX(상세표[시작월 기관],$M498)&amp;"")</f>
        <v/>
      </c>
      <c r="H498">
        <f>IF($M498="","",INDEX(상세표[종료월 기관],$M498)&amp;"")</f>
        <v/>
      </c>
      <c r="I498">
        <f>IF($M498="","",INDEX(상세표[월경계 판정],$M498)&amp;"")</f>
        <v/>
      </c>
      <c r="J498">
        <f>IF($M498="","",INDEX(상세표[반영월],$M498)&amp;"")</f>
        <v/>
      </c>
      <c r="K498">
        <f>IF($M498="","",INDEX(상세표[반영 기관],$M498)&amp;"")</f>
        <v/>
      </c>
      <c r="L498">
        <f>IF($M498="","",INDEX(상세표[기관 출처],$M498)&amp;"")</f>
        <v/>
      </c>
      <c r="M498" s="4">
        <f>IFERROR(MATCH(493,상세표[경계순번],0),"")</f>
        <v/>
      </c>
    </row>
    <row r="499">
      <c r="A499">
        <f>IF($M499="","",INDEX(상세표[사번],$M499)&amp;"")</f>
        <v/>
      </c>
      <c r="B499">
        <f>IF($M499="","",INDEX(상세표[성명],$M499)&amp;"")</f>
        <v/>
      </c>
      <c r="C499">
        <f>IF($M499="","",IF(INDEX(상세표[종료월],$M499)=대상월키,"전월→이번 달","이번 달→익월"))</f>
        <v/>
      </c>
      <c r="D499">
        <f>IF($M499="","",IF(ISNUMBER(INDEX(상세표[시작],$M499)),TEXT(INDEX(상세표[시작],$M499),"yyyy-mm-dd hh:mm"),INDEX(상세표[시작],$M499)&amp;""))</f>
        <v/>
      </c>
      <c r="E499">
        <f>IF($M499="","",IF(ISNUMBER(INDEX(상세표[종료],$M499)),TEXT(INDEX(상세표[종료],$M499),"yyyy-mm-dd hh:mm"),INDEX(상세표[종료],$M499)&amp;""))</f>
        <v/>
      </c>
      <c r="F499">
        <f>IF($M499="","",INDEX(상세표[기록 시간외],$M499))</f>
        <v/>
      </c>
      <c r="G499">
        <f>IF($M499="","",INDEX(상세표[시작월 기관],$M499)&amp;"")</f>
        <v/>
      </c>
      <c r="H499">
        <f>IF($M499="","",INDEX(상세표[종료월 기관],$M499)&amp;"")</f>
        <v/>
      </c>
      <c r="I499">
        <f>IF($M499="","",INDEX(상세표[월경계 판정],$M499)&amp;"")</f>
        <v/>
      </c>
      <c r="J499">
        <f>IF($M499="","",INDEX(상세표[반영월],$M499)&amp;"")</f>
        <v/>
      </c>
      <c r="K499">
        <f>IF($M499="","",INDEX(상세표[반영 기관],$M499)&amp;"")</f>
        <v/>
      </c>
      <c r="L499">
        <f>IF($M499="","",INDEX(상세표[기관 출처],$M499)&amp;"")</f>
        <v/>
      </c>
      <c r="M499" s="4">
        <f>IFERROR(MATCH(494,상세표[경계순번],0),"")</f>
        <v/>
      </c>
    </row>
    <row r="500">
      <c r="A500">
        <f>IF($M500="","",INDEX(상세표[사번],$M500)&amp;"")</f>
        <v/>
      </c>
      <c r="B500">
        <f>IF($M500="","",INDEX(상세표[성명],$M500)&amp;"")</f>
        <v/>
      </c>
      <c r="C500">
        <f>IF($M500="","",IF(INDEX(상세표[종료월],$M500)=대상월키,"전월→이번 달","이번 달→익월"))</f>
        <v/>
      </c>
      <c r="D500">
        <f>IF($M500="","",IF(ISNUMBER(INDEX(상세표[시작],$M500)),TEXT(INDEX(상세표[시작],$M500),"yyyy-mm-dd hh:mm"),INDEX(상세표[시작],$M500)&amp;""))</f>
        <v/>
      </c>
      <c r="E500">
        <f>IF($M500="","",IF(ISNUMBER(INDEX(상세표[종료],$M500)),TEXT(INDEX(상세표[종료],$M500),"yyyy-mm-dd hh:mm"),INDEX(상세표[종료],$M500)&amp;""))</f>
        <v/>
      </c>
      <c r="F500">
        <f>IF($M500="","",INDEX(상세표[기록 시간외],$M500))</f>
        <v/>
      </c>
      <c r="G500">
        <f>IF($M500="","",INDEX(상세표[시작월 기관],$M500)&amp;"")</f>
        <v/>
      </c>
      <c r="H500">
        <f>IF($M500="","",INDEX(상세표[종료월 기관],$M500)&amp;"")</f>
        <v/>
      </c>
      <c r="I500">
        <f>IF($M500="","",INDEX(상세표[월경계 판정],$M500)&amp;"")</f>
        <v/>
      </c>
      <c r="J500">
        <f>IF($M500="","",INDEX(상세표[반영월],$M500)&amp;"")</f>
        <v/>
      </c>
      <c r="K500">
        <f>IF($M500="","",INDEX(상세표[반영 기관],$M500)&amp;"")</f>
        <v/>
      </c>
      <c r="L500">
        <f>IF($M500="","",INDEX(상세표[기관 출처],$M500)&amp;"")</f>
        <v/>
      </c>
      <c r="M500" s="4">
        <f>IFERROR(MATCH(495,상세표[경계순번],0),"")</f>
        <v/>
      </c>
    </row>
    <row r="501">
      <c r="A501">
        <f>IF($M501="","",INDEX(상세표[사번],$M501)&amp;"")</f>
        <v/>
      </c>
      <c r="B501">
        <f>IF($M501="","",INDEX(상세표[성명],$M501)&amp;"")</f>
        <v/>
      </c>
      <c r="C501">
        <f>IF($M501="","",IF(INDEX(상세표[종료월],$M501)=대상월키,"전월→이번 달","이번 달→익월"))</f>
        <v/>
      </c>
      <c r="D501">
        <f>IF($M501="","",IF(ISNUMBER(INDEX(상세표[시작],$M501)),TEXT(INDEX(상세표[시작],$M501),"yyyy-mm-dd hh:mm"),INDEX(상세표[시작],$M501)&amp;""))</f>
        <v/>
      </c>
      <c r="E501">
        <f>IF($M501="","",IF(ISNUMBER(INDEX(상세표[종료],$M501)),TEXT(INDEX(상세표[종료],$M501),"yyyy-mm-dd hh:mm"),INDEX(상세표[종료],$M501)&amp;""))</f>
        <v/>
      </c>
      <c r="F501">
        <f>IF($M501="","",INDEX(상세표[기록 시간외],$M501))</f>
        <v/>
      </c>
      <c r="G501">
        <f>IF($M501="","",INDEX(상세표[시작월 기관],$M501)&amp;"")</f>
        <v/>
      </c>
      <c r="H501">
        <f>IF($M501="","",INDEX(상세표[종료월 기관],$M501)&amp;"")</f>
        <v/>
      </c>
      <c r="I501">
        <f>IF($M501="","",INDEX(상세표[월경계 판정],$M501)&amp;"")</f>
        <v/>
      </c>
      <c r="J501">
        <f>IF($M501="","",INDEX(상세표[반영월],$M501)&amp;"")</f>
        <v/>
      </c>
      <c r="K501">
        <f>IF($M501="","",INDEX(상세표[반영 기관],$M501)&amp;"")</f>
        <v/>
      </c>
      <c r="L501">
        <f>IF($M501="","",INDEX(상세표[기관 출처],$M501)&amp;"")</f>
        <v/>
      </c>
      <c r="M501" s="4">
        <f>IFERROR(MATCH(496,상세표[경계순번],0),"")</f>
        <v/>
      </c>
    </row>
    <row r="502">
      <c r="A502">
        <f>IF($M502="","",INDEX(상세표[사번],$M502)&amp;"")</f>
        <v/>
      </c>
      <c r="B502">
        <f>IF($M502="","",INDEX(상세표[성명],$M502)&amp;"")</f>
        <v/>
      </c>
      <c r="C502">
        <f>IF($M502="","",IF(INDEX(상세표[종료월],$M502)=대상월키,"전월→이번 달","이번 달→익월"))</f>
        <v/>
      </c>
      <c r="D502">
        <f>IF($M502="","",IF(ISNUMBER(INDEX(상세표[시작],$M502)),TEXT(INDEX(상세표[시작],$M502),"yyyy-mm-dd hh:mm"),INDEX(상세표[시작],$M502)&amp;""))</f>
        <v/>
      </c>
      <c r="E502">
        <f>IF($M502="","",IF(ISNUMBER(INDEX(상세표[종료],$M502)),TEXT(INDEX(상세표[종료],$M502),"yyyy-mm-dd hh:mm"),INDEX(상세표[종료],$M502)&amp;""))</f>
        <v/>
      </c>
      <c r="F502">
        <f>IF($M502="","",INDEX(상세표[기록 시간외],$M502))</f>
        <v/>
      </c>
      <c r="G502">
        <f>IF($M502="","",INDEX(상세표[시작월 기관],$M502)&amp;"")</f>
        <v/>
      </c>
      <c r="H502">
        <f>IF($M502="","",INDEX(상세표[종료월 기관],$M502)&amp;"")</f>
        <v/>
      </c>
      <c r="I502">
        <f>IF($M502="","",INDEX(상세표[월경계 판정],$M502)&amp;"")</f>
        <v/>
      </c>
      <c r="J502">
        <f>IF($M502="","",INDEX(상세표[반영월],$M502)&amp;"")</f>
        <v/>
      </c>
      <c r="K502">
        <f>IF($M502="","",INDEX(상세표[반영 기관],$M502)&amp;"")</f>
        <v/>
      </c>
      <c r="L502">
        <f>IF($M502="","",INDEX(상세표[기관 출처],$M502)&amp;"")</f>
        <v/>
      </c>
      <c r="M502" s="4">
        <f>IFERROR(MATCH(497,상세표[경계순번],0),"")</f>
        <v/>
      </c>
    </row>
    <row r="503">
      <c r="A503">
        <f>IF($M503="","",INDEX(상세표[사번],$M503)&amp;"")</f>
        <v/>
      </c>
      <c r="B503">
        <f>IF($M503="","",INDEX(상세표[성명],$M503)&amp;"")</f>
        <v/>
      </c>
      <c r="C503">
        <f>IF($M503="","",IF(INDEX(상세표[종료월],$M503)=대상월키,"전월→이번 달","이번 달→익월"))</f>
        <v/>
      </c>
      <c r="D503">
        <f>IF($M503="","",IF(ISNUMBER(INDEX(상세표[시작],$M503)),TEXT(INDEX(상세표[시작],$M503),"yyyy-mm-dd hh:mm"),INDEX(상세표[시작],$M503)&amp;""))</f>
        <v/>
      </c>
      <c r="E503">
        <f>IF($M503="","",IF(ISNUMBER(INDEX(상세표[종료],$M503)),TEXT(INDEX(상세표[종료],$M503),"yyyy-mm-dd hh:mm"),INDEX(상세표[종료],$M503)&amp;""))</f>
        <v/>
      </c>
      <c r="F503">
        <f>IF($M503="","",INDEX(상세표[기록 시간외],$M503))</f>
        <v/>
      </c>
      <c r="G503">
        <f>IF($M503="","",INDEX(상세표[시작월 기관],$M503)&amp;"")</f>
        <v/>
      </c>
      <c r="H503">
        <f>IF($M503="","",INDEX(상세표[종료월 기관],$M503)&amp;"")</f>
        <v/>
      </c>
      <c r="I503">
        <f>IF($M503="","",INDEX(상세표[월경계 판정],$M503)&amp;"")</f>
        <v/>
      </c>
      <c r="J503">
        <f>IF($M503="","",INDEX(상세표[반영월],$M503)&amp;"")</f>
        <v/>
      </c>
      <c r="K503">
        <f>IF($M503="","",INDEX(상세표[반영 기관],$M503)&amp;"")</f>
        <v/>
      </c>
      <c r="L503">
        <f>IF($M503="","",INDEX(상세표[기관 출처],$M503)&amp;"")</f>
        <v/>
      </c>
      <c r="M503" s="4">
        <f>IFERROR(MATCH(498,상세표[경계순번],0),"")</f>
        <v/>
      </c>
    </row>
    <row r="504">
      <c r="A504">
        <f>IF($M504="","",INDEX(상세표[사번],$M504)&amp;"")</f>
        <v/>
      </c>
      <c r="B504">
        <f>IF($M504="","",INDEX(상세표[성명],$M504)&amp;"")</f>
        <v/>
      </c>
      <c r="C504">
        <f>IF($M504="","",IF(INDEX(상세표[종료월],$M504)=대상월키,"전월→이번 달","이번 달→익월"))</f>
        <v/>
      </c>
      <c r="D504">
        <f>IF($M504="","",IF(ISNUMBER(INDEX(상세표[시작],$M504)),TEXT(INDEX(상세표[시작],$M504),"yyyy-mm-dd hh:mm"),INDEX(상세표[시작],$M504)&amp;""))</f>
        <v/>
      </c>
      <c r="E504">
        <f>IF($M504="","",IF(ISNUMBER(INDEX(상세표[종료],$M504)),TEXT(INDEX(상세표[종료],$M504),"yyyy-mm-dd hh:mm"),INDEX(상세표[종료],$M504)&amp;""))</f>
        <v/>
      </c>
      <c r="F504">
        <f>IF($M504="","",INDEX(상세표[기록 시간외],$M504))</f>
        <v/>
      </c>
      <c r="G504">
        <f>IF($M504="","",INDEX(상세표[시작월 기관],$M504)&amp;"")</f>
        <v/>
      </c>
      <c r="H504">
        <f>IF($M504="","",INDEX(상세표[종료월 기관],$M504)&amp;"")</f>
        <v/>
      </c>
      <c r="I504">
        <f>IF($M504="","",INDEX(상세표[월경계 판정],$M504)&amp;"")</f>
        <v/>
      </c>
      <c r="J504">
        <f>IF($M504="","",INDEX(상세표[반영월],$M504)&amp;"")</f>
        <v/>
      </c>
      <c r="K504">
        <f>IF($M504="","",INDEX(상세표[반영 기관],$M504)&amp;"")</f>
        <v/>
      </c>
      <c r="L504">
        <f>IF($M504="","",INDEX(상세표[기관 출처],$M504)&amp;"")</f>
        <v/>
      </c>
      <c r="M504" s="4">
        <f>IFERROR(MATCH(499,상세표[경계순번],0),"")</f>
        <v/>
      </c>
    </row>
    <row r="505">
      <c r="A505">
        <f>IF($M505="","",INDEX(상세표[사번],$M505)&amp;"")</f>
        <v/>
      </c>
      <c r="B505">
        <f>IF($M505="","",INDEX(상세표[성명],$M505)&amp;"")</f>
        <v/>
      </c>
      <c r="C505">
        <f>IF($M505="","",IF(INDEX(상세표[종료월],$M505)=대상월키,"전월→이번 달","이번 달→익월"))</f>
        <v/>
      </c>
      <c r="D505">
        <f>IF($M505="","",IF(ISNUMBER(INDEX(상세표[시작],$M505)),TEXT(INDEX(상세표[시작],$M505),"yyyy-mm-dd hh:mm"),INDEX(상세표[시작],$M505)&amp;""))</f>
        <v/>
      </c>
      <c r="E505">
        <f>IF($M505="","",IF(ISNUMBER(INDEX(상세표[종료],$M505)),TEXT(INDEX(상세표[종료],$M505),"yyyy-mm-dd hh:mm"),INDEX(상세표[종료],$M505)&amp;""))</f>
        <v/>
      </c>
      <c r="F505">
        <f>IF($M505="","",INDEX(상세표[기록 시간외],$M505))</f>
        <v/>
      </c>
      <c r="G505">
        <f>IF($M505="","",INDEX(상세표[시작월 기관],$M505)&amp;"")</f>
        <v/>
      </c>
      <c r="H505">
        <f>IF($M505="","",INDEX(상세표[종료월 기관],$M505)&amp;"")</f>
        <v/>
      </c>
      <c r="I505">
        <f>IF($M505="","",INDEX(상세표[월경계 판정],$M505)&amp;"")</f>
        <v/>
      </c>
      <c r="J505">
        <f>IF($M505="","",INDEX(상세표[반영월],$M505)&amp;"")</f>
        <v/>
      </c>
      <c r="K505">
        <f>IF($M505="","",INDEX(상세표[반영 기관],$M505)&amp;"")</f>
        <v/>
      </c>
      <c r="L505">
        <f>IF($M505="","",INDEX(상세표[기관 출처],$M505)&amp;"")</f>
        <v/>
      </c>
      <c r="M505" s="4">
        <f>IFERROR(MATCH(500,상세표[경계순번],0),"")</f>
        <v/>
      </c>
    </row>
    <row r="506">
      <c r="A506">
        <f>IF($M506="","",INDEX(상세표[사번],$M506)&amp;"")</f>
        <v/>
      </c>
      <c r="B506">
        <f>IF($M506="","",INDEX(상세표[성명],$M506)&amp;"")</f>
        <v/>
      </c>
      <c r="C506">
        <f>IF($M506="","",IF(INDEX(상세표[종료월],$M506)=대상월키,"전월→이번 달","이번 달→익월"))</f>
        <v/>
      </c>
      <c r="D506">
        <f>IF($M506="","",IF(ISNUMBER(INDEX(상세표[시작],$M506)),TEXT(INDEX(상세표[시작],$M506),"yyyy-mm-dd hh:mm"),INDEX(상세표[시작],$M506)&amp;""))</f>
        <v/>
      </c>
      <c r="E506">
        <f>IF($M506="","",IF(ISNUMBER(INDEX(상세표[종료],$M506)),TEXT(INDEX(상세표[종료],$M506),"yyyy-mm-dd hh:mm"),INDEX(상세표[종료],$M506)&amp;""))</f>
        <v/>
      </c>
      <c r="F506">
        <f>IF($M506="","",INDEX(상세표[기록 시간외],$M506))</f>
        <v/>
      </c>
      <c r="G506">
        <f>IF($M506="","",INDEX(상세표[시작월 기관],$M506)&amp;"")</f>
        <v/>
      </c>
      <c r="H506">
        <f>IF($M506="","",INDEX(상세표[종료월 기관],$M506)&amp;"")</f>
        <v/>
      </c>
      <c r="I506">
        <f>IF($M506="","",INDEX(상세표[월경계 판정],$M506)&amp;"")</f>
        <v/>
      </c>
      <c r="J506">
        <f>IF($M506="","",INDEX(상세표[반영월],$M506)&amp;"")</f>
        <v/>
      </c>
      <c r="K506">
        <f>IF($M506="","",INDEX(상세표[반영 기관],$M506)&amp;"")</f>
        <v/>
      </c>
      <c r="L506">
        <f>IF($M506="","",INDEX(상세표[기관 출처],$M506)&amp;"")</f>
        <v/>
      </c>
      <c r="M506" s="4">
        <f>IFERROR(MATCH(501,상세표[경계순번],0),"")</f>
        <v/>
      </c>
    </row>
    <row r="507">
      <c r="A507">
        <f>IF($M507="","",INDEX(상세표[사번],$M507)&amp;"")</f>
        <v/>
      </c>
      <c r="B507">
        <f>IF($M507="","",INDEX(상세표[성명],$M507)&amp;"")</f>
        <v/>
      </c>
      <c r="C507">
        <f>IF($M507="","",IF(INDEX(상세표[종료월],$M507)=대상월키,"전월→이번 달","이번 달→익월"))</f>
        <v/>
      </c>
      <c r="D507">
        <f>IF($M507="","",IF(ISNUMBER(INDEX(상세표[시작],$M507)),TEXT(INDEX(상세표[시작],$M507),"yyyy-mm-dd hh:mm"),INDEX(상세표[시작],$M507)&amp;""))</f>
        <v/>
      </c>
      <c r="E507">
        <f>IF($M507="","",IF(ISNUMBER(INDEX(상세표[종료],$M507)),TEXT(INDEX(상세표[종료],$M507),"yyyy-mm-dd hh:mm"),INDEX(상세표[종료],$M507)&amp;""))</f>
        <v/>
      </c>
      <c r="F507">
        <f>IF($M507="","",INDEX(상세표[기록 시간외],$M507))</f>
        <v/>
      </c>
      <c r="G507">
        <f>IF($M507="","",INDEX(상세표[시작월 기관],$M507)&amp;"")</f>
        <v/>
      </c>
      <c r="H507">
        <f>IF($M507="","",INDEX(상세표[종료월 기관],$M507)&amp;"")</f>
        <v/>
      </c>
      <c r="I507">
        <f>IF($M507="","",INDEX(상세표[월경계 판정],$M507)&amp;"")</f>
        <v/>
      </c>
      <c r="J507">
        <f>IF($M507="","",INDEX(상세표[반영월],$M507)&amp;"")</f>
        <v/>
      </c>
      <c r="K507">
        <f>IF($M507="","",INDEX(상세표[반영 기관],$M507)&amp;"")</f>
        <v/>
      </c>
      <c r="L507">
        <f>IF($M507="","",INDEX(상세표[기관 출처],$M507)&amp;"")</f>
        <v/>
      </c>
      <c r="M507" s="4">
        <f>IFERROR(MATCH(502,상세표[경계순번],0),"")</f>
        <v/>
      </c>
    </row>
    <row r="508">
      <c r="A508">
        <f>IF($M508="","",INDEX(상세표[사번],$M508)&amp;"")</f>
        <v/>
      </c>
      <c r="B508">
        <f>IF($M508="","",INDEX(상세표[성명],$M508)&amp;"")</f>
        <v/>
      </c>
      <c r="C508">
        <f>IF($M508="","",IF(INDEX(상세표[종료월],$M508)=대상월키,"전월→이번 달","이번 달→익월"))</f>
        <v/>
      </c>
      <c r="D508">
        <f>IF($M508="","",IF(ISNUMBER(INDEX(상세표[시작],$M508)),TEXT(INDEX(상세표[시작],$M508),"yyyy-mm-dd hh:mm"),INDEX(상세표[시작],$M508)&amp;""))</f>
        <v/>
      </c>
      <c r="E508">
        <f>IF($M508="","",IF(ISNUMBER(INDEX(상세표[종료],$M508)),TEXT(INDEX(상세표[종료],$M508),"yyyy-mm-dd hh:mm"),INDEX(상세표[종료],$M508)&amp;""))</f>
        <v/>
      </c>
      <c r="F508">
        <f>IF($M508="","",INDEX(상세표[기록 시간외],$M508))</f>
        <v/>
      </c>
      <c r="G508">
        <f>IF($M508="","",INDEX(상세표[시작월 기관],$M508)&amp;"")</f>
        <v/>
      </c>
      <c r="H508">
        <f>IF($M508="","",INDEX(상세표[종료월 기관],$M508)&amp;"")</f>
        <v/>
      </c>
      <c r="I508">
        <f>IF($M508="","",INDEX(상세표[월경계 판정],$M508)&amp;"")</f>
        <v/>
      </c>
      <c r="J508">
        <f>IF($M508="","",INDEX(상세표[반영월],$M508)&amp;"")</f>
        <v/>
      </c>
      <c r="K508">
        <f>IF($M508="","",INDEX(상세표[반영 기관],$M508)&amp;"")</f>
        <v/>
      </c>
      <c r="L508">
        <f>IF($M508="","",INDEX(상세표[기관 출처],$M508)&amp;"")</f>
        <v/>
      </c>
      <c r="M508" s="4">
        <f>IFERROR(MATCH(503,상세표[경계순번],0),"")</f>
        <v/>
      </c>
    </row>
    <row r="509">
      <c r="A509">
        <f>IF($M509="","",INDEX(상세표[사번],$M509)&amp;"")</f>
        <v/>
      </c>
      <c r="B509">
        <f>IF($M509="","",INDEX(상세표[성명],$M509)&amp;"")</f>
        <v/>
      </c>
      <c r="C509">
        <f>IF($M509="","",IF(INDEX(상세표[종료월],$M509)=대상월키,"전월→이번 달","이번 달→익월"))</f>
        <v/>
      </c>
      <c r="D509">
        <f>IF($M509="","",IF(ISNUMBER(INDEX(상세표[시작],$M509)),TEXT(INDEX(상세표[시작],$M509),"yyyy-mm-dd hh:mm"),INDEX(상세표[시작],$M509)&amp;""))</f>
        <v/>
      </c>
      <c r="E509">
        <f>IF($M509="","",IF(ISNUMBER(INDEX(상세표[종료],$M509)),TEXT(INDEX(상세표[종료],$M509),"yyyy-mm-dd hh:mm"),INDEX(상세표[종료],$M509)&amp;""))</f>
        <v/>
      </c>
      <c r="F509">
        <f>IF($M509="","",INDEX(상세표[기록 시간외],$M509))</f>
        <v/>
      </c>
      <c r="G509">
        <f>IF($M509="","",INDEX(상세표[시작월 기관],$M509)&amp;"")</f>
        <v/>
      </c>
      <c r="H509">
        <f>IF($M509="","",INDEX(상세표[종료월 기관],$M509)&amp;"")</f>
        <v/>
      </c>
      <c r="I509">
        <f>IF($M509="","",INDEX(상세표[월경계 판정],$M509)&amp;"")</f>
        <v/>
      </c>
      <c r="J509">
        <f>IF($M509="","",INDEX(상세표[반영월],$M509)&amp;"")</f>
        <v/>
      </c>
      <c r="K509">
        <f>IF($M509="","",INDEX(상세표[반영 기관],$M509)&amp;"")</f>
        <v/>
      </c>
      <c r="L509">
        <f>IF($M509="","",INDEX(상세표[기관 출처],$M509)&amp;"")</f>
        <v/>
      </c>
      <c r="M509" s="4">
        <f>IFERROR(MATCH(504,상세표[경계순번],0),"")</f>
        <v/>
      </c>
    </row>
    <row r="510">
      <c r="A510">
        <f>IF($M510="","",INDEX(상세표[사번],$M510)&amp;"")</f>
        <v/>
      </c>
      <c r="B510">
        <f>IF($M510="","",INDEX(상세표[성명],$M510)&amp;"")</f>
        <v/>
      </c>
      <c r="C510">
        <f>IF($M510="","",IF(INDEX(상세표[종료월],$M510)=대상월키,"전월→이번 달","이번 달→익월"))</f>
        <v/>
      </c>
      <c r="D510">
        <f>IF($M510="","",IF(ISNUMBER(INDEX(상세표[시작],$M510)),TEXT(INDEX(상세표[시작],$M510),"yyyy-mm-dd hh:mm"),INDEX(상세표[시작],$M510)&amp;""))</f>
        <v/>
      </c>
      <c r="E510">
        <f>IF($M510="","",IF(ISNUMBER(INDEX(상세표[종료],$M510)),TEXT(INDEX(상세표[종료],$M510),"yyyy-mm-dd hh:mm"),INDEX(상세표[종료],$M510)&amp;""))</f>
        <v/>
      </c>
      <c r="F510">
        <f>IF($M510="","",INDEX(상세표[기록 시간외],$M510))</f>
        <v/>
      </c>
      <c r="G510">
        <f>IF($M510="","",INDEX(상세표[시작월 기관],$M510)&amp;"")</f>
        <v/>
      </c>
      <c r="H510">
        <f>IF($M510="","",INDEX(상세표[종료월 기관],$M510)&amp;"")</f>
        <v/>
      </c>
      <c r="I510">
        <f>IF($M510="","",INDEX(상세표[월경계 판정],$M510)&amp;"")</f>
        <v/>
      </c>
      <c r="J510">
        <f>IF($M510="","",INDEX(상세표[반영월],$M510)&amp;"")</f>
        <v/>
      </c>
      <c r="K510">
        <f>IF($M510="","",INDEX(상세표[반영 기관],$M510)&amp;"")</f>
        <v/>
      </c>
      <c r="L510">
        <f>IF($M510="","",INDEX(상세표[기관 출처],$M510)&amp;"")</f>
        <v/>
      </c>
      <c r="M510" s="4">
        <f>IFERROR(MATCH(505,상세표[경계순번],0),"")</f>
        <v/>
      </c>
    </row>
    <row r="511">
      <c r="A511">
        <f>IF($M511="","",INDEX(상세표[사번],$M511)&amp;"")</f>
        <v/>
      </c>
      <c r="B511">
        <f>IF($M511="","",INDEX(상세표[성명],$M511)&amp;"")</f>
        <v/>
      </c>
      <c r="C511">
        <f>IF($M511="","",IF(INDEX(상세표[종료월],$M511)=대상월키,"전월→이번 달","이번 달→익월"))</f>
        <v/>
      </c>
      <c r="D511">
        <f>IF($M511="","",IF(ISNUMBER(INDEX(상세표[시작],$M511)),TEXT(INDEX(상세표[시작],$M511),"yyyy-mm-dd hh:mm"),INDEX(상세표[시작],$M511)&amp;""))</f>
        <v/>
      </c>
      <c r="E511">
        <f>IF($M511="","",IF(ISNUMBER(INDEX(상세표[종료],$M511)),TEXT(INDEX(상세표[종료],$M511),"yyyy-mm-dd hh:mm"),INDEX(상세표[종료],$M511)&amp;""))</f>
        <v/>
      </c>
      <c r="F511">
        <f>IF($M511="","",INDEX(상세표[기록 시간외],$M511))</f>
        <v/>
      </c>
      <c r="G511">
        <f>IF($M511="","",INDEX(상세표[시작월 기관],$M511)&amp;"")</f>
        <v/>
      </c>
      <c r="H511">
        <f>IF($M511="","",INDEX(상세표[종료월 기관],$M511)&amp;"")</f>
        <v/>
      </c>
      <c r="I511">
        <f>IF($M511="","",INDEX(상세표[월경계 판정],$M511)&amp;"")</f>
        <v/>
      </c>
      <c r="J511">
        <f>IF($M511="","",INDEX(상세표[반영월],$M511)&amp;"")</f>
        <v/>
      </c>
      <c r="K511">
        <f>IF($M511="","",INDEX(상세표[반영 기관],$M511)&amp;"")</f>
        <v/>
      </c>
      <c r="L511">
        <f>IF($M511="","",INDEX(상세표[기관 출처],$M511)&amp;"")</f>
        <v/>
      </c>
      <c r="M511" s="4">
        <f>IFERROR(MATCH(506,상세표[경계순번],0),"")</f>
        <v/>
      </c>
    </row>
    <row r="512">
      <c r="A512">
        <f>IF($M512="","",INDEX(상세표[사번],$M512)&amp;"")</f>
        <v/>
      </c>
      <c r="B512">
        <f>IF($M512="","",INDEX(상세표[성명],$M512)&amp;"")</f>
        <v/>
      </c>
      <c r="C512">
        <f>IF($M512="","",IF(INDEX(상세표[종료월],$M512)=대상월키,"전월→이번 달","이번 달→익월"))</f>
        <v/>
      </c>
      <c r="D512">
        <f>IF($M512="","",IF(ISNUMBER(INDEX(상세표[시작],$M512)),TEXT(INDEX(상세표[시작],$M512),"yyyy-mm-dd hh:mm"),INDEX(상세표[시작],$M512)&amp;""))</f>
        <v/>
      </c>
      <c r="E512">
        <f>IF($M512="","",IF(ISNUMBER(INDEX(상세표[종료],$M512)),TEXT(INDEX(상세표[종료],$M512),"yyyy-mm-dd hh:mm"),INDEX(상세표[종료],$M512)&amp;""))</f>
        <v/>
      </c>
      <c r="F512">
        <f>IF($M512="","",INDEX(상세표[기록 시간외],$M512))</f>
        <v/>
      </c>
      <c r="G512">
        <f>IF($M512="","",INDEX(상세표[시작월 기관],$M512)&amp;"")</f>
        <v/>
      </c>
      <c r="H512">
        <f>IF($M512="","",INDEX(상세표[종료월 기관],$M512)&amp;"")</f>
        <v/>
      </c>
      <c r="I512">
        <f>IF($M512="","",INDEX(상세표[월경계 판정],$M512)&amp;"")</f>
        <v/>
      </c>
      <c r="J512">
        <f>IF($M512="","",INDEX(상세표[반영월],$M512)&amp;"")</f>
        <v/>
      </c>
      <c r="K512">
        <f>IF($M512="","",INDEX(상세표[반영 기관],$M512)&amp;"")</f>
        <v/>
      </c>
      <c r="L512">
        <f>IF($M512="","",INDEX(상세표[기관 출처],$M512)&amp;"")</f>
        <v/>
      </c>
      <c r="M512" s="4">
        <f>IFERROR(MATCH(507,상세표[경계순번],0),"")</f>
        <v/>
      </c>
    </row>
    <row r="513">
      <c r="A513">
        <f>IF($M513="","",INDEX(상세표[사번],$M513)&amp;"")</f>
        <v/>
      </c>
      <c r="B513">
        <f>IF($M513="","",INDEX(상세표[성명],$M513)&amp;"")</f>
        <v/>
      </c>
      <c r="C513">
        <f>IF($M513="","",IF(INDEX(상세표[종료월],$M513)=대상월키,"전월→이번 달","이번 달→익월"))</f>
        <v/>
      </c>
      <c r="D513">
        <f>IF($M513="","",IF(ISNUMBER(INDEX(상세표[시작],$M513)),TEXT(INDEX(상세표[시작],$M513),"yyyy-mm-dd hh:mm"),INDEX(상세표[시작],$M513)&amp;""))</f>
        <v/>
      </c>
      <c r="E513">
        <f>IF($M513="","",IF(ISNUMBER(INDEX(상세표[종료],$M513)),TEXT(INDEX(상세표[종료],$M513),"yyyy-mm-dd hh:mm"),INDEX(상세표[종료],$M513)&amp;""))</f>
        <v/>
      </c>
      <c r="F513">
        <f>IF($M513="","",INDEX(상세표[기록 시간외],$M513))</f>
        <v/>
      </c>
      <c r="G513">
        <f>IF($M513="","",INDEX(상세표[시작월 기관],$M513)&amp;"")</f>
        <v/>
      </c>
      <c r="H513">
        <f>IF($M513="","",INDEX(상세표[종료월 기관],$M513)&amp;"")</f>
        <v/>
      </c>
      <c r="I513">
        <f>IF($M513="","",INDEX(상세표[월경계 판정],$M513)&amp;"")</f>
        <v/>
      </c>
      <c r="J513">
        <f>IF($M513="","",INDEX(상세표[반영월],$M513)&amp;"")</f>
        <v/>
      </c>
      <c r="K513">
        <f>IF($M513="","",INDEX(상세표[반영 기관],$M513)&amp;"")</f>
        <v/>
      </c>
      <c r="L513">
        <f>IF($M513="","",INDEX(상세표[기관 출처],$M513)&amp;"")</f>
        <v/>
      </c>
      <c r="M513" s="4">
        <f>IFERROR(MATCH(508,상세표[경계순번],0),"")</f>
        <v/>
      </c>
    </row>
    <row r="514">
      <c r="A514">
        <f>IF($M514="","",INDEX(상세표[사번],$M514)&amp;"")</f>
        <v/>
      </c>
      <c r="B514">
        <f>IF($M514="","",INDEX(상세표[성명],$M514)&amp;"")</f>
        <v/>
      </c>
      <c r="C514">
        <f>IF($M514="","",IF(INDEX(상세표[종료월],$M514)=대상월키,"전월→이번 달","이번 달→익월"))</f>
        <v/>
      </c>
      <c r="D514">
        <f>IF($M514="","",IF(ISNUMBER(INDEX(상세표[시작],$M514)),TEXT(INDEX(상세표[시작],$M514),"yyyy-mm-dd hh:mm"),INDEX(상세표[시작],$M514)&amp;""))</f>
        <v/>
      </c>
      <c r="E514">
        <f>IF($M514="","",IF(ISNUMBER(INDEX(상세표[종료],$M514)),TEXT(INDEX(상세표[종료],$M514),"yyyy-mm-dd hh:mm"),INDEX(상세표[종료],$M514)&amp;""))</f>
        <v/>
      </c>
      <c r="F514">
        <f>IF($M514="","",INDEX(상세표[기록 시간외],$M514))</f>
        <v/>
      </c>
      <c r="G514">
        <f>IF($M514="","",INDEX(상세표[시작월 기관],$M514)&amp;"")</f>
        <v/>
      </c>
      <c r="H514">
        <f>IF($M514="","",INDEX(상세표[종료월 기관],$M514)&amp;"")</f>
        <v/>
      </c>
      <c r="I514">
        <f>IF($M514="","",INDEX(상세표[월경계 판정],$M514)&amp;"")</f>
        <v/>
      </c>
      <c r="J514">
        <f>IF($M514="","",INDEX(상세표[반영월],$M514)&amp;"")</f>
        <v/>
      </c>
      <c r="K514">
        <f>IF($M514="","",INDEX(상세표[반영 기관],$M514)&amp;"")</f>
        <v/>
      </c>
      <c r="L514">
        <f>IF($M514="","",INDEX(상세표[기관 출처],$M514)&amp;"")</f>
        <v/>
      </c>
      <c r="M514" s="4">
        <f>IFERROR(MATCH(509,상세표[경계순번],0),"")</f>
        <v/>
      </c>
    </row>
    <row r="515">
      <c r="A515">
        <f>IF($M515="","",INDEX(상세표[사번],$M515)&amp;"")</f>
        <v/>
      </c>
      <c r="B515">
        <f>IF($M515="","",INDEX(상세표[성명],$M515)&amp;"")</f>
        <v/>
      </c>
      <c r="C515">
        <f>IF($M515="","",IF(INDEX(상세표[종료월],$M515)=대상월키,"전월→이번 달","이번 달→익월"))</f>
        <v/>
      </c>
      <c r="D515">
        <f>IF($M515="","",IF(ISNUMBER(INDEX(상세표[시작],$M515)),TEXT(INDEX(상세표[시작],$M515),"yyyy-mm-dd hh:mm"),INDEX(상세표[시작],$M515)&amp;""))</f>
        <v/>
      </c>
      <c r="E515">
        <f>IF($M515="","",IF(ISNUMBER(INDEX(상세표[종료],$M515)),TEXT(INDEX(상세표[종료],$M515),"yyyy-mm-dd hh:mm"),INDEX(상세표[종료],$M515)&amp;""))</f>
        <v/>
      </c>
      <c r="F515">
        <f>IF($M515="","",INDEX(상세표[기록 시간외],$M515))</f>
        <v/>
      </c>
      <c r="G515">
        <f>IF($M515="","",INDEX(상세표[시작월 기관],$M515)&amp;"")</f>
        <v/>
      </c>
      <c r="H515">
        <f>IF($M515="","",INDEX(상세표[종료월 기관],$M515)&amp;"")</f>
        <v/>
      </c>
      <c r="I515">
        <f>IF($M515="","",INDEX(상세표[월경계 판정],$M515)&amp;"")</f>
        <v/>
      </c>
      <c r="J515">
        <f>IF($M515="","",INDEX(상세표[반영월],$M515)&amp;"")</f>
        <v/>
      </c>
      <c r="K515">
        <f>IF($M515="","",INDEX(상세표[반영 기관],$M515)&amp;"")</f>
        <v/>
      </c>
      <c r="L515">
        <f>IF($M515="","",INDEX(상세표[기관 출처],$M515)&amp;"")</f>
        <v/>
      </c>
      <c r="M515" s="4">
        <f>IFERROR(MATCH(510,상세표[경계순번],0),"")</f>
        <v/>
      </c>
    </row>
    <row r="516">
      <c r="A516">
        <f>IF($M516="","",INDEX(상세표[사번],$M516)&amp;"")</f>
        <v/>
      </c>
      <c r="B516">
        <f>IF($M516="","",INDEX(상세표[성명],$M516)&amp;"")</f>
        <v/>
      </c>
      <c r="C516">
        <f>IF($M516="","",IF(INDEX(상세표[종료월],$M516)=대상월키,"전월→이번 달","이번 달→익월"))</f>
        <v/>
      </c>
      <c r="D516">
        <f>IF($M516="","",IF(ISNUMBER(INDEX(상세표[시작],$M516)),TEXT(INDEX(상세표[시작],$M516),"yyyy-mm-dd hh:mm"),INDEX(상세표[시작],$M516)&amp;""))</f>
        <v/>
      </c>
      <c r="E516">
        <f>IF($M516="","",IF(ISNUMBER(INDEX(상세표[종료],$M516)),TEXT(INDEX(상세표[종료],$M516),"yyyy-mm-dd hh:mm"),INDEX(상세표[종료],$M516)&amp;""))</f>
        <v/>
      </c>
      <c r="F516">
        <f>IF($M516="","",INDEX(상세표[기록 시간외],$M516))</f>
        <v/>
      </c>
      <c r="G516">
        <f>IF($M516="","",INDEX(상세표[시작월 기관],$M516)&amp;"")</f>
        <v/>
      </c>
      <c r="H516">
        <f>IF($M516="","",INDEX(상세표[종료월 기관],$M516)&amp;"")</f>
        <v/>
      </c>
      <c r="I516">
        <f>IF($M516="","",INDEX(상세표[월경계 판정],$M516)&amp;"")</f>
        <v/>
      </c>
      <c r="J516">
        <f>IF($M516="","",INDEX(상세표[반영월],$M516)&amp;"")</f>
        <v/>
      </c>
      <c r="K516">
        <f>IF($M516="","",INDEX(상세표[반영 기관],$M516)&amp;"")</f>
        <v/>
      </c>
      <c r="L516">
        <f>IF($M516="","",INDEX(상세표[기관 출처],$M516)&amp;"")</f>
        <v/>
      </c>
      <c r="M516" s="4">
        <f>IFERROR(MATCH(511,상세표[경계순번],0),"")</f>
        <v/>
      </c>
    </row>
    <row r="517">
      <c r="A517">
        <f>IF($M517="","",INDEX(상세표[사번],$M517)&amp;"")</f>
        <v/>
      </c>
      <c r="B517">
        <f>IF($M517="","",INDEX(상세표[성명],$M517)&amp;"")</f>
        <v/>
      </c>
      <c r="C517">
        <f>IF($M517="","",IF(INDEX(상세표[종료월],$M517)=대상월키,"전월→이번 달","이번 달→익월"))</f>
        <v/>
      </c>
      <c r="D517">
        <f>IF($M517="","",IF(ISNUMBER(INDEX(상세표[시작],$M517)),TEXT(INDEX(상세표[시작],$M517),"yyyy-mm-dd hh:mm"),INDEX(상세표[시작],$M517)&amp;""))</f>
        <v/>
      </c>
      <c r="E517">
        <f>IF($M517="","",IF(ISNUMBER(INDEX(상세표[종료],$M517)),TEXT(INDEX(상세표[종료],$M517),"yyyy-mm-dd hh:mm"),INDEX(상세표[종료],$M517)&amp;""))</f>
        <v/>
      </c>
      <c r="F517">
        <f>IF($M517="","",INDEX(상세표[기록 시간외],$M517))</f>
        <v/>
      </c>
      <c r="G517">
        <f>IF($M517="","",INDEX(상세표[시작월 기관],$M517)&amp;"")</f>
        <v/>
      </c>
      <c r="H517">
        <f>IF($M517="","",INDEX(상세표[종료월 기관],$M517)&amp;"")</f>
        <v/>
      </c>
      <c r="I517">
        <f>IF($M517="","",INDEX(상세표[월경계 판정],$M517)&amp;"")</f>
        <v/>
      </c>
      <c r="J517">
        <f>IF($M517="","",INDEX(상세표[반영월],$M517)&amp;"")</f>
        <v/>
      </c>
      <c r="K517">
        <f>IF($M517="","",INDEX(상세표[반영 기관],$M517)&amp;"")</f>
        <v/>
      </c>
      <c r="L517">
        <f>IF($M517="","",INDEX(상세표[기관 출처],$M517)&amp;"")</f>
        <v/>
      </c>
      <c r="M517" s="4">
        <f>IFERROR(MATCH(512,상세표[경계순번],0),"")</f>
        <v/>
      </c>
    </row>
    <row r="518">
      <c r="A518">
        <f>IF($M518="","",INDEX(상세표[사번],$M518)&amp;"")</f>
        <v/>
      </c>
      <c r="B518">
        <f>IF($M518="","",INDEX(상세표[성명],$M518)&amp;"")</f>
        <v/>
      </c>
      <c r="C518">
        <f>IF($M518="","",IF(INDEX(상세표[종료월],$M518)=대상월키,"전월→이번 달","이번 달→익월"))</f>
        <v/>
      </c>
      <c r="D518">
        <f>IF($M518="","",IF(ISNUMBER(INDEX(상세표[시작],$M518)),TEXT(INDEX(상세표[시작],$M518),"yyyy-mm-dd hh:mm"),INDEX(상세표[시작],$M518)&amp;""))</f>
        <v/>
      </c>
      <c r="E518">
        <f>IF($M518="","",IF(ISNUMBER(INDEX(상세표[종료],$M518)),TEXT(INDEX(상세표[종료],$M518),"yyyy-mm-dd hh:mm"),INDEX(상세표[종료],$M518)&amp;""))</f>
        <v/>
      </c>
      <c r="F518">
        <f>IF($M518="","",INDEX(상세표[기록 시간외],$M518))</f>
        <v/>
      </c>
      <c r="G518">
        <f>IF($M518="","",INDEX(상세표[시작월 기관],$M518)&amp;"")</f>
        <v/>
      </c>
      <c r="H518">
        <f>IF($M518="","",INDEX(상세표[종료월 기관],$M518)&amp;"")</f>
        <v/>
      </c>
      <c r="I518">
        <f>IF($M518="","",INDEX(상세표[월경계 판정],$M518)&amp;"")</f>
        <v/>
      </c>
      <c r="J518">
        <f>IF($M518="","",INDEX(상세표[반영월],$M518)&amp;"")</f>
        <v/>
      </c>
      <c r="K518">
        <f>IF($M518="","",INDEX(상세표[반영 기관],$M518)&amp;"")</f>
        <v/>
      </c>
      <c r="L518">
        <f>IF($M518="","",INDEX(상세표[기관 출처],$M518)&amp;"")</f>
        <v/>
      </c>
      <c r="M518" s="4">
        <f>IFERROR(MATCH(513,상세표[경계순번],0),"")</f>
        <v/>
      </c>
    </row>
    <row r="519">
      <c r="A519">
        <f>IF($M519="","",INDEX(상세표[사번],$M519)&amp;"")</f>
        <v/>
      </c>
      <c r="B519">
        <f>IF($M519="","",INDEX(상세표[성명],$M519)&amp;"")</f>
        <v/>
      </c>
      <c r="C519">
        <f>IF($M519="","",IF(INDEX(상세표[종료월],$M519)=대상월키,"전월→이번 달","이번 달→익월"))</f>
        <v/>
      </c>
      <c r="D519">
        <f>IF($M519="","",IF(ISNUMBER(INDEX(상세표[시작],$M519)),TEXT(INDEX(상세표[시작],$M519),"yyyy-mm-dd hh:mm"),INDEX(상세표[시작],$M519)&amp;""))</f>
        <v/>
      </c>
      <c r="E519">
        <f>IF($M519="","",IF(ISNUMBER(INDEX(상세표[종료],$M519)),TEXT(INDEX(상세표[종료],$M519),"yyyy-mm-dd hh:mm"),INDEX(상세표[종료],$M519)&amp;""))</f>
        <v/>
      </c>
      <c r="F519">
        <f>IF($M519="","",INDEX(상세표[기록 시간외],$M519))</f>
        <v/>
      </c>
      <c r="G519">
        <f>IF($M519="","",INDEX(상세표[시작월 기관],$M519)&amp;"")</f>
        <v/>
      </c>
      <c r="H519">
        <f>IF($M519="","",INDEX(상세표[종료월 기관],$M519)&amp;"")</f>
        <v/>
      </c>
      <c r="I519">
        <f>IF($M519="","",INDEX(상세표[월경계 판정],$M519)&amp;"")</f>
        <v/>
      </c>
      <c r="J519">
        <f>IF($M519="","",INDEX(상세표[반영월],$M519)&amp;"")</f>
        <v/>
      </c>
      <c r="K519">
        <f>IF($M519="","",INDEX(상세표[반영 기관],$M519)&amp;"")</f>
        <v/>
      </c>
      <c r="L519">
        <f>IF($M519="","",INDEX(상세표[기관 출처],$M519)&amp;"")</f>
        <v/>
      </c>
      <c r="M519" s="4">
        <f>IFERROR(MATCH(514,상세표[경계순번],0),"")</f>
        <v/>
      </c>
    </row>
    <row r="520">
      <c r="A520">
        <f>IF($M520="","",INDEX(상세표[사번],$M520)&amp;"")</f>
        <v/>
      </c>
      <c r="B520">
        <f>IF($M520="","",INDEX(상세표[성명],$M520)&amp;"")</f>
        <v/>
      </c>
      <c r="C520">
        <f>IF($M520="","",IF(INDEX(상세표[종료월],$M520)=대상월키,"전월→이번 달","이번 달→익월"))</f>
        <v/>
      </c>
      <c r="D520">
        <f>IF($M520="","",IF(ISNUMBER(INDEX(상세표[시작],$M520)),TEXT(INDEX(상세표[시작],$M520),"yyyy-mm-dd hh:mm"),INDEX(상세표[시작],$M520)&amp;""))</f>
        <v/>
      </c>
      <c r="E520">
        <f>IF($M520="","",IF(ISNUMBER(INDEX(상세표[종료],$M520)),TEXT(INDEX(상세표[종료],$M520),"yyyy-mm-dd hh:mm"),INDEX(상세표[종료],$M520)&amp;""))</f>
        <v/>
      </c>
      <c r="F520">
        <f>IF($M520="","",INDEX(상세표[기록 시간외],$M520))</f>
        <v/>
      </c>
      <c r="G520">
        <f>IF($M520="","",INDEX(상세표[시작월 기관],$M520)&amp;"")</f>
        <v/>
      </c>
      <c r="H520">
        <f>IF($M520="","",INDEX(상세표[종료월 기관],$M520)&amp;"")</f>
        <v/>
      </c>
      <c r="I520">
        <f>IF($M520="","",INDEX(상세표[월경계 판정],$M520)&amp;"")</f>
        <v/>
      </c>
      <c r="J520">
        <f>IF($M520="","",INDEX(상세표[반영월],$M520)&amp;"")</f>
        <v/>
      </c>
      <c r="K520">
        <f>IF($M520="","",INDEX(상세표[반영 기관],$M520)&amp;"")</f>
        <v/>
      </c>
      <c r="L520">
        <f>IF($M520="","",INDEX(상세표[기관 출처],$M520)&amp;"")</f>
        <v/>
      </c>
      <c r="M520" s="4">
        <f>IFERROR(MATCH(515,상세표[경계순번],0),"")</f>
        <v/>
      </c>
    </row>
    <row r="521">
      <c r="A521">
        <f>IF($M521="","",INDEX(상세표[사번],$M521)&amp;"")</f>
        <v/>
      </c>
      <c r="B521">
        <f>IF($M521="","",INDEX(상세표[성명],$M521)&amp;"")</f>
        <v/>
      </c>
      <c r="C521">
        <f>IF($M521="","",IF(INDEX(상세표[종료월],$M521)=대상월키,"전월→이번 달","이번 달→익월"))</f>
        <v/>
      </c>
      <c r="D521">
        <f>IF($M521="","",IF(ISNUMBER(INDEX(상세표[시작],$M521)),TEXT(INDEX(상세표[시작],$M521),"yyyy-mm-dd hh:mm"),INDEX(상세표[시작],$M521)&amp;""))</f>
        <v/>
      </c>
      <c r="E521">
        <f>IF($M521="","",IF(ISNUMBER(INDEX(상세표[종료],$M521)),TEXT(INDEX(상세표[종료],$M521),"yyyy-mm-dd hh:mm"),INDEX(상세표[종료],$M521)&amp;""))</f>
        <v/>
      </c>
      <c r="F521">
        <f>IF($M521="","",INDEX(상세표[기록 시간외],$M521))</f>
        <v/>
      </c>
      <c r="G521">
        <f>IF($M521="","",INDEX(상세표[시작월 기관],$M521)&amp;"")</f>
        <v/>
      </c>
      <c r="H521">
        <f>IF($M521="","",INDEX(상세표[종료월 기관],$M521)&amp;"")</f>
        <v/>
      </c>
      <c r="I521">
        <f>IF($M521="","",INDEX(상세표[월경계 판정],$M521)&amp;"")</f>
        <v/>
      </c>
      <c r="J521">
        <f>IF($M521="","",INDEX(상세표[반영월],$M521)&amp;"")</f>
        <v/>
      </c>
      <c r="K521">
        <f>IF($M521="","",INDEX(상세표[반영 기관],$M521)&amp;"")</f>
        <v/>
      </c>
      <c r="L521">
        <f>IF($M521="","",INDEX(상세표[기관 출처],$M521)&amp;"")</f>
        <v/>
      </c>
      <c r="M521" s="4">
        <f>IFERROR(MATCH(516,상세표[경계순번],0),"")</f>
        <v/>
      </c>
    </row>
    <row r="522">
      <c r="A522">
        <f>IF($M522="","",INDEX(상세표[사번],$M522)&amp;"")</f>
        <v/>
      </c>
      <c r="B522">
        <f>IF($M522="","",INDEX(상세표[성명],$M522)&amp;"")</f>
        <v/>
      </c>
      <c r="C522">
        <f>IF($M522="","",IF(INDEX(상세표[종료월],$M522)=대상월키,"전월→이번 달","이번 달→익월"))</f>
        <v/>
      </c>
      <c r="D522">
        <f>IF($M522="","",IF(ISNUMBER(INDEX(상세표[시작],$M522)),TEXT(INDEX(상세표[시작],$M522),"yyyy-mm-dd hh:mm"),INDEX(상세표[시작],$M522)&amp;""))</f>
        <v/>
      </c>
      <c r="E522">
        <f>IF($M522="","",IF(ISNUMBER(INDEX(상세표[종료],$M522)),TEXT(INDEX(상세표[종료],$M522),"yyyy-mm-dd hh:mm"),INDEX(상세표[종료],$M522)&amp;""))</f>
        <v/>
      </c>
      <c r="F522">
        <f>IF($M522="","",INDEX(상세표[기록 시간외],$M522))</f>
        <v/>
      </c>
      <c r="G522">
        <f>IF($M522="","",INDEX(상세표[시작월 기관],$M522)&amp;"")</f>
        <v/>
      </c>
      <c r="H522">
        <f>IF($M522="","",INDEX(상세표[종료월 기관],$M522)&amp;"")</f>
        <v/>
      </c>
      <c r="I522">
        <f>IF($M522="","",INDEX(상세표[월경계 판정],$M522)&amp;"")</f>
        <v/>
      </c>
      <c r="J522">
        <f>IF($M522="","",INDEX(상세표[반영월],$M522)&amp;"")</f>
        <v/>
      </c>
      <c r="K522">
        <f>IF($M522="","",INDEX(상세표[반영 기관],$M522)&amp;"")</f>
        <v/>
      </c>
      <c r="L522">
        <f>IF($M522="","",INDEX(상세표[기관 출처],$M522)&amp;"")</f>
        <v/>
      </c>
      <c r="M522" s="4">
        <f>IFERROR(MATCH(517,상세표[경계순번],0),"")</f>
        <v/>
      </c>
    </row>
    <row r="523">
      <c r="A523">
        <f>IF($M523="","",INDEX(상세표[사번],$M523)&amp;"")</f>
        <v/>
      </c>
      <c r="B523">
        <f>IF($M523="","",INDEX(상세표[성명],$M523)&amp;"")</f>
        <v/>
      </c>
      <c r="C523">
        <f>IF($M523="","",IF(INDEX(상세표[종료월],$M523)=대상월키,"전월→이번 달","이번 달→익월"))</f>
        <v/>
      </c>
      <c r="D523">
        <f>IF($M523="","",IF(ISNUMBER(INDEX(상세표[시작],$M523)),TEXT(INDEX(상세표[시작],$M523),"yyyy-mm-dd hh:mm"),INDEX(상세표[시작],$M523)&amp;""))</f>
        <v/>
      </c>
      <c r="E523">
        <f>IF($M523="","",IF(ISNUMBER(INDEX(상세표[종료],$M523)),TEXT(INDEX(상세표[종료],$M523),"yyyy-mm-dd hh:mm"),INDEX(상세표[종료],$M523)&amp;""))</f>
        <v/>
      </c>
      <c r="F523">
        <f>IF($M523="","",INDEX(상세표[기록 시간외],$M523))</f>
        <v/>
      </c>
      <c r="G523">
        <f>IF($M523="","",INDEX(상세표[시작월 기관],$M523)&amp;"")</f>
        <v/>
      </c>
      <c r="H523">
        <f>IF($M523="","",INDEX(상세표[종료월 기관],$M523)&amp;"")</f>
        <v/>
      </c>
      <c r="I523">
        <f>IF($M523="","",INDEX(상세표[월경계 판정],$M523)&amp;"")</f>
        <v/>
      </c>
      <c r="J523">
        <f>IF($M523="","",INDEX(상세표[반영월],$M523)&amp;"")</f>
        <v/>
      </c>
      <c r="K523">
        <f>IF($M523="","",INDEX(상세표[반영 기관],$M523)&amp;"")</f>
        <v/>
      </c>
      <c r="L523">
        <f>IF($M523="","",INDEX(상세표[기관 출처],$M523)&amp;"")</f>
        <v/>
      </c>
      <c r="M523" s="4">
        <f>IFERROR(MATCH(518,상세표[경계순번],0),"")</f>
        <v/>
      </c>
    </row>
    <row r="524">
      <c r="A524">
        <f>IF($M524="","",INDEX(상세표[사번],$M524)&amp;"")</f>
        <v/>
      </c>
      <c r="B524">
        <f>IF($M524="","",INDEX(상세표[성명],$M524)&amp;"")</f>
        <v/>
      </c>
      <c r="C524">
        <f>IF($M524="","",IF(INDEX(상세표[종료월],$M524)=대상월키,"전월→이번 달","이번 달→익월"))</f>
        <v/>
      </c>
      <c r="D524">
        <f>IF($M524="","",IF(ISNUMBER(INDEX(상세표[시작],$M524)),TEXT(INDEX(상세표[시작],$M524),"yyyy-mm-dd hh:mm"),INDEX(상세표[시작],$M524)&amp;""))</f>
        <v/>
      </c>
      <c r="E524">
        <f>IF($M524="","",IF(ISNUMBER(INDEX(상세표[종료],$M524)),TEXT(INDEX(상세표[종료],$M524),"yyyy-mm-dd hh:mm"),INDEX(상세표[종료],$M524)&amp;""))</f>
        <v/>
      </c>
      <c r="F524">
        <f>IF($M524="","",INDEX(상세표[기록 시간외],$M524))</f>
        <v/>
      </c>
      <c r="G524">
        <f>IF($M524="","",INDEX(상세표[시작월 기관],$M524)&amp;"")</f>
        <v/>
      </c>
      <c r="H524">
        <f>IF($M524="","",INDEX(상세표[종료월 기관],$M524)&amp;"")</f>
        <v/>
      </c>
      <c r="I524">
        <f>IF($M524="","",INDEX(상세표[월경계 판정],$M524)&amp;"")</f>
        <v/>
      </c>
      <c r="J524">
        <f>IF($M524="","",INDEX(상세표[반영월],$M524)&amp;"")</f>
        <v/>
      </c>
      <c r="K524">
        <f>IF($M524="","",INDEX(상세표[반영 기관],$M524)&amp;"")</f>
        <v/>
      </c>
      <c r="L524">
        <f>IF($M524="","",INDEX(상세표[기관 출처],$M524)&amp;"")</f>
        <v/>
      </c>
      <c r="M524" s="4">
        <f>IFERROR(MATCH(519,상세표[경계순번],0),"")</f>
        <v/>
      </c>
    </row>
    <row r="525">
      <c r="A525">
        <f>IF($M525="","",INDEX(상세표[사번],$M525)&amp;"")</f>
        <v/>
      </c>
      <c r="B525">
        <f>IF($M525="","",INDEX(상세표[성명],$M525)&amp;"")</f>
        <v/>
      </c>
      <c r="C525">
        <f>IF($M525="","",IF(INDEX(상세표[종료월],$M525)=대상월키,"전월→이번 달","이번 달→익월"))</f>
        <v/>
      </c>
      <c r="D525">
        <f>IF($M525="","",IF(ISNUMBER(INDEX(상세표[시작],$M525)),TEXT(INDEX(상세표[시작],$M525),"yyyy-mm-dd hh:mm"),INDEX(상세표[시작],$M525)&amp;""))</f>
        <v/>
      </c>
      <c r="E525">
        <f>IF($M525="","",IF(ISNUMBER(INDEX(상세표[종료],$M525)),TEXT(INDEX(상세표[종료],$M525),"yyyy-mm-dd hh:mm"),INDEX(상세표[종료],$M525)&amp;""))</f>
        <v/>
      </c>
      <c r="F525">
        <f>IF($M525="","",INDEX(상세표[기록 시간외],$M525))</f>
        <v/>
      </c>
      <c r="G525">
        <f>IF($M525="","",INDEX(상세표[시작월 기관],$M525)&amp;"")</f>
        <v/>
      </c>
      <c r="H525">
        <f>IF($M525="","",INDEX(상세표[종료월 기관],$M525)&amp;"")</f>
        <v/>
      </c>
      <c r="I525">
        <f>IF($M525="","",INDEX(상세표[월경계 판정],$M525)&amp;"")</f>
        <v/>
      </c>
      <c r="J525">
        <f>IF($M525="","",INDEX(상세표[반영월],$M525)&amp;"")</f>
        <v/>
      </c>
      <c r="K525">
        <f>IF($M525="","",INDEX(상세표[반영 기관],$M525)&amp;"")</f>
        <v/>
      </c>
      <c r="L525">
        <f>IF($M525="","",INDEX(상세표[기관 출처],$M525)&amp;"")</f>
        <v/>
      </c>
      <c r="M525" s="4">
        <f>IFERROR(MATCH(520,상세표[경계순번],0),"")</f>
        <v/>
      </c>
    </row>
    <row r="526">
      <c r="A526">
        <f>IF($M526="","",INDEX(상세표[사번],$M526)&amp;"")</f>
        <v/>
      </c>
      <c r="B526">
        <f>IF($M526="","",INDEX(상세표[성명],$M526)&amp;"")</f>
        <v/>
      </c>
      <c r="C526">
        <f>IF($M526="","",IF(INDEX(상세표[종료월],$M526)=대상월키,"전월→이번 달","이번 달→익월"))</f>
        <v/>
      </c>
      <c r="D526">
        <f>IF($M526="","",IF(ISNUMBER(INDEX(상세표[시작],$M526)),TEXT(INDEX(상세표[시작],$M526),"yyyy-mm-dd hh:mm"),INDEX(상세표[시작],$M526)&amp;""))</f>
        <v/>
      </c>
      <c r="E526">
        <f>IF($M526="","",IF(ISNUMBER(INDEX(상세표[종료],$M526)),TEXT(INDEX(상세표[종료],$M526),"yyyy-mm-dd hh:mm"),INDEX(상세표[종료],$M526)&amp;""))</f>
        <v/>
      </c>
      <c r="F526">
        <f>IF($M526="","",INDEX(상세표[기록 시간외],$M526))</f>
        <v/>
      </c>
      <c r="G526">
        <f>IF($M526="","",INDEX(상세표[시작월 기관],$M526)&amp;"")</f>
        <v/>
      </c>
      <c r="H526">
        <f>IF($M526="","",INDEX(상세표[종료월 기관],$M526)&amp;"")</f>
        <v/>
      </c>
      <c r="I526">
        <f>IF($M526="","",INDEX(상세표[월경계 판정],$M526)&amp;"")</f>
        <v/>
      </c>
      <c r="J526">
        <f>IF($M526="","",INDEX(상세표[반영월],$M526)&amp;"")</f>
        <v/>
      </c>
      <c r="K526">
        <f>IF($M526="","",INDEX(상세표[반영 기관],$M526)&amp;"")</f>
        <v/>
      </c>
      <c r="L526">
        <f>IF($M526="","",INDEX(상세표[기관 출처],$M526)&amp;"")</f>
        <v/>
      </c>
      <c r="M526" s="4">
        <f>IFERROR(MATCH(521,상세표[경계순번],0),"")</f>
        <v/>
      </c>
    </row>
    <row r="527">
      <c r="A527">
        <f>IF($M527="","",INDEX(상세표[사번],$M527)&amp;"")</f>
        <v/>
      </c>
      <c r="B527">
        <f>IF($M527="","",INDEX(상세표[성명],$M527)&amp;"")</f>
        <v/>
      </c>
      <c r="C527">
        <f>IF($M527="","",IF(INDEX(상세표[종료월],$M527)=대상월키,"전월→이번 달","이번 달→익월"))</f>
        <v/>
      </c>
      <c r="D527">
        <f>IF($M527="","",IF(ISNUMBER(INDEX(상세표[시작],$M527)),TEXT(INDEX(상세표[시작],$M527),"yyyy-mm-dd hh:mm"),INDEX(상세표[시작],$M527)&amp;""))</f>
        <v/>
      </c>
      <c r="E527">
        <f>IF($M527="","",IF(ISNUMBER(INDEX(상세표[종료],$M527)),TEXT(INDEX(상세표[종료],$M527),"yyyy-mm-dd hh:mm"),INDEX(상세표[종료],$M527)&amp;""))</f>
        <v/>
      </c>
      <c r="F527">
        <f>IF($M527="","",INDEX(상세표[기록 시간외],$M527))</f>
        <v/>
      </c>
      <c r="G527">
        <f>IF($M527="","",INDEX(상세표[시작월 기관],$M527)&amp;"")</f>
        <v/>
      </c>
      <c r="H527">
        <f>IF($M527="","",INDEX(상세표[종료월 기관],$M527)&amp;"")</f>
        <v/>
      </c>
      <c r="I527">
        <f>IF($M527="","",INDEX(상세표[월경계 판정],$M527)&amp;"")</f>
        <v/>
      </c>
      <c r="J527">
        <f>IF($M527="","",INDEX(상세표[반영월],$M527)&amp;"")</f>
        <v/>
      </c>
      <c r="K527">
        <f>IF($M527="","",INDEX(상세표[반영 기관],$M527)&amp;"")</f>
        <v/>
      </c>
      <c r="L527">
        <f>IF($M527="","",INDEX(상세표[기관 출처],$M527)&amp;"")</f>
        <v/>
      </c>
      <c r="M527" s="4">
        <f>IFERROR(MATCH(522,상세표[경계순번],0),"")</f>
        <v/>
      </c>
    </row>
    <row r="528">
      <c r="A528">
        <f>IF($M528="","",INDEX(상세표[사번],$M528)&amp;"")</f>
        <v/>
      </c>
      <c r="B528">
        <f>IF($M528="","",INDEX(상세표[성명],$M528)&amp;"")</f>
        <v/>
      </c>
      <c r="C528">
        <f>IF($M528="","",IF(INDEX(상세표[종료월],$M528)=대상월키,"전월→이번 달","이번 달→익월"))</f>
        <v/>
      </c>
      <c r="D528">
        <f>IF($M528="","",IF(ISNUMBER(INDEX(상세표[시작],$M528)),TEXT(INDEX(상세표[시작],$M528),"yyyy-mm-dd hh:mm"),INDEX(상세표[시작],$M528)&amp;""))</f>
        <v/>
      </c>
      <c r="E528">
        <f>IF($M528="","",IF(ISNUMBER(INDEX(상세표[종료],$M528)),TEXT(INDEX(상세표[종료],$M528),"yyyy-mm-dd hh:mm"),INDEX(상세표[종료],$M528)&amp;""))</f>
        <v/>
      </c>
      <c r="F528">
        <f>IF($M528="","",INDEX(상세표[기록 시간외],$M528))</f>
        <v/>
      </c>
      <c r="G528">
        <f>IF($M528="","",INDEX(상세표[시작월 기관],$M528)&amp;"")</f>
        <v/>
      </c>
      <c r="H528">
        <f>IF($M528="","",INDEX(상세표[종료월 기관],$M528)&amp;"")</f>
        <v/>
      </c>
      <c r="I528">
        <f>IF($M528="","",INDEX(상세표[월경계 판정],$M528)&amp;"")</f>
        <v/>
      </c>
      <c r="J528">
        <f>IF($M528="","",INDEX(상세표[반영월],$M528)&amp;"")</f>
        <v/>
      </c>
      <c r="K528">
        <f>IF($M528="","",INDEX(상세표[반영 기관],$M528)&amp;"")</f>
        <v/>
      </c>
      <c r="L528">
        <f>IF($M528="","",INDEX(상세표[기관 출처],$M528)&amp;"")</f>
        <v/>
      </c>
      <c r="M528" s="4">
        <f>IFERROR(MATCH(523,상세표[경계순번],0),"")</f>
        <v/>
      </c>
    </row>
    <row r="529">
      <c r="A529">
        <f>IF($M529="","",INDEX(상세표[사번],$M529)&amp;"")</f>
        <v/>
      </c>
      <c r="B529">
        <f>IF($M529="","",INDEX(상세표[성명],$M529)&amp;"")</f>
        <v/>
      </c>
      <c r="C529">
        <f>IF($M529="","",IF(INDEX(상세표[종료월],$M529)=대상월키,"전월→이번 달","이번 달→익월"))</f>
        <v/>
      </c>
      <c r="D529">
        <f>IF($M529="","",IF(ISNUMBER(INDEX(상세표[시작],$M529)),TEXT(INDEX(상세표[시작],$M529),"yyyy-mm-dd hh:mm"),INDEX(상세표[시작],$M529)&amp;""))</f>
        <v/>
      </c>
      <c r="E529">
        <f>IF($M529="","",IF(ISNUMBER(INDEX(상세표[종료],$M529)),TEXT(INDEX(상세표[종료],$M529),"yyyy-mm-dd hh:mm"),INDEX(상세표[종료],$M529)&amp;""))</f>
        <v/>
      </c>
      <c r="F529">
        <f>IF($M529="","",INDEX(상세표[기록 시간외],$M529))</f>
        <v/>
      </c>
      <c r="G529">
        <f>IF($M529="","",INDEX(상세표[시작월 기관],$M529)&amp;"")</f>
        <v/>
      </c>
      <c r="H529">
        <f>IF($M529="","",INDEX(상세표[종료월 기관],$M529)&amp;"")</f>
        <v/>
      </c>
      <c r="I529">
        <f>IF($M529="","",INDEX(상세표[월경계 판정],$M529)&amp;"")</f>
        <v/>
      </c>
      <c r="J529">
        <f>IF($M529="","",INDEX(상세표[반영월],$M529)&amp;"")</f>
        <v/>
      </c>
      <c r="K529">
        <f>IF($M529="","",INDEX(상세표[반영 기관],$M529)&amp;"")</f>
        <v/>
      </c>
      <c r="L529">
        <f>IF($M529="","",INDEX(상세표[기관 출처],$M529)&amp;"")</f>
        <v/>
      </c>
      <c r="M529" s="4">
        <f>IFERROR(MATCH(524,상세표[경계순번],0),"")</f>
        <v/>
      </c>
    </row>
    <row r="530">
      <c r="A530">
        <f>IF($M530="","",INDEX(상세표[사번],$M530)&amp;"")</f>
        <v/>
      </c>
      <c r="B530">
        <f>IF($M530="","",INDEX(상세표[성명],$M530)&amp;"")</f>
        <v/>
      </c>
      <c r="C530">
        <f>IF($M530="","",IF(INDEX(상세표[종료월],$M530)=대상월키,"전월→이번 달","이번 달→익월"))</f>
        <v/>
      </c>
      <c r="D530">
        <f>IF($M530="","",IF(ISNUMBER(INDEX(상세표[시작],$M530)),TEXT(INDEX(상세표[시작],$M530),"yyyy-mm-dd hh:mm"),INDEX(상세표[시작],$M530)&amp;""))</f>
        <v/>
      </c>
      <c r="E530">
        <f>IF($M530="","",IF(ISNUMBER(INDEX(상세표[종료],$M530)),TEXT(INDEX(상세표[종료],$M530),"yyyy-mm-dd hh:mm"),INDEX(상세표[종료],$M530)&amp;""))</f>
        <v/>
      </c>
      <c r="F530">
        <f>IF($M530="","",INDEX(상세표[기록 시간외],$M530))</f>
        <v/>
      </c>
      <c r="G530">
        <f>IF($M530="","",INDEX(상세표[시작월 기관],$M530)&amp;"")</f>
        <v/>
      </c>
      <c r="H530">
        <f>IF($M530="","",INDEX(상세표[종료월 기관],$M530)&amp;"")</f>
        <v/>
      </c>
      <c r="I530">
        <f>IF($M530="","",INDEX(상세표[월경계 판정],$M530)&amp;"")</f>
        <v/>
      </c>
      <c r="J530">
        <f>IF($M530="","",INDEX(상세표[반영월],$M530)&amp;"")</f>
        <v/>
      </c>
      <c r="K530">
        <f>IF($M530="","",INDEX(상세표[반영 기관],$M530)&amp;"")</f>
        <v/>
      </c>
      <c r="L530">
        <f>IF($M530="","",INDEX(상세표[기관 출처],$M530)&amp;"")</f>
        <v/>
      </c>
      <c r="M530" s="4">
        <f>IFERROR(MATCH(525,상세표[경계순번],0),"")</f>
        <v/>
      </c>
    </row>
    <row r="531">
      <c r="A531">
        <f>IF($M531="","",INDEX(상세표[사번],$M531)&amp;"")</f>
        <v/>
      </c>
      <c r="B531">
        <f>IF($M531="","",INDEX(상세표[성명],$M531)&amp;"")</f>
        <v/>
      </c>
      <c r="C531">
        <f>IF($M531="","",IF(INDEX(상세표[종료월],$M531)=대상월키,"전월→이번 달","이번 달→익월"))</f>
        <v/>
      </c>
      <c r="D531">
        <f>IF($M531="","",IF(ISNUMBER(INDEX(상세표[시작],$M531)),TEXT(INDEX(상세표[시작],$M531),"yyyy-mm-dd hh:mm"),INDEX(상세표[시작],$M531)&amp;""))</f>
        <v/>
      </c>
      <c r="E531">
        <f>IF($M531="","",IF(ISNUMBER(INDEX(상세표[종료],$M531)),TEXT(INDEX(상세표[종료],$M531),"yyyy-mm-dd hh:mm"),INDEX(상세표[종료],$M531)&amp;""))</f>
        <v/>
      </c>
      <c r="F531">
        <f>IF($M531="","",INDEX(상세표[기록 시간외],$M531))</f>
        <v/>
      </c>
      <c r="G531">
        <f>IF($M531="","",INDEX(상세표[시작월 기관],$M531)&amp;"")</f>
        <v/>
      </c>
      <c r="H531">
        <f>IF($M531="","",INDEX(상세표[종료월 기관],$M531)&amp;"")</f>
        <v/>
      </c>
      <c r="I531">
        <f>IF($M531="","",INDEX(상세표[월경계 판정],$M531)&amp;"")</f>
        <v/>
      </c>
      <c r="J531">
        <f>IF($M531="","",INDEX(상세표[반영월],$M531)&amp;"")</f>
        <v/>
      </c>
      <c r="K531">
        <f>IF($M531="","",INDEX(상세표[반영 기관],$M531)&amp;"")</f>
        <v/>
      </c>
      <c r="L531">
        <f>IF($M531="","",INDEX(상세표[기관 출처],$M531)&amp;"")</f>
        <v/>
      </c>
      <c r="M531" s="4">
        <f>IFERROR(MATCH(526,상세표[경계순번],0),"")</f>
        <v/>
      </c>
    </row>
    <row r="532">
      <c r="A532">
        <f>IF($M532="","",INDEX(상세표[사번],$M532)&amp;"")</f>
        <v/>
      </c>
      <c r="B532">
        <f>IF($M532="","",INDEX(상세표[성명],$M532)&amp;"")</f>
        <v/>
      </c>
      <c r="C532">
        <f>IF($M532="","",IF(INDEX(상세표[종료월],$M532)=대상월키,"전월→이번 달","이번 달→익월"))</f>
        <v/>
      </c>
      <c r="D532">
        <f>IF($M532="","",IF(ISNUMBER(INDEX(상세표[시작],$M532)),TEXT(INDEX(상세표[시작],$M532),"yyyy-mm-dd hh:mm"),INDEX(상세표[시작],$M532)&amp;""))</f>
        <v/>
      </c>
      <c r="E532">
        <f>IF($M532="","",IF(ISNUMBER(INDEX(상세표[종료],$M532)),TEXT(INDEX(상세표[종료],$M532),"yyyy-mm-dd hh:mm"),INDEX(상세표[종료],$M532)&amp;""))</f>
        <v/>
      </c>
      <c r="F532">
        <f>IF($M532="","",INDEX(상세표[기록 시간외],$M532))</f>
        <v/>
      </c>
      <c r="G532">
        <f>IF($M532="","",INDEX(상세표[시작월 기관],$M532)&amp;"")</f>
        <v/>
      </c>
      <c r="H532">
        <f>IF($M532="","",INDEX(상세표[종료월 기관],$M532)&amp;"")</f>
        <v/>
      </c>
      <c r="I532">
        <f>IF($M532="","",INDEX(상세표[월경계 판정],$M532)&amp;"")</f>
        <v/>
      </c>
      <c r="J532">
        <f>IF($M532="","",INDEX(상세표[반영월],$M532)&amp;"")</f>
        <v/>
      </c>
      <c r="K532">
        <f>IF($M532="","",INDEX(상세표[반영 기관],$M532)&amp;"")</f>
        <v/>
      </c>
      <c r="L532">
        <f>IF($M532="","",INDEX(상세표[기관 출처],$M532)&amp;"")</f>
        <v/>
      </c>
      <c r="M532" s="4">
        <f>IFERROR(MATCH(527,상세표[경계순번],0),"")</f>
        <v/>
      </c>
    </row>
    <row r="533">
      <c r="A533">
        <f>IF($M533="","",INDEX(상세표[사번],$M533)&amp;"")</f>
        <v/>
      </c>
      <c r="B533">
        <f>IF($M533="","",INDEX(상세표[성명],$M533)&amp;"")</f>
        <v/>
      </c>
      <c r="C533">
        <f>IF($M533="","",IF(INDEX(상세표[종료월],$M533)=대상월키,"전월→이번 달","이번 달→익월"))</f>
        <v/>
      </c>
      <c r="D533">
        <f>IF($M533="","",IF(ISNUMBER(INDEX(상세표[시작],$M533)),TEXT(INDEX(상세표[시작],$M533),"yyyy-mm-dd hh:mm"),INDEX(상세표[시작],$M533)&amp;""))</f>
        <v/>
      </c>
      <c r="E533">
        <f>IF($M533="","",IF(ISNUMBER(INDEX(상세표[종료],$M533)),TEXT(INDEX(상세표[종료],$M533),"yyyy-mm-dd hh:mm"),INDEX(상세표[종료],$M533)&amp;""))</f>
        <v/>
      </c>
      <c r="F533">
        <f>IF($M533="","",INDEX(상세표[기록 시간외],$M533))</f>
        <v/>
      </c>
      <c r="G533">
        <f>IF($M533="","",INDEX(상세표[시작월 기관],$M533)&amp;"")</f>
        <v/>
      </c>
      <c r="H533">
        <f>IF($M533="","",INDEX(상세표[종료월 기관],$M533)&amp;"")</f>
        <v/>
      </c>
      <c r="I533">
        <f>IF($M533="","",INDEX(상세표[월경계 판정],$M533)&amp;"")</f>
        <v/>
      </c>
      <c r="J533">
        <f>IF($M533="","",INDEX(상세표[반영월],$M533)&amp;"")</f>
        <v/>
      </c>
      <c r="K533">
        <f>IF($M533="","",INDEX(상세표[반영 기관],$M533)&amp;"")</f>
        <v/>
      </c>
      <c r="L533">
        <f>IF($M533="","",INDEX(상세표[기관 출처],$M533)&amp;"")</f>
        <v/>
      </c>
      <c r="M533" s="4">
        <f>IFERROR(MATCH(528,상세표[경계순번],0),"")</f>
        <v/>
      </c>
    </row>
    <row r="534">
      <c r="A534">
        <f>IF($M534="","",INDEX(상세표[사번],$M534)&amp;"")</f>
        <v/>
      </c>
      <c r="B534">
        <f>IF($M534="","",INDEX(상세표[성명],$M534)&amp;"")</f>
        <v/>
      </c>
      <c r="C534">
        <f>IF($M534="","",IF(INDEX(상세표[종료월],$M534)=대상월키,"전월→이번 달","이번 달→익월"))</f>
        <v/>
      </c>
      <c r="D534">
        <f>IF($M534="","",IF(ISNUMBER(INDEX(상세표[시작],$M534)),TEXT(INDEX(상세표[시작],$M534),"yyyy-mm-dd hh:mm"),INDEX(상세표[시작],$M534)&amp;""))</f>
        <v/>
      </c>
      <c r="E534">
        <f>IF($M534="","",IF(ISNUMBER(INDEX(상세표[종료],$M534)),TEXT(INDEX(상세표[종료],$M534),"yyyy-mm-dd hh:mm"),INDEX(상세표[종료],$M534)&amp;""))</f>
        <v/>
      </c>
      <c r="F534">
        <f>IF($M534="","",INDEX(상세표[기록 시간외],$M534))</f>
        <v/>
      </c>
      <c r="G534">
        <f>IF($M534="","",INDEX(상세표[시작월 기관],$M534)&amp;"")</f>
        <v/>
      </c>
      <c r="H534">
        <f>IF($M534="","",INDEX(상세표[종료월 기관],$M534)&amp;"")</f>
        <v/>
      </c>
      <c r="I534">
        <f>IF($M534="","",INDEX(상세표[월경계 판정],$M534)&amp;"")</f>
        <v/>
      </c>
      <c r="J534">
        <f>IF($M534="","",INDEX(상세표[반영월],$M534)&amp;"")</f>
        <v/>
      </c>
      <c r="K534">
        <f>IF($M534="","",INDEX(상세표[반영 기관],$M534)&amp;"")</f>
        <v/>
      </c>
      <c r="L534">
        <f>IF($M534="","",INDEX(상세표[기관 출처],$M534)&amp;"")</f>
        <v/>
      </c>
      <c r="M534" s="4">
        <f>IFERROR(MATCH(529,상세표[경계순번],0),"")</f>
        <v/>
      </c>
    </row>
    <row r="535">
      <c r="A535">
        <f>IF($M535="","",INDEX(상세표[사번],$M535)&amp;"")</f>
        <v/>
      </c>
      <c r="B535">
        <f>IF($M535="","",INDEX(상세표[성명],$M535)&amp;"")</f>
        <v/>
      </c>
      <c r="C535">
        <f>IF($M535="","",IF(INDEX(상세표[종료월],$M535)=대상월키,"전월→이번 달","이번 달→익월"))</f>
        <v/>
      </c>
      <c r="D535">
        <f>IF($M535="","",IF(ISNUMBER(INDEX(상세표[시작],$M535)),TEXT(INDEX(상세표[시작],$M535),"yyyy-mm-dd hh:mm"),INDEX(상세표[시작],$M535)&amp;""))</f>
        <v/>
      </c>
      <c r="E535">
        <f>IF($M535="","",IF(ISNUMBER(INDEX(상세표[종료],$M535)),TEXT(INDEX(상세표[종료],$M535),"yyyy-mm-dd hh:mm"),INDEX(상세표[종료],$M535)&amp;""))</f>
        <v/>
      </c>
      <c r="F535">
        <f>IF($M535="","",INDEX(상세표[기록 시간외],$M535))</f>
        <v/>
      </c>
      <c r="G535">
        <f>IF($M535="","",INDEX(상세표[시작월 기관],$M535)&amp;"")</f>
        <v/>
      </c>
      <c r="H535">
        <f>IF($M535="","",INDEX(상세표[종료월 기관],$M535)&amp;"")</f>
        <v/>
      </c>
      <c r="I535">
        <f>IF($M535="","",INDEX(상세표[월경계 판정],$M535)&amp;"")</f>
        <v/>
      </c>
      <c r="J535">
        <f>IF($M535="","",INDEX(상세표[반영월],$M535)&amp;"")</f>
        <v/>
      </c>
      <c r="K535">
        <f>IF($M535="","",INDEX(상세표[반영 기관],$M535)&amp;"")</f>
        <v/>
      </c>
      <c r="L535">
        <f>IF($M535="","",INDEX(상세표[기관 출처],$M535)&amp;"")</f>
        <v/>
      </c>
      <c r="M535" s="4">
        <f>IFERROR(MATCH(530,상세표[경계순번],0),"")</f>
        <v/>
      </c>
    </row>
    <row r="536">
      <c r="A536">
        <f>IF($M536="","",INDEX(상세표[사번],$M536)&amp;"")</f>
        <v/>
      </c>
      <c r="B536">
        <f>IF($M536="","",INDEX(상세표[성명],$M536)&amp;"")</f>
        <v/>
      </c>
      <c r="C536">
        <f>IF($M536="","",IF(INDEX(상세표[종료월],$M536)=대상월키,"전월→이번 달","이번 달→익월"))</f>
        <v/>
      </c>
      <c r="D536">
        <f>IF($M536="","",IF(ISNUMBER(INDEX(상세표[시작],$M536)),TEXT(INDEX(상세표[시작],$M536),"yyyy-mm-dd hh:mm"),INDEX(상세표[시작],$M536)&amp;""))</f>
        <v/>
      </c>
      <c r="E536">
        <f>IF($M536="","",IF(ISNUMBER(INDEX(상세표[종료],$M536)),TEXT(INDEX(상세표[종료],$M536),"yyyy-mm-dd hh:mm"),INDEX(상세표[종료],$M536)&amp;""))</f>
        <v/>
      </c>
      <c r="F536">
        <f>IF($M536="","",INDEX(상세표[기록 시간외],$M536))</f>
        <v/>
      </c>
      <c r="G536">
        <f>IF($M536="","",INDEX(상세표[시작월 기관],$M536)&amp;"")</f>
        <v/>
      </c>
      <c r="H536">
        <f>IF($M536="","",INDEX(상세표[종료월 기관],$M536)&amp;"")</f>
        <v/>
      </c>
      <c r="I536">
        <f>IF($M536="","",INDEX(상세표[월경계 판정],$M536)&amp;"")</f>
        <v/>
      </c>
      <c r="J536">
        <f>IF($M536="","",INDEX(상세표[반영월],$M536)&amp;"")</f>
        <v/>
      </c>
      <c r="K536">
        <f>IF($M536="","",INDEX(상세표[반영 기관],$M536)&amp;"")</f>
        <v/>
      </c>
      <c r="L536">
        <f>IF($M536="","",INDEX(상세표[기관 출처],$M536)&amp;"")</f>
        <v/>
      </c>
      <c r="M536" s="4">
        <f>IFERROR(MATCH(531,상세표[경계순번],0),"")</f>
        <v/>
      </c>
    </row>
    <row r="537">
      <c r="A537">
        <f>IF($M537="","",INDEX(상세표[사번],$M537)&amp;"")</f>
        <v/>
      </c>
      <c r="B537">
        <f>IF($M537="","",INDEX(상세표[성명],$M537)&amp;"")</f>
        <v/>
      </c>
      <c r="C537">
        <f>IF($M537="","",IF(INDEX(상세표[종료월],$M537)=대상월키,"전월→이번 달","이번 달→익월"))</f>
        <v/>
      </c>
      <c r="D537">
        <f>IF($M537="","",IF(ISNUMBER(INDEX(상세표[시작],$M537)),TEXT(INDEX(상세표[시작],$M537),"yyyy-mm-dd hh:mm"),INDEX(상세표[시작],$M537)&amp;""))</f>
        <v/>
      </c>
      <c r="E537">
        <f>IF($M537="","",IF(ISNUMBER(INDEX(상세표[종료],$M537)),TEXT(INDEX(상세표[종료],$M537),"yyyy-mm-dd hh:mm"),INDEX(상세표[종료],$M537)&amp;""))</f>
        <v/>
      </c>
      <c r="F537">
        <f>IF($M537="","",INDEX(상세표[기록 시간외],$M537))</f>
        <v/>
      </c>
      <c r="G537">
        <f>IF($M537="","",INDEX(상세표[시작월 기관],$M537)&amp;"")</f>
        <v/>
      </c>
      <c r="H537">
        <f>IF($M537="","",INDEX(상세표[종료월 기관],$M537)&amp;"")</f>
        <v/>
      </c>
      <c r="I537">
        <f>IF($M537="","",INDEX(상세표[월경계 판정],$M537)&amp;"")</f>
        <v/>
      </c>
      <c r="J537">
        <f>IF($M537="","",INDEX(상세표[반영월],$M537)&amp;"")</f>
        <v/>
      </c>
      <c r="K537">
        <f>IF($M537="","",INDEX(상세표[반영 기관],$M537)&amp;"")</f>
        <v/>
      </c>
      <c r="L537">
        <f>IF($M537="","",INDEX(상세표[기관 출처],$M537)&amp;"")</f>
        <v/>
      </c>
      <c r="M537" s="4">
        <f>IFERROR(MATCH(532,상세표[경계순번],0),"")</f>
        <v/>
      </c>
    </row>
    <row r="538">
      <c r="A538">
        <f>IF($M538="","",INDEX(상세표[사번],$M538)&amp;"")</f>
        <v/>
      </c>
      <c r="B538">
        <f>IF($M538="","",INDEX(상세표[성명],$M538)&amp;"")</f>
        <v/>
      </c>
      <c r="C538">
        <f>IF($M538="","",IF(INDEX(상세표[종료월],$M538)=대상월키,"전월→이번 달","이번 달→익월"))</f>
        <v/>
      </c>
      <c r="D538">
        <f>IF($M538="","",IF(ISNUMBER(INDEX(상세표[시작],$M538)),TEXT(INDEX(상세표[시작],$M538),"yyyy-mm-dd hh:mm"),INDEX(상세표[시작],$M538)&amp;""))</f>
        <v/>
      </c>
      <c r="E538">
        <f>IF($M538="","",IF(ISNUMBER(INDEX(상세표[종료],$M538)),TEXT(INDEX(상세표[종료],$M538),"yyyy-mm-dd hh:mm"),INDEX(상세표[종료],$M538)&amp;""))</f>
        <v/>
      </c>
      <c r="F538">
        <f>IF($M538="","",INDEX(상세표[기록 시간외],$M538))</f>
        <v/>
      </c>
      <c r="G538">
        <f>IF($M538="","",INDEX(상세표[시작월 기관],$M538)&amp;"")</f>
        <v/>
      </c>
      <c r="H538">
        <f>IF($M538="","",INDEX(상세표[종료월 기관],$M538)&amp;"")</f>
        <v/>
      </c>
      <c r="I538">
        <f>IF($M538="","",INDEX(상세표[월경계 판정],$M538)&amp;"")</f>
        <v/>
      </c>
      <c r="J538">
        <f>IF($M538="","",INDEX(상세표[반영월],$M538)&amp;"")</f>
        <v/>
      </c>
      <c r="K538">
        <f>IF($M538="","",INDEX(상세표[반영 기관],$M538)&amp;"")</f>
        <v/>
      </c>
      <c r="L538">
        <f>IF($M538="","",INDEX(상세표[기관 출처],$M538)&amp;"")</f>
        <v/>
      </c>
      <c r="M538" s="4">
        <f>IFERROR(MATCH(533,상세표[경계순번],0),"")</f>
        <v/>
      </c>
    </row>
    <row r="539">
      <c r="A539">
        <f>IF($M539="","",INDEX(상세표[사번],$M539)&amp;"")</f>
        <v/>
      </c>
      <c r="B539">
        <f>IF($M539="","",INDEX(상세표[성명],$M539)&amp;"")</f>
        <v/>
      </c>
      <c r="C539">
        <f>IF($M539="","",IF(INDEX(상세표[종료월],$M539)=대상월키,"전월→이번 달","이번 달→익월"))</f>
        <v/>
      </c>
      <c r="D539">
        <f>IF($M539="","",IF(ISNUMBER(INDEX(상세표[시작],$M539)),TEXT(INDEX(상세표[시작],$M539),"yyyy-mm-dd hh:mm"),INDEX(상세표[시작],$M539)&amp;""))</f>
        <v/>
      </c>
      <c r="E539">
        <f>IF($M539="","",IF(ISNUMBER(INDEX(상세표[종료],$M539)),TEXT(INDEX(상세표[종료],$M539),"yyyy-mm-dd hh:mm"),INDEX(상세표[종료],$M539)&amp;""))</f>
        <v/>
      </c>
      <c r="F539">
        <f>IF($M539="","",INDEX(상세표[기록 시간외],$M539))</f>
        <v/>
      </c>
      <c r="G539">
        <f>IF($M539="","",INDEX(상세표[시작월 기관],$M539)&amp;"")</f>
        <v/>
      </c>
      <c r="H539">
        <f>IF($M539="","",INDEX(상세표[종료월 기관],$M539)&amp;"")</f>
        <v/>
      </c>
      <c r="I539">
        <f>IF($M539="","",INDEX(상세표[월경계 판정],$M539)&amp;"")</f>
        <v/>
      </c>
      <c r="J539">
        <f>IF($M539="","",INDEX(상세표[반영월],$M539)&amp;"")</f>
        <v/>
      </c>
      <c r="K539">
        <f>IF($M539="","",INDEX(상세표[반영 기관],$M539)&amp;"")</f>
        <v/>
      </c>
      <c r="L539">
        <f>IF($M539="","",INDEX(상세표[기관 출처],$M539)&amp;"")</f>
        <v/>
      </c>
      <c r="M539" s="4">
        <f>IFERROR(MATCH(534,상세표[경계순번],0),"")</f>
        <v/>
      </c>
    </row>
    <row r="540">
      <c r="A540">
        <f>IF($M540="","",INDEX(상세표[사번],$M540)&amp;"")</f>
        <v/>
      </c>
      <c r="B540">
        <f>IF($M540="","",INDEX(상세표[성명],$M540)&amp;"")</f>
        <v/>
      </c>
      <c r="C540">
        <f>IF($M540="","",IF(INDEX(상세표[종료월],$M540)=대상월키,"전월→이번 달","이번 달→익월"))</f>
        <v/>
      </c>
      <c r="D540">
        <f>IF($M540="","",IF(ISNUMBER(INDEX(상세표[시작],$M540)),TEXT(INDEX(상세표[시작],$M540),"yyyy-mm-dd hh:mm"),INDEX(상세표[시작],$M540)&amp;""))</f>
        <v/>
      </c>
      <c r="E540">
        <f>IF($M540="","",IF(ISNUMBER(INDEX(상세표[종료],$M540)),TEXT(INDEX(상세표[종료],$M540),"yyyy-mm-dd hh:mm"),INDEX(상세표[종료],$M540)&amp;""))</f>
        <v/>
      </c>
      <c r="F540">
        <f>IF($M540="","",INDEX(상세표[기록 시간외],$M540))</f>
        <v/>
      </c>
      <c r="G540">
        <f>IF($M540="","",INDEX(상세표[시작월 기관],$M540)&amp;"")</f>
        <v/>
      </c>
      <c r="H540">
        <f>IF($M540="","",INDEX(상세표[종료월 기관],$M540)&amp;"")</f>
        <v/>
      </c>
      <c r="I540">
        <f>IF($M540="","",INDEX(상세표[월경계 판정],$M540)&amp;"")</f>
        <v/>
      </c>
      <c r="J540">
        <f>IF($M540="","",INDEX(상세표[반영월],$M540)&amp;"")</f>
        <v/>
      </c>
      <c r="K540">
        <f>IF($M540="","",INDEX(상세표[반영 기관],$M540)&amp;"")</f>
        <v/>
      </c>
      <c r="L540">
        <f>IF($M540="","",INDEX(상세표[기관 출처],$M540)&amp;"")</f>
        <v/>
      </c>
      <c r="M540" s="4">
        <f>IFERROR(MATCH(535,상세표[경계순번],0),"")</f>
        <v/>
      </c>
    </row>
    <row r="541">
      <c r="A541">
        <f>IF($M541="","",INDEX(상세표[사번],$M541)&amp;"")</f>
        <v/>
      </c>
      <c r="B541">
        <f>IF($M541="","",INDEX(상세표[성명],$M541)&amp;"")</f>
        <v/>
      </c>
      <c r="C541">
        <f>IF($M541="","",IF(INDEX(상세표[종료월],$M541)=대상월키,"전월→이번 달","이번 달→익월"))</f>
        <v/>
      </c>
      <c r="D541">
        <f>IF($M541="","",IF(ISNUMBER(INDEX(상세표[시작],$M541)),TEXT(INDEX(상세표[시작],$M541),"yyyy-mm-dd hh:mm"),INDEX(상세표[시작],$M541)&amp;""))</f>
        <v/>
      </c>
      <c r="E541">
        <f>IF($M541="","",IF(ISNUMBER(INDEX(상세표[종료],$M541)),TEXT(INDEX(상세표[종료],$M541),"yyyy-mm-dd hh:mm"),INDEX(상세표[종료],$M541)&amp;""))</f>
        <v/>
      </c>
      <c r="F541">
        <f>IF($M541="","",INDEX(상세표[기록 시간외],$M541))</f>
        <v/>
      </c>
      <c r="G541">
        <f>IF($M541="","",INDEX(상세표[시작월 기관],$M541)&amp;"")</f>
        <v/>
      </c>
      <c r="H541">
        <f>IF($M541="","",INDEX(상세표[종료월 기관],$M541)&amp;"")</f>
        <v/>
      </c>
      <c r="I541">
        <f>IF($M541="","",INDEX(상세표[월경계 판정],$M541)&amp;"")</f>
        <v/>
      </c>
      <c r="J541">
        <f>IF($M541="","",INDEX(상세표[반영월],$M541)&amp;"")</f>
        <v/>
      </c>
      <c r="K541">
        <f>IF($M541="","",INDEX(상세표[반영 기관],$M541)&amp;"")</f>
        <v/>
      </c>
      <c r="L541">
        <f>IF($M541="","",INDEX(상세표[기관 출처],$M541)&amp;"")</f>
        <v/>
      </c>
      <c r="M541" s="4">
        <f>IFERROR(MATCH(536,상세표[경계순번],0),"")</f>
        <v/>
      </c>
    </row>
    <row r="542">
      <c r="A542">
        <f>IF($M542="","",INDEX(상세표[사번],$M542)&amp;"")</f>
        <v/>
      </c>
      <c r="B542">
        <f>IF($M542="","",INDEX(상세표[성명],$M542)&amp;"")</f>
        <v/>
      </c>
      <c r="C542">
        <f>IF($M542="","",IF(INDEX(상세표[종료월],$M542)=대상월키,"전월→이번 달","이번 달→익월"))</f>
        <v/>
      </c>
      <c r="D542">
        <f>IF($M542="","",IF(ISNUMBER(INDEX(상세표[시작],$M542)),TEXT(INDEX(상세표[시작],$M542),"yyyy-mm-dd hh:mm"),INDEX(상세표[시작],$M542)&amp;""))</f>
        <v/>
      </c>
      <c r="E542">
        <f>IF($M542="","",IF(ISNUMBER(INDEX(상세표[종료],$M542)),TEXT(INDEX(상세표[종료],$M542),"yyyy-mm-dd hh:mm"),INDEX(상세표[종료],$M542)&amp;""))</f>
        <v/>
      </c>
      <c r="F542">
        <f>IF($M542="","",INDEX(상세표[기록 시간외],$M542))</f>
        <v/>
      </c>
      <c r="G542">
        <f>IF($M542="","",INDEX(상세표[시작월 기관],$M542)&amp;"")</f>
        <v/>
      </c>
      <c r="H542">
        <f>IF($M542="","",INDEX(상세표[종료월 기관],$M542)&amp;"")</f>
        <v/>
      </c>
      <c r="I542">
        <f>IF($M542="","",INDEX(상세표[월경계 판정],$M542)&amp;"")</f>
        <v/>
      </c>
      <c r="J542">
        <f>IF($M542="","",INDEX(상세표[반영월],$M542)&amp;"")</f>
        <v/>
      </c>
      <c r="K542">
        <f>IF($M542="","",INDEX(상세표[반영 기관],$M542)&amp;"")</f>
        <v/>
      </c>
      <c r="L542">
        <f>IF($M542="","",INDEX(상세표[기관 출처],$M542)&amp;"")</f>
        <v/>
      </c>
      <c r="M542" s="4">
        <f>IFERROR(MATCH(537,상세표[경계순번],0),"")</f>
        <v/>
      </c>
    </row>
    <row r="543">
      <c r="A543">
        <f>IF($M543="","",INDEX(상세표[사번],$M543)&amp;"")</f>
        <v/>
      </c>
      <c r="B543">
        <f>IF($M543="","",INDEX(상세표[성명],$M543)&amp;"")</f>
        <v/>
      </c>
      <c r="C543">
        <f>IF($M543="","",IF(INDEX(상세표[종료월],$M543)=대상월키,"전월→이번 달","이번 달→익월"))</f>
        <v/>
      </c>
      <c r="D543">
        <f>IF($M543="","",IF(ISNUMBER(INDEX(상세표[시작],$M543)),TEXT(INDEX(상세표[시작],$M543),"yyyy-mm-dd hh:mm"),INDEX(상세표[시작],$M543)&amp;""))</f>
        <v/>
      </c>
      <c r="E543">
        <f>IF($M543="","",IF(ISNUMBER(INDEX(상세표[종료],$M543)),TEXT(INDEX(상세표[종료],$M543),"yyyy-mm-dd hh:mm"),INDEX(상세표[종료],$M543)&amp;""))</f>
        <v/>
      </c>
      <c r="F543">
        <f>IF($M543="","",INDEX(상세표[기록 시간외],$M543))</f>
        <v/>
      </c>
      <c r="G543">
        <f>IF($M543="","",INDEX(상세표[시작월 기관],$M543)&amp;"")</f>
        <v/>
      </c>
      <c r="H543">
        <f>IF($M543="","",INDEX(상세표[종료월 기관],$M543)&amp;"")</f>
        <v/>
      </c>
      <c r="I543">
        <f>IF($M543="","",INDEX(상세표[월경계 판정],$M543)&amp;"")</f>
        <v/>
      </c>
      <c r="J543">
        <f>IF($M543="","",INDEX(상세표[반영월],$M543)&amp;"")</f>
        <v/>
      </c>
      <c r="K543">
        <f>IF($M543="","",INDEX(상세표[반영 기관],$M543)&amp;"")</f>
        <v/>
      </c>
      <c r="L543">
        <f>IF($M543="","",INDEX(상세표[기관 출처],$M543)&amp;"")</f>
        <v/>
      </c>
      <c r="M543" s="4">
        <f>IFERROR(MATCH(538,상세표[경계순번],0),"")</f>
        <v/>
      </c>
    </row>
    <row r="544">
      <c r="A544">
        <f>IF($M544="","",INDEX(상세표[사번],$M544)&amp;"")</f>
        <v/>
      </c>
      <c r="B544">
        <f>IF($M544="","",INDEX(상세표[성명],$M544)&amp;"")</f>
        <v/>
      </c>
      <c r="C544">
        <f>IF($M544="","",IF(INDEX(상세표[종료월],$M544)=대상월키,"전월→이번 달","이번 달→익월"))</f>
        <v/>
      </c>
      <c r="D544">
        <f>IF($M544="","",IF(ISNUMBER(INDEX(상세표[시작],$M544)),TEXT(INDEX(상세표[시작],$M544),"yyyy-mm-dd hh:mm"),INDEX(상세표[시작],$M544)&amp;""))</f>
        <v/>
      </c>
      <c r="E544">
        <f>IF($M544="","",IF(ISNUMBER(INDEX(상세표[종료],$M544)),TEXT(INDEX(상세표[종료],$M544),"yyyy-mm-dd hh:mm"),INDEX(상세표[종료],$M544)&amp;""))</f>
        <v/>
      </c>
      <c r="F544">
        <f>IF($M544="","",INDEX(상세표[기록 시간외],$M544))</f>
        <v/>
      </c>
      <c r="G544">
        <f>IF($M544="","",INDEX(상세표[시작월 기관],$M544)&amp;"")</f>
        <v/>
      </c>
      <c r="H544">
        <f>IF($M544="","",INDEX(상세표[종료월 기관],$M544)&amp;"")</f>
        <v/>
      </c>
      <c r="I544">
        <f>IF($M544="","",INDEX(상세표[월경계 판정],$M544)&amp;"")</f>
        <v/>
      </c>
      <c r="J544">
        <f>IF($M544="","",INDEX(상세표[반영월],$M544)&amp;"")</f>
        <v/>
      </c>
      <c r="K544">
        <f>IF($M544="","",INDEX(상세표[반영 기관],$M544)&amp;"")</f>
        <v/>
      </c>
      <c r="L544">
        <f>IF($M544="","",INDEX(상세표[기관 출처],$M544)&amp;"")</f>
        <v/>
      </c>
      <c r="M544" s="4">
        <f>IFERROR(MATCH(539,상세표[경계순번],0),"")</f>
        <v/>
      </c>
    </row>
    <row r="545">
      <c r="A545">
        <f>IF($M545="","",INDEX(상세표[사번],$M545)&amp;"")</f>
        <v/>
      </c>
      <c r="B545">
        <f>IF($M545="","",INDEX(상세표[성명],$M545)&amp;"")</f>
        <v/>
      </c>
      <c r="C545">
        <f>IF($M545="","",IF(INDEX(상세표[종료월],$M545)=대상월키,"전월→이번 달","이번 달→익월"))</f>
        <v/>
      </c>
      <c r="D545">
        <f>IF($M545="","",IF(ISNUMBER(INDEX(상세표[시작],$M545)),TEXT(INDEX(상세표[시작],$M545),"yyyy-mm-dd hh:mm"),INDEX(상세표[시작],$M545)&amp;""))</f>
        <v/>
      </c>
      <c r="E545">
        <f>IF($M545="","",IF(ISNUMBER(INDEX(상세표[종료],$M545)),TEXT(INDEX(상세표[종료],$M545),"yyyy-mm-dd hh:mm"),INDEX(상세표[종료],$M545)&amp;""))</f>
        <v/>
      </c>
      <c r="F545">
        <f>IF($M545="","",INDEX(상세표[기록 시간외],$M545))</f>
        <v/>
      </c>
      <c r="G545">
        <f>IF($M545="","",INDEX(상세표[시작월 기관],$M545)&amp;"")</f>
        <v/>
      </c>
      <c r="H545">
        <f>IF($M545="","",INDEX(상세표[종료월 기관],$M545)&amp;"")</f>
        <v/>
      </c>
      <c r="I545">
        <f>IF($M545="","",INDEX(상세표[월경계 판정],$M545)&amp;"")</f>
        <v/>
      </c>
      <c r="J545">
        <f>IF($M545="","",INDEX(상세표[반영월],$M545)&amp;"")</f>
        <v/>
      </c>
      <c r="K545">
        <f>IF($M545="","",INDEX(상세표[반영 기관],$M545)&amp;"")</f>
        <v/>
      </c>
      <c r="L545">
        <f>IF($M545="","",INDEX(상세표[기관 출처],$M545)&amp;"")</f>
        <v/>
      </c>
      <c r="M545" s="4">
        <f>IFERROR(MATCH(540,상세표[경계순번],0),"")</f>
        <v/>
      </c>
    </row>
    <row r="546">
      <c r="A546">
        <f>IF($M546="","",INDEX(상세표[사번],$M546)&amp;"")</f>
        <v/>
      </c>
      <c r="B546">
        <f>IF($M546="","",INDEX(상세표[성명],$M546)&amp;"")</f>
        <v/>
      </c>
      <c r="C546">
        <f>IF($M546="","",IF(INDEX(상세표[종료월],$M546)=대상월키,"전월→이번 달","이번 달→익월"))</f>
        <v/>
      </c>
      <c r="D546">
        <f>IF($M546="","",IF(ISNUMBER(INDEX(상세표[시작],$M546)),TEXT(INDEX(상세표[시작],$M546),"yyyy-mm-dd hh:mm"),INDEX(상세표[시작],$M546)&amp;""))</f>
        <v/>
      </c>
      <c r="E546">
        <f>IF($M546="","",IF(ISNUMBER(INDEX(상세표[종료],$M546)),TEXT(INDEX(상세표[종료],$M546),"yyyy-mm-dd hh:mm"),INDEX(상세표[종료],$M546)&amp;""))</f>
        <v/>
      </c>
      <c r="F546">
        <f>IF($M546="","",INDEX(상세표[기록 시간외],$M546))</f>
        <v/>
      </c>
      <c r="G546">
        <f>IF($M546="","",INDEX(상세표[시작월 기관],$M546)&amp;"")</f>
        <v/>
      </c>
      <c r="H546">
        <f>IF($M546="","",INDEX(상세표[종료월 기관],$M546)&amp;"")</f>
        <v/>
      </c>
      <c r="I546">
        <f>IF($M546="","",INDEX(상세표[월경계 판정],$M546)&amp;"")</f>
        <v/>
      </c>
      <c r="J546">
        <f>IF($M546="","",INDEX(상세표[반영월],$M546)&amp;"")</f>
        <v/>
      </c>
      <c r="K546">
        <f>IF($M546="","",INDEX(상세표[반영 기관],$M546)&amp;"")</f>
        <v/>
      </c>
      <c r="L546">
        <f>IF($M546="","",INDEX(상세표[기관 출처],$M546)&amp;"")</f>
        <v/>
      </c>
      <c r="M546" s="4">
        <f>IFERROR(MATCH(541,상세표[경계순번],0),"")</f>
        <v/>
      </c>
    </row>
    <row r="547">
      <c r="A547">
        <f>IF($M547="","",INDEX(상세표[사번],$M547)&amp;"")</f>
        <v/>
      </c>
      <c r="B547">
        <f>IF($M547="","",INDEX(상세표[성명],$M547)&amp;"")</f>
        <v/>
      </c>
      <c r="C547">
        <f>IF($M547="","",IF(INDEX(상세표[종료월],$M547)=대상월키,"전월→이번 달","이번 달→익월"))</f>
        <v/>
      </c>
      <c r="D547">
        <f>IF($M547="","",IF(ISNUMBER(INDEX(상세표[시작],$M547)),TEXT(INDEX(상세표[시작],$M547),"yyyy-mm-dd hh:mm"),INDEX(상세표[시작],$M547)&amp;""))</f>
        <v/>
      </c>
      <c r="E547">
        <f>IF($M547="","",IF(ISNUMBER(INDEX(상세표[종료],$M547)),TEXT(INDEX(상세표[종료],$M547),"yyyy-mm-dd hh:mm"),INDEX(상세표[종료],$M547)&amp;""))</f>
        <v/>
      </c>
      <c r="F547">
        <f>IF($M547="","",INDEX(상세표[기록 시간외],$M547))</f>
        <v/>
      </c>
      <c r="G547">
        <f>IF($M547="","",INDEX(상세표[시작월 기관],$M547)&amp;"")</f>
        <v/>
      </c>
      <c r="H547">
        <f>IF($M547="","",INDEX(상세표[종료월 기관],$M547)&amp;"")</f>
        <v/>
      </c>
      <c r="I547">
        <f>IF($M547="","",INDEX(상세표[월경계 판정],$M547)&amp;"")</f>
        <v/>
      </c>
      <c r="J547">
        <f>IF($M547="","",INDEX(상세표[반영월],$M547)&amp;"")</f>
        <v/>
      </c>
      <c r="K547">
        <f>IF($M547="","",INDEX(상세표[반영 기관],$M547)&amp;"")</f>
        <v/>
      </c>
      <c r="L547">
        <f>IF($M547="","",INDEX(상세표[기관 출처],$M547)&amp;"")</f>
        <v/>
      </c>
      <c r="M547" s="4">
        <f>IFERROR(MATCH(542,상세표[경계순번],0),"")</f>
        <v/>
      </c>
    </row>
    <row r="548">
      <c r="A548">
        <f>IF($M548="","",INDEX(상세표[사번],$M548)&amp;"")</f>
        <v/>
      </c>
      <c r="B548">
        <f>IF($M548="","",INDEX(상세표[성명],$M548)&amp;"")</f>
        <v/>
      </c>
      <c r="C548">
        <f>IF($M548="","",IF(INDEX(상세표[종료월],$M548)=대상월키,"전월→이번 달","이번 달→익월"))</f>
        <v/>
      </c>
      <c r="D548">
        <f>IF($M548="","",IF(ISNUMBER(INDEX(상세표[시작],$M548)),TEXT(INDEX(상세표[시작],$M548),"yyyy-mm-dd hh:mm"),INDEX(상세표[시작],$M548)&amp;""))</f>
        <v/>
      </c>
      <c r="E548">
        <f>IF($M548="","",IF(ISNUMBER(INDEX(상세표[종료],$M548)),TEXT(INDEX(상세표[종료],$M548),"yyyy-mm-dd hh:mm"),INDEX(상세표[종료],$M548)&amp;""))</f>
        <v/>
      </c>
      <c r="F548">
        <f>IF($M548="","",INDEX(상세표[기록 시간외],$M548))</f>
        <v/>
      </c>
      <c r="G548">
        <f>IF($M548="","",INDEX(상세표[시작월 기관],$M548)&amp;"")</f>
        <v/>
      </c>
      <c r="H548">
        <f>IF($M548="","",INDEX(상세표[종료월 기관],$M548)&amp;"")</f>
        <v/>
      </c>
      <c r="I548">
        <f>IF($M548="","",INDEX(상세표[월경계 판정],$M548)&amp;"")</f>
        <v/>
      </c>
      <c r="J548">
        <f>IF($M548="","",INDEX(상세표[반영월],$M548)&amp;"")</f>
        <v/>
      </c>
      <c r="K548">
        <f>IF($M548="","",INDEX(상세표[반영 기관],$M548)&amp;"")</f>
        <v/>
      </c>
      <c r="L548">
        <f>IF($M548="","",INDEX(상세표[기관 출처],$M548)&amp;"")</f>
        <v/>
      </c>
      <c r="M548" s="4">
        <f>IFERROR(MATCH(543,상세표[경계순번],0),"")</f>
        <v/>
      </c>
    </row>
    <row r="549">
      <c r="A549">
        <f>IF($M549="","",INDEX(상세표[사번],$M549)&amp;"")</f>
        <v/>
      </c>
      <c r="B549">
        <f>IF($M549="","",INDEX(상세표[성명],$M549)&amp;"")</f>
        <v/>
      </c>
      <c r="C549">
        <f>IF($M549="","",IF(INDEX(상세표[종료월],$M549)=대상월키,"전월→이번 달","이번 달→익월"))</f>
        <v/>
      </c>
      <c r="D549">
        <f>IF($M549="","",IF(ISNUMBER(INDEX(상세표[시작],$M549)),TEXT(INDEX(상세표[시작],$M549),"yyyy-mm-dd hh:mm"),INDEX(상세표[시작],$M549)&amp;""))</f>
        <v/>
      </c>
      <c r="E549">
        <f>IF($M549="","",IF(ISNUMBER(INDEX(상세표[종료],$M549)),TEXT(INDEX(상세표[종료],$M549),"yyyy-mm-dd hh:mm"),INDEX(상세표[종료],$M549)&amp;""))</f>
        <v/>
      </c>
      <c r="F549">
        <f>IF($M549="","",INDEX(상세표[기록 시간외],$M549))</f>
        <v/>
      </c>
      <c r="G549">
        <f>IF($M549="","",INDEX(상세표[시작월 기관],$M549)&amp;"")</f>
        <v/>
      </c>
      <c r="H549">
        <f>IF($M549="","",INDEX(상세표[종료월 기관],$M549)&amp;"")</f>
        <v/>
      </c>
      <c r="I549">
        <f>IF($M549="","",INDEX(상세표[월경계 판정],$M549)&amp;"")</f>
        <v/>
      </c>
      <c r="J549">
        <f>IF($M549="","",INDEX(상세표[반영월],$M549)&amp;"")</f>
        <v/>
      </c>
      <c r="K549">
        <f>IF($M549="","",INDEX(상세표[반영 기관],$M549)&amp;"")</f>
        <v/>
      </c>
      <c r="L549">
        <f>IF($M549="","",INDEX(상세표[기관 출처],$M549)&amp;"")</f>
        <v/>
      </c>
      <c r="M549" s="4">
        <f>IFERROR(MATCH(544,상세표[경계순번],0),"")</f>
        <v/>
      </c>
    </row>
    <row r="550">
      <c r="A550">
        <f>IF($M550="","",INDEX(상세표[사번],$M550)&amp;"")</f>
        <v/>
      </c>
      <c r="B550">
        <f>IF($M550="","",INDEX(상세표[성명],$M550)&amp;"")</f>
        <v/>
      </c>
      <c r="C550">
        <f>IF($M550="","",IF(INDEX(상세표[종료월],$M550)=대상월키,"전월→이번 달","이번 달→익월"))</f>
        <v/>
      </c>
      <c r="D550">
        <f>IF($M550="","",IF(ISNUMBER(INDEX(상세표[시작],$M550)),TEXT(INDEX(상세표[시작],$M550),"yyyy-mm-dd hh:mm"),INDEX(상세표[시작],$M550)&amp;""))</f>
        <v/>
      </c>
      <c r="E550">
        <f>IF($M550="","",IF(ISNUMBER(INDEX(상세표[종료],$M550)),TEXT(INDEX(상세표[종료],$M550),"yyyy-mm-dd hh:mm"),INDEX(상세표[종료],$M550)&amp;""))</f>
        <v/>
      </c>
      <c r="F550">
        <f>IF($M550="","",INDEX(상세표[기록 시간외],$M550))</f>
        <v/>
      </c>
      <c r="G550">
        <f>IF($M550="","",INDEX(상세표[시작월 기관],$M550)&amp;"")</f>
        <v/>
      </c>
      <c r="H550">
        <f>IF($M550="","",INDEX(상세표[종료월 기관],$M550)&amp;"")</f>
        <v/>
      </c>
      <c r="I550">
        <f>IF($M550="","",INDEX(상세표[월경계 판정],$M550)&amp;"")</f>
        <v/>
      </c>
      <c r="J550">
        <f>IF($M550="","",INDEX(상세표[반영월],$M550)&amp;"")</f>
        <v/>
      </c>
      <c r="K550">
        <f>IF($M550="","",INDEX(상세표[반영 기관],$M550)&amp;"")</f>
        <v/>
      </c>
      <c r="L550">
        <f>IF($M550="","",INDEX(상세표[기관 출처],$M550)&amp;"")</f>
        <v/>
      </c>
      <c r="M550" s="4">
        <f>IFERROR(MATCH(545,상세표[경계순번],0),"")</f>
        <v/>
      </c>
    </row>
    <row r="551">
      <c r="A551">
        <f>IF($M551="","",INDEX(상세표[사번],$M551)&amp;"")</f>
        <v/>
      </c>
      <c r="B551">
        <f>IF($M551="","",INDEX(상세표[성명],$M551)&amp;"")</f>
        <v/>
      </c>
      <c r="C551">
        <f>IF($M551="","",IF(INDEX(상세표[종료월],$M551)=대상월키,"전월→이번 달","이번 달→익월"))</f>
        <v/>
      </c>
      <c r="D551">
        <f>IF($M551="","",IF(ISNUMBER(INDEX(상세표[시작],$M551)),TEXT(INDEX(상세표[시작],$M551),"yyyy-mm-dd hh:mm"),INDEX(상세표[시작],$M551)&amp;""))</f>
        <v/>
      </c>
      <c r="E551">
        <f>IF($M551="","",IF(ISNUMBER(INDEX(상세표[종료],$M551)),TEXT(INDEX(상세표[종료],$M551),"yyyy-mm-dd hh:mm"),INDEX(상세표[종료],$M551)&amp;""))</f>
        <v/>
      </c>
      <c r="F551">
        <f>IF($M551="","",INDEX(상세표[기록 시간외],$M551))</f>
        <v/>
      </c>
      <c r="G551">
        <f>IF($M551="","",INDEX(상세표[시작월 기관],$M551)&amp;"")</f>
        <v/>
      </c>
      <c r="H551">
        <f>IF($M551="","",INDEX(상세표[종료월 기관],$M551)&amp;"")</f>
        <v/>
      </c>
      <c r="I551">
        <f>IF($M551="","",INDEX(상세표[월경계 판정],$M551)&amp;"")</f>
        <v/>
      </c>
      <c r="J551">
        <f>IF($M551="","",INDEX(상세표[반영월],$M551)&amp;"")</f>
        <v/>
      </c>
      <c r="K551">
        <f>IF($M551="","",INDEX(상세표[반영 기관],$M551)&amp;"")</f>
        <v/>
      </c>
      <c r="L551">
        <f>IF($M551="","",INDEX(상세표[기관 출처],$M551)&amp;"")</f>
        <v/>
      </c>
      <c r="M551" s="4">
        <f>IFERROR(MATCH(546,상세표[경계순번],0),"")</f>
        <v/>
      </c>
    </row>
    <row r="552">
      <c r="A552">
        <f>IF($M552="","",INDEX(상세표[사번],$M552)&amp;"")</f>
        <v/>
      </c>
      <c r="B552">
        <f>IF($M552="","",INDEX(상세표[성명],$M552)&amp;"")</f>
        <v/>
      </c>
      <c r="C552">
        <f>IF($M552="","",IF(INDEX(상세표[종료월],$M552)=대상월키,"전월→이번 달","이번 달→익월"))</f>
        <v/>
      </c>
      <c r="D552">
        <f>IF($M552="","",IF(ISNUMBER(INDEX(상세표[시작],$M552)),TEXT(INDEX(상세표[시작],$M552),"yyyy-mm-dd hh:mm"),INDEX(상세표[시작],$M552)&amp;""))</f>
        <v/>
      </c>
      <c r="E552">
        <f>IF($M552="","",IF(ISNUMBER(INDEX(상세표[종료],$M552)),TEXT(INDEX(상세표[종료],$M552),"yyyy-mm-dd hh:mm"),INDEX(상세표[종료],$M552)&amp;""))</f>
        <v/>
      </c>
      <c r="F552">
        <f>IF($M552="","",INDEX(상세표[기록 시간외],$M552))</f>
        <v/>
      </c>
      <c r="G552">
        <f>IF($M552="","",INDEX(상세표[시작월 기관],$M552)&amp;"")</f>
        <v/>
      </c>
      <c r="H552">
        <f>IF($M552="","",INDEX(상세표[종료월 기관],$M552)&amp;"")</f>
        <v/>
      </c>
      <c r="I552">
        <f>IF($M552="","",INDEX(상세표[월경계 판정],$M552)&amp;"")</f>
        <v/>
      </c>
      <c r="J552">
        <f>IF($M552="","",INDEX(상세표[반영월],$M552)&amp;"")</f>
        <v/>
      </c>
      <c r="K552">
        <f>IF($M552="","",INDEX(상세표[반영 기관],$M552)&amp;"")</f>
        <v/>
      </c>
      <c r="L552">
        <f>IF($M552="","",INDEX(상세표[기관 출처],$M552)&amp;"")</f>
        <v/>
      </c>
      <c r="M552" s="4">
        <f>IFERROR(MATCH(547,상세표[경계순번],0),"")</f>
        <v/>
      </c>
    </row>
    <row r="553">
      <c r="A553">
        <f>IF($M553="","",INDEX(상세표[사번],$M553)&amp;"")</f>
        <v/>
      </c>
      <c r="B553">
        <f>IF($M553="","",INDEX(상세표[성명],$M553)&amp;"")</f>
        <v/>
      </c>
      <c r="C553">
        <f>IF($M553="","",IF(INDEX(상세표[종료월],$M553)=대상월키,"전월→이번 달","이번 달→익월"))</f>
        <v/>
      </c>
      <c r="D553">
        <f>IF($M553="","",IF(ISNUMBER(INDEX(상세표[시작],$M553)),TEXT(INDEX(상세표[시작],$M553),"yyyy-mm-dd hh:mm"),INDEX(상세표[시작],$M553)&amp;""))</f>
        <v/>
      </c>
      <c r="E553">
        <f>IF($M553="","",IF(ISNUMBER(INDEX(상세표[종료],$M553)),TEXT(INDEX(상세표[종료],$M553),"yyyy-mm-dd hh:mm"),INDEX(상세표[종료],$M553)&amp;""))</f>
        <v/>
      </c>
      <c r="F553">
        <f>IF($M553="","",INDEX(상세표[기록 시간외],$M553))</f>
        <v/>
      </c>
      <c r="G553">
        <f>IF($M553="","",INDEX(상세표[시작월 기관],$M553)&amp;"")</f>
        <v/>
      </c>
      <c r="H553">
        <f>IF($M553="","",INDEX(상세표[종료월 기관],$M553)&amp;"")</f>
        <v/>
      </c>
      <c r="I553">
        <f>IF($M553="","",INDEX(상세표[월경계 판정],$M553)&amp;"")</f>
        <v/>
      </c>
      <c r="J553">
        <f>IF($M553="","",INDEX(상세표[반영월],$M553)&amp;"")</f>
        <v/>
      </c>
      <c r="K553">
        <f>IF($M553="","",INDEX(상세표[반영 기관],$M553)&amp;"")</f>
        <v/>
      </c>
      <c r="L553">
        <f>IF($M553="","",INDEX(상세표[기관 출처],$M553)&amp;"")</f>
        <v/>
      </c>
      <c r="M553" s="4">
        <f>IFERROR(MATCH(548,상세표[경계순번],0),"")</f>
        <v/>
      </c>
    </row>
    <row r="554">
      <c r="A554">
        <f>IF($M554="","",INDEX(상세표[사번],$M554)&amp;"")</f>
        <v/>
      </c>
      <c r="B554">
        <f>IF($M554="","",INDEX(상세표[성명],$M554)&amp;"")</f>
        <v/>
      </c>
      <c r="C554">
        <f>IF($M554="","",IF(INDEX(상세표[종료월],$M554)=대상월키,"전월→이번 달","이번 달→익월"))</f>
        <v/>
      </c>
      <c r="D554">
        <f>IF($M554="","",IF(ISNUMBER(INDEX(상세표[시작],$M554)),TEXT(INDEX(상세표[시작],$M554),"yyyy-mm-dd hh:mm"),INDEX(상세표[시작],$M554)&amp;""))</f>
        <v/>
      </c>
      <c r="E554">
        <f>IF($M554="","",IF(ISNUMBER(INDEX(상세표[종료],$M554)),TEXT(INDEX(상세표[종료],$M554),"yyyy-mm-dd hh:mm"),INDEX(상세표[종료],$M554)&amp;""))</f>
        <v/>
      </c>
      <c r="F554">
        <f>IF($M554="","",INDEX(상세표[기록 시간외],$M554))</f>
        <v/>
      </c>
      <c r="G554">
        <f>IF($M554="","",INDEX(상세표[시작월 기관],$M554)&amp;"")</f>
        <v/>
      </c>
      <c r="H554">
        <f>IF($M554="","",INDEX(상세표[종료월 기관],$M554)&amp;"")</f>
        <v/>
      </c>
      <c r="I554">
        <f>IF($M554="","",INDEX(상세표[월경계 판정],$M554)&amp;"")</f>
        <v/>
      </c>
      <c r="J554">
        <f>IF($M554="","",INDEX(상세표[반영월],$M554)&amp;"")</f>
        <v/>
      </c>
      <c r="K554">
        <f>IF($M554="","",INDEX(상세표[반영 기관],$M554)&amp;"")</f>
        <v/>
      </c>
      <c r="L554">
        <f>IF($M554="","",INDEX(상세표[기관 출처],$M554)&amp;"")</f>
        <v/>
      </c>
      <c r="M554" s="4">
        <f>IFERROR(MATCH(549,상세표[경계순번],0),"")</f>
        <v/>
      </c>
    </row>
    <row r="555">
      <c r="A555">
        <f>IF($M555="","",INDEX(상세표[사번],$M555)&amp;"")</f>
        <v/>
      </c>
      <c r="B555">
        <f>IF($M555="","",INDEX(상세표[성명],$M555)&amp;"")</f>
        <v/>
      </c>
      <c r="C555">
        <f>IF($M555="","",IF(INDEX(상세표[종료월],$M555)=대상월키,"전월→이번 달","이번 달→익월"))</f>
        <v/>
      </c>
      <c r="D555">
        <f>IF($M555="","",IF(ISNUMBER(INDEX(상세표[시작],$M555)),TEXT(INDEX(상세표[시작],$M555),"yyyy-mm-dd hh:mm"),INDEX(상세표[시작],$M555)&amp;""))</f>
        <v/>
      </c>
      <c r="E555">
        <f>IF($M555="","",IF(ISNUMBER(INDEX(상세표[종료],$M555)),TEXT(INDEX(상세표[종료],$M555),"yyyy-mm-dd hh:mm"),INDEX(상세표[종료],$M555)&amp;""))</f>
        <v/>
      </c>
      <c r="F555">
        <f>IF($M555="","",INDEX(상세표[기록 시간외],$M555))</f>
        <v/>
      </c>
      <c r="G555">
        <f>IF($M555="","",INDEX(상세표[시작월 기관],$M555)&amp;"")</f>
        <v/>
      </c>
      <c r="H555">
        <f>IF($M555="","",INDEX(상세표[종료월 기관],$M555)&amp;"")</f>
        <v/>
      </c>
      <c r="I555">
        <f>IF($M555="","",INDEX(상세표[월경계 판정],$M555)&amp;"")</f>
        <v/>
      </c>
      <c r="J555">
        <f>IF($M555="","",INDEX(상세표[반영월],$M555)&amp;"")</f>
        <v/>
      </c>
      <c r="K555">
        <f>IF($M555="","",INDEX(상세표[반영 기관],$M555)&amp;"")</f>
        <v/>
      </c>
      <c r="L555">
        <f>IF($M555="","",INDEX(상세표[기관 출처],$M555)&amp;"")</f>
        <v/>
      </c>
      <c r="M555" s="4">
        <f>IFERROR(MATCH(550,상세표[경계순번],0),"")</f>
        <v/>
      </c>
    </row>
    <row r="556">
      <c r="A556">
        <f>IF($M556="","",INDEX(상세표[사번],$M556)&amp;"")</f>
        <v/>
      </c>
      <c r="B556">
        <f>IF($M556="","",INDEX(상세표[성명],$M556)&amp;"")</f>
        <v/>
      </c>
      <c r="C556">
        <f>IF($M556="","",IF(INDEX(상세표[종료월],$M556)=대상월키,"전월→이번 달","이번 달→익월"))</f>
        <v/>
      </c>
      <c r="D556">
        <f>IF($M556="","",IF(ISNUMBER(INDEX(상세표[시작],$M556)),TEXT(INDEX(상세표[시작],$M556),"yyyy-mm-dd hh:mm"),INDEX(상세표[시작],$M556)&amp;""))</f>
        <v/>
      </c>
      <c r="E556">
        <f>IF($M556="","",IF(ISNUMBER(INDEX(상세표[종료],$M556)),TEXT(INDEX(상세표[종료],$M556),"yyyy-mm-dd hh:mm"),INDEX(상세표[종료],$M556)&amp;""))</f>
        <v/>
      </c>
      <c r="F556">
        <f>IF($M556="","",INDEX(상세표[기록 시간외],$M556))</f>
        <v/>
      </c>
      <c r="G556">
        <f>IF($M556="","",INDEX(상세표[시작월 기관],$M556)&amp;"")</f>
        <v/>
      </c>
      <c r="H556">
        <f>IF($M556="","",INDEX(상세표[종료월 기관],$M556)&amp;"")</f>
        <v/>
      </c>
      <c r="I556">
        <f>IF($M556="","",INDEX(상세표[월경계 판정],$M556)&amp;"")</f>
        <v/>
      </c>
      <c r="J556">
        <f>IF($M556="","",INDEX(상세표[반영월],$M556)&amp;"")</f>
        <v/>
      </c>
      <c r="K556">
        <f>IF($M556="","",INDEX(상세표[반영 기관],$M556)&amp;"")</f>
        <v/>
      </c>
      <c r="L556">
        <f>IF($M556="","",INDEX(상세표[기관 출처],$M556)&amp;"")</f>
        <v/>
      </c>
      <c r="M556" s="4">
        <f>IFERROR(MATCH(551,상세표[경계순번],0),"")</f>
        <v/>
      </c>
    </row>
    <row r="557">
      <c r="A557">
        <f>IF($M557="","",INDEX(상세표[사번],$M557)&amp;"")</f>
        <v/>
      </c>
      <c r="B557">
        <f>IF($M557="","",INDEX(상세표[성명],$M557)&amp;"")</f>
        <v/>
      </c>
      <c r="C557">
        <f>IF($M557="","",IF(INDEX(상세표[종료월],$M557)=대상월키,"전월→이번 달","이번 달→익월"))</f>
        <v/>
      </c>
      <c r="D557">
        <f>IF($M557="","",IF(ISNUMBER(INDEX(상세표[시작],$M557)),TEXT(INDEX(상세표[시작],$M557),"yyyy-mm-dd hh:mm"),INDEX(상세표[시작],$M557)&amp;""))</f>
        <v/>
      </c>
      <c r="E557">
        <f>IF($M557="","",IF(ISNUMBER(INDEX(상세표[종료],$M557)),TEXT(INDEX(상세표[종료],$M557),"yyyy-mm-dd hh:mm"),INDEX(상세표[종료],$M557)&amp;""))</f>
        <v/>
      </c>
      <c r="F557">
        <f>IF($M557="","",INDEX(상세표[기록 시간외],$M557))</f>
        <v/>
      </c>
      <c r="G557">
        <f>IF($M557="","",INDEX(상세표[시작월 기관],$M557)&amp;"")</f>
        <v/>
      </c>
      <c r="H557">
        <f>IF($M557="","",INDEX(상세표[종료월 기관],$M557)&amp;"")</f>
        <v/>
      </c>
      <c r="I557">
        <f>IF($M557="","",INDEX(상세표[월경계 판정],$M557)&amp;"")</f>
        <v/>
      </c>
      <c r="J557">
        <f>IF($M557="","",INDEX(상세표[반영월],$M557)&amp;"")</f>
        <v/>
      </c>
      <c r="K557">
        <f>IF($M557="","",INDEX(상세표[반영 기관],$M557)&amp;"")</f>
        <v/>
      </c>
      <c r="L557">
        <f>IF($M557="","",INDEX(상세표[기관 출처],$M557)&amp;"")</f>
        <v/>
      </c>
      <c r="M557" s="4">
        <f>IFERROR(MATCH(552,상세표[경계순번],0),"")</f>
        <v/>
      </c>
    </row>
    <row r="558">
      <c r="A558">
        <f>IF($M558="","",INDEX(상세표[사번],$M558)&amp;"")</f>
        <v/>
      </c>
      <c r="B558">
        <f>IF($M558="","",INDEX(상세표[성명],$M558)&amp;"")</f>
        <v/>
      </c>
      <c r="C558">
        <f>IF($M558="","",IF(INDEX(상세표[종료월],$M558)=대상월키,"전월→이번 달","이번 달→익월"))</f>
        <v/>
      </c>
      <c r="D558">
        <f>IF($M558="","",IF(ISNUMBER(INDEX(상세표[시작],$M558)),TEXT(INDEX(상세표[시작],$M558),"yyyy-mm-dd hh:mm"),INDEX(상세표[시작],$M558)&amp;""))</f>
        <v/>
      </c>
      <c r="E558">
        <f>IF($M558="","",IF(ISNUMBER(INDEX(상세표[종료],$M558)),TEXT(INDEX(상세표[종료],$M558),"yyyy-mm-dd hh:mm"),INDEX(상세표[종료],$M558)&amp;""))</f>
        <v/>
      </c>
      <c r="F558">
        <f>IF($M558="","",INDEX(상세표[기록 시간외],$M558))</f>
        <v/>
      </c>
      <c r="G558">
        <f>IF($M558="","",INDEX(상세표[시작월 기관],$M558)&amp;"")</f>
        <v/>
      </c>
      <c r="H558">
        <f>IF($M558="","",INDEX(상세표[종료월 기관],$M558)&amp;"")</f>
        <v/>
      </c>
      <c r="I558">
        <f>IF($M558="","",INDEX(상세표[월경계 판정],$M558)&amp;"")</f>
        <v/>
      </c>
      <c r="J558">
        <f>IF($M558="","",INDEX(상세표[반영월],$M558)&amp;"")</f>
        <v/>
      </c>
      <c r="K558">
        <f>IF($M558="","",INDEX(상세표[반영 기관],$M558)&amp;"")</f>
        <v/>
      </c>
      <c r="L558">
        <f>IF($M558="","",INDEX(상세표[기관 출처],$M558)&amp;"")</f>
        <v/>
      </c>
      <c r="M558" s="4">
        <f>IFERROR(MATCH(553,상세표[경계순번],0),"")</f>
        <v/>
      </c>
    </row>
    <row r="559">
      <c r="A559">
        <f>IF($M559="","",INDEX(상세표[사번],$M559)&amp;"")</f>
        <v/>
      </c>
      <c r="B559">
        <f>IF($M559="","",INDEX(상세표[성명],$M559)&amp;"")</f>
        <v/>
      </c>
      <c r="C559">
        <f>IF($M559="","",IF(INDEX(상세표[종료월],$M559)=대상월키,"전월→이번 달","이번 달→익월"))</f>
        <v/>
      </c>
      <c r="D559">
        <f>IF($M559="","",IF(ISNUMBER(INDEX(상세표[시작],$M559)),TEXT(INDEX(상세표[시작],$M559),"yyyy-mm-dd hh:mm"),INDEX(상세표[시작],$M559)&amp;""))</f>
        <v/>
      </c>
      <c r="E559">
        <f>IF($M559="","",IF(ISNUMBER(INDEX(상세표[종료],$M559)),TEXT(INDEX(상세표[종료],$M559),"yyyy-mm-dd hh:mm"),INDEX(상세표[종료],$M559)&amp;""))</f>
        <v/>
      </c>
      <c r="F559">
        <f>IF($M559="","",INDEX(상세표[기록 시간외],$M559))</f>
        <v/>
      </c>
      <c r="G559">
        <f>IF($M559="","",INDEX(상세표[시작월 기관],$M559)&amp;"")</f>
        <v/>
      </c>
      <c r="H559">
        <f>IF($M559="","",INDEX(상세표[종료월 기관],$M559)&amp;"")</f>
        <v/>
      </c>
      <c r="I559">
        <f>IF($M559="","",INDEX(상세표[월경계 판정],$M559)&amp;"")</f>
        <v/>
      </c>
      <c r="J559">
        <f>IF($M559="","",INDEX(상세표[반영월],$M559)&amp;"")</f>
        <v/>
      </c>
      <c r="K559">
        <f>IF($M559="","",INDEX(상세표[반영 기관],$M559)&amp;"")</f>
        <v/>
      </c>
      <c r="L559">
        <f>IF($M559="","",INDEX(상세표[기관 출처],$M559)&amp;"")</f>
        <v/>
      </c>
      <c r="M559" s="4">
        <f>IFERROR(MATCH(554,상세표[경계순번],0),"")</f>
        <v/>
      </c>
    </row>
    <row r="560">
      <c r="A560">
        <f>IF($M560="","",INDEX(상세표[사번],$M560)&amp;"")</f>
        <v/>
      </c>
      <c r="B560">
        <f>IF($M560="","",INDEX(상세표[성명],$M560)&amp;"")</f>
        <v/>
      </c>
      <c r="C560">
        <f>IF($M560="","",IF(INDEX(상세표[종료월],$M560)=대상월키,"전월→이번 달","이번 달→익월"))</f>
        <v/>
      </c>
      <c r="D560">
        <f>IF($M560="","",IF(ISNUMBER(INDEX(상세표[시작],$M560)),TEXT(INDEX(상세표[시작],$M560),"yyyy-mm-dd hh:mm"),INDEX(상세표[시작],$M560)&amp;""))</f>
        <v/>
      </c>
      <c r="E560">
        <f>IF($M560="","",IF(ISNUMBER(INDEX(상세표[종료],$M560)),TEXT(INDEX(상세표[종료],$M560),"yyyy-mm-dd hh:mm"),INDEX(상세표[종료],$M560)&amp;""))</f>
        <v/>
      </c>
      <c r="F560">
        <f>IF($M560="","",INDEX(상세표[기록 시간외],$M560))</f>
        <v/>
      </c>
      <c r="G560">
        <f>IF($M560="","",INDEX(상세표[시작월 기관],$M560)&amp;"")</f>
        <v/>
      </c>
      <c r="H560">
        <f>IF($M560="","",INDEX(상세표[종료월 기관],$M560)&amp;"")</f>
        <v/>
      </c>
      <c r="I560">
        <f>IF($M560="","",INDEX(상세표[월경계 판정],$M560)&amp;"")</f>
        <v/>
      </c>
      <c r="J560">
        <f>IF($M560="","",INDEX(상세표[반영월],$M560)&amp;"")</f>
        <v/>
      </c>
      <c r="K560">
        <f>IF($M560="","",INDEX(상세표[반영 기관],$M560)&amp;"")</f>
        <v/>
      </c>
      <c r="L560">
        <f>IF($M560="","",INDEX(상세표[기관 출처],$M560)&amp;"")</f>
        <v/>
      </c>
      <c r="M560" s="4">
        <f>IFERROR(MATCH(555,상세표[경계순번],0),"")</f>
        <v/>
      </c>
    </row>
    <row r="561">
      <c r="A561">
        <f>IF($M561="","",INDEX(상세표[사번],$M561)&amp;"")</f>
        <v/>
      </c>
      <c r="B561">
        <f>IF($M561="","",INDEX(상세표[성명],$M561)&amp;"")</f>
        <v/>
      </c>
      <c r="C561">
        <f>IF($M561="","",IF(INDEX(상세표[종료월],$M561)=대상월키,"전월→이번 달","이번 달→익월"))</f>
        <v/>
      </c>
      <c r="D561">
        <f>IF($M561="","",IF(ISNUMBER(INDEX(상세표[시작],$M561)),TEXT(INDEX(상세표[시작],$M561),"yyyy-mm-dd hh:mm"),INDEX(상세표[시작],$M561)&amp;""))</f>
        <v/>
      </c>
      <c r="E561">
        <f>IF($M561="","",IF(ISNUMBER(INDEX(상세표[종료],$M561)),TEXT(INDEX(상세표[종료],$M561),"yyyy-mm-dd hh:mm"),INDEX(상세표[종료],$M561)&amp;""))</f>
        <v/>
      </c>
      <c r="F561">
        <f>IF($M561="","",INDEX(상세표[기록 시간외],$M561))</f>
        <v/>
      </c>
      <c r="G561">
        <f>IF($M561="","",INDEX(상세표[시작월 기관],$M561)&amp;"")</f>
        <v/>
      </c>
      <c r="H561">
        <f>IF($M561="","",INDEX(상세표[종료월 기관],$M561)&amp;"")</f>
        <v/>
      </c>
      <c r="I561">
        <f>IF($M561="","",INDEX(상세표[월경계 판정],$M561)&amp;"")</f>
        <v/>
      </c>
      <c r="J561">
        <f>IF($M561="","",INDEX(상세표[반영월],$M561)&amp;"")</f>
        <v/>
      </c>
      <c r="K561">
        <f>IF($M561="","",INDEX(상세표[반영 기관],$M561)&amp;"")</f>
        <v/>
      </c>
      <c r="L561">
        <f>IF($M561="","",INDEX(상세표[기관 출처],$M561)&amp;"")</f>
        <v/>
      </c>
      <c r="M561" s="4">
        <f>IFERROR(MATCH(556,상세표[경계순번],0),"")</f>
        <v/>
      </c>
    </row>
    <row r="562">
      <c r="A562">
        <f>IF($M562="","",INDEX(상세표[사번],$M562)&amp;"")</f>
        <v/>
      </c>
      <c r="B562">
        <f>IF($M562="","",INDEX(상세표[성명],$M562)&amp;"")</f>
        <v/>
      </c>
      <c r="C562">
        <f>IF($M562="","",IF(INDEX(상세표[종료월],$M562)=대상월키,"전월→이번 달","이번 달→익월"))</f>
        <v/>
      </c>
      <c r="D562">
        <f>IF($M562="","",IF(ISNUMBER(INDEX(상세표[시작],$M562)),TEXT(INDEX(상세표[시작],$M562),"yyyy-mm-dd hh:mm"),INDEX(상세표[시작],$M562)&amp;""))</f>
        <v/>
      </c>
      <c r="E562">
        <f>IF($M562="","",IF(ISNUMBER(INDEX(상세표[종료],$M562)),TEXT(INDEX(상세표[종료],$M562),"yyyy-mm-dd hh:mm"),INDEX(상세표[종료],$M562)&amp;""))</f>
        <v/>
      </c>
      <c r="F562">
        <f>IF($M562="","",INDEX(상세표[기록 시간외],$M562))</f>
        <v/>
      </c>
      <c r="G562">
        <f>IF($M562="","",INDEX(상세표[시작월 기관],$M562)&amp;"")</f>
        <v/>
      </c>
      <c r="H562">
        <f>IF($M562="","",INDEX(상세표[종료월 기관],$M562)&amp;"")</f>
        <v/>
      </c>
      <c r="I562">
        <f>IF($M562="","",INDEX(상세표[월경계 판정],$M562)&amp;"")</f>
        <v/>
      </c>
      <c r="J562">
        <f>IF($M562="","",INDEX(상세표[반영월],$M562)&amp;"")</f>
        <v/>
      </c>
      <c r="K562">
        <f>IF($M562="","",INDEX(상세표[반영 기관],$M562)&amp;"")</f>
        <v/>
      </c>
      <c r="L562">
        <f>IF($M562="","",INDEX(상세표[기관 출처],$M562)&amp;"")</f>
        <v/>
      </c>
      <c r="M562" s="4">
        <f>IFERROR(MATCH(557,상세표[경계순번],0),"")</f>
        <v/>
      </c>
    </row>
    <row r="563">
      <c r="A563">
        <f>IF($M563="","",INDEX(상세표[사번],$M563)&amp;"")</f>
        <v/>
      </c>
      <c r="B563">
        <f>IF($M563="","",INDEX(상세표[성명],$M563)&amp;"")</f>
        <v/>
      </c>
      <c r="C563">
        <f>IF($M563="","",IF(INDEX(상세표[종료월],$M563)=대상월키,"전월→이번 달","이번 달→익월"))</f>
        <v/>
      </c>
      <c r="D563">
        <f>IF($M563="","",IF(ISNUMBER(INDEX(상세표[시작],$M563)),TEXT(INDEX(상세표[시작],$M563),"yyyy-mm-dd hh:mm"),INDEX(상세표[시작],$M563)&amp;""))</f>
        <v/>
      </c>
      <c r="E563">
        <f>IF($M563="","",IF(ISNUMBER(INDEX(상세표[종료],$M563)),TEXT(INDEX(상세표[종료],$M563),"yyyy-mm-dd hh:mm"),INDEX(상세표[종료],$M563)&amp;""))</f>
        <v/>
      </c>
      <c r="F563">
        <f>IF($M563="","",INDEX(상세표[기록 시간외],$M563))</f>
        <v/>
      </c>
      <c r="G563">
        <f>IF($M563="","",INDEX(상세표[시작월 기관],$M563)&amp;"")</f>
        <v/>
      </c>
      <c r="H563">
        <f>IF($M563="","",INDEX(상세표[종료월 기관],$M563)&amp;"")</f>
        <v/>
      </c>
      <c r="I563">
        <f>IF($M563="","",INDEX(상세표[월경계 판정],$M563)&amp;"")</f>
        <v/>
      </c>
      <c r="J563">
        <f>IF($M563="","",INDEX(상세표[반영월],$M563)&amp;"")</f>
        <v/>
      </c>
      <c r="K563">
        <f>IF($M563="","",INDEX(상세표[반영 기관],$M563)&amp;"")</f>
        <v/>
      </c>
      <c r="L563">
        <f>IF($M563="","",INDEX(상세표[기관 출처],$M563)&amp;"")</f>
        <v/>
      </c>
      <c r="M563" s="4">
        <f>IFERROR(MATCH(558,상세표[경계순번],0),"")</f>
        <v/>
      </c>
    </row>
    <row r="564">
      <c r="A564">
        <f>IF($M564="","",INDEX(상세표[사번],$M564)&amp;"")</f>
        <v/>
      </c>
      <c r="B564">
        <f>IF($M564="","",INDEX(상세표[성명],$M564)&amp;"")</f>
        <v/>
      </c>
      <c r="C564">
        <f>IF($M564="","",IF(INDEX(상세표[종료월],$M564)=대상월키,"전월→이번 달","이번 달→익월"))</f>
        <v/>
      </c>
      <c r="D564">
        <f>IF($M564="","",IF(ISNUMBER(INDEX(상세표[시작],$M564)),TEXT(INDEX(상세표[시작],$M564),"yyyy-mm-dd hh:mm"),INDEX(상세표[시작],$M564)&amp;""))</f>
        <v/>
      </c>
      <c r="E564">
        <f>IF($M564="","",IF(ISNUMBER(INDEX(상세표[종료],$M564)),TEXT(INDEX(상세표[종료],$M564),"yyyy-mm-dd hh:mm"),INDEX(상세표[종료],$M564)&amp;""))</f>
        <v/>
      </c>
      <c r="F564">
        <f>IF($M564="","",INDEX(상세표[기록 시간외],$M564))</f>
        <v/>
      </c>
      <c r="G564">
        <f>IF($M564="","",INDEX(상세표[시작월 기관],$M564)&amp;"")</f>
        <v/>
      </c>
      <c r="H564">
        <f>IF($M564="","",INDEX(상세표[종료월 기관],$M564)&amp;"")</f>
        <v/>
      </c>
      <c r="I564">
        <f>IF($M564="","",INDEX(상세표[월경계 판정],$M564)&amp;"")</f>
        <v/>
      </c>
      <c r="J564">
        <f>IF($M564="","",INDEX(상세표[반영월],$M564)&amp;"")</f>
        <v/>
      </c>
      <c r="K564">
        <f>IF($M564="","",INDEX(상세표[반영 기관],$M564)&amp;"")</f>
        <v/>
      </c>
      <c r="L564">
        <f>IF($M564="","",INDEX(상세표[기관 출처],$M564)&amp;"")</f>
        <v/>
      </c>
      <c r="M564" s="4">
        <f>IFERROR(MATCH(559,상세표[경계순번],0),"")</f>
        <v/>
      </c>
    </row>
    <row r="565">
      <c r="A565">
        <f>IF($M565="","",INDEX(상세표[사번],$M565)&amp;"")</f>
        <v/>
      </c>
      <c r="B565">
        <f>IF($M565="","",INDEX(상세표[성명],$M565)&amp;"")</f>
        <v/>
      </c>
      <c r="C565">
        <f>IF($M565="","",IF(INDEX(상세표[종료월],$M565)=대상월키,"전월→이번 달","이번 달→익월"))</f>
        <v/>
      </c>
      <c r="D565">
        <f>IF($M565="","",IF(ISNUMBER(INDEX(상세표[시작],$M565)),TEXT(INDEX(상세표[시작],$M565),"yyyy-mm-dd hh:mm"),INDEX(상세표[시작],$M565)&amp;""))</f>
        <v/>
      </c>
      <c r="E565">
        <f>IF($M565="","",IF(ISNUMBER(INDEX(상세표[종료],$M565)),TEXT(INDEX(상세표[종료],$M565),"yyyy-mm-dd hh:mm"),INDEX(상세표[종료],$M565)&amp;""))</f>
        <v/>
      </c>
      <c r="F565">
        <f>IF($M565="","",INDEX(상세표[기록 시간외],$M565))</f>
        <v/>
      </c>
      <c r="G565">
        <f>IF($M565="","",INDEX(상세표[시작월 기관],$M565)&amp;"")</f>
        <v/>
      </c>
      <c r="H565">
        <f>IF($M565="","",INDEX(상세표[종료월 기관],$M565)&amp;"")</f>
        <v/>
      </c>
      <c r="I565">
        <f>IF($M565="","",INDEX(상세표[월경계 판정],$M565)&amp;"")</f>
        <v/>
      </c>
      <c r="J565">
        <f>IF($M565="","",INDEX(상세표[반영월],$M565)&amp;"")</f>
        <v/>
      </c>
      <c r="K565">
        <f>IF($M565="","",INDEX(상세표[반영 기관],$M565)&amp;"")</f>
        <v/>
      </c>
      <c r="L565">
        <f>IF($M565="","",INDEX(상세표[기관 출처],$M565)&amp;"")</f>
        <v/>
      </c>
      <c r="M565" s="4">
        <f>IFERROR(MATCH(560,상세표[경계순번],0),"")</f>
        <v/>
      </c>
    </row>
    <row r="566">
      <c r="A566">
        <f>IF($M566="","",INDEX(상세표[사번],$M566)&amp;"")</f>
        <v/>
      </c>
      <c r="B566">
        <f>IF($M566="","",INDEX(상세표[성명],$M566)&amp;"")</f>
        <v/>
      </c>
      <c r="C566">
        <f>IF($M566="","",IF(INDEX(상세표[종료월],$M566)=대상월키,"전월→이번 달","이번 달→익월"))</f>
        <v/>
      </c>
      <c r="D566">
        <f>IF($M566="","",IF(ISNUMBER(INDEX(상세표[시작],$M566)),TEXT(INDEX(상세표[시작],$M566),"yyyy-mm-dd hh:mm"),INDEX(상세표[시작],$M566)&amp;""))</f>
        <v/>
      </c>
      <c r="E566">
        <f>IF($M566="","",IF(ISNUMBER(INDEX(상세표[종료],$M566)),TEXT(INDEX(상세표[종료],$M566),"yyyy-mm-dd hh:mm"),INDEX(상세표[종료],$M566)&amp;""))</f>
        <v/>
      </c>
      <c r="F566">
        <f>IF($M566="","",INDEX(상세표[기록 시간외],$M566))</f>
        <v/>
      </c>
      <c r="G566">
        <f>IF($M566="","",INDEX(상세표[시작월 기관],$M566)&amp;"")</f>
        <v/>
      </c>
      <c r="H566">
        <f>IF($M566="","",INDEX(상세표[종료월 기관],$M566)&amp;"")</f>
        <v/>
      </c>
      <c r="I566">
        <f>IF($M566="","",INDEX(상세표[월경계 판정],$M566)&amp;"")</f>
        <v/>
      </c>
      <c r="J566">
        <f>IF($M566="","",INDEX(상세표[반영월],$M566)&amp;"")</f>
        <v/>
      </c>
      <c r="K566">
        <f>IF($M566="","",INDEX(상세표[반영 기관],$M566)&amp;"")</f>
        <v/>
      </c>
      <c r="L566">
        <f>IF($M566="","",INDEX(상세표[기관 출처],$M566)&amp;"")</f>
        <v/>
      </c>
      <c r="M566" s="4">
        <f>IFERROR(MATCH(561,상세표[경계순번],0),"")</f>
        <v/>
      </c>
    </row>
    <row r="567">
      <c r="A567">
        <f>IF($M567="","",INDEX(상세표[사번],$M567)&amp;"")</f>
        <v/>
      </c>
      <c r="B567">
        <f>IF($M567="","",INDEX(상세표[성명],$M567)&amp;"")</f>
        <v/>
      </c>
      <c r="C567">
        <f>IF($M567="","",IF(INDEX(상세표[종료월],$M567)=대상월키,"전월→이번 달","이번 달→익월"))</f>
        <v/>
      </c>
      <c r="D567">
        <f>IF($M567="","",IF(ISNUMBER(INDEX(상세표[시작],$M567)),TEXT(INDEX(상세표[시작],$M567),"yyyy-mm-dd hh:mm"),INDEX(상세표[시작],$M567)&amp;""))</f>
        <v/>
      </c>
      <c r="E567">
        <f>IF($M567="","",IF(ISNUMBER(INDEX(상세표[종료],$M567)),TEXT(INDEX(상세표[종료],$M567),"yyyy-mm-dd hh:mm"),INDEX(상세표[종료],$M567)&amp;""))</f>
        <v/>
      </c>
      <c r="F567">
        <f>IF($M567="","",INDEX(상세표[기록 시간외],$M567))</f>
        <v/>
      </c>
      <c r="G567">
        <f>IF($M567="","",INDEX(상세표[시작월 기관],$M567)&amp;"")</f>
        <v/>
      </c>
      <c r="H567">
        <f>IF($M567="","",INDEX(상세표[종료월 기관],$M567)&amp;"")</f>
        <v/>
      </c>
      <c r="I567">
        <f>IF($M567="","",INDEX(상세표[월경계 판정],$M567)&amp;"")</f>
        <v/>
      </c>
      <c r="J567">
        <f>IF($M567="","",INDEX(상세표[반영월],$M567)&amp;"")</f>
        <v/>
      </c>
      <c r="K567">
        <f>IF($M567="","",INDEX(상세표[반영 기관],$M567)&amp;"")</f>
        <v/>
      </c>
      <c r="L567">
        <f>IF($M567="","",INDEX(상세표[기관 출처],$M567)&amp;"")</f>
        <v/>
      </c>
      <c r="M567" s="4">
        <f>IFERROR(MATCH(562,상세표[경계순번],0),"")</f>
        <v/>
      </c>
    </row>
    <row r="568">
      <c r="A568">
        <f>IF($M568="","",INDEX(상세표[사번],$M568)&amp;"")</f>
        <v/>
      </c>
      <c r="B568">
        <f>IF($M568="","",INDEX(상세표[성명],$M568)&amp;"")</f>
        <v/>
      </c>
      <c r="C568">
        <f>IF($M568="","",IF(INDEX(상세표[종료월],$M568)=대상월키,"전월→이번 달","이번 달→익월"))</f>
        <v/>
      </c>
      <c r="D568">
        <f>IF($M568="","",IF(ISNUMBER(INDEX(상세표[시작],$M568)),TEXT(INDEX(상세표[시작],$M568),"yyyy-mm-dd hh:mm"),INDEX(상세표[시작],$M568)&amp;""))</f>
        <v/>
      </c>
      <c r="E568">
        <f>IF($M568="","",IF(ISNUMBER(INDEX(상세표[종료],$M568)),TEXT(INDEX(상세표[종료],$M568),"yyyy-mm-dd hh:mm"),INDEX(상세표[종료],$M568)&amp;""))</f>
        <v/>
      </c>
      <c r="F568">
        <f>IF($M568="","",INDEX(상세표[기록 시간외],$M568))</f>
        <v/>
      </c>
      <c r="G568">
        <f>IF($M568="","",INDEX(상세표[시작월 기관],$M568)&amp;"")</f>
        <v/>
      </c>
      <c r="H568">
        <f>IF($M568="","",INDEX(상세표[종료월 기관],$M568)&amp;"")</f>
        <v/>
      </c>
      <c r="I568">
        <f>IF($M568="","",INDEX(상세표[월경계 판정],$M568)&amp;"")</f>
        <v/>
      </c>
      <c r="J568">
        <f>IF($M568="","",INDEX(상세표[반영월],$M568)&amp;"")</f>
        <v/>
      </c>
      <c r="K568">
        <f>IF($M568="","",INDEX(상세표[반영 기관],$M568)&amp;"")</f>
        <v/>
      </c>
      <c r="L568">
        <f>IF($M568="","",INDEX(상세표[기관 출처],$M568)&amp;"")</f>
        <v/>
      </c>
      <c r="M568" s="4">
        <f>IFERROR(MATCH(563,상세표[경계순번],0),"")</f>
        <v/>
      </c>
    </row>
    <row r="569">
      <c r="A569">
        <f>IF($M569="","",INDEX(상세표[사번],$M569)&amp;"")</f>
        <v/>
      </c>
      <c r="B569">
        <f>IF($M569="","",INDEX(상세표[성명],$M569)&amp;"")</f>
        <v/>
      </c>
      <c r="C569">
        <f>IF($M569="","",IF(INDEX(상세표[종료월],$M569)=대상월키,"전월→이번 달","이번 달→익월"))</f>
        <v/>
      </c>
      <c r="D569">
        <f>IF($M569="","",IF(ISNUMBER(INDEX(상세표[시작],$M569)),TEXT(INDEX(상세표[시작],$M569),"yyyy-mm-dd hh:mm"),INDEX(상세표[시작],$M569)&amp;""))</f>
        <v/>
      </c>
      <c r="E569">
        <f>IF($M569="","",IF(ISNUMBER(INDEX(상세표[종료],$M569)),TEXT(INDEX(상세표[종료],$M569),"yyyy-mm-dd hh:mm"),INDEX(상세표[종료],$M569)&amp;""))</f>
        <v/>
      </c>
      <c r="F569">
        <f>IF($M569="","",INDEX(상세표[기록 시간외],$M569))</f>
        <v/>
      </c>
      <c r="G569">
        <f>IF($M569="","",INDEX(상세표[시작월 기관],$M569)&amp;"")</f>
        <v/>
      </c>
      <c r="H569">
        <f>IF($M569="","",INDEX(상세표[종료월 기관],$M569)&amp;"")</f>
        <v/>
      </c>
      <c r="I569">
        <f>IF($M569="","",INDEX(상세표[월경계 판정],$M569)&amp;"")</f>
        <v/>
      </c>
      <c r="J569">
        <f>IF($M569="","",INDEX(상세표[반영월],$M569)&amp;"")</f>
        <v/>
      </c>
      <c r="K569">
        <f>IF($M569="","",INDEX(상세표[반영 기관],$M569)&amp;"")</f>
        <v/>
      </c>
      <c r="L569">
        <f>IF($M569="","",INDEX(상세표[기관 출처],$M569)&amp;"")</f>
        <v/>
      </c>
      <c r="M569" s="4">
        <f>IFERROR(MATCH(564,상세표[경계순번],0),"")</f>
        <v/>
      </c>
    </row>
    <row r="570">
      <c r="A570">
        <f>IF($M570="","",INDEX(상세표[사번],$M570)&amp;"")</f>
        <v/>
      </c>
      <c r="B570">
        <f>IF($M570="","",INDEX(상세표[성명],$M570)&amp;"")</f>
        <v/>
      </c>
      <c r="C570">
        <f>IF($M570="","",IF(INDEX(상세표[종료월],$M570)=대상월키,"전월→이번 달","이번 달→익월"))</f>
        <v/>
      </c>
      <c r="D570">
        <f>IF($M570="","",IF(ISNUMBER(INDEX(상세표[시작],$M570)),TEXT(INDEX(상세표[시작],$M570),"yyyy-mm-dd hh:mm"),INDEX(상세표[시작],$M570)&amp;""))</f>
        <v/>
      </c>
      <c r="E570">
        <f>IF($M570="","",IF(ISNUMBER(INDEX(상세표[종료],$M570)),TEXT(INDEX(상세표[종료],$M570),"yyyy-mm-dd hh:mm"),INDEX(상세표[종료],$M570)&amp;""))</f>
        <v/>
      </c>
      <c r="F570">
        <f>IF($M570="","",INDEX(상세표[기록 시간외],$M570))</f>
        <v/>
      </c>
      <c r="G570">
        <f>IF($M570="","",INDEX(상세표[시작월 기관],$M570)&amp;"")</f>
        <v/>
      </c>
      <c r="H570">
        <f>IF($M570="","",INDEX(상세표[종료월 기관],$M570)&amp;"")</f>
        <v/>
      </c>
      <c r="I570">
        <f>IF($M570="","",INDEX(상세표[월경계 판정],$M570)&amp;"")</f>
        <v/>
      </c>
      <c r="J570">
        <f>IF($M570="","",INDEX(상세표[반영월],$M570)&amp;"")</f>
        <v/>
      </c>
      <c r="K570">
        <f>IF($M570="","",INDEX(상세표[반영 기관],$M570)&amp;"")</f>
        <v/>
      </c>
      <c r="L570">
        <f>IF($M570="","",INDEX(상세표[기관 출처],$M570)&amp;"")</f>
        <v/>
      </c>
      <c r="M570" s="4">
        <f>IFERROR(MATCH(565,상세표[경계순번],0),"")</f>
        <v/>
      </c>
    </row>
    <row r="571">
      <c r="A571">
        <f>IF($M571="","",INDEX(상세표[사번],$M571)&amp;"")</f>
        <v/>
      </c>
      <c r="B571">
        <f>IF($M571="","",INDEX(상세표[성명],$M571)&amp;"")</f>
        <v/>
      </c>
      <c r="C571">
        <f>IF($M571="","",IF(INDEX(상세표[종료월],$M571)=대상월키,"전월→이번 달","이번 달→익월"))</f>
        <v/>
      </c>
      <c r="D571">
        <f>IF($M571="","",IF(ISNUMBER(INDEX(상세표[시작],$M571)),TEXT(INDEX(상세표[시작],$M571),"yyyy-mm-dd hh:mm"),INDEX(상세표[시작],$M571)&amp;""))</f>
        <v/>
      </c>
      <c r="E571">
        <f>IF($M571="","",IF(ISNUMBER(INDEX(상세표[종료],$M571)),TEXT(INDEX(상세표[종료],$M571),"yyyy-mm-dd hh:mm"),INDEX(상세표[종료],$M571)&amp;""))</f>
        <v/>
      </c>
      <c r="F571">
        <f>IF($M571="","",INDEX(상세표[기록 시간외],$M571))</f>
        <v/>
      </c>
      <c r="G571">
        <f>IF($M571="","",INDEX(상세표[시작월 기관],$M571)&amp;"")</f>
        <v/>
      </c>
      <c r="H571">
        <f>IF($M571="","",INDEX(상세표[종료월 기관],$M571)&amp;"")</f>
        <v/>
      </c>
      <c r="I571">
        <f>IF($M571="","",INDEX(상세표[월경계 판정],$M571)&amp;"")</f>
        <v/>
      </c>
      <c r="J571">
        <f>IF($M571="","",INDEX(상세표[반영월],$M571)&amp;"")</f>
        <v/>
      </c>
      <c r="K571">
        <f>IF($M571="","",INDEX(상세표[반영 기관],$M571)&amp;"")</f>
        <v/>
      </c>
      <c r="L571">
        <f>IF($M571="","",INDEX(상세표[기관 출처],$M571)&amp;"")</f>
        <v/>
      </c>
      <c r="M571" s="4">
        <f>IFERROR(MATCH(566,상세표[경계순번],0),"")</f>
        <v/>
      </c>
    </row>
    <row r="572">
      <c r="A572">
        <f>IF($M572="","",INDEX(상세표[사번],$M572)&amp;"")</f>
        <v/>
      </c>
      <c r="B572">
        <f>IF($M572="","",INDEX(상세표[성명],$M572)&amp;"")</f>
        <v/>
      </c>
      <c r="C572">
        <f>IF($M572="","",IF(INDEX(상세표[종료월],$M572)=대상월키,"전월→이번 달","이번 달→익월"))</f>
        <v/>
      </c>
      <c r="D572">
        <f>IF($M572="","",IF(ISNUMBER(INDEX(상세표[시작],$M572)),TEXT(INDEX(상세표[시작],$M572),"yyyy-mm-dd hh:mm"),INDEX(상세표[시작],$M572)&amp;""))</f>
        <v/>
      </c>
      <c r="E572">
        <f>IF($M572="","",IF(ISNUMBER(INDEX(상세표[종료],$M572)),TEXT(INDEX(상세표[종료],$M572),"yyyy-mm-dd hh:mm"),INDEX(상세표[종료],$M572)&amp;""))</f>
        <v/>
      </c>
      <c r="F572">
        <f>IF($M572="","",INDEX(상세표[기록 시간외],$M572))</f>
        <v/>
      </c>
      <c r="G572">
        <f>IF($M572="","",INDEX(상세표[시작월 기관],$M572)&amp;"")</f>
        <v/>
      </c>
      <c r="H572">
        <f>IF($M572="","",INDEX(상세표[종료월 기관],$M572)&amp;"")</f>
        <v/>
      </c>
      <c r="I572">
        <f>IF($M572="","",INDEX(상세표[월경계 판정],$M572)&amp;"")</f>
        <v/>
      </c>
      <c r="J572">
        <f>IF($M572="","",INDEX(상세표[반영월],$M572)&amp;"")</f>
        <v/>
      </c>
      <c r="K572">
        <f>IF($M572="","",INDEX(상세표[반영 기관],$M572)&amp;"")</f>
        <v/>
      </c>
      <c r="L572">
        <f>IF($M572="","",INDEX(상세표[기관 출처],$M572)&amp;"")</f>
        <v/>
      </c>
      <c r="M572" s="4">
        <f>IFERROR(MATCH(567,상세표[경계순번],0),"")</f>
        <v/>
      </c>
    </row>
    <row r="573">
      <c r="A573">
        <f>IF($M573="","",INDEX(상세표[사번],$M573)&amp;"")</f>
        <v/>
      </c>
      <c r="B573">
        <f>IF($M573="","",INDEX(상세표[성명],$M573)&amp;"")</f>
        <v/>
      </c>
      <c r="C573">
        <f>IF($M573="","",IF(INDEX(상세표[종료월],$M573)=대상월키,"전월→이번 달","이번 달→익월"))</f>
        <v/>
      </c>
      <c r="D573">
        <f>IF($M573="","",IF(ISNUMBER(INDEX(상세표[시작],$M573)),TEXT(INDEX(상세표[시작],$M573),"yyyy-mm-dd hh:mm"),INDEX(상세표[시작],$M573)&amp;""))</f>
        <v/>
      </c>
      <c r="E573">
        <f>IF($M573="","",IF(ISNUMBER(INDEX(상세표[종료],$M573)),TEXT(INDEX(상세표[종료],$M573),"yyyy-mm-dd hh:mm"),INDEX(상세표[종료],$M573)&amp;""))</f>
        <v/>
      </c>
      <c r="F573">
        <f>IF($M573="","",INDEX(상세표[기록 시간외],$M573))</f>
        <v/>
      </c>
      <c r="G573">
        <f>IF($M573="","",INDEX(상세표[시작월 기관],$M573)&amp;"")</f>
        <v/>
      </c>
      <c r="H573">
        <f>IF($M573="","",INDEX(상세표[종료월 기관],$M573)&amp;"")</f>
        <v/>
      </c>
      <c r="I573">
        <f>IF($M573="","",INDEX(상세표[월경계 판정],$M573)&amp;"")</f>
        <v/>
      </c>
      <c r="J573">
        <f>IF($M573="","",INDEX(상세표[반영월],$M573)&amp;"")</f>
        <v/>
      </c>
      <c r="K573">
        <f>IF($M573="","",INDEX(상세표[반영 기관],$M573)&amp;"")</f>
        <v/>
      </c>
      <c r="L573">
        <f>IF($M573="","",INDEX(상세표[기관 출처],$M573)&amp;"")</f>
        <v/>
      </c>
      <c r="M573" s="4">
        <f>IFERROR(MATCH(568,상세표[경계순번],0),"")</f>
        <v/>
      </c>
    </row>
    <row r="574">
      <c r="A574">
        <f>IF($M574="","",INDEX(상세표[사번],$M574)&amp;"")</f>
        <v/>
      </c>
      <c r="B574">
        <f>IF($M574="","",INDEX(상세표[성명],$M574)&amp;"")</f>
        <v/>
      </c>
      <c r="C574">
        <f>IF($M574="","",IF(INDEX(상세표[종료월],$M574)=대상월키,"전월→이번 달","이번 달→익월"))</f>
        <v/>
      </c>
      <c r="D574">
        <f>IF($M574="","",IF(ISNUMBER(INDEX(상세표[시작],$M574)),TEXT(INDEX(상세표[시작],$M574),"yyyy-mm-dd hh:mm"),INDEX(상세표[시작],$M574)&amp;""))</f>
        <v/>
      </c>
      <c r="E574">
        <f>IF($M574="","",IF(ISNUMBER(INDEX(상세표[종료],$M574)),TEXT(INDEX(상세표[종료],$M574),"yyyy-mm-dd hh:mm"),INDEX(상세표[종료],$M574)&amp;""))</f>
        <v/>
      </c>
      <c r="F574">
        <f>IF($M574="","",INDEX(상세표[기록 시간외],$M574))</f>
        <v/>
      </c>
      <c r="G574">
        <f>IF($M574="","",INDEX(상세표[시작월 기관],$M574)&amp;"")</f>
        <v/>
      </c>
      <c r="H574">
        <f>IF($M574="","",INDEX(상세표[종료월 기관],$M574)&amp;"")</f>
        <v/>
      </c>
      <c r="I574">
        <f>IF($M574="","",INDEX(상세표[월경계 판정],$M574)&amp;"")</f>
        <v/>
      </c>
      <c r="J574">
        <f>IF($M574="","",INDEX(상세표[반영월],$M574)&amp;"")</f>
        <v/>
      </c>
      <c r="K574">
        <f>IF($M574="","",INDEX(상세표[반영 기관],$M574)&amp;"")</f>
        <v/>
      </c>
      <c r="L574">
        <f>IF($M574="","",INDEX(상세표[기관 출처],$M574)&amp;"")</f>
        <v/>
      </c>
      <c r="M574" s="4">
        <f>IFERROR(MATCH(569,상세표[경계순번],0),"")</f>
        <v/>
      </c>
    </row>
    <row r="575">
      <c r="A575">
        <f>IF($M575="","",INDEX(상세표[사번],$M575)&amp;"")</f>
        <v/>
      </c>
      <c r="B575">
        <f>IF($M575="","",INDEX(상세표[성명],$M575)&amp;"")</f>
        <v/>
      </c>
      <c r="C575">
        <f>IF($M575="","",IF(INDEX(상세표[종료월],$M575)=대상월키,"전월→이번 달","이번 달→익월"))</f>
        <v/>
      </c>
      <c r="D575">
        <f>IF($M575="","",IF(ISNUMBER(INDEX(상세표[시작],$M575)),TEXT(INDEX(상세표[시작],$M575),"yyyy-mm-dd hh:mm"),INDEX(상세표[시작],$M575)&amp;""))</f>
        <v/>
      </c>
      <c r="E575">
        <f>IF($M575="","",IF(ISNUMBER(INDEX(상세표[종료],$M575)),TEXT(INDEX(상세표[종료],$M575),"yyyy-mm-dd hh:mm"),INDEX(상세표[종료],$M575)&amp;""))</f>
        <v/>
      </c>
      <c r="F575">
        <f>IF($M575="","",INDEX(상세표[기록 시간외],$M575))</f>
        <v/>
      </c>
      <c r="G575">
        <f>IF($M575="","",INDEX(상세표[시작월 기관],$M575)&amp;"")</f>
        <v/>
      </c>
      <c r="H575">
        <f>IF($M575="","",INDEX(상세표[종료월 기관],$M575)&amp;"")</f>
        <v/>
      </c>
      <c r="I575">
        <f>IF($M575="","",INDEX(상세표[월경계 판정],$M575)&amp;"")</f>
        <v/>
      </c>
      <c r="J575">
        <f>IF($M575="","",INDEX(상세표[반영월],$M575)&amp;"")</f>
        <v/>
      </c>
      <c r="K575">
        <f>IF($M575="","",INDEX(상세표[반영 기관],$M575)&amp;"")</f>
        <v/>
      </c>
      <c r="L575">
        <f>IF($M575="","",INDEX(상세표[기관 출처],$M575)&amp;"")</f>
        <v/>
      </c>
      <c r="M575" s="4">
        <f>IFERROR(MATCH(570,상세표[경계순번],0),"")</f>
        <v/>
      </c>
    </row>
    <row r="576">
      <c r="A576">
        <f>IF($M576="","",INDEX(상세표[사번],$M576)&amp;"")</f>
        <v/>
      </c>
      <c r="B576">
        <f>IF($M576="","",INDEX(상세표[성명],$M576)&amp;"")</f>
        <v/>
      </c>
      <c r="C576">
        <f>IF($M576="","",IF(INDEX(상세표[종료월],$M576)=대상월키,"전월→이번 달","이번 달→익월"))</f>
        <v/>
      </c>
      <c r="D576">
        <f>IF($M576="","",IF(ISNUMBER(INDEX(상세표[시작],$M576)),TEXT(INDEX(상세표[시작],$M576),"yyyy-mm-dd hh:mm"),INDEX(상세표[시작],$M576)&amp;""))</f>
        <v/>
      </c>
      <c r="E576">
        <f>IF($M576="","",IF(ISNUMBER(INDEX(상세표[종료],$M576)),TEXT(INDEX(상세표[종료],$M576),"yyyy-mm-dd hh:mm"),INDEX(상세표[종료],$M576)&amp;""))</f>
        <v/>
      </c>
      <c r="F576">
        <f>IF($M576="","",INDEX(상세표[기록 시간외],$M576))</f>
        <v/>
      </c>
      <c r="G576">
        <f>IF($M576="","",INDEX(상세표[시작월 기관],$M576)&amp;"")</f>
        <v/>
      </c>
      <c r="H576">
        <f>IF($M576="","",INDEX(상세표[종료월 기관],$M576)&amp;"")</f>
        <v/>
      </c>
      <c r="I576">
        <f>IF($M576="","",INDEX(상세표[월경계 판정],$M576)&amp;"")</f>
        <v/>
      </c>
      <c r="J576">
        <f>IF($M576="","",INDEX(상세표[반영월],$M576)&amp;"")</f>
        <v/>
      </c>
      <c r="K576">
        <f>IF($M576="","",INDEX(상세표[반영 기관],$M576)&amp;"")</f>
        <v/>
      </c>
      <c r="L576">
        <f>IF($M576="","",INDEX(상세표[기관 출처],$M576)&amp;"")</f>
        <v/>
      </c>
      <c r="M576" s="4">
        <f>IFERROR(MATCH(571,상세표[경계순번],0),"")</f>
        <v/>
      </c>
    </row>
    <row r="577">
      <c r="A577">
        <f>IF($M577="","",INDEX(상세표[사번],$M577)&amp;"")</f>
        <v/>
      </c>
      <c r="B577">
        <f>IF($M577="","",INDEX(상세표[성명],$M577)&amp;"")</f>
        <v/>
      </c>
      <c r="C577">
        <f>IF($M577="","",IF(INDEX(상세표[종료월],$M577)=대상월키,"전월→이번 달","이번 달→익월"))</f>
        <v/>
      </c>
      <c r="D577">
        <f>IF($M577="","",IF(ISNUMBER(INDEX(상세표[시작],$M577)),TEXT(INDEX(상세표[시작],$M577),"yyyy-mm-dd hh:mm"),INDEX(상세표[시작],$M577)&amp;""))</f>
        <v/>
      </c>
      <c r="E577">
        <f>IF($M577="","",IF(ISNUMBER(INDEX(상세표[종료],$M577)),TEXT(INDEX(상세표[종료],$M577),"yyyy-mm-dd hh:mm"),INDEX(상세표[종료],$M577)&amp;""))</f>
        <v/>
      </c>
      <c r="F577">
        <f>IF($M577="","",INDEX(상세표[기록 시간외],$M577))</f>
        <v/>
      </c>
      <c r="G577">
        <f>IF($M577="","",INDEX(상세표[시작월 기관],$M577)&amp;"")</f>
        <v/>
      </c>
      <c r="H577">
        <f>IF($M577="","",INDEX(상세표[종료월 기관],$M577)&amp;"")</f>
        <v/>
      </c>
      <c r="I577">
        <f>IF($M577="","",INDEX(상세표[월경계 판정],$M577)&amp;"")</f>
        <v/>
      </c>
      <c r="J577">
        <f>IF($M577="","",INDEX(상세표[반영월],$M577)&amp;"")</f>
        <v/>
      </c>
      <c r="K577">
        <f>IF($M577="","",INDEX(상세표[반영 기관],$M577)&amp;"")</f>
        <v/>
      </c>
      <c r="L577">
        <f>IF($M577="","",INDEX(상세표[기관 출처],$M577)&amp;"")</f>
        <v/>
      </c>
      <c r="M577" s="4">
        <f>IFERROR(MATCH(572,상세표[경계순번],0),"")</f>
        <v/>
      </c>
    </row>
    <row r="578">
      <c r="A578">
        <f>IF($M578="","",INDEX(상세표[사번],$M578)&amp;"")</f>
        <v/>
      </c>
      <c r="B578">
        <f>IF($M578="","",INDEX(상세표[성명],$M578)&amp;"")</f>
        <v/>
      </c>
      <c r="C578">
        <f>IF($M578="","",IF(INDEX(상세표[종료월],$M578)=대상월키,"전월→이번 달","이번 달→익월"))</f>
        <v/>
      </c>
      <c r="D578">
        <f>IF($M578="","",IF(ISNUMBER(INDEX(상세표[시작],$M578)),TEXT(INDEX(상세표[시작],$M578),"yyyy-mm-dd hh:mm"),INDEX(상세표[시작],$M578)&amp;""))</f>
        <v/>
      </c>
      <c r="E578">
        <f>IF($M578="","",IF(ISNUMBER(INDEX(상세표[종료],$M578)),TEXT(INDEX(상세표[종료],$M578),"yyyy-mm-dd hh:mm"),INDEX(상세표[종료],$M578)&amp;""))</f>
        <v/>
      </c>
      <c r="F578">
        <f>IF($M578="","",INDEX(상세표[기록 시간외],$M578))</f>
        <v/>
      </c>
      <c r="G578">
        <f>IF($M578="","",INDEX(상세표[시작월 기관],$M578)&amp;"")</f>
        <v/>
      </c>
      <c r="H578">
        <f>IF($M578="","",INDEX(상세표[종료월 기관],$M578)&amp;"")</f>
        <v/>
      </c>
      <c r="I578">
        <f>IF($M578="","",INDEX(상세표[월경계 판정],$M578)&amp;"")</f>
        <v/>
      </c>
      <c r="J578">
        <f>IF($M578="","",INDEX(상세표[반영월],$M578)&amp;"")</f>
        <v/>
      </c>
      <c r="K578">
        <f>IF($M578="","",INDEX(상세표[반영 기관],$M578)&amp;"")</f>
        <v/>
      </c>
      <c r="L578">
        <f>IF($M578="","",INDEX(상세표[기관 출처],$M578)&amp;"")</f>
        <v/>
      </c>
      <c r="M578" s="4">
        <f>IFERROR(MATCH(573,상세표[경계순번],0),"")</f>
        <v/>
      </c>
    </row>
    <row r="579">
      <c r="A579">
        <f>IF($M579="","",INDEX(상세표[사번],$M579)&amp;"")</f>
        <v/>
      </c>
      <c r="B579">
        <f>IF($M579="","",INDEX(상세표[성명],$M579)&amp;"")</f>
        <v/>
      </c>
      <c r="C579">
        <f>IF($M579="","",IF(INDEX(상세표[종료월],$M579)=대상월키,"전월→이번 달","이번 달→익월"))</f>
        <v/>
      </c>
      <c r="D579">
        <f>IF($M579="","",IF(ISNUMBER(INDEX(상세표[시작],$M579)),TEXT(INDEX(상세표[시작],$M579),"yyyy-mm-dd hh:mm"),INDEX(상세표[시작],$M579)&amp;""))</f>
        <v/>
      </c>
      <c r="E579">
        <f>IF($M579="","",IF(ISNUMBER(INDEX(상세표[종료],$M579)),TEXT(INDEX(상세표[종료],$M579),"yyyy-mm-dd hh:mm"),INDEX(상세표[종료],$M579)&amp;""))</f>
        <v/>
      </c>
      <c r="F579">
        <f>IF($M579="","",INDEX(상세표[기록 시간외],$M579))</f>
        <v/>
      </c>
      <c r="G579">
        <f>IF($M579="","",INDEX(상세표[시작월 기관],$M579)&amp;"")</f>
        <v/>
      </c>
      <c r="H579">
        <f>IF($M579="","",INDEX(상세표[종료월 기관],$M579)&amp;"")</f>
        <v/>
      </c>
      <c r="I579">
        <f>IF($M579="","",INDEX(상세표[월경계 판정],$M579)&amp;"")</f>
        <v/>
      </c>
      <c r="J579">
        <f>IF($M579="","",INDEX(상세표[반영월],$M579)&amp;"")</f>
        <v/>
      </c>
      <c r="K579">
        <f>IF($M579="","",INDEX(상세표[반영 기관],$M579)&amp;"")</f>
        <v/>
      </c>
      <c r="L579">
        <f>IF($M579="","",INDEX(상세표[기관 출처],$M579)&amp;"")</f>
        <v/>
      </c>
      <c r="M579" s="4">
        <f>IFERROR(MATCH(574,상세표[경계순번],0),"")</f>
        <v/>
      </c>
    </row>
    <row r="580">
      <c r="A580">
        <f>IF($M580="","",INDEX(상세표[사번],$M580)&amp;"")</f>
        <v/>
      </c>
      <c r="B580">
        <f>IF($M580="","",INDEX(상세표[성명],$M580)&amp;"")</f>
        <v/>
      </c>
      <c r="C580">
        <f>IF($M580="","",IF(INDEX(상세표[종료월],$M580)=대상월키,"전월→이번 달","이번 달→익월"))</f>
        <v/>
      </c>
      <c r="D580">
        <f>IF($M580="","",IF(ISNUMBER(INDEX(상세표[시작],$M580)),TEXT(INDEX(상세표[시작],$M580),"yyyy-mm-dd hh:mm"),INDEX(상세표[시작],$M580)&amp;""))</f>
        <v/>
      </c>
      <c r="E580">
        <f>IF($M580="","",IF(ISNUMBER(INDEX(상세표[종료],$M580)),TEXT(INDEX(상세표[종료],$M580),"yyyy-mm-dd hh:mm"),INDEX(상세표[종료],$M580)&amp;""))</f>
        <v/>
      </c>
      <c r="F580">
        <f>IF($M580="","",INDEX(상세표[기록 시간외],$M580))</f>
        <v/>
      </c>
      <c r="G580">
        <f>IF($M580="","",INDEX(상세표[시작월 기관],$M580)&amp;"")</f>
        <v/>
      </c>
      <c r="H580">
        <f>IF($M580="","",INDEX(상세표[종료월 기관],$M580)&amp;"")</f>
        <v/>
      </c>
      <c r="I580">
        <f>IF($M580="","",INDEX(상세표[월경계 판정],$M580)&amp;"")</f>
        <v/>
      </c>
      <c r="J580">
        <f>IF($M580="","",INDEX(상세표[반영월],$M580)&amp;"")</f>
        <v/>
      </c>
      <c r="K580">
        <f>IF($M580="","",INDEX(상세표[반영 기관],$M580)&amp;"")</f>
        <v/>
      </c>
      <c r="L580">
        <f>IF($M580="","",INDEX(상세표[기관 출처],$M580)&amp;"")</f>
        <v/>
      </c>
      <c r="M580" s="4">
        <f>IFERROR(MATCH(575,상세표[경계순번],0),"")</f>
        <v/>
      </c>
    </row>
    <row r="581">
      <c r="A581">
        <f>IF($M581="","",INDEX(상세표[사번],$M581)&amp;"")</f>
        <v/>
      </c>
      <c r="B581">
        <f>IF($M581="","",INDEX(상세표[성명],$M581)&amp;"")</f>
        <v/>
      </c>
      <c r="C581">
        <f>IF($M581="","",IF(INDEX(상세표[종료월],$M581)=대상월키,"전월→이번 달","이번 달→익월"))</f>
        <v/>
      </c>
      <c r="D581">
        <f>IF($M581="","",IF(ISNUMBER(INDEX(상세표[시작],$M581)),TEXT(INDEX(상세표[시작],$M581),"yyyy-mm-dd hh:mm"),INDEX(상세표[시작],$M581)&amp;""))</f>
        <v/>
      </c>
      <c r="E581">
        <f>IF($M581="","",IF(ISNUMBER(INDEX(상세표[종료],$M581)),TEXT(INDEX(상세표[종료],$M581),"yyyy-mm-dd hh:mm"),INDEX(상세표[종료],$M581)&amp;""))</f>
        <v/>
      </c>
      <c r="F581">
        <f>IF($M581="","",INDEX(상세표[기록 시간외],$M581))</f>
        <v/>
      </c>
      <c r="G581">
        <f>IF($M581="","",INDEX(상세표[시작월 기관],$M581)&amp;"")</f>
        <v/>
      </c>
      <c r="H581">
        <f>IF($M581="","",INDEX(상세표[종료월 기관],$M581)&amp;"")</f>
        <v/>
      </c>
      <c r="I581">
        <f>IF($M581="","",INDEX(상세표[월경계 판정],$M581)&amp;"")</f>
        <v/>
      </c>
      <c r="J581">
        <f>IF($M581="","",INDEX(상세표[반영월],$M581)&amp;"")</f>
        <v/>
      </c>
      <c r="K581">
        <f>IF($M581="","",INDEX(상세표[반영 기관],$M581)&amp;"")</f>
        <v/>
      </c>
      <c r="L581">
        <f>IF($M581="","",INDEX(상세표[기관 출처],$M581)&amp;"")</f>
        <v/>
      </c>
      <c r="M581" s="4">
        <f>IFERROR(MATCH(576,상세표[경계순번],0),"")</f>
        <v/>
      </c>
    </row>
    <row r="582">
      <c r="A582">
        <f>IF($M582="","",INDEX(상세표[사번],$M582)&amp;"")</f>
        <v/>
      </c>
      <c r="B582">
        <f>IF($M582="","",INDEX(상세표[성명],$M582)&amp;"")</f>
        <v/>
      </c>
      <c r="C582">
        <f>IF($M582="","",IF(INDEX(상세표[종료월],$M582)=대상월키,"전월→이번 달","이번 달→익월"))</f>
        <v/>
      </c>
      <c r="D582">
        <f>IF($M582="","",IF(ISNUMBER(INDEX(상세표[시작],$M582)),TEXT(INDEX(상세표[시작],$M582),"yyyy-mm-dd hh:mm"),INDEX(상세표[시작],$M582)&amp;""))</f>
        <v/>
      </c>
      <c r="E582">
        <f>IF($M582="","",IF(ISNUMBER(INDEX(상세표[종료],$M582)),TEXT(INDEX(상세표[종료],$M582),"yyyy-mm-dd hh:mm"),INDEX(상세표[종료],$M582)&amp;""))</f>
        <v/>
      </c>
      <c r="F582">
        <f>IF($M582="","",INDEX(상세표[기록 시간외],$M582))</f>
        <v/>
      </c>
      <c r="G582">
        <f>IF($M582="","",INDEX(상세표[시작월 기관],$M582)&amp;"")</f>
        <v/>
      </c>
      <c r="H582">
        <f>IF($M582="","",INDEX(상세표[종료월 기관],$M582)&amp;"")</f>
        <v/>
      </c>
      <c r="I582">
        <f>IF($M582="","",INDEX(상세표[월경계 판정],$M582)&amp;"")</f>
        <v/>
      </c>
      <c r="J582">
        <f>IF($M582="","",INDEX(상세표[반영월],$M582)&amp;"")</f>
        <v/>
      </c>
      <c r="K582">
        <f>IF($M582="","",INDEX(상세표[반영 기관],$M582)&amp;"")</f>
        <v/>
      </c>
      <c r="L582">
        <f>IF($M582="","",INDEX(상세표[기관 출처],$M582)&amp;"")</f>
        <v/>
      </c>
      <c r="M582" s="4">
        <f>IFERROR(MATCH(577,상세표[경계순번],0),"")</f>
        <v/>
      </c>
    </row>
    <row r="583">
      <c r="A583">
        <f>IF($M583="","",INDEX(상세표[사번],$M583)&amp;"")</f>
        <v/>
      </c>
      <c r="B583">
        <f>IF($M583="","",INDEX(상세표[성명],$M583)&amp;"")</f>
        <v/>
      </c>
      <c r="C583">
        <f>IF($M583="","",IF(INDEX(상세표[종료월],$M583)=대상월키,"전월→이번 달","이번 달→익월"))</f>
        <v/>
      </c>
      <c r="D583">
        <f>IF($M583="","",IF(ISNUMBER(INDEX(상세표[시작],$M583)),TEXT(INDEX(상세표[시작],$M583),"yyyy-mm-dd hh:mm"),INDEX(상세표[시작],$M583)&amp;""))</f>
        <v/>
      </c>
      <c r="E583">
        <f>IF($M583="","",IF(ISNUMBER(INDEX(상세표[종료],$M583)),TEXT(INDEX(상세표[종료],$M583),"yyyy-mm-dd hh:mm"),INDEX(상세표[종료],$M583)&amp;""))</f>
        <v/>
      </c>
      <c r="F583">
        <f>IF($M583="","",INDEX(상세표[기록 시간외],$M583))</f>
        <v/>
      </c>
      <c r="G583">
        <f>IF($M583="","",INDEX(상세표[시작월 기관],$M583)&amp;"")</f>
        <v/>
      </c>
      <c r="H583">
        <f>IF($M583="","",INDEX(상세표[종료월 기관],$M583)&amp;"")</f>
        <v/>
      </c>
      <c r="I583">
        <f>IF($M583="","",INDEX(상세표[월경계 판정],$M583)&amp;"")</f>
        <v/>
      </c>
      <c r="J583">
        <f>IF($M583="","",INDEX(상세표[반영월],$M583)&amp;"")</f>
        <v/>
      </c>
      <c r="K583">
        <f>IF($M583="","",INDEX(상세표[반영 기관],$M583)&amp;"")</f>
        <v/>
      </c>
      <c r="L583">
        <f>IF($M583="","",INDEX(상세표[기관 출처],$M583)&amp;"")</f>
        <v/>
      </c>
      <c r="M583" s="4">
        <f>IFERROR(MATCH(578,상세표[경계순번],0),"")</f>
        <v/>
      </c>
    </row>
    <row r="584">
      <c r="A584">
        <f>IF($M584="","",INDEX(상세표[사번],$M584)&amp;"")</f>
        <v/>
      </c>
      <c r="B584">
        <f>IF($M584="","",INDEX(상세표[성명],$M584)&amp;"")</f>
        <v/>
      </c>
      <c r="C584">
        <f>IF($M584="","",IF(INDEX(상세표[종료월],$M584)=대상월키,"전월→이번 달","이번 달→익월"))</f>
        <v/>
      </c>
      <c r="D584">
        <f>IF($M584="","",IF(ISNUMBER(INDEX(상세표[시작],$M584)),TEXT(INDEX(상세표[시작],$M584),"yyyy-mm-dd hh:mm"),INDEX(상세표[시작],$M584)&amp;""))</f>
        <v/>
      </c>
      <c r="E584">
        <f>IF($M584="","",IF(ISNUMBER(INDEX(상세표[종료],$M584)),TEXT(INDEX(상세표[종료],$M584),"yyyy-mm-dd hh:mm"),INDEX(상세표[종료],$M584)&amp;""))</f>
        <v/>
      </c>
      <c r="F584">
        <f>IF($M584="","",INDEX(상세표[기록 시간외],$M584))</f>
        <v/>
      </c>
      <c r="G584">
        <f>IF($M584="","",INDEX(상세표[시작월 기관],$M584)&amp;"")</f>
        <v/>
      </c>
      <c r="H584">
        <f>IF($M584="","",INDEX(상세표[종료월 기관],$M584)&amp;"")</f>
        <v/>
      </c>
      <c r="I584">
        <f>IF($M584="","",INDEX(상세표[월경계 판정],$M584)&amp;"")</f>
        <v/>
      </c>
      <c r="J584">
        <f>IF($M584="","",INDEX(상세표[반영월],$M584)&amp;"")</f>
        <v/>
      </c>
      <c r="K584">
        <f>IF($M584="","",INDEX(상세표[반영 기관],$M584)&amp;"")</f>
        <v/>
      </c>
      <c r="L584">
        <f>IF($M584="","",INDEX(상세표[기관 출처],$M584)&amp;"")</f>
        <v/>
      </c>
      <c r="M584" s="4">
        <f>IFERROR(MATCH(579,상세표[경계순번],0),"")</f>
        <v/>
      </c>
    </row>
    <row r="585">
      <c r="A585">
        <f>IF($M585="","",INDEX(상세표[사번],$M585)&amp;"")</f>
        <v/>
      </c>
      <c r="B585">
        <f>IF($M585="","",INDEX(상세표[성명],$M585)&amp;"")</f>
        <v/>
      </c>
      <c r="C585">
        <f>IF($M585="","",IF(INDEX(상세표[종료월],$M585)=대상월키,"전월→이번 달","이번 달→익월"))</f>
        <v/>
      </c>
      <c r="D585">
        <f>IF($M585="","",IF(ISNUMBER(INDEX(상세표[시작],$M585)),TEXT(INDEX(상세표[시작],$M585),"yyyy-mm-dd hh:mm"),INDEX(상세표[시작],$M585)&amp;""))</f>
        <v/>
      </c>
      <c r="E585">
        <f>IF($M585="","",IF(ISNUMBER(INDEX(상세표[종료],$M585)),TEXT(INDEX(상세표[종료],$M585),"yyyy-mm-dd hh:mm"),INDEX(상세표[종료],$M585)&amp;""))</f>
        <v/>
      </c>
      <c r="F585">
        <f>IF($M585="","",INDEX(상세표[기록 시간외],$M585))</f>
        <v/>
      </c>
      <c r="G585">
        <f>IF($M585="","",INDEX(상세표[시작월 기관],$M585)&amp;"")</f>
        <v/>
      </c>
      <c r="H585">
        <f>IF($M585="","",INDEX(상세표[종료월 기관],$M585)&amp;"")</f>
        <v/>
      </c>
      <c r="I585">
        <f>IF($M585="","",INDEX(상세표[월경계 판정],$M585)&amp;"")</f>
        <v/>
      </c>
      <c r="J585">
        <f>IF($M585="","",INDEX(상세표[반영월],$M585)&amp;"")</f>
        <v/>
      </c>
      <c r="K585">
        <f>IF($M585="","",INDEX(상세표[반영 기관],$M585)&amp;"")</f>
        <v/>
      </c>
      <c r="L585">
        <f>IF($M585="","",INDEX(상세표[기관 출처],$M585)&amp;"")</f>
        <v/>
      </c>
      <c r="M585" s="4">
        <f>IFERROR(MATCH(580,상세표[경계순번],0),"")</f>
        <v/>
      </c>
    </row>
    <row r="586">
      <c r="A586">
        <f>IF($M586="","",INDEX(상세표[사번],$M586)&amp;"")</f>
        <v/>
      </c>
      <c r="B586">
        <f>IF($M586="","",INDEX(상세표[성명],$M586)&amp;"")</f>
        <v/>
      </c>
      <c r="C586">
        <f>IF($M586="","",IF(INDEX(상세표[종료월],$M586)=대상월키,"전월→이번 달","이번 달→익월"))</f>
        <v/>
      </c>
      <c r="D586">
        <f>IF($M586="","",IF(ISNUMBER(INDEX(상세표[시작],$M586)),TEXT(INDEX(상세표[시작],$M586),"yyyy-mm-dd hh:mm"),INDEX(상세표[시작],$M586)&amp;""))</f>
        <v/>
      </c>
      <c r="E586">
        <f>IF($M586="","",IF(ISNUMBER(INDEX(상세표[종료],$M586)),TEXT(INDEX(상세표[종료],$M586),"yyyy-mm-dd hh:mm"),INDEX(상세표[종료],$M586)&amp;""))</f>
        <v/>
      </c>
      <c r="F586">
        <f>IF($M586="","",INDEX(상세표[기록 시간외],$M586))</f>
        <v/>
      </c>
      <c r="G586">
        <f>IF($M586="","",INDEX(상세표[시작월 기관],$M586)&amp;"")</f>
        <v/>
      </c>
      <c r="H586">
        <f>IF($M586="","",INDEX(상세표[종료월 기관],$M586)&amp;"")</f>
        <v/>
      </c>
      <c r="I586">
        <f>IF($M586="","",INDEX(상세표[월경계 판정],$M586)&amp;"")</f>
        <v/>
      </c>
      <c r="J586">
        <f>IF($M586="","",INDEX(상세표[반영월],$M586)&amp;"")</f>
        <v/>
      </c>
      <c r="K586">
        <f>IF($M586="","",INDEX(상세표[반영 기관],$M586)&amp;"")</f>
        <v/>
      </c>
      <c r="L586">
        <f>IF($M586="","",INDEX(상세표[기관 출처],$M586)&amp;"")</f>
        <v/>
      </c>
      <c r="M586" s="4">
        <f>IFERROR(MATCH(581,상세표[경계순번],0),"")</f>
        <v/>
      </c>
    </row>
    <row r="587">
      <c r="A587">
        <f>IF($M587="","",INDEX(상세표[사번],$M587)&amp;"")</f>
        <v/>
      </c>
      <c r="B587">
        <f>IF($M587="","",INDEX(상세표[성명],$M587)&amp;"")</f>
        <v/>
      </c>
      <c r="C587">
        <f>IF($M587="","",IF(INDEX(상세표[종료월],$M587)=대상월키,"전월→이번 달","이번 달→익월"))</f>
        <v/>
      </c>
      <c r="D587">
        <f>IF($M587="","",IF(ISNUMBER(INDEX(상세표[시작],$M587)),TEXT(INDEX(상세표[시작],$M587),"yyyy-mm-dd hh:mm"),INDEX(상세표[시작],$M587)&amp;""))</f>
        <v/>
      </c>
      <c r="E587">
        <f>IF($M587="","",IF(ISNUMBER(INDEX(상세표[종료],$M587)),TEXT(INDEX(상세표[종료],$M587),"yyyy-mm-dd hh:mm"),INDEX(상세표[종료],$M587)&amp;""))</f>
        <v/>
      </c>
      <c r="F587">
        <f>IF($M587="","",INDEX(상세표[기록 시간외],$M587))</f>
        <v/>
      </c>
      <c r="G587">
        <f>IF($M587="","",INDEX(상세표[시작월 기관],$M587)&amp;"")</f>
        <v/>
      </c>
      <c r="H587">
        <f>IF($M587="","",INDEX(상세표[종료월 기관],$M587)&amp;"")</f>
        <v/>
      </c>
      <c r="I587">
        <f>IF($M587="","",INDEX(상세표[월경계 판정],$M587)&amp;"")</f>
        <v/>
      </c>
      <c r="J587">
        <f>IF($M587="","",INDEX(상세표[반영월],$M587)&amp;"")</f>
        <v/>
      </c>
      <c r="K587">
        <f>IF($M587="","",INDEX(상세표[반영 기관],$M587)&amp;"")</f>
        <v/>
      </c>
      <c r="L587">
        <f>IF($M587="","",INDEX(상세표[기관 출처],$M587)&amp;"")</f>
        <v/>
      </c>
      <c r="M587" s="4">
        <f>IFERROR(MATCH(582,상세표[경계순번],0),"")</f>
        <v/>
      </c>
    </row>
    <row r="588">
      <c r="A588">
        <f>IF($M588="","",INDEX(상세표[사번],$M588)&amp;"")</f>
        <v/>
      </c>
      <c r="B588">
        <f>IF($M588="","",INDEX(상세표[성명],$M588)&amp;"")</f>
        <v/>
      </c>
      <c r="C588">
        <f>IF($M588="","",IF(INDEX(상세표[종료월],$M588)=대상월키,"전월→이번 달","이번 달→익월"))</f>
        <v/>
      </c>
      <c r="D588">
        <f>IF($M588="","",IF(ISNUMBER(INDEX(상세표[시작],$M588)),TEXT(INDEX(상세표[시작],$M588),"yyyy-mm-dd hh:mm"),INDEX(상세표[시작],$M588)&amp;""))</f>
        <v/>
      </c>
      <c r="E588">
        <f>IF($M588="","",IF(ISNUMBER(INDEX(상세표[종료],$M588)),TEXT(INDEX(상세표[종료],$M588),"yyyy-mm-dd hh:mm"),INDEX(상세표[종료],$M588)&amp;""))</f>
        <v/>
      </c>
      <c r="F588">
        <f>IF($M588="","",INDEX(상세표[기록 시간외],$M588))</f>
        <v/>
      </c>
      <c r="G588">
        <f>IF($M588="","",INDEX(상세표[시작월 기관],$M588)&amp;"")</f>
        <v/>
      </c>
      <c r="H588">
        <f>IF($M588="","",INDEX(상세표[종료월 기관],$M588)&amp;"")</f>
        <v/>
      </c>
      <c r="I588">
        <f>IF($M588="","",INDEX(상세표[월경계 판정],$M588)&amp;"")</f>
        <v/>
      </c>
      <c r="J588">
        <f>IF($M588="","",INDEX(상세표[반영월],$M588)&amp;"")</f>
        <v/>
      </c>
      <c r="K588">
        <f>IF($M588="","",INDEX(상세표[반영 기관],$M588)&amp;"")</f>
        <v/>
      </c>
      <c r="L588">
        <f>IF($M588="","",INDEX(상세표[기관 출처],$M588)&amp;"")</f>
        <v/>
      </c>
      <c r="M588" s="4">
        <f>IFERROR(MATCH(583,상세표[경계순번],0),"")</f>
        <v/>
      </c>
    </row>
    <row r="589">
      <c r="A589">
        <f>IF($M589="","",INDEX(상세표[사번],$M589)&amp;"")</f>
        <v/>
      </c>
      <c r="B589">
        <f>IF($M589="","",INDEX(상세표[성명],$M589)&amp;"")</f>
        <v/>
      </c>
      <c r="C589">
        <f>IF($M589="","",IF(INDEX(상세표[종료월],$M589)=대상월키,"전월→이번 달","이번 달→익월"))</f>
        <v/>
      </c>
      <c r="D589">
        <f>IF($M589="","",IF(ISNUMBER(INDEX(상세표[시작],$M589)),TEXT(INDEX(상세표[시작],$M589),"yyyy-mm-dd hh:mm"),INDEX(상세표[시작],$M589)&amp;""))</f>
        <v/>
      </c>
      <c r="E589">
        <f>IF($M589="","",IF(ISNUMBER(INDEX(상세표[종료],$M589)),TEXT(INDEX(상세표[종료],$M589),"yyyy-mm-dd hh:mm"),INDEX(상세표[종료],$M589)&amp;""))</f>
        <v/>
      </c>
      <c r="F589">
        <f>IF($M589="","",INDEX(상세표[기록 시간외],$M589))</f>
        <v/>
      </c>
      <c r="G589">
        <f>IF($M589="","",INDEX(상세표[시작월 기관],$M589)&amp;"")</f>
        <v/>
      </c>
      <c r="H589">
        <f>IF($M589="","",INDEX(상세표[종료월 기관],$M589)&amp;"")</f>
        <v/>
      </c>
      <c r="I589">
        <f>IF($M589="","",INDEX(상세표[월경계 판정],$M589)&amp;"")</f>
        <v/>
      </c>
      <c r="J589">
        <f>IF($M589="","",INDEX(상세표[반영월],$M589)&amp;"")</f>
        <v/>
      </c>
      <c r="K589">
        <f>IF($M589="","",INDEX(상세표[반영 기관],$M589)&amp;"")</f>
        <v/>
      </c>
      <c r="L589">
        <f>IF($M589="","",INDEX(상세표[기관 출처],$M589)&amp;"")</f>
        <v/>
      </c>
      <c r="M589" s="4">
        <f>IFERROR(MATCH(584,상세표[경계순번],0),"")</f>
        <v/>
      </c>
    </row>
    <row r="590">
      <c r="A590">
        <f>IF($M590="","",INDEX(상세표[사번],$M590)&amp;"")</f>
        <v/>
      </c>
      <c r="B590">
        <f>IF($M590="","",INDEX(상세표[성명],$M590)&amp;"")</f>
        <v/>
      </c>
      <c r="C590">
        <f>IF($M590="","",IF(INDEX(상세표[종료월],$M590)=대상월키,"전월→이번 달","이번 달→익월"))</f>
        <v/>
      </c>
      <c r="D590">
        <f>IF($M590="","",IF(ISNUMBER(INDEX(상세표[시작],$M590)),TEXT(INDEX(상세표[시작],$M590),"yyyy-mm-dd hh:mm"),INDEX(상세표[시작],$M590)&amp;""))</f>
        <v/>
      </c>
      <c r="E590">
        <f>IF($M590="","",IF(ISNUMBER(INDEX(상세표[종료],$M590)),TEXT(INDEX(상세표[종료],$M590),"yyyy-mm-dd hh:mm"),INDEX(상세표[종료],$M590)&amp;""))</f>
        <v/>
      </c>
      <c r="F590">
        <f>IF($M590="","",INDEX(상세표[기록 시간외],$M590))</f>
        <v/>
      </c>
      <c r="G590">
        <f>IF($M590="","",INDEX(상세표[시작월 기관],$M590)&amp;"")</f>
        <v/>
      </c>
      <c r="H590">
        <f>IF($M590="","",INDEX(상세표[종료월 기관],$M590)&amp;"")</f>
        <v/>
      </c>
      <c r="I590">
        <f>IF($M590="","",INDEX(상세표[월경계 판정],$M590)&amp;"")</f>
        <v/>
      </c>
      <c r="J590">
        <f>IF($M590="","",INDEX(상세표[반영월],$M590)&amp;"")</f>
        <v/>
      </c>
      <c r="K590">
        <f>IF($M590="","",INDEX(상세표[반영 기관],$M590)&amp;"")</f>
        <v/>
      </c>
      <c r="L590">
        <f>IF($M590="","",INDEX(상세표[기관 출처],$M590)&amp;"")</f>
        <v/>
      </c>
      <c r="M590" s="4">
        <f>IFERROR(MATCH(585,상세표[경계순번],0),"")</f>
        <v/>
      </c>
    </row>
    <row r="591">
      <c r="A591">
        <f>IF($M591="","",INDEX(상세표[사번],$M591)&amp;"")</f>
        <v/>
      </c>
      <c r="B591">
        <f>IF($M591="","",INDEX(상세표[성명],$M591)&amp;"")</f>
        <v/>
      </c>
      <c r="C591">
        <f>IF($M591="","",IF(INDEX(상세표[종료월],$M591)=대상월키,"전월→이번 달","이번 달→익월"))</f>
        <v/>
      </c>
      <c r="D591">
        <f>IF($M591="","",IF(ISNUMBER(INDEX(상세표[시작],$M591)),TEXT(INDEX(상세표[시작],$M591),"yyyy-mm-dd hh:mm"),INDEX(상세표[시작],$M591)&amp;""))</f>
        <v/>
      </c>
      <c r="E591">
        <f>IF($M591="","",IF(ISNUMBER(INDEX(상세표[종료],$M591)),TEXT(INDEX(상세표[종료],$M591),"yyyy-mm-dd hh:mm"),INDEX(상세표[종료],$M591)&amp;""))</f>
        <v/>
      </c>
      <c r="F591">
        <f>IF($M591="","",INDEX(상세표[기록 시간외],$M591))</f>
        <v/>
      </c>
      <c r="G591">
        <f>IF($M591="","",INDEX(상세표[시작월 기관],$M591)&amp;"")</f>
        <v/>
      </c>
      <c r="H591">
        <f>IF($M591="","",INDEX(상세표[종료월 기관],$M591)&amp;"")</f>
        <v/>
      </c>
      <c r="I591">
        <f>IF($M591="","",INDEX(상세표[월경계 판정],$M591)&amp;"")</f>
        <v/>
      </c>
      <c r="J591">
        <f>IF($M591="","",INDEX(상세표[반영월],$M591)&amp;"")</f>
        <v/>
      </c>
      <c r="K591">
        <f>IF($M591="","",INDEX(상세표[반영 기관],$M591)&amp;"")</f>
        <v/>
      </c>
      <c r="L591">
        <f>IF($M591="","",INDEX(상세표[기관 출처],$M591)&amp;"")</f>
        <v/>
      </c>
      <c r="M591" s="4">
        <f>IFERROR(MATCH(586,상세표[경계순번],0),"")</f>
        <v/>
      </c>
    </row>
    <row r="592">
      <c r="A592">
        <f>IF($M592="","",INDEX(상세표[사번],$M592)&amp;"")</f>
        <v/>
      </c>
      <c r="B592">
        <f>IF($M592="","",INDEX(상세표[성명],$M592)&amp;"")</f>
        <v/>
      </c>
      <c r="C592">
        <f>IF($M592="","",IF(INDEX(상세표[종료월],$M592)=대상월키,"전월→이번 달","이번 달→익월"))</f>
        <v/>
      </c>
      <c r="D592">
        <f>IF($M592="","",IF(ISNUMBER(INDEX(상세표[시작],$M592)),TEXT(INDEX(상세표[시작],$M592),"yyyy-mm-dd hh:mm"),INDEX(상세표[시작],$M592)&amp;""))</f>
        <v/>
      </c>
      <c r="E592">
        <f>IF($M592="","",IF(ISNUMBER(INDEX(상세표[종료],$M592)),TEXT(INDEX(상세표[종료],$M592),"yyyy-mm-dd hh:mm"),INDEX(상세표[종료],$M592)&amp;""))</f>
        <v/>
      </c>
      <c r="F592">
        <f>IF($M592="","",INDEX(상세표[기록 시간외],$M592))</f>
        <v/>
      </c>
      <c r="G592">
        <f>IF($M592="","",INDEX(상세표[시작월 기관],$M592)&amp;"")</f>
        <v/>
      </c>
      <c r="H592">
        <f>IF($M592="","",INDEX(상세표[종료월 기관],$M592)&amp;"")</f>
        <v/>
      </c>
      <c r="I592">
        <f>IF($M592="","",INDEX(상세표[월경계 판정],$M592)&amp;"")</f>
        <v/>
      </c>
      <c r="J592">
        <f>IF($M592="","",INDEX(상세표[반영월],$M592)&amp;"")</f>
        <v/>
      </c>
      <c r="K592">
        <f>IF($M592="","",INDEX(상세표[반영 기관],$M592)&amp;"")</f>
        <v/>
      </c>
      <c r="L592">
        <f>IF($M592="","",INDEX(상세표[기관 출처],$M592)&amp;"")</f>
        <v/>
      </c>
      <c r="M592" s="4">
        <f>IFERROR(MATCH(587,상세표[경계순번],0),"")</f>
        <v/>
      </c>
    </row>
    <row r="593">
      <c r="A593">
        <f>IF($M593="","",INDEX(상세표[사번],$M593)&amp;"")</f>
        <v/>
      </c>
      <c r="B593">
        <f>IF($M593="","",INDEX(상세표[성명],$M593)&amp;"")</f>
        <v/>
      </c>
      <c r="C593">
        <f>IF($M593="","",IF(INDEX(상세표[종료월],$M593)=대상월키,"전월→이번 달","이번 달→익월"))</f>
        <v/>
      </c>
      <c r="D593">
        <f>IF($M593="","",IF(ISNUMBER(INDEX(상세표[시작],$M593)),TEXT(INDEX(상세표[시작],$M593),"yyyy-mm-dd hh:mm"),INDEX(상세표[시작],$M593)&amp;""))</f>
        <v/>
      </c>
      <c r="E593">
        <f>IF($M593="","",IF(ISNUMBER(INDEX(상세표[종료],$M593)),TEXT(INDEX(상세표[종료],$M593),"yyyy-mm-dd hh:mm"),INDEX(상세표[종료],$M593)&amp;""))</f>
        <v/>
      </c>
      <c r="F593">
        <f>IF($M593="","",INDEX(상세표[기록 시간외],$M593))</f>
        <v/>
      </c>
      <c r="G593">
        <f>IF($M593="","",INDEX(상세표[시작월 기관],$M593)&amp;"")</f>
        <v/>
      </c>
      <c r="H593">
        <f>IF($M593="","",INDEX(상세표[종료월 기관],$M593)&amp;"")</f>
        <v/>
      </c>
      <c r="I593">
        <f>IF($M593="","",INDEX(상세표[월경계 판정],$M593)&amp;"")</f>
        <v/>
      </c>
      <c r="J593">
        <f>IF($M593="","",INDEX(상세표[반영월],$M593)&amp;"")</f>
        <v/>
      </c>
      <c r="K593">
        <f>IF($M593="","",INDEX(상세표[반영 기관],$M593)&amp;"")</f>
        <v/>
      </c>
      <c r="L593">
        <f>IF($M593="","",INDEX(상세표[기관 출처],$M593)&amp;"")</f>
        <v/>
      </c>
      <c r="M593" s="4">
        <f>IFERROR(MATCH(588,상세표[경계순번],0),"")</f>
        <v/>
      </c>
    </row>
    <row r="594">
      <c r="A594">
        <f>IF($M594="","",INDEX(상세표[사번],$M594)&amp;"")</f>
        <v/>
      </c>
      <c r="B594">
        <f>IF($M594="","",INDEX(상세표[성명],$M594)&amp;"")</f>
        <v/>
      </c>
      <c r="C594">
        <f>IF($M594="","",IF(INDEX(상세표[종료월],$M594)=대상월키,"전월→이번 달","이번 달→익월"))</f>
        <v/>
      </c>
      <c r="D594">
        <f>IF($M594="","",IF(ISNUMBER(INDEX(상세표[시작],$M594)),TEXT(INDEX(상세표[시작],$M594),"yyyy-mm-dd hh:mm"),INDEX(상세표[시작],$M594)&amp;""))</f>
        <v/>
      </c>
      <c r="E594">
        <f>IF($M594="","",IF(ISNUMBER(INDEX(상세표[종료],$M594)),TEXT(INDEX(상세표[종료],$M594),"yyyy-mm-dd hh:mm"),INDEX(상세표[종료],$M594)&amp;""))</f>
        <v/>
      </c>
      <c r="F594">
        <f>IF($M594="","",INDEX(상세표[기록 시간외],$M594))</f>
        <v/>
      </c>
      <c r="G594">
        <f>IF($M594="","",INDEX(상세표[시작월 기관],$M594)&amp;"")</f>
        <v/>
      </c>
      <c r="H594">
        <f>IF($M594="","",INDEX(상세표[종료월 기관],$M594)&amp;"")</f>
        <v/>
      </c>
      <c r="I594">
        <f>IF($M594="","",INDEX(상세표[월경계 판정],$M594)&amp;"")</f>
        <v/>
      </c>
      <c r="J594">
        <f>IF($M594="","",INDEX(상세표[반영월],$M594)&amp;"")</f>
        <v/>
      </c>
      <c r="K594">
        <f>IF($M594="","",INDEX(상세표[반영 기관],$M594)&amp;"")</f>
        <v/>
      </c>
      <c r="L594">
        <f>IF($M594="","",INDEX(상세표[기관 출처],$M594)&amp;"")</f>
        <v/>
      </c>
      <c r="M594" s="4">
        <f>IFERROR(MATCH(589,상세표[경계순번],0),"")</f>
        <v/>
      </c>
    </row>
    <row r="595">
      <c r="A595">
        <f>IF($M595="","",INDEX(상세표[사번],$M595)&amp;"")</f>
        <v/>
      </c>
      <c r="B595">
        <f>IF($M595="","",INDEX(상세표[성명],$M595)&amp;"")</f>
        <v/>
      </c>
      <c r="C595">
        <f>IF($M595="","",IF(INDEX(상세표[종료월],$M595)=대상월키,"전월→이번 달","이번 달→익월"))</f>
        <v/>
      </c>
      <c r="D595">
        <f>IF($M595="","",IF(ISNUMBER(INDEX(상세표[시작],$M595)),TEXT(INDEX(상세표[시작],$M595),"yyyy-mm-dd hh:mm"),INDEX(상세표[시작],$M595)&amp;""))</f>
        <v/>
      </c>
      <c r="E595">
        <f>IF($M595="","",IF(ISNUMBER(INDEX(상세표[종료],$M595)),TEXT(INDEX(상세표[종료],$M595),"yyyy-mm-dd hh:mm"),INDEX(상세표[종료],$M595)&amp;""))</f>
        <v/>
      </c>
      <c r="F595">
        <f>IF($M595="","",INDEX(상세표[기록 시간외],$M595))</f>
        <v/>
      </c>
      <c r="G595">
        <f>IF($M595="","",INDEX(상세표[시작월 기관],$M595)&amp;"")</f>
        <v/>
      </c>
      <c r="H595">
        <f>IF($M595="","",INDEX(상세표[종료월 기관],$M595)&amp;"")</f>
        <v/>
      </c>
      <c r="I595">
        <f>IF($M595="","",INDEX(상세표[월경계 판정],$M595)&amp;"")</f>
        <v/>
      </c>
      <c r="J595">
        <f>IF($M595="","",INDEX(상세표[반영월],$M595)&amp;"")</f>
        <v/>
      </c>
      <c r="K595">
        <f>IF($M595="","",INDEX(상세표[반영 기관],$M595)&amp;"")</f>
        <v/>
      </c>
      <c r="L595">
        <f>IF($M595="","",INDEX(상세표[기관 출처],$M595)&amp;"")</f>
        <v/>
      </c>
      <c r="M595" s="4">
        <f>IFERROR(MATCH(590,상세표[경계순번],0),"")</f>
        <v/>
      </c>
    </row>
    <row r="596">
      <c r="A596">
        <f>IF($M596="","",INDEX(상세표[사번],$M596)&amp;"")</f>
        <v/>
      </c>
      <c r="B596">
        <f>IF($M596="","",INDEX(상세표[성명],$M596)&amp;"")</f>
        <v/>
      </c>
      <c r="C596">
        <f>IF($M596="","",IF(INDEX(상세표[종료월],$M596)=대상월키,"전월→이번 달","이번 달→익월"))</f>
        <v/>
      </c>
      <c r="D596">
        <f>IF($M596="","",IF(ISNUMBER(INDEX(상세표[시작],$M596)),TEXT(INDEX(상세표[시작],$M596),"yyyy-mm-dd hh:mm"),INDEX(상세표[시작],$M596)&amp;""))</f>
        <v/>
      </c>
      <c r="E596">
        <f>IF($M596="","",IF(ISNUMBER(INDEX(상세표[종료],$M596)),TEXT(INDEX(상세표[종료],$M596),"yyyy-mm-dd hh:mm"),INDEX(상세표[종료],$M596)&amp;""))</f>
        <v/>
      </c>
      <c r="F596">
        <f>IF($M596="","",INDEX(상세표[기록 시간외],$M596))</f>
        <v/>
      </c>
      <c r="G596">
        <f>IF($M596="","",INDEX(상세표[시작월 기관],$M596)&amp;"")</f>
        <v/>
      </c>
      <c r="H596">
        <f>IF($M596="","",INDEX(상세표[종료월 기관],$M596)&amp;"")</f>
        <v/>
      </c>
      <c r="I596">
        <f>IF($M596="","",INDEX(상세표[월경계 판정],$M596)&amp;"")</f>
        <v/>
      </c>
      <c r="J596">
        <f>IF($M596="","",INDEX(상세표[반영월],$M596)&amp;"")</f>
        <v/>
      </c>
      <c r="K596">
        <f>IF($M596="","",INDEX(상세표[반영 기관],$M596)&amp;"")</f>
        <v/>
      </c>
      <c r="L596">
        <f>IF($M596="","",INDEX(상세표[기관 출처],$M596)&amp;"")</f>
        <v/>
      </c>
      <c r="M596" s="4">
        <f>IFERROR(MATCH(591,상세표[경계순번],0),"")</f>
        <v/>
      </c>
    </row>
    <row r="597">
      <c r="A597">
        <f>IF($M597="","",INDEX(상세표[사번],$M597)&amp;"")</f>
        <v/>
      </c>
      <c r="B597">
        <f>IF($M597="","",INDEX(상세표[성명],$M597)&amp;"")</f>
        <v/>
      </c>
      <c r="C597">
        <f>IF($M597="","",IF(INDEX(상세표[종료월],$M597)=대상월키,"전월→이번 달","이번 달→익월"))</f>
        <v/>
      </c>
      <c r="D597">
        <f>IF($M597="","",IF(ISNUMBER(INDEX(상세표[시작],$M597)),TEXT(INDEX(상세표[시작],$M597),"yyyy-mm-dd hh:mm"),INDEX(상세표[시작],$M597)&amp;""))</f>
        <v/>
      </c>
      <c r="E597">
        <f>IF($M597="","",IF(ISNUMBER(INDEX(상세표[종료],$M597)),TEXT(INDEX(상세표[종료],$M597),"yyyy-mm-dd hh:mm"),INDEX(상세표[종료],$M597)&amp;""))</f>
        <v/>
      </c>
      <c r="F597">
        <f>IF($M597="","",INDEX(상세표[기록 시간외],$M597))</f>
        <v/>
      </c>
      <c r="G597">
        <f>IF($M597="","",INDEX(상세표[시작월 기관],$M597)&amp;"")</f>
        <v/>
      </c>
      <c r="H597">
        <f>IF($M597="","",INDEX(상세표[종료월 기관],$M597)&amp;"")</f>
        <v/>
      </c>
      <c r="I597">
        <f>IF($M597="","",INDEX(상세표[월경계 판정],$M597)&amp;"")</f>
        <v/>
      </c>
      <c r="J597">
        <f>IF($M597="","",INDEX(상세표[반영월],$M597)&amp;"")</f>
        <v/>
      </c>
      <c r="K597">
        <f>IF($M597="","",INDEX(상세표[반영 기관],$M597)&amp;"")</f>
        <v/>
      </c>
      <c r="L597">
        <f>IF($M597="","",INDEX(상세표[기관 출처],$M597)&amp;"")</f>
        <v/>
      </c>
      <c r="M597" s="4">
        <f>IFERROR(MATCH(592,상세표[경계순번],0),"")</f>
        <v/>
      </c>
    </row>
    <row r="598">
      <c r="A598">
        <f>IF($M598="","",INDEX(상세표[사번],$M598)&amp;"")</f>
        <v/>
      </c>
      <c r="B598">
        <f>IF($M598="","",INDEX(상세표[성명],$M598)&amp;"")</f>
        <v/>
      </c>
      <c r="C598">
        <f>IF($M598="","",IF(INDEX(상세표[종료월],$M598)=대상월키,"전월→이번 달","이번 달→익월"))</f>
        <v/>
      </c>
      <c r="D598">
        <f>IF($M598="","",IF(ISNUMBER(INDEX(상세표[시작],$M598)),TEXT(INDEX(상세표[시작],$M598),"yyyy-mm-dd hh:mm"),INDEX(상세표[시작],$M598)&amp;""))</f>
        <v/>
      </c>
      <c r="E598">
        <f>IF($M598="","",IF(ISNUMBER(INDEX(상세표[종료],$M598)),TEXT(INDEX(상세표[종료],$M598),"yyyy-mm-dd hh:mm"),INDEX(상세표[종료],$M598)&amp;""))</f>
        <v/>
      </c>
      <c r="F598">
        <f>IF($M598="","",INDEX(상세표[기록 시간외],$M598))</f>
        <v/>
      </c>
      <c r="G598">
        <f>IF($M598="","",INDEX(상세표[시작월 기관],$M598)&amp;"")</f>
        <v/>
      </c>
      <c r="H598">
        <f>IF($M598="","",INDEX(상세표[종료월 기관],$M598)&amp;"")</f>
        <v/>
      </c>
      <c r="I598">
        <f>IF($M598="","",INDEX(상세표[월경계 판정],$M598)&amp;"")</f>
        <v/>
      </c>
      <c r="J598">
        <f>IF($M598="","",INDEX(상세표[반영월],$M598)&amp;"")</f>
        <v/>
      </c>
      <c r="K598">
        <f>IF($M598="","",INDEX(상세표[반영 기관],$M598)&amp;"")</f>
        <v/>
      </c>
      <c r="L598">
        <f>IF($M598="","",INDEX(상세표[기관 출처],$M598)&amp;"")</f>
        <v/>
      </c>
      <c r="M598" s="4">
        <f>IFERROR(MATCH(593,상세표[경계순번],0),"")</f>
        <v/>
      </c>
    </row>
    <row r="599">
      <c r="A599">
        <f>IF($M599="","",INDEX(상세표[사번],$M599)&amp;"")</f>
        <v/>
      </c>
      <c r="B599">
        <f>IF($M599="","",INDEX(상세표[성명],$M599)&amp;"")</f>
        <v/>
      </c>
      <c r="C599">
        <f>IF($M599="","",IF(INDEX(상세표[종료월],$M599)=대상월키,"전월→이번 달","이번 달→익월"))</f>
        <v/>
      </c>
      <c r="D599">
        <f>IF($M599="","",IF(ISNUMBER(INDEX(상세표[시작],$M599)),TEXT(INDEX(상세표[시작],$M599),"yyyy-mm-dd hh:mm"),INDEX(상세표[시작],$M599)&amp;""))</f>
        <v/>
      </c>
      <c r="E599">
        <f>IF($M599="","",IF(ISNUMBER(INDEX(상세표[종료],$M599)),TEXT(INDEX(상세표[종료],$M599),"yyyy-mm-dd hh:mm"),INDEX(상세표[종료],$M599)&amp;""))</f>
        <v/>
      </c>
      <c r="F599">
        <f>IF($M599="","",INDEX(상세표[기록 시간외],$M599))</f>
        <v/>
      </c>
      <c r="G599">
        <f>IF($M599="","",INDEX(상세표[시작월 기관],$M599)&amp;"")</f>
        <v/>
      </c>
      <c r="H599">
        <f>IF($M599="","",INDEX(상세표[종료월 기관],$M599)&amp;"")</f>
        <v/>
      </c>
      <c r="I599">
        <f>IF($M599="","",INDEX(상세표[월경계 판정],$M599)&amp;"")</f>
        <v/>
      </c>
      <c r="J599">
        <f>IF($M599="","",INDEX(상세표[반영월],$M599)&amp;"")</f>
        <v/>
      </c>
      <c r="K599">
        <f>IF($M599="","",INDEX(상세표[반영 기관],$M599)&amp;"")</f>
        <v/>
      </c>
      <c r="L599">
        <f>IF($M599="","",INDEX(상세표[기관 출처],$M599)&amp;"")</f>
        <v/>
      </c>
      <c r="M599" s="4">
        <f>IFERROR(MATCH(594,상세표[경계순번],0),"")</f>
        <v/>
      </c>
    </row>
    <row r="600">
      <c r="A600">
        <f>IF($M600="","",INDEX(상세표[사번],$M600)&amp;"")</f>
        <v/>
      </c>
      <c r="B600">
        <f>IF($M600="","",INDEX(상세표[성명],$M600)&amp;"")</f>
        <v/>
      </c>
      <c r="C600">
        <f>IF($M600="","",IF(INDEX(상세표[종료월],$M600)=대상월키,"전월→이번 달","이번 달→익월"))</f>
        <v/>
      </c>
      <c r="D600">
        <f>IF($M600="","",IF(ISNUMBER(INDEX(상세표[시작],$M600)),TEXT(INDEX(상세표[시작],$M600),"yyyy-mm-dd hh:mm"),INDEX(상세표[시작],$M600)&amp;""))</f>
        <v/>
      </c>
      <c r="E600">
        <f>IF($M600="","",IF(ISNUMBER(INDEX(상세표[종료],$M600)),TEXT(INDEX(상세표[종료],$M600),"yyyy-mm-dd hh:mm"),INDEX(상세표[종료],$M600)&amp;""))</f>
        <v/>
      </c>
      <c r="F600">
        <f>IF($M600="","",INDEX(상세표[기록 시간외],$M600))</f>
        <v/>
      </c>
      <c r="G600">
        <f>IF($M600="","",INDEX(상세표[시작월 기관],$M600)&amp;"")</f>
        <v/>
      </c>
      <c r="H600">
        <f>IF($M600="","",INDEX(상세표[종료월 기관],$M600)&amp;"")</f>
        <v/>
      </c>
      <c r="I600">
        <f>IF($M600="","",INDEX(상세표[월경계 판정],$M600)&amp;"")</f>
        <v/>
      </c>
      <c r="J600">
        <f>IF($M600="","",INDEX(상세표[반영월],$M600)&amp;"")</f>
        <v/>
      </c>
      <c r="K600">
        <f>IF($M600="","",INDEX(상세표[반영 기관],$M600)&amp;"")</f>
        <v/>
      </c>
      <c r="L600">
        <f>IF($M600="","",INDEX(상세표[기관 출처],$M600)&amp;"")</f>
        <v/>
      </c>
      <c r="M600" s="4">
        <f>IFERROR(MATCH(595,상세표[경계순번],0),"")</f>
        <v/>
      </c>
    </row>
    <row r="601">
      <c r="A601">
        <f>IF($M601="","",INDEX(상세표[사번],$M601)&amp;"")</f>
        <v/>
      </c>
      <c r="B601">
        <f>IF($M601="","",INDEX(상세표[성명],$M601)&amp;"")</f>
        <v/>
      </c>
      <c r="C601">
        <f>IF($M601="","",IF(INDEX(상세표[종료월],$M601)=대상월키,"전월→이번 달","이번 달→익월"))</f>
        <v/>
      </c>
      <c r="D601">
        <f>IF($M601="","",IF(ISNUMBER(INDEX(상세표[시작],$M601)),TEXT(INDEX(상세표[시작],$M601),"yyyy-mm-dd hh:mm"),INDEX(상세표[시작],$M601)&amp;""))</f>
        <v/>
      </c>
      <c r="E601">
        <f>IF($M601="","",IF(ISNUMBER(INDEX(상세표[종료],$M601)),TEXT(INDEX(상세표[종료],$M601),"yyyy-mm-dd hh:mm"),INDEX(상세표[종료],$M601)&amp;""))</f>
        <v/>
      </c>
      <c r="F601">
        <f>IF($M601="","",INDEX(상세표[기록 시간외],$M601))</f>
        <v/>
      </c>
      <c r="G601">
        <f>IF($M601="","",INDEX(상세표[시작월 기관],$M601)&amp;"")</f>
        <v/>
      </c>
      <c r="H601">
        <f>IF($M601="","",INDEX(상세표[종료월 기관],$M601)&amp;"")</f>
        <v/>
      </c>
      <c r="I601">
        <f>IF($M601="","",INDEX(상세표[월경계 판정],$M601)&amp;"")</f>
        <v/>
      </c>
      <c r="J601">
        <f>IF($M601="","",INDEX(상세표[반영월],$M601)&amp;"")</f>
        <v/>
      </c>
      <c r="K601">
        <f>IF($M601="","",INDEX(상세표[반영 기관],$M601)&amp;"")</f>
        <v/>
      </c>
      <c r="L601">
        <f>IF($M601="","",INDEX(상세표[기관 출처],$M601)&amp;"")</f>
        <v/>
      </c>
      <c r="M601" s="4">
        <f>IFERROR(MATCH(596,상세표[경계순번],0),"")</f>
        <v/>
      </c>
    </row>
    <row r="602">
      <c r="A602">
        <f>IF($M602="","",INDEX(상세표[사번],$M602)&amp;"")</f>
        <v/>
      </c>
      <c r="B602">
        <f>IF($M602="","",INDEX(상세표[성명],$M602)&amp;"")</f>
        <v/>
      </c>
      <c r="C602">
        <f>IF($M602="","",IF(INDEX(상세표[종료월],$M602)=대상월키,"전월→이번 달","이번 달→익월"))</f>
        <v/>
      </c>
      <c r="D602">
        <f>IF($M602="","",IF(ISNUMBER(INDEX(상세표[시작],$M602)),TEXT(INDEX(상세표[시작],$M602),"yyyy-mm-dd hh:mm"),INDEX(상세표[시작],$M602)&amp;""))</f>
        <v/>
      </c>
      <c r="E602">
        <f>IF($M602="","",IF(ISNUMBER(INDEX(상세표[종료],$M602)),TEXT(INDEX(상세표[종료],$M602),"yyyy-mm-dd hh:mm"),INDEX(상세표[종료],$M602)&amp;""))</f>
        <v/>
      </c>
      <c r="F602">
        <f>IF($M602="","",INDEX(상세표[기록 시간외],$M602))</f>
        <v/>
      </c>
      <c r="G602">
        <f>IF($M602="","",INDEX(상세표[시작월 기관],$M602)&amp;"")</f>
        <v/>
      </c>
      <c r="H602">
        <f>IF($M602="","",INDEX(상세표[종료월 기관],$M602)&amp;"")</f>
        <v/>
      </c>
      <c r="I602">
        <f>IF($M602="","",INDEX(상세표[월경계 판정],$M602)&amp;"")</f>
        <v/>
      </c>
      <c r="J602">
        <f>IF($M602="","",INDEX(상세표[반영월],$M602)&amp;"")</f>
        <v/>
      </c>
      <c r="K602">
        <f>IF($M602="","",INDEX(상세표[반영 기관],$M602)&amp;"")</f>
        <v/>
      </c>
      <c r="L602">
        <f>IF($M602="","",INDEX(상세표[기관 출처],$M602)&amp;"")</f>
        <v/>
      </c>
      <c r="M602" s="4">
        <f>IFERROR(MATCH(597,상세표[경계순번],0),"")</f>
        <v/>
      </c>
    </row>
    <row r="603">
      <c r="A603">
        <f>IF($M603="","",INDEX(상세표[사번],$M603)&amp;"")</f>
        <v/>
      </c>
      <c r="B603">
        <f>IF($M603="","",INDEX(상세표[성명],$M603)&amp;"")</f>
        <v/>
      </c>
      <c r="C603">
        <f>IF($M603="","",IF(INDEX(상세표[종료월],$M603)=대상월키,"전월→이번 달","이번 달→익월"))</f>
        <v/>
      </c>
      <c r="D603">
        <f>IF($M603="","",IF(ISNUMBER(INDEX(상세표[시작],$M603)),TEXT(INDEX(상세표[시작],$M603),"yyyy-mm-dd hh:mm"),INDEX(상세표[시작],$M603)&amp;""))</f>
        <v/>
      </c>
      <c r="E603">
        <f>IF($M603="","",IF(ISNUMBER(INDEX(상세표[종료],$M603)),TEXT(INDEX(상세표[종료],$M603),"yyyy-mm-dd hh:mm"),INDEX(상세표[종료],$M603)&amp;""))</f>
        <v/>
      </c>
      <c r="F603">
        <f>IF($M603="","",INDEX(상세표[기록 시간외],$M603))</f>
        <v/>
      </c>
      <c r="G603">
        <f>IF($M603="","",INDEX(상세표[시작월 기관],$M603)&amp;"")</f>
        <v/>
      </c>
      <c r="H603">
        <f>IF($M603="","",INDEX(상세표[종료월 기관],$M603)&amp;"")</f>
        <v/>
      </c>
      <c r="I603">
        <f>IF($M603="","",INDEX(상세표[월경계 판정],$M603)&amp;"")</f>
        <v/>
      </c>
      <c r="J603">
        <f>IF($M603="","",INDEX(상세표[반영월],$M603)&amp;"")</f>
        <v/>
      </c>
      <c r="K603">
        <f>IF($M603="","",INDEX(상세표[반영 기관],$M603)&amp;"")</f>
        <v/>
      </c>
      <c r="L603">
        <f>IF($M603="","",INDEX(상세표[기관 출처],$M603)&amp;"")</f>
        <v/>
      </c>
      <c r="M603" s="4">
        <f>IFERROR(MATCH(598,상세표[경계순번],0),"")</f>
        <v/>
      </c>
    </row>
    <row r="604">
      <c r="A604">
        <f>IF($M604="","",INDEX(상세표[사번],$M604)&amp;"")</f>
        <v/>
      </c>
      <c r="B604">
        <f>IF($M604="","",INDEX(상세표[성명],$M604)&amp;"")</f>
        <v/>
      </c>
      <c r="C604">
        <f>IF($M604="","",IF(INDEX(상세표[종료월],$M604)=대상월키,"전월→이번 달","이번 달→익월"))</f>
        <v/>
      </c>
      <c r="D604">
        <f>IF($M604="","",IF(ISNUMBER(INDEX(상세표[시작],$M604)),TEXT(INDEX(상세표[시작],$M604),"yyyy-mm-dd hh:mm"),INDEX(상세표[시작],$M604)&amp;""))</f>
        <v/>
      </c>
      <c r="E604">
        <f>IF($M604="","",IF(ISNUMBER(INDEX(상세표[종료],$M604)),TEXT(INDEX(상세표[종료],$M604),"yyyy-mm-dd hh:mm"),INDEX(상세표[종료],$M604)&amp;""))</f>
        <v/>
      </c>
      <c r="F604">
        <f>IF($M604="","",INDEX(상세표[기록 시간외],$M604))</f>
        <v/>
      </c>
      <c r="G604">
        <f>IF($M604="","",INDEX(상세표[시작월 기관],$M604)&amp;"")</f>
        <v/>
      </c>
      <c r="H604">
        <f>IF($M604="","",INDEX(상세표[종료월 기관],$M604)&amp;"")</f>
        <v/>
      </c>
      <c r="I604">
        <f>IF($M604="","",INDEX(상세표[월경계 판정],$M604)&amp;"")</f>
        <v/>
      </c>
      <c r="J604">
        <f>IF($M604="","",INDEX(상세표[반영월],$M604)&amp;"")</f>
        <v/>
      </c>
      <c r="K604">
        <f>IF($M604="","",INDEX(상세표[반영 기관],$M604)&amp;"")</f>
        <v/>
      </c>
      <c r="L604">
        <f>IF($M604="","",INDEX(상세표[기관 출처],$M604)&amp;"")</f>
        <v/>
      </c>
      <c r="M604" s="4">
        <f>IFERROR(MATCH(599,상세표[경계순번],0),"")</f>
        <v/>
      </c>
    </row>
    <row r="605">
      <c r="A605">
        <f>IF($M605="","",INDEX(상세표[사번],$M605)&amp;"")</f>
        <v/>
      </c>
      <c r="B605">
        <f>IF($M605="","",INDEX(상세표[성명],$M605)&amp;"")</f>
        <v/>
      </c>
      <c r="C605">
        <f>IF($M605="","",IF(INDEX(상세표[종료월],$M605)=대상월키,"전월→이번 달","이번 달→익월"))</f>
        <v/>
      </c>
      <c r="D605">
        <f>IF($M605="","",IF(ISNUMBER(INDEX(상세표[시작],$M605)),TEXT(INDEX(상세표[시작],$M605),"yyyy-mm-dd hh:mm"),INDEX(상세표[시작],$M605)&amp;""))</f>
        <v/>
      </c>
      <c r="E605">
        <f>IF($M605="","",IF(ISNUMBER(INDEX(상세표[종료],$M605)),TEXT(INDEX(상세표[종료],$M605),"yyyy-mm-dd hh:mm"),INDEX(상세표[종료],$M605)&amp;""))</f>
        <v/>
      </c>
      <c r="F605">
        <f>IF($M605="","",INDEX(상세표[기록 시간외],$M605))</f>
        <v/>
      </c>
      <c r="G605">
        <f>IF($M605="","",INDEX(상세표[시작월 기관],$M605)&amp;"")</f>
        <v/>
      </c>
      <c r="H605">
        <f>IF($M605="","",INDEX(상세표[종료월 기관],$M605)&amp;"")</f>
        <v/>
      </c>
      <c r="I605">
        <f>IF($M605="","",INDEX(상세표[월경계 판정],$M605)&amp;"")</f>
        <v/>
      </c>
      <c r="J605">
        <f>IF($M605="","",INDEX(상세표[반영월],$M605)&amp;"")</f>
        <v/>
      </c>
      <c r="K605">
        <f>IF($M605="","",INDEX(상세표[반영 기관],$M605)&amp;"")</f>
        <v/>
      </c>
      <c r="L605">
        <f>IF($M605="","",INDEX(상세표[기관 출처],$M605)&amp;"")</f>
        <v/>
      </c>
      <c r="M605" s="4">
        <f>IFERROR(MATCH(600,상세표[경계순번],0),"")</f>
        <v/>
      </c>
    </row>
    <row r="606">
      <c r="A606">
        <f>IF($M606="","",INDEX(상세표[사번],$M606)&amp;"")</f>
        <v/>
      </c>
      <c r="B606">
        <f>IF($M606="","",INDEX(상세표[성명],$M606)&amp;"")</f>
        <v/>
      </c>
      <c r="C606">
        <f>IF($M606="","",IF(INDEX(상세표[종료월],$M606)=대상월키,"전월→이번 달","이번 달→익월"))</f>
        <v/>
      </c>
      <c r="D606">
        <f>IF($M606="","",IF(ISNUMBER(INDEX(상세표[시작],$M606)),TEXT(INDEX(상세표[시작],$M606),"yyyy-mm-dd hh:mm"),INDEX(상세표[시작],$M606)&amp;""))</f>
        <v/>
      </c>
      <c r="E606">
        <f>IF($M606="","",IF(ISNUMBER(INDEX(상세표[종료],$M606)),TEXT(INDEX(상세표[종료],$M606),"yyyy-mm-dd hh:mm"),INDEX(상세표[종료],$M606)&amp;""))</f>
        <v/>
      </c>
      <c r="F606">
        <f>IF($M606="","",INDEX(상세표[기록 시간외],$M606))</f>
        <v/>
      </c>
      <c r="G606">
        <f>IF($M606="","",INDEX(상세표[시작월 기관],$M606)&amp;"")</f>
        <v/>
      </c>
      <c r="H606">
        <f>IF($M606="","",INDEX(상세표[종료월 기관],$M606)&amp;"")</f>
        <v/>
      </c>
      <c r="I606">
        <f>IF($M606="","",INDEX(상세표[월경계 판정],$M606)&amp;"")</f>
        <v/>
      </c>
      <c r="J606">
        <f>IF($M606="","",INDEX(상세표[반영월],$M606)&amp;"")</f>
        <v/>
      </c>
      <c r="K606">
        <f>IF($M606="","",INDEX(상세표[반영 기관],$M606)&amp;"")</f>
        <v/>
      </c>
      <c r="L606">
        <f>IF($M606="","",INDEX(상세표[기관 출처],$M606)&amp;"")</f>
        <v/>
      </c>
      <c r="M606" s="4">
        <f>IFERROR(MATCH(601,상세표[경계순번],0),"")</f>
        <v/>
      </c>
    </row>
    <row r="607">
      <c r="A607">
        <f>IF($M607="","",INDEX(상세표[사번],$M607)&amp;"")</f>
        <v/>
      </c>
      <c r="B607">
        <f>IF($M607="","",INDEX(상세표[성명],$M607)&amp;"")</f>
        <v/>
      </c>
      <c r="C607">
        <f>IF($M607="","",IF(INDEX(상세표[종료월],$M607)=대상월키,"전월→이번 달","이번 달→익월"))</f>
        <v/>
      </c>
      <c r="D607">
        <f>IF($M607="","",IF(ISNUMBER(INDEX(상세표[시작],$M607)),TEXT(INDEX(상세표[시작],$M607),"yyyy-mm-dd hh:mm"),INDEX(상세표[시작],$M607)&amp;""))</f>
        <v/>
      </c>
      <c r="E607">
        <f>IF($M607="","",IF(ISNUMBER(INDEX(상세표[종료],$M607)),TEXT(INDEX(상세표[종료],$M607),"yyyy-mm-dd hh:mm"),INDEX(상세표[종료],$M607)&amp;""))</f>
        <v/>
      </c>
      <c r="F607">
        <f>IF($M607="","",INDEX(상세표[기록 시간외],$M607))</f>
        <v/>
      </c>
      <c r="G607">
        <f>IF($M607="","",INDEX(상세표[시작월 기관],$M607)&amp;"")</f>
        <v/>
      </c>
      <c r="H607">
        <f>IF($M607="","",INDEX(상세표[종료월 기관],$M607)&amp;"")</f>
        <v/>
      </c>
      <c r="I607">
        <f>IF($M607="","",INDEX(상세표[월경계 판정],$M607)&amp;"")</f>
        <v/>
      </c>
      <c r="J607">
        <f>IF($M607="","",INDEX(상세표[반영월],$M607)&amp;"")</f>
        <v/>
      </c>
      <c r="K607">
        <f>IF($M607="","",INDEX(상세표[반영 기관],$M607)&amp;"")</f>
        <v/>
      </c>
      <c r="L607">
        <f>IF($M607="","",INDEX(상세표[기관 출처],$M607)&amp;"")</f>
        <v/>
      </c>
      <c r="M607" s="4">
        <f>IFERROR(MATCH(602,상세표[경계순번],0),"")</f>
        <v/>
      </c>
    </row>
    <row r="608">
      <c r="A608">
        <f>IF($M608="","",INDEX(상세표[사번],$M608)&amp;"")</f>
        <v/>
      </c>
      <c r="B608">
        <f>IF($M608="","",INDEX(상세표[성명],$M608)&amp;"")</f>
        <v/>
      </c>
      <c r="C608">
        <f>IF($M608="","",IF(INDEX(상세표[종료월],$M608)=대상월키,"전월→이번 달","이번 달→익월"))</f>
        <v/>
      </c>
      <c r="D608">
        <f>IF($M608="","",IF(ISNUMBER(INDEX(상세표[시작],$M608)),TEXT(INDEX(상세표[시작],$M608),"yyyy-mm-dd hh:mm"),INDEX(상세표[시작],$M608)&amp;""))</f>
        <v/>
      </c>
      <c r="E608">
        <f>IF($M608="","",IF(ISNUMBER(INDEX(상세표[종료],$M608)),TEXT(INDEX(상세표[종료],$M608),"yyyy-mm-dd hh:mm"),INDEX(상세표[종료],$M608)&amp;""))</f>
        <v/>
      </c>
      <c r="F608">
        <f>IF($M608="","",INDEX(상세표[기록 시간외],$M608))</f>
        <v/>
      </c>
      <c r="G608">
        <f>IF($M608="","",INDEX(상세표[시작월 기관],$M608)&amp;"")</f>
        <v/>
      </c>
      <c r="H608">
        <f>IF($M608="","",INDEX(상세표[종료월 기관],$M608)&amp;"")</f>
        <v/>
      </c>
      <c r="I608">
        <f>IF($M608="","",INDEX(상세표[월경계 판정],$M608)&amp;"")</f>
        <v/>
      </c>
      <c r="J608">
        <f>IF($M608="","",INDEX(상세표[반영월],$M608)&amp;"")</f>
        <v/>
      </c>
      <c r="K608">
        <f>IF($M608="","",INDEX(상세표[반영 기관],$M608)&amp;"")</f>
        <v/>
      </c>
      <c r="L608">
        <f>IF($M608="","",INDEX(상세표[기관 출처],$M608)&amp;"")</f>
        <v/>
      </c>
      <c r="M608" s="4">
        <f>IFERROR(MATCH(603,상세표[경계순번],0),"")</f>
        <v/>
      </c>
    </row>
    <row r="609">
      <c r="A609">
        <f>IF($M609="","",INDEX(상세표[사번],$M609)&amp;"")</f>
        <v/>
      </c>
      <c r="B609">
        <f>IF($M609="","",INDEX(상세표[성명],$M609)&amp;"")</f>
        <v/>
      </c>
      <c r="C609">
        <f>IF($M609="","",IF(INDEX(상세표[종료월],$M609)=대상월키,"전월→이번 달","이번 달→익월"))</f>
        <v/>
      </c>
      <c r="D609">
        <f>IF($M609="","",IF(ISNUMBER(INDEX(상세표[시작],$M609)),TEXT(INDEX(상세표[시작],$M609),"yyyy-mm-dd hh:mm"),INDEX(상세표[시작],$M609)&amp;""))</f>
        <v/>
      </c>
      <c r="E609">
        <f>IF($M609="","",IF(ISNUMBER(INDEX(상세표[종료],$M609)),TEXT(INDEX(상세표[종료],$M609),"yyyy-mm-dd hh:mm"),INDEX(상세표[종료],$M609)&amp;""))</f>
        <v/>
      </c>
      <c r="F609">
        <f>IF($M609="","",INDEX(상세표[기록 시간외],$M609))</f>
        <v/>
      </c>
      <c r="G609">
        <f>IF($M609="","",INDEX(상세표[시작월 기관],$M609)&amp;"")</f>
        <v/>
      </c>
      <c r="H609">
        <f>IF($M609="","",INDEX(상세표[종료월 기관],$M609)&amp;"")</f>
        <v/>
      </c>
      <c r="I609">
        <f>IF($M609="","",INDEX(상세표[월경계 판정],$M609)&amp;"")</f>
        <v/>
      </c>
      <c r="J609">
        <f>IF($M609="","",INDEX(상세표[반영월],$M609)&amp;"")</f>
        <v/>
      </c>
      <c r="K609">
        <f>IF($M609="","",INDEX(상세표[반영 기관],$M609)&amp;"")</f>
        <v/>
      </c>
      <c r="L609">
        <f>IF($M609="","",INDEX(상세표[기관 출처],$M609)&amp;"")</f>
        <v/>
      </c>
      <c r="M609" s="4">
        <f>IFERROR(MATCH(604,상세표[경계순번],0),"")</f>
        <v/>
      </c>
    </row>
    <row r="610">
      <c r="A610">
        <f>IF($M610="","",INDEX(상세표[사번],$M610)&amp;"")</f>
        <v/>
      </c>
      <c r="B610">
        <f>IF($M610="","",INDEX(상세표[성명],$M610)&amp;"")</f>
        <v/>
      </c>
      <c r="C610">
        <f>IF($M610="","",IF(INDEX(상세표[종료월],$M610)=대상월키,"전월→이번 달","이번 달→익월"))</f>
        <v/>
      </c>
      <c r="D610">
        <f>IF($M610="","",IF(ISNUMBER(INDEX(상세표[시작],$M610)),TEXT(INDEX(상세표[시작],$M610),"yyyy-mm-dd hh:mm"),INDEX(상세표[시작],$M610)&amp;""))</f>
        <v/>
      </c>
      <c r="E610">
        <f>IF($M610="","",IF(ISNUMBER(INDEX(상세표[종료],$M610)),TEXT(INDEX(상세표[종료],$M610),"yyyy-mm-dd hh:mm"),INDEX(상세표[종료],$M610)&amp;""))</f>
        <v/>
      </c>
      <c r="F610">
        <f>IF($M610="","",INDEX(상세표[기록 시간외],$M610))</f>
        <v/>
      </c>
      <c r="G610">
        <f>IF($M610="","",INDEX(상세표[시작월 기관],$M610)&amp;"")</f>
        <v/>
      </c>
      <c r="H610">
        <f>IF($M610="","",INDEX(상세표[종료월 기관],$M610)&amp;"")</f>
        <v/>
      </c>
      <c r="I610">
        <f>IF($M610="","",INDEX(상세표[월경계 판정],$M610)&amp;"")</f>
        <v/>
      </c>
      <c r="J610">
        <f>IF($M610="","",INDEX(상세표[반영월],$M610)&amp;"")</f>
        <v/>
      </c>
      <c r="K610">
        <f>IF($M610="","",INDEX(상세표[반영 기관],$M610)&amp;"")</f>
        <v/>
      </c>
      <c r="L610">
        <f>IF($M610="","",INDEX(상세표[기관 출처],$M610)&amp;"")</f>
        <v/>
      </c>
      <c r="M610" s="4">
        <f>IFERROR(MATCH(605,상세표[경계순번],0),"")</f>
        <v/>
      </c>
    </row>
    <row r="611">
      <c r="A611">
        <f>IF($M611="","",INDEX(상세표[사번],$M611)&amp;"")</f>
        <v/>
      </c>
      <c r="B611">
        <f>IF($M611="","",INDEX(상세표[성명],$M611)&amp;"")</f>
        <v/>
      </c>
      <c r="C611">
        <f>IF($M611="","",IF(INDEX(상세표[종료월],$M611)=대상월키,"전월→이번 달","이번 달→익월"))</f>
        <v/>
      </c>
      <c r="D611">
        <f>IF($M611="","",IF(ISNUMBER(INDEX(상세표[시작],$M611)),TEXT(INDEX(상세표[시작],$M611),"yyyy-mm-dd hh:mm"),INDEX(상세표[시작],$M611)&amp;""))</f>
        <v/>
      </c>
      <c r="E611">
        <f>IF($M611="","",IF(ISNUMBER(INDEX(상세표[종료],$M611)),TEXT(INDEX(상세표[종료],$M611),"yyyy-mm-dd hh:mm"),INDEX(상세표[종료],$M611)&amp;""))</f>
        <v/>
      </c>
      <c r="F611">
        <f>IF($M611="","",INDEX(상세표[기록 시간외],$M611))</f>
        <v/>
      </c>
      <c r="G611">
        <f>IF($M611="","",INDEX(상세표[시작월 기관],$M611)&amp;"")</f>
        <v/>
      </c>
      <c r="H611">
        <f>IF($M611="","",INDEX(상세표[종료월 기관],$M611)&amp;"")</f>
        <v/>
      </c>
      <c r="I611">
        <f>IF($M611="","",INDEX(상세표[월경계 판정],$M611)&amp;"")</f>
        <v/>
      </c>
      <c r="J611">
        <f>IF($M611="","",INDEX(상세표[반영월],$M611)&amp;"")</f>
        <v/>
      </c>
      <c r="K611">
        <f>IF($M611="","",INDEX(상세표[반영 기관],$M611)&amp;"")</f>
        <v/>
      </c>
      <c r="L611">
        <f>IF($M611="","",INDEX(상세표[기관 출처],$M611)&amp;"")</f>
        <v/>
      </c>
      <c r="M611" s="4">
        <f>IFERROR(MATCH(606,상세표[경계순번],0),"")</f>
        <v/>
      </c>
    </row>
    <row r="612">
      <c r="A612">
        <f>IF($M612="","",INDEX(상세표[사번],$M612)&amp;"")</f>
        <v/>
      </c>
      <c r="B612">
        <f>IF($M612="","",INDEX(상세표[성명],$M612)&amp;"")</f>
        <v/>
      </c>
      <c r="C612">
        <f>IF($M612="","",IF(INDEX(상세표[종료월],$M612)=대상월키,"전월→이번 달","이번 달→익월"))</f>
        <v/>
      </c>
      <c r="D612">
        <f>IF($M612="","",IF(ISNUMBER(INDEX(상세표[시작],$M612)),TEXT(INDEX(상세표[시작],$M612),"yyyy-mm-dd hh:mm"),INDEX(상세표[시작],$M612)&amp;""))</f>
        <v/>
      </c>
      <c r="E612">
        <f>IF($M612="","",IF(ISNUMBER(INDEX(상세표[종료],$M612)),TEXT(INDEX(상세표[종료],$M612),"yyyy-mm-dd hh:mm"),INDEX(상세표[종료],$M612)&amp;""))</f>
        <v/>
      </c>
      <c r="F612">
        <f>IF($M612="","",INDEX(상세표[기록 시간외],$M612))</f>
        <v/>
      </c>
      <c r="G612">
        <f>IF($M612="","",INDEX(상세표[시작월 기관],$M612)&amp;"")</f>
        <v/>
      </c>
      <c r="H612">
        <f>IF($M612="","",INDEX(상세표[종료월 기관],$M612)&amp;"")</f>
        <v/>
      </c>
      <c r="I612">
        <f>IF($M612="","",INDEX(상세표[월경계 판정],$M612)&amp;"")</f>
        <v/>
      </c>
      <c r="J612">
        <f>IF($M612="","",INDEX(상세표[반영월],$M612)&amp;"")</f>
        <v/>
      </c>
      <c r="K612">
        <f>IF($M612="","",INDEX(상세표[반영 기관],$M612)&amp;"")</f>
        <v/>
      </c>
      <c r="L612">
        <f>IF($M612="","",INDEX(상세표[기관 출처],$M612)&amp;"")</f>
        <v/>
      </c>
      <c r="M612" s="4">
        <f>IFERROR(MATCH(607,상세표[경계순번],0),"")</f>
        <v/>
      </c>
    </row>
    <row r="613">
      <c r="A613">
        <f>IF($M613="","",INDEX(상세표[사번],$M613)&amp;"")</f>
        <v/>
      </c>
      <c r="B613">
        <f>IF($M613="","",INDEX(상세표[성명],$M613)&amp;"")</f>
        <v/>
      </c>
      <c r="C613">
        <f>IF($M613="","",IF(INDEX(상세표[종료월],$M613)=대상월키,"전월→이번 달","이번 달→익월"))</f>
        <v/>
      </c>
      <c r="D613">
        <f>IF($M613="","",IF(ISNUMBER(INDEX(상세표[시작],$M613)),TEXT(INDEX(상세표[시작],$M613),"yyyy-mm-dd hh:mm"),INDEX(상세표[시작],$M613)&amp;""))</f>
        <v/>
      </c>
      <c r="E613">
        <f>IF($M613="","",IF(ISNUMBER(INDEX(상세표[종료],$M613)),TEXT(INDEX(상세표[종료],$M613),"yyyy-mm-dd hh:mm"),INDEX(상세표[종료],$M613)&amp;""))</f>
        <v/>
      </c>
      <c r="F613">
        <f>IF($M613="","",INDEX(상세표[기록 시간외],$M613))</f>
        <v/>
      </c>
      <c r="G613">
        <f>IF($M613="","",INDEX(상세표[시작월 기관],$M613)&amp;"")</f>
        <v/>
      </c>
      <c r="H613">
        <f>IF($M613="","",INDEX(상세표[종료월 기관],$M613)&amp;"")</f>
        <v/>
      </c>
      <c r="I613">
        <f>IF($M613="","",INDEX(상세표[월경계 판정],$M613)&amp;"")</f>
        <v/>
      </c>
      <c r="J613">
        <f>IF($M613="","",INDEX(상세표[반영월],$M613)&amp;"")</f>
        <v/>
      </c>
      <c r="K613">
        <f>IF($M613="","",INDEX(상세표[반영 기관],$M613)&amp;"")</f>
        <v/>
      </c>
      <c r="L613">
        <f>IF($M613="","",INDEX(상세표[기관 출처],$M613)&amp;"")</f>
        <v/>
      </c>
      <c r="M613" s="4">
        <f>IFERROR(MATCH(608,상세표[경계순번],0),"")</f>
        <v/>
      </c>
    </row>
    <row r="614">
      <c r="A614">
        <f>IF($M614="","",INDEX(상세표[사번],$M614)&amp;"")</f>
        <v/>
      </c>
      <c r="B614">
        <f>IF($M614="","",INDEX(상세표[성명],$M614)&amp;"")</f>
        <v/>
      </c>
      <c r="C614">
        <f>IF($M614="","",IF(INDEX(상세표[종료월],$M614)=대상월키,"전월→이번 달","이번 달→익월"))</f>
        <v/>
      </c>
      <c r="D614">
        <f>IF($M614="","",IF(ISNUMBER(INDEX(상세표[시작],$M614)),TEXT(INDEX(상세표[시작],$M614),"yyyy-mm-dd hh:mm"),INDEX(상세표[시작],$M614)&amp;""))</f>
        <v/>
      </c>
      <c r="E614">
        <f>IF($M614="","",IF(ISNUMBER(INDEX(상세표[종료],$M614)),TEXT(INDEX(상세표[종료],$M614),"yyyy-mm-dd hh:mm"),INDEX(상세표[종료],$M614)&amp;""))</f>
        <v/>
      </c>
      <c r="F614">
        <f>IF($M614="","",INDEX(상세표[기록 시간외],$M614))</f>
        <v/>
      </c>
      <c r="G614">
        <f>IF($M614="","",INDEX(상세표[시작월 기관],$M614)&amp;"")</f>
        <v/>
      </c>
      <c r="H614">
        <f>IF($M614="","",INDEX(상세표[종료월 기관],$M614)&amp;"")</f>
        <v/>
      </c>
      <c r="I614">
        <f>IF($M614="","",INDEX(상세표[월경계 판정],$M614)&amp;"")</f>
        <v/>
      </c>
      <c r="J614">
        <f>IF($M614="","",INDEX(상세표[반영월],$M614)&amp;"")</f>
        <v/>
      </c>
      <c r="K614">
        <f>IF($M614="","",INDEX(상세표[반영 기관],$M614)&amp;"")</f>
        <v/>
      </c>
      <c r="L614">
        <f>IF($M614="","",INDEX(상세표[기관 출처],$M614)&amp;"")</f>
        <v/>
      </c>
      <c r="M614" s="4">
        <f>IFERROR(MATCH(609,상세표[경계순번],0),"")</f>
        <v/>
      </c>
    </row>
    <row r="615">
      <c r="A615">
        <f>IF($M615="","",INDEX(상세표[사번],$M615)&amp;"")</f>
        <v/>
      </c>
      <c r="B615">
        <f>IF($M615="","",INDEX(상세표[성명],$M615)&amp;"")</f>
        <v/>
      </c>
      <c r="C615">
        <f>IF($M615="","",IF(INDEX(상세표[종료월],$M615)=대상월키,"전월→이번 달","이번 달→익월"))</f>
        <v/>
      </c>
      <c r="D615">
        <f>IF($M615="","",IF(ISNUMBER(INDEX(상세표[시작],$M615)),TEXT(INDEX(상세표[시작],$M615),"yyyy-mm-dd hh:mm"),INDEX(상세표[시작],$M615)&amp;""))</f>
        <v/>
      </c>
      <c r="E615">
        <f>IF($M615="","",IF(ISNUMBER(INDEX(상세표[종료],$M615)),TEXT(INDEX(상세표[종료],$M615),"yyyy-mm-dd hh:mm"),INDEX(상세표[종료],$M615)&amp;""))</f>
        <v/>
      </c>
      <c r="F615">
        <f>IF($M615="","",INDEX(상세표[기록 시간외],$M615))</f>
        <v/>
      </c>
      <c r="G615">
        <f>IF($M615="","",INDEX(상세표[시작월 기관],$M615)&amp;"")</f>
        <v/>
      </c>
      <c r="H615">
        <f>IF($M615="","",INDEX(상세표[종료월 기관],$M615)&amp;"")</f>
        <v/>
      </c>
      <c r="I615">
        <f>IF($M615="","",INDEX(상세표[월경계 판정],$M615)&amp;"")</f>
        <v/>
      </c>
      <c r="J615">
        <f>IF($M615="","",INDEX(상세표[반영월],$M615)&amp;"")</f>
        <v/>
      </c>
      <c r="K615">
        <f>IF($M615="","",INDEX(상세표[반영 기관],$M615)&amp;"")</f>
        <v/>
      </c>
      <c r="L615">
        <f>IF($M615="","",INDEX(상세표[기관 출처],$M615)&amp;"")</f>
        <v/>
      </c>
      <c r="M615" s="4">
        <f>IFERROR(MATCH(610,상세표[경계순번],0),"")</f>
        <v/>
      </c>
    </row>
    <row r="616">
      <c r="A616">
        <f>IF($M616="","",INDEX(상세표[사번],$M616)&amp;"")</f>
        <v/>
      </c>
      <c r="B616">
        <f>IF($M616="","",INDEX(상세표[성명],$M616)&amp;"")</f>
        <v/>
      </c>
      <c r="C616">
        <f>IF($M616="","",IF(INDEX(상세표[종료월],$M616)=대상월키,"전월→이번 달","이번 달→익월"))</f>
        <v/>
      </c>
      <c r="D616">
        <f>IF($M616="","",IF(ISNUMBER(INDEX(상세표[시작],$M616)),TEXT(INDEX(상세표[시작],$M616),"yyyy-mm-dd hh:mm"),INDEX(상세표[시작],$M616)&amp;""))</f>
        <v/>
      </c>
      <c r="E616">
        <f>IF($M616="","",IF(ISNUMBER(INDEX(상세표[종료],$M616)),TEXT(INDEX(상세표[종료],$M616),"yyyy-mm-dd hh:mm"),INDEX(상세표[종료],$M616)&amp;""))</f>
        <v/>
      </c>
      <c r="F616">
        <f>IF($M616="","",INDEX(상세표[기록 시간외],$M616))</f>
        <v/>
      </c>
      <c r="G616">
        <f>IF($M616="","",INDEX(상세표[시작월 기관],$M616)&amp;"")</f>
        <v/>
      </c>
      <c r="H616">
        <f>IF($M616="","",INDEX(상세표[종료월 기관],$M616)&amp;"")</f>
        <v/>
      </c>
      <c r="I616">
        <f>IF($M616="","",INDEX(상세표[월경계 판정],$M616)&amp;"")</f>
        <v/>
      </c>
      <c r="J616">
        <f>IF($M616="","",INDEX(상세표[반영월],$M616)&amp;"")</f>
        <v/>
      </c>
      <c r="K616">
        <f>IF($M616="","",INDEX(상세표[반영 기관],$M616)&amp;"")</f>
        <v/>
      </c>
      <c r="L616">
        <f>IF($M616="","",INDEX(상세표[기관 출처],$M616)&amp;"")</f>
        <v/>
      </c>
      <c r="M616" s="4">
        <f>IFERROR(MATCH(611,상세표[경계순번],0),"")</f>
        <v/>
      </c>
    </row>
    <row r="617">
      <c r="A617">
        <f>IF($M617="","",INDEX(상세표[사번],$M617)&amp;"")</f>
        <v/>
      </c>
      <c r="B617">
        <f>IF($M617="","",INDEX(상세표[성명],$M617)&amp;"")</f>
        <v/>
      </c>
      <c r="C617">
        <f>IF($M617="","",IF(INDEX(상세표[종료월],$M617)=대상월키,"전월→이번 달","이번 달→익월"))</f>
        <v/>
      </c>
      <c r="D617">
        <f>IF($M617="","",IF(ISNUMBER(INDEX(상세표[시작],$M617)),TEXT(INDEX(상세표[시작],$M617),"yyyy-mm-dd hh:mm"),INDEX(상세표[시작],$M617)&amp;""))</f>
        <v/>
      </c>
      <c r="E617">
        <f>IF($M617="","",IF(ISNUMBER(INDEX(상세표[종료],$M617)),TEXT(INDEX(상세표[종료],$M617),"yyyy-mm-dd hh:mm"),INDEX(상세표[종료],$M617)&amp;""))</f>
        <v/>
      </c>
      <c r="F617">
        <f>IF($M617="","",INDEX(상세표[기록 시간외],$M617))</f>
        <v/>
      </c>
      <c r="G617">
        <f>IF($M617="","",INDEX(상세표[시작월 기관],$M617)&amp;"")</f>
        <v/>
      </c>
      <c r="H617">
        <f>IF($M617="","",INDEX(상세표[종료월 기관],$M617)&amp;"")</f>
        <v/>
      </c>
      <c r="I617">
        <f>IF($M617="","",INDEX(상세표[월경계 판정],$M617)&amp;"")</f>
        <v/>
      </c>
      <c r="J617">
        <f>IF($M617="","",INDEX(상세표[반영월],$M617)&amp;"")</f>
        <v/>
      </c>
      <c r="K617">
        <f>IF($M617="","",INDEX(상세표[반영 기관],$M617)&amp;"")</f>
        <v/>
      </c>
      <c r="L617">
        <f>IF($M617="","",INDEX(상세표[기관 출처],$M617)&amp;"")</f>
        <v/>
      </c>
      <c r="M617" s="4">
        <f>IFERROR(MATCH(612,상세표[경계순번],0),"")</f>
        <v/>
      </c>
    </row>
    <row r="618">
      <c r="A618">
        <f>IF($M618="","",INDEX(상세표[사번],$M618)&amp;"")</f>
        <v/>
      </c>
      <c r="B618">
        <f>IF($M618="","",INDEX(상세표[성명],$M618)&amp;"")</f>
        <v/>
      </c>
      <c r="C618">
        <f>IF($M618="","",IF(INDEX(상세표[종료월],$M618)=대상월키,"전월→이번 달","이번 달→익월"))</f>
        <v/>
      </c>
      <c r="D618">
        <f>IF($M618="","",IF(ISNUMBER(INDEX(상세표[시작],$M618)),TEXT(INDEX(상세표[시작],$M618),"yyyy-mm-dd hh:mm"),INDEX(상세표[시작],$M618)&amp;""))</f>
        <v/>
      </c>
      <c r="E618">
        <f>IF($M618="","",IF(ISNUMBER(INDEX(상세표[종료],$M618)),TEXT(INDEX(상세표[종료],$M618),"yyyy-mm-dd hh:mm"),INDEX(상세표[종료],$M618)&amp;""))</f>
        <v/>
      </c>
      <c r="F618">
        <f>IF($M618="","",INDEX(상세표[기록 시간외],$M618))</f>
        <v/>
      </c>
      <c r="G618">
        <f>IF($M618="","",INDEX(상세표[시작월 기관],$M618)&amp;"")</f>
        <v/>
      </c>
      <c r="H618">
        <f>IF($M618="","",INDEX(상세표[종료월 기관],$M618)&amp;"")</f>
        <v/>
      </c>
      <c r="I618">
        <f>IF($M618="","",INDEX(상세표[월경계 판정],$M618)&amp;"")</f>
        <v/>
      </c>
      <c r="J618">
        <f>IF($M618="","",INDEX(상세표[반영월],$M618)&amp;"")</f>
        <v/>
      </c>
      <c r="K618">
        <f>IF($M618="","",INDEX(상세표[반영 기관],$M618)&amp;"")</f>
        <v/>
      </c>
      <c r="L618">
        <f>IF($M618="","",INDEX(상세표[기관 출처],$M618)&amp;"")</f>
        <v/>
      </c>
      <c r="M618" s="4">
        <f>IFERROR(MATCH(613,상세표[경계순번],0),"")</f>
        <v/>
      </c>
    </row>
    <row r="619">
      <c r="A619">
        <f>IF($M619="","",INDEX(상세표[사번],$M619)&amp;"")</f>
        <v/>
      </c>
      <c r="B619">
        <f>IF($M619="","",INDEX(상세표[성명],$M619)&amp;"")</f>
        <v/>
      </c>
      <c r="C619">
        <f>IF($M619="","",IF(INDEX(상세표[종료월],$M619)=대상월키,"전월→이번 달","이번 달→익월"))</f>
        <v/>
      </c>
      <c r="D619">
        <f>IF($M619="","",IF(ISNUMBER(INDEX(상세표[시작],$M619)),TEXT(INDEX(상세표[시작],$M619),"yyyy-mm-dd hh:mm"),INDEX(상세표[시작],$M619)&amp;""))</f>
        <v/>
      </c>
      <c r="E619">
        <f>IF($M619="","",IF(ISNUMBER(INDEX(상세표[종료],$M619)),TEXT(INDEX(상세표[종료],$M619),"yyyy-mm-dd hh:mm"),INDEX(상세표[종료],$M619)&amp;""))</f>
        <v/>
      </c>
      <c r="F619">
        <f>IF($M619="","",INDEX(상세표[기록 시간외],$M619))</f>
        <v/>
      </c>
      <c r="G619">
        <f>IF($M619="","",INDEX(상세표[시작월 기관],$M619)&amp;"")</f>
        <v/>
      </c>
      <c r="H619">
        <f>IF($M619="","",INDEX(상세표[종료월 기관],$M619)&amp;"")</f>
        <v/>
      </c>
      <c r="I619">
        <f>IF($M619="","",INDEX(상세표[월경계 판정],$M619)&amp;"")</f>
        <v/>
      </c>
      <c r="J619">
        <f>IF($M619="","",INDEX(상세표[반영월],$M619)&amp;"")</f>
        <v/>
      </c>
      <c r="K619">
        <f>IF($M619="","",INDEX(상세표[반영 기관],$M619)&amp;"")</f>
        <v/>
      </c>
      <c r="L619">
        <f>IF($M619="","",INDEX(상세표[기관 출처],$M619)&amp;"")</f>
        <v/>
      </c>
      <c r="M619" s="4">
        <f>IFERROR(MATCH(614,상세표[경계순번],0),"")</f>
        <v/>
      </c>
    </row>
    <row r="620">
      <c r="A620">
        <f>IF($M620="","",INDEX(상세표[사번],$M620)&amp;"")</f>
        <v/>
      </c>
      <c r="B620">
        <f>IF($M620="","",INDEX(상세표[성명],$M620)&amp;"")</f>
        <v/>
      </c>
      <c r="C620">
        <f>IF($M620="","",IF(INDEX(상세표[종료월],$M620)=대상월키,"전월→이번 달","이번 달→익월"))</f>
        <v/>
      </c>
      <c r="D620">
        <f>IF($M620="","",IF(ISNUMBER(INDEX(상세표[시작],$M620)),TEXT(INDEX(상세표[시작],$M620),"yyyy-mm-dd hh:mm"),INDEX(상세표[시작],$M620)&amp;""))</f>
        <v/>
      </c>
      <c r="E620">
        <f>IF($M620="","",IF(ISNUMBER(INDEX(상세표[종료],$M620)),TEXT(INDEX(상세표[종료],$M620),"yyyy-mm-dd hh:mm"),INDEX(상세표[종료],$M620)&amp;""))</f>
        <v/>
      </c>
      <c r="F620">
        <f>IF($M620="","",INDEX(상세표[기록 시간외],$M620))</f>
        <v/>
      </c>
      <c r="G620">
        <f>IF($M620="","",INDEX(상세표[시작월 기관],$M620)&amp;"")</f>
        <v/>
      </c>
      <c r="H620">
        <f>IF($M620="","",INDEX(상세표[종료월 기관],$M620)&amp;"")</f>
        <v/>
      </c>
      <c r="I620">
        <f>IF($M620="","",INDEX(상세표[월경계 판정],$M620)&amp;"")</f>
        <v/>
      </c>
      <c r="J620">
        <f>IF($M620="","",INDEX(상세표[반영월],$M620)&amp;"")</f>
        <v/>
      </c>
      <c r="K620">
        <f>IF($M620="","",INDEX(상세표[반영 기관],$M620)&amp;"")</f>
        <v/>
      </c>
      <c r="L620">
        <f>IF($M620="","",INDEX(상세표[기관 출처],$M620)&amp;"")</f>
        <v/>
      </c>
      <c r="M620" s="4">
        <f>IFERROR(MATCH(615,상세표[경계순번],0),"")</f>
        <v/>
      </c>
    </row>
    <row r="621">
      <c r="A621">
        <f>IF($M621="","",INDEX(상세표[사번],$M621)&amp;"")</f>
        <v/>
      </c>
      <c r="B621">
        <f>IF($M621="","",INDEX(상세표[성명],$M621)&amp;"")</f>
        <v/>
      </c>
      <c r="C621">
        <f>IF($M621="","",IF(INDEX(상세표[종료월],$M621)=대상월키,"전월→이번 달","이번 달→익월"))</f>
        <v/>
      </c>
      <c r="D621">
        <f>IF($M621="","",IF(ISNUMBER(INDEX(상세표[시작],$M621)),TEXT(INDEX(상세표[시작],$M621),"yyyy-mm-dd hh:mm"),INDEX(상세표[시작],$M621)&amp;""))</f>
        <v/>
      </c>
      <c r="E621">
        <f>IF($M621="","",IF(ISNUMBER(INDEX(상세표[종료],$M621)),TEXT(INDEX(상세표[종료],$M621),"yyyy-mm-dd hh:mm"),INDEX(상세표[종료],$M621)&amp;""))</f>
        <v/>
      </c>
      <c r="F621">
        <f>IF($M621="","",INDEX(상세표[기록 시간외],$M621))</f>
        <v/>
      </c>
      <c r="G621">
        <f>IF($M621="","",INDEX(상세표[시작월 기관],$M621)&amp;"")</f>
        <v/>
      </c>
      <c r="H621">
        <f>IF($M621="","",INDEX(상세표[종료월 기관],$M621)&amp;"")</f>
        <v/>
      </c>
      <c r="I621">
        <f>IF($M621="","",INDEX(상세표[월경계 판정],$M621)&amp;"")</f>
        <v/>
      </c>
      <c r="J621">
        <f>IF($M621="","",INDEX(상세표[반영월],$M621)&amp;"")</f>
        <v/>
      </c>
      <c r="K621">
        <f>IF($M621="","",INDEX(상세표[반영 기관],$M621)&amp;"")</f>
        <v/>
      </c>
      <c r="L621">
        <f>IF($M621="","",INDEX(상세표[기관 출처],$M621)&amp;"")</f>
        <v/>
      </c>
      <c r="M621" s="4">
        <f>IFERROR(MATCH(616,상세표[경계순번],0),"")</f>
        <v/>
      </c>
    </row>
    <row r="622">
      <c r="A622">
        <f>IF($M622="","",INDEX(상세표[사번],$M622)&amp;"")</f>
        <v/>
      </c>
      <c r="B622">
        <f>IF($M622="","",INDEX(상세표[성명],$M622)&amp;"")</f>
        <v/>
      </c>
      <c r="C622">
        <f>IF($M622="","",IF(INDEX(상세표[종료월],$M622)=대상월키,"전월→이번 달","이번 달→익월"))</f>
        <v/>
      </c>
      <c r="D622">
        <f>IF($M622="","",IF(ISNUMBER(INDEX(상세표[시작],$M622)),TEXT(INDEX(상세표[시작],$M622),"yyyy-mm-dd hh:mm"),INDEX(상세표[시작],$M622)&amp;""))</f>
        <v/>
      </c>
      <c r="E622">
        <f>IF($M622="","",IF(ISNUMBER(INDEX(상세표[종료],$M622)),TEXT(INDEX(상세표[종료],$M622),"yyyy-mm-dd hh:mm"),INDEX(상세표[종료],$M622)&amp;""))</f>
        <v/>
      </c>
      <c r="F622">
        <f>IF($M622="","",INDEX(상세표[기록 시간외],$M622))</f>
        <v/>
      </c>
      <c r="G622">
        <f>IF($M622="","",INDEX(상세표[시작월 기관],$M622)&amp;"")</f>
        <v/>
      </c>
      <c r="H622">
        <f>IF($M622="","",INDEX(상세표[종료월 기관],$M622)&amp;"")</f>
        <v/>
      </c>
      <c r="I622">
        <f>IF($M622="","",INDEX(상세표[월경계 판정],$M622)&amp;"")</f>
        <v/>
      </c>
      <c r="J622">
        <f>IF($M622="","",INDEX(상세표[반영월],$M622)&amp;"")</f>
        <v/>
      </c>
      <c r="K622">
        <f>IF($M622="","",INDEX(상세표[반영 기관],$M622)&amp;"")</f>
        <v/>
      </c>
      <c r="L622">
        <f>IF($M622="","",INDEX(상세표[기관 출처],$M622)&amp;"")</f>
        <v/>
      </c>
      <c r="M622" s="4">
        <f>IFERROR(MATCH(617,상세표[경계순번],0),"")</f>
        <v/>
      </c>
    </row>
    <row r="623">
      <c r="A623">
        <f>IF($M623="","",INDEX(상세표[사번],$M623)&amp;"")</f>
        <v/>
      </c>
      <c r="B623">
        <f>IF($M623="","",INDEX(상세표[성명],$M623)&amp;"")</f>
        <v/>
      </c>
      <c r="C623">
        <f>IF($M623="","",IF(INDEX(상세표[종료월],$M623)=대상월키,"전월→이번 달","이번 달→익월"))</f>
        <v/>
      </c>
      <c r="D623">
        <f>IF($M623="","",IF(ISNUMBER(INDEX(상세표[시작],$M623)),TEXT(INDEX(상세표[시작],$M623),"yyyy-mm-dd hh:mm"),INDEX(상세표[시작],$M623)&amp;""))</f>
        <v/>
      </c>
      <c r="E623">
        <f>IF($M623="","",IF(ISNUMBER(INDEX(상세표[종료],$M623)),TEXT(INDEX(상세표[종료],$M623),"yyyy-mm-dd hh:mm"),INDEX(상세표[종료],$M623)&amp;""))</f>
        <v/>
      </c>
      <c r="F623">
        <f>IF($M623="","",INDEX(상세표[기록 시간외],$M623))</f>
        <v/>
      </c>
      <c r="G623">
        <f>IF($M623="","",INDEX(상세표[시작월 기관],$M623)&amp;"")</f>
        <v/>
      </c>
      <c r="H623">
        <f>IF($M623="","",INDEX(상세표[종료월 기관],$M623)&amp;"")</f>
        <v/>
      </c>
      <c r="I623">
        <f>IF($M623="","",INDEX(상세표[월경계 판정],$M623)&amp;"")</f>
        <v/>
      </c>
      <c r="J623">
        <f>IF($M623="","",INDEX(상세표[반영월],$M623)&amp;"")</f>
        <v/>
      </c>
      <c r="K623">
        <f>IF($M623="","",INDEX(상세표[반영 기관],$M623)&amp;"")</f>
        <v/>
      </c>
      <c r="L623">
        <f>IF($M623="","",INDEX(상세표[기관 출처],$M623)&amp;"")</f>
        <v/>
      </c>
      <c r="M623" s="4">
        <f>IFERROR(MATCH(618,상세표[경계순번],0),"")</f>
        <v/>
      </c>
    </row>
    <row r="624">
      <c r="A624">
        <f>IF($M624="","",INDEX(상세표[사번],$M624)&amp;"")</f>
        <v/>
      </c>
      <c r="B624">
        <f>IF($M624="","",INDEX(상세표[성명],$M624)&amp;"")</f>
        <v/>
      </c>
      <c r="C624">
        <f>IF($M624="","",IF(INDEX(상세표[종료월],$M624)=대상월키,"전월→이번 달","이번 달→익월"))</f>
        <v/>
      </c>
      <c r="D624">
        <f>IF($M624="","",IF(ISNUMBER(INDEX(상세표[시작],$M624)),TEXT(INDEX(상세표[시작],$M624),"yyyy-mm-dd hh:mm"),INDEX(상세표[시작],$M624)&amp;""))</f>
        <v/>
      </c>
      <c r="E624">
        <f>IF($M624="","",IF(ISNUMBER(INDEX(상세표[종료],$M624)),TEXT(INDEX(상세표[종료],$M624),"yyyy-mm-dd hh:mm"),INDEX(상세표[종료],$M624)&amp;""))</f>
        <v/>
      </c>
      <c r="F624">
        <f>IF($M624="","",INDEX(상세표[기록 시간외],$M624))</f>
        <v/>
      </c>
      <c r="G624">
        <f>IF($M624="","",INDEX(상세표[시작월 기관],$M624)&amp;"")</f>
        <v/>
      </c>
      <c r="H624">
        <f>IF($M624="","",INDEX(상세표[종료월 기관],$M624)&amp;"")</f>
        <v/>
      </c>
      <c r="I624">
        <f>IF($M624="","",INDEX(상세표[월경계 판정],$M624)&amp;"")</f>
        <v/>
      </c>
      <c r="J624">
        <f>IF($M624="","",INDEX(상세표[반영월],$M624)&amp;"")</f>
        <v/>
      </c>
      <c r="K624">
        <f>IF($M624="","",INDEX(상세표[반영 기관],$M624)&amp;"")</f>
        <v/>
      </c>
      <c r="L624">
        <f>IF($M624="","",INDEX(상세표[기관 출처],$M624)&amp;"")</f>
        <v/>
      </c>
      <c r="M624" s="4">
        <f>IFERROR(MATCH(619,상세표[경계순번],0),"")</f>
        <v/>
      </c>
    </row>
    <row r="625">
      <c r="A625">
        <f>IF($M625="","",INDEX(상세표[사번],$M625)&amp;"")</f>
        <v/>
      </c>
      <c r="B625">
        <f>IF($M625="","",INDEX(상세표[성명],$M625)&amp;"")</f>
        <v/>
      </c>
      <c r="C625">
        <f>IF($M625="","",IF(INDEX(상세표[종료월],$M625)=대상월키,"전월→이번 달","이번 달→익월"))</f>
        <v/>
      </c>
      <c r="D625">
        <f>IF($M625="","",IF(ISNUMBER(INDEX(상세표[시작],$M625)),TEXT(INDEX(상세표[시작],$M625),"yyyy-mm-dd hh:mm"),INDEX(상세표[시작],$M625)&amp;""))</f>
        <v/>
      </c>
      <c r="E625">
        <f>IF($M625="","",IF(ISNUMBER(INDEX(상세표[종료],$M625)),TEXT(INDEX(상세표[종료],$M625),"yyyy-mm-dd hh:mm"),INDEX(상세표[종료],$M625)&amp;""))</f>
        <v/>
      </c>
      <c r="F625">
        <f>IF($M625="","",INDEX(상세표[기록 시간외],$M625))</f>
        <v/>
      </c>
      <c r="G625">
        <f>IF($M625="","",INDEX(상세표[시작월 기관],$M625)&amp;"")</f>
        <v/>
      </c>
      <c r="H625">
        <f>IF($M625="","",INDEX(상세표[종료월 기관],$M625)&amp;"")</f>
        <v/>
      </c>
      <c r="I625">
        <f>IF($M625="","",INDEX(상세표[월경계 판정],$M625)&amp;"")</f>
        <v/>
      </c>
      <c r="J625">
        <f>IF($M625="","",INDEX(상세표[반영월],$M625)&amp;"")</f>
        <v/>
      </c>
      <c r="K625">
        <f>IF($M625="","",INDEX(상세표[반영 기관],$M625)&amp;"")</f>
        <v/>
      </c>
      <c r="L625">
        <f>IF($M625="","",INDEX(상세표[기관 출처],$M625)&amp;"")</f>
        <v/>
      </c>
      <c r="M625" s="4">
        <f>IFERROR(MATCH(620,상세표[경계순번],0),"")</f>
        <v/>
      </c>
    </row>
    <row r="626">
      <c r="A626">
        <f>IF($M626="","",INDEX(상세표[사번],$M626)&amp;"")</f>
        <v/>
      </c>
      <c r="B626">
        <f>IF($M626="","",INDEX(상세표[성명],$M626)&amp;"")</f>
        <v/>
      </c>
      <c r="C626">
        <f>IF($M626="","",IF(INDEX(상세표[종료월],$M626)=대상월키,"전월→이번 달","이번 달→익월"))</f>
        <v/>
      </c>
      <c r="D626">
        <f>IF($M626="","",IF(ISNUMBER(INDEX(상세표[시작],$M626)),TEXT(INDEX(상세표[시작],$M626),"yyyy-mm-dd hh:mm"),INDEX(상세표[시작],$M626)&amp;""))</f>
        <v/>
      </c>
      <c r="E626">
        <f>IF($M626="","",IF(ISNUMBER(INDEX(상세표[종료],$M626)),TEXT(INDEX(상세표[종료],$M626),"yyyy-mm-dd hh:mm"),INDEX(상세표[종료],$M626)&amp;""))</f>
        <v/>
      </c>
      <c r="F626">
        <f>IF($M626="","",INDEX(상세표[기록 시간외],$M626))</f>
        <v/>
      </c>
      <c r="G626">
        <f>IF($M626="","",INDEX(상세표[시작월 기관],$M626)&amp;"")</f>
        <v/>
      </c>
      <c r="H626">
        <f>IF($M626="","",INDEX(상세표[종료월 기관],$M626)&amp;"")</f>
        <v/>
      </c>
      <c r="I626">
        <f>IF($M626="","",INDEX(상세표[월경계 판정],$M626)&amp;"")</f>
        <v/>
      </c>
      <c r="J626">
        <f>IF($M626="","",INDEX(상세표[반영월],$M626)&amp;"")</f>
        <v/>
      </c>
      <c r="K626">
        <f>IF($M626="","",INDEX(상세표[반영 기관],$M626)&amp;"")</f>
        <v/>
      </c>
      <c r="L626">
        <f>IF($M626="","",INDEX(상세표[기관 출처],$M626)&amp;"")</f>
        <v/>
      </c>
      <c r="M626" s="4">
        <f>IFERROR(MATCH(621,상세표[경계순번],0),"")</f>
        <v/>
      </c>
    </row>
    <row r="627">
      <c r="A627">
        <f>IF($M627="","",INDEX(상세표[사번],$M627)&amp;"")</f>
        <v/>
      </c>
      <c r="B627">
        <f>IF($M627="","",INDEX(상세표[성명],$M627)&amp;"")</f>
        <v/>
      </c>
      <c r="C627">
        <f>IF($M627="","",IF(INDEX(상세표[종료월],$M627)=대상월키,"전월→이번 달","이번 달→익월"))</f>
        <v/>
      </c>
      <c r="D627">
        <f>IF($M627="","",IF(ISNUMBER(INDEX(상세표[시작],$M627)),TEXT(INDEX(상세표[시작],$M627),"yyyy-mm-dd hh:mm"),INDEX(상세표[시작],$M627)&amp;""))</f>
        <v/>
      </c>
      <c r="E627">
        <f>IF($M627="","",IF(ISNUMBER(INDEX(상세표[종료],$M627)),TEXT(INDEX(상세표[종료],$M627),"yyyy-mm-dd hh:mm"),INDEX(상세표[종료],$M627)&amp;""))</f>
        <v/>
      </c>
      <c r="F627">
        <f>IF($M627="","",INDEX(상세표[기록 시간외],$M627))</f>
        <v/>
      </c>
      <c r="G627">
        <f>IF($M627="","",INDEX(상세표[시작월 기관],$M627)&amp;"")</f>
        <v/>
      </c>
      <c r="H627">
        <f>IF($M627="","",INDEX(상세표[종료월 기관],$M627)&amp;"")</f>
        <v/>
      </c>
      <c r="I627">
        <f>IF($M627="","",INDEX(상세표[월경계 판정],$M627)&amp;"")</f>
        <v/>
      </c>
      <c r="J627">
        <f>IF($M627="","",INDEX(상세표[반영월],$M627)&amp;"")</f>
        <v/>
      </c>
      <c r="K627">
        <f>IF($M627="","",INDEX(상세표[반영 기관],$M627)&amp;"")</f>
        <v/>
      </c>
      <c r="L627">
        <f>IF($M627="","",INDEX(상세표[기관 출처],$M627)&amp;"")</f>
        <v/>
      </c>
      <c r="M627" s="4">
        <f>IFERROR(MATCH(622,상세표[경계순번],0),"")</f>
        <v/>
      </c>
    </row>
    <row r="628">
      <c r="A628">
        <f>IF($M628="","",INDEX(상세표[사번],$M628)&amp;"")</f>
        <v/>
      </c>
      <c r="B628">
        <f>IF($M628="","",INDEX(상세표[성명],$M628)&amp;"")</f>
        <v/>
      </c>
      <c r="C628">
        <f>IF($M628="","",IF(INDEX(상세표[종료월],$M628)=대상월키,"전월→이번 달","이번 달→익월"))</f>
        <v/>
      </c>
      <c r="D628">
        <f>IF($M628="","",IF(ISNUMBER(INDEX(상세표[시작],$M628)),TEXT(INDEX(상세표[시작],$M628),"yyyy-mm-dd hh:mm"),INDEX(상세표[시작],$M628)&amp;""))</f>
        <v/>
      </c>
      <c r="E628">
        <f>IF($M628="","",IF(ISNUMBER(INDEX(상세표[종료],$M628)),TEXT(INDEX(상세표[종료],$M628),"yyyy-mm-dd hh:mm"),INDEX(상세표[종료],$M628)&amp;""))</f>
        <v/>
      </c>
      <c r="F628">
        <f>IF($M628="","",INDEX(상세표[기록 시간외],$M628))</f>
        <v/>
      </c>
      <c r="G628">
        <f>IF($M628="","",INDEX(상세표[시작월 기관],$M628)&amp;"")</f>
        <v/>
      </c>
      <c r="H628">
        <f>IF($M628="","",INDEX(상세표[종료월 기관],$M628)&amp;"")</f>
        <v/>
      </c>
      <c r="I628">
        <f>IF($M628="","",INDEX(상세표[월경계 판정],$M628)&amp;"")</f>
        <v/>
      </c>
      <c r="J628">
        <f>IF($M628="","",INDEX(상세표[반영월],$M628)&amp;"")</f>
        <v/>
      </c>
      <c r="K628">
        <f>IF($M628="","",INDEX(상세표[반영 기관],$M628)&amp;"")</f>
        <v/>
      </c>
      <c r="L628">
        <f>IF($M628="","",INDEX(상세표[기관 출처],$M628)&amp;"")</f>
        <v/>
      </c>
      <c r="M628" s="4">
        <f>IFERROR(MATCH(623,상세표[경계순번],0),"")</f>
        <v/>
      </c>
    </row>
    <row r="629">
      <c r="A629">
        <f>IF($M629="","",INDEX(상세표[사번],$M629)&amp;"")</f>
        <v/>
      </c>
      <c r="B629">
        <f>IF($M629="","",INDEX(상세표[성명],$M629)&amp;"")</f>
        <v/>
      </c>
      <c r="C629">
        <f>IF($M629="","",IF(INDEX(상세표[종료월],$M629)=대상월키,"전월→이번 달","이번 달→익월"))</f>
        <v/>
      </c>
      <c r="D629">
        <f>IF($M629="","",IF(ISNUMBER(INDEX(상세표[시작],$M629)),TEXT(INDEX(상세표[시작],$M629),"yyyy-mm-dd hh:mm"),INDEX(상세표[시작],$M629)&amp;""))</f>
        <v/>
      </c>
      <c r="E629">
        <f>IF($M629="","",IF(ISNUMBER(INDEX(상세표[종료],$M629)),TEXT(INDEX(상세표[종료],$M629),"yyyy-mm-dd hh:mm"),INDEX(상세표[종료],$M629)&amp;""))</f>
        <v/>
      </c>
      <c r="F629">
        <f>IF($M629="","",INDEX(상세표[기록 시간외],$M629))</f>
        <v/>
      </c>
      <c r="G629">
        <f>IF($M629="","",INDEX(상세표[시작월 기관],$M629)&amp;"")</f>
        <v/>
      </c>
      <c r="H629">
        <f>IF($M629="","",INDEX(상세표[종료월 기관],$M629)&amp;"")</f>
        <v/>
      </c>
      <c r="I629">
        <f>IF($M629="","",INDEX(상세표[월경계 판정],$M629)&amp;"")</f>
        <v/>
      </c>
      <c r="J629">
        <f>IF($M629="","",INDEX(상세표[반영월],$M629)&amp;"")</f>
        <v/>
      </c>
      <c r="K629">
        <f>IF($M629="","",INDEX(상세표[반영 기관],$M629)&amp;"")</f>
        <v/>
      </c>
      <c r="L629">
        <f>IF($M629="","",INDEX(상세표[기관 출처],$M629)&amp;"")</f>
        <v/>
      </c>
      <c r="M629" s="4">
        <f>IFERROR(MATCH(624,상세표[경계순번],0),"")</f>
        <v/>
      </c>
    </row>
    <row r="630">
      <c r="A630">
        <f>IF($M630="","",INDEX(상세표[사번],$M630)&amp;"")</f>
        <v/>
      </c>
      <c r="B630">
        <f>IF($M630="","",INDEX(상세표[성명],$M630)&amp;"")</f>
        <v/>
      </c>
      <c r="C630">
        <f>IF($M630="","",IF(INDEX(상세표[종료월],$M630)=대상월키,"전월→이번 달","이번 달→익월"))</f>
        <v/>
      </c>
      <c r="D630">
        <f>IF($M630="","",IF(ISNUMBER(INDEX(상세표[시작],$M630)),TEXT(INDEX(상세표[시작],$M630),"yyyy-mm-dd hh:mm"),INDEX(상세표[시작],$M630)&amp;""))</f>
        <v/>
      </c>
      <c r="E630">
        <f>IF($M630="","",IF(ISNUMBER(INDEX(상세표[종료],$M630)),TEXT(INDEX(상세표[종료],$M630),"yyyy-mm-dd hh:mm"),INDEX(상세표[종료],$M630)&amp;""))</f>
        <v/>
      </c>
      <c r="F630">
        <f>IF($M630="","",INDEX(상세표[기록 시간외],$M630))</f>
        <v/>
      </c>
      <c r="G630">
        <f>IF($M630="","",INDEX(상세표[시작월 기관],$M630)&amp;"")</f>
        <v/>
      </c>
      <c r="H630">
        <f>IF($M630="","",INDEX(상세표[종료월 기관],$M630)&amp;"")</f>
        <v/>
      </c>
      <c r="I630">
        <f>IF($M630="","",INDEX(상세표[월경계 판정],$M630)&amp;"")</f>
        <v/>
      </c>
      <c r="J630">
        <f>IF($M630="","",INDEX(상세표[반영월],$M630)&amp;"")</f>
        <v/>
      </c>
      <c r="K630">
        <f>IF($M630="","",INDEX(상세표[반영 기관],$M630)&amp;"")</f>
        <v/>
      </c>
      <c r="L630">
        <f>IF($M630="","",INDEX(상세표[기관 출처],$M630)&amp;"")</f>
        <v/>
      </c>
      <c r="M630" s="4">
        <f>IFERROR(MATCH(625,상세표[경계순번],0),"")</f>
        <v/>
      </c>
    </row>
    <row r="631">
      <c r="A631">
        <f>IF($M631="","",INDEX(상세표[사번],$M631)&amp;"")</f>
        <v/>
      </c>
      <c r="B631">
        <f>IF($M631="","",INDEX(상세표[성명],$M631)&amp;"")</f>
        <v/>
      </c>
      <c r="C631">
        <f>IF($M631="","",IF(INDEX(상세표[종료월],$M631)=대상월키,"전월→이번 달","이번 달→익월"))</f>
        <v/>
      </c>
      <c r="D631">
        <f>IF($M631="","",IF(ISNUMBER(INDEX(상세표[시작],$M631)),TEXT(INDEX(상세표[시작],$M631),"yyyy-mm-dd hh:mm"),INDEX(상세표[시작],$M631)&amp;""))</f>
        <v/>
      </c>
      <c r="E631">
        <f>IF($M631="","",IF(ISNUMBER(INDEX(상세표[종료],$M631)),TEXT(INDEX(상세표[종료],$M631),"yyyy-mm-dd hh:mm"),INDEX(상세표[종료],$M631)&amp;""))</f>
        <v/>
      </c>
      <c r="F631">
        <f>IF($M631="","",INDEX(상세표[기록 시간외],$M631))</f>
        <v/>
      </c>
      <c r="G631">
        <f>IF($M631="","",INDEX(상세표[시작월 기관],$M631)&amp;"")</f>
        <v/>
      </c>
      <c r="H631">
        <f>IF($M631="","",INDEX(상세표[종료월 기관],$M631)&amp;"")</f>
        <v/>
      </c>
      <c r="I631">
        <f>IF($M631="","",INDEX(상세표[월경계 판정],$M631)&amp;"")</f>
        <v/>
      </c>
      <c r="J631">
        <f>IF($M631="","",INDEX(상세표[반영월],$M631)&amp;"")</f>
        <v/>
      </c>
      <c r="K631">
        <f>IF($M631="","",INDEX(상세표[반영 기관],$M631)&amp;"")</f>
        <v/>
      </c>
      <c r="L631">
        <f>IF($M631="","",INDEX(상세표[기관 출처],$M631)&amp;"")</f>
        <v/>
      </c>
      <c r="M631" s="4">
        <f>IFERROR(MATCH(626,상세표[경계순번],0),"")</f>
        <v/>
      </c>
    </row>
    <row r="632">
      <c r="A632">
        <f>IF($M632="","",INDEX(상세표[사번],$M632)&amp;"")</f>
        <v/>
      </c>
      <c r="B632">
        <f>IF($M632="","",INDEX(상세표[성명],$M632)&amp;"")</f>
        <v/>
      </c>
      <c r="C632">
        <f>IF($M632="","",IF(INDEX(상세표[종료월],$M632)=대상월키,"전월→이번 달","이번 달→익월"))</f>
        <v/>
      </c>
      <c r="D632">
        <f>IF($M632="","",IF(ISNUMBER(INDEX(상세표[시작],$M632)),TEXT(INDEX(상세표[시작],$M632),"yyyy-mm-dd hh:mm"),INDEX(상세표[시작],$M632)&amp;""))</f>
        <v/>
      </c>
      <c r="E632">
        <f>IF($M632="","",IF(ISNUMBER(INDEX(상세표[종료],$M632)),TEXT(INDEX(상세표[종료],$M632),"yyyy-mm-dd hh:mm"),INDEX(상세표[종료],$M632)&amp;""))</f>
        <v/>
      </c>
      <c r="F632">
        <f>IF($M632="","",INDEX(상세표[기록 시간외],$M632))</f>
        <v/>
      </c>
      <c r="G632">
        <f>IF($M632="","",INDEX(상세표[시작월 기관],$M632)&amp;"")</f>
        <v/>
      </c>
      <c r="H632">
        <f>IF($M632="","",INDEX(상세표[종료월 기관],$M632)&amp;"")</f>
        <v/>
      </c>
      <c r="I632">
        <f>IF($M632="","",INDEX(상세표[월경계 판정],$M632)&amp;"")</f>
        <v/>
      </c>
      <c r="J632">
        <f>IF($M632="","",INDEX(상세표[반영월],$M632)&amp;"")</f>
        <v/>
      </c>
      <c r="K632">
        <f>IF($M632="","",INDEX(상세표[반영 기관],$M632)&amp;"")</f>
        <v/>
      </c>
      <c r="L632">
        <f>IF($M632="","",INDEX(상세표[기관 출처],$M632)&amp;"")</f>
        <v/>
      </c>
      <c r="M632" s="4">
        <f>IFERROR(MATCH(627,상세표[경계순번],0),"")</f>
        <v/>
      </c>
    </row>
    <row r="633">
      <c r="A633">
        <f>IF($M633="","",INDEX(상세표[사번],$M633)&amp;"")</f>
        <v/>
      </c>
      <c r="B633">
        <f>IF($M633="","",INDEX(상세표[성명],$M633)&amp;"")</f>
        <v/>
      </c>
      <c r="C633">
        <f>IF($M633="","",IF(INDEX(상세표[종료월],$M633)=대상월키,"전월→이번 달","이번 달→익월"))</f>
        <v/>
      </c>
      <c r="D633">
        <f>IF($M633="","",IF(ISNUMBER(INDEX(상세표[시작],$M633)),TEXT(INDEX(상세표[시작],$M633),"yyyy-mm-dd hh:mm"),INDEX(상세표[시작],$M633)&amp;""))</f>
        <v/>
      </c>
      <c r="E633">
        <f>IF($M633="","",IF(ISNUMBER(INDEX(상세표[종료],$M633)),TEXT(INDEX(상세표[종료],$M633),"yyyy-mm-dd hh:mm"),INDEX(상세표[종료],$M633)&amp;""))</f>
        <v/>
      </c>
      <c r="F633">
        <f>IF($M633="","",INDEX(상세표[기록 시간외],$M633))</f>
        <v/>
      </c>
      <c r="G633">
        <f>IF($M633="","",INDEX(상세표[시작월 기관],$M633)&amp;"")</f>
        <v/>
      </c>
      <c r="H633">
        <f>IF($M633="","",INDEX(상세표[종료월 기관],$M633)&amp;"")</f>
        <v/>
      </c>
      <c r="I633">
        <f>IF($M633="","",INDEX(상세표[월경계 판정],$M633)&amp;"")</f>
        <v/>
      </c>
      <c r="J633">
        <f>IF($M633="","",INDEX(상세표[반영월],$M633)&amp;"")</f>
        <v/>
      </c>
      <c r="K633">
        <f>IF($M633="","",INDEX(상세표[반영 기관],$M633)&amp;"")</f>
        <v/>
      </c>
      <c r="L633">
        <f>IF($M633="","",INDEX(상세표[기관 출처],$M633)&amp;"")</f>
        <v/>
      </c>
      <c r="M633" s="4">
        <f>IFERROR(MATCH(628,상세표[경계순번],0),"")</f>
        <v/>
      </c>
    </row>
    <row r="634">
      <c r="A634">
        <f>IF($M634="","",INDEX(상세표[사번],$M634)&amp;"")</f>
        <v/>
      </c>
      <c r="B634">
        <f>IF($M634="","",INDEX(상세표[성명],$M634)&amp;"")</f>
        <v/>
      </c>
      <c r="C634">
        <f>IF($M634="","",IF(INDEX(상세표[종료월],$M634)=대상월키,"전월→이번 달","이번 달→익월"))</f>
        <v/>
      </c>
      <c r="D634">
        <f>IF($M634="","",IF(ISNUMBER(INDEX(상세표[시작],$M634)),TEXT(INDEX(상세표[시작],$M634),"yyyy-mm-dd hh:mm"),INDEX(상세표[시작],$M634)&amp;""))</f>
        <v/>
      </c>
      <c r="E634">
        <f>IF($M634="","",IF(ISNUMBER(INDEX(상세표[종료],$M634)),TEXT(INDEX(상세표[종료],$M634),"yyyy-mm-dd hh:mm"),INDEX(상세표[종료],$M634)&amp;""))</f>
        <v/>
      </c>
      <c r="F634">
        <f>IF($M634="","",INDEX(상세표[기록 시간외],$M634))</f>
        <v/>
      </c>
      <c r="G634">
        <f>IF($M634="","",INDEX(상세표[시작월 기관],$M634)&amp;"")</f>
        <v/>
      </c>
      <c r="H634">
        <f>IF($M634="","",INDEX(상세표[종료월 기관],$M634)&amp;"")</f>
        <v/>
      </c>
      <c r="I634">
        <f>IF($M634="","",INDEX(상세표[월경계 판정],$M634)&amp;"")</f>
        <v/>
      </c>
      <c r="J634">
        <f>IF($M634="","",INDEX(상세표[반영월],$M634)&amp;"")</f>
        <v/>
      </c>
      <c r="K634">
        <f>IF($M634="","",INDEX(상세표[반영 기관],$M634)&amp;"")</f>
        <v/>
      </c>
      <c r="L634">
        <f>IF($M634="","",INDEX(상세표[기관 출처],$M634)&amp;"")</f>
        <v/>
      </c>
      <c r="M634" s="4">
        <f>IFERROR(MATCH(629,상세표[경계순번],0),"")</f>
        <v/>
      </c>
    </row>
    <row r="635">
      <c r="A635">
        <f>IF($M635="","",INDEX(상세표[사번],$M635)&amp;"")</f>
        <v/>
      </c>
      <c r="B635">
        <f>IF($M635="","",INDEX(상세표[성명],$M635)&amp;"")</f>
        <v/>
      </c>
      <c r="C635">
        <f>IF($M635="","",IF(INDEX(상세표[종료월],$M635)=대상월키,"전월→이번 달","이번 달→익월"))</f>
        <v/>
      </c>
      <c r="D635">
        <f>IF($M635="","",IF(ISNUMBER(INDEX(상세표[시작],$M635)),TEXT(INDEX(상세표[시작],$M635),"yyyy-mm-dd hh:mm"),INDEX(상세표[시작],$M635)&amp;""))</f>
        <v/>
      </c>
      <c r="E635">
        <f>IF($M635="","",IF(ISNUMBER(INDEX(상세표[종료],$M635)),TEXT(INDEX(상세표[종료],$M635),"yyyy-mm-dd hh:mm"),INDEX(상세표[종료],$M635)&amp;""))</f>
        <v/>
      </c>
      <c r="F635">
        <f>IF($M635="","",INDEX(상세표[기록 시간외],$M635))</f>
        <v/>
      </c>
      <c r="G635">
        <f>IF($M635="","",INDEX(상세표[시작월 기관],$M635)&amp;"")</f>
        <v/>
      </c>
      <c r="H635">
        <f>IF($M635="","",INDEX(상세표[종료월 기관],$M635)&amp;"")</f>
        <v/>
      </c>
      <c r="I635">
        <f>IF($M635="","",INDEX(상세표[월경계 판정],$M635)&amp;"")</f>
        <v/>
      </c>
      <c r="J635">
        <f>IF($M635="","",INDEX(상세표[반영월],$M635)&amp;"")</f>
        <v/>
      </c>
      <c r="K635">
        <f>IF($M635="","",INDEX(상세표[반영 기관],$M635)&amp;"")</f>
        <v/>
      </c>
      <c r="L635">
        <f>IF($M635="","",INDEX(상세표[기관 출처],$M635)&amp;"")</f>
        <v/>
      </c>
      <c r="M635" s="4">
        <f>IFERROR(MATCH(630,상세표[경계순번],0),"")</f>
        <v/>
      </c>
    </row>
    <row r="636">
      <c r="A636">
        <f>IF($M636="","",INDEX(상세표[사번],$M636)&amp;"")</f>
        <v/>
      </c>
      <c r="B636">
        <f>IF($M636="","",INDEX(상세표[성명],$M636)&amp;"")</f>
        <v/>
      </c>
      <c r="C636">
        <f>IF($M636="","",IF(INDEX(상세표[종료월],$M636)=대상월키,"전월→이번 달","이번 달→익월"))</f>
        <v/>
      </c>
      <c r="D636">
        <f>IF($M636="","",IF(ISNUMBER(INDEX(상세표[시작],$M636)),TEXT(INDEX(상세표[시작],$M636),"yyyy-mm-dd hh:mm"),INDEX(상세표[시작],$M636)&amp;""))</f>
        <v/>
      </c>
      <c r="E636">
        <f>IF($M636="","",IF(ISNUMBER(INDEX(상세표[종료],$M636)),TEXT(INDEX(상세표[종료],$M636),"yyyy-mm-dd hh:mm"),INDEX(상세표[종료],$M636)&amp;""))</f>
        <v/>
      </c>
      <c r="F636">
        <f>IF($M636="","",INDEX(상세표[기록 시간외],$M636))</f>
        <v/>
      </c>
      <c r="G636">
        <f>IF($M636="","",INDEX(상세표[시작월 기관],$M636)&amp;"")</f>
        <v/>
      </c>
      <c r="H636">
        <f>IF($M636="","",INDEX(상세표[종료월 기관],$M636)&amp;"")</f>
        <v/>
      </c>
      <c r="I636">
        <f>IF($M636="","",INDEX(상세표[월경계 판정],$M636)&amp;"")</f>
        <v/>
      </c>
      <c r="J636">
        <f>IF($M636="","",INDEX(상세표[반영월],$M636)&amp;"")</f>
        <v/>
      </c>
      <c r="K636">
        <f>IF($M636="","",INDEX(상세표[반영 기관],$M636)&amp;"")</f>
        <v/>
      </c>
      <c r="L636">
        <f>IF($M636="","",INDEX(상세표[기관 출처],$M636)&amp;"")</f>
        <v/>
      </c>
      <c r="M636" s="4">
        <f>IFERROR(MATCH(631,상세표[경계순번],0),"")</f>
        <v/>
      </c>
    </row>
    <row r="637">
      <c r="A637">
        <f>IF($M637="","",INDEX(상세표[사번],$M637)&amp;"")</f>
        <v/>
      </c>
      <c r="B637">
        <f>IF($M637="","",INDEX(상세표[성명],$M637)&amp;"")</f>
        <v/>
      </c>
      <c r="C637">
        <f>IF($M637="","",IF(INDEX(상세표[종료월],$M637)=대상월키,"전월→이번 달","이번 달→익월"))</f>
        <v/>
      </c>
      <c r="D637">
        <f>IF($M637="","",IF(ISNUMBER(INDEX(상세표[시작],$M637)),TEXT(INDEX(상세표[시작],$M637),"yyyy-mm-dd hh:mm"),INDEX(상세표[시작],$M637)&amp;""))</f>
        <v/>
      </c>
      <c r="E637">
        <f>IF($M637="","",IF(ISNUMBER(INDEX(상세표[종료],$M637)),TEXT(INDEX(상세표[종료],$M637),"yyyy-mm-dd hh:mm"),INDEX(상세표[종료],$M637)&amp;""))</f>
        <v/>
      </c>
      <c r="F637">
        <f>IF($M637="","",INDEX(상세표[기록 시간외],$M637))</f>
        <v/>
      </c>
      <c r="G637">
        <f>IF($M637="","",INDEX(상세표[시작월 기관],$M637)&amp;"")</f>
        <v/>
      </c>
      <c r="H637">
        <f>IF($M637="","",INDEX(상세표[종료월 기관],$M637)&amp;"")</f>
        <v/>
      </c>
      <c r="I637">
        <f>IF($M637="","",INDEX(상세표[월경계 판정],$M637)&amp;"")</f>
        <v/>
      </c>
      <c r="J637">
        <f>IF($M637="","",INDEX(상세표[반영월],$M637)&amp;"")</f>
        <v/>
      </c>
      <c r="K637">
        <f>IF($M637="","",INDEX(상세표[반영 기관],$M637)&amp;"")</f>
        <v/>
      </c>
      <c r="L637">
        <f>IF($M637="","",INDEX(상세표[기관 출처],$M637)&amp;"")</f>
        <v/>
      </c>
      <c r="M637" s="4">
        <f>IFERROR(MATCH(632,상세표[경계순번],0),"")</f>
        <v/>
      </c>
    </row>
    <row r="638">
      <c r="A638">
        <f>IF($M638="","",INDEX(상세표[사번],$M638)&amp;"")</f>
        <v/>
      </c>
      <c r="B638">
        <f>IF($M638="","",INDEX(상세표[성명],$M638)&amp;"")</f>
        <v/>
      </c>
      <c r="C638">
        <f>IF($M638="","",IF(INDEX(상세표[종료월],$M638)=대상월키,"전월→이번 달","이번 달→익월"))</f>
        <v/>
      </c>
      <c r="D638">
        <f>IF($M638="","",IF(ISNUMBER(INDEX(상세표[시작],$M638)),TEXT(INDEX(상세표[시작],$M638),"yyyy-mm-dd hh:mm"),INDEX(상세표[시작],$M638)&amp;""))</f>
        <v/>
      </c>
      <c r="E638">
        <f>IF($M638="","",IF(ISNUMBER(INDEX(상세표[종료],$M638)),TEXT(INDEX(상세표[종료],$M638),"yyyy-mm-dd hh:mm"),INDEX(상세표[종료],$M638)&amp;""))</f>
        <v/>
      </c>
      <c r="F638">
        <f>IF($M638="","",INDEX(상세표[기록 시간외],$M638))</f>
        <v/>
      </c>
      <c r="G638">
        <f>IF($M638="","",INDEX(상세표[시작월 기관],$M638)&amp;"")</f>
        <v/>
      </c>
      <c r="H638">
        <f>IF($M638="","",INDEX(상세표[종료월 기관],$M638)&amp;"")</f>
        <v/>
      </c>
      <c r="I638">
        <f>IF($M638="","",INDEX(상세표[월경계 판정],$M638)&amp;"")</f>
        <v/>
      </c>
      <c r="J638">
        <f>IF($M638="","",INDEX(상세표[반영월],$M638)&amp;"")</f>
        <v/>
      </c>
      <c r="K638">
        <f>IF($M638="","",INDEX(상세표[반영 기관],$M638)&amp;"")</f>
        <v/>
      </c>
      <c r="L638">
        <f>IF($M638="","",INDEX(상세표[기관 출처],$M638)&amp;"")</f>
        <v/>
      </c>
      <c r="M638" s="4">
        <f>IFERROR(MATCH(633,상세표[경계순번],0),"")</f>
        <v/>
      </c>
    </row>
    <row r="639">
      <c r="A639">
        <f>IF($M639="","",INDEX(상세표[사번],$M639)&amp;"")</f>
        <v/>
      </c>
      <c r="B639">
        <f>IF($M639="","",INDEX(상세표[성명],$M639)&amp;"")</f>
        <v/>
      </c>
      <c r="C639">
        <f>IF($M639="","",IF(INDEX(상세표[종료월],$M639)=대상월키,"전월→이번 달","이번 달→익월"))</f>
        <v/>
      </c>
      <c r="D639">
        <f>IF($M639="","",IF(ISNUMBER(INDEX(상세표[시작],$M639)),TEXT(INDEX(상세표[시작],$M639),"yyyy-mm-dd hh:mm"),INDEX(상세표[시작],$M639)&amp;""))</f>
        <v/>
      </c>
      <c r="E639">
        <f>IF($M639="","",IF(ISNUMBER(INDEX(상세표[종료],$M639)),TEXT(INDEX(상세표[종료],$M639),"yyyy-mm-dd hh:mm"),INDEX(상세표[종료],$M639)&amp;""))</f>
        <v/>
      </c>
      <c r="F639">
        <f>IF($M639="","",INDEX(상세표[기록 시간외],$M639))</f>
        <v/>
      </c>
      <c r="G639">
        <f>IF($M639="","",INDEX(상세표[시작월 기관],$M639)&amp;"")</f>
        <v/>
      </c>
      <c r="H639">
        <f>IF($M639="","",INDEX(상세표[종료월 기관],$M639)&amp;"")</f>
        <v/>
      </c>
      <c r="I639">
        <f>IF($M639="","",INDEX(상세표[월경계 판정],$M639)&amp;"")</f>
        <v/>
      </c>
      <c r="J639">
        <f>IF($M639="","",INDEX(상세표[반영월],$M639)&amp;"")</f>
        <v/>
      </c>
      <c r="K639">
        <f>IF($M639="","",INDEX(상세표[반영 기관],$M639)&amp;"")</f>
        <v/>
      </c>
      <c r="L639">
        <f>IF($M639="","",INDEX(상세표[기관 출처],$M639)&amp;"")</f>
        <v/>
      </c>
      <c r="M639" s="4">
        <f>IFERROR(MATCH(634,상세표[경계순번],0),"")</f>
        <v/>
      </c>
    </row>
    <row r="640">
      <c r="A640">
        <f>IF($M640="","",INDEX(상세표[사번],$M640)&amp;"")</f>
        <v/>
      </c>
      <c r="B640">
        <f>IF($M640="","",INDEX(상세표[성명],$M640)&amp;"")</f>
        <v/>
      </c>
      <c r="C640">
        <f>IF($M640="","",IF(INDEX(상세표[종료월],$M640)=대상월키,"전월→이번 달","이번 달→익월"))</f>
        <v/>
      </c>
      <c r="D640">
        <f>IF($M640="","",IF(ISNUMBER(INDEX(상세표[시작],$M640)),TEXT(INDEX(상세표[시작],$M640),"yyyy-mm-dd hh:mm"),INDEX(상세표[시작],$M640)&amp;""))</f>
        <v/>
      </c>
      <c r="E640">
        <f>IF($M640="","",IF(ISNUMBER(INDEX(상세표[종료],$M640)),TEXT(INDEX(상세표[종료],$M640),"yyyy-mm-dd hh:mm"),INDEX(상세표[종료],$M640)&amp;""))</f>
        <v/>
      </c>
      <c r="F640">
        <f>IF($M640="","",INDEX(상세표[기록 시간외],$M640))</f>
        <v/>
      </c>
      <c r="G640">
        <f>IF($M640="","",INDEX(상세표[시작월 기관],$M640)&amp;"")</f>
        <v/>
      </c>
      <c r="H640">
        <f>IF($M640="","",INDEX(상세표[종료월 기관],$M640)&amp;"")</f>
        <v/>
      </c>
      <c r="I640">
        <f>IF($M640="","",INDEX(상세표[월경계 판정],$M640)&amp;"")</f>
        <v/>
      </c>
      <c r="J640">
        <f>IF($M640="","",INDEX(상세표[반영월],$M640)&amp;"")</f>
        <v/>
      </c>
      <c r="K640">
        <f>IF($M640="","",INDEX(상세표[반영 기관],$M640)&amp;"")</f>
        <v/>
      </c>
      <c r="L640">
        <f>IF($M640="","",INDEX(상세표[기관 출처],$M640)&amp;"")</f>
        <v/>
      </c>
      <c r="M640" s="4">
        <f>IFERROR(MATCH(635,상세표[경계순번],0),"")</f>
        <v/>
      </c>
    </row>
    <row r="641">
      <c r="A641">
        <f>IF($M641="","",INDEX(상세표[사번],$M641)&amp;"")</f>
        <v/>
      </c>
      <c r="B641">
        <f>IF($M641="","",INDEX(상세표[성명],$M641)&amp;"")</f>
        <v/>
      </c>
      <c r="C641">
        <f>IF($M641="","",IF(INDEX(상세표[종료월],$M641)=대상월키,"전월→이번 달","이번 달→익월"))</f>
        <v/>
      </c>
      <c r="D641">
        <f>IF($M641="","",IF(ISNUMBER(INDEX(상세표[시작],$M641)),TEXT(INDEX(상세표[시작],$M641),"yyyy-mm-dd hh:mm"),INDEX(상세표[시작],$M641)&amp;""))</f>
        <v/>
      </c>
      <c r="E641">
        <f>IF($M641="","",IF(ISNUMBER(INDEX(상세표[종료],$M641)),TEXT(INDEX(상세표[종료],$M641),"yyyy-mm-dd hh:mm"),INDEX(상세표[종료],$M641)&amp;""))</f>
        <v/>
      </c>
      <c r="F641">
        <f>IF($M641="","",INDEX(상세표[기록 시간외],$M641))</f>
        <v/>
      </c>
      <c r="G641">
        <f>IF($M641="","",INDEX(상세표[시작월 기관],$M641)&amp;"")</f>
        <v/>
      </c>
      <c r="H641">
        <f>IF($M641="","",INDEX(상세표[종료월 기관],$M641)&amp;"")</f>
        <v/>
      </c>
      <c r="I641">
        <f>IF($M641="","",INDEX(상세표[월경계 판정],$M641)&amp;"")</f>
        <v/>
      </c>
      <c r="J641">
        <f>IF($M641="","",INDEX(상세표[반영월],$M641)&amp;"")</f>
        <v/>
      </c>
      <c r="K641">
        <f>IF($M641="","",INDEX(상세표[반영 기관],$M641)&amp;"")</f>
        <v/>
      </c>
      <c r="L641">
        <f>IF($M641="","",INDEX(상세표[기관 출처],$M641)&amp;"")</f>
        <v/>
      </c>
      <c r="M641" s="4">
        <f>IFERROR(MATCH(636,상세표[경계순번],0),"")</f>
        <v/>
      </c>
    </row>
    <row r="642">
      <c r="A642">
        <f>IF($M642="","",INDEX(상세표[사번],$M642)&amp;"")</f>
        <v/>
      </c>
      <c r="B642">
        <f>IF($M642="","",INDEX(상세표[성명],$M642)&amp;"")</f>
        <v/>
      </c>
      <c r="C642">
        <f>IF($M642="","",IF(INDEX(상세표[종료월],$M642)=대상월키,"전월→이번 달","이번 달→익월"))</f>
        <v/>
      </c>
      <c r="D642">
        <f>IF($M642="","",IF(ISNUMBER(INDEX(상세표[시작],$M642)),TEXT(INDEX(상세표[시작],$M642),"yyyy-mm-dd hh:mm"),INDEX(상세표[시작],$M642)&amp;""))</f>
        <v/>
      </c>
      <c r="E642">
        <f>IF($M642="","",IF(ISNUMBER(INDEX(상세표[종료],$M642)),TEXT(INDEX(상세표[종료],$M642),"yyyy-mm-dd hh:mm"),INDEX(상세표[종료],$M642)&amp;""))</f>
        <v/>
      </c>
      <c r="F642">
        <f>IF($M642="","",INDEX(상세표[기록 시간외],$M642))</f>
        <v/>
      </c>
      <c r="G642">
        <f>IF($M642="","",INDEX(상세표[시작월 기관],$M642)&amp;"")</f>
        <v/>
      </c>
      <c r="H642">
        <f>IF($M642="","",INDEX(상세표[종료월 기관],$M642)&amp;"")</f>
        <v/>
      </c>
      <c r="I642">
        <f>IF($M642="","",INDEX(상세표[월경계 판정],$M642)&amp;"")</f>
        <v/>
      </c>
      <c r="J642">
        <f>IF($M642="","",INDEX(상세표[반영월],$M642)&amp;"")</f>
        <v/>
      </c>
      <c r="K642">
        <f>IF($M642="","",INDEX(상세표[반영 기관],$M642)&amp;"")</f>
        <v/>
      </c>
      <c r="L642">
        <f>IF($M642="","",INDEX(상세표[기관 출처],$M642)&amp;"")</f>
        <v/>
      </c>
      <c r="M642" s="4">
        <f>IFERROR(MATCH(637,상세표[경계순번],0),"")</f>
        <v/>
      </c>
    </row>
    <row r="643">
      <c r="A643">
        <f>IF($M643="","",INDEX(상세표[사번],$M643)&amp;"")</f>
        <v/>
      </c>
      <c r="B643">
        <f>IF($M643="","",INDEX(상세표[성명],$M643)&amp;"")</f>
        <v/>
      </c>
      <c r="C643">
        <f>IF($M643="","",IF(INDEX(상세표[종료월],$M643)=대상월키,"전월→이번 달","이번 달→익월"))</f>
        <v/>
      </c>
      <c r="D643">
        <f>IF($M643="","",IF(ISNUMBER(INDEX(상세표[시작],$M643)),TEXT(INDEX(상세표[시작],$M643),"yyyy-mm-dd hh:mm"),INDEX(상세표[시작],$M643)&amp;""))</f>
        <v/>
      </c>
      <c r="E643">
        <f>IF($M643="","",IF(ISNUMBER(INDEX(상세표[종료],$M643)),TEXT(INDEX(상세표[종료],$M643),"yyyy-mm-dd hh:mm"),INDEX(상세표[종료],$M643)&amp;""))</f>
        <v/>
      </c>
      <c r="F643">
        <f>IF($M643="","",INDEX(상세표[기록 시간외],$M643))</f>
        <v/>
      </c>
      <c r="G643">
        <f>IF($M643="","",INDEX(상세표[시작월 기관],$M643)&amp;"")</f>
        <v/>
      </c>
      <c r="H643">
        <f>IF($M643="","",INDEX(상세표[종료월 기관],$M643)&amp;"")</f>
        <v/>
      </c>
      <c r="I643">
        <f>IF($M643="","",INDEX(상세표[월경계 판정],$M643)&amp;"")</f>
        <v/>
      </c>
      <c r="J643">
        <f>IF($M643="","",INDEX(상세표[반영월],$M643)&amp;"")</f>
        <v/>
      </c>
      <c r="K643">
        <f>IF($M643="","",INDEX(상세표[반영 기관],$M643)&amp;"")</f>
        <v/>
      </c>
      <c r="L643">
        <f>IF($M643="","",INDEX(상세표[기관 출처],$M643)&amp;"")</f>
        <v/>
      </c>
      <c r="M643" s="4">
        <f>IFERROR(MATCH(638,상세표[경계순번],0),"")</f>
        <v/>
      </c>
    </row>
    <row r="644">
      <c r="A644">
        <f>IF($M644="","",INDEX(상세표[사번],$M644)&amp;"")</f>
        <v/>
      </c>
      <c r="B644">
        <f>IF($M644="","",INDEX(상세표[성명],$M644)&amp;"")</f>
        <v/>
      </c>
      <c r="C644">
        <f>IF($M644="","",IF(INDEX(상세표[종료월],$M644)=대상월키,"전월→이번 달","이번 달→익월"))</f>
        <v/>
      </c>
      <c r="D644">
        <f>IF($M644="","",IF(ISNUMBER(INDEX(상세표[시작],$M644)),TEXT(INDEX(상세표[시작],$M644),"yyyy-mm-dd hh:mm"),INDEX(상세표[시작],$M644)&amp;""))</f>
        <v/>
      </c>
      <c r="E644">
        <f>IF($M644="","",IF(ISNUMBER(INDEX(상세표[종료],$M644)),TEXT(INDEX(상세표[종료],$M644),"yyyy-mm-dd hh:mm"),INDEX(상세표[종료],$M644)&amp;""))</f>
        <v/>
      </c>
      <c r="F644">
        <f>IF($M644="","",INDEX(상세표[기록 시간외],$M644))</f>
        <v/>
      </c>
      <c r="G644">
        <f>IF($M644="","",INDEX(상세표[시작월 기관],$M644)&amp;"")</f>
        <v/>
      </c>
      <c r="H644">
        <f>IF($M644="","",INDEX(상세표[종료월 기관],$M644)&amp;"")</f>
        <v/>
      </c>
      <c r="I644">
        <f>IF($M644="","",INDEX(상세표[월경계 판정],$M644)&amp;"")</f>
        <v/>
      </c>
      <c r="J644">
        <f>IF($M644="","",INDEX(상세표[반영월],$M644)&amp;"")</f>
        <v/>
      </c>
      <c r="K644">
        <f>IF($M644="","",INDEX(상세표[반영 기관],$M644)&amp;"")</f>
        <v/>
      </c>
      <c r="L644">
        <f>IF($M644="","",INDEX(상세표[기관 출처],$M644)&amp;"")</f>
        <v/>
      </c>
      <c r="M644" s="4">
        <f>IFERROR(MATCH(639,상세표[경계순번],0),"")</f>
        <v/>
      </c>
    </row>
    <row r="645">
      <c r="A645">
        <f>IF($M645="","",INDEX(상세표[사번],$M645)&amp;"")</f>
        <v/>
      </c>
      <c r="B645">
        <f>IF($M645="","",INDEX(상세표[성명],$M645)&amp;"")</f>
        <v/>
      </c>
      <c r="C645">
        <f>IF($M645="","",IF(INDEX(상세표[종료월],$M645)=대상월키,"전월→이번 달","이번 달→익월"))</f>
        <v/>
      </c>
      <c r="D645">
        <f>IF($M645="","",IF(ISNUMBER(INDEX(상세표[시작],$M645)),TEXT(INDEX(상세표[시작],$M645),"yyyy-mm-dd hh:mm"),INDEX(상세표[시작],$M645)&amp;""))</f>
        <v/>
      </c>
      <c r="E645">
        <f>IF($M645="","",IF(ISNUMBER(INDEX(상세표[종료],$M645)),TEXT(INDEX(상세표[종료],$M645),"yyyy-mm-dd hh:mm"),INDEX(상세표[종료],$M645)&amp;""))</f>
        <v/>
      </c>
      <c r="F645">
        <f>IF($M645="","",INDEX(상세표[기록 시간외],$M645))</f>
        <v/>
      </c>
      <c r="G645">
        <f>IF($M645="","",INDEX(상세표[시작월 기관],$M645)&amp;"")</f>
        <v/>
      </c>
      <c r="H645">
        <f>IF($M645="","",INDEX(상세표[종료월 기관],$M645)&amp;"")</f>
        <v/>
      </c>
      <c r="I645">
        <f>IF($M645="","",INDEX(상세표[월경계 판정],$M645)&amp;"")</f>
        <v/>
      </c>
      <c r="J645">
        <f>IF($M645="","",INDEX(상세표[반영월],$M645)&amp;"")</f>
        <v/>
      </c>
      <c r="K645">
        <f>IF($M645="","",INDEX(상세표[반영 기관],$M645)&amp;"")</f>
        <v/>
      </c>
      <c r="L645">
        <f>IF($M645="","",INDEX(상세표[기관 출처],$M645)&amp;"")</f>
        <v/>
      </c>
      <c r="M645" s="4">
        <f>IFERROR(MATCH(640,상세표[경계순번],0),"")</f>
        <v/>
      </c>
    </row>
    <row r="646">
      <c r="A646">
        <f>IF($M646="","",INDEX(상세표[사번],$M646)&amp;"")</f>
        <v/>
      </c>
      <c r="B646">
        <f>IF($M646="","",INDEX(상세표[성명],$M646)&amp;"")</f>
        <v/>
      </c>
      <c r="C646">
        <f>IF($M646="","",IF(INDEX(상세표[종료월],$M646)=대상월키,"전월→이번 달","이번 달→익월"))</f>
        <v/>
      </c>
      <c r="D646">
        <f>IF($M646="","",IF(ISNUMBER(INDEX(상세표[시작],$M646)),TEXT(INDEX(상세표[시작],$M646),"yyyy-mm-dd hh:mm"),INDEX(상세표[시작],$M646)&amp;""))</f>
        <v/>
      </c>
      <c r="E646">
        <f>IF($M646="","",IF(ISNUMBER(INDEX(상세표[종료],$M646)),TEXT(INDEX(상세표[종료],$M646),"yyyy-mm-dd hh:mm"),INDEX(상세표[종료],$M646)&amp;""))</f>
        <v/>
      </c>
      <c r="F646">
        <f>IF($M646="","",INDEX(상세표[기록 시간외],$M646))</f>
        <v/>
      </c>
      <c r="G646">
        <f>IF($M646="","",INDEX(상세표[시작월 기관],$M646)&amp;"")</f>
        <v/>
      </c>
      <c r="H646">
        <f>IF($M646="","",INDEX(상세표[종료월 기관],$M646)&amp;"")</f>
        <v/>
      </c>
      <c r="I646">
        <f>IF($M646="","",INDEX(상세표[월경계 판정],$M646)&amp;"")</f>
        <v/>
      </c>
      <c r="J646">
        <f>IF($M646="","",INDEX(상세표[반영월],$M646)&amp;"")</f>
        <v/>
      </c>
      <c r="K646">
        <f>IF($M646="","",INDEX(상세표[반영 기관],$M646)&amp;"")</f>
        <v/>
      </c>
      <c r="L646">
        <f>IF($M646="","",INDEX(상세표[기관 출처],$M646)&amp;"")</f>
        <v/>
      </c>
      <c r="M646" s="4">
        <f>IFERROR(MATCH(641,상세표[경계순번],0),"")</f>
        <v/>
      </c>
    </row>
    <row r="647">
      <c r="A647">
        <f>IF($M647="","",INDEX(상세표[사번],$M647)&amp;"")</f>
        <v/>
      </c>
      <c r="B647">
        <f>IF($M647="","",INDEX(상세표[성명],$M647)&amp;"")</f>
        <v/>
      </c>
      <c r="C647">
        <f>IF($M647="","",IF(INDEX(상세표[종료월],$M647)=대상월키,"전월→이번 달","이번 달→익월"))</f>
        <v/>
      </c>
      <c r="D647">
        <f>IF($M647="","",IF(ISNUMBER(INDEX(상세표[시작],$M647)),TEXT(INDEX(상세표[시작],$M647),"yyyy-mm-dd hh:mm"),INDEX(상세표[시작],$M647)&amp;""))</f>
        <v/>
      </c>
      <c r="E647">
        <f>IF($M647="","",IF(ISNUMBER(INDEX(상세표[종료],$M647)),TEXT(INDEX(상세표[종료],$M647),"yyyy-mm-dd hh:mm"),INDEX(상세표[종료],$M647)&amp;""))</f>
        <v/>
      </c>
      <c r="F647">
        <f>IF($M647="","",INDEX(상세표[기록 시간외],$M647))</f>
        <v/>
      </c>
      <c r="G647">
        <f>IF($M647="","",INDEX(상세표[시작월 기관],$M647)&amp;"")</f>
        <v/>
      </c>
      <c r="H647">
        <f>IF($M647="","",INDEX(상세표[종료월 기관],$M647)&amp;"")</f>
        <v/>
      </c>
      <c r="I647">
        <f>IF($M647="","",INDEX(상세표[월경계 판정],$M647)&amp;"")</f>
        <v/>
      </c>
      <c r="J647">
        <f>IF($M647="","",INDEX(상세표[반영월],$M647)&amp;"")</f>
        <v/>
      </c>
      <c r="K647">
        <f>IF($M647="","",INDEX(상세표[반영 기관],$M647)&amp;"")</f>
        <v/>
      </c>
      <c r="L647">
        <f>IF($M647="","",INDEX(상세표[기관 출처],$M647)&amp;"")</f>
        <v/>
      </c>
      <c r="M647" s="4">
        <f>IFERROR(MATCH(642,상세표[경계순번],0),"")</f>
        <v/>
      </c>
    </row>
    <row r="648">
      <c r="A648">
        <f>IF($M648="","",INDEX(상세표[사번],$M648)&amp;"")</f>
        <v/>
      </c>
      <c r="B648">
        <f>IF($M648="","",INDEX(상세표[성명],$M648)&amp;"")</f>
        <v/>
      </c>
      <c r="C648">
        <f>IF($M648="","",IF(INDEX(상세표[종료월],$M648)=대상월키,"전월→이번 달","이번 달→익월"))</f>
        <v/>
      </c>
      <c r="D648">
        <f>IF($M648="","",IF(ISNUMBER(INDEX(상세표[시작],$M648)),TEXT(INDEX(상세표[시작],$M648),"yyyy-mm-dd hh:mm"),INDEX(상세표[시작],$M648)&amp;""))</f>
        <v/>
      </c>
      <c r="E648">
        <f>IF($M648="","",IF(ISNUMBER(INDEX(상세표[종료],$M648)),TEXT(INDEX(상세표[종료],$M648),"yyyy-mm-dd hh:mm"),INDEX(상세표[종료],$M648)&amp;""))</f>
        <v/>
      </c>
      <c r="F648">
        <f>IF($M648="","",INDEX(상세표[기록 시간외],$M648))</f>
        <v/>
      </c>
      <c r="G648">
        <f>IF($M648="","",INDEX(상세표[시작월 기관],$M648)&amp;"")</f>
        <v/>
      </c>
      <c r="H648">
        <f>IF($M648="","",INDEX(상세표[종료월 기관],$M648)&amp;"")</f>
        <v/>
      </c>
      <c r="I648">
        <f>IF($M648="","",INDEX(상세표[월경계 판정],$M648)&amp;"")</f>
        <v/>
      </c>
      <c r="J648">
        <f>IF($M648="","",INDEX(상세표[반영월],$M648)&amp;"")</f>
        <v/>
      </c>
      <c r="K648">
        <f>IF($M648="","",INDEX(상세표[반영 기관],$M648)&amp;"")</f>
        <v/>
      </c>
      <c r="L648">
        <f>IF($M648="","",INDEX(상세표[기관 출처],$M648)&amp;"")</f>
        <v/>
      </c>
      <c r="M648" s="4">
        <f>IFERROR(MATCH(643,상세표[경계순번],0),"")</f>
        <v/>
      </c>
    </row>
    <row r="649">
      <c r="A649">
        <f>IF($M649="","",INDEX(상세표[사번],$M649)&amp;"")</f>
        <v/>
      </c>
      <c r="B649">
        <f>IF($M649="","",INDEX(상세표[성명],$M649)&amp;"")</f>
        <v/>
      </c>
      <c r="C649">
        <f>IF($M649="","",IF(INDEX(상세표[종료월],$M649)=대상월키,"전월→이번 달","이번 달→익월"))</f>
        <v/>
      </c>
      <c r="D649">
        <f>IF($M649="","",IF(ISNUMBER(INDEX(상세표[시작],$M649)),TEXT(INDEX(상세표[시작],$M649),"yyyy-mm-dd hh:mm"),INDEX(상세표[시작],$M649)&amp;""))</f>
        <v/>
      </c>
      <c r="E649">
        <f>IF($M649="","",IF(ISNUMBER(INDEX(상세표[종료],$M649)),TEXT(INDEX(상세표[종료],$M649),"yyyy-mm-dd hh:mm"),INDEX(상세표[종료],$M649)&amp;""))</f>
        <v/>
      </c>
      <c r="F649">
        <f>IF($M649="","",INDEX(상세표[기록 시간외],$M649))</f>
        <v/>
      </c>
      <c r="G649">
        <f>IF($M649="","",INDEX(상세표[시작월 기관],$M649)&amp;"")</f>
        <v/>
      </c>
      <c r="H649">
        <f>IF($M649="","",INDEX(상세표[종료월 기관],$M649)&amp;"")</f>
        <v/>
      </c>
      <c r="I649">
        <f>IF($M649="","",INDEX(상세표[월경계 판정],$M649)&amp;"")</f>
        <v/>
      </c>
      <c r="J649">
        <f>IF($M649="","",INDEX(상세표[반영월],$M649)&amp;"")</f>
        <v/>
      </c>
      <c r="K649">
        <f>IF($M649="","",INDEX(상세표[반영 기관],$M649)&amp;"")</f>
        <v/>
      </c>
      <c r="L649">
        <f>IF($M649="","",INDEX(상세표[기관 출처],$M649)&amp;"")</f>
        <v/>
      </c>
      <c r="M649" s="4">
        <f>IFERROR(MATCH(644,상세표[경계순번],0),"")</f>
        <v/>
      </c>
    </row>
    <row r="650">
      <c r="A650">
        <f>IF($M650="","",INDEX(상세표[사번],$M650)&amp;"")</f>
        <v/>
      </c>
      <c r="B650">
        <f>IF($M650="","",INDEX(상세표[성명],$M650)&amp;"")</f>
        <v/>
      </c>
      <c r="C650">
        <f>IF($M650="","",IF(INDEX(상세표[종료월],$M650)=대상월키,"전월→이번 달","이번 달→익월"))</f>
        <v/>
      </c>
      <c r="D650">
        <f>IF($M650="","",IF(ISNUMBER(INDEX(상세표[시작],$M650)),TEXT(INDEX(상세표[시작],$M650),"yyyy-mm-dd hh:mm"),INDEX(상세표[시작],$M650)&amp;""))</f>
        <v/>
      </c>
      <c r="E650">
        <f>IF($M650="","",IF(ISNUMBER(INDEX(상세표[종료],$M650)),TEXT(INDEX(상세표[종료],$M650),"yyyy-mm-dd hh:mm"),INDEX(상세표[종료],$M650)&amp;""))</f>
        <v/>
      </c>
      <c r="F650">
        <f>IF($M650="","",INDEX(상세표[기록 시간외],$M650))</f>
        <v/>
      </c>
      <c r="G650">
        <f>IF($M650="","",INDEX(상세표[시작월 기관],$M650)&amp;"")</f>
        <v/>
      </c>
      <c r="H650">
        <f>IF($M650="","",INDEX(상세표[종료월 기관],$M650)&amp;"")</f>
        <v/>
      </c>
      <c r="I650">
        <f>IF($M650="","",INDEX(상세표[월경계 판정],$M650)&amp;"")</f>
        <v/>
      </c>
      <c r="J650">
        <f>IF($M650="","",INDEX(상세표[반영월],$M650)&amp;"")</f>
        <v/>
      </c>
      <c r="K650">
        <f>IF($M650="","",INDEX(상세표[반영 기관],$M650)&amp;"")</f>
        <v/>
      </c>
      <c r="L650">
        <f>IF($M650="","",INDEX(상세표[기관 출처],$M650)&amp;"")</f>
        <v/>
      </c>
      <c r="M650" s="4">
        <f>IFERROR(MATCH(645,상세표[경계순번],0),"")</f>
        <v/>
      </c>
    </row>
    <row r="651">
      <c r="A651">
        <f>IF($M651="","",INDEX(상세표[사번],$M651)&amp;"")</f>
        <v/>
      </c>
      <c r="B651">
        <f>IF($M651="","",INDEX(상세표[성명],$M651)&amp;"")</f>
        <v/>
      </c>
      <c r="C651">
        <f>IF($M651="","",IF(INDEX(상세표[종료월],$M651)=대상월키,"전월→이번 달","이번 달→익월"))</f>
        <v/>
      </c>
      <c r="D651">
        <f>IF($M651="","",IF(ISNUMBER(INDEX(상세표[시작],$M651)),TEXT(INDEX(상세표[시작],$M651),"yyyy-mm-dd hh:mm"),INDEX(상세표[시작],$M651)&amp;""))</f>
        <v/>
      </c>
      <c r="E651">
        <f>IF($M651="","",IF(ISNUMBER(INDEX(상세표[종료],$M651)),TEXT(INDEX(상세표[종료],$M651),"yyyy-mm-dd hh:mm"),INDEX(상세표[종료],$M651)&amp;""))</f>
        <v/>
      </c>
      <c r="F651">
        <f>IF($M651="","",INDEX(상세표[기록 시간외],$M651))</f>
        <v/>
      </c>
      <c r="G651">
        <f>IF($M651="","",INDEX(상세표[시작월 기관],$M651)&amp;"")</f>
        <v/>
      </c>
      <c r="H651">
        <f>IF($M651="","",INDEX(상세표[종료월 기관],$M651)&amp;"")</f>
        <v/>
      </c>
      <c r="I651">
        <f>IF($M651="","",INDEX(상세표[월경계 판정],$M651)&amp;"")</f>
        <v/>
      </c>
      <c r="J651">
        <f>IF($M651="","",INDEX(상세표[반영월],$M651)&amp;"")</f>
        <v/>
      </c>
      <c r="K651">
        <f>IF($M651="","",INDEX(상세표[반영 기관],$M651)&amp;"")</f>
        <v/>
      </c>
      <c r="L651">
        <f>IF($M651="","",INDEX(상세표[기관 출처],$M651)&amp;"")</f>
        <v/>
      </c>
      <c r="M651" s="4">
        <f>IFERROR(MATCH(646,상세표[경계순번],0),"")</f>
        <v/>
      </c>
    </row>
    <row r="652">
      <c r="A652">
        <f>IF($M652="","",INDEX(상세표[사번],$M652)&amp;"")</f>
        <v/>
      </c>
      <c r="B652">
        <f>IF($M652="","",INDEX(상세표[성명],$M652)&amp;"")</f>
        <v/>
      </c>
      <c r="C652">
        <f>IF($M652="","",IF(INDEX(상세표[종료월],$M652)=대상월키,"전월→이번 달","이번 달→익월"))</f>
        <v/>
      </c>
      <c r="D652">
        <f>IF($M652="","",IF(ISNUMBER(INDEX(상세표[시작],$M652)),TEXT(INDEX(상세표[시작],$M652),"yyyy-mm-dd hh:mm"),INDEX(상세표[시작],$M652)&amp;""))</f>
        <v/>
      </c>
      <c r="E652">
        <f>IF($M652="","",IF(ISNUMBER(INDEX(상세표[종료],$M652)),TEXT(INDEX(상세표[종료],$M652),"yyyy-mm-dd hh:mm"),INDEX(상세표[종료],$M652)&amp;""))</f>
        <v/>
      </c>
      <c r="F652">
        <f>IF($M652="","",INDEX(상세표[기록 시간외],$M652))</f>
        <v/>
      </c>
      <c r="G652">
        <f>IF($M652="","",INDEX(상세표[시작월 기관],$M652)&amp;"")</f>
        <v/>
      </c>
      <c r="H652">
        <f>IF($M652="","",INDEX(상세표[종료월 기관],$M652)&amp;"")</f>
        <v/>
      </c>
      <c r="I652">
        <f>IF($M652="","",INDEX(상세표[월경계 판정],$M652)&amp;"")</f>
        <v/>
      </c>
      <c r="J652">
        <f>IF($M652="","",INDEX(상세표[반영월],$M652)&amp;"")</f>
        <v/>
      </c>
      <c r="K652">
        <f>IF($M652="","",INDEX(상세표[반영 기관],$M652)&amp;"")</f>
        <v/>
      </c>
      <c r="L652">
        <f>IF($M652="","",INDEX(상세표[기관 출처],$M652)&amp;"")</f>
        <v/>
      </c>
      <c r="M652" s="4">
        <f>IFERROR(MATCH(647,상세표[경계순번],0),"")</f>
        <v/>
      </c>
    </row>
    <row r="653">
      <c r="A653">
        <f>IF($M653="","",INDEX(상세표[사번],$M653)&amp;"")</f>
        <v/>
      </c>
      <c r="B653">
        <f>IF($M653="","",INDEX(상세표[성명],$M653)&amp;"")</f>
        <v/>
      </c>
      <c r="C653">
        <f>IF($M653="","",IF(INDEX(상세표[종료월],$M653)=대상월키,"전월→이번 달","이번 달→익월"))</f>
        <v/>
      </c>
      <c r="D653">
        <f>IF($M653="","",IF(ISNUMBER(INDEX(상세표[시작],$M653)),TEXT(INDEX(상세표[시작],$M653),"yyyy-mm-dd hh:mm"),INDEX(상세표[시작],$M653)&amp;""))</f>
        <v/>
      </c>
      <c r="E653">
        <f>IF($M653="","",IF(ISNUMBER(INDEX(상세표[종료],$M653)),TEXT(INDEX(상세표[종료],$M653),"yyyy-mm-dd hh:mm"),INDEX(상세표[종료],$M653)&amp;""))</f>
        <v/>
      </c>
      <c r="F653">
        <f>IF($M653="","",INDEX(상세표[기록 시간외],$M653))</f>
        <v/>
      </c>
      <c r="G653">
        <f>IF($M653="","",INDEX(상세표[시작월 기관],$M653)&amp;"")</f>
        <v/>
      </c>
      <c r="H653">
        <f>IF($M653="","",INDEX(상세표[종료월 기관],$M653)&amp;"")</f>
        <v/>
      </c>
      <c r="I653">
        <f>IF($M653="","",INDEX(상세표[월경계 판정],$M653)&amp;"")</f>
        <v/>
      </c>
      <c r="J653">
        <f>IF($M653="","",INDEX(상세표[반영월],$M653)&amp;"")</f>
        <v/>
      </c>
      <c r="K653">
        <f>IF($M653="","",INDEX(상세표[반영 기관],$M653)&amp;"")</f>
        <v/>
      </c>
      <c r="L653">
        <f>IF($M653="","",INDEX(상세표[기관 출처],$M653)&amp;"")</f>
        <v/>
      </c>
      <c r="M653" s="4">
        <f>IFERROR(MATCH(648,상세표[경계순번],0),"")</f>
        <v/>
      </c>
    </row>
    <row r="654">
      <c r="A654">
        <f>IF($M654="","",INDEX(상세표[사번],$M654)&amp;"")</f>
        <v/>
      </c>
      <c r="B654">
        <f>IF($M654="","",INDEX(상세표[성명],$M654)&amp;"")</f>
        <v/>
      </c>
      <c r="C654">
        <f>IF($M654="","",IF(INDEX(상세표[종료월],$M654)=대상월키,"전월→이번 달","이번 달→익월"))</f>
        <v/>
      </c>
      <c r="D654">
        <f>IF($M654="","",IF(ISNUMBER(INDEX(상세표[시작],$M654)),TEXT(INDEX(상세표[시작],$M654),"yyyy-mm-dd hh:mm"),INDEX(상세표[시작],$M654)&amp;""))</f>
        <v/>
      </c>
      <c r="E654">
        <f>IF($M654="","",IF(ISNUMBER(INDEX(상세표[종료],$M654)),TEXT(INDEX(상세표[종료],$M654),"yyyy-mm-dd hh:mm"),INDEX(상세표[종료],$M654)&amp;""))</f>
        <v/>
      </c>
      <c r="F654">
        <f>IF($M654="","",INDEX(상세표[기록 시간외],$M654))</f>
        <v/>
      </c>
      <c r="G654">
        <f>IF($M654="","",INDEX(상세표[시작월 기관],$M654)&amp;"")</f>
        <v/>
      </c>
      <c r="H654">
        <f>IF($M654="","",INDEX(상세표[종료월 기관],$M654)&amp;"")</f>
        <v/>
      </c>
      <c r="I654">
        <f>IF($M654="","",INDEX(상세표[월경계 판정],$M654)&amp;"")</f>
        <v/>
      </c>
      <c r="J654">
        <f>IF($M654="","",INDEX(상세표[반영월],$M654)&amp;"")</f>
        <v/>
      </c>
      <c r="K654">
        <f>IF($M654="","",INDEX(상세표[반영 기관],$M654)&amp;"")</f>
        <v/>
      </c>
      <c r="L654">
        <f>IF($M654="","",INDEX(상세표[기관 출처],$M654)&amp;"")</f>
        <v/>
      </c>
      <c r="M654" s="4">
        <f>IFERROR(MATCH(649,상세표[경계순번],0),"")</f>
        <v/>
      </c>
    </row>
    <row r="655">
      <c r="A655">
        <f>IF($M655="","",INDEX(상세표[사번],$M655)&amp;"")</f>
        <v/>
      </c>
      <c r="B655">
        <f>IF($M655="","",INDEX(상세표[성명],$M655)&amp;"")</f>
        <v/>
      </c>
      <c r="C655">
        <f>IF($M655="","",IF(INDEX(상세표[종료월],$M655)=대상월키,"전월→이번 달","이번 달→익월"))</f>
        <v/>
      </c>
      <c r="D655">
        <f>IF($M655="","",IF(ISNUMBER(INDEX(상세표[시작],$M655)),TEXT(INDEX(상세표[시작],$M655),"yyyy-mm-dd hh:mm"),INDEX(상세표[시작],$M655)&amp;""))</f>
        <v/>
      </c>
      <c r="E655">
        <f>IF($M655="","",IF(ISNUMBER(INDEX(상세표[종료],$M655)),TEXT(INDEX(상세표[종료],$M655),"yyyy-mm-dd hh:mm"),INDEX(상세표[종료],$M655)&amp;""))</f>
        <v/>
      </c>
      <c r="F655">
        <f>IF($M655="","",INDEX(상세표[기록 시간외],$M655))</f>
        <v/>
      </c>
      <c r="G655">
        <f>IF($M655="","",INDEX(상세표[시작월 기관],$M655)&amp;"")</f>
        <v/>
      </c>
      <c r="H655">
        <f>IF($M655="","",INDEX(상세표[종료월 기관],$M655)&amp;"")</f>
        <v/>
      </c>
      <c r="I655">
        <f>IF($M655="","",INDEX(상세표[월경계 판정],$M655)&amp;"")</f>
        <v/>
      </c>
      <c r="J655">
        <f>IF($M655="","",INDEX(상세표[반영월],$M655)&amp;"")</f>
        <v/>
      </c>
      <c r="K655">
        <f>IF($M655="","",INDEX(상세표[반영 기관],$M655)&amp;"")</f>
        <v/>
      </c>
      <c r="L655">
        <f>IF($M655="","",INDEX(상세표[기관 출처],$M655)&amp;"")</f>
        <v/>
      </c>
      <c r="M655" s="4">
        <f>IFERROR(MATCH(650,상세표[경계순번],0),"")</f>
        <v/>
      </c>
    </row>
    <row r="656">
      <c r="A656">
        <f>IF($M656="","",INDEX(상세표[사번],$M656)&amp;"")</f>
        <v/>
      </c>
      <c r="B656">
        <f>IF($M656="","",INDEX(상세표[성명],$M656)&amp;"")</f>
        <v/>
      </c>
      <c r="C656">
        <f>IF($M656="","",IF(INDEX(상세표[종료월],$M656)=대상월키,"전월→이번 달","이번 달→익월"))</f>
        <v/>
      </c>
      <c r="D656">
        <f>IF($M656="","",IF(ISNUMBER(INDEX(상세표[시작],$M656)),TEXT(INDEX(상세표[시작],$M656),"yyyy-mm-dd hh:mm"),INDEX(상세표[시작],$M656)&amp;""))</f>
        <v/>
      </c>
      <c r="E656">
        <f>IF($M656="","",IF(ISNUMBER(INDEX(상세표[종료],$M656)),TEXT(INDEX(상세표[종료],$M656),"yyyy-mm-dd hh:mm"),INDEX(상세표[종료],$M656)&amp;""))</f>
        <v/>
      </c>
      <c r="F656">
        <f>IF($M656="","",INDEX(상세표[기록 시간외],$M656))</f>
        <v/>
      </c>
      <c r="G656">
        <f>IF($M656="","",INDEX(상세표[시작월 기관],$M656)&amp;"")</f>
        <v/>
      </c>
      <c r="H656">
        <f>IF($M656="","",INDEX(상세표[종료월 기관],$M656)&amp;"")</f>
        <v/>
      </c>
      <c r="I656">
        <f>IF($M656="","",INDEX(상세표[월경계 판정],$M656)&amp;"")</f>
        <v/>
      </c>
      <c r="J656">
        <f>IF($M656="","",INDEX(상세표[반영월],$M656)&amp;"")</f>
        <v/>
      </c>
      <c r="K656">
        <f>IF($M656="","",INDEX(상세표[반영 기관],$M656)&amp;"")</f>
        <v/>
      </c>
      <c r="L656">
        <f>IF($M656="","",INDEX(상세표[기관 출처],$M656)&amp;"")</f>
        <v/>
      </c>
      <c r="M656" s="4">
        <f>IFERROR(MATCH(651,상세표[경계순번],0),"")</f>
        <v/>
      </c>
    </row>
    <row r="657">
      <c r="A657">
        <f>IF($M657="","",INDEX(상세표[사번],$M657)&amp;"")</f>
        <v/>
      </c>
      <c r="B657">
        <f>IF($M657="","",INDEX(상세표[성명],$M657)&amp;"")</f>
        <v/>
      </c>
      <c r="C657">
        <f>IF($M657="","",IF(INDEX(상세표[종료월],$M657)=대상월키,"전월→이번 달","이번 달→익월"))</f>
        <v/>
      </c>
      <c r="D657">
        <f>IF($M657="","",IF(ISNUMBER(INDEX(상세표[시작],$M657)),TEXT(INDEX(상세표[시작],$M657),"yyyy-mm-dd hh:mm"),INDEX(상세표[시작],$M657)&amp;""))</f>
        <v/>
      </c>
      <c r="E657">
        <f>IF($M657="","",IF(ISNUMBER(INDEX(상세표[종료],$M657)),TEXT(INDEX(상세표[종료],$M657),"yyyy-mm-dd hh:mm"),INDEX(상세표[종료],$M657)&amp;""))</f>
        <v/>
      </c>
      <c r="F657">
        <f>IF($M657="","",INDEX(상세표[기록 시간외],$M657))</f>
        <v/>
      </c>
      <c r="G657">
        <f>IF($M657="","",INDEX(상세표[시작월 기관],$M657)&amp;"")</f>
        <v/>
      </c>
      <c r="H657">
        <f>IF($M657="","",INDEX(상세표[종료월 기관],$M657)&amp;"")</f>
        <v/>
      </c>
      <c r="I657">
        <f>IF($M657="","",INDEX(상세표[월경계 판정],$M657)&amp;"")</f>
        <v/>
      </c>
      <c r="J657">
        <f>IF($M657="","",INDEX(상세표[반영월],$M657)&amp;"")</f>
        <v/>
      </c>
      <c r="K657">
        <f>IF($M657="","",INDEX(상세표[반영 기관],$M657)&amp;"")</f>
        <v/>
      </c>
      <c r="L657">
        <f>IF($M657="","",INDEX(상세표[기관 출처],$M657)&amp;"")</f>
        <v/>
      </c>
      <c r="M657" s="4">
        <f>IFERROR(MATCH(652,상세표[경계순번],0),"")</f>
        <v/>
      </c>
    </row>
    <row r="658">
      <c r="A658">
        <f>IF($M658="","",INDEX(상세표[사번],$M658)&amp;"")</f>
        <v/>
      </c>
      <c r="B658">
        <f>IF($M658="","",INDEX(상세표[성명],$M658)&amp;"")</f>
        <v/>
      </c>
      <c r="C658">
        <f>IF($M658="","",IF(INDEX(상세표[종료월],$M658)=대상월키,"전월→이번 달","이번 달→익월"))</f>
        <v/>
      </c>
      <c r="D658">
        <f>IF($M658="","",IF(ISNUMBER(INDEX(상세표[시작],$M658)),TEXT(INDEX(상세표[시작],$M658),"yyyy-mm-dd hh:mm"),INDEX(상세표[시작],$M658)&amp;""))</f>
        <v/>
      </c>
      <c r="E658">
        <f>IF($M658="","",IF(ISNUMBER(INDEX(상세표[종료],$M658)),TEXT(INDEX(상세표[종료],$M658),"yyyy-mm-dd hh:mm"),INDEX(상세표[종료],$M658)&amp;""))</f>
        <v/>
      </c>
      <c r="F658">
        <f>IF($M658="","",INDEX(상세표[기록 시간외],$M658))</f>
        <v/>
      </c>
      <c r="G658">
        <f>IF($M658="","",INDEX(상세표[시작월 기관],$M658)&amp;"")</f>
        <v/>
      </c>
      <c r="H658">
        <f>IF($M658="","",INDEX(상세표[종료월 기관],$M658)&amp;"")</f>
        <v/>
      </c>
      <c r="I658">
        <f>IF($M658="","",INDEX(상세표[월경계 판정],$M658)&amp;"")</f>
        <v/>
      </c>
      <c r="J658">
        <f>IF($M658="","",INDEX(상세표[반영월],$M658)&amp;"")</f>
        <v/>
      </c>
      <c r="K658">
        <f>IF($M658="","",INDEX(상세표[반영 기관],$M658)&amp;"")</f>
        <v/>
      </c>
      <c r="L658">
        <f>IF($M658="","",INDEX(상세표[기관 출처],$M658)&amp;"")</f>
        <v/>
      </c>
      <c r="M658" s="4">
        <f>IFERROR(MATCH(653,상세표[경계순번],0),"")</f>
        <v/>
      </c>
    </row>
    <row r="659">
      <c r="A659">
        <f>IF($M659="","",INDEX(상세표[사번],$M659)&amp;"")</f>
        <v/>
      </c>
      <c r="B659">
        <f>IF($M659="","",INDEX(상세표[성명],$M659)&amp;"")</f>
        <v/>
      </c>
      <c r="C659">
        <f>IF($M659="","",IF(INDEX(상세표[종료월],$M659)=대상월키,"전월→이번 달","이번 달→익월"))</f>
        <v/>
      </c>
      <c r="D659">
        <f>IF($M659="","",IF(ISNUMBER(INDEX(상세표[시작],$M659)),TEXT(INDEX(상세표[시작],$M659),"yyyy-mm-dd hh:mm"),INDEX(상세표[시작],$M659)&amp;""))</f>
        <v/>
      </c>
      <c r="E659">
        <f>IF($M659="","",IF(ISNUMBER(INDEX(상세표[종료],$M659)),TEXT(INDEX(상세표[종료],$M659),"yyyy-mm-dd hh:mm"),INDEX(상세표[종료],$M659)&amp;""))</f>
        <v/>
      </c>
      <c r="F659">
        <f>IF($M659="","",INDEX(상세표[기록 시간외],$M659))</f>
        <v/>
      </c>
      <c r="G659">
        <f>IF($M659="","",INDEX(상세표[시작월 기관],$M659)&amp;"")</f>
        <v/>
      </c>
      <c r="H659">
        <f>IF($M659="","",INDEX(상세표[종료월 기관],$M659)&amp;"")</f>
        <v/>
      </c>
      <c r="I659">
        <f>IF($M659="","",INDEX(상세표[월경계 판정],$M659)&amp;"")</f>
        <v/>
      </c>
      <c r="J659">
        <f>IF($M659="","",INDEX(상세표[반영월],$M659)&amp;"")</f>
        <v/>
      </c>
      <c r="K659">
        <f>IF($M659="","",INDEX(상세표[반영 기관],$M659)&amp;"")</f>
        <v/>
      </c>
      <c r="L659">
        <f>IF($M659="","",INDEX(상세표[기관 출처],$M659)&amp;"")</f>
        <v/>
      </c>
      <c r="M659" s="4">
        <f>IFERROR(MATCH(654,상세표[경계순번],0),"")</f>
        <v/>
      </c>
    </row>
    <row r="660">
      <c r="A660">
        <f>IF($M660="","",INDEX(상세표[사번],$M660)&amp;"")</f>
        <v/>
      </c>
      <c r="B660">
        <f>IF($M660="","",INDEX(상세표[성명],$M660)&amp;"")</f>
        <v/>
      </c>
      <c r="C660">
        <f>IF($M660="","",IF(INDEX(상세표[종료월],$M660)=대상월키,"전월→이번 달","이번 달→익월"))</f>
        <v/>
      </c>
      <c r="D660">
        <f>IF($M660="","",IF(ISNUMBER(INDEX(상세표[시작],$M660)),TEXT(INDEX(상세표[시작],$M660),"yyyy-mm-dd hh:mm"),INDEX(상세표[시작],$M660)&amp;""))</f>
        <v/>
      </c>
      <c r="E660">
        <f>IF($M660="","",IF(ISNUMBER(INDEX(상세표[종료],$M660)),TEXT(INDEX(상세표[종료],$M660),"yyyy-mm-dd hh:mm"),INDEX(상세표[종료],$M660)&amp;""))</f>
        <v/>
      </c>
      <c r="F660">
        <f>IF($M660="","",INDEX(상세표[기록 시간외],$M660))</f>
        <v/>
      </c>
      <c r="G660">
        <f>IF($M660="","",INDEX(상세표[시작월 기관],$M660)&amp;"")</f>
        <v/>
      </c>
      <c r="H660">
        <f>IF($M660="","",INDEX(상세표[종료월 기관],$M660)&amp;"")</f>
        <v/>
      </c>
      <c r="I660">
        <f>IF($M660="","",INDEX(상세표[월경계 판정],$M660)&amp;"")</f>
        <v/>
      </c>
      <c r="J660">
        <f>IF($M660="","",INDEX(상세표[반영월],$M660)&amp;"")</f>
        <v/>
      </c>
      <c r="K660">
        <f>IF($M660="","",INDEX(상세표[반영 기관],$M660)&amp;"")</f>
        <v/>
      </c>
      <c r="L660">
        <f>IF($M660="","",INDEX(상세표[기관 출처],$M660)&amp;"")</f>
        <v/>
      </c>
      <c r="M660" s="4">
        <f>IFERROR(MATCH(655,상세표[경계순번],0),"")</f>
        <v/>
      </c>
    </row>
    <row r="661">
      <c r="A661">
        <f>IF($M661="","",INDEX(상세표[사번],$M661)&amp;"")</f>
        <v/>
      </c>
      <c r="B661">
        <f>IF($M661="","",INDEX(상세표[성명],$M661)&amp;"")</f>
        <v/>
      </c>
      <c r="C661">
        <f>IF($M661="","",IF(INDEX(상세표[종료월],$M661)=대상월키,"전월→이번 달","이번 달→익월"))</f>
        <v/>
      </c>
      <c r="D661">
        <f>IF($M661="","",IF(ISNUMBER(INDEX(상세표[시작],$M661)),TEXT(INDEX(상세표[시작],$M661),"yyyy-mm-dd hh:mm"),INDEX(상세표[시작],$M661)&amp;""))</f>
        <v/>
      </c>
      <c r="E661">
        <f>IF($M661="","",IF(ISNUMBER(INDEX(상세표[종료],$M661)),TEXT(INDEX(상세표[종료],$M661),"yyyy-mm-dd hh:mm"),INDEX(상세표[종료],$M661)&amp;""))</f>
        <v/>
      </c>
      <c r="F661">
        <f>IF($M661="","",INDEX(상세표[기록 시간외],$M661))</f>
        <v/>
      </c>
      <c r="G661">
        <f>IF($M661="","",INDEX(상세표[시작월 기관],$M661)&amp;"")</f>
        <v/>
      </c>
      <c r="H661">
        <f>IF($M661="","",INDEX(상세표[종료월 기관],$M661)&amp;"")</f>
        <v/>
      </c>
      <c r="I661">
        <f>IF($M661="","",INDEX(상세표[월경계 판정],$M661)&amp;"")</f>
        <v/>
      </c>
      <c r="J661">
        <f>IF($M661="","",INDEX(상세표[반영월],$M661)&amp;"")</f>
        <v/>
      </c>
      <c r="K661">
        <f>IF($M661="","",INDEX(상세표[반영 기관],$M661)&amp;"")</f>
        <v/>
      </c>
      <c r="L661">
        <f>IF($M661="","",INDEX(상세표[기관 출처],$M661)&amp;"")</f>
        <v/>
      </c>
      <c r="M661" s="4">
        <f>IFERROR(MATCH(656,상세표[경계순번],0),"")</f>
        <v/>
      </c>
    </row>
    <row r="662">
      <c r="A662">
        <f>IF($M662="","",INDEX(상세표[사번],$M662)&amp;"")</f>
        <v/>
      </c>
      <c r="B662">
        <f>IF($M662="","",INDEX(상세표[성명],$M662)&amp;"")</f>
        <v/>
      </c>
      <c r="C662">
        <f>IF($M662="","",IF(INDEX(상세표[종료월],$M662)=대상월키,"전월→이번 달","이번 달→익월"))</f>
        <v/>
      </c>
      <c r="D662">
        <f>IF($M662="","",IF(ISNUMBER(INDEX(상세표[시작],$M662)),TEXT(INDEX(상세표[시작],$M662),"yyyy-mm-dd hh:mm"),INDEX(상세표[시작],$M662)&amp;""))</f>
        <v/>
      </c>
      <c r="E662">
        <f>IF($M662="","",IF(ISNUMBER(INDEX(상세표[종료],$M662)),TEXT(INDEX(상세표[종료],$M662),"yyyy-mm-dd hh:mm"),INDEX(상세표[종료],$M662)&amp;""))</f>
        <v/>
      </c>
      <c r="F662">
        <f>IF($M662="","",INDEX(상세표[기록 시간외],$M662))</f>
        <v/>
      </c>
      <c r="G662">
        <f>IF($M662="","",INDEX(상세표[시작월 기관],$M662)&amp;"")</f>
        <v/>
      </c>
      <c r="H662">
        <f>IF($M662="","",INDEX(상세표[종료월 기관],$M662)&amp;"")</f>
        <v/>
      </c>
      <c r="I662">
        <f>IF($M662="","",INDEX(상세표[월경계 판정],$M662)&amp;"")</f>
        <v/>
      </c>
      <c r="J662">
        <f>IF($M662="","",INDEX(상세표[반영월],$M662)&amp;"")</f>
        <v/>
      </c>
      <c r="K662">
        <f>IF($M662="","",INDEX(상세표[반영 기관],$M662)&amp;"")</f>
        <v/>
      </c>
      <c r="L662">
        <f>IF($M662="","",INDEX(상세표[기관 출처],$M662)&amp;"")</f>
        <v/>
      </c>
      <c r="M662" s="4">
        <f>IFERROR(MATCH(657,상세표[경계순번],0),"")</f>
        <v/>
      </c>
    </row>
    <row r="663">
      <c r="A663">
        <f>IF($M663="","",INDEX(상세표[사번],$M663)&amp;"")</f>
        <v/>
      </c>
      <c r="B663">
        <f>IF($M663="","",INDEX(상세표[성명],$M663)&amp;"")</f>
        <v/>
      </c>
      <c r="C663">
        <f>IF($M663="","",IF(INDEX(상세표[종료월],$M663)=대상월키,"전월→이번 달","이번 달→익월"))</f>
        <v/>
      </c>
      <c r="D663">
        <f>IF($M663="","",IF(ISNUMBER(INDEX(상세표[시작],$M663)),TEXT(INDEX(상세표[시작],$M663),"yyyy-mm-dd hh:mm"),INDEX(상세표[시작],$M663)&amp;""))</f>
        <v/>
      </c>
      <c r="E663">
        <f>IF($M663="","",IF(ISNUMBER(INDEX(상세표[종료],$M663)),TEXT(INDEX(상세표[종료],$M663),"yyyy-mm-dd hh:mm"),INDEX(상세표[종료],$M663)&amp;""))</f>
        <v/>
      </c>
      <c r="F663">
        <f>IF($M663="","",INDEX(상세표[기록 시간외],$M663))</f>
        <v/>
      </c>
      <c r="G663">
        <f>IF($M663="","",INDEX(상세표[시작월 기관],$M663)&amp;"")</f>
        <v/>
      </c>
      <c r="H663">
        <f>IF($M663="","",INDEX(상세표[종료월 기관],$M663)&amp;"")</f>
        <v/>
      </c>
      <c r="I663">
        <f>IF($M663="","",INDEX(상세표[월경계 판정],$M663)&amp;"")</f>
        <v/>
      </c>
      <c r="J663">
        <f>IF($M663="","",INDEX(상세표[반영월],$M663)&amp;"")</f>
        <v/>
      </c>
      <c r="K663">
        <f>IF($M663="","",INDEX(상세표[반영 기관],$M663)&amp;"")</f>
        <v/>
      </c>
      <c r="L663">
        <f>IF($M663="","",INDEX(상세표[기관 출처],$M663)&amp;"")</f>
        <v/>
      </c>
      <c r="M663" s="4">
        <f>IFERROR(MATCH(658,상세표[경계순번],0),"")</f>
        <v/>
      </c>
    </row>
    <row r="664">
      <c r="A664">
        <f>IF($M664="","",INDEX(상세표[사번],$M664)&amp;"")</f>
        <v/>
      </c>
      <c r="B664">
        <f>IF($M664="","",INDEX(상세표[성명],$M664)&amp;"")</f>
        <v/>
      </c>
      <c r="C664">
        <f>IF($M664="","",IF(INDEX(상세표[종료월],$M664)=대상월키,"전월→이번 달","이번 달→익월"))</f>
        <v/>
      </c>
      <c r="D664">
        <f>IF($M664="","",IF(ISNUMBER(INDEX(상세표[시작],$M664)),TEXT(INDEX(상세표[시작],$M664),"yyyy-mm-dd hh:mm"),INDEX(상세표[시작],$M664)&amp;""))</f>
        <v/>
      </c>
      <c r="E664">
        <f>IF($M664="","",IF(ISNUMBER(INDEX(상세표[종료],$M664)),TEXT(INDEX(상세표[종료],$M664),"yyyy-mm-dd hh:mm"),INDEX(상세표[종료],$M664)&amp;""))</f>
        <v/>
      </c>
      <c r="F664">
        <f>IF($M664="","",INDEX(상세표[기록 시간외],$M664))</f>
        <v/>
      </c>
      <c r="G664">
        <f>IF($M664="","",INDEX(상세표[시작월 기관],$M664)&amp;"")</f>
        <v/>
      </c>
      <c r="H664">
        <f>IF($M664="","",INDEX(상세표[종료월 기관],$M664)&amp;"")</f>
        <v/>
      </c>
      <c r="I664">
        <f>IF($M664="","",INDEX(상세표[월경계 판정],$M664)&amp;"")</f>
        <v/>
      </c>
      <c r="J664">
        <f>IF($M664="","",INDEX(상세표[반영월],$M664)&amp;"")</f>
        <v/>
      </c>
      <c r="K664">
        <f>IF($M664="","",INDEX(상세표[반영 기관],$M664)&amp;"")</f>
        <v/>
      </c>
      <c r="L664">
        <f>IF($M664="","",INDEX(상세표[기관 출처],$M664)&amp;"")</f>
        <v/>
      </c>
      <c r="M664" s="4">
        <f>IFERROR(MATCH(659,상세표[경계순번],0),"")</f>
        <v/>
      </c>
    </row>
    <row r="665">
      <c r="A665">
        <f>IF($M665="","",INDEX(상세표[사번],$M665)&amp;"")</f>
        <v/>
      </c>
      <c r="B665">
        <f>IF($M665="","",INDEX(상세표[성명],$M665)&amp;"")</f>
        <v/>
      </c>
      <c r="C665">
        <f>IF($M665="","",IF(INDEX(상세표[종료월],$M665)=대상월키,"전월→이번 달","이번 달→익월"))</f>
        <v/>
      </c>
      <c r="D665">
        <f>IF($M665="","",IF(ISNUMBER(INDEX(상세표[시작],$M665)),TEXT(INDEX(상세표[시작],$M665),"yyyy-mm-dd hh:mm"),INDEX(상세표[시작],$M665)&amp;""))</f>
        <v/>
      </c>
      <c r="E665">
        <f>IF($M665="","",IF(ISNUMBER(INDEX(상세표[종료],$M665)),TEXT(INDEX(상세표[종료],$M665),"yyyy-mm-dd hh:mm"),INDEX(상세표[종료],$M665)&amp;""))</f>
        <v/>
      </c>
      <c r="F665">
        <f>IF($M665="","",INDEX(상세표[기록 시간외],$M665))</f>
        <v/>
      </c>
      <c r="G665">
        <f>IF($M665="","",INDEX(상세표[시작월 기관],$M665)&amp;"")</f>
        <v/>
      </c>
      <c r="H665">
        <f>IF($M665="","",INDEX(상세표[종료월 기관],$M665)&amp;"")</f>
        <v/>
      </c>
      <c r="I665">
        <f>IF($M665="","",INDEX(상세표[월경계 판정],$M665)&amp;"")</f>
        <v/>
      </c>
      <c r="J665">
        <f>IF($M665="","",INDEX(상세표[반영월],$M665)&amp;"")</f>
        <v/>
      </c>
      <c r="K665">
        <f>IF($M665="","",INDEX(상세표[반영 기관],$M665)&amp;"")</f>
        <v/>
      </c>
      <c r="L665">
        <f>IF($M665="","",INDEX(상세표[기관 출처],$M665)&amp;"")</f>
        <v/>
      </c>
      <c r="M665" s="4">
        <f>IFERROR(MATCH(660,상세표[경계순번],0),"")</f>
        <v/>
      </c>
    </row>
    <row r="666">
      <c r="A666">
        <f>IF($M666="","",INDEX(상세표[사번],$M666)&amp;"")</f>
        <v/>
      </c>
      <c r="B666">
        <f>IF($M666="","",INDEX(상세표[성명],$M666)&amp;"")</f>
        <v/>
      </c>
      <c r="C666">
        <f>IF($M666="","",IF(INDEX(상세표[종료월],$M666)=대상월키,"전월→이번 달","이번 달→익월"))</f>
        <v/>
      </c>
      <c r="D666">
        <f>IF($M666="","",IF(ISNUMBER(INDEX(상세표[시작],$M666)),TEXT(INDEX(상세표[시작],$M666),"yyyy-mm-dd hh:mm"),INDEX(상세표[시작],$M666)&amp;""))</f>
        <v/>
      </c>
      <c r="E666">
        <f>IF($M666="","",IF(ISNUMBER(INDEX(상세표[종료],$M666)),TEXT(INDEX(상세표[종료],$M666),"yyyy-mm-dd hh:mm"),INDEX(상세표[종료],$M666)&amp;""))</f>
        <v/>
      </c>
      <c r="F666">
        <f>IF($M666="","",INDEX(상세표[기록 시간외],$M666))</f>
        <v/>
      </c>
      <c r="G666">
        <f>IF($M666="","",INDEX(상세표[시작월 기관],$M666)&amp;"")</f>
        <v/>
      </c>
      <c r="H666">
        <f>IF($M666="","",INDEX(상세표[종료월 기관],$M666)&amp;"")</f>
        <v/>
      </c>
      <c r="I666">
        <f>IF($M666="","",INDEX(상세표[월경계 판정],$M666)&amp;"")</f>
        <v/>
      </c>
      <c r="J666">
        <f>IF($M666="","",INDEX(상세표[반영월],$M666)&amp;"")</f>
        <v/>
      </c>
      <c r="K666">
        <f>IF($M666="","",INDEX(상세표[반영 기관],$M666)&amp;"")</f>
        <v/>
      </c>
      <c r="L666">
        <f>IF($M666="","",INDEX(상세표[기관 출처],$M666)&amp;"")</f>
        <v/>
      </c>
      <c r="M666" s="4">
        <f>IFERROR(MATCH(661,상세표[경계순번],0),"")</f>
        <v/>
      </c>
    </row>
    <row r="667">
      <c r="A667">
        <f>IF($M667="","",INDEX(상세표[사번],$M667)&amp;"")</f>
        <v/>
      </c>
      <c r="B667">
        <f>IF($M667="","",INDEX(상세표[성명],$M667)&amp;"")</f>
        <v/>
      </c>
      <c r="C667">
        <f>IF($M667="","",IF(INDEX(상세표[종료월],$M667)=대상월키,"전월→이번 달","이번 달→익월"))</f>
        <v/>
      </c>
      <c r="D667">
        <f>IF($M667="","",IF(ISNUMBER(INDEX(상세표[시작],$M667)),TEXT(INDEX(상세표[시작],$M667),"yyyy-mm-dd hh:mm"),INDEX(상세표[시작],$M667)&amp;""))</f>
        <v/>
      </c>
      <c r="E667">
        <f>IF($M667="","",IF(ISNUMBER(INDEX(상세표[종료],$M667)),TEXT(INDEX(상세표[종료],$M667),"yyyy-mm-dd hh:mm"),INDEX(상세표[종료],$M667)&amp;""))</f>
        <v/>
      </c>
      <c r="F667">
        <f>IF($M667="","",INDEX(상세표[기록 시간외],$M667))</f>
        <v/>
      </c>
      <c r="G667">
        <f>IF($M667="","",INDEX(상세표[시작월 기관],$M667)&amp;"")</f>
        <v/>
      </c>
      <c r="H667">
        <f>IF($M667="","",INDEX(상세표[종료월 기관],$M667)&amp;"")</f>
        <v/>
      </c>
      <c r="I667">
        <f>IF($M667="","",INDEX(상세표[월경계 판정],$M667)&amp;"")</f>
        <v/>
      </c>
      <c r="J667">
        <f>IF($M667="","",INDEX(상세표[반영월],$M667)&amp;"")</f>
        <v/>
      </c>
      <c r="K667">
        <f>IF($M667="","",INDEX(상세표[반영 기관],$M667)&amp;"")</f>
        <v/>
      </c>
      <c r="L667">
        <f>IF($M667="","",INDEX(상세표[기관 출처],$M667)&amp;"")</f>
        <v/>
      </c>
      <c r="M667" s="4">
        <f>IFERROR(MATCH(662,상세표[경계순번],0),"")</f>
        <v/>
      </c>
    </row>
    <row r="668">
      <c r="A668">
        <f>IF($M668="","",INDEX(상세표[사번],$M668)&amp;"")</f>
        <v/>
      </c>
      <c r="B668">
        <f>IF($M668="","",INDEX(상세표[성명],$M668)&amp;"")</f>
        <v/>
      </c>
      <c r="C668">
        <f>IF($M668="","",IF(INDEX(상세표[종료월],$M668)=대상월키,"전월→이번 달","이번 달→익월"))</f>
        <v/>
      </c>
      <c r="D668">
        <f>IF($M668="","",IF(ISNUMBER(INDEX(상세표[시작],$M668)),TEXT(INDEX(상세표[시작],$M668),"yyyy-mm-dd hh:mm"),INDEX(상세표[시작],$M668)&amp;""))</f>
        <v/>
      </c>
      <c r="E668">
        <f>IF($M668="","",IF(ISNUMBER(INDEX(상세표[종료],$M668)),TEXT(INDEX(상세표[종료],$M668),"yyyy-mm-dd hh:mm"),INDEX(상세표[종료],$M668)&amp;""))</f>
        <v/>
      </c>
      <c r="F668">
        <f>IF($M668="","",INDEX(상세표[기록 시간외],$M668))</f>
        <v/>
      </c>
      <c r="G668">
        <f>IF($M668="","",INDEX(상세표[시작월 기관],$M668)&amp;"")</f>
        <v/>
      </c>
      <c r="H668">
        <f>IF($M668="","",INDEX(상세표[종료월 기관],$M668)&amp;"")</f>
        <v/>
      </c>
      <c r="I668">
        <f>IF($M668="","",INDEX(상세표[월경계 판정],$M668)&amp;"")</f>
        <v/>
      </c>
      <c r="J668">
        <f>IF($M668="","",INDEX(상세표[반영월],$M668)&amp;"")</f>
        <v/>
      </c>
      <c r="K668">
        <f>IF($M668="","",INDEX(상세표[반영 기관],$M668)&amp;"")</f>
        <v/>
      </c>
      <c r="L668">
        <f>IF($M668="","",INDEX(상세표[기관 출처],$M668)&amp;"")</f>
        <v/>
      </c>
      <c r="M668" s="4">
        <f>IFERROR(MATCH(663,상세표[경계순번],0),"")</f>
        <v/>
      </c>
    </row>
    <row r="669">
      <c r="A669">
        <f>IF($M669="","",INDEX(상세표[사번],$M669)&amp;"")</f>
        <v/>
      </c>
      <c r="B669">
        <f>IF($M669="","",INDEX(상세표[성명],$M669)&amp;"")</f>
        <v/>
      </c>
      <c r="C669">
        <f>IF($M669="","",IF(INDEX(상세표[종료월],$M669)=대상월키,"전월→이번 달","이번 달→익월"))</f>
        <v/>
      </c>
      <c r="D669">
        <f>IF($M669="","",IF(ISNUMBER(INDEX(상세표[시작],$M669)),TEXT(INDEX(상세표[시작],$M669),"yyyy-mm-dd hh:mm"),INDEX(상세표[시작],$M669)&amp;""))</f>
        <v/>
      </c>
      <c r="E669">
        <f>IF($M669="","",IF(ISNUMBER(INDEX(상세표[종료],$M669)),TEXT(INDEX(상세표[종료],$M669),"yyyy-mm-dd hh:mm"),INDEX(상세표[종료],$M669)&amp;""))</f>
        <v/>
      </c>
      <c r="F669">
        <f>IF($M669="","",INDEX(상세표[기록 시간외],$M669))</f>
        <v/>
      </c>
      <c r="G669">
        <f>IF($M669="","",INDEX(상세표[시작월 기관],$M669)&amp;"")</f>
        <v/>
      </c>
      <c r="H669">
        <f>IF($M669="","",INDEX(상세표[종료월 기관],$M669)&amp;"")</f>
        <v/>
      </c>
      <c r="I669">
        <f>IF($M669="","",INDEX(상세표[월경계 판정],$M669)&amp;"")</f>
        <v/>
      </c>
      <c r="J669">
        <f>IF($M669="","",INDEX(상세표[반영월],$M669)&amp;"")</f>
        <v/>
      </c>
      <c r="K669">
        <f>IF($M669="","",INDEX(상세표[반영 기관],$M669)&amp;"")</f>
        <v/>
      </c>
      <c r="L669">
        <f>IF($M669="","",INDEX(상세표[기관 출처],$M669)&amp;"")</f>
        <v/>
      </c>
      <c r="M669" s="4">
        <f>IFERROR(MATCH(664,상세표[경계순번],0),"")</f>
        <v/>
      </c>
    </row>
    <row r="670">
      <c r="A670">
        <f>IF($M670="","",INDEX(상세표[사번],$M670)&amp;"")</f>
        <v/>
      </c>
      <c r="B670">
        <f>IF($M670="","",INDEX(상세표[성명],$M670)&amp;"")</f>
        <v/>
      </c>
      <c r="C670">
        <f>IF($M670="","",IF(INDEX(상세표[종료월],$M670)=대상월키,"전월→이번 달","이번 달→익월"))</f>
        <v/>
      </c>
      <c r="D670">
        <f>IF($M670="","",IF(ISNUMBER(INDEX(상세표[시작],$M670)),TEXT(INDEX(상세표[시작],$M670),"yyyy-mm-dd hh:mm"),INDEX(상세표[시작],$M670)&amp;""))</f>
        <v/>
      </c>
      <c r="E670">
        <f>IF($M670="","",IF(ISNUMBER(INDEX(상세표[종료],$M670)),TEXT(INDEX(상세표[종료],$M670),"yyyy-mm-dd hh:mm"),INDEX(상세표[종료],$M670)&amp;""))</f>
        <v/>
      </c>
      <c r="F670">
        <f>IF($M670="","",INDEX(상세표[기록 시간외],$M670))</f>
        <v/>
      </c>
      <c r="G670">
        <f>IF($M670="","",INDEX(상세표[시작월 기관],$M670)&amp;"")</f>
        <v/>
      </c>
      <c r="H670">
        <f>IF($M670="","",INDEX(상세표[종료월 기관],$M670)&amp;"")</f>
        <v/>
      </c>
      <c r="I670">
        <f>IF($M670="","",INDEX(상세표[월경계 판정],$M670)&amp;"")</f>
        <v/>
      </c>
      <c r="J670">
        <f>IF($M670="","",INDEX(상세표[반영월],$M670)&amp;"")</f>
        <v/>
      </c>
      <c r="K670">
        <f>IF($M670="","",INDEX(상세표[반영 기관],$M670)&amp;"")</f>
        <v/>
      </c>
      <c r="L670">
        <f>IF($M670="","",INDEX(상세표[기관 출처],$M670)&amp;"")</f>
        <v/>
      </c>
      <c r="M670" s="4">
        <f>IFERROR(MATCH(665,상세표[경계순번],0),"")</f>
        <v/>
      </c>
    </row>
    <row r="671">
      <c r="A671">
        <f>IF($M671="","",INDEX(상세표[사번],$M671)&amp;"")</f>
        <v/>
      </c>
      <c r="B671">
        <f>IF($M671="","",INDEX(상세표[성명],$M671)&amp;"")</f>
        <v/>
      </c>
      <c r="C671">
        <f>IF($M671="","",IF(INDEX(상세표[종료월],$M671)=대상월키,"전월→이번 달","이번 달→익월"))</f>
        <v/>
      </c>
      <c r="D671">
        <f>IF($M671="","",IF(ISNUMBER(INDEX(상세표[시작],$M671)),TEXT(INDEX(상세표[시작],$M671),"yyyy-mm-dd hh:mm"),INDEX(상세표[시작],$M671)&amp;""))</f>
        <v/>
      </c>
      <c r="E671">
        <f>IF($M671="","",IF(ISNUMBER(INDEX(상세표[종료],$M671)),TEXT(INDEX(상세표[종료],$M671),"yyyy-mm-dd hh:mm"),INDEX(상세표[종료],$M671)&amp;""))</f>
        <v/>
      </c>
      <c r="F671">
        <f>IF($M671="","",INDEX(상세표[기록 시간외],$M671))</f>
        <v/>
      </c>
      <c r="G671">
        <f>IF($M671="","",INDEX(상세표[시작월 기관],$M671)&amp;"")</f>
        <v/>
      </c>
      <c r="H671">
        <f>IF($M671="","",INDEX(상세표[종료월 기관],$M671)&amp;"")</f>
        <v/>
      </c>
      <c r="I671">
        <f>IF($M671="","",INDEX(상세표[월경계 판정],$M671)&amp;"")</f>
        <v/>
      </c>
      <c r="J671">
        <f>IF($M671="","",INDEX(상세표[반영월],$M671)&amp;"")</f>
        <v/>
      </c>
      <c r="K671">
        <f>IF($M671="","",INDEX(상세표[반영 기관],$M671)&amp;"")</f>
        <v/>
      </c>
      <c r="L671">
        <f>IF($M671="","",INDEX(상세표[기관 출처],$M671)&amp;"")</f>
        <v/>
      </c>
      <c r="M671" s="4">
        <f>IFERROR(MATCH(666,상세표[경계순번],0),"")</f>
        <v/>
      </c>
    </row>
    <row r="672">
      <c r="A672">
        <f>IF($M672="","",INDEX(상세표[사번],$M672)&amp;"")</f>
        <v/>
      </c>
      <c r="B672">
        <f>IF($M672="","",INDEX(상세표[성명],$M672)&amp;"")</f>
        <v/>
      </c>
      <c r="C672">
        <f>IF($M672="","",IF(INDEX(상세표[종료월],$M672)=대상월키,"전월→이번 달","이번 달→익월"))</f>
        <v/>
      </c>
      <c r="D672">
        <f>IF($M672="","",IF(ISNUMBER(INDEX(상세표[시작],$M672)),TEXT(INDEX(상세표[시작],$M672),"yyyy-mm-dd hh:mm"),INDEX(상세표[시작],$M672)&amp;""))</f>
        <v/>
      </c>
      <c r="E672">
        <f>IF($M672="","",IF(ISNUMBER(INDEX(상세표[종료],$M672)),TEXT(INDEX(상세표[종료],$M672),"yyyy-mm-dd hh:mm"),INDEX(상세표[종료],$M672)&amp;""))</f>
        <v/>
      </c>
      <c r="F672">
        <f>IF($M672="","",INDEX(상세표[기록 시간외],$M672))</f>
        <v/>
      </c>
      <c r="G672">
        <f>IF($M672="","",INDEX(상세표[시작월 기관],$M672)&amp;"")</f>
        <v/>
      </c>
      <c r="H672">
        <f>IF($M672="","",INDEX(상세표[종료월 기관],$M672)&amp;"")</f>
        <v/>
      </c>
      <c r="I672">
        <f>IF($M672="","",INDEX(상세표[월경계 판정],$M672)&amp;"")</f>
        <v/>
      </c>
      <c r="J672">
        <f>IF($M672="","",INDEX(상세표[반영월],$M672)&amp;"")</f>
        <v/>
      </c>
      <c r="K672">
        <f>IF($M672="","",INDEX(상세표[반영 기관],$M672)&amp;"")</f>
        <v/>
      </c>
      <c r="L672">
        <f>IF($M672="","",INDEX(상세표[기관 출처],$M672)&amp;"")</f>
        <v/>
      </c>
      <c r="M672" s="4">
        <f>IFERROR(MATCH(667,상세표[경계순번],0),"")</f>
        <v/>
      </c>
    </row>
    <row r="673">
      <c r="A673">
        <f>IF($M673="","",INDEX(상세표[사번],$M673)&amp;"")</f>
        <v/>
      </c>
      <c r="B673">
        <f>IF($M673="","",INDEX(상세표[성명],$M673)&amp;"")</f>
        <v/>
      </c>
      <c r="C673">
        <f>IF($M673="","",IF(INDEX(상세표[종료월],$M673)=대상월키,"전월→이번 달","이번 달→익월"))</f>
        <v/>
      </c>
      <c r="D673">
        <f>IF($M673="","",IF(ISNUMBER(INDEX(상세표[시작],$M673)),TEXT(INDEX(상세표[시작],$M673),"yyyy-mm-dd hh:mm"),INDEX(상세표[시작],$M673)&amp;""))</f>
        <v/>
      </c>
      <c r="E673">
        <f>IF($M673="","",IF(ISNUMBER(INDEX(상세표[종료],$M673)),TEXT(INDEX(상세표[종료],$M673),"yyyy-mm-dd hh:mm"),INDEX(상세표[종료],$M673)&amp;""))</f>
        <v/>
      </c>
      <c r="F673">
        <f>IF($M673="","",INDEX(상세표[기록 시간외],$M673))</f>
        <v/>
      </c>
      <c r="G673">
        <f>IF($M673="","",INDEX(상세표[시작월 기관],$M673)&amp;"")</f>
        <v/>
      </c>
      <c r="H673">
        <f>IF($M673="","",INDEX(상세표[종료월 기관],$M673)&amp;"")</f>
        <v/>
      </c>
      <c r="I673">
        <f>IF($M673="","",INDEX(상세표[월경계 판정],$M673)&amp;"")</f>
        <v/>
      </c>
      <c r="J673">
        <f>IF($M673="","",INDEX(상세표[반영월],$M673)&amp;"")</f>
        <v/>
      </c>
      <c r="K673">
        <f>IF($M673="","",INDEX(상세표[반영 기관],$M673)&amp;"")</f>
        <v/>
      </c>
      <c r="L673">
        <f>IF($M673="","",INDEX(상세표[기관 출처],$M673)&amp;"")</f>
        <v/>
      </c>
      <c r="M673" s="4">
        <f>IFERROR(MATCH(668,상세표[경계순번],0),"")</f>
        <v/>
      </c>
    </row>
    <row r="674">
      <c r="A674">
        <f>IF($M674="","",INDEX(상세표[사번],$M674)&amp;"")</f>
        <v/>
      </c>
      <c r="B674">
        <f>IF($M674="","",INDEX(상세표[성명],$M674)&amp;"")</f>
        <v/>
      </c>
      <c r="C674">
        <f>IF($M674="","",IF(INDEX(상세표[종료월],$M674)=대상월키,"전월→이번 달","이번 달→익월"))</f>
        <v/>
      </c>
      <c r="D674">
        <f>IF($M674="","",IF(ISNUMBER(INDEX(상세표[시작],$M674)),TEXT(INDEX(상세표[시작],$M674),"yyyy-mm-dd hh:mm"),INDEX(상세표[시작],$M674)&amp;""))</f>
        <v/>
      </c>
      <c r="E674">
        <f>IF($M674="","",IF(ISNUMBER(INDEX(상세표[종료],$M674)),TEXT(INDEX(상세표[종료],$M674),"yyyy-mm-dd hh:mm"),INDEX(상세표[종료],$M674)&amp;""))</f>
        <v/>
      </c>
      <c r="F674">
        <f>IF($M674="","",INDEX(상세표[기록 시간외],$M674))</f>
        <v/>
      </c>
      <c r="G674">
        <f>IF($M674="","",INDEX(상세표[시작월 기관],$M674)&amp;"")</f>
        <v/>
      </c>
      <c r="H674">
        <f>IF($M674="","",INDEX(상세표[종료월 기관],$M674)&amp;"")</f>
        <v/>
      </c>
      <c r="I674">
        <f>IF($M674="","",INDEX(상세표[월경계 판정],$M674)&amp;"")</f>
        <v/>
      </c>
      <c r="J674">
        <f>IF($M674="","",INDEX(상세표[반영월],$M674)&amp;"")</f>
        <v/>
      </c>
      <c r="K674">
        <f>IF($M674="","",INDEX(상세표[반영 기관],$M674)&amp;"")</f>
        <v/>
      </c>
      <c r="L674">
        <f>IF($M674="","",INDEX(상세표[기관 출처],$M674)&amp;"")</f>
        <v/>
      </c>
      <c r="M674" s="4">
        <f>IFERROR(MATCH(669,상세표[경계순번],0),"")</f>
        <v/>
      </c>
    </row>
    <row r="675">
      <c r="A675">
        <f>IF($M675="","",INDEX(상세표[사번],$M675)&amp;"")</f>
        <v/>
      </c>
      <c r="B675">
        <f>IF($M675="","",INDEX(상세표[성명],$M675)&amp;"")</f>
        <v/>
      </c>
      <c r="C675">
        <f>IF($M675="","",IF(INDEX(상세표[종료월],$M675)=대상월키,"전월→이번 달","이번 달→익월"))</f>
        <v/>
      </c>
      <c r="D675">
        <f>IF($M675="","",IF(ISNUMBER(INDEX(상세표[시작],$M675)),TEXT(INDEX(상세표[시작],$M675),"yyyy-mm-dd hh:mm"),INDEX(상세표[시작],$M675)&amp;""))</f>
        <v/>
      </c>
      <c r="E675">
        <f>IF($M675="","",IF(ISNUMBER(INDEX(상세표[종료],$M675)),TEXT(INDEX(상세표[종료],$M675),"yyyy-mm-dd hh:mm"),INDEX(상세표[종료],$M675)&amp;""))</f>
        <v/>
      </c>
      <c r="F675">
        <f>IF($M675="","",INDEX(상세표[기록 시간외],$M675))</f>
        <v/>
      </c>
      <c r="G675">
        <f>IF($M675="","",INDEX(상세표[시작월 기관],$M675)&amp;"")</f>
        <v/>
      </c>
      <c r="H675">
        <f>IF($M675="","",INDEX(상세표[종료월 기관],$M675)&amp;"")</f>
        <v/>
      </c>
      <c r="I675">
        <f>IF($M675="","",INDEX(상세표[월경계 판정],$M675)&amp;"")</f>
        <v/>
      </c>
      <c r="J675">
        <f>IF($M675="","",INDEX(상세표[반영월],$M675)&amp;"")</f>
        <v/>
      </c>
      <c r="K675">
        <f>IF($M675="","",INDEX(상세표[반영 기관],$M675)&amp;"")</f>
        <v/>
      </c>
      <c r="L675">
        <f>IF($M675="","",INDEX(상세표[기관 출처],$M675)&amp;"")</f>
        <v/>
      </c>
      <c r="M675" s="4">
        <f>IFERROR(MATCH(670,상세표[경계순번],0),"")</f>
        <v/>
      </c>
    </row>
    <row r="676">
      <c r="A676">
        <f>IF($M676="","",INDEX(상세표[사번],$M676)&amp;"")</f>
        <v/>
      </c>
      <c r="B676">
        <f>IF($M676="","",INDEX(상세표[성명],$M676)&amp;"")</f>
        <v/>
      </c>
      <c r="C676">
        <f>IF($M676="","",IF(INDEX(상세표[종료월],$M676)=대상월키,"전월→이번 달","이번 달→익월"))</f>
        <v/>
      </c>
      <c r="D676">
        <f>IF($M676="","",IF(ISNUMBER(INDEX(상세표[시작],$M676)),TEXT(INDEX(상세표[시작],$M676),"yyyy-mm-dd hh:mm"),INDEX(상세표[시작],$M676)&amp;""))</f>
        <v/>
      </c>
      <c r="E676">
        <f>IF($M676="","",IF(ISNUMBER(INDEX(상세표[종료],$M676)),TEXT(INDEX(상세표[종료],$M676),"yyyy-mm-dd hh:mm"),INDEX(상세표[종료],$M676)&amp;""))</f>
        <v/>
      </c>
      <c r="F676">
        <f>IF($M676="","",INDEX(상세표[기록 시간외],$M676))</f>
        <v/>
      </c>
      <c r="G676">
        <f>IF($M676="","",INDEX(상세표[시작월 기관],$M676)&amp;"")</f>
        <v/>
      </c>
      <c r="H676">
        <f>IF($M676="","",INDEX(상세표[종료월 기관],$M676)&amp;"")</f>
        <v/>
      </c>
      <c r="I676">
        <f>IF($M676="","",INDEX(상세표[월경계 판정],$M676)&amp;"")</f>
        <v/>
      </c>
      <c r="J676">
        <f>IF($M676="","",INDEX(상세표[반영월],$M676)&amp;"")</f>
        <v/>
      </c>
      <c r="K676">
        <f>IF($M676="","",INDEX(상세표[반영 기관],$M676)&amp;"")</f>
        <v/>
      </c>
      <c r="L676">
        <f>IF($M676="","",INDEX(상세표[기관 출처],$M676)&amp;"")</f>
        <v/>
      </c>
      <c r="M676" s="4">
        <f>IFERROR(MATCH(671,상세표[경계순번],0),"")</f>
        <v/>
      </c>
    </row>
    <row r="677">
      <c r="A677">
        <f>IF($M677="","",INDEX(상세표[사번],$M677)&amp;"")</f>
        <v/>
      </c>
      <c r="B677">
        <f>IF($M677="","",INDEX(상세표[성명],$M677)&amp;"")</f>
        <v/>
      </c>
      <c r="C677">
        <f>IF($M677="","",IF(INDEX(상세표[종료월],$M677)=대상월키,"전월→이번 달","이번 달→익월"))</f>
        <v/>
      </c>
      <c r="D677">
        <f>IF($M677="","",IF(ISNUMBER(INDEX(상세표[시작],$M677)),TEXT(INDEX(상세표[시작],$M677),"yyyy-mm-dd hh:mm"),INDEX(상세표[시작],$M677)&amp;""))</f>
        <v/>
      </c>
      <c r="E677">
        <f>IF($M677="","",IF(ISNUMBER(INDEX(상세표[종료],$M677)),TEXT(INDEX(상세표[종료],$M677),"yyyy-mm-dd hh:mm"),INDEX(상세표[종료],$M677)&amp;""))</f>
        <v/>
      </c>
      <c r="F677">
        <f>IF($M677="","",INDEX(상세표[기록 시간외],$M677))</f>
        <v/>
      </c>
      <c r="G677">
        <f>IF($M677="","",INDEX(상세표[시작월 기관],$M677)&amp;"")</f>
        <v/>
      </c>
      <c r="H677">
        <f>IF($M677="","",INDEX(상세표[종료월 기관],$M677)&amp;"")</f>
        <v/>
      </c>
      <c r="I677">
        <f>IF($M677="","",INDEX(상세표[월경계 판정],$M677)&amp;"")</f>
        <v/>
      </c>
      <c r="J677">
        <f>IF($M677="","",INDEX(상세표[반영월],$M677)&amp;"")</f>
        <v/>
      </c>
      <c r="K677">
        <f>IF($M677="","",INDEX(상세표[반영 기관],$M677)&amp;"")</f>
        <v/>
      </c>
      <c r="L677">
        <f>IF($M677="","",INDEX(상세표[기관 출처],$M677)&amp;"")</f>
        <v/>
      </c>
      <c r="M677" s="4">
        <f>IFERROR(MATCH(672,상세표[경계순번],0),"")</f>
        <v/>
      </c>
    </row>
    <row r="678">
      <c r="A678">
        <f>IF($M678="","",INDEX(상세표[사번],$M678)&amp;"")</f>
        <v/>
      </c>
      <c r="B678">
        <f>IF($M678="","",INDEX(상세표[성명],$M678)&amp;"")</f>
        <v/>
      </c>
      <c r="C678">
        <f>IF($M678="","",IF(INDEX(상세표[종료월],$M678)=대상월키,"전월→이번 달","이번 달→익월"))</f>
        <v/>
      </c>
      <c r="D678">
        <f>IF($M678="","",IF(ISNUMBER(INDEX(상세표[시작],$M678)),TEXT(INDEX(상세표[시작],$M678),"yyyy-mm-dd hh:mm"),INDEX(상세표[시작],$M678)&amp;""))</f>
        <v/>
      </c>
      <c r="E678">
        <f>IF($M678="","",IF(ISNUMBER(INDEX(상세표[종료],$M678)),TEXT(INDEX(상세표[종료],$M678),"yyyy-mm-dd hh:mm"),INDEX(상세표[종료],$M678)&amp;""))</f>
        <v/>
      </c>
      <c r="F678">
        <f>IF($M678="","",INDEX(상세표[기록 시간외],$M678))</f>
        <v/>
      </c>
      <c r="G678">
        <f>IF($M678="","",INDEX(상세표[시작월 기관],$M678)&amp;"")</f>
        <v/>
      </c>
      <c r="H678">
        <f>IF($M678="","",INDEX(상세표[종료월 기관],$M678)&amp;"")</f>
        <v/>
      </c>
      <c r="I678">
        <f>IF($M678="","",INDEX(상세표[월경계 판정],$M678)&amp;"")</f>
        <v/>
      </c>
      <c r="J678">
        <f>IF($M678="","",INDEX(상세표[반영월],$M678)&amp;"")</f>
        <v/>
      </c>
      <c r="K678">
        <f>IF($M678="","",INDEX(상세표[반영 기관],$M678)&amp;"")</f>
        <v/>
      </c>
      <c r="L678">
        <f>IF($M678="","",INDEX(상세표[기관 출처],$M678)&amp;"")</f>
        <v/>
      </c>
      <c r="M678" s="4">
        <f>IFERROR(MATCH(673,상세표[경계순번],0),"")</f>
        <v/>
      </c>
    </row>
    <row r="679">
      <c r="A679">
        <f>IF($M679="","",INDEX(상세표[사번],$M679)&amp;"")</f>
        <v/>
      </c>
      <c r="B679">
        <f>IF($M679="","",INDEX(상세표[성명],$M679)&amp;"")</f>
        <v/>
      </c>
      <c r="C679">
        <f>IF($M679="","",IF(INDEX(상세표[종료월],$M679)=대상월키,"전월→이번 달","이번 달→익월"))</f>
        <v/>
      </c>
      <c r="D679">
        <f>IF($M679="","",IF(ISNUMBER(INDEX(상세표[시작],$M679)),TEXT(INDEX(상세표[시작],$M679),"yyyy-mm-dd hh:mm"),INDEX(상세표[시작],$M679)&amp;""))</f>
        <v/>
      </c>
      <c r="E679">
        <f>IF($M679="","",IF(ISNUMBER(INDEX(상세표[종료],$M679)),TEXT(INDEX(상세표[종료],$M679),"yyyy-mm-dd hh:mm"),INDEX(상세표[종료],$M679)&amp;""))</f>
        <v/>
      </c>
      <c r="F679">
        <f>IF($M679="","",INDEX(상세표[기록 시간외],$M679))</f>
        <v/>
      </c>
      <c r="G679">
        <f>IF($M679="","",INDEX(상세표[시작월 기관],$M679)&amp;"")</f>
        <v/>
      </c>
      <c r="H679">
        <f>IF($M679="","",INDEX(상세표[종료월 기관],$M679)&amp;"")</f>
        <v/>
      </c>
      <c r="I679">
        <f>IF($M679="","",INDEX(상세표[월경계 판정],$M679)&amp;"")</f>
        <v/>
      </c>
      <c r="J679">
        <f>IF($M679="","",INDEX(상세표[반영월],$M679)&amp;"")</f>
        <v/>
      </c>
      <c r="K679">
        <f>IF($M679="","",INDEX(상세표[반영 기관],$M679)&amp;"")</f>
        <v/>
      </c>
      <c r="L679">
        <f>IF($M679="","",INDEX(상세표[기관 출처],$M679)&amp;"")</f>
        <v/>
      </c>
      <c r="M679" s="4">
        <f>IFERROR(MATCH(674,상세표[경계순번],0),"")</f>
        <v/>
      </c>
    </row>
    <row r="680">
      <c r="A680">
        <f>IF($M680="","",INDEX(상세표[사번],$M680)&amp;"")</f>
        <v/>
      </c>
      <c r="B680">
        <f>IF($M680="","",INDEX(상세표[성명],$M680)&amp;"")</f>
        <v/>
      </c>
      <c r="C680">
        <f>IF($M680="","",IF(INDEX(상세표[종료월],$M680)=대상월키,"전월→이번 달","이번 달→익월"))</f>
        <v/>
      </c>
      <c r="D680">
        <f>IF($M680="","",IF(ISNUMBER(INDEX(상세표[시작],$M680)),TEXT(INDEX(상세표[시작],$M680),"yyyy-mm-dd hh:mm"),INDEX(상세표[시작],$M680)&amp;""))</f>
        <v/>
      </c>
      <c r="E680">
        <f>IF($M680="","",IF(ISNUMBER(INDEX(상세표[종료],$M680)),TEXT(INDEX(상세표[종료],$M680),"yyyy-mm-dd hh:mm"),INDEX(상세표[종료],$M680)&amp;""))</f>
        <v/>
      </c>
      <c r="F680">
        <f>IF($M680="","",INDEX(상세표[기록 시간외],$M680))</f>
        <v/>
      </c>
      <c r="G680">
        <f>IF($M680="","",INDEX(상세표[시작월 기관],$M680)&amp;"")</f>
        <v/>
      </c>
      <c r="H680">
        <f>IF($M680="","",INDEX(상세표[종료월 기관],$M680)&amp;"")</f>
        <v/>
      </c>
      <c r="I680">
        <f>IF($M680="","",INDEX(상세표[월경계 판정],$M680)&amp;"")</f>
        <v/>
      </c>
      <c r="J680">
        <f>IF($M680="","",INDEX(상세표[반영월],$M680)&amp;"")</f>
        <v/>
      </c>
      <c r="K680">
        <f>IF($M680="","",INDEX(상세표[반영 기관],$M680)&amp;"")</f>
        <v/>
      </c>
      <c r="L680">
        <f>IF($M680="","",INDEX(상세표[기관 출처],$M680)&amp;"")</f>
        <v/>
      </c>
      <c r="M680" s="4">
        <f>IFERROR(MATCH(675,상세표[경계순번],0),"")</f>
        <v/>
      </c>
    </row>
    <row r="681">
      <c r="A681">
        <f>IF($M681="","",INDEX(상세표[사번],$M681)&amp;"")</f>
        <v/>
      </c>
      <c r="B681">
        <f>IF($M681="","",INDEX(상세표[성명],$M681)&amp;"")</f>
        <v/>
      </c>
      <c r="C681">
        <f>IF($M681="","",IF(INDEX(상세표[종료월],$M681)=대상월키,"전월→이번 달","이번 달→익월"))</f>
        <v/>
      </c>
      <c r="D681">
        <f>IF($M681="","",IF(ISNUMBER(INDEX(상세표[시작],$M681)),TEXT(INDEX(상세표[시작],$M681),"yyyy-mm-dd hh:mm"),INDEX(상세표[시작],$M681)&amp;""))</f>
        <v/>
      </c>
      <c r="E681">
        <f>IF($M681="","",IF(ISNUMBER(INDEX(상세표[종료],$M681)),TEXT(INDEX(상세표[종료],$M681),"yyyy-mm-dd hh:mm"),INDEX(상세표[종료],$M681)&amp;""))</f>
        <v/>
      </c>
      <c r="F681">
        <f>IF($M681="","",INDEX(상세표[기록 시간외],$M681))</f>
        <v/>
      </c>
      <c r="G681">
        <f>IF($M681="","",INDEX(상세표[시작월 기관],$M681)&amp;"")</f>
        <v/>
      </c>
      <c r="H681">
        <f>IF($M681="","",INDEX(상세표[종료월 기관],$M681)&amp;"")</f>
        <v/>
      </c>
      <c r="I681">
        <f>IF($M681="","",INDEX(상세표[월경계 판정],$M681)&amp;"")</f>
        <v/>
      </c>
      <c r="J681">
        <f>IF($M681="","",INDEX(상세표[반영월],$M681)&amp;"")</f>
        <v/>
      </c>
      <c r="K681">
        <f>IF($M681="","",INDEX(상세표[반영 기관],$M681)&amp;"")</f>
        <v/>
      </c>
      <c r="L681">
        <f>IF($M681="","",INDEX(상세표[기관 출처],$M681)&amp;"")</f>
        <v/>
      </c>
      <c r="M681" s="4">
        <f>IFERROR(MATCH(676,상세표[경계순번],0),"")</f>
        <v/>
      </c>
    </row>
    <row r="682">
      <c r="A682">
        <f>IF($M682="","",INDEX(상세표[사번],$M682)&amp;"")</f>
        <v/>
      </c>
      <c r="B682">
        <f>IF($M682="","",INDEX(상세표[성명],$M682)&amp;"")</f>
        <v/>
      </c>
      <c r="C682">
        <f>IF($M682="","",IF(INDEX(상세표[종료월],$M682)=대상월키,"전월→이번 달","이번 달→익월"))</f>
        <v/>
      </c>
      <c r="D682">
        <f>IF($M682="","",IF(ISNUMBER(INDEX(상세표[시작],$M682)),TEXT(INDEX(상세표[시작],$M682),"yyyy-mm-dd hh:mm"),INDEX(상세표[시작],$M682)&amp;""))</f>
        <v/>
      </c>
      <c r="E682">
        <f>IF($M682="","",IF(ISNUMBER(INDEX(상세표[종료],$M682)),TEXT(INDEX(상세표[종료],$M682),"yyyy-mm-dd hh:mm"),INDEX(상세표[종료],$M682)&amp;""))</f>
        <v/>
      </c>
      <c r="F682">
        <f>IF($M682="","",INDEX(상세표[기록 시간외],$M682))</f>
        <v/>
      </c>
      <c r="G682">
        <f>IF($M682="","",INDEX(상세표[시작월 기관],$M682)&amp;"")</f>
        <v/>
      </c>
      <c r="H682">
        <f>IF($M682="","",INDEX(상세표[종료월 기관],$M682)&amp;"")</f>
        <v/>
      </c>
      <c r="I682">
        <f>IF($M682="","",INDEX(상세표[월경계 판정],$M682)&amp;"")</f>
        <v/>
      </c>
      <c r="J682">
        <f>IF($M682="","",INDEX(상세표[반영월],$M682)&amp;"")</f>
        <v/>
      </c>
      <c r="K682">
        <f>IF($M682="","",INDEX(상세표[반영 기관],$M682)&amp;"")</f>
        <v/>
      </c>
      <c r="L682">
        <f>IF($M682="","",INDEX(상세표[기관 출처],$M682)&amp;"")</f>
        <v/>
      </c>
      <c r="M682" s="4">
        <f>IFERROR(MATCH(677,상세표[경계순번],0),"")</f>
        <v/>
      </c>
    </row>
    <row r="683">
      <c r="A683">
        <f>IF($M683="","",INDEX(상세표[사번],$M683)&amp;"")</f>
        <v/>
      </c>
      <c r="B683">
        <f>IF($M683="","",INDEX(상세표[성명],$M683)&amp;"")</f>
        <v/>
      </c>
      <c r="C683">
        <f>IF($M683="","",IF(INDEX(상세표[종료월],$M683)=대상월키,"전월→이번 달","이번 달→익월"))</f>
        <v/>
      </c>
      <c r="D683">
        <f>IF($M683="","",IF(ISNUMBER(INDEX(상세표[시작],$M683)),TEXT(INDEX(상세표[시작],$M683),"yyyy-mm-dd hh:mm"),INDEX(상세표[시작],$M683)&amp;""))</f>
        <v/>
      </c>
      <c r="E683">
        <f>IF($M683="","",IF(ISNUMBER(INDEX(상세표[종료],$M683)),TEXT(INDEX(상세표[종료],$M683),"yyyy-mm-dd hh:mm"),INDEX(상세표[종료],$M683)&amp;""))</f>
        <v/>
      </c>
      <c r="F683">
        <f>IF($M683="","",INDEX(상세표[기록 시간외],$M683))</f>
        <v/>
      </c>
      <c r="G683">
        <f>IF($M683="","",INDEX(상세표[시작월 기관],$M683)&amp;"")</f>
        <v/>
      </c>
      <c r="H683">
        <f>IF($M683="","",INDEX(상세표[종료월 기관],$M683)&amp;"")</f>
        <v/>
      </c>
      <c r="I683">
        <f>IF($M683="","",INDEX(상세표[월경계 판정],$M683)&amp;"")</f>
        <v/>
      </c>
      <c r="J683">
        <f>IF($M683="","",INDEX(상세표[반영월],$M683)&amp;"")</f>
        <v/>
      </c>
      <c r="K683">
        <f>IF($M683="","",INDEX(상세표[반영 기관],$M683)&amp;"")</f>
        <v/>
      </c>
      <c r="L683">
        <f>IF($M683="","",INDEX(상세표[기관 출처],$M683)&amp;"")</f>
        <v/>
      </c>
      <c r="M683" s="4">
        <f>IFERROR(MATCH(678,상세표[경계순번],0),"")</f>
        <v/>
      </c>
    </row>
    <row r="684">
      <c r="A684">
        <f>IF($M684="","",INDEX(상세표[사번],$M684)&amp;"")</f>
        <v/>
      </c>
      <c r="B684">
        <f>IF($M684="","",INDEX(상세표[성명],$M684)&amp;"")</f>
        <v/>
      </c>
      <c r="C684">
        <f>IF($M684="","",IF(INDEX(상세표[종료월],$M684)=대상월키,"전월→이번 달","이번 달→익월"))</f>
        <v/>
      </c>
      <c r="D684">
        <f>IF($M684="","",IF(ISNUMBER(INDEX(상세표[시작],$M684)),TEXT(INDEX(상세표[시작],$M684),"yyyy-mm-dd hh:mm"),INDEX(상세표[시작],$M684)&amp;""))</f>
        <v/>
      </c>
      <c r="E684">
        <f>IF($M684="","",IF(ISNUMBER(INDEX(상세표[종료],$M684)),TEXT(INDEX(상세표[종료],$M684),"yyyy-mm-dd hh:mm"),INDEX(상세표[종료],$M684)&amp;""))</f>
        <v/>
      </c>
      <c r="F684">
        <f>IF($M684="","",INDEX(상세표[기록 시간외],$M684))</f>
        <v/>
      </c>
      <c r="G684">
        <f>IF($M684="","",INDEX(상세표[시작월 기관],$M684)&amp;"")</f>
        <v/>
      </c>
      <c r="H684">
        <f>IF($M684="","",INDEX(상세표[종료월 기관],$M684)&amp;"")</f>
        <v/>
      </c>
      <c r="I684">
        <f>IF($M684="","",INDEX(상세표[월경계 판정],$M684)&amp;"")</f>
        <v/>
      </c>
      <c r="J684">
        <f>IF($M684="","",INDEX(상세표[반영월],$M684)&amp;"")</f>
        <v/>
      </c>
      <c r="K684">
        <f>IF($M684="","",INDEX(상세표[반영 기관],$M684)&amp;"")</f>
        <v/>
      </c>
      <c r="L684">
        <f>IF($M684="","",INDEX(상세표[기관 출처],$M684)&amp;"")</f>
        <v/>
      </c>
      <c r="M684" s="4">
        <f>IFERROR(MATCH(679,상세표[경계순번],0),"")</f>
        <v/>
      </c>
    </row>
    <row r="685">
      <c r="A685">
        <f>IF($M685="","",INDEX(상세표[사번],$M685)&amp;"")</f>
        <v/>
      </c>
      <c r="B685">
        <f>IF($M685="","",INDEX(상세표[성명],$M685)&amp;"")</f>
        <v/>
      </c>
      <c r="C685">
        <f>IF($M685="","",IF(INDEX(상세표[종료월],$M685)=대상월키,"전월→이번 달","이번 달→익월"))</f>
        <v/>
      </c>
      <c r="D685">
        <f>IF($M685="","",IF(ISNUMBER(INDEX(상세표[시작],$M685)),TEXT(INDEX(상세표[시작],$M685),"yyyy-mm-dd hh:mm"),INDEX(상세표[시작],$M685)&amp;""))</f>
        <v/>
      </c>
      <c r="E685">
        <f>IF($M685="","",IF(ISNUMBER(INDEX(상세표[종료],$M685)),TEXT(INDEX(상세표[종료],$M685),"yyyy-mm-dd hh:mm"),INDEX(상세표[종료],$M685)&amp;""))</f>
        <v/>
      </c>
      <c r="F685">
        <f>IF($M685="","",INDEX(상세표[기록 시간외],$M685))</f>
        <v/>
      </c>
      <c r="G685">
        <f>IF($M685="","",INDEX(상세표[시작월 기관],$M685)&amp;"")</f>
        <v/>
      </c>
      <c r="H685">
        <f>IF($M685="","",INDEX(상세표[종료월 기관],$M685)&amp;"")</f>
        <v/>
      </c>
      <c r="I685">
        <f>IF($M685="","",INDEX(상세표[월경계 판정],$M685)&amp;"")</f>
        <v/>
      </c>
      <c r="J685">
        <f>IF($M685="","",INDEX(상세표[반영월],$M685)&amp;"")</f>
        <v/>
      </c>
      <c r="K685">
        <f>IF($M685="","",INDEX(상세표[반영 기관],$M685)&amp;"")</f>
        <v/>
      </c>
      <c r="L685">
        <f>IF($M685="","",INDEX(상세표[기관 출처],$M685)&amp;"")</f>
        <v/>
      </c>
      <c r="M685" s="4">
        <f>IFERROR(MATCH(680,상세표[경계순번],0),"")</f>
        <v/>
      </c>
    </row>
    <row r="686">
      <c r="A686">
        <f>IF($M686="","",INDEX(상세표[사번],$M686)&amp;"")</f>
        <v/>
      </c>
      <c r="B686">
        <f>IF($M686="","",INDEX(상세표[성명],$M686)&amp;"")</f>
        <v/>
      </c>
      <c r="C686">
        <f>IF($M686="","",IF(INDEX(상세표[종료월],$M686)=대상월키,"전월→이번 달","이번 달→익월"))</f>
        <v/>
      </c>
      <c r="D686">
        <f>IF($M686="","",IF(ISNUMBER(INDEX(상세표[시작],$M686)),TEXT(INDEX(상세표[시작],$M686),"yyyy-mm-dd hh:mm"),INDEX(상세표[시작],$M686)&amp;""))</f>
        <v/>
      </c>
      <c r="E686">
        <f>IF($M686="","",IF(ISNUMBER(INDEX(상세표[종료],$M686)),TEXT(INDEX(상세표[종료],$M686),"yyyy-mm-dd hh:mm"),INDEX(상세표[종료],$M686)&amp;""))</f>
        <v/>
      </c>
      <c r="F686">
        <f>IF($M686="","",INDEX(상세표[기록 시간외],$M686))</f>
        <v/>
      </c>
      <c r="G686">
        <f>IF($M686="","",INDEX(상세표[시작월 기관],$M686)&amp;"")</f>
        <v/>
      </c>
      <c r="H686">
        <f>IF($M686="","",INDEX(상세표[종료월 기관],$M686)&amp;"")</f>
        <v/>
      </c>
      <c r="I686">
        <f>IF($M686="","",INDEX(상세표[월경계 판정],$M686)&amp;"")</f>
        <v/>
      </c>
      <c r="J686">
        <f>IF($M686="","",INDEX(상세표[반영월],$M686)&amp;"")</f>
        <v/>
      </c>
      <c r="K686">
        <f>IF($M686="","",INDEX(상세표[반영 기관],$M686)&amp;"")</f>
        <v/>
      </c>
      <c r="L686">
        <f>IF($M686="","",INDEX(상세표[기관 출처],$M686)&amp;"")</f>
        <v/>
      </c>
      <c r="M686" s="4">
        <f>IFERROR(MATCH(681,상세표[경계순번],0),"")</f>
        <v/>
      </c>
    </row>
    <row r="687">
      <c r="A687">
        <f>IF($M687="","",INDEX(상세표[사번],$M687)&amp;"")</f>
        <v/>
      </c>
      <c r="B687">
        <f>IF($M687="","",INDEX(상세표[성명],$M687)&amp;"")</f>
        <v/>
      </c>
      <c r="C687">
        <f>IF($M687="","",IF(INDEX(상세표[종료월],$M687)=대상월키,"전월→이번 달","이번 달→익월"))</f>
        <v/>
      </c>
      <c r="D687">
        <f>IF($M687="","",IF(ISNUMBER(INDEX(상세표[시작],$M687)),TEXT(INDEX(상세표[시작],$M687),"yyyy-mm-dd hh:mm"),INDEX(상세표[시작],$M687)&amp;""))</f>
        <v/>
      </c>
      <c r="E687">
        <f>IF($M687="","",IF(ISNUMBER(INDEX(상세표[종료],$M687)),TEXT(INDEX(상세표[종료],$M687),"yyyy-mm-dd hh:mm"),INDEX(상세표[종료],$M687)&amp;""))</f>
        <v/>
      </c>
      <c r="F687">
        <f>IF($M687="","",INDEX(상세표[기록 시간외],$M687))</f>
        <v/>
      </c>
      <c r="G687">
        <f>IF($M687="","",INDEX(상세표[시작월 기관],$M687)&amp;"")</f>
        <v/>
      </c>
      <c r="H687">
        <f>IF($M687="","",INDEX(상세표[종료월 기관],$M687)&amp;"")</f>
        <v/>
      </c>
      <c r="I687">
        <f>IF($M687="","",INDEX(상세표[월경계 판정],$M687)&amp;"")</f>
        <v/>
      </c>
      <c r="J687">
        <f>IF($M687="","",INDEX(상세표[반영월],$M687)&amp;"")</f>
        <v/>
      </c>
      <c r="K687">
        <f>IF($M687="","",INDEX(상세표[반영 기관],$M687)&amp;"")</f>
        <v/>
      </c>
      <c r="L687">
        <f>IF($M687="","",INDEX(상세표[기관 출처],$M687)&amp;"")</f>
        <v/>
      </c>
      <c r="M687" s="4">
        <f>IFERROR(MATCH(682,상세표[경계순번],0),"")</f>
        <v/>
      </c>
    </row>
    <row r="688">
      <c r="A688">
        <f>IF($M688="","",INDEX(상세표[사번],$M688)&amp;"")</f>
        <v/>
      </c>
      <c r="B688">
        <f>IF($M688="","",INDEX(상세표[성명],$M688)&amp;"")</f>
        <v/>
      </c>
      <c r="C688">
        <f>IF($M688="","",IF(INDEX(상세표[종료월],$M688)=대상월키,"전월→이번 달","이번 달→익월"))</f>
        <v/>
      </c>
      <c r="D688">
        <f>IF($M688="","",IF(ISNUMBER(INDEX(상세표[시작],$M688)),TEXT(INDEX(상세표[시작],$M688),"yyyy-mm-dd hh:mm"),INDEX(상세표[시작],$M688)&amp;""))</f>
        <v/>
      </c>
      <c r="E688">
        <f>IF($M688="","",IF(ISNUMBER(INDEX(상세표[종료],$M688)),TEXT(INDEX(상세표[종료],$M688),"yyyy-mm-dd hh:mm"),INDEX(상세표[종료],$M688)&amp;""))</f>
        <v/>
      </c>
      <c r="F688">
        <f>IF($M688="","",INDEX(상세표[기록 시간외],$M688))</f>
        <v/>
      </c>
      <c r="G688">
        <f>IF($M688="","",INDEX(상세표[시작월 기관],$M688)&amp;"")</f>
        <v/>
      </c>
      <c r="H688">
        <f>IF($M688="","",INDEX(상세표[종료월 기관],$M688)&amp;"")</f>
        <v/>
      </c>
      <c r="I688">
        <f>IF($M688="","",INDEX(상세표[월경계 판정],$M688)&amp;"")</f>
        <v/>
      </c>
      <c r="J688">
        <f>IF($M688="","",INDEX(상세표[반영월],$M688)&amp;"")</f>
        <v/>
      </c>
      <c r="K688">
        <f>IF($M688="","",INDEX(상세표[반영 기관],$M688)&amp;"")</f>
        <v/>
      </c>
      <c r="L688">
        <f>IF($M688="","",INDEX(상세표[기관 출처],$M688)&amp;"")</f>
        <v/>
      </c>
      <c r="M688" s="4">
        <f>IFERROR(MATCH(683,상세표[경계순번],0),"")</f>
        <v/>
      </c>
    </row>
    <row r="689">
      <c r="A689">
        <f>IF($M689="","",INDEX(상세표[사번],$M689)&amp;"")</f>
        <v/>
      </c>
      <c r="B689">
        <f>IF($M689="","",INDEX(상세표[성명],$M689)&amp;"")</f>
        <v/>
      </c>
      <c r="C689">
        <f>IF($M689="","",IF(INDEX(상세표[종료월],$M689)=대상월키,"전월→이번 달","이번 달→익월"))</f>
        <v/>
      </c>
      <c r="D689">
        <f>IF($M689="","",IF(ISNUMBER(INDEX(상세표[시작],$M689)),TEXT(INDEX(상세표[시작],$M689),"yyyy-mm-dd hh:mm"),INDEX(상세표[시작],$M689)&amp;""))</f>
        <v/>
      </c>
      <c r="E689">
        <f>IF($M689="","",IF(ISNUMBER(INDEX(상세표[종료],$M689)),TEXT(INDEX(상세표[종료],$M689),"yyyy-mm-dd hh:mm"),INDEX(상세표[종료],$M689)&amp;""))</f>
        <v/>
      </c>
      <c r="F689">
        <f>IF($M689="","",INDEX(상세표[기록 시간외],$M689))</f>
        <v/>
      </c>
      <c r="G689">
        <f>IF($M689="","",INDEX(상세표[시작월 기관],$M689)&amp;"")</f>
        <v/>
      </c>
      <c r="H689">
        <f>IF($M689="","",INDEX(상세표[종료월 기관],$M689)&amp;"")</f>
        <v/>
      </c>
      <c r="I689">
        <f>IF($M689="","",INDEX(상세표[월경계 판정],$M689)&amp;"")</f>
        <v/>
      </c>
      <c r="J689">
        <f>IF($M689="","",INDEX(상세표[반영월],$M689)&amp;"")</f>
        <v/>
      </c>
      <c r="K689">
        <f>IF($M689="","",INDEX(상세표[반영 기관],$M689)&amp;"")</f>
        <v/>
      </c>
      <c r="L689">
        <f>IF($M689="","",INDEX(상세표[기관 출처],$M689)&amp;"")</f>
        <v/>
      </c>
      <c r="M689" s="4">
        <f>IFERROR(MATCH(684,상세표[경계순번],0),"")</f>
        <v/>
      </c>
    </row>
    <row r="690">
      <c r="A690">
        <f>IF($M690="","",INDEX(상세표[사번],$M690)&amp;"")</f>
        <v/>
      </c>
      <c r="B690">
        <f>IF($M690="","",INDEX(상세표[성명],$M690)&amp;"")</f>
        <v/>
      </c>
      <c r="C690">
        <f>IF($M690="","",IF(INDEX(상세표[종료월],$M690)=대상월키,"전월→이번 달","이번 달→익월"))</f>
        <v/>
      </c>
      <c r="D690">
        <f>IF($M690="","",IF(ISNUMBER(INDEX(상세표[시작],$M690)),TEXT(INDEX(상세표[시작],$M690),"yyyy-mm-dd hh:mm"),INDEX(상세표[시작],$M690)&amp;""))</f>
        <v/>
      </c>
      <c r="E690">
        <f>IF($M690="","",IF(ISNUMBER(INDEX(상세표[종료],$M690)),TEXT(INDEX(상세표[종료],$M690),"yyyy-mm-dd hh:mm"),INDEX(상세표[종료],$M690)&amp;""))</f>
        <v/>
      </c>
      <c r="F690">
        <f>IF($M690="","",INDEX(상세표[기록 시간외],$M690))</f>
        <v/>
      </c>
      <c r="G690">
        <f>IF($M690="","",INDEX(상세표[시작월 기관],$M690)&amp;"")</f>
        <v/>
      </c>
      <c r="H690">
        <f>IF($M690="","",INDEX(상세표[종료월 기관],$M690)&amp;"")</f>
        <v/>
      </c>
      <c r="I690">
        <f>IF($M690="","",INDEX(상세표[월경계 판정],$M690)&amp;"")</f>
        <v/>
      </c>
      <c r="J690">
        <f>IF($M690="","",INDEX(상세표[반영월],$M690)&amp;"")</f>
        <v/>
      </c>
      <c r="K690">
        <f>IF($M690="","",INDEX(상세표[반영 기관],$M690)&amp;"")</f>
        <v/>
      </c>
      <c r="L690">
        <f>IF($M690="","",INDEX(상세표[기관 출처],$M690)&amp;"")</f>
        <v/>
      </c>
      <c r="M690" s="4">
        <f>IFERROR(MATCH(685,상세표[경계순번],0),"")</f>
        <v/>
      </c>
    </row>
    <row r="691">
      <c r="A691">
        <f>IF($M691="","",INDEX(상세표[사번],$M691)&amp;"")</f>
        <v/>
      </c>
      <c r="B691">
        <f>IF($M691="","",INDEX(상세표[성명],$M691)&amp;"")</f>
        <v/>
      </c>
      <c r="C691">
        <f>IF($M691="","",IF(INDEX(상세표[종료월],$M691)=대상월키,"전월→이번 달","이번 달→익월"))</f>
        <v/>
      </c>
      <c r="D691">
        <f>IF($M691="","",IF(ISNUMBER(INDEX(상세표[시작],$M691)),TEXT(INDEX(상세표[시작],$M691),"yyyy-mm-dd hh:mm"),INDEX(상세표[시작],$M691)&amp;""))</f>
        <v/>
      </c>
      <c r="E691">
        <f>IF($M691="","",IF(ISNUMBER(INDEX(상세표[종료],$M691)),TEXT(INDEX(상세표[종료],$M691),"yyyy-mm-dd hh:mm"),INDEX(상세표[종료],$M691)&amp;""))</f>
        <v/>
      </c>
      <c r="F691">
        <f>IF($M691="","",INDEX(상세표[기록 시간외],$M691))</f>
        <v/>
      </c>
      <c r="G691">
        <f>IF($M691="","",INDEX(상세표[시작월 기관],$M691)&amp;"")</f>
        <v/>
      </c>
      <c r="H691">
        <f>IF($M691="","",INDEX(상세표[종료월 기관],$M691)&amp;"")</f>
        <v/>
      </c>
      <c r="I691">
        <f>IF($M691="","",INDEX(상세표[월경계 판정],$M691)&amp;"")</f>
        <v/>
      </c>
      <c r="J691">
        <f>IF($M691="","",INDEX(상세표[반영월],$M691)&amp;"")</f>
        <v/>
      </c>
      <c r="K691">
        <f>IF($M691="","",INDEX(상세표[반영 기관],$M691)&amp;"")</f>
        <v/>
      </c>
      <c r="L691">
        <f>IF($M691="","",INDEX(상세표[기관 출처],$M691)&amp;"")</f>
        <v/>
      </c>
      <c r="M691" s="4">
        <f>IFERROR(MATCH(686,상세표[경계순번],0),"")</f>
        <v/>
      </c>
    </row>
    <row r="692">
      <c r="A692">
        <f>IF($M692="","",INDEX(상세표[사번],$M692)&amp;"")</f>
        <v/>
      </c>
      <c r="B692">
        <f>IF($M692="","",INDEX(상세표[성명],$M692)&amp;"")</f>
        <v/>
      </c>
      <c r="C692">
        <f>IF($M692="","",IF(INDEX(상세표[종료월],$M692)=대상월키,"전월→이번 달","이번 달→익월"))</f>
        <v/>
      </c>
      <c r="D692">
        <f>IF($M692="","",IF(ISNUMBER(INDEX(상세표[시작],$M692)),TEXT(INDEX(상세표[시작],$M692),"yyyy-mm-dd hh:mm"),INDEX(상세표[시작],$M692)&amp;""))</f>
        <v/>
      </c>
      <c r="E692">
        <f>IF($M692="","",IF(ISNUMBER(INDEX(상세표[종료],$M692)),TEXT(INDEX(상세표[종료],$M692),"yyyy-mm-dd hh:mm"),INDEX(상세표[종료],$M692)&amp;""))</f>
        <v/>
      </c>
      <c r="F692">
        <f>IF($M692="","",INDEX(상세표[기록 시간외],$M692))</f>
        <v/>
      </c>
      <c r="G692">
        <f>IF($M692="","",INDEX(상세표[시작월 기관],$M692)&amp;"")</f>
        <v/>
      </c>
      <c r="H692">
        <f>IF($M692="","",INDEX(상세표[종료월 기관],$M692)&amp;"")</f>
        <v/>
      </c>
      <c r="I692">
        <f>IF($M692="","",INDEX(상세표[월경계 판정],$M692)&amp;"")</f>
        <v/>
      </c>
      <c r="J692">
        <f>IF($M692="","",INDEX(상세표[반영월],$M692)&amp;"")</f>
        <v/>
      </c>
      <c r="K692">
        <f>IF($M692="","",INDEX(상세표[반영 기관],$M692)&amp;"")</f>
        <v/>
      </c>
      <c r="L692">
        <f>IF($M692="","",INDEX(상세표[기관 출처],$M692)&amp;"")</f>
        <v/>
      </c>
      <c r="M692" s="4">
        <f>IFERROR(MATCH(687,상세표[경계순번],0),"")</f>
        <v/>
      </c>
    </row>
    <row r="693">
      <c r="A693">
        <f>IF($M693="","",INDEX(상세표[사번],$M693)&amp;"")</f>
        <v/>
      </c>
      <c r="B693">
        <f>IF($M693="","",INDEX(상세표[성명],$M693)&amp;"")</f>
        <v/>
      </c>
      <c r="C693">
        <f>IF($M693="","",IF(INDEX(상세표[종료월],$M693)=대상월키,"전월→이번 달","이번 달→익월"))</f>
        <v/>
      </c>
      <c r="D693">
        <f>IF($M693="","",IF(ISNUMBER(INDEX(상세표[시작],$M693)),TEXT(INDEX(상세표[시작],$M693),"yyyy-mm-dd hh:mm"),INDEX(상세표[시작],$M693)&amp;""))</f>
        <v/>
      </c>
      <c r="E693">
        <f>IF($M693="","",IF(ISNUMBER(INDEX(상세표[종료],$M693)),TEXT(INDEX(상세표[종료],$M693),"yyyy-mm-dd hh:mm"),INDEX(상세표[종료],$M693)&amp;""))</f>
        <v/>
      </c>
      <c r="F693">
        <f>IF($M693="","",INDEX(상세표[기록 시간외],$M693))</f>
        <v/>
      </c>
      <c r="G693">
        <f>IF($M693="","",INDEX(상세표[시작월 기관],$M693)&amp;"")</f>
        <v/>
      </c>
      <c r="H693">
        <f>IF($M693="","",INDEX(상세표[종료월 기관],$M693)&amp;"")</f>
        <v/>
      </c>
      <c r="I693">
        <f>IF($M693="","",INDEX(상세표[월경계 판정],$M693)&amp;"")</f>
        <v/>
      </c>
      <c r="J693">
        <f>IF($M693="","",INDEX(상세표[반영월],$M693)&amp;"")</f>
        <v/>
      </c>
      <c r="K693">
        <f>IF($M693="","",INDEX(상세표[반영 기관],$M693)&amp;"")</f>
        <v/>
      </c>
      <c r="L693">
        <f>IF($M693="","",INDEX(상세표[기관 출처],$M693)&amp;"")</f>
        <v/>
      </c>
      <c r="M693" s="4">
        <f>IFERROR(MATCH(688,상세표[경계순번],0),"")</f>
        <v/>
      </c>
    </row>
    <row r="694">
      <c r="A694">
        <f>IF($M694="","",INDEX(상세표[사번],$M694)&amp;"")</f>
        <v/>
      </c>
      <c r="B694">
        <f>IF($M694="","",INDEX(상세표[성명],$M694)&amp;"")</f>
        <v/>
      </c>
      <c r="C694">
        <f>IF($M694="","",IF(INDEX(상세표[종료월],$M694)=대상월키,"전월→이번 달","이번 달→익월"))</f>
        <v/>
      </c>
      <c r="D694">
        <f>IF($M694="","",IF(ISNUMBER(INDEX(상세표[시작],$M694)),TEXT(INDEX(상세표[시작],$M694),"yyyy-mm-dd hh:mm"),INDEX(상세표[시작],$M694)&amp;""))</f>
        <v/>
      </c>
      <c r="E694">
        <f>IF($M694="","",IF(ISNUMBER(INDEX(상세표[종료],$M694)),TEXT(INDEX(상세표[종료],$M694),"yyyy-mm-dd hh:mm"),INDEX(상세표[종료],$M694)&amp;""))</f>
        <v/>
      </c>
      <c r="F694">
        <f>IF($M694="","",INDEX(상세표[기록 시간외],$M694))</f>
        <v/>
      </c>
      <c r="G694">
        <f>IF($M694="","",INDEX(상세표[시작월 기관],$M694)&amp;"")</f>
        <v/>
      </c>
      <c r="H694">
        <f>IF($M694="","",INDEX(상세표[종료월 기관],$M694)&amp;"")</f>
        <v/>
      </c>
      <c r="I694">
        <f>IF($M694="","",INDEX(상세표[월경계 판정],$M694)&amp;"")</f>
        <v/>
      </c>
      <c r="J694">
        <f>IF($M694="","",INDEX(상세표[반영월],$M694)&amp;"")</f>
        <v/>
      </c>
      <c r="K694">
        <f>IF($M694="","",INDEX(상세표[반영 기관],$M694)&amp;"")</f>
        <v/>
      </c>
      <c r="L694">
        <f>IF($M694="","",INDEX(상세표[기관 출처],$M694)&amp;"")</f>
        <v/>
      </c>
      <c r="M694" s="4">
        <f>IFERROR(MATCH(689,상세표[경계순번],0),"")</f>
        <v/>
      </c>
    </row>
    <row r="695">
      <c r="A695">
        <f>IF($M695="","",INDEX(상세표[사번],$M695)&amp;"")</f>
        <v/>
      </c>
      <c r="B695">
        <f>IF($M695="","",INDEX(상세표[성명],$M695)&amp;"")</f>
        <v/>
      </c>
      <c r="C695">
        <f>IF($M695="","",IF(INDEX(상세표[종료월],$M695)=대상월키,"전월→이번 달","이번 달→익월"))</f>
        <v/>
      </c>
      <c r="D695">
        <f>IF($M695="","",IF(ISNUMBER(INDEX(상세표[시작],$M695)),TEXT(INDEX(상세표[시작],$M695),"yyyy-mm-dd hh:mm"),INDEX(상세표[시작],$M695)&amp;""))</f>
        <v/>
      </c>
      <c r="E695">
        <f>IF($M695="","",IF(ISNUMBER(INDEX(상세표[종료],$M695)),TEXT(INDEX(상세표[종료],$M695),"yyyy-mm-dd hh:mm"),INDEX(상세표[종료],$M695)&amp;""))</f>
        <v/>
      </c>
      <c r="F695">
        <f>IF($M695="","",INDEX(상세표[기록 시간외],$M695))</f>
        <v/>
      </c>
      <c r="G695">
        <f>IF($M695="","",INDEX(상세표[시작월 기관],$M695)&amp;"")</f>
        <v/>
      </c>
      <c r="H695">
        <f>IF($M695="","",INDEX(상세표[종료월 기관],$M695)&amp;"")</f>
        <v/>
      </c>
      <c r="I695">
        <f>IF($M695="","",INDEX(상세표[월경계 판정],$M695)&amp;"")</f>
        <v/>
      </c>
      <c r="J695">
        <f>IF($M695="","",INDEX(상세표[반영월],$M695)&amp;"")</f>
        <v/>
      </c>
      <c r="K695">
        <f>IF($M695="","",INDEX(상세표[반영 기관],$M695)&amp;"")</f>
        <v/>
      </c>
      <c r="L695">
        <f>IF($M695="","",INDEX(상세표[기관 출처],$M695)&amp;"")</f>
        <v/>
      </c>
      <c r="M695" s="4">
        <f>IFERROR(MATCH(690,상세표[경계순번],0),"")</f>
        <v/>
      </c>
    </row>
    <row r="696">
      <c r="A696">
        <f>IF($M696="","",INDEX(상세표[사번],$M696)&amp;"")</f>
        <v/>
      </c>
      <c r="B696">
        <f>IF($M696="","",INDEX(상세표[성명],$M696)&amp;"")</f>
        <v/>
      </c>
      <c r="C696">
        <f>IF($M696="","",IF(INDEX(상세표[종료월],$M696)=대상월키,"전월→이번 달","이번 달→익월"))</f>
        <v/>
      </c>
      <c r="D696">
        <f>IF($M696="","",IF(ISNUMBER(INDEX(상세표[시작],$M696)),TEXT(INDEX(상세표[시작],$M696),"yyyy-mm-dd hh:mm"),INDEX(상세표[시작],$M696)&amp;""))</f>
        <v/>
      </c>
      <c r="E696">
        <f>IF($M696="","",IF(ISNUMBER(INDEX(상세표[종료],$M696)),TEXT(INDEX(상세표[종료],$M696),"yyyy-mm-dd hh:mm"),INDEX(상세표[종료],$M696)&amp;""))</f>
        <v/>
      </c>
      <c r="F696">
        <f>IF($M696="","",INDEX(상세표[기록 시간외],$M696))</f>
        <v/>
      </c>
      <c r="G696">
        <f>IF($M696="","",INDEX(상세표[시작월 기관],$M696)&amp;"")</f>
        <v/>
      </c>
      <c r="H696">
        <f>IF($M696="","",INDEX(상세표[종료월 기관],$M696)&amp;"")</f>
        <v/>
      </c>
      <c r="I696">
        <f>IF($M696="","",INDEX(상세표[월경계 판정],$M696)&amp;"")</f>
        <v/>
      </c>
      <c r="J696">
        <f>IF($M696="","",INDEX(상세표[반영월],$M696)&amp;"")</f>
        <v/>
      </c>
      <c r="K696">
        <f>IF($M696="","",INDEX(상세표[반영 기관],$M696)&amp;"")</f>
        <v/>
      </c>
      <c r="L696">
        <f>IF($M696="","",INDEX(상세표[기관 출처],$M696)&amp;"")</f>
        <v/>
      </c>
      <c r="M696" s="4">
        <f>IFERROR(MATCH(691,상세표[경계순번],0),"")</f>
        <v/>
      </c>
    </row>
    <row r="697">
      <c r="A697">
        <f>IF($M697="","",INDEX(상세표[사번],$M697)&amp;"")</f>
        <v/>
      </c>
      <c r="B697">
        <f>IF($M697="","",INDEX(상세표[성명],$M697)&amp;"")</f>
        <v/>
      </c>
      <c r="C697">
        <f>IF($M697="","",IF(INDEX(상세표[종료월],$M697)=대상월키,"전월→이번 달","이번 달→익월"))</f>
        <v/>
      </c>
      <c r="D697">
        <f>IF($M697="","",IF(ISNUMBER(INDEX(상세표[시작],$M697)),TEXT(INDEX(상세표[시작],$M697),"yyyy-mm-dd hh:mm"),INDEX(상세표[시작],$M697)&amp;""))</f>
        <v/>
      </c>
      <c r="E697">
        <f>IF($M697="","",IF(ISNUMBER(INDEX(상세표[종료],$M697)),TEXT(INDEX(상세표[종료],$M697),"yyyy-mm-dd hh:mm"),INDEX(상세표[종료],$M697)&amp;""))</f>
        <v/>
      </c>
      <c r="F697">
        <f>IF($M697="","",INDEX(상세표[기록 시간외],$M697))</f>
        <v/>
      </c>
      <c r="G697">
        <f>IF($M697="","",INDEX(상세표[시작월 기관],$M697)&amp;"")</f>
        <v/>
      </c>
      <c r="H697">
        <f>IF($M697="","",INDEX(상세표[종료월 기관],$M697)&amp;"")</f>
        <v/>
      </c>
      <c r="I697">
        <f>IF($M697="","",INDEX(상세표[월경계 판정],$M697)&amp;"")</f>
        <v/>
      </c>
      <c r="J697">
        <f>IF($M697="","",INDEX(상세표[반영월],$M697)&amp;"")</f>
        <v/>
      </c>
      <c r="K697">
        <f>IF($M697="","",INDEX(상세표[반영 기관],$M697)&amp;"")</f>
        <v/>
      </c>
      <c r="L697">
        <f>IF($M697="","",INDEX(상세표[기관 출처],$M697)&amp;"")</f>
        <v/>
      </c>
      <c r="M697" s="4">
        <f>IFERROR(MATCH(692,상세표[경계순번],0),"")</f>
        <v/>
      </c>
    </row>
    <row r="698">
      <c r="A698">
        <f>IF($M698="","",INDEX(상세표[사번],$M698)&amp;"")</f>
        <v/>
      </c>
      <c r="B698">
        <f>IF($M698="","",INDEX(상세표[성명],$M698)&amp;"")</f>
        <v/>
      </c>
      <c r="C698">
        <f>IF($M698="","",IF(INDEX(상세표[종료월],$M698)=대상월키,"전월→이번 달","이번 달→익월"))</f>
        <v/>
      </c>
      <c r="D698">
        <f>IF($M698="","",IF(ISNUMBER(INDEX(상세표[시작],$M698)),TEXT(INDEX(상세표[시작],$M698),"yyyy-mm-dd hh:mm"),INDEX(상세표[시작],$M698)&amp;""))</f>
        <v/>
      </c>
      <c r="E698">
        <f>IF($M698="","",IF(ISNUMBER(INDEX(상세표[종료],$M698)),TEXT(INDEX(상세표[종료],$M698),"yyyy-mm-dd hh:mm"),INDEX(상세표[종료],$M698)&amp;""))</f>
        <v/>
      </c>
      <c r="F698">
        <f>IF($M698="","",INDEX(상세표[기록 시간외],$M698))</f>
        <v/>
      </c>
      <c r="G698">
        <f>IF($M698="","",INDEX(상세표[시작월 기관],$M698)&amp;"")</f>
        <v/>
      </c>
      <c r="H698">
        <f>IF($M698="","",INDEX(상세표[종료월 기관],$M698)&amp;"")</f>
        <v/>
      </c>
      <c r="I698">
        <f>IF($M698="","",INDEX(상세표[월경계 판정],$M698)&amp;"")</f>
        <v/>
      </c>
      <c r="J698">
        <f>IF($M698="","",INDEX(상세표[반영월],$M698)&amp;"")</f>
        <v/>
      </c>
      <c r="K698">
        <f>IF($M698="","",INDEX(상세표[반영 기관],$M698)&amp;"")</f>
        <v/>
      </c>
      <c r="L698">
        <f>IF($M698="","",INDEX(상세표[기관 출처],$M698)&amp;"")</f>
        <v/>
      </c>
      <c r="M698" s="4">
        <f>IFERROR(MATCH(693,상세표[경계순번],0),"")</f>
        <v/>
      </c>
    </row>
    <row r="699">
      <c r="A699">
        <f>IF($M699="","",INDEX(상세표[사번],$M699)&amp;"")</f>
        <v/>
      </c>
      <c r="B699">
        <f>IF($M699="","",INDEX(상세표[성명],$M699)&amp;"")</f>
        <v/>
      </c>
      <c r="C699">
        <f>IF($M699="","",IF(INDEX(상세표[종료월],$M699)=대상월키,"전월→이번 달","이번 달→익월"))</f>
        <v/>
      </c>
      <c r="D699">
        <f>IF($M699="","",IF(ISNUMBER(INDEX(상세표[시작],$M699)),TEXT(INDEX(상세표[시작],$M699),"yyyy-mm-dd hh:mm"),INDEX(상세표[시작],$M699)&amp;""))</f>
        <v/>
      </c>
      <c r="E699">
        <f>IF($M699="","",IF(ISNUMBER(INDEX(상세표[종료],$M699)),TEXT(INDEX(상세표[종료],$M699),"yyyy-mm-dd hh:mm"),INDEX(상세표[종료],$M699)&amp;""))</f>
        <v/>
      </c>
      <c r="F699">
        <f>IF($M699="","",INDEX(상세표[기록 시간외],$M699))</f>
        <v/>
      </c>
      <c r="G699">
        <f>IF($M699="","",INDEX(상세표[시작월 기관],$M699)&amp;"")</f>
        <v/>
      </c>
      <c r="H699">
        <f>IF($M699="","",INDEX(상세표[종료월 기관],$M699)&amp;"")</f>
        <v/>
      </c>
      <c r="I699">
        <f>IF($M699="","",INDEX(상세표[월경계 판정],$M699)&amp;"")</f>
        <v/>
      </c>
      <c r="J699">
        <f>IF($M699="","",INDEX(상세표[반영월],$M699)&amp;"")</f>
        <v/>
      </c>
      <c r="K699">
        <f>IF($M699="","",INDEX(상세표[반영 기관],$M699)&amp;"")</f>
        <v/>
      </c>
      <c r="L699">
        <f>IF($M699="","",INDEX(상세표[기관 출처],$M699)&amp;"")</f>
        <v/>
      </c>
      <c r="M699" s="4">
        <f>IFERROR(MATCH(694,상세표[경계순번],0),"")</f>
        <v/>
      </c>
    </row>
    <row r="700">
      <c r="A700">
        <f>IF($M700="","",INDEX(상세표[사번],$M700)&amp;"")</f>
        <v/>
      </c>
      <c r="B700">
        <f>IF($M700="","",INDEX(상세표[성명],$M700)&amp;"")</f>
        <v/>
      </c>
      <c r="C700">
        <f>IF($M700="","",IF(INDEX(상세표[종료월],$M700)=대상월키,"전월→이번 달","이번 달→익월"))</f>
        <v/>
      </c>
      <c r="D700">
        <f>IF($M700="","",IF(ISNUMBER(INDEX(상세표[시작],$M700)),TEXT(INDEX(상세표[시작],$M700),"yyyy-mm-dd hh:mm"),INDEX(상세표[시작],$M700)&amp;""))</f>
        <v/>
      </c>
      <c r="E700">
        <f>IF($M700="","",IF(ISNUMBER(INDEX(상세표[종료],$M700)),TEXT(INDEX(상세표[종료],$M700),"yyyy-mm-dd hh:mm"),INDEX(상세표[종료],$M700)&amp;""))</f>
        <v/>
      </c>
      <c r="F700">
        <f>IF($M700="","",INDEX(상세표[기록 시간외],$M700))</f>
        <v/>
      </c>
      <c r="G700">
        <f>IF($M700="","",INDEX(상세표[시작월 기관],$M700)&amp;"")</f>
        <v/>
      </c>
      <c r="H700">
        <f>IF($M700="","",INDEX(상세표[종료월 기관],$M700)&amp;"")</f>
        <v/>
      </c>
      <c r="I700">
        <f>IF($M700="","",INDEX(상세표[월경계 판정],$M700)&amp;"")</f>
        <v/>
      </c>
      <c r="J700">
        <f>IF($M700="","",INDEX(상세표[반영월],$M700)&amp;"")</f>
        <v/>
      </c>
      <c r="K700">
        <f>IF($M700="","",INDEX(상세표[반영 기관],$M700)&amp;"")</f>
        <v/>
      </c>
      <c r="L700">
        <f>IF($M700="","",INDEX(상세표[기관 출처],$M700)&amp;"")</f>
        <v/>
      </c>
      <c r="M700" s="4">
        <f>IFERROR(MATCH(695,상세표[경계순번],0),"")</f>
        <v/>
      </c>
    </row>
    <row r="701">
      <c r="A701">
        <f>IF($M701="","",INDEX(상세표[사번],$M701)&amp;"")</f>
        <v/>
      </c>
      <c r="B701">
        <f>IF($M701="","",INDEX(상세표[성명],$M701)&amp;"")</f>
        <v/>
      </c>
      <c r="C701">
        <f>IF($M701="","",IF(INDEX(상세표[종료월],$M701)=대상월키,"전월→이번 달","이번 달→익월"))</f>
        <v/>
      </c>
      <c r="D701">
        <f>IF($M701="","",IF(ISNUMBER(INDEX(상세표[시작],$M701)),TEXT(INDEX(상세표[시작],$M701),"yyyy-mm-dd hh:mm"),INDEX(상세표[시작],$M701)&amp;""))</f>
        <v/>
      </c>
      <c r="E701">
        <f>IF($M701="","",IF(ISNUMBER(INDEX(상세표[종료],$M701)),TEXT(INDEX(상세표[종료],$M701),"yyyy-mm-dd hh:mm"),INDEX(상세표[종료],$M701)&amp;""))</f>
        <v/>
      </c>
      <c r="F701">
        <f>IF($M701="","",INDEX(상세표[기록 시간외],$M701))</f>
        <v/>
      </c>
      <c r="G701">
        <f>IF($M701="","",INDEX(상세표[시작월 기관],$M701)&amp;"")</f>
        <v/>
      </c>
      <c r="H701">
        <f>IF($M701="","",INDEX(상세표[종료월 기관],$M701)&amp;"")</f>
        <v/>
      </c>
      <c r="I701">
        <f>IF($M701="","",INDEX(상세표[월경계 판정],$M701)&amp;"")</f>
        <v/>
      </c>
      <c r="J701">
        <f>IF($M701="","",INDEX(상세표[반영월],$M701)&amp;"")</f>
        <v/>
      </c>
      <c r="K701">
        <f>IF($M701="","",INDEX(상세표[반영 기관],$M701)&amp;"")</f>
        <v/>
      </c>
      <c r="L701">
        <f>IF($M701="","",INDEX(상세표[기관 출처],$M701)&amp;"")</f>
        <v/>
      </c>
      <c r="M701" s="4">
        <f>IFERROR(MATCH(696,상세표[경계순번],0),"")</f>
        <v/>
      </c>
    </row>
    <row r="702">
      <c r="A702">
        <f>IF($M702="","",INDEX(상세표[사번],$M702)&amp;"")</f>
        <v/>
      </c>
      <c r="B702">
        <f>IF($M702="","",INDEX(상세표[성명],$M702)&amp;"")</f>
        <v/>
      </c>
      <c r="C702">
        <f>IF($M702="","",IF(INDEX(상세표[종료월],$M702)=대상월키,"전월→이번 달","이번 달→익월"))</f>
        <v/>
      </c>
      <c r="D702">
        <f>IF($M702="","",IF(ISNUMBER(INDEX(상세표[시작],$M702)),TEXT(INDEX(상세표[시작],$M702),"yyyy-mm-dd hh:mm"),INDEX(상세표[시작],$M702)&amp;""))</f>
        <v/>
      </c>
      <c r="E702">
        <f>IF($M702="","",IF(ISNUMBER(INDEX(상세표[종료],$M702)),TEXT(INDEX(상세표[종료],$M702),"yyyy-mm-dd hh:mm"),INDEX(상세표[종료],$M702)&amp;""))</f>
        <v/>
      </c>
      <c r="F702">
        <f>IF($M702="","",INDEX(상세표[기록 시간외],$M702))</f>
        <v/>
      </c>
      <c r="G702">
        <f>IF($M702="","",INDEX(상세표[시작월 기관],$M702)&amp;"")</f>
        <v/>
      </c>
      <c r="H702">
        <f>IF($M702="","",INDEX(상세표[종료월 기관],$M702)&amp;"")</f>
        <v/>
      </c>
      <c r="I702">
        <f>IF($M702="","",INDEX(상세표[월경계 판정],$M702)&amp;"")</f>
        <v/>
      </c>
      <c r="J702">
        <f>IF($M702="","",INDEX(상세표[반영월],$M702)&amp;"")</f>
        <v/>
      </c>
      <c r="K702">
        <f>IF($M702="","",INDEX(상세표[반영 기관],$M702)&amp;"")</f>
        <v/>
      </c>
      <c r="L702">
        <f>IF($M702="","",INDEX(상세표[기관 출처],$M702)&amp;"")</f>
        <v/>
      </c>
      <c r="M702" s="4">
        <f>IFERROR(MATCH(697,상세표[경계순번],0),"")</f>
        <v/>
      </c>
    </row>
    <row r="703">
      <c r="A703">
        <f>IF($M703="","",INDEX(상세표[사번],$M703)&amp;"")</f>
        <v/>
      </c>
      <c r="B703">
        <f>IF($M703="","",INDEX(상세표[성명],$M703)&amp;"")</f>
        <v/>
      </c>
      <c r="C703">
        <f>IF($M703="","",IF(INDEX(상세표[종료월],$M703)=대상월키,"전월→이번 달","이번 달→익월"))</f>
        <v/>
      </c>
      <c r="D703">
        <f>IF($M703="","",IF(ISNUMBER(INDEX(상세표[시작],$M703)),TEXT(INDEX(상세표[시작],$M703),"yyyy-mm-dd hh:mm"),INDEX(상세표[시작],$M703)&amp;""))</f>
        <v/>
      </c>
      <c r="E703">
        <f>IF($M703="","",IF(ISNUMBER(INDEX(상세표[종료],$M703)),TEXT(INDEX(상세표[종료],$M703),"yyyy-mm-dd hh:mm"),INDEX(상세표[종료],$M703)&amp;""))</f>
        <v/>
      </c>
      <c r="F703">
        <f>IF($M703="","",INDEX(상세표[기록 시간외],$M703))</f>
        <v/>
      </c>
      <c r="G703">
        <f>IF($M703="","",INDEX(상세표[시작월 기관],$M703)&amp;"")</f>
        <v/>
      </c>
      <c r="H703">
        <f>IF($M703="","",INDEX(상세표[종료월 기관],$M703)&amp;"")</f>
        <v/>
      </c>
      <c r="I703">
        <f>IF($M703="","",INDEX(상세표[월경계 판정],$M703)&amp;"")</f>
        <v/>
      </c>
      <c r="J703">
        <f>IF($M703="","",INDEX(상세표[반영월],$M703)&amp;"")</f>
        <v/>
      </c>
      <c r="K703">
        <f>IF($M703="","",INDEX(상세표[반영 기관],$M703)&amp;"")</f>
        <v/>
      </c>
      <c r="L703">
        <f>IF($M703="","",INDEX(상세표[기관 출처],$M703)&amp;"")</f>
        <v/>
      </c>
      <c r="M703" s="4">
        <f>IFERROR(MATCH(698,상세표[경계순번],0),"")</f>
        <v/>
      </c>
    </row>
    <row r="704">
      <c r="A704">
        <f>IF($M704="","",INDEX(상세표[사번],$M704)&amp;"")</f>
        <v/>
      </c>
      <c r="B704">
        <f>IF($M704="","",INDEX(상세표[성명],$M704)&amp;"")</f>
        <v/>
      </c>
      <c r="C704">
        <f>IF($M704="","",IF(INDEX(상세표[종료월],$M704)=대상월키,"전월→이번 달","이번 달→익월"))</f>
        <v/>
      </c>
      <c r="D704">
        <f>IF($M704="","",IF(ISNUMBER(INDEX(상세표[시작],$M704)),TEXT(INDEX(상세표[시작],$M704),"yyyy-mm-dd hh:mm"),INDEX(상세표[시작],$M704)&amp;""))</f>
        <v/>
      </c>
      <c r="E704">
        <f>IF($M704="","",IF(ISNUMBER(INDEX(상세표[종료],$M704)),TEXT(INDEX(상세표[종료],$M704),"yyyy-mm-dd hh:mm"),INDEX(상세표[종료],$M704)&amp;""))</f>
        <v/>
      </c>
      <c r="F704">
        <f>IF($M704="","",INDEX(상세표[기록 시간외],$M704))</f>
        <v/>
      </c>
      <c r="G704">
        <f>IF($M704="","",INDEX(상세표[시작월 기관],$M704)&amp;"")</f>
        <v/>
      </c>
      <c r="H704">
        <f>IF($M704="","",INDEX(상세표[종료월 기관],$M704)&amp;"")</f>
        <v/>
      </c>
      <c r="I704">
        <f>IF($M704="","",INDEX(상세표[월경계 판정],$M704)&amp;"")</f>
        <v/>
      </c>
      <c r="J704">
        <f>IF($M704="","",INDEX(상세표[반영월],$M704)&amp;"")</f>
        <v/>
      </c>
      <c r="K704">
        <f>IF($M704="","",INDEX(상세표[반영 기관],$M704)&amp;"")</f>
        <v/>
      </c>
      <c r="L704">
        <f>IF($M704="","",INDEX(상세표[기관 출처],$M704)&amp;"")</f>
        <v/>
      </c>
      <c r="M704" s="4">
        <f>IFERROR(MATCH(699,상세표[경계순번],0),"")</f>
        <v/>
      </c>
    </row>
    <row r="705">
      <c r="A705">
        <f>IF($M705="","",INDEX(상세표[사번],$M705)&amp;"")</f>
        <v/>
      </c>
      <c r="B705">
        <f>IF($M705="","",INDEX(상세표[성명],$M705)&amp;"")</f>
        <v/>
      </c>
      <c r="C705">
        <f>IF($M705="","",IF(INDEX(상세표[종료월],$M705)=대상월키,"전월→이번 달","이번 달→익월"))</f>
        <v/>
      </c>
      <c r="D705">
        <f>IF($M705="","",IF(ISNUMBER(INDEX(상세표[시작],$M705)),TEXT(INDEX(상세표[시작],$M705),"yyyy-mm-dd hh:mm"),INDEX(상세표[시작],$M705)&amp;""))</f>
        <v/>
      </c>
      <c r="E705">
        <f>IF($M705="","",IF(ISNUMBER(INDEX(상세표[종료],$M705)),TEXT(INDEX(상세표[종료],$M705),"yyyy-mm-dd hh:mm"),INDEX(상세표[종료],$M705)&amp;""))</f>
        <v/>
      </c>
      <c r="F705">
        <f>IF($M705="","",INDEX(상세표[기록 시간외],$M705))</f>
        <v/>
      </c>
      <c r="G705">
        <f>IF($M705="","",INDEX(상세표[시작월 기관],$M705)&amp;"")</f>
        <v/>
      </c>
      <c r="H705">
        <f>IF($M705="","",INDEX(상세표[종료월 기관],$M705)&amp;"")</f>
        <v/>
      </c>
      <c r="I705">
        <f>IF($M705="","",INDEX(상세표[월경계 판정],$M705)&amp;"")</f>
        <v/>
      </c>
      <c r="J705">
        <f>IF($M705="","",INDEX(상세표[반영월],$M705)&amp;"")</f>
        <v/>
      </c>
      <c r="K705">
        <f>IF($M705="","",INDEX(상세표[반영 기관],$M705)&amp;"")</f>
        <v/>
      </c>
      <c r="L705">
        <f>IF($M705="","",INDEX(상세표[기관 출처],$M705)&amp;"")</f>
        <v/>
      </c>
      <c r="M705" s="4">
        <f>IFERROR(MATCH(700,상세표[경계순번],0),"")</f>
        <v/>
      </c>
    </row>
    <row r="706">
      <c r="A706">
        <f>IF($M706="","",INDEX(상세표[사번],$M706)&amp;"")</f>
        <v/>
      </c>
      <c r="B706">
        <f>IF($M706="","",INDEX(상세표[성명],$M706)&amp;"")</f>
        <v/>
      </c>
      <c r="C706">
        <f>IF($M706="","",IF(INDEX(상세표[종료월],$M706)=대상월키,"전월→이번 달","이번 달→익월"))</f>
        <v/>
      </c>
      <c r="D706">
        <f>IF($M706="","",IF(ISNUMBER(INDEX(상세표[시작],$M706)),TEXT(INDEX(상세표[시작],$M706),"yyyy-mm-dd hh:mm"),INDEX(상세표[시작],$M706)&amp;""))</f>
        <v/>
      </c>
      <c r="E706">
        <f>IF($M706="","",IF(ISNUMBER(INDEX(상세표[종료],$M706)),TEXT(INDEX(상세표[종료],$M706),"yyyy-mm-dd hh:mm"),INDEX(상세표[종료],$M706)&amp;""))</f>
        <v/>
      </c>
      <c r="F706">
        <f>IF($M706="","",INDEX(상세표[기록 시간외],$M706))</f>
        <v/>
      </c>
      <c r="G706">
        <f>IF($M706="","",INDEX(상세표[시작월 기관],$M706)&amp;"")</f>
        <v/>
      </c>
      <c r="H706">
        <f>IF($M706="","",INDEX(상세표[종료월 기관],$M706)&amp;"")</f>
        <v/>
      </c>
      <c r="I706">
        <f>IF($M706="","",INDEX(상세표[월경계 판정],$M706)&amp;"")</f>
        <v/>
      </c>
      <c r="J706">
        <f>IF($M706="","",INDEX(상세표[반영월],$M706)&amp;"")</f>
        <v/>
      </c>
      <c r="K706">
        <f>IF($M706="","",INDEX(상세표[반영 기관],$M706)&amp;"")</f>
        <v/>
      </c>
      <c r="L706">
        <f>IF($M706="","",INDEX(상세표[기관 출처],$M706)&amp;"")</f>
        <v/>
      </c>
      <c r="M706" s="4">
        <f>IFERROR(MATCH(701,상세표[경계순번],0),"")</f>
        <v/>
      </c>
    </row>
    <row r="707">
      <c r="A707">
        <f>IF($M707="","",INDEX(상세표[사번],$M707)&amp;"")</f>
        <v/>
      </c>
      <c r="B707">
        <f>IF($M707="","",INDEX(상세표[성명],$M707)&amp;"")</f>
        <v/>
      </c>
      <c r="C707">
        <f>IF($M707="","",IF(INDEX(상세표[종료월],$M707)=대상월키,"전월→이번 달","이번 달→익월"))</f>
        <v/>
      </c>
      <c r="D707">
        <f>IF($M707="","",IF(ISNUMBER(INDEX(상세표[시작],$M707)),TEXT(INDEX(상세표[시작],$M707),"yyyy-mm-dd hh:mm"),INDEX(상세표[시작],$M707)&amp;""))</f>
        <v/>
      </c>
      <c r="E707">
        <f>IF($M707="","",IF(ISNUMBER(INDEX(상세표[종료],$M707)),TEXT(INDEX(상세표[종료],$M707),"yyyy-mm-dd hh:mm"),INDEX(상세표[종료],$M707)&amp;""))</f>
        <v/>
      </c>
      <c r="F707">
        <f>IF($M707="","",INDEX(상세표[기록 시간외],$M707))</f>
        <v/>
      </c>
      <c r="G707">
        <f>IF($M707="","",INDEX(상세표[시작월 기관],$M707)&amp;"")</f>
        <v/>
      </c>
      <c r="H707">
        <f>IF($M707="","",INDEX(상세표[종료월 기관],$M707)&amp;"")</f>
        <v/>
      </c>
      <c r="I707">
        <f>IF($M707="","",INDEX(상세표[월경계 판정],$M707)&amp;"")</f>
        <v/>
      </c>
      <c r="J707">
        <f>IF($M707="","",INDEX(상세표[반영월],$M707)&amp;"")</f>
        <v/>
      </c>
      <c r="K707">
        <f>IF($M707="","",INDEX(상세표[반영 기관],$M707)&amp;"")</f>
        <v/>
      </c>
      <c r="L707">
        <f>IF($M707="","",INDEX(상세표[기관 출처],$M707)&amp;"")</f>
        <v/>
      </c>
      <c r="M707" s="4">
        <f>IFERROR(MATCH(702,상세표[경계순번],0),"")</f>
        <v/>
      </c>
    </row>
    <row r="708">
      <c r="A708">
        <f>IF($M708="","",INDEX(상세표[사번],$M708)&amp;"")</f>
        <v/>
      </c>
      <c r="B708">
        <f>IF($M708="","",INDEX(상세표[성명],$M708)&amp;"")</f>
        <v/>
      </c>
      <c r="C708">
        <f>IF($M708="","",IF(INDEX(상세표[종료월],$M708)=대상월키,"전월→이번 달","이번 달→익월"))</f>
        <v/>
      </c>
      <c r="D708">
        <f>IF($M708="","",IF(ISNUMBER(INDEX(상세표[시작],$M708)),TEXT(INDEX(상세표[시작],$M708),"yyyy-mm-dd hh:mm"),INDEX(상세표[시작],$M708)&amp;""))</f>
        <v/>
      </c>
      <c r="E708">
        <f>IF($M708="","",IF(ISNUMBER(INDEX(상세표[종료],$M708)),TEXT(INDEX(상세표[종료],$M708),"yyyy-mm-dd hh:mm"),INDEX(상세표[종료],$M708)&amp;""))</f>
        <v/>
      </c>
      <c r="F708">
        <f>IF($M708="","",INDEX(상세표[기록 시간외],$M708))</f>
        <v/>
      </c>
      <c r="G708">
        <f>IF($M708="","",INDEX(상세표[시작월 기관],$M708)&amp;"")</f>
        <v/>
      </c>
      <c r="H708">
        <f>IF($M708="","",INDEX(상세표[종료월 기관],$M708)&amp;"")</f>
        <v/>
      </c>
      <c r="I708">
        <f>IF($M708="","",INDEX(상세표[월경계 판정],$M708)&amp;"")</f>
        <v/>
      </c>
      <c r="J708">
        <f>IF($M708="","",INDEX(상세표[반영월],$M708)&amp;"")</f>
        <v/>
      </c>
      <c r="K708">
        <f>IF($M708="","",INDEX(상세표[반영 기관],$M708)&amp;"")</f>
        <v/>
      </c>
      <c r="L708">
        <f>IF($M708="","",INDEX(상세표[기관 출처],$M708)&amp;"")</f>
        <v/>
      </c>
      <c r="M708" s="4">
        <f>IFERROR(MATCH(703,상세표[경계순번],0),"")</f>
        <v/>
      </c>
    </row>
    <row r="709">
      <c r="A709">
        <f>IF($M709="","",INDEX(상세표[사번],$M709)&amp;"")</f>
        <v/>
      </c>
      <c r="B709">
        <f>IF($M709="","",INDEX(상세표[성명],$M709)&amp;"")</f>
        <v/>
      </c>
      <c r="C709">
        <f>IF($M709="","",IF(INDEX(상세표[종료월],$M709)=대상월키,"전월→이번 달","이번 달→익월"))</f>
        <v/>
      </c>
      <c r="D709">
        <f>IF($M709="","",IF(ISNUMBER(INDEX(상세표[시작],$M709)),TEXT(INDEX(상세표[시작],$M709),"yyyy-mm-dd hh:mm"),INDEX(상세표[시작],$M709)&amp;""))</f>
        <v/>
      </c>
      <c r="E709">
        <f>IF($M709="","",IF(ISNUMBER(INDEX(상세표[종료],$M709)),TEXT(INDEX(상세표[종료],$M709),"yyyy-mm-dd hh:mm"),INDEX(상세표[종료],$M709)&amp;""))</f>
        <v/>
      </c>
      <c r="F709">
        <f>IF($M709="","",INDEX(상세표[기록 시간외],$M709))</f>
        <v/>
      </c>
      <c r="G709">
        <f>IF($M709="","",INDEX(상세표[시작월 기관],$M709)&amp;"")</f>
        <v/>
      </c>
      <c r="H709">
        <f>IF($M709="","",INDEX(상세표[종료월 기관],$M709)&amp;"")</f>
        <v/>
      </c>
      <c r="I709">
        <f>IF($M709="","",INDEX(상세표[월경계 판정],$M709)&amp;"")</f>
        <v/>
      </c>
      <c r="J709">
        <f>IF($M709="","",INDEX(상세표[반영월],$M709)&amp;"")</f>
        <v/>
      </c>
      <c r="K709">
        <f>IF($M709="","",INDEX(상세표[반영 기관],$M709)&amp;"")</f>
        <v/>
      </c>
      <c r="L709">
        <f>IF($M709="","",INDEX(상세표[기관 출처],$M709)&amp;"")</f>
        <v/>
      </c>
      <c r="M709" s="4">
        <f>IFERROR(MATCH(704,상세표[경계순번],0),"")</f>
        <v/>
      </c>
    </row>
    <row r="710">
      <c r="A710">
        <f>IF($M710="","",INDEX(상세표[사번],$M710)&amp;"")</f>
        <v/>
      </c>
      <c r="B710">
        <f>IF($M710="","",INDEX(상세표[성명],$M710)&amp;"")</f>
        <v/>
      </c>
      <c r="C710">
        <f>IF($M710="","",IF(INDEX(상세표[종료월],$M710)=대상월키,"전월→이번 달","이번 달→익월"))</f>
        <v/>
      </c>
      <c r="D710">
        <f>IF($M710="","",IF(ISNUMBER(INDEX(상세표[시작],$M710)),TEXT(INDEX(상세표[시작],$M710),"yyyy-mm-dd hh:mm"),INDEX(상세표[시작],$M710)&amp;""))</f>
        <v/>
      </c>
      <c r="E710">
        <f>IF($M710="","",IF(ISNUMBER(INDEX(상세표[종료],$M710)),TEXT(INDEX(상세표[종료],$M710),"yyyy-mm-dd hh:mm"),INDEX(상세표[종료],$M710)&amp;""))</f>
        <v/>
      </c>
      <c r="F710">
        <f>IF($M710="","",INDEX(상세표[기록 시간외],$M710))</f>
        <v/>
      </c>
      <c r="G710">
        <f>IF($M710="","",INDEX(상세표[시작월 기관],$M710)&amp;"")</f>
        <v/>
      </c>
      <c r="H710">
        <f>IF($M710="","",INDEX(상세표[종료월 기관],$M710)&amp;"")</f>
        <v/>
      </c>
      <c r="I710">
        <f>IF($M710="","",INDEX(상세표[월경계 판정],$M710)&amp;"")</f>
        <v/>
      </c>
      <c r="J710">
        <f>IF($M710="","",INDEX(상세표[반영월],$M710)&amp;"")</f>
        <v/>
      </c>
      <c r="K710">
        <f>IF($M710="","",INDEX(상세표[반영 기관],$M710)&amp;"")</f>
        <v/>
      </c>
      <c r="L710">
        <f>IF($M710="","",INDEX(상세표[기관 출처],$M710)&amp;"")</f>
        <v/>
      </c>
      <c r="M710" s="4">
        <f>IFERROR(MATCH(705,상세표[경계순번],0),"")</f>
        <v/>
      </c>
    </row>
    <row r="711">
      <c r="A711">
        <f>IF($M711="","",INDEX(상세표[사번],$M711)&amp;"")</f>
        <v/>
      </c>
      <c r="B711">
        <f>IF($M711="","",INDEX(상세표[성명],$M711)&amp;"")</f>
        <v/>
      </c>
      <c r="C711">
        <f>IF($M711="","",IF(INDEX(상세표[종료월],$M711)=대상월키,"전월→이번 달","이번 달→익월"))</f>
        <v/>
      </c>
      <c r="D711">
        <f>IF($M711="","",IF(ISNUMBER(INDEX(상세표[시작],$M711)),TEXT(INDEX(상세표[시작],$M711),"yyyy-mm-dd hh:mm"),INDEX(상세표[시작],$M711)&amp;""))</f>
        <v/>
      </c>
      <c r="E711">
        <f>IF($M711="","",IF(ISNUMBER(INDEX(상세표[종료],$M711)),TEXT(INDEX(상세표[종료],$M711),"yyyy-mm-dd hh:mm"),INDEX(상세표[종료],$M711)&amp;""))</f>
        <v/>
      </c>
      <c r="F711">
        <f>IF($M711="","",INDEX(상세표[기록 시간외],$M711))</f>
        <v/>
      </c>
      <c r="G711">
        <f>IF($M711="","",INDEX(상세표[시작월 기관],$M711)&amp;"")</f>
        <v/>
      </c>
      <c r="H711">
        <f>IF($M711="","",INDEX(상세표[종료월 기관],$M711)&amp;"")</f>
        <v/>
      </c>
      <c r="I711">
        <f>IF($M711="","",INDEX(상세표[월경계 판정],$M711)&amp;"")</f>
        <v/>
      </c>
      <c r="J711">
        <f>IF($M711="","",INDEX(상세표[반영월],$M711)&amp;"")</f>
        <v/>
      </c>
      <c r="K711">
        <f>IF($M711="","",INDEX(상세표[반영 기관],$M711)&amp;"")</f>
        <v/>
      </c>
      <c r="L711">
        <f>IF($M711="","",INDEX(상세표[기관 출처],$M711)&amp;"")</f>
        <v/>
      </c>
      <c r="M711" s="4">
        <f>IFERROR(MATCH(706,상세표[경계순번],0),"")</f>
        <v/>
      </c>
    </row>
    <row r="712">
      <c r="A712">
        <f>IF($M712="","",INDEX(상세표[사번],$M712)&amp;"")</f>
        <v/>
      </c>
      <c r="B712">
        <f>IF($M712="","",INDEX(상세표[성명],$M712)&amp;"")</f>
        <v/>
      </c>
      <c r="C712">
        <f>IF($M712="","",IF(INDEX(상세표[종료월],$M712)=대상월키,"전월→이번 달","이번 달→익월"))</f>
        <v/>
      </c>
      <c r="D712">
        <f>IF($M712="","",IF(ISNUMBER(INDEX(상세표[시작],$M712)),TEXT(INDEX(상세표[시작],$M712),"yyyy-mm-dd hh:mm"),INDEX(상세표[시작],$M712)&amp;""))</f>
        <v/>
      </c>
      <c r="E712">
        <f>IF($M712="","",IF(ISNUMBER(INDEX(상세표[종료],$M712)),TEXT(INDEX(상세표[종료],$M712),"yyyy-mm-dd hh:mm"),INDEX(상세표[종료],$M712)&amp;""))</f>
        <v/>
      </c>
      <c r="F712">
        <f>IF($M712="","",INDEX(상세표[기록 시간외],$M712))</f>
        <v/>
      </c>
      <c r="G712">
        <f>IF($M712="","",INDEX(상세표[시작월 기관],$M712)&amp;"")</f>
        <v/>
      </c>
      <c r="H712">
        <f>IF($M712="","",INDEX(상세표[종료월 기관],$M712)&amp;"")</f>
        <v/>
      </c>
      <c r="I712">
        <f>IF($M712="","",INDEX(상세표[월경계 판정],$M712)&amp;"")</f>
        <v/>
      </c>
      <c r="J712">
        <f>IF($M712="","",INDEX(상세표[반영월],$M712)&amp;"")</f>
        <v/>
      </c>
      <c r="K712">
        <f>IF($M712="","",INDEX(상세표[반영 기관],$M712)&amp;"")</f>
        <v/>
      </c>
      <c r="L712">
        <f>IF($M712="","",INDEX(상세표[기관 출처],$M712)&amp;"")</f>
        <v/>
      </c>
      <c r="M712" s="4">
        <f>IFERROR(MATCH(707,상세표[경계순번],0),"")</f>
        <v/>
      </c>
    </row>
    <row r="713">
      <c r="A713">
        <f>IF($M713="","",INDEX(상세표[사번],$M713)&amp;"")</f>
        <v/>
      </c>
      <c r="B713">
        <f>IF($M713="","",INDEX(상세표[성명],$M713)&amp;"")</f>
        <v/>
      </c>
      <c r="C713">
        <f>IF($M713="","",IF(INDEX(상세표[종료월],$M713)=대상월키,"전월→이번 달","이번 달→익월"))</f>
        <v/>
      </c>
      <c r="D713">
        <f>IF($M713="","",IF(ISNUMBER(INDEX(상세표[시작],$M713)),TEXT(INDEX(상세표[시작],$M713),"yyyy-mm-dd hh:mm"),INDEX(상세표[시작],$M713)&amp;""))</f>
        <v/>
      </c>
      <c r="E713">
        <f>IF($M713="","",IF(ISNUMBER(INDEX(상세표[종료],$M713)),TEXT(INDEX(상세표[종료],$M713),"yyyy-mm-dd hh:mm"),INDEX(상세표[종료],$M713)&amp;""))</f>
        <v/>
      </c>
      <c r="F713">
        <f>IF($M713="","",INDEX(상세표[기록 시간외],$M713))</f>
        <v/>
      </c>
      <c r="G713">
        <f>IF($M713="","",INDEX(상세표[시작월 기관],$M713)&amp;"")</f>
        <v/>
      </c>
      <c r="H713">
        <f>IF($M713="","",INDEX(상세표[종료월 기관],$M713)&amp;"")</f>
        <v/>
      </c>
      <c r="I713">
        <f>IF($M713="","",INDEX(상세표[월경계 판정],$M713)&amp;"")</f>
        <v/>
      </c>
      <c r="J713">
        <f>IF($M713="","",INDEX(상세표[반영월],$M713)&amp;"")</f>
        <v/>
      </c>
      <c r="K713">
        <f>IF($M713="","",INDEX(상세표[반영 기관],$M713)&amp;"")</f>
        <v/>
      </c>
      <c r="L713">
        <f>IF($M713="","",INDEX(상세표[기관 출처],$M713)&amp;"")</f>
        <v/>
      </c>
      <c r="M713" s="4">
        <f>IFERROR(MATCH(708,상세표[경계순번],0),"")</f>
        <v/>
      </c>
    </row>
    <row r="714">
      <c r="A714">
        <f>IF($M714="","",INDEX(상세표[사번],$M714)&amp;"")</f>
        <v/>
      </c>
      <c r="B714">
        <f>IF($M714="","",INDEX(상세표[성명],$M714)&amp;"")</f>
        <v/>
      </c>
      <c r="C714">
        <f>IF($M714="","",IF(INDEX(상세표[종료월],$M714)=대상월키,"전월→이번 달","이번 달→익월"))</f>
        <v/>
      </c>
      <c r="D714">
        <f>IF($M714="","",IF(ISNUMBER(INDEX(상세표[시작],$M714)),TEXT(INDEX(상세표[시작],$M714),"yyyy-mm-dd hh:mm"),INDEX(상세표[시작],$M714)&amp;""))</f>
        <v/>
      </c>
      <c r="E714">
        <f>IF($M714="","",IF(ISNUMBER(INDEX(상세표[종료],$M714)),TEXT(INDEX(상세표[종료],$M714),"yyyy-mm-dd hh:mm"),INDEX(상세표[종료],$M714)&amp;""))</f>
        <v/>
      </c>
      <c r="F714">
        <f>IF($M714="","",INDEX(상세표[기록 시간외],$M714))</f>
        <v/>
      </c>
      <c r="G714">
        <f>IF($M714="","",INDEX(상세표[시작월 기관],$M714)&amp;"")</f>
        <v/>
      </c>
      <c r="H714">
        <f>IF($M714="","",INDEX(상세표[종료월 기관],$M714)&amp;"")</f>
        <v/>
      </c>
      <c r="I714">
        <f>IF($M714="","",INDEX(상세표[월경계 판정],$M714)&amp;"")</f>
        <v/>
      </c>
      <c r="J714">
        <f>IF($M714="","",INDEX(상세표[반영월],$M714)&amp;"")</f>
        <v/>
      </c>
      <c r="K714">
        <f>IF($M714="","",INDEX(상세표[반영 기관],$M714)&amp;"")</f>
        <v/>
      </c>
      <c r="L714">
        <f>IF($M714="","",INDEX(상세표[기관 출처],$M714)&amp;"")</f>
        <v/>
      </c>
      <c r="M714" s="4">
        <f>IFERROR(MATCH(709,상세표[경계순번],0),"")</f>
        <v/>
      </c>
    </row>
    <row r="715">
      <c r="A715">
        <f>IF($M715="","",INDEX(상세표[사번],$M715)&amp;"")</f>
        <v/>
      </c>
      <c r="B715">
        <f>IF($M715="","",INDEX(상세표[성명],$M715)&amp;"")</f>
        <v/>
      </c>
      <c r="C715">
        <f>IF($M715="","",IF(INDEX(상세표[종료월],$M715)=대상월키,"전월→이번 달","이번 달→익월"))</f>
        <v/>
      </c>
      <c r="D715">
        <f>IF($M715="","",IF(ISNUMBER(INDEX(상세표[시작],$M715)),TEXT(INDEX(상세표[시작],$M715),"yyyy-mm-dd hh:mm"),INDEX(상세표[시작],$M715)&amp;""))</f>
        <v/>
      </c>
      <c r="E715">
        <f>IF($M715="","",IF(ISNUMBER(INDEX(상세표[종료],$M715)),TEXT(INDEX(상세표[종료],$M715),"yyyy-mm-dd hh:mm"),INDEX(상세표[종료],$M715)&amp;""))</f>
        <v/>
      </c>
      <c r="F715">
        <f>IF($M715="","",INDEX(상세표[기록 시간외],$M715))</f>
        <v/>
      </c>
      <c r="G715">
        <f>IF($M715="","",INDEX(상세표[시작월 기관],$M715)&amp;"")</f>
        <v/>
      </c>
      <c r="H715">
        <f>IF($M715="","",INDEX(상세표[종료월 기관],$M715)&amp;"")</f>
        <v/>
      </c>
      <c r="I715">
        <f>IF($M715="","",INDEX(상세표[월경계 판정],$M715)&amp;"")</f>
        <v/>
      </c>
      <c r="J715">
        <f>IF($M715="","",INDEX(상세표[반영월],$M715)&amp;"")</f>
        <v/>
      </c>
      <c r="K715">
        <f>IF($M715="","",INDEX(상세표[반영 기관],$M715)&amp;"")</f>
        <v/>
      </c>
      <c r="L715">
        <f>IF($M715="","",INDEX(상세표[기관 출처],$M715)&amp;"")</f>
        <v/>
      </c>
      <c r="M715" s="4">
        <f>IFERROR(MATCH(710,상세표[경계순번],0),"")</f>
        <v/>
      </c>
    </row>
    <row r="716">
      <c r="A716">
        <f>IF($M716="","",INDEX(상세표[사번],$M716)&amp;"")</f>
        <v/>
      </c>
      <c r="B716">
        <f>IF($M716="","",INDEX(상세표[성명],$M716)&amp;"")</f>
        <v/>
      </c>
      <c r="C716">
        <f>IF($M716="","",IF(INDEX(상세표[종료월],$M716)=대상월키,"전월→이번 달","이번 달→익월"))</f>
        <v/>
      </c>
      <c r="D716">
        <f>IF($M716="","",IF(ISNUMBER(INDEX(상세표[시작],$M716)),TEXT(INDEX(상세표[시작],$M716),"yyyy-mm-dd hh:mm"),INDEX(상세표[시작],$M716)&amp;""))</f>
        <v/>
      </c>
      <c r="E716">
        <f>IF($M716="","",IF(ISNUMBER(INDEX(상세표[종료],$M716)),TEXT(INDEX(상세표[종료],$M716),"yyyy-mm-dd hh:mm"),INDEX(상세표[종료],$M716)&amp;""))</f>
        <v/>
      </c>
      <c r="F716">
        <f>IF($M716="","",INDEX(상세표[기록 시간외],$M716))</f>
        <v/>
      </c>
      <c r="G716">
        <f>IF($M716="","",INDEX(상세표[시작월 기관],$M716)&amp;"")</f>
        <v/>
      </c>
      <c r="H716">
        <f>IF($M716="","",INDEX(상세표[종료월 기관],$M716)&amp;"")</f>
        <v/>
      </c>
      <c r="I716">
        <f>IF($M716="","",INDEX(상세표[월경계 판정],$M716)&amp;"")</f>
        <v/>
      </c>
      <c r="J716">
        <f>IF($M716="","",INDEX(상세표[반영월],$M716)&amp;"")</f>
        <v/>
      </c>
      <c r="K716">
        <f>IF($M716="","",INDEX(상세표[반영 기관],$M716)&amp;"")</f>
        <v/>
      </c>
      <c r="L716">
        <f>IF($M716="","",INDEX(상세표[기관 출처],$M716)&amp;"")</f>
        <v/>
      </c>
      <c r="M716" s="4">
        <f>IFERROR(MATCH(711,상세표[경계순번],0),"")</f>
        <v/>
      </c>
    </row>
    <row r="717">
      <c r="A717">
        <f>IF($M717="","",INDEX(상세표[사번],$M717)&amp;"")</f>
        <v/>
      </c>
      <c r="B717">
        <f>IF($M717="","",INDEX(상세표[성명],$M717)&amp;"")</f>
        <v/>
      </c>
      <c r="C717">
        <f>IF($M717="","",IF(INDEX(상세표[종료월],$M717)=대상월키,"전월→이번 달","이번 달→익월"))</f>
        <v/>
      </c>
      <c r="D717">
        <f>IF($M717="","",IF(ISNUMBER(INDEX(상세표[시작],$M717)),TEXT(INDEX(상세표[시작],$M717),"yyyy-mm-dd hh:mm"),INDEX(상세표[시작],$M717)&amp;""))</f>
        <v/>
      </c>
      <c r="E717">
        <f>IF($M717="","",IF(ISNUMBER(INDEX(상세표[종료],$M717)),TEXT(INDEX(상세표[종료],$M717),"yyyy-mm-dd hh:mm"),INDEX(상세표[종료],$M717)&amp;""))</f>
        <v/>
      </c>
      <c r="F717">
        <f>IF($M717="","",INDEX(상세표[기록 시간외],$M717))</f>
        <v/>
      </c>
      <c r="G717">
        <f>IF($M717="","",INDEX(상세표[시작월 기관],$M717)&amp;"")</f>
        <v/>
      </c>
      <c r="H717">
        <f>IF($M717="","",INDEX(상세표[종료월 기관],$M717)&amp;"")</f>
        <v/>
      </c>
      <c r="I717">
        <f>IF($M717="","",INDEX(상세표[월경계 판정],$M717)&amp;"")</f>
        <v/>
      </c>
      <c r="J717">
        <f>IF($M717="","",INDEX(상세표[반영월],$M717)&amp;"")</f>
        <v/>
      </c>
      <c r="K717">
        <f>IF($M717="","",INDEX(상세표[반영 기관],$M717)&amp;"")</f>
        <v/>
      </c>
      <c r="L717">
        <f>IF($M717="","",INDEX(상세표[기관 출처],$M717)&amp;"")</f>
        <v/>
      </c>
      <c r="M717" s="4">
        <f>IFERROR(MATCH(712,상세표[경계순번],0),"")</f>
        <v/>
      </c>
    </row>
    <row r="718">
      <c r="A718">
        <f>IF($M718="","",INDEX(상세표[사번],$M718)&amp;"")</f>
        <v/>
      </c>
      <c r="B718">
        <f>IF($M718="","",INDEX(상세표[성명],$M718)&amp;"")</f>
        <v/>
      </c>
      <c r="C718">
        <f>IF($M718="","",IF(INDEX(상세표[종료월],$M718)=대상월키,"전월→이번 달","이번 달→익월"))</f>
        <v/>
      </c>
      <c r="D718">
        <f>IF($M718="","",IF(ISNUMBER(INDEX(상세표[시작],$M718)),TEXT(INDEX(상세표[시작],$M718),"yyyy-mm-dd hh:mm"),INDEX(상세표[시작],$M718)&amp;""))</f>
        <v/>
      </c>
      <c r="E718">
        <f>IF($M718="","",IF(ISNUMBER(INDEX(상세표[종료],$M718)),TEXT(INDEX(상세표[종료],$M718),"yyyy-mm-dd hh:mm"),INDEX(상세표[종료],$M718)&amp;""))</f>
        <v/>
      </c>
      <c r="F718">
        <f>IF($M718="","",INDEX(상세표[기록 시간외],$M718))</f>
        <v/>
      </c>
      <c r="G718">
        <f>IF($M718="","",INDEX(상세표[시작월 기관],$M718)&amp;"")</f>
        <v/>
      </c>
      <c r="H718">
        <f>IF($M718="","",INDEX(상세표[종료월 기관],$M718)&amp;"")</f>
        <v/>
      </c>
      <c r="I718">
        <f>IF($M718="","",INDEX(상세표[월경계 판정],$M718)&amp;"")</f>
        <v/>
      </c>
      <c r="J718">
        <f>IF($M718="","",INDEX(상세표[반영월],$M718)&amp;"")</f>
        <v/>
      </c>
      <c r="K718">
        <f>IF($M718="","",INDEX(상세표[반영 기관],$M718)&amp;"")</f>
        <v/>
      </c>
      <c r="L718">
        <f>IF($M718="","",INDEX(상세표[기관 출처],$M718)&amp;"")</f>
        <v/>
      </c>
      <c r="M718" s="4">
        <f>IFERROR(MATCH(713,상세표[경계순번],0),"")</f>
        <v/>
      </c>
    </row>
    <row r="719">
      <c r="A719">
        <f>IF($M719="","",INDEX(상세표[사번],$M719)&amp;"")</f>
        <v/>
      </c>
      <c r="B719">
        <f>IF($M719="","",INDEX(상세표[성명],$M719)&amp;"")</f>
        <v/>
      </c>
      <c r="C719">
        <f>IF($M719="","",IF(INDEX(상세표[종료월],$M719)=대상월키,"전월→이번 달","이번 달→익월"))</f>
        <v/>
      </c>
      <c r="D719">
        <f>IF($M719="","",IF(ISNUMBER(INDEX(상세표[시작],$M719)),TEXT(INDEX(상세표[시작],$M719),"yyyy-mm-dd hh:mm"),INDEX(상세표[시작],$M719)&amp;""))</f>
        <v/>
      </c>
      <c r="E719">
        <f>IF($M719="","",IF(ISNUMBER(INDEX(상세표[종료],$M719)),TEXT(INDEX(상세표[종료],$M719),"yyyy-mm-dd hh:mm"),INDEX(상세표[종료],$M719)&amp;""))</f>
        <v/>
      </c>
      <c r="F719">
        <f>IF($M719="","",INDEX(상세표[기록 시간외],$M719))</f>
        <v/>
      </c>
      <c r="G719">
        <f>IF($M719="","",INDEX(상세표[시작월 기관],$M719)&amp;"")</f>
        <v/>
      </c>
      <c r="H719">
        <f>IF($M719="","",INDEX(상세표[종료월 기관],$M719)&amp;"")</f>
        <v/>
      </c>
      <c r="I719">
        <f>IF($M719="","",INDEX(상세표[월경계 판정],$M719)&amp;"")</f>
        <v/>
      </c>
      <c r="J719">
        <f>IF($M719="","",INDEX(상세표[반영월],$M719)&amp;"")</f>
        <v/>
      </c>
      <c r="K719">
        <f>IF($M719="","",INDEX(상세표[반영 기관],$M719)&amp;"")</f>
        <v/>
      </c>
      <c r="L719">
        <f>IF($M719="","",INDEX(상세표[기관 출처],$M719)&amp;"")</f>
        <v/>
      </c>
      <c r="M719" s="4">
        <f>IFERROR(MATCH(714,상세표[경계순번],0),"")</f>
        <v/>
      </c>
    </row>
    <row r="720">
      <c r="A720">
        <f>IF($M720="","",INDEX(상세표[사번],$M720)&amp;"")</f>
        <v/>
      </c>
      <c r="B720">
        <f>IF($M720="","",INDEX(상세표[성명],$M720)&amp;"")</f>
        <v/>
      </c>
      <c r="C720">
        <f>IF($M720="","",IF(INDEX(상세표[종료월],$M720)=대상월키,"전월→이번 달","이번 달→익월"))</f>
        <v/>
      </c>
      <c r="D720">
        <f>IF($M720="","",IF(ISNUMBER(INDEX(상세표[시작],$M720)),TEXT(INDEX(상세표[시작],$M720),"yyyy-mm-dd hh:mm"),INDEX(상세표[시작],$M720)&amp;""))</f>
        <v/>
      </c>
      <c r="E720">
        <f>IF($M720="","",IF(ISNUMBER(INDEX(상세표[종료],$M720)),TEXT(INDEX(상세표[종료],$M720),"yyyy-mm-dd hh:mm"),INDEX(상세표[종료],$M720)&amp;""))</f>
        <v/>
      </c>
      <c r="F720">
        <f>IF($M720="","",INDEX(상세표[기록 시간외],$M720))</f>
        <v/>
      </c>
      <c r="G720">
        <f>IF($M720="","",INDEX(상세표[시작월 기관],$M720)&amp;"")</f>
        <v/>
      </c>
      <c r="H720">
        <f>IF($M720="","",INDEX(상세표[종료월 기관],$M720)&amp;"")</f>
        <v/>
      </c>
      <c r="I720">
        <f>IF($M720="","",INDEX(상세표[월경계 판정],$M720)&amp;"")</f>
        <v/>
      </c>
      <c r="J720">
        <f>IF($M720="","",INDEX(상세표[반영월],$M720)&amp;"")</f>
        <v/>
      </c>
      <c r="K720">
        <f>IF($M720="","",INDEX(상세표[반영 기관],$M720)&amp;"")</f>
        <v/>
      </c>
      <c r="L720">
        <f>IF($M720="","",INDEX(상세표[기관 출처],$M720)&amp;"")</f>
        <v/>
      </c>
      <c r="M720" s="4">
        <f>IFERROR(MATCH(715,상세표[경계순번],0),"")</f>
        <v/>
      </c>
    </row>
    <row r="721">
      <c r="A721">
        <f>IF($M721="","",INDEX(상세표[사번],$M721)&amp;"")</f>
        <v/>
      </c>
      <c r="B721">
        <f>IF($M721="","",INDEX(상세표[성명],$M721)&amp;"")</f>
        <v/>
      </c>
      <c r="C721">
        <f>IF($M721="","",IF(INDEX(상세표[종료월],$M721)=대상월키,"전월→이번 달","이번 달→익월"))</f>
        <v/>
      </c>
      <c r="D721">
        <f>IF($M721="","",IF(ISNUMBER(INDEX(상세표[시작],$M721)),TEXT(INDEX(상세표[시작],$M721),"yyyy-mm-dd hh:mm"),INDEX(상세표[시작],$M721)&amp;""))</f>
        <v/>
      </c>
      <c r="E721">
        <f>IF($M721="","",IF(ISNUMBER(INDEX(상세표[종료],$M721)),TEXT(INDEX(상세표[종료],$M721),"yyyy-mm-dd hh:mm"),INDEX(상세표[종료],$M721)&amp;""))</f>
        <v/>
      </c>
      <c r="F721">
        <f>IF($M721="","",INDEX(상세표[기록 시간외],$M721))</f>
        <v/>
      </c>
      <c r="G721">
        <f>IF($M721="","",INDEX(상세표[시작월 기관],$M721)&amp;"")</f>
        <v/>
      </c>
      <c r="H721">
        <f>IF($M721="","",INDEX(상세표[종료월 기관],$M721)&amp;"")</f>
        <v/>
      </c>
      <c r="I721">
        <f>IF($M721="","",INDEX(상세표[월경계 판정],$M721)&amp;"")</f>
        <v/>
      </c>
      <c r="J721">
        <f>IF($M721="","",INDEX(상세표[반영월],$M721)&amp;"")</f>
        <v/>
      </c>
      <c r="K721">
        <f>IF($M721="","",INDEX(상세표[반영 기관],$M721)&amp;"")</f>
        <v/>
      </c>
      <c r="L721">
        <f>IF($M721="","",INDEX(상세표[기관 출처],$M721)&amp;"")</f>
        <v/>
      </c>
      <c r="M721" s="4">
        <f>IFERROR(MATCH(716,상세표[경계순번],0),"")</f>
        <v/>
      </c>
    </row>
    <row r="722">
      <c r="A722">
        <f>IF($M722="","",INDEX(상세표[사번],$M722)&amp;"")</f>
        <v/>
      </c>
      <c r="B722">
        <f>IF($M722="","",INDEX(상세표[성명],$M722)&amp;"")</f>
        <v/>
      </c>
      <c r="C722">
        <f>IF($M722="","",IF(INDEX(상세표[종료월],$M722)=대상월키,"전월→이번 달","이번 달→익월"))</f>
        <v/>
      </c>
      <c r="D722">
        <f>IF($M722="","",IF(ISNUMBER(INDEX(상세표[시작],$M722)),TEXT(INDEX(상세표[시작],$M722),"yyyy-mm-dd hh:mm"),INDEX(상세표[시작],$M722)&amp;""))</f>
        <v/>
      </c>
      <c r="E722">
        <f>IF($M722="","",IF(ISNUMBER(INDEX(상세표[종료],$M722)),TEXT(INDEX(상세표[종료],$M722),"yyyy-mm-dd hh:mm"),INDEX(상세표[종료],$M722)&amp;""))</f>
        <v/>
      </c>
      <c r="F722">
        <f>IF($M722="","",INDEX(상세표[기록 시간외],$M722))</f>
        <v/>
      </c>
      <c r="G722">
        <f>IF($M722="","",INDEX(상세표[시작월 기관],$M722)&amp;"")</f>
        <v/>
      </c>
      <c r="H722">
        <f>IF($M722="","",INDEX(상세표[종료월 기관],$M722)&amp;"")</f>
        <v/>
      </c>
      <c r="I722">
        <f>IF($M722="","",INDEX(상세표[월경계 판정],$M722)&amp;"")</f>
        <v/>
      </c>
      <c r="J722">
        <f>IF($M722="","",INDEX(상세표[반영월],$M722)&amp;"")</f>
        <v/>
      </c>
      <c r="K722">
        <f>IF($M722="","",INDEX(상세표[반영 기관],$M722)&amp;"")</f>
        <v/>
      </c>
      <c r="L722">
        <f>IF($M722="","",INDEX(상세표[기관 출처],$M722)&amp;"")</f>
        <v/>
      </c>
      <c r="M722" s="4">
        <f>IFERROR(MATCH(717,상세표[경계순번],0),"")</f>
        <v/>
      </c>
    </row>
    <row r="723">
      <c r="A723">
        <f>IF($M723="","",INDEX(상세표[사번],$M723)&amp;"")</f>
        <v/>
      </c>
      <c r="B723">
        <f>IF($M723="","",INDEX(상세표[성명],$M723)&amp;"")</f>
        <v/>
      </c>
      <c r="C723">
        <f>IF($M723="","",IF(INDEX(상세표[종료월],$M723)=대상월키,"전월→이번 달","이번 달→익월"))</f>
        <v/>
      </c>
      <c r="D723">
        <f>IF($M723="","",IF(ISNUMBER(INDEX(상세표[시작],$M723)),TEXT(INDEX(상세표[시작],$M723),"yyyy-mm-dd hh:mm"),INDEX(상세표[시작],$M723)&amp;""))</f>
        <v/>
      </c>
      <c r="E723">
        <f>IF($M723="","",IF(ISNUMBER(INDEX(상세표[종료],$M723)),TEXT(INDEX(상세표[종료],$M723),"yyyy-mm-dd hh:mm"),INDEX(상세표[종료],$M723)&amp;""))</f>
        <v/>
      </c>
      <c r="F723">
        <f>IF($M723="","",INDEX(상세표[기록 시간외],$M723))</f>
        <v/>
      </c>
      <c r="G723">
        <f>IF($M723="","",INDEX(상세표[시작월 기관],$M723)&amp;"")</f>
        <v/>
      </c>
      <c r="H723">
        <f>IF($M723="","",INDEX(상세표[종료월 기관],$M723)&amp;"")</f>
        <v/>
      </c>
      <c r="I723">
        <f>IF($M723="","",INDEX(상세표[월경계 판정],$M723)&amp;"")</f>
        <v/>
      </c>
      <c r="J723">
        <f>IF($M723="","",INDEX(상세표[반영월],$M723)&amp;"")</f>
        <v/>
      </c>
      <c r="K723">
        <f>IF($M723="","",INDEX(상세표[반영 기관],$M723)&amp;"")</f>
        <v/>
      </c>
      <c r="L723">
        <f>IF($M723="","",INDEX(상세표[기관 출처],$M723)&amp;"")</f>
        <v/>
      </c>
      <c r="M723" s="4">
        <f>IFERROR(MATCH(718,상세표[경계순번],0),"")</f>
        <v/>
      </c>
    </row>
    <row r="724">
      <c r="A724">
        <f>IF($M724="","",INDEX(상세표[사번],$M724)&amp;"")</f>
        <v/>
      </c>
      <c r="B724">
        <f>IF($M724="","",INDEX(상세표[성명],$M724)&amp;"")</f>
        <v/>
      </c>
      <c r="C724">
        <f>IF($M724="","",IF(INDEX(상세표[종료월],$M724)=대상월키,"전월→이번 달","이번 달→익월"))</f>
        <v/>
      </c>
      <c r="D724">
        <f>IF($M724="","",IF(ISNUMBER(INDEX(상세표[시작],$M724)),TEXT(INDEX(상세표[시작],$M724),"yyyy-mm-dd hh:mm"),INDEX(상세표[시작],$M724)&amp;""))</f>
        <v/>
      </c>
      <c r="E724">
        <f>IF($M724="","",IF(ISNUMBER(INDEX(상세표[종료],$M724)),TEXT(INDEX(상세표[종료],$M724),"yyyy-mm-dd hh:mm"),INDEX(상세표[종료],$M724)&amp;""))</f>
        <v/>
      </c>
      <c r="F724">
        <f>IF($M724="","",INDEX(상세표[기록 시간외],$M724))</f>
        <v/>
      </c>
      <c r="G724">
        <f>IF($M724="","",INDEX(상세표[시작월 기관],$M724)&amp;"")</f>
        <v/>
      </c>
      <c r="H724">
        <f>IF($M724="","",INDEX(상세표[종료월 기관],$M724)&amp;"")</f>
        <v/>
      </c>
      <c r="I724">
        <f>IF($M724="","",INDEX(상세표[월경계 판정],$M724)&amp;"")</f>
        <v/>
      </c>
      <c r="J724">
        <f>IF($M724="","",INDEX(상세표[반영월],$M724)&amp;"")</f>
        <v/>
      </c>
      <c r="K724">
        <f>IF($M724="","",INDEX(상세표[반영 기관],$M724)&amp;"")</f>
        <v/>
      </c>
      <c r="L724">
        <f>IF($M724="","",INDEX(상세표[기관 출처],$M724)&amp;"")</f>
        <v/>
      </c>
      <c r="M724" s="4">
        <f>IFERROR(MATCH(719,상세표[경계순번],0),"")</f>
        <v/>
      </c>
    </row>
    <row r="725">
      <c r="A725">
        <f>IF($M725="","",INDEX(상세표[사번],$M725)&amp;"")</f>
        <v/>
      </c>
      <c r="B725">
        <f>IF($M725="","",INDEX(상세표[성명],$M725)&amp;"")</f>
        <v/>
      </c>
      <c r="C725">
        <f>IF($M725="","",IF(INDEX(상세표[종료월],$M725)=대상월키,"전월→이번 달","이번 달→익월"))</f>
        <v/>
      </c>
      <c r="D725">
        <f>IF($M725="","",IF(ISNUMBER(INDEX(상세표[시작],$M725)),TEXT(INDEX(상세표[시작],$M725),"yyyy-mm-dd hh:mm"),INDEX(상세표[시작],$M725)&amp;""))</f>
        <v/>
      </c>
      <c r="E725">
        <f>IF($M725="","",IF(ISNUMBER(INDEX(상세표[종료],$M725)),TEXT(INDEX(상세표[종료],$M725),"yyyy-mm-dd hh:mm"),INDEX(상세표[종료],$M725)&amp;""))</f>
        <v/>
      </c>
      <c r="F725">
        <f>IF($M725="","",INDEX(상세표[기록 시간외],$M725))</f>
        <v/>
      </c>
      <c r="G725">
        <f>IF($M725="","",INDEX(상세표[시작월 기관],$M725)&amp;"")</f>
        <v/>
      </c>
      <c r="H725">
        <f>IF($M725="","",INDEX(상세표[종료월 기관],$M725)&amp;"")</f>
        <v/>
      </c>
      <c r="I725">
        <f>IF($M725="","",INDEX(상세표[월경계 판정],$M725)&amp;"")</f>
        <v/>
      </c>
      <c r="J725">
        <f>IF($M725="","",INDEX(상세표[반영월],$M725)&amp;"")</f>
        <v/>
      </c>
      <c r="K725">
        <f>IF($M725="","",INDEX(상세표[반영 기관],$M725)&amp;"")</f>
        <v/>
      </c>
      <c r="L725">
        <f>IF($M725="","",INDEX(상세표[기관 출처],$M725)&amp;"")</f>
        <v/>
      </c>
      <c r="M725" s="4">
        <f>IFERROR(MATCH(720,상세표[경계순번],0),"")</f>
        <v/>
      </c>
    </row>
    <row r="726">
      <c r="A726">
        <f>IF($M726="","",INDEX(상세표[사번],$M726)&amp;"")</f>
        <v/>
      </c>
      <c r="B726">
        <f>IF($M726="","",INDEX(상세표[성명],$M726)&amp;"")</f>
        <v/>
      </c>
      <c r="C726">
        <f>IF($M726="","",IF(INDEX(상세표[종료월],$M726)=대상월키,"전월→이번 달","이번 달→익월"))</f>
        <v/>
      </c>
      <c r="D726">
        <f>IF($M726="","",IF(ISNUMBER(INDEX(상세표[시작],$M726)),TEXT(INDEX(상세표[시작],$M726),"yyyy-mm-dd hh:mm"),INDEX(상세표[시작],$M726)&amp;""))</f>
        <v/>
      </c>
      <c r="E726">
        <f>IF($M726="","",IF(ISNUMBER(INDEX(상세표[종료],$M726)),TEXT(INDEX(상세표[종료],$M726),"yyyy-mm-dd hh:mm"),INDEX(상세표[종료],$M726)&amp;""))</f>
        <v/>
      </c>
      <c r="F726">
        <f>IF($M726="","",INDEX(상세표[기록 시간외],$M726))</f>
        <v/>
      </c>
      <c r="G726">
        <f>IF($M726="","",INDEX(상세표[시작월 기관],$M726)&amp;"")</f>
        <v/>
      </c>
      <c r="H726">
        <f>IF($M726="","",INDEX(상세표[종료월 기관],$M726)&amp;"")</f>
        <v/>
      </c>
      <c r="I726">
        <f>IF($M726="","",INDEX(상세표[월경계 판정],$M726)&amp;"")</f>
        <v/>
      </c>
      <c r="J726">
        <f>IF($M726="","",INDEX(상세표[반영월],$M726)&amp;"")</f>
        <v/>
      </c>
      <c r="K726">
        <f>IF($M726="","",INDEX(상세표[반영 기관],$M726)&amp;"")</f>
        <v/>
      </c>
      <c r="L726">
        <f>IF($M726="","",INDEX(상세표[기관 출처],$M726)&amp;"")</f>
        <v/>
      </c>
      <c r="M726" s="4">
        <f>IFERROR(MATCH(721,상세표[경계순번],0),"")</f>
        <v/>
      </c>
    </row>
    <row r="727">
      <c r="A727">
        <f>IF($M727="","",INDEX(상세표[사번],$M727)&amp;"")</f>
        <v/>
      </c>
      <c r="B727">
        <f>IF($M727="","",INDEX(상세표[성명],$M727)&amp;"")</f>
        <v/>
      </c>
      <c r="C727">
        <f>IF($M727="","",IF(INDEX(상세표[종료월],$M727)=대상월키,"전월→이번 달","이번 달→익월"))</f>
        <v/>
      </c>
      <c r="D727">
        <f>IF($M727="","",IF(ISNUMBER(INDEX(상세표[시작],$M727)),TEXT(INDEX(상세표[시작],$M727),"yyyy-mm-dd hh:mm"),INDEX(상세표[시작],$M727)&amp;""))</f>
        <v/>
      </c>
      <c r="E727">
        <f>IF($M727="","",IF(ISNUMBER(INDEX(상세표[종료],$M727)),TEXT(INDEX(상세표[종료],$M727),"yyyy-mm-dd hh:mm"),INDEX(상세표[종료],$M727)&amp;""))</f>
        <v/>
      </c>
      <c r="F727">
        <f>IF($M727="","",INDEX(상세표[기록 시간외],$M727))</f>
        <v/>
      </c>
      <c r="G727">
        <f>IF($M727="","",INDEX(상세표[시작월 기관],$M727)&amp;"")</f>
        <v/>
      </c>
      <c r="H727">
        <f>IF($M727="","",INDEX(상세표[종료월 기관],$M727)&amp;"")</f>
        <v/>
      </c>
      <c r="I727">
        <f>IF($M727="","",INDEX(상세표[월경계 판정],$M727)&amp;"")</f>
        <v/>
      </c>
      <c r="J727">
        <f>IF($M727="","",INDEX(상세표[반영월],$M727)&amp;"")</f>
        <v/>
      </c>
      <c r="K727">
        <f>IF($M727="","",INDEX(상세표[반영 기관],$M727)&amp;"")</f>
        <v/>
      </c>
      <c r="L727">
        <f>IF($M727="","",INDEX(상세표[기관 출처],$M727)&amp;"")</f>
        <v/>
      </c>
      <c r="M727" s="4">
        <f>IFERROR(MATCH(722,상세표[경계순번],0),"")</f>
        <v/>
      </c>
    </row>
    <row r="728">
      <c r="A728">
        <f>IF($M728="","",INDEX(상세표[사번],$M728)&amp;"")</f>
        <v/>
      </c>
      <c r="B728">
        <f>IF($M728="","",INDEX(상세표[성명],$M728)&amp;"")</f>
        <v/>
      </c>
      <c r="C728">
        <f>IF($M728="","",IF(INDEX(상세표[종료월],$M728)=대상월키,"전월→이번 달","이번 달→익월"))</f>
        <v/>
      </c>
      <c r="D728">
        <f>IF($M728="","",IF(ISNUMBER(INDEX(상세표[시작],$M728)),TEXT(INDEX(상세표[시작],$M728),"yyyy-mm-dd hh:mm"),INDEX(상세표[시작],$M728)&amp;""))</f>
        <v/>
      </c>
      <c r="E728">
        <f>IF($M728="","",IF(ISNUMBER(INDEX(상세표[종료],$M728)),TEXT(INDEX(상세표[종료],$M728),"yyyy-mm-dd hh:mm"),INDEX(상세표[종료],$M728)&amp;""))</f>
        <v/>
      </c>
      <c r="F728">
        <f>IF($M728="","",INDEX(상세표[기록 시간외],$M728))</f>
        <v/>
      </c>
      <c r="G728">
        <f>IF($M728="","",INDEX(상세표[시작월 기관],$M728)&amp;"")</f>
        <v/>
      </c>
      <c r="H728">
        <f>IF($M728="","",INDEX(상세표[종료월 기관],$M728)&amp;"")</f>
        <v/>
      </c>
      <c r="I728">
        <f>IF($M728="","",INDEX(상세표[월경계 판정],$M728)&amp;"")</f>
        <v/>
      </c>
      <c r="J728">
        <f>IF($M728="","",INDEX(상세표[반영월],$M728)&amp;"")</f>
        <v/>
      </c>
      <c r="K728">
        <f>IF($M728="","",INDEX(상세표[반영 기관],$M728)&amp;"")</f>
        <v/>
      </c>
      <c r="L728">
        <f>IF($M728="","",INDEX(상세표[기관 출처],$M728)&amp;"")</f>
        <v/>
      </c>
      <c r="M728" s="4">
        <f>IFERROR(MATCH(723,상세표[경계순번],0),"")</f>
        <v/>
      </c>
    </row>
    <row r="729">
      <c r="A729">
        <f>IF($M729="","",INDEX(상세표[사번],$M729)&amp;"")</f>
        <v/>
      </c>
      <c r="B729">
        <f>IF($M729="","",INDEX(상세표[성명],$M729)&amp;"")</f>
        <v/>
      </c>
      <c r="C729">
        <f>IF($M729="","",IF(INDEX(상세표[종료월],$M729)=대상월키,"전월→이번 달","이번 달→익월"))</f>
        <v/>
      </c>
      <c r="D729">
        <f>IF($M729="","",IF(ISNUMBER(INDEX(상세표[시작],$M729)),TEXT(INDEX(상세표[시작],$M729),"yyyy-mm-dd hh:mm"),INDEX(상세표[시작],$M729)&amp;""))</f>
        <v/>
      </c>
      <c r="E729">
        <f>IF($M729="","",IF(ISNUMBER(INDEX(상세표[종료],$M729)),TEXT(INDEX(상세표[종료],$M729),"yyyy-mm-dd hh:mm"),INDEX(상세표[종료],$M729)&amp;""))</f>
        <v/>
      </c>
      <c r="F729">
        <f>IF($M729="","",INDEX(상세표[기록 시간외],$M729))</f>
        <v/>
      </c>
      <c r="G729">
        <f>IF($M729="","",INDEX(상세표[시작월 기관],$M729)&amp;"")</f>
        <v/>
      </c>
      <c r="H729">
        <f>IF($M729="","",INDEX(상세표[종료월 기관],$M729)&amp;"")</f>
        <v/>
      </c>
      <c r="I729">
        <f>IF($M729="","",INDEX(상세표[월경계 판정],$M729)&amp;"")</f>
        <v/>
      </c>
      <c r="J729">
        <f>IF($M729="","",INDEX(상세표[반영월],$M729)&amp;"")</f>
        <v/>
      </c>
      <c r="K729">
        <f>IF($M729="","",INDEX(상세표[반영 기관],$M729)&amp;"")</f>
        <v/>
      </c>
      <c r="L729">
        <f>IF($M729="","",INDEX(상세표[기관 출처],$M729)&amp;"")</f>
        <v/>
      </c>
      <c r="M729" s="4">
        <f>IFERROR(MATCH(724,상세표[경계순번],0),"")</f>
        <v/>
      </c>
    </row>
    <row r="730">
      <c r="A730">
        <f>IF($M730="","",INDEX(상세표[사번],$M730)&amp;"")</f>
        <v/>
      </c>
      <c r="B730">
        <f>IF($M730="","",INDEX(상세표[성명],$M730)&amp;"")</f>
        <v/>
      </c>
      <c r="C730">
        <f>IF($M730="","",IF(INDEX(상세표[종료월],$M730)=대상월키,"전월→이번 달","이번 달→익월"))</f>
        <v/>
      </c>
      <c r="D730">
        <f>IF($M730="","",IF(ISNUMBER(INDEX(상세표[시작],$M730)),TEXT(INDEX(상세표[시작],$M730),"yyyy-mm-dd hh:mm"),INDEX(상세표[시작],$M730)&amp;""))</f>
        <v/>
      </c>
      <c r="E730">
        <f>IF($M730="","",IF(ISNUMBER(INDEX(상세표[종료],$M730)),TEXT(INDEX(상세표[종료],$M730),"yyyy-mm-dd hh:mm"),INDEX(상세표[종료],$M730)&amp;""))</f>
        <v/>
      </c>
      <c r="F730">
        <f>IF($M730="","",INDEX(상세표[기록 시간외],$M730))</f>
        <v/>
      </c>
      <c r="G730">
        <f>IF($M730="","",INDEX(상세표[시작월 기관],$M730)&amp;"")</f>
        <v/>
      </c>
      <c r="H730">
        <f>IF($M730="","",INDEX(상세표[종료월 기관],$M730)&amp;"")</f>
        <v/>
      </c>
      <c r="I730">
        <f>IF($M730="","",INDEX(상세표[월경계 판정],$M730)&amp;"")</f>
        <v/>
      </c>
      <c r="J730">
        <f>IF($M730="","",INDEX(상세표[반영월],$M730)&amp;"")</f>
        <v/>
      </c>
      <c r="K730">
        <f>IF($M730="","",INDEX(상세표[반영 기관],$M730)&amp;"")</f>
        <v/>
      </c>
      <c r="L730">
        <f>IF($M730="","",INDEX(상세표[기관 출처],$M730)&amp;"")</f>
        <v/>
      </c>
      <c r="M730" s="4">
        <f>IFERROR(MATCH(725,상세표[경계순번],0),"")</f>
        <v/>
      </c>
    </row>
    <row r="731">
      <c r="A731">
        <f>IF($M731="","",INDEX(상세표[사번],$M731)&amp;"")</f>
        <v/>
      </c>
      <c r="B731">
        <f>IF($M731="","",INDEX(상세표[성명],$M731)&amp;"")</f>
        <v/>
      </c>
      <c r="C731">
        <f>IF($M731="","",IF(INDEX(상세표[종료월],$M731)=대상월키,"전월→이번 달","이번 달→익월"))</f>
        <v/>
      </c>
      <c r="D731">
        <f>IF($M731="","",IF(ISNUMBER(INDEX(상세표[시작],$M731)),TEXT(INDEX(상세표[시작],$M731),"yyyy-mm-dd hh:mm"),INDEX(상세표[시작],$M731)&amp;""))</f>
        <v/>
      </c>
      <c r="E731">
        <f>IF($M731="","",IF(ISNUMBER(INDEX(상세표[종료],$M731)),TEXT(INDEX(상세표[종료],$M731),"yyyy-mm-dd hh:mm"),INDEX(상세표[종료],$M731)&amp;""))</f>
        <v/>
      </c>
      <c r="F731">
        <f>IF($M731="","",INDEX(상세표[기록 시간외],$M731))</f>
        <v/>
      </c>
      <c r="G731">
        <f>IF($M731="","",INDEX(상세표[시작월 기관],$M731)&amp;"")</f>
        <v/>
      </c>
      <c r="H731">
        <f>IF($M731="","",INDEX(상세표[종료월 기관],$M731)&amp;"")</f>
        <v/>
      </c>
      <c r="I731">
        <f>IF($M731="","",INDEX(상세표[월경계 판정],$M731)&amp;"")</f>
        <v/>
      </c>
      <c r="J731">
        <f>IF($M731="","",INDEX(상세표[반영월],$M731)&amp;"")</f>
        <v/>
      </c>
      <c r="K731">
        <f>IF($M731="","",INDEX(상세표[반영 기관],$M731)&amp;"")</f>
        <v/>
      </c>
      <c r="L731">
        <f>IF($M731="","",INDEX(상세표[기관 출처],$M731)&amp;"")</f>
        <v/>
      </c>
      <c r="M731" s="4">
        <f>IFERROR(MATCH(726,상세표[경계순번],0),"")</f>
        <v/>
      </c>
    </row>
    <row r="732">
      <c r="A732">
        <f>IF($M732="","",INDEX(상세표[사번],$M732)&amp;"")</f>
        <v/>
      </c>
      <c r="B732">
        <f>IF($M732="","",INDEX(상세표[성명],$M732)&amp;"")</f>
        <v/>
      </c>
      <c r="C732">
        <f>IF($M732="","",IF(INDEX(상세표[종료월],$M732)=대상월키,"전월→이번 달","이번 달→익월"))</f>
        <v/>
      </c>
      <c r="D732">
        <f>IF($M732="","",IF(ISNUMBER(INDEX(상세표[시작],$M732)),TEXT(INDEX(상세표[시작],$M732),"yyyy-mm-dd hh:mm"),INDEX(상세표[시작],$M732)&amp;""))</f>
        <v/>
      </c>
      <c r="E732">
        <f>IF($M732="","",IF(ISNUMBER(INDEX(상세표[종료],$M732)),TEXT(INDEX(상세표[종료],$M732),"yyyy-mm-dd hh:mm"),INDEX(상세표[종료],$M732)&amp;""))</f>
        <v/>
      </c>
      <c r="F732">
        <f>IF($M732="","",INDEX(상세표[기록 시간외],$M732))</f>
        <v/>
      </c>
      <c r="G732">
        <f>IF($M732="","",INDEX(상세표[시작월 기관],$M732)&amp;"")</f>
        <v/>
      </c>
      <c r="H732">
        <f>IF($M732="","",INDEX(상세표[종료월 기관],$M732)&amp;"")</f>
        <v/>
      </c>
      <c r="I732">
        <f>IF($M732="","",INDEX(상세표[월경계 판정],$M732)&amp;"")</f>
        <v/>
      </c>
      <c r="J732">
        <f>IF($M732="","",INDEX(상세표[반영월],$M732)&amp;"")</f>
        <v/>
      </c>
      <c r="K732">
        <f>IF($M732="","",INDEX(상세표[반영 기관],$M732)&amp;"")</f>
        <v/>
      </c>
      <c r="L732">
        <f>IF($M732="","",INDEX(상세표[기관 출처],$M732)&amp;"")</f>
        <v/>
      </c>
      <c r="M732" s="4">
        <f>IFERROR(MATCH(727,상세표[경계순번],0),"")</f>
        <v/>
      </c>
    </row>
    <row r="733">
      <c r="A733">
        <f>IF($M733="","",INDEX(상세표[사번],$M733)&amp;"")</f>
        <v/>
      </c>
      <c r="B733">
        <f>IF($M733="","",INDEX(상세표[성명],$M733)&amp;"")</f>
        <v/>
      </c>
      <c r="C733">
        <f>IF($M733="","",IF(INDEX(상세표[종료월],$M733)=대상월키,"전월→이번 달","이번 달→익월"))</f>
        <v/>
      </c>
      <c r="D733">
        <f>IF($M733="","",IF(ISNUMBER(INDEX(상세표[시작],$M733)),TEXT(INDEX(상세표[시작],$M733),"yyyy-mm-dd hh:mm"),INDEX(상세표[시작],$M733)&amp;""))</f>
        <v/>
      </c>
      <c r="E733">
        <f>IF($M733="","",IF(ISNUMBER(INDEX(상세표[종료],$M733)),TEXT(INDEX(상세표[종료],$M733),"yyyy-mm-dd hh:mm"),INDEX(상세표[종료],$M733)&amp;""))</f>
        <v/>
      </c>
      <c r="F733">
        <f>IF($M733="","",INDEX(상세표[기록 시간외],$M733))</f>
        <v/>
      </c>
      <c r="G733">
        <f>IF($M733="","",INDEX(상세표[시작월 기관],$M733)&amp;"")</f>
        <v/>
      </c>
      <c r="H733">
        <f>IF($M733="","",INDEX(상세표[종료월 기관],$M733)&amp;"")</f>
        <v/>
      </c>
      <c r="I733">
        <f>IF($M733="","",INDEX(상세표[월경계 판정],$M733)&amp;"")</f>
        <v/>
      </c>
      <c r="J733">
        <f>IF($M733="","",INDEX(상세표[반영월],$M733)&amp;"")</f>
        <v/>
      </c>
      <c r="K733">
        <f>IF($M733="","",INDEX(상세표[반영 기관],$M733)&amp;"")</f>
        <v/>
      </c>
      <c r="L733">
        <f>IF($M733="","",INDEX(상세표[기관 출처],$M733)&amp;"")</f>
        <v/>
      </c>
      <c r="M733" s="4">
        <f>IFERROR(MATCH(728,상세표[경계순번],0),"")</f>
        <v/>
      </c>
    </row>
    <row r="734">
      <c r="A734">
        <f>IF($M734="","",INDEX(상세표[사번],$M734)&amp;"")</f>
        <v/>
      </c>
      <c r="B734">
        <f>IF($M734="","",INDEX(상세표[성명],$M734)&amp;"")</f>
        <v/>
      </c>
      <c r="C734">
        <f>IF($M734="","",IF(INDEX(상세표[종료월],$M734)=대상월키,"전월→이번 달","이번 달→익월"))</f>
        <v/>
      </c>
      <c r="D734">
        <f>IF($M734="","",IF(ISNUMBER(INDEX(상세표[시작],$M734)),TEXT(INDEX(상세표[시작],$M734),"yyyy-mm-dd hh:mm"),INDEX(상세표[시작],$M734)&amp;""))</f>
        <v/>
      </c>
      <c r="E734">
        <f>IF($M734="","",IF(ISNUMBER(INDEX(상세표[종료],$M734)),TEXT(INDEX(상세표[종료],$M734),"yyyy-mm-dd hh:mm"),INDEX(상세표[종료],$M734)&amp;""))</f>
        <v/>
      </c>
      <c r="F734">
        <f>IF($M734="","",INDEX(상세표[기록 시간외],$M734))</f>
        <v/>
      </c>
      <c r="G734">
        <f>IF($M734="","",INDEX(상세표[시작월 기관],$M734)&amp;"")</f>
        <v/>
      </c>
      <c r="H734">
        <f>IF($M734="","",INDEX(상세표[종료월 기관],$M734)&amp;"")</f>
        <v/>
      </c>
      <c r="I734">
        <f>IF($M734="","",INDEX(상세표[월경계 판정],$M734)&amp;"")</f>
        <v/>
      </c>
      <c r="J734">
        <f>IF($M734="","",INDEX(상세표[반영월],$M734)&amp;"")</f>
        <v/>
      </c>
      <c r="K734">
        <f>IF($M734="","",INDEX(상세표[반영 기관],$M734)&amp;"")</f>
        <v/>
      </c>
      <c r="L734">
        <f>IF($M734="","",INDEX(상세표[기관 출처],$M734)&amp;"")</f>
        <v/>
      </c>
      <c r="M734" s="4">
        <f>IFERROR(MATCH(729,상세표[경계순번],0),"")</f>
        <v/>
      </c>
    </row>
    <row r="735">
      <c r="A735">
        <f>IF($M735="","",INDEX(상세표[사번],$M735)&amp;"")</f>
        <v/>
      </c>
      <c r="B735">
        <f>IF($M735="","",INDEX(상세표[성명],$M735)&amp;"")</f>
        <v/>
      </c>
      <c r="C735">
        <f>IF($M735="","",IF(INDEX(상세표[종료월],$M735)=대상월키,"전월→이번 달","이번 달→익월"))</f>
        <v/>
      </c>
      <c r="D735">
        <f>IF($M735="","",IF(ISNUMBER(INDEX(상세표[시작],$M735)),TEXT(INDEX(상세표[시작],$M735),"yyyy-mm-dd hh:mm"),INDEX(상세표[시작],$M735)&amp;""))</f>
        <v/>
      </c>
      <c r="E735">
        <f>IF($M735="","",IF(ISNUMBER(INDEX(상세표[종료],$M735)),TEXT(INDEX(상세표[종료],$M735),"yyyy-mm-dd hh:mm"),INDEX(상세표[종료],$M735)&amp;""))</f>
        <v/>
      </c>
      <c r="F735">
        <f>IF($M735="","",INDEX(상세표[기록 시간외],$M735))</f>
        <v/>
      </c>
      <c r="G735">
        <f>IF($M735="","",INDEX(상세표[시작월 기관],$M735)&amp;"")</f>
        <v/>
      </c>
      <c r="H735">
        <f>IF($M735="","",INDEX(상세표[종료월 기관],$M735)&amp;"")</f>
        <v/>
      </c>
      <c r="I735">
        <f>IF($M735="","",INDEX(상세표[월경계 판정],$M735)&amp;"")</f>
        <v/>
      </c>
      <c r="J735">
        <f>IF($M735="","",INDEX(상세표[반영월],$M735)&amp;"")</f>
        <v/>
      </c>
      <c r="K735">
        <f>IF($M735="","",INDEX(상세표[반영 기관],$M735)&amp;"")</f>
        <v/>
      </c>
      <c r="L735">
        <f>IF($M735="","",INDEX(상세표[기관 출처],$M735)&amp;"")</f>
        <v/>
      </c>
      <c r="M735" s="4">
        <f>IFERROR(MATCH(730,상세표[경계순번],0),"")</f>
        <v/>
      </c>
    </row>
    <row r="736">
      <c r="A736">
        <f>IF($M736="","",INDEX(상세표[사번],$M736)&amp;"")</f>
        <v/>
      </c>
      <c r="B736">
        <f>IF($M736="","",INDEX(상세표[성명],$M736)&amp;"")</f>
        <v/>
      </c>
      <c r="C736">
        <f>IF($M736="","",IF(INDEX(상세표[종료월],$M736)=대상월키,"전월→이번 달","이번 달→익월"))</f>
        <v/>
      </c>
      <c r="D736">
        <f>IF($M736="","",IF(ISNUMBER(INDEX(상세표[시작],$M736)),TEXT(INDEX(상세표[시작],$M736),"yyyy-mm-dd hh:mm"),INDEX(상세표[시작],$M736)&amp;""))</f>
        <v/>
      </c>
      <c r="E736">
        <f>IF($M736="","",IF(ISNUMBER(INDEX(상세표[종료],$M736)),TEXT(INDEX(상세표[종료],$M736),"yyyy-mm-dd hh:mm"),INDEX(상세표[종료],$M736)&amp;""))</f>
        <v/>
      </c>
      <c r="F736">
        <f>IF($M736="","",INDEX(상세표[기록 시간외],$M736))</f>
        <v/>
      </c>
      <c r="G736">
        <f>IF($M736="","",INDEX(상세표[시작월 기관],$M736)&amp;"")</f>
        <v/>
      </c>
      <c r="H736">
        <f>IF($M736="","",INDEX(상세표[종료월 기관],$M736)&amp;"")</f>
        <v/>
      </c>
      <c r="I736">
        <f>IF($M736="","",INDEX(상세표[월경계 판정],$M736)&amp;"")</f>
        <v/>
      </c>
      <c r="J736">
        <f>IF($M736="","",INDEX(상세표[반영월],$M736)&amp;"")</f>
        <v/>
      </c>
      <c r="K736">
        <f>IF($M736="","",INDEX(상세표[반영 기관],$M736)&amp;"")</f>
        <v/>
      </c>
      <c r="L736">
        <f>IF($M736="","",INDEX(상세표[기관 출처],$M736)&amp;"")</f>
        <v/>
      </c>
      <c r="M736" s="4">
        <f>IFERROR(MATCH(731,상세표[경계순번],0),"")</f>
        <v/>
      </c>
    </row>
    <row r="737">
      <c r="A737">
        <f>IF($M737="","",INDEX(상세표[사번],$M737)&amp;"")</f>
        <v/>
      </c>
      <c r="B737">
        <f>IF($M737="","",INDEX(상세표[성명],$M737)&amp;"")</f>
        <v/>
      </c>
      <c r="C737">
        <f>IF($M737="","",IF(INDEX(상세표[종료월],$M737)=대상월키,"전월→이번 달","이번 달→익월"))</f>
        <v/>
      </c>
      <c r="D737">
        <f>IF($M737="","",IF(ISNUMBER(INDEX(상세표[시작],$M737)),TEXT(INDEX(상세표[시작],$M737),"yyyy-mm-dd hh:mm"),INDEX(상세표[시작],$M737)&amp;""))</f>
        <v/>
      </c>
      <c r="E737">
        <f>IF($M737="","",IF(ISNUMBER(INDEX(상세표[종료],$M737)),TEXT(INDEX(상세표[종료],$M737),"yyyy-mm-dd hh:mm"),INDEX(상세표[종료],$M737)&amp;""))</f>
        <v/>
      </c>
      <c r="F737">
        <f>IF($M737="","",INDEX(상세표[기록 시간외],$M737))</f>
        <v/>
      </c>
      <c r="G737">
        <f>IF($M737="","",INDEX(상세표[시작월 기관],$M737)&amp;"")</f>
        <v/>
      </c>
      <c r="H737">
        <f>IF($M737="","",INDEX(상세표[종료월 기관],$M737)&amp;"")</f>
        <v/>
      </c>
      <c r="I737">
        <f>IF($M737="","",INDEX(상세표[월경계 판정],$M737)&amp;"")</f>
        <v/>
      </c>
      <c r="J737">
        <f>IF($M737="","",INDEX(상세표[반영월],$M737)&amp;"")</f>
        <v/>
      </c>
      <c r="K737">
        <f>IF($M737="","",INDEX(상세표[반영 기관],$M737)&amp;"")</f>
        <v/>
      </c>
      <c r="L737">
        <f>IF($M737="","",INDEX(상세표[기관 출처],$M737)&amp;"")</f>
        <v/>
      </c>
      <c r="M737" s="4">
        <f>IFERROR(MATCH(732,상세표[경계순번],0),"")</f>
        <v/>
      </c>
    </row>
    <row r="738">
      <c r="A738">
        <f>IF($M738="","",INDEX(상세표[사번],$M738)&amp;"")</f>
        <v/>
      </c>
      <c r="B738">
        <f>IF($M738="","",INDEX(상세표[성명],$M738)&amp;"")</f>
        <v/>
      </c>
      <c r="C738">
        <f>IF($M738="","",IF(INDEX(상세표[종료월],$M738)=대상월키,"전월→이번 달","이번 달→익월"))</f>
        <v/>
      </c>
      <c r="D738">
        <f>IF($M738="","",IF(ISNUMBER(INDEX(상세표[시작],$M738)),TEXT(INDEX(상세표[시작],$M738),"yyyy-mm-dd hh:mm"),INDEX(상세표[시작],$M738)&amp;""))</f>
        <v/>
      </c>
      <c r="E738">
        <f>IF($M738="","",IF(ISNUMBER(INDEX(상세표[종료],$M738)),TEXT(INDEX(상세표[종료],$M738),"yyyy-mm-dd hh:mm"),INDEX(상세표[종료],$M738)&amp;""))</f>
        <v/>
      </c>
      <c r="F738">
        <f>IF($M738="","",INDEX(상세표[기록 시간외],$M738))</f>
        <v/>
      </c>
      <c r="G738">
        <f>IF($M738="","",INDEX(상세표[시작월 기관],$M738)&amp;"")</f>
        <v/>
      </c>
      <c r="H738">
        <f>IF($M738="","",INDEX(상세표[종료월 기관],$M738)&amp;"")</f>
        <v/>
      </c>
      <c r="I738">
        <f>IF($M738="","",INDEX(상세표[월경계 판정],$M738)&amp;"")</f>
        <v/>
      </c>
      <c r="J738">
        <f>IF($M738="","",INDEX(상세표[반영월],$M738)&amp;"")</f>
        <v/>
      </c>
      <c r="K738">
        <f>IF($M738="","",INDEX(상세표[반영 기관],$M738)&amp;"")</f>
        <v/>
      </c>
      <c r="L738">
        <f>IF($M738="","",INDEX(상세표[기관 출처],$M738)&amp;"")</f>
        <v/>
      </c>
      <c r="M738" s="4">
        <f>IFERROR(MATCH(733,상세표[경계순번],0),"")</f>
        <v/>
      </c>
    </row>
    <row r="739">
      <c r="A739">
        <f>IF($M739="","",INDEX(상세표[사번],$M739)&amp;"")</f>
        <v/>
      </c>
      <c r="B739">
        <f>IF($M739="","",INDEX(상세표[성명],$M739)&amp;"")</f>
        <v/>
      </c>
      <c r="C739">
        <f>IF($M739="","",IF(INDEX(상세표[종료월],$M739)=대상월키,"전월→이번 달","이번 달→익월"))</f>
        <v/>
      </c>
      <c r="D739">
        <f>IF($M739="","",IF(ISNUMBER(INDEX(상세표[시작],$M739)),TEXT(INDEX(상세표[시작],$M739),"yyyy-mm-dd hh:mm"),INDEX(상세표[시작],$M739)&amp;""))</f>
        <v/>
      </c>
      <c r="E739">
        <f>IF($M739="","",IF(ISNUMBER(INDEX(상세표[종료],$M739)),TEXT(INDEX(상세표[종료],$M739),"yyyy-mm-dd hh:mm"),INDEX(상세표[종료],$M739)&amp;""))</f>
        <v/>
      </c>
      <c r="F739">
        <f>IF($M739="","",INDEX(상세표[기록 시간외],$M739))</f>
        <v/>
      </c>
      <c r="G739">
        <f>IF($M739="","",INDEX(상세표[시작월 기관],$M739)&amp;"")</f>
        <v/>
      </c>
      <c r="H739">
        <f>IF($M739="","",INDEX(상세표[종료월 기관],$M739)&amp;"")</f>
        <v/>
      </c>
      <c r="I739">
        <f>IF($M739="","",INDEX(상세표[월경계 판정],$M739)&amp;"")</f>
        <v/>
      </c>
      <c r="J739">
        <f>IF($M739="","",INDEX(상세표[반영월],$M739)&amp;"")</f>
        <v/>
      </c>
      <c r="K739">
        <f>IF($M739="","",INDEX(상세표[반영 기관],$M739)&amp;"")</f>
        <v/>
      </c>
      <c r="L739">
        <f>IF($M739="","",INDEX(상세표[기관 출처],$M739)&amp;"")</f>
        <v/>
      </c>
      <c r="M739" s="4">
        <f>IFERROR(MATCH(734,상세표[경계순번],0),"")</f>
        <v/>
      </c>
    </row>
    <row r="740">
      <c r="A740">
        <f>IF($M740="","",INDEX(상세표[사번],$M740)&amp;"")</f>
        <v/>
      </c>
      <c r="B740">
        <f>IF($M740="","",INDEX(상세표[성명],$M740)&amp;"")</f>
        <v/>
      </c>
      <c r="C740">
        <f>IF($M740="","",IF(INDEX(상세표[종료월],$M740)=대상월키,"전월→이번 달","이번 달→익월"))</f>
        <v/>
      </c>
      <c r="D740">
        <f>IF($M740="","",IF(ISNUMBER(INDEX(상세표[시작],$M740)),TEXT(INDEX(상세표[시작],$M740),"yyyy-mm-dd hh:mm"),INDEX(상세표[시작],$M740)&amp;""))</f>
        <v/>
      </c>
      <c r="E740">
        <f>IF($M740="","",IF(ISNUMBER(INDEX(상세표[종료],$M740)),TEXT(INDEX(상세표[종료],$M740),"yyyy-mm-dd hh:mm"),INDEX(상세표[종료],$M740)&amp;""))</f>
        <v/>
      </c>
      <c r="F740">
        <f>IF($M740="","",INDEX(상세표[기록 시간외],$M740))</f>
        <v/>
      </c>
      <c r="G740">
        <f>IF($M740="","",INDEX(상세표[시작월 기관],$M740)&amp;"")</f>
        <v/>
      </c>
      <c r="H740">
        <f>IF($M740="","",INDEX(상세표[종료월 기관],$M740)&amp;"")</f>
        <v/>
      </c>
      <c r="I740">
        <f>IF($M740="","",INDEX(상세표[월경계 판정],$M740)&amp;"")</f>
        <v/>
      </c>
      <c r="J740">
        <f>IF($M740="","",INDEX(상세표[반영월],$M740)&amp;"")</f>
        <v/>
      </c>
      <c r="K740">
        <f>IF($M740="","",INDEX(상세표[반영 기관],$M740)&amp;"")</f>
        <v/>
      </c>
      <c r="L740">
        <f>IF($M740="","",INDEX(상세표[기관 출처],$M740)&amp;"")</f>
        <v/>
      </c>
      <c r="M740" s="4">
        <f>IFERROR(MATCH(735,상세표[경계순번],0),"")</f>
        <v/>
      </c>
    </row>
    <row r="741">
      <c r="A741">
        <f>IF($M741="","",INDEX(상세표[사번],$M741)&amp;"")</f>
        <v/>
      </c>
      <c r="B741">
        <f>IF($M741="","",INDEX(상세표[성명],$M741)&amp;"")</f>
        <v/>
      </c>
      <c r="C741">
        <f>IF($M741="","",IF(INDEX(상세표[종료월],$M741)=대상월키,"전월→이번 달","이번 달→익월"))</f>
        <v/>
      </c>
      <c r="D741">
        <f>IF($M741="","",IF(ISNUMBER(INDEX(상세표[시작],$M741)),TEXT(INDEX(상세표[시작],$M741),"yyyy-mm-dd hh:mm"),INDEX(상세표[시작],$M741)&amp;""))</f>
        <v/>
      </c>
      <c r="E741">
        <f>IF($M741="","",IF(ISNUMBER(INDEX(상세표[종료],$M741)),TEXT(INDEX(상세표[종료],$M741),"yyyy-mm-dd hh:mm"),INDEX(상세표[종료],$M741)&amp;""))</f>
        <v/>
      </c>
      <c r="F741">
        <f>IF($M741="","",INDEX(상세표[기록 시간외],$M741))</f>
        <v/>
      </c>
      <c r="G741">
        <f>IF($M741="","",INDEX(상세표[시작월 기관],$M741)&amp;"")</f>
        <v/>
      </c>
      <c r="H741">
        <f>IF($M741="","",INDEX(상세표[종료월 기관],$M741)&amp;"")</f>
        <v/>
      </c>
      <c r="I741">
        <f>IF($M741="","",INDEX(상세표[월경계 판정],$M741)&amp;"")</f>
        <v/>
      </c>
      <c r="J741">
        <f>IF($M741="","",INDEX(상세표[반영월],$M741)&amp;"")</f>
        <v/>
      </c>
      <c r="K741">
        <f>IF($M741="","",INDEX(상세표[반영 기관],$M741)&amp;"")</f>
        <v/>
      </c>
      <c r="L741">
        <f>IF($M741="","",INDEX(상세표[기관 출처],$M741)&amp;"")</f>
        <v/>
      </c>
      <c r="M741" s="4">
        <f>IFERROR(MATCH(736,상세표[경계순번],0),"")</f>
        <v/>
      </c>
    </row>
    <row r="742">
      <c r="A742">
        <f>IF($M742="","",INDEX(상세표[사번],$M742)&amp;"")</f>
        <v/>
      </c>
      <c r="B742">
        <f>IF($M742="","",INDEX(상세표[성명],$M742)&amp;"")</f>
        <v/>
      </c>
      <c r="C742">
        <f>IF($M742="","",IF(INDEX(상세표[종료월],$M742)=대상월키,"전월→이번 달","이번 달→익월"))</f>
        <v/>
      </c>
      <c r="D742">
        <f>IF($M742="","",IF(ISNUMBER(INDEX(상세표[시작],$M742)),TEXT(INDEX(상세표[시작],$M742),"yyyy-mm-dd hh:mm"),INDEX(상세표[시작],$M742)&amp;""))</f>
        <v/>
      </c>
      <c r="E742">
        <f>IF($M742="","",IF(ISNUMBER(INDEX(상세표[종료],$M742)),TEXT(INDEX(상세표[종료],$M742),"yyyy-mm-dd hh:mm"),INDEX(상세표[종료],$M742)&amp;""))</f>
        <v/>
      </c>
      <c r="F742">
        <f>IF($M742="","",INDEX(상세표[기록 시간외],$M742))</f>
        <v/>
      </c>
      <c r="G742">
        <f>IF($M742="","",INDEX(상세표[시작월 기관],$M742)&amp;"")</f>
        <v/>
      </c>
      <c r="H742">
        <f>IF($M742="","",INDEX(상세표[종료월 기관],$M742)&amp;"")</f>
        <v/>
      </c>
      <c r="I742">
        <f>IF($M742="","",INDEX(상세표[월경계 판정],$M742)&amp;"")</f>
        <v/>
      </c>
      <c r="J742">
        <f>IF($M742="","",INDEX(상세표[반영월],$M742)&amp;"")</f>
        <v/>
      </c>
      <c r="K742">
        <f>IF($M742="","",INDEX(상세표[반영 기관],$M742)&amp;"")</f>
        <v/>
      </c>
      <c r="L742">
        <f>IF($M742="","",INDEX(상세표[기관 출처],$M742)&amp;"")</f>
        <v/>
      </c>
      <c r="M742" s="4">
        <f>IFERROR(MATCH(737,상세표[경계순번],0),"")</f>
        <v/>
      </c>
    </row>
    <row r="743">
      <c r="A743">
        <f>IF($M743="","",INDEX(상세표[사번],$M743)&amp;"")</f>
        <v/>
      </c>
      <c r="B743">
        <f>IF($M743="","",INDEX(상세표[성명],$M743)&amp;"")</f>
        <v/>
      </c>
      <c r="C743">
        <f>IF($M743="","",IF(INDEX(상세표[종료월],$M743)=대상월키,"전월→이번 달","이번 달→익월"))</f>
        <v/>
      </c>
      <c r="D743">
        <f>IF($M743="","",IF(ISNUMBER(INDEX(상세표[시작],$M743)),TEXT(INDEX(상세표[시작],$M743),"yyyy-mm-dd hh:mm"),INDEX(상세표[시작],$M743)&amp;""))</f>
        <v/>
      </c>
      <c r="E743">
        <f>IF($M743="","",IF(ISNUMBER(INDEX(상세표[종료],$M743)),TEXT(INDEX(상세표[종료],$M743),"yyyy-mm-dd hh:mm"),INDEX(상세표[종료],$M743)&amp;""))</f>
        <v/>
      </c>
      <c r="F743">
        <f>IF($M743="","",INDEX(상세표[기록 시간외],$M743))</f>
        <v/>
      </c>
      <c r="G743">
        <f>IF($M743="","",INDEX(상세표[시작월 기관],$M743)&amp;"")</f>
        <v/>
      </c>
      <c r="H743">
        <f>IF($M743="","",INDEX(상세표[종료월 기관],$M743)&amp;"")</f>
        <v/>
      </c>
      <c r="I743">
        <f>IF($M743="","",INDEX(상세표[월경계 판정],$M743)&amp;"")</f>
        <v/>
      </c>
      <c r="J743">
        <f>IF($M743="","",INDEX(상세표[반영월],$M743)&amp;"")</f>
        <v/>
      </c>
      <c r="K743">
        <f>IF($M743="","",INDEX(상세표[반영 기관],$M743)&amp;"")</f>
        <v/>
      </c>
      <c r="L743">
        <f>IF($M743="","",INDEX(상세표[기관 출처],$M743)&amp;"")</f>
        <v/>
      </c>
      <c r="M743" s="4">
        <f>IFERROR(MATCH(738,상세표[경계순번],0),"")</f>
        <v/>
      </c>
    </row>
    <row r="744">
      <c r="A744">
        <f>IF($M744="","",INDEX(상세표[사번],$M744)&amp;"")</f>
        <v/>
      </c>
      <c r="B744">
        <f>IF($M744="","",INDEX(상세표[성명],$M744)&amp;"")</f>
        <v/>
      </c>
      <c r="C744">
        <f>IF($M744="","",IF(INDEX(상세표[종료월],$M744)=대상월키,"전월→이번 달","이번 달→익월"))</f>
        <v/>
      </c>
      <c r="D744">
        <f>IF($M744="","",IF(ISNUMBER(INDEX(상세표[시작],$M744)),TEXT(INDEX(상세표[시작],$M744),"yyyy-mm-dd hh:mm"),INDEX(상세표[시작],$M744)&amp;""))</f>
        <v/>
      </c>
      <c r="E744">
        <f>IF($M744="","",IF(ISNUMBER(INDEX(상세표[종료],$M744)),TEXT(INDEX(상세표[종료],$M744),"yyyy-mm-dd hh:mm"),INDEX(상세표[종료],$M744)&amp;""))</f>
        <v/>
      </c>
      <c r="F744">
        <f>IF($M744="","",INDEX(상세표[기록 시간외],$M744))</f>
        <v/>
      </c>
      <c r="G744">
        <f>IF($M744="","",INDEX(상세표[시작월 기관],$M744)&amp;"")</f>
        <v/>
      </c>
      <c r="H744">
        <f>IF($M744="","",INDEX(상세표[종료월 기관],$M744)&amp;"")</f>
        <v/>
      </c>
      <c r="I744">
        <f>IF($M744="","",INDEX(상세표[월경계 판정],$M744)&amp;"")</f>
        <v/>
      </c>
      <c r="J744">
        <f>IF($M744="","",INDEX(상세표[반영월],$M744)&amp;"")</f>
        <v/>
      </c>
      <c r="K744">
        <f>IF($M744="","",INDEX(상세표[반영 기관],$M744)&amp;"")</f>
        <v/>
      </c>
      <c r="L744">
        <f>IF($M744="","",INDEX(상세표[기관 출처],$M744)&amp;"")</f>
        <v/>
      </c>
      <c r="M744" s="4">
        <f>IFERROR(MATCH(739,상세표[경계순번],0),"")</f>
        <v/>
      </c>
    </row>
    <row r="745">
      <c r="A745">
        <f>IF($M745="","",INDEX(상세표[사번],$M745)&amp;"")</f>
        <v/>
      </c>
      <c r="B745">
        <f>IF($M745="","",INDEX(상세표[성명],$M745)&amp;"")</f>
        <v/>
      </c>
      <c r="C745">
        <f>IF($M745="","",IF(INDEX(상세표[종료월],$M745)=대상월키,"전월→이번 달","이번 달→익월"))</f>
        <v/>
      </c>
      <c r="D745">
        <f>IF($M745="","",IF(ISNUMBER(INDEX(상세표[시작],$M745)),TEXT(INDEX(상세표[시작],$M745),"yyyy-mm-dd hh:mm"),INDEX(상세표[시작],$M745)&amp;""))</f>
        <v/>
      </c>
      <c r="E745">
        <f>IF($M745="","",IF(ISNUMBER(INDEX(상세표[종료],$M745)),TEXT(INDEX(상세표[종료],$M745),"yyyy-mm-dd hh:mm"),INDEX(상세표[종료],$M745)&amp;""))</f>
        <v/>
      </c>
      <c r="F745">
        <f>IF($M745="","",INDEX(상세표[기록 시간외],$M745))</f>
        <v/>
      </c>
      <c r="G745">
        <f>IF($M745="","",INDEX(상세표[시작월 기관],$M745)&amp;"")</f>
        <v/>
      </c>
      <c r="H745">
        <f>IF($M745="","",INDEX(상세표[종료월 기관],$M745)&amp;"")</f>
        <v/>
      </c>
      <c r="I745">
        <f>IF($M745="","",INDEX(상세표[월경계 판정],$M745)&amp;"")</f>
        <v/>
      </c>
      <c r="J745">
        <f>IF($M745="","",INDEX(상세표[반영월],$M745)&amp;"")</f>
        <v/>
      </c>
      <c r="K745">
        <f>IF($M745="","",INDEX(상세표[반영 기관],$M745)&amp;"")</f>
        <v/>
      </c>
      <c r="L745">
        <f>IF($M745="","",INDEX(상세표[기관 출처],$M745)&amp;"")</f>
        <v/>
      </c>
      <c r="M745" s="4">
        <f>IFERROR(MATCH(740,상세표[경계순번],0),"")</f>
        <v/>
      </c>
    </row>
    <row r="746">
      <c r="A746">
        <f>IF($M746="","",INDEX(상세표[사번],$M746)&amp;"")</f>
        <v/>
      </c>
      <c r="B746">
        <f>IF($M746="","",INDEX(상세표[성명],$M746)&amp;"")</f>
        <v/>
      </c>
      <c r="C746">
        <f>IF($M746="","",IF(INDEX(상세표[종료월],$M746)=대상월키,"전월→이번 달","이번 달→익월"))</f>
        <v/>
      </c>
      <c r="D746">
        <f>IF($M746="","",IF(ISNUMBER(INDEX(상세표[시작],$M746)),TEXT(INDEX(상세표[시작],$M746),"yyyy-mm-dd hh:mm"),INDEX(상세표[시작],$M746)&amp;""))</f>
        <v/>
      </c>
      <c r="E746">
        <f>IF($M746="","",IF(ISNUMBER(INDEX(상세표[종료],$M746)),TEXT(INDEX(상세표[종료],$M746),"yyyy-mm-dd hh:mm"),INDEX(상세표[종료],$M746)&amp;""))</f>
        <v/>
      </c>
      <c r="F746">
        <f>IF($M746="","",INDEX(상세표[기록 시간외],$M746))</f>
        <v/>
      </c>
      <c r="G746">
        <f>IF($M746="","",INDEX(상세표[시작월 기관],$M746)&amp;"")</f>
        <v/>
      </c>
      <c r="H746">
        <f>IF($M746="","",INDEX(상세표[종료월 기관],$M746)&amp;"")</f>
        <v/>
      </c>
      <c r="I746">
        <f>IF($M746="","",INDEX(상세표[월경계 판정],$M746)&amp;"")</f>
        <v/>
      </c>
      <c r="J746">
        <f>IF($M746="","",INDEX(상세표[반영월],$M746)&amp;"")</f>
        <v/>
      </c>
      <c r="K746">
        <f>IF($M746="","",INDEX(상세표[반영 기관],$M746)&amp;"")</f>
        <v/>
      </c>
      <c r="L746">
        <f>IF($M746="","",INDEX(상세표[기관 출처],$M746)&amp;"")</f>
        <v/>
      </c>
      <c r="M746" s="4">
        <f>IFERROR(MATCH(741,상세표[경계순번],0),"")</f>
        <v/>
      </c>
    </row>
    <row r="747">
      <c r="A747">
        <f>IF($M747="","",INDEX(상세표[사번],$M747)&amp;"")</f>
        <v/>
      </c>
      <c r="B747">
        <f>IF($M747="","",INDEX(상세표[성명],$M747)&amp;"")</f>
        <v/>
      </c>
      <c r="C747">
        <f>IF($M747="","",IF(INDEX(상세표[종료월],$M747)=대상월키,"전월→이번 달","이번 달→익월"))</f>
        <v/>
      </c>
      <c r="D747">
        <f>IF($M747="","",IF(ISNUMBER(INDEX(상세표[시작],$M747)),TEXT(INDEX(상세표[시작],$M747),"yyyy-mm-dd hh:mm"),INDEX(상세표[시작],$M747)&amp;""))</f>
        <v/>
      </c>
      <c r="E747">
        <f>IF($M747="","",IF(ISNUMBER(INDEX(상세표[종료],$M747)),TEXT(INDEX(상세표[종료],$M747),"yyyy-mm-dd hh:mm"),INDEX(상세표[종료],$M747)&amp;""))</f>
        <v/>
      </c>
      <c r="F747">
        <f>IF($M747="","",INDEX(상세표[기록 시간외],$M747))</f>
        <v/>
      </c>
      <c r="G747">
        <f>IF($M747="","",INDEX(상세표[시작월 기관],$M747)&amp;"")</f>
        <v/>
      </c>
      <c r="H747">
        <f>IF($M747="","",INDEX(상세표[종료월 기관],$M747)&amp;"")</f>
        <v/>
      </c>
      <c r="I747">
        <f>IF($M747="","",INDEX(상세표[월경계 판정],$M747)&amp;"")</f>
        <v/>
      </c>
      <c r="J747">
        <f>IF($M747="","",INDEX(상세표[반영월],$M747)&amp;"")</f>
        <v/>
      </c>
      <c r="K747">
        <f>IF($M747="","",INDEX(상세표[반영 기관],$M747)&amp;"")</f>
        <v/>
      </c>
      <c r="L747">
        <f>IF($M747="","",INDEX(상세표[기관 출처],$M747)&amp;"")</f>
        <v/>
      </c>
      <c r="M747" s="4">
        <f>IFERROR(MATCH(742,상세표[경계순번],0),"")</f>
        <v/>
      </c>
    </row>
    <row r="748">
      <c r="A748">
        <f>IF($M748="","",INDEX(상세표[사번],$M748)&amp;"")</f>
        <v/>
      </c>
      <c r="B748">
        <f>IF($M748="","",INDEX(상세표[성명],$M748)&amp;"")</f>
        <v/>
      </c>
      <c r="C748">
        <f>IF($M748="","",IF(INDEX(상세표[종료월],$M748)=대상월키,"전월→이번 달","이번 달→익월"))</f>
        <v/>
      </c>
      <c r="D748">
        <f>IF($M748="","",IF(ISNUMBER(INDEX(상세표[시작],$M748)),TEXT(INDEX(상세표[시작],$M748),"yyyy-mm-dd hh:mm"),INDEX(상세표[시작],$M748)&amp;""))</f>
        <v/>
      </c>
      <c r="E748">
        <f>IF($M748="","",IF(ISNUMBER(INDEX(상세표[종료],$M748)),TEXT(INDEX(상세표[종료],$M748),"yyyy-mm-dd hh:mm"),INDEX(상세표[종료],$M748)&amp;""))</f>
        <v/>
      </c>
      <c r="F748">
        <f>IF($M748="","",INDEX(상세표[기록 시간외],$M748))</f>
        <v/>
      </c>
      <c r="G748">
        <f>IF($M748="","",INDEX(상세표[시작월 기관],$M748)&amp;"")</f>
        <v/>
      </c>
      <c r="H748">
        <f>IF($M748="","",INDEX(상세표[종료월 기관],$M748)&amp;"")</f>
        <v/>
      </c>
      <c r="I748">
        <f>IF($M748="","",INDEX(상세표[월경계 판정],$M748)&amp;"")</f>
        <v/>
      </c>
      <c r="J748">
        <f>IF($M748="","",INDEX(상세표[반영월],$M748)&amp;"")</f>
        <v/>
      </c>
      <c r="K748">
        <f>IF($M748="","",INDEX(상세표[반영 기관],$M748)&amp;"")</f>
        <v/>
      </c>
      <c r="L748">
        <f>IF($M748="","",INDEX(상세표[기관 출처],$M748)&amp;"")</f>
        <v/>
      </c>
      <c r="M748" s="4">
        <f>IFERROR(MATCH(743,상세표[경계순번],0),"")</f>
        <v/>
      </c>
    </row>
    <row r="749">
      <c r="A749">
        <f>IF($M749="","",INDEX(상세표[사번],$M749)&amp;"")</f>
        <v/>
      </c>
      <c r="B749">
        <f>IF($M749="","",INDEX(상세표[성명],$M749)&amp;"")</f>
        <v/>
      </c>
      <c r="C749">
        <f>IF($M749="","",IF(INDEX(상세표[종료월],$M749)=대상월키,"전월→이번 달","이번 달→익월"))</f>
        <v/>
      </c>
      <c r="D749">
        <f>IF($M749="","",IF(ISNUMBER(INDEX(상세표[시작],$M749)),TEXT(INDEX(상세표[시작],$M749),"yyyy-mm-dd hh:mm"),INDEX(상세표[시작],$M749)&amp;""))</f>
        <v/>
      </c>
      <c r="E749">
        <f>IF($M749="","",IF(ISNUMBER(INDEX(상세표[종료],$M749)),TEXT(INDEX(상세표[종료],$M749),"yyyy-mm-dd hh:mm"),INDEX(상세표[종료],$M749)&amp;""))</f>
        <v/>
      </c>
      <c r="F749">
        <f>IF($M749="","",INDEX(상세표[기록 시간외],$M749))</f>
        <v/>
      </c>
      <c r="G749">
        <f>IF($M749="","",INDEX(상세표[시작월 기관],$M749)&amp;"")</f>
        <v/>
      </c>
      <c r="H749">
        <f>IF($M749="","",INDEX(상세표[종료월 기관],$M749)&amp;"")</f>
        <v/>
      </c>
      <c r="I749">
        <f>IF($M749="","",INDEX(상세표[월경계 판정],$M749)&amp;"")</f>
        <v/>
      </c>
      <c r="J749">
        <f>IF($M749="","",INDEX(상세표[반영월],$M749)&amp;"")</f>
        <v/>
      </c>
      <c r="K749">
        <f>IF($M749="","",INDEX(상세표[반영 기관],$M749)&amp;"")</f>
        <v/>
      </c>
      <c r="L749">
        <f>IF($M749="","",INDEX(상세표[기관 출처],$M749)&amp;"")</f>
        <v/>
      </c>
      <c r="M749" s="4">
        <f>IFERROR(MATCH(744,상세표[경계순번],0),"")</f>
        <v/>
      </c>
    </row>
    <row r="750">
      <c r="A750">
        <f>IF($M750="","",INDEX(상세표[사번],$M750)&amp;"")</f>
        <v/>
      </c>
      <c r="B750">
        <f>IF($M750="","",INDEX(상세표[성명],$M750)&amp;"")</f>
        <v/>
      </c>
      <c r="C750">
        <f>IF($M750="","",IF(INDEX(상세표[종료월],$M750)=대상월키,"전월→이번 달","이번 달→익월"))</f>
        <v/>
      </c>
      <c r="D750">
        <f>IF($M750="","",IF(ISNUMBER(INDEX(상세표[시작],$M750)),TEXT(INDEX(상세표[시작],$M750),"yyyy-mm-dd hh:mm"),INDEX(상세표[시작],$M750)&amp;""))</f>
        <v/>
      </c>
      <c r="E750">
        <f>IF($M750="","",IF(ISNUMBER(INDEX(상세표[종료],$M750)),TEXT(INDEX(상세표[종료],$M750),"yyyy-mm-dd hh:mm"),INDEX(상세표[종료],$M750)&amp;""))</f>
        <v/>
      </c>
      <c r="F750">
        <f>IF($M750="","",INDEX(상세표[기록 시간외],$M750))</f>
        <v/>
      </c>
      <c r="G750">
        <f>IF($M750="","",INDEX(상세표[시작월 기관],$M750)&amp;"")</f>
        <v/>
      </c>
      <c r="H750">
        <f>IF($M750="","",INDEX(상세표[종료월 기관],$M750)&amp;"")</f>
        <v/>
      </c>
      <c r="I750">
        <f>IF($M750="","",INDEX(상세표[월경계 판정],$M750)&amp;"")</f>
        <v/>
      </c>
      <c r="J750">
        <f>IF($M750="","",INDEX(상세표[반영월],$M750)&amp;"")</f>
        <v/>
      </c>
      <c r="K750">
        <f>IF($M750="","",INDEX(상세표[반영 기관],$M750)&amp;"")</f>
        <v/>
      </c>
      <c r="L750">
        <f>IF($M750="","",INDEX(상세표[기관 출처],$M750)&amp;"")</f>
        <v/>
      </c>
      <c r="M750" s="4">
        <f>IFERROR(MATCH(745,상세표[경계순번],0),"")</f>
        <v/>
      </c>
    </row>
    <row r="751">
      <c r="A751">
        <f>IF($M751="","",INDEX(상세표[사번],$M751)&amp;"")</f>
        <v/>
      </c>
      <c r="B751">
        <f>IF($M751="","",INDEX(상세표[성명],$M751)&amp;"")</f>
        <v/>
      </c>
      <c r="C751">
        <f>IF($M751="","",IF(INDEX(상세표[종료월],$M751)=대상월키,"전월→이번 달","이번 달→익월"))</f>
        <v/>
      </c>
      <c r="D751">
        <f>IF($M751="","",IF(ISNUMBER(INDEX(상세표[시작],$M751)),TEXT(INDEX(상세표[시작],$M751),"yyyy-mm-dd hh:mm"),INDEX(상세표[시작],$M751)&amp;""))</f>
        <v/>
      </c>
      <c r="E751">
        <f>IF($M751="","",IF(ISNUMBER(INDEX(상세표[종료],$M751)),TEXT(INDEX(상세표[종료],$M751),"yyyy-mm-dd hh:mm"),INDEX(상세표[종료],$M751)&amp;""))</f>
        <v/>
      </c>
      <c r="F751">
        <f>IF($M751="","",INDEX(상세표[기록 시간외],$M751))</f>
        <v/>
      </c>
      <c r="G751">
        <f>IF($M751="","",INDEX(상세표[시작월 기관],$M751)&amp;"")</f>
        <v/>
      </c>
      <c r="H751">
        <f>IF($M751="","",INDEX(상세표[종료월 기관],$M751)&amp;"")</f>
        <v/>
      </c>
      <c r="I751">
        <f>IF($M751="","",INDEX(상세표[월경계 판정],$M751)&amp;"")</f>
        <v/>
      </c>
      <c r="J751">
        <f>IF($M751="","",INDEX(상세표[반영월],$M751)&amp;"")</f>
        <v/>
      </c>
      <c r="K751">
        <f>IF($M751="","",INDEX(상세표[반영 기관],$M751)&amp;"")</f>
        <v/>
      </c>
      <c r="L751">
        <f>IF($M751="","",INDEX(상세표[기관 출처],$M751)&amp;"")</f>
        <v/>
      </c>
      <c r="M751" s="4">
        <f>IFERROR(MATCH(746,상세표[경계순번],0),"")</f>
        <v/>
      </c>
    </row>
    <row r="752">
      <c r="A752">
        <f>IF($M752="","",INDEX(상세표[사번],$M752)&amp;"")</f>
        <v/>
      </c>
      <c r="B752">
        <f>IF($M752="","",INDEX(상세표[성명],$M752)&amp;"")</f>
        <v/>
      </c>
      <c r="C752">
        <f>IF($M752="","",IF(INDEX(상세표[종료월],$M752)=대상월키,"전월→이번 달","이번 달→익월"))</f>
        <v/>
      </c>
      <c r="D752">
        <f>IF($M752="","",IF(ISNUMBER(INDEX(상세표[시작],$M752)),TEXT(INDEX(상세표[시작],$M752),"yyyy-mm-dd hh:mm"),INDEX(상세표[시작],$M752)&amp;""))</f>
        <v/>
      </c>
      <c r="E752">
        <f>IF($M752="","",IF(ISNUMBER(INDEX(상세표[종료],$M752)),TEXT(INDEX(상세표[종료],$M752),"yyyy-mm-dd hh:mm"),INDEX(상세표[종료],$M752)&amp;""))</f>
        <v/>
      </c>
      <c r="F752">
        <f>IF($M752="","",INDEX(상세표[기록 시간외],$M752))</f>
        <v/>
      </c>
      <c r="G752">
        <f>IF($M752="","",INDEX(상세표[시작월 기관],$M752)&amp;"")</f>
        <v/>
      </c>
      <c r="H752">
        <f>IF($M752="","",INDEX(상세표[종료월 기관],$M752)&amp;"")</f>
        <v/>
      </c>
      <c r="I752">
        <f>IF($M752="","",INDEX(상세표[월경계 판정],$M752)&amp;"")</f>
        <v/>
      </c>
      <c r="J752">
        <f>IF($M752="","",INDEX(상세표[반영월],$M752)&amp;"")</f>
        <v/>
      </c>
      <c r="K752">
        <f>IF($M752="","",INDEX(상세표[반영 기관],$M752)&amp;"")</f>
        <v/>
      </c>
      <c r="L752">
        <f>IF($M752="","",INDEX(상세표[기관 출처],$M752)&amp;"")</f>
        <v/>
      </c>
      <c r="M752" s="4">
        <f>IFERROR(MATCH(747,상세표[경계순번],0),"")</f>
        <v/>
      </c>
    </row>
    <row r="753">
      <c r="A753">
        <f>IF($M753="","",INDEX(상세표[사번],$M753)&amp;"")</f>
        <v/>
      </c>
      <c r="B753">
        <f>IF($M753="","",INDEX(상세표[성명],$M753)&amp;"")</f>
        <v/>
      </c>
      <c r="C753">
        <f>IF($M753="","",IF(INDEX(상세표[종료월],$M753)=대상월키,"전월→이번 달","이번 달→익월"))</f>
        <v/>
      </c>
      <c r="D753">
        <f>IF($M753="","",IF(ISNUMBER(INDEX(상세표[시작],$M753)),TEXT(INDEX(상세표[시작],$M753),"yyyy-mm-dd hh:mm"),INDEX(상세표[시작],$M753)&amp;""))</f>
        <v/>
      </c>
      <c r="E753">
        <f>IF($M753="","",IF(ISNUMBER(INDEX(상세표[종료],$M753)),TEXT(INDEX(상세표[종료],$M753),"yyyy-mm-dd hh:mm"),INDEX(상세표[종료],$M753)&amp;""))</f>
        <v/>
      </c>
      <c r="F753">
        <f>IF($M753="","",INDEX(상세표[기록 시간외],$M753))</f>
        <v/>
      </c>
      <c r="G753">
        <f>IF($M753="","",INDEX(상세표[시작월 기관],$M753)&amp;"")</f>
        <v/>
      </c>
      <c r="H753">
        <f>IF($M753="","",INDEX(상세표[종료월 기관],$M753)&amp;"")</f>
        <v/>
      </c>
      <c r="I753">
        <f>IF($M753="","",INDEX(상세표[월경계 판정],$M753)&amp;"")</f>
        <v/>
      </c>
      <c r="J753">
        <f>IF($M753="","",INDEX(상세표[반영월],$M753)&amp;"")</f>
        <v/>
      </c>
      <c r="K753">
        <f>IF($M753="","",INDEX(상세표[반영 기관],$M753)&amp;"")</f>
        <v/>
      </c>
      <c r="L753">
        <f>IF($M753="","",INDEX(상세표[기관 출처],$M753)&amp;"")</f>
        <v/>
      </c>
      <c r="M753" s="4">
        <f>IFERROR(MATCH(748,상세표[경계순번],0),"")</f>
        <v/>
      </c>
    </row>
    <row r="754">
      <c r="A754">
        <f>IF($M754="","",INDEX(상세표[사번],$M754)&amp;"")</f>
        <v/>
      </c>
      <c r="B754">
        <f>IF($M754="","",INDEX(상세표[성명],$M754)&amp;"")</f>
        <v/>
      </c>
      <c r="C754">
        <f>IF($M754="","",IF(INDEX(상세표[종료월],$M754)=대상월키,"전월→이번 달","이번 달→익월"))</f>
        <v/>
      </c>
      <c r="D754">
        <f>IF($M754="","",IF(ISNUMBER(INDEX(상세표[시작],$M754)),TEXT(INDEX(상세표[시작],$M754),"yyyy-mm-dd hh:mm"),INDEX(상세표[시작],$M754)&amp;""))</f>
        <v/>
      </c>
      <c r="E754">
        <f>IF($M754="","",IF(ISNUMBER(INDEX(상세표[종료],$M754)),TEXT(INDEX(상세표[종료],$M754),"yyyy-mm-dd hh:mm"),INDEX(상세표[종료],$M754)&amp;""))</f>
        <v/>
      </c>
      <c r="F754">
        <f>IF($M754="","",INDEX(상세표[기록 시간외],$M754))</f>
        <v/>
      </c>
      <c r="G754">
        <f>IF($M754="","",INDEX(상세표[시작월 기관],$M754)&amp;"")</f>
        <v/>
      </c>
      <c r="H754">
        <f>IF($M754="","",INDEX(상세표[종료월 기관],$M754)&amp;"")</f>
        <v/>
      </c>
      <c r="I754">
        <f>IF($M754="","",INDEX(상세표[월경계 판정],$M754)&amp;"")</f>
        <v/>
      </c>
      <c r="J754">
        <f>IF($M754="","",INDEX(상세표[반영월],$M754)&amp;"")</f>
        <v/>
      </c>
      <c r="K754">
        <f>IF($M754="","",INDEX(상세표[반영 기관],$M754)&amp;"")</f>
        <v/>
      </c>
      <c r="L754">
        <f>IF($M754="","",INDEX(상세표[기관 출처],$M754)&amp;"")</f>
        <v/>
      </c>
      <c r="M754" s="4">
        <f>IFERROR(MATCH(749,상세표[경계순번],0),"")</f>
        <v/>
      </c>
    </row>
    <row r="755">
      <c r="A755">
        <f>IF($M755="","",INDEX(상세표[사번],$M755)&amp;"")</f>
        <v/>
      </c>
      <c r="B755">
        <f>IF($M755="","",INDEX(상세표[성명],$M755)&amp;"")</f>
        <v/>
      </c>
      <c r="C755">
        <f>IF($M755="","",IF(INDEX(상세표[종료월],$M755)=대상월키,"전월→이번 달","이번 달→익월"))</f>
        <v/>
      </c>
      <c r="D755">
        <f>IF($M755="","",IF(ISNUMBER(INDEX(상세표[시작],$M755)),TEXT(INDEX(상세표[시작],$M755),"yyyy-mm-dd hh:mm"),INDEX(상세표[시작],$M755)&amp;""))</f>
        <v/>
      </c>
      <c r="E755">
        <f>IF($M755="","",IF(ISNUMBER(INDEX(상세표[종료],$M755)),TEXT(INDEX(상세표[종료],$M755),"yyyy-mm-dd hh:mm"),INDEX(상세표[종료],$M755)&amp;""))</f>
        <v/>
      </c>
      <c r="F755">
        <f>IF($M755="","",INDEX(상세표[기록 시간외],$M755))</f>
        <v/>
      </c>
      <c r="G755">
        <f>IF($M755="","",INDEX(상세표[시작월 기관],$M755)&amp;"")</f>
        <v/>
      </c>
      <c r="H755">
        <f>IF($M755="","",INDEX(상세표[종료월 기관],$M755)&amp;"")</f>
        <v/>
      </c>
      <c r="I755">
        <f>IF($M755="","",INDEX(상세표[월경계 판정],$M755)&amp;"")</f>
        <v/>
      </c>
      <c r="J755">
        <f>IF($M755="","",INDEX(상세표[반영월],$M755)&amp;"")</f>
        <v/>
      </c>
      <c r="K755">
        <f>IF($M755="","",INDEX(상세표[반영 기관],$M755)&amp;"")</f>
        <v/>
      </c>
      <c r="L755">
        <f>IF($M755="","",INDEX(상세표[기관 출처],$M755)&amp;"")</f>
        <v/>
      </c>
      <c r="M755" s="4">
        <f>IFERROR(MATCH(750,상세표[경계순번],0),"")</f>
        <v/>
      </c>
    </row>
    <row r="756">
      <c r="A756">
        <f>IF($M756="","",INDEX(상세표[사번],$M756)&amp;"")</f>
        <v/>
      </c>
      <c r="B756">
        <f>IF($M756="","",INDEX(상세표[성명],$M756)&amp;"")</f>
        <v/>
      </c>
      <c r="C756">
        <f>IF($M756="","",IF(INDEX(상세표[종료월],$M756)=대상월키,"전월→이번 달","이번 달→익월"))</f>
        <v/>
      </c>
      <c r="D756">
        <f>IF($M756="","",IF(ISNUMBER(INDEX(상세표[시작],$M756)),TEXT(INDEX(상세표[시작],$M756),"yyyy-mm-dd hh:mm"),INDEX(상세표[시작],$M756)&amp;""))</f>
        <v/>
      </c>
      <c r="E756">
        <f>IF($M756="","",IF(ISNUMBER(INDEX(상세표[종료],$M756)),TEXT(INDEX(상세표[종료],$M756),"yyyy-mm-dd hh:mm"),INDEX(상세표[종료],$M756)&amp;""))</f>
        <v/>
      </c>
      <c r="F756">
        <f>IF($M756="","",INDEX(상세표[기록 시간외],$M756))</f>
        <v/>
      </c>
      <c r="G756">
        <f>IF($M756="","",INDEX(상세표[시작월 기관],$M756)&amp;"")</f>
        <v/>
      </c>
      <c r="H756">
        <f>IF($M756="","",INDEX(상세표[종료월 기관],$M756)&amp;"")</f>
        <v/>
      </c>
      <c r="I756">
        <f>IF($M756="","",INDEX(상세표[월경계 판정],$M756)&amp;"")</f>
        <v/>
      </c>
      <c r="J756">
        <f>IF($M756="","",INDEX(상세표[반영월],$M756)&amp;"")</f>
        <v/>
      </c>
      <c r="K756">
        <f>IF($M756="","",INDEX(상세표[반영 기관],$M756)&amp;"")</f>
        <v/>
      </c>
      <c r="L756">
        <f>IF($M756="","",INDEX(상세표[기관 출처],$M756)&amp;"")</f>
        <v/>
      </c>
      <c r="M756" s="4">
        <f>IFERROR(MATCH(751,상세표[경계순번],0),"")</f>
        <v/>
      </c>
    </row>
    <row r="757">
      <c r="A757">
        <f>IF($M757="","",INDEX(상세표[사번],$M757)&amp;"")</f>
        <v/>
      </c>
      <c r="B757">
        <f>IF($M757="","",INDEX(상세표[성명],$M757)&amp;"")</f>
        <v/>
      </c>
      <c r="C757">
        <f>IF($M757="","",IF(INDEX(상세표[종료월],$M757)=대상월키,"전월→이번 달","이번 달→익월"))</f>
        <v/>
      </c>
      <c r="D757">
        <f>IF($M757="","",IF(ISNUMBER(INDEX(상세표[시작],$M757)),TEXT(INDEX(상세표[시작],$M757),"yyyy-mm-dd hh:mm"),INDEX(상세표[시작],$M757)&amp;""))</f>
        <v/>
      </c>
      <c r="E757">
        <f>IF($M757="","",IF(ISNUMBER(INDEX(상세표[종료],$M757)),TEXT(INDEX(상세표[종료],$M757),"yyyy-mm-dd hh:mm"),INDEX(상세표[종료],$M757)&amp;""))</f>
        <v/>
      </c>
      <c r="F757">
        <f>IF($M757="","",INDEX(상세표[기록 시간외],$M757))</f>
        <v/>
      </c>
      <c r="G757">
        <f>IF($M757="","",INDEX(상세표[시작월 기관],$M757)&amp;"")</f>
        <v/>
      </c>
      <c r="H757">
        <f>IF($M757="","",INDEX(상세표[종료월 기관],$M757)&amp;"")</f>
        <v/>
      </c>
      <c r="I757">
        <f>IF($M757="","",INDEX(상세표[월경계 판정],$M757)&amp;"")</f>
        <v/>
      </c>
      <c r="J757">
        <f>IF($M757="","",INDEX(상세표[반영월],$M757)&amp;"")</f>
        <v/>
      </c>
      <c r="K757">
        <f>IF($M757="","",INDEX(상세표[반영 기관],$M757)&amp;"")</f>
        <v/>
      </c>
      <c r="L757">
        <f>IF($M757="","",INDEX(상세표[기관 출처],$M757)&amp;"")</f>
        <v/>
      </c>
      <c r="M757" s="4">
        <f>IFERROR(MATCH(752,상세표[경계순번],0),"")</f>
        <v/>
      </c>
    </row>
    <row r="758">
      <c r="A758">
        <f>IF($M758="","",INDEX(상세표[사번],$M758)&amp;"")</f>
        <v/>
      </c>
      <c r="B758">
        <f>IF($M758="","",INDEX(상세표[성명],$M758)&amp;"")</f>
        <v/>
      </c>
      <c r="C758">
        <f>IF($M758="","",IF(INDEX(상세표[종료월],$M758)=대상월키,"전월→이번 달","이번 달→익월"))</f>
        <v/>
      </c>
      <c r="D758">
        <f>IF($M758="","",IF(ISNUMBER(INDEX(상세표[시작],$M758)),TEXT(INDEX(상세표[시작],$M758),"yyyy-mm-dd hh:mm"),INDEX(상세표[시작],$M758)&amp;""))</f>
        <v/>
      </c>
      <c r="E758">
        <f>IF($M758="","",IF(ISNUMBER(INDEX(상세표[종료],$M758)),TEXT(INDEX(상세표[종료],$M758),"yyyy-mm-dd hh:mm"),INDEX(상세표[종료],$M758)&amp;""))</f>
        <v/>
      </c>
      <c r="F758">
        <f>IF($M758="","",INDEX(상세표[기록 시간외],$M758))</f>
        <v/>
      </c>
      <c r="G758">
        <f>IF($M758="","",INDEX(상세표[시작월 기관],$M758)&amp;"")</f>
        <v/>
      </c>
      <c r="H758">
        <f>IF($M758="","",INDEX(상세표[종료월 기관],$M758)&amp;"")</f>
        <v/>
      </c>
      <c r="I758">
        <f>IF($M758="","",INDEX(상세표[월경계 판정],$M758)&amp;"")</f>
        <v/>
      </c>
      <c r="J758">
        <f>IF($M758="","",INDEX(상세표[반영월],$M758)&amp;"")</f>
        <v/>
      </c>
      <c r="K758">
        <f>IF($M758="","",INDEX(상세표[반영 기관],$M758)&amp;"")</f>
        <v/>
      </c>
      <c r="L758">
        <f>IF($M758="","",INDEX(상세표[기관 출처],$M758)&amp;"")</f>
        <v/>
      </c>
      <c r="M758" s="4">
        <f>IFERROR(MATCH(753,상세표[경계순번],0),"")</f>
        <v/>
      </c>
    </row>
    <row r="759">
      <c r="A759">
        <f>IF($M759="","",INDEX(상세표[사번],$M759)&amp;"")</f>
        <v/>
      </c>
      <c r="B759">
        <f>IF($M759="","",INDEX(상세표[성명],$M759)&amp;"")</f>
        <v/>
      </c>
      <c r="C759">
        <f>IF($M759="","",IF(INDEX(상세표[종료월],$M759)=대상월키,"전월→이번 달","이번 달→익월"))</f>
        <v/>
      </c>
      <c r="D759">
        <f>IF($M759="","",IF(ISNUMBER(INDEX(상세표[시작],$M759)),TEXT(INDEX(상세표[시작],$M759),"yyyy-mm-dd hh:mm"),INDEX(상세표[시작],$M759)&amp;""))</f>
        <v/>
      </c>
      <c r="E759">
        <f>IF($M759="","",IF(ISNUMBER(INDEX(상세표[종료],$M759)),TEXT(INDEX(상세표[종료],$M759),"yyyy-mm-dd hh:mm"),INDEX(상세표[종료],$M759)&amp;""))</f>
        <v/>
      </c>
      <c r="F759">
        <f>IF($M759="","",INDEX(상세표[기록 시간외],$M759))</f>
        <v/>
      </c>
      <c r="G759">
        <f>IF($M759="","",INDEX(상세표[시작월 기관],$M759)&amp;"")</f>
        <v/>
      </c>
      <c r="H759">
        <f>IF($M759="","",INDEX(상세표[종료월 기관],$M759)&amp;"")</f>
        <v/>
      </c>
      <c r="I759">
        <f>IF($M759="","",INDEX(상세표[월경계 판정],$M759)&amp;"")</f>
        <v/>
      </c>
      <c r="J759">
        <f>IF($M759="","",INDEX(상세표[반영월],$M759)&amp;"")</f>
        <v/>
      </c>
      <c r="K759">
        <f>IF($M759="","",INDEX(상세표[반영 기관],$M759)&amp;"")</f>
        <v/>
      </c>
      <c r="L759">
        <f>IF($M759="","",INDEX(상세표[기관 출처],$M759)&amp;"")</f>
        <v/>
      </c>
      <c r="M759" s="4">
        <f>IFERROR(MATCH(754,상세표[경계순번],0),"")</f>
        <v/>
      </c>
    </row>
    <row r="760">
      <c r="A760">
        <f>IF($M760="","",INDEX(상세표[사번],$M760)&amp;"")</f>
        <v/>
      </c>
      <c r="B760">
        <f>IF($M760="","",INDEX(상세표[성명],$M760)&amp;"")</f>
        <v/>
      </c>
      <c r="C760">
        <f>IF($M760="","",IF(INDEX(상세표[종료월],$M760)=대상월키,"전월→이번 달","이번 달→익월"))</f>
        <v/>
      </c>
      <c r="D760">
        <f>IF($M760="","",IF(ISNUMBER(INDEX(상세표[시작],$M760)),TEXT(INDEX(상세표[시작],$M760),"yyyy-mm-dd hh:mm"),INDEX(상세표[시작],$M760)&amp;""))</f>
        <v/>
      </c>
      <c r="E760">
        <f>IF($M760="","",IF(ISNUMBER(INDEX(상세표[종료],$M760)),TEXT(INDEX(상세표[종료],$M760),"yyyy-mm-dd hh:mm"),INDEX(상세표[종료],$M760)&amp;""))</f>
        <v/>
      </c>
      <c r="F760">
        <f>IF($M760="","",INDEX(상세표[기록 시간외],$M760))</f>
        <v/>
      </c>
      <c r="G760">
        <f>IF($M760="","",INDEX(상세표[시작월 기관],$M760)&amp;"")</f>
        <v/>
      </c>
      <c r="H760">
        <f>IF($M760="","",INDEX(상세표[종료월 기관],$M760)&amp;"")</f>
        <v/>
      </c>
      <c r="I760">
        <f>IF($M760="","",INDEX(상세표[월경계 판정],$M760)&amp;"")</f>
        <v/>
      </c>
      <c r="J760">
        <f>IF($M760="","",INDEX(상세표[반영월],$M760)&amp;"")</f>
        <v/>
      </c>
      <c r="K760">
        <f>IF($M760="","",INDEX(상세표[반영 기관],$M760)&amp;"")</f>
        <v/>
      </c>
      <c r="L760">
        <f>IF($M760="","",INDEX(상세표[기관 출처],$M760)&amp;"")</f>
        <v/>
      </c>
      <c r="M760" s="4">
        <f>IFERROR(MATCH(755,상세표[경계순번],0),"")</f>
        <v/>
      </c>
    </row>
    <row r="761">
      <c r="A761">
        <f>IF($M761="","",INDEX(상세표[사번],$M761)&amp;"")</f>
        <v/>
      </c>
      <c r="B761">
        <f>IF($M761="","",INDEX(상세표[성명],$M761)&amp;"")</f>
        <v/>
      </c>
      <c r="C761">
        <f>IF($M761="","",IF(INDEX(상세표[종료월],$M761)=대상월키,"전월→이번 달","이번 달→익월"))</f>
        <v/>
      </c>
      <c r="D761">
        <f>IF($M761="","",IF(ISNUMBER(INDEX(상세표[시작],$M761)),TEXT(INDEX(상세표[시작],$M761),"yyyy-mm-dd hh:mm"),INDEX(상세표[시작],$M761)&amp;""))</f>
        <v/>
      </c>
      <c r="E761">
        <f>IF($M761="","",IF(ISNUMBER(INDEX(상세표[종료],$M761)),TEXT(INDEX(상세표[종료],$M761),"yyyy-mm-dd hh:mm"),INDEX(상세표[종료],$M761)&amp;""))</f>
        <v/>
      </c>
      <c r="F761">
        <f>IF($M761="","",INDEX(상세표[기록 시간외],$M761))</f>
        <v/>
      </c>
      <c r="G761">
        <f>IF($M761="","",INDEX(상세표[시작월 기관],$M761)&amp;"")</f>
        <v/>
      </c>
      <c r="H761">
        <f>IF($M761="","",INDEX(상세표[종료월 기관],$M761)&amp;"")</f>
        <v/>
      </c>
      <c r="I761">
        <f>IF($M761="","",INDEX(상세표[월경계 판정],$M761)&amp;"")</f>
        <v/>
      </c>
      <c r="J761">
        <f>IF($M761="","",INDEX(상세표[반영월],$M761)&amp;"")</f>
        <v/>
      </c>
      <c r="K761">
        <f>IF($M761="","",INDEX(상세표[반영 기관],$M761)&amp;"")</f>
        <v/>
      </c>
      <c r="L761">
        <f>IF($M761="","",INDEX(상세표[기관 출처],$M761)&amp;"")</f>
        <v/>
      </c>
      <c r="M761" s="4">
        <f>IFERROR(MATCH(756,상세표[경계순번],0),"")</f>
        <v/>
      </c>
    </row>
    <row r="762">
      <c r="A762">
        <f>IF($M762="","",INDEX(상세표[사번],$M762)&amp;"")</f>
        <v/>
      </c>
      <c r="B762">
        <f>IF($M762="","",INDEX(상세표[성명],$M762)&amp;"")</f>
        <v/>
      </c>
      <c r="C762">
        <f>IF($M762="","",IF(INDEX(상세표[종료월],$M762)=대상월키,"전월→이번 달","이번 달→익월"))</f>
        <v/>
      </c>
      <c r="D762">
        <f>IF($M762="","",IF(ISNUMBER(INDEX(상세표[시작],$M762)),TEXT(INDEX(상세표[시작],$M762),"yyyy-mm-dd hh:mm"),INDEX(상세표[시작],$M762)&amp;""))</f>
        <v/>
      </c>
      <c r="E762">
        <f>IF($M762="","",IF(ISNUMBER(INDEX(상세표[종료],$M762)),TEXT(INDEX(상세표[종료],$M762),"yyyy-mm-dd hh:mm"),INDEX(상세표[종료],$M762)&amp;""))</f>
        <v/>
      </c>
      <c r="F762">
        <f>IF($M762="","",INDEX(상세표[기록 시간외],$M762))</f>
        <v/>
      </c>
      <c r="G762">
        <f>IF($M762="","",INDEX(상세표[시작월 기관],$M762)&amp;"")</f>
        <v/>
      </c>
      <c r="H762">
        <f>IF($M762="","",INDEX(상세표[종료월 기관],$M762)&amp;"")</f>
        <v/>
      </c>
      <c r="I762">
        <f>IF($M762="","",INDEX(상세표[월경계 판정],$M762)&amp;"")</f>
        <v/>
      </c>
      <c r="J762">
        <f>IF($M762="","",INDEX(상세표[반영월],$M762)&amp;"")</f>
        <v/>
      </c>
      <c r="K762">
        <f>IF($M762="","",INDEX(상세표[반영 기관],$M762)&amp;"")</f>
        <v/>
      </c>
      <c r="L762">
        <f>IF($M762="","",INDEX(상세표[기관 출처],$M762)&amp;"")</f>
        <v/>
      </c>
      <c r="M762" s="4">
        <f>IFERROR(MATCH(757,상세표[경계순번],0),"")</f>
        <v/>
      </c>
    </row>
    <row r="763">
      <c r="A763">
        <f>IF($M763="","",INDEX(상세표[사번],$M763)&amp;"")</f>
        <v/>
      </c>
      <c r="B763">
        <f>IF($M763="","",INDEX(상세표[성명],$M763)&amp;"")</f>
        <v/>
      </c>
      <c r="C763">
        <f>IF($M763="","",IF(INDEX(상세표[종료월],$M763)=대상월키,"전월→이번 달","이번 달→익월"))</f>
        <v/>
      </c>
      <c r="D763">
        <f>IF($M763="","",IF(ISNUMBER(INDEX(상세표[시작],$M763)),TEXT(INDEX(상세표[시작],$M763),"yyyy-mm-dd hh:mm"),INDEX(상세표[시작],$M763)&amp;""))</f>
        <v/>
      </c>
      <c r="E763">
        <f>IF($M763="","",IF(ISNUMBER(INDEX(상세표[종료],$M763)),TEXT(INDEX(상세표[종료],$M763),"yyyy-mm-dd hh:mm"),INDEX(상세표[종료],$M763)&amp;""))</f>
        <v/>
      </c>
      <c r="F763">
        <f>IF($M763="","",INDEX(상세표[기록 시간외],$M763))</f>
        <v/>
      </c>
      <c r="G763">
        <f>IF($M763="","",INDEX(상세표[시작월 기관],$M763)&amp;"")</f>
        <v/>
      </c>
      <c r="H763">
        <f>IF($M763="","",INDEX(상세표[종료월 기관],$M763)&amp;"")</f>
        <v/>
      </c>
      <c r="I763">
        <f>IF($M763="","",INDEX(상세표[월경계 판정],$M763)&amp;"")</f>
        <v/>
      </c>
      <c r="J763">
        <f>IF($M763="","",INDEX(상세표[반영월],$M763)&amp;"")</f>
        <v/>
      </c>
      <c r="K763">
        <f>IF($M763="","",INDEX(상세표[반영 기관],$M763)&amp;"")</f>
        <v/>
      </c>
      <c r="L763">
        <f>IF($M763="","",INDEX(상세표[기관 출처],$M763)&amp;"")</f>
        <v/>
      </c>
      <c r="M763" s="4">
        <f>IFERROR(MATCH(758,상세표[경계순번],0),"")</f>
        <v/>
      </c>
    </row>
    <row r="764">
      <c r="A764">
        <f>IF($M764="","",INDEX(상세표[사번],$M764)&amp;"")</f>
        <v/>
      </c>
      <c r="B764">
        <f>IF($M764="","",INDEX(상세표[성명],$M764)&amp;"")</f>
        <v/>
      </c>
      <c r="C764">
        <f>IF($M764="","",IF(INDEX(상세표[종료월],$M764)=대상월키,"전월→이번 달","이번 달→익월"))</f>
        <v/>
      </c>
      <c r="D764">
        <f>IF($M764="","",IF(ISNUMBER(INDEX(상세표[시작],$M764)),TEXT(INDEX(상세표[시작],$M764),"yyyy-mm-dd hh:mm"),INDEX(상세표[시작],$M764)&amp;""))</f>
        <v/>
      </c>
      <c r="E764">
        <f>IF($M764="","",IF(ISNUMBER(INDEX(상세표[종료],$M764)),TEXT(INDEX(상세표[종료],$M764),"yyyy-mm-dd hh:mm"),INDEX(상세표[종료],$M764)&amp;""))</f>
        <v/>
      </c>
      <c r="F764">
        <f>IF($M764="","",INDEX(상세표[기록 시간외],$M764))</f>
        <v/>
      </c>
      <c r="G764">
        <f>IF($M764="","",INDEX(상세표[시작월 기관],$M764)&amp;"")</f>
        <v/>
      </c>
      <c r="H764">
        <f>IF($M764="","",INDEX(상세표[종료월 기관],$M764)&amp;"")</f>
        <v/>
      </c>
      <c r="I764">
        <f>IF($M764="","",INDEX(상세표[월경계 판정],$M764)&amp;"")</f>
        <v/>
      </c>
      <c r="J764">
        <f>IF($M764="","",INDEX(상세표[반영월],$M764)&amp;"")</f>
        <v/>
      </c>
      <c r="K764">
        <f>IF($M764="","",INDEX(상세표[반영 기관],$M764)&amp;"")</f>
        <v/>
      </c>
      <c r="L764">
        <f>IF($M764="","",INDEX(상세표[기관 출처],$M764)&amp;"")</f>
        <v/>
      </c>
      <c r="M764" s="4">
        <f>IFERROR(MATCH(759,상세표[경계순번],0),"")</f>
        <v/>
      </c>
    </row>
    <row r="765">
      <c r="A765">
        <f>IF($M765="","",INDEX(상세표[사번],$M765)&amp;"")</f>
        <v/>
      </c>
      <c r="B765">
        <f>IF($M765="","",INDEX(상세표[성명],$M765)&amp;"")</f>
        <v/>
      </c>
      <c r="C765">
        <f>IF($M765="","",IF(INDEX(상세표[종료월],$M765)=대상월키,"전월→이번 달","이번 달→익월"))</f>
        <v/>
      </c>
      <c r="D765">
        <f>IF($M765="","",IF(ISNUMBER(INDEX(상세표[시작],$M765)),TEXT(INDEX(상세표[시작],$M765),"yyyy-mm-dd hh:mm"),INDEX(상세표[시작],$M765)&amp;""))</f>
        <v/>
      </c>
      <c r="E765">
        <f>IF($M765="","",IF(ISNUMBER(INDEX(상세표[종료],$M765)),TEXT(INDEX(상세표[종료],$M765),"yyyy-mm-dd hh:mm"),INDEX(상세표[종료],$M765)&amp;""))</f>
        <v/>
      </c>
      <c r="F765">
        <f>IF($M765="","",INDEX(상세표[기록 시간외],$M765))</f>
        <v/>
      </c>
      <c r="G765">
        <f>IF($M765="","",INDEX(상세표[시작월 기관],$M765)&amp;"")</f>
        <v/>
      </c>
      <c r="H765">
        <f>IF($M765="","",INDEX(상세표[종료월 기관],$M765)&amp;"")</f>
        <v/>
      </c>
      <c r="I765">
        <f>IF($M765="","",INDEX(상세표[월경계 판정],$M765)&amp;"")</f>
        <v/>
      </c>
      <c r="J765">
        <f>IF($M765="","",INDEX(상세표[반영월],$M765)&amp;"")</f>
        <v/>
      </c>
      <c r="K765">
        <f>IF($M765="","",INDEX(상세표[반영 기관],$M765)&amp;"")</f>
        <v/>
      </c>
      <c r="L765">
        <f>IF($M765="","",INDEX(상세표[기관 출처],$M765)&amp;"")</f>
        <v/>
      </c>
      <c r="M765" s="4">
        <f>IFERROR(MATCH(760,상세표[경계순번],0),"")</f>
        <v/>
      </c>
    </row>
    <row r="766">
      <c r="A766">
        <f>IF($M766="","",INDEX(상세표[사번],$M766)&amp;"")</f>
        <v/>
      </c>
      <c r="B766">
        <f>IF($M766="","",INDEX(상세표[성명],$M766)&amp;"")</f>
        <v/>
      </c>
      <c r="C766">
        <f>IF($M766="","",IF(INDEX(상세표[종료월],$M766)=대상월키,"전월→이번 달","이번 달→익월"))</f>
        <v/>
      </c>
      <c r="D766">
        <f>IF($M766="","",IF(ISNUMBER(INDEX(상세표[시작],$M766)),TEXT(INDEX(상세표[시작],$M766),"yyyy-mm-dd hh:mm"),INDEX(상세표[시작],$M766)&amp;""))</f>
        <v/>
      </c>
      <c r="E766">
        <f>IF($M766="","",IF(ISNUMBER(INDEX(상세표[종료],$M766)),TEXT(INDEX(상세표[종료],$M766),"yyyy-mm-dd hh:mm"),INDEX(상세표[종료],$M766)&amp;""))</f>
        <v/>
      </c>
      <c r="F766">
        <f>IF($M766="","",INDEX(상세표[기록 시간외],$M766))</f>
        <v/>
      </c>
      <c r="G766">
        <f>IF($M766="","",INDEX(상세표[시작월 기관],$M766)&amp;"")</f>
        <v/>
      </c>
      <c r="H766">
        <f>IF($M766="","",INDEX(상세표[종료월 기관],$M766)&amp;"")</f>
        <v/>
      </c>
      <c r="I766">
        <f>IF($M766="","",INDEX(상세표[월경계 판정],$M766)&amp;"")</f>
        <v/>
      </c>
      <c r="J766">
        <f>IF($M766="","",INDEX(상세표[반영월],$M766)&amp;"")</f>
        <v/>
      </c>
      <c r="K766">
        <f>IF($M766="","",INDEX(상세표[반영 기관],$M766)&amp;"")</f>
        <v/>
      </c>
      <c r="L766">
        <f>IF($M766="","",INDEX(상세표[기관 출처],$M766)&amp;"")</f>
        <v/>
      </c>
      <c r="M766" s="4">
        <f>IFERROR(MATCH(761,상세표[경계순번],0),"")</f>
        <v/>
      </c>
    </row>
    <row r="767">
      <c r="A767">
        <f>IF($M767="","",INDEX(상세표[사번],$M767)&amp;"")</f>
        <v/>
      </c>
      <c r="B767">
        <f>IF($M767="","",INDEX(상세표[성명],$M767)&amp;"")</f>
        <v/>
      </c>
      <c r="C767">
        <f>IF($M767="","",IF(INDEX(상세표[종료월],$M767)=대상월키,"전월→이번 달","이번 달→익월"))</f>
        <v/>
      </c>
      <c r="D767">
        <f>IF($M767="","",IF(ISNUMBER(INDEX(상세표[시작],$M767)),TEXT(INDEX(상세표[시작],$M767),"yyyy-mm-dd hh:mm"),INDEX(상세표[시작],$M767)&amp;""))</f>
        <v/>
      </c>
      <c r="E767">
        <f>IF($M767="","",IF(ISNUMBER(INDEX(상세표[종료],$M767)),TEXT(INDEX(상세표[종료],$M767),"yyyy-mm-dd hh:mm"),INDEX(상세표[종료],$M767)&amp;""))</f>
        <v/>
      </c>
      <c r="F767">
        <f>IF($M767="","",INDEX(상세표[기록 시간외],$M767))</f>
        <v/>
      </c>
      <c r="G767">
        <f>IF($M767="","",INDEX(상세표[시작월 기관],$M767)&amp;"")</f>
        <v/>
      </c>
      <c r="H767">
        <f>IF($M767="","",INDEX(상세표[종료월 기관],$M767)&amp;"")</f>
        <v/>
      </c>
      <c r="I767">
        <f>IF($M767="","",INDEX(상세표[월경계 판정],$M767)&amp;"")</f>
        <v/>
      </c>
      <c r="J767">
        <f>IF($M767="","",INDEX(상세표[반영월],$M767)&amp;"")</f>
        <v/>
      </c>
      <c r="K767">
        <f>IF($M767="","",INDEX(상세표[반영 기관],$M767)&amp;"")</f>
        <v/>
      </c>
      <c r="L767">
        <f>IF($M767="","",INDEX(상세표[기관 출처],$M767)&amp;"")</f>
        <v/>
      </c>
      <c r="M767" s="4">
        <f>IFERROR(MATCH(762,상세표[경계순번],0),"")</f>
        <v/>
      </c>
    </row>
    <row r="768">
      <c r="A768">
        <f>IF($M768="","",INDEX(상세표[사번],$M768)&amp;"")</f>
        <v/>
      </c>
      <c r="B768">
        <f>IF($M768="","",INDEX(상세표[성명],$M768)&amp;"")</f>
        <v/>
      </c>
      <c r="C768">
        <f>IF($M768="","",IF(INDEX(상세표[종료월],$M768)=대상월키,"전월→이번 달","이번 달→익월"))</f>
        <v/>
      </c>
      <c r="D768">
        <f>IF($M768="","",IF(ISNUMBER(INDEX(상세표[시작],$M768)),TEXT(INDEX(상세표[시작],$M768),"yyyy-mm-dd hh:mm"),INDEX(상세표[시작],$M768)&amp;""))</f>
        <v/>
      </c>
      <c r="E768">
        <f>IF($M768="","",IF(ISNUMBER(INDEX(상세표[종료],$M768)),TEXT(INDEX(상세표[종료],$M768),"yyyy-mm-dd hh:mm"),INDEX(상세표[종료],$M768)&amp;""))</f>
        <v/>
      </c>
      <c r="F768">
        <f>IF($M768="","",INDEX(상세표[기록 시간외],$M768))</f>
        <v/>
      </c>
      <c r="G768">
        <f>IF($M768="","",INDEX(상세표[시작월 기관],$M768)&amp;"")</f>
        <v/>
      </c>
      <c r="H768">
        <f>IF($M768="","",INDEX(상세표[종료월 기관],$M768)&amp;"")</f>
        <v/>
      </c>
      <c r="I768">
        <f>IF($M768="","",INDEX(상세표[월경계 판정],$M768)&amp;"")</f>
        <v/>
      </c>
      <c r="J768">
        <f>IF($M768="","",INDEX(상세표[반영월],$M768)&amp;"")</f>
        <v/>
      </c>
      <c r="K768">
        <f>IF($M768="","",INDEX(상세표[반영 기관],$M768)&amp;"")</f>
        <v/>
      </c>
      <c r="L768">
        <f>IF($M768="","",INDEX(상세표[기관 출처],$M768)&amp;"")</f>
        <v/>
      </c>
      <c r="M768" s="4">
        <f>IFERROR(MATCH(763,상세표[경계순번],0),"")</f>
        <v/>
      </c>
    </row>
    <row r="769">
      <c r="A769">
        <f>IF($M769="","",INDEX(상세표[사번],$M769)&amp;"")</f>
        <v/>
      </c>
      <c r="B769">
        <f>IF($M769="","",INDEX(상세표[성명],$M769)&amp;"")</f>
        <v/>
      </c>
      <c r="C769">
        <f>IF($M769="","",IF(INDEX(상세표[종료월],$M769)=대상월키,"전월→이번 달","이번 달→익월"))</f>
        <v/>
      </c>
      <c r="D769">
        <f>IF($M769="","",IF(ISNUMBER(INDEX(상세표[시작],$M769)),TEXT(INDEX(상세표[시작],$M769),"yyyy-mm-dd hh:mm"),INDEX(상세표[시작],$M769)&amp;""))</f>
        <v/>
      </c>
      <c r="E769">
        <f>IF($M769="","",IF(ISNUMBER(INDEX(상세표[종료],$M769)),TEXT(INDEX(상세표[종료],$M769),"yyyy-mm-dd hh:mm"),INDEX(상세표[종료],$M769)&amp;""))</f>
        <v/>
      </c>
      <c r="F769">
        <f>IF($M769="","",INDEX(상세표[기록 시간외],$M769))</f>
        <v/>
      </c>
      <c r="G769">
        <f>IF($M769="","",INDEX(상세표[시작월 기관],$M769)&amp;"")</f>
        <v/>
      </c>
      <c r="H769">
        <f>IF($M769="","",INDEX(상세표[종료월 기관],$M769)&amp;"")</f>
        <v/>
      </c>
      <c r="I769">
        <f>IF($M769="","",INDEX(상세표[월경계 판정],$M769)&amp;"")</f>
        <v/>
      </c>
      <c r="J769">
        <f>IF($M769="","",INDEX(상세표[반영월],$M769)&amp;"")</f>
        <v/>
      </c>
      <c r="K769">
        <f>IF($M769="","",INDEX(상세표[반영 기관],$M769)&amp;"")</f>
        <v/>
      </c>
      <c r="L769">
        <f>IF($M769="","",INDEX(상세표[기관 출처],$M769)&amp;"")</f>
        <v/>
      </c>
      <c r="M769" s="4">
        <f>IFERROR(MATCH(764,상세표[경계순번],0),"")</f>
        <v/>
      </c>
    </row>
    <row r="770">
      <c r="A770">
        <f>IF($M770="","",INDEX(상세표[사번],$M770)&amp;"")</f>
        <v/>
      </c>
      <c r="B770">
        <f>IF($M770="","",INDEX(상세표[성명],$M770)&amp;"")</f>
        <v/>
      </c>
      <c r="C770">
        <f>IF($M770="","",IF(INDEX(상세표[종료월],$M770)=대상월키,"전월→이번 달","이번 달→익월"))</f>
        <v/>
      </c>
      <c r="D770">
        <f>IF($M770="","",IF(ISNUMBER(INDEX(상세표[시작],$M770)),TEXT(INDEX(상세표[시작],$M770),"yyyy-mm-dd hh:mm"),INDEX(상세표[시작],$M770)&amp;""))</f>
        <v/>
      </c>
      <c r="E770">
        <f>IF($M770="","",IF(ISNUMBER(INDEX(상세표[종료],$M770)),TEXT(INDEX(상세표[종료],$M770),"yyyy-mm-dd hh:mm"),INDEX(상세표[종료],$M770)&amp;""))</f>
        <v/>
      </c>
      <c r="F770">
        <f>IF($M770="","",INDEX(상세표[기록 시간외],$M770))</f>
        <v/>
      </c>
      <c r="G770">
        <f>IF($M770="","",INDEX(상세표[시작월 기관],$M770)&amp;"")</f>
        <v/>
      </c>
      <c r="H770">
        <f>IF($M770="","",INDEX(상세표[종료월 기관],$M770)&amp;"")</f>
        <v/>
      </c>
      <c r="I770">
        <f>IF($M770="","",INDEX(상세표[월경계 판정],$M770)&amp;"")</f>
        <v/>
      </c>
      <c r="J770">
        <f>IF($M770="","",INDEX(상세표[반영월],$M770)&amp;"")</f>
        <v/>
      </c>
      <c r="K770">
        <f>IF($M770="","",INDEX(상세표[반영 기관],$M770)&amp;"")</f>
        <v/>
      </c>
      <c r="L770">
        <f>IF($M770="","",INDEX(상세표[기관 출처],$M770)&amp;"")</f>
        <v/>
      </c>
      <c r="M770" s="4">
        <f>IFERROR(MATCH(765,상세표[경계순번],0),"")</f>
        <v/>
      </c>
    </row>
    <row r="771">
      <c r="A771">
        <f>IF($M771="","",INDEX(상세표[사번],$M771)&amp;"")</f>
        <v/>
      </c>
      <c r="B771">
        <f>IF($M771="","",INDEX(상세표[성명],$M771)&amp;"")</f>
        <v/>
      </c>
      <c r="C771">
        <f>IF($M771="","",IF(INDEX(상세표[종료월],$M771)=대상월키,"전월→이번 달","이번 달→익월"))</f>
        <v/>
      </c>
      <c r="D771">
        <f>IF($M771="","",IF(ISNUMBER(INDEX(상세표[시작],$M771)),TEXT(INDEX(상세표[시작],$M771),"yyyy-mm-dd hh:mm"),INDEX(상세표[시작],$M771)&amp;""))</f>
        <v/>
      </c>
      <c r="E771">
        <f>IF($M771="","",IF(ISNUMBER(INDEX(상세표[종료],$M771)),TEXT(INDEX(상세표[종료],$M771),"yyyy-mm-dd hh:mm"),INDEX(상세표[종료],$M771)&amp;""))</f>
        <v/>
      </c>
      <c r="F771">
        <f>IF($M771="","",INDEX(상세표[기록 시간외],$M771))</f>
        <v/>
      </c>
      <c r="G771">
        <f>IF($M771="","",INDEX(상세표[시작월 기관],$M771)&amp;"")</f>
        <v/>
      </c>
      <c r="H771">
        <f>IF($M771="","",INDEX(상세표[종료월 기관],$M771)&amp;"")</f>
        <v/>
      </c>
      <c r="I771">
        <f>IF($M771="","",INDEX(상세표[월경계 판정],$M771)&amp;"")</f>
        <v/>
      </c>
      <c r="J771">
        <f>IF($M771="","",INDEX(상세표[반영월],$M771)&amp;"")</f>
        <v/>
      </c>
      <c r="K771">
        <f>IF($M771="","",INDEX(상세표[반영 기관],$M771)&amp;"")</f>
        <v/>
      </c>
      <c r="L771">
        <f>IF($M771="","",INDEX(상세표[기관 출처],$M771)&amp;"")</f>
        <v/>
      </c>
      <c r="M771" s="4">
        <f>IFERROR(MATCH(766,상세표[경계순번],0),"")</f>
        <v/>
      </c>
    </row>
    <row r="772">
      <c r="A772">
        <f>IF($M772="","",INDEX(상세표[사번],$M772)&amp;"")</f>
        <v/>
      </c>
      <c r="B772">
        <f>IF($M772="","",INDEX(상세표[성명],$M772)&amp;"")</f>
        <v/>
      </c>
      <c r="C772">
        <f>IF($M772="","",IF(INDEX(상세표[종료월],$M772)=대상월키,"전월→이번 달","이번 달→익월"))</f>
        <v/>
      </c>
      <c r="D772">
        <f>IF($M772="","",IF(ISNUMBER(INDEX(상세표[시작],$M772)),TEXT(INDEX(상세표[시작],$M772),"yyyy-mm-dd hh:mm"),INDEX(상세표[시작],$M772)&amp;""))</f>
        <v/>
      </c>
      <c r="E772">
        <f>IF($M772="","",IF(ISNUMBER(INDEX(상세표[종료],$M772)),TEXT(INDEX(상세표[종료],$M772),"yyyy-mm-dd hh:mm"),INDEX(상세표[종료],$M772)&amp;""))</f>
        <v/>
      </c>
      <c r="F772">
        <f>IF($M772="","",INDEX(상세표[기록 시간외],$M772))</f>
        <v/>
      </c>
      <c r="G772">
        <f>IF($M772="","",INDEX(상세표[시작월 기관],$M772)&amp;"")</f>
        <v/>
      </c>
      <c r="H772">
        <f>IF($M772="","",INDEX(상세표[종료월 기관],$M772)&amp;"")</f>
        <v/>
      </c>
      <c r="I772">
        <f>IF($M772="","",INDEX(상세표[월경계 판정],$M772)&amp;"")</f>
        <v/>
      </c>
      <c r="J772">
        <f>IF($M772="","",INDEX(상세표[반영월],$M772)&amp;"")</f>
        <v/>
      </c>
      <c r="K772">
        <f>IF($M772="","",INDEX(상세표[반영 기관],$M772)&amp;"")</f>
        <v/>
      </c>
      <c r="L772">
        <f>IF($M772="","",INDEX(상세표[기관 출처],$M772)&amp;"")</f>
        <v/>
      </c>
      <c r="M772" s="4">
        <f>IFERROR(MATCH(767,상세표[경계순번],0),"")</f>
        <v/>
      </c>
    </row>
    <row r="773">
      <c r="A773">
        <f>IF($M773="","",INDEX(상세표[사번],$M773)&amp;"")</f>
        <v/>
      </c>
      <c r="B773">
        <f>IF($M773="","",INDEX(상세표[성명],$M773)&amp;"")</f>
        <v/>
      </c>
      <c r="C773">
        <f>IF($M773="","",IF(INDEX(상세표[종료월],$M773)=대상월키,"전월→이번 달","이번 달→익월"))</f>
        <v/>
      </c>
      <c r="D773">
        <f>IF($M773="","",IF(ISNUMBER(INDEX(상세표[시작],$M773)),TEXT(INDEX(상세표[시작],$M773),"yyyy-mm-dd hh:mm"),INDEX(상세표[시작],$M773)&amp;""))</f>
        <v/>
      </c>
      <c r="E773">
        <f>IF($M773="","",IF(ISNUMBER(INDEX(상세표[종료],$M773)),TEXT(INDEX(상세표[종료],$M773),"yyyy-mm-dd hh:mm"),INDEX(상세표[종료],$M773)&amp;""))</f>
        <v/>
      </c>
      <c r="F773">
        <f>IF($M773="","",INDEX(상세표[기록 시간외],$M773))</f>
        <v/>
      </c>
      <c r="G773">
        <f>IF($M773="","",INDEX(상세표[시작월 기관],$M773)&amp;"")</f>
        <v/>
      </c>
      <c r="H773">
        <f>IF($M773="","",INDEX(상세표[종료월 기관],$M773)&amp;"")</f>
        <v/>
      </c>
      <c r="I773">
        <f>IF($M773="","",INDEX(상세표[월경계 판정],$M773)&amp;"")</f>
        <v/>
      </c>
      <c r="J773">
        <f>IF($M773="","",INDEX(상세표[반영월],$M773)&amp;"")</f>
        <v/>
      </c>
      <c r="K773">
        <f>IF($M773="","",INDEX(상세표[반영 기관],$M773)&amp;"")</f>
        <v/>
      </c>
      <c r="L773">
        <f>IF($M773="","",INDEX(상세표[기관 출처],$M773)&amp;"")</f>
        <v/>
      </c>
      <c r="M773" s="4">
        <f>IFERROR(MATCH(768,상세표[경계순번],0),"")</f>
        <v/>
      </c>
    </row>
    <row r="774">
      <c r="A774">
        <f>IF($M774="","",INDEX(상세표[사번],$M774)&amp;"")</f>
        <v/>
      </c>
      <c r="B774">
        <f>IF($M774="","",INDEX(상세표[성명],$M774)&amp;"")</f>
        <v/>
      </c>
      <c r="C774">
        <f>IF($M774="","",IF(INDEX(상세표[종료월],$M774)=대상월키,"전월→이번 달","이번 달→익월"))</f>
        <v/>
      </c>
      <c r="D774">
        <f>IF($M774="","",IF(ISNUMBER(INDEX(상세표[시작],$M774)),TEXT(INDEX(상세표[시작],$M774),"yyyy-mm-dd hh:mm"),INDEX(상세표[시작],$M774)&amp;""))</f>
        <v/>
      </c>
      <c r="E774">
        <f>IF($M774="","",IF(ISNUMBER(INDEX(상세표[종료],$M774)),TEXT(INDEX(상세표[종료],$M774),"yyyy-mm-dd hh:mm"),INDEX(상세표[종료],$M774)&amp;""))</f>
        <v/>
      </c>
      <c r="F774">
        <f>IF($M774="","",INDEX(상세표[기록 시간외],$M774))</f>
        <v/>
      </c>
      <c r="G774">
        <f>IF($M774="","",INDEX(상세표[시작월 기관],$M774)&amp;"")</f>
        <v/>
      </c>
      <c r="H774">
        <f>IF($M774="","",INDEX(상세표[종료월 기관],$M774)&amp;"")</f>
        <v/>
      </c>
      <c r="I774">
        <f>IF($M774="","",INDEX(상세표[월경계 판정],$M774)&amp;"")</f>
        <v/>
      </c>
      <c r="J774">
        <f>IF($M774="","",INDEX(상세표[반영월],$M774)&amp;"")</f>
        <v/>
      </c>
      <c r="K774">
        <f>IF($M774="","",INDEX(상세표[반영 기관],$M774)&amp;"")</f>
        <v/>
      </c>
      <c r="L774">
        <f>IF($M774="","",INDEX(상세표[기관 출처],$M774)&amp;"")</f>
        <v/>
      </c>
      <c r="M774" s="4">
        <f>IFERROR(MATCH(769,상세표[경계순번],0),"")</f>
        <v/>
      </c>
    </row>
    <row r="775">
      <c r="A775">
        <f>IF($M775="","",INDEX(상세표[사번],$M775)&amp;"")</f>
        <v/>
      </c>
      <c r="B775">
        <f>IF($M775="","",INDEX(상세표[성명],$M775)&amp;"")</f>
        <v/>
      </c>
      <c r="C775">
        <f>IF($M775="","",IF(INDEX(상세표[종료월],$M775)=대상월키,"전월→이번 달","이번 달→익월"))</f>
        <v/>
      </c>
      <c r="D775">
        <f>IF($M775="","",IF(ISNUMBER(INDEX(상세표[시작],$M775)),TEXT(INDEX(상세표[시작],$M775),"yyyy-mm-dd hh:mm"),INDEX(상세표[시작],$M775)&amp;""))</f>
        <v/>
      </c>
      <c r="E775">
        <f>IF($M775="","",IF(ISNUMBER(INDEX(상세표[종료],$M775)),TEXT(INDEX(상세표[종료],$M775),"yyyy-mm-dd hh:mm"),INDEX(상세표[종료],$M775)&amp;""))</f>
        <v/>
      </c>
      <c r="F775">
        <f>IF($M775="","",INDEX(상세표[기록 시간외],$M775))</f>
        <v/>
      </c>
      <c r="G775">
        <f>IF($M775="","",INDEX(상세표[시작월 기관],$M775)&amp;"")</f>
        <v/>
      </c>
      <c r="H775">
        <f>IF($M775="","",INDEX(상세표[종료월 기관],$M775)&amp;"")</f>
        <v/>
      </c>
      <c r="I775">
        <f>IF($M775="","",INDEX(상세표[월경계 판정],$M775)&amp;"")</f>
        <v/>
      </c>
      <c r="J775">
        <f>IF($M775="","",INDEX(상세표[반영월],$M775)&amp;"")</f>
        <v/>
      </c>
      <c r="K775">
        <f>IF($M775="","",INDEX(상세표[반영 기관],$M775)&amp;"")</f>
        <v/>
      </c>
      <c r="L775">
        <f>IF($M775="","",INDEX(상세표[기관 출처],$M775)&amp;"")</f>
        <v/>
      </c>
      <c r="M775" s="4">
        <f>IFERROR(MATCH(770,상세표[경계순번],0),"")</f>
        <v/>
      </c>
    </row>
    <row r="776">
      <c r="A776">
        <f>IF($M776="","",INDEX(상세표[사번],$M776)&amp;"")</f>
        <v/>
      </c>
      <c r="B776">
        <f>IF($M776="","",INDEX(상세표[성명],$M776)&amp;"")</f>
        <v/>
      </c>
      <c r="C776">
        <f>IF($M776="","",IF(INDEX(상세표[종료월],$M776)=대상월키,"전월→이번 달","이번 달→익월"))</f>
        <v/>
      </c>
      <c r="D776">
        <f>IF($M776="","",IF(ISNUMBER(INDEX(상세표[시작],$M776)),TEXT(INDEX(상세표[시작],$M776),"yyyy-mm-dd hh:mm"),INDEX(상세표[시작],$M776)&amp;""))</f>
        <v/>
      </c>
      <c r="E776">
        <f>IF($M776="","",IF(ISNUMBER(INDEX(상세표[종료],$M776)),TEXT(INDEX(상세표[종료],$M776),"yyyy-mm-dd hh:mm"),INDEX(상세표[종료],$M776)&amp;""))</f>
        <v/>
      </c>
      <c r="F776">
        <f>IF($M776="","",INDEX(상세표[기록 시간외],$M776))</f>
        <v/>
      </c>
      <c r="G776">
        <f>IF($M776="","",INDEX(상세표[시작월 기관],$M776)&amp;"")</f>
        <v/>
      </c>
      <c r="H776">
        <f>IF($M776="","",INDEX(상세표[종료월 기관],$M776)&amp;"")</f>
        <v/>
      </c>
      <c r="I776">
        <f>IF($M776="","",INDEX(상세표[월경계 판정],$M776)&amp;"")</f>
        <v/>
      </c>
      <c r="J776">
        <f>IF($M776="","",INDEX(상세표[반영월],$M776)&amp;"")</f>
        <v/>
      </c>
      <c r="K776">
        <f>IF($M776="","",INDEX(상세표[반영 기관],$M776)&amp;"")</f>
        <v/>
      </c>
      <c r="L776">
        <f>IF($M776="","",INDEX(상세표[기관 출처],$M776)&amp;"")</f>
        <v/>
      </c>
      <c r="M776" s="4">
        <f>IFERROR(MATCH(771,상세표[경계순번],0),"")</f>
        <v/>
      </c>
    </row>
    <row r="777">
      <c r="A777">
        <f>IF($M777="","",INDEX(상세표[사번],$M777)&amp;"")</f>
        <v/>
      </c>
      <c r="B777">
        <f>IF($M777="","",INDEX(상세표[성명],$M777)&amp;"")</f>
        <v/>
      </c>
      <c r="C777">
        <f>IF($M777="","",IF(INDEX(상세표[종료월],$M777)=대상월키,"전월→이번 달","이번 달→익월"))</f>
        <v/>
      </c>
      <c r="D777">
        <f>IF($M777="","",IF(ISNUMBER(INDEX(상세표[시작],$M777)),TEXT(INDEX(상세표[시작],$M777),"yyyy-mm-dd hh:mm"),INDEX(상세표[시작],$M777)&amp;""))</f>
        <v/>
      </c>
      <c r="E777">
        <f>IF($M777="","",IF(ISNUMBER(INDEX(상세표[종료],$M777)),TEXT(INDEX(상세표[종료],$M777),"yyyy-mm-dd hh:mm"),INDEX(상세표[종료],$M777)&amp;""))</f>
        <v/>
      </c>
      <c r="F777">
        <f>IF($M777="","",INDEX(상세표[기록 시간외],$M777))</f>
        <v/>
      </c>
      <c r="G777">
        <f>IF($M777="","",INDEX(상세표[시작월 기관],$M777)&amp;"")</f>
        <v/>
      </c>
      <c r="H777">
        <f>IF($M777="","",INDEX(상세표[종료월 기관],$M777)&amp;"")</f>
        <v/>
      </c>
      <c r="I777">
        <f>IF($M777="","",INDEX(상세표[월경계 판정],$M777)&amp;"")</f>
        <v/>
      </c>
      <c r="J777">
        <f>IF($M777="","",INDEX(상세표[반영월],$M777)&amp;"")</f>
        <v/>
      </c>
      <c r="K777">
        <f>IF($M777="","",INDEX(상세표[반영 기관],$M777)&amp;"")</f>
        <v/>
      </c>
      <c r="L777">
        <f>IF($M777="","",INDEX(상세표[기관 출처],$M777)&amp;"")</f>
        <v/>
      </c>
      <c r="M777" s="4">
        <f>IFERROR(MATCH(772,상세표[경계순번],0),"")</f>
        <v/>
      </c>
    </row>
    <row r="778">
      <c r="A778">
        <f>IF($M778="","",INDEX(상세표[사번],$M778)&amp;"")</f>
        <v/>
      </c>
      <c r="B778">
        <f>IF($M778="","",INDEX(상세표[성명],$M778)&amp;"")</f>
        <v/>
      </c>
      <c r="C778">
        <f>IF($M778="","",IF(INDEX(상세표[종료월],$M778)=대상월키,"전월→이번 달","이번 달→익월"))</f>
        <v/>
      </c>
      <c r="D778">
        <f>IF($M778="","",IF(ISNUMBER(INDEX(상세표[시작],$M778)),TEXT(INDEX(상세표[시작],$M778),"yyyy-mm-dd hh:mm"),INDEX(상세표[시작],$M778)&amp;""))</f>
        <v/>
      </c>
      <c r="E778">
        <f>IF($M778="","",IF(ISNUMBER(INDEX(상세표[종료],$M778)),TEXT(INDEX(상세표[종료],$M778),"yyyy-mm-dd hh:mm"),INDEX(상세표[종료],$M778)&amp;""))</f>
        <v/>
      </c>
      <c r="F778">
        <f>IF($M778="","",INDEX(상세표[기록 시간외],$M778))</f>
        <v/>
      </c>
      <c r="G778">
        <f>IF($M778="","",INDEX(상세표[시작월 기관],$M778)&amp;"")</f>
        <v/>
      </c>
      <c r="H778">
        <f>IF($M778="","",INDEX(상세표[종료월 기관],$M778)&amp;"")</f>
        <v/>
      </c>
      <c r="I778">
        <f>IF($M778="","",INDEX(상세표[월경계 판정],$M778)&amp;"")</f>
        <v/>
      </c>
      <c r="J778">
        <f>IF($M778="","",INDEX(상세표[반영월],$M778)&amp;"")</f>
        <v/>
      </c>
      <c r="K778">
        <f>IF($M778="","",INDEX(상세표[반영 기관],$M778)&amp;"")</f>
        <v/>
      </c>
      <c r="L778">
        <f>IF($M778="","",INDEX(상세표[기관 출처],$M778)&amp;"")</f>
        <v/>
      </c>
      <c r="M778" s="4">
        <f>IFERROR(MATCH(773,상세표[경계순번],0),"")</f>
        <v/>
      </c>
    </row>
    <row r="779">
      <c r="A779">
        <f>IF($M779="","",INDEX(상세표[사번],$M779)&amp;"")</f>
        <v/>
      </c>
      <c r="B779">
        <f>IF($M779="","",INDEX(상세표[성명],$M779)&amp;"")</f>
        <v/>
      </c>
      <c r="C779">
        <f>IF($M779="","",IF(INDEX(상세표[종료월],$M779)=대상월키,"전월→이번 달","이번 달→익월"))</f>
        <v/>
      </c>
      <c r="D779">
        <f>IF($M779="","",IF(ISNUMBER(INDEX(상세표[시작],$M779)),TEXT(INDEX(상세표[시작],$M779),"yyyy-mm-dd hh:mm"),INDEX(상세표[시작],$M779)&amp;""))</f>
        <v/>
      </c>
      <c r="E779">
        <f>IF($M779="","",IF(ISNUMBER(INDEX(상세표[종료],$M779)),TEXT(INDEX(상세표[종료],$M779),"yyyy-mm-dd hh:mm"),INDEX(상세표[종료],$M779)&amp;""))</f>
        <v/>
      </c>
      <c r="F779">
        <f>IF($M779="","",INDEX(상세표[기록 시간외],$M779))</f>
        <v/>
      </c>
      <c r="G779">
        <f>IF($M779="","",INDEX(상세표[시작월 기관],$M779)&amp;"")</f>
        <v/>
      </c>
      <c r="H779">
        <f>IF($M779="","",INDEX(상세표[종료월 기관],$M779)&amp;"")</f>
        <v/>
      </c>
      <c r="I779">
        <f>IF($M779="","",INDEX(상세표[월경계 판정],$M779)&amp;"")</f>
        <v/>
      </c>
      <c r="J779">
        <f>IF($M779="","",INDEX(상세표[반영월],$M779)&amp;"")</f>
        <v/>
      </c>
      <c r="K779">
        <f>IF($M779="","",INDEX(상세표[반영 기관],$M779)&amp;"")</f>
        <v/>
      </c>
      <c r="L779">
        <f>IF($M779="","",INDEX(상세표[기관 출처],$M779)&amp;"")</f>
        <v/>
      </c>
      <c r="M779" s="4">
        <f>IFERROR(MATCH(774,상세표[경계순번],0),"")</f>
        <v/>
      </c>
    </row>
    <row r="780">
      <c r="A780">
        <f>IF($M780="","",INDEX(상세표[사번],$M780)&amp;"")</f>
        <v/>
      </c>
      <c r="B780">
        <f>IF($M780="","",INDEX(상세표[성명],$M780)&amp;"")</f>
        <v/>
      </c>
      <c r="C780">
        <f>IF($M780="","",IF(INDEX(상세표[종료월],$M780)=대상월키,"전월→이번 달","이번 달→익월"))</f>
        <v/>
      </c>
      <c r="D780">
        <f>IF($M780="","",IF(ISNUMBER(INDEX(상세표[시작],$M780)),TEXT(INDEX(상세표[시작],$M780),"yyyy-mm-dd hh:mm"),INDEX(상세표[시작],$M780)&amp;""))</f>
        <v/>
      </c>
      <c r="E780">
        <f>IF($M780="","",IF(ISNUMBER(INDEX(상세표[종료],$M780)),TEXT(INDEX(상세표[종료],$M780),"yyyy-mm-dd hh:mm"),INDEX(상세표[종료],$M780)&amp;""))</f>
        <v/>
      </c>
      <c r="F780">
        <f>IF($M780="","",INDEX(상세표[기록 시간외],$M780))</f>
        <v/>
      </c>
      <c r="G780">
        <f>IF($M780="","",INDEX(상세표[시작월 기관],$M780)&amp;"")</f>
        <v/>
      </c>
      <c r="H780">
        <f>IF($M780="","",INDEX(상세표[종료월 기관],$M780)&amp;"")</f>
        <v/>
      </c>
      <c r="I780">
        <f>IF($M780="","",INDEX(상세표[월경계 판정],$M780)&amp;"")</f>
        <v/>
      </c>
      <c r="J780">
        <f>IF($M780="","",INDEX(상세표[반영월],$M780)&amp;"")</f>
        <v/>
      </c>
      <c r="K780">
        <f>IF($M780="","",INDEX(상세표[반영 기관],$M780)&amp;"")</f>
        <v/>
      </c>
      <c r="L780">
        <f>IF($M780="","",INDEX(상세표[기관 출처],$M780)&amp;"")</f>
        <v/>
      </c>
      <c r="M780" s="4">
        <f>IFERROR(MATCH(775,상세표[경계순번],0),"")</f>
        <v/>
      </c>
    </row>
    <row r="781">
      <c r="A781">
        <f>IF($M781="","",INDEX(상세표[사번],$M781)&amp;"")</f>
        <v/>
      </c>
      <c r="B781">
        <f>IF($M781="","",INDEX(상세표[성명],$M781)&amp;"")</f>
        <v/>
      </c>
      <c r="C781">
        <f>IF($M781="","",IF(INDEX(상세표[종료월],$M781)=대상월키,"전월→이번 달","이번 달→익월"))</f>
        <v/>
      </c>
      <c r="D781">
        <f>IF($M781="","",IF(ISNUMBER(INDEX(상세표[시작],$M781)),TEXT(INDEX(상세표[시작],$M781),"yyyy-mm-dd hh:mm"),INDEX(상세표[시작],$M781)&amp;""))</f>
        <v/>
      </c>
      <c r="E781">
        <f>IF($M781="","",IF(ISNUMBER(INDEX(상세표[종료],$M781)),TEXT(INDEX(상세표[종료],$M781),"yyyy-mm-dd hh:mm"),INDEX(상세표[종료],$M781)&amp;""))</f>
        <v/>
      </c>
      <c r="F781">
        <f>IF($M781="","",INDEX(상세표[기록 시간외],$M781))</f>
        <v/>
      </c>
      <c r="G781">
        <f>IF($M781="","",INDEX(상세표[시작월 기관],$M781)&amp;"")</f>
        <v/>
      </c>
      <c r="H781">
        <f>IF($M781="","",INDEX(상세표[종료월 기관],$M781)&amp;"")</f>
        <v/>
      </c>
      <c r="I781">
        <f>IF($M781="","",INDEX(상세표[월경계 판정],$M781)&amp;"")</f>
        <v/>
      </c>
      <c r="J781">
        <f>IF($M781="","",INDEX(상세표[반영월],$M781)&amp;"")</f>
        <v/>
      </c>
      <c r="K781">
        <f>IF($M781="","",INDEX(상세표[반영 기관],$M781)&amp;"")</f>
        <v/>
      </c>
      <c r="L781">
        <f>IF($M781="","",INDEX(상세표[기관 출처],$M781)&amp;"")</f>
        <v/>
      </c>
      <c r="M781" s="4">
        <f>IFERROR(MATCH(776,상세표[경계순번],0),"")</f>
        <v/>
      </c>
    </row>
    <row r="782">
      <c r="A782">
        <f>IF($M782="","",INDEX(상세표[사번],$M782)&amp;"")</f>
        <v/>
      </c>
      <c r="B782">
        <f>IF($M782="","",INDEX(상세표[성명],$M782)&amp;"")</f>
        <v/>
      </c>
      <c r="C782">
        <f>IF($M782="","",IF(INDEX(상세표[종료월],$M782)=대상월키,"전월→이번 달","이번 달→익월"))</f>
        <v/>
      </c>
      <c r="D782">
        <f>IF($M782="","",IF(ISNUMBER(INDEX(상세표[시작],$M782)),TEXT(INDEX(상세표[시작],$M782),"yyyy-mm-dd hh:mm"),INDEX(상세표[시작],$M782)&amp;""))</f>
        <v/>
      </c>
      <c r="E782">
        <f>IF($M782="","",IF(ISNUMBER(INDEX(상세표[종료],$M782)),TEXT(INDEX(상세표[종료],$M782),"yyyy-mm-dd hh:mm"),INDEX(상세표[종료],$M782)&amp;""))</f>
        <v/>
      </c>
      <c r="F782">
        <f>IF($M782="","",INDEX(상세표[기록 시간외],$M782))</f>
        <v/>
      </c>
      <c r="G782">
        <f>IF($M782="","",INDEX(상세표[시작월 기관],$M782)&amp;"")</f>
        <v/>
      </c>
      <c r="H782">
        <f>IF($M782="","",INDEX(상세표[종료월 기관],$M782)&amp;"")</f>
        <v/>
      </c>
      <c r="I782">
        <f>IF($M782="","",INDEX(상세표[월경계 판정],$M782)&amp;"")</f>
        <v/>
      </c>
      <c r="J782">
        <f>IF($M782="","",INDEX(상세표[반영월],$M782)&amp;"")</f>
        <v/>
      </c>
      <c r="K782">
        <f>IF($M782="","",INDEX(상세표[반영 기관],$M782)&amp;"")</f>
        <v/>
      </c>
      <c r="L782">
        <f>IF($M782="","",INDEX(상세표[기관 출처],$M782)&amp;"")</f>
        <v/>
      </c>
      <c r="M782" s="4">
        <f>IFERROR(MATCH(777,상세표[경계순번],0),"")</f>
        <v/>
      </c>
    </row>
    <row r="783">
      <c r="A783">
        <f>IF($M783="","",INDEX(상세표[사번],$M783)&amp;"")</f>
        <v/>
      </c>
      <c r="B783">
        <f>IF($M783="","",INDEX(상세표[성명],$M783)&amp;"")</f>
        <v/>
      </c>
      <c r="C783">
        <f>IF($M783="","",IF(INDEX(상세표[종료월],$M783)=대상월키,"전월→이번 달","이번 달→익월"))</f>
        <v/>
      </c>
      <c r="D783">
        <f>IF($M783="","",IF(ISNUMBER(INDEX(상세표[시작],$M783)),TEXT(INDEX(상세표[시작],$M783),"yyyy-mm-dd hh:mm"),INDEX(상세표[시작],$M783)&amp;""))</f>
        <v/>
      </c>
      <c r="E783">
        <f>IF($M783="","",IF(ISNUMBER(INDEX(상세표[종료],$M783)),TEXT(INDEX(상세표[종료],$M783),"yyyy-mm-dd hh:mm"),INDEX(상세표[종료],$M783)&amp;""))</f>
        <v/>
      </c>
      <c r="F783">
        <f>IF($M783="","",INDEX(상세표[기록 시간외],$M783))</f>
        <v/>
      </c>
      <c r="G783">
        <f>IF($M783="","",INDEX(상세표[시작월 기관],$M783)&amp;"")</f>
        <v/>
      </c>
      <c r="H783">
        <f>IF($M783="","",INDEX(상세표[종료월 기관],$M783)&amp;"")</f>
        <v/>
      </c>
      <c r="I783">
        <f>IF($M783="","",INDEX(상세표[월경계 판정],$M783)&amp;"")</f>
        <v/>
      </c>
      <c r="J783">
        <f>IF($M783="","",INDEX(상세표[반영월],$M783)&amp;"")</f>
        <v/>
      </c>
      <c r="K783">
        <f>IF($M783="","",INDEX(상세표[반영 기관],$M783)&amp;"")</f>
        <v/>
      </c>
      <c r="L783">
        <f>IF($M783="","",INDEX(상세표[기관 출처],$M783)&amp;"")</f>
        <v/>
      </c>
      <c r="M783" s="4">
        <f>IFERROR(MATCH(778,상세표[경계순번],0),"")</f>
        <v/>
      </c>
    </row>
    <row r="784">
      <c r="A784">
        <f>IF($M784="","",INDEX(상세표[사번],$M784)&amp;"")</f>
        <v/>
      </c>
      <c r="B784">
        <f>IF($M784="","",INDEX(상세표[성명],$M784)&amp;"")</f>
        <v/>
      </c>
      <c r="C784">
        <f>IF($M784="","",IF(INDEX(상세표[종료월],$M784)=대상월키,"전월→이번 달","이번 달→익월"))</f>
        <v/>
      </c>
      <c r="D784">
        <f>IF($M784="","",IF(ISNUMBER(INDEX(상세표[시작],$M784)),TEXT(INDEX(상세표[시작],$M784),"yyyy-mm-dd hh:mm"),INDEX(상세표[시작],$M784)&amp;""))</f>
        <v/>
      </c>
      <c r="E784">
        <f>IF($M784="","",IF(ISNUMBER(INDEX(상세표[종료],$M784)),TEXT(INDEX(상세표[종료],$M784),"yyyy-mm-dd hh:mm"),INDEX(상세표[종료],$M784)&amp;""))</f>
        <v/>
      </c>
      <c r="F784">
        <f>IF($M784="","",INDEX(상세표[기록 시간외],$M784))</f>
        <v/>
      </c>
      <c r="G784">
        <f>IF($M784="","",INDEX(상세표[시작월 기관],$M784)&amp;"")</f>
        <v/>
      </c>
      <c r="H784">
        <f>IF($M784="","",INDEX(상세표[종료월 기관],$M784)&amp;"")</f>
        <v/>
      </c>
      <c r="I784">
        <f>IF($M784="","",INDEX(상세표[월경계 판정],$M784)&amp;"")</f>
        <v/>
      </c>
      <c r="J784">
        <f>IF($M784="","",INDEX(상세표[반영월],$M784)&amp;"")</f>
        <v/>
      </c>
      <c r="K784">
        <f>IF($M784="","",INDEX(상세표[반영 기관],$M784)&amp;"")</f>
        <v/>
      </c>
      <c r="L784">
        <f>IF($M784="","",INDEX(상세표[기관 출처],$M784)&amp;"")</f>
        <v/>
      </c>
      <c r="M784" s="4">
        <f>IFERROR(MATCH(779,상세표[경계순번],0),"")</f>
        <v/>
      </c>
    </row>
    <row r="785">
      <c r="A785">
        <f>IF($M785="","",INDEX(상세표[사번],$M785)&amp;"")</f>
        <v/>
      </c>
      <c r="B785">
        <f>IF($M785="","",INDEX(상세표[성명],$M785)&amp;"")</f>
        <v/>
      </c>
      <c r="C785">
        <f>IF($M785="","",IF(INDEX(상세표[종료월],$M785)=대상월키,"전월→이번 달","이번 달→익월"))</f>
        <v/>
      </c>
      <c r="D785">
        <f>IF($M785="","",IF(ISNUMBER(INDEX(상세표[시작],$M785)),TEXT(INDEX(상세표[시작],$M785),"yyyy-mm-dd hh:mm"),INDEX(상세표[시작],$M785)&amp;""))</f>
        <v/>
      </c>
      <c r="E785">
        <f>IF($M785="","",IF(ISNUMBER(INDEX(상세표[종료],$M785)),TEXT(INDEX(상세표[종료],$M785),"yyyy-mm-dd hh:mm"),INDEX(상세표[종료],$M785)&amp;""))</f>
        <v/>
      </c>
      <c r="F785">
        <f>IF($M785="","",INDEX(상세표[기록 시간외],$M785))</f>
        <v/>
      </c>
      <c r="G785">
        <f>IF($M785="","",INDEX(상세표[시작월 기관],$M785)&amp;"")</f>
        <v/>
      </c>
      <c r="H785">
        <f>IF($M785="","",INDEX(상세표[종료월 기관],$M785)&amp;"")</f>
        <v/>
      </c>
      <c r="I785">
        <f>IF($M785="","",INDEX(상세표[월경계 판정],$M785)&amp;"")</f>
        <v/>
      </c>
      <c r="J785">
        <f>IF($M785="","",INDEX(상세표[반영월],$M785)&amp;"")</f>
        <v/>
      </c>
      <c r="K785">
        <f>IF($M785="","",INDEX(상세표[반영 기관],$M785)&amp;"")</f>
        <v/>
      </c>
      <c r="L785">
        <f>IF($M785="","",INDEX(상세표[기관 출처],$M785)&amp;"")</f>
        <v/>
      </c>
      <c r="M785" s="4">
        <f>IFERROR(MATCH(780,상세표[경계순번],0),"")</f>
        <v/>
      </c>
    </row>
    <row r="786">
      <c r="A786">
        <f>IF($M786="","",INDEX(상세표[사번],$M786)&amp;"")</f>
        <v/>
      </c>
      <c r="B786">
        <f>IF($M786="","",INDEX(상세표[성명],$M786)&amp;"")</f>
        <v/>
      </c>
      <c r="C786">
        <f>IF($M786="","",IF(INDEX(상세표[종료월],$M786)=대상월키,"전월→이번 달","이번 달→익월"))</f>
        <v/>
      </c>
      <c r="D786">
        <f>IF($M786="","",IF(ISNUMBER(INDEX(상세표[시작],$M786)),TEXT(INDEX(상세표[시작],$M786),"yyyy-mm-dd hh:mm"),INDEX(상세표[시작],$M786)&amp;""))</f>
        <v/>
      </c>
      <c r="E786">
        <f>IF($M786="","",IF(ISNUMBER(INDEX(상세표[종료],$M786)),TEXT(INDEX(상세표[종료],$M786),"yyyy-mm-dd hh:mm"),INDEX(상세표[종료],$M786)&amp;""))</f>
        <v/>
      </c>
      <c r="F786">
        <f>IF($M786="","",INDEX(상세표[기록 시간외],$M786))</f>
        <v/>
      </c>
      <c r="G786">
        <f>IF($M786="","",INDEX(상세표[시작월 기관],$M786)&amp;"")</f>
        <v/>
      </c>
      <c r="H786">
        <f>IF($M786="","",INDEX(상세표[종료월 기관],$M786)&amp;"")</f>
        <v/>
      </c>
      <c r="I786">
        <f>IF($M786="","",INDEX(상세표[월경계 판정],$M786)&amp;"")</f>
        <v/>
      </c>
      <c r="J786">
        <f>IF($M786="","",INDEX(상세표[반영월],$M786)&amp;"")</f>
        <v/>
      </c>
      <c r="K786">
        <f>IF($M786="","",INDEX(상세표[반영 기관],$M786)&amp;"")</f>
        <v/>
      </c>
      <c r="L786">
        <f>IF($M786="","",INDEX(상세표[기관 출처],$M786)&amp;"")</f>
        <v/>
      </c>
      <c r="M786" s="4">
        <f>IFERROR(MATCH(781,상세표[경계순번],0),"")</f>
        <v/>
      </c>
    </row>
    <row r="787">
      <c r="A787">
        <f>IF($M787="","",INDEX(상세표[사번],$M787)&amp;"")</f>
        <v/>
      </c>
      <c r="B787">
        <f>IF($M787="","",INDEX(상세표[성명],$M787)&amp;"")</f>
        <v/>
      </c>
      <c r="C787">
        <f>IF($M787="","",IF(INDEX(상세표[종료월],$M787)=대상월키,"전월→이번 달","이번 달→익월"))</f>
        <v/>
      </c>
      <c r="D787">
        <f>IF($M787="","",IF(ISNUMBER(INDEX(상세표[시작],$M787)),TEXT(INDEX(상세표[시작],$M787),"yyyy-mm-dd hh:mm"),INDEX(상세표[시작],$M787)&amp;""))</f>
        <v/>
      </c>
      <c r="E787">
        <f>IF($M787="","",IF(ISNUMBER(INDEX(상세표[종료],$M787)),TEXT(INDEX(상세표[종료],$M787),"yyyy-mm-dd hh:mm"),INDEX(상세표[종료],$M787)&amp;""))</f>
        <v/>
      </c>
      <c r="F787">
        <f>IF($M787="","",INDEX(상세표[기록 시간외],$M787))</f>
        <v/>
      </c>
      <c r="G787">
        <f>IF($M787="","",INDEX(상세표[시작월 기관],$M787)&amp;"")</f>
        <v/>
      </c>
      <c r="H787">
        <f>IF($M787="","",INDEX(상세표[종료월 기관],$M787)&amp;"")</f>
        <v/>
      </c>
      <c r="I787">
        <f>IF($M787="","",INDEX(상세표[월경계 판정],$M787)&amp;"")</f>
        <v/>
      </c>
      <c r="J787">
        <f>IF($M787="","",INDEX(상세표[반영월],$M787)&amp;"")</f>
        <v/>
      </c>
      <c r="K787">
        <f>IF($M787="","",INDEX(상세표[반영 기관],$M787)&amp;"")</f>
        <v/>
      </c>
      <c r="L787">
        <f>IF($M787="","",INDEX(상세표[기관 출처],$M787)&amp;"")</f>
        <v/>
      </c>
      <c r="M787" s="4">
        <f>IFERROR(MATCH(782,상세표[경계순번],0),"")</f>
        <v/>
      </c>
    </row>
    <row r="788">
      <c r="A788">
        <f>IF($M788="","",INDEX(상세표[사번],$M788)&amp;"")</f>
        <v/>
      </c>
      <c r="B788">
        <f>IF($M788="","",INDEX(상세표[성명],$M788)&amp;"")</f>
        <v/>
      </c>
      <c r="C788">
        <f>IF($M788="","",IF(INDEX(상세표[종료월],$M788)=대상월키,"전월→이번 달","이번 달→익월"))</f>
        <v/>
      </c>
      <c r="D788">
        <f>IF($M788="","",IF(ISNUMBER(INDEX(상세표[시작],$M788)),TEXT(INDEX(상세표[시작],$M788),"yyyy-mm-dd hh:mm"),INDEX(상세표[시작],$M788)&amp;""))</f>
        <v/>
      </c>
      <c r="E788">
        <f>IF($M788="","",IF(ISNUMBER(INDEX(상세표[종료],$M788)),TEXT(INDEX(상세표[종료],$M788),"yyyy-mm-dd hh:mm"),INDEX(상세표[종료],$M788)&amp;""))</f>
        <v/>
      </c>
      <c r="F788">
        <f>IF($M788="","",INDEX(상세표[기록 시간외],$M788))</f>
        <v/>
      </c>
      <c r="G788">
        <f>IF($M788="","",INDEX(상세표[시작월 기관],$M788)&amp;"")</f>
        <v/>
      </c>
      <c r="H788">
        <f>IF($M788="","",INDEX(상세표[종료월 기관],$M788)&amp;"")</f>
        <v/>
      </c>
      <c r="I788">
        <f>IF($M788="","",INDEX(상세표[월경계 판정],$M788)&amp;"")</f>
        <v/>
      </c>
      <c r="J788">
        <f>IF($M788="","",INDEX(상세표[반영월],$M788)&amp;"")</f>
        <v/>
      </c>
      <c r="K788">
        <f>IF($M788="","",INDEX(상세표[반영 기관],$M788)&amp;"")</f>
        <v/>
      </c>
      <c r="L788">
        <f>IF($M788="","",INDEX(상세표[기관 출처],$M788)&amp;"")</f>
        <v/>
      </c>
      <c r="M788" s="4">
        <f>IFERROR(MATCH(783,상세표[경계순번],0),"")</f>
        <v/>
      </c>
    </row>
    <row r="789">
      <c r="A789">
        <f>IF($M789="","",INDEX(상세표[사번],$M789)&amp;"")</f>
        <v/>
      </c>
      <c r="B789">
        <f>IF($M789="","",INDEX(상세표[성명],$M789)&amp;"")</f>
        <v/>
      </c>
      <c r="C789">
        <f>IF($M789="","",IF(INDEX(상세표[종료월],$M789)=대상월키,"전월→이번 달","이번 달→익월"))</f>
        <v/>
      </c>
      <c r="D789">
        <f>IF($M789="","",IF(ISNUMBER(INDEX(상세표[시작],$M789)),TEXT(INDEX(상세표[시작],$M789),"yyyy-mm-dd hh:mm"),INDEX(상세표[시작],$M789)&amp;""))</f>
        <v/>
      </c>
      <c r="E789">
        <f>IF($M789="","",IF(ISNUMBER(INDEX(상세표[종료],$M789)),TEXT(INDEX(상세표[종료],$M789),"yyyy-mm-dd hh:mm"),INDEX(상세표[종료],$M789)&amp;""))</f>
        <v/>
      </c>
      <c r="F789">
        <f>IF($M789="","",INDEX(상세표[기록 시간외],$M789))</f>
        <v/>
      </c>
      <c r="G789">
        <f>IF($M789="","",INDEX(상세표[시작월 기관],$M789)&amp;"")</f>
        <v/>
      </c>
      <c r="H789">
        <f>IF($M789="","",INDEX(상세표[종료월 기관],$M789)&amp;"")</f>
        <v/>
      </c>
      <c r="I789">
        <f>IF($M789="","",INDEX(상세표[월경계 판정],$M789)&amp;"")</f>
        <v/>
      </c>
      <c r="J789">
        <f>IF($M789="","",INDEX(상세표[반영월],$M789)&amp;"")</f>
        <v/>
      </c>
      <c r="K789">
        <f>IF($M789="","",INDEX(상세표[반영 기관],$M789)&amp;"")</f>
        <v/>
      </c>
      <c r="L789">
        <f>IF($M789="","",INDEX(상세표[기관 출처],$M789)&amp;"")</f>
        <v/>
      </c>
      <c r="M789" s="4">
        <f>IFERROR(MATCH(784,상세표[경계순번],0),"")</f>
        <v/>
      </c>
    </row>
    <row r="790">
      <c r="A790">
        <f>IF($M790="","",INDEX(상세표[사번],$M790)&amp;"")</f>
        <v/>
      </c>
      <c r="B790">
        <f>IF($M790="","",INDEX(상세표[성명],$M790)&amp;"")</f>
        <v/>
      </c>
      <c r="C790">
        <f>IF($M790="","",IF(INDEX(상세표[종료월],$M790)=대상월키,"전월→이번 달","이번 달→익월"))</f>
        <v/>
      </c>
      <c r="D790">
        <f>IF($M790="","",IF(ISNUMBER(INDEX(상세표[시작],$M790)),TEXT(INDEX(상세표[시작],$M790),"yyyy-mm-dd hh:mm"),INDEX(상세표[시작],$M790)&amp;""))</f>
        <v/>
      </c>
      <c r="E790">
        <f>IF($M790="","",IF(ISNUMBER(INDEX(상세표[종료],$M790)),TEXT(INDEX(상세표[종료],$M790),"yyyy-mm-dd hh:mm"),INDEX(상세표[종료],$M790)&amp;""))</f>
        <v/>
      </c>
      <c r="F790">
        <f>IF($M790="","",INDEX(상세표[기록 시간외],$M790))</f>
        <v/>
      </c>
      <c r="G790">
        <f>IF($M790="","",INDEX(상세표[시작월 기관],$M790)&amp;"")</f>
        <v/>
      </c>
      <c r="H790">
        <f>IF($M790="","",INDEX(상세표[종료월 기관],$M790)&amp;"")</f>
        <v/>
      </c>
      <c r="I790">
        <f>IF($M790="","",INDEX(상세표[월경계 판정],$M790)&amp;"")</f>
        <v/>
      </c>
      <c r="J790">
        <f>IF($M790="","",INDEX(상세표[반영월],$M790)&amp;"")</f>
        <v/>
      </c>
      <c r="K790">
        <f>IF($M790="","",INDEX(상세표[반영 기관],$M790)&amp;"")</f>
        <v/>
      </c>
      <c r="L790">
        <f>IF($M790="","",INDEX(상세표[기관 출처],$M790)&amp;"")</f>
        <v/>
      </c>
      <c r="M790" s="4">
        <f>IFERROR(MATCH(785,상세표[경계순번],0),"")</f>
        <v/>
      </c>
    </row>
    <row r="791">
      <c r="A791">
        <f>IF($M791="","",INDEX(상세표[사번],$M791)&amp;"")</f>
        <v/>
      </c>
      <c r="B791">
        <f>IF($M791="","",INDEX(상세표[성명],$M791)&amp;"")</f>
        <v/>
      </c>
      <c r="C791">
        <f>IF($M791="","",IF(INDEX(상세표[종료월],$M791)=대상월키,"전월→이번 달","이번 달→익월"))</f>
        <v/>
      </c>
      <c r="D791">
        <f>IF($M791="","",IF(ISNUMBER(INDEX(상세표[시작],$M791)),TEXT(INDEX(상세표[시작],$M791),"yyyy-mm-dd hh:mm"),INDEX(상세표[시작],$M791)&amp;""))</f>
        <v/>
      </c>
      <c r="E791">
        <f>IF($M791="","",IF(ISNUMBER(INDEX(상세표[종료],$M791)),TEXT(INDEX(상세표[종료],$M791),"yyyy-mm-dd hh:mm"),INDEX(상세표[종료],$M791)&amp;""))</f>
        <v/>
      </c>
      <c r="F791">
        <f>IF($M791="","",INDEX(상세표[기록 시간외],$M791))</f>
        <v/>
      </c>
      <c r="G791">
        <f>IF($M791="","",INDEX(상세표[시작월 기관],$M791)&amp;"")</f>
        <v/>
      </c>
      <c r="H791">
        <f>IF($M791="","",INDEX(상세표[종료월 기관],$M791)&amp;"")</f>
        <v/>
      </c>
      <c r="I791">
        <f>IF($M791="","",INDEX(상세표[월경계 판정],$M791)&amp;"")</f>
        <v/>
      </c>
      <c r="J791">
        <f>IF($M791="","",INDEX(상세표[반영월],$M791)&amp;"")</f>
        <v/>
      </c>
      <c r="K791">
        <f>IF($M791="","",INDEX(상세표[반영 기관],$M791)&amp;"")</f>
        <v/>
      </c>
      <c r="L791">
        <f>IF($M791="","",INDEX(상세표[기관 출처],$M791)&amp;"")</f>
        <v/>
      </c>
      <c r="M791" s="4">
        <f>IFERROR(MATCH(786,상세표[경계순번],0),"")</f>
        <v/>
      </c>
    </row>
    <row r="792">
      <c r="A792">
        <f>IF($M792="","",INDEX(상세표[사번],$M792)&amp;"")</f>
        <v/>
      </c>
      <c r="B792">
        <f>IF($M792="","",INDEX(상세표[성명],$M792)&amp;"")</f>
        <v/>
      </c>
      <c r="C792">
        <f>IF($M792="","",IF(INDEX(상세표[종료월],$M792)=대상월키,"전월→이번 달","이번 달→익월"))</f>
        <v/>
      </c>
      <c r="D792">
        <f>IF($M792="","",IF(ISNUMBER(INDEX(상세표[시작],$M792)),TEXT(INDEX(상세표[시작],$M792),"yyyy-mm-dd hh:mm"),INDEX(상세표[시작],$M792)&amp;""))</f>
        <v/>
      </c>
      <c r="E792">
        <f>IF($M792="","",IF(ISNUMBER(INDEX(상세표[종료],$M792)),TEXT(INDEX(상세표[종료],$M792),"yyyy-mm-dd hh:mm"),INDEX(상세표[종료],$M792)&amp;""))</f>
        <v/>
      </c>
      <c r="F792">
        <f>IF($M792="","",INDEX(상세표[기록 시간외],$M792))</f>
        <v/>
      </c>
      <c r="G792">
        <f>IF($M792="","",INDEX(상세표[시작월 기관],$M792)&amp;"")</f>
        <v/>
      </c>
      <c r="H792">
        <f>IF($M792="","",INDEX(상세표[종료월 기관],$M792)&amp;"")</f>
        <v/>
      </c>
      <c r="I792">
        <f>IF($M792="","",INDEX(상세표[월경계 판정],$M792)&amp;"")</f>
        <v/>
      </c>
      <c r="J792">
        <f>IF($M792="","",INDEX(상세표[반영월],$M792)&amp;"")</f>
        <v/>
      </c>
      <c r="K792">
        <f>IF($M792="","",INDEX(상세표[반영 기관],$M792)&amp;"")</f>
        <v/>
      </c>
      <c r="L792">
        <f>IF($M792="","",INDEX(상세표[기관 출처],$M792)&amp;"")</f>
        <v/>
      </c>
      <c r="M792" s="4">
        <f>IFERROR(MATCH(787,상세표[경계순번],0),"")</f>
        <v/>
      </c>
    </row>
    <row r="793">
      <c r="A793">
        <f>IF($M793="","",INDEX(상세표[사번],$M793)&amp;"")</f>
        <v/>
      </c>
      <c r="B793">
        <f>IF($M793="","",INDEX(상세표[성명],$M793)&amp;"")</f>
        <v/>
      </c>
      <c r="C793">
        <f>IF($M793="","",IF(INDEX(상세표[종료월],$M793)=대상월키,"전월→이번 달","이번 달→익월"))</f>
        <v/>
      </c>
      <c r="D793">
        <f>IF($M793="","",IF(ISNUMBER(INDEX(상세표[시작],$M793)),TEXT(INDEX(상세표[시작],$M793),"yyyy-mm-dd hh:mm"),INDEX(상세표[시작],$M793)&amp;""))</f>
        <v/>
      </c>
      <c r="E793">
        <f>IF($M793="","",IF(ISNUMBER(INDEX(상세표[종료],$M793)),TEXT(INDEX(상세표[종료],$M793),"yyyy-mm-dd hh:mm"),INDEX(상세표[종료],$M793)&amp;""))</f>
        <v/>
      </c>
      <c r="F793">
        <f>IF($M793="","",INDEX(상세표[기록 시간외],$M793))</f>
        <v/>
      </c>
      <c r="G793">
        <f>IF($M793="","",INDEX(상세표[시작월 기관],$M793)&amp;"")</f>
        <v/>
      </c>
      <c r="H793">
        <f>IF($M793="","",INDEX(상세표[종료월 기관],$M793)&amp;"")</f>
        <v/>
      </c>
      <c r="I793">
        <f>IF($M793="","",INDEX(상세표[월경계 판정],$M793)&amp;"")</f>
        <v/>
      </c>
      <c r="J793">
        <f>IF($M793="","",INDEX(상세표[반영월],$M793)&amp;"")</f>
        <v/>
      </c>
      <c r="K793">
        <f>IF($M793="","",INDEX(상세표[반영 기관],$M793)&amp;"")</f>
        <v/>
      </c>
      <c r="L793">
        <f>IF($M793="","",INDEX(상세표[기관 출처],$M793)&amp;"")</f>
        <v/>
      </c>
      <c r="M793" s="4">
        <f>IFERROR(MATCH(788,상세표[경계순번],0),"")</f>
        <v/>
      </c>
    </row>
    <row r="794">
      <c r="A794">
        <f>IF($M794="","",INDEX(상세표[사번],$M794)&amp;"")</f>
        <v/>
      </c>
      <c r="B794">
        <f>IF($M794="","",INDEX(상세표[성명],$M794)&amp;"")</f>
        <v/>
      </c>
      <c r="C794">
        <f>IF($M794="","",IF(INDEX(상세표[종료월],$M794)=대상월키,"전월→이번 달","이번 달→익월"))</f>
        <v/>
      </c>
      <c r="D794">
        <f>IF($M794="","",IF(ISNUMBER(INDEX(상세표[시작],$M794)),TEXT(INDEX(상세표[시작],$M794),"yyyy-mm-dd hh:mm"),INDEX(상세표[시작],$M794)&amp;""))</f>
        <v/>
      </c>
      <c r="E794">
        <f>IF($M794="","",IF(ISNUMBER(INDEX(상세표[종료],$M794)),TEXT(INDEX(상세표[종료],$M794),"yyyy-mm-dd hh:mm"),INDEX(상세표[종료],$M794)&amp;""))</f>
        <v/>
      </c>
      <c r="F794">
        <f>IF($M794="","",INDEX(상세표[기록 시간외],$M794))</f>
        <v/>
      </c>
      <c r="G794">
        <f>IF($M794="","",INDEX(상세표[시작월 기관],$M794)&amp;"")</f>
        <v/>
      </c>
      <c r="H794">
        <f>IF($M794="","",INDEX(상세표[종료월 기관],$M794)&amp;"")</f>
        <v/>
      </c>
      <c r="I794">
        <f>IF($M794="","",INDEX(상세표[월경계 판정],$M794)&amp;"")</f>
        <v/>
      </c>
      <c r="J794">
        <f>IF($M794="","",INDEX(상세표[반영월],$M794)&amp;"")</f>
        <v/>
      </c>
      <c r="K794">
        <f>IF($M794="","",INDEX(상세표[반영 기관],$M794)&amp;"")</f>
        <v/>
      </c>
      <c r="L794">
        <f>IF($M794="","",INDEX(상세표[기관 출처],$M794)&amp;"")</f>
        <v/>
      </c>
      <c r="M794" s="4">
        <f>IFERROR(MATCH(789,상세표[경계순번],0),"")</f>
        <v/>
      </c>
    </row>
    <row r="795">
      <c r="A795">
        <f>IF($M795="","",INDEX(상세표[사번],$M795)&amp;"")</f>
        <v/>
      </c>
      <c r="B795">
        <f>IF($M795="","",INDEX(상세표[성명],$M795)&amp;"")</f>
        <v/>
      </c>
      <c r="C795">
        <f>IF($M795="","",IF(INDEX(상세표[종료월],$M795)=대상월키,"전월→이번 달","이번 달→익월"))</f>
        <v/>
      </c>
      <c r="D795">
        <f>IF($M795="","",IF(ISNUMBER(INDEX(상세표[시작],$M795)),TEXT(INDEX(상세표[시작],$M795),"yyyy-mm-dd hh:mm"),INDEX(상세표[시작],$M795)&amp;""))</f>
        <v/>
      </c>
      <c r="E795">
        <f>IF($M795="","",IF(ISNUMBER(INDEX(상세표[종료],$M795)),TEXT(INDEX(상세표[종료],$M795),"yyyy-mm-dd hh:mm"),INDEX(상세표[종료],$M795)&amp;""))</f>
        <v/>
      </c>
      <c r="F795">
        <f>IF($M795="","",INDEX(상세표[기록 시간외],$M795))</f>
        <v/>
      </c>
      <c r="G795">
        <f>IF($M795="","",INDEX(상세표[시작월 기관],$M795)&amp;"")</f>
        <v/>
      </c>
      <c r="H795">
        <f>IF($M795="","",INDEX(상세표[종료월 기관],$M795)&amp;"")</f>
        <v/>
      </c>
      <c r="I795">
        <f>IF($M795="","",INDEX(상세표[월경계 판정],$M795)&amp;"")</f>
        <v/>
      </c>
      <c r="J795">
        <f>IF($M795="","",INDEX(상세표[반영월],$M795)&amp;"")</f>
        <v/>
      </c>
      <c r="K795">
        <f>IF($M795="","",INDEX(상세표[반영 기관],$M795)&amp;"")</f>
        <v/>
      </c>
      <c r="L795">
        <f>IF($M795="","",INDEX(상세표[기관 출처],$M795)&amp;"")</f>
        <v/>
      </c>
      <c r="M795" s="4">
        <f>IFERROR(MATCH(790,상세표[경계순번],0),"")</f>
        <v/>
      </c>
    </row>
    <row r="796">
      <c r="A796">
        <f>IF($M796="","",INDEX(상세표[사번],$M796)&amp;"")</f>
        <v/>
      </c>
      <c r="B796">
        <f>IF($M796="","",INDEX(상세표[성명],$M796)&amp;"")</f>
        <v/>
      </c>
      <c r="C796">
        <f>IF($M796="","",IF(INDEX(상세표[종료월],$M796)=대상월키,"전월→이번 달","이번 달→익월"))</f>
        <v/>
      </c>
      <c r="D796">
        <f>IF($M796="","",IF(ISNUMBER(INDEX(상세표[시작],$M796)),TEXT(INDEX(상세표[시작],$M796),"yyyy-mm-dd hh:mm"),INDEX(상세표[시작],$M796)&amp;""))</f>
        <v/>
      </c>
      <c r="E796">
        <f>IF($M796="","",IF(ISNUMBER(INDEX(상세표[종료],$M796)),TEXT(INDEX(상세표[종료],$M796),"yyyy-mm-dd hh:mm"),INDEX(상세표[종료],$M796)&amp;""))</f>
        <v/>
      </c>
      <c r="F796">
        <f>IF($M796="","",INDEX(상세표[기록 시간외],$M796))</f>
        <v/>
      </c>
      <c r="G796">
        <f>IF($M796="","",INDEX(상세표[시작월 기관],$M796)&amp;"")</f>
        <v/>
      </c>
      <c r="H796">
        <f>IF($M796="","",INDEX(상세표[종료월 기관],$M796)&amp;"")</f>
        <v/>
      </c>
      <c r="I796">
        <f>IF($M796="","",INDEX(상세표[월경계 판정],$M796)&amp;"")</f>
        <v/>
      </c>
      <c r="J796">
        <f>IF($M796="","",INDEX(상세표[반영월],$M796)&amp;"")</f>
        <v/>
      </c>
      <c r="K796">
        <f>IF($M796="","",INDEX(상세표[반영 기관],$M796)&amp;"")</f>
        <v/>
      </c>
      <c r="L796">
        <f>IF($M796="","",INDEX(상세표[기관 출처],$M796)&amp;"")</f>
        <v/>
      </c>
      <c r="M796" s="4">
        <f>IFERROR(MATCH(791,상세표[경계순번],0),"")</f>
        <v/>
      </c>
    </row>
    <row r="797">
      <c r="A797">
        <f>IF($M797="","",INDEX(상세표[사번],$M797)&amp;"")</f>
        <v/>
      </c>
      <c r="B797">
        <f>IF($M797="","",INDEX(상세표[성명],$M797)&amp;"")</f>
        <v/>
      </c>
      <c r="C797">
        <f>IF($M797="","",IF(INDEX(상세표[종료월],$M797)=대상월키,"전월→이번 달","이번 달→익월"))</f>
        <v/>
      </c>
      <c r="D797">
        <f>IF($M797="","",IF(ISNUMBER(INDEX(상세표[시작],$M797)),TEXT(INDEX(상세표[시작],$M797),"yyyy-mm-dd hh:mm"),INDEX(상세표[시작],$M797)&amp;""))</f>
        <v/>
      </c>
      <c r="E797">
        <f>IF($M797="","",IF(ISNUMBER(INDEX(상세표[종료],$M797)),TEXT(INDEX(상세표[종료],$M797),"yyyy-mm-dd hh:mm"),INDEX(상세표[종료],$M797)&amp;""))</f>
        <v/>
      </c>
      <c r="F797">
        <f>IF($M797="","",INDEX(상세표[기록 시간외],$M797))</f>
        <v/>
      </c>
      <c r="G797">
        <f>IF($M797="","",INDEX(상세표[시작월 기관],$M797)&amp;"")</f>
        <v/>
      </c>
      <c r="H797">
        <f>IF($M797="","",INDEX(상세표[종료월 기관],$M797)&amp;"")</f>
        <v/>
      </c>
      <c r="I797">
        <f>IF($M797="","",INDEX(상세표[월경계 판정],$M797)&amp;"")</f>
        <v/>
      </c>
      <c r="J797">
        <f>IF($M797="","",INDEX(상세표[반영월],$M797)&amp;"")</f>
        <v/>
      </c>
      <c r="K797">
        <f>IF($M797="","",INDEX(상세표[반영 기관],$M797)&amp;"")</f>
        <v/>
      </c>
      <c r="L797">
        <f>IF($M797="","",INDEX(상세표[기관 출처],$M797)&amp;"")</f>
        <v/>
      </c>
      <c r="M797" s="4">
        <f>IFERROR(MATCH(792,상세표[경계순번],0),"")</f>
        <v/>
      </c>
    </row>
    <row r="798">
      <c r="A798">
        <f>IF($M798="","",INDEX(상세표[사번],$M798)&amp;"")</f>
        <v/>
      </c>
      <c r="B798">
        <f>IF($M798="","",INDEX(상세표[성명],$M798)&amp;"")</f>
        <v/>
      </c>
      <c r="C798">
        <f>IF($M798="","",IF(INDEX(상세표[종료월],$M798)=대상월키,"전월→이번 달","이번 달→익월"))</f>
        <v/>
      </c>
      <c r="D798">
        <f>IF($M798="","",IF(ISNUMBER(INDEX(상세표[시작],$M798)),TEXT(INDEX(상세표[시작],$M798),"yyyy-mm-dd hh:mm"),INDEX(상세표[시작],$M798)&amp;""))</f>
        <v/>
      </c>
      <c r="E798">
        <f>IF($M798="","",IF(ISNUMBER(INDEX(상세표[종료],$M798)),TEXT(INDEX(상세표[종료],$M798),"yyyy-mm-dd hh:mm"),INDEX(상세표[종료],$M798)&amp;""))</f>
        <v/>
      </c>
      <c r="F798">
        <f>IF($M798="","",INDEX(상세표[기록 시간외],$M798))</f>
        <v/>
      </c>
      <c r="G798">
        <f>IF($M798="","",INDEX(상세표[시작월 기관],$M798)&amp;"")</f>
        <v/>
      </c>
      <c r="H798">
        <f>IF($M798="","",INDEX(상세표[종료월 기관],$M798)&amp;"")</f>
        <v/>
      </c>
      <c r="I798">
        <f>IF($M798="","",INDEX(상세표[월경계 판정],$M798)&amp;"")</f>
        <v/>
      </c>
      <c r="J798">
        <f>IF($M798="","",INDEX(상세표[반영월],$M798)&amp;"")</f>
        <v/>
      </c>
      <c r="K798">
        <f>IF($M798="","",INDEX(상세표[반영 기관],$M798)&amp;"")</f>
        <v/>
      </c>
      <c r="L798">
        <f>IF($M798="","",INDEX(상세표[기관 출처],$M798)&amp;"")</f>
        <v/>
      </c>
      <c r="M798" s="4">
        <f>IFERROR(MATCH(793,상세표[경계순번],0),"")</f>
        <v/>
      </c>
    </row>
    <row r="799">
      <c r="A799">
        <f>IF($M799="","",INDEX(상세표[사번],$M799)&amp;"")</f>
        <v/>
      </c>
      <c r="B799">
        <f>IF($M799="","",INDEX(상세표[성명],$M799)&amp;"")</f>
        <v/>
      </c>
      <c r="C799">
        <f>IF($M799="","",IF(INDEX(상세표[종료월],$M799)=대상월키,"전월→이번 달","이번 달→익월"))</f>
        <v/>
      </c>
      <c r="D799">
        <f>IF($M799="","",IF(ISNUMBER(INDEX(상세표[시작],$M799)),TEXT(INDEX(상세표[시작],$M799),"yyyy-mm-dd hh:mm"),INDEX(상세표[시작],$M799)&amp;""))</f>
        <v/>
      </c>
      <c r="E799">
        <f>IF($M799="","",IF(ISNUMBER(INDEX(상세표[종료],$M799)),TEXT(INDEX(상세표[종료],$M799),"yyyy-mm-dd hh:mm"),INDEX(상세표[종료],$M799)&amp;""))</f>
        <v/>
      </c>
      <c r="F799">
        <f>IF($M799="","",INDEX(상세표[기록 시간외],$M799))</f>
        <v/>
      </c>
      <c r="G799">
        <f>IF($M799="","",INDEX(상세표[시작월 기관],$M799)&amp;"")</f>
        <v/>
      </c>
      <c r="H799">
        <f>IF($M799="","",INDEX(상세표[종료월 기관],$M799)&amp;"")</f>
        <v/>
      </c>
      <c r="I799">
        <f>IF($M799="","",INDEX(상세표[월경계 판정],$M799)&amp;"")</f>
        <v/>
      </c>
      <c r="J799">
        <f>IF($M799="","",INDEX(상세표[반영월],$M799)&amp;"")</f>
        <v/>
      </c>
      <c r="K799">
        <f>IF($M799="","",INDEX(상세표[반영 기관],$M799)&amp;"")</f>
        <v/>
      </c>
      <c r="L799">
        <f>IF($M799="","",INDEX(상세표[기관 출처],$M799)&amp;"")</f>
        <v/>
      </c>
      <c r="M799" s="4">
        <f>IFERROR(MATCH(794,상세표[경계순번],0),"")</f>
        <v/>
      </c>
    </row>
    <row r="800">
      <c r="A800">
        <f>IF($M800="","",INDEX(상세표[사번],$M800)&amp;"")</f>
        <v/>
      </c>
      <c r="B800">
        <f>IF($M800="","",INDEX(상세표[성명],$M800)&amp;"")</f>
        <v/>
      </c>
      <c r="C800">
        <f>IF($M800="","",IF(INDEX(상세표[종료월],$M800)=대상월키,"전월→이번 달","이번 달→익월"))</f>
        <v/>
      </c>
      <c r="D800">
        <f>IF($M800="","",IF(ISNUMBER(INDEX(상세표[시작],$M800)),TEXT(INDEX(상세표[시작],$M800),"yyyy-mm-dd hh:mm"),INDEX(상세표[시작],$M800)&amp;""))</f>
        <v/>
      </c>
      <c r="E800">
        <f>IF($M800="","",IF(ISNUMBER(INDEX(상세표[종료],$M800)),TEXT(INDEX(상세표[종료],$M800),"yyyy-mm-dd hh:mm"),INDEX(상세표[종료],$M800)&amp;""))</f>
        <v/>
      </c>
      <c r="F800">
        <f>IF($M800="","",INDEX(상세표[기록 시간외],$M800))</f>
        <v/>
      </c>
      <c r="G800">
        <f>IF($M800="","",INDEX(상세표[시작월 기관],$M800)&amp;"")</f>
        <v/>
      </c>
      <c r="H800">
        <f>IF($M800="","",INDEX(상세표[종료월 기관],$M800)&amp;"")</f>
        <v/>
      </c>
      <c r="I800">
        <f>IF($M800="","",INDEX(상세표[월경계 판정],$M800)&amp;"")</f>
        <v/>
      </c>
      <c r="J800">
        <f>IF($M800="","",INDEX(상세표[반영월],$M800)&amp;"")</f>
        <v/>
      </c>
      <c r="K800">
        <f>IF($M800="","",INDEX(상세표[반영 기관],$M800)&amp;"")</f>
        <v/>
      </c>
      <c r="L800">
        <f>IF($M800="","",INDEX(상세표[기관 출처],$M800)&amp;"")</f>
        <v/>
      </c>
      <c r="M800" s="4">
        <f>IFERROR(MATCH(795,상세표[경계순번],0),"")</f>
        <v/>
      </c>
    </row>
    <row r="801">
      <c r="A801">
        <f>IF($M801="","",INDEX(상세표[사번],$M801)&amp;"")</f>
        <v/>
      </c>
      <c r="B801">
        <f>IF($M801="","",INDEX(상세표[성명],$M801)&amp;"")</f>
        <v/>
      </c>
      <c r="C801">
        <f>IF($M801="","",IF(INDEX(상세표[종료월],$M801)=대상월키,"전월→이번 달","이번 달→익월"))</f>
        <v/>
      </c>
      <c r="D801">
        <f>IF($M801="","",IF(ISNUMBER(INDEX(상세표[시작],$M801)),TEXT(INDEX(상세표[시작],$M801),"yyyy-mm-dd hh:mm"),INDEX(상세표[시작],$M801)&amp;""))</f>
        <v/>
      </c>
      <c r="E801">
        <f>IF($M801="","",IF(ISNUMBER(INDEX(상세표[종료],$M801)),TEXT(INDEX(상세표[종료],$M801),"yyyy-mm-dd hh:mm"),INDEX(상세표[종료],$M801)&amp;""))</f>
        <v/>
      </c>
      <c r="F801">
        <f>IF($M801="","",INDEX(상세표[기록 시간외],$M801))</f>
        <v/>
      </c>
      <c r="G801">
        <f>IF($M801="","",INDEX(상세표[시작월 기관],$M801)&amp;"")</f>
        <v/>
      </c>
      <c r="H801">
        <f>IF($M801="","",INDEX(상세표[종료월 기관],$M801)&amp;"")</f>
        <v/>
      </c>
      <c r="I801">
        <f>IF($M801="","",INDEX(상세표[월경계 판정],$M801)&amp;"")</f>
        <v/>
      </c>
      <c r="J801">
        <f>IF($M801="","",INDEX(상세표[반영월],$M801)&amp;"")</f>
        <v/>
      </c>
      <c r="K801">
        <f>IF($M801="","",INDEX(상세표[반영 기관],$M801)&amp;"")</f>
        <v/>
      </c>
      <c r="L801">
        <f>IF($M801="","",INDEX(상세표[기관 출처],$M801)&amp;"")</f>
        <v/>
      </c>
      <c r="M801" s="4">
        <f>IFERROR(MATCH(796,상세표[경계순번],0),"")</f>
        <v/>
      </c>
    </row>
    <row r="802">
      <c r="A802">
        <f>IF($M802="","",INDEX(상세표[사번],$M802)&amp;"")</f>
        <v/>
      </c>
      <c r="B802">
        <f>IF($M802="","",INDEX(상세표[성명],$M802)&amp;"")</f>
        <v/>
      </c>
      <c r="C802">
        <f>IF($M802="","",IF(INDEX(상세표[종료월],$M802)=대상월키,"전월→이번 달","이번 달→익월"))</f>
        <v/>
      </c>
      <c r="D802">
        <f>IF($M802="","",IF(ISNUMBER(INDEX(상세표[시작],$M802)),TEXT(INDEX(상세표[시작],$M802),"yyyy-mm-dd hh:mm"),INDEX(상세표[시작],$M802)&amp;""))</f>
        <v/>
      </c>
      <c r="E802">
        <f>IF($M802="","",IF(ISNUMBER(INDEX(상세표[종료],$M802)),TEXT(INDEX(상세표[종료],$M802),"yyyy-mm-dd hh:mm"),INDEX(상세표[종료],$M802)&amp;""))</f>
        <v/>
      </c>
      <c r="F802">
        <f>IF($M802="","",INDEX(상세표[기록 시간외],$M802))</f>
        <v/>
      </c>
      <c r="G802">
        <f>IF($M802="","",INDEX(상세표[시작월 기관],$M802)&amp;"")</f>
        <v/>
      </c>
      <c r="H802">
        <f>IF($M802="","",INDEX(상세표[종료월 기관],$M802)&amp;"")</f>
        <v/>
      </c>
      <c r="I802">
        <f>IF($M802="","",INDEX(상세표[월경계 판정],$M802)&amp;"")</f>
        <v/>
      </c>
      <c r="J802">
        <f>IF($M802="","",INDEX(상세표[반영월],$M802)&amp;"")</f>
        <v/>
      </c>
      <c r="K802">
        <f>IF($M802="","",INDEX(상세표[반영 기관],$M802)&amp;"")</f>
        <v/>
      </c>
      <c r="L802">
        <f>IF($M802="","",INDEX(상세표[기관 출처],$M802)&amp;"")</f>
        <v/>
      </c>
      <c r="M802" s="4">
        <f>IFERROR(MATCH(797,상세표[경계순번],0),"")</f>
        <v/>
      </c>
    </row>
    <row r="803">
      <c r="A803">
        <f>IF($M803="","",INDEX(상세표[사번],$M803)&amp;"")</f>
        <v/>
      </c>
      <c r="B803">
        <f>IF($M803="","",INDEX(상세표[성명],$M803)&amp;"")</f>
        <v/>
      </c>
      <c r="C803">
        <f>IF($M803="","",IF(INDEX(상세표[종료월],$M803)=대상월키,"전월→이번 달","이번 달→익월"))</f>
        <v/>
      </c>
      <c r="D803">
        <f>IF($M803="","",IF(ISNUMBER(INDEX(상세표[시작],$M803)),TEXT(INDEX(상세표[시작],$M803),"yyyy-mm-dd hh:mm"),INDEX(상세표[시작],$M803)&amp;""))</f>
        <v/>
      </c>
      <c r="E803">
        <f>IF($M803="","",IF(ISNUMBER(INDEX(상세표[종료],$M803)),TEXT(INDEX(상세표[종료],$M803),"yyyy-mm-dd hh:mm"),INDEX(상세표[종료],$M803)&amp;""))</f>
        <v/>
      </c>
      <c r="F803">
        <f>IF($M803="","",INDEX(상세표[기록 시간외],$M803))</f>
        <v/>
      </c>
      <c r="G803">
        <f>IF($M803="","",INDEX(상세표[시작월 기관],$M803)&amp;"")</f>
        <v/>
      </c>
      <c r="H803">
        <f>IF($M803="","",INDEX(상세표[종료월 기관],$M803)&amp;"")</f>
        <v/>
      </c>
      <c r="I803">
        <f>IF($M803="","",INDEX(상세표[월경계 판정],$M803)&amp;"")</f>
        <v/>
      </c>
      <c r="J803">
        <f>IF($M803="","",INDEX(상세표[반영월],$M803)&amp;"")</f>
        <v/>
      </c>
      <c r="K803">
        <f>IF($M803="","",INDEX(상세표[반영 기관],$M803)&amp;"")</f>
        <v/>
      </c>
      <c r="L803">
        <f>IF($M803="","",INDEX(상세표[기관 출처],$M803)&amp;"")</f>
        <v/>
      </c>
      <c r="M803" s="4">
        <f>IFERROR(MATCH(798,상세표[경계순번],0),"")</f>
        <v/>
      </c>
    </row>
    <row r="804">
      <c r="A804">
        <f>IF($M804="","",INDEX(상세표[사번],$M804)&amp;"")</f>
        <v/>
      </c>
      <c r="B804">
        <f>IF($M804="","",INDEX(상세표[성명],$M804)&amp;"")</f>
        <v/>
      </c>
      <c r="C804">
        <f>IF($M804="","",IF(INDEX(상세표[종료월],$M804)=대상월키,"전월→이번 달","이번 달→익월"))</f>
        <v/>
      </c>
      <c r="D804">
        <f>IF($M804="","",IF(ISNUMBER(INDEX(상세표[시작],$M804)),TEXT(INDEX(상세표[시작],$M804),"yyyy-mm-dd hh:mm"),INDEX(상세표[시작],$M804)&amp;""))</f>
        <v/>
      </c>
      <c r="E804">
        <f>IF($M804="","",IF(ISNUMBER(INDEX(상세표[종료],$M804)),TEXT(INDEX(상세표[종료],$M804),"yyyy-mm-dd hh:mm"),INDEX(상세표[종료],$M804)&amp;""))</f>
        <v/>
      </c>
      <c r="F804">
        <f>IF($M804="","",INDEX(상세표[기록 시간외],$M804))</f>
        <v/>
      </c>
      <c r="G804">
        <f>IF($M804="","",INDEX(상세표[시작월 기관],$M804)&amp;"")</f>
        <v/>
      </c>
      <c r="H804">
        <f>IF($M804="","",INDEX(상세표[종료월 기관],$M804)&amp;"")</f>
        <v/>
      </c>
      <c r="I804">
        <f>IF($M804="","",INDEX(상세표[월경계 판정],$M804)&amp;"")</f>
        <v/>
      </c>
      <c r="J804">
        <f>IF($M804="","",INDEX(상세표[반영월],$M804)&amp;"")</f>
        <v/>
      </c>
      <c r="K804">
        <f>IF($M804="","",INDEX(상세표[반영 기관],$M804)&amp;"")</f>
        <v/>
      </c>
      <c r="L804">
        <f>IF($M804="","",INDEX(상세표[기관 출처],$M804)&amp;"")</f>
        <v/>
      </c>
      <c r="M804" s="4">
        <f>IFERROR(MATCH(799,상세표[경계순번],0),"")</f>
        <v/>
      </c>
    </row>
    <row r="805">
      <c r="A805">
        <f>IF($M805="","",INDEX(상세표[사번],$M805)&amp;"")</f>
        <v/>
      </c>
      <c r="B805">
        <f>IF($M805="","",INDEX(상세표[성명],$M805)&amp;"")</f>
        <v/>
      </c>
      <c r="C805">
        <f>IF($M805="","",IF(INDEX(상세표[종료월],$M805)=대상월키,"전월→이번 달","이번 달→익월"))</f>
        <v/>
      </c>
      <c r="D805">
        <f>IF($M805="","",IF(ISNUMBER(INDEX(상세표[시작],$M805)),TEXT(INDEX(상세표[시작],$M805),"yyyy-mm-dd hh:mm"),INDEX(상세표[시작],$M805)&amp;""))</f>
        <v/>
      </c>
      <c r="E805">
        <f>IF($M805="","",IF(ISNUMBER(INDEX(상세표[종료],$M805)),TEXT(INDEX(상세표[종료],$M805),"yyyy-mm-dd hh:mm"),INDEX(상세표[종료],$M805)&amp;""))</f>
        <v/>
      </c>
      <c r="F805">
        <f>IF($M805="","",INDEX(상세표[기록 시간외],$M805))</f>
        <v/>
      </c>
      <c r="G805">
        <f>IF($M805="","",INDEX(상세표[시작월 기관],$M805)&amp;"")</f>
        <v/>
      </c>
      <c r="H805">
        <f>IF($M805="","",INDEX(상세표[종료월 기관],$M805)&amp;"")</f>
        <v/>
      </c>
      <c r="I805">
        <f>IF($M805="","",INDEX(상세표[월경계 판정],$M805)&amp;"")</f>
        <v/>
      </c>
      <c r="J805">
        <f>IF($M805="","",INDEX(상세표[반영월],$M805)&amp;"")</f>
        <v/>
      </c>
      <c r="K805">
        <f>IF($M805="","",INDEX(상세표[반영 기관],$M805)&amp;"")</f>
        <v/>
      </c>
      <c r="L805">
        <f>IF($M805="","",INDEX(상세표[기관 출처],$M805)&amp;"")</f>
        <v/>
      </c>
      <c r="M805" s="4">
        <f>IFERROR(MATCH(800,상세표[경계순번],0),"")</f>
        <v/>
      </c>
    </row>
    <row r="806">
      <c r="A806">
        <f>IF($M806="","",INDEX(상세표[사번],$M806)&amp;"")</f>
        <v/>
      </c>
      <c r="B806">
        <f>IF($M806="","",INDEX(상세표[성명],$M806)&amp;"")</f>
        <v/>
      </c>
      <c r="C806">
        <f>IF($M806="","",IF(INDEX(상세표[종료월],$M806)=대상월키,"전월→이번 달","이번 달→익월"))</f>
        <v/>
      </c>
      <c r="D806">
        <f>IF($M806="","",IF(ISNUMBER(INDEX(상세표[시작],$M806)),TEXT(INDEX(상세표[시작],$M806),"yyyy-mm-dd hh:mm"),INDEX(상세표[시작],$M806)&amp;""))</f>
        <v/>
      </c>
      <c r="E806">
        <f>IF($M806="","",IF(ISNUMBER(INDEX(상세표[종료],$M806)),TEXT(INDEX(상세표[종료],$M806),"yyyy-mm-dd hh:mm"),INDEX(상세표[종료],$M806)&amp;""))</f>
        <v/>
      </c>
      <c r="F806">
        <f>IF($M806="","",INDEX(상세표[기록 시간외],$M806))</f>
        <v/>
      </c>
      <c r="G806">
        <f>IF($M806="","",INDEX(상세표[시작월 기관],$M806)&amp;"")</f>
        <v/>
      </c>
      <c r="H806">
        <f>IF($M806="","",INDEX(상세표[종료월 기관],$M806)&amp;"")</f>
        <v/>
      </c>
      <c r="I806">
        <f>IF($M806="","",INDEX(상세표[월경계 판정],$M806)&amp;"")</f>
        <v/>
      </c>
      <c r="J806">
        <f>IF($M806="","",INDEX(상세표[반영월],$M806)&amp;"")</f>
        <v/>
      </c>
      <c r="K806">
        <f>IF($M806="","",INDEX(상세표[반영 기관],$M806)&amp;"")</f>
        <v/>
      </c>
      <c r="L806">
        <f>IF($M806="","",INDEX(상세표[기관 출처],$M806)&amp;"")</f>
        <v/>
      </c>
      <c r="M806" s="4">
        <f>IFERROR(MATCH(801,상세표[경계순번],0),"")</f>
        <v/>
      </c>
    </row>
    <row r="807">
      <c r="A807">
        <f>IF($M807="","",INDEX(상세표[사번],$M807)&amp;"")</f>
        <v/>
      </c>
      <c r="B807">
        <f>IF($M807="","",INDEX(상세표[성명],$M807)&amp;"")</f>
        <v/>
      </c>
      <c r="C807">
        <f>IF($M807="","",IF(INDEX(상세표[종료월],$M807)=대상월키,"전월→이번 달","이번 달→익월"))</f>
        <v/>
      </c>
      <c r="D807">
        <f>IF($M807="","",IF(ISNUMBER(INDEX(상세표[시작],$M807)),TEXT(INDEX(상세표[시작],$M807),"yyyy-mm-dd hh:mm"),INDEX(상세표[시작],$M807)&amp;""))</f>
        <v/>
      </c>
      <c r="E807">
        <f>IF($M807="","",IF(ISNUMBER(INDEX(상세표[종료],$M807)),TEXT(INDEX(상세표[종료],$M807),"yyyy-mm-dd hh:mm"),INDEX(상세표[종료],$M807)&amp;""))</f>
        <v/>
      </c>
      <c r="F807">
        <f>IF($M807="","",INDEX(상세표[기록 시간외],$M807))</f>
        <v/>
      </c>
      <c r="G807">
        <f>IF($M807="","",INDEX(상세표[시작월 기관],$M807)&amp;"")</f>
        <v/>
      </c>
      <c r="H807">
        <f>IF($M807="","",INDEX(상세표[종료월 기관],$M807)&amp;"")</f>
        <v/>
      </c>
      <c r="I807">
        <f>IF($M807="","",INDEX(상세표[월경계 판정],$M807)&amp;"")</f>
        <v/>
      </c>
      <c r="J807">
        <f>IF($M807="","",INDEX(상세표[반영월],$M807)&amp;"")</f>
        <v/>
      </c>
      <c r="K807">
        <f>IF($M807="","",INDEX(상세표[반영 기관],$M807)&amp;"")</f>
        <v/>
      </c>
      <c r="L807">
        <f>IF($M807="","",INDEX(상세표[기관 출처],$M807)&amp;"")</f>
        <v/>
      </c>
      <c r="M807" s="4">
        <f>IFERROR(MATCH(802,상세표[경계순번],0),"")</f>
        <v/>
      </c>
    </row>
    <row r="808">
      <c r="A808">
        <f>IF($M808="","",INDEX(상세표[사번],$M808)&amp;"")</f>
        <v/>
      </c>
      <c r="B808">
        <f>IF($M808="","",INDEX(상세표[성명],$M808)&amp;"")</f>
        <v/>
      </c>
      <c r="C808">
        <f>IF($M808="","",IF(INDEX(상세표[종료월],$M808)=대상월키,"전월→이번 달","이번 달→익월"))</f>
        <v/>
      </c>
      <c r="D808">
        <f>IF($M808="","",IF(ISNUMBER(INDEX(상세표[시작],$M808)),TEXT(INDEX(상세표[시작],$M808),"yyyy-mm-dd hh:mm"),INDEX(상세표[시작],$M808)&amp;""))</f>
        <v/>
      </c>
      <c r="E808">
        <f>IF($M808="","",IF(ISNUMBER(INDEX(상세표[종료],$M808)),TEXT(INDEX(상세표[종료],$M808),"yyyy-mm-dd hh:mm"),INDEX(상세표[종료],$M808)&amp;""))</f>
        <v/>
      </c>
      <c r="F808">
        <f>IF($M808="","",INDEX(상세표[기록 시간외],$M808))</f>
        <v/>
      </c>
      <c r="G808">
        <f>IF($M808="","",INDEX(상세표[시작월 기관],$M808)&amp;"")</f>
        <v/>
      </c>
      <c r="H808">
        <f>IF($M808="","",INDEX(상세표[종료월 기관],$M808)&amp;"")</f>
        <v/>
      </c>
      <c r="I808">
        <f>IF($M808="","",INDEX(상세표[월경계 판정],$M808)&amp;"")</f>
        <v/>
      </c>
      <c r="J808">
        <f>IF($M808="","",INDEX(상세표[반영월],$M808)&amp;"")</f>
        <v/>
      </c>
      <c r="K808">
        <f>IF($M808="","",INDEX(상세표[반영 기관],$M808)&amp;"")</f>
        <v/>
      </c>
      <c r="L808">
        <f>IF($M808="","",INDEX(상세표[기관 출처],$M808)&amp;"")</f>
        <v/>
      </c>
      <c r="M808" s="4">
        <f>IFERROR(MATCH(803,상세표[경계순번],0),"")</f>
        <v/>
      </c>
    </row>
    <row r="809">
      <c r="A809">
        <f>IF($M809="","",INDEX(상세표[사번],$M809)&amp;"")</f>
        <v/>
      </c>
      <c r="B809">
        <f>IF($M809="","",INDEX(상세표[성명],$M809)&amp;"")</f>
        <v/>
      </c>
      <c r="C809">
        <f>IF($M809="","",IF(INDEX(상세표[종료월],$M809)=대상월키,"전월→이번 달","이번 달→익월"))</f>
        <v/>
      </c>
      <c r="D809">
        <f>IF($M809="","",IF(ISNUMBER(INDEX(상세표[시작],$M809)),TEXT(INDEX(상세표[시작],$M809),"yyyy-mm-dd hh:mm"),INDEX(상세표[시작],$M809)&amp;""))</f>
        <v/>
      </c>
      <c r="E809">
        <f>IF($M809="","",IF(ISNUMBER(INDEX(상세표[종료],$M809)),TEXT(INDEX(상세표[종료],$M809),"yyyy-mm-dd hh:mm"),INDEX(상세표[종료],$M809)&amp;""))</f>
        <v/>
      </c>
      <c r="F809">
        <f>IF($M809="","",INDEX(상세표[기록 시간외],$M809))</f>
        <v/>
      </c>
      <c r="G809">
        <f>IF($M809="","",INDEX(상세표[시작월 기관],$M809)&amp;"")</f>
        <v/>
      </c>
      <c r="H809">
        <f>IF($M809="","",INDEX(상세표[종료월 기관],$M809)&amp;"")</f>
        <v/>
      </c>
      <c r="I809">
        <f>IF($M809="","",INDEX(상세표[월경계 판정],$M809)&amp;"")</f>
        <v/>
      </c>
      <c r="J809">
        <f>IF($M809="","",INDEX(상세표[반영월],$M809)&amp;"")</f>
        <v/>
      </c>
      <c r="K809">
        <f>IF($M809="","",INDEX(상세표[반영 기관],$M809)&amp;"")</f>
        <v/>
      </c>
      <c r="L809">
        <f>IF($M809="","",INDEX(상세표[기관 출처],$M809)&amp;"")</f>
        <v/>
      </c>
      <c r="M809" s="4">
        <f>IFERROR(MATCH(804,상세표[경계순번],0),"")</f>
        <v/>
      </c>
    </row>
    <row r="810">
      <c r="A810">
        <f>IF($M810="","",INDEX(상세표[사번],$M810)&amp;"")</f>
        <v/>
      </c>
      <c r="B810">
        <f>IF($M810="","",INDEX(상세표[성명],$M810)&amp;"")</f>
        <v/>
      </c>
      <c r="C810">
        <f>IF($M810="","",IF(INDEX(상세표[종료월],$M810)=대상월키,"전월→이번 달","이번 달→익월"))</f>
        <v/>
      </c>
      <c r="D810">
        <f>IF($M810="","",IF(ISNUMBER(INDEX(상세표[시작],$M810)),TEXT(INDEX(상세표[시작],$M810),"yyyy-mm-dd hh:mm"),INDEX(상세표[시작],$M810)&amp;""))</f>
        <v/>
      </c>
      <c r="E810">
        <f>IF($M810="","",IF(ISNUMBER(INDEX(상세표[종료],$M810)),TEXT(INDEX(상세표[종료],$M810),"yyyy-mm-dd hh:mm"),INDEX(상세표[종료],$M810)&amp;""))</f>
        <v/>
      </c>
      <c r="F810">
        <f>IF($M810="","",INDEX(상세표[기록 시간외],$M810))</f>
        <v/>
      </c>
      <c r="G810">
        <f>IF($M810="","",INDEX(상세표[시작월 기관],$M810)&amp;"")</f>
        <v/>
      </c>
      <c r="H810">
        <f>IF($M810="","",INDEX(상세표[종료월 기관],$M810)&amp;"")</f>
        <v/>
      </c>
      <c r="I810">
        <f>IF($M810="","",INDEX(상세표[월경계 판정],$M810)&amp;"")</f>
        <v/>
      </c>
      <c r="J810">
        <f>IF($M810="","",INDEX(상세표[반영월],$M810)&amp;"")</f>
        <v/>
      </c>
      <c r="K810">
        <f>IF($M810="","",INDEX(상세표[반영 기관],$M810)&amp;"")</f>
        <v/>
      </c>
      <c r="L810">
        <f>IF($M810="","",INDEX(상세표[기관 출처],$M810)&amp;"")</f>
        <v/>
      </c>
      <c r="M810" s="4">
        <f>IFERROR(MATCH(805,상세표[경계순번],0),"")</f>
        <v/>
      </c>
    </row>
    <row r="811">
      <c r="A811">
        <f>IF($M811="","",INDEX(상세표[사번],$M811)&amp;"")</f>
        <v/>
      </c>
      <c r="B811">
        <f>IF($M811="","",INDEX(상세표[성명],$M811)&amp;"")</f>
        <v/>
      </c>
      <c r="C811">
        <f>IF($M811="","",IF(INDEX(상세표[종료월],$M811)=대상월키,"전월→이번 달","이번 달→익월"))</f>
        <v/>
      </c>
      <c r="D811">
        <f>IF($M811="","",IF(ISNUMBER(INDEX(상세표[시작],$M811)),TEXT(INDEX(상세표[시작],$M811),"yyyy-mm-dd hh:mm"),INDEX(상세표[시작],$M811)&amp;""))</f>
        <v/>
      </c>
      <c r="E811">
        <f>IF($M811="","",IF(ISNUMBER(INDEX(상세표[종료],$M811)),TEXT(INDEX(상세표[종료],$M811),"yyyy-mm-dd hh:mm"),INDEX(상세표[종료],$M811)&amp;""))</f>
        <v/>
      </c>
      <c r="F811">
        <f>IF($M811="","",INDEX(상세표[기록 시간외],$M811))</f>
        <v/>
      </c>
      <c r="G811">
        <f>IF($M811="","",INDEX(상세표[시작월 기관],$M811)&amp;"")</f>
        <v/>
      </c>
      <c r="H811">
        <f>IF($M811="","",INDEX(상세표[종료월 기관],$M811)&amp;"")</f>
        <v/>
      </c>
      <c r="I811">
        <f>IF($M811="","",INDEX(상세표[월경계 판정],$M811)&amp;"")</f>
        <v/>
      </c>
      <c r="J811">
        <f>IF($M811="","",INDEX(상세표[반영월],$M811)&amp;"")</f>
        <v/>
      </c>
      <c r="K811">
        <f>IF($M811="","",INDEX(상세표[반영 기관],$M811)&amp;"")</f>
        <v/>
      </c>
      <c r="L811">
        <f>IF($M811="","",INDEX(상세표[기관 출처],$M811)&amp;"")</f>
        <v/>
      </c>
      <c r="M811" s="4">
        <f>IFERROR(MATCH(806,상세표[경계순번],0),"")</f>
        <v/>
      </c>
    </row>
    <row r="812">
      <c r="A812">
        <f>IF($M812="","",INDEX(상세표[사번],$M812)&amp;"")</f>
        <v/>
      </c>
      <c r="B812">
        <f>IF($M812="","",INDEX(상세표[성명],$M812)&amp;"")</f>
        <v/>
      </c>
      <c r="C812">
        <f>IF($M812="","",IF(INDEX(상세표[종료월],$M812)=대상월키,"전월→이번 달","이번 달→익월"))</f>
        <v/>
      </c>
      <c r="D812">
        <f>IF($M812="","",IF(ISNUMBER(INDEX(상세표[시작],$M812)),TEXT(INDEX(상세표[시작],$M812),"yyyy-mm-dd hh:mm"),INDEX(상세표[시작],$M812)&amp;""))</f>
        <v/>
      </c>
      <c r="E812">
        <f>IF($M812="","",IF(ISNUMBER(INDEX(상세표[종료],$M812)),TEXT(INDEX(상세표[종료],$M812),"yyyy-mm-dd hh:mm"),INDEX(상세표[종료],$M812)&amp;""))</f>
        <v/>
      </c>
      <c r="F812">
        <f>IF($M812="","",INDEX(상세표[기록 시간외],$M812))</f>
        <v/>
      </c>
      <c r="G812">
        <f>IF($M812="","",INDEX(상세표[시작월 기관],$M812)&amp;"")</f>
        <v/>
      </c>
      <c r="H812">
        <f>IF($M812="","",INDEX(상세표[종료월 기관],$M812)&amp;"")</f>
        <v/>
      </c>
      <c r="I812">
        <f>IF($M812="","",INDEX(상세표[월경계 판정],$M812)&amp;"")</f>
        <v/>
      </c>
      <c r="J812">
        <f>IF($M812="","",INDEX(상세표[반영월],$M812)&amp;"")</f>
        <v/>
      </c>
      <c r="K812">
        <f>IF($M812="","",INDEX(상세표[반영 기관],$M812)&amp;"")</f>
        <v/>
      </c>
      <c r="L812">
        <f>IF($M812="","",INDEX(상세표[기관 출처],$M812)&amp;"")</f>
        <v/>
      </c>
      <c r="M812" s="4">
        <f>IFERROR(MATCH(807,상세표[경계순번],0),"")</f>
        <v/>
      </c>
    </row>
    <row r="813">
      <c r="A813">
        <f>IF($M813="","",INDEX(상세표[사번],$M813)&amp;"")</f>
        <v/>
      </c>
      <c r="B813">
        <f>IF($M813="","",INDEX(상세표[성명],$M813)&amp;"")</f>
        <v/>
      </c>
      <c r="C813">
        <f>IF($M813="","",IF(INDEX(상세표[종료월],$M813)=대상월키,"전월→이번 달","이번 달→익월"))</f>
        <v/>
      </c>
      <c r="D813">
        <f>IF($M813="","",IF(ISNUMBER(INDEX(상세표[시작],$M813)),TEXT(INDEX(상세표[시작],$M813),"yyyy-mm-dd hh:mm"),INDEX(상세표[시작],$M813)&amp;""))</f>
        <v/>
      </c>
      <c r="E813">
        <f>IF($M813="","",IF(ISNUMBER(INDEX(상세표[종료],$M813)),TEXT(INDEX(상세표[종료],$M813),"yyyy-mm-dd hh:mm"),INDEX(상세표[종료],$M813)&amp;""))</f>
        <v/>
      </c>
      <c r="F813">
        <f>IF($M813="","",INDEX(상세표[기록 시간외],$M813))</f>
        <v/>
      </c>
      <c r="G813">
        <f>IF($M813="","",INDEX(상세표[시작월 기관],$M813)&amp;"")</f>
        <v/>
      </c>
      <c r="H813">
        <f>IF($M813="","",INDEX(상세표[종료월 기관],$M813)&amp;"")</f>
        <v/>
      </c>
      <c r="I813">
        <f>IF($M813="","",INDEX(상세표[월경계 판정],$M813)&amp;"")</f>
        <v/>
      </c>
      <c r="J813">
        <f>IF($M813="","",INDEX(상세표[반영월],$M813)&amp;"")</f>
        <v/>
      </c>
      <c r="K813">
        <f>IF($M813="","",INDEX(상세표[반영 기관],$M813)&amp;"")</f>
        <v/>
      </c>
      <c r="L813">
        <f>IF($M813="","",INDEX(상세표[기관 출처],$M813)&amp;"")</f>
        <v/>
      </c>
      <c r="M813" s="4">
        <f>IFERROR(MATCH(808,상세표[경계순번],0),"")</f>
        <v/>
      </c>
    </row>
    <row r="814">
      <c r="A814">
        <f>IF($M814="","",INDEX(상세표[사번],$M814)&amp;"")</f>
        <v/>
      </c>
      <c r="B814">
        <f>IF($M814="","",INDEX(상세표[성명],$M814)&amp;"")</f>
        <v/>
      </c>
      <c r="C814">
        <f>IF($M814="","",IF(INDEX(상세표[종료월],$M814)=대상월키,"전월→이번 달","이번 달→익월"))</f>
        <v/>
      </c>
      <c r="D814">
        <f>IF($M814="","",IF(ISNUMBER(INDEX(상세표[시작],$M814)),TEXT(INDEX(상세표[시작],$M814),"yyyy-mm-dd hh:mm"),INDEX(상세표[시작],$M814)&amp;""))</f>
        <v/>
      </c>
      <c r="E814">
        <f>IF($M814="","",IF(ISNUMBER(INDEX(상세표[종료],$M814)),TEXT(INDEX(상세표[종료],$M814),"yyyy-mm-dd hh:mm"),INDEX(상세표[종료],$M814)&amp;""))</f>
        <v/>
      </c>
      <c r="F814">
        <f>IF($M814="","",INDEX(상세표[기록 시간외],$M814))</f>
        <v/>
      </c>
      <c r="G814">
        <f>IF($M814="","",INDEX(상세표[시작월 기관],$M814)&amp;"")</f>
        <v/>
      </c>
      <c r="H814">
        <f>IF($M814="","",INDEX(상세표[종료월 기관],$M814)&amp;"")</f>
        <v/>
      </c>
      <c r="I814">
        <f>IF($M814="","",INDEX(상세표[월경계 판정],$M814)&amp;"")</f>
        <v/>
      </c>
      <c r="J814">
        <f>IF($M814="","",INDEX(상세표[반영월],$M814)&amp;"")</f>
        <v/>
      </c>
      <c r="K814">
        <f>IF($M814="","",INDEX(상세표[반영 기관],$M814)&amp;"")</f>
        <v/>
      </c>
      <c r="L814">
        <f>IF($M814="","",INDEX(상세표[기관 출처],$M814)&amp;"")</f>
        <v/>
      </c>
      <c r="M814" s="4">
        <f>IFERROR(MATCH(809,상세표[경계순번],0),"")</f>
        <v/>
      </c>
    </row>
    <row r="815">
      <c r="A815">
        <f>IF($M815="","",INDEX(상세표[사번],$M815)&amp;"")</f>
        <v/>
      </c>
      <c r="B815">
        <f>IF($M815="","",INDEX(상세표[성명],$M815)&amp;"")</f>
        <v/>
      </c>
      <c r="C815">
        <f>IF($M815="","",IF(INDEX(상세표[종료월],$M815)=대상월키,"전월→이번 달","이번 달→익월"))</f>
        <v/>
      </c>
      <c r="D815">
        <f>IF($M815="","",IF(ISNUMBER(INDEX(상세표[시작],$M815)),TEXT(INDEX(상세표[시작],$M815),"yyyy-mm-dd hh:mm"),INDEX(상세표[시작],$M815)&amp;""))</f>
        <v/>
      </c>
      <c r="E815">
        <f>IF($M815="","",IF(ISNUMBER(INDEX(상세표[종료],$M815)),TEXT(INDEX(상세표[종료],$M815),"yyyy-mm-dd hh:mm"),INDEX(상세표[종료],$M815)&amp;""))</f>
        <v/>
      </c>
      <c r="F815">
        <f>IF($M815="","",INDEX(상세표[기록 시간외],$M815))</f>
        <v/>
      </c>
      <c r="G815">
        <f>IF($M815="","",INDEX(상세표[시작월 기관],$M815)&amp;"")</f>
        <v/>
      </c>
      <c r="H815">
        <f>IF($M815="","",INDEX(상세표[종료월 기관],$M815)&amp;"")</f>
        <v/>
      </c>
      <c r="I815">
        <f>IF($M815="","",INDEX(상세표[월경계 판정],$M815)&amp;"")</f>
        <v/>
      </c>
      <c r="J815">
        <f>IF($M815="","",INDEX(상세표[반영월],$M815)&amp;"")</f>
        <v/>
      </c>
      <c r="K815">
        <f>IF($M815="","",INDEX(상세표[반영 기관],$M815)&amp;"")</f>
        <v/>
      </c>
      <c r="L815">
        <f>IF($M815="","",INDEX(상세표[기관 출처],$M815)&amp;"")</f>
        <v/>
      </c>
      <c r="M815" s="4">
        <f>IFERROR(MATCH(810,상세표[경계순번],0),"")</f>
        <v/>
      </c>
    </row>
    <row r="816">
      <c r="A816">
        <f>IF($M816="","",INDEX(상세표[사번],$M816)&amp;"")</f>
        <v/>
      </c>
      <c r="B816">
        <f>IF($M816="","",INDEX(상세표[성명],$M816)&amp;"")</f>
        <v/>
      </c>
      <c r="C816">
        <f>IF($M816="","",IF(INDEX(상세표[종료월],$M816)=대상월키,"전월→이번 달","이번 달→익월"))</f>
        <v/>
      </c>
      <c r="D816">
        <f>IF($M816="","",IF(ISNUMBER(INDEX(상세표[시작],$M816)),TEXT(INDEX(상세표[시작],$M816),"yyyy-mm-dd hh:mm"),INDEX(상세표[시작],$M816)&amp;""))</f>
        <v/>
      </c>
      <c r="E816">
        <f>IF($M816="","",IF(ISNUMBER(INDEX(상세표[종료],$M816)),TEXT(INDEX(상세표[종료],$M816),"yyyy-mm-dd hh:mm"),INDEX(상세표[종료],$M816)&amp;""))</f>
        <v/>
      </c>
      <c r="F816">
        <f>IF($M816="","",INDEX(상세표[기록 시간외],$M816))</f>
        <v/>
      </c>
      <c r="G816">
        <f>IF($M816="","",INDEX(상세표[시작월 기관],$M816)&amp;"")</f>
        <v/>
      </c>
      <c r="H816">
        <f>IF($M816="","",INDEX(상세표[종료월 기관],$M816)&amp;"")</f>
        <v/>
      </c>
      <c r="I816">
        <f>IF($M816="","",INDEX(상세표[월경계 판정],$M816)&amp;"")</f>
        <v/>
      </c>
      <c r="J816">
        <f>IF($M816="","",INDEX(상세표[반영월],$M816)&amp;"")</f>
        <v/>
      </c>
      <c r="K816">
        <f>IF($M816="","",INDEX(상세표[반영 기관],$M816)&amp;"")</f>
        <v/>
      </c>
      <c r="L816">
        <f>IF($M816="","",INDEX(상세표[기관 출처],$M816)&amp;"")</f>
        <v/>
      </c>
      <c r="M816" s="4">
        <f>IFERROR(MATCH(811,상세표[경계순번],0),"")</f>
        <v/>
      </c>
    </row>
    <row r="817">
      <c r="A817">
        <f>IF($M817="","",INDEX(상세표[사번],$M817)&amp;"")</f>
        <v/>
      </c>
      <c r="B817">
        <f>IF($M817="","",INDEX(상세표[성명],$M817)&amp;"")</f>
        <v/>
      </c>
      <c r="C817">
        <f>IF($M817="","",IF(INDEX(상세표[종료월],$M817)=대상월키,"전월→이번 달","이번 달→익월"))</f>
        <v/>
      </c>
      <c r="D817">
        <f>IF($M817="","",IF(ISNUMBER(INDEX(상세표[시작],$M817)),TEXT(INDEX(상세표[시작],$M817),"yyyy-mm-dd hh:mm"),INDEX(상세표[시작],$M817)&amp;""))</f>
        <v/>
      </c>
      <c r="E817">
        <f>IF($M817="","",IF(ISNUMBER(INDEX(상세표[종료],$M817)),TEXT(INDEX(상세표[종료],$M817),"yyyy-mm-dd hh:mm"),INDEX(상세표[종료],$M817)&amp;""))</f>
        <v/>
      </c>
      <c r="F817">
        <f>IF($M817="","",INDEX(상세표[기록 시간외],$M817))</f>
        <v/>
      </c>
      <c r="G817">
        <f>IF($M817="","",INDEX(상세표[시작월 기관],$M817)&amp;"")</f>
        <v/>
      </c>
      <c r="H817">
        <f>IF($M817="","",INDEX(상세표[종료월 기관],$M817)&amp;"")</f>
        <v/>
      </c>
      <c r="I817">
        <f>IF($M817="","",INDEX(상세표[월경계 판정],$M817)&amp;"")</f>
        <v/>
      </c>
      <c r="J817">
        <f>IF($M817="","",INDEX(상세표[반영월],$M817)&amp;"")</f>
        <v/>
      </c>
      <c r="K817">
        <f>IF($M817="","",INDEX(상세표[반영 기관],$M817)&amp;"")</f>
        <v/>
      </c>
      <c r="L817">
        <f>IF($M817="","",INDEX(상세표[기관 출처],$M817)&amp;"")</f>
        <v/>
      </c>
      <c r="M817" s="4">
        <f>IFERROR(MATCH(812,상세표[경계순번],0),"")</f>
        <v/>
      </c>
    </row>
    <row r="818">
      <c r="A818">
        <f>IF($M818="","",INDEX(상세표[사번],$M818)&amp;"")</f>
        <v/>
      </c>
      <c r="B818">
        <f>IF($M818="","",INDEX(상세표[성명],$M818)&amp;"")</f>
        <v/>
      </c>
      <c r="C818">
        <f>IF($M818="","",IF(INDEX(상세표[종료월],$M818)=대상월키,"전월→이번 달","이번 달→익월"))</f>
        <v/>
      </c>
      <c r="D818">
        <f>IF($M818="","",IF(ISNUMBER(INDEX(상세표[시작],$M818)),TEXT(INDEX(상세표[시작],$M818),"yyyy-mm-dd hh:mm"),INDEX(상세표[시작],$M818)&amp;""))</f>
        <v/>
      </c>
      <c r="E818">
        <f>IF($M818="","",IF(ISNUMBER(INDEX(상세표[종료],$M818)),TEXT(INDEX(상세표[종료],$M818),"yyyy-mm-dd hh:mm"),INDEX(상세표[종료],$M818)&amp;""))</f>
        <v/>
      </c>
      <c r="F818">
        <f>IF($M818="","",INDEX(상세표[기록 시간외],$M818))</f>
        <v/>
      </c>
      <c r="G818">
        <f>IF($M818="","",INDEX(상세표[시작월 기관],$M818)&amp;"")</f>
        <v/>
      </c>
      <c r="H818">
        <f>IF($M818="","",INDEX(상세표[종료월 기관],$M818)&amp;"")</f>
        <v/>
      </c>
      <c r="I818">
        <f>IF($M818="","",INDEX(상세표[월경계 판정],$M818)&amp;"")</f>
        <v/>
      </c>
      <c r="J818">
        <f>IF($M818="","",INDEX(상세표[반영월],$M818)&amp;"")</f>
        <v/>
      </c>
      <c r="K818">
        <f>IF($M818="","",INDEX(상세표[반영 기관],$M818)&amp;"")</f>
        <v/>
      </c>
      <c r="L818">
        <f>IF($M818="","",INDEX(상세표[기관 출처],$M818)&amp;"")</f>
        <v/>
      </c>
      <c r="M818" s="4">
        <f>IFERROR(MATCH(813,상세표[경계순번],0),"")</f>
        <v/>
      </c>
    </row>
    <row r="819">
      <c r="A819">
        <f>IF($M819="","",INDEX(상세표[사번],$M819)&amp;"")</f>
        <v/>
      </c>
      <c r="B819">
        <f>IF($M819="","",INDEX(상세표[성명],$M819)&amp;"")</f>
        <v/>
      </c>
      <c r="C819">
        <f>IF($M819="","",IF(INDEX(상세표[종료월],$M819)=대상월키,"전월→이번 달","이번 달→익월"))</f>
        <v/>
      </c>
      <c r="D819">
        <f>IF($M819="","",IF(ISNUMBER(INDEX(상세표[시작],$M819)),TEXT(INDEX(상세표[시작],$M819),"yyyy-mm-dd hh:mm"),INDEX(상세표[시작],$M819)&amp;""))</f>
        <v/>
      </c>
      <c r="E819">
        <f>IF($M819="","",IF(ISNUMBER(INDEX(상세표[종료],$M819)),TEXT(INDEX(상세표[종료],$M819),"yyyy-mm-dd hh:mm"),INDEX(상세표[종료],$M819)&amp;""))</f>
        <v/>
      </c>
      <c r="F819">
        <f>IF($M819="","",INDEX(상세표[기록 시간외],$M819))</f>
        <v/>
      </c>
      <c r="G819">
        <f>IF($M819="","",INDEX(상세표[시작월 기관],$M819)&amp;"")</f>
        <v/>
      </c>
      <c r="H819">
        <f>IF($M819="","",INDEX(상세표[종료월 기관],$M819)&amp;"")</f>
        <v/>
      </c>
      <c r="I819">
        <f>IF($M819="","",INDEX(상세표[월경계 판정],$M819)&amp;"")</f>
        <v/>
      </c>
      <c r="J819">
        <f>IF($M819="","",INDEX(상세표[반영월],$M819)&amp;"")</f>
        <v/>
      </c>
      <c r="K819">
        <f>IF($M819="","",INDEX(상세표[반영 기관],$M819)&amp;"")</f>
        <v/>
      </c>
      <c r="L819">
        <f>IF($M819="","",INDEX(상세표[기관 출처],$M819)&amp;"")</f>
        <v/>
      </c>
      <c r="M819" s="4">
        <f>IFERROR(MATCH(814,상세표[경계순번],0),"")</f>
        <v/>
      </c>
    </row>
    <row r="820">
      <c r="A820">
        <f>IF($M820="","",INDEX(상세표[사번],$M820)&amp;"")</f>
        <v/>
      </c>
      <c r="B820">
        <f>IF($M820="","",INDEX(상세표[성명],$M820)&amp;"")</f>
        <v/>
      </c>
      <c r="C820">
        <f>IF($M820="","",IF(INDEX(상세표[종료월],$M820)=대상월키,"전월→이번 달","이번 달→익월"))</f>
        <v/>
      </c>
      <c r="D820">
        <f>IF($M820="","",IF(ISNUMBER(INDEX(상세표[시작],$M820)),TEXT(INDEX(상세표[시작],$M820),"yyyy-mm-dd hh:mm"),INDEX(상세표[시작],$M820)&amp;""))</f>
        <v/>
      </c>
      <c r="E820">
        <f>IF($M820="","",IF(ISNUMBER(INDEX(상세표[종료],$M820)),TEXT(INDEX(상세표[종료],$M820),"yyyy-mm-dd hh:mm"),INDEX(상세표[종료],$M820)&amp;""))</f>
        <v/>
      </c>
      <c r="F820">
        <f>IF($M820="","",INDEX(상세표[기록 시간외],$M820))</f>
        <v/>
      </c>
      <c r="G820">
        <f>IF($M820="","",INDEX(상세표[시작월 기관],$M820)&amp;"")</f>
        <v/>
      </c>
      <c r="H820">
        <f>IF($M820="","",INDEX(상세표[종료월 기관],$M820)&amp;"")</f>
        <v/>
      </c>
      <c r="I820">
        <f>IF($M820="","",INDEX(상세표[월경계 판정],$M820)&amp;"")</f>
        <v/>
      </c>
      <c r="J820">
        <f>IF($M820="","",INDEX(상세표[반영월],$M820)&amp;"")</f>
        <v/>
      </c>
      <c r="K820">
        <f>IF($M820="","",INDEX(상세표[반영 기관],$M820)&amp;"")</f>
        <v/>
      </c>
      <c r="L820">
        <f>IF($M820="","",INDEX(상세표[기관 출처],$M820)&amp;"")</f>
        <v/>
      </c>
      <c r="M820" s="4">
        <f>IFERROR(MATCH(815,상세표[경계순번],0),"")</f>
        <v/>
      </c>
    </row>
    <row r="821">
      <c r="A821">
        <f>IF($M821="","",INDEX(상세표[사번],$M821)&amp;"")</f>
        <v/>
      </c>
      <c r="B821">
        <f>IF($M821="","",INDEX(상세표[성명],$M821)&amp;"")</f>
        <v/>
      </c>
      <c r="C821">
        <f>IF($M821="","",IF(INDEX(상세표[종료월],$M821)=대상월키,"전월→이번 달","이번 달→익월"))</f>
        <v/>
      </c>
      <c r="D821">
        <f>IF($M821="","",IF(ISNUMBER(INDEX(상세표[시작],$M821)),TEXT(INDEX(상세표[시작],$M821),"yyyy-mm-dd hh:mm"),INDEX(상세표[시작],$M821)&amp;""))</f>
        <v/>
      </c>
      <c r="E821">
        <f>IF($M821="","",IF(ISNUMBER(INDEX(상세표[종료],$M821)),TEXT(INDEX(상세표[종료],$M821),"yyyy-mm-dd hh:mm"),INDEX(상세표[종료],$M821)&amp;""))</f>
        <v/>
      </c>
      <c r="F821">
        <f>IF($M821="","",INDEX(상세표[기록 시간외],$M821))</f>
        <v/>
      </c>
      <c r="G821">
        <f>IF($M821="","",INDEX(상세표[시작월 기관],$M821)&amp;"")</f>
        <v/>
      </c>
      <c r="H821">
        <f>IF($M821="","",INDEX(상세표[종료월 기관],$M821)&amp;"")</f>
        <v/>
      </c>
      <c r="I821">
        <f>IF($M821="","",INDEX(상세표[월경계 판정],$M821)&amp;"")</f>
        <v/>
      </c>
      <c r="J821">
        <f>IF($M821="","",INDEX(상세표[반영월],$M821)&amp;"")</f>
        <v/>
      </c>
      <c r="K821">
        <f>IF($M821="","",INDEX(상세표[반영 기관],$M821)&amp;"")</f>
        <v/>
      </c>
      <c r="L821">
        <f>IF($M821="","",INDEX(상세표[기관 출처],$M821)&amp;"")</f>
        <v/>
      </c>
      <c r="M821" s="4">
        <f>IFERROR(MATCH(816,상세표[경계순번],0),"")</f>
        <v/>
      </c>
    </row>
    <row r="822">
      <c r="A822">
        <f>IF($M822="","",INDEX(상세표[사번],$M822)&amp;"")</f>
        <v/>
      </c>
      <c r="B822">
        <f>IF($M822="","",INDEX(상세표[성명],$M822)&amp;"")</f>
        <v/>
      </c>
      <c r="C822">
        <f>IF($M822="","",IF(INDEX(상세표[종료월],$M822)=대상월키,"전월→이번 달","이번 달→익월"))</f>
        <v/>
      </c>
      <c r="D822">
        <f>IF($M822="","",IF(ISNUMBER(INDEX(상세표[시작],$M822)),TEXT(INDEX(상세표[시작],$M822),"yyyy-mm-dd hh:mm"),INDEX(상세표[시작],$M822)&amp;""))</f>
        <v/>
      </c>
      <c r="E822">
        <f>IF($M822="","",IF(ISNUMBER(INDEX(상세표[종료],$M822)),TEXT(INDEX(상세표[종료],$M822),"yyyy-mm-dd hh:mm"),INDEX(상세표[종료],$M822)&amp;""))</f>
        <v/>
      </c>
      <c r="F822">
        <f>IF($M822="","",INDEX(상세표[기록 시간외],$M822))</f>
        <v/>
      </c>
      <c r="G822">
        <f>IF($M822="","",INDEX(상세표[시작월 기관],$M822)&amp;"")</f>
        <v/>
      </c>
      <c r="H822">
        <f>IF($M822="","",INDEX(상세표[종료월 기관],$M822)&amp;"")</f>
        <v/>
      </c>
      <c r="I822">
        <f>IF($M822="","",INDEX(상세표[월경계 판정],$M822)&amp;"")</f>
        <v/>
      </c>
      <c r="J822">
        <f>IF($M822="","",INDEX(상세표[반영월],$M822)&amp;"")</f>
        <v/>
      </c>
      <c r="K822">
        <f>IF($M822="","",INDEX(상세표[반영 기관],$M822)&amp;"")</f>
        <v/>
      </c>
      <c r="L822">
        <f>IF($M822="","",INDEX(상세표[기관 출처],$M822)&amp;"")</f>
        <v/>
      </c>
      <c r="M822" s="4">
        <f>IFERROR(MATCH(817,상세표[경계순번],0),"")</f>
        <v/>
      </c>
    </row>
    <row r="823">
      <c r="A823">
        <f>IF($M823="","",INDEX(상세표[사번],$M823)&amp;"")</f>
        <v/>
      </c>
      <c r="B823">
        <f>IF($M823="","",INDEX(상세표[성명],$M823)&amp;"")</f>
        <v/>
      </c>
      <c r="C823">
        <f>IF($M823="","",IF(INDEX(상세표[종료월],$M823)=대상월키,"전월→이번 달","이번 달→익월"))</f>
        <v/>
      </c>
      <c r="D823">
        <f>IF($M823="","",IF(ISNUMBER(INDEX(상세표[시작],$M823)),TEXT(INDEX(상세표[시작],$M823),"yyyy-mm-dd hh:mm"),INDEX(상세표[시작],$M823)&amp;""))</f>
        <v/>
      </c>
      <c r="E823">
        <f>IF($M823="","",IF(ISNUMBER(INDEX(상세표[종료],$M823)),TEXT(INDEX(상세표[종료],$M823),"yyyy-mm-dd hh:mm"),INDEX(상세표[종료],$M823)&amp;""))</f>
        <v/>
      </c>
      <c r="F823">
        <f>IF($M823="","",INDEX(상세표[기록 시간외],$M823))</f>
        <v/>
      </c>
      <c r="G823">
        <f>IF($M823="","",INDEX(상세표[시작월 기관],$M823)&amp;"")</f>
        <v/>
      </c>
      <c r="H823">
        <f>IF($M823="","",INDEX(상세표[종료월 기관],$M823)&amp;"")</f>
        <v/>
      </c>
      <c r="I823">
        <f>IF($M823="","",INDEX(상세표[월경계 판정],$M823)&amp;"")</f>
        <v/>
      </c>
      <c r="J823">
        <f>IF($M823="","",INDEX(상세표[반영월],$M823)&amp;"")</f>
        <v/>
      </c>
      <c r="K823">
        <f>IF($M823="","",INDEX(상세표[반영 기관],$M823)&amp;"")</f>
        <v/>
      </c>
      <c r="L823">
        <f>IF($M823="","",INDEX(상세표[기관 출처],$M823)&amp;"")</f>
        <v/>
      </c>
      <c r="M823" s="4">
        <f>IFERROR(MATCH(818,상세표[경계순번],0),"")</f>
        <v/>
      </c>
    </row>
    <row r="824">
      <c r="A824">
        <f>IF($M824="","",INDEX(상세표[사번],$M824)&amp;"")</f>
        <v/>
      </c>
      <c r="B824">
        <f>IF($M824="","",INDEX(상세표[성명],$M824)&amp;"")</f>
        <v/>
      </c>
      <c r="C824">
        <f>IF($M824="","",IF(INDEX(상세표[종료월],$M824)=대상월키,"전월→이번 달","이번 달→익월"))</f>
        <v/>
      </c>
      <c r="D824">
        <f>IF($M824="","",IF(ISNUMBER(INDEX(상세표[시작],$M824)),TEXT(INDEX(상세표[시작],$M824),"yyyy-mm-dd hh:mm"),INDEX(상세표[시작],$M824)&amp;""))</f>
        <v/>
      </c>
      <c r="E824">
        <f>IF($M824="","",IF(ISNUMBER(INDEX(상세표[종료],$M824)),TEXT(INDEX(상세표[종료],$M824),"yyyy-mm-dd hh:mm"),INDEX(상세표[종료],$M824)&amp;""))</f>
        <v/>
      </c>
      <c r="F824">
        <f>IF($M824="","",INDEX(상세표[기록 시간외],$M824))</f>
        <v/>
      </c>
      <c r="G824">
        <f>IF($M824="","",INDEX(상세표[시작월 기관],$M824)&amp;"")</f>
        <v/>
      </c>
      <c r="H824">
        <f>IF($M824="","",INDEX(상세표[종료월 기관],$M824)&amp;"")</f>
        <v/>
      </c>
      <c r="I824">
        <f>IF($M824="","",INDEX(상세표[월경계 판정],$M824)&amp;"")</f>
        <v/>
      </c>
      <c r="J824">
        <f>IF($M824="","",INDEX(상세표[반영월],$M824)&amp;"")</f>
        <v/>
      </c>
      <c r="K824">
        <f>IF($M824="","",INDEX(상세표[반영 기관],$M824)&amp;"")</f>
        <v/>
      </c>
      <c r="L824">
        <f>IF($M824="","",INDEX(상세표[기관 출처],$M824)&amp;"")</f>
        <v/>
      </c>
      <c r="M824" s="4">
        <f>IFERROR(MATCH(819,상세표[경계순번],0),"")</f>
        <v/>
      </c>
    </row>
    <row r="825">
      <c r="A825">
        <f>IF($M825="","",INDEX(상세표[사번],$M825)&amp;"")</f>
        <v/>
      </c>
      <c r="B825">
        <f>IF($M825="","",INDEX(상세표[성명],$M825)&amp;"")</f>
        <v/>
      </c>
      <c r="C825">
        <f>IF($M825="","",IF(INDEX(상세표[종료월],$M825)=대상월키,"전월→이번 달","이번 달→익월"))</f>
        <v/>
      </c>
      <c r="D825">
        <f>IF($M825="","",IF(ISNUMBER(INDEX(상세표[시작],$M825)),TEXT(INDEX(상세표[시작],$M825),"yyyy-mm-dd hh:mm"),INDEX(상세표[시작],$M825)&amp;""))</f>
        <v/>
      </c>
      <c r="E825">
        <f>IF($M825="","",IF(ISNUMBER(INDEX(상세표[종료],$M825)),TEXT(INDEX(상세표[종료],$M825),"yyyy-mm-dd hh:mm"),INDEX(상세표[종료],$M825)&amp;""))</f>
        <v/>
      </c>
      <c r="F825">
        <f>IF($M825="","",INDEX(상세표[기록 시간외],$M825))</f>
        <v/>
      </c>
      <c r="G825">
        <f>IF($M825="","",INDEX(상세표[시작월 기관],$M825)&amp;"")</f>
        <v/>
      </c>
      <c r="H825">
        <f>IF($M825="","",INDEX(상세표[종료월 기관],$M825)&amp;"")</f>
        <v/>
      </c>
      <c r="I825">
        <f>IF($M825="","",INDEX(상세표[월경계 판정],$M825)&amp;"")</f>
        <v/>
      </c>
      <c r="J825">
        <f>IF($M825="","",INDEX(상세표[반영월],$M825)&amp;"")</f>
        <v/>
      </c>
      <c r="K825">
        <f>IF($M825="","",INDEX(상세표[반영 기관],$M825)&amp;"")</f>
        <v/>
      </c>
      <c r="L825">
        <f>IF($M825="","",INDEX(상세표[기관 출처],$M825)&amp;"")</f>
        <v/>
      </c>
      <c r="M825" s="4">
        <f>IFERROR(MATCH(820,상세표[경계순번],0),"")</f>
        <v/>
      </c>
    </row>
    <row r="826">
      <c r="A826">
        <f>IF($M826="","",INDEX(상세표[사번],$M826)&amp;"")</f>
        <v/>
      </c>
      <c r="B826">
        <f>IF($M826="","",INDEX(상세표[성명],$M826)&amp;"")</f>
        <v/>
      </c>
      <c r="C826">
        <f>IF($M826="","",IF(INDEX(상세표[종료월],$M826)=대상월키,"전월→이번 달","이번 달→익월"))</f>
        <v/>
      </c>
      <c r="D826">
        <f>IF($M826="","",IF(ISNUMBER(INDEX(상세표[시작],$M826)),TEXT(INDEX(상세표[시작],$M826),"yyyy-mm-dd hh:mm"),INDEX(상세표[시작],$M826)&amp;""))</f>
        <v/>
      </c>
      <c r="E826">
        <f>IF($M826="","",IF(ISNUMBER(INDEX(상세표[종료],$M826)),TEXT(INDEX(상세표[종료],$M826),"yyyy-mm-dd hh:mm"),INDEX(상세표[종료],$M826)&amp;""))</f>
        <v/>
      </c>
      <c r="F826">
        <f>IF($M826="","",INDEX(상세표[기록 시간외],$M826))</f>
        <v/>
      </c>
      <c r="G826">
        <f>IF($M826="","",INDEX(상세표[시작월 기관],$M826)&amp;"")</f>
        <v/>
      </c>
      <c r="H826">
        <f>IF($M826="","",INDEX(상세표[종료월 기관],$M826)&amp;"")</f>
        <v/>
      </c>
      <c r="I826">
        <f>IF($M826="","",INDEX(상세표[월경계 판정],$M826)&amp;"")</f>
        <v/>
      </c>
      <c r="J826">
        <f>IF($M826="","",INDEX(상세표[반영월],$M826)&amp;"")</f>
        <v/>
      </c>
      <c r="K826">
        <f>IF($M826="","",INDEX(상세표[반영 기관],$M826)&amp;"")</f>
        <v/>
      </c>
      <c r="L826">
        <f>IF($M826="","",INDEX(상세표[기관 출처],$M826)&amp;"")</f>
        <v/>
      </c>
      <c r="M826" s="4">
        <f>IFERROR(MATCH(821,상세표[경계순번],0),"")</f>
        <v/>
      </c>
    </row>
    <row r="827">
      <c r="A827">
        <f>IF($M827="","",INDEX(상세표[사번],$M827)&amp;"")</f>
        <v/>
      </c>
      <c r="B827">
        <f>IF($M827="","",INDEX(상세표[성명],$M827)&amp;"")</f>
        <v/>
      </c>
      <c r="C827">
        <f>IF($M827="","",IF(INDEX(상세표[종료월],$M827)=대상월키,"전월→이번 달","이번 달→익월"))</f>
        <v/>
      </c>
      <c r="D827">
        <f>IF($M827="","",IF(ISNUMBER(INDEX(상세표[시작],$M827)),TEXT(INDEX(상세표[시작],$M827),"yyyy-mm-dd hh:mm"),INDEX(상세표[시작],$M827)&amp;""))</f>
        <v/>
      </c>
      <c r="E827">
        <f>IF($M827="","",IF(ISNUMBER(INDEX(상세표[종료],$M827)),TEXT(INDEX(상세표[종료],$M827),"yyyy-mm-dd hh:mm"),INDEX(상세표[종료],$M827)&amp;""))</f>
        <v/>
      </c>
      <c r="F827">
        <f>IF($M827="","",INDEX(상세표[기록 시간외],$M827))</f>
        <v/>
      </c>
      <c r="G827">
        <f>IF($M827="","",INDEX(상세표[시작월 기관],$M827)&amp;"")</f>
        <v/>
      </c>
      <c r="H827">
        <f>IF($M827="","",INDEX(상세표[종료월 기관],$M827)&amp;"")</f>
        <v/>
      </c>
      <c r="I827">
        <f>IF($M827="","",INDEX(상세표[월경계 판정],$M827)&amp;"")</f>
        <v/>
      </c>
      <c r="J827">
        <f>IF($M827="","",INDEX(상세표[반영월],$M827)&amp;"")</f>
        <v/>
      </c>
      <c r="K827">
        <f>IF($M827="","",INDEX(상세표[반영 기관],$M827)&amp;"")</f>
        <v/>
      </c>
      <c r="L827">
        <f>IF($M827="","",INDEX(상세표[기관 출처],$M827)&amp;"")</f>
        <v/>
      </c>
      <c r="M827" s="4">
        <f>IFERROR(MATCH(822,상세표[경계순번],0),"")</f>
        <v/>
      </c>
    </row>
    <row r="828">
      <c r="A828">
        <f>IF($M828="","",INDEX(상세표[사번],$M828)&amp;"")</f>
        <v/>
      </c>
      <c r="B828">
        <f>IF($M828="","",INDEX(상세표[성명],$M828)&amp;"")</f>
        <v/>
      </c>
      <c r="C828">
        <f>IF($M828="","",IF(INDEX(상세표[종료월],$M828)=대상월키,"전월→이번 달","이번 달→익월"))</f>
        <v/>
      </c>
      <c r="D828">
        <f>IF($M828="","",IF(ISNUMBER(INDEX(상세표[시작],$M828)),TEXT(INDEX(상세표[시작],$M828),"yyyy-mm-dd hh:mm"),INDEX(상세표[시작],$M828)&amp;""))</f>
        <v/>
      </c>
      <c r="E828">
        <f>IF($M828="","",IF(ISNUMBER(INDEX(상세표[종료],$M828)),TEXT(INDEX(상세표[종료],$M828),"yyyy-mm-dd hh:mm"),INDEX(상세표[종료],$M828)&amp;""))</f>
        <v/>
      </c>
      <c r="F828">
        <f>IF($M828="","",INDEX(상세표[기록 시간외],$M828))</f>
        <v/>
      </c>
      <c r="G828">
        <f>IF($M828="","",INDEX(상세표[시작월 기관],$M828)&amp;"")</f>
        <v/>
      </c>
      <c r="H828">
        <f>IF($M828="","",INDEX(상세표[종료월 기관],$M828)&amp;"")</f>
        <v/>
      </c>
      <c r="I828">
        <f>IF($M828="","",INDEX(상세표[월경계 판정],$M828)&amp;"")</f>
        <v/>
      </c>
      <c r="J828">
        <f>IF($M828="","",INDEX(상세표[반영월],$M828)&amp;"")</f>
        <v/>
      </c>
      <c r="K828">
        <f>IF($M828="","",INDEX(상세표[반영 기관],$M828)&amp;"")</f>
        <v/>
      </c>
      <c r="L828">
        <f>IF($M828="","",INDEX(상세표[기관 출처],$M828)&amp;"")</f>
        <v/>
      </c>
      <c r="M828" s="4">
        <f>IFERROR(MATCH(823,상세표[경계순번],0),"")</f>
        <v/>
      </c>
    </row>
    <row r="829">
      <c r="A829">
        <f>IF($M829="","",INDEX(상세표[사번],$M829)&amp;"")</f>
        <v/>
      </c>
      <c r="B829">
        <f>IF($M829="","",INDEX(상세표[성명],$M829)&amp;"")</f>
        <v/>
      </c>
      <c r="C829">
        <f>IF($M829="","",IF(INDEX(상세표[종료월],$M829)=대상월키,"전월→이번 달","이번 달→익월"))</f>
        <v/>
      </c>
      <c r="D829">
        <f>IF($M829="","",IF(ISNUMBER(INDEX(상세표[시작],$M829)),TEXT(INDEX(상세표[시작],$M829),"yyyy-mm-dd hh:mm"),INDEX(상세표[시작],$M829)&amp;""))</f>
        <v/>
      </c>
      <c r="E829">
        <f>IF($M829="","",IF(ISNUMBER(INDEX(상세표[종료],$M829)),TEXT(INDEX(상세표[종료],$M829),"yyyy-mm-dd hh:mm"),INDEX(상세표[종료],$M829)&amp;""))</f>
        <v/>
      </c>
      <c r="F829">
        <f>IF($M829="","",INDEX(상세표[기록 시간외],$M829))</f>
        <v/>
      </c>
      <c r="G829">
        <f>IF($M829="","",INDEX(상세표[시작월 기관],$M829)&amp;"")</f>
        <v/>
      </c>
      <c r="H829">
        <f>IF($M829="","",INDEX(상세표[종료월 기관],$M829)&amp;"")</f>
        <v/>
      </c>
      <c r="I829">
        <f>IF($M829="","",INDEX(상세표[월경계 판정],$M829)&amp;"")</f>
        <v/>
      </c>
      <c r="J829">
        <f>IF($M829="","",INDEX(상세표[반영월],$M829)&amp;"")</f>
        <v/>
      </c>
      <c r="K829">
        <f>IF($M829="","",INDEX(상세표[반영 기관],$M829)&amp;"")</f>
        <v/>
      </c>
      <c r="L829">
        <f>IF($M829="","",INDEX(상세표[기관 출처],$M829)&amp;"")</f>
        <v/>
      </c>
      <c r="M829" s="4">
        <f>IFERROR(MATCH(824,상세표[경계순번],0),"")</f>
        <v/>
      </c>
    </row>
    <row r="830">
      <c r="A830">
        <f>IF($M830="","",INDEX(상세표[사번],$M830)&amp;"")</f>
        <v/>
      </c>
      <c r="B830">
        <f>IF($M830="","",INDEX(상세표[성명],$M830)&amp;"")</f>
        <v/>
      </c>
      <c r="C830">
        <f>IF($M830="","",IF(INDEX(상세표[종료월],$M830)=대상월키,"전월→이번 달","이번 달→익월"))</f>
        <v/>
      </c>
      <c r="D830">
        <f>IF($M830="","",IF(ISNUMBER(INDEX(상세표[시작],$M830)),TEXT(INDEX(상세표[시작],$M830),"yyyy-mm-dd hh:mm"),INDEX(상세표[시작],$M830)&amp;""))</f>
        <v/>
      </c>
      <c r="E830">
        <f>IF($M830="","",IF(ISNUMBER(INDEX(상세표[종료],$M830)),TEXT(INDEX(상세표[종료],$M830),"yyyy-mm-dd hh:mm"),INDEX(상세표[종료],$M830)&amp;""))</f>
        <v/>
      </c>
      <c r="F830">
        <f>IF($M830="","",INDEX(상세표[기록 시간외],$M830))</f>
        <v/>
      </c>
      <c r="G830">
        <f>IF($M830="","",INDEX(상세표[시작월 기관],$M830)&amp;"")</f>
        <v/>
      </c>
      <c r="H830">
        <f>IF($M830="","",INDEX(상세표[종료월 기관],$M830)&amp;"")</f>
        <v/>
      </c>
      <c r="I830">
        <f>IF($M830="","",INDEX(상세표[월경계 판정],$M830)&amp;"")</f>
        <v/>
      </c>
      <c r="J830">
        <f>IF($M830="","",INDEX(상세표[반영월],$M830)&amp;"")</f>
        <v/>
      </c>
      <c r="K830">
        <f>IF($M830="","",INDEX(상세표[반영 기관],$M830)&amp;"")</f>
        <v/>
      </c>
      <c r="L830">
        <f>IF($M830="","",INDEX(상세표[기관 출처],$M830)&amp;"")</f>
        <v/>
      </c>
      <c r="M830" s="4">
        <f>IFERROR(MATCH(825,상세표[경계순번],0),"")</f>
        <v/>
      </c>
    </row>
    <row r="831">
      <c r="A831">
        <f>IF($M831="","",INDEX(상세표[사번],$M831)&amp;"")</f>
        <v/>
      </c>
      <c r="B831">
        <f>IF($M831="","",INDEX(상세표[성명],$M831)&amp;"")</f>
        <v/>
      </c>
      <c r="C831">
        <f>IF($M831="","",IF(INDEX(상세표[종료월],$M831)=대상월키,"전월→이번 달","이번 달→익월"))</f>
        <v/>
      </c>
      <c r="D831">
        <f>IF($M831="","",IF(ISNUMBER(INDEX(상세표[시작],$M831)),TEXT(INDEX(상세표[시작],$M831),"yyyy-mm-dd hh:mm"),INDEX(상세표[시작],$M831)&amp;""))</f>
        <v/>
      </c>
      <c r="E831">
        <f>IF($M831="","",IF(ISNUMBER(INDEX(상세표[종료],$M831)),TEXT(INDEX(상세표[종료],$M831),"yyyy-mm-dd hh:mm"),INDEX(상세표[종료],$M831)&amp;""))</f>
        <v/>
      </c>
      <c r="F831">
        <f>IF($M831="","",INDEX(상세표[기록 시간외],$M831))</f>
        <v/>
      </c>
      <c r="G831">
        <f>IF($M831="","",INDEX(상세표[시작월 기관],$M831)&amp;"")</f>
        <v/>
      </c>
      <c r="H831">
        <f>IF($M831="","",INDEX(상세표[종료월 기관],$M831)&amp;"")</f>
        <v/>
      </c>
      <c r="I831">
        <f>IF($M831="","",INDEX(상세표[월경계 판정],$M831)&amp;"")</f>
        <v/>
      </c>
      <c r="J831">
        <f>IF($M831="","",INDEX(상세표[반영월],$M831)&amp;"")</f>
        <v/>
      </c>
      <c r="K831">
        <f>IF($M831="","",INDEX(상세표[반영 기관],$M831)&amp;"")</f>
        <v/>
      </c>
      <c r="L831">
        <f>IF($M831="","",INDEX(상세표[기관 출처],$M831)&amp;"")</f>
        <v/>
      </c>
      <c r="M831" s="4">
        <f>IFERROR(MATCH(826,상세표[경계순번],0),"")</f>
        <v/>
      </c>
    </row>
    <row r="832">
      <c r="A832">
        <f>IF($M832="","",INDEX(상세표[사번],$M832)&amp;"")</f>
        <v/>
      </c>
      <c r="B832">
        <f>IF($M832="","",INDEX(상세표[성명],$M832)&amp;"")</f>
        <v/>
      </c>
      <c r="C832">
        <f>IF($M832="","",IF(INDEX(상세표[종료월],$M832)=대상월키,"전월→이번 달","이번 달→익월"))</f>
        <v/>
      </c>
      <c r="D832">
        <f>IF($M832="","",IF(ISNUMBER(INDEX(상세표[시작],$M832)),TEXT(INDEX(상세표[시작],$M832),"yyyy-mm-dd hh:mm"),INDEX(상세표[시작],$M832)&amp;""))</f>
        <v/>
      </c>
      <c r="E832">
        <f>IF($M832="","",IF(ISNUMBER(INDEX(상세표[종료],$M832)),TEXT(INDEX(상세표[종료],$M832),"yyyy-mm-dd hh:mm"),INDEX(상세표[종료],$M832)&amp;""))</f>
        <v/>
      </c>
      <c r="F832">
        <f>IF($M832="","",INDEX(상세표[기록 시간외],$M832))</f>
        <v/>
      </c>
      <c r="G832">
        <f>IF($M832="","",INDEX(상세표[시작월 기관],$M832)&amp;"")</f>
        <v/>
      </c>
      <c r="H832">
        <f>IF($M832="","",INDEX(상세표[종료월 기관],$M832)&amp;"")</f>
        <v/>
      </c>
      <c r="I832">
        <f>IF($M832="","",INDEX(상세표[월경계 판정],$M832)&amp;"")</f>
        <v/>
      </c>
      <c r="J832">
        <f>IF($M832="","",INDEX(상세표[반영월],$M832)&amp;"")</f>
        <v/>
      </c>
      <c r="K832">
        <f>IF($M832="","",INDEX(상세표[반영 기관],$M832)&amp;"")</f>
        <v/>
      </c>
      <c r="L832">
        <f>IF($M832="","",INDEX(상세표[기관 출처],$M832)&amp;"")</f>
        <v/>
      </c>
      <c r="M832" s="4">
        <f>IFERROR(MATCH(827,상세표[경계순번],0),"")</f>
        <v/>
      </c>
    </row>
    <row r="833">
      <c r="A833">
        <f>IF($M833="","",INDEX(상세표[사번],$M833)&amp;"")</f>
        <v/>
      </c>
      <c r="B833">
        <f>IF($M833="","",INDEX(상세표[성명],$M833)&amp;"")</f>
        <v/>
      </c>
      <c r="C833">
        <f>IF($M833="","",IF(INDEX(상세표[종료월],$M833)=대상월키,"전월→이번 달","이번 달→익월"))</f>
        <v/>
      </c>
      <c r="D833">
        <f>IF($M833="","",IF(ISNUMBER(INDEX(상세표[시작],$M833)),TEXT(INDEX(상세표[시작],$M833),"yyyy-mm-dd hh:mm"),INDEX(상세표[시작],$M833)&amp;""))</f>
        <v/>
      </c>
      <c r="E833">
        <f>IF($M833="","",IF(ISNUMBER(INDEX(상세표[종료],$M833)),TEXT(INDEX(상세표[종료],$M833),"yyyy-mm-dd hh:mm"),INDEX(상세표[종료],$M833)&amp;""))</f>
        <v/>
      </c>
      <c r="F833">
        <f>IF($M833="","",INDEX(상세표[기록 시간외],$M833))</f>
        <v/>
      </c>
      <c r="G833">
        <f>IF($M833="","",INDEX(상세표[시작월 기관],$M833)&amp;"")</f>
        <v/>
      </c>
      <c r="H833">
        <f>IF($M833="","",INDEX(상세표[종료월 기관],$M833)&amp;"")</f>
        <v/>
      </c>
      <c r="I833">
        <f>IF($M833="","",INDEX(상세표[월경계 판정],$M833)&amp;"")</f>
        <v/>
      </c>
      <c r="J833">
        <f>IF($M833="","",INDEX(상세표[반영월],$M833)&amp;"")</f>
        <v/>
      </c>
      <c r="K833">
        <f>IF($M833="","",INDEX(상세표[반영 기관],$M833)&amp;"")</f>
        <v/>
      </c>
      <c r="L833">
        <f>IF($M833="","",INDEX(상세표[기관 출처],$M833)&amp;"")</f>
        <v/>
      </c>
      <c r="M833" s="4">
        <f>IFERROR(MATCH(828,상세표[경계순번],0),"")</f>
        <v/>
      </c>
    </row>
    <row r="834">
      <c r="A834">
        <f>IF($M834="","",INDEX(상세표[사번],$M834)&amp;"")</f>
        <v/>
      </c>
      <c r="B834">
        <f>IF($M834="","",INDEX(상세표[성명],$M834)&amp;"")</f>
        <v/>
      </c>
      <c r="C834">
        <f>IF($M834="","",IF(INDEX(상세표[종료월],$M834)=대상월키,"전월→이번 달","이번 달→익월"))</f>
        <v/>
      </c>
      <c r="D834">
        <f>IF($M834="","",IF(ISNUMBER(INDEX(상세표[시작],$M834)),TEXT(INDEX(상세표[시작],$M834),"yyyy-mm-dd hh:mm"),INDEX(상세표[시작],$M834)&amp;""))</f>
        <v/>
      </c>
      <c r="E834">
        <f>IF($M834="","",IF(ISNUMBER(INDEX(상세표[종료],$M834)),TEXT(INDEX(상세표[종료],$M834),"yyyy-mm-dd hh:mm"),INDEX(상세표[종료],$M834)&amp;""))</f>
        <v/>
      </c>
      <c r="F834">
        <f>IF($M834="","",INDEX(상세표[기록 시간외],$M834))</f>
        <v/>
      </c>
      <c r="G834">
        <f>IF($M834="","",INDEX(상세표[시작월 기관],$M834)&amp;"")</f>
        <v/>
      </c>
      <c r="H834">
        <f>IF($M834="","",INDEX(상세표[종료월 기관],$M834)&amp;"")</f>
        <v/>
      </c>
      <c r="I834">
        <f>IF($M834="","",INDEX(상세표[월경계 판정],$M834)&amp;"")</f>
        <v/>
      </c>
      <c r="J834">
        <f>IF($M834="","",INDEX(상세표[반영월],$M834)&amp;"")</f>
        <v/>
      </c>
      <c r="K834">
        <f>IF($M834="","",INDEX(상세표[반영 기관],$M834)&amp;"")</f>
        <v/>
      </c>
      <c r="L834">
        <f>IF($M834="","",INDEX(상세표[기관 출처],$M834)&amp;"")</f>
        <v/>
      </c>
      <c r="M834" s="4">
        <f>IFERROR(MATCH(829,상세표[경계순번],0),"")</f>
        <v/>
      </c>
    </row>
    <row r="835">
      <c r="A835">
        <f>IF($M835="","",INDEX(상세표[사번],$M835)&amp;"")</f>
        <v/>
      </c>
      <c r="B835">
        <f>IF($M835="","",INDEX(상세표[성명],$M835)&amp;"")</f>
        <v/>
      </c>
      <c r="C835">
        <f>IF($M835="","",IF(INDEX(상세표[종료월],$M835)=대상월키,"전월→이번 달","이번 달→익월"))</f>
        <v/>
      </c>
      <c r="D835">
        <f>IF($M835="","",IF(ISNUMBER(INDEX(상세표[시작],$M835)),TEXT(INDEX(상세표[시작],$M835),"yyyy-mm-dd hh:mm"),INDEX(상세표[시작],$M835)&amp;""))</f>
        <v/>
      </c>
      <c r="E835">
        <f>IF($M835="","",IF(ISNUMBER(INDEX(상세표[종료],$M835)),TEXT(INDEX(상세표[종료],$M835),"yyyy-mm-dd hh:mm"),INDEX(상세표[종료],$M835)&amp;""))</f>
        <v/>
      </c>
      <c r="F835">
        <f>IF($M835="","",INDEX(상세표[기록 시간외],$M835))</f>
        <v/>
      </c>
      <c r="G835">
        <f>IF($M835="","",INDEX(상세표[시작월 기관],$M835)&amp;"")</f>
        <v/>
      </c>
      <c r="H835">
        <f>IF($M835="","",INDEX(상세표[종료월 기관],$M835)&amp;"")</f>
        <v/>
      </c>
      <c r="I835">
        <f>IF($M835="","",INDEX(상세표[월경계 판정],$M835)&amp;"")</f>
        <v/>
      </c>
      <c r="J835">
        <f>IF($M835="","",INDEX(상세표[반영월],$M835)&amp;"")</f>
        <v/>
      </c>
      <c r="K835">
        <f>IF($M835="","",INDEX(상세표[반영 기관],$M835)&amp;"")</f>
        <v/>
      </c>
      <c r="L835">
        <f>IF($M835="","",INDEX(상세표[기관 출처],$M835)&amp;"")</f>
        <v/>
      </c>
      <c r="M835" s="4">
        <f>IFERROR(MATCH(830,상세표[경계순번],0),"")</f>
        <v/>
      </c>
    </row>
    <row r="836">
      <c r="A836">
        <f>IF($M836="","",INDEX(상세표[사번],$M836)&amp;"")</f>
        <v/>
      </c>
      <c r="B836">
        <f>IF($M836="","",INDEX(상세표[성명],$M836)&amp;"")</f>
        <v/>
      </c>
      <c r="C836">
        <f>IF($M836="","",IF(INDEX(상세표[종료월],$M836)=대상월키,"전월→이번 달","이번 달→익월"))</f>
        <v/>
      </c>
      <c r="D836">
        <f>IF($M836="","",IF(ISNUMBER(INDEX(상세표[시작],$M836)),TEXT(INDEX(상세표[시작],$M836),"yyyy-mm-dd hh:mm"),INDEX(상세표[시작],$M836)&amp;""))</f>
        <v/>
      </c>
      <c r="E836">
        <f>IF($M836="","",IF(ISNUMBER(INDEX(상세표[종료],$M836)),TEXT(INDEX(상세표[종료],$M836),"yyyy-mm-dd hh:mm"),INDEX(상세표[종료],$M836)&amp;""))</f>
        <v/>
      </c>
      <c r="F836">
        <f>IF($M836="","",INDEX(상세표[기록 시간외],$M836))</f>
        <v/>
      </c>
      <c r="G836">
        <f>IF($M836="","",INDEX(상세표[시작월 기관],$M836)&amp;"")</f>
        <v/>
      </c>
      <c r="H836">
        <f>IF($M836="","",INDEX(상세표[종료월 기관],$M836)&amp;"")</f>
        <v/>
      </c>
      <c r="I836">
        <f>IF($M836="","",INDEX(상세표[월경계 판정],$M836)&amp;"")</f>
        <v/>
      </c>
      <c r="J836">
        <f>IF($M836="","",INDEX(상세표[반영월],$M836)&amp;"")</f>
        <v/>
      </c>
      <c r="K836">
        <f>IF($M836="","",INDEX(상세표[반영 기관],$M836)&amp;"")</f>
        <v/>
      </c>
      <c r="L836">
        <f>IF($M836="","",INDEX(상세표[기관 출처],$M836)&amp;"")</f>
        <v/>
      </c>
      <c r="M836" s="4">
        <f>IFERROR(MATCH(831,상세표[경계순번],0),"")</f>
        <v/>
      </c>
    </row>
    <row r="837">
      <c r="A837">
        <f>IF($M837="","",INDEX(상세표[사번],$M837)&amp;"")</f>
        <v/>
      </c>
      <c r="B837">
        <f>IF($M837="","",INDEX(상세표[성명],$M837)&amp;"")</f>
        <v/>
      </c>
      <c r="C837">
        <f>IF($M837="","",IF(INDEX(상세표[종료월],$M837)=대상월키,"전월→이번 달","이번 달→익월"))</f>
        <v/>
      </c>
      <c r="D837">
        <f>IF($M837="","",IF(ISNUMBER(INDEX(상세표[시작],$M837)),TEXT(INDEX(상세표[시작],$M837),"yyyy-mm-dd hh:mm"),INDEX(상세표[시작],$M837)&amp;""))</f>
        <v/>
      </c>
      <c r="E837">
        <f>IF($M837="","",IF(ISNUMBER(INDEX(상세표[종료],$M837)),TEXT(INDEX(상세표[종료],$M837),"yyyy-mm-dd hh:mm"),INDEX(상세표[종료],$M837)&amp;""))</f>
        <v/>
      </c>
      <c r="F837">
        <f>IF($M837="","",INDEX(상세표[기록 시간외],$M837))</f>
        <v/>
      </c>
      <c r="G837">
        <f>IF($M837="","",INDEX(상세표[시작월 기관],$M837)&amp;"")</f>
        <v/>
      </c>
      <c r="H837">
        <f>IF($M837="","",INDEX(상세표[종료월 기관],$M837)&amp;"")</f>
        <v/>
      </c>
      <c r="I837">
        <f>IF($M837="","",INDEX(상세표[월경계 판정],$M837)&amp;"")</f>
        <v/>
      </c>
      <c r="J837">
        <f>IF($M837="","",INDEX(상세표[반영월],$M837)&amp;"")</f>
        <v/>
      </c>
      <c r="K837">
        <f>IF($M837="","",INDEX(상세표[반영 기관],$M837)&amp;"")</f>
        <v/>
      </c>
      <c r="L837">
        <f>IF($M837="","",INDEX(상세표[기관 출처],$M837)&amp;"")</f>
        <v/>
      </c>
      <c r="M837" s="4">
        <f>IFERROR(MATCH(832,상세표[경계순번],0),"")</f>
        <v/>
      </c>
    </row>
    <row r="838">
      <c r="A838">
        <f>IF($M838="","",INDEX(상세표[사번],$M838)&amp;"")</f>
        <v/>
      </c>
      <c r="B838">
        <f>IF($M838="","",INDEX(상세표[성명],$M838)&amp;"")</f>
        <v/>
      </c>
      <c r="C838">
        <f>IF($M838="","",IF(INDEX(상세표[종료월],$M838)=대상월키,"전월→이번 달","이번 달→익월"))</f>
        <v/>
      </c>
      <c r="D838">
        <f>IF($M838="","",IF(ISNUMBER(INDEX(상세표[시작],$M838)),TEXT(INDEX(상세표[시작],$M838),"yyyy-mm-dd hh:mm"),INDEX(상세표[시작],$M838)&amp;""))</f>
        <v/>
      </c>
      <c r="E838">
        <f>IF($M838="","",IF(ISNUMBER(INDEX(상세표[종료],$M838)),TEXT(INDEX(상세표[종료],$M838),"yyyy-mm-dd hh:mm"),INDEX(상세표[종료],$M838)&amp;""))</f>
        <v/>
      </c>
      <c r="F838">
        <f>IF($M838="","",INDEX(상세표[기록 시간외],$M838))</f>
        <v/>
      </c>
      <c r="G838">
        <f>IF($M838="","",INDEX(상세표[시작월 기관],$M838)&amp;"")</f>
        <v/>
      </c>
      <c r="H838">
        <f>IF($M838="","",INDEX(상세표[종료월 기관],$M838)&amp;"")</f>
        <v/>
      </c>
      <c r="I838">
        <f>IF($M838="","",INDEX(상세표[월경계 판정],$M838)&amp;"")</f>
        <v/>
      </c>
      <c r="J838">
        <f>IF($M838="","",INDEX(상세표[반영월],$M838)&amp;"")</f>
        <v/>
      </c>
      <c r="K838">
        <f>IF($M838="","",INDEX(상세표[반영 기관],$M838)&amp;"")</f>
        <v/>
      </c>
      <c r="L838">
        <f>IF($M838="","",INDEX(상세표[기관 출처],$M838)&amp;"")</f>
        <v/>
      </c>
      <c r="M838" s="4">
        <f>IFERROR(MATCH(833,상세표[경계순번],0),"")</f>
        <v/>
      </c>
    </row>
    <row r="839">
      <c r="A839">
        <f>IF($M839="","",INDEX(상세표[사번],$M839)&amp;"")</f>
        <v/>
      </c>
      <c r="B839">
        <f>IF($M839="","",INDEX(상세표[성명],$M839)&amp;"")</f>
        <v/>
      </c>
      <c r="C839">
        <f>IF($M839="","",IF(INDEX(상세표[종료월],$M839)=대상월키,"전월→이번 달","이번 달→익월"))</f>
        <v/>
      </c>
      <c r="D839">
        <f>IF($M839="","",IF(ISNUMBER(INDEX(상세표[시작],$M839)),TEXT(INDEX(상세표[시작],$M839),"yyyy-mm-dd hh:mm"),INDEX(상세표[시작],$M839)&amp;""))</f>
        <v/>
      </c>
      <c r="E839">
        <f>IF($M839="","",IF(ISNUMBER(INDEX(상세표[종료],$M839)),TEXT(INDEX(상세표[종료],$M839),"yyyy-mm-dd hh:mm"),INDEX(상세표[종료],$M839)&amp;""))</f>
        <v/>
      </c>
      <c r="F839">
        <f>IF($M839="","",INDEX(상세표[기록 시간외],$M839))</f>
        <v/>
      </c>
      <c r="G839">
        <f>IF($M839="","",INDEX(상세표[시작월 기관],$M839)&amp;"")</f>
        <v/>
      </c>
      <c r="H839">
        <f>IF($M839="","",INDEX(상세표[종료월 기관],$M839)&amp;"")</f>
        <v/>
      </c>
      <c r="I839">
        <f>IF($M839="","",INDEX(상세표[월경계 판정],$M839)&amp;"")</f>
        <v/>
      </c>
      <c r="J839">
        <f>IF($M839="","",INDEX(상세표[반영월],$M839)&amp;"")</f>
        <v/>
      </c>
      <c r="K839">
        <f>IF($M839="","",INDEX(상세표[반영 기관],$M839)&amp;"")</f>
        <v/>
      </c>
      <c r="L839">
        <f>IF($M839="","",INDEX(상세표[기관 출처],$M839)&amp;"")</f>
        <v/>
      </c>
      <c r="M839" s="4">
        <f>IFERROR(MATCH(834,상세표[경계순번],0),"")</f>
        <v/>
      </c>
    </row>
    <row r="840">
      <c r="A840">
        <f>IF($M840="","",INDEX(상세표[사번],$M840)&amp;"")</f>
        <v/>
      </c>
      <c r="B840">
        <f>IF($M840="","",INDEX(상세표[성명],$M840)&amp;"")</f>
        <v/>
      </c>
      <c r="C840">
        <f>IF($M840="","",IF(INDEX(상세표[종료월],$M840)=대상월키,"전월→이번 달","이번 달→익월"))</f>
        <v/>
      </c>
      <c r="D840">
        <f>IF($M840="","",IF(ISNUMBER(INDEX(상세표[시작],$M840)),TEXT(INDEX(상세표[시작],$M840),"yyyy-mm-dd hh:mm"),INDEX(상세표[시작],$M840)&amp;""))</f>
        <v/>
      </c>
      <c r="E840">
        <f>IF($M840="","",IF(ISNUMBER(INDEX(상세표[종료],$M840)),TEXT(INDEX(상세표[종료],$M840),"yyyy-mm-dd hh:mm"),INDEX(상세표[종료],$M840)&amp;""))</f>
        <v/>
      </c>
      <c r="F840">
        <f>IF($M840="","",INDEX(상세표[기록 시간외],$M840))</f>
        <v/>
      </c>
      <c r="G840">
        <f>IF($M840="","",INDEX(상세표[시작월 기관],$M840)&amp;"")</f>
        <v/>
      </c>
      <c r="H840">
        <f>IF($M840="","",INDEX(상세표[종료월 기관],$M840)&amp;"")</f>
        <v/>
      </c>
      <c r="I840">
        <f>IF($M840="","",INDEX(상세표[월경계 판정],$M840)&amp;"")</f>
        <v/>
      </c>
      <c r="J840">
        <f>IF($M840="","",INDEX(상세표[반영월],$M840)&amp;"")</f>
        <v/>
      </c>
      <c r="K840">
        <f>IF($M840="","",INDEX(상세표[반영 기관],$M840)&amp;"")</f>
        <v/>
      </c>
      <c r="L840">
        <f>IF($M840="","",INDEX(상세표[기관 출처],$M840)&amp;"")</f>
        <v/>
      </c>
      <c r="M840" s="4">
        <f>IFERROR(MATCH(835,상세표[경계순번],0),"")</f>
        <v/>
      </c>
    </row>
    <row r="841">
      <c r="A841">
        <f>IF($M841="","",INDEX(상세표[사번],$M841)&amp;"")</f>
        <v/>
      </c>
      <c r="B841">
        <f>IF($M841="","",INDEX(상세표[성명],$M841)&amp;"")</f>
        <v/>
      </c>
      <c r="C841">
        <f>IF($M841="","",IF(INDEX(상세표[종료월],$M841)=대상월키,"전월→이번 달","이번 달→익월"))</f>
        <v/>
      </c>
      <c r="D841">
        <f>IF($M841="","",IF(ISNUMBER(INDEX(상세표[시작],$M841)),TEXT(INDEX(상세표[시작],$M841),"yyyy-mm-dd hh:mm"),INDEX(상세표[시작],$M841)&amp;""))</f>
        <v/>
      </c>
      <c r="E841">
        <f>IF($M841="","",IF(ISNUMBER(INDEX(상세표[종료],$M841)),TEXT(INDEX(상세표[종료],$M841),"yyyy-mm-dd hh:mm"),INDEX(상세표[종료],$M841)&amp;""))</f>
        <v/>
      </c>
      <c r="F841">
        <f>IF($M841="","",INDEX(상세표[기록 시간외],$M841))</f>
        <v/>
      </c>
      <c r="G841">
        <f>IF($M841="","",INDEX(상세표[시작월 기관],$M841)&amp;"")</f>
        <v/>
      </c>
      <c r="H841">
        <f>IF($M841="","",INDEX(상세표[종료월 기관],$M841)&amp;"")</f>
        <v/>
      </c>
      <c r="I841">
        <f>IF($M841="","",INDEX(상세표[월경계 판정],$M841)&amp;"")</f>
        <v/>
      </c>
      <c r="J841">
        <f>IF($M841="","",INDEX(상세표[반영월],$M841)&amp;"")</f>
        <v/>
      </c>
      <c r="K841">
        <f>IF($M841="","",INDEX(상세표[반영 기관],$M841)&amp;"")</f>
        <v/>
      </c>
      <c r="L841">
        <f>IF($M841="","",INDEX(상세표[기관 출처],$M841)&amp;"")</f>
        <v/>
      </c>
      <c r="M841" s="4">
        <f>IFERROR(MATCH(836,상세표[경계순번],0),"")</f>
        <v/>
      </c>
    </row>
    <row r="842">
      <c r="A842">
        <f>IF($M842="","",INDEX(상세표[사번],$M842)&amp;"")</f>
        <v/>
      </c>
      <c r="B842">
        <f>IF($M842="","",INDEX(상세표[성명],$M842)&amp;"")</f>
        <v/>
      </c>
      <c r="C842">
        <f>IF($M842="","",IF(INDEX(상세표[종료월],$M842)=대상월키,"전월→이번 달","이번 달→익월"))</f>
        <v/>
      </c>
      <c r="D842">
        <f>IF($M842="","",IF(ISNUMBER(INDEX(상세표[시작],$M842)),TEXT(INDEX(상세표[시작],$M842),"yyyy-mm-dd hh:mm"),INDEX(상세표[시작],$M842)&amp;""))</f>
        <v/>
      </c>
      <c r="E842">
        <f>IF($M842="","",IF(ISNUMBER(INDEX(상세표[종료],$M842)),TEXT(INDEX(상세표[종료],$M842),"yyyy-mm-dd hh:mm"),INDEX(상세표[종료],$M842)&amp;""))</f>
        <v/>
      </c>
      <c r="F842">
        <f>IF($M842="","",INDEX(상세표[기록 시간외],$M842))</f>
        <v/>
      </c>
      <c r="G842">
        <f>IF($M842="","",INDEX(상세표[시작월 기관],$M842)&amp;"")</f>
        <v/>
      </c>
      <c r="H842">
        <f>IF($M842="","",INDEX(상세표[종료월 기관],$M842)&amp;"")</f>
        <v/>
      </c>
      <c r="I842">
        <f>IF($M842="","",INDEX(상세표[월경계 판정],$M842)&amp;"")</f>
        <v/>
      </c>
      <c r="J842">
        <f>IF($M842="","",INDEX(상세표[반영월],$M842)&amp;"")</f>
        <v/>
      </c>
      <c r="K842">
        <f>IF($M842="","",INDEX(상세표[반영 기관],$M842)&amp;"")</f>
        <v/>
      </c>
      <c r="L842">
        <f>IF($M842="","",INDEX(상세표[기관 출처],$M842)&amp;"")</f>
        <v/>
      </c>
      <c r="M842" s="4">
        <f>IFERROR(MATCH(837,상세표[경계순번],0),"")</f>
        <v/>
      </c>
    </row>
    <row r="843">
      <c r="A843">
        <f>IF($M843="","",INDEX(상세표[사번],$M843)&amp;"")</f>
        <v/>
      </c>
      <c r="B843">
        <f>IF($M843="","",INDEX(상세표[성명],$M843)&amp;"")</f>
        <v/>
      </c>
      <c r="C843">
        <f>IF($M843="","",IF(INDEX(상세표[종료월],$M843)=대상월키,"전월→이번 달","이번 달→익월"))</f>
        <v/>
      </c>
      <c r="D843">
        <f>IF($M843="","",IF(ISNUMBER(INDEX(상세표[시작],$M843)),TEXT(INDEX(상세표[시작],$M843),"yyyy-mm-dd hh:mm"),INDEX(상세표[시작],$M843)&amp;""))</f>
        <v/>
      </c>
      <c r="E843">
        <f>IF($M843="","",IF(ISNUMBER(INDEX(상세표[종료],$M843)),TEXT(INDEX(상세표[종료],$M843),"yyyy-mm-dd hh:mm"),INDEX(상세표[종료],$M843)&amp;""))</f>
        <v/>
      </c>
      <c r="F843">
        <f>IF($M843="","",INDEX(상세표[기록 시간외],$M843))</f>
        <v/>
      </c>
      <c r="G843">
        <f>IF($M843="","",INDEX(상세표[시작월 기관],$M843)&amp;"")</f>
        <v/>
      </c>
      <c r="H843">
        <f>IF($M843="","",INDEX(상세표[종료월 기관],$M843)&amp;"")</f>
        <v/>
      </c>
      <c r="I843">
        <f>IF($M843="","",INDEX(상세표[월경계 판정],$M843)&amp;"")</f>
        <v/>
      </c>
      <c r="J843">
        <f>IF($M843="","",INDEX(상세표[반영월],$M843)&amp;"")</f>
        <v/>
      </c>
      <c r="K843">
        <f>IF($M843="","",INDEX(상세표[반영 기관],$M843)&amp;"")</f>
        <v/>
      </c>
      <c r="L843">
        <f>IF($M843="","",INDEX(상세표[기관 출처],$M843)&amp;"")</f>
        <v/>
      </c>
      <c r="M843" s="4">
        <f>IFERROR(MATCH(838,상세표[경계순번],0),"")</f>
        <v/>
      </c>
    </row>
    <row r="844">
      <c r="A844">
        <f>IF($M844="","",INDEX(상세표[사번],$M844)&amp;"")</f>
        <v/>
      </c>
      <c r="B844">
        <f>IF($M844="","",INDEX(상세표[성명],$M844)&amp;"")</f>
        <v/>
      </c>
      <c r="C844">
        <f>IF($M844="","",IF(INDEX(상세표[종료월],$M844)=대상월키,"전월→이번 달","이번 달→익월"))</f>
        <v/>
      </c>
      <c r="D844">
        <f>IF($M844="","",IF(ISNUMBER(INDEX(상세표[시작],$M844)),TEXT(INDEX(상세표[시작],$M844),"yyyy-mm-dd hh:mm"),INDEX(상세표[시작],$M844)&amp;""))</f>
        <v/>
      </c>
      <c r="E844">
        <f>IF($M844="","",IF(ISNUMBER(INDEX(상세표[종료],$M844)),TEXT(INDEX(상세표[종료],$M844),"yyyy-mm-dd hh:mm"),INDEX(상세표[종료],$M844)&amp;""))</f>
        <v/>
      </c>
      <c r="F844">
        <f>IF($M844="","",INDEX(상세표[기록 시간외],$M844))</f>
        <v/>
      </c>
      <c r="G844">
        <f>IF($M844="","",INDEX(상세표[시작월 기관],$M844)&amp;"")</f>
        <v/>
      </c>
      <c r="H844">
        <f>IF($M844="","",INDEX(상세표[종료월 기관],$M844)&amp;"")</f>
        <v/>
      </c>
      <c r="I844">
        <f>IF($M844="","",INDEX(상세표[월경계 판정],$M844)&amp;"")</f>
        <v/>
      </c>
      <c r="J844">
        <f>IF($M844="","",INDEX(상세표[반영월],$M844)&amp;"")</f>
        <v/>
      </c>
      <c r="K844">
        <f>IF($M844="","",INDEX(상세표[반영 기관],$M844)&amp;"")</f>
        <v/>
      </c>
      <c r="L844">
        <f>IF($M844="","",INDEX(상세표[기관 출처],$M844)&amp;"")</f>
        <v/>
      </c>
      <c r="M844" s="4">
        <f>IFERROR(MATCH(839,상세표[경계순번],0),"")</f>
        <v/>
      </c>
    </row>
    <row r="845">
      <c r="A845">
        <f>IF($M845="","",INDEX(상세표[사번],$M845)&amp;"")</f>
        <v/>
      </c>
      <c r="B845">
        <f>IF($M845="","",INDEX(상세표[성명],$M845)&amp;"")</f>
        <v/>
      </c>
      <c r="C845">
        <f>IF($M845="","",IF(INDEX(상세표[종료월],$M845)=대상월키,"전월→이번 달","이번 달→익월"))</f>
        <v/>
      </c>
      <c r="D845">
        <f>IF($M845="","",IF(ISNUMBER(INDEX(상세표[시작],$M845)),TEXT(INDEX(상세표[시작],$M845),"yyyy-mm-dd hh:mm"),INDEX(상세표[시작],$M845)&amp;""))</f>
        <v/>
      </c>
      <c r="E845">
        <f>IF($M845="","",IF(ISNUMBER(INDEX(상세표[종료],$M845)),TEXT(INDEX(상세표[종료],$M845),"yyyy-mm-dd hh:mm"),INDEX(상세표[종료],$M845)&amp;""))</f>
        <v/>
      </c>
      <c r="F845">
        <f>IF($M845="","",INDEX(상세표[기록 시간외],$M845))</f>
        <v/>
      </c>
      <c r="G845">
        <f>IF($M845="","",INDEX(상세표[시작월 기관],$M845)&amp;"")</f>
        <v/>
      </c>
      <c r="H845">
        <f>IF($M845="","",INDEX(상세표[종료월 기관],$M845)&amp;"")</f>
        <v/>
      </c>
      <c r="I845">
        <f>IF($M845="","",INDEX(상세표[월경계 판정],$M845)&amp;"")</f>
        <v/>
      </c>
      <c r="J845">
        <f>IF($M845="","",INDEX(상세표[반영월],$M845)&amp;"")</f>
        <v/>
      </c>
      <c r="K845">
        <f>IF($M845="","",INDEX(상세표[반영 기관],$M845)&amp;"")</f>
        <v/>
      </c>
      <c r="L845">
        <f>IF($M845="","",INDEX(상세표[기관 출처],$M845)&amp;"")</f>
        <v/>
      </c>
      <c r="M845" s="4">
        <f>IFERROR(MATCH(840,상세표[경계순번],0),"")</f>
        <v/>
      </c>
    </row>
    <row r="846">
      <c r="A846">
        <f>IF($M846="","",INDEX(상세표[사번],$M846)&amp;"")</f>
        <v/>
      </c>
      <c r="B846">
        <f>IF($M846="","",INDEX(상세표[성명],$M846)&amp;"")</f>
        <v/>
      </c>
      <c r="C846">
        <f>IF($M846="","",IF(INDEX(상세표[종료월],$M846)=대상월키,"전월→이번 달","이번 달→익월"))</f>
        <v/>
      </c>
      <c r="D846">
        <f>IF($M846="","",IF(ISNUMBER(INDEX(상세표[시작],$M846)),TEXT(INDEX(상세표[시작],$M846),"yyyy-mm-dd hh:mm"),INDEX(상세표[시작],$M846)&amp;""))</f>
        <v/>
      </c>
      <c r="E846">
        <f>IF($M846="","",IF(ISNUMBER(INDEX(상세표[종료],$M846)),TEXT(INDEX(상세표[종료],$M846),"yyyy-mm-dd hh:mm"),INDEX(상세표[종료],$M846)&amp;""))</f>
        <v/>
      </c>
      <c r="F846">
        <f>IF($M846="","",INDEX(상세표[기록 시간외],$M846))</f>
        <v/>
      </c>
      <c r="G846">
        <f>IF($M846="","",INDEX(상세표[시작월 기관],$M846)&amp;"")</f>
        <v/>
      </c>
      <c r="H846">
        <f>IF($M846="","",INDEX(상세표[종료월 기관],$M846)&amp;"")</f>
        <v/>
      </c>
      <c r="I846">
        <f>IF($M846="","",INDEX(상세표[월경계 판정],$M846)&amp;"")</f>
        <v/>
      </c>
      <c r="J846">
        <f>IF($M846="","",INDEX(상세표[반영월],$M846)&amp;"")</f>
        <v/>
      </c>
      <c r="K846">
        <f>IF($M846="","",INDEX(상세표[반영 기관],$M846)&amp;"")</f>
        <v/>
      </c>
      <c r="L846">
        <f>IF($M846="","",INDEX(상세표[기관 출처],$M846)&amp;"")</f>
        <v/>
      </c>
      <c r="M846" s="4">
        <f>IFERROR(MATCH(841,상세표[경계순번],0),"")</f>
        <v/>
      </c>
    </row>
    <row r="847">
      <c r="A847">
        <f>IF($M847="","",INDEX(상세표[사번],$M847)&amp;"")</f>
        <v/>
      </c>
      <c r="B847">
        <f>IF($M847="","",INDEX(상세표[성명],$M847)&amp;"")</f>
        <v/>
      </c>
      <c r="C847">
        <f>IF($M847="","",IF(INDEX(상세표[종료월],$M847)=대상월키,"전월→이번 달","이번 달→익월"))</f>
        <v/>
      </c>
      <c r="D847">
        <f>IF($M847="","",IF(ISNUMBER(INDEX(상세표[시작],$M847)),TEXT(INDEX(상세표[시작],$M847),"yyyy-mm-dd hh:mm"),INDEX(상세표[시작],$M847)&amp;""))</f>
        <v/>
      </c>
      <c r="E847">
        <f>IF($M847="","",IF(ISNUMBER(INDEX(상세표[종료],$M847)),TEXT(INDEX(상세표[종료],$M847),"yyyy-mm-dd hh:mm"),INDEX(상세표[종료],$M847)&amp;""))</f>
        <v/>
      </c>
      <c r="F847">
        <f>IF($M847="","",INDEX(상세표[기록 시간외],$M847))</f>
        <v/>
      </c>
      <c r="G847">
        <f>IF($M847="","",INDEX(상세표[시작월 기관],$M847)&amp;"")</f>
        <v/>
      </c>
      <c r="H847">
        <f>IF($M847="","",INDEX(상세표[종료월 기관],$M847)&amp;"")</f>
        <v/>
      </c>
      <c r="I847">
        <f>IF($M847="","",INDEX(상세표[월경계 판정],$M847)&amp;"")</f>
        <v/>
      </c>
      <c r="J847">
        <f>IF($M847="","",INDEX(상세표[반영월],$M847)&amp;"")</f>
        <v/>
      </c>
      <c r="K847">
        <f>IF($M847="","",INDEX(상세표[반영 기관],$M847)&amp;"")</f>
        <v/>
      </c>
      <c r="L847">
        <f>IF($M847="","",INDEX(상세표[기관 출처],$M847)&amp;"")</f>
        <v/>
      </c>
      <c r="M847" s="4">
        <f>IFERROR(MATCH(842,상세표[경계순번],0),"")</f>
        <v/>
      </c>
    </row>
    <row r="848">
      <c r="A848">
        <f>IF($M848="","",INDEX(상세표[사번],$M848)&amp;"")</f>
        <v/>
      </c>
      <c r="B848">
        <f>IF($M848="","",INDEX(상세표[성명],$M848)&amp;"")</f>
        <v/>
      </c>
      <c r="C848">
        <f>IF($M848="","",IF(INDEX(상세표[종료월],$M848)=대상월키,"전월→이번 달","이번 달→익월"))</f>
        <v/>
      </c>
      <c r="D848">
        <f>IF($M848="","",IF(ISNUMBER(INDEX(상세표[시작],$M848)),TEXT(INDEX(상세표[시작],$M848),"yyyy-mm-dd hh:mm"),INDEX(상세표[시작],$M848)&amp;""))</f>
        <v/>
      </c>
      <c r="E848">
        <f>IF($M848="","",IF(ISNUMBER(INDEX(상세표[종료],$M848)),TEXT(INDEX(상세표[종료],$M848),"yyyy-mm-dd hh:mm"),INDEX(상세표[종료],$M848)&amp;""))</f>
        <v/>
      </c>
      <c r="F848">
        <f>IF($M848="","",INDEX(상세표[기록 시간외],$M848))</f>
        <v/>
      </c>
      <c r="G848">
        <f>IF($M848="","",INDEX(상세표[시작월 기관],$M848)&amp;"")</f>
        <v/>
      </c>
      <c r="H848">
        <f>IF($M848="","",INDEX(상세표[종료월 기관],$M848)&amp;"")</f>
        <v/>
      </c>
      <c r="I848">
        <f>IF($M848="","",INDEX(상세표[월경계 판정],$M848)&amp;"")</f>
        <v/>
      </c>
      <c r="J848">
        <f>IF($M848="","",INDEX(상세표[반영월],$M848)&amp;"")</f>
        <v/>
      </c>
      <c r="K848">
        <f>IF($M848="","",INDEX(상세표[반영 기관],$M848)&amp;"")</f>
        <v/>
      </c>
      <c r="L848">
        <f>IF($M848="","",INDEX(상세표[기관 출처],$M848)&amp;"")</f>
        <v/>
      </c>
      <c r="M848" s="4">
        <f>IFERROR(MATCH(843,상세표[경계순번],0),"")</f>
        <v/>
      </c>
    </row>
    <row r="849">
      <c r="A849">
        <f>IF($M849="","",INDEX(상세표[사번],$M849)&amp;"")</f>
        <v/>
      </c>
      <c r="B849">
        <f>IF($M849="","",INDEX(상세표[성명],$M849)&amp;"")</f>
        <v/>
      </c>
      <c r="C849">
        <f>IF($M849="","",IF(INDEX(상세표[종료월],$M849)=대상월키,"전월→이번 달","이번 달→익월"))</f>
        <v/>
      </c>
      <c r="D849">
        <f>IF($M849="","",IF(ISNUMBER(INDEX(상세표[시작],$M849)),TEXT(INDEX(상세표[시작],$M849),"yyyy-mm-dd hh:mm"),INDEX(상세표[시작],$M849)&amp;""))</f>
        <v/>
      </c>
      <c r="E849">
        <f>IF($M849="","",IF(ISNUMBER(INDEX(상세표[종료],$M849)),TEXT(INDEX(상세표[종료],$M849),"yyyy-mm-dd hh:mm"),INDEX(상세표[종료],$M849)&amp;""))</f>
        <v/>
      </c>
      <c r="F849">
        <f>IF($M849="","",INDEX(상세표[기록 시간외],$M849))</f>
        <v/>
      </c>
      <c r="G849">
        <f>IF($M849="","",INDEX(상세표[시작월 기관],$M849)&amp;"")</f>
        <v/>
      </c>
      <c r="H849">
        <f>IF($M849="","",INDEX(상세표[종료월 기관],$M849)&amp;"")</f>
        <v/>
      </c>
      <c r="I849">
        <f>IF($M849="","",INDEX(상세표[월경계 판정],$M849)&amp;"")</f>
        <v/>
      </c>
      <c r="J849">
        <f>IF($M849="","",INDEX(상세표[반영월],$M849)&amp;"")</f>
        <v/>
      </c>
      <c r="K849">
        <f>IF($M849="","",INDEX(상세표[반영 기관],$M849)&amp;"")</f>
        <v/>
      </c>
      <c r="L849">
        <f>IF($M849="","",INDEX(상세표[기관 출처],$M849)&amp;"")</f>
        <v/>
      </c>
      <c r="M849" s="4">
        <f>IFERROR(MATCH(844,상세표[경계순번],0),"")</f>
        <v/>
      </c>
    </row>
    <row r="850">
      <c r="A850">
        <f>IF($M850="","",INDEX(상세표[사번],$M850)&amp;"")</f>
        <v/>
      </c>
      <c r="B850">
        <f>IF($M850="","",INDEX(상세표[성명],$M850)&amp;"")</f>
        <v/>
      </c>
      <c r="C850">
        <f>IF($M850="","",IF(INDEX(상세표[종료월],$M850)=대상월키,"전월→이번 달","이번 달→익월"))</f>
        <v/>
      </c>
      <c r="D850">
        <f>IF($M850="","",IF(ISNUMBER(INDEX(상세표[시작],$M850)),TEXT(INDEX(상세표[시작],$M850),"yyyy-mm-dd hh:mm"),INDEX(상세표[시작],$M850)&amp;""))</f>
        <v/>
      </c>
      <c r="E850">
        <f>IF($M850="","",IF(ISNUMBER(INDEX(상세표[종료],$M850)),TEXT(INDEX(상세표[종료],$M850),"yyyy-mm-dd hh:mm"),INDEX(상세표[종료],$M850)&amp;""))</f>
        <v/>
      </c>
      <c r="F850">
        <f>IF($M850="","",INDEX(상세표[기록 시간외],$M850))</f>
        <v/>
      </c>
      <c r="G850">
        <f>IF($M850="","",INDEX(상세표[시작월 기관],$M850)&amp;"")</f>
        <v/>
      </c>
      <c r="H850">
        <f>IF($M850="","",INDEX(상세표[종료월 기관],$M850)&amp;"")</f>
        <v/>
      </c>
      <c r="I850">
        <f>IF($M850="","",INDEX(상세표[월경계 판정],$M850)&amp;"")</f>
        <v/>
      </c>
      <c r="J850">
        <f>IF($M850="","",INDEX(상세표[반영월],$M850)&amp;"")</f>
        <v/>
      </c>
      <c r="K850">
        <f>IF($M850="","",INDEX(상세표[반영 기관],$M850)&amp;"")</f>
        <v/>
      </c>
      <c r="L850">
        <f>IF($M850="","",INDEX(상세표[기관 출처],$M850)&amp;"")</f>
        <v/>
      </c>
      <c r="M850" s="4">
        <f>IFERROR(MATCH(845,상세표[경계순번],0),"")</f>
        <v/>
      </c>
    </row>
    <row r="851">
      <c r="A851">
        <f>IF($M851="","",INDEX(상세표[사번],$M851)&amp;"")</f>
        <v/>
      </c>
      <c r="B851">
        <f>IF($M851="","",INDEX(상세표[성명],$M851)&amp;"")</f>
        <v/>
      </c>
      <c r="C851">
        <f>IF($M851="","",IF(INDEX(상세표[종료월],$M851)=대상월키,"전월→이번 달","이번 달→익월"))</f>
        <v/>
      </c>
      <c r="D851">
        <f>IF($M851="","",IF(ISNUMBER(INDEX(상세표[시작],$M851)),TEXT(INDEX(상세표[시작],$M851),"yyyy-mm-dd hh:mm"),INDEX(상세표[시작],$M851)&amp;""))</f>
        <v/>
      </c>
      <c r="E851">
        <f>IF($M851="","",IF(ISNUMBER(INDEX(상세표[종료],$M851)),TEXT(INDEX(상세표[종료],$M851),"yyyy-mm-dd hh:mm"),INDEX(상세표[종료],$M851)&amp;""))</f>
        <v/>
      </c>
      <c r="F851">
        <f>IF($M851="","",INDEX(상세표[기록 시간외],$M851))</f>
        <v/>
      </c>
      <c r="G851">
        <f>IF($M851="","",INDEX(상세표[시작월 기관],$M851)&amp;"")</f>
        <v/>
      </c>
      <c r="H851">
        <f>IF($M851="","",INDEX(상세표[종료월 기관],$M851)&amp;"")</f>
        <v/>
      </c>
      <c r="I851">
        <f>IF($M851="","",INDEX(상세표[월경계 판정],$M851)&amp;"")</f>
        <v/>
      </c>
      <c r="J851">
        <f>IF($M851="","",INDEX(상세표[반영월],$M851)&amp;"")</f>
        <v/>
      </c>
      <c r="K851">
        <f>IF($M851="","",INDEX(상세표[반영 기관],$M851)&amp;"")</f>
        <v/>
      </c>
      <c r="L851">
        <f>IF($M851="","",INDEX(상세표[기관 출처],$M851)&amp;"")</f>
        <v/>
      </c>
      <c r="M851" s="4">
        <f>IFERROR(MATCH(846,상세표[경계순번],0),"")</f>
        <v/>
      </c>
    </row>
    <row r="852">
      <c r="A852">
        <f>IF($M852="","",INDEX(상세표[사번],$M852)&amp;"")</f>
        <v/>
      </c>
      <c r="B852">
        <f>IF($M852="","",INDEX(상세표[성명],$M852)&amp;"")</f>
        <v/>
      </c>
      <c r="C852">
        <f>IF($M852="","",IF(INDEX(상세표[종료월],$M852)=대상월키,"전월→이번 달","이번 달→익월"))</f>
        <v/>
      </c>
      <c r="D852">
        <f>IF($M852="","",IF(ISNUMBER(INDEX(상세표[시작],$M852)),TEXT(INDEX(상세표[시작],$M852),"yyyy-mm-dd hh:mm"),INDEX(상세표[시작],$M852)&amp;""))</f>
        <v/>
      </c>
      <c r="E852">
        <f>IF($M852="","",IF(ISNUMBER(INDEX(상세표[종료],$M852)),TEXT(INDEX(상세표[종료],$M852),"yyyy-mm-dd hh:mm"),INDEX(상세표[종료],$M852)&amp;""))</f>
        <v/>
      </c>
      <c r="F852">
        <f>IF($M852="","",INDEX(상세표[기록 시간외],$M852))</f>
        <v/>
      </c>
      <c r="G852">
        <f>IF($M852="","",INDEX(상세표[시작월 기관],$M852)&amp;"")</f>
        <v/>
      </c>
      <c r="H852">
        <f>IF($M852="","",INDEX(상세표[종료월 기관],$M852)&amp;"")</f>
        <v/>
      </c>
      <c r="I852">
        <f>IF($M852="","",INDEX(상세표[월경계 판정],$M852)&amp;"")</f>
        <v/>
      </c>
      <c r="J852">
        <f>IF($M852="","",INDEX(상세표[반영월],$M852)&amp;"")</f>
        <v/>
      </c>
      <c r="K852">
        <f>IF($M852="","",INDEX(상세표[반영 기관],$M852)&amp;"")</f>
        <v/>
      </c>
      <c r="L852">
        <f>IF($M852="","",INDEX(상세표[기관 출처],$M852)&amp;"")</f>
        <v/>
      </c>
      <c r="M852" s="4">
        <f>IFERROR(MATCH(847,상세표[경계순번],0),"")</f>
        <v/>
      </c>
    </row>
    <row r="853">
      <c r="A853">
        <f>IF($M853="","",INDEX(상세표[사번],$M853)&amp;"")</f>
        <v/>
      </c>
      <c r="B853">
        <f>IF($M853="","",INDEX(상세표[성명],$M853)&amp;"")</f>
        <v/>
      </c>
      <c r="C853">
        <f>IF($M853="","",IF(INDEX(상세표[종료월],$M853)=대상월키,"전월→이번 달","이번 달→익월"))</f>
        <v/>
      </c>
      <c r="D853">
        <f>IF($M853="","",IF(ISNUMBER(INDEX(상세표[시작],$M853)),TEXT(INDEX(상세표[시작],$M853),"yyyy-mm-dd hh:mm"),INDEX(상세표[시작],$M853)&amp;""))</f>
        <v/>
      </c>
      <c r="E853">
        <f>IF($M853="","",IF(ISNUMBER(INDEX(상세표[종료],$M853)),TEXT(INDEX(상세표[종료],$M853),"yyyy-mm-dd hh:mm"),INDEX(상세표[종료],$M853)&amp;""))</f>
        <v/>
      </c>
      <c r="F853">
        <f>IF($M853="","",INDEX(상세표[기록 시간외],$M853))</f>
        <v/>
      </c>
      <c r="G853">
        <f>IF($M853="","",INDEX(상세표[시작월 기관],$M853)&amp;"")</f>
        <v/>
      </c>
      <c r="H853">
        <f>IF($M853="","",INDEX(상세표[종료월 기관],$M853)&amp;"")</f>
        <v/>
      </c>
      <c r="I853">
        <f>IF($M853="","",INDEX(상세표[월경계 판정],$M853)&amp;"")</f>
        <v/>
      </c>
      <c r="J853">
        <f>IF($M853="","",INDEX(상세표[반영월],$M853)&amp;"")</f>
        <v/>
      </c>
      <c r="K853">
        <f>IF($M853="","",INDEX(상세표[반영 기관],$M853)&amp;"")</f>
        <v/>
      </c>
      <c r="L853">
        <f>IF($M853="","",INDEX(상세표[기관 출처],$M853)&amp;"")</f>
        <v/>
      </c>
      <c r="M853" s="4">
        <f>IFERROR(MATCH(848,상세표[경계순번],0),"")</f>
        <v/>
      </c>
    </row>
    <row r="854">
      <c r="A854">
        <f>IF($M854="","",INDEX(상세표[사번],$M854)&amp;"")</f>
        <v/>
      </c>
      <c r="B854">
        <f>IF($M854="","",INDEX(상세표[성명],$M854)&amp;"")</f>
        <v/>
      </c>
      <c r="C854">
        <f>IF($M854="","",IF(INDEX(상세표[종료월],$M854)=대상월키,"전월→이번 달","이번 달→익월"))</f>
        <v/>
      </c>
      <c r="D854">
        <f>IF($M854="","",IF(ISNUMBER(INDEX(상세표[시작],$M854)),TEXT(INDEX(상세표[시작],$M854),"yyyy-mm-dd hh:mm"),INDEX(상세표[시작],$M854)&amp;""))</f>
        <v/>
      </c>
      <c r="E854">
        <f>IF($M854="","",IF(ISNUMBER(INDEX(상세표[종료],$M854)),TEXT(INDEX(상세표[종료],$M854),"yyyy-mm-dd hh:mm"),INDEX(상세표[종료],$M854)&amp;""))</f>
        <v/>
      </c>
      <c r="F854">
        <f>IF($M854="","",INDEX(상세표[기록 시간외],$M854))</f>
        <v/>
      </c>
      <c r="G854">
        <f>IF($M854="","",INDEX(상세표[시작월 기관],$M854)&amp;"")</f>
        <v/>
      </c>
      <c r="H854">
        <f>IF($M854="","",INDEX(상세표[종료월 기관],$M854)&amp;"")</f>
        <v/>
      </c>
      <c r="I854">
        <f>IF($M854="","",INDEX(상세표[월경계 판정],$M854)&amp;"")</f>
        <v/>
      </c>
      <c r="J854">
        <f>IF($M854="","",INDEX(상세표[반영월],$M854)&amp;"")</f>
        <v/>
      </c>
      <c r="K854">
        <f>IF($M854="","",INDEX(상세표[반영 기관],$M854)&amp;"")</f>
        <v/>
      </c>
      <c r="L854">
        <f>IF($M854="","",INDEX(상세표[기관 출처],$M854)&amp;"")</f>
        <v/>
      </c>
      <c r="M854" s="4">
        <f>IFERROR(MATCH(849,상세표[경계순번],0),"")</f>
        <v/>
      </c>
    </row>
    <row r="855">
      <c r="A855">
        <f>IF($M855="","",INDEX(상세표[사번],$M855)&amp;"")</f>
        <v/>
      </c>
      <c r="B855">
        <f>IF($M855="","",INDEX(상세표[성명],$M855)&amp;"")</f>
        <v/>
      </c>
      <c r="C855">
        <f>IF($M855="","",IF(INDEX(상세표[종료월],$M855)=대상월키,"전월→이번 달","이번 달→익월"))</f>
        <v/>
      </c>
      <c r="D855">
        <f>IF($M855="","",IF(ISNUMBER(INDEX(상세표[시작],$M855)),TEXT(INDEX(상세표[시작],$M855),"yyyy-mm-dd hh:mm"),INDEX(상세표[시작],$M855)&amp;""))</f>
        <v/>
      </c>
      <c r="E855">
        <f>IF($M855="","",IF(ISNUMBER(INDEX(상세표[종료],$M855)),TEXT(INDEX(상세표[종료],$M855),"yyyy-mm-dd hh:mm"),INDEX(상세표[종료],$M855)&amp;""))</f>
        <v/>
      </c>
      <c r="F855">
        <f>IF($M855="","",INDEX(상세표[기록 시간외],$M855))</f>
        <v/>
      </c>
      <c r="G855">
        <f>IF($M855="","",INDEX(상세표[시작월 기관],$M855)&amp;"")</f>
        <v/>
      </c>
      <c r="H855">
        <f>IF($M855="","",INDEX(상세표[종료월 기관],$M855)&amp;"")</f>
        <v/>
      </c>
      <c r="I855">
        <f>IF($M855="","",INDEX(상세표[월경계 판정],$M855)&amp;"")</f>
        <v/>
      </c>
      <c r="J855">
        <f>IF($M855="","",INDEX(상세표[반영월],$M855)&amp;"")</f>
        <v/>
      </c>
      <c r="K855">
        <f>IF($M855="","",INDEX(상세표[반영 기관],$M855)&amp;"")</f>
        <v/>
      </c>
      <c r="L855">
        <f>IF($M855="","",INDEX(상세표[기관 출처],$M855)&amp;"")</f>
        <v/>
      </c>
      <c r="M855" s="4">
        <f>IFERROR(MATCH(850,상세표[경계순번],0),"")</f>
        <v/>
      </c>
    </row>
    <row r="856">
      <c r="A856">
        <f>IF($M856="","",INDEX(상세표[사번],$M856)&amp;"")</f>
        <v/>
      </c>
      <c r="B856">
        <f>IF($M856="","",INDEX(상세표[성명],$M856)&amp;"")</f>
        <v/>
      </c>
      <c r="C856">
        <f>IF($M856="","",IF(INDEX(상세표[종료월],$M856)=대상월키,"전월→이번 달","이번 달→익월"))</f>
        <v/>
      </c>
      <c r="D856">
        <f>IF($M856="","",IF(ISNUMBER(INDEX(상세표[시작],$M856)),TEXT(INDEX(상세표[시작],$M856),"yyyy-mm-dd hh:mm"),INDEX(상세표[시작],$M856)&amp;""))</f>
        <v/>
      </c>
      <c r="E856">
        <f>IF($M856="","",IF(ISNUMBER(INDEX(상세표[종료],$M856)),TEXT(INDEX(상세표[종료],$M856),"yyyy-mm-dd hh:mm"),INDEX(상세표[종료],$M856)&amp;""))</f>
        <v/>
      </c>
      <c r="F856">
        <f>IF($M856="","",INDEX(상세표[기록 시간외],$M856))</f>
        <v/>
      </c>
      <c r="G856">
        <f>IF($M856="","",INDEX(상세표[시작월 기관],$M856)&amp;"")</f>
        <v/>
      </c>
      <c r="H856">
        <f>IF($M856="","",INDEX(상세표[종료월 기관],$M856)&amp;"")</f>
        <v/>
      </c>
      <c r="I856">
        <f>IF($M856="","",INDEX(상세표[월경계 판정],$M856)&amp;"")</f>
        <v/>
      </c>
      <c r="J856">
        <f>IF($M856="","",INDEX(상세표[반영월],$M856)&amp;"")</f>
        <v/>
      </c>
      <c r="K856">
        <f>IF($M856="","",INDEX(상세표[반영 기관],$M856)&amp;"")</f>
        <v/>
      </c>
      <c r="L856">
        <f>IF($M856="","",INDEX(상세표[기관 출처],$M856)&amp;"")</f>
        <v/>
      </c>
      <c r="M856" s="4">
        <f>IFERROR(MATCH(851,상세표[경계순번],0),"")</f>
        <v/>
      </c>
    </row>
    <row r="857">
      <c r="A857">
        <f>IF($M857="","",INDEX(상세표[사번],$M857)&amp;"")</f>
        <v/>
      </c>
      <c r="B857">
        <f>IF($M857="","",INDEX(상세표[성명],$M857)&amp;"")</f>
        <v/>
      </c>
      <c r="C857">
        <f>IF($M857="","",IF(INDEX(상세표[종료월],$M857)=대상월키,"전월→이번 달","이번 달→익월"))</f>
        <v/>
      </c>
      <c r="D857">
        <f>IF($M857="","",IF(ISNUMBER(INDEX(상세표[시작],$M857)),TEXT(INDEX(상세표[시작],$M857),"yyyy-mm-dd hh:mm"),INDEX(상세표[시작],$M857)&amp;""))</f>
        <v/>
      </c>
      <c r="E857">
        <f>IF($M857="","",IF(ISNUMBER(INDEX(상세표[종료],$M857)),TEXT(INDEX(상세표[종료],$M857),"yyyy-mm-dd hh:mm"),INDEX(상세표[종료],$M857)&amp;""))</f>
        <v/>
      </c>
      <c r="F857">
        <f>IF($M857="","",INDEX(상세표[기록 시간외],$M857))</f>
        <v/>
      </c>
      <c r="G857">
        <f>IF($M857="","",INDEX(상세표[시작월 기관],$M857)&amp;"")</f>
        <v/>
      </c>
      <c r="H857">
        <f>IF($M857="","",INDEX(상세표[종료월 기관],$M857)&amp;"")</f>
        <v/>
      </c>
      <c r="I857">
        <f>IF($M857="","",INDEX(상세표[월경계 판정],$M857)&amp;"")</f>
        <v/>
      </c>
      <c r="J857">
        <f>IF($M857="","",INDEX(상세표[반영월],$M857)&amp;"")</f>
        <v/>
      </c>
      <c r="K857">
        <f>IF($M857="","",INDEX(상세표[반영 기관],$M857)&amp;"")</f>
        <v/>
      </c>
      <c r="L857">
        <f>IF($M857="","",INDEX(상세표[기관 출처],$M857)&amp;"")</f>
        <v/>
      </c>
      <c r="M857" s="4">
        <f>IFERROR(MATCH(852,상세표[경계순번],0),"")</f>
        <v/>
      </c>
    </row>
    <row r="858">
      <c r="A858">
        <f>IF($M858="","",INDEX(상세표[사번],$M858)&amp;"")</f>
        <v/>
      </c>
      <c r="B858">
        <f>IF($M858="","",INDEX(상세표[성명],$M858)&amp;"")</f>
        <v/>
      </c>
      <c r="C858">
        <f>IF($M858="","",IF(INDEX(상세표[종료월],$M858)=대상월키,"전월→이번 달","이번 달→익월"))</f>
        <v/>
      </c>
      <c r="D858">
        <f>IF($M858="","",IF(ISNUMBER(INDEX(상세표[시작],$M858)),TEXT(INDEX(상세표[시작],$M858),"yyyy-mm-dd hh:mm"),INDEX(상세표[시작],$M858)&amp;""))</f>
        <v/>
      </c>
      <c r="E858">
        <f>IF($M858="","",IF(ISNUMBER(INDEX(상세표[종료],$M858)),TEXT(INDEX(상세표[종료],$M858),"yyyy-mm-dd hh:mm"),INDEX(상세표[종료],$M858)&amp;""))</f>
        <v/>
      </c>
      <c r="F858">
        <f>IF($M858="","",INDEX(상세표[기록 시간외],$M858))</f>
        <v/>
      </c>
      <c r="G858">
        <f>IF($M858="","",INDEX(상세표[시작월 기관],$M858)&amp;"")</f>
        <v/>
      </c>
      <c r="H858">
        <f>IF($M858="","",INDEX(상세표[종료월 기관],$M858)&amp;"")</f>
        <v/>
      </c>
      <c r="I858">
        <f>IF($M858="","",INDEX(상세표[월경계 판정],$M858)&amp;"")</f>
        <v/>
      </c>
      <c r="J858">
        <f>IF($M858="","",INDEX(상세표[반영월],$M858)&amp;"")</f>
        <v/>
      </c>
      <c r="K858">
        <f>IF($M858="","",INDEX(상세표[반영 기관],$M858)&amp;"")</f>
        <v/>
      </c>
      <c r="L858">
        <f>IF($M858="","",INDEX(상세표[기관 출처],$M858)&amp;"")</f>
        <v/>
      </c>
      <c r="M858" s="4">
        <f>IFERROR(MATCH(853,상세표[경계순번],0),"")</f>
        <v/>
      </c>
    </row>
    <row r="859">
      <c r="A859">
        <f>IF($M859="","",INDEX(상세표[사번],$M859)&amp;"")</f>
        <v/>
      </c>
      <c r="B859">
        <f>IF($M859="","",INDEX(상세표[성명],$M859)&amp;"")</f>
        <v/>
      </c>
      <c r="C859">
        <f>IF($M859="","",IF(INDEX(상세표[종료월],$M859)=대상월키,"전월→이번 달","이번 달→익월"))</f>
        <v/>
      </c>
      <c r="D859">
        <f>IF($M859="","",IF(ISNUMBER(INDEX(상세표[시작],$M859)),TEXT(INDEX(상세표[시작],$M859),"yyyy-mm-dd hh:mm"),INDEX(상세표[시작],$M859)&amp;""))</f>
        <v/>
      </c>
      <c r="E859">
        <f>IF($M859="","",IF(ISNUMBER(INDEX(상세표[종료],$M859)),TEXT(INDEX(상세표[종료],$M859),"yyyy-mm-dd hh:mm"),INDEX(상세표[종료],$M859)&amp;""))</f>
        <v/>
      </c>
      <c r="F859">
        <f>IF($M859="","",INDEX(상세표[기록 시간외],$M859))</f>
        <v/>
      </c>
      <c r="G859">
        <f>IF($M859="","",INDEX(상세표[시작월 기관],$M859)&amp;"")</f>
        <v/>
      </c>
      <c r="H859">
        <f>IF($M859="","",INDEX(상세표[종료월 기관],$M859)&amp;"")</f>
        <v/>
      </c>
      <c r="I859">
        <f>IF($M859="","",INDEX(상세표[월경계 판정],$M859)&amp;"")</f>
        <v/>
      </c>
      <c r="J859">
        <f>IF($M859="","",INDEX(상세표[반영월],$M859)&amp;"")</f>
        <v/>
      </c>
      <c r="K859">
        <f>IF($M859="","",INDEX(상세표[반영 기관],$M859)&amp;"")</f>
        <v/>
      </c>
      <c r="L859">
        <f>IF($M859="","",INDEX(상세표[기관 출처],$M859)&amp;"")</f>
        <v/>
      </c>
      <c r="M859" s="4">
        <f>IFERROR(MATCH(854,상세표[경계순번],0),"")</f>
        <v/>
      </c>
    </row>
    <row r="860">
      <c r="A860">
        <f>IF($M860="","",INDEX(상세표[사번],$M860)&amp;"")</f>
        <v/>
      </c>
      <c r="B860">
        <f>IF($M860="","",INDEX(상세표[성명],$M860)&amp;"")</f>
        <v/>
      </c>
      <c r="C860">
        <f>IF($M860="","",IF(INDEX(상세표[종료월],$M860)=대상월키,"전월→이번 달","이번 달→익월"))</f>
        <v/>
      </c>
      <c r="D860">
        <f>IF($M860="","",IF(ISNUMBER(INDEX(상세표[시작],$M860)),TEXT(INDEX(상세표[시작],$M860),"yyyy-mm-dd hh:mm"),INDEX(상세표[시작],$M860)&amp;""))</f>
        <v/>
      </c>
      <c r="E860">
        <f>IF($M860="","",IF(ISNUMBER(INDEX(상세표[종료],$M860)),TEXT(INDEX(상세표[종료],$M860),"yyyy-mm-dd hh:mm"),INDEX(상세표[종료],$M860)&amp;""))</f>
        <v/>
      </c>
      <c r="F860">
        <f>IF($M860="","",INDEX(상세표[기록 시간외],$M860))</f>
        <v/>
      </c>
      <c r="G860">
        <f>IF($M860="","",INDEX(상세표[시작월 기관],$M860)&amp;"")</f>
        <v/>
      </c>
      <c r="H860">
        <f>IF($M860="","",INDEX(상세표[종료월 기관],$M860)&amp;"")</f>
        <v/>
      </c>
      <c r="I860">
        <f>IF($M860="","",INDEX(상세표[월경계 판정],$M860)&amp;"")</f>
        <v/>
      </c>
      <c r="J860">
        <f>IF($M860="","",INDEX(상세표[반영월],$M860)&amp;"")</f>
        <v/>
      </c>
      <c r="K860">
        <f>IF($M860="","",INDEX(상세표[반영 기관],$M860)&amp;"")</f>
        <v/>
      </c>
      <c r="L860">
        <f>IF($M860="","",INDEX(상세표[기관 출처],$M860)&amp;"")</f>
        <v/>
      </c>
      <c r="M860" s="4">
        <f>IFERROR(MATCH(855,상세표[경계순번],0),"")</f>
        <v/>
      </c>
    </row>
    <row r="861">
      <c r="A861">
        <f>IF($M861="","",INDEX(상세표[사번],$M861)&amp;"")</f>
        <v/>
      </c>
      <c r="B861">
        <f>IF($M861="","",INDEX(상세표[성명],$M861)&amp;"")</f>
        <v/>
      </c>
      <c r="C861">
        <f>IF($M861="","",IF(INDEX(상세표[종료월],$M861)=대상월키,"전월→이번 달","이번 달→익월"))</f>
        <v/>
      </c>
      <c r="D861">
        <f>IF($M861="","",IF(ISNUMBER(INDEX(상세표[시작],$M861)),TEXT(INDEX(상세표[시작],$M861),"yyyy-mm-dd hh:mm"),INDEX(상세표[시작],$M861)&amp;""))</f>
        <v/>
      </c>
      <c r="E861">
        <f>IF($M861="","",IF(ISNUMBER(INDEX(상세표[종료],$M861)),TEXT(INDEX(상세표[종료],$M861),"yyyy-mm-dd hh:mm"),INDEX(상세표[종료],$M861)&amp;""))</f>
        <v/>
      </c>
      <c r="F861">
        <f>IF($M861="","",INDEX(상세표[기록 시간외],$M861))</f>
        <v/>
      </c>
      <c r="G861">
        <f>IF($M861="","",INDEX(상세표[시작월 기관],$M861)&amp;"")</f>
        <v/>
      </c>
      <c r="H861">
        <f>IF($M861="","",INDEX(상세표[종료월 기관],$M861)&amp;"")</f>
        <v/>
      </c>
      <c r="I861">
        <f>IF($M861="","",INDEX(상세표[월경계 판정],$M861)&amp;"")</f>
        <v/>
      </c>
      <c r="J861">
        <f>IF($M861="","",INDEX(상세표[반영월],$M861)&amp;"")</f>
        <v/>
      </c>
      <c r="K861">
        <f>IF($M861="","",INDEX(상세표[반영 기관],$M861)&amp;"")</f>
        <v/>
      </c>
      <c r="L861">
        <f>IF($M861="","",INDEX(상세표[기관 출처],$M861)&amp;"")</f>
        <v/>
      </c>
      <c r="M861" s="4">
        <f>IFERROR(MATCH(856,상세표[경계순번],0),"")</f>
        <v/>
      </c>
    </row>
    <row r="862">
      <c r="A862">
        <f>IF($M862="","",INDEX(상세표[사번],$M862)&amp;"")</f>
        <v/>
      </c>
      <c r="B862">
        <f>IF($M862="","",INDEX(상세표[성명],$M862)&amp;"")</f>
        <v/>
      </c>
      <c r="C862">
        <f>IF($M862="","",IF(INDEX(상세표[종료월],$M862)=대상월키,"전월→이번 달","이번 달→익월"))</f>
        <v/>
      </c>
      <c r="D862">
        <f>IF($M862="","",IF(ISNUMBER(INDEX(상세표[시작],$M862)),TEXT(INDEX(상세표[시작],$M862),"yyyy-mm-dd hh:mm"),INDEX(상세표[시작],$M862)&amp;""))</f>
        <v/>
      </c>
      <c r="E862">
        <f>IF($M862="","",IF(ISNUMBER(INDEX(상세표[종료],$M862)),TEXT(INDEX(상세표[종료],$M862),"yyyy-mm-dd hh:mm"),INDEX(상세표[종료],$M862)&amp;""))</f>
        <v/>
      </c>
      <c r="F862">
        <f>IF($M862="","",INDEX(상세표[기록 시간외],$M862))</f>
        <v/>
      </c>
      <c r="G862">
        <f>IF($M862="","",INDEX(상세표[시작월 기관],$M862)&amp;"")</f>
        <v/>
      </c>
      <c r="H862">
        <f>IF($M862="","",INDEX(상세표[종료월 기관],$M862)&amp;"")</f>
        <v/>
      </c>
      <c r="I862">
        <f>IF($M862="","",INDEX(상세표[월경계 판정],$M862)&amp;"")</f>
        <v/>
      </c>
      <c r="J862">
        <f>IF($M862="","",INDEX(상세표[반영월],$M862)&amp;"")</f>
        <v/>
      </c>
      <c r="K862">
        <f>IF($M862="","",INDEX(상세표[반영 기관],$M862)&amp;"")</f>
        <v/>
      </c>
      <c r="L862">
        <f>IF($M862="","",INDEX(상세표[기관 출처],$M862)&amp;"")</f>
        <v/>
      </c>
      <c r="M862" s="4">
        <f>IFERROR(MATCH(857,상세표[경계순번],0),"")</f>
        <v/>
      </c>
    </row>
    <row r="863">
      <c r="A863">
        <f>IF($M863="","",INDEX(상세표[사번],$M863)&amp;"")</f>
        <v/>
      </c>
      <c r="B863">
        <f>IF($M863="","",INDEX(상세표[성명],$M863)&amp;"")</f>
        <v/>
      </c>
      <c r="C863">
        <f>IF($M863="","",IF(INDEX(상세표[종료월],$M863)=대상월키,"전월→이번 달","이번 달→익월"))</f>
        <v/>
      </c>
      <c r="D863">
        <f>IF($M863="","",IF(ISNUMBER(INDEX(상세표[시작],$M863)),TEXT(INDEX(상세표[시작],$M863),"yyyy-mm-dd hh:mm"),INDEX(상세표[시작],$M863)&amp;""))</f>
        <v/>
      </c>
      <c r="E863">
        <f>IF($M863="","",IF(ISNUMBER(INDEX(상세표[종료],$M863)),TEXT(INDEX(상세표[종료],$M863),"yyyy-mm-dd hh:mm"),INDEX(상세표[종료],$M863)&amp;""))</f>
        <v/>
      </c>
      <c r="F863">
        <f>IF($M863="","",INDEX(상세표[기록 시간외],$M863))</f>
        <v/>
      </c>
      <c r="G863">
        <f>IF($M863="","",INDEX(상세표[시작월 기관],$M863)&amp;"")</f>
        <v/>
      </c>
      <c r="H863">
        <f>IF($M863="","",INDEX(상세표[종료월 기관],$M863)&amp;"")</f>
        <v/>
      </c>
      <c r="I863">
        <f>IF($M863="","",INDEX(상세표[월경계 판정],$M863)&amp;"")</f>
        <v/>
      </c>
      <c r="J863">
        <f>IF($M863="","",INDEX(상세표[반영월],$M863)&amp;"")</f>
        <v/>
      </c>
      <c r="K863">
        <f>IF($M863="","",INDEX(상세표[반영 기관],$M863)&amp;"")</f>
        <v/>
      </c>
      <c r="L863">
        <f>IF($M863="","",INDEX(상세표[기관 출처],$M863)&amp;"")</f>
        <v/>
      </c>
      <c r="M863" s="4">
        <f>IFERROR(MATCH(858,상세표[경계순번],0),"")</f>
        <v/>
      </c>
    </row>
    <row r="864">
      <c r="A864">
        <f>IF($M864="","",INDEX(상세표[사번],$M864)&amp;"")</f>
        <v/>
      </c>
      <c r="B864">
        <f>IF($M864="","",INDEX(상세표[성명],$M864)&amp;"")</f>
        <v/>
      </c>
      <c r="C864">
        <f>IF($M864="","",IF(INDEX(상세표[종료월],$M864)=대상월키,"전월→이번 달","이번 달→익월"))</f>
        <v/>
      </c>
      <c r="D864">
        <f>IF($M864="","",IF(ISNUMBER(INDEX(상세표[시작],$M864)),TEXT(INDEX(상세표[시작],$M864),"yyyy-mm-dd hh:mm"),INDEX(상세표[시작],$M864)&amp;""))</f>
        <v/>
      </c>
      <c r="E864">
        <f>IF($M864="","",IF(ISNUMBER(INDEX(상세표[종료],$M864)),TEXT(INDEX(상세표[종료],$M864),"yyyy-mm-dd hh:mm"),INDEX(상세표[종료],$M864)&amp;""))</f>
        <v/>
      </c>
      <c r="F864">
        <f>IF($M864="","",INDEX(상세표[기록 시간외],$M864))</f>
        <v/>
      </c>
      <c r="G864">
        <f>IF($M864="","",INDEX(상세표[시작월 기관],$M864)&amp;"")</f>
        <v/>
      </c>
      <c r="H864">
        <f>IF($M864="","",INDEX(상세표[종료월 기관],$M864)&amp;"")</f>
        <v/>
      </c>
      <c r="I864">
        <f>IF($M864="","",INDEX(상세표[월경계 판정],$M864)&amp;"")</f>
        <v/>
      </c>
      <c r="J864">
        <f>IF($M864="","",INDEX(상세표[반영월],$M864)&amp;"")</f>
        <v/>
      </c>
      <c r="K864">
        <f>IF($M864="","",INDEX(상세표[반영 기관],$M864)&amp;"")</f>
        <v/>
      </c>
      <c r="L864">
        <f>IF($M864="","",INDEX(상세표[기관 출처],$M864)&amp;"")</f>
        <v/>
      </c>
      <c r="M864" s="4">
        <f>IFERROR(MATCH(859,상세표[경계순번],0),"")</f>
        <v/>
      </c>
    </row>
    <row r="865">
      <c r="A865">
        <f>IF($M865="","",INDEX(상세표[사번],$M865)&amp;"")</f>
        <v/>
      </c>
      <c r="B865">
        <f>IF($M865="","",INDEX(상세표[성명],$M865)&amp;"")</f>
        <v/>
      </c>
      <c r="C865">
        <f>IF($M865="","",IF(INDEX(상세표[종료월],$M865)=대상월키,"전월→이번 달","이번 달→익월"))</f>
        <v/>
      </c>
      <c r="D865">
        <f>IF($M865="","",IF(ISNUMBER(INDEX(상세표[시작],$M865)),TEXT(INDEX(상세표[시작],$M865),"yyyy-mm-dd hh:mm"),INDEX(상세표[시작],$M865)&amp;""))</f>
        <v/>
      </c>
      <c r="E865">
        <f>IF($M865="","",IF(ISNUMBER(INDEX(상세표[종료],$M865)),TEXT(INDEX(상세표[종료],$M865),"yyyy-mm-dd hh:mm"),INDEX(상세표[종료],$M865)&amp;""))</f>
        <v/>
      </c>
      <c r="F865">
        <f>IF($M865="","",INDEX(상세표[기록 시간외],$M865))</f>
        <v/>
      </c>
      <c r="G865">
        <f>IF($M865="","",INDEX(상세표[시작월 기관],$M865)&amp;"")</f>
        <v/>
      </c>
      <c r="H865">
        <f>IF($M865="","",INDEX(상세표[종료월 기관],$M865)&amp;"")</f>
        <v/>
      </c>
      <c r="I865">
        <f>IF($M865="","",INDEX(상세표[월경계 판정],$M865)&amp;"")</f>
        <v/>
      </c>
      <c r="J865">
        <f>IF($M865="","",INDEX(상세표[반영월],$M865)&amp;"")</f>
        <v/>
      </c>
      <c r="K865">
        <f>IF($M865="","",INDEX(상세표[반영 기관],$M865)&amp;"")</f>
        <v/>
      </c>
      <c r="L865">
        <f>IF($M865="","",INDEX(상세표[기관 출처],$M865)&amp;"")</f>
        <v/>
      </c>
      <c r="M865" s="4">
        <f>IFERROR(MATCH(860,상세표[경계순번],0),"")</f>
        <v/>
      </c>
    </row>
    <row r="866">
      <c r="A866">
        <f>IF($M866="","",INDEX(상세표[사번],$M866)&amp;"")</f>
        <v/>
      </c>
      <c r="B866">
        <f>IF($M866="","",INDEX(상세표[성명],$M866)&amp;"")</f>
        <v/>
      </c>
      <c r="C866">
        <f>IF($M866="","",IF(INDEX(상세표[종료월],$M866)=대상월키,"전월→이번 달","이번 달→익월"))</f>
        <v/>
      </c>
      <c r="D866">
        <f>IF($M866="","",IF(ISNUMBER(INDEX(상세표[시작],$M866)),TEXT(INDEX(상세표[시작],$M866),"yyyy-mm-dd hh:mm"),INDEX(상세표[시작],$M866)&amp;""))</f>
        <v/>
      </c>
      <c r="E866">
        <f>IF($M866="","",IF(ISNUMBER(INDEX(상세표[종료],$M866)),TEXT(INDEX(상세표[종료],$M866),"yyyy-mm-dd hh:mm"),INDEX(상세표[종료],$M866)&amp;""))</f>
        <v/>
      </c>
      <c r="F866">
        <f>IF($M866="","",INDEX(상세표[기록 시간외],$M866))</f>
        <v/>
      </c>
      <c r="G866">
        <f>IF($M866="","",INDEX(상세표[시작월 기관],$M866)&amp;"")</f>
        <v/>
      </c>
      <c r="H866">
        <f>IF($M866="","",INDEX(상세표[종료월 기관],$M866)&amp;"")</f>
        <v/>
      </c>
      <c r="I866">
        <f>IF($M866="","",INDEX(상세표[월경계 판정],$M866)&amp;"")</f>
        <v/>
      </c>
      <c r="J866">
        <f>IF($M866="","",INDEX(상세표[반영월],$M866)&amp;"")</f>
        <v/>
      </c>
      <c r="K866">
        <f>IF($M866="","",INDEX(상세표[반영 기관],$M866)&amp;"")</f>
        <v/>
      </c>
      <c r="L866">
        <f>IF($M866="","",INDEX(상세표[기관 출처],$M866)&amp;"")</f>
        <v/>
      </c>
      <c r="M866" s="4">
        <f>IFERROR(MATCH(861,상세표[경계순번],0),"")</f>
        <v/>
      </c>
    </row>
    <row r="867">
      <c r="A867">
        <f>IF($M867="","",INDEX(상세표[사번],$M867)&amp;"")</f>
        <v/>
      </c>
      <c r="B867">
        <f>IF($M867="","",INDEX(상세표[성명],$M867)&amp;"")</f>
        <v/>
      </c>
      <c r="C867">
        <f>IF($M867="","",IF(INDEX(상세표[종료월],$M867)=대상월키,"전월→이번 달","이번 달→익월"))</f>
        <v/>
      </c>
      <c r="D867">
        <f>IF($M867="","",IF(ISNUMBER(INDEX(상세표[시작],$M867)),TEXT(INDEX(상세표[시작],$M867),"yyyy-mm-dd hh:mm"),INDEX(상세표[시작],$M867)&amp;""))</f>
        <v/>
      </c>
      <c r="E867">
        <f>IF($M867="","",IF(ISNUMBER(INDEX(상세표[종료],$M867)),TEXT(INDEX(상세표[종료],$M867),"yyyy-mm-dd hh:mm"),INDEX(상세표[종료],$M867)&amp;""))</f>
        <v/>
      </c>
      <c r="F867">
        <f>IF($M867="","",INDEX(상세표[기록 시간외],$M867))</f>
        <v/>
      </c>
      <c r="G867">
        <f>IF($M867="","",INDEX(상세표[시작월 기관],$M867)&amp;"")</f>
        <v/>
      </c>
      <c r="H867">
        <f>IF($M867="","",INDEX(상세표[종료월 기관],$M867)&amp;"")</f>
        <v/>
      </c>
      <c r="I867">
        <f>IF($M867="","",INDEX(상세표[월경계 판정],$M867)&amp;"")</f>
        <v/>
      </c>
      <c r="J867">
        <f>IF($M867="","",INDEX(상세표[반영월],$M867)&amp;"")</f>
        <v/>
      </c>
      <c r="K867">
        <f>IF($M867="","",INDEX(상세표[반영 기관],$M867)&amp;"")</f>
        <v/>
      </c>
      <c r="L867">
        <f>IF($M867="","",INDEX(상세표[기관 출처],$M867)&amp;"")</f>
        <v/>
      </c>
      <c r="M867" s="4">
        <f>IFERROR(MATCH(862,상세표[경계순번],0),"")</f>
        <v/>
      </c>
    </row>
    <row r="868">
      <c r="A868">
        <f>IF($M868="","",INDEX(상세표[사번],$M868)&amp;"")</f>
        <v/>
      </c>
      <c r="B868">
        <f>IF($M868="","",INDEX(상세표[성명],$M868)&amp;"")</f>
        <v/>
      </c>
      <c r="C868">
        <f>IF($M868="","",IF(INDEX(상세표[종료월],$M868)=대상월키,"전월→이번 달","이번 달→익월"))</f>
        <v/>
      </c>
      <c r="D868">
        <f>IF($M868="","",IF(ISNUMBER(INDEX(상세표[시작],$M868)),TEXT(INDEX(상세표[시작],$M868),"yyyy-mm-dd hh:mm"),INDEX(상세표[시작],$M868)&amp;""))</f>
        <v/>
      </c>
      <c r="E868">
        <f>IF($M868="","",IF(ISNUMBER(INDEX(상세표[종료],$M868)),TEXT(INDEX(상세표[종료],$M868),"yyyy-mm-dd hh:mm"),INDEX(상세표[종료],$M868)&amp;""))</f>
        <v/>
      </c>
      <c r="F868">
        <f>IF($M868="","",INDEX(상세표[기록 시간외],$M868))</f>
        <v/>
      </c>
      <c r="G868">
        <f>IF($M868="","",INDEX(상세표[시작월 기관],$M868)&amp;"")</f>
        <v/>
      </c>
      <c r="H868">
        <f>IF($M868="","",INDEX(상세표[종료월 기관],$M868)&amp;"")</f>
        <v/>
      </c>
      <c r="I868">
        <f>IF($M868="","",INDEX(상세표[월경계 판정],$M868)&amp;"")</f>
        <v/>
      </c>
      <c r="J868">
        <f>IF($M868="","",INDEX(상세표[반영월],$M868)&amp;"")</f>
        <v/>
      </c>
      <c r="K868">
        <f>IF($M868="","",INDEX(상세표[반영 기관],$M868)&amp;"")</f>
        <v/>
      </c>
      <c r="L868">
        <f>IF($M868="","",INDEX(상세표[기관 출처],$M868)&amp;"")</f>
        <v/>
      </c>
      <c r="M868" s="4">
        <f>IFERROR(MATCH(863,상세표[경계순번],0),"")</f>
        <v/>
      </c>
    </row>
    <row r="869">
      <c r="A869">
        <f>IF($M869="","",INDEX(상세표[사번],$M869)&amp;"")</f>
        <v/>
      </c>
      <c r="B869">
        <f>IF($M869="","",INDEX(상세표[성명],$M869)&amp;"")</f>
        <v/>
      </c>
      <c r="C869">
        <f>IF($M869="","",IF(INDEX(상세표[종료월],$M869)=대상월키,"전월→이번 달","이번 달→익월"))</f>
        <v/>
      </c>
      <c r="D869">
        <f>IF($M869="","",IF(ISNUMBER(INDEX(상세표[시작],$M869)),TEXT(INDEX(상세표[시작],$M869),"yyyy-mm-dd hh:mm"),INDEX(상세표[시작],$M869)&amp;""))</f>
        <v/>
      </c>
      <c r="E869">
        <f>IF($M869="","",IF(ISNUMBER(INDEX(상세표[종료],$M869)),TEXT(INDEX(상세표[종료],$M869),"yyyy-mm-dd hh:mm"),INDEX(상세표[종료],$M869)&amp;""))</f>
        <v/>
      </c>
      <c r="F869">
        <f>IF($M869="","",INDEX(상세표[기록 시간외],$M869))</f>
        <v/>
      </c>
      <c r="G869">
        <f>IF($M869="","",INDEX(상세표[시작월 기관],$M869)&amp;"")</f>
        <v/>
      </c>
      <c r="H869">
        <f>IF($M869="","",INDEX(상세표[종료월 기관],$M869)&amp;"")</f>
        <v/>
      </c>
      <c r="I869">
        <f>IF($M869="","",INDEX(상세표[월경계 판정],$M869)&amp;"")</f>
        <v/>
      </c>
      <c r="J869">
        <f>IF($M869="","",INDEX(상세표[반영월],$M869)&amp;"")</f>
        <v/>
      </c>
      <c r="K869">
        <f>IF($M869="","",INDEX(상세표[반영 기관],$M869)&amp;"")</f>
        <v/>
      </c>
      <c r="L869">
        <f>IF($M869="","",INDEX(상세표[기관 출처],$M869)&amp;"")</f>
        <v/>
      </c>
      <c r="M869" s="4">
        <f>IFERROR(MATCH(864,상세표[경계순번],0),"")</f>
        <v/>
      </c>
    </row>
    <row r="870">
      <c r="A870">
        <f>IF($M870="","",INDEX(상세표[사번],$M870)&amp;"")</f>
        <v/>
      </c>
      <c r="B870">
        <f>IF($M870="","",INDEX(상세표[성명],$M870)&amp;"")</f>
        <v/>
      </c>
      <c r="C870">
        <f>IF($M870="","",IF(INDEX(상세표[종료월],$M870)=대상월키,"전월→이번 달","이번 달→익월"))</f>
        <v/>
      </c>
      <c r="D870">
        <f>IF($M870="","",IF(ISNUMBER(INDEX(상세표[시작],$M870)),TEXT(INDEX(상세표[시작],$M870),"yyyy-mm-dd hh:mm"),INDEX(상세표[시작],$M870)&amp;""))</f>
        <v/>
      </c>
      <c r="E870">
        <f>IF($M870="","",IF(ISNUMBER(INDEX(상세표[종료],$M870)),TEXT(INDEX(상세표[종료],$M870),"yyyy-mm-dd hh:mm"),INDEX(상세표[종료],$M870)&amp;""))</f>
        <v/>
      </c>
      <c r="F870">
        <f>IF($M870="","",INDEX(상세표[기록 시간외],$M870))</f>
        <v/>
      </c>
      <c r="G870">
        <f>IF($M870="","",INDEX(상세표[시작월 기관],$M870)&amp;"")</f>
        <v/>
      </c>
      <c r="H870">
        <f>IF($M870="","",INDEX(상세표[종료월 기관],$M870)&amp;"")</f>
        <v/>
      </c>
      <c r="I870">
        <f>IF($M870="","",INDEX(상세표[월경계 판정],$M870)&amp;"")</f>
        <v/>
      </c>
      <c r="J870">
        <f>IF($M870="","",INDEX(상세표[반영월],$M870)&amp;"")</f>
        <v/>
      </c>
      <c r="K870">
        <f>IF($M870="","",INDEX(상세표[반영 기관],$M870)&amp;"")</f>
        <v/>
      </c>
      <c r="L870">
        <f>IF($M870="","",INDEX(상세표[기관 출처],$M870)&amp;"")</f>
        <v/>
      </c>
      <c r="M870" s="4">
        <f>IFERROR(MATCH(865,상세표[경계순번],0),"")</f>
        <v/>
      </c>
    </row>
    <row r="871">
      <c r="A871">
        <f>IF($M871="","",INDEX(상세표[사번],$M871)&amp;"")</f>
        <v/>
      </c>
      <c r="B871">
        <f>IF($M871="","",INDEX(상세표[성명],$M871)&amp;"")</f>
        <v/>
      </c>
      <c r="C871">
        <f>IF($M871="","",IF(INDEX(상세표[종료월],$M871)=대상월키,"전월→이번 달","이번 달→익월"))</f>
        <v/>
      </c>
      <c r="D871">
        <f>IF($M871="","",IF(ISNUMBER(INDEX(상세표[시작],$M871)),TEXT(INDEX(상세표[시작],$M871),"yyyy-mm-dd hh:mm"),INDEX(상세표[시작],$M871)&amp;""))</f>
        <v/>
      </c>
      <c r="E871">
        <f>IF($M871="","",IF(ISNUMBER(INDEX(상세표[종료],$M871)),TEXT(INDEX(상세표[종료],$M871),"yyyy-mm-dd hh:mm"),INDEX(상세표[종료],$M871)&amp;""))</f>
        <v/>
      </c>
      <c r="F871">
        <f>IF($M871="","",INDEX(상세표[기록 시간외],$M871))</f>
        <v/>
      </c>
      <c r="G871">
        <f>IF($M871="","",INDEX(상세표[시작월 기관],$M871)&amp;"")</f>
        <v/>
      </c>
      <c r="H871">
        <f>IF($M871="","",INDEX(상세표[종료월 기관],$M871)&amp;"")</f>
        <v/>
      </c>
      <c r="I871">
        <f>IF($M871="","",INDEX(상세표[월경계 판정],$M871)&amp;"")</f>
        <v/>
      </c>
      <c r="J871">
        <f>IF($M871="","",INDEX(상세표[반영월],$M871)&amp;"")</f>
        <v/>
      </c>
      <c r="K871">
        <f>IF($M871="","",INDEX(상세표[반영 기관],$M871)&amp;"")</f>
        <v/>
      </c>
      <c r="L871">
        <f>IF($M871="","",INDEX(상세표[기관 출처],$M871)&amp;"")</f>
        <v/>
      </c>
      <c r="M871" s="4">
        <f>IFERROR(MATCH(866,상세표[경계순번],0),"")</f>
        <v/>
      </c>
    </row>
    <row r="872">
      <c r="A872">
        <f>IF($M872="","",INDEX(상세표[사번],$M872)&amp;"")</f>
        <v/>
      </c>
      <c r="B872">
        <f>IF($M872="","",INDEX(상세표[성명],$M872)&amp;"")</f>
        <v/>
      </c>
      <c r="C872">
        <f>IF($M872="","",IF(INDEX(상세표[종료월],$M872)=대상월키,"전월→이번 달","이번 달→익월"))</f>
        <v/>
      </c>
      <c r="D872">
        <f>IF($M872="","",IF(ISNUMBER(INDEX(상세표[시작],$M872)),TEXT(INDEX(상세표[시작],$M872),"yyyy-mm-dd hh:mm"),INDEX(상세표[시작],$M872)&amp;""))</f>
        <v/>
      </c>
      <c r="E872">
        <f>IF($M872="","",IF(ISNUMBER(INDEX(상세표[종료],$M872)),TEXT(INDEX(상세표[종료],$M872),"yyyy-mm-dd hh:mm"),INDEX(상세표[종료],$M872)&amp;""))</f>
        <v/>
      </c>
      <c r="F872">
        <f>IF($M872="","",INDEX(상세표[기록 시간외],$M872))</f>
        <v/>
      </c>
      <c r="G872">
        <f>IF($M872="","",INDEX(상세표[시작월 기관],$M872)&amp;"")</f>
        <v/>
      </c>
      <c r="H872">
        <f>IF($M872="","",INDEX(상세표[종료월 기관],$M872)&amp;"")</f>
        <v/>
      </c>
      <c r="I872">
        <f>IF($M872="","",INDEX(상세표[월경계 판정],$M872)&amp;"")</f>
        <v/>
      </c>
      <c r="J872">
        <f>IF($M872="","",INDEX(상세표[반영월],$M872)&amp;"")</f>
        <v/>
      </c>
      <c r="K872">
        <f>IF($M872="","",INDEX(상세표[반영 기관],$M872)&amp;"")</f>
        <v/>
      </c>
      <c r="L872">
        <f>IF($M872="","",INDEX(상세표[기관 출처],$M872)&amp;"")</f>
        <v/>
      </c>
      <c r="M872" s="4">
        <f>IFERROR(MATCH(867,상세표[경계순번],0),"")</f>
        <v/>
      </c>
    </row>
    <row r="873">
      <c r="A873">
        <f>IF($M873="","",INDEX(상세표[사번],$M873)&amp;"")</f>
        <v/>
      </c>
      <c r="B873">
        <f>IF($M873="","",INDEX(상세표[성명],$M873)&amp;"")</f>
        <v/>
      </c>
      <c r="C873">
        <f>IF($M873="","",IF(INDEX(상세표[종료월],$M873)=대상월키,"전월→이번 달","이번 달→익월"))</f>
        <v/>
      </c>
      <c r="D873">
        <f>IF($M873="","",IF(ISNUMBER(INDEX(상세표[시작],$M873)),TEXT(INDEX(상세표[시작],$M873),"yyyy-mm-dd hh:mm"),INDEX(상세표[시작],$M873)&amp;""))</f>
        <v/>
      </c>
      <c r="E873">
        <f>IF($M873="","",IF(ISNUMBER(INDEX(상세표[종료],$M873)),TEXT(INDEX(상세표[종료],$M873),"yyyy-mm-dd hh:mm"),INDEX(상세표[종료],$M873)&amp;""))</f>
        <v/>
      </c>
      <c r="F873">
        <f>IF($M873="","",INDEX(상세표[기록 시간외],$M873))</f>
        <v/>
      </c>
      <c r="G873">
        <f>IF($M873="","",INDEX(상세표[시작월 기관],$M873)&amp;"")</f>
        <v/>
      </c>
      <c r="H873">
        <f>IF($M873="","",INDEX(상세표[종료월 기관],$M873)&amp;"")</f>
        <v/>
      </c>
      <c r="I873">
        <f>IF($M873="","",INDEX(상세표[월경계 판정],$M873)&amp;"")</f>
        <v/>
      </c>
      <c r="J873">
        <f>IF($M873="","",INDEX(상세표[반영월],$M873)&amp;"")</f>
        <v/>
      </c>
      <c r="K873">
        <f>IF($M873="","",INDEX(상세표[반영 기관],$M873)&amp;"")</f>
        <v/>
      </c>
      <c r="L873">
        <f>IF($M873="","",INDEX(상세표[기관 출처],$M873)&amp;"")</f>
        <v/>
      </c>
      <c r="M873" s="4">
        <f>IFERROR(MATCH(868,상세표[경계순번],0),"")</f>
        <v/>
      </c>
    </row>
    <row r="874">
      <c r="A874">
        <f>IF($M874="","",INDEX(상세표[사번],$M874)&amp;"")</f>
        <v/>
      </c>
      <c r="B874">
        <f>IF($M874="","",INDEX(상세표[성명],$M874)&amp;"")</f>
        <v/>
      </c>
      <c r="C874">
        <f>IF($M874="","",IF(INDEX(상세표[종료월],$M874)=대상월키,"전월→이번 달","이번 달→익월"))</f>
        <v/>
      </c>
      <c r="D874">
        <f>IF($M874="","",IF(ISNUMBER(INDEX(상세표[시작],$M874)),TEXT(INDEX(상세표[시작],$M874),"yyyy-mm-dd hh:mm"),INDEX(상세표[시작],$M874)&amp;""))</f>
        <v/>
      </c>
      <c r="E874">
        <f>IF($M874="","",IF(ISNUMBER(INDEX(상세표[종료],$M874)),TEXT(INDEX(상세표[종료],$M874),"yyyy-mm-dd hh:mm"),INDEX(상세표[종료],$M874)&amp;""))</f>
        <v/>
      </c>
      <c r="F874">
        <f>IF($M874="","",INDEX(상세표[기록 시간외],$M874))</f>
        <v/>
      </c>
      <c r="G874">
        <f>IF($M874="","",INDEX(상세표[시작월 기관],$M874)&amp;"")</f>
        <v/>
      </c>
      <c r="H874">
        <f>IF($M874="","",INDEX(상세표[종료월 기관],$M874)&amp;"")</f>
        <v/>
      </c>
      <c r="I874">
        <f>IF($M874="","",INDEX(상세표[월경계 판정],$M874)&amp;"")</f>
        <v/>
      </c>
      <c r="J874">
        <f>IF($M874="","",INDEX(상세표[반영월],$M874)&amp;"")</f>
        <v/>
      </c>
      <c r="K874">
        <f>IF($M874="","",INDEX(상세표[반영 기관],$M874)&amp;"")</f>
        <v/>
      </c>
      <c r="L874">
        <f>IF($M874="","",INDEX(상세표[기관 출처],$M874)&amp;"")</f>
        <v/>
      </c>
      <c r="M874" s="4">
        <f>IFERROR(MATCH(869,상세표[경계순번],0),"")</f>
        <v/>
      </c>
    </row>
    <row r="875">
      <c r="A875">
        <f>IF($M875="","",INDEX(상세표[사번],$M875)&amp;"")</f>
        <v/>
      </c>
      <c r="B875">
        <f>IF($M875="","",INDEX(상세표[성명],$M875)&amp;"")</f>
        <v/>
      </c>
      <c r="C875">
        <f>IF($M875="","",IF(INDEX(상세표[종료월],$M875)=대상월키,"전월→이번 달","이번 달→익월"))</f>
        <v/>
      </c>
      <c r="D875">
        <f>IF($M875="","",IF(ISNUMBER(INDEX(상세표[시작],$M875)),TEXT(INDEX(상세표[시작],$M875),"yyyy-mm-dd hh:mm"),INDEX(상세표[시작],$M875)&amp;""))</f>
        <v/>
      </c>
      <c r="E875">
        <f>IF($M875="","",IF(ISNUMBER(INDEX(상세표[종료],$M875)),TEXT(INDEX(상세표[종료],$M875),"yyyy-mm-dd hh:mm"),INDEX(상세표[종료],$M875)&amp;""))</f>
        <v/>
      </c>
      <c r="F875">
        <f>IF($M875="","",INDEX(상세표[기록 시간외],$M875))</f>
        <v/>
      </c>
      <c r="G875">
        <f>IF($M875="","",INDEX(상세표[시작월 기관],$M875)&amp;"")</f>
        <v/>
      </c>
      <c r="H875">
        <f>IF($M875="","",INDEX(상세표[종료월 기관],$M875)&amp;"")</f>
        <v/>
      </c>
      <c r="I875">
        <f>IF($M875="","",INDEX(상세표[월경계 판정],$M875)&amp;"")</f>
        <v/>
      </c>
      <c r="J875">
        <f>IF($M875="","",INDEX(상세표[반영월],$M875)&amp;"")</f>
        <v/>
      </c>
      <c r="K875">
        <f>IF($M875="","",INDEX(상세표[반영 기관],$M875)&amp;"")</f>
        <v/>
      </c>
      <c r="L875">
        <f>IF($M875="","",INDEX(상세표[기관 출처],$M875)&amp;"")</f>
        <v/>
      </c>
      <c r="M875" s="4">
        <f>IFERROR(MATCH(870,상세표[경계순번],0),"")</f>
        <v/>
      </c>
    </row>
    <row r="876">
      <c r="A876">
        <f>IF($M876="","",INDEX(상세표[사번],$M876)&amp;"")</f>
        <v/>
      </c>
      <c r="B876">
        <f>IF($M876="","",INDEX(상세표[성명],$M876)&amp;"")</f>
        <v/>
      </c>
      <c r="C876">
        <f>IF($M876="","",IF(INDEX(상세표[종료월],$M876)=대상월키,"전월→이번 달","이번 달→익월"))</f>
        <v/>
      </c>
      <c r="D876">
        <f>IF($M876="","",IF(ISNUMBER(INDEX(상세표[시작],$M876)),TEXT(INDEX(상세표[시작],$M876),"yyyy-mm-dd hh:mm"),INDEX(상세표[시작],$M876)&amp;""))</f>
        <v/>
      </c>
      <c r="E876">
        <f>IF($M876="","",IF(ISNUMBER(INDEX(상세표[종료],$M876)),TEXT(INDEX(상세표[종료],$M876),"yyyy-mm-dd hh:mm"),INDEX(상세표[종료],$M876)&amp;""))</f>
        <v/>
      </c>
      <c r="F876">
        <f>IF($M876="","",INDEX(상세표[기록 시간외],$M876))</f>
        <v/>
      </c>
      <c r="G876">
        <f>IF($M876="","",INDEX(상세표[시작월 기관],$M876)&amp;"")</f>
        <v/>
      </c>
      <c r="H876">
        <f>IF($M876="","",INDEX(상세표[종료월 기관],$M876)&amp;"")</f>
        <v/>
      </c>
      <c r="I876">
        <f>IF($M876="","",INDEX(상세표[월경계 판정],$M876)&amp;"")</f>
        <v/>
      </c>
      <c r="J876">
        <f>IF($M876="","",INDEX(상세표[반영월],$M876)&amp;"")</f>
        <v/>
      </c>
      <c r="K876">
        <f>IF($M876="","",INDEX(상세표[반영 기관],$M876)&amp;"")</f>
        <v/>
      </c>
      <c r="L876">
        <f>IF($M876="","",INDEX(상세표[기관 출처],$M876)&amp;"")</f>
        <v/>
      </c>
      <c r="M876" s="4">
        <f>IFERROR(MATCH(871,상세표[경계순번],0),"")</f>
        <v/>
      </c>
    </row>
    <row r="877">
      <c r="A877">
        <f>IF($M877="","",INDEX(상세표[사번],$M877)&amp;"")</f>
        <v/>
      </c>
      <c r="B877">
        <f>IF($M877="","",INDEX(상세표[성명],$M877)&amp;"")</f>
        <v/>
      </c>
      <c r="C877">
        <f>IF($M877="","",IF(INDEX(상세표[종료월],$M877)=대상월키,"전월→이번 달","이번 달→익월"))</f>
        <v/>
      </c>
      <c r="D877">
        <f>IF($M877="","",IF(ISNUMBER(INDEX(상세표[시작],$M877)),TEXT(INDEX(상세표[시작],$M877),"yyyy-mm-dd hh:mm"),INDEX(상세표[시작],$M877)&amp;""))</f>
        <v/>
      </c>
      <c r="E877">
        <f>IF($M877="","",IF(ISNUMBER(INDEX(상세표[종료],$M877)),TEXT(INDEX(상세표[종료],$M877),"yyyy-mm-dd hh:mm"),INDEX(상세표[종료],$M877)&amp;""))</f>
        <v/>
      </c>
      <c r="F877">
        <f>IF($M877="","",INDEX(상세표[기록 시간외],$M877))</f>
        <v/>
      </c>
      <c r="G877">
        <f>IF($M877="","",INDEX(상세표[시작월 기관],$M877)&amp;"")</f>
        <v/>
      </c>
      <c r="H877">
        <f>IF($M877="","",INDEX(상세표[종료월 기관],$M877)&amp;"")</f>
        <v/>
      </c>
      <c r="I877">
        <f>IF($M877="","",INDEX(상세표[월경계 판정],$M877)&amp;"")</f>
        <v/>
      </c>
      <c r="J877">
        <f>IF($M877="","",INDEX(상세표[반영월],$M877)&amp;"")</f>
        <v/>
      </c>
      <c r="K877">
        <f>IF($M877="","",INDEX(상세표[반영 기관],$M877)&amp;"")</f>
        <v/>
      </c>
      <c r="L877">
        <f>IF($M877="","",INDEX(상세표[기관 출처],$M877)&amp;"")</f>
        <v/>
      </c>
      <c r="M877" s="4">
        <f>IFERROR(MATCH(872,상세표[경계순번],0),"")</f>
        <v/>
      </c>
    </row>
    <row r="878">
      <c r="A878">
        <f>IF($M878="","",INDEX(상세표[사번],$M878)&amp;"")</f>
        <v/>
      </c>
      <c r="B878">
        <f>IF($M878="","",INDEX(상세표[성명],$M878)&amp;"")</f>
        <v/>
      </c>
      <c r="C878">
        <f>IF($M878="","",IF(INDEX(상세표[종료월],$M878)=대상월키,"전월→이번 달","이번 달→익월"))</f>
        <v/>
      </c>
      <c r="D878">
        <f>IF($M878="","",IF(ISNUMBER(INDEX(상세표[시작],$M878)),TEXT(INDEX(상세표[시작],$M878),"yyyy-mm-dd hh:mm"),INDEX(상세표[시작],$M878)&amp;""))</f>
        <v/>
      </c>
      <c r="E878">
        <f>IF($M878="","",IF(ISNUMBER(INDEX(상세표[종료],$M878)),TEXT(INDEX(상세표[종료],$M878),"yyyy-mm-dd hh:mm"),INDEX(상세표[종료],$M878)&amp;""))</f>
        <v/>
      </c>
      <c r="F878">
        <f>IF($M878="","",INDEX(상세표[기록 시간외],$M878))</f>
        <v/>
      </c>
      <c r="G878">
        <f>IF($M878="","",INDEX(상세표[시작월 기관],$M878)&amp;"")</f>
        <v/>
      </c>
      <c r="H878">
        <f>IF($M878="","",INDEX(상세표[종료월 기관],$M878)&amp;"")</f>
        <v/>
      </c>
      <c r="I878">
        <f>IF($M878="","",INDEX(상세표[월경계 판정],$M878)&amp;"")</f>
        <v/>
      </c>
      <c r="J878">
        <f>IF($M878="","",INDEX(상세표[반영월],$M878)&amp;"")</f>
        <v/>
      </c>
      <c r="K878">
        <f>IF($M878="","",INDEX(상세표[반영 기관],$M878)&amp;"")</f>
        <v/>
      </c>
      <c r="L878">
        <f>IF($M878="","",INDEX(상세표[기관 출처],$M878)&amp;"")</f>
        <v/>
      </c>
      <c r="M878" s="4">
        <f>IFERROR(MATCH(873,상세표[경계순번],0),"")</f>
        <v/>
      </c>
    </row>
    <row r="879">
      <c r="A879">
        <f>IF($M879="","",INDEX(상세표[사번],$M879)&amp;"")</f>
        <v/>
      </c>
      <c r="B879">
        <f>IF($M879="","",INDEX(상세표[성명],$M879)&amp;"")</f>
        <v/>
      </c>
      <c r="C879">
        <f>IF($M879="","",IF(INDEX(상세표[종료월],$M879)=대상월키,"전월→이번 달","이번 달→익월"))</f>
        <v/>
      </c>
      <c r="D879">
        <f>IF($M879="","",IF(ISNUMBER(INDEX(상세표[시작],$M879)),TEXT(INDEX(상세표[시작],$M879),"yyyy-mm-dd hh:mm"),INDEX(상세표[시작],$M879)&amp;""))</f>
        <v/>
      </c>
      <c r="E879">
        <f>IF($M879="","",IF(ISNUMBER(INDEX(상세표[종료],$M879)),TEXT(INDEX(상세표[종료],$M879),"yyyy-mm-dd hh:mm"),INDEX(상세표[종료],$M879)&amp;""))</f>
        <v/>
      </c>
      <c r="F879">
        <f>IF($M879="","",INDEX(상세표[기록 시간외],$M879))</f>
        <v/>
      </c>
      <c r="G879">
        <f>IF($M879="","",INDEX(상세표[시작월 기관],$M879)&amp;"")</f>
        <v/>
      </c>
      <c r="H879">
        <f>IF($M879="","",INDEX(상세표[종료월 기관],$M879)&amp;"")</f>
        <v/>
      </c>
      <c r="I879">
        <f>IF($M879="","",INDEX(상세표[월경계 판정],$M879)&amp;"")</f>
        <v/>
      </c>
      <c r="J879">
        <f>IF($M879="","",INDEX(상세표[반영월],$M879)&amp;"")</f>
        <v/>
      </c>
      <c r="K879">
        <f>IF($M879="","",INDEX(상세표[반영 기관],$M879)&amp;"")</f>
        <v/>
      </c>
      <c r="L879">
        <f>IF($M879="","",INDEX(상세표[기관 출처],$M879)&amp;"")</f>
        <v/>
      </c>
      <c r="M879" s="4">
        <f>IFERROR(MATCH(874,상세표[경계순번],0),"")</f>
        <v/>
      </c>
    </row>
    <row r="880">
      <c r="A880">
        <f>IF($M880="","",INDEX(상세표[사번],$M880)&amp;"")</f>
        <v/>
      </c>
      <c r="B880">
        <f>IF($M880="","",INDEX(상세표[성명],$M880)&amp;"")</f>
        <v/>
      </c>
      <c r="C880">
        <f>IF($M880="","",IF(INDEX(상세표[종료월],$M880)=대상월키,"전월→이번 달","이번 달→익월"))</f>
        <v/>
      </c>
      <c r="D880">
        <f>IF($M880="","",IF(ISNUMBER(INDEX(상세표[시작],$M880)),TEXT(INDEX(상세표[시작],$M880),"yyyy-mm-dd hh:mm"),INDEX(상세표[시작],$M880)&amp;""))</f>
        <v/>
      </c>
      <c r="E880">
        <f>IF($M880="","",IF(ISNUMBER(INDEX(상세표[종료],$M880)),TEXT(INDEX(상세표[종료],$M880),"yyyy-mm-dd hh:mm"),INDEX(상세표[종료],$M880)&amp;""))</f>
        <v/>
      </c>
      <c r="F880">
        <f>IF($M880="","",INDEX(상세표[기록 시간외],$M880))</f>
        <v/>
      </c>
      <c r="G880">
        <f>IF($M880="","",INDEX(상세표[시작월 기관],$M880)&amp;"")</f>
        <v/>
      </c>
      <c r="H880">
        <f>IF($M880="","",INDEX(상세표[종료월 기관],$M880)&amp;"")</f>
        <v/>
      </c>
      <c r="I880">
        <f>IF($M880="","",INDEX(상세표[월경계 판정],$M880)&amp;"")</f>
        <v/>
      </c>
      <c r="J880">
        <f>IF($M880="","",INDEX(상세표[반영월],$M880)&amp;"")</f>
        <v/>
      </c>
      <c r="K880">
        <f>IF($M880="","",INDEX(상세표[반영 기관],$M880)&amp;"")</f>
        <v/>
      </c>
      <c r="L880">
        <f>IF($M880="","",INDEX(상세표[기관 출처],$M880)&amp;"")</f>
        <v/>
      </c>
      <c r="M880" s="4">
        <f>IFERROR(MATCH(875,상세표[경계순번],0),"")</f>
        <v/>
      </c>
    </row>
    <row r="881">
      <c r="A881">
        <f>IF($M881="","",INDEX(상세표[사번],$M881)&amp;"")</f>
        <v/>
      </c>
      <c r="B881">
        <f>IF($M881="","",INDEX(상세표[성명],$M881)&amp;"")</f>
        <v/>
      </c>
      <c r="C881">
        <f>IF($M881="","",IF(INDEX(상세표[종료월],$M881)=대상월키,"전월→이번 달","이번 달→익월"))</f>
        <v/>
      </c>
      <c r="D881">
        <f>IF($M881="","",IF(ISNUMBER(INDEX(상세표[시작],$M881)),TEXT(INDEX(상세표[시작],$M881),"yyyy-mm-dd hh:mm"),INDEX(상세표[시작],$M881)&amp;""))</f>
        <v/>
      </c>
      <c r="E881">
        <f>IF($M881="","",IF(ISNUMBER(INDEX(상세표[종료],$M881)),TEXT(INDEX(상세표[종료],$M881),"yyyy-mm-dd hh:mm"),INDEX(상세표[종료],$M881)&amp;""))</f>
        <v/>
      </c>
      <c r="F881">
        <f>IF($M881="","",INDEX(상세표[기록 시간외],$M881))</f>
        <v/>
      </c>
      <c r="G881">
        <f>IF($M881="","",INDEX(상세표[시작월 기관],$M881)&amp;"")</f>
        <v/>
      </c>
      <c r="H881">
        <f>IF($M881="","",INDEX(상세표[종료월 기관],$M881)&amp;"")</f>
        <v/>
      </c>
      <c r="I881">
        <f>IF($M881="","",INDEX(상세표[월경계 판정],$M881)&amp;"")</f>
        <v/>
      </c>
      <c r="J881">
        <f>IF($M881="","",INDEX(상세표[반영월],$M881)&amp;"")</f>
        <v/>
      </c>
      <c r="K881">
        <f>IF($M881="","",INDEX(상세표[반영 기관],$M881)&amp;"")</f>
        <v/>
      </c>
      <c r="L881">
        <f>IF($M881="","",INDEX(상세표[기관 출처],$M881)&amp;"")</f>
        <v/>
      </c>
      <c r="M881" s="4">
        <f>IFERROR(MATCH(876,상세표[경계순번],0),"")</f>
        <v/>
      </c>
    </row>
    <row r="882">
      <c r="A882">
        <f>IF($M882="","",INDEX(상세표[사번],$M882)&amp;"")</f>
        <v/>
      </c>
      <c r="B882">
        <f>IF($M882="","",INDEX(상세표[성명],$M882)&amp;"")</f>
        <v/>
      </c>
      <c r="C882">
        <f>IF($M882="","",IF(INDEX(상세표[종료월],$M882)=대상월키,"전월→이번 달","이번 달→익월"))</f>
        <v/>
      </c>
      <c r="D882">
        <f>IF($M882="","",IF(ISNUMBER(INDEX(상세표[시작],$M882)),TEXT(INDEX(상세표[시작],$M882),"yyyy-mm-dd hh:mm"),INDEX(상세표[시작],$M882)&amp;""))</f>
        <v/>
      </c>
      <c r="E882">
        <f>IF($M882="","",IF(ISNUMBER(INDEX(상세표[종료],$M882)),TEXT(INDEX(상세표[종료],$M882),"yyyy-mm-dd hh:mm"),INDEX(상세표[종료],$M882)&amp;""))</f>
        <v/>
      </c>
      <c r="F882">
        <f>IF($M882="","",INDEX(상세표[기록 시간외],$M882))</f>
        <v/>
      </c>
      <c r="G882">
        <f>IF($M882="","",INDEX(상세표[시작월 기관],$M882)&amp;"")</f>
        <v/>
      </c>
      <c r="H882">
        <f>IF($M882="","",INDEX(상세표[종료월 기관],$M882)&amp;"")</f>
        <v/>
      </c>
      <c r="I882">
        <f>IF($M882="","",INDEX(상세표[월경계 판정],$M882)&amp;"")</f>
        <v/>
      </c>
      <c r="J882">
        <f>IF($M882="","",INDEX(상세표[반영월],$M882)&amp;"")</f>
        <v/>
      </c>
      <c r="K882">
        <f>IF($M882="","",INDEX(상세표[반영 기관],$M882)&amp;"")</f>
        <v/>
      </c>
      <c r="L882">
        <f>IF($M882="","",INDEX(상세표[기관 출처],$M882)&amp;"")</f>
        <v/>
      </c>
      <c r="M882" s="4">
        <f>IFERROR(MATCH(877,상세표[경계순번],0),"")</f>
        <v/>
      </c>
    </row>
    <row r="883">
      <c r="A883">
        <f>IF($M883="","",INDEX(상세표[사번],$M883)&amp;"")</f>
        <v/>
      </c>
      <c r="B883">
        <f>IF($M883="","",INDEX(상세표[성명],$M883)&amp;"")</f>
        <v/>
      </c>
      <c r="C883">
        <f>IF($M883="","",IF(INDEX(상세표[종료월],$M883)=대상월키,"전월→이번 달","이번 달→익월"))</f>
        <v/>
      </c>
      <c r="D883">
        <f>IF($M883="","",IF(ISNUMBER(INDEX(상세표[시작],$M883)),TEXT(INDEX(상세표[시작],$M883),"yyyy-mm-dd hh:mm"),INDEX(상세표[시작],$M883)&amp;""))</f>
        <v/>
      </c>
      <c r="E883">
        <f>IF($M883="","",IF(ISNUMBER(INDEX(상세표[종료],$M883)),TEXT(INDEX(상세표[종료],$M883),"yyyy-mm-dd hh:mm"),INDEX(상세표[종료],$M883)&amp;""))</f>
        <v/>
      </c>
      <c r="F883">
        <f>IF($M883="","",INDEX(상세표[기록 시간외],$M883))</f>
        <v/>
      </c>
      <c r="G883">
        <f>IF($M883="","",INDEX(상세표[시작월 기관],$M883)&amp;"")</f>
        <v/>
      </c>
      <c r="H883">
        <f>IF($M883="","",INDEX(상세표[종료월 기관],$M883)&amp;"")</f>
        <v/>
      </c>
      <c r="I883">
        <f>IF($M883="","",INDEX(상세표[월경계 판정],$M883)&amp;"")</f>
        <v/>
      </c>
      <c r="J883">
        <f>IF($M883="","",INDEX(상세표[반영월],$M883)&amp;"")</f>
        <v/>
      </c>
      <c r="K883">
        <f>IF($M883="","",INDEX(상세표[반영 기관],$M883)&amp;"")</f>
        <v/>
      </c>
      <c r="L883">
        <f>IF($M883="","",INDEX(상세표[기관 출처],$M883)&amp;"")</f>
        <v/>
      </c>
      <c r="M883" s="4">
        <f>IFERROR(MATCH(878,상세표[경계순번],0),"")</f>
        <v/>
      </c>
    </row>
    <row r="884">
      <c r="A884">
        <f>IF($M884="","",INDEX(상세표[사번],$M884)&amp;"")</f>
        <v/>
      </c>
      <c r="B884">
        <f>IF($M884="","",INDEX(상세표[성명],$M884)&amp;"")</f>
        <v/>
      </c>
      <c r="C884">
        <f>IF($M884="","",IF(INDEX(상세표[종료월],$M884)=대상월키,"전월→이번 달","이번 달→익월"))</f>
        <v/>
      </c>
      <c r="D884">
        <f>IF($M884="","",IF(ISNUMBER(INDEX(상세표[시작],$M884)),TEXT(INDEX(상세표[시작],$M884),"yyyy-mm-dd hh:mm"),INDEX(상세표[시작],$M884)&amp;""))</f>
        <v/>
      </c>
      <c r="E884">
        <f>IF($M884="","",IF(ISNUMBER(INDEX(상세표[종료],$M884)),TEXT(INDEX(상세표[종료],$M884),"yyyy-mm-dd hh:mm"),INDEX(상세표[종료],$M884)&amp;""))</f>
        <v/>
      </c>
      <c r="F884">
        <f>IF($M884="","",INDEX(상세표[기록 시간외],$M884))</f>
        <v/>
      </c>
      <c r="G884">
        <f>IF($M884="","",INDEX(상세표[시작월 기관],$M884)&amp;"")</f>
        <v/>
      </c>
      <c r="H884">
        <f>IF($M884="","",INDEX(상세표[종료월 기관],$M884)&amp;"")</f>
        <v/>
      </c>
      <c r="I884">
        <f>IF($M884="","",INDEX(상세표[월경계 판정],$M884)&amp;"")</f>
        <v/>
      </c>
      <c r="J884">
        <f>IF($M884="","",INDEX(상세표[반영월],$M884)&amp;"")</f>
        <v/>
      </c>
      <c r="K884">
        <f>IF($M884="","",INDEX(상세표[반영 기관],$M884)&amp;"")</f>
        <v/>
      </c>
      <c r="L884">
        <f>IF($M884="","",INDEX(상세표[기관 출처],$M884)&amp;"")</f>
        <v/>
      </c>
      <c r="M884" s="4">
        <f>IFERROR(MATCH(879,상세표[경계순번],0),"")</f>
        <v/>
      </c>
    </row>
    <row r="885">
      <c r="A885">
        <f>IF($M885="","",INDEX(상세표[사번],$M885)&amp;"")</f>
        <v/>
      </c>
      <c r="B885">
        <f>IF($M885="","",INDEX(상세표[성명],$M885)&amp;"")</f>
        <v/>
      </c>
      <c r="C885">
        <f>IF($M885="","",IF(INDEX(상세표[종료월],$M885)=대상월키,"전월→이번 달","이번 달→익월"))</f>
        <v/>
      </c>
      <c r="D885">
        <f>IF($M885="","",IF(ISNUMBER(INDEX(상세표[시작],$M885)),TEXT(INDEX(상세표[시작],$M885),"yyyy-mm-dd hh:mm"),INDEX(상세표[시작],$M885)&amp;""))</f>
        <v/>
      </c>
      <c r="E885">
        <f>IF($M885="","",IF(ISNUMBER(INDEX(상세표[종료],$M885)),TEXT(INDEX(상세표[종료],$M885),"yyyy-mm-dd hh:mm"),INDEX(상세표[종료],$M885)&amp;""))</f>
        <v/>
      </c>
      <c r="F885">
        <f>IF($M885="","",INDEX(상세표[기록 시간외],$M885))</f>
        <v/>
      </c>
      <c r="G885">
        <f>IF($M885="","",INDEX(상세표[시작월 기관],$M885)&amp;"")</f>
        <v/>
      </c>
      <c r="H885">
        <f>IF($M885="","",INDEX(상세표[종료월 기관],$M885)&amp;"")</f>
        <v/>
      </c>
      <c r="I885">
        <f>IF($M885="","",INDEX(상세표[월경계 판정],$M885)&amp;"")</f>
        <v/>
      </c>
      <c r="J885">
        <f>IF($M885="","",INDEX(상세표[반영월],$M885)&amp;"")</f>
        <v/>
      </c>
      <c r="K885">
        <f>IF($M885="","",INDEX(상세표[반영 기관],$M885)&amp;"")</f>
        <v/>
      </c>
      <c r="L885">
        <f>IF($M885="","",INDEX(상세표[기관 출처],$M885)&amp;"")</f>
        <v/>
      </c>
      <c r="M885" s="4">
        <f>IFERROR(MATCH(880,상세표[경계순번],0),"")</f>
        <v/>
      </c>
    </row>
    <row r="886">
      <c r="A886">
        <f>IF($M886="","",INDEX(상세표[사번],$M886)&amp;"")</f>
        <v/>
      </c>
      <c r="B886">
        <f>IF($M886="","",INDEX(상세표[성명],$M886)&amp;"")</f>
        <v/>
      </c>
      <c r="C886">
        <f>IF($M886="","",IF(INDEX(상세표[종료월],$M886)=대상월키,"전월→이번 달","이번 달→익월"))</f>
        <v/>
      </c>
      <c r="D886">
        <f>IF($M886="","",IF(ISNUMBER(INDEX(상세표[시작],$M886)),TEXT(INDEX(상세표[시작],$M886),"yyyy-mm-dd hh:mm"),INDEX(상세표[시작],$M886)&amp;""))</f>
        <v/>
      </c>
      <c r="E886">
        <f>IF($M886="","",IF(ISNUMBER(INDEX(상세표[종료],$M886)),TEXT(INDEX(상세표[종료],$M886),"yyyy-mm-dd hh:mm"),INDEX(상세표[종료],$M886)&amp;""))</f>
        <v/>
      </c>
      <c r="F886">
        <f>IF($M886="","",INDEX(상세표[기록 시간외],$M886))</f>
        <v/>
      </c>
      <c r="G886">
        <f>IF($M886="","",INDEX(상세표[시작월 기관],$M886)&amp;"")</f>
        <v/>
      </c>
      <c r="H886">
        <f>IF($M886="","",INDEX(상세표[종료월 기관],$M886)&amp;"")</f>
        <v/>
      </c>
      <c r="I886">
        <f>IF($M886="","",INDEX(상세표[월경계 판정],$M886)&amp;"")</f>
        <v/>
      </c>
      <c r="J886">
        <f>IF($M886="","",INDEX(상세표[반영월],$M886)&amp;"")</f>
        <v/>
      </c>
      <c r="K886">
        <f>IF($M886="","",INDEX(상세표[반영 기관],$M886)&amp;"")</f>
        <v/>
      </c>
      <c r="L886">
        <f>IF($M886="","",INDEX(상세표[기관 출처],$M886)&amp;"")</f>
        <v/>
      </c>
      <c r="M886" s="4">
        <f>IFERROR(MATCH(881,상세표[경계순번],0),"")</f>
        <v/>
      </c>
    </row>
    <row r="887">
      <c r="A887">
        <f>IF($M887="","",INDEX(상세표[사번],$M887)&amp;"")</f>
        <v/>
      </c>
      <c r="B887">
        <f>IF($M887="","",INDEX(상세표[성명],$M887)&amp;"")</f>
        <v/>
      </c>
      <c r="C887">
        <f>IF($M887="","",IF(INDEX(상세표[종료월],$M887)=대상월키,"전월→이번 달","이번 달→익월"))</f>
        <v/>
      </c>
      <c r="D887">
        <f>IF($M887="","",IF(ISNUMBER(INDEX(상세표[시작],$M887)),TEXT(INDEX(상세표[시작],$M887),"yyyy-mm-dd hh:mm"),INDEX(상세표[시작],$M887)&amp;""))</f>
        <v/>
      </c>
      <c r="E887">
        <f>IF($M887="","",IF(ISNUMBER(INDEX(상세표[종료],$M887)),TEXT(INDEX(상세표[종료],$M887),"yyyy-mm-dd hh:mm"),INDEX(상세표[종료],$M887)&amp;""))</f>
        <v/>
      </c>
      <c r="F887">
        <f>IF($M887="","",INDEX(상세표[기록 시간외],$M887))</f>
        <v/>
      </c>
      <c r="G887">
        <f>IF($M887="","",INDEX(상세표[시작월 기관],$M887)&amp;"")</f>
        <v/>
      </c>
      <c r="H887">
        <f>IF($M887="","",INDEX(상세표[종료월 기관],$M887)&amp;"")</f>
        <v/>
      </c>
      <c r="I887">
        <f>IF($M887="","",INDEX(상세표[월경계 판정],$M887)&amp;"")</f>
        <v/>
      </c>
      <c r="J887">
        <f>IF($M887="","",INDEX(상세표[반영월],$M887)&amp;"")</f>
        <v/>
      </c>
      <c r="K887">
        <f>IF($M887="","",INDEX(상세표[반영 기관],$M887)&amp;"")</f>
        <v/>
      </c>
      <c r="L887">
        <f>IF($M887="","",INDEX(상세표[기관 출처],$M887)&amp;"")</f>
        <v/>
      </c>
      <c r="M887" s="4">
        <f>IFERROR(MATCH(882,상세표[경계순번],0),"")</f>
        <v/>
      </c>
    </row>
    <row r="888">
      <c r="A888">
        <f>IF($M888="","",INDEX(상세표[사번],$M888)&amp;"")</f>
        <v/>
      </c>
      <c r="B888">
        <f>IF($M888="","",INDEX(상세표[성명],$M888)&amp;"")</f>
        <v/>
      </c>
      <c r="C888">
        <f>IF($M888="","",IF(INDEX(상세표[종료월],$M888)=대상월키,"전월→이번 달","이번 달→익월"))</f>
        <v/>
      </c>
      <c r="D888">
        <f>IF($M888="","",IF(ISNUMBER(INDEX(상세표[시작],$M888)),TEXT(INDEX(상세표[시작],$M888),"yyyy-mm-dd hh:mm"),INDEX(상세표[시작],$M888)&amp;""))</f>
        <v/>
      </c>
      <c r="E888">
        <f>IF($M888="","",IF(ISNUMBER(INDEX(상세표[종료],$M888)),TEXT(INDEX(상세표[종료],$M888),"yyyy-mm-dd hh:mm"),INDEX(상세표[종료],$M888)&amp;""))</f>
        <v/>
      </c>
      <c r="F888">
        <f>IF($M888="","",INDEX(상세표[기록 시간외],$M888))</f>
        <v/>
      </c>
      <c r="G888">
        <f>IF($M888="","",INDEX(상세표[시작월 기관],$M888)&amp;"")</f>
        <v/>
      </c>
      <c r="H888">
        <f>IF($M888="","",INDEX(상세표[종료월 기관],$M888)&amp;"")</f>
        <v/>
      </c>
      <c r="I888">
        <f>IF($M888="","",INDEX(상세표[월경계 판정],$M888)&amp;"")</f>
        <v/>
      </c>
      <c r="J888">
        <f>IF($M888="","",INDEX(상세표[반영월],$M888)&amp;"")</f>
        <v/>
      </c>
      <c r="K888">
        <f>IF($M888="","",INDEX(상세표[반영 기관],$M888)&amp;"")</f>
        <v/>
      </c>
      <c r="L888">
        <f>IF($M888="","",INDEX(상세표[기관 출처],$M888)&amp;"")</f>
        <v/>
      </c>
      <c r="M888" s="4">
        <f>IFERROR(MATCH(883,상세표[경계순번],0),"")</f>
        <v/>
      </c>
    </row>
    <row r="889">
      <c r="A889">
        <f>IF($M889="","",INDEX(상세표[사번],$M889)&amp;"")</f>
        <v/>
      </c>
      <c r="B889">
        <f>IF($M889="","",INDEX(상세표[성명],$M889)&amp;"")</f>
        <v/>
      </c>
      <c r="C889">
        <f>IF($M889="","",IF(INDEX(상세표[종료월],$M889)=대상월키,"전월→이번 달","이번 달→익월"))</f>
        <v/>
      </c>
      <c r="D889">
        <f>IF($M889="","",IF(ISNUMBER(INDEX(상세표[시작],$M889)),TEXT(INDEX(상세표[시작],$M889),"yyyy-mm-dd hh:mm"),INDEX(상세표[시작],$M889)&amp;""))</f>
        <v/>
      </c>
      <c r="E889">
        <f>IF($M889="","",IF(ISNUMBER(INDEX(상세표[종료],$M889)),TEXT(INDEX(상세표[종료],$M889),"yyyy-mm-dd hh:mm"),INDEX(상세표[종료],$M889)&amp;""))</f>
        <v/>
      </c>
      <c r="F889">
        <f>IF($M889="","",INDEX(상세표[기록 시간외],$M889))</f>
        <v/>
      </c>
      <c r="G889">
        <f>IF($M889="","",INDEX(상세표[시작월 기관],$M889)&amp;"")</f>
        <v/>
      </c>
      <c r="H889">
        <f>IF($M889="","",INDEX(상세표[종료월 기관],$M889)&amp;"")</f>
        <v/>
      </c>
      <c r="I889">
        <f>IF($M889="","",INDEX(상세표[월경계 판정],$M889)&amp;"")</f>
        <v/>
      </c>
      <c r="J889">
        <f>IF($M889="","",INDEX(상세표[반영월],$M889)&amp;"")</f>
        <v/>
      </c>
      <c r="K889">
        <f>IF($M889="","",INDEX(상세표[반영 기관],$M889)&amp;"")</f>
        <v/>
      </c>
      <c r="L889">
        <f>IF($M889="","",INDEX(상세표[기관 출처],$M889)&amp;"")</f>
        <v/>
      </c>
      <c r="M889" s="4">
        <f>IFERROR(MATCH(884,상세표[경계순번],0),"")</f>
        <v/>
      </c>
    </row>
    <row r="890">
      <c r="A890">
        <f>IF($M890="","",INDEX(상세표[사번],$M890)&amp;"")</f>
        <v/>
      </c>
      <c r="B890">
        <f>IF($M890="","",INDEX(상세표[성명],$M890)&amp;"")</f>
        <v/>
      </c>
      <c r="C890">
        <f>IF($M890="","",IF(INDEX(상세표[종료월],$M890)=대상월키,"전월→이번 달","이번 달→익월"))</f>
        <v/>
      </c>
      <c r="D890">
        <f>IF($M890="","",IF(ISNUMBER(INDEX(상세표[시작],$M890)),TEXT(INDEX(상세표[시작],$M890),"yyyy-mm-dd hh:mm"),INDEX(상세표[시작],$M890)&amp;""))</f>
        <v/>
      </c>
      <c r="E890">
        <f>IF($M890="","",IF(ISNUMBER(INDEX(상세표[종료],$M890)),TEXT(INDEX(상세표[종료],$M890),"yyyy-mm-dd hh:mm"),INDEX(상세표[종료],$M890)&amp;""))</f>
        <v/>
      </c>
      <c r="F890">
        <f>IF($M890="","",INDEX(상세표[기록 시간외],$M890))</f>
        <v/>
      </c>
      <c r="G890">
        <f>IF($M890="","",INDEX(상세표[시작월 기관],$M890)&amp;"")</f>
        <v/>
      </c>
      <c r="H890">
        <f>IF($M890="","",INDEX(상세표[종료월 기관],$M890)&amp;"")</f>
        <v/>
      </c>
      <c r="I890">
        <f>IF($M890="","",INDEX(상세표[월경계 판정],$M890)&amp;"")</f>
        <v/>
      </c>
      <c r="J890">
        <f>IF($M890="","",INDEX(상세표[반영월],$M890)&amp;"")</f>
        <v/>
      </c>
      <c r="K890">
        <f>IF($M890="","",INDEX(상세표[반영 기관],$M890)&amp;"")</f>
        <v/>
      </c>
      <c r="L890">
        <f>IF($M890="","",INDEX(상세표[기관 출처],$M890)&amp;"")</f>
        <v/>
      </c>
      <c r="M890" s="4">
        <f>IFERROR(MATCH(885,상세표[경계순번],0),"")</f>
        <v/>
      </c>
    </row>
    <row r="891">
      <c r="A891">
        <f>IF($M891="","",INDEX(상세표[사번],$M891)&amp;"")</f>
        <v/>
      </c>
      <c r="B891">
        <f>IF($M891="","",INDEX(상세표[성명],$M891)&amp;"")</f>
        <v/>
      </c>
      <c r="C891">
        <f>IF($M891="","",IF(INDEX(상세표[종료월],$M891)=대상월키,"전월→이번 달","이번 달→익월"))</f>
        <v/>
      </c>
      <c r="D891">
        <f>IF($M891="","",IF(ISNUMBER(INDEX(상세표[시작],$M891)),TEXT(INDEX(상세표[시작],$M891),"yyyy-mm-dd hh:mm"),INDEX(상세표[시작],$M891)&amp;""))</f>
        <v/>
      </c>
      <c r="E891">
        <f>IF($M891="","",IF(ISNUMBER(INDEX(상세표[종료],$M891)),TEXT(INDEX(상세표[종료],$M891),"yyyy-mm-dd hh:mm"),INDEX(상세표[종료],$M891)&amp;""))</f>
        <v/>
      </c>
      <c r="F891">
        <f>IF($M891="","",INDEX(상세표[기록 시간외],$M891))</f>
        <v/>
      </c>
      <c r="G891">
        <f>IF($M891="","",INDEX(상세표[시작월 기관],$M891)&amp;"")</f>
        <v/>
      </c>
      <c r="H891">
        <f>IF($M891="","",INDEX(상세표[종료월 기관],$M891)&amp;"")</f>
        <v/>
      </c>
      <c r="I891">
        <f>IF($M891="","",INDEX(상세표[월경계 판정],$M891)&amp;"")</f>
        <v/>
      </c>
      <c r="J891">
        <f>IF($M891="","",INDEX(상세표[반영월],$M891)&amp;"")</f>
        <v/>
      </c>
      <c r="K891">
        <f>IF($M891="","",INDEX(상세표[반영 기관],$M891)&amp;"")</f>
        <v/>
      </c>
      <c r="L891">
        <f>IF($M891="","",INDEX(상세표[기관 출처],$M891)&amp;"")</f>
        <v/>
      </c>
      <c r="M891" s="4">
        <f>IFERROR(MATCH(886,상세표[경계순번],0),"")</f>
        <v/>
      </c>
    </row>
    <row r="892">
      <c r="A892">
        <f>IF($M892="","",INDEX(상세표[사번],$M892)&amp;"")</f>
        <v/>
      </c>
      <c r="B892">
        <f>IF($M892="","",INDEX(상세표[성명],$M892)&amp;"")</f>
        <v/>
      </c>
      <c r="C892">
        <f>IF($M892="","",IF(INDEX(상세표[종료월],$M892)=대상월키,"전월→이번 달","이번 달→익월"))</f>
        <v/>
      </c>
      <c r="D892">
        <f>IF($M892="","",IF(ISNUMBER(INDEX(상세표[시작],$M892)),TEXT(INDEX(상세표[시작],$M892),"yyyy-mm-dd hh:mm"),INDEX(상세표[시작],$M892)&amp;""))</f>
        <v/>
      </c>
      <c r="E892">
        <f>IF($M892="","",IF(ISNUMBER(INDEX(상세표[종료],$M892)),TEXT(INDEX(상세표[종료],$M892),"yyyy-mm-dd hh:mm"),INDEX(상세표[종료],$M892)&amp;""))</f>
        <v/>
      </c>
      <c r="F892">
        <f>IF($M892="","",INDEX(상세표[기록 시간외],$M892))</f>
        <v/>
      </c>
      <c r="G892">
        <f>IF($M892="","",INDEX(상세표[시작월 기관],$M892)&amp;"")</f>
        <v/>
      </c>
      <c r="H892">
        <f>IF($M892="","",INDEX(상세표[종료월 기관],$M892)&amp;"")</f>
        <v/>
      </c>
      <c r="I892">
        <f>IF($M892="","",INDEX(상세표[월경계 판정],$M892)&amp;"")</f>
        <v/>
      </c>
      <c r="J892">
        <f>IF($M892="","",INDEX(상세표[반영월],$M892)&amp;"")</f>
        <v/>
      </c>
      <c r="K892">
        <f>IF($M892="","",INDEX(상세표[반영 기관],$M892)&amp;"")</f>
        <v/>
      </c>
      <c r="L892">
        <f>IF($M892="","",INDEX(상세표[기관 출처],$M892)&amp;"")</f>
        <v/>
      </c>
      <c r="M892" s="4">
        <f>IFERROR(MATCH(887,상세표[경계순번],0),"")</f>
        <v/>
      </c>
    </row>
    <row r="893">
      <c r="A893">
        <f>IF($M893="","",INDEX(상세표[사번],$M893)&amp;"")</f>
        <v/>
      </c>
      <c r="B893">
        <f>IF($M893="","",INDEX(상세표[성명],$M893)&amp;"")</f>
        <v/>
      </c>
      <c r="C893">
        <f>IF($M893="","",IF(INDEX(상세표[종료월],$M893)=대상월키,"전월→이번 달","이번 달→익월"))</f>
        <v/>
      </c>
      <c r="D893">
        <f>IF($M893="","",IF(ISNUMBER(INDEX(상세표[시작],$M893)),TEXT(INDEX(상세표[시작],$M893),"yyyy-mm-dd hh:mm"),INDEX(상세표[시작],$M893)&amp;""))</f>
        <v/>
      </c>
      <c r="E893">
        <f>IF($M893="","",IF(ISNUMBER(INDEX(상세표[종료],$M893)),TEXT(INDEX(상세표[종료],$M893),"yyyy-mm-dd hh:mm"),INDEX(상세표[종료],$M893)&amp;""))</f>
        <v/>
      </c>
      <c r="F893">
        <f>IF($M893="","",INDEX(상세표[기록 시간외],$M893))</f>
        <v/>
      </c>
      <c r="G893">
        <f>IF($M893="","",INDEX(상세표[시작월 기관],$M893)&amp;"")</f>
        <v/>
      </c>
      <c r="H893">
        <f>IF($M893="","",INDEX(상세표[종료월 기관],$M893)&amp;"")</f>
        <v/>
      </c>
      <c r="I893">
        <f>IF($M893="","",INDEX(상세표[월경계 판정],$M893)&amp;"")</f>
        <v/>
      </c>
      <c r="J893">
        <f>IF($M893="","",INDEX(상세표[반영월],$M893)&amp;"")</f>
        <v/>
      </c>
      <c r="K893">
        <f>IF($M893="","",INDEX(상세표[반영 기관],$M893)&amp;"")</f>
        <v/>
      </c>
      <c r="L893">
        <f>IF($M893="","",INDEX(상세표[기관 출처],$M893)&amp;"")</f>
        <v/>
      </c>
      <c r="M893" s="4">
        <f>IFERROR(MATCH(888,상세표[경계순번],0),"")</f>
        <v/>
      </c>
    </row>
    <row r="894">
      <c r="A894">
        <f>IF($M894="","",INDEX(상세표[사번],$M894)&amp;"")</f>
        <v/>
      </c>
      <c r="B894">
        <f>IF($M894="","",INDEX(상세표[성명],$M894)&amp;"")</f>
        <v/>
      </c>
      <c r="C894">
        <f>IF($M894="","",IF(INDEX(상세표[종료월],$M894)=대상월키,"전월→이번 달","이번 달→익월"))</f>
        <v/>
      </c>
      <c r="D894">
        <f>IF($M894="","",IF(ISNUMBER(INDEX(상세표[시작],$M894)),TEXT(INDEX(상세표[시작],$M894),"yyyy-mm-dd hh:mm"),INDEX(상세표[시작],$M894)&amp;""))</f>
        <v/>
      </c>
      <c r="E894">
        <f>IF($M894="","",IF(ISNUMBER(INDEX(상세표[종료],$M894)),TEXT(INDEX(상세표[종료],$M894),"yyyy-mm-dd hh:mm"),INDEX(상세표[종료],$M894)&amp;""))</f>
        <v/>
      </c>
      <c r="F894">
        <f>IF($M894="","",INDEX(상세표[기록 시간외],$M894))</f>
        <v/>
      </c>
      <c r="G894">
        <f>IF($M894="","",INDEX(상세표[시작월 기관],$M894)&amp;"")</f>
        <v/>
      </c>
      <c r="H894">
        <f>IF($M894="","",INDEX(상세표[종료월 기관],$M894)&amp;"")</f>
        <v/>
      </c>
      <c r="I894">
        <f>IF($M894="","",INDEX(상세표[월경계 판정],$M894)&amp;"")</f>
        <v/>
      </c>
      <c r="J894">
        <f>IF($M894="","",INDEX(상세표[반영월],$M894)&amp;"")</f>
        <v/>
      </c>
      <c r="K894">
        <f>IF($M894="","",INDEX(상세표[반영 기관],$M894)&amp;"")</f>
        <v/>
      </c>
      <c r="L894">
        <f>IF($M894="","",INDEX(상세표[기관 출처],$M894)&amp;"")</f>
        <v/>
      </c>
      <c r="M894" s="4">
        <f>IFERROR(MATCH(889,상세표[경계순번],0),"")</f>
        <v/>
      </c>
    </row>
    <row r="895">
      <c r="A895">
        <f>IF($M895="","",INDEX(상세표[사번],$M895)&amp;"")</f>
        <v/>
      </c>
      <c r="B895">
        <f>IF($M895="","",INDEX(상세표[성명],$M895)&amp;"")</f>
        <v/>
      </c>
      <c r="C895">
        <f>IF($M895="","",IF(INDEX(상세표[종료월],$M895)=대상월키,"전월→이번 달","이번 달→익월"))</f>
        <v/>
      </c>
      <c r="D895">
        <f>IF($M895="","",IF(ISNUMBER(INDEX(상세표[시작],$M895)),TEXT(INDEX(상세표[시작],$M895),"yyyy-mm-dd hh:mm"),INDEX(상세표[시작],$M895)&amp;""))</f>
        <v/>
      </c>
      <c r="E895">
        <f>IF($M895="","",IF(ISNUMBER(INDEX(상세표[종료],$M895)),TEXT(INDEX(상세표[종료],$M895),"yyyy-mm-dd hh:mm"),INDEX(상세표[종료],$M895)&amp;""))</f>
        <v/>
      </c>
      <c r="F895">
        <f>IF($M895="","",INDEX(상세표[기록 시간외],$M895))</f>
        <v/>
      </c>
      <c r="G895">
        <f>IF($M895="","",INDEX(상세표[시작월 기관],$M895)&amp;"")</f>
        <v/>
      </c>
      <c r="H895">
        <f>IF($M895="","",INDEX(상세표[종료월 기관],$M895)&amp;"")</f>
        <v/>
      </c>
      <c r="I895">
        <f>IF($M895="","",INDEX(상세표[월경계 판정],$M895)&amp;"")</f>
        <v/>
      </c>
      <c r="J895">
        <f>IF($M895="","",INDEX(상세표[반영월],$M895)&amp;"")</f>
        <v/>
      </c>
      <c r="K895">
        <f>IF($M895="","",INDEX(상세표[반영 기관],$M895)&amp;"")</f>
        <v/>
      </c>
      <c r="L895">
        <f>IF($M895="","",INDEX(상세표[기관 출처],$M895)&amp;"")</f>
        <v/>
      </c>
      <c r="M895" s="4">
        <f>IFERROR(MATCH(890,상세표[경계순번],0),"")</f>
        <v/>
      </c>
    </row>
    <row r="896">
      <c r="A896">
        <f>IF($M896="","",INDEX(상세표[사번],$M896)&amp;"")</f>
        <v/>
      </c>
      <c r="B896">
        <f>IF($M896="","",INDEX(상세표[성명],$M896)&amp;"")</f>
        <v/>
      </c>
      <c r="C896">
        <f>IF($M896="","",IF(INDEX(상세표[종료월],$M896)=대상월키,"전월→이번 달","이번 달→익월"))</f>
        <v/>
      </c>
      <c r="D896">
        <f>IF($M896="","",IF(ISNUMBER(INDEX(상세표[시작],$M896)),TEXT(INDEX(상세표[시작],$M896),"yyyy-mm-dd hh:mm"),INDEX(상세표[시작],$M896)&amp;""))</f>
        <v/>
      </c>
      <c r="E896">
        <f>IF($M896="","",IF(ISNUMBER(INDEX(상세표[종료],$M896)),TEXT(INDEX(상세표[종료],$M896),"yyyy-mm-dd hh:mm"),INDEX(상세표[종료],$M896)&amp;""))</f>
        <v/>
      </c>
      <c r="F896">
        <f>IF($M896="","",INDEX(상세표[기록 시간외],$M896))</f>
        <v/>
      </c>
      <c r="G896">
        <f>IF($M896="","",INDEX(상세표[시작월 기관],$M896)&amp;"")</f>
        <v/>
      </c>
      <c r="H896">
        <f>IF($M896="","",INDEX(상세표[종료월 기관],$M896)&amp;"")</f>
        <v/>
      </c>
      <c r="I896">
        <f>IF($M896="","",INDEX(상세표[월경계 판정],$M896)&amp;"")</f>
        <v/>
      </c>
      <c r="J896">
        <f>IF($M896="","",INDEX(상세표[반영월],$M896)&amp;"")</f>
        <v/>
      </c>
      <c r="K896">
        <f>IF($M896="","",INDEX(상세표[반영 기관],$M896)&amp;"")</f>
        <v/>
      </c>
      <c r="L896">
        <f>IF($M896="","",INDEX(상세표[기관 출처],$M896)&amp;"")</f>
        <v/>
      </c>
      <c r="M896" s="4">
        <f>IFERROR(MATCH(891,상세표[경계순번],0),"")</f>
        <v/>
      </c>
    </row>
    <row r="897">
      <c r="A897">
        <f>IF($M897="","",INDEX(상세표[사번],$M897)&amp;"")</f>
        <v/>
      </c>
      <c r="B897">
        <f>IF($M897="","",INDEX(상세표[성명],$M897)&amp;"")</f>
        <v/>
      </c>
      <c r="C897">
        <f>IF($M897="","",IF(INDEX(상세표[종료월],$M897)=대상월키,"전월→이번 달","이번 달→익월"))</f>
        <v/>
      </c>
      <c r="D897">
        <f>IF($M897="","",IF(ISNUMBER(INDEX(상세표[시작],$M897)),TEXT(INDEX(상세표[시작],$M897),"yyyy-mm-dd hh:mm"),INDEX(상세표[시작],$M897)&amp;""))</f>
        <v/>
      </c>
      <c r="E897">
        <f>IF($M897="","",IF(ISNUMBER(INDEX(상세표[종료],$M897)),TEXT(INDEX(상세표[종료],$M897),"yyyy-mm-dd hh:mm"),INDEX(상세표[종료],$M897)&amp;""))</f>
        <v/>
      </c>
      <c r="F897">
        <f>IF($M897="","",INDEX(상세표[기록 시간외],$M897))</f>
        <v/>
      </c>
      <c r="G897">
        <f>IF($M897="","",INDEX(상세표[시작월 기관],$M897)&amp;"")</f>
        <v/>
      </c>
      <c r="H897">
        <f>IF($M897="","",INDEX(상세표[종료월 기관],$M897)&amp;"")</f>
        <v/>
      </c>
      <c r="I897">
        <f>IF($M897="","",INDEX(상세표[월경계 판정],$M897)&amp;"")</f>
        <v/>
      </c>
      <c r="J897">
        <f>IF($M897="","",INDEX(상세표[반영월],$M897)&amp;"")</f>
        <v/>
      </c>
      <c r="K897">
        <f>IF($M897="","",INDEX(상세표[반영 기관],$M897)&amp;"")</f>
        <v/>
      </c>
      <c r="L897">
        <f>IF($M897="","",INDEX(상세표[기관 출처],$M897)&amp;"")</f>
        <v/>
      </c>
      <c r="M897" s="4">
        <f>IFERROR(MATCH(892,상세표[경계순번],0),"")</f>
        <v/>
      </c>
    </row>
    <row r="898">
      <c r="A898">
        <f>IF($M898="","",INDEX(상세표[사번],$M898)&amp;"")</f>
        <v/>
      </c>
      <c r="B898">
        <f>IF($M898="","",INDEX(상세표[성명],$M898)&amp;"")</f>
        <v/>
      </c>
      <c r="C898">
        <f>IF($M898="","",IF(INDEX(상세표[종료월],$M898)=대상월키,"전월→이번 달","이번 달→익월"))</f>
        <v/>
      </c>
      <c r="D898">
        <f>IF($M898="","",IF(ISNUMBER(INDEX(상세표[시작],$M898)),TEXT(INDEX(상세표[시작],$M898),"yyyy-mm-dd hh:mm"),INDEX(상세표[시작],$M898)&amp;""))</f>
        <v/>
      </c>
      <c r="E898">
        <f>IF($M898="","",IF(ISNUMBER(INDEX(상세표[종료],$M898)),TEXT(INDEX(상세표[종료],$M898),"yyyy-mm-dd hh:mm"),INDEX(상세표[종료],$M898)&amp;""))</f>
        <v/>
      </c>
      <c r="F898">
        <f>IF($M898="","",INDEX(상세표[기록 시간외],$M898))</f>
        <v/>
      </c>
      <c r="G898">
        <f>IF($M898="","",INDEX(상세표[시작월 기관],$M898)&amp;"")</f>
        <v/>
      </c>
      <c r="H898">
        <f>IF($M898="","",INDEX(상세표[종료월 기관],$M898)&amp;"")</f>
        <v/>
      </c>
      <c r="I898">
        <f>IF($M898="","",INDEX(상세표[월경계 판정],$M898)&amp;"")</f>
        <v/>
      </c>
      <c r="J898">
        <f>IF($M898="","",INDEX(상세표[반영월],$M898)&amp;"")</f>
        <v/>
      </c>
      <c r="K898">
        <f>IF($M898="","",INDEX(상세표[반영 기관],$M898)&amp;"")</f>
        <v/>
      </c>
      <c r="L898">
        <f>IF($M898="","",INDEX(상세표[기관 출처],$M898)&amp;"")</f>
        <v/>
      </c>
      <c r="M898" s="4">
        <f>IFERROR(MATCH(893,상세표[경계순번],0),"")</f>
        <v/>
      </c>
    </row>
    <row r="899">
      <c r="A899">
        <f>IF($M899="","",INDEX(상세표[사번],$M899)&amp;"")</f>
        <v/>
      </c>
      <c r="B899">
        <f>IF($M899="","",INDEX(상세표[성명],$M899)&amp;"")</f>
        <v/>
      </c>
      <c r="C899">
        <f>IF($M899="","",IF(INDEX(상세표[종료월],$M899)=대상월키,"전월→이번 달","이번 달→익월"))</f>
        <v/>
      </c>
      <c r="D899">
        <f>IF($M899="","",IF(ISNUMBER(INDEX(상세표[시작],$M899)),TEXT(INDEX(상세표[시작],$M899),"yyyy-mm-dd hh:mm"),INDEX(상세표[시작],$M899)&amp;""))</f>
        <v/>
      </c>
      <c r="E899">
        <f>IF($M899="","",IF(ISNUMBER(INDEX(상세표[종료],$M899)),TEXT(INDEX(상세표[종료],$M899),"yyyy-mm-dd hh:mm"),INDEX(상세표[종료],$M899)&amp;""))</f>
        <v/>
      </c>
      <c r="F899">
        <f>IF($M899="","",INDEX(상세표[기록 시간외],$M899))</f>
        <v/>
      </c>
      <c r="G899">
        <f>IF($M899="","",INDEX(상세표[시작월 기관],$M899)&amp;"")</f>
        <v/>
      </c>
      <c r="H899">
        <f>IF($M899="","",INDEX(상세표[종료월 기관],$M899)&amp;"")</f>
        <v/>
      </c>
      <c r="I899">
        <f>IF($M899="","",INDEX(상세표[월경계 판정],$M899)&amp;"")</f>
        <v/>
      </c>
      <c r="J899">
        <f>IF($M899="","",INDEX(상세표[반영월],$M899)&amp;"")</f>
        <v/>
      </c>
      <c r="K899">
        <f>IF($M899="","",INDEX(상세표[반영 기관],$M899)&amp;"")</f>
        <v/>
      </c>
      <c r="L899">
        <f>IF($M899="","",INDEX(상세표[기관 출처],$M899)&amp;"")</f>
        <v/>
      </c>
      <c r="M899" s="4">
        <f>IFERROR(MATCH(894,상세표[경계순번],0),"")</f>
        <v/>
      </c>
    </row>
    <row r="900">
      <c r="A900">
        <f>IF($M900="","",INDEX(상세표[사번],$M900)&amp;"")</f>
        <v/>
      </c>
      <c r="B900">
        <f>IF($M900="","",INDEX(상세표[성명],$M900)&amp;"")</f>
        <v/>
      </c>
      <c r="C900">
        <f>IF($M900="","",IF(INDEX(상세표[종료월],$M900)=대상월키,"전월→이번 달","이번 달→익월"))</f>
        <v/>
      </c>
      <c r="D900">
        <f>IF($M900="","",IF(ISNUMBER(INDEX(상세표[시작],$M900)),TEXT(INDEX(상세표[시작],$M900),"yyyy-mm-dd hh:mm"),INDEX(상세표[시작],$M900)&amp;""))</f>
        <v/>
      </c>
      <c r="E900">
        <f>IF($M900="","",IF(ISNUMBER(INDEX(상세표[종료],$M900)),TEXT(INDEX(상세표[종료],$M900),"yyyy-mm-dd hh:mm"),INDEX(상세표[종료],$M900)&amp;""))</f>
        <v/>
      </c>
      <c r="F900">
        <f>IF($M900="","",INDEX(상세표[기록 시간외],$M900))</f>
        <v/>
      </c>
      <c r="G900">
        <f>IF($M900="","",INDEX(상세표[시작월 기관],$M900)&amp;"")</f>
        <v/>
      </c>
      <c r="H900">
        <f>IF($M900="","",INDEX(상세표[종료월 기관],$M900)&amp;"")</f>
        <v/>
      </c>
      <c r="I900">
        <f>IF($M900="","",INDEX(상세표[월경계 판정],$M900)&amp;"")</f>
        <v/>
      </c>
      <c r="J900">
        <f>IF($M900="","",INDEX(상세표[반영월],$M900)&amp;"")</f>
        <v/>
      </c>
      <c r="K900">
        <f>IF($M900="","",INDEX(상세표[반영 기관],$M900)&amp;"")</f>
        <v/>
      </c>
      <c r="L900">
        <f>IF($M900="","",INDEX(상세표[기관 출처],$M900)&amp;"")</f>
        <v/>
      </c>
      <c r="M900" s="4">
        <f>IFERROR(MATCH(895,상세표[경계순번],0),"")</f>
        <v/>
      </c>
    </row>
    <row r="901">
      <c r="A901">
        <f>IF($M901="","",INDEX(상세표[사번],$M901)&amp;"")</f>
        <v/>
      </c>
      <c r="B901">
        <f>IF($M901="","",INDEX(상세표[성명],$M901)&amp;"")</f>
        <v/>
      </c>
      <c r="C901">
        <f>IF($M901="","",IF(INDEX(상세표[종료월],$M901)=대상월키,"전월→이번 달","이번 달→익월"))</f>
        <v/>
      </c>
      <c r="D901">
        <f>IF($M901="","",IF(ISNUMBER(INDEX(상세표[시작],$M901)),TEXT(INDEX(상세표[시작],$M901),"yyyy-mm-dd hh:mm"),INDEX(상세표[시작],$M901)&amp;""))</f>
        <v/>
      </c>
      <c r="E901">
        <f>IF($M901="","",IF(ISNUMBER(INDEX(상세표[종료],$M901)),TEXT(INDEX(상세표[종료],$M901),"yyyy-mm-dd hh:mm"),INDEX(상세표[종료],$M901)&amp;""))</f>
        <v/>
      </c>
      <c r="F901">
        <f>IF($M901="","",INDEX(상세표[기록 시간외],$M901))</f>
        <v/>
      </c>
      <c r="G901">
        <f>IF($M901="","",INDEX(상세표[시작월 기관],$M901)&amp;"")</f>
        <v/>
      </c>
      <c r="H901">
        <f>IF($M901="","",INDEX(상세표[종료월 기관],$M901)&amp;"")</f>
        <v/>
      </c>
      <c r="I901">
        <f>IF($M901="","",INDEX(상세표[월경계 판정],$M901)&amp;"")</f>
        <v/>
      </c>
      <c r="J901">
        <f>IF($M901="","",INDEX(상세표[반영월],$M901)&amp;"")</f>
        <v/>
      </c>
      <c r="K901">
        <f>IF($M901="","",INDEX(상세표[반영 기관],$M901)&amp;"")</f>
        <v/>
      </c>
      <c r="L901">
        <f>IF($M901="","",INDEX(상세표[기관 출처],$M901)&amp;"")</f>
        <v/>
      </c>
      <c r="M901" s="4">
        <f>IFERROR(MATCH(896,상세표[경계순번],0),"")</f>
        <v/>
      </c>
    </row>
    <row r="902">
      <c r="A902">
        <f>IF($M902="","",INDEX(상세표[사번],$M902)&amp;"")</f>
        <v/>
      </c>
      <c r="B902">
        <f>IF($M902="","",INDEX(상세표[성명],$M902)&amp;"")</f>
        <v/>
      </c>
      <c r="C902">
        <f>IF($M902="","",IF(INDEX(상세표[종료월],$M902)=대상월키,"전월→이번 달","이번 달→익월"))</f>
        <v/>
      </c>
      <c r="D902">
        <f>IF($M902="","",IF(ISNUMBER(INDEX(상세표[시작],$M902)),TEXT(INDEX(상세표[시작],$M902),"yyyy-mm-dd hh:mm"),INDEX(상세표[시작],$M902)&amp;""))</f>
        <v/>
      </c>
      <c r="E902">
        <f>IF($M902="","",IF(ISNUMBER(INDEX(상세표[종료],$M902)),TEXT(INDEX(상세표[종료],$M902),"yyyy-mm-dd hh:mm"),INDEX(상세표[종료],$M902)&amp;""))</f>
        <v/>
      </c>
      <c r="F902">
        <f>IF($M902="","",INDEX(상세표[기록 시간외],$M902))</f>
        <v/>
      </c>
      <c r="G902">
        <f>IF($M902="","",INDEX(상세표[시작월 기관],$M902)&amp;"")</f>
        <v/>
      </c>
      <c r="H902">
        <f>IF($M902="","",INDEX(상세표[종료월 기관],$M902)&amp;"")</f>
        <v/>
      </c>
      <c r="I902">
        <f>IF($M902="","",INDEX(상세표[월경계 판정],$M902)&amp;"")</f>
        <v/>
      </c>
      <c r="J902">
        <f>IF($M902="","",INDEX(상세표[반영월],$M902)&amp;"")</f>
        <v/>
      </c>
      <c r="K902">
        <f>IF($M902="","",INDEX(상세표[반영 기관],$M902)&amp;"")</f>
        <v/>
      </c>
      <c r="L902">
        <f>IF($M902="","",INDEX(상세표[기관 출처],$M902)&amp;"")</f>
        <v/>
      </c>
      <c r="M902" s="4">
        <f>IFERROR(MATCH(897,상세표[경계순번],0),"")</f>
        <v/>
      </c>
    </row>
    <row r="903">
      <c r="A903">
        <f>IF($M903="","",INDEX(상세표[사번],$M903)&amp;"")</f>
        <v/>
      </c>
      <c r="B903">
        <f>IF($M903="","",INDEX(상세표[성명],$M903)&amp;"")</f>
        <v/>
      </c>
      <c r="C903">
        <f>IF($M903="","",IF(INDEX(상세표[종료월],$M903)=대상월키,"전월→이번 달","이번 달→익월"))</f>
        <v/>
      </c>
      <c r="D903">
        <f>IF($M903="","",IF(ISNUMBER(INDEX(상세표[시작],$M903)),TEXT(INDEX(상세표[시작],$M903),"yyyy-mm-dd hh:mm"),INDEX(상세표[시작],$M903)&amp;""))</f>
        <v/>
      </c>
      <c r="E903">
        <f>IF($M903="","",IF(ISNUMBER(INDEX(상세표[종료],$M903)),TEXT(INDEX(상세표[종료],$M903),"yyyy-mm-dd hh:mm"),INDEX(상세표[종료],$M903)&amp;""))</f>
        <v/>
      </c>
      <c r="F903">
        <f>IF($M903="","",INDEX(상세표[기록 시간외],$M903))</f>
        <v/>
      </c>
      <c r="G903">
        <f>IF($M903="","",INDEX(상세표[시작월 기관],$M903)&amp;"")</f>
        <v/>
      </c>
      <c r="H903">
        <f>IF($M903="","",INDEX(상세표[종료월 기관],$M903)&amp;"")</f>
        <v/>
      </c>
      <c r="I903">
        <f>IF($M903="","",INDEX(상세표[월경계 판정],$M903)&amp;"")</f>
        <v/>
      </c>
      <c r="J903">
        <f>IF($M903="","",INDEX(상세표[반영월],$M903)&amp;"")</f>
        <v/>
      </c>
      <c r="K903">
        <f>IF($M903="","",INDEX(상세표[반영 기관],$M903)&amp;"")</f>
        <v/>
      </c>
      <c r="L903">
        <f>IF($M903="","",INDEX(상세표[기관 출처],$M903)&amp;"")</f>
        <v/>
      </c>
      <c r="M903" s="4">
        <f>IFERROR(MATCH(898,상세표[경계순번],0),"")</f>
        <v/>
      </c>
    </row>
    <row r="904">
      <c r="A904">
        <f>IF($M904="","",INDEX(상세표[사번],$M904)&amp;"")</f>
        <v/>
      </c>
      <c r="B904">
        <f>IF($M904="","",INDEX(상세표[성명],$M904)&amp;"")</f>
        <v/>
      </c>
      <c r="C904">
        <f>IF($M904="","",IF(INDEX(상세표[종료월],$M904)=대상월키,"전월→이번 달","이번 달→익월"))</f>
        <v/>
      </c>
      <c r="D904">
        <f>IF($M904="","",IF(ISNUMBER(INDEX(상세표[시작],$M904)),TEXT(INDEX(상세표[시작],$M904),"yyyy-mm-dd hh:mm"),INDEX(상세표[시작],$M904)&amp;""))</f>
        <v/>
      </c>
      <c r="E904">
        <f>IF($M904="","",IF(ISNUMBER(INDEX(상세표[종료],$M904)),TEXT(INDEX(상세표[종료],$M904),"yyyy-mm-dd hh:mm"),INDEX(상세표[종료],$M904)&amp;""))</f>
        <v/>
      </c>
      <c r="F904">
        <f>IF($M904="","",INDEX(상세표[기록 시간외],$M904))</f>
        <v/>
      </c>
      <c r="G904">
        <f>IF($M904="","",INDEX(상세표[시작월 기관],$M904)&amp;"")</f>
        <v/>
      </c>
      <c r="H904">
        <f>IF($M904="","",INDEX(상세표[종료월 기관],$M904)&amp;"")</f>
        <v/>
      </c>
      <c r="I904">
        <f>IF($M904="","",INDEX(상세표[월경계 판정],$M904)&amp;"")</f>
        <v/>
      </c>
      <c r="J904">
        <f>IF($M904="","",INDEX(상세표[반영월],$M904)&amp;"")</f>
        <v/>
      </c>
      <c r="K904">
        <f>IF($M904="","",INDEX(상세표[반영 기관],$M904)&amp;"")</f>
        <v/>
      </c>
      <c r="L904">
        <f>IF($M904="","",INDEX(상세표[기관 출처],$M904)&amp;"")</f>
        <v/>
      </c>
      <c r="M904" s="4">
        <f>IFERROR(MATCH(899,상세표[경계순번],0),"")</f>
        <v/>
      </c>
    </row>
    <row r="905">
      <c r="A905">
        <f>IF($M905="","",INDEX(상세표[사번],$M905)&amp;"")</f>
        <v/>
      </c>
      <c r="B905">
        <f>IF($M905="","",INDEX(상세표[성명],$M905)&amp;"")</f>
        <v/>
      </c>
      <c r="C905">
        <f>IF($M905="","",IF(INDEX(상세표[종료월],$M905)=대상월키,"전월→이번 달","이번 달→익월"))</f>
        <v/>
      </c>
      <c r="D905">
        <f>IF($M905="","",IF(ISNUMBER(INDEX(상세표[시작],$M905)),TEXT(INDEX(상세표[시작],$M905),"yyyy-mm-dd hh:mm"),INDEX(상세표[시작],$M905)&amp;""))</f>
        <v/>
      </c>
      <c r="E905">
        <f>IF($M905="","",IF(ISNUMBER(INDEX(상세표[종료],$M905)),TEXT(INDEX(상세표[종료],$M905),"yyyy-mm-dd hh:mm"),INDEX(상세표[종료],$M905)&amp;""))</f>
        <v/>
      </c>
      <c r="F905">
        <f>IF($M905="","",INDEX(상세표[기록 시간외],$M905))</f>
        <v/>
      </c>
      <c r="G905">
        <f>IF($M905="","",INDEX(상세표[시작월 기관],$M905)&amp;"")</f>
        <v/>
      </c>
      <c r="H905">
        <f>IF($M905="","",INDEX(상세표[종료월 기관],$M905)&amp;"")</f>
        <v/>
      </c>
      <c r="I905">
        <f>IF($M905="","",INDEX(상세표[월경계 판정],$M905)&amp;"")</f>
        <v/>
      </c>
      <c r="J905">
        <f>IF($M905="","",INDEX(상세표[반영월],$M905)&amp;"")</f>
        <v/>
      </c>
      <c r="K905">
        <f>IF($M905="","",INDEX(상세표[반영 기관],$M905)&amp;"")</f>
        <v/>
      </c>
      <c r="L905">
        <f>IF($M905="","",INDEX(상세표[기관 출처],$M905)&amp;"")</f>
        <v/>
      </c>
      <c r="M905" s="4">
        <f>IFERROR(MATCH(900,상세표[경계순번],0),"")</f>
        <v/>
      </c>
    </row>
    <row r="906">
      <c r="A906">
        <f>IF($M906="","",INDEX(상세표[사번],$M906)&amp;"")</f>
        <v/>
      </c>
      <c r="B906">
        <f>IF($M906="","",INDEX(상세표[성명],$M906)&amp;"")</f>
        <v/>
      </c>
      <c r="C906">
        <f>IF($M906="","",IF(INDEX(상세표[종료월],$M906)=대상월키,"전월→이번 달","이번 달→익월"))</f>
        <v/>
      </c>
      <c r="D906">
        <f>IF($M906="","",IF(ISNUMBER(INDEX(상세표[시작],$M906)),TEXT(INDEX(상세표[시작],$M906),"yyyy-mm-dd hh:mm"),INDEX(상세표[시작],$M906)&amp;""))</f>
        <v/>
      </c>
      <c r="E906">
        <f>IF($M906="","",IF(ISNUMBER(INDEX(상세표[종료],$M906)),TEXT(INDEX(상세표[종료],$M906),"yyyy-mm-dd hh:mm"),INDEX(상세표[종료],$M906)&amp;""))</f>
        <v/>
      </c>
      <c r="F906">
        <f>IF($M906="","",INDEX(상세표[기록 시간외],$M906))</f>
        <v/>
      </c>
      <c r="G906">
        <f>IF($M906="","",INDEX(상세표[시작월 기관],$M906)&amp;"")</f>
        <v/>
      </c>
      <c r="H906">
        <f>IF($M906="","",INDEX(상세표[종료월 기관],$M906)&amp;"")</f>
        <v/>
      </c>
      <c r="I906">
        <f>IF($M906="","",INDEX(상세표[월경계 판정],$M906)&amp;"")</f>
        <v/>
      </c>
      <c r="J906">
        <f>IF($M906="","",INDEX(상세표[반영월],$M906)&amp;"")</f>
        <v/>
      </c>
      <c r="K906">
        <f>IF($M906="","",INDEX(상세표[반영 기관],$M906)&amp;"")</f>
        <v/>
      </c>
      <c r="L906">
        <f>IF($M906="","",INDEX(상세표[기관 출처],$M906)&amp;"")</f>
        <v/>
      </c>
      <c r="M906" s="4">
        <f>IFERROR(MATCH(901,상세표[경계순번],0),"")</f>
        <v/>
      </c>
    </row>
    <row r="907">
      <c r="A907">
        <f>IF($M907="","",INDEX(상세표[사번],$M907)&amp;"")</f>
        <v/>
      </c>
      <c r="B907">
        <f>IF($M907="","",INDEX(상세표[성명],$M907)&amp;"")</f>
        <v/>
      </c>
      <c r="C907">
        <f>IF($M907="","",IF(INDEX(상세표[종료월],$M907)=대상월키,"전월→이번 달","이번 달→익월"))</f>
        <v/>
      </c>
      <c r="D907">
        <f>IF($M907="","",IF(ISNUMBER(INDEX(상세표[시작],$M907)),TEXT(INDEX(상세표[시작],$M907),"yyyy-mm-dd hh:mm"),INDEX(상세표[시작],$M907)&amp;""))</f>
        <v/>
      </c>
      <c r="E907">
        <f>IF($M907="","",IF(ISNUMBER(INDEX(상세표[종료],$M907)),TEXT(INDEX(상세표[종료],$M907),"yyyy-mm-dd hh:mm"),INDEX(상세표[종료],$M907)&amp;""))</f>
        <v/>
      </c>
      <c r="F907">
        <f>IF($M907="","",INDEX(상세표[기록 시간외],$M907))</f>
        <v/>
      </c>
      <c r="G907">
        <f>IF($M907="","",INDEX(상세표[시작월 기관],$M907)&amp;"")</f>
        <v/>
      </c>
      <c r="H907">
        <f>IF($M907="","",INDEX(상세표[종료월 기관],$M907)&amp;"")</f>
        <v/>
      </c>
      <c r="I907">
        <f>IF($M907="","",INDEX(상세표[월경계 판정],$M907)&amp;"")</f>
        <v/>
      </c>
      <c r="J907">
        <f>IF($M907="","",INDEX(상세표[반영월],$M907)&amp;"")</f>
        <v/>
      </c>
      <c r="K907">
        <f>IF($M907="","",INDEX(상세표[반영 기관],$M907)&amp;"")</f>
        <v/>
      </c>
      <c r="L907">
        <f>IF($M907="","",INDEX(상세표[기관 출처],$M907)&amp;"")</f>
        <v/>
      </c>
      <c r="M907" s="4">
        <f>IFERROR(MATCH(902,상세표[경계순번],0),"")</f>
        <v/>
      </c>
    </row>
    <row r="908">
      <c r="A908">
        <f>IF($M908="","",INDEX(상세표[사번],$M908)&amp;"")</f>
        <v/>
      </c>
      <c r="B908">
        <f>IF($M908="","",INDEX(상세표[성명],$M908)&amp;"")</f>
        <v/>
      </c>
      <c r="C908">
        <f>IF($M908="","",IF(INDEX(상세표[종료월],$M908)=대상월키,"전월→이번 달","이번 달→익월"))</f>
        <v/>
      </c>
      <c r="D908">
        <f>IF($M908="","",IF(ISNUMBER(INDEX(상세표[시작],$M908)),TEXT(INDEX(상세표[시작],$M908),"yyyy-mm-dd hh:mm"),INDEX(상세표[시작],$M908)&amp;""))</f>
        <v/>
      </c>
      <c r="E908">
        <f>IF($M908="","",IF(ISNUMBER(INDEX(상세표[종료],$M908)),TEXT(INDEX(상세표[종료],$M908),"yyyy-mm-dd hh:mm"),INDEX(상세표[종료],$M908)&amp;""))</f>
        <v/>
      </c>
      <c r="F908">
        <f>IF($M908="","",INDEX(상세표[기록 시간외],$M908))</f>
        <v/>
      </c>
      <c r="G908">
        <f>IF($M908="","",INDEX(상세표[시작월 기관],$M908)&amp;"")</f>
        <v/>
      </c>
      <c r="H908">
        <f>IF($M908="","",INDEX(상세표[종료월 기관],$M908)&amp;"")</f>
        <v/>
      </c>
      <c r="I908">
        <f>IF($M908="","",INDEX(상세표[월경계 판정],$M908)&amp;"")</f>
        <v/>
      </c>
      <c r="J908">
        <f>IF($M908="","",INDEX(상세표[반영월],$M908)&amp;"")</f>
        <v/>
      </c>
      <c r="K908">
        <f>IF($M908="","",INDEX(상세표[반영 기관],$M908)&amp;"")</f>
        <v/>
      </c>
      <c r="L908">
        <f>IF($M908="","",INDEX(상세표[기관 출처],$M908)&amp;"")</f>
        <v/>
      </c>
      <c r="M908" s="4">
        <f>IFERROR(MATCH(903,상세표[경계순번],0),"")</f>
        <v/>
      </c>
    </row>
    <row r="909">
      <c r="A909">
        <f>IF($M909="","",INDEX(상세표[사번],$M909)&amp;"")</f>
        <v/>
      </c>
      <c r="B909">
        <f>IF($M909="","",INDEX(상세표[성명],$M909)&amp;"")</f>
        <v/>
      </c>
      <c r="C909">
        <f>IF($M909="","",IF(INDEX(상세표[종료월],$M909)=대상월키,"전월→이번 달","이번 달→익월"))</f>
        <v/>
      </c>
      <c r="D909">
        <f>IF($M909="","",IF(ISNUMBER(INDEX(상세표[시작],$M909)),TEXT(INDEX(상세표[시작],$M909),"yyyy-mm-dd hh:mm"),INDEX(상세표[시작],$M909)&amp;""))</f>
        <v/>
      </c>
      <c r="E909">
        <f>IF($M909="","",IF(ISNUMBER(INDEX(상세표[종료],$M909)),TEXT(INDEX(상세표[종료],$M909),"yyyy-mm-dd hh:mm"),INDEX(상세표[종료],$M909)&amp;""))</f>
        <v/>
      </c>
      <c r="F909">
        <f>IF($M909="","",INDEX(상세표[기록 시간외],$M909))</f>
        <v/>
      </c>
      <c r="G909">
        <f>IF($M909="","",INDEX(상세표[시작월 기관],$M909)&amp;"")</f>
        <v/>
      </c>
      <c r="H909">
        <f>IF($M909="","",INDEX(상세표[종료월 기관],$M909)&amp;"")</f>
        <v/>
      </c>
      <c r="I909">
        <f>IF($M909="","",INDEX(상세표[월경계 판정],$M909)&amp;"")</f>
        <v/>
      </c>
      <c r="J909">
        <f>IF($M909="","",INDEX(상세표[반영월],$M909)&amp;"")</f>
        <v/>
      </c>
      <c r="K909">
        <f>IF($M909="","",INDEX(상세표[반영 기관],$M909)&amp;"")</f>
        <v/>
      </c>
      <c r="L909">
        <f>IF($M909="","",INDEX(상세표[기관 출처],$M909)&amp;"")</f>
        <v/>
      </c>
      <c r="M909" s="4">
        <f>IFERROR(MATCH(904,상세표[경계순번],0),"")</f>
        <v/>
      </c>
    </row>
    <row r="910">
      <c r="A910">
        <f>IF($M910="","",INDEX(상세표[사번],$M910)&amp;"")</f>
        <v/>
      </c>
      <c r="B910">
        <f>IF($M910="","",INDEX(상세표[성명],$M910)&amp;"")</f>
        <v/>
      </c>
      <c r="C910">
        <f>IF($M910="","",IF(INDEX(상세표[종료월],$M910)=대상월키,"전월→이번 달","이번 달→익월"))</f>
        <v/>
      </c>
      <c r="D910">
        <f>IF($M910="","",IF(ISNUMBER(INDEX(상세표[시작],$M910)),TEXT(INDEX(상세표[시작],$M910),"yyyy-mm-dd hh:mm"),INDEX(상세표[시작],$M910)&amp;""))</f>
        <v/>
      </c>
      <c r="E910">
        <f>IF($M910="","",IF(ISNUMBER(INDEX(상세표[종료],$M910)),TEXT(INDEX(상세표[종료],$M910),"yyyy-mm-dd hh:mm"),INDEX(상세표[종료],$M910)&amp;""))</f>
        <v/>
      </c>
      <c r="F910">
        <f>IF($M910="","",INDEX(상세표[기록 시간외],$M910))</f>
        <v/>
      </c>
      <c r="G910">
        <f>IF($M910="","",INDEX(상세표[시작월 기관],$M910)&amp;"")</f>
        <v/>
      </c>
      <c r="H910">
        <f>IF($M910="","",INDEX(상세표[종료월 기관],$M910)&amp;"")</f>
        <v/>
      </c>
      <c r="I910">
        <f>IF($M910="","",INDEX(상세표[월경계 판정],$M910)&amp;"")</f>
        <v/>
      </c>
      <c r="J910">
        <f>IF($M910="","",INDEX(상세표[반영월],$M910)&amp;"")</f>
        <v/>
      </c>
      <c r="K910">
        <f>IF($M910="","",INDEX(상세표[반영 기관],$M910)&amp;"")</f>
        <v/>
      </c>
      <c r="L910">
        <f>IF($M910="","",INDEX(상세표[기관 출처],$M910)&amp;"")</f>
        <v/>
      </c>
      <c r="M910" s="4">
        <f>IFERROR(MATCH(905,상세표[경계순번],0),"")</f>
        <v/>
      </c>
    </row>
    <row r="911">
      <c r="A911">
        <f>IF($M911="","",INDEX(상세표[사번],$M911)&amp;"")</f>
        <v/>
      </c>
      <c r="B911">
        <f>IF($M911="","",INDEX(상세표[성명],$M911)&amp;"")</f>
        <v/>
      </c>
      <c r="C911">
        <f>IF($M911="","",IF(INDEX(상세표[종료월],$M911)=대상월키,"전월→이번 달","이번 달→익월"))</f>
        <v/>
      </c>
      <c r="D911">
        <f>IF($M911="","",IF(ISNUMBER(INDEX(상세표[시작],$M911)),TEXT(INDEX(상세표[시작],$M911),"yyyy-mm-dd hh:mm"),INDEX(상세표[시작],$M911)&amp;""))</f>
        <v/>
      </c>
      <c r="E911">
        <f>IF($M911="","",IF(ISNUMBER(INDEX(상세표[종료],$M911)),TEXT(INDEX(상세표[종료],$M911),"yyyy-mm-dd hh:mm"),INDEX(상세표[종료],$M911)&amp;""))</f>
        <v/>
      </c>
      <c r="F911">
        <f>IF($M911="","",INDEX(상세표[기록 시간외],$M911))</f>
        <v/>
      </c>
      <c r="G911">
        <f>IF($M911="","",INDEX(상세표[시작월 기관],$M911)&amp;"")</f>
        <v/>
      </c>
      <c r="H911">
        <f>IF($M911="","",INDEX(상세표[종료월 기관],$M911)&amp;"")</f>
        <v/>
      </c>
      <c r="I911">
        <f>IF($M911="","",INDEX(상세표[월경계 판정],$M911)&amp;"")</f>
        <v/>
      </c>
      <c r="J911">
        <f>IF($M911="","",INDEX(상세표[반영월],$M911)&amp;"")</f>
        <v/>
      </c>
      <c r="K911">
        <f>IF($M911="","",INDEX(상세표[반영 기관],$M911)&amp;"")</f>
        <v/>
      </c>
      <c r="L911">
        <f>IF($M911="","",INDEX(상세표[기관 출처],$M911)&amp;"")</f>
        <v/>
      </c>
      <c r="M911" s="4">
        <f>IFERROR(MATCH(906,상세표[경계순번],0),"")</f>
        <v/>
      </c>
    </row>
    <row r="912">
      <c r="A912">
        <f>IF($M912="","",INDEX(상세표[사번],$M912)&amp;"")</f>
        <v/>
      </c>
      <c r="B912">
        <f>IF($M912="","",INDEX(상세표[성명],$M912)&amp;"")</f>
        <v/>
      </c>
      <c r="C912">
        <f>IF($M912="","",IF(INDEX(상세표[종료월],$M912)=대상월키,"전월→이번 달","이번 달→익월"))</f>
        <v/>
      </c>
      <c r="D912">
        <f>IF($M912="","",IF(ISNUMBER(INDEX(상세표[시작],$M912)),TEXT(INDEX(상세표[시작],$M912),"yyyy-mm-dd hh:mm"),INDEX(상세표[시작],$M912)&amp;""))</f>
        <v/>
      </c>
      <c r="E912">
        <f>IF($M912="","",IF(ISNUMBER(INDEX(상세표[종료],$M912)),TEXT(INDEX(상세표[종료],$M912),"yyyy-mm-dd hh:mm"),INDEX(상세표[종료],$M912)&amp;""))</f>
        <v/>
      </c>
      <c r="F912">
        <f>IF($M912="","",INDEX(상세표[기록 시간외],$M912))</f>
        <v/>
      </c>
      <c r="G912">
        <f>IF($M912="","",INDEX(상세표[시작월 기관],$M912)&amp;"")</f>
        <v/>
      </c>
      <c r="H912">
        <f>IF($M912="","",INDEX(상세표[종료월 기관],$M912)&amp;"")</f>
        <v/>
      </c>
      <c r="I912">
        <f>IF($M912="","",INDEX(상세표[월경계 판정],$M912)&amp;"")</f>
        <v/>
      </c>
      <c r="J912">
        <f>IF($M912="","",INDEX(상세표[반영월],$M912)&amp;"")</f>
        <v/>
      </c>
      <c r="K912">
        <f>IF($M912="","",INDEX(상세표[반영 기관],$M912)&amp;"")</f>
        <v/>
      </c>
      <c r="L912">
        <f>IF($M912="","",INDEX(상세표[기관 출처],$M912)&amp;"")</f>
        <v/>
      </c>
      <c r="M912" s="4">
        <f>IFERROR(MATCH(907,상세표[경계순번],0),"")</f>
        <v/>
      </c>
    </row>
    <row r="913">
      <c r="A913">
        <f>IF($M913="","",INDEX(상세표[사번],$M913)&amp;"")</f>
        <v/>
      </c>
      <c r="B913">
        <f>IF($M913="","",INDEX(상세표[성명],$M913)&amp;"")</f>
        <v/>
      </c>
      <c r="C913">
        <f>IF($M913="","",IF(INDEX(상세표[종료월],$M913)=대상월키,"전월→이번 달","이번 달→익월"))</f>
        <v/>
      </c>
      <c r="D913">
        <f>IF($M913="","",IF(ISNUMBER(INDEX(상세표[시작],$M913)),TEXT(INDEX(상세표[시작],$M913),"yyyy-mm-dd hh:mm"),INDEX(상세표[시작],$M913)&amp;""))</f>
        <v/>
      </c>
      <c r="E913">
        <f>IF($M913="","",IF(ISNUMBER(INDEX(상세표[종료],$M913)),TEXT(INDEX(상세표[종료],$M913),"yyyy-mm-dd hh:mm"),INDEX(상세표[종료],$M913)&amp;""))</f>
        <v/>
      </c>
      <c r="F913">
        <f>IF($M913="","",INDEX(상세표[기록 시간외],$M913))</f>
        <v/>
      </c>
      <c r="G913">
        <f>IF($M913="","",INDEX(상세표[시작월 기관],$M913)&amp;"")</f>
        <v/>
      </c>
      <c r="H913">
        <f>IF($M913="","",INDEX(상세표[종료월 기관],$M913)&amp;"")</f>
        <v/>
      </c>
      <c r="I913">
        <f>IF($M913="","",INDEX(상세표[월경계 판정],$M913)&amp;"")</f>
        <v/>
      </c>
      <c r="J913">
        <f>IF($M913="","",INDEX(상세표[반영월],$M913)&amp;"")</f>
        <v/>
      </c>
      <c r="K913">
        <f>IF($M913="","",INDEX(상세표[반영 기관],$M913)&amp;"")</f>
        <v/>
      </c>
      <c r="L913">
        <f>IF($M913="","",INDEX(상세표[기관 출처],$M913)&amp;"")</f>
        <v/>
      </c>
      <c r="M913" s="4">
        <f>IFERROR(MATCH(908,상세표[경계순번],0),"")</f>
        <v/>
      </c>
    </row>
    <row r="914">
      <c r="A914">
        <f>IF($M914="","",INDEX(상세표[사번],$M914)&amp;"")</f>
        <v/>
      </c>
      <c r="B914">
        <f>IF($M914="","",INDEX(상세표[성명],$M914)&amp;"")</f>
        <v/>
      </c>
      <c r="C914">
        <f>IF($M914="","",IF(INDEX(상세표[종료월],$M914)=대상월키,"전월→이번 달","이번 달→익월"))</f>
        <v/>
      </c>
      <c r="D914">
        <f>IF($M914="","",IF(ISNUMBER(INDEX(상세표[시작],$M914)),TEXT(INDEX(상세표[시작],$M914),"yyyy-mm-dd hh:mm"),INDEX(상세표[시작],$M914)&amp;""))</f>
        <v/>
      </c>
      <c r="E914">
        <f>IF($M914="","",IF(ISNUMBER(INDEX(상세표[종료],$M914)),TEXT(INDEX(상세표[종료],$M914),"yyyy-mm-dd hh:mm"),INDEX(상세표[종료],$M914)&amp;""))</f>
        <v/>
      </c>
      <c r="F914">
        <f>IF($M914="","",INDEX(상세표[기록 시간외],$M914))</f>
        <v/>
      </c>
      <c r="G914">
        <f>IF($M914="","",INDEX(상세표[시작월 기관],$M914)&amp;"")</f>
        <v/>
      </c>
      <c r="H914">
        <f>IF($M914="","",INDEX(상세표[종료월 기관],$M914)&amp;"")</f>
        <v/>
      </c>
      <c r="I914">
        <f>IF($M914="","",INDEX(상세표[월경계 판정],$M914)&amp;"")</f>
        <v/>
      </c>
      <c r="J914">
        <f>IF($M914="","",INDEX(상세표[반영월],$M914)&amp;"")</f>
        <v/>
      </c>
      <c r="K914">
        <f>IF($M914="","",INDEX(상세표[반영 기관],$M914)&amp;"")</f>
        <v/>
      </c>
      <c r="L914">
        <f>IF($M914="","",INDEX(상세표[기관 출처],$M914)&amp;"")</f>
        <v/>
      </c>
      <c r="M914" s="4">
        <f>IFERROR(MATCH(909,상세표[경계순번],0),"")</f>
        <v/>
      </c>
    </row>
    <row r="915">
      <c r="A915">
        <f>IF($M915="","",INDEX(상세표[사번],$M915)&amp;"")</f>
        <v/>
      </c>
      <c r="B915">
        <f>IF($M915="","",INDEX(상세표[성명],$M915)&amp;"")</f>
        <v/>
      </c>
      <c r="C915">
        <f>IF($M915="","",IF(INDEX(상세표[종료월],$M915)=대상월키,"전월→이번 달","이번 달→익월"))</f>
        <v/>
      </c>
      <c r="D915">
        <f>IF($M915="","",IF(ISNUMBER(INDEX(상세표[시작],$M915)),TEXT(INDEX(상세표[시작],$M915),"yyyy-mm-dd hh:mm"),INDEX(상세표[시작],$M915)&amp;""))</f>
        <v/>
      </c>
      <c r="E915">
        <f>IF($M915="","",IF(ISNUMBER(INDEX(상세표[종료],$M915)),TEXT(INDEX(상세표[종료],$M915),"yyyy-mm-dd hh:mm"),INDEX(상세표[종료],$M915)&amp;""))</f>
        <v/>
      </c>
      <c r="F915">
        <f>IF($M915="","",INDEX(상세표[기록 시간외],$M915))</f>
        <v/>
      </c>
      <c r="G915">
        <f>IF($M915="","",INDEX(상세표[시작월 기관],$M915)&amp;"")</f>
        <v/>
      </c>
      <c r="H915">
        <f>IF($M915="","",INDEX(상세표[종료월 기관],$M915)&amp;"")</f>
        <v/>
      </c>
      <c r="I915">
        <f>IF($M915="","",INDEX(상세표[월경계 판정],$M915)&amp;"")</f>
        <v/>
      </c>
      <c r="J915">
        <f>IF($M915="","",INDEX(상세표[반영월],$M915)&amp;"")</f>
        <v/>
      </c>
      <c r="K915">
        <f>IF($M915="","",INDEX(상세표[반영 기관],$M915)&amp;"")</f>
        <v/>
      </c>
      <c r="L915">
        <f>IF($M915="","",INDEX(상세표[기관 출처],$M915)&amp;"")</f>
        <v/>
      </c>
      <c r="M915" s="4">
        <f>IFERROR(MATCH(910,상세표[경계순번],0),"")</f>
        <v/>
      </c>
    </row>
    <row r="916">
      <c r="A916">
        <f>IF($M916="","",INDEX(상세표[사번],$M916)&amp;"")</f>
        <v/>
      </c>
      <c r="B916">
        <f>IF($M916="","",INDEX(상세표[성명],$M916)&amp;"")</f>
        <v/>
      </c>
      <c r="C916">
        <f>IF($M916="","",IF(INDEX(상세표[종료월],$M916)=대상월키,"전월→이번 달","이번 달→익월"))</f>
        <v/>
      </c>
      <c r="D916">
        <f>IF($M916="","",IF(ISNUMBER(INDEX(상세표[시작],$M916)),TEXT(INDEX(상세표[시작],$M916),"yyyy-mm-dd hh:mm"),INDEX(상세표[시작],$M916)&amp;""))</f>
        <v/>
      </c>
      <c r="E916">
        <f>IF($M916="","",IF(ISNUMBER(INDEX(상세표[종료],$M916)),TEXT(INDEX(상세표[종료],$M916),"yyyy-mm-dd hh:mm"),INDEX(상세표[종료],$M916)&amp;""))</f>
        <v/>
      </c>
      <c r="F916">
        <f>IF($M916="","",INDEX(상세표[기록 시간외],$M916))</f>
        <v/>
      </c>
      <c r="G916">
        <f>IF($M916="","",INDEX(상세표[시작월 기관],$M916)&amp;"")</f>
        <v/>
      </c>
      <c r="H916">
        <f>IF($M916="","",INDEX(상세표[종료월 기관],$M916)&amp;"")</f>
        <v/>
      </c>
      <c r="I916">
        <f>IF($M916="","",INDEX(상세표[월경계 판정],$M916)&amp;"")</f>
        <v/>
      </c>
      <c r="J916">
        <f>IF($M916="","",INDEX(상세표[반영월],$M916)&amp;"")</f>
        <v/>
      </c>
      <c r="K916">
        <f>IF($M916="","",INDEX(상세표[반영 기관],$M916)&amp;"")</f>
        <v/>
      </c>
      <c r="L916">
        <f>IF($M916="","",INDEX(상세표[기관 출처],$M916)&amp;"")</f>
        <v/>
      </c>
      <c r="M916" s="4">
        <f>IFERROR(MATCH(911,상세표[경계순번],0),"")</f>
        <v/>
      </c>
    </row>
    <row r="917">
      <c r="A917">
        <f>IF($M917="","",INDEX(상세표[사번],$M917)&amp;"")</f>
        <v/>
      </c>
      <c r="B917">
        <f>IF($M917="","",INDEX(상세표[성명],$M917)&amp;"")</f>
        <v/>
      </c>
      <c r="C917">
        <f>IF($M917="","",IF(INDEX(상세표[종료월],$M917)=대상월키,"전월→이번 달","이번 달→익월"))</f>
        <v/>
      </c>
      <c r="D917">
        <f>IF($M917="","",IF(ISNUMBER(INDEX(상세표[시작],$M917)),TEXT(INDEX(상세표[시작],$M917),"yyyy-mm-dd hh:mm"),INDEX(상세표[시작],$M917)&amp;""))</f>
        <v/>
      </c>
      <c r="E917">
        <f>IF($M917="","",IF(ISNUMBER(INDEX(상세표[종료],$M917)),TEXT(INDEX(상세표[종료],$M917),"yyyy-mm-dd hh:mm"),INDEX(상세표[종료],$M917)&amp;""))</f>
        <v/>
      </c>
      <c r="F917">
        <f>IF($M917="","",INDEX(상세표[기록 시간외],$M917))</f>
        <v/>
      </c>
      <c r="G917">
        <f>IF($M917="","",INDEX(상세표[시작월 기관],$M917)&amp;"")</f>
        <v/>
      </c>
      <c r="H917">
        <f>IF($M917="","",INDEX(상세표[종료월 기관],$M917)&amp;"")</f>
        <v/>
      </c>
      <c r="I917">
        <f>IF($M917="","",INDEX(상세표[월경계 판정],$M917)&amp;"")</f>
        <v/>
      </c>
      <c r="J917">
        <f>IF($M917="","",INDEX(상세표[반영월],$M917)&amp;"")</f>
        <v/>
      </c>
      <c r="K917">
        <f>IF($M917="","",INDEX(상세표[반영 기관],$M917)&amp;"")</f>
        <v/>
      </c>
      <c r="L917">
        <f>IF($M917="","",INDEX(상세표[기관 출처],$M917)&amp;"")</f>
        <v/>
      </c>
      <c r="M917" s="4">
        <f>IFERROR(MATCH(912,상세표[경계순번],0),"")</f>
        <v/>
      </c>
    </row>
    <row r="918">
      <c r="A918">
        <f>IF($M918="","",INDEX(상세표[사번],$M918)&amp;"")</f>
        <v/>
      </c>
      <c r="B918">
        <f>IF($M918="","",INDEX(상세표[성명],$M918)&amp;"")</f>
        <v/>
      </c>
      <c r="C918">
        <f>IF($M918="","",IF(INDEX(상세표[종료월],$M918)=대상월키,"전월→이번 달","이번 달→익월"))</f>
        <v/>
      </c>
      <c r="D918">
        <f>IF($M918="","",IF(ISNUMBER(INDEX(상세표[시작],$M918)),TEXT(INDEX(상세표[시작],$M918),"yyyy-mm-dd hh:mm"),INDEX(상세표[시작],$M918)&amp;""))</f>
        <v/>
      </c>
      <c r="E918">
        <f>IF($M918="","",IF(ISNUMBER(INDEX(상세표[종료],$M918)),TEXT(INDEX(상세표[종료],$M918),"yyyy-mm-dd hh:mm"),INDEX(상세표[종료],$M918)&amp;""))</f>
        <v/>
      </c>
      <c r="F918">
        <f>IF($M918="","",INDEX(상세표[기록 시간외],$M918))</f>
        <v/>
      </c>
      <c r="G918">
        <f>IF($M918="","",INDEX(상세표[시작월 기관],$M918)&amp;"")</f>
        <v/>
      </c>
      <c r="H918">
        <f>IF($M918="","",INDEX(상세표[종료월 기관],$M918)&amp;"")</f>
        <v/>
      </c>
      <c r="I918">
        <f>IF($M918="","",INDEX(상세표[월경계 판정],$M918)&amp;"")</f>
        <v/>
      </c>
      <c r="J918">
        <f>IF($M918="","",INDEX(상세표[반영월],$M918)&amp;"")</f>
        <v/>
      </c>
      <c r="K918">
        <f>IF($M918="","",INDEX(상세표[반영 기관],$M918)&amp;"")</f>
        <v/>
      </c>
      <c r="L918">
        <f>IF($M918="","",INDEX(상세표[기관 출처],$M918)&amp;"")</f>
        <v/>
      </c>
      <c r="M918" s="4">
        <f>IFERROR(MATCH(913,상세표[경계순번],0),"")</f>
        <v/>
      </c>
    </row>
    <row r="919">
      <c r="A919">
        <f>IF($M919="","",INDEX(상세표[사번],$M919)&amp;"")</f>
        <v/>
      </c>
      <c r="B919">
        <f>IF($M919="","",INDEX(상세표[성명],$M919)&amp;"")</f>
        <v/>
      </c>
      <c r="C919">
        <f>IF($M919="","",IF(INDEX(상세표[종료월],$M919)=대상월키,"전월→이번 달","이번 달→익월"))</f>
        <v/>
      </c>
      <c r="D919">
        <f>IF($M919="","",IF(ISNUMBER(INDEX(상세표[시작],$M919)),TEXT(INDEX(상세표[시작],$M919),"yyyy-mm-dd hh:mm"),INDEX(상세표[시작],$M919)&amp;""))</f>
        <v/>
      </c>
      <c r="E919">
        <f>IF($M919="","",IF(ISNUMBER(INDEX(상세표[종료],$M919)),TEXT(INDEX(상세표[종료],$M919),"yyyy-mm-dd hh:mm"),INDEX(상세표[종료],$M919)&amp;""))</f>
        <v/>
      </c>
      <c r="F919">
        <f>IF($M919="","",INDEX(상세표[기록 시간외],$M919))</f>
        <v/>
      </c>
      <c r="G919">
        <f>IF($M919="","",INDEX(상세표[시작월 기관],$M919)&amp;"")</f>
        <v/>
      </c>
      <c r="H919">
        <f>IF($M919="","",INDEX(상세표[종료월 기관],$M919)&amp;"")</f>
        <v/>
      </c>
      <c r="I919">
        <f>IF($M919="","",INDEX(상세표[월경계 판정],$M919)&amp;"")</f>
        <v/>
      </c>
      <c r="J919">
        <f>IF($M919="","",INDEX(상세표[반영월],$M919)&amp;"")</f>
        <v/>
      </c>
      <c r="K919">
        <f>IF($M919="","",INDEX(상세표[반영 기관],$M919)&amp;"")</f>
        <v/>
      </c>
      <c r="L919">
        <f>IF($M919="","",INDEX(상세표[기관 출처],$M919)&amp;"")</f>
        <v/>
      </c>
      <c r="M919" s="4">
        <f>IFERROR(MATCH(914,상세표[경계순번],0),"")</f>
        <v/>
      </c>
    </row>
    <row r="920">
      <c r="A920">
        <f>IF($M920="","",INDEX(상세표[사번],$M920)&amp;"")</f>
        <v/>
      </c>
      <c r="B920">
        <f>IF($M920="","",INDEX(상세표[성명],$M920)&amp;"")</f>
        <v/>
      </c>
      <c r="C920">
        <f>IF($M920="","",IF(INDEX(상세표[종료월],$M920)=대상월키,"전월→이번 달","이번 달→익월"))</f>
        <v/>
      </c>
      <c r="D920">
        <f>IF($M920="","",IF(ISNUMBER(INDEX(상세표[시작],$M920)),TEXT(INDEX(상세표[시작],$M920),"yyyy-mm-dd hh:mm"),INDEX(상세표[시작],$M920)&amp;""))</f>
        <v/>
      </c>
      <c r="E920">
        <f>IF($M920="","",IF(ISNUMBER(INDEX(상세표[종료],$M920)),TEXT(INDEX(상세표[종료],$M920),"yyyy-mm-dd hh:mm"),INDEX(상세표[종료],$M920)&amp;""))</f>
        <v/>
      </c>
      <c r="F920">
        <f>IF($M920="","",INDEX(상세표[기록 시간외],$M920))</f>
        <v/>
      </c>
      <c r="G920">
        <f>IF($M920="","",INDEX(상세표[시작월 기관],$M920)&amp;"")</f>
        <v/>
      </c>
      <c r="H920">
        <f>IF($M920="","",INDEX(상세표[종료월 기관],$M920)&amp;"")</f>
        <v/>
      </c>
      <c r="I920">
        <f>IF($M920="","",INDEX(상세표[월경계 판정],$M920)&amp;"")</f>
        <v/>
      </c>
      <c r="J920">
        <f>IF($M920="","",INDEX(상세표[반영월],$M920)&amp;"")</f>
        <v/>
      </c>
      <c r="K920">
        <f>IF($M920="","",INDEX(상세표[반영 기관],$M920)&amp;"")</f>
        <v/>
      </c>
      <c r="L920">
        <f>IF($M920="","",INDEX(상세표[기관 출처],$M920)&amp;"")</f>
        <v/>
      </c>
      <c r="M920" s="4">
        <f>IFERROR(MATCH(915,상세표[경계순번],0),"")</f>
        <v/>
      </c>
    </row>
    <row r="921">
      <c r="A921">
        <f>IF($M921="","",INDEX(상세표[사번],$M921)&amp;"")</f>
        <v/>
      </c>
      <c r="B921">
        <f>IF($M921="","",INDEX(상세표[성명],$M921)&amp;"")</f>
        <v/>
      </c>
      <c r="C921">
        <f>IF($M921="","",IF(INDEX(상세표[종료월],$M921)=대상월키,"전월→이번 달","이번 달→익월"))</f>
        <v/>
      </c>
      <c r="D921">
        <f>IF($M921="","",IF(ISNUMBER(INDEX(상세표[시작],$M921)),TEXT(INDEX(상세표[시작],$M921),"yyyy-mm-dd hh:mm"),INDEX(상세표[시작],$M921)&amp;""))</f>
        <v/>
      </c>
      <c r="E921">
        <f>IF($M921="","",IF(ISNUMBER(INDEX(상세표[종료],$M921)),TEXT(INDEX(상세표[종료],$M921),"yyyy-mm-dd hh:mm"),INDEX(상세표[종료],$M921)&amp;""))</f>
        <v/>
      </c>
      <c r="F921">
        <f>IF($M921="","",INDEX(상세표[기록 시간외],$M921))</f>
        <v/>
      </c>
      <c r="G921">
        <f>IF($M921="","",INDEX(상세표[시작월 기관],$M921)&amp;"")</f>
        <v/>
      </c>
      <c r="H921">
        <f>IF($M921="","",INDEX(상세표[종료월 기관],$M921)&amp;"")</f>
        <v/>
      </c>
      <c r="I921">
        <f>IF($M921="","",INDEX(상세표[월경계 판정],$M921)&amp;"")</f>
        <v/>
      </c>
      <c r="J921">
        <f>IF($M921="","",INDEX(상세표[반영월],$M921)&amp;"")</f>
        <v/>
      </c>
      <c r="K921">
        <f>IF($M921="","",INDEX(상세표[반영 기관],$M921)&amp;"")</f>
        <v/>
      </c>
      <c r="L921">
        <f>IF($M921="","",INDEX(상세표[기관 출처],$M921)&amp;"")</f>
        <v/>
      </c>
      <c r="M921" s="4">
        <f>IFERROR(MATCH(916,상세표[경계순번],0),"")</f>
        <v/>
      </c>
    </row>
    <row r="922">
      <c r="A922">
        <f>IF($M922="","",INDEX(상세표[사번],$M922)&amp;"")</f>
        <v/>
      </c>
      <c r="B922">
        <f>IF($M922="","",INDEX(상세표[성명],$M922)&amp;"")</f>
        <v/>
      </c>
      <c r="C922">
        <f>IF($M922="","",IF(INDEX(상세표[종료월],$M922)=대상월키,"전월→이번 달","이번 달→익월"))</f>
        <v/>
      </c>
      <c r="D922">
        <f>IF($M922="","",IF(ISNUMBER(INDEX(상세표[시작],$M922)),TEXT(INDEX(상세표[시작],$M922),"yyyy-mm-dd hh:mm"),INDEX(상세표[시작],$M922)&amp;""))</f>
        <v/>
      </c>
      <c r="E922">
        <f>IF($M922="","",IF(ISNUMBER(INDEX(상세표[종료],$M922)),TEXT(INDEX(상세표[종료],$M922),"yyyy-mm-dd hh:mm"),INDEX(상세표[종료],$M922)&amp;""))</f>
        <v/>
      </c>
      <c r="F922">
        <f>IF($M922="","",INDEX(상세표[기록 시간외],$M922))</f>
        <v/>
      </c>
      <c r="G922">
        <f>IF($M922="","",INDEX(상세표[시작월 기관],$M922)&amp;"")</f>
        <v/>
      </c>
      <c r="H922">
        <f>IF($M922="","",INDEX(상세표[종료월 기관],$M922)&amp;"")</f>
        <v/>
      </c>
      <c r="I922">
        <f>IF($M922="","",INDEX(상세표[월경계 판정],$M922)&amp;"")</f>
        <v/>
      </c>
      <c r="J922">
        <f>IF($M922="","",INDEX(상세표[반영월],$M922)&amp;"")</f>
        <v/>
      </c>
      <c r="K922">
        <f>IF($M922="","",INDEX(상세표[반영 기관],$M922)&amp;"")</f>
        <v/>
      </c>
      <c r="L922">
        <f>IF($M922="","",INDEX(상세표[기관 출처],$M922)&amp;"")</f>
        <v/>
      </c>
      <c r="M922" s="4">
        <f>IFERROR(MATCH(917,상세표[경계순번],0),"")</f>
        <v/>
      </c>
    </row>
    <row r="923">
      <c r="A923">
        <f>IF($M923="","",INDEX(상세표[사번],$M923)&amp;"")</f>
        <v/>
      </c>
      <c r="B923">
        <f>IF($M923="","",INDEX(상세표[성명],$M923)&amp;"")</f>
        <v/>
      </c>
      <c r="C923">
        <f>IF($M923="","",IF(INDEX(상세표[종료월],$M923)=대상월키,"전월→이번 달","이번 달→익월"))</f>
        <v/>
      </c>
      <c r="D923">
        <f>IF($M923="","",IF(ISNUMBER(INDEX(상세표[시작],$M923)),TEXT(INDEX(상세표[시작],$M923),"yyyy-mm-dd hh:mm"),INDEX(상세표[시작],$M923)&amp;""))</f>
        <v/>
      </c>
      <c r="E923">
        <f>IF($M923="","",IF(ISNUMBER(INDEX(상세표[종료],$M923)),TEXT(INDEX(상세표[종료],$M923),"yyyy-mm-dd hh:mm"),INDEX(상세표[종료],$M923)&amp;""))</f>
        <v/>
      </c>
      <c r="F923">
        <f>IF($M923="","",INDEX(상세표[기록 시간외],$M923))</f>
        <v/>
      </c>
      <c r="G923">
        <f>IF($M923="","",INDEX(상세표[시작월 기관],$M923)&amp;"")</f>
        <v/>
      </c>
      <c r="H923">
        <f>IF($M923="","",INDEX(상세표[종료월 기관],$M923)&amp;"")</f>
        <v/>
      </c>
      <c r="I923">
        <f>IF($M923="","",INDEX(상세표[월경계 판정],$M923)&amp;"")</f>
        <v/>
      </c>
      <c r="J923">
        <f>IF($M923="","",INDEX(상세표[반영월],$M923)&amp;"")</f>
        <v/>
      </c>
      <c r="K923">
        <f>IF($M923="","",INDEX(상세표[반영 기관],$M923)&amp;"")</f>
        <v/>
      </c>
      <c r="L923">
        <f>IF($M923="","",INDEX(상세표[기관 출처],$M923)&amp;"")</f>
        <v/>
      </c>
      <c r="M923" s="4">
        <f>IFERROR(MATCH(918,상세표[경계순번],0),"")</f>
        <v/>
      </c>
    </row>
    <row r="924">
      <c r="A924">
        <f>IF($M924="","",INDEX(상세표[사번],$M924)&amp;"")</f>
        <v/>
      </c>
      <c r="B924">
        <f>IF($M924="","",INDEX(상세표[성명],$M924)&amp;"")</f>
        <v/>
      </c>
      <c r="C924">
        <f>IF($M924="","",IF(INDEX(상세표[종료월],$M924)=대상월키,"전월→이번 달","이번 달→익월"))</f>
        <v/>
      </c>
      <c r="D924">
        <f>IF($M924="","",IF(ISNUMBER(INDEX(상세표[시작],$M924)),TEXT(INDEX(상세표[시작],$M924),"yyyy-mm-dd hh:mm"),INDEX(상세표[시작],$M924)&amp;""))</f>
        <v/>
      </c>
      <c r="E924">
        <f>IF($M924="","",IF(ISNUMBER(INDEX(상세표[종료],$M924)),TEXT(INDEX(상세표[종료],$M924),"yyyy-mm-dd hh:mm"),INDEX(상세표[종료],$M924)&amp;""))</f>
        <v/>
      </c>
      <c r="F924">
        <f>IF($M924="","",INDEX(상세표[기록 시간외],$M924))</f>
        <v/>
      </c>
      <c r="G924">
        <f>IF($M924="","",INDEX(상세표[시작월 기관],$M924)&amp;"")</f>
        <v/>
      </c>
      <c r="H924">
        <f>IF($M924="","",INDEX(상세표[종료월 기관],$M924)&amp;"")</f>
        <v/>
      </c>
      <c r="I924">
        <f>IF($M924="","",INDEX(상세표[월경계 판정],$M924)&amp;"")</f>
        <v/>
      </c>
      <c r="J924">
        <f>IF($M924="","",INDEX(상세표[반영월],$M924)&amp;"")</f>
        <v/>
      </c>
      <c r="K924">
        <f>IF($M924="","",INDEX(상세표[반영 기관],$M924)&amp;"")</f>
        <v/>
      </c>
      <c r="L924">
        <f>IF($M924="","",INDEX(상세표[기관 출처],$M924)&amp;"")</f>
        <v/>
      </c>
      <c r="M924" s="4">
        <f>IFERROR(MATCH(919,상세표[경계순번],0),"")</f>
        <v/>
      </c>
    </row>
    <row r="925">
      <c r="A925">
        <f>IF($M925="","",INDEX(상세표[사번],$M925)&amp;"")</f>
        <v/>
      </c>
      <c r="B925">
        <f>IF($M925="","",INDEX(상세표[성명],$M925)&amp;"")</f>
        <v/>
      </c>
      <c r="C925">
        <f>IF($M925="","",IF(INDEX(상세표[종료월],$M925)=대상월키,"전월→이번 달","이번 달→익월"))</f>
        <v/>
      </c>
      <c r="D925">
        <f>IF($M925="","",IF(ISNUMBER(INDEX(상세표[시작],$M925)),TEXT(INDEX(상세표[시작],$M925),"yyyy-mm-dd hh:mm"),INDEX(상세표[시작],$M925)&amp;""))</f>
        <v/>
      </c>
      <c r="E925">
        <f>IF($M925="","",IF(ISNUMBER(INDEX(상세표[종료],$M925)),TEXT(INDEX(상세표[종료],$M925),"yyyy-mm-dd hh:mm"),INDEX(상세표[종료],$M925)&amp;""))</f>
        <v/>
      </c>
      <c r="F925">
        <f>IF($M925="","",INDEX(상세표[기록 시간외],$M925))</f>
        <v/>
      </c>
      <c r="G925">
        <f>IF($M925="","",INDEX(상세표[시작월 기관],$M925)&amp;"")</f>
        <v/>
      </c>
      <c r="H925">
        <f>IF($M925="","",INDEX(상세표[종료월 기관],$M925)&amp;"")</f>
        <v/>
      </c>
      <c r="I925">
        <f>IF($M925="","",INDEX(상세표[월경계 판정],$M925)&amp;"")</f>
        <v/>
      </c>
      <c r="J925">
        <f>IF($M925="","",INDEX(상세표[반영월],$M925)&amp;"")</f>
        <v/>
      </c>
      <c r="K925">
        <f>IF($M925="","",INDEX(상세표[반영 기관],$M925)&amp;"")</f>
        <v/>
      </c>
      <c r="L925">
        <f>IF($M925="","",INDEX(상세표[기관 출처],$M925)&amp;"")</f>
        <v/>
      </c>
      <c r="M925" s="4">
        <f>IFERROR(MATCH(920,상세표[경계순번],0),"")</f>
        <v/>
      </c>
    </row>
    <row r="926">
      <c r="A926">
        <f>IF($M926="","",INDEX(상세표[사번],$M926)&amp;"")</f>
        <v/>
      </c>
      <c r="B926">
        <f>IF($M926="","",INDEX(상세표[성명],$M926)&amp;"")</f>
        <v/>
      </c>
      <c r="C926">
        <f>IF($M926="","",IF(INDEX(상세표[종료월],$M926)=대상월키,"전월→이번 달","이번 달→익월"))</f>
        <v/>
      </c>
      <c r="D926">
        <f>IF($M926="","",IF(ISNUMBER(INDEX(상세표[시작],$M926)),TEXT(INDEX(상세표[시작],$M926),"yyyy-mm-dd hh:mm"),INDEX(상세표[시작],$M926)&amp;""))</f>
        <v/>
      </c>
      <c r="E926">
        <f>IF($M926="","",IF(ISNUMBER(INDEX(상세표[종료],$M926)),TEXT(INDEX(상세표[종료],$M926),"yyyy-mm-dd hh:mm"),INDEX(상세표[종료],$M926)&amp;""))</f>
        <v/>
      </c>
      <c r="F926">
        <f>IF($M926="","",INDEX(상세표[기록 시간외],$M926))</f>
        <v/>
      </c>
      <c r="G926">
        <f>IF($M926="","",INDEX(상세표[시작월 기관],$M926)&amp;"")</f>
        <v/>
      </c>
      <c r="H926">
        <f>IF($M926="","",INDEX(상세표[종료월 기관],$M926)&amp;"")</f>
        <v/>
      </c>
      <c r="I926">
        <f>IF($M926="","",INDEX(상세표[월경계 판정],$M926)&amp;"")</f>
        <v/>
      </c>
      <c r="J926">
        <f>IF($M926="","",INDEX(상세표[반영월],$M926)&amp;"")</f>
        <v/>
      </c>
      <c r="K926">
        <f>IF($M926="","",INDEX(상세표[반영 기관],$M926)&amp;"")</f>
        <v/>
      </c>
      <c r="L926">
        <f>IF($M926="","",INDEX(상세표[기관 출처],$M926)&amp;"")</f>
        <v/>
      </c>
      <c r="M926" s="4">
        <f>IFERROR(MATCH(921,상세표[경계순번],0),"")</f>
        <v/>
      </c>
    </row>
    <row r="927">
      <c r="A927">
        <f>IF($M927="","",INDEX(상세표[사번],$M927)&amp;"")</f>
        <v/>
      </c>
      <c r="B927">
        <f>IF($M927="","",INDEX(상세표[성명],$M927)&amp;"")</f>
        <v/>
      </c>
      <c r="C927">
        <f>IF($M927="","",IF(INDEX(상세표[종료월],$M927)=대상월키,"전월→이번 달","이번 달→익월"))</f>
        <v/>
      </c>
      <c r="D927">
        <f>IF($M927="","",IF(ISNUMBER(INDEX(상세표[시작],$M927)),TEXT(INDEX(상세표[시작],$M927),"yyyy-mm-dd hh:mm"),INDEX(상세표[시작],$M927)&amp;""))</f>
        <v/>
      </c>
      <c r="E927">
        <f>IF($M927="","",IF(ISNUMBER(INDEX(상세표[종료],$M927)),TEXT(INDEX(상세표[종료],$M927),"yyyy-mm-dd hh:mm"),INDEX(상세표[종료],$M927)&amp;""))</f>
        <v/>
      </c>
      <c r="F927">
        <f>IF($M927="","",INDEX(상세표[기록 시간외],$M927))</f>
        <v/>
      </c>
      <c r="G927">
        <f>IF($M927="","",INDEX(상세표[시작월 기관],$M927)&amp;"")</f>
        <v/>
      </c>
      <c r="H927">
        <f>IF($M927="","",INDEX(상세표[종료월 기관],$M927)&amp;"")</f>
        <v/>
      </c>
      <c r="I927">
        <f>IF($M927="","",INDEX(상세표[월경계 판정],$M927)&amp;"")</f>
        <v/>
      </c>
      <c r="J927">
        <f>IF($M927="","",INDEX(상세표[반영월],$M927)&amp;"")</f>
        <v/>
      </c>
      <c r="K927">
        <f>IF($M927="","",INDEX(상세표[반영 기관],$M927)&amp;"")</f>
        <v/>
      </c>
      <c r="L927">
        <f>IF($M927="","",INDEX(상세표[기관 출처],$M927)&amp;"")</f>
        <v/>
      </c>
      <c r="M927" s="4">
        <f>IFERROR(MATCH(922,상세표[경계순번],0),"")</f>
        <v/>
      </c>
    </row>
    <row r="928">
      <c r="A928">
        <f>IF($M928="","",INDEX(상세표[사번],$M928)&amp;"")</f>
        <v/>
      </c>
      <c r="B928">
        <f>IF($M928="","",INDEX(상세표[성명],$M928)&amp;"")</f>
        <v/>
      </c>
      <c r="C928">
        <f>IF($M928="","",IF(INDEX(상세표[종료월],$M928)=대상월키,"전월→이번 달","이번 달→익월"))</f>
        <v/>
      </c>
      <c r="D928">
        <f>IF($M928="","",IF(ISNUMBER(INDEX(상세표[시작],$M928)),TEXT(INDEX(상세표[시작],$M928),"yyyy-mm-dd hh:mm"),INDEX(상세표[시작],$M928)&amp;""))</f>
        <v/>
      </c>
      <c r="E928">
        <f>IF($M928="","",IF(ISNUMBER(INDEX(상세표[종료],$M928)),TEXT(INDEX(상세표[종료],$M928),"yyyy-mm-dd hh:mm"),INDEX(상세표[종료],$M928)&amp;""))</f>
        <v/>
      </c>
      <c r="F928">
        <f>IF($M928="","",INDEX(상세표[기록 시간외],$M928))</f>
        <v/>
      </c>
      <c r="G928">
        <f>IF($M928="","",INDEX(상세표[시작월 기관],$M928)&amp;"")</f>
        <v/>
      </c>
      <c r="H928">
        <f>IF($M928="","",INDEX(상세표[종료월 기관],$M928)&amp;"")</f>
        <v/>
      </c>
      <c r="I928">
        <f>IF($M928="","",INDEX(상세표[월경계 판정],$M928)&amp;"")</f>
        <v/>
      </c>
      <c r="J928">
        <f>IF($M928="","",INDEX(상세표[반영월],$M928)&amp;"")</f>
        <v/>
      </c>
      <c r="K928">
        <f>IF($M928="","",INDEX(상세표[반영 기관],$M928)&amp;"")</f>
        <v/>
      </c>
      <c r="L928">
        <f>IF($M928="","",INDEX(상세표[기관 출처],$M928)&amp;"")</f>
        <v/>
      </c>
      <c r="M928" s="4">
        <f>IFERROR(MATCH(923,상세표[경계순번],0),"")</f>
        <v/>
      </c>
    </row>
    <row r="929">
      <c r="A929">
        <f>IF($M929="","",INDEX(상세표[사번],$M929)&amp;"")</f>
        <v/>
      </c>
      <c r="B929">
        <f>IF($M929="","",INDEX(상세표[성명],$M929)&amp;"")</f>
        <v/>
      </c>
      <c r="C929">
        <f>IF($M929="","",IF(INDEX(상세표[종료월],$M929)=대상월키,"전월→이번 달","이번 달→익월"))</f>
        <v/>
      </c>
      <c r="D929">
        <f>IF($M929="","",IF(ISNUMBER(INDEX(상세표[시작],$M929)),TEXT(INDEX(상세표[시작],$M929),"yyyy-mm-dd hh:mm"),INDEX(상세표[시작],$M929)&amp;""))</f>
        <v/>
      </c>
      <c r="E929">
        <f>IF($M929="","",IF(ISNUMBER(INDEX(상세표[종료],$M929)),TEXT(INDEX(상세표[종료],$M929),"yyyy-mm-dd hh:mm"),INDEX(상세표[종료],$M929)&amp;""))</f>
        <v/>
      </c>
      <c r="F929">
        <f>IF($M929="","",INDEX(상세표[기록 시간외],$M929))</f>
        <v/>
      </c>
      <c r="G929">
        <f>IF($M929="","",INDEX(상세표[시작월 기관],$M929)&amp;"")</f>
        <v/>
      </c>
      <c r="H929">
        <f>IF($M929="","",INDEX(상세표[종료월 기관],$M929)&amp;"")</f>
        <v/>
      </c>
      <c r="I929">
        <f>IF($M929="","",INDEX(상세표[월경계 판정],$M929)&amp;"")</f>
        <v/>
      </c>
      <c r="J929">
        <f>IF($M929="","",INDEX(상세표[반영월],$M929)&amp;"")</f>
        <v/>
      </c>
      <c r="K929">
        <f>IF($M929="","",INDEX(상세표[반영 기관],$M929)&amp;"")</f>
        <v/>
      </c>
      <c r="L929">
        <f>IF($M929="","",INDEX(상세표[기관 출처],$M929)&amp;"")</f>
        <v/>
      </c>
      <c r="M929" s="4">
        <f>IFERROR(MATCH(924,상세표[경계순번],0),"")</f>
        <v/>
      </c>
    </row>
    <row r="930">
      <c r="A930">
        <f>IF($M930="","",INDEX(상세표[사번],$M930)&amp;"")</f>
        <v/>
      </c>
      <c r="B930">
        <f>IF($M930="","",INDEX(상세표[성명],$M930)&amp;"")</f>
        <v/>
      </c>
      <c r="C930">
        <f>IF($M930="","",IF(INDEX(상세표[종료월],$M930)=대상월키,"전월→이번 달","이번 달→익월"))</f>
        <v/>
      </c>
      <c r="D930">
        <f>IF($M930="","",IF(ISNUMBER(INDEX(상세표[시작],$M930)),TEXT(INDEX(상세표[시작],$M930),"yyyy-mm-dd hh:mm"),INDEX(상세표[시작],$M930)&amp;""))</f>
        <v/>
      </c>
      <c r="E930">
        <f>IF($M930="","",IF(ISNUMBER(INDEX(상세표[종료],$M930)),TEXT(INDEX(상세표[종료],$M930),"yyyy-mm-dd hh:mm"),INDEX(상세표[종료],$M930)&amp;""))</f>
        <v/>
      </c>
      <c r="F930">
        <f>IF($M930="","",INDEX(상세표[기록 시간외],$M930))</f>
        <v/>
      </c>
      <c r="G930">
        <f>IF($M930="","",INDEX(상세표[시작월 기관],$M930)&amp;"")</f>
        <v/>
      </c>
      <c r="H930">
        <f>IF($M930="","",INDEX(상세표[종료월 기관],$M930)&amp;"")</f>
        <v/>
      </c>
      <c r="I930">
        <f>IF($M930="","",INDEX(상세표[월경계 판정],$M930)&amp;"")</f>
        <v/>
      </c>
      <c r="J930">
        <f>IF($M930="","",INDEX(상세표[반영월],$M930)&amp;"")</f>
        <v/>
      </c>
      <c r="K930">
        <f>IF($M930="","",INDEX(상세표[반영 기관],$M930)&amp;"")</f>
        <v/>
      </c>
      <c r="L930">
        <f>IF($M930="","",INDEX(상세표[기관 출처],$M930)&amp;"")</f>
        <v/>
      </c>
      <c r="M930" s="4">
        <f>IFERROR(MATCH(925,상세표[경계순번],0),"")</f>
        <v/>
      </c>
    </row>
    <row r="931">
      <c r="A931">
        <f>IF($M931="","",INDEX(상세표[사번],$M931)&amp;"")</f>
        <v/>
      </c>
      <c r="B931">
        <f>IF($M931="","",INDEX(상세표[성명],$M931)&amp;"")</f>
        <v/>
      </c>
      <c r="C931">
        <f>IF($M931="","",IF(INDEX(상세표[종료월],$M931)=대상월키,"전월→이번 달","이번 달→익월"))</f>
        <v/>
      </c>
      <c r="D931">
        <f>IF($M931="","",IF(ISNUMBER(INDEX(상세표[시작],$M931)),TEXT(INDEX(상세표[시작],$M931),"yyyy-mm-dd hh:mm"),INDEX(상세표[시작],$M931)&amp;""))</f>
        <v/>
      </c>
      <c r="E931">
        <f>IF($M931="","",IF(ISNUMBER(INDEX(상세표[종료],$M931)),TEXT(INDEX(상세표[종료],$M931),"yyyy-mm-dd hh:mm"),INDEX(상세표[종료],$M931)&amp;""))</f>
        <v/>
      </c>
      <c r="F931">
        <f>IF($M931="","",INDEX(상세표[기록 시간외],$M931))</f>
        <v/>
      </c>
      <c r="G931">
        <f>IF($M931="","",INDEX(상세표[시작월 기관],$M931)&amp;"")</f>
        <v/>
      </c>
      <c r="H931">
        <f>IF($M931="","",INDEX(상세표[종료월 기관],$M931)&amp;"")</f>
        <v/>
      </c>
      <c r="I931">
        <f>IF($M931="","",INDEX(상세표[월경계 판정],$M931)&amp;"")</f>
        <v/>
      </c>
      <c r="J931">
        <f>IF($M931="","",INDEX(상세표[반영월],$M931)&amp;"")</f>
        <v/>
      </c>
      <c r="K931">
        <f>IF($M931="","",INDEX(상세표[반영 기관],$M931)&amp;"")</f>
        <v/>
      </c>
      <c r="L931">
        <f>IF($M931="","",INDEX(상세표[기관 출처],$M931)&amp;"")</f>
        <v/>
      </c>
      <c r="M931" s="4">
        <f>IFERROR(MATCH(926,상세표[경계순번],0),"")</f>
        <v/>
      </c>
    </row>
    <row r="932">
      <c r="A932">
        <f>IF($M932="","",INDEX(상세표[사번],$M932)&amp;"")</f>
        <v/>
      </c>
      <c r="B932">
        <f>IF($M932="","",INDEX(상세표[성명],$M932)&amp;"")</f>
        <v/>
      </c>
      <c r="C932">
        <f>IF($M932="","",IF(INDEX(상세표[종료월],$M932)=대상월키,"전월→이번 달","이번 달→익월"))</f>
        <v/>
      </c>
      <c r="D932">
        <f>IF($M932="","",IF(ISNUMBER(INDEX(상세표[시작],$M932)),TEXT(INDEX(상세표[시작],$M932),"yyyy-mm-dd hh:mm"),INDEX(상세표[시작],$M932)&amp;""))</f>
        <v/>
      </c>
      <c r="E932">
        <f>IF($M932="","",IF(ISNUMBER(INDEX(상세표[종료],$M932)),TEXT(INDEX(상세표[종료],$M932),"yyyy-mm-dd hh:mm"),INDEX(상세표[종료],$M932)&amp;""))</f>
        <v/>
      </c>
      <c r="F932">
        <f>IF($M932="","",INDEX(상세표[기록 시간외],$M932))</f>
        <v/>
      </c>
      <c r="G932">
        <f>IF($M932="","",INDEX(상세표[시작월 기관],$M932)&amp;"")</f>
        <v/>
      </c>
      <c r="H932">
        <f>IF($M932="","",INDEX(상세표[종료월 기관],$M932)&amp;"")</f>
        <v/>
      </c>
      <c r="I932">
        <f>IF($M932="","",INDEX(상세표[월경계 판정],$M932)&amp;"")</f>
        <v/>
      </c>
      <c r="J932">
        <f>IF($M932="","",INDEX(상세표[반영월],$M932)&amp;"")</f>
        <v/>
      </c>
      <c r="K932">
        <f>IF($M932="","",INDEX(상세표[반영 기관],$M932)&amp;"")</f>
        <v/>
      </c>
      <c r="L932">
        <f>IF($M932="","",INDEX(상세표[기관 출처],$M932)&amp;"")</f>
        <v/>
      </c>
      <c r="M932" s="4">
        <f>IFERROR(MATCH(927,상세표[경계순번],0),"")</f>
        <v/>
      </c>
    </row>
    <row r="933">
      <c r="A933">
        <f>IF($M933="","",INDEX(상세표[사번],$M933)&amp;"")</f>
        <v/>
      </c>
      <c r="B933">
        <f>IF($M933="","",INDEX(상세표[성명],$M933)&amp;"")</f>
        <v/>
      </c>
      <c r="C933">
        <f>IF($M933="","",IF(INDEX(상세표[종료월],$M933)=대상월키,"전월→이번 달","이번 달→익월"))</f>
        <v/>
      </c>
      <c r="D933">
        <f>IF($M933="","",IF(ISNUMBER(INDEX(상세표[시작],$M933)),TEXT(INDEX(상세표[시작],$M933),"yyyy-mm-dd hh:mm"),INDEX(상세표[시작],$M933)&amp;""))</f>
        <v/>
      </c>
      <c r="E933">
        <f>IF($M933="","",IF(ISNUMBER(INDEX(상세표[종료],$M933)),TEXT(INDEX(상세표[종료],$M933),"yyyy-mm-dd hh:mm"),INDEX(상세표[종료],$M933)&amp;""))</f>
        <v/>
      </c>
      <c r="F933">
        <f>IF($M933="","",INDEX(상세표[기록 시간외],$M933))</f>
        <v/>
      </c>
      <c r="G933">
        <f>IF($M933="","",INDEX(상세표[시작월 기관],$M933)&amp;"")</f>
        <v/>
      </c>
      <c r="H933">
        <f>IF($M933="","",INDEX(상세표[종료월 기관],$M933)&amp;"")</f>
        <v/>
      </c>
      <c r="I933">
        <f>IF($M933="","",INDEX(상세표[월경계 판정],$M933)&amp;"")</f>
        <v/>
      </c>
      <c r="J933">
        <f>IF($M933="","",INDEX(상세표[반영월],$M933)&amp;"")</f>
        <v/>
      </c>
      <c r="K933">
        <f>IF($M933="","",INDEX(상세표[반영 기관],$M933)&amp;"")</f>
        <v/>
      </c>
      <c r="L933">
        <f>IF($M933="","",INDEX(상세표[기관 출처],$M933)&amp;"")</f>
        <v/>
      </c>
      <c r="M933" s="4">
        <f>IFERROR(MATCH(928,상세표[경계순번],0),"")</f>
        <v/>
      </c>
    </row>
    <row r="934">
      <c r="A934">
        <f>IF($M934="","",INDEX(상세표[사번],$M934)&amp;"")</f>
        <v/>
      </c>
      <c r="B934">
        <f>IF($M934="","",INDEX(상세표[성명],$M934)&amp;"")</f>
        <v/>
      </c>
      <c r="C934">
        <f>IF($M934="","",IF(INDEX(상세표[종료월],$M934)=대상월키,"전월→이번 달","이번 달→익월"))</f>
        <v/>
      </c>
      <c r="D934">
        <f>IF($M934="","",IF(ISNUMBER(INDEX(상세표[시작],$M934)),TEXT(INDEX(상세표[시작],$M934),"yyyy-mm-dd hh:mm"),INDEX(상세표[시작],$M934)&amp;""))</f>
        <v/>
      </c>
      <c r="E934">
        <f>IF($M934="","",IF(ISNUMBER(INDEX(상세표[종료],$M934)),TEXT(INDEX(상세표[종료],$M934),"yyyy-mm-dd hh:mm"),INDEX(상세표[종료],$M934)&amp;""))</f>
        <v/>
      </c>
      <c r="F934">
        <f>IF($M934="","",INDEX(상세표[기록 시간외],$M934))</f>
        <v/>
      </c>
      <c r="G934">
        <f>IF($M934="","",INDEX(상세표[시작월 기관],$M934)&amp;"")</f>
        <v/>
      </c>
      <c r="H934">
        <f>IF($M934="","",INDEX(상세표[종료월 기관],$M934)&amp;"")</f>
        <v/>
      </c>
      <c r="I934">
        <f>IF($M934="","",INDEX(상세표[월경계 판정],$M934)&amp;"")</f>
        <v/>
      </c>
      <c r="J934">
        <f>IF($M934="","",INDEX(상세표[반영월],$M934)&amp;"")</f>
        <v/>
      </c>
      <c r="K934">
        <f>IF($M934="","",INDEX(상세표[반영 기관],$M934)&amp;"")</f>
        <v/>
      </c>
      <c r="L934">
        <f>IF($M934="","",INDEX(상세표[기관 출처],$M934)&amp;"")</f>
        <v/>
      </c>
      <c r="M934" s="4">
        <f>IFERROR(MATCH(929,상세표[경계순번],0),"")</f>
        <v/>
      </c>
    </row>
    <row r="935">
      <c r="A935">
        <f>IF($M935="","",INDEX(상세표[사번],$M935)&amp;"")</f>
        <v/>
      </c>
      <c r="B935">
        <f>IF($M935="","",INDEX(상세표[성명],$M935)&amp;"")</f>
        <v/>
      </c>
      <c r="C935">
        <f>IF($M935="","",IF(INDEX(상세표[종료월],$M935)=대상월키,"전월→이번 달","이번 달→익월"))</f>
        <v/>
      </c>
      <c r="D935">
        <f>IF($M935="","",IF(ISNUMBER(INDEX(상세표[시작],$M935)),TEXT(INDEX(상세표[시작],$M935),"yyyy-mm-dd hh:mm"),INDEX(상세표[시작],$M935)&amp;""))</f>
        <v/>
      </c>
      <c r="E935">
        <f>IF($M935="","",IF(ISNUMBER(INDEX(상세표[종료],$M935)),TEXT(INDEX(상세표[종료],$M935),"yyyy-mm-dd hh:mm"),INDEX(상세표[종료],$M935)&amp;""))</f>
        <v/>
      </c>
      <c r="F935">
        <f>IF($M935="","",INDEX(상세표[기록 시간외],$M935))</f>
        <v/>
      </c>
      <c r="G935">
        <f>IF($M935="","",INDEX(상세표[시작월 기관],$M935)&amp;"")</f>
        <v/>
      </c>
      <c r="H935">
        <f>IF($M935="","",INDEX(상세표[종료월 기관],$M935)&amp;"")</f>
        <v/>
      </c>
      <c r="I935">
        <f>IF($M935="","",INDEX(상세표[월경계 판정],$M935)&amp;"")</f>
        <v/>
      </c>
      <c r="J935">
        <f>IF($M935="","",INDEX(상세표[반영월],$M935)&amp;"")</f>
        <v/>
      </c>
      <c r="K935">
        <f>IF($M935="","",INDEX(상세표[반영 기관],$M935)&amp;"")</f>
        <v/>
      </c>
      <c r="L935">
        <f>IF($M935="","",INDEX(상세표[기관 출처],$M935)&amp;"")</f>
        <v/>
      </c>
      <c r="M935" s="4">
        <f>IFERROR(MATCH(930,상세표[경계순번],0),"")</f>
        <v/>
      </c>
    </row>
    <row r="936">
      <c r="A936">
        <f>IF($M936="","",INDEX(상세표[사번],$M936)&amp;"")</f>
        <v/>
      </c>
      <c r="B936">
        <f>IF($M936="","",INDEX(상세표[성명],$M936)&amp;"")</f>
        <v/>
      </c>
      <c r="C936">
        <f>IF($M936="","",IF(INDEX(상세표[종료월],$M936)=대상월키,"전월→이번 달","이번 달→익월"))</f>
        <v/>
      </c>
      <c r="D936">
        <f>IF($M936="","",IF(ISNUMBER(INDEX(상세표[시작],$M936)),TEXT(INDEX(상세표[시작],$M936),"yyyy-mm-dd hh:mm"),INDEX(상세표[시작],$M936)&amp;""))</f>
        <v/>
      </c>
      <c r="E936">
        <f>IF($M936="","",IF(ISNUMBER(INDEX(상세표[종료],$M936)),TEXT(INDEX(상세표[종료],$M936),"yyyy-mm-dd hh:mm"),INDEX(상세표[종료],$M936)&amp;""))</f>
        <v/>
      </c>
      <c r="F936">
        <f>IF($M936="","",INDEX(상세표[기록 시간외],$M936))</f>
        <v/>
      </c>
      <c r="G936">
        <f>IF($M936="","",INDEX(상세표[시작월 기관],$M936)&amp;"")</f>
        <v/>
      </c>
      <c r="H936">
        <f>IF($M936="","",INDEX(상세표[종료월 기관],$M936)&amp;"")</f>
        <v/>
      </c>
      <c r="I936">
        <f>IF($M936="","",INDEX(상세표[월경계 판정],$M936)&amp;"")</f>
        <v/>
      </c>
      <c r="J936">
        <f>IF($M936="","",INDEX(상세표[반영월],$M936)&amp;"")</f>
        <v/>
      </c>
      <c r="K936">
        <f>IF($M936="","",INDEX(상세표[반영 기관],$M936)&amp;"")</f>
        <v/>
      </c>
      <c r="L936">
        <f>IF($M936="","",INDEX(상세표[기관 출처],$M936)&amp;"")</f>
        <v/>
      </c>
      <c r="M936" s="4">
        <f>IFERROR(MATCH(931,상세표[경계순번],0),"")</f>
        <v/>
      </c>
    </row>
    <row r="937">
      <c r="A937">
        <f>IF($M937="","",INDEX(상세표[사번],$M937)&amp;"")</f>
        <v/>
      </c>
      <c r="B937">
        <f>IF($M937="","",INDEX(상세표[성명],$M937)&amp;"")</f>
        <v/>
      </c>
      <c r="C937">
        <f>IF($M937="","",IF(INDEX(상세표[종료월],$M937)=대상월키,"전월→이번 달","이번 달→익월"))</f>
        <v/>
      </c>
      <c r="D937">
        <f>IF($M937="","",IF(ISNUMBER(INDEX(상세표[시작],$M937)),TEXT(INDEX(상세표[시작],$M937),"yyyy-mm-dd hh:mm"),INDEX(상세표[시작],$M937)&amp;""))</f>
        <v/>
      </c>
      <c r="E937">
        <f>IF($M937="","",IF(ISNUMBER(INDEX(상세표[종료],$M937)),TEXT(INDEX(상세표[종료],$M937),"yyyy-mm-dd hh:mm"),INDEX(상세표[종료],$M937)&amp;""))</f>
        <v/>
      </c>
      <c r="F937">
        <f>IF($M937="","",INDEX(상세표[기록 시간외],$M937))</f>
        <v/>
      </c>
      <c r="G937">
        <f>IF($M937="","",INDEX(상세표[시작월 기관],$M937)&amp;"")</f>
        <v/>
      </c>
      <c r="H937">
        <f>IF($M937="","",INDEX(상세표[종료월 기관],$M937)&amp;"")</f>
        <v/>
      </c>
      <c r="I937">
        <f>IF($M937="","",INDEX(상세표[월경계 판정],$M937)&amp;"")</f>
        <v/>
      </c>
      <c r="J937">
        <f>IF($M937="","",INDEX(상세표[반영월],$M937)&amp;"")</f>
        <v/>
      </c>
      <c r="K937">
        <f>IF($M937="","",INDEX(상세표[반영 기관],$M937)&amp;"")</f>
        <v/>
      </c>
      <c r="L937">
        <f>IF($M937="","",INDEX(상세표[기관 출처],$M937)&amp;"")</f>
        <v/>
      </c>
      <c r="M937" s="4">
        <f>IFERROR(MATCH(932,상세표[경계순번],0),"")</f>
        <v/>
      </c>
    </row>
    <row r="938">
      <c r="A938">
        <f>IF($M938="","",INDEX(상세표[사번],$M938)&amp;"")</f>
        <v/>
      </c>
      <c r="B938">
        <f>IF($M938="","",INDEX(상세표[성명],$M938)&amp;"")</f>
        <v/>
      </c>
      <c r="C938">
        <f>IF($M938="","",IF(INDEX(상세표[종료월],$M938)=대상월키,"전월→이번 달","이번 달→익월"))</f>
        <v/>
      </c>
      <c r="D938">
        <f>IF($M938="","",IF(ISNUMBER(INDEX(상세표[시작],$M938)),TEXT(INDEX(상세표[시작],$M938),"yyyy-mm-dd hh:mm"),INDEX(상세표[시작],$M938)&amp;""))</f>
        <v/>
      </c>
      <c r="E938">
        <f>IF($M938="","",IF(ISNUMBER(INDEX(상세표[종료],$M938)),TEXT(INDEX(상세표[종료],$M938),"yyyy-mm-dd hh:mm"),INDEX(상세표[종료],$M938)&amp;""))</f>
        <v/>
      </c>
      <c r="F938">
        <f>IF($M938="","",INDEX(상세표[기록 시간외],$M938))</f>
        <v/>
      </c>
      <c r="G938">
        <f>IF($M938="","",INDEX(상세표[시작월 기관],$M938)&amp;"")</f>
        <v/>
      </c>
      <c r="H938">
        <f>IF($M938="","",INDEX(상세표[종료월 기관],$M938)&amp;"")</f>
        <v/>
      </c>
      <c r="I938">
        <f>IF($M938="","",INDEX(상세표[월경계 판정],$M938)&amp;"")</f>
        <v/>
      </c>
      <c r="J938">
        <f>IF($M938="","",INDEX(상세표[반영월],$M938)&amp;"")</f>
        <v/>
      </c>
      <c r="K938">
        <f>IF($M938="","",INDEX(상세표[반영 기관],$M938)&amp;"")</f>
        <v/>
      </c>
      <c r="L938">
        <f>IF($M938="","",INDEX(상세표[기관 출처],$M938)&amp;"")</f>
        <v/>
      </c>
      <c r="M938" s="4">
        <f>IFERROR(MATCH(933,상세표[경계순번],0),"")</f>
        <v/>
      </c>
    </row>
    <row r="939">
      <c r="A939">
        <f>IF($M939="","",INDEX(상세표[사번],$M939)&amp;"")</f>
        <v/>
      </c>
      <c r="B939">
        <f>IF($M939="","",INDEX(상세표[성명],$M939)&amp;"")</f>
        <v/>
      </c>
      <c r="C939">
        <f>IF($M939="","",IF(INDEX(상세표[종료월],$M939)=대상월키,"전월→이번 달","이번 달→익월"))</f>
        <v/>
      </c>
      <c r="D939">
        <f>IF($M939="","",IF(ISNUMBER(INDEX(상세표[시작],$M939)),TEXT(INDEX(상세표[시작],$M939),"yyyy-mm-dd hh:mm"),INDEX(상세표[시작],$M939)&amp;""))</f>
        <v/>
      </c>
      <c r="E939">
        <f>IF($M939="","",IF(ISNUMBER(INDEX(상세표[종료],$M939)),TEXT(INDEX(상세표[종료],$M939),"yyyy-mm-dd hh:mm"),INDEX(상세표[종료],$M939)&amp;""))</f>
        <v/>
      </c>
      <c r="F939">
        <f>IF($M939="","",INDEX(상세표[기록 시간외],$M939))</f>
        <v/>
      </c>
      <c r="G939">
        <f>IF($M939="","",INDEX(상세표[시작월 기관],$M939)&amp;"")</f>
        <v/>
      </c>
      <c r="H939">
        <f>IF($M939="","",INDEX(상세표[종료월 기관],$M939)&amp;"")</f>
        <v/>
      </c>
      <c r="I939">
        <f>IF($M939="","",INDEX(상세표[월경계 판정],$M939)&amp;"")</f>
        <v/>
      </c>
      <c r="J939">
        <f>IF($M939="","",INDEX(상세표[반영월],$M939)&amp;"")</f>
        <v/>
      </c>
      <c r="K939">
        <f>IF($M939="","",INDEX(상세표[반영 기관],$M939)&amp;"")</f>
        <v/>
      </c>
      <c r="L939">
        <f>IF($M939="","",INDEX(상세표[기관 출처],$M939)&amp;"")</f>
        <v/>
      </c>
      <c r="M939" s="4">
        <f>IFERROR(MATCH(934,상세표[경계순번],0),"")</f>
        <v/>
      </c>
    </row>
    <row r="940">
      <c r="A940">
        <f>IF($M940="","",INDEX(상세표[사번],$M940)&amp;"")</f>
        <v/>
      </c>
      <c r="B940">
        <f>IF($M940="","",INDEX(상세표[성명],$M940)&amp;"")</f>
        <v/>
      </c>
      <c r="C940">
        <f>IF($M940="","",IF(INDEX(상세표[종료월],$M940)=대상월키,"전월→이번 달","이번 달→익월"))</f>
        <v/>
      </c>
      <c r="D940">
        <f>IF($M940="","",IF(ISNUMBER(INDEX(상세표[시작],$M940)),TEXT(INDEX(상세표[시작],$M940),"yyyy-mm-dd hh:mm"),INDEX(상세표[시작],$M940)&amp;""))</f>
        <v/>
      </c>
      <c r="E940">
        <f>IF($M940="","",IF(ISNUMBER(INDEX(상세표[종료],$M940)),TEXT(INDEX(상세표[종료],$M940),"yyyy-mm-dd hh:mm"),INDEX(상세표[종료],$M940)&amp;""))</f>
        <v/>
      </c>
      <c r="F940">
        <f>IF($M940="","",INDEX(상세표[기록 시간외],$M940))</f>
        <v/>
      </c>
      <c r="G940">
        <f>IF($M940="","",INDEX(상세표[시작월 기관],$M940)&amp;"")</f>
        <v/>
      </c>
      <c r="H940">
        <f>IF($M940="","",INDEX(상세표[종료월 기관],$M940)&amp;"")</f>
        <v/>
      </c>
      <c r="I940">
        <f>IF($M940="","",INDEX(상세표[월경계 판정],$M940)&amp;"")</f>
        <v/>
      </c>
      <c r="J940">
        <f>IF($M940="","",INDEX(상세표[반영월],$M940)&amp;"")</f>
        <v/>
      </c>
      <c r="K940">
        <f>IF($M940="","",INDEX(상세표[반영 기관],$M940)&amp;"")</f>
        <v/>
      </c>
      <c r="L940">
        <f>IF($M940="","",INDEX(상세표[기관 출처],$M940)&amp;"")</f>
        <v/>
      </c>
      <c r="M940" s="4">
        <f>IFERROR(MATCH(935,상세표[경계순번],0),"")</f>
        <v/>
      </c>
    </row>
    <row r="941">
      <c r="A941">
        <f>IF($M941="","",INDEX(상세표[사번],$M941)&amp;"")</f>
        <v/>
      </c>
      <c r="B941">
        <f>IF($M941="","",INDEX(상세표[성명],$M941)&amp;"")</f>
        <v/>
      </c>
      <c r="C941">
        <f>IF($M941="","",IF(INDEX(상세표[종료월],$M941)=대상월키,"전월→이번 달","이번 달→익월"))</f>
        <v/>
      </c>
      <c r="D941">
        <f>IF($M941="","",IF(ISNUMBER(INDEX(상세표[시작],$M941)),TEXT(INDEX(상세표[시작],$M941),"yyyy-mm-dd hh:mm"),INDEX(상세표[시작],$M941)&amp;""))</f>
        <v/>
      </c>
      <c r="E941">
        <f>IF($M941="","",IF(ISNUMBER(INDEX(상세표[종료],$M941)),TEXT(INDEX(상세표[종료],$M941),"yyyy-mm-dd hh:mm"),INDEX(상세표[종료],$M941)&amp;""))</f>
        <v/>
      </c>
      <c r="F941">
        <f>IF($M941="","",INDEX(상세표[기록 시간외],$M941))</f>
        <v/>
      </c>
      <c r="G941">
        <f>IF($M941="","",INDEX(상세표[시작월 기관],$M941)&amp;"")</f>
        <v/>
      </c>
      <c r="H941">
        <f>IF($M941="","",INDEX(상세표[종료월 기관],$M941)&amp;"")</f>
        <v/>
      </c>
      <c r="I941">
        <f>IF($M941="","",INDEX(상세표[월경계 판정],$M941)&amp;"")</f>
        <v/>
      </c>
      <c r="J941">
        <f>IF($M941="","",INDEX(상세표[반영월],$M941)&amp;"")</f>
        <v/>
      </c>
      <c r="K941">
        <f>IF($M941="","",INDEX(상세표[반영 기관],$M941)&amp;"")</f>
        <v/>
      </c>
      <c r="L941">
        <f>IF($M941="","",INDEX(상세표[기관 출처],$M941)&amp;"")</f>
        <v/>
      </c>
      <c r="M941" s="4">
        <f>IFERROR(MATCH(936,상세표[경계순번],0),"")</f>
        <v/>
      </c>
    </row>
    <row r="942">
      <c r="A942">
        <f>IF($M942="","",INDEX(상세표[사번],$M942)&amp;"")</f>
        <v/>
      </c>
      <c r="B942">
        <f>IF($M942="","",INDEX(상세표[성명],$M942)&amp;"")</f>
        <v/>
      </c>
      <c r="C942">
        <f>IF($M942="","",IF(INDEX(상세표[종료월],$M942)=대상월키,"전월→이번 달","이번 달→익월"))</f>
        <v/>
      </c>
      <c r="D942">
        <f>IF($M942="","",IF(ISNUMBER(INDEX(상세표[시작],$M942)),TEXT(INDEX(상세표[시작],$M942),"yyyy-mm-dd hh:mm"),INDEX(상세표[시작],$M942)&amp;""))</f>
        <v/>
      </c>
      <c r="E942">
        <f>IF($M942="","",IF(ISNUMBER(INDEX(상세표[종료],$M942)),TEXT(INDEX(상세표[종료],$M942),"yyyy-mm-dd hh:mm"),INDEX(상세표[종료],$M942)&amp;""))</f>
        <v/>
      </c>
      <c r="F942">
        <f>IF($M942="","",INDEX(상세표[기록 시간외],$M942))</f>
        <v/>
      </c>
      <c r="G942">
        <f>IF($M942="","",INDEX(상세표[시작월 기관],$M942)&amp;"")</f>
        <v/>
      </c>
      <c r="H942">
        <f>IF($M942="","",INDEX(상세표[종료월 기관],$M942)&amp;"")</f>
        <v/>
      </c>
      <c r="I942">
        <f>IF($M942="","",INDEX(상세표[월경계 판정],$M942)&amp;"")</f>
        <v/>
      </c>
      <c r="J942">
        <f>IF($M942="","",INDEX(상세표[반영월],$M942)&amp;"")</f>
        <v/>
      </c>
      <c r="K942">
        <f>IF($M942="","",INDEX(상세표[반영 기관],$M942)&amp;"")</f>
        <v/>
      </c>
      <c r="L942">
        <f>IF($M942="","",INDEX(상세표[기관 출처],$M942)&amp;"")</f>
        <v/>
      </c>
      <c r="M942" s="4">
        <f>IFERROR(MATCH(937,상세표[경계순번],0),"")</f>
        <v/>
      </c>
    </row>
    <row r="943">
      <c r="A943">
        <f>IF($M943="","",INDEX(상세표[사번],$M943)&amp;"")</f>
        <v/>
      </c>
      <c r="B943">
        <f>IF($M943="","",INDEX(상세표[성명],$M943)&amp;"")</f>
        <v/>
      </c>
      <c r="C943">
        <f>IF($M943="","",IF(INDEX(상세표[종료월],$M943)=대상월키,"전월→이번 달","이번 달→익월"))</f>
        <v/>
      </c>
      <c r="D943">
        <f>IF($M943="","",IF(ISNUMBER(INDEX(상세표[시작],$M943)),TEXT(INDEX(상세표[시작],$M943),"yyyy-mm-dd hh:mm"),INDEX(상세표[시작],$M943)&amp;""))</f>
        <v/>
      </c>
      <c r="E943">
        <f>IF($M943="","",IF(ISNUMBER(INDEX(상세표[종료],$M943)),TEXT(INDEX(상세표[종료],$M943),"yyyy-mm-dd hh:mm"),INDEX(상세표[종료],$M943)&amp;""))</f>
        <v/>
      </c>
      <c r="F943">
        <f>IF($M943="","",INDEX(상세표[기록 시간외],$M943))</f>
        <v/>
      </c>
      <c r="G943">
        <f>IF($M943="","",INDEX(상세표[시작월 기관],$M943)&amp;"")</f>
        <v/>
      </c>
      <c r="H943">
        <f>IF($M943="","",INDEX(상세표[종료월 기관],$M943)&amp;"")</f>
        <v/>
      </c>
      <c r="I943">
        <f>IF($M943="","",INDEX(상세표[월경계 판정],$M943)&amp;"")</f>
        <v/>
      </c>
      <c r="J943">
        <f>IF($M943="","",INDEX(상세표[반영월],$M943)&amp;"")</f>
        <v/>
      </c>
      <c r="K943">
        <f>IF($M943="","",INDEX(상세표[반영 기관],$M943)&amp;"")</f>
        <v/>
      </c>
      <c r="L943">
        <f>IF($M943="","",INDEX(상세표[기관 출처],$M943)&amp;"")</f>
        <v/>
      </c>
      <c r="M943" s="4">
        <f>IFERROR(MATCH(938,상세표[경계순번],0),"")</f>
        <v/>
      </c>
    </row>
    <row r="944">
      <c r="A944">
        <f>IF($M944="","",INDEX(상세표[사번],$M944)&amp;"")</f>
        <v/>
      </c>
      <c r="B944">
        <f>IF($M944="","",INDEX(상세표[성명],$M944)&amp;"")</f>
        <v/>
      </c>
      <c r="C944">
        <f>IF($M944="","",IF(INDEX(상세표[종료월],$M944)=대상월키,"전월→이번 달","이번 달→익월"))</f>
        <v/>
      </c>
      <c r="D944">
        <f>IF($M944="","",IF(ISNUMBER(INDEX(상세표[시작],$M944)),TEXT(INDEX(상세표[시작],$M944),"yyyy-mm-dd hh:mm"),INDEX(상세표[시작],$M944)&amp;""))</f>
        <v/>
      </c>
      <c r="E944">
        <f>IF($M944="","",IF(ISNUMBER(INDEX(상세표[종료],$M944)),TEXT(INDEX(상세표[종료],$M944),"yyyy-mm-dd hh:mm"),INDEX(상세표[종료],$M944)&amp;""))</f>
        <v/>
      </c>
      <c r="F944">
        <f>IF($M944="","",INDEX(상세표[기록 시간외],$M944))</f>
        <v/>
      </c>
      <c r="G944">
        <f>IF($M944="","",INDEX(상세표[시작월 기관],$M944)&amp;"")</f>
        <v/>
      </c>
      <c r="H944">
        <f>IF($M944="","",INDEX(상세표[종료월 기관],$M944)&amp;"")</f>
        <v/>
      </c>
      <c r="I944">
        <f>IF($M944="","",INDEX(상세표[월경계 판정],$M944)&amp;"")</f>
        <v/>
      </c>
      <c r="J944">
        <f>IF($M944="","",INDEX(상세표[반영월],$M944)&amp;"")</f>
        <v/>
      </c>
      <c r="K944">
        <f>IF($M944="","",INDEX(상세표[반영 기관],$M944)&amp;"")</f>
        <v/>
      </c>
      <c r="L944">
        <f>IF($M944="","",INDEX(상세표[기관 출처],$M944)&amp;"")</f>
        <v/>
      </c>
      <c r="M944" s="4">
        <f>IFERROR(MATCH(939,상세표[경계순번],0),"")</f>
        <v/>
      </c>
    </row>
    <row r="945">
      <c r="A945">
        <f>IF($M945="","",INDEX(상세표[사번],$M945)&amp;"")</f>
        <v/>
      </c>
      <c r="B945">
        <f>IF($M945="","",INDEX(상세표[성명],$M945)&amp;"")</f>
        <v/>
      </c>
      <c r="C945">
        <f>IF($M945="","",IF(INDEX(상세표[종료월],$M945)=대상월키,"전월→이번 달","이번 달→익월"))</f>
        <v/>
      </c>
      <c r="D945">
        <f>IF($M945="","",IF(ISNUMBER(INDEX(상세표[시작],$M945)),TEXT(INDEX(상세표[시작],$M945),"yyyy-mm-dd hh:mm"),INDEX(상세표[시작],$M945)&amp;""))</f>
        <v/>
      </c>
      <c r="E945">
        <f>IF($M945="","",IF(ISNUMBER(INDEX(상세표[종료],$M945)),TEXT(INDEX(상세표[종료],$M945),"yyyy-mm-dd hh:mm"),INDEX(상세표[종료],$M945)&amp;""))</f>
        <v/>
      </c>
      <c r="F945">
        <f>IF($M945="","",INDEX(상세표[기록 시간외],$M945))</f>
        <v/>
      </c>
      <c r="G945">
        <f>IF($M945="","",INDEX(상세표[시작월 기관],$M945)&amp;"")</f>
        <v/>
      </c>
      <c r="H945">
        <f>IF($M945="","",INDEX(상세표[종료월 기관],$M945)&amp;"")</f>
        <v/>
      </c>
      <c r="I945">
        <f>IF($M945="","",INDEX(상세표[월경계 판정],$M945)&amp;"")</f>
        <v/>
      </c>
      <c r="J945">
        <f>IF($M945="","",INDEX(상세표[반영월],$M945)&amp;"")</f>
        <v/>
      </c>
      <c r="K945">
        <f>IF($M945="","",INDEX(상세표[반영 기관],$M945)&amp;"")</f>
        <v/>
      </c>
      <c r="L945">
        <f>IF($M945="","",INDEX(상세표[기관 출처],$M945)&amp;"")</f>
        <v/>
      </c>
      <c r="M945" s="4">
        <f>IFERROR(MATCH(940,상세표[경계순번],0),"")</f>
        <v/>
      </c>
    </row>
    <row r="946">
      <c r="A946">
        <f>IF($M946="","",INDEX(상세표[사번],$M946)&amp;"")</f>
        <v/>
      </c>
      <c r="B946">
        <f>IF($M946="","",INDEX(상세표[성명],$M946)&amp;"")</f>
        <v/>
      </c>
      <c r="C946">
        <f>IF($M946="","",IF(INDEX(상세표[종료월],$M946)=대상월키,"전월→이번 달","이번 달→익월"))</f>
        <v/>
      </c>
      <c r="D946">
        <f>IF($M946="","",IF(ISNUMBER(INDEX(상세표[시작],$M946)),TEXT(INDEX(상세표[시작],$M946),"yyyy-mm-dd hh:mm"),INDEX(상세표[시작],$M946)&amp;""))</f>
        <v/>
      </c>
      <c r="E946">
        <f>IF($M946="","",IF(ISNUMBER(INDEX(상세표[종료],$M946)),TEXT(INDEX(상세표[종료],$M946),"yyyy-mm-dd hh:mm"),INDEX(상세표[종료],$M946)&amp;""))</f>
        <v/>
      </c>
      <c r="F946">
        <f>IF($M946="","",INDEX(상세표[기록 시간외],$M946))</f>
        <v/>
      </c>
      <c r="G946">
        <f>IF($M946="","",INDEX(상세표[시작월 기관],$M946)&amp;"")</f>
        <v/>
      </c>
      <c r="H946">
        <f>IF($M946="","",INDEX(상세표[종료월 기관],$M946)&amp;"")</f>
        <v/>
      </c>
      <c r="I946">
        <f>IF($M946="","",INDEX(상세표[월경계 판정],$M946)&amp;"")</f>
        <v/>
      </c>
      <c r="J946">
        <f>IF($M946="","",INDEX(상세표[반영월],$M946)&amp;"")</f>
        <v/>
      </c>
      <c r="K946">
        <f>IF($M946="","",INDEX(상세표[반영 기관],$M946)&amp;"")</f>
        <v/>
      </c>
      <c r="L946">
        <f>IF($M946="","",INDEX(상세표[기관 출처],$M946)&amp;"")</f>
        <v/>
      </c>
      <c r="M946" s="4">
        <f>IFERROR(MATCH(941,상세표[경계순번],0),"")</f>
        <v/>
      </c>
    </row>
    <row r="947">
      <c r="A947">
        <f>IF($M947="","",INDEX(상세표[사번],$M947)&amp;"")</f>
        <v/>
      </c>
      <c r="B947">
        <f>IF($M947="","",INDEX(상세표[성명],$M947)&amp;"")</f>
        <v/>
      </c>
      <c r="C947">
        <f>IF($M947="","",IF(INDEX(상세표[종료월],$M947)=대상월키,"전월→이번 달","이번 달→익월"))</f>
        <v/>
      </c>
      <c r="D947">
        <f>IF($M947="","",IF(ISNUMBER(INDEX(상세표[시작],$M947)),TEXT(INDEX(상세표[시작],$M947),"yyyy-mm-dd hh:mm"),INDEX(상세표[시작],$M947)&amp;""))</f>
        <v/>
      </c>
      <c r="E947">
        <f>IF($M947="","",IF(ISNUMBER(INDEX(상세표[종료],$M947)),TEXT(INDEX(상세표[종료],$M947),"yyyy-mm-dd hh:mm"),INDEX(상세표[종료],$M947)&amp;""))</f>
        <v/>
      </c>
      <c r="F947">
        <f>IF($M947="","",INDEX(상세표[기록 시간외],$M947))</f>
        <v/>
      </c>
      <c r="G947">
        <f>IF($M947="","",INDEX(상세표[시작월 기관],$M947)&amp;"")</f>
        <v/>
      </c>
      <c r="H947">
        <f>IF($M947="","",INDEX(상세표[종료월 기관],$M947)&amp;"")</f>
        <v/>
      </c>
      <c r="I947">
        <f>IF($M947="","",INDEX(상세표[월경계 판정],$M947)&amp;"")</f>
        <v/>
      </c>
      <c r="J947">
        <f>IF($M947="","",INDEX(상세표[반영월],$M947)&amp;"")</f>
        <v/>
      </c>
      <c r="K947">
        <f>IF($M947="","",INDEX(상세표[반영 기관],$M947)&amp;"")</f>
        <v/>
      </c>
      <c r="L947">
        <f>IF($M947="","",INDEX(상세표[기관 출처],$M947)&amp;"")</f>
        <v/>
      </c>
      <c r="M947" s="4">
        <f>IFERROR(MATCH(942,상세표[경계순번],0),"")</f>
        <v/>
      </c>
    </row>
    <row r="948">
      <c r="A948">
        <f>IF($M948="","",INDEX(상세표[사번],$M948)&amp;"")</f>
        <v/>
      </c>
      <c r="B948">
        <f>IF($M948="","",INDEX(상세표[성명],$M948)&amp;"")</f>
        <v/>
      </c>
      <c r="C948">
        <f>IF($M948="","",IF(INDEX(상세표[종료월],$M948)=대상월키,"전월→이번 달","이번 달→익월"))</f>
        <v/>
      </c>
      <c r="D948">
        <f>IF($M948="","",IF(ISNUMBER(INDEX(상세표[시작],$M948)),TEXT(INDEX(상세표[시작],$M948),"yyyy-mm-dd hh:mm"),INDEX(상세표[시작],$M948)&amp;""))</f>
        <v/>
      </c>
      <c r="E948">
        <f>IF($M948="","",IF(ISNUMBER(INDEX(상세표[종료],$M948)),TEXT(INDEX(상세표[종료],$M948),"yyyy-mm-dd hh:mm"),INDEX(상세표[종료],$M948)&amp;""))</f>
        <v/>
      </c>
      <c r="F948">
        <f>IF($M948="","",INDEX(상세표[기록 시간외],$M948))</f>
        <v/>
      </c>
      <c r="G948">
        <f>IF($M948="","",INDEX(상세표[시작월 기관],$M948)&amp;"")</f>
        <v/>
      </c>
      <c r="H948">
        <f>IF($M948="","",INDEX(상세표[종료월 기관],$M948)&amp;"")</f>
        <v/>
      </c>
      <c r="I948">
        <f>IF($M948="","",INDEX(상세표[월경계 판정],$M948)&amp;"")</f>
        <v/>
      </c>
      <c r="J948">
        <f>IF($M948="","",INDEX(상세표[반영월],$M948)&amp;"")</f>
        <v/>
      </c>
      <c r="K948">
        <f>IF($M948="","",INDEX(상세표[반영 기관],$M948)&amp;"")</f>
        <v/>
      </c>
      <c r="L948">
        <f>IF($M948="","",INDEX(상세표[기관 출처],$M948)&amp;"")</f>
        <v/>
      </c>
      <c r="M948" s="4">
        <f>IFERROR(MATCH(943,상세표[경계순번],0),"")</f>
        <v/>
      </c>
    </row>
    <row r="949">
      <c r="A949">
        <f>IF($M949="","",INDEX(상세표[사번],$M949)&amp;"")</f>
        <v/>
      </c>
      <c r="B949">
        <f>IF($M949="","",INDEX(상세표[성명],$M949)&amp;"")</f>
        <v/>
      </c>
      <c r="C949">
        <f>IF($M949="","",IF(INDEX(상세표[종료월],$M949)=대상월키,"전월→이번 달","이번 달→익월"))</f>
        <v/>
      </c>
      <c r="D949">
        <f>IF($M949="","",IF(ISNUMBER(INDEX(상세표[시작],$M949)),TEXT(INDEX(상세표[시작],$M949),"yyyy-mm-dd hh:mm"),INDEX(상세표[시작],$M949)&amp;""))</f>
        <v/>
      </c>
      <c r="E949">
        <f>IF($M949="","",IF(ISNUMBER(INDEX(상세표[종료],$M949)),TEXT(INDEX(상세표[종료],$M949),"yyyy-mm-dd hh:mm"),INDEX(상세표[종료],$M949)&amp;""))</f>
        <v/>
      </c>
      <c r="F949">
        <f>IF($M949="","",INDEX(상세표[기록 시간외],$M949))</f>
        <v/>
      </c>
      <c r="G949">
        <f>IF($M949="","",INDEX(상세표[시작월 기관],$M949)&amp;"")</f>
        <v/>
      </c>
      <c r="H949">
        <f>IF($M949="","",INDEX(상세표[종료월 기관],$M949)&amp;"")</f>
        <v/>
      </c>
      <c r="I949">
        <f>IF($M949="","",INDEX(상세표[월경계 판정],$M949)&amp;"")</f>
        <v/>
      </c>
      <c r="J949">
        <f>IF($M949="","",INDEX(상세표[반영월],$M949)&amp;"")</f>
        <v/>
      </c>
      <c r="K949">
        <f>IF($M949="","",INDEX(상세표[반영 기관],$M949)&amp;"")</f>
        <v/>
      </c>
      <c r="L949">
        <f>IF($M949="","",INDEX(상세표[기관 출처],$M949)&amp;"")</f>
        <v/>
      </c>
      <c r="M949" s="4">
        <f>IFERROR(MATCH(944,상세표[경계순번],0),"")</f>
        <v/>
      </c>
    </row>
    <row r="950">
      <c r="A950">
        <f>IF($M950="","",INDEX(상세표[사번],$M950)&amp;"")</f>
        <v/>
      </c>
      <c r="B950">
        <f>IF($M950="","",INDEX(상세표[성명],$M950)&amp;"")</f>
        <v/>
      </c>
      <c r="C950">
        <f>IF($M950="","",IF(INDEX(상세표[종료월],$M950)=대상월키,"전월→이번 달","이번 달→익월"))</f>
        <v/>
      </c>
      <c r="D950">
        <f>IF($M950="","",IF(ISNUMBER(INDEX(상세표[시작],$M950)),TEXT(INDEX(상세표[시작],$M950),"yyyy-mm-dd hh:mm"),INDEX(상세표[시작],$M950)&amp;""))</f>
        <v/>
      </c>
      <c r="E950">
        <f>IF($M950="","",IF(ISNUMBER(INDEX(상세표[종료],$M950)),TEXT(INDEX(상세표[종료],$M950),"yyyy-mm-dd hh:mm"),INDEX(상세표[종료],$M950)&amp;""))</f>
        <v/>
      </c>
      <c r="F950">
        <f>IF($M950="","",INDEX(상세표[기록 시간외],$M950))</f>
        <v/>
      </c>
      <c r="G950">
        <f>IF($M950="","",INDEX(상세표[시작월 기관],$M950)&amp;"")</f>
        <v/>
      </c>
      <c r="H950">
        <f>IF($M950="","",INDEX(상세표[종료월 기관],$M950)&amp;"")</f>
        <v/>
      </c>
      <c r="I950">
        <f>IF($M950="","",INDEX(상세표[월경계 판정],$M950)&amp;"")</f>
        <v/>
      </c>
      <c r="J950">
        <f>IF($M950="","",INDEX(상세표[반영월],$M950)&amp;"")</f>
        <v/>
      </c>
      <c r="K950">
        <f>IF($M950="","",INDEX(상세표[반영 기관],$M950)&amp;"")</f>
        <v/>
      </c>
      <c r="L950">
        <f>IF($M950="","",INDEX(상세표[기관 출처],$M950)&amp;"")</f>
        <v/>
      </c>
      <c r="M950" s="4">
        <f>IFERROR(MATCH(945,상세표[경계순번],0),"")</f>
        <v/>
      </c>
    </row>
    <row r="951">
      <c r="A951">
        <f>IF($M951="","",INDEX(상세표[사번],$M951)&amp;"")</f>
        <v/>
      </c>
      <c r="B951">
        <f>IF($M951="","",INDEX(상세표[성명],$M951)&amp;"")</f>
        <v/>
      </c>
      <c r="C951">
        <f>IF($M951="","",IF(INDEX(상세표[종료월],$M951)=대상월키,"전월→이번 달","이번 달→익월"))</f>
        <v/>
      </c>
      <c r="D951">
        <f>IF($M951="","",IF(ISNUMBER(INDEX(상세표[시작],$M951)),TEXT(INDEX(상세표[시작],$M951),"yyyy-mm-dd hh:mm"),INDEX(상세표[시작],$M951)&amp;""))</f>
        <v/>
      </c>
      <c r="E951">
        <f>IF($M951="","",IF(ISNUMBER(INDEX(상세표[종료],$M951)),TEXT(INDEX(상세표[종료],$M951),"yyyy-mm-dd hh:mm"),INDEX(상세표[종료],$M951)&amp;""))</f>
        <v/>
      </c>
      <c r="F951">
        <f>IF($M951="","",INDEX(상세표[기록 시간외],$M951))</f>
        <v/>
      </c>
      <c r="G951">
        <f>IF($M951="","",INDEX(상세표[시작월 기관],$M951)&amp;"")</f>
        <v/>
      </c>
      <c r="H951">
        <f>IF($M951="","",INDEX(상세표[종료월 기관],$M951)&amp;"")</f>
        <v/>
      </c>
      <c r="I951">
        <f>IF($M951="","",INDEX(상세표[월경계 판정],$M951)&amp;"")</f>
        <v/>
      </c>
      <c r="J951">
        <f>IF($M951="","",INDEX(상세표[반영월],$M951)&amp;"")</f>
        <v/>
      </c>
      <c r="K951">
        <f>IF($M951="","",INDEX(상세표[반영 기관],$M951)&amp;"")</f>
        <v/>
      </c>
      <c r="L951">
        <f>IF($M951="","",INDEX(상세표[기관 출처],$M951)&amp;"")</f>
        <v/>
      </c>
      <c r="M951" s="4">
        <f>IFERROR(MATCH(946,상세표[경계순번],0),"")</f>
        <v/>
      </c>
    </row>
    <row r="952">
      <c r="A952">
        <f>IF($M952="","",INDEX(상세표[사번],$M952)&amp;"")</f>
        <v/>
      </c>
      <c r="B952">
        <f>IF($M952="","",INDEX(상세표[성명],$M952)&amp;"")</f>
        <v/>
      </c>
      <c r="C952">
        <f>IF($M952="","",IF(INDEX(상세표[종료월],$M952)=대상월키,"전월→이번 달","이번 달→익월"))</f>
        <v/>
      </c>
      <c r="D952">
        <f>IF($M952="","",IF(ISNUMBER(INDEX(상세표[시작],$M952)),TEXT(INDEX(상세표[시작],$M952),"yyyy-mm-dd hh:mm"),INDEX(상세표[시작],$M952)&amp;""))</f>
        <v/>
      </c>
      <c r="E952">
        <f>IF($M952="","",IF(ISNUMBER(INDEX(상세표[종료],$M952)),TEXT(INDEX(상세표[종료],$M952),"yyyy-mm-dd hh:mm"),INDEX(상세표[종료],$M952)&amp;""))</f>
        <v/>
      </c>
      <c r="F952">
        <f>IF($M952="","",INDEX(상세표[기록 시간외],$M952))</f>
        <v/>
      </c>
      <c r="G952">
        <f>IF($M952="","",INDEX(상세표[시작월 기관],$M952)&amp;"")</f>
        <v/>
      </c>
      <c r="H952">
        <f>IF($M952="","",INDEX(상세표[종료월 기관],$M952)&amp;"")</f>
        <v/>
      </c>
      <c r="I952">
        <f>IF($M952="","",INDEX(상세표[월경계 판정],$M952)&amp;"")</f>
        <v/>
      </c>
      <c r="J952">
        <f>IF($M952="","",INDEX(상세표[반영월],$M952)&amp;"")</f>
        <v/>
      </c>
      <c r="K952">
        <f>IF($M952="","",INDEX(상세표[반영 기관],$M952)&amp;"")</f>
        <v/>
      </c>
      <c r="L952">
        <f>IF($M952="","",INDEX(상세표[기관 출처],$M952)&amp;"")</f>
        <v/>
      </c>
      <c r="M952" s="4">
        <f>IFERROR(MATCH(947,상세표[경계순번],0),"")</f>
        <v/>
      </c>
    </row>
    <row r="953">
      <c r="A953">
        <f>IF($M953="","",INDEX(상세표[사번],$M953)&amp;"")</f>
        <v/>
      </c>
      <c r="B953">
        <f>IF($M953="","",INDEX(상세표[성명],$M953)&amp;"")</f>
        <v/>
      </c>
      <c r="C953">
        <f>IF($M953="","",IF(INDEX(상세표[종료월],$M953)=대상월키,"전월→이번 달","이번 달→익월"))</f>
        <v/>
      </c>
      <c r="D953">
        <f>IF($M953="","",IF(ISNUMBER(INDEX(상세표[시작],$M953)),TEXT(INDEX(상세표[시작],$M953),"yyyy-mm-dd hh:mm"),INDEX(상세표[시작],$M953)&amp;""))</f>
        <v/>
      </c>
      <c r="E953">
        <f>IF($M953="","",IF(ISNUMBER(INDEX(상세표[종료],$M953)),TEXT(INDEX(상세표[종료],$M953),"yyyy-mm-dd hh:mm"),INDEX(상세표[종료],$M953)&amp;""))</f>
        <v/>
      </c>
      <c r="F953">
        <f>IF($M953="","",INDEX(상세표[기록 시간외],$M953))</f>
        <v/>
      </c>
      <c r="G953">
        <f>IF($M953="","",INDEX(상세표[시작월 기관],$M953)&amp;"")</f>
        <v/>
      </c>
      <c r="H953">
        <f>IF($M953="","",INDEX(상세표[종료월 기관],$M953)&amp;"")</f>
        <v/>
      </c>
      <c r="I953">
        <f>IF($M953="","",INDEX(상세표[월경계 판정],$M953)&amp;"")</f>
        <v/>
      </c>
      <c r="J953">
        <f>IF($M953="","",INDEX(상세표[반영월],$M953)&amp;"")</f>
        <v/>
      </c>
      <c r="K953">
        <f>IF($M953="","",INDEX(상세표[반영 기관],$M953)&amp;"")</f>
        <v/>
      </c>
      <c r="L953">
        <f>IF($M953="","",INDEX(상세표[기관 출처],$M953)&amp;"")</f>
        <v/>
      </c>
      <c r="M953" s="4">
        <f>IFERROR(MATCH(948,상세표[경계순번],0),"")</f>
        <v/>
      </c>
    </row>
    <row r="954">
      <c r="A954">
        <f>IF($M954="","",INDEX(상세표[사번],$M954)&amp;"")</f>
        <v/>
      </c>
      <c r="B954">
        <f>IF($M954="","",INDEX(상세표[성명],$M954)&amp;"")</f>
        <v/>
      </c>
      <c r="C954">
        <f>IF($M954="","",IF(INDEX(상세표[종료월],$M954)=대상월키,"전월→이번 달","이번 달→익월"))</f>
        <v/>
      </c>
      <c r="D954">
        <f>IF($M954="","",IF(ISNUMBER(INDEX(상세표[시작],$M954)),TEXT(INDEX(상세표[시작],$M954),"yyyy-mm-dd hh:mm"),INDEX(상세표[시작],$M954)&amp;""))</f>
        <v/>
      </c>
      <c r="E954">
        <f>IF($M954="","",IF(ISNUMBER(INDEX(상세표[종료],$M954)),TEXT(INDEX(상세표[종료],$M954),"yyyy-mm-dd hh:mm"),INDEX(상세표[종료],$M954)&amp;""))</f>
        <v/>
      </c>
      <c r="F954">
        <f>IF($M954="","",INDEX(상세표[기록 시간외],$M954))</f>
        <v/>
      </c>
      <c r="G954">
        <f>IF($M954="","",INDEX(상세표[시작월 기관],$M954)&amp;"")</f>
        <v/>
      </c>
      <c r="H954">
        <f>IF($M954="","",INDEX(상세표[종료월 기관],$M954)&amp;"")</f>
        <v/>
      </c>
      <c r="I954">
        <f>IF($M954="","",INDEX(상세표[월경계 판정],$M954)&amp;"")</f>
        <v/>
      </c>
      <c r="J954">
        <f>IF($M954="","",INDEX(상세표[반영월],$M954)&amp;"")</f>
        <v/>
      </c>
      <c r="K954">
        <f>IF($M954="","",INDEX(상세표[반영 기관],$M954)&amp;"")</f>
        <v/>
      </c>
      <c r="L954">
        <f>IF($M954="","",INDEX(상세표[기관 출처],$M954)&amp;"")</f>
        <v/>
      </c>
      <c r="M954" s="4">
        <f>IFERROR(MATCH(949,상세표[경계순번],0),"")</f>
        <v/>
      </c>
    </row>
    <row r="955">
      <c r="A955">
        <f>IF($M955="","",INDEX(상세표[사번],$M955)&amp;"")</f>
        <v/>
      </c>
      <c r="B955">
        <f>IF($M955="","",INDEX(상세표[성명],$M955)&amp;"")</f>
        <v/>
      </c>
      <c r="C955">
        <f>IF($M955="","",IF(INDEX(상세표[종료월],$M955)=대상월키,"전월→이번 달","이번 달→익월"))</f>
        <v/>
      </c>
      <c r="D955">
        <f>IF($M955="","",IF(ISNUMBER(INDEX(상세표[시작],$M955)),TEXT(INDEX(상세표[시작],$M955),"yyyy-mm-dd hh:mm"),INDEX(상세표[시작],$M955)&amp;""))</f>
        <v/>
      </c>
      <c r="E955">
        <f>IF($M955="","",IF(ISNUMBER(INDEX(상세표[종료],$M955)),TEXT(INDEX(상세표[종료],$M955),"yyyy-mm-dd hh:mm"),INDEX(상세표[종료],$M955)&amp;""))</f>
        <v/>
      </c>
      <c r="F955">
        <f>IF($M955="","",INDEX(상세표[기록 시간외],$M955))</f>
        <v/>
      </c>
      <c r="G955">
        <f>IF($M955="","",INDEX(상세표[시작월 기관],$M955)&amp;"")</f>
        <v/>
      </c>
      <c r="H955">
        <f>IF($M955="","",INDEX(상세표[종료월 기관],$M955)&amp;"")</f>
        <v/>
      </c>
      <c r="I955">
        <f>IF($M955="","",INDEX(상세표[월경계 판정],$M955)&amp;"")</f>
        <v/>
      </c>
      <c r="J955">
        <f>IF($M955="","",INDEX(상세표[반영월],$M955)&amp;"")</f>
        <v/>
      </c>
      <c r="K955">
        <f>IF($M955="","",INDEX(상세표[반영 기관],$M955)&amp;"")</f>
        <v/>
      </c>
      <c r="L955">
        <f>IF($M955="","",INDEX(상세표[기관 출처],$M955)&amp;"")</f>
        <v/>
      </c>
      <c r="M955" s="4">
        <f>IFERROR(MATCH(950,상세표[경계순번],0),"")</f>
        <v/>
      </c>
    </row>
    <row r="956">
      <c r="A956">
        <f>IF($M956="","",INDEX(상세표[사번],$M956)&amp;"")</f>
        <v/>
      </c>
      <c r="B956">
        <f>IF($M956="","",INDEX(상세표[성명],$M956)&amp;"")</f>
        <v/>
      </c>
      <c r="C956">
        <f>IF($M956="","",IF(INDEX(상세표[종료월],$M956)=대상월키,"전월→이번 달","이번 달→익월"))</f>
        <v/>
      </c>
      <c r="D956">
        <f>IF($M956="","",IF(ISNUMBER(INDEX(상세표[시작],$M956)),TEXT(INDEX(상세표[시작],$M956),"yyyy-mm-dd hh:mm"),INDEX(상세표[시작],$M956)&amp;""))</f>
        <v/>
      </c>
      <c r="E956">
        <f>IF($M956="","",IF(ISNUMBER(INDEX(상세표[종료],$M956)),TEXT(INDEX(상세표[종료],$M956),"yyyy-mm-dd hh:mm"),INDEX(상세표[종료],$M956)&amp;""))</f>
        <v/>
      </c>
      <c r="F956">
        <f>IF($M956="","",INDEX(상세표[기록 시간외],$M956))</f>
        <v/>
      </c>
      <c r="G956">
        <f>IF($M956="","",INDEX(상세표[시작월 기관],$M956)&amp;"")</f>
        <v/>
      </c>
      <c r="H956">
        <f>IF($M956="","",INDEX(상세표[종료월 기관],$M956)&amp;"")</f>
        <v/>
      </c>
      <c r="I956">
        <f>IF($M956="","",INDEX(상세표[월경계 판정],$M956)&amp;"")</f>
        <v/>
      </c>
      <c r="J956">
        <f>IF($M956="","",INDEX(상세표[반영월],$M956)&amp;"")</f>
        <v/>
      </c>
      <c r="K956">
        <f>IF($M956="","",INDEX(상세표[반영 기관],$M956)&amp;"")</f>
        <v/>
      </c>
      <c r="L956">
        <f>IF($M956="","",INDEX(상세표[기관 출처],$M956)&amp;"")</f>
        <v/>
      </c>
      <c r="M956" s="4">
        <f>IFERROR(MATCH(951,상세표[경계순번],0),"")</f>
        <v/>
      </c>
    </row>
    <row r="957">
      <c r="A957">
        <f>IF($M957="","",INDEX(상세표[사번],$M957)&amp;"")</f>
        <v/>
      </c>
      <c r="B957">
        <f>IF($M957="","",INDEX(상세표[성명],$M957)&amp;"")</f>
        <v/>
      </c>
      <c r="C957">
        <f>IF($M957="","",IF(INDEX(상세표[종료월],$M957)=대상월키,"전월→이번 달","이번 달→익월"))</f>
        <v/>
      </c>
      <c r="D957">
        <f>IF($M957="","",IF(ISNUMBER(INDEX(상세표[시작],$M957)),TEXT(INDEX(상세표[시작],$M957),"yyyy-mm-dd hh:mm"),INDEX(상세표[시작],$M957)&amp;""))</f>
        <v/>
      </c>
      <c r="E957">
        <f>IF($M957="","",IF(ISNUMBER(INDEX(상세표[종료],$M957)),TEXT(INDEX(상세표[종료],$M957),"yyyy-mm-dd hh:mm"),INDEX(상세표[종료],$M957)&amp;""))</f>
        <v/>
      </c>
      <c r="F957">
        <f>IF($M957="","",INDEX(상세표[기록 시간외],$M957))</f>
        <v/>
      </c>
      <c r="G957">
        <f>IF($M957="","",INDEX(상세표[시작월 기관],$M957)&amp;"")</f>
        <v/>
      </c>
      <c r="H957">
        <f>IF($M957="","",INDEX(상세표[종료월 기관],$M957)&amp;"")</f>
        <v/>
      </c>
      <c r="I957">
        <f>IF($M957="","",INDEX(상세표[월경계 판정],$M957)&amp;"")</f>
        <v/>
      </c>
      <c r="J957">
        <f>IF($M957="","",INDEX(상세표[반영월],$M957)&amp;"")</f>
        <v/>
      </c>
      <c r="K957">
        <f>IF($M957="","",INDEX(상세표[반영 기관],$M957)&amp;"")</f>
        <v/>
      </c>
      <c r="L957">
        <f>IF($M957="","",INDEX(상세표[기관 출처],$M957)&amp;"")</f>
        <v/>
      </c>
      <c r="M957" s="4">
        <f>IFERROR(MATCH(952,상세표[경계순번],0),"")</f>
        <v/>
      </c>
    </row>
    <row r="958">
      <c r="A958">
        <f>IF($M958="","",INDEX(상세표[사번],$M958)&amp;"")</f>
        <v/>
      </c>
      <c r="B958">
        <f>IF($M958="","",INDEX(상세표[성명],$M958)&amp;"")</f>
        <v/>
      </c>
      <c r="C958">
        <f>IF($M958="","",IF(INDEX(상세표[종료월],$M958)=대상월키,"전월→이번 달","이번 달→익월"))</f>
        <v/>
      </c>
      <c r="D958">
        <f>IF($M958="","",IF(ISNUMBER(INDEX(상세표[시작],$M958)),TEXT(INDEX(상세표[시작],$M958),"yyyy-mm-dd hh:mm"),INDEX(상세표[시작],$M958)&amp;""))</f>
        <v/>
      </c>
      <c r="E958">
        <f>IF($M958="","",IF(ISNUMBER(INDEX(상세표[종료],$M958)),TEXT(INDEX(상세표[종료],$M958),"yyyy-mm-dd hh:mm"),INDEX(상세표[종료],$M958)&amp;""))</f>
        <v/>
      </c>
      <c r="F958">
        <f>IF($M958="","",INDEX(상세표[기록 시간외],$M958))</f>
        <v/>
      </c>
      <c r="G958">
        <f>IF($M958="","",INDEX(상세표[시작월 기관],$M958)&amp;"")</f>
        <v/>
      </c>
      <c r="H958">
        <f>IF($M958="","",INDEX(상세표[종료월 기관],$M958)&amp;"")</f>
        <v/>
      </c>
      <c r="I958">
        <f>IF($M958="","",INDEX(상세표[월경계 판정],$M958)&amp;"")</f>
        <v/>
      </c>
      <c r="J958">
        <f>IF($M958="","",INDEX(상세표[반영월],$M958)&amp;"")</f>
        <v/>
      </c>
      <c r="K958">
        <f>IF($M958="","",INDEX(상세표[반영 기관],$M958)&amp;"")</f>
        <v/>
      </c>
      <c r="L958">
        <f>IF($M958="","",INDEX(상세표[기관 출처],$M958)&amp;"")</f>
        <v/>
      </c>
      <c r="M958" s="4">
        <f>IFERROR(MATCH(953,상세표[경계순번],0),"")</f>
        <v/>
      </c>
    </row>
    <row r="959">
      <c r="A959">
        <f>IF($M959="","",INDEX(상세표[사번],$M959)&amp;"")</f>
        <v/>
      </c>
      <c r="B959">
        <f>IF($M959="","",INDEX(상세표[성명],$M959)&amp;"")</f>
        <v/>
      </c>
      <c r="C959">
        <f>IF($M959="","",IF(INDEX(상세표[종료월],$M959)=대상월키,"전월→이번 달","이번 달→익월"))</f>
        <v/>
      </c>
      <c r="D959">
        <f>IF($M959="","",IF(ISNUMBER(INDEX(상세표[시작],$M959)),TEXT(INDEX(상세표[시작],$M959),"yyyy-mm-dd hh:mm"),INDEX(상세표[시작],$M959)&amp;""))</f>
        <v/>
      </c>
      <c r="E959">
        <f>IF($M959="","",IF(ISNUMBER(INDEX(상세표[종료],$M959)),TEXT(INDEX(상세표[종료],$M959),"yyyy-mm-dd hh:mm"),INDEX(상세표[종료],$M959)&amp;""))</f>
        <v/>
      </c>
      <c r="F959">
        <f>IF($M959="","",INDEX(상세표[기록 시간외],$M959))</f>
        <v/>
      </c>
      <c r="G959">
        <f>IF($M959="","",INDEX(상세표[시작월 기관],$M959)&amp;"")</f>
        <v/>
      </c>
      <c r="H959">
        <f>IF($M959="","",INDEX(상세표[종료월 기관],$M959)&amp;"")</f>
        <v/>
      </c>
      <c r="I959">
        <f>IF($M959="","",INDEX(상세표[월경계 판정],$M959)&amp;"")</f>
        <v/>
      </c>
      <c r="J959">
        <f>IF($M959="","",INDEX(상세표[반영월],$M959)&amp;"")</f>
        <v/>
      </c>
      <c r="K959">
        <f>IF($M959="","",INDEX(상세표[반영 기관],$M959)&amp;"")</f>
        <v/>
      </c>
      <c r="L959">
        <f>IF($M959="","",INDEX(상세표[기관 출처],$M959)&amp;"")</f>
        <v/>
      </c>
      <c r="M959" s="4">
        <f>IFERROR(MATCH(954,상세표[경계순번],0),"")</f>
        <v/>
      </c>
    </row>
    <row r="960">
      <c r="A960">
        <f>IF($M960="","",INDEX(상세표[사번],$M960)&amp;"")</f>
        <v/>
      </c>
      <c r="B960">
        <f>IF($M960="","",INDEX(상세표[성명],$M960)&amp;"")</f>
        <v/>
      </c>
      <c r="C960">
        <f>IF($M960="","",IF(INDEX(상세표[종료월],$M960)=대상월키,"전월→이번 달","이번 달→익월"))</f>
        <v/>
      </c>
      <c r="D960">
        <f>IF($M960="","",IF(ISNUMBER(INDEX(상세표[시작],$M960)),TEXT(INDEX(상세표[시작],$M960),"yyyy-mm-dd hh:mm"),INDEX(상세표[시작],$M960)&amp;""))</f>
        <v/>
      </c>
      <c r="E960">
        <f>IF($M960="","",IF(ISNUMBER(INDEX(상세표[종료],$M960)),TEXT(INDEX(상세표[종료],$M960),"yyyy-mm-dd hh:mm"),INDEX(상세표[종료],$M960)&amp;""))</f>
        <v/>
      </c>
      <c r="F960">
        <f>IF($M960="","",INDEX(상세표[기록 시간외],$M960))</f>
        <v/>
      </c>
      <c r="G960">
        <f>IF($M960="","",INDEX(상세표[시작월 기관],$M960)&amp;"")</f>
        <v/>
      </c>
      <c r="H960">
        <f>IF($M960="","",INDEX(상세표[종료월 기관],$M960)&amp;"")</f>
        <v/>
      </c>
      <c r="I960">
        <f>IF($M960="","",INDEX(상세표[월경계 판정],$M960)&amp;"")</f>
        <v/>
      </c>
      <c r="J960">
        <f>IF($M960="","",INDEX(상세표[반영월],$M960)&amp;"")</f>
        <v/>
      </c>
      <c r="K960">
        <f>IF($M960="","",INDEX(상세표[반영 기관],$M960)&amp;"")</f>
        <v/>
      </c>
      <c r="L960">
        <f>IF($M960="","",INDEX(상세표[기관 출처],$M960)&amp;"")</f>
        <v/>
      </c>
      <c r="M960" s="4">
        <f>IFERROR(MATCH(955,상세표[경계순번],0),"")</f>
        <v/>
      </c>
    </row>
    <row r="961">
      <c r="A961">
        <f>IF($M961="","",INDEX(상세표[사번],$M961)&amp;"")</f>
        <v/>
      </c>
      <c r="B961">
        <f>IF($M961="","",INDEX(상세표[성명],$M961)&amp;"")</f>
        <v/>
      </c>
      <c r="C961">
        <f>IF($M961="","",IF(INDEX(상세표[종료월],$M961)=대상월키,"전월→이번 달","이번 달→익월"))</f>
        <v/>
      </c>
      <c r="D961">
        <f>IF($M961="","",IF(ISNUMBER(INDEX(상세표[시작],$M961)),TEXT(INDEX(상세표[시작],$M961),"yyyy-mm-dd hh:mm"),INDEX(상세표[시작],$M961)&amp;""))</f>
        <v/>
      </c>
      <c r="E961">
        <f>IF($M961="","",IF(ISNUMBER(INDEX(상세표[종료],$M961)),TEXT(INDEX(상세표[종료],$M961),"yyyy-mm-dd hh:mm"),INDEX(상세표[종료],$M961)&amp;""))</f>
        <v/>
      </c>
      <c r="F961">
        <f>IF($M961="","",INDEX(상세표[기록 시간외],$M961))</f>
        <v/>
      </c>
      <c r="G961">
        <f>IF($M961="","",INDEX(상세표[시작월 기관],$M961)&amp;"")</f>
        <v/>
      </c>
      <c r="H961">
        <f>IF($M961="","",INDEX(상세표[종료월 기관],$M961)&amp;"")</f>
        <v/>
      </c>
      <c r="I961">
        <f>IF($M961="","",INDEX(상세표[월경계 판정],$M961)&amp;"")</f>
        <v/>
      </c>
      <c r="J961">
        <f>IF($M961="","",INDEX(상세표[반영월],$M961)&amp;"")</f>
        <v/>
      </c>
      <c r="K961">
        <f>IF($M961="","",INDEX(상세표[반영 기관],$M961)&amp;"")</f>
        <v/>
      </c>
      <c r="L961">
        <f>IF($M961="","",INDEX(상세표[기관 출처],$M961)&amp;"")</f>
        <v/>
      </c>
      <c r="M961" s="4">
        <f>IFERROR(MATCH(956,상세표[경계순번],0),"")</f>
        <v/>
      </c>
    </row>
    <row r="962">
      <c r="A962">
        <f>IF($M962="","",INDEX(상세표[사번],$M962)&amp;"")</f>
        <v/>
      </c>
      <c r="B962">
        <f>IF($M962="","",INDEX(상세표[성명],$M962)&amp;"")</f>
        <v/>
      </c>
      <c r="C962">
        <f>IF($M962="","",IF(INDEX(상세표[종료월],$M962)=대상월키,"전월→이번 달","이번 달→익월"))</f>
        <v/>
      </c>
      <c r="D962">
        <f>IF($M962="","",IF(ISNUMBER(INDEX(상세표[시작],$M962)),TEXT(INDEX(상세표[시작],$M962),"yyyy-mm-dd hh:mm"),INDEX(상세표[시작],$M962)&amp;""))</f>
        <v/>
      </c>
      <c r="E962">
        <f>IF($M962="","",IF(ISNUMBER(INDEX(상세표[종료],$M962)),TEXT(INDEX(상세표[종료],$M962),"yyyy-mm-dd hh:mm"),INDEX(상세표[종료],$M962)&amp;""))</f>
        <v/>
      </c>
      <c r="F962">
        <f>IF($M962="","",INDEX(상세표[기록 시간외],$M962))</f>
        <v/>
      </c>
      <c r="G962">
        <f>IF($M962="","",INDEX(상세표[시작월 기관],$M962)&amp;"")</f>
        <v/>
      </c>
      <c r="H962">
        <f>IF($M962="","",INDEX(상세표[종료월 기관],$M962)&amp;"")</f>
        <v/>
      </c>
      <c r="I962">
        <f>IF($M962="","",INDEX(상세표[월경계 판정],$M962)&amp;"")</f>
        <v/>
      </c>
      <c r="J962">
        <f>IF($M962="","",INDEX(상세표[반영월],$M962)&amp;"")</f>
        <v/>
      </c>
      <c r="K962">
        <f>IF($M962="","",INDEX(상세표[반영 기관],$M962)&amp;"")</f>
        <v/>
      </c>
      <c r="L962">
        <f>IF($M962="","",INDEX(상세표[기관 출처],$M962)&amp;"")</f>
        <v/>
      </c>
      <c r="M962" s="4">
        <f>IFERROR(MATCH(957,상세표[경계순번],0),"")</f>
        <v/>
      </c>
    </row>
    <row r="963">
      <c r="A963">
        <f>IF($M963="","",INDEX(상세표[사번],$M963)&amp;"")</f>
        <v/>
      </c>
      <c r="B963">
        <f>IF($M963="","",INDEX(상세표[성명],$M963)&amp;"")</f>
        <v/>
      </c>
      <c r="C963">
        <f>IF($M963="","",IF(INDEX(상세표[종료월],$M963)=대상월키,"전월→이번 달","이번 달→익월"))</f>
        <v/>
      </c>
      <c r="D963">
        <f>IF($M963="","",IF(ISNUMBER(INDEX(상세표[시작],$M963)),TEXT(INDEX(상세표[시작],$M963),"yyyy-mm-dd hh:mm"),INDEX(상세표[시작],$M963)&amp;""))</f>
        <v/>
      </c>
      <c r="E963">
        <f>IF($M963="","",IF(ISNUMBER(INDEX(상세표[종료],$M963)),TEXT(INDEX(상세표[종료],$M963),"yyyy-mm-dd hh:mm"),INDEX(상세표[종료],$M963)&amp;""))</f>
        <v/>
      </c>
      <c r="F963">
        <f>IF($M963="","",INDEX(상세표[기록 시간외],$M963))</f>
        <v/>
      </c>
      <c r="G963">
        <f>IF($M963="","",INDEX(상세표[시작월 기관],$M963)&amp;"")</f>
        <v/>
      </c>
      <c r="H963">
        <f>IF($M963="","",INDEX(상세표[종료월 기관],$M963)&amp;"")</f>
        <v/>
      </c>
      <c r="I963">
        <f>IF($M963="","",INDEX(상세표[월경계 판정],$M963)&amp;"")</f>
        <v/>
      </c>
      <c r="J963">
        <f>IF($M963="","",INDEX(상세표[반영월],$M963)&amp;"")</f>
        <v/>
      </c>
      <c r="K963">
        <f>IF($M963="","",INDEX(상세표[반영 기관],$M963)&amp;"")</f>
        <v/>
      </c>
      <c r="L963">
        <f>IF($M963="","",INDEX(상세표[기관 출처],$M963)&amp;"")</f>
        <v/>
      </c>
      <c r="M963" s="4">
        <f>IFERROR(MATCH(958,상세표[경계순번],0),"")</f>
        <v/>
      </c>
    </row>
    <row r="964">
      <c r="A964">
        <f>IF($M964="","",INDEX(상세표[사번],$M964)&amp;"")</f>
        <v/>
      </c>
      <c r="B964">
        <f>IF($M964="","",INDEX(상세표[성명],$M964)&amp;"")</f>
        <v/>
      </c>
      <c r="C964">
        <f>IF($M964="","",IF(INDEX(상세표[종료월],$M964)=대상월키,"전월→이번 달","이번 달→익월"))</f>
        <v/>
      </c>
      <c r="D964">
        <f>IF($M964="","",IF(ISNUMBER(INDEX(상세표[시작],$M964)),TEXT(INDEX(상세표[시작],$M964),"yyyy-mm-dd hh:mm"),INDEX(상세표[시작],$M964)&amp;""))</f>
        <v/>
      </c>
      <c r="E964">
        <f>IF($M964="","",IF(ISNUMBER(INDEX(상세표[종료],$M964)),TEXT(INDEX(상세표[종료],$M964),"yyyy-mm-dd hh:mm"),INDEX(상세표[종료],$M964)&amp;""))</f>
        <v/>
      </c>
      <c r="F964">
        <f>IF($M964="","",INDEX(상세표[기록 시간외],$M964))</f>
        <v/>
      </c>
      <c r="G964">
        <f>IF($M964="","",INDEX(상세표[시작월 기관],$M964)&amp;"")</f>
        <v/>
      </c>
      <c r="H964">
        <f>IF($M964="","",INDEX(상세표[종료월 기관],$M964)&amp;"")</f>
        <v/>
      </c>
      <c r="I964">
        <f>IF($M964="","",INDEX(상세표[월경계 판정],$M964)&amp;"")</f>
        <v/>
      </c>
      <c r="J964">
        <f>IF($M964="","",INDEX(상세표[반영월],$M964)&amp;"")</f>
        <v/>
      </c>
      <c r="K964">
        <f>IF($M964="","",INDEX(상세표[반영 기관],$M964)&amp;"")</f>
        <v/>
      </c>
      <c r="L964">
        <f>IF($M964="","",INDEX(상세표[기관 출처],$M964)&amp;"")</f>
        <v/>
      </c>
      <c r="M964" s="4">
        <f>IFERROR(MATCH(959,상세표[경계순번],0),"")</f>
        <v/>
      </c>
    </row>
    <row r="965">
      <c r="A965">
        <f>IF($M965="","",INDEX(상세표[사번],$M965)&amp;"")</f>
        <v/>
      </c>
      <c r="B965">
        <f>IF($M965="","",INDEX(상세표[성명],$M965)&amp;"")</f>
        <v/>
      </c>
      <c r="C965">
        <f>IF($M965="","",IF(INDEX(상세표[종료월],$M965)=대상월키,"전월→이번 달","이번 달→익월"))</f>
        <v/>
      </c>
      <c r="D965">
        <f>IF($M965="","",IF(ISNUMBER(INDEX(상세표[시작],$M965)),TEXT(INDEX(상세표[시작],$M965),"yyyy-mm-dd hh:mm"),INDEX(상세표[시작],$M965)&amp;""))</f>
        <v/>
      </c>
      <c r="E965">
        <f>IF($M965="","",IF(ISNUMBER(INDEX(상세표[종료],$M965)),TEXT(INDEX(상세표[종료],$M965),"yyyy-mm-dd hh:mm"),INDEX(상세표[종료],$M965)&amp;""))</f>
        <v/>
      </c>
      <c r="F965">
        <f>IF($M965="","",INDEX(상세표[기록 시간외],$M965))</f>
        <v/>
      </c>
      <c r="G965">
        <f>IF($M965="","",INDEX(상세표[시작월 기관],$M965)&amp;"")</f>
        <v/>
      </c>
      <c r="H965">
        <f>IF($M965="","",INDEX(상세표[종료월 기관],$M965)&amp;"")</f>
        <v/>
      </c>
      <c r="I965">
        <f>IF($M965="","",INDEX(상세표[월경계 판정],$M965)&amp;"")</f>
        <v/>
      </c>
      <c r="J965">
        <f>IF($M965="","",INDEX(상세표[반영월],$M965)&amp;"")</f>
        <v/>
      </c>
      <c r="K965">
        <f>IF($M965="","",INDEX(상세표[반영 기관],$M965)&amp;"")</f>
        <v/>
      </c>
      <c r="L965">
        <f>IF($M965="","",INDEX(상세표[기관 출처],$M965)&amp;"")</f>
        <v/>
      </c>
      <c r="M965" s="4">
        <f>IFERROR(MATCH(960,상세표[경계순번],0),"")</f>
        <v/>
      </c>
    </row>
    <row r="966">
      <c r="A966">
        <f>IF($M966="","",INDEX(상세표[사번],$M966)&amp;"")</f>
        <v/>
      </c>
      <c r="B966">
        <f>IF($M966="","",INDEX(상세표[성명],$M966)&amp;"")</f>
        <v/>
      </c>
      <c r="C966">
        <f>IF($M966="","",IF(INDEX(상세표[종료월],$M966)=대상월키,"전월→이번 달","이번 달→익월"))</f>
        <v/>
      </c>
      <c r="D966">
        <f>IF($M966="","",IF(ISNUMBER(INDEX(상세표[시작],$M966)),TEXT(INDEX(상세표[시작],$M966),"yyyy-mm-dd hh:mm"),INDEX(상세표[시작],$M966)&amp;""))</f>
        <v/>
      </c>
      <c r="E966">
        <f>IF($M966="","",IF(ISNUMBER(INDEX(상세표[종료],$M966)),TEXT(INDEX(상세표[종료],$M966),"yyyy-mm-dd hh:mm"),INDEX(상세표[종료],$M966)&amp;""))</f>
        <v/>
      </c>
      <c r="F966">
        <f>IF($M966="","",INDEX(상세표[기록 시간외],$M966))</f>
        <v/>
      </c>
      <c r="G966">
        <f>IF($M966="","",INDEX(상세표[시작월 기관],$M966)&amp;"")</f>
        <v/>
      </c>
      <c r="H966">
        <f>IF($M966="","",INDEX(상세표[종료월 기관],$M966)&amp;"")</f>
        <v/>
      </c>
      <c r="I966">
        <f>IF($M966="","",INDEX(상세표[월경계 판정],$M966)&amp;"")</f>
        <v/>
      </c>
      <c r="J966">
        <f>IF($M966="","",INDEX(상세표[반영월],$M966)&amp;"")</f>
        <v/>
      </c>
      <c r="K966">
        <f>IF($M966="","",INDEX(상세표[반영 기관],$M966)&amp;"")</f>
        <v/>
      </c>
      <c r="L966">
        <f>IF($M966="","",INDEX(상세표[기관 출처],$M966)&amp;"")</f>
        <v/>
      </c>
      <c r="M966" s="4">
        <f>IFERROR(MATCH(961,상세표[경계순번],0),"")</f>
        <v/>
      </c>
    </row>
    <row r="967">
      <c r="A967">
        <f>IF($M967="","",INDEX(상세표[사번],$M967)&amp;"")</f>
        <v/>
      </c>
      <c r="B967">
        <f>IF($M967="","",INDEX(상세표[성명],$M967)&amp;"")</f>
        <v/>
      </c>
      <c r="C967">
        <f>IF($M967="","",IF(INDEX(상세표[종료월],$M967)=대상월키,"전월→이번 달","이번 달→익월"))</f>
        <v/>
      </c>
      <c r="D967">
        <f>IF($M967="","",IF(ISNUMBER(INDEX(상세표[시작],$M967)),TEXT(INDEX(상세표[시작],$M967),"yyyy-mm-dd hh:mm"),INDEX(상세표[시작],$M967)&amp;""))</f>
        <v/>
      </c>
      <c r="E967">
        <f>IF($M967="","",IF(ISNUMBER(INDEX(상세표[종료],$M967)),TEXT(INDEX(상세표[종료],$M967),"yyyy-mm-dd hh:mm"),INDEX(상세표[종료],$M967)&amp;""))</f>
        <v/>
      </c>
      <c r="F967">
        <f>IF($M967="","",INDEX(상세표[기록 시간외],$M967))</f>
        <v/>
      </c>
      <c r="G967">
        <f>IF($M967="","",INDEX(상세표[시작월 기관],$M967)&amp;"")</f>
        <v/>
      </c>
      <c r="H967">
        <f>IF($M967="","",INDEX(상세표[종료월 기관],$M967)&amp;"")</f>
        <v/>
      </c>
      <c r="I967">
        <f>IF($M967="","",INDEX(상세표[월경계 판정],$M967)&amp;"")</f>
        <v/>
      </c>
      <c r="J967">
        <f>IF($M967="","",INDEX(상세표[반영월],$M967)&amp;"")</f>
        <v/>
      </c>
      <c r="K967">
        <f>IF($M967="","",INDEX(상세표[반영 기관],$M967)&amp;"")</f>
        <v/>
      </c>
      <c r="L967">
        <f>IF($M967="","",INDEX(상세표[기관 출처],$M967)&amp;"")</f>
        <v/>
      </c>
      <c r="M967" s="4">
        <f>IFERROR(MATCH(962,상세표[경계순번],0),"")</f>
        <v/>
      </c>
    </row>
    <row r="968">
      <c r="A968">
        <f>IF($M968="","",INDEX(상세표[사번],$M968)&amp;"")</f>
        <v/>
      </c>
      <c r="B968">
        <f>IF($M968="","",INDEX(상세표[성명],$M968)&amp;"")</f>
        <v/>
      </c>
      <c r="C968">
        <f>IF($M968="","",IF(INDEX(상세표[종료월],$M968)=대상월키,"전월→이번 달","이번 달→익월"))</f>
        <v/>
      </c>
      <c r="D968">
        <f>IF($M968="","",IF(ISNUMBER(INDEX(상세표[시작],$M968)),TEXT(INDEX(상세표[시작],$M968),"yyyy-mm-dd hh:mm"),INDEX(상세표[시작],$M968)&amp;""))</f>
        <v/>
      </c>
      <c r="E968">
        <f>IF($M968="","",IF(ISNUMBER(INDEX(상세표[종료],$M968)),TEXT(INDEX(상세표[종료],$M968),"yyyy-mm-dd hh:mm"),INDEX(상세표[종료],$M968)&amp;""))</f>
        <v/>
      </c>
      <c r="F968">
        <f>IF($M968="","",INDEX(상세표[기록 시간외],$M968))</f>
        <v/>
      </c>
      <c r="G968">
        <f>IF($M968="","",INDEX(상세표[시작월 기관],$M968)&amp;"")</f>
        <v/>
      </c>
      <c r="H968">
        <f>IF($M968="","",INDEX(상세표[종료월 기관],$M968)&amp;"")</f>
        <v/>
      </c>
      <c r="I968">
        <f>IF($M968="","",INDEX(상세표[월경계 판정],$M968)&amp;"")</f>
        <v/>
      </c>
      <c r="J968">
        <f>IF($M968="","",INDEX(상세표[반영월],$M968)&amp;"")</f>
        <v/>
      </c>
      <c r="K968">
        <f>IF($M968="","",INDEX(상세표[반영 기관],$M968)&amp;"")</f>
        <v/>
      </c>
      <c r="L968">
        <f>IF($M968="","",INDEX(상세표[기관 출처],$M968)&amp;"")</f>
        <v/>
      </c>
      <c r="M968" s="4">
        <f>IFERROR(MATCH(963,상세표[경계순번],0),"")</f>
        <v/>
      </c>
    </row>
    <row r="969">
      <c r="A969">
        <f>IF($M969="","",INDEX(상세표[사번],$M969)&amp;"")</f>
        <v/>
      </c>
      <c r="B969">
        <f>IF($M969="","",INDEX(상세표[성명],$M969)&amp;"")</f>
        <v/>
      </c>
      <c r="C969">
        <f>IF($M969="","",IF(INDEX(상세표[종료월],$M969)=대상월키,"전월→이번 달","이번 달→익월"))</f>
        <v/>
      </c>
      <c r="D969">
        <f>IF($M969="","",IF(ISNUMBER(INDEX(상세표[시작],$M969)),TEXT(INDEX(상세표[시작],$M969),"yyyy-mm-dd hh:mm"),INDEX(상세표[시작],$M969)&amp;""))</f>
        <v/>
      </c>
      <c r="E969">
        <f>IF($M969="","",IF(ISNUMBER(INDEX(상세표[종료],$M969)),TEXT(INDEX(상세표[종료],$M969),"yyyy-mm-dd hh:mm"),INDEX(상세표[종료],$M969)&amp;""))</f>
        <v/>
      </c>
      <c r="F969">
        <f>IF($M969="","",INDEX(상세표[기록 시간외],$M969))</f>
        <v/>
      </c>
      <c r="G969">
        <f>IF($M969="","",INDEX(상세표[시작월 기관],$M969)&amp;"")</f>
        <v/>
      </c>
      <c r="H969">
        <f>IF($M969="","",INDEX(상세표[종료월 기관],$M969)&amp;"")</f>
        <v/>
      </c>
      <c r="I969">
        <f>IF($M969="","",INDEX(상세표[월경계 판정],$M969)&amp;"")</f>
        <v/>
      </c>
      <c r="J969">
        <f>IF($M969="","",INDEX(상세표[반영월],$M969)&amp;"")</f>
        <v/>
      </c>
      <c r="K969">
        <f>IF($M969="","",INDEX(상세표[반영 기관],$M969)&amp;"")</f>
        <v/>
      </c>
      <c r="L969">
        <f>IF($M969="","",INDEX(상세표[기관 출처],$M969)&amp;"")</f>
        <v/>
      </c>
      <c r="M969" s="4">
        <f>IFERROR(MATCH(964,상세표[경계순번],0),"")</f>
        <v/>
      </c>
    </row>
    <row r="970">
      <c r="A970">
        <f>IF($M970="","",INDEX(상세표[사번],$M970)&amp;"")</f>
        <v/>
      </c>
      <c r="B970">
        <f>IF($M970="","",INDEX(상세표[성명],$M970)&amp;"")</f>
        <v/>
      </c>
      <c r="C970">
        <f>IF($M970="","",IF(INDEX(상세표[종료월],$M970)=대상월키,"전월→이번 달","이번 달→익월"))</f>
        <v/>
      </c>
      <c r="D970">
        <f>IF($M970="","",IF(ISNUMBER(INDEX(상세표[시작],$M970)),TEXT(INDEX(상세표[시작],$M970),"yyyy-mm-dd hh:mm"),INDEX(상세표[시작],$M970)&amp;""))</f>
        <v/>
      </c>
      <c r="E970">
        <f>IF($M970="","",IF(ISNUMBER(INDEX(상세표[종료],$M970)),TEXT(INDEX(상세표[종료],$M970),"yyyy-mm-dd hh:mm"),INDEX(상세표[종료],$M970)&amp;""))</f>
        <v/>
      </c>
      <c r="F970">
        <f>IF($M970="","",INDEX(상세표[기록 시간외],$M970))</f>
        <v/>
      </c>
      <c r="G970">
        <f>IF($M970="","",INDEX(상세표[시작월 기관],$M970)&amp;"")</f>
        <v/>
      </c>
      <c r="H970">
        <f>IF($M970="","",INDEX(상세표[종료월 기관],$M970)&amp;"")</f>
        <v/>
      </c>
      <c r="I970">
        <f>IF($M970="","",INDEX(상세표[월경계 판정],$M970)&amp;"")</f>
        <v/>
      </c>
      <c r="J970">
        <f>IF($M970="","",INDEX(상세표[반영월],$M970)&amp;"")</f>
        <v/>
      </c>
      <c r="K970">
        <f>IF($M970="","",INDEX(상세표[반영 기관],$M970)&amp;"")</f>
        <v/>
      </c>
      <c r="L970">
        <f>IF($M970="","",INDEX(상세표[기관 출처],$M970)&amp;"")</f>
        <v/>
      </c>
      <c r="M970" s="4">
        <f>IFERROR(MATCH(965,상세표[경계순번],0),"")</f>
        <v/>
      </c>
    </row>
    <row r="971">
      <c r="A971">
        <f>IF($M971="","",INDEX(상세표[사번],$M971)&amp;"")</f>
        <v/>
      </c>
      <c r="B971">
        <f>IF($M971="","",INDEX(상세표[성명],$M971)&amp;"")</f>
        <v/>
      </c>
      <c r="C971">
        <f>IF($M971="","",IF(INDEX(상세표[종료월],$M971)=대상월키,"전월→이번 달","이번 달→익월"))</f>
        <v/>
      </c>
      <c r="D971">
        <f>IF($M971="","",IF(ISNUMBER(INDEX(상세표[시작],$M971)),TEXT(INDEX(상세표[시작],$M971),"yyyy-mm-dd hh:mm"),INDEX(상세표[시작],$M971)&amp;""))</f>
        <v/>
      </c>
      <c r="E971">
        <f>IF($M971="","",IF(ISNUMBER(INDEX(상세표[종료],$M971)),TEXT(INDEX(상세표[종료],$M971),"yyyy-mm-dd hh:mm"),INDEX(상세표[종료],$M971)&amp;""))</f>
        <v/>
      </c>
      <c r="F971">
        <f>IF($M971="","",INDEX(상세표[기록 시간외],$M971))</f>
        <v/>
      </c>
      <c r="G971">
        <f>IF($M971="","",INDEX(상세표[시작월 기관],$M971)&amp;"")</f>
        <v/>
      </c>
      <c r="H971">
        <f>IF($M971="","",INDEX(상세표[종료월 기관],$M971)&amp;"")</f>
        <v/>
      </c>
      <c r="I971">
        <f>IF($M971="","",INDEX(상세표[월경계 판정],$M971)&amp;"")</f>
        <v/>
      </c>
      <c r="J971">
        <f>IF($M971="","",INDEX(상세표[반영월],$M971)&amp;"")</f>
        <v/>
      </c>
      <c r="K971">
        <f>IF($M971="","",INDEX(상세표[반영 기관],$M971)&amp;"")</f>
        <v/>
      </c>
      <c r="L971">
        <f>IF($M971="","",INDEX(상세표[기관 출처],$M971)&amp;"")</f>
        <v/>
      </c>
      <c r="M971" s="4">
        <f>IFERROR(MATCH(966,상세표[경계순번],0),"")</f>
        <v/>
      </c>
    </row>
    <row r="972">
      <c r="A972">
        <f>IF($M972="","",INDEX(상세표[사번],$M972)&amp;"")</f>
        <v/>
      </c>
      <c r="B972">
        <f>IF($M972="","",INDEX(상세표[성명],$M972)&amp;"")</f>
        <v/>
      </c>
      <c r="C972">
        <f>IF($M972="","",IF(INDEX(상세표[종료월],$M972)=대상월키,"전월→이번 달","이번 달→익월"))</f>
        <v/>
      </c>
      <c r="D972">
        <f>IF($M972="","",IF(ISNUMBER(INDEX(상세표[시작],$M972)),TEXT(INDEX(상세표[시작],$M972),"yyyy-mm-dd hh:mm"),INDEX(상세표[시작],$M972)&amp;""))</f>
        <v/>
      </c>
      <c r="E972">
        <f>IF($M972="","",IF(ISNUMBER(INDEX(상세표[종료],$M972)),TEXT(INDEX(상세표[종료],$M972),"yyyy-mm-dd hh:mm"),INDEX(상세표[종료],$M972)&amp;""))</f>
        <v/>
      </c>
      <c r="F972">
        <f>IF($M972="","",INDEX(상세표[기록 시간외],$M972))</f>
        <v/>
      </c>
      <c r="G972">
        <f>IF($M972="","",INDEX(상세표[시작월 기관],$M972)&amp;"")</f>
        <v/>
      </c>
      <c r="H972">
        <f>IF($M972="","",INDEX(상세표[종료월 기관],$M972)&amp;"")</f>
        <v/>
      </c>
      <c r="I972">
        <f>IF($M972="","",INDEX(상세표[월경계 판정],$M972)&amp;"")</f>
        <v/>
      </c>
      <c r="J972">
        <f>IF($M972="","",INDEX(상세표[반영월],$M972)&amp;"")</f>
        <v/>
      </c>
      <c r="K972">
        <f>IF($M972="","",INDEX(상세표[반영 기관],$M972)&amp;"")</f>
        <v/>
      </c>
      <c r="L972">
        <f>IF($M972="","",INDEX(상세표[기관 출처],$M972)&amp;"")</f>
        <v/>
      </c>
      <c r="M972" s="4">
        <f>IFERROR(MATCH(967,상세표[경계순번],0),"")</f>
        <v/>
      </c>
    </row>
    <row r="973">
      <c r="A973">
        <f>IF($M973="","",INDEX(상세표[사번],$M973)&amp;"")</f>
        <v/>
      </c>
      <c r="B973">
        <f>IF($M973="","",INDEX(상세표[성명],$M973)&amp;"")</f>
        <v/>
      </c>
      <c r="C973">
        <f>IF($M973="","",IF(INDEX(상세표[종료월],$M973)=대상월키,"전월→이번 달","이번 달→익월"))</f>
        <v/>
      </c>
      <c r="D973">
        <f>IF($M973="","",IF(ISNUMBER(INDEX(상세표[시작],$M973)),TEXT(INDEX(상세표[시작],$M973),"yyyy-mm-dd hh:mm"),INDEX(상세표[시작],$M973)&amp;""))</f>
        <v/>
      </c>
      <c r="E973">
        <f>IF($M973="","",IF(ISNUMBER(INDEX(상세표[종료],$M973)),TEXT(INDEX(상세표[종료],$M973),"yyyy-mm-dd hh:mm"),INDEX(상세표[종료],$M973)&amp;""))</f>
        <v/>
      </c>
      <c r="F973">
        <f>IF($M973="","",INDEX(상세표[기록 시간외],$M973))</f>
        <v/>
      </c>
      <c r="G973">
        <f>IF($M973="","",INDEX(상세표[시작월 기관],$M973)&amp;"")</f>
        <v/>
      </c>
      <c r="H973">
        <f>IF($M973="","",INDEX(상세표[종료월 기관],$M973)&amp;"")</f>
        <v/>
      </c>
      <c r="I973">
        <f>IF($M973="","",INDEX(상세표[월경계 판정],$M973)&amp;"")</f>
        <v/>
      </c>
      <c r="J973">
        <f>IF($M973="","",INDEX(상세표[반영월],$M973)&amp;"")</f>
        <v/>
      </c>
      <c r="K973">
        <f>IF($M973="","",INDEX(상세표[반영 기관],$M973)&amp;"")</f>
        <v/>
      </c>
      <c r="L973">
        <f>IF($M973="","",INDEX(상세표[기관 출처],$M973)&amp;"")</f>
        <v/>
      </c>
      <c r="M973" s="4">
        <f>IFERROR(MATCH(968,상세표[경계순번],0),"")</f>
        <v/>
      </c>
    </row>
    <row r="974">
      <c r="A974">
        <f>IF($M974="","",INDEX(상세표[사번],$M974)&amp;"")</f>
        <v/>
      </c>
      <c r="B974">
        <f>IF($M974="","",INDEX(상세표[성명],$M974)&amp;"")</f>
        <v/>
      </c>
      <c r="C974">
        <f>IF($M974="","",IF(INDEX(상세표[종료월],$M974)=대상월키,"전월→이번 달","이번 달→익월"))</f>
        <v/>
      </c>
      <c r="D974">
        <f>IF($M974="","",IF(ISNUMBER(INDEX(상세표[시작],$M974)),TEXT(INDEX(상세표[시작],$M974),"yyyy-mm-dd hh:mm"),INDEX(상세표[시작],$M974)&amp;""))</f>
        <v/>
      </c>
      <c r="E974">
        <f>IF($M974="","",IF(ISNUMBER(INDEX(상세표[종료],$M974)),TEXT(INDEX(상세표[종료],$M974),"yyyy-mm-dd hh:mm"),INDEX(상세표[종료],$M974)&amp;""))</f>
        <v/>
      </c>
      <c r="F974">
        <f>IF($M974="","",INDEX(상세표[기록 시간외],$M974))</f>
        <v/>
      </c>
      <c r="G974">
        <f>IF($M974="","",INDEX(상세표[시작월 기관],$M974)&amp;"")</f>
        <v/>
      </c>
      <c r="H974">
        <f>IF($M974="","",INDEX(상세표[종료월 기관],$M974)&amp;"")</f>
        <v/>
      </c>
      <c r="I974">
        <f>IF($M974="","",INDEX(상세표[월경계 판정],$M974)&amp;"")</f>
        <v/>
      </c>
      <c r="J974">
        <f>IF($M974="","",INDEX(상세표[반영월],$M974)&amp;"")</f>
        <v/>
      </c>
      <c r="K974">
        <f>IF($M974="","",INDEX(상세표[반영 기관],$M974)&amp;"")</f>
        <v/>
      </c>
      <c r="L974">
        <f>IF($M974="","",INDEX(상세표[기관 출처],$M974)&amp;"")</f>
        <v/>
      </c>
      <c r="M974" s="4">
        <f>IFERROR(MATCH(969,상세표[경계순번],0),"")</f>
        <v/>
      </c>
    </row>
    <row r="975">
      <c r="A975">
        <f>IF($M975="","",INDEX(상세표[사번],$M975)&amp;"")</f>
        <v/>
      </c>
      <c r="B975">
        <f>IF($M975="","",INDEX(상세표[성명],$M975)&amp;"")</f>
        <v/>
      </c>
      <c r="C975">
        <f>IF($M975="","",IF(INDEX(상세표[종료월],$M975)=대상월키,"전월→이번 달","이번 달→익월"))</f>
        <v/>
      </c>
      <c r="D975">
        <f>IF($M975="","",IF(ISNUMBER(INDEX(상세표[시작],$M975)),TEXT(INDEX(상세표[시작],$M975),"yyyy-mm-dd hh:mm"),INDEX(상세표[시작],$M975)&amp;""))</f>
        <v/>
      </c>
      <c r="E975">
        <f>IF($M975="","",IF(ISNUMBER(INDEX(상세표[종료],$M975)),TEXT(INDEX(상세표[종료],$M975),"yyyy-mm-dd hh:mm"),INDEX(상세표[종료],$M975)&amp;""))</f>
        <v/>
      </c>
      <c r="F975">
        <f>IF($M975="","",INDEX(상세표[기록 시간외],$M975))</f>
        <v/>
      </c>
      <c r="G975">
        <f>IF($M975="","",INDEX(상세표[시작월 기관],$M975)&amp;"")</f>
        <v/>
      </c>
      <c r="H975">
        <f>IF($M975="","",INDEX(상세표[종료월 기관],$M975)&amp;"")</f>
        <v/>
      </c>
      <c r="I975">
        <f>IF($M975="","",INDEX(상세표[월경계 판정],$M975)&amp;"")</f>
        <v/>
      </c>
      <c r="J975">
        <f>IF($M975="","",INDEX(상세표[반영월],$M975)&amp;"")</f>
        <v/>
      </c>
      <c r="K975">
        <f>IF($M975="","",INDEX(상세표[반영 기관],$M975)&amp;"")</f>
        <v/>
      </c>
      <c r="L975">
        <f>IF($M975="","",INDEX(상세표[기관 출처],$M975)&amp;"")</f>
        <v/>
      </c>
      <c r="M975" s="4">
        <f>IFERROR(MATCH(970,상세표[경계순번],0),"")</f>
        <v/>
      </c>
    </row>
    <row r="976">
      <c r="A976">
        <f>IF($M976="","",INDEX(상세표[사번],$M976)&amp;"")</f>
        <v/>
      </c>
      <c r="B976">
        <f>IF($M976="","",INDEX(상세표[성명],$M976)&amp;"")</f>
        <v/>
      </c>
      <c r="C976">
        <f>IF($M976="","",IF(INDEX(상세표[종료월],$M976)=대상월키,"전월→이번 달","이번 달→익월"))</f>
        <v/>
      </c>
      <c r="D976">
        <f>IF($M976="","",IF(ISNUMBER(INDEX(상세표[시작],$M976)),TEXT(INDEX(상세표[시작],$M976),"yyyy-mm-dd hh:mm"),INDEX(상세표[시작],$M976)&amp;""))</f>
        <v/>
      </c>
      <c r="E976">
        <f>IF($M976="","",IF(ISNUMBER(INDEX(상세표[종료],$M976)),TEXT(INDEX(상세표[종료],$M976),"yyyy-mm-dd hh:mm"),INDEX(상세표[종료],$M976)&amp;""))</f>
        <v/>
      </c>
      <c r="F976">
        <f>IF($M976="","",INDEX(상세표[기록 시간외],$M976))</f>
        <v/>
      </c>
      <c r="G976">
        <f>IF($M976="","",INDEX(상세표[시작월 기관],$M976)&amp;"")</f>
        <v/>
      </c>
      <c r="H976">
        <f>IF($M976="","",INDEX(상세표[종료월 기관],$M976)&amp;"")</f>
        <v/>
      </c>
      <c r="I976">
        <f>IF($M976="","",INDEX(상세표[월경계 판정],$M976)&amp;"")</f>
        <v/>
      </c>
      <c r="J976">
        <f>IF($M976="","",INDEX(상세표[반영월],$M976)&amp;"")</f>
        <v/>
      </c>
      <c r="K976">
        <f>IF($M976="","",INDEX(상세표[반영 기관],$M976)&amp;"")</f>
        <v/>
      </c>
      <c r="L976">
        <f>IF($M976="","",INDEX(상세표[기관 출처],$M976)&amp;"")</f>
        <v/>
      </c>
      <c r="M976" s="4">
        <f>IFERROR(MATCH(971,상세표[경계순번],0),"")</f>
        <v/>
      </c>
    </row>
    <row r="977">
      <c r="A977">
        <f>IF($M977="","",INDEX(상세표[사번],$M977)&amp;"")</f>
        <v/>
      </c>
      <c r="B977">
        <f>IF($M977="","",INDEX(상세표[성명],$M977)&amp;"")</f>
        <v/>
      </c>
      <c r="C977">
        <f>IF($M977="","",IF(INDEX(상세표[종료월],$M977)=대상월키,"전월→이번 달","이번 달→익월"))</f>
        <v/>
      </c>
      <c r="D977">
        <f>IF($M977="","",IF(ISNUMBER(INDEX(상세표[시작],$M977)),TEXT(INDEX(상세표[시작],$M977),"yyyy-mm-dd hh:mm"),INDEX(상세표[시작],$M977)&amp;""))</f>
        <v/>
      </c>
      <c r="E977">
        <f>IF($M977="","",IF(ISNUMBER(INDEX(상세표[종료],$M977)),TEXT(INDEX(상세표[종료],$M977),"yyyy-mm-dd hh:mm"),INDEX(상세표[종료],$M977)&amp;""))</f>
        <v/>
      </c>
      <c r="F977">
        <f>IF($M977="","",INDEX(상세표[기록 시간외],$M977))</f>
        <v/>
      </c>
      <c r="G977">
        <f>IF($M977="","",INDEX(상세표[시작월 기관],$M977)&amp;"")</f>
        <v/>
      </c>
      <c r="H977">
        <f>IF($M977="","",INDEX(상세표[종료월 기관],$M977)&amp;"")</f>
        <v/>
      </c>
      <c r="I977">
        <f>IF($M977="","",INDEX(상세표[월경계 판정],$M977)&amp;"")</f>
        <v/>
      </c>
      <c r="J977">
        <f>IF($M977="","",INDEX(상세표[반영월],$M977)&amp;"")</f>
        <v/>
      </c>
      <c r="K977">
        <f>IF($M977="","",INDEX(상세표[반영 기관],$M977)&amp;"")</f>
        <v/>
      </c>
      <c r="L977">
        <f>IF($M977="","",INDEX(상세표[기관 출처],$M977)&amp;"")</f>
        <v/>
      </c>
      <c r="M977" s="4">
        <f>IFERROR(MATCH(972,상세표[경계순번],0),"")</f>
        <v/>
      </c>
    </row>
    <row r="978">
      <c r="A978">
        <f>IF($M978="","",INDEX(상세표[사번],$M978)&amp;"")</f>
        <v/>
      </c>
      <c r="B978">
        <f>IF($M978="","",INDEX(상세표[성명],$M978)&amp;"")</f>
        <v/>
      </c>
      <c r="C978">
        <f>IF($M978="","",IF(INDEX(상세표[종료월],$M978)=대상월키,"전월→이번 달","이번 달→익월"))</f>
        <v/>
      </c>
      <c r="D978">
        <f>IF($M978="","",IF(ISNUMBER(INDEX(상세표[시작],$M978)),TEXT(INDEX(상세표[시작],$M978),"yyyy-mm-dd hh:mm"),INDEX(상세표[시작],$M978)&amp;""))</f>
        <v/>
      </c>
      <c r="E978">
        <f>IF($M978="","",IF(ISNUMBER(INDEX(상세표[종료],$M978)),TEXT(INDEX(상세표[종료],$M978),"yyyy-mm-dd hh:mm"),INDEX(상세표[종료],$M978)&amp;""))</f>
        <v/>
      </c>
      <c r="F978">
        <f>IF($M978="","",INDEX(상세표[기록 시간외],$M978))</f>
        <v/>
      </c>
      <c r="G978">
        <f>IF($M978="","",INDEX(상세표[시작월 기관],$M978)&amp;"")</f>
        <v/>
      </c>
      <c r="H978">
        <f>IF($M978="","",INDEX(상세표[종료월 기관],$M978)&amp;"")</f>
        <v/>
      </c>
      <c r="I978">
        <f>IF($M978="","",INDEX(상세표[월경계 판정],$M978)&amp;"")</f>
        <v/>
      </c>
      <c r="J978">
        <f>IF($M978="","",INDEX(상세표[반영월],$M978)&amp;"")</f>
        <v/>
      </c>
      <c r="K978">
        <f>IF($M978="","",INDEX(상세표[반영 기관],$M978)&amp;"")</f>
        <v/>
      </c>
      <c r="L978">
        <f>IF($M978="","",INDEX(상세표[기관 출처],$M978)&amp;"")</f>
        <v/>
      </c>
      <c r="M978" s="4">
        <f>IFERROR(MATCH(973,상세표[경계순번],0),"")</f>
        <v/>
      </c>
    </row>
    <row r="979">
      <c r="A979">
        <f>IF($M979="","",INDEX(상세표[사번],$M979)&amp;"")</f>
        <v/>
      </c>
      <c r="B979">
        <f>IF($M979="","",INDEX(상세표[성명],$M979)&amp;"")</f>
        <v/>
      </c>
      <c r="C979">
        <f>IF($M979="","",IF(INDEX(상세표[종료월],$M979)=대상월키,"전월→이번 달","이번 달→익월"))</f>
        <v/>
      </c>
      <c r="D979">
        <f>IF($M979="","",IF(ISNUMBER(INDEX(상세표[시작],$M979)),TEXT(INDEX(상세표[시작],$M979),"yyyy-mm-dd hh:mm"),INDEX(상세표[시작],$M979)&amp;""))</f>
        <v/>
      </c>
      <c r="E979">
        <f>IF($M979="","",IF(ISNUMBER(INDEX(상세표[종료],$M979)),TEXT(INDEX(상세표[종료],$M979),"yyyy-mm-dd hh:mm"),INDEX(상세표[종료],$M979)&amp;""))</f>
        <v/>
      </c>
      <c r="F979">
        <f>IF($M979="","",INDEX(상세표[기록 시간외],$M979))</f>
        <v/>
      </c>
      <c r="G979">
        <f>IF($M979="","",INDEX(상세표[시작월 기관],$M979)&amp;"")</f>
        <v/>
      </c>
      <c r="H979">
        <f>IF($M979="","",INDEX(상세표[종료월 기관],$M979)&amp;"")</f>
        <v/>
      </c>
      <c r="I979">
        <f>IF($M979="","",INDEX(상세표[월경계 판정],$M979)&amp;"")</f>
        <v/>
      </c>
      <c r="J979">
        <f>IF($M979="","",INDEX(상세표[반영월],$M979)&amp;"")</f>
        <v/>
      </c>
      <c r="K979">
        <f>IF($M979="","",INDEX(상세표[반영 기관],$M979)&amp;"")</f>
        <v/>
      </c>
      <c r="L979">
        <f>IF($M979="","",INDEX(상세표[기관 출처],$M979)&amp;"")</f>
        <v/>
      </c>
      <c r="M979" s="4">
        <f>IFERROR(MATCH(974,상세표[경계순번],0),"")</f>
        <v/>
      </c>
    </row>
    <row r="980">
      <c r="A980">
        <f>IF($M980="","",INDEX(상세표[사번],$M980)&amp;"")</f>
        <v/>
      </c>
      <c r="B980">
        <f>IF($M980="","",INDEX(상세표[성명],$M980)&amp;"")</f>
        <v/>
      </c>
      <c r="C980">
        <f>IF($M980="","",IF(INDEX(상세표[종료월],$M980)=대상월키,"전월→이번 달","이번 달→익월"))</f>
        <v/>
      </c>
      <c r="D980">
        <f>IF($M980="","",IF(ISNUMBER(INDEX(상세표[시작],$M980)),TEXT(INDEX(상세표[시작],$M980),"yyyy-mm-dd hh:mm"),INDEX(상세표[시작],$M980)&amp;""))</f>
        <v/>
      </c>
      <c r="E980">
        <f>IF($M980="","",IF(ISNUMBER(INDEX(상세표[종료],$M980)),TEXT(INDEX(상세표[종료],$M980),"yyyy-mm-dd hh:mm"),INDEX(상세표[종료],$M980)&amp;""))</f>
        <v/>
      </c>
      <c r="F980">
        <f>IF($M980="","",INDEX(상세표[기록 시간외],$M980))</f>
        <v/>
      </c>
      <c r="G980">
        <f>IF($M980="","",INDEX(상세표[시작월 기관],$M980)&amp;"")</f>
        <v/>
      </c>
      <c r="H980">
        <f>IF($M980="","",INDEX(상세표[종료월 기관],$M980)&amp;"")</f>
        <v/>
      </c>
      <c r="I980">
        <f>IF($M980="","",INDEX(상세표[월경계 판정],$M980)&amp;"")</f>
        <v/>
      </c>
      <c r="J980">
        <f>IF($M980="","",INDEX(상세표[반영월],$M980)&amp;"")</f>
        <v/>
      </c>
      <c r="K980">
        <f>IF($M980="","",INDEX(상세표[반영 기관],$M980)&amp;"")</f>
        <v/>
      </c>
      <c r="L980">
        <f>IF($M980="","",INDEX(상세표[기관 출처],$M980)&amp;"")</f>
        <v/>
      </c>
      <c r="M980" s="4">
        <f>IFERROR(MATCH(975,상세표[경계순번],0),"")</f>
        <v/>
      </c>
    </row>
    <row r="981">
      <c r="A981">
        <f>IF($M981="","",INDEX(상세표[사번],$M981)&amp;"")</f>
        <v/>
      </c>
      <c r="B981">
        <f>IF($M981="","",INDEX(상세표[성명],$M981)&amp;"")</f>
        <v/>
      </c>
      <c r="C981">
        <f>IF($M981="","",IF(INDEX(상세표[종료월],$M981)=대상월키,"전월→이번 달","이번 달→익월"))</f>
        <v/>
      </c>
      <c r="D981">
        <f>IF($M981="","",IF(ISNUMBER(INDEX(상세표[시작],$M981)),TEXT(INDEX(상세표[시작],$M981),"yyyy-mm-dd hh:mm"),INDEX(상세표[시작],$M981)&amp;""))</f>
        <v/>
      </c>
      <c r="E981">
        <f>IF($M981="","",IF(ISNUMBER(INDEX(상세표[종료],$M981)),TEXT(INDEX(상세표[종료],$M981),"yyyy-mm-dd hh:mm"),INDEX(상세표[종료],$M981)&amp;""))</f>
        <v/>
      </c>
      <c r="F981">
        <f>IF($M981="","",INDEX(상세표[기록 시간외],$M981))</f>
        <v/>
      </c>
      <c r="G981">
        <f>IF($M981="","",INDEX(상세표[시작월 기관],$M981)&amp;"")</f>
        <v/>
      </c>
      <c r="H981">
        <f>IF($M981="","",INDEX(상세표[종료월 기관],$M981)&amp;"")</f>
        <v/>
      </c>
      <c r="I981">
        <f>IF($M981="","",INDEX(상세표[월경계 판정],$M981)&amp;"")</f>
        <v/>
      </c>
      <c r="J981">
        <f>IF($M981="","",INDEX(상세표[반영월],$M981)&amp;"")</f>
        <v/>
      </c>
      <c r="K981">
        <f>IF($M981="","",INDEX(상세표[반영 기관],$M981)&amp;"")</f>
        <v/>
      </c>
      <c r="L981">
        <f>IF($M981="","",INDEX(상세표[기관 출처],$M981)&amp;"")</f>
        <v/>
      </c>
      <c r="M981" s="4">
        <f>IFERROR(MATCH(976,상세표[경계순번],0),"")</f>
        <v/>
      </c>
    </row>
    <row r="982">
      <c r="A982">
        <f>IF($M982="","",INDEX(상세표[사번],$M982)&amp;"")</f>
        <v/>
      </c>
      <c r="B982">
        <f>IF($M982="","",INDEX(상세표[성명],$M982)&amp;"")</f>
        <v/>
      </c>
      <c r="C982">
        <f>IF($M982="","",IF(INDEX(상세표[종료월],$M982)=대상월키,"전월→이번 달","이번 달→익월"))</f>
        <v/>
      </c>
      <c r="D982">
        <f>IF($M982="","",IF(ISNUMBER(INDEX(상세표[시작],$M982)),TEXT(INDEX(상세표[시작],$M982),"yyyy-mm-dd hh:mm"),INDEX(상세표[시작],$M982)&amp;""))</f>
        <v/>
      </c>
      <c r="E982">
        <f>IF($M982="","",IF(ISNUMBER(INDEX(상세표[종료],$M982)),TEXT(INDEX(상세표[종료],$M982),"yyyy-mm-dd hh:mm"),INDEX(상세표[종료],$M982)&amp;""))</f>
        <v/>
      </c>
      <c r="F982">
        <f>IF($M982="","",INDEX(상세표[기록 시간외],$M982))</f>
        <v/>
      </c>
      <c r="G982">
        <f>IF($M982="","",INDEX(상세표[시작월 기관],$M982)&amp;"")</f>
        <v/>
      </c>
      <c r="H982">
        <f>IF($M982="","",INDEX(상세표[종료월 기관],$M982)&amp;"")</f>
        <v/>
      </c>
      <c r="I982">
        <f>IF($M982="","",INDEX(상세표[월경계 판정],$M982)&amp;"")</f>
        <v/>
      </c>
      <c r="J982">
        <f>IF($M982="","",INDEX(상세표[반영월],$M982)&amp;"")</f>
        <v/>
      </c>
      <c r="K982">
        <f>IF($M982="","",INDEX(상세표[반영 기관],$M982)&amp;"")</f>
        <v/>
      </c>
      <c r="L982">
        <f>IF($M982="","",INDEX(상세표[기관 출처],$M982)&amp;"")</f>
        <v/>
      </c>
      <c r="M982" s="4">
        <f>IFERROR(MATCH(977,상세표[경계순번],0),"")</f>
        <v/>
      </c>
    </row>
    <row r="983">
      <c r="A983">
        <f>IF($M983="","",INDEX(상세표[사번],$M983)&amp;"")</f>
        <v/>
      </c>
      <c r="B983">
        <f>IF($M983="","",INDEX(상세표[성명],$M983)&amp;"")</f>
        <v/>
      </c>
      <c r="C983">
        <f>IF($M983="","",IF(INDEX(상세표[종료월],$M983)=대상월키,"전월→이번 달","이번 달→익월"))</f>
        <v/>
      </c>
      <c r="D983">
        <f>IF($M983="","",IF(ISNUMBER(INDEX(상세표[시작],$M983)),TEXT(INDEX(상세표[시작],$M983),"yyyy-mm-dd hh:mm"),INDEX(상세표[시작],$M983)&amp;""))</f>
        <v/>
      </c>
      <c r="E983">
        <f>IF($M983="","",IF(ISNUMBER(INDEX(상세표[종료],$M983)),TEXT(INDEX(상세표[종료],$M983),"yyyy-mm-dd hh:mm"),INDEX(상세표[종료],$M983)&amp;""))</f>
        <v/>
      </c>
      <c r="F983">
        <f>IF($M983="","",INDEX(상세표[기록 시간외],$M983))</f>
        <v/>
      </c>
      <c r="G983">
        <f>IF($M983="","",INDEX(상세표[시작월 기관],$M983)&amp;"")</f>
        <v/>
      </c>
      <c r="H983">
        <f>IF($M983="","",INDEX(상세표[종료월 기관],$M983)&amp;"")</f>
        <v/>
      </c>
      <c r="I983">
        <f>IF($M983="","",INDEX(상세표[월경계 판정],$M983)&amp;"")</f>
        <v/>
      </c>
      <c r="J983">
        <f>IF($M983="","",INDEX(상세표[반영월],$M983)&amp;"")</f>
        <v/>
      </c>
      <c r="K983">
        <f>IF($M983="","",INDEX(상세표[반영 기관],$M983)&amp;"")</f>
        <v/>
      </c>
      <c r="L983">
        <f>IF($M983="","",INDEX(상세표[기관 출처],$M983)&amp;"")</f>
        <v/>
      </c>
      <c r="M983" s="4">
        <f>IFERROR(MATCH(978,상세표[경계순번],0),"")</f>
        <v/>
      </c>
    </row>
    <row r="984">
      <c r="A984">
        <f>IF($M984="","",INDEX(상세표[사번],$M984)&amp;"")</f>
        <v/>
      </c>
      <c r="B984">
        <f>IF($M984="","",INDEX(상세표[성명],$M984)&amp;"")</f>
        <v/>
      </c>
      <c r="C984">
        <f>IF($M984="","",IF(INDEX(상세표[종료월],$M984)=대상월키,"전월→이번 달","이번 달→익월"))</f>
        <v/>
      </c>
      <c r="D984">
        <f>IF($M984="","",IF(ISNUMBER(INDEX(상세표[시작],$M984)),TEXT(INDEX(상세표[시작],$M984),"yyyy-mm-dd hh:mm"),INDEX(상세표[시작],$M984)&amp;""))</f>
        <v/>
      </c>
      <c r="E984">
        <f>IF($M984="","",IF(ISNUMBER(INDEX(상세표[종료],$M984)),TEXT(INDEX(상세표[종료],$M984),"yyyy-mm-dd hh:mm"),INDEX(상세표[종료],$M984)&amp;""))</f>
        <v/>
      </c>
      <c r="F984">
        <f>IF($M984="","",INDEX(상세표[기록 시간외],$M984))</f>
        <v/>
      </c>
      <c r="G984">
        <f>IF($M984="","",INDEX(상세표[시작월 기관],$M984)&amp;"")</f>
        <v/>
      </c>
      <c r="H984">
        <f>IF($M984="","",INDEX(상세표[종료월 기관],$M984)&amp;"")</f>
        <v/>
      </c>
      <c r="I984">
        <f>IF($M984="","",INDEX(상세표[월경계 판정],$M984)&amp;"")</f>
        <v/>
      </c>
      <c r="J984">
        <f>IF($M984="","",INDEX(상세표[반영월],$M984)&amp;"")</f>
        <v/>
      </c>
      <c r="K984">
        <f>IF($M984="","",INDEX(상세표[반영 기관],$M984)&amp;"")</f>
        <v/>
      </c>
      <c r="L984">
        <f>IF($M984="","",INDEX(상세표[기관 출처],$M984)&amp;"")</f>
        <v/>
      </c>
      <c r="M984" s="4">
        <f>IFERROR(MATCH(979,상세표[경계순번],0),"")</f>
        <v/>
      </c>
    </row>
    <row r="985">
      <c r="A985">
        <f>IF($M985="","",INDEX(상세표[사번],$M985)&amp;"")</f>
        <v/>
      </c>
      <c r="B985">
        <f>IF($M985="","",INDEX(상세표[성명],$M985)&amp;"")</f>
        <v/>
      </c>
      <c r="C985">
        <f>IF($M985="","",IF(INDEX(상세표[종료월],$M985)=대상월키,"전월→이번 달","이번 달→익월"))</f>
        <v/>
      </c>
      <c r="D985">
        <f>IF($M985="","",IF(ISNUMBER(INDEX(상세표[시작],$M985)),TEXT(INDEX(상세표[시작],$M985),"yyyy-mm-dd hh:mm"),INDEX(상세표[시작],$M985)&amp;""))</f>
        <v/>
      </c>
      <c r="E985">
        <f>IF($M985="","",IF(ISNUMBER(INDEX(상세표[종료],$M985)),TEXT(INDEX(상세표[종료],$M985),"yyyy-mm-dd hh:mm"),INDEX(상세표[종료],$M985)&amp;""))</f>
        <v/>
      </c>
      <c r="F985">
        <f>IF($M985="","",INDEX(상세표[기록 시간외],$M985))</f>
        <v/>
      </c>
      <c r="G985">
        <f>IF($M985="","",INDEX(상세표[시작월 기관],$M985)&amp;"")</f>
        <v/>
      </c>
      <c r="H985">
        <f>IF($M985="","",INDEX(상세표[종료월 기관],$M985)&amp;"")</f>
        <v/>
      </c>
      <c r="I985">
        <f>IF($M985="","",INDEX(상세표[월경계 판정],$M985)&amp;"")</f>
        <v/>
      </c>
      <c r="J985">
        <f>IF($M985="","",INDEX(상세표[반영월],$M985)&amp;"")</f>
        <v/>
      </c>
      <c r="K985">
        <f>IF($M985="","",INDEX(상세표[반영 기관],$M985)&amp;"")</f>
        <v/>
      </c>
      <c r="L985">
        <f>IF($M985="","",INDEX(상세표[기관 출처],$M985)&amp;"")</f>
        <v/>
      </c>
      <c r="M985" s="4">
        <f>IFERROR(MATCH(980,상세표[경계순번],0),"")</f>
        <v/>
      </c>
    </row>
    <row r="986">
      <c r="A986">
        <f>IF($M986="","",INDEX(상세표[사번],$M986)&amp;"")</f>
        <v/>
      </c>
      <c r="B986">
        <f>IF($M986="","",INDEX(상세표[성명],$M986)&amp;"")</f>
        <v/>
      </c>
      <c r="C986">
        <f>IF($M986="","",IF(INDEX(상세표[종료월],$M986)=대상월키,"전월→이번 달","이번 달→익월"))</f>
        <v/>
      </c>
      <c r="D986">
        <f>IF($M986="","",IF(ISNUMBER(INDEX(상세표[시작],$M986)),TEXT(INDEX(상세표[시작],$M986),"yyyy-mm-dd hh:mm"),INDEX(상세표[시작],$M986)&amp;""))</f>
        <v/>
      </c>
      <c r="E986">
        <f>IF($M986="","",IF(ISNUMBER(INDEX(상세표[종료],$M986)),TEXT(INDEX(상세표[종료],$M986),"yyyy-mm-dd hh:mm"),INDEX(상세표[종료],$M986)&amp;""))</f>
        <v/>
      </c>
      <c r="F986">
        <f>IF($M986="","",INDEX(상세표[기록 시간외],$M986))</f>
        <v/>
      </c>
      <c r="G986">
        <f>IF($M986="","",INDEX(상세표[시작월 기관],$M986)&amp;"")</f>
        <v/>
      </c>
      <c r="H986">
        <f>IF($M986="","",INDEX(상세표[종료월 기관],$M986)&amp;"")</f>
        <v/>
      </c>
      <c r="I986">
        <f>IF($M986="","",INDEX(상세표[월경계 판정],$M986)&amp;"")</f>
        <v/>
      </c>
      <c r="J986">
        <f>IF($M986="","",INDEX(상세표[반영월],$M986)&amp;"")</f>
        <v/>
      </c>
      <c r="K986">
        <f>IF($M986="","",INDEX(상세표[반영 기관],$M986)&amp;"")</f>
        <v/>
      </c>
      <c r="L986">
        <f>IF($M986="","",INDEX(상세표[기관 출처],$M986)&amp;"")</f>
        <v/>
      </c>
      <c r="M986" s="4">
        <f>IFERROR(MATCH(981,상세표[경계순번],0),"")</f>
        <v/>
      </c>
    </row>
    <row r="987">
      <c r="A987">
        <f>IF($M987="","",INDEX(상세표[사번],$M987)&amp;"")</f>
        <v/>
      </c>
      <c r="B987">
        <f>IF($M987="","",INDEX(상세표[성명],$M987)&amp;"")</f>
        <v/>
      </c>
      <c r="C987">
        <f>IF($M987="","",IF(INDEX(상세표[종료월],$M987)=대상월키,"전월→이번 달","이번 달→익월"))</f>
        <v/>
      </c>
      <c r="D987">
        <f>IF($M987="","",IF(ISNUMBER(INDEX(상세표[시작],$M987)),TEXT(INDEX(상세표[시작],$M987),"yyyy-mm-dd hh:mm"),INDEX(상세표[시작],$M987)&amp;""))</f>
        <v/>
      </c>
      <c r="E987">
        <f>IF($M987="","",IF(ISNUMBER(INDEX(상세표[종료],$M987)),TEXT(INDEX(상세표[종료],$M987),"yyyy-mm-dd hh:mm"),INDEX(상세표[종료],$M987)&amp;""))</f>
        <v/>
      </c>
      <c r="F987">
        <f>IF($M987="","",INDEX(상세표[기록 시간외],$M987))</f>
        <v/>
      </c>
      <c r="G987">
        <f>IF($M987="","",INDEX(상세표[시작월 기관],$M987)&amp;"")</f>
        <v/>
      </c>
      <c r="H987">
        <f>IF($M987="","",INDEX(상세표[종료월 기관],$M987)&amp;"")</f>
        <v/>
      </c>
      <c r="I987">
        <f>IF($M987="","",INDEX(상세표[월경계 판정],$M987)&amp;"")</f>
        <v/>
      </c>
      <c r="J987">
        <f>IF($M987="","",INDEX(상세표[반영월],$M987)&amp;"")</f>
        <v/>
      </c>
      <c r="K987">
        <f>IF($M987="","",INDEX(상세표[반영 기관],$M987)&amp;"")</f>
        <v/>
      </c>
      <c r="L987">
        <f>IF($M987="","",INDEX(상세표[기관 출처],$M987)&amp;"")</f>
        <v/>
      </c>
      <c r="M987" s="4">
        <f>IFERROR(MATCH(982,상세표[경계순번],0),"")</f>
        <v/>
      </c>
    </row>
    <row r="988">
      <c r="A988">
        <f>IF($M988="","",INDEX(상세표[사번],$M988)&amp;"")</f>
        <v/>
      </c>
      <c r="B988">
        <f>IF($M988="","",INDEX(상세표[성명],$M988)&amp;"")</f>
        <v/>
      </c>
      <c r="C988">
        <f>IF($M988="","",IF(INDEX(상세표[종료월],$M988)=대상월키,"전월→이번 달","이번 달→익월"))</f>
        <v/>
      </c>
      <c r="D988">
        <f>IF($M988="","",IF(ISNUMBER(INDEX(상세표[시작],$M988)),TEXT(INDEX(상세표[시작],$M988),"yyyy-mm-dd hh:mm"),INDEX(상세표[시작],$M988)&amp;""))</f>
        <v/>
      </c>
      <c r="E988">
        <f>IF($M988="","",IF(ISNUMBER(INDEX(상세표[종료],$M988)),TEXT(INDEX(상세표[종료],$M988),"yyyy-mm-dd hh:mm"),INDEX(상세표[종료],$M988)&amp;""))</f>
        <v/>
      </c>
      <c r="F988">
        <f>IF($M988="","",INDEX(상세표[기록 시간외],$M988))</f>
        <v/>
      </c>
      <c r="G988">
        <f>IF($M988="","",INDEX(상세표[시작월 기관],$M988)&amp;"")</f>
        <v/>
      </c>
      <c r="H988">
        <f>IF($M988="","",INDEX(상세표[종료월 기관],$M988)&amp;"")</f>
        <v/>
      </c>
      <c r="I988">
        <f>IF($M988="","",INDEX(상세표[월경계 판정],$M988)&amp;"")</f>
        <v/>
      </c>
      <c r="J988">
        <f>IF($M988="","",INDEX(상세표[반영월],$M988)&amp;"")</f>
        <v/>
      </c>
      <c r="K988">
        <f>IF($M988="","",INDEX(상세표[반영 기관],$M988)&amp;"")</f>
        <v/>
      </c>
      <c r="L988">
        <f>IF($M988="","",INDEX(상세표[기관 출처],$M988)&amp;"")</f>
        <v/>
      </c>
      <c r="M988" s="4">
        <f>IFERROR(MATCH(983,상세표[경계순번],0),"")</f>
        <v/>
      </c>
    </row>
    <row r="989">
      <c r="A989">
        <f>IF($M989="","",INDEX(상세표[사번],$M989)&amp;"")</f>
        <v/>
      </c>
      <c r="B989">
        <f>IF($M989="","",INDEX(상세표[성명],$M989)&amp;"")</f>
        <v/>
      </c>
      <c r="C989">
        <f>IF($M989="","",IF(INDEX(상세표[종료월],$M989)=대상월키,"전월→이번 달","이번 달→익월"))</f>
        <v/>
      </c>
      <c r="D989">
        <f>IF($M989="","",IF(ISNUMBER(INDEX(상세표[시작],$M989)),TEXT(INDEX(상세표[시작],$M989),"yyyy-mm-dd hh:mm"),INDEX(상세표[시작],$M989)&amp;""))</f>
        <v/>
      </c>
      <c r="E989">
        <f>IF($M989="","",IF(ISNUMBER(INDEX(상세표[종료],$M989)),TEXT(INDEX(상세표[종료],$M989),"yyyy-mm-dd hh:mm"),INDEX(상세표[종료],$M989)&amp;""))</f>
        <v/>
      </c>
      <c r="F989">
        <f>IF($M989="","",INDEX(상세표[기록 시간외],$M989))</f>
        <v/>
      </c>
      <c r="G989">
        <f>IF($M989="","",INDEX(상세표[시작월 기관],$M989)&amp;"")</f>
        <v/>
      </c>
      <c r="H989">
        <f>IF($M989="","",INDEX(상세표[종료월 기관],$M989)&amp;"")</f>
        <v/>
      </c>
      <c r="I989">
        <f>IF($M989="","",INDEX(상세표[월경계 판정],$M989)&amp;"")</f>
        <v/>
      </c>
      <c r="J989">
        <f>IF($M989="","",INDEX(상세표[반영월],$M989)&amp;"")</f>
        <v/>
      </c>
      <c r="K989">
        <f>IF($M989="","",INDEX(상세표[반영 기관],$M989)&amp;"")</f>
        <v/>
      </c>
      <c r="L989">
        <f>IF($M989="","",INDEX(상세표[기관 출처],$M989)&amp;"")</f>
        <v/>
      </c>
      <c r="M989" s="4">
        <f>IFERROR(MATCH(984,상세표[경계순번],0),"")</f>
        <v/>
      </c>
    </row>
    <row r="990">
      <c r="A990">
        <f>IF($M990="","",INDEX(상세표[사번],$M990)&amp;"")</f>
        <v/>
      </c>
      <c r="B990">
        <f>IF($M990="","",INDEX(상세표[성명],$M990)&amp;"")</f>
        <v/>
      </c>
      <c r="C990">
        <f>IF($M990="","",IF(INDEX(상세표[종료월],$M990)=대상월키,"전월→이번 달","이번 달→익월"))</f>
        <v/>
      </c>
      <c r="D990">
        <f>IF($M990="","",IF(ISNUMBER(INDEX(상세표[시작],$M990)),TEXT(INDEX(상세표[시작],$M990),"yyyy-mm-dd hh:mm"),INDEX(상세표[시작],$M990)&amp;""))</f>
        <v/>
      </c>
      <c r="E990">
        <f>IF($M990="","",IF(ISNUMBER(INDEX(상세표[종료],$M990)),TEXT(INDEX(상세표[종료],$M990),"yyyy-mm-dd hh:mm"),INDEX(상세표[종료],$M990)&amp;""))</f>
        <v/>
      </c>
      <c r="F990">
        <f>IF($M990="","",INDEX(상세표[기록 시간외],$M990))</f>
        <v/>
      </c>
      <c r="G990">
        <f>IF($M990="","",INDEX(상세표[시작월 기관],$M990)&amp;"")</f>
        <v/>
      </c>
      <c r="H990">
        <f>IF($M990="","",INDEX(상세표[종료월 기관],$M990)&amp;"")</f>
        <v/>
      </c>
      <c r="I990">
        <f>IF($M990="","",INDEX(상세표[월경계 판정],$M990)&amp;"")</f>
        <v/>
      </c>
      <c r="J990">
        <f>IF($M990="","",INDEX(상세표[반영월],$M990)&amp;"")</f>
        <v/>
      </c>
      <c r="K990">
        <f>IF($M990="","",INDEX(상세표[반영 기관],$M990)&amp;"")</f>
        <v/>
      </c>
      <c r="L990">
        <f>IF($M990="","",INDEX(상세표[기관 출처],$M990)&amp;"")</f>
        <v/>
      </c>
      <c r="M990" s="4">
        <f>IFERROR(MATCH(985,상세표[경계순번],0),"")</f>
        <v/>
      </c>
    </row>
    <row r="991">
      <c r="A991">
        <f>IF($M991="","",INDEX(상세표[사번],$M991)&amp;"")</f>
        <v/>
      </c>
      <c r="B991">
        <f>IF($M991="","",INDEX(상세표[성명],$M991)&amp;"")</f>
        <v/>
      </c>
      <c r="C991">
        <f>IF($M991="","",IF(INDEX(상세표[종료월],$M991)=대상월키,"전월→이번 달","이번 달→익월"))</f>
        <v/>
      </c>
      <c r="D991">
        <f>IF($M991="","",IF(ISNUMBER(INDEX(상세표[시작],$M991)),TEXT(INDEX(상세표[시작],$M991),"yyyy-mm-dd hh:mm"),INDEX(상세표[시작],$M991)&amp;""))</f>
        <v/>
      </c>
      <c r="E991">
        <f>IF($M991="","",IF(ISNUMBER(INDEX(상세표[종료],$M991)),TEXT(INDEX(상세표[종료],$M991),"yyyy-mm-dd hh:mm"),INDEX(상세표[종료],$M991)&amp;""))</f>
        <v/>
      </c>
      <c r="F991">
        <f>IF($M991="","",INDEX(상세표[기록 시간외],$M991))</f>
        <v/>
      </c>
      <c r="G991">
        <f>IF($M991="","",INDEX(상세표[시작월 기관],$M991)&amp;"")</f>
        <v/>
      </c>
      <c r="H991">
        <f>IF($M991="","",INDEX(상세표[종료월 기관],$M991)&amp;"")</f>
        <v/>
      </c>
      <c r="I991">
        <f>IF($M991="","",INDEX(상세표[월경계 판정],$M991)&amp;"")</f>
        <v/>
      </c>
      <c r="J991">
        <f>IF($M991="","",INDEX(상세표[반영월],$M991)&amp;"")</f>
        <v/>
      </c>
      <c r="K991">
        <f>IF($M991="","",INDEX(상세표[반영 기관],$M991)&amp;"")</f>
        <v/>
      </c>
      <c r="L991">
        <f>IF($M991="","",INDEX(상세표[기관 출처],$M991)&amp;"")</f>
        <v/>
      </c>
      <c r="M991" s="4">
        <f>IFERROR(MATCH(986,상세표[경계순번],0),"")</f>
        <v/>
      </c>
    </row>
    <row r="992">
      <c r="A992">
        <f>IF($M992="","",INDEX(상세표[사번],$M992)&amp;"")</f>
        <v/>
      </c>
      <c r="B992">
        <f>IF($M992="","",INDEX(상세표[성명],$M992)&amp;"")</f>
        <v/>
      </c>
      <c r="C992">
        <f>IF($M992="","",IF(INDEX(상세표[종료월],$M992)=대상월키,"전월→이번 달","이번 달→익월"))</f>
        <v/>
      </c>
      <c r="D992">
        <f>IF($M992="","",IF(ISNUMBER(INDEX(상세표[시작],$M992)),TEXT(INDEX(상세표[시작],$M992),"yyyy-mm-dd hh:mm"),INDEX(상세표[시작],$M992)&amp;""))</f>
        <v/>
      </c>
      <c r="E992">
        <f>IF($M992="","",IF(ISNUMBER(INDEX(상세표[종료],$M992)),TEXT(INDEX(상세표[종료],$M992),"yyyy-mm-dd hh:mm"),INDEX(상세표[종료],$M992)&amp;""))</f>
        <v/>
      </c>
      <c r="F992">
        <f>IF($M992="","",INDEX(상세표[기록 시간외],$M992))</f>
        <v/>
      </c>
      <c r="G992">
        <f>IF($M992="","",INDEX(상세표[시작월 기관],$M992)&amp;"")</f>
        <v/>
      </c>
      <c r="H992">
        <f>IF($M992="","",INDEX(상세표[종료월 기관],$M992)&amp;"")</f>
        <v/>
      </c>
      <c r="I992">
        <f>IF($M992="","",INDEX(상세표[월경계 판정],$M992)&amp;"")</f>
        <v/>
      </c>
      <c r="J992">
        <f>IF($M992="","",INDEX(상세표[반영월],$M992)&amp;"")</f>
        <v/>
      </c>
      <c r="K992">
        <f>IF($M992="","",INDEX(상세표[반영 기관],$M992)&amp;"")</f>
        <v/>
      </c>
      <c r="L992">
        <f>IF($M992="","",INDEX(상세표[기관 출처],$M992)&amp;"")</f>
        <v/>
      </c>
      <c r="M992" s="4">
        <f>IFERROR(MATCH(987,상세표[경계순번],0),"")</f>
        <v/>
      </c>
    </row>
    <row r="993">
      <c r="A993">
        <f>IF($M993="","",INDEX(상세표[사번],$M993)&amp;"")</f>
        <v/>
      </c>
      <c r="B993">
        <f>IF($M993="","",INDEX(상세표[성명],$M993)&amp;"")</f>
        <v/>
      </c>
      <c r="C993">
        <f>IF($M993="","",IF(INDEX(상세표[종료월],$M993)=대상월키,"전월→이번 달","이번 달→익월"))</f>
        <v/>
      </c>
      <c r="D993">
        <f>IF($M993="","",IF(ISNUMBER(INDEX(상세표[시작],$M993)),TEXT(INDEX(상세표[시작],$M993),"yyyy-mm-dd hh:mm"),INDEX(상세표[시작],$M993)&amp;""))</f>
        <v/>
      </c>
      <c r="E993">
        <f>IF($M993="","",IF(ISNUMBER(INDEX(상세표[종료],$M993)),TEXT(INDEX(상세표[종료],$M993),"yyyy-mm-dd hh:mm"),INDEX(상세표[종료],$M993)&amp;""))</f>
        <v/>
      </c>
      <c r="F993">
        <f>IF($M993="","",INDEX(상세표[기록 시간외],$M993))</f>
        <v/>
      </c>
      <c r="G993">
        <f>IF($M993="","",INDEX(상세표[시작월 기관],$M993)&amp;"")</f>
        <v/>
      </c>
      <c r="H993">
        <f>IF($M993="","",INDEX(상세표[종료월 기관],$M993)&amp;"")</f>
        <v/>
      </c>
      <c r="I993">
        <f>IF($M993="","",INDEX(상세표[월경계 판정],$M993)&amp;"")</f>
        <v/>
      </c>
      <c r="J993">
        <f>IF($M993="","",INDEX(상세표[반영월],$M993)&amp;"")</f>
        <v/>
      </c>
      <c r="K993">
        <f>IF($M993="","",INDEX(상세표[반영 기관],$M993)&amp;"")</f>
        <v/>
      </c>
      <c r="L993">
        <f>IF($M993="","",INDEX(상세표[기관 출처],$M993)&amp;"")</f>
        <v/>
      </c>
      <c r="M993" s="4">
        <f>IFERROR(MATCH(988,상세표[경계순번],0),"")</f>
        <v/>
      </c>
    </row>
    <row r="994">
      <c r="A994">
        <f>IF($M994="","",INDEX(상세표[사번],$M994)&amp;"")</f>
        <v/>
      </c>
      <c r="B994">
        <f>IF($M994="","",INDEX(상세표[성명],$M994)&amp;"")</f>
        <v/>
      </c>
      <c r="C994">
        <f>IF($M994="","",IF(INDEX(상세표[종료월],$M994)=대상월키,"전월→이번 달","이번 달→익월"))</f>
        <v/>
      </c>
      <c r="D994">
        <f>IF($M994="","",IF(ISNUMBER(INDEX(상세표[시작],$M994)),TEXT(INDEX(상세표[시작],$M994),"yyyy-mm-dd hh:mm"),INDEX(상세표[시작],$M994)&amp;""))</f>
        <v/>
      </c>
      <c r="E994">
        <f>IF($M994="","",IF(ISNUMBER(INDEX(상세표[종료],$M994)),TEXT(INDEX(상세표[종료],$M994),"yyyy-mm-dd hh:mm"),INDEX(상세표[종료],$M994)&amp;""))</f>
        <v/>
      </c>
      <c r="F994">
        <f>IF($M994="","",INDEX(상세표[기록 시간외],$M994))</f>
        <v/>
      </c>
      <c r="G994">
        <f>IF($M994="","",INDEX(상세표[시작월 기관],$M994)&amp;"")</f>
        <v/>
      </c>
      <c r="H994">
        <f>IF($M994="","",INDEX(상세표[종료월 기관],$M994)&amp;"")</f>
        <v/>
      </c>
      <c r="I994">
        <f>IF($M994="","",INDEX(상세표[월경계 판정],$M994)&amp;"")</f>
        <v/>
      </c>
      <c r="J994">
        <f>IF($M994="","",INDEX(상세표[반영월],$M994)&amp;"")</f>
        <v/>
      </c>
      <c r="K994">
        <f>IF($M994="","",INDEX(상세표[반영 기관],$M994)&amp;"")</f>
        <v/>
      </c>
      <c r="L994">
        <f>IF($M994="","",INDEX(상세표[기관 출처],$M994)&amp;"")</f>
        <v/>
      </c>
      <c r="M994" s="4">
        <f>IFERROR(MATCH(989,상세표[경계순번],0),"")</f>
        <v/>
      </c>
    </row>
    <row r="995">
      <c r="A995">
        <f>IF($M995="","",INDEX(상세표[사번],$M995)&amp;"")</f>
        <v/>
      </c>
      <c r="B995">
        <f>IF($M995="","",INDEX(상세표[성명],$M995)&amp;"")</f>
        <v/>
      </c>
      <c r="C995">
        <f>IF($M995="","",IF(INDEX(상세표[종료월],$M995)=대상월키,"전월→이번 달","이번 달→익월"))</f>
        <v/>
      </c>
      <c r="D995">
        <f>IF($M995="","",IF(ISNUMBER(INDEX(상세표[시작],$M995)),TEXT(INDEX(상세표[시작],$M995),"yyyy-mm-dd hh:mm"),INDEX(상세표[시작],$M995)&amp;""))</f>
        <v/>
      </c>
      <c r="E995">
        <f>IF($M995="","",IF(ISNUMBER(INDEX(상세표[종료],$M995)),TEXT(INDEX(상세표[종료],$M995),"yyyy-mm-dd hh:mm"),INDEX(상세표[종료],$M995)&amp;""))</f>
        <v/>
      </c>
      <c r="F995">
        <f>IF($M995="","",INDEX(상세표[기록 시간외],$M995))</f>
        <v/>
      </c>
      <c r="G995">
        <f>IF($M995="","",INDEX(상세표[시작월 기관],$M995)&amp;"")</f>
        <v/>
      </c>
      <c r="H995">
        <f>IF($M995="","",INDEX(상세표[종료월 기관],$M995)&amp;"")</f>
        <v/>
      </c>
      <c r="I995">
        <f>IF($M995="","",INDEX(상세표[월경계 판정],$M995)&amp;"")</f>
        <v/>
      </c>
      <c r="J995">
        <f>IF($M995="","",INDEX(상세표[반영월],$M995)&amp;"")</f>
        <v/>
      </c>
      <c r="K995">
        <f>IF($M995="","",INDEX(상세표[반영 기관],$M995)&amp;"")</f>
        <v/>
      </c>
      <c r="L995">
        <f>IF($M995="","",INDEX(상세표[기관 출처],$M995)&amp;"")</f>
        <v/>
      </c>
      <c r="M995" s="4">
        <f>IFERROR(MATCH(990,상세표[경계순번],0),"")</f>
        <v/>
      </c>
    </row>
    <row r="996">
      <c r="A996">
        <f>IF($M996="","",INDEX(상세표[사번],$M996)&amp;"")</f>
        <v/>
      </c>
      <c r="B996">
        <f>IF($M996="","",INDEX(상세표[성명],$M996)&amp;"")</f>
        <v/>
      </c>
      <c r="C996">
        <f>IF($M996="","",IF(INDEX(상세표[종료월],$M996)=대상월키,"전월→이번 달","이번 달→익월"))</f>
        <v/>
      </c>
      <c r="D996">
        <f>IF($M996="","",IF(ISNUMBER(INDEX(상세표[시작],$M996)),TEXT(INDEX(상세표[시작],$M996),"yyyy-mm-dd hh:mm"),INDEX(상세표[시작],$M996)&amp;""))</f>
        <v/>
      </c>
      <c r="E996">
        <f>IF($M996="","",IF(ISNUMBER(INDEX(상세표[종료],$M996)),TEXT(INDEX(상세표[종료],$M996),"yyyy-mm-dd hh:mm"),INDEX(상세표[종료],$M996)&amp;""))</f>
        <v/>
      </c>
      <c r="F996">
        <f>IF($M996="","",INDEX(상세표[기록 시간외],$M996))</f>
        <v/>
      </c>
      <c r="G996">
        <f>IF($M996="","",INDEX(상세표[시작월 기관],$M996)&amp;"")</f>
        <v/>
      </c>
      <c r="H996">
        <f>IF($M996="","",INDEX(상세표[종료월 기관],$M996)&amp;"")</f>
        <v/>
      </c>
      <c r="I996">
        <f>IF($M996="","",INDEX(상세표[월경계 판정],$M996)&amp;"")</f>
        <v/>
      </c>
      <c r="J996">
        <f>IF($M996="","",INDEX(상세표[반영월],$M996)&amp;"")</f>
        <v/>
      </c>
      <c r="K996">
        <f>IF($M996="","",INDEX(상세표[반영 기관],$M996)&amp;"")</f>
        <v/>
      </c>
      <c r="L996">
        <f>IF($M996="","",INDEX(상세표[기관 출처],$M996)&amp;"")</f>
        <v/>
      </c>
      <c r="M996" s="4">
        <f>IFERROR(MATCH(991,상세표[경계순번],0),"")</f>
        <v/>
      </c>
    </row>
    <row r="997">
      <c r="A997">
        <f>IF($M997="","",INDEX(상세표[사번],$M997)&amp;"")</f>
        <v/>
      </c>
      <c r="B997">
        <f>IF($M997="","",INDEX(상세표[성명],$M997)&amp;"")</f>
        <v/>
      </c>
      <c r="C997">
        <f>IF($M997="","",IF(INDEX(상세표[종료월],$M997)=대상월키,"전월→이번 달","이번 달→익월"))</f>
        <v/>
      </c>
      <c r="D997">
        <f>IF($M997="","",IF(ISNUMBER(INDEX(상세표[시작],$M997)),TEXT(INDEX(상세표[시작],$M997),"yyyy-mm-dd hh:mm"),INDEX(상세표[시작],$M997)&amp;""))</f>
        <v/>
      </c>
      <c r="E997">
        <f>IF($M997="","",IF(ISNUMBER(INDEX(상세표[종료],$M997)),TEXT(INDEX(상세표[종료],$M997),"yyyy-mm-dd hh:mm"),INDEX(상세표[종료],$M997)&amp;""))</f>
        <v/>
      </c>
      <c r="F997">
        <f>IF($M997="","",INDEX(상세표[기록 시간외],$M997))</f>
        <v/>
      </c>
      <c r="G997">
        <f>IF($M997="","",INDEX(상세표[시작월 기관],$M997)&amp;"")</f>
        <v/>
      </c>
      <c r="H997">
        <f>IF($M997="","",INDEX(상세표[종료월 기관],$M997)&amp;"")</f>
        <v/>
      </c>
      <c r="I997">
        <f>IF($M997="","",INDEX(상세표[월경계 판정],$M997)&amp;"")</f>
        <v/>
      </c>
      <c r="J997">
        <f>IF($M997="","",INDEX(상세표[반영월],$M997)&amp;"")</f>
        <v/>
      </c>
      <c r="K997">
        <f>IF($M997="","",INDEX(상세표[반영 기관],$M997)&amp;"")</f>
        <v/>
      </c>
      <c r="L997">
        <f>IF($M997="","",INDEX(상세표[기관 출처],$M997)&amp;"")</f>
        <v/>
      </c>
      <c r="M997" s="4">
        <f>IFERROR(MATCH(992,상세표[경계순번],0),"")</f>
        <v/>
      </c>
    </row>
    <row r="998">
      <c r="A998">
        <f>IF($M998="","",INDEX(상세표[사번],$M998)&amp;"")</f>
        <v/>
      </c>
      <c r="B998">
        <f>IF($M998="","",INDEX(상세표[성명],$M998)&amp;"")</f>
        <v/>
      </c>
      <c r="C998">
        <f>IF($M998="","",IF(INDEX(상세표[종료월],$M998)=대상월키,"전월→이번 달","이번 달→익월"))</f>
        <v/>
      </c>
      <c r="D998">
        <f>IF($M998="","",IF(ISNUMBER(INDEX(상세표[시작],$M998)),TEXT(INDEX(상세표[시작],$M998),"yyyy-mm-dd hh:mm"),INDEX(상세표[시작],$M998)&amp;""))</f>
        <v/>
      </c>
      <c r="E998">
        <f>IF($M998="","",IF(ISNUMBER(INDEX(상세표[종료],$M998)),TEXT(INDEX(상세표[종료],$M998),"yyyy-mm-dd hh:mm"),INDEX(상세표[종료],$M998)&amp;""))</f>
        <v/>
      </c>
      <c r="F998">
        <f>IF($M998="","",INDEX(상세표[기록 시간외],$M998))</f>
        <v/>
      </c>
      <c r="G998">
        <f>IF($M998="","",INDEX(상세표[시작월 기관],$M998)&amp;"")</f>
        <v/>
      </c>
      <c r="H998">
        <f>IF($M998="","",INDEX(상세표[종료월 기관],$M998)&amp;"")</f>
        <v/>
      </c>
      <c r="I998">
        <f>IF($M998="","",INDEX(상세표[월경계 판정],$M998)&amp;"")</f>
        <v/>
      </c>
      <c r="J998">
        <f>IF($M998="","",INDEX(상세표[반영월],$M998)&amp;"")</f>
        <v/>
      </c>
      <c r="K998">
        <f>IF($M998="","",INDEX(상세표[반영 기관],$M998)&amp;"")</f>
        <v/>
      </c>
      <c r="L998">
        <f>IF($M998="","",INDEX(상세표[기관 출처],$M998)&amp;"")</f>
        <v/>
      </c>
      <c r="M998" s="4">
        <f>IFERROR(MATCH(993,상세표[경계순번],0),"")</f>
        <v/>
      </c>
    </row>
    <row r="999">
      <c r="A999">
        <f>IF($M999="","",INDEX(상세표[사번],$M999)&amp;"")</f>
        <v/>
      </c>
      <c r="B999">
        <f>IF($M999="","",INDEX(상세표[성명],$M999)&amp;"")</f>
        <v/>
      </c>
      <c r="C999">
        <f>IF($M999="","",IF(INDEX(상세표[종료월],$M999)=대상월키,"전월→이번 달","이번 달→익월"))</f>
        <v/>
      </c>
      <c r="D999">
        <f>IF($M999="","",IF(ISNUMBER(INDEX(상세표[시작],$M999)),TEXT(INDEX(상세표[시작],$M999),"yyyy-mm-dd hh:mm"),INDEX(상세표[시작],$M999)&amp;""))</f>
        <v/>
      </c>
      <c r="E999">
        <f>IF($M999="","",IF(ISNUMBER(INDEX(상세표[종료],$M999)),TEXT(INDEX(상세표[종료],$M999),"yyyy-mm-dd hh:mm"),INDEX(상세표[종료],$M999)&amp;""))</f>
        <v/>
      </c>
      <c r="F999">
        <f>IF($M999="","",INDEX(상세표[기록 시간외],$M999))</f>
        <v/>
      </c>
      <c r="G999">
        <f>IF($M999="","",INDEX(상세표[시작월 기관],$M999)&amp;"")</f>
        <v/>
      </c>
      <c r="H999">
        <f>IF($M999="","",INDEX(상세표[종료월 기관],$M999)&amp;"")</f>
        <v/>
      </c>
      <c r="I999">
        <f>IF($M999="","",INDEX(상세표[월경계 판정],$M999)&amp;"")</f>
        <v/>
      </c>
      <c r="J999">
        <f>IF($M999="","",INDEX(상세표[반영월],$M999)&amp;"")</f>
        <v/>
      </c>
      <c r="K999">
        <f>IF($M999="","",INDEX(상세표[반영 기관],$M999)&amp;"")</f>
        <v/>
      </c>
      <c r="L999">
        <f>IF($M999="","",INDEX(상세표[기관 출처],$M999)&amp;"")</f>
        <v/>
      </c>
      <c r="M999" s="4">
        <f>IFERROR(MATCH(994,상세표[경계순번],0),"")</f>
        <v/>
      </c>
    </row>
    <row r="1000">
      <c r="A1000">
        <f>IF($M1000="","",INDEX(상세표[사번],$M1000)&amp;"")</f>
        <v/>
      </c>
      <c r="B1000">
        <f>IF($M1000="","",INDEX(상세표[성명],$M1000)&amp;"")</f>
        <v/>
      </c>
      <c r="C1000">
        <f>IF($M1000="","",IF(INDEX(상세표[종료월],$M1000)=대상월키,"전월→이번 달","이번 달→익월"))</f>
        <v/>
      </c>
      <c r="D1000">
        <f>IF($M1000="","",IF(ISNUMBER(INDEX(상세표[시작],$M1000)),TEXT(INDEX(상세표[시작],$M1000),"yyyy-mm-dd hh:mm"),INDEX(상세표[시작],$M1000)&amp;""))</f>
        <v/>
      </c>
      <c r="E1000">
        <f>IF($M1000="","",IF(ISNUMBER(INDEX(상세표[종료],$M1000)),TEXT(INDEX(상세표[종료],$M1000),"yyyy-mm-dd hh:mm"),INDEX(상세표[종료],$M1000)&amp;""))</f>
        <v/>
      </c>
      <c r="F1000">
        <f>IF($M1000="","",INDEX(상세표[기록 시간외],$M1000))</f>
        <v/>
      </c>
      <c r="G1000">
        <f>IF($M1000="","",INDEX(상세표[시작월 기관],$M1000)&amp;"")</f>
        <v/>
      </c>
      <c r="H1000">
        <f>IF($M1000="","",INDEX(상세표[종료월 기관],$M1000)&amp;"")</f>
        <v/>
      </c>
      <c r="I1000">
        <f>IF($M1000="","",INDEX(상세표[월경계 판정],$M1000)&amp;"")</f>
        <v/>
      </c>
      <c r="J1000">
        <f>IF($M1000="","",INDEX(상세표[반영월],$M1000)&amp;"")</f>
        <v/>
      </c>
      <c r="K1000">
        <f>IF($M1000="","",INDEX(상세표[반영 기관],$M1000)&amp;"")</f>
        <v/>
      </c>
      <c r="L1000">
        <f>IF($M1000="","",INDEX(상세표[기관 출처],$M1000)&amp;"")</f>
        <v/>
      </c>
      <c r="M1000" s="4">
        <f>IFERROR(MATCH(995,상세표[경계순번],0),"")</f>
        <v/>
      </c>
    </row>
    <row r="1001">
      <c r="A1001">
        <f>IF($M1001="","",INDEX(상세표[사번],$M1001)&amp;"")</f>
        <v/>
      </c>
      <c r="B1001">
        <f>IF($M1001="","",INDEX(상세표[성명],$M1001)&amp;"")</f>
        <v/>
      </c>
      <c r="C1001">
        <f>IF($M1001="","",IF(INDEX(상세표[종료월],$M1001)=대상월키,"전월→이번 달","이번 달→익월"))</f>
        <v/>
      </c>
      <c r="D1001">
        <f>IF($M1001="","",IF(ISNUMBER(INDEX(상세표[시작],$M1001)),TEXT(INDEX(상세표[시작],$M1001),"yyyy-mm-dd hh:mm"),INDEX(상세표[시작],$M1001)&amp;""))</f>
        <v/>
      </c>
      <c r="E1001">
        <f>IF($M1001="","",IF(ISNUMBER(INDEX(상세표[종료],$M1001)),TEXT(INDEX(상세표[종료],$M1001),"yyyy-mm-dd hh:mm"),INDEX(상세표[종료],$M1001)&amp;""))</f>
        <v/>
      </c>
      <c r="F1001">
        <f>IF($M1001="","",INDEX(상세표[기록 시간외],$M1001))</f>
        <v/>
      </c>
      <c r="G1001">
        <f>IF($M1001="","",INDEX(상세표[시작월 기관],$M1001)&amp;"")</f>
        <v/>
      </c>
      <c r="H1001">
        <f>IF($M1001="","",INDEX(상세표[종료월 기관],$M1001)&amp;"")</f>
        <v/>
      </c>
      <c r="I1001">
        <f>IF($M1001="","",INDEX(상세표[월경계 판정],$M1001)&amp;"")</f>
        <v/>
      </c>
      <c r="J1001">
        <f>IF($M1001="","",INDEX(상세표[반영월],$M1001)&amp;"")</f>
        <v/>
      </c>
      <c r="K1001">
        <f>IF($M1001="","",INDEX(상세표[반영 기관],$M1001)&amp;"")</f>
        <v/>
      </c>
      <c r="L1001">
        <f>IF($M1001="","",INDEX(상세표[기관 출처],$M1001)&amp;"")</f>
        <v/>
      </c>
      <c r="M1001" s="4">
        <f>IFERROR(MATCH(996,상세표[경계순번],0),"")</f>
        <v/>
      </c>
    </row>
    <row r="1002">
      <c r="A1002">
        <f>IF($M1002="","",INDEX(상세표[사번],$M1002)&amp;"")</f>
        <v/>
      </c>
      <c r="B1002">
        <f>IF($M1002="","",INDEX(상세표[성명],$M1002)&amp;"")</f>
        <v/>
      </c>
      <c r="C1002">
        <f>IF($M1002="","",IF(INDEX(상세표[종료월],$M1002)=대상월키,"전월→이번 달","이번 달→익월"))</f>
        <v/>
      </c>
      <c r="D1002">
        <f>IF($M1002="","",IF(ISNUMBER(INDEX(상세표[시작],$M1002)),TEXT(INDEX(상세표[시작],$M1002),"yyyy-mm-dd hh:mm"),INDEX(상세표[시작],$M1002)&amp;""))</f>
        <v/>
      </c>
      <c r="E1002">
        <f>IF($M1002="","",IF(ISNUMBER(INDEX(상세표[종료],$M1002)),TEXT(INDEX(상세표[종료],$M1002),"yyyy-mm-dd hh:mm"),INDEX(상세표[종료],$M1002)&amp;""))</f>
        <v/>
      </c>
      <c r="F1002">
        <f>IF($M1002="","",INDEX(상세표[기록 시간외],$M1002))</f>
        <v/>
      </c>
      <c r="G1002">
        <f>IF($M1002="","",INDEX(상세표[시작월 기관],$M1002)&amp;"")</f>
        <v/>
      </c>
      <c r="H1002">
        <f>IF($M1002="","",INDEX(상세표[종료월 기관],$M1002)&amp;"")</f>
        <v/>
      </c>
      <c r="I1002">
        <f>IF($M1002="","",INDEX(상세표[월경계 판정],$M1002)&amp;"")</f>
        <v/>
      </c>
      <c r="J1002">
        <f>IF($M1002="","",INDEX(상세표[반영월],$M1002)&amp;"")</f>
        <v/>
      </c>
      <c r="K1002">
        <f>IF($M1002="","",INDEX(상세표[반영 기관],$M1002)&amp;"")</f>
        <v/>
      </c>
      <c r="L1002">
        <f>IF($M1002="","",INDEX(상세표[기관 출처],$M1002)&amp;"")</f>
        <v/>
      </c>
      <c r="M1002" s="4">
        <f>IFERROR(MATCH(997,상세표[경계순번],0),"")</f>
        <v/>
      </c>
    </row>
    <row r="1003">
      <c r="A1003">
        <f>IF($M1003="","",INDEX(상세표[사번],$M1003)&amp;"")</f>
        <v/>
      </c>
      <c r="B1003">
        <f>IF($M1003="","",INDEX(상세표[성명],$M1003)&amp;"")</f>
        <v/>
      </c>
      <c r="C1003">
        <f>IF($M1003="","",IF(INDEX(상세표[종료월],$M1003)=대상월키,"전월→이번 달","이번 달→익월"))</f>
        <v/>
      </c>
      <c r="D1003">
        <f>IF($M1003="","",IF(ISNUMBER(INDEX(상세표[시작],$M1003)),TEXT(INDEX(상세표[시작],$M1003),"yyyy-mm-dd hh:mm"),INDEX(상세표[시작],$M1003)&amp;""))</f>
        <v/>
      </c>
      <c r="E1003">
        <f>IF($M1003="","",IF(ISNUMBER(INDEX(상세표[종료],$M1003)),TEXT(INDEX(상세표[종료],$M1003),"yyyy-mm-dd hh:mm"),INDEX(상세표[종료],$M1003)&amp;""))</f>
        <v/>
      </c>
      <c r="F1003">
        <f>IF($M1003="","",INDEX(상세표[기록 시간외],$M1003))</f>
        <v/>
      </c>
      <c r="G1003">
        <f>IF($M1003="","",INDEX(상세표[시작월 기관],$M1003)&amp;"")</f>
        <v/>
      </c>
      <c r="H1003">
        <f>IF($M1003="","",INDEX(상세표[종료월 기관],$M1003)&amp;"")</f>
        <v/>
      </c>
      <c r="I1003">
        <f>IF($M1003="","",INDEX(상세표[월경계 판정],$M1003)&amp;"")</f>
        <v/>
      </c>
      <c r="J1003">
        <f>IF($M1003="","",INDEX(상세표[반영월],$M1003)&amp;"")</f>
        <v/>
      </c>
      <c r="K1003">
        <f>IF($M1003="","",INDEX(상세표[반영 기관],$M1003)&amp;"")</f>
        <v/>
      </c>
      <c r="L1003">
        <f>IF($M1003="","",INDEX(상세표[기관 출처],$M1003)&amp;"")</f>
        <v/>
      </c>
      <c r="M1003" s="4">
        <f>IFERROR(MATCH(998,상세표[경계순번],0),"")</f>
        <v/>
      </c>
    </row>
    <row r="1004">
      <c r="A1004">
        <f>IF($M1004="","",INDEX(상세표[사번],$M1004)&amp;"")</f>
        <v/>
      </c>
      <c r="B1004">
        <f>IF($M1004="","",INDEX(상세표[성명],$M1004)&amp;"")</f>
        <v/>
      </c>
      <c r="C1004">
        <f>IF($M1004="","",IF(INDEX(상세표[종료월],$M1004)=대상월키,"전월→이번 달","이번 달→익월"))</f>
        <v/>
      </c>
      <c r="D1004">
        <f>IF($M1004="","",IF(ISNUMBER(INDEX(상세표[시작],$M1004)),TEXT(INDEX(상세표[시작],$M1004),"yyyy-mm-dd hh:mm"),INDEX(상세표[시작],$M1004)&amp;""))</f>
        <v/>
      </c>
      <c r="E1004">
        <f>IF($M1004="","",IF(ISNUMBER(INDEX(상세표[종료],$M1004)),TEXT(INDEX(상세표[종료],$M1004),"yyyy-mm-dd hh:mm"),INDEX(상세표[종료],$M1004)&amp;""))</f>
        <v/>
      </c>
      <c r="F1004">
        <f>IF($M1004="","",INDEX(상세표[기록 시간외],$M1004))</f>
        <v/>
      </c>
      <c r="G1004">
        <f>IF($M1004="","",INDEX(상세표[시작월 기관],$M1004)&amp;"")</f>
        <v/>
      </c>
      <c r="H1004">
        <f>IF($M1004="","",INDEX(상세표[종료월 기관],$M1004)&amp;"")</f>
        <v/>
      </c>
      <c r="I1004">
        <f>IF($M1004="","",INDEX(상세표[월경계 판정],$M1004)&amp;"")</f>
        <v/>
      </c>
      <c r="J1004">
        <f>IF($M1004="","",INDEX(상세표[반영월],$M1004)&amp;"")</f>
        <v/>
      </c>
      <c r="K1004">
        <f>IF($M1004="","",INDEX(상세표[반영 기관],$M1004)&amp;"")</f>
        <v/>
      </c>
      <c r="L1004">
        <f>IF($M1004="","",INDEX(상세표[기관 출처],$M1004)&amp;"")</f>
        <v/>
      </c>
      <c r="M1004" s="4">
        <f>IFERROR(MATCH(999,상세표[경계순번],0),"")</f>
        <v/>
      </c>
    </row>
    <row r="1005">
      <c r="A1005">
        <f>IF($M1005="","",INDEX(상세표[사번],$M1005)&amp;"")</f>
        <v/>
      </c>
      <c r="B1005">
        <f>IF($M1005="","",INDEX(상세표[성명],$M1005)&amp;"")</f>
        <v/>
      </c>
      <c r="C1005">
        <f>IF($M1005="","",IF(INDEX(상세표[종료월],$M1005)=대상월키,"전월→이번 달","이번 달→익월"))</f>
        <v/>
      </c>
      <c r="D1005">
        <f>IF($M1005="","",IF(ISNUMBER(INDEX(상세표[시작],$M1005)),TEXT(INDEX(상세표[시작],$M1005),"yyyy-mm-dd hh:mm"),INDEX(상세표[시작],$M1005)&amp;""))</f>
        <v/>
      </c>
      <c r="E1005">
        <f>IF($M1005="","",IF(ISNUMBER(INDEX(상세표[종료],$M1005)),TEXT(INDEX(상세표[종료],$M1005),"yyyy-mm-dd hh:mm"),INDEX(상세표[종료],$M1005)&amp;""))</f>
        <v/>
      </c>
      <c r="F1005">
        <f>IF($M1005="","",INDEX(상세표[기록 시간외],$M1005))</f>
        <v/>
      </c>
      <c r="G1005">
        <f>IF($M1005="","",INDEX(상세표[시작월 기관],$M1005)&amp;"")</f>
        <v/>
      </c>
      <c r="H1005">
        <f>IF($M1005="","",INDEX(상세표[종료월 기관],$M1005)&amp;"")</f>
        <v/>
      </c>
      <c r="I1005">
        <f>IF($M1005="","",INDEX(상세표[월경계 판정],$M1005)&amp;"")</f>
        <v/>
      </c>
      <c r="J1005">
        <f>IF($M1005="","",INDEX(상세표[반영월],$M1005)&amp;"")</f>
        <v/>
      </c>
      <c r="K1005">
        <f>IF($M1005="","",INDEX(상세표[반영 기관],$M1005)&amp;"")</f>
        <v/>
      </c>
      <c r="L1005">
        <f>IF($M1005="","",INDEX(상세표[기관 출처],$M1005)&amp;"")</f>
        <v/>
      </c>
      <c r="M1005" s="4">
        <f>IFERROR(MATCH(1000,상세표[경계순번],0),"")</f>
        <v/>
      </c>
    </row>
  </sheetData>
  <conditionalFormatting sqref="J3">
    <cfRule type="expression" priority="1" dxfId="1">
      <formula>J3&gt;0</formula>
    </cfRule>
  </conditionalFormatting>
  <conditionalFormatting sqref="A6:L1005">
    <cfRule type="expression" priority="2" dxfId="4">
      <formula>$I6="익월초 급여 반영"</formula>
    </cfRule>
    <cfRule type="expression" priority="3" dxfId="1">
      <formula>OR(LEFT($I6,2)="기관",$I6="규정 확인 필요")</formula>
    </cfRule>
  </conditionalFormatting>
  <conditionalFormatting sqref="L6:L1005">
    <cfRule type="expression" priority="4" dxfId="5">
      <formula>$L6="직접 입력"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AB10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6" customWidth="1" min="4" max="4"/>
    <col width="8" customWidth="1" min="5" max="5"/>
    <col width="9" customWidth="1" min="6" max="6"/>
    <col width="13" customWidth="1" min="7" max="7"/>
    <col width="8" customWidth="1" min="8" max="8"/>
    <col width="8" customWidth="1" min="9" max="9"/>
    <col width="9" customWidth="1" min="10" max="10"/>
    <col width="11" customWidth="1" min="11" max="11"/>
    <col width="20" customWidth="1" min="12" max="12"/>
    <col width="8" customWidth="1" min="13" max="13"/>
    <col width="8" customWidth="1" min="14" max="14"/>
    <col width="8" customWidth="1" min="15" max="15"/>
    <col width="8" customWidth="1" min="16" max="16"/>
    <col width="9" customWidth="1" min="17" max="17"/>
    <col width="8" customWidth="1" min="18" max="18"/>
    <col width="8" customWidth="1" min="19" max="19"/>
    <col width="8" customWidth="1" min="20" max="20"/>
    <col width="8" customWidth="1" min="21" max="21"/>
    <col width="9" customWidth="1" min="22" max="22"/>
    <col width="6" customWidth="1" min="23" max="23"/>
    <col width="3" customWidth="1" min="24" max="24"/>
    <col width="10" customWidth="1" min="25" max="25"/>
    <col width="8" customWidth="1" min="26" max="26"/>
    <col width="10" customWidth="1" min="27" max="27"/>
  </cols>
  <sheetData>
    <row r="1">
      <c r="A1" s="1" t="inlineStr">
        <is>
          <t>시간외 근무 서울급여 판정 (대상월)</t>
        </is>
      </c>
    </row>
    <row r="2">
      <c r="A2" s="4" t="inlineStr">
        <is>
          <t>※ 자동 결과(입력 금지, 최대 1000명). 같은 사번은 직위가 달라도 한 사람으로 합칩니다. 서울급여 = 입력_기관명단에서 대상월 급여지급병원이 서울병원. 기관명단에 사번이 아예 없으면 '기관명단에 없음(다른 병원으로 발송)' — 출력_타병원발송에 따로 모았습니다.</t>
        </is>
      </c>
    </row>
    <row r="3">
      <c r="A3" s="16" t="inlineStr">
        <is>
          <t>대상월</t>
        </is>
      </c>
      <c r="B3" s="17">
        <f>대상월키</f>
        <v/>
      </c>
      <c r="C3" s="16" t="inlineStr">
        <is>
          <t>시간외 인원(사번 기준)</t>
        </is>
      </c>
      <c r="D3" s="17">
        <f>COUNT(합계표[판정순번])</f>
        <v/>
      </c>
      <c r="E3" s="16" t="inlineStr">
        <is>
          <t>서울급여 해당</t>
        </is>
      </c>
      <c r="F3" s="17">
        <f>COUNTIF($L$6:$L$1005,"해당")</f>
        <v/>
      </c>
      <c r="G3" s="16" t="inlineStr">
        <is>
          <t>상세·합계 불일치</t>
        </is>
      </c>
      <c r="H3" s="17">
        <f>COUNTIF($G$6:$G$1005,"불일치*")</f>
        <v/>
      </c>
      <c r="I3" s="16" t="inlineStr">
        <is>
          <t>기관명단에 없음(타 병원 발송)</t>
        </is>
      </c>
      <c r="J3" s="17">
        <f>COUNTIF($L$6:$L$1005,"기관명단에 없음*")</f>
        <v/>
      </c>
      <c r="K3" s="16" t="inlineStr">
        <is>
          <t>대상월 기관명단 없음</t>
        </is>
      </c>
      <c r="L3" s="17">
        <f>COUNTIF($L$6:$L$1005,"대상월 기관명단*")</f>
        <v/>
      </c>
      <c r="M3" s="16" t="inlineStr">
        <is>
          <t>직접 입력 적용</t>
        </is>
      </c>
      <c r="N3" s="17">
        <f>COUNTIF($V$6:$V$1005,"직접 입력")</f>
        <v/>
      </c>
      <c r="O3" s="18">
        <f>IF(D3&gt;1000,"⚠ 표시 한도(1000명) 초과","")</f>
        <v/>
      </c>
      <c r="Q3" s="16" t="inlineStr">
        <is>
          <t>8시간 미만 야간(당직 제외)</t>
        </is>
      </c>
      <c r="R3" s="17">
        <f>COUNTIFS(상세표[야간첫행],1,상세표[야간당직],0,상세표[반영월],대상월키)</f>
        <v/>
      </c>
    </row>
    <row r="4">
      <c r="Q4" s="16" t="inlineStr">
        <is>
          <t>야간 당직 합계→</t>
        </is>
      </c>
      <c r="R4" s="17">
        <f>SUM(R6:R1005)</f>
        <v/>
      </c>
      <c r="S4" s="17">
        <f>SUM(S6:S1005)</f>
        <v/>
      </c>
      <c r="T4" s="17">
        <f>SUM(T6:T1005)</f>
        <v/>
      </c>
      <c r="U4" s="17">
        <f>SUM(U6:U1005)</f>
        <v/>
      </c>
      <c r="Y4" s="3" t="inlineStr">
        <is>
          <t>대상월 반영 기록이 있는데 합계표에 없는 사번 (전월 말일 당직만 있는 사람 등)</t>
        </is>
      </c>
    </row>
    <row r="5" ht="42" customHeight="1">
      <c r="A5" s="5" t="inlineStr">
        <is>
          <t>사번</t>
        </is>
      </c>
      <c r="B5" s="5" t="inlineStr">
        <is>
          <t>성명</t>
        </is>
      </c>
      <c r="C5" s="5" t="inlineStr">
        <is>
          <t>부서</t>
        </is>
      </c>
      <c r="D5" s="5" t="inlineStr">
        <is>
          <t>직위</t>
        </is>
      </c>
      <c r="E5" s="5" t="inlineStr">
        <is>
          <t>시스템 합계</t>
        </is>
      </c>
      <c r="F5" s="5" t="inlineStr">
        <is>
          <t>상세 합계(대상월 기록)</t>
        </is>
      </c>
      <c r="G5" s="5" t="inlineStr">
        <is>
          <t>상세 대조</t>
        </is>
      </c>
      <c r="H5" s="5" t="inlineStr">
        <is>
          <t>이월(−) 익월초</t>
        </is>
      </c>
      <c r="I5" s="5" t="inlineStr">
        <is>
          <t>전입(+) 전월 말일</t>
        </is>
      </c>
      <c r="J5" s="5" t="inlineStr">
        <is>
          <t>대상월 반영 시간</t>
        </is>
      </c>
      <c r="K5" s="5" t="inlineStr">
        <is>
          <t>대상월 급여지급병원</t>
        </is>
      </c>
      <c r="L5" s="5" t="inlineStr">
        <is>
          <t>서울급여</t>
        </is>
      </c>
      <c r="M5" s="5" t="inlineStr">
        <is>
          <t>서울 06~07시</t>
        </is>
      </c>
      <c r="N5" s="5" t="inlineStr">
        <is>
          <t>서울 07~18시</t>
        </is>
      </c>
      <c r="O5" s="5" t="inlineStr">
        <is>
          <t>서울 18~22시</t>
        </is>
      </c>
      <c r="P5" s="5" t="inlineStr">
        <is>
          <t>서울 22~06시</t>
        </is>
      </c>
      <c r="Q5" s="5" t="inlineStr">
        <is>
          <t>서울 반영 합계</t>
        </is>
      </c>
      <c r="R5" s="5" t="inlineStr">
        <is>
          <t>평일 야간 당직(건)</t>
        </is>
      </c>
      <c r="S5" s="5" t="inlineStr">
        <is>
          <t>휴일 야간 당직(건)</t>
        </is>
      </c>
      <c r="T5" s="5" t="inlineStr">
        <is>
          <t>서울 평일 야간 당직(건)</t>
        </is>
      </c>
      <c r="U5" s="5" t="inlineStr">
        <is>
          <t>서울 휴일 야간 당직(건)</t>
        </is>
      </c>
      <c r="V5" s="5" t="inlineStr">
        <is>
          <t>기관 출처</t>
        </is>
      </c>
      <c r="W5" s="19" t="inlineStr">
        <is>
          <t>(합계 행)</t>
        </is>
      </c>
      <c r="Y5" s="5" t="inlineStr">
        <is>
          <t>사번</t>
        </is>
      </c>
      <c r="Z5" s="5" t="inlineStr">
        <is>
          <t>성명</t>
        </is>
      </c>
      <c r="AA5" s="5" t="inlineStr">
        <is>
          <t>대상월 반영 시간</t>
        </is>
      </c>
      <c r="AB5" s="19" t="inlineStr">
        <is>
          <t>(상세 행)</t>
        </is>
      </c>
    </row>
    <row r="6">
      <c r="A6">
        <f>IF($W6="",IF(COUNT(합계표[판정순번])=0,"시간외 합계 없음",""),INDEX(합계표[사번],$W6)&amp;"")</f>
        <v/>
      </c>
      <c r="B6">
        <f>IF($W6="","",INDEX(합계표[성명],$W6)&amp;"")</f>
        <v/>
      </c>
      <c r="C6">
        <f>IF($W6="","",INDEX(합계표[부서],$W6)&amp;"")</f>
        <v/>
      </c>
      <c r="D6">
        <f>IF($W6="","",INDEX(합계표[직위(통합)],$W6)&amp;"")</f>
        <v/>
      </c>
      <c r="E6">
        <f>IF($W6="","",SUMIFS(합계표[시스템 합계],합계표[사번키],INDEX(합계표[사번키],$W6)))</f>
        <v/>
      </c>
      <c r="F6">
        <f>IF($W6="","",SUMIFS(상세표[기록 시간외],상세표[사번키],INDEX(합계표[사번키],$W6),상세표[기록월],대상월키))</f>
        <v/>
      </c>
      <c r="G6">
        <f>IF($W6="","",IF(ABS($E6-$F6)&lt;0.01,"일치","불일치(차이 "&amp;TEXT($F6-$E6,"0.00")&amp;")"))</f>
        <v/>
      </c>
      <c r="H6">
        <f>IF($W6="","",SUMIFS(상세표[기록 시간외],상세표[사번키],INDEX(합계표[사번키],$W6),상세표[기록월],대상월키,상세표[반영월],"&lt;&gt;"&amp;대상월키))</f>
        <v/>
      </c>
      <c r="I6">
        <f>IF($W6="","",SUMIFS(상세표[기록 시간외],상세표[사번키],INDEX(합계표[사번키],$W6),상세표[기록월],"&lt;&gt;"&amp;대상월키,상세표[반영월],대상월키))</f>
        <v/>
      </c>
      <c r="J6">
        <f>IF($W6="","",SUMIFS(상세표[기록 시간외],상세표[사번키],INDEX(합계표[사번키],$W6),상세표[반영월],대상월키))</f>
        <v/>
      </c>
      <c r="K6">
        <f>IF($W6="","",IFERROR(INDEX(월별근무지표[적용 급여병원],MATCH(INDEX(합계표[사번키],$W6)&amp;"|"&amp;대상월키,월별근무지표[키],0))&amp;"",IF(COUNTIF(기관표[사번키],INDEX(합계표[사번키],$W6))+COUNTIF(월별근무지표[사번키],INDEX(합계표[사번키],$W6))&gt;0,IFERROR(INDEX(기관표[급여지급병원(기준월)],MATCH(INDEX(합계표[사번키],$W6)&amp;"|"&amp;대상월키,기관표[키],0))&amp;"","—"),"—")))</f>
        <v/>
      </c>
      <c r="L6">
        <f>IF($W6="","",IF(NOT(COUNTIF(기관표[사번키],INDEX(합계표[사번키],$W6))+COUNTIF(월별근무지표[사번키],INDEX(합계표[사번키],$W6))&gt;0),"기관명단에 없음(다른 병원으로 발송)",IF($K6="—","대상월 기관명단 없음(추가 필요)",IF($K6="서울병원","해당","비해당"))))</f>
        <v/>
      </c>
      <c r="M6">
        <f>IF($W6="","",SUMIFS(상세표[06~07시],상세표[사번키],INDEX(합계표[사번키],$W6),상세표[반영월],대상월키,상세표[반영 기관],"서울병원"))</f>
        <v/>
      </c>
      <c r="N6">
        <f>IF($W6="","",SUMIFS(상세표[07~18시],상세표[사번키],INDEX(합계표[사번키],$W6),상세표[반영월],대상월키,상세표[반영 기관],"서울병원"))</f>
        <v/>
      </c>
      <c r="O6">
        <f>IF($W6="","",SUMIFS(상세표[18~22시],상세표[사번키],INDEX(합계표[사번키],$W6),상세표[반영월],대상월키,상세표[반영 기관],"서울병원"))</f>
        <v/>
      </c>
      <c r="P6">
        <f>IF($W6="","",SUMIFS(상세표[22~06시],상세표[사번키],INDEX(합계표[사번키],$W6),상세표[반영월],대상월키,상세표[반영 기관],"서울병원"))</f>
        <v/>
      </c>
      <c r="Q6">
        <f>IF($W6="","",SUM($M6:$P6))</f>
        <v/>
      </c>
      <c r="R6">
        <f>IF($W6="","",COUNTIFS(상세표[사번키],INDEX(합계표[사번키],$W6),상세표[반영월],대상월키,상세표[야간당직],1,상세표[야간 구분],"평일"))</f>
        <v/>
      </c>
      <c r="S6" s="4">
        <f>IF($W6="","",COUNTIFS(상세표[사번키],INDEX(합계표[사번키],$W6),상세표[반영월],대상월키,상세표[야간당직],1,상세표[야간 구분],"휴일"))</f>
        <v/>
      </c>
      <c r="T6">
        <f>IF($W6="","",COUNTIFS(상세표[사번키],INDEX(합계표[사번키],$W6),상세표[반영월],대상월키,상세표[야간당직],1,상세표[야간 구분],"평일",상세표[반영 기관],"서울병원"))</f>
        <v/>
      </c>
      <c r="U6">
        <f>IF($W6="","",COUNTIFS(상세표[사번키],INDEX(합계표[사번키],$W6),상세표[반영월],대상월키,상세표[야간당직],1,상세표[야간 구분],"휴일",상세표[반영 기관],"서울병원"))</f>
        <v/>
      </c>
      <c r="V6">
        <f>IF($W6="","",IF(ISNUMBER(MATCH(INDEX(합계표[사번키],$W6)&amp;"|"&amp;대상월키,월별근무지표[키],0)),"직접 입력",IF($K6="—","—","기관명단")))</f>
        <v/>
      </c>
      <c r="W6">
        <f>IFERROR(MATCH(1,합계표[판정순번],0),"")</f>
        <v/>
      </c>
      <c r="Y6">
        <f>IF($AB6="",IF(SUM(상세표[합계없음첫행])=0,"없음",""),INDEX(상세표[사번],$AB6)&amp;"")</f>
        <v/>
      </c>
      <c r="Z6">
        <f>IF($AB6="","",INDEX(상세표[성명],$AB6)&amp;"")</f>
        <v/>
      </c>
      <c r="AA6">
        <f>IF($AB6="","",SUMIFS(상세표[기록 시간외],상세표[사번키],INDEX(상세표[사번키],$AB6),상세표[반영월],대상월키))</f>
        <v/>
      </c>
      <c r="AB6" s="4">
        <f>IFERROR(MATCH(1,상세표[합계없음순번],0),"")</f>
        <v/>
      </c>
    </row>
    <row r="7">
      <c r="A7">
        <f>IF($W7="","",INDEX(합계표[사번],$W7)&amp;"")</f>
        <v/>
      </c>
      <c r="B7">
        <f>IF($W7="","",INDEX(합계표[성명],$W7)&amp;"")</f>
        <v/>
      </c>
      <c r="C7">
        <f>IF($W7="","",INDEX(합계표[부서],$W7)&amp;"")</f>
        <v/>
      </c>
      <c r="D7">
        <f>IF($W7="","",INDEX(합계표[직위(통합)],$W7)&amp;"")</f>
        <v/>
      </c>
      <c r="E7">
        <f>IF($W7="","",SUMIFS(합계표[시스템 합계],합계표[사번키],INDEX(합계표[사번키],$W7)))</f>
        <v/>
      </c>
      <c r="F7">
        <f>IF($W7="","",SUMIFS(상세표[기록 시간외],상세표[사번키],INDEX(합계표[사번키],$W7),상세표[기록월],대상월키))</f>
        <v/>
      </c>
      <c r="G7">
        <f>IF($W7="","",IF(ABS($E7-$F7)&lt;0.01,"일치","불일치(차이 "&amp;TEXT($F7-$E7,"0.00")&amp;")"))</f>
        <v/>
      </c>
      <c r="H7">
        <f>IF($W7="","",SUMIFS(상세표[기록 시간외],상세표[사번키],INDEX(합계표[사번키],$W7),상세표[기록월],대상월키,상세표[반영월],"&lt;&gt;"&amp;대상월키))</f>
        <v/>
      </c>
      <c r="I7">
        <f>IF($W7="","",SUMIFS(상세표[기록 시간외],상세표[사번키],INDEX(합계표[사번키],$W7),상세표[기록월],"&lt;&gt;"&amp;대상월키,상세표[반영월],대상월키))</f>
        <v/>
      </c>
      <c r="J7">
        <f>IF($W7="","",SUMIFS(상세표[기록 시간외],상세표[사번키],INDEX(합계표[사번키],$W7),상세표[반영월],대상월키))</f>
        <v/>
      </c>
      <c r="K7">
        <f>IF($W7="","",IFERROR(INDEX(월별근무지표[적용 급여병원],MATCH(INDEX(합계표[사번키],$W7)&amp;"|"&amp;대상월키,월별근무지표[키],0))&amp;"",IF(COUNTIF(기관표[사번키],INDEX(합계표[사번키],$W7))+COUNTIF(월별근무지표[사번키],INDEX(합계표[사번키],$W7))&gt;0,IFERROR(INDEX(기관표[급여지급병원(기준월)],MATCH(INDEX(합계표[사번키],$W7)&amp;"|"&amp;대상월키,기관표[키],0))&amp;"","—"),"—")))</f>
        <v/>
      </c>
      <c r="L7">
        <f>IF($W7="","",IF(NOT(COUNTIF(기관표[사번키],INDEX(합계표[사번키],$W7))+COUNTIF(월별근무지표[사번키],INDEX(합계표[사번키],$W7))&gt;0),"기관명단에 없음(다른 병원으로 발송)",IF($K7="—","대상월 기관명단 없음(추가 필요)",IF($K7="서울병원","해당","비해당"))))</f>
        <v/>
      </c>
      <c r="M7">
        <f>IF($W7="","",SUMIFS(상세표[06~07시],상세표[사번키],INDEX(합계표[사번키],$W7),상세표[반영월],대상월키,상세표[반영 기관],"서울병원"))</f>
        <v/>
      </c>
      <c r="N7">
        <f>IF($W7="","",SUMIFS(상세표[07~18시],상세표[사번키],INDEX(합계표[사번키],$W7),상세표[반영월],대상월키,상세표[반영 기관],"서울병원"))</f>
        <v/>
      </c>
      <c r="O7">
        <f>IF($W7="","",SUMIFS(상세표[18~22시],상세표[사번키],INDEX(합계표[사번키],$W7),상세표[반영월],대상월키,상세표[반영 기관],"서울병원"))</f>
        <v/>
      </c>
      <c r="P7">
        <f>IF($W7="","",SUMIFS(상세표[22~06시],상세표[사번키],INDEX(합계표[사번키],$W7),상세표[반영월],대상월키,상세표[반영 기관],"서울병원"))</f>
        <v/>
      </c>
      <c r="Q7">
        <f>IF($W7="","",SUM($M7:$P7))</f>
        <v/>
      </c>
      <c r="R7">
        <f>IF($W7="","",COUNTIFS(상세표[사번키],INDEX(합계표[사번키],$W7),상세표[반영월],대상월키,상세표[야간당직],1,상세표[야간 구분],"평일"))</f>
        <v/>
      </c>
      <c r="S7" s="4">
        <f>IF($W7="","",COUNTIFS(상세표[사번키],INDEX(합계표[사번키],$W7),상세표[반영월],대상월키,상세표[야간당직],1,상세표[야간 구분],"휴일"))</f>
        <v/>
      </c>
      <c r="T7">
        <f>IF($W7="","",COUNTIFS(상세표[사번키],INDEX(합계표[사번키],$W7),상세표[반영월],대상월키,상세표[야간당직],1,상세표[야간 구분],"평일",상세표[반영 기관],"서울병원"))</f>
        <v/>
      </c>
      <c r="U7">
        <f>IF($W7="","",COUNTIFS(상세표[사번키],INDEX(합계표[사번키],$W7),상세표[반영월],대상월키,상세표[야간당직],1,상세표[야간 구분],"휴일",상세표[반영 기관],"서울병원"))</f>
        <v/>
      </c>
      <c r="V7">
        <f>IF($W7="","",IF(ISNUMBER(MATCH(INDEX(합계표[사번키],$W7)&amp;"|"&amp;대상월키,월별근무지표[키],0)),"직접 입력",IF($K7="—","—","기관명단")))</f>
        <v/>
      </c>
      <c r="W7">
        <f>IFERROR(MATCH(2,합계표[판정순번],0),"")</f>
        <v/>
      </c>
      <c r="Y7">
        <f>IF($AB7="","",INDEX(상세표[사번],$AB7)&amp;"")</f>
        <v/>
      </c>
      <c r="Z7">
        <f>IF($AB7="","",INDEX(상세표[성명],$AB7)&amp;"")</f>
        <v/>
      </c>
      <c r="AA7">
        <f>IF($AB7="","",SUMIFS(상세표[기록 시간외],상세표[사번키],INDEX(상세표[사번키],$AB7),상세표[반영월],대상월키))</f>
        <v/>
      </c>
      <c r="AB7" s="4">
        <f>IFERROR(MATCH(2,상세표[합계없음순번],0),"")</f>
        <v/>
      </c>
    </row>
    <row r="8">
      <c r="A8">
        <f>IF($W8="","",INDEX(합계표[사번],$W8)&amp;"")</f>
        <v/>
      </c>
      <c r="B8">
        <f>IF($W8="","",INDEX(합계표[성명],$W8)&amp;"")</f>
        <v/>
      </c>
      <c r="C8">
        <f>IF($W8="","",INDEX(합계표[부서],$W8)&amp;"")</f>
        <v/>
      </c>
      <c r="D8">
        <f>IF($W8="","",INDEX(합계표[직위(통합)],$W8)&amp;"")</f>
        <v/>
      </c>
      <c r="E8">
        <f>IF($W8="","",SUMIFS(합계표[시스템 합계],합계표[사번키],INDEX(합계표[사번키],$W8)))</f>
        <v/>
      </c>
      <c r="F8">
        <f>IF($W8="","",SUMIFS(상세표[기록 시간외],상세표[사번키],INDEX(합계표[사번키],$W8),상세표[기록월],대상월키))</f>
        <v/>
      </c>
      <c r="G8">
        <f>IF($W8="","",IF(ABS($E8-$F8)&lt;0.01,"일치","불일치(차이 "&amp;TEXT($F8-$E8,"0.00")&amp;")"))</f>
        <v/>
      </c>
      <c r="H8">
        <f>IF($W8="","",SUMIFS(상세표[기록 시간외],상세표[사번키],INDEX(합계표[사번키],$W8),상세표[기록월],대상월키,상세표[반영월],"&lt;&gt;"&amp;대상월키))</f>
        <v/>
      </c>
      <c r="I8">
        <f>IF($W8="","",SUMIFS(상세표[기록 시간외],상세표[사번키],INDEX(합계표[사번키],$W8),상세표[기록월],"&lt;&gt;"&amp;대상월키,상세표[반영월],대상월키))</f>
        <v/>
      </c>
      <c r="J8">
        <f>IF($W8="","",SUMIFS(상세표[기록 시간외],상세표[사번키],INDEX(합계표[사번키],$W8),상세표[반영월],대상월키))</f>
        <v/>
      </c>
      <c r="K8">
        <f>IF($W8="","",IFERROR(INDEX(월별근무지표[적용 급여병원],MATCH(INDEX(합계표[사번키],$W8)&amp;"|"&amp;대상월키,월별근무지표[키],0))&amp;"",IF(COUNTIF(기관표[사번키],INDEX(합계표[사번키],$W8))+COUNTIF(월별근무지표[사번키],INDEX(합계표[사번키],$W8))&gt;0,IFERROR(INDEX(기관표[급여지급병원(기준월)],MATCH(INDEX(합계표[사번키],$W8)&amp;"|"&amp;대상월키,기관표[키],0))&amp;"","—"),"—")))</f>
        <v/>
      </c>
      <c r="L8">
        <f>IF($W8="","",IF(NOT(COUNTIF(기관표[사번키],INDEX(합계표[사번키],$W8))+COUNTIF(월별근무지표[사번키],INDEX(합계표[사번키],$W8))&gt;0),"기관명단에 없음(다른 병원으로 발송)",IF($K8="—","대상월 기관명단 없음(추가 필요)",IF($K8="서울병원","해당","비해당"))))</f>
        <v/>
      </c>
      <c r="M8">
        <f>IF($W8="","",SUMIFS(상세표[06~07시],상세표[사번키],INDEX(합계표[사번키],$W8),상세표[반영월],대상월키,상세표[반영 기관],"서울병원"))</f>
        <v/>
      </c>
      <c r="N8">
        <f>IF($W8="","",SUMIFS(상세표[07~18시],상세표[사번키],INDEX(합계표[사번키],$W8),상세표[반영월],대상월키,상세표[반영 기관],"서울병원"))</f>
        <v/>
      </c>
      <c r="O8">
        <f>IF($W8="","",SUMIFS(상세표[18~22시],상세표[사번키],INDEX(합계표[사번키],$W8),상세표[반영월],대상월키,상세표[반영 기관],"서울병원"))</f>
        <v/>
      </c>
      <c r="P8">
        <f>IF($W8="","",SUMIFS(상세표[22~06시],상세표[사번키],INDEX(합계표[사번키],$W8),상세표[반영월],대상월키,상세표[반영 기관],"서울병원"))</f>
        <v/>
      </c>
      <c r="Q8">
        <f>IF($W8="","",SUM($M8:$P8))</f>
        <v/>
      </c>
      <c r="R8">
        <f>IF($W8="","",COUNTIFS(상세표[사번키],INDEX(합계표[사번키],$W8),상세표[반영월],대상월키,상세표[야간당직],1,상세표[야간 구분],"평일"))</f>
        <v/>
      </c>
      <c r="S8" s="4">
        <f>IF($W8="","",COUNTIFS(상세표[사번키],INDEX(합계표[사번키],$W8),상세표[반영월],대상월키,상세표[야간당직],1,상세표[야간 구분],"휴일"))</f>
        <v/>
      </c>
      <c r="T8">
        <f>IF($W8="","",COUNTIFS(상세표[사번키],INDEX(합계표[사번키],$W8),상세표[반영월],대상월키,상세표[야간당직],1,상세표[야간 구분],"평일",상세표[반영 기관],"서울병원"))</f>
        <v/>
      </c>
      <c r="U8">
        <f>IF($W8="","",COUNTIFS(상세표[사번키],INDEX(합계표[사번키],$W8),상세표[반영월],대상월키,상세표[야간당직],1,상세표[야간 구분],"휴일",상세표[반영 기관],"서울병원"))</f>
        <v/>
      </c>
      <c r="V8">
        <f>IF($W8="","",IF(ISNUMBER(MATCH(INDEX(합계표[사번키],$W8)&amp;"|"&amp;대상월키,월별근무지표[키],0)),"직접 입력",IF($K8="—","—","기관명단")))</f>
        <v/>
      </c>
      <c r="W8">
        <f>IFERROR(MATCH(3,합계표[판정순번],0),"")</f>
        <v/>
      </c>
      <c r="Y8">
        <f>IF($AB8="","",INDEX(상세표[사번],$AB8)&amp;"")</f>
        <v/>
      </c>
      <c r="Z8">
        <f>IF($AB8="","",INDEX(상세표[성명],$AB8)&amp;"")</f>
        <v/>
      </c>
      <c r="AA8">
        <f>IF($AB8="","",SUMIFS(상세표[기록 시간외],상세표[사번키],INDEX(상세표[사번키],$AB8),상세표[반영월],대상월키))</f>
        <v/>
      </c>
      <c r="AB8" s="4">
        <f>IFERROR(MATCH(3,상세표[합계없음순번],0),"")</f>
        <v/>
      </c>
    </row>
    <row r="9">
      <c r="A9">
        <f>IF($W9="","",INDEX(합계표[사번],$W9)&amp;"")</f>
        <v/>
      </c>
      <c r="B9">
        <f>IF($W9="","",INDEX(합계표[성명],$W9)&amp;"")</f>
        <v/>
      </c>
      <c r="C9">
        <f>IF($W9="","",INDEX(합계표[부서],$W9)&amp;"")</f>
        <v/>
      </c>
      <c r="D9">
        <f>IF($W9="","",INDEX(합계표[직위(통합)],$W9)&amp;"")</f>
        <v/>
      </c>
      <c r="E9">
        <f>IF($W9="","",SUMIFS(합계표[시스템 합계],합계표[사번키],INDEX(합계표[사번키],$W9)))</f>
        <v/>
      </c>
      <c r="F9">
        <f>IF($W9="","",SUMIFS(상세표[기록 시간외],상세표[사번키],INDEX(합계표[사번키],$W9),상세표[기록월],대상월키))</f>
        <v/>
      </c>
      <c r="G9">
        <f>IF($W9="","",IF(ABS($E9-$F9)&lt;0.01,"일치","불일치(차이 "&amp;TEXT($F9-$E9,"0.00")&amp;")"))</f>
        <v/>
      </c>
      <c r="H9">
        <f>IF($W9="","",SUMIFS(상세표[기록 시간외],상세표[사번키],INDEX(합계표[사번키],$W9),상세표[기록월],대상월키,상세표[반영월],"&lt;&gt;"&amp;대상월키))</f>
        <v/>
      </c>
      <c r="I9">
        <f>IF($W9="","",SUMIFS(상세표[기록 시간외],상세표[사번키],INDEX(합계표[사번키],$W9),상세표[기록월],"&lt;&gt;"&amp;대상월키,상세표[반영월],대상월키))</f>
        <v/>
      </c>
      <c r="J9">
        <f>IF($W9="","",SUMIFS(상세표[기록 시간외],상세표[사번키],INDEX(합계표[사번키],$W9),상세표[반영월],대상월키))</f>
        <v/>
      </c>
      <c r="K9">
        <f>IF($W9="","",IFERROR(INDEX(월별근무지표[적용 급여병원],MATCH(INDEX(합계표[사번키],$W9)&amp;"|"&amp;대상월키,월별근무지표[키],0))&amp;"",IF(COUNTIF(기관표[사번키],INDEX(합계표[사번키],$W9))+COUNTIF(월별근무지표[사번키],INDEX(합계표[사번키],$W9))&gt;0,IFERROR(INDEX(기관표[급여지급병원(기준월)],MATCH(INDEX(합계표[사번키],$W9)&amp;"|"&amp;대상월키,기관표[키],0))&amp;"","—"),"—")))</f>
        <v/>
      </c>
      <c r="L9">
        <f>IF($W9="","",IF(NOT(COUNTIF(기관표[사번키],INDEX(합계표[사번키],$W9))+COUNTIF(월별근무지표[사번키],INDEX(합계표[사번키],$W9))&gt;0),"기관명단에 없음(다른 병원으로 발송)",IF($K9="—","대상월 기관명단 없음(추가 필요)",IF($K9="서울병원","해당","비해당"))))</f>
        <v/>
      </c>
      <c r="M9">
        <f>IF($W9="","",SUMIFS(상세표[06~07시],상세표[사번키],INDEX(합계표[사번키],$W9),상세표[반영월],대상월키,상세표[반영 기관],"서울병원"))</f>
        <v/>
      </c>
      <c r="N9">
        <f>IF($W9="","",SUMIFS(상세표[07~18시],상세표[사번키],INDEX(합계표[사번키],$W9),상세표[반영월],대상월키,상세표[반영 기관],"서울병원"))</f>
        <v/>
      </c>
      <c r="O9">
        <f>IF($W9="","",SUMIFS(상세표[18~22시],상세표[사번키],INDEX(합계표[사번키],$W9),상세표[반영월],대상월키,상세표[반영 기관],"서울병원"))</f>
        <v/>
      </c>
      <c r="P9">
        <f>IF($W9="","",SUMIFS(상세표[22~06시],상세표[사번키],INDEX(합계표[사번키],$W9),상세표[반영월],대상월키,상세표[반영 기관],"서울병원"))</f>
        <v/>
      </c>
      <c r="Q9">
        <f>IF($W9="","",SUM($M9:$P9))</f>
        <v/>
      </c>
      <c r="R9">
        <f>IF($W9="","",COUNTIFS(상세표[사번키],INDEX(합계표[사번키],$W9),상세표[반영월],대상월키,상세표[야간당직],1,상세표[야간 구분],"평일"))</f>
        <v/>
      </c>
      <c r="S9" s="4">
        <f>IF($W9="","",COUNTIFS(상세표[사번키],INDEX(합계표[사번키],$W9),상세표[반영월],대상월키,상세표[야간당직],1,상세표[야간 구분],"휴일"))</f>
        <v/>
      </c>
      <c r="T9">
        <f>IF($W9="","",COUNTIFS(상세표[사번키],INDEX(합계표[사번키],$W9),상세표[반영월],대상월키,상세표[야간당직],1,상세표[야간 구분],"평일",상세표[반영 기관],"서울병원"))</f>
        <v/>
      </c>
      <c r="U9">
        <f>IF($W9="","",COUNTIFS(상세표[사번키],INDEX(합계표[사번키],$W9),상세표[반영월],대상월키,상세표[야간당직],1,상세표[야간 구분],"휴일",상세표[반영 기관],"서울병원"))</f>
        <v/>
      </c>
      <c r="V9">
        <f>IF($W9="","",IF(ISNUMBER(MATCH(INDEX(합계표[사번키],$W9)&amp;"|"&amp;대상월키,월별근무지표[키],0)),"직접 입력",IF($K9="—","—","기관명단")))</f>
        <v/>
      </c>
      <c r="W9">
        <f>IFERROR(MATCH(4,합계표[판정순번],0),"")</f>
        <v/>
      </c>
      <c r="Y9">
        <f>IF($AB9="","",INDEX(상세표[사번],$AB9)&amp;"")</f>
        <v/>
      </c>
      <c r="Z9">
        <f>IF($AB9="","",INDEX(상세표[성명],$AB9)&amp;"")</f>
        <v/>
      </c>
      <c r="AA9">
        <f>IF($AB9="","",SUMIFS(상세표[기록 시간외],상세표[사번키],INDEX(상세표[사번키],$AB9),상세표[반영월],대상월키))</f>
        <v/>
      </c>
      <c r="AB9" s="4">
        <f>IFERROR(MATCH(4,상세표[합계없음순번],0),"")</f>
        <v/>
      </c>
    </row>
    <row r="10">
      <c r="A10">
        <f>IF($W10="","",INDEX(합계표[사번],$W10)&amp;"")</f>
        <v/>
      </c>
      <c r="B10">
        <f>IF($W10="","",INDEX(합계표[성명],$W10)&amp;"")</f>
        <v/>
      </c>
      <c r="C10">
        <f>IF($W10="","",INDEX(합계표[부서],$W10)&amp;"")</f>
        <v/>
      </c>
      <c r="D10">
        <f>IF($W10="","",INDEX(합계표[직위(통합)],$W10)&amp;"")</f>
        <v/>
      </c>
      <c r="E10">
        <f>IF($W10="","",SUMIFS(합계표[시스템 합계],합계표[사번키],INDEX(합계표[사번키],$W10)))</f>
        <v/>
      </c>
      <c r="F10">
        <f>IF($W10="","",SUMIFS(상세표[기록 시간외],상세표[사번키],INDEX(합계표[사번키],$W10),상세표[기록월],대상월키))</f>
        <v/>
      </c>
      <c r="G10">
        <f>IF($W10="","",IF(ABS($E10-$F10)&lt;0.01,"일치","불일치(차이 "&amp;TEXT($F10-$E10,"0.00")&amp;")"))</f>
        <v/>
      </c>
      <c r="H10">
        <f>IF($W10="","",SUMIFS(상세표[기록 시간외],상세표[사번키],INDEX(합계표[사번키],$W10),상세표[기록월],대상월키,상세표[반영월],"&lt;&gt;"&amp;대상월키))</f>
        <v/>
      </c>
      <c r="I10">
        <f>IF($W10="","",SUMIFS(상세표[기록 시간외],상세표[사번키],INDEX(합계표[사번키],$W10),상세표[기록월],"&lt;&gt;"&amp;대상월키,상세표[반영월],대상월키))</f>
        <v/>
      </c>
      <c r="J10">
        <f>IF($W10="","",SUMIFS(상세표[기록 시간외],상세표[사번키],INDEX(합계표[사번키],$W10),상세표[반영월],대상월키))</f>
        <v/>
      </c>
      <c r="K10">
        <f>IF($W10="","",IFERROR(INDEX(월별근무지표[적용 급여병원],MATCH(INDEX(합계표[사번키],$W10)&amp;"|"&amp;대상월키,월별근무지표[키],0))&amp;"",IF(COUNTIF(기관표[사번키],INDEX(합계표[사번키],$W10))+COUNTIF(월별근무지표[사번키],INDEX(합계표[사번키],$W10))&gt;0,IFERROR(INDEX(기관표[급여지급병원(기준월)],MATCH(INDEX(합계표[사번키],$W10)&amp;"|"&amp;대상월키,기관표[키],0))&amp;"","—"),"—")))</f>
        <v/>
      </c>
      <c r="L10">
        <f>IF($W10="","",IF(NOT(COUNTIF(기관표[사번키],INDEX(합계표[사번키],$W10))+COUNTIF(월별근무지표[사번키],INDEX(합계표[사번키],$W10))&gt;0),"기관명단에 없음(다른 병원으로 발송)",IF($K10="—","대상월 기관명단 없음(추가 필요)",IF($K10="서울병원","해당","비해당"))))</f>
        <v/>
      </c>
      <c r="M10">
        <f>IF($W10="","",SUMIFS(상세표[06~07시],상세표[사번키],INDEX(합계표[사번키],$W10),상세표[반영월],대상월키,상세표[반영 기관],"서울병원"))</f>
        <v/>
      </c>
      <c r="N10">
        <f>IF($W10="","",SUMIFS(상세표[07~18시],상세표[사번키],INDEX(합계표[사번키],$W10),상세표[반영월],대상월키,상세표[반영 기관],"서울병원"))</f>
        <v/>
      </c>
      <c r="O10">
        <f>IF($W10="","",SUMIFS(상세표[18~22시],상세표[사번키],INDEX(합계표[사번키],$W10),상세표[반영월],대상월키,상세표[반영 기관],"서울병원"))</f>
        <v/>
      </c>
      <c r="P10">
        <f>IF($W10="","",SUMIFS(상세표[22~06시],상세표[사번키],INDEX(합계표[사번키],$W10),상세표[반영월],대상월키,상세표[반영 기관],"서울병원"))</f>
        <v/>
      </c>
      <c r="Q10">
        <f>IF($W10="","",SUM($M10:$P10))</f>
        <v/>
      </c>
      <c r="R10">
        <f>IF($W10="","",COUNTIFS(상세표[사번키],INDEX(합계표[사번키],$W10),상세표[반영월],대상월키,상세표[야간당직],1,상세표[야간 구분],"평일"))</f>
        <v/>
      </c>
      <c r="S10" s="4">
        <f>IF($W10="","",COUNTIFS(상세표[사번키],INDEX(합계표[사번키],$W10),상세표[반영월],대상월키,상세표[야간당직],1,상세표[야간 구분],"휴일"))</f>
        <v/>
      </c>
      <c r="T10">
        <f>IF($W10="","",COUNTIFS(상세표[사번키],INDEX(합계표[사번키],$W10),상세표[반영월],대상월키,상세표[야간당직],1,상세표[야간 구분],"평일",상세표[반영 기관],"서울병원"))</f>
        <v/>
      </c>
      <c r="U10">
        <f>IF($W10="","",COUNTIFS(상세표[사번키],INDEX(합계표[사번키],$W10),상세표[반영월],대상월키,상세표[야간당직],1,상세표[야간 구분],"휴일",상세표[반영 기관],"서울병원"))</f>
        <v/>
      </c>
      <c r="V10">
        <f>IF($W10="","",IF(ISNUMBER(MATCH(INDEX(합계표[사번키],$W10)&amp;"|"&amp;대상월키,월별근무지표[키],0)),"직접 입력",IF($K10="—","—","기관명단")))</f>
        <v/>
      </c>
      <c r="W10">
        <f>IFERROR(MATCH(5,합계표[판정순번],0),"")</f>
        <v/>
      </c>
      <c r="Y10">
        <f>IF($AB10="","",INDEX(상세표[사번],$AB10)&amp;"")</f>
        <v/>
      </c>
      <c r="Z10">
        <f>IF($AB10="","",INDEX(상세표[성명],$AB10)&amp;"")</f>
        <v/>
      </c>
      <c r="AA10">
        <f>IF($AB10="","",SUMIFS(상세표[기록 시간외],상세표[사번키],INDEX(상세표[사번키],$AB10),상세표[반영월],대상월키))</f>
        <v/>
      </c>
      <c r="AB10" s="4">
        <f>IFERROR(MATCH(5,상세표[합계없음순번],0),"")</f>
        <v/>
      </c>
    </row>
    <row r="11">
      <c r="A11">
        <f>IF($W11="","",INDEX(합계표[사번],$W11)&amp;"")</f>
        <v/>
      </c>
      <c r="B11">
        <f>IF($W11="","",INDEX(합계표[성명],$W11)&amp;"")</f>
        <v/>
      </c>
      <c r="C11">
        <f>IF($W11="","",INDEX(합계표[부서],$W11)&amp;"")</f>
        <v/>
      </c>
      <c r="D11">
        <f>IF($W11="","",INDEX(합계표[직위(통합)],$W11)&amp;"")</f>
        <v/>
      </c>
      <c r="E11">
        <f>IF($W11="","",SUMIFS(합계표[시스템 합계],합계표[사번키],INDEX(합계표[사번키],$W11)))</f>
        <v/>
      </c>
      <c r="F11">
        <f>IF($W11="","",SUMIFS(상세표[기록 시간외],상세표[사번키],INDEX(합계표[사번키],$W11),상세표[기록월],대상월키))</f>
        <v/>
      </c>
      <c r="G11">
        <f>IF($W11="","",IF(ABS($E11-$F11)&lt;0.01,"일치","불일치(차이 "&amp;TEXT($F11-$E11,"0.00")&amp;")"))</f>
        <v/>
      </c>
      <c r="H11">
        <f>IF($W11="","",SUMIFS(상세표[기록 시간외],상세표[사번키],INDEX(합계표[사번키],$W11),상세표[기록월],대상월키,상세표[반영월],"&lt;&gt;"&amp;대상월키))</f>
        <v/>
      </c>
      <c r="I11">
        <f>IF($W11="","",SUMIFS(상세표[기록 시간외],상세표[사번키],INDEX(합계표[사번키],$W11),상세표[기록월],"&lt;&gt;"&amp;대상월키,상세표[반영월],대상월키))</f>
        <v/>
      </c>
      <c r="J11">
        <f>IF($W11="","",SUMIFS(상세표[기록 시간외],상세표[사번키],INDEX(합계표[사번키],$W11),상세표[반영월],대상월키))</f>
        <v/>
      </c>
      <c r="K11">
        <f>IF($W11="","",IFERROR(INDEX(월별근무지표[적용 급여병원],MATCH(INDEX(합계표[사번키],$W11)&amp;"|"&amp;대상월키,월별근무지표[키],0))&amp;"",IF(COUNTIF(기관표[사번키],INDEX(합계표[사번키],$W11))+COUNTIF(월별근무지표[사번키],INDEX(합계표[사번키],$W11))&gt;0,IFERROR(INDEX(기관표[급여지급병원(기준월)],MATCH(INDEX(합계표[사번키],$W11)&amp;"|"&amp;대상월키,기관표[키],0))&amp;"","—"),"—")))</f>
        <v/>
      </c>
      <c r="L11">
        <f>IF($W11="","",IF(NOT(COUNTIF(기관표[사번키],INDEX(합계표[사번키],$W11))+COUNTIF(월별근무지표[사번키],INDEX(합계표[사번키],$W11))&gt;0),"기관명단에 없음(다른 병원으로 발송)",IF($K11="—","대상월 기관명단 없음(추가 필요)",IF($K11="서울병원","해당","비해당"))))</f>
        <v/>
      </c>
      <c r="M11">
        <f>IF($W11="","",SUMIFS(상세표[06~07시],상세표[사번키],INDEX(합계표[사번키],$W11),상세표[반영월],대상월키,상세표[반영 기관],"서울병원"))</f>
        <v/>
      </c>
      <c r="N11">
        <f>IF($W11="","",SUMIFS(상세표[07~18시],상세표[사번키],INDEX(합계표[사번키],$W11),상세표[반영월],대상월키,상세표[반영 기관],"서울병원"))</f>
        <v/>
      </c>
      <c r="O11">
        <f>IF($W11="","",SUMIFS(상세표[18~22시],상세표[사번키],INDEX(합계표[사번키],$W11),상세표[반영월],대상월키,상세표[반영 기관],"서울병원"))</f>
        <v/>
      </c>
      <c r="P11">
        <f>IF($W11="","",SUMIFS(상세표[22~06시],상세표[사번키],INDEX(합계표[사번키],$W11),상세표[반영월],대상월키,상세표[반영 기관],"서울병원"))</f>
        <v/>
      </c>
      <c r="Q11">
        <f>IF($W11="","",SUM($M11:$P11))</f>
        <v/>
      </c>
      <c r="R11">
        <f>IF($W11="","",COUNTIFS(상세표[사번키],INDEX(합계표[사번키],$W11),상세표[반영월],대상월키,상세표[야간당직],1,상세표[야간 구분],"평일"))</f>
        <v/>
      </c>
      <c r="S11" s="4">
        <f>IF($W11="","",COUNTIFS(상세표[사번키],INDEX(합계표[사번키],$W11),상세표[반영월],대상월키,상세표[야간당직],1,상세표[야간 구분],"휴일"))</f>
        <v/>
      </c>
      <c r="T11">
        <f>IF($W11="","",COUNTIFS(상세표[사번키],INDEX(합계표[사번키],$W11),상세표[반영월],대상월키,상세표[야간당직],1,상세표[야간 구분],"평일",상세표[반영 기관],"서울병원"))</f>
        <v/>
      </c>
      <c r="U11">
        <f>IF($W11="","",COUNTIFS(상세표[사번키],INDEX(합계표[사번키],$W11),상세표[반영월],대상월키,상세표[야간당직],1,상세표[야간 구분],"휴일",상세표[반영 기관],"서울병원"))</f>
        <v/>
      </c>
      <c r="V11">
        <f>IF($W11="","",IF(ISNUMBER(MATCH(INDEX(합계표[사번키],$W11)&amp;"|"&amp;대상월키,월별근무지표[키],0)),"직접 입력",IF($K11="—","—","기관명단")))</f>
        <v/>
      </c>
      <c r="W11">
        <f>IFERROR(MATCH(6,합계표[판정순번],0),"")</f>
        <v/>
      </c>
      <c r="Y11">
        <f>IF($AB11="","",INDEX(상세표[사번],$AB11)&amp;"")</f>
        <v/>
      </c>
      <c r="Z11">
        <f>IF($AB11="","",INDEX(상세표[성명],$AB11)&amp;"")</f>
        <v/>
      </c>
      <c r="AA11">
        <f>IF($AB11="","",SUMIFS(상세표[기록 시간외],상세표[사번키],INDEX(상세표[사번키],$AB11),상세표[반영월],대상월키))</f>
        <v/>
      </c>
      <c r="AB11" s="4">
        <f>IFERROR(MATCH(6,상세표[합계없음순번],0),"")</f>
        <v/>
      </c>
    </row>
    <row r="12">
      <c r="A12">
        <f>IF($W12="","",INDEX(합계표[사번],$W12)&amp;"")</f>
        <v/>
      </c>
      <c r="B12">
        <f>IF($W12="","",INDEX(합계표[성명],$W12)&amp;"")</f>
        <v/>
      </c>
      <c r="C12">
        <f>IF($W12="","",INDEX(합계표[부서],$W12)&amp;"")</f>
        <v/>
      </c>
      <c r="D12">
        <f>IF($W12="","",INDEX(합계표[직위(통합)],$W12)&amp;"")</f>
        <v/>
      </c>
      <c r="E12">
        <f>IF($W12="","",SUMIFS(합계표[시스템 합계],합계표[사번키],INDEX(합계표[사번키],$W12)))</f>
        <v/>
      </c>
      <c r="F12">
        <f>IF($W12="","",SUMIFS(상세표[기록 시간외],상세표[사번키],INDEX(합계표[사번키],$W12),상세표[기록월],대상월키))</f>
        <v/>
      </c>
      <c r="G12">
        <f>IF($W12="","",IF(ABS($E12-$F12)&lt;0.01,"일치","불일치(차이 "&amp;TEXT($F12-$E12,"0.00")&amp;")"))</f>
        <v/>
      </c>
      <c r="H12">
        <f>IF($W12="","",SUMIFS(상세표[기록 시간외],상세표[사번키],INDEX(합계표[사번키],$W12),상세표[기록월],대상월키,상세표[반영월],"&lt;&gt;"&amp;대상월키))</f>
        <v/>
      </c>
      <c r="I12">
        <f>IF($W12="","",SUMIFS(상세표[기록 시간외],상세표[사번키],INDEX(합계표[사번키],$W12),상세표[기록월],"&lt;&gt;"&amp;대상월키,상세표[반영월],대상월키))</f>
        <v/>
      </c>
      <c r="J12">
        <f>IF($W12="","",SUMIFS(상세표[기록 시간외],상세표[사번키],INDEX(합계표[사번키],$W12),상세표[반영월],대상월키))</f>
        <v/>
      </c>
      <c r="K12">
        <f>IF($W12="","",IFERROR(INDEX(월별근무지표[적용 급여병원],MATCH(INDEX(합계표[사번키],$W12)&amp;"|"&amp;대상월키,월별근무지표[키],0))&amp;"",IF(COUNTIF(기관표[사번키],INDEX(합계표[사번키],$W12))+COUNTIF(월별근무지표[사번키],INDEX(합계표[사번키],$W12))&gt;0,IFERROR(INDEX(기관표[급여지급병원(기준월)],MATCH(INDEX(합계표[사번키],$W12)&amp;"|"&amp;대상월키,기관표[키],0))&amp;"","—"),"—")))</f>
        <v/>
      </c>
      <c r="L12">
        <f>IF($W12="","",IF(NOT(COUNTIF(기관표[사번키],INDEX(합계표[사번키],$W12))+COUNTIF(월별근무지표[사번키],INDEX(합계표[사번키],$W12))&gt;0),"기관명단에 없음(다른 병원으로 발송)",IF($K12="—","대상월 기관명단 없음(추가 필요)",IF($K12="서울병원","해당","비해당"))))</f>
        <v/>
      </c>
      <c r="M12">
        <f>IF($W12="","",SUMIFS(상세표[06~07시],상세표[사번키],INDEX(합계표[사번키],$W12),상세표[반영월],대상월키,상세표[반영 기관],"서울병원"))</f>
        <v/>
      </c>
      <c r="N12">
        <f>IF($W12="","",SUMIFS(상세표[07~18시],상세표[사번키],INDEX(합계표[사번키],$W12),상세표[반영월],대상월키,상세표[반영 기관],"서울병원"))</f>
        <v/>
      </c>
      <c r="O12">
        <f>IF($W12="","",SUMIFS(상세표[18~22시],상세표[사번키],INDEX(합계표[사번키],$W12),상세표[반영월],대상월키,상세표[반영 기관],"서울병원"))</f>
        <v/>
      </c>
      <c r="P12">
        <f>IF($W12="","",SUMIFS(상세표[22~06시],상세표[사번키],INDEX(합계표[사번키],$W12),상세표[반영월],대상월키,상세표[반영 기관],"서울병원"))</f>
        <v/>
      </c>
      <c r="Q12">
        <f>IF($W12="","",SUM($M12:$P12))</f>
        <v/>
      </c>
      <c r="R12">
        <f>IF($W12="","",COUNTIFS(상세표[사번키],INDEX(합계표[사번키],$W12),상세표[반영월],대상월키,상세표[야간당직],1,상세표[야간 구분],"평일"))</f>
        <v/>
      </c>
      <c r="S12" s="4">
        <f>IF($W12="","",COUNTIFS(상세표[사번키],INDEX(합계표[사번키],$W12),상세표[반영월],대상월키,상세표[야간당직],1,상세표[야간 구분],"휴일"))</f>
        <v/>
      </c>
      <c r="T12">
        <f>IF($W12="","",COUNTIFS(상세표[사번키],INDEX(합계표[사번키],$W12),상세표[반영월],대상월키,상세표[야간당직],1,상세표[야간 구분],"평일",상세표[반영 기관],"서울병원"))</f>
        <v/>
      </c>
      <c r="U12">
        <f>IF($W12="","",COUNTIFS(상세표[사번키],INDEX(합계표[사번키],$W12),상세표[반영월],대상월키,상세표[야간당직],1,상세표[야간 구분],"휴일",상세표[반영 기관],"서울병원"))</f>
        <v/>
      </c>
      <c r="V12">
        <f>IF($W12="","",IF(ISNUMBER(MATCH(INDEX(합계표[사번키],$W12)&amp;"|"&amp;대상월키,월별근무지표[키],0)),"직접 입력",IF($K12="—","—","기관명단")))</f>
        <v/>
      </c>
      <c r="W12">
        <f>IFERROR(MATCH(7,합계표[판정순번],0),"")</f>
        <v/>
      </c>
      <c r="Y12">
        <f>IF($AB12="","",INDEX(상세표[사번],$AB12)&amp;"")</f>
        <v/>
      </c>
      <c r="Z12">
        <f>IF($AB12="","",INDEX(상세표[성명],$AB12)&amp;"")</f>
        <v/>
      </c>
      <c r="AA12">
        <f>IF($AB12="","",SUMIFS(상세표[기록 시간외],상세표[사번키],INDEX(상세표[사번키],$AB12),상세표[반영월],대상월키))</f>
        <v/>
      </c>
      <c r="AB12" s="4">
        <f>IFERROR(MATCH(7,상세표[합계없음순번],0),"")</f>
        <v/>
      </c>
    </row>
    <row r="13">
      <c r="A13">
        <f>IF($W13="","",INDEX(합계표[사번],$W13)&amp;"")</f>
        <v/>
      </c>
      <c r="B13">
        <f>IF($W13="","",INDEX(합계표[성명],$W13)&amp;"")</f>
        <v/>
      </c>
      <c r="C13">
        <f>IF($W13="","",INDEX(합계표[부서],$W13)&amp;"")</f>
        <v/>
      </c>
      <c r="D13">
        <f>IF($W13="","",INDEX(합계표[직위(통합)],$W13)&amp;"")</f>
        <v/>
      </c>
      <c r="E13">
        <f>IF($W13="","",SUMIFS(합계표[시스템 합계],합계표[사번키],INDEX(합계표[사번키],$W13)))</f>
        <v/>
      </c>
      <c r="F13">
        <f>IF($W13="","",SUMIFS(상세표[기록 시간외],상세표[사번키],INDEX(합계표[사번키],$W13),상세표[기록월],대상월키))</f>
        <v/>
      </c>
      <c r="G13">
        <f>IF($W13="","",IF(ABS($E13-$F13)&lt;0.01,"일치","불일치(차이 "&amp;TEXT($F13-$E13,"0.00")&amp;")"))</f>
        <v/>
      </c>
      <c r="H13">
        <f>IF($W13="","",SUMIFS(상세표[기록 시간외],상세표[사번키],INDEX(합계표[사번키],$W13),상세표[기록월],대상월키,상세표[반영월],"&lt;&gt;"&amp;대상월키))</f>
        <v/>
      </c>
      <c r="I13">
        <f>IF($W13="","",SUMIFS(상세표[기록 시간외],상세표[사번키],INDEX(합계표[사번키],$W13),상세표[기록월],"&lt;&gt;"&amp;대상월키,상세표[반영월],대상월키))</f>
        <v/>
      </c>
      <c r="J13">
        <f>IF($W13="","",SUMIFS(상세표[기록 시간외],상세표[사번키],INDEX(합계표[사번키],$W13),상세표[반영월],대상월키))</f>
        <v/>
      </c>
      <c r="K13">
        <f>IF($W13="","",IFERROR(INDEX(월별근무지표[적용 급여병원],MATCH(INDEX(합계표[사번키],$W13)&amp;"|"&amp;대상월키,월별근무지표[키],0))&amp;"",IF(COUNTIF(기관표[사번키],INDEX(합계표[사번키],$W13))+COUNTIF(월별근무지표[사번키],INDEX(합계표[사번키],$W13))&gt;0,IFERROR(INDEX(기관표[급여지급병원(기준월)],MATCH(INDEX(합계표[사번키],$W13)&amp;"|"&amp;대상월키,기관표[키],0))&amp;"","—"),"—")))</f>
        <v/>
      </c>
      <c r="L13">
        <f>IF($W13="","",IF(NOT(COUNTIF(기관표[사번키],INDEX(합계표[사번키],$W13))+COUNTIF(월별근무지표[사번키],INDEX(합계표[사번키],$W13))&gt;0),"기관명단에 없음(다른 병원으로 발송)",IF($K13="—","대상월 기관명단 없음(추가 필요)",IF($K13="서울병원","해당","비해당"))))</f>
        <v/>
      </c>
      <c r="M13">
        <f>IF($W13="","",SUMIFS(상세표[06~07시],상세표[사번키],INDEX(합계표[사번키],$W13),상세표[반영월],대상월키,상세표[반영 기관],"서울병원"))</f>
        <v/>
      </c>
      <c r="N13">
        <f>IF($W13="","",SUMIFS(상세표[07~18시],상세표[사번키],INDEX(합계표[사번키],$W13),상세표[반영월],대상월키,상세표[반영 기관],"서울병원"))</f>
        <v/>
      </c>
      <c r="O13">
        <f>IF($W13="","",SUMIFS(상세표[18~22시],상세표[사번키],INDEX(합계표[사번키],$W13),상세표[반영월],대상월키,상세표[반영 기관],"서울병원"))</f>
        <v/>
      </c>
      <c r="P13">
        <f>IF($W13="","",SUMIFS(상세표[22~06시],상세표[사번키],INDEX(합계표[사번키],$W13),상세표[반영월],대상월키,상세표[반영 기관],"서울병원"))</f>
        <v/>
      </c>
      <c r="Q13">
        <f>IF($W13="","",SUM($M13:$P13))</f>
        <v/>
      </c>
      <c r="R13">
        <f>IF($W13="","",COUNTIFS(상세표[사번키],INDEX(합계표[사번키],$W13),상세표[반영월],대상월키,상세표[야간당직],1,상세표[야간 구분],"평일"))</f>
        <v/>
      </c>
      <c r="S13" s="4">
        <f>IF($W13="","",COUNTIFS(상세표[사번키],INDEX(합계표[사번키],$W13),상세표[반영월],대상월키,상세표[야간당직],1,상세표[야간 구분],"휴일"))</f>
        <v/>
      </c>
      <c r="T13">
        <f>IF($W13="","",COUNTIFS(상세표[사번키],INDEX(합계표[사번키],$W13),상세표[반영월],대상월키,상세표[야간당직],1,상세표[야간 구분],"평일",상세표[반영 기관],"서울병원"))</f>
        <v/>
      </c>
      <c r="U13">
        <f>IF($W13="","",COUNTIFS(상세표[사번키],INDEX(합계표[사번키],$W13),상세표[반영월],대상월키,상세표[야간당직],1,상세표[야간 구분],"휴일",상세표[반영 기관],"서울병원"))</f>
        <v/>
      </c>
      <c r="V13">
        <f>IF($W13="","",IF(ISNUMBER(MATCH(INDEX(합계표[사번키],$W13)&amp;"|"&amp;대상월키,월별근무지표[키],0)),"직접 입력",IF($K13="—","—","기관명단")))</f>
        <v/>
      </c>
      <c r="W13">
        <f>IFERROR(MATCH(8,합계표[판정순번],0),"")</f>
        <v/>
      </c>
      <c r="Y13">
        <f>IF($AB13="","",INDEX(상세표[사번],$AB13)&amp;"")</f>
        <v/>
      </c>
      <c r="Z13">
        <f>IF($AB13="","",INDEX(상세표[성명],$AB13)&amp;"")</f>
        <v/>
      </c>
      <c r="AA13">
        <f>IF($AB13="","",SUMIFS(상세표[기록 시간외],상세표[사번키],INDEX(상세표[사번키],$AB13),상세표[반영월],대상월키))</f>
        <v/>
      </c>
      <c r="AB13" s="4">
        <f>IFERROR(MATCH(8,상세표[합계없음순번],0),"")</f>
        <v/>
      </c>
    </row>
    <row r="14">
      <c r="A14">
        <f>IF($W14="","",INDEX(합계표[사번],$W14)&amp;"")</f>
        <v/>
      </c>
      <c r="B14">
        <f>IF($W14="","",INDEX(합계표[성명],$W14)&amp;"")</f>
        <v/>
      </c>
      <c r="C14">
        <f>IF($W14="","",INDEX(합계표[부서],$W14)&amp;"")</f>
        <v/>
      </c>
      <c r="D14">
        <f>IF($W14="","",INDEX(합계표[직위(통합)],$W14)&amp;"")</f>
        <v/>
      </c>
      <c r="E14">
        <f>IF($W14="","",SUMIFS(합계표[시스템 합계],합계표[사번키],INDEX(합계표[사번키],$W14)))</f>
        <v/>
      </c>
      <c r="F14">
        <f>IF($W14="","",SUMIFS(상세표[기록 시간외],상세표[사번키],INDEX(합계표[사번키],$W14),상세표[기록월],대상월키))</f>
        <v/>
      </c>
      <c r="G14">
        <f>IF($W14="","",IF(ABS($E14-$F14)&lt;0.01,"일치","불일치(차이 "&amp;TEXT($F14-$E14,"0.00")&amp;")"))</f>
        <v/>
      </c>
      <c r="H14">
        <f>IF($W14="","",SUMIFS(상세표[기록 시간외],상세표[사번키],INDEX(합계표[사번키],$W14),상세표[기록월],대상월키,상세표[반영월],"&lt;&gt;"&amp;대상월키))</f>
        <v/>
      </c>
      <c r="I14">
        <f>IF($W14="","",SUMIFS(상세표[기록 시간외],상세표[사번키],INDEX(합계표[사번키],$W14),상세표[기록월],"&lt;&gt;"&amp;대상월키,상세표[반영월],대상월키))</f>
        <v/>
      </c>
      <c r="J14">
        <f>IF($W14="","",SUMIFS(상세표[기록 시간외],상세표[사번키],INDEX(합계표[사번키],$W14),상세표[반영월],대상월키))</f>
        <v/>
      </c>
      <c r="K14">
        <f>IF($W14="","",IFERROR(INDEX(월별근무지표[적용 급여병원],MATCH(INDEX(합계표[사번키],$W14)&amp;"|"&amp;대상월키,월별근무지표[키],0))&amp;"",IF(COUNTIF(기관표[사번키],INDEX(합계표[사번키],$W14))+COUNTIF(월별근무지표[사번키],INDEX(합계표[사번키],$W14))&gt;0,IFERROR(INDEX(기관표[급여지급병원(기준월)],MATCH(INDEX(합계표[사번키],$W14)&amp;"|"&amp;대상월키,기관표[키],0))&amp;"","—"),"—")))</f>
        <v/>
      </c>
      <c r="L14">
        <f>IF($W14="","",IF(NOT(COUNTIF(기관표[사번키],INDEX(합계표[사번키],$W14))+COUNTIF(월별근무지표[사번키],INDEX(합계표[사번키],$W14))&gt;0),"기관명단에 없음(다른 병원으로 발송)",IF($K14="—","대상월 기관명단 없음(추가 필요)",IF($K14="서울병원","해당","비해당"))))</f>
        <v/>
      </c>
      <c r="M14">
        <f>IF($W14="","",SUMIFS(상세표[06~07시],상세표[사번키],INDEX(합계표[사번키],$W14),상세표[반영월],대상월키,상세표[반영 기관],"서울병원"))</f>
        <v/>
      </c>
      <c r="N14">
        <f>IF($W14="","",SUMIFS(상세표[07~18시],상세표[사번키],INDEX(합계표[사번키],$W14),상세표[반영월],대상월키,상세표[반영 기관],"서울병원"))</f>
        <v/>
      </c>
      <c r="O14">
        <f>IF($W14="","",SUMIFS(상세표[18~22시],상세표[사번키],INDEX(합계표[사번키],$W14),상세표[반영월],대상월키,상세표[반영 기관],"서울병원"))</f>
        <v/>
      </c>
      <c r="P14">
        <f>IF($W14="","",SUMIFS(상세표[22~06시],상세표[사번키],INDEX(합계표[사번키],$W14),상세표[반영월],대상월키,상세표[반영 기관],"서울병원"))</f>
        <v/>
      </c>
      <c r="Q14">
        <f>IF($W14="","",SUM($M14:$P14))</f>
        <v/>
      </c>
      <c r="R14">
        <f>IF($W14="","",COUNTIFS(상세표[사번키],INDEX(합계표[사번키],$W14),상세표[반영월],대상월키,상세표[야간당직],1,상세표[야간 구분],"평일"))</f>
        <v/>
      </c>
      <c r="S14" s="4">
        <f>IF($W14="","",COUNTIFS(상세표[사번키],INDEX(합계표[사번키],$W14),상세표[반영월],대상월키,상세표[야간당직],1,상세표[야간 구분],"휴일"))</f>
        <v/>
      </c>
      <c r="T14">
        <f>IF($W14="","",COUNTIFS(상세표[사번키],INDEX(합계표[사번키],$W14),상세표[반영월],대상월키,상세표[야간당직],1,상세표[야간 구분],"평일",상세표[반영 기관],"서울병원"))</f>
        <v/>
      </c>
      <c r="U14">
        <f>IF($W14="","",COUNTIFS(상세표[사번키],INDEX(합계표[사번키],$W14),상세표[반영월],대상월키,상세표[야간당직],1,상세표[야간 구분],"휴일",상세표[반영 기관],"서울병원"))</f>
        <v/>
      </c>
      <c r="V14">
        <f>IF($W14="","",IF(ISNUMBER(MATCH(INDEX(합계표[사번키],$W14)&amp;"|"&amp;대상월키,월별근무지표[키],0)),"직접 입력",IF($K14="—","—","기관명단")))</f>
        <v/>
      </c>
      <c r="W14">
        <f>IFERROR(MATCH(9,합계표[판정순번],0),"")</f>
        <v/>
      </c>
      <c r="Y14">
        <f>IF($AB14="","",INDEX(상세표[사번],$AB14)&amp;"")</f>
        <v/>
      </c>
      <c r="Z14">
        <f>IF($AB14="","",INDEX(상세표[성명],$AB14)&amp;"")</f>
        <v/>
      </c>
      <c r="AA14">
        <f>IF($AB14="","",SUMIFS(상세표[기록 시간외],상세표[사번키],INDEX(상세표[사번키],$AB14),상세표[반영월],대상월키))</f>
        <v/>
      </c>
      <c r="AB14" s="4">
        <f>IFERROR(MATCH(9,상세표[합계없음순번],0),"")</f>
        <v/>
      </c>
    </row>
    <row r="15">
      <c r="A15">
        <f>IF($W15="","",INDEX(합계표[사번],$W15)&amp;"")</f>
        <v/>
      </c>
      <c r="B15">
        <f>IF($W15="","",INDEX(합계표[성명],$W15)&amp;"")</f>
        <v/>
      </c>
      <c r="C15">
        <f>IF($W15="","",INDEX(합계표[부서],$W15)&amp;"")</f>
        <v/>
      </c>
      <c r="D15">
        <f>IF($W15="","",INDEX(합계표[직위(통합)],$W15)&amp;"")</f>
        <v/>
      </c>
      <c r="E15">
        <f>IF($W15="","",SUMIFS(합계표[시스템 합계],합계표[사번키],INDEX(합계표[사번키],$W15)))</f>
        <v/>
      </c>
      <c r="F15">
        <f>IF($W15="","",SUMIFS(상세표[기록 시간외],상세표[사번키],INDEX(합계표[사번키],$W15),상세표[기록월],대상월키))</f>
        <v/>
      </c>
      <c r="G15">
        <f>IF($W15="","",IF(ABS($E15-$F15)&lt;0.01,"일치","불일치(차이 "&amp;TEXT($F15-$E15,"0.00")&amp;")"))</f>
        <v/>
      </c>
      <c r="H15">
        <f>IF($W15="","",SUMIFS(상세표[기록 시간외],상세표[사번키],INDEX(합계표[사번키],$W15),상세표[기록월],대상월키,상세표[반영월],"&lt;&gt;"&amp;대상월키))</f>
        <v/>
      </c>
      <c r="I15">
        <f>IF($W15="","",SUMIFS(상세표[기록 시간외],상세표[사번키],INDEX(합계표[사번키],$W15),상세표[기록월],"&lt;&gt;"&amp;대상월키,상세표[반영월],대상월키))</f>
        <v/>
      </c>
      <c r="J15">
        <f>IF($W15="","",SUMIFS(상세표[기록 시간외],상세표[사번키],INDEX(합계표[사번키],$W15),상세표[반영월],대상월키))</f>
        <v/>
      </c>
      <c r="K15">
        <f>IF($W15="","",IFERROR(INDEX(월별근무지표[적용 급여병원],MATCH(INDEX(합계표[사번키],$W15)&amp;"|"&amp;대상월키,월별근무지표[키],0))&amp;"",IF(COUNTIF(기관표[사번키],INDEX(합계표[사번키],$W15))+COUNTIF(월별근무지표[사번키],INDEX(합계표[사번키],$W15))&gt;0,IFERROR(INDEX(기관표[급여지급병원(기준월)],MATCH(INDEX(합계표[사번키],$W15)&amp;"|"&amp;대상월키,기관표[키],0))&amp;"","—"),"—")))</f>
        <v/>
      </c>
      <c r="L15">
        <f>IF($W15="","",IF(NOT(COUNTIF(기관표[사번키],INDEX(합계표[사번키],$W15))+COUNTIF(월별근무지표[사번키],INDEX(합계표[사번키],$W15))&gt;0),"기관명단에 없음(다른 병원으로 발송)",IF($K15="—","대상월 기관명단 없음(추가 필요)",IF($K15="서울병원","해당","비해당"))))</f>
        <v/>
      </c>
      <c r="M15">
        <f>IF($W15="","",SUMIFS(상세표[06~07시],상세표[사번키],INDEX(합계표[사번키],$W15),상세표[반영월],대상월키,상세표[반영 기관],"서울병원"))</f>
        <v/>
      </c>
      <c r="N15">
        <f>IF($W15="","",SUMIFS(상세표[07~18시],상세표[사번키],INDEX(합계표[사번키],$W15),상세표[반영월],대상월키,상세표[반영 기관],"서울병원"))</f>
        <v/>
      </c>
      <c r="O15">
        <f>IF($W15="","",SUMIFS(상세표[18~22시],상세표[사번키],INDEX(합계표[사번키],$W15),상세표[반영월],대상월키,상세표[반영 기관],"서울병원"))</f>
        <v/>
      </c>
      <c r="P15">
        <f>IF($W15="","",SUMIFS(상세표[22~06시],상세표[사번키],INDEX(합계표[사번키],$W15),상세표[반영월],대상월키,상세표[반영 기관],"서울병원"))</f>
        <v/>
      </c>
      <c r="Q15">
        <f>IF($W15="","",SUM($M15:$P15))</f>
        <v/>
      </c>
      <c r="R15">
        <f>IF($W15="","",COUNTIFS(상세표[사번키],INDEX(합계표[사번키],$W15),상세표[반영월],대상월키,상세표[야간당직],1,상세표[야간 구분],"평일"))</f>
        <v/>
      </c>
      <c r="S15" s="4">
        <f>IF($W15="","",COUNTIFS(상세표[사번키],INDEX(합계표[사번키],$W15),상세표[반영월],대상월키,상세표[야간당직],1,상세표[야간 구분],"휴일"))</f>
        <v/>
      </c>
      <c r="T15">
        <f>IF($W15="","",COUNTIFS(상세표[사번키],INDEX(합계표[사번키],$W15),상세표[반영월],대상월키,상세표[야간당직],1,상세표[야간 구분],"평일",상세표[반영 기관],"서울병원"))</f>
        <v/>
      </c>
      <c r="U15">
        <f>IF($W15="","",COUNTIFS(상세표[사번키],INDEX(합계표[사번키],$W15),상세표[반영월],대상월키,상세표[야간당직],1,상세표[야간 구분],"휴일",상세표[반영 기관],"서울병원"))</f>
        <v/>
      </c>
      <c r="V15">
        <f>IF($W15="","",IF(ISNUMBER(MATCH(INDEX(합계표[사번키],$W15)&amp;"|"&amp;대상월키,월별근무지표[키],0)),"직접 입력",IF($K15="—","—","기관명단")))</f>
        <v/>
      </c>
      <c r="W15">
        <f>IFERROR(MATCH(10,합계표[판정순번],0),"")</f>
        <v/>
      </c>
      <c r="Y15">
        <f>IF($AB15="","",INDEX(상세표[사번],$AB15)&amp;"")</f>
        <v/>
      </c>
      <c r="Z15">
        <f>IF($AB15="","",INDEX(상세표[성명],$AB15)&amp;"")</f>
        <v/>
      </c>
      <c r="AA15">
        <f>IF($AB15="","",SUMIFS(상세표[기록 시간외],상세표[사번키],INDEX(상세표[사번키],$AB15),상세표[반영월],대상월키))</f>
        <v/>
      </c>
      <c r="AB15" s="4">
        <f>IFERROR(MATCH(10,상세표[합계없음순번],0),"")</f>
        <v/>
      </c>
    </row>
    <row r="16">
      <c r="A16">
        <f>IF($W16="","",INDEX(합계표[사번],$W16)&amp;"")</f>
        <v/>
      </c>
      <c r="B16">
        <f>IF($W16="","",INDEX(합계표[성명],$W16)&amp;"")</f>
        <v/>
      </c>
      <c r="C16">
        <f>IF($W16="","",INDEX(합계표[부서],$W16)&amp;"")</f>
        <v/>
      </c>
      <c r="D16">
        <f>IF($W16="","",INDEX(합계표[직위(통합)],$W16)&amp;"")</f>
        <v/>
      </c>
      <c r="E16">
        <f>IF($W16="","",SUMIFS(합계표[시스템 합계],합계표[사번키],INDEX(합계표[사번키],$W16)))</f>
        <v/>
      </c>
      <c r="F16">
        <f>IF($W16="","",SUMIFS(상세표[기록 시간외],상세표[사번키],INDEX(합계표[사번키],$W16),상세표[기록월],대상월키))</f>
        <v/>
      </c>
      <c r="G16">
        <f>IF($W16="","",IF(ABS($E16-$F16)&lt;0.01,"일치","불일치(차이 "&amp;TEXT($F16-$E16,"0.00")&amp;")"))</f>
        <v/>
      </c>
      <c r="H16">
        <f>IF($W16="","",SUMIFS(상세표[기록 시간외],상세표[사번키],INDEX(합계표[사번키],$W16),상세표[기록월],대상월키,상세표[반영월],"&lt;&gt;"&amp;대상월키))</f>
        <v/>
      </c>
      <c r="I16">
        <f>IF($W16="","",SUMIFS(상세표[기록 시간외],상세표[사번키],INDEX(합계표[사번키],$W16),상세표[기록월],"&lt;&gt;"&amp;대상월키,상세표[반영월],대상월키))</f>
        <v/>
      </c>
      <c r="J16">
        <f>IF($W16="","",SUMIFS(상세표[기록 시간외],상세표[사번키],INDEX(합계표[사번키],$W16),상세표[반영월],대상월키))</f>
        <v/>
      </c>
      <c r="K16">
        <f>IF($W16="","",IFERROR(INDEX(월별근무지표[적용 급여병원],MATCH(INDEX(합계표[사번키],$W16)&amp;"|"&amp;대상월키,월별근무지표[키],0))&amp;"",IF(COUNTIF(기관표[사번키],INDEX(합계표[사번키],$W16))+COUNTIF(월별근무지표[사번키],INDEX(합계표[사번키],$W16))&gt;0,IFERROR(INDEX(기관표[급여지급병원(기준월)],MATCH(INDEX(합계표[사번키],$W16)&amp;"|"&amp;대상월키,기관표[키],0))&amp;"","—"),"—")))</f>
        <v/>
      </c>
      <c r="L16">
        <f>IF($W16="","",IF(NOT(COUNTIF(기관표[사번키],INDEX(합계표[사번키],$W16))+COUNTIF(월별근무지표[사번키],INDEX(합계표[사번키],$W16))&gt;0),"기관명단에 없음(다른 병원으로 발송)",IF($K16="—","대상월 기관명단 없음(추가 필요)",IF($K16="서울병원","해당","비해당"))))</f>
        <v/>
      </c>
      <c r="M16">
        <f>IF($W16="","",SUMIFS(상세표[06~07시],상세표[사번키],INDEX(합계표[사번키],$W16),상세표[반영월],대상월키,상세표[반영 기관],"서울병원"))</f>
        <v/>
      </c>
      <c r="N16">
        <f>IF($W16="","",SUMIFS(상세표[07~18시],상세표[사번키],INDEX(합계표[사번키],$W16),상세표[반영월],대상월키,상세표[반영 기관],"서울병원"))</f>
        <v/>
      </c>
      <c r="O16">
        <f>IF($W16="","",SUMIFS(상세표[18~22시],상세표[사번키],INDEX(합계표[사번키],$W16),상세표[반영월],대상월키,상세표[반영 기관],"서울병원"))</f>
        <v/>
      </c>
      <c r="P16">
        <f>IF($W16="","",SUMIFS(상세표[22~06시],상세표[사번키],INDEX(합계표[사번키],$W16),상세표[반영월],대상월키,상세표[반영 기관],"서울병원"))</f>
        <v/>
      </c>
      <c r="Q16">
        <f>IF($W16="","",SUM($M16:$P16))</f>
        <v/>
      </c>
      <c r="R16">
        <f>IF($W16="","",COUNTIFS(상세표[사번키],INDEX(합계표[사번키],$W16),상세표[반영월],대상월키,상세표[야간당직],1,상세표[야간 구분],"평일"))</f>
        <v/>
      </c>
      <c r="S16" s="4">
        <f>IF($W16="","",COUNTIFS(상세표[사번키],INDEX(합계표[사번키],$W16),상세표[반영월],대상월키,상세표[야간당직],1,상세표[야간 구분],"휴일"))</f>
        <v/>
      </c>
      <c r="T16">
        <f>IF($W16="","",COUNTIFS(상세표[사번키],INDEX(합계표[사번키],$W16),상세표[반영월],대상월키,상세표[야간당직],1,상세표[야간 구분],"평일",상세표[반영 기관],"서울병원"))</f>
        <v/>
      </c>
      <c r="U16">
        <f>IF($W16="","",COUNTIFS(상세표[사번키],INDEX(합계표[사번키],$W16),상세표[반영월],대상월키,상세표[야간당직],1,상세표[야간 구분],"휴일",상세표[반영 기관],"서울병원"))</f>
        <v/>
      </c>
      <c r="V16">
        <f>IF($W16="","",IF(ISNUMBER(MATCH(INDEX(합계표[사번키],$W16)&amp;"|"&amp;대상월키,월별근무지표[키],0)),"직접 입력",IF($K16="—","—","기관명단")))</f>
        <v/>
      </c>
      <c r="W16">
        <f>IFERROR(MATCH(11,합계표[판정순번],0),"")</f>
        <v/>
      </c>
      <c r="Y16">
        <f>IF($AB16="","",INDEX(상세표[사번],$AB16)&amp;"")</f>
        <v/>
      </c>
      <c r="Z16">
        <f>IF($AB16="","",INDEX(상세표[성명],$AB16)&amp;"")</f>
        <v/>
      </c>
      <c r="AA16">
        <f>IF($AB16="","",SUMIFS(상세표[기록 시간외],상세표[사번키],INDEX(상세표[사번키],$AB16),상세표[반영월],대상월키))</f>
        <v/>
      </c>
      <c r="AB16" s="4">
        <f>IFERROR(MATCH(11,상세표[합계없음순번],0),"")</f>
        <v/>
      </c>
    </row>
    <row r="17">
      <c r="A17">
        <f>IF($W17="","",INDEX(합계표[사번],$W17)&amp;"")</f>
        <v/>
      </c>
      <c r="B17">
        <f>IF($W17="","",INDEX(합계표[성명],$W17)&amp;"")</f>
        <v/>
      </c>
      <c r="C17">
        <f>IF($W17="","",INDEX(합계표[부서],$W17)&amp;"")</f>
        <v/>
      </c>
      <c r="D17">
        <f>IF($W17="","",INDEX(합계표[직위(통합)],$W17)&amp;"")</f>
        <v/>
      </c>
      <c r="E17">
        <f>IF($W17="","",SUMIFS(합계표[시스템 합계],합계표[사번키],INDEX(합계표[사번키],$W17)))</f>
        <v/>
      </c>
      <c r="F17">
        <f>IF($W17="","",SUMIFS(상세표[기록 시간외],상세표[사번키],INDEX(합계표[사번키],$W17),상세표[기록월],대상월키))</f>
        <v/>
      </c>
      <c r="G17">
        <f>IF($W17="","",IF(ABS($E17-$F17)&lt;0.01,"일치","불일치(차이 "&amp;TEXT($F17-$E17,"0.00")&amp;")"))</f>
        <v/>
      </c>
      <c r="H17">
        <f>IF($W17="","",SUMIFS(상세표[기록 시간외],상세표[사번키],INDEX(합계표[사번키],$W17),상세표[기록월],대상월키,상세표[반영월],"&lt;&gt;"&amp;대상월키))</f>
        <v/>
      </c>
      <c r="I17">
        <f>IF($W17="","",SUMIFS(상세표[기록 시간외],상세표[사번키],INDEX(합계표[사번키],$W17),상세표[기록월],"&lt;&gt;"&amp;대상월키,상세표[반영월],대상월키))</f>
        <v/>
      </c>
      <c r="J17">
        <f>IF($W17="","",SUMIFS(상세표[기록 시간외],상세표[사번키],INDEX(합계표[사번키],$W17),상세표[반영월],대상월키))</f>
        <v/>
      </c>
      <c r="K17">
        <f>IF($W17="","",IFERROR(INDEX(월별근무지표[적용 급여병원],MATCH(INDEX(합계표[사번키],$W17)&amp;"|"&amp;대상월키,월별근무지표[키],0))&amp;"",IF(COUNTIF(기관표[사번키],INDEX(합계표[사번키],$W17))+COUNTIF(월별근무지표[사번키],INDEX(합계표[사번키],$W17))&gt;0,IFERROR(INDEX(기관표[급여지급병원(기준월)],MATCH(INDEX(합계표[사번키],$W17)&amp;"|"&amp;대상월키,기관표[키],0))&amp;"","—"),"—")))</f>
        <v/>
      </c>
      <c r="L17">
        <f>IF($W17="","",IF(NOT(COUNTIF(기관표[사번키],INDEX(합계표[사번키],$W17))+COUNTIF(월별근무지표[사번키],INDEX(합계표[사번키],$W17))&gt;0),"기관명단에 없음(다른 병원으로 발송)",IF($K17="—","대상월 기관명단 없음(추가 필요)",IF($K17="서울병원","해당","비해당"))))</f>
        <v/>
      </c>
      <c r="M17">
        <f>IF($W17="","",SUMIFS(상세표[06~07시],상세표[사번키],INDEX(합계표[사번키],$W17),상세표[반영월],대상월키,상세표[반영 기관],"서울병원"))</f>
        <v/>
      </c>
      <c r="N17">
        <f>IF($W17="","",SUMIFS(상세표[07~18시],상세표[사번키],INDEX(합계표[사번키],$W17),상세표[반영월],대상월키,상세표[반영 기관],"서울병원"))</f>
        <v/>
      </c>
      <c r="O17">
        <f>IF($W17="","",SUMIFS(상세표[18~22시],상세표[사번키],INDEX(합계표[사번키],$W17),상세표[반영월],대상월키,상세표[반영 기관],"서울병원"))</f>
        <v/>
      </c>
      <c r="P17">
        <f>IF($W17="","",SUMIFS(상세표[22~06시],상세표[사번키],INDEX(합계표[사번키],$W17),상세표[반영월],대상월키,상세표[반영 기관],"서울병원"))</f>
        <v/>
      </c>
      <c r="Q17">
        <f>IF($W17="","",SUM($M17:$P17))</f>
        <v/>
      </c>
      <c r="R17">
        <f>IF($W17="","",COUNTIFS(상세표[사번키],INDEX(합계표[사번키],$W17),상세표[반영월],대상월키,상세표[야간당직],1,상세표[야간 구분],"평일"))</f>
        <v/>
      </c>
      <c r="S17" s="4">
        <f>IF($W17="","",COUNTIFS(상세표[사번키],INDEX(합계표[사번키],$W17),상세표[반영월],대상월키,상세표[야간당직],1,상세표[야간 구분],"휴일"))</f>
        <v/>
      </c>
      <c r="T17">
        <f>IF($W17="","",COUNTIFS(상세표[사번키],INDEX(합계표[사번키],$W17),상세표[반영월],대상월키,상세표[야간당직],1,상세표[야간 구분],"평일",상세표[반영 기관],"서울병원"))</f>
        <v/>
      </c>
      <c r="U17">
        <f>IF($W17="","",COUNTIFS(상세표[사번키],INDEX(합계표[사번키],$W17),상세표[반영월],대상월키,상세표[야간당직],1,상세표[야간 구분],"휴일",상세표[반영 기관],"서울병원"))</f>
        <v/>
      </c>
      <c r="V17">
        <f>IF($W17="","",IF(ISNUMBER(MATCH(INDEX(합계표[사번키],$W17)&amp;"|"&amp;대상월키,월별근무지표[키],0)),"직접 입력",IF($K17="—","—","기관명단")))</f>
        <v/>
      </c>
      <c r="W17">
        <f>IFERROR(MATCH(12,합계표[판정순번],0),"")</f>
        <v/>
      </c>
      <c r="Y17">
        <f>IF($AB17="","",INDEX(상세표[사번],$AB17)&amp;"")</f>
        <v/>
      </c>
      <c r="Z17">
        <f>IF($AB17="","",INDEX(상세표[성명],$AB17)&amp;"")</f>
        <v/>
      </c>
      <c r="AA17">
        <f>IF($AB17="","",SUMIFS(상세표[기록 시간외],상세표[사번키],INDEX(상세표[사번키],$AB17),상세표[반영월],대상월키))</f>
        <v/>
      </c>
      <c r="AB17" s="4">
        <f>IFERROR(MATCH(12,상세표[합계없음순번],0),"")</f>
        <v/>
      </c>
    </row>
    <row r="18">
      <c r="A18">
        <f>IF($W18="","",INDEX(합계표[사번],$W18)&amp;"")</f>
        <v/>
      </c>
      <c r="B18">
        <f>IF($W18="","",INDEX(합계표[성명],$W18)&amp;"")</f>
        <v/>
      </c>
      <c r="C18">
        <f>IF($W18="","",INDEX(합계표[부서],$W18)&amp;"")</f>
        <v/>
      </c>
      <c r="D18">
        <f>IF($W18="","",INDEX(합계표[직위(통합)],$W18)&amp;"")</f>
        <v/>
      </c>
      <c r="E18">
        <f>IF($W18="","",SUMIFS(합계표[시스템 합계],합계표[사번키],INDEX(합계표[사번키],$W18)))</f>
        <v/>
      </c>
      <c r="F18">
        <f>IF($W18="","",SUMIFS(상세표[기록 시간외],상세표[사번키],INDEX(합계표[사번키],$W18),상세표[기록월],대상월키))</f>
        <v/>
      </c>
      <c r="G18">
        <f>IF($W18="","",IF(ABS($E18-$F18)&lt;0.01,"일치","불일치(차이 "&amp;TEXT($F18-$E18,"0.00")&amp;")"))</f>
        <v/>
      </c>
      <c r="H18">
        <f>IF($W18="","",SUMIFS(상세표[기록 시간외],상세표[사번키],INDEX(합계표[사번키],$W18),상세표[기록월],대상월키,상세표[반영월],"&lt;&gt;"&amp;대상월키))</f>
        <v/>
      </c>
      <c r="I18">
        <f>IF($W18="","",SUMIFS(상세표[기록 시간외],상세표[사번키],INDEX(합계표[사번키],$W18),상세표[기록월],"&lt;&gt;"&amp;대상월키,상세표[반영월],대상월키))</f>
        <v/>
      </c>
      <c r="J18">
        <f>IF($W18="","",SUMIFS(상세표[기록 시간외],상세표[사번키],INDEX(합계표[사번키],$W18),상세표[반영월],대상월키))</f>
        <v/>
      </c>
      <c r="K18">
        <f>IF($W18="","",IFERROR(INDEX(월별근무지표[적용 급여병원],MATCH(INDEX(합계표[사번키],$W18)&amp;"|"&amp;대상월키,월별근무지표[키],0))&amp;"",IF(COUNTIF(기관표[사번키],INDEX(합계표[사번키],$W18))+COUNTIF(월별근무지표[사번키],INDEX(합계표[사번키],$W18))&gt;0,IFERROR(INDEX(기관표[급여지급병원(기준월)],MATCH(INDEX(합계표[사번키],$W18)&amp;"|"&amp;대상월키,기관표[키],0))&amp;"","—"),"—")))</f>
        <v/>
      </c>
      <c r="L18">
        <f>IF($W18="","",IF(NOT(COUNTIF(기관표[사번키],INDEX(합계표[사번키],$W18))+COUNTIF(월별근무지표[사번키],INDEX(합계표[사번키],$W18))&gt;0),"기관명단에 없음(다른 병원으로 발송)",IF($K18="—","대상월 기관명단 없음(추가 필요)",IF($K18="서울병원","해당","비해당"))))</f>
        <v/>
      </c>
      <c r="M18">
        <f>IF($W18="","",SUMIFS(상세표[06~07시],상세표[사번키],INDEX(합계표[사번키],$W18),상세표[반영월],대상월키,상세표[반영 기관],"서울병원"))</f>
        <v/>
      </c>
      <c r="N18">
        <f>IF($W18="","",SUMIFS(상세표[07~18시],상세표[사번키],INDEX(합계표[사번키],$W18),상세표[반영월],대상월키,상세표[반영 기관],"서울병원"))</f>
        <v/>
      </c>
      <c r="O18">
        <f>IF($W18="","",SUMIFS(상세표[18~22시],상세표[사번키],INDEX(합계표[사번키],$W18),상세표[반영월],대상월키,상세표[반영 기관],"서울병원"))</f>
        <v/>
      </c>
      <c r="P18">
        <f>IF($W18="","",SUMIFS(상세표[22~06시],상세표[사번키],INDEX(합계표[사번키],$W18),상세표[반영월],대상월키,상세표[반영 기관],"서울병원"))</f>
        <v/>
      </c>
      <c r="Q18">
        <f>IF($W18="","",SUM($M18:$P18))</f>
        <v/>
      </c>
      <c r="R18">
        <f>IF($W18="","",COUNTIFS(상세표[사번키],INDEX(합계표[사번키],$W18),상세표[반영월],대상월키,상세표[야간당직],1,상세표[야간 구분],"평일"))</f>
        <v/>
      </c>
      <c r="S18" s="4">
        <f>IF($W18="","",COUNTIFS(상세표[사번키],INDEX(합계표[사번키],$W18),상세표[반영월],대상월키,상세표[야간당직],1,상세표[야간 구분],"휴일"))</f>
        <v/>
      </c>
      <c r="T18">
        <f>IF($W18="","",COUNTIFS(상세표[사번키],INDEX(합계표[사번키],$W18),상세표[반영월],대상월키,상세표[야간당직],1,상세표[야간 구분],"평일",상세표[반영 기관],"서울병원"))</f>
        <v/>
      </c>
      <c r="U18">
        <f>IF($W18="","",COUNTIFS(상세표[사번키],INDEX(합계표[사번키],$W18),상세표[반영월],대상월키,상세표[야간당직],1,상세표[야간 구분],"휴일",상세표[반영 기관],"서울병원"))</f>
        <v/>
      </c>
      <c r="V18">
        <f>IF($W18="","",IF(ISNUMBER(MATCH(INDEX(합계표[사번키],$W18)&amp;"|"&amp;대상월키,월별근무지표[키],0)),"직접 입력",IF($K18="—","—","기관명단")))</f>
        <v/>
      </c>
      <c r="W18">
        <f>IFERROR(MATCH(13,합계표[판정순번],0),"")</f>
        <v/>
      </c>
      <c r="Y18">
        <f>IF($AB18="","",INDEX(상세표[사번],$AB18)&amp;"")</f>
        <v/>
      </c>
      <c r="Z18">
        <f>IF($AB18="","",INDEX(상세표[성명],$AB18)&amp;"")</f>
        <v/>
      </c>
      <c r="AA18">
        <f>IF($AB18="","",SUMIFS(상세표[기록 시간외],상세표[사번키],INDEX(상세표[사번키],$AB18),상세표[반영월],대상월키))</f>
        <v/>
      </c>
      <c r="AB18" s="4">
        <f>IFERROR(MATCH(13,상세표[합계없음순번],0),"")</f>
        <v/>
      </c>
    </row>
    <row r="19">
      <c r="A19">
        <f>IF($W19="","",INDEX(합계표[사번],$W19)&amp;"")</f>
        <v/>
      </c>
      <c r="B19">
        <f>IF($W19="","",INDEX(합계표[성명],$W19)&amp;"")</f>
        <v/>
      </c>
      <c r="C19">
        <f>IF($W19="","",INDEX(합계표[부서],$W19)&amp;"")</f>
        <v/>
      </c>
      <c r="D19">
        <f>IF($W19="","",INDEX(합계표[직위(통합)],$W19)&amp;"")</f>
        <v/>
      </c>
      <c r="E19">
        <f>IF($W19="","",SUMIFS(합계표[시스템 합계],합계표[사번키],INDEX(합계표[사번키],$W19)))</f>
        <v/>
      </c>
      <c r="F19">
        <f>IF($W19="","",SUMIFS(상세표[기록 시간외],상세표[사번키],INDEX(합계표[사번키],$W19),상세표[기록월],대상월키))</f>
        <v/>
      </c>
      <c r="G19">
        <f>IF($W19="","",IF(ABS($E19-$F19)&lt;0.01,"일치","불일치(차이 "&amp;TEXT($F19-$E19,"0.00")&amp;")"))</f>
        <v/>
      </c>
      <c r="H19">
        <f>IF($W19="","",SUMIFS(상세표[기록 시간외],상세표[사번키],INDEX(합계표[사번키],$W19),상세표[기록월],대상월키,상세표[반영월],"&lt;&gt;"&amp;대상월키))</f>
        <v/>
      </c>
      <c r="I19">
        <f>IF($W19="","",SUMIFS(상세표[기록 시간외],상세표[사번키],INDEX(합계표[사번키],$W19),상세표[기록월],"&lt;&gt;"&amp;대상월키,상세표[반영월],대상월키))</f>
        <v/>
      </c>
      <c r="J19">
        <f>IF($W19="","",SUMIFS(상세표[기록 시간외],상세표[사번키],INDEX(합계표[사번키],$W19),상세표[반영월],대상월키))</f>
        <v/>
      </c>
      <c r="K19">
        <f>IF($W19="","",IFERROR(INDEX(월별근무지표[적용 급여병원],MATCH(INDEX(합계표[사번키],$W19)&amp;"|"&amp;대상월키,월별근무지표[키],0))&amp;"",IF(COUNTIF(기관표[사번키],INDEX(합계표[사번키],$W19))+COUNTIF(월별근무지표[사번키],INDEX(합계표[사번키],$W19))&gt;0,IFERROR(INDEX(기관표[급여지급병원(기준월)],MATCH(INDEX(합계표[사번키],$W19)&amp;"|"&amp;대상월키,기관표[키],0))&amp;"","—"),"—")))</f>
        <v/>
      </c>
      <c r="L19">
        <f>IF($W19="","",IF(NOT(COUNTIF(기관표[사번키],INDEX(합계표[사번키],$W19))+COUNTIF(월별근무지표[사번키],INDEX(합계표[사번키],$W19))&gt;0),"기관명단에 없음(다른 병원으로 발송)",IF($K19="—","대상월 기관명단 없음(추가 필요)",IF($K19="서울병원","해당","비해당"))))</f>
        <v/>
      </c>
      <c r="M19">
        <f>IF($W19="","",SUMIFS(상세표[06~07시],상세표[사번키],INDEX(합계표[사번키],$W19),상세표[반영월],대상월키,상세표[반영 기관],"서울병원"))</f>
        <v/>
      </c>
      <c r="N19">
        <f>IF($W19="","",SUMIFS(상세표[07~18시],상세표[사번키],INDEX(합계표[사번키],$W19),상세표[반영월],대상월키,상세표[반영 기관],"서울병원"))</f>
        <v/>
      </c>
      <c r="O19">
        <f>IF($W19="","",SUMIFS(상세표[18~22시],상세표[사번키],INDEX(합계표[사번키],$W19),상세표[반영월],대상월키,상세표[반영 기관],"서울병원"))</f>
        <v/>
      </c>
      <c r="P19">
        <f>IF($W19="","",SUMIFS(상세표[22~06시],상세표[사번키],INDEX(합계표[사번키],$W19),상세표[반영월],대상월키,상세표[반영 기관],"서울병원"))</f>
        <v/>
      </c>
      <c r="Q19">
        <f>IF($W19="","",SUM($M19:$P19))</f>
        <v/>
      </c>
      <c r="R19">
        <f>IF($W19="","",COUNTIFS(상세표[사번키],INDEX(합계표[사번키],$W19),상세표[반영월],대상월키,상세표[야간당직],1,상세표[야간 구분],"평일"))</f>
        <v/>
      </c>
      <c r="S19" s="4">
        <f>IF($W19="","",COUNTIFS(상세표[사번키],INDEX(합계표[사번키],$W19),상세표[반영월],대상월키,상세표[야간당직],1,상세표[야간 구분],"휴일"))</f>
        <v/>
      </c>
      <c r="T19">
        <f>IF($W19="","",COUNTIFS(상세표[사번키],INDEX(합계표[사번키],$W19),상세표[반영월],대상월키,상세표[야간당직],1,상세표[야간 구분],"평일",상세표[반영 기관],"서울병원"))</f>
        <v/>
      </c>
      <c r="U19">
        <f>IF($W19="","",COUNTIFS(상세표[사번키],INDEX(합계표[사번키],$W19),상세표[반영월],대상월키,상세표[야간당직],1,상세표[야간 구분],"휴일",상세표[반영 기관],"서울병원"))</f>
        <v/>
      </c>
      <c r="V19">
        <f>IF($W19="","",IF(ISNUMBER(MATCH(INDEX(합계표[사번키],$W19)&amp;"|"&amp;대상월키,월별근무지표[키],0)),"직접 입력",IF($K19="—","—","기관명단")))</f>
        <v/>
      </c>
      <c r="W19">
        <f>IFERROR(MATCH(14,합계표[판정순번],0),"")</f>
        <v/>
      </c>
      <c r="Y19">
        <f>IF($AB19="","",INDEX(상세표[사번],$AB19)&amp;"")</f>
        <v/>
      </c>
      <c r="Z19">
        <f>IF($AB19="","",INDEX(상세표[성명],$AB19)&amp;"")</f>
        <v/>
      </c>
      <c r="AA19">
        <f>IF($AB19="","",SUMIFS(상세표[기록 시간외],상세표[사번키],INDEX(상세표[사번키],$AB19),상세표[반영월],대상월키))</f>
        <v/>
      </c>
      <c r="AB19" s="4">
        <f>IFERROR(MATCH(14,상세표[합계없음순번],0),"")</f>
        <v/>
      </c>
    </row>
    <row r="20">
      <c r="A20">
        <f>IF($W20="","",INDEX(합계표[사번],$W20)&amp;"")</f>
        <v/>
      </c>
      <c r="B20">
        <f>IF($W20="","",INDEX(합계표[성명],$W20)&amp;"")</f>
        <v/>
      </c>
      <c r="C20">
        <f>IF($W20="","",INDEX(합계표[부서],$W20)&amp;"")</f>
        <v/>
      </c>
      <c r="D20">
        <f>IF($W20="","",INDEX(합계표[직위(통합)],$W20)&amp;"")</f>
        <v/>
      </c>
      <c r="E20">
        <f>IF($W20="","",SUMIFS(합계표[시스템 합계],합계표[사번키],INDEX(합계표[사번키],$W20)))</f>
        <v/>
      </c>
      <c r="F20">
        <f>IF($W20="","",SUMIFS(상세표[기록 시간외],상세표[사번키],INDEX(합계표[사번키],$W20),상세표[기록월],대상월키))</f>
        <v/>
      </c>
      <c r="G20">
        <f>IF($W20="","",IF(ABS($E20-$F20)&lt;0.01,"일치","불일치(차이 "&amp;TEXT($F20-$E20,"0.00")&amp;")"))</f>
        <v/>
      </c>
      <c r="H20">
        <f>IF($W20="","",SUMIFS(상세표[기록 시간외],상세표[사번키],INDEX(합계표[사번키],$W20),상세표[기록월],대상월키,상세표[반영월],"&lt;&gt;"&amp;대상월키))</f>
        <v/>
      </c>
      <c r="I20">
        <f>IF($W20="","",SUMIFS(상세표[기록 시간외],상세표[사번키],INDEX(합계표[사번키],$W20),상세표[기록월],"&lt;&gt;"&amp;대상월키,상세표[반영월],대상월키))</f>
        <v/>
      </c>
      <c r="J20">
        <f>IF($W20="","",SUMIFS(상세표[기록 시간외],상세표[사번키],INDEX(합계표[사번키],$W20),상세표[반영월],대상월키))</f>
        <v/>
      </c>
      <c r="K20">
        <f>IF($W20="","",IFERROR(INDEX(월별근무지표[적용 급여병원],MATCH(INDEX(합계표[사번키],$W20)&amp;"|"&amp;대상월키,월별근무지표[키],0))&amp;"",IF(COUNTIF(기관표[사번키],INDEX(합계표[사번키],$W20))+COUNTIF(월별근무지표[사번키],INDEX(합계표[사번키],$W20))&gt;0,IFERROR(INDEX(기관표[급여지급병원(기준월)],MATCH(INDEX(합계표[사번키],$W20)&amp;"|"&amp;대상월키,기관표[키],0))&amp;"","—"),"—")))</f>
        <v/>
      </c>
      <c r="L20">
        <f>IF($W20="","",IF(NOT(COUNTIF(기관표[사번키],INDEX(합계표[사번키],$W20))+COUNTIF(월별근무지표[사번키],INDEX(합계표[사번키],$W20))&gt;0),"기관명단에 없음(다른 병원으로 발송)",IF($K20="—","대상월 기관명단 없음(추가 필요)",IF($K20="서울병원","해당","비해당"))))</f>
        <v/>
      </c>
      <c r="M20">
        <f>IF($W20="","",SUMIFS(상세표[06~07시],상세표[사번키],INDEX(합계표[사번키],$W20),상세표[반영월],대상월키,상세표[반영 기관],"서울병원"))</f>
        <v/>
      </c>
      <c r="N20">
        <f>IF($W20="","",SUMIFS(상세표[07~18시],상세표[사번키],INDEX(합계표[사번키],$W20),상세표[반영월],대상월키,상세표[반영 기관],"서울병원"))</f>
        <v/>
      </c>
      <c r="O20">
        <f>IF($W20="","",SUMIFS(상세표[18~22시],상세표[사번키],INDEX(합계표[사번키],$W20),상세표[반영월],대상월키,상세표[반영 기관],"서울병원"))</f>
        <v/>
      </c>
      <c r="P20">
        <f>IF($W20="","",SUMIFS(상세표[22~06시],상세표[사번키],INDEX(합계표[사번키],$W20),상세표[반영월],대상월키,상세표[반영 기관],"서울병원"))</f>
        <v/>
      </c>
      <c r="Q20">
        <f>IF($W20="","",SUM($M20:$P20))</f>
        <v/>
      </c>
      <c r="R20">
        <f>IF($W20="","",COUNTIFS(상세표[사번키],INDEX(합계표[사번키],$W20),상세표[반영월],대상월키,상세표[야간당직],1,상세표[야간 구분],"평일"))</f>
        <v/>
      </c>
      <c r="S20" s="4">
        <f>IF($W20="","",COUNTIFS(상세표[사번키],INDEX(합계표[사번키],$W20),상세표[반영월],대상월키,상세표[야간당직],1,상세표[야간 구분],"휴일"))</f>
        <v/>
      </c>
      <c r="T20">
        <f>IF($W20="","",COUNTIFS(상세표[사번키],INDEX(합계표[사번키],$W20),상세표[반영월],대상월키,상세표[야간당직],1,상세표[야간 구분],"평일",상세표[반영 기관],"서울병원"))</f>
        <v/>
      </c>
      <c r="U20">
        <f>IF($W20="","",COUNTIFS(상세표[사번키],INDEX(합계표[사번키],$W20),상세표[반영월],대상월키,상세표[야간당직],1,상세표[야간 구분],"휴일",상세표[반영 기관],"서울병원"))</f>
        <v/>
      </c>
      <c r="V20">
        <f>IF($W20="","",IF(ISNUMBER(MATCH(INDEX(합계표[사번키],$W20)&amp;"|"&amp;대상월키,월별근무지표[키],0)),"직접 입력",IF($K20="—","—","기관명단")))</f>
        <v/>
      </c>
      <c r="W20">
        <f>IFERROR(MATCH(15,합계표[판정순번],0),"")</f>
        <v/>
      </c>
      <c r="Y20">
        <f>IF($AB20="","",INDEX(상세표[사번],$AB20)&amp;"")</f>
        <v/>
      </c>
      <c r="Z20">
        <f>IF($AB20="","",INDEX(상세표[성명],$AB20)&amp;"")</f>
        <v/>
      </c>
      <c r="AA20">
        <f>IF($AB20="","",SUMIFS(상세표[기록 시간외],상세표[사번키],INDEX(상세표[사번키],$AB20),상세표[반영월],대상월키))</f>
        <v/>
      </c>
      <c r="AB20" s="4">
        <f>IFERROR(MATCH(15,상세표[합계없음순번],0),"")</f>
        <v/>
      </c>
    </row>
    <row r="21">
      <c r="A21">
        <f>IF($W21="","",INDEX(합계표[사번],$W21)&amp;"")</f>
        <v/>
      </c>
      <c r="B21">
        <f>IF($W21="","",INDEX(합계표[성명],$W21)&amp;"")</f>
        <v/>
      </c>
      <c r="C21">
        <f>IF($W21="","",INDEX(합계표[부서],$W21)&amp;"")</f>
        <v/>
      </c>
      <c r="D21">
        <f>IF($W21="","",INDEX(합계표[직위(통합)],$W21)&amp;"")</f>
        <v/>
      </c>
      <c r="E21">
        <f>IF($W21="","",SUMIFS(합계표[시스템 합계],합계표[사번키],INDEX(합계표[사번키],$W21)))</f>
        <v/>
      </c>
      <c r="F21">
        <f>IF($W21="","",SUMIFS(상세표[기록 시간외],상세표[사번키],INDEX(합계표[사번키],$W21),상세표[기록월],대상월키))</f>
        <v/>
      </c>
      <c r="G21">
        <f>IF($W21="","",IF(ABS($E21-$F21)&lt;0.01,"일치","불일치(차이 "&amp;TEXT($F21-$E21,"0.00")&amp;")"))</f>
        <v/>
      </c>
      <c r="H21">
        <f>IF($W21="","",SUMIFS(상세표[기록 시간외],상세표[사번키],INDEX(합계표[사번키],$W21),상세표[기록월],대상월키,상세표[반영월],"&lt;&gt;"&amp;대상월키))</f>
        <v/>
      </c>
      <c r="I21">
        <f>IF($W21="","",SUMIFS(상세표[기록 시간외],상세표[사번키],INDEX(합계표[사번키],$W21),상세표[기록월],"&lt;&gt;"&amp;대상월키,상세표[반영월],대상월키))</f>
        <v/>
      </c>
      <c r="J21">
        <f>IF($W21="","",SUMIFS(상세표[기록 시간외],상세표[사번키],INDEX(합계표[사번키],$W21),상세표[반영월],대상월키))</f>
        <v/>
      </c>
      <c r="K21">
        <f>IF($W21="","",IFERROR(INDEX(월별근무지표[적용 급여병원],MATCH(INDEX(합계표[사번키],$W21)&amp;"|"&amp;대상월키,월별근무지표[키],0))&amp;"",IF(COUNTIF(기관표[사번키],INDEX(합계표[사번키],$W21))+COUNTIF(월별근무지표[사번키],INDEX(합계표[사번키],$W21))&gt;0,IFERROR(INDEX(기관표[급여지급병원(기준월)],MATCH(INDEX(합계표[사번키],$W21)&amp;"|"&amp;대상월키,기관표[키],0))&amp;"","—"),"—")))</f>
        <v/>
      </c>
      <c r="L21">
        <f>IF($W21="","",IF(NOT(COUNTIF(기관표[사번키],INDEX(합계표[사번키],$W21))+COUNTIF(월별근무지표[사번키],INDEX(합계표[사번키],$W21))&gt;0),"기관명단에 없음(다른 병원으로 발송)",IF($K21="—","대상월 기관명단 없음(추가 필요)",IF($K21="서울병원","해당","비해당"))))</f>
        <v/>
      </c>
      <c r="M21">
        <f>IF($W21="","",SUMIFS(상세표[06~07시],상세표[사번키],INDEX(합계표[사번키],$W21),상세표[반영월],대상월키,상세표[반영 기관],"서울병원"))</f>
        <v/>
      </c>
      <c r="N21">
        <f>IF($W21="","",SUMIFS(상세표[07~18시],상세표[사번키],INDEX(합계표[사번키],$W21),상세표[반영월],대상월키,상세표[반영 기관],"서울병원"))</f>
        <v/>
      </c>
      <c r="O21">
        <f>IF($W21="","",SUMIFS(상세표[18~22시],상세표[사번키],INDEX(합계표[사번키],$W21),상세표[반영월],대상월키,상세표[반영 기관],"서울병원"))</f>
        <v/>
      </c>
      <c r="P21">
        <f>IF($W21="","",SUMIFS(상세표[22~06시],상세표[사번키],INDEX(합계표[사번키],$W21),상세표[반영월],대상월키,상세표[반영 기관],"서울병원"))</f>
        <v/>
      </c>
      <c r="Q21">
        <f>IF($W21="","",SUM($M21:$P21))</f>
        <v/>
      </c>
      <c r="R21">
        <f>IF($W21="","",COUNTIFS(상세표[사번키],INDEX(합계표[사번키],$W21),상세표[반영월],대상월키,상세표[야간당직],1,상세표[야간 구분],"평일"))</f>
        <v/>
      </c>
      <c r="S21" s="4">
        <f>IF($W21="","",COUNTIFS(상세표[사번키],INDEX(합계표[사번키],$W21),상세표[반영월],대상월키,상세표[야간당직],1,상세표[야간 구분],"휴일"))</f>
        <v/>
      </c>
      <c r="T21">
        <f>IF($W21="","",COUNTIFS(상세표[사번키],INDEX(합계표[사번키],$W21),상세표[반영월],대상월키,상세표[야간당직],1,상세표[야간 구분],"평일",상세표[반영 기관],"서울병원"))</f>
        <v/>
      </c>
      <c r="U21">
        <f>IF($W21="","",COUNTIFS(상세표[사번키],INDEX(합계표[사번키],$W21),상세표[반영월],대상월키,상세표[야간당직],1,상세표[야간 구분],"휴일",상세표[반영 기관],"서울병원"))</f>
        <v/>
      </c>
      <c r="V21">
        <f>IF($W21="","",IF(ISNUMBER(MATCH(INDEX(합계표[사번키],$W21)&amp;"|"&amp;대상월키,월별근무지표[키],0)),"직접 입력",IF($K21="—","—","기관명단")))</f>
        <v/>
      </c>
      <c r="W21">
        <f>IFERROR(MATCH(16,합계표[판정순번],0),"")</f>
        <v/>
      </c>
      <c r="Y21">
        <f>IF($AB21="","",INDEX(상세표[사번],$AB21)&amp;"")</f>
        <v/>
      </c>
      <c r="Z21">
        <f>IF($AB21="","",INDEX(상세표[성명],$AB21)&amp;"")</f>
        <v/>
      </c>
      <c r="AA21">
        <f>IF($AB21="","",SUMIFS(상세표[기록 시간외],상세표[사번키],INDEX(상세표[사번키],$AB21),상세표[반영월],대상월키))</f>
        <v/>
      </c>
      <c r="AB21" s="4">
        <f>IFERROR(MATCH(16,상세표[합계없음순번],0),"")</f>
        <v/>
      </c>
    </row>
    <row r="22">
      <c r="A22">
        <f>IF($W22="","",INDEX(합계표[사번],$W22)&amp;"")</f>
        <v/>
      </c>
      <c r="B22">
        <f>IF($W22="","",INDEX(합계표[성명],$W22)&amp;"")</f>
        <v/>
      </c>
      <c r="C22">
        <f>IF($W22="","",INDEX(합계표[부서],$W22)&amp;"")</f>
        <v/>
      </c>
      <c r="D22">
        <f>IF($W22="","",INDEX(합계표[직위(통합)],$W22)&amp;"")</f>
        <v/>
      </c>
      <c r="E22">
        <f>IF($W22="","",SUMIFS(합계표[시스템 합계],합계표[사번키],INDEX(합계표[사번키],$W22)))</f>
        <v/>
      </c>
      <c r="F22">
        <f>IF($W22="","",SUMIFS(상세표[기록 시간외],상세표[사번키],INDEX(합계표[사번키],$W22),상세표[기록월],대상월키))</f>
        <v/>
      </c>
      <c r="G22">
        <f>IF($W22="","",IF(ABS($E22-$F22)&lt;0.01,"일치","불일치(차이 "&amp;TEXT($F22-$E22,"0.00")&amp;")"))</f>
        <v/>
      </c>
      <c r="H22">
        <f>IF($W22="","",SUMIFS(상세표[기록 시간외],상세표[사번키],INDEX(합계표[사번키],$W22),상세표[기록월],대상월키,상세표[반영월],"&lt;&gt;"&amp;대상월키))</f>
        <v/>
      </c>
      <c r="I22">
        <f>IF($W22="","",SUMIFS(상세표[기록 시간외],상세표[사번키],INDEX(합계표[사번키],$W22),상세표[기록월],"&lt;&gt;"&amp;대상월키,상세표[반영월],대상월키))</f>
        <v/>
      </c>
      <c r="J22">
        <f>IF($W22="","",SUMIFS(상세표[기록 시간외],상세표[사번키],INDEX(합계표[사번키],$W22),상세표[반영월],대상월키))</f>
        <v/>
      </c>
      <c r="K22">
        <f>IF($W22="","",IFERROR(INDEX(월별근무지표[적용 급여병원],MATCH(INDEX(합계표[사번키],$W22)&amp;"|"&amp;대상월키,월별근무지표[키],0))&amp;"",IF(COUNTIF(기관표[사번키],INDEX(합계표[사번키],$W22))+COUNTIF(월별근무지표[사번키],INDEX(합계표[사번키],$W22))&gt;0,IFERROR(INDEX(기관표[급여지급병원(기준월)],MATCH(INDEX(합계표[사번키],$W22)&amp;"|"&amp;대상월키,기관표[키],0))&amp;"","—"),"—")))</f>
        <v/>
      </c>
      <c r="L22">
        <f>IF($W22="","",IF(NOT(COUNTIF(기관표[사번키],INDEX(합계표[사번키],$W22))+COUNTIF(월별근무지표[사번키],INDEX(합계표[사번키],$W22))&gt;0),"기관명단에 없음(다른 병원으로 발송)",IF($K22="—","대상월 기관명단 없음(추가 필요)",IF($K22="서울병원","해당","비해당"))))</f>
        <v/>
      </c>
      <c r="M22">
        <f>IF($W22="","",SUMIFS(상세표[06~07시],상세표[사번키],INDEX(합계표[사번키],$W22),상세표[반영월],대상월키,상세표[반영 기관],"서울병원"))</f>
        <v/>
      </c>
      <c r="N22">
        <f>IF($W22="","",SUMIFS(상세표[07~18시],상세표[사번키],INDEX(합계표[사번키],$W22),상세표[반영월],대상월키,상세표[반영 기관],"서울병원"))</f>
        <v/>
      </c>
      <c r="O22">
        <f>IF($W22="","",SUMIFS(상세표[18~22시],상세표[사번키],INDEX(합계표[사번키],$W22),상세표[반영월],대상월키,상세표[반영 기관],"서울병원"))</f>
        <v/>
      </c>
      <c r="P22">
        <f>IF($W22="","",SUMIFS(상세표[22~06시],상세표[사번키],INDEX(합계표[사번키],$W22),상세표[반영월],대상월키,상세표[반영 기관],"서울병원"))</f>
        <v/>
      </c>
      <c r="Q22">
        <f>IF($W22="","",SUM($M22:$P22))</f>
        <v/>
      </c>
      <c r="R22">
        <f>IF($W22="","",COUNTIFS(상세표[사번키],INDEX(합계표[사번키],$W22),상세표[반영월],대상월키,상세표[야간당직],1,상세표[야간 구분],"평일"))</f>
        <v/>
      </c>
      <c r="S22" s="4">
        <f>IF($W22="","",COUNTIFS(상세표[사번키],INDEX(합계표[사번키],$W22),상세표[반영월],대상월키,상세표[야간당직],1,상세표[야간 구분],"휴일"))</f>
        <v/>
      </c>
      <c r="T22">
        <f>IF($W22="","",COUNTIFS(상세표[사번키],INDEX(합계표[사번키],$W22),상세표[반영월],대상월키,상세표[야간당직],1,상세표[야간 구분],"평일",상세표[반영 기관],"서울병원"))</f>
        <v/>
      </c>
      <c r="U22">
        <f>IF($W22="","",COUNTIFS(상세표[사번키],INDEX(합계표[사번키],$W22),상세표[반영월],대상월키,상세표[야간당직],1,상세표[야간 구분],"휴일",상세표[반영 기관],"서울병원"))</f>
        <v/>
      </c>
      <c r="V22">
        <f>IF($W22="","",IF(ISNUMBER(MATCH(INDEX(합계표[사번키],$W22)&amp;"|"&amp;대상월키,월별근무지표[키],0)),"직접 입력",IF($K22="—","—","기관명단")))</f>
        <v/>
      </c>
      <c r="W22">
        <f>IFERROR(MATCH(17,합계표[판정순번],0),"")</f>
        <v/>
      </c>
      <c r="Y22">
        <f>IF($AB22="","",INDEX(상세표[사번],$AB22)&amp;"")</f>
        <v/>
      </c>
      <c r="Z22">
        <f>IF($AB22="","",INDEX(상세표[성명],$AB22)&amp;"")</f>
        <v/>
      </c>
      <c r="AA22">
        <f>IF($AB22="","",SUMIFS(상세표[기록 시간외],상세표[사번키],INDEX(상세표[사번키],$AB22),상세표[반영월],대상월키))</f>
        <v/>
      </c>
      <c r="AB22" s="4">
        <f>IFERROR(MATCH(17,상세표[합계없음순번],0),"")</f>
        <v/>
      </c>
    </row>
    <row r="23">
      <c r="A23">
        <f>IF($W23="","",INDEX(합계표[사번],$W23)&amp;"")</f>
        <v/>
      </c>
      <c r="B23">
        <f>IF($W23="","",INDEX(합계표[성명],$W23)&amp;"")</f>
        <v/>
      </c>
      <c r="C23">
        <f>IF($W23="","",INDEX(합계표[부서],$W23)&amp;"")</f>
        <v/>
      </c>
      <c r="D23">
        <f>IF($W23="","",INDEX(합계표[직위(통합)],$W23)&amp;"")</f>
        <v/>
      </c>
      <c r="E23">
        <f>IF($W23="","",SUMIFS(합계표[시스템 합계],합계표[사번키],INDEX(합계표[사번키],$W23)))</f>
        <v/>
      </c>
      <c r="F23">
        <f>IF($W23="","",SUMIFS(상세표[기록 시간외],상세표[사번키],INDEX(합계표[사번키],$W23),상세표[기록월],대상월키))</f>
        <v/>
      </c>
      <c r="G23">
        <f>IF($W23="","",IF(ABS($E23-$F23)&lt;0.01,"일치","불일치(차이 "&amp;TEXT($F23-$E23,"0.00")&amp;")"))</f>
        <v/>
      </c>
      <c r="H23">
        <f>IF($W23="","",SUMIFS(상세표[기록 시간외],상세표[사번키],INDEX(합계표[사번키],$W23),상세표[기록월],대상월키,상세표[반영월],"&lt;&gt;"&amp;대상월키))</f>
        <v/>
      </c>
      <c r="I23">
        <f>IF($W23="","",SUMIFS(상세표[기록 시간외],상세표[사번키],INDEX(합계표[사번키],$W23),상세표[기록월],"&lt;&gt;"&amp;대상월키,상세표[반영월],대상월키))</f>
        <v/>
      </c>
      <c r="J23">
        <f>IF($W23="","",SUMIFS(상세표[기록 시간외],상세표[사번키],INDEX(합계표[사번키],$W23),상세표[반영월],대상월키))</f>
        <v/>
      </c>
      <c r="K23">
        <f>IF($W23="","",IFERROR(INDEX(월별근무지표[적용 급여병원],MATCH(INDEX(합계표[사번키],$W23)&amp;"|"&amp;대상월키,월별근무지표[키],0))&amp;"",IF(COUNTIF(기관표[사번키],INDEX(합계표[사번키],$W23))+COUNTIF(월별근무지표[사번키],INDEX(합계표[사번키],$W23))&gt;0,IFERROR(INDEX(기관표[급여지급병원(기준월)],MATCH(INDEX(합계표[사번키],$W23)&amp;"|"&amp;대상월키,기관표[키],0))&amp;"","—"),"—")))</f>
        <v/>
      </c>
      <c r="L23">
        <f>IF($W23="","",IF(NOT(COUNTIF(기관표[사번키],INDEX(합계표[사번키],$W23))+COUNTIF(월별근무지표[사번키],INDEX(합계표[사번키],$W23))&gt;0),"기관명단에 없음(다른 병원으로 발송)",IF($K23="—","대상월 기관명단 없음(추가 필요)",IF($K23="서울병원","해당","비해당"))))</f>
        <v/>
      </c>
      <c r="M23">
        <f>IF($W23="","",SUMIFS(상세표[06~07시],상세표[사번키],INDEX(합계표[사번키],$W23),상세표[반영월],대상월키,상세표[반영 기관],"서울병원"))</f>
        <v/>
      </c>
      <c r="N23">
        <f>IF($W23="","",SUMIFS(상세표[07~18시],상세표[사번키],INDEX(합계표[사번키],$W23),상세표[반영월],대상월키,상세표[반영 기관],"서울병원"))</f>
        <v/>
      </c>
      <c r="O23">
        <f>IF($W23="","",SUMIFS(상세표[18~22시],상세표[사번키],INDEX(합계표[사번키],$W23),상세표[반영월],대상월키,상세표[반영 기관],"서울병원"))</f>
        <v/>
      </c>
      <c r="P23">
        <f>IF($W23="","",SUMIFS(상세표[22~06시],상세표[사번키],INDEX(합계표[사번키],$W23),상세표[반영월],대상월키,상세표[반영 기관],"서울병원"))</f>
        <v/>
      </c>
      <c r="Q23">
        <f>IF($W23="","",SUM($M23:$P23))</f>
        <v/>
      </c>
      <c r="R23">
        <f>IF($W23="","",COUNTIFS(상세표[사번키],INDEX(합계표[사번키],$W23),상세표[반영월],대상월키,상세표[야간당직],1,상세표[야간 구분],"평일"))</f>
        <v/>
      </c>
      <c r="S23" s="4">
        <f>IF($W23="","",COUNTIFS(상세표[사번키],INDEX(합계표[사번키],$W23),상세표[반영월],대상월키,상세표[야간당직],1,상세표[야간 구분],"휴일"))</f>
        <v/>
      </c>
      <c r="T23">
        <f>IF($W23="","",COUNTIFS(상세표[사번키],INDEX(합계표[사번키],$W23),상세표[반영월],대상월키,상세표[야간당직],1,상세표[야간 구분],"평일",상세표[반영 기관],"서울병원"))</f>
        <v/>
      </c>
      <c r="U23">
        <f>IF($W23="","",COUNTIFS(상세표[사번키],INDEX(합계표[사번키],$W23),상세표[반영월],대상월키,상세표[야간당직],1,상세표[야간 구분],"휴일",상세표[반영 기관],"서울병원"))</f>
        <v/>
      </c>
      <c r="V23">
        <f>IF($W23="","",IF(ISNUMBER(MATCH(INDEX(합계표[사번키],$W23)&amp;"|"&amp;대상월키,월별근무지표[키],0)),"직접 입력",IF($K23="—","—","기관명단")))</f>
        <v/>
      </c>
      <c r="W23">
        <f>IFERROR(MATCH(18,합계표[판정순번],0),"")</f>
        <v/>
      </c>
      <c r="Y23">
        <f>IF($AB23="","",INDEX(상세표[사번],$AB23)&amp;"")</f>
        <v/>
      </c>
      <c r="Z23">
        <f>IF($AB23="","",INDEX(상세표[성명],$AB23)&amp;"")</f>
        <v/>
      </c>
      <c r="AA23">
        <f>IF($AB23="","",SUMIFS(상세표[기록 시간외],상세표[사번키],INDEX(상세표[사번키],$AB23),상세표[반영월],대상월키))</f>
        <v/>
      </c>
      <c r="AB23" s="4">
        <f>IFERROR(MATCH(18,상세표[합계없음순번],0),"")</f>
        <v/>
      </c>
    </row>
    <row r="24">
      <c r="A24">
        <f>IF($W24="","",INDEX(합계표[사번],$W24)&amp;"")</f>
        <v/>
      </c>
      <c r="B24">
        <f>IF($W24="","",INDEX(합계표[성명],$W24)&amp;"")</f>
        <v/>
      </c>
      <c r="C24">
        <f>IF($W24="","",INDEX(합계표[부서],$W24)&amp;"")</f>
        <v/>
      </c>
      <c r="D24">
        <f>IF($W24="","",INDEX(합계표[직위(통합)],$W24)&amp;"")</f>
        <v/>
      </c>
      <c r="E24">
        <f>IF($W24="","",SUMIFS(합계표[시스템 합계],합계표[사번키],INDEX(합계표[사번키],$W24)))</f>
        <v/>
      </c>
      <c r="F24">
        <f>IF($W24="","",SUMIFS(상세표[기록 시간외],상세표[사번키],INDEX(합계표[사번키],$W24),상세표[기록월],대상월키))</f>
        <v/>
      </c>
      <c r="G24">
        <f>IF($W24="","",IF(ABS($E24-$F24)&lt;0.01,"일치","불일치(차이 "&amp;TEXT($F24-$E24,"0.00")&amp;")"))</f>
        <v/>
      </c>
      <c r="H24">
        <f>IF($W24="","",SUMIFS(상세표[기록 시간외],상세표[사번키],INDEX(합계표[사번키],$W24),상세표[기록월],대상월키,상세표[반영월],"&lt;&gt;"&amp;대상월키))</f>
        <v/>
      </c>
      <c r="I24">
        <f>IF($W24="","",SUMIFS(상세표[기록 시간외],상세표[사번키],INDEX(합계표[사번키],$W24),상세표[기록월],"&lt;&gt;"&amp;대상월키,상세표[반영월],대상월키))</f>
        <v/>
      </c>
      <c r="J24">
        <f>IF($W24="","",SUMIFS(상세표[기록 시간외],상세표[사번키],INDEX(합계표[사번키],$W24),상세표[반영월],대상월키))</f>
        <v/>
      </c>
      <c r="K24">
        <f>IF($W24="","",IFERROR(INDEX(월별근무지표[적용 급여병원],MATCH(INDEX(합계표[사번키],$W24)&amp;"|"&amp;대상월키,월별근무지표[키],0))&amp;"",IF(COUNTIF(기관표[사번키],INDEX(합계표[사번키],$W24))+COUNTIF(월별근무지표[사번키],INDEX(합계표[사번키],$W24))&gt;0,IFERROR(INDEX(기관표[급여지급병원(기준월)],MATCH(INDEX(합계표[사번키],$W24)&amp;"|"&amp;대상월키,기관표[키],0))&amp;"","—"),"—")))</f>
        <v/>
      </c>
      <c r="L24">
        <f>IF($W24="","",IF(NOT(COUNTIF(기관표[사번키],INDEX(합계표[사번키],$W24))+COUNTIF(월별근무지표[사번키],INDEX(합계표[사번키],$W24))&gt;0),"기관명단에 없음(다른 병원으로 발송)",IF($K24="—","대상월 기관명단 없음(추가 필요)",IF($K24="서울병원","해당","비해당"))))</f>
        <v/>
      </c>
      <c r="M24">
        <f>IF($W24="","",SUMIFS(상세표[06~07시],상세표[사번키],INDEX(합계표[사번키],$W24),상세표[반영월],대상월키,상세표[반영 기관],"서울병원"))</f>
        <v/>
      </c>
      <c r="N24">
        <f>IF($W24="","",SUMIFS(상세표[07~18시],상세표[사번키],INDEX(합계표[사번키],$W24),상세표[반영월],대상월키,상세표[반영 기관],"서울병원"))</f>
        <v/>
      </c>
      <c r="O24">
        <f>IF($W24="","",SUMIFS(상세표[18~22시],상세표[사번키],INDEX(합계표[사번키],$W24),상세표[반영월],대상월키,상세표[반영 기관],"서울병원"))</f>
        <v/>
      </c>
      <c r="P24">
        <f>IF($W24="","",SUMIFS(상세표[22~06시],상세표[사번키],INDEX(합계표[사번키],$W24),상세표[반영월],대상월키,상세표[반영 기관],"서울병원"))</f>
        <v/>
      </c>
      <c r="Q24">
        <f>IF($W24="","",SUM($M24:$P24))</f>
        <v/>
      </c>
      <c r="R24">
        <f>IF($W24="","",COUNTIFS(상세표[사번키],INDEX(합계표[사번키],$W24),상세표[반영월],대상월키,상세표[야간당직],1,상세표[야간 구분],"평일"))</f>
        <v/>
      </c>
      <c r="S24" s="4">
        <f>IF($W24="","",COUNTIFS(상세표[사번키],INDEX(합계표[사번키],$W24),상세표[반영월],대상월키,상세표[야간당직],1,상세표[야간 구분],"휴일"))</f>
        <v/>
      </c>
      <c r="T24">
        <f>IF($W24="","",COUNTIFS(상세표[사번키],INDEX(합계표[사번키],$W24),상세표[반영월],대상월키,상세표[야간당직],1,상세표[야간 구분],"평일",상세표[반영 기관],"서울병원"))</f>
        <v/>
      </c>
      <c r="U24">
        <f>IF($W24="","",COUNTIFS(상세표[사번키],INDEX(합계표[사번키],$W24),상세표[반영월],대상월키,상세표[야간당직],1,상세표[야간 구분],"휴일",상세표[반영 기관],"서울병원"))</f>
        <v/>
      </c>
      <c r="V24">
        <f>IF($W24="","",IF(ISNUMBER(MATCH(INDEX(합계표[사번키],$W24)&amp;"|"&amp;대상월키,월별근무지표[키],0)),"직접 입력",IF($K24="—","—","기관명단")))</f>
        <v/>
      </c>
      <c r="W24">
        <f>IFERROR(MATCH(19,합계표[판정순번],0),"")</f>
        <v/>
      </c>
      <c r="Y24">
        <f>IF($AB24="","",INDEX(상세표[사번],$AB24)&amp;"")</f>
        <v/>
      </c>
      <c r="Z24">
        <f>IF($AB24="","",INDEX(상세표[성명],$AB24)&amp;"")</f>
        <v/>
      </c>
      <c r="AA24">
        <f>IF($AB24="","",SUMIFS(상세표[기록 시간외],상세표[사번키],INDEX(상세표[사번키],$AB24),상세표[반영월],대상월키))</f>
        <v/>
      </c>
      <c r="AB24" s="4">
        <f>IFERROR(MATCH(19,상세표[합계없음순번],0),"")</f>
        <v/>
      </c>
    </row>
    <row r="25">
      <c r="A25">
        <f>IF($W25="","",INDEX(합계표[사번],$W25)&amp;"")</f>
        <v/>
      </c>
      <c r="B25">
        <f>IF($W25="","",INDEX(합계표[성명],$W25)&amp;"")</f>
        <v/>
      </c>
      <c r="C25">
        <f>IF($W25="","",INDEX(합계표[부서],$W25)&amp;"")</f>
        <v/>
      </c>
      <c r="D25">
        <f>IF($W25="","",INDEX(합계표[직위(통합)],$W25)&amp;"")</f>
        <v/>
      </c>
      <c r="E25">
        <f>IF($W25="","",SUMIFS(합계표[시스템 합계],합계표[사번키],INDEX(합계표[사번키],$W25)))</f>
        <v/>
      </c>
      <c r="F25">
        <f>IF($W25="","",SUMIFS(상세표[기록 시간외],상세표[사번키],INDEX(합계표[사번키],$W25),상세표[기록월],대상월키))</f>
        <v/>
      </c>
      <c r="G25">
        <f>IF($W25="","",IF(ABS($E25-$F25)&lt;0.01,"일치","불일치(차이 "&amp;TEXT($F25-$E25,"0.00")&amp;")"))</f>
        <v/>
      </c>
      <c r="H25">
        <f>IF($W25="","",SUMIFS(상세표[기록 시간외],상세표[사번키],INDEX(합계표[사번키],$W25),상세표[기록월],대상월키,상세표[반영월],"&lt;&gt;"&amp;대상월키))</f>
        <v/>
      </c>
      <c r="I25">
        <f>IF($W25="","",SUMIFS(상세표[기록 시간외],상세표[사번키],INDEX(합계표[사번키],$W25),상세표[기록월],"&lt;&gt;"&amp;대상월키,상세표[반영월],대상월키))</f>
        <v/>
      </c>
      <c r="J25">
        <f>IF($W25="","",SUMIFS(상세표[기록 시간외],상세표[사번키],INDEX(합계표[사번키],$W25),상세표[반영월],대상월키))</f>
        <v/>
      </c>
      <c r="K25">
        <f>IF($W25="","",IFERROR(INDEX(월별근무지표[적용 급여병원],MATCH(INDEX(합계표[사번키],$W25)&amp;"|"&amp;대상월키,월별근무지표[키],0))&amp;"",IF(COUNTIF(기관표[사번키],INDEX(합계표[사번키],$W25))+COUNTIF(월별근무지표[사번키],INDEX(합계표[사번키],$W25))&gt;0,IFERROR(INDEX(기관표[급여지급병원(기준월)],MATCH(INDEX(합계표[사번키],$W25)&amp;"|"&amp;대상월키,기관표[키],0))&amp;"","—"),"—")))</f>
        <v/>
      </c>
      <c r="L25">
        <f>IF($W25="","",IF(NOT(COUNTIF(기관표[사번키],INDEX(합계표[사번키],$W25))+COUNTIF(월별근무지표[사번키],INDEX(합계표[사번키],$W25))&gt;0),"기관명단에 없음(다른 병원으로 발송)",IF($K25="—","대상월 기관명단 없음(추가 필요)",IF($K25="서울병원","해당","비해당"))))</f>
        <v/>
      </c>
      <c r="M25">
        <f>IF($W25="","",SUMIFS(상세표[06~07시],상세표[사번키],INDEX(합계표[사번키],$W25),상세표[반영월],대상월키,상세표[반영 기관],"서울병원"))</f>
        <v/>
      </c>
      <c r="N25">
        <f>IF($W25="","",SUMIFS(상세표[07~18시],상세표[사번키],INDEX(합계표[사번키],$W25),상세표[반영월],대상월키,상세표[반영 기관],"서울병원"))</f>
        <v/>
      </c>
      <c r="O25">
        <f>IF($W25="","",SUMIFS(상세표[18~22시],상세표[사번키],INDEX(합계표[사번키],$W25),상세표[반영월],대상월키,상세표[반영 기관],"서울병원"))</f>
        <v/>
      </c>
      <c r="P25">
        <f>IF($W25="","",SUMIFS(상세표[22~06시],상세표[사번키],INDEX(합계표[사번키],$W25),상세표[반영월],대상월키,상세표[반영 기관],"서울병원"))</f>
        <v/>
      </c>
      <c r="Q25">
        <f>IF($W25="","",SUM($M25:$P25))</f>
        <v/>
      </c>
      <c r="R25">
        <f>IF($W25="","",COUNTIFS(상세표[사번키],INDEX(합계표[사번키],$W25),상세표[반영월],대상월키,상세표[야간당직],1,상세표[야간 구분],"평일"))</f>
        <v/>
      </c>
      <c r="S25" s="4">
        <f>IF($W25="","",COUNTIFS(상세표[사번키],INDEX(합계표[사번키],$W25),상세표[반영월],대상월키,상세표[야간당직],1,상세표[야간 구분],"휴일"))</f>
        <v/>
      </c>
      <c r="T25">
        <f>IF($W25="","",COUNTIFS(상세표[사번키],INDEX(합계표[사번키],$W25),상세표[반영월],대상월키,상세표[야간당직],1,상세표[야간 구분],"평일",상세표[반영 기관],"서울병원"))</f>
        <v/>
      </c>
      <c r="U25">
        <f>IF($W25="","",COUNTIFS(상세표[사번키],INDEX(합계표[사번키],$W25),상세표[반영월],대상월키,상세표[야간당직],1,상세표[야간 구분],"휴일",상세표[반영 기관],"서울병원"))</f>
        <v/>
      </c>
      <c r="V25">
        <f>IF($W25="","",IF(ISNUMBER(MATCH(INDEX(합계표[사번키],$W25)&amp;"|"&amp;대상월키,월별근무지표[키],0)),"직접 입력",IF($K25="—","—","기관명단")))</f>
        <v/>
      </c>
      <c r="W25">
        <f>IFERROR(MATCH(20,합계표[판정순번],0),"")</f>
        <v/>
      </c>
      <c r="Y25">
        <f>IF($AB25="","",INDEX(상세표[사번],$AB25)&amp;"")</f>
        <v/>
      </c>
      <c r="Z25">
        <f>IF($AB25="","",INDEX(상세표[성명],$AB25)&amp;"")</f>
        <v/>
      </c>
      <c r="AA25">
        <f>IF($AB25="","",SUMIFS(상세표[기록 시간외],상세표[사번키],INDEX(상세표[사번키],$AB25),상세표[반영월],대상월키))</f>
        <v/>
      </c>
      <c r="AB25" s="4">
        <f>IFERROR(MATCH(20,상세표[합계없음순번],0),"")</f>
        <v/>
      </c>
    </row>
    <row r="26">
      <c r="A26">
        <f>IF($W26="","",INDEX(합계표[사번],$W26)&amp;"")</f>
        <v/>
      </c>
      <c r="B26">
        <f>IF($W26="","",INDEX(합계표[성명],$W26)&amp;"")</f>
        <v/>
      </c>
      <c r="C26">
        <f>IF($W26="","",INDEX(합계표[부서],$W26)&amp;"")</f>
        <v/>
      </c>
      <c r="D26">
        <f>IF($W26="","",INDEX(합계표[직위(통합)],$W26)&amp;"")</f>
        <v/>
      </c>
      <c r="E26">
        <f>IF($W26="","",SUMIFS(합계표[시스템 합계],합계표[사번키],INDEX(합계표[사번키],$W26)))</f>
        <v/>
      </c>
      <c r="F26">
        <f>IF($W26="","",SUMIFS(상세표[기록 시간외],상세표[사번키],INDEX(합계표[사번키],$W26),상세표[기록월],대상월키))</f>
        <v/>
      </c>
      <c r="G26">
        <f>IF($W26="","",IF(ABS($E26-$F26)&lt;0.01,"일치","불일치(차이 "&amp;TEXT($F26-$E26,"0.00")&amp;")"))</f>
        <v/>
      </c>
      <c r="H26">
        <f>IF($W26="","",SUMIFS(상세표[기록 시간외],상세표[사번키],INDEX(합계표[사번키],$W26),상세표[기록월],대상월키,상세표[반영월],"&lt;&gt;"&amp;대상월키))</f>
        <v/>
      </c>
      <c r="I26">
        <f>IF($W26="","",SUMIFS(상세표[기록 시간외],상세표[사번키],INDEX(합계표[사번키],$W26),상세표[기록월],"&lt;&gt;"&amp;대상월키,상세표[반영월],대상월키))</f>
        <v/>
      </c>
      <c r="J26">
        <f>IF($W26="","",SUMIFS(상세표[기록 시간외],상세표[사번키],INDEX(합계표[사번키],$W26),상세표[반영월],대상월키))</f>
        <v/>
      </c>
      <c r="K26">
        <f>IF($W26="","",IFERROR(INDEX(월별근무지표[적용 급여병원],MATCH(INDEX(합계표[사번키],$W26)&amp;"|"&amp;대상월키,월별근무지표[키],0))&amp;"",IF(COUNTIF(기관표[사번키],INDEX(합계표[사번키],$W26))+COUNTIF(월별근무지표[사번키],INDEX(합계표[사번키],$W26))&gt;0,IFERROR(INDEX(기관표[급여지급병원(기준월)],MATCH(INDEX(합계표[사번키],$W26)&amp;"|"&amp;대상월키,기관표[키],0))&amp;"","—"),"—")))</f>
        <v/>
      </c>
      <c r="L26">
        <f>IF($W26="","",IF(NOT(COUNTIF(기관표[사번키],INDEX(합계표[사번키],$W26))+COUNTIF(월별근무지표[사번키],INDEX(합계표[사번키],$W26))&gt;0),"기관명단에 없음(다른 병원으로 발송)",IF($K26="—","대상월 기관명단 없음(추가 필요)",IF($K26="서울병원","해당","비해당"))))</f>
        <v/>
      </c>
      <c r="M26">
        <f>IF($W26="","",SUMIFS(상세표[06~07시],상세표[사번키],INDEX(합계표[사번키],$W26),상세표[반영월],대상월키,상세표[반영 기관],"서울병원"))</f>
        <v/>
      </c>
      <c r="N26">
        <f>IF($W26="","",SUMIFS(상세표[07~18시],상세표[사번키],INDEX(합계표[사번키],$W26),상세표[반영월],대상월키,상세표[반영 기관],"서울병원"))</f>
        <v/>
      </c>
      <c r="O26">
        <f>IF($W26="","",SUMIFS(상세표[18~22시],상세표[사번키],INDEX(합계표[사번키],$W26),상세표[반영월],대상월키,상세표[반영 기관],"서울병원"))</f>
        <v/>
      </c>
      <c r="P26">
        <f>IF($W26="","",SUMIFS(상세표[22~06시],상세표[사번키],INDEX(합계표[사번키],$W26),상세표[반영월],대상월키,상세표[반영 기관],"서울병원"))</f>
        <v/>
      </c>
      <c r="Q26">
        <f>IF($W26="","",SUM($M26:$P26))</f>
        <v/>
      </c>
      <c r="R26">
        <f>IF($W26="","",COUNTIFS(상세표[사번키],INDEX(합계표[사번키],$W26),상세표[반영월],대상월키,상세표[야간당직],1,상세표[야간 구분],"평일"))</f>
        <v/>
      </c>
      <c r="S26" s="4">
        <f>IF($W26="","",COUNTIFS(상세표[사번키],INDEX(합계표[사번키],$W26),상세표[반영월],대상월키,상세표[야간당직],1,상세표[야간 구분],"휴일"))</f>
        <v/>
      </c>
      <c r="T26">
        <f>IF($W26="","",COUNTIFS(상세표[사번키],INDEX(합계표[사번키],$W26),상세표[반영월],대상월키,상세표[야간당직],1,상세표[야간 구분],"평일",상세표[반영 기관],"서울병원"))</f>
        <v/>
      </c>
      <c r="U26">
        <f>IF($W26="","",COUNTIFS(상세표[사번키],INDEX(합계표[사번키],$W26),상세표[반영월],대상월키,상세표[야간당직],1,상세표[야간 구분],"휴일",상세표[반영 기관],"서울병원"))</f>
        <v/>
      </c>
      <c r="V26">
        <f>IF($W26="","",IF(ISNUMBER(MATCH(INDEX(합계표[사번키],$W26)&amp;"|"&amp;대상월키,월별근무지표[키],0)),"직접 입력",IF($K26="—","—","기관명단")))</f>
        <v/>
      </c>
      <c r="W26">
        <f>IFERROR(MATCH(21,합계표[판정순번],0),"")</f>
        <v/>
      </c>
      <c r="Y26">
        <f>IF($AB26="","",INDEX(상세표[사번],$AB26)&amp;"")</f>
        <v/>
      </c>
      <c r="Z26">
        <f>IF($AB26="","",INDEX(상세표[성명],$AB26)&amp;"")</f>
        <v/>
      </c>
      <c r="AA26">
        <f>IF($AB26="","",SUMIFS(상세표[기록 시간외],상세표[사번키],INDEX(상세표[사번키],$AB26),상세표[반영월],대상월키))</f>
        <v/>
      </c>
      <c r="AB26" s="4">
        <f>IFERROR(MATCH(21,상세표[합계없음순번],0),"")</f>
        <v/>
      </c>
    </row>
    <row r="27">
      <c r="A27">
        <f>IF($W27="","",INDEX(합계표[사번],$W27)&amp;"")</f>
        <v/>
      </c>
      <c r="B27">
        <f>IF($W27="","",INDEX(합계표[성명],$W27)&amp;"")</f>
        <v/>
      </c>
      <c r="C27">
        <f>IF($W27="","",INDEX(합계표[부서],$W27)&amp;"")</f>
        <v/>
      </c>
      <c r="D27">
        <f>IF($W27="","",INDEX(합계표[직위(통합)],$W27)&amp;"")</f>
        <v/>
      </c>
      <c r="E27">
        <f>IF($W27="","",SUMIFS(합계표[시스템 합계],합계표[사번키],INDEX(합계표[사번키],$W27)))</f>
        <v/>
      </c>
      <c r="F27">
        <f>IF($W27="","",SUMIFS(상세표[기록 시간외],상세표[사번키],INDEX(합계표[사번키],$W27),상세표[기록월],대상월키))</f>
        <v/>
      </c>
      <c r="G27">
        <f>IF($W27="","",IF(ABS($E27-$F27)&lt;0.01,"일치","불일치(차이 "&amp;TEXT($F27-$E27,"0.00")&amp;")"))</f>
        <v/>
      </c>
      <c r="H27">
        <f>IF($W27="","",SUMIFS(상세표[기록 시간외],상세표[사번키],INDEX(합계표[사번키],$W27),상세표[기록월],대상월키,상세표[반영월],"&lt;&gt;"&amp;대상월키))</f>
        <v/>
      </c>
      <c r="I27">
        <f>IF($W27="","",SUMIFS(상세표[기록 시간외],상세표[사번키],INDEX(합계표[사번키],$W27),상세표[기록월],"&lt;&gt;"&amp;대상월키,상세표[반영월],대상월키))</f>
        <v/>
      </c>
      <c r="J27">
        <f>IF($W27="","",SUMIFS(상세표[기록 시간외],상세표[사번키],INDEX(합계표[사번키],$W27),상세표[반영월],대상월키))</f>
        <v/>
      </c>
      <c r="K27">
        <f>IF($W27="","",IFERROR(INDEX(월별근무지표[적용 급여병원],MATCH(INDEX(합계표[사번키],$W27)&amp;"|"&amp;대상월키,월별근무지표[키],0))&amp;"",IF(COUNTIF(기관표[사번키],INDEX(합계표[사번키],$W27))+COUNTIF(월별근무지표[사번키],INDEX(합계표[사번키],$W27))&gt;0,IFERROR(INDEX(기관표[급여지급병원(기준월)],MATCH(INDEX(합계표[사번키],$W27)&amp;"|"&amp;대상월키,기관표[키],0))&amp;"","—"),"—")))</f>
        <v/>
      </c>
      <c r="L27">
        <f>IF($W27="","",IF(NOT(COUNTIF(기관표[사번키],INDEX(합계표[사번키],$W27))+COUNTIF(월별근무지표[사번키],INDEX(합계표[사번키],$W27))&gt;0),"기관명단에 없음(다른 병원으로 발송)",IF($K27="—","대상월 기관명단 없음(추가 필요)",IF($K27="서울병원","해당","비해당"))))</f>
        <v/>
      </c>
      <c r="M27">
        <f>IF($W27="","",SUMIFS(상세표[06~07시],상세표[사번키],INDEX(합계표[사번키],$W27),상세표[반영월],대상월키,상세표[반영 기관],"서울병원"))</f>
        <v/>
      </c>
      <c r="N27">
        <f>IF($W27="","",SUMIFS(상세표[07~18시],상세표[사번키],INDEX(합계표[사번키],$W27),상세표[반영월],대상월키,상세표[반영 기관],"서울병원"))</f>
        <v/>
      </c>
      <c r="O27">
        <f>IF($W27="","",SUMIFS(상세표[18~22시],상세표[사번키],INDEX(합계표[사번키],$W27),상세표[반영월],대상월키,상세표[반영 기관],"서울병원"))</f>
        <v/>
      </c>
      <c r="P27">
        <f>IF($W27="","",SUMIFS(상세표[22~06시],상세표[사번키],INDEX(합계표[사번키],$W27),상세표[반영월],대상월키,상세표[반영 기관],"서울병원"))</f>
        <v/>
      </c>
      <c r="Q27">
        <f>IF($W27="","",SUM($M27:$P27))</f>
        <v/>
      </c>
      <c r="R27">
        <f>IF($W27="","",COUNTIFS(상세표[사번키],INDEX(합계표[사번키],$W27),상세표[반영월],대상월키,상세표[야간당직],1,상세표[야간 구분],"평일"))</f>
        <v/>
      </c>
      <c r="S27" s="4">
        <f>IF($W27="","",COUNTIFS(상세표[사번키],INDEX(합계표[사번키],$W27),상세표[반영월],대상월키,상세표[야간당직],1,상세표[야간 구분],"휴일"))</f>
        <v/>
      </c>
      <c r="T27">
        <f>IF($W27="","",COUNTIFS(상세표[사번키],INDEX(합계표[사번키],$W27),상세표[반영월],대상월키,상세표[야간당직],1,상세표[야간 구분],"평일",상세표[반영 기관],"서울병원"))</f>
        <v/>
      </c>
      <c r="U27">
        <f>IF($W27="","",COUNTIFS(상세표[사번키],INDEX(합계표[사번키],$W27),상세표[반영월],대상월키,상세표[야간당직],1,상세표[야간 구분],"휴일",상세표[반영 기관],"서울병원"))</f>
        <v/>
      </c>
      <c r="V27">
        <f>IF($W27="","",IF(ISNUMBER(MATCH(INDEX(합계표[사번키],$W27)&amp;"|"&amp;대상월키,월별근무지표[키],0)),"직접 입력",IF($K27="—","—","기관명단")))</f>
        <v/>
      </c>
      <c r="W27">
        <f>IFERROR(MATCH(22,합계표[판정순번],0),"")</f>
        <v/>
      </c>
      <c r="Y27">
        <f>IF($AB27="","",INDEX(상세표[사번],$AB27)&amp;"")</f>
        <v/>
      </c>
      <c r="Z27">
        <f>IF($AB27="","",INDEX(상세표[성명],$AB27)&amp;"")</f>
        <v/>
      </c>
      <c r="AA27">
        <f>IF($AB27="","",SUMIFS(상세표[기록 시간외],상세표[사번키],INDEX(상세표[사번키],$AB27),상세표[반영월],대상월키))</f>
        <v/>
      </c>
      <c r="AB27" s="4">
        <f>IFERROR(MATCH(22,상세표[합계없음순번],0),"")</f>
        <v/>
      </c>
    </row>
    <row r="28">
      <c r="A28">
        <f>IF($W28="","",INDEX(합계표[사번],$W28)&amp;"")</f>
        <v/>
      </c>
      <c r="B28">
        <f>IF($W28="","",INDEX(합계표[성명],$W28)&amp;"")</f>
        <v/>
      </c>
      <c r="C28">
        <f>IF($W28="","",INDEX(합계표[부서],$W28)&amp;"")</f>
        <v/>
      </c>
      <c r="D28">
        <f>IF($W28="","",INDEX(합계표[직위(통합)],$W28)&amp;"")</f>
        <v/>
      </c>
      <c r="E28">
        <f>IF($W28="","",SUMIFS(합계표[시스템 합계],합계표[사번키],INDEX(합계표[사번키],$W28)))</f>
        <v/>
      </c>
      <c r="F28">
        <f>IF($W28="","",SUMIFS(상세표[기록 시간외],상세표[사번키],INDEX(합계표[사번키],$W28),상세표[기록월],대상월키))</f>
        <v/>
      </c>
      <c r="G28">
        <f>IF($W28="","",IF(ABS($E28-$F28)&lt;0.01,"일치","불일치(차이 "&amp;TEXT($F28-$E28,"0.00")&amp;")"))</f>
        <v/>
      </c>
      <c r="H28">
        <f>IF($W28="","",SUMIFS(상세표[기록 시간외],상세표[사번키],INDEX(합계표[사번키],$W28),상세표[기록월],대상월키,상세표[반영월],"&lt;&gt;"&amp;대상월키))</f>
        <v/>
      </c>
      <c r="I28">
        <f>IF($W28="","",SUMIFS(상세표[기록 시간외],상세표[사번키],INDEX(합계표[사번키],$W28),상세표[기록월],"&lt;&gt;"&amp;대상월키,상세표[반영월],대상월키))</f>
        <v/>
      </c>
      <c r="J28">
        <f>IF($W28="","",SUMIFS(상세표[기록 시간외],상세표[사번키],INDEX(합계표[사번키],$W28),상세표[반영월],대상월키))</f>
        <v/>
      </c>
      <c r="K28">
        <f>IF($W28="","",IFERROR(INDEX(월별근무지표[적용 급여병원],MATCH(INDEX(합계표[사번키],$W28)&amp;"|"&amp;대상월키,월별근무지표[키],0))&amp;"",IF(COUNTIF(기관표[사번키],INDEX(합계표[사번키],$W28))+COUNTIF(월별근무지표[사번키],INDEX(합계표[사번키],$W28))&gt;0,IFERROR(INDEX(기관표[급여지급병원(기준월)],MATCH(INDEX(합계표[사번키],$W28)&amp;"|"&amp;대상월키,기관표[키],0))&amp;"","—"),"—")))</f>
        <v/>
      </c>
      <c r="L28">
        <f>IF($W28="","",IF(NOT(COUNTIF(기관표[사번키],INDEX(합계표[사번키],$W28))+COUNTIF(월별근무지표[사번키],INDEX(합계표[사번키],$W28))&gt;0),"기관명단에 없음(다른 병원으로 발송)",IF($K28="—","대상월 기관명단 없음(추가 필요)",IF($K28="서울병원","해당","비해당"))))</f>
        <v/>
      </c>
      <c r="M28">
        <f>IF($W28="","",SUMIFS(상세표[06~07시],상세표[사번키],INDEX(합계표[사번키],$W28),상세표[반영월],대상월키,상세표[반영 기관],"서울병원"))</f>
        <v/>
      </c>
      <c r="N28">
        <f>IF($W28="","",SUMIFS(상세표[07~18시],상세표[사번키],INDEX(합계표[사번키],$W28),상세표[반영월],대상월키,상세표[반영 기관],"서울병원"))</f>
        <v/>
      </c>
      <c r="O28">
        <f>IF($W28="","",SUMIFS(상세표[18~22시],상세표[사번키],INDEX(합계표[사번키],$W28),상세표[반영월],대상월키,상세표[반영 기관],"서울병원"))</f>
        <v/>
      </c>
      <c r="P28">
        <f>IF($W28="","",SUMIFS(상세표[22~06시],상세표[사번키],INDEX(합계표[사번키],$W28),상세표[반영월],대상월키,상세표[반영 기관],"서울병원"))</f>
        <v/>
      </c>
      <c r="Q28">
        <f>IF($W28="","",SUM($M28:$P28))</f>
        <v/>
      </c>
      <c r="R28">
        <f>IF($W28="","",COUNTIFS(상세표[사번키],INDEX(합계표[사번키],$W28),상세표[반영월],대상월키,상세표[야간당직],1,상세표[야간 구분],"평일"))</f>
        <v/>
      </c>
      <c r="S28" s="4">
        <f>IF($W28="","",COUNTIFS(상세표[사번키],INDEX(합계표[사번키],$W28),상세표[반영월],대상월키,상세표[야간당직],1,상세표[야간 구분],"휴일"))</f>
        <v/>
      </c>
      <c r="T28">
        <f>IF($W28="","",COUNTIFS(상세표[사번키],INDEX(합계표[사번키],$W28),상세표[반영월],대상월키,상세표[야간당직],1,상세표[야간 구분],"평일",상세표[반영 기관],"서울병원"))</f>
        <v/>
      </c>
      <c r="U28">
        <f>IF($W28="","",COUNTIFS(상세표[사번키],INDEX(합계표[사번키],$W28),상세표[반영월],대상월키,상세표[야간당직],1,상세표[야간 구분],"휴일",상세표[반영 기관],"서울병원"))</f>
        <v/>
      </c>
      <c r="V28">
        <f>IF($W28="","",IF(ISNUMBER(MATCH(INDEX(합계표[사번키],$W28)&amp;"|"&amp;대상월키,월별근무지표[키],0)),"직접 입력",IF($K28="—","—","기관명단")))</f>
        <v/>
      </c>
      <c r="W28">
        <f>IFERROR(MATCH(23,합계표[판정순번],0),"")</f>
        <v/>
      </c>
      <c r="Y28">
        <f>IF($AB28="","",INDEX(상세표[사번],$AB28)&amp;"")</f>
        <v/>
      </c>
      <c r="Z28">
        <f>IF($AB28="","",INDEX(상세표[성명],$AB28)&amp;"")</f>
        <v/>
      </c>
      <c r="AA28">
        <f>IF($AB28="","",SUMIFS(상세표[기록 시간외],상세표[사번키],INDEX(상세표[사번키],$AB28),상세표[반영월],대상월키))</f>
        <v/>
      </c>
      <c r="AB28" s="4">
        <f>IFERROR(MATCH(23,상세표[합계없음순번],0),"")</f>
        <v/>
      </c>
    </row>
    <row r="29">
      <c r="A29">
        <f>IF($W29="","",INDEX(합계표[사번],$W29)&amp;"")</f>
        <v/>
      </c>
      <c r="B29">
        <f>IF($W29="","",INDEX(합계표[성명],$W29)&amp;"")</f>
        <v/>
      </c>
      <c r="C29">
        <f>IF($W29="","",INDEX(합계표[부서],$W29)&amp;"")</f>
        <v/>
      </c>
      <c r="D29">
        <f>IF($W29="","",INDEX(합계표[직위(통합)],$W29)&amp;"")</f>
        <v/>
      </c>
      <c r="E29">
        <f>IF($W29="","",SUMIFS(합계표[시스템 합계],합계표[사번키],INDEX(합계표[사번키],$W29)))</f>
        <v/>
      </c>
      <c r="F29">
        <f>IF($W29="","",SUMIFS(상세표[기록 시간외],상세표[사번키],INDEX(합계표[사번키],$W29),상세표[기록월],대상월키))</f>
        <v/>
      </c>
      <c r="G29">
        <f>IF($W29="","",IF(ABS($E29-$F29)&lt;0.01,"일치","불일치(차이 "&amp;TEXT($F29-$E29,"0.00")&amp;")"))</f>
        <v/>
      </c>
      <c r="H29">
        <f>IF($W29="","",SUMIFS(상세표[기록 시간외],상세표[사번키],INDEX(합계표[사번키],$W29),상세표[기록월],대상월키,상세표[반영월],"&lt;&gt;"&amp;대상월키))</f>
        <v/>
      </c>
      <c r="I29">
        <f>IF($W29="","",SUMIFS(상세표[기록 시간외],상세표[사번키],INDEX(합계표[사번키],$W29),상세표[기록월],"&lt;&gt;"&amp;대상월키,상세표[반영월],대상월키))</f>
        <v/>
      </c>
      <c r="J29">
        <f>IF($W29="","",SUMIFS(상세표[기록 시간외],상세표[사번키],INDEX(합계표[사번키],$W29),상세표[반영월],대상월키))</f>
        <v/>
      </c>
      <c r="K29">
        <f>IF($W29="","",IFERROR(INDEX(월별근무지표[적용 급여병원],MATCH(INDEX(합계표[사번키],$W29)&amp;"|"&amp;대상월키,월별근무지표[키],0))&amp;"",IF(COUNTIF(기관표[사번키],INDEX(합계표[사번키],$W29))+COUNTIF(월별근무지표[사번키],INDEX(합계표[사번키],$W29))&gt;0,IFERROR(INDEX(기관표[급여지급병원(기준월)],MATCH(INDEX(합계표[사번키],$W29)&amp;"|"&amp;대상월키,기관표[키],0))&amp;"","—"),"—")))</f>
        <v/>
      </c>
      <c r="L29">
        <f>IF($W29="","",IF(NOT(COUNTIF(기관표[사번키],INDEX(합계표[사번키],$W29))+COUNTIF(월별근무지표[사번키],INDEX(합계표[사번키],$W29))&gt;0),"기관명단에 없음(다른 병원으로 발송)",IF($K29="—","대상월 기관명단 없음(추가 필요)",IF($K29="서울병원","해당","비해당"))))</f>
        <v/>
      </c>
      <c r="M29">
        <f>IF($W29="","",SUMIFS(상세표[06~07시],상세표[사번키],INDEX(합계표[사번키],$W29),상세표[반영월],대상월키,상세표[반영 기관],"서울병원"))</f>
        <v/>
      </c>
      <c r="N29">
        <f>IF($W29="","",SUMIFS(상세표[07~18시],상세표[사번키],INDEX(합계표[사번키],$W29),상세표[반영월],대상월키,상세표[반영 기관],"서울병원"))</f>
        <v/>
      </c>
      <c r="O29">
        <f>IF($W29="","",SUMIFS(상세표[18~22시],상세표[사번키],INDEX(합계표[사번키],$W29),상세표[반영월],대상월키,상세표[반영 기관],"서울병원"))</f>
        <v/>
      </c>
      <c r="P29">
        <f>IF($W29="","",SUMIFS(상세표[22~06시],상세표[사번키],INDEX(합계표[사번키],$W29),상세표[반영월],대상월키,상세표[반영 기관],"서울병원"))</f>
        <v/>
      </c>
      <c r="Q29">
        <f>IF($W29="","",SUM($M29:$P29))</f>
        <v/>
      </c>
      <c r="R29">
        <f>IF($W29="","",COUNTIFS(상세표[사번키],INDEX(합계표[사번키],$W29),상세표[반영월],대상월키,상세표[야간당직],1,상세표[야간 구분],"평일"))</f>
        <v/>
      </c>
      <c r="S29" s="4">
        <f>IF($W29="","",COUNTIFS(상세표[사번키],INDEX(합계표[사번키],$W29),상세표[반영월],대상월키,상세표[야간당직],1,상세표[야간 구분],"휴일"))</f>
        <v/>
      </c>
      <c r="T29">
        <f>IF($W29="","",COUNTIFS(상세표[사번키],INDEX(합계표[사번키],$W29),상세표[반영월],대상월키,상세표[야간당직],1,상세표[야간 구분],"평일",상세표[반영 기관],"서울병원"))</f>
        <v/>
      </c>
      <c r="U29">
        <f>IF($W29="","",COUNTIFS(상세표[사번키],INDEX(합계표[사번키],$W29),상세표[반영월],대상월키,상세표[야간당직],1,상세표[야간 구분],"휴일",상세표[반영 기관],"서울병원"))</f>
        <v/>
      </c>
      <c r="V29">
        <f>IF($W29="","",IF(ISNUMBER(MATCH(INDEX(합계표[사번키],$W29)&amp;"|"&amp;대상월키,월별근무지표[키],0)),"직접 입력",IF($K29="—","—","기관명단")))</f>
        <v/>
      </c>
      <c r="W29">
        <f>IFERROR(MATCH(24,합계표[판정순번],0),"")</f>
        <v/>
      </c>
      <c r="Y29">
        <f>IF($AB29="","",INDEX(상세표[사번],$AB29)&amp;"")</f>
        <v/>
      </c>
      <c r="Z29">
        <f>IF($AB29="","",INDEX(상세표[성명],$AB29)&amp;"")</f>
        <v/>
      </c>
      <c r="AA29">
        <f>IF($AB29="","",SUMIFS(상세표[기록 시간외],상세표[사번키],INDEX(상세표[사번키],$AB29),상세표[반영월],대상월키))</f>
        <v/>
      </c>
      <c r="AB29" s="4">
        <f>IFERROR(MATCH(24,상세표[합계없음순번],0),"")</f>
        <v/>
      </c>
    </row>
    <row r="30">
      <c r="A30">
        <f>IF($W30="","",INDEX(합계표[사번],$W30)&amp;"")</f>
        <v/>
      </c>
      <c r="B30">
        <f>IF($W30="","",INDEX(합계표[성명],$W30)&amp;"")</f>
        <v/>
      </c>
      <c r="C30">
        <f>IF($W30="","",INDEX(합계표[부서],$W30)&amp;"")</f>
        <v/>
      </c>
      <c r="D30">
        <f>IF($W30="","",INDEX(합계표[직위(통합)],$W30)&amp;"")</f>
        <v/>
      </c>
      <c r="E30">
        <f>IF($W30="","",SUMIFS(합계표[시스템 합계],합계표[사번키],INDEX(합계표[사번키],$W30)))</f>
        <v/>
      </c>
      <c r="F30">
        <f>IF($W30="","",SUMIFS(상세표[기록 시간외],상세표[사번키],INDEX(합계표[사번키],$W30),상세표[기록월],대상월키))</f>
        <v/>
      </c>
      <c r="G30">
        <f>IF($W30="","",IF(ABS($E30-$F30)&lt;0.01,"일치","불일치(차이 "&amp;TEXT($F30-$E30,"0.00")&amp;")"))</f>
        <v/>
      </c>
      <c r="H30">
        <f>IF($W30="","",SUMIFS(상세표[기록 시간외],상세표[사번키],INDEX(합계표[사번키],$W30),상세표[기록월],대상월키,상세표[반영월],"&lt;&gt;"&amp;대상월키))</f>
        <v/>
      </c>
      <c r="I30">
        <f>IF($W30="","",SUMIFS(상세표[기록 시간외],상세표[사번키],INDEX(합계표[사번키],$W30),상세표[기록월],"&lt;&gt;"&amp;대상월키,상세표[반영월],대상월키))</f>
        <v/>
      </c>
      <c r="J30">
        <f>IF($W30="","",SUMIFS(상세표[기록 시간외],상세표[사번키],INDEX(합계표[사번키],$W30),상세표[반영월],대상월키))</f>
        <v/>
      </c>
      <c r="K30">
        <f>IF($W30="","",IFERROR(INDEX(월별근무지표[적용 급여병원],MATCH(INDEX(합계표[사번키],$W30)&amp;"|"&amp;대상월키,월별근무지표[키],0))&amp;"",IF(COUNTIF(기관표[사번키],INDEX(합계표[사번키],$W30))+COUNTIF(월별근무지표[사번키],INDEX(합계표[사번키],$W30))&gt;0,IFERROR(INDEX(기관표[급여지급병원(기준월)],MATCH(INDEX(합계표[사번키],$W30)&amp;"|"&amp;대상월키,기관표[키],0))&amp;"","—"),"—")))</f>
        <v/>
      </c>
      <c r="L30">
        <f>IF($W30="","",IF(NOT(COUNTIF(기관표[사번키],INDEX(합계표[사번키],$W30))+COUNTIF(월별근무지표[사번키],INDEX(합계표[사번키],$W30))&gt;0),"기관명단에 없음(다른 병원으로 발송)",IF($K30="—","대상월 기관명단 없음(추가 필요)",IF($K30="서울병원","해당","비해당"))))</f>
        <v/>
      </c>
      <c r="M30">
        <f>IF($W30="","",SUMIFS(상세표[06~07시],상세표[사번키],INDEX(합계표[사번키],$W30),상세표[반영월],대상월키,상세표[반영 기관],"서울병원"))</f>
        <v/>
      </c>
      <c r="N30">
        <f>IF($W30="","",SUMIFS(상세표[07~18시],상세표[사번키],INDEX(합계표[사번키],$W30),상세표[반영월],대상월키,상세표[반영 기관],"서울병원"))</f>
        <v/>
      </c>
      <c r="O30">
        <f>IF($W30="","",SUMIFS(상세표[18~22시],상세표[사번키],INDEX(합계표[사번키],$W30),상세표[반영월],대상월키,상세표[반영 기관],"서울병원"))</f>
        <v/>
      </c>
      <c r="P30">
        <f>IF($W30="","",SUMIFS(상세표[22~06시],상세표[사번키],INDEX(합계표[사번키],$W30),상세표[반영월],대상월키,상세표[반영 기관],"서울병원"))</f>
        <v/>
      </c>
      <c r="Q30">
        <f>IF($W30="","",SUM($M30:$P30))</f>
        <v/>
      </c>
      <c r="R30">
        <f>IF($W30="","",COUNTIFS(상세표[사번키],INDEX(합계표[사번키],$W30),상세표[반영월],대상월키,상세표[야간당직],1,상세표[야간 구분],"평일"))</f>
        <v/>
      </c>
      <c r="S30" s="4">
        <f>IF($W30="","",COUNTIFS(상세표[사번키],INDEX(합계표[사번키],$W30),상세표[반영월],대상월키,상세표[야간당직],1,상세표[야간 구분],"휴일"))</f>
        <v/>
      </c>
      <c r="T30">
        <f>IF($W30="","",COUNTIFS(상세표[사번키],INDEX(합계표[사번키],$W30),상세표[반영월],대상월키,상세표[야간당직],1,상세표[야간 구분],"평일",상세표[반영 기관],"서울병원"))</f>
        <v/>
      </c>
      <c r="U30">
        <f>IF($W30="","",COUNTIFS(상세표[사번키],INDEX(합계표[사번키],$W30),상세표[반영월],대상월키,상세표[야간당직],1,상세표[야간 구분],"휴일",상세표[반영 기관],"서울병원"))</f>
        <v/>
      </c>
      <c r="V30">
        <f>IF($W30="","",IF(ISNUMBER(MATCH(INDEX(합계표[사번키],$W30)&amp;"|"&amp;대상월키,월별근무지표[키],0)),"직접 입력",IF($K30="—","—","기관명단")))</f>
        <v/>
      </c>
      <c r="W30">
        <f>IFERROR(MATCH(25,합계표[판정순번],0),"")</f>
        <v/>
      </c>
      <c r="Y30">
        <f>IF($AB30="","",INDEX(상세표[사번],$AB30)&amp;"")</f>
        <v/>
      </c>
      <c r="Z30">
        <f>IF($AB30="","",INDEX(상세표[성명],$AB30)&amp;"")</f>
        <v/>
      </c>
      <c r="AA30">
        <f>IF($AB30="","",SUMIFS(상세표[기록 시간외],상세표[사번키],INDEX(상세표[사번키],$AB30),상세표[반영월],대상월키))</f>
        <v/>
      </c>
      <c r="AB30" s="4">
        <f>IFERROR(MATCH(25,상세표[합계없음순번],0),"")</f>
        <v/>
      </c>
    </row>
    <row r="31">
      <c r="A31">
        <f>IF($W31="","",INDEX(합계표[사번],$W31)&amp;"")</f>
        <v/>
      </c>
      <c r="B31">
        <f>IF($W31="","",INDEX(합계표[성명],$W31)&amp;"")</f>
        <v/>
      </c>
      <c r="C31">
        <f>IF($W31="","",INDEX(합계표[부서],$W31)&amp;"")</f>
        <v/>
      </c>
      <c r="D31">
        <f>IF($W31="","",INDEX(합계표[직위(통합)],$W31)&amp;"")</f>
        <v/>
      </c>
      <c r="E31">
        <f>IF($W31="","",SUMIFS(합계표[시스템 합계],합계표[사번키],INDEX(합계표[사번키],$W31)))</f>
        <v/>
      </c>
      <c r="F31">
        <f>IF($W31="","",SUMIFS(상세표[기록 시간외],상세표[사번키],INDEX(합계표[사번키],$W31),상세표[기록월],대상월키))</f>
        <v/>
      </c>
      <c r="G31">
        <f>IF($W31="","",IF(ABS($E31-$F31)&lt;0.01,"일치","불일치(차이 "&amp;TEXT($F31-$E31,"0.00")&amp;")"))</f>
        <v/>
      </c>
      <c r="H31">
        <f>IF($W31="","",SUMIFS(상세표[기록 시간외],상세표[사번키],INDEX(합계표[사번키],$W31),상세표[기록월],대상월키,상세표[반영월],"&lt;&gt;"&amp;대상월키))</f>
        <v/>
      </c>
      <c r="I31">
        <f>IF($W31="","",SUMIFS(상세표[기록 시간외],상세표[사번키],INDEX(합계표[사번키],$W31),상세표[기록월],"&lt;&gt;"&amp;대상월키,상세표[반영월],대상월키))</f>
        <v/>
      </c>
      <c r="J31">
        <f>IF($W31="","",SUMIFS(상세표[기록 시간외],상세표[사번키],INDEX(합계표[사번키],$W31),상세표[반영월],대상월키))</f>
        <v/>
      </c>
      <c r="K31">
        <f>IF($W31="","",IFERROR(INDEX(월별근무지표[적용 급여병원],MATCH(INDEX(합계표[사번키],$W31)&amp;"|"&amp;대상월키,월별근무지표[키],0))&amp;"",IF(COUNTIF(기관표[사번키],INDEX(합계표[사번키],$W31))+COUNTIF(월별근무지표[사번키],INDEX(합계표[사번키],$W31))&gt;0,IFERROR(INDEX(기관표[급여지급병원(기준월)],MATCH(INDEX(합계표[사번키],$W31)&amp;"|"&amp;대상월키,기관표[키],0))&amp;"","—"),"—")))</f>
        <v/>
      </c>
      <c r="L31">
        <f>IF($W31="","",IF(NOT(COUNTIF(기관표[사번키],INDEX(합계표[사번키],$W31))+COUNTIF(월별근무지표[사번키],INDEX(합계표[사번키],$W31))&gt;0),"기관명단에 없음(다른 병원으로 발송)",IF($K31="—","대상월 기관명단 없음(추가 필요)",IF($K31="서울병원","해당","비해당"))))</f>
        <v/>
      </c>
      <c r="M31">
        <f>IF($W31="","",SUMIFS(상세표[06~07시],상세표[사번키],INDEX(합계표[사번키],$W31),상세표[반영월],대상월키,상세표[반영 기관],"서울병원"))</f>
        <v/>
      </c>
      <c r="N31">
        <f>IF($W31="","",SUMIFS(상세표[07~18시],상세표[사번키],INDEX(합계표[사번키],$W31),상세표[반영월],대상월키,상세표[반영 기관],"서울병원"))</f>
        <v/>
      </c>
      <c r="O31">
        <f>IF($W31="","",SUMIFS(상세표[18~22시],상세표[사번키],INDEX(합계표[사번키],$W31),상세표[반영월],대상월키,상세표[반영 기관],"서울병원"))</f>
        <v/>
      </c>
      <c r="P31">
        <f>IF($W31="","",SUMIFS(상세표[22~06시],상세표[사번키],INDEX(합계표[사번키],$W31),상세표[반영월],대상월키,상세표[반영 기관],"서울병원"))</f>
        <v/>
      </c>
      <c r="Q31">
        <f>IF($W31="","",SUM($M31:$P31))</f>
        <v/>
      </c>
      <c r="R31">
        <f>IF($W31="","",COUNTIFS(상세표[사번키],INDEX(합계표[사번키],$W31),상세표[반영월],대상월키,상세표[야간당직],1,상세표[야간 구분],"평일"))</f>
        <v/>
      </c>
      <c r="S31" s="4">
        <f>IF($W31="","",COUNTIFS(상세표[사번키],INDEX(합계표[사번키],$W31),상세표[반영월],대상월키,상세표[야간당직],1,상세표[야간 구분],"휴일"))</f>
        <v/>
      </c>
      <c r="T31">
        <f>IF($W31="","",COUNTIFS(상세표[사번키],INDEX(합계표[사번키],$W31),상세표[반영월],대상월키,상세표[야간당직],1,상세표[야간 구분],"평일",상세표[반영 기관],"서울병원"))</f>
        <v/>
      </c>
      <c r="U31">
        <f>IF($W31="","",COUNTIFS(상세표[사번키],INDEX(합계표[사번키],$W31),상세표[반영월],대상월키,상세표[야간당직],1,상세표[야간 구분],"휴일",상세표[반영 기관],"서울병원"))</f>
        <v/>
      </c>
      <c r="V31">
        <f>IF($W31="","",IF(ISNUMBER(MATCH(INDEX(합계표[사번키],$W31)&amp;"|"&amp;대상월키,월별근무지표[키],0)),"직접 입력",IF($K31="—","—","기관명단")))</f>
        <v/>
      </c>
      <c r="W31">
        <f>IFERROR(MATCH(26,합계표[판정순번],0),"")</f>
        <v/>
      </c>
      <c r="Y31">
        <f>IF($AB31="","",INDEX(상세표[사번],$AB31)&amp;"")</f>
        <v/>
      </c>
      <c r="Z31">
        <f>IF($AB31="","",INDEX(상세표[성명],$AB31)&amp;"")</f>
        <v/>
      </c>
      <c r="AA31">
        <f>IF($AB31="","",SUMIFS(상세표[기록 시간외],상세표[사번키],INDEX(상세표[사번키],$AB31),상세표[반영월],대상월키))</f>
        <v/>
      </c>
      <c r="AB31" s="4">
        <f>IFERROR(MATCH(26,상세표[합계없음순번],0),"")</f>
        <v/>
      </c>
    </row>
    <row r="32">
      <c r="A32">
        <f>IF($W32="","",INDEX(합계표[사번],$W32)&amp;"")</f>
        <v/>
      </c>
      <c r="B32">
        <f>IF($W32="","",INDEX(합계표[성명],$W32)&amp;"")</f>
        <v/>
      </c>
      <c r="C32">
        <f>IF($W32="","",INDEX(합계표[부서],$W32)&amp;"")</f>
        <v/>
      </c>
      <c r="D32">
        <f>IF($W32="","",INDEX(합계표[직위(통합)],$W32)&amp;"")</f>
        <v/>
      </c>
      <c r="E32">
        <f>IF($W32="","",SUMIFS(합계표[시스템 합계],합계표[사번키],INDEX(합계표[사번키],$W32)))</f>
        <v/>
      </c>
      <c r="F32">
        <f>IF($W32="","",SUMIFS(상세표[기록 시간외],상세표[사번키],INDEX(합계표[사번키],$W32),상세표[기록월],대상월키))</f>
        <v/>
      </c>
      <c r="G32">
        <f>IF($W32="","",IF(ABS($E32-$F32)&lt;0.01,"일치","불일치(차이 "&amp;TEXT($F32-$E32,"0.00")&amp;")"))</f>
        <v/>
      </c>
      <c r="H32">
        <f>IF($W32="","",SUMIFS(상세표[기록 시간외],상세표[사번키],INDEX(합계표[사번키],$W32),상세표[기록월],대상월키,상세표[반영월],"&lt;&gt;"&amp;대상월키))</f>
        <v/>
      </c>
      <c r="I32">
        <f>IF($W32="","",SUMIFS(상세표[기록 시간외],상세표[사번키],INDEX(합계표[사번키],$W32),상세표[기록월],"&lt;&gt;"&amp;대상월키,상세표[반영월],대상월키))</f>
        <v/>
      </c>
      <c r="J32">
        <f>IF($W32="","",SUMIFS(상세표[기록 시간외],상세표[사번키],INDEX(합계표[사번키],$W32),상세표[반영월],대상월키))</f>
        <v/>
      </c>
      <c r="K32">
        <f>IF($W32="","",IFERROR(INDEX(월별근무지표[적용 급여병원],MATCH(INDEX(합계표[사번키],$W32)&amp;"|"&amp;대상월키,월별근무지표[키],0))&amp;"",IF(COUNTIF(기관표[사번키],INDEX(합계표[사번키],$W32))+COUNTIF(월별근무지표[사번키],INDEX(합계표[사번키],$W32))&gt;0,IFERROR(INDEX(기관표[급여지급병원(기준월)],MATCH(INDEX(합계표[사번키],$W32)&amp;"|"&amp;대상월키,기관표[키],0))&amp;"","—"),"—")))</f>
        <v/>
      </c>
      <c r="L32">
        <f>IF($W32="","",IF(NOT(COUNTIF(기관표[사번키],INDEX(합계표[사번키],$W32))+COUNTIF(월별근무지표[사번키],INDEX(합계표[사번키],$W32))&gt;0),"기관명단에 없음(다른 병원으로 발송)",IF($K32="—","대상월 기관명단 없음(추가 필요)",IF($K32="서울병원","해당","비해당"))))</f>
        <v/>
      </c>
      <c r="M32">
        <f>IF($W32="","",SUMIFS(상세표[06~07시],상세표[사번키],INDEX(합계표[사번키],$W32),상세표[반영월],대상월키,상세표[반영 기관],"서울병원"))</f>
        <v/>
      </c>
      <c r="N32">
        <f>IF($W32="","",SUMIFS(상세표[07~18시],상세표[사번키],INDEX(합계표[사번키],$W32),상세표[반영월],대상월키,상세표[반영 기관],"서울병원"))</f>
        <v/>
      </c>
      <c r="O32">
        <f>IF($W32="","",SUMIFS(상세표[18~22시],상세표[사번키],INDEX(합계표[사번키],$W32),상세표[반영월],대상월키,상세표[반영 기관],"서울병원"))</f>
        <v/>
      </c>
      <c r="P32">
        <f>IF($W32="","",SUMIFS(상세표[22~06시],상세표[사번키],INDEX(합계표[사번키],$W32),상세표[반영월],대상월키,상세표[반영 기관],"서울병원"))</f>
        <v/>
      </c>
      <c r="Q32">
        <f>IF($W32="","",SUM($M32:$P32))</f>
        <v/>
      </c>
      <c r="R32">
        <f>IF($W32="","",COUNTIFS(상세표[사번키],INDEX(합계표[사번키],$W32),상세표[반영월],대상월키,상세표[야간당직],1,상세표[야간 구분],"평일"))</f>
        <v/>
      </c>
      <c r="S32" s="4">
        <f>IF($W32="","",COUNTIFS(상세표[사번키],INDEX(합계표[사번키],$W32),상세표[반영월],대상월키,상세표[야간당직],1,상세표[야간 구분],"휴일"))</f>
        <v/>
      </c>
      <c r="T32">
        <f>IF($W32="","",COUNTIFS(상세표[사번키],INDEX(합계표[사번키],$W32),상세표[반영월],대상월키,상세표[야간당직],1,상세표[야간 구분],"평일",상세표[반영 기관],"서울병원"))</f>
        <v/>
      </c>
      <c r="U32">
        <f>IF($W32="","",COUNTIFS(상세표[사번키],INDEX(합계표[사번키],$W32),상세표[반영월],대상월키,상세표[야간당직],1,상세표[야간 구분],"휴일",상세표[반영 기관],"서울병원"))</f>
        <v/>
      </c>
      <c r="V32">
        <f>IF($W32="","",IF(ISNUMBER(MATCH(INDEX(합계표[사번키],$W32)&amp;"|"&amp;대상월키,월별근무지표[키],0)),"직접 입력",IF($K32="—","—","기관명단")))</f>
        <v/>
      </c>
      <c r="W32">
        <f>IFERROR(MATCH(27,합계표[판정순번],0),"")</f>
        <v/>
      </c>
      <c r="Y32">
        <f>IF($AB32="","",INDEX(상세표[사번],$AB32)&amp;"")</f>
        <v/>
      </c>
      <c r="Z32">
        <f>IF($AB32="","",INDEX(상세표[성명],$AB32)&amp;"")</f>
        <v/>
      </c>
      <c r="AA32">
        <f>IF($AB32="","",SUMIFS(상세표[기록 시간외],상세표[사번키],INDEX(상세표[사번키],$AB32),상세표[반영월],대상월키))</f>
        <v/>
      </c>
      <c r="AB32" s="4">
        <f>IFERROR(MATCH(27,상세표[합계없음순번],0),"")</f>
        <v/>
      </c>
    </row>
    <row r="33">
      <c r="A33">
        <f>IF($W33="","",INDEX(합계표[사번],$W33)&amp;"")</f>
        <v/>
      </c>
      <c r="B33">
        <f>IF($W33="","",INDEX(합계표[성명],$W33)&amp;"")</f>
        <v/>
      </c>
      <c r="C33">
        <f>IF($W33="","",INDEX(합계표[부서],$W33)&amp;"")</f>
        <v/>
      </c>
      <c r="D33">
        <f>IF($W33="","",INDEX(합계표[직위(통합)],$W33)&amp;"")</f>
        <v/>
      </c>
      <c r="E33">
        <f>IF($W33="","",SUMIFS(합계표[시스템 합계],합계표[사번키],INDEX(합계표[사번키],$W33)))</f>
        <v/>
      </c>
      <c r="F33">
        <f>IF($W33="","",SUMIFS(상세표[기록 시간외],상세표[사번키],INDEX(합계표[사번키],$W33),상세표[기록월],대상월키))</f>
        <v/>
      </c>
      <c r="G33">
        <f>IF($W33="","",IF(ABS($E33-$F33)&lt;0.01,"일치","불일치(차이 "&amp;TEXT($F33-$E33,"0.00")&amp;")"))</f>
        <v/>
      </c>
      <c r="H33">
        <f>IF($W33="","",SUMIFS(상세표[기록 시간외],상세표[사번키],INDEX(합계표[사번키],$W33),상세표[기록월],대상월키,상세표[반영월],"&lt;&gt;"&amp;대상월키))</f>
        <v/>
      </c>
      <c r="I33">
        <f>IF($W33="","",SUMIFS(상세표[기록 시간외],상세표[사번키],INDEX(합계표[사번키],$W33),상세표[기록월],"&lt;&gt;"&amp;대상월키,상세표[반영월],대상월키))</f>
        <v/>
      </c>
      <c r="J33">
        <f>IF($W33="","",SUMIFS(상세표[기록 시간외],상세표[사번키],INDEX(합계표[사번키],$W33),상세표[반영월],대상월키))</f>
        <v/>
      </c>
      <c r="K33">
        <f>IF($W33="","",IFERROR(INDEX(월별근무지표[적용 급여병원],MATCH(INDEX(합계표[사번키],$W33)&amp;"|"&amp;대상월키,월별근무지표[키],0))&amp;"",IF(COUNTIF(기관표[사번키],INDEX(합계표[사번키],$W33))+COUNTIF(월별근무지표[사번키],INDEX(합계표[사번키],$W33))&gt;0,IFERROR(INDEX(기관표[급여지급병원(기준월)],MATCH(INDEX(합계표[사번키],$W33)&amp;"|"&amp;대상월키,기관표[키],0))&amp;"","—"),"—")))</f>
        <v/>
      </c>
      <c r="L33">
        <f>IF($W33="","",IF(NOT(COUNTIF(기관표[사번키],INDEX(합계표[사번키],$W33))+COUNTIF(월별근무지표[사번키],INDEX(합계표[사번키],$W33))&gt;0),"기관명단에 없음(다른 병원으로 발송)",IF($K33="—","대상월 기관명단 없음(추가 필요)",IF($K33="서울병원","해당","비해당"))))</f>
        <v/>
      </c>
      <c r="M33">
        <f>IF($W33="","",SUMIFS(상세표[06~07시],상세표[사번키],INDEX(합계표[사번키],$W33),상세표[반영월],대상월키,상세표[반영 기관],"서울병원"))</f>
        <v/>
      </c>
      <c r="N33">
        <f>IF($W33="","",SUMIFS(상세표[07~18시],상세표[사번키],INDEX(합계표[사번키],$W33),상세표[반영월],대상월키,상세표[반영 기관],"서울병원"))</f>
        <v/>
      </c>
      <c r="O33">
        <f>IF($W33="","",SUMIFS(상세표[18~22시],상세표[사번키],INDEX(합계표[사번키],$W33),상세표[반영월],대상월키,상세표[반영 기관],"서울병원"))</f>
        <v/>
      </c>
      <c r="P33">
        <f>IF($W33="","",SUMIFS(상세표[22~06시],상세표[사번키],INDEX(합계표[사번키],$W33),상세표[반영월],대상월키,상세표[반영 기관],"서울병원"))</f>
        <v/>
      </c>
      <c r="Q33">
        <f>IF($W33="","",SUM($M33:$P33))</f>
        <v/>
      </c>
      <c r="R33">
        <f>IF($W33="","",COUNTIFS(상세표[사번키],INDEX(합계표[사번키],$W33),상세표[반영월],대상월키,상세표[야간당직],1,상세표[야간 구분],"평일"))</f>
        <v/>
      </c>
      <c r="S33" s="4">
        <f>IF($W33="","",COUNTIFS(상세표[사번키],INDEX(합계표[사번키],$W33),상세표[반영월],대상월키,상세표[야간당직],1,상세표[야간 구분],"휴일"))</f>
        <v/>
      </c>
      <c r="T33">
        <f>IF($W33="","",COUNTIFS(상세표[사번키],INDEX(합계표[사번키],$W33),상세표[반영월],대상월키,상세표[야간당직],1,상세표[야간 구분],"평일",상세표[반영 기관],"서울병원"))</f>
        <v/>
      </c>
      <c r="U33">
        <f>IF($W33="","",COUNTIFS(상세표[사번키],INDEX(합계표[사번키],$W33),상세표[반영월],대상월키,상세표[야간당직],1,상세표[야간 구분],"휴일",상세표[반영 기관],"서울병원"))</f>
        <v/>
      </c>
      <c r="V33">
        <f>IF($W33="","",IF(ISNUMBER(MATCH(INDEX(합계표[사번키],$W33)&amp;"|"&amp;대상월키,월별근무지표[키],0)),"직접 입력",IF($K33="—","—","기관명단")))</f>
        <v/>
      </c>
      <c r="W33">
        <f>IFERROR(MATCH(28,합계표[판정순번],0),"")</f>
        <v/>
      </c>
      <c r="Y33">
        <f>IF($AB33="","",INDEX(상세표[사번],$AB33)&amp;"")</f>
        <v/>
      </c>
      <c r="Z33">
        <f>IF($AB33="","",INDEX(상세표[성명],$AB33)&amp;"")</f>
        <v/>
      </c>
      <c r="AA33">
        <f>IF($AB33="","",SUMIFS(상세표[기록 시간외],상세표[사번키],INDEX(상세표[사번키],$AB33),상세표[반영월],대상월키))</f>
        <v/>
      </c>
      <c r="AB33" s="4">
        <f>IFERROR(MATCH(28,상세표[합계없음순번],0),"")</f>
        <v/>
      </c>
    </row>
    <row r="34">
      <c r="A34">
        <f>IF($W34="","",INDEX(합계표[사번],$W34)&amp;"")</f>
        <v/>
      </c>
      <c r="B34">
        <f>IF($W34="","",INDEX(합계표[성명],$W34)&amp;"")</f>
        <v/>
      </c>
      <c r="C34">
        <f>IF($W34="","",INDEX(합계표[부서],$W34)&amp;"")</f>
        <v/>
      </c>
      <c r="D34">
        <f>IF($W34="","",INDEX(합계표[직위(통합)],$W34)&amp;"")</f>
        <v/>
      </c>
      <c r="E34">
        <f>IF($W34="","",SUMIFS(합계표[시스템 합계],합계표[사번키],INDEX(합계표[사번키],$W34)))</f>
        <v/>
      </c>
      <c r="F34">
        <f>IF($W34="","",SUMIFS(상세표[기록 시간외],상세표[사번키],INDEX(합계표[사번키],$W34),상세표[기록월],대상월키))</f>
        <v/>
      </c>
      <c r="G34">
        <f>IF($W34="","",IF(ABS($E34-$F34)&lt;0.01,"일치","불일치(차이 "&amp;TEXT($F34-$E34,"0.00")&amp;")"))</f>
        <v/>
      </c>
      <c r="H34">
        <f>IF($W34="","",SUMIFS(상세표[기록 시간외],상세표[사번키],INDEX(합계표[사번키],$W34),상세표[기록월],대상월키,상세표[반영월],"&lt;&gt;"&amp;대상월키))</f>
        <v/>
      </c>
      <c r="I34">
        <f>IF($W34="","",SUMIFS(상세표[기록 시간외],상세표[사번키],INDEX(합계표[사번키],$W34),상세표[기록월],"&lt;&gt;"&amp;대상월키,상세표[반영월],대상월키))</f>
        <v/>
      </c>
      <c r="J34">
        <f>IF($W34="","",SUMIFS(상세표[기록 시간외],상세표[사번키],INDEX(합계표[사번키],$W34),상세표[반영월],대상월키))</f>
        <v/>
      </c>
      <c r="K34">
        <f>IF($W34="","",IFERROR(INDEX(월별근무지표[적용 급여병원],MATCH(INDEX(합계표[사번키],$W34)&amp;"|"&amp;대상월키,월별근무지표[키],0))&amp;"",IF(COUNTIF(기관표[사번키],INDEX(합계표[사번키],$W34))+COUNTIF(월별근무지표[사번키],INDEX(합계표[사번키],$W34))&gt;0,IFERROR(INDEX(기관표[급여지급병원(기준월)],MATCH(INDEX(합계표[사번키],$W34)&amp;"|"&amp;대상월키,기관표[키],0))&amp;"","—"),"—")))</f>
        <v/>
      </c>
      <c r="L34">
        <f>IF($W34="","",IF(NOT(COUNTIF(기관표[사번키],INDEX(합계표[사번키],$W34))+COUNTIF(월별근무지표[사번키],INDEX(합계표[사번키],$W34))&gt;0),"기관명단에 없음(다른 병원으로 발송)",IF($K34="—","대상월 기관명단 없음(추가 필요)",IF($K34="서울병원","해당","비해당"))))</f>
        <v/>
      </c>
      <c r="M34">
        <f>IF($W34="","",SUMIFS(상세표[06~07시],상세표[사번키],INDEX(합계표[사번키],$W34),상세표[반영월],대상월키,상세표[반영 기관],"서울병원"))</f>
        <v/>
      </c>
      <c r="N34">
        <f>IF($W34="","",SUMIFS(상세표[07~18시],상세표[사번키],INDEX(합계표[사번키],$W34),상세표[반영월],대상월키,상세표[반영 기관],"서울병원"))</f>
        <v/>
      </c>
      <c r="O34">
        <f>IF($W34="","",SUMIFS(상세표[18~22시],상세표[사번키],INDEX(합계표[사번키],$W34),상세표[반영월],대상월키,상세표[반영 기관],"서울병원"))</f>
        <v/>
      </c>
      <c r="P34">
        <f>IF($W34="","",SUMIFS(상세표[22~06시],상세표[사번키],INDEX(합계표[사번키],$W34),상세표[반영월],대상월키,상세표[반영 기관],"서울병원"))</f>
        <v/>
      </c>
      <c r="Q34">
        <f>IF($W34="","",SUM($M34:$P34))</f>
        <v/>
      </c>
      <c r="R34">
        <f>IF($W34="","",COUNTIFS(상세표[사번키],INDEX(합계표[사번키],$W34),상세표[반영월],대상월키,상세표[야간당직],1,상세표[야간 구분],"평일"))</f>
        <v/>
      </c>
      <c r="S34" s="4">
        <f>IF($W34="","",COUNTIFS(상세표[사번키],INDEX(합계표[사번키],$W34),상세표[반영월],대상월키,상세표[야간당직],1,상세표[야간 구분],"휴일"))</f>
        <v/>
      </c>
      <c r="T34">
        <f>IF($W34="","",COUNTIFS(상세표[사번키],INDEX(합계표[사번키],$W34),상세표[반영월],대상월키,상세표[야간당직],1,상세표[야간 구분],"평일",상세표[반영 기관],"서울병원"))</f>
        <v/>
      </c>
      <c r="U34">
        <f>IF($W34="","",COUNTIFS(상세표[사번키],INDEX(합계표[사번키],$W34),상세표[반영월],대상월키,상세표[야간당직],1,상세표[야간 구분],"휴일",상세표[반영 기관],"서울병원"))</f>
        <v/>
      </c>
      <c r="V34">
        <f>IF($W34="","",IF(ISNUMBER(MATCH(INDEX(합계표[사번키],$W34)&amp;"|"&amp;대상월키,월별근무지표[키],0)),"직접 입력",IF($K34="—","—","기관명단")))</f>
        <v/>
      </c>
      <c r="W34">
        <f>IFERROR(MATCH(29,합계표[판정순번],0),"")</f>
        <v/>
      </c>
      <c r="Y34">
        <f>IF($AB34="","",INDEX(상세표[사번],$AB34)&amp;"")</f>
        <v/>
      </c>
      <c r="Z34">
        <f>IF($AB34="","",INDEX(상세표[성명],$AB34)&amp;"")</f>
        <v/>
      </c>
      <c r="AA34">
        <f>IF($AB34="","",SUMIFS(상세표[기록 시간외],상세표[사번키],INDEX(상세표[사번키],$AB34),상세표[반영월],대상월키))</f>
        <v/>
      </c>
      <c r="AB34" s="4">
        <f>IFERROR(MATCH(29,상세표[합계없음순번],0),"")</f>
        <v/>
      </c>
    </row>
    <row r="35">
      <c r="A35">
        <f>IF($W35="","",INDEX(합계표[사번],$W35)&amp;"")</f>
        <v/>
      </c>
      <c r="B35">
        <f>IF($W35="","",INDEX(합계표[성명],$W35)&amp;"")</f>
        <v/>
      </c>
      <c r="C35">
        <f>IF($W35="","",INDEX(합계표[부서],$W35)&amp;"")</f>
        <v/>
      </c>
      <c r="D35">
        <f>IF($W35="","",INDEX(합계표[직위(통합)],$W35)&amp;"")</f>
        <v/>
      </c>
      <c r="E35">
        <f>IF($W35="","",SUMIFS(합계표[시스템 합계],합계표[사번키],INDEX(합계표[사번키],$W35)))</f>
        <v/>
      </c>
      <c r="F35">
        <f>IF($W35="","",SUMIFS(상세표[기록 시간외],상세표[사번키],INDEX(합계표[사번키],$W35),상세표[기록월],대상월키))</f>
        <v/>
      </c>
      <c r="G35">
        <f>IF($W35="","",IF(ABS($E35-$F35)&lt;0.01,"일치","불일치(차이 "&amp;TEXT($F35-$E35,"0.00")&amp;")"))</f>
        <v/>
      </c>
      <c r="H35">
        <f>IF($W35="","",SUMIFS(상세표[기록 시간외],상세표[사번키],INDEX(합계표[사번키],$W35),상세표[기록월],대상월키,상세표[반영월],"&lt;&gt;"&amp;대상월키))</f>
        <v/>
      </c>
      <c r="I35">
        <f>IF($W35="","",SUMIFS(상세표[기록 시간외],상세표[사번키],INDEX(합계표[사번키],$W35),상세표[기록월],"&lt;&gt;"&amp;대상월키,상세표[반영월],대상월키))</f>
        <v/>
      </c>
      <c r="J35">
        <f>IF($W35="","",SUMIFS(상세표[기록 시간외],상세표[사번키],INDEX(합계표[사번키],$W35),상세표[반영월],대상월키))</f>
        <v/>
      </c>
      <c r="K35">
        <f>IF($W35="","",IFERROR(INDEX(월별근무지표[적용 급여병원],MATCH(INDEX(합계표[사번키],$W35)&amp;"|"&amp;대상월키,월별근무지표[키],0))&amp;"",IF(COUNTIF(기관표[사번키],INDEX(합계표[사번키],$W35))+COUNTIF(월별근무지표[사번키],INDEX(합계표[사번키],$W35))&gt;0,IFERROR(INDEX(기관표[급여지급병원(기준월)],MATCH(INDEX(합계표[사번키],$W35)&amp;"|"&amp;대상월키,기관표[키],0))&amp;"","—"),"—")))</f>
        <v/>
      </c>
      <c r="L35">
        <f>IF($W35="","",IF(NOT(COUNTIF(기관표[사번키],INDEX(합계표[사번키],$W35))+COUNTIF(월별근무지표[사번키],INDEX(합계표[사번키],$W35))&gt;0),"기관명단에 없음(다른 병원으로 발송)",IF($K35="—","대상월 기관명단 없음(추가 필요)",IF($K35="서울병원","해당","비해당"))))</f>
        <v/>
      </c>
      <c r="M35">
        <f>IF($W35="","",SUMIFS(상세표[06~07시],상세표[사번키],INDEX(합계표[사번키],$W35),상세표[반영월],대상월키,상세표[반영 기관],"서울병원"))</f>
        <v/>
      </c>
      <c r="N35">
        <f>IF($W35="","",SUMIFS(상세표[07~18시],상세표[사번키],INDEX(합계표[사번키],$W35),상세표[반영월],대상월키,상세표[반영 기관],"서울병원"))</f>
        <v/>
      </c>
      <c r="O35">
        <f>IF($W35="","",SUMIFS(상세표[18~22시],상세표[사번키],INDEX(합계표[사번키],$W35),상세표[반영월],대상월키,상세표[반영 기관],"서울병원"))</f>
        <v/>
      </c>
      <c r="P35">
        <f>IF($W35="","",SUMIFS(상세표[22~06시],상세표[사번키],INDEX(합계표[사번키],$W35),상세표[반영월],대상월키,상세표[반영 기관],"서울병원"))</f>
        <v/>
      </c>
      <c r="Q35">
        <f>IF($W35="","",SUM($M35:$P35))</f>
        <v/>
      </c>
      <c r="R35">
        <f>IF($W35="","",COUNTIFS(상세표[사번키],INDEX(합계표[사번키],$W35),상세표[반영월],대상월키,상세표[야간당직],1,상세표[야간 구분],"평일"))</f>
        <v/>
      </c>
      <c r="S35" s="4">
        <f>IF($W35="","",COUNTIFS(상세표[사번키],INDEX(합계표[사번키],$W35),상세표[반영월],대상월키,상세표[야간당직],1,상세표[야간 구분],"휴일"))</f>
        <v/>
      </c>
      <c r="T35">
        <f>IF($W35="","",COUNTIFS(상세표[사번키],INDEX(합계표[사번키],$W35),상세표[반영월],대상월키,상세표[야간당직],1,상세표[야간 구분],"평일",상세표[반영 기관],"서울병원"))</f>
        <v/>
      </c>
      <c r="U35">
        <f>IF($W35="","",COUNTIFS(상세표[사번키],INDEX(합계표[사번키],$W35),상세표[반영월],대상월키,상세표[야간당직],1,상세표[야간 구분],"휴일",상세표[반영 기관],"서울병원"))</f>
        <v/>
      </c>
      <c r="V35">
        <f>IF($W35="","",IF(ISNUMBER(MATCH(INDEX(합계표[사번키],$W35)&amp;"|"&amp;대상월키,월별근무지표[키],0)),"직접 입력",IF($K35="—","—","기관명단")))</f>
        <v/>
      </c>
      <c r="W35">
        <f>IFERROR(MATCH(30,합계표[판정순번],0),"")</f>
        <v/>
      </c>
      <c r="Y35">
        <f>IF($AB35="","",INDEX(상세표[사번],$AB35)&amp;"")</f>
        <v/>
      </c>
      <c r="Z35">
        <f>IF($AB35="","",INDEX(상세표[성명],$AB35)&amp;"")</f>
        <v/>
      </c>
      <c r="AA35">
        <f>IF($AB35="","",SUMIFS(상세표[기록 시간외],상세표[사번키],INDEX(상세표[사번키],$AB35),상세표[반영월],대상월키))</f>
        <v/>
      </c>
      <c r="AB35" s="4">
        <f>IFERROR(MATCH(30,상세표[합계없음순번],0),"")</f>
        <v/>
      </c>
    </row>
    <row r="36">
      <c r="A36">
        <f>IF($W36="","",INDEX(합계표[사번],$W36)&amp;"")</f>
        <v/>
      </c>
      <c r="B36">
        <f>IF($W36="","",INDEX(합계표[성명],$W36)&amp;"")</f>
        <v/>
      </c>
      <c r="C36">
        <f>IF($W36="","",INDEX(합계표[부서],$W36)&amp;"")</f>
        <v/>
      </c>
      <c r="D36">
        <f>IF($W36="","",INDEX(합계표[직위(통합)],$W36)&amp;"")</f>
        <v/>
      </c>
      <c r="E36">
        <f>IF($W36="","",SUMIFS(합계표[시스템 합계],합계표[사번키],INDEX(합계표[사번키],$W36)))</f>
        <v/>
      </c>
      <c r="F36">
        <f>IF($W36="","",SUMIFS(상세표[기록 시간외],상세표[사번키],INDEX(합계표[사번키],$W36),상세표[기록월],대상월키))</f>
        <v/>
      </c>
      <c r="G36">
        <f>IF($W36="","",IF(ABS($E36-$F36)&lt;0.01,"일치","불일치(차이 "&amp;TEXT($F36-$E36,"0.00")&amp;")"))</f>
        <v/>
      </c>
      <c r="H36">
        <f>IF($W36="","",SUMIFS(상세표[기록 시간외],상세표[사번키],INDEX(합계표[사번키],$W36),상세표[기록월],대상월키,상세표[반영월],"&lt;&gt;"&amp;대상월키))</f>
        <v/>
      </c>
      <c r="I36">
        <f>IF($W36="","",SUMIFS(상세표[기록 시간외],상세표[사번키],INDEX(합계표[사번키],$W36),상세표[기록월],"&lt;&gt;"&amp;대상월키,상세표[반영월],대상월키))</f>
        <v/>
      </c>
      <c r="J36">
        <f>IF($W36="","",SUMIFS(상세표[기록 시간외],상세표[사번키],INDEX(합계표[사번키],$W36),상세표[반영월],대상월키))</f>
        <v/>
      </c>
      <c r="K36">
        <f>IF($W36="","",IFERROR(INDEX(월별근무지표[적용 급여병원],MATCH(INDEX(합계표[사번키],$W36)&amp;"|"&amp;대상월키,월별근무지표[키],0))&amp;"",IF(COUNTIF(기관표[사번키],INDEX(합계표[사번키],$W36))+COUNTIF(월별근무지표[사번키],INDEX(합계표[사번키],$W36))&gt;0,IFERROR(INDEX(기관표[급여지급병원(기준월)],MATCH(INDEX(합계표[사번키],$W36)&amp;"|"&amp;대상월키,기관표[키],0))&amp;"","—"),"—")))</f>
        <v/>
      </c>
      <c r="L36">
        <f>IF($W36="","",IF(NOT(COUNTIF(기관표[사번키],INDEX(합계표[사번키],$W36))+COUNTIF(월별근무지표[사번키],INDEX(합계표[사번키],$W36))&gt;0),"기관명단에 없음(다른 병원으로 발송)",IF($K36="—","대상월 기관명단 없음(추가 필요)",IF($K36="서울병원","해당","비해당"))))</f>
        <v/>
      </c>
      <c r="M36">
        <f>IF($W36="","",SUMIFS(상세표[06~07시],상세표[사번키],INDEX(합계표[사번키],$W36),상세표[반영월],대상월키,상세표[반영 기관],"서울병원"))</f>
        <v/>
      </c>
      <c r="N36">
        <f>IF($W36="","",SUMIFS(상세표[07~18시],상세표[사번키],INDEX(합계표[사번키],$W36),상세표[반영월],대상월키,상세표[반영 기관],"서울병원"))</f>
        <v/>
      </c>
      <c r="O36">
        <f>IF($W36="","",SUMIFS(상세표[18~22시],상세표[사번키],INDEX(합계표[사번키],$W36),상세표[반영월],대상월키,상세표[반영 기관],"서울병원"))</f>
        <v/>
      </c>
      <c r="P36">
        <f>IF($W36="","",SUMIFS(상세표[22~06시],상세표[사번키],INDEX(합계표[사번키],$W36),상세표[반영월],대상월키,상세표[반영 기관],"서울병원"))</f>
        <v/>
      </c>
      <c r="Q36">
        <f>IF($W36="","",SUM($M36:$P36))</f>
        <v/>
      </c>
      <c r="R36">
        <f>IF($W36="","",COUNTIFS(상세표[사번키],INDEX(합계표[사번키],$W36),상세표[반영월],대상월키,상세표[야간당직],1,상세표[야간 구분],"평일"))</f>
        <v/>
      </c>
      <c r="S36" s="4">
        <f>IF($W36="","",COUNTIFS(상세표[사번키],INDEX(합계표[사번키],$W36),상세표[반영월],대상월키,상세표[야간당직],1,상세표[야간 구분],"휴일"))</f>
        <v/>
      </c>
      <c r="T36">
        <f>IF($W36="","",COUNTIFS(상세표[사번키],INDEX(합계표[사번키],$W36),상세표[반영월],대상월키,상세표[야간당직],1,상세표[야간 구분],"평일",상세표[반영 기관],"서울병원"))</f>
        <v/>
      </c>
      <c r="U36">
        <f>IF($W36="","",COUNTIFS(상세표[사번키],INDEX(합계표[사번키],$W36),상세표[반영월],대상월키,상세표[야간당직],1,상세표[야간 구분],"휴일",상세표[반영 기관],"서울병원"))</f>
        <v/>
      </c>
      <c r="V36">
        <f>IF($W36="","",IF(ISNUMBER(MATCH(INDEX(합계표[사번키],$W36)&amp;"|"&amp;대상월키,월별근무지표[키],0)),"직접 입력",IF($K36="—","—","기관명단")))</f>
        <v/>
      </c>
      <c r="W36">
        <f>IFERROR(MATCH(31,합계표[판정순번],0),"")</f>
        <v/>
      </c>
      <c r="Y36">
        <f>IF($AB36="","",INDEX(상세표[사번],$AB36)&amp;"")</f>
        <v/>
      </c>
      <c r="Z36">
        <f>IF($AB36="","",INDEX(상세표[성명],$AB36)&amp;"")</f>
        <v/>
      </c>
      <c r="AA36">
        <f>IF($AB36="","",SUMIFS(상세표[기록 시간외],상세표[사번키],INDEX(상세표[사번키],$AB36),상세표[반영월],대상월키))</f>
        <v/>
      </c>
      <c r="AB36" s="4">
        <f>IFERROR(MATCH(31,상세표[합계없음순번],0),"")</f>
        <v/>
      </c>
    </row>
    <row r="37">
      <c r="A37">
        <f>IF($W37="","",INDEX(합계표[사번],$W37)&amp;"")</f>
        <v/>
      </c>
      <c r="B37">
        <f>IF($W37="","",INDEX(합계표[성명],$W37)&amp;"")</f>
        <v/>
      </c>
      <c r="C37">
        <f>IF($W37="","",INDEX(합계표[부서],$W37)&amp;"")</f>
        <v/>
      </c>
      <c r="D37">
        <f>IF($W37="","",INDEX(합계표[직위(통합)],$W37)&amp;"")</f>
        <v/>
      </c>
      <c r="E37">
        <f>IF($W37="","",SUMIFS(합계표[시스템 합계],합계표[사번키],INDEX(합계표[사번키],$W37)))</f>
        <v/>
      </c>
      <c r="F37">
        <f>IF($W37="","",SUMIFS(상세표[기록 시간외],상세표[사번키],INDEX(합계표[사번키],$W37),상세표[기록월],대상월키))</f>
        <v/>
      </c>
      <c r="G37">
        <f>IF($W37="","",IF(ABS($E37-$F37)&lt;0.01,"일치","불일치(차이 "&amp;TEXT($F37-$E37,"0.00")&amp;")"))</f>
        <v/>
      </c>
      <c r="H37">
        <f>IF($W37="","",SUMIFS(상세표[기록 시간외],상세표[사번키],INDEX(합계표[사번키],$W37),상세표[기록월],대상월키,상세표[반영월],"&lt;&gt;"&amp;대상월키))</f>
        <v/>
      </c>
      <c r="I37">
        <f>IF($W37="","",SUMIFS(상세표[기록 시간외],상세표[사번키],INDEX(합계표[사번키],$W37),상세표[기록월],"&lt;&gt;"&amp;대상월키,상세표[반영월],대상월키))</f>
        <v/>
      </c>
      <c r="J37">
        <f>IF($W37="","",SUMIFS(상세표[기록 시간외],상세표[사번키],INDEX(합계표[사번키],$W37),상세표[반영월],대상월키))</f>
        <v/>
      </c>
      <c r="K37">
        <f>IF($W37="","",IFERROR(INDEX(월별근무지표[적용 급여병원],MATCH(INDEX(합계표[사번키],$W37)&amp;"|"&amp;대상월키,월별근무지표[키],0))&amp;"",IF(COUNTIF(기관표[사번키],INDEX(합계표[사번키],$W37))+COUNTIF(월별근무지표[사번키],INDEX(합계표[사번키],$W37))&gt;0,IFERROR(INDEX(기관표[급여지급병원(기준월)],MATCH(INDEX(합계표[사번키],$W37)&amp;"|"&amp;대상월키,기관표[키],0))&amp;"","—"),"—")))</f>
        <v/>
      </c>
      <c r="L37">
        <f>IF($W37="","",IF(NOT(COUNTIF(기관표[사번키],INDEX(합계표[사번키],$W37))+COUNTIF(월별근무지표[사번키],INDEX(합계표[사번키],$W37))&gt;0),"기관명단에 없음(다른 병원으로 발송)",IF($K37="—","대상월 기관명단 없음(추가 필요)",IF($K37="서울병원","해당","비해당"))))</f>
        <v/>
      </c>
      <c r="M37">
        <f>IF($W37="","",SUMIFS(상세표[06~07시],상세표[사번키],INDEX(합계표[사번키],$W37),상세표[반영월],대상월키,상세표[반영 기관],"서울병원"))</f>
        <v/>
      </c>
      <c r="N37">
        <f>IF($W37="","",SUMIFS(상세표[07~18시],상세표[사번키],INDEX(합계표[사번키],$W37),상세표[반영월],대상월키,상세표[반영 기관],"서울병원"))</f>
        <v/>
      </c>
      <c r="O37">
        <f>IF($W37="","",SUMIFS(상세표[18~22시],상세표[사번키],INDEX(합계표[사번키],$W37),상세표[반영월],대상월키,상세표[반영 기관],"서울병원"))</f>
        <v/>
      </c>
      <c r="P37">
        <f>IF($W37="","",SUMIFS(상세표[22~06시],상세표[사번키],INDEX(합계표[사번키],$W37),상세표[반영월],대상월키,상세표[반영 기관],"서울병원"))</f>
        <v/>
      </c>
      <c r="Q37">
        <f>IF($W37="","",SUM($M37:$P37))</f>
        <v/>
      </c>
      <c r="R37">
        <f>IF($W37="","",COUNTIFS(상세표[사번키],INDEX(합계표[사번키],$W37),상세표[반영월],대상월키,상세표[야간당직],1,상세표[야간 구분],"평일"))</f>
        <v/>
      </c>
      <c r="S37" s="4">
        <f>IF($W37="","",COUNTIFS(상세표[사번키],INDEX(합계표[사번키],$W37),상세표[반영월],대상월키,상세표[야간당직],1,상세표[야간 구분],"휴일"))</f>
        <v/>
      </c>
      <c r="T37">
        <f>IF($W37="","",COUNTIFS(상세표[사번키],INDEX(합계표[사번키],$W37),상세표[반영월],대상월키,상세표[야간당직],1,상세표[야간 구분],"평일",상세표[반영 기관],"서울병원"))</f>
        <v/>
      </c>
      <c r="U37">
        <f>IF($W37="","",COUNTIFS(상세표[사번키],INDEX(합계표[사번키],$W37),상세표[반영월],대상월키,상세표[야간당직],1,상세표[야간 구분],"휴일",상세표[반영 기관],"서울병원"))</f>
        <v/>
      </c>
      <c r="V37">
        <f>IF($W37="","",IF(ISNUMBER(MATCH(INDEX(합계표[사번키],$W37)&amp;"|"&amp;대상월키,월별근무지표[키],0)),"직접 입력",IF($K37="—","—","기관명단")))</f>
        <v/>
      </c>
      <c r="W37">
        <f>IFERROR(MATCH(32,합계표[판정순번],0),"")</f>
        <v/>
      </c>
      <c r="Y37">
        <f>IF($AB37="","",INDEX(상세표[사번],$AB37)&amp;"")</f>
        <v/>
      </c>
      <c r="Z37">
        <f>IF($AB37="","",INDEX(상세표[성명],$AB37)&amp;"")</f>
        <v/>
      </c>
      <c r="AA37">
        <f>IF($AB37="","",SUMIFS(상세표[기록 시간외],상세표[사번키],INDEX(상세표[사번키],$AB37),상세표[반영월],대상월키))</f>
        <v/>
      </c>
      <c r="AB37" s="4">
        <f>IFERROR(MATCH(32,상세표[합계없음순번],0),"")</f>
        <v/>
      </c>
    </row>
    <row r="38">
      <c r="A38">
        <f>IF($W38="","",INDEX(합계표[사번],$W38)&amp;"")</f>
        <v/>
      </c>
      <c r="B38">
        <f>IF($W38="","",INDEX(합계표[성명],$W38)&amp;"")</f>
        <v/>
      </c>
      <c r="C38">
        <f>IF($W38="","",INDEX(합계표[부서],$W38)&amp;"")</f>
        <v/>
      </c>
      <c r="D38">
        <f>IF($W38="","",INDEX(합계표[직위(통합)],$W38)&amp;"")</f>
        <v/>
      </c>
      <c r="E38">
        <f>IF($W38="","",SUMIFS(합계표[시스템 합계],합계표[사번키],INDEX(합계표[사번키],$W38)))</f>
        <v/>
      </c>
      <c r="F38">
        <f>IF($W38="","",SUMIFS(상세표[기록 시간외],상세표[사번키],INDEX(합계표[사번키],$W38),상세표[기록월],대상월키))</f>
        <v/>
      </c>
      <c r="G38">
        <f>IF($W38="","",IF(ABS($E38-$F38)&lt;0.01,"일치","불일치(차이 "&amp;TEXT($F38-$E38,"0.00")&amp;")"))</f>
        <v/>
      </c>
      <c r="H38">
        <f>IF($W38="","",SUMIFS(상세표[기록 시간외],상세표[사번키],INDEX(합계표[사번키],$W38),상세표[기록월],대상월키,상세표[반영월],"&lt;&gt;"&amp;대상월키))</f>
        <v/>
      </c>
      <c r="I38">
        <f>IF($W38="","",SUMIFS(상세표[기록 시간외],상세표[사번키],INDEX(합계표[사번키],$W38),상세표[기록월],"&lt;&gt;"&amp;대상월키,상세표[반영월],대상월키))</f>
        <v/>
      </c>
      <c r="J38">
        <f>IF($W38="","",SUMIFS(상세표[기록 시간외],상세표[사번키],INDEX(합계표[사번키],$W38),상세표[반영월],대상월키))</f>
        <v/>
      </c>
      <c r="K38">
        <f>IF($W38="","",IFERROR(INDEX(월별근무지표[적용 급여병원],MATCH(INDEX(합계표[사번키],$W38)&amp;"|"&amp;대상월키,월별근무지표[키],0))&amp;"",IF(COUNTIF(기관표[사번키],INDEX(합계표[사번키],$W38))+COUNTIF(월별근무지표[사번키],INDEX(합계표[사번키],$W38))&gt;0,IFERROR(INDEX(기관표[급여지급병원(기준월)],MATCH(INDEX(합계표[사번키],$W38)&amp;"|"&amp;대상월키,기관표[키],0))&amp;"","—"),"—")))</f>
        <v/>
      </c>
      <c r="L38">
        <f>IF($W38="","",IF(NOT(COUNTIF(기관표[사번키],INDEX(합계표[사번키],$W38))+COUNTIF(월별근무지표[사번키],INDEX(합계표[사번키],$W38))&gt;0),"기관명단에 없음(다른 병원으로 발송)",IF($K38="—","대상월 기관명단 없음(추가 필요)",IF($K38="서울병원","해당","비해당"))))</f>
        <v/>
      </c>
      <c r="M38">
        <f>IF($W38="","",SUMIFS(상세표[06~07시],상세표[사번키],INDEX(합계표[사번키],$W38),상세표[반영월],대상월키,상세표[반영 기관],"서울병원"))</f>
        <v/>
      </c>
      <c r="N38">
        <f>IF($W38="","",SUMIFS(상세표[07~18시],상세표[사번키],INDEX(합계표[사번키],$W38),상세표[반영월],대상월키,상세표[반영 기관],"서울병원"))</f>
        <v/>
      </c>
      <c r="O38">
        <f>IF($W38="","",SUMIFS(상세표[18~22시],상세표[사번키],INDEX(합계표[사번키],$W38),상세표[반영월],대상월키,상세표[반영 기관],"서울병원"))</f>
        <v/>
      </c>
      <c r="P38">
        <f>IF($W38="","",SUMIFS(상세표[22~06시],상세표[사번키],INDEX(합계표[사번키],$W38),상세표[반영월],대상월키,상세표[반영 기관],"서울병원"))</f>
        <v/>
      </c>
      <c r="Q38">
        <f>IF($W38="","",SUM($M38:$P38))</f>
        <v/>
      </c>
      <c r="R38">
        <f>IF($W38="","",COUNTIFS(상세표[사번키],INDEX(합계표[사번키],$W38),상세표[반영월],대상월키,상세표[야간당직],1,상세표[야간 구분],"평일"))</f>
        <v/>
      </c>
      <c r="S38" s="4">
        <f>IF($W38="","",COUNTIFS(상세표[사번키],INDEX(합계표[사번키],$W38),상세표[반영월],대상월키,상세표[야간당직],1,상세표[야간 구분],"휴일"))</f>
        <v/>
      </c>
      <c r="T38">
        <f>IF($W38="","",COUNTIFS(상세표[사번키],INDEX(합계표[사번키],$W38),상세표[반영월],대상월키,상세표[야간당직],1,상세표[야간 구분],"평일",상세표[반영 기관],"서울병원"))</f>
        <v/>
      </c>
      <c r="U38">
        <f>IF($W38="","",COUNTIFS(상세표[사번키],INDEX(합계표[사번키],$W38),상세표[반영월],대상월키,상세표[야간당직],1,상세표[야간 구분],"휴일",상세표[반영 기관],"서울병원"))</f>
        <v/>
      </c>
      <c r="V38">
        <f>IF($W38="","",IF(ISNUMBER(MATCH(INDEX(합계표[사번키],$W38)&amp;"|"&amp;대상월키,월별근무지표[키],0)),"직접 입력",IF($K38="—","—","기관명단")))</f>
        <v/>
      </c>
      <c r="W38">
        <f>IFERROR(MATCH(33,합계표[판정순번],0),"")</f>
        <v/>
      </c>
      <c r="Y38">
        <f>IF($AB38="","",INDEX(상세표[사번],$AB38)&amp;"")</f>
        <v/>
      </c>
      <c r="Z38">
        <f>IF($AB38="","",INDEX(상세표[성명],$AB38)&amp;"")</f>
        <v/>
      </c>
      <c r="AA38">
        <f>IF($AB38="","",SUMIFS(상세표[기록 시간외],상세표[사번키],INDEX(상세표[사번키],$AB38),상세표[반영월],대상월키))</f>
        <v/>
      </c>
      <c r="AB38" s="4">
        <f>IFERROR(MATCH(33,상세표[합계없음순번],0),"")</f>
        <v/>
      </c>
    </row>
    <row r="39">
      <c r="A39">
        <f>IF($W39="","",INDEX(합계표[사번],$W39)&amp;"")</f>
        <v/>
      </c>
      <c r="B39">
        <f>IF($W39="","",INDEX(합계표[성명],$W39)&amp;"")</f>
        <v/>
      </c>
      <c r="C39">
        <f>IF($W39="","",INDEX(합계표[부서],$W39)&amp;"")</f>
        <v/>
      </c>
      <c r="D39">
        <f>IF($W39="","",INDEX(합계표[직위(통합)],$W39)&amp;"")</f>
        <v/>
      </c>
      <c r="E39">
        <f>IF($W39="","",SUMIFS(합계표[시스템 합계],합계표[사번키],INDEX(합계표[사번키],$W39)))</f>
        <v/>
      </c>
      <c r="F39">
        <f>IF($W39="","",SUMIFS(상세표[기록 시간외],상세표[사번키],INDEX(합계표[사번키],$W39),상세표[기록월],대상월키))</f>
        <v/>
      </c>
      <c r="G39">
        <f>IF($W39="","",IF(ABS($E39-$F39)&lt;0.01,"일치","불일치(차이 "&amp;TEXT($F39-$E39,"0.00")&amp;")"))</f>
        <v/>
      </c>
      <c r="H39">
        <f>IF($W39="","",SUMIFS(상세표[기록 시간외],상세표[사번키],INDEX(합계표[사번키],$W39),상세표[기록월],대상월키,상세표[반영월],"&lt;&gt;"&amp;대상월키))</f>
        <v/>
      </c>
      <c r="I39">
        <f>IF($W39="","",SUMIFS(상세표[기록 시간외],상세표[사번키],INDEX(합계표[사번키],$W39),상세표[기록월],"&lt;&gt;"&amp;대상월키,상세표[반영월],대상월키))</f>
        <v/>
      </c>
      <c r="J39">
        <f>IF($W39="","",SUMIFS(상세표[기록 시간외],상세표[사번키],INDEX(합계표[사번키],$W39),상세표[반영월],대상월키))</f>
        <v/>
      </c>
      <c r="K39">
        <f>IF($W39="","",IFERROR(INDEX(월별근무지표[적용 급여병원],MATCH(INDEX(합계표[사번키],$W39)&amp;"|"&amp;대상월키,월별근무지표[키],0))&amp;"",IF(COUNTIF(기관표[사번키],INDEX(합계표[사번키],$W39))+COUNTIF(월별근무지표[사번키],INDEX(합계표[사번키],$W39))&gt;0,IFERROR(INDEX(기관표[급여지급병원(기준월)],MATCH(INDEX(합계표[사번키],$W39)&amp;"|"&amp;대상월키,기관표[키],0))&amp;"","—"),"—")))</f>
        <v/>
      </c>
      <c r="L39">
        <f>IF($W39="","",IF(NOT(COUNTIF(기관표[사번키],INDEX(합계표[사번키],$W39))+COUNTIF(월별근무지표[사번키],INDEX(합계표[사번키],$W39))&gt;0),"기관명단에 없음(다른 병원으로 발송)",IF($K39="—","대상월 기관명단 없음(추가 필요)",IF($K39="서울병원","해당","비해당"))))</f>
        <v/>
      </c>
      <c r="M39">
        <f>IF($W39="","",SUMIFS(상세표[06~07시],상세표[사번키],INDEX(합계표[사번키],$W39),상세표[반영월],대상월키,상세표[반영 기관],"서울병원"))</f>
        <v/>
      </c>
      <c r="N39">
        <f>IF($W39="","",SUMIFS(상세표[07~18시],상세표[사번키],INDEX(합계표[사번키],$W39),상세표[반영월],대상월키,상세표[반영 기관],"서울병원"))</f>
        <v/>
      </c>
      <c r="O39">
        <f>IF($W39="","",SUMIFS(상세표[18~22시],상세표[사번키],INDEX(합계표[사번키],$W39),상세표[반영월],대상월키,상세표[반영 기관],"서울병원"))</f>
        <v/>
      </c>
      <c r="P39">
        <f>IF($W39="","",SUMIFS(상세표[22~06시],상세표[사번키],INDEX(합계표[사번키],$W39),상세표[반영월],대상월키,상세표[반영 기관],"서울병원"))</f>
        <v/>
      </c>
      <c r="Q39">
        <f>IF($W39="","",SUM($M39:$P39))</f>
        <v/>
      </c>
      <c r="R39">
        <f>IF($W39="","",COUNTIFS(상세표[사번키],INDEX(합계표[사번키],$W39),상세표[반영월],대상월키,상세표[야간당직],1,상세표[야간 구분],"평일"))</f>
        <v/>
      </c>
      <c r="S39" s="4">
        <f>IF($W39="","",COUNTIFS(상세표[사번키],INDEX(합계표[사번키],$W39),상세표[반영월],대상월키,상세표[야간당직],1,상세표[야간 구분],"휴일"))</f>
        <v/>
      </c>
      <c r="T39">
        <f>IF($W39="","",COUNTIFS(상세표[사번키],INDEX(합계표[사번키],$W39),상세표[반영월],대상월키,상세표[야간당직],1,상세표[야간 구분],"평일",상세표[반영 기관],"서울병원"))</f>
        <v/>
      </c>
      <c r="U39">
        <f>IF($W39="","",COUNTIFS(상세표[사번키],INDEX(합계표[사번키],$W39),상세표[반영월],대상월키,상세표[야간당직],1,상세표[야간 구분],"휴일",상세표[반영 기관],"서울병원"))</f>
        <v/>
      </c>
      <c r="V39">
        <f>IF($W39="","",IF(ISNUMBER(MATCH(INDEX(합계표[사번키],$W39)&amp;"|"&amp;대상월키,월별근무지표[키],0)),"직접 입력",IF($K39="—","—","기관명단")))</f>
        <v/>
      </c>
      <c r="W39">
        <f>IFERROR(MATCH(34,합계표[판정순번],0),"")</f>
        <v/>
      </c>
      <c r="Y39">
        <f>IF($AB39="","",INDEX(상세표[사번],$AB39)&amp;"")</f>
        <v/>
      </c>
      <c r="Z39">
        <f>IF($AB39="","",INDEX(상세표[성명],$AB39)&amp;"")</f>
        <v/>
      </c>
      <c r="AA39">
        <f>IF($AB39="","",SUMIFS(상세표[기록 시간외],상세표[사번키],INDEX(상세표[사번키],$AB39),상세표[반영월],대상월키))</f>
        <v/>
      </c>
      <c r="AB39" s="4">
        <f>IFERROR(MATCH(34,상세표[합계없음순번],0),"")</f>
        <v/>
      </c>
    </row>
    <row r="40">
      <c r="A40">
        <f>IF($W40="","",INDEX(합계표[사번],$W40)&amp;"")</f>
        <v/>
      </c>
      <c r="B40">
        <f>IF($W40="","",INDEX(합계표[성명],$W40)&amp;"")</f>
        <v/>
      </c>
      <c r="C40">
        <f>IF($W40="","",INDEX(합계표[부서],$W40)&amp;"")</f>
        <v/>
      </c>
      <c r="D40">
        <f>IF($W40="","",INDEX(합계표[직위(통합)],$W40)&amp;"")</f>
        <v/>
      </c>
      <c r="E40">
        <f>IF($W40="","",SUMIFS(합계표[시스템 합계],합계표[사번키],INDEX(합계표[사번키],$W40)))</f>
        <v/>
      </c>
      <c r="F40">
        <f>IF($W40="","",SUMIFS(상세표[기록 시간외],상세표[사번키],INDEX(합계표[사번키],$W40),상세표[기록월],대상월키))</f>
        <v/>
      </c>
      <c r="G40">
        <f>IF($W40="","",IF(ABS($E40-$F40)&lt;0.01,"일치","불일치(차이 "&amp;TEXT($F40-$E40,"0.00")&amp;")"))</f>
        <v/>
      </c>
      <c r="H40">
        <f>IF($W40="","",SUMIFS(상세표[기록 시간외],상세표[사번키],INDEX(합계표[사번키],$W40),상세표[기록월],대상월키,상세표[반영월],"&lt;&gt;"&amp;대상월키))</f>
        <v/>
      </c>
      <c r="I40">
        <f>IF($W40="","",SUMIFS(상세표[기록 시간외],상세표[사번키],INDEX(합계표[사번키],$W40),상세표[기록월],"&lt;&gt;"&amp;대상월키,상세표[반영월],대상월키))</f>
        <v/>
      </c>
      <c r="J40">
        <f>IF($W40="","",SUMIFS(상세표[기록 시간외],상세표[사번키],INDEX(합계표[사번키],$W40),상세표[반영월],대상월키))</f>
        <v/>
      </c>
      <c r="K40">
        <f>IF($W40="","",IFERROR(INDEX(월별근무지표[적용 급여병원],MATCH(INDEX(합계표[사번키],$W40)&amp;"|"&amp;대상월키,월별근무지표[키],0))&amp;"",IF(COUNTIF(기관표[사번키],INDEX(합계표[사번키],$W40))+COUNTIF(월별근무지표[사번키],INDEX(합계표[사번키],$W40))&gt;0,IFERROR(INDEX(기관표[급여지급병원(기준월)],MATCH(INDEX(합계표[사번키],$W40)&amp;"|"&amp;대상월키,기관표[키],0))&amp;"","—"),"—")))</f>
        <v/>
      </c>
      <c r="L40">
        <f>IF($W40="","",IF(NOT(COUNTIF(기관표[사번키],INDEX(합계표[사번키],$W40))+COUNTIF(월별근무지표[사번키],INDEX(합계표[사번키],$W40))&gt;0),"기관명단에 없음(다른 병원으로 발송)",IF($K40="—","대상월 기관명단 없음(추가 필요)",IF($K40="서울병원","해당","비해당"))))</f>
        <v/>
      </c>
      <c r="M40">
        <f>IF($W40="","",SUMIFS(상세표[06~07시],상세표[사번키],INDEX(합계표[사번키],$W40),상세표[반영월],대상월키,상세표[반영 기관],"서울병원"))</f>
        <v/>
      </c>
      <c r="N40">
        <f>IF($W40="","",SUMIFS(상세표[07~18시],상세표[사번키],INDEX(합계표[사번키],$W40),상세표[반영월],대상월키,상세표[반영 기관],"서울병원"))</f>
        <v/>
      </c>
      <c r="O40">
        <f>IF($W40="","",SUMIFS(상세표[18~22시],상세표[사번키],INDEX(합계표[사번키],$W40),상세표[반영월],대상월키,상세표[반영 기관],"서울병원"))</f>
        <v/>
      </c>
      <c r="P40">
        <f>IF($W40="","",SUMIFS(상세표[22~06시],상세표[사번키],INDEX(합계표[사번키],$W40),상세표[반영월],대상월키,상세표[반영 기관],"서울병원"))</f>
        <v/>
      </c>
      <c r="Q40">
        <f>IF($W40="","",SUM($M40:$P40))</f>
        <v/>
      </c>
      <c r="R40">
        <f>IF($W40="","",COUNTIFS(상세표[사번키],INDEX(합계표[사번키],$W40),상세표[반영월],대상월키,상세표[야간당직],1,상세표[야간 구분],"평일"))</f>
        <v/>
      </c>
      <c r="S40" s="4">
        <f>IF($W40="","",COUNTIFS(상세표[사번키],INDEX(합계표[사번키],$W40),상세표[반영월],대상월키,상세표[야간당직],1,상세표[야간 구분],"휴일"))</f>
        <v/>
      </c>
      <c r="T40">
        <f>IF($W40="","",COUNTIFS(상세표[사번키],INDEX(합계표[사번키],$W40),상세표[반영월],대상월키,상세표[야간당직],1,상세표[야간 구분],"평일",상세표[반영 기관],"서울병원"))</f>
        <v/>
      </c>
      <c r="U40">
        <f>IF($W40="","",COUNTIFS(상세표[사번키],INDEX(합계표[사번키],$W40),상세표[반영월],대상월키,상세표[야간당직],1,상세표[야간 구분],"휴일",상세표[반영 기관],"서울병원"))</f>
        <v/>
      </c>
      <c r="V40">
        <f>IF($W40="","",IF(ISNUMBER(MATCH(INDEX(합계표[사번키],$W40)&amp;"|"&amp;대상월키,월별근무지표[키],0)),"직접 입력",IF($K40="—","—","기관명단")))</f>
        <v/>
      </c>
      <c r="W40">
        <f>IFERROR(MATCH(35,합계표[판정순번],0),"")</f>
        <v/>
      </c>
      <c r="Y40">
        <f>IF($AB40="","",INDEX(상세표[사번],$AB40)&amp;"")</f>
        <v/>
      </c>
      <c r="Z40">
        <f>IF($AB40="","",INDEX(상세표[성명],$AB40)&amp;"")</f>
        <v/>
      </c>
      <c r="AA40">
        <f>IF($AB40="","",SUMIFS(상세표[기록 시간외],상세표[사번키],INDEX(상세표[사번키],$AB40),상세표[반영월],대상월키))</f>
        <v/>
      </c>
      <c r="AB40" s="4">
        <f>IFERROR(MATCH(35,상세표[합계없음순번],0),"")</f>
        <v/>
      </c>
    </row>
    <row r="41">
      <c r="A41">
        <f>IF($W41="","",INDEX(합계표[사번],$W41)&amp;"")</f>
        <v/>
      </c>
      <c r="B41">
        <f>IF($W41="","",INDEX(합계표[성명],$W41)&amp;"")</f>
        <v/>
      </c>
      <c r="C41">
        <f>IF($W41="","",INDEX(합계표[부서],$W41)&amp;"")</f>
        <v/>
      </c>
      <c r="D41">
        <f>IF($W41="","",INDEX(합계표[직위(통합)],$W41)&amp;"")</f>
        <v/>
      </c>
      <c r="E41">
        <f>IF($W41="","",SUMIFS(합계표[시스템 합계],합계표[사번키],INDEX(합계표[사번키],$W41)))</f>
        <v/>
      </c>
      <c r="F41">
        <f>IF($W41="","",SUMIFS(상세표[기록 시간외],상세표[사번키],INDEX(합계표[사번키],$W41),상세표[기록월],대상월키))</f>
        <v/>
      </c>
      <c r="G41">
        <f>IF($W41="","",IF(ABS($E41-$F41)&lt;0.01,"일치","불일치(차이 "&amp;TEXT($F41-$E41,"0.00")&amp;")"))</f>
        <v/>
      </c>
      <c r="H41">
        <f>IF($W41="","",SUMIFS(상세표[기록 시간외],상세표[사번키],INDEX(합계표[사번키],$W41),상세표[기록월],대상월키,상세표[반영월],"&lt;&gt;"&amp;대상월키))</f>
        <v/>
      </c>
      <c r="I41">
        <f>IF($W41="","",SUMIFS(상세표[기록 시간외],상세표[사번키],INDEX(합계표[사번키],$W41),상세표[기록월],"&lt;&gt;"&amp;대상월키,상세표[반영월],대상월키))</f>
        <v/>
      </c>
      <c r="J41">
        <f>IF($W41="","",SUMIFS(상세표[기록 시간외],상세표[사번키],INDEX(합계표[사번키],$W41),상세표[반영월],대상월키))</f>
        <v/>
      </c>
      <c r="K41">
        <f>IF($W41="","",IFERROR(INDEX(월별근무지표[적용 급여병원],MATCH(INDEX(합계표[사번키],$W41)&amp;"|"&amp;대상월키,월별근무지표[키],0))&amp;"",IF(COUNTIF(기관표[사번키],INDEX(합계표[사번키],$W41))+COUNTIF(월별근무지표[사번키],INDEX(합계표[사번키],$W41))&gt;0,IFERROR(INDEX(기관표[급여지급병원(기준월)],MATCH(INDEX(합계표[사번키],$W41)&amp;"|"&amp;대상월키,기관표[키],0))&amp;"","—"),"—")))</f>
        <v/>
      </c>
      <c r="L41">
        <f>IF($W41="","",IF(NOT(COUNTIF(기관표[사번키],INDEX(합계표[사번키],$W41))+COUNTIF(월별근무지표[사번키],INDEX(합계표[사번키],$W41))&gt;0),"기관명단에 없음(다른 병원으로 발송)",IF($K41="—","대상월 기관명단 없음(추가 필요)",IF($K41="서울병원","해당","비해당"))))</f>
        <v/>
      </c>
      <c r="M41">
        <f>IF($W41="","",SUMIFS(상세표[06~07시],상세표[사번키],INDEX(합계표[사번키],$W41),상세표[반영월],대상월키,상세표[반영 기관],"서울병원"))</f>
        <v/>
      </c>
      <c r="N41">
        <f>IF($W41="","",SUMIFS(상세표[07~18시],상세표[사번키],INDEX(합계표[사번키],$W41),상세표[반영월],대상월키,상세표[반영 기관],"서울병원"))</f>
        <v/>
      </c>
      <c r="O41">
        <f>IF($W41="","",SUMIFS(상세표[18~22시],상세표[사번키],INDEX(합계표[사번키],$W41),상세표[반영월],대상월키,상세표[반영 기관],"서울병원"))</f>
        <v/>
      </c>
      <c r="P41">
        <f>IF($W41="","",SUMIFS(상세표[22~06시],상세표[사번키],INDEX(합계표[사번키],$W41),상세표[반영월],대상월키,상세표[반영 기관],"서울병원"))</f>
        <v/>
      </c>
      <c r="Q41">
        <f>IF($W41="","",SUM($M41:$P41))</f>
        <v/>
      </c>
      <c r="R41">
        <f>IF($W41="","",COUNTIFS(상세표[사번키],INDEX(합계표[사번키],$W41),상세표[반영월],대상월키,상세표[야간당직],1,상세표[야간 구분],"평일"))</f>
        <v/>
      </c>
      <c r="S41" s="4">
        <f>IF($W41="","",COUNTIFS(상세표[사번키],INDEX(합계표[사번키],$W41),상세표[반영월],대상월키,상세표[야간당직],1,상세표[야간 구분],"휴일"))</f>
        <v/>
      </c>
      <c r="T41">
        <f>IF($W41="","",COUNTIFS(상세표[사번키],INDEX(합계표[사번키],$W41),상세표[반영월],대상월키,상세표[야간당직],1,상세표[야간 구분],"평일",상세표[반영 기관],"서울병원"))</f>
        <v/>
      </c>
      <c r="U41">
        <f>IF($W41="","",COUNTIFS(상세표[사번키],INDEX(합계표[사번키],$W41),상세표[반영월],대상월키,상세표[야간당직],1,상세표[야간 구분],"휴일",상세표[반영 기관],"서울병원"))</f>
        <v/>
      </c>
      <c r="V41">
        <f>IF($W41="","",IF(ISNUMBER(MATCH(INDEX(합계표[사번키],$W41)&amp;"|"&amp;대상월키,월별근무지표[키],0)),"직접 입력",IF($K41="—","—","기관명단")))</f>
        <v/>
      </c>
      <c r="W41">
        <f>IFERROR(MATCH(36,합계표[판정순번],0),"")</f>
        <v/>
      </c>
      <c r="Y41">
        <f>IF($AB41="","",INDEX(상세표[사번],$AB41)&amp;"")</f>
        <v/>
      </c>
      <c r="Z41">
        <f>IF($AB41="","",INDEX(상세표[성명],$AB41)&amp;"")</f>
        <v/>
      </c>
      <c r="AA41">
        <f>IF($AB41="","",SUMIFS(상세표[기록 시간외],상세표[사번키],INDEX(상세표[사번키],$AB41),상세표[반영월],대상월키))</f>
        <v/>
      </c>
      <c r="AB41" s="4">
        <f>IFERROR(MATCH(36,상세표[합계없음순번],0),"")</f>
        <v/>
      </c>
    </row>
    <row r="42">
      <c r="A42">
        <f>IF($W42="","",INDEX(합계표[사번],$W42)&amp;"")</f>
        <v/>
      </c>
      <c r="B42">
        <f>IF($W42="","",INDEX(합계표[성명],$W42)&amp;"")</f>
        <v/>
      </c>
      <c r="C42">
        <f>IF($W42="","",INDEX(합계표[부서],$W42)&amp;"")</f>
        <v/>
      </c>
      <c r="D42">
        <f>IF($W42="","",INDEX(합계표[직위(통합)],$W42)&amp;"")</f>
        <v/>
      </c>
      <c r="E42">
        <f>IF($W42="","",SUMIFS(합계표[시스템 합계],합계표[사번키],INDEX(합계표[사번키],$W42)))</f>
        <v/>
      </c>
      <c r="F42">
        <f>IF($W42="","",SUMIFS(상세표[기록 시간외],상세표[사번키],INDEX(합계표[사번키],$W42),상세표[기록월],대상월키))</f>
        <v/>
      </c>
      <c r="G42">
        <f>IF($W42="","",IF(ABS($E42-$F42)&lt;0.01,"일치","불일치(차이 "&amp;TEXT($F42-$E42,"0.00")&amp;")"))</f>
        <v/>
      </c>
      <c r="H42">
        <f>IF($W42="","",SUMIFS(상세표[기록 시간외],상세표[사번키],INDEX(합계표[사번키],$W42),상세표[기록월],대상월키,상세표[반영월],"&lt;&gt;"&amp;대상월키))</f>
        <v/>
      </c>
      <c r="I42">
        <f>IF($W42="","",SUMIFS(상세표[기록 시간외],상세표[사번키],INDEX(합계표[사번키],$W42),상세표[기록월],"&lt;&gt;"&amp;대상월키,상세표[반영월],대상월키))</f>
        <v/>
      </c>
      <c r="J42">
        <f>IF($W42="","",SUMIFS(상세표[기록 시간외],상세표[사번키],INDEX(합계표[사번키],$W42),상세표[반영월],대상월키))</f>
        <v/>
      </c>
      <c r="K42">
        <f>IF($W42="","",IFERROR(INDEX(월별근무지표[적용 급여병원],MATCH(INDEX(합계표[사번키],$W42)&amp;"|"&amp;대상월키,월별근무지표[키],0))&amp;"",IF(COUNTIF(기관표[사번키],INDEX(합계표[사번키],$W42))+COUNTIF(월별근무지표[사번키],INDEX(합계표[사번키],$W42))&gt;0,IFERROR(INDEX(기관표[급여지급병원(기준월)],MATCH(INDEX(합계표[사번키],$W42)&amp;"|"&amp;대상월키,기관표[키],0))&amp;"","—"),"—")))</f>
        <v/>
      </c>
      <c r="L42">
        <f>IF($W42="","",IF(NOT(COUNTIF(기관표[사번키],INDEX(합계표[사번키],$W42))+COUNTIF(월별근무지표[사번키],INDEX(합계표[사번키],$W42))&gt;0),"기관명단에 없음(다른 병원으로 발송)",IF($K42="—","대상월 기관명단 없음(추가 필요)",IF($K42="서울병원","해당","비해당"))))</f>
        <v/>
      </c>
      <c r="M42">
        <f>IF($W42="","",SUMIFS(상세표[06~07시],상세표[사번키],INDEX(합계표[사번키],$W42),상세표[반영월],대상월키,상세표[반영 기관],"서울병원"))</f>
        <v/>
      </c>
      <c r="N42">
        <f>IF($W42="","",SUMIFS(상세표[07~18시],상세표[사번키],INDEX(합계표[사번키],$W42),상세표[반영월],대상월키,상세표[반영 기관],"서울병원"))</f>
        <v/>
      </c>
      <c r="O42">
        <f>IF($W42="","",SUMIFS(상세표[18~22시],상세표[사번키],INDEX(합계표[사번키],$W42),상세표[반영월],대상월키,상세표[반영 기관],"서울병원"))</f>
        <v/>
      </c>
      <c r="P42">
        <f>IF($W42="","",SUMIFS(상세표[22~06시],상세표[사번키],INDEX(합계표[사번키],$W42),상세표[반영월],대상월키,상세표[반영 기관],"서울병원"))</f>
        <v/>
      </c>
      <c r="Q42">
        <f>IF($W42="","",SUM($M42:$P42))</f>
        <v/>
      </c>
      <c r="R42">
        <f>IF($W42="","",COUNTIFS(상세표[사번키],INDEX(합계표[사번키],$W42),상세표[반영월],대상월키,상세표[야간당직],1,상세표[야간 구분],"평일"))</f>
        <v/>
      </c>
      <c r="S42" s="4">
        <f>IF($W42="","",COUNTIFS(상세표[사번키],INDEX(합계표[사번키],$W42),상세표[반영월],대상월키,상세표[야간당직],1,상세표[야간 구분],"휴일"))</f>
        <v/>
      </c>
      <c r="T42">
        <f>IF($W42="","",COUNTIFS(상세표[사번키],INDEX(합계표[사번키],$W42),상세표[반영월],대상월키,상세표[야간당직],1,상세표[야간 구분],"평일",상세표[반영 기관],"서울병원"))</f>
        <v/>
      </c>
      <c r="U42">
        <f>IF($W42="","",COUNTIFS(상세표[사번키],INDEX(합계표[사번키],$W42),상세표[반영월],대상월키,상세표[야간당직],1,상세표[야간 구분],"휴일",상세표[반영 기관],"서울병원"))</f>
        <v/>
      </c>
      <c r="V42">
        <f>IF($W42="","",IF(ISNUMBER(MATCH(INDEX(합계표[사번키],$W42)&amp;"|"&amp;대상월키,월별근무지표[키],0)),"직접 입력",IF($K42="—","—","기관명단")))</f>
        <v/>
      </c>
      <c r="W42">
        <f>IFERROR(MATCH(37,합계표[판정순번],0),"")</f>
        <v/>
      </c>
      <c r="Y42">
        <f>IF($AB42="","",INDEX(상세표[사번],$AB42)&amp;"")</f>
        <v/>
      </c>
      <c r="Z42">
        <f>IF($AB42="","",INDEX(상세표[성명],$AB42)&amp;"")</f>
        <v/>
      </c>
      <c r="AA42">
        <f>IF($AB42="","",SUMIFS(상세표[기록 시간외],상세표[사번키],INDEX(상세표[사번키],$AB42),상세표[반영월],대상월키))</f>
        <v/>
      </c>
      <c r="AB42" s="4">
        <f>IFERROR(MATCH(37,상세표[합계없음순번],0),"")</f>
        <v/>
      </c>
    </row>
    <row r="43">
      <c r="A43">
        <f>IF($W43="","",INDEX(합계표[사번],$W43)&amp;"")</f>
        <v/>
      </c>
      <c r="B43">
        <f>IF($W43="","",INDEX(합계표[성명],$W43)&amp;"")</f>
        <v/>
      </c>
      <c r="C43">
        <f>IF($W43="","",INDEX(합계표[부서],$W43)&amp;"")</f>
        <v/>
      </c>
      <c r="D43">
        <f>IF($W43="","",INDEX(합계표[직위(통합)],$W43)&amp;"")</f>
        <v/>
      </c>
      <c r="E43">
        <f>IF($W43="","",SUMIFS(합계표[시스템 합계],합계표[사번키],INDEX(합계표[사번키],$W43)))</f>
        <v/>
      </c>
      <c r="F43">
        <f>IF($W43="","",SUMIFS(상세표[기록 시간외],상세표[사번키],INDEX(합계표[사번키],$W43),상세표[기록월],대상월키))</f>
        <v/>
      </c>
      <c r="G43">
        <f>IF($W43="","",IF(ABS($E43-$F43)&lt;0.01,"일치","불일치(차이 "&amp;TEXT($F43-$E43,"0.00")&amp;")"))</f>
        <v/>
      </c>
      <c r="H43">
        <f>IF($W43="","",SUMIFS(상세표[기록 시간외],상세표[사번키],INDEX(합계표[사번키],$W43),상세표[기록월],대상월키,상세표[반영월],"&lt;&gt;"&amp;대상월키))</f>
        <v/>
      </c>
      <c r="I43">
        <f>IF($W43="","",SUMIFS(상세표[기록 시간외],상세표[사번키],INDEX(합계표[사번키],$W43),상세표[기록월],"&lt;&gt;"&amp;대상월키,상세표[반영월],대상월키))</f>
        <v/>
      </c>
      <c r="J43">
        <f>IF($W43="","",SUMIFS(상세표[기록 시간외],상세표[사번키],INDEX(합계표[사번키],$W43),상세표[반영월],대상월키))</f>
        <v/>
      </c>
      <c r="K43">
        <f>IF($W43="","",IFERROR(INDEX(월별근무지표[적용 급여병원],MATCH(INDEX(합계표[사번키],$W43)&amp;"|"&amp;대상월키,월별근무지표[키],0))&amp;"",IF(COUNTIF(기관표[사번키],INDEX(합계표[사번키],$W43))+COUNTIF(월별근무지표[사번키],INDEX(합계표[사번키],$W43))&gt;0,IFERROR(INDEX(기관표[급여지급병원(기준월)],MATCH(INDEX(합계표[사번키],$W43)&amp;"|"&amp;대상월키,기관표[키],0))&amp;"","—"),"—")))</f>
        <v/>
      </c>
      <c r="L43">
        <f>IF($W43="","",IF(NOT(COUNTIF(기관표[사번키],INDEX(합계표[사번키],$W43))+COUNTIF(월별근무지표[사번키],INDEX(합계표[사번키],$W43))&gt;0),"기관명단에 없음(다른 병원으로 발송)",IF($K43="—","대상월 기관명단 없음(추가 필요)",IF($K43="서울병원","해당","비해당"))))</f>
        <v/>
      </c>
      <c r="M43">
        <f>IF($W43="","",SUMIFS(상세표[06~07시],상세표[사번키],INDEX(합계표[사번키],$W43),상세표[반영월],대상월키,상세표[반영 기관],"서울병원"))</f>
        <v/>
      </c>
      <c r="N43">
        <f>IF($W43="","",SUMIFS(상세표[07~18시],상세표[사번키],INDEX(합계표[사번키],$W43),상세표[반영월],대상월키,상세표[반영 기관],"서울병원"))</f>
        <v/>
      </c>
      <c r="O43">
        <f>IF($W43="","",SUMIFS(상세표[18~22시],상세표[사번키],INDEX(합계표[사번키],$W43),상세표[반영월],대상월키,상세표[반영 기관],"서울병원"))</f>
        <v/>
      </c>
      <c r="P43">
        <f>IF($W43="","",SUMIFS(상세표[22~06시],상세표[사번키],INDEX(합계표[사번키],$W43),상세표[반영월],대상월키,상세표[반영 기관],"서울병원"))</f>
        <v/>
      </c>
      <c r="Q43">
        <f>IF($W43="","",SUM($M43:$P43))</f>
        <v/>
      </c>
      <c r="R43">
        <f>IF($W43="","",COUNTIFS(상세표[사번키],INDEX(합계표[사번키],$W43),상세표[반영월],대상월키,상세표[야간당직],1,상세표[야간 구분],"평일"))</f>
        <v/>
      </c>
      <c r="S43" s="4">
        <f>IF($W43="","",COUNTIFS(상세표[사번키],INDEX(합계표[사번키],$W43),상세표[반영월],대상월키,상세표[야간당직],1,상세표[야간 구분],"휴일"))</f>
        <v/>
      </c>
      <c r="T43">
        <f>IF($W43="","",COUNTIFS(상세표[사번키],INDEX(합계표[사번키],$W43),상세표[반영월],대상월키,상세표[야간당직],1,상세표[야간 구분],"평일",상세표[반영 기관],"서울병원"))</f>
        <v/>
      </c>
      <c r="U43">
        <f>IF($W43="","",COUNTIFS(상세표[사번키],INDEX(합계표[사번키],$W43),상세표[반영월],대상월키,상세표[야간당직],1,상세표[야간 구분],"휴일",상세표[반영 기관],"서울병원"))</f>
        <v/>
      </c>
      <c r="V43">
        <f>IF($W43="","",IF(ISNUMBER(MATCH(INDEX(합계표[사번키],$W43)&amp;"|"&amp;대상월키,월별근무지표[키],0)),"직접 입력",IF($K43="—","—","기관명단")))</f>
        <v/>
      </c>
      <c r="W43">
        <f>IFERROR(MATCH(38,합계표[판정순번],0),"")</f>
        <v/>
      </c>
      <c r="Y43">
        <f>IF($AB43="","",INDEX(상세표[사번],$AB43)&amp;"")</f>
        <v/>
      </c>
      <c r="Z43">
        <f>IF($AB43="","",INDEX(상세표[성명],$AB43)&amp;"")</f>
        <v/>
      </c>
      <c r="AA43">
        <f>IF($AB43="","",SUMIFS(상세표[기록 시간외],상세표[사번키],INDEX(상세표[사번키],$AB43),상세표[반영월],대상월키))</f>
        <v/>
      </c>
      <c r="AB43" s="4">
        <f>IFERROR(MATCH(38,상세표[합계없음순번],0),"")</f>
        <v/>
      </c>
    </row>
    <row r="44">
      <c r="A44">
        <f>IF($W44="","",INDEX(합계표[사번],$W44)&amp;"")</f>
        <v/>
      </c>
      <c r="B44">
        <f>IF($W44="","",INDEX(합계표[성명],$W44)&amp;"")</f>
        <v/>
      </c>
      <c r="C44">
        <f>IF($W44="","",INDEX(합계표[부서],$W44)&amp;"")</f>
        <v/>
      </c>
      <c r="D44">
        <f>IF($W44="","",INDEX(합계표[직위(통합)],$W44)&amp;"")</f>
        <v/>
      </c>
      <c r="E44">
        <f>IF($W44="","",SUMIFS(합계표[시스템 합계],합계표[사번키],INDEX(합계표[사번키],$W44)))</f>
        <v/>
      </c>
      <c r="F44">
        <f>IF($W44="","",SUMIFS(상세표[기록 시간외],상세표[사번키],INDEX(합계표[사번키],$W44),상세표[기록월],대상월키))</f>
        <v/>
      </c>
      <c r="G44">
        <f>IF($W44="","",IF(ABS($E44-$F44)&lt;0.01,"일치","불일치(차이 "&amp;TEXT($F44-$E44,"0.00")&amp;")"))</f>
        <v/>
      </c>
      <c r="H44">
        <f>IF($W44="","",SUMIFS(상세표[기록 시간외],상세표[사번키],INDEX(합계표[사번키],$W44),상세표[기록월],대상월키,상세표[반영월],"&lt;&gt;"&amp;대상월키))</f>
        <v/>
      </c>
      <c r="I44">
        <f>IF($W44="","",SUMIFS(상세표[기록 시간외],상세표[사번키],INDEX(합계표[사번키],$W44),상세표[기록월],"&lt;&gt;"&amp;대상월키,상세표[반영월],대상월키))</f>
        <v/>
      </c>
      <c r="J44">
        <f>IF($W44="","",SUMIFS(상세표[기록 시간외],상세표[사번키],INDEX(합계표[사번키],$W44),상세표[반영월],대상월키))</f>
        <v/>
      </c>
      <c r="K44">
        <f>IF($W44="","",IFERROR(INDEX(월별근무지표[적용 급여병원],MATCH(INDEX(합계표[사번키],$W44)&amp;"|"&amp;대상월키,월별근무지표[키],0))&amp;"",IF(COUNTIF(기관표[사번키],INDEX(합계표[사번키],$W44))+COUNTIF(월별근무지표[사번키],INDEX(합계표[사번키],$W44))&gt;0,IFERROR(INDEX(기관표[급여지급병원(기준월)],MATCH(INDEX(합계표[사번키],$W44)&amp;"|"&amp;대상월키,기관표[키],0))&amp;"","—"),"—")))</f>
        <v/>
      </c>
      <c r="L44">
        <f>IF($W44="","",IF(NOT(COUNTIF(기관표[사번키],INDEX(합계표[사번키],$W44))+COUNTIF(월별근무지표[사번키],INDEX(합계표[사번키],$W44))&gt;0),"기관명단에 없음(다른 병원으로 발송)",IF($K44="—","대상월 기관명단 없음(추가 필요)",IF($K44="서울병원","해당","비해당"))))</f>
        <v/>
      </c>
      <c r="M44">
        <f>IF($W44="","",SUMIFS(상세표[06~07시],상세표[사번키],INDEX(합계표[사번키],$W44),상세표[반영월],대상월키,상세표[반영 기관],"서울병원"))</f>
        <v/>
      </c>
      <c r="N44">
        <f>IF($W44="","",SUMIFS(상세표[07~18시],상세표[사번키],INDEX(합계표[사번키],$W44),상세표[반영월],대상월키,상세표[반영 기관],"서울병원"))</f>
        <v/>
      </c>
      <c r="O44">
        <f>IF($W44="","",SUMIFS(상세표[18~22시],상세표[사번키],INDEX(합계표[사번키],$W44),상세표[반영월],대상월키,상세표[반영 기관],"서울병원"))</f>
        <v/>
      </c>
      <c r="P44">
        <f>IF($W44="","",SUMIFS(상세표[22~06시],상세표[사번키],INDEX(합계표[사번키],$W44),상세표[반영월],대상월키,상세표[반영 기관],"서울병원"))</f>
        <v/>
      </c>
      <c r="Q44">
        <f>IF($W44="","",SUM($M44:$P44))</f>
        <v/>
      </c>
      <c r="R44">
        <f>IF($W44="","",COUNTIFS(상세표[사번키],INDEX(합계표[사번키],$W44),상세표[반영월],대상월키,상세표[야간당직],1,상세표[야간 구분],"평일"))</f>
        <v/>
      </c>
      <c r="S44" s="4">
        <f>IF($W44="","",COUNTIFS(상세표[사번키],INDEX(합계표[사번키],$W44),상세표[반영월],대상월키,상세표[야간당직],1,상세표[야간 구분],"휴일"))</f>
        <v/>
      </c>
      <c r="T44">
        <f>IF($W44="","",COUNTIFS(상세표[사번키],INDEX(합계표[사번키],$W44),상세표[반영월],대상월키,상세표[야간당직],1,상세표[야간 구분],"평일",상세표[반영 기관],"서울병원"))</f>
        <v/>
      </c>
      <c r="U44">
        <f>IF($W44="","",COUNTIFS(상세표[사번키],INDEX(합계표[사번키],$W44),상세표[반영월],대상월키,상세표[야간당직],1,상세표[야간 구분],"휴일",상세표[반영 기관],"서울병원"))</f>
        <v/>
      </c>
      <c r="V44">
        <f>IF($W44="","",IF(ISNUMBER(MATCH(INDEX(합계표[사번키],$W44)&amp;"|"&amp;대상월키,월별근무지표[키],0)),"직접 입력",IF($K44="—","—","기관명단")))</f>
        <v/>
      </c>
      <c r="W44">
        <f>IFERROR(MATCH(39,합계표[판정순번],0),"")</f>
        <v/>
      </c>
      <c r="Y44">
        <f>IF($AB44="","",INDEX(상세표[사번],$AB44)&amp;"")</f>
        <v/>
      </c>
      <c r="Z44">
        <f>IF($AB44="","",INDEX(상세표[성명],$AB44)&amp;"")</f>
        <v/>
      </c>
      <c r="AA44">
        <f>IF($AB44="","",SUMIFS(상세표[기록 시간외],상세표[사번키],INDEX(상세표[사번키],$AB44),상세표[반영월],대상월키))</f>
        <v/>
      </c>
      <c r="AB44" s="4">
        <f>IFERROR(MATCH(39,상세표[합계없음순번],0),"")</f>
        <v/>
      </c>
    </row>
    <row r="45">
      <c r="A45">
        <f>IF($W45="","",INDEX(합계표[사번],$W45)&amp;"")</f>
        <v/>
      </c>
      <c r="B45">
        <f>IF($W45="","",INDEX(합계표[성명],$W45)&amp;"")</f>
        <v/>
      </c>
      <c r="C45">
        <f>IF($W45="","",INDEX(합계표[부서],$W45)&amp;"")</f>
        <v/>
      </c>
      <c r="D45">
        <f>IF($W45="","",INDEX(합계표[직위(통합)],$W45)&amp;"")</f>
        <v/>
      </c>
      <c r="E45">
        <f>IF($W45="","",SUMIFS(합계표[시스템 합계],합계표[사번키],INDEX(합계표[사번키],$W45)))</f>
        <v/>
      </c>
      <c r="F45">
        <f>IF($W45="","",SUMIFS(상세표[기록 시간외],상세표[사번키],INDEX(합계표[사번키],$W45),상세표[기록월],대상월키))</f>
        <v/>
      </c>
      <c r="G45">
        <f>IF($W45="","",IF(ABS($E45-$F45)&lt;0.01,"일치","불일치(차이 "&amp;TEXT($F45-$E45,"0.00")&amp;")"))</f>
        <v/>
      </c>
      <c r="H45">
        <f>IF($W45="","",SUMIFS(상세표[기록 시간외],상세표[사번키],INDEX(합계표[사번키],$W45),상세표[기록월],대상월키,상세표[반영월],"&lt;&gt;"&amp;대상월키))</f>
        <v/>
      </c>
      <c r="I45">
        <f>IF($W45="","",SUMIFS(상세표[기록 시간외],상세표[사번키],INDEX(합계표[사번키],$W45),상세표[기록월],"&lt;&gt;"&amp;대상월키,상세표[반영월],대상월키))</f>
        <v/>
      </c>
      <c r="J45">
        <f>IF($W45="","",SUMIFS(상세표[기록 시간외],상세표[사번키],INDEX(합계표[사번키],$W45),상세표[반영월],대상월키))</f>
        <v/>
      </c>
      <c r="K45">
        <f>IF($W45="","",IFERROR(INDEX(월별근무지표[적용 급여병원],MATCH(INDEX(합계표[사번키],$W45)&amp;"|"&amp;대상월키,월별근무지표[키],0))&amp;"",IF(COUNTIF(기관표[사번키],INDEX(합계표[사번키],$W45))+COUNTIF(월별근무지표[사번키],INDEX(합계표[사번키],$W45))&gt;0,IFERROR(INDEX(기관표[급여지급병원(기준월)],MATCH(INDEX(합계표[사번키],$W45)&amp;"|"&amp;대상월키,기관표[키],0))&amp;"","—"),"—")))</f>
        <v/>
      </c>
      <c r="L45">
        <f>IF($W45="","",IF(NOT(COUNTIF(기관표[사번키],INDEX(합계표[사번키],$W45))+COUNTIF(월별근무지표[사번키],INDEX(합계표[사번키],$W45))&gt;0),"기관명단에 없음(다른 병원으로 발송)",IF($K45="—","대상월 기관명단 없음(추가 필요)",IF($K45="서울병원","해당","비해당"))))</f>
        <v/>
      </c>
      <c r="M45">
        <f>IF($W45="","",SUMIFS(상세표[06~07시],상세표[사번키],INDEX(합계표[사번키],$W45),상세표[반영월],대상월키,상세표[반영 기관],"서울병원"))</f>
        <v/>
      </c>
      <c r="N45">
        <f>IF($W45="","",SUMIFS(상세표[07~18시],상세표[사번키],INDEX(합계표[사번키],$W45),상세표[반영월],대상월키,상세표[반영 기관],"서울병원"))</f>
        <v/>
      </c>
      <c r="O45">
        <f>IF($W45="","",SUMIFS(상세표[18~22시],상세표[사번키],INDEX(합계표[사번키],$W45),상세표[반영월],대상월키,상세표[반영 기관],"서울병원"))</f>
        <v/>
      </c>
      <c r="P45">
        <f>IF($W45="","",SUMIFS(상세표[22~06시],상세표[사번키],INDEX(합계표[사번키],$W45),상세표[반영월],대상월키,상세표[반영 기관],"서울병원"))</f>
        <v/>
      </c>
      <c r="Q45">
        <f>IF($W45="","",SUM($M45:$P45))</f>
        <v/>
      </c>
      <c r="R45">
        <f>IF($W45="","",COUNTIFS(상세표[사번키],INDEX(합계표[사번키],$W45),상세표[반영월],대상월키,상세표[야간당직],1,상세표[야간 구분],"평일"))</f>
        <v/>
      </c>
      <c r="S45" s="4">
        <f>IF($W45="","",COUNTIFS(상세표[사번키],INDEX(합계표[사번키],$W45),상세표[반영월],대상월키,상세표[야간당직],1,상세표[야간 구분],"휴일"))</f>
        <v/>
      </c>
      <c r="T45">
        <f>IF($W45="","",COUNTIFS(상세표[사번키],INDEX(합계표[사번키],$W45),상세표[반영월],대상월키,상세표[야간당직],1,상세표[야간 구분],"평일",상세표[반영 기관],"서울병원"))</f>
        <v/>
      </c>
      <c r="U45">
        <f>IF($W45="","",COUNTIFS(상세표[사번키],INDEX(합계표[사번키],$W45),상세표[반영월],대상월키,상세표[야간당직],1,상세표[야간 구분],"휴일",상세표[반영 기관],"서울병원"))</f>
        <v/>
      </c>
      <c r="V45">
        <f>IF($W45="","",IF(ISNUMBER(MATCH(INDEX(합계표[사번키],$W45)&amp;"|"&amp;대상월키,월별근무지표[키],0)),"직접 입력",IF($K45="—","—","기관명단")))</f>
        <v/>
      </c>
      <c r="W45">
        <f>IFERROR(MATCH(40,합계표[판정순번],0),"")</f>
        <v/>
      </c>
      <c r="Y45">
        <f>IF($AB45="","",INDEX(상세표[사번],$AB45)&amp;"")</f>
        <v/>
      </c>
      <c r="Z45">
        <f>IF($AB45="","",INDEX(상세표[성명],$AB45)&amp;"")</f>
        <v/>
      </c>
      <c r="AA45">
        <f>IF($AB45="","",SUMIFS(상세표[기록 시간외],상세표[사번키],INDEX(상세표[사번키],$AB45),상세표[반영월],대상월키))</f>
        <v/>
      </c>
      <c r="AB45" s="4">
        <f>IFERROR(MATCH(40,상세표[합계없음순번],0),"")</f>
        <v/>
      </c>
    </row>
    <row r="46">
      <c r="A46">
        <f>IF($W46="","",INDEX(합계표[사번],$W46)&amp;"")</f>
        <v/>
      </c>
      <c r="B46">
        <f>IF($W46="","",INDEX(합계표[성명],$W46)&amp;"")</f>
        <v/>
      </c>
      <c r="C46">
        <f>IF($W46="","",INDEX(합계표[부서],$W46)&amp;"")</f>
        <v/>
      </c>
      <c r="D46">
        <f>IF($W46="","",INDEX(합계표[직위(통합)],$W46)&amp;"")</f>
        <v/>
      </c>
      <c r="E46">
        <f>IF($W46="","",SUMIFS(합계표[시스템 합계],합계표[사번키],INDEX(합계표[사번키],$W46)))</f>
        <v/>
      </c>
      <c r="F46">
        <f>IF($W46="","",SUMIFS(상세표[기록 시간외],상세표[사번키],INDEX(합계표[사번키],$W46),상세표[기록월],대상월키))</f>
        <v/>
      </c>
      <c r="G46">
        <f>IF($W46="","",IF(ABS($E46-$F46)&lt;0.01,"일치","불일치(차이 "&amp;TEXT($F46-$E46,"0.00")&amp;")"))</f>
        <v/>
      </c>
      <c r="H46">
        <f>IF($W46="","",SUMIFS(상세표[기록 시간외],상세표[사번키],INDEX(합계표[사번키],$W46),상세표[기록월],대상월키,상세표[반영월],"&lt;&gt;"&amp;대상월키))</f>
        <v/>
      </c>
      <c r="I46">
        <f>IF($W46="","",SUMIFS(상세표[기록 시간외],상세표[사번키],INDEX(합계표[사번키],$W46),상세표[기록월],"&lt;&gt;"&amp;대상월키,상세표[반영월],대상월키))</f>
        <v/>
      </c>
      <c r="J46">
        <f>IF($W46="","",SUMIFS(상세표[기록 시간외],상세표[사번키],INDEX(합계표[사번키],$W46),상세표[반영월],대상월키))</f>
        <v/>
      </c>
      <c r="K46">
        <f>IF($W46="","",IFERROR(INDEX(월별근무지표[적용 급여병원],MATCH(INDEX(합계표[사번키],$W46)&amp;"|"&amp;대상월키,월별근무지표[키],0))&amp;"",IF(COUNTIF(기관표[사번키],INDEX(합계표[사번키],$W46))+COUNTIF(월별근무지표[사번키],INDEX(합계표[사번키],$W46))&gt;0,IFERROR(INDEX(기관표[급여지급병원(기준월)],MATCH(INDEX(합계표[사번키],$W46)&amp;"|"&amp;대상월키,기관표[키],0))&amp;"","—"),"—")))</f>
        <v/>
      </c>
      <c r="L46">
        <f>IF($W46="","",IF(NOT(COUNTIF(기관표[사번키],INDEX(합계표[사번키],$W46))+COUNTIF(월별근무지표[사번키],INDEX(합계표[사번키],$W46))&gt;0),"기관명단에 없음(다른 병원으로 발송)",IF($K46="—","대상월 기관명단 없음(추가 필요)",IF($K46="서울병원","해당","비해당"))))</f>
        <v/>
      </c>
      <c r="M46">
        <f>IF($W46="","",SUMIFS(상세표[06~07시],상세표[사번키],INDEX(합계표[사번키],$W46),상세표[반영월],대상월키,상세표[반영 기관],"서울병원"))</f>
        <v/>
      </c>
      <c r="N46">
        <f>IF($W46="","",SUMIFS(상세표[07~18시],상세표[사번키],INDEX(합계표[사번키],$W46),상세표[반영월],대상월키,상세표[반영 기관],"서울병원"))</f>
        <v/>
      </c>
      <c r="O46">
        <f>IF($W46="","",SUMIFS(상세표[18~22시],상세표[사번키],INDEX(합계표[사번키],$W46),상세표[반영월],대상월키,상세표[반영 기관],"서울병원"))</f>
        <v/>
      </c>
      <c r="P46">
        <f>IF($W46="","",SUMIFS(상세표[22~06시],상세표[사번키],INDEX(합계표[사번키],$W46),상세표[반영월],대상월키,상세표[반영 기관],"서울병원"))</f>
        <v/>
      </c>
      <c r="Q46">
        <f>IF($W46="","",SUM($M46:$P46))</f>
        <v/>
      </c>
      <c r="R46">
        <f>IF($W46="","",COUNTIFS(상세표[사번키],INDEX(합계표[사번키],$W46),상세표[반영월],대상월키,상세표[야간당직],1,상세표[야간 구분],"평일"))</f>
        <v/>
      </c>
      <c r="S46" s="4">
        <f>IF($W46="","",COUNTIFS(상세표[사번키],INDEX(합계표[사번키],$W46),상세표[반영월],대상월키,상세표[야간당직],1,상세표[야간 구분],"휴일"))</f>
        <v/>
      </c>
      <c r="T46">
        <f>IF($W46="","",COUNTIFS(상세표[사번키],INDEX(합계표[사번키],$W46),상세표[반영월],대상월키,상세표[야간당직],1,상세표[야간 구분],"평일",상세표[반영 기관],"서울병원"))</f>
        <v/>
      </c>
      <c r="U46">
        <f>IF($W46="","",COUNTIFS(상세표[사번키],INDEX(합계표[사번키],$W46),상세표[반영월],대상월키,상세표[야간당직],1,상세표[야간 구분],"휴일",상세표[반영 기관],"서울병원"))</f>
        <v/>
      </c>
      <c r="V46">
        <f>IF($W46="","",IF(ISNUMBER(MATCH(INDEX(합계표[사번키],$W46)&amp;"|"&amp;대상월키,월별근무지표[키],0)),"직접 입력",IF($K46="—","—","기관명단")))</f>
        <v/>
      </c>
      <c r="W46">
        <f>IFERROR(MATCH(41,합계표[판정순번],0),"")</f>
        <v/>
      </c>
      <c r="Y46">
        <f>IF($AB46="","",INDEX(상세표[사번],$AB46)&amp;"")</f>
        <v/>
      </c>
      <c r="Z46">
        <f>IF($AB46="","",INDEX(상세표[성명],$AB46)&amp;"")</f>
        <v/>
      </c>
      <c r="AA46">
        <f>IF($AB46="","",SUMIFS(상세표[기록 시간외],상세표[사번키],INDEX(상세표[사번키],$AB46),상세표[반영월],대상월키))</f>
        <v/>
      </c>
      <c r="AB46" s="4">
        <f>IFERROR(MATCH(41,상세표[합계없음순번],0),"")</f>
        <v/>
      </c>
    </row>
    <row r="47">
      <c r="A47">
        <f>IF($W47="","",INDEX(합계표[사번],$W47)&amp;"")</f>
        <v/>
      </c>
      <c r="B47">
        <f>IF($W47="","",INDEX(합계표[성명],$W47)&amp;"")</f>
        <v/>
      </c>
      <c r="C47">
        <f>IF($W47="","",INDEX(합계표[부서],$W47)&amp;"")</f>
        <v/>
      </c>
      <c r="D47">
        <f>IF($W47="","",INDEX(합계표[직위(통합)],$W47)&amp;"")</f>
        <v/>
      </c>
      <c r="E47">
        <f>IF($W47="","",SUMIFS(합계표[시스템 합계],합계표[사번키],INDEX(합계표[사번키],$W47)))</f>
        <v/>
      </c>
      <c r="F47">
        <f>IF($W47="","",SUMIFS(상세표[기록 시간외],상세표[사번키],INDEX(합계표[사번키],$W47),상세표[기록월],대상월키))</f>
        <v/>
      </c>
      <c r="G47">
        <f>IF($W47="","",IF(ABS($E47-$F47)&lt;0.01,"일치","불일치(차이 "&amp;TEXT($F47-$E47,"0.00")&amp;")"))</f>
        <v/>
      </c>
      <c r="H47">
        <f>IF($W47="","",SUMIFS(상세표[기록 시간외],상세표[사번키],INDEX(합계표[사번키],$W47),상세표[기록월],대상월키,상세표[반영월],"&lt;&gt;"&amp;대상월키))</f>
        <v/>
      </c>
      <c r="I47">
        <f>IF($W47="","",SUMIFS(상세표[기록 시간외],상세표[사번키],INDEX(합계표[사번키],$W47),상세표[기록월],"&lt;&gt;"&amp;대상월키,상세표[반영월],대상월키))</f>
        <v/>
      </c>
      <c r="J47">
        <f>IF($W47="","",SUMIFS(상세표[기록 시간외],상세표[사번키],INDEX(합계표[사번키],$W47),상세표[반영월],대상월키))</f>
        <v/>
      </c>
      <c r="K47">
        <f>IF($W47="","",IFERROR(INDEX(월별근무지표[적용 급여병원],MATCH(INDEX(합계표[사번키],$W47)&amp;"|"&amp;대상월키,월별근무지표[키],0))&amp;"",IF(COUNTIF(기관표[사번키],INDEX(합계표[사번키],$W47))+COUNTIF(월별근무지표[사번키],INDEX(합계표[사번키],$W47))&gt;0,IFERROR(INDEX(기관표[급여지급병원(기준월)],MATCH(INDEX(합계표[사번키],$W47)&amp;"|"&amp;대상월키,기관표[키],0))&amp;"","—"),"—")))</f>
        <v/>
      </c>
      <c r="L47">
        <f>IF($W47="","",IF(NOT(COUNTIF(기관표[사번키],INDEX(합계표[사번키],$W47))+COUNTIF(월별근무지표[사번키],INDEX(합계표[사번키],$W47))&gt;0),"기관명단에 없음(다른 병원으로 발송)",IF($K47="—","대상월 기관명단 없음(추가 필요)",IF($K47="서울병원","해당","비해당"))))</f>
        <v/>
      </c>
      <c r="M47">
        <f>IF($W47="","",SUMIFS(상세표[06~07시],상세표[사번키],INDEX(합계표[사번키],$W47),상세표[반영월],대상월키,상세표[반영 기관],"서울병원"))</f>
        <v/>
      </c>
      <c r="N47">
        <f>IF($W47="","",SUMIFS(상세표[07~18시],상세표[사번키],INDEX(합계표[사번키],$W47),상세표[반영월],대상월키,상세표[반영 기관],"서울병원"))</f>
        <v/>
      </c>
      <c r="O47">
        <f>IF($W47="","",SUMIFS(상세표[18~22시],상세표[사번키],INDEX(합계표[사번키],$W47),상세표[반영월],대상월키,상세표[반영 기관],"서울병원"))</f>
        <v/>
      </c>
      <c r="P47">
        <f>IF($W47="","",SUMIFS(상세표[22~06시],상세표[사번키],INDEX(합계표[사번키],$W47),상세표[반영월],대상월키,상세표[반영 기관],"서울병원"))</f>
        <v/>
      </c>
      <c r="Q47">
        <f>IF($W47="","",SUM($M47:$P47))</f>
        <v/>
      </c>
      <c r="R47">
        <f>IF($W47="","",COUNTIFS(상세표[사번키],INDEX(합계표[사번키],$W47),상세표[반영월],대상월키,상세표[야간당직],1,상세표[야간 구분],"평일"))</f>
        <v/>
      </c>
      <c r="S47" s="4">
        <f>IF($W47="","",COUNTIFS(상세표[사번키],INDEX(합계표[사번키],$W47),상세표[반영월],대상월키,상세표[야간당직],1,상세표[야간 구분],"휴일"))</f>
        <v/>
      </c>
      <c r="T47">
        <f>IF($W47="","",COUNTIFS(상세표[사번키],INDEX(합계표[사번키],$W47),상세표[반영월],대상월키,상세표[야간당직],1,상세표[야간 구분],"평일",상세표[반영 기관],"서울병원"))</f>
        <v/>
      </c>
      <c r="U47">
        <f>IF($W47="","",COUNTIFS(상세표[사번키],INDEX(합계표[사번키],$W47),상세표[반영월],대상월키,상세표[야간당직],1,상세표[야간 구분],"휴일",상세표[반영 기관],"서울병원"))</f>
        <v/>
      </c>
      <c r="V47">
        <f>IF($W47="","",IF(ISNUMBER(MATCH(INDEX(합계표[사번키],$W47)&amp;"|"&amp;대상월키,월별근무지표[키],0)),"직접 입력",IF($K47="—","—","기관명단")))</f>
        <v/>
      </c>
      <c r="W47">
        <f>IFERROR(MATCH(42,합계표[판정순번],0),"")</f>
        <v/>
      </c>
      <c r="Y47">
        <f>IF($AB47="","",INDEX(상세표[사번],$AB47)&amp;"")</f>
        <v/>
      </c>
      <c r="Z47">
        <f>IF($AB47="","",INDEX(상세표[성명],$AB47)&amp;"")</f>
        <v/>
      </c>
      <c r="AA47">
        <f>IF($AB47="","",SUMIFS(상세표[기록 시간외],상세표[사번키],INDEX(상세표[사번키],$AB47),상세표[반영월],대상월키))</f>
        <v/>
      </c>
      <c r="AB47" s="4">
        <f>IFERROR(MATCH(42,상세표[합계없음순번],0),"")</f>
        <v/>
      </c>
    </row>
    <row r="48">
      <c r="A48">
        <f>IF($W48="","",INDEX(합계표[사번],$W48)&amp;"")</f>
        <v/>
      </c>
      <c r="B48">
        <f>IF($W48="","",INDEX(합계표[성명],$W48)&amp;"")</f>
        <v/>
      </c>
      <c r="C48">
        <f>IF($W48="","",INDEX(합계표[부서],$W48)&amp;"")</f>
        <v/>
      </c>
      <c r="D48">
        <f>IF($W48="","",INDEX(합계표[직위(통합)],$W48)&amp;"")</f>
        <v/>
      </c>
      <c r="E48">
        <f>IF($W48="","",SUMIFS(합계표[시스템 합계],합계표[사번키],INDEX(합계표[사번키],$W48)))</f>
        <v/>
      </c>
      <c r="F48">
        <f>IF($W48="","",SUMIFS(상세표[기록 시간외],상세표[사번키],INDEX(합계표[사번키],$W48),상세표[기록월],대상월키))</f>
        <v/>
      </c>
      <c r="G48">
        <f>IF($W48="","",IF(ABS($E48-$F48)&lt;0.01,"일치","불일치(차이 "&amp;TEXT($F48-$E48,"0.00")&amp;")"))</f>
        <v/>
      </c>
      <c r="H48">
        <f>IF($W48="","",SUMIFS(상세표[기록 시간외],상세표[사번키],INDEX(합계표[사번키],$W48),상세표[기록월],대상월키,상세표[반영월],"&lt;&gt;"&amp;대상월키))</f>
        <v/>
      </c>
      <c r="I48">
        <f>IF($W48="","",SUMIFS(상세표[기록 시간외],상세표[사번키],INDEX(합계표[사번키],$W48),상세표[기록월],"&lt;&gt;"&amp;대상월키,상세표[반영월],대상월키))</f>
        <v/>
      </c>
      <c r="J48">
        <f>IF($W48="","",SUMIFS(상세표[기록 시간외],상세표[사번키],INDEX(합계표[사번키],$W48),상세표[반영월],대상월키))</f>
        <v/>
      </c>
      <c r="K48">
        <f>IF($W48="","",IFERROR(INDEX(월별근무지표[적용 급여병원],MATCH(INDEX(합계표[사번키],$W48)&amp;"|"&amp;대상월키,월별근무지표[키],0))&amp;"",IF(COUNTIF(기관표[사번키],INDEX(합계표[사번키],$W48))+COUNTIF(월별근무지표[사번키],INDEX(합계표[사번키],$W48))&gt;0,IFERROR(INDEX(기관표[급여지급병원(기준월)],MATCH(INDEX(합계표[사번키],$W48)&amp;"|"&amp;대상월키,기관표[키],0))&amp;"","—"),"—")))</f>
        <v/>
      </c>
      <c r="L48">
        <f>IF($W48="","",IF(NOT(COUNTIF(기관표[사번키],INDEX(합계표[사번키],$W48))+COUNTIF(월별근무지표[사번키],INDEX(합계표[사번키],$W48))&gt;0),"기관명단에 없음(다른 병원으로 발송)",IF($K48="—","대상월 기관명단 없음(추가 필요)",IF($K48="서울병원","해당","비해당"))))</f>
        <v/>
      </c>
      <c r="M48">
        <f>IF($W48="","",SUMIFS(상세표[06~07시],상세표[사번키],INDEX(합계표[사번키],$W48),상세표[반영월],대상월키,상세표[반영 기관],"서울병원"))</f>
        <v/>
      </c>
      <c r="N48">
        <f>IF($W48="","",SUMIFS(상세표[07~18시],상세표[사번키],INDEX(합계표[사번키],$W48),상세표[반영월],대상월키,상세표[반영 기관],"서울병원"))</f>
        <v/>
      </c>
      <c r="O48">
        <f>IF($W48="","",SUMIFS(상세표[18~22시],상세표[사번키],INDEX(합계표[사번키],$W48),상세표[반영월],대상월키,상세표[반영 기관],"서울병원"))</f>
        <v/>
      </c>
      <c r="P48">
        <f>IF($W48="","",SUMIFS(상세표[22~06시],상세표[사번키],INDEX(합계표[사번키],$W48),상세표[반영월],대상월키,상세표[반영 기관],"서울병원"))</f>
        <v/>
      </c>
      <c r="Q48">
        <f>IF($W48="","",SUM($M48:$P48))</f>
        <v/>
      </c>
      <c r="R48">
        <f>IF($W48="","",COUNTIFS(상세표[사번키],INDEX(합계표[사번키],$W48),상세표[반영월],대상월키,상세표[야간당직],1,상세표[야간 구분],"평일"))</f>
        <v/>
      </c>
      <c r="S48" s="4">
        <f>IF($W48="","",COUNTIFS(상세표[사번키],INDEX(합계표[사번키],$W48),상세표[반영월],대상월키,상세표[야간당직],1,상세표[야간 구분],"휴일"))</f>
        <v/>
      </c>
      <c r="T48">
        <f>IF($W48="","",COUNTIFS(상세표[사번키],INDEX(합계표[사번키],$W48),상세표[반영월],대상월키,상세표[야간당직],1,상세표[야간 구분],"평일",상세표[반영 기관],"서울병원"))</f>
        <v/>
      </c>
      <c r="U48">
        <f>IF($W48="","",COUNTIFS(상세표[사번키],INDEX(합계표[사번키],$W48),상세표[반영월],대상월키,상세표[야간당직],1,상세표[야간 구분],"휴일",상세표[반영 기관],"서울병원"))</f>
        <v/>
      </c>
      <c r="V48">
        <f>IF($W48="","",IF(ISNUMBER(MATCH(INDEX(합계표[사번키],$W48)&amp;"|"&amp;대상월키,월별근무지표[키],0)),"직접 입력",IF($K48="—","—","기관명단")))</f>
        <v/>
      </c>
      <c r="W48">
        <f>IFERROR(MATCH(43,합계표[판정순번],0),"")</f>
        <v/>
      </c>
      <c r="Y48">
        <f>IF($AB48="","",INDEX(상세표[사번],$AB48)&amp;"")</f>
        <v/>
      </c>
      <c r="Z48">
        <f>IF($AB48="","",INDEX(상세표[성명],$AB48)&amp;"")</f>
        <v/>
      </c>
      <c r="AA48">
        <f>IF($AB48="","",SUMIFS(상세표[기록 시간외],상세표[사번키],INDEX(상세표[사번키],$AB48),상세표[반영월],대상월키))</f>
        <v/>
      </c>
      <c r="AB48" s="4">
        <f>IFERROR(MATCH(43,상세표[합계없음순번],0),"")</f>
        <v/>
      </c>
    </row>
    <row r="49">
      <c r="A49">
        <f>IF($W49="","",INDEX(합계표[사번],$W49)&amp;"")</f>
        <v/>
      </c>
      <c r="B49">
        <f>IF($W49="","",INDEX(합계표[성명],$W49)&amp;"")</f>
        <v/>
      </c>
      <c r="C49">
        <f>IF($W49="","",INDEX(합계표[부서],$W49)&amp;"")</f>
        <v/>
      </c>
      <c r="D49">
        <f>IF($W49="","",INDEX(합계표[직위(통합)],$W49)&amp;"")</f>
        <v/>
      </c>
      <c r="E49">
        <f>IF($W49="","",SUMIFS(합계표[시스템 합계],합계표[사번키],INDEX(합계표[사번키],$W49)))</f>
        <v/>
      </c>
      <c r="F49">
        <f>IF($W49="","",SUMIFS(상세표[기록 시간외],상세표[사번키],INDEX(합계표[사번키],$W49),상세표[기록월],대상월키))</f>
        <v/>
      </c>
      <c r="G49">
        <f>IF($W49="","",IF(ABS($E49-$F49)&lt;0.01,"일치","불일치(차이 "&amp;TEXT($F49-$E49,"0.00")&amp;")"))</f>
        <v/>
      </c>
      <c r="H49">
        <f>IF($W49="","",SUMIFS(상세표[기록 시간외],상세표[사번키],INDEX(합계표[사번키],$W49),상세표[기록월],대상월키,상세표[반영월],"&lt;&gt;"&amp;대상월키))</f>
        <v/>
      </c>
      <c r="I49">
        <f>IF($W49="","",SUMIFS(상세표[기록 시간외],상세표[사번키],INDEX(합계표[사번키],$W49),상세표[기록월],"&lt;&gt;"&amp;대상월키,상세표[반영월],대상월키))</f>
        <v/>
      </c>
      <c r="J49">
        <f>IF($W49="","",SUMIFS(상세표[기록 시간외],상세표[사번키],INDEX(합계표[사번키],$W49),상세표[반영월],대상월키))</f>
        <v/>
      </c>
      <c r="K49">
        <f>IF($W49="","",IFERROR(INDEX(월별근무지표[적용 급여병원],MATCH(INDEX(합계표[사번키],$W49)&amp;"|"&amp;대상월키,월별근무지표[키],0))&amp;"",IF(COUNTIF(기관표[사번키],INDEX(합계표[사번키],$W49))+COUNTIF(월별근무지표[사번키],INDEX(합계표[사번키],$W49))&gt;0,IFERROR(INDEX(기관표[급여지급병원(기준월)],MATCH(INDEX(합계표[사번키],$W49)&amp;"|"&amp;대상월키,기관표[키],0))&amp;"","—"),"—")))</f>
        <v/>
      </c>
      <c r="L49">
        <f>IF($W49="","",IF(NOT(COUNTIF(기관표[사번키],INDEX(합계표[사번키],$W49))+COUNTIF(월별근무지표[사번키],INDEX(합계표[사번키],$W49))&gt;0),"기관명단에 없음(다른 병원으로 발송)",IF($K49="—","대상월 기관명단 없음(추가 필요)",IF($K49="서울병원","해당","비해당"))))</f>
        <v/>
      </c>
      <c r="M49">
        <f>IF($W49="","",SUMIFS(상세표[06~07시],상세표[사번키],INDEX(합계표[사번키],$W49),상세표[반영월],대상월키,상세표[반영 기관],"서울병원"))</f>
        <v/>
      </c>
      <c r="N49">
        <f>IF($W49="","",SUMIFS(상세표[07~18시],상세표[사번키],INDEX(합계표[사번키],$W49),상세표[반영월],대상월키,상세표[반영 기관],"서울병원"))</f>
        <v/>
      </c>
      <c r="O49">
        <f>IF($W49="","",SUMIFS(상세표[18~22시],상세표[사번키],INDEX(합계표[사번키],$W49),상세표[반영월],대상월키,상세표[반영 기관],"서울병원"))</f>
        <v/>
      </c>
      <c r="P49">
        <f>IF($W49="","",SUMIFS(상세표[22~06시],상세표[사번키],INDEX(합계표[사번키],$W49),상세표[반영월],대상월키,상세표[반영 기관],"서울병원"))</f>
        <v/>
      </c>
      <c r="Q49">
        <f>IF($W49="","",SUM($M49:$P49))</f>
        <v/>
      </c>
      <c r="R49">
        <f>IF($W49="","",COUNTIFS(상세표[사번키],INDEX(합계표[사번키],$W49),상세표[반영월],대상월키,상세표[야간당직],1,상세표[야간 구분],"평일"))</f>
        <v/>
      </c>
      <c r="S49" s="4">
        <f>IF($W49="","",COUNTIFS(상세표[사번키],INDEX(합계표[사번키],$W49),상세표[반영월],대상월키,상세표[야간당직],1,상세표[야간 구분],"휴일"))</f>
        <v/>
      </c>
      <c r="T49">
        <f>IF($W49="","",COUNTIFS(상세표[사번키],INDEX(합계표[사번키],$W49),상세표[반영월],대상월키,상세표[야간당직],1,상세표[야간 구분],"평일",상세표[반영 기관],"서울병원"))</f>
        <v/>
      </c>
      <c r="U49">
        <f>IF($W49="","",COUNTIFS(상세표[사번키],INDEX(합계표[사번키],$W49),상세표[반영월],대상월키,상세표[야간당직],1,상세표[야간 구분],"휴일",상세표[반영 기관],"서울병원"))</f>
        <v/>
      </c>
      <c r="V49">
        <f>IF($W49="","",IF(ISNUMBER(MATCH(INDEX(합계표[사번키],$W49)&amp;"|"&amp;대상월키,월별근무지표[키],0)),"직접 입력",IF($K49="—","—","기관명단")))</f>
        <v/>
      </c>
      <c r="W49">
        <f>IFERROR(MATCH(44,합계표[판정순번],0),"")</f>
        <v/>
      </c>
      <c r="Y49">
        <f>IF($AB49="","",INDEX(상세표[사번],$AB49)&amp;"")</f>
        <v/>
      </c>
      <c r="Z49">
        <f>IF($AB49="","",INDEX(상세표[성명],$AB49)&amp;"")</f>
        <v/>
      </c>
      <c r="AA49">
        <f>IF($AB49="","",SUMIFS(상세표[기록 시간외],상세표[사번키],INDEX(상세표[사번키],$AB49),상세표[반영월],대상월키))</f>
        <v/>
      </c>
      <c r="AB49" s="4">
        <f>IFERROR(MATCH(44,상세표[합계없음순번],0),"")</f>
        <v/>
      </c>
    </row>
    <row r="50">
      <c r="A50">
        <f>IF($W50="","",INDEX(합계표[사번],$W50)&amp;"")</f>
        <v/>
      </c>
      <c r="B50">
        <f>IF($W50="","",INDEX(합계표[성명],$W50)&amp;"")</f>
        <v/>
      </c>
      <c r="C50">
        <f>IF($W50="","",INDEX(합계표[부서],$W50)&amp;"")</f>
        <v/>
      </c>
      <c r="D50">
        <f>IF($W50="","",INDEX(합계표[직위(통합)],$W50)&amp;"")</f>
        <v/>
      </c>
      <c r="E50">
        <f>IF($W50="","",SUMIFS(합계표[시스템 합계],합계표[사번키],INDEX(합계표[사번키],$W50)))</f>
        <v/>
      </c>
      <c r="F50">
        <f>IF($W50="","",SUMIFS(상세표[기록 시간외],상세표[사번키],INDEX(합계표[사번키],$W50),상세표[기록월],대상월키))</f>
        <v/>
      </c>
      <c r="G50">
        <f>IF($W50="","",IF(ABS($E50-$F50)&lt;0.01,"일치","불일치(차이 "&amp;TEXT($F50-$E50,"0.00")&amp;")"))</f>
        <v/>
      </c>
      <c r="H50">
        <f>IF($W50="","",SUMIFS(상세표[기록 시간외],상세표[사번키],INDEX(합계표[사번키],$W50),상세표[기록월],대상월키,상세표[반영월],"&lt;&gt;"&amp;대상월키))</f>
        <v/>
      </c>
      <c r="I50">
        <f>IF($W50="","",SUMIFS(상세표[기록 시간외],상세표[사번키],INDEX(합계표[사번키],$W50),상세표[기록월],"&lt;&gt;"&amp;대상월키,상세표[반영월],대상월키))</f>
        <v/>
      </c>
      <c r="J50">
        <f>IF($W50="","",SUMIFS(상세표[기록 시간외],상세표[사번키],INDEX(합계표[사번키],$W50),상세표[반영월],대상월키))</f>
        <v/>
      </c>
      <c r="K50">
        <f>IF($W50="","",IFERROR(INDEX(월별근무지표[적용 급여병원],MATCH(INDEX(합계표[사번키],$W50)&amp;"|"&amp;대상월키,월별근무지표[키],0))&amp;"",IF(COUNTIF(기관표[사번키],INDEX(합계표[사번키],$W50))+COUNTIF(월별근무지표[사번키],INDEX(합계표[사번키],$W50))&gt;0,IFERROR(INDEX(기관표[급여지급병원(기준월)],MATCH(INDEX(합계표[사번키],$W50)&amp;"|"&amp;대상월키,기관표[키],0))&amp;"","—"),"—")))</f>
        <v/>
      </c>
      <c r="L50">
        <f>IF($W50="","",IF(NOT(COUNTIF(기관표[사번키],INDEX(합계표[사번키],$W50))+COUNTIF(월별근무지표[사번키],INDEX(합계표[사번키],$W50))&gt;0),"기관명단에 없음(다른 병원으로 발송)",IF($K50="—","대상월 기관명단 없음(추가 필요)",IF($K50="서울병원","해당","비해당"))))</f>
        <v/>
      </c>
      <c r="M50">
        <f>IF($W50="","",SUMIFS(상세표[06~07시],상세표[사번키],INDEX(합계표[사번키],$W50),상세표[반영월],대상월키,상세표[반영 기관],"서울병원"))</f>
        <v/>
      </c>
      <c r="N50">
        <f>IF($W50="","",SUMIFS(상세표[07~18시],상세표[사번키],INDEX(합계표[사번키],$W50),상세표[반영월],대상월키,상세표[반영 기관],"서울병원"))</f>
        <v/>
      </c>
      <c r="O50">
        <f>IF($W50="","",SUMIFS(상세표[18~22시],상세표[사번키],INDEX(합계표[사번키],$W50),상세표[반영월],대상월키,상세표[반영 기관],"서울병원"))</f>
        <v/>
      </c>
      <c r="P50">
        <f>IF($W50="","",SUMIFS(상세표[22~06시],상세표[사번키],INDEX(합계표[사번키],$W50),상세표[반영월],대상월키,상세표[반영 기관],"서울병원"))</f>
        <v/>
      </c>
      <c r="Q50">
        <f>IF($W50="","",SUM($M50:$P50))</f>
        <v/>
      </c>
      <c r="R50">
        <f>IF($W50="","",COUNTIFS(상세표[사번키],INDEX(합계표[사번키],$W50),상세표[반영월],대상월키,상세표[야간당직],1,상세표[야간 구분],"평일"))</f>
        <v/>
      </c>
      <c r="S50" s="4">
        <f>IF($W50="","",COUNTIFS(상세표[사번키],INDEX(합계표[사번키],$W50),상세표[반영월],대상월키,상세표[야간당직],1,상세표[야간 구분],"휴일"))</f>
        <v/>
      </c>
      <c r="T50">
        <f>IF($W50="","",COUNTIFS(상세표[사번키],INDEX(합계표[사번키],$W50),상세표[반영월],대상월키,상세표[야간당직],1,상세표[야간 구분],"평일",상세표[반영 기관],"서울병원"))</f>
        <v/>
      </c>
      <c r="U50">
        <f>IF($W50="","",COUNTIFS(상세표[사번키],INDEX(합계표[사번키],$W50),상세표[반영월],대상월키,상세표[야간당직],1,상세표[야간 구분],"휴일",상세표[반영 기관],"서울병원"))</f>
        <v/>
      </c>
      <c r="V50">
        <f>IF($W50="","",IF(ISNUMBER(MATCH(INDEX(합계표[사번키],$W50)&amp;"|"&amp;대상월키,월별근무지표[키],0)),"직접 입력",IF($K50="—","—","기관명단")))</f>
        <v/>
      </c>
      <c r="W50">
        <f>IFERROR(MATCH(45,합계표[판정순번],0),"")</f>
        <v/>
      </c>
      <c r="Y50">
        <f>IF($AB50="","",INDEX(상세표[사번],$AB50)&amp;"")</f>
        <v/>
      </c>
      <c r="Z50">
        <f>IF($AB50="","",INDEX(상세표[성명],$AB50)&amp;"")</f>
        <v/>
      </c>
      <c r="AA50">
        <f>IF($AB50="","",SUMIFS(상세표[기록 시간외],상세표[사번키],INDEX(상세표[사번키],$AB50),상세표[반영월],대상월키))</f>
        <v/>
      </c>
      <c r="AB50" s="4">
        <f>IFERROR(MATCH(45,상세표[합계없음순번],0),"")</f>
        <v/>
      </c>
    </row>
    <row r="51">
      <c r="A51">
        <f>IF($W51="","",INDEX(합계표[사번],$W51)&amp;"")</f>
        <v/>
      </c>
      <c r="B51">
        <f>IF($W51="","",INDEX(합계표[성명],$W51)&amp;"")</f>
        <v/>
      </c>
      <c r="C51">
        <f>IF($W51="","",INDEX(합계표[부서],$W51)&amp;"")</f>
        <v/>
      </c>
      <c r="D51">
        <f>IF($W51="","",INDEX(합계표[직위(통합)],$W51)&amp;"")</f>
        <v/>
      </c>
      <c r="E51">
        <f>IF($W51="","",SUMIFS(합계표[시스템 합계],합계표[사번키],INDEX(합계표[사번키],$W51)))</f>
        <v/>
      </c>
      <c r="F51">
        <f>IF($W51="","",SUMIFS(상세표[기록 시간외],상세표[사번키],INDEX(합계표[사번키],$W51),상세표[기록월],대상월키))</f>
        <v/>
      </c>
      <c r="G51">
        <f>IF($W51="","",IF(ABS($E51-$F51)&lt;0.01,"일치","불일치(차이 "&amp;TEXT($F51-$E51,"0.00")&amp;")"))</f>
        <v/>
      </c>
      <c r="H51">
        <f>IF($W51="","",SUMIFS(상세표[기록 시간외],상세표[사번키],INDEX(합계표[사번키],$W51),상세표[기록월],대상월키,상세표[반영월],"&lt;&gt;"&amp;대상월키))</f>
        <v/>
      </c>
      <c r="I51">
        <f>IF($W51="","",SUMIFS(상세표[기록 시간외],상세표[사번키],INDEX(합계표[사번키],$W51),상세표[기록월],"&lt;&gt;"&amp;대상월키,상세표[반영월],대상월키))</f>
        <v/>
      </c>
      <c r="J51">
        <f>IF($W51="","",SUMIFS(상세표[기록 시간외],상세표[사번키],INDEX(합계표[사번키],$W51),상세표[반영월],대상월키))</f>
        <v/>
      </c>
      <c r="K51">
        <f>IF($W51="","",IFERROR(INDEX(월별근무지표[적용 급여병원],MATCH(INDEX(합계표[사번키],$W51)&amp;"|"&amp;대상월키,월별근무지표[키],0))&amp;"",IF(COUNTIF(기관표[사번키],INDEX(합계표[사번키],$W51))+COUNTIF(월별근무지표[사번키],INDEX(합계표[사번키],$W51))&gt;0,IFERROR(INDEX(기관표[급여지급병원(기준월)],MATCH(INDEX(합계표[사번키],$W51)&amp;"|"&amp;대상월키,기관표[키],0))&amp;"","—"),"—")))</f>
        <v/>
      </c>
      <c r="L51">
        <f>IF($W51="","",IF(NOT(COUNTIF(기관표[사번키],INDEX(합계표[사번키],$W51))+COUNTIF(월별근무지표[사번키],INDEX(합계표[사번키],$W51))&gt;0),"기관명단에 없음(다른 병원으로 발송)",IF($K51="—","대상월 기관명단 없음(추가 필요)",IF($K51="서울병원","해당","비해당"))))</f>
        <v/>
      </c>
      <c r="M51">
        <f>IF($W51="","",SUMIFS(상세표[06~07시],상세표[사번키],INDEX(합계표[사번키],$W51),상세표[반영월],대상월키,상세표[반영 기관],"서울병원"))</f>
        <v/>
      </c>
      <c r="N51">
        <f>IF($W51="","",SUMIFS(상세표[07~18시],상세표[사번키],INDEX(합계표[사번키],$W51),상세표[반영월],대상월키,상세표[반영 기관],"서울병원"))</f>
        <v/>
      </c>
      <c r="O51">
        <f>IF($W51="","",SUMIFS(상세표[18~22시],상세표[사번키],INDEX(합계표[사번키],$W51),상세표[반영월],대상월키,상세표[반영 기관],"서울병원"))</f>
        <v/>
      </c>
      <c r="P51">
        <f>IF($W51="","",SUMIFS(상세표[22~06시],상세표[사번키],INDEX(합계표[사번키],$W51),상세표[반영월],대상월키,상세표[반영 기관],"서울병원"))</f>
        <v/>
      </c>
      <c r="Q51">
        <f>IF($W51="","",SUM($M51:$P51))</f>
        <v/>
      </c>
      <c r="R51">
        <f>IF($W51="","",COUNTIFS(상세표[사번키],INDEX(합계표[사번키],$W51),상세표[반영월],대상월키,상세표[야간당직],1,상세표[야간 구분],"평일"))</f>
        <v/>
      </c>
      <c r="S51" s="4">
        <f>IF($W51="","",COUNTIFS(상세표[사번키],INDEX(합계표[사번키],$W51),상세표[반영월],대상월키,상세표[야간당직],1,상세표[야간 구분],"휴일"))</f>
        <v/>
      </c>
      <c r="T51">
        <f>IF($W51="","",COUNTIFS(상세표[사번키],INDEX(합계표[사번키],$W51),상세표[반영월],대상월키,상세표[야간당직],1,상세표[야간 구분],"평일",상세표[반영 기관],"서울병원"))</f>
        <v/>
      </c>
      <c r="U51">
        <f>IF($W51="","",COUNTIFS(상세표[사번키],INDEX(합계표[사번키],$W51),상세표[반영월],대상월키,상세표[야간당직],1,상세표[야간 구분],"휴일",상세표[반영 기관],"서울병원"))</f>
        <v/>
      </c>
      <c r="V51">
        <f>IF($W51="","",IF(ISNUMBER(MATCH(INDEX(합계표[사번키],$W51)&amp;"|"&amp;대상월키,월별근무지표[키],0)),"직접 입력",IF($K51="—","—","기관명단")))</f>
        <v/>
      </c>
      <c r="W51">
        <f>IFERROR(MATCH(46,합계표[판정순번],0),"")</f>
        <v/>
      </c>
      <c r="Y51">
        <f>IF($AB51="","",INDEX(상세표[사번],$AB51)&amp;"")</f>
        <v/>
      </c>
      <c r="Z51">
        <f>IF($AB51="","",INDEX(상세표[성명],$AB51)&amp;"")</f>
        <v/>
      </c>
      <c r="AA51">
        <f>IF($AB51="","",SUMIFS(상세표[기록 시간외],상세표[사번키],INDEX(상세표[사번키],$AB51),상세표[반영월],대상월키))</f>
        <v/>
      </c>
      <c r="AB51" s="4">
        <f>IFERROR(MATCH(46,상세표[합계없음순번],0),"")</f>
        <v/>
      </c>
    </row>
    <row r="52">
      <c r="A52">
        <f>IF($W52="","",INDEX(합계표[사번],$W52)&amp;"")</f>
        <v/>
      </c>
      <c r="B52">
        <f>IF($W52="","",INDEX(합계표[성명],$W52)&amp;"")</f>
        <v/>
      </c>
      <c r="C52">
        <f>IF($W52="","",INDEX(합계표[부서],$W52)&amp;"")</f>
        <v/>
      </c>
      <c r="D52">
        <f>IF($W52="","",INDEX(합계표[직위(통합)],$W52)&amp;"")</f>
        <v/>
      </c>
      <c r="E52">
        <f>IF($W52="","",SUMIFS(합계표[시스템 합계],합계표[사번키],INDEX(합계표[사번키],$W52)))</f>
        <v/>
      </c>
      <c r="F52">
        <f>IF($W52="","",SUMIFS(상세표[기록 시간외],상세표[사번키],INDEX(합계표[사번키],$W52),상세표[기록월],대상월키))</f>
        <v/>
      </c>
      <c r="G52">
        <f>IF($W52="","",IF(ABS($E52-$F52)&lt;0.01,"일치","불일치(차이 "&amp;TEXT($F52-$E52,"0.00")&amp;")"))</f>
        <v/>
      </c>
      <c r="H52">
        <f>IF($W52="","",SUMIFS(상세표[기록 시간외],상세표[사번키],INDEX(합계표[사번키],$W52),상세표[기록월],대상월키,상세표[반영월],"&lt;&gt;"&amp;대상월키))</f>
        <v/>
      </c>
      <c r="I52">
        <f>IF($W52="","",SUMIFS(상세표[기록 시간외],상세표[사번키],INDEX(합계표[사번키],$W52),상세표[기록월],"&lt;&gt;"&amp;대상월키,상세표[반영월],대상월키))</f>
        <v/>
      </c>
      <c r="J52">
        <f>IF($W52="","",SUMIFS(상세표[기록 시간외],상세표[사번키],INDEX(합계표[사번키],$W52),상세표[반영월],대상월키))</f>
        <v/>
      </c>
      <c r="K52">
        <f>IF($W52="","",IFERROR(INDEX(월별근무지표[적용 급여병원],MATCH(INDEX(합계표[사번키],$W52)&amp;"|"&amp;대상월키,월별근무지표[키],0))&amp;"",IF(COUNTIF(기관표[사번키],INDEX(합계표[사번키],$W52))+COUNTIF(월별근무지표[사번키],INDEX(합계표[사번키],$W52))&gt;0,IFERROR(INDEX(기관표[급여지급병원(기준월)],MATCH(INDEX(합계표[사번키],$W52)&amp;"|"&amp;대상월키,기관표[키],0))&amp;"","—"),"—")))</f>
        <v/>
      </c>
      <c r="L52">
        <f>IF($W52="","",IF(NOT(COUNTIF(기관표[사번키],INDEX(합계표[사번키],$W52))+COUNTIF(월별근무지표[사번키],INDEX(합계표[사번키],$W52))&gt;0),"기관명단에 없음(다른 병원으로 발송)",IF($K52="—","대상월 기관명단 없음(추가 필요)",IF($K52="서울병원","해당","비해당"))))</f>
        <v/>
      </c>
      <c r="M52">
        <f>IF($W52="","",SUMIFS(상세표[06~07시],상세표[사번키],INDEX(합계표[사번키],$W52),상세표[반영월],대상월키,상세표[반영 기관],"서울병원"))</f>
        <v/>
      </c>
      <c r="N52">
        <f>IF($W52="","",SUMIFS(상세표[07~18시],상세표[사번키],INDEX(합계표[사번키],$W52),상세표[반영월],대상월키,상세표[반영 기관],"서울병원"))</f>
        <v/>
      </c>
      <c r="O52">
        <f>IF($W52="","",SUMIFS(상세표[18~22시],상세표[사번키],INDEX(합계표[사번키],$W52),상세표[반영월],대상월키,상세표[반영 기관],"서울병원"))</f>
        <v/>
      </c>
      <c r="P52">
        <f>IF($W52="","",SUMIFS(상세표[22~06시],상세표[사번키],INDEX(합계표[사번키],$W52),상세표[반영월],대상월키,상세표[반영 기관],"서울병원"))</f>
        <v/>
      </c>
      <c r="Q52">
        <f>IF($W52="","",SUM($M52:$P52))</f>
        <v/>
      </c>
      <c r="R52">
        <f>IF($W52="","",COUNTIFS(상세표[사번키],INDEX(합계표[사번키],$W52),상세표[반영월],대상월키,상세표[야간당직],1,상세표[야간 구분],"평일"))</f>
        <v/>
      </c>
      <c r="S52" s="4">
        <f>IF($W52="","",COUNTIFS(상세표[사번키],INDEX(합계표[사번키],$W52),상세표[반영월],대상월키,상세표[야간당직],1,상세표[야간 구분],"휴일"))</f>
        <v/>
      </c>
      <c r="T52">
        <f>IF($W52="","",COUNTIFS(상세표[사번키],INDEX(합계표[사번키],$W52),상세표[반영월],대상월키,상세표[야간당직],1,상세표[야간 구분],"평일",상세표[반영 기관],"서울병원"))</f>
        <v/>
      </c>
      <c r="U52">
        <f>IF($W52="","",COUNTIFS(상세표[사번키],INDEX(합계표[사번키],$W52),상세표[반영월],대상월키,상세표[야간당직],1,상세표[야간 구분],"휴일",상세표[반영 기관],"서울병원"))</f>
        <v/>
      </c>
      <c r="V52">
        <f>IF($W52="","",IF(ISNUMBER(MATCH(INDEX(합계표[사번키],$W52)&amp;"|"&amp;대상월키,월별근무지표[키],0)),"직접 입력",IF($K52="—","—","기관명단")))</f>
        <v/>
      </c>
      <c r="W52">
        <f>IFERROR(MATCH(47,합계표[판정순번],0),"")</f>
        <v/>
      </c>
      <c r="Y52">
        <f>IF($AB52="","",INDEX(상세표[사번],$AB52)&amp;"")</f>
        <v/>
      </c>
      <c r="Z52">
        <f>IF($AB52="","",INDEX(상세표[성명],$AB52)&amp;"")</f>
        <v/>
      </c>
      <c r="AA52">
        <f>IF($AB52="","",SUMIFS(상세표[기록 시간외],상세표[사번키],INDEX(상세표[사번키],$AB52),상세표[반영월],대상월키))</f>
        <v/>
      </c>
      <c r="AB52" s="4">
        <f>IFERROR(MATCH(47,상세표[합계없음순번],0),"")</f>
        <v/>
      </c>
    </row>
    <row r="53">
      <c r="A53">
        <f>IF($W53="","",INDEX(합계표[사번],$W53)&amp;"")</f>
        <v/>
      </c>
      <c r="B53">
        <f>IF($W53="","",INDEX(합계표[성명],$W53)&amp;"")</f>
        <v/>
      </c>
      <c r="C53">
        <f>IF($W53="","",INDEX(합계표[부서],$W53)&amp;"")</f>
        <v/>
      </c>
      <c r="D53">
        <f>IF($W53="","",INDEX(합계표[직위(통합)],$W53)&amp;"")</f>
        <v/>
      </c>
      <c r="E53">
        <f>IF($W53="","",SUMIFS(합계표[시스템 합계],합계표[사번키],INDEX(합계표[사번키],$W53)))</f>
        <v/>
      </c>
      <c r="F53">
        <f>IF($W53="","",SUMIFS(상세표[기록 시간외],상세표[사번키],INDEX(합계표[사번키],$W53),상세표[기록월],대상월키))</f>
        <v/>
      </c>
      <c r="G53">
        <f>IF($W53="","",IF(ABS($E53-$F53)&lt;0.01,"일치","불일치(차이 "&amp;TEXT($F53-$E53,"0.00")&amp;")"))</f>
        <v/>
      </c>
      <c r="H53">
        <f>IF($W53="","",SUMIFS(상세표[기록 시간외],상세표[사번키],INDEX(합계표[사번키],$W53),상세표[기록월],대상월키,상세표[반영월],"&lt;&gt;"&amp;대상월키))</f>
        <v/>
      </c>
      <c r="I53">
        <f>IF($W53="","",SUMIFS(상세표[기록 시간외],상세표[사번키],INDEX(합계표[사번키],$W53),상세표[기록월],"&lt;&gt;"&amp;대상월키,상세표[반영월],대상월키))</f>
        <v/>
      </c>
      <c r="J53">
        <f>IF($W53="","",SUMIFS(상세표[기록 시간외],상세표[사번키],INDEX(합계표[사번키],$W53),상세표[반영월],대상월키))</f>
        <v/>
      </c>
      <c r="K53">
        <f>IF($W53="","",IFERROR(INDEX(월별근무지표[적용 급여병원],MATCH(INDEX(합계표[사번키],$W53)&amp;"|"&amp;대상월키,월별근무지표[키],0))&amp;"",IF(COUNTIF(기관표[사번키],INDEX(합계표[사번키],$W53))+COUNTIF(월별근무지표[사번키],INDEX(합계표[사번키],$W53))&gt;0,IFERROR(INDEX(기관표[급여지급병원(기준월)],MATCH(INDEX(합계표[사번키],$W53)&amp;"|"&amp;대상월키,기관표[키],0))&amp;"","—"),"—")))</f>
        <v/>
      </c>
      <c r="L53">
        <f>IF($W53="","",IF(NOT(COUNTIF(기관표[사번키],INDEX(합계표[사번키],$W53))+COUNTIF(월별근무지표[사번키],INDEX(합계표[사번키],$W53))&gt;0),"기관명단에 없음(다른 병원으로 발송)",IF($K53="—","대상월 기관명단 없음(추가 필요)",IF($K53="서울병원","해당","비해당"))))</f>
        <v/>
      </c>
      <c r="M53">
        <f>IF($W53="","",SUMIFS(상세표[06~07시],상세표[사번키],INDEX(합계표[사번키],$W53),상세표[반영월],대상월키,상세표[반영 기관],"서울병원"))</f>
        <v/>
      </c>
      <c r="N53">
        <f>IF($W53="","",SUMIFS(상세표[07~18시],상세표[사번키],INDEX(합계표[사번키],$W53),상세표[반영월],대상월키,상세표[반영 기관],"서울병원"))</f>
        <v/>
      </c>
      <c r="O53">
        <f>IF($W53="","",SUMIFS(상세표[18~22시],상세표[사번키],INDEX(합계표[사번키],$W53),상세표[반영월],대상월키,상세표[반영 기관],"서울병원"))</f>
        <v/>
      </c>
      <c r="P53">
        <f>IF($W53="","",SUMIFS(상세표[22~06시],상세표[사번키],INDEX(합계표[사번키],$W53),상세표[반영월],대상월키,상세표[반영 기관],"서울병원"))</f>
        <v/>
      </c>
      <c r="Q53">
        <f>IF($W53="","",SUM($M53:$P53))</f>
        <v/>
      </c>
      <c r="R53">
        <f>IF($W53="","",COUNTIFS(상세표[사번키],INDEX(합계표[사번키],$W53),상세표[반영월],대상월키,상세표[야간당직],1,상세표[야간 구분],"평일"))</f>
        <v/>
      </c>
      <c r="S53" s="4">
        <f>IF($W53="","",COUNTIFS(상세표[사번키],INDEX(합계표[사번키],$W53),상세표[반영월],대상월키,상세표[야간당직],1,상세표[야간 구분],"휴일"))</f>
        <v/>
      </c>
      <c r="T53">
        <f>IF($W53="","",COUNTIFS(상세표[사번키],INDEX(합계표[사번키],$W53),상세표[반영월],대상월키,상세표[야간당직],1,상세표[야간 구분],"평일",상세표[반영 기관],"서울병원"))</f>
        <v/>
      </c>
      <c r="U53">
        <f>IF($W53="","",COUNTIFS(상세표[사번키],INDEX(합계표[사번키],$W53),상세표[반영월],대상월키,상세표[야간당직],1,상세표[야간 구분],"휴일",상세표[반영 기관],"서울병원"))</f>
        <v/>
      </c>
      <c r="V53">
        <f>IF($W53="","",IF(ISNUMBER(MATCH(INDEX(합계표[사번키],$W53)&amp;"|"&amp;대상월키,월별근무지표[키],0)),"직접 입력",IF($K53="—","—","기관명단")))</f>
        <v/>
      </c>
      <c r="W53">
        <f>IFERROR(MATCH(48,합계표[판정순번],0),"")</f>
        <v/>
      </c>
      <c r="Y53">
        <f>IF($AB53="","",INDEX(상세표[사번],$AB53)&amp;"")</f>
        <v/>
      </c>
      <c r="Z53">
        <f>IF($AB53="","",INDEX(상세표[성명],$AB53)&amp;"")</f>
        <v/>
      </c>
      <c r="AA53">
        <f>IF($AB53="","",SUMIFS(상세표[기록 시간외],상세표[사번키],INDEX(상세표[사번키],$AB53),상세표[반영월],대상월키))</f>
        <v/>
      </c>
      <c r="AB53" s="4">
        <f>IFERROR(MATCH(48,상세표[합계없음순번],0),"")</f>
        <v/>
      </c>
    </row>
    <row r="54">
      <c r="A54">
        <f>IF($W54="","",INDEX(합계표[사번],$W54)&amp;"")</f>
        <v/>
      </c>
      <c r="B54">
        <f>IF($W54="","",INDEX(합계표[성명],$W54)&amp;"")</f>
        <v/>
      </c>
      <c r="C54">
        <f>IF($W54="","",INDEX(합계표[부서],$W54)&amp;"")</f>
        <v/>
      </c>
      <c r="D54">
        <f>IF($W54="","",INDEX(합계표[직위(통합)],$W54)&amp;"")</f>
        <v/>
      </c>
      <c r="E54">
        <f>IF($W54="","",SUMIFS(합계표[시스템 합계],합계표[사번키],INDEX(합계표[사번키],$W54)))</f>
        <v/>
      </c>
      <c r="F54">
        <f>IF($W54="","",SUMIFS(상세표[기록 시간외],상세표[사번키],INDEX(합계표[사번키],$W54),상세표[기록월],대상월키))</f>
        <v/>
      </c>
      <c r="G54">
        <f>IF($W54="","",IF(ABS($E54-$F54)&lt;0.01,"일치","불일치(차이 "&amp;TEXT($F54-$E54,"0.00")&amp;")"))</f>
        <v/>
      </c>
      <c r="H54">
        <f>IF($W54="","",SUMIFS(상세표[기록 시간외],상세표[사번키],INDEX(합계표[사번키],$W54),상세표[기록월],대상월키,상세표[반영월],"&lt;&gt;"&amp;대상월키))</f>
        <v/>
      </c>
      <c r="I54">
        <f>IF($W54="","",SUMIFS(상세표[기록 시간외],상세표[사번키],INDEX(합계표[사번키],$W54),상세표[기록월],"&lt;&gt;"&amp;대상월키,상세표[반영월],대상월키))</f>
        <v/>
      </c>
      <c r="J54">
        <f>IF($W54="","",SUMIFS(상세표[기록 시간외],상세표[사번키],INDEX(합계표[사번키],$W54),상세표[반영월],대상월키))</f>
        <v/>
      </c>
      <c r="K54">
        <f>IF($W54="","",IFERROR(INDEX(월별근무지표[적용 급여병원],MATCH(INDEX(합계표[사번키],$W54)&amp;"|"&amp;대상월키,월별근무지표[키],0))&amp;"",IF(COUNTIF(기관표[사번키],INDEX(합계표[사번키],$W54))+COUNTIF(월별근무지표[사번키],INDEX(합계표[사번키],$W54))&gt;0,IFERROR(INDEX(기관표[급여지급병원(기준월)],MATCH(INDEX(합계표[사번키],$W54)&amp;"|"&amp;대상월키,기관표[키],0))&amp;"","—"),"—")))</f>
        <v/>
      </c>
      <c r="L54">
        <f>IF($W54="","",IF(NOT(COUNTIF(기관표[사번키],INDEX(합계표[사번키],$W54))+COUNTIF(월별근무지표[사번키],INDEX(합계표[사번키],$W54))&gt;0),"기관명단에 없음(다른 병원으로 발송)",IF($K54="—","대상월 기관명단 없음(추가 필요)",IF($K54="서울병원","해당","비해당"))))</f>
        <v/>
      </c>
      <c r="M54">
        <f>IF($W54="","",SUMIFS(상세표[06~07시],상세표[사번키],INDEX(합계표[사번키],$W54),상세표[반영월],대상월키,상세표[반영 기관],"서울병원"))</f>
        <v/>
      </c>
      <c r="N54">
        <f>IF($W54="","",SUMIFS(상세표[07~18시],상세표[사번키],INDEX(합계표[사번키],$W54),상세표[반영월],대상월키,상세표[반영 기관],"서울병원"))</f>
        <v/>
      </c>
      <c r="O54">
        <f>IF($W54="","",SUMIFS(상세표[18~22시],상세표[사번키],INDEX(합계표[사번키],$W54),상세표[반영월],대상월키,상세표[반영 기관],"서울병원"))</f>
        <v/>
      </c>
      <c r="P54">
        <f>IF($W54="","",SUMIFS(상세표[22~06시],상세표[사번키],INDEX(합계표[사번키],$W54),상세표[반영월],대상월키,상세표[반영 기관],"서울병원"))</f>
        <v/>
      </c>
      <c r="Q54">
        <f>IF($W54="","",SUM($M54:$P54))</f>
        <v/>
      </c>
      <c r="R54">
        <f>IF($W54="","",COUNTIFS(상세표[사번키],INDEX(합계표[사번키],$W54),상세표[반영월],대상월키,상세표[야간당직],1,상세표[야간 구분],"평일"))</f>
        <v/>
      </c>
      <c r="S54" s="4">
        <f>IF($W54="","",COUNTIFS(상세표[사번키],INDEX(합계표[사번키],$W54),상세표[반영월],대상월키,상세표[야간당직],1,상세표[야간 구분],"휴일"))</f>
        <v/>
      </c>
      <c r="T54">
        <f>IF($W54="","",COUNTIFS(상세표[사번키],INDEX(합계표[사번키],$W54),상세표[반영월],대상월키,상세표[야간당직],1,상세표[야간 구분],"평일",상세표[반영 기관],"서울병원"))</f>
        <v/>
      </c>
      <c r="U54">
        <f>IF($W54="","",COUNTIFS(상세표[사번키],INDEX(합계표[사번키],$W54),상세표[반영월],대상월키,상세표[야간당직],1,상세표[야간 구분],"휴일",상세표[반영 기관],"서울병원"))</f>
        <v/>
      </c>
      <c r="V54">
        <f>IF($W54="","",IF(ISNUMBER(MATCH(INDEX(합계표[사번키],$W54)&amp;"|"&amp;대상월키,월별근무지표[키],0)),"직접 입력",IF($K54="—","—","기관명단")))</f>
        <v/>
      </c>
      <c r="W54">
        <f>IFERROR(MATCH(49,합계표[판정순번],0),"")</f>
        <v/>
      </c>
      <c r="Y54">
        <f>IF($AB54="","",INDEX(상세표[사번],$AB54)&amp;"")</f>
        <v/>
      </c>
      <c r="Z54">
        <f>IF($AB54="","",INDEX(상세표[성명],$AB54)&amp;"")</f>
        <v/>
      </c>
      <c r="AA54">
        <f>IF($AB54="","",SUMIFS(상세표[기록 시간외],상세표[사번키],INDEX(상세표[사번키],$AB54),상세표[반영월],대상월키))</f>
        <v/>
      </c>
      <c r="AB54" s="4">
        <f>IFERROR(MATCH(49,상세표[합계없음순번],0),"")</f>
        <v/>
      </c>
    </row>
    <row r="55">
      <c r="A55">
        <f>IF($W55="","",INDEX(합계표[사번],$W55)&amp;"")</f>
        <v/>
      </c>
      <c r="B55">
        <f>IF($W55="","",INDEX(합계표[성명],$W55)&amp;"")</f>
        <v/>
      </c>
      <c r="C55">
        <f>IF($W55="","",INDEX(합계표[부서],$W55)&amp;"")</f>
        <v/>
      </c>
      <c r="D55">
        <f>IF($W55="","",INDEX(합계표[직위(통합)],$W55)&amp;"")</f>
        <v/>
      </c>
      <c r="E55">
        <f>IF($W55="","",SUMIFS(합계표[시스템 합계],합계표[사번키],INDEX(합계표[사번키],$W55)))</f>
        <v/>
      </c>
      <c r="F55">
        <f>IF($W55="","",SUMIFS(상세표[기록 시간외],상세표[사번키],INDEX(합계표[사번키],$W55),상세표[기록월],대상월키))</f>
        <v/>
      </c>
      <c r="G55">
        <f>IF($W55="","",IF(ABS($E55-$F55)&lt;0.01,"일치","불일치(차이 "&amp;TEXT($F55-$E55,"0.00")&amp;")"))</f>
        <v/>
      </c>
      <c r="H55">
        <f>IF($W55="","",SUMIFS(상세표[기록 시간외],상세표[사번키],INDEX(합계표[사번키],$W55),상세표[기록월],대상월키,상세표[반영월],"&lt;&gt;"&amp;대상월키))</f>
        <v/>
      </c>
      <c r="I55">
        <f>IF($W55="","",SUMIFS(상세표[기록 시간외],상세표[사번키],INDEX(합계표[사번키],$W55),상세표[기록월],"&lt;&gt;"&amp;대상월키,상세표[반영월],대상월키))</f>
        <v/>
      </c>
      <c r="J55">
        <f>IF($W55="","",SUMIFS(상세표[기록 시간외],상세표[사번키],INDEX(합계표[사번키],$W55),상세표[반영월],대상월키))</f>
        <v/>
      </c>
      <c r="K55">
        <f>IF($W55="","",IFERROR(INDEX(월별근무지표[적용 급여병원],MATCH(INDEX(합계표[사번키],$W55)&amp;"|"&amp;대상월키,월별근무지표[키],0))&amp;"",IF(COUNTIF(기관표[사번키],INDEX(합계표[사번키],$W55))+COUNTIF(월별근무지표[사번키],INDEX(합계표[사번키],$W55))&gt;0,IFERROR(INDEX(기관표[급여지급병원(기준월)],MATCH(INDEX(합계표[사번키],$W55)&amp;"|"&amp;대상월키,기관표[키],0))&amp;"","—"),"—")))</f>
        <v/>
      </c>
      <c r="L55">
        <f>IF($W55="","",IF(NOT(COUNTIF(기관표[사번키],INDEX(합계표[사번키],$W55))+COUNTIF(월별근무지표[사번키],INDEX(합계표[사번키],$W55))&gt;0),"기관명단에 없음(다른 병원으로 발송)",IF($K55="—","대상월 기관명단 없음(추가 필요)",IF($K55="서울병원","해당","비해당"))))</f>
        <v/>
      </c>
      <c r="M55">
        <f>IF($W55="","",SUMIFS(상세표[06~07시],상세표[사번키],INDEX(합계표[사번키],$W55),상세표[반영월],대상월키,상세표[반영 기관],"서울병원"))</f>
        <v/>
      </c>
      <c r="N55">
        <f>IF($W55="","",SUMIFS(상세표[07~18시],상세표[사번키],INDEX(합계표[사번키],$W55),상세표[반영월],대상월키,상세표[반영 기관],"서울병원"))</f>
        <v/>
      </c>
      <c r="O55">
        <f>IF($W55="","",SUMIFS(상세표[18~22시],상세표[사번키],INDEX(합계표[사번키],$W55),상세표[반영월],대상월키,상세표[반영 기관],"서울병원"))</f>
        <v/>
      </c>
      <c r="P55">
        <f>IF($W55="","",SUMIFS(상세표[22~06시],상세표[사번키],INDEX(합계표[사번키],$W55),상세표[반영월],대상월키,상세표[반영 기관],"서울병원"))</f>
        <v/>
      </c>
      <c r="Q55">
        <f>IF($W55="","",SUM($M55:$P55))</f>
        <v/>
      </c>
      <c r="R55">
        <f>IF($W55="","",COUNTIFS(상세표[사번키],INDEX(합계표[사번키],$W55),상세표[반영월],대상월키,상세표[야간당직],1,상세표[야간 구분],"평일"))</f>
        <v/>
      </c>
      <c r="S55" s="4">
        <f>IF($W55="","",COUNTIFS(상세표[사번키],INDEX(합계표[사번키],$W55),상세표[반영월],대상월키,상세표[야간당직],1,상세표[야간 구분],"휴일"))</f>
        <v/>
      </c>
      <c r="T55">
        <f>IF($W55="","",COUNTIFS(상세표[사번키],INDEX(합계표[사번키],$W55),상세표[반영월],대상월키,상세표[야간당직],1,상세표[야간 구분],"평일",상세표[반영 기관],"서울병원"))</f>
        <v/>
      </c>
      <c r="U55">
        <f>IF($W55="","",COUNTIFS(상세표[사번키],INDEX(합계표[사번키],$W55),상세표[반영월],대상월키,상세표[야간당직],1,상세표[야간 구분],"휴일",상세표[반영 기관],"서울병원"))</f>
        <v/>
      </c>
      <c r="V55">
        <f>IF($W55="","",IF(ISNUMBER(MATCH(INDEX(합계표[사번키],$W55)&amp;"|"&amp;대상월키,월별근무지표[키],0)),"직접 입력",IF($K55="—","—","기관명단")))</f>
        <v/>
      </c>
      <c r="W55">
        <f>IFERROR(MATCH(50,합계표[판정순번],0),"")</f>
        <v/>
      </c>
      <c r="Y55">
        <f>IF($AB55="","",INDEX(상세표[사번],$AB55)&amp;"")</f>
        <v/>
      </c>
      <c r="Z55">
        <f>IF($AB55="","",INDEX(상세표[성명],$AB55)&amp;"")</f>
        <v/>
      </c>
      <c r="AA55">
        <f>IF($AB55="","",SUMIFS(상세표[기록 시간외],상세표[사번키],INDEX(상세표[사번키],$AB55),상세표[반영월],대상월키))</f>
        <v/>
      </c>
      <c r="AB55" s="4">
        <f>IFERROR(MATCH(50,상세표[합계없음순번],0),"")</f>
        <v/>
      </c>
    </row>
    <row r="56">
      <c r="A56">
        <f>IF($W56="","",INDEX(합계표[사번],$W56)&amp;"")</f>
        <v/>
      </c>
      <c r="B56">
        <f>IF($W56="","",INDEX(합계표[성명],$W56)&amp;"")</f>
        <v/>
      </c>
      <c r="C56">
        <f>IF($W56="","",INDEX(합계표[부서],$W56)&amp;"")</f>
        <v/>
      </c>
      <c r="D56">
        <f>IF($W56="","",INDEX(합계표[직위(통합)],$W56)&amp;"")</f>
        <v/>
      </c>
      <c r="E56">
        <f>IF($W56="","",SUMIFS(합계표[시스템 합계],합계표[사번키],INDEX(합계표[사번키],$W56)))</f>
        <v/>
      </c>
      <c r="F56">
        <f>IF($W56="","",SUMIFS(상세표[기록 시간외],상세표[사번키],INDEX(합계표[사번키],$W56),상세표[기록월],대상월키))</f>
        <v/>
      </c>
      <c r="G56">
        <f>IF($W56="","",IF(ABS($E56-$F56)&lt;0.01,"일치","불일치(차이 "&amp;TEXT($F56-$E56,"0.00")&amp;")"))</f>
        <v/>
      </c>
      <c r="H56">
        <f>IF($W56="","",SUMIFS(상세표[기록 시간외],상세표[사번키],INDEX(합계표[사번키],$W56),상세표[기록월],대상월키,상세표[반영월],"&lt;&gt;"&amp;대상월키))</f>
        <v/>
      </c>
      <c r="I56">
        <f>IF($W56="","",SUMIFS(상세표[기록 시간외],상세표[사번키],INDEX(합계표[사번키],$W56),상세표[기록월],"&lt;&gt;"&amp;대상월키,상세표[반영월],대상월키))</f>
        <v/>
      </c>
      <c r="J56">
        <f>IF($W56="","",SUMIFS(상세표[기록 시간외],상세표[사번키],INDEX(합계표[사번키],$W56),상세표[반영월],대상월키))</f>
        <v/>
      </c>
      <c r="K56">
        <f>IF($W56="","",IFERROR(INDEX(월별근무지표[적용 급여병원],MATCH(INDEX(합계표[사번키],$W56)&amp;"|"&amp;대상월키,월별근무지표[키],0))&amp;"",IF(COUNTIF(기관표[사번키],INDEX(합계표[사번키],$W56))+COUNTIF(월별근무지표[사번키],INDEX(합계표[사번키],$W56))&gt;0,IFERROR(INDEX(기관표[급여지급병원(기준월)],MATCH(INDEX(합계표[사번키],$W56)&amp;"|"&amp;대상월키,기관표[키],0))&amp;"","—"),"—")))</f>
        <v/>
      </c>
      <c r="L56">
        <f>IF($W56="","",IF(NOT(COUNTIF(기관표[사번키],INDEX(합계표[사번키],$W56))+COUNTIF(월별근무지표[사번키],INDEX(합계표[사번키],$W56))&gt;0),"기관명단에 없음(다른 병원으로 발송)",IF($K56="—","대상월 기관명단 없음(추가 필요)",IF($K56="서울병원","해당","비해당"))))</f>
        <v/>
      </c>
      <c r="M56">
        <f>IF($W56="","",SUMIFS(상세표[06~07시],상세표[사번키],INDEX(합계표[사번키],$W56),상세표[반영월],대상월키,상세표[반영 기관],"서울병원"))</f>
        <v/>
      </c>
      <c r="N56">
        <f>IF($W56="","",SUMIFS(상세표[07~18시],상세표[사번키],INDEX(합계표[사번키],$W56),상세표[반영월],대상월키,상세표[반영 기관],"서울병원"))</f>
        <v/>
      </c>
      <c r="O56">
        <f>IF($W56="","",SUMIFS(상세표[18~22시],상세표[사번키],INDEX(합계표[사번키],$W56),상세표[반영월],대상월키,상세표[반영 기관],"서울병원"))</f>
        <v/>
      </c>
      <c r="P56">
        <f>IF($W56="","",SUMIFS(상세표[22~06시],상세표[사번키],INDEX(합계표[사번키],$W56),상세표[반영월],대상월키,상세표[반영 기관],"서울병원"))</f>
        <v/>
      </c>
      <c r="Q56">
        <f>IF($W56="","",SUM($M56:$P56))</f>
        <v/>
      </c>
      <c r="R56">
        <f>IF($W56="","",COUNTIFS(상세표[사번키],INDEX(합계표[사번키],$W56),상세표[반영월],대상월키,상세표[야간당직],1,상세표[야간 구분],"평일"))</f>
        <v/>
      </c>
      <c r="S56" s="4">
        <f>IF($W56="","",COUNTIFS(상세표[사번키],INDEX(합계표[사번키],$W56),상세표[반영월],대상월키,상세표[야간당직],1,상세표[야간 구분],"휴일"))</f>
        <v/>
      </c>
      <c r="T56">
        <f>IF($W56="","",COUNTIFS(상세표[사번키],INDEX(합계표[사번키],$W56),상세표[반영월],대상월키,상세표[야간당직],1,상세표[야간 구분],"평일",상세표[반영 기관],"서울병원"))</f>
        <v/>
      </c>
      <c r="U56">
        <f>IF($W56="","",COUNTIFS(상세표[사번키],INDEX(합계표[사번키],$W56),상세표[반영월],대상월키,상세표[야간당직],1,상세표[야간 구분],"휴일",상세표[반영 기관],"서울병원"))</f>
        <v/>
      </c>
      <c r="V56">
        <f>IF($W56="","",IF(ISNUMBER(MATCH(INDEX(합계표[사번키],$W56)&amp;"|"&amp;대상월키,월별근무지표[키],0)),"직접 입력",IF($K56="—","—","기관명단")))</f>
        <v/>
      </c>
      <c r="W56">
        <f>IFERROR(MATCH(51,합계표[판정순번],0),"")</f>
        <v/>
      </c>
      <c r="Y56">
        <f>IF($AB56="","",INDEX(상세표[사번],$AB56)&amp;"")</f>
        <v/>
      </c>
      <c r="Z56">
        <f>IF($AB56="","",INDEX(상세표[성명],$AB56)&amp;"")</f>
        <v/>
      </c>
      <c r="AA56">
        <f>IF($AB56="","",SUMIFS(상세표[기록 시간외],상세표[사번키],INDEX(상세표[사번키],$AB56),상세표[반영월],대상월키))</f>
        <v/>
      </c>
      <c r="AB56" s="4">
        <f>IFERROR(MATCH(51,상세표[합계없음순번],0),"")</f>
        <v/>
      </c>
    </row>
    <row r="57">
      <c r="A57">
        <f>IF($W57="","",INDEX(합계표[사번],$W57)&amp;"")</f>
        <v/>
      </c>
      <c r="B57">
        <f>IF($W57="","",INDEX(합계표[성명],$W57)&amp;"")</f>
        <v/>
      </c>
      <c r="C57">
        <f>IF($W57="","",INDEX(합계표[부서],$W57)&amp;"")</f>
        <v/>
      </c>
      <c r="D57">
        <f>IF($W57="","",INDEX(합계표[직위(통합)],$W57)&amp;"")</f>
        <v/>
      </c>
      <c r="E57">
        <f>IF($W57="","",SUMIFS(합계표[시스템 합계],합계표[사번키],INDEX(합계표[사번키],$W57)))</f>
        <v/>
      </c>
      <c r="F57">
        <f>IF($W57="","",SUMIFS(상세표[기록 시간외],상세표[사번키],INDEX(합계표[사번키],$W57),상세표[기록월],대상월키))</f>
        <v/>
      </c>
      <c r="G57">
        <f>IF($W57="","",IF(ABS($E57-$F57)&lt;0.01,"일치","불일치(차이 "&amp;TEXT($F57-$E57,"0.00")&amp;")"))</f>
        <v/>
      </c>
      <c r="H57">
        <f>IF($W57="","",SUMIFS(상세표[기록 시간외],상세표[사번키],INDEX(합계표[사번키],$W57),상세표[기록월],대상월키,상세표[반영월],"&lt;&gt;"&amp;대상월키))</f>
        <v/>
      </c>
      <c r="I57">
        <f>IF($W57="","",SUMIFS(상세표[기록 시간외],상세표[사번키],INDEX(합계표[사번키],$W57),상세표[기록월],"&lt;&gt;"&amp;대상월키,상세표[반영월],대상월키))</f>
        <v/>
      </c>
      <c r="J57">
        <f>IF($W57="","",SUMIFS(상세표[기록 시간외],상세표[사번키],INDEX(합계표[사번키],$W57),상세표[반영월],대상월키))</f>
        <v/>
      </c>
      <c r="K57">
        <f>IF($W57="","",IFERROR(INDEX(월별근무지표[적용 급여병원],MATCH(INDEX(합계표[사번키],$W57)&amp;"|"&amp;대상월키,월별근무지표[키],0))&amp;"",IF(COUNTIF(기관표[사번키],INDEX(합계표[사번키],$W57))+COUNTIF(월별근무지표[사번키],INDEX(합계표[사번키],$W57))&gt;0,IFERROR(INDEX(기관표[급여지급병원(기준월)],MATCH(INDEX(합계표[사번키],$W57)&amp;"|"&amp;대상월키,기관표[키],0))&amp;"","—"),"—")))</f>
        <v/>
      </c>
      <c r="L57">
        <f>IF($W57="","",IF(NOT(COUNTIF(기관표[사번키],INDEX(합계표[사번키],$W57))+COUNTIF(월별근무지표[사번키],INDEX(합계표[사번키],$W57))&gt;0),"기관명단에 없음(다른 병원으로 발송)",IF($K57="—","대상월 기관명단 없음(추가 필요)",IF($K57="서울병원","해당","비해당"))))</f>
        <v/>
      </c>
      <c r="M57">
        <f>IF($W57="","",SUMIFS(상세표[06~07시],상세표[사번키],INDEX(합계표[사번키],$W57),상세표[반영월],대상월키,상세표[반영 기관],"서울병원"))</f>
        <v/>
      </c>
      <c r="N57">
        <f>IF($W57="","",SUMIFS(상세표[07~18시],상세표[사번키],INDEX(합계표[사번키],$W57),상세표[반영월],대상월키,상세표[반영 기관],"서울병원"))</f>
        <v/>
      </c>
      <c r="O57">
        <f>IF($W57="","",SUMIFS(상세표[18~22시],상세표[사번키],INDEX(합계표[사번키],$W57),상세표[반영월],대상월키,상세표[반영 기관],"서울병원"))</f>
        <v/>
      </c>
      <c r="P57">
        <f>IF($W57="","",SUMIFS(상세표[22~06시],상세표[사번키],INDEX(합계표[사번키],$W57),상세표[반영월],대상월키,상세표[반영 기관],"서울병원"))</f>
        <v/>
      </c>
      <c r="Q57">
        <f>IF($W57="","",SUM($M57:$P57))</f>
        <v/>
      </c>
      <c r="R57">
        <f>IF($W57="","",COUNTIFS(상세표[사번키],INDEX(합계표[사번키],$W57),상세표[반영월],대상월키,상세표[야간당직],1,상세표[야간 구분],"평일"))</f>
        <v/>
      </c>
      <c r="S57" s="4">
        <f>IF($W57="","",COUNTIFS(상세표[사번키],INDEX(합계표[사번키],$W57),상세표[반영월],대상월키,상세표[야간당직],1,상세표[야간 구분],"휴일"))</f>
        <v/>
      </c>
      <c r="T57">
        <f>IF($W57="","",COUNTIFS(상세표[사번키],INDEX(합계표[사번키],$W57),상세표[반영월],대상월키,상세표[야간당직],1,상세표[야간 구분],"평일",상세표[반영 기관],"서울병원"))</f>
        <v/>
      </c>
      <c r="U57">
        <f>IF($W57="","",COUNTIFS(상세표[사번키],INDEX(합계표[사번키],$W57),상세표[반영월],대상월키,상세표[야간당직],1,상세표[야간 구분],"휴일",상세표[반영 기관],"서울병원"))</f>
        <v/>
      </c>
      <c r="V57">
        <f>IF($W57="","",IF(ISNUMBER(MATCH(INDEX(합계표[사번키],$W57)&amp;"|"&amp;대상월키,월별근무지표[키],0)),"직접 입력",IF($K57="—","—","기관명단")))</f>
        <v/>
      </c>
      <c r="W57">
        <f>IFERROR(MATCH(52,합계표[판정순번],0),"")</f>
        <v/>
      </c>
      <c r="Y57">
        <f>IF($AB57="","",INDEX(상세표[사번],$AB57)&amp;"")</f>
        <v/>
      </c>
      <c r="Z57">
        <f>IF($AB57="","",INDEX(상세표[성명],$AB57)&amp;"")</f>
        <v/>
      </c>
      <c r="AA57">
        <f>IF($AB57="","",SUMIFS(상세표[기록 시간외],상세표[사번키],INDEX(상세표[사번키],$AB57),상세표[반영월],대상월키))</f>
        <v/>
      </c>
      <c r="AB57" s="4">
        <f>IFERROR(MATCH(52,상세표[합계없음순번],0),"")</f>
        <v/>
      </c>
    </row>
    <row r="58">
      <c r="A58">
        <f>IF($W58="","",INDEX(합계표[사번],$W58)&amp;"")</f>
        <v/>
      </c>
      <c r="B58">
        <f>IF($W58="","",INDEX(합계표[성명],$W58)&amp;"")</f>
        <v/>
      </c>
      <c r="C58">
        <f>IF($W58="","",INDEX(합계표[부서],$W58)&amp;"")</f>
        <v/>
      </c>
      <c r="D58">
        <f>IF($W58="","",INDEX(합계표[직위(통합)],$W58)&amp;"")</f>
        <v/>
      </c>
      <c r="E58">
        <f>IF($W58="","",SUMIFS(합계표[시스템 합계],합계표[사번키],INDEX(합계표[사번키],$W58)))</f>
        <v/>
      </c>
      <c r="F58">
        <f>IF($W58="","",SUMIFS(상세표[기록 시간외],상세표[사번키],INDEX(합계표[사번키],$W58),상세표[기록월],대상월키))</f>
        <v/>
      </c>
      <c r="G58">
        <f>IF($W58="","",IF(ABS($E58-$F58)&lt;0.01,"일치","불일치(차이 "&amp;TEXT($F58-$E58,"0.00")&amp;")"))</f>
        <v/>
      </c>
      <c r="H58">
        <f>IF($W58="","",SUMIFS(상세표[기록 시간외],상세표[사번키],INDEX(합계표[사번키],$W58),상세표[기록월],대상월키,상세표[반영월],"&lt;&gt;"&amp;대상월키))</f>
        <v/>
      </c>
      <c r="I58">
        <f>IF($W58="","",SUMIFS(상세표[기록 시간외],상세표[사번키],INDEX(합계표[사번키],$W58),상세표[기록월],"&lt;&gt;"&amp;대상월키,상세표[반영월],대상월키))</f>
        <v/>
      </c>
      <c r="J58">
        <f>IF($W58="","",SUMIFS(상세표[기록 시간외],상세표[사번키],INDEX(합계표[사번키],$W58),상세표[반영월],대상월키))</f>
        <v/>
      </c>
      <c r="K58">
        <f>IF($W58="","",IFERROR(INDEX(월별근무지표[적용 급여병원],MATCH(INDEX(합계표[사번키],$W58)&amp;"|"&amp;대상월키,월별근무지표[키],0))&amp;"",IF(COUNTIF(기관표[사번키],INDEX(합계표[사번키],$W58))+COUNTIF(월별근무지표[사번키],INDEX(합계표[사번키],$W58))&gt;0,IFERROR(INDEX(기관표[급여지급병원(기준월)],MATCH(INDEX(합계표[사번키],$W58)&amp;"|"&amp;대상월키,기관표[키],0))&amp;"","—"),"—")))</f>
        <v/>
      </c>
      <c r="L58">
        <f>IF($W58="","",IF(NOT(COUNTIF(기관표[사번키],INDEX(합계표[사번키],$W58))+COUNTIF(월별근무지표[사번키],INDEX(합계표[사번키],$W58))&gt;0),"기관명단에 없음(다른 병원으로 발송)",IF($K58="—","대상월 기관명단 없음(추가 필요)",IF($K58="서울병원","해당","비해당"))))</f>
        <v/>
      </c>
      <c r="M58">
        <f>IF($W58="","",SUMIFS(상세표[06~07시],상세표[사번키],INDEX(합계표[사번키],$W58),상세표[반영월],대상월키,상세표[반영 기관],"서울병원"))</f>
        <v/>
      </c>
      <c r="N58">
        <f>IF($W58="","",SUMIFS(상세표[07~18시],상세표[사번키],INDEX(합계표[사번키],$W58),상세표[반영월],대상월키,상세표[반영 기관],"서울병원"))</f>
        <v/>
      </c>
      <c r="O58">
        <f>IF($W58="","",SUMIFS(상세표[18~22시],상세표[사번키],INDEX(합계표[사번키],$W58),상세표[반영월],대상월키,상세표[반영 기관],"서울병원"))</f>
        <v/>
      </c>
      <c r="P58">
        <f>IF($W58="","",SUMIFS(상세표[22~06시],상세표[사번키],INDEX(합계표[사번키],$W58),상세표[반영월],대상월키,상세표[반영 기관],"서울병원"))</f>
        <v/>
      </c>
      <c r="Q58">
        <f>IF($W58="","",SUM($M58:$P58))</f>
        <v/>
      </c>
      <c r="R58">
        <f>IF($W58="","",COUNTIFS(상세표[사번키],INDEX(합계표[사번키],$W58),상세표[반영월],대상월키,상세표[야간당직],1,상세표[야간 구분],"평일"))</f>
        <v/>
      </c>
      <c r="S58" s="4">
        <f>IF($W58="","",COUNTIFS(상세표[사번키],INDEX(합계표[사번키],$W58),상세표[반영월],대상월키,상세표[야간당직],1,상세표[야간 구분],"휴일"))</f>
        <v/>
      </c>
      <c r="T58">
        <f>IF($W58="","",COUNTIFS(상세표[사번키],INDEX(합계표[사번키],$W58),상세표[반영월],대상월키,상세표[야간당직],1,상세표[야간 구분],"평일",상세표[반영 기관],"서울병원"))</f>
        <v/>
      </c>
      <c r="U58">
        <f>IF($W58="","",COUNTIFS(상세표[사번키],INDEX(합계표[사번키],$W58),상세표[반영월],대상월키,상세표[야간당직],1,상세표[야간 구분],"휴일",상세표[반영 기관],"서울병원"))</f>
        <v/>
      </c>
      <c r="V58">
        <f>IF($W58="","",IF(ISNUMBER(MATCH(INDEX(합계표[사번키],$W58)&amp;"|"&amp;대상월키,월별근무지표[키],0)),"직접 입력",IF($K58="—","—","기관명단")))</f>
        <v/>
      </c>
      <c r="W58">
        <f>IFERROR(MATCH(53,합계표[판정순번],0),"")</f>
        <v/>
      </c>
      <c r="Y58">
        <f>IF($AB58="","",INDEX(상세표[사번],$AB58)&amp;"")</f>
        <v/>
      </c>
      <c r="Z58">
        <f>IF($AB58="","",INDEX(상세표[성명],$AB58)&amp;"")</f>
        <v/>
      </c>
      <c r="AA58">
        <f>IF($AB58="","",SUMIFS(상세표[기록 시간외],상세표[사번키],INDEX(상세표[사번키],$AB58),상세표[반영월],대상월키))</f>
        <v/>
      </c>
      <c r="AB58" s="4">
        <f>IFERROR(MATCH(53,상세표[합계없음순번],0),"")</f>
        <v/>
      </c>
    </row>
    <row r="59">
      <c r="A59">
        <f>IF($W59="","",INDEX(합계표[사번],$W59)&amp;"")</f>
        <v/>
      </c>
      <c r="B59">
        <f>IF($W59="","",INDEX(합계표[성명],$W59)&amp;"")</f>
        <v/>
      </c>
      <c r="C59">
        <f>IF($W59="","",INDEX(합계표[부서],$W59)&amp;"")</f>
        <v/>
      </c>
      <c r="D59">
        <f>IF($W59="","",INDEX(합계표[직위(통합)],$W59)&amp;"")</f>
        <v/>
      </c>
      <c r="E59">
        <f>IF($W59="","",SUMIFS(합계표[시스템 합계],합계표[사번키],INDEX(합계표[사번키],$W59)))</f>
        <v/>
      </c>
      <c r="F59">
        <f>IF($W59="","",SUMIFS(상세표[기록 시간외],상세표[사번키],INDEX(합계표[사번키],$W59),상세표[기록월],대상월키))</f>
        <v/>
      </c>
      <c r="G59">
        <f>IF($W59="","",IF(ABS($E59-$F59)&lt;0.01,"일치","불일치(차이 "&amp;TEXT($F59-$E59,"0.00")&amp;")"))</f>
        <v/>
      </c>
      <c r="H59">
        <f>IF($W59="","",SUMIFS(상세표[기록 시간외],상세표[사번키],INDEX(합계표[사번키],$W59),상세표[기록월],대상월키,상세표[반영월],"&lt;&gt;"&amp;대상월키))</f>
        <v/>
      </c>
      <c r="I59">
        <f>IF($W59="","",SUMIFS(상세표[기록 시간외],상세표[사번키],INDEX(합계표[사번키],$W59),상세표[기록월],"&lt;&gt;"&amp;대상월키,상세표[반영월],대상월키))</f>
        <v/>
      </c>
      <c r="J59">
        <f>IF($W59="","",SUMIFS(상세표[기록 시간외],상세표[사번키],INDEX(합계표[사번키],$W59),상세표[반영월],대상월키))</f>
        <v/>
      </c>
      <c r="K59">
        <f>IF($W59="","",IFERROR(INDEX(월별근무지표[적용 급여병원],MATCH(INDEX(합계표[사번키],$W59)&amp;"|"&amp;대상월키,월별근무지표[키],0))&amp;"",IF(COUNTIF(기관표[사번키],INDEX(합계표[사번키],$W59))+COUNTIF(월별근무지표[사번키],INDEX(합계표[사번키],$W59))&gt;0,IFERROR(INDEX(기관표[급여지급병원(기준월)],MATCH(INDEX(합계표[사번키],$W59)&amp;"|"&amp;대상월키,기관표[키],0))&amp;"","—"),"—")))</f>
        <v/>
      </c>
      <c r="L59">
        <f>IF($W59="","",IF(NOT(COUNTIF(기관표[사번키],INDEX(합계표[사번키],$W59))+COUNTIF(월별근무지표[사번키],INDEX(합계표[사번키],$W59))&gt;0),"기관명단에 없음(다른 병원으로 발송)",IF($K59="—","대상월 기관명단 없음(추가 필요)",IF($K59="서울병원","해당","비해당"))))</f>
        <v/>
      </c>
      <c r="M59">
        <f>IF($W59="","",SUMIFS(상세표[06~07시],상세표[사번키],INDEX(합계표[사번키],$W59),상세표[반영월],대상월키,상세표[반영 기관],"서울병원"))</f>
        <v/>
      </c>
      <c r="N59">
        <f>IF($W59="","",SUMIFS(상세표[07~18시],상세표[사번키],INDEX(합계표[사번키],$W59),상세표[반영월],대상월키,상세표[반영 기관],"서울병원"))</f>
        <v/>
      </c>
      <c r="O59">
        <f>IF($W59="","",SUMIFS(상세표[18~22시],상세표[사번키],INDEX(합계표[사번키],$W59),상세표[반영월],대상월키,상세표[반영 기관],"서울병원"))</f>
        <v/>
      </c>
      <c r="P59">
        <f>IF($W59="","",SUMIFS(상세표[22~06시],상세표[사번키],INDEX(합계표[사번키],$W59),상세표[반영월],대상월키,상세표[반영 기관],"서울병원"))</f>
        <v/>
      </c>
      <c r="Q59">
        <f>IF($W59="","",SUM($M59:$P59))</f>
        <v/>
      </c>
      <c r="R59">
        <f>IF($W59="","",COUNTIFS(상세표[사번키],INDEX(합계표[사번키],$W59),상세표[반영월],대상월키,상세표[야간당직],1,상세표[야간 구분],"평일"))</f>
        <v/>
      </c>
      <c r="S59" s="4">
        <f>IF($W59="","",COUNTIFS(상세표[사번키],INDEX(합계표[사번키],$W59),상세표[반영월],대상월키,상세표[야간당직],1,상세표[야간 구분],"휴일"))</f>
        <v/>
      </c>
      <c r="T59">
        <f>IF($W59="","",COUNTIFS(상세표[사번키],INDEX(합계표[사번키],$W59),상세표[반영월],대상월키,상세표[야간당직],1,상세표[야간 구분],"평일",상세표[반영 기관],"서울병원"))</f>
        <v/>
      </c>
      <c r="U59">
        <f>IF($W59="","",COUNTIFS(상세표[사번키],INDEX(합계표[사번키],$W59),상세표[반영월],대상월키,상세표[야간당직],1,상세표[야간 구분],"휴일",상세표[반영 기관],"서울병원"))</f>
        <v/>
      </c>
      <c r="V59">
        <f>IF($W59="","",IF(ISNUMBER(MATCH(INDEX(합계표[사번키],$W59)&amp;"|"&amp;대상월키,월별근무지표[키],0)),"직접 입력",IF($K59="—","—","기관명단")))</f>
        <v/>
      </c>
      <c r="W59">
        <f>IFERROR(MATCH(54,합계표[판정순번],0),"")</f>
        <v/>
      </c>
      <c r="Y59">
        <f>IF($AB59="","",INDEX(상세표[사번],$AB59)&amp;"")</f>
        <v/>
      </c>
      <c r="Z59">
        <f>IF($AB59="","",INDEX(상세표[성명],$AB59)&amp;"")</f>
        <v/>
      </c>
      <c r="AA59">
        <f>IF($AB59="","",SUMIFS(상세표[기록 시간외],상세표[사번키],INDEX(상세표[사번키],$AB59),상세표[반영월],대상월키))</f>
        <v/>
      </c>
      <c r="AB59" s="4">
        <f>IFERROR(MATCH(54,상세표[합계없음순번],0),"")</f>
        <v/>
      </c>
    </row>
    <row r="60">
      <c r="A60">
        <f>IF($W60="","",INDEX(합계표[사번],$W60)&amp;"")</f>
        <v/>
      </c>
      <c r="B60">
        <f>IF($W60="","",INDEX(합계표[성명],$W60)&amp;"")</f>
        <v/>
      </c>
      <c r="C60">
        <f>IF($W60="","",INDEX(합계표[부서],$W60)&amp;"")</f>
        <v/>
      </c>
      <c r="D60">
        <f>IF($W60="","",INDEX(합계표[직위(통합)],$W60)&amp;"")</f>
        <v/>
      </c>
      <c r="E60">
        <f>IF($W60="","",SUMIFS(합계표[시스템 합계],합계표[사번키],INDEX(합계표[사번키],$W60)))</f>
        <v/>
      </c>
      <c r="F60">
        <f>IF($W60="","",SUMIFS(상세표[기록 시간외],상세표[사번키],INDEX(합계표[사번키],$W60),상세표[기록월],대상월키))</f>
        <v/>
      </c>
      <c r="G60">
        <f>IF($W60="","",IF(ABS($E60-$F60)&lt;0.01,"일치","불일치(차이 "&amp;TEXT($F60-$E60,"0.00")&amp;")"))</f>
        <v/>
      </c>
      <c r="H60">
        <f>IF($W60="","",SUMIFS(상세표[기록 시간외],상세표[사번키],INDEX(합계표[사번키],$W60),상세표[기록월],대상월키,상세표[반영월],"&lt;&gt;"&amp;대상월키))</f>
        <v/>
      </c>
      <c r="I60">
        <f>IF($W60="","",SUMIFS(상세표[기록 시간외],상세표[사번키],INDEX(합계표[사번키],$W60),상세표[기록월],"&lt;&gt;"&amp;대상월키,상세표[반영월],대상월키))</f>
        <v/>
      </c>
      <c r="J60">
        <f>IF($W60="","",SUMIFS(상세표[기록 시간외],상세표[사번키],INDEX(합계표[사번키],$W60),상세표[반영월],대상월키))</f>
        <v/>
      </c>
      <c r="K60">
        <f>IF($W60="","",IFERROR(INDEX(월별근무지표[적용 급여병원],MATCH(INDEX(합계표[사번키],$W60)&amp;"|"&amp;대상월키,월별근무지표[키],0))&amp;"",IF(COUNTIF(기관표[사번키],INDEX(합계표[사번키],$W60))+COUNTIF(월별근무지표[사번키],INDEX(합계표[사번키],$W60))&gt;0,IFERROR(INDEX(기관표[급여지급병원(기준월)],MATCH(INDEX(합계표[사번키],$W60)&amp;"|"&amp;대상월키,기관표[키],0))&amp;"","—"),"—")))</f>
        <v/>
      </c>
      <c r="L60">
        <f>IF($W60="","",IF(NOT(COUNTIF(기관표[사번키],INDEX(합계표[사번키],$W60))+COUNTIF(월별근무지표[사번키],INDEX(합계표[사번키],$W60))&gt;0),"기관명단에 없음(다른 병원으로 발송)",IF($K60="—","대상월 기관명단 없음(추가 필요)",IF($K60="서울병원","해당","비해당"))))</f>
        <v/>
      </c>
      <c r="M60">
        <f>IF($W60="","",SUMIFS(상세표[06~07시],상세표[사번키],INDEX(합계표[사번키],$W60),상세표[반영월],대상월키,상세표[반영 기관],"서울병원"))</f>
        <v/>
      </c>
      <c r="N60">
        <f>IF($W60="","",SUMIFS(상세표[07~18시],상세표[사번키],INDEX(합계표[사번키],$W60),상세표[반영월],대상월키,상세표[반영 기관],"서울병원"))</f>
        <v/>
      </c>
      <c r="O60">
        <f>IF($W60="","",SUMIFS(상세표[18~22시],상세표[사번키],INDEX(합계표[사번키],$W60),상세표[반영월],대상월키,상세표[반영 기관],"서울병원"))</f>
        <v/>
      </c>
      <c r="P60">
        <f>IF($W60="","",SUMIFS(상세표[22~06시],상세표[사번키],INDEX(합계표[사번키],$W60),상세표[반영월],대상월키,상세표[반영 기관],"서울병원"))</f>
        <v/>
      </c>
      <c r="Q60">
        <f>IF($W60="","",SUM($M60:$P60))</f>
        <v/>
      </c>
      <c r="R60">
        <f>IF($W60="","",COUNTIFS(상세표[사번키],INDEX(합계표[사번키],$W60),상세표[반영월],대상월키,상세표[야간당직],1,상세표[야간 구분],"평일"))</f>
        <v/>
      </c>
      <c r="S60" s="4">
        <f>IF($W60="","",COUNTIFS(상세표[사번키],INDEX(합계표[사번키],$W60),상세표[반영월],대상월키,상세표[야간당직],1,상세표[야간 구분],"휴일"))</f>
        <v/>
      </c>
      <c r="T60">
        <f>IF($W60="","",COUNTIFS(상세표[사번키],INDEX(합계표[사번키],$W60),상세표[반영월],대상월키,상세표[야간당직],1,상세표[야간 구분],"평일",상세표[반영 기관],"서울병원"))</f>
        <v/>
      </c>
      <c r="U60">
        <f>IF($W60="","",COUNTIFS(상세표[사번키],INDEX(합계표[사번키],$W60),상세표[반영월],대상월키,상세표[야간당직],1,상세표[야간 구분],"휴일",상세표[반영 기관],"서울병원"))</f>
        <v/>
      </c>
      <c r="V60">
        <f>IF($W60="","",IF(ISNUMBER(MATCH(INDEX(합계표[사번키],$W60)&amp;"|"&amp;대상월키,월별근무지표[키],0)),"직접 입력",IF($K60="—","—","기관명단")))</f>
        <v/>
      </c>
      <c r="W60">
        <f>IFERROR(MATCH(55,합계표[판정순번],0),"")</f>
        <v/>
      </c>
      <c r="Y60">
        <f>IF($AB60="","",INDEX(상세표[사번],$AB60)&amp;"")</f>
        <v/>
      </c>
      <c r="Z60">
        <f>IF($AB60="","",INDEX(상세표[성명],$AB60)&amp;"")</f>
        <v/>
      </c>
      <c r="AA60">
        <f>IF($AB60="","",SUMIFS(상세표[기록 시간외],상세표[사번키],INDEX(상세표[사번키],$AB60),상세표[반영월],대상월키))</f>
        <v/>
      </c>
      <c r="AB60" s="4">
        <f>IFERROR(MATCH(55,상세표[합계없음순번],0),"")</f>
        <v/>
      </c>
    </row>
    <row r="61">
      <c r="A61">
        <f>IF($W61="","",INDEX(합계표[사번],$W61)&amp;"")</f>
        <v/>
      </c>
      <c r="B61">
        <f>IF($W61="","",INDEX(합계표[성명],$W61)&amp;"")</f>
        <v/>
      </c>
      <c r="C61">
        <f>IF($W61="","",INDEX(합계표[부서],$W61)&amp;"")</f>
        <v/>
      </c>
      <c r="D61">
        <f>IF($W61="","",INDEX(합계표[직위(통합)],$W61)&amp;"")</f>
        <v/>
      </c>
      <c r="E61">
        <f>IF($W61="","",SUMIFS(합계표[시스템 합계],합계표[사번키],INDEX(합계표[사번키],$W61)))</f>
        <v/>
      </c>
      <c r="F61">
        <f>IF($W61="","",SUMIFS(상세표[기록 시간외],상세표[사번키],INDEX(합계표[사번키],$W61),상세표[기록월],대상월키))</f>
        <v/>
      </c>
      <c r="G61">
        <f>IF($W61="","",IF(ABS($E61-$F61)&lt;0.01,"일치","불일치(차이 "&amp;TEXT($F61-$E61,"0.00")&amp;")"))</f>
        <v/>
      </c>
      <c r="H61">
        <f>IF($W61="","",SUMIFS(상세표[기록 시간외],상세표[사번키],INDEX(합계표[사번키],$W61),상세표[기록월],대상월키,상세표[반영월],"&lt;&gt;"&amp;대상월키))</f>
        <v/>
      </c>
      <c r="I61">
        <f>IF($W61="","",SUMIFS(상세표[기록 시간외],상세표[사번키],INDEX(합계표[사번키],$W61),상세표[기록월],"&lt;&gt;"&amp;대상월키,상세표[반영월],대상월키))</f>
        <v/>
      </c>
      <c r="J61">
        <f>IF($W61="","",SUMIFS(상세표[기록 시간외],상세표[사번키],INDEX(합계표[사번키],$W61),상세표[반영월],대상월키))</f>
        <v/>
      </c>
      <c r="K61">
        <f>IF($W61="","",IFERROR(INDEX(월별근무지표[적용 급여병원],MATCH(INDEX(합계표[사번키],$W61)&amp;"|"&amp;대상월키,월별근무지표[키],0))&amp;"",IF(COUNTIF(기관표[사번키],INDEX(합계표[사번키],$W61))+COUNTIF(월별근무지표[사번키],INDEX(합계표[사번키],$W61))&gt;0,IFERROR(INDEX(기관표[급여지급병원(기준월)],MATCH(INDEX(합계표[사번키],$W61)&amp;"|"&amp;대상월키,기관표[키],0))&amp;"","—"),"—")))</f>
        <v/>
      </c>
      <c r="L61">
        <f>IF($W61="","",IF(NOT(COUNTIF(기관표[사번키],INDEX(합계표[사번키],$W61))+COUNTIF(월별근무지표[사번키],INDEX(합계표[사번키],$W61))&gt;0),"기관명단에 없음(다른 병원으로 발송)",IF($K61="—","대상월 기관명단 없음(추가 필요)",IF($K61="서울병원","해당","비해당"))))</f>
        <v/>
      </c>
      <c r="M61">
        <f>IF($W61="","",SUMIFS(상세표[06~07시],상세표[사번키],INDEX(합계표[사번키],$W61),상세표[반영월],대상월키,상세표[반영 기관],"서울병원"))</f>
        <v/>
      </c>
      <c r="N61">
        <f>IF($W61="","",SUMIFS(상세표[07~18시],상세표[사번키],INDEX(합계표[사번키],$W61),상세표[반영월],대상월키,상세표[반영 기관],"서울병원"))</f>
        <v/>
      </c>
      <c r="O61">
        <f>IF($W61="","",SUMIFS(상세표[18~22시],상세표[사번키],INDEX(합계표[사번키],$W61),상세표[반영월],대상월키,상세표[반영 기관],"서울병원"))</f>
        <v/>
      </c>
      <c r="P61">
        <f>IF($W61="","",SUMIFS(상세표[22~06시],상세표[사번키],INDEX(합계표[사번키],$W61),상세표[반영월],대상월키,상세표[반영 기관],"서울병원"))</f>
        <v/>
      </c>
      <c r="Q61">
        <f>IF($W61="","",SUM($M61:$P61))</f>
        <v/>
      </c>
      <c r="R61">
        <f>IF($W61="","",COUNTIFS(상세표[사번키],INDEX(합계표[사번키],$W61),상세표[반영월],대상월키,상세표[야간당직],1,상세표[야간 구분],"평일"))</f>
        <v/>
      </c>
      <c r="S61" s="4">
        <f>IF($W61="","",COUNTIFS(상세표[사번키],INDEX(합계표[사번키],$W61),상세표[반영월],대상월키,상세표[야간당직],1,상세표[야간 구분],"휴일"))</f>
        <v/>
      </c>
      <c r="T61">
        <f>IF($W61="","",COUNTIFS(상세표[사번키],INDEX(합계표[사번키],$W61),상세표[반영월],대상월키,상세표[야간당직],1,상세표[야간 구분],"평일",상세표[반영 기관],"서울병원"))</f>
        <v/>
      </c>
      <c r="U61">
        <f>IF($W61="","",COUNTIFS(상세표[사번키],INDEX(합계표[사번키],$W61),상세표[반영월],대상월키,상세표[야간당직],1,상세표[야간 구분],"휴일",상세표[반영 기관],"서울병원"))</f>
        <v/>
      </c>
      <c r="V61">
        <f>IF($W61="","",IF(ISNUMBER(MATCH(INDEX(합계표[사번키],$W61)&amp;"|"&amp;대상월키,월별근무지표[키],0)),"직접 입력",IF($K61="—","—","기관명단")))</f>
        <v/>
      </c>
      <c r="W61">
        <f>IFERROR(MATCH(56,합계표[판정순번],0),"")</f>
        <v/>
      </c>
      <c r="Y61">
        <f>IF($AB61="","",INDEX(상세표[사번],$AB61)&amp;"")</f>
        <v/>
      </c>
      <c r="Z61">
        <f>IF($AB61="","",INDEX(상세표[성명],$AB61)&amp;"")</f>
        <v/>
      </c>
      <c r="AA61">
        <f>IF($AB61="","",SUMIFS(상세표[기록 시간외],상세표[사번키],INDEX(상세표[사번키],$AB61),상세표[반영월],대상월키))</f>
        <v/>
      </c>
      <c r="AB61" s="4">
        <f>IFERROR(MATCH(56,상세표[합계없음순번],0),"")</f>
        <v/>
      </c>
    </row>
    <row r="62">
      <c r="A62">
        <f>IF($W62="","",INDEX(합계표[사번],$W62)&amp;"")</f>
        <v/>
      </c>
      <c r="B62">
        <f>IF($W62="","",INDEX(합계표[성명],$W62)&amp;"")</f>
        <v/>
      </c>
      <c r="C62">
        <f>IF($W62="","",INDEX(합계표[부서],$W62)&amp;"")</f>
        <v/>
      </c>
      <c r="D62">
        <f>IF($W62="","",INDEX(합계표[직위(통합)],$W62)&amp;"")</f>
        <v/>
      </c>
      <c r="E62">
        <f>IF($W62="","",SUMIFS(합계표[시스템 합계],합계표[사번키],INDEX(합계표[사번키],$W62)))</f>
        <v/>
      </c>
      <c r="F62">
        <f>IF($W62="","",SUMIFS(상세표[기록 시간외],상세표[사번키],INDEX(합계표[사번키],$W62),상세표[기록월],대상월키))</f>
        <v/>
      </c>
      <c r="G62">
        <f>IF($W62="","",IF(ABS($E62-$F62)&lt;0.01,"일치","불일치(차이 "&amp;TEXT($F62-$E62,"0.00")&amp;")"))</f>
        <v/>
      </c>
      <c r="H62">
        <f>IF($W62="","",SUMIFS(상세표[기록 시간외],상세표[사번키],INDEX(합계표[사번키],$W62),상세표[기록월],대상월키,상세표[반영월],"&lt;&gt;"&amp;대상월키))</f>
        <v/>
      </c>
      <c r="I62">
        <f>IF($W62="","",SUMIFS(상세표[기록 시간외],상세표[사번키],INDEX(합계표[사번키],$W62),상세표[기록월],"&lt;&gt;"&amp;대상월키,상세표[반영월],대상월키))</f>
        <v/>
      </c>
      <c r="J62">
        <f>IF($W62="","",SUMIFS(상세표[기록 시간외],상세표[사번키],INDEX(합계표[사번키],$W62),상세표[반영월],대상월키))</f>
        <v/>
      </c>
      <c r="K62">
        <f>IF($W62="","",IFERROR(INDEX(월별근무지표[적용 급여병원],MATCH(INDEX(합계표[사번키],$W62)&amp;"|"&amp;대상월키,월별근무지표[키],0))&amp;"",IF(COUNTIF(기관표[사번키],INDEX(합계표[사번키],$W62))+COUNTIF(월별근무지표[사번키],INDEX(합계표[사번키],$W62))&gt;0,IFERROR(INDEX(기관표[급여지급병원(기준월)],MATCH(INDEX(합계표[사번키],$W62)&amp;"|"&amp;대상월키,기관표[키],0))&amp;"","—"),"—")))</f>
        <v/>
      </c>
      <c r="L62">
        <f>IF($W62="","",IF(NOT(COUNTIF(기관표[사번키],INDEX(합계표[사번키],$W62))+COUNTIF(월별근무지표[사번키],INDEX(합계표[사번키],$W62))&gt;0),"기관명단에 없음(다른 병원으로 발송)",IF($K62="—","대상월 기관명단 없음(추가 필요)",IF($K62="서울병원","해당","비해당"))))</f>
        <v/>
      </c>
      <c r="M62">
        <f>IF($W62="","",SUMIFS(상세표[06~07시],상세표[사번키],INDEX(합계표[사번키],$W62),상세표[반영월],대상월키,상세표[반영 기관],"서울병원"))</f>
        <v/>
      </c>
      <c r="N62">
        <f>IF($W62="","",SUMIFS(상세표[07~18시],상세표[사번키],INDEX(합계표[사번키],$W62),상세표[반영월],대상월키,상세표[반영 기관],"서울병원"))</f>
        <v/>
      </c>
      <c r="O62">
        <f>IF($W62="","",SUMIFS(상세표[18~22시],상세표[사번키],INDEX(합계표[사번키],$W62),상세표[반영월],대상월키,상세표[반영 기관],"서울병원"))</f>
        <v/>
      </c>
      <c r="P62">
        <f>IF($W62="","",SUMIFS(상세표[22~06시],상세표[사번키],INDEX(합계표[사번키],$W62),상세표[반영월],대상월키,상세표[반영 기관],"서울병원"))</f>
        <v/>
      </c>
      <c r="Q62">
        <f>IF($W62="","",SUM($M62:$P62))</f>
        <v/>
      </c>
      <c r="R62">
        <f>IF($W62="","",COUNTIFS(상세표[사번키],INDEX(합계표[사번키],$W62),상세표[반영월],대상월키,상세표[야간당직],1,상세표[야간 구분],"평일"))</f>
        <v/>
      </c>
      <c r="S62" s="4">
        <f>IF($W62="","",COUNTIFS(상세표[사번키],INDEX(합계표[사번키],$W62),상세표[반영월],대상월키,상세표[야간당직],1,상세표[야간 구분],"휴일"))</f>
        <v/>
      </c>
      <c r="T62">
        <f>IF($W62="","",COUNTIFS(상세표[사번키],INDEX(합계표[사번키],$W62),상세표[반영월],대상월키,상세표[야간당직],1,상세표[야간 구분],"평일",상세표[반영 기관],"서울병원"))</f>
        <v/>
      </c>
      <c r="U62">
        <f>IF($W62="","",COUNTIFS(상세표[사번키],INDEX(합계표[사번키],$W62),상세표[반영월],대상월키,상세표[야간당직],1,상세표[야간 구분],"휴일",상세표[반영 기관],"서울병원"))</f>
        <v/>
      </c>
      <c r="V62">
        <f>IF($W62="","",IF(ISNUMBER(MATCH(INDEX(합계표[사번키],$W62)&amp;"|"&amp;대상월키,월별근무지표[키],0)),"직접 입력",IF($K62="—","—","기관명단")))</f>
        <v/>
      </c>
      <c r="W62">
        <f>IFERROR(MATCH(57,합계표[판정순번],0),"")</f>
        <v/>
      </c>
      <c r="Y62">
        <f>IF($AB62="","",INDEX(상세표[사번],$AB62)&amp;"")</f>
        <v/>
      </c>
      <c r="Z62">
        <f>IF($AB62="","",INDEX(상세표[성명],$AB62)&amp;"")</f>
        <v/>
      </c>
      <c r="AA62">
        <f>IF($AB62="","",SUMIFS(상세표[기록 시간외],상세표[사번키],INDEX(상세표[사번키],$AB62),상세표[반영월],대상월키))</f>
        <v/>
      </c>
      <c r="AB62" s="4">
        <f>IFERROR(MATCH(57,상세표[합계없음순번],0),"")</f>
        <v/>
      </c>
    </row>
    <row r="63">
      <c r="A63">
        <f>IF($W63="","",INDEX(합계표[사번],$W63)&amp;"")</f>
        <v/>
      </c>
      <c r="B63">
        <f>IF($W63="","",INDEX(합계표[성명],$W63)&amp;"")</f>
        <v/>
      </c>
      <c r="C63">
        <f>IF($W63="","",INDEX(합계표[부서],$W63)&amp;"")</f>
        <v/>
      </c>
      <c r="D63">
        <f>IF($W63="","",INDEX(합계표[직위(통합)],$W63)&amp;"")</f>
        <v/>
      </c>
      <c r="E63">
        <f>IF($W63="","",SUMIFS(합계표[시스템 합계],합계표[사번키],INDEX(합계표[사번키],$W63)))</f>
        <v/>
      </c>
      <c r="F63">
        <f>IF($W63="","",SUMIFS(상세표[기록 시간외],상세표[사번키],INDEX(합계표[사번키],$W63),상세표[기록월],대상월키))</f>
        <v/>
      </c>
      <c r="G63">
        <f>IF($W63="","",IF(ABS($E63-$F63)&lt;0.01,"일치","불일치(차이 "&amp;TEXT($F63-$E63,"0.00")&amp;")"))</f>
        <v/>
      </c>
      <c r="H63">
        <f>IF($W63="","",SUMIFS(상세표[기록 시간외],상세표[사번키],INDEX(합계표[사번키],$W63),상세표[기록월],대상월키,상세표[반영월],"&lt;&gt;"&amp;대상월키))</f>
        <v/>
      </c>
      <c r="I63">
        <f>IF($W63="","",SUMIFS(상세표[기록 시간외],상세표[사번키],INDEX(합계표[사번키],$W63),상세표[기록월],"&lt;&gt;"&amp;대상월키,상세표[반영월],대상월키))</f>
        <v/>
      </c>
      <c r="J63">
        <f>IF($W63="","",SUMIFS(상세표[기록 시간외],상세표[사번키],INDEX(합계표[사번키],$W63),상세표[반영월],대상월키))</f>
        <v/>
      </c>
      <c r="K63">
        <f>IF($W63="","",IFERROR(INDEX(월별근무지표[적용 급여병원],MATCH(INDEX(합계표[사번키],$W63)&amp;"|"&amp;대상월키,월별근무지표[키],0))&amp;"",IF(COUNTIF(기관표[사번키],INDEX(합계표[사번키],$W63))+COUNTIF(월별근무지표[사번키],INDEX(합계표[사번키],$W63))&gt;0,IFERROR(INDEX(기관표[급여지급병원(기준월)],MATCH(INDEX(합계표[사번키],$W63)&amp;"|"&amp;대상월키,기관표[키],0))&amp;"","—"),"—")))</f>
        <v/>
      </c>
      <c r="L63">
        <f>IF($W63="","",IF(NOT(COUNTIF(기관표[사번키],INDEX(합계표[사번키],$W63))+COUNTIF(월별근무지표[사번키],INDEX(합계표[사번키],$W63))&gt;0),"기관명단에 없음(다른 병원으로 발송)",IF($K63="—","대상월 기관명단 없음(추가 필요)",IF($K63="서울병원","해당","비해당"))))</f>
        <v/>
      </c>
      <c r="M63">
        <f>IF($W63="","",SUMIFS(상세표[06~07시],상세표[사번키],INDEX(합계표[사번키],$W63),상세표[반영월],대상월키,상세표[반영 기관],"서울병원"))</f>
        <v/>
      </c>
      <c r="N63">
        <f>IF($W63="","",SUMIFS(상세표[07~18시],상세표[사번키],INDEX(합계표[사번키],$W63),상세표[반영월],대상월키,상세표[반영 기관],"서울병원"))</f>
        <v/>
      </c>
      <c r="O63">
        <f>IF($W63="","",SUMIFS(상세표[18~22시],상세표[사번키],INDEX(합계표[사번키],$W63),상세표[반영월],대상월키,상세표[반영 기관],"서울병원"))</f>
        <v/>
      </c>
      <c r="P63">
        <f>IF($W63="","",SUMIFS(상세표[22~06시],상세표[사번키],INDEX(합계표[사번키],$W63),상세표[반영월],대상월키,상세표[반영 기관],"서울병원"))</f>
        <v/>
      </c>
      <c r="Q63">
        <f>IF($W63="","",SUM($M63:$P63))</f>
        <v/>
      </c>
      <c r="R63">
        <f>IF($W63="","",COUNTIFS(상세표[사번키],INDEX(합계표[사번키],$W63),상세표[반영월],대상월키,상세표[야간당직],1,상세표[야간 구분],"평일"))</f>
        <v/>
      </c>
      <c r="S63" s="4">
        <f>IF($W63="","",COUNTIFS(상세표[사번키],INDEX(합계표[사번키],$W63),상세표[반영월],대상월키,상세표[야간당직],1,상세표[야간 구분],"휴일"))</f>
        <v/>
      </c>
      <c r="T63">
        <f>IF($W63="","",COUNTIFS(상세표[사번키],INDEX(합계표[사번키],$W63),상세표[반영월],대상월키,상세표[야간당직],1,상세표[야간 구분],"평일",상세표[반영 기관],"서울병원"))</f>
        <v/>
      </c>
      <c r="U63">
        <f>IF($W63="","",COUNTIFS(상세표[사번키],INDEX(합계표[사번키],$W63),상세표[반영월],대상월키,상세표[야간당직],1,상세표[야간 구분],"휴일",상세표[반영 기관],"서울병원"))</f>
        <v/>
      </c>
      <c r="V63">
        <f>IF($W63="","",IF(ISNUMBER(MATCH(INDEX(합계표[사번키],$W63)&amp;"|"&amp;대상월키,월별근무지표[키],0)),"직접 입력",IF($K63="—","—","기관명단")))</f>
        <v/>
      </c>
      <c r="W63">
        <f>IFERROR(MATCH(58,합계표[판정순번],0),"")</f>
        <v/>
      </c>
      <c r="Y63">
        <f>IF($AB63="","",INDEX(상세표[사번],$AB63)&amp;"")</f>
        <v/>
      </c>
      <c r="Z63">
        <f>IF($AB63="","",INDEX(상세표[성명],$AB63)&amp;"")</f>
        <v/>
      </c>
      <c r="AA63">
        <f>IF($AB63="","",SUMIFS(상세표[기록 시간외],상세표[사번키],INDEX(상세표[사번키],$AB63),상세표[반영월],대상월키))</f>
        <v/>
      </c>
      <c r="AB63" s="4">
        <f>IFERROR(MATCH(58,상세표[합계없음순번],0),"")</f>
        <v/>
      </c>
    </row>
    <row r="64">
      <c r="A64">
        <f>IF($W64="","",INDEX(합계표[사번],$W64)&amp;"")</f>
        <v/>
      </c>
      <c r="B64">
        <f>IF($W64="","",INDEX(합계표[성명],$W64)&amp;"")</f>
        <v/>
      </c>
      <c r="C64">
        <f>IF($W64="","",INDEX(합계표[부서],$W64)&amp;"")</f>
        <v/>
      </c>
      <c r="D64">
        <f>IF($W64="","",INDEX(합계표[직위(통합)],$W64)&amp;"")</f>
        <v/>
      </c>
      <c r="E64">
        <f>IF($W64="","",SUMIFS(합계표[시스템 합계],합계표[사번키],INDEX(합계표[사번키],$W64)))</f>
        <v/>
      </c>
      <c r="F64">
        <f>IF($W64="","",SUMIFS(상세표[기록 시간외],상세표[사번키],INDEX(합계표[사번키],$W64),상세표[기록월],대상월키))</f>
        <v/>
      </c>
      <c r="G64">
        <f>IF($W64="","",IF(ABS($E64-$F64)&lt;0.01,"일치","불일치(차이 "&amp;TEXT($F64-$E64,"0.00")&amp;")"))</f>
        <v/>
      </c>
      <c r="H64">
        <f>IF($W64="","",SUMIFS(상세표[기록 시간외],상세표[사번키],INDEX(합계표[사번키],$W64),상세표[기록월],대상월키,상세표[반영월],"&lt;&gt;"&amp;대상월키))</f>
        <v/>
      </c>
      <c r="I64">
        <f>IF($W64="","",SUMIFS(상세표[기록 시간외],상세표[사번키],INDEX(합계표[사번키],$W64),상세표[기록월],"&lt;&gt;"&amp;대상월키,상세표[반영월],대상월키))</f>
        <v/>
      </c>
      <c r="J64">
        <f>IF($W64="","",SUMIFS(상세표[기록 시간외],상세표[사번키],INDEX(합계표[사번키],$W64),상세표[반영월],대상월키))</f>
        <v/>
      </c>
      <c r="K64">
        <f>IF($W64="","",IFERROR(INDEX(월별근무지표[적용 급여병원],MATCH(INDEX(합계표[사번키],$W64)&amp;"|"&amp;대상월키,월별근무지표[키],0))&amp;"",IF(COUNTIF(기관표[사번키],INDEX(합계표[사번키],$W64))+COUNTIF(월별근무지표[사번키],INDEX(합계표[사번키],$W64))&gt;0,IFERROR(INDEX(기관표[급여지급병원(기준월)],MATCH(INDEX(합계표[사번키],$W64)&amp;"|"&amp;대상월키,기관표[키],0))&amp;"","—"),"—")))</f>
        <v/>
      </c>
      <c r="L64">
        <f>IF($W64="","",IF(NOT(COUNTIF(기관표[사번키],INDEX(합계표[사번키],$W64))+COUNTIF(월별근무지표[사번키],INDEX(합계표[사번키],$W64))&gt;0),"기관명단에 없음(다른 병원으로 발송)",IF($K64="—","대상월 기관명단 없음(추가 필요)",IF($K64="서울병원","해당","비해당"))))</f>
        <v/>
      </c>
      <c r="M64">
        <f>IF($W64="","",SUMIFS(상세표[06~07시],상세표[사번키],INDEX(합계표[사번키],$W64),상세표[반영월],대상월키,상세표[반영 기관],"서울병원"))</f>
        <v/>
      </c>
      <c r="N64">
        <f>IF($W64="","",SUMIFS(상세표[07~18시],상세표[사번키],INDEX(합계표[사번키],$W64),상세표[반영월],대상월키,상세표[반영 기관],"서울병원"))</f>
        <v/>
      </c>
      <c r="O64">
        <f>IF($W64="","",SUMIFS(상세표[18~22시],상세표[사번키],INDEX(합계표[사번키],$W64),상세표[반영월],대상월키,상세표[반영 기관],"서울병원"))</f>
        <v/>
      </c>
      <c r="P64">
        <f>IF($W64="","",SUMIFS(상세표[22~06시],상세표[사번키],INDEX(합계표[사번키],$W64),상세표[반영월],대상월키,상세표[반영 기관],"서울병원"))</f>
        <v/>
      </c>
      <c r="Q64">
        <f>IF($W64="","",SUM($M64:$P64))</f>
        <v/>
      </c>
      <c r="R64">
        <f>IF($W64="","",COUNTIFS(상세표[사번키],INDEX(합계표[사번키],$W64),상세표[반영월],대상월키,상세표[야간당직],1,상세표[야간 구분],"평일"))</f>
        <v/>
      </c>
      <c r="S64" s="4">
        <f>IF($W64="","",COUNTIFS(상세표[사번키],INDEX(합계표[사번키],$W64),상세표[반영월],대상월키,상세표[야간당직],1,상세표[야간 구분],"휴일"))</f>
        <v/>
      </c>
      <c r="T64">
        <f>IF($W64="","",COUNTIFS(상세표[사번키],INDEX(합계표[사번키],$W64),상세표[반영월],대상월키,상세표[야간당직],1,상세표[야간 구분],"평일",상세표[반영 기관],"서울병원"))</f>
        <v/>
      </c>
      <c r="U64">
        <f>IF($W64="","",COUNTIFS(상세표[사번키],INDEX(합계표[사번키],$W64),상세표[반영월],대상월키,상세표[야간당직],1,상세표[야간 구분],"휴일",상세표[반영 기관],"서울병원"))</f>
        <v/>
      </c>
      <c r="V64">
        <f>IF($W64="","",IF(ISNUMBER(MATCH(INDEX(합계표[사번키],$W64)&amp;"|"&amp;대상월키,월별근무지표[키],0)),"직접 입력",IF($K64="—","—","기관명단")))</f>
        <v/>
      </c>
      <c r="W64">
        <f>IFERROR(MATCH(59,합계표[판정순번],0),"")</f>
        <v/>
      </c>
      <c r="Y64">
        <f>IF($AB64="","",INDEX(상세표[사번],$AB64)&amp;"")</f>
        <v/>
      </c>
      <c r="Z64">
        <f>IF($AB64="","",INDEX(상세표[성명],$AB64)&amp;"")</f>
        <v/>
      </c>
      <c r="AA64">
        <f>IF($AB64="","",SUMIFS(상세표[기록 시간외],상세표[사번키],INDEX(상세표[사번키],$AB64),상세표[반영월],대상월키))</f>
        <v/>
      </c>
      <c r="AB64" s="4">
        <f>IFERROR(MATCH(59,상세표[합계없음순번],0),"")</f>
        <v/>
      </c>
    </row>
    <row r="65">
      <c r="A65">
        <f>IF($W65="","",INDEX(합계표[사번],$W65)&amp;"")</f>
        <v/>
      </c>
      <c r="B65">
        <f>IF($W65="","",INDEX(합계표[성명],$W65)&amp;"")</f>
        <v/>
      </c>
      <c r="C65">
        <f>IF($W65="","",INDEX(합계표[부서],$W65)&amp;"")</f>
        <v/>
      </c>
      <c r="D65">
        <f>IF($W65="","",INDEX(합계표[직위(통합)],$W65)&amp;"")</f>
        <v/>
      </c>
      <c r="E65">
        <f>IF($W65="","",SUMIFS(합계표[시스템 합계],합계표[사번키],INDEX(합계표[사번키],$W65)))</f>
        <v/>
      </c>
      <c r="F65">
        <f>IF($W65="","",SUMIFS(상세표[기록 시간외],상세표[사번키],INDEX(합계표[사번키],$W65),상세표[기록월],대상월키))</f>
        <v/>
      </c>
      <c r="G65">
        <f>IF($W65="","",IF(ABS($E65-$F65)&lt;0.01,"일치","불일치(차이 "&amp;TEXT($F65-$E65,"0.00")&amp;")"))</f>
        <v/>
      </c>
      <c r="H65">
        <f>IF($W65="","",SUMIFS(상세표[기록 시간외],상세표[사번키],INDEX(합계표[사번키],$W65),상세표[기록월],대상월키,상세표[반영월],"&lt;&gt;"&amp;대상월키))</f>
        <v/>
      </c>
      <c r="I65">
        <f>IF($W65="","",SUMIFS(상세표[기록 시간외],상세표[사번키],INDEX(합계표[사번키],$W65),상세표[기록월],"&lt;&gt;"&amp;대상월키,상세표[반영월],대상월키))</f>
        <v/>
      </c>
      <c r="J65">
        <f>IF($W65="","",SUMIFS(상세표[기록 시간외],상세표[사번키],INDEX(합계표[사번키],$W65),상세표[반영월],대상월키))</f>
        <v/>
      </c>
      <c r="K65">
        <f>IF($W65="","",IFERROR(INDEX(월별근무지표[적용 급여병원],MATCH(INDEX(합계표[사번키],$W65)&amp;"|"&amp;대상월키,월별근무지표[키],0))&amp;"",IF(COUNTIF(기관표[사번키],INDEX(합계표[사번키],$W65))+COUNTIF(월별근무지표[사번키],INDEX(합계표[사번키],$W65))&gt;0,IFERROR(INDEX(기관표[급여지급병원(기준월)],MATCH(INDEX(합계표[사번키],$W65)&amp;"|"&amp;대상월키,기관표[키],0))&amp;"","—"),"—")))</f>
        <v/>
      </c>
      <c r="L65">
        <f>IF($W65="","",IF(NOT(COUNTIF(기관표[사번키],INDEX(합계표[사번키],$W65))+COUNTIF(월별근무지표[사번키],INDEX(합계표[사번키],$W65))&gt;0),"기관명단에 없음(다른 병원으로 발송)",IF($K65="—","대상월 기관명단 없음(추가 필요)",IF($K65="서울병원","해당","비해당"))))</f>
        <v/>
      </c>
      <c r="M65">
        <f>IF($W65="","",SUMIFS(상세표[06~07시],상세표[사번키],INDEX(합계표[사번키],$W65),상세표[반영월],대상월키,상세표[반영 기관],"서울병원"))</f>
        <v/>
      </c>
      <c r="N65">
        <f>IF($W65="","",SUMIFS(상세표[07~18시],상세표[사번키],INDEX(합계표[사번키],$W65),상세표[반영월],대상월키,상세표[반영 기관],"서울병원"))</f>
        <v/>
      </c>
      <c r="O65">
        <f>IF($W65="","",SUMIFS(상세표[18~22시],상세표[사번키],INDEX(합계표[사번키],$W65),상세표[반영월],대상월키,상세표[반영 기관],"서울병원"))</f>
        <v/>
      </c>
      <c r="P65">
        <f>IF($W65="","",SUMIFS(상세표[22~06시],상세표[사번키],INDEX(합계표[사번키],$W65),상세표[반영월],대상월키,상세표[반영 기관],"서울병원"))</f>
        <v/>
      </c>
      <c r="Q65">
        <f>IF($W65="","",SUM($M65:$P65))</f>
        <v/>
      </c>
      <c r="R65">
        <f>IF($W65="","",COUNTIFS(상세표[사번키],INDEX(합계표[사번키],$W65),상세표[반영월],대상월키,상세표[야간당직],1,상세표[야간 구분],"평일"))</f>
        <v/>
      </c>
      <c r="S65" s="4">
        <f>IF($W65="","",COUNTIFS(상세표[사번키],INDEX(합계표[사번키],$W65),상세표[반영월],대상월키,상세표[야간당직],1,상세표[야간 구분],"휴일"))</f>
        <v/>
      </c>
      <c r="T65">
        <f>IF($W65="","",COUNTIFS(상세표[사번키],INDEX(합계표[사번키],$W65),상세표[반영월],대상월키,상세표[야간당직],1,상세표[야간 구분],"평일",상세표[반영 기관],"서울병원"))</f>
        <v/>
      </c>
      <c r="U65">
        <f>IF($W65="","",COUNTIFS(상세표[사번키],INDEX(합계표[사번키],$W65),상세표[반영월],대상월키,상세표[야간당직],1,상세표[야간 구분],"휴일",상세표[반영 기관],"서울병원"))</f>
        <v/>
      </c>
      <c r="V65">
        <f>IF($W65="","",IF(ISNUMBER(MATCH(INDEX(합계표[사번키],$W65)&amp;"|"&amp;대상월키,월별근무지표[키],0)),"직접 입력",IF($K65="—","—","기관명단")))</f>
        <v/>
      </c>
      <c r="W65">
        <f>IFERROR(MATCH(60,합계표[판정순번],0),"")</f>
        <v/>
      </c>
      <c r="Y65">
        <f>IF($AB65="","",INDEX(상세표[사번],$AB65)&amp;"")</f>
        <v/>
      </c>
      <c r="Z65">
        <f>IF($AB65="","",INDEX(상세표[성명],$AB65)&amp;"")</f>
        <v/>
      </c>
      <c r="AA65">
        <f>IF($AB65="","",SUMIFS(상세표[기록 시간외],상세표[사번키],INDEX(상세표[사번키],$AB65),상세표[반영월],대상월키))</f>
        <v/>
      </c>
      <c r="AB65" s="4">
        <f>IFERROR(MATCH(60,상세표[합계없음순번],0),"")</f>
        <v/>
      </c>
    </row>
    <row r="66">
      <c r="A66">
        <f>IF($W66="","",INDEX(합계표[사번],$W66)&amp;"")</f>
        <v/>
      </c>
      <c r="B66">
        <f>IF($W66="","",INDEX(합계표[성명],$W66)&amp;"")</f>
        <v/>
      </c>
      <c r="C66">
        <f>IF($W66="","",INDEX(합계표[부서],$W66)&amp;"")</f>
        <v/>
      </c>
      <c r="D66">
        <f>IF($W66="","",INDEX(합계표[직위(통합)],$W66)&amp;"")</f>
        <v/>
      </c>
      <c r="E66">
        <f>IF($W66="","",SUMIFS(합계표[시스템 합계],합계표[사번키],INDEX(합계표[사번키],$W66)))</f>
        <v/>
      </c>
      <c r="F66">
        <f>IF($W66="","",SUMIFS(상세표[기록 시간외],상세표[사번키],INDEX(합계표[사번키],$W66),상세표[기록월],대상월키))</f>
        <v/>
      </c>
      <c r="G66">
        <f>IF($W66="","",IF(ABS($E66-$F66)&lt;0.01,"일치","불일치(차이 "&amp;TEXT($F66-$E66,"0.00")&amp;")"))</f>
        <v/>
      </c>
      <c r="H66">
        <f>IF($W66="","",SUMIFS(상세표[기록 시간외],상세표[사번키],INDEX(합계표[사번키],$W66),상세표[기록월],대상월키,상세표[반영월],"&lt;&gt;"&amp;대상월키))</f>
        <v/>
      </c>
      <c r="I66">
        <f>IF($W66="","",SUMIFS(상세표[기록 시간외],상세표[사번키],INDEX(합계표[사번키],$W66),상세표[기록월],"&lt;&gt;"&amp;대상월키,상세표[반영월],대상월키))</f>
        <v/>
      </c>
      <c r="J66">
        <f>IF($W66="","",SUMIFS(상세표[기록 시간외],상세표[사번키],INDEX(합계표[사번키],$W66),상세표[반영월],대상월키))</f>
        <v/>
      </c>
      <c r="K66">
        <f>IF($W66="","",IFERROR(INDEX(월별근무지표[적용 급여병원],MATCH(INDEX(합계표[사번키],$W66)&amp;"|"&amp;대상월키,월별근무지표[키],0))&amp;"",IF(COUNTIF(기관표[사번키],INDEX(합계표[사번키],$W66))+COUNTIF(월별근무지표[사번키],INDEX(합계표[사번키],$W66))&gt;0,IFERROR(INDEX(기관표[급여지급병원(기준월)],MATCH(INDEX(합계표[사번키],$W66)&amp;"|"&amp;대상월키,기관표[키],0))&amp;"","—"),"—")))</f>
        <v/>
      </c>
      <c r="L66">
        <f>IF($W66="","",IF(NOT(COUNTIF(기관표[사번키],INDEX(합계표[사번키],$W66))+COUNTIF(월별근무지표[사번키],INDEX(합계표[사번키],$W66))&gt;0),"기관명단에 없음(다른 병원으로 발송)",IF($K66="—","대상월 기관명단 없음(추가 필요)",IF($K66="서울병원","해당","비해당"))))</f>
        <v/>
      </c>
      <c r="M66">
        <f>IF($W66="","",SUMIFS(상세표[06~07시],상세표[사번키],INDEX(합계표[사번키],$W66),상세표[반영월],대상월키,상세표[반영 기관],"서울병원"))</f>
        <v/>
      </c>
      <c r="N66">
        <f>IF($W66="","",SUMIFS(상세표[07~18시],상세표[사번키],INDEX(합계표[사번키],$W66),상세표[반영월],대상월키,상세표[반영 기관],"서울병원"))</f>
        <v/>
      </c>
      <c r="O66">
        <f>IF($W66="","",SUMIFS(상세표[18~22시],상세표[사번키],INDEX(합계표[사번키],$W66),상세표[반영월],대상월키,상세표[반영 기관],"서울병원"))</f>
        <v/>
      </c>
      <c r="P66">
        <f>IF($W66="","",SUMIFS(상세표[22~06시],상세표[사번키],INDEX(합계표[사번키],$W66),상세표[반영월],대상월키,상세표[반영 기관],"서울병원"))</f>
        <v/>
      </c>
      <c r="Q66">
        <f>IF($W66="","",SUM($M66:$P66))</f>
        <v/>
      </c>
      <c r="R66">
        <f>IF($W66="","",COUNTIFS(상세표[사번키],INDEX(합계표[사번키],$W66),상세표[반영월],대상월키,상세표[야간당직],1,상세표[야간 구분],"평일"))</f>
        <v/>
      </c>
      <c r="S66" s="4">
        <f>IF($W66="","",COUNTIFS(상세표[사번키],INDEX(합계표[사번키],$W66),상세표[반영월],대상월키,상세표[야간당직],1,상세표[야간 구분],"휴일"))</f>
        <v/>
      </c>
      <c r="T66">
        <f>IF($W66="","",COUNTIFS(상세표[사번키],INDEX(합계표[사번키],$W66),상세표[반영월],대상월키,상세표[야간당직],1,상세표[야간 구분],"평일",상세표[반영 기관],"서울병원"))</f>
        <v/>
      </c>
      <c r="U66">
        <f>IF($W66="","",COUNTIFS(상세표[사번키],INDEX(합계표[사번키],$W66),상세표[반영월],대상월키,상세표[야간당직],1,상세표[야간 구분],"휴일",상세표[반영 기관],"서울병원"))</f>
        <v/>
      </c>
      <c r="V66">
        <f>IF($W66="","",IF(ISNUMBER(MATCH(INDEX(합계표[사번키],$W66)&amp;"|"&amp;대상월키,월별근무지표[키],0)),"직접 입력",IF($K66="—","—","기관명단")))</f>
        <v/>
      </c>
      <c r="W66">
        <f>IFERROR(MATCH(61,합계표[판정순번],0),"")</f>
        <v/>
      </c>
      <c r="Y66">
        <f>IF($AB66="","",INDEX(상세표[사번],$AB66)&amp;"")</f>
        <v/>
      </c>
      <c r="Z66">
        <f>IF($AB66="","",INDEX(상세표[성명],$AB66)&amp;"")</f>
        <v/>
      </c>
      <c r="AA66">
        <f>IF($AB66="","",SUMIFS(상세표[기록 시간외],상세표[사번키],INDEX(상세표[사번키],$AB66),상세표[반영월],대상월키))</f>
        <v/>
      </c>
      <c r="AB66" s="4">
        <f>IFERROR(MATCH(61,상세표[합계없음순번],0),"")</f>
        <v/>
      </c>
    </row>
    <row r="67">
      <c r="A67">
        <f>IF($W67="","",INDEX(합계표[사번],$W67)&amp;"")</f>
        <v/>
      </c>
      <c r="B67">
        <f>IF($W67="","",INDEX(합계표[성명],$W67)&amp;"")</f>
        <v/>
      </c>
      <c r="C67">
        <f>IF($W67="","",INDEX(합계표[부서],$W67)&amp;"")</f>
        <v/>
      </c>
      <c r="D67">
        <f>IF($W67="","",INDEX(합계표[직위(통합)],$W67)&amp;"")</f>
        <v/>
      </c>
      <c r="E67">
        <f>IF($W67="","",SUMIFS(합계표[시스템 합계],합계표[사번키],INDEX(합계표[사번키],$W67)))</f>
        <v/>
      </c>
      <c r="F67">
        <f>IF($W67="","",SUMIFS(상세표[기록 시간외],상세표[사번키],INDEX(합계표[사번키],$W67),상세표[기록월],대상월키))</f>
        <v/>
      </c>
      <c r="G67">
        <f>IF($W67="","",IF(ABS($E67-$F67)&lt;0.01,"일치","불일치(차이 "&amp;TEXT($F67-$E67,"0.00")&amp;")"))</f>
        <v/>
      </c>
      <c r="H67">
        <f>IF($W67="","",SUMIFS(상세표[기록 시간외],상세표[사번키],INDEX(합계표[사번키],$W67),상세표[기록월],대상월키,상세표[반영월],"&lt;&gt;"&amp;대상월키))</f>
        <v/>
      </c>
      <c r="I67">
        <f>IF($W67="","",SUMIFS(상세표[기록 시간외],상세표[사번키],INDEX(합계표[사번키],$W67),상세표[기록월],"&lt;&gt;"&amp;대상월키,상세표[반영월],대상월키))</f>
        <v/>
      </c>
      <c r="J67">
        <f>IF($W67="","",SUMIFS(상세표[기록 시간외],상세표[사번키],INDEX(합계표[사번키],$W67),상세표[반영월],대상월키))</f>
        <v/>
      </c>
      <c r="K67">
        <f>IF($W67="","",IFERROR(INDEX(월별근무지표[적용 급여병원],MATCH(INDEX(합계표[사번키],$W67)&amp;"|"&amp;대상월키,월별근무지표[키],0))&amp;"",IF(COUNTIF(기관표[사번키],INDEX(합계표[사번키],$W67))+COUNTIF(월별근무지표[사번키],INDEX(합계표[사번키],$W67))&gt;0,IFERROR(INDEX(기관표[급여지급병원(기준월)],MATCH(INDEX(합계표[사번키],$W67)&amp;"|"&amp;대상월키,기관표[키],0))&amp;"","—"),"—")))</f>
        <v/>
      </c>
      <c r="L67">
        <f>IF($W67="","",IF(NOT(COUNTIF(기관표[사번키],INDEX(합계표[사번키],$W67))+COUNTIF(월별근무지표[사번키],INDEX(합계표[사번키],$W67))&gt;0),"기관명단에 없음(다른 병원으로 발송)",IF($K67="—","대상월 기관명단 없음(추가 필요)",IF($K67="서울병원","해당","비해당"))))</f>
        <v/>
      </c>
      <c r="M67">
        <f>IF($W67="","",SUMIFS(상세표[06~07시],상세표[사번키],INDEX(합계표[사번키],$W67),상세표[반영월],대상월키,상세표[반영 기관],"서울병원"))</f>
        <v/>
      </c>
      <c r="N67">
        <f>IF($W67="","",SUMIFS(상세표[07~18시],상세표[사번키],INDEX(합계표[사번키],$W67),상세표[반영월],대상월키,상세표[반영 기관],"서울병원"))</f>
        <v/>
      </c>
      <c r="O67">
        <f>IF($W67="","",SUMIFS(상세표[18~22시],상세표[사번키],INDEX(합계표[사번키],$W67),상세표[반영월],대상월키,상세표[반영 기관],"서울병원"))</f>
        <v/>
      </c>
      <c r="P67">
        <f>IF($W67="","",SUMIFS(상세표[22~06시],상세표[사번키],INDEX(합계표[사번키],$W67),상세표[반영월],대상월키,상세표[반영 기관],"서울병원"))</f>
        <v/>
      </c>
      <c r="Q67">
        <f>IF($W67="","",SUM($M67:$P67))</f>
        <v/>
      </c>
      <c r="R67">
        <f>IF($W67="","",COUNTIFS(상세표[사번키],INDEX(합계표[사번키],$W67),상세표[반영월],대상월키,상세표[야간당직],1,상세표[야간 구분],"평일"))</f>
        <v/>
      </c>
      <c r="S67" s="4">
        <f>IF($W67="","",COUNTIFS(상세표[사번키],INDEX(합계표[사번키],$W67),상세표[반영월],대상월키,상세표[야간당직],1,상세표[야간 구분],"휴일"))</f>
        <v/>
      </c>
      <c r="T67">
        <f>IF($W67="","",COUNTIFS(상세표[사번키],INDEX(합계표[사번키],$W67),상세표[반영월],대상월키,상세표[야간당직],1,상세표[야간 구분],"평일",상세표[반영 기관],"서울병원"))</f>
        <v/>
      </c>
      <c r="U67">
        <f>IF($W67="","",COUNTIFS(상세표[사번키],INDEX(합계표[사번키],$W67),상세표[반영월],대상월키,상세표[야간당직],1,상세표[야간 구분],"휴일",상세표[반영 기관],"서울병원"))</f>
        <v/>
      </c>
      <c r="V67">
        <f>IF($W67="","",IF(ISNUMBER(MATCH(INDEX(합계표[사번키],$W67)&amp;"|"&amp;대상월키,월별근무지표[키],0)),"직접 입력",IF($K67="—","—","기관명단")))</f>
        <v/>
      </c>
      <c r="W67">
        <f>IFERROR(MATCH(62,합계표[판정순번],0),"")</f>
        <v/>
      </c>
      <c r="Y67">
        <f>IF($AB67="","",INDEX(상세표[사번],$AB67)&amp;"")</f>
        <v/>
      </c>
      <c r="Z67">
        <f>IF($AB67="","",INDEX(상세표[성명],$AB67)&amp;"")</f>
        <v/>
      </c>
      <c r="AA67">
        <f>IF($AB67="","",SUMIFS(상세표[기록 시간외],상세표[사번키],INDEX(상세표[사번키],$AB67),상세표[반영월],대상월키))</f>
        <v/>
      </c>
      <c r="AB67" s="4">
        <f>IFERROR(MATCH(62,상세표[합계없음순번],0),"")</f>
        <v/>
      </c>
    </row>
    <row r="68">
      <c r="A68">
        <f>IF($W68="","",INDEX(합계표[사번],$W68)&amp;"")</f>
        <v/>
      </c>
      <c r="B68">
        <f>IF($W68="","",INDEX(합계표[성명],$W68)&amp;"")</f>
        <v/>
      </c>
      <c r="C68">
        <f>IF($W68="","",INDEX(합계표[부서],$W68)&amp;"")</f>
        <v/>
      </c>
      <c r="D68">
        <f>IF($W68="","",INDEX(합계표[직위(통합)],$W68)&amp;"")</f>
        <v/>
      </c>
      <c r="E68">
        <f>IF($W68="","",SUMIFS(합계표[시스템 합계],합계표[사번키],INDEX(합계표[사번키],$W68)))</f>
        <v/>
      </c>
      <c r="F68">
        <f>IF($W68="","",SUMIFS(상세표[기록 시간외],상세표[사번키],INDEX(합계표[사번키],$W68),상세표[기록월],대상월키))</f>
        <v/>
      </c>
      <c r="G68">
        <f>IF($W68="","",IF(ABS($E68-$F68)&lt;0.01,"일치","불일치(차이 "&amp;TEXT($F68-$E68,"0.00")&amp;")"))</f>
        <v/>
      </c>
      <c r="H68">
        <f>IF($W68="","",SUMIFS(상세표[기록 시간외],상세표[사번키],INDEX(합계표[사번키],$W68),상세표[기록월],대상월키,상세표[반영월],"&lt;&gt;"&amp;대상월키))</f>
        <v/>
      </c>
      <c r="I68">
        <f>IF($W68="","",SUMIFS(상세표[기록 시간외],상세표[사번키],INDEX(합계표[사번키],$W68),상세표[기록월],"&lt;&gt;"&amp;대상월키,상세표[반영월],대상월키))</f>
        <v/>
      </c>
      <c r="J68">
        <f>IF($W68="","",SUMIFS(상세표[기록 시간외],상세표[사번키],INDEX(합계표[사번키],$W68),상세표[반영월],대상월키))</f>
        <v/>
      </c>
      <c r="K68">
        <f>IF($W68="","",IFERROR(INDEX(월별근무지표[적용 급여병원],MATCH(INDEX(합계표[사번키],$W68)&amp;"|"&amp;대상월키,월별근무지표[키],0))&amp;"",IF(COUNTIF(기관표[사번키],INDEX(합계표[사번키],$W68))+COUNTIF(월별근무지표[사번키],INDEX(합계표[사번키],$W68))&gt;0,IFERROR(INDEX(기관표[급여지급병원(기준월)],MATCH(INDEX(합계표[사번키],$W68)&amp;"|"&amp;대상월키,기관표[키],0))&amp;"","—"),"—")))</f>
        <v/>
      </c>
      <c r="L68">
        <f>IF($W68="","",IF(NOT(COUNTIF(기관표[사번키],INDEX(합계표[사번키],$W68))+COUNTIF(월별근무지표[사번키],INDEX(합계표[사번키],$W68))&gt;0),"기관명단에 없음(다른 병원으로 발송)",IF($K68="—","대상월 기관명단 없음(추가 필요)",IF($K68="서울병원","해당","비해당"))))</f>
        <v/>
      </c>
      <c r="M68">
        <f>IF($W68="","",SUMIFS(상세표[06~07시],상세표[사번키],INDEX(합계표[사번키],$W68),상세표[반영월],대상월키,상세표[반영 기관],"서울병원"))</f>
        <v/>
      </c>
      <c r="N68">
        <f>IF($W68="","",SUMIFS(상세표[07~18시],상세표[사번키],INDEX(합계표[사번키],$W68),상세표[반영월],대상월키,상세표[반영 기관],"서울병원"))</f>
        <v/>
      </c>
      <c r="O68">
        <f>IF($W68="","",SUMIFS(상세표[18~22시],상세표[사번키],INDEX(합계표[사번키],$W68),상세표[반영월],대상월키,상세표[반영 기관],"서울병원"))</f>
        <v/>
      </c>
      <c r="P68">
        <f>IF($W68="","",SUMIFS(상세표[22~06시],상세표[사번키],INDEX(합계표[사번키],$W68),상세표[반영월],대상월키,상세표[반영 기관],"서울병원"))</f>
        <v/>
      </c>
      <c r="Q68">
        <f>IF($W68="","",SUM($M68:$P68))</f>
        <v/>
      </c>
      <c r="R68">
        <f>IF($W68="","",COUNTIFS(상세표[사번키],INDEX(합계표[사번키],$W68),상세표[반영월],대상월키,상세표[야간당직],1,상세표[야간 구분],"평일"))</f>
        <v/>
      </c>
      <c r="S68" s="4">
        <f>IF($W68="","",COUNTIFS(상세표[사번키],INDEX(합계표[사번키],$W68),상세표[반영월],대상월키,상세표[야간당직],1,상세표[야간 구분],"휴일"))</f>
        <v/>
      </c>
      <c r="T68">
        <f>IF($W68="","",COUNTIFS(상세표[사번키],INDEX(합계표[사번키],$W68),상세표[반영월],대상월키,상세표[야간당직],1,상세표[야간 구분],"평일",상세표[반영 기관],"서울병원"))</f>
        <v/>
      </c>
      <c r="U68">
        <f>IF($W68="","",COUNTIFS(상세표[사번키],INDEX(합계표[사번키],$W68),상세표[반영월],대상월키,상세표[야간당직],1,상세표[야간 구분],"휴일",상세표[반영 기관],"서울병원"))</f>
        <v/>
      </c>
      <c r="V68">
        <f>IF($W68="","",IF(ISNUMBER(MATCH(INDEX(합계표[사번키],$W68)&amp;"|"&amp;대상월키,월별근무지표[키],0)),"직접 입력",IF($K68="—","—","기관명단")))</f>
        <v/>
      </c>
      <c r="W68">
        <f>IFERROR(MATCH(63,합계표[판정순번],0),"")</f>
        <v/>
      </c>
      <c r="Y68">
        <f>IF($AB68="","",INDEX(상세표[사번],$AB68)&amp;"")</f>
        <v/>
      </c>
      <c r="Z68">
        <f>IF($AB68="","",INDEX(상세표[성명],$AB68)&amp;"")</f>
        <v/>
      </c>
      <c r="AA68">
        <f>IF($AB68="","",SUMIFS(상세표[기록 시간외],상세표[사번키],INDEX(상세표[사번키],$AB68),상세표[반영월],대상월키))</f>
        <v/>
      </c>
      <c r="AB68" s="4">
        <f>IFERROR(MATCH(63,상세표[합계없음순번],0),"")</f>
        <v/>
      </c>
    </row>
    <row r="69">
      <c r="A69">
        <f>IF($W69="","",INDEX(합계표[사번],$W69)&amp;"")</f>
        <v/>
      </c>
      <c r="B69">
        <f>IF($W69="","",INDEX(합계표[성명],$W69)&amp;"")</f>
        <v/>
      </c>
      <c r="C69">
        <f>IF($W69="","",INDEX(합계표[부서],$W69)&amp;"")</f>
        <v/>
      </c>
      <c r="D69">
        <f>IF($W69="","",INDEX(합계표[직위(통합)],$W69)&amp;"")</f>
        <v/>
      </c>
      <c r="E69">
        <f>IF($W69="","",SUMIFS(합계표[시스템 합계],합계표[사번키],INDEX(합계표[사번키],$W69)))</f>
        <v/>
      </c>
      <c r="F69">
        <f>IF($W69="","",SUMIFS(상세표[기록 시간외],상세표[사번키],INDEX(합계표[사번키],$W69),상세표[기록월],대상월키))</f>
        <v/>
      </c>
      <c r="G69">
        <f>IF($W69="","",IF(ABS($E69-$F69)&lt;0.01,"일치","불일치(차이 "&amp;TEXT($F69-$E69,"0.00")&amp;")"))</f>
        <v/>
      </c>
      <c r="H69">
        <f>IF($W69="","",SUMIFS(상세표[기록 시간외],상세표[사번키],INDEX(합계표[사번키],$W69),상세표[기록월],대상월키,상세표[반영월],"&lt;&gt;"&amp;대상월키))</f>
        <v/>
      </c>
      <c r="I69">
        <f>IF($W69="","",SUMIFS(상세표[기록 시간외],상세표[사번키],INDEX(합계표[사번키],$W69),상세표[기록월],"&lt;&gt;"&amp;대상월키,상세표[반영월],대상월키))</f>
        <v/>
      </c>
      <c r="J69">
        <f>IF($W69="","",SUMIFS(상세표[기록 시간외],상세표[사번키],INDEX(합계표[사번키],$W69),상세표[반영월],대상월키))</f>
        <v/>
      </c>
      <c r="K69">
        <f>IF($W69="","",IFERROR(INDEX(월별근무지표[적용 급여병원],MATCH(INDEX(합계표[사번키],$W69)&amp;"|"&amp;대상월키,월별근무지표[키],0))&amp;"",IF(COUNTIF(기관표[사번키],INDEX(합계표[사번키],$W69))+COUNTIF(월별근무지표[사번키],INDEX(합계표[사번키],$W69))&gt;0,IFERROR(INDEX(기관표[급여지급병원(기준월)],MATCH(INDEX(합계표[사번키],$W69)&amp;"|"&amp;대상월키,기관표[키],0))&amp;"","—"),"—")))</f>
        <v/>
      </c>
      <c r="L69">
        <f>IF($W69="","",IF(NOT(COUNTIF(기관표[사번키],INDEX(합계표[사번키],$W69))+COUNTIF(월별근무지표[사번키],INDEX(합계표[사번키],$W69))&gt;0),"기관명단에 없음(다른 병원으로 발송)",IF($K69="—","대상월 기관명단 없음(추가 필요)",IF($K69="서울병원","해당","비해당"))))</f>
        <v/>
      </c>
      <c r="M69">
        <f>IF($W69="","",SUMIFS(상세표[06~07시],상세표[사번키],INDEX(합계표[사번키],$W69),상세표[반영월],대상월키,상세표[반영 기관],"서울병원"))</f>
        <v/>
      </c>
      <c r="N69">
        <f>IF($W69="","",SUMIFS(상세표[07~18시],상세표[사번키],INDEX(합계표[사번키],$W69),상세표[반영월],대상월키,상세표[반영 기관],"서울병원"))</f>
        <v/>
      </c>
      <c r="O69">
        <f>IF($W69="","",SUMIFS(상세표[18~22시],상세표[사번키],INDEX(합계표[사번키],$W69),상세표[반영월],대상월키,상세표[반영 기관],"서울병원"))</f>
        <v/>
      </c>
      <c r="P69">
        <f>IF($W69="","",SUMIFS(상세표[22~06시],상세표[사번키],INDEX(합계표[사번키],$W69),상세표[반영월],대상월키,상세표[반영 기관],"서울병원"))</f>
        <v/>
      </c>
      <c r="Q69">
        <f>IF($W69="","",SUM($M69:$P69))</f>
        <v/>
      </c>
      <c r="R69">
        <f>IF($W69="","",COUNTIFS(상세표[사번키],INDEX(합계표[사번키],$W69),상세표[반영월],대상월키,상세표[야간당직],1,상세표[야간 구분],"평일"))</f>
        <v/>
      </c>
      <c r="S69" s="4">
        <f>IF($W69="","",COUNTIFS(상세표[사번키],INDEX(합계표[사번키],$W69),상세표[반영월],대상월키,상세표[야간당직],1,상세표[야간 구분],"휴일"))</f>
        <v/>
      </c>
      <c r="T69">
        <f>IF($W69="","",COUNTIFS(상세표[사번키],INDEX(합계표[사번키],$W69),상세표[반영월],대상월키,상세표[야간당직],1,상세표[야간 구분],"평일",상세표[반영 기관],"서울병원"))</f>
        <v/>
      </c>
      <c r="U69">
        <f>IF($W69="","",COUNTIFS(상세표[사번키],INDEX(합계표[사번키],$W69),상세표[반영월],대상월키,상세표[야간당직],1,상세표[야간 구분],"휴일",상세표[반영 기관],"서울병원"))</f>
        <v/>
      </c>
      <c r="V69">
        <f>IF($W69="","",IF(ISNUMBER(MATCH(INDEX(합계표[사번키],$W69)&amp;"|"&amp;대상월키,월별근무지표[키],0)),"직접 입력",IF($K69="—","—","기관명단")))</f>
        <v/>
      </c>
      <c r="W69">
        <f>IFERROR(MATCH(64,합계표[판정순번],0),"")</f>
        <v/>
      </c>
      <c r="Y69">
        <f>IF($AB69="","",INDEX(상세표[사번],$AB69)&amp;"")</f>
        <v/>
      </c>
      <c r="Z69">
        <f>IF($AB69="","",INDEX(상세표[성명],$AB69)&amp;"")</f>
        <v/>
      </c>
      <c r="AA69">
        <f>IF($AB69="","",SUMIFS(상세표[기록 시간외],상세표[사번키],INDEX(상세표[사번키],$AB69),상세표[반영월],대상월키))</f>
        <v/>
      </c>
      <c r="AB69" s="4">
        <f>IFERROR(MATCH(64,상세표[합계없음순번],0),"")</f>
        <v/>
      </c>
    </row>
    <row r="70">
      <c r="A70">
        <f>IF($W70="","",INDEX(합계표[사번],$W70)&amp;"")</f>
        <v/>
      </c>
      <c r="B70">
        <f>IF($W70="","",INDEX(합계표[성명],$W70)&amp;"")</f>
        <v/>
      </c>
      <c r="C70">
        <f>IF($W70="","",INDEX(합계표[부서],$W70)&amp;"")</f>
        <v/>
      </c>
      <c r="D70">
        <f>IF($W70="","",INDEX(합계표[직위(통합)],$W70)&amp;"")</f>
        <v/>
      </c>
      <c r="E70">
        <f>IF($W70="","",SUMIFS(합계표[시스템 합계],합계표[사번키],INDEX(합계표[사번키],$W70)))</f>
        <v/>
      </c>
      <c r="F70">
        <f>IF($W70="","",SUMIFS(상세표[기록 시간외],상세표[사번키],INDEX(합계표[사번키],$W70),상세표[기록월],대상월키))</f>
        <v/>
      </c>
      <c r="G70">
        <f>IF($W70="","",IF(ABS($E70-$F70)&lt;0.01,"일치","불일치(차이 "&amp;TEXT($F70-$E70,"0.00")&amp;")"))</f>
        <v/>
      </c>
      <c r="H70">
        <f>IF($W70="","",SUMIFS(상세표[기록 시간외],상세표[사번키],INDEX(합계표[사번키],$W70),상세표[기록월],대상월키,상세표[반영월],"&lt;&gt;"&amp;대상월키))</f>
        <v/>
      </c>
      <c r="I70">
        <f>IF($W70="","",SUMIFS(상세표[기록 시간외],상세표[사번키],INDEX(합계표[사번키],$W70),상세표[기록월],"&lt;&gt;"&amp;대상월키,상세표[반영월],대상월키))</f>
        <v/>
      </c>
      <c r="J70">
        <f>IF($W70="","",SUMIFS(상세표[기록 시간외],상세표[사번키],INDEX(합계표[사번키],$W70),상세표[반영월],대상월키))</f>
        <v/>
      </c>
      <c r="K70">
        <f>IF($W70="","",IFERROR(INDEX(월별근무지표[적용 급여병원],MATCH(INDEX(합계표[사번키],$W70)&amp;"|"&amp;대상월키,월별근무지표[키],0))&amp;"",IF(COUNTIF(기관표[사번키],INDEX(합계표[사번키],$W70))+COUNTIF(월별근무지표[사번키],INDEX(합계표[사번키],$W70))&gt;0,IFERROR(INDEX(기관표[급여지급병원(기준월)],MATCH(INDEX(합계표[사번키],$W70)&amp;"|"&amp;대상월키,기관표[키],0))&amp;"","—"),"—")))</f>
        <v/>
      </c>
      <c r="L70">
        <f>IF($W70="","",IF(NOT(COUNTIF(기관표[사번키],INDEX(합계표[사번키],$W70))+COUNTIF(월별근무지표[사번키],INDEX(합계표[사번키],$W70))&gt;0),"기관명단에 없음(다른 병원으로 발송)",IF($K70="—","대상월 기관명단 없음(추가 필요)",IF($K70="서울병원","해당","비해당"))))</f>
        <v/>
      </c>
      <c r="M70">
        <f>IF($W70="","",SUMIFS(상세표[06~07시],상세표[사번키],INDEX(합계표[사번키],$W70),상세표[반영월],대상월키,상세표[반영 기관],"서울병원"))</f>
        <v/>
      </c>
      <c r="N70">
        <f>IF($W70="","",SUMIFS(상세표[07~18시],상세표[사번키],INDEX(합계표[사번키],$W70),상세표[반영월],대상월키,상세표[반영 기관],"서울병원"))</f>
        <v/>
      </c>
      <c r="O70">
        <f>IF($W70="","",SUMIFS(상세표[18~22시],상세표[사번키],INDEX(합계표[사번키],$W70),상세표[반영월],대상월키,상세표[반영 기관],"서울병원"))</f>
        <v/>
      </c>
      <c r="P70">
        <f>IF($W70="","",SUMIFS(상세표[22~06시],상세표[사번키],INDEX(합계표[사번키],$W70),상세표[반영월],대상월키,상세표[반영 기관],"서울병원"))</f>
        <v/>
      </c>
      <c r="Q70">
        <f>IF($W70="","",SUM($M70:$P70))</f>
        <v/>
      </c>
      <c r="R70">
        <f>IF($W70="","",COUNTIFS(상세표[사번키],INDEX(합계표[사번키],$W70),상세표[반영월],대상월키,상세표[야간당직],1,상세표[야간 구분],"평일"))</f>
        <v/>
      </c>
      <c r="S70" s="4">
        <f>IF($W70="","",COUNTIFS(상세표[사번키],INDEX(합계표[사번키],$W70),상세표[반영월],대상월키,상세표[야간당직],1,상세표[야간 구분],"휴일"))</f>
        <v/>
      </c>
      <c r="T70">
        <f>IF($W70="","",COUNTIFS(상세표[사번키],INDEX(합계표[사번키],$W70),상세표[반영월],대상월키,상세표[야간당직],1,상세표[야간 구분],"평일",상세표[반영 기관],"서울병원"))</f>
        <v/>
      </c>
      <c r="U70">
        <f>IF($W70="","",COUNTIFS(상세표[사번키],INDEX(합계표[사번키],$W70),상세표[반영월],대상월키,상세표[야간당직],1,상세표[야간 구분],"휴일",상세표[반영 기관],"서울병원"))</f>
        <v/>
      </c>
      <c r="V70">
        <f>IF($W70="","",IF(ISNUMBER(MATCH(INDEX(합계표[사번키],$W70)&amp;"|"&amp;대상월키,월별근무지표[키],0)),"직접 입력",IF($K70="—","—","기관명단")))</f>
        <v/>
      </c>
      <c r="W70">
        <f>IFERROR(MATCH(65,합계표[판정순번],0),"")</f>
        <v/>
      </c>
      <c r="Y70">
        <f>IF($AB70="","",INDEX(상세표[사번],$AB70)&amp;"")</f>
        <v/>
      </c>
      <c r="Z70">
        <f>IF($AB70="","",INDEX(상세표[성명],$AB70)&amp;"")</f>
        <v/>
      </c>
      <c r="AA70">
        <f>IF($AB70="","",SUMIFS(상세표[기록 시간외],상세표[사번키],INDEX(상세표[사번키],$AB70),상세표[반영월],대상월키))</f>
        <v/>
      </c>
      <c r="AB70" s="4">
        <f>IFERROR(MATCH(65,상세표[합계없음순번],0),"")</f>
        <v/>
      </c>
    </row>
    <row r="71">
      <c r="A71">
        <f>IF($W71="","",INDEX(합계표[사번],$W71)&amp;"")</f>
        <v/>
      </c>
      <c r="B71">
        <f>IF($W71="","",INDEX(합계표[성명],$W71)&amp;"")</f>
        <v/>
      </c>
      <c r="C71">
        <f>IF($W71="","",INDEX(합계표[부서],$W71)&amp;"")</f>
        <v/>
      </c>
      <c r="D71">
        <f>IF($W71="","",INDEX(합계표[직위(통합)],$W71)&amp;"")</f>
        <v/>
      </c>
      <c r="E71">
        <f>IF($W71="","",SUMIFS(합계표[시스템 합계],합계표[사번키],INDEX(합계표[사번키],$W71)))</f>
        <v/>
      </c>
      <c r="F71">
        <f>IF($W71="","",SUMIFS(상세표[기록 시간외],상세표[사번키],INDEX(합계표[사번키],$W71),상세표[기록월],대상월키))</f>
        <v/>
      </c>
      <c r="G71">
        <f>IF($W71="","",IF(ABS($E71-$F71)&lt;0.01,"일치","불일치(차이 "&amp;TEXT($F71-$E71,"0.00")&amp;")"))</f>
        <v/>
      </c>
      <c r="H71">
        <f>IF($W71="","",SUMIFS(상세표[기록 시간외],상세표[사번키],INDEX(합계표[사번키],$W71),상세표[기록월],대상월키,상세표[반영월],"&lt;&gt;"&amp;대상월키))</f>
        <v/>
      </c>
      <c r="I71">
        <f>IF($W71="","",SUMIFS(상세표[기록 시간외],상세표[사번키],INDEX(합계표[사번키],$W71),상세표[기록월],"&lt;&gt;"&amp;대상월키,상세표[반영월],대상월키))</f>
        <v/>
      </c>
      <c r="J71">
        <f>IF($W71="","",SUMIFS(상세표[기록 시간외],상세표[사번키],INDEX(합계표[사번키],$W71),상세표[반영월],대상월키))</f>
        <v/>
      </c>
      <c r="K71">
        <f>IF($W71="","",IFERROR(INDEX(월별근무지표[적용 급여병원],MATCH(INDEX(합계표[사번키],$W71)&amp;"|"&amp;대상월키,월별근무지표[키],0))&amp;"",IF(COUNTIF(기관표[사번키],INDEX(합계표[사번키],$W71))+COUNTIF(월별근무지표[사번키],INDEX(합계표[사번키],$W71))&gt;0,IFERROR(INDEX(기관표[급여지급병원(기준월)],MATCH(INDEX(합계표[사번키],$W71)&amp;"|"&amp;대상월키,기관표[키],0))&amp;"","—"),"—")))</f>
        <v/>
      </c>
      <c r="L71">
        <f>IF($W71="","",IF(NOT(COUNTIF(기관표[사번키],INDEX(합계표[사번키],$W71))+COUNTIF(월별근무지표[사번키],INDEX(합계표[사번키],$W71))&gt;0),"기관명단에 없음(다른 병원으로 발송)",IF($K71="—","대상월 기관명단 없음(추가 필요)",IF($K71="서울병원","해당","비해당"))))</f>
        <v/>
      </c>
      <c r="M71">
        <f>IF($W71="","",SUMIFS(상세표[06~07시],상세표[사번키],INDEX(합계표[사번키],$W71),상세표[반영월],대상월키,상세표[반영 기관],"서울병원"))</f>
        <v/>
      </c>
      <c r="N71">
        <f>IF($W71="","",SUMIFS(상세표[07~18시],상세표[사번키],INDEX(합계표[사번키],$W71),상세표[반영월],대상월키,상세표[반영 기관],"서울병원"))</f>
        <v/>
      </c>
      <c r="O71">
        <f>IF($W71="","",SUMIFS(상세표[18~22시],상세표[사번키],INDEX(합계표[사번키],$W71),상세표[반영월],대상월키,상세표[반영 기관],"서울병원"))</f>
        <v/>
      </c>
      <c r="P71">
        <f>IF($W71="","",SUMIFS(상세표[22~06시],상세표[사번키],INDEX(합계표[사번키],$W71),상세표[반영월],대상월키,상세표[반영 기관],"서울병원"))</f>
        <v/>
      </c>
      <c r="Q71">
        <f>IF($W71="","",SUM($M71:$P71))</f>
        <v/>
      </c>
      <c r="R71">
        <f>IF($W71="","",COUNTIFS(상세표[사번키],INDEX(합계표[사번키],$W71),상세표[반영월],대상월키,상세표[야간당직],1,상세표[야간 구분],"평일"))</f>
        <v/>
      </c>
      <c r="S71" s="4">
        <f>IF($W71="","",COUNTIFS(상세표[사번키],INDEX(합계표[사번키],$W71),상세표[반영월],대상월키,상세표[야간당직],1,상세표[야간 구분],"휴일"))</f>
        <v/>
      </c>
      <c r="T71">
        <f>IF($W71="","",COUNTIFS(상세표[사번키],INDEX(합계표[사번키],$W71),상세표[반영월],대상월키,상세표[야간당직],1,상세표[야간 구분],"평일",상세표[반영 기관],"서울병원"))</f>
        <v/>
      </c>
      <c r="U71">
        <f>IF($W71="","",COUNTIFS(상세표[사번키],INDEX(합계표[사번키],$W71),상세표[반영월],대상월키,상세표[야간당직],1,상세표[야간 구분],"휴일",상세표[반영 기관],"서울병원"))</f>
        <v/>
      </c>
      <c r="V71">
        <f>IF($W71="","",IF(ISNUMBER(MATCH(INDEX(합계표[사번키],$W71)&amp;"|"&amp;대상월키,월별근무지표[키],0)),"직접 입력",IF($K71="—","—","기관명단")))</f>
        <v/>
      </c>
      <c r="W71">
        <f>IFERROR(MATCH(66,합계표[판정순번],0),"")</f>
        <v/>
      </c>
      <c r="Y71">
        <f>IF($AB71="","",INDEX(상세표[사번],$AB71)&amp;"")</f>
        <v/>
      </c>
      <c r="Z71">
        <f>IF($AB71="","",INDEX(상세표[성명],$AB71)&amp;"")</f>
        <v/>
      </c>
      <c r="AA71">
        <f>IF($AB71="","",SUMIFS(상세표[기록 시간외],상세표[사번키],INDEX(상세표[사번키],$AB71),상세표[반영월],대상월키))</f>
        <v/>
      </c>
      <c r="AB71" s="4">
        <f>IFERROR(MATCH(66,상세표[합계없음순번],0),"")</f>
        <v/>
      </c>
    </row>
    <row r="72">
      <c r="A72">
        <f>IF($W72="","",INDEX(합계표[사번],$W72)&amp;"")</f>
        <v/>
      </c>
      <c r="B72">
        <f>IF($W72="","",INDEX(합계표[성명],$W72)&amp;"")</f>
        <v/>
      </c>
      <c r="C72">
        <f>IF($W72="","",INDEX(합계표[부서],$W72)&amp;"")</f>
        <v/>
      </c>
      <c r="D72">
        <f>IF($W72="","",INDEX(합계표[직위(통합)],$W72)&amp;"")</f>
        <v/>
      </c>
      <c r="E72">
        <f>IF($W72="","",SUMIFS(합계표[시스템 합계],합계표[사번키],INDEX(합계표[사번키],$W72)))</f>
        <v/>
      </c>
      <c r="F72">
        <f>IF($W72="","",SUMIFS(상세표[기록 시간외],상세표[사번키],INDEX(합계표[사번키],$W72),상세표[기록월],대상월키))</f>
        <v/>
      </c>
      <c r="G72">
        <f>IF($W72="","",IF(ABS($E72-$F72)&lt;0.01,"일치","불일치(차이 "&amp;TEXT($F72-$E72,"0.00")&amp;")"))</f>
        <v/>
      </c>
      <c r="H72">
        <f>IF($W72="","",SUMIFS(상세표[기록 시간외],상세표[사번키],INDEX(합계표[사번키],$W72),상세표[기록월],대상월키,상세표[반영월],"&lt;&gt;"&amp;대상월키))</f>
        <v/>
      </c>
      <c r="I72">
        <f>IF($W72="","",SUMIFS(상세표[기록 시간외],상세표[사번키],INDEX(합계표[사번키],$W72),상세표[기록월],"&lt;&gt;"&amp;대상월키,상세표[반영월],대상월키))</f>
        <v/>
      </c>
      <c r="J72">
        <f>IF($W72="","",SUMIFS(상세표[기록 시간외],상세표[사번키],INDEX(합계표[사번키],$W72),상세표[반영월],대상월키))</f>
        <v/>
      </c>
      <c r="K72">
        <f>IF($W72="","",IFERROR(INDEX(월별근무지표[적용 급여병원],MATCH(INDEX(합계표[사번키],$W72)&amp;"|"&amp;대상월키,월별근무지표[키],0))&amp;"",IF(COUNTIF(기관표[사번키],INDEX(합계표[사번키],$W72))+COUNTIF(월별근무지표[사번키],INDEX(합계표[사번키],$W72))&gt;0,IFERROR(INDEX(기관표[급여지급병원(기준월)],MATCH(INDEX(합계표[사번키],$W72)&amp;"|"&amp;대상월키,기관표[키],0))&amp;"","—"),"—")))</f>
        <v/>
      </c>
      <c r="L72">
        <f>IF($W72="","",IF(NOT(COUNTIF(기관표[사번키],INDEX(합계표[사번키],$W72))+COUNTIF(월별근무지표[사번키],INDEX(합계표[사번키],$W72))&gt;0),"기관명단에 없음(다른 병원으로 발송)",IF($K72="—","대상월 기관명단 없음(추가 필요)",IF($K72="서울병원","해당","비해당"))))</f>
        <v/>
      </c>
      <c r="M72">
        <f>IF($W72="","",SUMIFS(상세표[06~07시],상세표[사번키],INDEX(합계표[사번키],$W72),상세표[반영월],대상월키,상세표[반영 기관],"서울병원"))</f>
        <v/>
      </c>
      <c r="N72">
        <f>IF($W72="","",SUMIFS(상세표[07~18시],상세표[사번키],INDEX(합계표[사번키],$W72),상세표[반영월],대상월키,상세표[반영 기관],"서울병원"))</f>
        <v/>
      </c>
      <c r="O72">
        <f>IF($W72="","",SUMIFS(상세표[18~22시],상세표[사번키],INDEX(합계표[사번키],$W72),상세표[반영월],대상월키,상세표[반영 기관],"서울병원"))</f>
        <v/>
      </c>
      <c r="P72">
        <f>IF($W72="","",SUMIFS(상세표[22~06시],상세표[사번키],INDEX(합계표[사번키],$W72),상세표[반영월],대상월키,상세표[반영 기관],"서울병원"))</f>
        <v/>
      </c>
      <c r="Q72">
        <f>IF($W72="","",SUM($M72:$P72))</f>
        <v/>
      </c>
      <c r="R72">
        <f>IF($W72="","",COUNTIFS(상세표[사번키],INDEX(합계표[사번키],$W72),상세표[반영월],대상월키,상세표[야간당직],1,상세표[야간 구분],"평일"))</f>
        <v/>
      </c>
      <c r="S72" s="4">
        <f>IF($W72="","",COUNTIFS(상세표[사번키],INDEX(합계표[사번키],$W72),상세표[반영월],대상월키,상세표[야간당직],1,상세표[야간 구분],"휴일"))</f>
        <v/>
      </c>
      <c r="T72">
        <f>IF($W72="","",COUNTIFS(상세표[사번키],INDEX(합계표[사번키],$W72),상세표[반영월],대상월키,상세표[야간당직],1,상세표[야간 구분],"평일",상세표[반영 기관],"서울병원"))</f>
        <v/>
      </c>
      <c r="U72">
        <f>IF($W72="","",COUNTIFS(상세표[사번키],INDEX(합계표[사번키],$W72),상세표[반영월],대상월키,상세표[야간당직],1,상세표[야간 구분],"휴일",상세표[반영 기관],"서울병원"))</f>
        <v/>
      </c>
      <c r="V72">
        <f>IF($W72="","",IF(ISNUMBER(MATCH(INDEX(합계표[사번키],$W72)&amp;"|"&amp;대상월키,월별근무지표[키],0)),"직접 입력",IF($K72="—","—","기관명단")))</f>
        <v/>
      </c>
      <c r="W72">
        <f>IFERROR(MATCH(67,합계표[판정순번],0),"")</f>
        <v/>
      </c>
      <c r="Y72">
        <f>IF($AB72="","",INDEX(상세표[사번],$AB72)&amp;"")</f>
        <v/>
      </c>
      <c r="Z72">
        <f>IF($AB72="","",INDEX(상세표[성명],$AB72)&amp;"")</f>
        <v/>
      </c>
      <c r="AA72">
        <f>IF($AB72="","",SUMIFS(상세표[기록 시간외],상세표[사번키],INDEX(상세표[사번키],$AB72),상세표[반영월],대상월키))</f>
        <v/>
      </c>
      <c r="AB72" s="4">
        <f>IFERROR(MATCH(67,상세표[합계없음순번],0),"")</f>
        <v/>
      </c>
    </row>
    <row r="73">
      <c r="A73">
        <f>IF($W73="","",INDEX(합계표[사번],$W73)&amp;"")</f>
        <v/>
      </c>
      <c r="B73">
        <f>IF($W73="","",INDEX(합계표[성명],$W73)&amp;"")</f>
        <v/>
      </c>
      <c r="C73">
        <f>IF($W73="","",INDEX(합계표[부서],$W73)&amp;"")</f>
        <v/>
      </c>
      <c r="D73">
        <f>IF($W73="","",INDEX(합계표[직위(통합)],$W73)&amp;"")</f>
        <v/>
      </c>
      <c r="E73">
        <f>IF($W73="","",SUMIFS(합계표[시스템 합계],합계표[사번키],INDEX(합계표[사번키],$W73)))</f>
        <v/>
      </c>
      <c r="F73">
        <f>IF($W73="","",SUMIFS(상세표[기록 시간외],상세표[사번키],INDEX(합계표[사번키],$W73),상세표[기록월],대상월키))</f>
        <v/>
      </c>
      <c r="G73">
        <f>IF($W73="","",IF(ABS($E73-$F73)&lt;0.01,"일치","불일치(차이 "&amp;TEXT($F73-$E73,"0.00")&amp;")"))</f>
        <v/>
      </c>
      <c r="H73">
        <f>IF($W73="","",SUMIFS(상세표[기록 시간외],상세표[사번키],INDEX(합계표[사번키],$W73),상세표[기록월],대상월키,상세표[반영월],"&lt;&gt;"&amp;대상월키))</f>
        <v/>
      </c>
      <c r="I73">
        <f>IF($W73="","",SUMIFS(상세표[기록 시간외],상세표[사번키],INDEX(합계표[사번키],$W73),상세표[기록월],"&lt;&gt;"&amp;대상월키,상세표[반영월],대상월키))</f>
        <v/>
      </c>
      <c r="J73">
        <f>IF($W73="","",SUMIFS(상세표[기록 시간외],상세표[사번키],INDEX(합계표[사번키],$W73),상세표[반영월],대상월키))</f>
        <v/>
      </c>
      <c r="K73">
        <f>IF($W73="","",IFERROR(INDEX(월별근무지표[적용 급여병원],MATCH(INDEX(합계표[사번키],$W73)&amp;"|"&amp;대상월키,월별근무지표[키],0))&amp;"",IF(COUNTIF(기관표[사번키],INDEX(합계표[사번키],$W73))+COUNTIF(월별근무지표[사번키],INDEX(합계표[사번키],$W73))&gt;0,IFERROR(INDEX(기관표[급여지급병원(기준월)],MATCH(INDEX(합계표[사번키],$W73)&amp;"|"&amp;대상월키,기관표[키],0))&amp;"","—"),"—")))</f>
        <v/>
      </c>
      <c r="L73">
        <f>IF($W73="","",IF(NOT(COUNTIF(기관표[사번키],INDEX(합계표[사번키],$W73))+COUNTIF(월별근무지표[사번키],INDEX(합계표[사번키],$W73))&gt;0),"기관명단에 없음(다른 병원으로 발송)",IF($K73="—","대상월 기관명단 없음(추가 필요)",IF($K73="서울병원","해당","비해당"))))</f>
        <v/>
      </c>
      <c r="M73">
        <f>IF($W73="","",SUMIFS(상세표[06~07시],상세표[사번키],INDEX(합계표[사번키],$W73),상세표[반영월],대상월키,상세표[반영 기관],"서울병원"))</f>
        <v/>
      </c>
      <c r="N73">
        <f>IF($W73="","",SUMIFS(상세표[07~18시],상세표[사번키],INDEX(합계표[사번키],$W73),상세표[반영월],대상월키,상세표[반영 기관],"서울병원"))</f>
        <v/>
      </c>
      <c r="O73">
        <f>IF($W73="","",SUMIFS(상세표[18~22시],상세표[사번키],INDEX(합계표[사번키],$W73),상세표[반영월],대상월키,상세표[반영 기관],"서울병원"))</f>
        <v/>
      </c>
      <c r="P73">
        <f>IF($W73="","",SUMIFS(상세표[22~06시],상세표[사번키],INDEX(합계표[사번키],$W73),상세표[반영월],대상월키,상세표[반영 기관],"서울병원"))</f>
        <v/>
      </c>
      <c r="Q73">
        <f>IF($W73="","",SUM($M73:$P73))</f>
        <v/>
      </c>
      <c r="R73">
        <f>IF($W73="","",COUNTIFS(상세표[사번키],INDEX(합계표[사번키],$W73),상세표[반영월],대상월키,상세표[야간당직],1,상세표[야간 구분],"평일"))</f>
        <v/>
      </c>
      <c r="S73" s="4">
        <f>IF($W73="","",COUNTIFS(상세표[사번키],INDEX(합계표[사번키],$W73),상세표[반영월],대상월키,상세표[야간당직],1,상세표[야간 구분],"휴일"))</f>
        <v/>
      </c>
      <c r="T73">
        <f>IF($W73="","",COUNTIFS(상세표[사번키],INDEX(합계표[사번키],$W73),상세표[반영월],대상월키,상세표[야간당직],1,상세표[야간 구분],"평일",상세표[반영 기관],"서울병원"))</f>
        <v/>
      </c>
      <c r="U73">
        <f>IF($W73="","",COUNTIFS(상세표[사번키],INDEX(합계표[사번키],$W73),상세표[반영월],대상월키,상세표[야간당직],1,상세표[야간 구분],"휴일",상세표[반영 기관],"서울병원"))</f>
        <v/>
      </c>
      <c r="V73">
        <f>IF($W73="","",IF(ISNUMBER(MATCH(INDEX(합계표[사번키],$W73)&amp;"|"&amp;대상월키,월별근무지표[키],0)),"직접 입력",IF($K73="—","—","기관명단")))</f>
        <v/>
      </c>
      <c r="W73">
        <f>IFERROR(MATCH(68,합계표[판정순번],0),"")</f>
        <v/>
      </c>
      <c r="Y73">
        <f>IF($AB73="","",INDEX(상세표[사번],$AB73)&amp;"")</f>
        <v/>
      </c>
      <c r="Z73">
        <f>IF($AB73="","",INDEX(상세표[성명],$AB73)&amp;"")</f>
        <v/>
      </c>
      <c r="AA73">
        <f>IF($AB73="","",SUMIFS(상세표[기록 시간외],상세표[사번키],INDEX(상세표[사번키],$AB73),상세표[반영월],대상월키))</f>
        <v/>
      </c>
      <c r="AB73" s="4">
        <f>IFERROR(MATCH(68,상세표[합계없음순번],0),"")</f>
        <v/>
      </c>
    </row>
    <row r="74">
      <c r="A74">
        <f>IF($W74="","",INDEX(합계표[사번],$W74)&amp;"")</f>
        <v/>
      </c>
      <c r="B74">
        <f>IF($W74="","",INDEX(합계표[성명],$W74)&amp;"")</f>
        <v/>
      </c>
      <c r="C74">
        <f>IF($W74="","",INDEX(합계표[부서],$W74)&amp;"")</f>
        <v/>
      </c>
      <c r="D74">
        <f>IF($W74="","",INDEX(합계표[직위(통합)],$W74)&amp;"")</f>
        <v/>
      </c>
      <c r="E74">
        <f>IF($W74="","",SUMIFS(합계표[시스템 합계],합계표[사번키],INDEX(합계표[사번키],$W74)))</f>
        <v/>
      </c>
      <c r="F74">
        <f>IF($W74="","",SUMIFS(상세표[기록 시간외],상세표[사번키],INDEX(합계표[사번키],$W74),상세표[기록월],대상월키))</f>
        <v/>
      </c>
      <c r="G74">
        <f>IF($W74="","",IF(ABS($E74-$F74)&lt;0.01,"일치","불일치(차이 "&amp;TEXT($F74-$E74,"0.00")&amp;")"))</f>
        <v/>
      </c>
      <c r="H74">
        <f>IF($W74="","",SUMIFS(상세표[기록 시간외],상세표[사번키],INDEX(합계표[사번키],$W74),상세표[기록월],대상월키,상세표[반영월],"&lt;&gt;"&amp;대상월키))</f>
        <v/>
      </c>
      <c r="I74">
        <f>IF($W74="","",SUMIFS(상세표[기록 시간외],상세표[사번키],INDEX(합계표[사번키],$W74),상세표[기록월],"&lt;&gt;"&amp;대상월키,상세표[반영월],대상월키))</f>
        <v/>
      </c>
      <c r="J74">
        <f>IF($W74="","",SUMIFS(상세표[기록 시간외],상세표[사번키],INDEX(합계표[사번키],$W74),상세표[반영월],대상월키))</f>
        <v/>
      </c>
      <c r="K74">
        <f>IF($W74="","",IFERROR(INDEX(월별근무지표[적용 급여병원],MATCH(INDEX(합계표[사번키],$W74)&amp;"|"&amp;대상월키,월별근무지표[키],0))&amp;"",IF(COUNTIF(기관표[사번키],INDEX(합계표[사번키],$W74))+COUNTIF(월별근무지표[사번키],INDEX(합계표[사번키],$W74))&gt;0,IFERROR(INDEX(기관표[급여지급병원(기준월)],MATCH(INDEX(합계표[사번키],$W74)&amp;"|"&amp;대상월키,기관표[키],0))&amp;"","—"),"—")))</f>
        <v/>
      </c>
      <c r="L74">
        <f>IF($W74="","",IF(NOT(COUNTIF(기관표[사번키],INDEX(합계표[사번키],$W74))+COUNTIF(월별근무지표[사번키],INDEX(합계표[사번키],$W74))&gt;0),"기관명단에 없음(다른 병원으로 발송)",IF($K74="—","대상월 기관명단 없음(추가 필요)",IF($K74="서울병원","해당","비해당"))))</f>
        <v/>
      </c>
      <c r="M74">
        <f>IF($W74="","",SUMIFS(상세표[06~07시],상세표[사번키],INDEX(합계표[사번키],$W74),상세표[반영월],대상월키,상세표[반영 기관],"서울병원"))</f>
        <v/>
      </c>
      <c r="N74">
        <f>IF($W74="","",SUMIFS(상세표[07~18시],상세표[사번키],INDEX(합계표[사번키],$W74),상세표[반영월],대상월키,상세표[반영 기관],"서울병원"))</f>
        <v/>
      </c>
      <c r="O74">
        <f>IF($W74="","",SUMIFS(상세표[18~22시],상세표[사번키],INDEX(합계표[사번키],$W74),상세표[반영월],대상월키,상세표[반영 기관],"서울병원"))</f>
        <v/>
      </c>
      <c r="P74">
        <f>IF($W74="","",SUMIFS(상세표[22~06시],상세표[사번키],INDEX(합계표[사번키],$W74),상세표[반영월],대상월키,상세표[반영 기관],"서울병원"))</f>
        <v/>
      </c>
      <c r="Q74">
        <f>IF($W74="","",SUM($M74:$P74))</f>
        <v/>
      </c>
      <c r="R74">
        <f>IF($W74="","",COUNTIFS(상세표[사번키],INDEX(합계표[사번키],$W74),상세표[반영월],대상월키,상세표[야간당직],1,상세표[야간 구분],"평일"))</f>
        <v/>
      </c>
      <c r="S74" s="4">
        <f>IF($W74="","",COUNTIFS(상세표[사번키],INDEX(합계표[사번키],$W74),상세표[반영월],대상월키,상세표[야간당직],1,상세표[야간 구분],"휴일"))</f>
        <v/>
      </c>
      <c r="T74">
        <f>IF($W74="","",COUNTIFS(상세표[사번키],INDEX(합계표[사번키],$W74),상세표[반영월],대상월키,상세표[야간당직],1,상세표[야간 구분],"평일",상세표[반영 기관],"서울병원"))</f>
        <v/>
      </c>
      <c r="U74">
        <f>IF($W74="","",COUNTIFS(상세표[사번키],INDEX(합계표[사번키],$W74),상세표[반영월],대상월키,상세표[야간당직],1,상세표[야간 구분],"휴일",상세표[반영 기관],"서울병원"))</f>
        <v/>
      </c>
      <c r="V74">
        <f>IF($W74="","",IF(ISNUMBER(MATCH(INDEX(합계표[사번키],$W74)&amp;"|"&amp;대상월키,월별근무지표[키],0)),"직접 입력",IF($K74="—","—","기관명단")))</f>
        <v/>
      </c>
      <c r="W74">
        <f>IFERROR(MATCH(69,합계표[판정순번],0),"")</f>
        <v/>
      </c>
      <c r="Y74">
        <f>IF($AB74="","",INDEX(상세표[사번],$AB74)&amp;"")</f>
        <v/>
      </c>
      <c r="Z74">
        <f>IF($AB74="","",INDEX(상세표[성명],$AB74)&amp;"")</f>
        <v/>
      </c>
      <c r="AA74">
        <f>IF($AB74="","",SUMIFS(상세표[기록 시간외],상세표[사번키],INDEX(상세표[사번키],$AB74),상세표[반영월],대상월키))</f>
        <v/>
      </c>
      <c r="AB74" s="4">
        <f>IFERROR(MATCH(69,상세표[합계없음순번],0),"")</f>
        <v/>
      </c>
    </row>
    <row r="75">
      <c r="A75">
        <f>IF($W75="","",INDEX(합계표[사번],$W75)&amp;"")</f>
        <v/>
      </c>
      <c r="B75">
        <f>IF($W75="","",INDEX(합계표[성명],$W75)&amp;"")</f>
        <v/>
      </c>
      <c r="C75">
        <f>IF($W75="","",INDEX(합계표[부서],$W75)&amp;"")</f>
        <v/>
      </c>
      <c r="D75">
        <f>IF($W75="","",INDEX(합계표[직위(통합)],$W75)&amp;"")</f>
        <v/>
      </c>
      <c r="E75">
        <f>IF($W75="","",SUMIFS(합계표[시스템 합계],합계표[사번키],INDEX(합계표[사번키],$W75)))</f>
        <v/>
      </c>
      <c r="F75">
        <f>IF($W75="","",SUMIFS(상세표[기록 시간외],상세표[사번키],INDEX(합계표[사번키],$W75),상세표[기록월],대상월키))</f>
        <v/>
      </c>
      <c r="G75">
        <f>IF($W75="","",IF(ABS($E75-$F75)&lt;0.01,"일치","불일치(차이 "&amp;TEXT($F75-$E75,"0.00")&amp;")"))</f>
        <v/>
      </c>
      <c r="H75">
        <f>IF($W75="","",SUMIFS(상세표[기록 시간외],상세표[사번키],INDEX(합계표[사번키],$W75),상세표[기록월],대상월키,상세표[반영월],"&lt;&gt;"&amp;대상월키))</f>
        <v/>
      </c>
      <c r="I75">
        <f>IF($W75="","",SUMIFS(상세표[기록 시간외],상세표[사번키],INDEX(합계표[사번키],$W75),상세표[기록월],"&lt;&gt;"&amp;대상월키,상세표[반영월],대상월키))</f>
        <v/>
      </c>
      <c r="J75">
        <f>IF($W75="","",SUMIFS(상세표[기록 시간외],상세표[사번키],INDEX(합계표[사번키],$W75),상세표[반영월],대상월키))</f>
        <v/>
      </c>
      <c r="K75">
        <f>IF($W75="","",IFERROR(INDEX(월별근무지표[적용 급여병원],MATCH(INDEX(합계표[사번키],$W75)&amp;"|"&amp;대상월키,월별근무지표[키],0))&amp;"",IF(COUNTIF(기관표[사번키],INDEX(합계표[사번키],$W75))+COUNTIF(월별근무지표[사번키],INDEX(합계표[사번키],$W75))&gt;0,IFERROR(INDEX(기관표[급여지급병원(기준월)],MATCH(INDEX(합계표[사번키],$W75)&amp;"|"&amp;대상월키,기관표[키],0))&amp;"","—"),"—")))</f>
        <v/>
      </c>
      <c r="L75">
        <f>IF($W75="","",IF(NOT(COUNTIF(기관표[사번키],INDEX(합계표[사번키],$W75))+COUNTIF(월별근무지표[사번키],INDEX(합계표[사번키],$W75))&gt;0),"기관명단에 없음(다른 병원으로 발송)",IF($K75="—","대상월 기관명단 없음(추가 필요)",IF($K75="서울병원","해당","비해당"))))</f>
        <v/>
      </c>
      <c r="M75">
        <f>IF($W75="","",SUMIFS(상세표[06~07시],상세표[사번키],INDEX(합계표[사번키],$W75),상세표[반영월],대상월키,상세표[반영 기관],"서울병원"))</f>
        <v/>
      </c>
      <c r="N75">
        <f>IF($W75="","",SUMIFS(상세표[07~18시],상세표[사번키],INDEX(합계표[사번키],$W75),상세표[반영월],대상월키,상세표[반영 기관],"서울병원"))</f>
        <v/>
      </c>
      <c r="O75">
        <f>IF($W75="","",SUMIFS(상세표[18~22시],상세표[사번키],INDEX(합계표[사번키],$W75),상세표[반영월],대상월키,상세표[반영 기관],"서울병원"))</f>
        <v/>
      </c>
      <c r="P75">
        <f>IF($W75="","",SUMIFS(상세표[22~06시],상세표[사번키],INDEX(합계표[사번키],$W75),상세표[반영월],대상월키,상세표[반영 기관],"서울병원"))</f>
        <v/>
      </c>
      <c r="Q75">
        <f>IF($W75="","",SUM($M75:$P75))</f>
        <v/>
      </c>
      <c r="R75">
        <f>IF($W75="","",COUNTIFS(상세표[사번키],INDEX(합계표[사번키],$W75),상세표[반영월],대상월키,상세표[야간당직],1,상세표[야간 구분],"평일"))</f>
        <v/>
      </c>
      <c r="S75" s="4">
        <f>IF($W75="","",COUNTIFS(상세표[사번키],INDEX(합계표[사번키],$W75),상세표[반영월],대상월키,상세표[야간당직],1,상세표[야간 구분],"휴일"))</f>
        <v/>
      </c>
      <c r="T75">
        <f>IF($W75="","",COUNTIFS(상세표[사번키],INDEX(합계표[사번키],$W75),상세표[반영월],대상월키,상세표[야간당직],1,상세표[야간 구분],"평일",상세표[반영 기관],"서울병원"))</f>
        <v/>
      </c>
      <c r="U75">
        <f>IF($W75="","",COUNTIFS(상세표[사번키],INDEX(합계표[사번키],$W75),상세표[반영월],대상월키,상세표[야간당직],1,상세표[야간 구분],"휴일",상세표[반영 기관],"서울병원"))</f>
        <v/>
      </c>
      <c r="V75">
        <f>IF($W75="","",IF(ISNUMBER(MATCH(INDEX(합계표[사번키],$W75)&amp;"|"&amp;대상월키,월별근무지표[키],0)),"직접 입력",IF($K75="—","—","기관명단")))</f>
        <v/>
      </c>
      <c r="W75">
        <f>IFERROR(MATCH(70,합계표[판정순번],0),"")</f>
        <v/>
      </c>
      <c r="Y75">
        <f>IF($AB75="","",INDEX(상세표[사번],$AB75)&amp;"")</f>
        <v/>
      </c>
      <c r="Z75">
        <f>IF($AB75="","",INDEX(상세표[성명],$AB75)&amp;"")</f>
        <v/>
      </c>
      <c r="AA75">
        <f>IF($AB75="","",SUMIFS(상세표[기록 시간외],상세표[사번키],INDEX(상세표[사번키],$AB75),상세표[반영월],대상월키))</f>
        <v/>
      </c>
      <c r="AB75" s="4">
        <f>IFERROR(MATCH(70,상세표[합계없음순번],0),"")</f>
        <v/>
      </c>
    </row>
    <row r="76">
      <c r="A76">
        <f>IF($W76="","",INDEX(합계표[사번],$W76)&amp;"")</f>
        <v/>
      </c>
      <c r="B76">
        <f>IF($W76="","",INDEX(합계표[성명],$W76)&amp;"")</f>
        <v/>
      </c>
      <c r="C76">
        <f>IF($W76="","",INDEX(합계표[부서],$W76)&amp;"")</f>
        <v/>
      </c>
      <c r="D76">
        <f>IF($W76="","",INDEX(합계표[직위(통합)],$W76)&amp;"")</f>
        <v/>
      </c>
      <c r="E76">
        <f>IF($W76="","",SUMIFS(합계표[시스템 합계],합계표[사번키],INDEX(합계표[사번키],$W76)))</f>
        <v/>
      </c>
      <c r="F76">
        <f>IF($W76="","",SUMIFS(상세표[기록 시간외],상세표[사번키],INDEX(합계표[사번키],$W76),상세표[기록월],대상월키))</f>
        <v/>
      </c>
      <c r="G76">
        <f>IF($W76="","",IF(ABS($E76-$F76)&lt;0.01,"일치","불일치(차이 "&amp;TEXT($F76-$E76,"0.00")&amp;")"))</f>
        <v/>
      </c>
      <c r="H76">
        <f>IF($W76="","",SUMIFS(상세표[기록 시간외],상세표[사번키],INDEX(합계표[사번키],$W76),상세표[기록월],대상월키,상세표[반영월],"&lt;&gt;"&amp;대상월키))</f>
        <v/>
      </c>
      <c r="I76">
        <f>IF($W76="","",SUMIFS(상세표[기록 시간외],상세표[사번키],INDEX(합계표[사번키],$W76),상세표[기록월],"&lt;&gt;"&amp;대상월키,상세표[반영월],대상월키))</f>
        <v/>
      </c>
      <c r="J76">
        <f>IF($W76="","",SUMIFS(상세표[기록 시간외],상세표[사번키],INDEX(합계표[사번키],$W76),상세표[반영월],대상월키))</f>
        <v/>
      </c>
      <c r="K76">
        <f>IF($W76="","",IFERROR(INDEX(월별근무지표[적용 급여병원],MATCH(INDEX(합계표[사번키],$W76)&amp;"|"&amp;대상월키,월별근무지표[키],0))&amp;"",IF(COUNTIF(기관표[사번키],INDEX(합계표[사번키],$W76))+COUNTIF(월별근무지표[사번키],INDEX(합계표[사번키],$W76))&gt;0,IFERROR(INDEX(기관표[급여지급병원(기준월)],MATCH(INDEX(합계표[사번키],$W76)&amp;"|"&amp;대상월키,기관표[키],0))&amp;"","—"),"—")))</f>
        <v/>
      </c>
      <c r="L76">
        <f>IF($W76="","",IF(NOT(COUNTIF(기관표[사번키],INDEX(합계표[사번키],$W76))+COUNTIF(월별근무지표[사번키],INDEX(합계표[사번키],$W76))&gt;0),"기관명단에 없음(다른 병원으로 발송)",IF($K76="—","대상월 기관명단 없음(추가 필요)",IF($K76="서울병원","해당","비해당"))))</f>
        <v/>
      </c>
      <c r="M76">
        <f>IF($W76="","",SUMIFS(상세표[06~07시],상세표[사번키],INDEX(합계표[사번키],$W76),상세표[반영월],대상월키,상세표[반영 기관],"서울병원"))</f>
        <v/>
      </c>
      <c r="N76">
        <f>IF($W76="","",SUMIFS(상세표[07~18시],상세표[사번키],INDEX(합계표[사번키],$W76),상세표[반영월],대상월키,상세표[반영 기관],"서울병원"))</f>
        <v/>
      </c>
      <c r="O76">
        <f>IF($W76="","",SUMIFS(상세표[18~22시],상세표[사번키],INDEX(합계표[사번키],$W76),상세표[반영월],대상월키,상세표[반영 기관],"서울병원"))</f>
        <v/>
      </c>
      <c r="P76">
        <f>IF($W76="","",SUMIFS(상세표[22~06시],상세표[사번키],INDEX(합계표[사번키],$W76),상세표[반영월],대상월키,상세표[반영 기관],"서울병원"))</f>
        <v/>
      </c>
      <c r="Q76">
        <f>IF($W76="","",SUM($M76:$P76))</f>
        <v/>
      </c>
      <c r="R76">
        <f>IF($W76="","",COUNTIFS(상세표[사번키],INDEX(합계표[사번키],$W76),상세표[반영월],대상월키,상세표[야간당직],1,상세표[야간 구분],"평일"))</f>
        <v/>
      </c>
      <c r="S76" s="4">
        <f>IF($W76="","",COUNTIFS(상세표[사번키],INDEX(합계표[사번키],$W76),상세표[반영월],대상월키,상세표[야간당직],1,상세표[야간 구분],"휴일"))</f>
        <v/>
      </c>
      <c r="T76">
        <f>IF($W76="","",COUNTIFS(상세표[사번키],INDEX(합계표[사번키],$W76),상세표[반영월],대상월키,상세표[야간당직],1,상세표[야간 구분],"평일",상세표[반영 기관],"서울병원"))</f>
        <v/>
      </c>
      <c r="U76">
        <f>IF($W76="","",COUNTIFS(상세표[사번키],INDEX(합계표[사번키],$W76),상세표[반영월],대상월키,상세표[야간당직],1,상세표[야간 구분],"휴일",상세표[반영 기관],"서울병원"))</f>
        <v/>
      </c>
      <c r="V76">
        <f>IF($W76="","",IF(ISNUMBER(MATCH(INDEX(합계표[사번키],$W76)&amp;"|"&amp;대상월키,월별근무지표[키],0)),"직접 입력",IF($K76="—","—","기관명단")))</f>
        <v/>
      </c>
      <c r="W76">
        <f>IFERROR(MATCH(71,합계표[판정순번],0),"")</f>
        <v/>
      </c>
      <c r="Y76">
        <f>IF($AB76="","",INDEX(상세표[사번],$AB76)&amp;"")</f>
        <v/>
      </c>
      <c r="Z76">
        <f>IF($AB76="","",INDEX(상세표[성명],$AB76)&amp;"")</f>
        <v/>
      </c>
      <c r="AA76">
        <f>IF($AB76="","",SUMIFS(상세표[기록 시간외],상세표[사번키],INDEX(상세표[사번키],$AB76),상세표[반영월],대상월키))</f>
        <v/>
      </c>
      <c r="AB76" s="4">
        <f>IFERROR(MATCH(71,상세표[합계없음순번],0),"")</f>
        <v/>
      </c>
    </row>
    <row r="77">
      <c r="A77">
        <f>IF($W77="","",INDEX(합계표[사번],$W77)&amp;"")</f>
        <v/>
      </c>
      <c r="B77">
        <f>IF($W77="","",INDEX(합계표[성명],$W77)&amp;"")</f>
        <v/>
      </c>
      <c r="C77">
        <f>IF($W77="","",INDEX(합계표[부서],$W77)&amp;"")</f>
        <v/>
      </c>
      <c r="D77">
        <f>IF($W77="","",INDEX(합계표[직위(통합)],$W77)&amp;"")</f>
        <v/>
      </c>
      <c r="E77">
        <f>IF($W77="","",SUMIFS(합계표[시스템 합계],합계표[사번키],INDEX(합계표[사번키],$W77)))</f>
        <v/>
      </c>
      <c r="F77">
        <f>IF($W77="","",SUMIFS(상세표[기록 시간외],상세표[사번키],INDEX(합계표[사번키],$W77),상세표[기록월],대상월키))</f>
        <v/>
      </c>
      <c r="G77">
        <f>IF($W77="","",IF(ABS($E77-$F77)&lt;0.01,"일치","불일치(차이 "&amp;TEXT($F77-$E77,"0.00")&amp;")"))</f>
        <v/>
      </c>
      <c r="H77">
        <f>IF($W77="","",SUMIFS(상세표[기록 시간외],상세표[사번키],INDEX(합계표[사번키],$W77),상세표[기록월],대상월키,상세표[반영월],"&lt;&gt;"&amp;대상월키))</f>
        <v/>
      </c>
      <c r="I77">
        <f>IF($W77="","",SUMIFS(상세표[기록 시간외],상세표[사번키],INDEX(합계표[사번키],$W77),상세표[기록월],"&lt;&gt;"&amp;대상월키,상세표[반영월],대상월키))</f>
        <v/>
      </c>
      <c r="J77">
        <f>IF($W77="","",SUMIFS(상세표[기록 시간외],상세표[사번키],INDEX(합계표[사번키],$W77),상세표[반영월],대상월키))</f>
        <v/>
      </c>
      <c r="K77">
        <f>IF($W77="","",IFERROR(INDEX(월별근무지표[적용 급여병원],MATCH(INDEX(합계표[사번키],$W77)&amp;"|"&amp;대상월키,월별근무지표[키],0))&amp;"",IF(COUNTIF(기관표[사번키],INDEX(합계표[사번키],$W77))+COUNTIF(월별근무지표[사번키],INDEX(합계표[사번키],$W77))&gt;0,IFERROR(INDEX(기관표[급여지급병원(기준월)],MATCH(INDEX(합계표[사번키],$W77)&amp;"|"&amp;대상월키,기관표[키],0))&amp;"","—"),"—")))</f>
        <v/>
      </c>
      <c r="L77">
        <f>IF($W77="","",IF(NOT(COUNTIF(기관표[사번키],INDEX(합계표[사번키],$W77))+COUNTIF(월별근무지표[사번키],INDEX(합계표[사번키],$W77))&gt;0),"기관명단에 없음(다른 병원으로 발송)",IF($K77="—","대상월 기관명단 없음(추가 필요)",IF($K77="서울병원","해당","비해당"))))</f>
        <v/>
      </c>
      <c r="M77">
        <f>IF($W77="","",SUMIFS(상세표[06~07시],상세표[사번키],INDEX(합계표[사번키],$W77),상세표[반영월],대상월키,상세표[반영 기관],"서울병원"))</f>
        <v/>
      </c>
      <c r="N77">
        <f>IF($W77="","",SUMIFS(상세표[07~18시],상세표[사번키],INDEX(합계표[사번키],$W77),상세표[반영월],대상월키,상세표[반영 기관],"서울병원"))</f>
        <v/>
      </c>
      <c r="O77">
        <f>IF($W77="","",SUMIFS(상세표[18~22시],상세표[사번키],INDEX(합계표[사번키],$W77),상세표[반영월],대상월키,상세표[반영 기관],"서울병원"))</f>
        <v/>
      </c>
      <c r="P77">
        <f>IF($W77="","",SUMIFS(상세표[22~06시],상세표[사번키],INDEX(합계표[사번키],$W77),상세표[반영월],대상월키,상세표[반영 기관],"서울병원"))</f>
        <v/>
      </c>
      <c r="Q77">
        <f>IF($W77="","",SUM($M77:$P77))</f>
        <v/>
      </c>
      <c r="R77">
        <f>IF($W77="","",COUNTIFS(상세표[사번키],INDEX(합계표[사번키],$W77),상세표[반영월],대상월키,상세표[야간당직],1,상세표[야간 구분],"평일"))</f>
        <v/>
      </c>
      <c r="S77" s="4">
        <f>IF($W77="","",COUNTIFS(상세표[사번키],INDEX(합계표[사번키],$W77),상세표[반영월],대상월키,상세표[야간당직],1,상세표[야간 구분],"휴일"))</f>
        <v/>
      </c>
      <c r="T77">
        <f>IF($W77="","",COUNTIFS(상세표[사번키],INDEX(합계표[사번키],$W77),상세표[반영월],대상월키,상세표[야간당직],1,상세표[야간 구분],"평일",상세표[반영 기관],"서울병원"))</f>
        <v/>
      </c>
      <c r="U77">
        <f>IF($W77="","",COUNTIFS(상세표[사번키],INDEX(합계표[사번키],$W77),상세표[반영월],대상월키,상세표[야간당직],1,상세표[야간 구분],"휴일",상세표[반영 기관],"서울병원"))</f>
        <v/>
      </c>
      <c r="V77">
        <f>IF($W77="","",IF(ISNUMBER(MATCH(INDEX(합계표[사번키],$W77)&amp;"|"&amp;대상월키,월별근무지표[키],0)),"직접 입력",IF($K77="—","—","기관명단")))</f>
        <v/>
      </c>
      <c r="W77">
        <f>IFERROR(MATCH(72,합계표[판정순번],0),"")</f>
        <v/>
      </c>
      <c r="Y77">
        <f>IF($AB77="","",INDEX(상세표[사번],$AB77)&amp;"")</f>
        <v/>
      </c>
      <c r="Z77">
        <f>IF($AB77="","",INDEX(상세표[성명],$AB77)&amp;"")</f>
        <v/>
      </c>
      <c r="AA77">
        <f>IF($AB77="","",SUMIFS(상세표[기록 시간외],상세표[사번키],INDEX(상세표[사번키],$AB77),상세표[반영월],대상월키))</f>
        <v/>
      </c>
      <c r="AB77" s="4">
        <f>IFERROR(MATCH(72,상세표[합계없음순번],0),"")</f>
        <v/>
      </c>
    </row>
    <row r="78">
      <c r="A78">
        <f>IF($W78="","",INDEX(합계표[사번],$W78)&amp;"")</f>
        <v/>
      </c>
      <c r="B78">
        <f>IF($W78="","",INDEX(합계표[성명],$W78)&amp;"")</f>
        <v/>
      </c>
      <c r="C78">
        <f>IF($W78="","",INDEX(합계표[부서],$W78)&amp;"")</f>
        <v/>
      </c>
      <c r="D78">
        <f>IF($W78="","",INDEX(합계표[직위(통합)],$W78)&amp;"")</f>
        <v/>
      </c>
      <c r="E78">
        <f>IF($W78="","",SUMIFS(합계표[시스템 합계],합계표[사번키],INDEX(합계표[사번키],$W78)))</f>
        <v/>
      </c>
      <c r="F78">
        <f>IF($W78="","",SUMIFS(상세표[기록 시간외],상세표[사번키],INDEX(합계표[사번키],$W78),상세표[기록월],대상월키))</f>
        <v/>
      </c>
      <c r="G78">
        <f>IF($W78="","",IF(ABS($E78-$F78)&lt;0.01,"일치","불일치(차이 "&amp;TEXT($F78-$E78,"0.00")&amp;")"))</f>
        <v/>
      </c>
      <c r="H78">
        <f>IF($W78="","",SUMIFS(상세표[기록 시간외],상세표[사번키],INDEX(합계표[사번키],$W78),상세표[기록월],대상월키,상세표[반영월],"&lt;&gt;"&amp;대상월키))</f>
        <v/>
      </c>
      <c r="I78">
        <f>IF($W78="","",SUMIFS(상세표[기록 시간외],상세표[사번키],INDEX(합계표[사번키],$W78),상세표[기록월],"&lt;&gt;"&amp;대상월키,상세표[반영월],대상월키))</f>
        <v/>
      </c>
      <c r="J78">
        <f>IF($W78="","",SUMIFS(상세표[기록 시간외],상세표[사번키],INDEX(합계표[사번키],$W78),상세표[반영월],대상월키))</f>
        <v/>
      </c>
      <c r="K78">
        <f>IF($W78="","",IFERROR(INDEX(월별근무지표[적용 급여병원],MATCH(INDEX(합계표[사번키],$W78)&amp;"|"&amp;대상월키,월별근무지표[키],0))&amp;"",IF(COUNTIF(기관표[사번키],INDEX(합계표[사번키],$W78))+COUNTIF(월별근무지표[사번키],INDEX(합계표[사번키],$W78))&gt;0,IFERROR(INDEX(기관표[급여지급병원(기준월)],MATCH(INDEX(합계표[사번키],$W78)&amp;"|"&amp;대상월키,기관표[키],0))&amp;"","—"),"—")))</f>
        <v/>
      </c>
      <c r="L78">
        <f>IF($W78="","",IF(NOT(COUNTIF(기관표[사번키],INDEX(합계표[사번키],$W78))+COUNTIF(월별근무지표[사번키],INDEX(합계표[사번키],$W78))&gt;0),"기관명단에 없음(다른 병원으로 발송)",IF($K78="—","대상월 기관명단 없음(추가 필요)",IF($K78="서울병원","해당","비해당"))))</f>
        <v/>
      </c>
      <c r="M78">
        <f>IF($W78="","",SUMIFS(상세표[06~07시],상세표[사번키],INDEX(합계표[사번키],$W78),상세표[반영월],대상월키,상세표[반영 기관],"서울병원"))</f>
        <v/>
      </c>
      <c r="N78">
        <f>IF($W78="","",SUMIFS(상세표[07~18시],상세표[사번키],INDEX(합계표[사번키],$W78),상세표[반영월],대상월키,상세표[반영 기관],"서울병원"))</f>
        <v/>
      </c>
      <c r="O78">
        <f>IF($W78="","",SUMIFS(상세표[18~22시],상세표[사번키],INDEX(합계표[사번키],$W78),상세표[반영월],대상월키,상세표[반영 기관],"서울병원"))</f>
        <v/>
      </c>
      <c r="P78">
        <f>IF($W78="","",SUMIFS(상세표[22~06시],상세표[사번키],INDEX(합계표[사번키],$W78),상세표[반영월],대상월키,상세표[반영 기관],"서울병원"))</f>
        <v/>
      </c>
      <c r="Q78">
        <f>IF($W78="","",SUM($M78:$P78))</f>
        <v/>
      </c>
      <c r="R78">
        <f>IF($W78="","",COUNTIFS(상세표[사번키],INDEX(합계표[사번키],$W78),상세표[반영월],대상월키,상세표[야간당직],1,상세표[야간 구분],"평일"))</f>
        <v/>
      </c>
      <c r="S78" s="4">
        <f>IF($W78="","",COUNTIFS(상세표[사번키],INDEX(합계표[사번키],$W78),상세표[반영월],대상월키,상세표[야간당직],1,상세표[야간 구분],"휴일"))</f>
        <v/>
      </c>
      <c r="T78">
        <f>IF($W78="","",COUNTIFS(상세표[사번키],INDEX(합계표[사번키],$W78),상세표[반영월],대상월키,상세표[야간당직],1,상세표[야간 구분],"평일",상세표[반영 기관],"서울병원"))</f>
        <v/>
      </c>
      <c r="U78">
        <f>IF($W78="","",COUNTIFS(상세표[사번키],INDEX(합계표[사번키],$W78),상세표[반영월],대상월키,상세표[야간당직],1,상세표[야간 구분],"휴일",상세표[반영 기관],"서울병원"))</f>
        <v/>
      </c>
      <c r="V78">
        <f>IF($W78="","",IF(ISNUMBER(MATCH(INDEX(합계표[사번키],$W78)&amp;"|"&amp;대상월키,월별근무지표[키],0)),"직접 입력",IF($K78="—","—","기관명단")))</f>
        <v/>
      </c>
      <c r="W78">
        <f>IFERROR(MATCH(73,합계표[판정순번],0),"")</f>
        <v/>
      </c>
      <c r="Y78">
        <f>IF($AB78="","",INDEX(상세표[사번],$AB78)&amp;"")</f>
        <v/>
      </c>
      <c r="Z78">
        <f>IF($AB78="","",INDEX(상세표[성명],$AB78)&amp;"")</f>
        <v/>
      </c>
      <c r="AA78">
        <f>IF($AB78="","",SUMIFS(상세표[기록 시간외],상세표[사번키],INDEX(상세표[사번키],$AB78),상세표[반영월],대상월키))</f>
        <v/>
      </c>
      <c r="AB78" s="4">
        <f>IFERROR(MATCH(73,상세표[합계없음순번],0),"")</f>
        <v/>
      </c>
    </row>
    <row r="79">
      <c r="A79">
        <f>IF($W79="","",INDEX(합계표[사번],$W79)&amp;"")</f>
        <v/>
      </c>
      <c r="B79">
        <f>IF($W79="","",INDEX(합계표[성명],$W79)&amp;"")</f>
        <v/>
      </c>
      <c r="C79">
        <f>IF($W79="","",INDEX(합계표[부서],$W79)&amp;"")</f>
        <v/>
      </c>
      <c r="D79">
        <f>IF($W79="","",INDEX(합계표[직위(통합)],$W79)&amp;"")</f>
        <v/>
      </c>
      <c r="E79">
        <f>IF($W79="","",SUMIFS(합계표[시스템 합계],합계표[사번키],INDEX(합계표[사번키],$W79)))</f>
        <v/>
      </c>
      <c r="F79">
        <f>IF($W79="","",SUMIFS(상세표[기록 시간외],상세표[사번키],INDEX(합계표[사번키],$W79),상세표[기록월],대상월키))</f>
        <v/>
      </c>
      <c r="G79">
        <f>IF($W79="","",IF(ABS($E79-$F79)&lt;0.01,"일치","불일치(차이 "&amp;TEXT($F79-$E79,"0.00")&amp;")"))</f>
        <v/>
      </c>
      <c r="H79">
        <f>IF($W79="","",SUMIFS(상세표[기록 시간외],상세표[사번키],INDEX(합계표[사번키],$W79),상세표[기록월],대상월키,상세표[반영월],"&lt;&gt;"&amp;대상월키))</f>
        <v/>
      </c>
      <c r="I79">
        <f>IF($W79="","",SUMIFS(상세표[기록 시간외],상세표[사번키],INDEX(합계표[사번키],$W79),상세표[기록월],"&lt;&gt;"&amp;대상월키,상세표[반영월],대상월키))</f>
        <v/>
      </c>
      <c r="J79">
        <f>IF($W79="","",SUMIFS(상세표[기록 시간외],상세표[사번키],INDEX(합계표[사번키],$W79),상세표[반영월],대상월키))</f>
        <v/>
      </c>
      <c r="K79">
        <f>IF($W79="","",IFERROR(INDEX(월별근무지표[적용 급여병원],MATCH(INDEX(합계표[사번키],$W79)&amp;"|"&amp;대상월키,월별근무지표[키],0))&amp;"",IF(COUNTIF(기관표[사번키],INDEX(합계표[사번키],$W79))+COUNTIF(월별근무지표[사번키],INDEX(합계표[사번키],$W79))&gt;0,IFERROR(INDEX(기관표[급여지급병원(기준월)],MATCH(INDEX(합계표[사번키],$W79)&amp;"|"&amp;대상월키,기관표[키],0))&amp;"","—"),"—")))</f>
        <v/>
      </c>
      <c r="L79">
        <f>IF($W79="","",IF(NOT(COUNTIF(기관표[사번키],INDEX(합계표[사번키],$W79))+COUNTIF(월별근무지표[사번키],INDEX(합계표[사번키],$W79))&gt;0),"기관명단에 없음(다른 병원으로 발송)",IF($K79="—","대상월 기관명단 없음(추가 필요)",IF($K79="서울병원","해당","비해당"))))</f>
        <v/>
      </c>
      <c r="M79">
        <f>IF($W79="","",SUMIFS(상세표[06~07시],상세표[사번키],INDEX(합계표[사번키],$W79),상세표[반영월],대상월키,상세표[반영 기관],"서울병원"))</f>
        <v/>
      </c>
      <c r="N79">
        <f>IF($W79="","",SUMIFS(상세표[07~18시],상세표[사번키],INDEX(합계표[사번키],$W79),상세표[반영월],대상월키,상세표[반영 기관],"서울병원"))</f>
        <v/>
      </c>
      <c r="O79">
        <f>IF($W79="","",SUMIFS(상세표[18~22시],상세표[사번키],INDEX(합계표[사번키],$W79),상세표[반영월],대상월키,상세표[반영 기관],"서울병원"))</f>
        <v/>
      </c>
      <c r="P79">
        <f>IF($W79="","",SUMIFS(상세표[22~06시],상세표[사번키],INDEX(합계표[사번키],$W79),상세표[반영월],대상월키,상세표[반영 기관],"서울병원"))</f>
        <v/>
      </c>
      <c r="Q79">
        <f>IF($W79="","",SUM($M79:$P79))</f>
        <v/>
      </c>
      <c r="R79">
        <f>IF($W79="","",COUNTIFS(상세표[사번키],INDEX(합계표[사번키],$W79),상세표[반영월],대상월키,상세표[야간당직],1,상세표[야간 구분],"평일"))</f>
        <v/>
      </c>
      <c r="S79" s="4">
        <f>IF($W79="","",COUNTIFS(상세표[사번키],INDEX(합계표[사번키],$W79),상세표[반영월],대상월키,상세표[야간당직],1,상세표[야간 구분],"휴일"))</f>
        <v/>
      </c>
      <c r="T79">
        <f>IF($W79="","",COUNTIFS(상세표[사번키],INDEX(합계표[사번키],$W79),상세표[반영월],대상월키,상세표[야간당직],1,상세표[야간 구분],"평일",상세표[반영 기관],"서울병원"))</f>
        <v/>
      </c>
      <c r="U79">
        <f>IF($W79="","",COUNTIFS(상세표[사번키],INDEX(합계표[사번키],$W79),상세표[반영월],대상월키,상세표[야간당직],1,상세표[야간 구분],"휴일",상세표[반영 기관],"서울병원"))</f>
        <v/>
      </c>
      <c r="V79">
        <f>IF($W79="","",IF(ISNUMBER(MATCH(INDEX(합계표[사번키],$W79)&amp;"|"&amp;대상월키,월별근무지표[키],0)),"직접 입력",IF($K79="—","—","기관명단")))</f>
        <v/>
      </c>
      <c r="W79">
        <f>IFERROR(MATCH(74,합계표[판정순번],0),"")</f>
        <v/>
      </c>
      <c r="Y79">
        <f>IF($AB79="","",INDEX(상세표[사번],$AB79)&amp;"")</f>
        <v/>
      </c>
      <c r="Z79">
        <f>IF($AB79="","",INDEX(상세표[성명],$AB79)&amp;"")</f>
        <v/>
      </c>
      <c r="AA79">
        <f>IF($AB79="","",SUMIFS(상세표[기록 시간외],상세표[사번키],INDEX(상세표[사번키],$AB79),상세표[반영월],대상월키))</f>
        <v/>
      </c>
      <c r="AB79" s="4">
        <f>IFERROR(MATCH(74,상세표[합계없음순번],0),"")</f>
        <v/>
      </c>
    </row>
    <row r="80">
      <c r="A80">
        <f>IF($W80="","",INDEX(합계표[사번],$W80)&amp;"")</f>
        <v/>
      </c>
      <c r="B80">
        <f>IF($W80="","",INDEX(합계표[성명],$W80)&amp;"")</f>
        <v/>
      </c>
      <c r="C80">
        <f>IF($W80="","",INDEX(합계표[부서],$W80)&amp;"")</f>
        <v/>
      </c>
      <c r="D80">
        <f>IF($W80="","",INDEX(합계표[직위(통합)],$W80)&amp;"")</f>
        <v/>
      </c>
      <c r="E80">
        <f>IF($W80="","",SUMIFS(합계표[시스템 합계],합계표[사번키],INDEX(합계표[사번키],$W80)))</f>
        <v/>
      </c>
      <c r="F80">
        <f>IF($W80="","",SUMIFS(상세표[기록 시간외],상세표[사번키],INDEX(합계표[사번키],$W80),상세표[기록월],대상월키))</f>
        <v/>
      </c>
      <c r="G80">
        <f>IF($W80="","",IF(ABS($E80-$F80)&lt;0.01,"일치","불일치(차이 "&amp;TEXT($F80-$E80,"0.00")&amp;")"))</f>
        <v/>
      </c>
      <c r="H80">
        <f>IF($W80="","",SUMIFS(상세표[기록 시간외],상세표[사번키],INDEX(합계표[사번키],$W80),상세표[기록월],대상월키,상세표[반영월],"&lt;&gt;"&amp;대상월키))</f>
        <v/>
      </c>
      <c r="I80">
        <f>IF($W80="","",SUMIFS(상세표[기록 시간외],상세표[사번키],INDEX(합계표[사번키],$W80),상세표[기록월],"&lt;&gt;"&amp;대상월키,상세표[반영월],대상월키))</f>
        <v/>
      </c>
      <c r="J80">
        <f>IF($W80="","",SUMIFS(상세표[기록 시간외],상세표[사번키],INDEX(합계표[사번키],$W80),상세표[반영월],대상월키))</f>
        <v/>
      </c>
      <c r="K80">
        <f>IF($W80="","",IFERROR(INDEX(월별근무지표[적용 급여병원],MATCH(INDEX(합계표[사번키],$W80)&amp;"|"&amp;대상월키,월별근무지표[키],0))&amp;"",IF(COUNTIF(기관표[사번키],INDEX(합계표[사번키],$W80))+COUNTIF(월별근무지표[사번키],INDEX(합계표[사번키],$W80))&gt;0,IFERROR(INDEX(기관표[급여지급병원(기준월)],MATCH(INDEX(합계표[사번키],$W80)&amp;"|"&amp;대상월키,기관표[키],0))&amp;"","—"),"—")))</f>
        <v/>
      </c>
      <c r="L80">
        <f>IF($W80="","",IF(NOT(COUNTIF(기관표[사번키],INDEX(합계표[사번키],$W80))+COUNTIF(월별근무지표[사번키],INDEX(합계표[사번키],$W80))&gt;0),"기관명단에 없음(다른 병원으로 발송)",IF($K80="—","대상월 기관명단 없음(추가 필요)",IF($K80="서울병원","해당","비해당"))))</f>
        <v/>
      </c>
      <c r="M80">
        <f>IF($W80="","",SUMIFS(상세표[06~07시],상세표[사번키],INDEX(합계표[사번키],$W80),상세표[반영월],대상월키,상세표[반영 기관],"서울병원"))</f>
        <v/>
      </c>
      <c r="N80">
        <f>IF($W80="","",SUMIFS(상세표[07~18시],상세표[사번키],INDEX(합계표[사번키],$W80),상세표[반영월],대상월키,상세표[반영 기관],"서울병원"))</f>
        <v/>
      </c>
      <c r="O80">
        <f>IF($W80="","",SUMIFS(상세표[18~22시],상세표[사번키],INDEX(합계표[사번키],$W80),상세표[반영월],대상월키,상세표[반영 기관],"서울병원"))</f>
        <v/>
      </c>
      <c r="P80">
        <f>IF($W80="","",SUMIFS(상세표[22~06시],상세표[사번키],INDEX(합계표[사번키],$W80),상세표[반영월],대상월키,상세표[반영 기관],"서울병원"))</f>
        <v/>
      </c>
      <c r="Q80">
        <f>IF($W80="","",SUM($M80:$P80))</f>
        <v/>
      </c>
      <c r="R80">
        <f>IF($W80="","",COUNTIFS(상세표[사번키],INDEX(합계표[사번키],$W80),상세표[반영월],대상월키,상세표[야간당직],1,상세표[야간 구분],"평일"))</f>
        <v/>
      </c>
      <c r="S80" s="4">
        <f>IF($W80="","",COUNTIFS(상세표[사번키],INDEX(합계표[사번키],$W80),상세표[반영월],대상월키,상세표[야간당직],1,상세표[야간 구분],"휴일"))</f>
        <v/>
      </c>
      <c r="T80">
        <f>IF($W80="","",COUNTIFS(상세표[사번키],INDEX(합계표[사번키],$W80),상세표[반영월],대상월키,상세표[야간당직],1,상세표[야간 구분],"평일",상세표[반영 기관],"서울병원"))</f>
        <v/>
      </c>
      <c r="U80">
        <f>IF($W80="","",COUNTIFS(상세표[사번키],INDEX(합계표[사번키],$W80),상세표[반영월],대상월키,상세표[야간당직],1,상세표[야간 구분],"휴일",상세표[반영 기관],"서울병원"))</f>
        <v/>
      </c>
      <c r="V80">
        <f>IF($W80="","",IF(ISNUMBER(MATCH(INDEX(합계표[사번키],$W80)&amp;"|"&amp;대상월키,월별근무지표[키],0)),"직접 입력",IF($K80="—","—","기관명단")))</f>
        <v/>
      </c>
      <c r="W80">
        <f>IFERROR(MATCH(75,합계표[판정순번],0),"")</f>
        <v/>
      </c>
      <c r="Y80">
        <f>IF($AB80="","",INDEX(상세표[사번],$AB80)&amp;"")</f>
        <v/>
      </c>
      <c r="Z80">
        <f>IF($AB80="","",INDEX(상세표[성명],$AB80)&amp;"")</f>
        <v/>
      </c>
      <c r="AA80">
        <f>IF($AB80="","",SUMIFS(상세표[기록 시간외],상세표[사번키],INDEX(상세표[사번키],$AB80),상세표[반영월],대상월키))</f>
        <v/>
      </c>
      <c r="AB80" s="4">
        <f>IFERROR(MATCH(75,상세표[합계없음순번],0),"")</f>
        <v/>
      </c>
    </row>
    <row r="81">
      <c r="A81">
        <f>IF($W81="","",INDEX(합계표[사번],$W81)&amp;"")</f>
        <v/>
      </c>
      <c r="B81">
        <f>IF($W81="","",INDEX(합계표[성명],$W81)&amp;"")</f>
        <v/>
      </c>
      <c r="C81">
        <f>IF($W81="","",INDEX(합계표[부서],$W81)&amp;"")</f>
        <v/>
      </c>
      <c r="D81">
        <f>IF($W81="","",INDEX(합계표[직위(통합)],$W81)&amp;"")</f>
        <v/>
      </c>
      <c r="E81">
        <f>IF($W81="","",SUMIFS(합계표[시스템 합계],합계표[사번키],INDEX(합계표[사번키],$W81)))</f>
        <v/>
      </c>
      <c r="F81">
        <f>IF($W81="","",SUMIFS(상세표[기록 시간외],상세표[사번키],INDEX(합계표[사번키],$W81),상세표[기록월],대상월키))</f>
        <v/>
      </c>
      <c r="G81">
        <f>IF($W81="","",IF(ABS($E81-$F81)&lt;0.01,"일치","불일치(차이 "&amp;TEXT($F81-$E81,"0.00")&amp;")"))</f>
        <v/>
      </c>
      <c r="H81">
        <f>IF($W81="","",SUMIFS(상세표[기록 시간외],상세표[사번키],INDEX(합계표[사번키],$W81),상세표[기록월],대상월키,상세표[반영월],"&lt;&gt;"&amp;대상월키))</f>
        <v/>
      </c>
      <c r="I81">
        <f>IF($W81="","",SUMIFS(상세표[기록 시간외],상세표[사번키],INDEX(합계표[사번키],$W81),상세표[기록월],"&lt;&gt;"&amp;대상월키,상세표[반영월],대상월키))</f>
        <v/>
      </c>
      <c r="J81">
        <f>IF($W81="","",SUMIFS(상세표[기록 시간외],상세표[사번키],INDEX(합계표[사번키],$W81),상세표[반영월],대상월키))</f>
        <v/>
      </c>
      <c r="K81">
        <f>IF($W81="","",IFERROR(INDEX(월별근무지표[적용 급여병원],MATCH(INDEX(합계표[사번키],$W81)&amp;"|"&amp;대상월키,월별근무지표[키],0))&amp;"",IF(COUNTIF(기관표[사번키],INDEX(합계표[사번키],$W81))+COUNTIF(월별근무지표[사번키],INDEX(합계표[사번키],$W81))&gt;0,IFERROR(INDEX(기관표[급여지급병원(기준월)],MATCH(INDEX(합계표[사번키],$W81)&amp;"|"&amp;대상월키,기관표[키],0))&amp;"","—"),"—")))</f>
        <v/>
      </c>
      <c r="L81">
        <f>IF($W81="","",IF(NOT(COUNTIF(기관표[사번키],INDEX(합계표[사번키],$W81))+COUNTIF(월별근무지표[사번키],INDEX(합계표[사번키],$W81))&gt;0),"기관명단에 없음(다른 병원으로 발송)",IF($K81="—","대상월 기관명단 없음(추가 필요)",IF($K81="서울병원","해당","비해당"))))</f>
        <v/>
      </c>
      <c r="M81">
        <f>IF($W81="","",SUMIFS(상세표[06~07시],상세표[사번키],INDEX(합계표[사번키],$W81),상세표[반영월],대상월키,상세표[반영 기관],"서울병원"))</f>
        <v/>
      </c>
      <c r="N81">
        <f>IF($W81="","",SUMIFS(상세표[07~18시],상세표[사번키],INDEX(합계표[사번키],$W81),상세표[반영월],대상월키,상세표[반영 기관],"서울병원"))</f>
        <v/>
      </c>
      <c r="O81">
        <f>IF($W81="","",SUMIFS(상세표[18~22시],상세표[사번키],INDEX(합계표[사번키],$W81),상세표[반영월],대상월키,상세표[반영 기관],"서울병원"))</f>
        <v/>
      </c>
      <c r="P81">
        <f>IF($W81="","",SUMIFS(상세표[22~06시],상세표[사번키],INDEX(합계표[사번키],$W81),상세표[반영월],대상월키,상세표[반영 기관],"서울병원"))</f>
        <v/>
      </c>
      <c r="Q81">
        <f>IF($W81="","",SUM($M81:$P81))</f>
        <v/>
      </c>
      <c r="R81">
        <f>IF($W81="","",COUNTIFS(상세표[사번키],INDEX(합계표[사번키],$W81),상세표[반영월],대상월키,상세표[야간당직],1,상세표[야간 구분],"평일"))</f>
        <v/>
      </c>
      <c r="S81" s="4">
        <f>IF($W81="","",COUNTIFS(상세표[사번키],INDEX(합계표[사번키],$W81),상세표[반영월],대상월키,상세표[야간당직],1,상세표[야간 구분],"휴일"))</f>
        <v/>
      </c>
      <c r="T81">
        <f>IF($W81="","",COUNTIFS(상세표[사번키],INDEX(합계표[사번키],$W81),상세표[반영월],대상월키,상세표[야간당직],1,상세표[야간 구분],"평일",상세표[반영 기관],"서울병원"))</f>
        <v/>
      </c>
      <c r="U81">
        <f>IF($W81="","",COUNTIFS(상세표[사번키],INDEX(합계표[사번키],$W81),상세표[반영월],대상월키,상세표[야간당직],1,상세표[야간 구분],"휴일",상세표[반영 기관],"서울병원"))</f>
        <v/>
      </c>
      <c r="V81">
        <f>IF($W81="","",IF(ISNUMBER(MATCH(INDEX(합계표[사번키],$W81)&amp;"|"&amp;대상월키,월별근무지표[키],0)),"직접 입력",IF($K81="—","—","기관명단")))</f>
        <v/>
      </c>
      <c r="W81">
        <f>IFERROR(MATCH(76,합계표[판정순번],0),"")</f>
        <v/>
      </c>
      <c r="Y81">
        <f>IF($AB81="","",INDEX(상세표[사번],$AB81)&amp;"")</f>
        <v/>
      </c>
      <c r="Z81">
        <f>IF($AB81="","",INDEX(상세표[성명],$AB81)&amp;"")</f>
        <v/>
      </c>
      <c r="AA81">
        <f>IF($AB81="","",SUMIFS(상세표[기록 시간외],상세표[사번키],INDEX(상세표[사번키],$AB81),상세표[반영월],대상월키))</f>
        <v/>
      </c>
      <c r="AB81" s="4">
        <f>IFERROR(MATCH(76,상세표[합계없음순번],0),"")</f>
        <v/>
      </c>
    </row>
    <row r="82">
      <c r="A82">
        <f>IF($W82="","",INDEX(합계표[사번],$W82)&amp;"")</f>
        <v/>
      </c>
      <c r="B82">
        <f>IF($W82="","",INDEX(합계표[성명],$W82)&amp;"")</f>
        <v/>
      </c>
      <c r="C82">
        <f>IF($W82="","",INDEX(합계표[부서],$W82)&amp;"")</f>
        <v/>
      </c>
      <c r="D82">
        <f>IF($W82="","",INDEX(합계표[직위(통합)],$W82)&amp;"")</f>
        <v/>
      </c>
      <c r="E82">
        <f>IF($W82="","",SUMIFS(합계표[시스템 합계],합계표[사번키],INDEX(합계표[사번키],$W82)))</f>
        <v/>
      </c>
      <c r="F82">
        <f>IF($W82="","",SUMIFS(상세표[기록 시간외],상세표[사번키],INDEX(합계표[사번키],$W82),상세표[기록월],대상월키))</f>
        <v/>
      </c>
      <c r="G82">
        <f>IF($W82="","",IF(ABS($E82-$F82)&lt;0.01,"일치","불일치(차이 "&amp;TEXT($F82-$E82,"0.00")&amp;")"))</f>
        <v/>
      </c>
      <c r="H82">
        <f>IF($W82="","",SUMIFS(상세표[기록 시간외],상세표[사번키],INDEX(합계표[사번키],$W82),상세표[기록월],대상월키,상세표[반영월],"&lt;&gt;"&amp;대상월키))</f>
        <v/>
      </c>
      <c r="I82">
        <f>IF($W82="","",SUMIFS(상세표[기록 시간외],상세표[사번키],INDEX(합계표[사번키],$W82),상세표[기록월],"&lt;&gt;"&amp;대상월키,상세표[반영월],대상월키))</f>
        <v/>
      </c>
      <c r="J82">
        <f>IF($W82="","",SUMIFS(상세표[기록 시간외],상세표[사번키],INDEX(합계표[사번키],$W82),상세표[반영월],대상월키))</f>
        <v/>
      </c>
      <c r="K82">
        <f>IF($W82="","",IFERROR(INDEX(월별근무지표[적용 급여병원],MATCH(INDEX(합계표[사번키],$W82)&amp;"|"&amp;대상월키,월별근무지표[키],0))&amp;"",IF(COUNTIF(기관표[사번키],INDEX(합계표[사번키],$W82))+COUNTIF(월별근무지표[사번키],INDEX(합계표[사번키],$W82))&gt;0,IFERROR(INDEX(기관표[급여지급병원(기준월)],MATCH(INDEX(합계표[사번키],$W82)&amp;"|"&amp;대상월키,기관표[키],0))&amp;"","—"),"—")))</f>
        <v/>
      </c>
      <c r="L82">
        <f>IF($W82="","",IF(NOT(COUNTIF(기관표[사번키],INDEX(합계표[사번키],$W82))+COUNTIF(월별근무지표[사번키],INDEX(합계표[사번키],$W82))&gt;0),"기관명단에 없음(다른 병원으로 발송)",IF($K82="—","대상월 기관명단 없음(추가 필요)",IF($K82="서울병원","해당","비해당"))))</f>
        <v/>
      </c>
      <c r="M82">
        <f>IF($W82="","",SUMIFS(상세표[06~07시],상세표[사번키],INDEX(합계표[사번키],$W82),상세표[반영월],대상월키,상세표[반영 기관],"서울병원"))</f>
        <v/>
      </c>
      <c r="N82">
        <f>IF($W82="","",SUMIFS(상세표[07~18시],상세표[사번키],INDEX(합계표[사번키],$W82),상세표[반영월],대상월키,상세표[반영 기관],"서울병원"))</f>
        <v/>
      </c>
      <c r="O82">
        <f>IF($W82="","",SUMIFS(상세표[18~22시],상세표[사번키],INDEX(합계표[사번키],$W82),상세표[반영월],대상월키,상세표[반영 기관],"서울병원"))</f>
        <v/>
      </c>
      <c r="P82">
        <f>IF($W82="","",SUMIFS(상세표[22~06시],상세표[사번키],INDEX(합계표[사번키],$W82),상세표[반영월],대상월키,상세표[반영 기관],"서울병원"))</f>
        <v/>
      </c>
      <c r="Q82">
        <f>IF($W82="","",SUM($M82:$P82))</f>
        <v/>
      </c>
      <c r="R82">
        <f>IF($W82="","",COUNTIFS(상세표[사번키],INDEX(합계표[사번키],$W82),상세표[반영월],대상월키,상세표[야간당직],1,상세표[야간 구분],"평일"))</f>
        <v/>
      </c>
      <c r="S82" s="4">
        <f>IF($W82="","",COUNTIFS(상세표[사번키],INDEX(합계표[사번키],$W82),상세표[반영월],대상월키,상세표[야간당직],1,상세표[야간 구분],"휴일"))</f>
        <v/>
      </c>
      <c r="T82">
        <f>IF($W82="","",COUNTIFS(상세표[사번키],INDEX(합계표[사번키],$W82),상세표[반영월],대상월키,상세표[야간당직],1,상세표[야간 구분],"평일",상세표[반영 기관],"서울병원"))</f>
        <v/>
      </c>
      <c r="U82">
        <f>IF($W82="","",COUNTIFS(상세표[사번키],INDEX(합계표[사번키],$W82),상세표[반영월],대상월키,상세표[야간당직],1,상세표[야간 구분],"휴일",상세표[반영 기관],"서울병원"))</f>
        <v/>
      </c>
      <c r="V82">
        <f>IF($W82="","",IF(ISNUMBER(MATCH(INDEX(합계표[사번키],$W82)&amp;"|"&amp;대상월키,월별근무지표[키],0)),"직접 입력",IF($K82="—","—","기관명단")))</f>
        <v/>
      </c>
      <c r="W82">
        <f>IFERROR(MATCH(77,합계표[판정순번],0),"")</f>
        <v/>
      </c>
      <c r="Y82">
        <f>IF($AB82="","",INDEX(상세표[사번],$AB82)&amp;"")</f>
        <v/>
      </c>
      <c r="Z82">
        <f>IF($AB82="","",INDEX(상세표[성명],$AB82)&amp;"")</f>
        <v/>
      </c>
      <c r="AA82">
        <f>IF($AB82="","",SUMIFS(상세표[기록 시간외],상세표[사번키],INDEX(상세표[사번키],$AB82),상세표[반영월],대상월키))</f>
        <v/>
      </c>
      <c r="AB82" s="4">
        <f>IFERROR(MATCH(77,상세표[합계없음순번],0),"")</f>
        <v/>
      </c>
    </row>
    <row r="83">
      <c r="A83">
        <f>IF($W83="","",INDEX(합계표[사번],$W83)&amp;"")</f>
        <v/>
      </c>
      <c r="B83">
        <f>IF($W83="","",INDEX(합계표[성명],$W83)&amp;"")</f>
        <v/>
      </c>
      <c r="C83">
        <f>IF($W83="","",INDEX(합계표[부서],$W83)&amp;"")</f>
        <v/>
      </c>
      <c r="D83">
        <f>IF($W83="","",INDEX(합계표[직위(통합)],$W83)&amp;"")</f>
        <v/>
      </c>
      <c r="E83">
        <f>IF($W83="","",SUMIFS(합계표[시스템 합계],합계표[사번키],INDEX(합계표[사번키],$W83)))</f>
        <v/>
      </c>
      <c r="F83">
        <f>IF($W83="","",SUMIFS(상세표[기록 시간외],상세표[사번키],INDEX(합계표[사번키],$W83),상세표[기록월],대상월키))</f>
        <v/>
      </c>
      <c r="G83">
        <f>IF($W83="","",IF(ABS($E83-$F83)&lt;0.01,"일치","불일치(차이 "&amp;TEXT($F83-$E83,"0.00")&amp;")"))</f>
        <v/>
      </c>
      <c r="H83">
        <f>IF($W83="","",SUMIFS(상세표[기록 시간외],상세표[사번키],INDEX(합계표[사번키],$W83),상세표[기록월],대상월키,상세표[반영월],"&lt;&gt;"&amp;대상월키))</f>
        <v/>
      </c>
      <c r="I83">
        <f>IF($W83="","",SUMIFS(상세표[기록 시간외],상세표[사번키],INDEX(합계표[사번키],$W83),상세표[기록월],"&lt;&gt;"&amp;대상월키,상세표[반영월],대상월키))</f>
        <v/>
      </c>
      <c r="J83">
        <f>IF($W83="","",SUMIFS(상세표[기록 시간외],상세표[사번키],INDEX(합계표[사번키],$W83),상세표[반영월],대상월키))</f>
        <v/>
      </c>
      <c r="K83">
        <f>IF($W83="","",IFERROR(INDEX(월별근무지표[적용 급여병원],MATCH(INDEX(합계표[사번키],$W83)&amp;"|"&amp;대상월키,월별근무지표[키],0))&amp;"",IF(COUNTIF(기관표[사번키],INDEX(합계표[사번키],$W83))+COUNTIF(월별근무지표[사번키],INDEX(합계표[사번키],$W83))&gt;0,IFERROR(INDEX(기관표[급여지급병원(기준월)],MATCH(INDEX(합계표[사번키],$W83)&amp;"|"&amp;대상월키,기관표[키],0))&amp;"","—"),"—")))</f>
        <v/>
      </c>
      <c r="L83">
        <f>IF($W83="","",IF(NOT(COUNTIF(기관표[사번키],INDEX(합계표[사번키],$W83))+COUNTIF(월별근무지표[사번키],INDEX(합계표[사번키],$W83))&gt;0),"기관명단에 없음(다른 병원으로 발송)",IF($K83="—","대상월 기관명단 없음(추가 필요)",IF($K83="서울병원","해당","비해당"))))</f>
        <v/>
      </c>
      <c r="M83">
        <f>IF($W83="","",SUMIFS(상세표[06~07시],상세표[사번키],INDEX(합계표[사번키],$W83),상세표[반영월],대상월키,상세표[반영 기관],"서울병원"))</f>
        <v/>
      </c>
      <c r="N83">
        <f>IF($W83="","",SUMIFS(상세표[07~18시],상세표[사번키],INDEX(합계표[사번키],$W83),상세표[반영월],대상월키,상세표[반영 기관],"서울병원"))</f>
        <v/>
      </c>
      <c r="O83">
        <f>IF($W83="","",SUMIFS(상세표[18~22시],상세표[사번키],INDEX(합계표[사번키],$W83),상세표[반영월],대상월키,상세표[반영 기관],"서울병원"))</f>
        <v/>
      </c>
      <c r="P83">
        <f>IF($W83="","",SUMIFS(상세표[22~06시],상세표[사번키],INDEX(합계표[사번키],$W83),상세표[반영월],대상월키,상세표[반영 기관],"서울병원"))</f>
        <v/>
      </c>
      <c r="Q83">
        <f>IF($W83="","",SUM($M83:$P83))</f>
        <v/>
      </c>
      <c r="R83">
        <f>IF($W83="","",COUNTIFS(상세표[사번키],INDEX(합계표[사번키],$W83),상세표[반영월],대상월키,상세표[야간당직],1,상세표[야간 구분],"평일"))</f>
        <v/>
      </c>
      <c r="S83" s="4">
        <f>IF($W83="","",COUNTIFS(상세표[사번키],INDEX(합계표[사번키],$W83),상세표[반영월],대상월키,상세표[야간당직],1,상세표[야간 구분],"휴일"))</f>
        <v/>
      </c>
      <c r="T83">
        <f>IF($W83="","",COUNTIFS(상세표[사번키],INDEX(합계표[사번키],$W83),상세표[반영월],대상월키,상세표[야간당직],1,상세표[야간 구분],"평일",상세표[반영 기관],"서울병원"))</f>
        <v/>
      </c>
      <c r="U83">
        <f>IF($W83="","",COUNTIFS(상세표[사번키],INDEX(합계표[사번키],$W83),상세표[반영월],대상월키,상세표[야간당직],1,상세표[야간 구분],"휴일",상세표[반영 기관],"서울병원"))</f>
        <v/>
      </c>
      <c r="V83">
        <f>IF($W83="","",IF(ISNUMBER(MATCH(INDEX(합계표[사번키],$W83)&amp;"|"&amp;대상월키,월별근무지표[키],0)),"직접 입력",IF($K83="—","—","기관명단")))</f>
        <v/>
      </c>
      <c r="W83">
        <f>IFERROR(MATCH(78,합계표[판정순번],0),"")</f>
        <v/>
      </c>
      <c r="Y83">
        <f>IF($AB83="","",INDEX(상세표[사번],$AB83)&amp;"")</f>
        <v/>
      </c>
      <c r="Z83">
        <f>IF($AB83="","",INDEX(상세표[성명],$AB83)&amp;"")</f>
        <v/>
      </c>
      <c r="AA83">
        <f>IF($AB83="","",SUMIFS(상세표[기록 시간외],상세표[사번키],INDEX(상세표[사번키],$AB83),상세표[반영월],대상월키))</f>
        <v/>
      </c>
      <c r="AB83" s="4">
        <f>IFERROR(MATCH(78,상세표[합계없음순번],0),"")</f>
        <v/>
      </c>
    </row>
    <row r="84">
      <c r="A84">
        <f>IF($W84="","",INDEX(합계표[사번],$W84)&amp;"")</f>
        <v/>
      </c>
      <c r="B84">
        <f>IF($W84="","",INDEX(합계표[성명],$W84)&amp;"")</f>
        <v/>
      </c>
      <c r="C84">
        <f>IF($W84="","",INDEX(합계표[부서],$W84)&amp;"")</f>
        <v/>
      </c>
      <c r="D84">
        <f>IF($W84="","",INDEX(합계표[직위(통합)],$W84)&amp;"")</f>
        <v/>
      </c>
      <c r="E84">
        <f>IF($W84="","",SUMIFS(합계표[시스템 합계],합계표[사번키],INDEX(합계표[사번키],$W84)))</f>
        <v/>
      </c>
      <c r="F84">
        <f>IF($W84="","",SUMIFS(상세표[기록 시간외],상세표[사번키],INDEX(합계표[사번키],$W84),상세표[기록월],대상월키))</f>
        <v/>
      </c>
      <c r="G84">
        <f>IF($W84="","",IF(ABS($E84-$F84)&lt;0.01,"일치","불일치(차이 "&amp;TEXT($F84-$E84,"0.00")&amp;")"))</f>
        <v/>
      </c>
      <c r="H84">
        <f>IF($W84="","",SUMIFS(상세표[기록 시간외],상세표[사번키],INDEX(합계표[사번키],$W84),상세표[기록월],대상월키,상세표[반영월],"&lt;&gt;"&amp;대상월키))</f>
        <v/>
      </c>
      <c r="I84">
        <f>IF($W84="","",SUMIFS(상세표[기록 시간외],상세표[사번키],INDEX(합계표[사번키],$W84),상세표[기록월],"&lt;&gt;"&amp;대상월키,상세표[반영월],대상월키))</f>
        <v/>
      </c>
      <c r="J84">
        <f>IF($W84="","",SUMIFS(상세표[기록 시간외],상세표[사번키],INDEX(합계표[사번키],$W84),상세표[반영월],대상월키))</f>
        <v/>
      </c>
      <c r="K84">
        <f>IF($W84="","",IFERROR(INDEX(월별근무지표[적용 급여병원],MATCH(INDEX(합계표[사번키],$W84)&amp;"|"&amp;대상월키,월별근무지표[키],0))&amp;"",IF(COUNTIF(기관표[사번키],INDEX(합계표[사번키],$W84))+COUNTIF(월별근무지표[사번키],INDEX(합계표[사번키],$W84))&gt;0,IFERROR(INDEX(기관표[급여지급병원(기준월)],MATCH(INDEX(합계표[사번키],$W84)&amp;"|"&amp;대상월키,기관표[키],0))&amp;"","—"),"—")))</f>
        <v/>
      </c>
      <c r="L84">
        <f>IF($W84="","",IF(NOT(COUNTIF(기관표[사번키],INDEX(합계표[사번키],$W84))+COUNTIF(월별근무지표[사번키],INDEX(합계표[사번키],$W84))&gt;0),"기관명단에 없음(다른 병원으로 발송)",IF($K84="—","대상월 기관명단 없음(추가 필요)",IF($K84="서울병원","해당","비해당"))))</f>
        <v/>
      </c>
      <c r="M84">
        <f>IF($W84="","",SUMIFS(상세표[06~07시],상세표[사번키],INDEX(합계표[사번키],$W84),상세표[반영월],대상월키,상세표[반영 기관],"서울병원"))</f>
        <v/>
      </c>
      <c r="N84">
        <f>IF($W84="","",SUMIFS(상세표[07~18시],상세표[사번키],INDEX(합계표[사번키],$W84),상세표[반영월],대상월키,상세표[반영 기관],"서울병원"))</f>
        <v/>
      </c>
      <c r="O84">
        <f>IF($W84="","",SUMIFS(상세표[18~22시],상세표[사번키],INDEX(합계표[사번키],$W84),상세표[반영월],대상월키,상세표[반영 기관],"서울병원"))</f>
        <v/>
      </c>
      <c r="P84">
        <f>IF($W84="","",SUMIFS(상세표[22~06시],상세표[사번키],INDEX(합계표[사번키],$W84),상세표[반영월],대상월키,상세표[반영 기관],"서울병원"))</f>
        <v/>
      </c>
      <c r="Q84">
        <f>IF($W84="","",SUM($M84:$P84))</f>
        <v/>
      </c>
      <c r="R84">
        <f>IF($W84="","",COUNTIFS(상세표[사번키],INDEX(합계표[사번키],$W84),상세표[반영월],대상월키,상세표[야간당직],1,상세표[야간 구분],"평일"))</f>
        <v/>
      </c>
      <c r="S84" s="4">
        <f>IF($W84="","",COUNTIFS(상세표[사번키],INDEX(합계표[사번키],$W84),상세표[반영월],대상월키,상세표[야간당직],1,상세표[야간 구분],"휴일"))</f>
        <v/>
      </c>
      <c r="T84">
        <f>IF($W84="","",COUNTIFS(상세표[사번키],INDEX(합계표[사번키],$W84),상세표[반영월],대상월키,상세표[야간당직],1,상세표[야간 구분],"평일",상세표[반영 기관],"서울병원"))</f>
        <v/>
      </c>
      <c r="U84">
        <f>IF($W84="","",COUNTIFS(상세표[사번키],INDEX(합계표[사번키],$W84),상세표[반영월],대상월키,상세표[야간당직],1,상세표[야간 구분],"휴일",상세표[반영 기관],"서울병원"))</f>
        <v/>
      </c>
      <c r="V84">
        <f>IF($W84="","",IF(ISNUMBER(MATCH(INDEX(합계표[사번키],$W84)&amp;"|"&amp;대상월키,월별근무지표[키],0)),"직접 입력",IF($K84="—","—","기관명단")))</f>
        <v/>
      </c>
      <c r="W84">
        <f>IFERROR(MATCH(79,합계표[판정순번],0),"")</f>
        <v/>
      </c>
      <c r="Y84">
        <f>IF($AB84="","",INDEX(상세표[사번],$AB84)&amp;"")</f>
        <v/>
      </c>
      <c r="Z84">
        <f>IF($AB84="","",INDEX(상세표[성명],$AB84)&amp;"")</f>
        <v/>
      </c>
      <c r="AA84">
        <f>IF($AB84="","",SUMIFS(상세표[기록 시간외],상세표[사번키],INDEX(상세표[사번키],$AB84),상세표[반영월],대상월키))</f>
        <v/>
      </c>
      <c r="AB84" s="4">
        <f>IFERROR(MATCH(79,상세표[합계없음순번],0),"")</f>
        <v/>
      </c>
    </row>
    <row r="85">
      <c r="A85">
        <f>IF($W85="","",INDEX(합계표[사번],$W85)&amp;"")</f>
        <v/>
      </c>
      <c r="B85">
        <f>IF($W85="","",INDEX(합계표[성명],$W85)&amp;"")</f>
        <v/>
      </c>
      <c r="C85">
        <f>IF($W85="","",INDEX(합계표[부서],$W85)&amp;"")</f>
        <v/>
      </c>
      <c r="D85">
        <f>IF($W85="","",INDEX(합계표[직위(통합)],$W85)&amp;"")</f>
        <v/>
      </c>
      <c r="E85">
        <f>IF($W85="","",SUMIFS(합계표[시스템 합계],합계표[사번키],INDEX(합계표[사번키],$W85)))</f>
        <v/>
      </c>
      <c r="F85">
        <f>IF($W85="","",SUMIFS(상세표[기록 시간외],상세표[사번키],INDEX(합계표[사번키],$W85),상세표[기록월],대상월키))</f>
        <v/>
      </c>
      <c r="G85">
        <f>IF($W85="","",IF(ABS($E85-$F85)&lt;0.01,"일치","불일치(차이 "&amp;TEXT($F85-$E85,"0.00")&amp;")"))</f>
        <v/>
      </c>
      <c r="H85">
        <f>IF($W85="","",SUMIFS(상세표[기록 시간외],상세표[사번키],INDEX(합계표[사번키],$W85),상세표[기록월],대상월키,상세표[반영월],"&lt;&gt;"&amp;대상월키))</f>
        <v/>
      </c>
      <c r="I85">
        <f>IF($W85="","",SUMIFS(상세표[기록 시간외],상세표[사번키],INDEX(합계표[사번키],$W85),상세표[기록월],"&lt;&gt;"&amp;대상월키,상세표[반영월],대상월키))</f>
        <v/>
      </c>
      <c r="J85">
        <f>IF($W85="","",SUMIFS(상세표[기록 시간외],상세표[사번키],INDEX(합계표[사번키],$W85),상세표[반영월],대상월키))</f>
        <v/>
      </c>
      <c r="K85">
        <f>IF($W85="","",IFERROR(INDEX(월별근무지표[적용 급여병원],MATCH(INDEX(합계표[사번키],$W85)&amp;"|"&amp;대상월키,월별근무지표[키],0))&amp;"",IF(COUNTIF(기관표[사번키],INDEX(합계표[사번키],$W85))+COUNTIF(월별근무지표[사번키],INDEX(합계표[사번키],$W85))&gt;0,IFERROR(INDEX(기관표[급여지급병원(기준월)],MATCH(INDEX(합계표[사번키],$W85)&amp;"|"&amp;대상월키,기관표[키],0))&amp;"","—"),"—")))</f>
        <v/>
      </c>
      <c r="L85">
        <f>IF($W85="","",IF(NOT(COUNTIF(기관표[사번키],INDEX(합계표[사번키],$W85))+COUNTIF(월별근무지표[사번키],INDEX(합계표[사번키],$W85))&gt;0),"기관명단에 없음(다른 병원으로 발송)",IF($K85="—","대상월 기관명단 없음(추가 필요)",IF($K85="서울병원","해당","비해당"))))</f>
        <v/>
      </c>
      <c r="M85">
        <f>IF($W85="","",SUMIFS(상세표[06~07시],상세표[사번키],INDEX(합계표[사번키],$W85),상세표[반영월],대상월키,상세표[반영 기관],"서울병원"))</f>
        <v/>
      </c>
      <c r="N85">
        <f>IF($W85="","",SUMIFS(상세표[07~18시],상세표[사번키],INDEX(합계표[사번키],$W85),상세표[반영월],대상월키,상세표[반영 기관],"서울병원"))</f>
        <v/>
      </c>
      <c r="O85">
        <f>IF($W85="","",SUMIFS(상세표[18~22시],상세표[사번키],INDEX(합계표[사번키],$W85),상세표[반영월],대상월키,상세표[반영 기관],"서울병원"))</f>
        <v/>
      </c>
      <c r="P85">
        <f>IF($W85="","",SUMIFS(상세표[22~06시],상세표[사번키],INDEX(합계표[사번키],$W85),상세표[반영월],대상월키,상세표[반영 기관],"서울병원"))</f>
        <v/>
      </c>
      <c r="Q85">
        <f>IF($W85="","",SUM($M85:$P85))</f>
        <v/>
      </c>
      <c r="R85">
        <f>IF($W85="","",COUNTIFS(상세표[사번키],INDEX(합계표[사번키],$W85),상세표[반영월],대상월키,상세표[야간당직],1,상세표[야간 구분],"평일"))</f>
        <v/>
      </c>
      <c r="S85" s="4">
        <f>IF($W85="","",COUNTIFS(상세표[사번키],INDEX(합계표[사번키],$W85),상세표[반영월],대상월키,상세표[야간당직],1,상세표[야간 구분],"휴일"))</f>
        <v/>
      </c>
      <c r="T85">
        <f>IF($W85="","",COUNTIFS(상세표[사번키],INDEX(합계표[사번키],$W85),상세표[반영월],대상월키,상세표[야간당직],1,상세표[야간 구분],"평일",상세표[반영 기관],"서울병원"))</f>
        <v/>
      </c>
      <c r="U85">
        <f>IF($W85="","",COUNTIFS(상세표[사번키],INDEX(합계표[사번키],$W85),상세표[반영월],대상월키,상세표[야간당직],1,상세표[야간 구분],"휴일",상세표[반영 기관],"서울병원"))</f>
        <v/>
      </c>
      <c r="V85">
        <f>IF($W85="","",IF(ISNUMBER(MATCH(INDEX(합계표[사번키],$W85)&amp;"|"&amp;대상월키,월별근무지표[키],0)),"직접 입력",IF($K85="—","—","기관명단")))</f>
        <v/>
      </c>
      <c r="W85">
        <f>IFERROR(MATCH(80,합계표[판정순번],0),"")</f>
        <v/>
      </c>
      <c r="Y85">
        <f>IF($AB85="","",INDEX(상세표[사번],$AB85)&amp;"")</f>
        <v/>
      </c>
      <c r="Z85">
        <f>IF($AB85="","",INDEX(상세표[성명],$AB85)&amp;"")</f>
        <v/>
      </c>
      <c r="AA85">
        <f>IF($AB85="","",SUMIFS(상세표[기록 시간외],상세표[사번키],INDEX(상세표[사번키],$AB85),상세표[반영월],대상월키))</f>
        <v/>
      </c>
      <c r="AB85" s="4">
        <f>IFERROR(MATCH(80,상세표[합계없음순번],0),"")</f>
        <v/>
      </c>
    </row>
    <row r="86">
      <c r="A86">
        <f>IF($W86="","",INDEX(합계표[사번],$W86)&amp;"")</f>
        <v/>
      </c>
      <c r="B86">
        <f>IF($W86="","",INDEX(합계표[성명],$W86)&amp;"")</f>
        <v/>
      </c>
      <c r="C86">
        <f>IF($W86="","",INDEX(합계표[부서],$W86)&amp;"")</f>
        <v/>
      </c>
      <c r="D86">
        <f>IF($W86="","",INDEX(합계표[직위(통합)],$W86)&amp;"")</f>
        <v/>
      </c>
      <c r="E86">
        <f>IF($W86="","",SUMIFS(합계표[시스템 합계],합계표[사번키],INDEX(합계표[사번키],$W86)))</f>
        <v/>
      </c>
      <c r="F86">
        <f>IF($W86="","",SUMIFS(상세표[기록 시간외],상세표[사번키],INDEX(합계표[사번키],$W86),상세표[기록월],대상월키))</f>
        <v/>
      </c>
      <c r="G86">
        <f>IF($W86="","",IF(ABS($E86-$F86)&lt;0.01,"일치","불일치(차이 "&amp;TEXT($F86-$E86,"0.00")&amp;")"))</f>
        <v/>
      </c>
      <c r="H86">
        <f>IF($W86="","",SUMIFS(상세표[기록 시간외],상세표[사번키],INDEX(합계표[사번키],$W86),상세표[기록월],대상월키,상세표[반영월],"&lt;&gt;"&amp;대상월키))</f>
        <v/>
      </c>
      <c r="I86">
        <f>IF($W86="","",SUMIFS(상세표[기록 시간외],상세표[사번키],INDEX(합계표[사번키],$W86),상세표[기록월],"&lt;&gt;"&amp;대상월키,상세표[반영월],대상월키))</f>
        <v/>
      </c>
      <c r="J86">
        <f>IF($W86="","",SUMIFS(상세표[기록 시간외],상세표[사번키],INDEX(합계표[사번키],$W86),상세표[반영월],대상월키))</f>
        <v/>
      </c>
      <c r="K86">
        <f>IF($W86="","",IFERROR(INDEX(월별근무지표[적용 급여병원],MATCH(INDEX(합계표[사번키],$W86)&amp;"|"&amp;대상월키,월별근무지표[키],0))&amp;"",IF(COUNTIF(기관표[사번키],INDEX(합계표[사번키],$W86))+COUNTIF(월별근무지표[사번키],INDEX(합계표[사번키],$W86))&gt;0,IFERROR(INDEX(기관표[급여지급병원(기준월)],MATCH(INDEX(합계표[사번키],$W86)&amp;"|"&amp;대상월키,기관표[키],0))&amp;"","—"),"—")))</f>
        <v/>
      </c>
      <c r="L86">
        <f>IF($W86="","",IF(NOT(COUNTIF(기관표[사번키],INDEX(합계표[사번키],$W86))+COUNTIF(월별근무지표[사번키],INDEX(합계표[사번키],$W86))&gt;0),"기관명단에 없음(다른 병원으로 발송)",IF($K86="—","대상월 기관명단 없음(추가 필요)",IF($K86="서울병원","해당","비해당"))))</f>
        <v/>
      </c>
      <c r="M86">
        <f>IF($W86="","",SUMIFS(상세표[06~07시],상세표[사번키],INDEX(합계표[사번키],$W86),상세표[반영월],대상월키,상세표[반영 기관],"서울병원"))</f>
        <v/>
      </c>
      <c r="N86">
        <f>IF($W86="","",SUMIFS(상세표[07~18시],상세표[사번키],INDEX(합계표[사번키],$W86),상세표[반영월],대상월키,상세표[반영 기관],"서울병원"))</f>
        <v/>
      </c>
      <c r="O86">
        <f>IF($W86="","",SUMIFS(상세표[18~22시],상세표[사번키],INDEX(합계표[사번키],$W86),상세표[반영월],대상월키,상세표[반영 기관],"서울병원"))</f>
        <v/>
      </c>
      <c r="P86">
        <f>IF($W86="","",SUMIFS(상세표[22~06시],상세표[사번키],INDEX(합계표[사번키],$W86),상세표[반영월],대상월키,상세표[반영 기관],"서울병원"))</f>
        <v/>
      </c>
      <c r="Q86">
        <f>IF($W86="","",SUM($M86:$P86))</f>
        <v/>
      </c>
      <c r="R86">
        <f>IF($W86="","",COUNTIFS(상세표[사번키],INDEX(합계표[사번키],$W86),상세표[반영월],대상월키,상세표[야간당직],1,상세표[야간 구분],"평일"))</f>
        <v/>
      </c>
      <c r="S86" s="4">
        <f>IF($W86="","",COUNTIFS(상세표[사번키],INDEX(합계표[사번키],$W86),상세표[반영월],대상월키,상세표[야간당직],1,상세표[야간 구분],"휴일"))</f>
        <v/>
      </c>
      <c r="T86">
        <f>IF($W86="","",COUNTIFS(상세표[사번키],INDEX(합계표[사번키],$W86),상세표[반영월],대상월키,상세표[야간당직],1,상세표[야간 구분],"평일",상세표[반영 기관],"서울병원"))</f>
        <v/>
      </c>
      <c r="U86">
        <f>IF($W86="","",COUNTIFS(상세표[사번키],INDEX(합계표[사번키],$W86),상세표[반영월],대상월키,상세표[야간당직],1,상세표[야간 구분],"휴일",상세표[반영 기관],"서울병원"))</f>
        <v/>
      </c>
      <c r="V86">
        <f>IF($W86="","",IF(ISNUMBER(MATCH(INDEX(합계표[사번키],$W86)&amp;"|"&amp;대상월키,월별근무지표[키],0)),"직접 입력",IF($K86="—","—","기관명단")))</f>
        <v/>
      </c>
      <c r="W86">
        <f>IFERROR(MATCH(81,합계표[판정순번],0),"")</f>
        <v/>
      </c>
      <c r="Y86">
        <f>IF($AB86="","",INDEX(상세표[사번],$AB86)&amp;"")</f>
        <v/>
      </c>
      <c r="Z86">
        <f>IF($AB86="","",INDEX(상세표[성명],$AB86)&amp;"")</f>
        <v/>
      </c>
      <c r="AA86">
        <f>IF($AB86="","",SUMIFS(상세표[기록 시간외],상세표[사번키],INDEX(상세표[사번키],$AB86),상세표[반영월],대상월키))</f>
        <v/>
      </c>
      <c r="AB86" s="4">
        <f>IFERROR(MATCH(81,상세표[합계없음순번],0),"")</f>
        <v/>
      </c>
    </row>
    <row r="87">
      <c r="A87">
        <f>IF($W87="","",INDEX(합계표[사번],$W87)&amp;"")</f>
        <v/>
      </c>
      <c r="B87">
        <f>IF($W87="","",INDEX(합계표[성명],$W87)&amp;"")</f>
        <v/>
      </c>
      <c r="C87">
        <f>IF($W87="","",INDEX(합계표[부서],$W87)&amp;"")</f>
        <v/>
      </c>
      <c r="D87">
        <f>IF($W87="","",INDEX(합계표[직위(통합)],$W87)&amp;"")</f>
        <v/>
      </c>
      <c r="E87">
        <f>IF($W87="","",SUMIFS(합계표[시스템 합계],합계표[사번키],INDEX(합계표[사번키],$W87)))</f>
        <v/>
      </c>
      <c r="F87">
        <f>IF($W87="","",SUMIFS(상세표[기록 시간외],상세표[사번키],INDEX(합계표[사번키],$W87),상세표[기록월],대상월키))</f>
        <v/>
      </c>
      <c r="G87">
        <f>IF($W87="","",IF(ABS($E87-$F87)&lt;0.01,"일치","불일치(차이 "&amp;TEXT($F87-$E87,"0.00")&amp;")"))</f>
        <v/>
      </c>
      <c r="H87">
        <f>IF($W87="","",SUMIFS(상세표[기록 시간외],상세표[사번키],INDEX(합계표[사번키],$W87),상세표[기록월],대상월키,상세표[반영월],"&lt;&gt;"&amp;대상월키))</f>
        <v/>
      </c>
      <c r="I87">
        <f>IF($W87="","",SUMIFS(상세표[기록 시간외],상세표[사번키],INDEX(합계표[사번키],$W87),상세표[기록월],"&lt;&gt;"&amp;대상월키,상세표[반영월],대상월키))</f>
        <v/>
      </c>
      <c r="J87">
        <f>IF($W87="","",SUMIFS(상세표[기록 시간외],상세표[사번키],INDEX(합계표[사번키],$W87),상세표[반영월],대상월키))</f>
        <v/>
      </c>
      <c r="K87">
        <f>IF($W87="","",IFERROR(INDEX(월별근무지표[적용 급여병원],MATCH(INDEX(합계표[사번키],$W87)&amp;"|"&amp;대상월키,월별근무지표[키],0))&amp;"",IF(COUNTIF(기관표[사번키],INDEX(합계표[사번키],$W87))+COUNTIF(월별근무지표[사번키],INDEX(합계표[사번키],$W87))&gt;0,IFERROR(INDEX(기관표[급여지급병원(기준월)],MATCH(INDEX(합계표[사번키],$W87)&amp;"|"&amp;대상월키,기관표[키],0))&amp;"","—"),"—")))</f>
        <v/>
      </c>
      <c r="L87">
        <f>IF($W87="","",IF(NOT(COUNTIF(기관표[사번키],INDEX(합계표[사번키],$W87))+COUNTIF(월별근무지표[사번키],INDEX(합계표[사번키],$W87))&gt;0),"기관명단에 없음(다른 병원으로 발송)",IF($K87="—","대상월 기관명단 없음(추가 필요)",IF($K87="서울병원","해당","비해당"))))</f>
        <v/>
      </c>
      <c r="M87">
        <f>IF($W87="","",SUMIFS(상세표[06~07시],상세표[사번키],INDEX(합계표[사번키],$W87),상세표[반영월],대상월키,상세표[반영 기관],"서울병원"))</f>
        <v/>
      </c>
      <c r="N87">
        <f>IF($W87="","",SUMIFS(상세표[07~18시],상세표[사번키],INDEX(합계표[사번키],$W87),상세표[반영월],대상월키,상세표[반영 기관],"서울병원"))</f>
        <v/>
      </c>
      <c r="O87">
        <f>IF($W87="","",SUMIFS(상세표[18~22시],상세표[사번키],INDEX(합계표[사번키],$W87),상세표[반영월],대상월키,상세표[반영 기관],"서울병원"))</f>
        <v/>
      </c>
      <c r="P87">
        <f>IF($W87="","",SUMIFS(상세표[22~06시],상세표[사번키],INDEX(합계표[사번키],$W87),상세표[반영월],대상월키,상세표[반영 기관],"서울병원"))</f>
        <v/>
      </c>
      <c r="Q87">
        <f>IF($W87="","",SUM($M87:$P87))</f>
        <v/>
      </c>
      <c r="R87">
        <f>IF($W87="","",COUNTIFS(상세표[사번키],INDEX(합계표[사번키],$W87),상세표[반영월],대상월키,상세표[야간당직],1,상세표[야간 구분],"평일"))</f>
        <v/>
      </c>
      <c r="S87" s="4">
        <f>IF($W87="","",COUNTIFS(상세표[사번키],INDEX(합계표[사번키],$W87),상세표[반영월],대상월키,상세표[야간당직],1,상세표[야간 구분],"휴일"))</f>
        <v/>
      </c>
      <c r="T87">
        <f>IF($W87="","",COUNTIFS(상세표[사번키],INDEX(합계표[사번키],$W87),상세표[반영월],대상월키,상세표[야간당직],1,상세표[야간 구분],"평일",상세표[반영 기관],"서울병원"))</f>
        <v/>
      </c>
      <c r="U87">
        <f>IF($W87="","",COUNTIFS(상세표[사번키],INDEX(합계표[사번키],$W87),상세표[반영월],대상월키,상세표[야간당직],1,상세표[야간 구분],"휴일",상세표[반영 기관],"서울병원"))</f>
        <v/>
      </c>
      <c r="V87">
        <f>IF($W87="","",IF(ISNUMBER(MATCH(INDEX(합계표[사번키],$W87)&amp;"|"&amp;대상월키,월별근무지표[키],0)),"직접 입력",IF($K87="—","—","기관명단")))</f>
        <v/>
      </c>
      <c r="W87">
        <f>IFERROR(MATCH(82,합계표[판정순번],0),"")</f>
        <v/>
      </c>
      <c r="Y87">
        <f>IF($AB87="","",INDEX(상세표[사번],$AB87)&amp;"")</f>
        <v/>
      </c>
      <c r="Z87">
        <f>IF($AB87="","",INDEX(상세표[성명],$AB87)&amp;"")</f>
        <v/>
      </c>
      <c r="AA87">
        <f>IF($AB87="","",SUMIFS(상세표[기록 시간외],상세표[사번키],INDEX(상세표[사번키],$AB87),상세표[반영월],대상월키))</f>
        <v/>
      </c>
      <c r="AB87" s="4">
        <f>IFERROR(MATCH(82,상세표[합계없음순번],0),"")</f>
        <v/>
      </c>
    </row>
    <row r="88">
      <c r="A88">
        <f>IF($W88="","",INDEX(합계표[사번],$W88)&amp;"")</f>
        <v/>
      </c>
      <c r="B88">
        <f>IF($W88="","",INDEX(합계표[성명],$W88)&amp;"")</f>
        <v/>
      </c>
      <c r="C88">
        <f>IF($W88="","",INDEX(합계표[부서],$W88)&amp;"")</f>
        <v/>
      </c>
      <c r="D88">
        <f>IF($W88="","",INDEX(합계표[직위(통합)],$W88)&amp;"")</f>
        <v/>
      </c>
      <c r="E88">
        <f>IF($W88="","",SUMIFS(합계표[시스템 합계],합계표[사번키],INDEX(합계표[사번키],$W88)))</f>
        <v/>
      </c>
      <c r="F88">
        <f>IF($W88="","",SUMIFS(상세표[기록 시간외],상세표[사번키],INDEX(합계표[사번키],$W88),상세표[기록월],대상월키))</f>
        <v/>
      </c>
      <c r="G88">
        <f>IF($W88="","",IF(ABS($E88-$F88)&lt;0.01,"일치","불일치(차이 "&amp;TEXT($F88-$E88,"0.00")&amp;")"))</f>
        <v/>
      </c>
      <c r="H88">
        <f>IF($W88="","",SUMIFS(상세표[기록 시간외],상세표[사번키],INDEX(합계표[사번키],$W88),상세표[기록월],대상월키,상세표[반영월],"&lt;&gt;"&amp;대상월키))</f>
        <v/>
      </c>
      <c r="I88">
        <f>IF($W88="","",SUMIFS(상세표[기록 시간외],상세표[사번키],INDEX(합계표[사번키],$W88),상세표[기록월],"&lt;&gt;"&amp;대상월키,상세표[반영월],대상월키))</f>
        <v/>
      </c>
      <c r="J88">
        <f>IF($W88="","",SUMIFS(상세표[기록 시간외],상세표[사번키],INDEX(합계표[사번키],$W88),상세표[반영월],대상월키))</f>
        <v/>
      </c>
      <c r="K88">
        <f>IF($W88="","",IFERROR(INDEX(월별근무지표[적용 급여병원],MATCH(INDEX(합계표[사번키],$W88)&amp;"|"&amp;대상월키,월별근무지표[키],0))&amp;"",IF(COUNTIF(기관표[사번키],INDEX(합계표[사번키],$W88))+COUNTIF(월별근무지표[사번키],INDEX(합계표[사번키],$W88))&gt;0,IFERROR(INDEX(기관표[급여지급병원(기준월)],MATCH(INDEX(합계표[사번키],$W88)&amp;"|"&amp;대상월키,기관표[키],0))&amp;"","—"),"—")))</f>
        <v/>
      </c>
      <c r="L88">
        <f>IF($W88="","",IF(NOT(COUNTIF(기관표[사번키],INDEX(합계표[사번키],$W88))+COUNTIF(월별근무지표[사번키],INDEX(합계표[사번키],$W88))&gt;0),"기관명단에 없음(다른 병원으로 발송)",IF($K88="—","대상월 기관명단 없음(추가 필요)",IF($K88="서울병원","해당","비해당"))))</f>
        <v/>
      </c>
      <c r="M88">
        <f>IF($W88="","",SUMIFS(상세표[06~07시],상세표[사번키],INDEX(합계표[사번키],$W88),상세표[반영월],대상월키,상세표[반영 기관],"서울병원"))</f>
        <v/>
      </c>
      <c r="N88">
        <f>IF($W88="","",SUMIFS(상세표[07~18시],상세표[사번키],INDEX(합계표[사번키],$W88),상세표[반영월],대상월키,상세표[반영 기관],"서울병원"))</f>
        <v/>
      </c>
      <c r="O88">
        <f>IF($W88="","",SUMIFS(상세표[18~22시],상세표[사번키],INDEX(합계표[사번키],$W88),상세표[반영월],대상월키,상세표[반영 기관],"서울병원"))</f>
        <v/>
      </c>
      <c r="P88">
        <f>IF($W88="","",SUMIFS(상세표[22~06시],상세표[사번키],INDEX(합계표[사번키],$W88),상세표[반영월],대상월키,상세표[반영 기관],"서울병원"))</f>
        <v/>
      </c>
      <c r="Q88">
        <f>IF($W88="","",SUM($M88:$P88))</f>
        <v/>
      </c>
      <c r="R88">
        <f>IF($W88="","",COUNTIFS(상세표[사번키],INDEX(합계표[사번키],$W88),상세표[반영월],대상월키,상세표[야간당직],1,상세표[야간 구분],"평일"))</f>
        <v/>
      </c>
      <c r="S88" s="4">
        <f>IF($W88="","",COUNTIFS(상세표[사번키],INDEX(합계표[사번키],$W88),상세표[반영월],대상월키,상세표[야간당직],1,상세표[야간 구분],"휴일"))</f>
        <v/>
      </c>
      <c r="T88">
        <f>IF($W88="","",COUNTIFS(상세표[사번키],INDEX(합계표[사번키],$W88),상세표[반영월],대상월키,상세표[야간당직],1,상세표[야간 구분],"평일",상세표[반영 기관],"서울병원"))</f>
        <v/>
      </c>
      <c r="U88">
        <f>IF($W88="","",COUNTIFS(상세표[사번키],INDEX(합계표[사번키],$W88),상세표[반영월],대상월키,상세표[야간당직],1,상세표[야간 구분],"휴일",상세표[반영 기관],"서울병원"))</f>
        <v/>
      </c>
      <c r="V88">
        <f>IF($W88="","",IF(ISNUMBER(MATCH(INDEX(합계표[사번키],$W88)&amp;"|"&amp;대상월키,월별근무지표[키],0)),"직접 입력",IF($K88="—","—","기관명단")))</f>
        <v/>
      </c>
      <c r="W88">
        <f>IFERROR(MATCH(83,합계표[판정순번],0),"")</f>
        <v/>
      </c>
      <c r="Y88">
        <f>IF($AB88="","",INDEX(상세표[사번],$AB88)&amp;"")</f>
        <v/>
      </c>
      <c r="Z88">
        <f>IF($AB88="","",INDEX(상세표[성명],$AB88)&amp;"")</f>
        <v/>
      </c>
      <c r="AA88">
        <f>IF($AB88="","",SUMIFS(상세표[기록 시간외],상세표[사번키],INDEX(상세표[사번키],$AB88),상세표[반영월],대상월키))</f>
        <v/>
      </c>
      <c r="AB88" s="4">
        <f>IFERROR(MATCH(83,상세표[합계없음순번],0),"")</f>
        <v/>
      </c>
    </row>
    <row r="89">
      <c r="A89">
        <f>IF($W89="","",INDEX(합계표[사번],$W89)&amp;"")</f>
        <v/>
      </c>
      <c r="B89">
        <f>IF($W89="","",INDEX(합계표[성명],$W89)&amp;"")</f>
        <v/>
      </c>
      <c r="C89">
        <f>IF($W89="","",INDEX(합계표[부서],$W89)&amp;"")</f>
        <v/>
      </c>
      <c r="D89">
        <f>IF($W89="","",INDEX(합계표[직위(통합)],$W89)&amp;"")</f>
        <v/>
      </c>
      <c r="E89">
        <f>IF($W89="","",SUMIFS(합계표[시스템 합계],합계표[사번키],INDEX(합계표[사번키],$W89)))</f>
        <v/>
      </c>
      <c r="F89">
        <f>IF($W89="","",SUMIFS(상세표[기록 시간외],상세표[사번키],INDEX(합계표[사번키],$W89),상세표[기록월],대상월키))</f>
        <v/>
      </c>
      <c r="G89">
        <f>IF($W89="","",IF(ABS($E89-$F89)&lt;0.01,"일치","불일치(차이 "&amp;TEXT($F89-$E89,"0.00")&amp;")"))</f>
        <v/>
      </c>
      <c r="H89">
        <f>IF($W89="","",SUMIFS(상세표[기록 시간외],상세표[사번키],INDEX(합계표[사번키],$W89),상세표[기록월],대상월키,상세표[반영월],"&lt;&gt;"&amp;대상월키))</f>
        <v/>
      </c>
      <c r="I89">
        <f>IF($W89="","",SUMIFS(상세표[기록 시간외],상세표[사번키],INDEX(합계표[사번키],$W89),상세표[기록월],"&lt;&gt;"&amp;대상월키,상세표[반영월],대상월키))</f>
        <v/>
      </c>
      <c r="J89">
        <f>IF($W89="","",SUMIFS(상세표[기록 시간외],상세표[사번키],INDEX(합계표[사번키],$W89),상세표[반영월],대상월키))</f>
        <v/>
      </c>
      <c r="K89">
        <f>IF($W89="","",IFERROR(INDEX(월별근무지표[적용 급여병원],MATCH(INDEX(합계표[사번키],$W89)&amp;"|"&amp;대상월키,월별근무지표[키],0))&amp;"",IF(COUNTIF(기관표[사번키],INDEX(합계표[사번키],$W89))+COUNTIF(월별근무지표[사번키],INDEX(합계표[사번키],$W89))&gt;0,IFERROR(INDEX(기관표[급여지급병원(기준월)],MATCH(INDEX(합계표[사번키],$W89)&amp;"|"&amp;대상월키,기관표[키],0))&amp;"","—"),"—")))</f>
        <v/>
      </c>
      <c r="L89">
        <f>IF($W89="","",IF(NOT(COUNTIF(기관표[사번키],INDEX(합계표[사번키],$W89))+COUNTIF(월별근무지표[사번키],INDEX(합계표[사번키],$W89))&gt;0),"기관명단에 없음(다른 병원으로 발송)",IF($K89="—","대상월 기관명단 없음(추가 필요)",IF($K89="서울병원","해당","비해당"))))</f>
        <v/>
      </c>
      <c r="M89">
        <f>IF($W89="","",SUMIFS(상세표[06~07시],상세표[사번키],INDEX(합계표[사번키],$W89),상세표[반영월],대상월키,상세표[반영 기관],"서울병원"))</f>
        <v/>
      </c>
      <c r="N89">
        <f>IF($W89="","",SUMIFS(상세표[07~18시],상세표[사번키],INDEX(합계표[사번키],$W89),상세표[반영월],대상월키,상세표[반영 기관],"서울병원"))</f>
        <v/>
      </c>
      <c r="O89">
        <f>IF($W89="","",SUMIFS(상세표[18~22시],상세표[사번키],INDEX(합계표[사번키],$W89),상세표[반영월],대상월키,상세표[반영 기관],"서울병원"))</f>
        <v/>
      </c>
      <c r="P89">
        <f>IF($W89="","",SUMIFS(상세표[22~06시],상세표[사번키],INDEX(합계표[사번키],$W89),상세표[반영월],대상월키,상세표[반영 기관],"서울병원"))</f>
        <v/>
      </c>
      <c r="Q89">
        <f>IF($W89="","",SUM($M89:$P89))</f>
        <v/>
      </c>
      <c r="R89">
        <f>IF($W89="","",COUNTIFS(상세표[사번키],INDEX(합계표[사번키],$W89),상세표[반영월],대상월키,상세표[야간당직],1,상세표[야간 구분],"평일"))</f>
        <v/>
      </c>
      <c r="S89" s="4">
        <f>IF($W89="","",COUNTIFS(상세표[사번키],INDEX(합계표[사번키],$W89),상세표[반영월],대상월키,상세표[야간당직],1,상세표[야간 구분],"휴일"))</f>
        <v/>
      </c>
      <c r="T89">
        <f>IF($W89="","",COUNTIFS(상세표[사번키],INDEX(합계표[사번키],$W89),상세표[반영월],대상월키,상세표[야간당직],1,상세표[야간 구분],"평일",상세표[반영 기관],"서울병원"))</f>
        <v/>
      </c>
      <c r="U89">
        <f>IF($W89="","",COUNTIFS(상세표[사번키],INDEX(합계표[사번키],$W89),상세표[반영월],대상월키,상세표[야간당직],1,상세표[야간 구분],"휴일",상세표[반영 기관],"서울병원"))</f>
        <v/>
      </c>
      <c r="V89">
        <f>IF($W89="","",IF(ISNUMBER(MATCH(INDEX(합계표[사번키],$W89)&amp;"|"&amp;대상월키,월별근무지표[키],0)),"직접 입력",IF($K89="—","—","기관명단")))</f>
        <v/>
      </c>
      <c r="W89">
        <f>IFERROR(MATCH(84,합계표[판정순번],0),"")</f>
        <v/>
      </c>
      <c r="Y89">
        <f>IF($AB89="","",INDEX(상세표[사번],$AB89)&amp;"")</f>
        <v/>
      </c>
      <c r="Z89">
        <f>IF($AB89="","",INDEX(상세표[성명],$AB89)&amp;"")</f>
        <v/>
      </c>
      <c r="AA89">
        <f>IF($AB89="","",SUMIFS(상세표[기록 시간외],상세표[사번키],INDEX(상세표[사번키],$AB89),상세표[반영월],대상월키))</f>
        <v/>
      </c>
      <c r="AB89" s="4">
        <f>IFERROR(MATCH(84,상세표[합계없음순번],0),"")</f>
        <v/>
      </c>
    </row>
    <row r="90">
      <c r="A90">
        <f>IF($W90="","",INDEX(합계표[사번],$W90)&amp;"")</f>
        <v/>
      </c>
      <c r="B90">
        <f>IF($W90="","",INDEX(합계표[성명],$W90)&amp;"")</f>
        <v/>
      </c>
      <c r="C90">
        <f>IF($W90="","",INDEX(합계표[부서],$W90)&amp;"")</f>
        <v/>
      </c>
      <c r="D90">
        <f>IF($W90="","",INDEX(합계표[직위(통합)],$W90)&amp;"")</f>
        <v/>
      </c>
      <c r="E90">
        <f>IF($W90="","",SUMIFS(합계표[시스템 합계],합계표[사번키],INDEX(합계표[사번키],$W90)))</f>
        <v/>
      </c>
      <c r="F90">
        <f>IF($W90="","",SUMIFS(상세표[기록 시간외],상세표[사번키],INDEX(합계표[사번키],$W90),상세표[기록월],대상월키))</f>
        <v/>
      </c>
      <c r="G90">
        <f>IF($W90="","",IF(ABS($E90-$F90)&lt;0.01,"일치","불일치(차이 "&amp;TEXT($F90-$E90,"0.00")&amp;")"))</f>
        <v/>
      </c>
      <c r="H90">
        <f>IF($W90="","",SUMIFS(상세표[기록 시간외],상세표[사번키],INDEX(합계표[사번키],$W90),상세표[기록월],대상월키,상세표[반영월],"&lt;&gt;"&amp;대상월키))</f>
        <v/>
      </c>
      <c r="I90">
        <f>IF($W90="","",SUMIFS(상세표[기록 시간외],상세표[사번키],INDEX(합계표[사번키],$W90),상세표[기록월],"&lt;&gt;"&amp;대상월키,상세표[반영월],대상월키))</f>
        <v/>
      </c>
      <c r="J90">
        <f>IF($W90="","",SUMIFS(상세표[기록 시간외],상세표[사번키],INDEX(합계표[사번키],$W90),상세표[반영월],대상월키))</f>
        <v/>
      </c>
      <c r="K90">
        <f>IF($W90="","",IFERROR(INDEX(월별근무지표[적용 급여병원],MATCH(INDEX(합계표[사번키],$W90)&amp;"|"&amp;대상월키,월별근무지표[키],0))&amp;"",IF(COUNTIF(기관표[사번키],INDEX(합계표[사번키],$W90))+COUNTIF(월별근무지표[사번키],INDEX(합계표[사번키],$W90))&gt;0,IFERROR(INDEX(기관표[급여지급병원(기준월)],MATCH(INDEX(합계표[사번키],$W90)&amp;"|"&amp;대상월키,기관표[키],0))&amp;"","—"),"—")))</f>
        <v/>
      </c>
      <c r="L90">
        <f>IF($W90="","",IF(NOT(COUNTIF(기관표[사번키],INDEX(합계표[사번키],$W90))+COUNTIF(월별근무지표[사번키],INDEX(합계표[사번키],$W90))&gt;0),"기관명단에 없음(다른 병원으로 발송)",IF($K90="—","대상월 기관명단 없음(추가 필요)",IF($K90="서울병원","해당","비해당"))))</f>
        <v/>
      </c>
      <c r="M90">
        <f>IF($W90="","",SUMIFS(상세표[06~07시],상세표[사번키],INDEX(합계표[사번키],$W90),상세표[반영월],대상월키,상세표[반영 기관],"서울병원"))</f>
        <v/>
      </c>
      <c r="N90">
        <f>IF($W90="","",SUMIFS(상세표[07~18시],상세표[사번키],INDEX(합계표[사번키],$W90),상세표[반영월],대상월키,상세표[반영 기관],"서울병원"))</f>
        <v/>
      </c>
      <c r="O90">
        <f>IF($W90="","",SUMIFS(상세표[18~22시],상세표[사번키],INDEX(합계표[사번키],$W90),상세표[반영월],대상월키,상세표[반영 기관],"서울병원"))</f>
        <v/>
      </c>
      <c r="P90">
        <f>IF($W90="","",SUMIFS(상세표[22~06시],상세표[사번키],INDEX(합계표[사번키],$W90),상세표[반영월],대상월키,상세표[반영 기관],"서울병원"))</f>
        <v/>
      </c>
      <c r="Q90">
        <f>IF($W90="","",SUM($M90:$P90))</f>
        <v/>
      </c>
      <c r="R90">
        <f>IF($W90="","",COUNTIFS(상세표[사번키],INDEX(합계표[사번키],$W90),상세표[반영월],대상월키,상세표[야간당직],1,상세표[야간 구분],"평일"))</f>
        <v/>
      </c>
      <c r="S90" s="4">
        <f>IF($W90="","",COUNTIFS(상세표[사번키],INDEX(합계표[사번키],$W90),상세표[반영월],대상월키,상세표[야간당직],1,상세표[야간 구분],"휴일"))</f>
        <v/>
      </c>
      <c r="T90">
        <f>IF($W90="","",COUNTIFS(상세표[사번키],INDEX(합계표[사번키],$W90),상세표[반영월],대상월키,상세표[야간당직],1,상세표[야간 구분],"평일",상세표[반영 기관],"서울병원"))</f>
        <v/>
      </c>
      <c r="U90">
        <f>IF($W90="","",COUNTIFS(상세표[사번키],INDEX(합계표[사번키],$W90),상세표[반영월],대상월키,상세표[야간당직],1,상세표[야간 구분],"휴일",상세표[반영 기관],"서울병원"))</f>
        <v/>
      </c>
      <c r="V90">
        <f>IF($W90="","",IF(ISNUMBER(MATCH(INDEX(합계표[사번키],$W90)&amp;"|"&amp;대상월키,월별근무지표[키],0)),"직접 입력",IF($K90="—","—","기관명단")))</f>
        <v/>
      </c>
      <c r="W90">
        <f>IFERROR(MATCH(85,합계표[판정순번],0),"")</f>
        <v/>
      </c>
      <c r="Y90">
        <f>IF($AB90="","",INDEX(상세표[사번],$AB90)&amp;"")</f>
        <v/>
      </c>
      <c r="Z90">
        <f>IF($AB90="","",INDEX(상세표[성명],$AB90)&amp;"")</f>
        <v/>
      </c>
      <c r="AA90">
        <f>IF($AB90="","",SUMIFS(상세표[기록 시간외],상세표[사번키],INDEX(상세표[사번키],$AB90),상세표[반영월],대상월키))</f>
        <v/>
      </c>
      <c r="AB90" s="4">
        <f>IFERROR(MATCH(85,상세표[합계없음순번],0),"")</f>
        <v/>
      </c>
    </row>
    <row r="91">
      <c r="A91">
        <f>IF($W91="","",INDEX(합계표[사번],$W91)&amp;"")</f>
        <v/>
      </c>
      <c r="B91">
        <f>IF($W91="","",INDEX(합계표[성명],$W91)&amp;"")</f>
        <v/>
      </c>
      <c r="C91">
        <f>IF($W91="","",INDEX(합계표[부서],$W91)&amp;"")</f>
        <v/>
      </c>
      <c r="D91">
        <f>IF($W91="","",INDEX(합계표[직위(통합)],$W91)&amp;"")</f>
        <v/>
      </c>
      <c r="E91">
        <f>IF($W91="","",SUMIFS(합계표[시스템 합계],합계표[사번키],INDEX(합계표[사번키],$W91)))</f>
        <v/>
      </c>
      <c r="F91">
        <f>IF($W91="","",SUMIFS(상세표[기록 시간외],상세표[사번키],INDEX(합계표[사번키],$W91),상세표[기록월],대상월키))</f>
        <v/>
      </c>
      <c r="G91">
        <f>IF($W91="","",IF(ABS($E91-$F91)&lt;0.01,"일치","불일치(차이 "&amp;TEXT($F91-$E91,"0.00")&amp;")"))</f>
        <v/>
      </c>
      <c r="H91">
        <f>IF($W91="","",SUMIFS(상세표[기록 시간외],상세표[사번키],INDEX(합계표[사번키],$W91),상세표[기록월],대상월키,상세표[반영월],"&lt;&gt;"&amp;대상월키))</f>
        <v/>
      </c>
      <c r="I91">
        <f>IF($W91="","",SUMIFS(상세표[기록 시간외],상세표[사번키],INDEX(합계표[사번키],$W91),상세표[기록월],"&lt;&gt;"&amp;대상월키,상세표[반영월],대상월키))</f>
        <v/>
      </c>
      <c r="J91">
        <f>IF($W91="","",SUMIFS(상세표[기록 시간외],상세표[사번키],INDEX(합계표[사번키],$W91),상세표[반영월],대상월키))</f>
        <v/>
      </c>
      <c r="K91">
        <f>IF($W91="","",IFERROR(INDEX(월별근무지표[적용 급여병원],MATCH(INDEX(합계표[사번키],$W91)&amp;"|"&amp;대상월키,월별근무지표[키],0))&amp;"",IF(COUNTIF(기관표[사번키],INDEX(합계표[사번키],$W91))+COUNTIF(월별근무지표[사번키],INDEX(합계표[사번키],$W91))&gt;0,IFERROR(INDEX(기관표[급여지급병원(기준월)],MATCH(INDEX(합계표[사번키],$W91)&amp;"|"&amp;대상월키,기관표[키],0))&amp;"","—"),"—")))</f>
        <v/>
      </c>
      <c r="L91">
        <f>IF($W91="","",IF(NOT(COUNTIF(기관표[사번키],INDEX(합계표[사번키],$W91))+COUNTIF(월별근무지표[사번키],INDEX(합계표[사번키],$W91))&gt;0),"기관명단에 없음(다른 병원으로 발송)",IF($K91="—","대상월 기관명단 없음(추가 필요)",IF($K91="서울병원","해당","비해당"))))</f>
        <v/>
      </c>
      <c r="M91">
        <f>IF($W91="","",SUMIFS(상세표[06~07시],상세표[사번키],INDEX(합계표[사번키],$W91),상세표[반영월],대상월키,상세표[반영 기관],"서울병원"))</f>
        <v/>
      </c>
      <c r="N91">
        <f>IF($W91="","",SUMIFS(상세표[07~18시],상세표[사번키],INDEX(합계표[사번키],$W91),상세표[반영월],대상월키,상세표[반영 기관],"서울병원"))</f>
        <v/>
      </c>
      <c r="O91">
        <f>IF($W91="","",SUMIFS(상세표[18~22시],상세표[사번키],INDEX(합계표[사번키],$W91),상세표[반영월],대상월키,상세표[반영 기관],"서울병원"))</f>
        <v/>
      </c>
      <c r="P91">
        <f>IF($W91="","",SUMIFS(상세표[22~06시],상세표[사번키],INDEX(합계표[사번키],$W91),상세표[반영월],대상월키,상세표[반영 기관],"서울병원"))</f>
        <v/>
      </c>
      <c r="Q91">
        <f>IF($W91="","",SUM($M91:$P91))</f>
        <v/>
      </c>
      <c r="R91">
        <f>IF($W91="","",COUNTIFS(상세표[사번키],INDEX(합계표[사번키],$W91),상세표[반영월],대상월키,상세표[야간당직],1,상세표[야간 구분],"평일"))</f>
        <v/>
      </c>
      <c r="S91" s="4">
        <f>IF($W91="","",COUNTIFS(상세표[사번키],INDEX(합계표[사번키],$W91),상세표[반영월],대상월키,상세표[야간당직],1,상세표[야간 구분],"휴일"))</f>
        <v/>
      </c>
      <c r="T91">
        <f>IF($W91="","",COUNTIFS(상세표[사번키],INDEX(합계표[사번키],$W91),상세표[반영월],대상월키,상세표[야간당직],1,상세표[야간 구분],"평일",상세표[반영 기관],"서울병원"))</f>
        <v/>
      </c>
      <c r="U91">
        <f>IF($W91="","",COUNTIFS(상세표[사번키],INDEX(합계표[사번키],$W91),상세표[반영월],대상월키,상세표[야간당직],1,상세표[야간 구분],"휴일",상세표[반영 기관],"서울병원"))</f>
        <v/>
      </c>
      <c r="V91">
        <f>IF($W91="","",IF(ISNUMBER(MATCH(INDEX(합계표[사번키],$W91)&amp;"|"&amp;대상월키,월별근무지표[키],0)),"직접 입력",IF($K91="—","—","기관명단")))</f>
        <v/>
      </c>
      <c r="W91">
        <f>IFERROR(MATCH(86,합계표[판정순번],0),"")</f>
        <v/>
      </c>
      <c r="Y91">
        <f>IF($AB91="","",INDEX(상세표[사번],$AB91)&amp;"")</f>
        <v/>
      </c>
      <c r="Z91">
        <f>IF($AB91="","",INDEX(상세표[성명],$AB91)&amp;"")</f>
        <v/>
      </c>
      <c r="AA91">
        <f>IF($AB91="","",SUMIFS(상세표[기록 시간외],상세표[사번키],INDEX(상세표[사번키],$AB91),상세표[반영월],대상월키))</f>
        <v/>
      </c>
      <c r="AB91" s="4">
        <f>IFERROR(MATCH(86,상세표[합계없음순번],0),"")</f>
        <v/>
      </c>
    </row>
    <row r="92">
      <c r="A92">
        <f>IF($W92="","",INDEX(합계표[사번],$W92)&amp;"")</f>
        <v/>
      </c>
      <c r="B92">
        <f>IF($W92="","",INDEX(합계표[성명],$W92)&amp;"")</f>
        <v/>
      </c>
      <c r="C92">
        <f>IF($W92="","",INDEX(합계표[부서],$W92)&amp;"")</f>
        <v/>
      </c>
      <c r="D92">
        <f>IF($W92="","",INDEX(합계표[직위(통합)],$W92)&amp;"")</f>
        <v/>
      </c>
      <c r="E92">
        <f>IF($W92="","",SUMIFS(합계표[시스템 합계],합계표[사번키],INDEX(합계표[사번키],$W92)))</f>
        <v/>
      </c>
      <c r="F92">
        <f>IF($W92="","",SUMIFS(상세표[기록 시간외],상세표[사번키],INDEX(합계표[사번키],$W92),상세표[기록월],대상월키))</f>
        <v/>
      </c>
      <c r="G92">
        <f>IF($W92="","",IF(ABS($E92-$F92)&lt;0.01,"일치","불일치(차이 "&amp;TEXT($F92-$E92,"0.00")&amp;")"))</f>
        <v/>
      </c>
      <c r="H92">
        <f>IF($W92="","",SUMIFS(상세표[기록 시간외],상세표[사번키],INDEX(합계표[사번키],$W92),상세표[기록월],대상월키,상세표[반영월],"&lt;&gt;"&amp;대상월키))</f>
        <v/>
      </c>
      <c r="I92">
        <f>IF($W92="","",SUMIFS(상세표[기록 시간외],상세표[사번키],INDEX(합계표[사번키],$W92),상세표[기록월],"&lt;&gt;"&amp;대상월키,상세표[반영월],대상월키))</f>
        <v/>
      </c>
      <c r="J92">
        <f>IF($W92="","",SUMIFS(상세표[기록 시간외],상세표[사번키],INDEX(합계표[사번키],$W92),상세표[반영월],대상월키))</f>
        <v/>
      </c>
      <c r="K92">
        <f>IF($W92="","",IFERROR(INDEX(월별근무지표[적용 급여병원],MATCH(INDEX(합계표[사번키],$W92)&amp;"|"&amp;대상월키,월별근무지표[키],0))&amp;"",IF(COUNTIF(기관표[사번키],INDEX(합계표[사번키],$W92))+COUNTIF(월별근무지표[사번키],INDEX(합계표[사번키],$W92))&gt;0,IFERROR(INDEX(기관표[급여지급병원(기준월)],MATCH(INDEX(합계표[사번키],$W92)&amp;"|"&amp;대상월키,기관표[키],0))&amp;"","—"),"—")))</f>
        <v/>
      </c>
      <c r="L92">
        <f>IF($W92="","",IF(NOT(COUNTIF(기관표[사번키],INDEX(합계표[사번키],$W92))+COUNTIF(월별근무지표[사번키],INDEX(합계표[사번키],$W92))&gt;0),"기관명단에 없음(다른 병원으로 발송)",IF($K92="—","대상월 기관명단 없음(추가 필요)",IF($K92="서울병원","해당","비해당"))))</f>
        <v/>
      </c>
      <c r="M92">
        <f>IF($W92="","",SUMIFS(상세표[06~07시],상세표[사번키],INDEX(합계표[사번키],$W92),상세표[반영월],대상월키,상세표[반영 기관],"서울병원"))</f>
        <v/>
      </c>
      <c r="N92">
        <f>IF($W92="","",SUMIFS(상세표[07~18시],상세표[사번키],INDEX(합계표[사번키],$W92),상세표[반영월],대상월키,상세표[반영 기관],"서울병원"))</f>
        <v/>
      </c>
      <c r="O92">
        <f>IF($W92="","",SUMIFS(상세표[18~22시],상세표[사번키],INDEX(합계표[사번키],$W92),상세표[반영월],대상월키,상세표[반영 기관],"서울병원"))</f>
        <v/>
      </c>
      <c r="P92">
        <f>IF($W92="","",SUMIFS(상세표[22~06시],상세표[사번키],INDEX(합계표[사번키],$W92),상세표[반영월],대상월키,상세표[반영 기관],"서울병원"))</f>
        <v/>
      </c>
      <c r="Q92">
        <f>IF($W92="","",SUM($M92:$P92))</f>
        <v/>
      </c>
      <c r="R92">
        <f>IF($W92="","",COUNTIFS(상세표[사번키],INDEX(합계표[사번키],$W92),상세표[반영월],대상월키,상세표[야간당직],1,상세표[야간 구분],"평일"))</f>
        <v/>
      </c>
      <c r="S92" s="4">
        <f>IF($W92="","",COUNTIFS(상세표[사번키],INDEX(합계표[사번키],$W92),상세표[반영월],대상월키,상세표[야간당직],1,상세표[야간 구분],"휴일"))</f>
        <v/>
      </c>
      <c r="T92">
        <f>IF($W92="","",COUNTIFS(상세표[사번키],INDEX(합계표[사번키],$W92),상세표[반영월],대상월키,상세표[야간당직],1,상세표[야간 구분],"평일",상세표[반영 기관],"서울병원"))</f>
        <v/>
      </c>
      <c r="U92">
        <f>IF($W92="","",COUNTIFS(상세표[사번키],INDEX(합계표[사번키],$W92),상세표[반영월],대상월키,상세표[야간당직],1,상세표[야간 구분],"휴일",상세표[반영 기관],"서울병원"))</f>
        <v/>
      </c>
      <c r="V92">
        <f>IF($W92="","",IF(ISNUMBER(MATCH(INDEX(합계표[사번키],$W92)&amp;"|"&amp;대상월키,월별근무지표[키],0)),"직접 입력",IF($K92="—","—","기관명단")))</f>
        <v/>
      </c>
      <c r="W92">
        <f>IFERROR(MATCH(87,합계표[판정순번],0),"")</f>
        <v/>
      </c>
      <c r="Y92">
        <f>IF($AB92="","",INDEX(상세표[사번],$AB92)&amp;"")</f>
        <v/>
      </c>
      <c r="Z92">
        <f>IF($AB92="","",INDEX(상세표[성명],$AB92)&amp;"")</f>
        <v/>
      </c>
      <c r="AA92">
        <f>IF($AB92="","",SUMIFS(상세표[기록 시간외],상세표[사번키],INDEX(상세표[사번키],$AB92),상세표[반영월],대상월키))</f>
        <v/>
      </c>
      <c r="AB92" s="4">
        <f>IFERROR(MATCH(87,상세표[합계없음순번],0),"")</f>
        <v/>
      </c>
    </row>
    <row r="93">
      <c r="A93">
        <f>IF($W93="","",INDEX(합계표[사번],$W93)&amp;"")</f>
        <v/>
      </c>
      <c r="B93">
        <f>IF($W93="","",INDEX(합계표[성명],$W93)&amp;"")</f>
        <v/>
      </c>
      <c r="C93">
        <f>IF($W93="","",INDEX(합계표[부서],$W93)&amp;"")</f>
        <v/>
      </c>
      <c r="D93">
        <f>IF($W93="","",INDEX(합계표[직위(통합)],$W93)&amp;"")</f>
        <v/>
      </c>
      <c r="E93">
        <f>IF($W93="","",SUMIFS(합계표[시스템 합계],합계표[사번키],INDEX(합계표[사번키],$W93)))</f>
        <v/>
      </c>
      <c r="F93">
        <f>IF($W93="","",SUMIFS(상세표[기록 시간외],상세표[사번키],INDEX(합계표[사번키],$W93),상세표[기록월],대상월키))</f>
        <v/>
      </c>
      <c r="G93">
        <f>IF($W93="","",IF(ABS($E93-$F93)&lt;0.01,"일치","불일치(차이 "&amp;TEXT($F93-$E93,"0.00")&amp;")"))</f>
        <v/>
      </c>
      <c r="H93">
        <f>IF($W93="","",SUMIFS(상세표[기록 시간외],상세표[사번키],INDEX(합계표[사번키],$W93),상세표[기록월],대상월키,상세표[반영월],"&lt;&gt;"&amp;대상월키))</f>
        <v/>
      </c>
      <c r="I93">
        <f>IF($W93="","",SUMIFS(상세표[기록 시간외],상세표[사번키],INDEX(합계표[사번키],$W93),상세표[기록월],"&lt;&gt;"&amp;대상월키,상세표[반영월],대상월키))</f>
        <v/>
      </c>
      <c r="J93">
        <f>IF($W93="","",SUMIFS(상세표[기록 시간외],상세표[사번키],INDEX(합계표[사번키],$W93),상세표[반영월],대상월키))</f>
        <v/>
      </c>
      <c r="K93">
        <f>IF($W93="","",IFERROR(INDEX(월별근무지표[적용 급여병원],MATCH(INDEX(합계표[사번키],$W93)&amp;"|"&amp;대상월키,월별근무지표[키],0))&amp;"",IF(COUNTIF(기관표[사번키],INDEX(합계표[사번키],$W93))+COUNTIF(월별근무지표[사번키],INDEX(합계표[사번키],$W93))&gt;0,IFERROR(INDEX(기관표[급여지급병원(기준월)],MATCH(INDEX(합계표[사번키],$W93)&amp;"|"&amp;대상월키,기관표[키],0))&amp;"","—"),"—")))</f>
        <v/>
      </c>
      <c r="L93">
        <f>IF($W93="","",IF(NOT(COUNTIF(기관표[사번키],INDEX(합계표[사번키],$W93))+COUNTIF(월별근무지표[사번키],INDEX(합계표[사번키],$W93))&gt;0),"기관명단에 없음(다른 병원으로 발송)",IF($K93="—","대상월 기관명단 없음(추가 필요)",IF($K93="서울병원","해당","비해당"))))</f>
        <v/>
      </c>
      <c r="M93">
        <f>IF($W93="","",SUMIFS(상세표[06~07시],상세표[사번키],INDEX(합계표[사번키],$W93),상세표[반영월],대상월키,상세표[반영 기관],"서울병원"))</f>
        <v/>
      </c>
      <c r="N93">
        <f>IF($W93="","",SUMIFS(상세표[07~18시],상세표[사번키],INDEX(합계표[사번키],$W93),상세표[반영월],대상월키,상세표[반영 기관],"서울병원"))</f>
        <v/>
      </c>
      <c r="O93">
        <f>IF($W93="","",SUMIFS(상세표[18~22시],상세표[사번키],INDEX(합계표[사번키],$W93),상세표[반영월],대상월키,상세표[반영 기관],"서울병원"))</f>
        <v/>
      </c>
      <c r="P93">
        <f>IF($W93="","",SUMIFS(상세표[22~06시],상세표[사번키],INDEX(합계표[사번키],$W93),상세표[반영월],대상월키,상세표[반영 기관],"서울병원"))</f>
        <v/>
      </c>
      <c r="Q93">
        <f>IF($W93="","",SUM($M93:$P93))</f>
        <v/>
      </c>
      <c r="R93">
        <f>IF($W93="","",COUNTIFS(상세표[사번키],INDEX(합계표[사번키],$W93),상세표[반영월],대상월키,상세표[야간당직],1,상세표[야간 구분],"평일"))</f>
        <v/>
      </c>
      <c r="S93" s="4">
        <f>IF($W93="","",COUNTIFS(상세표[사번키],INDEX(합계표[사번키],$W93),상세표[반영월],대상월키,상세표[야간당직],1,상세표[야간 구분],"휴일"))</f>
        <v/>
      </c>
      <c r="T93">
        <f>IF($W93="","",COUNTIFS(상세표[사번키],INDEX(합계표[사번키],$W93),상세표[반영월],대상월키,상세표[야간당직],1,상세표[야간 구분],"평일",상세표[반영 기관],"서울병원"))</f>
        <v/>
      </c>
      <c r="U93">
        <f>IF($W93="","",COUNTIFS(상세표[사번키],INDEX(합계표[사번키],$W93),상세표[반영월],대상월키,상세표[야간당직],1,상세표[야간 구분],"휴일",상세표[반영 기관],"서울병원"))</f>
        <v/>
      </c>
      <c r="V93">
        <f>IF($W93="","",IF(ISNUMBER(MATCH(INDEX(합계표[사번키],$W93)&amp;"|"&amp;대상월키,월별근무지표[키],0)),"직접 입력",IF($K93="—","—","기관명단")))</f>
        <v/>
      </c>
      <c r="W93">
        <f>IFERROR(MATCH(88,합계표[판정순번],0),"")</f>
        <v/>
      </c>
      <c r="Y93">
        <f>IF($AB93="","",INDEX(상세표[사번],$AB93)&amp;"")</f>
        <v/>
      </c>
      <c r="Z93">
        <f>IF($AB93="","",INDEX(상세표[성명],$AB93)&amp;"")</f>
        <v/>
      </c>
      <c r="AA93">
        <f>IF($AB93="","",SUMIFS(상세표[기록 시간외],상세표[사번키],INDEX(상세표[사번키],$AB93),상세표[반영월],대상월키))</f>
        <v/>
      </c>
      <c r="AB93" s="4">
        <f>IFERROR(MATCH(88,상세표[합계없음순번],0),"")</f>
        <v/>
      </c>
    </row>
    <row r="94">
      <c r="A94">
        <f>IF($W94="","",INDEX(합계표[사번],$W94)&amp;"")</f>
        <v/>
      </c>
      <c r="B94">
        <f>IF($W94="","",INDEX(합계표[성명],$W94)&amp;"")</f>
        <v/>
      </c>
      <c r="C94">
        <f>IF($W94="","",INDEX(합계표[부서],$W94)&amp;"")</f>
        <v/>
      </c>
      <c r="D94">
        <f>IF($W94="","",INDEX(합계표[직위(통합)],$W94)&amp;"")</f>
        <v/>
      </c>
      <c r="E94">
        <f>IF($W94="","",SUMIFS(합계표[시스템 합계],합계표[사번키],INDEX(합계표[사번키],$W94)))</f>
        <v/>
      </c>
      <c r="F94">
        <f>IF($W94="","",SUMIFS(상세표[기록 시간외],상세표[사번키],INDEX(합계표[사번키],$W94),상세표[기록월],대상월키))</f>
        <v/>
      </c>
      <c r="G94">
        <f>IF($W94="","",IF(ABS($E94-$F94)&lt;0.01,"일치","불일치(차이 "&amp;TEXT($F94-$E94,"0.00")&amp;")"))</f>
        <v/>
      </c>
      <c r="H94">
        <f>IF($W94="","",SUMIFS(상세표[기록 시간외],상세표[사번키],INDEX(합계표[사번키],$W94),상세표[기록월],대상월키,상세표[반영월],"&lt;&gt;"&amp;대상월키))</f>
        <v/>
      </c>
      <c r="I94">
        <f>IF($W94="","",SUMIFS(상세표[기록 시간외],상세표[사번키],INDEX(합계표[사번키],$W94),상세표[기록월],"&lt;&gt;"&amp;대상월키,상세표[반영월],대상월키))</f>
        <v/>
      </c>
      <c r="J94">
        <f>IF($W94="","",SUMIFS(상세표[기록 시간외],상세표[사번키],INDEX(합계표[사번키],$W94),상세표[반영월],대상월키))</f>
        <v/>
      </c>
      <c r="K94">
        <f>IF($W94="","",IFERROR(INDEX(월별근무지표[적용 급여병원],MATCH(INDEX(합계표[사번키],$W94)&amp;"|"&amp;대상월키,월별근무지표[키],0))&amp;"",IF(COUNTIF(기관표[사번키],INDEX(합계표[사번키],$W94))+COUNTIF(월별근무지표[사번키],INDEX(합계표[사번키],$W94))&gt;0,IFERROR(INDEX(기관표[급여지급병원(기준월)],MATCH(INDEX(합계표[사번키],$W94)&amp;"|"&amp;대상월키,기관표[키],0))&amp;"","—"),"—")))</f>
        <v/>
      </c>
      <c r="L94">
        <f>IF($W94="","",IF(NOT(COUNTIF(기관표[사번키],INDEX(합계표[사번키],$W94))+COUNTIF(월별근무지표[사번키],INDEX(합계표[사번키],$W94))&gt;0),"기관명단에 없음(다른 병원으로 발송)",IF($K94="—","대상월 기관명단 없음(추가 필요)",IF($K94="서울병원","해당","비해당"))))</f>
        <v/>
      </c>
      <c r="M94">
        <f>IF($W94="","",SUMIFS(상세표[06~07시],상세표[사번키],INDEX(합계표[사번키],$W94),상세표[반영월],대상월키,상세표[반영 기관],"서울병원"))</f>
        <v/>
      </c>
      <c r="N94">
        <f>IF($W94="","",SUMIFS(상세표[07~18시],상세표[사번키],INDEX(합계표[사번키],$W94),상세표[반영월],대상월키,상세표[반영 기관],"서울병원"))</f>
        <v/>
      </c>
      <c r="O94">
        <f>IF($W94="","",SUMIFS(상세표[18~22시],상세표[사번키],INDEX(합계표[사번키],$W94),상세표[반영월],대상월키,상세표[반영 기관],"서울병원"))</f>
        <v/>
      </c>
      <c r="P94">
        <f>IF($W94="","",SUMIFS(상세표[22~06시],상세표[사번키],INDEX(합계표[사번키],$W94),상세표[반영월],대상월키,상세표[반영 기관],"서울병원"))</f>
        <v/>
      </c>
      <c r="Q94">
        <f>IF($W94="","",SUM($M94:$P94))</f>
        <v/>
      </c>
      <c r="R94">
        <f>IF($W94="","",COUNTIFS(상세표[사번키],INDEX(합계표[사번키],$W94),상세표[반영월],대상월키,상세표[야간당직],1,상세표[야간 구분],"평일"))</f>
        <v/>
      </c>
      <c r="S94" s="4">
        <f>IF($W94="","",COUNTIFS(상세표[사번키],INDEX(합계표[사번키],$W94),상세표[반영월],대상월키,상세표[야간당직],1,상세표[야간 구분],"휴일"))</f>
        <v/>
      </c>
      <c r="T94">
        <f>IF($W94="","",COUNTIFS(상세표[사번키],INDEX(합계표[사번키],$W94),상세표[반영월],대상월키,상세표[야간당직],1,상세표[야간 구분],"평일",상세표[반영 기관],"서울병원"))</f>
        <v/>
      </c>
      <c r="U94">
        <f>IF($W94="","",COUNTIFS(상세표[사번키],INDEX(합계표[사번키],$W94),상세표[반영월],대상월키,상세표[야간당직],1,상세표[야간 구분],"휴일",상세표[반영 기관],"서울병원"))</f>
        <v/>
      </c>
      <c r="V94">
        <f>IF($W94="","",IF(ISNUMBER(MATCH(INDEX(합계표[사번키],$W94)&amp;"|"&amp;대상월키,월별근무지표[키],0)),"직접 입력",IF($K94="—","—","기관명단")))</f>
        <v/>
      </c>
      <c r="W94">
        <f>IFERROR(MATCH(89,합계표[판정순번],0),"")</f>
        <v/>
      </c>
      <c r="Y94">
        <f>IF($AB94="","",INDEX(상세표[사번],$AB94)&amp;"")</f>
        <v/>
      </c>
      <c r="Z94">
        <f>IF($AB94="","",INDEX(상세표[성명],$AB94)&amp;"")</f>
        <v/>
      </c>
      <c r="AA94">
        <f>IF($AB94="","",SUMIFS(상세표[기록 시간외],상세표[사번키],INDEX(상세표[사번키],$AB94),상세표[반영월],대상월키))</f>
        <v/>
      </c>
      <c r="AB94" s="4">
        <f>IFERROR(MATCH(89,상세표[합계없음순번],0),"")</f>
        <v/>
      </c>
    </row>
    <row r="95">
      <c r="A95">
        <f>IF($W95="","",INDEX(합계표[사번],$W95)&amp;"")</f>
        <v/>
      </c>
      <c r="B95">
        <f>IF($W95="","",INDEX(합계표[성명],$W95)&amp;"")</f>
        <v/>
      </c>
      <c r="C95">
        <f>IF($W95="","",INDEX(합계표[부서],$W95)&amp;"")</f>
        <v/>
      </c>
      <c r="D95">
        <f>IF($W95="","",INDEX(합계표[직위(통합)],$W95)&amp;"")</f>
        <v/>
      </c>
      <c r="E95">
        <f>IF($W95="","",SUMIFS(합계표[시스템 합계],합계표[사번키],INDEX(합계표[사번키],$W95)))</f>
        <v/>
      </c>
      <c r="F95">
        <f>IF($W95="","",SUMIFS(상세표[기록 시간외],상세표[사번키],INDEX(합계표[사번키],$W95),상세표[기록월],대상월키))</f>
        <v/>
      </c>
      <c r="G95">
        <f>IF($W95="","",IF(ABS($E95-$F95)&lt;0.01,"일치","불일치(차이 "&amp;TEXT($F95-$E95,"0.00")&amp;")"))</f>
        <v/>
      </c>
      <c r="H95">
        <f>IF($W95="","",SUMIFS(상세표[기록 시간외],상세표[사번키],INDEX(합계표[사번키],$W95),상세표[기록월],대상월키,상세표[반영월],"&lt;&gt;"&amp;대상월키))</f>
        <v/>
      </c>
      <c r="I95">
        <f>IF($W95="","",SUMIFS(상세표[기록 시간외],상세표[사번키],INDEX(합계표[사번키],$W95),상세표[기록월],"&lt;&gt;"&amp;대상월키,상세표[반영월],대상월키))</f>
        <v/>
      </c>
      <c r="J95">
        <f>IF($W95="","",SUMIFS(상세표[기록 시간외],상세표[사번키],INDEX(합계표[사번키],$W95),상세표[반영월],대상월키))</f>
        <v/>
      </c>
      <c r="K95">
        <f>IF($W95="","",IFERROR(INDEX(월별근무지표[적용 급여병원],MATCH(INDEX(합계표[사번키],$W95)&amp;"|"&amp;대상월키,월별근무지표[키],0))&amp;"",IF(COUNTIF(기관표[사번키],INDEX(합계표[사번키],$W95))+COUNTIF(월별근무지표[사번키],INDEX(합계표[사번키],$W95))&gt;0,IFERROR(INDEX(기관표[급여지급병원(기준월)],MATCH(INDEX(합계표[사번키],$W95)&amp;"|"&amp;대상월키,기관표[키],0))&amp;"","—"),"—")))</f>
        <v/>
      </c>
      <c r="L95">
        <f>IF($W95="","",IF(NOT(COUNTIF(기관표[사번키],INDEX(합계표[사번키],$W95))+COUNTIF(월별근무지표[사번키],INDEX(합계표[사번키],$W95))&gt;0),"기관명단에 없음(다른 병원으로 발송)",IF($K95="—","대상월 기관명단 없음(추가 필요)",IF($K95="서울병원","해당","비해당"))))</f>
        <v/>
      </c>
      <c r="M95">
        <f>IF($W95="","",SUMIFS(상세표[06~07시],상세표[사번키],INDEX(합계표[사번키],$W95),상세표[반영월],대상월키,상세표[반영 기관],"서울병원"))</f>
        <v/>
      </c>
      <c r="N95">
        <f>IF($W95="","",SUMIFS(상세표[07~18시],상세표[사번키],INDEX(합계표[사번키],$W95),상세표[반영월],대상월키,상세표[반영 기관],"서울병원"))</f>
        <v/>
      </c>
      <c r="O95">
        <f>IF($W95="","",SUMIFS(상세표[18~22시],상세표[사번키],INDEX(합계표[사번키],$W95),상세표[반영월],대상월키,상세표[반영 기관],"서울병원"))</f>
        <v/>
      </c>
      <c r="P95">
        <f>IF($W95="","",SUMIFS(상세표[22~06시],상세표[사번키],INDEX(합계표[사번키],$W95),상세표[반영월],대상월키,상세표[반영 기관],"서울병원"))</f>
        <v/>
      </c>
      <c r="Q95">
        <f>IF($W95="","",SUM($M95:$P95))</f>
        <v/>
      </c>
      <c r="R95">
        <f>IF($W95="","",COUNTIFS(상세표[사번키],INDEX(합계표[사번키],$W95),상세표[반영월],대상월키,상세표[야간당직],1,상세표[야간 구분],"평일"))</f>
        <v/>
      </c>
      <c r="S95" s="4">
        <f>IF($W95="","",COUNTIFS(상세표[사번키],INDEX(합계표[사번키],$W95),상세표[반영월],대상월키,상세표[야간당직],1,상세표[야간 구분],"휴일"))</f>
        <v/>
      </c>
      <c r="T95">
        <f>IF($W95="","",COUNTIFS(상세표[사번키],INDEX(합계표[사번키],$W95),상세표[반영월],대상월키,상세표[야간당직],1,상세표[야간 구분],"평일",상세표[반영 기관],"서울병원"))</f>
        <v/>
      </c>
      <c r="U95">
        <f>IF($W95="","",COUNTIFS(상세표[사번키],INDEX(합계표[사번키],$W95),상세표[반영월],대상월키,상세표[야간당직],1,상세표[야간 구분],"휴일",상세표[반영 기관],"서울병원"))</f>
        <v/>
      </c>
      <c r="V95">
        <f>IF($W95="","",IF(ISNUMBER(MATCH(INDEX(합계표[사번키],$W95)&amp;"|"&amp;대상월키,월별근무지표[키],0)),"직접 입력",IF($K95="—","—","기관명단")))</f>
        <v/>
      </c>
      <c r="W95">
        <f>IFERROR(MATCH(90,합계표[판정순번],0),"")</f>
        <v/>
      </c>
      <c r="Y95">
        <f>IF($AB95="","",INDEX(상세표[사번],$AB95)&amp;"")</f>
        <v/>
      </c>
      <c r="Z95">
        <f>IF($AB95="","",INDEX(상세표[성명],$AB95)&amp;"")</f>
        <v/>
      </c>
      <c r="AA95">
        <f>IF($AB95="","",SUMIFS(상세표[기록 시간외],상세표[사번키],INDEX(상세표[사번키],$AB95),상세표[반영월],대상월키))</f>
        <v/>
      </c>
      <c r="AB95" s="4">
        <f>IFERROR(MATCH(90,상세표[합계없음순번],0),"")</f>
        <v/>
      </c>
    </row>
    <row r="96">
      <c r="A96">
        <f>IF($W96="","",INDEX(합계표[사번],$W96)&amp;"")</f>
        <v/>
      </c>
      <c r="B96">
        <f>IF($W96="","",INDEX(합계표[성명],$W96)&amp;"")</f>
        <v/>
      </c>
      <c r="C96">
        <f>IF($W96="","",INDEX(합계표[부서],$W96)&amp;"")</f>
        <v/>
      </c>
      <c r="D96">
        <f>IF($W96="","",INDEX(합계표[직위(통합)],$W96)&amp;"")</f>
        <v/>
      </c>
      <c r="E96">
        <f>IF($W96="","",SUMIFS(합계표[시스템 합계],합계표[사번키],INDEX(합계표[사번키],$W96)))</f>
        <v/>
      </c>
      <c r="F96">
        <f>IF($W96="","",SUMIFS(상세표[기록 시간외],상세표[사번키],INDEX(합계표[사번키],$W96),상세표[기록월],대상월키))</f>
        <v/>
      </c>
      <c r="G96">
        <f>IF($W96="","",IF(ABS($E96-$F96)&lt;0.01,"일치","불일치(차이 "&amp;TEXT($F96-$E96,"0.00")&amp;")"))</f>
        <v/>
      </c>
      <c r="H96">
        <f>IF($W96="","",SUMIFS(상세표[기록 시간외],상세표[사번키],INDEX(합계표[사번키],$W96),상세표[기록월],대상월키,상세표[반영월],"&lt;&gt;"&amp;대상월키))</f>
        <v/>
      </c>
      <c r="I96">
        <f>IF($W96="","",SUMIFS(상세표[기록 시간외],상세표[사번키],INDEX(합계표[사번키],$W96),상세표[기록월],"&lt;&gt;"&amp;대상월키,상세표[반영월],대상월키))</f>
        <v/>
      </c>
      <c r="J96">
        <f>IF($W96="","",SUMIFS(상세표[기록 시간외],상세표[사번키],INDEX(합계표[사번키],$W96),상세표[반영월],대상월키))</f>
        <v/>
      </c>
      <c r="K96">
        <f>IF($W96="","",IFERROR(INDEX(월별근무지표[적용 급여병원],MATCH(INDEX(합계표[사번키],$W96)&amp;"|"&amp;대상월키,월별근무지표[키],0))&amp;"",IF(COUNTIF(기관표[사번키],INDEX(합계표[사번키],$W96))+COUNTIF(월별근무지표[사번키],INDEX(합계표[사번키],$W96))&gt;0,IFERROR(INDEX(기관표[급여지급병원(기준월)],MATCH(INDEX(합계표[사번키],$W96)&amp;"|"&amp;대상월키,기관표[키],0))&amp;"","—"),"—")))</f>
        <v/>
      </c>
      <c r="L96">
        <f>IF($W96="","",IF(NOT(COUNTIF(기관표[사번키],INDEX(합계표[사번키],$W96))+COUNTIF(월별근무지표[사번키],INDEX(합계표[사번키],$W96))&gt;0),"기관명단에 없음(다른 병원으로 발송)",IF($K96="—","대상월 기관명단 없음(추가 필요)",IF($K96="서울병원","해당","비해당"))))</f>
        <v/>
      </c>
      <c r="M96">
        <f>IF($W96="","",SUMIFS(상세표[06~07시],상세표[사번키],INDEX(합계표[사번키],$W96),상세표[반영월],대상월키,상세표[반영 기관],"서울병원"))</f>
        <v/>
      </c>
      <c r="N96">
        <f>IF($W96="","",SUMIFS(상세표[07~18시],상세표[사번키],INDEX(합계표[사번키],$W96),상세표[반영월],대상월키,상세표[반영 기관],"서울병원"))</f>
        <v/>
      </c>
      <c r="O96">
        <f>IF($W96="","",SUMIFS(상세표[18~22시],상세표[사번키],INDEX(합계표[사번키],$W96),상세표[반영월],대상월키,상세표[반영 기관],"서울병원"))</f>
        <v/>
      </c>
      <c r="P96">
        <f>IF($W96="","",SUMIFS(상세표[22~06시],상세표[사번키],INDEX(합계표[사번키],$W96),상세표[반영월],대상월키,상세표[반영 기관],"서울병원"))</f>
        <v/>
      </c>
      <c r="Q96">
        <f>IF($W96="","",SUM($M96:$P96))</f>
        <v/>
      </c>
      <c r="R96">
        <f>IF($W96="","",COUNTIFS(상세표[사번키],INDEX(합계표[사번키],$W96),상세표[반영월],대상월키,상세표[야간당직],1,상세표[야간 구분],"평일"))</f>
        <v/>
      </c>
      <c r="S96" s="4">
        <f>IF($W96="","",COUNTIFS(상세표[사번키],INDEX(합계표[사번키],$W96),상세표[반영월],대상월키,상세표[야간당직],1,상세표[야간 구분],"휴일"))</f>
        <v/>
      </c>
      <c r="T96">
        <f>IF($W96="","",COUNTIFS(상세표[사번키],INDEX(합계표[사번키],$W96),상세표[반영월],대상월키,상세표[야간당직],1,상세표[야간 구분],"평일",상세표[반영 기관],"서울병원"))</f>
        <v/>
      </c>
      <c r="U96">
        <f>IF($W96="","",COUNTIFS(상세표[사번키],INDEX(합계표[사번키],$W96),상세표[반영월],대상월키,상세표[야간당직],1,상세표[야간 구분],"휴일",상세표[반영 기관],"서울병원"))</f>
        <v/>
      </c>
      <c r="V96">
        <f>IF($W96="","",IF(ISNUMBER(MATCH(INDEX(합계표[사번키],$W96)&amp;"|"&amp;대상월키,월별근무지표[키],0)),"직접 입력",IF($K96="—","—","기관명단")))</f>
        <v/>
      </c>
      <c r="W96">
        <f>IFERROR(MATCH(91,합계표[판정순번],0),"")</f>
        <v/>
      </c>
      <c r="Y96">
        <f>IF($AB96="","",INDEX(상세표[사번],$AB96)&amp;"")</f>
        <v/>
      </c>
      <c r="Z96">
        <f>IF($AB96="","",INDEX(상세표[성명],$AB96)&amp;"")</f>
        <v/>
      </c>
      <c r="AA96">
        <f>IF($AB96="","",SUMIFS(상세표[기록 시간외],상세표[사번키],INDEX(상세표[사번키],$AB96),상세표[반영월],대상월키))</f>
        <v/>
      </c>
      <c r="AB96" s="4">
        <f>IFERROR(MATCH(91,상세표[합계없음순번],0),"")</f>
        <v/>
      </c>
    </row>
    <row r="97">
      <c r="A97">
        <f>IF($W97="","",INDEX(합계표[사번],$W97)&amp;"")</f>
        <v/>
      </c>
      <c r="B97">
        <f>IF($W97="","",INDEX(합계표[성명],$W97)&amp;"")</f>
        <v/>
      </c>
      <c r="C97">
        <f>IF($W97="","",INDEX(합계표[부서],$W97)&amp;"")</f>
        <v/>
      </c>
      <c r="D97">
        <f>IF($W97="","",INDEX(합계표[직위(통합)],$W97)&amp;"")</f>
        <v/>
      </c>
      <c r="E97">
        <f>IF($W97="","",SUMIFS(합계표[시스템 합계],합계표[사번키],INDEX(합계표[사번키],$W97)))</f>
        <v/>
      </c>
      <c r="F97">
        <f>IF($W97="","",SUMIFS(상세표[기록 시간외],상세표[사번키],INDEX(합계표[사번키],$W97),상세표[기록월],대상월키))</f>
        <v/>
      </c>
      <c r="G97">
        <f>IF($W97="","",IF(ABS($E97-$F97)&lt;0.01,"일치","불일치(차이 "&amp;TEXT($F97-$E97,"0.00")&amp;")"))</f>
        <v/>
      </c>
      <c r="H97">
        <f>IF($W97="","",SUMIFS(상세표[기록 시간외],상세표[사번키],INDEX(합계표[사번키],$W97),상세표[기록월],대상월키,상세표[반영월],"&lt;&gt;"&amp;대상월키))</f>
        <v/>
      </c>
      <c r="I97">
        <f>IF($W97="","",SUMIFS(상세표[기록 시간외],상세표[사번키],INDEX(합계표[사번키],$W97),상세표[기록월],"&lt;&gt;"&amp;대상월키,상세표[반영월],대상월키))</f>
        <v/>
      </c>
      <c r="J97">
        <f>IF($W97="","",SUMIFS(상세표[기록 시간외],상세표[사번키],INDEX(합계표[사번키],$W97),상세표[반영월],대상월키))</f>
        <v/>
      </c>
      <c r="K97">
        <f>IF($W97="","",IFERROR(INDEX(월별근무지표[적용 급여병원],MATCH(INDEX(합계표[사번키],$W97)&amp;"|"&amp;대상월키,월별근무지표[키],0))&amp;"",IF(COUNTIF(기관표[사번키],INDEX(합계표[사번키],$W97))+COUNTIF(월별근무지표[사번키],INDEX(합계표[사번키],$W97))&gt;0,IFERROR(INDEX(기관표[급여지급병원(기준월)],MATCH(INDEX(합계표[사번키],$W97)&amp;"|"&amp;대상월키,기관표[키],0))&amp;"","—"),"—")))</f>
        <v/>
      </c>
      <c r="L97">
        <f>IF($W97="","",IF(NOT(COUNTIF(기관표[사번키],INDEX(합계표[사번키],$W97))+COUNTIF(월별근무지표[사번키],INDEX(합계표[사번키],$W97))&gt;0),"기관명단에 없음(다른 병원으로 발송)",IF($K97="—","대상월 기관명단 없음(추가 필요)",IF($K97="서울병원","해당","비해당"))))</f>
        <v/>
      </c>
      <c r="M97">
        <f>IF($W97="","",SUMIFS(상세표[06~07시],상세표[사번키],INDEX(합계표[사번키],$W97),상세표[반영월],대상월키,상세표[반영 기관],"서울병원"))</f>
        <v/>
      </c>
      <c r="N97">
        <f>IF($W97="","",SUMIFS(상세표[07~18시],상세표[사번키],INDEX(합계표[사번키],$W97),상세표[반영월],대상월키,상세표[반영 기관],"서울병원"))</f>
        <v/>
      </c>
      <c r="O97">
        <f>IF($W97="","",SUMIFS(상세표[18~22시],상세표[사번키],INDEX(합계표[사번키],$W97),상세표[반영월],대상월키,상세표[반영 기관],"서울병원"))</f>
        <v/>
      </c>
      <c r="P97">
        <f>IF($W97="","",SUMIFS(상세표[22~06시],상세표[사번키],INDEX(합계표[사번키],$W97),상세표[반영월],대상월키,상세표[반영 기관],"서울병원"))</f>
        <v/>
      </c>
      <c r="Q97">
        <f>IF($W97="","",SUM($M97:$P97))</f>
        <v/>
      </c>
      <c r="R97">
        <f>IF($W97="","",COUNTIFS(상세표[사번키],INDEX(합계표[사번키],$W97),상세표[반영월],대상월키,상세표[야간당직],1,상세표[야간 구분],"평일"))</f>
        <v/>
      </c>
      <c r="S97" s="4">
        <f>IF($W97="","",COUNTIFS(상세표[사번키],INDEX(합계표[사번키],$W97),상세표[반영월],대상월키,상세표[야간당직],1,상세표[야간 구분],"휴일"))</f>
        <v/>
      </c>
      <c r="T97">
        <f>IF($W97="","",COUNTIFS(상세표[사번키],INDEX(합계표[사번키],$W97),상세표[반영월],대상월키,상세표[야간당직],1,상세표[야간 구분],"평일",상세표[반영 기관],"서울병원"))</f>
        <v/>
      </c>
      <c r="U97">
        <f>IF($W97="","",COUNTIFS(상세표[사번키],INDEX(합계표[사번키],$W97),상세표[반영월],대상월키,상세표[야간당직],1,상세표[야간 구분],"휴일",상세표[반영 기관],"서울병원"))</f>
        <v/>
      </c>
      <c r="V97">
        <f>IF($W97="","",IF(ISNUMBER(MATCH(INDEX(합계표[사번키],$W97)&amp;"|"&amp;대상월키,월별근무지표[키],0)),"직접 입력",IF($K97="—","—","기관명단")))</f>
        <v/>
      </c>
      <c r="W97">
        <f>IFERROR(MATCH(92,합계표[판정순번],0),"")</f>
        <v/>
      </c>
      <c r="Y97">
        <f>IF($AB97="","",INDEX(상세표[사번],$AB97)&amp;"")</f>
        <v/>
      </c>
      <c r="Z97">
        <f>IF($AB97="","",INDEX(상세표[성명],$AB97)&amp;"")</f>
        <v/>
      </c>
      <c r="AA97">
        <f>IF($AB97="","",SUMIFS(상세표[기록 시간외],상세표[사번키],INDEX(상세표[사번키],$AB97),상세표[반영월],대상월키))</f>
        <v/>
      </c>
      <c r="AB97" s="4">
        <f>IFERROR(MATCH(92,상세표[합계없음순번],0),"")</f>
        <v/>
      </c>
    </row>
    <row r="98">
      <c r="A98">
        <f>IF($W98="","",INDEX(합계표[사번],$W98)&amp;"")</f>
        <v/>
      </c>
      <c r="B98">
        <f>IF($W98="","",INDEX(합계표[성명],$W98)&amp;"")</f>
        <v/>
      </c>
      <c r="C98">
        <f>IF($W98="","",INDEX(합계표[부서],$W98)&amp;"")</f>
        <v/>
      </c>
      <c r="D98">
        <f>IF($W98="","",INDEX(합계표[직위(통합)],$W98)&amp;"")</f>
        <v/>
      </c>
      <c r="E98">
        <f>IF($W98="","",SUMIFS(합계표[시스템 합계],합계표[사번키],INDEX(합계표[사번키],$W98)))</f>
        <v/>
      </c>
      <c r="F98">
        <f>IF($W98="","",SUMIFS(상세표[기록 시간외],상세표[사번키],INDEX(합계표[사번키],$W98),상세표[기록월],대상월키))</f>
        <v/>
      </c>
      <c r="G98">
        <f>IF($W98="","",IF(ABS($E98-$F98)&lt;0.01,"일치","불일치(차이 "&amp;TEXT($F98-$E98,"0.00")&amp;")"))</f>
        <v/>
      </c>
      <c r="H98">
        <f>IF($W98="","",SUMIFS(상세표[기록 시간외],상세표[사번키],INDEX(합계표[사번키],$W98),상세표[기록월],대상월키,상세표[반영월],"&lt;&gt;"&amp;대상월키))</f>
        <v/>
      </c>
      <c r="I98">
        <f>IF($W98="","",SUMIFS(상세표[기록 시간외],상세표[사번키],INDEX(합계표[사번키],$W98),상세표[기록월],"&lt;&gt;"&amp;대상월키,상세표[반영월],대상월키))</f>
        <v/>
      </c>
      <c r="J98">
        <f>IF($W98="","",SUMIFS(상세표[기록 시간외],상세표[사번키],INDEX(합계표[사번키],$W98),상세표[반영월],대상월키))</f>
        <v/>
      </c>
      <c r="K98">
        <f>IF($W98="","",IFERROR(INDEX(월별근무지표[적용 급여병원],MATCH(INDEX(합계표[사번키],$W98)&amp;"|"&amp;대상월키,월별근무지표[키],0))&amp;"",IF(COUNTIF(기관표[사번키],INDEX(합계표[사번키],$W98))+COUNTIF(월별근무지표[사번키],INDEX(합계표[사번키],$W98))&gt;0,IFERROR(INDEX(기관표[급여지급병원(기준월)],MATCH(INDEX(합계표[사번키],$W98)&amp;"|"&amp;대상월키,기관표[키],0))&amp;"","—"),"—")))</f>
        <v/>
      </c>
      <c r="L98">
        <f>IF($W98="","",IF(NOT(COUNTIF(기관표[사번키],INDEX(합계표[사번키],$W98))+COUNTIF(월별근무지표[사번키],INDEX(합계표[사번키],$W98))&gt;0),"기관명단에 없음(다른 병원으로 발송)",IF($K98="—","대상월 기관명단 없음(추가 필요)",IF($K98="서울병원","해당","비해당"))))</f>
        <v/>
      </c>
      <c r="M98">
        <f>IF($W98="","",SUMIFS(상세표[06~07시],상세표[사번키],INDEX(합계표[사번키],$W98),상세표[반영월],대상월키,상세표[반영 기관],"서울병원"))</f>
        <v/>
      </c>
      <c r="N98">
        <f>IF($W98="","",SUMIFS(상세표[07~18시],상세표[사번키],INDEX(합계표[사번키],$W98),상세표[반영월],대상월키,상세표[반영 기관],"서울병원"))</f>
        <v/>
      </c>
      <c r="O98">
        <f>IF($W98="","",SUMIFS(상세표[18~22시],상세표[사번키],INDEX(합계표[사번키],$W98),상세표[반영월],대상월키,상세표[반영 기관],"서울병원"))</f>
        <v/>
      </c>
      <c r="P98">
        <f>IF($W98="","",SUMIFS(상세표[22~06시],상세표[사번키],INDEX(합계표[사번키],$W98),상세표[반영월],대상월키,상세표[반영 기관],"서울병원"))</f>
        <v/>
      </c>
      <c r="Q98">
        <f>IF($W98="","",SUM($M98:$P98))</f>
        <v/>
      </c>
      <c r="R98">
        <f>IF($W98="","",COUNTIFS(상세표[사번키],INDEX(합계표[사번키],$W98),상세표[반영월],대상월키,상세표[야간당직],1,상세표[야간 구분],"평일"))</f>
        <v/>
      </c>
      <c r="S98" s="4">
        <f>IF($W98="","",COUNTIFS(상세표[사번키],INDEX(합계표[사번키],$W98),상세표[반영월],대상월키,상세표[야간당직],1,상세표[야간 구분],"휴일"))</f>
        <v/>
      </c>
      <c r="T98">
        <f>IF($W98="","",COUNTIFS(상세표[사번키],INDEX(합계표[사번키],$W98),상세표[반영월],대상월키,상세표[야간당직],1,상세표[야간 구분],"평일",상세표[반영 기관],"서울병원"))</f>
        <v/>
      </c>
      <c r="U98">
        <f>IF($W98="","",COUNTIFS(상세표[사번키],INDEX(합계표[사번키],$W98),상세표[반영월],대상월키,상세표[야간당직],1,상세표[야간 구분],"휴일",상세표[반영 기관],"서울병원"))</f>
        <v/>
      </c>
      <c r="V98">
        <f>IF($W98="","",IF(ISNUMBER(MATCH(INDEX(합계표[사번키],$W98)&amp;"|"&amp;대상월키,월별근무지표[키],0)),"직접 입력",IF($K98="—","—","기관명단")))</f>
        <v/>
      </c>
      <c r="W98">
        <f>IFERROR(MATCH(93,합계표[판정순번],0),"")</f>
        <v/>
      </c>
      <c r="Y98">
        <f>IF($AB98="","",INDEX(상세표[사번],$AB98)&amp;"")</f>
        <v/>
      </c>
      <c r="Z98">
        <f>IF($AB98="","",INDEX(상세표[성명],$AB98)&amp;"")</f>
        <v/>
      </c>
      <c r="AA98">
        <f>IF($AB98="","",SUMIFS(상세표[기록 시간외],상세표[사번키],INDEX(상세표[사번키],$AB98),상세표[반영월],대상월키))</f>
        <v/>
      </c>
      <c r="AB98" s="4">
        <f>IFERROR(MATCH(93,상세표[합계없음순번],0),"")</f>
        <v/>
      </c>
    </row>
    <row r="99">
      <c r="A99">
        <f>IF($W99="","",INDEX(합계표[사번],$W99)&amp;"")</f>
        <v/>
      </c>
      <c r="B99">
        <f>IF($W99="","",INDEX(합계표[성명],$W99)&amp;"")</f>
        <v/>
      </c>
      <c r="C99">
        <f>IF($W99="","",INDEX(합계표[부서],$W99)&amp;"")</f>
        <v/>
      </c>
      <c r="D99">
        <f>IF($W99="","",INDEX(합계표[직위(통합)],$W99)&amp;"")</f>
        <v/>
      </c>
      <c r="E99">
        <f>IF($W99="","",SUMIFS(합계표[시스템 합계],합계표[사번키],INDEX(합계표[사번키],$W99)))</f>
        <v/>
      </c>
      <c r="F99">
        <f>IF($W99="","",SUMIFS(상세표[기록 시간외],상세표[사번키],INDEX(합계표[사번키],$W99),상세표[기록월],대상월키))</f>
        <v/>
      </c>
      <c r="G99">
        <f>IF($W99="","",IF(ABS($E99-$F99)&lt;0.01,"일치","불일치(차이 "&amp;TEXT($F99-$E99,"0.00")&amp;")"))</f>
        <v/>
      </c>
      <c r="H99">
        <f>IF($W99="","",SUMIFS(상세표[기록 시간외],상세표[사번키],INDEX(합계표[사번키],$W99),상세표[기록월],대상월키,상세표[반영월],"&lt;&gt;"&amp;대상월키))</f>
        <v/>
      </c>
      <c r="I99">
        <f>IF($W99="","",SUMIFS(상세표[기록 시간외],상세표[사번키],INDEX(합계표[사번키],$W99),상세표[기록월],"&lt;&gt;"&amp;대상월키,상세표[반영월],대상월키))</f>
        <v/>
      </c>
      <c r="J99">
        <f>IF($W99="","",SUMIFS(상세표[기록 시간외],상세표[사번키],INDEX(합계표[사번키],$W99),상세표[반영월],대상월키))</f>
        <v/>
      </c>
      <c r="K99">
        <f>IF($W99="","",IFERROR(INDEX(월별근무지표[적용 급여병원],MATCH(INDEX(합계표[사번키],$W99)&amp;"|"&amp;대상월키,월별근무지표[키],0))&amp;"",IF(COUNTIF(기관표[사번키],INDEX(합계표[사번키],$W99))+COUNTIF(월별근무지표[사번키],INDEX(합계표[사번키],$W99))&gt;0,IFERROR(INDEX(기관표[급여지급병원(기준월)],MATCH(INDEX(합계표[사번키],$W99)&amp;"|"&amp;대상월키,기관표[키],0))&amp;"","—"),"—")))</f>
        <v/>
      </c>
      <c r="L99">
        <f>IF($W99="","",IF(NOT(COUNTIF(기관표[사번키],INDEX(합계표[사번키],$W99))+COUNTIF(월별근무지표[사번키],INDEX(합계표[사번키],$W99))&gt;0),"기관명단에 없음(다른 병원으로 발송)",IF($K99="—","대상월 기관명단 없음(추가 필요)",IF($K99="서울병원","해당","비해당"))))</f>
        <v/>
      </c>
      <c r="M99">
        <f>IF($W99="","",SUMIFS(상세표[06~07시],상세표[사번키],INDEX(합계표[사번키],$W99),상세표[반영월],대상월키,상세표[반영 기관],"서울병원"))</f>
        <v/>
      </c>
      <c r="N99">
        <f>IF($W99="","",SUMIFS(상세표[07~18시],상세표[사번키],INDEX(합계표[사번키],$W99),상세표[반영월],대상월키,상세표[반영 기관],"서울병원"))</f>
        <v/>
      </c>
      <c r="O99">
        <f>IF($W99="","",SUMIFS(상세표[18~22시],상세표[사번키],INDEX(합계표[사번키],$W99),상세표[반영월],대상월키,상세표[반영 기관],"서울병원"))</f>
        <v/>
      </c>
      <c r="P99">
        <f>IF($W99="","",SUMIFS(상세표[22~06시],상세표[사번키],INDEX(합계표[사번키],$W99),상세표[반영월],대상월키,상세표[반영 기관],"서울병원"))</f>
        <v/>
      </c>
      <c r="Q99">
        <f>IF($W99="","",SUM($M99:$P99))</f>
        <v/>
      </c>
      <c r="R99">
        <f>IF($W99="","",COUNTIFS(상세표[사번키],INDEX(합계표[사번키],$W99),상세표[반영월],대상월키,상세표[야간당직],1,상세표[야간 구분],"평일"))</f>
        <v/>
      </c>
      <c r="S99" s="4">
        <f>IF($W99="","",COUNTIFS(상세표[사번키],INDEX(합계표[사번키],$W99),상세표[반영월],대상월키,상세표[야간당직],1,상세표[야간 구분],"휴일"))</f>
        <v/>
      </c>
      <c r="T99">
        <f>IF($W99="","",COUNTIFS(상세표[사번키],INDEX(합계표[사번키],$W99),상세표[반영월],대상월키,상세표[야간당직],1,상세표[야간 구분],"평일",상세표[반영 기관],"서울병원"))</f>
        <v/>
      </c>
      <c r="U99">
        <f>IF($W99="","",COUNTIFS(상세표[사번키],INDEX(합계표[사번키],$W99),상세표[반영월],대상월키,상세표[야간당직],1,상세표[야간 구분],"휴일",상세표[반영 기관],"서울병원"))</f>
        <v/>
      </c>
      <c r="V99">
        <f>IF($W99="","",IF(ISNUMBER(MATCH(INDEX(합계표[사번키],$W99)&amp;"|"&amp;대상월키,월별근무지표[키],0)),"직접 입력",IF($K99="—","—","기관명단")))</f>
        <v/>
      </c>
      <c r="W99">
        <f>IFERROR(MATCH(94,합계표[판정순번],0),"")</f>
        <v/>
      </c>
      <c r="Y99">
        <f>IF($AB99="","",INDEX(상세표[사번],$AB99)&amp;"")</f>
        <v/>
      </c>
      <c r="Z99">
        <f>IF($AB99="","",INDEX(상세표[성명],$AB99)&amp;"")</f>
        <v/>
      </c>
      <c r="AA99">
        <f>IF($AB99="","",SUMIFS(상세표[기록 시간외],상세표[사번키],INDEX(상세표[사번키],$AB99),상세표[반영월],대상월키))</f>
        <v/>
      </c>
      <c r="AB99" s="4">
        <f>IFERROR(MATCH(94,상세표[합계없음순번],0),"")</f>
        <v/>
      </c>
    </row>
    <row r="100">
      <c r="A100">
        <f>IF($W100="","",INDEX(합계표[사번],$W100)&amp;"")</f>
        <v/>
      </c>
      <c r="B100">
        <f>IF($W100="","",INDEX(합계표[성명],$W100)&amp;"")</f>
        <v/>
      </c>
      <c r="C100">
        <f>IF($W100="","",INDEX(합계표[부서],$W100)&amp;"")</f>
        <v/>
      </c>
      <c r="D100">
        <f>IF($W100="","",INDEX(합계표[직위(통합)],$W100)&amp;"")</f>
        <v/>
      </c>
      <c r="E100">
        <f>IF($W100="","",SUMIFS(합계표[시스템 합계],합계표[사번키],INDEX(합계표[사번키],$W100)))</f>
        <v/>
      </c>
      <c r="F100">
        <f>IF($W100="","",SUMIFS(상세표[기록 시간외],상세표[사번키],INDEX(합계표[사번키],$W100),상세표[기록월],대상월키))</f>
        <v/>
      </c>
      <c r="G100">
        <f>IF($W100="","",IF(ABS($E100-$F100)&lt;0.01,"일치","불일치(차이 "&amp;TEXT($F100-$E100,"0.00")&amp;")"))</f>
        <v/>
      </c>
      <c r="H100">
        <f>IF($W100="","",SUMIFS(상세표[기록 시간외],상세표[사번키],INDEX(합계표[사번키],$W100),상세표[기록월],대상월키,상세표[반영월],"&lt;&gt;"&amp;대상월키))</f>
        <v/>
      </c>
      <c r="I100">
        <f>IF($W100="","",SUMIFS(상세표[기록 시간외],상세표[사번키],INDEX(합계표[사번키],$W100),상세표[기록월],"&lt;&gt;"&amp;대상월키,상세표[반영월],대상월키))</f>
        <v/>
      </c>
      <c r="J100">
        <f>IF($W100="","",SUMIFS(상세표[기록 시간외],상세표[사번키],INDEX(합계표[사번키],$W100),상세표[반영월],대상월키))</f>
        <v/>
      </c>
      <c r="K100">
        <f>IF($W100="","",IFERROR(INDEX(월별근무지표[적용 급여병원],MATCH(INDEX(합계표[사번키],$W100)&amp;"|"&amp;대상월키,월별근무지표[키],0))&amp;"",IF(COUNTIF(기관표[사번키],INDEX(합계표[사번키],$W100))+COUNTIF(월별근무지표[사번키],INDEX(합계표[사번키],$W100))&gt;0,IFERROR(INDEX(기관표[급여지급병원(기준월)],MATCH(INDEX(합계표[사번키],$W100)&amp;"|"&amp;대상월키,기관표[키],0))&amp;"","—"),"—")))</f>
        <v/>
      </c>
      <c r="L100">
        <f>IF($W100="","",IF(NOT(COUNTIF(기관표[사번키],INDEX(합계표[사번키],$W100))+COUNTIF(월별근무지표[사번키],INDEX(합계표[사번키],$W100))&gt;0),"기관명단에 없음(다른 병원으로 발송)",IF($K100="—","대상월 기관명단 없음(추가 필요)",IF($K100="서울병원","해당","비해당"))))</f>
        <v/>
      </c>
      <c r="M100">
        <f>IF($W100="","",SUMIFS(상세표[06~07시],상세표[사번키],INDEX(합계표[사번키],$W100),상세표[반영월],대상월키,상세표[반영 기관],"서울병원"))</f>
        <v/>
      </c>
      <c r="N100">
        <f>IF($W100="","",SUMIFS(상세표[07~18시],상세표[사번키],INDEX(합계표[사번키],$W100),상세표[반영월],대상월키,상세표[반영 기관],"서울병원"))</f>
        <v/>
      </c>
      <c r="O100">
        <f>IF($W100="","",SUMIFS(상세표[18~22시],상세표[사번키],INDEX(합계표[사번키],$W100),상세표[반영월],대상월키,상세표[반영 기관],"서울병원"))</f>
        <v/>
      </c>
      <c r="P100">
        <f>IF($W100="","",SUMIFS(상세표[22~06시],상세표[사번키],INDEX(합계표[사번키],$W100),상세표[반영월],대상월키,상세표[반영 기관],"서울병원"))</f>
        <v/>
      </c>
      <c r="Q100">
        <f>IF($W100="","",SUM($M100:$P100))</f>
        <v/>
      </c>
      <c r="R100">
        <f>IF($W100="","",COUNTIFS(상세표[사번키],INDEX(합계표[사번키],$W100),상세표[반영월],대상월키,상세표[야간당직],1,상세표[야간 구분],"평일"))</f>
        <v/>
      </c>
      <c r="S100" s="4">
        <f>IF($W100="","",COUNTIFS(상세표[사번키],INDEX(합계표[사번키],$W100),상세표[반영월],대상월키,상세표[야간당직],1,상세표[야간 구분],"휴일"))</f>
        <v/>
      </c>
      <c r="T100">
        <f>IF($W100="","",COUNTIFS(상세표[사번키],INDEX(합계표[사번키],$W100),상세표[반영월],대상월키,상세표[야간당직],1,상세표[야간 구분],"평일",상세표[반영 기관],"서울병원"))</f>
        <v/>
      </c>
      <c r="U100">
        <f>IF($W100="","",COUNTIFS(상세표[사번키],INDEX(합계표[사번키],$W100),상세표[반영월],대상월키,상세표[야간당직],1,상세표[야간 구분],"휴일",상세표[반영 기관],"서울병원"))</f>
        <v/>
      </c>
      <c r="V100">
        <f>IF($W100="","",IF(ISNUMBER(MATCH(INDEX(합계표[사번키],$W100)&amp;"|"&amp;대상월키,월별근무지표[키],0)),"직접 입력",IF($K100="—","—","기관명단")))</f>
        <v/>
      </c>
      <c r="W100">
        <f>IFERROR(MATCH(95,합계표[판정순번],0),"")</f>
        <v/>
      </c>
      <c r="Y100">
        <f>IF($AB100="","",INDEX(상세표[사번],$AB100)&amp;"")</f>
        <v/>
      </c>
      <c r="Z100">
        <f>IF($AB100="","",INDEX(상세표[성명],$AB100)&amp;"")</f>
        <v/>
      </c>
      <c r="AA100">
        <f>IF($AB100="","",SUMIFS(상세표[기록 시간외],상세표[사번키],INDEX(상세표[사번키],$AB100),상세표[반영월],대상월키))</f>
        <v/>
      </c>
      <c r="AB100" s="4">
        <f>IFERROR(MATCH(95,상세표[합계없음순번],0),"")</f>
        <v/>
      </c>
    </row>
    <row r="101">
      <c r="A101">
        <f>IF($W101="","",INDEX(합계표[사번],$W101)&amp;"")</f>
        <v/>
      </c>
      <c r="B101">
        <f>IF($W101="","",INDEX(합계표[성명],$W101)&amp;"")</f>
        <v/>
      </c>
      <c r="C101">
        <f>IF($W101="","",INDEX(합계표[부서],$W101)&amp;"")</f>
        <v/>
      </c>
      <c r="D101">
        <f>IF($W101="","",INDEX(합계표[직위(통합)],$W101)&amp;"")</f>
        <v/>
      </c>
      <c r="E101">
        <f>IF($W101="","",SUMIFS(합계표[시스템 합계],합계표[사번키],INDEX(합계표[사번키],$W101)))</f>
        <v/>
      </c>
      <c r="F101">
        <f>IF($W101="","",SUMIFS(상세표[기록 시간외],상세표[사번키],INDEX(합계표[사번키],$W101),상세표[기록월],대상월키))</f>
        <v/>
      </c>
      <c r="G101">
        <f>IF($W101="","",IF(ABS($E101-$F101)&lt;0.01,"일치","불일치(차이 "&amp;TEXT($F101-$E101,"0.00")&amp;")"))</f>
        <v/>
      </c>
      <c r="H101">
        <f>IF($W101="","",SUMIFS(상세표[기록 시간외],상세표[사번키],INDEX(합계표[사번키],$W101),상세표[기록월],대상월키,상세표[반영월],"&lt;&gt;"&amp;대상월키))</f>
        <v/>
      </c>
      <c r="I101">
        <f>IF($W101="","",SUMIFS(상세표[기록 시간외],상세표[사번키],INDEX(합계표[사번키],$W101),상세표[기록월],"&lt;&gt;"&amp;대상월키,상세표[반영월],대상월키))</f>
        <v/>
      </c>
      <c r="J101">
        <f>IF($W101="","",SUMIFS(상세표[기록 시간외],상세표[사번키],INDEX(합계표[사번키],$W101),상세표[반영월],대상월키))</f>
        <v/>
      </c>
      <c r="K101">
        <f>IF($W101="","",IFERROR(INDEX(월별근무지표[적용 급여병원],MATCH(INDEX(합계표[사번키],$W101)&amp;"|"&amp;대상월키,월별근무지표[키],0))&amp;"",IF(COUNTIF(기관표[사번키],INDEX(합계표[사번키],$W101))+COUNTIF(월별근무지표[사번키],INDEX(합계표[사번키],$W101))&gt;0,IFERROR(INDEX(기관표[급여지급병원(기준월)],MATCH(INDEX(합계표[사번키],$W101)&amp;"|"&amp;대상월키,기관표[키],0))&amp;"","—"),"—")))</f>
        <v/>
      </c>
      <c r="L101">
        <f>IF($W101="","",IF(NOT(COUNTIF(기관표[사번키],INDEX(합계표[사번키],$W101))+COUNTIF(월별근무지표[사번키],INDEX(합계표[사번키],$W101))&gt;0),"기관명단에 없음(다른 병원으로 발송)",IF($K101="—","대상월 기관명단 없음(추가 필요)",IF($K101="서울병원","해당","비해당"))))</f>
        <v/>
      </c>
      <c r="M101">
        <f>IF($W101="","",SUMIFS(상세표[06~07시],상세표[사번키],INDEX(합계표[사번키],$W101),상세표[반영월],대상월키,상세표[반영 기관],"서울병원"))</f>
        <v/>
      </c>
      <c r="N101">
        <f>IF($W101="","",SUMIFS(상세표[07~18시],상세표[사번키],INDEX(합계표[사번키],$W101),상세표[반영월],대상월키,상세표[반영 기관],"서울병원"))</f>
        <v/>
      </c>
      <c r="O101">
        <f>IF($W101="","",SUMIFS(상세표[18~22시],상세표[사번키],INDEX(합계표[사번키],$W101),상세표[반영월],대상월키,상세표[반영 기관],"서울병원"))</f>
        <v/>
      </c>
      <c r="P101">
        <f>IF($W101="","",SUMIFS(상세표[22~06시],상세표[사번키],INDEX(합계표[사번키],$W101),상세표[반영월],대상월키,상세표[반영 기관],"서울병원"))</f>
        <v/>
      </c>
      <c r="Q101">
        <f>IF($W101="","",SUM($M101:$P101))</f>
        <v/>
      </c>
      <c r="R101">
        <f>IF($W101="","",COUNTIFS(상세표[사번키],INDEX(합계표[사번키],$W101),상세표[반영월],대상월키,상세표[야간당직],1,상세표[야간 구분],"평일"))</f>
        <v/>
      </c>
      <c r="S101" s="4">
        <f>IF($W101="","",COUNTIFS(상세표[사번키],INDEX(합계표[사번키],$W101),상세표[반영월],대상월키,상세표[야간당직],1,상세표[야간 구분],"휴일"))</f>
        <v/>
      </c>
      <c r="T101">
        <f>IF($W101="","",COUNTIFS(상세표[사번키],INDEX(합계표[사번키],$W101),상세표[반영월],대상월키,상세표[야간당직],1,상세표[야간 구분],"평일",상세표[반영 기관],"서울병원"))</f>
        <v/>
      </c>
      <c r="U101">
        <f>IF($W101="","",COUNTIFS(상세표[사번키],INDEX(합계표[사번키],$W101),상세표[반영월],대상월키,상세표[야간당직],1,상세표[야간 구분],"휴일",상세표[반영 기관],"서울병원"))</f>
        <v/>
      </c>
      <c r="V101">
        <f>IF($W101="","",IF(ISNUMBER(MATCH(INDEX(합계표[사번키],$W101)&amp;"|"&amp;대상월키,월별근무지표[키],0)),"직접 입력",IF($K101="—","—","기관명단")))</f>
        <v/>
      </c>
      <c r="W101">
        <f>IFERROR(MATCH(96,합계표[판정순번],0),"")</f>
        <v/>
      </c>
      <c r="Y101">
        <f>IF($AB101="","",INDEX(상세표[사번],$AB101)&amp;"")</f>
        <v/>
      </c>
      <c r="Z101">
        <f>IF($AB101="","",INDEX(상세표[성명],$AB101)&amp;"")</f>
        <v/>
      </c>
      <c r="AA101">
        <f>IF($AB101="","",SUMIFS(상세표[기록 시간외],상세표[사번키],INDEX(상세표[사번키],$AB101),상세표[반영월],대상월키))</f>
        <v/>
      </c>
      <c r="AB101" s="4">
        <f>IFERROR(MATCH(96,상세표[합계없음순번],0),"")</f>
        <v/>
      </c>
    </row>
    <row r="102">
      <c r="A102">
        <f>IF($W102="","",INDEX(합계표[사번],$W102)&amp;"")</f>
        <v/>
      </c>
      <c r="B102">
        <f>IF($W102="","",INDEX(합계표[성명],$W102)&amp;"")</f>
        <v/>
      </c>
      <c r="C102">
        <f>IF($W102="","",INDEX(합계표[부서],$W102)&amp;"")</f>
        <v/>
      </c>
      <c r="D102">
        <f>IF($W102="","",INDEX(합계표[직위(통합)],$W102)&amp;"")</f>
        <v/>
      </c>
      <c r="E102">
        <f>IF($W102="","",SUMIFS(합계표[시스템 합계],합계표[사번키],INDEX(합계표[사번키],$W102)))</f>
        <v/>
      </c>
      <c r="F102">
        <f>IF($W102="","",SUMIFS(상세표[기록 시간외],상세표[사번키],INDEX(합계표[사번키],$W102),상세표[기록월],대상월키))</f>
        <v/>
      </c>
      <c r="G102">
        <f>IF($W102="","",IF(ABS($E102-$F102)&lt;0.01,"일치","불일치(차이 "&amp;TEXT($F102-$E102,"0.00")&amp;")"))</f>
        <v/>
      </c>
      <c r="H102">
        <f>IF($W102="","",SUMIFS(상세표[기록 시간외],상세표[사번키],INDEX(합계표[사번키],$W102),상세표[기록월],대상월키,상세표[반영월],"&lt;&gt;"&amp;대상월키))</f>
        <v/>
      </c>
      <c r="I102">
        <f>IF($W102="","",SUMIFS(상세표[기록 시간외],상세표[사번키],INDEX(합계표[사번키],$W102),상세표[기록월],"&lt;&gt;"&amp;대상월키,상세표[반영월],대상월키))</f>
        <v/>
      </c>
      <c r="J102">
        <f>IF($W102="","",SUMIFS(상세표[기록 시간외],상세표[사번키],INDEX(합계표[사번키],$W102),상세표[반영월],대상월키))</f>
        <v/>
      </c>
      <c r="K102">
        <f>IF($W102="","",IFERROR(INDEX(월별근무지표[적용 급여병원],MATCH(INDEX(합계표[사번키],$W102)&amp;"|"&amp;대상월키,월별근무지표[키],0))&amp;"",IF(COUNTIF(기관표[사번키],INDEX(합계표[사번키],$W102))+COUNTIF(월별근무지표[사번키],INDEX(합계표[사번키],$W102))&gt;0,IFERROR(INDEX(기관표[급여지급병원(기준월)],MATCH(INDEX(합계표[사번키],$W102)&amp;"|"&amp;대상월키,기관표[키],0))&amp;"","—"),"—")))</f>
        <v/>
      </c>
      <c r="L102">
        <f>IF($W102="","",IF(NOT(COUNTIF(기관표[사번키],INDEX(합계표[사번키],$W102))+COUNTIF(월별근무지표[사번키],INDEX(합계표[사번키],$W102))&gt;0),"기관명단에 없음(다른 병원으로 발송)",IF($K102="—","대상월 기관명단 없음(추가 필요)",IF($K102="서울병원","해당","비해당"))))</f>
        <v/>
      </c>
      <c r="M102">
        <f>IF($W102="","",SUMIFS(상세표[06~07시],상세표[사번키],INDEX(합계표[사번키],$W102),상세표[반영월],대상월키,상세표[반영 기관],"서울병원"))</f>
        <v/>
      </c>
      <c r="N102">
        <f>IF($W102="","",SUMIFS(상세표[07~18시],상세표[사번키],INDEX(합계표[사번키],$W102),상세표[반영월],대상월키,상세표[반영 기관],"서울병원"))</f>
        <v/>
      </c>
      <c r="O102">
        <f>IF($W102="","",SUMIFS(상세표[18~22시],상세표[사번키],INDEX(합계표[사번키],$W102),상세표[반영월],대상월키,상세표[반영 기관],"서울병원"))</f>
        <v/>
      </c>
      <c r="P102">
        <f>IF($W102="","",SUMIFS(상세표[22~06시],상세표[사번키],INDEX(합계표[사번키],$W102),상세표[반영월],대상월키,상세표[반영 기관],"서울병원"))</f>
        <v/>
      </c>
      <c r="Q102">
        <f>IF($W102="","",SUM($M102:$P102))</f>
        <v/>
      </c>
      <c r="R102">
        <f>IF($W102="","",COUNTIFS(상세표[사번키],INDEX(합계표[사번키],$W102),상세표[반영월],대상월키,상세표[야간당직],1,상세표[야간 구분],"평일"))</f>
        <v/>
      </c>
      <c r="S102" s="4">
        <f>IF($W102="","",COUNTIFS(상세표[사번키],INDEX(합계표[사번키],$W102),상세표[반영월],대상월키,상세표[야간당직],1,상세표[야간 구분],"휴일"))</f>
        <v/>
      </c>
      <c r="T102">
        <f>IF($W102="","",COUNTIFS(상세표[사번키],INDEX(합계표[사번키],$W102),상세표[반영월],대상월키,상세표[야간당직],1,상세표[야간 구분],"평일",상세표[반영 기관],"서울병원"))</f>
        <v/>
      </c>
      <c r="U102">
        <f>IF($W102="","",COUNTIFS(상세표[사번키],INDEX(합계표[사번키],$W102),상세표[반영월],대상월키,상세표[야간당직],1,상세표[야간 구분],"휴일",상세표[반영 기관],"서울병원"))</f>
        <v/>
      </c>
      <c r="V102">
        <f>IF($W102="","",IF(ISNUMBER(MATCH(INDEX(합계표[사번키],$W102)&amp;"|"&amp;대상월키,월별근무지표[키],0)),"직접 입력",IF($K102="—","—","기관명단")))</f>
        <v/>
      </c>
      <c r="W102">
        <f>IFERROR(MATCH(97,합계표[판정순번],0),"")</f>
        <v/>
      </c>
      <c r="Y102">
        <f>IF($AB102="","",INDEX(상세표[사번],$AB102)&amp;"")</f>
        <v/>
      </c>
      <c r="Z102">
        <f>IF($AB102="","",INDEX(상세표[성명],$AB102)&amp;"")</f>
        <v/>
      </c>
      <c r="AA102">
        <f>IF($AB102="","",SUMIFS(상세표[기록 시간외],상세표[사번키],INDEX(상세표[사번키],$AB102),상세표[반영월],대상월키))</f>
        <v/>
      </c>
      <c r="AB102" s="4">
        <f>IFERROR(MATCH(97,상세표[합계없음순번],0),"")</f>
        <v/>
      </c>
    </row>
    <row r="103">
      <c r="A103">
        <f>IF($W103="","",INDEX(합계표[사번],$W103)&amp;"")</f>
        <v/>
      </c>
      <c r="B103">
        <f>IF($W103="","",INDEX(합계표[성명],$W103)&amp;"")</f>
        <v/>
      </c>
      <c r="C103">
        <f>IF($W103="","",INDEX(합계표[부서],$W103)&amp;"")</f>
        <v/>
      </c>
      <c r="D103">
        <f>IF($W103="","",INDEX(합계표[직위(통합)],$W103)&amp;"")</f>
        <v/>
      </c>
      <c r="E103">
        <f>IF($W103="","",SUMIFS(합계표[시스템 합계],합계표[사번키],INDEX(합계표[사번키],$W103)))</f>
        <v/>
      </c>
      <c r="F103">
        <f>IF($W103="","",SUMIFS(상세표[기록 시간외],상세표[사번키],INDEX(합계표[사번키],$W103),상세표[기록월],대상월키))</f>
        <v/>
      </c>
      <c r="G103">
        <f>IF($W103="","",IF(ABS($E103-$F103)&lt;0.01,"일치","불일치(차이 "&amp;TEXT($F103-$E103,"0.00")&amp;")"))</f>
        <v/>
      </c>
      <c r="H103">
        <f>IF($W103="","",SUMIFS(상세표[기록 시간외],상세표[사번키],INDEX(합계표[사번키],$W103),상세표[기록월],대상월키,상세표[반영월],"&lt;&gt;"&amp;대상월키))</f>
        <v/>
      </c>
      <c r="I103">
        <f>IF($W103="","",SUMIFS(상세표[기록 시간외],상세표[사번키],INDEX(합계표[사번키],$W103),상세표[기록월],"&lt;&gt;"&amp;대상월키,상세표[반영월],대상월키))</f>
        <v/>
      </c>
      <c r="J103">
        <f>IF($W103="","",SUMIFS(상세표[기록 시간외],상세표[사번키],INDEX(합계표[사번키],$W103),상세표[반영월],대상월키))</f>
        <v/>
      </c>
      <c r="K103">
        <f>IF($W103="","",IFERROR(INDEX(월별근무지표[적용 급여병원],MATCH(INDEX(합계표[사번키],$W103)&amp;"|"&amp;대상월키,월별근무지표[키],0))&amp;"",IF(COUNTIF(기관표[사번키],INDEX(합계표[사번키],$W103))+COUNTIF(월별근무지표[사번키],INDEX(합계표[사번키],$W103))&gt;0,IFERROR(INDEX(기관표[급여지급병원(기준월)],MATCH(INDEX(합계표[사번키],$W103)&amp;"|"&amp;대상월키,기관표[키],0))&amp;"","—"),"—")))</f>
        <v/>
      </c>
      <c r="L103">
        <f>IF($W103="","",IF(NOT(COUNTIF(기관표[사번키],INDEX(합계표[사번키],$W103))+COUNTIF(월별근무지표[사번키],INDEX(합계표[사번키],$W103))&gt;0),"기관명단에 없음(다른 병원으로 발송)",IF($K103="—","대상월 기관명단 없음(추가 필요)",IF($K103="서울병원","해당","비해당"))))</f>
        <v/>
      </c>
      <c r="M103">
        <f>IF($W103="","",SUMIFS(상세표[06~07시],상세표[사번키],INDEX(합계표[사번키],$W103),상세표[반영월],대상월키,상세표[반영 기관],"서울병원"))</f>
        <v/>
      </c>
      <c r="N103">
        <f>IF($W103="","",SUMIFS(상세표[07~18시],상세표[사번키],INDEX(합계표[사번키],$W103),상세표[반영월],대상월키,상세표[반영 기관],"서울병원"))</f>
        <v/>
      </c>
      <c r="O103">
        <f>IF($W103="","",SUMIFS(상세표[18~22시],상세표[사번키],INDEX(합계표[사번키],$W103),상세표[반영월],대상월키,상세표[반영 기관],"서울병원"))</f>
        <v/>
      </c>
      <c r="P103">
        <f>IF($W103="","",SUMIFS(상세표[22~06시],상세표[사번키],INDEX(합계표[사번키],$W103),상세표[반영월],대상월키,상세표[반영 기관],"서울병원"))</f>
        <v/>
      </c>
      <c r="Q103">
        <f>IF($W103="","",SUM($M103:$P103))</f>
        <v/>
      </c>
      <c r="R103">
        <f>IF($W103="","",COUNTIFS(상세표[사번키],INDEX(합계표[사번키],$W103),상세표[반영월],대상월키,상세표[야간당직],1,상세표[야간 구분],"평일"))</f>
        <v/>
      </c>
      <c r="S103" s="4">
        <f>IF($W103="","",COUNTIFS(상세표[사번키],INDEX(합계표[사번키],$W103),상세표[반영월],대상월키,상세표[야간당직],1,상세표[야간 구분],"휴일"))</f>
        <v/>
      </c>
      <c r="T103">
        <f>IF($W103="","",COUNTIFS(상세표[사번키],INDEX(합계표[사번키],$W103),상세표[반영월],대상월키,상세표[야간당직],1,상세표[야간 구분],"평일",상세표[반영 기관],"서울병원"))</f>
        <v/>
      </c>
      <c r="U103">
        <f>IF($W103="","",COUNTIFS(상세표[사번키],INDEX(합계표[사번키],$W103),상세표[반영월],대상월키,상세표[야간당직],1,상세표[야간 구분],"휴일",상세표[반영 기관],"서울병원"))</f>
        <v/>
      </c>
      <c r="V103">
        <f>IF($W103="","",IF(ISNUMBER(MATCH(INDEX(합계표[사번키],$W103)&amp;"|"&amp;대상월키,월별근무지표[키],0)),"직접 입력",IF($K103="—","—","기관명단")))</f>
        <v/>
      </c>
      <c r="W103">
        <f>IFERROR(MATCH(98,합계표[판정순번],0),"")</f>
        <v/>
      </c>
      <c r="Y103">
        <f>IF($AB103="","",INDEX(상세표[사번],$AB103)&amp;"")</f>
        <v/>
      </c>
      <c r="Z103">
        <f>IF($AB103="","",INDEX(상세표[성명],$AB103)&amp;"")</f>
        <v/>
      </c>
      <c r="AA103">
        <f>IF($AB103="","",SUMIFS(상세표[기록 시간외],상세표[사번키],INDEX(상세표[사번키],$AB103),상세표[반영월],대상월키))</f>
        <v/>
      </c>
      <c r="AB103" s="4">
        <f>IFERROR(MATCH(98,상세표[합계없음순번],0),"")</f>
        <v/>
      </c>
    </row>
    <row r="104">
      <c r="A104">
        <f>IF($W104="","",INDEX(합계표[사번],$W104)&amp;"")</f>
        <v/>
      </c>
      <c r="B104">
        <f>IF($W104="","",INDEX(합계표[성명],$W104)&amp;"")</f>
        <v/>
      </c>
      <c r="C104">
        <f>IF($W104="","",INDEX(합계표[부서],$W104)&amp;"")</f>
        <v/>
      </c>
      <c r="D104">
        <f>IF($W104="","",INDEX(합계표[직위(통합)],$W104)&amp;"")</f>
        <v/>
      </c>
      <c r="E104">
        <f>IF($W104="","",SUMIFS(합계표[시스템 합계],합계표[사번키],INDEX(합계표[사번키],$W104)))</f>
        <v/>
      </c>
      <c r="F104">
        <f>IF($W104="","",SUMIFS(상세표[기록 시간외],상세표[사번키],INDEX(합계표[사번키],$W104),상세표[기록월],대상월키))</f>
        <v/>
      </c>
      <c r="G104">
        <f>IF($W104="","",IF(ABS($E104-$F104)&lt;0.01,"일치","불일치(차이 "&amp;TEXT($F104-$E104,"0.00")&amp;")"))</f>
        <v/>
      </c>
      <c r="H104">
        <f>IF($W104="","",SUMIFS(상세표[기록 시간외],상세표[사번키],INDEX(합계표[사번키],$W104),상세표[기록월],대상월키,상세표[반영월],"&lt;&gt;"&amp;대상월키))</f>
        <v/>
      </c>
      <c r="I104">
        <f>IF($W104="","",SUMIFS(상세표[기록 시간외],상세표[사번키],INDEX(합계표[사번키],$W104),상세표[기록월],"&lt;&gt;"&amp;대상월키,상세표[반영월],대상월키))</f>
        <v/>
      </c>
      <c r="J104">
        <f>IF($W104="","",SUMIFS(상세표[기록 시간외],상세표[사번키],INDEX(합계표[사번키],$W104),상세표[반영월],대상월키))</f>
        <v/>
      </c>
      <c r="K104">
        <f>IF($W104="","",IFERROR(INDEX(월별근무지표[적용 급여병원],MATCH(INDEX(합계표[사번키],$W104)&amp;"|"&amp;대상월키,월별근무지표[키],0))&amp;"",IF(COUNTIF(기관표[사번키],INDEX(합계표[사번키],$W104))+COUNTIF(월별근무지표[사번키],INDEX(합계표[사번키],$W104))&gt;0,IFERROR(INDEX(기관표[급여지급병원(기준월)],MATCH(INDEX(합계표[사번키],$W104)&amp;"|"&amp;대상월키,기관표[키],0))&amp;"","—"),"—")))</f>
        <v/>
      </c>
      <c r="L104">
        <f>IF($W104="","",IF(NOT(COUNTIF(기관표[사번키],INDEX(합계표[사번키],$W104))+COUNTIF(월별근무지표[사번키],INDEX(합계표[사번키],$W104))&gt;0),"기관명단에 없음(다른 병원으로 발송)",IF($K104="—","대상월 기관명단 없음(추가 필요)",IF($K104="서울병원","해당","비해당"))))</f>
        <v/>
      </c>
      <c r="M104">
        <f>IF($W104="","",SUMIFS(상세표[06~07시],상세표[사번키],INDEX(합계표[사번키],$W104),상세표[반영월],대상월키,상세표[반영 기관],"서울병원"))</f>
        <v/>
      </c>
      <c r="N104">
        <f>IF($W104="","",SUMIFS(상세표[07~18시],상세표[사번키],INDEX(합계표[사번키],$W104),상세표[반영월],대상월키,상세표[반영 기관],"서울병원"))</f>
        <v/>
      </c>
      <c r="O104">
        <f>IF($W104="","",SUMIFS(상세표[18~22시],상세표[사번키],INDEX(합계표[사번키],$W104),상세표[반영월],대상월키,상세표[반영 기관],"서울병원"))</f>
        <v/>
      </c>
      <c r="P104">
        <f>IF($W104="","",SUMIFS(상세표[22~06시],상세표[사번키],INDEX(합계표[사번키],$W104),상세표[반영월],대상월키,상세표[반영 기관],"서울병원"))</f>
        <v/>
      </c>
      <c r="Q104">
        <f>IF($W104="","",SUM($M104:$P104))</f>
        <v/>
      </c>
      <c r="R104">
        <f>IF($W104="","",COUNTIFS(상세표[사번키],INDEX(합계표[사번키],$W104),상세표[반영월],대상월키,상세표[야간당직],1,상세표[야간 구분],"평일"))</f>
        <v/>
      </c>
      <c r="S104" s="4">
        <f>IF($W104="","",COUNTIFS(상세표[사번키],INDEX(합계표[사번키],$W104),상세표[반영월],대상월키,상세표[야간당직],1,상세표[야간 구분],"휴일"))</f>
        <v/>
      </c>
      <c r="T104">
        <f>IF($W104="","",COUNTIFS(상세표[사번키],INDEX(합계표[사번키],$W104),상세표[반영월],대상월키,상세표[야간당직],1,상세표[야간 구분],"평일",상세표[반영 기관],"서울병원"))</f>
        <v/>
      </c>
      <c r="U104">
        <f>IF($W104="","",COUNTIFS(상세표[사번키],INDEX(합계표[사번키],$W104),상세표[반영월],대상월키,상세표[야간당직],1,상세표[야간 구분],"휴일",상세표[반영 기관],"서울병원"))</f>
        <v/>
      </c>
      <c r="V104">
        <f>IF($W104="","",IF(ISNUMBER(MATCH(INDEX(합계표[사번키],$W104)&amp;"|"&amp;대상월키,월별근무지표[키],0)),"직접 입력",IF($K104="—","—","기관명단")))</f>
        <v/>
      </c>
      <c r="W104">
        <f>IFERROR(MATCH(99,합계표[판정순번],0),"")</f>
        <v/>
      </c>
      <c r="Y104">
        <f>IF($AB104="","",INDEX(상세표[사번],$AB104)&amp;"")</f>
        <v/>
      </c>
      <c r="Z104">
        <f>IF($AB104="","",INDEX(상세표[성명],$AB104)&amp;"")</f>
        <v/>
      </c>
      <c r="AA104">
        <f>IF($AB104="","",SUMIFS(상세표[기록 시간외],상세표[사번키],INDEX(상세표[사번키],$AB104),상세표[반영월],대상월키))</f>
        <v/>
      </c>
      <c r="AB104" s="4">
        <f>IFERROR(MATCH(99,상세표[합계없음순번],0),"")</f>
        <v/>
      </c>
    </row>
    <row r="105">
      <c r="A105">
        <f>IF($W105="","",INDEX(합계표[사번],$W105)&amp;"")</f>
        <v/>
      </c>
      <c r="B105">
        <f>IF($W105="","",INDEX(합계표[성명],$W105)&amp;"")</f>
        <v/>
      </c>
      <c r="C105">
        <f>IF($W105="","",INDEX(합계표[부서],$W105)&amp;"")</f>
        <v/>
      </c>
      <c r="D105">
        <f>IF($W105="","",INDEX(합계표[직위(통합)],$W105)&amp;"")</f>
        <v/>
      </c>
      <c r="E105">
        <f>IF($W105="","",SUMIFS(합계표[시스템 합계],합계표[사번키],INDEX(합계표[사번키],$W105)))</f>
        <v/>
      </c>
      <c r="F105">
        <f>IF($W105="","",SUMIFS(상세표[기록 시간외],상세표[사번키],INDEX(합계표[사번키],$W105),상세표[기록월],대상월키))</f>
        <v/>
      </c>
      <c r="G105">
        <f>IF($W105="","",IF(ABS($E105-$F105)&lt;0.01,"일치","불일치(차이 "&amp;TEXT($F105-$E105,"0.00")&amp;")"))</f>
        <v/>
      </c>
      <c r="H105">
        <f>IF($W105="","",SUMIFS(상세표[기록 시간외],상세표[사번키],INDEX(합계표[사번키],$W105),상세표[기록월],대상월키,상세표[반영월],"&lt;&gt;"&amp;대상월키))</f>
        <v/>
      </c>
      <c r="I105">
        <f>IF($W105="","",SUMIFS(상세표[기록 시간외],상세표[사번키],INDEX(합계표[사번키],$W105),상세표[기록월],"&lt;&gt;"&amp;대상월키,상세표[반영월],대상월키))</f>
        <v/>
      </c>
      <c r="J105">
        <f>IF($W105="","",SUMIFS(상세표[기록 시간외],상세표[사번키],INDEX(합계표[사번키],$W105),상세표[반영월],대상월키))</f>
        <v/>
      </c>
      <c r="K105">
        <f>IF($W105="","",IFERROR(INDEX(월별근무지표[적용 급여병원],MATCH(INDEX(합계표[사번키],$W105)&amp;"|"&amp;대상월키,월별근무지표[키],0))&amp;"",IF(COUNTIF(기관표[사번키],INDEX(합계표[사번키],$W105))+COUNTIF(월별근무지표[사번키],INDEX(합계표[사번키],$W105))&gt;0,IFERROR(INDEX(기관표[급여지급병원(기준월)],MATCH(INDEX(합계표[사번키],$W105)&amp;"|"&amp;대상월키,기관표[키],0))&amp;"","—"),"—")))</f>
        <v/>
      </c>
      <c r="L105">
        <f>IF($W105="","",IF(NOT(COUNTIF(기관표[사번키],INDEX(합계표[사번키],$W105))+COUNTIF(월별근무지표[사번키],INDEX(합계표[사번키],$W105))&gt;0),"기관명단에 없음(다른 병원으로 발송)",IF($K105="—","대상월 기관명단 없음(추가 필요)",IF($K105="서울병원","해당","비해당"))))</f>
        <v/>
      </c>
      <c r="M105">
        <f>IF($W105="","",SUMIFS(상세표[06~07시],상세표[사번키],INDEX(합계표[사번키],$W105),상세표[반영월],대상월키,상세표[반영 기관],"서울병원"))</f>
        <v/>
      </c>
      <c r="N105">
        <f>IF($W105="","",SUMIFS(상세표[07~18시],상세표[사번키],INDEX(합계표[사번키],$W105),상세표[반영월],대상월키,상세표[반영 기관],"서울병원"))</f>
        <v/>
      </c>
      <c r="O105">
        <f>IF($W105="","",SUMIFS(상세표[18~22시],상세표[사번키],INDEX(합계표[사번키],$W105),상세표[반영월],대상월키,상세표[반영 기관],"서울병원"))</f>
        <v/>
      </c>
      <c r="P105">
        <f>IF($W105="","",SUMIFS(상세표[22~06시],상세표[사번키],INDEX(합계표[사번키],$W105),상세표[반영월],대상월키,상세표[반영 기관],"서울병원"))</f>
        <v/>
      </c>
      <c r="Q105">
        <f>IF($W105="","",SUM($M105:$P105))</f>
        <v/>
      </c>
      <c r="R105">
        <f>IF($W105="","",COUNTIFS(상세표[사번키],INDEX(합계표[사번키],$W105),상세표[반영월],대상월키,상세표[야간당직],1,상세표[야간 구분],"평일"))</f>
        <v/>
      </c>
      <c r="S105" s="4">
        <f>IF($W105="","",COUNTIFS(상세표[사번키],INDEX(합계표[사번키],$W105),상세표[반영월],대상월키,상세표[야간당직],1,상세표[야간 구분],"휴일"))</f>
        <v/>
      </c>
      <c r="T105">
        <f>IF($W105="","",COUNTIFS(상세표[사번키],INDEX(합계표[사번키],$W105),상세표[반영월],대상월키,상세표[야간당직],1,상세표[야간 구분],"평일",상세표[반영 기관],"서울병원"))</f>
        <v/>
      </c>
      <c r="U105">
        <f>IF($W105="","",COUNTIFS(상세표[사번키],INDEX(합계표[사번키],$W105),상세표[반영월],대상월키,상세표[야간당직],1,상세표[야간 구분],"휴일",상세표[반영 기관],"서울병원"))</f>
        <v/>
      </c>
      <c r="V105">
        <f>IF($W105="","",IF(ISNUMBER(MATCH(INDEX(합계표[사번키],$W105)&amp;"|"&amp;대상월키,월별근무지표[키],0)),"직접 입력",IF($K105="—","—","기관명단")))</f>
        <v/>
      </c>
      <c r="W105">
        <f>IFERROR(MATCH(100,합계표[판정순번],0),"")</f>
        <v/>
      </c>
      <c r="Y105">
        <f>IF($AB105="","",INDEX(상세표[사번],$AB105)&amp;"")</f>
        <v/>
      </c>
      <c r="Z105">
        <f>IF($AB105="","",INDEX(상세표[성명],$AB105)&amp;"")</f>
        <v/>
      </c>
      <c r="AA105">
        <f>IF($AB105="","",SUMIFS(상세표[기록 시간외],상세표[사번키],INDEX(상세표[사번키],$AB105),상세표[반영월],대상월키))</f>
        <v/>
      </c>
      <c r="AB105" s="4">
        <f>IFERROR(MATCH(100,상세표[합계없음순번],0),"")</f>
        <v/>
      </c>
    </row>
    <row r="106">
      <c r="A106">
        <f>IF($W106="","",INDEX(합계표[사번],$W106)&amp;"")</f>
        <v/>
      </c>
      <c r="B106">
        <f>IF($W106="","",INDEX(합계표[성명],$W106)&amp;"")</f>
        <v/>
      </c>
      <c r="C106">
        <f>IF($W106="","",INDEX(합계표[부서],$W106)&amp;"")</f>
        <v/>
      </c>
      <c r="D106">
        <f>IF($W106="","",INDEX(합계표[직위(통합)],$W106)&amp;"")</f>
        <v/>
      </c>
      <c r="E106">
        <f>IF($W106="","",SUMIFS(합계표[시스템 합계],합계표[사번키],INDEX(합계표[사번키],$W106)))</f>
        <v/>
      </c>
      <c r="F106">
        <f>IF($W106="","",SUMIFS(상세표[기록 시간외],상세표[사번키],INDEX(합계표[사번키],$W106),상세표[기록월],대상월키))</f>
        <v/>
      </c>
      <c r="G106">
        <f>IF($W106="","",IF(ABS($E106-$F106)&lt;0.01,"일치","불일치(차이 "&amp;TEXT($F106-$E106,"0.00")&amp;")"))</f>
        <v/>
      </c>
      <c r="H106">
        <f>IF($W106="","",SUMIFS(상세표[기록 시간외],상세표[사번키],INDEX(합계표[사번키],$W106),상세표[기록월],대상월키,상세표[반영월],"&lt;&gt;"&amp;대상월키))</f>
        <v/>
      </c>
      <c r="I106">
        <f>IF($W106="","",SUMIFS(상세표[기록 시간외],상세표[사번키],INDEX(합계표[사번키],$W106),상세표[기록월],"&lt;&gt;"&amp;대상월키,상세표[반영월],대상월키))</f>
        <v/>
      </c>
      <c r="J106">
        <f>IF($W106="","",SUMIFS(상세표[기록 시간외],상세표[사번키],INDEX(합계표[사번키],$W106),상세표[반영월],대상월키))</f>
        <v/>
      </c>
      <c r="K106">
        <f>IF($W106="","",IFERROR(INDEX(월별근무지표[적용 급여병원],MATCH(INDEX(합계표[사번키],$W106)&amp;"|"&amp;대상월키,월별근무지표[키],0))&amp;"",IF(COUNTIF(기관표[사번키],INDEX(합계표[사번키],$W106))+COUNTIF(월별근무지표[사번키],INDEX(합계표[사번키],$W106))&gt;0,IFERROR(INDEX(기관표[급여지급병원(기준월)],MATCH(INDEX(합계표[사번키],$W106)&amp;"|"&amp;대상월키,기관표[키],0))&amp;"","—"),"—")))</f>
        <v/>
      </c>
      <c r="L106">
        <f>IF($W106="","",IF(NOT(COUNTIF(기관표[사번키],INDEX(합계표[사번키],$W106))+COUNTIF(월별근무지표[사번키],INDEX(합계표[사번키],$W106))&gt;0),"기관명단에 없음(다른 병원으로 발송)",IF($K106="—","대상월 기관명단 없음(추가 필요)",IF($K106="서울병원","해당","비해당"))))</f>
        <v/>
      </c>
      <c r="M106">
        <f>IF($W106="","",SUMIFS(상세표[06~07시],상세표[사번키],INDEX(합계표[사번키],$W106),상세표[반영월],대상월키,상세표[반영 기관],"서울병원"))</f>
        <v/>
      </c>
      <c r="N106">
        <f>IF($W106="","",SUMIFS(상세표[07~18시],상세표[사번키],INDEX(합계표[사번키],$W106),상세표[반영월],대상월키,상세표[반영 기관],"서울병원"))</f>
        <v/>
      </c>
      <c r="O106">
        <f>IF($W106="","",SUMIFS(상세표[18~22시],상세표[사번키],INDEX(합계표[사번키],$W106),상세표[반영월],대상월키,상세표[반영 기관],"서울병원"))</f>
        <v/>
      </c>
      <c r="P106">
        <f>IF($W106="","",SUMIFS(상세표[22~06시],상세표[사번키],INDEX(합계표[사번키],$W106),상세표[반영월],대상월키,상세표[반영 기관],"서울병원"))</f>
        <v/>
      </c>
      <c r="Q106">
        <f>IF($W106="","",SUM($M106:$P106))</f>
        <v/>
      </c>
      <c r="R106">
        <f>IF($W106="","",COUNTIFS(상세표[사번키],INDEX(합계표[사번키],$W106),상세표[반영월],대상월키,상세표[야간당직],1,상세표[야간 구분],"평일"))</f>
        <v/>
      </c>
      <c r="S106" s="4">
        <f>IF($W106="","",COUNTIFS(상세표[사번키],INDEX(합계표[사번키],$W106),상세표[반영월],대상월키,상세표[야간당직],1,상세표[야간 구분],"휴일"))</f>
        <v/>
      </c>
      <c r="T106">
        <f>IF($W106="","",COUNTIFS(상세표[사번키],INDEX(합계표[사번키],$W106),상세표[반영월],대상월키,상세표[야간당직],1,상세표[야간 구분],"평일",상세표[반영 기관],"서울병원"))</f>
        <v/>
      </c>
      <c r="U106">
        <f>IF($W106="","",COUNTIFS(상세표[사번키],INDEX(합계표[사번키],$W106),상세표[반영월],대상월키,상세표[야간당직],1,상세표[야간 구분],"휴일",상세표[반영 기관],"서울병원"))</f>
        <v/>
      </c>
      <c r="V106">
        <f>IF($W106="","",IF(ISNUMBER(MATCH(INDEX(합계표[사번키],$W106)&amp;"|"&amp;대상월키,월별근무지표[키],0)),"직접 입력",IF($K106="—","—","기관명단")))</f>
        <v/>
      </c>
      <c r="W106">
        <f>IFERROR(MATCH(101,합계표[판정순번],0),"")</f>
        <v/>
      </c>
      <c r="Y106">
        <f>IF($AB106="","",INDEX(상세표[사번],$AB106)&amp;"")</f>
        <v/>
      </c>
      <c r="Z106">
        <f>IF($AB106="","",INDEX(상세표[성명],$AB106)&amp;"")</f>
        <v/>
      </c>
      <c r="AA106">
        <f>IF($AB106="","",SUMIFS(상세표[기록 시간외],상세표[사번키],INDEX(상세표[사번키],$AB106),상세표[반영월],대상월키))</f>
        <v/>
      </c>
      <c r="AB106" s="4">
        <f>IFERROR(MATCH(101,상세표[합계없음순번],0),"")</f>
        <v/>
      </c>
    </row>
    <row r="107">
      <c r="A107">
        <f>IF($W107="","",INDEX(합계표[사번],$W107)&amp;"")</f>
        <v/>
      </c>
      <c r="B107">
        <f>IF($W107="","",INDEX(합계표[성명],$W107)&amp;"")</f>
        <v/>
      </c>
      <c r="C107">
        <f>IF($W107="","",INDEX(합계표[부서],$W107)&amp;"")</f>
        <v/>
      </c>
      <c r="D107">
        <f>IF($W107="","",INDEX(합계표[직위(통합)],$W107)&amp;"")</f>
        <v/>
      </c>
      <c r="E107">
        <f>IF($W107="","",SUMIFS(합계표[시스템 합계],합계표[사번키],INDEX(합계표[사번키],$W107)))</f>
        <v/>
      </c>
      <c r="F107">
        <f>IF($W107="","",SUMIFS(상세표[기록 시간외],상세표[사번키],INDEX(합계표[사번키],$W107),상세표[기록월],대상월키))</f>
        <v/>
      </c>
      <c r="G107">
        <f>IF($W107="","",IF(ABS($E107-$F107)&lt;0.01,"일치","불일치(차이 "&amp;TEXT($F107-$E107,"0.00")&amp;")"))</f>
        <v/>
      </c>
      <c r="H107">
        <f>IF($W107="","",SUMIFS(상세표[기록 시간외],상세표[사번키],INDEX(합계표[사번키],$W107),상세표[기록월],대상월키,상세표[반영월],"&lt;&gt;"&amp;대상월키))</f>
        <v/>
      </c>
      <c r="I107">
        <f>IF($W107="","",SUMIFS(상세표[기록 시간외],상세표[사번키],INDEX(합계표[사번키],$W107),상세표[기록월],"&lt;&gt;"&amp;대상월키,상세표[반영월],대상월키))</f>
        <v/>
      </c>
      <c r="J107">
        <f>IF($W107="","",SUMIFS(상세표[기록 시간외],상세표[사번키],INDEX(합계표[사번키],$W107),상세표[반영월],대상월키))</f>
        <v/>
      </c>
      <c r="K107">
        <f>IF($W107="","",IFERROR(INDEX(월별근무지표[적용 급여병원],MATCH(INDEX(합계표[사번키],$W107)&amp;"|"&amp;대상월키,월별근무지표[키],0))&amp;"",IF(COUNTIF(기관표[사번키],INDEX(합계표[사번키],$W107))+COUNTIF(월별근무지표[사번키],INDEX(합계표[사번키],$W107))&gt;0,IFERROR(INDEX(기관표[급여지급병원(기준월)],MATCH(INDEX(합계표[사번키],$W107)&amp;"|"&amp;대상월키,기관표[키],0))&amp;"","—"),"—")))</f>
        <v/>
      </c>
      <c r="L107">
        <f>IF($W107="","",IF(NOT(COUNTIF(기관표[사번키],INDEX(합계표[사번키],$W107))+COUNTIF(월별근무지표[사번키],INDEX(합계표[사번키],$W107))&gt;0),"기관명단에 없음(다른 병원으로 발송)",IF($K107="—","대상월 기관명단 없음(추가 필요)",IF($K107="서울병원","해당","비해당"))))</f>
        <v/>
      </c>
      <c r="M107">
        <f>IF($W107="","",SUMIFS(상세표[06~07시],상세표[사번키],INDEX(합계표[사번키],$W107),상세표[반영월],대상월키,상세표[반영 기관],"서울병원"))</f>
        <v/>
      </c>
      <c r="N107">
        <f>IF($W107="","",SUMIFS(상세표[07~18시],상세표[사번키],INDEX(합계표[사번키],$W107),상세표[반영월],대상월키,상세표[반영 기관],"서울병원"))</f>
        <v/>
      </c>
      <c r="O107">
        <f>IF($W107="","",SUMIFS(상세표[18~22시],상세표[사번키],INDEX(합계표[사번키],$W107),상세표[반영월],대상월키,상세표[반영 기관],"서울병원"))</f>
        <v/>
      </c>
      <c r="P107">
        <f>IF($W107="","",SUMIFS(상세표[22~06시],상세표[사번키],INDEX(합계표[사번키],$W107),상세표[반영월],대상월키,상세표[반영 기관],"서울병원"))</f>
        <v/>
      </c>
      <c r="Q107">
        <f>IF($W107="","",SUM($M107:$P107))</f>
        <v/>
      </c>
      <c r="R107">
        <f>IF($W107="","",COUNTIFS(상세표[사번키],INDEX(합계표[사번키],$W107),상세표[반영월],대상월키,상세표[야간당직],1,상세표[야간 구분],"평일"))</f>
        <v/>
      </c>
      <c r="S107" s="4">
        <f>IF($W107="","",COUNTIFS(상세표[사번키],INDEX(합계표[사번키],$W107),상세표[반영월],대상월키,상세표[야간당직],1,상세표[야간 구분],"휴일"))</f>
        <v/>
      </c>
      <c r="T107">
        <f>IF($W107="","",COUNTIFS(상세표[사번키],INDEX(합계표[사번키],$W107),상세표[반영월],대상월키,상세표[야간당직],1,상세표[야간 구분],"평일",상세표[반영 기관],"서울병원"))</f>
        <v/>
      </c>
      <c r="U107">
        <f>IF($W107="","",COUNTIFS(상세표[사번키],INDEX(합계표[사번키],$W107),상세표[반영월],대상월키,상세표[야간당직],1,상세표[야간 구분],"휴일",상세표[반영 기관],"서울병원"))</f>
        <v/>
      </c>
      <c r="V107">
        <f>IF($W107="","",IF(ISNUMBER(MATCH(INDEX(합계표[사번키],$W107)&amp;"|"&amp;대상월키,월별근무지표[키],0)),"직접 입력",IF($K107="—","—","기관명단")))</f>
        <v/>
      </c>
      <c r="W107">
        <f>IFERROR(MATCH(102,합계표[판정순번],0),"")</f>
        <v/>
      </c>
      <c r="Y107">
        <f>IF($AB107="","",INDEX(상세표[사번],$AB107)&amp;"")</f>
        <v/>
      </c>
      <c r="Z107">
        <f>IF($AB107="","",INDEX(상세표[성명],$AB107)&amp;"")</f>
        <v/>
      </c>
      <c r="AA107">
        <f>IF($AB107="","",SUMIFS(상세표[기록 시간외],상세표[사번키],INDEX(상세표[사번키],$AB107),상세표[반영월],대상월키))</f>
        <v/>
      </c>
      <c r="AB107" s="4">
        <f>IFERROR(MATCH(102,상세표[합계없음순번],0),"")</f>
        <v/>
      </c>
    </row>
    <row r="108">
      <c r="A108">
        <f>IF($W108="","",INDEX(합계표[사번],$W108)&amp;"")</f>
        <v/>
      </c>
      <c r="B108">
        <f>IF($W108="","",INDEX(합계표[성명],$W108)&amp;"")</f>
        <v/>
      </c>
      <c r="C108">
        <f>IF($W108="","",INDEX(합계표[부서],$W108)&amp;"")</f>
        <v/>
      </c>
      <c r="D108">
        <f>IF($W108="","",INDEX(합계표[직위(통합)],$W108)&amp;"")</f>
        <v/>
      </c>
      <c r="E108">
        <f>IF($W108="","",SUMIFS(합계표[시스템 합계],합계표[사번키],INDEX(합계표[사번키],$W108)))</f>
        <v/>
      </c>
      <c r="F108">
        <f>IF($W108="","",SUMIFS(상세표[기록 시간외],상세표[사번키],INDEX(합계표[사번키],$W108),상세표[기록월],대상월키))</f>
        <v/>
      </c>
      <c r="G108">
        <f>IF($W108="","",IF(ABS($E108-$F108)&lt;0.01,"일치","불일치(차이 "&amp;TEXT($F108-$E108,"0.00")&amp;")"))</f>
        <v/>
      </c>
      <c r="H108">
        <f>IF($W108="","",SUMIFS(상세표[기록 시간외],상세표[사번키],INDEX(합계표[사번키],$W108),상세표[기록월],대상월키,상세표[반영월],"&lt;&gt;"&amp;대상월키))</f>
        <v/>
      </c>
      <c r="I108">
        <f>IF($W108="","",SUMIFS(상세표[기록 시간외],상세표[사번키],INDEX(합계표[사번키],$W108),상세표[기록월],"&lt;&gt;"&amp;대상월키,상세표[반영월],대상월키))</f>
        <v/>
      </c>
      <c r="J108">
        <f>IF($W108="","",SUMIFS(상세표[기록 시간외],상세표[사번키],INDEX(합계표[사번키],$W108),상세표[반영월],대상월키))</f>
        <v/>
      </c>
      <c r="K108">
        <f>IF($W108="","",IFERROR(INDEX(월별근무지표[적용 급여병원],MATCH(INDEX(합계표[사번키],$W108)&amp;"|"&amp;대상월키,월별근무지표[키],0))&amp;"",IF(COUNTIF(기관표[사번키],INDEX(합계표[사번키],$W108))+COUNTIF(월별근무지표[사번키],INDEX(합계표[사번키],$W108))&gt;0,IFERROR(INDEX(기관표[급여지급병원(기준월)],MATCH(INDEX(합계표[사번키],$W108)&amp;"|"&amp;대상월키,기관표[키],0))&amp;"","—"),"—")))</f>
        <v/>
      </c>
      <c r="L108">
        <f>IF($W108="","",IF(NOT(COUNTIF(기관표[사번키],INDEX(합계표[사번키],$W108))+COUNTIF(월별근무지표[사번키],INDEX(합계표[사번키],$W108))&gt;0),"기관명단에 없음(다른 병원으로 발송)",IF($K108="—","대상월 기관명단 없음(추가 필요)",IF($K108="서울병원","해당","비해당"))))</f>
        <v/>
      </c>
      <c r="M108">
        <f>IF($W108="","",SUMIFS(상세표[06~07시],상세표[사번키],INDEX(합계표[사번키],$W108),상세표[반영월],대상월키,상세표[반영 기관],"서울병원"))</f>
        <v/>
      </c>
      <c r="N108">
        <f>IF($W108="","",SUMIFS(상세표[07~18시],상세표[사번키],INDEX(합계표[사번키],$W108),상세표[반영월],대상월키,상세표[반영 기관],"서울병원"))</f>
        <v/>
      </c>
      <c r="O108">
        <f>IF($W108="","",SUMIFS(상세표[18~22시],상세표[사번키],INDEX(합계표[사번키],$W108),상세표[반영월],대상월키,상세표[반영 기관],"서울병원"))</f>
        <v/>
      </c>
      <c r="P108">
        <f>IF($W108="","",SUMIFS(상세표[22~06시],상세표[사번키],INDEX(합계표[사번키],$W108),상세표[반영월],대상월키,상세표[반영 기관],"서울병원"))</f>
        <v/>
      </c>
      <c r="Q108">
        <f>IF($W108="","",SUM($M108:$P108))</f>
        <v/>
      </c>
      <c r="R108">
        <f>IF($W108="","",COUNTIFS(상세표[사번키],INDEX(합계표[사번키],$W108),상세표[반영월],대상월키,상세표[야간당직],1,상세표[야간 구분],"평일"))</f>
        <v/>
      </c>
      <c r="S108" s="4">
        <f>IF($W108="","",COUNTIFS(상세표[사번키],INDEX(합계표[사번키],$W108),상세표[반영월],대상월키,상세표[야간당직],1,상세표[야간 구분],"휴일"))</f>
        <v/>
      </c>
      <c r="T108">
        <f>IF($W108="","",COUNTIFS(상세표[사번키],INDEX(합계표[사번키],$W108),상세표[반영월],대상월키,상세표[야간당직],1,상세표[야간 구분],"평일",상세표[반영 기관],"서울병원"))</f>
        <v/>
      </c>
      <c r="U108">
        <f>IF($W108="","",COUNTIFS(상세표[사번키],INDEX(합계표[사번키],$W108),상세표[반영월],대상월키,상세표[야간당직],1,상세표[야간 구분],"휴일",상세표[반영 기관],"서울병원"))</f>
        <v/>
      </c>
      <c r="V108">
        <f>IF($W108="","",IF(ISNUMBER(MATCH(INDEX(합계표[사번키],$W108)&amp;"|"&amp;대상월키,월별근무지표[키],0)),"직접 입력",IF($K108="—","—","기관명단")))</f>
        <v/>
      </c>
      <c r="W108">
        <f>IFERROR(MATCH(103,합계표[판정순번],0),"")</f>
        <v/>
      </c>
      <c r="Y108">
        <f>IF($AB108="","",INDEX(상세표[사번],$AB108)&amp;"")</f>
        <v/>
      </c>
      <c r="Z108">
        <f>IF($AB108="","",INDEX(상세표[성명],$AB108)&amp;"")</f>
        <v/>
      </c>
      <c r="AA108">
        <f>IF($AB108="","",SUMIFS(상세표[기록 시간외],상세표[사번키],INDEX(상세표[사번키],$AB108),상세표[반영월],대상월키))</f>
        <v/>
      </c>
      <c r="AB108" s="4">
        <f>IFERROR(MATCH(103,상세표[합계없음순번],0),"")</f>
        <v/>
      </c>
    </row>
    <row r="109">
      <c r="A109">
        <f>IF($W109="","",INDEX(합계표[사번],$W109)&amp;"")</f>
        <v/>
      </c>
      <c r="B109">
        <f>IF($W109="","",INDEX(합계표[성명],$W109)&amp;"")</f>
        <v/>
      </c>
      <c r="C109">
        <f>IF($W109="","",INDEX(합계표[부서],$W109)&amp;"")</f>
        <v/>
      </c>
      <c r="D109">
        <f>IF($W109="","",INDEX(합계표[직위(통합)],$W109)&amp;"")</f>
        <v/>
      </c>
      <c r="E109">
        <f>IF($W109="","",SUMIFS(합계표[시스템 합계],합계표[사번키],INDEX(합계표[사번키],$W109)))</f>
        <v/>
      </c>
      <c r="F109">
        <f>IF($W109="","",SUMIFS(상세표[기록 시간외],상세표[사번키],INDEX(합계표[사번키],$W109),상세표[기록월],대상월키))</f>
        <v/>
      </c>
      <c r="G109">
        <f>IF($W109="","",IF(ABS($E109-$F109)&lt;0.01,"일치","불일치(차이 "&amp;TEXT($F109-$E109,"0.00")&amp;")"))</f>
        <v/>
      </c>
      <c r="H109">
        <f>IF($W109="","",SUMIFS(상세표[기록 시간외],상세표[사번키],INDEX(합계표[사번키],$W109),상세표[기록월],대상월키,상세표[반영월],"&lt;&gt;"&amp;대상월키))</f>
        <v/>
      </c>
      <c r="I109">
        <f>IF($W109="","",SUMIFS(상세표[기록 시간외],상세표[사번키],INDEX(합계표[사번키],$W109),상세표[기록월],"&lt;&gt;"&amp;대상월키,상세표[반영월],대상월키))</f>
        <v/>
      </c>
      <c r="J109">
        <f>IF($W109="","",SUMIFS(상세표[기록 시간외],상세표[사번키],INDEX(합계표[사번키],$W109),상세표[반영월],대상월키))</f>
        <v/>
      </c>
      <c r="K109">
        <f>IF($W109="","",IFERROR(INDEX(월별근무지표[적용 급여병원],MATCH(INDEX(합계표[사번키],$W109)&amp;"|"&amp;대상월키,월별근무지표[키],0))&amp;"",IF(COUNTIF(기관표[사번키],INDEX(합계표[사번키],$W109))+COUNTIF(월별근무지표[사번키],INDEX(합계표[사번키],$W109))&gt;0,IFERROR(INDEX(기관표[급여지급병원(기준월)],MATCH(INDEX(합계표[사번키],$W109)&amp;"|"&amp;대상월키,기관표[키],0))&amp;"","—"),"—")))</f>
        <v/>
      </c>
      <c r="L109">
        <f>IF($W109="","",IF(NOT(COUNTIF(기관표[사번키],INDEX(합계표[사번키],$W109))+COUNTIF(월별근무지표[사번키],INDEX(합계표[사번키],$W109))&gt;0),"기관명단에 없음(다른 병원으로 발송)",IF($K109="—","대상월 기관명단 없음(추가 필요)",IF($K109="서울병원","해당","비해당"))))</f>
        <v/>
      </c>
      <c r="M109">
        <f>IF($W109="","",SUMIFS(상세표[06~07시],상세표[사번키],INDEX(합계표[사번키],$W109),상세표[반영월],대상월키,상세표[반영 기관],"서울병원"))</f>
        <v/>
      </c>
      <c r="N109">
        <f>IF($W109="","",SUMIFS(상세표[07~18시],상세표[사번키],INDEX(합계표[사번키],$W109),상세표[반영월],대상월키,상세표[반영 기관],"서울병원"))</f>
        <v/>
      </c>
      <c r="O109">
        <f>IF($W109="","",SUMIFS(상세표[18~22시],상세표[사번키],INDEX(합계표[사번키],$W109),상세표[반영월],대상월키,상세표[반영 기관],"서울병원"))</f>
        <v/>
      </c>
      <c r="P109">
        <f>IF($W109="","",SUMIFS(상세표[22~06시],상세표[사번키],INDEX(합계표[사번키],$W109),상세표[반영월],대상월키,상세표[반영 기관],"서울병원"))</f>
        <v/>
      </c>
      <c r="Q109">
        <f>IF($W109="","",SUM($M109:$P109))</f>
        <v/>
      </c>
      <c r="R109">
        <f>IF($W109="","",COUNTIFS(상세표[사번키],INDEX(합계표[사번키],$W109),상세표[반영월],대상월키,상세표[야간당직],1,상세표[야간 구분],"평일"))</f>
        <v/>
      </c>
      <c r="S109" s="4">
        <f>IF($W109="","",COUNTIFS(상세표[사번키],INDEX(합계표[사번키],$W109),상세표[반영월],대상월키,상세표[야간당직],1,상세표[야간 구분],"휴일"))</f>
        <v/>
      </c>
      <c r="T109">
        <f>IF($W109="","",COUNTIFS(상세표[사번키],INDEX(합계표[사번키],$W109),상세표[반영월],대상월키,상세표[야간당직],1,상세표[야간 구분],"평일",상세표[반영 기관],"서울병원"))</f>
        <v/>
      </c>
      <c r="U109">
        <f>IF($W109="","",COUNTIFS(상세표[사번키],INDEX(합계표[사번키],$W109),상세표[반영월],대상월키,상세표[야간당직],1,상세표[야간 구분],"휴일",상세표[반영 기관],"서울병원"))</f>
        <v/>
      </c>
      <c r="V109">
        <f>IF($W109="","",IF(ISNUMBER(MATCH(INDEX(합계표[사번키],$W109)&amp;"|"&amp;대상월키,월별근무지표[키],0)),"직접 입력",IF($K109="—","—","기관명단")))</f>
        <v/>
      </c>
      <c r="W109">
        <f>IFERROR(MATCH(104,합계표[판정순번],0),"")</f>
        <v/>
      </c>
      <c r="Y109">
        <f>IF($AB109="","",INDEX(상세표[사번],$AB109)&amp;"")</f>
        <v/>
      </c>
      <c r="Z109">
        <f>IF($AB109="","",INDEX(상세표[성명],$AB109)&amp;"")</f>
        <v/>
      </c>
      <c r="AA109">
        <f>IF($AB109="","",SUMIFS(상세표[기록 시간외],상세표[사번키],INDEX(상세표[사번키],$AB109),상세표[반영월],대상월키))</f>
        <v/>
      </c>
      <c r="AB109" s="4">
        <f>IFERROR(MATCH(104,상세표[합계없음순번],0),"")</f>
        <v/>
      </c>
    </row>
    <row r="110">
      <c r="A110">
        <f>IF($W110="","",INDEX(합계표[사번],$W110)&amp;"")</f>
        <v/>
      </c>
      <c r="B110">
        <f>IF($W110="","",INDEX(합계표[성명],$W110)&amp;"")</f>
        <v/>
      </c>
      <c r="C110">
        <f>IF($W110="","",INDEX(합계표[부서],$W110)&amp;"")</f>
        <v/>
      </c>
      <c r="D110">
        <f>IF($W110="","",INDEX(합계표[직위(통합)],$W110)&amp;"")</f>
        <v/>
      </c>
      <c r="E110">
        <f>IF($W110="","",SUMIFS(합계표[시스템 합계],합계표[사번키],INDEX(합계표[사번키],$W110)))</f>
        <v/>
      </c>
      <c r="F110">
        <f>IF($W110="","",SUMIFS(상세표[기록 시간외],상세표[사번키],INDEX(합계표[사번키],$W110),상세표[기록월],대상월키))</f>
        <v/>
      </c>
      <c r="G110">
        <f>IF($W110="","",IF(ABS($E110-$F110)&lt;0.01,"일치","불일치(차이 "&amp;TEXT($F110-$E110,"0.00")&amp;")"))</f>
        <v/>
      </c>
      <c r="H110">
        <f>IF($W110="","",SUMIFS(상세표[기록 시간외],상세표[사번키],INDEX(합계표[사번키],$W110),상세표[기록월],대상월키,상세표[반영월],"&lt;&gt;"&amp;대상월키))</f>
        <v/>
      </c>
      <c r="I110">
        <f>IF($W110="","",SUMIFS(상세표[기록 시간외],상세표[사번키],INDEX(합계표[사번키],$W110),상세표[기록월],"&lt;&gt;"&amp;대상월키,상세표[반영월],대상월키))</f>
        <v/>
      </c>
      <c r="J110">
        <f>IF($W110="","",SUMIFS(상세표[기록 시간외],상세표[사번키],INDEX(합계표[사번키],$W110),상세표[반영월],대상월키))</f>
        <v/>
      </c>
      <c r="K110">
        <f>IF($W110="","",IFERROR(INDEX(월별근무지표[적용 급여병원],MATCH(INDEX(합계표[사번키],$W110)&amp;"|"&amp;대상월키,월별근무지표[키],0))&amp;"",IF(COUNTIF(기관표[사번키],INDEX(합계표[사번키],$W110))+COUNTIF(월별근무지표[사번키],INDEX(합계표[사번키],$W110))&gt;0,IFERROR(INDEX(기관표[급여지급병원(기준월)],MATCH(INDEX(합계표[사번키],$W110)&amp;"|"&amp;대상월키,기관표[키],0))&amp;"","—"),"—")))</f>
        <v/>
      </c>
      <c r="L110">
        <f>IF($W110="","",IF(NOT(COUNTIF(기관표[사번키],INDEX(합계표[사번키],$W110))+COUNTIF(월별근무지표[사번키],INDEX(합계표[사번키],$W110))&gt;0),"기관명단에 없음(다른 병원으로 발송)",IF($K110="—","대상월 기관명단 없음(추가 필요)",IF($K110="서울병원","해당","비해당"))))</f>
        <v/>
      </c>
      <c r="M110">
        <f>IF($W110="","",SUMIFS(상세표[06~07시],상세표[사번키],INDEX(합계표[사번키],$W110),상세표[반영월],대상월키,상세표[반영 기관],"서울병원"))</f>
        <v/>
      </c>
      <c r="N110">
        <f>IF($W110="","",SUMIFS(상세표[07~18시],상세표[사번키],INDEX(합계표[사번키],$W110),상세표[반영월],대상월키,상세표[반영 기관],"서울병원"))</f>
        <v/>
      </c>
      <c r="O110">
        <f>IF($W110="","",SUMIFS(상세표[18~22시],상세표[사번키],INDEX(합계표[사번키],$W110),상세표[반영월],대상월키,상세표[반영 기관],"서울병원"))</f>
        <v/>
      </c>
      <c r="P110">
        <f>IF($W110="","",SUMIFS(상세표[22~06시],상세표[사번키],INDEX(합계표[사번키],$W110),상세표[반영월],대상월키,상세표[반영 기관],"서울병원"))</f>
        <v/>
      </c>
      <c r="Q110">
        <f>IF($W110="","",SUM($M110:$P110))</f>
        <v/>
      </c>
      <c r="R110">
        <f>IF($W110="","",COUNTIFS(상세표[사번키],INDEX(합계표[사번키],$W110),상세표[반영월],대상월키,상세표[야간당직],1,상세표[야간 구분],"평일"))</f>
        <v/>
      </c>
      <c r="S110" s="4">
        <f>IF($W110="","",COUNTIFS(상세표[사번키],INDEX(합계표[사번키],$W110),상세표[반영월],대상월키,상세표[야간당직],1,상세표[야간 구분],"휴일"))</f>
        <v/>
      </c>
      <c r="T110">
        <f>IF($W110="","",COUNTIFS(상세표[사번키],INDEX(합계표[사번키],$W110),상세표[반영월],대상월키,상세표[야간당직],1,상세표[야간 구분],"평일",상세표[반영 기관],"서울병원"))</f>
        <v/>
      </c>
      <c r="U110">
        <f>IF($W110="","",COUNTIFS(상세표[사번키],INDEX(합계표[사번키],$W110),상세표[반영월],대상월키,상세표[야간당직],1,상세표[야간 구분],"휴일",상세표[반영 기관],"서울병원"))</f>
        <v/>
      </c>
      <c r="V110">
        <f>IF($W110="","",IF(ISNUMBER(MATCH(INDEX(합계표[사번키],$W110)&amp;"|"&amp;대상월키,월별근무지표[키],0)),"직접 입력",IF($K110="—","—","기관명단")))</f>
        <v/>
      </c>
      <c r="W110">
        <f>IFERROR(MATCH(105,합계표[판정순번],0),"")</f>
        <v/>
      </c>
      <c r="Y110">
        <f>IF($AB110="","",INDEX(상세표[사번],$AB110)&amp;"")</f>
        <v/>
      </c>
      <c r="Z110">
        <f>IF($AB110="","",INDEX(상세표[성명],$AB110)&amp;"")</f>
        <v/>
      </c>
      <c r="AA110">
        <f>IF($AB110="","",SUMIFS(상세표[기록 시간외],상세표[사번키],INDEX(상세표[사번키],$AB110),상세표[반영월],대상월키))</f>
        <v/>
      </c>
      <c r="AB110" s="4">
        <f>IFERROR(MATCH(105,상세표[합계없음순번],0),"")</f>
        <v/>
      </c>
    </row>
    <row r="111">
      <c r="A111">
        <f>IF($W111="","",INDEX(합계표[사번],$W111)&amp;"")</f>
        <v/>
      </c>
      <c r="B111">
        <f>IF($W111="","",INDEX(합계표[성명],$W111)&amp;"")</f>
        <v/>
      </c>
      <c r="C111">
        <f>IF($W111="","",INDEX(합계표[부서],$W111)&amp;"")</f>
        <v/>
      </c>
      <c r="D111">
        <f>IF($W111="","",INDEX(합계표[직위(통합)],$W111)&amp;"")</f>
        <v/>
      </c>
      <c r="E111">
        <f>IF($W111="","",SUMIFS(합계표[시스템 합계],합계표[사번키],INDEX(합계표[사번키],$W111)))</f>
        <v/>
      </c>
      <c r="F111">
        <f>IF($W111="","",SUMIFS(상세표[기록 시간외],상세표[사번키],INDEX(합계표[사번키],$W111),상세표[기록월],대상월키))</f>
        <v/>
      </c>
      <c r="G111">
        <f>IF($W111="","",IF(ABS($E111-$F111)&lt;0.01,"일치","불일치(차이 "&amp;TEXT($F111-$E111,"0.00")&amp;")"))</f>
        <v/>
      </c>
      <c r="H111">
        <f>IF($W111="","",SUMIFS(상세표[기록 시간외],상세표[사번키],INDEX(합계표[사번키],$W111),상세표[기록월],대상월키,상세표[반영월],"&lt;&gt;"&amp;대상월키))</f>
        <v/>
      </c>
      <c r="I111">
        <f>IF($W111="","",SUMIFS(상세표[기록 시간외],상세표[사번키],INDEX(합계표[사번키],$W111),상세표[기록월],"&lt;&gt;"&amp;대상월키,상세표[반영월],대상월키))</f>
        <v/>
      </c>
      <c r="J111">
        <f>IF($W111="","",SUMIFS(상세표[기록 시간외],상세표[사번키],INDEX(합계표[사번키],$W111),상세표[반영월],대상월키))</f>
        <v/>
      </c>
      <c r="K111">
        <f>IF($W111="","",IFERROR(INDEX(월별근무지표[적용 급여병원],MATCH(INDEX(합계표[사번키],$W111)&amp;"|"&amp;대상월키,월별근무지표[키],0))&amp;"",IF(COUNTIF(기관표[사번키],INDEX(합계표[사번키],$W111))+COUNTIF(월별근무지표[사번키],INDEX(합계표[사번키],$W111))&gt;0,IFERROR(INDEX(기관표[급여지급병원(기준월)],MATCH(INDEX(합계표[사번키],$W111)&amp;"|"&amp;대상월키,기관표[키],0))&amp;"","—"),"—")))</f>
        <v/>
      </c>
      <c r="L111">
        <f>IF($W111="","",IF(NOT(COUNTIF(기관표[사번키],INDEX(합계표[사번키],$W111))+COUNTIF(월별근무지표[사번키],INDEX(합계표[사번키],$W111))&gt;0),"기관명단에 없음(다른 병원으로 발송)",IF($K111="—","대상월 기관명단 없음(추가 필요)",IF($K111="서울병원","해당","비해당"))))</f>
        <v/>
      </c>
      <c r="M111">
        <f>IF($W111="","",SUMIFS(상세표[06~07시],상세표[사번키],INDEX(합계표[사번키],$W111),상세표[반영월],대상월키,상세표[반영 기관],"서울병원"))</f>
        <v/>
      </c>
      <c r="N111">
        <f>IF($W111="","",SUMIFS(상세표[07~18시],상세표[사번키],INDEX(합계표[사번키],$W111),상세표[반영월],대상월키,상세표[반영 기관],"서울병원"))</f>
        <v/>
      </c>
      <c r="O111">
        <f>IF($W111="","",SUMIFS(상세표[18~22시],상세표[사번키],INDEX(합계표[사번키],$W111),상세표[반영월],대상월키,상세표[반영 기관],"서울병원"))</f>
        <v/>
      </c>
      <c r="P111">
        <f>IF($W111="","",SUMIFS(상세표[22~06시],상세표[사번키],INDEX(합계표[사번키],$W111),상세표[반영월],대상월키,상세표[반영 기관],"서울병원"))</f>
        <v/>
      </c>
      <c r="Q111">
        <f>IF($W111="","",SUM($M111:$P111))</f>
        <v/>
      </c>
      <c r="R111">
        <f>IF($W111="","",COUNTIFS(상세표[사번키],INDEX(합계표[사번키],$W111),상세표[반영월],대상월키,상세표[야간당직],1,상세표[야간 구분],"평일"))</f>
        <v/>
      </c>
      <c r="S111" s="4">
        <f>IF($W111="","",COUNTIFS(상세표[사번키],INDEX(합계표[사번키],$W111),상세표[반영월],대상월키,상세표[야간당직],1,상세표[야간 구분],"휴일"))</f>
        <v/>
      </c>
      <c r="T111">
        <f>IF($W111="","",COUNTIFS(상세표[사번키],INDEX(합계표[사번키],$W111),상세표[반영월],대상월키,상세표[야간당직],1,상세표[야간 구분],"평일",상세표[반영 기관],"서울병원"))</f>
        <v/>
      </c>
      <c r="U111">
        <f>IF($W111="","",COUNTIFS(상세표[사번키],INDEX(합계표[사번키],$W111),상세표[반영월],대상월키,상세표[야간당직],1,상세표[야간 구분],"휴일",상세표[반영 기관],"서울병원"))</f>
        <v/>
      </c>
      <c r="V111">
        <f>IF($W111="","",IF(ISNUMBER(MATCH(INDEX(합계표[사번키],$W111)&amp;"|"&amp;대상월키,월별근무지표[키],0)),"직접 입력",IF($K111="—","—","기관명단")))</f>
        <v/>
      </c>
      <c r="W111">
        <f>IFERROR(MATCH(106,합계표[판정순번],0),"")</f>
        <v/>
      </c>
      <c r="Y111">
        <f>IF($AB111="","",INDEX(상세표[사번],$AB111)&amp;"")</f>
        <v/>
      </c>
      <c r="Z111">
        <f>IF($AB111="","",INDEX(상세표[성명],$AB111)&amp;"")</f>
        <v/>
      </c>
      <c r="AA111">
        <f>IF($AB111="","",SUMIFS(상세표[기록 시간외],상세표[사번키],INDEX(상세표[사번키],$AB111),상세표[반영월],대상월키))</f>
        <v/>
      </c>
      <c r="AB111" s="4">
        <f>IFERROR(MATCH(106,상세표[합계없음순번],0),"")</f>
        <v/>
      </c>
    </row>
    <row r="112">
      <c r="A112">
        <f>IF($W112="","",INDEX(합계표[사번],$W112)&amp;"")</f>
        <v/>
      </c>
      <c r="B112">
        <f>IF($W112="","",INDEX(합계표[성명],$W112)&amp;"")</f>
        <v/>
      </c>
      <c r="C112">
        <f>IF($W112="","",INDEX(합계표[부서],$W112)&amp;"")</f>
        <v/>
      </c>
      <c r="D112">
        <f>IF($W112="","",INDEX(합계표[직위(통합)],$W112)&amp;"")</f>
        <v/>
      </c>
      <c r="E112">
        <f>IF($W112="","",SUMIFS(합계표[시스템 합계],합계표[사번키],INDEX(합계표[사번키],$W112)))</f>
        <v/>
      </c>
      <c r="F112">
        <f>IF($W112="","",SUMIFS(상세표[기록 시간외],상세표[사번키],INDEX(합계표[사번키],$W112),상세표[기록월],대상월키))</f>
        <v/>
      </c>
      <c r="G112">
        <f>IF($W112="","",IF(ABS($E112-$F112)&lt;0.01,"일치","불일치(차이 "&amp;TEXT($F112-$E112,"0.00")&amp;")"))</f>
        <v/>
      </c>
      <c r="H112">
        <f>IF($W112="","",SUMIFS(상세표[기록 시간외],상세표[사번키],INDEX(합계표[사번키],$W112),상세표[기록월],대상월키,상세표[반영월],"&lt;&gt;"&amp;대상월키))</f>
        <v/>
      </c>
      <c r="I112">
        <f>IF($W112="","",SUMIFS(상세표[기록 시간외],상세표[사번키],INDEX(합계표[사번키],$W112),상세표[기록월],"&lt;&gt;"&amp;대상월키,상세표[반영월],대상월키))</f>
        <v/>
      </c>
      <c r="J112">
        <f>IF($W112="","",SUMIFS(상세표[기록 시간외],상세표[사번키],INDEX(합계표[사번키],$W112),상세표[반영월],대상월키))</f>
        <v/>
      </c>
      <c r="K112">
        <f>IF($W112="","",IFERROR(INDEX(월별근무지표[적용 급여병원],MATCH(INDEX(합계표[사번키],$W112)&amp;"|"&amp;대상월키,월별근무지표[키],0))&amp;"",IF(COUNTIF(기관표[사번키],INDEX(합계표[사번키],$W112))+COUNTIF(월별근무지표[사번키],INDEX(합계표[사번키],$W112))&gt;0,IFERROR(INDEX(기관표[급여지급병원(기준월)],MATCH(INDEX(합계표[사번키],$W112)&amp;"|"&amp;대상월키,기관표[키],0))&amp;"","—"),"—")))</f>
        <v/>
      </c>
      <c r="L112">
        <f>IF($W112="","",IF(NOT(COUNTIF(기관표[사번키],INDEX(합계표[사번키],$W112))+COUNTIF(월별근무지표[사번키],INDEX(합계표[사번키],$W112))&gt;0),"기관명단에 없음(다른 병원으로 발송)",IF($K112="—","대상월 기관명단 없음(추가 필요)",IF($K112="서울병원","해당","비해당"))))</f>
        <v/>
      </c>
      <c r="M112">
        <f>IF($W112="","",SUMIFS(상세표[06~07시],상세표[사번키],INDEX(합계표[사번키],$W112),상세표[반영월],대상월키,상세표[반영 기관],"서울병원"))</f>
        <v/>
      </c>
      <c r="N112">
        <f>IF($W112="","",SUMIFS(상세표[07~18시],상세표[사번키],INDEX(합계표[사번키],$W112),상세표[반영월],대상월키,상세표[반영 기관],"서울병원"))</f>
        <v/>
      </c>
      <c r="O112">
        <f>IF($W112="","",SUMIFS(상세표[18~22시],상세표[사번키],INDEX(합계표[사번키],$W112),상세표[반영월],대상월키,상세표[반영 기관],"서울병원"))</f>
        <v/>
      </c>
      <c r="P112">
        <f>IF($W112="","",SUMIFS(상세표[22~06시],상세표[사번키],INDEX(합계표[사번키],$W112),상세표[반영월],대상월키,상세표[반영 기관],"서울병원"))</f>
        <v/>
      </c>
      <c r="Q112">
        <f>IF($W112="","",SUM($M112:$P112))</f>
        <v/>
      </c>
      <c r="R112">
        <f>IF($W112="","",COUNTIFS(상세표[사번키],INDEX(합계표[사번키],$W112),상세표[반영월],대상월키,상세표[야간당직],1,상세표[야간 구분],"평일"))</f>
        <v/>
      </c>
      <c r="S112" s="4">
        <f>IF($W112="","",COUNTIFS(상세표[사번키],INDEX(합계표[사번키],$W112),상세표[반영월],대상월키,상세표[야간당직],1,상세표[야간 구분],"휴일"))</f>
        <v/>
      </c>
      <c r="T112">
        <f>IF($W112="","",COUNTIFS(상세표[사번키],INDEX(합계표[사번키],$W112),상세표[반영월],대상월키,상세표[야간당직],1,상세표[야간 구분],"평일",상세표[반영 기관],"서울병원"))</f>
        <v/>
      </c>
      <c r="U112">
        <f>IF($W112="","",COUNTIFS(상세표[사번키],INDEX(합계표[사번키],$W112),상세표[반영월],대상월키,상세표[야간당직],1,상세표[야간 구분],"휴일",상세표[반영 기관],"서울병원"))</f>
        <v/>
      </c>
      <c r="V112">
        <f>IF($W112="","",IF(ISNUMBER(MATCH(INDEX(합계표[사번키],$W112)&amp;"|"&amp;대상월키,월별근무지표[키],0)),"직접 입력",IF($K112="—","—","기관명단")))</f>
        <v/>
      </c>
      <c r="W112">
        <f>IFERROR(MATCH(107,합계표[판정순번],0),"")</f>
        <v/>
      </c>
      <c r="Y112">
        <f>IF($AB112="","",INDEX(상세표[사번],$AB112)&amp;"")</f>
        <v/>
      </c>
      <c r="Z112">
        <f>IF($AB112="","",INDEX(상세표[성명],$AB112)&amp;"")</f>
        <v/>
      </c>
      <c r="AA112">
        <f>IF($AB112="","",SUMIFS(상세표[기록 시간외],상세표[사번키],INDEX(상세표[사번키],$AB112),상세표[반영월],대상월키))</f>
        <v/>
      </c>
      <c r="AB112" s="4">
        <f>IFERROR(MATCH(107,상세표[합계없음순번],0),"")</f>
        <v/>
      </c>
    </row>
    <row r="113">
      <c r="A113">
        <f>IF($W113="","",INDEX(합계표[사번],$W113)&amp;"")</f>
        <v/>
      </c>
      <c r="B113">
        <f>IF($W113="","",INDEX(합계표[성명],$W113)&amp;"")</f>
        <v/>
      </c>
      <c r="C113">
        <f>IF($W113="","",INDEX(합계표[부서],$W113)&amp;"")</f>
        <v/>
      </c>
      <c r="D113">
        <f>IF($W113="","",INDEX(합계표[직위(통합)],$W113)&amp;"")</f>
        <v/>
      </c>
      <c r="E113">
        <f>IF($W113="","",SUMIFS(합계표[시스템 합계],합계표[사번키],INDEX(합계표[사번키],$W113)))</f>
        <v/>
      </c>
      <c r="F113">
        <f>IF($W113="","",SUMIFS(상세표[기록 시간외],상세표[사번키],INDEX(합계표[사번키],$W113),상세표[기록월],대상월키))</f>
        <v/>
      </c>
      <c r="G113">
        <f>IF($W113="","",IF(ABS($E113-$F113)&lt;0.01,"일치","불일치(차이 "&amp;TEXT($F113-$E113,"0.00")&amp;")"))</f>
        <v/>
      </c>
      <c r="H113">
        <f>IF($W113="","",SUMIFS(상세표[기록 시간외],상세표[사번키],INDEX(합계표[사번키],$W113),상세표[기록월],대상월키,상세표[반영월],"&lt;&gt;"&amp;대상월키))</f>
        <v/>
      </c>
      <c r="I113">
        <f>IF($W113="","",SUMIFS(상세표[기록 시간외],상세표[사번키],INDEX(합계표[사번키],$W113),상세표[기록월],"&lt;&gt;"&amp;대상월키,상세표[반영월],대상월키))</f>
        <v/>
      </c>
      <c r="J113">
        <f>IF($W113="","",SUMIFS(상세표[기록 시간외],상세표[사번키],INDEX(합계표[사번키],$W113),상세표[반영월],대상월키))</f>
        <v/>
      </c>
      <c r="K113">
        <f>IF($W113="","",IFERROR(INDEX(월별근무지표[적용 급여병원],MATCH(INDEX(합계표[사번키],$W113)&amp;"|"&amp;대상월키,월별근무지표[키],0))&amp;"",IF(COUNTIF(기관표[사번키],INDEX(합계표[사번키],$W113))+COUNTIF(월별근무지표[사번키],INDEX(합계표[사번키],$W113))&gt;0,IFERROR(INDEX(기관표[급여지급병원(기준월)],MATCH(INDEX(합계표[사번키],$W113)&amp;"|"&amp;대상월키,기관표[키],0))&amp;"","—"),"—")))</f>
        <v/>
      </c>
      <c r="L113">
        <f>IF($W113="","",IF(NOT(COUNTIF(기관표[사번키],INDEX(합계표[사번키],$W113))+COUNTIF(월별근무지표[사번키],INDEX(합계표[사번키],$W113))&gt;0),"기관명단에 없음(다른 병원으로 발송)",IF($K113="—","대상월 기관명단 없음(추가 필요)",IF($K113="서울병원","해당","비해당"))))</f>
        <v/>
      </c>
      <c r="M113">
        <f>IF($W113="","",SUMIFS(상세표[06~07시],상세표[사번키],INDEX(합계표[사번키],$W113),상세표[반영월],대상월키,상세표[반영 기관],"서울병원"))</f>
        <v/>
      </c>
      <c r="N113">
        <f>IF($W113="","",SUMIFS(상세표[07~18시],상세표[사번키],INDEX(합계표[사번키],$W113),상세표[반영월],대상월키,상세표[반영 기관],"서울병원"))</f>
        <v/>
      </c>
      <c r="O113">
        <f>IF($W113="","",SUMIFS(상세표[18~22시],상세표[사번키],INDEX(합계표[사번키],$W113),상세표[반영월],대상월키,상세표[반영 기관],"서울병원"))</f>
        <v/>
      </c>
      <c r="P113">
        <f>IF($W113="","",SUMIFS(상세표[22~06시],상세표[사번키],INDEX(합계표[사번키],$W113),상세표[반영월],대상월키,상세표[반영 기관],"서울병원"))</f>
        <v/>
      </c>
      <c r="Q113">
        <f>IF($W113="","",SUM($M113:$P113))</f>
        <v/>
      </c>
      <c r="R113">
        <f>IF($W113="","",COUNTIFS(상세표[사번키],INDEX(합계표[사번키],$W113),상세표[반영월],대상월키,상세표[야간당직],1,상세표[야간 구분],"평일"))</f>
        <v/>
      </c>
      <c r="S113" s="4">
        <f>IF($W113="","",COUNTIFS(상세표[사번키],INDEX(합계표[사번키],$W113),상세표[반영월],대상월키,상세표[야간당직],1,상세표[야간 구분],"휴일"))</f>
        <v/>
      </c>
      <c r="T113">
        <f>IF($W113="","",COUNTIFS(상세표[사번키],INDEX(합계표[사번키],$W113),상세표[반영월],대상월키,상세표[야간당직],1,상세표[야간 구분],"평일",상세표[반영 기관],"서울병원"))</f>
        <v/>
      </c>
      <c r="U113">
        <f>IF($W113="","",COUNTIFS(상세표[사번키],INDEX(합계표[사번키],$W113),상세표[반영월],대상월키,상세표[야간당직],1,상세표[야간 구분],"휴일",상세표[반영 기관],"서울병원"))</f>
        <v/>
      </c>
      <c r="V113">
        <f>IF($W113="","",IF(ISNUMBER(MATCH(INDEX(합계표[사번키],$W113)&amp;"|"&amp;대상월키,월별근무지표[키],0)),"직접 입력",IF($K113="—","—","기관명단")))</f>
        <v/>
      </c>
      <c r="W113">
        <f>IFERROR(MATCH(108,합계표[판정순번],0),"")</f>
        <v/>
      </c>
      <c r="Y113">
        <f>IF($AB113="","",INDEX(상세표[사번],$AB113)&amp;"")</f>
        <v/>
      </c>
      <c r="Z113">
        <f>IF($AB113="","",INDEX(상세표[성명],$AB113)&amp;"")</f>
        <v/>
      </c>
      <c r="AA113">
        <f>IF($AB113="","",SUMIFS(상세표[기록 시간외],상세표[사번키],INDEX(상세표[사번키],$AB113),상세표[반영월],대상월키))</f>
        <v/>
      </c>
      <c r="AB113" s="4">
        <f>IFERROR(MATCH(108,상세표[합계없음순번],0),"")</f>
        <v/>
      </c>
    </row>
    <row r="114">
      <c r="A114">
        <f>IF($W114="","",INDEX(합계표[사번],$W114)&amp;"")</f>
        <v/>
      </c>
      <c r="B114">
        <f>IF($W114="","",INDEX(합계표[성명],$W114)&amp;"")</f>
        <v/>
      </c>
      <c r="C114">
        <f>IF($W114="","",INDEX(합계표[부서],$W114)&amp;"")</f>
        <v/>
      </c>
      <c r="D114">
        <f>IF($W114="","",INDEX(합계표[직위(통합)],$W114)&amp;"")</f>
        <v/>
      </c>
      <c r="E114">
        <f>IF($W114="","",SUMIFS(합계표[시스템 합계],합계표[사번키],INDEX(합계표[사번키],$W114)))</f>
        <v/>
      </c>
      <c r="F114">
        <f>IF($W114="","",SUMIFS(상세표[기록 시간외],상세표[사번키],INDEX(합계표[사번키],$W114),상세표[기록월],대상월키))</f>
        <v/>
      </c>
      <c r="G114">
        <f>IF($W114="","",IF(ABS($E114-$F114)&lt;0.01,"일치","불일치(차이 "&amp;TEXT($F114-$E114,"0.00")&amp;")"))</f>
        <v/>
      </c>
      <c r="H114">
        <f>IF($W114="","",SUMIFS(상세표[기록 시간외],상세표[사번키],INDEX(합계표[사번키],$W114),상세표[기록월],대상월키,상세표[반영월],"&lt;&gt;"&amp;대상월키))</f>
        <v/>
      </c>
      <c r="I114">
        <f>IF($W114="","",SUMIFS(상세표[기록 시간외],상세표[사번키],INDEX(합계표[사번키],$W114),상세표[기록월],"&lt;&gt;"&amp;대상월키,상세표[반영월],대상월키))</f>
        <v/>
      </c>
      <c r="J114">
        <f>IF($W114="","",SUMIFS(상세표[기록 시간외],상세표[사번키],INDEX(합계표[사번키],$W114),상세표[반영월],대상월키))</f>
        <v/>
      </c>
      <c r="K114">
        <f>IF($W114="","",IFERROR(INDEX(월별근무지표[적용 급여병원],MATCH(INDEX(합계표[사번키],$W114)&amp;"|"&amp;대상월키,월별근무지표[키],0))&amp;"",IF(COUNTIF(기관표[사번키],INDEX(합계표[사번키],$W114))+COUNTIF(월별근무지표[사번키],INDEX(합계표[사번키],$W114))&gt;0,IFERROR(INDEX(기관표[급여지급병원(기준월)],MATCH(INDEX(합계표[사번키],$W114)&amp;"|"&amp;대상월키,기관표[키],0))&amp;"","—"),"—")))</f>
        <v/>
      </c>
      <c r="L114">
        <f>IF($W114="","",IF(NOT(COUNTIF(기관표[사번키],INDEX(합계표[사번키],$W114))+COUNTIF(월별근무지표[사번키],INDEX(합계표[사번키],$W114))&gt;0),"기관명단에 없음(다른 병원으로 발송)",IF($K114="—","대상월 기관명단 없음(추가 필요)",IF($K114="서울병원","해당","비해당"))))</f>
        <v/>
      </c>
      <c r="M114">
        <f>IF($W114="","",SUMIFS(상세표[06~07시],상세표[사번키],INDEX(합계표[사번키],$W114),상세표[반영월],대상월키,상세표[반영 기관],"서울병원"))</f>
        <v/>
      </c>
      <c r="N114">
        <f>IF($W114="","",SUMIFS(상세표[07~18시],상세표[사번키],INDEX(합계표[사번키],$W114),상세표[반영월],대상월키,상세표[반영 기관],"서울병원"))</f>
        <v/>
      </c>
      <c r="O114">
        <f>IF($W114="","",SUMIFS(상세표[18~22시],상세표[사번키],INDEX(합계표[사번키],$W114),상세표[반영월],대상월키,상세표[반영 기관],"서울병원"))</f>
        <v/>
      </c>
      <c r="P114">
        <f>IF($W114="","",SUMIFS(상세표[22~06시],상세표[사번키],INDEX(합계표[사번키],$W114),상세표[반영월],대상월키,상세표[반영 기관],"서울병원"))</f>
        <v/>
      </c>
      <c r="Q114">
        <f>IF($W114="","",SUM($M114:$P114))</f>
        <v/>
      </c>
      <c r="R114">
        <f>IF($W114="","",COUNTIFS(상세표[사번키],INDEX(합계표[사번키],$W114),상세표[반영월],대상월키,상세표[야간당직],1,상세표[야간 구분],"평일"))</f>
        <v/>
      </c>
      <c r="S114" s="4">
        <f>IF($W114="","",COUNTIFS(상세표[사번키],INDEX(합계표[사번키],$W114),상세표[반영월],대상월키,상세표[야간당직],1,상세표[야간 구분],"휴일"))</f>
        <v/>
      </c>
      <c r="T114">
        <f>IF($W114="","",COUNTIFS(상세표[사번키],INDEX(합계표[사번키],$W114),상세표[반영월],대상월키,상세표[야간당직],1,상세표[야간 구분],"평일",상세표[반영 기관],"서울병원"))</f>
        <v/>
      </c>
      <c r="U114">
        <f>IF($W114="","",COUNTIFS(상세표[사번키],INDEX(합계표[사번키],$W114),상세표[반영월],대상월키,상세표[야간당직],1,상세표[야간 구분],"휴일",상세표[반영 기관],"서울병원"))</f>
        <v/>
      </c>
      <c r="V114">
        <f>IF($W114="","",IF(ISNUMBER(MATCH(INDEX(합계표[사번키],$W114)&amp;"|"&amp;대상월키,월별근무지표[키],0)),"직접 입력",IF($K114="—","—","기관명단")))</f>
        <v/>
      </c>
      <c r="W114">
        <f>IFERROR(MATCH(109,합계표[판정순번],0),"")</f>
        <v/>
      </c>
      <c r="Y114">
        <f>IF($AB114="","",INDEX(상세표[사번],$AB114)&amp;"")</f>
        <v/>
      </c>
      <c r="Z114">
        <f>IF($AB114="","",INDEX(상세표[성명],$AB114)&amp;"")</f>
        <v/>
      </c>
      <c r="AA114">
        <f>IF($AB114="","",SUMIFS(상세표[기록 시간외],상세표[사번키],INDEX(상세표[사번키],$AB114),상세표[반영월],대상월키))</f>
        <v/>
      </c>
      <c r="AB114" s="4">
        <f>IFERROR(MATCH(109,상세표[합계없음순번],0),"")</f>
        <v/>
      </c>
    </row>
    <row r="115">
      <c r="A115">
        <f>IF($W115="","",INDEX(합계표[사번],$W115)&amp;"")</f>
        <v/>
      </c>
      <c r="B115">
        <f>IF($W115="","",INDEX(합계표[성명],$W115)&amp;"")</f>
        <v/>
      </c>
      <c r="C115">
        <f>IF($W115="","",INDEX(합계표[부서],$W115)&amp;"")</f>
        <v/>
      </c>
      <c r="D115">
        <f>IF($W115="","",INDEX(합계표[직위(통합)],$W115)&amp;"")</f>
        <v/>
      </c>
      <c r="E115">
        <f>IF($W115="","",SUMIFS(합계표[시스템 합계],합계표[사번키],INDEX(합계표[사번키],$W115)))</f>
        <v/>
      </c>
      <c r="F115">
        <f>IF($W115="","",SUMIFS(상세표[기록 시간외],상세표[사번키],INDEX(합계표[사번키],$W115),상세표[기록월],대상월키))</f>
        <v/>
      </c>
      <c r="G115">
        <f>IF($W115="","",IF(ABS($E115-$F115)&lt;0.01,"일치","불일치(차이 "&amp;TEXT($F115-$E115,"0.00")&amp;")"))</f>
        <v/>
      </c>
      <c r="H115">
        <f>IF($W115="","",SUMIFS(상세표[기록 시간외],상세표[사번키],INDEX(합계표[사번키],$W115),상세표[기록월],대상월키,상세표[반영월],"&lt;&gt;"&amp;대상월키))</f>
        <v/>
      </c>
      <c r="I115">
        <f>IF($W115="","",SUMIFS(상세표[기록 시간외],상세표[사번키],INDEX(합계표[사번키],$W115),상세표[기록월],"&lt;&gt;"&amp;대상월키,상세표[반영월],대상월키))</f>
        <v/>
      </c>
      <c r="J115">
        <f>IF($W115="","",SUMIFS(상세표[기록 시간외],상세표[사번키],INDEX(합계표[사번키],$W115),상세표[반영월],대상월키))</f>
        <v/>
      </c>
      <c r="K115">
        <f>IF($W115="","",IFERROR(INDEX(월별근무지표[적용 급여병원],MATCH(INDEX(합계표[사번키],$W115)&amp;"|"&amp;대상월키,월별근무지표[키],0))&amp;"",IF(COUNTIF(기관표[사번키],INDEX(합계표[사번키],$W115))+COUNTIF(월별근무지표[사번키],INDEX(합계표[사번키],$W115))&gt;0,IFERROR(INDEX(기관표[급여지급병원(기준월)],MATCH(INDEX(합계표[사번키],$W115)&amp;"|"&amp;대상월키,기관표[키],0))&amp;"","—"),"—")))</f>
        <v/>
      </c>
      <c r="L115">
        <f>IF($W115="","",IF(NOT(COUNTIF(기관표[사번키],INDEX(합계표[사번키],$W115))+COUNTIF(월별근무지표[사번키],INDEX(합계표[사번키],$W115))&gt;0),"기관명단에 없음(다른 병원으로 발송)",IF($K115="—","대상월 기관명단 없음(추가 필요)",IF($K115="서울병원","해당","비해당"))))</f>
        <v/>
      </c>
      <c r="M115">
        <f>IF($W115="","",SUMIFS(상세표[06~07시],상세표[사번키],INDEX(합계표[사번키],$W115),상세표[반영월],대상월키,상세표[반영 기관],"서울병원"))</f>
        <v/>
      </c>
      <c r="N115">
        <f>IF($W115="","",SUMIFS(상세표[07~18시],상세표[사번키],INDEX(합계표[사번키],$W115),상세표[반영월],대상월키,상세표[반영 기관],"서울병원"))</f>
        <v/>
      </c>
      <c r="O115">
        <f>IF($W115="","",SUMIFS(상세표[18~22시],상세표[사번키],INDEX(합계표[사번키],$W115),상세표[반영월],대상월키,상세표[반영 기관],"서울병원"))</f>
        <v/>
      </c>
      <c r="P115">
        <f>IF($W115="","",SUMIFS(상세표[22~06시],상세표[사번키],INDEX(합계표[사번키],$W115),상세표[반영월],대상월키,상세표[반영 기관],"서울병원"))</f>
        <v/>
      </c>
      <c r="Q115">
        <f>IF($W115="","",SUM($M115:$P115))</f>
        <v/>
      </c>
      <c r="R115">
        <f>IF($W115="","",COUNTIFS(상세표[사번키],INDEX(합계표[사번키],$W115),상세표[반영월],대상월키,상세표[야간당직],1,상세표[야간 구분],"평일"))</f>
        <v/>
      </c>
      <c r="S115" s="4">
        <f>IF($W115="","",COUNTIFS(상세표[사번키],INDEX(합계표[사번키],$W115),상세표[반영월],대상월키,상세표[야간당직],1,상세표[야간 구분],"휴일"))</f>
        <v/>
      </c>
      <c r="T115">
        <f>IF($W115="","",COUNTIFS(상세표[사번키],INDEX(합계표[사번키],$W115),상세표[반영월],대상월키,상세표[야간당직],1,상세표[야간 구분],"평일",상세표[반영 기관],"서울병원"))</f>
        <v/>
      </c>
      <c r="U115">
        <f>IF($W115="","",COUNTIFS(상세표[사번키],INDEX(합계표[사번키],$W115),상세표[반영월],대상월키,상세표[야간당직],1,상세표[야간 구분],"휴일",상세표[반영 기관],"서울병원"))</f>
        <v/>
      </c>
      <c r="V115">
        <f>IF($W115="","",IF(ISNUMBER(MATCH(INDEX(합계표[사번키],$W115)&amp;"|"&amp;대상월키,월별근무지표[키],0)),"직접 입력",IF($K115="—","—","기관명단")))</f>
        <v/>
      </c>
      <c r="W115">
        <f>IFERROR(MATCH(110,합계표[판정순번],0),"")</f>
        <v/>
      </c>
      <c r="Y115">
        <f>IF($AB115="","",INDEX(상세표[사번],$AB115)&amp;"")</f>
        <v/>
      </c>
      <c r="Z115">
        <f>IF($AB115="","",INDEX(상세표[성명],$AB115)&amp;"")</f>
        <v/>
      </c>
      <c r="AA115">
        <f>IF($AB115="","",SUMIFS(상세표[기록 시간외],상세표[사번키],INDEX(상세표[사번키],$AB115),상세표[반영월],대상월키))</f>
        <v/>
      </c>
      <c r="AB115" s="4">
        <f>IFERROR(MATCH(110,상세표[합계없음순번],0),"")</f>
        <v/>
      </c>
    </row>
    <row r="116">
      <c r="A116">
        <f>IF($W116="","",INDEX(합계표[사번],$W116)&amp;"")</f>
        <v/>
      </c>
      <c r="B116">
        <f>IF($W116="","",INDEX(합계표[성명],$W116)&amp;"")</f>
        <v/>
      </c>
      <c r="C116">
        <f>IF($W116="","",INDEX(합계표[부서],$W116)&amp;"")</f>
        <v/>
      </c>
      <c r="D116">
        <f>IF($W116="","",INDEX(합계표[직위(통합)],$W116)&amp;"")</f>
        <v/>
      </c>
      <c r="E116">
        <f>IF($W116="","",SUMIFS(합계표[시스템 합계],합계표[사번키],INDEX(합계표[사번키],$W116)))</f>
        <v/>
      </c>
      <c r="F116">
        <f>IF($W116="","",SUMIFS(상세표[기록 시간외],상세표[사번키],INDEX(합계표[사번키],$W116),상세표[기록월],대상월키))</f>
        <v/>
      </c>
      <c r="G116">
        <f>IF($W116="","",IF(ABS($E116-$F116)&lt;0.01,"일치","불일치(차이 "&amp;TEXT($F116-$E116,"0.00")&amp;")"))</f>
        <v/>
      </c>
      <c r="H116">
        <f>IF($W116="","",SUMIFS(상세표[기록 시간외],상세표[사번키],INDEX(합계표[사번키],$W116),상세표[기록월],대상월키,상세표[반영월],"&lt;&gt;"&amp;대상월키))</f>
        <v/>
      </c>
      <c r="I116">
        <f>IF($W116="","",SUMIFS(상세표[기록 시간외],상세표[사번키],INDEX(합계표[사번키],$W116),상세표[기록월],"&lt;&gt;"&amp;대상월키,상세표[반영월],대상월키))</f>
        <v/>
      </c>
      <c r="J116">
        <f>IF($W116="","",SUMIFS(상세표[기록 시간외],상세표[사번키],INDEX(합계표[사번키],$W116),상세표[반영월],대상월키))</f>
        <v/>
      </c>
      <c r="K116">
        <f>IF($W116="","",IFERROR(INDEX(월별근무지표[적용 급여병원],MATCH(INDEX(합계표[사번키],$W116)&amp;"|"&amp;대상월키,월별근무지표[키],0))&amp;"",IF(COUNTIF(기관표[사번키],INDEX(합계표[사번키],$W116))+COUNTIF(월별근무지표[사번키],INDEX(합계표[사번키],$W116))&gt;0,IFERROR(INDEX(기관표[급여지급병원(기준월)],MATCH(INDEX(합계표[사번키],$W116)&amp;"|"&amp;대상월키,기관표[키],0))&amp;"","—"),"—")))</f>
        <v/>
      </c>
      <c r="L116">
        <f>IF($W116="","",IF(NOT(COUNTIF(기관표[사번키],INDEX(합계표[사번키],$W116))+COUNTIF(월별근무지표[사번키],INDEX(합계표[사번키],$W116))&gt;0),"기관명단에 없음(다른 병원으로 발송)",IF($K116="—","대상월 기관명단 없음(추가 필요)",IF($K116="서울병원","해당","비해당"))))</f>
        <v/>
      </c>
      <c r="M116">
        <f>IF($W116="","",SUMIFS(상세표[06~07시],상세표[사번키],INDEX(합계표[사번키],$W116),상세표[반영월],대상월키,상세표[반영 기관],"서울병원"))</f>
        <v/>
      </c>
      <c r="N116">
        <f>IF($W116="","",SUMIFS(상세표[07~18시],상세표[사번키],INDEX(합계표[사번키],$W116),상세표[반영월],대상월키,상세표[반영 기관],"서울병원"))</f>
        <v/>
      </c>
      <c r="O116">
        <f>IF($W116="","",SUMIFS(상세표[18~22시],상세표[사번키],INDEX(합계표[사번키],$W116),상세표[반영월],대상월키,상세표[반영 기관],"서울병원"))</f>
        <v/>
      </c>
      <c r="P116">
        <f>IF($W116="","",SUMIFS(상세표[22~06시],상세표[사번키],INDEX(합계표[사번키],$W116),상세표[반영월],대상월키,상세표[반영 기관],"서울병원"))</f>
        <v/>
      </c>
      <c r="Q116">
        <f>IF($W116="","",SUM($M116:$P116))</f>
        <v/>
      </c>
      <c r="R116">
        <f>IF($W116="","",COUNTIFS(상세표[사번키],INDEX(합계표[사번키],$W116),상세표[반영월],대상월키,상세표[야간당직],1,상세표[야간 구분],"평일"))</f>
        <v/>
      </c>
      <c r="S116" s="4">
        <f>IF($W116="","",COUNTIFS(상세표[사번키],INDEX(합계표[사번키],$W116),상세표[반영월],대상월키,상세표[야간당직],1,상세표[야간 구분],"휴일"))</f>
        <v/>
      </c>
      <c r="T116">
        <f>IF($W116="","",COUNTIFS(상세표[사번키],INDEX(합계표[사번키],$W116),상세표[반영월],대상월키,상세표[야간당직],1,상세표[야간 구분],"평일",상세표[반영 기관],"서울병원"))</f>
        <v/>
      </c>
      <c r="U116">
        <f>IF($W116="","",COUNTIFS(상세표[사번키],INDEX(합계표[사번키],$W116),상세표[반영월],대상월키,상세표[야간당직],1,상세표[야간 구분],"휴일",상세표[반영 기관],"서울병원"))</f>
        <v/>
      </c>
      <c r="V116">
        <f>IF($W116="","",IF(ISNUMBER(MATCH(INDEX(합계표[사번키],$W116)&amp;"|"&amp;대상월키,월별근무지표[키],0)),"직접 입력",IF($K116="—","—","기관명단")))</f>
        <v/>
      </c>
      <c r="W116">
        <f>IFERROR(MATCH(111,합계표[판정순번],0),"")</f>
        <v/>
      </c>
      <c r="Y116">
        <f>IF($AB116="","",INDEX(상세표[사번],$AB116)&amp;"")</f>
        <v/>
      </c>
      <c r="Z116">
        <f>IF($AB116="","",INDEX(상세표[성명],$AB116)&amp;"")</f>
        <v/>
      </c>
      <c r="AA116">
        <f>IF($AB116="","",SUMIFS(상세표[기록 시간외],상세표[사번키],INDEX(상세표[사번키],$AB116),상세표[반영월],대상월키))</f>
        <v/>
      </c>
      <c r="AB116" s="4">
        <f>IFERROR(MATCH(111,상세표[합계없음순번],0),"")</f>
        <v/>
      </c>
    </row>
    <row r="117">
      <c r="A117">
        <f>IF($W117="","",INDEX(합계표[사번],$W117)&amp;"")</f>
        <v/>
      </c>
      <c r="B117">
        <f>IF($W117="","",INDEX(합계표[성명],$W117)&amp;"")</f>
        <v/>
      </c>
      <c r="C117">
        <f>IF($W117="","",INDEX(합계표[부서],$W117)&amp;"")</f>
        <v/>
      </c>
      <c r="D117">
        <f>IF($W117="","",INDEX(합계표[직위(통합)],$W117)&amp;"")</f>
        <v/>
      </c>
      <c r="E117">
        <f>IF($W117="","",SUMIFS(합계표[시스템 합계],합계표[사번키],INDEX(합계표[사번키],$W117)))</f>
        <v/>
      </c>
      <c r="F117">
        <f>IF($W117="","",SUMIFS(상세표[기록 시간외],상세표[사번키],INDEX(합계표[사번키],$W117),상세표[기록월],대상월키))</f>
        <v/>
      </c>
      <c r="G117">
        <f>IF($W117="","",IF(ABS($E117-$F117)&lt;0.01,"일치","불일치(차이 "&amp;TEXT($F117-$E117,"0.00")&amp;")"))</f>
        <v/>
      </c>
      <c r="H117">
        <f>IF($W117="","",SUMIFS(상세표[기록 시간외],상세표[사번키],INDEX(합계표[사번키],$W117),상세표[기록월],대상월키,상세표[반영월],"&lt;&gt;"&amp;대상월키))</f>
        <v/>
      </c>
      <c r="I117">
        <f>IF($W117="","",SUMIFS(상세표[기록 시간외],상세표[사번키],INDEX(합계표[사번키],$W117),상세표[기록월],"&lt;&gt;"&amp;대상월키,상세표[반영월],대상월키))</f>
        <v/>
      </c>
      <c r="J117">
        <f>IF($W117="","",SUMIFS(상세표[기록 시간외],상세표[사번키],INDEX(합계표[사번키],$W117),상세표[반영월],대상월키))</f>
        <v/>
      </c>
      <c r="K117">
        <f>IF($W117="","",IFERROR(INDEX(월별근무지표[적용 급여병원],MATCH(INDEX(합계표[사번키],$W117)&amp;"|"&amp;대상월키,월별근무지표[키],0))&amp;"",IF(COUNTIF(기관표[사번키],INDEX(합계표[사번키],$W117))+COUNTIF(월별근무지표[사번키],INDEX(합계표[사번키],$W117))&gt;0,IFERROR(INDEX(기관표[급여지급병원(기준월)],MATCH(INDEX(합계표[사번키],$W117)&amp;"|"&amp;대상월키,기관표[키],0))&amp;"","—"),"—")))</f>
        <v/>
      </c>
      <c r="L117">
        <f>IF($W117="","",IF(NOT(COUNTIF(기관표[사번키],INDEX(합계표[사번키],$W117))+COUNTIF(월별근무지표[사번키],INDEX(합계표[사번키],$W117))&gt;0),"기관명단에 없음(다른 병원으로 발송)",IF($K117="—","대상월 기관명단 없음(추가 필요)",IF($K117="서울병원","해당","비해당"))))</f>
        <v/>
      </c>
      <c r="M117">
        <f>IF($W117="","",SUMIFS(상세표[06~07시],상세표[사번키],INDEX(합계표[사번키],$W117),상세표[반영월],대상월키,상세표[반영 기관],"서울병원"))</f>
        <v/>
      </c>
      <c r="N117">
        <f>IF($W117="","",SUMIFS(상세표[07~18시],상세표[사번키],INDEX(합계표[사번키],$W117),상세표[반영월],대상월키,상세표[반영 기관],"서울병원"))</f>
        <v/>
      </c>
      <c r="O117">
        <f>IF($W117="","",SUMIFS(상세표[18~22시],상세표[사번키],INDEX(합계표[사번키],$W117),상세표[반영월],대상월키,상세표[반영 기관],"서울병원"))</f>
        <v/>
      </c>
      <c r="P117">
        <f>IF($W117="","",SUMIFS(상세표[22~06시],상세표[사번키],INDEX(합계표[사번키],$W117),상세표[반영월],대상월키,상세표[반영 기관],"서울병원"))</f>
        <v/>
      </c>
      <c r="Q117">
        <f>IF($W117="","",SUM($M117:$P117))</f>
        <v/>
      </c>
      <c r="R117">
        <f>IF($W117="","",COUNTIFS(상세표[사번키],INDEX(합계표[사번키],$W117),상세표[반영월],대상월키,상세표[야간당직],1,상세표[야간 구분],"평일"))</f>
        <v/>
      </c>
      <c r="S117" s="4">
        <f>IF($W117="","",COUNTIFS(상세표[사번키],INDEX(합계표[사번키],$W117),상세표[반영월],대상월키,상세표[야간당직],1,상세표[야간 구분],"휴일"))</f>
        <v/>
      </c>
      <c r="T117">
        <f>IF($W117="","",COUNTIFS(상세표[사번키],INDEX(합계표[사번키],$W117),상세표[반영월],대상월키,상세표[야간당직],1,상세표[야간 구분],"평일",상세표[반영 기관],"서울병원"))</f>
        <v/>
      </c>
      <c r="U117">
        <f>IF($W117="","",COUNTIFS(상세표[사번키],INDEX(합계표[사번키],$W117),상세표[반영월],대상월키,상세표[야간당직],1,상세표[야간 구분],"휴일",상세표[반영 기관],"서울병원"))</f>
        <v/>
      </c>
      <c r="V117">
        <f>IF($W117="","",IF(ISNUMBER(MATCH(INDEX(합계표[사번키],$W117)&amp;"|"&amp;대상월키,월별근무지표[키],0)),"직접 입력",IF($K117="—","—","기관명단")))</f>
        <v/>
      </c>
      <c r="W117">
        <f>IFERROR(MATCH(112,합계표[판정순번],0),"")</f>
        <v/>
      </c>
      <c r="Y117">
        <f>IF($AB117="","",INDEX(상세표[사번],$AB117)&amp;"")</f>
        <v/>
      </c>
      <c r="Z117">
        <f>IF($AB117="","",INDEX(상세표[성명],$AB117)&amp;"")</f>
        <v/>
      </c>
      <c r="AA117">
        <f>IF($AB117="","",SUMIFS(상세표[기록 시간외],상세표[사번키],INDEX(상세표[사번키],$AB117),상세표[반영월],대상월키))</f>
        <v/>
      </c>
      <c r="AB117" s="4">
        <f>IFERROR(MATCH(112,상세표[합계없음순번],0),"")</f>
        <v/>
      </c>
    </row>
    <row r="118">
      <c r="A118">
        <f>IF($W118="","",INDEX(합계표[사번],$W118)&amp;"")</f>
        <v/>
      </c>
      <c r="B118">
        <f>IF($W118="","",INDEX(합계표[성명],$W118)&amp;"")</f>
        <v/>
      </c>
      <c r="C118">
        <f>IF($W118="","",INDEX(합계표[부서],$W118)&amp;"")</f>
        <v/>
      </c>
      <c r="D118">
        <f>IF($W118="","",INDEX(합계표[직위(통합)],$W118)&amp;"")</f>
        <v/>
      </c>
      <c r="E118">
        <f>IF($W118="","",SUMIFS(합계표[시스템 합계],합계표[사번키],INDEX(합계표[사번키],$W118)))</f>
        <v/>
      </c>
      <c r="F118">
        <f>IF($W118="","",SUMIFS(상세표[기록 시간외],상세표[사번키],INDEX(합계표[사번키],$W118),상세표[기록월],대상월키))</f>
        <v/>
      </c>
      <c r="G118">
        <f>IF($W118="","",IF(ABS($E118-$F118)&lt;0.01,"일치","불일치(차이 "&amp;TEXT($F118-$E118,"0.00")&amp;")"))</f>
        <v/>
      </c>
      <c r="H118">
        <f>IF($W118="","",SUMIFS(상세표[기록 시간외],상세표[사번키],INDEX(합계표[사번키],$W118),상세표[기록월],대상월키,상세표[반영월],"&lt;&gt;"&amp;대상월키))</f>
        <v/>
      </c>
      <c r="I118">
        <f>IF($W118="","",SUMIFS(상세표[기록 시간외],상세표[사번키],INDEX(합계표[사번키],$W118),상세표[기록월],"&lt;&gt;"&amp;대상월키,상세표[반영월],대상월키))</f>
        <v/>
      </c>
      <c r="J118">
        <f>IF($W118="","",SUMIFS(상세표[기록 시간외],상세표[사번키],INDEX(합계표[사번키],$W118),상세표[반영월],대상월키))</f>
        <v/>
      </c>
      <c r="K118">
        <f>IF($W118="","",IFERROR(INDEX(월별근무지표[적용 급여병원],MATCH(INDEX(합계표[사번키],$W118)&amp;"|"&amp;대상월키,월별근무지표[키],0))&amp;"",IF(COUNTIF(기관표[사번키],INDEX(합계표[사번키],$W118))+COUNTIF(월별근무지표[사번키],INDEX(합계표[사번키],$W118))&gt;0,IFERROR(INDEX(기관표[급여지급병원(기준월)],MATCH(INDEX(합계표[사번키],$W118)&amp;"|"&amp;대상월키,기관표[키],0))&amp;"","—"),"—")))</f>
        <v/>
      </c>
      <c r="L118">
        <f>IF($W118="","",IF(NOT(COUNTIF(기관표[사번키],INDEX(합계표[사번키],$W118))+COUNTIF(월별근무지표[사번키],INDEX(합계표[사번키],$W118))&gt;0),"기관명단에 없음(다른 병원으로 발송)",IF($K118="—","대상월 기관명단 없음(추가 필요)",IF($K118="서울병원","해당","비해당"))))</f>
        <v/>
      </c>
      <c r="M118">
        <f>IF($W118="","",SUMIFS(상세표[06~07시],상세표[사번키],INDEX(합계표[사번키],$W118),상세표[반영월],대상월키,상세표[반영 기관],"서울병원"))</f>
        <v/>
      </c>
      <c r="N118">
        <f>IF($W118="","",SUMIFS(상세표[07~18시],상세표[사번키],INDEX(합계표[사번키],$W118),상세표[반영월],대상월키,상세표[반영 기관],"서울병원"))</f>
        <v/>
      </c>
      <c r="O118">
        <f>IF($W118="","",SUMIFS(상세표[18~22시],상세표[사번키],INDEX(합계표[사번키],$W118),상세표[반영월],대상월키,상세표[반영 기관],"서울병원"))</f>
        <v/>
      </c>
      <c r="P118">
        <f>IF($W118="","",SUMIFS(상세표[22~06시],상세표[사번키],INDEX(합계표[사번키],$W118),상세표[반영월],대상월키,상세표[반영 기관],"서울병원"))</f>
        <v/>
      </c>
      <c r="Q118">
        <f>IF($W118="","",SUM($M118:$P118))</f>
        <v/>
      </c>
      <c r="R118">
        <f>IF($W118="","",COUNTIFS(상세표[사번키],INDEX(합계표[사번키],$W118),상세표[반영월],대상월키,상세표[야간당직],1,상세표[야간 구분],"평일"))</f>
        <v/>
      </c>
      <c r="S118" s="4">
        <f>IF($W118="","",COUNTIFS(상세표[사번키],INDEX(합계표[사번키],$W118),상세표[반영월],대상월키,상세표[야간당직],1,상세표[야간 구분],"휴일"))</f>
        <v/>
      </c>
      <c r="T118">
        <f>IF($W118="","",COUNTIFS(상세표[사번키],INDEX(합계표[사번키],$W118),상세표[반영월],대상월키,상세표[야간당직],1,상세표[야간 구분],"평일",상세표[반영 기관],"서울병원"))</f>
        <v/>
      </c>
      <c r="U118">
        <f>IF($W118="","",COUNTIFS(상세표[사번키],INDEX(합계표[사번키],$W118),상세표[반영월],대상월키,상세표[야간당직],1,상세표[야간 구분],"휴일",상세표[반영 기관],"서울병원"))</f>
        <v/>
      </c>
      <c r="V118">
        <f>IF($W118="","",IF(ISNUMBER(MATCH(INDEX(합계표[사번키],$W118)&amp;"|"&amp;대상월키,월별근무지표[키],0)),"직접 입력",IF($K118="—","—","기관명단")))</f>
        <v/>
      </c>
      <c r="W118">
        <f>IFERROR(MATCH(113,합계표[판정순번],0),"")</f>
        <v/>
      </c>
      <c r="Y118">
        <f>IF($AB118="","",INDEX(상세표[사번],$AB118)&amp;"")</f>
        <v/>
      </c>
      <c r="Z118">
        <f>IF($AB118="","",INDEX(상세표[성명],$AB118)&amp;"")</f>
        <v/>
      </c>
      <c r="AA118">
        <f>IF($AB118="","",SUMIFS(상세표[기록 시간외],상세표[사번키],INDEX(상세표[사번키],$AB118),상세표[반영월],대상월키))</f>
        <v/>
      </c>
      <c r="AB118" s="4">
        <f>IFERROR(MATCH(113,상세표[합계없음순번],0),"")</f>
        <v/>
      </c>
    </row>
    <row r="119">
      <c r="A119">
        <f>IF($W119="","",INDEX(합계표[사번],$W119)&amp;"")</f>
        <v/>
      </c>
      <c r="B119">
        <f>IF($W119="","",INDEX(합계표[성명],$W119)&amp;"")</f>
        <v/>
      </c>
      <c r="C119">
        <f>IF($W119="","",INDEX(합계표[부서],$W119)&amp;"")</f>
        <v/>
      </c>
      <c r="D119">
        <f>IF($W119="","",INDEX(합계표[직위(통합)],$W119)&amp;"")</f>
        <v/>
      </c>
      <c r="E119">
        <f>IF($W119="","",SUMIFS(합계표[시스템 합계],합계표[사번키],INDEX(합계표[사번키],$W119)))</f>
        <v/>
      </c>
      <c r="F119">
        <f>IF($W119="","",SUMIFS(상세표[기록 시간외],상세표[사번키],INDEX(합계표[사번키],$W119),상세표[기록월],대상월키))</f>
        <v/>
      </c>
      <c r="G119">
        <f>IF($W119="","",IF(ABS($E119-$F119)&lt;0.01,"일치","불일치(차이 "&amp;TEXT($F119-$E119,"0.00")&amp;")"))</f>
        <v/>
      </c>
      <c r="H119">
        <f>IF($W119="","",SUMIFS(상세표[기록 시간외],상세표[사번키],INDEX(합계표[사번키],$W119),상세표[기록월],대상월키,상세표[반영월],"&lt;&gt;"&amp;대상월키))</f>
        <v/>
      </c>
      <c r="I119">
        <f>IF($W119="","",SUMIFS(상세표[기록 시간외],상세표[사번키],INDEX(합계표[사번키],$W119),상세표[기록월],"&lt;&gt;"&amp;대상월키,상세표[반영월],대상월키))</f>
        <v/>
      </c>
      <c r="J119">
        <f>IF($W119="","",SUMIFS(상세표[기록 시간외],상세표[사번키],INDEX(합계표[사번키],$W119),상세표[반영월],대상월키))</f>
        <v/>
      </c>
      <c r="K119">
        <f>IF($W119="","",IFERROR(INDEX(월별근무지표[적용 급여병원],MATCH(INDEX(합계표[사번키],$W119)&amp;"|"&amp;대상월키,월별근무지표[키],0))&amp;"",IF(COUNTIF(기관표[사번키],INDEX(합계표[사번키],$W119))+COUNTIF(월별근무지표[사번키],INDEX(합계표[사번키],$W119))&gt;0,IFERROR(INDEX(기관표[급여지급병원(기준월)],MATCH(INDEX(합계표[사번키],$W119)&amp;"|"&amp;대상월키,기관표[키],0))&amp;"","—"),"—")))</f>
        <v/>
      </c>
      <c r="L119">
        <f>IF($W119="","",IF(NOT(COUNTIF(기관표[사번키],INDEX(합계표[사번키],$W119))+COUNTIF(월별근무지표[사번키],INDEX(합계표[사번키],$W119))&gt;0),"기관명단에 없음(다른 병원으로 발송)",IF($K119="—","대상월 기관명단 없음(추가 필요)",IF($K119="서울병원","해당","비해당"))))</f>
        <v/>
      </c>
      <c r="M119">
        <f>IF($W119="","",SUMIFS(상세표[06~07시],상세표[사번키],INDEX(합계표[사번키],$W119),상세표[반영월],대상월키,상세표[반영 기관],"서울병원"))</f>
        <v/>
      </c>
      <c r="N119">
        <f>IF($W119="","",SUMIFS(상세표[07~18시],상세표[사번키],INDEX(합계표[사번키],$W119),상세표[반영월],대상월키,상세표[반영 기관],"서울병원"))</f>
        <v/>
      </c>
      <c r="O119">
        <f>IF($W119="","",SUMIFS(상세표[18~22시],상세표[사번키],INDEX(합계표[사번키],$W119),상세표[반영월],대상월키,상세표[반영 기관],"서울병원"))</f>
        <v/>
      </c>
      <c r="P119">
        <f>IF($W119="","",SUMIFS(상세표[22~06시],상세표[사번키],INDEX(합계표[사번키],$W119),상세표[반영월],대상월키,상세표[반영 기관],"서울병원"))</f>
        <v/>
      </c>
      <c r="Q119">
        <f>IF($W119="","",SUM($M119:$P119))</f>
        <v/>
      </c>
      <c r="R119">
        <f>IF($W119="","",COUNTIFS(상세표[사번키],INDEX(합계표[사번키],$W119),상세표[반영월],대상월키,상세표[야간당직],1,상세표[야간 구분],"평일"))</f>
        <v/>
      </c>
      <c r="S119" s="4">
        <f>IF($W119="","",COUNTIFS(상세표[사번키],INDEX(합계표[사번키],$W119),상세표[반영월],대상월키,상세표[야간당직],1,상세표[야간 구분],"휴일"))</f>
        <v/>
      </c>
      <c r="T119">
        <f>IF($W119="","",COUNTIFS(상세표[사번키],INDEX(합계표[사번키],$W119),상세표[반영월],대상월키,상세표[야간당직],1,상세표[야간 구분],"평일",상세표[반영 기관],"서울병원"))</f>
        <v/>
      </c>
      <c r="U119">
        <f>IF($W119="","",COUNTIFS(상세표[사번키],INDEX(합계표[사번키],$W119),상세표[반영월],대상월키,상세표[야간당직],1,상세표[야간 구분],"휴일",상세표[반영 기관],"서울병원"))</f>
        <v/>
      </c>
      <c r="V119">
        <f>IF($W119="","",IF(ISNUMBER(MATCH(INDEX(합계표[사번키],$W119)&amp;"|"&amp;대상월키,월별근무지표[키],0)),"직접 입력",IF($K119="—","—","기관명단")))</f>
        <v/>
      </c>
      <c r="W119">
        <f>IFERROR(MATCH(114,합계표[판정순번],0),"")</f>
        <v/>
      </c>
      <c r="Y119">
        <f>IF($AB119="","",INDEX(상세표[사번],$AB119)&amp;"")</f>
        <v/>
      </c>
      <c r="Z119">
        <f>IF($AB119="","",INDEX(상세표[성명],$AB119)&amp;"")</f>
        <v/>
      </c>
      <c r="AA119">
        <f>IF($AB119="","",SUMIFS(상세표[기록 시간외],상세표[사번키],INDEX(상세표[사번키],$AB119),상세표[반영월],대상월키))</f>
        <v/>
      </c>
      <c r="AB119" s="4">
        <f>IFERROR(MATCH(114,상세표[합계없음순번],0),"")</f>
        <v/>
      </c>
    </row>
    <row r="120">
      <c r="A120">
        <f>IF($W120="","",INDEX(합계표[사번],$W120)&amp;"")</f>
        <v/>
      </c>
      <c r="B120">
        <f>IF($W120="","",INDEX(합계표[성명],$W120)&amp;"")</f>
        <v/>
      </c>
      <c r="C120">
        <f>IF($W120="","",INDEX(합계표[부서],$W120)&amp;"")</f>
        <v/>
      </c>
      <c r="D120">
        <f>IF($W120="","",INDEX(합계표[직위(통합)],$W120)&amp;"")</f>
        <v/>
      </c>
      <c r="E120">
        <f>IF($W120="","",SUMIFS(합계표[시스템 합계],합계표[사번키],INDEX(합계표[사번키],$W120)))</f>
        <v/>
      </c>
      <c r="F120">
        <f>IF($W120="","",SUMIFS(상세표[기록 시간외],상세표[사번키],INDEX(합계표[사번키],$W120),상세표[기록월],대상월키))</f>
        <v/>
      </c>
      <c r="G120">
        <f>IF($W120="","",IF(ABS($E120-$F120)&lt;0.01,"일치","불일치(차이 "&amp;TEXT($F120-$E120,"0.00")&amp;")"))</f>
        <v/>
      </c>
      <c r="H120">
        <f>IF($W120="","",SUMIFS(상세표[기록 시간외],상세표[사번키],INDEX(합계표[사번키],$W120),상세표[기록월],대상월키,상세표[반영월],"&lt;&gt;"&amp;대상월키))</f>
        <v/>
      </c>
      <c r="I120">
        <f>IF($W120="","",SUMIFS(상세표[기록 시간외],상세표[사번키],INDEX(합계표[사번키],$W120),상세표[기록월],"&lt;&gt;"&amp;대상월키,상세표[반영월],대상월키))</f>
        <v/>
      </c>
      <c r="J120">
        <f>IF($W120="","",SUMIFS(상세표[기록 시간외],상세표[사번키],INDEX(합계표[사번키],$W120),상세표[반영월],대상월키))</f>
        <v/>
      </c>
      <c r="K120">
        <f>IF($W120="","",IFERROR(INDEX(월별근무지표[적용 급여병원],MATCH(INDEX(합계표[사번키],$W120)&amp;"|"&amp;대상월키,월별근무지표[키],0))&amp;"",IF(COUNTIF(기관표[사번키],INDEX(합계표[사번키],$W120))+COUNTIF(월별근무지표[사번키],INDEX(합계표[사번키],$W120))&gt;0,IFERROR(INDEX(기관표[급여지급병원(기준월)],MATCH(INDEX(합계표[사번키],$W120)&amp;"|"&amp;대상월키,기관표[키],0))&amp;"","—"),"—")))</f>
        <v/>
      </c>
      <c r="L120">
        <f>IF($W120="","",IF(NOT(COUNTIF(기관표[사번키],INDEX(합계표[사번키],$W120))+COUNTIF(월별근무지표[사번키],INDEX(합계표[사번키],$W120))&gt;0),"기관명단에 없음(다른 병원으로 발송)",IF($K120="—","대상월 기관명단 없음(추가 필요)",IF($K120="서울병원","해당","비해당"))))</f>
        <v/>
      </c>
      <c r="M120">
        <f>IF($W120="","",SUMIFS(상세표[06~07시],상세표[사번키],INDEX(합계표[사번키],$W120),상세표[반영월],대상월키,상세표[반영 기관],"서울병원"))</f>
        <v/>
      </c>
      <c r="N120">
        <f>IF($W120="","",SUMIFS(상세표[07~18시],상세표[사번키],INDEX(합계표[사번키],$W120),상세표[반영월],대상월키,상세표[반영 기관],"서울병원"))</f>
        <v/>
      </c>
      <c r="O120">
        <f>IF($W120="","",SUMIFS(상세표[18~22시],상세표[사번키],INDEX(합계표[사번키],$W120),상세표[반영월],대상월키,상세표[반영 기관],"서울병원"))</f>
        <v/>
      </c>
      <c r="P120">
        <f>IF($W120="","",SUMIFS(상세표[22~06시],상세표[사번키],INDEX(합계표[사번키],$W120),상세표[반영월],대상월키,상세표[반영 기관],"서울병원"))</f>
        <v/>
      </c>
      <c r="Q120">
        <f>IF($W120="","",SUM($M120:$P120))</f>
        <v/>
      </c>
      <c r="R120">
        <f>IF($W120="","",COUNTIFS(상세표[사번키],INDEX(합계표[사번키],$W120),상세표[반영월],대상월키,상세표[야간당직],1,상세표[야간 구분],"평일"))</f>
        <v/>
      </c>
      <c r="S120" s="4">
        <f>IF($W120="","",COUNTIFS(상세표[사번키],INDEX(합계표[사번키],$W120),상세표[반영월],대상월키,상세표[야간당직],1,상세표[야간 구분],"휴일"))</f>
        <v/>
      </c>
      <c r="T120">
        <f>IF($W120="","",COUNTIFS(상세표[사번키],INDEX(합계표[사번키],$W120),상세표[반영월],대상월키,상세표[야간당직],1,상세표[야간 구분],"평일",상세표[반영 기관],"서울병원"))</f>
        <v/>
      </c>
      <c r="U120">
        <f>IF($W120="","",COUNTIFS(상세표[사번키],INDEX(합계표[사번키],$W120),상세표[반영월],대상월키,상세표[야간당직],1,상세표[야간 구분],"휴일",상세표[반영 기관],"서울병원"))</f>
        <v/>
      </c>
      <c r="V120">
        <f>IF($W120="","",IF(ISNUMBER(MATCH(INDEX(합계표[사번키],$W120)&amp;"|"&amp;대상월키,월별근무지표[키],0)),"직접 입력",IF($K120="—","—","기관명단")))</f>
        <v/>
      </c>
      <c r="W120">
        <f>IFERROR(MATCH(115,합계표[판정순번],0),"")</f>
        <v/>
      </c>
      <c r="Y120">
        <f>IF($AB120="","",INDEX(상세표[사번],$AB120)&amp;"")</f>
        <v/>
      </c>
      <c r="Z120">
        <f>IF($AB120="","",INDEX(상세표[성명],$AB120)&amp;"")</f>
        <v/>
      </c>
      <c r="AA120">
        <f>IF($AB120="","",SUMIFS(상세표[기록 시간외],상세표[사번키],INDEX(상세표[사번키],$AB120),상세표[반영월],대상월키))</f>
        <v/>
      </c>
      <c r="AB120" s="4">
        <f>IFERROR(MATCH(115,상세표[합계없음순번],0),"")</f>
        <v/>
      </c>
    </row>
    <row r="121">
      <c r="A121">
        <f>IF($W121="","",INDEX(합계표[사번],$W121)&amp;"")</f>
        <v/>
      </c>
      <c r="B121">
        <f>IF($W121="","",INDEX(합계표[성명],$W121)&amp;"")</f>
        <v/>
      </c>
      <c r="C121">
        <f>IF($W121="","",INDEX(합계표[부서],$W121)&amp;"")</f>
        <v/>
      </c>
      <c r="D121">
        <f>IF($W121="","",INDEX(합계표[직위(통합)],$W121)&amp;"")</f>
        <v/>
      </c>
      <c r="E121">
        <f>IF($W121="","",SUMIFS(합계표[시스템 합계],합계표[사번키],INDEX(합계표[사번키],$W121)))</f>
        <v/>
      </c>
      <c r="F121">
        <f>IF($W121="","",SUMIFS(상세표[기록 시간외],상세표[사번키],INDEX(합계표[사번키],$W121),상세표[기록월],대상월키))</f>
        <v/>
      </c>
      <c r="G121">
        <f>IF($W121="","",IF(ABS($E121-$F121)&lt;0.01,"일치","불일치(차이 "&amp;TEXT($F121-$E121,"0.00")&amp;")"))</f>
        <v/>
      </c>
      <c r="H121">
        <f>IF($W121="","",SUMIFS(상세표[기록 시간외],상세표[사번키],INDEX(합계표[사번키],$W121),상세표[기록월],대상월키,상세표[반영월],"&lt;&gt;"&amp;대상월키))</f>
        <v/>
      </c>
      <c r="I121">
        <f>IF($W121="","",SUMIFS(상세표[기록 시간외],상세표[사번키],INDEX(합계표[사번키],$W121),상세표[기록월],"&lt;&gt;"&amp;대상월키,상세표[반영월],대상월키))</f>
        <v/>
      </c>
      <c r="J121">
        <f>IF($W121="","",SUMIFS(상세표[기록 시간외],상세표[사번키],INDEX(합계표[사번키],$W121),상세표[반영월],대상월키))</f>
        <v/>
      </c>
      <c r="K121">
        <f>IF($W121="","",IFERROR(INDEX(월별근무지표[적용 급여병원],MATCH(INDEX(합계표[사번키],$W121)&amp;"|"&amp;대상월키,월별근무지표[키],0))&amp;"",IF(COUNTIF(기관표[사번키],INDEX(합계표[사번키],$W121))+COUNTIF(월별근무지표[사번키],INDEX(합계표[사번키],$W121))&gt;0,IFERROR(INDEX(기관표[급여지급병원(기준월)],MATCH(INDEX(합계표[사번키],$W121)&amp;"|"&amp;대상월키,기관표[키],0))&amp;"","—"),"—")))</f>
        <v/>
      </c>
      <c r="L121">
        <f>IF($W121="","",IF(NOT(COUNTIF(기관표[사번키],INDEX(합계표[사번키],$W121))+COUNTIF(월별근무지표[사번키],INDEX(합계표[사번키],$W121))&gt;0),"기관명단에 없음(다른 병원으로 발송)",IF($K121="—","대상월 기관명단 없음(추가 필요)",IF($K121="서울병원","해당","비해당"))))</f>
        <v/>
      </c>
      <c r="M121">
        <f>IF($W121="","",SUMIFS(상세표[06~07시],상세표[사번키],INDEX(합계표[사번키],$W121),상세표[반영월],대상월키,상세표[반영 기관],"서울병원"))</f>
        <v/>
      </c>
      <c r="N121">
        <f>IF($W121="","",SUMIFS(상세표[07~18시],상세표[사번키],INDEX(합계표[사번키],$W121),상세표[반영월],대상월키,상세표[반영 기관],"서울병원"))</f>
        <v/>
      </c>
      <c r="O121">
        <f>IF($W121="","",SUMIFS(상세표[18~22시],상세표[사번키],INDEX(합계표[사번키],$W121),상세표[반영월],대상월키,상세표[반영 기관],"서울병원"))</f>
        <v/>
      </c>
      <c r="P121">
        <f>IF($W121="","",SUMIFS(상세표[22~06시],상세표[사번키],INDEX(합계표[사번키],$W121),상세표[반영월],대상월키,상세표[반영 기관],"서울병원"))</f>
        <v/>
      </c>
      <c r="Q121">
        <f>IF($W121="","",SUM($M121:$P121))</f>
        <v/>
      </c>
      <c r="R121">
        <f>IF($W121="","",COUNTIFS(상세표[사번키],INDEX(합계표[사번키],$W121),상세표[반영월],대상월키,상세표[야간당직],1,상세표[야간 구분],"평일"))</f>
        <v/>
      </c>
      <c r="S121" s="4">
        <f>IF($W121="","",COUNTIFS(상세표[사번키],INDEX(합계표[사번키],$W121),상세표[반영월],대상월키,상세표[야간당직],1,상세표[야간 구분],"휴일"))</f>
        <v/>
      </c>
      <c r="T121">
        <f>IF($W121="","",COUNTIFS(상세표[사번키],INDEX(합계표[사번키],$W121),상세표[반영월],대상월키,상세표[야간당직],1,상세표[야간 구분],"평일",상세표[반영 기관],"서울병원"))</f>
        <v/>
      </c>
      <c r="U121">
        <f>IF($W121="","",COUNTIFS(상세표[사번키],INDEX(합계표[사번키],$W121),상세표[반영월],대상월키,상세표[야간당직],1,상세표[야간 구분],"휴일",상세표[반영 기관],"서울병원"))</f>
        <v/>
      </c>
      <c r="V121">
        <f>IF($W121="","",IF(ISNUMBER(MATCH(INDEX(합계표[사번키],$W121)&amp;"|"&amp;대상월키,월별근무지표[키],0)),"직접 입력",IF($K121="—","—","기관명단")))</f>
        <v/>
      </c>
      <c r="W121">
        <f>IFERROR(MATCH(116,합계표[판정순번],0),"")</f>
        <v/>
      </c>
      <c r="Y121">
        <f>IF($AB121="","",INDEX(상세표[사번],$AB121)&amp;"")</f>
        <v/>
      </c>
      <c r="Z121">
        <f>IF($AB121="","",INDEX(상세표[성명],$AB121)&amp;"")</f>
        <v/>
      </c>
      <c r="AA121">
        <f>IF($AB121="","",SUMIFS(상세표[기록 시간외],상세표[사번키],INDEX(상세표[사번키],$AB121),상세표[반영월],대상월키))</f>
        <v/>
      </c>
      <c r="AB121" s="4">
        <f>IFERROR(MATCH(116,상세표[합계없음순번],0),"")</f>
        <v/>
      </c>
    </row>
    <row r="122">
      <c r="A122">
        <f>IF($W122="","",INDEX(합계표[사번],$W122)&amp;"")</f>
        <v/>
      </c>
      <c r="B122">
        <f>IF($W122="","",INDEX(합계표[성명],$W122)&amp;"")</f>
        <v/>
      </c>
      <c r="C122">
        <f>IF($W122="","",INDEX(합계표[부서],$W122)&amp;"")</f>
        <v/>
      </c>
      <c r="D122">
        <f>IF($W122="","",INDEX(합계표[직위(통합)],$W122)&amp;"")</f>
        <v/>
      </c>
      <c r="E122">
        <f>IF($W122="","",SUMIFS(합계표[시스템 합계],합계표[사번키],INDEX(합계표[사번키],$W122)))</f>
        <v/>
      </c>
      <c r="F122">
        <f>IF($W122="","",SUMIFS(상세표[기록 시간외],상세표[사번키],INDEX(합계표[사번키],$W122),상세표[기록월],대상월키))</f>
        <v/>
      </c>
      <c r="G122">
        <f>IF($W122="","",IF(ABS($E122-$F122)&lt;0.01,"일치","불일치(차이 "&amp;TEXT($F122-$E122,"0.00")&amp;")"))</f>
        <v/>
      </c>
      <c r="H122">
        <f>IF($W122="","",SUMIFS(상세표[기록 시간외],상세표[사번키],INDEX(합계표[사번키],$W122),상세표[기록월],대상월키,상세표[반영월],"&lt;&gt;"&amp;대상월키))</f>
        <v/>
      </c>
      <c r="I122">
        <f>IF($W122="","",SUMIFS(상세표[기록 시간외],상세표[사번키],INDEX(합계표[사번키],$W122),상세표[기록월],"&lt;&gt;"&amp;대상월키,상세표[반영월],대상월키))</f>
        <v/>
      </c>
      <c r="J122">
        <f>IF($W122="","",SUMIFS(상세표[기록 시간외],상세표[사번키],INDEX(합계표[사번키],$W122),상세표[반영월],대상월키))</f>
        <v/>
      </c>
      <c r="K122">
        <f>IF($W122="","",IFERROR(INDEX(월별근무지표[적용 급여병원],MATCH(INDEX(합계표[사번키],$W122)&amp;"|"&amp;대상월키,월별근무지표[키],0))&amp;"",IF(COUNTIF(기관표[사번키],INDEX(합계표[사번키],$W122))+COUNTIF(월별근무지표[사번키],INDEX(합계표[사번키],$W122))&gt;0,IFERROR(INDEX(기관표[급여지급병원(기준월)],MATCH(INDEX(합계표[사번키],$W122)&amp;"|"&amp;대상월키,기관표[키],0))&amp;"","—"),"—")))</f>
        <v/>
      </c>
      <c r="L122">
        <f>IF($W122="","",IF(NOT(COUNTIF(기관표[사번키],INDEX(합계표[사번키],$W122))+COUNTIF(월별근무지표[사번키],INDEX(합계표[사번키],$W122))&gt;0),"기관명단에 없음(다른 병원으로 발송)",IF($K122="—","대상월 기관명단 없음(추가 필요)",IF($K122="서울병원","해당","비해당"))))</f>
        <v/>
      </c>
      <c r="M122">
        <f>IF($W122="","",SUMIFS(상세표[06~07시],상세표[사번키],INDEX(합계표[사번키],$W122),상세표[반영월],대상월키,상세표[반영 기관],"서울병원"))</f>
        <v/>
      </c>
      <c r="N122">
        <f>IF($W122="","",SUMIFS(상세표[07~18시],상세표[사번키],INDEX(합계표[사번키],$W122),상세표[반영월],대상월키,상세표[반영 기관],"서울병원"))</f>
        <v/>
      </c>
      <c r="O122">
        <f>IF($W122="","",SUMIFS(상세표[18~22시],상세표[사번키],INDEX(합계표[사번키],$W122),상세표[반영월],대상월키,상세표[반영 기관],"서울병원"))</f>
        <v/>
      </c>
      <c r="P122">
        <f>IF($W122="","",SUMIFS(상세표[22~06시],상세표[사번키],INDEX(합계표[사번키],$W122),상세표[반영월],대상월키,상세표[반영 기관],"서울병원"))</f>
        <v/>
      </c>
      <c r="Q122">
        <f>IF($W122="","",SUM($M122:$P122))</f>
        <v/>
      </c>
      <c r="R122">
        <f>IF($W122="","",COUNTIFS(상세표[사번키],INDEX(합계표[사번키],$W122),상세표[반영월],대상월키,상세표[야간당직],1,상세표[야간 구분],"평일"))</f>
        <v/>
      </c>
      <c r="S122" s="4">
        <f>IF($W122="","",COUNTIFS(상세표[사번키],INDEX(합계표[사번키],$W122),상세표[반영월],대상월키,상세표[야간당직],1,상세표[야간 구분],"휴일"))</f>
        <v/>
      </c>
      <c r="T122">
        <f>IF($W122="","",COUNTIFS(상세표[사번키],INDEX(합계표[사번키],$W122),상세표[반영월],대상월키,상세표[야간당직],1,상세표[야간 구분],"평일",상세표[반영 기관],"서울병원"))</f>
        <v/>
      </c>
      <c r="U122">
        <f>IF($W122="","",COUNTIFS(상세표[사번키],INDEX(합계표[사번키],$W122),상세표[반영월],대상월키,상세표[야간당직],1,상세표[야간 구분],"휴일",상세표[반영 기관],"서울병원"))</f>
        <v/>
      </c>
      <c r="V122">
        <f>IF($W122="","",IF(ISNUMBER(MATCH(INDEX(합계표[사번키],$W122)&amp;"|"&amp;대상월키,월별근무지표[키],0)),"직접 입력",IF($K122="—","—","기관명단")))</f>
        <v/>
      </c>
      <c r="W122">
        <f>IFERROR(MATCH(117,합계표[판정순번],0),"")</f>
        <v/>
      </c>
      <c r="Y122">
        <f>IF($AB122="","",INDEX(상세표[사번],$AB122)&amp;"")</f>
        <v/>
      </c>
      <c r="Z122">
        <f>IF($AB122="","",INDEX(상세표[성명],$AB122)&amp;"")</f>
        <v/>
      </c>
      <c r="AA122">
        <f>IF($AB122="","",SUMIFS(상세표[기록 시간외],상세표[사번키],INDEX(상세표[사번키],$AB122),상세표[반영월],대상월키))</f>
        <v/>
      </c>
      <c r="AB122" s="4">
        <f>IFERROR(MATCH(117,상세표[합계없음순번],0),"")</f>
        <v/>
      </c>
    </row>
    <row r="123">
      <c r="A123">
        <f>IF($W123="","",INDEX(합계표[사번],$W123)&amp;"")</f>
        <v/>
      </c>
      <c r="B123">
        <f>IF($W123="","",INDEX(합계표[성명],$W123)&amp;"")</f>
        <v/>
      </c>
      <c r="C123">
        <f>IF($W123="","",INDEX(합계표[부서],$W123)&amp;"")</f>
        <v/>
      </c>
      <c r="D123">
        <f>IF($W123="","",INDEX(합계표[직위(통합)],$W123)&amp;"")</f>
        <v/>
      </c>
      <c r="E123">
        <f>IF($W123="","",SUMIFS(합계표[시스템 합계],합계표[사번키],INDEX(합계표[사번키],$W123)))</f>
        <v/>
      </c>
      <c r="F123">
        <f>IF($W123="","",SUMIFS(상세표[기록 시간외],상세표[사번키],INDEX(합계표[사번키],$W123),상세표[기록월],대상월키))</f>
        <v/>
      </c>
      <c r="G123">
        <f>IF($W123="","",IF(ABS($E123-$F123)&lt;0.01,"일치","불일치(차이 "&amp;TEXT($F123-$E123,"0.00")&amp;")"))</f>
        <v/>
      </c>
      <c r="H123">
        <f>IF($W123="","",SUMIFS(상세표[기록 시간외],상세표[사번키],INDEX(합계표[사번키],$W123),상세표[기록월],대상월키,상세표[반영월],"&lt;&gt;"&amp;대상월키))</f>
        <v/>
      </c>
      <c r="I123">
        <f>IF($W123="","",SUMIFS(상세표[기록 시간외],상세표[사번키],INDEX(합계표[사번키],$W123),상세표[기록월],"&lt;&gt;"&amp;대상월키,상세표[반영월],대상월키))</f>
        <v/>
      </c>
      <c r="J123">
        <f>IF($W123="","",SUMIFS(상세표[기록 시간외],상세표[사번키],INDEX(합계표[사번키],$W123),상세표[반영월],대상월키))</f>
        <v/>
      </c>
      <c r="K123">
        <f>IF($W123="","",IFERROR(INDEX(월별근무지표[적용 급여병원],MATCH(INDEX(합계표[사번키],$W123)&amp;"|"&amp;대상월키,월별근무지표[키],0))&amp;"",IF(COUNTIF(기관표[사번키],INDEX(합계표[사번키],$W123))+COUNTIF(월별근무지표[사번키],INDEX(합계표[사번키],$W123))&gt;0,IFERROR(INDEX(기관표[급여지급병원(기준월)],MATCH(INDEX(합계표[사번키],$W123)&amp;"|"&amp;대상월키,기관표[키],0))&amp;"","—"),"—")))</f>
        <v/>
      </c>
      <c r="L123">
        <f>IF($W123="","",IF(NOT(COUNTIF(기관표[사번키],INDEX(합계표[사번키],$W123))+COUNTIF(월별근무지표[사번키],INDEX(합계표[사번키],$W123))&gt;0),"기관명단에 없음(다른 병원으로 발송)",IF($K123="—","대상월 기관명단 없음(추가 필요)",IF($K123="서울병원","해당","비해당"))))</f>
        <v/>
      </c>
      <c r="M123">
        <f>IF($W123="","",SUMIFS(상세표[06~07시],상세표[사번키],INDEX(합계표[사번키],$W123),상세표[반영월],대상월키,상세표[반영 기관],"서울병원"))</f>
        <v/>
      </c>
      <c r="N123">
        <f>IF($W123="","",SUMIFS(상세표[07~18시],상세표[사번키],INDEX(합계표[사번키],$W123),상세표[반영월],대상월키,상세표[반영 기관],"서울병원"))</f>
        <v/>
      </c>
      <c r="O123">
        <f>IF($W123="","",SUMIFS(상세표[18~22시],상세표[사번키],INDEX(합계표[사번키],$W123),상세표[반영월],대상월키,상세표[반영 기관],"서울병원"))</f>
        <v/>
      </c>
      <c r="P123">
        <f>IF($W123="","",SUMIFS(상세표[22~06시],상세표[사번키],INDEX(합계표[사번키],$W123),상세표[반영월],대상월키,상세표[반영 기관],"서울병원"))</f>
        <v/>
      </c>
      <c r="Q123">
        <f>IF($W123="","",SUM($M123:$P123))</f>
        <v/>
      </c>
      <c r="R123">
        <f>IF($W123="","",COUNTIFS(상세표[사번키],INDEX(합계표[사번키],$W123),상세표[반영월],대상월키,상세표[야간당직],1,상세표[야간 구분],"평일"))</f>
        <v/>
      </c>
      <c r="S123" s="4">
        <f>IF($W123="","",COUNTIFS(상세표[사번키],INDEX(합계표[사번키],$W123),상세표[반영월],대상월키,상세표[야간당직],1,상세표[야간 구분],"휴일"))</f>
        <v/>
      </c>
      <c r="T123">
        <f>IF($W123="","",COUNTIFS(상세표[사번키],INDEX(합계표[사번키],$W123),상세표[반영월],대상월키,상세표[야간당직],1,상세표[야간 구분],"평일",상세표[반영 기관],"서울병원"))</f>
        <v/>
      </c>
      <c r="U123">
        <f>IF($W123="","",COUNTIFS(상세표[사번키],INDEX(합계표[사번키],$W123),상세표[반영월],대상월키,상세표[야간당직],1,상세표[야간 구분],"휴일",상세표[반영 기관],"서울병원"))</f>
        <v/>
      </c>
      <c r="V123">
        <f>IF($W123="","",IF(ISNUMBER(MATCH(INDEX(합계표[사번키],$W123)&amp;"|"&amp;대상월키,월별근무지표[키],0)),"직접 입력",IF($K123="—","—","기관명단")))</f>
        <v/>
      </c>
      <c r="W123">
        <f>IFERROR(MATCH(118,합계표[판정순번],0),"")</f>
        <v/>
      </c>
      <c r="Y123">
        <f>IF($AB123="","",INDEX(상세표[사번],$AB123)&amp;"")</f>
        <v/>
      </c>
      <c r="Z123">
        <f>IF($AB123="","",INDEX(상세표[성명],$AB123)&amp;"")</f>
        <v/>
      </c>
      <c r="AA123">
        <f>IF($AB123="","",SUMIFS(상세표[기록 시간외],상세표[사번키],INDEX(상세표[사번키],$AB123),상세표[반영월],대상월키))</f>
        <v/>
      </c>
      <c r="AB123" s="4">
        <f>IFERROR(MATCH(118,상세표[합계없음순번],0),"")</f>
        <v/>
      </c>
    </row>
    <row r="124">
      <c r="A124">
        <f>IF($W124="","",INDEX(합계표[사번],$W124)&amp;"")</f>
        <v/>
      </c>
      <c r="B124">
        <f>IF($W124="","",INDEX(합계표[성명],$W124)&amp;"")</f>
        <v/>
      </c>
      <c r="C124">
        <f>IF($W124="","",INDEX(합계표[부서],$W124)&amp;"")</f>
        <v/>
      </c>
      <c r="D124">
        <f>IF($W124="","",INDEX(합계표[직위(통합)],$W124)&amp;"")</f>
        <v/>
      </c>
      <c r="E124">
        <f>IF($W124="","",SUMIFS(합계표[시스템 합계],합계표[사번키],INDEX(합계표[사번키],$W124)))</f>
        <v/>
      </c>
      <c r="F124">
        <f>IF($W124="","",SUMIFS(상세표[기록 시간외],상세표[사번키],INDEX(합계표[사번키],$W124),상세표[기록월],대상월키))</f>
        <v/>
      </c>
      <c r="G124">
        <f>IF($W124="","",IF(ABS($E124-$F124)&lt;0.01,"일치","불일치(차이 "&amp;TEXT($F124-$E124,"0.00")&amp;")"))</f>
        <v/>
      </c>
      <c r="H124">
        <f>IF($W124="","",SUMIFS(상세표[기록 시간외],상세표[사번키],INDEX(합계표[사번키],$W124),상세표[기록월],대상월키,상세표[반영월],"&lt;&gt;"&amp;대상월키))</f>
        <v/>
      </c>
      <c r="I124">
        <f>IF($W124="","",SUMIFS(상세표[기록 시간외],상세표[사번키],INDEX(합계표[사번키],$W124),상세표[기록월],"&lt;&gt;"&amp;대상월키,상세표[반영월],대상월키))</f>
        <v/>
      </c>
      <c r="J124">
        <f>IF($W124="","",SUMIFS(상세표[기록 시간외],상세표[사번키],INDEX(합계표[사번키],$W124),상세표[반영월],대상월키))</f>
        <v/>
      </c>
      <c r="K124">
        <f>IF($W124="","",IFERROR(INDEX(월별근무지표[적용 급여병원],MATCH(INDEX(합계표[사번키],$W124)&amp;"|"&amp;대상월키,월별근무지표[키],0))&amp;"",IF(COUNTIF(기관표[사번키],INDEX(합계표[사번키],$W124))+COUNTIF(월별근무지표[사번키],INDEX(합계표[사번키],$W124))&gt;0,IFERROR(INDEX(기관표[급여지급병원(기준월)],MATCH(INDEX(합계표[사번키],$W124)&amp;"|"&amp;대상월키,기관표[키],0))&amp;"","—"),"—")))</f>
        <v/>
      </c>
      <c r="L124">
        <f>IF($W124="","",IF(NOT(COUNTIF(기관표[사번키],INDEX(합계표[사번키],$W124))+COUNTIF(월별근무지표[사번키],INDEX(합계표[사번키],$W124))&gt;0),"기관명단에 없음(다른 병원으로 발송)",IF($K124="—","대상월 기관명단 없음(추가 필요)",IF($K124="서울병원","해당","비해당"))))</f>
        <v/>
      </c>
      <c r="M124">
        <f>IF($W124="","",SUMIFS(상세표[06~07시],상세표[사번키],INDEX(합계표[사번키],$W124),상세표[반영월],대상월키,상세표[반영 기관],"서울병원"))</f>
        <v/>
      </c>
      <c r="N124">
        <f>IF($W124="","",SUMIFS(상세표[07~18시],상세표[사번키],INDEX(합계표[사번키],$W124),상세표[반영월],대상월키,상세표[반영 기관],"서울병원"))</f>
        <v/>
      </c>
      <c r="O124">
        <f>IF($W124="","",SUMIFS(상세표[18~22시],상세표[사번키],INDEX(합계표[사번키],$W124),상세표[반영월],대상월키,상세표[반영 기관],"서울병원"))</f>
        <v/>
      </c>
      <c r="P124">
        <f>IF($W124="","",SUMIFS(상세표[22~06시],상세표[사번키],INDEX(합계표[사번키],$W124),상세표[반영월],대상월키,상세표[반영 기관],"서울병원"))</f>
        <v/>
      </c>
      <c r="Q124">
        <f>IF($W124="","",SUM($M124:$P124))</f>
        <v/>
      </c>
      <c r="R124">
        <f>IF($W124="","",COUNTIFS(상세표[사번키],INDEX(합계표[사번키],$W124),상세표[반영월],대상월키,상세표[야간당직],1,상세표[야간 구분],"평일"))</f>
        <v/>
      </c>
      <c r="S124" s="4">
        <f>IF($W124="","",COUNTIFS(상세표[사번키],INDEX(합계표[사번키],$W124),상세표[반영월],대상월키,상세표[야간당직],1,상세표[야간 구분],"휴일"))</f>
        <v/>
      </c>
      <c r="T124">
        <f>IF($W124="","",COUNTIFS(상세표[사번키],INDEX(합계표[사번키],$W124),상세표[반영월],대상월키,상세표[야간당직],1,상세표[야간 구분],"평일",상세표[반영 기관],"서울병원"))</f>
        <v/>
      </c>
      <c r="U124">
        <f>IF($W124="","",COUNTIFS(상세표[사번키],INDEX(합계표[사번키],$W124),상세표[반영월],대상월키,상세표[야간당직],1,상세표[야간 구분],"휴일",상세표[반영 기관],"서울병원"))</f>
        <v/>
      </c>
      <c r="V124">
        <f>IF($W124="","",IF(ISNUMBER(MATCH(INDEX(합계표[사번키],$W124)&amp;"|"&amp;대상월키,월별근무지표[키],0)),"직접 입력",IF($K124="—","—","기관명단")))</f>
        <v/>
      </c>
      <c r="W124">
        <f>IFERROR(MATCH(119,합계표[판정순번],0),"")</f>
        <v/>
      </c>
      <c r="Y124">
        <f>IF($AB124="","",INDEX(상세표[사번],$AB124)&amp;"")</f>
        <v/>
      </c>
      <c r="Z124">
        <f>IF($AB124="","",INDEX(상세표[성명],$AB124)&amp;"")</f>
        <v/>
      </c>
      <c r="AA124">
        <f>IF($AB124="","",SUMIFS(상세표[기록 시간외],상세표[사번키],INDEX(상세표[사번키],$AB124),상세표[반영월],대상월키))</f>
        <v/>
      </c>
      <c r="AB124" s="4">
        <f>IFERROR(MATCH(119,상세표[합계없음순번],0),"")</f>
        <v/>
      </c>
    </row>
    <row r="125">
      <c r="A125">
        <f>IF($W125="","",INDEX(합계표[사번],$W125)&amp;"")</f>
        <v/>
      </c>
      <c r="B125">
        <f>IF($W125="","",INDEX(합계표[성명],$W125)&amp;"")</f>
        <v/>
      </c>
      <c r="C125">
        <f>IF($W125="","",INDEX(합계표[부서],$W125)&amp;"")</f>
        <v/>
      </c>
      <c r="D125">
        <f>IF($W125="","",INDEX(합계표[직위(통합)],$W125)&amp;"")</f>
        <v/>
      </c>
      <c r="E125">
        <f>IF($W125="","",SUMIFS(합계표[시스템 합계],합계표[사번키],INDEX(합계표[사번키],$W125)))</f>
        <v/>
      </c>
      <c r="F125">
        <f>IF($W125="","",SUMIFS(상세표[기록 시간외],상세표[사번키],INDEX(합계표[사번키],$W125),상세표[기록월],대상월키))</f>
        <v/>
      </c>
      <c r="G125">
        <f>IF($W125="","",IF(ABS($E125-$F125)&lt;0.01,"일치","불일치(차이 "&amp;TEXT($F125-$E125,"0.00")&amp;")"))</f>
        <v/>
      </c>
      <c r="H125">
        <f>IF($W125="","",SUMIFS(상세표[기록 시간외],상세표[사번키],INDEX(합계표[사번키],$W125),상세표[기록월],대상월키,상세표[반영월],"&lt;&gt;"&amp;대상월키))</f>
        <v/>
      </c>
      <c r="I125">
        <f>IF($W125="","",SUMIFS(상세표[기록 시간외],상세표[사번키],INDEX(합계표[사번키],$W125),상세표[기록월],"&lt;&gt;"&amp;대상월키,상세표[반영월],대상월키))</f>
        <v/>
      </c>
      <c r="J125">
        <f>IF($W125="","",SUMIFS(상세표[기록 시간외],상세표[사번키],INDEX(합계표[사번키],$W125),상세표[반영월],대상월키))</f>
        <v/>
      </c>
      <c r="K125">
        <f>IF($W125="","",IFERROR(INDEX(월별근무지표[적용 급여병원],MATCH(INDEX(합계표[사번키],$W125)&amp;"|"&amp;대상월키,월별근무지표[키],0))&amp;"",IF(COUNTIF(기관표[사번키],INDEX(합계표[사번키],$W125))+COUNTIF(월별근무지표[사번키],INDEX(합계표[사번키],$W125))&gt;0,IFERROR(INDEX(기관표[급여지급병원(기준월)],MATCH(INDEX(합계표[사번키],$W125)&amp;"|"&amp;대상월키,기관표[키],0))&amp;"","—"),"—")))</f>
        <v/>
      </c>
      <c r="L125">
        <f>IF($W125="","",IF(NOT(COUNTIF(기관표[사번키],INDEX(합계표[사번키],$W125))+COUNTIF(월별근무지표[사번키],INDEX(합계표[사번키],$W125))&gt;0),"기관명단에 없음(다른 병원으로 발송)",IF($K125="—","대상월 기관명단 없음(추가 필요)",IF($K125="서울병원","해당","비해당"))))</f>
        <v/>
      </c>
      <c r="M125">
        <f>IF($W125="","",SUMIFS(상세표[06~07시],상세표[사번키],INDEX(합계표[사번키],$W125),상세표[반영월],대상월키,상세표[반영 기관],"서울병원"))</f>
        <v/>
      </c>
      <c r="N125">
        <f>IF($W125="","",SUMIFS(상세표[07~18시],상세표[사번키],INDEX(합계표[사번키],$W125),상세표[반영월],대상월키,상세표[반영 기관],"서울병원"))</f>
        <v/>
      </c>
      <c r="O125">
        <f>IF($W125="","",SUMIFS(상세표[18~22시],상세표[사번키],INDEX(합계표[사번키],$W125),상세표[반영월],대상월키,상세표[반영 기관],"서울병원"))</f>
        <v/>
      </c>
      <c r="P125">
        <f>IF($W125="","",SUMIFS(상세표[22~06시],상세표[사번키],INDEX(합계표[사번키],$W125),상세표[반영월],대상월키,상세표[반영 기관],"서울병원"))</f>
        <v/>
      </c>
      <c r="Q125">
        <f>IF($W125="","",SUM($M125:$P125))</f>
        <v/>
      </c>
      <c r="R125">
        <f>IF($W125="","",COUNTIFS(상세표[사번키],INDEX(합계표[사번키],$W125),상세표[반영월],대상월키,상세표[야간당직],1,상세표[야간 구분],"평일"))</f>
        <v/>
      </c>
      <c r="S125" s="4">
        <f>IF($W125="","",COUNTIFS(상세표[사번키],INDEX(합계표[사번키],$W125),상세표[반영월],대상월키,상세표[야간당직],1,상세표[야간 구분],"휴일"))</f>
        <v/>
      </c>
      <c r="T125">
        <f>IF($W125="","",COUNTIFS(상세표[사번키],INDEX(합계표[사번키],$W125),상세표[반영월],대상월키,상세표[야간당직],1,상세표[야간 구분],"평일",상세표[반영 기관],"서울병원"))</f>
        <v/>
      </c>
      <c r="U125">
        <f>IF($W125="","",COUNTIFS(상세표[사번키],INDEX(합계표[사번키],$W125),상세표[반영월],대상월키,상세표[야간당직],1,상세표[야간 구분],"휴일",상세표[반영 기관],"서울병원"))</f>
        <v/>
      </c>
      <c r="V125">
        <f>IF($W125="","",IF(ISNUMBER(MATCH(INDEX(합계표[사번키],$W125)&amp;"|"&amp;대상월키,월별근무지표[키],0)),"직접 입력",IF($K125="—","—","기관명단")))</f>
        <v/>
      </c>
      <c r="W125">
        <f>IFERROR(MATCH(120,합계표[판정순번],0),"")</f>
        <v/>
      </c>
      <c r="Y125">
        <f>IF($AB125="","",INDEX(상세표[사번],$AB125)&amp;"")</f>
        <v/>
      </c>
      <c r="Z125">
        <f>IF($AB125="","",INDEX(상세표[성명],$AB125)&amp;"")</f>
        <v/>
      </c>
      <c r="AA125">
        <f>IF($AB125="","",SUMIFS(상세표[기록 시간외],상세표[사번키],INDEX(상세표[사번키],$AB125),상세표[반영월],대상월키))</f>
        <v/>
      </c>
      <c r="AB125" s="4">
        <f>IFERROR(MATCH(120,상세표[합계없음순번],0),"")</f>
        <v/>
      </c>
    </row>
    <row r="126">
      <c r="A126">
        <f>IF($W126="","",INDEX(합계표[사번],$W126)&amp;"")</f>
        <v/>
      </c>
      <c r="B126">
        <f>IF($W126="","",INDEX(합계표[성명],$W126)&amp;"")</f>
        <v/>
      </c>
      <c r="C126">
        <f>IF($W126="","",INDEX(합계표[부서],$W126)&amp;"")</f>
        <v/>
      </c>
      <c r="D126">
        <f>IF($W126="","",INDEX(합계표[직위(통합)],$W126)&amp;"")</f>
        <v/>
      </c>
      <c r="E126">
        <f>IF($W126="","",SUMIFS(합계표[시스템 합계],합계표[사번키],INDEX(합계표[사번키],$W126)))</f>
        <v/>
      </c>
      <c r="F126">
        <f>IF($W126="","",SUMIFS(상세표[기록 시간외],상세표[사번키],INDEX(합계표[사번키],$W126),상세표[기록월],대상월키))</f>
        <v/>
      </c>
      <c r="G126">
        <f>IF($W126="","",IF(ABS($E126-$F126)&lt;0.01,"일치","불일치(차이 "&amp;TEXT($F126-$E126,"0.00")&amp;")"))</f>
        <v/>
      </c>
      <c r="H126">
        <f>IF($W126="","",SUMIFS(상세표[기록 시간외],상세표[사번키],INDEX(합계표[사번키],$W126),상세표[기록월],대상월키,상세표[반영월],"&lt;&gt;"&amp;대상월키))</f>
        <v/>
      </c>
      <c r="I126">
        <f>IF($W126="","",SUMIFS(상세표[기록 시간외],상세표[사번키],INDEX(합계표[사번키],$W126),상세표[기록월],"&lt;&gt;"&amp;대상월키,상세표[반영월],대상월키))</f>
        <v/>
      </c>
      <c r="J126">
        <f>IF($W126="","",SUMIFS(상세표[기록 시간외],상세표[사번키],INDEX(합계표[사번키],$W126),상세표[반영월],대상월키))</f>
        <v/>
      </c>
      <c r="K126">
        <f>IF($W126="","",IFERROR(INDEX(월별근무지표[적용 급여병원],MATCH(INDEX(합계표[사번키],$W126)&amp;"|"&amp;대상월키,월별근무지표[키],0))&amp;"",IF(COUNTIF(기관표[사번키],INDEX(합계표[사번키],$W126))+COUNTIF(월별근무지표[사번키],INDEX(합계표[사번키],$W126))&gt;0,IFERROR(INDEX(기관표[급여지급병원(기준월)],MATCH(INDEX(합계표[사번키],$W126)&amp;"|"&amp;대상월키,기관표[키],0))&amp;"","—"),"—")))</f>
        <v/>
      </c>
      <c r="L126">
        <f>IF($W126="","",IF(NOT(COUNTIF(기관표[사번키],INDEX(합계표[사번키],$W126))+COUNTIF(월별근무지표[사번키],INDEX(합계표[사번키],$W126))&gt;0),"기관명단에 없음(다른 병원으로 발송)",IF($K126="—","대상월 기관명단 없음(추가 필요)",IF($K126="서울병원","해당","비해당"))))</f>
        <v/>
      </c>
      <c r="M126">
        <f>IF($W126="","",SUMIFS(상세표[06~07시],상세표[사번키],INDEX(합계표[사번키],$W126),상세표[반영월],대상월키,상세표[반영 기관],"서울병원"))</f>
        <v/>
      </c>
      <c r="N126">
        <f>IF($W126="","",SUMIFS(상세표[07~18시],상세표[사번키],INDEX(합계표[사번키],$W126),상세표[반영월],대상월키,상세표[반영 기관],"서울병원"))</f>
        <v/>
      </c>
      <c r="O126">
        <f>IF($W126="","",SUMIFS(상세표[18~22시],상세표[사번키],INDEX(합계표[사번키],$W126),상세표[반영월],대상월키,상세표[반영 기관],"서울병원"))</f>
        <v/>
      </c>
      <c r="P126">
        <f>IF($W126="","",SUMIFS(상세표[22~06시],상세표[사번키],INDEX(합계표[사번키],$W126),상세표[반영월],대상월키,상세표[반영 기관],"서울병원"))</f>
        <v/>
      </c>
      <c r="Q126">
        <f>IF($W126="","",SUM($M126:$P126))</f>
        <v/>
      </c>
      <c r="R126">
        <f>IF($W126="","",COUNTIFS(상세표[사번키],INDEX(합계표[사번키],$W126),상세표[반영월],대상월키,상세표[야간당직],1,상세표[야간 구분],"평일"))</f>
        <v/>
      </c>
      <c r="S126" s="4">
        <f>IF($W126="","",COUNTIFS(상세표[사번키],INDEX(합계표[사번키],$W126),상세표[반영월],대상월키,상세표[야간당직],1,상세표[야간 구분],"휴일"))</f>
        <v/>
      </c>
      <c r="T126">
        <f>IF($W126="","",COUNTIFS(상세표[사번키],INDEX(합계표[사번키],$W126),상세표[반영월],대상월키,상세표[야간당직],1,상세표[야간 구분],"평일",상세표[반영 기관],"서울병원"))</f>
        <v/>
      </c>
      <c r="U126">
        <f>IF($W126="","",COUNTIFS(상세표[사번키],INDEX(합계표[사번키],$W126),상세표[반영월],대상월키,상세표[야간당직],1,상세표[야간 구분],"휴일",상세표[반영 기관],"서울병원"))</f>
        <v/>
      </c>
      <c r="V126">
        <f>IF($W126="","",IF(ISNUMBER(MATCH(INDEX(합계표[사번키],$W126)&amp;"|"&amp;대상월키,월별근무지표[키],0)),"직접 입력",IF($K126="—","—","기관명단")))</f>
        <v/>
      </c>
      <c r="W126">
        <f>IFERROR(MATCH(121,합계표[판정순번],0),"")</f>
        <v/>
      </c>
      <c r="Y126">
        <f>IF($AB126="","",INDEX(상세표[사번],$AB126)&amp;"")</f>
        <v/>
      </c>
      <c r="Z126">
        <f>IF($AB126="","",INDEX(상세표[성명],$AB126)&amp;"")</f>
        <v/>
      </c>
      <c r="AA126">
        <f>IF($AB126="","",SUMIFS(상세표[기록 시간외],상세표[사번키],INDEX(상세표[사번키],$AB126),상세표[반영월],대상월키))</f>
        <v/>
      </c>
      <c r="AB126" s="4">
        <f>IFERROR(MATCH(121,상세표[합계없음순번],0),"")</f>
        <v/>
      </c>
    </row>
    <row r="127">
      <c r="A127">
        <f>IF($W127="","",INDEX(합계표[사번],$W127)&amp;"")</f>
        <v/>
      </c>
      <c r="B127">
        <f>IF($W127="","",INDEX(합계표[성명],$W127)&amp;"")</f>
        <v/>
      </c>
      <c r="C127">
        <f>IF($W127="","",INDEX(합계표[부서],$W127)&amp;"")</f>
        <v/>
      </c>
      <c r="D127">
        <f>IF($W127="","",INDEX(합계표[직위(통합)],$W127)&amp;"")</f>
        <v/>
      </c>
      <c r="E127">
        <f>IF($W127="","",SUMIFS(합계표[시스템 합계],합계표[사번키],INDEX(합계표[사번키],$W127)))</f>
        <v/>
      </c>
      <c r="F127">
        <f>IF($W127="","",SUMIFS(상세표[기록 시간외],상세표[사번키],INDEX(합계표[사번키],$W127),상세표[기록월],대상월키))</f>
        <v/>
      </c>
      <c r="G127">
        <f>IF($W127="","",IF(ABS($E127-$F127)&lt;0.01,"일치","불일치(차이 "&amp;TEXT($F127-$E127,"0.00")&amp;")"))</f>
        <v/>
      </c>
      <c r="H127">
        <f>IF($W127="","",SUMIFS(상세표[기록 시간외],상세표[사번키],INDEX(합계표[사번키],$W127),상세표[기록월],대상월키,상세표[반영월],"&lt;&gt;"&amp;대상월키))</f>
        <v/>
      </c>
      <c r="I127">
        <f>IF($W127="","",SUMIFS(상세표[기록 시간외],상세표[사번키],INDEX(합계표[사번키],$W127),상세표[기록월],"&lt;&gt;"&amp;대상월키,상세표[반영월],대상월키))</f>
        <v/>
      </c>
      <c r="J127">
        <f>IF($W127="","",SUMIFS(상세표[기록 시간외],상세표[사번키],INDEX(합계표[사번키],$W127),상세표[반영월],대상월키))</f>
        <v/>
      </c>
      <c r="K127">
        <f>IF($W127="","",IFERROR(INDEX(월별근무지표[적용 급여병원],MATCH(INDEX(합계표[사번키],$W127)&amp;"|"&amp;대상월키,월별근무지표[키],0))&amp;"",IF(COUNTIF(기관표[사번키],INDEX(합계표[사번키],$W127))+COUNTIF(월별근무지표[사번키],INDEX(합계표[사번키],$W127))&gt;0,IFERROR(INDEX(기관표[급여지급병원(기준월)],MATCH(INDEX(합계표[사번키],$W127)&amp;"|"&amp;대상월키,기관표[키],0))&amp;"","—"),"—")))</f>
        <v/>
      </c>
      <c r="L127">
        <f>IF($W127="","",IF(NOT(COUNTIF(기관표[사번키],INDEX(합계표[사번키],$W127))+COUNTIF(월별근무지표[사번키],INDEX(합계표[사번키],$W127))&gt;0),"기관명단에 없음(다른 병원으로 발송)",IF($K127="—","대상월 기관명단 없음(추가 필요)",IF($K127="서울병원","해당","비해당"))))</f>
        <v/>
      </c>
      <c r="M127">
        <f>IF($W127="","",SUMIFS(상세표[06~07시],상세표[사번키],INDEX(합계표[사번키],$W127),상세표[반영월],대상월키,상세표[반영 기관],"서울병원"))</f>
        <v/>
      </c>
      <c r="N127">
        <f>IF($W127="","",SUMIFS(상세표[07~18시],상세표[사번키],INDEX(합계표[사번키],$W127),상세표[반영월],대상월키,상세표[반영 기관],"서울병원"))</f>
        <v/>
      </c>
      <c r="O127">
        <f>IF($W127="","",SUMIFS(상세표[18~22시],상세표[사번키],INDEX(합계표[사번키],$W127),상세표[반영월],대상월키,상세표[반영 기관],"서울병원"))</f>
        <v/>
      </c>
      <c r="P127">
        <f>IF($W127="","",SUMIFS(상세표[22~06시],상세표[사번키],INDEX(합계표[사번키],$W127),상세표[반영월],대상월키,상세표[반영 기관],"서울병원"))</f>
        <v/>
      </c>
      <c r="Q127">
        <f>IF($W127="","",SUM($M127:$P127))</f>
        <v/>
      </c>
      <c r="R127">
        <f>IF($W127="","",COUNTIFS(상세표[사번키],INDEX(합계표[사번키],$W127),상세표[반영월],대상월키,상세표[야간당직],1,상세표[야간 구분],"평일"))</f>
        <v/>
      </c>
      <c r="S127" s="4">
        <f>IF($W127="","",COUNTIFS(상세표[사번키],INDEX(합계표[사번키],$W127),상세표[반영월],대상월키,상세표[야간당직],1,상세표[야간 구분],"휴일"))</f>
        <v/>
      </c>
      <c r="T127">
        <f>IF($W127="","",COUNTIFS(상세표[사번키],INDEX(합계표[사번키],$W127),상세표[반영월],대상월키,상세표[야간당직],1,상세표[야간 구분],"평일",상세표[반영 기관],"서울병원"))</f>
        <v/>
      </c>
      <c r="U127">
        <f>IF($W127="","",COUNTIFS(상세표[사번키],INDEX(합계표[사번키],$W127),상세표[반영월],대상월키,상세표[야간당직],1,상세표[야간 구분],"휴일",상세표[반영 기관],"서울병원"))</f>
        <v/>
      </c>
      <c r="V127">
        <f>IF($W127="","",IF(ISNUMBER(MATCH(INDEX(합계표[사번키],$W127)&amp;"|"&amp;대상월키,월별근무지표[키],0)),"직접 입력",IF($K127="—","—","기관명단")))</f>
        <v/>
      </c>
      <c r="W127">
        <f>IFERROR(MATCH(122,합계표[판정순번],0),"")</f>
        <v/>
      </c>
      <c r="Y127">
        <f>IF($AB127="","",INDEX(상세표[사번],$AB127)&amp;"")</f>
        <v/>
      </c>
      <c r="Z127">
        <f>IF($AB127="","",INDEX(상세표[성명],$AB127)&amp;"")</f>
        <v/>
      </c>
      <c r="AA127">
        <f>IF($AB127="","",SUMIFS(상세표[기록 시간외],상세표[사번키],INDEX(상세표[사번키],$AB127),상세표[반영월],대상월키))</f>
        <v/>
      </c>
      <c r="AB127" s="4">
        <f>IFERROR(MATCH(122,상세표[합계없음순번],0),"")</f>
        <v/>
      </c>
    </row>
    <row r="128">
      <c r="A128">
        <f>IF($W128="","",INDEX(합계표[사번],$W128)&amp;"")</f>
        <v/>
      </c>
      <c r="B128">
        <f>IF($W128="","",INDEX(합계표[성명],$W128)&amp;"")</f>
        <v/>
      </c>
      <c r="C128">
        <f>IF($W128="","",INDEX(합계표[부서],$W128)&amp;"")</f>
        <v/>
      </c>
      <c r="D128">
        <f>IF($W128="","",INDEX(합계표[직위(통합)],$W128)&amp;"")</f>
        <v/>
      </c>
      <c r="E128">
        <f>IF($W128="","",SUMIFS(합계표[시스템 합계],합계표[사번키],INDEX(합계표[사번키],$W128)))</f>
        <v/>
      </c>
      <c r="F128">
        <f>IF($W128="","",SUMIFS(상세표[기록 시간외],상세표[사번키],INDEX(합계표[사번키],$W128),상세표[기록월],대상월키))</f>
        <v/>
      </c>
      <c r="G128">
        <f>IF($W128="","",IF(ABS($E128-$F128)&lt;0.01,"일치","불일치(차이 "&amp;TEXT($F128-$E128,"0.00")&amp;")"))</f>
        <v/>
      </c>
      <c r="H128">
        <f>IF($W128="","",SUMIFS(상세표[기록 시간외],상세표[사번키],INDEX(합계표[사번키],$W128),상세표[기록월],대상월키,상세표[반영월],"&lt;&gt;"&amp;대상월키))</f>
        <v/>
      </c>
      <c r="I128">
        <f>IF($W128="","",SUMIFS(상세표[기록 시간외],상세표[사번키],INDEX(합계표[사번키],$W128),상세표[기록월],"&lt;&gt;"&amp;대상월키,상세표[반영월],대상월키))</f>
        <v/>
      </c>
      <c r="J128">
        <f>IF($W128="","",SUMIFS(상세표[기록 시간외],상세표[사번키],INDEX(합계표[사번키],$W128),상세표[반영월],대상월키))</f>
        <v/>
      </c>
      <c r="K128">
        <f>IF($W128="","",IFERROR(INDEX(월별근무지표[적용 급여병원],MATCH(INDEX(합계표[사번키],$W128)&amp;"|"&amp;대상월키,월별근무지표[키],0))&amp;"",IF(COUNTIF(기관표[사번키],INDEX(합계표[사번키],$W128))+COUNTIF(월별근무지표[사번키],INDEX(합계표[사번키],$W128))&gt;0,IFERROR(INDEX(기관표[급여지급병원(기준월)],MATCH(INDEX(합계표[사번키],$W128)&amp;"|"&amp;대상월키,기관표[키],0))&amp;"","—"),"—")))</f>
        <v/>
      </c>
      <c r="L128">
        <f>IF($W128="","",IF(NOT(COUNTIF(기관표[사번키],INDEX(합계표[사번키],$W128))+COUNTIF(월별근무지표[사번키],INDEX(합계표[사번키],$W128))&gt;0),"기관명단에 없음(다른 병원으로 발송)",IF($K128="—","대상월 기관명단 없음(추가 필요)",IF($K128="서울병원","해당","비해당"))))</f>
        <v/>
      </c>
      <c r="M128">
        <f>IF($W128="","",SUMIFS(상세표[06~07시],상세표[사번키],INDEX(합계표[사번키],$W128),상세표[반영월],대상월키,상세표[반영 기관],"서울병원"))</f>
        <v/>
      </c>
      <c r="N128">
        <f>IF($W128="","",SUMIFS(상세표[07~18시],상세표[사번키],INDEX(합계표[사번키],$W128),상세표[반영월],대상월키,상세표[반영 기관],"서울병원"))</f>
        <v/>
      </c>
      <c r="O128">
        <f>IF($W128="","",SUMIFS(상세표[18~22시],상세표[사번키],INDEX(합계표[사번키],$W128),상세표[반영월],대상월키,상세표[반영 기관],"서울병원"))</f>
        <v/>
      </c>
      <c r="P128">
        <f>IF($W128="","",SUMIFS(상세표[22~06시],상세표[사번키],INDEX(합계표[사번키],$W128),상세표[반영월],대상월키,상세표[반영 기관],"서울병원"))</f>
        <v/>
      </c>
      <c r="Q128">
        <f>IF($W128="","",SUM($M128:$P128))</f>
        <v/>
      </c>
      <c r="R128">
        <f>IF($W128="","",COUNTIFS(상세표[사번키],INDEX(합계표[사번키],$W128),상세표[반영월],대상월키,상세표[야간당직],1,상세표[야간 구분],"평일"))</f>
        <v/>
      </c>
      <c r="S128" s="4">
        <f>IF($W128="","",COUNTIFS(상세표[사번키],INDEX(합계표[사번키],$W128),상세표[반영월],대상월키,상세표[야간당직],1,상세표[야간 구분],"휴일"))</f>
        <v/>
      </c>
      <c r="T128">
        <f>IF($W128="","",COUNTIFS(상세표[사번키],INDEX(합계표[사번키],$W128),상세표[반영월],대상월키,상세표[야간당직],1,상세표[야간 구분],"평일",상세표[반영 기관],"서울병원"))</f>
        <v/>
      </c>
      <c r="U128">
        <f>IF($W128="","",COUNTIFS(상세표[사번키],INDEX(합계표[사번키],$W128),상세표[반영월],대상월키,상세표[야간당직],1,상세표[야간 구분],"휴일",상세표[반영 기관],"서울병원"))</f>
        <v/>
      </c>
      <c r="V128">
        <f>IF($W128="","",IF(ISNUMBER(MATCH(INDEX(합계표[사번키],$W128)&amp;"|"&amp;대상월키,월별근무지표[키],0)),"직접 입력",IF($K128="—","—","기관명단")))</f>
        <v/>
      </c>
      <c r="W128">
        <f>IFERROR(MATCH(123,합계표[판정순번],0),"")</f>
        <v/>
      </c>
      <c r="Y128">
        <f>IF($AB128="","",INDEX(상세표[사번],$AB128)&amp;"")</f>
        <v/>
      </c>
      <c r="Z128">
        <f>IF($AB128="","",INDEX(상세표[성명],$AB128)&amp;"")</f>
        <v/>
      </c>
      <c r="AA128">
        <f>IF($AB128="","",SUMIFS(상세표[기록 시간외],상세표[사번키],INDEX(상세표[사번키],$AB128),상세표[반영월],대상월키))</f>
        <v/>
      </c>
      <c r="AB128" s="4">
        <f>IFERROR(MATCH(123,상세표[합계없음순번],0),"")</f>
        <v/>
      </c>
    </row>
    <row r="129">
      <c r="A129">
        <f>IF($W129="","",INDEX(합계표[사번],$W129)&amp;"")</f>
        <v/>
      </c>
      <c r="B129">
        <f>IF($W129="","",INDEX(합계표[성명],$W129)&amp;"")</f>
        <v/>
      </c>
      <c r="C129">
        <f>IF($W129="","",INDEX(합계표[부서],$W129)&amp;"")</f>
        <v/>
      </c>
      <c r="D129">
        <f>IF($W129="","",INDEX(합계표[직위(통합)],$W129)&amp;"")</f>
        <v/>
      </c>
      <c r="E129">
        <f>IF($W129="","",SUMIFS(합계표[시스템 합계],합계표[사번키],INDEX(합계표[사번키],$W129)))</f>
        <v/>
      </c>
      <c r="F129">
        <f>IF($W129="","",SUMIFS(상세표[기록 시간외],상세표[사번키],INDEX(합계표[사번키],$W129),상세표[기록월],대상월키))</f>
        <v/>
      </c>
      <c r="G129">
        <f>IF($W129="","",IF(ABS($E129-$F129)&lt;0.01,"일치","불일치(차이 "&amp;TEXT($F129-$E129,"0.00")&amp;")"))</f>
        <v/>
      </c>
      <c r="H129">
        <f>IF($W129="","",SUMIFS(상세표[기록 시간외],상세표[사번키],INDEX(합계표[사번키],$W129),상세표[기록월],대상월키,상세표[반영월],"&lt;&gt;"&amp;대상월키))</f>
        <v/>
      </c>
      <c r="I129">
        <f>IF($W129="","",SUMIFS(상세표[기록 시간외],상세표[사번키],INDEX(합계표[사번키],$W129),상세표[기록월],"&lt;&gt;"&amp;대상월키,상세표[반영월],대상월키))</f>
        <v/>
      </c>
      <c r="J129">
        <f>IF($W129="","",SUMIFS(상세표[기록 시간외],상세표[사번키],INDEX(합계표[사번키],$W129),상세표[반영월],대상월키))</f>
        <v/>
      </c>
      <c r="K129">
        <f>IF($W129="","",IFERROR(INDEX(월별근무지표[적용 급여병원],MATCH(INDEX(합계표[사번키],$W129)&amp;"|"&amp;대상월키,월별근무지표[키],0))&amp;"",IF(COUNTIF(기관표[사번키],INDEX(합계표[사번키],$W129))+COUNTIF(월별근무지표[사번키],INDEX(합계표[사번키],$W129))&gt;0,IFERROR(INDEX(기관표[급여지급병원(기준월)],MATCH(INDEX(합계표[사번키],$W129)&amp;"|"&amp;대상월키,기관표[키],0))&amp;"","—"),"—")))</f>
        <v/>
      </c>
      <c r="L129">
        <f>IF($W129="","",IF(NOT(COUNTIF(기관표[사번키],INDEX(합계표[사번키],$W129))+COUNTIF(월별근무지표[사번키],INDEX(합계표[사번키],$W129))&gt;0),"기관명단에 없음(다른 병원으로 발송)",IF($K129="—","대상월 기관명단 없음(추가 필요)",IF($K129="서울병원","해당","비해당"))))</f>
        <v/>
      </c>
      <c r="M129">
        <f>IF($W129="","",SUMIFS(상세표[06~07시],상세표[사번키],INDEX(합계표[사번키],$W129),상세표[반영월],대상월키,상세표[반영 기관],"서울병원"))</f>
        <v/>
      </c>
      <c r="N129">
        <f>IF($W129="","",SUMIFS(상세표[07~18시],상세표[사번키],INDEX(합계표[사번키],$W129),상세표[반영월],대상월키,상세표[반영 기관],"서울병원"))</f>
        <v/>
      </c>
      <c r="O129">
        <f>IF($W129="","",SUMIFS(상세표[18~22시],상세표[사번키],INDEX(합계표[사번키],$W129),상세표[반영월],대상월키,상세표[반영 기관],"서울병원"))</f>
        <v/>
      </c>
      <c r="P129">
        <f>IF($W129="","",SUMIFS(상세표[22~06시],상세표[사번키],INDEX(합계표[사번키],$W129),상세표[반영월],대상월키,상세표[반영 기관],"서울병원"))</f>
        <v/>
      </c>
      <c r="Q129">
        <f>IF($W129="","",SUM($M129:$P129))</f>
        <v/>
      </c>
      <c r="R129">
        <f>IF($W129="","",COUNTIFS(상세표[사번키],INDEX(합계표[사번키],$W129),상세표[반영월],대상월키,상세표[야간당직],1,상세표[야간 구분],"평일"))</f>
        <v/>
      </c>
      <c r="S129" s="4">
        <f>IF($W129="","",COUNTIFS(상세표[사번키],INDEX(합계표[사번키],$W129),상세표[반영월],대상월키,상세표[야간당직],1,상세표[야간 구분],"휴일"))</f>
        <v/>
      </c>
      <c r="T129">
        <f>IF($W129="","",COUNTIFS(상세표[사번키],INDEX(합계표[사번키],$W129),상세표[반영월],대상월키,상세표[야간당직],1,상세표[야간 구분],"평일",상세표[반영 기관],"서울병원"))</f>
        <v/>
      </c>
      <c r="U129">
        <f>IF($W129="","",COUNTIFS(상세표[사번키],INDEX(합계표[사번키],$W129),상세표[반영월],대상월키,상세표[야간당직],1,상세표[야간 구분],"휴일",상세표[반영 기관],"서울병원"))</f>
        <v/>
      </c>
      <c r="V129">
        <f>IF($W129="","",IF(ISNUMBER(MATCH(INDEX(합계표[사번키],$W129)&amp;"|"&amp;대상월키,월별근무지표[키],0)),"직접 입력",IF($K129="—","—","기관명단")))</f>
        <v/>
      </c>
      <c r="W129">
        <f>IFERROR(MATCH(124,합계표[판정순번],0),"")</f>
        <v/>
      </c>
      <c r="Y129">
        <f>IF($AB129="","",INDEX(상세표[사번],$AB129)&amp;"")</f>
        <v/>
      </c>
      <c r="Z129">
        <f>IF($AB129="","",INDEX(상세표[성명],$AB129)&amp;"")</f>
        <v/>
      </c>
      <c r="AA129">
        <f>IF($AB129="","",SUMIFS(상세표[기록 시간외],상세표[사번키],INDEX(상세표[사번키],$AB129),상세표[반영월],대상월키))</f>
        <v/>
      </c>
      <c r="AB129" s="4">
        <f>IFERROR(MATCH(124,상세표[합계없음순번],0),"")</f>
        <v/>
      </c>
    </row>
    <row r="130">
      <c r="A130">
        <f>IF($W130="","",INDEX(합계표[사번],$W130)&amp;"")</f>
        <v/>
      </c>
      <c r="B130">
        <f>IF($W130="","",INDEX(합계표[성명],$W130)&amp;"")</f>
        <v/>
      </c>
      <c r="C130">
        <f>IF($W130="","",INDEX(합계표[부서],$W130)&amp;"")</f>
        <v/>
      </c>
      <c r="D130">
        <f>IF($W130="","",INDEX(합계표[직위(통합)],$W130)&amp;"")</f>
        <v/>
      </c>
      <c r="E130">
        <f>IF($W130="","",SUMIFS(합계표[시스템 합계],합계표[사번키],INDEX(합계표[사번키],$W130)))</f>
        <v/>
      </c>
      <c r="F130">
        <f>IF($W130="","",SUMIFS(상세표[기록 시간외],상세표[사번키],INDEX(합계표[사번키],$W130),상세표[기록월],대상월키))</f>
        <v/>
      </c>
      <c r="G130">
        <f>IF($W130="","",IF(ABS($E130-$F130)&lt;0.01,"일치","불일치(차이 "&amp;TEXT($F130-$E130,"0.00")&amp;")"))</f>
        <v/>
      </c>
      <c r="H130">
        <f>IF($W130="","",SUMIFS(상세표[기록 시간외],상세표[사번키],INDEX(합계표[사번키],$W130),상세표[기록월],대상월키,상세표[반영월],"&lt;&gt;"&amp;대상월키))</f>
        <v/>
      </c>
      <c r="I130">
        <f>IF($W130="","",SUMIFS(상세표[기록 시간외],상세표[사번키],INDEX(합계표[사번키],$W130),상세표[기록월],"&lt;&gt;"&amp;대상월키,상세표[반영월],대상월키))</f>
        <v/>
      </c>
      <c r="J130">
        <f>IF($W130="","",SUMIFS(상세표[기록 시간외],상세표[사번키],INDEX(합계표[사번키],$W130),상세표[반영월],대상월키))</f>
        <v/>
      </c>
      <c r="K130">
        <f>IF($W130="","",IFERROR(INDEX(월별근무지표[적용 급여병원],MATCH(INDEX(합계표[사번키],$W130)&amp;"|"&amp;대상월키,월별근무지표[키],0))&amp;"",IF(COUNTIF(기관표[사번키],INDEX(합계표[사번키],$W130))+COUNTIF(월별근무지표[사번키],INDEX(합계표[사번키],$W130))&gt;0,IFERROR(INDEX(기관표[급여지급병원(기준월)],MATCH(INDEX(합계표[사번키],$W130)&amp;"|"&amp;대상월키,기관표[키],0))&amp;"","—"),"—")))</f>
        <v/>
      </c>
      <c r="L130">
        <f>IF($W130="","",IF(NOT(COUNTIF(기관표[사번키],INDEX(합계표[사번키],$W130))+COUNTIF(월별근무지표[사번키],INDEX(합계표[사번키],$W130))&gt;0),"기관명단에 없음(다른 병원으로 발송)",IF($K130="—","대상월 기관명단 없음(추가 필요)",IF($K130="서울병원","해당","비해당"))))</f>
        <v/>
      </c>
      <c r="M130">
        <f>IF($W130="","",SUMIFS(상세표[06~07시],상세표[사번키],INDEX(합계표[사번키],$W130),상세표[반영월],대상월키,상세표[반영 기관],"서울병원"))</f>
        <v/>
      </c>
      <c r="N130">
        <f>IF($W130="","",SUMIFS(상세표[07~18시],상세표[사번키],INDEX(합계표[사번키],$W130),상세표[반영월],대상월키,상세표[반영 기관],"서울병원"))</f>
        <v/>
      </c>
      <c r="O130">
        <f>IF($W130="","",SUMIFS(상세표[18~22시],상세표[사번키],INDEX(합계표[사번키],$W130),상세표[반영월],대상월키,상세표[반영 기관],"서울병원"))</f>
        <v/>
      </c>
      <c r="P130">
        <f>IF($W130="","",SUMIFS(상세표[22~06시],상세표[사번키],INDEX(합계표[사번키],$W130),상세표[반영월],대상월키,상세표[반영 기관],"서울병원"))</f>
        <v/>
      </c>
      <c r="Q130">
        <f>IF($W130="","",SUM($M130:$P130))</f>
        <v/>
      </c>
      <c r="R130">
        <f>IF($W130="","",COUNTIFS(상세표[사번키],INDEX(합계표[사번키],$W130),상세표[반영월],대상월키,상세표[야간당직],1,상세표[야간 구분],"평일"))</f>
        <v/>
      </c>
      <c r="S130" s="4">
        <f>IF($W130="","",COUNTIFS(상세표[사번키],INDEX(합계표[사번키],$W130),상세표[반영월],대상월키,상세표[야간당직],1,상세표[야간 구분],"휴일"))</f>
        <v/>
      </c>
      <c r="T130">
        <f>IF($W130="","",COUNTIFS(상세표[사번키],INDEX(합계표[사번키],$W130),상세표[반영월],대상월키,상세표[야간당직],1,상세표[야간 구분],"평일",상세표[반영 기관],"서울병원"))</f>
        <v/>
      </c>
      <c r="U130">
        <f>IF($W130="","",COUNTIFS(상세표[사번키],INDEX(합계표[사번키],$W130),상세표[반영월],대상월키,상세표[야간당직],1,상세표[야간 구분],"휴일",상세표[반영 기관],"서울병원"))</f>
        <v/>
      </c>
      <c r="V130">
        <f>IF($W130="","",IF(ISNUMBER(MATCH(INDEX(합계표[사번키],$W130)&amp;"|"&amp;대상월키,월별근무지표[키],0)),"직접 입력",IF($K130="—","—","기관명단")))</f>
        <v/>
      </c>
      <c r="W130">
        <f>IFERROR(MATCH(125,합계표[판정순번],0),"")</f>
        <v/>
      </c>
      <c r="Y130">
        <f>IF($AB130="","",INDEX(상세표[사번],$AB130)&amp;"")</f>
        <v/>
      </c>
      <c r="Z130">
        <f>IF($AB130="","",INDEX(상세표[성명],$AB130)&amp;"")</f>
        <v/>
      </c>
      <c r="AA130">
        <f>IF($AB130="","",SUMIFS(상세표[기록 시간외],상세표[사번키],INDEX(상세표[사번키],$AB130),상세표[반영월],대상월키))</f>
        <v/>
      </c>
      <c r="AB130" s="4">
        <f>IFERROR(MATCH(125,상세표[합계없음순번],0),"")</f>
        <v/>
      </c>
    </row>
    <row r="131">
      <c r="A131">
        <f>IF($W131="","",INDEX(합계표[사번],$W131)&amp;"")</f>
        <v/>
      </c>
      <c r="B131">
        <f>IF($W131="","",INDEX(합계표[성명],$W131)&amp;"")</f>
        <v/>
      </c>
      <c r="C131">
        <f>IF($W131="","",INDEX(합계표[부서],$W131)&amp;"")</f>
        <v/>
      </c>
      <c r="D131">
        <f>IF($W131="","",INDEX(합계표[직위(통합)],$W131)&amp;"")</f>
        <v/>
      </c>
      <c r="E131">
        <f>IF($W131="","",SUMIFS(합계표[시스템 합계],합계표[사번키],INDEX(합계표[사번키],$W131)))</f>
        <v/>
      </c>
      <c r="F131">
        <f>IF($W131="","",SUMIFS(상세표[기록 시간외],상세표[사번키],INDEX(합계표[사번키],$W131),상세표[기록월],대상월키))</f>
        <v/>
      </c>
      <c r="G131">
        <f>IF($W131="","",IF(ABS($E131-$F131)&lt;0.01,"일치","불일치(차이 "&amp;TEXT($F131-$E131,"0.00")&amp;")"))</f>
        <v/>
      </c>
      <c r="H131">
        <f>IF($W131="","",SUMIFS(상세표[기록 시간외],상세표[사번키],INDEX(합계표[사번키],$W131),상세표[기록월],대상월키,상세표[반영월],"&lt;&gt;"&amp;대상월키))</f>
        <v/>
      </c>
      <c r="I131">
        <f>IF($W131="","",SUMIFS(상세표[기록 시간외],상세표[사번키],INDEX(합계표[사번키],$W131),상세표[기록월],"&lt;&gt;"&amp;대상월키,상세표[반영월],대상월키))</f>
        <v/>
      </c>
      <c r="J131">
        <f>IF($W131="","",SUMIFS(상세표[기록 시간외],상세표[사번키],INDEX(합계표[사번키],$W131),상세표[반영월],대상월키))</f>
        <v/>
      </c>
      <c r="K131">
        <f>IF($W131="","",IFERROR(INDEX(월별근무지표[적용 급여병원],MATCH(INDEX(합계표[사번키],$W131)&amp;"|"&amp;대상월키,월별근무지표[키],0))&amp;"",IF(COUNTIF(기관표[사번키],INDEX(합계표[사번키],$W131))+COUNTIF(월별근무지표[사번키],INDEX(합계표[사번키],$W131))&gt;0,IFERROR(INDEX(기관표[급여지급병원(기준월)],MATCH(INDEX(합계표[사번키],$W131)&amp;"|"&amp;대상월키,기관표[키],0))&amp;"","—"),"—")))</f>
        <v/>
      </c>
      <c r="L131">
        <f>IF($W131="","",IF(NOT(COUNTIF(기관표[사번키],INDEX(합계표[사번키],$W131))+COUNTIF(월별근무지표[사번키],INDEX(합계표[사번키],$W131))&gt;0),"기관명단에 없음(다른 병원으로 발송)",IF($K131="—","대상월 기관명단 없음(추가 필요)",IF($K131="서울병원","해당","비해당"))))</f>
        <v/>
      </c>
      <c r="M131">
        <f>IF($W131="","",SUMIFS(상세표[06~07시],상세표[사번키],INDEX(합계표[사번키],$W131),상세표[반영월],대상월키,상세표[반영 기관],"서울병원"))</f>
        <v/>
      </c>
      <c r="N131">
        <f>IF($W131="","",SUMIFS(상세표[07~18시],상세표[사번키],INDEX(합계표[사번키],$W131),상세표[반영월],대상월키,상세표[반영 기관],"서울병원"))</f>
        <v/>
      </c>
      <c r="O131">
        <f>IF($W131="","",SUMIFS(상세표[18~22시],상세표[사번키],INDEX(합계표[사번키],$W131),상세표[반영월],대상월키,상세표[반영 기관],"서울병원"))</f>
        <v/>
      </c>
      <c r="P131">
        <f>IF($W131="","",SUMIFS(상세표[22~06시],상세표[사번키],INDEX(합계표[사번키],$W131),상세표[반영월],대상월키,상세표[반영 기관],"서울병원"))</f>
        <v/>
      </c>
      <c r="Q131">
        <f>IF($W131="","",SUM($M131:$P131))</f>
        <v/>
      </c>
      <c r="R131">
        <f>IF($W131="","",COUNTIFS(상세표[사번키],INDEX(합계표[사번키],$W131),상세표[반영월],대상월키,상세표[야간당직],1,상세표[야간 구분],"평일"))</f>
        <v/>
      </c>
      <c r="S131" s="4">
        <f>IF($W131="","",COUNTIFS(상세표[사번키],INDEX(합계표[사번키],$W131),상세표[반영월],대상월키,상세표[야간당직],1,상세표[야간 구분],"휴일"))</f>
        <v/>
      </c>
      <c r="T131">
        <f>IF($W131="","",COUNTIFS(상세표[사번키],INDEX(합계표[사번키],$W131),상세표[반영월],대상월키,상세표[야간당직],1,상세표[야간 구분],"평일",상세표[반영 기관],"서울병원"))</f>
        <v/>
      </c>
      <c r="U131">
        <f>IF($W131="","",COUNTIFS(상세표[사번키],INDEX(합계표[사번키],$W131),상세표[반영월],대상월키,상세표[야간당직],1,상세표[야간 구분],"휴일",상세표[반영 기관],"서울병원"))</f>
        <v/>
      </c>
      <c r="V131">
        <f>IF($W131="","",IF(ISNUMBER(MATCH(INDEX(합계표[사번키],$W131)&amp;"|"&amp;대상월키,월별근무지표[키],0)),"직접 입력",IF($K131="—","—","기관명단")))</f>
        <v/>
      </c>
      <c r="W131">
        <f>IFERROR(MATCH(126,합계표[판정순번],0),"")</f>
        <v/>
      </c>
      <c r="Y131">
        <f>IF($AB131="","",INDEX(상세표[사번],$AB131)&amp;"")</f>
        <v/>
      </c>
      <c r="Z131">
        <f>IF($AB131="","",INDEX(상세표[성명],$AB131)&amp;"")</f>
        <v/>
      </c>
      <c r="AA131">
        <f>IF($AB131="","",SUMIFS(상세표[기록 시간외],상세표[사번키],INDEX(상세표[사번키],$AB131),상세표[반영월],대상월키))</f>
        <v/>
      </c>
      <c r="AB131" s="4">
        <f>IFERROR(MATCH(126,상세표[합계없음순번],0),"")</f>
        <v/>
      </c>
    </row>
    <row r="132">
      <c r="A132">
        <f>IF($W132="","",INDEX(합계표[사번],$W132)&amp;"")</f>
        <v/>
      </c>
      <c r="B132">
        <f>IF($W132="","",INDEX(합계표[성명],$W132)&amp;"")</f>
        <v/>
      </c>
      <c r="C132">
        <f>IF($W132="","",INDEX(합계표[부서],$W132)&amp;"")</f>
        <v/>
      </c>
      <c r="D132">
        <f>IF($W132="","",INDEX(합계표[직위(통합)],$W132)&amp;"")</f>
        <v/>
      </c>
      <c r="E132">
        <f>IF($W132="","",SUMIFS(합계표[시스템 합계],합계표[사번키],INDEX(합계표[사번키],$W132)))</f>
        <v/>
      </c>
      <c r="F132">
        <f>IF($W132="","",SUMIFS(상세표[기록 시간외],상세표[사번키],INDEX(합계표[사번키],$W132),상세표[기록월],대상월키))</f>
        <v/>
      </c>
      <c r="G132">
        <f>IF($W132="","",IF(ABS($E132-$F132)&lt;0.01,"일치","불일치(차이 "&amp;TEXT($F132-$E132,"0.00")&amp;")"))</f>
        <v/>
      </c>
      <c r="H132">
        <f>IF($W132="","",SUMIFS(상세표[기록 시간외],상세표[사번키],INDEX(합계표[사번키],$W132),상세표[기록월],대상월키,상세표[반영월],"&lt;&gt;"&amp;대상월키))</f>
        <v/>
      </c>
      <c r="I132">
        <f>IF($W132="","",SUMIFS(상세표[기록 시간외],상세표[사번키],INDEX(합계표[사번키],$W132),상세표[기록월],"&lt;&gt;"&amp;대상월키,상세표[반영월],대상월키))</f>
        <v/>
      </c>
      <c r="J132">
        <f>IF($W132="","",SUMIFS(상세표[기록 시간외],상세표[사번키],INDEX(합계표[사번키],$W132),상세표[반영월],대상월키))</f>
        <v/>
      </c>
      <c r="K132">
        <f>IF($W132="","",IFERROR(INDEX(월별근무지표[적용 급여병원],MATCH(INDEX(합계표[사번키],$W132)&amp;"|"&amp;대상월키,월별근무지표[키],0))&amp;"",IF(COUNTIF(기관표[사번키],INDEX(합계표[사번키],$W132))+COUNTIF(월별근무지표[사번키],INDEX(합계표[사번키],$W132))&gt;0,IFERROR(INDEX(기관표[급여지급병원(기준월)],MATCH(INDEX(합계표[사번키],$W132)&amp;"|"&amp;대상월키,기관표[키],0))&amp;"","—"),"—")))</f>
        <v/>
      </c>
      <c r="L132">
        <f>IF($W132="","",IF(NOT(COUNTIF(기관표[사번키],INDEX(합계표[사번키],$W132))+COUNTIF(월별근무지표[사번키],INDEX(합계표[사번키],$W132))&gt;0),"기관명단에 없음(다른 병원으로 발송)",IF($K132="—","대상월 기관명단 없음(추가 필요)",IF($K132="서울병원","해당","비해당"))))</f>
        <v/>
      </c>
      <c r="M132">
        <f>IF($W132="","",SUMIFS(상세표[06~07시],상세표[사번키],INDEX(합계표[사번키],$W132),상세표[반영월],대상월키,상세표[반영 기관],"서울병원"))</f>
        <v/>
      </c>
      <c r="N132">
        <f>IF($W132="","",SUMIFS(상세표[07~18시],상세표[사번키],INDEX(합계표[사번키],$W132),상세표[반영월],대상월키,상세표[반영 기관],"서울병원"))</f>
        <v/>
      </c>
      <c r="O132">
        <f>IF($W132="","",SUMIFS(상세표[18~22시],상세표[사번키],INDEX(합계표[사번키],$W132),상세표[반영월],대상월키,상세표[반영 기관],"서울병원"))</f>
        <v/>
      </c>
      <c r="P132">
        <f>IF($W132="","",SUMIFS(상세표[22~06시],상세표[사번키],INDEX(합계표[사번키],$W132),상세표[반영월],대상월키,상세표[반영 기관],"서울병원"))</f>
        <v/>
      </c>
      <c r="Q132">
        <f>IF($W132="","",SUM($M132:$P132))</f>
        <v/>
      </c>
      <c r="R132">
        <f>IF($W132="","",COUNTIFS(상세표[사번키],INDEX(합계표[사번키],$W132),상세표[반영월],대상월키,상세표[야간당직],1,상세표[야간 구분],"평일"))</f>
        <v/>
      </c>
      <c r="S132" s="4">
        <f>IF($W132="","",COUNTIFS(상세표[사번키],INDEX(합계표[사번키],$W132),상세표[반영월],대상월키,상세표[야간당직],1,상세표[야간 구분],"휴일"))</f>
        <v/>
      </c>
      <c r="T132">
        <f>IF($W132="","",COUNTIFS(상세표[사번키],INDEX(합계표[사번키],$W132),상세표[반영월],대상월키,상세표[야간당직],1,상세표[야간 구분],"평일",상세표[반영 기관],"서울병원"))</f>
        <v/>
      </c>
      <c r="U132">
        <f>IF($W132="","",COUNTIFS(상세표[사번키],INDEX(합계표[사번키],$W132),상세표[반영월],대상월키,상세표[야간당직],1,상세표[야간 구분],"휴일",상세표[반영 기관],"서울병원"))</f>
        <v/>
      </c>
      <c r="V132">
        <f>IF($W132="","",IF(ISNUMBER(MATCH(INDEX(합계표[사번키],$W132)&amp;"|"&amp;대상월키,월별근무지표[키],0)),"직접 입력",IF($K132="—","—","기관명단")))</f>
        <v/>
      </c>
      <c r="W132">
        <f>IFERROR(MATCH(127,합계표[판정순번],0),"")</f>
        <v/>
      </c>
      <c r="Y132">
        <f>IF($AB132="","",INDEX(상세표[사번],$AB132)&amp;"")</f>
        <v/>
      </c>
      <c r="Z132">
        <f>IF($AB132="","",INDEX(상세표[성명],$AB132)&amp;"")</f>
        <v/>
      </c>
      <c r="AA132">
        <f>IF($AB132="","",SUMIFS(상세표[기록 시간외],상세표[사번키],INDEX(상세표[사번키],$AB132),상세표[반영월],대상월키))</f>
        <v/>
      </c>
      <c r="AB132" s="4">
        <f>IFERROR(MATCH(127,상세표[합계없음순번],0),"")</f>
        <v/>
      </c>
    </row>
    <row r="133">
      <c r="A133">
        <f>IF($W133="","",INDEX(합계표[사번],$W133)&amp;"")</f>
        <v/>
      </c>
      <c r="B133">
        <f>IF($W133="","",INDEX(합계표[성명],$W133)&amp;"")</f>
        <v/>
      </c>
      <c r="C133">
        <f>IF($W133="","",INDEX(합계표[부서],$W133)&amp;"")</f>
        <v/>
      </c>
      <c r="D133">
        <f>IF($W133="","",INDEX(합계표[직위(통합)],$W133)&amp;"")</f>
        <v/>
      </c>
      <c r="E133">
        <f>IF($W133="","",SUMIFS(합계표[시스템 합계],합계표[사번키],INDEX(합계표[사번키],$W133)))</f>
        <v/>
      </c>
      <c r="F133">
        <f>IF($W133="","",SUMIFS(상세표[기록 시간외],상세표[사번키],INDEX(합계표[사번키],$W133),상세표[기록월],대상월키))</f>
        <v/>
      </c>
      <c r="G133">
        <f>IF($W133="","",IF(ABS($E133-$F133)&lt;0.01,"일치","불일치(차이 "&amp;TEXT($F133-$E133,"0.00")&amp;")"))</f>
        <v/>
      </c>
      <c r="H133">
        <f>IF($W133="","",SUMIFS(상세표[기록 시간외],상세표[사번키],INDEX(합계표[사번키],$W133),상세표[기록월],대상월키,상세표[반영월],"&lt;&gt;"&amp;대상월키))</f>
        <v/>
      </c>
      <c r="I133">
        <f>IF($W133="","",SUMIFS(상세표[기록 시간외],상세표[사번키],INDEX(합계표[사번키],$W133),상세표[기록월],"&lt;&gt;"&amp;대상월키,상세표[반영월],대상월키))</f>
        <v/>
      </c>
      <c r="J133">
        <f>IF($W133="","",SUMIFS(상세표[기록 시간외],상세표[사번키],INDEX(합계표[사번키],$W133),상세표[반영월],대상월키))</f>
        <v/>
      </c>
      <c r="K133">
        <f>IF($W133="","",IFERROR(INDEX(월별근무지표[적용 급여병원],MATCH(INDEX(합계표[사번키],$W133)&amp;"|"&amp;대상월키,월별근무지표[키],0))&amp;"",IF(COUNTIF(기관표[사번키],INDEX(합계표[사번키],$W133))+COUNTIF(월별근무지표[사번키],INDEX(합계표[사번키],$W133))&gt;0,IFERROR(INDEX(기관표[급여지급병원(기준월)],MATCH(INDEX(합계표[사번키],$W133)&amp;"|"&amp;대상월키,기관표[키],0))&amp;"","—"),"—")))</f>
        <v/>
      </c>
      <c r="L133">
        <f>IF($W133="","",IF(NOT(COUNTIF(기관표[사번키],INDEX(합계표[사번키],$W133))+COUNTIF(월별근무지표[사번키],INDEX(합계표[사번키],$W133))&gt;0),"기관명단에 없음(다른 병원으로 발송)",IF($K133="—","대상월 기관명단 없음(추가 필요)",IF($K133="서울병원","해당","비해당"))))</f>
        <v/>
      </c>
      <c r="M133">
        <f>IF($W133="","",SUMIFS(상세표[06~07시],상세표[사번키],INDEX(합계표[사번키],$W133),상세표[반영월],대상월키,상세표[반영 기관],"서울병원"))</f>
        <v/>
      </c>
      <c r="N133">
        <f>IF($W133="","",SUMIFS(상세표[07~18시],상세표[사번키],INDEX(합계표[사번키],$W133),상세표[반영월],대상월키,상세표[반영 기관],"서울병원"))</f>
        <v/>
      </c>
      <c r="O133">
        <f>IF($W133="","",SUMIFS(상세표[18~22시],상세표[사번키],INDEX(합계표[사번키],$W133),상세표[반영월],대상월키,상세표[반영 기관],"서울병원"))</f>
        <v/>
      </c>
      <c r="P133">
        <f>IF($W133="","",SUMIFS(상세표[22~06시],상세표[사번키],INDEX(합계표[사번키],$W133),상세표[반영월],대상월키,상세표[반영 기관],"서울병원"))</f>
        <v/>
      </c>
      <c r="Q133">
        <f>IF($W133="","",SUM($M133:$P133))</f>
        <v/>
      </c>
      <c r="R133">
        <f>IF($W133="","",COUNTIFS(상세표[사번키],INDEX(합계표[사번키],$W133),상세표[반영월],대상월키,상세표[야간당직],1,상세표[야간 구분],"평일"))</f>
        <v/>
      </c>
      <c r="S133" s="4">
        <f>IF($W133="","",COUNTIFS(상세표[사번키],INDEX(합계표[사번키],$W133),상세표[반영월],대상월키,상세표[야간당직],1,상세표[야간 구분],"휴일"))</f>
        <v/>
      </c>
      <c r="T133">
        <f>IF($W133="","",COUNTIFS(상세표[사번키],INDEX(합계표[사번키],$W133),상세표[반영월],대상월키,상세표[야간당직],1,상세표[야간 구분],"평일",상세표[반영 기관],"서울병원"))</f>
        <v/>
      </c>
      <c r="U133">
        <f>IF($W133="","",COUNTIFS(상세표[사번키],INDEX(합계표[사번키],$W133),상세표[반영월],대상월키,상세표[야간당직],1,상세표[야간 구분],"휴일",상세표[반영 기관],"서울병원"))</f>
        <v/>
      </c>
      <c r="V133">
        <f>IF($W133="","",IF(ISNUMBER(MATCH(INDEX(합계표[사번키],$W133)&amp;"|"&amp;대상월키,월별근무지표[키],0)),"직접 입력",IF($K133="—","—","기관명단")))</f>
        <v/>
      </c>
      <c r="W133">
        <f>IFERROR(MATCH(128,합계표[판정순번],0),"")</f>
        <v/>
      </c>
      <c r="Y133">
        <f>IF($AB133="","",INDEX(상세표[사번],$AB133)&amp;"")</f>
        <v/>
      </c>
      <c r="Z133">
        <f>IF($AB133="","",INDEX(상세표[성명],$AB133)&amp;"")</f>
        <v/>
      </c>
      <c r="AA133">
        <f>IF($AB133="","",SUMIFS(상세표[기록 시간외],상세표[사번키],INDEX(상세표[사번키],$AB133),상세표[반영월],대상월키))</f>
        <v/>
      </c>
      <c r="AB133" s="4">
        <f>IFERROR(MATCH(128,상세표[합계없음순번],0),"")</f>
        <v/>
      </c>
    </row>
    <row r="134">
      <c r="A134">
        <f>IF($W134="","",INDEX(합계표[사번],$W134)&amp;"")</f>
        <v/>
      </c>
      <c r="B134">
        <f>IF($W134="","",INDEX(합계표[성명],$W134)&amp;"")</f>
        <v/>
      </c>
      <c r="C134">
        <f>IF($W134="","",INDEX(합계표[부서],$W134)&amp;"")</f>
        <v/>
      </c>
      <c r="D134">
        <f>IF($W134="","",INDEX(합계표[직위(통합)],$W134)&amp;"")</f>
        <v/>
      </c>
      <c r="E134">
        <f>IF($W134="","",SUMIFS(합계표[시스템 합계],합계표[사번키],INDEX(합계표[사번키],$W134)))</f>
        <v/>
      </c>
      <c r="F134">
        <f>IF($W134="","",SUMIFS(상세표[기록 시간외],상세표[사번키],INDEX(합계표[사번키],$W134),상세표[기록월],대상월키))</f>
        <v/>
      </c>
      <c r="G134">
        <f>IF($W134="","",IF(ABS($E134-$F134)&lt;0.01,"일치","불일치(차이 "&amp;TEXT($F134-$E134,"0.00")&amp;")"))</f>
        <v/>
      </c>
      <c r="H134">
        <f>IF($W134="","",SUMIFS(상세표[기록 시간외],상세표[사번키],INDEX(합계표[사번키],$W134),상세표[기록월],대상월키,상세표[반영월],"&lt;&gt;"&amp;대상월키))</f>
        <v/>
      </c>
      <c r="I134">
        <f>IF($W134="","",SUMIFS(상세표[기록 시간외],상세표[사번키],INDEX(합계표[사번키],$W134),상세표[기록월],"&lt;&gt;"&amp;대상월키,상세표[반영월],대상월키))</f>
        <v/>
      </c>
      <c r="J134">
        <f>IF($W134="","",SUMIFS(상세표[기록 시간외],상세표[사번키],INDEX(합계표[사번키],$W134),상세표[반영월],대상월키))</f>
        <v/>
      </c>
      <c r="K134">
        <f>IF($W134="","",IFERROR(INDEX(월별근무지표[적용 급여병원],MATCH(INDEX(합계표[사번키],$W134)&amp;"|"&amp;대상월키,월별근무지표[키],0))&amp;"",IF(COUNTIF(기관표[사번키],INDEX(합계표[사번키],$W134))+COUNTIF(월별근무지표[사번키],INDEX(합계표[사번키],$W134))&gt;0,IFERROR(INDEX(기관표[급여지급병원(기준월)],MATCH(INDEX(합계표[사번키],$W134)&amp;"|"&amp;대상월키,기관표[키],0))&amp;"","—"),"—")))</f>
        <v/>
      </c>
      <c r="L134">
        <f>IF($W134="","",IF(NOT(COUNTIF(기관표[사번키],INDEX(합계표[사번키],$W134))+COUNTIF(월별근무지표[사번키],INDEX(합계표[사번키],$W134))&gt;0),"기관명단에 없음(다른 병원으로 발송)",IF($K134="—","대상월 기관명단 없음(추가 필요)",IF($K134="서울병원","해당","비해당"))))</f>
        <v/>
      </c>
      <c r="M134">
        <f>IF($W134="","",SUMIFS(상세표[06~07시],상세표[사번키],INDEX(합계표[사번키],$W134),상세표[반영월],대상월키,상세표[반영 기관],"서울병원"))</f>
        <v/>
      </c>
      <c r="N134">
        <f>IF($W134="","",SUMIFS(상세표[07~18시],상세표[사번키],INDEX(합계표[사번키],$W134),상세표[반영월],대상월키,상세표[반영 기관],"서울병원"))</f>
        <v/>
      </c>
      <c r="O134">
        <f>IF($W134="","",SUMIFS(상세표[18~22시],상세표[사번키],INDEX(합계표[사번키],$W134),상세표[반영월],대상월키,상세표[반영 기관],"서울병원"))</f>
        <v/>
      </c>
      <c r="P134">
        <f>IF($W134="","",SUMIFS(상세표[22~06시],상세표[사번키],INDEX(합계표[사번키],$W134),상세표[반영월],대상월키,상세표[반영 기관],"서울병원"))</f>
        <v/>
      </c>
      <c r="Q134">
        <f>IF($W134="","",SUM($M134:$P134))</f>
        <v/>
      </c>
      <c r="R134">
        <f>IF($W134="","",COUNTIFS(상세표[사번키],INDEX(합계표[사번키],$W134),상세표[반영월],대상월키,상세표[야간당직],1,상세표[야간 구분],"평일"))</f>
        <v/>
      </c>
      <c r="S134" s="4">
        <f>IF($W134="","",COUNTIFS(상세표[사번키],INDEX(합계표[사번키],$W134),상세표[반영월],대상월키,상세표[야간당직],1,상세표[야간 구분],"휴일"))</f>
        <v/>
      </c>
      <c r="T134">
        <f>IF($W134="","",COUNTIFS(상세표[사번키],INDEX(합계표[사번키],$W134),상세표[반영월],대상월키,상세표[야간당직],1,상세표[야간 구분],"평일",상세표[반영 기관],"서울병원"))</f>
        <v/>
      </c>
      <c r="U134">
        <f>IF($W134="","",COUNTIFS(상세표[사번키],INDEX(합계표[사번키],$W134),상세표[반영월],대상월키,상세표[야간당직],1,상세표[야간 구분],"휴일",상세표[반영 기관],"서울병원"))</f>
        <v/>
      </c>
      <c r="V134">
        <f>IF($W134="","",IF(ISNUMBER(MATCH(INDEX(합계표[사번키],$W134)&amp;"|"&amp;대상월키,월별근무지표[키],0)),"직접 입력",IF($K134="—","—","기관명단")))</f>
        <v/>
      </c>
      <c r="W134">
        <f>IFERROR(MATCH(129,합계표[판정순번],0),"")</f>
        <v/>
      </c>
      <c r="Y134">
        <f>IF($AB134="","",INDEX(상세표[사번],$AB134)&amp;"")</f>
        <v/>
      </c>
      <c r="Z134">
        <f>IF($AB134="","",INDEX(상세표[성명],$AB134)&amp;"")</f>
        <v/>
      </c>
      <c r="AA134">
        <f>IF($AB134="","",SUMIFS(상세표[기록 시간외],상세표[사번키],INDEX(상세표[사번키],$AB134),상세표[반영월],대상월키))</f>
        <v/>
      </c>
      <c r="AB134" s="4">
        <f>IFERROR(MATCH(129,상세표[합계없음순번],0),"")</f>
        <v/>
      </c>
    </row>
    <row r="135">
      <c r="A135">
        <f>IF($W135="","",INDEX(합계표[사번],$W135)&amp;"")</f>
        <v/>
      </c>
      <c r="B135">
        <f>IF($W135="","",INDEX(합계표[성명],$W135)&amp;"")</f>
        <v/>
      </c>
      <c r="C135">
        <f>IF($W135="","",INDEX(합계표[부서],$W135)&amp;"")</f>
        <v/>
      </c>
      <c r="D135">
        <f>IF($W135="","",INDEX(합계표[직위(통합)],$W135)&amp;"")</f>
        <v/>
      </c>
      <c r="E135">
        <f>IF($W135="","",SUMIFS(합계표[시스템 합계],합계표[사번키],INDEX(합계표[사번키],$W135)))</f>
        <v/>
      </c>
      <c r="F135">
        <f>IF($W135="","",SUMIFS(상세표[기록 시간외],상세표[사번키],INDEX(합계표[사번키],$W135),상세표[기록월],대상월키))</f>
        <v/>
      </c>
      <c r="G135">
        <f>IF($W135="","",IF(ABS($E135-$F135)&lt;0.01,"일치","불일치(차이 "&amp;TEXT($F135-$E135,"0.00")&amp;")"))</f>
        <v/>
      </c>
      <c r="H135">
        <f>IF($W135="","",SUMIFS(상세표[기록 시간외],상세표[사번키],INDEX(합계표[사번키],$W135),상세표[기록월],대상월키,상세표[반영월],"&lt;&gt;"&amp;대상월키))</f>
        <v/>
      </c>
      <c r="I135">
        <f>IF($W135="","",SUMIFS(상세표[기록 시간외],상세표[사번키],INDEX(합계표[사번키],$W135),상세표[기록월],"&lt;&gt;"&amp;대상월키,상세표[반영월],대상월키))</f>
        <v/>
      </c>
      <c r="J135">
        <f>IF($W135="","",SUMIFS(상세표[기록 시간외],상세표[사번키],INDEX(합계표[사번키],$W135),상세표[반영월],대상월키))</f>
        <v/>
      </c>
      <c r="K135">
        <f>IF($W135="","",IFERROR(INDEX(월별근무지표[적용 급여병원],MATCH(INDEX(합계표[사번키],$W135)&amp;"|"&amp;대상월키,월별근무지표[키],0))&amp;"",IF(COUNTIF(기관표[사번키],INDEX(합계표[사번키],$W135))+COUNTIF(월별근무지표[사번키],INDEX(합계표[사번키],$W135))&gt;0,IFERROR(INDEX(기관표[급여지급병원(기준월)],MATCH(INDEX(합계표[사번키],$W135)&amp;"|"&amp;대상월키,기관표[키],0))&amp;"","—"),"—")))</f>
        <v/>
      </c>
      <c r="L135">
        <f>IF($W135="","",IF(NOT(COUNTIF(기관표[사번키],INDEX(합계표[사번키],$W135))+COUNTIF(월별근무지표[사번키],INDEX(합계표[사번키],$W135))&gt;0),"기관명단에 없음(다른 병원으로 발송)",IF($K135="—","대상월 기관명단 없음(추가 필요)",IF($K135="서울병원","해당","비해당"))))</f>
        <v/>
      </c>
      <c r="M135">
        <f>IF($W135="","",SUMIFS(상세표[06~07시],상세표[사번키],INDEX(합계표[사번키],$W135),상세표[반영월],대상월키,상세표[반영 기관],"서울병원"))</f>
        <v/>
      </c>
      <c r="N135">
        <f>IF($W135="","",SUMIFS(상세표[07~18시],상세표[사번키],INDEX(합계표[사번키],$W135),상세표[반영월],대상월키,상세표[반영 기관],"서울병원"))</f>
        <v/>
      </c>
      <c r="O135">
        <f>IF($W135="","",SUMIFS(상세표[18~22시],상세표[사번키],INDEX(합계표[사번키],$W135),상세표[반영월],대상월키,상세표[반영 기관],"서울병원"))</f>
        <v/>
      </c>
      <c r="P135">
        <f>IF($W135="","",SUMIFS(상세표[22~06시],상세표[사번키],INDEX(합계표[사번키],$W135),상세표[반영월],대상월키,상세표[반영 기관],"서울병원"))</f>
        <v/>
      </c>
      <c r="Q135">
        <f>IF($W135="","",SUM($M135:$P135))</f>
        <v/>
      </c>
      <c r="R135">
        <f>IF($W135="","",COUNTIFS(상세표[사번키],INDEX(합계표[사번키],$W135),상세표[반영월],대상월키,상세표[야간당직],1,상세표[야간 구분],"평일"))</f>
        <v/>
      </c>
      <c r="S135" s="4">
        <f>IF($W135="","",COUNTIFS(상세표[사번키],INDEX(합계표[사번키],$W135),상세표[반영월],대상월키,상세표[야간당직],1,상세표[야간 구분],"휴일"))</f>
        <v/>
      </c>
      <c r="T135">
        <f>IF($W135="","",COUNTIFS(상세표[사번키],INDEX(합계표[사번키],$W135),상세표[반영월],대상월키,상세표[야간당직],1,상세표[야간 구분],"평일",상세표[반영 기관],"서울병원"))</f>
        <v/>
      </c>
      <c r="U135">
        <f>IF($W135="","",COUNTIFS(상세표[사번키],INDEX(합계표[사번키],$W135),상세표[반영월],대상월키,상세표[야간당직],1,상세표[야간 구분],"휴일",상세표[반영 기관],"서울병원"))</f>
        <v/>
      </c>
      <c r="V135">
        <f>IF($W135="","",IF(ISNUMBER(MATCH(INDEX(합계표[사번키],$W135)&amp;"|"&amp;대상월키,월별근무지표[키],0)),"직접 입력",IF($K135="—","—","기관명단")))</f>
        <v/>
      </c>
      <c r="W135">
        <f>IFERROR(MATCH(130,합계표[판정순번],0),"")</f>
        <v/>
      </c>
      <c r="Y135">
        <f>IF($AB135="","",INDEX(상세표[사번],$AB135)&amp;"")</f>
        <v/>
      </c>
      <c r="Z135">
        <f>IF($AB135="","",INDEX(상세표[성명],$AB135)&amp;"")</f>
        <v/>
      </c>
      <c r="AA135">
        <f>IF($AB135="","",SUMIFS(상세표[기록 시간외],상세표[사번키],INDEX(상세표[사번키],$AB135),상세표[반영월],대상월키))</f>
        <v/>
      </c>
      <c r="AB135" s="4">
        <f>IFERROR(MATCH(130,상세표[합계없음순번],0),"")</f>
        <v/>
      </c>
    </row>
    <row r="136">
      <c r="A136">
        <f>IF($W136="","",INDEX(합계표[사번],$W136)&amp;"")</f>
        <v/>
      </c>
      <c r="B136">
        <f>IF($W136="","",INDEX(합계표[성명],$W136)&amp;"")</f>
        <v/>
      </c>
      <c r="C136">
        <f>IF($W136="","",INDEX(합계표[부서],$W136)&amp;"")</f>
        <v/>
      </c>
      <c r="D136">
        <f>IF($W136="","",INDEX(합계표[직위(통합)],$W136)&amp;"")</f>
        <v/>
      </c>
      <c r="E136">
        <f>IF($W136="","",SUMIFS(합계표[시스템 합계],합계표[사번키],INDEX(합계표[사번키],$W136)))</f>
        <v/>
      </c>
      <c r="F136">
        <f>IF($W136="","",SUMIFS(상세표[기록 시간외],상세표[사번키],INDEX(합계표[사번키],$W136),상세표[기록월],대상월키))</f>
        <v/>
      </c>
      <c r="G136">
        <f>IF($W136="","",IF(ABS($E136-$F136)&lt;0.01,"일치","불일치(차이 "&amp;TEXT($F136-$E136,"0.00")&amp;")"))</f>
        <v/>
      </c>
      <c r="H136">
        <f>IF($W136="","",SUMIFS(상세표[기록 시간외],상세표[사번키],INDEX(합계표[사번키],$W136),상세표[기록월],대상월키,상세표[반영월],"&lt;&gt;"&amp;대상월키))</f>
        <v/>
      </c>
      <c r="I136">
        <f>IF($W136="","",SUMIFS(상세표[기록 시간외],상세표[사번키],INDEX(합계표[사번키],$W136),상세표[기록월],"&lt;&gt;"&amp;대상월키,상세표[반영월],대상월키))</f>
        <v/>
      </c>
      <c r="J136">
        <f>IF($W136="","",SUMIFS(상세표[기록 시간외],상세표[사번키],INDEX(합계표[사번키],$W136),상세표[반영월],대상월키))</f>
        <v/>
      </c>
      <c r="K136">
        <f>IF($W136="","",IFERROR(INDEX(월별근무지표[적용 급여병원],MATCH(INDEX(합계표[사번키],$W136)&amp;"|"&amp;대상월키,월별근무지표[키],0))&amp;"",IF(COUNTIF(기관표[사번키],INDEX(합계표[사번키],$W136))+COUNTIF(월별근무지표[사번키],INDEX(합계표[사번키],$W136))&gt;0,IFERROR(INDEX(기관표[급여지급병원(기준월)],MATCH(INDEX(합계표[사번키],$W136)&amp;"|"&amp;대상월키,기관표[키],0))&amp;"","—"),"—")))</f>
        <v/>
      </c>
      <c r="L136">
        <f>IF($W136="","",IF(NOT(COUNTIF(기관표[사번키],INDEX(합계표[사번키],$W136))+COUNTIF(월별근무지표[사번키],INDEX(합계표[사번키],$W136))&gt;0),"기관명단에 없음(다른 병원으로 발송)",IF($K136="—","대상월 기관명단 없음(추가 필요)",IF($K136="서울병원","해당","비해당"))))</f>
        <v/>
      </c>
      <c r="M136">
        <f>IF($W136="","",SUMIFS(상세표[06~07시],상세표[사번키],INDEX(합계표[사번키],$W136),상세표[반영월],대상월키,상세표[반영 기관],"서울병원"))</f>
        <v/>
      </c>
      <c r="N136">
        <f>IF($W136="","",SUMIFS(상세표[07~18시],상세표[사번키],INDEX(합계표[사번키],$W136),상세표[반영월],대상월키,상세표[반영 기관],"서울병원"))</f>
        <v/>
      </c>
      <c r="O136">
        <f>IF($W136="","",SUMIFS(상세표[18~22시],상세표[사번키],INDEX(합계표[사번키],$W136),상세표[반영월],대상월키,상세표[반영 기관],"서울병원"))</f>
        <v/>
      </c>
      <c r="P136">
        <f>IF($W136="","",SUMIFS(상세표[22~06시],상세표[사번키],INDEX(합계표[사번키],$W136),상세표[반영월],대상월키,상세표[반영 기관],"서울병원"))</f>
        <v/>
      </c>
      <c r="Q136">
        <f>IF($W136="","",SUM($M136:$P136))</f>
        <v/>
      </c>
      <c r="R136">
        <f>IF($W136="","",COUNTIFS(상세표[사번키],INDEX(합계표[사번키],$W136),상세표[반영월],대상월키,상세표[야간당직],1,상세표[야간 구분],"평일"))</f>
        <v/>
      </c>
      <c r="S136" s="4">
        <f>IF($W136="","",COUNTIFS(상세표[사번키],INDEX(합계표[사번키],$W136),상세표[반영월],대상월키,상세표[야간당직],1,상세표[야간 구분],"휴일"))</f>
        <v/>
      </c>
      <c r="T136">
        <f>IF($W136="","",COUNTIFS(상세표[사번키],INDEX(합계표[사번키],$W136),상세표[반영월],대상월키,상세표[야간당직],1,상세표[야간 구분],"평일",상세표[반영 기관],"서울병원"))</f>
        <v/>
      </c>
      <c r="U136">
        <f>IF($W136="","",COUNTIFS(상세표[사번키],INDEX(합계표[사번키],$W136),상세표[반영월],대상월키,상세표[야간당직],1,상세표[야간 구분],"휴일",상세표[반영 기관],"서울병원"))</f>
        <v/>
      </c>
      <c r="V136">
        <f>IF($W136="","",IF(ISNUMBER(MATCH(INDEX(합계표[사번키],$W136)&amp;"|"&amp;대상월키,월별근무지표[키],0)),"직접 입력",IF($K136="—","—","기관명단")))</f>
        <v/>
      </c>
      <c r="W136">
        <f>IFERROR(MATCH(131,합계표[판정순번],0),"")</f>
        <v/>
      </c>
      <c r="Y136">
        <f>IF($AB136="","",INDEX(상세표[사번],$AB136)&amp;"")</f>
        <v/>
      </c>
      <c r="Z136">
        <f>IF($AB136="","",INDEX(상세표[성명],$AB136)&amp;"")</f>
        <v/>
      </c>
      <c r="AA136">
        <f>IF($AB136="","",SUMIFS(상세표[기록 시간외],상세표[사번키],INDEX(상세표[사번키],$AB136),상세표[반영월],대상월키))</f>
        <v/>
      </c>
      <c r="AB136" s="4">
        <f>IFERROR(MATCH(131,상세표[합계없음순번],0),"")</f>
        <v/>
      </c>
    </row>
    <row r="137">
      <c r="A137">
        <f>IF($W137="","",INDEX(합계표[사번],$W137)&amp;"")</f>
        <v/>
      </c>
      <c r="B137">
        <f>IF($W137="","",INDEX(합계표[성명],$W137)&amp;"")</f>
        <v/>
      </c>
      <c r="C137">
        <f>IF($W137="","",INDEX(합계표[부서],$W137)&amp;"")</f>
        <v/>
      </c>
      <c r="D137">
        <f>IF($W137="","",INDEX(합계표[직위(통합)],$W137)&amp;"")</f>
        <v/>
      </c>
      <c r="E137">
        <f>IF($W137="","",SUMIFS(합계표[시스템 합계],합계표[사번키],INDEX(합계표[사번키],$W137)))</f>
        <v/>
      </c>
      <c r="F137">
        <f>IF($W137="","",SUMIFS(상세표[기록 시간외],상세표[사번키],INDEX(합계표[사번키],$W137),상세표[기록월],대상월키))</f>
        <v/>
      </c>
      <c r="G137">
        <f>IF($W137="","",IF(ABS($E137-$F137)&lt;0.01,"일치","불일치(차이 "&amp;TEXT($F137-$E137,"0.00")&amp;")"))</f>
        <v/>
      </c>
      <c r="H137">
        <f>IF($W137="","",SUMIFS(상세표[기록 시간외],상세표[사번키],INDEX(합계표[사번키],$W137),상세표[기록월],대상월키,상세표[반영월],"&lt;&gt;"&amp;대상월키))</f>
        <v/>
      </c>
      <c r="I137">
        <f>IF($W137="","",SUMIFS(상세표[기록 시간외],상세표[사번키],INDEX(합계표[사번키],$W137),상세표[기록월],"&lt;&gt;"&amp;대상월키,상세표[반영월],대상월키))</f>
        <v/>
      </c>
      <c r="J137">
        <f>IF($W137="","",SUMIFS(상세표[기록 시간외],상세표[사번키],INDEX(합계표[사번키],$W137),상세표[반영월],대상월키))</f>
        <v/>
      </c>
      <c r="K137">
        <f>IF($W137="","",IFERROR(INDEX(월별근무지표[적용 급여병원],MATCH(INDEX(합계표[사번키],$W137)&amp;"|"&amp;대상월키,월별근무지표[키],0))&amp;"",IF(COUNTIF(기관표[사번키],INDEX(합계표[사번키],$W137))+COUNTIF(월별근무지표[사번키],INDEX(합계표[사번키],$W137))&gt;0,IFERROR(INDEX(기관표[급여지급병원(기준월)],MATCH(INDEX(합계표[사번키],$W137)&amp;"|"&amp;대상월키,기관표[키],0))&amp;"","—"),"—")))</f>
        <v/>
      </c>
      <c r="L137">
        <f>IF($W137="","",IF(NOT(COUNTIF(기관표[사번키],INDEX(합계표[사번키],$W137))+COUNTIF(월별근무지표[사번키],INDEX(합계표[사번키],$W137))&gt;0),"기관명단에 없음(다른 병원으로 발송)",IF($K137="—","대상월 기관명단 없음(추가 필요)",IF($K137="서울병원","해당","비해당"))))</f>
        <v/>
      </c>
      <c r="M137">
        <f>IF($W137="","",SUMIFS(상세표[06~07시],상세표[사번키],INDEX(합계표[사번키],$W137),상세표[반영월],대상월키,상세표[반영 기관],"서울병원"))</f>
        <v/>
      </c>
      <c r="N137">
        <f>IF($W137="","",SUMIFS(상세표[07~18시],상세표[사번키],INDEX(합계표[사번키],$W137),상세표[반영월],대상월키,상세표[반영 기관],"서울병원"))</f>
        <v/>
      </c>
      <c r="O137">
        <f>IF($W137="","",SUMIFS(상세표[18~22시],상세표[사번키],INDEX(합계표[사번키],$W137),상세표[반영월],대상월키,상세표[반영 기관],"서울병원"))</f>
        <v/>
      </c>
      <c r="P137">
        <f>IF($W137="","",SUMIFS(상세표[22~06시],상세표[사번키],INDEX(합계표[사번키],$W137),상세표[반영월],대상월키,상세표[반영 기관],"서울병원"))</f>
        <v/>
      </c>
      <c r="Q137">
        <f>IF($W137="","",SUM($M137:$P137))</f>
        <v/>
      </c>
      <c r="R137">
        <f>IF($W137="","",COUNTIFS(상세표[사번키],INDEX(합계표[사번키],$W137),상세표[반영월],대상월키,상세표[야간당직],1,상세표[야간 구분],"평일"))</f>
        <v/>
      </c>
      <c r="S137" s="4">
        <f>IF($W137="","",COUNTIFS(상세표[사번키],INDEX(합계표[사번키],$W137),상세표[반영월],대상월키,상세표[야간당직],1,상세표[야간 구분],"휴일"))</f>
        <v/>
      </c>
      <c r="T137">
        <f>IF($W137="","",COUNTIFS(상세표[사번키],INDEX(합계표[사번키],$W137),상세표[반영월],대상월키,상세표[야간당직],1,상세표[야간 구분],"평일",상세표[반영 기관],"서울병원"))</f>
        <v/>
      </c>
      <c r="U137">
        <f>IF($W137="","",COUNTIFS(상세표[사번키],INDEX(합계표[사번키],$W137),상세표[반영월],대상월키,상세표[야간당직],1,상세표[야간 구분],"휴일",상세표[반영 기관],"서울병원"))</f>
        <v/>
      </c>
      <c r="V137">
        <f>IF($W137="","",IF(ISNUMBER(MATCH(INDEX(합계표[사번키],$W137)&amp;"|"&amp;대상월키,월별근무지표[키],0)),"직접 입력",IF($K137="—","—","기관명단")))</f>
        <v/>
      </c>
      <c r="W137">
        <f>IFERROR(MATCH(132,합계표[판정순번],0),"")</f>
        <v/>
      </c>
      <c r="Y137">
        <f>IF($AB137="","",INDEX(상세표[사번],$AB137)&amp;"")</f>
        <v/>
      </c>
      <c r="Z137">
        <f>IF($AB137="","",INDEX(상세표[성명],$AB137)&amp;"")</f>
        <v/>
      </c>
      <c r="AA137">
        <f>IF($AB137="","",SUMIFS(상세표[기록 시간외],상세표[사번키],INDEX(상세표[사번키],$AB137),상세표[반영월],대상월키))</f>
        <v/>
      </c>
      <c r="AB137" s="4">
        <f>IFERROR(MATCH(132,상세표[합계없음순번],0),"")</f>
        <v/>
      </c>
    </row>
    <row r="138">
      <c r="A138">
        <f>IF($W138="","",INDEX(합계표[사번],$W138)&amp;"")</f>
        <v/>
      </c>
      <c r="B138">
        <f>IF($W138="","",INDEX(합계표[성명],$W138)&amp;"")</f>
        <v/>
      </c>
      <c r="C138">
        <f>IF($W138="","",INDEX(합계표[부서],$W138)&amp;"")</f>
        <v/>
      </c>
      <c r="D138">
        <f>IF($W138="","",INDEX(합계표[직위(통합)],$W138)&amp;"")</f>
        <v/>
      </c>
      <c r="E138">
        <f>IF($W138="","",SUMIFS(합계표[시스템 합계],합계표[사번키],INDEX(합계표[사번키],$W138)))</f>
        <v/>
      </c>
      <c r="F138">
        <f>IF($W138="","",SUMIFS(상세표[기록 시간외],상세표[사번키],INDEX(합계표[사번키],$W138),상세표[기록월],대상월키))</f>
        <v/>
      </c>
      <c r="G138">
        <f>IF($W138="","",IF(ABS($E138-$F138)&lt;0.01,"일치","불일치(차이 "&amp;TEXT($F138-$E138,"0.00")&amp;")"))</f>
        <v/>
      </c>
      <c r="H138">
        <f>IF($W138="","",SUMIFS(상세표[기록 시간외],상세표[사번키],INDEX(합계표[사번키],$W138),상세표[기록월],대상월키,상세표[반영월],"&lt;&gt;"&amp;대상월키))</f>
        <v/>
      </c>
      <c r="I138">
        <f>IF($W138="","",SUMIFS(상세표[기록 시간외],상세표[사번키],INDEX(합계표[사번키],$W138),상세표[기록월],"&lt;&gt;"&amp;대상월키,상세표[반영월],대상월키))</f>
        <v/>
      </c>
      <c r="J138">
        <f>IF($W138="","",SUMIFS(상세표[기록 시간외],상세표[사번키],INDEX(합계표[사번키],$W138),상세표[반영월],대상월키))</f>
        <v/>
      </c>
      <c r="K138">
        <f>IF($W138="","",IFERROR(INDEX(월별근무지표[적용 급여병원],MATCH(INDEX(합계표[사번키],$W138)&amp;"|"&amp;대상월키,월별근무지표[키],0))&amp;"",IF(COUNTIF(기관표[사번키],INDEX(합계표[사번키],$W138))+COUNTIF(월별근무지표[사번키],INDEX(합계표[사번키],$W138))&gt;0,IFERROR(INDEX(기관표[급여지급병원(기준월)],MATCH(INDEX(합계표[사번키],$W138)&amp;"|"&amp;대상월키,기관표[키],0))&amp;"","—"),"—")))</f>
        <v/>
      </c>
      <c r="L138">
        <f>IF($W138="","",IF(NOT(COUNTIF(기관표[사번키],INDEX(합계표[사번키],$W138))+COUNTIF(월별근무지표[사번키],INDEX(합계표[사번키],$W138))&gt;0),"기관명단에 없음(다른 병원으로 발송)",IF($K138="—","대상월 기관명단 없음(추가 필요)",IF($K138="서울병원","해당","비해당"))))</f>
        <v/>
      </c>
      <c r="M138">
        <f>IF($W138="","",SUMIFS(상세표[06~07시],상세표[사번키],INDEX(합계표[사번키],$W138),상세표[반영월],대상월키,상세표[반영 기관],"서울병원"))</f>
        <v/>
      </c>
      <c r="N138">
        <f>IF($W138="","",SUMIFS(상세표[07~18시],상세표[사번키],INDEX(합계표[사번키],$W138),상세표[반영월],대상월키,상세표[반영 기관],"서울병원"))</f>
        <v/>
      </c>
      <c r="O138">
        <f>IF($W138="","",SUMIFS(상세표[18~22시],상세표[사번키],INDEX(합계표[사번키],$W138),상세표[반영월],대상월키,상세표[반영 기관],"서울병원"))</f>
        <v/>
      </c>
      <c r="P138">
        <f>IF($W138="","",SUMIFS(상세표[22~06시],상세표[사번키],INDEX(합계표[사번키],$W138),상세표[반영월],대상월키,상세표[반영 기관],"서울병원"))</f>
        <v/>
      </c>
      <c r="Q138">
        <f>IF($W138="","",SUM($M138:$P138))</f>
        <v/>
      </c>
      <c r="R138">
        <f>IF($W138="","",COUNTIFS(상세표[사번키],INDEX(합계표[사번키],$W138),상세표[반영월],대상월키,상세표[야간당직],1,상세표[야간 구분],"평일"))</f>
        <v/>
      </c>
      <c r="S138" s="4">
        <f>IF($W138="","",COUNTIFS(상세표[사번키],INDEX(합계표[사번키],$W138),상세표[반영월],대상월키,상세표[야간당직],1,상세표[야간 구분],"휴일"))</f>
        <v/>
      </c>
      <c r="T138">
        <f>IF($W138="","",COUNTIFS(상세표[사번키],INDEX(합계표[사번키],$W138),상세표[반영월],대상월키,상세표[야간당직],1,상세표[야간 구분],"평일",상세표[반영 기관],"서울병원"))</f>
        <v/>
      </c>
      <c r="U138">
        <f>IF($W138="","",COUNTIFS(상세표[사번키],INDEX(합계표[사번키],$W138),상세표[반영월],대상월키,상세표[야간당직],1,상세표[야간 구분],"휴일",상세표[반영 기관],"서울병원"))</f>
        <v/>
      </c>
      <c r="V138">
        <f>IF($W138="","",IF(ISNUMBER(MATCH(INDEX(합계표[사번키],$W138)&amp;"|"&amp;대상월키,월별근무지표[키],0)),"직접 입력",IF($K138="—","—","기관명단")))</f>
        <v/>
      </c>
      <c r="W138">
        <f>IFERROR(MATCH(133,합계표[판정순번],0),"")</f>
        <v/>
      </c>
      <c r="Y138">
        <f>IF($AB138="","",INDEX(상세표[사번],$AB138)&amp;"")</f>
        <v/>
      </c>
      <c r="Z138">
        <f>IF($AB138="","",INDEX(상세표[성명],$AB138)&amp;"")</f>
        <v/>
      </c>
      <c r="AA138">
        <f>IF($AB138="","",SUMIFS(상세표[기록 시간외],상세표[사번키],INDEX(상세표[사번키],$AB138),상세표[반영월],대상월키))</f>
        <v/>
      </c>
      <c r="AB138" s="4">
        <f>IFERROR(MATCH(133,상세표[합계없음순번],0),"")</f>
        <v/>
      </c>
    </row>
    <row r="139">
      <c r="A139">
        <f>IF($W139="","",INDEX(합계표[사번],$W139)&amp;"")</f>
        <v/>
      </c>
      <c r="B139">
        <f>IF($W139="","",INDEX(합계표[성명],$W139)&amp;"")</f>
        <v/>
      </c>
      <c r="C139">
        <f>IF($W139="","",INDEX(합계표[부서],$W139)&amp;"")</f>
        <v/>
      </c>
      <c r="D139">
        <f>IF($W139="","",INDEX(합계표[직위(통합)],$W139)&amp;"")</f>
        <v/>
      </c>
      <c r="E139">
        <f>IF($W139="","",SUMIFS(합계표[시스템 합계],합계표[사번키],INDEX(합계표[사번키],$W139)))</f>
        <v/>
      </c>
      <c r="F139">
        <f>IF($W139="","",SUMIFS(상세표[기록 시간외],상세표[사번키],INDEX(합계표[사번키],$W139),상세표[기록월],대상월키))</f>
        <v/>
      </c>
      <c r="G139">
        <f>IF($W139="","",IF(ABS($E139-$F139)&lt;0.01,"일치","불일치(차이 "&amp;TEXT($F139-$E139,"0.00")&amp;")"))</f>
        <v/>
      </c>
      <c r="H139">
        <f>IF($W139="","",SUMIFS(상세표[기록 시간외],상세표[사번키],INDEX(합계표[사번키],$W139),상세표[기록월],대상월키,상세표[반영월],"&lt;&gt;"&amp;대상월키))</f>
        <v/>
      </c>
      <c r="I139">
        <f>IF($W139="","",SUMIFS(상세표[기록 시간외],상세표[사번키],INDEX(합계표[사번키],$W139),상세표[기록월],"&lt;&gt;"&amp;대상월키,상세표[반영월],대상월키))</f>
        <v/>
      </c>
      <c r="J139">
        <f>IF($W139="","",SUMIFS(상세표[기록 시간외],상세표[사번키],INDEX(합계표[사번키],$W139),상세표[반영월],대상월키))</f>
        <v/>
      </c>
      <c r="K139">
        <f>IF($W139="","",IFERROR(INDEX(월별근무지표[적용 급여병원],MATCH(INDEX(합계표[사번키],$W139)&amp;"|"&amp;대상월키,월별근무지표[키],0))&amp;"",IF(COUNTIF(기관표[사번키],INDEX(합계표[사번키],$W139))+COUNTIF(월별근무지표[사번키],INDEX(합계표[사번키],$W139))&gt;0,IFERROR(INDEX(기관표[급여지급병원(기준월)],MATCH(INDEX(합계표[사번키],$W139)&amp;"|"&amp;대상월키,기관표[키],0))&amp;"","—"),"—")))</f>
        <v/>
      </c>
      <c r="L139">
        <f>IF($W139="","",IF(NOT(COUNTIF(기관표[사번키],INDEX(합계표[사번키],$W139))+COUNTIF(월별근무지표[사번키],INDEX(합계표[사번키],$W139))&gt;0),"기관명단에 없음(다른 병원으로 발송)",IF($K139="—","대상월 기관명단 없음(추가 필요)",IF($K139="서울병원","해당","비해당"))))</f>
        <v/>
      </c>
      <c r="M139">
        <f>IF($W139="","",SUMIFS(상세표[06~07시],상세표[사번키],INDEX(합계표[사번키],$W139),상세표[반영월],대상월키,상세표[반영 기관],"서울병원"))</f>
        <v/>
      </c>
      <c r="N139">
        <f>IF($W139="","",SUMIFS(상세표[07~18시],상세표[사번키],INDEX(합계표[사번키],$W139),상세표[반영월],대상월키,상세표[반영 기관],"서울병원"))</f>
        <v/>
      </c>
      <c r="O139">
        <f>IF($W139="","",SUMIFS(상세표[18~22시],상세표[사번키],INDEX(합계표[사번키],$W139),상세표[반영월],대상월키,상세표[반영 기관],"서울병원"))</f>
        <v/>
      </c>
      <c r="P139">
        <f>IF($W139="","",SUMIFS(상세표[22~06시],상세표[사번키],INDEX(합계표[사번키],$W139),상세표[반영월],대상월키,상세표[반영 기관],"서울병원"))</f>
        <v/>
      </c>
      <c r="Q139">
        <f>IF($W139="","",SUM($M139:$P139))</f>
        <v/>
      </c>
      <c r="R139">
        <f>IF($W139="","",COUNTIFS(상세표[사번키],INDEX(합계표[사번키],$W139),상세표[반영월],대상월키,상세표[야간당직],1,상세표[야간 구분],"평일"))</f>
        <v/>
      </c>
      <c r="S139" s="4">
        <f>IF($W139="","",COUNTIFS(상세표[사번키],INDEX(합계표[사번키],$W139),상세표[반영월],대상월키,상세표[야간당직],1,상세표[야간 구분],"휴일"))</f>
        <v/>
      </c>
      <c r="T139">
        <f>IF($W139="","",COUNTIFS(상세표[사번키],INDEX(합계표[사번키],$W139),상세표[반영월],대상월키,상세표[야간당직],1,상세표[야간 구분],"평일",상세표[반영 기관],"서울병원"))</f>
        <v/>
      </c>
      <c r="U139">
        <f>IF($W139="","",COUNTIFS(상세표[사번키],INDEX(합계표[사번키],$W139),상세표[반영월],대상월키,상세표[야간당직],1,상세표[야간 구분],"휴일",상세표[반영 기관],"서울병원"))</f>
        <v/>
      </c>
      <c r="V139">
        <f>IF($W139="","",IF(ISNUMBER(MATCH(INDEX(합계표[사번키],$W139)&amp;"|"&amp;대상월키,월별근무지표[키],0)),"직접 입력",IF($K139="—","—","기관명단")))</f>
        <v/>
      </c>
      <c r="W139">
        <f>IFERROR(MATCH(134,합계표[판정순번],0),"")</f>
        <v/>
      </c>
      <c r="Y139">
        <f>IF($AB139="","",INDEX(상세표[사번],$AB139)&amp;"")</f>
        <v/>
      </c>
      <c r="Z139">
        <f>IF($AB139="","",INDEX(상세표[성명],$AB139)&amp;"")</f>
        <v/>
      </c>
      <c r="AA139">
        <f>IF($AB139="","",SUMIFS(상세표[기록 시간외],상세표[사번키],INDEX(상세표[사번키],$AB139),상세표[반영월],대상월키))</f>
        <v/>
      </c>
      <c r="AB139" s="4">
        <f>IFERROR(MATCH(134,상세표[합계없음순번],0),"")</f>
        <v/>
      </c>
    </row>
    <row r="140">
      <c r="A140">
        <f>IF($W140="","",INDEX(합계표[사번],$W140)&amp;"")</f>
        <v/>
      </c>
      <c r="B140">
        <f>IF($W140="","",INDEX(합계표[성명],$W140)&amp;"")</f>
        <v/>
      </c>
      <c r="C140">
        <f>IF($W140="","",INDEX(합계표[부서],$W140)&amp;"")</f>
        <v/>
      </c>
      <c r="D140">
        <f>IF($W140="","",INDEX(합계표[직위(통합)],$W140)&amp;"")</f>
        <v/>
      </c>
      <c r="E140">
        <f>IF($W140="","",SUMIFS(합계표[시스템 합계],합계표[사번키],INDEX(합계표[사번키],$W140)))</f>
        <v/>
      </c>
      <c r="F140">
        <f>IF($W140="","",SUMIFS(상세표[기록 시간외],상세표[사번키],INDEX(합계표[사번키],$W140),상세표[기록월],대상월키))</f>
        <v/>
      </c>
      <c r="G140">
        <f>IF($W140="","",IF(ABS($E140-$F140)&lt;0.01,"일치","불일치(차이 "&amp;TEXT($F140-$E140,"0.00")&amp;")"))</f>
        <v/>
      </c>
      <c r="H140">
        <f>IF($W140="","",SUMIFS(상세표[기록 시간외],상세표[사번키],INDEX(합계표[사번키],$W140),상세표[기록월],대상월키,상세표[반영월],"&lt;&gt;"&amp;대상월키))</f>
        <v/>
      </c>
      <c r="I140">
        <f>IF($W140="","",SUMIFS(상세표[기록 시간외],상세표[사번키],INDEX(합계표[사번키],$W140),상세표[기록월],"&lt;&gt;"&amp;대상월키,상세표[반영월],대상월키))</f>
        <v/>
      </c>
      <c r="J140">
        <f>IF($W140="","",SUMIFS(상세표[기록 시간외],상세표[사번키],INDEX(합계표[사번키],$W140),상세표[반영월],대상월키))</f>
        <v/>
      </c>
      <c r="K140">
        <f>IF($W140="","",IFERROR(INDEX(월별근무지표[적용 급여병원],MATCH(INDEX(합계표[사번키],$W140)&amp;"|"&amp;대상월키,월별근무지표[키],0))&amp;"",IF(COUNTIF(기관표[사번키],INDEX(합계표[사번키],$W140))+COUNTIF(월별근무지표[사번키],INDEX(합계표[사번키],$W140))&gt;0,IFERROR(INDEX(기관표[급여지급병원(기준월)],MATCH(INDEX(합계표[사번키],$W140)&amp;"|"&amp;대상월키,기관표[키],0))&amp;"","—"),"—")))</f>
        <v/>
      </c>
      <c r="L140">
        <f>IF($W140="","",IF(NOT(COUNTIF(기관표[사번키],INDEX(합계표[사번키],$W140))+COUNTIF(월별근무지표[사번키],INDEX(합계표[사번키],$W140))&gt;0),"기관명단에 없음(다른 병원으로 발송)",IF($K140="—","대상월 기관명단 없음(추가 필요)",IF($K140="서울병원","해당","비해당"))))</f>
        <v/>
      </c>
      <c r="M140">
        <f>IF($W140="","",SUMIFS(상세표[06~07시],상세표[사번키],INDEX(합계표[사번키],$W140),상세표[반영월],대상월키,상세표[반영 기관],"서울병원"))</f>
        <v/>
      </c>
      <c r="N140">
        <f>IF($W140="","",SUMIFS(상세표[07~18시],상세표[사번키],INDEX(합계표[사번키],$W140),상세표[반영월],대상월키,상세표[반영 기관],"서울병원"))</f>
        <v/>
      </c>
      <c r="O140">
        <f>IF($W140="","",SUMIFS(상세표[18~22시],상세표[사번키],INDEX(합계표[사번키],$W140),상세표[반영월],대상월키,상세표[반영 기관],"서울병원"))</f>
        <v/>
      </c>
      <c r="P140">
        <f>IF($W140="","",SUMIFS(상세표[22~06시],상세표[사번키],INDEX(합계표[사번키],$W140),상세표[반영월],대상월키,상세표[반영 기관],"서울병원"))</f>
        <v/>
      </c>
      <c r="Q140">
        <f>IF($W140="","",SUM($M140:$P140))</f>
        <v/>
      </c>
      <c r="R140">
        <f>IF($W140="","",COUNTIFS(상세표[사번키],INDEX(합계표[사번키],$W140),상세표[반영월],대상월키,상세표[야간당직],1,상세표[야간 구분],"평일"))</f>
        <v/>
      </c>
      <c r="S140" s="4">
        <f>IF($W140="","",COUNTIFS(상세표[사번키],INDEX(합계표[사번키],$W140),상세표[반영월],대상월키,상세표[야간당직],1,상세표[야간 구분],"휴일"))</f>
        <v/>
      </c>
      <c r="T140">
        <f>IF($W140="","",COUNTIFS(상세표[사번키],INDEX(합계표[사번키],$W140),상세표[반영월],대상월키,상세표[야간당직],1,상세표[야간 구분],"평일",상세표[반영 기관],"서울병원"))</f>
        <v/>
      </c>
      <c r="U140">
        <f>IF($W140="","",COUNTIFS(상세표[사번키],INDEX(합계표[사번키],$W140),상세표[반영월],대상월키,상세표[야간당직],1,상세표[야간 구분],"휴일",상세표[반영 기관],"서울병원"))</f>
        <v/>
      </c>
      <c r="V140">
        <f>IF($W140="","",IF(ISNUMBER(MATCH(INDEX(합계표[사번키],$W140)&amp;"|"&amp;대상월키,월별근무지표[키],0)),"직접 입력",IF($K140="—","—","기관명단")))</f>
        <v/>
      </c>
      <c r="W140">
        <f>IFERROR(MATCH(135,합계표[판정순번],0),"")</f>
        <v/>
      </c>
      <c r="Y140">
        <f>IF($AB140="","",INDEX(상세표[사번],$AB140)&amp;"")</f>
        <v/>
      </c>
      <c r="Z140">
        <f>IF($AB140="","",INDEX(상세표[성명],$AB140)&amp;"")</f>
        <v/>
      </c>
      <c r="AA140">
        <f>IF($AB140="","",SUMIFS(상세표[기록 시간외],상세표[사번키],INDEX(상세표[사번키],$AB140),상세표[반영월],대상월키))</f>
        <v/>
      </c>
      <c r="AB140" s="4">
        <f>IFERROR(MATCH(135,상세표[합계없음순번],0),"")</f>
        <v/>
      </c>
    </row>
    <row r="141">
      <c r="A141">
        <f>IF($W141="","",INDEX(합계표[사번],$W141)&amp;"")</f>
        <v/>
      </c>
      <c r="B141">
        <f>IF($W141="","",INDEX(합계표[성명],$W141)&amp;"")</f>
        <v/>
      </c>
      <c r="C141">
        <f>IF($W141="","",INDEX(합계표[부서],$W141)&amp;"")</f>
        <v/>
      </c>
      <c r="D141">
        <f>IF($W141="","",INDEX(합계표[직위(통합)],$W141)&amp;"")</f>
        <v/>
      </c>
      <c r="E141">
        <f>IF($W141="","",SUMIFS(합계표[시스템 합계],합계표[사번키],INDEX(합계표[사번키],$W141)))</f>
        <v/>
      </c>
      <c r="F141">
        <f>IF($W141="","",SUMIFS(상세표[기록 시간외],상세표[사번키],INDEX(합계표[사번키],$W141),상세표[기록월],대상월키))</f>
        <v/>
      </c>
      <c r="G141">
        <f>IF($W141="","",IF(ABS($E141-$F141)&lt;0.01,"일치","불일치(차이 "&amp;TEXT($F141-$E141,"0.00")&amp;")"))</f>
        <v/>
      </c>
      <c r="H141">
        <f>IF($W141="","",SUMIFS(상세표[기록 시간외],상세표[사번키],INDEX(합계표[사번키],$W141),상세표[기록월],대상월키,상세표[반영월],"&lt;&gt;"&amp;대상월키))</f>
        <v/>
      </c>
      <c r="I141">
        <f>IF($W141="","",SUMIFS(상세표[기록 시간외],상세표[사번키],INDEX(합계표[사번키],$W141),상세표[기록월],"&lt;&gt;"&amp;대상월키,상세표[반영월],대상월키))</f>
        <v/>
      </c>
      <c r="J141">
        <f>IF($W141="","",SUMIFS(상세표[기록 시간외],상세표[사번키],INDEX(합계표[사번키],$W141),상세표[반영월],대상월키))</f>
        <v/>
      </c>
      <c r="K141">
        <f>IF($W141="","",IFERROR(INDEX(월별근무지표[적용 급여병원],MATCH(INDEX(합계표[사번키],$W141)&amp;"|"&amp;대상월키,월별근무지표[키],0))&amp;"",IF(COUNTIF(기관표[사번키],INDEX(합계표[사번키],$W141))+COUNTIF(월별근무지표[사번키],INDEX(합계표[사번키],$W141))&gt;0,IFERROR(INDEX(기관표[급여지급병원(기준월)],MATCH(INDEX(합계표[사번키],$W141)&amp;"|"&amp;대상월키,기관표[키],0))&amp;"","—"),"—")))</f>
        <v/>
      </c>
      <c r="L141">
        <f>IF($W141="","",IF(NOT(COUNTIF(기관표[사번키],INDEX(합계표[사번키],$W141))+COUNTIF(월별근무지표[사번키],INDEX(합계표[사번키],$W141))&gt;0),"기관명단에 없음(다른 병원으로 발송)",IF($K141="—","대상월 기관명단 없음(추가 필요)",IF($K141="서울병원","해당","비해당"))))</f>
        <v/>
      </c>
      <c r="M141">
        <f>IF($W141="","",SUMIFS(상세표[06~07시],상세표[사번키],INDEX(합계표[사번키],$W141),상세표[반영월],대상월키,상세표[반영 기관],"서울병원"))</f>
        <v/>
      </c>
      <c r="N141">
        <f>IF($W141="","",SUMIFS(상세표[07~18시],상세표[사번키],INDEX(합계표[사번키],$W141),상세표[반영월],대상월키,상세표[반영 기관],"서울병원"))</f>
        <v/>
      </c>
      <c r="O141">
        <f>IF($W141="","",SUMIFS(상세표[18~22시],상세표[사번키],INDEX(합계표[사번키],$W141),상세표[반영월],대상월키,상세표[반영 기관],"서울병원"))</f>
        <v/>
      </c>
      <c r="P141">
        <f>IF($W141="","",SUMIFS(상세표[22~06시],상세표[사번키],INDEX(합계표[사번키],$W141),상세표[반영월],대상월키,상세표[반영 기관],"서울병원"))</f>
        <v/>
      </c>
      <c r="Q141">
        <f>IF($W141="","",SUM($M141:$P141))</f>
        <v/>
      </c>
      <c r="R141">
        <f>IF($W141="","",COUNTIFS(상세표[사번키],INDEX(합계표[사번키],$W141),상세표[반영월],대상월키,상세표[야간당직],1,상세표[야간 구분],"평일"))</f>
        <v/>
      </c>
      <c r="S141" s="4">
        <f>IF($W141="","",COUNTIFS(상세표[사번키],INDEX(합계표[사번키],$W141),상세표[반영월],대상월키,상세표[야간당직],1,상세표[야간 구분],"휴일"))</f>
        <v/>
      </c>
      <c r="T141">
        <f>IF($W141="","",COUNTIFS(상세표[사번키],INDEX(합계표[사번키],$W141),상세표[반영월],대상월키,상세표[야간당직],1,상세표[야간 구분],"평일",상세표[반영 기관],"서울병원"))</f>
        <v/>
      </c>
      <c r="U141">
        <f>IF($W141="","",COUNTIFS(상세표[사번키],INDEX(합계표[사번키],$W141),상세표[반영월],대상월키,상세표[야간당직],1,상세표[야간 구분],"휴일",상세표[반영 기관],"서울병원"))</f>
        <v/>
      </c>
      <c r="V141">
        <f>IF($W141="","",IF(ISNUMBER(MATCH(INDEX(합계표[사번키],$W141)&amp;"|"&amp;대상월키,월별근무지표[키],0)),"직접 입력",IF($K141="—","—","기관명단")))</f>
        <v/>
      </c>
      <c r="W141">
        <f>IFERROR(MATCH(136,합계표[판정순번],0),"")</f>
        <v/>
      </c>
      <c r="Y141">
        <f>IF($AB141="","",INDEX(상세표[사번],$AB141)&amp;"")</f>
        <v/>
      </c>
      <c r="Z141">
        <f>IF($AB141="","",INDEX(상세표[성명],$AB141)&amp;"")</f>
        <v/>
      </c>
      <c r="AA141">
        <f>IF($AB141="","",SUMIFS(상세표[기록 시간외],상세표[사번키],INDEX(상세표[사번키],$AB141),상세표[반영월],대상월키))</f>
        <v/>
      </c>
      <c r="AB141" s="4">
        <f>IFERROR(MATCH(136,상세표[합계없음순번],0),"")</f>
        <v/>
      </c>
    </row>
    <row r="142">
      <c r="A142">
        <f>IF($W142="","",INDEX(합계표[사번],$W142)&amp;"")</f>
        <v/>
      </c>
      <c r="B142">
        <f>IF($W142="","",INDEX(합계표[성명],$W142)&amp;"")</f>
        <v/>
      </c>
      <c r="C142">
        <f>IF($W142="","",INDEX(합계표[부서],$W142)&amp;"")</f>
        <v/>
      </c>
      <c r="D142">
        <f>IF($W142="","",INDEX(합계표[직위(통합)],$W142)&amp;"")</f>
        <v/>
      </c>
      <c r="E142">
        <f>IF($W142="","",SUMIFS(합계표[시스템 합계],합계표[사번키],INDEX(합계표[사번키],$W142)))</f>
        <v/>
      </c>
      <c r="F142">
        <f>IF($W142="","",SUMIFS(상세표[기록 시간외],상세표[사번키],INDEX(합계표[사번키],$W142),상세표[기록월],대상월키))</f>
        <v/>
      </c>
      <c r="G142">
        <f>IF($W142="","",IF(ABS($E142-$F142)&lt;0.01,"일치","불일치(차이 "&amp;TEXT($F142-$E142,"0.00")&amp;")"))</f>
        <v/>
      </c>
      <c r="H142">
        <f>IF($W142="","",SUMIFS(상세표[기록 시간외],상세표[사번키],INDEX(합계표[사번키],$W142),상세표[기록월],대상월키,상세표[반영월],"&lt;&gt;"&amp;대상월키))</f>
        <v/>
      </c>
      <c r="I142">
        <f>IF($W142="","",SUMIFS(상세표[기록 시간외],상세표[사번키],INDEX(합계표[사번키],$W142),상세표[기록월],"&lt;&gt;"&amp;대상월키,상세표[반영월],대상월키))</f>
        <v/>
      </c>
      <c r="J142">
        <f>IF($W142="","",SUMIFS(상세표[기록 시간외],상세표[사번키],INDEX(합계표[사번키],$W142),상세표[반영월],대상월키))</f>
        <v/>
      </c>
      <c r="K142">
        <f>IF($W142="","",IFERROR(INDEX(월별근무지표[적용 급여병원],MATCH(INDEX(합계표[사번키],$W142)&amp;"|"&amp;대상월키,월별근무지표[키],0))&amp;"",IF(COUNTIF(기관표[사번키],INDEX(합계표[사번키],$W142))+COUNTIF(월별근무지표[사번키],INDEX(합계표[사번키],$W142))&gt;0,IFERROR(INDEX(기관표[급여지급병원(기준월)],MATCH(INDEX(합계표[사번키],$W142)&amp;"|"&amp;대상월키,기관표[키],0))&amp;"","—"),"—")))</f>
        <v/>
      </c>
      <c r="L142">
        <f>IF($W142="","",IF(NOT(COUNTIF(기관표[사번키],INDEX(합계표[사번키],$W142))+COUNTIF(월별근무지표[사번키],INDEX(합계표[사번키],$W142))&gt;0),"기관명단에 없음(다른 병원으로 발송)",IF($K142="—","대상월 기관명단 없음(추가 필요)",IF($K142="서울병원","해당","비해당"))))</f>
        <v/>
      </c>
      <c r="M142">
        <f>IF($W142="","",SUMIFS(상세표[06~07시],상세표[사번키],INDEX(합계표[사번키],$W142),상세표[반영월],대상월키,상세표[반영 기관],"서울병원"))</f>
        <v/>
      </c>
      <c r="N142">
        <f>IF($W142="","",SUMIFS(상세표[07~18시],상세표[사번키],INDEX(합계표[사번키],$W142),상세표[반영월],대상월키,상세표[반영 기관],"서울병원"))</f>
        <v/>
      </c>
      <c r="O142">
        <f>IF($W142="","",SUMIFS(상세표[18~22시],상세표[사번키],INDEX(합계표[사번키],$W142),상세표[반영월],대상월키,상세표[반영 기관],"서울병원"))</f>
        <v/>
      </c>
      <c r="P142">
        <f>IF($W142="","",SUMIFS(상세표[22~06시],상세표[사번키],INDEX(합계표[사번키],$W142),상세표[반영월],대상월키,상세표[반영 기관],"서울병원"))</f>
        <v/>
      </c>
      <c r="Q142">
        <f>IF($W142="","",SUM($M142:$P142))</f>
        <v/>
      </c>
      <c r="R142">
        <f>IF($W142="","",COUNTIFS(상세표[사번키],INDEX(합계표[사번키],$W142),상세표[반영월],대상월키,상세표[야간당직],1,상세표[야간 구분],"평일"))</f>
        <v/>
      </c>
      <c r="S142" s="4">
        <f>IF($W142="","",COUNTIFS(상세표[사번키],INDEX(합계표[사번키],$W142),상세표[반영월],대상월키,상세표[야간당직],1,상세표[야간 구분],"휴일"))</f>
        <v/>
      </c>
      <c r="T142">
        <f>IF($W142="","",COUNTIFS(상세표[사번키],INDEX(합계표[사번키],$W142),상세표[반영월],대상월키,상세표[야간당직],1,상세표[야간 구분],"평일",상세표[반영 기관],"서울병원"))</f>
        <v/>
      </c>
      <c r="U142">
        <f>IF($W142="","",COUNTIFS(상세표[사번키],INDEX(합계표[사번키],$W142),상세표[반영월],대상월키,상세표[야간당직],1,상세표[야간 구분],"휴일",상세표[반영 기관],"서울병원"))</f>
        <v/>
      </c>
      <c r="V142">
        <f>IF($W142="","",IF(ISNUMBER(MATCH(INDEX(합계표[사번키],$W142)&amp;"|"&amp;대상월키,월별근무지표[키],0)),"직접 입력",IF($K142="—","—","기관명단")))</f>
        <v/>
      </c>
      <c r="W142">
        <f>IFERROR(MATCH(137,합계표[판정순번],0),"")</f>
        <v/>
      </c>
      <c r="Y142">
        <f>IF($AB142="","",INDEX(상세표[사번],$AB142)&amp;"")</f>
        <v/>
      </c>
      <c r="Z142">
        <f>IF($AB142="","",INDEX(상세표[성명],$AB142)&amp;"")</f>
        <v/>
      </c>
      <c r="AA142">
        <f>IF($AB142="","",SUMIFS(상세표[기록 시간외],상세표[사번키],INDEX(상세표[사번키],$AB142),상세표[반영월],대상월키))</f>
        <v/>
      </c>
      <c r="AB142" s="4">
        <f>IFERROR(MATCH(137,상세표[합계없음순번],0),"")</f>
        <v/>
      </c>
    </row>
    <row r="143">
      <c r="A143">
        <f>IF($W143="","",INDEX(합계표[사번],$W143)&amp;"")</f>
        <v/>
      </c>
      <c r="B143">
        <f>IF($W143="","",INDEX(합계표[성명],$W143)&amp;"")</f>
        <v/>
      </c>
      <c r="C143">
        <f>IF($W143="","",INDEX(합계표[부서],$W143)&amp;"")</f>
        <v/>
      </c>
      <c r="D143">
        <f>IF($W143="","",INDEX(합계표[직위(통합)],$W143)&amp;"")</f>
        <v/>
      </c>
      <c r="E143">
        <f>IF($W143="","",SUMIFS(합계표[시스템 합계],합계표[사번키],INDEX(합계표[사번키],$W143)))</f>
        <v/>
      </c>
      <c r="F143">
        <f>IF($W143="","",SUMIFS(상세표[기록 시간외],상세표[사번키],INDEX(합계표[사번키],$W143),상세표[기록월],대상월키))</f>
        <v/>
      </c>
      <c r="G143">
        <f>IF($W143="","",IF(ABS($E143-$F143)&lt;0.01,"일치","불일치(차이 "&amp;TEXT($F143-$E143,"0.00")&amp;")"))</f>
        <v/>
      </c>
      <c r="H143">
        <f>IF($W143="","",SUMIFS(상세표[기록 시간외],상세표[사번키],INDEX(합계표[사번키],$W143),상세표[기록월],대상월키,상세표[반영월],"&lt;&gt;"&amp;대상월키))</f>
        <v/>
      </c>
      <c r="I143">
        <f>IF($W143="","",SUMIFS(상세표[기록 시간외],상세표[사번키],INDEX(합계표[사번키],$W143),상세표[기록월],"&lt;&gt;"&amp;대상월키,상세표[반영월],대상월키))</f>
        <v/>
      </c>
      <c r="J143">
        <f>IF($W143="","",SUMIFS(상세표[기록 시간외],상세표[사번키],INDEX(합계표[사번키],$W143),상세표[반영월],대상월키))</f>
        <v/>
      </c>
      <c r="K143">
        <f>IF($W143="","",IFERROR(INDEX(월별근무지표[적용 급여병원],MATCH(INDEX(합계표[사번키],$W143)&amp;"|"&amp;대상월키,월별근무지표[키],0))&amp;"",IF(COUNTIF(기관표[사번키],INDEX(합계표[사번키],$W143))+COUNTIF(월별근무지표[사번키],INDEX(합계표[사번키],$W143))&gt;0,IFERROR(INDEX(기관표[급여지급병원(기준월)],MATCH(INDEX(합계표[사번키],$W143)&amp;"|"&amp;대상월키,기관표[키],0))&amp;"","—"),"—")))</f>
        <v/>
      </c>
      <c r="L143">
        <f>IF($W143="","",IF(NOT(COUNTIF(기관표[사번키],INDEX(합계표[사번키],$W143))+COUNTIF(월별근무지표[사번키],INDEX(합계표[사번키],$W143))&gt;0),"기관명단에 없음(다른 병원으로 발송)",IF($K143="—","대상월 기관명단 없음(추가 필요)",IF($K143="서울병원","해당","비해당"))))</f>
        <v/>
      </c>
      <c r="M143">
        <f>IF($W143="","",SUMIFS(상세표[06~07시],상세표[사번키],INDEX(합계표[사번키],$W143),상세표[반영월],대상월키,상세표[반영 기관],"서울병원"))</f>
        <v/>
      </c>
      <c r="N143">
        <f>IF($W143="","",SUMIFS(상세표[07~18시],상세표[사번키],INDEX(합계표[사번키],$W143),상세표[반영월],대상월키,상세표[반영 기관],"서울병원"))</f>
        <v/>
      </c>
      <c r="O143">
        <f>IF($W143="","",SUMIFS(상세표[18~22시],상세표[사번키],INDEX(합계표[사번키],$W143),상세표[반영월],대상월키,상세표[반영 기관],"서울병원"))</f>
        <v/>
      </c>
      <c r="P143">
        <f>IF($W143="","",SUMIFS(상세표[22~06시],상세표[사번키],INDEX(합계표[사번키],$W143),상세표[반영월],대상월키,상세표[반영 기관],"서울병원"))</f>
        <v/>
      </c>
      <c r="Q143">
        <f>IF($W143="","",SUM($M143:$P143))</f>
        <v/>
      </c>
      <c r="R143">
        <f>IF($W143="","",COUNTIFS(상세표[사번키],INDEX(합계표[사번키],$W143),상세표[반영월],대상월키,상세표[야간당직],1,상세표[야간 구분],"평일"))</f>
        <v/>
      </c>
      <c r="S143" s="4">
        <f>IF($W143="","",COUNTIFS(상세표[사번키],INDEX(합계표[사번키],$W143),상세표[반영월],대상월키,상세표[야간당직],1,상세표[야간 구분],"휴일"))</f>
        <v/>
      </c>
      <c r="T143">
        <f>IF($W143="","",COUNTIFS(상세표[사번키],INDEX(합계표[사번키],$W143),상세표[반영월],대상월키,상세표[야간당직],1,상세표[야간 구분],"평일",상세표[반영 기관],"서울병원"))</f>
        <v/>
      </c>
      <c r="U143">
        <f>IF($W143="","",COUNTIFS(상세표[사번키],INDEX(합계표[사번키],$W143),상세표[반영월],대상월키,상세표[야간당직],1,상세표[야간 구분],"휴일",상세표[반영 기관],"서울병원"))</f>
        <v/>
      </c>
      <c r="V143">
        <f>IF($W143="","",IF(ISNUMBER(MATCH(INDEX(합계표[사번키],$W143)&amp;"|"&amp;대상월키,월별근무지표[키],0)),"직접 입력",IF($K143="—","—","기관명단")))</f>
        <v/>
      </c>
      <c r="W143">
        <f>IFERROR(MATCH(138,합계표[판정순번],0),"")</f>
        <v/>
      </c>
      <c r="Y143">
        <f>IF($AB143="","",INDEX(상세표[사번],$AB143)&amp;"")</f>
        <v/>
      </c>
      <c r="Z143">
        <f>IF($AB143="","",INDEX(상세표[성명],$AB143)&amp;"")</f>
        <v/>
      </c>
      <c r="AA143">
        <f>IF($AB143="","",SUMIFS(상세표[기록 시간외],상세표[사번키],INDEX(상세표[사번키],$AB143),상세표[반영월],대상월키))</f>
        <v/>
      </c>
      <c r="AB143" s="4">
        <f>IFERROR(MATCH(138,상세표[합계없음순번],0),"")</f>
        <v/>
      </c>
    </row>
    <row r="144">
      <c r="A144">
        <f>IF($W144="","",INDEX(합계표[사번],$W144)&amp;"")</f>
        <v/>
      </c>
      <c r="B144">
        <f>IF($W144="","",INDEX(합계표[성명],$W144)&amp;"")</f>
        <v/>
      </c>
      <c r="C144">
        <f>IF($W144="","",INDEX(합계표[부서],$W144)&amp;"")</f>
        <v/>
      </c>
      <c r="D144">
        <f>IF($W144="","",INDEX(합계표[직위(통합)],$W144)&amp;"")</f>
        <v/>
      </c>
      <c r="E144">
        <f>IF($W144="","",SUMIFS(합계표[시스템 합계],합계표[사번키],INDEX(합계표[사번키],$W144)))</f>
        <v/>
      </c>
      <c r="F144">
        <f>IF($W144="","",SUMIFS(상세표[기록 시간외],상세표[사번키],INDEX(합계표[사번키],$W144),상세표[기록월],대상월키))</f>
        <v/>
      </c>
      <c r="G144">
        <f>IF($W144="","",IF(ABS($E144-$F144)&lt;0.01,"일치","불일치(차이 "&amp;TEXT($F144-$E144,"0.00")&amp;")"))</f>
        <v/>
      </c>
      <c r="H144">
        <f>IF($W144="","",SUMIFS(상세표[기록 시간외],상세표[사번키],INDEX(합계표[사번키],$W144),상세표[기록월],대상월키,상세표[반영월],"&lt;&gt;"&amp;대상월키))</f>
        <v/>
      </c>
      <c r="I144">
        <f>IF($W144="","",SUMIFS(상세표[기록 시간외],상세표[사번키],INDEX(합계표[사번키],$W144),상세표[기록월],"&lt;&gt;"&amp;대상월키,상세표[반영월],대상월키))</f>
        <v/>
      </c>
      <c r="J144">
        <f>IF($W144="","",SUMIFS(상세표[기록 시간외],상세표[사번키],INDEX(합계표[사번키],$W144),상세표[반영월],대상월키))</f>
        <v/>
      </c>
      <c r="K144">
        <f>IF($W144="","",IFERROR(INDEX(월별근무지표[적용 급여병원],MATCH(INDEX(합계표[사번키],$W144)&amp;"|"&amp;대상월키,월별근무지표[키],0))&amp;"",IF(COUNTIF(기관표[사번키],INDEX(합계표[사번키],$W144))+COUNTIF(월별근무지표[사번키],INDEX(합계표[사번키],$W144))&gt;0,IFERROR(INDEX(기관표[급여지급병원(기준월)],MATCH(INDEX(합계표[사번키],$W144)&amp;"|"&amp;대상월키,기관표[키],0))&amp;"","—"),"—")))</f>
        <v/>
      </c>
      <c r="L144">
        <f>IF($W144="","",IF(NOT(COUNTIF(기관표[사번키],INDEX(합계표[사번키],$W144))+COUNTIF(월별근무지표[사번키],INDEX(합계표[사번키],$W144))&gt;0),"기관명단에 없음(다른 병원으로 발송)",IF($K144="—","대상월 기관명단 없음(추가 필요)",IF($K144="서울병원","해당","비해당"))))</f>
        <v/>
      </c>
      <c r="M144">
        <f>IF($W144="","",SUMIFS(상세표[06~07시],상세표[사번키],INDEX(합계표[사번키],$W144),상세표[반영월],대상월키,상세표[반영 기관],"서울병원"))</f>
        <v/>
      </c>
      <c r="N144">
        <f>IF($W144="","",SUMIFS(상세표[07~18시],상세표[사번키],INDEX(합계표[사번키],$W144),상세표[반영월],대상월키,상세표[반영 기관],"서울병원"))</f>
        <v/>
      </c>
      <c r="O144">
        <f>IF($W144="","",SUMIFS(상세표[18~22시],상세표[사번키],INDEX(합계표[사번키],$W144),상세표[반영월],대상월키,상세표[반영 기관],"서울병원"))</f>
        <v/>
      </c>
      <c r="P144">
        <f>IF($W144="","",SUMIFS(상세표[22~06시],상세표[사번키],INDEX(합계표[사번키],$W144),상세표[반영월],대상월키,상세표[반영 기관],"서울병원"))</f>
        <v/>
      </c>
      <c r="Q144">
        <f>IF($W144="","",SUM($M144:$P144))</f>
        <v/>
      </c>
      <c r="R144">
        <f>IF($W144="","",COUNTIFS(상세표[사번키],INDEX(합계표[사번키],$W144),상세표[반영월],대상월키,상세표[야간당직],1,상세표[야간 구분],"평일"))</f>
        <v/>
      </c>
      <c r="S144" s="4">
        <f>IF($W144="","",COUNTIFS(상세표[사번키],INDEX(합계표[사번키],$W144),상세표[반영월],대상월키,상세표[야간당직],1,상세표[야간 구분],"휴일"))</f>
        <v/>
      </c>
      <c r="T144">
        <f>IF($W144="","",COUNTIFS(상세표[사번키],INDEX(합계표[사번키],$W144),상세표[반영월],대상월키,상세표[야간당직],1,상세표[야간 구분],"평일",상세표[반영 기관],"서울병원"))</f>
        <v/>
      </c>
      <c r="U144">
        <f>IF($W144="","",COUNTIFS(상세표[사번키],INDEX(합계표[사번키],$W144),상세표[반영월],대상월키,상세표[야간당직],1,상세표[야간 구분],"휴일",상세표[반영 기관],"서울병원"))</f>
        <v/>
      </c>
      <c r="V144">
        <f>IF($W144="","",IF(ISNUMBER(MATCH(INDEX(합계표[사번키],$W144)&amp;"|"&amp;대상월키,월별근무지표[키],0)),"직접 입력",IF($K144="—","—","기관명단")))</f>
        <v/>
      </c>
      <c r="W144">
        <f>IFERROR(MATCH(139,합계표[판정순번],0),"")</f>
        <v/>
      </c>
      <c r="Y144">
        <f>IF($AB144="","",INDEX(상세표[사번],$AB144)&amp;"")</f>
        <v/>
      </c>
      <c r="Z144">
        <f>IF($AB144="","",INDEX(상세표[성명],$AB144)&amp;"")</f>
        <v/>
      </c>
      <c r="AA144">
        <f>IF($AB144="","",SUMIFS(상세표[기록 시간외],상세표[사번키],INDEX(상세표[사번키],$AB144),상세표[반영월],대상월키))</f>
        <v/>
      </c>
      <c r="AB144" s="4">
        <f>IFERROR(MATCH(139,상세표[합계없음순번],0),"")</f>
        <v/>
      </c>
    </row>
    <row r="145">
      <c r="A145">
        <f>IF($W145="","",INDEX(합계표[사번],$W145)&amp;"")</f>
        <v/>
      </c>
      <c r="B145">
        <f>IF($W145="","",INDEX(합계표[성명],$W145)&amp;"")</f>
        <v/>
      </c>
      <c r="C145">
        <f>IF($W145="","",INDEX(합계표[부서],$W145)&amp;"")</f>
        <v/>
      </c>
      <c r="D145">
        <f>IF($W145="","",INDEX(합계표[직위(통합)],$W145)&amp;"")</f>
        <v/>
      </c>
      <c r="E145">
        <f>IF($W145="","",SUMIFS(합계표[시스템 합계],합계표[사번키],INDEX(합계표[사번키],$W145)))</f>
        <v/>
      </c>
      <c r="F145">
        <f>IF($W145="","",SUMIFS(상세표[기록 시간외],상세표[사번키],INDEX(합계표[사번키],$W145),상세표[기록월],대상월키))</f>
        <v/>
      </c>
      <c r="G145">
        <f>IF($W145="","",IF(ABS($E145-$F145)&lt;0.01,"일치","불일치(차이 "&amp;TEXT($F145-$E145,"0.00")&amp;")"))</f>
        <v/>
      </c>
      <c r="H145">
        <f>IF($W145="","",SUMIFS(상세표[기록 시간외],상세표[사번키],INDEX(합계표[사번키],$W145),상세표[기록월],대상월키,상세표[반영월],"&lt;&gt;"&amp;대상월키))</f>
        <v/>
      </c>
      <c r="I145">
        <f>IF($W145="","",SUMIFS(상세표[기록 시간외],상세표[사번키],INDEX(합계표[사번키],$W145),상세표[기록월],"&lt;&gt;"&amp;대상월키,상세표[반영월],대상월키))</f>
        <v/>
      </c>
      <c r="J145">
        <f>IF($W145="","",SUMIFS(상세표[기록 시간외],상세표[사번키],INDEX(합계표[사번키],$W145),상세표[반영월],대상월키))</f>
        <v/>
      </c>
      <c r="K145">
        <f>IF($W145="","",IFERROR(INDEX(월별근무지표[적용 급여병원],MATCH(INDEX(합계표[사번키],$W145)&amp;"|"&amp;대상월키,월별근무지표[키],0))&amp;"",IF(COUNTIF(기관표[사번키],INDEX(합계표[사번키],$W145))+COUNTIF(월별근무지표[사번키],INDEX(합계표[사번키],$W145))&gt;0,IFERROR(INDEX(기관표[급여지급병원(기준월)],MATCH(INDEX(합계표[사번키],$W145)&amp;"|"&amp;대상월키,기관표[키],0))&amp;"","—"),"—")))</f>
        <v/>
      </c>
      <c r="L145">
        <f>IF($W145="","",IF(NOT(COUNTIF(기관표[사번키],INDEX(합계표[사번키],$W145))+COUNTIF(월별근무지표[사번키],INDEX(합계표[사번키],$W145))&gt;0),"기관명단에 없음(다른 병원으로 발송)",IF($K145="—","대상월 기관명단 없음(추가 필요)",IF($K145="서울병원","해당","비해당"))))</f>
        <v/>
      </c>
      <c r="M145">
        <f>IF($W145="","",SUMIFS(상세표[06~07시],상세표[사번키],INDEX(합계표[사번키],$W145),상세표[반영월],대상월키,상세표[반영 기관],"서울병원"))</f>
        <v/>
      </c>
      <c r="N145">
        <f>IF($W145="","",SUMIFS(상세표[07~18시],상세표[사번키],INDEX(합계표[사번키],$W145),상세표[반영월],대상월키,상세표[반영 기관],"서울병원"))</f>
        <v/>
      </c>
      <c r="O145">
        <f>IF($W145="","",SUMIFS(상세표[18~22시],상세표[사번키],INDEX(합계표[사번키],$W145),상세표[반영월],대상월키,상세표[반영 기관],"서울병원"))</f>
        <v/>
      </c>
      <c r="P145">
        <f>IF($W145="","",SUMIFS(상세표[22~06시],상세표[사번키],INDEX(합계표[사번키],$W145),상세표[반영월],대상월키,상세표[반영 기관],"서울병원"))</f>
        <v/>
      </c>
      <c r="Q145">
        <f>IF($W145="","",SUM($M145:$P145))</f>
        <v/>
      </c>
      <c r="R145">
        <f>IF($W145="","",COUNTIFS(상세표[사번키],INDEX(합계표[사번키],$W145),상세표[반영월],대상월키,상세표[야간당직],1,상세표[야간 구분],"평일"))</f>
        <v/>
      </c>
      <c r="S145" s="4">
        <f>IF($W145="","",COUNTIFS(상세표[사번키],INDEX(합계표[사번키],$W145),상세표[반영월],대상월키,상세표[야간당직],1,상세표[야간 구분],"휴일"))</f>
        <v/>
      </c>
      <c r="T145">
        <f>IF($W145="","",COUNTIFS(상세표[사번키],INDEX(합계표[사번키],$W145),상세표[반영월],대상월키,상세표[야간당직],1,상세표[야간 구분],"평일",상세표[반영 기관],"서울병원"))</f>
        <v/>
      </c>
      <c r="U145">
        <f>IF($W145="","",COUNTIFS(상세표[사번키],INDEX(합계표[사번키],$W145),상세표[반영월],대상월키,상세표[야간당직],1,상세표[야간 구분],"휴일",상세표[반영 기관],"서울병원"))</f>
        <v/>
      </c>
      <c r="V145">
        <f>IF($W145="","",IF(ISNUMBER(MATCH(INDEX(합계표[사번키],$W145)&amp;"|"&amp;대상월키,월별근무지표[키],0)),"직접 입력",IF($K145="—","—","기관명단")))</f>
        <v/>
      </c>
      <c r="W145">
        <f>IFERROR(MATCH(140,합계표[판정순번],0),"")</f>
        <v/>
      </c>
      <c r="Y145">
        <f>IF($AB145="","",INDEX(상세표[사번],$AB145)&amp;"")</f>
        <v/>
      </c>
      <c r="Z145">
        <f>IF($AB145="","",INDEX(상세표[성명],$AB145)&amp;"")</f>
        <v/>
      </c>
      <c r="AA145">
        <f>IF($AB145="","",SUMIFS(상세표[기록 시간외],상세표[사번키],INDEX(상세표[사번키],$AB145),상세표[반영월],대상월키))</f>
        <v/>
      </c>
      <c r="AB145" s="4">
        <f>IFERROR(MATCH(140,상세표[합계없음순번],0),"")</f>
        <v/>
      </c>
    </row>
    <row r="146">
      <c r="A146">
        <f>IF($W146="","",INDEX(합계표[사번],$W146)&amp;"")</f>
        <v/>
      </c>
      <c r="B146">
        <f>IF($W146="","",INDEX(합계표[성명],$W146)&amp;"")</f>
        <v/>
      </c>
      <c r="C146">
        <f>IF($W146="","",INDEX(합계표[부서],$W146)&amp;"")</f>
        <v/>
      </c>
      <c r="D146">
        <f>IF($W146="","",INDEX(합계표[직위(통합)],$W146)&amp;"")</f>
        <v/>
      </c>
      <c r="E146">
        <f>IF($W146="","",SUMIFS(합계표[시스템 합계],합계표[사번키],INDEX(합계표[사번키],$W146)))</f>
        <v/>
      </c>
      <c r="F146">
        <f>IF($W146="","",SUMIFS(상세표[기록 시간외],상세표[사번키],INDEX(합계표[사번키],$W146),상세표[기록월],대상월키))</f>
        <v/>
      </c>
      <c r="G146">
        <f>IF($W146="","",IF(ABS($E146-$F146)&lt;0.01,"일치","불일치(차이 "&amp;TEXT($F146-$E146,"0.00")&amp;")"))</f>
        <v/>
      </c>
      <c r="H146">
        <f>IF($W146="","",SUMIFS(상세표[기록 시간외],상세표[사번키],INDEX(합계표[사번키],$W146),상세표[기록월],대상월키,상세표[반영월],"&lt;&gt;"&amp;대상월키))</f>
        <v/>
      </c>
      <c r="I146">
        <f>IF($W146="","",SUMIFS(상세표[기록 시간외],상세표[사번키],INDEX(합계표[사번키],$W146),상세표[기록월],"&lt;&gt;"&amp;대상월키,상세표[반영월],대상월키))</f>
        <v/>
      </c>
      <c r="J146">
        <f>IF($W146="","",SUMIFS(상세표[기록 시간외],상세표[사번키],INDEX(합계표[사번키],$W146),상세표[반영월],대상월키))</f>
        <v/>
      </c>
      <c r="K146">
        <f>IF($W146="","",IFERROR(INDEX(월별근무지표[적용 급여병원],MATCH(INDEX(합계표[사번키],$W146)&amp;"|"&amp;대상월키,월별근무지표[키],0))&amp;"",IF(COUNTIF(기관표[사번키],INDEX(합계표[사번키],$W146))+COUNTIF(월별근무지표[사번키],INDEX(합계표[사번키],$W146))&gt;0,IFERROR(INDEX(기관표[급여지급병원(기준월)],MATCH(INDEX(합계표[사번키],$W146)&amp;"|"&amp;대상월키,기관표[키],0))&amp;"","—"),"—")))</f>
        <v/>
      </c>
      <c r="L146">
        <f>IF($W146="","",IF(NOT(COUNTIF(기관표[사번키],INDEX(합계표[사번키],$W146))+COUNTIF(월별근무지표[사번키],INDEX(합계표[사번키],$W146))&gt;0),"기관명단에 없음(다른 병원으로 발송)",IF($K146="—","대상월 기관명단 없음(추가 필요)",IF($K146="서울병원","해당","비해당"))))</f>
        <v/>
      </c>
      <c r="M146">
        <f>IF($W146="","",SUMIFS(상세표[06~07시],상세표[사번키],INDEX(합계표[사번키],$W146),상세표[반영월],대상월키,상세표[반영 기관],"서울병원"))</f>
        <v/>
      </c>
      <c r="N146">
        <f>IF($W146="","",SUMIFS(상세표[07~18시],상세표[사번키],INDEX(합계표[사번키],$W146),상세표[반영월],대상월키,상세표[반영 기관],"서울병원"))</f>
        <v/>
      </c>
      <c r="O146">
        <f>IF($W146="","",SUMIFS(상세표[18~22시],상세표[사번키],INDEX(합계표[사번키],$W146),상세표[반영월],대상월키,상세표[반영 기관],"서울병원"))</f>
        <v/>
      </c>
      <c r="P146">
        <f>IF($W146="","",SUMIFS(상세표[22~06시],상세표[사번키],INDEX(합계표[사번키],$W146),상세표[반영월],대상월키,상세표[반영 기관],"서울병원"))</f>
        <v/>
      </c>
      <c r="Q146">
        <f>IF($W146="","",SUM($M146:$P146))</f>
        <v/>
      </c>
      <c r="R146">
        <f>IF($W146="","",COUNTIFS(상세표[사번키],INDEX(합계표[사번키],$W146),상세표[반영월],대상월키,상세표[야간당직],1,상세표[야간 구분],"평일"))</f>
        <v/>
      </c>
      <c r="S146" s="4">
        <f>IF($W146="","",COUNTIFS(상세표[사번키],INDEX(합계표[사번키],$W146),상세표[반영월],대상월키,상세표[야간당직],1,상세표[야간 구분],"휴일"))</f>
        <v/>
      </c>
      <c r="T146">
        <f>IF($W146="","",COUNTIFS(상세표[사번키],INDEX(합계표[사번키],$W146),상세표[반영월],대상월키,상세표[야간당직],1,상세표[야간 구분],"평일",상세표[반영 기관],"서울병원"))</f>
        <v/>
      </c>
      <c r="U146">
        <f>IF($W146="","",COUNTIFS(상세표[사번키],INDEX(합계표[사번키],$W146),상세표[반영월],대상월키,상세표[야간당직],1,상세표[야간 구분],"휴일",상세표[반영 기관],"서울병원"))</f>
        <v/>
      </c>
      <c r="V146">
        <f>IF($W146="","",IF(ISNUMBER(MATCH(INDEX(합계표[사번키],$W146)&amp;"|"&amp;대상월키,월별근무지표[키],0)),"직접 입력",IF($K146="—","—","기관명단")))</f>
        <v/>
      </c>
      <c r="W146">
        <f>IFERROR(MATCH(141,합계표[판정순번],0),"")</f>
        <v/>
      </c>
      <c r="Y146">
        <f>IF($AB146="","",INDEX(상세표[사번],$AB146)&amp;"")</f>
        <v/>
      </c>
      <c r="Z146">
        <f>IF($AB146="","",INDEX(상세표[성명],$AB146)&amp;"")</f>
        <v/>
      </c>
      <c r="AA146">
        <f>IF($AB146="","",SUMIFS(상세표[기록 시간외],상세표[사번키],INDEX(상세표[사번키],$AB146),상세표[반영월],대상월키))</f>
        <v/>
      </c>
      <c r="AB146" s="4">
        <f>IFERROR(MATCH(141,상세표[합계없음순번],0),"")</f>
        <v/>
      </c>
    </row>
    <row r="147">
      <c r="A147">
        <f>IF($W147="","",INDEX(합계표[사번],$W147)&amp;"")</f>
        <v/>
      </c>
      <c r="B147">
        <f>IF($W147="","",INDEX(합계표[성명],$W147)&amp;"")</f>
        <v/>
      </c>
      <c r="C147">
        <f>IF($W147="","",INDEX(합계표[부서],$W147)&amp;"")</f>
        <v/>
      </c>
      <c r="D147">
        <f>IF($W147="","",INDEX(합계표[직위(통합)],$W147)&amp;"")</f>
        <v/>
      </c>
      <c r="E147">
        <f>IF($W147="","",SUMIFS(합계표[시스템 합계],합계표[사번키],INDEX(합계표[사번키],$W147)))</f>
        <v/>
      </c>
      <c r="F147">
        <f>IF($W147="","",SUMIFS(상세표[기록 시간외],상세표[사번키],INDEX(합계표[사번키],$W147),상세표[기록월],대상월키))</f>
        <v/>
      </c>
      <c r="G147">
        <f>IF($W147="","",IF(ABS($E147-$F147)&lt;0.01,"일치","불일치(차이 "&amp;TEXT($F147-$E147,"0.00")&amp;")"))</f>
        <v/>
      </c>
      <c r="H147">
        <f>IF($W147="","",SUMIFS(상세표[기록 시간외],상세표[사번키],INDEX(합계표[사번키],$W147),상세표[기록월],대상월키,상세표[반영월],"&lt;&gt;"&amp;대상월키))</f>
        <v/>
      </c>
      <c r="I147">
        <f>IF($W147="","",SUMIFS(상세표[기록 시간외],상세표[사번키],INDEX(합계표[사번키],$W147),상세표[기록월],"&lt;&gt;"&amp;대상월키,상세표[반영월],대상월키))</f>
        <v/>
      </c>
      <c r="J147">
        <f>IF($W147="","",SUMIFS(상세표[기록 시간외],상세표[사번키],INDEX(합계표[사번키],$W147),상세표[반영월],대상월키))</f>
        <v/>
      </c>
      <c r="K147">
        <f>IF($W147="","",IFERROR(INDEX(월별근무지표[적용 급여병원],MATCH(INDEX(합계표[사번키],$W147)&amp;"|"&amp;대상월키,월별근무지표[키],0))&amp;"",IF(COUNTIF(기관표[사번키],INDEX(합계표[사번키],$W147))+COUNTIF(월별근무지표[사번키],INDEX(합계표[사번키],$W147))&gt;0,IFERROR(INDEX(기관표[급여지급병원(기준월)],MATCH(INDEX(합계표[사번키],$W147)&amp;"|"&amp;대상월키,기관표[키],0))&amp;"","—"),"—")))</f>
        <v/>
      </c>
      <c r="L147">
        <f>IF($W147="","",IF(NOT(COUNTIF(기관표[사번키],INDEX(합계표[사번키],$W147))+COUNTIF(월별근무지표[사번키],INDEX(합계표[사번키],$W147))&gt;0),"기관명단에 없음(다른 병원으로 발송)",IF($K147="—","대상월 기관명단 없음(추가 필요)",IF($K147="서울병원","해당","비해당"))))</f>
        <v/>
      </c>
      <c r="M147">
        <f>IF($W147="","",SUMIFS(상세표[06~07시],상세표[사번키],INDEX(합계표[사번키],$W147),상세표[반영월],대상월키,상세표[반영 기관],"서울병원"))</f>
        <v/>
      </c>
      <c r="N147">
        <f>IF($W147="","",SUMIFS(상세표[07~18시],상세표[사번키],INDEX(합계표[사번키],$W147),상세표[반영월],대상월키,상세표[반영 기관],"서울병원"))</f>
        <v/>
      </c>
      <c r="O147">
        <f>IF($W147="","",SUMIFS(상세표[18~22시],상세표[사번키],INDEX(합계표[사번키],$W147),상세표[반영월],대상월키,상세표[반영 기관],"서울병원"))</f>
        <v/>
      </c>
      <c r="P147">
        <f>IF($W147="","",SUMIFS(상세표[22~06시],상세표[사번키],INDEX(합계표[사번키],$W147),상세표[반영월],대상월키,상세표[반영 기관],"서울병원"))</f>
        <v/>
      </c>
      <c r="Q147">
        <f>IF($W147="","",SUM($M147:$P147))</f>
        <v/>
      </c>
      <c r="R147">
        <f>IF($W147="","",COUNTIFS(상세표[사번키],INDEX(합계표[사번키],$W147),상세표[반영월],대상월키,상세표[야간당직],1,상세표[야간 구분],"평일"))</f>
        <v/>
      </c>
      <c r="S147" s="4">
        <f>IF($W147="","",COUNTIFS(상세표[사번키],INDEX(합계표[사번키],$W147),상세표[반영월],대상월키,상세표[야간당직],1,상세표[야간 구분],"휴일"))</f>
        <v/>
      </c>
      <c r="T147">
        <f>IF($W147="","",COUNTIFS(상세표[사번키],INDEX(합계표[사번키],$W147),상세표[반영월],대상월키,상세표[야간당직],1,상세표[야간 구분],"평일",상세표[반영 기관],"서울병원"))</f>
        <v/>
      </c>
      <c r="U147">
        <f>IF($W147="","",COUNTIFS(상세표[사번키],INDEX(합계표[사번키],$W147),상세표[반영월],대상월키,상세표[야간당직],1,상세표[야간 구분],"휴일",상세표[반영 기관],"서울병원"))</f>
        <v/>
      </c>
      <c r="V147">
        <f>IF($W147="","",IF(ISNUMBER(MATCH(INDEX(합계표[사번키],$W147)&amp;"|"&amp;대상월키,월별근무지표[키],0)),"직접 입력",IF($K147="—","—","기관명단")))</f>
        <v/>
      </c>
      <c r="W147">
        <f>IFERROR(MATCH(142,합계표[판정순번],0),"")</f>
        <v/>
      </c>
      <c r="Y147">
        <f>IF($AB147="","",INDEX(상세표[사번],$AB147)&amp;"")</f>
        <v/>
      </c>
      <c r="Z147">
        <f>IF($AB147="","",INDEX(상세표[성명],$AB147)&amp;"")</f>
        <v/>
      </c>
      <c r="AA147">
        <f>IF($AB147="","",SUMIFS(상세표[기록 시간외],상세표[사번키],INDEX(상세표[사번키],$AB147),상세표[반영월],대상월키))</f>
        <v/>
      </c>
      <c r="AB147" s="4">
        <f>IFERROR(MATCH(142,상세표[합계없음순번],0),"")</f>
        <v/>
      </c>
    </row>
    <row r="148">
      <c r="A148">
        <f>IF($W148="","",INDEX(합계표[사번],$W148)&amp;"")</f>
        <v/>
      </c>
      <c r="B148">
        <f>IF($W148="","",INDEX(합계표[성명],$W148)&amp;"")</f>
        <v/>
      </c>
      <c r="C148">
        <f>IF($W148="","",INDEX(합계표[부서],$W148)&amp;"")</f>
        <v/>
      </c>
      <c r="D148">
        <f>IF($W148="","",INDEX(합계표[직위(통합)],$W148)&amp;"")</f>
        <v/>
      </c>
      <c r="E148">
        <f>IF($W148="","",SUMIFS(합계표[시스템 합계],합계표[사번키],INDEX(합계표[사번키],$W148)))</f>
        <v/>
      </c>
      <c r="F148">
        <f>IF($W148="","",SUMIFS(상세표[기록 시간외],상세표[사번키],INDEX(합계표[사번키],$W148),상세표[기록월],대상월키))</f>
        <v/>
      </c>
      <c r="G148">
        <f>IF($W148="","",IF(ABS($E148-$F148)&lt;0.01,"일치","불일치(차이 "&amp;TEXT($F148-$E148,"0.00")&amp;")"))</f>
        <v/>
      </c>
      <c r="H148">
        <f>IF($W148="","",SUMIFS(상세표[기록 시간외],상세표[사번키],INDEX(합계표[사번키],$W148),상세표[기록월],대상월키,상세표[반영월],"&lt;&gt;"&amp;대상월키))</f>
        <v/>
      </c>
      <c r="I148">
        <f>IF($W148="","",SUMIFS(상세표[기록 시간외],상세표[사번키],INDEX(합계표[사번키],$W148),상세표[기록월],"&lt;&gt;"&amp;대상월키,상세표[반영월],대상월키))</f>
        <v/>
      </c>
      <c r="J148">
        <f>IF($W148="","",SUMIFS(상세표[기록 시간외],상세표[사번키],INDEX(합계표[사번키],$W148),상세표[반영월],대상월키))</f>
        <v/>
      </c>
      <c r="K148">
        <f>IF($W148="","",IFERROR(INDEX(월별근무지표[적용 급여병원],MATCH(INDEX(합계표[사번키],$W148)&amp;"|"&amp;대상월키,월별근무지표[키],0))&amp;"",IF(COUNTIF(기관표[사번키],INDEX(합계표[사번키],$W148))+COUNTIF(월별근무지표[사번키],INDEX(합계표[사번키],$W148))&gt;0,IFERROR(INDEX(기관표[급여지급병원(기준월)],MATCH(INDEX(합계표[사번키],$W148)&amp;"|"&amp;대상월키,기관표[키],0))&amp;"","—"),"—")))</f>
        <v/>
      </c>
      <c r="L148">
        <f>IF($W148="","",IF(NOT(COUNTIF(기관표[사번키],INDEX(합계표[사번키],$W148))+COUNTIF(월별근무지표[사번키],INDEX(합계표[사번키],$W148))&gt;0),"기관명단에 없음(다른 병원으로 발송)",IF($K148="—","대상월 기관명단 없음(추가 필요)",IF($K148="서울병원","해당","비해당"))))</f>
        <v/>
      </c>
      <c r="M148">
        <f>IF($W148="","",SUMIFS(상세표[06~07시],상세표[사번키],INDEX(합계표[사번키],$W148),상세표[반영월],대상월키,상세표[반영 기관],"서울병원"))</f>
        <v/>
      </c>
      <c r="N148">
        <f>IF($W148="","",SUMIFS(상세표[07~18시],상세표[사번키],INDEX(합계표[사번키],$W148),상세표[반영월],대상월키,상세표[반영 기관],"서울병원"))</f>
        <v/>
      </c>
      <c r="O148">
        <f>IF($W148="","",SUMIFS(상세표[18~22시],상세표[사번키],INDEX(합계표[사번키],$W148),상세표[반영월],대상월키,상세표[반영 기관],"서울병원"))</f>
        <v/>
      </c>
      <c r="P148">
        <f>IF($W148="","",SUMIFS(상세표[22~06시],상세표[사번키],INDEX(합계표[사번키],$W148),상세표[반영월],대상월키,상세표[반영 기관],"서울병원"))</f>
        <v/>
      </c>
      <c r="Q148">
        <f>IF($W148="","",SUM($M148:$P148))</f>
        <v/>
      </c>
      <c r="R148">
        <f>IF($W148="","",COUNTIFS(상세표[사번키],INDEX(합계표[사번키],$W148),상세표[반영월],대상월키,상세표[야간당직],1,상세표[야간 구분],"평일"))</f>
        <v/>
      </c>
      <c r="S148" s="4">
        <f>IF($W148="","",COUNTIFS(상세표[사번키],INDEX(합계표[사번키],$W148),상세표[반영월],대상월키,상세표[야간당직],1,상세표[야간 구분],"휴일"))</f>
        <v/>
      </c>
      <c r="T148">
        <f>IF($W148="","",COUNTIFS(상세표[사번키],INDEX(합계표[사번키],$W148),상세표[반영월],대상월키,상세표[야간당직],1,상세표[야간 구분],"평일",상세표[반영 기관],"서울병원"))</f>
        <v/>
      </c>
      <c r="U148">
        <f>IF($W148="","",COUNTIFS(상세표[사번키],INDEX(합계표[사번키],$W148),상세표[반영월],대상월키,상세표[야간당직],1,상세표[야간 구분],"휴일",상세표[반영 기관],"서울병원"))</f>
        <v/>
      </c>
      <c r="V148">
        <f>IF($W148="","",IF(ISNUMBER(MATCH(INDEX(합계표[사번키],$W148)&amp;"|"&amp;대상월키,월별근무지표[키],0)),"직접 입력",IF($K148="—","—","기관명단")))</f>
        <v/>
      </c>
      <c r="W148">
        <f>IFERROR(MATCH(143,합계표[판정순번],0),"")</f>
        <v/>
      </c>
      <c r="Y148">
        <f>IF($AB148="","",INDEX(상세표[사번],$AB148)&amp;"")</f>
        <v/>
      </c>
      <c r="Z148">
        <f>IF($AB148="","",INDEX(상세표[성명],$AB148)&amp;"")</f>
        <v/>
      </c>
      <c r="AA148">
        <f>IF($AB148="","",SUMIFS(상세표[기록 시간외],상세표[사번키],INDEX(상세표[사번키],$AB148),상세표[반영월],대상월키))</f>
        <v/>
      </c>
      <c r="AB148" s="4">
        <f>IFERROR(MATCH(143,상세표[합계없음순번],0),"")</f>
        <v/>
      </c>
    </row>
    <row r="149">
      <c r="A149">
        <f>IF($W149="","",INDEX(합계표[사번],$W149)&amp;"")</f>
        <v/>
      </c>
      <c r="B149">
        <f>IF($W149="","",INDEX(합계표[성명],$W149)&amp;"")</f>
        <v/>
      </c>
      <c r="C149">
        <f>IF($W149="","",INDEX(합계표[부서],$W149)&amp;"")</f>
        <v/>
      </c>
      <c r="D149">
        <f>IF($W149="","",INDEX(합계표[직위(통합)],$W149)&amp;"")</f>
        <v/>
      </c>
      <c r="E149">
        <f>IF($W149="","",SUMIFS(합계표[시스템 합계],합계표[사번키],INDEX(합계표[사번키],$W149)))</f>
        <v/>
      </c>
      <c r="F149">
        <f>IF($W149="","",SUMIFS(상세표[기록 시간외],상세표[사번키],INDEX(합계표[사번키],$W149),상세표[기록월],대상월키))</f>
        <v/>
      </c>
      <c r="G149">
        <f>IF($W149="","",IF(ABS($E149-$F149)&lt;0.01,"일치","불일치(차이 "&amp;TEXT($F149-$E149,"0.00")&amp;")"))</f>
        <v/>
      </c>
      <c r="H149">
        <f>IF($W149="","",SUMIFS(상세표[기록 시간외],상세표[사번키],INDEX(합계표[사번키],$W149),상세표[기록월],대상월키,상세표[반영월],"&lt;&gt;"&amp;대상월키))</f>
        <v/>
      </c>
      <c r="I149">
        <f>IF($W149="","",SUMIFS(상세표[기록 시간외],상세표[사번키],INDEX(합계표[사번키],$W149),상세표[기록월],"&lt;&gt;"&amp;대상월키,상세표[반영월],대상월키))</f>
        <v/>
      </c>
      <c r="J149">
        <f>IF($W149="","",SUMIFS(상세표[기록 시간외],상세표[사번키],INDEX(합계표[사번키],$W149),상세표[반영월],대상월키))</f>
        <v/>
      </c>
      <c r="K149">
        <f>IF($W149="","",IFERROR(INDEX(월별근무지표[적용 급여병원],MATCH(INDEX(합계표[사번키],$W149)&amp;"|"&amp;대상월키,월별근무지표[키],0))&amp;"",IF(COUNTIF(기관표[사번키],INDEX(합계표[사번키],$W149))+COUNTIF(월별근무지표[사번키],INDEX(합계표[사번키],$W149))&gt;0,IFERROR(INDEX(기관표[급여지급병원(기준월)],MATCH(INDEX(합계표[사번키],$W149)&amp;"|"&amp;대상월키,기관표[키],0))&amp;"","—"),"—")))</f>
        <v/>
      </c>
      <c r="L149">
        <f>IF($W149="","",IF(NOT(COUNTIF(기관표[사번키],INDEX(합계표[사번키],$W149))+COUNTIF(월별근무지표[사번키],INDEX(합계표[사번키],$W149))&gt;0),"기관명단에 없음(다른 병원으로 발송)",IF($K149="—","대상월 기관명단 없음(추가 필요)",IF($K149="서울병원","해당","비해당"))))</f>
        <v/>
      </c>
      <c r="M149">
        <f>IF($W149="","",SUMIFS(상세표[06~07시],상세표[사번키],INDEX(합계표[사번키],$W149),상세표[반영월],대상월키,상세표[반영 기관],"서울병원"))</f>
        <v/>
      </c>
      <c r="N149">
        <f>IF($W149="","",SUMIFS(상세표[07~18시],상세표[사번키],INDEX(합계표[사번키],$W149),상세표[반영월],대상월키,상세표[반영 기관],"서울병원"))</f>
        <v/>
      </c>
      <c r="O149">
        <f>IF($W149="","",SUMIFS(상세표[18~22시],상세표[사번키],INDEX(합계표[사번키],$W149),상세표[반영월],대상월키,상세표[반영 기관],"서울병원"))</f>
        <v/>
      </c>
      <c r="P149">
        <f>IF($W149="","",SUMIFS(상세표[22~06시],상세표[사번키],INDEX(합계표[사번키],$W149),상세표[반영월],대상월키,상세표[반영 기관],"서울병원"))</f>
        <v/>
      </c>
      <c r="Q149">
        <f>IF($W149="","",SUM($M149:$P149))</f>
        <v/>
      </c>
      <c r="R149">
        <f>IF($W149="","",COUNTIFS(상세표[사번키],INDEX(합계표[사번키],$W149),상세표[반영월],대상월키,상세표[야간당직],1,상세표[야간 구분],"평일"))</f>
        <v/>
      </c>
      <c r="S149" s="4">
        <f>IF($W149="","",COUNTIFS(상세표[사번키],INDEX(합계표[사번키],$W149),상세표[반영월],대상월키,상세표[야간당직],1,상세표[야간 구분],"휴일"))</f>
        <v/>
      </c>
      <c r="T149">
        <f>IF($W149="","",COUNTIFS(상세표[사번키],INDEX(합계표[사번키],$W149),상세표[반영월],대상월키,상세표[야간당직],1,상세표[야간 구분],"평일",상세표[반영 기관],"서울병원"))</f>
        <v/>
      </c>
      <c r="U149">
        <f>IF($W149="","",COUNTIFS(상세표[사번키],INDEX(합계표[사번키],$W149),상세표[반영월],대상월키,상세표[야간당직],1,상세표[야간 구분],"휴일",상세표[반영 기관],"서울병원"))</f>
        <v/>
      </c>
      <c r="V149">
        <f>IF($W149="","",IF(ISNUMBER(MATCH(INDEX(합계표[사번키],$W149)&amp;"|"&amp;대상월키,월별근무지표[키],0)),"직접 입력",IF($K149="—","—","기관명단")))</f>
        <v/>
      </c>
      <c r="W149">
        <f>IFERROR(MATCH(144,합계표[판정순번],0),"")</f>
        <v/>
      </c>
      <c r="Y149">
        <f>IF($AB149="","",INDEX(상세표[사번],$AB149)&amp;"")</f>
        <v/>
      </c>
      <c r="Z149">
        <f>IF($AB149="","",INDEX(상세표[성명],$AB149)&amp;"")</f>
        <v/>
      </c>
      <c r="AA149">
        <f>IF($AB149="","",SUMIFS(상세표[기록 시간외],상세표[사번키],INDEX(상세표[사번키],$AB149),상세표[반영월],대상월키))</f>
        <v/>
      </c>
      <c r="AB149" s="4">
        <f>IFERROR(MATCH(144,상세표[합계없음순번],0),"")</f>
        <v/>
      </c>
    </row>
    <row r="150">
      <c r="A150">
        <f>IF($W150="","",INDEX(합계표[사번],$W150)&amp;"")</f>
        <v/>
      </c>
      <c r="B150">
        <f>IF($W150="","",INDEX(합계표[성명],$W150)&amp;"")</f>
        <v/>
      </c>
      <c r="C150">
        <f>IF($W150="","",INDEX(합계표[부서],$W150)&amp;"")</f>
        <v/>
      </c>
      <c r="D150">
        <f>IF($W150="","",INDEX(합계표[직위(통합)],$W150)&amp;"")</f>
        <v/>
      </c>
      <c r="E150">
        <f>IF($W150="","",SUMIFS(합계표[시스템 합계],합계표[사번키],INDEX(합계표[사번키],$W150)))</f>
        <v/>
      </c>
      <c r="F150">
        <f>IF($W150="","",SUMIFS(상세표[기록 시간외],상세표[사번키],INDEX(합계표[사번키],$W150),상세표[기록월],대상월키))</f>
        <v/>
      </c>
      <c r="G150">
        <f>IF($W150="","",IF(ABS($E150-$F150)&lt;0.01,"일치","불일치(차이 "&amp;TEXT($F150-$E150,"0.00")&amp;")"))</f>
        <v/>
      </c>
      <c r="H150">
        <f>IF($W150="","",SUMIFS(상세표[기록 시간외],상세표[사번키],INDEX(합계표[사번키],$W150),상세표[기록월],대상월키,상세표[반영월],"&lt;&gt;"&amp;대상월키))</f>
        <v/>
      </c>
      <c r="I150">
        <f>IF($W150="","",SUMIFS(상세표[기록 시간외],상세표[사번키],INDEX(합계표[사번키],$W150),상세표[기록월],"&lt;&gt;"&amp;대상월키,상세표[반영월],대상월키))</f>
        <v/>
      </c>
      <c r="J150">
        <f>IF($W150="","",SUMIFS(상세표[기록 시간외],상세표[사번키],INDEX(합계표[사번키],$W150),상세표[반영월],대상월키))</f>
        <v/>
      </c>
      <c r="K150">
        <f>IF($W150="","",IFERROR(INDEX(월별근무지표[적용 급여병원],MATCH(INDEX(합계표[사번키],$W150)&amp;"|"&amp;대상월키,월별근무지표[키],0))&amp;"",IF(COUNTIF(기관표[사번키],INDEX(합계표[사번키],$W150))+COUNTIF(월별근무지표[사번키],INDEX(합계표[사번키],$W150))&gt;0,IFERROR(INDEX(기관표[급여지급병원(기준월)],MATCH(INDEX(합계표[사번키],$W150)&amp;"|"&amp;대상월키,기관표[키],0))&amp;"","—"),"—")))</f>
        <v/>
      </c>
      <c r="L150">
        <f>IF($W150="","",IF(NOT(COUNTIF(기관표[사번키],INDEX(합계표[사번키],$W150))+COUNTIF(월별근무지표[사번키],INDEX(합계표[사번키],$W150))&gt;0),"기관명단에 없음(다른 병원으로 발송)",IF($K150="—","대상월 기관명단 없음(추가 필요)",IF($K150="서울병원","해당","비해당"))))</f>
        <v/>
      </c>
      <c r="M150">
        <f>IF($W150="","",SUMIFS(상세표[06~07시],상세표[사번키],INDEX(합계표[사번키],$W150),상세표[반영월],대상월키,상세표[반영 기관],"서울병원"))</f>
        <v/>
      </c>
      <c r="N150">
        <f>IF($W150="","",SUMIFS(상세표[07~18시],상세표[사번키],INDEX(합계표[사번키],$W150),상세표[반영월],대상월키,상세표[반영 기관],"서울병원"))</f>
        <v/>
      </c>
      <c r="O150">
        <f>IF($W150="","",SUMIFS(상세표[18~22시],상세표[사번키],INDEX(합계표[사번키],$W150),상세표[반영월],대상월키,상세표[반영 기관],"서울병원"))</f>
        <v/>
      </c>
      <c r="P150">
        <f>IF($W150="","",SUMIFS(상세표[22~06시],상세표[사번키],INDEX(합계표[사번키],$W150),상세표[반영월],대상월키,상세표[반영 기관],"서울병원"))</f>
        <v/>
      </c>
      <c r="Q150">
        <f>IF($W150="","",SUM($M150:$P150))</f>
        <v/>
      </c>
      <c r="R150">
        <f>IF($W150="","",COUNTIFS(상세표[사번키],INDEX(합계표[사번키],$W150),상세표[반영월],대상월키,상세표[야간당직],1,상세표[야간 구분],"평일"))</f>
        <v/>
      </c>
      <c r="S150" s="4">
        <f>IF($W150="","",COUNTIFS(상세표[사번키],INDEX(합계표[사번키],$W150),상세표[반영월],대상월키,상세표[야간당직],1,상세표[야간 구분],"휴일"))</f>
        <v/>
      </c>
      <c r="T150">
        <f>IF($W150="","",COUNTIFS(상세표[사번키],INDEX(합계표[사번키],$W150),상세표[반영월],대상월키,상세표[야간당직],1,상세표[야간 구분],"평일",상세표[반영 기관],"서울병원"))</f>
        <v/>
      </c>
      <c r="U150">
        <f>IF($W150="","",COUNTIFS(상세표[사번키],INDEX(합계표[사번키],$W150),상세표[반영월],대상월키,상세표[야간당직],1,상세표[야간 구분],"휴일",상세표[반영 기관],"서울병원"))</f>
        <v/>
      </c>
      <c r="V150">
        <f>IF($W150="","",IF(ISNUMBER(MATCH(INDEX(합계표[사번키],$W150)&amp;"|"&amp;대상월키,월별근무지표[키],0)),"직접 입력",IF($K150="—","—","기관명단")))</f>
        <v/>
      </c>
      <c r="W150">
        <f>IFERROR(MATCH(145,합계표[판정순번],0),"")</f>
        <v/>
      </c>
      <c r="Y150">
        <f>IF($AB150="","",INDEX(상세표[사번],$AB150)&amp;"")</f>
        <v/>
      </c>
      <c r="Z150">
        <f>IF($AB150="","",INDEX(상세표[성명],$AB150)&amp;"")</f>
        <v/>
      </c>
      <c r="AA150">
        <f>IF($AB150="","",SUMIFS(상세표[기록 시간외],상세표[사번키],INDEX(상세표[사번키],$AB150),상세표[반영월],대상월키))</f>
        <v/>
      </c>
      <c r="AB150" s="4">
        <f>IFERROR(MATCH(145,상세표[합계없음순번],0),"")</f>
        <v/>
      </c>
    </row>
    <row r="151">
      <c r="A151">
        <f>IF($W151="","",INDEX(합계표[사번],$W151)&amp;"")</f>
        <v/>
      </c>
      <c r="B151">
        <f>IF($W151="","",INDEX(합계표[성명],$W151)&amp;"")</f>
        <v/>
      </c>
      <c r="C151">
        <f>IF($W151="","",INDEX(합계표[부서],$W151)&amp;"")</f>
        <v/>
      </c>
      <c r="D151">
        <f>IF($W151="","",INDEX(합계표[직위(통합)],$W151)&amp;"")</f>
        <v/>
      </c>
      <c r="E151">
        <f>IF($W151="","",SUMIFS(합계표[시스템 합계],합계표[사번키],INDEX(합계표[사번키],$W151)))</f>
        <v/>
      </c>
      <c r="F151">
        <f>IF($W151="","",SUMIFS(상세표[기록 시간외],상세표[사번키],INDEX(합계표[사번키],$W151),상세표[기록월],대상월키))</f>
        <v/>
      </c>
      <c r="G151">
        <f>IF($W151="","",IF(ABS($E151-$F151)&lt;0.01,"일치","불일치(차이 "&amp;TEXT($F151-$E151,"0.00")&amp;")"))</f>
        <v/>
      </c>
      <c r="H151">
        <f>IF($W151="","",SUMIFS(상세표[기록 시간외],상세표[사번키],INDEX(합계표[사번키],$W151),상세표[기록월],대상월키,상세표[반영월],"&lt;&gt;"&amp;대상월키))</f>
        <v/>
      </c>
      <c r="I151">
        <f>IF($W151="","",SUMIFS(상세표[기록 시간외],상세표[사번키],INDEX(합계표[사번키],$W151),상세표[기록월],"&lt;&gt;"&amp;대상월키,상세표[반영월],대상월키))</f>
        <v/>
      </c>
      <c r="J151">
        <f>IF($W151="","",SUMIFS(상세표[기록 시간외],상세표[사번키],INDEX(합계표[사번키],$W151),상세표[반영월],대상월키))</f>
        <v/>
      </c>
      <c r="K151">
        <f>IF($W151="","",IFERROR(INDEX(월별근무지표[적용 급여병원],MATCH(INDEX(합계표[사번키],$W151)&amp;"|"&amp;대상월키,월별근무지표[키],0))&amp;"",IF(COUNTIF(기관표[사번키],INDEX(합계표[사번키],$W151))+COUNTIF(월별근무지표[사번키],INDEX(합계표[사번키],$W151))&gt;0,IFERROR(INDEX(기관표[급여지급병원(기준월)],MATCH(INDEX(합계표[사번키],$W151)&amp;"|"&amp;대상월키,기관표[키],0))&amp;"","—"),"—")))</f>
        <v/>
      </c>
      <c r="L151">
        <f>IF($W151="","",IF(NOT(COUNTIF(기관표[사번키],INDEX(합계표[사번키],$W151))+COUNTIF(월별근무지표[사번키],INDEX(합계표[사번키],$W151))&gt;0),"기관명단에 없음(다른 병원으로 발송)",IF($K151="—","대상월 기관명단 없음(추가 필요)",IF($K151="서울병원","해당","비해당"))))</f>
        <v/>
      </c>
      <c r="M151">
        <f>IF($W151="","",SUMIFS(상세표[06~07시],상세표[사번키],INDEX(합계표[사번키],$W151),상세표[반영월],대상월키,상세표[반영 기관],"서울병원"))</f>
        <v/>
      </c>
      <c r="N151">
        <f>IF($W151="","",SUMIFS(상세표[07~18시],상세표[사번키],INDEX(합계표[사번키],$W151),상세표[반영월],대상월키,상세표[반영 기관],"서울병원"))</f>
        <v/>
      </c>
      <c r="O151">
        <f>IF($W151="","",SUMIFS(상세표[18~22시],상세표[사번키],INDEX(합계표[사번키],$W151),상세표[반영월],대상월키,상세표[반영 기관],"서울병원"))</f>
        <v/>
      </c>
      <c r="P151">
        <f>IF($W151="","",SUMIFS(상세표[22~06시],상세표[사번키],INDEX(합계표[사번키],$W151),상세표[반영월],대상월키,상세표[반영 기관],"서울병원"))</f>
        <v/>
      </c>
      <c r="Q151">
        <f>IF($W151="","",SUM($M151:$P151))</f>
        <v/>
      </c>
      <c r="R151">
        <f>IF($W151="","",COUNTIFS(상세표[사번키],INDEX(합계표[사번키],$W151),상세표[반영월],대상월키,상세표[야간당직],1,상세표[야간 구분],"평일"))</f>
        <v/>
      </c>
      <c r="S151" s="4">
        <f>IF($W151="","",COUNTIFS(상세표[사번키],INDEX(합계표[사번키],$W151),상세표[반영월],대상월키,상세표[야간당직],1,상세표[야간 구분],"휴일"))</f>
        <v/>
      </c>
      <c r="T151">
        <f>IF($W151="","",COUNTIFS(상세표[사번키],INDEX(합계표[사번키],$W151),상세표[반영월],대상월키,상세표[야간당직],1,상세표[야간 구분],"평일",상세표[반영 기관],"서울병원"))</f>
        <v/>
      </c>
      <c r="U151">
        <f>IF($W151="","",COUNTIFS(상세표[사번키],INDEX(합계표[사번키],$W151),상세표[반영월],대상월키,상세표[야간당직],1,상세표[야간 구분],"휴일",상세표[반영 기관],"서울병원"))</f>
        <v/>
      </c>
      <c r="V151">
        <f>IF($W151="","",IF(ISNUMBER(MATCH(INDEX(합계표[사번키],$W151)&amp;"|"&amp;대상월키,월별근무지표[키],0)),"직접 입력",IF($K151="—","—","기관명단")))</f>
        <v/>
      </c>
      <c r="W151">
        <f>IFERROR(MATCH(146,합계표[판정순번],0),"")</f>
        <v/>
      </c>
      <c r="Y151">
        <f>IF($AB151="","",INDEX(상세표[사번],$AB151)&amp;"")</f>
        <v/>
      </c>
      <c r="Z151">
        <f>IF($AB151="","",INDEX(상세표[성명],$AB151)&amp;"")</f>
        <v/>
      </c>
      <c r="AA151">
        <f>IF($AB151="","",SUMIFS(상세표[기록 시간외],상세표[사번키],INDEX(상세표[사번키],$AB151),상세표[반영월],대상월키))</f>
        <v/>
      </c>
      <c r="AB151" s="4">
        <f>IFERROR(MATCH(146,상세표[합계없음순번],0),"")</f>
        <v/>
      </c>
    </row>
    <row r="152">
      <c r="A152">
        <f>IF($W152="","",INDEX(합계표[사번],$W152)&amp;"")</f>
        <v/>
      </c>
      <c r="B152">
        <f>IF($W152="","",INDEX(합계표[성명],$W152)&amp;"")</f>
        <v/>
      </c>
      <c r="C152">
        <f>IF($W152="","",INDEX(합계표[부서],$W152)&amp;"")</f>
        <v/>
      </c>
      <c r="D152">
        <f>IF($W152="","",INDEX(합계표[직위(통합)],$W152)&amp;"")</f>
        <v/>
      </c>
      <c r="E152">
        <f>IF($W152="","",SUMIFS(합계표[시스템 합계],합계표[사번키],INDEX(합계표[사번키],$W152)))</f>
        <v/>
      </c>
      <c r="F152">
        <f>IF($W152="","",SUMIFS(상세표[기록 시간외],상세표[사번키],INDEX(합계표[사번키],$W152),상세표[기록월],대상월키))</f>
        <v/>
      </c>
      <c r="G152">
        <f>IF($W152="","",IF(ABS($E152-$F152)&lt;0.01,"일치","불일치(차이 "&amp;TEXT($F152-$E152,"0.00")&amp;")"))</f>
        <v/>
      </c>
      <c r="H152">
        <f>IF($W152="","",SUMIFS(상세표[기록 시간외],상세표[사번키],INDEX(합계표[사번키],$W152),상세표[기록월],대상월키,상세표[반영월],"&lt;&gt;"&amp;대상월키))</f>
        <v/>
      </c>
      <c r="I152">
        <f>IF($W152="","",SUMIFS(상세표[기록 시간외],상세표[사번키],INDEX(합계표[사번키],$W152),상세표[기록월],"&lt;&gt;"&amp;대상월키,상세표[반영월],대상월키))</f>
        <v/>
      </c>
      <c r="J152">
        <f>IF($W152="","",SUMIFS(상세표[기록 시간외],상세표[사번키],INDEX(합계표[사번키],$W152),상세표[반영월],대상월키))</f>
        <v/>
      </c>
      <c r="K152">
        <f>IF($W152="","",IFERROR(INDEX(월별근무지표[적용 급여병원],MATCH(INDEX(합계표[사번키],$W152)&amp;"|"&amp;대상월키,월별근무지표[키],0))&amp;"",IF(COUNTIF(기관표[사번키],INDEX(합계표[사번키],$W152))+COUNTIF(월별근무지표[사번키],INDEX(합계표[사번키],$W152))&gt;0,IFERROR(INDEX(기관표[급여지급병원(기준월)],MATCH(INDEX(합계표[사번키],$W152)&amp;"|"&amp;대상월키,기관표[키],0))&amp;"","—"),"—")))</f>
        <v/>
      </c>
      <c r="L152">
        <f>IF($W152="","",IF(NOT(COUNTIF(기관표[사번키],INDEX(합계표[사번키],$W152))+COUNTIF(월별근무지표[사번키],INDEX(합계표[사번키],$W152))&gt;0),"기관명단에 없음(다른 병원으로 발송)",IF($K152="—","대상월 기관명단 없음(추가 필요)",IF($K152="서울병원","해당","비해당"))))</f>
        <v/>
      </c>
      <c r="M152">
        <f>IF($W152="","",SUMIFS(상세표[06~07시],상세표[사번키],INDEX(합계표[사번키],$W152),상세표[반영월],대상월키,상세표[반영 기관],"서울병원"))</f>
        <v/>
      </c>
      <c r="N152">
        <f>IF($W152="","",SUMIFS(상세표[07~18시],상세표[사번키],INDEX(합계표[사번키],$W152),상세표[반영월],대상월키,상세표[반영 기관],"서울병원"))</f>
        <v/>
      </c>
      <c r="O152">
        <f>IF($W152="","",SUMIFS(상세표[18~22시],상세표[사번키],INDEX(합계표[사번키],$W152),상세표[반영월],대상월키,상세표[반영 기관],"서울병원"))</f>
        <v/>
      </c>
      <c r="P152">
        <f>IF($W152="","",SUMIFS(상세표[22~06시],상세표[사번키],INDEX(합계표[사번키],$W152),상세표[반영월],대상월키,상세표[반영 기관],"서울병원"))</f>
        <v/>
      </c>
      <c r="Q152">
        <f>IF($W152="","",SUM($M152:$P152))</f>
        <v/>
      </c>
      <c r="R152">
        <f>IF($W152="","",COUNTIFS(상세표[사번키],INDEX(합계표[사번키],$W152),상세표[반영월],대상월키,상세표[야간당직],1,상세표[야간 구분],"평일"))</f>
        <v/>
      </c>
      <c r="S152" s="4">
        <f>IF($W152="","",COUNTIFS(상세표[사번키],INDEX(합계표[사번키],$W152),상세표[반영월],대상월키,상세표[야간당직],1,상세표[야간 구분],"휴일"))</f>
        <v/>
      </c>
      <c r="T152">
        <f>IF($W152="","",COUNTIFS(상세표[사번키],INDEX(합계표[사번키],$W152),상세표[반영월],대상월키,상세표[야간당직],1,상세표[야간 구분],"평일",상세표[반영 기관],"서울병원"))</f>
        <v/>
      </c>
      <c r="U152">
        <f>IF($W152="","",COUNTIFS(상세표[사번키],INDEX(합계표[사번키],$W152),상세표[반영월],대상월키,상세표[야간당직],1,상세표[야간 구분],"휴일",상세표[반영 기관],"서울병원"))</f>
        <v/>
      </c>
      <c r="V152">
        <f>IF($W152="","",IF(ISNUMBER(MATCH(INDEX(합계표[사번키],$W152)&amp;"|"&amp;대상월키,월별근무지표[키],0)),"직접 입력",IF($K152="—","—","기관명단")))</f>
        <v/>
      </c>
      <c r="W152">
        <f>IFERROR(MATCH(147,합계표[판정순번],0),"")</f>
        <v/>
      </c>
      <c r="Y152">
        <f>IF($AB152="","",INDEX(상세표[사번],$AB152)&amp;"")</f>
        <v/>
      </c>
      <c r="Z152">
        <f>IF($AB152="","",INDEX(상세표[성명],$AB152)&amp;"")</f>
        <v/>
      </c>
      <c r="AA152">
        <f>IF($AB152="","",SUMIFS(상세표[기록 시간외],상세표[사번키],INDEX(상세표[사번키],$AB152),상세표[반영월],대상월키))</f>
        <v/>
      </c>
      <c r="AB152" s="4">
        <f>IFERROR(MATCH(147,상세표[합계없음순번],0),"")</f>
        <v/>
      </c>
    </row>
    <row r="153">
      <c r="A153">
        <f>IF($W153="","",INDEX(합계표[사번],$W153)&amp;"")</f>
        <v/>
      </c>
      <c r="B153">
        <f>IF($W153="","",INDEX(합계표[성명],$W153)&amp;"")</f>
        <v/>
      </c>
      <c r="C153">
        <f>IF($W153="","",INDEX(합계표[부서],$W153)&amp;"")</f>
        <v/>
      </c>
      <c r="D153">
        <f>IF($W153="","",INDEX(합계표[직위(통합)],$W153)&amp;"")</f>
        <v/>
      </c>
      <c r="E153">
        <f>IF($W153="","",SUMIFS(합계표[시스템 합계],합계표[사번키],INDEX(합계표[사번키],$W153)))</f>
        <v/>
      </c>
      <c r="F153">
        <f>IF($W153="","",SUMIFS(상세표[기록 시간외],상세표[사번키],INDEX(합계표[사번키],$W153),상세표[기록월],대상월키))</f>
        <v/>
      </c>
      <c r="G153">
        <f>IF($W153="","",IF(ABS($E153-$F153)&lt;0.01,"일치","불일치(차이 "&amp;TEXT($F153-$E153,"0.00")&amp;")"))</f>
        <v/>
      </c>
      <c r="H153">
        <f>IF($W153="","",SUMIFS(상세표[기록 시간외],상세표[사번키],INDEX(합계표[사번키],$W153),상세표[기록월],대상월키,상세표[반영월],"&lt;&gt;"&amp;대상월키))</f>
        <v/>
      </c>
      <c r="I153">
        <f>IF($W153="","",SUMIFS(상세표[기록 시간외],상세표[사번키],INDEX(합계표[사번키],$W153),상세표[기록월],"&lt;&gt;"&amp;대상월키,상세표[반영월],대상월키))</f>
        <v/>
      </c>
      <c r="J153">
        <f>IF($W153="","",SUMIFS(상세표[기록 시간외],상세표[사번키],INDEX(합계표[사번키],$W153),상세표[반영월],대상월키))</f>
        <v/>
      </c>
      <c r="K153">
        <f>IF($W153="","",IFERROR(INDEX(월별근무지표[적용 급여병원],MATCH(INDEX(합계표[사번키],$W153)&amp;"|"&amp;대상월키,월별근무지표[키],0))&amp;"",IF(COUNTIF(기관표[사번키],INDEX(합계표[사번키],$W153))+COUNTIF(월별근무지표[사번키],INDEX(합계표[사번키],$W153))&gt;0,IFERROR(INDEX(기관표[급여지급병원(기준월)],MATCH(INDEX(합계표[사번키],$W153)&amp;"|"&amp;대상월키,기관표[키],0))&amp;"","—"),"—")))</f>
        <v/>
      </c>
      <c r="L153">
        <f>IF($W153="","",IF(NOT(COUNTIF(기관표[사번키],INDEX(합계표[사번키],$W153))+COUNTIF(월별근무지표[사번키],INDEX(합계표[사번키],$W153))&gt;0),"기관명단에 없음(다른 병원으로 발송)",IF($K153="—","대상월 기관명단 없음(추가 필요)",IF($K153="서울병원","해당","비해당"))))</f>
        <v/>
      </c>
      <c r="M153">
        <f>IF($W153="","",SUMIFS(상세표[06~07시],상세표[사번키],INDEX(합계표[사번키],$W153),상세표[반영월],대상월키,상세표[반영 기관],"서울병원"))</f>
        <v/>
      </c>
      <c r="N153">
        <f>IF($W153="","",SUMIFS(상세표[07~18시],상세표[사번키],INDEX(합계표[사번키],$W153),상세표[반영월],대상월키,상세표[반영 기관],"서울병원"))</f>
        <v/>
      </c>
      <c r="O153">
        <f>IF($W153="","",SUMIFS(상세표[18~22시],상세표[사번키],INDEX(합계표[사번키],$W153),상세표[반영월],대상월키,상세표[반영 기관],"서울병원"))</f>
        <v/>
      </c>
      <c r="P153">
        <f>IF($W153="","",SUMIFS(상세표[22~06시],상세표[사번키],INDEX(합계표[사번키],$W153),상세표[반영월],대상월키,상세표[반영 기관],"서울병원"))</f>
        <v/>
      </c>
      <c r="Q153">
        <f>IF($W153="","",SUM($M153:$P153))</f>
        <v/>
      </c>
      <c r="R153">
        <f>IF($W153="","",COUNTIFS(상세표[사번키],INDEX(합계표[사번키],$W153),상세표[반영월],대상월키,상세표[야간당직],1,상세표[야간 구분],"평일"))</f>
        <v/>
      </c>
      <c r="S153" s="4">
        <f>IF($W153="","",COUNTIFS(상세표[사번키],INDEX(합계표[사번키],$W153),상세표[반영월],대상월키,상세표[야간당직],1,상세표[야간 구분],"휴일"))</f>
        <v/>
      </c>
      <c r="T153">
        <f>IF($W153="","",COUNTIFS(상세표[사번키],INDEX(합계표[사번키],$W153),상세표[반영월],대상월키,상세표[야간당직],1,상세표[야간 구분],"평일",상세표[반영 기관],"서울병원"))</f>
        <v/>
      </c>
      <c r="U153">
        <f>IF($W153="","",COUNTIFS(상세표[사번키],INDEX(합계표[사번키],$W153),상세표[반영월],대상월키,상세표[야간당직],1,상세표[야간 구분],"휴일",상세표[반영 기관],"서울병원"))</f>
        <v/>
      </c>
      <c r="V153">
        <f>IF($W153="","",IF(ISNUMBER(MATCH(INDEX(합계표[사번키],$W153)&amp;"|"&amp;대상월키,월별근무지표[키],0)),"직접 입력",IF($K153="—","—","기관명단")))</f>
        <v/>
      </c>
      <c r="W153">
        <f>IFERROR(MATCH(148,합계표[판정순번],0),"")</f>
        <v/>
      </c>
      <c r="Y153">
        <f>IF($AB153="","",INDEX(상세표[사번],$AB153)&amp;"")</f>
        <v/>
      </c>
      <c r="Z153">
        <f>IF($AB153="","",INDEX(상세표[성명],$AB153)&amp;"")</f>
        <v/>
      </c>
      <c r="AA153">
        <f>IF($AB153="","",SUMIFS(상세표[기록 시간외],상세표[사번키],INDEX(상세표[사번키],$AB153),상세표[반영월],대상월키))</f>
        <v/>
      </c>
      <c r="AB153" s="4">
        <f>IFERROR(MATCH(148,상세표[합계없음순번],0),"")</f>
        <v/>
      </c>
    </row>
    <row r="154">
      <c r="A154">
        <f>IF($W154="","",INDEX(합계표[사번],$W154)&amp;"")</f>
        <v/>
      </c>
      <c r="B154">
        <f>IF($W154="","",INDEX(합계표[성명],$W154)&amp;"")</f>
        <v/>
      </c>
      <c r="C154">
        <f>IF($W154="","",INDEX(합계표[부서],$W154)&amp;"")</f>
        <v/>
      </c>
      <c r="D154">
        <f>IF($W154="","",INDEX(합계표[직위(통합)],$W154)&amp;"")</f>
        <v/>
      </c>
      <c r="E154">
        <f>IF($W154="","",SUMIFS(합계표[시스템 합계],합계표[사번키],INDEX(합계표[사번키],$W154)))</f>
        <v/>
      </c>
      <c r="F154">
        <f>IF($W154="","",SUMIFS(상세표[기록 시간외],상세표[사번키],INDEX(합계표[사번키],$W154),상세표[기록월],대상월키))</f>
        <v/>
      </c>
      <c r="G154">
        <f>IF($W154="","",IF(ABS($E154-$F154)&lt;0.01,"일치","불일치(차이 "&amp;TEXT($F154-$E154,"0.00")&amp;")"))</f>
        <v/>
      </c>
      <c r="H154">
        <f>IF($W154="","",SUMIFS(상세표[기록 시간외],상세표[사번키],INDEX(합계표[사번키],$W154),상세표[기록월],대상월키,상세표[반영월],"&lt;&gt;"&amp;대상월키))</f>
        <v/>
      </c>
      <c r="I154">
        <f>IF($W154="","",SUMIFS(상세표[기록 시간외],상세표[사번키],INDEX(합계표[사번키],$W154),상세표[기록월],"&lt;&gt;"&amp;대상월키,상세표[반영월],대상월키))</f>
        <v/>
      </c>
      <c r="J154">
        <f>IF($W154="","",SUMIFS(상세표[기록 시간외],상세표[사번키],INDEX(합계표[사번키],$W154),상세표[반영월],대상월키))</f>
        <v/>
      </c>
      <c r="K154">
        <f>IF($W154="","",IFERROR(INDEX(월별근무지표[적용 급여병원],MATCH(INDEX(합계표[사번키],$W154)&amp;"|"&amp;대상월키,월별근무지표[키],0))&amp;"",IF(COUNTIF(기관표[사번키],INDEX(합계표[사번키],$W154))+COUNTIF(월별근무지표[사번키],INDEX(합계표[사번키],$W154))&gt;0,IFERROR(INDEX(기관표[급여지급병원(기준월)],MATCH(INDEX(합계표[사번키],$W154)&amp;"|"&amp;대상월키,기관표[키],0))&amp;"","—"),"—")))</f>
        <v/>
      </c>
      <c r="L154">
        <f>IF($W154="","",IF(NOT(COUNTIF(기관표[사번키],INDEX(합계표[사번키],$W154))+COUNTIF(월별근무지표[사번키],INDEX(합계표[사번키],$W154))&gt;0),"기관명단에 없음(다른 병원으로 발송)",IF($K154="—","대상월 기관명단 없음(추가 필요)",IF($K154="서울병원","해당","비해당"))))</f>
        <v/>
      </c>
      <c r="M154">
        <f>IF($W154="","",SUMIFS(상세표[06~07시],상세표[사번키],INDEX(합계표[사번키],$W154),상세표[반영월],대상월키,상세표[반영 기관],"서울병원"))</f>
        <v/>
      </c>
      <c r="N154">
        <f>IF($W154="","",SUMIFS(상세표[07~18시],상세표[사번키],INDEX(합계표[사번키],$W154),상세표[반영월],대상월키,상세표[반영 기관],"서울병원"))</f>
        <v/>
      </c>
      <c r="O154">
        <f>IF($W154="","",SUMIFS(상세표[18~22시],상세표[사번키],INDEX(합계표[사번키],$W154),상세표[반영월],대상월키,상세표[반영 기관],"서울병원"))</f>
        <v/>
      </c>
      <c r="P154">
        <f>IF($W154="","",SUMIFS(상세표[22~06시],상세표[사번키],INDEX(합계표[사번키],$W154),상세표[반영월],대상월키,상세표[반영 기관],"서울병원"))</f>
        <v/>
      </c>
      <c r="Q154">
        <f>IF($W154="","",SUM($M154:$P154))</f>
        <v/>
      </c>
      <c r="R154">
        <f>IF($W154="","",COUNTIFS(상세표[사번키],INDEX(합계표[사번키],$W154),상세표[반영월],대상월키,상세표[야간당직],1,상세표[야간 구분],"평일"))</f>
        <v/>
      </c>
      <c r="S154" s="4">
        <f>IF($W154="","",COUNTIFS(상세표[사번키],INDEX(합계표[사번키],$W154),상세표[반영월],대상월키,상세표[야간당직],1,상세표[야간 구분],"휴일"))</f>
        <v/>
      </c>
      <c r="T154">
        <f>IF($W154="","",COUNTIFS(상세표[사번키],INDEX(합계표[사번키],$W154),상세표[반영월],대상월키,상세표[야간당직],1,상세표[야간 구분],"평일",상세표[반영 기관],"서울병원"))</f>
        <v/>
      </c>
      <c r="U154">
        <f>IF($W154="","",COUNTIFS(상세표[사번키],INDEX(합계표[사번키],$W154),상세표[반영월],대상월키,상세표[야간당직],1,상세표[야간 구분],"휴일",상세표[반영 기관],"서울병원"))</f>
        <v/>
      </c>
      <c r="V154">
        <f>IF($W154="","",IF(ISNUMBER(MATCH(INDEX(합계표[사번키],$W154)&amp;"|"&amp;대상월키,월별근무지표[키],0)),"직접 입력",IF($K154="—","—","기관명단")))</f>
        <v/>
      </c>
      <c r="W154">
        <f>IFERROR(MATCH(149,합계표[판정순번],0),"")</f>
        <v/>
      </c>
      <c r="Y154">
        <f>IF($AB154="","",INDEX(상세표[사번],$AB154)&amp;"")</f>
        <v/>
      </c>
      <c r="Z154">
        <f>IF($AB154="","",INDEX(상세표[성명],$AB154)&amp;"")</f>
        <v/>
      </c>
      <c r="AA154">
        <f>IF($AB154="","",SUMIFS(상세표[기록 시간외],상세표[사번키],INDEX(상세표[사번키],$AB154),상세표[반영월],대상월키))</f>
        <v/>
      </c>
      <c r="AB154" s="4">
        <f>IFERROR(MATCH(149,상세표[합계없음순번],0),"")</f>
        <v/>
      </c>
    </row>
    <row r="155">
      <c r="A155">
        <f>IF($W155="","",INDEX(합계표[사번],$W155)&amp;"")</f>
        <v/>
      </c>
      <c r="B155">
        <f>IF($W155="","",INDEX(합계표[성명],$W155)&amp;"")</f>
        <v/>
      </c>
      <c r="C155">
        <f>IF($W155="","",INDEX(합계표[부서],$W155)&amp;"")</f>
        <v/>
      </c>
      <c r="D155">
        <f>IF($W155="","",INDEX(합계표[직위(통합)],$W155)&amp;"")</f>
        <v/>
      </c>
      <c r="E155">
        <f>IF($W155="","",SUMIFS(합계표[시스템 합계],합계표[사번키],INDEX(합계표[사번키],$W155)))</f>
        <v/>
      </c>
      <c r="F155">
        <f>IF($W155="","",SUMIFS(상세표[기록 시간외],상세표[사번키],INDEX(합계표[사번키],$W155),상세표[기록월],대상월키))</f>
        <v/>
      </c>
      <c r="G155">
        <f>IF($W155="","",IF(ABS($E155-$F155)&lt;0.01,"일치","불일치(차이 "&amp;TEXT($F155-$E155,"0.00")&amp;")"))</f>
        <v/>
      </c>
      <c r="H155">
        <f>IF($W155="","",SUMIFS(상세표[기록 시간외],상세표[사번키],INDEX(합계표[사번키],$W155),상세표[기록월],대상월키,상세표[반영월],"&lt;&gt;"&amp;대상월키))</f>
        <v/>
      </c>
      <c r="I155">
        <f>IF($W155="","",SUMIFS(상세표[기록 시간외],상세표[사번키],INDEX(합계표[사번키],$W155),상세표[기록월],"&lt;&gt;"&amp;대상월키,상세표[반영월],대상월키))</f>
        <v/>
      </c>
      <c r="J155">
        <f>IF($W155="","",SUMIFS(상세표[기록 시간외],상세표[사번키],INDEX(합계표[사번키],$W155),상세표[반영월],대상월키))</f>
        <v/>
      </c>
      <c r="K155">
        <f>IF($W155="","",IFERROR(INDEX(월별근무지표[적용 급여병원],MATCH(INDEX(합계표[사번키],$W155)&amp;"|"&amp;대상월키,월별근무지표[키],0))&amp;"",IF(COUNTIF(기관표[사번키],INDEX(합계표[사번키],$W155))+COUNTIF(월별근무지표[사번키],INDEX(합계표[사번키],$W155))&gt;0,IFERROR(INDEX(기관표[급여지급병원(기준월)],MATCH(INDEX(합계표[사번키],$W155)&amp;"|"&amp;대상월키,기관표[키],0))&amp;"","—"),"—")))</f>
        <v/>
      </c>
      <c r="L155">
        <f>IF($W155="","",IF(NOT(COUNTIF(기관표[사번키],INDEX(합계표[사번키],$W155))+COUNTIF(월별근무지표[사번키],INDEX(합계표[사번키],$W155))&gt;0),"기관명단에 없음(다른 병원으로 발송)",IF($K155="—","대상월 기관명단 없음(추가 필요)",IF($K155="서울병원","해당","비해당"))))</f>
        <v/>
      </c>
      <c r="M155">
        <f>IF($W155="","",SUMIFS(상세표[06~07시],상세표[사번키],INDEX(합계표[사번키],$W155),상세표[반영월],대상월키,상세표[반영 기관],"서울병원"))</f>
        <v/>
      </c>
      <c r="N155">
        <f>IF($W155="","",SUMIFS(상세표[07~18시],상세표[사번키],INDEX(합계표[사번키],$W155),상세표[반영월],대상월키,상세표[반영 기관],"서울병원"))</f>
        <v/>
      </c>
      <c r="O155">
        <f>IF($W155="","",SUMIFS(상세표[18~22시],상세표[사번키],INDEX(합계표[사번키],$W155),상세표[반영월],대상월키,상세표[반영 기관],"서울병원"))</f>
        <v/>
      </c>
      <c r="P155">
        <f>IF($W155="","",SUMIFS(상세표[22~06시],상세표[사번키],INDEX(합계표[사번키],$W155),상세표[반영월],대상월키,상세표[반영 기관],"서울병원"))</f>
        <v/>
      </c>
      <c r="Q155">
        <f>IF($W155="","",SUM($M155:$P155))</f>
        <v/>
      </c>
      <c r="R155">
        <f>IF($W155="","",COUNTIFS(상세표[사번키],INDEX(합계표[사번키],$W155),상세표[반영월],대상월키,상세표[야간당직],1,상세표[야간 구분],"평일"))</f>
        <v/>
      </c>
      <c r="S155" s="4">
        <f>IF($W155="","",COUNTIFS(상세표[사번키],INDEX(합계표[사번키],$W155),상세표[반영월],대상월키,상세표[야간당직],1,상세표[야간 구분],"휴일"))</f>
        <v/>
      </c>
      <c r="T155">
        <f>IF($W155="","",COUNTIFS(상세표[사번키],INDEX(합계표[사번키],$W155),상세표[반영월],대상월키,상세표[야간당직],1,상세표[야간 구분],"평일",상세표[반영 기관],"서울병원"))</f>
        <v/>
      </c>
      <c r="U155">
        <f>IF($W155="","",COUNTIFS(상세표[사번키],INDEX(합계표[사번키],$W155),상세표[반영월],대상월키,상세표[야간당직],1,상세표[야간 구분],"휴일",상세표[반영 기관],"서울병원"))</f>
        <v/>
      </c>
      <c r="V155">
        <f>IF($W155="","",IF(ISNUMBER(MATCH(INDEX(합계표[사번키],$W155)&amp;"|"&amp;대상월키,월별근무지표[키],0)),"직접 입력",IF($K155="—","—","기관명단")))</f>
        <v/>
      </c>
      <c r="W155">
        <f>IFERROR(MATCH(150,합계표[판정순번],0),"")</f>
        <v/>
      </c>
      <c r="Y155">
        <f>IF($AB155="","",INDEX(상세표[사번],$AB155)&amp;"")</f>
        <v/>
      </c>
      <c r="Z155">
        <f>IF($AB155="","",INDEX(상세표[성명],$AB155)&amp;"")</f>
        <v/>
      </c>
      <c r="AA155">
        <f>IF($AB155="","",SUMIFS(상세표[기록 시간외],상세표[사번키],INDEX(상세표[사번키],$AB155),상세표[반영월],대상월키))</f>
        <v/>
      </c>
      <c r="AB155" s="4">
        <f>IFERROR(MATCH(150,상세표[합계없음순번],0),"")</f>
        <v/>
      </c>
    </row>
    <row r="156">
      <c r="A156">
        <f>IF($W156="","",INDEX(합계표[사번],$W156)&amp;"")</f>
        <v/>
      </c>
      <c r="B156">
        <f>IF($W156="","",INDEX(합계표[성명],$W156)&amp;"")</f>
        <v/>
      </c>
      <c r="C156">
        <f>IF($W156="","",INDEX(합계표[부서],$W156)&amp;"")</f>
        <v/>
      </c>
      <c r="D156">
        <f>IF($W156="","",INDEX(합계표[직위(통합)],$W156)&amp;"")</f>
        <v/>
      </c>
      <c r="E156">
        <f>IF($W156="","",SUMIFS(합계표[시스템 합계],합계표[사번키],INDEX(합계표[사번키],$W156)))</f>
        <v/>
      </c>
      <c r="F156">
        <f>IF($W156="","",SUMIFS(상세표[기록 시간외],상세표[사번키],INDEX(합계표[사번키],$W156),상세표[기록월],대상월키))</f>
        <v/>
      </c>
      <c r="G156">
        <f>IF($W156="","",IF(ABS($E156-$F156)&lt;0.01,"일치","불일치(차이 "&amp;TEXT($F156-$E156,"0.00")&amp;")"))</f>
        <v/>
      </c>
      <c r="H156">
        <f>IF($W156="","",SUMIFS(상세표[기록 시간외],상세표[사번키],INDEX(합계표[사번키],$W156),상세표[기록월],대상월키,상세표[반영월],"&lt;&gt;"&amp;대상월키))</f>
        <v/>
      </c>
      <c r="I156">
        <f>IF($W156="","",SUMIFS(상세표[기록 시간외],상세표[사번키],INDEX(합계표[사번키],$W156),상세표[기록월],"&lt;&gt;"&amp;대상월키,상세표[반영월],대상월키))</f>
        <v/>
      </c>
      <c r="J156">
        <f>IF($W156="","",SUMIFS(상세표[기록 시간외],상세표[사번키],INDEX(합계표[사번키],$W156),상세표[반영월],대상월키))</f>
        <v/>
      </c>
      <c r="K156">
        <f>IF($W156="","",IFERROR(INDEX(월별근무지표[적용 급여병원],MATCH(INDEX(합계표[사번키],$W156)&amp;"|"&amp;대상월키,월별근무지표[키],0))&amp;"",IF(COUNTIF(기관표[사번키],INDEX(합계표[사번키],$W156))+COUNTIF(월별근무지표[사번키],INDEX(합계표[사번키],$W156))&gt;0,IFERROR(INDEX(기관표[급여지급병원(기준월)],MATCH(INDEX(합계표[사번키],$W156)&amp;"|"&amp;대상월키,기관표[키],0))&amp;"","—"),"—")))</f>
        <v/>
      </c>
      <c r="L156">
        <f>IF($W156="","",IF(NOT(COUNTIF(기관표[사번키],INDEX(합계표[사번키],$W156))+COUNTIF(월별근무지표[사번키],INDEX(합계표[사번키],$W156))&gt;0),"기관명단에 없음(다른 병원으로 발송)",IF($K156="—","대상월 기관명단 없음(추가 필요)",IF($K156="서울병원","해당","비해당"))))</f>
        <v/>
      </c>
      <c r="M156">
        <f>IF($W156="","",SUMIFS(상세표[06~07시],상세표[사번키],INDEX(합계표[사번키],$W156),상세표[반영월],대상월키,상세표[반영 기관],"서울병원"))</f>
        <v/>
      </c>
      <c r="N156">
        <f>IF($W156="","",SUMIFS(상세표[07~18시],상세표[사번키],INDEX(합계표[사번키],$W156),상세표[반영월],대상월키,상세표[반영 기관],"서울병원"))</f>
        <v/>
      </c>
      <c r="O156">
        <f>IF($W156="","",SUMIFS(상세표[18~22시],상세표[사번키],INDEX(합계표[사번키],$W156),상세표[반영월],대상월키,상세표[반영 기관],"서울병원"))</f>
        <v/>
      </c>
      <c r="P156">
        <f>IF($W156="","",SUMIFS(상세표[22~06시],상세표[사번키],INDEX(합계표[사번키],$W156),상세표[반영월],대상월키,상세표[반영 기관],"서울병원"))</f>
        <v/>
      </c>
      <c r="Q156">
        <f>IF($W156="","",SUM($M156:$P156))</f>
        <v/>
      </c>
      <c r="R156">
        <f>IF($W156="","",COUNTIFS(상세표[사번키],INDEX(합계표[사번키],$W156),상세표[반영월],대상월키,상세표[야간당직],1,상세표[야간 구분],"평일"))</f>
        <v/>
      </c>
      <c r="S156" s="4">
        <f>IF($W156="","",COUNTIFS(상세표[사번키],INDEX(합계표[사번키],$W156),상세표[반영월],대상월키,상세표[야간당직],1,상세표[야간 구분],"휴일"))</f>
        <v/>
      </c>
      <c r="T156">
        <f>IF($W156="","",COUNTIFS(상세표[사번키],INDEX(합계표[사번키],$W156),상세표[반영월],대상월키,상세표[야간당직],1,상세표[야간 구분],"평일",상세표[반영 기관],"서울병원"))</f>
        <v/>
      </c>
      <c r="U156">
        <f>IF($W156="","",COUNTIFS(상세표[사번키],INDEX(합계표[사번키],$W156),상세표[반영월],대상월키,상세표[야간당직],1,상세표[야간 구분],"휴일",상세표[반영 기관],"서울병원"))</f>
        <v/>
      </c>
      <c r="V156">
        <f>IF($W156="","",IF(ISNUMBER(MATCH(INDEX(합계표[사번키],$W156)&amp;"|"&amp;대상월키,월별근무지표[키],0)),"직접 입력",IF($K156="—","—","기관명단")))</f>
        <v/>
      </c>
      <c r="W156">
        <f>IFERROR(MATCH(151,합계표[판정순번],0),"")</f>
        <v/>
      </c>
      <c r="Y156">
        <f>IF($AB156="","",INDEX(상세표[사번],$AB156)&amp;"")</f>
        <v/>
      </c>
      <c r="Z156">
        <f>IF($AB156="","",INDEX(상세표[성명],$AB156)&amp;"")</f>
        <v/>
      </c>
      <c r="AA156">
        <f>IF($AB156="","",SUMIFS(상세표[기록 시간외],상세표[사번키],INDEX(상세표[사번키],$AB156),상세표[반영월],대상월키))</f>
        <v/>
      </c>
      <c r="AB156" s="4">
        <f>IFERROR(MATCH(151,상세표[합계없음순번],0),"")</f>
        <v/>
      </c>
    </row>
    <row r="157">
      <c r="A157">
        <f>IF($W157="","",INDEX(합계표[사번],$W157)&amp;"")</f>
        <v/>
      </c>
      <c r="B157">
        <f>IF($W157="","",INDEX(합계표[성명],$W157)&amp;"")</f>
        <v/>
      </c>
      <c r="C157">
        <f>IF($W157="","",INDEX(합계표[부서],$W157)&amp;"")</f>
        <v/>
      </c>
      <c r="D157">
        <f>IF($W157="","",INDEX(합계표[직위(통합)],$W157)&amp;"")</f>
        <v/>
      </c>
      <c r="E157">
        <f>IF($W157="","",SUMIFS(합계표[시스템 합계],합계표[사번키],INDEX(합계표[사번키],$W157)))</f>
        <v/>
      </c>
      <c r="F157">
        <f>IF($W157="","",SUMIFS(상세표[기록 시간외],상세표[사번키],INDEX(합계표[사번키],$W157),상세표[기록월],대상월키))</f>
        <v/>
      </c>
      <c r="G157">
        <f>IF($W157="","",IF(ABS($E157-$F157)&lt;0.01,"일치","불일치(차이 "&amp;TEXT($F157-$E157,"0.00")&amp;")"))</f>
        <v/>
      </c>
      <c r="H157">
        <f>IF($W157="","",SUMIFS(상세표[기록 시간외],상세표[사번키],INDEX(합계표[사번키],$W157),상세표[기록월],대상월키,상세표[반영월],"&lt;&gt;"&amp;대상월키))</f>
        <v/>
      </c>
      <c r="I157">
        <f>IF($W157="","",SUMIFS(상세표[기록 시간외],상세표[사번키],INDEX(합계표[사번키],$W157),상세표[기록월],"&lt;&gt;"&amp;대상월키,상세표[반영월],대상월키))</f>
        <v/>
      </c>
      <c r="J157">
        <f>IF($W157="","",SUMIFS(상세표[기록 시간외],상세표[사번키],INDEX(합계표[사번키],$W157),상세표[반영월],대상월키))</f>
        <v/>
      </c>
      <c r="K157">
        <f>IF($W157="","",IFERROR(INDEX(월별근무지표[적용 급여병원],MATCH(INDEX(합계표[사번키],$W157)&amp;"|"&amp;대상월키,월별근무지표[키],0))&amp;"",IF(COUNTIF(기관표[사번키],INDEX(합계표[사번키],$W157))+COUNTIF(월별근무지표[사번키],INDEX(합계표[사번키],$W157))&gt;0,IFERROR(INDEX(기관표[급여지급병원(기준월)],MATCH(INDEX(합계표[사번키],$W157)&amp;"|"&amp;대상월키,기관표[키],0))&amp;"","—"),"—")))</f>
        <v/>
      </c>
      <c r="L157">
        <f>IF($W157="","",IF(NOT(COUNTIF(기관표[사번키],INDEX(합계표[사번키],$W157))+COUNTIF(월별근무지표[사번키],INDEX(합계표[사번키],$W157))&gt;0),"기관명단에 없음(다른 병원으로 발송)",IF($K157="—","대상월 기관명단 없음(추가 필요)",IF($K157="서울병원","해당","비해당"))))</f>
        <v/>
      </c>
      <c r="M157">
        <f>IF($W157="","",SUMIFS(상세표[06~07시],상세표[사번키],INDEX(합계표[사번키],$W157),상세표[반영월],대상월키,상세표[반영 기관],"서울병원"))</f>
        <v/>
      </c>
      <c r="N157">
        <f>IF($W157="","",SUMIFS(상세표[07~18시],상세표[사번키],INDEX(합계표[사번키],$W157),상세표[반영월],대상월키,상세표[반영 기관],"서울병원"))</f>
        <v/>
      </c>
      <c r="O157">
        <f>IF($W157="","",SUMIFS(상세표[18~22시],상세표[사번키],INDEX(합계표[사번키],$W157),상세표[반영월],대상월키,상세표[반영 기관],"서울병원"))</f>
        <v/>
      </c>
      <c r="P157">
        <f>IF($W157="","",SUMIFS(상세표[22~06시],상세표[사번키],INDEX(합계표[사번키],$W157),상세표[반영월],대상월키,상세표[반영 기관],"서울병원"))</f>
        <v/>
      </c>
      <c r="Q157">
        <f>IF($W157="","",SUM($M157:$P157))</f>
        <v/>
      </c>
      <c r="R157">
        <f>IF($W157="","",COUNTIFS(상세표[사번키],INDEX(합계표[사번키],$W157),상세표[반영월],대상월키,상세표[야간당직],1,상세표[야간 구분],"평일"))</f>
        <v/>
      </c>
      <c r="S157" s="4">
        <f>IF($W157="","",COUNTIFS(상세표[사번키],INDEX(합계표[사번키],$W157),상세표[반영월],대상월키,상세표[야간당직],1,상세표[야간 구분],"휴일"))</f>
        <v/>
      </c>
      <c r="T157">
        <f>IF($W157="","",COUNTIFS(상세표[사번키],INDEX(합계표[사번키],$W157),상세표[반영월],대상월키,상세표[야간당직],1,상세표[야간 구분],"평일",상세표[반영 기관],"서울병원"))</f>
        <v/>
      </c>
      <c r="U157">
        <f>IF($W157="","",COUNTIFS(상세표[사번키],INDEX(합계표[사번키],$W157),상세표[반영월],대상월키,상세표[야간당직],1,상세표[야간 구분],"휴일",상세표[반영 기관],"서울병원"))</f>
        <v/>
      </c>
      <c r="V157">
        <f>IF($W157="","",IF(ISNUMBER(MATCH(INDEX(합계표[사번키],$W157)&amp;"|"&amp;대상월키,월별근무지표[키],0)),"직접 입력",IF($K157="—","—","기관명단")))</f>
        <v/>
      </c>
      <c r="W157">
        <f>IFERROR(MATCH(152,합계표[판정순번],0),"")</f>
        <v/>
      </c>
      <c r="Y157">
        <f>IF($AB157="","",INDEX(상세표[사번],$AB157)&amp;"")</f>
        <v/>
      </c>
      <c r="Z157">
        <f>IF($AB157="","",INDEX(상세표[성명],$AB157)&amp;"")</f>
        <v/>
      </c>
      <c r="AA157">
        <f>IF($AB157="","",SUMIFS(상세표[기록 시간외],상세표[사번키],INDEX(상세표[사번키],$AB157),상세표[반영월],대상월키))</f>
        <v/>
      </c>
      <c r="AB157" s="4">
        <f>IFERROR(MATCH(152,상세표[합계없음순번],0),"")</f>
        <v/>
      </c>
    </row>
    <row r="158">
      <c r="A158">
        <f>IF($W158="","",INDEX(합계표[사번],$W158)&amp;"")</f>
        <v/>
      </c>
      <c r="B158">
        <f>IF($W158="","",INDEX(합계표[성명],$W158)&amp;"")</f>
        <v/>
      </c>
      <c r="C158">
        <f>IF($W158="","",INDEX(합계표[부서],$W158)&amp;"")</f>
        <v/>
      </c>
      <c r="D158">
        <f>IF($W158="","",INDEX(합계표[직위(통합)],$W158)&amp;"")</f>
        <v/>
      </c>
      <c r="E158">
        <f>IF($W158="","",SUMIFS(합계표[시스템 합계],합계표[사번키],INDEX(합계표[사번키],$W158)))</f>
        <v/>
      </c>
      <c r="F158">
        <f>IF($W158="","",SUMIFS(상세표[기록 시간외],상세표[사번키],INDEX(합계표[사번키],$W158),상세표[기록월],대상월키))</f>
        <v/>
      </c>
      <c r="G158">
        <f>IF($W158="","",IF(ABS($E158-$F158)&lt;0.01,"일치","불일치(차이 "&amp;TEXT($F158-$E158,"0.00")&amp;")"))</f>
        <v/>
      </c>
      <c r="H158">
        <f>IF($W158="","",SUMIFS(상세표[기록 시간외],상세표[사번키],INDEX(합계표[사번키],$W158),상세표[기록월],대상월키,상세표[반영월],"&lt;&gt;"&amp;대상월키))</f>
        <v/>
      </c>
      <c r="I158">
        <f>IF($W158="","",SUMIFS(상세표[기록 시간외],상세표[사번키],INDEX(합계표[사번키],$W158),상세표[기록월],"&lt;&gt;"&amp;대상월키,상세표[반영월],대상월키))</f>
        <v/>
      </c>
      <c r="J158">
        <f>IF($W158="","",SUMIFS(상세표[기록 시간외],상세표[사번키],INDEX(합계표[사번키],$W158),상세표[반영월],대상월키))</f>
        <v/>
      </c>
      <c r="K158">
        <f>IF($W158="","",IFERROR(INDEX(월별근무지표[적용 급여병원],MATCH(INDEX(합계표[사번키],$W158)&amp;"|"&amp;대상월키,월별근무지표[키],0))&amp;"",IF(COUNTIF(기관표[사번키],INDEX(합계표[사번키],$W158))+COUNTIF(월별근무지표[사번키],INDEX(합계표[사번키],$W158))&gt;0,IFERROR(INDEX(기관표[급여지급병원(기준월)],MATCH(INDEX(합계표[사번키],$W158)&amp;"|"&amp;대상월키,기관표[키],0))&amp;"","—"),"—")))</f>
        <v/>
      </c>
      <c r="L158">
        <f>IF($W158="","",IF(NOT(COUNTIF(기관표[사번키],INDEX(합계표[사번키],$W158))+COUNTIF(월별근무지표[사번키],INDEX(합계표[사번키],$W158))&gt;0),"기관명단에 없음(다른 병원으로 발송)",IF($K158="—","대상월 기관명단 없음(추가 필요)",IF($K158="서울병원","해당","비해당"))))</f>
        <v/>
      </c>
      <c r="M158">
        <f>IF($W158="","",SUMIFS(상세표[06~07시],상세표[사번키],INDEX(합계표[사번키],$W158),상세표[반영월],대상월키,상세표[반영 기관],"서울병원"))</f>
        <v/>
      </c>
      <c r="N158">
        <f>IF($W158="","",SUMIFS(상세표[07~18시],상세표[사번키],INDEX(합계표[사번키],$W158),상세표[반영월],대상월키,상세표[반영 기관],"서울병원"))</f>
        <v/>
      </c>
      <c r="O158">
        <f>IF($W158="","",SUMIFS(상세표[18~22시],상세표[사번키],INDEX(합계표[사번키],$W158),상세표[반영월],대상월키,상세표[반영 기관],"서울병원"))</f>
        <v/>
      </c>
      <c r="P158">
        <f>IF($W158="","",SUMIFS(상세표[22~06시],상세표[사번키],INDEX(합계표[사번키],$W158),상세표[반영월],대상월키,상세표[반영 기관],"서울병원"))</f>
        <v/>
      </c>
      <c r="Q158">
        <f>IF($W158="","",SUM($M158:$P158))</f>
        <v/>
      </c>
      <c r="R158">
        <f>IF($W158="","",COUNTIFS(상세표[사번키],INDEX(합계표[사번키],$W158),상세표[반영월],대상월키,상세표[야간당직],1,상세표[야간 구분],"평일"))</f>
        <v/>
      </c>
      <c r="S158" s="4">
        <f>IF($W158="","",COUNTIFS(상세표[사번키],INDEX(합계표[사번키],$W158),상세표[반영월],대상월키,상세표[야간당직],1,상세표[야간 구분],"휴일"))</f>
        <v/>
      </c>
      <c r="T158">
        <f>IF($W158="","",COUNTIFS(상세표[사번키],INDEX(합계표[사번키],$W158),상세표[반영월],대상월키,상세표[야간당직],1,상세표[야간 구분],"평일",상세표[반영 기관],"서울병원"))</f>
        <v/>
      </c>
      <c r="U158">
        <f>IF($W158="","",COUNTIFS(상세표[사번키],INDEX(합계표[사번키],$W158),상세표[반영월],대상월키,상세표[야간당직],1,상세표[야간 구분],"휴일",상세표[반영 기관],"서울병원"))</f>
        <v/>
      </c>
      <c r="V158">
        <f>IF($W158="","",IF(ISNUMBER(MATCH(INDEX(합계표[사번키],$W158)&amp;"|"&amp;대상월키,월별근무지표[키],0)),"직접 입력",IF($K158="—","—","기관명단")))</f>
        <v/>
      </c>
      <c r="W158">
        <f>IFERROR(MATCH(153,합계표[판정순번],0),"")</f>
        <v/>
      </c>
      <c r="Y158">
        <f>IF($AB158="","",INDEX(상세표[사번],$AB158)&amp;"")</f>
        <v/>
      </c>
      <c r="Z158">
        <f>IF($AB158="","",INDEX(상세표[성명],$AB158)&amp;"")</f>
        <v/>
      </c>
      <c r="AA158">
        <f>IF($AB158="","",SUMIFS(상세표[기록 시간외],상세표[사번키],INDEX(상세표[사번키],$AB158),상세표[반영월],대상월키))</f>
        <v/>
      </c>
      <c r="AB158" s="4">
        <f>IFERROR(MATCH(153,상세표[합계없음순번],0),"")</f>
        <v/>
      </c>
    </row>
    <row r="159">
      <c r="A159">
        <f>IF($W159="","",INDEX(합계표[사번],$W159)&amp;"")</f>
        <v/>
      </c>
      <c r="B159">
        <f>IF($W159="","",INDEX(합계표[성명],$W159)&amp;"")</f>
        <v/>
      </c>
      <c r="C159">
        <f>IF($W159="","",INDEX(합계표[부서],$W159)&amp;"")</f>
        <v/>
      </c>
      <c r="D159">
        <f>IF($W159="","",INDEX(합계표[직위(통합)],$W159)&amp;"")</f>
        <v/>
      </c>
      <c r="E159">
        <f>IF($W159="","",SUMIFS(합계표[시스템 합계],합계표[사번키],INDEX(합계표[사번키],$W159)))</f>
        <v/>
      </c>
      <c r="F159">
        <f>IF($W159="","",SUMIFS(상세표[기록 시간외],상세표[사번키],INDEX(합계표[사번키],$W159),상세표[기록월],대상월키))</f>
        <v/>
      </c>
      <c r="G159">
        <f>IF($W159="","",IF(ABS($E159-$F159)&lt;0.01,"일치","불일치(차이 "&amp;TEXT($F159-$E159,"0.00")&amp;")"))</f>
        <v/>
      </c>
      <c r="H159">
        <f>IF($W159="","",SUMIFS(상세표[기록 시간외],상세표[사번키],INDEX(합계표[사번키],$W159),상세표[기록월],대상월키,상세표[반영월],"&lt;&gt;"&amp;대상월키))</f>
        <v/>
      </c>
      <c r="I159">
        <f>IF($W159="","",SUMIFS(상세표[기록 시간외],상세표[사번키],INDEX(합계표[사번키],$W159),상세표[기록월],"&lt;&gt;"&amp;대상월키,상세표[반영월],대상월키))</f>
        <v/>
      </c>
      <c r="J159">
        <f>IF($W159="","",SUMIFS(상세표[기록 시간외],상세표[사번키],INDEX(합계표[사번키],$W159),상세표[반영월],대상월키))</f>
        <v/>
      </c>
      <c r="K159">
        <f>IF($W159="","",IFERROR(INDEX(월별근무지표[적용 급여병원],MATCH(INDEX(합계표[사번키],$W159)&amp;"|"&amp;대상월키,월별근무지표[키],0))&amp;"",IF(COUNTIF(기관표[사번키],INDEX(합계표[사번키],$W159))+COUNTIF(월별근무지표[사번키],INDEX(합계표[사번키],$W159))&gt;0,IFERROR(INDEX(기관표[급여지급병원(기준월)],MATCH(INDEX(합계표[사번키],$W159)&amp;"|"&amp;대상월키,기관표[키],0))&amp;"","—"),"—")))</f>
        <v/>
      </c>
      <c r="L159">
        <f>IF($W159="","",IF(NOT(COUNTIF(기관표[사번키],INDEX(합계표[사번키],$W159))+COUNTIF(월별근무지표[사번키],INDEX(합계표[사번키],$W159))&gt;0),"기관명단에 없음(다른 병원으로 발송)",IF($K159="—","대상월 기관명단 없음(추가 필요)",IF($K159="서울병원","해당","비해당"))))</f>
        <v/>
      </c>
      <c r="M159">
        <f>IF($W159="","",SUMIFS(상세표[06~07시],상세표[사번키],INDEX(합계표[사번키],$W159),상세표[반영월],대상월키,상세표[반영 기관],"서울병원"))</f>
        <v/>
      </c>
      <c r="N159">
        <f>IF($W159="","",SUMIFS(상세표[07~18시],상세표[사번키],INDEX(합계표[사번키],$W159),상세표[반영월],대상월키,상세표[반영 기관],"서울병원"))</f>
        <v/>
      </c>
      <c r="O159">
        <f>IF($W159="","",SUMIFS(상세표[18~22시],상세표[사번키],INDEX(합계표[사번키],$W159),상세표[반영월],대상월키,상세표[반영 기관],"서울병원"))</f>
        <v/>
      </c>
      <c r="P159">
        <f>IF($W159="","",SUMIFS(상세표[22~06시],상세표[사번키],INDEX(합계표[사번키],$W159),상세표[반영월],대상월키,상세표[반영 기관],"서울병원"))</f>
        <v/>
      </c>
      <c r="Q159">
        <f>IF($W159="","",SUM($M159:$P159))</f>
        <v/>
      </c>
      <c r="R159">
        <f>IF($W159="","",COUNTIFS(상세표[사번키],INDEX(합계표[사번키],$W159),상세표[반영월],대상월키,상세표[야간당직],1,상세표[야간 구분],"평일"))</f>
        <v/>
      </c>
      <c r="S159" s="4">
        <f>IF($W159="","",COUNTIFS(상세표[사번키],INDEX(합계표[사번키],$W159),상세표[반영월],대상월키,상세표[야간당직],1,상세표[야간 구분],"휴일"))</f>
        <v/>
      </c>
      <c r="T159">
        <f>IF($W159="","",COUNTIFS(상세표[사번키],INDEX(합계표[사번키],$W159),상세표[반영월],대상월키,상세표[야간당직],1,상세표[야간 구분],"평일",상세표[반영 기관],"서울병원"))</f>
        <v/>
      </c>
      <c r="U159">
        <f>IF($W159="","",COUNTIFS(상세표[사번키],INDEX(합계표[사번키],$W159),상세표[반영월],대상월키,상세표[야간당직],1,상세표[야간 구분],"휴일",상세표[반영 기관],"서울병원"))</f>
        <v/>
      </c>
      <c r="V159">
        <f>IF($W159="","",IF(ISNUMBER(MATCH(INDEX(합계표[사번키],$W159)&amp;"|"&amp;대상월키,월별근무지표[키],0)),"직접 입력",IF($K159="—","—","기관명단")))</f>
        <v/>
      </c>
      <c r="W159">
        <f>IFERROR(MATCH(154,합계표[판정순번],0),"")</f>
        <v/>
      </c>
      <c r="Y159">
        <f>IF($AB159="","",INDEX(상세표[사번],$AB159)&amp;"")</f>
        <v/>
      </c>
      <c r="Z159">
        <f>IF($AB159="","",INDEX(상세표[성명],$AB159)&amp;"")</f>
        <v/>
      </c>
      <c r="AA159">
        <f>IF($AB159="","",SUMIFS(상세표[기록 시간외],상세표[사번키],INDEX(상세표[사번키],$AB159),상세표[반영월],대상월키))</f>
        <v/>
      </c>
      <c r="AB159" s="4">
        <f>IFERROR(MATCH(154,상세표[합계없음순번],0),"")</f>
        <v/>
      </c>
    </row>
    <row r="160">
      <c r="A160">
        <f>IF($W160="","",INDEX(합계표[사번],$W160)&amp;"")</f>
        <v/>
      </c>
      <c r="B160">
        <f>IF($W160="","",INDEX(합계표[성명],$W160)&amp;"")</f>
        <v/>
      </c>
      <c r="C160">
        <f>IF($W160="","",INDEX(합계표[부서],$W160)&amp;"")</f>
        <v/>
      </c>
      <c r="D160">
        <f>IF($W160="","",INDEX(합계표[직위(통합)],$W160)&amp;"")</f>
        <v/>
      </c>
      <c r="E160">
        <f>IF($W160="","",SUMIFS(합계표[시스템 합계],합계표[사번키],INDEX(합계표[사번키],$W160)))</f>
        <v/>
      </c>
      <c r="F160">
        <f>IF($W160="","",SUMIFS(상세표[기록 시간외],상세표[사번키],INDEX(합계표[사번키],$W160),상세표[기록월],대상월키))</f>
        <v/>
      </c>
      <c r="G160">
        <f>IF($W160="","",IF(ABS($E160-$F160)&lt;0.01,"일치","불일치(차이 "&amp;TEXT($F160-$E160,"0.00")&amp;")"))</f>
        <v/>
      </c>
      <c r="H160">
        <f>IF($W160="","",SUMIFS(상세표[기록 시간외],상세표[사번키],INDEX(합계표[사번키],$W160),상세표[기록월],대상월키,상세표[반영월],"&lt;&gt;"&amp;대상월키))</f>
        <v/>
      </c>
      <c r="I160">
        <f>IF($W160="","",SUMIFS(상세표[기록 시간외],상세표[사번키],INDEX(합계표[사번키],$W160),상세표[기록월],"&lt;&gt;"&amp;대상월키,상세표[반영월],대상월키))</f>
        <v/>
      </c>
      <c r="J160">
        <f>IF($W160="","",SUMIFS(상세표[기록 시간외],상세표[사번키],INDEX(합계표[사번키],$W160),상세표[반영월],대상월키))</f>
        <v/>
      </c>
      <c r="K160">
        <f>IF($W160="","",IFERROR(INDEX(월별근무지표[적용 급여병원],MATCH(INDEX(합계표[사번키],$W160)&amp;"|"&amp;대상월키,월별근무지표[키],0))&amp;"",IF(COUNTIF(기관표[사번키],INDEX(합계표[사번키],$W160))+COUNTIF(월별근무지표[사번키],INDEX(합계표[사번키],$W160))&gt;0,IFERROR(INDEX(기관표[급여지급병원(기준월)],MATCH(INDEX(합계표[사번키],$W160)&amp;"|"&amp;대상월키,기관표[키],0))&amp;"","—"),"—")))</f>
        <v/>
      </c>
      <c r="L160">
        <f>IF($W160="","",IF(NOT(COUNTIF(기관표[사번키],INDEX(합계표[사번키],$W160))+COUNTIF(월별근무지표[사번키],INDEX(합계표[사번키],$W160))&gt;0),"기관명단에 없음(다른 병원으로 발송)",IF($K160="—","대상월 기관명단 없음(추가 필요)",IF($K160="서울병원","해당","비해당"))))</f>
        <v/>
      </c>
      <c r="M160">
        <f>IF($W160="","",SUMIFS(상세표[06~07시],상세표[사번키],INDEX(합계표[사번키],$W160),상세표[반영월],대상월키,상세표[반영 기관],"서울병원"))</f>
        <v/>
      </c>
      <c r="N160">
        <f>IF($W160="","",SUMIFS(상세표[07~18시],상세표[사번키],INDEX(합계표[사번키],$W160),상세표[반영월],대상월키,상세표[반영 기관],"서울병원"))</f>
        <v/>
      </c>
      <c r="O160">
        <f>IF($W160="","",SUMIFS(상세표[18~22시],상세표[사번키],INDEX(합계표[사번키],$W160),상세표[반영월],대상월키,상세표[반영 기관],"서울병원"))</f>
        <v/>
      </c>
      <c r="P160">
        <f>IF($W160="","",SUMIFS(상세표[22~06시],상세표[사번키],INDEX(합계표[사번키],$W160),상세표[반영월],대상월키,상세표[반영 기관],"서울병원"))</f>
        <v/>
      </c>
      <c r="Q160">
        <f>IF($W160="","",SUM($M160:$P160))</f>
        <v/>
      </c>
      <c r="R160">
        <f>IF($W160="","",COUNTIFS(상세표[사번키],INDEX(합계표[사번키],$W160),상세표[반영월],대상월키,상세표[야간당직],1,상세표[야간 구분],"평일"))</f>
        <v/>
      </c>
      <c r="S160" s="4">
        <f>IF($W160="","",COUNTIFS(상세표[사번키],INDEX(합계표[사번키],$W160),상세표[반영월],대상월키,상세표[야간당직],1,상세표[야간 구분],"휴일"))</f>
        <v/>
      </c>
      <c r="T160">
        <f>IF($W160="","",COUNTIFS(상세표[사번키],INDEX(합계표[사번키],$W160),상세표[반영월],대상월키,상세표[야간당직],1,상세표[야간 구분],"평일",상세표[반영 기관],"서울병원"))</f>
        <v/>
      </c>
      <c r="U160">
        <f>IF($W160="","",COUNTIFS(상세표[사번키],INDEX(합계표[사번키],$W160),상세표[반영월],대상월키,상세표[야간당직],1,상세표[야간 구분],"휴일",상세표[반영 기관],"서울병원"))</f>
        <v/>
      </c>
      <c r="V160">
        <f>IF($W160="","",IF(ISNUMBER(MATCH(INDEX(합계표[사번키],$W160)&amp;"|"&amp;대상월키,월별근무지표[키],0)),"직접 입력",IF($K160="—","—","기관명단")))</f>
        <v/>
      </c>
      <c r="W160">
        <f>IFERROR(MATCH(155,합계표[판정순번],0),"")</f>
        <v/>
      </c>
      <c r="Y160">
        <f>IF($AB160="","",INDEX(상세표[사번],$AB160)&amp;"")</f>
        <v/>
      </c>
      <c r="Z160">
        <f>IF($AB160="","",INDEX(상세표[성명],$AB160)&amp;"")</f>
        <v/>
      </c>
      <c r="AA160">
        <f>IF($AB160="","",SUMIFS(상세표[기록 시간외],상세표[사번키],INDEX(상세표[사번키],$AB160),상세표[반영월],대상월키))</f>
        <v/>
      </c>
      <c r="AB160" s="4">
        <f>IFERROR(MATCH(155,상세표[합계없음순번],0),"")</f>
        <v/>
      </c>
    </row>
    <row r="161">
      <c r="A161">
        <f>IF($W161="","",INDEX(합계표[사번],$W161)&amp;"")</f>
        <v/>
      </c>
      <c r="B161">
        <f>IF($W161="","",INDEX(합계표[성명],$W161)&amp;"")</f>
        <v/>
      </c>
      <c r="C161">
        <f>IF($W161="","",INDEX(합계표[부서],$W161)&amp;"")</f>
        <v/>
      </c>
      <c r="D161">
        <f>IF($W161="","",INDEX(합계표[직위(통합)],$W161)&amp;"")</f>
        <v/>
      </c>
      <c r="E161">
        <f>IF($W161="","",SUMIFS(합계표[시스템 합계],합계표[사번키],INDEX(합계표[사번키],$W161)))</f>
        <v/>
      </c>
      <c r="F161">
        <f>IF($W161="","",SUMIFS(상세표[기록 시간외],상세표[사번키],INDEX(합계표[사번키],$W161),상세표[기록월],대상월키))</f>
        <v/>
      </c>
      <c r="G161">
        <f>IF($W161="","",IF(ABS($E161-$F161)&lt;0.01,"일치","불일치(차이 "&amp;TEXT($F161-$E161,"0.00")&amp;")"))</f>
        <v/>
      </c>
      <c r="H161">
        <f>IF($W161="","",SUMIFS(상세표[기록 시간외],상세표[사번키],INDEX(합계표[사번키],$W161),상세표[기록월],대상월키,상세표[반영월],"&lt;&gt;"&amp;대상월키))</f>
        <v/>
      </c>
      <c r="I161">
        <f>IF($W161="","",SUMIFS(상세표[기록 시간외],상세표[사번키],INDEX(합계표[사번키],$W161),상세표[기록월],"&lt;&gt;"&amp;대상월키,상세표[반영월],대상월키))</f>
        <v/>
      </c>
      <c r="J161">
        <f>IF($W161="","",SUMIFS(상세표[기록 시간외],상세표[사번키],INDEX(합계표[사번키],$W161),상세표[반영월],대상월키))</f>
        <v/>
      </c>
      <c r="K161">
        <f>IF($W161="","",IFERROR(INDEX(월별근무지표[적용 급여병원],MATCH(INDEX(합계표[사번키],$W161)&amp;"|"&amp;대상월키,월별근무지표[키],0))&amp;"",IF(COUNTIF(기관표[사번키],INDEX(합계표[사번키],$W161))+COUNTIF(월별근무지표[사번키],INDEX(합계표[사번키],$W161))&gt;0,IFERROR(INDEX(기관표[급여지급병원(기준월)],MATCH(INDEX(합계표[사번키],$W161)&amp;"|"&amp;대상월키,기관표[키],0))&amp;"","—"),"—")))</f>
        <v/>
      </c>
      <c r="L161">
        <f>IF($W161="","",IF(NOT(COUNTIF(기관표[사번키],INDEX(합계표[사번키],$W161))+COUNTIF(월별근무지표[사번키],INDEX(합계표[사번키],$W161))&gt;0),"기관명단에 없음(다른 병원으로 발송)",IF($K161="—","대상월 기관명단 없음(추가 필요)",IF($K161="서울병원","해당","비해당"))))</f>
        <v/>
      </c>
      <c r="M161">
        <f>IF($W161="","",SUMIFS(상세표[06~07시],상세표[사번키],INDEX(합계표[사번키],$W161),상세표[반영월],대상월키,상세표[반영 기관],"서울병원"))</f>
        <v/>
      </c>
      <c r="N161">
        <f>IF($W161="","",SUMIFS(상세표[07~18시],상세표[사번키],INDEX(합계표[사번키],$W161),상세표[반영월],대상월키,상세표[반영 기관],"서울병원"))</f>
        <v/>
      </c>
      <c r="O161">
        <f>IF($W161="","",SUMIFS(상세표[18~22시],상세표[사번키],INDEX(합계표[사번키],$W161),상세표[반영월],대상월키,상세표[반영 기관],"서울병원"))</f>
        <v/>
      </c>
      <c r="P161">
        <f>IF($W161="","",SUMIFS(상세표[22~06시],상세표[사번키],INDEX(합계표[사번키],$W161),상세표[반영월],대상월키,상세표[반영 기관],"서울병원"))</f>
        <v/>
      </c>
      <c r="Q161">
        <f>IF($W161="","",SUM($M161:$P161))</f>
        <v/>
      </c>
      <c r="R161">
        <f>IF($W161="","",COUNTIFS(상세표[사번키],INDEX(합계표[사번키],$W161),상세표[반영월],대상월키,상세표[야간당직],1,상세표[야간 구분],"평일"))</f>
        <v/>
      </c>
      <c r="S161" s="4">
        <f>IF($W161="","",COUNTIFS(상세표[사번키],INDEX(합계표[사번키],$W161),상세표[반영월],대상월키,상세표[야간당직],1,상세표[야간 구분],"휴일"))</f>
        <v/>
      </c>
      <c r="T161">
        <f>IF($W161="","",COUNTIFS(상세표[사번키],INDEX(합계표[사번키],$W161),상세표[반영월],대상월키,상세표[야간당직],1,상세표[야간 구분],"평일",상세표[반영 기관],"서울병원"))</f>
        <v/>
      </c>
      <c r="U161">
        <f>IF($W161="","",COUNTIFS(상세표[사번키],INDEX(합계표[사번키],$W161),상세표[반영월],대상월키,상세표[야간당직],1,상세표[야간 구분],"휴일",상세표[반영 기관],"서울병원"))</f>
        <v/>
      </c>
      <c r="V161">
        <f>IF($W161="","",IF(ISNUMBER(MATCH(INDEX(합계표[사번키],$W161)&amp;"|"&amp;대상월키,월별근무지표[키],0)),"직접 입력",IF($K161="—","—","기관명단")))</f>
        <v/>
      </c>
      <c r="W161">
        <f>IFERROR(MATCH(156,합계표[판정순번],0),"")</f>
        <v/>
      </c>
      <c r="Y161">
        <f>IF($AB161="","",INDEX(상세표[사번],$AB161)&amp;"")</f>
        <v/>
      </c>
      <c r="Z161">
        <f>IF($AB161="","",INDEX(상세표[성명],$AB161)&amp;"")</f>
        <v/>
      </c>
      <c r="AA161">
        <f>IF($AB161="","",SUMIFS(상세표[기록 시간외],상세표[사번키],INDEX(상세표[사번키],$AB161),상세표[반영월],대상월키))</f>
        <v/>
      </c>
      <c r="AB161" s="4">
        <f>IFERROR(MATCH(156,상세표[합계없음순번],0),"")</f>
        <v/>
      </c>
    </row>
    <row r="162">
      <c r="A162">
        <f>IF($W162="","",INDEX(합계표[사번],$W162)&amp;"")</f>
        <v/>
      </c>
      <c r="B162">
        <f>IF($W162="","",INDEX(합계표[성명],$W162)&amp;"")</f>
        <v/>
      </c>
      <c r="C162">
        <f>IF($W162="","",INDEX(합계표[부서],$W162)&amp;"")</f>
        <v/>
      </c>
      <c r="D162">
        <f>IF($W162="","",INDEX(합계표[직위(통합)],$W162)&amp;"")</f>
        <v/>
      </c>
      <c r="E162">
        <f>IF($W162="","",SUMIFS(합계표[시스템 합계],합계표[사번키],INDEX(합계표[사번키],$W162)))</f>
        <v/>
      </c>
      <c r="F162">
        <f>IF($W162="","",SUMIFS(상세표[기록 시간외],상세표[사번키],INDEX(합계표[사번키],$W162),상세표[기록월],대상월키))</f>
        <v/>
      </c>
      <c r="G162">
        <f>IF($W162="","",IF(ABS($E162-$F162)&lt;0.01,"일치","불일치(차이 "&amp;TEXT($F162-$E162,"0.00")&amp;")"))</f>
        <v/>
      </c>
      <c r="H162">
        <f>IF($W162="","",SUMIFS(상세표[기록 시간외],상세표[사번키],INDEX(합계표[사번키],$W162),상세표[기록월],대상월키,상세표[반영월],"&lt;&gt;"&amp;대상월키))</f>
        <v/>
      </c>
      <c r="I162">
        <f>IF($W162="","",SUMIFS(상세표[기록 시간외],상세표[사번키],INDEX(합계표[사번키],$W162),상세표[기록월],"&lt;&gt;"&amp;대상월키,상세표[반영월],대상월키))</f>
        <v/>
      </c>
      <c r="J162">
        <f>IF($W162="","",SUMIFS(상세표[기록 시간외],상세표[사번키],INDEX(합계표[사번키],$W162),상세표[반영월],대상월키))</f>
        <v/>
      </c>
      <c r="K162">
        <f>IF($W162="","",IFERROR(INDEX(월별근무지표[적용 급여병원],MATCH(INDEX(합계표[사번키],$W162)&amp;"|"&amp;대상월키,월별근무지표[키],0))&amp;"",IF(COUNTIF(기관표[사번키],INDEX(합계표[사번키],$W162))+COUNTIF(월별근무지표[사번키],INDEX(합계표[사번키],$W162))&gt;0,IFERROR(INDEX(기관표[급여지급병원(기준월)],MATCH(INDEX(합계표[사번키],$W162)&amp;"|"&amp;대상월키,기관표[키],0))&amp;"","—"),"—")))</f>
        <v/>
      </c>
      <c r="L162">
        <f>IF($W162="","",IF(NOT(COUNTIF(기관표[사번키],INDEX(합계표[사번키],$W162))+COUNTIF(월별근무지표[사번키],INDEX(합계표[사번키],$W162))&gt;0),"기관명단에 없음(다른 병원으로 발송)",IF($K162="—","대상월 기관명단 없음(추가 필요)",IF($K162="서울병원","해당","비해당"))))</f>
        <v/>
      </c>
      <c r="M162">
        <f>IF($W162="","",SUMIFS(상세표[06~07시],상세표[사번키],INDEX(합계표[사번키],$W162),상세표[반영월],대상월키,상세표[반영 기관],"서울병원"))</f>
        <v/>
      </c>
      <c r="N162">
        <f>IF($W162="","",SUMIFS(상세표[07~18시],상세표[사번키],INDEX(합계표[사번키],$W162),상세표[반영월],대상월키,상세표[반영 기관],"서울병원"))</f>
        <v/>
      </c>
      <c r="O162">
        <f>IF($W162="","",SUMIFS(상세표[18~22시],상세표[사번키],INDEX(합계표[사번키],$W162),상세표[반영월],대상월키,상세표[반영 기관],"서울병원"))</f>
        <v/>
      </c>
      <c r="P162">
        <f>IF($W162="","",SUMIFS(상세표[22~06시],상세표[사번키],INDEX(합계표[사번키],$W162),상세표[반영월],대상월키,상세표[반영 기관],"서울병원"))</f>
        <v/>
      </c>
      <c r="Q162">
        <f>IF($W162="","",SUM($M162:$P162))</f>
        <v/>
      </c>
      <c r="R162">
        <f>IF($W162="","",COUNTIFS(상세표[사번키],INDEX(합계표[사번키],$W162),상세표[반영월],대상월키,상세표[야간당직],1,상세표[야간 구분],"평일"))</f>
        <v/>
      </c>
      <c r="S162" s="4">
        <f>IF($W162="","",COUNTIFS(상세표[사번키],INDEX(합계표[사번키],$W162),상세표[반영월],대상월키,상세표[야간당직],1,상세표[야간 구분],"휴일"))</f>
        <v/>
      </c>
      <c r="T162">
        <f>IF($W162="","",COUNTIFS(상세표[사번키],INDEX(합계표[사번키],$W162),상세표[반영월],대상월키,상세표[야간당직],1,상세표[야간 구분],"평일",상세표[반영 기관],"서울병원"))</f>
        <v/>
      </c>
      <c r="U162">
        <f>IF($W162="","",COUNTIFS(상세표[사번키],INDEX(합계표[사번키],$W162),상세표[반영월],대상월키,상세표[야간당직],1,상세표[야간 구분],"휴일",상세표[반영 기관],"서울병원"))</f>
        <v/>
      </c>
      <c r="V162">
        <f>IF($W162="","",IF(ISNUMBER(MATCH(INDEX(합계표[사번키],$W162)&amp;"|"&amp;대상월키,월별근무지표[키],0)),"직접 입력",IF($K162="—","—","기관명단")))</f>
        <v/>
      </c>
      <c r="W162">
        <f>IFERROR(MATCH(157,합계표[판정순번],0),"")</f>
        <v/>
      </c>
      <c r="Y162">
        <f>IF($AB162="","",INDEX(상세표[사번],$AB162)&amp;"")</f>
        <v/>
      </c>
      <c r="Z162">
        <f>IF($AB162="","",INDEX(상세표[성명],$AB162)&amp;"")</f>
        <v/>
      </c>
      <c r="AA162">
        <f>IF($AB162="","",SUMIFS(상세표[기록 시간외],상세표[사번키],INDEX(상세표[사번키],$AB162),상세표[반영월],대상월키))</f>
        <v/>
      </c>
      <c r="AB162" s="4">
        <f>IFERROR(MATCH(157,상세표[합계없음순번],0),"")</f>
        <v/>
      </c>
    </row>
    <row r="163">
      <c r="A163">
        <f>IF($W163="","",INDEX(합계표[사번],$W163)&amp;"")</f>
        <v/>
      </c>
      <c r="B163">
        <f>IF($W163="","",INDEX(합계표[성명],$W163)&amp;"")</f>
        <v/>
      </c>
      <c r="C163">
        <f>IF($W163="","",INDEX(합계표[부서],$W163)&amp;"")</f>
        <v/>
      </c>
      <c r="D163">
        <f>IF($W163="","",INDEX(합계표[직위(통합)],$W163)&amp;"")</f>
        <v/>
      </c>
      <c r="E163">
        <f>IF($W163="","",SUMIFS(합계표[시스템 합계],합계표[사번키],INDEX(합계표[사번키],$W163)))</f>
        <v/>
      </c>
      <c r="F163">
        <f>IF($W163="","",SUMIFS(상세표[기록 시간외],상세표[사번키],INDEX(합계표[사번키],$W163),상세표[기록월],대상월키))</f>
        <v/>
      </c>
      <c r="G163">
        <f>IF($W163="","",IF(ABS($E163-$F163)&lt;0.01,"일치","불일치(차이 "&amp;TEXT($F163-$E163,"0.00")&amp;")"))</f>
        <v/>
      </c>
      <c r="H163">
        <f>IF($W163="","",SUMIFS(상세표[기록 시간외],상세표[사번키],INDEX(합계표[사번키],$W163),상세표[기록월],대상월키,상세표[반영월],"&lt;&gt;"&amp;대상월키))</f>
        <v/>
      </c>
      <c r="I163">
        <f>IF($W163="","",SUMIFS(상세표[기록 시간외],상세표[사번키],INDEX(합계표[사번키],$W163),상세표[기록월],"&lt;&gt;"&amp;대상월키,상세표[반영월],대상월키))</f>
        <v/>
      </c>
      <c r="J163">
        <f>IF($W163="","",SUMIFS(상세표[기록 시간외],상세표[사번키],INDEX(합계표[사번키],$W163),상세표[반영월],대상월키))</f>
        <v/>
      </c>
      <c r="K163">
        <f>IF($W163="","",IFERROR(INDEX(월별근무지표[적용 급여병원],MATCH(INDEX(합계표[사번키],$W163)&amp;"|"&amp;대상월키,월별근무지표[키],0))&amp;"",IF(COUNTIF(기관표[사번키],INDEX(합계표[사번키],$W163))+COUNTIF(월별근무지표[사번키],INDEX(합계표[사번키],$W163))&gt;0,IFERROR(INDEX(기관표[급여지급병원(기준월)],MATCH(INDEX(합계표[사번키],$W163)&amp;"|"&amp;대상월키,기관표[키],0))&amp;"","—"),"—")))</f>
        <v/>
      </c>
      <c r="L163">
        <f>IF($W163="","",IF(NOT(COUNTIF(기관표[사번키],INDEX(합계표[사번키],$W163))+COUNTIF(월별근무지표[사번키],INDEX(합계표[사번키],$W163))&gt;0),"기관명단에 없음(다른 병원으로 발송)",IF($K163="—","대상월 기관명단 없음(추가 필요)",IF($K163="서울병원","해당","비해당"))))</f>
        <v/>
      </c>
      <c r="M163">
        <f>IF($W163="","",SUMIFS(상세표[06~07시],상세표[사번키],INDEX(합계표[사번키],$W163),상세표[반영월],대상월키,상세표[반영 기관],"서울병원"))</f>
        <v/>
      </c>
      <c r="N163">
        <f>IF($W163="","",SUMIFS(상세표[07~18시],상세표[사번키],INDEX(합계표[사번키],$W163),상세표[반영월],대상월키,상세표[반영 기관],"서울병원"))</f>
        <v/>
      </c>
      <c r="O163">
        <f>IF($W163="","",SUMIFS(상세표[18~22시],상세표[사번키],INDEX(합계표[사번키],$W163),상세표[반영월],대상월키,상세표[반영 기관],"서울병원"))</f>
        <v/>
      </c>
      <c r="P163">
        <f>IF($W163="","",SUMIFS(상세표[22~06시],상세표[사번키],INDEX(합계표[사번키],$W163),상세표[반영월],대상월키,상세표[반영 기관],"서울병원"))</f>
        <v/>
      </c>
      <c r="Q163">
        <f>IF($W163="","",SUM($M163:$P163))</f>
        <v/>
      </c>
      <c r="R163">
        <f>IF($W163="","",COUNTIFS(상세표[사번키],INDEX(합계표[사번키],$W163),상세표[반영월],대상월키,상세표[야간당직],1,상세표[야간 구분],"평일"))</f>
        <v/>
      </c>
      <c r="S163" s="4">
        <f>IF($W163="","",COUNTIFS(상세표[사번키],INDEX(합계표[사번키],$W163),상세표[반영월],대상월키,상세표[야간당직],1,상세표[야간 구분],"휴일"))</f>
        <v/>
      </c>
      <c r="T163">
        <f>IF($W163="","",COUNTIFS(상세표[사번키],INDEX(합계표[사번키],$W163),상세표[반영월],대상월키,상세표[야간당직],1,상세표[야간 구분],"평일",상세표[반영 기관],"서울병원"))</f>
        <v/>
      </c>
      <c r="U163">
        <f>IF($W163="","",COUNTIFS(상세표[사번키],INDEX(합계표[사번키],$W163),상세표[반영월],대상월키,상세표[야간당직],1,상세표[야간 구분],"휴일",상세표[반영 기관],"서울병원"))</f>
        <v/>
      </c>
      <c r="V163">
        <f>IF($W163="","",IF(ISNUMBER(MATCH(INDEX(합계표[사번키],$W163)&amp;"|"&amp;대상월키,월별근무지표[키],0)),"직접 입력",IF($K163="—","—","기관명단")))</f>
        <v/>
      </c>
      <c r="W163">
        <f>IFERROR(MATCH(158,합계표[판정순번],0),"")</f>
        <v/>
      </c>
      <c r="Y163">
        <f>IF($AB163="","",INDEX(상세표[사번],$AB163)&amp;"")</f>
        <v/>
      </c>
      <c r="Z163">
        <f>IF($AB163="","",INDEX(상세표[성명],$AB163)&amp;"")</f>
        <v/>
      </c>
      <c r="AA163">
        <f>IF($AB163="","",SUMIFS(상세표[기록 시간외],상세표[사번키],INDEX(상세표[사번키],$AB163),상세표[반영월],대상월키))</f>
        <v/>
      </c>
      <c r="AB163" s="4">
        <f>IFERROR(MATCH(158,상세표[합계없음순번],0),"")</f>
        <v/>
      </c>
    </row>
    <row r="164">
      <c r="A164">
        <f>IF($W164="","",INDEX(합계표[사번],$W164)&amp;"")</f>
        <v/>
      </c>
      <c r="B164">
        <f>IF($W164="","",INDEX(합계표[성명],$W164)&amp;"")</f>
        <v/>
      </c>
      <c r="C164">
        <f>IF($W164="","",INDEX(합계표[부서],$W164)&amp;"")</f>
        <v/>
      </c>
      <c r="D164">
        <f>IF($W164="","",INDEX(합계표[직위(통합)],$W164)&amp;"")</f>
        <v/>
      </c>
      <c r="E164">
        <f>IF($W164="","",SUMIFS(합계표[시스템 합계],합계표[사번키],INDEX(합계표[사번키],$W164)))</f>
        <v/>
      </c>
      <c r="F164">
        <f>IF($W164="","",SUMIFS(상세표[기록 시간외],상세표[사번키],INDEX(합계표[사번키],$W164),상세표[기록월],대상월키))</f>
        <v/>
      </c>
      <c r="G164">
        <f>IF($W164="","",IF(ABS($E164-$F164)&lt;0.01,"일치","불일치(차이 "&amp;TEXT($F164-$E164,"0.00")&amp;")"))</f>
        <v/>
      </c>
      <c r="H164">
        <f>IF($W164="","",SUMIFS(상세표[기록 시간외],상세표[사번키],INDEX(합계표[사번키],$W164),상세표[기록월],대상월키,상세표[반영월],"&lt;&gt;"&amp;대상월키))</f>
        <v/>
      </c>
      <c r="I164">
        <f>IF($W164="","",SUMIFS(상세표[기록 시간외],상세표[사번키],INDEX(합계표[사번키],$W164),상세표[기록월],"&lt;&gt;"&amp;대상월키,상세표[반영월],대상월키))</f>
        <v/>
      </c>
      <c r="J164">
        <f>IF($W164="","",SUMIFS(상세표[기록 시간외],상세표[사번키],INDEX(합계표[사번키],$W164),상세표[반영월],대상월키))</f>
        <v/>
      </c>
      <c r="K164">
        <f>IF($W164="","",IFERROR(INDEX(월별근무지표[적용 급여병원],MATCH(INDEX(합계표[사번키],$W164)&amp;"|"&amp;대상월키,월별근무지표[키],0))&amp;"",IF(COUNTIF(기관표[사번키],INDEX(합계표[사번키],$W164))+COUNTIF(월별근무지표[사번키],INDEX(합계표[사번키],$W164))&gt;0,IFERROR(INDEX(기관표[급여지급병원(기준월)],MATCH(INDEX(합계표[사번키],$W164)&amp;"|"&amp;대상월키,기관표[키],0))&amp;"","—"),"—")))</f>
        <v/>
      </c>
      <c r="L164">
        <f>IF($W164="","",IF(NOT(COUNTIF(기관표[사번키],INDEX(합계표[사번키],$W164))+COUNTIF(월별근무지표[사번키],INDEX(합계표[사번키],$W164))&gt;0),"기관명단에 없음(다른 병원으로 발송)",IF($K164="—","대상월 기관명단 없음(추가 필요)",IF($K164="서울병원","해당","비해당"))))</f>
        <v/>
      </c>
      <c r="M164">
        <f>IF($W164="","",SUMIFS(상세표[06~07시],상세표[사번키],INDEX(합계표[사번키],$W164),상세표[반영월],대상월키,상세표[반영 기관],"서울병원"))</f>
        <v/>
      </c>
      <c r="N164">
        <f>IF($W164="","",SUMIFS(상세표[07~18시],상세표[사번키],INDEX(합계표[사번키],$W164),상세표[반영월],대상월키,상세표[반영 기관],"서울병원"))</f>
        <v/>
      </c>
      <c r="O164">
        <f>IF($W164="","",SUMIFS(상세표[18~22시],상세표[사번키],INDEX(합계표[사번키],$W164),상세표[반영월],대상월키,상세표[반영 기관],"서울병원"))</f>
        <v/>
      </c>
      <c r="P164">
        <f>IF($W164="","",SUMIFS(상세표[22~06시],상세표[사번키],INDEX(합계표[사번키],$W164),상세표[반영월],대상월키,상세표[반영 기관],"서울병원"))</f>
        <v/>
      </c>
      <c r="Q164">
        <f>IF($W164="","",SUM($M164:$P164))</f>
        <v/>
      </c>
      <c r="R164">
        <f>IF($W164="","",COUNTIFS(상세표[사번키],INDEX(합계표[사번키],$W164),상세표[반영월],대상월키,상세표[야간당직],1,상세표[야간 구분],"평일"))</f>
        <v/>
      </c>
      <c r="S164" s="4">
        <f>IF($W164="","",COUNTIFS(상세표[사번키],INDEX(합계표[사번키],$W164),상세표[반영월],대상월키,상세표[야간당직],1,상세표[야간 구분],"휴일"))</f>
        <v/>
      </c>
      <c r="T164">
        <f>IF($W164="","",COUNTIFS(상세표[사번키],INDEX(합계표[사번키],$W164),상세표[반영월],대상월키,상세표[야간당직],1,상세표[야간 구분],"평일",상세표[반영 기관],"서울병원"))</f>
        <v/>
      </c>
      <c r="U164">
        <f>IF($W164="","",COUNTIFS(상세표[사번키],INDEX(합계표[사번키],$W164),상세표[반영월],대상월키,상세표[야간당직],1,상세표[야간 구분],"휴일",상세표[반영 기관],"서울병원"))</f>
        <v/>
      </c>
      <c r="V164">
        <f>IF($W164="","",IF(ISNUMBER(MATCH(INDEX(합계표[사번키],$W164)&amp;"|"&amp;대상월키,월별근무지표[키],0)),"직접 입력",IF($K164="—","—","기관명단")))</f>
        <v/>
      </c>
      <c r="W164">
        <f>IFERROR(MATCH(159,합계표[판정순번],0),"")</f>
        <v/>
      </c>
      <c r="Y164">
        <f>IF($AB164="","",INDEX(상세표[사번],$AB164)&amp;"")</f>
        <v/>
      </c>
      <c r="Z164">
        <f>IF($AB164="","",INDEX(상세표[성명],$AB164)&amp;"")</f>
        <v/>
      </c>
      <c r="AA164">
        <f>IF($AB164="","",SUMIFS(상세표[기록 시간외],상세표[사번키],INDEX(상세표[사번키],$AB164),상세표[반영월],대상월키))</f>
        <v/>
      </c>
      <c r="AB164" s="4">
        <f>IFERROR(MATCH(159,상세표[합계없음순번],0),"")</f>
        <v/>
      </c>
    </row>
    <row r="165">
      <c r="A165">
        <f>IF($W165="","",INDEX(합계표[사번],$W165)&amp;"")</f>
        <v/>
      </c>
      <c r="B165">
        <f>IF($W165="","",INDEX(합계표[성명],$W165)&amp;"")</f>
        <v/>
      </c>
      <c r="C165">
        <f>IF($W165="","",INDEX(합계표[부서],$W165)&amp;"")</f>
        <v/>
      </c>
      <c r="D165">
        <f>IF($W165="","",INDEX(합계표[직위(통합)],$W165)&amp;"")</f>
        <v/>
      </c>
      <c r="E165">
        <f>IF($W165="","",SUMIFS(합계표[시스템 합계],합계표[사번키],INDEX(합계표[사번키],$W165)))</f>
        <v/>
      </c>
      <c r="F165">
        <f>IF($W165="","",SUMIFS(상세표[기록 시간외],상세표[사번키],INDEX(합계표[사번키],$W165),상세표[기록월],대상월키))</f>
        <v/>
      </c>
      <c r="G165">
        <f>IF($W165="","",IF(ABS($E165-$F165)&lt;0.01,"일치","불일치(차이 "&amp;TEXT($F165-$E165,"0.00")&amp;")"))</f>
        <v/>
      </c>
      <c r="H165">
        <f>IF($W165="","",SUMIFS(상세표[기록 시간외],상세표[사번키],INDEX(합계표[사번키],$W165),상세표[기록월],대상월키,상세표[반영월],"&lt;&gt;"&amp;대상월키))</f>
        <v/>
      </c>
      <c r="I165">
        <f>IF($W165="","",SUMIFS(상세표[기록 시간외],상세표[사번키],INDEX(합계표[사번키],$W165),상세표[기록월],"&lt;&gt;"&amp;대상월키,상세표[반영월],대상월키))</f>
        <v/>
      </c>
      <c r="J165">
        <f>IF($W165="","",SUMIFS(상세표[기록 시간외],상세표[사번키],INDEX(합계표[사번키],$W165),상세표[반영월],대상월키))</f>
        <v/>
      </c>
      <c r="K165">
        <f>IF($W165="","",IFERROR(INDEX(월별근무지표[적용 급여병원],MATCH(INDEX(합계표[사번키],$W165)&amp;"|"&amp;대상월키,월별근무지표[키],0))&amp;"",IF(COUNTIF(기관표[사번키],INDEX(합계표[사번키],$W165))+COUNTIF(월별근무지표[사번키],INDEX(합계표[사번키],$W165))&gt;0,IFERROR(INDEX(기관표[급여지급병원(기준월)],MATCH(INDEX(합계표[사번키],$W165)&amp;"|"&amp;대상월키,기관표[키],0))&amp;"","—"),"—")))</f>
        <v/>
      </c>
      <c r="L165">
        <f>IF($W165="","",IF(NOT(COUNTIF(기관표[사번키],INDEX(합계표[사번키],$W165))+COUNTIF(월별근무지표[사번키],INDEX(합계표[사번키],$W165))&gt;0),"기관명단에 없음(다른 병원으로 발송)",IF($K165="—","대상월 기관명단 없음(추가 필요)",IF($K165="서울병원","해당","비해당"))))</f>
        <v/>
      </c>
      <c r="M165">
        <f>IF($W165="","",SUMIFS(상세표[06~07시],상세표[사번키],INDEX(합계표[사번키],$W165),상세표[반영월],대상월키,상세표[반영 기관],"서울병원"))</f>
        <v/>
      </c>
      <c r="N165">
        <f>IF($W165="","",SUMIFS(상세표[07~18시],상세표[사번키],INDEX(합계표[사번키],$W165),상세표[반영월],대상월키,상세표[반영 기관],"서울병원"))</f>
        <v/>
      </c>
      <c r="O165">
        <f>IF($W165="","",SUMIFS(상세표[18~22시],상세표[사번키],INDEX(합계표[사번키],$W165),상세표[반영월],대상월키,상세표[반영 기관],"서울병원"))</f>
        <v/>
      </c>
      <c r="P165">
        <f>IF($W165="","",SUMIFS(상세표[22~06시],상세표[사번키],INDEX(합계표[사번키],$W165),상세표[반영월],대상월키,상세표[반영 기관],"서울병원"))</f>
        <v/>
      </c>
      <c r="Q165">
        <f>IF($W165="","",SUM($M165:$P165))</f>
        <v/>
      </c>
      <c r="R165">
        <f>IF($W165="","",COUNTIFS(상세표[사번키],INDEX(합계표[사번키],$W165),상세표[반영월],대상월키,상세표[야간당직],1,상세표[야간 구분],"평일"))</f>
        <v/>
      </c>
      <c r="S165" s="4">
        <f>IF($W165="","",COUNTIFS(상세표[사번키],INDEX(합계표[사번키],$W165),상세표[반영월],대상월키,상세표[야간당직],1,상세표[야간 구분],"휴일"))</f>
        <v/>
      </c>
      <c r="T165">
        <f>IF($W165="","",COUNTIFS(상세표[사번키],INDEX(합계표[사번키],$W165),상세표[반영월],대상월키,상세표[야간당직],1,상세표[야간 구분],"평일",상세표[반영 기관],"서울병원"))</f>
        <v/>
      </c>
      <c r="U165">
        <f>IF($W165="","",COUNTIFS(상세표[사번키],INDEX(합계표[사번키],$W165),상세표[반영월],대상월키,상세표[야간당직],1,상세표[야간 구분],"휴일",상세표[반영 기관],"서울병원"))</f>
        <v/>
      </c>
      <c r="V165">
        <f>IF($W165="","",IF(ISNUMBER(MATCH(INDEX(합계표[사번키],$W165)&amp;"|"&amp;대상월키,월별근무지표[키],0)),"직접 입력",IF($K165="—","—","기관명단")))</f>
        <v/>
      </c>
      <c r="W165">
        <f>IFERROR(MATCH(160,합계표[판정순번],0),"")</f>
        <v/>
      </c>
      <c r="Y165">
        <f>IF($AB165="","",INDEX(상세표[사번],$AB165)&amp;"")</f>
        <v/>
      </c>
      <c r="Z165">
        <f>IF($AB165="","",INDEX(상세표[성명],$AB165)&amp;"")</f>
        <v/>
      </c>
      <c r="AA165">
        <f>IF($AB165="","",SUMIFS(상세표[기록 시간외],상세표[사번키],INDEX(상세표[사번키],$AB165),상세표[반영월],대상월키))</f>
        <v/>
      </c>
      <c r="AB165" s="4">
        <f>IFERROR(MATCH(160,상세표[합계없음순번],0),"")</f>
        <v/>
      </c>
    </row>
    <row r="166">
      <c r="A166">
        <f>IF($W166="","",INDEX(합계표[사번],$W166)&amp;"")</f>
        <v/>
      </c>
      <c r="B166">
        <f>IF($W166="","",INDEX(합계표[성명],$W166)&amp;"")</f>
        <v/>
      </c>
      <c r="C166">
        <f>IF($W166="","",INDEX(합계표[부서],$W166)&amp;"")</f>
        <v/>
      </c>
      <c r="D166">
        <f>IF($W166="","",INDEX(합계표[직위(통합)],$W166)&amp;"")</f>
        <v/>
      </c>
      <c r="E166">
        <f>IF($W166="","",SUMIFS(합계표[시스템 합계],합계표[사번키],INDEX(합계표[사번키],$W166)))</f>
        <v/>
      </c>
      <c r="F166">
        <f>IF($W166="","",SUMIFS(상세표[기록 시간외],상세표[사번키],INDEX(합계표[사번키],$W166),상세표[기록월],대상월키))</f>
        <v/>
      </c>
      <c r="G166">
        <f>IF($W166="","",IF(ABS($E166-$F166)&lt;0.01,"일치","불일치(차이 "&amp;TEXT($F166-$E166,"0.00")&amp;")"))</f>
        <v/>
      </c>
      <c r="H166">
        <f>IF($W166="","",SUMIFS(상세표[기록 시간외],상세표[사번키],INDEX(합계표[사번키],$W166),상세표[기록월],대상월키,상세표[반영월],"&lt;&gt;"&amp;대상월키))</f>
        <v/>
      </c>
      <c r="I166">
        <f>IF($W166="","",SUMIFS(상세표[기록 시간외],상세표[사번키],INDEX(합계표[사번키],$W166),상세표[기록월],"&lt;&gt;"&amp;대상월키,상세표[반영월],대상월키))</f>
        <v/>
      </c>
      <c r="J166">
        <f>IF($W166="","",SUMIFS(상세표[기록 시간외],상세표[사번키],INDEX(합계표[사번키],$W166),상세표[반영월],대상월키))</f>
        <v/>
      </c>
      <c r="K166">
        <f>IF($W166="","",IFERROR(INDEX(월별근무지표[적용 급여병원],MATCH(INDEX(합계표[사번키],$W166)&amp;"|"&amp;대상월키,월별근무지표[키],0))&amp;"",IF(COUNTIF(기관표[사번키],INDEX(합계표[사번키],$W166))+COUNTIF(월별근무지표[사번키],INDEX(합계표[사번키],$W166))&gt;0,IFERROR(INDEX(기관표[급여지급병원(기준월)],MATCH(INDEX(합계표[사번키],$W166)&amp;"|"&amp;대상월키,기관표[키],0))&amp;"","—"),"—")))</f>
        <v/>
      </c>
      <c r="L166">
        <f>IF($W166="","",IF(NOT(COUNTIF(기관표[사번키],INDEX(합계표[사번키],$W166))+COUNTIF(월별근무지표[사번키],INDEX(합계표[사번키],$W166))&gt;0),"기관명단에 없음(다른 병원으로 발송)",IF($K166="—","대상월 기관명단 없음(추가 필요)",IF($K166="서울병원","해당","비해당"))))</f>
        <v/>
      </c>
      <c r="M166">
        <f>IF($W166="","",SUMIFS(상세표[06~07시],상세표[사번키],INDEX(합계표[사번키],$W166),상세표[반영월],대상월키,상세표[반영 기관],"서울병원"))</f>
        <v/>
      </c>
      <c r="N166">
        <f>IF($W166="","",SUMIFS(상세표[07~18시],상세표[사번키],INDEX(합계표[사번키],$W166),상세표[반영월],대상월키,상세표[반영 기관],"서울병원"))</f>
        <v/>
      </c>
      <c r="O166">
        <f>IF($W166="","",SUMIFS(상세표[18~22시],상세표[사번키],INDEX(합계표[사번키],$W166),상세표[반영월],대상월키,상세표[반영 기관],"서울병원"))</f>
        <v/>
      </c>
      <c r="P166">
        <f>IF($W166="","",SUMIFS(상세표[22~06시],상세표[사번키],INDEX(합계표[사번키],$W166),상세표[반영월],대상월키,상세표[반영 기관],"서울병원"))</f>
        <v/>
      </c>
      <c r="Q166">
        <f>IF($W166="","",SUM($M166:$P166))</f>
        <v/>
      </c>
      <c r="R166">
        <f>IF($W166="","",COUNTIFS(상세표[사번키],INDEX(합계표[사번키],$W166),상세표[반영월],대상월키,상세표[야간당직],1,상세표[야간 구분],"평일"))</f>
        <v/>
      </c>
      <c r="S166" s="4">
        <f>IF($W166="","",COUNTIFS(상세표[사번키],INDEX(합계표[사번키],$W166),상세표[반영월],대상월키,상세표[야간당직],1,상세표[야간 구분],"휴일"))</f>
        <v/>
      </c>
      <c r="T166">
        <f>IF($W166="","",COUNTIFS(상세표[사번키],INDEX(합계표[사번키],$W166),상세표[반영월],대상월키,상세표[야간당직],1,상세표[야간 구분],"평일",상세표[반영 기관],"서울병원"))</f>
        <v/>
      </c>
      <c r="U166">
        <f>IF($W166="","",COUNTIFS(상세표[사번키],INDEX(합계표[사번키],$W166),상세표[반영월],대상월키,상세표[야간당직],1,상세표[야간 구분],"휴일",상세표[반영 기관],"서울병원"))</f>
        <v/>
      </c>
      <c r="V166">
        <f>IF($W166="","",IF(ISNUMBER(MATCH(INDEX(합계표[사번키],$W166)&amp;"|"&amp;대상월키,월별근무지표[키],0)),"직접 입력",IF($K166="—","—","기관명단")))</f>
        <v/>
      </c>
      <c r="W166">
        <f>IFERROR(MATCH(161,합계표[판정순번],0),"")</f>
        <v/>
      </c>
      <c r="Y166">
        <f>IF($AB166="","",INDEX(상세표[사번],$AB166)&amp;"")</f>
        <v/>
      </c>
      <c r="Z166">
        <f>IF($AB166="","",INDEX(상세표[성명],$AB166)&amp;"")</f>
        <v/>
      </c>
      <c r="AA166">
        <f>IF($AB166="","",SUMIFS(상세표[기록 시간외],상세표[사번키],INDEX(상세표[사번키],$AB166),상세표[반영월],대상월키))</f>
        <v/>
      </c>
      <c r="AB166" s="4">
        <f>IFERROR(MATCH(161,상세표[합계없음순번],0),"")</f>
        <v/>
      </c>
    </row>
    <row r="167">
      <c r="A167">
        <f>IF($W167="","",INDEX(합계표[사번],$W167)&amp;"")</f>
        <v/>
      </c>
      <c r="B167">
        <f>IF($W167="","",INDEX(합계표[성명],$W167)&amp;"")</f>
        <v/>
      </c>
      <c r="C167">
        <f>IF($W167="","",INDEX(합계표[부서],$W167)&amp;"")</f>
        <v/>
      </c>
      <c r="D167">
        <f>IF($W167="","",INDEX(합계표[직위(통합)],$W167)&amp;"")</f>
        <v/>
      </c>
      <c r="E167">
        <f>IF($W167="","",SUMIFS(합계표[시스템 합계],합계표[사번키],INDEX(합계표[사번키],$W167)))</f>
        <v/>
      </c>
      <c r="F167">
        <f>IF($W167="","",SUMIFS(상세표[기록 시간외],상세표[사번키],INDEX(합계표[사번키],$W167),상세표[기록월],대상월키))</f>
        <v/>
      </c>
      <c r="G167">
        <f>IF($W167="","",IF(ABS($E167-$F167)&lt;0.01,"일치","불일치(차이 "&amp;TEXT($F167-$E167,"0.00")&amp;")"))</f>
        <v/>
      </c>
      <c r="H167">
        <f>IF($W167="","",SUMIFS(상세표[기록 시간외],상세표[사번키],INDEX(합계표[사번키],$W167),상세표[기록월],대상월키,상세표[반영월],"&lt;&gt;"&amp;대상월키))</f>
        <v/>
      </c>
      <c r="I167">
        <f>IF($W167="","",SUMIFS(상세표[기록 시간외],상세표[사번키],INDEX(합계표[사번키],$W167),상세표[기록월],"&lt;&gt;"&amp;대상월키,상세표[반영월],대상월키))</f>
        <v/>
      </c>
      <c r="J167">
        <f>IF($W167="","",SUMIFS(상세표[기록 시간외],상세표[사번키],INDEX(합계표[사번키],$W167),상세표[반영월],대상월키))</f>
        <v/>
      </c>
      <c r="K167">
        <f>IF($W167="","",IFERROR(INDEX(월별근무지표[적용 급여병원],MATCH(INDEX(합계표[사번키],$W167)&amp;"|"&amp;대상월키,월별근무지표[키],0))&amp;"",IF(COUNTIF(기관표[사번키],INDEX(합계표[사번키],$W167))+COUNTIF(월별근무지표[사번키],INDEX(합계표[사번키],$W167))&gt;0,IFERROR(INDEX(기관표[급여지급병원(기준월)],MATCH(INDEX(합계표[사번키],$W167)&amp;"|"&amp;대상월키,기관표[키],0))&amp;"","—"),"—")))</f>
        <v/>
      </c>
      <c r="L167">
        <f>IF($W167="","",IF(NOT(COUNTIF(기관표[사번키],INDEX(합계표[사번키],$W167))+COUNTIF(월별근무지표[사번키],INDEX(합계표[사번키],$W167))&gt;0),"기관명단에 없음(다른 병원으로 발송)",IF($K167="—","대상월 기관명단 없음(추가 필요)",IF($K167="서울병원","해당","비해당"))))</f>
        <v/>
      </c>
      <c r="M167">
        <f>IF($W167="","",SUMIFS(상세표[06~07시],상세표[사번키],INDEX(합계표[사번키],$W167),상세표[반영월],대상월키,상세표[반영 기관],"서울병원"))</f>
        <v/>
      </c>
      <c r="N167">
        <f>IF($W167="","",SUMIFS(상세표[07~18시],상세표[사번키],INDEX(합계표[사번키],$W167),상세표[반영월],대상월키,상세표[반영 기관],"서울병원"))</f>
        <v/>
      </c>
      <c r="O167">
        <f>IF($W167="","",SUMIFS(상세표[18~22시],상세표[사번키],INDEX(합계표[사번키],$W167),상세표[반영월],대상월키,상세표[반영 기관],"서울병원"))</f>
        <v/>
      </c>
      <c r="P167">
        <f>IF($W167="","",SUMIFS(상세표[22~06시],상세표[사번키],INDEX(합계표[사번키],$W167),상세표[반영월],대상월키,상세표[반영 기관],"서울병원"))</f>
        <v/>
      </c>
      <c r="Q167">
        <f>IF($W167="","",SUM($M167:$P167))</f>
        <v/>
      </c>
      <c r="R167">
        <f>IF($W167="","",COUNTIFS(상세표[사번키],INDEX(합계표[사번키],$W167),상세표[반영월],대상월키,상세표[야간당직],1,상세표[야간 구분],"평일"))</f>
        <v/>
      </c>
      <c r="S167" s="4">
        <f>IF($W167="","",COUNTIFS(상세표[사번키],INDEX(합계표[사번키],$W167),상세표[반영월],대상월키,상세표[야간당직],1,상세표[야간 구분],"휴일"))</f>
        <v/>
      </c>
      <c r="T167">
        <f>IF($W167="","",COUNTIFS(상세표[사번키],INDEX(합계표[사번키],$W167),상세표[반영월],대상월키,상세표[야간당직],1,상세표[야간 구분],"평일",상세표[반영 기관],"서울병원"))</f>
        <v/>
      </c>
      <c r="U167">
        <f>IF($W167="","",COUNTIFS(상세표[사번키],INDEX(합계표[사번키],$W167),상세표[반영월],대상월키,상세표[야간당직],1,상세표[야간 구분],"휴일",상세표[반영 기관],"서울병원"))</f>
        <v/>
      </c>
      <c r="V167">
        <f>IF($W167="","",IF(ISNUMBER(MATCH(INDEX(합계표[사번키],$W167)&amp;"|"&amp;대상월키,월별근무지표[키],0)),"직접 입력",IF($K167="—","—","기관명단")))</f>
        <v/>
      </c>
      <c r="W167">
        <f>IFERROR(MATCH(162,합계표[판정순번],0),"")</f>
        <v/>
      </c>
      <c r="Y167">
        <f>IF($AB167="","",INDEX(상세표[사번],$AB167)&amp;"")</f>
        <v/>
      </c>
      <c r="Z167">
        <f>IF($AB167="","",INDEX(상세표[성명],$AB167)&amp;"")</f>
        <v/>
      </c>
      <c r="AA167">
        <f>IF($AB167="","",SUMIFS(상세표[기록 시간외],상세표[사번키],INDEX(상세표[사번키],$AB167),상세표[반영월],대상월키))</f>
        <v/>
      </c>
      <c r="AB167" s="4">
        <f>IFERROR(MATCH(162,상세표[합계없음순번],0),"")</f>
        <v/>
      </c>
    </row>
    <row r="168">
      <c r="A168">
        <f>IF($W168="","",INDEX(합계표[사번],$W168)&amp;"")</f>
        <v/>
      </c>
      <c r="B168">
        <f>IF($W168="","",INDEX(합계표[성명],$W168)&amp;"")</f>
        <v/>
      </c>
      <c r="C168">
        <f>IF($W168="","",INDEX(합계표[부서],$W168)&amp;"")</f>
        <v/>
      </c>
      <c r="D168">
        <f>IF($W168="","",INDEX(합계표[직위(통합)],$W168)&amp;"")</f>
        <v/>
      </c>
      <c r="E168">
        <f>IF($W168="","",SUMIFS(합계표[시스템 합계],합계표[사번키],INDEX(합계표[사번키],$W168)))</f>
        <v/>
      </c>
      <c r="F168">
        <f>IF($W168="","",SUMIFS(상세표[기록 시간외],상세표[사번키],INDEX(합계표[사번키],$W168),상세표[기록월],대상월키))</f>
        <v/>
      </c>
      <c r="G168">
        <f>IF($W168="","",IF(ABS($E168-$F168)&lt;0.01,"일치","불일치(차이 "&amp;TEXT($F168-$E168,"0.00")&amp;")"))</f>
        <v/>
      </c>
      <c r="H168">
        <f>IF($W168="","",SUMIFS(상세표[기록 시간외],상세표[사번키],INDEX(합계표[사번키],$W168),상세표[기록월],대상월키,상세표[반영월],"&lt;&gt;"&amp;대상월키))</f>
        <v/>
      </c>
      <c r="I168">
        <f>IF($W168="","",SUMIFS(상세표[기록 시간외],상세표[사번키],INDEX(합계표[사번키],$W168),상세표[기록월],"&lt;&gt;"&amp;대상월키,상세표[반영월],대상월키))</f>
        <v/>
      </c>
      <c r="J168">
        <f>IF($W168="","",SUMIFS(상세표[기록 시간외],상세표[사번키],INDEX(합계표[사번키],$W168),상세표[반영월],대상월키))</f>
        <v/>
      </c>
      <c r="K168">
        <f>IF($W168="","",IFERROR(INDEX(월별근무지표[적용 급여병원],MATCH(INDEX(합계표[사번키],$W168)&amp;"|"&amp;대상월키,월별근무지표[키],0))&amp;"",IF(COUNTIF(기관표[사번키],INDEX(합계표[사번키],$W168))+COUNTIF(월별근무지표[사번키],INDEX(합계표[사번키],$W168))&gt;0,IFERROR(INDEX(기관표[급여지급병원(기준월)],MATCH(INDEX(합계표[사번키],$W168)&amp;"|"&amp;대상월키,기관표[키],0))&amp;"","—"),"—")))</f>
        <v/>
      </c>
      <c r="L168">
        <f>IF($W168="","",IF(NOT(COUNTIF(기관표[사번키],INDEX(합계표[사번키],$W168))+COUNTIF(월별근무지표[사번키],INDEX(합계표[사번키],$W168))&gt;0),"기관명단에 없음(다른 병원으로 발송)",IF($K168="—","대상월 기관명단 없음(추가 필요)",IF($K168="서울병원","해당","비해당"))))</f>
        <v/>
      </c>
      <c r="M168">
        <f>IF($W168="","",SUMIFS(상세표[06~07시],상세표[사번키],INDEX(합계표[사번키],$W168),상세표[반영월],대상월키,상세표[반영 기관],"서울병원"))</f>
        <v/>
      </c>
      <c r="N168">
        <f>IF($W168="","",SUMIFS(상세표[07~18시],상세표[사번키],INDEX(합계표[사번키],$W168),상세표[반영월],대상월키,상세표[반영 기관],"서울병원"))</f>
        <v/>
      </c>
      <c r="O168">
        <f>IF($W168="","",SUMIFS(상세표[18~22시],상세표[사번키],INDEX(합계표[사번키],$W168),상세표[반영월],대상월키,상세표[반영 기관],"서울병원"))</f>
        <v/>
      </c>
      <c r="P168">
        <f>IF($W168="","",SUMIFS(상세표[22~06시],상세표[사번키],INDEX(합계표[사번키],$W168),상세표[반영월],대상월키,상세표[반영 기관],"서울병원"))</f>
        <v/>
      </c>
      <c r="Q168">
        <f>IF($W168="","",SUM($M168:$P168))</f>
        <v/>
      </c>
      <c r="R168">
        <f>IF($W168="","",COUNTIFS(상세표[사번키],INDEX(합계표[사번키],$W168),상세표[반영월],대상월키,상세표[야간당직],1,상세표[야간 구분],"평일"))</f>
        <v/>
      </c>
      <c r="S168" s="4">
        <f>IF($W168="","",COUNTIFS(상세표[사번키],INDEX(합계표[사번키],$W168),상세표[반영월],대상월키,상세표[야간당직],1,상세표[야간 구분],"휴일"))</f>
        <v/>
      </c>
      <c r="T168">
        <f>IF($W168="","",COUNTIFS(상세표[사번키],INDEX(합계표[사번키],$W168),상세표[반영월],대상월키,상세표[야간당직],1,상세표[야간 구분],"평일",상세표[반영 기관],"서울병원"))</f>
        <v/>
      </c>
      <c r="U168">
        <f>IF($W168="","",COUNTIFS(상세표[사번키],INDEX(합계표[사번키],$W168),상세표[반영월],대상월키,상세표[야간당직],1,상세표[야간 구분],"휴일",상세표[반영 기관],"서울병원"))</f>
        <v/>
      </c>
      <c r="V168">
        <f>IF($W168="","",IF(ISNUMBER(MATCH(INDEX(합계표[사번키],$W168)&amp;"|"&amp;대상월키,월별근무지표[키],0)),"직접 입력",IF($K168="—","—","기관명단")))</f>
        <v/>
      </c>
      <c r="W168">
        <f>IFERROR(MATCH(163,합계표[판정순번],0),"")</f>
        <v/>
      </c>
      <c r="Y168">
        <f>IF($AB168="","",INDEX(상세표[사번],$AB168)&amp;"")</f>
        <v/>
      </c>
      <c r="Z168">
        <f>IF($AB168="","",INDEX(상세표[성명],$AB168)&amp;"")</f>
        <v/>
      </c>
      <c r="AA168">
        <f>IF($AB168="","",SUMIFS(상세표[기록 시간외],상세표[사번키],INDEX(상세표[사번키],$AB168),상세표[반영월],대상월키))</f>
        <v/>
      </c>
      <c r="AB168" s="4">
        <f>IFERROR(MATCH(163,상세표[합계없음순번],0),"")</f>
        <v/>
      </c>
    </row>
    <row r="169">
      <c r="A169">
        <f>IF($W169="","",INDEX(합계표[사번],$W169)&amp;"")</f>
        <v/>
      </c>
      <c r="B169">
        <f>IF($W169="","",INDEX(합계표[성명],$W169)&amp;"")</f>
        <v/>
      </c>
      <c r="C169">
        <f>IF($W169="","",INDEX(합계표[부서],$W169)&amp;"")</f>
        <v/>
      </c>
      <c r="D169">
        <f>IF($W169="","",INDEX(합계표[직위(통합)],$W169)&amp;"")</f>
        <v/>
      </c>
      <c r="E169">
        <f>IF($W169="","",SUMIFS(합계표[시스템 합계],합계표[사번키],INDEX(합계표[사번키],$W169)))</f>
        <v/>
      </c>
      <c r="F169">
        <f>IF($W169="","",SUMIFS(상세표[기록 시간외],상세표[사번키],INDEX(합계표[사번키],$W169),상세표[기록월],대상월키))</f>
        <v/>
      </c>
      <c r="G169">
        <f>IF($W169="","",IF(ABS($E169-$F169)&lt;0.01,"일치","불일치(차이 "&amp;TEXT($F169-$E169,"0.00")&amp;")"))</f>
        <v/>
      </c>
      <c r="H169">
        <f>IF($W169="","",SUMIFS(상세표[기록 시간외],상세표[사번키],INDEX(합계표[사번키],$W169),상세표[기록월],대상월키,상세표[반영월],"&lt;&gt;"&amp;대상월키))</f>
        <v/>
      </c>
      <c r="I169">
        <f>IF($W169="","",SUMIFS(상세표[기록 시간외],상세표[사번키],INDEX(합계표[사번키],$W169),상세표[기록월],"&lt;&gt;"&amp;대상월키,상세표[반영월],대상월키))</f>
        <v/>
      </c>
      <c r="J169">
        <f>IF($W169="","",SUMIFS(상세표[기록 시간외],상세표[사번키],INDEX(합계표[사번키],$W169),상세표[반영월],대상월키))</f>
        <v/>
      </c>
      <c r="K169">
        <f>IF($W169="","",IFERROR(INDEX(월별근무지표[적용 급여병원],MATCH(INDEX(합계표[사번키],$W169)&amp;"|"&amp;대상월키,월별근무지표[키],0))&amp;"",IF(COUNTIF(기관표[사번키],INDEX(합계표[사번키],$W169))+COUNTIF(월별근무지표[사번키],INDEX(합계표[사번키],$W169))&gt;0,IFERROR(INDEX(기관표[급여지급병원(기준월)],MATCH(INDEX(합계표[사번키],$W169)&amp;"|"&amp;대상월키,기관표[키],0))&amp;"","—"),"—")))</f>
        <v/>
      </c>
      <c r="L169">
        <f>IF($W169="","",IF(NOT(COUNTIF(기관표[사번키],INDEX(합계표[사번키],$W169))+COUNTIF(월별근무지표[사번키],INDEX(합계표[사번키],$W169))&gt;0),"기관명단에 없음(다른 병원으로 발송)",IF($K169="—","대상월 기관명단 없음(추가 필요)",IF($K169="서울병원","해당","비해당"))))</f>
        <v/>
      </c>
      <c r="M169">
        <f>IF($W169="","",SUMIFS(상세표[06~07시],상세표[사번키],INDEX(합계표[사번키],$W169),상세표[반영월],대상월키,상세표[반영 기관],"서울병원"))</f>
        <v/>
      </c>
      <c r="N169">
        <f>IF($W169="","",SUMIFS(상세표[07~18시],상세표[사번키],INDEX(합계표[사번키],$W169),상세표[반영월],대상월키,상세표[반영 기관],"서울병원"))</f>
        <v/>
      </c>
      <c r="O169">
        <f>IF($W169="","",SUMIFS(상세표[18~22시],상세표[사번키],INDEX(합계표[사번키],$W169),상세표[반영월],대상월키,상세표[반영 기관],"서울병원"))</f>
        <v/>
      </c>
      <c r="P169">
        <f>IF($W169="","",SUMIFS(상세표[22~06시],상세표[사번키],INDEX(합계표[사번키],$W169),상세표[반영월],대상월키,상세표[반영 기관],"서울병원"))</f>
        <v/>
      </c>
      <c r="Q169">
        <f>IF($W169="","",SUM($M169:$P169))</f>
        <v/>
      </c>
      <c r="R169">
        <f>IF($W169="","",COUNTIFS(상세표[사번키],INDEX(합계표[사번키],$W169),상세표[반영월],대상월키,상세표[야간당직],1,상세표[야간 구분],"평일"))</f>
        <v/>
      </c>
      <c r="S169" s="4">
        <f>IF($W169="","",COUNTIFS(상세표[사번키],INDEX(합계표[사번키],$W169),상세표[반영월],대상월키,상세표[야간당직],1,상세표[야간 구분],"휴일"))</f>
        <v/>
      </c>
      <c r="T169">
        <f>IF($W169="","",COUNTIFS(상세표[사번키],INDEX(합계표[사번키],$W169),상세표[반영월],대상월키,상세표[야간당직],1,상세표[야간 구분],"평일",상세표[반영 기관],"서울병원"))</f>
        <v/>
      </c>
      <c r="U169">
        <f>IF($W169="","",COUNTIFS(상세표[사번키],INDEX(합계표[사번키],$W169),상세표[반영월],대상월키,상세표[야간당직],1,상세표[야간 구분],"휴일",상세표[반영 기관],"서울병원"))</f>
        <v/>
      </c>
      <c r="V169">
        <f>IF($W169="","",IF(ISNUMBER(MATCH(INDEX(합계표[사번키],$W169)&amp;"|"&amp;대상월키,월별근무지표[키],0)),"직접 입력",IF($K169="—","—","기관명단")))</f>
        <v/>
      </c>
      <c r="W169">
        <f>IFERROR(MATCH(164,합계표[판정순번],0),"")</f>
        <v/>
      </c>
      <c r="Y169">
        <f>IF($AB169="","",INDEX(상세표[사번],$AB169)&amp;"")</f>
        <v/>
      </c>
      <c r="Z169">
        <f>IF($AB169="","",INDEX(상세표[성명],$AB169)&amp;"")</f>
        <v/>
      </c>
      <c r="AA169">
        <f>IF($AB169="","",SUMIFS(상세표[기록 시간외],상세표[사번키],INDEX(상세표[사번키],$AB169),상세표[반영월],대상월키))</f>
        <v/>
      </c>
      <c r="AB169" s="4">
        <f>IFERROR(MATCH(164,상세표[합계없음순번],0),"")</f>
        <v/>
      </c>
    </row>
    <row r="170">
      <c r="A170">
        <f>IF($W170="","",INDEX(합계표[사번],$W170)&amp;"")</f>
        <v/>
      </c>
      <c r="B170">
        <f>IF($W170="","",INDEX(합계표[성명],$W170)&amp;"")</f>
        <v/>
      </c>
      <c r="C170">
        <f>IF($W170="","",INDEX(합계표[부서],$W170)&amp;"")</f>
        <v/>
      </c>
      <c r="D170">
        <f>IF($W170="","",INDEX(합계표[직위(통합)],$W170)&amp;"")</f>
        <v/>
      </c>
      <c r="E170">
        <f>IF($W170="","",SUMIFS(합계표[시스템 합계],합계표[사번키],INDEX(합계표[사번키],$W170)))</f>
        <v/>
      </c>
      <c r="F170">
        <f>IF($W170="","",SUMIFS(상세표[기록 시간외],상세표[사번키],INDEX(합계표[사번키],$W170),상세표[기록월],대상월키))</f>
        <v/>
      </c>
      <c r="G170">
        <f>IF($W170="","",IF(ABS($E170-$F170)&lt;0.01,"일치","불일치(차이 "&amp;TEXT($F170-$E170,"0.00")&amp;")"))</f>
        <v/>
      </c>
      <c r="H170">
        <f>IF($W170="","",SUMIFS(상세표[기록 시간외],상세표[사번키],INDEX(합계표[사번키],$W170),상세표[기록월],대상월키,상세표[반영월],"&lt;&gt;"&amp;대상월키))</f>
        <v/>
      </c>
      <c r="I170">
        <f>IF($W170="","",SUMIFS(상세표[기록 시간외],상세표[사번키],INDEX(합계표[사번키],$W170),상세표[기록월],"&lt;&gt;"&amp;대상월키,상세표[반영월],대상월키))</f>
        <v/>
      </c>
      <c r="J170">
        <f>IF($W170="","",SUMIFS(상세표[기록 시간외],상세표[사번키],INDEX(합계표[사번키],$W170),상세표[반영월],대상월키))</f>
        <v/>
      </c>
      <c r="K170">
        <f>IF($W170="","",IFERROR(INDEX(월별근무지표[적용 급여병원],MATCH(INDEX(합계표[사번키],$W170)&amp;"|"&amp;대상월키,월별근무지표[키],0))&amp;"",IF(COUNTIF(기관표[사번키],INDEX(합계표[사번키],$W170))+COUNTIF(월별근무지표[사번키],INDEX(합계표[사번키],$W170))&gt;0,IFERROR(INDEX(기관표[급여지급병원(기준월)],MATCH(INDEX(합계표[사번키],$W170)&amp;"|"&amp;대상월키,기관표[키],0))&amp;"","—"),"—")))</f>
        <v/>
      </c>
      <c r="L170">
        <f>IF($W170="","",IF(NOT(COUNTIF(기관표[사번키],INDEX(합계표[사번키],$W170))+COUNTIF(월별근무지표[사번키],INDEX(합계표[사번키],$W170))&gt;0),"기관명단에 없음(다른 병원으로 발송)",IF($K170="—","대상월 기관명단 없음(추가 필요)",IF($K170="서울병원","해당","비해당"))))</f>
        <v/>
      </c>
      <c r="M170">
        <f>IF($W170="","",SUMIFS(상세표[06~07시],상세표[사번키],INDEX(합계표[사번키],$W170),상세표[반영월],대상월키,상세표[반영 기관],"서울병원"))</f>
        <v/>
      </c>
      <c r="N170">
        <f>IF($W170="","",SUMIFS(상세표[07~18시],상세표[사번키],INDEX(합계표[사번키],$W170),상세표[반영월],대상월키,상세표[반영 기관],"서울병원"))</f>
        <v/>
      </c>
      <c r="O170">
        <f>IF($W170="","",SUMIFS(상세표[18~22시],상세표[사번키],INDEX(합계표[사번키],$W170),상세표[반영월],대상월키,상세표[반영 기관],"서울병원"))</f>
        <v/>
      </c>
      <c r="P170">
        <f>IF($W170="","",SUMIFS(상세표[22~06시],상세표[사번키],INDEX(합계표[사번키],$W170),상세표[반영월],대상월키,상세표[반영 기관],"서울병원"))</f>
        <v/>
      </c>
      <c r="Q170">
        <f>IF($W170="","",SUM($M170:$P170))</f>
        <v/>
      </c>
      <c r="R170">
        <f>IF($W170="","",COUNTIFS(상세표[사번키],INDEX(합계표[사번키],$W170),상세표[반영월],대상월키,상세표[야간당직],1,상세표[야간 구분],"평일"))</f>
        <v/>
      </c>
      <c r="S170" s="4">
        <f>IF($W170="","",COUNTIFS(상세표[사번키],INDEX(합계표[사번키],$W170),상세표[반영월],대상월키,상세표[야간당직],1,상세표[야간 구분],"휴일"))</f>
        <v/>
      </c>
      <c r="T170">
        <f>IF($W170="","",COUNTIFS(상세표[사번키],INDEX(합계표[사번키],$W170),상세표[반영월],대상월키,상세표[야간당직],1,상세표[야간 구분],"평일",상세표[반영 기관],"서울병원"))</f>
        <v/>
      </c>
      <c r="U170">
        <f>IF($W170="","",COUNTIFS(상세표[사번키],INDEX(합계표[사번키],$W170),상세표[반영월],대상월키,상세표[야간당직],1,상세표[야간 구분],"휴일",상세표[반영 기관],"서울병원"))</f>
        <v/>
      </c>
      <c r="V170">
        <f>IF($W170="","",IF(ISNUMBER(MATCH(INDEX(합계표[사번키],$W170)&amp;"|"&amp;대상월키,월별근무지표[키],0)),"직접 입력",IF($K170="—","—","기관명단")))</f>
        <v/>
      </c>
      <c r="W170">
        <f>IFERROR(MATCH(165,합계표[판정순번],0),"")</f>
        <v/>
      </c>
      <c r="Y170">
        <f>IF($AB170="","",INDEX(상세표[사번],$AB170)&amp;"")</f>
        <v/>
      </c>
      <c r="Z170">
        <f>IF($AB170="","",INDEX(상세표[성명],$AB170)&amp;"")</f>
        <v/>
      </c>
      <c r="AA170">
        <f>IF($AB170="","",SUMIFS(상세표[기록 시간외],상세표[사번키],INDEX(상세표[사번키],$AB170),상세표[반영월],대상월키))</f>
        <v/>
      </c>
      <c r="AB170" s="4">
        <f>IFERROR(MATCH(165,상세표[합계없음순번],0),"")</f>
        <v/>
      </c>
    </row>
    <row r="171">
      <c r="A171">
        <f>IF($W171="","",INDEX(합계표[사번],$W171)&amp;"")</f>
        <v/>
      </c>
      <c r="B171">
        <f>IF($W171="","",INDEX(합계표[성명],$W171)&amp;"")</f>
        <v/>
      </c>
      <c r="C171">
        <f>IF($W171="","",INDEX(합계표[부서],$W171)&amp;"")</f>
        <v/>
      </c>
      <c r="D171">
        <f>IF($W171="","",INDEX(합계표[직위(통합)],$W171)&amp;"")</f>
        <v/>
      </c>
      <c r="E171">
        <f>IF($W171="","",SUMIFS(합계표[시스템 합계],합계표[사번키],INDEX(합계표[사번키],$W171)))</f>
        <v/>
      </c>
      <c r="F171">
        <f>IF($W171="","",SUMIFS(상세표[기록 시간외],상세표[사번키],INDEX(합계표[사번키],$W171),상세표[기록월],대상월키))</f>
        <v/>
      </c>
      <c r="G171">
        <f>IF($W171="","",IF(ABS($E171-$F171)&lt;0.01,"일치","불일치(차이 "&amp;TEXT($F171-$E171,"0.00")&amp;")"))</f>
        <v/>
      </c>
      <c r="H171">
        <f>IF($W171="","",SUMIFS(상세표[기록 시간외],상세표[사번키],INDEX(합계표[사번키],$W171),상세표[기록월],대상월키,상세표[반영월],"&lt;&gt;"&amp;대상월키))</f>
        <v/>
      </c>
      <c r="I171">
        <f>IF($W171="","",SUMIFS(상세표[기록 시간외],상세표[사번키],INDEX(합계표[사번키],$W171),상세표[기록월],"&lt;&gt;"&amp;대상월키,상세표[반영월],대상월키))</f>
        <v/>
      </c>
      <c r="J171">
        <f>IF($W171="","",SUMIFS(상세표[기록 시간외],상세표[사번키],INDEX(합계표[사번키],$W171),상세표[반영월],대상월키))</f>
        <v/>
      </c>
      <c r="K171">
        <f>IF($W171="","",IFERROR(INDEX(월별근무지표[적용 급여병원],MATCH(INDEX(합계표[사번키],$W171)&amp;"|"&amp;대상월키,월별근무지표[키],0))&amp;"",IF(COUNTIF(기관표[사번키],INDEX(합계표[사번키],$W171))+COUNTIF(월별근무지표[사번키],INDEX(합계표[사번키],$W171))&gt;0,IFERROR(INDEX(기관표[급여지급병원(기준월)],MATCH(INDEX(합계표[사번키],$W171)&amp;"|"&amp;대상월키,기관표[키],0))&amp;"","—"),"—")))</f>
        <v/>
      </c>
      <c r="L171">
        <f>IF($W171="","",IF(NOT(COUNTIF(기관표[사번키],INDEX(합계표[사번키],$W171))+COUNTIF(월별근무지표[사번키],INDEX(합계표[사번키],$W171))&gt;0),"기관명단에 없음(다른 병원으로 발송)",IF($K171="—","대상월 기관명단 없음(추가 필요)",IF($K171="서울병원","해당","비해당"))))</f>
        <v/>
      </c>
      <c r="M171">
        <f>IF($W171="","",SUMIFS(상세표[06~07시],상세표[사번키],INDEX(합계표[사번키],$W171),상세표[반영월],대상월키,상세표[반영 기관],"서울병원"))</f>
        <v/>
      </c>
      <c r="N171">
        <f>IF($W171="","",SUMIFS(상세표[07~18시],상세표[사번키],INDEX(합계표[사번키],$W171),상세표[반영월],대상월키,상세표[반영 기관],"서울병원"))</f>
        <v/>
      </c>
      <c r="O171">
        <f>IF($W171="","",SUMIFS(상세표[18~22시],상세표[사번키],INDEX(합계표[사번키],$W171),상세표[반영월],대상월키,상세표[반영 기관],"서울병원"))</f>
        <v/>
      </c>
      <c r="P171">
        <f>IF($W171="","",SUMIFS(상세표[22~06시],상세표[사번키],INDEX(합계표[사번키],$W171),상세표[반영월],대상월키,상세표[반영 기관],"서울병원"))</f>
        <v/>
      </c>
      <c r="Q171">
        <f>IF($W171="","",SUM($M171:$P171))</f>
        <v/>
      </c>
      <c r="R171">
        <f>IF($W171="","",COUNTIFS(상세표[사번키],INDEX(합계표[사번키],$W171),상세표[반영월],대상월키,상세표[야간당직],1,상세표[야간 구분],"평일"))</f>
        <v/>
      </c>
      <c r="S171" s="4">
        <f>IF($W171="","",COUNTIFS(상세표[사번키],INDEX(합계표[사번키],$W171),상세표[반영월],대상월키,상세표[야간당직],1,상세표[야간 구분],"휴일"))</f>
        <v/>
      </c>
      <c r="T171">
        <f>IF($W171="","",COUNTIFS(상세표[사번키],INDEX(합계표[사번키],$W171),상세표[반영월],대상월키,상세표[야간당직],1,상세표[야간 구분],"평일",상세표[반영 기관],"서울병원"))</f>
        <v/>
      </c>
      <c r="U171">
        <f>IF($W171="","",COUNTIFS(상세표[사번키],INDEX(합계표[사번키],$W171),상세표[반영월],대상월키,상세표[야간당직],1,상세표[야간 구분],"휴일",상세표[반영 기관],"서울병원"))</f>
        <v/>
      </c>
      <c r="V171">
        <f>IF($W171="","",IF(ISNUMBER(MATCH(INDEX(합계표[사번키],$W171)&amp;"|"&amp;대상월키,월별근무지표[키],0)),"직접 입력",IF($K171="—","—","기관명단")))</f>
        <v/>
      </c>
      <c r="W171">
        <f>IFERROR(MATCH(166,합계표[판정순번],0),"")</f>
        <v/>
      </c>
      <c r="Y171">
        <f>IF($AB171="","",INDEX(상세표[사번],$AB171)&amp;"")</f>
        <v/>
      </c>
      <c r="Z171">
        <f>IF($AB171="","",INDEX(상세표[성명],$AB171)&amp;"")</f>
        <v/>
      </c>
      <c r="AA171">
        <f>IF($AB171="","",SUMIFS(상세표[기록 시간외],상세표[사번키],INDEX(상세표[사번키],$AB171),상세표[반영월],대상월키))</f>
        <v/>
      </c>
      <c r="AB171" s="4">
        <f>IFERROR(MATCH(166,상세표[합계없음순번],0),"")</f>
        <v/>
      </c>
    </row>
    <row r="172">
      <c r="A172">
        <f>IF($W172="","",INDEX(합계표[사번],$W172)&amp;"")</f>
        <v/>
      </c>
      <c r="B172">
        <f>IF($W172="","",INDEX(합계표[성명],$W172)&amp;"")</f>
        <v/>
      </c>
      <c r="C172">
        <f>IF($W172="","",INDEX(합계표[부서],$W172)&amp;"")</f>
        <v/>
      </c>
      <c r="D172">
        <f>IF($W172="","",INDEX(합계표[직위(통합)],$W172)&amp;"")</f>
        <v/>
      </c>
      <c r="E172">
        <f>IF($W172="","",SUMIFS(합계표[시스템 합계],합계표[사번키],INDEX(합계표[사번키],$W172)))</f>
        <v/>
      </c>
      <c r="F172">
        <f>IF($W172="","",SUMIFS(상세표[기록 시간외],상세표[사번키],INDEX(합계표[사번키],$W172),상세표[기록월],대상월키))</f>
        <v/>
      </c>
      <c r="G172">
        <f>IF($W172="","",IF(ABS($E172-$F172)&lt;0.01,"일치","불일치(차이 "&amp;TEXT($F172-$E172,"0.00")&amp;")"))</f>
        <v/>
      </c>
      <c r="H172">
        <f>IF($W172="","",SUMIFS(상세표[기록 시간외],상세표[사번키],INDEX(합계표[사번키],$W172),상세표[기록월],대상월키,상세표[반영월],"&lt;&gt;"&amp;대상월키))</f>
        <v/>
      </c>
      <c r="I172">
        <f>IF($W172="","",SUMIFS(상세표[기록 시간외],상세표[사번키],INDEX(합계표[사번키],$W172),상세표[기록월],"&lt;&gt;"&amp;대상월키,상세표[반영월],대상월키))</f>
        <v/>
      </c>
      <c r="J172">
        <f>IF($W172="","",SUMIFS(상세표[기록 시간외],상세표[사번키],INDEX(합계표[사번키],$W172),상세표[반영월],대상월키))</f>
        <v/>
      </c>
      <c r="K172">
        <f>IF($W172="","",IFERROR(INDEX(월별근무지표[적용 급여병원],MATCH(INDEX(합계표[사번키],$W172)&amp;"|"&amp;대상월키,월별근무지표[키],0))&amp;"",IF(COUNTIF(기관표[사번키],INDEX(합계표[사번키],$W172))+COUNTIF(월별근무지표[사번키],INDEX(합계표[사번키],$W172))&gt;0,IFERROR(INDEX(기관표[급여지급병원(기준월)],MATCH(INDEX(합계표[사번키],$W172)&amp;"|"&amp;대상월키,기관표[키],0))&amp;"","—"),"—")))</f>
        <v/>
      </c>
      <c r="L172">
        <f>IF($W172="","",IF(NOT(COUNTIF(기관표[사번키],INDEX(합계표[사번키],$W172))+COUNTIF(월별근무지표[사번키],INDEX(합계표[사번키],$W172))&gt;0),"기관명단에 없음(다른 병원으로 발송)",IF($K172="—","대상월 기관명단 없음(추가 필요)",IF($K172="서울병원","해당","비해당"))))</f>
        <v/>
      </c>
      <c r="M172">
        <f>IF($W172="","",SUMIFS(상세표[06~07시],상세표[사번키],INDEX(합계표[사번키],$W172),상세표[반영월],대상월키,상세표[반영 기관],"서울병원"))</f>
        <v/>
      </c>
      <c r="N172">
        <f>IF($W172="","",SUMIFS(상세표[07~18시],상세표[사번키],INDEX(합계표[사번키],$W172),상세표[반영월],대상월키,상세표[반영 기관],"서울병원"))</f>
        <v/>
      </c>
      <c r="O172">
        <f>IF($W172="","",SUMIFS(상세표[18~22시],상세표[사번키],INDEX(합계표[사번키],$W172),상세표[반영월],대상월키,상세표[반영 기관],"서울병원"))</f>
        <v/>
      </c>
      <c r="P172">
        <f>IF($W172="","",SUMIFS(상세표[22~06시],상세표[사번키],INDEX(합계표[사번키],$W172),상세표[반영월],대상월키,상세표[반영 기관],"서울병원"))</f>
        <v/>
      </c>
      <c r="Q172">
        <f>IF($W172="","",SUM($M172:$P172))</f>
        <v/>
      </c>
      <c r="R172">
        <f>IF($W172="","",COUNTIFS(상세표[사번키],INDEX(합계표[사번키],$W172),상세표[반영월],대상월키,상세표[야간당직],1,상세표[야간 구분],"평일"))</f>
        <v/>
      </c>
      <c r="S172" s="4">
        <f>IF($W172="","",COUNTIFS(상세표[사번키],INDEX(합계표[사번키],$W172),상세표[반영월],대상월키,상세표[야간당직],1,상세표[야간 구분],"휴일"))</f>
        <v/>
      </c>
      <c r="T172">
        <f>IF($W172="","",COUNTIFS(상세표[사번키],INDEX(합계표[사번키],$W172),상세표[반영월],대상월키,상세표[야간당직],1,상세표[야간 구분],"평일",상세표[반영 기관],"서울병원"))</f>
        <v/>
      </c>
      <c r="U172">
        <f>IF($W172="","",COUNTIFS(상세표[사번키],INDEX(합계표[사번키],$W172),상세표[반영월],대상월키,상세표[야간당직],1,상세표[야간 구분],"휴일",상세표[반영 기관],"서울병원"))</f>
        <v/>
      </c>
      <c r="V172">
        <f>IF($W172="","",IF(ISNUMBER(MATCH(INDEX(합계표[사번키],$W172)&amp;"|"&amp;대상월키,월별근무지표[키],0)),"직접 입력",IF($K172="—","—","기관명단")))</f>
        <v/>
      </c>
      <c r="W172">
        <f>IFERROR(MATCH(167,합계표[판정순번],0),"")</f>
        <v/>
      </c>
      <c r="Y172">
        <f>IF($AB172="","",INDEX(상세표[사번],$AB172)&amp;"")</f>
        <v/>
      </c>
      <c r="Z172">
        <f>IF($AB172="","",INDEX(상세표[성명],$AB172)&amp;"")</f>
        <v/>
      </c>
      <c r="AA172">
        <f>IF($AB172="","",SUMIFS(상세표[기록 시간외],상세표[사번키],INDEX(상세표[사번키],$AB172),상세표[반영월],대상월키))</f>
        <v/>
      </c>
      <c r="AB172" s="4">
        <f>IFERROR(MATCH(167,상세표[합계없음순번],0),"")</f>
        <v/>
      </c>
    </row>
    <row r="173">
      <c r="A173">
        <f>IF($W173="","",INDEX(합계표[사번],$W173)&amp;"")</f>
        <v/>
      </c>
      <c r="B173">
        <f>IF($W173="","",INDEX(합계표[성명],$W173)&amp;"")</f>
        <v/>
      </c>
      <c r="C173">
        <f>IF($W173="","",INDEX(합계표[부서],$W173)&amp;"")</f>
        <v/>
      </c>
      <c r="D173">
        <f>IF($W173="","",INDEX(합계표[직위(통합)],$W173)&amp;"")</f>
        <v/>
      </c>
      <c r="E173">
        <f>IF($W173="","",SUMIFS(합계표[시스템 합계],합계표[사번키],INDEX(합계표[사번키],$W173)))</f>
        <v/>
      </c>
      <c r="F173">
        <f>IF($W173="","",SUMIFS(상세표[기록 시간외],상세표[사번키],INDEX(합계표[사번키],$W173),상세표[기록월],대상월키))</f>
        <v/>
      </c>
      <c r="G173">
        <f>IF($W173="","",IF(ABS($E173-$F173)&lt;0.01,"일치","불일치(차이 "&amp;TEXT($F173-$E173,"0.00")&amp;")"))</f>
        <v/>
      </c>
      <c r="H173">
        <f>IF($W173="","",SUMIFS(상세표[기록 시간외],상세표[사번키],INDEX(합계표[사번키],$W173),상세표[기록월],대상월키,상세표[반영월],"&lt;&gt;"&amp;대상월키))</f>
        <v/>
      </c>
      <c r="I173">
        <f>IF($W173="","",SUMIFS(상세표[기록 시간외],상세표[사번키],INDEX(합계표[사번키],$W173),상세표[기록월],"&lt;&gt;"&amp;대상월키,상세표[반영월],대상월키))</f>
        <v/>
      </c>
      <c r="J173">
        <f>IF($W173="","",SUMIFS(상세표[기록 시간외],상세표[사번키],INDEX(합계표[사번키],$W173),상세표[반영월],대상월키))</f>
        <v/>
      </c>
      <c r="K173">
        <f>IF($W173="","",IFERROR(INDEX(월별근무지표[적용 급여병원],MATCH(INDEX(합계표[사번키],$W173)&amp;"|"&amp;대상월키,월별근무지표[키],0))&amp;"",IF(COUNTIF(기관표[사번키],INDEX(합계표[사번키],$W173))+COUNTIF(월별근무지표[사번키],INDEX(합계표[사번키],$W173))&gt;0,IFERROR(INDEX(기관표[급여지급병원(기준월)],MATCH(INDEX(합계표[사번키],$W173)&amp;"|"&amp;대상월키,기관표[키],0))&amp;"","—"),"—")))</f>
        <v/>
      </c>
      <c r="L173">
        <f>IF($W173="","",IF(NOT(COUNTIF(기관표[사번키],INDEX(합계표[사번키],$W173))+COUNTIF(월별근무지표[사번키],INDEX(합계표[사번키],$W173))&gt;0),"기관명단에 없음(다른 병원으로 발송)",IF($K173="—","대상월 기관명단 없음(추가 필요)",IF($K173="서울병원","해당","비해당"))))</f>
        <v/>
      </c>
      <c r="M173">
        <f>IF($W173="","",SUMIFS(상세표[06~07시],상세표[사번키],INDEX(합계표[사번키],$W173),상세표[반영월],대상월키,상세표[반영 기관],"서울병원"))</f>
        <v/>
      </c>
      <c r="N173">
        <f>IF($W173="","",SUMIFS(상세표[07~18시],상세표[사번키],INDEX(합계표[사번키],$W173),상세표[반영월],대상월키,상세표[반영 기관],"서울병원"))</f>
        <v/>
      </c>
      <c r="O173">
        <f>IF($W173="","",SUMIFS(상세표[18~22시],상세표[사번키],INDEX(합계표[사번키],$W173),상세표[반영월],대상월키,상세표[반영 기관],"서울병원"))</f>
        <v/>
      </c>
      <c r="P173">
        <f>IF($W173="","",SUMIFS(상세표[22~06시],상세표[사번키],INDEX(합계표[사번키],$W173),상세표[반영월],대상월키,상세표[반영 기관],"서울병원"))</f>
        <v/>
      </c>
      <c r="Q173">
        <f>IF($W173="","",SUM($M173:$P173))</f>
        <v/>
      </c>
      <c r="R173">
        <f>IF($W173="","",COUNTIFS(상세표[사번키],INDEX(합계표[사번키],$W173),상세표[반영월],대상월키,상세표[야간당직],1,상세표[야간 구분],"평일"))</f>
        <v/>
      </c>
      <c r="S173" s="4">
        <f>IF($W173="","",COUNTIFS(상세표[사번키],INDEX(합계표[사번키],$W173),상세표[반영월],대상월키,상세표[야간당직],1,상세표[야간 구분],"휴일"))</f>
        <v/>
      </c>
      <c r="T173">
        <f>IF($W173="","",COUNTIFS(상세표[사번키],INDEX(합계표[사번키],$W173),상세표[반영월],대상월키,상세표[야간당직],1,상세표[야간 구분],"평일",상세표[반영 기관],"서울병원"))</f>
        <v/>
      </c>
      <c r="U173">
        <f>IF($W173="","",COUNTIFS(상세표[사번키],INDEX(합계표[사번키],$W173),상세표[반영월],대상월키,상세표[야간당직],1,상세표[야간 구분],"휴일",상세표[반영 기관],"서울병원"))</f>
        <v/>
      </c>
      <c r="V173">
        <f>IF($W173="","",IF(ISNUMBER(MATCH(INDEX(합계표[사번키],$W173)&amp;"|"&amp;대상월키,월별근무지표[키],0)),"직접 입력",IF($K173="—","—","기관명단")))</f>
        <v/>
      </c>
      <c r="W173">
        <f>IFERROR(MATCH(168,합계표[판정순번],0),"")</f>
        <v/>
      </c>
      <c r="Y173">
        <f>IF($AB173="","",INDEX(상세표[사번],$AB173)&amp;"")</f>
        <v/>
      </c>
      <c r="Z173">
        <f>IF($AB173="","",INDEX(상세표[성명],$AB173)&amp;"")</f>
        <v/>
      </c>
      <c r="AA173">
        <f>IF($AB173="","",SUMIFS(상세표[기록 시간외],상세표[사번키],INDEX(상세표[사번키],$AB173),상세표[반영월],대상월키))</f>
        <v/>
      </c>
      <c r="AB173" s="4">
        <f>IFERROR(MATCH(168,상세표[합계없음순번],0),"")</f>
        <v/>
      </c>
    </row>
    <row r="174">
      <c r="A174">
        <f>IF($W174="","",INDEX(합계표[사번],$W174)&amp;"")</f>
        <v/>
      </c>
      <c r="B174">
        <f>IF($W174="","",INDEX(합계표[성명],$W174)&amp;"")</f>
        <v/>
      </c>
      <c r="C174">
        <f>IF($W174="","",INDEX(합계표[부서],$W174)&amp;"")</f>
        <v/>
      </c>
      <c r="D174">
        <f>IF($W174="","",INDEX(합계표[직위(통합)],$W174)&amp;"")</f>
        <v/>
      </c>
      <c r="E174">
        <f>IF($W174="","",SUMIFS(합계표[시스템 합계],합계표[사번키],INDEX(합계표[사번키],$W174)))</f>
        <v/>
      </c>
      <c r="F174">
        <f>IF($W174="","",SUMIFS(상세표[기록 시간외],상세표[사번키],INDEX(합계표[사번키],$W174),상세표[기록월],대상월키))</f>
        <v/>
      </c>
      <c r="G174">
        <f>IF($W174="","",IF(ABS($E174-$F174)&lt;0.01,"일치","불일치(차이 "&amp;TEXT($F174-$E174,"0.00")&amp;")"))</f>
        <v/>
      </c>
      <c r="H174">
        <f>IF($W174="","",SUMIFS(상세표[기록 시간외],상세표[사번키],INDEX(합계표[사번키],$W174),상세표[기록월],대상월키,상세표[반영월],"&lt;&gt;"&amp;대상월키))</f>
        <v/>
      </c>
      <c r="I174">
        <f>IF($W174="","",SUMIFS(상세표[기록 시간외],상세표[사번키],INDEX(합계표[사번키],$W174),상세표[기록월],"&lt;&gt;"&amp;대상월키,상세표[반영월],대상월키))</f>
        <v/>
      </c>
      <c r="J174">
        <f>IF($W174="","",SUMIFS(상세표[기록 시간외],상세표[사번키],INDEX(합계표[사번키],$W174),상세표[반영월],대상월키))</f>
        <v/>
      </c>
      <c r="K174">
        <f>IF($W174="","",IFERROR(INDEX(월별근무지표[적용 급여병원],MATCH(INDEX(합계표[사번키],$W174)&amp;"|"&amp;대상월키,월별근무지표[키],0))&amp;"",IF(COUNTIF(기관표[사번키],INDEX(합계표[사번키],$W174))+COUNTIF(월별근무지표[사번키],INDEX(합계표[사번키],$W174))&gt;0,IFERROR(INDEX(기관표[급여지급병원(기준월)],MATCH(INDEX(합계표[사번키],$W174)&amp;"|"&amp;대상월키,기관표[키],0))&amp;"","—"),"—")))</f>
        <v/>
      </c>
      <c r="L174">
        <f>IF($W174="","",IF(NOT(COUNTIF(기관표[사번키],INDEX(합계표[사번키],$W174))+COUNTIF(월별근무지표[사번키],INDEX(합계표[사번키],$W174))&gt;0),"기관명단에 없음(다른 병원으로 발송)",IF($K174="—","대상월 기관명단 없음(추가 필요)",IF($K174="서울병원","해당","비해당"))))</f>
        <v/>
      </c>
      <c r="M174">
        <f>IF($W174="","",SUMIFS(상세표[06~07시],상세표[사번키],INDEX(합계표[사번키],$W174),상세표[반영월],대상월키,상세표[반영 기관],"서울병원"))</f>
        <v/>
      </c>
      <c r="N174">
        <f>IF($W174="","",SUMIFS(상세표[07~18시],상세표[사번키],INDEX(합계표[사번키],$W174),상세표[반영월],대상월키,상세표[반영 기관],"서울병원"))</f>
        <v/>
      </c>
      <c r="O174">
        <f>IF($W174="","",SUMIFS(상세표[18~22시],상세표[사번키],INDEX(합계표[사번키],$W174),상세표[반영월],대상월키,상세표[반영 기관],"서울병원"))</f>
        <v/>
      </c>
      <c r="P174">
        <f>IF($W174="","",SUMIFS(상세표[22~06시],상세표[사번키],INDEX(합계표[사번키],$W174),상세표[반영월],대상월키,상세표[반영 기관],"서울병원"))</f>
        <v/>
      </c>
      <c r="Q174">
        <f>IF($W174="","",SUM($M174:$P174))</f>
        <v/>
      </c>
      <c r="R174">
        <f>IF($W174="","",COUNTIFS(상세표[사번키],INDEX(합계표[사번키],$W174),상세표[반영월],대상월키,상세표[야간당직],1,상세표[야간 구분],"평일"))</f>
        <v/>
      </c>
      <c r="S174" s="4">
        <f>IF($W174="","",COUNTIFS(상세표[사번키],INDEX(합계표[사번키],$W174),상세표[반영월],대상월키,상세표[야간당직],1,상세표[야간 구분],"휴일"))</f>
        <v/>
      </c>
      <c r="T174">
        <f>IF($W174="","",COUNTIFS(상세표[사번키],INDEX(합계표[사번키],$W174),상세표[반영월],대상월키,상세표[야간당직],1,상세표[야간 구분],"평일",상세표[반영 기관],"서울병원"))</f>
        <v/>
      </c>
      <c r="U174">
        <f>IF($W174="","",COUNTIFS(상세표[사번키],INDEX(합계표[사번키],$W174),상세표[반영월],대상월키,상세표[야간당직],1,상세표[야간 구분],"휴일",상세표[반영 기관],"서울병원"))</f>
        <v/>
      </c>
      <c r="V174">
        <f>IF($W174="","",IF(ISNUMBER(MATCH(INDEX(합계표[사번키],$W174)&amp;"|"&amp;대상월키,월별근무지표[키],0)),"직접 입력",IF($K174="—","—","기관명단")))</f>
        <v/>
      </c>
      <c r="W174">
        <f>IFERROR(MATCH(169,합계표[판정순번],0),"")</f>
        <v/>
      </c>
      <c r="Y174">
        <f>IF($AB174="","",INDEX(상세표[사번],$AB174)&amp;"")</f>
        <v/>
      </c>
      <c r="Z174">
        <f>IF($AB174="","",INDEX(상세표[성명],$AB174)&amp;"")</f>
        <v/>
      </c>
      <c r="AA174">
        <f>IF($AB174="","",SUMIFS(상세표[기록 시간외],상세표[사번키],INDEX(상세표[사번키],$AB174),상세표[반영월],대상월키))</f>
        <v/>
      </c>
      <c r="AB174" s="4">
        <f>IFERROR(MATCH(169,상세표[합계없음순번],0),"")</f>
        <v/>
      </c>
    </row>
    <row r="175">
      <c r="A175">
        <f>IF($W175="","",INDEX(합계표[사번],$W175)&amp;"")</f>
        <v/>
      </c>
      <c r="B175">
        <f>IF($W175="","",INDEX(합계표[성명],$W175)&amp;"")</f>
        <v/>
      </c>
      <c r="C175">
        <f>IF($W175="","",INDEX(합계표[부서],$W175)&amp;"")</f>
        <v/>
      </c>
      <c r="D175">
        <f>IF($W175="","",INDEX(합계표[직위(통합)],$W175)&amp;"")</f>
        <v/>
      </c>
      <c r="E175">
        <f>IF($W175="","",SUMIFS(합계표[시스템 합계],합계표[사번키],INDEX(합계표[사번키],$W175)))</f>
        <v/>
      </c>
      <c r="F175">
        <f>IF($W175="","",SUMIFS(상세표[기록 시간외],상세표[사번키],INDEX(합계표[사번키],$W175),상세표[기록월],대상월키))</f>
        <v/>
      </c>
      <c r="G175">
        <f>IF($W175="","",IF(ABS($E175-$F175)&lt;0.01,"일치","불일치(차이 "&amp;TEXT($F175-$E175,"0.00")&amp;")"))</f>
        <v/>
      </c>
      <c r="H175">
        <f>IF($W175="","",SUMIFS(상세표[기록 시간외],상세표[사번키],INDEX(합계표[사번키],$W175),상세표[기록월],대상월키,상세표[반영월],"&lt;&gt;"&amp;대상월키))</f>
        <v/>
      </c>
      <c r="I175">
        <f>IF($W175="","",SUMIFS(상세표[기록 시간외],상세표[사번키],INDEX(합계표[사번키],$W175),상세표[기록월],"&lt;&gt;"&amp;대상월키,상세표[반영월],대상월키))</f>
        <v/>
      </c>
      <c r="J175">
        <f>IF($W175="","",SUMIFS(상세표[기록 시간외],상세표[사번키],INDEX(합계표[사번키],$W175),상세표[반영월],대상월키))</f>
        <v/>
      </c>
      <c r="K175">
        <f>IF($W175="","",IFERROR(INDEX(월별근무지표[적용 급여병원],MATCH(INDEX(합계표[사번키],$W175)&amp;"|"&amp;대상월키,월별근무지표[키],0))&amp;"",IF(COUNTIF(기관표[사번키],INDEX(합계표[사번키],$W175))+COUNTIF(월별근무지표[사번키],INDEX(합계표[사번키],$W175))&gt;0,IFERROR(INDEX(기관표[급여지급병원(기준월)],MATCH(INDEX(합계표[사번키],$W175)&amp;"|"&amp;대상월키,기관표[키],0))&amp;"","—"),"—")))</f>
        <v/>
      </c>
      <c r="L175">
        <f>IF($W175="","",IF(NOT(COUNTIF(기관표[사번키],INDEX(합계표[사번키],$W175))+COUNTIF(월별근무지표[사번키],INDEX(합계표[사번키],$W175))&gt;0),"기관명단에 없음(다른 병원으로 발송)",IF($K175="—","대상월 기관명단 없음(추가 필요)",IF($K175="서울병원","해당","비해당"))))</f>
        <v/>
      </c>
      <c r="M175">
        <f>IF($W175="","",SUMIFS(상세표[06~07시],상세표[사번키],INDEX(합계표[사번키],$W175),상세표[반영월],대상월키,상세표[반영 기관],"서울병원"))</f>
        <v/>
      </c>
      <c r="N175">
        <f>IF($W175="","",SUMIFS(상세표[07~18시],상세표[사번키],INDEX(합계표[사번키],$W175),상세표[반영월],대상월키,상세표[반영 기관],"서울병원"))</f>
        <v/>
      </c>
      <c r="O175">
        <f>IF($W175="","",SUMIFS(상세표[18~22시],상세표[사번키],INDEX(합계표[사번키],$W175),상세표[반영월],대상월키,상세표[반영 기관],"서울병원"))</f>
        <v/>
      </c>
      <c r="P175">
        <f>IF($W175="","",SUMIFS(상세표[22~06시],상세표[사번키],INDEX(합계표[사번키],$W175),상세표[반영월],대상월키,상세표[반영 기관],"서울병원"))</f>
        <v/>
      </c>
      <c r="Q175">
        <f>IF($W175="","",SUM($M175:$P175))</f>
        <v/>
      </c>
      <c r="R175">
        <f>IF($W175="","",COUNTIFS(상세표[사번키],INDEX(합계표[사번키],$W175),상세표[반영월],대상월키,상세표[야간당직],1,상세표[야간 구분],"평일"))</f>
        <v/>
      </c>
      <c r="S175" s="4">
        <f>IF($W175="","",COUNTIFS(상세표[사번키],INDEX(합계표[사번키],$W175),상세표[반영월],대상월키,상세표[야간당직],1,상세표[야간 구분],"휴일"))</f>
        <v/>
      </c>
      <c r="T175">
        <f>IF($W175="","",COUNTIFS(상세표[사번키],INDEX(합계표[사번키],$W175),상세표[반영월],대상월키,상세표[야간당직],1,상세표[야간 구분],"평일",상세표[반영 기관],"서울병원"))</f>
        <v/>
      </c>
      <c r="U175">
        <f>IF($W175="","",COUNTIFS(상세표[사번키],INDEX(합계표[사번키],$W175),상세표[반영월],대상월키,상세표[야간당직],1,상세표[야간 구분],"휴일",상세표[반영 기관],"서울병원"))</f>
        <v/>
      </c>
      <c r="V175">
        <f>IF($W175="","",IF(ISNUMBER(MATCH(INDEX(합계표[사번키],$W175)&amp;"|"&amp;대상월키,월별근무지표[키],0)),"직접 입력",IF($K175="—","—","기관명단")))</f>
        <v/>
      </c>
      <c r="W175">
        <f>IFERROR(MATCH(170,합계표[판정순번],0),"")</f>
        <v/>
      </c>
      <c r="Y175">
        <f>IF($AB175="","",INDEX(상세표[사번],$AB175)&amp;"")</f>
        <v/>
      </c>
      <c r="Z175">
        <f>IF($AB175="","",INDEX(상세표[성명],$AB175)&amp;"")</f>
        <v/>
      </c>
      <c r="AA175">
        <f>IF($AB175="","",SUMIFS(상세표[기록 시간외],상세표[사번키],INDEX(상세표[사번키],$AB175),상세표[반영월],대상월키))</f>
        <v/>
      </c>
      <c r="AB175" s="4">
        <f>IFERROR(MATCH(170,상세표[합계없음순번],0),"")</f>
        <v/>
      </c>
    </row>
    <row r="176">
      <c r="A176">
        <f>IF($W176="","",INDEX(합계표[사번],$W176)&amp;"")</f>
        <v/>
      </c>
      <c r="B176">
        <f>IF($W176="","",INDEX(합계표[성명],$W176)&amp;"")</f>
        <v/>
      </c>
      <c r="C176">
        <f>IF($W176="","",INDEX(합계표[부서],$W176)&amp;"")</f>
        <v/>
      </c>
      <c r="D176">
        <f>IF($W176="","",INDEX(합계표[직위(통합)],$W176)&amp;"")</f>
        <v/>
      </c>
      <c r="E176">
        <f>IF($W176="","",SUMIFS(합계표[시스템 합계],합계표[사번키],INDEX(합계표[사번키],$W176)))</f>
        <v/>
      </c>
      <c r="F176">
        <f>IF($W176="","",SUMIFS(상세표[기록 시간외],상세표[사번키],INDEX(합계표[사번키],$W176),상세표[기록월],대상월키))</f>
        <v/>
      </c>
      <c r="G176">
        <f>IF($W176="","",IF(ABS($E176-$F176)&lt;0.01,"일치","불일치(차이 "&amp;TEXT($F176-$E176,"0.00")&amp;")"))</f>
        <v/>
      </c>
      <c r="H176">
        <f>IF($W176="","",SUMIFS(상세표[기록 시간외],상세표[사번키],INDEX(합계표[사번키],$W176),상세표[기록월],대상월키,상세표[반영월],"&lt;&gt;"&amp;대상월키))</f>
        <v/>
      </c>
      <c r="I176">
        <f>IF($W176="","",SUMIFS(상세표[기록 시간외],상세표[사번키],INDEX(합계표[사번키],$W176),상세표[기록월],"&lt;&gt;"&amp;대상월키,상세표[반영월],대상월키))</f>
        <v/>
      </c>
      <c r="J176">
        <f>IF($W176="","",SUMIFS(상세표[기록 시간외],상세표[사번키],INDEX(합계표[사번키],$W176),상세표[반영월],대상월키))</f>
        <v/>
      </c>
      <c r="K176">
        <f>IF($W176="","",IFERROR(INDEX(월별근무지표[적용 급여병원],MATCH(INDEX(합계표[사번키],$W176)&amp;"|"&amp;대상월키,월별근무지표[키],0))&amp;"",IF(COUNTIF(기관표[사번키],INDEX(합계표[사번키],$W176))+COUNTIF(월별근무지표[사번키],INDEX(합계표[사번키],$W176))&gt;0,IFERROR(INDEX(기관표[급여지급병원(기준월)],MATCH(INDEX(합계표[사번키],$W176)&amp;"|"&amp;대상월키,기관표[키],0))&amp;"","—"),"—")))</f>
        <v/>
      </c>
      <c r="L176">
        <f>IF($W176="","",IF(NOT(COUNTIF(기관표[사번키],INDEX(합계표[사번키],$W176))+COUNTIF(월별근무지표[사번키],INDEX(합계표[사번키],$W176))&gt;0),"기관명단에 없음(다른 병원으로 발송)",IF($K176="—","대상월 기관명단 없음(추가 필요)",IF($K176="서울병원","해당","비해당"))))</f>
        <v/>
      </c>
      <c r="M176">
        <f>IF($W176="","",SUMIFS(상세표[06~07시],상세표[사번키],INDEX(합계표[사번키],$W176),상세표[반영월],대상월키,상세표[반영 기관],"서울병원"))</f>
        <v/>
      </c>
      <c r="N176">
        <f>IF($W176="","",SUMIFS(상세표[07~18시],상세표[사번키],INDEX(합계표[사번키],$W176),상세표[반영월],대상월키,상세표[반영 기관],"서울병원"))</f>
        <v/>
      </c>
      <c r="O176">
        <f>IF($W176="","",SUMIFS(상세표[18~22시],상세표[사번키],INDEX(합계표[사번키],$W176),상세표[반영월],대상월키,상세표[반영 기관],"서울병원"))</f>
        <v/>
      </c>
      <c r="P176">
        <f>IF($W176="","",SUMIFS(상세표[22~06시],상세표[사번키],INDEX(합계표[사번키],$W176),상세표[반영월],대상월키,상세표[반영 기관],"서울병원"))</f>
        <v/>
      </c>
      <c r="Q176">
        <f>IF($W176="","",SUM($M176:$P176))</f>
        <v/>
      </c>
      <c r="R176">
        <f>IF($W176="","",COUNTIFS(상세표[사번키],INDEX(합계표[사번키],$W176),상세표[반영월],대상월키,상세표[야간당직],1,상세표[야간 구분],"평일"))</f>
        <v/>
      </c>
      <c r="S176" s="4">
        <f>IF($W176="","",COUNTIFS(상세표[사번키],INDEX(합계표[사번키],$W176),상세표[반영월],대상월키,상세표[야간당직],1,상세표[야간 구분],"휴일"))</f>
        <v/>
      </c>
      <c r="T176">
        <f>IF($W176="","",COUNTIFS(상세표[사번키],INDEX(합계표[사번키],$W176),상세표[반영월],대상월키,상세표[야간당직],1,상세표[야간 구분],"평일",상세표[반영 기관],"서울병원"))</f>
        <v/>
      </c>
      <c r="U176">
        <f>IF($W176="","",COUNTIFS(상세표[사번키],INDEX(합계표[사번키],$W176),상세표[반영월],대상월키,상세표[야간당직],1,상세표[야간 구분],"휴일",상세표[반영 기관],"서울병원"))</f>
        <v/>
      </c>
      <c r="V176">
        <f>IF($W176="","",IF(ISNUMBER(MATCH(INDEX(합계표[사번키],$W176)&amp;"|"&amp;대상월키,월별근무지표[키],0)),"직접 입력",IF($K176="—","—","기관명단")))</f>
        <v/>
      </c>
      <c r="W176">
        <f>IFERROR(MATCH(171,합계표[판정순번],0),"")</f>
        <v/>
      </c>
      <c r="Y176">
        <f>IF($AB176="","",INDEX(상세표[사번],$AB176)&amp;"")</f>
        <v/>
      </c>
      <c r="Z176">
        <f>IF($AB176="","",INDEX(상세표[성명],$AB176)&amp;"")</f>
        <v/>
      </c>
      <c r="AA176">
        <f>IF($AB176="","",SUMIFS(상세표[기록 시간외],상세표[사번키],INDEX(상세표[사번키],$AB176),상세표[반영월],대상월키))</f>
        <v/>
      </c>
      <c r="AB176" s="4">
        <f>IFERROR(MATCH(171,상세표[합계없음순번],0),"")</f>
        <v/>
      </c>
    </row>
    <row r="177">
      <c r="A177">
        <f>IF($W177="","",INDEX(합계표[사번],$W177)&amp;"")</f>
        <v/>
      </c>
      <c r="B177">
        <f>IF($W177="","",INDEX(합계표[성명],$W177)&amp;"")</f>
        <v/>
      </c>
      <c r="C177">
        <f>IF($W177="","",INDEX(합계표[부서],$W177)&amp;"")</f>
        <v/>
      </c>
      <c r="D177">
        <f>IF($W177="","",INDEX(합계표[직위(통합)],$W177)&amp;"")</f>
        <v/>
      </c>
      <c r="E177">
        <f>IF($W177="","",SUMIFS(합계표[시스템 합계],합계표[사번키],INDEX(합계표[사번키],$W177)))</f>
        <v/>
      </c>
      <c r="F177">
        <f>IF($W177="","",SUMIFS(상세표[기록 시간외],상세표[사번키],INDEX(합계표[사번키],$W177),상세표[기록월],대상월키))</f>
        <v/>
      </c>
      <c r="G177">
        <f>IF($W177="","",IF(ABS($E177-$F177)&lt;0.01,"일치","불일치(차이 "&amp;TEXT($F177-$E177,"0.00")&amp;")"))</f>
        <v/>
      </c>
      <c r="H177">
        <f>IF($W177="","",SUMIFS(상세표[기록 시간외],상세표[사번키],INDEX(합계표[사번키],$W177),상세표[기록월],대상월키,상세표[반영월],"&lt;&gt;"&amp;대상월키))</f>
        <v/>
      </c>
      <c r="I177">
        <f>IF($W177="","",SUMIFS(상세표[기록 시간외],상세표[사번키],INDEX(합계표[사번키],$W177),상세표[기록월],"&lt;&gt;"&amp;대상월키,상세표[반영월],대상월키))</f>
        <v/>
      </c>
      <c r="J177">
        <f>IF($W177="","",SUMIFS(상세표[기록 시간외],상세표[사번키],INDEX(합계표[사번키],$W177),상세표[반영월],대상월키))</f>
        <v/>
      </c>
      <c r="K177">
        <f>IF($W177="","",IFERROR(INDEX(월별근무지표[적용 급여병원],MATCH(INDEX(합계표[사번키],$W177)&amp;"|"&amp;대상월키,월별근무지표[키],0))&amp;"",IF(COUNTIF(기관표[사번키],INDEX(합계표[사번키],$W177))+COUNTIF(월별근무지표[사번키],INDEX(합계표[사번키],$W177))&gt;0,IFERROR(INDEX(기관표[급여지급병원(기준월)],MATCH(INDEX(합계표[사번키],$W177)&amp;"|"&amp;대상월키,기관표[키],0))&amp;"","—"),"—")))</f>
        <v/>
      </c>
      <c r="L177">
        <f>IF($W177="","",IF(NOT(COUNTIF(기관표[사번키],INDEX(합계표[사번키],$W177))+COUNTIF(월별근무지표[사번키],INDEX(합계표[사번키],$W177))&gt;0),"기관명단에 없음(다른 병원으로 발송)",IF($K177="—","대상월 기관명단 없음(추가 필요)",IF($K177="서울병원","해당","비해당"))))</f>
        <v/>
      </c>
      <c r="M177">
        <f>IF($W177="","",SUMIFS(상세표[06~07시],상세표[사번키],INDEX(합계표[사번키],$W177),상세표[반영월],대상월키,상세표[반영 기관],"서울병원"))</f>
        <v/>
      </c>
      <c r="N177">
        <f>IF($W177="","",SUMIFS(상세표[07~18시],상세표[사번키],INDEX(합계표[사번키],$W177),상세표[반영월],대상월키,상세표[반영 기관],"서울병원"))</f>
        <v/>
      </c>
      <c r="O177">
        <f>IF($W177="","",SUMIFS(상세표[18~22시],상세표[사번키],INDEX(합계표[사번키],$W177),상세표[반영월],대상월키,상세표[반영 기관],"서울병원"))</f>
        <v/>
      </c>
      <c r="P177">
        <f>IF($W177="","",SUMIFS(상세표[22~06시],상세표[사번키],INDEX(합계표[사번키],$W177),상세표[반영월],대상월키,상세표[반영 기관],"서울병원"))</f>
        <v/>
      </c>
      <c r="Q177">
        <f>IF($W177="","",SUM($M177:$P177))</f>
        <v/>
      </c>
      <c r="R177">
        <f>IF($W177="","",COUNTIFS(상세표[사번키],INDEX(합계표[사번키],$W177),상세표[반영월],대상월키,상세표[야간당직],1,상세표[야간 구분],"평일"))</f>
        <v/>
      </c>
      <c r="S177" s="4">
        <f>IF($W177="","",COUNTIFS(상세표[사번키],INDEX(합계표[사번키],$W177),상세표[반영월],대상월키,상세표[야간당직],1,상세표[야간 구분],"휴일"))</f>
        <v/>
      </c>
      <c r="T177">
        <f>IF($W177="","",COUNTIFS(상세표[사번키],INDEX(합계표[사번키],$W177),상세표[반영월],대상월키,상세표[야간당직],1,상세표[야간 구분],"평일",상세표[반영 기관],"서울병원"))</f>
        <v/>
      </c>
      <c r="U177">
        <f>IF($W177="","",COUNTIFS(상세표[사번키],INDEX(합계표[사번키],$W177),상세표[반영월],대상월키,상세표[야간당직],1,상세표[야간 구분],"휴일",상세표[반영 기관],"서울병원"))</f>
        <v/>
      </c>
      <c r="V177">
        <f>IF($W177="","",IF(ISNUMBER(MATCH(INDEX(합계표[사번키],$W177)&amp;"|"&amp;대상월키,월별근무지표[키],0)),"직접 입력",IF($K177="—","—","기관명단")))</f>
        <v/>
      </c>
      <c r="W177">
        <f>IFERROR(MATCH(172,합계표[판정순번],0),"")</f>
        <v/>
      </c>
      <c r="Y177">
        <f>IF($AB177="","",INDEX(상세표[사번],$AB177)&amp;"")</f>
        <v/>
      </c>
      <c r="Z177">
        <f>IF($AB177="","",INDEX(상세표[성명],$AB177)&amp;"")</f>
        <v/>
      </c>
      <c r="AA177">
        <f>IF($AB177="","",SUMIFS(상세표[기록 시간외],상세표[사번키],INDEX(상세표[사번키],$AB177),상세표[반영월],대상월키))</f>
        <v/>
      </c>
      <c r="AB177" s="4">
        <f>IFERROR(MATCH(172,상세표[합계없음순번],0),"")</f>
        <v/>
      </c>
    </row>
    <row r="178">
      <c r="A178">
        <f>IF($W178="","",INDEX(합계표[사번],$W178)&amp;"")</f>
        <v/>
      </c>
      <c r="B178">
        <f>IF($W178="","",INDEX(합계표[성명],$W178)&amp;"")</f>
        <v/>
      </c>
      <c r="C178">
        <f>IF($W178="","",INDEX(합계표[부서],$W178)&amp;"")</f>
        <v/>
      </c>
      <c r="D178">
        <f>IF($W178="","",INDEX(합계표[직위(통합)],$W178)&amp;"")</f>
        <v/>
      </c>
      <c r="E178">
        <f>IF($W178="","",SUMIFS(합계표[시스템 합계],합계표[사번키],INDEX(합계표[사번키],$W178)))</f>
        <v/>
      </c>
      <c r="F178">
        <f>IF($W178="","",SUMIFS(상세표[기록 시간외],상세표[사번키],INDEX(합계표[사번키],$W178),상세표[기록월],대상월키))</f>
        <v/>
      </c>
      <c r="G178">
        <f>IF($W178="","",IF(ABS($E178-$F178)&lt;0.01,"일치","불일치(차이 "&amp;TEXT($F178-$E178,"0.00")&amp;")"))</f>
        <v/>
      </c>
      <c r="H178">
        <f>IF($W178="","",SUMIFS(상세표[기록 시간외],상세표[사번키],INDEX(합계표[사번키],$W178),상세표[기록월],대상월키,상세표[반영월],"&lt;&gt;"&amp;대상월키))</f>
        <v/>
      </c>
      <c r="I178">
        <f>IF($W178="","",SUMIFS(상세표[기록 시간외],상세표[사번키],INDEX(합계표[사번키],$W178),상세표[기록월],"&lt;&gt;"&amp;대상월키,상세표[반영월],대상월키))</f>
        <v/>
      </c>
      <c r="J178">
        <f>IF($W178="","",SUMIFS(상세표[기록 시간외],상세표[사번키],INDEX(합계표[사번키],$W178),상세표[반영월],대상월키))</f>
        <v/>
      </c>
      <c r="K178">
        <f>IF($W178="","",IFERROR(INDEX(월별근무지표[적용 급여병원],MATCH(INDEX(합계표[사번키],$W178)&amp;"|"&amp;대상월키,월별근무지표[키],0))&amp;"",IF(COUNTIF(기관표[사번키],INDEX(합계표[사번키],$W178))+COUNTIF(월별근무지표[사번키],INDEX(합계표[사번키],$W178))&gt;0,IFERROR(INDEX(기관표[급여지급병원(기준월)],MATCH(INDEX(합계표[사번키],$W178)&amp;"|"&amp;대상월키,기관표[키],0))&amp;"","—"),"—")))</f>
        <v/>
      </c>
      <c r="L178">
        <f>IF($W178="","",IF(NOT(COUNTIF(기관표[사번키],INDEX(합계표[사번키],$W178))+COUNTIF(월별근무지표[사번키],INDEX(합계표[사번키],$W178))&gt;0),"기관명단에 없음(다른 병원으로 발송)",IF($K178="—","대상월 기관명단 없음(추가 필요)",IF($K178="서울병원","해당","비해당"))))</f>
        <v/>
      </c>
      <c r="M178">
        <f>IF($W178="","",SUMIFS(상세표[06~07시],상세표[사번키],INDEX(합계표[사번키],$W178),상세표[반영월],대상월키,상세표[반영 기관],"서울병원"))</f>
        <v/>
      </c>
      <c r="N178">
        <f>IF($W178="","",SUMIFS(상세표[07~18시],상세표[사번키],INDEX(합계표[사번키],$W178),상세표[반영월],대상월키,상세표[반영 기관],"서울병원"))</f>
        <v/>
      </c>
      <c r="O178">
        <f>IF($W178="","",SUMIFS(상세표[18~22시],상세표[사번키],INDEX(합계표[사번키],$W178),상세표[반영월],대상월키,상세표[반영 기관],"서울병원"))</f>
        <v/>
      </c>
      <c r="P178">
        <f>IF($W178="","",SUMIFS(상세표[22~06시],상세표[사번키],INDEX(합계표[사번키],$W178),상세표[반영월],대상월키,상세표[반영 기관],"서울병원"))</f>
        <v/>
      </c>
      <c r="Q178">
        <f>IF($W178="","",SUM($M178:$P178))</f>
        <v/>
      </c>
      <c r="R178">
        <f>IF($W178="","",COUNTIFS(상세표[사번키],INDEX(합계표[사번키],$W178),상세표[반영월],대상월키,상세표[야간당직],1,상세표[야간 구분],"평일"))</f>
        <v/>
      </c>
      <c r="S178" s="4">
        <f>IF($W178="","",COUNTIFS(상세표[사번키],INDEX(합계표[사번키],$W178),상세표[반영월],대상월키,상세표[야간당직],1,상세표[야간 구분],"휴일"))</f>
        <v/>
      </c>
      <c r="T178">
        <f>IF($W178="","",COUNTIFS(상세표[사번키],INDEX(합계표[사번키],$W178),상세표[반영월],대상월키,상세표[야간당직],1,상세표[야간 구분],"평일",상세표[반영 기관],"서울병원"))</f>
        <v/>
      </c>
      <c r="U178">
        <f>IF($W178="","",COUNTIFS(상세표[사번키],INDEX(합계표[사번키],$W178),상세표[반영월],대상월키,상세표[야간당직],1,상세표[야간 구분],"휴일",상세표[반영 기관],"서울병원"))</f>
        <v/>
      </c>
      <c r="V178">
        <f>IF($W178="","",IF(ISNUMBER(MATCH(INDEX(합계표[사번키],$W178)&amp;"|"&amp;대상월키,월별근무지표[키],0)),"직접 입력",IF($K178="—","—","기관명단")))</f>
        <v/>
      </c>
      <c r="W178">
        <f>IFERROR(MATCH(173,합계표[판정순번],0),"")</f>
        <v/>
      </c>
      <c r="Y178">
        <f>IF($AB178="","",INDEX(상세표[사번],$AB178)&amp;"")</f>
        <v/>
      </c>
      <c r="Z178">
        <f>IF($AB178="","",INDEX(상세표[성명],$AB178)&amp;"")</f>
        <v/>
      </c>
      <c r="AA178">
        <f>IF($AB178="","",SUMIFS(상세표[기록 시간외],상세표[사번키],INDEX(상세표[사번키],$AB178),상세표[반영월],대상월키))</f>
        <v/>
      </c>
      <c r="AB178" s="4">
        <f>IFERROR(MATCH(173,상세표[합계없음순번],0),"")</f>
        <v/>
      </c>
    </row>
    <row r="179">
      <c r="A179">
        <f>IF($W179="","",INDEX(합계표[사번],$W179)&amp;"")</f>
        <v/>
      </c>
      <c r="B179">
        <f>IF($W179="","",INDEX(합계표[성명],$W179)&amp;"")</f>
        <v/>
      </c>
      <c r="C179">
        <f>IF($W179="","",INDEX(합계표[부서],$W179)&amp;"")</f>
        <v/>
      </c>
      <c r="D179">
        <f>IF($W179="","",INDEX(합계표[직위(통합)],$W179)&amp;"")</f>
        <v/>
      </c>
      <c r="E179">
        <f>IF($W179="","",SUMIFS(합계표[시스템 합계],합계표[사번키],INDEX(합계표[사번키],$W179)))</f>
        <v/>
      </c>
      <c r="F179">
        <f>IF($W179="","",SUMIFS(상세표[기록 시간외],상세표[사번키],INDEX(합계표[사번키],$W179),상세표[기록월],대상월키))</f>
        <v/>
      </c>
      <c r="G179">
        <f>IF($W179="","",IF(ABS($E179-$F179)&lt;0.01,"일치","불일치(차이 "&amp;TEXT($F179-$E179,"0.00")&amp;")"))</f>
        <v/>
      </c>
      <c r="H179">
        <f>IF($W179="","",SUMIFS(상세표[기록 시간외],상세표[사번키],INDEX(합계표[사번키],$W179),상세표[기록월],대상월키,상세표[반영월],"&lt;&gt;"&amp;대상월키))</f>
        <v/>
      </c>
      <c r="I179">
        <f>IF($W179="","",SUMIFS(상세표[기록 시간외],상세표[사번키],INDEX(합계표[사번키],$W179),상세표[기록월],"&lt;&gt;"&amp;대상월키,상세표[반영월],대상월키))</f>
        <v/>
      </c>
      <c r="J179">
        <f>IF($W179="","",SUMIFS(상세표[기록 시간외],상세표[사번키],INDEX(합계표[사번키],$W179),상세표[반영월],대상월키))</f>
        <v/>
      </c>
      <c r="K179">
        <f>IF($W179="","",IFERROR(INDEX(월별근무지표[적용 급여병원],MATCH(INDEX(합계표[사번키],$W179)&amp;"|"&amp;대상월키,월별근무지표[키],0))&amp;"",IF(COUNTIF(기관표[사번키],INDEX(합계표[사번키],$W179))+COUNTIF(월별근무지표[사번키],INDEX(합계표[사번키],$W179))&gt;0,IFERROR(INDEX(기관표[급여지급병원(기준월)],MATCH(INDEX(합계표[사번키],$W179)&amp;"|"&amp;대상월키,기관표[키],0))&amp;"","—"),"—")))</f>
        <v/>
      </c>
      <c r="L179">
        <f>IF($W179="","",IF(NOT(COUNTIF(기관표[사번키],INDEX(합계표[사번키],$W179))+COUNTIF(월별근무지표[사번키],INDEX(합계표[사번키],$W179))&gt;0),"기관명단에 없음(다른 병원으로 발송)",IF($K179="—","대상월 기관명단 없음(추가 필요)",IF($K179="서울병원","해당","비해당"))))</f>
        <v/>
      </c>
      <c r="M179">
        <f>IF($W179="","",SUMIFS(상세표[06~07시],상세표[사번키],INDEX(합계표[사번키],$W179),상세표[반영월],대상월키,상세표[반영 기관],"서울병원"))</f>
        <v/>
      </c>
      <c r="N179">
        <f>IF($W179="","",SUMIFS(상세표[07~18시],상세표[사번키],INDEX(합계표[사번키],$W179),상세표[반영월],대상월키,상세표[반영 기관],"서울병원"))</f>
        <v/>
      </c>
      <c r="O179">
        <f>IF($W179="","",SUMIFS(상세표[18~22시],상세표[사번키],INDEX(합계표[사번키],$W179),상세표[반영월],대상월키,상세표[반영 기관],"서울병원"))</f>
        <v/>
      </c>
      <c r="P179">
        <f>IF($W179="","",SUMIFS(상세표[22~06시],상세표[사번키],INDEX(합계표[사번키],$W179),상세표[반영월],대상월키,상세표[반영 기관],"서울병원"))</f>
        <v/>
      </c>
      <c r="Q179">
        <f>IF($W179="","",SUM($M179:$P179))</f>
        <v/>
      </c>
      <c r="R179">
        <f>IF($W179="","",COUNTIFS(상세표[사번키],INDEX(합계표[사번키],$W179),상세표[반영월],대상월키,상세표[야간당직],1,상세표[야간 구분],"평일"))</f>
        <v/>
      </c>
      <c r="S179" s="4">
        <f>IF($W179="","",COUNTIFS(상세표[사번키],INDEX(합계표[사번키],$W179),상세표[반영월],대상월키,상세표[야간당직],1,상세표[야간 구분],"휴일"))</f>
        <v/>
      </c>
      <c r="T179">
        <f>IF($W179="","",COUNTIFS(상세표[사번키],INDEX(합계표[사번키],$W179),상세표[반영월],대상월키,상세표[야간당직],1,상세표[야간 구분],"평일",상세표[반영 기관],"서울병원"))</f>
        <v/>
      </c>
      <c r="U179">
        <f>IF($W179="","",COUNTIFS(상세표[사번키],INDEX(합계표[사번키],$W179),상세표[반영월],대상월키,상세표[야간당직],1,상세표[야간 구분],"휴일",상세표[반영 기관],"서울병원"))</f>
        <v/>
      </c>
      <c r="V179">
        <f>IF($W179="","",IF(ISNUMBER(MATCH(INDEX(합계표[사번키],$W179)&amp;"|"&amp;대상월키,월별근무지표[키],0)),"직접 입력",IF($K179="—","—","기관명단")))</f>
        <v/>
      </c>
      <c r="W179">
        <f>IFERROR(MATCH(174,합계표[판정순번],0),"")</f>
        <v/>
      </c>
      <c r="Y179">
        <f>IF($AB179="","",INDEX(상세표[사번],$AB179)&amp;"")</f>
        <v/>
      </c>
      <c r="Z179">
        <f>IF($AB179="","",INDEX(상세표[성명],$AB179)&amp;"")</f>
        <v/>
      </c>
      <c r="AA179">
        <f>IF($AB179="","",SUMIFS(상세표[기록 시간외],상세표[사번키],INDEX(상세표[사번키],$AB179),상세표[반영월],대상월키))</f>
        <v/>
      </c>
      <c r="AB179" s="4">
        <f>IFERROR(MATCH(174,상세표[합계없음순번],0),"")</f>
        <v/>
      </c>
    </row>
    <row r="180">
      <c r="A180">
        <f>IF($W180="","",INDEX(합계표[사번],$W180)&amp;"")</f>
        <v/>
      </c>
      <c r="B180">
        <f>IF($W180="","",INDEX(합계표[성명],$W180)&amp;"")</f>
        <v/>
      </c>
      <c r="C180">
        <f>IF($W180="","",INDEX(합계표[부서],$W180)&amp;"")</f>
        <v/>
      </c>
      <c r="D180">
        <f>IF($W180="","",INDEX(합계표[직위(통합)],$W180)&amp;"")</f>
        <v/>
      </c>
      <c r="E180">
        <f>IF($W180="","",SUMIFS(합계표[시스템 합계],합계표[사번키],INDEX(합계표[사번키],$W180)))</f>
        <v/>
      </c>
      <c r="F180">
        <f>IF($W180="","",SUMIFS(상세표[기록 시간외],상세표[사번키],INDEX(합계표[사번키],$W180),상세표[기록월],대상월키))</f>
        <v/>
      </c>
      <c r="G180">
        <f>IF($W180="","",IF(ABS($E180-$F180)&lt;0.01,"일치","불일치(차이 "&amp;TEXT($F180-$E180,"0.00")&amp;")"))</f>
        <v/>
      </c>
      <c r="H180">
        <f>IF($W180="","",SUMIFS(상세표[기록 시간외],상세표[사번키],INDEX(합계표[사번키],$W180),상세표[기록월],대상월키,상세표[반영월],"&lt;&gt;"&amp;대상월키))</f>
        <v/>
      </c>
      <c r="I180">
        <f>IF($W180="","",SUMIFS(상세표[기록 시간외],상세표[사번키],INDEX(합계표[사번키],$W180),상세표[기록월],"&lt;&gt;"&amp;대상월키,상세표[반영월],대상월키))</f>
        <v/>
      </c>
      <c r="J180">
        <f>IF($W180="","",SUMIFS(상세표[기록 시간외],상세표[사번키],INDEX(합계표[사번키],$W180),상세표[반영월],대상월키))</f>
        <v/>
      </c>
      <c r="K180">
        <f>IF($W180="","",IFERROR(INDEX(월별근무지표[적용 급여병원],MATCH(INDEX(합계표[사번키],$W180)&amp;"|"&amp;대상월키,월별근무지표[키],0))&amp;"",IF(COUNTIF(기관표[사번키],INDEX(합계표[사번키],$W180))+COUNTIF(월별근무지표[사번키],INDEX(합계표[사번키],$W180))&gt;0,IFERROR(INDEX(기관표[급여지급병원(기준월)],MATCH(INDEX(합계표[사번키],$W180)&amp;"|"&amp;대상월키,기관표[키],0))&amp;"","—"),"—")))</f>
        <v/>
      </c>
      <c r="L180">
        <f>IF($W180="","",IF(NOT(COUNTIF(기관표[사번키],INDEX(합계표[사번키],$W180))+COUNTIF(월별근무지표[사번키],INDEX(합계표[사번키],$W180))&gt;0),"기관명단에 없음(다른 병원으로 발송)",IF($K180="—","대상월 기관명단 없음(추가 필요)",IF($K180="서울병원","해당","비해당"))))</f>
        <v/>
      </c>
      <c r="M180">
        <f>IF($W180="","",SUMIFS(상세표[06~07시],상세표[사번키],INDEX(합계표[사번키],$W180),상세표[반영월],대상월키,상세표[반영 기관],"서울병원"))</f>
        <v/>
      </c>
      <c r="N180">
        <f>IF($W180="","",SUMIFS(상세표[07~18시],상세표[사번키],INDEX(합계표[사번키],$W180),상세표[반영월],대상월키,상세표[반영 기관],"서울병원"))</f>
        <v/>
      </c>
      <c r="O180">
        <f>IF($W180="","",SUMIFS(상세표[18~22시],상세표[사번키],INDEX(합계표[사번키],$W180),상세표[반영월],대상월키,상세표[반영 기관],"서울병원"))</f>
        <v/>
      </c>
      <c r="P180">
        <f>IF($W180="","",SUMIFS(상세표[22~06시],상세표[사번키],INDEX(합계표[사번키],$W180),상세표[반영월],대상월키,상세표[반영 기관],"서울병원"))</f>
        <v/>
      </c>
      <c r="Q180">
        <f>IF($W180="","",SUM($M180:$P180))</f>
        <v/>
      </c>
      <c r="R180">
        <f>IF($W180="","",COUNTIFS(상세표[사번키],INDEX(합계표[사번키],$W180),상세표[반영월],대상월키,상세표[야간당직],1,상세표[야간 구분],"평일"))</f>
        <v/>
      </c>
      <c r="S180" s="4">
        <f>IF($W180="","",COUNTIFS(상세표[사번키],INDEX(합계표[사번키],$W180),상세표[반영월],대상월키,상세표[야간당직],1,상세표[야간 구분],"휴일"))</f>
        <v/>
      </c>
      <c r="T180">
        <f>IF($W180="","",COUNTIFS(상세표[사번키],INDEX(합계표[사번키],$W180),상세표[반영월],대상월키,상세표[야간당직],1,상세표[야간 구분],"평일",상세표[반영 기관],"서울병원"))</f>
        <v/>
      </c>
      <c r="U180">
        <f>IF($W180="","",COUNTIFS(상세표[사번키],INDEX(합계표[사번키],$W180),상세표[반영월],대상월키,상세표[야간당직],1,상세표[야간 구분],"휴일",상세표[반영 기관],"서울병원"))</f>
        <v/>
      </c>
      <c r="V180">
        <f>IF($W180="","",IF(ISNUMBER(MATCH(INDEX(합계표[사번키],$W180)&amp;"|"&amp;대상월키,월별근무지표[키],0)),"직접 입력",IF($K180="—","—","기관명단")))</f>
        <v/>
      </c>
      <c r="W180">
        <f>IFERROR(MATCH(175,합계표[판정순번],0),"")</f>
        <v/>
      </c>
      <c r="Y180">
        <f>IF($AB180="","",INDEX(상세표[사번],$AB180)&amp;"")</f>
        <v/>
      </c>
      <c r="Z180">
        <f>IF($AB180="","",INDEX(상세표[성명],$AB180)&amp;"")</f>
        <v/>
      </c>
      <c r="AA180">
        <f>IF($AB180="","",SUMIFS(상세표[기록 시간외],상세표[사번키],INDEX(상세표[사번키],$AB180),상세표[반영월],대상월키))</f>
        <v/>
      </c>
      <c r="AB180" s="4">
        <f>IFERROR(MATCH(175,상세표[합계없음순번],0),"")</f>
        <v/>
      </c>
    </row>
    <row r="181">
      <c r="A181">
        <f>IF($W181="","",INDEX(합계표[사번],$W181)&amp;"")</f>
        <v/>
      </c>
      <c r="B181">
        <f>IF($W181="","",INDEX(합계표[성명],$W181)&amp;"")</f>
        <v/>
      </c>
      <c r="C181">
        <f>IF($W181="","",INDEX(합계표[부서],$W181)&amp;"")</f>
        <v/>
      </c>
      <c r="D181">
        <f>IF($W181="","",INDEX(합계표[직위(통합)],$W181)&amp;"")</f>
        <v/>
      </c>
      <c r="E181">
        <f>IF($W181="","",SUMIFS(합계표[시스템 합계],합계표[사번키],INDEX(합계표[사번키],$W181)))</f>
        <v/>
      </c>
      <c r="F181">
        <f>IF($W181="","",SUMIFS(상세표[기록 시간외],상세표[사번키],INDEX(합계표[사번키],$W181),상세표[기록월],대상월키))</f>
        <v/>
      </c>
      <c r="G181">
        <f>IF($W181="","",IF(ABS($E181-$F181)&lt;0.01,"일치","불일치(차이 "&amp;TEXT($F181-$E181,"0.00")&amp;")"))</f>
        <v/>
      </c>
      <c r="H181">
        <f>IF($W181="","",SUMIFS(상세표[기록 시간외],상세표[사번키],INDEX(합계표[사번키],$W181),상세표[기록월],대상월키,상세표[반영월],"&lt;&gt;"&amp;대상월키))</f>
        <v/>
      </c>
      <c r="I181">
        <f>IF($W181="","",SUMIFS(상세표[기록 시간외],상세표[사번키],INDEX(합계표[사번키],$W181),상세표[기록월],"&lt;&gt;"&amp;대상월키,상세표[반영월],대상월키))</f>
        <v/>
      </c>
      <c r="J181">
        <f>IF($W181="","",SUMIFS(상세표[기록 시간외],상세표[사번키],INDEX(합계표[사번키],$W181),상세표[반영월],대상월키))</f>
        <v/>
      </c>
      <c r="K181">
        <f>IF($W181="","",IFERROR(INDEX(월별근무지표[적용 급여병원],MATCH(INDEX(합계표[사번키],$W181)&amp;"|"&amp;대상월키,월별근무지표[키],0))&amp;"",IF(COUNTIF(기관표[사번키],INDEX(합계표[사번키],$W181))+COUNTIF(월별근무지표[사번키],INDEX(합계표[사번키],$W181))&gt;0,IFERROR(INDEX(기관표[급여지급병원(기준월)],MATCH(INDEX(합계표[사번키],$W181)&amp;"|"&amp;대상월키,기관표[키],0))&amp;"","—"),"—")))</f>
        <v/>
      </c>
      <c r="L181">
        <f>IF($W181="","",IF(NOT(COUNTIF(기관표[사번키],INDEX(합계표[사번키],$W181))+COUNTIF(월별근무지표[사번키],INDEX(합계표[사번키],$W181))&gt;0),"기관명단에 없음(다른 병원으로 발송)",IF($K181="—","대상월 기관명단 없음(추가 필요)",IF($K181="서울병원","해당","비해당"))))</f>
        <v/>
      </c>
      <c r="M181">
        <f>IF($W181="","",SUMIFS(상세표[06~07시],상세표[사번키],INDEX(합계표[사번키],$W181),상세표[반영월],대상월키,상세표[반영 기관],"서울병원"))</f>
        <v/>
      </c>
      <c r="N181">
        <f>IF($W181="","",SUMIFS(상세표[07~18시],상세표[사번키],INDEX(합계표[사번키],$W181),상세표[반영월],대상월키,상세표[반영 기관],"서울병원"))</f>
        <v/>
      </c>
      <c r="O181">
        <f>IF($W181="","",SUMIFS(상세표[18~22시],상세표[사번키],INDEX(합계표[사번키],$W181),상세표[반영월],대상월키,상세표[반영 기관],"서울병원"))</f>
        <v/>
      </c>
      <c r="P181">
        <f>IF($W181="","",SUMIFS(상세표[22~06시],상세표[사번키],INDEX(합계표[사번키],$W181),상세표[반영월],대상월키,상세표[반영 기관],"서울병원"))</f>
        <v/>
      </c>
      <c r="Q181">
        <f>IF($W181="","",SUM($M181:$P181))</f>
        <v/>
      </c>
      <c r="R181">
        <f>IF($W181="","",COUNTIFS(상세표[사번키],INDEX(합계표[사번키],$W181),상세표[반영월],대상월키,상세표[야간당직],1,상세표[야간 구분],"평일"))</f>
        <v/>
      </c>
      <c r="S181" s="4">
        <f>IF($W181="","",COUNTIFS(상세표[사번키],INDEX(합계표[사번키],$W181),상세표[반영월],대상월키,상세표[야간당직],1,상세표[야간 구분],"휴일"))</f>
        <v/>
      </c>
      <c r="T181">
        <f>IF($W181="","",COUNTIFS(상세표[사번키],INDEX(합계표[사번키],$W181),상세표[반영월],대상월키,상세표[야간당직],1,상세표[야간 구분],"평일",상세표[반영 기관],"서울병원"))</f>
        <v/>
      </c>
      <c r="U181">
        <f>IF($W181="","",COUNTIFS(상세표[사번키],INDEX(합계표[사번키],$W181),상세표[반영월],대상월키,상세표[야간당직],1,상세표[야간 구분],"휴일",상세표[반영 기관],"서울병원"))</f>
        <v/>
      </c>
      <c r="V181">
        <f>IF($W181="","",IF(ISNUMBER(MATCH(INDEX(합계표[사번키],$W181)&amp;"|"&amp;대상월키,월별근무지표[키],0)),"직접 입력",IF($K181="—","—","기관명단")))</f>
        <v/>
      </c>
      <c r="W181">
        <f>IFERROR(MATCH(176,합계표[판정순번],0),"")</f>
        <v/>
      </c>
      <c r="Y181">
        <f>IF($AB181="","",INDEX(상세표[사번],$AB181)&amp;"")</f>
        <v/>
      </c>
      <c r="Z181">
        <f>IF($AB181="","",INDEX(상세표[성명],$AB181)&amp;"")</f>
        <v/>
      </c>
      <c r="AA181">
        <f>IF($AB181="","",SUMIFS(상세표[기록 시간외],상세표[사번키],INDEX(상세표[사번키],$AB181),상세표[반영월],대상월키))</f>
        <v/>
      </c>
      <c r="AB181" s="4">
        <f>IFERROR(MATCH(176,상세표[합계없음순번],0),"")</f>
        <v/>
      </c>
    </row>
    <row r="182">
      <c r="A182">
        <f>IF($W182="","",INDEX(합계표[사번],$W182)&amp;"")</f>
        <v/>
      </c>
      <c r="B182">
        <f>IF($W182="","",INDEX(합계표[성명],$W182)&amp;"")</f>
        <v/>
      </c>
      <c r="C182">
        <f>IF($W182="","",INDEX(합계표[부서],$W182)&amp;"")</f>
        <v/>
      </c>
      <c r="D182">
        <f>IF($W182="","",INDEX(합계표[직위(통합)],$W182)&amp;"")</f>
        <v/>
      </c>
      <c r="E182">
        <f>IF($W182="","",SUMIFS(합계표[시스템 합계],합계표[사번키],INDEX(합계표[사번키],$W182)))</f>
        <v/>
      </c>
      <c r="F182">
        <f>IF($W182="","",SUMIFS(상세표[기록 시간외],상세표[사번키],INDEX(합계표[사번키],$W182),상세표[기록월],대상월키))</f>
        <v/>
      </c>
      <c r="G182">
        <f>IF($W182="","",IF(ABS($E182-$F182)&lt;0.01,"일치","불일치(차이 "&amp;TEXT($F182-$E182,"0.00")&amp;")"))</f>
        <v/>
      </c>
      <c r="H182">
        <f>IF($W182="","",SUMIFS(상세표[기록 시간외],상세표[사번키],INDEX(합계표[사번키],$W182),상세표[기록월],대상월키,상세표[반영월],"&lt;&gt;"&amp;대상월키))</f>
        <v/>
      </c>
      <c r="I182">
        <f>IF($W182="","",SUMIFS(상세표[기록 시간외],상세표[사번키],INDEX(합계표[사번키],$W182),상세표[기록월],"&lt;&gt;"&amp;대상월키,상세표[반영월],대상월키))</f>
        <v/>
      </c>
      <c r="J182">
        <f>IF($W182="","",SUMIFS(상세표[기록 시간외],상세표[사번키],INDEX(합계표[사번키],$W182),상세표[반영월],대상월키))</f>
        <v/>
      </c>
      <c r="K182">
        <f>IF($W182="","",IFERROR(INDEX(월별근무지표[적용 급여병원],MATCH(INDEX(합계표[사번키],$W182)&amp;"|"&amp;대상월키,월별근무지표[키],0))&amp;"",IF(COUNTIF(기관표[사번키],INDEX(합계표[사번키],$W182))+COUNTIF(월별근무지표[사번키],INDEX(합계표[사번키],$W182))&gt;0,IFERROR(INDEX(기관표[급여지급병원(기준월)],MATCH(INDEX(합계표[사번키],$W182)&amp;"|"&amp;대상월키,기관표[키],0))&amp;"","—"),"—")))</f>
        <v/>
      </c>
      <c r="L182">
        <f>IF($W182="","",IF(NOT(COUNTIF(기관표[사번키],INDEX(합계표[사번키],$W182))+COUNTIF(월별근무지표[사번키],INDEX(합계표[사번키],$W182))&gt;0),"기관명단에 없음(다른 병원으로 발송)",IF($K182="—","대상월 기관명단 없음(추가 필요)",IF($K182="서울병원","해당","비해당"))))</f>
        <v/>
      </c>
      <c r="M182">
        <f>IF($W182="","",SUMIFS(상세표[06~07시],상세표[사번키],INDEX(합계표[사번키],$W182),상세표[반영월],대상월키,상세표[반영 기관],"서울병원"))</f>
        <v/>
      </c>
      <c r="N182">
        <f>IF($W182="","",SUMIFS(상세표[07~18시],상세표[사번키],INDEX(합계표[사번키],$W182),상세표[반영월],대상월키,상세표[반영 기관],"서울병원"))</f>
        <v/>
      </c>
      <c r="O182">
        <f>IF($W182="","",SUMIFS(상세표[18~22시],상세표[사번키],INDEX(합계표[사번키],$W182),상세표[반영월],대상월키,상세표[반영 기관],"서울병원"))</f>
        <v/>
      </c>
      <c r="P182">
        <f>IF($W182="","",SUMIFS(상세표[22~06시],상세표[사번키],INDEX(합계표[사번키],$W182),상세표[반영월],대상월키,상세표[반영 기관],"서울병원"))</f>
        <v/>
      </c>
      <c r="Q182">
        <f>IF($W182="","",SUM($M182:$P182))</f>
        <v/>
      </c>
      <c r="R182">
        <f>IF($W182="","",COUNTIFS(상세표[사번키],INDEX(합계표[사번키],$W182),상세표[반영월],대상월키,상세표[야간당직],1,상세표[야간 구분],"평일"))</f>
        <v/>
      </c>
      <c r="S182" s="4">
        <f>IF($W182="","",COUNTIFS(상세표[사번키],INDEX(합계표[사번키],$W182),상세표[반영월],대상월키,상세표[야간당직],1,상세표[야간 구분],"휴일"))</f>
        <v/>
      </c>
      <c r="T182">
        <f>IF($W182="","",COUNTIFS(상세표[사번키],INDEX(합계표[사번키],$W182),상세표[반영월],대상월키,상세표[야간당직],1,상세표[야간 구분],"평일",상세표[반영 기관],"서울병원"))</f>
        <v/>
      </c>
      <c r="U182">
        <f>IF($W182="","",COUNTIFS(상세표[사번키],INDEX(합계표[사번키],$W182),상세표[반영월],대상월키,상세표[야간당직],1,상세표[야간 구분],"휴일",상세표[반영 기관],"서울병원"))</f>
        <v/>
      </c>
      <c r="V182">
        <f>IF($W182="","",IF(ISNUMBER(MATCH(INDEX(합계표[사번키],$W182)&amp;"|"&amp;대상월키,월별근무지표[키],0)),"직접 입력",IF($K182="—","—","기관명단")))</f>
        <v/>
      </c>
      <c r="W182">
        <f>IFERROR(MATCH(177,합계표[판정순번],0),"")</f>
        <v/>
      </c>
      <c r="Y182">
        <f>IF($AB182="","",INDEX(상세표[사번],$AB182)&amp;"")</f>
        <v/>
      </c>
      <c r="Z182">
        <f>IF($AB182="","",INDEX(상세표[성명],$AB182)&amp;"")</f>
        <v/>
      </c>
      <c r="AA182">
        <f>IF($AB182="","",SUMIFS(상세표[기록 시간외],상세표[사번키],INDEX(상세표[사번키],$AB182),상세표[반영월],대상월키))</f>
        <v/>
      </c>
      <c r="AB182" s="4">
        <f>IFERROR(MATCH(177,상세표[합계없음순번],0),"")</f>
        <v/>
      </c>
    </row>
    <row r="183">
      <c r="A183">
        <f>IF($W183="","",INDEX(합계표[사번],$W183)&amp;"")</f>
        <v/>
      </c>
      <c r="B183">
        <f>IF($W183="","",INDEX(합계표[성명],$W183)&amp;"")</f>
        <v/>
      </c>
      <c r="C183">
        <f>IF($W183="","",INDEX(합계표[부서],$W183)&amp;"")</f>
        <v/>
      </c>
      <c r="D183">
        <f>IF($W183="","",INDEX(합계표[직위(통합)],$W183)&amp;"")</f>
        <v/>
      </c>
      <c r="E183">
        <f>IF($W183="","",SUMIFS(합계표[시스템 합계],합계표[사번키],INDEX(합계표[사번키],$W183)))</f>
        <v/>
      </c>
      <c r="F183">
        <f>IF($W183="","",SUMIFS(상세표[기록 시간외],상세표[사번키],INDEX(합계표[사번키],$W183),상세표[기록월],대상월키))</f>
        <v/>
      </c>
      <c r="G183">
        <f>IF($W183="","",IF(ABS($E183-$F183)&lt;0.01,"일치","불일치(차이 "&amp;TEXT($F183-$E183,"0.00")&amp;")"))</f>
        <v/>
      </c>
      <c r="H183">
        <f>IF($W183="","",SUMIFS(상세표[기록 시간외],상세표[사번키],INDEX(합계표[사번키],$W183),상세표[기록월],대상월키,상세표[반영월],"&lt;&gt;"&amp;대상월키))</f>
        <v/>
      </c>
      <c r="I183">
        <f>IF($W183="","",SUMIFS(상세표[기록 시간외],상세표[사번키],INDEX(합계표[사번키],$W183),상세표[기록월],"&lt;&gt;"&amp;대상월키,상세표[반영월],대상월키))</f>
        <v/>
      </c>
      <c r="J183">
        <f>IF($W183="","",SUMIFS(상세표[기록 시간외],상세표[사번키],INDEX(합계표[사번키],$W183),상세표[반영월],대상월키))</f>
        <v/>
      </c>
      <c r="K183">
        <f>IF($W183="","",IFERROR(INDEX(월별근무지표[적용 급여병원],MATCH(INDEX(합계표[사번키],$W183)&amp;"|"&amp;대상월키,월별근무지표[키],0))&amp;"",IF(COUNTIF(기관표[사번키],INDEX(합계표[사번키],$W183))+COUNTIF(월별근무지표[사번키],INDEX(합계표[사번키],$W183))&gt;0,IFERROR(INDEX(기관표[급여지급병원(기준월)],MATCH(INDEX(합계표[사번키],$W183)&amp;"|"&amp;대상월키,기관표[키],0))&amp;"","—"),"—")))</f>
        <v/>
      </c>
      <c r="L183">
        <f>IF($W183="","",IF(NOT(COUNTIF(기관표[사번키],INDEX(합계표[사번키],$W183))+COUNTIF(월별근무지표[사번키],INDEX(합계표[사번키],$W183))&gt;0),"기관명단에 없음(다른 병원으로 발송)",IF($K183="—","대상월 기관명단 없음(추가 필요)",IF($K183="서울병원","해당","비해당"))))</f>
        <v/>
      </c>
      <c r="M183">
        <f>IF($W183="","",SUMIFS(상세표[06~07시],상세표[사번키],INDEX(합계표[사번키],$W183),상세표[반영월],대상월키,상세표[반영 기관],"서울병원"))</f>
        <v/>
      </c>
      <c r="N183">
        <f>IF($W183="","",SUMIFS(상세표[07~18시],상세표[사번키],INDEX(합계표[사번키],$W183),상세표[반영월],대상월키,상세표[반영 기관],"서울병원"))</f>
        <v/>
      </c>
      <c r="O183">
        <f>IF($W183="","",SUMIFS(상세표[18~22시],상세표[사번키],INDEX(합계표[사번키],$W183),상세표[반영월],대상월키,상세표[반영 기관],"서울병원"))</f>
        <v/>
      </c>
      <c r="P183">
        <f>IF($W183="","",SUMIFS(상세표[22~06시],상세표[사번키],INDEX(합계표[사번키],$W183),상세표[반영월],대상월키,상세표[반영 기관],"서울병원"))</f>
        <v/>
      </c>
      <c r="Q183">
        <f>IF($W183="","",SUM($M183:$P183))</f>
        <v/>
      </c>
      <c r="R183">
        <f>IF($W183="","",COUNTIFS(상세표[사번키],INDEX(합계표[사번키],$W183),상세표[반영월],대상월키,상세표[야간당직],1,상세표[야간 구분],"평일"))</f>
        <v/>
      </c>
      <c r="S183" s="4">
        <f>IF($W183="","",COUNTIFS(상세표[사번키],INDEX(합계표[사번키],$W183),상세표[반영월],대상월키,상세표[야간당직],1,상세표[야간 구분],"휴일"))</f>
        <v/>
      </c>
      <c r="T183">
        <f>IF($W183="","",COUNTIFS(상세표[사번키],INDEX(합계표[사번키],$W183),상세표[반영월],대상월키,상세표[야간당직],1,상세표[야간 구분],"평일",상세표[반영 기관],"서울병원"))</f>
        <v/>
      </c>
      <c r="U183">
        <f>IF($W183="","",COUNTIFS(상세표[사번키],INDEX(합계표[사번키],$W183),상세표[반영월],대상월키,상세표[야간당직],1,상세표[야간 구분],"휴일",상세표[반영 기관],"서울병원"))</f>
        <v/>
      </c>
      <c r="V183">
        <f>IF($W183="","",IF(ISNUMBER(MATCH(INDEX(합계표[사번키],$W183)&amp;"|"&amp;대상월키,월별근무지표[키],0)),"직접 입력",IF($K183="—","—","기관명단")))</f>
        <v/>
      </c>
      <c r="W183">
        <f>IFERROR(MATCH(178,합계표[판정순번],0),"")</f>
        <v/>
      </c>
      <c r="Y183">
        <f>IF($AB183="","",INDEX(상세표[사번],$AB183)&amp;"")</f>
        <v/>
      </c>
      <c r="Z183">
        <f>IF($AB183="","",INDEX(상세표[성명],$AB183)&amp;"")</f>
        <v/>
      </c>
      <c r="AA183">
        <f>IF($AB183="","",SUMIFS(상세표[기록 시간외],상세표[사번키],INDEX(상세표[사번키],$AB183),상세표[반영월],대상월키))</f>
        <v/>
      </c>
      <c r="AB183" s="4">
        <f>IFERROR(MATCH(178,상세표[합계없음순번],0),"")</f>
        <v/>
      </c>
    </row>
    <row r="184">
      <c r="A184">
        <f>IF($W184="","",INDEX(합계표[사번],$W184)&amp;"")</f>
        <v/>
      </c>
      <c r="B184">
        <f>IF($W184="","",INDEX(합계표[성명],$W184)&amp;"")</f>
        <v/>
      </c>
      <c r="C184">
        <f>IF($W184="","",INDEX(합계표[부서],$W184)&amp;"")</f>
        <v/>
      </c>
      <c r="D184">
        <f>IF($W184="","",INDEX(합계표[직위(통합)],$W184)&amp;"")</f>
        <v/>
      </c>
      <c r="E184">
        <f>IF($W184="","",SUMIFS(합계표[시스템 합계],합계표[사번키],INDEX(합계표[사번키],$W184)))</f>
        <v/>
      </c>
      <c r="F184">
        <f>IF($W184="","",SUMIFS(상세표[기록 시간외],상세표[사번키],INDEX(합계표[사번키],$W184),상세표[기록월],대상월키))</f>
        <v/>
      </c>
      <c r="G184">
        <f>IF($W184="","",IF(ABS($E184-$F184)&lt;0.01,"일치","불일치(차이 "&amp;TEXT($F184-$E184,"0.00")&amp;")"))</f>
        <v/>
      </c>
      <c r="H184">
        <f>IF($W184="","",SUMIFS(상세표[기록 시간외],상세표[사번키],INDEX(합계표[사번키],$W184),상세표[기록월],대상월키,상세표[반영월],"&lt;&gt;"&amp;대상월키))</f>
        <v/>
      </c>
      <c r="I184">
        <f>IF($W184="","",SUMIFS(상세표[기록 시간외],상세표[사번키],INDEX(합계표[사번키],$W184),상세표[기록월],"&lt;&gt;"&amp;대상월키,상세표[반영월],대상월키))</f>
        <v/>
      </c>
      <c r="J184">
        <f>IF($W184="","",SUMIFS(상세표[기록 시간외],상세표[사번키],INDEX(합계표[사번키],$W184),상세표[반영월],대상월키))</f>
        <v/>
      </c>
      <c r="K184">
        <f>IF($W184="","",IFERROR(INDEX(월별근무지표[적용 급여병원],MATCH(INDEX(합계표[사번키],$W184)&amp;"|"&amp;대상월키,월별근무지표[키],0))&amp;"",IF(COUNTIF(기관표[사번키],INDEX(합계표[사번키],$W184))+COUNTIF(월별근무지표[사번키],INDEX(합계표[사번키],$W184))&gt;0,IFERROR(INDEX(기관표[급여지급병원(기준월)],MATCH(INDEX(합계표[사번키],$W184)&amp;"|"&amp;대상월키,기관표[키],0))&amp;"","—"),"—")))</f>
        <v/>
      </c>
      <c r="L184">
        <f>IF($W184="","",IF(NOT(COUNTIF(기관표[사번키],INDEX(합계표[사번키],$W184))+COUNTIF(월별근무지표[사번키],INDEX(합계표[사번키],$W184))&gt;0),"기관명단에 없음(다른 병원으로 발송)",IF($K184="—","대상월 기관명단 없음(추가 필요)",IF($K184="서울병원","해당","비해당"))))</f>
        <v/>
      </c>
      <c r="M184">
        <f>IF($W184="","",SUMIFS(상세표[06~07시],상세표[사번키],INDEX(합계표[사번키],$W184),상세표[반영월],대상월키,상세표[반영 기관],"서울병원"))</f>
        <v/>
      </c>
      <c r="N184">
        <f>IF($W184="","",SUMIFS(상세표[07~18시],상세표[사번키],INDEX(합계표[사번키],$W184),상세표[반영월],대상월키,상세표[반영 기관],"서울병원"))</f>
        <v/>
      </c>
      <c r="O184">
        <f>IF($W184="","",SUMIFS(상세표[18~22시],상세표[사번키],INDEX(합계표[사번키],$W184),상세표[반영월],대상월키,상세표[반영 기관],"서울병원"))</f>
        <v/>
      </c>
      <c r="P184">
        <f>IF($W184="","",SUMIFS(상세표[22~06시],상세표[사번키],INDEX(합계표[사번키],$W184),상세표[반영월],대상월키,상세표[반영 기관],"서울병원"))</f>
        <v/>
      </c>
      <c r="Q184">
        <f>IF($W184="","",SUM($M184:$P184))</f>
        <v/>
      </c>
      <c r="R184">
        <f>IF($W184="","",COUNTIFS(상세표[사번키],INDEX(합계표[사번키],$W184),상세표[반영월],대상월키,상세표[야간당직],1,상세표[야간 구분],"평일"))</f>
        <v/>
      </c>
      <c r="S184" s="4">
        <f>IF($W184="","",COUNTIFS(상세표[사번키],INDEX(합계표[사번키],$W184),상세표[반영월],대상월키,상세표[야간당직],1,상세표[야간 구분],"휴일"))</f>
        <v/>
      </c>
      <c r="T184">
        <f>IF($W184="","",COUNTIFS(상세표[사번키],INDEX(합계표[사번키],$W184),상세표[반영월],대상월키,상세표[야간당직],1,상세표[야간 구분],"평일",상세표[반영 기관],"서울병원"))</f>
        <v/>
      </c>
      <c r="U184">
        <f>IF($W184="","",COUNTIFS(상세표[사번키],INDEX(합계표[사번키],$W184),상세표[반영월],대상월키,상세표[야간당직],1,상세표[야간 구분],"휴일",상세표[반영 기관],"서울병원"))</f>
        <v/>
      </c>
      <c r="V184">
        <f>IF($W184="","",IF(ISNUMBER(MATCH(INDEX(합계표[사번키],$W184)&amp;"|"&amp;대상월키,월별근무지표[키],0)),"직접 입력",IF($K184="—","—","기관명단")))</f>
        <v/>
      </c>
      <c r="W184">
        <f>IFERROR(MATCH(179,합계표[판정순번],0),"")</f>
        <v/>
      </c>
      <c r="Y184">
        <f>IF($AB184="","",INDEX(상세표[사번],$AB184)&amp;"")</f>
        <v/>
      </c>
      <c r="Z184">
        <f>IF($AB184="","",INDEX(상세표[성명],$AB184)&amp;"")</f>
        <v/>
      </c>
      <c r="AA184">
        <f>IF($AB184="","",SUMIFS(상세표[기록 시간외],상세표[사번키],INDEX(상세표[사번키],$AB184),상세표[반영월],대상월키))</f>
        <v/>
      </c>
      <c r="AB184" s="4">
        <f>IFERROR(MATCH(179,상세표[합계없음순번],0),"")</f>
        <v/>
      </c>
    </row>
    <row r="185">
      <c r="A185">
        <f>IF($W185="","",INDEX(합계표[사번],$W185)&amp;"")</f>
        <v/>
      </c>
      <c r="B185">
        <f>IF($W185="","",INDEX(합계표[성명],$W185)&amp;"")</f>
        <v/>
      </c>
      <c r="C185">
        <f>IF($W185="","",INDEX(합계표[부서],$W185)&amp;"")</f>
        <v/>
      </c>
      <c r="D185">
        <f>IF($W185="","",INDEX(합계표[직위(통합)],$W185)&amp;"")</f>
        <v/>
      </c>
      <c r="E185">
        <f>IF($W185="","",SUMIFS(합계표[시스템 합계],합계표[사번키],INDEX(합계표[사번키],$W185)))</f>
        <v/>
      </c>
      <c r="F185">
        <f>IF($W185="","",SUMIFS(상세표[기록 시간외],상세표[사번키],INDEX(합계표[사번키],$W185),상세표[기록월],대상월키))</f>
        <v/>
      </c>
      <c r="G185">
        <f>IF($W185="","",IF(ABS($E185-$F185)&lt;0.01,"일치","불일치(차이 "&amp;TEXT($F185-$E185,"0.00")&amp;")"))</f>
        <v/>
      </c>
      <c r="H185">
        <f>IF($W185="","",SUMIFS(상세표[기록 시간외],상세표[사번키],INDEX(합계표[사번키],$W185),상세표[기록월],대상월키,상세표[반영월],"&lt;&gt;"&amp;대상월키))</f>
        <v/>
      </c>
      <c r="I185">
        <f>IF($W185="","",SUMIFS(상세표[기록 시간외],상세표[사번키],INDEX(합계표[사번키],$W185),상세표[기록월],"&lt;&gt;"&amp;대상월키,상세표[반영월],대상월키))</f>
        <v/>
      </c>
      <c r="J185">
        <f>IF($W185="","",SUMIFS(상세표[기록 시간외],상세표[사번키],INDEX(합계표[사번키],$W185),상세표[반영월],대상월키))</f>
        <v/>
      </c>
      <c r="K185">
        <f>IF($W185="","",IFERROR(INDEX(월별근무지표[적용 급여병원],MATCH(INDEX(합계표[사번키],$W185)&amp;"|"&amp;대상월키,월별근무지표[키],0))&amp;"",IF(COUNTIF(기관표[사번키],INDEX(합계표[사번키],$W185))+COUNTIF(월별근무지표[사번키],INDEX(합계표[사번키],$W185))&gt;0,IFERROR(INDEX(기관표[급여지급병원(기준월)],MATCH(INDEX(합계표[사번키],$W185)&amp;"|"&amp;대상월키,기관표[키],0))&amp;"","—"),"—")))</f>
        <v/>
      </c>
      <c r="L185">
        <f>IF($W185="","",IF(NOT(COUNTIF(기관표[사번키],INDEX(합계표[사번키],$W185))+COUNTIF(월별근무지표[사번키],INDEX(합계표[사번키],$W185))&gt;0),"기관명단에 없음(다른 병원으로 발송)",IF($K185="—","대상월 기관명단 없음(추가 필요)",IF($K185="서울병원","해당","비해당"))))</f>
        <v/>
      </c>
      <c r="M185">
        <f>IF($W185="","",SUMIFS(상세표[06~07시],상세표[사번키],INDEX(합계표[사번키],$W185),상세표[반영월],대상월키,상세표[반영 기관],"서울병원"))</f>
        <v/>
      </c>
      <c r="N185">
        <f>IF($W185="","",SUMIFS(상세표[07~18시],상세표[사번키],INDEX(합계표[사번키],$W185),상세표[반영월],대상월키,상세표[반영 기관],"서울병원"))</f>
        <v/>
      </c>
      <c r="O185">
        <f>IF($W185="","",SUMIFS(상세표[18~22시],상세표[사번키],INDEX(합계표[사번키],$W185),상세표[반영월],대상월키,상세표[반영 기관],"서울병원"))</f>
        <v/>
      </c>
      <c r="P185">
        <f>IF($W185="","",SUMIFS(상세표[22~06시],상세표[사번키],INDEX(합계표[사번키],$W185),상세표[반영월],대상월키,상세표[반영 기관],"서울병원"))</f>
        <v/>
      </c>
      <c r="Q185">
        <f>IF($W185="","",SUM($M185:$P185))</f>
        <v/>
      </c>
      <c r="R185">
        <f>IF($W185="","",COUNTIFS(상세표[사번키],INDEX(합계표[사번키],$W185),상세표[반영월],대상월키,상세표[야간당직],1,상세표[야간 구분],"평일"))</f>
        <v/>
      </c>
      <c r="S185" s="4">
        <f>IF($W185="","",COUNTIFS(상세표[사번키],INDEX(합계표[사번키],$W185),상세표[반영월],대상월키,상세표[야간당직],1,상세표[야간 구분],"휴일"))</f>
        <v/>
      </c>
      <c r="T185">
        <f>IF($W185="","",COUNTIFS(상세표[사번키],INDEX(합계표[사번키],$W185),상세표[반영월],대상월키,상세표[야간당직],1,상세표[야간 구분],"평일",상세표[반영 기관],"서울병원"))</f>
        <v/>
      </c>
      <c r="U185">
        <f>IF($W185="","",COUNTIFS(상세표[사번키],INDEX(합계표[사번키],$W185),상세표[반영월],대상월키,상세표[야간당직],1,상세표[야간 구분],"휴일",상세표[반영 기관],"서울병원"))</f>
        <v/>
      </c>
      <c r="V185">
        <f>IF($W185="","",IF(ISNUMBER(MATCH(INDEX(합계표[사번키],$W185)&amp;"|"&amp;대상월키,월별근무지표[키],0)),"직접 입력",IF($K185="—","—","기관명단")))</f>
        <v/>
      </c>
      <c r="W185">
        <f>IFERROR(MATCH(180,합계표[판정순번],0),"")</f>
        <v/>
      </c>
      <c r="Y185">
        <f>IF($AB185="","",INDEX(상세표[사번],$AB185)&amp;"")</f>
        <v/>
      </c>
      <c r="Z185">
        <f>IF($AB185="","",INDEX(상세표[성명],$AB185)&amp;"")</f>
        <v/>
      </c>
      <c r="AA185">
        <f>IF($AB185="","",SUMIFS(상세표[기록 시간외],상세표[사번키],INDEX(상세표[사번키],$AB185),상세표[반영월],대상월키))</f>
        <v/>
      </c>
      <c r="AB185" s="4">
        <f>IFERROR(MATCH(180,상세표[합계없음순번],0),"")</f>
        <v/>
      </c>
    </row>
    <row r="186">
      <c r="A186">
        <f>IF($W186="","",INDEX(합계표[사번],$W186)&amp;"")</f>
        <v/>
      </c>
      <c r="B186">
        <f>IF($W186="","",INDEX(합계표[성명],$W186)&amp;"")</f>
        <v/>
      </c>
      <c r="C186">
        <f>IF($W186="","",INDEX(합계표[부서],$W186)&amp;"")</f>
        <v/>
      </c>
      <c r="D186">
        <f>IF($W186="","",INDEX(합계표[직위(통합)],$W186)&amp;"")</f>
        <v/>
      </c>
      <c r="E186">
        <f>IF($W186="","",SUMIFS(합계표[시스템 합계],합계표[사번키],INDEX(합계표[사번키],$W186)))</f>
        <v/>
      </c>
      <c r="F186">
        <f>IF($W186="","",SUMIFS(상세표[기록 시간외],상세표[사번키],INDEX(합계표[사번키],$W186),상세표[기록월],대상월키))</f>
        <v/>
      </c>
      <c r="G186">
        <f>IF($W186="","",IF(ABS($E186-$F186)&lt;0.01,"일치","불일치(차이 "&amp;TEXT($F186-$E186,"0.00")&amp;")"))</f>
        <v/>
      </c>
      <c r="H186">
        <f>IF($W186="","",SUMIFS(상세표[기록 시간외],상세표[사번키],INDEX(합계표[사번키],$W186),상세표[기록월],대상월키,상세표[반영월],"&lt;&gt;"&amp;대상월키))</f>
        <v/>
      </c>
      <c r="I186">
        <f>IF($W186="","",SUMIFS(상세표[기록 시간외],상세표[사번키],INDEX(합계표[사번키],$W186),상세표[기록월],"&lt;&gt;"&amp;대상월키,상세표[반영월],대상월키))</f>
        <v/>
      </c>
      <c r="J186">
        <f>IF($W186="","",SUMIFS(상세표[기록 시간외],상세표[사번키],INDEX(합계표[사번키],$W186),상세표[반영월],대상월키))</f>
        <v/>
      </c>
      <c r="K186">
        <f>IF($W186="","",IFERROR(INDEX(월별근무지표[적용 급여병원],MATCH(INDEX(합계표[사번키],$W186)&amp;"|"&amp;대상월키,월별근무지표[키],0))&amp;"",IF(COUNTIF(기관표[사번키],INDEX(합계표[사번키],$W186))+COUNTIF(월별근무지표[사번키],INDEX(합계표[사번키],$W186))&gt;0,IFERROR(INDEX(기관표[급여지급병원(기준월)],MATCH(INDEX(합계표[사번키],$W186)&amp;"|"&amp;대상월키,기관표[키],0))&amp;"","—"),"—")))</f>
        <v/>
      </c>
      <c r="L186">
        <f>IF($W186="","",IF(NOT(COUNTIF(기관표[사번키],INDEX(합계표[사번키],$W186))+COUNTIF(월별근무지표[사번키],INDEX(합계표[사번키],$W186))&gt;0),"기관명단에 없음(다른 병원으로 발송)",IF($K186="—","대상월 기관명단 없음(추가 필요)",IF($K186="서울병원","해당","비해당"))))</f>
        <v/>
      </c>
      <c r="M186">
        <f>IF($W186="","",SUMIFS(상세표[06~07시],상세표[사번키],INDEX(합계표[사번키],$W186),상세표[반영월],대상월키,상세표[반영 기관],"서울병원"))</f>
        <v/>
      </c>
      <c r="N186">
        <f>IF($W186="","",SUMIFS(상세표[07~18시],상세표[사번키],INDEX(합계표[사번키],$W186),상세표[반영월],대상월키,상세표[반영 기관],"서울병원"))</f>
        <v/>
      </c>
      <c r="O186">
        <f>IF($W186="","",SUMIFS(상세표[18~22시],상세표[사번키],INDEX(합계표[사번키],$W186),상세표[반영월],대상월키,상세표[반영 기관],"서울병원"))</f>
        <v/>
      </c>
      <c r="P186">
        <f>IF($W186="","",SUMIFS(상세표[22~06시],상세표[사번키],INDEX(합계표[사번키],$W186),상세표[반영월],대상월키,상세표[반영 기관],"서울병원"))</f>
        <v/>
      </c>
      <c r="Q186">
        <f>IF($W186="","",SUM($M186:$P186))</f>
        <v/>
      </c>
      <c r="R186">
        <f>IF($W186="","",COUNTIFS(상세표[사번키],INDEX(합계표[사번키],$W186),상세표[반영월],대상월키,상세표[야간당직],1,상세표[야간 구분],"평일"))</f>
        <v/>
      </c>
      <c r="S186" s="4">
        <f>IF($W186="","",COUNTIFS(상세표[사번키],INDEX(합계표[사번키],$W186),상세표[반영월],대상월키,상세표[야간당직],1,상세표[야간 구분],"휴일"))</f>
        <v/>
      </c>
      <c r="T186">
        <f>IF($W186="","",COUNTIFS(상세표[사번키],INDEX(합계표[사번키],$W186),상세표[반영월],대상월키,상세표[야간당직],1,상세표[야간 구분],"평일",상세표[반영 기관],"서울병원"))</f>
        <v/>
      </c>
      <c r="U186">
        <f>IF($W186="","",COUNTIFS(상세표[사번키],INDEX(합계표[사번키],$W186),상세표[반영월],대상월키,상세표[야간당직],1,상세표[야간 구분],"휴일",상세표[반영 기관],"서울병원"))</f>
        <v/>
      </c>
      <c r="V186">
        <f>IF($W186="","",IF(ISNUMBER(MATCH(INDEX(합계표[사번키],$W186)&amp;"|"&amp;대상월키,월별근무지표[키],0)),"직접 입력",IF($K186="—","—","기관명단")))</f>
        <v/>
      </c>
      <c r="W186">
        <f>IFERROR(MATCH(181,합계표[판정순번],0),"")</f>
        <v/>
      </c>
      <c r="Y186">
        <f>IF($AB186="","",INDEX(상세표[사번],$AB186)&amp;"")</f>
        <v/>
      </c>
      <c r="Z186">
        <f>IF($AB186="","",INDEX(상세표[성명],$AB186)&amp;"")</f>
        <v/>
      </c>
      <c r="AA186">
        <f>IF($AB186="","",SUMIFS(상세표[기록 시간외],상세표[사번키],INDEX(상세표[사번키],$AB186),상세표[반영월],대상월키))</f>
        <v/>
      </c>
      <c r="AB186" s="4">
        <f>IFERROR(MATCH(181,상세표[합계없음순번],0),"")</f>
        <v/>
      </c>
    </row>
    <row r="187">
      <c r="A187">
        <f>IF($W187="","",INDEX(합계표[사번],$W187)&amp;"")</f>
        <v/>
      </c>
      <c r="B187">
        <f>IF($W187="","",INDEX(합계표[성명],$W187)&amp;"")</f>
        <v/>
      </c>
      <c r="C187">
        <f>IF($W187="","",INDEX(합계표[부서],$W187)&amp;"")</f>
        <v/>
      </c>
      <c r="D187">
        <f>IF($W187="","",INDEX(합계표[직위(통합)],$W187)&amp;"")</f>
        <v/>
      </c>
      <c r="E187">
        <f>IF($W187="","",SUMIFS(합계표[시스템 합계],합계표[사번키],INDEX(합계표[사번키],$W187)))</f>
        <v/>
      </c>
      <c r="F187">
        <f>IF($W187="","",SUMIFS(상세표[기록 시간외],상세표[사번키],INDEX(합계표[사번키],$W187),상세표[기록월],대상월키))</f>
        <v/>
      </c>
      <c r="G187">
        <f>IF($W187="","",IF(ABS($E187-$F187)&lt;0.01,"일치","불일치(차이 "&amp;TEXT($F187-$E187,"0.00")&amp;")"))</f>
        <v/>
      </c>
      <c r="H187">
        <f>IF($W187="","",SUMIFS(상세표[기록 시간외],상세표[사번키],INDEX(합계표[사번키],$W187),상세표[기록월],대상월키,상세표[반영월],"&lt;&gt;"&amp;대상월키))</f>
        <v/>
      </c>
      <c r="I187">
        <f>IF($W187="","",SUMIFS(상세표[기록 시간외],상세표[사번키],INDEX(합계표[사번키],$W187),상세표[기록월],"&lt;&gt;"&amp;대상월키,상세표[반영월],대상월키))</f>
        <v/>
      </c>
      <c r="J187">
        <f>IF($W187="","",SUMIFS(상세표[기록 시간외],상세표[사번키],INDEX(합계표[사번키],$W187),상세표[반영월],대상월키))</f>
        <v/>
      </c>
      <c r="K187">
        <f>IF($W187="","",IFERROR(INDEX(월별근무지표[적용 급여병원],MATCH(INDEX(합계표[사번키],$W187)&amp;"|"&amp;대상월키,월별근무지표[키],0))&amp;"",IF(COUNTIF(기관표[사번키],INDEX(합계표[사번키],$W187))+COUNTIF(월별근무지표[사번키],INDEX(합계표[사번키],$W187))&gt;0,IFERROR(INDEX(기관표[급여지급병원(기준월)],MATCH(INDEX(합계표[사번키],$W187)&amp;"|"&amp;대상월키,기관표[키],0))&amp;"","—"),"—")))</f>
        <v/>
      </c>
      <c r="L187">
        <f>IF($W187="","",IF(NOT(COUNTIF(기관표[사번키],INDEX(합계표[사번키],$W187))+COUNTIF(월별근무지표[사번키],INDEX(합계표[사번키],$W187))&gt;0),"기관명단에 없음(다른 병원으로 발송)",IF($K187="—","대상월 기관명단 없음(추가 필요)",IF($K187="서울병원","해당","비해당"))))</f>
        <v/>
      </c>
      <c r="M187">
        <f>IF($W187="","",SUMIFS(상세표[06~07시],상세표[사번키],INDEX(합계표[사번키],$W187),상세표[반영월],대상월키,상세표[반영 기관],"서울병원"))</f>
        <v/>
      </c>
      <c r="N187">
        <f>IF($W187="","",SUMIFS(상세표[07~18시],상세표[사번키],INDEX(합계표[사번키],$W187),상세표[반영월],대상월키,상세표[반영 기관],"서울병원"))</f>
        <v/>
      </c>
      <c r="O187">
        <f>IF($W187="","",SUMIFS(상세표[18~22시],상세표[사번키],INDEX(합계표[사번키],$W187),상세표[반영월],대상월키,상세표[반영 기관],"서울병원"))</f>
        <v/>
      </c>
      <c r="P187">
        <f>IF($W187="","",SUMIFS(상세표[22~06시],상세표[사번키],INDEX(합계표[사번키],$W187),상세표[반영월],대상월키,상세표[반영 기관],"서울병원"))</f>
        <v/>
      </c>
      <c r="Q187">
        <f>IF($W187="","",SUM($M187:$P187))</f>
        <v/>
      </c>
      <c r="R187">
        <f>IF($W187="","",COUNTIFS(상세표[사번키],INDEX(합계표[사번키],$W187),상세표[반영월],대상월키,상세표[야간당직],1,상세표[야간 구분],"평일"))</f>
        <v/>
      </c>
      <c r="S187" s="4">
        <f>IF($W187="","",COUNTIFS(상세표[사번키],INDEX(합계표[사번키],$W187),상세표[반영월],대상월키,상세표[야간당직],1,상세표[야간 구분],"휴일"))</f>
        <v/>
      </c>
      <c r="T187">
        <f>IF($W187="","",COUNTIFS(상세표[사번키],INDEX(합계표[사번키],$W187),상세표[반영월],대상월키,상세표[야간당직],1,상세표[야간 구분],"평일",상세표[반영 기관],"서울병원"))</f>
        <v/>
      </c>
      <c r="U187">
        <f>IF($W187="","",COUNTIFS(상세표[사번키],INDEX(합계표[사번키],$W187),상세표[반영월],대상월키,상세표[야간당직],1,상세표[야간 구분],"휴일",상세표[반영 기관],"서울병원"))</f>
        <v/>
      </c>
      <c r="V187">
        <f>IF($W187="","",IF(ISNUMBER(MATCH(INDEX(합계표[사번키],$W187)&amp;"|"&amp;대상월키,월별근무지표[키],0)),"직접 입력",IF($K187="—","—","기관명단")))</f>
        <v/>
      </c>
      <c r="W187">
        <f>IFERROR(MATCH(182,합계표[판정순번],0),"")</f>
        <v/>
      </c>
      <c r="Y187">
        <f>IF($AB187="","",INDEX(상세표[사번],$AB187)&amp;"")</f>
        <v/>
      </c>
      <c r="Z187">
        <f>IF($AB187="","",INDEX(상세표[성명],$AB187)&amp;"")</f>
        <v/>
      </c>
      <c r="AA187">
        <f>IF($AB187="","",SUMIFS(상세표[기록 시간외],상세표[사번키],INDEX(상세표[사번키],$AB187),상세표[반영월],대상월키))</f>
        <v/>
      </c>
      <c r="AB187" s="4">
        <f>IFERROR(MATCH(182,상세표[합계없음순번],0),"")</f>
        <v/>
      </c>
    </row>
    <row r="188">
      <c r="A188">
        <f>IF($W188="","",INDEX(합계표[사번],$W188)&amp;"")</f>
        <v/>
      </c>
      <c r="B188">
        <f>IF($W188="","",INDEX(합계표[성명],$W188)&amp;"")</f>
        <v/>
      </c>
      <c r="C188">
        <f>IF($W188="","",INDEX(합계표[부서],$W188)&amp;"")</f>
        <v/>
      </c>
      <c r="D188">
        <f>IF($W188="","",INDEX(합계표[직위(통합)],$W188)&amp;"")</f>
        <v/>
      </c>
      <c r="E188">
        <f>IF($W188="","",SUMIFS(합계표[시스템 합계],합계표[사번키],INDEX(합계표[사번키],$W188)))</f>
        <v/>
      </c>
      <c r="F188">
        <f>IF($W188="","",SUMIFS(상세표[기록 시간외],상세표[사번키],INDEX(합계표[사번키],$W188),상세표[기록월],대상월키))</f>
        <v/>
      </c>
      <c r="G188">
        <f>IF($W188="","",IF(ABS($E188-$F188)&lt;0.01,"일치","불일치(차이 "&amp;TEXT($F188-$E188,"0.00")&amp;")"))</f>
        <v/>
      </c>
      <c r="H188">
        <f>IF($W188="","",SUMIFS(상세표[기록 시간외],상세표[사번키],INDEX(합계표[사번키],$W188),상세표[기록월],대상월키,상세표[반영월],"&lt;&gt;"&amp;대상월키))</f>
        <v/>
      </c>
      <c r="I188">
        <f>IF($W188="","",SUMIFS(상세표[기록 시간외],상세표[사번키],INDEX(합계표[사번키],$W188),상세표[기록월],"&lt;&gt;"&amp;대상월키,상세표[반영월],대상월키))</f>
        <v/>
      </c>
      <c r="J188">
        <f>IF($W188="","",SUMIFS(상세표[기록 시간외],상세표[사번키],INDEX(합계표[사번키],$W188),상세표[반영월],대상월키))</f>
        <v/>
      </c>
      <c r="K188">
        <f>IF($W188="","",IFERROR(INDEX(월별근무지표[적용 급여병원],MATCH(INDEX(합계표[사번키],$W188)&amp;"|"&amp;대상월키,월별근무지표[키],0))&amp;"",IF(COUNTIF(기관표[사번키],INDEX(합계표[사번키],$W188))+COUNTIF(월별근무지표[사번키],INDEX(합계표[사번키],$W188))&gt;0,IFERROR(INDEX(기관표[급여지급병원(기준월)],MATCH(INDEX(합계표[사번키],$W188)&amp;"|"&amp;대상월키,기관표[키],0))&amp;"","—"),"—")))</f>
        <v/>
      </c>
      <c r="L188">
        <f>IF($W188="","",IF(NOT(COUNTIF(기관표[사번키],INDEX(합계표[사번키],$W188))+COUNTIF(월별근무지표[사번키],INDEX(합계표[사번키],$W188))&gt;0),"기관명단에 없음(다른 병원으로 발송)",IF($K188="—","대상월 기관명단 없음(추가 필요)",IF($K188="서울병원","해당","비해당"))))</f>
        <v/>
      </c>
      <c r="M188">
        <f>IF($W188="","",SUMIFS(상세표[06~07시],상세표[사번키],INDEX(합계표[사번키],$W188),상세표[반영월],대상월키,상세표[반영 기관],"서울병원"))</f>
        <v/>
      </c>
      <c r="N188">
        <f>IF($W188="","",SUMIFS(상세표[07~18시],상세표[사번키],INDEX(합계표[사번키],$W188),상세표[반영월],대상월키,상세표[반영 기관],"서울병원"))</f>
        <v/>
      </c>
      <c r="O188">
        <f>IF($W188="","",SUMIFS(상세표[18~22시],상세표[사번키],INDEX(합계표[사번키],$W188),상세표[반영월],대상월키,상세표[반영 기관],"서울병원"))</f>
        <v/>
      </c>
      <c r="P188">
        <f>IF($W188="","",SUMIFS(상세표[22~06시],상세표[사번키],INDEX(합계표[사번키],$W188),상세표[반영월],대상월키,상세표[반영 기관],"서울병원"))</f>
        <v/>
      </c>
      <c r="Q188">
        <f>IF($W188="","",SUM($M188:$P188))</f>
        <v/>
      </c>
      <c r="R188">
        <f>IF($W188="","",COUNTIFS(상세표[사번키],INDEX(합계표[사번키],$W188),상세표[반영월],대상월키,상세표[야간당직],1,상세표[야간 구분],"평일"))</f>
        <v/>
      </c>
      <c r="S188" s="4">
        <f>IF($W188="","",COUNTIFS(상세표[사번키],INDEX(합계표[사번키],$W188),상세표[반영월],대상월키,상세표[야간당직],1,상세표[야간 구분],"휴일"))</f>
        <v/>
      </c>
      <c r="T188">
        <f>IF($W188="","",COUNTIFS(상세표[사번키],INDEX(합계표[사번키],$W188),상세표[반영월],대상월키,상세표[야간당직],1,상세표[야간 구분],"평일",상세표[반영 기관],"서울병원"))</f>
        <v/>
      </c>
      <c r="U188">
        <f>IF($W188="","",COUNTIFS(상세표[사번키],INDEX(합계표[사번키],$W188),상세표[반영월],대상월키,상세표[야간당직],1,상세표[야간 구분],"휴일",상세표[반영 기관],"서울병원"))</f>
        <v/>
      </c>
      <c r="V188">
        <f>IF($W188="","",IF(ISNUMBER(MATCH(INDEX(합계표[사번키],$W188)&amp;"|"&amp;대상월키,월별근무지표[키],0)),"직접 입력",IF($K188="—","—","기관명단")))</f>
        <v/>
      </c>
      <c r="W188">
        <f>IFERROR(MATCH(183,합계표[판정순번],0),"")</f>
        <v/>
      </c>
      <c r="Y188">
        <f>IF($AB188="","",INDEX(상세표[사번],$AB188)&amp;"")</f>
        <v/>
      </c>
      <c r="Z188">
        <f>IF($AB188="","",INDEX(상세표[성명],$AB188)&amp;"")</f>
        <v/>
      </c>
      <c r="AA188">
        <f>IF($AB188="","",SUMIFS(상세표[기록 시간외],상세표[사번키],INDEX(상세표[사번키],$AB188),상세표[반영월],대상월키))</f>
        <v/>
      </c>
      <c r="AB188" s="4">
        <f>IFERROR(MATCH(183,상세표[합계없음순번],0),"")</f>
        <v/>
      </c>
    </row>
    <row r="189">
      <c r="A189">
        <f>IF($W189="","",INDEX(합계표[사번],$W189)&amp;"")</f>
        <v/>
      </c>
      <c r="B189">
        <f>IF($W189="","",INDEX(합계표[성명],$W189)&amp;"")</f>
        <v/>
      </c>
      <c r="C189">
        <f>IF($W189="","",INDEX(합계표[부서],$W189)&amp;"")</f>
        <v/>
      </c>
      <c r="D189">
        <f>IF($W189="","",INDEX(합계표[직위(통합)],$W189)&amp;"")</f>
        <v/>
      </c>
      <c r="E189">
        <f>IF($W189="","",SUMIFS(합계표[시스템 합계],합계표[사번키],INDEX(합계표[사번키],$W189)))</f>
        <v/>
      </c>
      <c r="F189">
        <f>IF($W189="","",SUMIFS(상세표[기록 시간외],상세표[사번키],INDEX(합계표[사번키],$W189),상세표[기록월],대상월키))</f>
        <v/>
      </c>
      <c r="G189">
        <f>IF($W189="","",IF(ABS($E189-$F189)&lt;0.01,"일치","불일치(차이 "&amp;TEXT($F189-$E189,"0.00")&amp;")"))</f>
        <v/>
      </c>
      <c r="H189">
        <f>IF($W189="","",SUMIFS(상세표[기록 시간외],상세표[사번키],INDEX(합계표[사번키],$W189),상세표[기록월],대상월키,상세표[반영월],"&lt;&gt;"&amp;대상월키))</f>
        <v/>
      </c>
      <c r="I189">
        <f>IF($W189="","",SUMIFS(상세표[기록 시간외],상세표[사번키],INDEX(합계표[사번키],$W189),상세표[기록월],"&lt;&gt;"&amp;대상월키,상세표[반영월],대상월키))</f>
        <v/>
      </c>
      <c r="J189">
        <f>IF($W189="","",SUMIFS(상세표[기록 시간외],상세표[사번키],INDEX(합계표[사번키],$W189),상세표[반영월],대상월키))</f>
        <v/>
      </c>
      <c r="K189">
        <f>IF($W189="","",IFERROR(INDEX(월별근무지표[적용 급여병원],MATCH(INDEX(합계표[사번키],$W189)&amp;"|"&amp;대상월키,월별근무지표[키],0))&amp;"",IF(COUNTIF(기관표[사번키],INDEX(합계표[사번키],$W189))+COUNTIF(월별근무지표[사번키],INDEX(합계표[사번키],$W189))&gt;0,IFERROR(INDEX(기관표[급여지급병원(기준월)],MATCH(INDEX(합계표[사번키],$W189)&amp;"|"&amp;대상월키,기관표[키],0))&amp;"","—"),"—")))</f>
        <v/>
      </c>
      <c r="L189">
        <f>IF($W189="","",IF(NOT(COUNTIF(기관표[사번키],INDEX(합계표[사번키],$W189))+COUNTIF(월별근무지표[사번키],INDEX(합계표[사번키],$W189))&gt;0),"기관명단에 없음(다른 병원으로 발송)",IF($K189="—","대상월 기관명단 없음(추가 필요)",IF($K189="서울병원","해당","비해당"))))</f>
        <v/>
      </c>
      <c r="M189">
        <f>IF($W189="","",SUMIFS(상세표[06~07시],상세표[사번키],INDEX(합계표[사번키],$W189),상세표[반영월],대상월키,상세표[반영 기관],"서울병원"))</f>
        <v/>
      </c>
      <c r="N189">
        <f>IF($W189="","",SUMIFS(상세표[07~18시],상세표[사번키],INDEX(합계표[사번키],$W189),상세표[반영월],대상월키,상세표[반영 기관],"서울병원"))</f>
        <v/>
      </c>
      <c r="O189">
        <f>IF($W189="","",SUMIFS(상세표[18~22시],상세표[사번키],INDEX(합계표[사번키],$W189),상세표[반영월],대상월키,상세표[반영 기관],"서울병원"))</f>
        <v/>
      </c>
      <c r="P189">
        <f>IF($W189="","",SUMIFS(상세표[22~06시],상세표[사번키],INDEX(합계표[사번키],$W189),상세표[반영월],대상월키,상세표[반영 기관],"서울병원"))</f>
        <v/>
      </c>
      <c r="Q189">
        <f>IF($W189="","",SUM($M189:$P189))</f>
        <v/>
      </c>
      <c r="R189">
        <f>IF($W189="","",COUNTIFS(상세표[사번키],INDEX(합계표[사번키],$W189),상세표[반영월],대상월키,상세표[야간당직],1,상세표[야간 구분],"평일"))</f>
        <v/>
      </c>
      <c r="S189" s="4">
        <f>IF($W189="","",COUNTIFS(상세표[사번키],INDEX(합계표[사번키],$W189),상세표[반영월],대상월키,상세표[야간당직],1,상세표[야간 구분],"휴일"))</f>
        <v/>
      </c>
      <c r="T189">
        <f>IF($W189="","",COUNTIFS(상세표[사번키],INDEX(합계표[사번키],$W189),상세표[반영월],대상월키,상세표[야간당직],1,상세표[야간 구분],"평일",상세표[반영 기관],"서울병원"))</f>
        <v/>
      </c>
      <c r="U189">
        <f>IF($W189="","",COUNTIFS(상세표[사번키],INDEX(합계표[사번키],$W189),상세표[반영월],대상월키,상세표[야간당직],1,상세표[야간 구분],"휴일",상세표[반영 기관],"서울병원"))</f>
        <v/>
      </c>
      <c r="V189">
        <f>IF($W189="","",IF(ISNUMBER(MATCH(INDEX(합계표[사번키],$W189)&amp;"|"&amp;대상월키,월별근무지표[키],0)),"직접 입력",IF($K189="—","—","기관명단")))</f>
        <v/>
      </c>
      <c r="W189">
        <f>IFERROR(MATCH(184,합계표[판정순번],0),"")</f>
        <v/>
      </c>
      <c r="Y189">
        <f>IF($AB189="","",INDEX(상세표[사번],$AB189)&amp;"")</f>
        <v/>
      </c>
      <c r="Z189">
        <f>IF($AB189="","",INDEX(상세표[성명],$AB189)&amp;"")</f>
        <v/>
      </c>
      <c r="AA189">
        <f>IF($AB189="","",SUMIFS(상세표[기록 시간외],상세표[사번키],INDEX(상세표[사번키],$AB189),상세표[반영월],대상월키))</f>
        <v/>
      </c>
      <c r="AB189" s="4">
        <f>IFERROR(MATCH(184,상세표[합계없음순번],0),"")</f>
        <v/>
      </c>
    </row>
    <row r="190">
      <c r="A190">
        <f>IF($W190="","",INDEX(합계표[사번],$W190)&amp;"")</f>
        <v/>
      </c>
      <c r="B190">
        <f>IF($W190="","",INDEX(합계표[성명],$W190)&amp;"")</f>
        <v/>
      </c>
      <c r="C190">
        <f>IF($W190="","",INDEX(합계표[부서],$W190)&amp;"")</f>
        <v/>
      </c>
      <c r="D190">
        <f>IF($W190="","",INDEX(합계표[직위(통합)],$W190)&amp;"")</f>
        <v/>
      </c>
      <c r="E190">
        <f>IF($W190="","",SUMIFS(합계표[시스템 합계],합계표[사번키],INDEX(합계표[사번키],$W190)))</f>
        <v/>
      </c>
      <c r="F190">
        <f>IF($W190="","",SUMIFS(상세표[기록 시간외],상세표[사번키],INDEX(합계표[사번키],$W190),상세표[기록월],대상월키))</f>
        <v/>
      </c>
      <c r="G190">
        <f>IF($W190="","",IF(ABS($E190-$F190)&lt;0.01,"일치","불일치(차이 "&amp;TEXT($F190-$E190,"0.00")&amp;")"))</f>
        <v/>
      </c>
      <c r="H190">
        <f>IF($W190="","",SUMIFS(상세표[기록 시간외],상세표[사번키],INDEX(합계표[사번키],$W190),상세표[기록월],대상월키,상세표[반영월],"&lt;&gt;"&amp;대상월키))</f>
        <v/>
      </c>
      <c r="I190">
        <f>IF($W190="","",SUMIFS(상세표[기록 시간외],상세표[사번키],INDEX(합계표[사번키],$W190),상세표[기록월],"&lt;&gt;"&amp;대상월키,상세표[반영월],대상월키))</f>
        <v/>
      </c>
      <c r="J190">
        <f>IF($W190="","",SUMIFS(상세표[기록 시간외],상세표[사번키],INDEX(합계표[사번키],$W190),상세표[반영월],대상월키))</f>
        <v/>
      </c>
      <c r="K190">
        <f>IF($W190="","",IFERROR(INDEX(월별근무지표[적용 급여병원],MATCH(INDEX(합계표[사번키],$W190)&amp;"|"&amp;대상월키,월별근무지표[키],0))&amp;"",IF(COUNTIF(기관표[사번키],INDEX(합계표[사번키],$W190))+COUNTIF(월별근무지표[사번키],INDEX(합계표[사번키],$W190))&gt;0,IFERROR(INDEX(기관표[급여지급병원(기준월)],MATCH(INDEX(합계표[사번키],$W190)&amp;"|"&amp;대상월키,기관표[키],0))&amp;"","—"),"—")))</f>
        <v/>
      </c>
      <c r="L190">
        <f>IF($W190="","",IF(NOT(COUNTIF(기관표[사번키],INDEX(합계표[사번키],$W190))+COUNTIF(월별근무지표[사번키],INDEX(합계표[사번키],$W190))&gt;0),"기관명단에 없음(다른 병원으로 발송)",IF($K190="—","대상월 기관명단 없음(추가 필요)",IF($K190="서울병원","해당","비해당"))))</f>
        <v/>
      </c>
      <c r="M190">
        <f>IF($W190="","",SUMIFS(상세표[06~07시],상세표[사번키],INDEX(합계표[사번키],$W190),상세표[반영월],대상월키,상세표[반영 기관],"서울병원"))</f>
        <v/>
      </c>
      <c r="N190">
        <f>IF($W190="","",SUMIFS(상세표[07~18시],상세표[사번키],INDEX(합계표[사번키],$W190),상세표[반영월],대상월키,상세표[반영 기관],"서울병원"))</f>
        <v/>
      </c>
      <c r="O190">
        <f>IF($W190="","",SUMIFS(상세표[18~22시],상세표[사번키],INDEX(합계표[사번키],$W190),상세표[반영월],대상월키,상세표[반영 기관],"서울병원"))</f>
        <v/>
      </c>
      <c r="P190">
        <f>IF($W190="","",SUMIFS(상세표[22~06시],상세표[사번키],INDEX(합계표[사번키],$W190),상세표[반영월],대상월키,상세표[반영 기관],"서울병원"))</f>
        <v/>
      </c>
      <c r="Q190">
        <f>IF($W190="","",SUM($M190:$P190))</f>
        <v/>
      </c>
      <c r="R190">
        <f>IF($W190="","",COUNTIFS(상세표[사번키],INDEX(합계표[사번키],$W190),상세표[반영월],대상월키,상세표[야간당직],1,상세표[야간 구분],"평일"))</f>
        <v/>
      </c>
      <c r="S190" s="4">
        <f>IF($W190="","",COUNTIFS(상세표[사번키],INDEX(합계표[사번키],$W190),상세표[반영월],대상월키,상세표[야간당직],1,상세표[야간 구분],"휴일"))</f>
        <v/>
      </c>
      <c r="T190">
        <f>IF($W190="","",COUNTIFS(상세표[사번키],INDEX(합계표[사번키],$W190),상세표[반영월],대상월키,상세표[야간당직],1,상세표[야간 구분],"평일",상세표[반영 기관],"서울병원"))</f>
        <v/>
      </c>
      <c r="U190">
        <f>IF($W190="","",COUNTIFS(상세표[사번키],INDEX(합계표[사번키],$W190),상세표[반영월],대상월키,상세표[야간당직],1,상세표[야간 구분],"휴일",상세표[반영 기관],"서울병원"))</f>
        <v/>
      </c>
      <c r="V190">
        <f>IF($W190="","",IF(ISNUMBER(MATCH(INDEX(합계표[사번키],$W190)&amp;"|"&amp;대상월키,월별근무지표[키],0)),"직접 입력",IF($K190="—","—","기관명단")))</f>
        <v/>
      </c>
      <c r="W190">
        <f>IFERROR(MATCH(185,합계표[판정순번],0),"")</f>
        <v/>
      </c>
      <c r="Y190">
        <f>IF($AB190="","",INDEX(상세표[사번],$AB190)&amp;"")</f>
        <v/>
      </c>
      <c r="Z190">
        <f>IF($AB190="","",INDEX(상세표[성명],$AB190)&amp;"")</f>
        <v/>
      </c>
      <c r="AA190">
        <f>IF($AB190="","",SUMIFS(상세표[기록 시간외],상세표[사번키],INDEX(상세표[사번키],$AB190),상세표[반영월],대상월키))</f>
        <v/>
      </c>
      <c r="AB190" s="4">
        <f>IFERROR(MATCH(185,상세표[합계없음순번],0),"")</f>
        <v/>
      </c>
    </row>
    <row r="191">
      <c r="A191">
        <f>IF($W191="","",INDEX(합계표[사번],$W191)&amp;"")</f>
        <v/>
      </c>
      <c r="B191">
        <f>IF($W191="","",INDEX(합계표[성명],$W191)&amp;"")</f>
        <v/>
      </c>
      <c r="C191">
        <f>IF($W191="","",INDEX(합계표[부서],$W191)&amp;"")</f>
        <v/>
      </c>
      <c r="D191">
        <f>IF($W191="","",INDEX(합계표[직위(통합)],$W191)&amp;"")</f>
        <v/>
      </c>
      <c r="E191">
        <f>IF($W191="","",SUMIFS(합계표[시스템 합계],합계표[사번키],INDEX(합계표[사번키],$W191)))</f>
        <v/>
      </c>
      <c r="F191">
        <f>IF($W191="","",SUMIFS(상세표[기록 시간외],상세표[사번키],INDEX(합계표[사번키],$W191),상세표[기록월],대상월키))</f>
        <v/>
      </c>
      <c r="G191">
        <f>IF($W191="","",IF(ABS($E191-$F191)&lt;0.01,"일치","불일치(차이 "&amp;TEXT($F191-$E191,"0.00")&amp;")"))</f>
        <v/>
      </c>
      <c r="H191">
        <f>IF($W191="","",SUMIFS(상세표[기록 시간외],상세표[사번키],INDEX(합계표[사번키],$W191),상세표[기록월],대상월키,상세표[반영월],"&lt;&gt;"&amp;대상월키))</f>
        <v/>
      </c>
      <c r="I191">
        <f>IF($W191="","",SUMIFS(상세표[기록 시간외],상세표[사번키],INDEX(합계표[사번키],$W191),상세표[기록월],"&lt;&gt;"&amp;대상월키,상세표[반영월],대상월키))</f>
        <v/>
      </c>
      <c r="J191">
        <f>IF($W191="","",SUMIFS(상세표[기록 시간외],상세표[사번키],INDEX(합계표[사번키],$W191),상세표[반영월],대상월키))</f>
        <v/>
      </c>
      <c r="K191">
        <f>IF($W191="","",IFERROR(INDEX(월별근무지표[적용 급여병원],MATCH(INDEX(합계표[사번키],$W191)&amp;"|"&amp;대상월키,월별근무지표[키],0))&amp;"",IF(COUNTIF(기관표[사번키],INDEX(합계표[사번키],$W191))+COUNTIF(월별근무지표[사번키],INDEX(합계표[사번키],$W191))&gt;0,IFERROR(INDEX(기관표[급여지급병원(기준월)],MATCH(INDEX(합계표[사번키],$W191)&amp;"|"&amp;대상월키,기관표[키],0))&amp;"","—"),"—")))</f>
        <v/>
      </c>
      <c r="L191">
        <f>IF($W191="","",IF(NOT(COUNTIF(기관표[사번키],INDEX(합계표[사번키],$W191))+COUNTIF(월별근무지표[사번키],INDEX(합계표[사번키],$W191))&gt;0),"기관명단에 없음(다른 병원으로 발송)",IF($K191="—","대상월 기관명단 없음(추가 필요)",IF($K191="서울병원","해당","비해당"))))</f>
        <v/>
      </c>
      <c r="M191">
        <f>IF($W191="","",SUMIFS(상세표[06~07시],상세표[사번키],INDEX(합계표[사번키],$W191),상세표[반영월],대상월키,상세표[반영 기관],"서울병원"))</f>
        <v/>
      </c>
      <c r="N191">
        <f>IF($W191="","",SUMIFS(상세표[07~18시],상세표[사번키],INDEX(합계표[사번키],$W191),상세표[반영월],대상월키,상세표[반영 기관],"서울병원"))</f>
        <v/>
      </c>
      <c r="O191">
        <f>IF($W191="","",SUMIFS(상세표[18~22시],상세표[사번키],INDEX(합계표[사번키],$W191),상세표[반영월],대상월키,상세표[반영 기관],"서울병원"))</f>
        <v/>
      </c>
      <c r="P191">
        <f>IF($W191="","",SUMIFS(상세표[22~06시],상세표[사번키],INDEX(합계표[사번키],$W191),상세표[반영월],대상월키,상세표[반영 기관],"서울병원"))</f>
        <v/>
      </c>
      <c r="Q191">
        <f>IF($W191="","",SUM($M191:$P191))</f>
        <v/>
      </c>
      <c r="R191">
        <f>IF($W191="","",COUNTIFS(상세표[사번키],INDEX(합계표[사번키],$W191),상세표[반영월],대상월키,상세표[야간당직],1,상세표[야간 구분],"평일"))</f>
        <v/>
      </c>
      <c r="S191" s="4">
        <f>IF($W191="","",COUNTIFS(상세표[사번키],INDEX(합계표[사번키],$W191),상세표[반영월],대상월키,상세표[야간당직],1,상세표[야간 구분],"휴일"))</f>
        <v/>
      </c>
      <c r="T191">
        <f>IF($W191="","",COUNTIFS(상세표[사번키],INDEX(합계표[사번키],$W191),상세표[반영월],대상월키,상세표[야간당직],1,상세표[야간 구분],"평일",상세표[반영 기관],"서울병원"))</f>
        <v/>
      </c>
      <c r="U191">
        <f>IF($W191="","",COUNTIFS(상세표[사번키],INDEX(합계표[사번키],$W191),상세표[반영월],대상월키,상세표[야간당직],1,상세표[야간 구분],"휴일",상세표[반영 기관],"서울병원"))</f>
        <v/>
      </c>
      <c r="V191">
        <f>IF($W191="","",IF(ISNUMBER(MATCH(INDEX(합계표[사번키],$W191)&amp;"|"&amp;대상월키,월별근무지표[키],0)),"직접 입력",IF($K191="—","—","기관명단")))</f>
        <v/>
      </c>
      <c r="W191">
        <f>IFERROR(MATCH(186,합계표[판정순번],0),"")</f>
        <v/>
      </c>
      <c r="Y191">
        <f>IF($AB191="","",INDEX(상세표[사번],$AB191)&amp;"")</f>
        <v/>
      </c>
      <c r="Z191">
        <f>IF($AB191="","",INDEX(상세표[성명],$AB191)&amp;"")</f>
        <v/>
      </c>
      <c r="AA191">
        <f>IF($AB191="","",SUMIFS(상세표[기록 시간외],상세표[사번키],INDEX(상세표[사번키],$AB191),상세표[반영월],대상월키))</f>
        <v/>
      </c>
      <c r="AB191" s="4">
        <f>IFERROR(MATCH(186,상세표[합계없음순번],0),"")</f>
        <v/>
      </c>
    </row>
    <row r="192">
      <c r="A192">
        <f>IF($W192="","",INDEX(합계표[사번],$W192)&amp;"")</f>
        <v/>
      </c>
      <c r="B192">
        <f>IF($W192="","",INDEX(합계표[성명],$W192)&amp;"")</f>
        <v/>
      </c>
      <c r="C192">
        <f>IF($W192="","",INDEX(합계표[부서],$W192)&amp;"")</f>
        <v/>
      </c>
      <c r="D192">
        <f>IF($W192="","",INDEX(합계표[직위(통합)],$W192)&amp;"")</f>
        <v/>
      </c>
      <c r="E192">
        <f>IF($W192="","",SUMIFS(합계표[시스템 합계],합계표[사번키],INDEX(합계표[사번키],$W192)))</f>
        <v/>
      </c>
      <c r="F192">
        <f>IF($W192="","",SUMIFS(상세표[기록 시간외],상세표[사번키],INDEX(합계표[사번키],$W192),상세표[기록월],대상월키))</f>
        <v/>
      </c>
      <c r="G192">
        <f>IF($W192="","",IF(ABS($E192-$F192)&lt;0.01,"일치","불일치(차이 "&amp;TEXT($F192-$E192,"0.00")&amp;")"))</f>
        <v/>
      </c>
      <c r="H192">
        <f>IF($W192="","",SUMIFS(상세표[기록 시간외],상세표[사번키],INDEX(합계표[사번키],$W192),상세표[기록월],대상월키,상세표[반영월],"&lt;&gt;"&amp;대상월키))</f>
        <v/>
      </c>
      <c r="I192">
        <f>IF($W192="","",SUMIFS(상세표[기록 시간외],상세표[사번키],INDEX(합계표[사번키],$W192),상세표[기록월],"&lt;&gt;"&amp;대상월키,상세표[반영월],대상월키))</f>
        <v/>
      </c>
      <c r="J192">
        <f>IF($W192="","",SUMIFS(상세표[기록 시간외],상세표[사번키],INDEX(합계표[사번키],$W192),상세표[반영월],대상월키))</f>
        <v/>
      </c>
      <c r="K192">
        <f>IF($W192="","",IFERROR(INDEX(월별근무지표[적용 급여병원],MATCH(INDEX(합계표[사번키],$W192)&amp;"|"&amp;대상월키,월별근무지표[키],0))&amp;"",IF(COUNTIF(기관표[사번키],INDEX(합계표[사번키],$W192))+COUNTIF(월별근무지표[사번키],INDEX(합계표[사번키],$W192))&gt;0,IFERROR(INDEX(기관표[급여지급병원(기준월)],MATCH(INDEX(합계표[사번키],$W192)&amp;"|"&amp;대상월키,기관표[키],0))&amp;"","—"),"—")))</f>
        <v/>
      </c>
      <c r="L192">
        <f>IF($W192="","",IF(NOT(COUNTIF(기관표[사번키],INDEX(합계표[사번키],$W192))+COUNTIF(월별근무지표[사번키],INDEX(합계표[사번키],$W192))&gt;0),"기관명단에 없음(다른 병원으로 발송)",IF($K192="—","대상월 기관명단 없음(추가 필요)",IF($K192="서울병원","해당","비해당"))))</f>
        <v/>
      </c>
      <c r="M192">
        <f>IF($W192="","",SUMIFS(상세표[06~07시],상세표[사번키],INDEX(합계표[사번키],$W192),상세표[반영월],대상월키,상세표[반영 기관],"서울병원"))</f>
        <v/>
      </c>
      <c r="N192">
        <f>IF($W192="","",SUMIFS(상세표[07~18시],상세표[사번키],INDEX(합계표[사번키],$W192),상세표[반영월],대상월키,상세표[반영 기관],"서울병원"))</f>
        <v/>
      </c>
      <c r="O192">
        <f>IF($W192="","",SUMIFS(상세표[18~22시],상세표[사번키],INDEX(합계표[사번키],$W192),상세표[반영월],대상월키,상세표[반영 기관],"서울병원"))</f>
        <v/>
      </c>
      <c r="P192">
        <f>IF($W192="","",SUMIFS(상세표[22~06시],상세표[사번키],INDEX(합계표[사번키],$W192),상세표[반영월],대상월키,상세표[반영 기관],"서울병원"))</f>
        <v/>
      </c>
      <c r="Q192">
        <f>IF($W192="","",SUM($M192:$P192))</f>
        <v/>
      </c>
      <c r="R192">
        <f>IF($W192="","",COUNTIFS(상세표[사번키],INDEX(합계표[사번키],$W192),상세표[반영월],대상월키,상세표[야간당직],1,상세표[야간 구분],"평일"))</f>
        <v/>
      </c>
      <c r="S192" s="4">
        <f>IF($W192="","",COUNTIFS(상세표[사번키],INDEX(합계표[사번키],$W192),상세표[반영월],대상월키,상세표[야간당직],1,상세표[야간 구분],"휴일"))</f>
        <v/>
      </c>
      <c r="T192">
        <f>IF($W192="","",COUNTIFS(상세표[사번키],INDEX(합계표[사번키],$W192),상세표[반영월],대상월키,상세표[야간당직],1,상세표[야간 구분],"평일",상세표[반영 기관],"서울병원"))</f>
        <v/>
      </c>
      <c r="U192">
        <f>IF($W192="","",COUNTIFS(상세표[사번키],INDEX(합계표[사번키],$W192),상세표[반영월],대상월키,상세표[야간당직],1,상세표[야간 구분],"휴일",상세표[반영 기관],"서울병원"))</f>
        <v/>
      </c>
      <c r="V192">
        <f>IF($W192="","",IF(ISNUMBER(MATCH(INDEX(합계표[사번키],$W192)&amp;"|"&amp;대상월키,월별근무지표[키],0)),"직접 입력",IF($K192="—","—","기관명단")))</f>
        <v/>
      </c>
      <c r="W192">
        <f>IFERROR(MATCH(187,합계표[판정순번],0),"")</f>
        <v/>
      </c>
      <c r="Y192">
        <f>IF($AB192="","",INDEX(상세표[사번],$AB192)&amp;"")</f>
        <v/>
      </c>
      <c r="Z192">
        <f>IF($AB192="","",INDEX(상세표[성명],$AB192)&amp;"")</f>
        <v/>
      </c>
      <c r="AA192">
        <f>IF($AB192="","",SUMIFS(상세표[기록 시간외],상세표[사번키],INDEX(상세표[사번키],$AB192),상세표[반영월],대상월키))</f>
        <v/>
      </c>
      <c r="AB192" s="4">
        <f>IFERROR(MATCH(187,상세표[합계없음순번],0),"")</f>
        <v/>
      </c>
    </row>
    <row r="193">
      <c r="A193">
        <f>IF($W193="","",INDEX(합계표[사번],$W193)&amp;"")</f>
        <v/>
      </c>
      <c r="B193">
        <f>IF($W193="","",INDEX(합계표[성명],$W193)&amp;"")</f>
        <v/>
      </c>
      <c r="C193">
        <f>IF($W193="","",INDEX(합계표[부서],$W193)&amp;"")</f>
        <v/>
      </c>
      <c r="D193">
        <f>IF($W193="","",INDEX(합계표[직위(통합)],$W193)&amp;"")</f>
        <v/>
      </c>
      <c r="E193">
        <f>IF($W193="","",SUMIFS(합계표[시스템 합계],합계표[사번키],INDEX(합계표[사번키],$W193)))</f>
        <v/>
      </c>
      <c r="F193">
        <f>IF($W193="","",SUMIFS(상세표[기록 시간외],상세표[사번키],INDEX(합계표[사번키],$W193),상세표[기록월],대상월키))</f>
        <v/>
      </c>
      <c r="G193">
        <f>IF($W193="","",IF(ABS($E193-$F193)&lt;0.01,"일치","불일치(차이 "&amp;TEXT($F193-$E193,"0.00")&amp;")"))</f>
        <v/>
      </c>
      <c r="H193">
        <f>IF($W193="","",SUMIFS(상세표[기록 시간외],상세표[사번키],INDEX(합계표[사번키],$W193),상세표[기록월],대상월키,상세표[반영월],"&lt;&gt;"&amp;대상월키))</f>
        <v/>
      </c>
      <c r="I193">
        <f>IF($W193="","",SUMIFS(상세표[기록 시간외],상세표[사번키],INDEX(합계표[사번키],$W193),상세표[기록월],"&lt;&gt;"&amp;대상월키,상세표[반영월],대상월키))</f>
        <v/>
      </c>
      <c r="J193">
        <f>IF($W193="","",SUMIFS(상세표[기록 시간외],상세표[사번키],INDEX(합계표[사번키],$W193),상세표[반영월],대상월키))</f>
        <v/>
      </c>
      <c r="K193">
        <f>IF($W193="","",IFERROR(INDEX(월별근무지표[적용 급여병원],MATCH(INDEX(합계표[사번키],$W193)&amp;"|"&amp;대상월키,월별근무지표[키],0))&amp;"",IF(COUNTIF(기관표[사번키],INDEX(합계표[사번키],$W193))+COUNTIF(월별근무지표[사번키],INDEX(합계표[사번키],$W193))&gt;0,IFERROR(INDEX(기관표[급여지급병원(기준월)],MATCH(INDEX(합계표[사번키],$W193)&amp;"|"&amp;대상월키,기관표[키],0))&amp;"","—"),"—")))</f>
        <v/>
      </c>
      <c r="L193">
        <f>IF($W193="","",IF(NOT(COUNTIF(기관표[사번키],INDEX(합계표[사번키],$W193))+COUNTIF(월별근무지표[사번키],INDEX(합계표[사번키],$W193))&gt;0),"기관명단에 없음(다른 병원으로 발송)",IF($K193="—","대상월 기관명단 없음(추가 필요)",IF($K193="서울병원","해당","비해당"))))</f>
        <v/>
      </c>
      <c r="M193">
        <f>IF($W193="","",SUMIFS(상세표[06~07시],상세표[사번키],INDEX(합계표[사번키],$W193),상세표[반영월],대상월키,상세표[반영 기관],"서울병원"))</f>
        <v/>
      </c>
      <c r="N193">
        <f>IF($W193="","",SUMIFS(상세표[07~18시],상세표[사번키],INDEX(합계표[사번키],$W193),상세표[반영월],대상월키,상세표[반영 기관],"서울병원"))</f>
        <v/>
      </c>
      <c r="O193">
        <f>IF($W193="","",SUMIFS(상세표[18~22시],상세표[사번키],INDEX(합계표[사번키],$W193),상세표[반영월],대상월키,상세표[반영 기관],"서울병원"))</f>
        <v/>
      </c>
      <c r="P193">
        <f>IF($W193="","",SUMIFS(상세표[22~06시],상세표[사번키],INDEX(합계표[사번키],$W193),상세표[반영월],대상월키,상세표[반영 기관],"서울병원"))</f>
        <v/>
      </c>
      <c r="Q193">
        <f>IF($W193="","",SUM($M193:$P193))</f>
        <v/>
      </c>
      <c r="R193">
        <f>IF($W193="","",COUNTIFS(상세표[사번키],INDEX(합계표[사번키],$W193),상세표[반영월],대상월키,상세표[야간당직],1,상세표[야간 구분],"평일"))</f>
        <v/>
      </c>
      <c r="S193" s="4">
        <f>IF($W193="","",COUNTIFS(상세표[사번키],INDEX(합계표[사번키],$W193),상세표[반영월],대상월키,상세표[야간당직],1,상세표[야간 구분],"휴일"))</f>
        <v/>
      </c>
      <c r="T193">
        <f>IF($W193="","",COUNTIFS(상세표[사번키],INDEX(합계표[사번키],$W193),상세표[반영월],대상월키,상세표[야간당직],1,상세표[야간 구분],"평일",상세표[반영 기관],"서울병원"))</f>
        <v/>
      </c>
      <c r="U193">
        <f>IF($W193="","",COUNTIFS(상세표[사번키],INDEX(합계표[사번키],$W193),상세표[반영월],대상월키,상세표[야간당직],1,상세표[야간 구분],"휴일",상세표[반영 기관],"서울병원"))</f>
        <v/>
      </c>
      <c r="V193">
        <f>IF($W193="","",IF(ISNUMBER(MATCH(INDEX(합계표[사번키],$W193)&amp;"|"&amp;대상월키,월별근무지표[키],0)),"직접 입력",IF($K193="—","—","기관명단")))</f>
        <v/>
      </c>
      <c r="W193">
        <f>IFERROR(MATCH(188,합계표[판정순번],0),"")</f>
        <v/>
      </c>
      <c r="Y193">
        <f>IF($AB193="","",INDEX(상세표[사번],$AB193)&amp;"")</f>
        <v/>
      </c>
      <c r="Z193">
        <f>IF($AB193="","",INDEX(상세표[성명],$AB193)&amp;"")</f>
        <v/>
      </c>
      <c r="AA193">
        <f>IF($AB193="","",SUMIFS(상세표[기록 시간외],상세표[사번키],INDEX(상세표[사번키],$AB193),상세표[반영월],대상월키))</f>
        <v/>
      </c>
      <c r="AB193" s="4">
        <f>IFERROR(MATCH(188,상세표[합계없음순번],0),"")</f>
        <v/>
      </c>
    </row>
    <row r="194">
      <c r="A194">
        <f>IF($W194="","",INDEX(합계표[사번],$W194)&amp;"")</f>
        <v/>
      </c>
      <c r="B194">
        <f>IF($W194="","",INDEX(합계표[성명],$W194)&amp;"")</f>
        <v/>
      </c>
      <c r="C194">
        <f>IF($W194="","",INDEX(합계표[부서],$W194)&amp;"")</f>
        <v/>
      </c>
      <c r="D194">
        <f>IF($W194="","",INDEX(합계표[직위(통합)],$W194)&amp;"")</f>
        <v/>
      </c>
      <c r="E194">
        <f>IF($W194="","",SUMIFS(합계표[시스템 합계],합계표[사번키],INDEX(합계표[사번키],$W194)))</f>
        <v/>
      </c>
      <c r="F194">
        <f>IF($W194="","",SUMIFS(상세표[기록 시간외],상세표[사번키],INDEX(합계표[사번키],$W194),상세표[기록월],대상월키))</f>
        <v/>
      </c>
      <c r="G194">
        <f>IF($W194="","",IF(ABS($E194-$F194)&lt;0.01,"일치","불일치(차이 "&amp;TEXT($F194-$E194,"0.00")&amp;")"))</f>
        <v/>
      </c>
      <c r="H194">
        <f>IF($W194="","",SUMIFS(상세표[기록 시간외],상세표[사번키],INDEX(합계표[사번키],$W194),상세표[기록월],대상월키,상세표[반영월],"&lt;&gt;"&amp;대상월키))</f>
        <v/>
      </c>
      <c r="I194">
        <f>IF($W194="","",SUMIFS(상세표[기록 시간외],상세표[사번키],INDEX(합계표[사번키],$W194),상세표[기록월],"&lt;&gt;"&amp;대상월키,상세표[반영월],대상월키))</f>
        <v/>
      </c>
      <c r="J194">
        <f>IF($W194="","",SUMIFS(상세표[기록 시간외],상세표[사번키],INDEX(합계표[사번키],$W194),상세표[반영월],대상월키))</f>
        <v/>
      </c>
      <c r="K194">
        <f>IF($W194="","",IFERROR(INDEX(월별근무지표[적용 급여병원],MATCH(INDEX(합계표[사번키],$W194)&amp;"|"&amp;대상월키,월별근무지표[키],0))&amp;"",IF(COUNTIF(기관표[사번키],INDEX(합계표[사번키],$W194))+COUNTIF(월별근무지표[사번키],INDEX(합계표[사번키],$W194))&gt;0,IFERROR(INDEX(기관표[급여지급병원(기준월)],MATCH(INDEX(합계표[사번키],$W194)&amp;"|"&amp;대상월키,기관표[키],0))&amp;"","—"),"—")))</f>
        <v/>
      </c>
      <c r="L194">
        <f>IF($W194="","",IF(NOT(COUNTIF(기관표[사번키],INDEX(합계표[사번키],$W194))+COUNTIF(월별근무지표[사번키],INDEX(합계표[사번키],$W194))&gt;0),"기관명단에 없음(다른 병원으로 발송)",IF($K194="—","대상월 기관명단 없음(추가 필요)",IF($K194="서울병원","해당","비해당"))))</f>
        <v/>
      </c>
      <c r="M194">
        <f>IF($W194="","",SUMIFS(상세표[06~07시],상세표[사번키],INDEX(합계표[사번키],$W194),상세표[반영월],대상월키,상세표[반영 기관],"서울병원"))</f>
        <v/>
      </c>
      <c r="N194">
        <f>IF($W194="","",SUMIFS(상세표[07~18시],상세표[사번키],INDEX(합계표[사번키],$W194),상세표[반영월],대상월키,상세표[반영 기관],"서울병원"))</f>
        <v/>
      </c>
      <c r="O194">
        <f>IF($W194="","",SUMIFS(상세표[18~22시],상세표[사번키],INDEX(합계표[사번키],$W194),상세표[반영월],대상월키,상세표[반영 기관],"서울병원"))</f>
        <v/>
      </c>
      <c r="P194">
        <f>IF($W194="","",SUMIFS(상세표[22~06시],상세표[사번키],INDEX(합계표[사번키],$W194),상세표[반영월],대상월키,상세표[반영 기관],"서울병원"))</f>
        <v/>
      </c>
      <c r="Q194">
        <f>IF($W194="","",SUM($M194:$P194))</f>
        <v/>
      </c>
      <c r="R194">
        <f>IF($W194="","",COUNTIFS(상세표[사번키],INDEX(합계표[사번키],$W194),상세표[반영월],대상월키,상세표[야간당직],1,상세표[야간 구분],"평일"))</f>
        <v/>
      </c>
      <c r="S194" s="4">
        <f>IF($W194="","",COUNTIFS(상세표[사번키],INDEX(합계표[사번키],$W194),상세표[반영월],대상월키,상세표[야간당직],1,상세표[야간 구분],"휴일"))</f>
        <v/>
      </c>
      <c r="T194">
        <f>IF($W194="","",COUNTIFS(상세표[사번키],INDEX(합계표[사번키],$W194),상세표[반영월],대상월키,상세표[야간당직],1,상세표[야간 구분],"평일",상세표[반영 기관],"서울병원"))</f>
        <v/>
      </c>
      <c r="U194">
        <f>IF($W194="","",COUNTIFS(상세표[사번키],INDEX(합계표[사번키],$W194),상세표[반영월],대상월키,상세표[야간당직],1,상세표[야간 구분],"휴일",상세표[반영 기관],"서울병원"))</f>
        <v/>
      </c>
      <c r="V194">
        <f>IF($W194="","",IF(ISNUMBER(MATCH(INDEX(합계표[사번키],$W194)&amp;"|"&amp;대상월키,월별근무지표[키],0)),"직접 입력",IF($K194="—","—","기관명단")))</f>
        <v/>
      </c>
      <c r="W194">
        <f>IFERROR(MATCH(189,합계표[판정순번],0),"")</f>
        <v/>
      </c>
      <c r="Y194">
        <f>IF($AB194="","",INDEX(상세표[사번],$AB194)&amp;"")</f>
        <v/>
      </c>
      <c r="Z194">
        <f>IF($AB194="","",INDEX(상세표[성명],$AB194)&amp;"")</f>
        <v/>
      </c>
      <c r="AA194">
        <f>IF($AB194="","",SUMIFS(상세표[기록 시간외],상세표[사번키],INDEX(상세표[사번키],$AB194),상세표[반영월],대상월키))</f>
        <v/>
      </c>
      <c r="AB194" s="4">
        <f>IFERROR(MATCH(189,상세표[합계없음순번],0),"")</f>
        <v/>
      </c>
    </row>
    <row r="195">
      <c r="A195">
        <f>IF($W195="","",INDEX(합계표[사번],$W195)&amp;"")</f>
        <v/>
      </c>
      <c r="B195">
        <f>IF($W195="","",INDEX(합계표[성명],$W195)&amp;"")</f>
        <v/>
      </c>
      <c r="C195">
        <f>IF($W195="","",INDEX(합계표[부서],$W195)&amp;"")</f>
        <v/>
      </c>
      <c r="D195">
        <f>IF($W195="","",INDEX(합계표[직위(통합)],$W195)&amp;"")</f>
        <v/>
      </c>
      <c r="E195">
        <f>IF($W195="","",SUMIFS(합계표[시스템 합계],합계표[사번키],INDEX(합계표[사번키],$W195)))</f>
        <v/>
      </c>
      <c r="F195">
        <f>IF($W195="","",SUMIFS(상세표[기록 시간외],상세표[사번키],INDEX(합계표[사번키],$W195),상세표[기록월],대상월키))</f>
        <v/>
      </c>
      <c r="G195">
        <f>IF($W195="","",IF(ABS($E195-$F195)&lt;0.01,"일치","불일치(차이 "&amp;TEXT($F195-$E195,"0.00")&amp;")"))</f>
        <v/>
      </c>
      <c r="H195">
        <f>IF($W195="","",SUMIFS(상세표[기록 시간외],상세표[사번키],INDEX(합계표[사번키],$W195),상세표[기록월],대상월키,상세표[반영월],"&lt;&gt;"&amp;대상월키))</f>
        <v/>
      </c>
      <c r="I195">
        <f>IF($W195="","",SUMIFS(상세표[기록 시간외],상세표[사번키],INDEX(합계표[사번키],$W195),상세표[기록월],"&lt;&gt;"&amp;대상월키,상세표[반영월],대상월키))</f>
        <v/>
      </c>
      <c r="J195">
        <f>IF($W195="","",SUMIFS(상세표[기록 시간외],상세표[사번키],INDEX(합계표[사번키],$W195),상세표[반영월],대상월키))</f>
        <v/>
      </c>
      <c r="K195">
        <f>IF($W195="","",IFERROR(INDEX(월별근무지표[적용 급여병원],MATCH(INDEX(합계표[사번키],$W195)&amp;"|"&amp;대상월키,월별근무지표[키],0))&amp;"",IF(COUNTIF(기관표[사번키],INDEX(합계표[사번키],$W195))+COUNTIF(월별근무지표[사번키],INDEX(합계표[사번키],$W195))&gt;0,IFERROR(INDEX(기관표[급여지급병원(기준월)],MATCH(INDEX(합계표[사번키],$W195)&amp;"|"&amp;대상월키,기관표[키],0))&amp;"","—"),"—")))</f>
        <v/>
      </c>
      <c r="L195">
        <f>IF($W195="","",IF(NOT(COUNTIF(기관표[사번키],INDEX(합계표[사번키],$W195))+COUNTIF(월별근무지표[사번키],INDEX(합계표[사번키],$W195))&gt;0),"기관명단에 없음(다른 병원으로 발송)",IF($K195="—","대상월 기관명단 없음(추가 필요)",IF($K195="서울병원","해당","비해당"))))</f>
        <v/>
      </c>
      <c r="M195">
        <f>IF($W195="","",SUMIFS(상세표[06~07시],상세표[사번키],INDEX(합계표[사번키],$W195),상세표[반영월],대상월키,상세표[반영 기관],"서울병원"))</f>
        <v/>
      </c>
      <c r="N195">
        <f>IF($W195="","",SUMIFS(상세표[07~18시],상세표[사번키],INDEX(합계표[사번키],$W195),상세표[반영월],대상월키,상세표[반영 기관],"서울병원"))</f>
        <v/>
      </c>
      <c r="O195">
        <f>IF($W195="","",SUMIFS(상세표[18~22시],상세표[사번키],INDEX(합계표[사번키],$W195),상세표[반영월],대상월키,상세표[반영 기관],"서울병원"))</f>
        <v/>
      </c>
      <c r="P195">
        <f>IF($W195="","",SUMIFS(상세표[22~06시],상세표[사번키],INDEX(합계표[사번키],$W195),상세표[반영월],대상월키,상세표[반영 기관],"서울병원"))</f>
        <v/>
      </c>
      <c r="Q195">
        <f>IF($W195="","",SUM($M195:$P195))</f>
        <v/>
      </c>
      <c r="R195">
        <f>IF($W195="","",COUNTIFS(상세표[사번키],INDEX(합계표[사번키],$W195),상세표[반영월],대상월키,상세표[야간당직],1,상세표[야간 구분],"평일"))</f>
        <v/>
      </c>
      <c r="S195" s="4">
        <f>IF($W195="","",COUNTIFS(상세표[사번키],INDEX(합계표[사번키],$W195),상세표[반영월],대상월키,상세표[야간당직],1,상세표[야간 구분],"휴일"))</f>
        <v/>
      </c>
      <c r="T195">
        <f>IF($W195="","",COUNTIFS(상세표[사번키],INDEX(합계표[사번키],$W195),상세표[반영월],대상월키,상세표[야간당직],1,상세표[야간 구분],"평일",상세표[반영 기관],"서울병원"))</f>
        <v/>
      </c>
      <c r="U195">
        <f>IF($W195="","",COUNTIFS(상세표[사번키],INDEX(합계표[사번키],$W195),상세표[반영월],대상월키,상세표[야간당직],1,상세표[야간 구분],"휴일",상세표[반영 기관],"서울병원"))</f>
        <v/>
      </c>
      <c r="V195">
        <f>IF($W195="","",IF(ISNUMBER(MATCH(INDEX(합계표[사번키],$W195)&amp;"|"&amp;대상월키,월별근무지표[키],0)),"직접 입력",IF($K195="—","—","기관명단")))</f>
        <v/>
      </c>
      <c r="W195">
        <f>IFERROR(MATCH(190,합계표[판정순번],0),"")</f>
        <v/>
      </c>
      <c r="Y195">
        <f>IF($AB195="","",INDEX(상세표[사번],$AB195)&amp;"")</f>
        <v/>
      </c>
      <c r="Z195">
        <f>IF($AB195="","",INDEX(상세표[성명],$AB195)&amp;"")</f>
        <v/>
      </c>
      <c r="AA195">
        <f>IF($AB195="","",SUMIFS(상세표[기록 시간외],상세표[사번키],INDEX(상세표[사번키],$AB195),상세표[반영월],대상월키))</f>
        <v/>
      </c>
      <c r="AB195" s="4">
        <f>IFERROR(MATCH(190,상세표[합계없음순번],0),"")</f>
        <v/>
      </c>
    </row>
    <row r="196">
      <c r="A196">
        <f>IF($W196="","",INDEX(합계표[사번],$W196)&amp;"")</f>
        <v/>
      </c>
      <c r="B196">
        <f>IF($W196="","",INDEX(합계표[성명],$W196)&amp;"")</f>
        <v/>
      </c>
      <c r="C196">
        <f>IF($W196="","",INDEX(합계표[부서],$W196)&amp;"")</f>
        <v/>
      </c>
      <c r="D196">
        <f>IF($W196="","",INDEX(합계표[직위(통합)],$W196)&amp;"")</f>
        <v/>
      </c>
      <c r="E196">
        <f>IF($W196="","",SUMIFS(합계표[시스템 합계],합계표[사번키],INDEX(합계표[사번키],$W196)))</f>
        <v/>
      </c>
      <c r="F196">
        <f>IF($W196="","",SUMIFS(상세표[기록 시간외],상세표[사번키],INDEX(합계표[사번키],$W196),상세표[기록월],대상월키))</f>
        <v/>
      </c>
      <c r="G196">
        <f>IF($W196="","",IF(ABS($E196-$F196)&lt;0.01,"일치","불일치(차이 "&amp;TEXT($F196-$E196,"0.00")&amp;")"))</f>
        <v/>
      </c>
      <c r="H196">
        <f>IF($W196="","",SUMIFS(상세표[기록 시간외],상세표[사번키],INDEX(합계표[사번키],$W196),상세표[기록월],대상월키,상세표[반영월],"&lt;&gt;"&amp;대상월키))</f>
        <v/>
      </c>
      <c r="I196">
        <f>IF($W196="","",SUMIFS(상세표[기록 시간외],상세표[사번키],INDEX(합계표[사번키],$W196),상세표[기록월],"&lt;&gt;"&amp;대상월키,상세표[반영월],대상월키))</f>
        <v/>
      </c>
      <c r="J196">
        <f>IF($W196="","",SUMIFS(상세표[기록 시간외],상세표[사번키],INDEX(합계표[사번키],$W196),상세표[반영월],대상월키))</f>
        <v/>
      </c>
      <c r="K196">
        <f>IF($W196="","",IFERROR(INDEX(월별근무지표[적용 급여병원],MATCH(INDEX(합계표[사번키],$W196)&amp;"|"&amp;대상월키,월별근무지표[키],0))&amp;"",IF(COUNTIF(기관표[사번키],INDEX(합계표[사번키],$W196))+COUNTIF(월별근무지표[사번키],INDEX(합계표[사번키],$W196))&gt;0,IFERROR(INDEX(기관표[급여지급병원(기준월)],MATCH(INDEX(합계표[사번키],$W196)&amp;"|"&amp;대상월키,기관표[키],0))&amp;"","—"),"—")))</f>
        <v/>
      </c>
      <c r="L196">
        <f>IF($W196="","",IF(NOT(COUNTIF(기관표[사번키],INDEX(합계표[사번키],$W196))+COUNTIF(월별근무지표[사번키],INDEX(합계표[사번키],$W196))&gt;0),"기관명단에 없음(다른 병원으로 발송)",IF($K196="—","대상월 기관명단 없음(추가 필요)",IF($K196="서울병원","해당","비해당"))))</f>
        <v/>
      </c>
      <c r="M196">
        <f>IF($W196="","",SUMIFS(상세표[06~07시],상세표[사번키],INDEX(합계표[사번키],$W196),상세표[반영월],대상월키,상세표[반영 기관],"서울병원"))</f>
        <v/>
      </c>
      <c r="N196">
        <f>IF($W196="","",SUMIFS(상세표[07~18시],상세표[사번키],INDEX(합계표[사번키],$W196),상세표[반영월],대상월키,상세표[반영 기관],"서울병원"))</f>
        <v/>
      </c>
      <c r="O196">
        <f>IF($W196="","",SUMIFS(상세표[18~22시],상세표[사번키],INDEX(합계표[사번키],$W196),상세표[반영월],대상월키,상세표[반영 기관],"서울병원"))</f>
        <v/>
      </c>
      <c r="P196">
        <f>IF($W196="","",SUMIFS(상세표[22~06시],상세표[사번키],INDEX(합계표[사번키],$W196),상세표[반영월],대상월키,상세표[반영 기관],"서울병원"))</f>
        <v/>
      </c>
      <c r="Q196">
        <f>IF($W196="","",SUM($M196:$P196))</f>
        <v/>
      </c>
      <c r="R196">
        <f>IF($W196="","",COUNTIFS(상세표[사번키],INDEX(합계표[사번키],$W196),상세표[반영월],대상월키,상세표[야간당직],1,상세표[야간 구분],"평일"))</f>
        <v/>
      </c>
      <c r="S196" s="4">
        <f>IF($W196="","",COUNTIFS(상세표[사번키],INDEX(합계표[사번키],$W196),상세표[반영월],대상월키,상세표[야간당직],1,상세표[야간 구분],"휴일"))</f>
        <v/>
      </c>
      <c r="T196">
        <f>IF($W196="","",COUNTIFS(상세표[사번키],INDEX(합계표[사번키],$W196),상세표[반영월],대상월키,상세표[야간당직],1,상세표[야간 구분],"평일",상세표[반영 기관],"서울병원"))</f>
        <v/>
      </c>
      <c r="U196">
        <f>IF($W196="","",COUNTIFS(상세표[사번키],INDEX(합계표[사번키],$W196),상세표[반영월],대상월키,상세표[야간당직],1,상세표[야간 구분],"휴일",상세표[반영 기관],"서울병원"))</f>
        <v/>
      </c>
      <c r="V196">
        <f>IF($W196="","",IF(ISNUMBER(MATCH(INDEX(합계표[사번키],$W196)&amp;"|"&amp;대상월키,월별근무지표[키],0)),"직접 입력",IF($K196="—","—","기관명단")))</f>
        <v/>
      </c>
      <c r="W196">
        <f>IFERROR(MATCH(191,합계표[판정순번],0),"")</f>
        <v/>
      </c>
      <c r="Y196">
        <f>IF($AB196="","",INDEX(상세표[사번],$AB196)&amp;"")</f>
        <v/>
      </c>
      <c r="Z196">
        <f>IF($AB196="","",INDEX(상세표[성명],$AB196)&amp;"")</f>
        <v/>
      </c>
      <c r="AA196">
        <f>IF($AB196="","",SUMIFS(상세표[기록 시간외],상세표[사번키],INDEX(상세표[사번키],$AB196),상세표[반영월],대상월키))</f>
        <v/>
      </c>
      <c r="AB196" s="4">
        <f>IFERROR(MATCH(191,상세표[합계없음순번],0),"")</f>
        <v/>
      </c>
    </row>
    <row r="197">
      <c r="A197">
        <f>IF($W197="","",INDEX(합계표[사번],$W197)&amp;"")</f>
        <v/>
      </c>
      <c r="B197">
        <f>IF($W197="","",INDEX(합계표[성명],$W197)&amp;"")</f>
        <v/>
      </c>
      <c r="C197">
        <f>IF($W197="","",INDEX(합계표[부서],$W197)&amp;"")</f>
        <v/>
      </c>
      <c r="D197">
        <f>IF($W197="","",INDEX(합계표[직위(통합)],$W197)&amp;"")</f>
        <v/>
      </c>
      <c r="E197">
        <f>IF($W197="","",SUMIFS(합계표[시스템 합계],합계표[사번키],INDEX(합계표[사번키],$W197)))</f>
        <v/>
      </c>
      <c r="F197">
        <f>IF($W197="","",SUMIFS(상세표[기록 시간외],상세표[사번키],INDEX(합계표[사번키],$W197),상세표[기록월],대상월키))</f>
        <v/>
      </c>
      <c r="G197">
        <f>IF($W197="","",IF(ABS($E197-$F197)&lt;0.01,"일치","불일치(차이 "&amp;TEXT($F197-$E197,"0.00")&amp;")"))</f>
        <v/>
      </c>
      <c r="H197">
        <f>IF($W197="","",SUMIFS(상세표[기록 시간외],상세표[사번키],INDEX(합계표[사번키],$W197),상세표[기록월],대상월키,상세표[반영월],"&lt;&gt;"&amp;대상월키))</f>
        <v/>
      </c>
      <c r="I197">
        <f>IF($W197="","",SUMIFS(상세표[기록 시간외],상세표[사번키],INDEX(합계표[사번키],$W197),상세표[기록월],"&lt;&gt;"&amp;대상월키,상세표[반영월],대상월키))</f>
        <v/>
      </c>
      <c r="J197">
        <f>IF($W197="","",SUMIFS(상세표[기록 시간외],상세표[사번키],INDEX(합계표[사번키],$W197),상세표[반영월],대상월키))</f>
        <v/>
      </c>
      <c r="K197">
        <f>IF($W197="","",IFERROR(INDEX(월별근무지표[적용 급여병원],MATCH(INDEX(합계표[사번키],$W197)&amp;"|"&amp;대상월키,월별근무지표[키],0))&amp;"",IF(COUNTIF(기관표[사번키],INDEX(합계표[사번키],$W197))+COUNTIF(월별근무지표[사번키],INDEX(합계표[사번키],$W197))&gt;0,IFERROR(INDEX(기관표[급여지급병원(기준월)],MATCH(INDEX(합계표[사번키],$W197)&amp;"|"&amp;대상월키,기관표[키],0))&amp;"","—"),"—")))</f>
        <v/>
      </c>
      <c r="L197">
        <f>IF($W197="","",IF(NOT(COUNTIF(기관표[사번키],INDEX(합계표[사번키],$W197))+COUNTIF(월별근무지표[사번키],INDEX(합계표[사번키],$W197))&gt;0),"기관명단에 없음(다른 병원으로 발송)",IF($K197="—","대상월 기관명단 없음(추가 필요)",IF($K197="서울병원","해당","비해당"))))</f>
        <v/>
      </c>
      <c r="M197">
        <f>IF($W197="","",SUMIFS(상세표[06~07시],상세표[사번키],INDEX(합계표[사번키],$W197),상세표[반영월],대상월키,상세표[반영 기관],"서울병원"))</f>
        <v/>
      </c>
      <c r="N197">
        <f>IF($W197="","",SUMIFS(상세표[07~18시],상세표[사번키],INDEX(합계표[사번키],$W197),상세표[반영월],대상월키,상세표[반영 기관],"서울병원"))</f>
        <v/>
      </c>
      <c r="O197">
        <f>IF($W197="","",SUMIFS(상세표[18~22시],상세표[사번키],INDEX(합계표[사번키],$W197),상세표[반영월],대상월키,상세표[반영 기관],"서울병원"))</f>
        <v/>
      </c>
      <c r="P197">
        <f>IF($W197="","",SUMIFS(상세표[22~06시],상세표[사번키],INDEX(합계표[사번키],$W197),상세표[반영월],대상월키,상세표[반영 기관],"서울병원"))</f>
        <v/>
      </c>
      <c r="Q197">
        <f>IF($W197="","",SUM($M197:$P197))</f>
        <v/>
      </c>
      <c r="R197">
        <f>IF($W197="","",COUNTIFS(상세표[사번키],INDEX(합계표[사번키],$W197),상세표[반영월],대상월키,상세표[야간당직],1,상세표[야간 구분],"평일"))</f>
        <v/>
      </c>
      <c r="S197" s="4">
        <f>IF($W197="","",COUNTIFS(상세표[사번키],INDEX(합계표[사번키],$W197),상세표[반영월],대상월키,상세표[야간당직],1,상세표[야간 구분],"휴일"))</f>
        <v/>
      </c>
      <c r="T197">
        <f>IF($W197="","",COUNTIFS(상세표[사번키],INDEX(합계표[사번키],$W197),상세표[반영월],대상월키,상세표[야간당직],1,상세표[야간 구분],"평일",상세표[반영 기관],"서울병원"))</f>
        <v/>
      </c>
      <c r="U197">
        <f>IF($W197="","",COUNTIFS(상세표[사번키],INDEX(합계표[사번키],$W197),상세표[반영월],대상월키,상세표[야간당직],1,상세표[야간 구분],"휴일",상세표[반영 기관],"서울병원"))</f>
        <v/>
      </c>
      <c r="V197">
        <f>IF($W197="","",IF(ISNUMBER(MATCH(INDEX(합계표[사번키],$W197)&amp;"|"&amp;대상월키,월별근무지표[키],0)),"직접 입력",IF($K197="—","—","기관명단")))</f>
        <v/>
      </c>
      <c r="W197">
        <f>IFERROR(MATCH(192,합계표[판정순번],0),"")</f>
        <v/>
      </c>
      <c r="Y197">
        <f>IF($AB197="","",INDEX(상세표[사번],$AB197)&amp;"")</f>
        <v/>
      </c>
      <c r="Z197">
        <f>IF($AB197="","",INDEX(상세표[성명],$AB197)&amp;"")</f>
        <v/>
      </c>
      <c r="AA197">
        <f>IF($AB197="","",SUMIFS(상세표[기록 시간외],상세표[사번키],INDEX(상세표[사번키],$AB197),상세표[반영월],대상월키))</f>
        <v/>
      </c>
      <c r="AB197" s="4">
        <f>IFERROR(MATCH(192,상세표[합계없음순번],0),"")</f>
        <v/>
      </c>
    </row>
    <row r="198">
      <c r="A198">
        <f>IF($W198="","",INDEX(합계표[사번],$W198)&amp;"")</f>
        <v/>
      </c>
      <c r="B198">
        <f>IF($W198="","",INDEX(합계표[성명],$W198)&amp;"")</f>
        <v/>
      </c>
      <c r="C198">
        <f>IF($W198="","",INDEX(합계표[부서],$W198)&amp;"")</f>
        <v/>
      </c>
      <c r="D198">
        <f>IF($W198="","",INDEX(합계표[직위(통합)],$W198)&amp;"")</f>
        <v/>
      </c>
      <c r="E198">
        <f>IF($W198="","",SUMIFS(합계표[시스템 합계],합계표[사번키],INDEX(합계표[사번키],$W198)))</f>
        <v/>
      </c>
      <c r="F198">
        <f>IF($W198="","",SUMIFS(상세표[기록 시간외],상세표[사번키],INDEX(합계표[사번키],$W198),상세표[기록월],대상월키))</f>
        <v/>
      </c>
      <c r="G198">
        <f>IF($W198="","",IF(ABS($E198-$F198)&lt;0.01,"일치","불일치(차이 "&amp;TEXT($F198-$E198,"0.00")&amp;")"))</f>
        <v/>
      </c>
      <c r="H198">
        <f>IF($W198="","",SUMIFS(상세표[기록 시간외],상세표[사번키],INDEX(합계표[사번키],$W198),상세표[기록월],대상월키,상세표[반영월],"&lt;&gt;"&amp;대상월키))</f>
        <v/>
      </c>
      <c r="I198">
        <f>IF($W198="","",SUMIFS(상세표[기록 시간외],상세표[사번키],INDEX(합계표[사번키],$W198),상세표[기록월],"&lt;&gt;"&amp;대상월키,상세표[반영월],대상월키))</f>
        <v/>
      </c>
      <c r="J198">
        <f>IF($W198="","",SUMIFS(상세표[기록 시간외],상세표[사번키],INDEX(합계표[사번키],$W198),상세표[반영월],대상월키))</f>
        <v/>
      </c>
      <c r="K198">
        <f>IF($W198="","",IFERROR(INDEX(월별근무지표[적용 급여병원],MATCH(INDEX(합계표[사번키],$W198)&amp;"|"&amp;대상월키,월별근무지표[키],0))&amp;"",IF(COUNTIF(기관표[사번키],INDEX(합계표[사번키],$W198))+COUNTIF(월별근무지표[사번키],INDEX(합계표[사번키],$W198))&gt;0,IFERROR(INDEX(기관표[급여지급병원(기준월)],MATCH(INDEX(합계표[사번키],$W198)&amp;"|"&amp;대상월키,기관표[키],0))&amp;"","—"),"—")))</f>
        <v/>
      </c>
      <c r="L198">
        <f>IF($W198="","",IF(NOT(COUNTIF(기관표[사번키],INDEX(합계표[사번키],$W198))+COUNTIF(월별근무지표[사번키],INDEX(합계표[사번키],$W198))&gt;0),"기관명단에 없음(다른 병원으로 발송)",IF($K198="—","대상월 기관명단 없음(추가 필요)",IF($K198="서울병원","해당","비해당"))))</f>
        <v/>
      </c>
      <c r="M198">
        <f>IF($W198="","",SUMIFS(상세표[06~07시],상세표[사번키],INDEX(합계표[사번키],$W198),상세표[반영월],대상월키,상세표[반영 기관],"서울병원"))</f>
        <v/>
      </c>
      <c r="N198">
        <f>IF($W198="","",SUMIFS(상세표[07~18시],상세표[사번키],INDEX(합계표[사번키],$W198),상세표[반영월],대상월키,상세표[반영 기관],"서울병원"))</f>
        <v/>
      </c>
      <c r="O198">
        <f>IF($W198="","",SUMIFS(상세표[18~22시],상세표[사번키],INDEX(합계표[사번키],$W198),상세표[반영월],대상월키,상세표[반영 기관],"서울병원"))</f>
        <v/>
      </c>
      <c r="P198">
        <f>IF($W198="","",SUMIFS(상세표[22~06시],상세표[사번키],INDEX(합계표[사번키],$W198),상세표[반영월],대상월키,상세표[반영 기관],"서울병원"))</f>
        <v/>
      </c>
      <c r="Q198">
        <f>IF($W198="","",SUM($M198:$P198))</f>
        <v/>
      </c>
      <c r="R198">
        <f>IF($W198="","",COUNTIFS(상세표[사번키],INDEX(합계표[사번키],$W198),상세표[반영월],대상월키,상세표[야간당직],1,상세표[야간 구분],"평일"))</f>
        <v/>
      </c>
      <c r="S198" s="4">
        <f>IF($W198="","",COUNTIFS(상세표[사번키],INDEX(합계표[사번키],$W198),상세표[반영월],대상월키,상세표[야간당직],1,상세표[야간 구분],"휴일"))</f>
        <v/>
      </c>
      <c r="T198">
        <f>IF($W198="","",COUNTIFS(상세표[사번키],INDEX(합계표[사번키],$W198),상세표[반영월],대상월키,상세표[야간당직],1,상세표[야간 구분],"평일",상세표[반영 기관],"서울병원"))</f>
        <v/>
      </c>
      <c r="U198">
        <f>IF($W198="","",COUNTIFS(상세표[사번키],INDEX(합계표[사번키],$W198),상세표[반영월],대상월키,상세표[야간당직],1,상세표[야간 구분],"휴일",상세표[반영 기관],"서울병원"))</f>
        <v/>
      </c>
      <c r="V198">
        <f>IF($W198="","",IF(ISNUMBER(MATCH(INDEX(합계표[사번키],$W198)&amp;"|"&amp;대상월키,월별근무지표[키],0)),"직접 입력",IF($K198="—","—","기관명단")))</f>
        <v/>
      </c>
      <c r="W198">
        <f>IFERROR(MATCH(193,합계표[판정순번],0),"")</f>
        <v/>
      </c>
      <c r="Y198">
        <f>IF($AB198="","",INDEX(상세표[사번],$AB198)&amp;"")</f>
        <v/>
      </c>
      <c r="Z198">
        <f>IF($AB198="","",INDEX(상세표[성명],$AB198)&amp;"")</f>
        <v/>
      </c>
      <c r="AA198">
        <f>IF($AB198="","",SUMIFS(상세표[기록 시간외],상세표[사번키],INDEX(상세표[사번키],$AB198),상세표[반영월],대상월키))</f>
        <v/>
      </c>
      <c r="AB198" s="4">
        <f>IFERROR(MATCH(193,상세표[합계없음순번],0),"")</f>
        <v/>
      </c>
    </row>
    <row r="199">
      <c r="A199">
        <f>IF($W199="","",INDEX(합계표[사번],$W199)&amp;"")</f>
        <v/>
      </c>
      <c r="B199">
        <f>IF($W199="","",INDEX(합계표[성명],$W199)&amp;"")</f>
        <v/>
      </c>
      <c r="C199">
        <f>IF($W199="","",INDEX(합계표[부서],$W199)&amp;"")</f>
        <v/>
      </c>
      <c r="D199">
        <f>IF($W199="","",INDEX(합계표[직위(통합)],$W199)&amp;"")</f>
        <v/>
      </c>
      <c r="E199">
        <f>IF($W199="","",SUMIFS(합계표[시스템 합계],합계표[사번키],INDEX(합계표[사번키],$W199)))</f>
        <v/>
      </c>
      <c r="F199">
        <f>IF($W199="","",SUMIFS(상세표[기록 시간외],상세표[사번키],INDEX(합계표[사번키],$W199),상세표[기록월],대상월키))</f>
        <v/>
      </c>
      <c r="G199">
        <f>IF($W199="","",IF(ABS($E199-$F199)&lt;0.01,"일치","불일치(차이 "&amp;TEXT($F199-$E199,"0.00")&amp;")"))</f>
        <v/>
      </c>
      <c r="H199">
        <f>IF($W199="","",SUMIFS(상세표[기록 시간외],상세표[사번키],INDEX(합계표[사번키],$W199),상세표[기록월],대상월키,상세표[반영월],"&lt;&gt;"&amp;대상월키))</f>
        <v/>
      </c>
      <c r="I199">
        <f>IF($W199="","",SUMIFS(상세표[기록 시간외],상세표[사번키],INDEX(합계표[사번키],$W199),상세표[기록월],"&lt;&gt;"&amp;대상월키,상세표[반영월],대상월키))</f>
        <v/>
      </c>
      <c r="J199">
        <f>IF($W199="","",SUMIFS(상세표[기록 시간외],상세표[사번키],INDEX(합계표[사번키],$W199),상세표[반영월],대상월키))</f>
        <v/>
      </c>
      <c r="K199">
        <f>IF($W199="","",IFERROR(INDEX(월별근무지표[적용 급여병원],MATCH(INDEX(합계표[사번키],$W199)&amp;"|"&amp;대상월키,월별근무지표[키],0))&amp;"",IF(COUNTIF(기관표[사번키],INDEX(합계표[사번키],$W199))+COUNTIF(월별근무지표[사번키],INDEX(합계표[사번키],$W199))&gt;0,IFERROR(INDEX(기관표[급여지급병원(기준월)],MATCH(INDEX(합계표[사번키],$W199)&amp;"|"&amp;대상월키,기관표[키],0))&amp;"","—"),"—")))</f>
        <v/>
      </c>
      <c r="L199">
        <f>IF($W199="","",IF(NOT(COUNTIF(기관표[사번키],INDEX(합계표[사번키],$W199))+COUNTIF(월별근무지표[사번키],INDEX(합계표[사번키],$W199))&gt;0),"기관명단에 없음(다른 병원으로 발송)",IF($K199="—","대상월 기관명단 없음(추가 필요)",IF($K199="서울병원","해당","비해당"))))</f>
        <v/>
      </c>
      <c r="M199">
        <f>IF($W199="","",SUMIFS(상세표[06~07시],상세표[사번키],INDEX(합계표[사번키],$W199),상세표[반영월],대상월키,상세표[반영 기관],"서울병원"))</f>
        <v/>
      </c>
      <c r="N199">
        <f>IF($W199="","",SUMIFS(상세표[07~18시],상세표[사번키],INDEX(합계표[사번키],$W199),상세표[반영월],대상월키,상세표[반영 기관],"서울병원"))</f>
        <v/>
      </c>
      <c r="O199">
        <f>IF($W199="","",SUMIFS(상세표[18~22시],상세표[사번키],INDEX(합계표[사번키],$W199),상세표[반영월],대상월키,상세표[반영 기관],"서울병원"))</f>
        <v/>
      </c>
      <c r="P199">
        <f>IF($W199="","",SUMIFS(상세표[22~06시],상세표[사번키],INDEX(합계표[사번키],$W199),상세표[반영월],대상월키,상세표[반영 기관],"서울병원"))</f>
        <v/>
      </c>
      <c r="Q199">
        <f>IF($W199="","",SUM($M199:$P199))</f>
        <v/>
      </c>
      <c r="R199">
        <f>IF($W199="","",COUNTIFS(상세표[사번키],INDEX(합계표[사번키],$W199),상세표[반영월],대상월키,상세표[야간당직],1,상세표[야간 구분],"평일"))</f>
        <v/>
      </c>
      <c r="S199" s="4">
        <f>IF($W199="","",COUNTIFS(상세표[사번키],INDEX(합계표[사번키],$W199),상세표[반영월],대상월키,상세표[야간당직],1,상세표[야간 구분],"휴일"))</f>
        <v/>
      </c>
      <c r="T199">
        <f>IF($W199="","",COUNTIFS(상세표[사번키],INDEX(합계표[사번키],$W199),상세표[반영월],대상월키,상세표[야간당직],1,상세표[야간 구분],"평일",상세표[반영 기관],"서울병원"))</f>
        <v/>
      </c>
      <c r="U199">
        <f>IF($W199="","",COUNTIFS(상세표[사번키],INDEX(합계표[사번키],$W199),상세표[반영월],대상월키,상세표[야간당직],1,상세표[야간 구분],"휴일",상세표[반영 기관],"서울병원"))</f>
        <v/>
      </c>
      <c r="V199">
        <f>IF($W199="","",IF(ISNUMBER(MATCH(INDEX(합계표[사번키],$W199)&amp;"|"&amp;대상월키,월별근무지표[키],0)),"직접 입력",IF($K199="—","—","기관명단")))</f>
        <v/>
      </c>
      <c r="W199">
        <f>IFERROR(MATCH(194,합계표[판정순번],0),"")</f>
        <v/>
      </c>
      <c r="Y199">
        <f>IF($AB199="","",INDEX(상세표[사번],$AB199)&amp;"")</f>
        <v/>
      </c>
      <c r="Z199">
        <f>IF($AB199="","",INDEX(상세표[성명],$AB199)&amp;"")</f>
        <v/>
      </c>
      <c r="AA199">
        <f>IF($AB199="","",SUMIFS(상세표[기록 시간외],상세표[사번키],INDEX(상세표[사번키],$AB199),상세표[반영월],대상월키))</f>
        <v/>
      </c>
      <c r="AB199" s="4">
        <f>IFERROR(MATCH(194,상세표[합계없음순번],0),"")</f>
        <v/>
      </c>
    </row>
    <row r="200">
      <c r="A200">
        <f>IF($W200="","",INDEX(합계표[사번],$W200)&amp;"")</f>
        <v/>
      </c>
      <c r="B200">
        <f>IF($W200="","",INDEX(합계표[성명],$W200)&amp;"")</f>
        <v/>
      </c>
      <c r="C200">
        <f>IF($W200="","",INDEX(합계표[부서],$W200)&amp;"")</f>
        <v/>
      </c>
      <c r="D200">
        <f>IF($W200="","",INDEX(합계표[직위(통합)],$W200)&amp;"")</f>
        <v/>
      </c>
      <c r="E200">
        <f>IF($W200="","",SUMIFS(합계표[시스템 합계],합계표[사번키],INDEX(합계표[사번키],$W200)))</f>
        <v/>
      </c>
      <c r="F200">
        <f>IF($W200="","",SUMIFS(상세표[기록 시간외],상세표[사번키],INDEX(합계표[사번키],$W200),상세표[기록월],대상월키))</f>
        <v/>
      </c>
      <c r="G200">
        <f>IF($W200="","",IF(ABS($E200-$F200)&lt;0.01,"일치","불일치(차이 "&amp;TEXT($F200-$E200,"0.00")&amp;")"))</f>
        <v/>
      </c>
      <c r="H200">
        <f>IF($W200="","",SUMIFS(상세표[기록 시간외],상세표[사번키],INDEX(합계표[사번키],$W200),상세표[기록월],대상월키,상세표[반영월],"&lt;&gt;"&amp;대상월키))</f>
        <v/>
      </c>
      <c r="I200">
        <f>IF($W200="","",SUMIFS(상세표[기록 시간외],상세표[사번키],INDEX(합계표[사번키],$W200),상세표[기록월],"&lt;&gt;"&amp;대상월키,상세표[반영월],대상월키))</f>
        <v/>
      </c>
      <c r="J200">
        <f>IF($W200="","",SUMIFS(상세표[기록 시간외],상세표[사번키],INDEX(합계표[사번키],$W200),상세표[반영월],대상월키))</f>
        <v/>
      </c>
      <c r="K200">
        <f>IF($W200="","",IFERROR(INDEX(월별근무지표[적용 급여병원],MATCH(INDEX(합계표[사번키],$W200)&amp;"|"&amp;대상월키,월별근무지표[키],0))&amp;"",IF(COUNTIF(기관표[사번키],INDEX(합계표[사번키],$W200))+COUNTIF(월별근무지표[사번키],INDEX(합계표[사번키],$W200))&gt;0,IFERROR(INDEX(기관표[급여지급병원(기준월)],MATCH(INDEX(합계표[사번키],$W200)&amp;"|"&amp;대상월키,기관표[키],0))&amp;"","—"),"—")))</f>
        <v/>
      </c>
      <c r="L200">
        <f>IF($W200="","",IF(NOT(COUNTIF(기관표[사번키],INDEX(합계표[사번키],$W200))+COUNTIF(월별근무지표[사번키],INDEX(합계표[사번키],$W200))&gt;0),"기관명단에 없음(다른 병원으로 발송)",IF($K200="—","대상월 기관명단 없음(추가 필요)",IF($K200="서울병원","해당","비해당"))))</f>
        <v/>
      </c>
      <c r="M200">
        <f>IF($W200="","",SUMIFS(상세표[06~07시],상세표[사번키],INDEX(합계표[사번키],$W200),상세표[반영월],대상월키,상세표[반영 기관],"서울병원"))</f>
        <v/>
      </c>
      <c r="N200">
        <f>IF($W200="","",SUMIFS(상세표[07~18시],상세표[사번키],INDEX(합계표[사번키],$W200),상세표[반영월],대상월키,상세표[반영 기관],"서울병원"))</f>
        <v/>
      </c>
      <c r="O200">
        <f>IF($W200="","",SUMIFS(상세표[18~22시],상세표[사번키],INDEX(합계표[사번키],$W200),상세표[반영월],대상월키,상세표[반영 기관],"서울병원"))</f>
        <v/>
      </c>
      <c r="P200">
        <f>IF($W200="","",SUMIFS(상세표[22~06시],상세표[사번키],INDEX(합계표[사번키],$W200),상세표[반영월],대상월키,상세표[반영 기관],"서울병원"))</f>
        <v/>
      </c>
      <c r="Q200">
        <f>IF($W200="","",SUM($M200:$P200))</f>
        <v/>
      </c>
      <c r="R200">
        <f>IF($W200="","",COUNTIFS(상세표[사번키],INDEX(합계표[사번키],$W200),상세표[반영월],대상월키,상세표[야간당직],1,상세표[야간 구분],"평일"))</f>
        <v/>
      </c>
      <c r="S200" s="4">
        <f>IF($W200="","",COUNTIFS(상세표[사번키],INDEX(합계표[사번키],$W200),상세표[반영월],대상월키,상세표[야간당직],1,상세표[야간 구분],"휴일"))</f>
        <v/>
      </c>
      <c r="T200">
        <f>IF($W200="","",COUNTIFS(상세표[사번키],INDEX(합계표[사번키],$W200),상세표[반영월],대상월키,상세표[야간당직],1,상세표[야간 구분],"평일",상세표[반영 기관],"서울병원"))</f>
        <v/>
      </c>
      <c r="U200">
        <f>IF($W200="","",COUNTIFS(상세표[사번키],INDEX(합계표[사번키],$W200),상세표[반영월],대상월키,상세표[야간당직],1,상세표[야간 구분],"휴일",상세표[반영 기관],"서울병원"))</f>
        <v/>
      </c>
      <c r="V200">
        <f>IF($W200="","",IF(ISNUMBER(MATCH(INDEX(합계표[사번키],$W200)&amp;"|"&amp;대상월키,월별근무지표[키],0)),"직접 입력",IF($K200="—","—","기관명단")))</f>
        <v/>
      </c>
      <c r="W200">
        <f>IFERROR(MATCH(195,합계표[판정순번],0),"")</f>
        <v/>
      </c>
      <c r="Y200">
        <f>IF($AB200="","",INDEX(상세표[사번],$AB200)&amp;"")</f>
        <v/>
      </c>
      <c r="Z200">
        <f>IF($AB200="","",INDEX(상세표[성명],$AB200)&amp;"")</f>
        <v/>
      </c>
      <c r="AA200">
        <f>IF($AB200="","",SUMIFS(상세표[기록 시간외],상세표[사번키],INDEX(상세표[사번키],$AB200),상세표[반영월],대상월키))</f>
        <v/>
      </c>
      <c r="AB200" s="4">
        <f>IFERROR(MATCH(195,상세표[합계없음순번],0),"")</f>
        <v/>
      </c>
    </row>
    <row r="201">
      <c r="A201">
        <f>IF($W201="","",INDEX(합계표[사번],$W201)&amp;"")</f>
        <v/>
      </c>
      <c r="B201">
        <f>IF($W201="","",INDEX(합계표[성명],$W201)&amp;"")</f>
        <v/>
      </c>
      <c r="C201">
        <f>IF($W201="","",INDEX(합계표[부서],$W201)&amp;"")</f>
        <v/>
      </c>
      <c r="D201">
        <f>IF($W201="","",INDEX(합계표[직위(통합)],$W201)&amp;"")</f>
        <v/>
      </c>
      <c r="E201">
        <f>IF($W201="","",SUMIFS(합계표[시스템 합계],합계표[사번키],INDEX(합계표[사번키],$W201)))</f>
        <v/>
      </c>
      <c r="F201">
        <f>IF($W201="","",SUMIFS(상세표[기록 시간외],상세표[사번키],INDEX(합계표[사번키],$W201),상세표[기록월],대상월키))</f>
        <v/>
      </c>
      <c r="G201">
        <f>IF($W201="","",IF(ABS($E201-$F201)&lt;0.01,"일치","불일치(차이 "&amp;TEXT($F201-$E201,"0.00")&amp;")"))</f>
        <v/>
      </c>
      <c r="H201">
        <f>IF($W201="","",SUMIFS(상세표[기록 시간외],상세표[사번키],INDEX(합계표[사번키],$W201),상세표[기록월],대상월키,상세표[반영월],"&lt;&gt;"&amp;대상월키))</f>
        <v/>
      </c>
      <c r="I201">
        <f>IF($W201="","",SUMIFS(상세표[기록 시간외],상세표[사번키],INDEX(합계표[사번키],$W201),상세표[기록월],"&lt;&gt;"&amp;대상월키,상세표[반영월],대상월키))</f>
        <v/>
      </c>
      <c r="J201">
        <f>IF($W201="","",SUMIFS(상세표[기록 시간외],상세표[사번키],INDEX(합계표[사번키],$W201),상세표[반영월],대상월키))</f>
        <v/>
      </c>
      <c r="K201">
        <f>IF($W201="","",IFERROR(INDEX(월별근무지표[적용 급여병원],MATCH(INDEX(합계표[사번키],$W201)&amp;"|"&amp;대상월키,월별근무지표[키],0))&amp;"",IF(COUNTIF(기관표[사번키],INDEX(합계표[사번키],$W201))+COUNTIF(월별근무지표[사번키],INDEX(합계표[사번키],$W201))&gt;0,IFERROR(INDEX(기관표[급여지급병원(기준월)],MATCH(INDEX(합계표[사번키],$W201)&amp;"|"&amp;대상월키,기관표[키],0))&amp;"","—"),"—")))</f>
        <v/>
      </c>
      <c r="L201">
        <f>IF($W201="","",IF(NOT(COUNTIF(기관표[사번키],INDEX(합계표[사번키],$W201))+COUNTIF(월별근무지표[사번키],INDEX(합계표[사번키],$W201))&gt;0),"기관명단에 없음(다른 병원으로 발송)",IF($K201="—","대상월 기관명단 없음(추가 필요)",IF($K201="서울병원","해당","비해당"))))</f>
        <v/>
      </c>
      <c r="M201">
        <f>IF($W201="","",SUMIFS(상세표[06~07시],상세표[사번키],INDEX(합계표[사번키],$W201),상세표[반영월],대상월키,상세표[반영 기관],"서울병원"))</f>
        <v/>
      </c>
      <c r="N201">
        <f>IF($W201="","",SUMIFS(상세표[07~18시],상세표[사번키],INDEX(합계표[사번키],$W201),상세표[반영월],대상월키,상세표[반영 기관],"서울병원"))</f>
        <v/>
      </c>
      <c r="O201">
        <f>IF($W201="","",SUMIFS(상세표[18~22시],상세표[사번키],INDEX(합계표[사번키],$W201),상세표[반영월],대상월키,상세표[반영 기관],"서울병원"))</f>
        <v/>
      </c>
      <c r="P201">
        <f>IF($W201="","",SUMIFS(상세표[22~06시],상세표[사번키],INDEX(합계표[사번키],$W201),상세표[반영월],대상월키,상세표[반영 기관],"서울병원"))</f>
        <v/>
      </c>
      <c r="Q201">
        <f>IF($W201="","",SUM($M201:$P201))</f>
        <v/>
      </c>
      <c r="R201">
        <f>IF($W201="","",COUNTIFS(상세표[사번키],INDEX(합계표[사번키],$W201),상세표[반영월],대상월키,상세표[야간당직],1,상세표[야간 구분],"평일"))</f>
        <v/>
      </c>
      <c r="S201" s="4">
        <f>IF($W201="","",COUNTIFS(상세표[사번키],INDEX(합계표[사번키],$W201),상세표[반영월],대상월키,상세표[야간당직],1,상세표[야간 구분],"휴일"))</f>
        <v/>
      </c>
      <c r="T201">
        <f>IF($W201="","",COUNTIFS(상세표[사번키],INDEX(합계표[사번키],$W201),상세표[반영월],대상월키,상세표[야간당직],1,상세표[야간 구분],"평일",상세표[반영 기관],"서울병원"))</f>
        <v/>
      </c>
      <c r="U201">
        <f>IF($W201="","",COUNTIFS(상세표[사번키],INDEX(합계표[사번키],$W201),상세표[반영월],대상월키,상세표[야간당직],1,상세표[야간 구분],"휴일",상세표[반영 기관],"서울병원"))</f>
        <v/>
      </c>
      <c r="V201">
        <f>IF($W201="","",IF(ISNUMBER(MATCH(INDEX(합계표[사번키],$W201)&amp;"|"&amp;대상월키,월별근무지표[키],0)),"직접 입력",IF($K201="—","—","기관명단")))</f>
        <v/>
      </c>
      <c r="W201">
        <f>IFERROR(MATCH(196,합계표[판정순번],0),"")</f>
        <v/>
      </c>
      <c r="Y201">
        <f>IF($AB201="","",INDEX(상세표[사번],$AB201)&amp;"")</f>
        <v/>
      </c>
      <c r="Z201">
        <f>IF($AB201="","",INDEX(상세표[성명],$AB201)&amp;"")</f>
        <v/>
      </c>
      <c r="AA201">
        <f>IF($AB201="","",SUMIFS(상세표[기록 시간외],상세표[사번키],INDEX(상세표[사번키],$AB201),상세표[반영월],대상월키))</f>
        <v/>
      </c>
      <c r="AB201" s="4">
        <f>IFERROR(MATCH(196,상세표[합계없음순번],0),"")</f>
        <v/>
      </c>
    </row>
    <row r="202">
      <c r="A202">
        <f>IF($W202="","",INDEX(합계표[사번],$W202)&amp;"")</f>
        <v/>
      </c>
      <c r="B202">
        <f>IF($W202="","",INDEX(합계표[성명],$W202)&amp;"")</f>
        <v/>
      </c>
      <c r="C202">
        <f>IF($W202="","",INDEX(합계표[부서],$W202)&amp;"")</f>
        <v/>
      </c>
      <c r="D202">
        <f>IF($W202="","",INDEX(합계표[직위(통합)],$W202)&amp;"")</f>
        <v/>
      </c>
      <c r="E202">
        <f>IF($W202="","",SUMIFS(합계표[시스템 합계],합계표[사번키],INDEX(합계표[사번키],$W202)))</f>
        <v/>
      </c>
      <c r="F202">
        <f>IF($W202="","",SUMIFS(상세표[기록 시간외],상세표[사번키],INDEX(합계표[사번키],$W202),상세표[기록월],대상월키))</f>
        <v/>
      </c>
      <c r="G202">
        <f>IF($W202="","",IF(ABS($E202-$F202)&lt;0.01,"일치","불일치(차이 "&amp;TEXT($F202-$E202,"0.00")&amp;")"))</f>
        <v/>
      </c>
      <c r="H202">
        <f>IF($W202="","",SUMIFS(상세표[기록 시간외],상세표[사번키],INDEX(합계표[사번키],$W202),상세표[기록월],대상월키,상세표[반영월],"&lt;&gt;"&amp;대상월키))</f>
        <v/>
      </c>
      <c r="I202">
        <f>IF($W202="","",SUMIFS(상세표[기록 시간외],상세표[사번키],INDEX(합계표[사번키],$W202),상세표[기록월],"&lt;&gt;"&amp;대상월키,상세표[반영월],대상월키))</f>
        <v/>
      </c>
      <c r="J202">
        <f>IF($W202="","",SUMIFS(상세표[기록 시간외],상세표[사번키],INDEX(합계표[사번키],$W202),상세표[반영월],대상월키))</f>
        <v/>
      </c>
      <c r="K202">
        <f>IF($W202="","",IFERROR(INDEX(월별근무지표[적용 급여병원],MATCH(INDEX(합계표[사번키],$W202)&amp;"|"&amp;대상월키,월별근무지표[키],0))&amp;"",IF(COUNTIF(기관표[사번키],INDEX(합계표[사번키],$W202))+COUNTIF(월별근무지표[사번키],INDEX(합계표[사번키],$W202))&gt;0,IFERROR(INDEX(기관표[급여지급병원(기준월)],MATCH(INDEX(합계표[사번키],$W202)&amp;"|"&amp;대상월키,기관표[키],0))&amp;"","—"),"—")))</f>
        <v/>
      </c>
      <c r="L202">
        <f>IF($W202="","",IF(NOT(COUNTIF(기관표[사번키],INDEX(합계표[사번키],$W202))+COUNTIF(월별근무지표[사번키],INDEX(합계표[사번키],$W202))&gt;0),"기관명단에 없음(다른 병원으로 발송)",IF($K202="—","대상월 기관명단 없음(추가 필요)",IF($K202="서울병원","해당","비해당"))))</f>
        <v/>
      </c>
      <c r="M202">
        <f>IF($W202="","",SUMIFS(상세표[06~07시],상세표[사번키],INDEX(합계표[사번키],$W202),상세표[반영월],대상월키,상세표[반영 기관],"서울병원"))</f>
        <v/>
      </c>
      <c r="N202">
        <f>IF($W202="","",SUMIFS(상세표[07~18시],상세표[사번키],INDEX(합계표[사번키],$W202),상세표[반영월],대상월키,상세표[반영 기관],"서울병원"))</f>
        <v/>
      </c>
      <c r="O202">
        <f>IF($W202="","",SUMIFS(상세표[18~22시],상세표[사번키],INDEX(합계표[사번키],$W202),상세표[반영월],대상월키,상세표[반영 기관],"서울병원"))</f>
        <v/>
      </c>
      <c r="P202">
        <f>IF($W202="","",SUMIFS(상세표[22~06시],상세표[사번키],INDEX(합계표[사번키],$W202),상세표[반영월],대상월키,상세표[반영 기관],"서울병원"))</f>
        <v/>
      </c>
      <c r="Q202">
        <f>IF($W202="","",SUM($M202:$P202))</f>
        <v/>
      </c>
      <c r="R202">
        <f>IF($W202="","",COUNTIFS(상세표[사번키],INDEX(합계표[사번키],$W202),상세표[반영월],대상월키,상세표[야간당직],1,상세표[야간 구분],"평일"))</f>
        <v/>
      </c>
      <c r="S202" s="4">
        <f>IF($W202="","",COUNTIFS(상세표[사번키],INDEX(합계표[사번키],$W202),상세표[반영월],대상월키,상세표[야간당직],1,상세표[야간 구분],"휴일"))</f>
        <v/>
      </c>
      <c r="T202">
        <f>IF($W202="","",COUNTIFS(상세표[사번키],INDEX(합계표[사번키],$W202),상세표[반영월],대상월키,상세표[야간당직],1,상세표[야간 구분],"평일",상세표[반영 기관],"서울병원"))</f>
        <v/>
      </c>
      <c r="U202">
        <f>IF($W202="","",COUNTIFS(상세표[사번키],INDEX(합계표[사번키],$W202),상세표[반영월],대상월키,상세표[야간당직],1,상세표[야간 구분],"휴일",상세표[반영 기관],"서울병원"))</f>
        <v/>
      </c>
      <c r="V202">
        <f>IF($W202="","",IF(ISNUMBER(MATCH(INDEX(합계표[사번키],$W202)&amp;"|"&amp;대상월키,월별근무지표[키],0)),"직접 입력",IF($K202="—","—","기관명단")))</f>
        <v/>
      </c>
      <c r="W202">
        <f>IFERROR(MATCH(197,합계표[판정순번],0),"")</f>
        <v/>
      </c>
      <c r="Y202">
        <f>IF($AB202="","",INDEX(상세표[사번],$AB202)&amp;"")</f>
        <v/>
      </c>
      <c r="Z202">
        <f>IF($AB202="","",INDEX(상세표[성명],$AB202)&amp;"")</f>
        <v/>
      </c>
      <c r="AA202">
        <f>IF($AB202="","",SUMIFS(상세표[기록 시간외],상세표[사번키],INDEX(상세표[사번키],$AB202),상세표[반영월],대상월키))</f>
        <v/>
      </c>
      <c r="AB202" s="4">
        <f>IFERROR(MATCH(197,상세표[합계없음순번],0),"")</f>
        <v/>
      </c>
    </row>
    <row r="203">
      <c r="A203">
        <f>IF($W203="","",INDEX(합계표[사번],$W203)&amp;"")</f>
        <v/>
      </c>
      <c r="B203">
        <f>IF($W203="","",INDEX(합계표[성명],$W203)&amp;"")</f>
        <v/>
      </c>
      <c r="C203">
        <f>IF($W203="","",INDEX(합계표[부서],$W203)&amp;"")</f>
        <v/>
      </c>
      <c r="D203">
        <f>IF($W203="","",INDEX(합계표[직위(통합)],$W203)&amp;"")</f>
        <v/>
      </c>
      <c r="E203">
        <f>IF($W203="","",SUMIFS(합계표[시스템 합계],합계표[사번키],INDEX(합계표[사번키],$W203)))</f>
        <v/>
      </c>
      <c r="F203">
        <f>IF($W203="","",SUMIFS(상세표[기록 시간외],상세표[사번키],INDEX(합계표[사번키],$W203),상세표[기록월],대상월키))</f>
        <v/>
      </c>
      <c r="G203">
        <f>IF($W203="","",IF(ABS($E203-$F203)&lt;0.01,"일치","불일치(차이 "&amp;TEXT($F203-$E203,"0.00")&amp;")"))</f>
        <v/>
      </c>
      <c r="H203">
        <f>IF($W203="","",SUMIFS(상세표[기록 시간외],상세표[사번키],INDEX(합계표[사번키],$W203),상세표[기록월],대상월키,상세표[반영월],"&lt;&gt;"&amp;대상월키))</f>
        <v/>
      </c>
      <c r="I203">
        <f>IF($W203="","",SUMIFS(상세표[기록 시간외],상세표[사번키],INDEX(합계표[사번키],$W203),상세표[기록월],"&lt;&gt;"&amp;대상월키,상세표[반영월],대상월키))</f>
        <v/>
      </c>
      <c r="J203">
        <f>IF($W203="","",SUMIFS(상세표[기록 시간외],상세표[사번키],INDEX(합계표[사번키],$W203),상세표[반영월],대상월키))</f>
        <v/>
      </c>
      <c r="K203">
        <f>IF($W203="","",IFERROR(INDEX(월별근무지표[적용 급여병원],MATCH(INDEX(합계표[사번키],$W203)&amp;"|"&amp;대상월키,월별근무지표[키],0))&amp;"",IF(COUNTIF(기관표[사번키],INDEX(합계표[사번키],$W203))+COUNTIF(월별근무지표[사번키],INDEX(합계표[사번키],$W203))&gt;0,IFERROR(INDEX(기관표[급여지급병원(기준월)],MATCH(INDEX(합계표[사번키],$W203)&amp;"|"&amp;대상월키,기관표[키],0))&amp;"","—"),"—")))</f>
        <v/>
      </c>
      <c r="L203">
        <f>IF($W203="","",IF(NOT(COUNTIF(기관표[사번키],INDEX(합계표[사번키],$W203))+COUNTIF(월별근무지표[사번키],INDEX(합계표[사번키],$W203))&gt;0),"기관명단에 없음(다른 병원으로 발송)",IF($K203="—","대상월 기관명단 없음(추가 필요)",IF($K203="서울병원","해당","비해당"))))</f>
        <v/>
      </c>
      <c r="M203">
        <f>IF($W203="","",SUMIFS(상세표[06~07시],상세표[사번키],INDEX(합계표[사번키],$W203),상세표[반영월],대상월키,상세표[반영 기관],"서울병원"))</f>
        <v/>
      </c>
      <c r="N203">
        <f>IF($W203="","",SUMIFS(상세표[07~18시],상세표[사번키],INDEX(합계표[사번키],$W203),상세표[반영월],대상월키,상세표[반영 기관],"서울병원"))</f>
        <v/>
      </c>
      <c r="O203">
        <f>IF($W203="","",SUMIFS(상세표[18~22시],상세표[사번키],INDEX(합계표[사번키],$W203),상세표[반영월],대상월키,상세표[반영 기관],"서울병원"))</f>
        <v/>
      </c>
      <c r="P203">
        <f>IF($W203="","",SUMIFS(상세표[22~06시],상세표[사번키],INDEX(합계표[사번키],$W203),상세표[반영월],대상월키,상세표[반영 기관],"서울병원"))</f>
        <v/>
      </c>
      <c r="Q203">
        <f>IF($W203="","",SUM($M203:$P203))</f>
        <v/>
      </c>
      <c r="R203">
        <f>IF($W203="","",COUNTIFS(상세표[사번키],INDEX(합계표[사번키],$W203),상세표[반영월],대상월키,상세표[야간당직],1,상세표[야간 구분],"평일"))</f>
        <v/>
      </c>
      <c r="S203" s="4">
        <f>IF($W203="","",COUNTIFS(상세표[사번키],INDEX(합계표[사번키],$W203),상세표[반영월],대상월키,상세표[야간당직],1,상세표[야간 구분],"휴일"))</f>
        <v/>
      </c>
      <c r="T203">
        <f>IF($W203="","",COUNTIFS(상세표[사번키],INDEX(합계표[사번키],$W203),상세표[반영월],대상월키,상세표[야간당직],1,상세표[야간 구분],"평일",상세표[반영 기관],"서울병원"))</f>
        <v/>
      </c>
      <c r="U203">
        <f>IF($W203="","",COUNTIFS(상세표[사번키],INDEX(합계표[사번키],$W203),상세표[반영월],대상월키,상세표[야간당직],1,상세표[야간 구분],"휴일",상세표[반영 기관],"서울병원"))</f>
        <v/>
      </c>
      <c r="V203">
        <f>IF($W203="","",IF(ISNUMBER(MATCH(INDEX(합계표[사번키],$W203)&amp;"|"&amp;대상월키,월별근무지표[키],0)),"직접 입력",IF($K203="—","—","기관명단")))</f>
        <v/>
      </c>
      <c r="W203">
        <f>IFERROR(MATCH(198,합계표[판정순번],0),"")</f>
        <v/>
      </c>
      <c r="Y203">
        <f>IF($AB203="","",INDEX(상세표[사번],$AB203)&amp;"")</f>
        <v/>
      </c>
      <c r="Z203">
        <f>IF($AB203="","",INDEX(상세표[성명],$AB203)&amp;"")</f>
        <v/>
      </c>
      <c r="AA203">
        <f>IF($AB203="","",SUMIFS(상세표[기록 시간외],상세표[사번키],INDEX(상세표[사번키],$AB203),상세표[반영월],대상월키))</f>
        <v/>
      </c>
      <c r="AB203" s="4">
        <f>IFERROR(MATCH(198,상세표[합계없음순번],0),"")</f>
        <v/>
      </c>
    </row>
    <row r="204">
      <c r="A204">
        <f>IF($W204="","",INDEX(합계표[사번],$W204)&amp;"")</f>
        <v/>
      </c>
      <c r="B204">
        <f>IF($W204="","",INDEX(합계표[성명],$W204)&amp;"")</f>
        <v/>
      </c>
      <c r="C204">
        <f>IF($W204="","",INDEX(합계표[부서],$W204)&amp;"")</f>
        <v/>
      </c>
      <c r="D204">
        <f>IF($W204="","",INDEX(합계표[직위(통합)],$W204)&amp;"")</f>
        <v/>
      </c>
      <c r="E204">
        <f>IF($W204="","",SUMIFS(합계표[시스템 합계],합계표[사번키],INDEX(합계표[사번키],$W204)))</f>
        <v/>
      </c>
      <c r="F204">
        <f>IF($W204="","",SUMIFS(상세표[기록 시간외],상세표[사번키],INDEX(합계표[사번키],$W204),상세표[기록월],대상월키))</f>
        <v/>
      </c>
      <c r="G204">
        <f>IF($W204="","",IF(ABS($E204-$F204)&lt;0.01,"일치","불일치(차이 "&amp;TEXT($F204-$E204,"0.00")&amp;")"))</f>
        <v/>
      </c>
      <c r="H204">
        <f>IF($W204="","",SUMIFS(상세표[기록 시간외],상세표[사번키],INDEX(합계표[사번키],$W204),상세표[기록월],대상월키,상세표[반영월],"&lt;&gt;"&amp;대상월키))</f>
        <v/>
      </c>
      <c r="I204">
        <f>IF($W204="","",SUMIFS(상세표[기록 시간외],상세표[사번키],INDEX(합계표[사번키],$W204),상세표[기록월],"&lt;&gt;"&amp;대상월키,상세표[반영월],대상월키))</f>
        <v/>
      </c>
      <c r="J204">
        <f>IF($W204="","",SUMIFS(상세표[기록 시간외],상세표[사번키],INDEX(합계표[사번키],$W204),상세표[반영월],대상월키))</f>
        <v/>
      </c>
      <c r="K204">
        <f>IF($W204="","",IFERROR(INDEX(월별근무지표[적용 급여병원],MATCH(INDEX(합계표[사번키],$W204)&amp;"|"&amp;대상월키,월별근무지표[키],0))&amp;"",IF(COUNTIF(기관표[사번키],INDEX(합계표[사번키],$W204))+COUNTIF(월별근무지표[사번키],INDEX(합계표[사번키],$W204))&gt;0,IFERROR(INDEX(기관표[급여지급병원(기준월)],MATCH(INDEX(합계표[사번키],$W204)&amp;"|"&amp;대상월키,기관표[키],0))&amp;"","—"),"—")))</f>
        <v/>
      </c>
      <c r="L204">
        <f>IF($W204="","",IF(NOT(COUNTIF(기관표[사번키],INDEX(합계표[사번키],$W204))+COUNTIF(월별근무지표[사번키],INDEX(합계표[사번키],$W204))&gt;0),"기관명단에 없음(다른 병원으로 발송)",IF($K204="—","대상월 기관명단 없음(추가 필요)",IF($K204="서울병원","해당","비해당"))))</f>
        <v/>
      </c>
      <c r="M204">
        <f>IF($W204="","",SUMIFS(상세표[06~07시],상세표[사번키],INDEX(합계표[사번키],$W204),상세표[반영월],대상월키,상세표[반영 기관],"서울병원"))</f>
        <v/>
      </c>
      <c r="N204">
        <f>IF($W204="","",SUMIFS(상세표[07~18시],상세표[사번키],INDEX(합계표[사번키],$W204),상세표[반영월],대상월키,상세표[반영 기관],"서울병원"))</f>
        <v/>
      </c>
      <c r="O204">
        <f>IF($W204="","",SUMIFS(상세표[18~22시],상세표[사번키],INDEX(합계표[사번키],$W204),상세표[반영월],대상월키,상세표[반영 기관],"서울병원"))</f>
        <v/>
      </c>
      <c r="P204">
        <f>IF($W204="","",SUMIFS(상세표[22~06시],상세표[사번키],INDEX(합계표[사번키],$W204),상세표[반영월],대상월키,상세표[반영 기관],"서울병원"))</f>
        <v/>
      </c>
      <c r="Q204">
        <f>IF($W204="","",SUM($M204:$P204))</f>
        <v/>
      </c>
      <c r="R204">
        <f>IF($W204="","",COUNTIFS(상세표[사번키],INDEX(합계표[사번키],$W204),상세표[반영월],대상월키,상세표[야간당직],1,상세표[야간 구분],"평일"))</f>
        <v/>
      </c>
      <c r="S204" s="4">
        <f>IF($W204="","",COUNTIFS(상세표[사번키],INDEX(합계표[사번키],$W204),상세표[반영월],대상월키,상세표[야간당직],1,상세표[야간 구분],"휴일"))</f>
        <v/>
      </c>
      <c r="T204">
        <f>IF($W204="","",COUNTIFS(상세표[사번키],INDEX(합계표[사번키],$W204),상세표[반영월],대상월키,상세표[야간당직],1,상세표[야간 구분],"평일",상세표[반영 기관],"서울병원"))</f>
        <v/>
      </c>
      <c r="U204">
        <f>IF($W204="","",COUNTIFS(상세표[사번키],INDEX(합계표[사번키],$W204),상세표[반영월],대상월키,상세표[야간당직],1,상세표[야간 구분],"휴일",상세표[반영 기관],"서울병원"))</f>
        <v/>
      </c>
      <c r="V204">
        <f>IF($W204="","",IF(ISNUMBER(MATCH(INDEX(합계표[사번키],$W204)&amp;"|"&amp;대상월키,월별근무지표[키],0)),"직접 입력",IF($K204="—","—","기관명단")))</f>
        <v/>
      </c>
      <c r="W204">
        <f>IFERROR(MATCH(199,합계표[판정순번],0),"")</f>
        <v/>
      </c>
      <c r="Y204">
        <f>IF($AB204="","",INDEX(상세표[사번],$AB204)&amp;"")</f>
        <v/>
      </c>
      <c r="Z204">
        <f>IF($AB204="","",INDEX(상세표[성명],$AB204)&amp;"")</f>
        <v/>
      </c>
      <c r="AA204">
        <f>IF($AB204="","",SUMIFS(상세표[기록 시간외],상세표[사번키],INDEX(상세표[사번키],$AB204),상세표[반영월],대상월키))</f>
        <v/>
      </c>
      <c r="AB204" s="4">
        <f>IFERROR(MATCH(199,상세표[합계없음순번],0),"")</f>
        <v/>
      </c>
    </row>
    <row r="205">
      <c r="A205">
        <f>IF($W205="","",INDEX(합계표[사번],$W205)&amp;"")</f>
        <v/>
      </c>
      <c r="B205">
        <f>IF($W205="","",INDEX(합계표[성명],$W205)&amp;"")</f>
        <v/>
      </c>
      <c r="C205">
        <f>IF($W205="","",INDEX(합계표[부서],$W205)&amp;"")</f>
        <v/>
      </c>
      <c r="D205">
        <f>IF($W205="","",INDEX(합계표[직위(통합)],$W205)&amp;"")</f>
        <v/>
      </c>
      <c r="E205">
        <f>IF($W205="","",SUMIFS(합계표[시스템 합계],합계표[사번키],INDEX(합계표[사번키],$W205)))</f>
        <v/>
      </c>
      <c r="F205">
        <f>IF($W205="","",SUMIFS(상세표[기록 시간외],상세표[사번키],INDEX(합계표[사번키],$W205),상세표[기록월],대상월키))</f>
        <v/>
      </c>
      <c r="G205">
        <f>IF($W205="","",IF(ABS($E205-$F205)&lt;0.01,"일치","불일치(차이 "&amp;TEXT($F205-$E205,"0.00")&amp;")"))</f>
        <v/>
      </c>
      <c r="H205">
        <f>IF($W205="","",SUMIFS(상세표[기록 시간외],상세표[사번키],INDEX(합계표[사번키],$W205),상세표[기록월],대상월키,상세표[반영월],"&lt;&gt;"&amp;대상월키))</f>
        <v/>
      </c>
      <c r="I205">
        <f>IF($W205="","",SUMIFS(상세표[기록 시간외],상세표[사번키],INDEX(합계표[사번키],$W205),상세표[기록월],"&lt;&gt;"&amp;대상월키,상세표[반영월],대상월키))</f>
        <v/>
      </c>
      <c r="J205">
        <f>IF($W205="","",SUMIFS(상세표[기록 시간외],상세표[사번키],INDEX(합계표[사번키],$W205),상세표[반영월],대상월키))</f>
        <v/>
      </c>
      <c r="K205">
        <f>IF($W205="","",IFERROR(INDEX(월별근무지표[적용 급여병원],MATCH(INDEX(합계표[사번키],$W205)&amp;"|"&amp;대상월키,월별근무지표[키],0))&amp;"",IF(COUNTIF(기관표[사번키],INDEX(합계표[사번키],$W205))+COUNTIF(월별근무지표[사번키],INDEX(합계표[사번키],$W205))&gt;0,IFERROR(INDEX(기관표[급여지급병원(기준월)],MATCH(INDEX(합계표[사번키],$W205)&amp;"|"&amp;대상월키,기관표[키],0))&amp;"","—"),"—")))</f>
        <v/>
      </c>
      <c r="L205">
        <f>IF($W205="","",IF(NOT(COUNTIF(기관표[사번키],INDEX(합계표[사번키],$W205))+COUNTIF(월별근무지표[사번키],INDEX(합계표[사번키],$W205))&gt;0),"기관명단에 없음(다른 병원으로 발송)",IF($K205="—","대상월 기관명단 없음(추가 필요)",IF($K205="서울병원","해당","비해당"))))</f>
        <v/>
      </c>
      <c r="M205">
        <f>IF($W205="","",SUMIFS(상세표[06~07시],상세표[사번키],INDEX(합계표[사번키],$W205),상세표[반영월],대상월키,상세표[반영 기관],"서울병원"))</f>
        <v/>
      </c>
      <c r="N205">
        <f>IF($W205="","",SUMIFS(상세표[07~18시],상세표[사번키],INDEX(합계표[사번키],$W205),상세표[반영월],대상월키,상세표[반영 기관],"서울병원"))</f>
        <v/>
      </c>
      <c r="O205">
        <f>IF($W205="","",SUMIFS(상세표[18~22시],상세표[사번키],INDEX(합계표[사번키],$W205),상세표[반영월],대상월키,상세표[반영 기관],"서울병원"))</f>
        <v/>
      </c>
      <c r="P205">
        <f>IF($W205="","",SUMIFS(상세표[22~06시],상세표[사번키],INDEX(합계표[사번키],$W205),상세표[반영월],대상월키,상세표[반영 기관],"서울병원"))</f>
        <v/>
      </c>
      <c r="Q205">
        <f>IF($W205="","",SUM($M205:$P205))</f>
        <v/>
      </c>
      <c r="R205">
        <f>IF($W205="","",COUNTIFS(상세표[사번키],INDEX(합계표[사번키],$W205),상세표[반영월],대상월키,상세표[야간당직],1,상세표[야간 구분],"평일"))</f>
        <v/>
      </c>
      <c r="S205" s="4">
        <f>IF($W205="","",COUNTIFS(상세표[사번키],INDEX(합계표[사번키],$W205),상세표[반영월],대상월키,상세표[야간당직],1,상세표[야간 구분],"휴일"))</f>
        <v/>
      </c>
      <c r="T205">
        <f>IF($W205="","",COUNTIFS(상세표[사번키],INDEX(합계표[사번키],$W205),상세표[반영월],대상월키,상세표[야간당직],1,상세표[야간 구분],"평일",상세표[반영 기관],"서울병원"))</f>
        <v/>
      </c>
      <c r="U205">
        <f>IF($W205="","",COUNTIFS(상세표[사번키],INDEX(합계표[사번키],$W205),상세표[반영월],대상월키,상세표[야간당직],1,상세표[야간 구분],"휴일",상세표[반영 기관],"서울병원"))</f>
        <v/>
      </c>
      <c r="V205">
        <f>IF($W205="","",IF(ISNUMBER(MATCH(INDEX(합계표[사번키],$W205)&amp;"|"&amp;대상월키,월별근무지표[키],0)),"직접 입력",IF($K205="—","—","기관명단")))</f>
        <v/>
      </c>
      <c r="W205">
        <f>IFERROR(MATCH(200,합계표[판정순번],0),"")</f>
        <v/>
      </c>
      <c r="Y205">
        <f>IF($AB205="","",INDEX(상세표[사번],$AB205)&amp;"")</f>
        <v/>
      </c>
      <c r="Z205">
        <f>IF($AB205="","",INDEX(상세표[성명],$AB205)&amp;"")</f>
        <v/>
      </c>
      <c r="AA205">
        <f>IF($AB205="","",SUMIFS(상세표[기록 시간외],상세표[사번키],INDEX(상세표[사번키],$AB205),상세표[반영월],대상월키))</f>
        <v/>
      </c>
      <c r="AB205" s="4">
        <f>IFERROR(MATCH(200,상세표[합계없음순번],0),"")</f>
        <v/>
      </c>
    </row>
    <row r="206">
      <c r="A206">
        <f>IF($W206="","",INDEX(합계표[사번],$W206)&amp;"")</f>
        <v/>
      </c>
      <c r="B206">
        <f>IF($W206="","",INDEX(합계표[성명],$W206)&amp;"")</f>
        <v/>
      </c>
      <c r="C206">
        <f>IF($W206="","",INDEX(합계표[부서],$W206)&amp;"")</f>
        <v/>
      </c>
      <c r="D206">
        <f>IF($W206="","",INDEX(합계표[직위(통합)],$W206)&amp;"")</f>
        <v/>
      </c>
      <c r="E206">
        <f>IF($W206="","",SUMIFS(합계표[시스템 합계],합계표[사번키],INDEX(합계표[사번키],$W206)))</f>
        <v/>
      </c>
      <c r="F206">
        <f>IF($W206="","",SUMIFS(상세표[기록 시간외],상세표[사번키],INDEX(합계표[사번키],$W206),상세표[기록월],대상월키))</f>
        <v/>
      </c>
      <c r="G206">
        <f>IF($W206="","",IF(ABS($E206-$F206)&lt;0.01,"일치","불일치(차이 "&amp;TEXT($F206-$E206,"0.00")&amp;")"))</f>
        <v/>
      </c>
      <c r="H206">
        <f>IF($W206="","",SUMIFS(상세표[기록 시간외],상세표[사번키],INDEX(합계표[사번키],$W206),상세표[기록월],대상월키,상세표[반영월],"&lt;&gt;"&amp;대상월키))</f>
        <v/>
      </c>
      <c r="I206">
        <f>IF($W206="","",SUMIFS(상세표[기록 시간외],상세표[사번키],INDEX(합계표[사번키],$W206),상세표[기록월],"&lt;&gt;"&amp;대상월키,상세표[반영월],대상월키))</f>
        <v/>
      </c>
      <c r="J206">
        <f>IF($W206="","",SUMIFS(상세표[기록 시간외],상세표[사번키],INDEX(합계표[사번키],$W206),상세표[반영월],대상월키))</f>
        <v/>
      </c>
      <c r="K206">
        <f>IF($W206="","",IFERROR(INDEX(월별근무지표[적용 급여병원],MATCH(INDEX(합계표[사번키],$W206)&amp;"|"&amp;대상월키,월별근무지표[키],0))&amp;"",IF(COUNTIF(기관표[사번키],INDEX(합계표[사번키],$W206))+COUNTIF(월별근무지표[사번키],INDEX(합계표[사번키],$W206))&gt;0,IFERROR(INDEX(기관표[급여지급병원(기준월)],MATCH(INDEX(합계표[사번키],$W206)&amp;"|"&amp;대상월키,기관표[키],0))&amp;"","—"),"—")))</f>
        <v/>
      </c>
      <c r="L206">
        <f>IF($W206="","",IF(NOT(COUNTIF(기관표[사번키],INDEX(합계표[사번키],$W206))+COUNTIF(월별근무지표[사번키],INDEX(합계표[사번키],$W206))&gt;0),"기관명단에 없음(다른 병원으로 발송)",IF($K206="—","대상월 기관명단 없음(추가 필요)",IF($K206="서울병원","해당","비해당"))))</f>
        <v/>
      </c>
      <c r="M206">
        <f>IF($W206="","",SUMIFS(상세표[06~07시],상세표[사번키],INDEX(합계표[사번키],$W206),상세표[반영월],대상월키,상세표[반영 기관],"서울병원"))</f>
        <v/>
      </c>
      <c r="N206">
        <f>IF($W206="","",SUMIFS(상세표[07~18시],상세표[사번키],INDEX(합계표[사번키],$W206),상세표[반영월],대상월키,상세표[반영 기관],"서울병원"))</f>
        <v/>
      </c>
      <c r="O206">
        <f>IF($W206="","",SUMIFS(상세표[18~22시],상세표[사번키],INDEX(합계표[사번키],$W206),상세표[반영월],대상월키,상세표[반영 기관],"서울병원"))</f>
        <v/>
      </c>
      <c r="P206">
        <f>IF($W206="","",SUMIFS(상세표[22~06시],상세표[사번키],INDEX(합계표[사번키],$W206),상세표[반영월],대상월키,상세표[반영 기관],"서울병원"))</f>
        <v/>
      </c>
      <c r="Q206">
        <f>IF($W206="","",SUM($M206:$P206))</f>
        <v/>
      </c>
      <c r="R206">
        <f>IF($W206="","",COUNTIFS(상세표[사번키],INDEX(합계표[사번키],$W206),상세표[반영월],대상월키,상세표[야간당직],1,상세표[야간 구분],"평일"))</f>
        <v/>
      </c>
      <c r="S206" s="4">
        <f>IF($W206="","",COUNTIFS(상세표[사번키],INDEX(합계표[사번키],$W206),상세표[반영월],대상월키,상세표[야간당직],1,상세표[야간 구분],"휴일"))</f>
        <v/>
      </c>
      <c r="T206">
        <f>IF($W206="","",COUNTIFS(상세표[사번키],INDEX(합계표[사번키],$W206),상세표[반영월],대상월키,상세표[야간당직],1,상세표[야간 구분],"평일",상세표[반영 기관],"서울병원"))</f>
        <v/>
      </c>
      <c r="U206">
        <f>IF($W206="","",COUNTIFS(상세표[사번키],INDEX(합계표[사번키],$W206),상세표[반영월],대상월키,상세표[야간당직],1,상세표[야간 구분],"휴일",상세표[반영 기관],"서울병원"))</f>
        <v/>
      </c>
      <c r="V206">
        <f>IF($W206="","",IF(ISNUMBER(MATCH(INDEX(합계표[사번키],$W206)&amp;"|"&amp;대상월키,월별근무지표[키],0)),"직접 입력",IF($K206="—","—","기관명단")))</f>
        <v/>
      </c>
      <c r="W206">
        <f>IFERROR(MATCH(201,합계표[판정순번],0),"")</f>
        <v/>
      </c>
      <c r="Y206">
        <f>IF($AB206="","",INDEX(상세표[사번],$AB206)&amp;"")</f>
        <v/>
      </c>
      <c r="Z206">
        <f>IF($AB206="","",INDEX(상세표[성명],$AB206)&amp;"")</f>
        <v/>
      </c>
      <c r="AA206">
        <f>IF($AB206="","",SUMIFS(상세표[기록 시간외],상세표[사번키],INDEX(상세표[사번키],$AB206),상세표[반영월],대상월키))</f>
        <v/>
      </c>
      <c r="AB206" s="4">
        <f>IFERROR(MATCH(201,상세표[합계없음순번],0),"")</f>
        <v/>
      </c>
    </row>
    <row r="207">
      <c r="A207">
        <f>IF($W207="","",INDEX(합계표[사번],$W207)&amp;"")</f>
        <v/>
      </c>
      <c r="B207">
        <f>IF($W207="","",INDEX(합계표[성명],$W207)&amp;"")</f>
        <v/>
      </c>
      <c r="C207">
        <f>IF($W207="","",INDEX(합계표[부서],$W207)&amp;"")</f>
        <v/>
      </c>
      <c r="D207">
        <f>IF($W207="","",INDEX(합계표[직위(통합)],$W207)&amp;"")</f>
        <v/>
      </c>
      <c r="E207">
        <f>IF($W207="","",SUMIFS(합계표[시스템 합계],합계표[사번키],INDEX(합계표[사번키],$W207)))</f>
        <v/>
      </c>
      <c r="F207">
        <f>IF($W207="","",SUMIFS(상세표[기록 시간외],상세표[사번키],INDEX(합계표[사번키],$W207),상세표[기록월],대상월키))</f>
        <v/>
      </c>
      <c r="G207">
        <f>IF($W207="","",IF(ABS($E207-$F207)&lt;0.01,"일치","불일치(차이 "&amp;TEXT($F207-$E207,"0.00")&amp;")"))</f>
        <v/>
      </c>
      <c r="H207">
        <f>IF($W207="","",SUMIFS(상세표[기록 시간외],상세표[사번키],INDEX(합계표[사번키],$W207),상세표[기록월],대상월키,상세표[반영월],"&lt;&gt;"&amp;대상월키))</f>
        <v/>
      </c>
      <c r="I207">
        <f>IF($W207="","",SUMIFS(상세표[기록 시간외],상세표[사번키],INDEX(합계표[사번키],$W207),상세표[기록월],"&lt;&gt;"&amp;대상월키,상세표[반영월],대상월키))</f>
        <v/>
      </c>
      <c r="J207">
        <f>IF($W207="","",SUMIFS(상세표[기록 시간외],상세표[사번키],INDEX(합계표[사번키],$W207),상세표[반영월],대상월키))</f>
        <v/>
      </c>
      <c r="K207">
        <f>IF($W207="","",IFERROR(INDEX(월별근무지표[적용 급여병원],MATCH(INDEX(합계표[사번키],$W207)&amp;"|"&amp;대상월키,월별근무지표[키],0))&amp;"",IF(COUNTIF(기관표[사번키],INDEX(합계표[사번키],$W207))+COUNTIF(월별근무지표[사번키],INDEX(합계표[사번키],$W207))&gt;0,IFERROR(INDEX(기관표[급여지급병원(기준월)],MATCH(INDEX(합계표[사번키],$W207)&amp;"|"&amp;대상월키,기관표[키],0))&amp;"","—"),"—")))</f>
        <v/>
      </c>
      <c r="L207">
        <f>IF($W207="","",IF(NOT(COUNTIF(기관표[사번키],INDEX(합계표[사번키],$W207))+COUNTIF(월별근무지표[사번키],INDEX(합계표[사번키],$W207))&gt;0),"기관명단에 없음(다른 병원으로 발송)",IF($K207="—","대상월 기관명단 없음(추가 필요)",IF($K207="서울병원","해당","비해당"))))</f>
        <v/>
      </c>
      <c r="M207">
        <f>IF($W207="","",SUMIFS(상세표[06~07시],상세표[사번키],INDEX(합계표[사번키],$W207),상세표[반영월],대상월키,상세표[반영 기관],"서울병원"))</f>
        <v/>
      </c>
      <c r="N207">
        <f>IF($W207="","",SUMIFS(상세표[07~18시],상세표[사번키],INDEX(합계표[사번키],$W207),상세표[반영월],대상월키,상세표[반영 기관],"서울병원"))</f>
        <v/>
      </c>
      <c r="O207">
        <f>IF($W207="","",SUMIFS(상세표[18~22시],상세표[사번키],INDEX(합계표[사번키],$W207),상세표[반영월],대상월키,상세표[반영 기관],"서울병원"))</f>
        <v/>
      </c>
      <c r="P207">
        <f>IF($W207="","",SUMIFS(상세표[22~06시],상세표[사번키],INDEX(합계표[사번키],$W207),상세표[반영월],대상월키,상세표[반영 기관],"서울병원"))</f>
        <v/>
      </c>
      <c r="Q207">
        <f>IF($W207="","",SUM($M207:$P207))</f>
        <v/>
      </c>
      <c r="R207">
        <f>IF($W207="","",COUNTIFS(상세표[사번키],INDEX(합계표[사번키],$W207),상세표[반영월],대상월키,상세표[야간당직],1,상세표[야간 구분],"평일"))</f>
        <v/>
      </c>
      <c r="S207" s="4">
        <f>IF($W207="","",COUNTIFS(상세표[사번키],INDEX(합계표[사번키],$W207),상세표[반영월],대상월키,상세표[야간당직],1,상세표[야간 구분],"휴일"))</f>
        <v/>
      </c>
      <c r="T207">
        <f>IF($W207="","",COUNTIFS(상세표[사번키],INDEX(합계표[사번키],$W207),상세표[반영월],대상월키,상세표[야간당직],1,상세표[야간 구분],"평일",상세표[반영 기관],"서울병원"))</f>
        <v/>
      </c>
      <c r="U207">
        <f>IF($W207="","",COUNTIFS(상세표[사번키],INDEX(합계표[사번키],$W207),상세표[반영월],대상월키,상세표[야간당직],1,상세표[야간 구분],"휴일",상세표[반영 기관],"서울병원"))</f>
        <v/>
      </c>
      <c r="V207">
        <f>IF($W207="","",IF(ISNUMBER(MATCH(INDEX(합계표[사번키],$W207)&amp;"|"&amp;대상월키,월별근무지표[키],0)),"직접 입력",IF($K207="—","—","기관명단")))</f>
        <v/>
      </c>
      <c r="W207">
        <f>IFERROR(MATCH(202,합계표[판정순번],0),"")</f>
        <v/>
      </c>
      <c r="Y207">
        <f>IF($AB207="","",INDEX(상세표[사번],$AB207)&amp;"")</f>
        <v/>
      </c>
      <c r="Z207">
        <f>IF($AB207="","",INDEX(상세표[성명],$AB207)&amp;"")</f>
        <v/>
      </c>
      <c r="AA207">
        <f>IF($AB207="","",SUMIFS(상세표[기록 시간외],상세표[사번키],INDEX(상세표[사번키],$AB207),상세표[반영월],대상월키))</f>
        <v/>
      </c>
      <c r="AB207" s="4">
        <f>IFERROR(MATCH(202,상세표[합계없음순번],0),"")</f>
        <v/>
      </c>
    </row>
    <row r="208">
      <c r="A208">
        <f>IF($W208="","",INDEX(합계표[사번],$W208)&amp;"")</f>
        <v/>
      </c>
      <c r="B208">
        <f>IF($W208="","",INDEX(합계표[성명],$W208)&amp;"")</f>
        <v/>
      </c>
      <c r="C208">
        <f>IF($W208="","",INDEX(합계표[부서],$W208)&amp;"")</f>
        <v/>
      </c>
      <c r="D208">
        <f>IF($W208="","",INDEX(합계표[직위(통합)],$W208)&amp;"")</f>
        <v/>
      </c>
      <c r="E208">
        <f>IF($W208="","",SUMIFS(합계표[시스템 합계],합계표[사번키],INDEX(합계표[사번키],$W208)))</f>
        <v/>
      </c>
      <c r="F208">
        <f>IF($W208="","",SUMIFS(상세표[기록 시간외],상세표[사번키],INDEX(합계표[사번키],$W208),상세표[기록월],대상월키))</f>
        <v/>
      </c>
      <c r="G208">
        <f>IF($W208="","",IF(ABS($E208-$F208)&lt;0.01,"일치","불일치(차이 "&amp;TEXT($F208-$E208,"0.00")&amp;")"))</f>
        <v/>
      </c>
      <c r="H208">
        <f>IF($W208="","",SUMIFS(상세표[기록 시간외],상세표[사번키],INDEX(합계표[사번키],$W208),상세표[기록월],대상월키,상세표[반영월],"&lt;&gt;"&amp;대상월키))</f>
        <v/>
      </c>
      <c r="I208">
        <f>IF($W208="","",SUMIFS(상세표[기록 시간외],상세표[사번키],INDEX(합계표[사번키],$W208),상세표[기록월],"&lt;&gt;"&amp;대상월키,상세표[반영월],대상월키))</f>
        <v/>
      </c>
      <c r="J208">
        <f>IF($W208="","",SUMIFS(상세표[기록 시간외],상세표[사번키],INDEX(합계표[사번키],$W208),상세표[반영월],대상월키))</f>
        <v/>
      </c>
      <c r="K208">
        <f>IF($W208="","",IFERROR(INDEX(월별근무지표[적용 급여병원],MATCH(INDEX(합계표[사번키],$W208)&amp;"|"&amp;대상월키,월별근무지표[키],0))&amp;"",IF(COUNTIF(기관표[사번키],INDEX(합계표[사번키],$W208))+COUNTIF(월별근무지표[사번키],INDEX(합계표[사번키],$W208))&gt;0,IFERROR(INDEX(기관표[급여지급병원(기준월)],MATCH(INDEX(합계표[사번키],$W208)&amp;"|"&amp;대상월키,기관표[키],0))&amp;"","—"),"—")))</f>
        <v/>
      </c>
      <c r="L208">
        <f>IF($W208="","",IF(NOT(COUNTIF(기관표[사번키],INDEX(합계표[사번키],$W208))+COUNTIF(월별근무지표[사번키],INDEX(합계표[사번키],$W208))&gt;0),"기관명단에 없음(다른 병원으로 발송)",IF($K208="—","대상월 기관명단 없음(추가 필요)",IF($K208="서울병원","해당","비해당"))))</f>
        <v/>
      </c>
      <c r="M208">
        <f>IF($W208="","",SUMIFS(상세표[06~07시],상세표[사번키],INDEX(합계표[사번키],$W208),상세표[반영월],대상월키,상세표[반영 기관],"서울병원"))</f>
        <v/>
      </c>
      <c r="N208">
        <f>IF($W208="","",SUMIFS(상세표[07~18시],상세표[사번키],INDEX(합계표[사번키],$W208),상세표[반영월],대상월키,상세표[반영 기관],"서울병원"))</f>
        <v/>
      </c>
      <c r="O208">
        <f>IF($W208="","",SUMIFS(상세표[18~22시],상세표[사번키],INDEX(합계표[사번키],$W208),상세표[반영월],대상월키,상세표[반영 기관],"서울병원"))</f>
        <v/>
      </c>
      <c r="P208">
        <f>IF($W208="","",SUMIFS(상세표[22~06시],상세표[사번키],INDEX(합계표[사번키],$W208),상세표[반영월],대상월키,상세표[반영 기관],"서울병원"))</f>
        <v/>
      </c>
      <c r="Q208">
        <f>IF($W208="","",SUM($M208:$P208))</f>
        <v/>
      </c>
      <c r="R208">
        <f>IF($W208="","",COUNTIFS(상세표[사번키],INDEX(합계표[사번키],$W208),상세표[반영월],대상월키,상세표[야간당직],1,상세표[야간 구분],"평일"))</f>
        <v/>
      </c>
      <c r="S208" s="4">
        <f>IF($W208="","",COUNTIFS(상세표[사번키],INDEX(합계표[사번키],$W208),상세표[반영월],대상월키,상세표[야간당직],1,상세표[야간 구분],"휴일"))</f>
        <v/>
      </c>
      <c r="T208">
        <f>IF($W208="","",COUNTIFS(상세표[사번키],INDEX(합계표[사번키],$W208),상세표[반영월],대상월키,상세표[야간당직],1,상세표[야간 구분],"평일",상세표[반영 기관],"서울병원"))</f>
        <v/>
      </c>
      <c r="U208">
        <f>IF($W208="","",COUNTIFS(상세표[사번키],INDEX(합계표[사번키],$W208),상세표[반영월],대상월키,상세표[야간당직],1,상세표[야간 구분],"휴일",상세표[반영 기관],"서울병원"))</f>
        <v/>
      </c>
      <c r="V208">
        <f>IF($W208="","",IF(ISNUMBER(MATCH(INDEX(합계표[사번키],$W208)&amp;"|"&amp;대상월키,월별근무지표[키],0)),"직접 입력",IF($K208="—","—","기관명단")))</f>
        <v/>
      </c>
      <c r="W208">
        <f>IFERROR(MATCH(203,합계표[판정순번],0),"")</f>
        <v/>
      </c>
      <c r="Y208">
        <f>IF($AB208="","",INDEX(상세표[사번],$AB208)&amp;"")</f>
        <v/>
      </c>
      <c r="Z208">
        <f>IF($AB208="","",INDEX(상세표[성명],$AB208)&amp;"")</f>
        <v/>
      </c>
      <c r="AA208">
        <f>IF($AB208="","",SUMIFS(상세표[기록 시간외],상세표[사번키],INDEX(상세표[사번키],$AB208),상세표[반영월],대상월키))</f>
        <v/>
      </c>
      <c r="AB208" s="4">
        <f>IFERROR(MATCH(203,상세표[합계없음순번],0),"")</f>
        <v/>
      </c>
    </row>
    <row r="209">
      <c r="A209">
        <f>IF($W209="","",INDEX(합계표[사번],$W209)&amp;"")</f>
        <v/>
      </c>
      <c r="B209">
        <f>IF($W209="","",INDEX(합계표[성명],$W209)&amp;"")</f>
        <v/>
      </c>
      <c r="C209">
        <f>IF($W209="","",INDEX(합계표[부서],$W209)&amp;"")</f>
        <v/>
      </c>
      <c r="D209">
        <f>IF($W209="","",INDEX(합계표[직위(통합)],$W209)&amp;"")</f>
        <v/>
      </c>
      <c r="E209">
        <f>IF($W209="","",SUMIFS(합계표[시스템 합계],합계표[사번키],INDEX(합계표[사번키],$W209)))</f>
        <v/>
      </c>
      <c r="F209">
        <f>IF($W209="","",SUMIFS(상세표[기록 시간외],상세표[사번키],INDEX(합계표[사번키],$W209),상세표[기록월],대상월키))</f>
        <v/>
      </c>
      <c r="G209">
        <f>IF($W209="","",IF(ABS($E209-$F209)&lt;0.01,"일치","불일치(차이 "&amp;TEXT($F209-$E209,"0.00")&amp;")"))</f>
        <v/>
      </c>
      <c r="H209">
        <f>IF($W209="","",SUMIFS(상세표[기록 시간외],상세표[사번키],INDEX(합계표[사번키],$W209),상세표[기록월],대상월키,상세표[반영월],"&lt;&gt;"&amp;대상월키))</f>
        <v/>
      </c>
      <c r="I209">
        <f>IF($W209="","",SUMIFS(상세표[기록 시간외],상세표[사번키],INDEX(합계표[사번키],$W209),상세표[기록월],"&lt;&gt;"&amp;대상월키,상세표[반영월],대상월키))</f>
        <v/>
      </c>
      <c r="J209">
        <f>IF($W209="","",SUMIFS(상세표[기록 시간외],상세표[사번키],INDEX(합계표[사번키],$W209),상세표[반영월],대상월키))</f>
        <v/>
      </c>
      <c r="K209">
        <f>IF($W209="","",IFERROR(INDEX(월별근무지표[적용 급여병원],MATCH(INDEX(합계표[사번키],$W209)&amp;"|"&amp;대상월키,월별근무지표[키],0))&amp;"",IF(COUNTIF(기관표[사번키],INDEX(합계표[사번키],$W209))+COUNTIF(월별근무지표[사번키],INDEX(합계표[사번키],$W209))&gt;0,IFERROR(INDEX(기관표[급여지급병원(기준월)],MATCH(INDEX(합계표[사번키],$W209)&amp;"|"&amp;대상월키,기관표[키],0))&amp;"","—"),"—")))</f>
        <v/>
      </c>
      <c r="L209">
        <f>IF($W209="","",IF(NOT(COUNTIF(기관표[사번키],INDEX(합계표[사번키],$W209))+COUNTIF(월별근무지표[사번키],INDEX(합계표[사번키],$W209))&gt;0),"기관명단에 없음(다른 병원으로 발송)",IF($K209="—","대상월 기관명단 없음(추가 필요)",IF($K209="서울병원","해당","비해당"))))</f>
        <v/>
      </c>
      <c r="M209">
        <f>IF($W209="","",SUMIFS(상세표[06~07시],상세표[사번키],INDEX(합계표[사번키],$W209),상세표[반영월],대상월키,상세표[반영 기관],"서울병원"))</f>
        <v/>
      </c>
      <c r="N209">
        <f>IF($W209="","",SUMIFS(상세표[07~18시],상세표[사번키],INDEX(합계표[사번키],$W209),상세표[반영월],대상월키,상세표[반영 기관],"서울병원"))</f>
        <v/>
      </c>
      <c r="O209">
        <f>IF($W209="","",SUMIFS(상세표[18~22시],상세표[사번키],INDEX(합계표[사번키],$W209),상세표[반영월],대상월키,상세표[반영 기관],"서울병원"))</f>
        <v/>
      </c>
      <c r="P209">
        <f>IF($W209="","",SUMIFS(상세표[22~06시],상세표[사번키],INDEX(합계표[사번키],$W209),상세표[반영월],대상월키,상세표[반영 기관],"서울병원"))</f>
        <v/>
      </c>
      <c r="Q209">
        <f>IF($W209="","",SUM($M209:$P209))</f>
        <v/>
      </c>
      <c r="R209">
        <f>IF($W209="","",COUNTIFS(상세표[사번키],INDEX(합계표[사번키],$W209),상세표[반영월],대상월키,상세표[야간당직],1,상세표[야간 구분],"평일"))</f>
        <v/>
      </c>
      <c r="S209" s="4">
        <f>IF($W209="","",COUNTIFS(상세표[사번키],INDEX(합계표[사번키],$W209),상세표[반영월],대상월키,상세표[야간당직],1,상세표[야간 구분],"휴일"))</f>
        <v/>
      </c>
      <c r="T209">
        <f>IF($W209="","",COUNTIFS(상세표[사번키],INDEX(합계표[사번키],$W209),상세표[반영월],대상월키,상세표[야간당직],1,상세표[야간 구분],"평일",상세표[반영 기관],"서울병원"))</f>
        <v/>
      </c>
      <c r="U209">
        <f>IF($W209="","",COUNTIFS(상세표[사번키],INDEX(합계표[사번키],$W209),상세표[반영월],대상월키,상세표[야간당직],1,상세표[야간 구분],"휴일",상세표[반영 기관],"서울병원"))</f>
        <v/>
      </c>
      <c r="V209">
        <f>IF($W209="","",IF(ISNUMBER(MATCH(INDEX(합계표[사번키],$W209)&amp;"|"&amp;대상월키,월별근무지표[키],0)),"직접 입력",IF($K209="—","—","기관명단")))</f>
        <v/>
      </c>
      <c r="W209">
        <f>IFERROR(MATCH(204,합계표[판정순번],0),"")</f>
        <v/>
      </c>
      <c r="Y209">
        <f>IF($AB209="","",INDEX(상세표[사번],$AB209)&amp;"")</f>
        <v/>
      </c>
      <c r="Z209">
        <f>IF($AB209="","",INDEX(상세표[성명],$AB209)&amp;"")</f>
        <v/>
      </c>
      <c r="AA209">
        <f>IF($AB209="","",SUMIFS(상세표[기록 시간외],상세표[사번키],INDEX(상세표[사번키],$AB209),상세표[반영월],대상월키))</f>
        <v/>
      </c>
      <c r="AB209" s="4">
        <f>IFERROR(MATCH(204,상세표[합계없음순번],0),"")</f>
        <v/>
      </c>
    </row>
    <row r="210">
      <c r="A210">
        <f>IF($W210="","",INDEX(합계표[사번],$W210)&amp;"")</f>
        <v/>
      </c>
      <c r="B210">
        <f>IF($W210="","",INDEX(합계표[성명],$W210)&amp;"")</f>
        <v/>
      </c>
      <c r="C210">
        <f>IF($W210="","",INDEX(합계표[부서],$W210)&amp;"")</f>
        <v/>
      </c>
      <c r="D210">
        <f>IF($W210="","",INDEX(합계표[직위(통합)],$W210)&amp;"")</f>
        <v/>
      </c>
      <c r="E210">
        <f>IF($W210="","",SUMIFS(합계표[시스템 합계],합계표[사번키],INDEX(합계표[사번키],$W210)))</f>
        <v/>
      </c>
      <c r="F210">
        <f>IF($W210="","",SUMIFS(상세표[기록 시간외],상세표[사번키],INDEX(합계표[사번키],$W210),상세표[기록월],대상월키))</f>
        <v/>
      </c>
      <c r="G210">
        <f>IF($W210="","",IF(ABS($E210-$F210)&lt;0.01,"일치","불일치(차이 "&amp;TEXT($F210-$E210,"0.00")&amp;")"))</f>
        <v/>
      </c>
      <c r="H210">
        <f>IF($W210="","",SUMIFS(상세표[기록 시간외],상세표[사번키],INDEX(합계표[사번키],$W210),상세표[기록월],대상월키,상세표[반영월],"&lt;&gt;"&amp;대상월키))</f>
        <v/>
      </c>
      <c r="I210">
        <f>IF($W210="","",SUMIFS(상세표[기록 시간외],상세표[사번키],INDEX(합계표[사번키],$W210),상세표[기록월],"&lt;&gt;"&amp;대상월키,상세표[반영월],대상월키))</f>
        <v/>
      </c>
      <c r="J210">
        <f>IF($W210="","",SUMIFS(상세표[기록 시간외],상세표[사번키],INDEX(합계표[사번키],$W210),상세표[반영월],대상월키))</f>
        <v/>
      </c>
      <c r="K210">
        <f>IF($W210="","",IFERROR(INDEX(월별근무지표[적용 급여병원],MATCH(INDEX(합계표[사번키],$W210)&amp;"|"&amp;대상월키,월별근무지표[키],0))&amp;"",IF(COUNTIF(기관표[사번키],INDEX(합계표[사번키],$W210))+COUNTIF(월별근무지표[사번키],INDEX(합계표[사번키],$W210))&gt;0,IFERROR(INDEX(기관표[급여지급병원(기준월)],MATCH(INDEX(합계표[사번키],$W210)&amp;"|"&amp;대상월키,기관표[키],0))&amp;"","—"),"—")))</f>
        <v/>
      </c>
      <c r="L210">
        <f>IF($W210="","",IF(NOT(COUNTIF(기관표[사번키],INDEX(합계표[사번키],$W210))+COUNTIF(월별근무지표[사번키],INDEX(합계표[사번키],$W210))&gt;0),"기관명단에 없음(다른 병원으로 발송)",IF($K210="—","대상월 기관명단 없음(추가 필요)",IF($K210="서울병원","해당","비해당"))))</f>
        <v/>
      </c>
      <c r="M210">
        <f>IF($W210="","",SUMIFS(상세표[06~07시],상세표[사번키],INDEX(합계표[사번키],$W210),상세표[반영월],대상월키,상세표[반영 기관],"서울병원"))</f>
        <v/>
      </c>
      <c r="N210">
        <f>IF($W210="","",SUMIFS(상세표[07~18시],상세표[사번키],INDEX(합계표[사번키],$W210),상세표[반영월],대상월키,상세표[반영 기관],"서울병원"))</f>
        <v/>
      </c>
      <c r="O210">
        <f>IF($W210="","",SUMIFS(상세표[18~22시],상세표[사번키],INDEX(합계표[사번키],$W210),상세표[반영월],대상월키,상세표[반영 기관],"서울병원"))</f>
        <v/>
      </c>
      <c r="P210">
        <f>IF($W210="","",SUMIFS(상세표[22~06시],상세표[사번키],INDEX(합계표[사번키],$W210),상세표[반영월],대상월키,상세표[반영 기관],"서울병원"))</f>
        <v/>
      </c>
      <c r="Q210">
        <f>IF($W210="","",SUM($M210:$P210))</f>
        <v/>
      </c>
      <c r="R210">
        <f>IF($W210="","",COUNTIFS(상세표[사번키],INDEX(합계표[사번키],$W210),상세표[반영월],대상월키,상세표[야간당직],1,상세표[야간 구분],"평일"))</f>
        <v/>
      </c>
      <c r="S210" s="4">
        <f>IF($W210="","",COUNTIFS(상세표[사번키],INDEX(합계표[사번키],$W210),상세표[반영월],대상월키,상세표[야간당직],1,상세표[야간 구분],"휴일"))</f>
        <v/>
      </c>
      <c r="T210">
        <f>IF($W210="","",COUNTIFS(상세표[사번키],INDEX(합계표[사번키],$W210),상세표[반영월],대상월키,상세표[야간당직],1,상세표[야간 구분],"평일",상세표[반영 기관],"서울병원"))</f>
        <v/>
      </c>
      <c r="U210">
        <f>IF($W210="","",COUNTIFS(상세표[사번키],INDEX(합계표[사번키],$W210),상세표[반영월],대상월키,상세표[야간당직],1,상세표[야간 구분],"휴일",상세표[반영 기관],"서울병원"))</f>
        <v/>
      </c>
      <c r="V210">
        <f>IF($W210="","",IF(ISNUMBER(MATCH(INDEX(합계표[사번키],$W210)&amp;"|"&amp;대상월키,월별근무지표[키],0)),"직접 입력",IF($K210="—","—","기관명단")))</f>
        <v/>
      </c>
      <c r="W210">
        <f>IFERROR(MATCH(205,합계표[판정순번],0),"")</f>
        <v/>
      </c>
      <c r="Y210">
        <f>IF($AB210="","",INDEX(상세표[사번],$AB210)&amp;"")</f>
        <v/>
      </c>
      <c r="Z210">
        <f>IF($AB210="","",INDEX(상세표[성명],$AB210)&amp;"")</f>
        <v/>
      </c>
      <c r="AA210">
        <f>IF($AB210="","",SUMIFS(상세표[기록 시간외],상세표[사번키],INDEX(상세표[사번키],$AB210),상세표[반영월],대상월키))</f>
        <v/>
      </c>
      <c r="AB210" s="4">
        <f>IFERROR(MATCH(205,상세표[합계없음순번],0),"")</f>
        <v/>
      </c>
    </row>
    <row r="211">
      <c r="A211">
        <f>IF($W211="","",INDEX(합계표[사번],$W211)&amp;"")</f>
        <v/>
      </c>
      <c r="B211">
        <f>IF($W211="","",INDEX(합계표[성명],$W211)&amp;"")</f>
        <v/>
      </c>
      <c r="C211">
        <f>IF($W211="","",INDEX(합계표[부서],$W211)&amp;"")</f>
        <v/>
      </c>
      <c r="D211">
        <f>IF($W211="","",INDEX(합계표[직위(통합)],$W211)&amp;"")</f>
        <v/>
      </c>
      <c r="E211">
        <f>IF($W211="","",SUMIFS(합계표[시스템 합계],합계표[사번키],INDEX(합계표[사번키],$W211)))</f>
        <v/>
      </c>
      <c r="F211">
        <f>IF($W211="","",SUMIFS(상세표[기록 시간외],상세표[사번키],INDEX(합계표[사번키],$W211),상세표[기록월],대상월키))</f>
        <v/>
      </c>
      <c r="G211">
        <f>IF($W211="","",IF(ABS($E211-$F211)&lt;0.01,"일치","불일치(차이 "&amp;TEXT($F211-$E211,"0.00")&amp;")"))</f>
        <v/>
      </c>
      <c r="H211">
        <f>IF($W211="","",SUMIFS(상세표[기록 시간외],상세표[사번키],INDEX(합계표[사번키],$W211),상세표[기록월],대상월키,상세표[반영월],"&lt;&gt;"&amp;대상월키))</f>
        <v/>
      </c>
      <c r="I211">
        <f>IF($W211="","",SUMIFS(상세표[기록 시간외],상세표[사번키],INDEX(합계표[사번키],$W211),상세표[기록월],"&lt;&gt;"&amp;대상월키,상세표[반영월],대상월키))</f>
        <v/>
      </c>
      <c r="J211">
        <f>IF($W211="","",SUMIFS(상세표[기록 시간외],상세표[사번키],INDEX(합계표[사번키],$W211),상세표[반영월],대상월키))</f>
        <v/>
      </c>
      <c r="K211">
        <f>IF($W211="","",IFERROR(INDEX(월별근무지표[적용 급여병원],MATCH(INDEX(합계표[사번키],$W211)&amp;"|"&amp;대상월키,월별근무지표[키],0))&amp;"",IF(COUNTIF(기관표[사번키],INDEX(합계표[사번키],$W211))+COUNTIF(월별근무지표[사번키],INDEX(합계표[사번키],$W211))&gt;0,IFERROR(INDEX(기관표[급여지급병원(기준월)],MATCH(INDEX(합계표[사번키],$W211)&amp;"|"&amp;대상월키,기관표[키],0))&amp;"","—"),"—")))</f>
        <v/>
      </c>
      <c r="L211">
        <f>IF($W211="","",IF(NOT(COUNTIF(기관표[사번키],INDEX(합계표[사번키],$W211))+COUNTIF(월별근무지표[사번키],INDEX(합계표[사번키],$W211))&gt;0),"기관명단에 없음(다른 병원으로 발송)",IF($K211="—","대상월 기관명단 없음(추가 필요)",IF($K211="서울병원","해당","비해당"))))</f>
        <v/>
      </c>
      <c r="M211">
        <f>IF($W211="","",SUMIFS(상세표[06~07시],상세표[사번키],INDEX(합계표[사번키],$W211),상세표[반영월],대상월키,상세표[반영 기관],"서울병원"))</f>
        <v/>
      </c>
      <c r="N211">
        <f>IF($W211="","",SUMIFS(상세표[07~18시],상세표[사번키],INDEX(합계표[사번키],$W211),상세표[반영월],대상월키,상세표[반영 기관],"서울병원"))</f>
        <v/>
      </c>
      <c r="O211">
        <f>IF($W211="","",SUMIFS(상세표[18~22시],상세표[사번키],INDEX(합계표[사번키],$W211),상세표[반영월],대상월키,상세표[반영 기관],"서울병원"))</f>
        <v/>
      </c>
      <c r="P211">
        <f>IF($W211="","",SUMIFS(상세표[22~06시],상세표[사번키],INDEX(합계표[사번키],$W211),상세표[반영월],대상월키,상세표[반영 기관],"서울병원"))</f>
        <v/>
      </c>
      <c r="Q211">
        <f>IF($W211="","",SUM($M211:$P211))</f>
        <v/>
      </c>
      <c r="R211">
        <f>IF($W211="","",COUNTIFS(상세표[사번키],INDEX(합계표[사번키],$W211),상세표[반영월],대상월키,상세표[야간당직],1,상세표[야간 구분],"평일"))</f>
        <v/>
      </c>
      <c r="S211" s="4">
        <f>IF($W211="","",COUNTIFS(상세표[사번키],INDEX(합계표[사번키],$W211),상세표[반영월],대상월키,상세표[야간당직],1,상세표[야간 구분],"휴일"))</f>
        <v/>
      </c>
      <c r="T211">
        <f>IF($W211="","",COUNTIFS(상세표[사번키],INDEX(합계표[사번키],$W211),상세표[반영월],대상월키,상세표[야간당직],1,상세표[야간 구분],"평일",상세표[반영 기관],"서울병원"))</f>
        <v/>
      </c>
      <c r="U211">
        <f>IF($W211="","",COUNTIFS(상세표[사번키],INDEX(합계표[사번키],$W211),상세표[반영월],대상월키,상세표[야간당직],1,상세표[야간 구분],"휴일",상세표[반영 기관],"서울병원"))</f>
        <v/>
      </c>
      <c r="V211">
        <f>IF($W211="","",IF(ISNUMBER(MATCH(INDEX(합계표[사번키],$W211)&amp;"|"&amp;대상월키,월별근무지표[키],0)),"직접 입력",IF($K211="—","—","기관명단")))</f>
        <v/>
      </c>
      <c r="W211">
        <f>IFERROR(MATCH(206,합계표[판정순번],0),"")</f>
        <v/>
      </c>
      <c r="Y211">
        <f>IF($AB211="","",INDEX(상세표[사번],$AB211)&amp;"")</f>
        <v/>
      </c>
      <c r="Z211">
        <f>IF($AB211="","",INDEX(상세표[성명],$AB211)&amp;"")</f>
        <v/>
      </c>
      <c r="AA211">
        <f>IF($AB211="","",SUMIFS(상세표[기록 시간외],상세표[사번키],INDEX(상세표[사번키],$AB211),상세표[반영월],대상월키))</f>
        <v/>
      </c>
      <c r="AB211" s="4">
        <f>IFERROR(MATCH(206,상세표[합계없음순번],0),"")</f>
        <v/>
      </c>
    </row>
    <row r="212">
      <c r="A212">
        <f>IF($W212="","",INDEX(합계표[사번],$W212)&amp;"")</f>
        <v/>
      </c>
      <c r="B212">
        <f>IF($W212="","",INDEX(합계표[성명],$W212)&amp;"")</f>
        <v/>
      </c>
      <c r="C212">
        <f>IF($W212="","",INDEX(합계표[부서],$W212)&amp;"")</f>
        <v/>
      </c>
      <c r="D212">
        <f>IF($W212="","",INDEX(합계표[직위(통합)],$W212)&amp;"")</f>
        <v/>
      </c>
      <c r="E212">
        <f>IF($W212="","",SUMIFS(합계표[시스템 합계],합계표[사번키],INDEX(합계표[사번키],$W212)))</f>
        <v/>
      </c>
      <c r="F212">
        <f>IF($W212="","",SUMIFS(상세표[기록 시간외],상세표[사번키],INDEX(합계표[사번키],$W212),상세표[기록월],대상월키))</f>
        <v/>
      </c>
      <c r="G212">
        <f>IF($W212="","",IF(ABS($E212-$F212)&lt;0.01,"일치","불일치(차이 "&amp;TEXT($F212-$E212,"0.00")&amp;")"))</f>
        <v/>
      </c>
      <c r="H212">
        <f>IF($W212="","",SUMIFS(상세표[기록 시간외],상세표[사번키],INDEX(합계표[사번키],$W212),상세표[기록월],대상월키,상세표[반영월],"&lt;&gt;"&amp;대상월키))</f>
        <v/>
      </c>
      <c r="I212">
        <f>IF($W212="","",SUMIFS(상세표[기록 시간외],상세표[사번키],INDEX(합계표[사번키],$W212),상세표[기록월],"&lt;&gt;"&amp;대상월키,상세표[반영월],대상월키))</f>
        <v/>
      </c>
      <c r="J212">
        <f>IF($W212="","",SUMIFS(상세표[기록 시간외],상세표[사번키],INDEX(합계표[사번키],$W212),상세표[반영월],대상월키))</f>
        <v/>
      </c>
      <c r="K212">
        <f>IF($W212="","",IFERROR(INDEX(월별근무지표[적용 급여병원],MATCH(INDEX(합계표[사번키],$W212)&amp;"|"&amp;대상월키,월별근무지표[키],0))&amp;"",IF(COUNTIF(기관표[사번키],INDEX(합계표[사번키],$W212))+COUNTIF(월별근무지표[사번키],INDEX(합계표[사번키],$W212))&gt;0,IFERROR(INDEX(기관표[급여지급병원(기준월)],MATCH(INDEX(합계표[사번키],$W212)&amp;"|"&amp;대상월키,기관표[키],0))&amp;"","—"),"—")))</f>
        <v/>
      </c>
      <c r="L212">
        <f>IF($W212="","",IF(NOT(COUNTIF(기관표[사번키],INDEX(합계표[사번키],$W212))+COUNTIF(월별근무지표[사번키],INDEX(합계표[사번키],$W212))&gt;0),"기관명단에 없음(다른 병원으로 발송)",IF($K212="—","대상월 기관명단 없음(추가 필요)",IF($K212="서울병원","해당","비해당"))))</f>
        <v/>
      </c>
      <c r="M212">
        <f>IF($W212="","",SUMIFS(상세표[06~07시],상세표[사번키],INDEX(합계표[사번키],$W212),상세표[반영월],대상월키,상세표[반영 기관],"서울병원"))</f>
        <v/>
      </c>
      <c r="N212">
        <f>IF($W212="","",SUMIFS(상세표[07~18시],상세표[사번키],INDEX(합계표[사번키],$W212),상세표[반영월],대상월키,상세표[반영 기관],"서울병원"))</f>
        <v/>
      </c>
      <c r="O212">
        <f>IF($W212="","",SUMIFS(상세표[18~22시],상세표[사번키],INDEX(합계표[사번키],$W212),상세표[반영월],대상월키,상세표[반영 기관],"서울병원"))</f>
        <v/>
      </c>
      <c r="P212">
        <f>IF($W212="","",SUMIFS(상세표[22~06시],상세표[사번키],INDEX(합계표[사번키],$W212),상세표[반영월],대상월키,상세표[반영 기관],"서울병원"))</f>
        <v/>
      </c>
      <c r="Q212">
        <f>IF($W212="","",SUM($M212:$P212))</f>
        <v/>
      </c>
      <c r="R212">
        <f>IF($W212="","",COUNTIFS(상세표[사번키],INDEX(합계표[사번키],$W212),상세표[반영월],대상월키,상세표[야간당직],1,상세표[야간 구분],"평일"))</f>
        <v/>
      </c>
      <c r="S212" s="4">
        <f>IF($W212="","",COUNTIFS(상세표[사번키],INDEX(합계표[사번키],$W212),상세표[반영월],대상월키,상세표[야간당직],1,상세표[야간 구분],"휴일"))</f>
        <v/>
      </c>
      <c r="T212">
        <f>IF($W212="","",COUNTIFS(상세표[사번키],INDEX(합계표[사번키],$W212),상세표[반영월],대상월키,상세표[야간당직],1,상세표[야간 구분],"평일",상세표[반영 기관],"서울병원"))</f>
        <v/>
      </c>
      <c r="U212">
        <f>IF($W212="","",COUNTIFS(상세표[사번키],INDEX(합계표[사번키],$W212),상세표[반영월],대상월키,상세표[야간당직],1,상세표[야간 구분],"휴일",상세표[반영 기관],"서울병원"))</f>
        <v/>
      </c>
      <c r="V212">
        <f>IF($W212="","",IF(ISNUMBER(MATCH(INDEX(합계표[사번키],$W212)&amp;"|"&amp;대상월키,월별근무지표[키],0)),"직접 입력",IF($K212="—","—","기관명단")))</f>
        <v/>
      </c>
      <c r="W212">
        <f>IFERROR(MATCH(207,합계표[판정순번],0),"")</f>
        <v/>
      </c>
      <c r="Y212">
        <f>IF($AB212="","",INDEX(상세표[사번],$AB212)&amp;"")</f>
        <v/>
      </c>
      <c r="Z212">
        <f>IF($AB212="","",INDEX(상세표[성명],$AB212)&amp;"")</f>
        <v/>
      </c>
      <c r="AA212">
        <f>IF($AB212="","",SUMIFS(상세표[기록 시간외],상세표[사번키],INDEX(상세표[사번키],$AB212),상세표[반영월],대상월키))</f>
        <v/>
      </c>
      <c r="AB212" s="4">
        <f>IFERROR(MATCH(207,상세표[합계없음순번],0),"")</f>
        <v/>
      </c>
    </row>
    <row r="213">
      <c r="A213">
        <f>IF($W213="","",INDEX(합계표[사번],$W213)&amp;"")</f>
        <v/>
      </c>
      <c r="B213">
        <f>IF($W213="","",INDEX(합계표[성명],$W213)&amp;"")</f>
        <v/>
      </c>
      <c r="C213">
        <f>IF($W213="","",INDEX(합계표[부서],$W213)&amp;"")</f>
        <v/>
      </c>
      <c r="D213">
        <f>IF($W213="","",INDEX(합계표[직위(통합)],$W213)&amp;"")</f>
        <v/>
      </c>
      <c r="E213">
        <f>IF($W213="","",SUMIFS(합계표[시스템 합계],합계표[사번키],INDEX(합계표[사번키],$W213)))</f>
        <v/>
      </c>
      <c r="F213">
        <f>IF($W213="","",SUMIFS(상세표[기록 시간외],상세표[사번키],INDEX(합계표[사번키],$W213),상세표[기록월],대상월키))</f>
        <v/>
      </c>
      <c r="G213">
        <f>IF($W213="","",IF(ABS($E213-$F213)&lt;0.01,"일치","불일치(차이 "&amp;TEXT($F213-$E213,"0.00")&amp;")"))</f>
        <v/>
      </c>
      <c r="H213">
        <f>IF($W213="","",SUMIFS(상세표[기록 시간외],상세표[사번키],INDEX(합계표[사번키],$W213),상세표[기록월],대상월키,상세표[반영월],"&lt;&gt;"&amp;대상월키))</f>
        <v/>
      </c>
      <c r="I213">
        <f>IF($W213="","",SUMIFS(상세표[기록 시간외],상세표[사번키],INDEX(합계표[사번키],$W213),상세표[기록월],"&lt;&gt;"&amp;대상월키,상세표[반영월],대상월키))</f>
        <v/>
      </c>
      <c r="J213">
        <f>IF($W213="","",SUMIFS(상세표[기록 시간외],상세표[사번키],INDEX(합계표[사번키],$W213),상세표[반영월],대상월키))</f>
        <v/>
      </c>
      <c r="K213">
        <f>IF($W213="","",IFERROR(INDEX(월별근무지표[적용 급여병원],MATCH(INDEX(합계표[사번키],$W213)&amp;"|"&amp;대상월키,월별근무지표[키],0))&amp;"",IF(COUNTIF(기관표[사번키],INDEX(합계표[사번키],$W213))+COUNTIF(월별근무지표[사번키],INDEX(합계표[사번키],$W213))&gt;0,IFERROR(INDEX(기관표[급여지급병원(기준월)],MATCH(INDEX(합계표[사번키],$W213)&amp;"|"&amp;대상월키,기관표[키],0))&amp;"","—"),"—")))</f>
        <v/>
      </c>
      <c r="L213">
        <f>IF($W213="","",IF(NOT(COUNTIF(기관표[사번키],INDEX(합계표[사번키],$W213))+COUNTIF(월별근무지표[사번키],INDEX(합계표[사번키],$W213))&gt;0),"기관명단에 없음(다른 병원으로 발송)",IF($K213="—","대상월 기관명단 없음(추가 필요)",IF($K213="서울병원","해당","비해당"))))</f>
        <v/>
      </c>
      <c r="M213">
        <f>IF($W213="","",SUMIFS(상세표[06~07시],상세표[사번키],INDEX(합계표[사번키],$W213),상세표[반영월],대상월키,상세표[반영 기관],"서울병원"))</f>
        <v/>
      </c>
      <c r="N213">
        <f>IF($W213="","",SUMIFS(상세표[07~18시],상세표[사번키],INDEX(합계표[사번키],$W213),상세표[반영월],대상월키,상세표[반영 기관],"서울병원"))</f>
        <v/>
      </c>
      <c r="O213">
        <f>IF($W213="","",SUMIFS(상세표[18~22시],상세표[사번키],INDEX(합계표[사번키],$W213),상세표[반영월],대상월키,상세표[반영 기관],"서울병원"))</f>
        <v/>
      </c>
      <c r="P213">
        <f>IF($W213="","",SUMIFS(상세표[22~06시],상세표[사번키],INDEX(합계표[사번키],$W213),상세표[반영월],대상월키,상세표[반영 기관],"서울병원"))</f>
        <v/>
      </c>
      <c r="Q213">
        <f>IF($W213="","",SUM($M213:$P213))</f>
        <v/>
      </c>
      <c r="R213">
        <f>IF($W213="","",COUNTIFS(상세표[사번키],INDEX(합계표[사번키],$W213),상세표[반영월],대상월키,상세표[야간당직],1,상세표[야간 구분],"평일"))</f>
        <v/>
      </c>
      <c r="S213" s="4">
        <f>IF($W213="","",COUNTIFS(상세표[사번키],INDEX(합계표[사번키],$W213),상세표[반영월],대상월키,상세표[야간당직],1,상세표[야간 구분],"휴일"))</f>
        <v/>
      </c>
      <c r="T213">
        <f>IF($W213="","",COUNTIFS(상세표[사번키],INDEX(합계표[사번키],$W213),상세표[반영월],대상월키,상세표[야간당직],1,상세표[야간 구분],"평일",상세표[반영 기관],"서울병원"))</f>
        <v/>
      </c>
      <c r="U213">
        <f>IF($W213="","",COUNTIFS(상세표[사번키],INDEX(합계표[사번키],$W213),상세표[반영월],대상월키,상세표[야간당직],1,상세표[야간 구분],"휴일",상세표[반영 기관],"서울병원"))</f>
        <v/>
      </c>
      <c r="V213">
        <f>IF($W213="","",IF(ISNUMBER(MATCH(INDEX(합계표[사번키],$W213)&amp;"|"&amp;대상월키,월별근무지표[키],0)),"직접 입력",IF($K213="—","—","기관명단")))</f>
        <v/>
      </c>
      <c r="W213">
        <f>IFERROR(MATCH(208,합계표[판정순번],0),"")</f>
        <v/>
      </c>
      <c r="Y213">
        <f>IF($AB213="","",INDEX(상세표[사번],$AB213)&amp;"")</f>
        <v/>
      </c>
      <c r="Z213">
        <f>IF($AB213="","",INDEX(상세표[성명],$AB213)&amp;"")</f>
        <v/>
      </c>
      <c r="AA213">
        <f>IF($AB213="","",SUMIFS(상세표[기록 시간외],상세표[사번키],INDEX(상세표[사번키],$AB213),상세표[반영월],대상월키))</f>
        <v/>
      </c>
      <c r="AB213" s="4">
        <f>IFERROR(MATCH(208,상세표[합계없음순번],0),"")</f>
        <v/>
      </c>
    </row>
    <row r="214">
      <c r="A214">
        <f>IF($W214="","",INDEX(합계표[사번],$W214)&amp;"")</f>
        <v/>
      </c>
      <c r="B214">
        <f>IF($W214="","",INDEX(합계표[성명],$W214)&amp;"")</f>
        <v/>
      </c>
      <c r="C214">
        <f>IF($W214="","",INDEX(합계표[부서],$W214)&amp;"")</f>
        <v/>
      </c>
      <c r="D214">
        <f>IF($W214="","",INDEX(합계표[직위(통합)],$W214)&amp;"")</f>
        <v/>
      </c>
      <c r="E214">
        <f>IF($W214="","",SUMIFS(합계표[시스템 합계],합계표[사번키],INDEX(합계표[사번키],$W214)))</f>
        <v/>
      </c>
      <c r="F214">
        <f>IF($W214="","",SUMIFS(상세표[기록 시간외],상세표[사번키],INDEX(합계표[사번키],$W214),상세표[기록월],대상월키))</f>
        <v/>
      </c>
      <c r="G214">
        <f>IF($W214="","",IF(ABS($E214-$F214)&lt;0.01,"일치","불일치(차이 "&amp;TEXT($F214-$E214,"0.00")&amp;")"))</f>
        <v/>
      </c>
      <c r="H214">
        <f>IF($W214="","",SUMIFS(상세표[기록 시간외],상세표[사번키],INDEX(합계표[사번키],$W214),상세표[기록월],대상월키,상세표[반영월],"&lt;&gt;"&amp;대상월키))</f>
        <v/>
      </c>
      <c r="I214">
        <f>IF($W214="","",SUMIFS(상세표[기록 시간외],상세표[사번키],INDEX(합계표[사번키],$W214),상세표[기록월],"&lt;&gt;"&amp;대상월키,상세표[반영월],대상월키))</f>
        <v/>
      </c>
      <c r="J214">
        <f>IF($W214="","",SUMIFS(상세표[기록 시간외],상세표[사번키],INDEX(합계표[사번키],$W214),상세표[반영월],대상월키))</f>
        <v/>
      </c>
      <c r="K214">
        <f>IF($W214="","",IFERROR(INDEX(월별근무지표[적용 급여병원],MATCH(INDEX(합계표[사번키],$W214)&amp;"|"&amp;대상월키,월별근무지표[키],0))&amp;"",IF(COUNTIF(기관표[사번키],INDEX(합계표[사번키],$W214))+COUNTIF(월별근무지표[사번키],INDEX(합계표[사번키],$W214))&gt;0,IFERROR(INDEX(기관표[급여지급병원(기준월)],MATCH(INDEX(합계표[사번키],$W214)&amp;"|"&amp;대상월키,기관표[키],0))&amp;"","—"),"—")))</f>
        <v/>
      </c>
      <c r="L214">
        <f>IF($W214="","",IF(NOT(COUNTIF(기관표[사번키],INDEX(합계표[사번키],$W214))+COUNTIF(월별근무지표[사번키],INDEX(합계표[사번키],$W214))&gt;0),"기관명단에 없음(다른 병원으로 발송)",IF($K214="—","대상월 기관명단 없음(추가 필요)",IF($K214="서울병원","해당","비해당"))))</f>
        <v/>
      </c>
      <c r="M214">
        <f>IF($W214="","",SUMIFS(상세표[06~07시],상세표[사번키],INDEX(합계표[사번키],$W214),상세표[반영월],대상월키,상세표[반영 기관],"서울병원"))</f>
        <v/>
      </c>
      <c r="N214">
        <f>IF($W214="","",SUMIFS(상세표[07~18시],상세표[사번키],INDEX(합계표[사번키],$W214),상세표[반영월],대상월키,상세표[반영 기관],"서울병원"))</f>
        <v/>
      </c>
      <c r="O214">
        <f>IF($W214="","",SUMIFS(상세표[18~22시],상세표[사번키],INDEX(합계표[사번키],$W214),상세표[반영월],대상월키,상세표[반영 기관],"서울병원"))</f>
        <v/>
      </c>
      <c r="P214">
        <f>IF($W214="","",SUMIFS(상세표[22~06시],상세표[사번키],INDEX(합계표[사번키],$W214),상세표[반영월],대상월키,상세표[반영 기관],"서울병원"))</f>
        <v/>
      </c>
      <c r="Q214">
        <f>IF($W214="","",SUM($M214:$P214))</f>
        <v/>
      </c>
      <c r="R214">
        <f>IF($W214="","",COUNTIFS(상세표[사번키],INDEX(합계표[사번키],$W214),상세표[반영월],대상월키,상세표[야간당직],1,상세표[야간 구분],"평일"))</f>
        <v/>
      </c>
      <c r="S214" s="4">
        <f>IF($W214="","",COUNTIFS(상세표[사번키],INDEX(합계표[사번키],$W214),상세표[반영월],대상월키,상세표[야간당직],1,상세표[야간 구분],"휴일"))</f>
        <v/>
      </c>
      <c r="T214">
        <f>IF($W214="","",COUNTIFS(상세표[사번키],INDEX(합계표[사번키],$W214),상세표[반영월],대상월키,상세표[야간당직],1,상세표[야간 구분],"평일",상세표[반영 기관],"서울병원"))</f>
        <v/>
      </c>
      <c r="U214">
        <f>IF($W214="","",COUNTIFS(상세표[사번키],INDEX(합계표[사번키],$W214),상세표[반영월],대상월키,상세표[야간당직],1,상세표[야간 구분],"휴일",상세표[반영 기관],"서울병원"))</f>
        <v/>
      </c>
      <c r="V214">
        <f>IF($W214="","",IF(ISNUMBER(MATCH(INDEX(합계표[사번키],$W214)&amp;"|"&amp;대상월키,월별근무지표[키],0)),"직접 입력",IF($K214="—","—","기관명단")))</f>
        <v/>
      </c>
      <c r="W214">
        <f>IFERROR(MATCH(209,합계표[판정순번],0),"")</f>
        <v/>
      </c>
      <c r="Y214">
        <f>IF($AB214="","",INDEX(상세표[사번],$AB214)&amp;"")</f>
        <v/>
      </c>
      <c r="Z214">
        <f>IF($AB214="","",INDEX(상세표[성명],$AB214)&amp;"")</f>
        <v/>
      </c>
      <c r="AA214">
        <f>IF($AB214="","",SUMIFS(상세표[기록 시간외],상세표[사번키],INDEX(상세표[사번키],$AB214),상세표[반영월],대상월키))</f>
        <v/>
      </c>
      <c r="AB214" s="4">
        <f>IFERROR(MATCH(209,상세표[합계없음순번],0),"")</f>
        <v/>
      </c>
    </row>
    <row r="215">
      <c r="A215">
        <f>IF($W215="","",INDEX(합계표[사번],$W215)&amp;"")</f>
        <v/>
      </c>
      <c r="B215">
        <f>IF($W215="","",INDEX(합계표[성명],$W215)&amp;"")</f>
        <v/>
      </c>
      <c r="C215">
        <f>IF($W215="","",INDEX(합계표[부서],$W215)&amp;"")</f>
        <v/>
      </c>
      <c r="D215">
        <f>IF($W215="","",INDEX(합계표[직위(통합)],$W215)&amp;"")</f>
        <v/>
      </c>
      <c r="E215">
        <f>IF($W215="","",SUMIFS(합계표[시스템 합계],합계표[사번키],INDEX(합계표[사번키],$W215)))</f>
        <v/>
      </c>
      <c r="F215">
        <f>IF($W215="","",SUMIFS(상세표[기록 시간외],상세표[사번키],INDEX(합계표[사번키],$W215),상세표[기록월],대상월키))</f>
        <v/>
      </c>
      <c r="G215">
        <f>IF($W215="","",IF(ABS($E215-$F215)&lt;0.01,"일치","불일치(차이 "&amp;TEXT($F215-$E215,"0.00")&amp;")"))</f>
        <v/>
      </c>
      <c r="H215">
        <f>IF($W215="","",SUMIFS(상세표[기록 시간외],상세표[사번키],INDEX(합계표[사번키],$W215),상세표[기록월],대상월키,상세표[반영월],"&lt;&gt;"&amp;대상월키))</f>
        <v/>
      </c>
      <c r="I215">
        <f>IF($W215="","",SUMIFS(상세표[기록 시간외],상세표[사번키],INDEX(합계표[사번키],$W215),상세표[기록월],"&lt;&gt;"&amp;대상월키,상세표[반영월],대상월키))</f>
        <v/>
      </c>
      <c r="J215">
        <f>IF($W215="","",SUMIFS(상세표[기록 시간외],상세표[사번키],INDEX(합계표[사번키],$W215),상세표[반영월],대상월키))</f>
        <v/>
      </c>
      <c r="K215">
        <f>IF($W215="","",IFERROR(INDEX(월별근무지표[적용 급여병원],MATCH(INDEX(합계표[사번키],$W215)&amp;"|"&amp;대상월키,월별근무지표[키],0))&amp;"",IF(COUNTIF(기관표[사번키],INDEX(합계표[사번키],$W215))+COUNTIF(월별근무지표[사번키],INDEX(합계표[사번키],$W215))&gt;0,IFERROR(INDEX(기관표[급여지급병원(기준월)],MATCH(INDEX(합계표[사번키],$W215)&amp;"|"&amp;대상월키,기관표[키],0))&amp;"","—"),"—")))</f>
        <v/>
      </c>
      <c r="L215">
        <f>IF($W215="","",IF(NOT(COUNTIF(기관표[사번키],INDEX(합계표[사번키],$W215))+COUNTIF(월별근무지표[사번키],INDEX(합계표[사번키],$W215))&gt;0),"기관명단에 없음(다른 병원으로 발송)",IF($K215="—","대상월 기관명단 없음(추가 필요)",IF($K215="서울병원","해당","비해당"))))</f>
        <v/>
      </c>
      <c r="M215">
        <f>IF($W215="","",SUMIFS(상세표[06~07시],상세표[사번키],INDEX(합계표[사번키],$W215),상세표[반영월],대상월키,상세표[반영 기관],"서울병원"))</f>
        <v/>
      </c>
      <c r="N215">
        <f>IF($W215="","",SUMIFS(상세표[07~18시],상세표[사번키],INDEX(합계표[사번키],$W215),상세표[반영월],대상월키,상세표[반영 기관],"서울병원"))</f>
        <v/>
      </c>
      <c r="O215">
        <f>IF($W215="","",SUMIFS(상세표[18~22시],상세표[사번키],INDEX(합계표[사번키],$W215),상세표[반영월],대상월키,상세표[반영 기관],"서울병원"))</f>
        <v/>
      </c>
      <c r="P215">
        <f>IF($W215="","",SUMIFS(상세표[22~06시],상세표[사번키],INDEX(합계표[사번키],$W215),상세표[반영월],대상월키,상세표[반영 기관],"서울병원"))</f>
        <v/>
      </c>
      <c r="Q215">
        <f>IF($W215="","",SUM($M215:$P215))</f>
        <v/>
      </c>
      <c r="R215">
        <f>IF($W215="","",COUNTIFS(상세표[사번키],INDEX(합계표[사번키],$W215),상세표[반영월],대상월키,상세표[야간당직],1,상세표[야간 구분],"평일"))</f>
        <v/>
      </c>
      <c r="S215" s="4">
        <f>IF($W215="","",COUNTIFS(상세표[사번키],INDEX(합계표[사번키],$W215),상세표[반영월],대상월키,상세표[야간당직],1,상세표[야간 구분],"휴일"))</f>
        <v/>
      </c>
      <c r="T215">
        <f>IF($W215="","",COUNTIFS(상세표[사번키],INDEX(합계표[사번키],$W215),상세표[반영월],대상월키,상세표[야간당직],1,상세표[야간 구분],"평일",상세표[반영 기관],"서울병원"))</f>
        <v/>
      </c>
      <c r="U215">
        <f>IF($W215="","",COUNTIFS(상세표[사번키],INDEX(합계표[사번키],$W215),상세표[반영월],대상월키,상세표[야간당직],1,상세표[야간 구분],"휴일",상세표[반영 기관],"서울병원"))</f>
        <v/>
      </c>
      <c r="V215">
        <f>IF($W215="","",IF(ISNUMBER(MATCH(INDEX(합계표[사번키],$W215)&amp;"|"&amp;대상월키,월별근무지표[키],0)),"직접 입력",IF($K215="—","—","기관명단")))</f>
        <v/>
      </c>
      <c r="W215">
        <f>IFERROR(MATCH(210,합계표[판정순번],0),"")</f>
        <v/>
      </c>
      <c r="Y215">
        <f>IF($AB215="","",INDEX(상세표[사번],$AB215)&amp;"")</f>
        <v/>
      </c>
      <c r="Z215">
        <f>IF($AB215="","",INDEX(상세표[성명],$AB215)&amp;"")</f>
        <v/>
      </c>
      <c r="AA215">
        <f>IF($AB215="","",SUMIFS(상세표[기록 시간외],상세표[사번키],INDEX(상세표[사번키],$AB215),상세표[반영월],대상월키))</f>
        <v/>
      </c>
      <c r="AB215" s="4">
        <f>IFERROR(MATCH(210,상세표[합계없음순번],0),"")</f>
        <v/>
      </c>
    </row>
    <row r="216">
      <c r="A216">
        <f>IF($W216="","",INDEX(합계표[사번],$W216)&amp;"")</f>
        <v/>
      </c>
      <c r="B216">
        <f>IF($W216="","",INDEX(합계표[성명],$W216)&amp;"")</f>
        <v/>
      </c>
      <c r="C216">
        <f>IF($W216="","",INDEX(합계표[부서],$W216)&amp;"")</f>
        <v/>
      </c>
      <c r="D216">
        <f>IF($W216="","",INDEX(합계표[직위(통합)],$W216)&amp;"")</f>
        <v/>
      </c>
      <c r="E216">
        <f>IF($W216="","",SUMIFS(합계표[시스템 합계],합계표[사번키],INDEX(합계표[사번키],$W216)))</f>
        <v/>
      </c>
      <c r="F216">
        <f>IF($W216="","",SUMIFS(상세표[기록 시간외],상세표[사번키],INDEX(합계표[사번키],$W216),상세표[기록월],대상월키))</f>
        <v/>
      </c>
      <c r="G216">
        <f>IF($W216="","",IF(ABS($E216-$F216)&lt;0.01,"일치","불일치(차이 "&amp;TEXT($F216-$E216,"0.00")&amp;")"))</f>
        <v/>
      </c>
      <c r="H216">
        <f>IF($W216="","",SUMIFS(상세표[기록 시간외],상세표[사번키],INDEX(합계표[사번키],$W216),상세표[기록월],대상월키,상세표[반영월],"&lt;&gt;"&amp;대상월키))</f>
        <v/>
      </c>
      <c r="I216">
        <f>IF($W216="","",SUMIFS(상세표[기록 시간외],상세표[사번키],INDEX(합계표[사번키],$W216),상세표[기록월],"&lt;&gt;"&amp;대상월키,상세표[반영월],대상월키))</f>
        <v/>
      </c>
      <c r="J216">
        <f>IF($W216="","",SUMIFS(상세표[기록 시간외],상세표[사번키],INDEX(합계표[사번키],$W216),상세표[반영월],대상월키))</f>
        <v/>
      </c>
      <c r="K216">
        <f>IF($W216="","",IFERROR(INDEX(월별근무지표[적용 급여병원],MATCH(INDEX(합계표[사번키],$W216)&amp;"|"&amp;대상월키,월별근무지표[키],0))&amp;"",IF(COUNTIF(기관표[사번키],INDEX(합계표[사번키],$W216))+COUNTIF(월별근무지표[사번키],INDEX(합계표[사번키],$W216))&gt;0,IFERROR(INDEX(기관표[급여지급병원(기준월)],MATCH(INDEX(합계표[사번키],$W216)&amp;"|"&amp;대상월키,기관표[키],0))&amp;"","—"),"—")))</f>
        <v/>
      </c>
      <c r="L216">
        <f>IF($W216="","",IF(NOT(COUNTIF(기관표[사번키],INDEX(합계표[사번키],$W216))+COUNTIF(월별근무지표[사번키],INDEX(합계표[사번키],$W216))&gt;0),"기관명단에 없음(다른 병원으로 발송)",IF($K216="—","대상월 기관명단 없음(추가 필요)",IF($K216="서울병원","해당","비해당"))))</f>
        <v/>
      </c>
      <c r="M216">
        <f>IF($W216="","",SUMIFS(상세표[06~07시],상세표[사번키],INDEX(합계표[사번키],$W216),상세표[반영월],대상월키,상세표[반영 기관],"서울병원"))</f>
        <v/>
      </c>
      <c r="N216">
        <f>IF($W216="","",SUMIFS(상세표[07~18시],상세표[사번키],INDEX(합계표[사번키],$W216),상세표[반영월],대상월키,상세표[반영 기관],"서울병원"))</f>
        <v/>
      </c>
      <c r="O216">
        <f>IF($W216="","",SUMIFS(상세표[18~22시],상세표[사번키],INDEX(합계표[사번키],$W216),상세표[반영월],대상월키,상세표[반영 기관],"서울병원"))</f>
        <v/>
      </c>
      <c r="P216">
        <f>IF($W216="","",SUMIFS(상세표[22~06시],상세표[사번키],INDEX(합계표[사번키],$W216),상세표[반영월],대상월키,상세표[반영 기관],"서울병원"))</f>
        <v/>
      </c>
      <c r="Q216">
        <f>IF($W216="","",SUM($M216:$P216))</f>
        <v/>
      </c>
      <c r="R216">
        <f>IF($W216="","",COUNTIFS(상세표[사번키],INDEX(합계표[사번키],$W216),상세표[반영월],대상월키,상세표[야간당직],1,상세표[야간 구분],"평일"))</f>
        <v/>
      </c>
      <c r="S216" s="4">
        <f>IF($W216="","",COUNTIFS(상세표[사번키],INDEX(합계표[사번키],$W216),상세표[반영월],대상월키,상세표[야간당직],1,상세표[야간 구분],"휴일"))</f>
        <v/>
      </c>
      <c r="T216">
        <f>IF($W216="","",COUNTIFS(상세표[사번키],INDEX(합계표[사번키],$W216),상세표[반영월],대상월키,상세표[야간당직],1,상세표[야간 구분],"평일",상세표[반영 기관],"서울병원"))</f>
        <v/>
      </c>
      <c r="U216">
        <f>IF($W216="","",COUNTIFS(상세표[사번키],INDEX(합계표[사번키],$W216),상세표[반영월],대상월키,상세표[야간당직],1,상세표[야간 구분],"휴일",상세표[반영 기관],"서울병원"))</f>
        <v/>
      </c>
      <c r="V216">
        <f>IF($W216="","",IF(ISNUMBER(MATCH(INDEX(합계표[사번키],$W216)&amp;"|"&amp;대상월키,월별근무지표[키],0)),"직접 입력",IF($K216="—","—","기관명단")))</f>
        <v/>
      </c>
      <c r="W216">
        <f>IFERROR(MATCH(211,합계표[판정순번],0),"")</f>
        <v/>
      </c>
      <c r="Y216">
        <f>IF($AB216="","",INDEX(상세표[사번],$AB216)&amp;"")</f>
        <v/>
      </c>
      <c r="Z216">
        <f>IF($AB216="","",INDEX(상세표[성명],$AB216)&amp;"")</f>
        <v/>
      </c>
      <c r="AA216">
        <f>IF($AB216="","",SUMIFS(상세표[기록 시간외],상세표[사번키],INDEX(상세표[사번키],$AB216),상세표[반영월],대상월키))</f>
        <v/>
      </c>
      <c r="AB216" s="4">
        <f>IFERROR(MATCH(211,상세표[합계없음순번],0),"")</f>
        <v/>
      </c>
    </row>
    <row r="217">
      <c r="A217">
        <f>IF($W217="","",INDEX(합계표[사번],$W217)&amp;"")</f>
        <v/>
      </c>
      <c r="B217">
        <f>IF($W217="","",INDEX(합계표[성명],$W217)&amp;"")</f>
        <v/>
      </c>
      <c r="C217">
        <f>IF($W217="","",INDEX(합계표[부서],$W217)&amp;"")</f>
        <v/>
      </c>
      <c r="D217">
        <f>IF($W217="","",INDEX(합계표[직위(통합)],$W217)&amp;"")</f>
        <v/>
      </c>
      <c r="E217">
        <f>IF($W217="","",SUMIFS(합계표[시스템 합계],합계표[사번키],INDEX(합계표[사번키],$W217)))</f>
        <v/>
      </c>
      <c r="F217">
        <f>IF($W217="","",SUMIFS(상세표[기록 시간외],상세표[사번키],INDEX(합계표[사번키],$W217),상세표[기록월],대상월키))</f>
        <v/>
      </c>
      <c r="G217">
        <f>IF($W217="","",IF(ABS($E217-$F217)&lt;0.01,"일치","불일치(차이 "&amp;TEXT($F217-$E217,"0.00")&amp;")"))</f>
        <v/>
      </c>
      <c r="H217">
        <f>IF($W217="","",SUMIFS(상세표[기록 시간외],상세표[사번키],INDEX(합계표[사번키],$W217),상세표[기록월],대상월키,상세표[반영월],"&lt;&gt;"&amp;대상월키))</f>
        <v/>
      </c>
      <c r="I217">
        <f>IF($W217="","",SUMIFS(상세표[기록 시간외],상세표[사번키],INDEX(합계표[사번키],$W217),상세표[기록월],"&lt;&gt;"&amp;대상월키,상세표[반영월],대상월키))</f>
        <v/>
      </c>
      <c r="J217">
        <f>IF($W217="","",SUMIFS(상세표[기록 시간외],상세표[사번키],INDEX(합계표[사번키],$W217),상세표[반영월],대상월키))</f>
        <v/>
      </c>
      <c r="K217">
        <f>IF($W217="","",IFERROR(INDEX(월별근무지표[적용 급여병원],MATCH(INDEX(합계표[사번키],$W217)&amp;"|"&amp;대상월키,월별근무지표[키],0))&amp;"",IF(COUNTIF(기관표[사번키],INDEX(합계표[사번키],$W217))+COUNTIF(월별근무지표[사번키],INDEX(합계표[사번키],$W217))&gt;0,IFERROR(INDEX(기관표[급여지급병원(기준월)],MATCH(INDEX(합계표[사번키],$W217)&amp;"|"&amp;대상월키,기관표[키],0))&amp;"","—"),"—")))</f>
        <v/>
      </c>
      <c r="L217">
        <f>IF($W217="","",IF(NOT(COUNTIF(기관표[사번키],INDEX(합계표[사번키],$W217))+COUNTIF(월별근무지표[사번키],INDEX(합계표[사번키],$W217))&gt;0),"기관명단에 없음(다른 병원으로 발송)",IF($K217="—","대상월 기관명단 없음(추가 필요)",IF($K217="서울병원","해당","비해당"))))</f>
        <v/>
      </c>
      <c r="M217">
        <f>IF($W217="","",SUMIFS(상세표[06~07시],상세표[사번키],INDEX(합계표[사번키],$W217),상세표[반영월],대상월키,상세표[반영 기관],"서울병원"))</f>
        <v/>
      </c>
      <c r="N217">
        <f>IF($W217="","",SUMIFS(상세표[07~18시],상세표[사번키],INDEX(합계표[사번키],$W217),상세표[반영월],대상월키,상세표[반영 기관],"서울병원"))</f>
        <v/>
      </c>
      <c r="O217">
        <f>IF($W217="","",SUMIFS(상세표[18~22시],상세표[사번키],INDEX(합계표[사번키],$W217),상세표[반영월],대상월키,상세표[반영 기관],"서울병원"))</f>
        <v/>
      </c>
      <c r="P217">
        <f>IF($W217="","",SUMIFS(상세표[22~06시],상세표[사번키],INDEX(합계표[사번키],$W217),상세표[반영월],대상월키,상세표[반영 기관],"서울병원"))</f>
        <v/>
      </c>
      <c r="Q217">
        <f>IF($W217="","",SUM($M217:$P217))</f>
        <v/>
      </c>
      <c r="R217">
        <f>IF($W217="","",COUNTIFS(상세표[사번키],INDEX(합계표[사번키],$W217),상세표[반영월],대상월키,상세표[야간당직],1,상세표[야간 구분],"평일"))</f>
        <v/>
      </c>
      <c r="S217" s="4">
        <f>IF($W217="","",COUNTIFS(상세표[사번키],INDEX(합계표[사번키],$W217),상세표[반영월],대상월키,상세표[야간당직],1,상세표[야간 구분],"휴일"))</f>
        <v/>
      </c>
      <c r="T217">
        <f>IF($W217="","",COUNTIFS(상세표[사번키],INDEX(합계표[사번키],$W217),상세표[반영월],대상월키,상세표[야간당직],1,상세표[야간 구분],"평일",상세표[반영 기관],"서울병원"))</f>
        <v/>
      </c>
      <c r="U217">
        <f>IF($W217="","",COUNTIFS(상세표[사번키],INDEX(합계표[사번키],$W217),상세표[반영월],대상월키,상세표[야간당직],1,상세표[야간 구분],"휴일",상세표[반영 기관],"서울병원"))</f>
        <v/>
      </c>
      <c r="V217">
        <f>IF($W217="","",IF(ISNUMBER(MATCH(INDEX(합계표[사번키],$W217)&amp;"|"&amp;대상월키,월별근무지표[키],0)),"직접 입력",IF($K217="—","—","기관명단")))</f>
        <v/>
      </c>
      <c r="W217">
        <f>IFERROR(MATCH(212,합계표[판정순번],0),"")</f>
        <v/>
      </c>
      <c r="Y217">
        <f>IF($AB217="","",INDEX(상세표[사번],$AB217)&amp;"")</f>
        <v/>
      </c>
      <c r="Z217">
        <f>IF($AB217="","",INDEX(상세표[성명],$AB217)&amp;"")</f>
        <v/>
      </c>
      <c r="AA217">
        <f>IF($AB217="","",SUMIFS(상세표[기록 시간외],상세표[사번키],INDEX(상세표[사번키],$AB217),상세표[반영월],대상월키))</f>
        <v/>
      </c>
      <c r="AB217" s="4">
        <f>IFERROR(MATCH(212,상세표[합계없음순번],0),"")</f>
        <v/>
      </c>
    </row>
    <row r="218">
      <c r="A218">
        <f>IF($W218="","",INDEX(합계표[사번],$W218)&amp;"")</f>
        <v/>
      </c>
      <c r="B218">
        <f>IF($W218="","",INDEX(합계표[성명],$W218)&amp;"")</f>
        <v/>
      </c>
      <c r="C218">
        <f>IF($W218="","",INDEX(합계표[부서],$W218)&amp;"")</f>
        <v/>
      </c>
      <c r="D218">
        <f>IF($W218="","",INDEX(합계표[직위(통합)],$W218)&amp;"")</f>
        <v/>
      </c>
      <c r="E218">
        <f>IF($W218="","",SUMIFS(합계표[시스템 합계],합계표[사번키],INDEX(합계표[사번키],$W218)))</f>
        <v/>
      </c>
      <c r="F218">
        <f>IF($W218="","",SUMIFS(상세표[기록 시간외],상세표[사번키],INDEX(합계표[사번키],$W218),상세표[기록월],대상월키))</f>
        <v/>
      </c>
      <c r="G218">
        <f>IF($W218="","",IF(ABS($E218-$F218)&lt;0.01,"일치","불일치(차이 "&amp;TEXT($F218-$E218,"0.00")&amp;")"))</f>
        <v/>
      </c>
      <c r="H218">
        <f>IF($W218="","",SUMIFS(상세표[기록 시간외],상세표[사번키],INDEX(합계표[사번키],$W218),상세표[기록월],대상월키,상세표[반영월],"&lt;&gt;"&amp;대상월키))</f>
        <v/>
      </c>
      <c r="I218">
        <f>IF($W218="","",SUMIFS(상세표[기록 시간외],상세표[사번키],INDEX(합계표[사번키],$W218),상세표[기록월],"&lt;&gt;"&amp;대상월키,상세표[반영월],대상월키))</f>
        <v/>
      </c>
      <c r="J218">
        <f>IF($W218="","",SUMIFS(상세표[기록 시간외],상세표[사번키],INDEX(합계표[사번키],$W218),상세표[반영월],대상월키))</f>
        <v/>
      </c>
      <c r="K218">
        <f>IF($W218="","",IFERROR(INDEX(월별근무지표[적용 급여병원],MATCH(INDEX(합계표[사번키],$W218)&amp;"|"&amp;대상월키,월별근무지표[키],0))&amp;"",IF(COUNTIF(기관표[사번키],INDEX(합계표[사번키],$W218))+COUNTIF(월별근무지표[사번키],INDEX(합계표[사번키],$W218))&gt;0,IFERROR(INDEX(기관표[급여지급병원(기준월)],MATCH(INDEX(합계표[사번키],$W218)&amp;"|"&amp;대상월키,기관표[키],0))&amp;"","—"),"—")))</f>
        <v/>
      </c>
      <c r="L218">
        <f>IF($W218="","",IF(NOT(COUNTIF(기관표[사번키],INDEX(합계표[사번키],$W218))+COUNTIF(월별근무지표[사번키],INDEX(합계표[사번키],$W218))&gt;0),"기관명단에 없음(다른 병원으로 발송)",IF($K218="—","대상월 기관명단 없음(추가 필요)",IF($K218="서울병원","해당","비해당"))))</f>
        <v/>
      </c>
      <c r="M218">
        <f>IF($W218="","",SUMIFS(상세표[06~07시],상세표[사번키],INDEX(합계표[사번키],$W218),상세표[반영월],대상월키,상세표[반영 기관],"서울병원"))</f>
        <v/>
      </c>
      <c r="N218">
        <f>IF($W218="","",SUMIFS(상세표[07~18시],상세표[사번키],INDEX(합계표[사번키],$W218),상세표[반영월],대상월키,상세표[반영 기관],"서울병원"))</f>
        <v/>
      </c>
      <c r="O218">
        <f>IF($W218="","",SUMIFS(상세표[18~22시],상세표[사번키],INDEX(합계표[사번키],$W218),상세표[반영월],대상월키,상세표[반영 기관],"서울병원"))</f>
        <v/>
      </c>
      <c r="P218">
        <f>IF($W218="","",SUMIFS(상세표[22~06시],상세표[사번키],INDEX(합계표[사번키],$W218),상세표[반영월],대상월키,상세표[반영 기관],"서울병원"))</f>
        <v/>
      </c>
      <c r="Q218">
        <f>IF($W218="","",SUM($M218:$P218))</f>
        <v/>
      </c>
      <c r="R218">
        <f>IF($W218="","",COUNTIFS(상세표[사번키],INDEX(합계표[사번키],$W218),상세표[반영월],대상월키,상세표[야간당직],1,상세표[야간 구분],"평일"))</f>
        <v/>
      </c>
      <c r="S218" s="4">
        <f>IF($W218="","",COUNTIFS(상세표[사번키],INDEX(합계표[사번키],$W218),상세표[반영월],대상월키,상세표[야간당직],1,상세표[야간 구분],"휴일"))</f>
        <v/>
      </c>
      <c r="T218">
        <f>IF($W218="","",COUNTIFS(상세표[사번키],INDEX(합계표[사번키],$W218),상세표[반영월],대상월키,상세표[야간당직],1,상세표[야간 구분],"평일",상세표[반영 기관],"서울병원"))</f>
        <v/>
      </c>
      <c r="U218">
        <f>IF($W218="","",COUNTIFS(상세표[사번키],INDEX(합계표[사번키],$W218),상세표[반영월],대상월키,상세표[야간당직],1,상세표[야간 구분],"휴일",상세표[반영 기관],"서울병원"))</f>
        <v/>
      </c>
      <c r="V218">
        <f>IF($W218="","",IF(ISNUMBER(MATCH(INDEX(합계표[사번키],$W218)&amp;"|"&amp;대상월키,월별근무지표[키],0)),"직접 입력",IF($K218="—","—","기관명단")))</f>
        <v/>
      </c>
      <c r="W218">
        <f>IFERROR(MATCH(213,합계표[판정순번],0),"")</f>
        <v/>
      </c>
      <c r="Y218">
        <f>IF($AB218="","",INDEX(상세표[사번],$AB218)&amp;"")</f>
        <v/>
      </c>
      <c r="Z218">
        <f>IF($AB218="","",INDEX(상세표[성명],$AB218)&amp;"")</f>
        <v/>
      </c>
      <c r="AA218">
        <f>IF($AB218="","",SUMIFS(상세표[기록 시간외],상세표[사번키],INDEX(상세표[사번키],$AB218),상세표[반영월],대상월키))</f>
        <v/>
      </c>
      <c r="AB218" s="4">
        <f>IFERROR(MATCH(213,상세표[합계없음순번],0),"")</f>
        <v/>
      </c>
    </row>
    <row r="219">
      <c r="A219">
        <f>IF($W219="","",INDEX(합계표[사번],$W219)&amp;"")</f>
        <v/>
      </c>
      <c r="B219">
        <f>IF($W219="","",INDEX(합계표[성명],$W219)&amp;"")</f>
        <v/>
      </c>
      <c r="C219">
        <f>IF($W219="","",INDEX(합계표[부서],$W219)&amp;"")</f>
        <v/>
      </c>
      <c r="D219">
        <f>IF($W219="","",INDEX(합계표[직위(통합)],$W219)&amp;"")</f>
        <v/>
      </c>
      <c r="E219">
        <f>IF($W219="","",SUMIFS(합계표[시스템 합계],합계표[사번키],INDEX(합계표[사번키],$W219)))</f>
        <v/>
      </c>
      <c r="F219">
        <f>IF($W219="","",SUMIFS(상세표[기록 시간외],상세표[사번키],INDEX(합계표[사번키],$W219),상세표[기록월],대상월키))</f>
        <v/>
      </c>
      <c r="G219">
        <f>IF($W219="","",IF(ABS($E219-$F219)&lt;0.01,"일치","불일치(차이 "&amp;TEXT($F219-$E219,"0.00")&amp;")"))</f>
        <v/>
      </c>
      <c r="H219">
        <f>IF($W219="","",SUMIFS(상세표[기록 시간외],상세표[사번키],INDEX(합계표[사번키],$W219),상세표[기록월],대상월키,상세표[반영월],"&lt;&gt;"&amp;대상월키))</f>
        <v/>
      </c>
      <c r="I219">
        <f>IF($W219="","",SUMIFS(상세표[기록 시간외],상세표[사번키],INDEX(합계표[사번키],$W219),상세표[기록월],"&lt;&gt;"&amp;대상월키,상세표[반영월],대상월키))</f>
        <v/>
      </c>
      <c r="J219">
        <f>IF($W219="","",SUMIFS(상세표[기록 시간외],상세표[사번키],INDEX(합계표[사번키],$W219),상세표[반영월],대상월키))</f>
        <v/>
      </c>
      <c r="K219">
        <f>IF($W219="","",IFERROR(INDEX(월별근무지표[적용 급여병원],MATCH(INDEX(합계표[사번키],$W219)&amp;"|"&amp;대상월키,월별근무지표[키],0))&amp;"",IF(COUNTIF(기관표[사번키],INDEX(합계표[사번키],$W219))+COUNTIF(월별근무지표[사번키],INDEX(합계표[사번키],$W219))&gt;0,IFERROR(INDEX(기관표[급여지급병원(기준월)],MATCH(INDEX(합계표[사번키],$W219)&amp;"|"&amp;대상월키,기관표[키],0))&amp;"","—"),"—")))</f>
        <v/>
      </c>
      <c r="L219">
        <f>IF($W219="","",IF(NOT(COUNTIF(기관표[사번키],INDEX(합계표[사번키],$W219))+COUNTIF(월별근무지표[사번키],INDEX(합계표[사번키],$W219))&gt;0),"기관명단에 없음(다른 병원으로 발송)",IF($K219="—","대상월 기관명단 없음(추가 필요)",IF($K219="서울병원","해당","비해당"))))</f>
        <v/>
      </c>
      <c r="M219">
        <f>IF($W219="","",SUMIFS(상세표[06~07시],상세표[사번키],INDEX(합계표[사번키],$W219),상세표[반영월],대상월키,상세표[반영 기관],"서울병원"))</f>
        <v/>
      </c>
      <c r="N219">
        <f>IF($W219="","",SUMIFS(상세표[07~18시],상세표[사번키],INDEX(합계표[사번키],$W219),상세표[반영월],대상월키,상세표[반영 기관],"서울병원"))</f>
        <v/>
      </c>
      <c r="O219">
        <f>IF($W219="","",SUMIFS(상세표[18~22시],상세표[사번키],INDEX(합계표[사번키],$W219),상세표[반영월],대상월키,상세표[반영 기관],"서울병원"))</f>
        <v/>
      </c>
      <c r="P219">
        <f>IF($W219="","",SUMIFS(상세표[22~06시],상세표[사번키],INDEX(합계표[사번키],$W219),상세표[반영월],대상월키,상세표[반영 기관],"서울병원"))</f>
        <v/>
      </c>
      <c r="Q219">
        <f>IF($W219="","",SUM($M219:$P219))</f>
        <v/>
      </c>
      <c r="R219">
        <f>IF($W219="","",COUNTIFS(상세표[사번키],INDEX(합계표[사번키],$W219),상세표[반영월],대상월키,상세표[야간당직],1,상세표[야간 구분],"평일"))</f>
        <v/>
      </c>
      <c r="S219" s="4">
        <f>IF($W219="","",COUNTIFS(상세표[사번키],INDEX(합계표[사번키],$W219),상세표[반영월],대상월키,상세표[야간당직],1,상세표[야간 구분],"휴일"))</f>
        <v/>
      </c>
      <c r="T219">
        <f>IF($W219="","",COUNTIFS(상세표[사번키],INDEX(합계표[사번키],$W219),상세표[반영월],대상월키,상세표[야간당직],1,상세표[야간 구분],"평일",상세표[반영 기관],"서울병원"))</f>
        <v/>
      </c>
      <c r="U219">
        <f>IF($W219="","",COUNTIFS(상세표[사번키],INDEX(합계표[사번키],$W219),상세표[반영월],대상월키,상세표[야간당직],1,상세표[야간 구분],"휴일",상세표[반영 기관],"서울병원"))</f>
        <v/>
      </c>
      <c r="V219">
        <f>IF($W219="","",IF(ISNUMBER(MATCH(INDEX(합계표[사번키],$W219)&amp;"|"&amp;대상월키,월별근무지표[키],0)),"직접 입력",IF($K219="—","—","기관명단")))</f>
        <v/>
      </c>
      <c r="W219">
        <f>IFERROR(MATCH(214,합계표[판정순번],0),"")</f>
        <v/>
      </c>
      <c r="Y219">
        <f>IF($AB219="","",INDEX(상세표[사번],$AB219)&amp;"")</f>
        <v/>
      </c>
      <c r="Z219">
        <f>IF($AB219="","",INDEX(상세표[성명],$AB219)&amp;"")</f>
        <v/>
      </c>
      <c r="AA219">
        <f>IF($AB219="","",SUMIFS(상세표[기록 시간외],상세표[사번키],INDEX(상세표[사번키],$AB219),상세표[반영월],대상월키))</f>
        <v/>
      </c>
      <c r="AB219" s="4">
        <f>IFERROR(MATCH(214,상세표[합계없음순번],0),"")</f>
        <v/>
      </c>
    </row>
    <row r="220">
      <c r="A220">
        <f>IF($W220="","",INDEX(합계표[사번],$W220)&amp;"")</f>
        <v/>
      </c>
      <c r="B220">
        <f>IF($W220="","",INDEX(합계표[성명],$W220)&amp;"")</f>
        <v/>
      </c>
      <c r="C220">
        <f>IF($W220="","",INDEX(합계표[부서],$W220)&amp;"")</f>
        <v/>
      </c>
      <c r="D220">
        <f>IF($W220="","",INDEX(합계표[직위(통합)],$W220)&amp;"")</f>
        <v/>
      </c>
      <c r="E220">
        <f>IF($W220="","",SUMIFS(합계표[시스템 합계],합계표[사번키],INDEX(합계표[사번키],$W220)))</f>
        <v/>
      </c>
      <c r="F220">
        <f>IF($W220="","",SUMIFS(상세표[기록 시간외],상세표[사번키],INDEX(합계표[사번키],$W220),상세표[기록월],대상월키))</f>
        <v/>
      </c>
      <c r="G220">
        <f>IF($W220="","",IF(ABS($E220-$F220)&lt;0.01,"일치","불일치(차이 "&amp;TEXT($F220-$E220,"0.00")&amp;")"))</f>
        <v/>
      </c>
      <c r="H220">
        <f>IF($W220="","",SUMIFS(상세표[기록 시간외],상세표[사번키],INDEX(합계표[사번키],$W220),상세표[기록월],대상월키,상세표[반영월],"&lt;&gt;"&amp;대상월키))</f>
        <v/>
      </c>
      <c r="I220">
        <f>IF($W220="","",SUMIFS(상세표[기록 시간외],상세표[사번키],INDEX(합계표[사번키],$W220),상세표[기록월],"&lt;&gt;"&amp;대상월키,상세표[반영월],대상월키))</f>
        <v/>
      </c>
      <c r="J220">
        <f>IF($W220="","",SUMIFS(상세표[기록 시간외],상세표[사번키],INDEX(합계표[사번키],$W220),상세표[반영월],대상월키))</f>
        <v/>
      </c>
      <c r="K220">
        <f>IF($W220="","",IFERROR(INDEX(월별근무지표[적용 급여병원],MATCH(INDEX(합계표[사번키],$W220)&amp;"|"&amp;대상월키,월별근무지표[키],0))&amp;"",IF(COUNTIF(기관표[사번키],INDEX(합계표[사번키],$W220))+COUNTIF(월별근무지표[사번키],INDEX(합계표[사번키],$W220))&gt;0,IFERROR(INDEX(기관표[급여지급병원(기준월)],MATCH(INDEX(합계표[사번키],$W220)&amp;"|"&amp;대상월키,기관표[키],0))&amp;"","—"),"—")))</f>
        <v/>
      </c>
      <c r="L220">
        <f>IF($W220="","",IF(NOT(COUNTIF(기관표[사번키],INDEX(합계표[사번키],$W220))+COUNTIF(월별근무지표[사번키],INDEX(합계표[사번키],$W220))&gt;0),"기관명단에 없음(다른 병원으로 발송)",IF($K220="—","대상월 기관명단 없음(추가 필요)",IF($K220="서울병원","해당","비해당"))))</f>
        <v/>
      </c>
      <c r="M220">
        <f>IF($W220="","",SUMIFS(상세표[06~07시],상세표[사번키],INDEX(합계표[사번키],$W220),상세표[반영월],대상월키,상세표[반영 기관],"서울병원"))</f>
        <v/>
      </c>
      <c r="N220">
        <f>IF($W220="","",SUMIFS(상세표[07~18시],상세표[사번키],INDEX(합계표[사번키],$W220),상세표[반영월],대상월키,상세표[반영 기관],"서울병원"))</f>
        <v/>
      </c>
      <c r="O220">
        <f>IF($W220="","",SUMIFS(상세표[18~22시],상세표[사번키],INDEX(합계표[사번키],$W220),상세표[반영월],대상월키,상세표[반영 기관],"서울병원"))</f>
        <v/>
      </c>
      <c r="P220">
        <f>IF($W220="","",SUMIFS(상세표[22~06시],상세표[사번키],INDEX(합계표[사번키],$W220),상세표[반영월],대상월키,상세표[반영 기관],"서울병원"))</f>
        <v/>
      </c>
      <c r="Q220">
        <f>IF($W220="","",SUM($M220:$P220))</f>
        <v/>
      </c>
      <c r="R220">
        <f>IF($W220="","",COUNTIFS(상세표[사번키],INDEX(합계표[사번키],$W220),상세표[반영월],대상월키,상세표[야간당직],1,상세표[야간 구분],"평일"))</f>
        <v/>
      </c>
      <c r="S220" s="4">
        <f>IF($W220="","",COUNTIFS(상세표[사번키],INDEX(합계표[사번키],$W220),상세표[반영월],대상월키,상세표[야간당직],1,상세표[야간 구분],"휴일"))</f>
        <v/>
      </c>
      <c r="T220">
        <f>IF($W220="","",COUNTIFS(상세표[사번키],INDEX(합계표[사번키],$W220),상세표[반영월],대상월키,상세표[야간당직],1,상세표[야간 구분],"평일",상세표[반영 기관],"서울병원"))</f>
        <v/>
      </c>
      <c r="U220">
        <f>IF($W220="","",COUNTIFS(상세표[사번키],INDEX(합계표[사번키],$W220),상세표[반영월],대상월키,상세표[야간당직],1,상세표[야간 구분],"휴일",상세표[반영 기관],"서울병원"))</f>
        <v/>
      </c>
      <c r="V220">
        <f>IF($W220="","",IF(ISNUMBER(MATCH(INDEX(합계표[사번키],$W220)&amp;"|"&amp;대상월키,월별근무지표[키],0)),"직접 입력",IF($K220="—","—","기관명단")))</f>
        <v/>
      </c>
      <c r="W220">
        <f>IFERROR(MATCH(215,합계표[판정순번],0),"")</f>
        <v/>
      </c>
      <c r="Y220">
        <f>IF($AB220="","",INDEX(상세표[사번],$AB220)&amp;"")</f>
        <v/>
      </c>
      <c r="Z220">
        <f>IF($AB220="","",INDEX(상세표[성명],$AB220)&amp;"")</f>
        <v/>
      </c>
      <c r="AA220">
        <f>IF($AB220="","",SUMIFS(상세표[기록 시간외],상세표[사번키],INDEX(상세표[사번키],$AB220),상세표[반영월],대상월키))</f>
        <v/>
      </c>
      <c r="AB220" s="4">
        <f>IFERROR(MATCH(215,상세표[합계없음순번],0),"")</f>
        <v/>
      </c>
    </row>
    <row r="221">
      <c r="A221">
        <f>IF($W221="","",INDEX(합계표[사번],$W221)&amp;"")</f>
        <v/>
      </c>
      <c r="B221">
        <f>IF($W221="","",INDEX(합계표[성명],$W221)&amp;"")</f>
        <v/>
      </c>
      <c r="C221">
        <f>IF($W221="","",INDEX(합계표[부서],$W221)&amp;"")</f>
        <v/>
      </c>
      <c r="D221">
        <f>IF($W221="","",INDEX(합계표[직위(통합)],$W221)&amp;"")</f>
        <v/>
      </c>
      <c r="E221">
        <f>IF($W221="","",SUMIFS(합계표[시스템 합계],합계표[사번키],INDEX(합계표[사번키],$W221)))</f>
        <v/>
      </c>
      <c r="F221">
        <f>IF($W221="","",SUMIFS(상세표[기록 시간외],상세표[사번키],INDEX(합계표[사번키],$W221),상세표[기록월],대상월키))</f>
        <v/>
      </c>
      <c r="G221">
        <f>IF($W221="","",IF(ABS($E221-$F221)&lt;0.01,"일치","불일치(차이 "&amp;TEXT($F221-$E221,"0.00")&amp;")"))</f>
        <v/>
      </c>
      <c r="H221">
        <f>IF($W221="","",SUMIFS(상세표[기록 시간외],상세표[사번키],INDEX(합계표[사번키],$W221),상세표[기록월],대상월키,상세표[반영월],"&lt;&gt;"&amp;대상월키))</f>
        <v/>
      </c>
      <c r="I221">
        <f>IF($W221="","",SUMIFS(상세표[기록 시간외],상세표[사번키],INDEX(합계표[사번키],$W221),상세표[기록월],"&lt;&gt;"&amp;대상월키,상세표[반영월],대상월키))</f>
        <v/>
      </c>
      <c r="J221">
        <f>IF($W221="","",SUMIFS(상세표[기록 시간외],상세표[사번키],INDEX(합계표[사번키],$W221),상세표[반영월],대상월키))</f>
        <v/>
      </c>
      <c r="K221">
        <f>IF($W221="","",IFERROR(INDEX(월별근무지표[적용 급여병원],MATCH(INDEX(합계표[사번키],$W221)&amp;"|"&amp;대상월키,월별근무지표[키],0))&amp;"",IF(COUNTIF(기관표[사번키],INDEX(합계표[사번키],$W221))+COUNTIF(월별근무지표[사번키],INDEX(합계표[사번키],$W221))&gt;0,IFERROR(INDEX(기관표[급여지급병원(기준월)],MATCH(INDEX(합계표[사번키],$W221)&amp;"|"&amp;대상월키,기관표[키],0))&amp;"","—"),"—")))</f>
        <v/>
      </c>
      <c r="L221">
        <f>IF($W221="","",IF(NOT(COUNTIF(기관표[사번키],INDEX(합계표[사번키],$W221))+COUNTIF(월별근무지표[사번키],INDEX(합계표[사번키],$W221))&gt;0),"기관명단에 없음(다른 병원으로 발송)",IF($K221="—","대상월 기관명단 없음(추가 필요)",IF($K221="서울병원","해당","비해당"))))</f>
        <v/>
      </c>
      <c r="M221">
        <f>IF($W221="","",SUMIFS(상세표[06~07시],상세표[사번키],INDEX(합계표[사번키],$W221),상세표[반영월],대상월키,상세표[반영 기관],"서울병원"))</f>
        <v/>
      </c>
      <c r="N221">
        <f>IF($W221="","",SUMIFS(상세표[07~18시],상세표[사번키],INDEX(합계표[사번키],$W221),상세표[반영월],대상월키,상세표[반영 기관],"서울병원"))</f>
        <v/>
      </c>
      <c r="O221">
        <f>IF($W221="","",SUMIFS(상세표[18~22시],상세표[사번키],INDEX(합계표[사번키],$W221),상세표[반영월],대상월키,상세표[반영 기관],"서울병원"))</f>
        <v/>
      </c>
      <c r="P221">
        <f>IF($W221="","",SUMIFS(상세표[22~06시],상세표[사번키],INDEX(합계표[사번키],$W221),상세표[반영월],대상월키,상세표[반영 기관],"서울병원"))</f>
        <v/>
      </c>
      <c r="Q221">
        <f>IF($W221="","",SUM($M221:$P221))</f>
        <v/>
      </c>
      <c r="R221">
        <f>IF($W221="","",COUNTIFS(상세표[사번키],INDEX(합계표[사번키],$W221),상세표[반영월],대상월키,상세표[야간당직],1,상세표[야간 구분],"평일"))</f>
        <v/>
      </c>
      <c r="S221" s="4">
        <f>IF($W221="","",COUNTIFS(상세표[사번키],INDEX(합계표[사번키],$W221),상세표[반영월],대상월키,상세표[야간당직],1,상세표[야간 구분],"휴일"))</f>
        <v/>
      </c>
      <c r="T221">
        <f>IF($W221="","",COUNTIFS(상세표[사번키],INDEX(합계표[사번키],$W221),상세표[반영월],대상월키,상세표[야간당직],1,상세표[야간 구분],"평일",상세표[반영 기관],"서울병원"))</f>
        <v/>
      </c>
      <c r="U221">
        <f>IF($W221="","",COUNTIFS(상세표[사번키],INDEX(합계표[사번키],$W221),상세표[반영월],대상월키,상세표[야간당직],1,상세표[야간 구분],"휴일",상세표[반영 기관],"서울병원"))</f>
        <v/>
      </c>
      <c r="V221">
        <f>IF($W221="","",IF(ISNUMBER(MATCH(INDEX(합계표[사번키],$W221)&amp;"|"&amp;대상월키,월별근무지표[키],0)),"직접 입력",IF($K221="—","—","기관명단")))</f>
        <v/>
      </c>
      <c r="W221">
        <f>IFERROR(MATCH(216,합계표[판정순번],0),"")</f>
        <v/>
      </c>
      <c r="Y221">
        <f>IF($AB221="","",INDEX(상세표[사번],$AB221)&amp;"")</f>
        <v/>
      </c>
      <c r="Z221">
        <f>IF($AB221="","",INDEX(상세표[성명],$AB221)&amp;"")</f>
        <v/>
      </c>
      <c r="AA221">
        <f>IF($AB221="","",SUMIFS(상세표[기록 시간외],상세표[사번키],INDEX(상세표[사번키],$AB221),상세표[반영월],대상월키))</f>
        <v/>
      </c>
      <c r="AB221" s="4">
        <f>IFERROR(MATCH(216,상세표[합계없음순번],0),"")</f>
        <v/>
      </c>
    </row>
    <row r="222">
      <c r="A222">
        <f>IF($W222="","",INDEX(합계표[사번],$W222)&amp;"")</f>
        <v/>
      </c>
      <c r="B222">
        <f>IF($W222="","",INDEX(합계표[성명],$W222)&amp;"")</f>
        <v/>
      </c>
      <c r="C222">
        <f>IF($W222="","",INDEX(합계표[부서],$W222)&amp;"")</f>
        <v/>
      </c>
      <c r="D222">
        <f>IF($W222="","",INDEX(합계표[직위(통합)],$W222)&amp;"")</f>
        <v/>
      </c>
      <c r="E222">
        <f>IF($W222="","",SUMIFS(합계표[시스템 합계],합계표[사번키],INDEX(합계표[사번키],$W222)))</f>
        <v/>
      </c>
      <c r="F222">
        <f>IF($W222="","",SUMIFS(상세표[기록 시간외],상세표[사번키],INDEX(합계표[사번키],$W222),상세표[기록월],대상월키))</f>
        <v/>
      </c>
      <c r="G222">
        <f>IF($W222="","",IF(ABS($E222-$F222)&lt;0.01,"일치","불일치(차이 "&amp;TEXT($F222-$E222,"0.00")&amp;")"))</f>
        <v/>
      </c>
      <c r="H222">
        <f>IF($W222="","",SUMIFS(상세표[기록 시간외],상세표[사번키],INDEX(합계표[사번키],$W222),상세표[기록월],대상월키,상세표[반영월],"&lt;&gt;"&amp;대상월키))</f>
        <v/>
      </c>
      <c r="I222">
        <f>IF($W222="","",SUMIFS(상세표[기록 시간외],상세표[사번키],INDEX(합계표[사번키],$W222),상세표[기록월],"&lt;&gt;"&amp;대상월키,상세표[반영월],대상월키))</f>
        <v/>
      </c>
      <c r="J222">
        <f>IF($W222="","",SUMIFS(상세표[기록 시간외],상세표[사번키],INDEX(합계표[사번키],$W222),상세표[반영월],대상월키))</f>
        <v/>
      </c>
      <c r="K222">
        <f>IF($W222="","",IFERROR(INDEX(월별근무지표[적용 급여병원],MATCH(INDEX(합계표[사번키],$W222)&amp;"|"&amp;대상월키,월별근무지표[키],0))&amp;"",IF(COUNTIF(기관표[사번키],INDEX(합계표[사번키],$W222))+COUNTIF(월별근무지표[사번키],INDEX(합계표[사번키],$W222))&gt;0,IFERROR(INDEX(기관표[급여지급병원(기준월)],MATCH(INDEX(합계표[사번키],$W222)&amp;"|"&amp;대상월키,기관표[키],0))&amp;"","—"),"—")))</f>
        <v/>
      </c>
      <c r="L222">
        <f>IF($W222="","",IF(NOT(COUNTIF(기관표[사번키],INDEX(합계표[사번키],$W222))+COUNTIF(월별근무지표[사번키],INDEX(합계표[사번키],$W222))&gt;0),"기관명단에 없음(다른 병원으로 발송)",IF($K222="—","대상월 기관명단 없음(추가 필요)",IF($K222="서울병원","해당","비해당"))))</f>
        <v/>
      </c>
      <c r="M222">
        <f>IF($W222="","",SUMIFS(상세표[06~07시],상세표[사번키],INDEX(합계표[사번키],$W222),상세표[반영월],대상월키,상세표[반영 기관],"서울병원"))</f>
        <v/>
      </c>
      <c r="N222">
        <f>IF($W222="","",SUMIFS(상세표[07~18시],상세표[사번키],INDEX(합계표[사번키],$W222),상세표[반영월],대상월키,상세표[반영 기관],"서울병원"))</f>
        <v/>
      </c>
      <c r="O222">
        <f>IF($W222="","",SUMIFS(상세표[18~22시],상세표[사번키],INDEX(합계표[사번키],$W222),상세표[반영월],대상월키,상세표[반영 기관],"서울병원"))</f>
        <v/>
      </c>
      <c r="P222">
        <f>IF($W222="","",SUMIFS(상세표[22~06시],상세표[사번키],INDEX(합계표[사번키],$W222),상세표[반영월],대상월키,상세표[반영 기관],"서울병원"))</f>
        <v/>
      </c>
      <c r="Q222">
        <f>IF($W222="","",SUM($M222:$P222))</f>
        <v/>
      </c>
      <c r="R222">
        <f>IF($W222="","",COUNTIFS(상세표[사번키],INDEX(합계표[사번키],$W222),상세표[반영월],대상월키,상세표[야간당직],1,상세표[야간 구분],"평일"))</f>
        <v/>
      </c>
      <c r="S222" s="4">
        <f>IF($W222="","",COUNTIFS(상세표[사번키],INDEX(합계표[사번키],$W222),상세표[반영월],대상월키,상세표[야간당직],1,상세표[야간 구분],"휴일"))</f>
        <v/>
      </c>
      <c r="T222">
        <f>IF($W222="","",COUNTIFS(상세표[사번키],INDEX(합계표[사번키],$W222),상세표[반영월],대상월키,상세표[야간당직],1,상세표[야간 구분],"평일",상세표[반영 기관],"서울병원"))</f>
        <v/>
      </c>
      <c r="U222">
        <f>IF($W222="","",COUNTIFS(상세표[사번키],INDEX(합계표[사번키],$W222),상세표[반영월],대상월키,상세표[야간당직],1,상세표[야간 구분],"휴일",상세표[반영 기관],"서울병원"))</f>
        <v/>
      </c>
      <c r="V222">
        <f>IF($W222="","",IF(ISNUMBER(MATCH(INDEX(합계표[사번키],$W222)&amp;"|"&amp;대상월키,월별근무지표[키],0)),"직접 입력",IF($K222="—","—","기관명단")))</f>
        <v/>
      </c>
      <c r="W222">
        <f>IFERROR(MATCH(217,합계표[판정순번],0),"")</f>
        <v/>
      </c>
      <c r="Y222">
        <f>IF($AB222="","",INDEX(상세표[사번],$AB222)&amp;"")</f>
        <v/>
      </c>
      <c r="Z222">
        <f>IF($AB222="","",INDEX(상세표[성명],$AB222)&amp;"")</f>
        <v/>
      </c>
      <c r="AA222">
        <f>IF($AB222="","",SUMIFS(상세표[기록 시간외],상세표[사번키],INDEX(상세표[사번키],$AB222),상세표[반영월],대상월키))</f>
        <v/>
      </c>
      <c r="AB222" s="4">
        <f>IFERROR(MATCH(217,상세표[합계없음순번],0),"")</f>
        <v/>
      </c>
    </row>
    <row r="223">
      <c r="A223">
        <f>IF($W223="","",INDEX(합계표[사번],$W223)&amp;"")</f>
        <v/>
      </c>
      <c r="B223">
        <f>IF($W223="","",INDEX(합계표[성명],$W223)&amp;"")</f>
        <v/>
      </c>
      <c r="C223">
        <f>IF($W223="","",INDEX(합계표[부서],$W223)&amp;"")</f>
        <v/>
      </c>
      <c r="D223">
        <f>IF($W223="","",INDEX(합계표[직위(통합)],$W223)&amp;"")</f>
        <v/>
      </c>
      <c r="E223">
        <f>IF($W223="","",SUMIFS(합계표[시스템 합계],합계표[사번키],INDEX(합계표[사번키],$W223)))</f>
        <v/>
      </c>
      <c r="F223">
        <f>IF($W223="","",SUMIFS(상세표[기록 시간외],상세표[사번키],INDEX(합계표[사번키],$W223),상세표[기록월],대상월키))</f>
        <v/>
      </c>
      <c r="G223">
        <f>IF($W223="","",IF(ABS($E223-$F223)&lt;0.01,"일치","불일치(차이 "&amp;TEXT($F223-$E223,"0.00")&amp;")"))</f>
        <v/>
      </c>
      <c r="H223">
        <f>IF($W223="","",SUMIFS(상세표[기록 시간외],상세표[사번키],INDEX(합계표[사번키],$W223),상세표[기록월],대상월키,상세표[반영월],"&lt;&gt;"&amp;대상월키))</f>
        <v/>
      </c>
      <c r="I223">
        <f>IF($W223="","",SUMIFS(상세표[기록 시간외],상세표[사번키],INDEX(합계표[사번키],$W223),상세표[기록월],"&lt;&gt;"&amp;대상월키,상세표[반영월],대상월키))</f>
        <v/>
      </c>
      <c r="J223">
        <f>IF($W223="","",SUMIFS(상세표[기록 시간외],상세표[사번키],INDEX(합계표[사번키],$W223),상세표[반영월],대상월키))</f>
        <v/>
      </c>
      <c r="K223">
        <f>IF($W223="","",IFERROR(INDEX(월별근무지표[적용 급여병원],MATCH(INDEX(합계표[사번키],$W223)&amp;"|"&amp;대상월키,월별근무지표[키],0))&amp;"",IF(COUNTIF(기관표[사번키],INDEX(합계표[사번키],$W223))+COUNTIF(월별근무지표[사번키],INDEX(합계표[사번키],$W223))&gt;0,IFERROR(INDEX(기관표[급여지급병원(기준월)],MATCH(INDEX(합계표[사번키],$W223)&amp;"|"&amp;대상월키,기관표[키],0))&amp;"","—"),"—")))</f>
        <v/>
      </c>
      <c r="L223">
        <f>IF($W223="","",IF(NOT(COUNTIF(기관표[사번키],INDEX(합계표[사번키],$W223))+COUNTIF(월별근무지표[사번키],INDEX(합계표[사번키],$W223))&gt;0),"기관명단에 없음(다른 병원으로 발송)",IF($K223="—","대상월 기관명단 없음(추가 필요)",IF($K223="서울병원","해당","비해당"))))</f>
        <v/>
      </c>
      <c r="M223">
        <f>IF($W223="","",SUMIFS(상세표[06~07시],상세표[사번키],INDEX(합계표[사번키],$W223),상세표[반영월],대상월키,상세표[반영 기관],"서울병원"))</f>
        <v/>
      </c>
      <c r="N223">
        <f>IF($W223="","",SUMIFS(상세표[07~18시],상세표[사번키],INDEX(합계표[사번키],$W223),상세표[반영월],대상월키,상세표[반영 기관],"서울병원"))</f>
        <v/>
      </c>
      <c r="O223">
        <f>IF($W223="","",SUMIFS(상세표[18~22시],상세표[사번키],INDEX(합계표[사번키],$W223),상세표[반영월],대상월키,상세표[반영 기관],"서울병원"))</f>
        <v/>
      </c>
      <c r="P223">
        <f>IF($W223="","",SUMIFS(상세표[22~06시],상세표[사번키],INDEX(합계표[사번키],$W223),상세표[반영월],대상월키,상세표[반영 기관],"서울병원"))</f>
        <v/>
      </c>
      <c r="Q223">
        <f>IF($W223="","",SUM($M223:$P223))</f>
        <v/>
      </c>
      <c r="R223">
        <f>IF($W223="","",COUNTIFS(상세표[사번키],INDEX(합계표[사번키],$W223),상세표[반영월],대상월키,상세표[야간당직],1,상세표[야간 구분],"평일"))</f>
        <v/>
      </c>
      <c r="S223" s="4">
        <f>IF($W223="","",COUNTIFS(상세표[사번키],INDEX(합계표[사번키],$W223),상세표[반영월],대상월키,상세표[야간당직],1,상세표[야간 구분],"휴일"))</f>
        <v/>
      </c>
      <c r="T223">
        <f>IF($W223="","",COUNTIFS(상세표[사번키],INDEX(합계표[사번키],$W223),상세표[반영월],대상월키,상세표[야간당직],1,상세표[야간 구분],"평일",상세표[반영 기관],"서울병원"))</f>
        <v/>
      </c>
      <c r="U223">
        <f>IF($W223="","",COUNTIFS(상세표[사번키],INDEX(합계표[사번키],$W223),상세표[반영월],대상월키,상세표[야간당직],1,상세표[야간 구분],"휴일",상세표[반영 기관],"서울병원"))</f>
        <v/>
      </c>
      <c r="V223">
        <f>IF($W223="","",IF(ISNUMBER(MATCH(INDEX(합계표[사번키],$W223)&amp;"|"&amp;대상월키,월별근무지표[키],0)),"직접 입력",IF($K223="—","—","기관명단")))</f>
        <v/>
      </c>
      <c r="W223">
        <f>IFERROR(MATCH(218,합계표[판정순번],0),"")</f>
        <v/>
      </c>
      <c r="Y223">
        <f>IF($AB223="","",INDEX(상세표[사번],$AB223)&amp;"")</f>
        <v/>
      </c>
      <c r="Z223">
        <f>IF($AB223="","",INDEX(상세표[성명],$AB223)&amp;"")</f>
        <v/>
      </c>
      <c r="AA223">
        <f>IF($AB223="","",SUMIFS(상세표[기록 시간외],상세표[사번키],INDEX(상세표[사번키],$AB223),상세표[반영월],대상월키))</f>
        <v/>
      </c>
      <c r="AB223" s="4">
        <f>IFERROR(MATCH(218,상세표[합계없음순번],0),"")</f>
        <v/>
      </c>
    </row>
    <row r="224">
      <c r="A224">
        <f>IF($W224="","",INDEX(합계표[사번],$W224)&amp;"")</f>
        <v/>
      </c>
      <c r="B224">
        <f>IF($W224="","",INDEX(합계표[성명],$W224)&amp;"")</f>
        <v/>
      </c>
      <c r="C224">
        <f>IF($W224="","",INDEX(합계표[부서],$W224)&amp;"")</f>
        <v/>
      </c>
      <c r="D224">
        <f>IF($W224="","",INDEX(합계표[직위(통합)],$W224)&amp;"")</f>
        <v/>
      </c>
      <c r="E224">
        <f>IF($W224="","",SUMIFS(합계표[시스템 합계],합계표[사번키],INDEX(합계표[사번키],$W224)))</f>
        <v/>
      </c>
      <c r="F224">
        <f>IF($W224="","",SUMIFS(상세표[기록 시간외],상세표[사번키],INDEX(합계표[사번키],$W224),상세표[기록월],대상월키))</f>
        <v/>
      </c>
      <c r="G224">
        <f>IF($W224="","",IF(ABS($E224-$F224)&lt;0.01,"일치","불일치(차이 "&amp;TEXT($F224-$E224,"0.00")&amp;")"))</f>
        <v/>
      </c>
      <c r="H224">
        <f>IF($W224="","",SUMIFS(상세표[기록 시간외],상세표[사번키],INDEX(합계표[사번키],$W224),상세표[기록월],대상월키,상세표[반영월],"&lt;&gt;"&amp;대상월키))</f>
        <v/>
      </c>
      <c r="I224">
        <f>IF($W224="","",SUMIFS(상세표[기록 시간외],상세표[사번키],INDEX(합계표[사번키],$W224),상세표[기록월],"&lt;&gt;"&amp;대상월키,상세표[반영월],대상월키))</f>
        <v/>
      </c>
      <c r="J224">
        <f>IF($W224="","",SUMIFS(상세표[기록 시간외],상세표[사번키],INDEX(합계표[사번키],$W224),상세표[반영월],대상월키))</f>
        <v/>
      </c>
      <c r="K224">
        <f>IF($W224="","",IFERROR(INDEX(월별근무지표[적용 급여병원],MATCH(INDEX(합계표[사번키],$W224)&amp;"|"&amp;대상월키,월별근무지표[키],0))&amp;"",IF(COUNTIF(기관표[사번키],INDEX(합계표[사번키],$W224))+COUNTIF(월별근무지표[사번키],INDEX(합계표[사번키],$W224))&gt;0,IFERROR(INDEX(기관표[급여지급병원(기준월)],MATCH(INDEX(합계표[사번키],$W224)&amp;"|"&amp;대상월키,기관표[키],0))&amp;"","—"),"—")))</f>
        <v/>
      </c>
      <c r="L224">
        <f>IF($W224="","",IF(NOT(COUNTIF(기관표[사번키],INDEX(합계표[사번키],$W224))+COUNTIF(월별근무지표[사번키],INDEX(합계표[사번키],$W224))&gt;0),"기관명단에 없음(다른 병원으로 발송)",IF($K224="—","대상월 기관명단 없음(추가 필요)",IF($K224="서울병원","해당","비해당"))))</f>
        <v/>
      </c>
      <c r="M224">
        <f>IF($W224="","",SUMIFS(상세표[06~07시],상세표[사번키],INDEX(합계표[사번키],$W224),상세표[반영월],대상월키,상세표[반영 기관],"서울병원"))</f>
        <v/>
      </c>
      <c r="N224">
        <f>IF($W224="","",SUMIFS(상세표[07~18시],상세표[사번키],INDEX(합계표[사번키],$W224),상세표[반영월],대상월키,상세표[반영 기관],"서울병원"))</f>
        <v/>
      </c>
      <c r="O224">
        <f>IF($W224="","",SUMIFS(상세표[18~22시],상세표[사번키],INDEX(합계표[사번키],$W224),상세표[반영월],대상월키,상세표[반영 기관],"서울병원"))</f>
        <v/>
      </c>
      <c r="P224">
        <f>IF($W224="","",SUMIFS(상세표[22~06시],상세표[사번키],INDEX(합계표[사번키],$W224),상세표[반영월],대상월키,상세표[반영 기관],"서울병원"))</f>
        <v/>
      </c>
      <c r="Q224">
        <f>IF($W224="","",SUM($M224:$P224))</f>
        <v/>
      </c>
      <c r="R224">
        <f>IF($W224="","",COUNTIFS(상세표[사번키],INDEX(합계표[사번키],$W224),상세표[반영월],대상월키,상세표[야간당직],1,상세표[야간 구분],"평일"))</f>
        <v/>
      </c>
      <c r="S224" s="4">
        <f>IF($W224="","",COUNTIFS(상세표[사번키],INDEX(합계표[사번키],$W224),상세표[반영월],대상월키,상세표[야간당직],1,상세표[야간 구분],"휴일"))</f>
        <v/>
      </c>
      <c r="T224">
        <f>IF($W224="","",COUNTIFS(상세표[사번키],INDEX(합계표[사번키],$W224),상세표[반영월],대상월키,상세표[야간당직],1,상세표[야간 구분],"평일",상세표[반영 기관],"서울병원"))</f>
        <v/>
      </c>
      <c r="U224">
        <f>IF($W224="","",COUNTIFS(상세표[사번키],INDEX(합계표[사번키],$W224),상세표[반영월],대상월키,상세표[야간당직],1,상세표[야간 구분],"휴일",상세표[반영 기관],"서울병원"))</f>
        <v/>
      </c>
      <c r="V224">
        <f>IF($W224="","",IF(ISNUMBER(MATCH(INDEX(합계표[사번키],$W224)&amp;"|"&amp;대상월키,월별근무지표[키],0)),"직접 입력",IF($K224="—","—","기관명단")))</f>
        <v/>
      </c>
      <c r="W224">
        <f>IFERROR(MATCH(219,합계표[판정순번],0),"")</f>
        <v/>
      </c>
      <c r="Y224">
        <f>IF($AB224="","",INDEX(상세표[사번],$AB224)&amp;"")</f>
        <v/>
      </c>
      <c r="Z224">
        <f>IF($AB224="","",INDEX(상세표[성명],$AB224)&amp;"")</f>
        <v/>
      </c>
      <c r="AA224">
        <f>IF($AB224="","",SUMIFS(상세표[기록 시간외],상세표[사번키],INDEX(상세표[사번키],$AB224),상세표[반영월],대상월키))</f>
        <v/>
      </c>
      <c r="AB224" s="4">
        <f>IFERROR(MATCH(219,상세표[합계없음순번],0),"")</f>
        <v/>
      </c>
    </row>
    <row r="225">
      <c r="A225">
        <f>IF($W225="","",INDEX(합계표[사번],$W225)&amp;"")</f>
        <v/>
      </c>
      <c r="B225">
        <f>IF($W225="","",INDEX(합계표[성명],$W225)&amp;"")</f>
        <v/>
      </c>
      <c r="C225">
        <f>IF($W225="","",INDEX(합계표[부서],$W225)&amp;"")</f>
        <v/>
      </c>
      <c r="D225">
        <f>IF($W225="","",INDEX(합계표[직위(통합)],$W225)&amp;"")</f>
        <v/>
      </c>
      <c r="E225">
        <f>IF($W225="","",SUMIFS(합계표[시스템 합계],합계표[사번키],INDEX(합계표[사번키],$W225)))</f>
        <v/>
      </c>
      <c r="F225">
        <f>IF($W225="","",SUMIFS(상세표[기록 시간외],상세표[사번키],INDEX(합계표[사번키],$W225),상세표[기록월],대상월키))</f>
        <v/>
      </c>
      <c r="G225">
        <f>IF($W225="","",IF(ABS($E225-$F225)&lt;0.01,"일치","불일치(차이 "&amp;TEXT($F225-$E225,"0.00")&amp;")"))</f>
        <v/>
      </c>
      <c r="H225">
        <f>IF($W225="","",SUMIFS(상세표[기록 시간외],상세표[사번키],INDEX(합계표[사번키],$W225),상세표[기록월],대상월키,상세표[반영월],"&lt;&gt;"&amp;대상월키))</f>
        <v/>
      </c>
      <c r="I225">
        <f>IF($W225="","",SUMIFS(상세표[기록 시간외],상세표[사번키],INDEX(합계표[사번키],$W225),상세표[기록월],"&lt;&gt;"&amp;대상월키,상세표[반영월],대상월키))</f>
        <v/>
      </c>
      <c r="J225">
        <f>IF($W225="","",SUMIFS(상세표[기록 시간외],상세표[사번키],INDEX(합계표[사번키],$W225),상세표[반영월],대상월키))</f>
        <v/>
      </c>
      <c r="K225">
        <f>IF($W225="","",IFERROR(INDEX(월별근무지표[적용 급여병원],MATCH(INDEX(합계표[사번키],$W225)&amp;"|"&amp;대상월키,월별근무지표[키],0))&amp;"",IF(COUNTIF(기관표[사번키],INDEX(합계표[사번키],$W225))+COUNTIF(월별근무지표[사번키],INDEX(합계표[사번키],$W225))&gt;0,IFERROR(INDEX(기관표[급여지급병원(기준월)],MATCH(INDEX(합계표[사번키],$W225)&amp;"|"&amp;대상월키,기관표[키],0))&amp;"","—"),"—")))</f>
        <v/>
      </c>
      <c r="L225">
        <f>IF($W225="","",IF(NOT(COUNTIF(기관표[사번키],INDEX(합계표[사번키],$W225))+COUNTIF(월별근무지표[사번키],INDEX(합계표[사번키],$W225))&gt;0),"기관명단에 없음(다른 병원으로 발송)",IF($K225="—","대상월 기관명단 없음(추가 필요)",IF($K225="서울병원","해당","비해당"))))</f>
        <v/>
      </c>
      <c r="M225">
        <f>IF($W225="","",SUMIFS(상세표[06~07시],상세표[사번키],INDEX(합계표[사번키],$W225),상세표[반영월],대상월키,상세표[반영 기관],"서울병원"))</f>
        <v/>
      </c>
      <c r="N225">
        <f>IF($W225="","",SUMIFS(상세표[07~18시],상세표[사번키],INDEX(합계표[사번키],$W225),상세표[반영월],대상월키,상세표[반영 기관],"서울병원"))</f>
        <v/>
      </c>
      <c r="O225">
        <f>IF($W225="","",SUMIFS(상세표[18~22시],상세표[사번키],INDEX(합계표[사번키],$W225),상세표[반영월],대상월키,상세표[반영 기관],"서울병원"))</f>
        <v/>
      </c>
      <c r="P225">
        <f>IF($W225="","",SUMIFS(상세표[22~06시],상세표[사번키],INDEX(합계표[사번키],$W225),상세표[반영월],대상월키,상세표[반영 기관],"서울병원"))</f>
        <v/>
      </c>
      <c r="Q225">
        <f>IF($W225="","",SUM($M225:$P225))</f>
        <v/>
      </c>
      <c r="R225">
        <f>IF($W225="","",COUNTIFS(상세표[사번키],INDEX(합계표[사번키],$W225),상세표[반영월],대상월키,상세표[야간당직],1,상세표[야간 구분],"평일"))</f>
        <v/>
      </c>
      <c r="S225" s="4">
        <f>IF($W225="","",COUNTIFS(상세표[사번키],INDEX(합계표[사번키],$W225),상세표[반영월],대상월키,상세표[야간당직],1,상세표[야간 구분],"휴일"))</f>
        <v/>
      </c>
      <c r="T225">
        <f>IF($W225="","",COUNTIFS(상세표[사번키],INDEX(합계표[사번키],$W225),상세표[반영월],대상월키,상세표[야간당직],1,상세표[야간 구분],"평일",상세표[반영 기관],"서울병원"))</f>
        <v/>
      </c>
      <c r="U225">
        <f>IF($W225="","",COUNTIFS(상세표[사번키],INDEX(합계표[사번키],$W225),상세표[반영월],대상월키,상세표[야간당직],1,상세표[야간 구분],"휴일",상세표[반영 기관],"서울병원"))</f>
        <v/>
      </c>
      <c r="V225">
        <f>IF($W225="","",IF(ISNUMBER(MATCH(INDEX(합계표[사번키],$W225)&amp;"|"&amp;대상월키,월별근무지표[키],0)),"직접 입력",IF($K225="—","—","기관명단")))</f>
        <v/>
      </c>
      <c r="W225">
        <f>IFERROR(MATCH(220,합계표[판정순번],0),"")</f>
        <v/>
      </c>
      <c r="Y225">
        <f>IF($AB225="","",INDEX(상세표[사번],$AB225)&amp;"")</f>
        <v/>
      </c>
      <c r="Z225">
        <f>IF($AB225="","",INDEX(상세표[성명],$AB225)&amp;"")</f>
        <v/>
      </c>
      <c r="AA225">
        <f>IF($AB225="","",SUMIFS(상세표[기록 시간외],상세표[사번키],INDEX(상세표[사번키],$AB225),상세표[반영월],대상월키))</f>
        <v/>
      </c>
      <c r="AB225" s="4">
        <f>IFERROR(MATCH(220,상세표[합계없음순번],0),"")</f>
        <v/>
      </c>
    </row>
    <row r="226">
      <c r="A226">
        <f>IF($W226="","",INDEX(합계표[사번],$W226)&amp;"")</f>
        <v/>
      </c>
      <c r="B226">
        <f>IF($W226="","",INDEX(합계표[성명],$W226)&amp;"")</f>
        <v/>
      </c>
      <c r="C226">
        <f>IF($W226="","",INDEX(합계표[부서],$W226)&amp;"")</f>
        <v/>
      </c>
      <c r="D226">
        <f>IF($W226="","",INDEX(합계표[직위(통합)],$W226)&amp;"")</f>
        <v/>
      </c>
      <c r="E226">
        <f>IF($W226="","",SUMIFS(합계표[시스템 합계],합계표[사번키],INDEX(합계표[사번키],$W226)))</f>
        <v/>
      </c>
      <c r="F226">
        <f>IF($W226="","",SUMIFS(상세표[기록 시간외],상세표[사번키],INDEX(합계표[사번키],$W226),상세표[기록월],대상월키))</f>
        <v/>
      </c>
      <c r="G226">
        <f>IF($W226="","",IF(ABS($E226-$F226)&lt;0.01,"일치","불일치(차이 "&amp;TEXT($F226-$E226,"0.00")&amp;")"))</f>
        <v/>
      </c>
      <c r="H226">
        <f>IF($W226="","",SUMIFS(상세표[기록 시간외],상세표[사번키],INDEX(합계표[사번키],$W226),상세표[기록월],대상월키,상세표[반영월],"&lt;&gt;"&amp;대상월키))</f>
        <v/>
      </c>
      <c r="I226">
        <f>IF($W226="","",SUMIFS(상세표[기록 시간외],상세표[사번키],INDEX(합계표[사번키],$W226),상세표[기록월],"&lt;&gt;"&amp;대상월키,상세표[반영월],대상월키))</f>
        <v/>
      </c>
      <c r="J226">
        <f>IF($W226="","",SUMIFS(상세표[기록 시간외],상세표[사번키],INDEX(합계표[사번키],$W226),상세표[반영월],대상월키))</f>
        <v/>
      </c>
      <c r="K226">
        <f>IF($W226="","",IFERROR(INDEX(월별근무지표[적용 급여병원],MATCH(INDEX(합계표[사번키],$W226)&amp;"|"&amp;대상월키,월별근무지표[키],0))&amp;"",IF(COUNTIF(기관표[사번키],INDEX(합계표[사번키],$W226))+COUNTIF(월별근무지표[사번키],INDEX(합계표[사번키],$W226))&gt;0,IFERROR(INDEX(기관표[급여지급병원(기준월)],MATCH(INDEX(합계표[사번키],$W226)&amp;"|"&amp;대상월키,기관표[키],0))&amp;"","—"),"—")))</f>
        <v/>
      </c>
      <c r="L226">
        <f>IF($W226="","",IF(NOT(COUNTIF(기관표[사번키],INDEX(합계표[사번키],$W226))+COUNTIF(월별근무지표[사번키],INDEX(합계표[사번키],$W226))&gt;0),"기관명단에 없음(다른 병원으로 발송)",IF($K226="—","대상월 기관명단 없음(추가 필요)",IF($K226="서울병원","해당","비해당"))))</f>
        <v/>
      </c>
      <c r="M226">
        <f>IF($W226="","",SUMIFS(상세표[06~07시],상세표[사번키],INDEX(합계표[사번키],$W226),상세표[반영월],대상월키,상세표[반영 기관],"서울병원"))</f>
        <v/>
      </c>
      <c r="N226">
        <f>IF($W226="","",SUMIFS(상세표[07~18시],상세표[사번키],INDEX(합계표[사번키],$W226),상세표[반영월],대상월키,상세표[반영 기관],"서울병원"))</f>
        <v/>
      </c>
      <c r="O226">
        <f>IF($W226="","",SUMIFS(상세표[18~22시],상세표[사번키],INDEX(합계표[사번키],$W226),상세표[반영월],대상월키,상세표[반영 기관],"서울병원"))</f>
        <v/>
      </c>
      <c r="P226">
        <f>IF($W226="","",SUMIFS(상세표[22~06시],상세표[사번키],INDEX(합계표[사번키],$W226),상세표[반영월],대상월키,상세표[반영 기관],"서울병원"))</f>
        <v/>
      </c>
      <c r="Q226">
        <f>IF($W226="","",SUM($M226:$P226))</f>
        <v/>
      </c>
      <c r="R226">
        <f>IF($W226="","",COUNTIFS(상세표[사번키],INDEX(합계표[사번키],$W226),상세표[반영월],대상월키,상세표[야간당직],1,상세표[야간 구분],"평일"))</f>
        <v/>
      </c>
      <c r="S226" s="4">
        <f>IF($W226="","",COUNTIFS(상세표[사번키],INDEX(합계표[사번키],$W226),상세표[반영월],대상월키,상세표[야간당직],1,상세표[야간 구분],"휴일"))</f>
        <v/>
      </c>
      <c r="T226">
        <f>IF($W226="","",COUNTIFS(상세표[사번키],INDEX(합계표[사번키],$W226),상세표[반영월],대상월키,상세표[야간당직],1,상세표[야간 구분],"평일",상세표[반영 기관],"서울병원"))</f>
        <v/>
      </c>
      <c r="U226">
        <f>IF($W226="","",COUNTIFS(상세표[사번키],INDEX(합계표[사번키],$W226),상세표[반영월],대상월키,상세표[야간당직],1,상세표[야간 구분],"휴일",상세표[반영 기관],"서울병원"))</f>
        <v/>
      </c>
      <c r="V226">
        <f>IF($W226="","",IF(ISNUMBER(MATCH(INDEX(합계표[사번키],$W226)&amp;"|"&amp;대상월키,월별근무지표[키],0)),"직접 입력",IF($K226="—","—","기관명단")))</f>
        <v/>
      </c>
      <c r="W226">
        <f>IFERROR(MATCH(221,합계표[판정순번],0),"")</f>
        <v/>
      </c>
      <c r="Y226">
        <f>IF($AB226="","",INDEX(상세표[사번],$AB226)&amp;"")</f>
        <v/>
      </c>
      <c r="Z226">
        <f>IF($AB226="","",INDEX(상세표[성명],$AB226)&amp;"")</f>
        <v/>
      </c>
      <c r="AA226">
        <f>IF($AB226="","",SUMIFS(상세표[기록 시간외],상세표[사번키],INDEX(상세표[사번키],$AB226),상세표[반영월],대상월키))</f>
        <v/>
      </c>
      <c r="AB226" s="4">
        <f>IFERROR(MATCH(221,상세표[합계없음순번],0),"")</f>
        <v/>
      </c>
    </row>
    <row r="227">
      <c r="A227">
        <f>IF($W227="","",INDEX(합계표[사번],$W227)&amp;"")</f>
        <v/>
      </c>
      <c r="B227">
        <f>IF($W227="","",INDEX(합계표[성명],$W227)&amp;"")</f>
        <v/>
      </c>
      <c r="C227">
        <f>IF($W227="","",INDEX(합계표[부서],$W227)&amp;"")</f>
        <v/>
      </c>
      <c r="D227">
        <f>IF($W227="","",INDEX(합계표[직위(통합)],$W227)&amp;"")</f>
        <v/>
      </c>
      <c r="E227">
        <f>IF($W227="","",SUMIFS(합계표[시스템 합계],합계표[사번키],INDEX(합계표[사번키],$W227)))</f>
        <v/>
      </c>
      <c r="F227">
        <f>IF($W227="","",SUMIFS(상세표[기록 시간외],상세표[사번키],INDEX(합계표[사번키],$W227),상세표[기록월],대상월키))</f>
        <v/>
      </c>
      <c r="G227">
        <f>IF($W227="","",IF(ABS($E227-$F227)&lt;0.01,"일치","불일치(차이 "&amp;TEXT($F227-$E227,"0.00")&amp;")"))</f>
        <v/>
      </c>
      <c r="H227">
        <f>IF($W227="","",SUMIFS(상세표[기록 시간외],상세표[사번키],INDEX(합계표[사번키],$W227),상세표[기록월],대상월키,상세표[반영월],"&lt;&gt;"&amp;대상월키))</f>
        <v/>
      </c>
      <c r="I227">
        <f>IF($W227="","",SUMIFS(상세표[기록 시간외],상세표[사번키],INDEX(합계표[사번키],$W227),상세표[기록월],"&lt;&gt;"&amp;대상월키,상세표[반영월],대상월키))</f>
        <v/>
      </c>
      <c r="J227">
        <f>IF($W227="","",SUMIFS(상세표[기록 시간외],상세표[사번키],INDEX(합계표[사번키],$W227),상세표[반영월],대상월키))</f>
        <v/>
      </c>
      <c r="K227">
        <f>IF($W227="","",IFERROR(INDEX(월별근무지표[적용 급여병원],MATCH(INDEX(합계표[사번키],$W227)&amp;"|"&amp;대상월키,월별근무지표[키],0))&amp;"",IF(COUNTIF(기관표[사번키],INDEX(합계표[사번키],$W227))+COUNTIF(월별근무지표[사번키],INDEX(합계표[사번키],$W227))&gt;0,IFERROR(INDEX(기관표[급여지급병원(기준월)],MATCH(INDEX(합계표[사번키],$W227)&amp;"|"&amp;대상월키,기관표[키],0))&amp;"","—"),"—")))</f>
        <v/>
      </c>
      <c r="L227">
        <f>IF($W227="","",IF(NOT(COUNTIF(기관표[사번키],INDEX(합계표[사번키],$W227))+COUNTIF(월별근무지표[사번키],INDEX(합계표[사번키],$W227))&gt;0),"기관명단에 없음(다른 병원으로 발송)",IF($K227="—","대상월 기관명단 없음(추가 필요)",IF($K227="서울병원","해당","비해당"))))</f>
        <v/>
      </c>
      <c r="M227">
        <f>IF($W227="","",SUMIFS(상세표[06~07시],상세표[사번키],INDEX(합계표[사번키],$W227),상세표[반영월],대상월키,상세표[반영 기관],"서울병원"))</f>
        <v/>
      </c>
      <c r="N227">
        <f>IF($W227="","",SUMIFS(상세표[07~18시],상세표[사번키],INDEX(합계표[사번키],$W227),상세표[반영월],대상월키,상세표[반영 기관],"서울병원"))</f>
        <v/>
      </c>
      <c r="O227">
        <f>IF($W227="","",SUMIFS(상세표[18~22시],상세표[사번키],INDEX(합계표[사번키],$W227),상세표[반영월],대상월키,상세표[반영 기관],"서울병원"))</f>
        <v/>
      </c>
      <c r="P227">
        <f>IF($W227="","",SUMIFS(상세표[22~06시],상세표[사번키],INDEX(합계표[사번키],$W227),상세표[반영월],대상월키,상세표[반영 기관],"서울병원"))</f>
        <v/>
      </c>
      <c r="Q227">
        <f>IF($W227="","",SUM($M227:$P227))</f>
        <v/>
      </c>
      <c r="R227">
        <f>IF($W227="","",COUNTIFS(상세표[사번키],INDEX(합계표[사번키],$W227),상세표[반영월],대상월키,상세표[야간당직],1,상세표[야간 구분],"평일"))</f>
        <v/>
      </c>
      <c r="S227" s="4">
        <f>IF($W227="","",COUNTIFS(상세표[사번키],INDEX(합계표[사번키],$W227),상세표[반영월],대상월키,상세표[야간당직],1,상세표[야간 구분],"휴일"))</f>
        <v/>
      </c>
      <c r="T227">
        <f>IF($W227="","",COUNTIFS(상세표[사번키],INDEX(합계표[사번키],$W227),상세표[반영월],대상월키,상세표[야간당직],1,상세표[야간 구분],"평일",상세표[반영 기관],"서울병원"))</f>
        <v/>
      </c>
      <c r="U227">
        <f>IF($W227="","",COUNTIFS(상세표[사번키],INDEX(합계표[사번키],$W227),상세표[반영월],대상월키,상세표[야간당직],1,상세표[야간 구분],"휴일",상세표[반영 기관],"서울병원"))</f>
        <v/>
      </c>
      <c r="V227">
        <f>IF($W227="","",IF(ISNUMBER(MATCH(INDEX(합계표[사번키],$W227)&amp;"|"&amp;대상월키,월별근무지표[키],0)),"직접 입력",IF($K227="—","—","기관명단")))</f>
        <v/>
      </c>
      <c r="W227">
        <f>IFERROR(MATCH(222,합계표[판정순번],0),"")</f>
        <v/>
      </c>
      <c r="Y227">
        <f>IF($AB227="","",INDEX(상세표[사번],$AB227)&amp;"")</f>
        <v/>
      </c>
      <c r="Z227">
        <f>IF($AB227="","",INDEX(상세표[성명],$AB227)&amp;"")</f>
        <v/>
      </c>
      <c r="AA227">
        <f>IF($AB227="","",SUMIFS(상세표[기록 시간외],상세표[사번키],INDEX(상세표[사번키],$AB227),상세표[반영월],대상월키))</f>
        <v/>
      </c>
      <c r="AB227" s="4">
        <f>IFERROR(MATCH(222,상세표[합계없음순번],0),"")</f>
        <v/>
      </c>
    </row>
    <row r="228">
      <c r="A228">
        <f>IF($W228="","",INDEX(합계표[사번],$W228)&amp;"")</f>
        <v/>
      </c>
      <c r="B228">
        <f>IF($W228="","",INDEX(합계표[성명],$W228)&amp;"")</f>
        <v/>
      </c>
      <c r="C228">
        <f>IF($W228="","",INDEX(합계표[부서],$W228)&amp;"")</f>
        <v/>
      </c>
      <c r="D228">
        <f>IF($W228="","",INDEX(합계표[직위(통합)],$W228)&amp;"")</f>
        <v/>
      </c>
      <c r="E228">
        <f>IF($W228="","",SUMIFS(합계표[시스템 합계],합계표[사번키],INDEX(합계표[사번키],$W228)))</f>
        <v/>
      </c>
      <c r="F228">
        <f>IF($W228="","",SUMIFS(상세표[기록 시간외],상세표[사번키],INDEX(합계표[사번키],$W228),상세표[기록월],대상월키))</f>
        <v/>
      </c>
      <c r="G228">
        <f>IF($W228="","",IF(ABS($E228-$F228)&lt;0.01,"일치","불일치(차이 "&amp;TEXT($F228-$E228,"0.00")&amp;")"))</f>
        <v/>
      </c>
      <c r="H228">
        <f>IF($W228="","",SUMIFS(상세표[기록 시간외],상세표[사번키],INDEX(합계표[사번키],$W228),상세표[기록월],대상월키,상세표[반영월],"&lt;&gt;"&amp;대상월키))</f>
        <v/>
      </c>
      <c r="I228">
        <f>IF($W228="","",SUMIFS(상세표[기록 시간외],상세표[사번키],INDEX(합계표[사번키],$W228),상세표[기록월],"&lt;&gt;"&amp;대상월키,상세표[반영월],대상월키))</f>
        <v/>
      </c>
      <c r="J228">
        <f>IF($W228="","",SUMIFS(상세표[기록 시간외],상세표[사번키],INDEX(합계표[사번키],$W228),상세표[반영월],대상월키))</f>
        <v/>
      </c>
      <c r="K228">
        <f>IF($W228="","",IFERROR(INDEX(월별근무지표[적용 급여병원],MATCH(INDEX(합계표[사번키],$W228)&amp;"|"&amp;대상월키,월별근무지표[키],0))&amp;"",IF(COUNTIF(기관표[사번키],INDEX(합계표[사번키],$W228))+COUNTIF(월별근무지표[사번키],INDEX(합계표[사번키],$W228))&gt;0,IFERROR(INDEX(기관표[급여지급병원(기준월)],MATCH(INDEX(합계표[사번키],$W228)&amp;"|"&amp;대상월키,기관표[키],0))&amp;"","—"),"—")))</f>
        <v/>
      </c>
      <c r="L228">
        <f>IF($W228="","",IF(NOT(COUNTIF(기관표[사번키],INDEX(합계표[사번키],$W228))+COUNTIF(월별근무지표[사번키],INDEX(합계표[사번키],$W228))&gt;0),"기관명단에 없음(다른 병원으로 발송)",IF($K228="—","대상월 기관명단 없음(추가 필요)",IF($K228="서울병원","해당","비해당"))))</f>
        <v/>
      </c>
      <c r="M228">
        <f>IF($W228="","",SUMIFS(상세표[06~07시],상세표[사번키],INDEX(합계표[사번키],$W228),상세표[반영월],대상월키,상세표[반영 기관],"서울병원"))</f>
        <v/>
      </c>
      <c r="N228">
        <f>IF($W228="","",SUMIFS(상세표[07~18시],상세표[사번키],INDEX(합계표[사번키],$W228),상세표[반영월],대상월키,상세표[반영 기관],"서울병원"))</f>
        <v/>
      </c>
      <c r="O228">
        <f>IF($W228="","",SUMIFS(상세표[18~22시],상세표[사번키],INDEX(합계표[사번키],$W228),상세표[반영월],대상월키,상세표[반영 기관],"서울병원"))</f>
        <v/>
      </c>
      <c r="P228">
        <f>IF($W228="","",SUMIFS(상세표[22~06시],상세표[사번키],INDEX(합계표[사번키],$W228),상세표[반영월],대상월키,상세표[반영 기관],"서울병원"))</f>
        <v/>
      </c>
      <c r="Q228">
        <f>IF($W228="","",SUM($M228:$P228))</f>
        <v/>
      </c>
      <c r="R228">
        <f>IF($W228="","",COUNTIFS(상세표[사번키],INDEX(합계표[사번키],$W228),상세표[반영월],대상월키,상세표[야간당직],1,상세표[야간 구분],"평일"))</f>
        <v/>
      </c>
      <c r="S228" s="4">
        <f>IF($W228="","",COUNTIFS(상세표[사번키],INDEX(합계표[사번키],$W228),상세표[반영월],대상월키,상세표[야간당직],1,상세표[야간 구분],"휴일"))</f>
        <v/>
      </c>
      <c r="T228">
        <f>IF($W228="","",COUNTIFS(상세표[사번키],INDEX(합계표[사번키],$W228),상세표[반영월],대상월키,상세표[야간당직],1,상세표[야간 구분],"평일",상세표[반영 기관],"서울병원"))</f>
        <v/>
      </c>
      <c r="U228">
        <f>IF($W228="","",COUNTIFS(상세표[사번키],INDEX(합계표[사번키],$W228),상세표[반영월],대상월키,상세표[야간당직],1,상세표[야간 구분],"휴일",상세표[반영 기관],"서울병원"))</f>
        <v/>
      </c>
      <c r="V228">
        <f>IF($W228="","",IF(ISNUMBER(MATCH(INDEX(합계표[사번키],$W228)&amp;"|"&amp;대상월키,월별근무지표[키],0)),"직접 입력",IF($K228="—","—","기관명단")))</f>
        <v/>
      </c>
      <c r="W228">
        <f>IFERROR(MATCH(223,합계표[판정순번],0),"")</f>
        <v/>
      </c>
      <c r="Y228">
        <f>IF($AB228="","",INDEX(상세표[사번],$AB228)&amp;"")</f>
        <v/>
      </c>
      <c r="Z228">
        <f>IF($AB228="","",INDEX(상세표[성명],$AB228)&amp;"")</f>
        <v/>
      </c>
      <c r="AA228">
        <f>IF($AB228="","",SUMIFS(상세표[기록 시간외],상세표[사번키],INDEX(상세표[사번키],$AB228),상세표[반영월],대상월키))</f>
        <v/>
      </c>
      <c r="AB228" s="4">
        <f>IFERROR(MATCH(223,상세표[합계없음순번],0),"")</f>
        <v/>
      </c>
    </row>
    <row r="229">
      <c r="A229">
        <f>IF($W229="","",INDEX(합계표[사번],$W229)&amp;"")</f>
        <v/>
      </c>
      <c r="B229">
        <f>IF($W229="","",INDEX(합계표[성명],$W229)&amp;"")</f>
        <v/>
      </c>
      <c r="C229">
        <f>IF($W229="","",INDEX(합계표[부서],$W229)&amp;"")</f>
        <v/>
      </c>
      <c r="D229">
        <f>IF($W229="","",INDEX(합계표[직위(통합)],$W229)&amp;"")</f>
        <v/>
      </c>
      <c r="E229">
        <f>IF($W229="","",SUMIFS(합계표[시스템 합계],합계표[사번키],INDEX(합계표[사번키],$W229)))</f>
        <v/>
      </c>
      <c r="F229">
        <f>IF($W229="","",SUMIFS(상세표[기록 시간외],상세표[사번키],INDEX(합계표[사번키],$W229),상세표[기록월],대상월키))</f>
        <v/>
      </c>
      <c r="G229">
        <f>IF($W229="","",IF(ABS($E229-$F229)&lt;0.01,"일치","불일치(차이 "&amp;TEXT($F229-$E229,"0.00")&amp;")"))</f>
        <v/>
      </c>
      <c r="H229">
        <f>IF($W229="","",SUMIFS(상세표[기록 시간외],상세표[사번키],INDEX(합계표[사번키],$W229),상세표[기록월],대상월키,상세표[반영월],"&lt;&gt;"&amp;대상월키))</f>
        <v/>
      </c>
      <c r="I229">
        <f>IF($W229="","",SUMIFS(상세표[기록 시간외],상세표[사번키],INDEX(합계표[사번키],$W229),상세표[기록월],"&lt;&gt;"&amp;대상월키,상세표[반영월],대상월키))</f>
        <v/>
      </c>
      <c r="J229">
        <f>IF($W229="","",SUMIFS(상세표[기록 시간외],상세표[사번키],INDEX(합계표[사번키],$W229),상세표[반영월],대상월키))</f>
        <v/>
      </c>
      <c r="K229">
        <f>IF($W229="","",IFERROR(INDEX(월별근무지표[적용 급여병원],MATCH(INDEX(합계표[사번키],$W229)&amp;"|"&amp;대상월키,월별근무지표[키],0))&amp;"",IF(COUNTIF(기관표[사번키],INDEX(합계표[사번키],$W229))+COUNTIF(월별근무지표[사번키],INDEX(합계표[사번키],$W229))&gt;0,IFERROR(INDEX(기관표[급여지급병원(기준월)],MATCH(INDEX(합계표[사번키],$W229)&amp;"|"&amp;대상월키,기관표[키],0))&amp;"","—"),"—")))</f>
        <v/>
      </c>
      <c r="L229">
        <f>IF($W229="","",IF(NOT(COUNTIF(기관표[사번키],INDEX(합계표[사번키],$W229))+COUNTIF(월별근무지표[사번키],INDEX(합계표[사번키],$W229))&gt;0),"기관명단에 없음(다른 병원으로 발송)",IF($K229="—","대상월 기관명단 없음(추가 필요)",IF($K229="서울병원","해당","비해당"))))</f>
        <v/>
      </c>
      <c r="M229">
        <f>IF($W229="","",SUMIFS(상세표[06~07시],상세표[사번키],INDEX(합계표[사번키],$W229),상세표[반영월],대상월키,상세표[반영 기관],"서울병원"))</f>
        <v/>
      </c>
      <c r="N229">
        <f>IF($W229="","",SUMIFS(상세표[07~18시],상세표[사번키],INDEX(합계표[사번키],$W229),상세표[반영월],대상월키,상세표[반영 기관],"서울병원"))</f>
        <v/>
      </c>
      <c r="O229">
        <f>IF($W229="","",SUMIFS(상세표[18~22시],상세표[사번키],INDEX(합계표[사번키],$W229),상세표[반영월],대상월키,상세표[반영 기관],"서울병원"))</f>
        <v/>
      </c>
      <c r="P229">
        <f>IF($W229="","",SUMIFS(상세표[22~06시],상세표[사번키],INDEX(합계표[사번키],$W229),상세표[반영월],대상월키,상세표[반영 기관],"서울병원"))</f>
        <v/>
      </c>
      <c r="Q229">
        <f>IF($W229="","",SUM($M229:$P229))</f>
        <v/>
      </c>
      <c r="R229">
        <f>IF($W229="","",COUNTIFS(상세표[사번키],INDEX(합계표[사번키],$W229),상세표[반영월],대상월키,상세표[야간당직],1,상세표[야간 구분],"평일"))</f>
        <v/>
      </c>
      <c r="S229" s="4">
        <f>IF($W229="","",COUNTIFS(상세표[사번키],INDEX(합계표[사번키],$W229),상세표[반영월],대상월키,상세표[야간당직],1,상세표[야간 구분],"휴일"))</f>
        <v/>
      </c>
      <c r="T229">
        <f>IF($W229="","",COUNTIFS(상세표[사번키],INDEX(합계표[사번키],$W229),상세표[반영월],대상월키,상세표[야간당직],1,상세표[야간 구분],"평일",상세표[반영 기관],"서울병원"))</f>
        <v/>
      </c>
      <c r="U229">
        <f>IF($W229="","",COUNTIFS(상세표[사번키],INDEX(합계표[사번키],$W229),상세표[반영월],대상월키,상세표[야간당직],1,상세표[야간 구분],"휴일",상세표[반영 기관],"서울병원"))</f>
        <v/>
      </c>
      <c r="V229">
        <f>IF($W229="","",IF(ISNUMBER(MATCH(INDEX(합계표[사번키],$W229)&amp;"|"&amp;대상월키,월별근무지표[키],0)),"직접 입력",IF($K229="—","—","기관명단")))</f>
        <v/>
      </c>
      <c r="W229">
        <f>IFERROR(MATCH(224,합계표[판정순번],0),"")</f>
        <v/>
      </c>
      <c r="Y229">
        <f>IF($AB229="","",INDEX(상세표[사번],$AB229)&amp;"")</f>
        <v/>
      </c>
      <c r="Z229">
        <f>IF($AB229="","",INDEX(상세표[성명],$AB229)&amp;"")</f>
        <v/>
      </c>
      <c r="AA229">
        <f>IF($AB229="","",SUMIFS(상세표[기록 시간외],상세표[사번키],INDEX(상세표[사번키],$AB229),상세표[반영월],대상월키))</f>
        <v/>
      </c>
      <c r="AB229" s="4">
        <f>IFERROR(MATCH(224,상세표[합계없음순번],0),"")</f>
        <v/>
      </c>
    </row>
    <row r="230">
      <c r="A230">
        <f>IF($W230="","",INDEX(합계표[사번],$W230)&amp;"")</f>
        <v/>
      </c>
      <c r="B230">
        <f>IF($W230="","",INDEX(합계표[성명],$W230)&amp;"")</f>
        <v/>
      </c>
      <c r="C230">
        <f>IF($W230="","",INDEX(합계표[부서],$W230)&amp;"")</f>
        <v/>
      </c>
      <c r="D230">
        <f>IF($W230="","",INDEX(합계표[직위(통합)],$W230)&amp;"")</f>
        <v/>
      </c>
      <c r="E230">
        <f>IF($W230="","",SUMIFS(합계표[시스템 합계],합계표[사번키],INDEX(합계표[사번키],$W230)))</f>
        <v/>
      </c>
      <c r="F230">
        <f>IF($W230="","",SUMIFS(상세표[기록 시간외],상세표[사번키],INDEX(합계표[사번키],$W230),상세표[기록월],대상월키))</f>
        <v/>
      </c>
      <c r="G230">
        <f>IF($W230="","",IF(ABS($E230-$F230)&lt;0.01,"일치","불일치(차이 "&amp;TEXT($F230-$E230,"0.00")&amp;")"))</f>
        <v/>
      </c>
      <c r="H230">
        <f>IF($W230="","",SUMIFS(상세표[기록 시간외],상세표[사번키],INDEX(합계표[사번키],$W230),상세표[기록월],대상월키,상세표[반영월],"&lt;&gt;"&amp;대상월키))</f>
        <v/>
      </c>
      <c r="I230">
        <f>IF($W230="","",SUMIFS(상세표[기록 시간외],상세표[사번키],INDEX(합계표[사번키],$W230),상세표[기록월],"&lt;&gt;"&amp;대상월키,상세표[반영월],대상월키))</f>
        <v/>
      </c>
      <c r="J230">
        <f>IF($W230="","",SUMIFS(상세표[기록 시간외],상세표[사번키],INDEX(합계표[사번키],$W230),상세표[반영월],대상월키))</f>
        <v/>
      </c>
      <c r="K230">
        <f>IF($W230="","",IFERROR(INDEX(월별근무지표[적용 급여병원],MATCH(INDEX(합계표[사번키],$W230)&amp;"|"&amp;대상월키,월별근무지표[키],0))&amp;"",IF(COUNTIF(기관표[사번키],INDEX(합계표[사번키],$W230))+COUNTIF(월별근무지표[사번키],INDEX(합계표[사번키],$W230))&gt;0,IFERROR(INDEX(기관표[급여지급병원(기준월)],MATCH(INDEX(합계표[사번키],$W230)&amp;"|"&amp;대상월키,기관표[키],0))&amp;"","—"),"—")))</f>
        <v/>
      </c>
      <c r="L230">
        <f>IF($W230="","",IF(NOT(COUNTIF(기관표[사번키],INDEX(합계표[사번키],$W230))+COUNTIF(월별근무지표[사번키],INDEX(합계표[사번키],$W230))&gt;0),"기관명단에 없음(다른 병원으로 발송)",IF($K230="—","대상월 기관명단 없음(추가 필요)",IF($K230="서울병원","해당","비해당"))))</f>
        <v/>
      </c>
      <c r="M230">
        <f>IF($W230="","",SUMIFS(상세표[06~07시],상세표[사번키],INDEX(합계표[사번키],$W230),상세표[반영월],대상월키,상세표[반영 기관],"서울병원"))</f>
        <v/>
      </c>
      <c r="N230">
        <f>IF($W230="","",SUMIFS(상세표[07~18시],상세표[사번키],INDEX(합계표[사번키],$W230),상세표[반영월],대상월키,상세표[반영 기관],"서울병원"))</f>
        <v/>
      </c>
      <c r="O230">
        <f>IF($W230="","",SUMIFS(상세표[18~22시],상세표[사번키],INDEX(합계표[사번키],$W230),상세표[반영월],대상월키,상세표[반영 기관],"서울병원"))</f>
        <v/>
      </c>
      <c r="P230">
        <f>IF($W230="","",SUMIFS(상세표[22~06시],상세표[사번키],INDEX(합계표[사번키],$W230),상세표[반영월],대상월키,상세표[반영 기관],"서울병원"))</f>
        <v/>
      </c>
      <c r="Q230">
        <f>IF($W230="","",SUM($M230:$P230))</f>
        <v/>
      </c>
      <c r="R230">
        <f>IF($W230="","",COUNTIFS(상세표[사번키],INDEX(합계표[사번키],$W230),상세표[반영월],대상월키,상세표[야간당직],1,상세표[야간 구분],"평일"))</f>
        <v/>
      </c>
      <c r="S230" s="4">
        <f>IF($W230="","",COUNTIFS(상세표[사번키],INDEX(합계표[사번키],$W230),상세표[반영월],대상월키,상세표[야간당직],1,상세표[야간 구분],"휴일"))</f>
        <v/>
      </c>
      <c r="T230">
        <f>IF($W230="","",COUNTIFS(상세표[사번키],INDEX(합계표[사번키],$W230),상세표[반영월],대상월키,상세표[야간당직],1,상세표[야간 구분],"평일",상세표[반영 기관],"서울병원"))</f>
        <v/>
      </c>
      <c r="U230">
        <f>IF($W230="","",COUNTIFS(상세표[사번키],INDEX(합계표[사번키],$W230),상세표[반영월],대상월키,상세표[야간당직],1,상세표[야간 구분],"휴일",상세표[반영 기관],"서울병원"))</f>
        <v/>
      </c>
      <c r="V230">
        <f>IF($W230="","",IF(ISNUMBER(MATCH(INDEX(합계표[사번키],$W230)&amp;"|"&amp;대상월키,월별근무지표[키],0)),"직접 입력",IF($K230="—","—","기관명단")))</f>
        <v/>
      </c>
      <c r="W230">
        <f>IFERROR(MATCH(225,합계표[판정순번],0),"")</f>
        <v/>
      </c>
      <c r="Y230">
        <f>IF($AB230="","",INDEX(상세표[사번],$AB230)&amp;"")</f>
        <v/>
      </c>
      <c r="Z230">
        <f>IF($AB230="","",INDEX(상세표[성명],$AB230)&amp;"")</f>
        <v/>
      </c>
      <c r="AA230">
        <f>IF($AB230="","",SUMIFS(상세표[기록 시간외],상세표[사번키],INDEX(상세표[사번키],$AB230),상세표[반영월],대상월키))</f>
        <v/>
      </c>
      <c r="AB230" s="4">
        <f>IFERROR(MATCH(225,상세표[합계없음순번],0),"")</f>
        <v/>
      </c>
    </row>
    <row r="231">
      <c r="A231">
        <f>IF($W231="","",INDEX(합계표[사번],$W231)&amp;"")</f>
        <v/>
      </c>
      <c r="B231">
        <f>IF($W231="","",INDEX(합계표[성명],$W231)&amp;"")</f>
        <v/>
      </c>
      <c r="C231">
        <f>IF($W231="","",INDEX(합계표[부서],$W231)&amp;"")</f>
        <v/>
      </c>
      <c r="D231">
        <f>IF($W231="","",INDEX(합계표[직위(통합)],$W231)&amp;"")</f>
        <v/>
      </c>
      <c r="E231">
        <f>IF($W231="","",SUMIFS(합계표[시스템 합계],합계표[사번키],INDEX(합계표[사번키],$W231)))</f>
        <v/>
      </c>
      <c r="F231">
        <f>IF($W231="","",SUMIFS(상세표[기록 시간외],상세표[사번키],INDEX(합계표[사번키],$W231),상세표[기록월],대상월키))</f>
        <v/>
      </c>
      <c r="G231">
        <f>IF($W231="","",IF(ABS($E231-$F231)&lt;0.01,"일치","불일치(차이 "&amp;TEXT($F231-$E231,"0.00")&amp;")"))</f>
        <v/>
      </c>
      <c r="H231">
        <f>IF($W231="","",SUMIFS(상세표[기록 시간외],상세표[사번키],INDEX(합계표[사번키],$W231),상세표[기록월],대상월키,상세표[반영월],"&lt;&gt;"&amp;대상월키))</f>
        <v/>
      </c>
      <c r="I231">
        <f>IF($W231="","",SUMIFS(상세표[기록 시간외],상세표[사번키],INDEX(합계표[사번키],$W231),상세표[기록월],"&lt;&gt;"&amp;대상월키,상세표[반영월],대상월키))</f>
        <v/>
      </c>
      <c r="J231">
        <f>IF($W231="","",SUMIFS(상세표[기록 시간외],상세표[사번키],INDEX(합계표[사번키],$W231),상세표[반영월],대상월키))</f>
        <v/>
      </c>
      <c r="K231">
        <f>IF($W231="","",IFERROR(INDEX(월별근무지표[적용 급여병원],MATCH(INDEX(합계표[사번키],$W231)&amp;"|"&amp;대상월키,월별근무지표[키],0))&amp;"",IF(COUNTIF(기관표[사번키],INDEX(합계표[사번키],$W231))+COUNTIF(월별근무지표[사번키],INDEX(합계표[사번키],$W231))&gt;0,IFERROR(INDEX(기관표[급여지급병원(기준월)],MATCH(INDEX(합계표[사번키],$W231)&amp;"|"&amp;대상월키,기관표[키],0))&amp;"","—"),"—")))</f>
        <v/>
      </c>
      <c r="L231">
        <f>IF($W231="","",IF(NOT(COUNTIF(기관표[사번키],INDEX(합계표[사번키],$W231))+COUNTIF(월별근무지표[사번키],INDEX(합계표[사번키],$W231))&gt;0),"기관명단에 없음(다른 병원으로 발송)",IF($K231="—","대상월 기관명단 없음(추가 필요)",IF($K231="서울병원","해당","비해당"))))</f>
        <v/>
      </c>
      <c r="M231">
        <f>IF($W231="","",SUMIFS(상세표[06~07시],상세표[사번키],INDEX(합계표[사번키],$W231),상세표[반영월],대상월키,상세표[반영 기관],"서울병원"))</f>
        <v/>
      </c>
      <c r="N231">
        <f>IF($W231="","",SUMIFS(상세표[07~18시],상세표[사번키],INDEX(합계표[사번키],$W231),상세표[반영월],대상월키,상세표[반영 기관],"서울병원"))</f>
        <v/>
      </c>
      <c r="O231">
        <f>IF($W231="","",SUMIFS(상세표[18~22시],상세표[사번키],INDEX(합계표[사번키],$W231),상세표[반영월],대상월키,상세표[반영 기관],"서울병원"))</f>
        <v/>
      </c>
      <c r="P231">
        <f>IF($W231="","",SUMIFS(상세표[22~06시],상세표[사번키],INDEX(합계표[사번키],$W231),상세표[반영월],대상월키,상세표[반영 기관],"서울병원"))</f>
        <v/>
      </c>
      <c r="Q231">
        <f>IF($W231="","",SUM($M231:$P231))</f>
        <v/>
      </c>
      <c r="R231">
        <f>IF($W231="","",COUNTIFS(상세표[사번키],INDEX(합계표[사번키],$W231),상세표[반영월],대상월키,상세표[야간당직],1,상세표[야간 구분],"평일"))</f>
        <v/>
      </c>
      <c r="S231" s="4">
        <f>IF($W231="","",COUNTIFS(상세표[사번키],INDEX(합계표[사번키],$W231),상세표[반영월],대상월키,상세표[야간당직],1,상세표[야간 구분],"휴일"))</f>
        <v/>
      </c>
      <c r="T231">
        <f>IF($W231="","",COUNTIFS(상세표[사번키],INDEX(합계표[사번키],$W231),상세표[반영월],대상월키,상세표[야간당직],1,상세표[야간 구분],"평일",상세표[반영 기관],"서울병원"))</f>
        <v/>
      </c>
      <c r="U231">
        <f>IF($W231="","",COUNTIFS(상세표[사번키],INDEX(합계표[사번키],$W231),상세표[반영월],대상월키,상세표[야간당직],1,상세표[야간 구분],"휴일",상세표[반영 기관],"서울병원"))</f>
        <v/>
      </c>
      <c r="V231">
        <f>IF($W231="","",IF(ISNUMBER(MATCH(INDEX(합계표[사번키],$W231)&amp;"|"&amp;대상월키,월별근무지표[키],0)),"직접 입력",IF($K231="—","—","기관명단")))</f>
        <v/>
      </c>
      <c r="W231">
        <f>IFERROR(MATCH(226,합계표[판정순번],0),"")</f>
        <v/>
      </c>
      <c r="Y231">
        <f>IF($AB231="","",INDEX(상세표[사번],$AB231)&amp;"")</f>
        <v/>
      </c>
      <c r="Z231">
        <f>IF($AB231="","",INDEX(상세표[성명],$AB231)&amp;"")</f>
        <v/>
      </c>
      <c r="AA231">
        <f>IF($AB231="","",SUMIFS(상세표[기록 시간외],상세표[사번키],INDEX(상세표[사번키],$AB231),상세표[반영월],대상월키))</f>
        <v/>
      </c>
      <c r="AB231" s="4">
        <f>IFERROR(MATCH(226,상세표[합계없음순번],0),"")</f>
        <v/>
      </c>
    </row>
    <row r="232">
      <c r="A232">
        <f>IF($W232="","",INDEX(합계표[사번],$W232)&amp;"")</f>
        <v/>
      </c>
      <c r="B232">
        <f>IF($W232="","",INDEX(합계표[성명],$W232)&amp;"")</f>
        <v/>
      </c>
      <c r="C232">
        <f>IF($W232="","",INDEX(합계표[부서],$W232)&amp;"")</f>
        <v/>
      </c>
      <c r="D232">
        <f>IF($W232="","",INDEX(합계표[직위(통합)],$W232)&amp;"")</f>
        <v/>
      </c>
      <c r="E232">
        <f>IF($W232="","",SUMIFS(합계표[시스템 합계],합계표[사번키],INDEX(합계표[사번키],$W232)))</f>
        <v/>
      </c>
      <c r="F232">
        <f>IF($W232="","",SUMIFS(상세표[기록 시간외],상세표[사번키],INDEX(합계표[사번키],$W232),상세표[기록월],대상월키))</f>
        <v/>
      </c>
      <c r="G232">
        <f>IF($W232="","",IF(ABS($E232-$F232)&lt;0.01,"일치","불일치(차이 "&amp;TEXT($F232-$E232,"0.00")&amp;")"))</f>
        <v/>
      </c>
      <c r="H232">
        <f>IF($W232="","",SUMIFS(상세표[기록 시간외],상세표[사번키],INDEX(합계표[사번키],$W232),상세표[기록월],대상월키,상세표[반영월],"&lt;&gt;"&amp;대상월키))</f>
        <v/>
      </c>
      <c r="I232">
        <f>IF($W232="","",SUMIFS(상세표[기록 시간외],상세표[사번키],INDEX(합계표[사번키],$W232),상세표[기록월],"&lt;&gt;"&amp;대상월키,상세표[반영월],대상월키))</f>
        <v/>
      </c>
      <c r="J232">
        <f>IF($W232="","",SUMIFS(상세표[기록 시간외],상세표[사번키],INDEX(합계표[사번키],$W232),상세표[반영월],대상월키))</f>
        <v/>
      </c>
      <c r="K232">
        <f>IF($W232="","",IFERROR(INDEX(월별근무지표[적용 급여병원],MATCH(INDEX(합계표[사번키],$W232)&amp;"|"&amp;대상월키,월별근무지표[키],0))&amp;"",IF(COUNTIF(기관표[사번키],INDEX(합계표[사번키],$W232))+COUNTIF(월별근무지표[사번키],INDEX(합계표[사번키],$W232))&gt;0,IFERROR(INDEX(기관표[급여지급병원(기준월)],MATCH(INDEX(합계표[사번키],$W232)&amp;"|"&amp;대상월키,기관표[키],0))&amp;"","—"),"—")))</f>
        <v/>
      </c>
      <c r="L232">
        <f>IF($W232="","",IF(NOT(COUNTIF(기관표[사번키],INDEX(합계표[사번키],$W232))+COUNTIF(월별근무지표[사번키],INDEX(합계표[사번키],$W232))&gt;0),"기관명단에 없음(다른 병원으로 발송)",IF($K232="—","대상월 기관명단 없음(추가 필요)",IF($K232="서울병원","해당","비해당"))))</f>
        <v/>
      </c>
      <c r="M232">
        <f>IF($W232="","",SUMIFS(상세표[06~07시],상세표[사번키],INDEX(합계표[사번키],$W232),상세표[반영월],대상월키,상세표[반영 기관],"서울병원"))</f>
        <v/>
      </c>
      <c r="N232">
        <f>IF($W232="","",SUMIFS(상세표[07~18시],상세표[사번키],INDEX(합계표[사번키],$W232),상세표[반영월],대상월키,상세표[반영 기관],"서울병원"))</f>
        <v/>
      </c>
      <c r="O232">
        <f>IF($W232="","",SUMIFS(상세표[18~22시],상세표[사번키],INDEX(합계표[사번키],$W232),상세표[반영월],대상월키,상세표[반영 기관],"서울병원"))</f>
        <v/>
      </c>
      <c r="P232">
        <f>IF($W232="","",SUMIFS(상세표[22~06시],상세표[사번키],INDEX(합계표[사번키],$W232),상세표[반영월],대상월키,상세표[반영 기관],"서울병원"))</f>
        <v/>
      </c>
      <c r="Q232">
        <f>IF($W232="","",SUM($M232:$P232))</f>
        <v/>
      </c>
      <c r="R232">
        <f>IF($W232="","",COUNTIFS(상세표[사번키],INDEX(합계표[사번키],$W232),상세표[반영월],대상월키,상세표[야간당직],1,상세표[야간 구분],"평일"))</f>
        <v/>
      </c>
      <c r="S232" s="4">
        <f>IF($W232="","",COUNTIFS(상세표[사번키],INDEX(합계표[사번키],$W232),상세표[반영월],대상월키,상세표[야간당직],1,상세표[야간 구분],"휴일"))</f>
        <v/>
      </c>
      <c r="T232">
        <f>IF($W232="","",COUNTIFS(상세표[사번키],INDEX(합계표[사번키],$W232),상세표[반영월],대상월키,상세표[야간당직],1,상세표[야간 구분],"평일",상세표[반영 기관],"서울병원"))</f>
        <v/>
      </c>
      <c r="U232">
        <f>IF($W232="","",COUNTIFS(상세표[사번키],INDEX(합계표[사번키],$W232),상세표[반영월],대상월키,상세표[야간당직],1,상세표[야간 구분],"휴일",상세표[반영 기관],"서울병원"))</f>
        <v/>
      </c>
      <c r="V232">
        <f>IF($W232="","",IF(ISNUMBER(MATCH(INDEX(합계표[사번키],$W232)&amp;"|"&amp;대상월키,월별근무지표[키],0)),"직접 입력",IF($K232="—","—","기관명단")))</f>
        <v/>
      </c>
      <c r="W232">
        <f>IFERROR(MATCH(227,합계표[판정순번],0),"")</f>
        <v/>
      </c>
      <c r="Y232">
        <f>IF($AB232="","",INDEX(상세표[사번],$AB232)&amp;"")</f>
        <v/>
      </c>
      <c r="Z232">
        <f>IF($AB232="","",INDEX(상세표[성명],$AB232)&amp;"")</f>
        <v/>
      </c>
      <c r="AA232">
        <f>IF($AB232="","",SUMIFS(상세표[기록 시간외],상세표[사번키],INDEX(상세표[사번키],$AB232),상세표[반영월],대상월키))</f>
        <v/>
      </c>
      <c r="AB232" s="4">
        <f>IFERROR(MATCH(227,상세표[합계없음순번],0),"")</f>
        <v/>
      </c>
    </row>
    <row r="233">
      <c r="A233">
        <f>IF($W233="","",INDEX(합계표[사번],$W233)&amp;"")</f>
        <v/>
      </c>
      <c r="B233">
        <f>IF($W233="","",INDEX(합계표[성명],$W233)&amp;"")</f>
        <v/>
      </c>
      <c r="C233">
        <f>IF($W233="","",INDEX(합계표[부서],$W233)&amp;"")</f>
        <v/>
      </c>
      <c r="D233">
        <f>IF($W233="","",INDEX(합계표[직위(통합)],$W233)&amp;"")</f>
        <v/>
      </c>
      <c r="E233">
        <f>IF($W233="","",SUMIFS(합계표[시스템 합계],합계표[사번키],INDEX(합계표[사번키],$W233)))</f>
        <v/>
      </c>
      <c r="F233">
        <f>IF($W233="","",SUMIFS(상세표[기록 시간외],상세표[사번키],INDEX(합계표[사번키],$W233),상세표[기록월],대상월키))</f>
        <v/>
      </c>
      <c r="G233">
        <f>IF($W233="","",IF(ABS($E233-$F233)&lt;0.01,"일치","불일치(차이 "&amp;TEXT($F233-$E233,"0.00")&amp;")"))</f>
        <v/>
      </c>
      <c r="H233">
        <f>IF($W233="","",SUMIFS(상세표[기록 시간외],상세표[사번키],INDEX(합계표[사번키],$W233),상세표[기록월],대상월키,상세표[반영월],"&lt;&gt;"&amp;대상월키))</f>
        <v/>
      </c>
      <c r="I233">
        <f>IF($W233="","",SUMIFS(상세표[기록 시간외],상세표[사번키],INDEX(합계표[사번키],$W233),상세표[기록월],"&lt;&gt;"&amp;대상월키,상세표[반영월],대상월키))</f>
        <v/>
      </c>
      <c r="J233">
        <f>IF($W233="","",SUMIFS(상세표[기록 시간외],상세표[사번키],INDEX(합계표[사번키],$W233),상세표[반영월],대상월키))</f>
        <v/>
      </c>
      <c r="K233">
        <f>IF($W233="","",IFERROR(INDEX(월별근무지표[적용 급여병원],MATCH(INDEX(합계표[사번키],$W233)&amp;"|"&amp;대상월키,월별근무지표[키],0))&amp;"",IF(COUNTIF(기관표[사번키],INDEX(합계표[사번키],$W233))+COUNTIF(월별근무지표[사번키],INDEX(합계표[사번키],$W233))&gt;0,IFERROR(INDEX(기관표[급여지급병원(기준월)],MATCH(INDEX(합계표[사번키],$W233)&amp;"|"&amp;대상월키,기관표[키],0))&amp;"","—"),"—")))</f>
        <v/>
      </c>
      <c r="L233">
        <f>IF($W233="","",IF(NOT(COUNTIF(기관표[사번키],INDEX(합계표[사번키],$W233))+COUNTIF(월별근무지표[사번키],INDEX(합계표[사번키],$W233))&gt;0),"기관명단에 없음(다른 병원으로 발송)",IF($K233="—","대상월 기관명단 없음(추가 필요)",IF($K233="서울병원","해당","비해당"))))</f>
        <v/>
      </c>
      <c r="M233">
        <f>IF($W233="","",SUMIFS(상세표[06~07시],상세표[사번키],INDEX(합계표[사번키],$W233),상세표[반영월],대상월키,상세표[반영 기관],"서울병원"))</f>
        <v/>
      </c>
      <c r="N233">
        <f>IF($W233="","",SUMIFS(상세표[07~18시],상세표[사번키],INDEX(합계표[사번키],$W233),상세표[반영월],대상월키,상세표[반영 기관],"서울병원"))</f>
        <v/>
      </c>
      <c r="O233">
        <f>IF($W233="","",SUMIFS(상세표[18~22시],상세표[사번키],INDEX(합계표[사번키],$W233),상세표[반영월],대상월키,상세표[반영 기관],"서울병원"))</f>
        <v/>
      </c>
      <c r="P233">
        <f>IF($W233="","",SUMIFS(상세표[22~06시],상세표[사번키],INDEX(합계표[사번키],$W233),상세표[반영월],대상월키,상세표[반영 기관],"서울병원"))</f>
        <v/>
      </c>
      <c r="Q233">
        <f>IF($W233="","",SUM($M233:$P233))</f>
        <v/>
      </c>
      <c r="R233">
        <f>IF($W233="","",COUNTIFS(상세표[사번키],INDEX(합계표[사번키],$W233),상세표[반영월],대상월키,상세표[야간당직],1,상세표[야간 구분],"평일"))</f>
        <v/>
      </c>
      <c r="S233" s="4">
        <f>IF($W233="","",COUNTIFS(상세표[사번키],INDEX(합계표[사번키],$W233),상세표[반영월],대상월키,상세표[야간당직],1,상세표[야간 구분],"휴일"))</f>
        <v/>
      </c>
      <c r="T233">
        <f>IF($W233="","",COUNTIFS(상세표[사번키],INDEX(합계표[사번키],$W233),상세표[반영월],대상월키,상세표[야간당직],1,상세표[야간 구분],"평일",상세표[반영 기관],"서울병원"))</f>
        <v/>
      </c>
      <c r="U233">
        <f>IF($W233="","",COUNTIFS(상세표[사번키],INDEX(합계표[사번키],$W233),상세표[반영월],대상월키,상세표[야간당직],1,상세표[야간 구분],"휴일",상세표[반영 기관],"서울병원"))</f>
        <v/>
      </c>
      <c r="V233">
        <f>IF($W233="","",IF(ISNUMBER(MATCH(INDEX(합계표[사번키],$W233)&amp;"|"&amp;대상월키,월별근무지표[키],0)),"직접 입력",IF($K233="—","—","기관명단")))</f>
        <v/>
      </c>
      <c r="W233">
        <f>IFERROR(MATCH(228,합계표[판정순번],0),"")</f>
        <v/>
      </c>
      <c r="Y233">
        <f>IF($AB233="","",INDEX(상세표[사번],$AB233)&amp;"")</f>
        <v/>
      </c>
      <c r="Z233">
        <f>IF($AB233="","",INDEX(상세표[성명],$AB233)&amp;"")</f>
        <v/>
      </c>
      <c r="AA233">
        <f>IF($AB233="","",SUMIFS(상세표[기록 시간외],상세표[사번키],INDEX(상세표[사번키],$AB233),상세표[반영월],대상월키))</f>
        <v/>
      </c>
      <c r="AB233" s="4">
        <f>IFERROR(MATCH(228,상세표[합계없음순번],0),"")</f>
        <v/>
      </c>
    </row>
    <row r="234">
      <c r="A234">
        <f>IF($W234="","",INDEX(합계표[사번],$W234)&amp;"")</f>
        <v/>
      </c>
      <c r="B234">
        <f>IF($W234="","",INDEX(합계표[성명],$W234)&amp;"")</f>
        <v/>
      </c>
      <c r="C234">
        <f>IF($W234="","",INDEX(합계표[부서],$W234)&amp;"")</f>
        <v/>
      </c>
      <c r="D234">
        <f>IF($W234="","",INDEX(합계표[직위(통합)],$W234)&amp;"")</f>
        <v/>
      </c>
      <c r="E234">
        <f>IF($W234="","",SUMIFS(합계표[시스템 합계],합계표[사번키],INDEX(합계표[사번키],$W234)))</f>
        <v/>
      </c>
      <c r="F234">
        <f>IF($W234="","",SUMIFS(상세표[기록 시간외],상세표[사번키],INDEX(합계표[사번키],$W234),상세표[기록월],대상월키))</f>
        <v/>
      </c>
      <c r="G234">
        <f>IF($W234="","",IF(ABS($E234-$F234)&lt;0.01,"일치","불일치(차이 "&amp;TEXT($F234-$E234,"0.00")&amp;")"))</f>
        <v/>
      </c>
      <c r="H234">
        <f>IF($W234="","",SUMIFS(상세표[기록 시간외],상세표[사번키],INDEX(합계표[사번키],$W234),상세표[기록월],대상월키,상세표[반영월],"&lt;&gt;"&amp;대상월키))</f>
        <v/>
      </c>
      <c r="I234">
        <f>IF($W234="","",SUMIFS(상세표[기록 시간외],상세표[사번키],INDEX(합계표[사번키],$W234),상세표[기록월],"&lt;&gt;"&amp;대상월키,상세표[반영월],대상월키))</f>
        <v/>
      </c>
      <c r="J234">
        <f>IF($W234="","",SUMIFS(상세표[기록 시간외],상세표[사번키],INDEX(합계표[사번키],$W234),상세표[반영월],대상월키))</f>
        <v/>
      </c>
      <c r="K234">
        <f>IF($W234="","",IFERROR(INDEX(월별근무지표[적용 급여병원],MATCH(INDEX(합계표[사번키],$W234)&amp;"|"&amp;대상월키,월별근무지표[키],0))&amp;"",IF(COUNTIF(기관표[사번키],INDEX(합계표[사번키],$W234))+COUNTIF(월별근무지표[사번키],INDEX(합계표[사번키],$W234))&gt;0,IFERROR(INDEX(기관표[급여지급병원(기준월)],MATCH(INDEX(합계표[사번키],$W234)&amp;"|"&amp;대상월키,기관표[키],0))&amp;"","—"),"—")))</f>
        <v/>
      </c>
      <c r="L234">
        <f>IF($W234="","",IF(NOT(COUNTIF(기관표[사번키],INDEX(합계표[사번키],$W234))+COUNTIF(월별근무지표[사번키],INDEX(합계표[사번키],$W234))&gt;0),"기관명단에 없음(다른 병원으로 발송)",IF($K234="—","대상월 기관명단 없음(추가 필요)",IF($K234="서울병원","해당","비해당"))))</f>
        <v/>
      </c>
      <c r="M234">
        <f>IF($W234="","",SUMIFS(상세표[06~07시],상세표[사번키],INDEX(합계표[사번키],$W234),상세표[반영월],대상월키,상세표[반영 기관],"서울병원"))</f>
        <v/>
      </c>
      <c r="N234">
        <f>IF($W234="","",SUMIFS(상세표[07~18시],상세표[사번키],INDEX(합계표[사번키],$W234),상세표[반영월],대상월키,상세표[반영 기관],"서울병원"))</f>
        <v/>
      </c>
      <c r="O234">
        <f>IF($W234="","",SUMIFS(상세표[18~22시],상세표[사번키],INDEX(합계표[사번키],$W234),상세표[반영월],대상월키,상세표[반영 기관],"서울병원"))</f>
        <v/>
      </c>
      <c r="P234">
        <f>IF($W234="","",SUMIFS(상세표[22~06시],상세표[사번키],INDEX(합계표[사번키],$W234),상세표[반영월],대상월키,상세표[반영 기관],"서울병원"))</f>
        <v/>
      </c>
      <c r="Q234">
        <f>IF($W234="","",SUM($M234:$P234))</f>
        <v/>
      </c>
      <c r="R234">
        <f>IF($W234="","",COUNTIFS(상세표[사번키],INDEX(합계표[사번키],$W234),상세표[반영월],대상월키,상세표[야간당직],1,상세표[야간 구분],"평일"))</f>
        <v/>
      </c>
      <c r="S234" s="4">
        <f>IF($W234="","",COUNTIFS(상세표[사번키],INDEX(합계표[사번키],$W234),상세표[반영월],대상월키,상세표[야간당직],1,상세표[야간 구분],"휴일"))</f>
        <v/>
      </c>
      <c r="T234">
        <f>IF($W234="","",COUNTIFS(상세표[사번키],INDEX(합계표[사번키],$W234),상세표[반영월],대상월키,상세표[야간당직],1,상세표[야간 구분],"평일",상세표[반영 기관],"서울병원"))</f>
        <v/>
      </c>
      <c r="U234">
        <f>IF($W234="","",COUNTIFS(상세표[사번키],INDEX(합계표[사번키],$W234),상세표[반영월],대상월키,상세표[야간당직],1,상세표[야간 구분],"휴일",상세표[반영 기관],"서울병원"))</f>
        <v/>
      </c>
      <c r="V234">
        <f>IF($W234="","",IF(ISNUMBER(MATCH(INDEX(합계표[사번키],$W234)&amp;"|"&amp;대상월키,월별근무지표[키],0)),"직접 입력",IF($K234="—","—","기관명단")))</f>
        <v/>
      </c>
      <c r="W234">
        <f>IFERROR(MATCH(229,합계표[판정순번],0),"")</f>
        <v/>
      </c>
      <c r="Y234">
        <f>IF($AB234="","",INDEX(상세표[사번],$AB234)&amp;"")</f>
        <v/>
      </c>
      <c r="Z234">
        <f>IF($AB234="","",INDEX(상세표[성명],$AB234)&amp;"")</f>
        <v/>
      </c>
      <c r="AA234">
        <f>IF($AB234="","",SUMIFS(상세표[기록 시간외],상세표[사번키],INDEX(상세표[사번키],$AB234),상세표[반영월],대상월키))</f>
        <v/>
      </c>
      <c r="AB234" s="4">
        <f>IFERROR(MATCH(229,상세표[합계없음순번],0),"")</f>
        <v/>
      </c>
    </row>
    <row r="235">
      <c r="A235">
        <f>IF($W235="","",INDEX(합계표[사번],$W235)&amp;"")</f>
        <v/>
      </c>
      <c r="B235">
        <f>IF($W235="","",INDEX(합계표[성명],$W235)&amp;"")</f>
        <v/>
      </c>
      <c r="C235">
        <f>IF($W235="","",INDEX(합계표[부서],$W235)&amp;"")</f>
        <v/>
      </c>
      <c r="D235">
        <f>IF($W235="","",INDEX(합계표[직위(통합)],$W235)&amp;"")</f>
        <v/>
      </c>
      <c r="E235">
        <f>IF($W235="","",SUMIFS(합계표[시스템 합계],합계표[사번키],INDEX(합계표[사번키],$W235)))</f>
        <v/>
      </c>
      <c r="F235">
        <f>IF($W235="","",SUMIFS(상세표[기록 시간외],상세표[사번키],INDEX(합계표[사번키],$W235),상세표[기록월],대상월키))</f>
        <v/>
      </c>
      <c r="G235">
        <f>IF($W235="","",IF(ABS($E235-$F235)&lt;0.01,"일치","불일치(차이 "&amp;TEXT($F235-$E235,"0.00")&amp;")"))</f>
        <v/>
      </c>
      <c r="H235">
        <f>IF($W235="","",SUMIFS(상세표[기록 시간외],상세표[사번키],INDEX(합계표[사번키],$W235),상세표[기록월],대상월키,상세표[반영월],"&lt;&gt;"&amp;대상월키))</f>
        <v/>
      </c>
      <c r="I235">
        <f>IF($W235="","",SUMIFS(상세표[기록 시간외],상세표[사번키],INDEX(합계표[사번키],$W235),상세표[기록월],"&lt;&gt;"&amp;대상월키,상세표[반영월],대상월키))</f>
        <v/>
      </c>
      <c r="J235">
        <f>IF($W235="","",SUMIFS(상세표[기록 시간외],상세표[사번키],INDEX(합계표[사번키],$W235),상세표[반영월],대상월키))</f>
        <v/>
      </c>
      <c r="K235">
        <f>IF($W235="","",IFERROR(INDEX(월별근무지표[적용 급여병원],MATCH(INDEX(합계표[사번키],$W235)&amp;"|"&amp;대상월키,월별근무지표[키],0))&amp;"",IF(COUNTIF(기관표[사번키],INDEX(합계표[사번키],$W235))+COUNTIF(월별근무지표[사번키],INDEX(합계표[사번키],$W235))&gt;0,IFERROR(INDEX(기관표[급여지급병원(기준월)],MATCH(INDEX(합계표[사번키],$W235)&amp;"|"&amp;대상월키,기관표[키],0))&amp;"","—"),"—")))</f>
        <v/>
      </c>
      <c r="L235">
        <f>IF($W235="","",IF(NOT(COUNTIF(기관표[사번키],INDEX(합계표[사번키],$W235))+COUNTIF(월별근무지표[사번키],INDEX(합계표[사번키],$W235))&gt;0),"기관명단에 없음(다른 병원으로 발송)",IF($K235="—","대상월 기관명단 없음(추가 필요)",IF($K235="서울병원","해당","비해당"))))</f>
        <v/>
      </c>
      <c r="M235">
        <f>IF($W235="","",SUMIFS(상세표[06~07시],상세표[사번키],INDEX(합계표[사번키],$W235),상세표[반영월],대상월키,상세표[반영 기관],"서울병원"))</f>
        <v/>
      </c>
      <c r="N235">
        <f>IF($W235="","",SUMIFS(상세표[07~18시],상세표[사번키],INDEX(합계표[사번키],$W235),상세표[반영월],대상월키,상세표[반영 기관],"서울병원"))</f>
        <v/>
      </c>
      <c r="O235">
        <f>IF($W235="","",SUMIFS(상세표[18~22시],상세표[사번키],INDEX(합계표[사번키],$W235),상세표[반영월],대상월키,상세표[반영 기관],"서울병원"))</f>
        <v/>
      </c>
      <c r="P235">
        <f>IF($W235="","",SUMIFS(상세표[22~06시],상세표[사번키],INDEX(합계표[사번키],$W235),상세표[반영월],대상월키,상세표[반영 기관],"서울병원"))</f>
        <v/>
      </c>
      <c r="Q235">
        <f>IF($W235="","",SUM($M235:$P235))</f>
        <v/>
      </c>
      <c r="R235">
        <f>IF($W235="","",COUNTIFS(상세표[사번키],INDEX(합계표[사번키],$W235),상세표[반영월],대상월키,상세표[야간당직],1,상세표[야간 구분],"평일"))</f>
        <v/>
      </c>
      <c r="S235" s="4">
        <f>IF($W235="","",COUNTIFS(상세표[사번키],INDEX(합계표[사번키],$W235),상세표[반영월],대상월키,상세표[야간당직],1,상세표[야간 구분],"휴일"))</f>
        <v/>
      </c>
      <c r="T235">
        <f>IF($W235="","",COUNTIFS(상세표[사번키],INDEX(합계표[사번키],$W235),상세표[반영월],대상월키,상세표[야간당직],1,상세표[야간 구분],"평일",상세표[반영 기관],"서울병원"))</f>
        <v/>
      </c>
      <c r="U235">
        <f>IF($W235="","",COUNTIFS(상세표[사번키],INDEX(합계표[사번키],$W235),상세표[반영월],대상월키,상세표[야간당직],1,상세표[야간 구분],"휴일",상세표[반영 기관],"서울병원"))</f>
        <v/>
      </c>
      <c r="V235">
        <f>IF($W235="","",IF(ISNUMBER(MATCH(INDEX(합계표[사번키],$W235)&amp;"|"&amp;대상월키,월별근무지표[키],0)),"직접 입력",IF($K235="—","—","기관명단")))</f>
        <v/>
      </c>
      <c r="W235">
        <f>IFERROR(MATCH(230,합계표[판정순번],0),"")</f>
        <v/>
      </c>
      <c r="Y235">
        <f>IF($AB235="","",INDEX(상세표[사번],$AB235)&amp;"")</f>
        <v/>
      </c>
      <c r="Z235">
        <f>IF($AB235="","",INDEX(상세표[성명],$AB235)&amp;"")</f>
        <v/>
      </c>
      <c r="AA235">
        <f>IF($AB235="","",SUMIFS(상세표[기록 시간외],상세표[사번키],INDEX(상세표[사번키],$AB235),상세표[반영월],대상월키))</f>
        <v/>
      </c>
      <c r="AB235" s="4">
        <f>IFERROR(MATCH(230,상세표[합계없음순번],0),"")</f>
        <v/>
      </c>
    </row>
    <row r="236">
      <c r="A236">
        <f>IF($W236="","",INDEX(합계표[사번],$W236)&amp;"")</f>
        <v/>
      </c>
      <c r="B236">
        <f>IF($W236="","",INDEX(합계표[성명],$W236)&amp;"")</f>
        <v/>
      </c>
      <c r="C236">
        <f>IF($W236="","",INDEX(합계표[부서],$W236)&amp;"")</f>
        <v/>
      </c>
      <c r="D236">
        <f>IF($W236="","",INDEX(합계표[직위(통합)],$W236)&amp;"")</f>
        <v/>
      </c>
      <c r="E236">
        <f>IF($W236="","",SUMIFS(합계표[시스템 합계],합계표[사번키],INDEX(합계표[사번키],$W236)))</f>
        <v/>
      </c>
      <c r="F236">
        <f>IF($W236="","",SUMIFS(상세표[기록 시간외],상세표[사번키],INDEX(합계표[사번키],$W236),상세표[기록월],대상월키))</f>
        <v/>
      </c>
      <c r="G236">
        <f>IF($W236="","",IF(ABS($E236-$F236)&lt;0.01,"일치","불일치(차이 "&amp;TEXT($F236-$E236,"0.00")&amp;")"))</f>
        <v/>
      </c>
      <c r="H236">
        <f>IF($W236="","",SUMIFS(상세표[기록 시간외],상세표[사번키],INDEX(합계표[사번키],$W236),상세표[기록월],대상월키,상세표[반영월],"&lt;&gt;"&amp;대상월키))</f>
        <v/>
      </c>
      <c r="I236">
        <f>IF($W236="","",SUMIFS(상세표[기록 시간외],상세표[사번키],INDEX(합계표[사번키],$W236),상세표[기록월],"&lt;&gt;"&amp;대상월키,상세표[반영월],대상월키))</f>
        <v/>
      </c>
      <c r="J236">
        <f>IF($W236="","",SUMIFS(상세표[기록 시간외],상세표[사번키],INDEX(합계표[사번키],$W236),상세표[반영월],대상월키))</f>
        <v/>
      </c>
      <c r="K236">
        <f>IF($W236="","",IFERROR(INDEX(월별근무지표[적용 급여병원],MATCH(INDEX(합계표[사번키],$W236)&amp;"|"&amp;대상월키,월별근무지표[키],0))&amp;"",IF(COUNTIF(기관표[사번키],INDEX(합계표[사번키],$W236))+COUNTIF(월별근무지표[사번키],INDEX(합계표[사번키],$W236))&gt;0,IFERROR(INDEX(기관표[급여지급병원(기준월)],MATCH(INDEX(합계표[사번키],$W236)&amp;"|"&amp;대상월키,기관표[키],0))&amp;"","—"),"—")))</f>
        <v/>
      </c>
      <c r="L236">
        <f>IF($W236="","",IF(NOT(COUNTIF(기관표[사번키],INDEX(합계표[사번키],$W236))+COUNTIF(월별근무지표[사번키],INDEX(합계표[사번키],$W236))&gt;0),"기관명단에 없음(다른 병원으로 발송)",IF($K236="—","대상월 기관명단 없음(추가 필요)",IF($K236="서울병원","해당","비해당"))))</f>
        <v/>
      </c>
      <c r="M236">
        <f>IF($W236="","",SUMIFS(상세표[06~07시],상세표[사번키],INDEX(합계표[사번키],$W236),상세표[반영월],대상월키,상세표[반영 기관],"서울병원"))</f>
        <v/>
      </c>
      <c r="N236">
        <f>IF($W236="","",SUMIFS(상세표[07~18시],상세표[사번키],INDEX(합계표[사번키],$W236),상세표[반영월],대상월키,상세표[반영 기관],"서울병원"))</f>
        <v/>
      </c>
      <c r="O236">
        <f>IF($W236="","",SUMIFS(상세표[18~22시],상세표[사번키],INDEX(합계표[사번키],$W236),상세표[반영월],대상월키,상세표[반영 기관],"서울병원"))</f>
        <v/>
      </c>
      <c r="P236">
        <f>IF($W236="","",SUMIFS(상세표[22~06시],상세표[사번키],INDEX(합계표[사번키],$W236),상세표[반영월],대상월키,상세표[반영 기관],"서울병원"))</f>
        <v/>
      </c>
      <c r="Q236">
        <f>IF($W236="","",SUM($M236:$P236))</f>
        <v/>
      </c>
      <c r="R236">
        <f>IF($W236="","",COUNTIFS(상세표[사번키],INDEX(합계표[사번키],$W236),상세표[반영월],대상월키,상세표[야간당직],1,상세표[야간 구분],"평일"))</f>
        <v/>
      </c>
      <c r="S236" s="4">
        <f>IF($W236="","",COUNTIFS(상세표[사번키],INDEX(합계표[사번키],$W236),상세표[반영월],대상월키,상세표[야간당직],1,상세표[야간 구분],"휴일"))</f>
        <v/>
      </c>
      <c r="T236">
        <f>IF($W236="","",COUNTIFS(상세표[사번키],INDEX(합계표[사번키],$W236),상세표[반영월],대상월키,상세표[야간당직],1,상세표[야간 구분],"평일",상세표[반영 기관],"서울병원"))</f>
        <v/>
      </c>
      <c r="U236">
        <f>IF($W236="","",COUNTIFS(상세표[사번키],INDEX(합계표[사번키],$W236),상세표[반영월],대상월키,상세표[야간당직],1,상세표[야간 구분],"휴일",상세표[반영 기관],"서울병원"))</f>
        <v/>
      </c>
      <c r="V236">
        <f>IF($W236="","",IF(ISNUMBER(MATCH(INDEX(합계표[사번키],$W236)&amp;"|"&amp;대상월키,월별근무지표[키],0)),"직접 입력",IF($K236="—","—","기관명단")))</f>
        <v/>
      </c>
      <c r="W236">
        <f>IFERROR(MATCH(231,합계표[판정순번],0),"")</f>
        <v/>
      </c>
      <c r="Y236">
        <f>IF($AB236="","",INDEX(상세표[사번],$AB236)&amp;"")</f>
        <v/>
      </c>
      <c r="Z236">
        <f>IF($AB236="","",INDEX(상세표[성명],$AB236)&amp;"")</f>
        <v/>
      </c>
      <c r="AA236">
        <f>IF($AB236="","",SUMIFS(상세표[기록 시간외],상세표[사번키],INDEX(상세표[사번키],$AB236),상세표[반영월],대상월키))</f>
        <v/>
      </c>
      <c r="AB236" s="4">
        <f>IFERROR(MATCH(231,상세표[합계없음순번],0),"")</f>
        <v/>
      </c>
    </row>
    <row r="237">
      <c r="A237">
        <f>IF($W237="","",INDEX(합계표[사번],$W237)&amp;"")</f>
        <v/>
      </c>
      <c r="B237">
        <f>IF($W237="","",INDEX(합계표[성명],$W237)&amp;"")</f>
        <v/>
      </c>
      <c r="C237">
        <f>IF($W237="","",INDEX(합계표[부서],$W237)&amp;"")</f>
        <v/>
      </c>
      <c r="D237">
        <f>IF($W237="","",INDEX(합계표[직위(통합)],$W237)&amp;"")</f>
        <v/>
      </c>
      <c r="E237">
        <f>IF($W237="","",SUMIFS(합계표[시스템 합계],합계표[사번키],INDEX(합계표[사번키],$W237)))</f>
        <v/>
      </c>
      <c r="F237">
        <f>IF($W237="","",SUMIFS(상세표[기록 시간외],상세표[사번키],INDEX(합계표[사번키],$W237),상세표[기록월],대상월키))</f>
        <v/>
      </c>
      <c r="G237">
        <f>IF($W237="","",IF(ABS($E237-$F237)&lt;0.01,"일치","불일치(차이 "&amp;TEXT($F237-$E237,"0.00")&amp;")"))</f>
        <v/>
      </c>
      <c r="H237">
        <f>IF($W237="","",SUMIFS(상세표[기록 시간외],상세표[사번키],INDEX(합계표[사번키],$W237),상세표[기록월],대상월키,상세표[반영월],"&lt;&gt;"&amp;대상월키))</f>
        <v/>
      </c>
      <c r="I237">
        <f>IF($W237="","",SUMIFS(상세표[기록 시간외],상세표[사번키],INDEX(합계표[사번키],$W237),상세표[기록월],"&lt;&gt;"&amp;대상월키,상세표[반영월],대상월키))</f>
        <v/>
      </c>
      <c r="J237">
        <f>IF($W237="","",SUMIFS(상세표[기록 시간외],상세표[사번키],INDEX(합계표[사번키],$W237),상세표[반영월],대상월키))</f>
        <v/>
      </c>
      <c r="K237">
        <f>IF($W237="","",IFERROR(INDEX(월별근무지표[적용 급여병원],MATCH(INDEX(합계표[사번키],$W237)&amp;"|"&amp;대상월키,월별근무지표[키],0))&amp;"",IF(COUNTIF(기관표[사번키],INDEX(합계표[사번키],$W237))+COUNTIF(월별근무지표[사번키],INDEX(합계표[사번키],$W237))&gt;0,IFERROR(INDEX(기관표[급여지급병원(기준월)],MATCH(INDEX(합계표[사번키],$W237)&amp;"|"&amp;대상월키,기관표[키],0))&amp;"","—"),"—")))</f>
        <v/>
      </c>
      <c r="L237">
        <f>IF($W237="","",IF(NOT(COUNTIF(기관표[사번키],INDEX(합계표[사번키],$W237))+COUNTIF(월별근무지표[사번키],INDEX(합계표[사번키],$W237))&gt;0),"기관명단에 없음(다른 병원으로 발송)",IF($K237="—","대상월 기관명단 없음(추가 필요)",IF($K237="서울병원","해당","비해당"))))</f>
        <v/>
      </c>
      <c r="M237">
        <f>IF($W237="","",SUMIFS(상세표[06~07시],상세표[사번키],INDEX(합계표[사번키],$W237),상세표[반영월],대상월키,상세표[반영 기관],"서울병원"))</f>
        <v/>
      </c>
      <c r="N237">
        <f>IF($W237="","",SUMIFS(상세표[07~18시],상세표[사번키],INDEX(합계표[사번키],$W237),상세표[반영월],대상월키,상세표[반영 기관],"서울병원"))</f>
        <v/>
      </c>
      <c r="O237">
        <f>IF($W237="","",SUMIFS(상세표[18~22시],상세표[사번키],INDEX(합계표[사번키],$W237),상세표[반영월],대상월키,상세표[반영 기관],"서울병원"))</f>
        <v/>
      </c>
      <c r="P237">
        <f>IF($W237="","",SUMIFS(상세표[22~06시],상세표[사번키],INDEX(합계표[사번키],$W237),상세표[반영월],대상월키,상세표[반영 기관],"서울병원"))</f>
        <v/>
      </c>
      <c r="Q237">
        <f>IF($W237="","",SUM($M237:$P237))</f>
        <v/>
      </c>
      <c r="R237">
        <f>IF($W237="","",COUNTIFS(상세표[사번키],INDEX(합계표[사번키],$W237),상세표[반영월],대상월키,상세표[야간당직],1,상세표[야간 구분],"평일"))</f>
        <v/>
      </c>
      <c r="S237" s="4">
        <f>IF($W237="","",COUNTIFS(상세표[사번키],INDEX(합계표[사번키],$W237),상세표[반영월],대상월키,상세표[야간당직],1,상세표[야간 구분],"휴일"))</f>
        <v/>
      </c>
      <c r="T237">
        <f>IF($W237="","",COUNTIFS(상세표[사번키],INDEX(합계표[사번키],$W237),상세표[반영월],대상월키,상세표[야간당직],1,상세표[야간 구분],"평일",상세표[반영 기관],"서울병원"))</f>
        <v/>
      </c>
      <c r="U237">
        <f>IF($W237="","",COUNTIFS(상세표[사번키],INDEX(합계표[사번키],$W237),상세표[반영월],대상월키,상세표[야간당직],1,상세표[야간 구분],"휴일",상세표[반영 기관],"서울병원"))</f>
        <v/>
      </c>
      <c r="V237">
        <f>IF($W237="","",IF(ISNUMBER(MATCH(INDEX(합계표[사번키],$W237)&amp;"|"&amp;대상월키,월별근무지표[키],0)),"직접 입력",IF($K237="—","—","기관명단")))</f>
        <v/>
      </c>
      <c r="W237">
        <f>IFERROR(MATCH(232,합계표[판정순번],0),"")</f>
        <v/>
      </c>
      <c r="Y237">
        <f>IF($AB237="","",INDEX(상세표[사번],$AB237)&amp;"")</f>
        <v/>
      </c>
      <c r="Z237">
        <f>IF($AB237="","",INDEX(상세표[성명],$AB237)&amp;"")</f>
        <v/>
      </c>
      <c r="AA237">
        <f>IF($AB237="","",SUMIFS(상세표[기록 시간외],상세표[사번키],INDEX(상세표[사번키],$AB237),상세표[반영월],대상월키))</f>
        <v/>
      </c>
      <c r="AB237" s="4">
        <f>IFERROR(MATCH(232,상세표[합계없음순번],0),"")</f>
        <v/>
      </c>
    </row>
    <row r="238">
      <c r="A238">
        <f>IF($W238="","",INDEX(합계표[사번],$W238)&amp;"")</f>
        <v/>
      </c>
      <c r="B238">
        <f>IF($W238="","",INDEX(합계표[성명],$W238)&amp;"")</f>
        <v/>
      </c>
      <c r="C238">
        <f>IF($W238="","",INDEX(합계표[부서],$W238)&amp;"")</f>
        <v/>
      </c>
      <c r="D238">
        <f>IF($W238="","",INDEX(합계표[직위(통합)],$W238)&amp;"")</f>
        <v/>
      </c>
      <c r="E238">
        <f>IF($W238="","",SUMIFS(합계표[시스템 합계],합계표[사번키],INDEX(합계표[사번키],$W238)))</f>
        <v/>
      </c>
      <c r="F238">
        <f>IF($W238="","",SUMIFS(상세표[기록 시간외],상세표[사번키],INDEX(합계표[사번키],$W238),상세표[기록월],대상월키))</f>
        <v/>
      </c>
      <c r="G238">
        <f>IF($W238="","",IF(ABS($E238-$F238)&lt;0.01,"일치","불일치(차이 "&amp;TEXT($F238-$E238,"0.00")&amp;")"))</f>
        <v/>
      </c>
      <c r="H238">
        <f>IF($W238="","",SUMIFS(상세표[기록 시간외],상세표[사번키],INDEX(합계표[사번키],$W238),상세표[기록월],대상월키,상세표[반영월],"&lt;&gt;"&amp;대상월키))</f>
        <v/>
      </c>
      <c r="I238">
        <f>IF($W238="","",SUMIFS(상세표[기록 시간외],상세표[사번키],INDEX(합계표[사번키],$W238),상세표[기록월],"&lt;&gt;"&amp;대상월키,상세표[반영월],대상월키))</f>
        <v/>
      </c>
      <c r="J238">
        <f>IF($W238="","",SUMIFS(상세표[기록 시간외],상세표[사번키],INDEX(합계표[사번키],$W238),상세표[반영월],대상월키))</f>
        <v/>
      </c>
      <c r="K238">
        <f>IF($W238="","",IFERROR(INDEX(월별근무지표[적용 급여병원],MATCH(INDEX(합계표[사번키],$W238)&amp;"|"&amp;대상월키,월별근무지표[키],0))&amp;"",IF(COUNTIF(기관표[사번키],INDEX(합계표[사번키],$W238))+COUNTIF(월별근무지표[사번키],INDEX(합계표[사번키],$W238))&gt;0,IFERROR(INDEX(기관표[급여지급병원(기준월)],MATCH(INDEX(합계표[사번키],$W238)&amp;"|"&amp;대상월키,기관표[키],0))&amp;"","—"),"—")))</f>
        <v/>
      </c>
      <c r="L238">
        <f>IF($W238="","",IF(NOT(COUNTIF(기관표[사번키],INDEX(합계표[사번키],$W238))+COUNTIF(월별근무지표[사번키],INDEX(합계표[사번키],$W238))&gt;0),"기관명단에 없음(다른 병원으로 발송)",IF($K238="—","대상월 기관명단 없음(추가 필요)",IF($K238="서울병원","해당","비해당"))))</f>
        <v/>
      </c>
      <c r="M238">
        <f>IF($W238="","",SUMIFS(상세표[06~07시],상세표[사번키],INDEX(합계표[사번키],$W238),상세표[반영월],대상월키,상세표[반영 기관],"서울병원"))</f>
        <v/>
      </c>
      <c r="N238">
        <f>IF($W238="","",SUMIFS(상세표[07~18시],상세표[사번키],INDEX(합계표[사번키],$W238),상세표[반영월],대상월키,상세표[반영 기관],"서울병원"))</f>
        <v/>
      </c>
      <c r="O238">
        <f>IF($W238="","",SUMIFS(상세표[18~22시],상세표[사번키],INDEX(합계표[사번키],$W238),상세표[반영월],대상월키,상세표[반영 기관],"서울병원"))</f>
        <v/>
      </c>
      <c r="P238">
        <f>IF($W238="","",SUMIFS(상세표[22~06시],상세표[사번키],INDEX(합계표[사번키],$W238),상세표[반영월],대상월키,상세표[반영 기관],"서울병원"))</f>
        <v/>
      </c>
      <c r="Q238">
        <f>IF($W238="","",SUM($M238:$P238))</f>
        <v/>
      </c>
      <c r="R238">
        <f>IF($W238="","",COUNTIFS(상세표[사번키],INDEX(합계표[사번키],$W238),상세표[반영월],대상월키,상세표[야간당직],1,상세표[야간 구분],"평일"))</f>
        <v/>
      </c>
      <c r="S238" s="4">
        <f>IF($W238="","",COUNTIFS(상세표[사번키],INDEX(합계표[사번키],$W238),상세표[반영월],대상월키,상세표[야간당직],1,상세표[야간 구분],"휴일"))</f>
        <v/>
      </c>
      <c r="T238">
        <f>IF($W238="","",COUNTIFS(상세표[사번키],INDEX(합계표[사번키],$W238),상세표[반영월],대상월키,상세표[야간당직],1,상세표[야간 구분],"평일",상세표[반영 기관],"서울병원"))</f>
        <v/>
      </c>
      <c r="U238">
        <f>IF($W238="","",COUNTIFS(상세표[사번키],INDEX(합계표[사번키],$W238),상세표[반영월],대상월키,상세표[야간당직],1,상세표[야간 구분],"휴일",상세표[반영 기관],"서울병원"))</f>
        <v/>
      </c>
      <c r="V238">
        <f>IF($W238="","",IF(ISNUMBER(MATCH(INDEX(합계표[사번키],$W238)&amp;"|"&amp;대상월키,월별근무지표[키],0)),"직접 입력",IF($K238="—","—","기관명단")))</f>
        <v/>
      </c>
      <c r="W238">
        <f>IFERROR(MATCH(233,합계표[판정순번],0),"")</f>
        <v/>
      </c>
      <c r="Y238">
        <f>IF($AB238="","",INDEX(상세표[사번],$AB238)&amp;"")</f>
        <v/>
      </c>
      <c r="Z238">
        <f>IF($AB238="","",INDEX(상세표[성명],$AB238)&amp;"")</f>
        <v/>
      </c>
      <c r="AA238">
        <f>IF($AB238="","",SUMIFS(상세표[기록 시간외],상세표[사번키],INDEX(상세표[사번키],$AB238),상세표[반영월],대상월키))</f>
        <v/>
      </c>
      <c r="AB238" s="4">
        <f>IFERROR(MATCH(233,상세표[합계없음순번],0),"")</f>
        <v/>
      </c>
    </row>
    <row r="239">
      <c r="A239">
        <f>IF($W239="","",INDEX(합계표[사번],$W239)&amp;"")</f>
        <v/>
      </c>
      <c r="B239">
        <f>IF($W239="","",INDEX(합계표[성명],$W239)&amp;"")</f>
        <v/>
      </c>
      <c r="C239">
        <f>IF($W239="","",INDEX(합계표[부서],$W239)&amp;"")</f>
        <v/>
      </c>
      <c r="D239">
        <f>IF($W239="","",INDEX(합계표[직위(통합)],$W239)&amp;"")</f>
        <v/>
      </c>
      <c r="E239">
        <f>IF($W239="","",SUMIFS(합계표[시스템 합계],합계표[사번키],INDEX(합계표[사번키],$W239)))</f>
        <v/>
      </c>
      <c r="F239">
        <f>IF($W239="","",SUMIFS(상세표[기록 시간외],상세표[사번키],INDEX(합계표[사번키],$W239),상세표[기록월],대상월키))</f>
        <v/>
      </c>
      <c r="G239">
        <f>IF($W239="","",IF(ABS($E239-$F239)&lt;0.01,"일치","불일치(차이 "&amp;TEXT($F239-$E239,"0.00")&amp;")"))</f>
        <v/>
      </c>
      <c r="H239">
        <f>IF($W239="","",SUMIFS(상세표[기록 시간외],상세표[사번키],INDEX(합계표[사번키],$W239),상세표[기록월],대상월키,상세표[반영월],"&lt;&gt;"&amp;대상월키))</f>
        <v/>
      </c>
      <c r="I239">
        <f>IF($W239="","",SUMIFS(상세표[기록 시간외],상세표[사번키],INDEX(합계표[사번키],$W239),상세표[기록월],"&lt;&gt;"&amp;대상월키,상세표[반영월],대상월키))</f>
        <v/>
      </c>
      <c r="J239">
        <f>IF($W239="","",SUMIFS(상세표[기록 시간외],상세표[사번키],INDEX(합계표[사번키],$W239),상세표[반영월],대상월키))</f>
        <v/>
      </c>
      <c r="K239">
        <f>IF($W239="","",IFERROR(INDEX(월별근무지표[적용 급여병원],MATCH(INDEX(합계표[사번키],$W239)&amp;"|"&amp;대상월키,월별근무지표[키],0))&amp;"",IF(COUNTIF(기관표[사번키],INDEX(합계표[사번키],$W239))+COUNTIF(월별근무지표[사번키],INDEX(합계표[사번키],$W239))&gt;0,IFERROR(INDEX(기관표[급여지급병원(기준월)],MATCH(INDEX(합계표[사번키],$W239)&amp;"|"&amp;대상월키,기관표[키],0))&amp;"","—"),"—")))</f>
        <v/>
      </c>
      <c r="L239">
        <f>IF($W239="","",IF(NOT(COUNTIF(기관표[사번키],INDEX(합계표[사번키],$W239))+COUNTIF(월별근무지표[사번키],INDEX(합계표[사번키],$W239))&gt;0),"기관명단에 없음(다른 병원으로 발송)",IF($K239="—","대상월 기관명단 없음(추가 필요)",IF($K239="서울병원","해당","비해당"))))</f>
        <v/>
      </c>
      <c r="M239">
        <f>IF($W239="","",SUMIFS(상세표[06~07시],상세표[사번키],INDEX(합계표[사번키],$W239),상세표[반영월],대상월키,상세표[반영 기관],"서울병원"))</f>
        <v/>
      </c>
      <c r="N239">
        <f>IF($W239="","",SUMIFS(상세표[07~18시],상세표[사번키],INDEX(합계표[사번키],$W239),상세표[반영월],대상월키,상세표[반영 기관],"서울병원"))</f>
        <v/>
      </c>
      <c r="O239">
        <f>IF($W239="","",SUMIFS(상세표[18~22시],상세표[사번키],INDEX(합계표[사번키],$W239),상세표[반영월],대상월키,상세표[반영 기관],"서울병원"))</f>
        <v/>
      </c>
      <c r="P239">
        <f>IF($W239="","",SUMIFS(상세표[22~06시],상세표[사번키],INDEX(합계표[사번키],$W239),상세표[반영월],대상월키,상세표[반영 기관],"서울병원"))</f>
        <v/>
      </c>
      <c r="Q239">
        <f>IF($W239="","",SUM($M239:$P239))</f>
        <v/>
      </c>
      <c r="R239">
        <f>IF($W239="","",COUNTIFS(상세표[사번키],INDEX(합계표[사번키],$W239),상세표[반영월],대상월키,상세표[야간당직],1,상세표[야간 구분],"평일"))</f>
        <v/>
      </c>
      <c r="S239" s="4">
        <f>IF($W239="","",COUNTIFS(상세표[사번키],INDEX(합계표[사번키],$W239),상세표[반영월],대상월키,상세표[야간당직],1,상세표[야간 구분],"휴일"))</f>
        <v/>
      </c>
      <c r="T239">
        <f>IF($W239="","",COUNTIFS(상세표[사번키],INDEX(합계표[사번키],$W239),상세표[반영월],대상월키,상세표[야간당직],1,상세표[야간 구분],"평일",상세표[반영 기관],"서울병원"))</f>
        <v/>
      </c>
      <c r="U239">
        <f>IF($W239="","",COUNTIFS(상세표[사번키],INDEX(합계표[사번키],$W239),상세표[반영월],대상월키,상세표[야간당직],1,상세표[야간 구분],"휴일",상세표[반영 기관],"서울병원"))</f>
        <v/>
      </c>
      <c r="V239">
        <f>IF($W239="","",IF(ISNUMBER(MATCH(INDEX(합계표[사번키],$W239)&amp;"|"&amp;대상월키,월별근무지표[키],0)),"직접 입력",IF($K239="—","—","기관명단")))</f>
        <v/>
      </c>
      <c r="W239">
        <f>IFERROR(MATCH(234,합계표[판정순번],0),"")</f>
        <v/>
      </c>
      <c r="Y239">
        <f>IF($AB239="","",INDEX(상세표[사번],$AB239)&amp;"")</f>
        <v/>
      </c>
      <c r="Z239">
        <f>IF($AB239="","",INDEX(상세표[성명],$AB239)&amp;"")</f>
        <v/>
      </c>
      <c r="AA239">
        <f>IF($AB239="","",SUMIFS(상세표[기록 시간외],상세표[사번키],INDEX(상세표[사번키],$AB239),상세표[반영월],대상월키))</f>
        <v/>
      </c>
      <c r="AB239" s="4">
        <f>IFERROR(MATCH(234,상세표[합계없음순번],0),"")</f>
        <v/>
      </c>
    </row>
    <row r="240">
      <c r="A240">
        <f>IF($W240="","",INDEX(합계표[사번],$W240)&amp;"")</f>
        <v/>
      </c>
      <c r="B240">
        <f>IF($W240="","",INDEX(합계표[성명],$W240)&amp;"")</f>
        <v/>
      </c>
      <c r="C240">
        <f>IF($W240="","",INDEX(합계표[부서],$W240)&amp;"")</f>
        <v/>
      </c>
      <c r="D240">
        <f>IF($W240="","",INDEX(합계표[직위(통합)],$W240)&amp;"")</f>
        <v/>
      </c>
      <c r="E240">
        <f>IF($W240="","",SUMIFS(합계표[시스템 합계],합계표[사번키],INDEX(합계표[사번키],$W240)))</f>
        <v/>
      </c>
      <c r="F240">
        <f>IF($W240="","",SUMIFS(상세표[기록 시간외],상세표[사번키],INDEX(합계표[사번키],$W240),상세표[기록월],대상월키))</f>
        <v/>
      </c>
      <c r="G240">
        <f>IF($W240="","",IF(ABS($E240-$F240)&lt;0.01,"일치","불일치(차이 "&amp;TEXT($F240-$E240,"0.00")&amp;")"))</f>
        <v/>
      </c>
      <c r="H240">
        <f>IF($W240="","",SUMIFS(상세표[기록 시간외],상세표[사번키],INDEX(합계표[사번키],$W240),상세표[기록월],대상월키,상세표[반영월],"&lt;&gt;"&amp;대상월키))</f>
        <v/>
      </c>
      <c r="I240">
        <f>IF($W240="","",SUMIFS(상세표[기록 시간외],상세표[사번키],INDEX(합계표[사번키],$W240),상세표[기록월],"&lt;&gt;"&amp;대상월키,상세표[반영월],대상월키))</f>
        <v/>
      </c>
      <c r="J240">
        <f>IF($W240="","",SUMIFS(상세표[기록 시간외],상세표[사번키],INDEX(합계표[사번키],$W240),상세표[반영월],대상월키))</f>
        <v/>
      </c>
      <c r="K240">
        <f>IF($W240="","",IFERROR(INDEX(월별근무지표[적용 급여병원],MATCH(INDEX(합계표[사번키],$W240)&amp;"|"&amp;대상월키,월별근무지표[키],0))&amp;"",IF(COUNTIF(기관표[사번키],INDEX(합계표[사번키],$W240))+COUNTIF(월별근무지표[사번키],INDEX(합계표[사번키],$W240))&gt;0,IFERROR(INDEX(기관표[급여지급병원(기준월)],MATCH(INDEX(합계표[사번키],$W240)&amp;"|"&amp;대상월키,기관표[키],0))&amp;"","—"),"—")))</f>
        <v/>
      </c>
      <c r="L240">
        <f>IF($W240="","",IF(NOT(COUNTIF(기관표[사번키],INDEX(합계표[사번키],$W240))+COUNTIF(월별근무지표[사번키],INDEX(합계표[사번키],$W240))&gt;0),"기관명단에 없음(다른 병원으로 발송)",IF($K240="—","대상월 기관명단 없음(추가 필요)",IF($K240="서울병원","해당","비해당"))))</f>
        <v/>
      </c>
      <c r="M240">
        <f>IF($W240="","",SUMIFS(상세표[06~07시],상세표[사번키],INDEX(합계표[사번키],$W240),상세표[반영월],대상월키,상세표[반영 기관],"서울병원"))</f>
        <v/>
      </c>
      <c r="N240">
        <f>IF($W240="","",SUMIFS(상세표[07~18시],상세표[사번키],INDEX(합계표[사번키],$W240),상세표[반영월],대상월키,상세표[반영 기관],"서울병원"))</f>
        <v/>
      </c>
      <c r="O240">
        <f>IF($W240="","",SUMIFS(상세표[18~22시],상세표[사번키],INDEX(합계표[사번키],$W240),상세표[반영월],대상월키,상세표[반영 기관],"서울병원"))</f>
        <v/>
      </c>
      <c r="P240">
        <f>IF($W240="","",SUMIFS(상세표[22~06시],상세표[사번키],INDEX(합계표[사번키],$W240),상세표[반영월],대상월키,상세표[반영 기관],"서울병원"))</f>
        <v/>
      </c>
      <c r="Q240">
        <f>IF($W240="","",SUM($M240:$P240))</f>
        <v/>
      </c>
      <c r="R240">
        <f>IF($W240="","",COUNTIFS(상세표[사번키],INDEX(합계표[사번키],$W240),상세표[반영월],대상월키,상세표[야간당직],1,상세표[야간 구분],"평일"))</f>
        <v/>
      </c>
      <c r="S240" s="4">
        <f>IF($W240="","",COUNTIFS(상세표[사번키],INDEX(합계표[사번키],$W240),상세표[반영월],대상월키,상세표[야간당직],1,상세표[야간 구분],"휴일"))</f>
        <v/>
      </c>
      <c r="T240">
        <f>IF($W240="","",COUNTIFS(상세표[사번키],INDEX(합계표[사번키],$W240),상세표[반영월],대상월키,상세표[야간당직],1,상세표[야간 구분],"평일",상세표[반영 기관],"서울병원"))</f>
        <v/>
      </c>
      <c r="U240">
        <f>IF($W240="","",COUNTIFS(상세표[사번키],INDEX(합계표[사번키],$W240),상세표[반영월],대상월키,상세표[야간당직],1,상세표[야간 구분],"휴일",상세표[반영 기관],"서울병원"))</f>
        <v/>
      </c>
      <c r="V240">
        <f>IF($W240="","",IF(ISNUMBER(MATCH(INDEX(합계표[사번키],$W240)&amp;"|"&amp;대상월키,월별근무지표[키],0)),"직접 입력",IF($K240="—","—","기관명단")))</f>
        <v/>
      </c>
      <c r="W240">
        <f>IFERROR(MATCH(235,합계표[판정순번],0),"")</f>
        <v/>
      </c>
      <c r="Y240">
        <f>IF($AB240="","",INDEX(상세표[사번],$AB240)&amp;"")</f>
        <v/>
      </c>
      <c r="Z240">
        <f>IF($AB240="","",INDEX(상세표[성명],$AB240)&amp;"")</f>
        <v/>
      </c>
      <c r="AA240">
        <f>IF($AB240="","",SUMIFS(상세표[기록 시간외],상세표[사번키],INDEX(상세표[사번키],$AB240),상세표[반영월],대상월키))</f>
        <v/>
      </c>
      <c r="AB240" s="4">
        <f>IFERROR(MATCH(235,상세표[합계없음순번],0),"")</f>
        <v/>
      </c>
    </row>
    <row r="241">
      <c r="A241">
        <f>IF($W241="","",INDEX(합계표[사번],$W241)&amp;"")</f>
        <v/>
      </c>
      <c r="B241">
        <f>IF($W241="","",INDEX(합계표[성명],$W241)&amp;"")</f>
        <v/>
      </c>
      <c r="C241">
        <f>IF($W241="","",INDEX(합계표[부서],$W241)&amp;"")</f>
        <v/>
      </c>
      <c r="D241">
        <f>IF($W241="","",INDEX(합계표[직위(통합)],$W241)&amp;"")</f>
        <v/>
      </c>
      <c r="E241">
        <f>IF($W241="","",SUMIFS(합계표[시스템 합계],합계표[사번키],INDEX(합계표[사번키],$W241)))</f>
        <v/>
      </c>
      <c r="F241">
        <f>IF($W241="","",SUMIFS(상세표[기록 시간외],상세표[사번키],INDEX(합계표[사번키],$W241),상세표[기록월],대상월키))</f>
        <v/>
      </c>
      <c r="G241">
        <f>IF($W241="","",IF(ABS($E241-$F241)&lt;0.01,"일치","불일치(차이 "&amp;TEXT($F241-$E241,"0.00")&amp;")"))</f>
        <v/>
      </c>
      <c r="H241">
        <f>IF($W241="","",SUMIFS(상세표[기록 시간외],상세표[사번키],INDEX(합계표[사번키],$W241),상세표[기록월],대상월키,상세표[반영월],"&lt;&gt;"&amp;대상월키))</f>
        <v/>
      </c>
      <c r="I241">
        <f>IF($W241="","",SUMIFS(상세표[기록 시간외],상세표[사번키],INDEX(합계표[사번키],$W241),상세표[기록월],"&lt;&gt;"&amp;대상월키,상세표[반영월],대상월키))</f>
        <v/>
      </c>
      <c r="J241">
        <f>IF($W241="","",SUMIFS(상세표[기록 시간외],상세표[사번키],INDEX(합계표[사번키],$W241),상세표[반영월],대상월키))</f>
        <v/>
      </c>
      <c r="K241">
        <f>IF($W241="","",IFERROR(INDEX(월별근무지표[적용 급여병원],MATCH(INDEX(합계표[사번키],$W241)&amp;"|"&amp;대상월키,월별근무지표[키],0))&amp;"",IF(COUNTIF(기관표[사번키],INDEX(합계표[사번키],$W241))+COUNTIF(월별근무지표[사번키],INDEX(합계표[사번키],$W241))&gt;0,IFERROR(INDEX(기관표[급여지급병원(기준월)],MATCH(INDEX(합계표[사번키],$W241)&amp;"|"&amp;대상월키,기관표[키],0))&amp;"","—"),"—")))</f>
        <v/>
      </c>
      <c r="L241">
        <f>IF($W241="","",IF(NOT(COUNTIF(기관표[사번키],INDEX(합계표[사번키],$W241))+COUNTIF(월별근무지표[사번키],INDEX(합계표[사번키],$W241))&gt;0),"기관명단에 없음(다른 병원으로 발송)",IF($K241="—","대상월 기관명단 없음(추가 필요)",IF($K241="서울병원","해당","비해당"))))</f>
        <v/>
      </c>
      <c r="M241">
        <f>IF($W241="","",SUMIFS(상세표[06~07시],상세표[사번키],INDEX(합계표[사번키],$W241),상세표[반영월],대상월키,상세표[반영 기관],"서울병원"))</f>
        <v/>
      </c>
      <c r="N241">
        <f>IF($W241="","",SUMIFS(상세표[07~18시],상세표[사번키],INDEX(합계표[사번키],$W241),상세표[반영월],대상월키,상세표[반영 기관],"서울병원"))</f>
        <v/>
      </c>
      <c r="O241">
        <f>IF($W241="","",SUMIFS(상세표[18~22시],상세표[사번키],INDEX(합계표[사번키],$W241),상세표[반영월],대상월키,상세표[반영 기관],"서울병원"))</f>
        <v/>
      </c>
      <c r="P241">
        <f>IF($W241="","",SUMIFS(상세표[22~06시],상세표[사번키],INDEX(합계표[사번키],$W241),상세표[반영월],대상월키,상세표[반영 기관],"서울병원"))</f>
        <v/>
      </c>
      <c r="Q241">
        <f>IF($W241="","",SUM($M241:$P241))</f>
        <v/>
      </c>
      <c r="R241">
        <f>IF($W241="","",COUNTIFS(상세표[사번키],INDEX(합계표[사번키],$W241),상세표[반영월],대상월키,상세표[야간당직],1,상세표[야간 구분],"평일"))</f>
        <v/>
      </c>
      <c r="S241" s="4">
        <f>IF($W241="","",COUNTIFS(상세표[사번키],INDEX(합계표[사번키],$W241),상세표[반영월],대상월키,상세표[야간당직],1,상세표[야간 구분],"휴일"))</f>
        <v/>
      </c>
      <c r="T241">
        <f>IF($W241="","",COUNTIFS(상세표[사번키],INDEX(합계표[사번키],$W241),상세표[반영월],대상월키,상세표[야간당직],1,상세표[야간 구분],"평일",상세표[반영 기관],"서울병원"))</f>
        <v/>
      </c>
      <c r="U241">
        <f>IF($W241="","",COUNTIFS(상세표[사번키],INDEX(합계표[사번키],$W241),상세표[반영월],대상월키,상세표[야간당직],1,상세표[야간 구분],"휴일",상세표[반영 기관],"서울병원"))</f>
        <v/>
      </c>
      <c r="V241">
        <f>IF($W241="","",IF(ISNUMBER(MATCH(INDEX(합계표[사번키],$W241)&amp;"|"&amp;대상월키,월별근무지표[키],0)),"직접 입력",IF($K241="—","—","기관명단")))</f>
        <v/>
      </c>
      <c r="W241">
        <f>IFERROR(MATCH(236,합계표[판정순번],0),"")</f>
        <v/>
      </c>
      <c r="Y241">
        <f>IF($AB241="","",INDEX(상세표[사번],$AB241)&amp;"")</f>
        <v/>
      </c>
      <c r="Z241">
        <f>IF($AB241="","",INDEX(상세표[성명],$AB241)&amp;"")</f>
        <v/>
      </c>
      <c r="AA241">
        <f>IF($AB241="","",SUMIFS(상세표[기록 시간외],상세표[사번키],INDEX(상세표[사번키],$AB241),상세표[반영월],대상월키))</f>
        <v/>
      </c>
      <c r="AB241" s="4">
        <f>IFERROR(MATCH(236,상세표[합계없음순번],0),"")</f>
        <v/>
      </c>
    </row>
    <row r="242">
      <c r="A242">
        <f>IF($W242="","",INDEX(합계표[사번],$W242)&amp;"")</f>
        <v/>
      </c>
      <c r="B242">
        <f>IF($W242="","",INDEX(합계표[성명],$W242)&amp;"")</f>
        <v/>
      </c>
      <c r="C242">
        <f>IF($W242="","",INDEX(합계표[부서],$W242)&amp;"")</f>
        <v/>
      </c>
      <c r="D242">
        <f>IF($W242="","",INDEX(합계표[직위(통합)],$W242)&amp;"")</f>
        <v/>
      </c>
      <c r="E242">
        <f>IF($W242="","",SUMIFS(합계표[시스템 합계],합계표[사번키],INDEX(합계표[사번키],$W242)))</f>
        <v/>
      </c>
      <c r="F242">
        <f>IF($W242="","",SUMIFS(상세표[기록 시간외],상세표[사번키],INDEX(합계표[사번키],$W242),상세표[기록월],대상월키))</f>
        <v/>
      </c>
      <c r="G242">
        <f>IF($W242="","",IF(ABS($E242-$F242)&lt;0.01,"일치","불일치(차이 "&amp;TEXT($F242-$E242,"0.00")&amp;")"))</f>
        <v/>
      </c>
      <c r="H242">
        <f>IF($W242="","",SUMIFS(상세표[기록 시간외],상세표[사번키],INDEX(합계표[사번키],$W242),상세표[기록월],대상월키,상세표[반영월],"&lt;&gt;"&amp;대상월키))</f>
        <v/>
      </c>
      <c r="I242">
        <f>IF($W242="","",SUMIFS(상세표[기록 시간외],상세표[사번키],INDEX(합계표[사번키],$W242),상세표[기록월],"&lt;&gt;"&amp;대상월키,상세표[반영월],대상월키))</f>
        <v/>
      </c>
      <c r="J242">
        <f>IF($W242="","",SUMIFS(상세표[기록 시간외],상세표[사번키],INDEX(합계표[사번키],$W242),상세표[반영월],대상월키))</f>
        <v/>
      </c>
      <c r="K242">
        <f>IF($W242="","",IFERROR(INDEX(월별근무지표[적용 급여병원],MATCH(INDEX(합계표[사번키],$W242)&amp;"|"&amp;대상월키,월별근무지표[키],0))&amp;"",IF(COUNTIF(기관표[사번키],INDEX(합계표[사번키],$W242))+COUNTIF(월별근무지표[사번키],INDEX(합계표[사번키],$W242))&gt;0,IFERROR(INDEX(기관표[급여지급병원(기준월)],MATCH(INDEX(합계표[사번키],$W242)&amp;"|"&amp;대상월키,기관표[키],0))&amp;"","—"),"—")))</f>
        <v/>
      </c>
      <c r="L242">
        <f>IF($W242="","",IF(NOT(COUNTIF(기관표[사번키],INDEX(합계표[사번키],$W242))+COUNTIF(월별근무지표[사번키],INDEX(합계표[사번키],$W242))&gt;0),"기관명단에 없음(다른 병원으로 발송)",IF($K242="—","대상월 기관명단 없음(추가 필요)",IF($K242="서울병원","해당","비해당"))))</f>
        <v/>
      </c>
      <c r="M242">
        <f>IF($W242="","",SUMIFS(상세표[06~07시],상세표[사번키],INDEX(합계표[사번키],$W242),상세표[반영월],대상월키,상세표[반영 기관],"서울병원"))</f>
        <v/>
      </c>
      <c r="N242">
        <f>IF($W242="","",SUMIFS(상세표[07~18시],상세표[사번키],INDEX(합계표[사번키],$W242),상세표[반영월],대상월키,상세표[반영 기관],"서울병원"))</f>
        <v/>
      </c>
      <c r="O242">
        <f>IF($W242="","",SUMIFS(상세표[18~22시],상세표[사번키],INDEX(합계표[사번키],$W242),상세표[반영월],대상월키,상세표[반영 기관],"서울병원"))</f>
        <v/>
      </c>
      <c r="P242">
        <f>IF($W242="","",SUMIFS(상세표[22~06시],상세표[사번키],INDEX(합계표[사번키],$W242),상세표[반영월],대상월키,상세표[반영 기관],"서울병원"))</f>
        <v/>
      </c>
      <c r="Q242">
        <f>IF($W242="","",SUM($M242:$P242))</f>
        <v/>
      </c>
      <c r="R242">
        <f>IF($W242="","",COUNTIFS(상세표[사번키],INDEX(합계표[사번키],$W242),상세표[반영월],대상월키,상세표[야간당직],1,상세표[야간 구분],"평일"))</f>
        <v/>
      </c>
      <c r="S242" s="4">
        <f>IF($W242="","",COUNTIFS(상세표[사번키],INDEX(합계표[사번키],$W242),상세표[반영월],대상월키,상세표[야간당직],1,상세표[야간 구분],"휴일"))</f>
        <v/>
      </c>
      <c r="T242">
        <f>IF($W242="","",COUNTIFS(상세표[사번키],INDEX(합계표[사번키],$W242),상세표[반영월],대상월키,상세표[야간당직],1,상세표[야간 구분],"평일",상세표[반영 기관],"서울병원"))</f>
        <v/>
      </c>
      <c r="U242">
        <f>IF($W242="","",COUNTIFS(상세표[사번키],INDEX(합계표[사번키],$W242),상세표[반영월],대상월키,상세표[야간당직],1,상세표[야간 구분],"휴일",상세표[반영 기관],"서울병원"))</f>
        <v/>
      </c>
      <c r="V242">
        <f>IF($W242="","",IF(ISNUMBER(MATCH(INDEX(합계표[사번키],$W242)&amp;"|"&amp;대상월키,월별근무지표[키],0)),"직접 입력",IF($K242="—","—","기관명단")))</f>
        <v/>
      </c>
      <c r="W242">
        <f>IFERROR(MATCH(237,합계표[판정순번],0),"")</f>
        <v/>
      </c>
      <c r="Y242">
        <f>IF($AB242="","",INDEX(상세표[사번],$AB242)&amp;"")</f>
        <v/>
      </c>
      <c r="Z242">
        <f>IF($AB242="","",INDEX(상세표[성명],$AB242)&amp;"")</f>
        <v/>
      </c>
      <c r="AA242">
        <f>IF($AB242="","",SUMIFS(상세표[기록 시간외],상세표[사번키],INDEX(상세표[사번키],$AB242),상세표[반영월],대상월키))</f>
        <v/>
      </c>
      <c r="AB242" s="4">
        <f>IFERROR(MATCH(237,상세표[합계없음순번],0),"")</f>
        <v/>
      </c>
    </row>
    <row r="243">
      <c r="A243">
        <f>IF($W243="","",INDEX(합계표[사번],$W243)&amp;"")</f>
        <v/>
      </c>
      <c r="B243">
        <f>IF($W243="","",INDEX(합계표[성명],$W243)&amp;"")</f>
        <v/>
      </c>
      <c r="C243">
        <f>IF($W243="","",INDEX(합계표[부서],$W243)&amp;"")</f>
        <v/>
      </c>
      <c r="D243">
        <f>IF($W243="","",INDEX(합계표[직위(통합)],$W243)&amp;"")</f>
        <v/>
      </c>
      <c r="E243">
        <f>IF($W243="","",SUMIFS(합계표[시스템 합계],합계표[사번키],INDEX(합계표[사번키],$W243)))</f>
        <v/>
      </c>
      <c r="F243">
        <f>IF($W243="","",SUMIFS(상세표[기록 시간외],상세표[사번키],INDEX(합계표[사번키],$W243),상세표[기록월],대상월키))</f>
        <v/>
      </c>
      <c r="G243">
        <f>IF($W243="","",IF(ABS($E243-$F243)&lt;0.01,"일치","불일치(차이 "&amp;TEXT($F243-$E243,"0.00")&amp;")"))</f>
        <v/>
      </c>
      <c r="H243">
        <f>IF($W243="","",SUMIFS(상세표[기록 시간외],상세표[사번키],INDEX(합계표[사번키],$W243),상세표[기록월],대상월키,상세표[반영월],"&lt;&gt;"&amp;대상월키))</f>
        <v/>
      </c>
      <c r="I243">
        <f>IF($W243="","",SUMIFS(상세표[기록 시간외],상세표[사번키],INDEX(합계표[사번키],$W243),상세표[기록월],"&lt;&gt;"&amp;대상월키,상세표[반영월],대상월키))</f>
        <v/>
      </c>
      <c r="J243">
        <f>IF($W243="","",SUMIFS(상세표[기록 시간외],상세표[사번키],INDEX(합계표[사번키],$W243),상세표[반영월],대상월키))</f>
        <v/>
      </c>
      <c r="K243">
        <f>IF($W243="","",IFERROR(INDEX(월별근무지표[적용 급여병원],MATCH(INDEX(합계표[사번키],$W243)&amp;"|"&amp;대상월키,월별근무지표[키],0))&amp;"",IF(COUNTIF(기관표[사번키],INDEX(합계표[사번키],$W243))+COUNTIF(월별근무지표[사번키],INDEX(합계표[사번키],$W243))&gt;0,IFERROR(INDEX(기관표[급여지급병원(기준월)],MATCH(INDEX(합계표[사번키],$W243)&amp;"|"&amp;대상월키,기관표[키],0))&amp;"","—"),"—")))</f>
        <v/>
      </c>
      <c r="L243">
        <f>IF($W243="","",IF(NOT(COUNTIF(기관표[사번키],INDEX(합계표[사번키],$W243))+COUNTIF(월별근무지표[사번키],INDEX(합계표[사번키],$W243))&gt;0),"기관명단에 없음(다른 병원으로 발송)",IF($K243="—","대상월 기관명단 없음(추가 필요)",IF($K243="서울병원","해당","비해당"))))</f>
        <v/>
      </c>
      <c r="M243">
        <f>IF($W243="","",SUMIFS(상세표[06~07시],상세표[사번키],INDEX(합계표[사번키],$W243),상세표[반영월],대상월키,상세표[반영 기관],"서울병원"))</f>
        <v/>
      </c>
      <c r="N243">
        <f>IF($W243="","",SUMIFS(상세표[07~18시],상세표[사번키],INDEX(합계표[사번키],$W243),상세표[반영월],대상월키,상세표[반영 기관],"서울병원"))</f>
        <v/>
      </c>
      <c r="O243">
        <f>IF($W243="","",SUMIFS(상세표[18~22시],상세표[사번키],INDEX(합계표[사번키],$W243),상세표[반영월],대상월키,상세표[반영 기관],"서울병원"))</f>
        <v/>
      </c>
      <c r="P243">
        <f>IF($W243="","",SUMIFS(상세표[22~06시],상세표[사번키],INDEX(합계표[사번키],$W243),상세표[반영월],대상월키,상세표[반영 기관],"서울병원"))</f>
        <v/>
      </c>
      <c r="Q243">
        <f>IF($W243="","",SUM($M243:$P243))</f>
        <v/>
      </c>
      <c r="R243">
        <f>IF($W243="","",COUNTIFS(상세표[사번키],INDEX(합계표[사번키],$W243),상세표[반영월],대상월키,상세표[야간당직],1,상세표[야간 구분],"평일"))</f>
        <v/>
      </c>
      <c r="S243" s="4">
        <f>IF($W243="","",COUNTIFS(상세표[사번키],INDEX(합계표[사번키],$W243),상세표[반영월],대상월키,상세표[야간당직],1,상세표[야간 구분],"휴일"))</f>
        <v/>
      </c>
      <c r="T243">
        <f>IF($W243="","",COUNTIFS(상세표[사번키],INDEX(합계표[사번키],$W243),상세표[반영월],대상월키,상세표[야간당직],1,상세표[야간 구분],"평일",상세표[반영 기관],"서울병원"))</f>
        <v/>
      </c>
      <c r="U243">
        <f>IF($W243="","",COUNTIFS(상세표[사번키],INDEX(합계표[사번키],$W243),상세표[반영월],대상월키,상세표[야간당직],1,상세표[야간 구분],"휴일",상세표[반영 기관],"서울병원"))</f>
        <v/>
      </c>
      <c r="V243">
        <f>IF($W243="","",IF(ISNUMBER(MATCH(INDEX(합계표[사번키],$W243)&amp;"|"&amp;대상월키,월별근무지표[키],0)),"직접 입력",IF($K243="—","—","기관명단")))</f>
        <v/>
      </c>
      <c r="W243">
        <f>IFERROR(MATCH(238,합계표[판정순번],0),"")</f>
        <v/>
      </c>
      <c r="Y243">
        <f>IF($AB243="","",INDEX(상세표[사번],$AB243)&amp;"")</f>
        <v/>
      </c>
      <c r="Z243">
        <f>IF($AB243="","",INDEX(상세표[성명],$AB243)&amp;"")</f>
        <v/>
      </c>
      <c r="AA243">
        <f>IF($AB243="","",SUMIFS(상세표[기록 시간외],상세표[사번키],INDEX(상세표[사번키],$AB243),상세표[반영월],대상월키))</f>
        <v/>
      </c>
      <c r="AB243" s="4">
        <f>IFERROR(MATCH(238,상세표[합계없음순번],0),"")</f>
        <v/>
      </c>
    </row>
    <row r="244">
      <c r="A244">
        <f>IF($W244="","",INDEX(합계표[사번],$W244)&amp;"")</f>
        <v/>
      </c>
      <c r="B244">
        <f>IF($W244="","",INDEX(합계표[성명],$W244)&amp;"")</f>
        <v/>
      </c>
      <c r="C244">
        <f>IF($W244="","",INDEX(합계표[부서],$W244)&amp;"")</f>
        <v/>
      </c>
      <c r="D244">
        <f>IF($W244="","",INDEX(합계표[직위(통합)],$W244)&amp;"")</f>
        <v/>
      </c>
      <c r="E244">
        <f>IF($W244="","",SUMIFS(합계표[시스템 합계],합계표[사번키],INDEX(합계표[사번키],$W244)))</f>
        <v/>
      </c>
      <c r="F244">
        <f>IF($W244="","",SUMIFS(상세표[기록 시간외],상세표[사번키],INDEX(합계표[사번키],$W244),상세표[기록월],대상월키))</f>
        <v/>
      </c>
      <c r="G244">
        <f>IF($W244="","",IF(ABS($E244-$F244)&lt;0.01,"일치","불일치(차이 "&amp;TEXT($F244-$E244,"0.00")&amp;")"))</f>
        <v/>
      </c>
      <c r="H244">
        <f>IF($W244="","",SUMIFS(상세표[기록 시간외],상세표[사번키],INDEX(합계표[사번키],$W244),상세표[기록월],대상월키,상세표[반영월],"&lt;&gt;"&amp;대상월키))</f>
        <v/>
      </c>
      <c r="I244">
        <f>IF($W244="","",SUMIFS(상세표[기록 시간외],상세표[사번키],INDEX(합계표[사번키],$W244),상세표[기록월],"&lt;&gt;"&amp;대상월키,상세표[반영월],대상월키))</f>
        <v/>
      </c>
      <c r="J244">
        <f>IF($W244="","",SUMIFS(상세표[기록 시간외],상세표[사번키],INDEX(합계표[사번키],$W244),상세표[반영월],대상월키))</f>
        <v/>
      </c>
      <c r="K244">
        <f>IF($W244="","",IFERROR(INDEX(월별근무지표[적용 급여병원],MATCH(INDEX(합계표[사번키],$W244)&amp;"|"&amp;대상월키,월별근무지표[키],0))&amp;"",IF(COUNTIF(기관표[사번키],INDEX(합계표[사번키],$W244))+COUNTIF(월별근무지표[사번키],INDEX(합계표[사번키],$W244))&gt;0,IFERROR(INDEX(기관표[급여지급병원(기준월)],MATCH(INDEX(합계표[사번키],$W244)&amp;"|"&amp;대상월키,기관표[키],0))&amp;"","—"),"—")))</f>
        <v/>
      </c>
      <c r="L244">
        <f>IF($W244="","",IF(NOT(COUNTIF(기관표[사번키],INDEX(합계표[사번키],$W244))+COUNTIF(월별근무지표[사번키],INDEX(합계표[사번키],$W244))&gt;0),"기관명단에 없음(다른 병원으로 발송)",IF($K244="—","대상월 기관명단 없음(추가 필요)",IF($K244="서울병원","해당","비해당"))))</f>
        <v/>
      </c>
      <c r="M244">
        <f>IF($W244="","",SUMIFS(상세표[06~07시],상세표[사번키],INDEX(합계표[사번키],$W244),상세표[반영월],대상월키,상세표[반영 기관],"서울병원"))</f>
        <v/>
      </c>
      <c r="N244">
        <f>IF($W244="","",SUMIFS(상세표[07~18시],상세표[사번키],INDEX(합계표[사번키],$W244),상세표[반영월],대상월키,상세표[반영 기관],"서울병원"))</f>
        <v/>
      </c>
      <c r="O244">
        <f>IF($W244="","",SUMIFS(상세표[18~22시],상세표[사번키],INDEX(합계표[사번키],$W244),상세표[반영월],대상월키,상세표[반영 기관],"서울병원"))</f>
        <v/>
      </c>
      <c r="P244">
        <f>IF($W244="","",SUMIFS(상세표[22~06시],상세표[사번키],INDEX(합계표[사번키],$W244),상세표[반영월],대상월키,상세표[반영 기관],"서울병원"))</f>
        <v/>
      </c>
      <c r="Q244">
        <f>IF($W244="","",SUM($M244:$P244))</f>
        <v/>
      </c>
      <c r="R244">
        <f>IF($W244="","",COUNTIFS(상세표[사번키],INDEX(합계표[사번키],$W244),상세표[반영월],대상월키,상세표[야간당직],1,상세표[야간 구분],"평일"))</f>
        <v/>
      </c>
      <c r="S244" s="4">
        <f>IF($W244="","",COUNTIFS(상세표[사번키],INDEX(합계표[사번키],$W244),상세표[반영월],대상월키,상세표[야간당직],1,상세표[야간 구분],"휴일"))</f>
        <v/>
      </c>
      <c r="T244">
        <f>IF($W244="","",COUNTIFS(상세표[사번키],INDEX(합계표[사번키],$W244),상세표[반영월],대상월키,상세표[야간당직],1,상세표[야간 구분],"평일",상세표[반영 기관],"서울병원"))</f>
        <v/>
      </c>
      <c r="U244">
        <f>IF($W244="","",COUNTIFS(상세표[사번키],INDEX(합계표[사번키],$W244),상세표[반영월],대상월키,상세표[야간당직],1,상세표[야간 구분],"휴일",상세표[반영 기관],"서울병원"))</f>
        <v/>
      </c>
      <c r="V244">
        <f>IF($W244="","",IF(ISNUMBER(MATCH(INDEX(합계표[사번키],$W244)&amp;"|"&amp;대상월키,월별근무지표[키],0)),"직접 입력",IF($K244="—","—","기관명단")))</f>
        <v/>
      </c>
      <c r="W244">
        <f>IFERROR(MATCH(239,합계표[판정순번],0),"")</f>
        <v/>
      </c>
      <c r="Y244">
        <f>IF($AB244="","",INDEX(상세표[사번],$AB244)&amp;"")</f>
        <v/>
      </c>
      <c r="Z244">
        <f>IF($AB244="","",INDEX(상세표[성명],$AB244)&amp;"")</f>
        <v/>
      </c>
      <c r="AA244">
        <f>IF($AB244="","",SUMIFS(상세표[기록 시간외],상세표[사번키],INDEX(상세표[사번키],$AB244),상세표[반영월],대상월키))</f>
        <v/>
      </c>
      <c r="AB244" s="4">
        <f>IFERROR(MATCH(239,상세표[합계없음순번],0),"")</f>
        <v/>
      </c>
    </row>
    <row r="245">
      <c r="A245">
        <f>IF($W245="","",INDEX(합계표[사번],$W245)&amp;"")</f>
        <v/>
      </c>
      <c r="B245">
        <f>IF($W245="","",INDEX(합계표[성명],$W245)&amp;"")</f>
        <v/>
      </c>
      <c r="C245">
        <f>IF($W245="","",INDEX(합계표[부서],$W245)&amp;"")</f>
        <v/>
      </c>
      <c r="D245">
        <f>IF($W245="","",INDEX(합계표[직위(통합)],$W245)&amp;"")</f>
        <v/>
      </c>
      <c r="E245">
        <f>IF($W245="","",SUMIFS(합계표[시스템 합계],합계표[사번키],INDEX(합계표[사번키],$W245)))</f>
        <v/>
      </c>
      <c r="F245">
        <f>IF($W245="","",SUMIFS(상세표[기록 시간외],상세표[사번키],INDEX(합계표[사번키],$W245),상세표[기록월],대상월키))</f>
        <v/>
      </c>
      <c r="G245">
        <f>IF($W245="","",IF(ABS($E245-$F245)&lt;0.01,"일치","불일치(차이 "&amp;TEXT($F245-$E245,"0.00")&amp;")"))</f>
        <v/>
      </c>
      <c r="H245">
        <f>IF($W245="","",SUMIFS(상세표[기록 시간외],상세표[사번키],INDEX(합계표[사번키],$W245),상세표[기록월],대상월키,상세표[반영월],"&lt;&gt;"&amp;대상월키))</f>
        <v/>
      </c>
      <c r="I245">
        <f>IF($W245="","",SUMIFS(상세표[기록 시간외],상세표[사번키],INDEX(합계표[사번키],$W245),상세표[기록월],"&lt;&gt;"&amp;대상월키,상세표[반영월],대상월키))</f>
        <v/>
      </c>
      <c r="J245">
        <f>IF($W245="","",SUMIFS(상세표[기록 시간외],상세표[사번키],INDEX(합계표[사번키],$W245),상세표[반영월],대상월키))</f>
        <v/>
      </c>
      <c r="K245">
        <f>IF($W245="","",IFERROR(INDEX(월별근무지표[적용 급여병원],MATCH(INDEX(합계표[사번키],$W245)&amp;"|"&amp;대상월키,월별근무지표[키],0))&amp;"",IF(COUNTIF(기관표[사번키],INDEX(합계표[사번키],$W245))+COUNTIF(월별근무지표[사번키],INDEX(합계표[사번키],$W245))&gt;0,IFERROR(INDEX(기관표[급여지급병원(기준월)],MATCH(INDEX(합계표[사번키],$W245)&amp;"|"&amp;대상월키,기관표[키],0))&amp;"","—"),"—")))</f>
        <v/>
      </c>
      <c r="L245">
        <f>IF($W245="","",IF(NOT(COUNTIF(기관표[사번키],INDEX(합계표[사번키],$W245))+COUNTIF(월별근무지표[사번키],INDEX(합계표[사번키],$W245))&gt;0),"기관명단에 없음(다른 병원으로 발송)",IF($K245="—","대상월 기관명단 없음(추가 필요)",IF($K245="서울병원","해당","비해당"))))</f>
        <v/>
      </c>
      <c r="M245">
        <f>IF($W245="","",SUMIFS(상세표[06~07시],상세표[사번키],INDEX(합계표[사번키],$W245),상세표[반영월],대상월키,상세표[반영 기관],"서울병원"))</f>
        <v/>
      </c>
      <c r="N245">
        <f>IF($W245="","",SUMIFS(상세표[07~18시],상세표[사번키],INDEX(합계표[사번키],$W245),상세표[반영월],대상월키,상세표[반영 기관],"서울병원"))</f>
        <v/>
      </c>
      <c r="O245">
        <f>IF($W245="","",SUMIFS(상세표[18~22시],상세표[사번키],INDEX(합계표[사번키],$W245),상세표[반영월],대상월키,상세표[반영 기관],"서울병원"))</f>
        <v/>
      </c>
      <c r="P245">
        <f>IF($W245="","",SUMIFS(상세표[22~06시],상세표[사번키],INDEX(합계표[사번키],$W245),상세표[반영월],대상월키,상세표[반영 기관],"서울병원"))</f>
        <v/>
      </c>
      <c r="Q245">
        <f>IF($W245="","",SUM($M245:$P245))</f>
        <v/>
      </c>
      <c r="R245">
        <f>IF($W245="","",COUNTIFS(상세표[사번키],INDEX(합계표[사번키],$W245),상세표[반영월],대상월키,상세표[야간당직],1,상세표[야간 구분],"평일"))</f>
        <v/>
      </c>
      <c r="S245" s="4">
        <f>IF($W245="","",COUNTIFS(상세표[사번키],INDEX(합계표[사번키],$W245),상세표[반영월],대상월키,상세표[야간당직],1,상세표[야간 구분],"휴일"))</f>
        <v/>
      </c>
      <c r="T245">
        <f>IF($W245="","",COUNTIFS(상세표[사번키],INDEX(합계표[사번키],$W245),상세표[반영월],대상월키,상세표[야간당직],1,상세표[야간 구분],"평일",상세표[반영 기관],"서울병원"))</f>
        <v/>
      </c>
      <c r="U245">
        <f>IF($W245="","",COUNTIFS(상세표[사번키],INDEX(합계표[사번키],$W245),상세표[반영월],대상월키,상세표[야간당직],1,상세표[야간 구분],"휴일",상세표[반영 기관],"서울병원"))</f>
        <v/>
      </c>
      <c r="V245">
        <f>IF($W245="","",IF(ISNUMBER(MATCH(INDEX(합계표[사번키],$W245)&amp;"|"&amp;대상월키,월별근무지표[키],0)),"직접 입력",IF($K245="—","—","기관명단")))</f>
        <v/>
      </c>
      <c r="W245">
        <f>IFERROR(MATCH(240,합계표[판정순번],0),"")</f>
        <v/>
      </c>
      <c r="Y245">
        <f>IF($AB245="","",INDEX(상세표[사번],$AB245)&amp;"")</f>
        <v/>
      </c>
      <c r="Z245">
        <f>IF($AB245="","",INDEX(상세표[성명],$AB245)&amp;"")</f>
        <v/>
      </c>
      <c r="AA245">
        <f>IF($AB245="","",SUMIFS(상세표[기록 시간외],상세표[사번키],INDEX(상세표[사번키],$AB245),상세표[반영월],대상월키))</f>
        <v/>
      </c>
      <c r="AB245" s="4">
        <f>IFERROR(MATCH(240,상세표[합계없음순번],0),"")</f>
        <v/>
      </c>
    </row>
    <row r="246">
      <c r="A246">
        <f>IF($W246="","",INDEX(합계표[사번],$W246)&amp;"")</f>
        <v/>
      </c>
      <c r="B246">
        <f>IF($W246="","",INDEX(합계표[성명],$W246)&amp;"")</f>
        <v/>
      </c>
      <c r="C246">
        <f>IF($W246="","",INDEX(합계표[부서],$W246)&amp;"")</f>
        <v/>
      </c>
      <c r="D246">
        <f>IF($W246="","",INDEX(합계표[직위(통합)],$W246)&amp;"")</f>
        <v/>
      </c>
      <c r="E246">
        <f>IF($W246="","",SUMIFS(합계표[시스템 합계],합계표[사번키],INDEX(합계표[사번키],$W246)))</f>
        <v/>
      </c>
      <c r="F246">
        <f>IF($W246="","",SUMIFS(상세표[기록 시간외],상세표[사번키],INDEX(합계표[사번키],$W246),상세표[기록월],대상월키))</f>
        <v/>
      </c>
      <c r="G246">
        <f>IF($W246="","",IF(ABS($E246-$F246)&lt;0.01,"일치","불일치(차이 "&amp;TEXT($F246-$E246,"0.00")&amp;")"))</f>
        <v/>
      </c>
      <c r="H246">
        <f>IF($W246="","",SUMIFS(상세표[기록 시간외],상세표[사번키],INDEX(합계표[사번키],$W246),상세표[기록월],대상월키,상세표[반영월],"&lt;&gt;"&amp;대상월키))</f>
        <v/>
      </c>
      <c r="I246">
        <f>IF($W246="","",SUMIFS(상세표[기록 시간외],상세표[사번키],INDEX(합계표[사번키],$W246),상세표[기록월],"&lt;&gt;"&amp;대상월키,상세표[반영월],대상월키))</f>
        <v/>
      </c>
      <c r="J246">
        <f>IF($W246="","",SUMIFS(상세표[기록 시간외],상세표[사번키],INDEX(합계표[사번키],$W246),상세표[반영월],대상월키))</f>
        <v/>
      </c>
      <c r="K246">
        <f>IF($W246="","",IFERROR(INDEX(월별근무지표[적용 급여병원],MATCH(INDEX(합계표[사번키],$W246)&amp;"|"&amp;대상월키,월별근무지표[키],0))&amp;"",IF(COUNTIF(기관표[사번키],INDEX(합계표[사번키],$W246))+COUNTIF(월별근무지표[사번키],INDEX(합계표[사번키],$W246))&gt;0,IFERROR(INDEX(기관표[급여지급병원(기준월)],MATCH(INDEX(합계표[사번키],$W246)&amp;"|"&amp;대상월키,기관표[키],0))&amp;"","—"),"—")))</f>
        <v/>
      </c>
      <c r="L246">
        <f>IF($W246="","",IF(NOT(COUNTIF(기관표[사번키],INDEX(합계표[사번키],$W246))+COUNTIF(월별근무지표[사번키],INDEX(합계표[사번키],$W246))&gt;0),"기관명단에 없음(다른 병원으로 발송)",IF($K246="—","대상월 기관명단 없음(추가 필요)",IF($K246="서울병원","해당","비해당"))))</f>
        <v/>
      </c>
      <c r="M246">
        <f>IF($W246="","",SUMIFS(상세표[06~07시],상세표[사번키],INDEX(합계표[사번키],$W246),상세표[반영월],대상월키,상세표[반영 기관],"서울병원"))</f>
        <v/>
      </c>
      <c r="N246">
        <f>IF($W246="","",SUMIFS(상세표[07~18시],상세표[사번키],INDEX(합계표[사번키],$W246),상세표[반영월],대상월키,상세표[반영 기관],"서울병원"))</f>
        <v/>
      </c>
      <c r="O246">
        <f>IF($W246="","",SUMIFS(상세표[18~22시],상세표[사번키],INDEX(합계표[사번키],$W246),상세표[반영월],대상월키,상세표[반영 기관],"서울병원"))</f>
        <v/>
      </c>
      <c r="P246">
        <f>IF($W246="","",SUMIFS(상세표[22~06시],상세표[사번키],INDEX(합계표[사번키],$W246),상세표[반영월],대상월키,상세표[반영 기관],"서울병원"))</f>
        <v/>
      </c>
      <c r="Q246">
        <f>IF($W246="","",SUM($M246:$P246))</f>
        <v/>
      </c>
      <c r="R246">
        <f>IF($W246="","",COUNTIFS(상세표[사번키],INDEX(합계표[사번키],$W246),상세표[반영월],대상월키,상세표[야간당직],1,상세표[야간 구분],"평일"))</f>
        <v/>
      </c>
      <c r="S246" s="4">
        <f>IF($W246="","",COUNTIFS(상세표[사번키],INDEX(합계표[사번키],$W246),상세표[반영월],대상월키,상세표[야간당직],1,상세표[야간 구분],"휴일"))</f>
        <v/>
      </c>
      <c r="T246">
        <f>IF($W246="","",COUNTIFS(상세표[사번키],INDEX(합계표[사번키],$W246),상세표[반영월],대상월키,상세표[야간당직],1,상세표[야간 구분],"평일",상세표[반영 기관],"서울병원"))</f>
        <v/>
      </c>
      <c r="U246">
        <f>IF($W246="","",COUNTIFS(상세표[사번키],INDEX(합계표[사번키],$W246),상세표[반영월],대상월키,상세표[야간당직],1,상세표[야간 구분],"휴일",상세표[반영 기관],"서울병원"))</f>
        <v/>
      </c>
      <c r="V246">
        <f>IF($W246="","",IF(ISNUMBER(MATCH(INDEX(합계표[사번키],$W246)&amp;"|"&amp;대상월키,월별근무지표[키],0)),"직접 입력",IF($K246="—","—","기관명단")))</f>
        <v/>
      </c>
      <c r="W246">
        <f>IFERROR(MATCH(241,합계표[판정순번],0),"")</f>
        <v/>
      </c>
      <c r="Y246">
        <f>IF($AB246="","",INDEX(상세표[사번],$AB246)&amp;"")</f>
        <v/>
      </c>
      <c r="Z246">
        <f>IF($AB246="","",INDEX(상세표[성명],$AB246)&amp;"")</f>
        <v/>
      </c>
      <c r="AA246">
        <f>IF($AB246="","",SUMIFS(상세표[기록 시간외],상세표[사번키],INDEX(상세표[사번키],$AB246),상세표[반영월],대상월키))</f>
        <v/>
      </c>
      <c r="AB246" s="4">
        <f>IFERROR(MATCH(241,상세표[합계없음순번],0),"")</f>
        <v/>
      </c>
    </row>
    <row r="247">
      <c r="A247">
        <f>IF($W247="","",INDEX(합계표[사번],$W247)&amp;"")</f>
        <v/>
      </c>
      <c r="B247">
        <f>IF($W247="","",INDEX(합계표[성명],$W247)&amp;"")</f>
        <v/>
      </c>
      <c r="C247">
        <f>IF($W247="","",INDEX(합계표[부서],$W247)&amp;"")</f>
        <v/>
      </c>
      <c r="D247">
        <f>IF($W247="","",INDEX(합계표[직위(통합)],$W247)&amp;"")</f>
        <v/>
      </c>
      <c r="E247">
        <f>IF($W247="","",SUMIFS(합계표[시스템 합계],합계표[사번키],INDEX(합계표[사번키],$W247)))</f>
        <v/>
      </c>
      <c r="F247">
        <f>IF($W247="","",SUMIFS(상세표[기록 시간외],상세표[사번키],INDEX(합계표[사번키],$W247),상세표[기록월],대상월키))</f>
        <v/>
      </c>
      <c r="G247">
        <f>IF($W247="","",IF(ABS($E247-$F247)&lt;0.01,"일치","불일치(차이 "&amp;TEXT($F247-$E247,"0.00")&amp;")"))</f>
        <v/>
      </c>
      <c r="H247">
        <f>IF($W247="","",SUMIFS(상세표[기록 시간외],상세표[사번키],INDEX(합계표[사번키],$W247),상세표[기록월],대상월키,상세표[반영월],"&lt;&gt;"&amp;대상월키))</f>
        <v/>
      </c>
      <c r="I247">
        <f>IF($W247="","",SUMIFS(상세표[기록 시간외],상세표[사번키],INDEX(합계표[사번키],$W247),상세표[기록월],"&lt;&gt;"&amp;대상월키,상세표[반영월],대상월키))</f>
        <v/>
      </c>
      <c r="J247">
        <f>IF($W247="","",SUMIFS(상세표[기록 시간외],상세표[사번키],INDEX(합계표[사번키],$W247),상세표[반영월],대상월키))</f>
        <v/>
      </c>
      <c r="K247">
        <f>IF($W247="","",IFERROR(INDEX(월별근무지표[적용 급여병원],MATCH(INDEX(합계표[사번키],$W247)&amp;"|"&amp;대상월키,월별근무지표[키],0))&amp;"",IF(COUNTIF(기관표[사번키],INDEX(합계표[사번키],$W247))+COUNTIF(월별근무지표[사번키],INDEX(합계표[사번키],$W247))&gt;0,IFERROR(INDEX(기관표[급여지급병원(기준월)],MATCH(INDEX(합계표[사번키],$W247)&amp;"|"&amp;대상월키,기관표[키],0))&amp;"","—"),"—")))</f>
        <v/>
      </c>
      <c r="L247">
        <f>IF($W247="","",IF(NOT(COUNTIF(기관표[사번키],INDEX(합계표[사번키],$W247))+COUNTIF(월별근무지표[사번키],INDEX(합계표[사번키],$W247))&gt;0),"기관명단에 없음(다른 병원으로 발송)",IF($K247="—","대상월 기관명단 없음(추가 필요)",IF($K247="서울병원","해당","비해당"))))</f>
        <v/>
      </c>
      <c r="M247">
        <f>IF($W247="","",SUMIFS(상세표[06~07시],상세표[사번키],INDEX(합계표[사번키],$W247),상세표[반영월],대상월키,상세표[반영 기관],"서울병원"))</f>
        <v/>
      </c>
      <c r="N247">
        <f>IF($W247="","",SUMIFS(상세표[07~18시],상세표[사번키],INDEX(합계표[사번키],$W247),상세표[반영월],대상월키,상세표[반영 기관],"서울병원"))</f>
        <v/>
      </c>
      <c r="O247">
        <f>IF($W247="","",SUMIFS(상세표[18~22시],상세표[사번키],INDEX(합계표[사번키],$W247),상세표[반영월],대상월키,상세표[반영 기관],"서울병원"))</f>
        <v/>
      </c>
      <c r="P247">
        <f>IF($W247="","",SUMIFS(상세표[22~06시],상세표[사번키],INDEX(합계표[사번키],$W247),상세표[반영월],대상월키,상세표[반영 기관],"서울병원"))</f>
        <v/>
      </c>
      <c r="Q247">
        <f>IF($W247="","",SUM($M247:$P247))</f>
        <v/>
      </c>
      <c r="R247">
        <f>IF($W247="","",COUNTIFS(상세표[사번키],INDEX(합계표[사번키],$W247),상세표[반영월],대상월키,상세표[야간당직],1,상세표[야간 구분],"평일"))</f>
        <v/>
      </c>
      <c r="S247" s="4">
        <f>IF($W247="","",COUNTIFS(상세표[사번키],INDEX(합계표[사번키],$W247),상세표[반영월],대상월키,상세표[야간당직],1,상세표[야간 구분],"휴일"))</f>
        <v/>
      </c>
      <c r="T247">
        <f>IF($W247="","",COUNTIFS(상세표[사번키],INDEX(합계표[사번키],$W247),상세표[반영월],대상월키,상세표[야간당직],1,상세표[야간 구분],"평일",상세표[반영 기관],"서울병원"))</f>
        <v/>
      </c>
      <c r="U247">
        <f>IF($W247="","",COUNTIFS(상세표[사번키],INDEX(합계표[사번키],$W247),상세표[반영월],대상월키,상세표[야간당직],1,상세표[야간 구분],"휴일",상세표[반영 기관],"서울병원"))</f>
        <v/>
      </c>
      <c r="V247">
        <f>IF($W247="","",IF(ISNUMBER(MATCH(INDEX(합계표[사번키],$W247)&amp;"|"&amp;대상월키,월별근무지표[키],0)),"직접 입력",IF($K247="—","—","기관명단")))</f>
        <v/>
      </c>
      <c r="W247">
        <f>IFERROR(MATCH(242,합계표[판정순번],0),"")</f>
        <v/>
      </c>
      <c r="Y247">
        <f>IF($AB247="","",INDEX(상세표[사번],$AB247)&amp;"")</f>
        <v/>
      </c>
      <c r="Z247">
        <f>IF($AB247="","",INDEX(상세표[성명],$AB247)&amp;"")</f>
        <v/>
      </c>
      <c r="AA247">
        <f>IF($AB247="","",SUMIFS(상세표[기록 시간외],상세표[사번키],INDEX(상세표[사번키],$AB247),상세표[반영월],대상월키))</f>
        <v/>
      </c>
      <c r="AB247" s="4">
        <f>IFERROR(MATCH(242,상세표[합계없음순번],0),"")</f>
        <v/>
      </c>
    </row>
    <row r="248">
      <c r="A248">
        <f>IF($W248="","",INDEX(합계표[사번],$W248)&amp;"")</f>
        <v/>
      </c>
      <c r="B248">
        <f>IF($W248="","",INDEX(합계표[성명],$W248)&amp;"")</f>
        <v/>
      </c>
      <c r="C248">
        <f>IF($W248="","",INDEX(합계표[부서],$W248)&amp;"")</f>
        <v/>
      </c>
      <c r="D248">
        <f>IF($W248="","",INDEX(합계표[직위(통합)],$W248)&amp;"")</f>
        <v/>
      </c>
      <c r="E248">
        <f>IF($W248="","",SUMIFS(합계표[시스템 합계],합계표[사번키],INDEX(합계표[사번키],$W248)))</f>
        <v/>
      </c>
      <c r="F248">
        <f>IF($W248="","",SUMIFS(상세표[기록 시간외],상세표[사번키],INDEX(합계표[사번키],$W248),상세표[기록월],대상월키))</f>
        <v/>
      </c>
      <c r="G248">
        <f>IF($W248="","",IF(ABS($E248-$F248)&lt;0.01,"일치","불일치(차이 "&amp;TEXT($F248-$E248,"0.00")&amp;")"))</f>
        <v/>
      </c>
      <c r="H248">
        <f>IF($W248="","",SUMIFS(상세표[기록 시간외],상세표[사번키],INDEX(합계표[사번키],$W248),상세표[기록월],대상월키,상세표[반영월],"&lt;&gt;"&amp;대상월키))</f>
        <v/>
      </c>
      <c r="I248">
        <f>IF($W248="","",SUMIFS(상세표[기록 시간외],상세표[사번키],INDEX(합계표[사번키],$W248),상세표[기록월],"&lt;&gt;"&amp;대상월키,상세표[반영월],대상월키))</f>
        <v/>
      </c>
      <c r="J248">
        <f>IF($W248="","",SUMIFS(상세표[기록 시간외],상세표[사번키],INDEX(합계표[사번키],$W248),상세표[반영월],대상월키))</f>
        <v/>
      </c>
      <c r="K248">
        <f>IF($W248="","",IFERROR(INDEX(월별근무지표[적용 급여병원],MATCH(INDEX(합계표[사번키],$W248)&amp;"|"&amp;대상월키,월별근무지표[키],0))&amp;"",IF(COUNTIF(기관표[사번키],INDEX(합계표[사번키],$W248))+COUNTIF(월별근무지표[사번키],INDEX(합계표[사번키],$W248))&gt;0,IFERROR(INDEX(기관표[급여지급병원(기준월)],MATCH(INDEX(합계표[사번키],$W248)&amp;"|"&amp;대상월키,기관표[키],0))&amp;"","—"),"—")))</f>
        <v/>
      </c>
      <c r="L248">
        <f>IF($W248="","",IF(NOT(COUNTIF(기관표[사번키],INDEX(합계표[사번키],$W248))+COUNTIF(월별근무지표[사번키],INDEX(합계표[사번키],$W248))&gt;0),"기관명단에 없음(다른 병원으로 발송)",IF($K248="—","대상월 기관명단 없음(추가 필요)",IF($K248="서울병원","해당","비해당"))))</f>
        <v/>
      </c>
      <c r="M248">
        <f>IF($W248="","",SUMIFS(상세표[06~07시],상세표[사번키],INDEX(합계표[사번키],$W248),상세표[반영월],대상월키,상세표[반영 기관],"서울병원"))</f>
        <v/>
      </c>
      <c r="N248">
        <f>IF($W248="","",SUMIFS(상세표[07~18시],상세표[사번키],INDEX(합계표[사번키],$W248),상세표[반영월],대상월키,상세표[반영 기관],"서울병원"))</f>
        <v/>
      </c>
      <c r="O248">
        <f>IF($W248="","",SUMIFS(상세표[18~22시],상세표[사번키],INDEX(합계표[사번키],$W248),상세표[반영월],대상월키,상세표[반영 기관],"서울병원"))</f>
        <v/>
      </c>
      <c r="P248">
        <f>IF($W248="","",SUMIFS(상세표[22~06시],상세표[사번키],INDEX(합계표[사번키],$W248),상세표[반영월],대상월키,상세표[반영 기관],"서울병원"))</f>
        <v/>
      </c>
      <c r="Q248">
        <f>IF($W248="","",SUM($M248:$P248))</f>
        <v/>
      </c>
      <c r="R248">
        <f>IF($W248="","",COUNTIFS(상세표[사번키],INDEX(합계표[사번키],$W248),상세표[반영월],대상월키,상세표[야간당직],1,상세표[야간 구분],"평일"))</f>
        <v/>
      </c>
      <c r="S248" s="4">
        <f>IF($W248="","",COUNTIFS(상세표[사번키],INDEX(합계표[사번키],$W248),상세표[반영월],대상월키,상세표[야간당직],1,상세표[야간 구분],"휴일"))</f>
        <v/>
      </c>
      <c r="T248">
        <f>IF($W248="","",COUNTIFS(상세표[사번키],INDEX(합계표[사번키],$W248),상세표[반영월],대상월키,상세표[야간당직],1,상세표[야간 구분],"평일",상세표[반영 기관],"서울병원"))</f>
        <v/>
      </c>
      <c r="U248">
        <f>IF($W248="","",COUNTIFS(상세표[사번키],INDEX(합계표[사번키],$W248),상세표[반영월],대상월키,상세표[야간당직],1,상세표[야간 구분],"휴일",상세표[반영 기관],"서울병원"))</f>
        <v/>
      </c>
      <c r="V248">
        <f>IF($W248="","",IF(ISNUMBER(MATCH(INDEX(합계표[사번키],$W248)&amp;"|"&amp;대상월키,월별근무지표[키],0)),"직접 입력",IF($K248="—","—","기관명단")))</f>
        <v/>
      </c>
      <c r="W248">
        <f>IFERROR(MATCH(243,합계표[판정순번],0),"")</f>
        <v/>
      </c>
      <c r="Y248">
        <f>IF($AB248="","",INDEX(상세표[사번],$AB248)&amp;"")</f>
        <v/>
      </c>
      <c r="Z248">
        <f>IF($AB248="","",INDEX(상세표[성명],$AB248)&amp;"")</f>
        <v/>
      </c>
      <c r="AA248">
        <f>IF($AB248="","",SUMIFS(상세표[기록 시간외],상세표[사번키],INDEX(상세표[사번키],$AB248),상세표[반영월],대상월키))</f>
        <v/>
      </c>
      <c r="AB248" s="4">
        <f>IFERROR(MATCH(243,상세표[합계없음순번],0),"")</f>
        <v/>
      </c>
    </row>
    <row r="249">
      <c r="A249">
        <f>IF($W249="","",INDEX(합계표[사번],$W249)&amp;"")</f>
        <v/>
      </c>
      <c r="B249">
        <f>IF($W249="","",INDEX(합계표[성명],$W249)&amp;"")</f>
        <v/>
      </c>
      <c r="C249">
        <f>IF($W249="","",INDEX(합계표[부서],$W249)&amp;"")</f>
        <v/>
      </c>
      <c r="D249">
        <f>IF($W249="","",INDEX(합계표[직위(통합)],$W249)&amp;"")</f>
        <v/>
      </c>
      <c r="E249">
        <f>IF($W249="","",SUMIFS(합계표[시스템 합계],합계표[사번키],INDEX(합계표[사번키],$W249)))</f>
        <v/>
      </c>
      <c r="F249">
        <f>IF($W249="","",SUMIFS(상세표[기록 시간외],상세표[사번키],INDEX(합계표[사번키],$W249),상세표[기록월],대상월키))</f>
        <v/>
      </c>
      <c r="G249">
        <f>IF($W249="","",IF(ABS($E249-$F249)&lt;0.01,"일치","불일치(차이 "&amp;TEXT($F249-$E249,"0.00")&amp;")"))</f>
        <v/>
      </c>
      <c r="H249">
        <f>IF($W249="","",SUMIFS(상세표[기록 시간외],상세표[사번키],INDEX(합계표[사번키],$W249),상세표[기록월],대상월키,상세표[반영월],"&lt;&gt;"&amp;대상월키))</f>
        <v/>
      </c>
      <c r="I249">
        <f>IF($W249="","",SUMIFS(상세표[기록 시간외],상세표[사번키],INDEX(합계표[사번키],$W249),상세표[기록월],"&lt;&gt;"&amp;대상월키,상세표[반영월],대상월키))</f>
        <v/>
      </c>
      <c r="J249">
        <f>IF($W249="","",SUMIFS(상세표[기록 시간외],상세표[사번키],INDEX(합계표[사번키],$W249),상세표[반영월],대상월키))</f>
        <v/>
      </c>
      <c r="K249">
        <f>IF($W249="","",IFERROR(INDEX(월별근무지표[적용 급여병원],MATCH(INDEX(합계표[사번키],$W249)&amp;"|"&amp;대상월키,월별근무지표[키],0))&amp;"",IF(COUNTIF(기관표[사번키],INDEX(합계표[사번키],$W249))+COUNTIF(월별근무지표[사번키],INDEX(합계표[사번키],$W249))&gt;0,IFERROR(INDEX(기관표[급여지급병원(기준월)],MATCH(INDEX(합계표[사번키],$W249)&amp;"|"&amp;대상월키,기관표[키],0))&amp;"","—"),"—")))</f>
        <v/>
      </c>
      <c r="L249">
        <f>IF($W249="","",IF(NOT(COUNTIF(기관표[사번키],INDEX(합계표[사번키],$W249))+COUNTIF(월별근무지표[사번키],INDEX(합계표[사번키],$W249))&gt;0),"기관명단에 없음(다른 병원으로 발송)",IF($K249="—","대상월 기관명단 없음(추가 필요)",IF($K249="서울병원","해당","비해당"))))</f>
        <v/>
      </c>
      <c r="M249">
        <f>IF($W249="","",SUMIFS(상세표[06~07시],상세표[사번키],INDEX(합계표[사번키],$W249),상세표[반영월],대상월키,상세표[반영 기관],"서울병원"))</f>
        <v/>
      </c>
      <c r="N249">
        <f>IF($W249="","",SUMIFS(상세표[07~18시],상세표[사번키],INDEX(합계표[사번키],$W249),상세표[반영월],대상월키,상세표[반영 기관],"서울병원"))</f>
        <v/>
      </c>
      <c r="O249">
        <f>IF($W249="","",SUMIFS(상세표[18~22시],상세표[사번키],INDEX(합계표[사번키],$W249),상세표[반영월],대상월키,상세표[반영 기관],"서울병원"))</f>
        <v/>
      </c>
      <c r="P249">
        <f>IF($W249="","",SUMIFS(상세표[22~06시],상세표[사번키],INDEX(합계표[사번키],$W249),상세표[반영월],대상월키,상세표[반영 기관],"서울병원"))</f>
        <v/>
      </c>
      <c r="Q249">
        <f>IF($W249="","",SUM($M249:$P249))</f>
        <v/>
      </c>
      <c r="R249">
        <f>IF($W249="","",COUNTIFS(상세표[사번키],INDEX(합계표[사번키],$W249),상세표[반영월],대상월키,상세표[야간당직],1,상세표[야간 구분],"평일"))</f>
        <v/>
      </c>
      <c r="S249" s="4">
        <f>IF($W249="","",COUNTIFS(상세표[사번키],INDEX(합계표[사번키],$W249),상세표[반영월],대상월키,상세표[야간당직],1,상세표[야간 구분],"휴일"))</f>
        <v/>
      </c>
      <c r="T249">
        <f>IF($W249="","",COUNTIFS(상세표[사번키],INDEX(합계표[사번키],$W249),상세표[반영월],대상월키,상세표[야간당직],1,상세표[야간 구분],"평일",상세표[반영 기관],"서울병원"))</f>
        <v/>
      </c>
      <c r="U249">
        <f>IF($W249="","",COUNTIFS(상세표[사번키],INDEX(합계표[사번키],$W249),상세표[반영월],대상월키,상세표[야간당직],1,상세표[야간 구분],"휴일",상세표[반영 기관],"서울병원"))</f>
        <v/>
      </c>
      <c r="V249">
        <f>IF($W249="","",IF(ISNUMBER(MATCH(INDEX(합계표[사번키],$W249)&amp;"|"&amp;대상월키,월별근무지표[키],0)),"직접 입력",IF($K249="—","—","기관명단")))</f>
        <v/>
      </c>
      <c r="W249">
        <f>IFERROR(MATCH(244,합계표[판정순번],0),"")</f>
        <v/>
      </c>
      <c r="Y249">
        <f>IF($AB249="","",INDEX(상세표[사번],$AB249)&amp;"")</f>
        <v/>
      </c>
      <c r="Z249">
        <f>IF($AB249="","",INDEX(상세표[성명],$AB249)&amp;"")</f>
        <v/>
      </c>
      <c r="AA249">
        <f>IF($AB249="","",SUMIFS(상세표[기록 시간외],상세표[사번키],INDEX(상세표[사번키],$AB249),상세표[반영월],대상월키))</f>
        <v/>
      </c>
      <c r="AB249" s="4">
        <f>IFERROR(MATCH(244,상세표[합계없음순번],0),"")</f>
        <v/>
      </c>
    </row>
    <row r="250">
      <c r="A250">
        <f>IF($W250="","",INDEX(합계표[사번],$W250)&amp;"")</f>
        <v/>
      </c>
      <c r="B250">
        <f>IF($W250="","",INDEX(합계표[성명],$W250)&amp;"")</f>
        <v/>
      </c>
      <c r="C250">
        <f>IF($W250="","",INDEX(합계표[부서],$W250)&amp;"")</f>
        <v/>
      </c>
      <c r="D250">
        <f>IF($W250="","",INDEX(합계표[직위(통합)],$W250)&amp;"")</f>
        <v/>
      </c>
      <c r="E250">
        <f>IF($W250="","",SUMIFS(합계표[시스템 합계],합계표[사번키],INDEX(합계표[사번키],$W250)))</f>
        <v/>
      </c>
      <c r="F250">
        <f>IF($W250="","",SUMIFS(상세표[기록 시간외],상세표[사번키],INDEX(합계표[사번키],$W250),상세표[기록월],대상월키))</f>
        <v/>
      </c>
      <c r="G250">
        <f>IF($W250="","",IF(ABS($E250-$F250)&lt;0.01,"일치","불일치(차이 "&amp;TEXT($F250-$E250,"0.00")&amp;")"))</f>
        <v/>
      </c>
      <c r="H250">
        <f>IF($W250="","",SUMIFS(상세표[기록 시간외],상세표[사번키],INDEX(합계표[사번키],$W250),상세표[기록월],대상월키,상세표[반영월],"&lt;&gt;"&amp;대상월키))</f>
        <v/>
      </c>
      <c r="I250">
        <f>IF($W250="","",SUMIFS(상세표[기록 시간외],상세표[사번키],INDEX(합계표[사번키],$W250),상세표[기록월],"&lt;&gt;"&amp;대상월키,상세표[반영월],대상월키))</f>
        <v/>
      </c>
      <c r="J250">
        <f>IF($W250="","",SUMIFS(상세표[기록 시간외],상세표[사번키],INDEX(합계표[사번키],$W250),상세표[반영월],대상월키))</f>
        <v/>
      </c>
      <c r="K250">
        <f>IF($W250="","",IFERROR(INDEX(월별근무지표[적용 급여병원],MATCH(INDEX(합계표[사번키],$W250)&amp;"|"&amp;대상월키,월별근무지표[키],0))&amp;"",IF(COUNTIF(기관표[사번키],INDEX(합계표[사번키],$W250))+COUNTIF(월별근무지표[사번키],INDEX(합계표[사번키],$W250))&gt;0,IFERROR(INDEX(기관표[급여지급병원(기준월)],MATCH(INDEX(합계표[사번키],$W250)&amp;"|"&amp;대상월키,기관표[키],0))&amp;"","—"),"—")))</f>
        <v/>
      </c>
      <c r="L250">
        <f>IF($W250="","",IF(NOT(COUNTIF(기관표[사번키],INDEX(합계표[사번키],$W250))+COUNTIF(월별근무지표[사번키],INDEX(합계표[사번키],$W250))&gt;0),"기관명단에 없음(다른 병원으로 발송)",IF($K250="—","대상월 기관명단 없음(추가 필요)",IF($K250="서울병원","해당","비해당"))))</f>
        <v/>
      </c>
      <c r="M250">
        <f>IF($W250="","",SUMIFS(상세표[06~07시],상세표[사번키],INDEX(합계표[사번키],$W250),상세표[반영월],대상월키,상세표[반영 기관],"서울병원"))</f>
        <v/>
      </c>
      <c r="N250">
        <f>IF($W250="","",SUMIFS(상세표[07~18시],상세표[사번키],INDEX(합계표[사번키],$W250),상세표[반영월],대상월키,상세표[반영 기관],"서울병원"))</f>
        <v/>
      </c>
      <c r="O250">
        <f>IF($W250="","",SUMIFS(상세표[18~22시],상세표[사번키],INDEX(합계표[사번키],$W250),상세표[반영월],대상월키,상세표[반영 기관],"서울병원"))</f>
        <v/>
      </c>
      <c r="P250">
        <f>IF($W250="","",SUMIFS(상세표[22~06시],상세표[사번키],INDEX(합계표[사번키],$W250),상세표[반영월],대상월키,상세표[반영 기관],"서울병원"))</f>
        <v/>
      </c>
      <c r="Q250">
        <f>IF($W250="","",SUM($M250:$P250))</f>
        <v/>
      </c>
      <c r="R250">
        <f>IF($W250="","",COUNTIFS(상세표[사번키],INDEX(합계표[사번키],$W250),상세표[반영월],대상월키,상세표[야간당직],1,상세표[야간 구분],"평일"))</f>
        <v/>
      </c>
      <c r="S250" s="4">
        <f>IF($W250="","",COUNTIFS(상세표[사번키],INDEX(합계표[사번키],$W250),상세표[반영월],대상월키,상세표[야간당직],1,상세표[야간 구분],"휴일"))</f>
        <v/>
      </c>
      <c r="T250">
        <f>IF($W250="","",COUNTIFS(상세표[사번키],INDEX(합계표[사번키],$W250),상세표[반영월],대상월키,상세표[야간당직],1,상세표[야간 구분],"평일",상세표[반영 기관],"서울병원"))</f>
        <v/>
      </c>
      <c r="U250">
        <f>IF($W250="","",COUNTIFS(상세표[사번키],INDEX(합계표[사번키],$W250),상세표[반영월],대상월키,상세표[야간당직],1,상세표[야간 구분],"휴일",상세표[반영 기관],"서울병원"))</f>
        <v/>
      </c>
      <c r="V250">
        <f>IF($W250="","",IF(ISNUMBER(MATCH(INDEX(합계표[사번키],$W250)&amp;"|"&amp;대상월키,월별근무지표[키],0)),"직접 입력",IF($K250="—","—","기관명단")))</f>
        <v/>
      </c>
      <c r="W250">
        <f>IFERROR(MATCH(245,합계표[판정순번],0),"")</f>
        <v/>
      </c>
      <c r="Y250">
        <f>IF($AB250="","",INDEX(상세표[사번],$AB250)&amp;"")</f>
        <v/>
      </c>
      <c r="Z250">
        <f>IF($AB250="","",INDEX(상세표[성명],$AB250)&amp;"")</f>
        <v/>
      </c>
      <c r="AA250">
        <f>IF($AB250="","",SUMIFS(상세표[기록 시간외],상세표[사번키],INDEX(상세표[사번키],$AB250),상세표[반영월],대상월키))</f>
        <v/>
      </c>
      <c r="AB250" s="4">
        <f>IFERROR(MATCH(245,상세표[합계없음순번],0),"")</f>
        <v/>
      </c>
    </row>
    <row r="251">
      <c r="A251">
        <f>IF($W251="","",INDEX(합계표[사번],$W251)&amp;"")</f>
        <v/>
      </c>
      <c r="B251">
        <f>IF($W251="","",INDEX(합계표[성명],$W251)&amp;"")</f>
        <v/>
      </c>
      <c r="C251">
        <f>IF($W251="","",INDEX(합계표[부서],$W251)&amp;"")</f>
        <v/>
      </c>
      <c r="D251">
        <f>IF($W251="","",INDEX(합계표[직위(통합)],$W251)&amp;"")</f>
        <v/>
      </c>
      <c r="E251">
        <f>IF($W251="","",SUMIFS(합계표[시스템 합계],합계표[사번키],INDEX(합계표[사번키],$W251)))</f>
        <v/>
      </c>
      <c r="F251">
        <f>IF($W251="","",SUMIFS(상세표[기록 시간외],상세표[사번키],INDEX(합계표[사번키],$W251),상세표[기록월],대상월키))</f>
        <v/>
      </c>
      <c r="G251">
        <f>IF($W251="","",IF(ABS($E251-$F251)&lt;0.01,"일치","불일치(차이 "&amp;TEXT($F251-$E251,"0.00")&amp;")"))</f>
        <v/>
      </c>
      <c r="H251">
        <f>IF($W251="","",SUMIFS(상세표[기록 시간외],상세표[사번키],INDEX(합계표[사번키],$W251),상세표[기록월],대상월키,상세표[반영월],"&lt;&gt;"&amp;대상월키))</f>
        <v/>
      </c>
      <c r="I251">
        <f>IF($W251="","",SUMIFS(상세표[기록 시간외],상세표[사번키],INDEX(합계표[사번키],$W251),상세표[기록월],"&lt;&gt;"&amp;대상월키,상세표[반영월],대상월키))</f>
        <v/>
      </c>
      <c r="J251">
        <f>IF($W251="","",SUMIFS(상세표[기록 시간외],상세표[사번키],INDEX(합계표[사번키],$W251),상세표[반영월],대상월키))</f>
        <v/>
      </c>
      <c r="K251">
        <f>IF($W251="","",IFERROR(INDEX(월별근무지표[적용 급여병원],MATCH(INDEX(합계표[사번키],$W251)&amp;"|"&amp;대상월키,월별근무지표[키],0))&amp;"",IF(COUNTIF(기관표[사번키],INDEX(합계표[사번키],$W251))+COUNTIF(월별근무지표[사번키],INDEX(합계표[사번키],$W251))&gt;0,IFERROR(INDEX(기관표[급여지급병원(기준월)],MATCH(INDEX(합계표[사번키],$W251)&amp;"|"&amp;대상월키,기관표[키],0))&amp;"","—"),"—")))</f>
        <v/>
      </c>
      <c r="L251">
        <f>IF($W251="","",IF(NOT(COUNTIF(기관표[사번키],INDEX(합계표[사번키],$W251))+COUNTIF(월별근무지표[사번키],INDEX(합계표[사번키],$W251))&gt;0),"기관명단에 없음(다른 병원으로 발송)",IF($K251="—","대상월 기관명단 없음(추가 필요)",IF($K251="서울병원","해당","비해당"))))</f>
        <v/>
      </c>
      <c r="M251">
        <f>IF($W251="","",SUMIFS(상세표[06~07시],상세표[사번키],INDEX(합계표[사번키],$W251),상세표[반영월],대상월키,상세표[반영 기관],"서울병원"))</f>
        <v/>
      </c>
      <c r="N251">
        <f>IF($W251="","",SUMIFS(상세표[07~18시],상세표[사번키],INDEX(합계표[사번키],$W251),상세표[반영월],대상월키,상세표[반영 기관],"서울병원"))</f>
        <v/>
      </c>
      <c r="O251">
        <f>IF($W251="","",SUMIFS(상세표[18~22시],상세표[사번키],INDEX(합계표[사번키],$W251),상세표[반영월],대상월키,상세표[반영 기관],"서울병원"))</f>
        <v/>
      </c>
      <c r="P251">
        <f>IF($W251="","",SUMIFS(상세표[22~06시],상세표[사번키],INDEX(합계표[사번키],$W251),상세표[반영월],대상월키,상세표[반영 기관],"서울병원"))</f>
        <v/>
      </c>
      <c r="Q251">
        <f>IF($W251="","",SUM($M251:$P251))</f>
        <v/>
      </c>
      <c r="R251">
        <f>IF($W251="","",COUNTIFS(상세표[사번키],INDEX(합계표[사번키],$W251),상세표[반영월],대상월키,상세표[야간당직],1,상세표[야간 구분],"평일"))</f>
        <v/>
      </c>
      <c r="S251" s="4">
        <f>IF($W251="","",COUNTIFS(상세표[사번키],INDEX(합계표[사번키],$W251),상세표[반영월],대상월키,상세표[야간당직],1,상세표[야간 구분],"휴일"))</f>
        <v/>
      </c>
      <c r="T251">
        <f>IF($W251="","",COUNTIFS(상세표[사번키],INDEX(합계표[사번키],$W251),상세표[반영월],대상월키,상세표[야간당직],1,상세표[야간 구분],"평일",상세표[반영 기관],"서울병원"))</f>
        <v/>
      </c>
      <c r="U251">
        <f>IF($W251="","",COUNTIFS(상세표[사번키],INDEX(합계표[사번키],$W251),상세표[반영월],대상월키,상세표[야간당직],1,상세표[야간 구분],"휴일",상세표[반영 기관],"서울병원"))</f>
        <v/>
      </c>
      <c r="V251">
        <f>IF($W251="","",IF(ISNUMBER(MATCH(INDEX(합계표[사번키],$W251)&amp;"|"&amp;대상월키,월별근무지표[키],0)),"직접 입력",IF($K251="—","—","기관명단")))</f>
        <v/>
      </c>
      <c r="W251">
        <f>IFERROR(MATCH(246,합계표[판정순번],0),"")</f>
        <v/>
      </c>
      <c r="Y251">
        <f>IF($AB251="","",INDEX(상세표[사번],$AB251)&amp;"")</f>
        <v/>
      </c>
      <c r="Z251">
        <f>IF($AB251="","",INDEX(상세표[성명],$AB251)&amp;"")</f>
        <v/>
      </c>
      <c r="AA251">
        <f>IF($AB251="","",SUMIFS(상세표[기록 시간외],상세표[사번키],INDEX(상세표[사번키],$AB251),상세표[반영월],대상월키))</f>
        <v/>
      </c>
      <c r="AB251" s="4">
        <f>IFERROR(MATCH(246,상세표[합계없음순번],0),"")</f>
        <v/>
      </c>
    </row>
    <row r="252">
      <c r="A252">
        <f>IF($W252="","",INDEX(합계표[사번],$W252)&amp;"")</f>
        <v/>
      </c>
      <c r="B252">
        <f>IF($W252="","",INDEX(합계표[성명],$W252)&amp;"")</f>
        <v/>
      </c>
      <c r="C252">
        <f>IF($W252="","",INDEX(합계표[부서],$W252)&amp;"")</f>
        <v/>
      </c>
      <c r="D252">
        <f>IF($W252="","",INDEX(합계표[직위(통합)],$W252)&amp;"")</f>
        <v/>
      </c>
      <c r="E252">
        <f>IF($W252="","",SUMIFS(합계표[시스템 합계],합계표[사번키],INDEX(합계표[사번키],$W252)))</f>
        <v/>
      </c>
      <c r="F252">
        <f>IF($W252="","",SUMIFS(상세표[기록 시간외],상세표[사번키],INDEX(합계표[사번키],$W252),상세표[기록월],대상월키))</f>
        <v/>
      </c>
      <c r="G252">
        <f>IF($W252="","",IF(ABS($E252-$F252)&lt;0.01,"일치","불일치(차이 "&amp;TEXT($F252-$E252,"0.00")&amp;")"))</f>
        <v/>
      </c>
      <c r="H252">
        <f>IF($W252="","",SUMIFS(상세표[기록 시간외],상세표[사번키],INDEX(합계표[사번키],$W252),상세표[기록월],대상월키,상세표[반영월],"&lt;&gt;"&amp;대상월키))</f>
        <v/>
      </c>
      <c r="I252">
        <f>IF($W252="","",SUMIFS(상세표[기록 시간외],상세표[사번키],INDEX(합계표[사번키],$W252),상세표[기록월],"&lt;&gt;"&amp;대상월키,상세표[반영월],대상월키))</f>
        <v/>
      </c>
      <c r="J252">
        <f>IF($W252="","",SUMIFS(상세표[기록 시간외],상세표[사번키],INDEX(합계표[사번키],$W252),상세표[반영월],대상월키))</f>
        <v/>
      </c>
      <c r="K252">
        <f>IF($W252="","",IFERROR(INDEX(월별근무지표[적용 급여병원],MATCH(INDEX(합계표[사번키],$W252)&amp;"|"&amp;대상월키,월별근무지표[키],0))&amp;"",IF(COUNTIF(기관표[사번키],INDEX(합계표[사번키],$W252))+COUNTIF(월별근무지표[사번키],INDEX(합계표[사번키],$W252))&gt;0,IFERROR(INDEX(기관표[급여지급병원(기준월)],MATCH(INDEX(합계표[사번키],$W252)&amp;"|"&amp;대상월키,기관표[키],0))&amp;"","—"),"—")))</f>
        <v/>
      </c>
      <c r="L252">
        <f>IF($W252="","",IF(NOT(COUNTIF(기관표[사번키],INDEX(합계표[사번키],$W252))+COUNTIF(월별근무지표[사번키],INDEX(합계표[사번키],$W252))&gt;0),"기관명단에 없음(다른 병원으로 발송)",IF($K252="—","대상월 기관명단 없음(추가 필요)",IF($K252="서울병원","해당","비해당"))))</f>
        <v/>
      </c>
      <c r="M252">
        <f>IF($W252="","",SUMIFS(상세표[06~07시],상세표[사번키],INDEX(합계표[사번키],$W252),상세표[반영월],대상월키,상세표[반영 기관],"서울병원"))</f>
        <v/>
      </c>
      <c r="N252">
        <f>IF($W252="","",SUMIFS(상세표[07~18시],상세표[사번키],INDEX(합계표[사번키],$W252),상세표[반영월],대상월키,상세표[반영 기관],"서울병원"))</f>
        <v/>
      </c>
      <c r="O252">
        <f>IF($W252="","",SUMIFS(상세표[18~22시],상세표[사번키],INDEX(합계표[사번키],$W252),상세표[반영월],대상월키,상세표[반영 기관],"서울병원"))</f>
        <v/>
      </c>
      <c r="P252">
        <f>IF($W252="","",SUMIFS(상세표[22~06시],상세표[사번키],INDEX(합계표[사번키],$W252),상세표[반영월],대상월키,상세표[반영 기관],"서울병원"))</f>
        <v/>
      </c>
      <c r="Q252">
        <f>IF($W252="","",SUM($M252:$P252))</f>
        <v/>
      </c>
      <c r="R252">
        <f>IF($W252="","",COUNTIFS(상세표[사번키],INDEX(합계표[사번키],$W252),상세표[반영월],대상월키,상세표[야간당직],1,상세표[야간 구분],"평일"))</f>
        <v/>
      </c>
      <c r="S252" s="4">
        <f>IF($W252="","",COUNTIFS(상세표[사번키],INDEX(합계표[사번키],$W252),상세표[반영월],대상월키,상세표[야간당직],1,상세표[야간 구분],"휴일"))</f>
        <v/>
      </c>
      <c r="T252">
        <f>IF($W252="","",COUNTIFS(상세표[사번키],INDEX(합계표[사번키],$W252),상세표[반영월],대상월키,상세표[야간당직],1,상세표[야간 구분],"평일",상세표[반영 기관],"서울병원"))</f>
        <v/>
      </c>
      <c r="U252">
        <f>IF($W252="","",COUNTIFS(상세표[사번키],INDEX(합계표[사번키],$W252),상세표[반영월],대상월키,상세표[야간당직],1,상세표[야간 구분],"휴일",상세표[반영 기관],"서울병원"))</f>
        <v/>
      </c>
      <c r="V252">
        <f>IF($W252="","",IF(ISNUMBER(MATCH(INDEX(합계표[사번키],$W252)&amp;"|"&amp;대상월키,월별근무지표[키],0)),"직접 입력",IF($K252="—","—","기관명단")))</f>
        <v/>
      </c>
      <c r="W252">
        <f>IFERROR(MATCH(247,합계표[판정순번],0),"")</f>
        <v/>
      </c>
      <c r="Y252">
        <f>IF($AB252="","",INDEX(상세표[사번],$AB252)&amp;"")</f>
        <v/>
      </c>
      <c r="Z252">
        <f>IF($AB252="","",INDEX(상세표[성명],$AB252)&amp;"")</f>
        <v/>
      </c>
      <c r="AA252">
        <f>IF($AB252="","",SUMIFS(상세표[기록 시간외],상세표[사번키],INDEX(상세표[사번키],$AB252),상세표[반영월],대상월키))</f>
        <v/>
      </c>
      <c r="AB252" s="4">
        <f>IFERROR(MATCH(247,상세표[합계없음순번],0),"")</f>
        <v/>
      </c>
    </row>
    <row r="253">
      <c r="A253">
        <f>IF($W253="","",INDEX(합계표[사번],$W253)&amp;"")</f>
        <v/>
      </c>
      <c r="B253">
        <f>IF($W253="","",INDEX(합계표[성명],$W253)&amp;"")</f>
        <v/>
      </c>
      <c r="C253">
        <f>IF($W253="","",INDEX(합계표[부서],$W253)&amp;"")</f>
        <v/>
      </c>
      <c r="D253">
        <f>IF($W253="","",INDEX(합계표[직위(통합)],$W253)&amp;"")</f>
        <v/>
      </c>
      <c r="E253">
        <f>IF($W253="","",SUMIFS(합계표[시스템 합계],합계표[사번키],INDEX(합계표[사번키],$W253)))</f>
        <v/>
      </c>
      <c r="F253">
        <f>IF($W253="","",SUMIFS(상세표[기록 시간외],상세표[사번키],INDEX(합계표[사번키],$W253),상세표[기록월],대상월키))</f>
        <v/>
      </c>
      <c r="G253">
        <f>IF($W253="","",IF(ABS($E253-$F253)&lt;0.01,"일치","불일치(차이 "&amp;TEXT($F253-$E253,"0.00")&amp;")"))</f>
        <v/>
      </c>
      <c r="H253">
        <f>IF($W253="","",SUMIFS(상세표[기록 시간외],상세표[사번키],INDEX(합계표[사번키],$W253),상세표[기록월],대상월키,상세표[반영월],"&lt;&gt;"&amp;대상월키))</f>
        <v/>
      </c>
      <c r="I253">
        <f>IF($W253="","",SUMIFS(상세표[기록 시간외],상세표[사번키],INDEX(합계표[사번키],$W253),상세표[기록월],"&lt;&gt;"&amp;대상월키,상세표[반영월],대상월키))</f>
        <v/>
      </c>
      <c r="J253">
        <f>IF($W253="","",SUMIFS(상세표[기록 시간외],상세표[사번키],INDEX(합계표[사번키],$W253),상세표[반영월],대상월키))</f>
        <v/>
      </c>
      <c r="K253">
        <f>IF($W253="","",IFERROR(INDEX(월별근무지표[적용 급여병원],MATCH(INDEX(합계표[사번키],$W253)&amp;"|"&amp;대상월키,월별근무지표[키],0))&amp;"",IF(COUNTIF(기관표[사번키],INDEX(합계표[사번키],$W253))+COUNTIF(월별근무지표[사번키],INDEX(합계표[사번키],$W253))&gt;0,IFERROR(INDEX(기관표[급여지급병원(기준월)],MATCH(INDEX(합계표[사번키],$W253)&amp;"|"&amp;대상월키,기관표[키],0))&amp;"","—"),"—")))</f>
        <v/>
      </c>
      <c r="L253">
        <f>IF($W253="","",IF(NOT(COUNTIF(기관표[사번키],INDEX(합계표[사번키],$W253))+COUNTIF(월별근무지표[사번키],INDEX(합계표[사번키],$W253))&gt;0),"기관명단에 없음(다른 병원으로 발송)",IF($K253="—","대상월 기관명단 없음(추가 필요)",IF($K253="서울병원","해당","비해당"))))</f>
        <v/>
      </c>
      <c r="M253">
        <f>IF($W253="","",SUMIFS(상세표[06~07시],상세표[사번키],INDEX(합계표[사번키],$W253),상세표[반영월],대상월키,상세표[반영 기관],"서울병원"))</f>
        <v/>
      </c>
      <c r="N253">
        <f>IF($W253="","",SUMIFS(상세표[07~18시],상세표[사번키],INDEX(합계표[사번키],$W253),상세표[반영월],대상월키,상세표[반영 기관],"서울병원"))</f>
        <v/>
      </c>
      <c r="O253">
        <f>IF($W253="","",SUMIFS(상세표[18~22시],상세표[사번키],INDEX(합계표[사번키],$W253),상세표[반영월],대상월키,상세표[반영 기관],"서울병원"))</f>
        <v/>
      </c>
      <c r="P253">
        <f>IF($W253="","",SUMIFS(상세표[22~06시],상세표[사번키],INDEX(합계표[사번키],$W253),상세표[반영월],대상월키,상세표[반영 기관],"서울병원"))</f>
        <v/>
      </c>
      <c r="Q253">
        <f>IF($W253="","",SUM($M253:$P253))</f>
        <v/>
      </c>
      <c r="R253">
        <f>IF($W253="","",COUNTIFS(상세표[사번키],INDEX(합계표[사번키],$W253),상세표[반영월],대상월키,상세표[야간당직],1,상세표[야간 구분],"평일"))</f>
        <v/>
      </c>
      <c r="S253" s="4">
        <f>IF($W253="","",COUNTIFS(상세표[사번키],INDEX(합계표[사번키],$W253),상세표[반영월],대상월키,상세표[야간당직],1,상세표[야간 구분],"휴일"))</f>
        <v/>
      </c>
      <c r="T253">
        <f>IF($W253="","",COUNTIFS(상세표[사번키],INDEX(합계표[사번키],$W253),상세표[반영월],대상월키,상세표[야간당직],1,상세표[야간 구분],"평일",상세표[반영 기관],"서울병원"))</f>
        <v/>
      </c>
      <c r="U253">
        <f>IF($W253="","",COUNTIFS(상세표[사번키],INDEX(합계표[사번키],$W253),상세표[반영월],대상월키,상세표[야간당직],1,상세표[야간 구분],"휴일",상세표[반영 기관],"서울병원"))</f>
        <v/>
      </c>
      <c r="V253">
        <f>IF($W253="","",IF(ISNUMBER(MATCH(INDEX(합계표[사번키],$W253)&amp;"|"&amp;대상월키,월별근무지표[키],0)),"직접 입력",IF($K253="—","—","기관명단")))</f>
        <v/>
      </c>
      <c r="W253">
        <f>IFERROR(MATCH(248,합계표[판정순번],0),"")</f>
        <v/>
      </c>
      <c r="Y253">
        <f>IF($AB253="","",INDEX(상세표[사번],$AB253)&amp;"")</f>
        <v/>
      </c>
      <c r="Z253">
        <f>IF($AB253="","",INDEX(상세표[성명],$AB253)&amp;"")</f>
        <v/>
      </c>
      <c r="AA253">
        <f>IF($AB253="","",SUMIFS(상세표[기록 시간외],상세표[사번키],INDEX(상세표[사번키],$AB253),상세표[반영월],대상월키))</f>
        <v/>
      </c>
      <c r="AB253" s="4">
        <f>IFERROR(MATCH(248,상세표[합계없음순번],0),"")</f>
        <v/>
      </c>
    </row>
    <row r="254">
      <c r="A254">
        <f>IF($W254="","",INDEX(합계표[사번],$W254)&amp;"")</f>
        <v/>
      </c>
      <c r="B254">
        <f>IF($W254="","",INDEX(합계표[성명],$W254)&amp;"")</f>
        <v/>
      </c>
      <c r="C254">
        <f>IF($W254="","",INDEX(합계표[부서],$W254)&amp;"")</f>
        <v/>
      </c>
      <c r="D254">
        <f>IF($W254="","",INDEX(합계표[직위(통합)],$W254)&amp;"")</f>
        <v/>
      </c>
      <c r="E254">
        <f>IF($W254="","",SUMIFS(합계표[시스템 합계],합계표[사번키],INDEX(합계표[사번키],$W254)))</f>
        <v/>
      </c>
      <c r="F254">
        <f>IF($W254="","",SUMIFS(상세표[기록 시간외],상세표[사번키],INDEX(합계표[사번키],$W254),상세표[기록월],대상월키))</f>
        <v/>
      </c>
      <c r="G254">
        <f>IF($W254="","",IF(ABS($E254-$F254)&lt;0.01,"일치","불일치(차이 "&amp;TEXT($F254-$E254,"0.00")&amp;")"))</f>
        <v/>
      </c>
      <c r="H254">
        <f>IF($W254="","",SUMIFS(상세표[기록 시간외],상세표[사번키],INDEX(합계표[사번키],$W254),상세표[기록월],대상월키,상세표[반영월],"&lt;&gt;"&amp;대상월키))</f>
        <v/>
      </c>
      <c r="I254">
        <f>IF($W254="","",SUMIFS(상세표[기록 시간외],상세표[사번키],INDEX(합계표[사번키],$W254),상세표[기록월],"&lt;&gt;"&amp;대상월키,상세표[반영월],대상월키))</f>
        <v/>
      </c>
      <c r="J254">
        <f>IF($W254="","",SUMIFS(상세표[기록 시간외],상세표[사번키],INDEX(합계표[사번키],$W254),상세표[반영월],대상월키))</f>
        <v/>
      </c>
      <c r="K254">
        <f>IF($W254="","",IFERROR(INDEX(월별근무지표[적용 급여병원],MATCH(INDEX(합계표[사번키],$W254)&amp;"|"&amp;대상월키,월별근무지표[키],0))&amp;"",IF(COUNTIF(기관표[사번키],INDEX(합계표[사번키],$W254))+COUNTIF(월별근무지표[사번키],INDEX(합계표[사번키],$W254))&gt;0,IFERROR(INDEX(기관표[급여지급병원(기준월)],MATCH(INDEX(합계표[사번키],$W254)&amp;"|"&amp;대상월키,기관표[키],0))&amp;"","—"),"—")))</f>
        <v/>
      </c>
      <c r="L254">
        <f>IF($W254="","",IF(NOT(COUNTIF(기관표[사번키],INDEX(합계표[사번키],$W254))+COUNTIF(월별근무지표[사번키],INDEX(합계표[사번키],$W254))&gt;0),"기관명단에 없음(다른 병원으로 발송)",IF($K254="—","대상월 기관명단 없음(추가 필요)",IF($K254="서울병원","해당","비해당"))))</f>
        <v/>
      </c>
      <c r="M254">
        <f>IF($W254="","",SUMIFS(상세표[06~07시],상세표[사번키],INDEX(합계표[사번키],$W254),상세표[반영월],대상월키,상세표[반영 기관],"서울병원"))</f>
        <v/>
      </c>
      <c r="N254">
        <f>IF($W254="","",SUMIFS(상세표[07~18시],상세표[사번키],INDEX(합계표[사번키],$W254),상세표[반영월],대상월키,상세표[반영 기관],"서울병원"))</f>
        <v/>
      </c>
      <c r="O254">
        <f>IF($W254="","",SUMIFS(상세표[18~22시],상세표[사번키],INDEX(합계표[사번키],$W254),상세표[반영월],대상월키,상세표[반영 기관],"서울병원"))</f>
        <v/>
      </c>
      <c r="P254">
        <f>IF($W254="","",SUMIFS(상세표[22~06시],상세표[사번키],INDEX(합계표[사번키],$W254),상세표[반영월],대상월키,상세표[반영 기관],"서울병원"))</f>
        <v/>
      </c>
      <c r="Q254">
        <f>IF($W254="","",SUM($M254:$P254))</f>
        <v/>
      </c>
      <c r="R254">
        <f>IF($W254="","",COUNTIFS(상세표[사번키],INDEX(합계표[사번키],$W254),상세표[반영월],대상월키,상세표[야간당직],1,상세표[야간 구분],"평일"))</f>
        <v/>
      </c>
      <c r="S254" s="4">
        <f>IF($W254="","",COUNTIFS(상세표[사번키],INDEX(합계표[사번키],$W254),상세표[반영월],대상월키,상세표[야간당직],1,상세표[야간 구분],"휴일"))</f>
        <v/>
      </c>
      <c r="T254">
        <f>IF($W254="","",COUNTIFS(상세표[사번키],INDEX(합계표[사번키],$W254),상세표[반영월],대상월키,상세표[야간당직],1,상세표[야간 구분],"평일",상세표[반영 기관],"서울병원"))</f>
        <v/>
      </c>
      <c r="U254">
        <f>IF($W254="","",COUNTIFS(상세표[사번키],INDEX(합계표[사번키],$W254),상세표[반영월],대상월키,상세표[야간당직],1,상세표[야간 구분],"휴일",상세표[반영 기관],"서울병원"))</f>
        <v/>
      </c>
      <c r="V254">
        <f>IF($W254="","",IF(ISNUMBER(MATCH(INDEX(합계표[사번키],$W254)&amp;"|"&amp;대상월키,월별근무지표[키],0)),"직접 입력",IF($K254="—","—","기관명단")))</f>
        <v/>
      </c>
      <c r="W254">
        <f>IFERROR(MATCH(249,합계표[판정순번],0),"")</f>
        <v/>
      </c>
      <c r="Y254">
        <f>IF($AB254="","",INDEX(상세표[사번],$AB254)&amp;"")</f>
        <v/>
      </c>
      <c r="Z254">
        <f>IF($AB254="","",INDEX(상세표[성명],$AB254)&amp;"")</f>
        <v/>
      </c>
      <c r="AA254">
        <f>IF($AB254="","",SUMIFS(상세표[기록 시간외],상세표[사번키],INDEX(상세표[사번키],$AB254),상세표[반영월],대상월키))</f>
        <v/>
      </c>
      <c r="AB254" s="4">
        <f>IFERROR(MATCH(249,상세표[합계없음순번],0),"")</f>
        <v/>
      </c>
    </row>
    <row r="255">
      <c r="A255">
        <f>IF($W255="","",INDEX(합계표[사번],$W255)&amp;"")</f>
        <v/>
      </c>
      <c r="B255">
        <f>IF($W255="","",INDEX(합계표[성명],$W255)&amp;"")</f>
        <v/>
      </c>
      <c r="C255">
        <f>IF($W255="","",INDEX(합계표[부서],$W255)&amp;"")</f>
        <v/>
      </c>
      <c r="D255">
        <f>IF($W255="","",INDEX(합계표[직위(통합)],$W255)&amp;"")</f>
        <v/>
      </c>
      <c r="E255">
        <f>IF($W255="","",SUMIFS(합계표[시스템 합계],합계표[사번키],INDEX(합계표[사번키],$W255)))</f>
        <v/>
      </c>
      <c r="F255">
        <f>IF($W255="","",SUMIFS(상세표[기록 시간외],상세표[사번키],INDEX(합계표[사번키],$W255),상세표[기록월],대상월키))</f>
        <v/>
      </c>
      <c r="G255">
        <f>IF($W255="","",IF(ABS($E255-$F255)&lt;0.01,"일치","불일치(차이 "&amp;TEXT($F255-$E255,"0.00")&amp;")"))</f>
        <v/>
      </c>
      <c r="H255">
        <f>IF($W255="","",SUMIFS(상세표[기록 시간외],상세표[사번키],INDEX(합계표[사번키],$W255),상세표[기록월],대상월키,상세표[반영월],"&lt;&gt;"&amp;대상월키))</f>
        <v/>
      </c>
      <c r="I255">
        <f>IF($W255="","",SUMIFS(상세표[기록 시간외],상세표[사번키],INDEX(합계표[사번키],$W255),상세표[기록월],"&lt;&gt;"&amp;대상월키,상세표[반영월],대상월키))</f>
        <v/>
      </c>
      <c r="J255">
        <f>IF($W255="","",SUMIFS(상세표[기록 시간외],상세표[사번키],INDEX(합계표[사번키],$W255),상세표[반영월],대상월키))</f>
        <v/>
      </c>
      <c r="K255">
        <f>IF($W255="","",IFERROR(INDEX(월별근무지표[적용 급여병원],MATCH(INDEX(합계표[사번키],$W255)&amp;"|"&amp;대상월키,월별근무지표[키],0))&amp;"",IF(COUNTIF(기관표[사번키],INDEX(합계표[사번키],$W255))+COUNTIF(월별근무지표[사번키],INDEX(합계표[사번키],$W255))&gt;0,IFERROR(INDEX(기관표[급여지급병원(기준월)],MATCH(INDEX(합계표[사번키],$W255)&amp;"|"&amp;대상월키,기관표[키],0))&amp;"","—"),"—")))</f>
        <v/>
      </c>
      <c r="L255">
        <f>IF($W255="","",IF(NOT(COUNTIF(기관표[사번키],INDEX(합계표[사번키],$W255))+COUNTIF(월별근무지표[사번키],INDEX(합계표[사번키],$W255))&gt;0),"기관명단에 없음(다른 병원으로 발송)",IF($K255="—","대상월 기관명단 없음(추가 필요)",IF($K255="서울병원","해당","비해당"))))</f>
        <v/>
      </c>
      <c r="M255">
        <f>IF($W255="","",SUMIFS(상세표[06~07시],상세표[사번키],INDEX(합계표[사번키],$W255),상세표[반영월],대상월키,상세표[반영 기관],"서울병원"))</f>
        <v/>
      </c>
      <c r="N255">
        <f>IF($W255="","",SUMIFS(상세표[07~18시],상세표[사번키],INDEX(합계표[사번키],$W255),상세표[반영월],대상월키,상세표[반영 기관],"서울병원"))</f>
        <v/>
      </c>
      <c r="O255">
        <f>IF($W255="","",SUMIFS(상세표[18~22시],상세표[사번키],INDEX(합계표[사번키],$W255),상세표[반영월],대상월키,상세표[반영 기관],"서울병원"))</f>
        <v/>
      </c>
      <c r="P255">
        <f>IF($W255="","",SUMIFS(상세표[22~06시],상세표[사번키],INDEX(합계표[사번키],$W255),상세표[반영월],대상월키,상세표[반영 기관],"서울병원"))</f>
        <v/>
      </c>
      <c r="Q255">
        <f>IF($W255="","",SUM($M255:$P255))</f>
        <v/>
      </c>
      <c r="R255">
        <f>IF($W255="","",COUNTIFS(상세표[사번키],INDEX(합계표[사번키],$W255),상세표[반영월],대상월키,상세표[야간당직],1,상세표[야간 구분],"평일"))</f>
        <v/>
      </c>
      <c r="S255" s="4">
        <f>IF($W255="","",COUNTIFS(상세표[사번키],INDEX(합계표[사번키],$W255),상세표[반영월],대상월키,상세표[야간당직],1,상세표[야간 구분],"휴일"))</f>
        <v/>
      </c>
      <c r="T255">
        <f>IF($W255="","",COUNTIFS(상세표[사번키],INDEX(합계표[사번키],$W255),상세표[반영월],대상월키,상세표[야간당직],1,상세표[야간 구분],"평일",상세표[반영 기관],"서울병원"))</f>
        <v/>
      </c>
      <c r="U255">
        <f>IF($W255="","",COUNTIFS(상세표[사번키],INDEX(합계표[사번키],$W255),상세표[반영월],대상월키,상세표[야간당직],1,상세표[야간 구분],"휴일",상세표[반영 기관],"서울병원"))</f>
        <v/>
      </c>
      <c r="V255">
        <f>IF($W255="","",IF(ISNUMBER(MATCH(INDEX(합계표[사번키],$W255)&amp;"|"&amp;대상월키,월별근무지표[키],0)),"직접 입력",IF($K255="—","—","기관명단")))</f>
        <v/>
      </c>
      <c r="W255">
        <f>IFERROR(MATCH(250,합계표[판정순번],0),"")</f>
        <v/>
      </c>
      <c r="Y255">
        <f>IF($AB255="","",INDEX(상세표[사번],$AB255)&amp;"")</f>
        <v/>
      </c>
      <c r="Z255">
        <f>IF($AB255="","",INDEX(상세표[성명],$AB255)&amp;"")</f>
        <v/>
      </c>
      <c r="AA255">
        <f>IF($AB255="","",SUMIFS(상세표[기록 시간외],상세표[사번키],INDEX(상세표[사번키],$AB255),상세표[반영월],대상월키))</f>
        <v/>
      </c>
      <c r="AB255" s="4">
        <f>IFERROR(MATCH(250,상세표[합계없음순번],0),"")</f>
        <v/>
      </c>
    </row>
    <row r="256">
      <c r="A256">
        <f>IF($W256="","",INDEX(합계표[사번],$W256)&amp;"")</f>
        <v/>
      </c>
      <c r="B256">
        <f>IF($W256="","",INDEX(합계표[성명],$W256)&amp;"")</f>
        <v/>
      </c>
      <c r="C256">
        <f>IF($W256="","",INDEX(합계표[부서],$W256)&amp;"")</f>
        <v/>
      </c>
      <c r="D256">
        <f>IF($W256="","",INDEX(합계표[직위(통합)],$W256)&amp;"")</f>
        <v/>
      </c>
      <c r="E256">
        <f>IF($W256="","",SUMIFS(합계표[시스템 합계],합계표[사번키],INDEX(합계표[사번키],$W256)))</f>
        <v/>
      </c>
      <c r="F256">
        <f>IF($W256="","",SUMIFS(상세표[기록 시간외],상세표[사번키],INDEX(합계표[사번키],$W256),상세표[기록월],대상월키))</f>
        <v/>
      </c>
      <c r="G256">
        <f>IF($W256="","",IF(ABS($E256-$F256)&lt;0.01,"일치","불일치(차이 "&amp;TEXT($F256-$E256,"0.00")&amp;")"))</f>
        <v/>
      </c>
      <c r="H256">
        <f>IF($W256="","",SUMIFS(상세표[기록 시간외],상세표[사번키],INDEX(합계표[사번키],$W256),상세표[기록월],대상월키,상세표[반영월],"&lt;&gt;"&amp;대상월키))</f>
        <v/>
      </c>
      <c r="I256">
        <f>IF($W256="","",SUMIFS(상세표[기록 시간외],상세표[사번키],INDEX(합계표[사번키],$W256),상세표[기록월],"&lt;&gt;"&amp;대상월키,상세표[반영월],대상월키))</f>
        <v/>
      </c>
      <c r="J256">
        <f>IF($W256="","",SUMIFS(상세표[기록 시간외],상세표[사번키],INDEX(합계표[사번키],$W256),상세표[반영월],대상월키))</f>
        <v/>
      </c>
      <c r="K256">
        <f>IF($W256="","",IFERROR(INDEX(월별근무지표[적용 급여병원],MATCH(INDEX(합계표[사번키],$W256)&amp;"|"&amp;대상월키,월별근무지표[키],0))&amp;"",IF(COUNTIF(기관표[사번키],INDEX(합계표[사번키],$W256))+COUNTIF(월별근무지표[사번키],INDEX(합계표[사번키],$W256))&gt;0,IFERROR(INDEX(기관표[급여지급병원(기준월)],MATCH(INDEX(합계표[사번키],$W256)&amp;"|"&amp;대상월키,기관표[키],0))&amp;"","—"),"—")))</f>
        <v/>
      </c>
      <c r="L256">
        <f>IF($W256="","",IF(NOT(COUNTIF(기관표[사번키],INDEX(합계표[사번키],$W256))+COUNTIF(월별근무지표[사번키],INDEX(합계표[사번키],$W256))&gt;0),"기관명단에 없음(다른 병원으로 발송)",IF($K256="—","대상월 기관명단 없음(추가 필요)",IF($K256="서울병원","해당","비해당"))))</f>
        <v/>
      </c>
      <c r="M256">
        <f>IF($W256="","",SUMIFS(상세표[06~07시],상세표[사번키],INDEX(합계표[사번키],$W256),상세표[반영월],대상월키,상세표[반영 기관],"서울병원"))</f>
        <v/>
      </c>
      <c r="N256">
        <f>IF($W256="","",SUMIFS(상세표[07~18시],상세표[사번키],INDEX(합계표[사번키],$W256),상세표[반영월],대상월키,상세표[반영 기관],"서울병원"))</f>
        <v/>
      </c>
      <c r="O256">
        <f>IF($W256="","",SUMIFS(상세표[18~22시],상세표[사번키],INDEX(합계표[사번키],$W256),상세표[반영월],대상월키,상세표[반영 기관],"서울병원"))</f>
        <v/>
      </c>
      <c r="P256">
        <f>IF($W256="","",SUMIFS(상세표[22~06시],상세표[사번키],INDEX(합계표[사번키],$W256),상세표[반영월],대상월키,상세표[반영 기관],"서울병원"))</f>
        <v/>
      </c>
      <c r="Q256">
        <f>IF($W256="","",SUM($M256:$P256))</f>
        <v/>
      </c>
      <c r="R256">
        <f>IF($W256="","",COUNTIFS(상세표[사번키],INDEX(합계표[사번키],$W256),상세표[반영월],대상월키,상세표[야간당직],1,상세표[야간 구분],"평일"))</f>
        <v/>
      </c>
      <c r="S256" s="4">
        <f>IF($W256="","",COUNTIFS(상세표[사번키],INDEX(합계표[사번키],$W256),상세표[반영월],대상월키,상세표[야간당직],1,상세표[야간 구분],"휴일"))</f>
        <v/>
      </c>
      <c r="T256">
        <f>IF($W256="","",COUNTIFS(상세표[사번키],INDEX(합계표[사번키],$W256),상세표[반영월],대상월키,상세표[야간당직],1,상세표[야간 구분],"평일",상세표[반영 기관],"서울병원"))</f>
        <v/>
      </c>
      <c r="U256">
        <f>IF($W256="","",COUNTIFS(상세표[사번키],INDEX(합계표[사번키],$W256),상세표[반영월],대상월키,상세표[야간당직],1,상세표[야간 구분],"휴일",상세표[반영 기관],"서울병원"))</f>
        <v/>
      </c>
      <c r="V256">
        <f>IF($W256="","",IF(ISNUMBER(MATCH(INDEX(합계표[사번키],$W256)&amp;"|"&amp;대상월키,월별근무지표[키],0)),"직접 입력",IF($K256="—","—","기관명단")))</f>
        <v/>
      </c>
      <c r="W256">
        <f>IFERROR(MATCH(251,합계표[판정순번],0),"")</f>
        <v/>
      </c>
      <c r="Y256">
        <f>IF($AB256="","",INDEX(상세표[사번],$AB256)&amp;"")</f>
        <v/>
      </c>
      <c r="Z256">
        <f>IF($AB256="","",INDEX(상세표[성명],$AB256)&amp;"")</f>
        <v/>
      </c>
      <c r="AA256">
        <f>IF($AB256="","",SUMIFS(상세표[기록 시간외],상세표[사번키],INDEX(상세표[사번키],$AB256),상세표[반영월],대상월키))</f>
        <v/>
      </c>
      <c r="AB256" s="4">
        <f>IFERROR(MATCH(251,상세표[합계없음순번],0),"")</f>
        <v/>
      </c>
    </row>
    <row r="257">
      <c r="A257">
        <f>IF($W257="","",INDEX(합계표[사번],$W257)&amp;"")</f>
        <v/>
      </c>
      <c r="B257">
        <f>IF($W257="","",INDEX(합계표[성명],$W257)&amp;"")</f>
        <v/>
      </c>
      <c r="C257">
        <f>IF($W257="","",INDEX(합계표[부서],$W257)&amp;"")</f>
        <v/>
      </c>
      <c r="D257">
        <f>IF($W257="","",INDEX(합계표[직위(통합)],$W257)&amp;"")</f>
        <v/>
      </c>
      <c r="E257">
        <f>IF($W257="","",SUMIFS(합계표[시스템 합계],합계표[사번키],INDEX(합계표[사번키],$W257)))</f>
        <v/>
      </c>
      <c r="F257">
        <f>IF($W257="","",SUMIFS(상세표[기록 시간외],상세표[사번키],INDEX(합계표[사번키],$W257),상세표[기록월],대상월키))</f>
        <v/>
      </c>
      <c r="G257">
        <f>IF($W257="","",IF(ABS($E257-$F257)&lt;0.01,"일치","불일치(차이 "&amp;TEXT($F257-$E257,"0.00")&amp;")"))</f>
        <v/>
      </c>
      <c r="H257">
        <f>IF($W257="","",SUMIFS(상세표[기록 시간외],상세표[사번키],INDEX(합계표[사번키],$W257),상세표[기록월],대상월키,상세표[반영월],"&lt;&gt;"&amp;대상월키))</f>
        <v/>
      </c>
      <c r="I257">
        <f>IF($W257="","",SUMIFS(상세표[기록 시간외],상세표[사번키],INDEX(합계표[사번키],$W257),상세표[기록월],"&lt;&gt;"&amp;대상월키,상세표[반영월],대상월키))</f>
        <v/>
      </c>
      <c r="J257">
        <f>IF($W257="","",SUMIFS(상세표[기록 시간외],상세표[사번키],INDEX(합계표[사번키],$W257),상세표[반영월],대상월키))</f>
        <v/>
      </c>
      <c r="K257">
        <f>IF($W257="","",IFERROR(INDEX(월별근무지표[적용 급여병원],MATCH(INDEX(합계표[사번키],$W257)&amp;"|"&amp;대상월키,월별근무지표[키],0))&amp;"",IF(COUNTIF(기관표[사번키],INDEX(합계표[사번키],$W257))+COUNTIF(월별근무지표[사번키],INDEX(합계표[사번키],$W257))&gt;0,IFERROR(INDEX(기관표[급여지급병원(기준월)],MATCH(INDEX(합계표[사번키],$W257)&amp;"|"&amp;대상월키,기관표[키],0))&amp;"","—"),"—")))</f>
        <v/>
      </c>
      <c r="L257">
        <f>IF($W257="","",IF(NOT(COUNTIF(기관표[사번키],INDEX(합계표[사번키],$W257))+COUNTIF(월별근무지표[사번키],INDEX(합계표[사번키],$W257))&gt;0),"기관명단에 없음(다른 병원으로 발송)",IF($K257="—","대상월 기관명단 없음(추가 필요)",IF($K257="서울병원","해당","비해당"))))</f>
        <v/>
      </c>
      <c r="M257">
        <f>IF($W257="","",SUMIFS(상세표[06~07시],상세표[사번키],INDEX(합계표[사번키],$W257),상세표[반영월],대상월키,상세표[반영 기관],"서울병원"))</f>
        <v/>
      </c>
      <c r="N257">
        <f>IF($W257="","",SUMIFS(상세표[07~18시],상세표[사번키],INDEX(합계표[사번키],$W257),상세표[반영월],대상월키,상세표[반영 기관],"서울병원"))</f>
        <v/>
      </c>
      <c r="O257">
        <f>IF($W257="","",SUMIFS(상세표[18~22시],상세표[사번키],INDEX(합계표[사번키],$W257),상세표[반영월],대상월키,상세표[반영 기관],"서울병원"))</f>
        <v/>
      </c>
      <c r="P257">
        <f>IF($W257="","",SUMIFS(상세표[22~06시],상세표[사번키],INDEX(합계표[사번키],$W257),상세표[반영월],대상월키,상세표[반영 기관],"서울병원"))</f>
        <v/>
      </c>
      <c r="Q257">
        <f>IF($W257="","",SUM($M257:$P257))</f>
        <v/>
      </c>
      <c r="R257">
        <f>IF($W257="","",COUNTIFS(상세표[사번키],INDEX(합계표[사번키],$W257),상세표[반영월],대상월키,상세표[야간당직],1,상세표[야간 구분],"평일"))</f>
        <v/>
      </c>
      <c r="S257" s="4">
        <f>IF($W257="","",COUNTIFS(상세표[사번키],INDEX(합계표[사번키],$W257),상세표[반영월],대상월키,상세표[야간당직],1,상세표[야간 구분],"휴일"))</f>
        <v/>
      </c>
      <c r="T257">
        <f>IF($W257="","",COUNTIFS(상세표[사번키],INDEX(합계표[사번키],$W257),상세표[반영월],대상월키,상세표[야간당직],1,상세표[야간 구분],"평일",상세표[반영 기관],"서울병원"))</f>
        <v/>
      </c>
      <c r="U257">
        <f>IF($W257="","",COUNTIFS(상세표[사번키],INDEX(합계표[사번키],$W257),상세표[반영월],대상월키,상세표[야간당직],1,상세표[야간 구분],"휴일",상세표[반영 기관],"서울병원"))</f>
        <v/>
      </c>
      <c r="V257">
        <f>IF($W257="","",IF(ISNUMBER(MATCH(INDEX(합계표[사번키],$W257)&amp;"|"&amp;대상월키,월별근무지표[키],0)),"직접 입력",IF($K257="—","—","기관명단")))</f>
        <v/>
      </c>
      <c r="W257">
        <f>IFERROR(MATCH(252,합계표[판정순번],0),"")</f>
        <v/>
      </c>
      <c r="Y257">
        <f>IF($AB257="","",INDEX(상세표[사번],$AB257)&amp;"")</f>
        <v/>
      </c>
      <c r="Z257">
        <f>IF($AB257="","",INDEX(상세표[성명],$AB257)&amp;"")</f>
        <v/>
      </c>
      <c r="AA257">
        <f>IF($AB257="","",SUMIFS(상세표[기록 시간외],상세표[사번키],INDEX(상세표[사번키],$AB257),상세표[반영월],대상월키))</f>
        <v/>
      </c>
      <c r="AB257" s="4">
        <f>IFERROR(MATCH(252,상세표[합계없음순번],0),"")</f>
        <v/>
      </c>
    </row>
    <row r="258">
      <c r="A258">
        <f>IF($W258="","",INDEX(합계표[사번],$W258)&amp;"")</f>
        <v/>
      </c>
      <c r="B258">
        <f>IF($W258="","",INDEX(합계표[성명],$W258)&amp;"")</f>
        <v/>
      </c>
      <c r="C258">
        <f>IF($W258="","",INDEX(합계표[부서],$W258)&amp;"")</f>
        <v/>
      </c>
      <c r="D258">
        <f>IF($W258="","",INDEX(합계표[직위(통합)],$W258)&amp;"")</f>
        <v/>
      </c>
      <c r="E258">
        <f>IF($W258="","",SUMIFS(합계표[시스템 합계],합계표[사번키],INDEX(합계표[사번키],$W258)))</f>
        <v/>
      </c>
      <c r="F258">
        <f>IF($W258="","",SUMIFS(상세표[기록 시간외],상세표[사번키],INDEX(합계표[사번키],$W258),상세표[기록월],대상월키))</f>
        <v/>
      </c>
      <c r="G258">
        <f>IF($W258="","",IF(ABS($E258-$F258)&lt;0.01,"일치","불일치(차이 "&amp;TEXT($F258-$E258,"0.00")&amp;")"))</f>
        <v/>
      </c>
      <c r="H258">
        <f>IF($W258="","",SUMIFS(상세표[기록 시간외],상세표[사번키],INDEX(합계표[사번키],$W258),상세표[기록월],대상월키,상세표[반영월],"&lt;&gt;"&amp;대상월키))</f>
        <v/>
      </c>
      <c r="I258">
        <f>IF($W258="","",SUMIFS(상세표[기록 시간외],상세표[사번키],INDEX(합계표[사번키],$W258),상세표[기록월],"&lt;&gt;"&amp;대상월키,상세표[반영월],대상월키))</f>
        <v/>
      </c>
      <c r="J258">
        <f>IF($W258="","",SUMIFS(상세표[기록 시간외],상세표[사번키],INDEX(합계표[사번키],$W258),상세표[반영월],대상월키))</f>
        <v/>
      </c>
      <c r="K258">
        <f>IF($W258="","",IFERROR(INDEX(월별근무지표[적용 급여병원],MATCH(INDEX(합계표[사번키],$W258)&amp;"|"&amp;대상월키,월별근무지표[키],0))&amp;"",IF(COUNTIF(기관표[사번키],INDEX(합계표[사번키],$W258))+COUNTIF(월별근무지표[사번키],INDEX(합계표[사번키],$W258))&gt;0,IFERROR(INDEX(기관표[급여지급병원(기준월)],MATCH(INDEX(합계표[사번키],$W258)&amp;"|"&amp;대상월키,기관표[키],0))&amp;"","—"),"—")))</f>
        <v/>
      </c>
      <c r="L258">
        <f>IF($W258="","",IF(NOT(COUNTIF(기관표[사번키],INDEX(합계표[사번키],$W258))+COUNTIF(월별근무지표[사번키],INDEX(합계표[사번키],$W258))&gt;0),"기관명단에 없음(다른 병원으로 발송)",IF($K258="—","대상월 기관명단 없음(추가 필요)",IF($K258="서울병원","해당","비해당"))))</f>
        <v/>
      </c>
      <c r="M258">
        <f>IF($W258="","",SUMIFS(상세표[06~07시],상세표[사번키],INDEX(합계표[사번키],$W258),상세표[반영월],대상월키,상세표[반영 기관],"서울병원"))</f>
        <v/>
      </c>
      <c r="N258">
        <f>IF($W258="","",SUMIFS(상세표[07~18시],상세표[사번키],INDEX(합계표[사번키],$W258),상세표[반영월],대상월키,상세표[반영 기관],"서울병원"))</f>
        <v/>
      </c>
      <c r="O258">
        <f>IF($W258="","",SUMIFS(상세표[18~22시],상세표[사번키],INDEX(합계표[사번키],$W258),상세표[반영월],대상월키,상세표[반영 기관],"서울병원"))</f>
        <v/>
      </c>
      <c r="P258">
        <f>IF($W258="","",SUMIFS(상세표[22~06시],상세표[사번키],INDEX(합계표[사번키],$W258),상세표[반영월],대상월키,상세표[반영 기관],"서울병원"))</f>
        <v/>
      </c>
      <c r="Q258">
        <f>IF($W258="","",SUM($M258:$P258))</f>
        <v/>
      </c>
      <c r="R258">
        <f>IF($W258="","",COUNTIFS(상세표[사번키],INDEX(합계표[사번키],$W258),상세표[반영월],대상월키,상세표[야간당직],1,상세표[야간 구분],"평일"))</f>
        <v/>
      </c>
      <c r="S258" s="4">
        <f>IF($W258="","",COUNTIFS(상세표[사번키],INDEX(합계표[사번키],$W258),상세표[반영월],대상월키,상세표[야간당직],1,상세표[야간 구분],"휴일"))</f>
        <v/>
      </c>
      <c r="T258">
        <f>IF($W258="","",COUNTIFS(상세표[사번키],INDEX(합계표[사번키],$W258),상세표[반영월],대상월키,상세표[야간당직],1,상세표[야간 구분],"평일",상세표[반영 기관],"서울병원"))</f>
        <v/>
      </c>
      <c r="U258">
        <f>IF($W258="","",COUNTIFS(상세표[사번키],INDEX(합계표[사번키],$W258),상세표[반영월],대상월키,상세표[야간당직],1,상세표[야간 구분],"휴일",상세표[반영 기관],"서울병원"))</f>
        <v/>
      </c>
      <c r="V258">
        <f>IF($W258="","",IF(ISNUMBER(MATCH(INDEX(합계표[사번키],$W258)&amp;"|"&amp;대상월키,월별근무지표[키],0)),"직접 입력",IF($K258="—","—","기관명단")))</f>
        <v/>
      </c>
      <c r="W258">
        <f>IFERROR(MATCH(253,합계표[판정순번],0),"")</f>
        <v/>
      </c>
      <c r="Y258">
        <f>IF($AB258="","",INDEX(상세표[사번],$AB258)&amp;"")</f>
        <v/>
      </c>
      <c r="Z258">
        <f>IF($AB258="","",INDEX(상세표[성명],$AB258)&amp;"")</f>
        <v/>
      </c>
      <c r="AA258">
        <f>IF($AB258="","",SUMIFS(상세표[기록 시간외],상세표[사번키],INDEX(상세표[사번키],$AB258),상세표[반영월],대상월키))</f>
        <v/>
      </c>
      <c r="AB258" s="4">
        <f>IFERROR(MATCH(253,상세표[합계없음순번],0),"")</f>
        <v/>
      </c>
    </row>
    <row r="259">
      <c r="A259">
        <f>IF($W259="","",INDEX(합계표[사번],$W259)&amp;"")</f>
        <v/>
      </c>
      <c r="B259">
        <f>IF($W259="","",INDEX(합계표[성명],$W259)&amp;"")</f>
        <v/>
      </c>
      <c r="C259">
        <f>IF($W259="","",INDEX(합계표[부서],$W259)&amp;"")</f>
        <v/>
      </c>
      <c r="D259">
        <f>IF($W259="","",INDEX(합계표[직위(통합)],$W259)&amp;"")</f>
        <v/>
      </c>
      <c r="E259">
        <f>IF($W259="","",SUMIFS(합계표[시스템 합계],합계표[사번키],INDEX(합계표[사번키],$W259)))</f>
        <v/>
      </c>
      <c r="F259">
        <f>IF($W259="","",SUMIFS(상세표[기록 시간외],상세표[사번키],INDEX(합계표[사번키],$W259),상세표[기록월],대상월키))</f>
        <v/>
      </c>
      <c r="G259">
        <f>IF($W259="","",IF(ABS($E259-$F259)&lt;0.01,"일치","불일치(차이 "&amp;TEXT($F259-$E259,"0.00")&amp;")"))</f>
        <v/>
      </c>
      <c r="H259">
        <f>IF($W259="","",SUMIFS(상세표[기록 시간외],상세표[사번키],INDEX(합계표[사번키],$W259),상세표[기록월],대상월키,상세표[반영월],"&lt;&gt;"&amp;대상월키))</f>
        <v/>
      </c>
      <c r="I259">
        <f>IF($W259="","",SUMIFS(상세표[기록 시간외],상세표[사번키],INDEX(합계표[사번키],$W259),상세표[기록월],"&lt;&gt;"&amp;대상월키,상세표[반영월],대상월키))</f>
        <v/>
      </c>
      <c r="J259">
        <f>IF($W259="","",SUMIFS(상세표[기록 시간외],상세표[사번키],INDEX(합계표[사번키],$W259),상세표[반영월],대상월키))</f>
        <v/>
      </c>
      <c r="K259">
        <f>IF($W259="","",IFERROR(INDEX(월별근무지표[적용 급여병원],MATCH(INDEX(합계표[사번키],$W259)&amp;"|"&amp;대상월키,월별근무지표[키],0))&amp;"",IF(COUNTIF(기관표[사번키],INDEX(합계표[사번키],$W259))+COUNTIF(월별근무지표[사번키],INDEX(합계표[사번키],$W259))&gt;0,IFERROR(INDEX(기관표[급여지급병원(기준월)],MATCH(INDEX(합계표[사번키],$W259)&amp;"|"&amp;대상월키,기관표[키],0))&amp;"","—"),"—")))</f>
        <v/>
      </c>
      <c r="L259">
        <f>IF($W259="","",IF(NOT(COUNTIF(기관표[사번키],INDEX(합계표[사번키],$W259))+COUNTIF(월별근무지표[사번키],INDEX(합계표[사번키],$W259))&gt;0),"기관명단에 없음(다른 병원으로 발송)",IF($K259="—","대상월 기관명단 없음(추가 필요)",IF($K259="서울병원","해당","비해당"))))</f>
        <v/>
      </c>
      <c r="M259">
        <f>IF($W259="","",SUMIFS(상세표[06~07시],상세표[사번키],INDEX(합계표[사번키],$W259),상세표[반영월],대상월키,상세표[반영 기관],"서울병원"))</f>
        <v/>
      </c>
      <c r="N259">
        <f>IF($W259="","",SUMIFS(상세표[07~18시],상세표[사번키],INDEX(합계표[사번키],$W259),상세표[반영월],대상월키,상세표[반영 기관],"서울병원"))</f>
        <v/>
      </c>
      <c r="O259">
        <f>IF($W259="","",SUMIFS(상세표[18~22시],상세표[사번키],INDEX(합계표[사번키],$W259),상세표[반영월],대상월키,상세표[반영 기관],"서울병원"))</f>
        <v/>
      </c>
      <c r="P259">
        <f>IF($W259="","",SUMIFS(상세표[22~06시],상세표[사번키],INDEX(합계표[사번키],$W259),상세표[반영월],대상월키,상세표[반영 기관],"서울병원"))</f>
        <v/>
      </c>
      <c r="Q259">
        <f>IF($W259="","",SUM($M259:$P259))</f>
        <v/>
      </c>
      <c r="R259">
        <f>IF($W259="","",COUNTIFS(상세표[사번키],INDEX(합계표[사번키],$W259),상세표[반영월],대상월키,상세표[야간당직],1,상세표[야간 구분],"평일"))</f>
        <v/>
      </c>
      <c r="S259" s="4">
        <f>IF($W259="","",COUNTIFS(상세표[사번키],INDEX(합계표[사번키],$W259),상세표[반영월],대상월키,상세표[야간당직],1,상세표[야간 구분],"휴일"))</f>
        <v/>
      </c>
      <c r="T259">
        <f>IF($W259="","",COUNTIFS(상세표[사번키],INDEX(합계표[사번키],$W259),상세표[반영월],대상월키,상세표[야간당직],1,상세표[야간 구분],"평일",상세표[반영 기관],"서울병원"))</f>
        <v/>
      </c>
      <c r="U259">
        <f>IF($W259="","",COUNTIFS(상세표[사번키],INDEX(합계표[사번키],$W259),상세표[반영월],대상월키,상세표[야간당직],1,상세표[야간 구분],"휴일",상세표[반영 기관],"서울병원"))</f>
        <v/>
      </c>
      <c r="V259">
        <f>IF($W259="","",IF(ISNUMBER(MATCH(INDEX(합계표[사번키],$W259)&amp;"|"&amp;대상월키,월별근무지표[키],0)),"직접 입력",IF($K259="—","—","기관명단")))</f>
        <v/>
      </c>
      <c r="W259">
        <f>IFERROR(MATCH(254,합계표[판정순번],0),"")</f>
        <v/>
      </c>
      <c r="Y259">
        <f>IF($AB259="","",INDEX(상세표[사번],$AB259)&amp;"")</f>
        <v/>
      </c>
      <c r="Z259">
        <f>IF($AB259="","",INDEX(상세표[성명],$AB259)&amp;"")</f>
        <v/>
      </c>
      <c r="AA259">
        <f>IF($AB259="","",SUMIFS(상세표[기록 시간외],상세표[사번키],INDEX(상세표[사번키],$AB259),상세표[반영월],대상월키))</f>
        <v/>
      </c>
      <c r="AB259" s="4">
        <f>IFERROR(MATCH(254,상세표[합계없음순번],0),"")</f>
        <v/>
      </c>
    </row>
    <row r="260">
      <c r="A260">
        <f>IF($W260="","",INDEX(합계표[사번],$W260)&amp;"")</f>
        <v/>
      </c>
      <c r="B260">
        <f>IF($W260="","",INDEX(합계표[성명],$W260)&amp;"")</f>
        <v/>
      </c>
      <c r="C260">
        <f>IF($W260="","",INDEX(합계표[부서],$W260)&amp;"")</f>
        <v/>
      </c>
      <c r="D260">
        <f>IF($W260="","",INDEX(합계표[직위(통합)],$W260)&amp;"")</f>
        <v/>
      </c>
      <c r="E260">
        <f>IF($W260="","",SUMIFS(합계표[시스템 합계],합계표[사번키],INDEX(합계표[사번키],$W260)))</f>
        <v/>
      </c>
      <c r="F260">
        <f>IF($W260="","",SUMIFS(상세표[기록 시간외],상세표[사번키],INDEX(합계표[사번키],$W260),상세표[기록월],대상월키))</f>
        <v/>
      </c>
      <c r="G260">
        <f>IF($W260="","",IF(ABS($E260-$F260)&lt;0.01,"일치","불일치(차이 "&amp;TEXT($F260-$E260,"0.00")&amp;")"))</f>
        <v/>
      </c>
      <c r="H260">
        <f>IF($W260="","",SUMIFS(상세표[기록 시간외],상세표[사번키],INDEX(합계표[사번키],$W260),상세표[기록월],대상월키,상세표[반영월],"&lt;&gt;"&amp;대상월키))</f>
        <v/>
      </c>
      <c r="I260">
        <f>IF($W260="","",SUMIFS(상세표[기록 시간외],상세표[사번키],INDEX(합계표[사번키],$W260),상세표[기록월],"&lt;&gt;"&amp;대상월키,상세표[반영월],대상월키))</f>
        <v/>
      </c>
      <c r="J260">
        <f>IF($W260="","",SUMIFS(상세표[기록 시간외],상세표[사번키],INDEX(합계표[사번키],$W260),상세표[반영월],대상월키))</f>
        <v/>
      </c>
      <c r="K260">
        <f>IF($W260="","",IFERROR(INDEX(월별근무지표[적용 급여병원],MATCH(INDEX(합계표[사번키],$W260)&amp;"|"&amp;대상월키,월별근무지표[키],0))&amp;"",IF(COUNTIF(기관표[사번키],INDEX(합계표[사번키],$W260))+COUNTIF(월별근무지표[사번키],INDEX(합계표[사번키],$W260))&gt;0,IFERROR(INDEX(기관표[급여지급병원(기준월)],MATCH(INDEX(합계표[사번키],$W260)&amp;"|"&amp;대상월키,기관표[키],0))&amp;"","—"),"—")))</f>
        <v/>
      </c>
      <c r="L260">
        <f>IF($W260="","",IF(NOT(COUNTIF(기관표[사번키],INDEX(합계표[사번키],$W260))+COUNTIF(월별근무지표[사번키],INDEX(합계표[사번키],$W260))&gt;0),"기관명단에 없음(다른 병원으로 발송)",IF($K260="—","대상월 기관명단 없음(추가 필요)",IF($K260="서울병원","해당","비해당"))))</f>
        <v/>
      </c>
      <c r="M260">
        <f>IF($W260="","",SUMIFS(상세표[06~07시],상세표[사번키],INDEX(합계표[사번키],$W260),상세표[반영월],대상월키,상세표[반영 기관],"서울병원"))</f>
        <v/>
      </c>
      <c r="N260">
        <f>IF($W260="","",SUMIFS(상세표[07~18시],상세표[사번키],INDEX(합계표[사번키],$W260),상세표[반영월],대상월키,상세표[반영 기관],"서울병원"))</f>
        <v/>
      </c>
      <c r="O260">
        <f>IF($W260="","",SUMIFS(상세표[18~22시],상세표[사번키],INDEX(합계표[사번키],$W260),상세표[반영월],대상월키,상세표[반영 기관],"서울병원"))</f>
        <v/>
      </c>
      <c r="P260">
        <f>IF($W260="","",SUMIFS(상세표[22~06시],상세표[사번키],INDEX(합계표[사번키],$W260),상세표[반영월],대상월키,상세표[반영 기관],"서울병원"))</f>
        <v/>
      </c>
      <c r="Q260">
        <f>IF($W260="","",SUM($M260:$P260))</f>
        <v/>
      </c>
      <c r="R260">
        <f>IF($W260="","",COUNTIFS(상세표[사번키],INDEX(합계표[사번키],$W260),상세표[반영월],대상월키,상세표[야간당직],1,상세표[야간 구분],"평일"))</f>
        <v/>
      </c>
      <c r="S260" s="4">
        <f>IF($W260="","",COUNTIFS(상세표[사번키],INDEX(합계표[사번키],$W260),상세표[반영월],대상월키,상세표[야간당직],1,상세표[야간 구분],"휴일"))</f>
        <v/>
      </c>
      <c r="T260">
        <f>IF($W260="","",COUNTIFS(상세표[사번키],INDEX(합계표[사번키],$W260),상세표[반영월],대상월키,상세표[야간당직],1,상세표[야간 구분],"평일",상세표[반영 기관],"서울병원"))</f>
        <v/>
      </c>
      <c r="U260">
        <f>IF($W260="","",COUNTIFS(상세표[사번키],INDEX(합계표[사번키],$W260),상세표[반영월],대상월키,상세표[야간당직],1,상세표[야간 구분],"휴일",상세표[반영 기관],"서울병원"))</f>
        <v/>
      </c>
      <c r="V260">
        <f>IF($W260="","",IF(ISNUMBER(MATCH(INDEX(합계표[사번키],$W260)&amp;"|"&amp;대상월키,월별근무지표[키],0)),"직접 입력",IF($K260="—","—","기관명단")))</f>
        <v/>
      </c>
      <c r="W260">
        <f>IFERROR(MATCH(255,합계표[판정순번],0),"")</f>
        <v/>
      </c>
      <c r="Y260">
        <f>IF($AB260="","",INDEX(상세표[사번],$AB260)&amp;"")</f>
        <v/>
      </c>
      <c r="Z260">
        <f>IF($AB260="","",INDEX(상세표[성명],$AB260)&amp;"")</f>
        <v/>
      </c>
      <c r="AA260">
        <f>IF($AB260="","",SUMIFS(상세표[기록 시간외],상세표[사번키],INDEX(상세표[사번키],$AB260),상세표[반영월],대상월키))</f>
        <v/>
      </c>
      <c r="AB260" s="4">
        <f>IFERROR(MATCH(255,상세표[합계없음순번],0),"")</f>
        <v/>
      </c>
    </row>
    <row r="261">
      <c r="A261">
        <f>IF($W261="","",INDEX(합계표[사번],$W261)&amp;"")</f>
        <v/>
      </c>
      <c r="B261">
        <f>IF($W261="","",INDEX(합계표[성명],$W261)&amp;"")</f>
        <v/>
      </c>
      <c r="C261">
        <f>IF($W261="","",INDEX(합계표[부서],$W261)&amp;"")</f>
        <v/>
      </c>
      <c r="D261">
        <f>IF($W261="","",INDEX(합계표[직위(통합)],$W261)&amp;"")</f>
        <v/>
      </c>
      <c r="E261">
        <f>IF($W261="","",SUMIFS(합계표[시스템 합계],합계표[사번키],INDEX(합계표[사번키],$W261)))</f>
        <v/>
      </c>
      <c r="F261">
        <f>IF($W261="","",SUMIFS(상세표[기록 시간외],상세표[사번키],INDEX(합계표[사번키],$W261),상세표[기록월],대상월키))</f>
        <v/>
      </c>
      <c r="G261">
        <f>IF($W261="","",IF(ABS($E261-$F261)&lt;0.01,"일치","불일치(차이 "&amp;TEXT($F261-$E261,"0.00")&amp;")"))</f>
        <v/>
      </c>
      <c r="H261">
        <f>IF($W261="","",SUMIFS(상세표[기록 시간외],상세표[사번키],INDEX(합계표[사번키],$W261),상세표[기록월],대상월키,상세표[반영월],"&lt;&gt;"&amp;대상월키))</f>
        <v/>
      </c>
      <c r="I261">
        <f>IF($W261="","",SUMIFS(상세표[기록 시간외],상세표[사번키],INDEX(합계표[사번키],$W261),상세표[기록월],"&lt;&gt;"&amp;대상월키,상세표[반영월],대상월키))</f>
        <v/>
      </c>
      <c r="J261">
        <f>IF($W261="","",SUMIFS(상세표[기록 시간외],상세표[사번키],INDEX(합계표[사번키],$W261),상세표[반영월],대상월키))</f>
        <v/>
      </c>
      <c r="K261">
        <f>IF($W261="","",IFERROR(INDEX(월별근무지표[적용 급여병원],MATCH(INDEX(합계표[사번키],$W261)&amp;"|"&amp;대상월키,월별근무지표[키],0))&amp;"",IF(COUNTIF(기관표[사번키],INDEX(합계표[사번키],$W261))+COUNTIF(월별근무지표[사번키],INDEX(합계표[사번키],$W261))&gt;0,IFERROR(INDEX(기관표[급여지급병원(기준월)],MATCH(INDEX(합계표[사번키],$W261)&amp;"|"&amp;대상월키,기관표[키],0))&amp;"","—"),"—")))</f>
        <v/>
      </c>
      <c r="L261">
        <f>IF($W261="","",IF(NOT(COUNTIF(기관표[사번키],INDEX(합계표[사번키],$W261))+COUNTIF(월별근무지표[사번키],INDEX(합계표[사번키],$W261))&gt;0),"기관명단에 없음(다른 병원으로 발송)",IF($K261="—","대상월 기관명단 없음(추가 필요)",IF($K261="서울병원","해당","비해당"))))</f>
        <v/>
      </c>
      <c r="M261">
        <f>IF($W261="","",SUMIFS(상세표[06~07시],상세표[사번키],INDEX(합계표[사번키],$W261),상세표[반영월],대상월키,상세표[반영 기관],"서울병원"))</f>
        <v/>
      </c>
      <c r="N261">
        <f>IF($W261="","",SUMIFS(상세표[07~18시],상세표[사번키],INDEX(합계표[사번키],$W261),상세표[반영월],대상월키,상세표[반영 기관],"서울병원"))</f>
        <v/>
      </c>
      <c r="O261">
        <f>IF($W261="","",SUMIFS(상세표[18~22시],상세표[사번키],INDEX(합계표[사번키],$W261),상세표[반영월],대상월키,상세표[반영 기관],"서울병원"))</f>
        <v/>
      </c>
      <c r="P261">
        <f>IF($W261="","",SUMIFS(상세표[22~06시],상세표[사번키],INDEX(합계표[사번키],$W261),상세표[반영월],대상월키,상세표[반영 기관],"서울병원"))</f>
        <v/>
      </c>
      <c r="Q261">
        <f>IF($W261="","",SUM($M261:$P261))</f>
        <v/>
      </c>
      <c r="R261">
        <f>IF($W261="","",COUNTIFS(상세표[사번키],INDEX(합계표[사번키],$W261),상세표[반영월],대상월키,상세표[야간당직],1,상세표[야간 구분],"평일"))</f>
        <v/>
      </c>
      <c r="S261" s="4">
        <f>IF($W261="","",COUNTIFS(상세표[사번키],INDEX(합계표[사번키],$W261),상세표[반영월],대상월키,상세표[야간당직],1,상세표[야간 구분],"휴일"))</f>
        <v/>
      </c>
      <c r="T261">
        <f>IF($W261="","",COUNTIFS(상세표[사번키],INDEX(합계표[사번키],$W261),상세표[반영월],대상월키,상세표[야간당직],1,상세표[야간 구분],"평일",상세표[반영 기관],"서울병원"))</f>
        <v/>
      </c>
      <c r="U261">
        <f>IF($W261="","",COUNTIFS(상세표[사번키],INDEX(합계표[사번키],$W261),상세표[반영월],대상월키,상세표[야간당직],1,상세표[야간 구분],"휴일",상세표[반영 기관],"서울병원"))</f>
        <v/>
      </c>
      <c r="V261">
        <f>IF($W261="","",IF(ISNUMBER(MATCH(INDEX(합계표[사번키],$W261)&amp;"|"&amp;대상월키,월별근무지표[키],0)),"직접 입력",IF($K261="—","—","기관명단")))</f>
        <v/>
      </c>
      <c r="W261">
        <f>IFERROR(MATCH(256,합계표[판정순번],0),"")</f>
        <v/>
      </c>
      <c r="Y261">
        <f>IF($AB261="","",INDEX(상세표[사번],$AB261)&amp;"")</f>
        <v/>
      </c>
      <c r="Z261">
        <f>IF($AB261="","",INDEX(상세표[성명],$AB261)&amp;"")</f>
        <v/>
      </c>
      <c r="AA261">
        <f>IF($AB261="","",SUMIFS(상세표[기록 시간외],상세표[사번키],INDEX(상세표[사번키],$AB261),상세표[반영월],대상월키))</f>
        <v/>
      </c>
      <c r="AB261" s="4">
        <f>IFERROR(MATCH(256,상세표[합계없음순번],0),"")</f>
        <v/>
      </c>
    </row>
    <row r="262">
      <c r="A262">
        <f>IF($W262="","",INDEX(합계표[사번],$W262)&amp;"")</f>
        <v/>
      </c>
      <c r="B262">
        <f>IF($W262="","",INDEX(합계표[성명],$W262)&amp;"")</f>
        <v/>
      </c>
      <c r="C262">
        <f>IF($W262="","",INDEX(합계표[부서],$W262)&amp;"")</f>
        <v/>
      </c>
      <c r="D262">
        <f>IF($W262="","",INDEX(합계표[직위(통합)],$W262)&amp;"")</f>
        <v/>
      </c>
      <c r="E262">
        <f>IF($W262="","",SUMIFS(합계표[시스템 합계],합계표[사번키],INDEX(합계표[사번키],$W262)))</f>
        <v/>
      </c>
      <c r="F262">
        <f>IF($W262="","",SUMIFS(상세표[기록 시간외],상세표[사번키],INDEX(합계표[사번키],$W262),상세표[기록월],대상월키))</f>
        <v/>
      </c>
      <c r="G262">
        <f>IF($W262="","",IF(ABS($E262-$F262)&lt;0.01,"일치","불일치(차이 "&amp;TEXT($F262-$E262,"0.00")&amp;")"))</f>
        <v/>
      </c>
      <c r="H262">
        <f>IF($W262="","",SUMIFS(상세표[기록 시간외],상세표[사번키],INDEX(합계표[사번키],$W262),상세표[기록월],대상월키,상세표[반영월],"&lt;&gt;"&amp;대상월키))</f>
        <v/>
      </c>
      <c r="I262">
        <f>IF($W262="","",SUMIFS(상세표[기록 시간외],상세표[사번키],INDEX(합계표[사번키],$W262),상세표[기록월],"&lt;&gt;"&amp;대상월키,상세표[반영월],대상월키))</f>
        <v/>
      </c>
      <c r="J262">
        <f>IF($W262="","",SUMIFS(상세표[기록 시간외],상세표[사번키],INDEX(합계표[사번키],$W262),상세표[반영월],대상월키))</f>
        <v/>
      </c>
      <c r="K262">
        <f>IF($W262="","",IFERROR(INDEX(월별근무지표[적용 급여병원],MATCH(INDEX(합계표[사번키],$W262)&amp;"|"&amp;대상월키,월별근무지표[키],0))&amp;"",IF(COUNTIF(기관표[사번키],INDEX(합계표[사번키],$W262))+COUNTIF(월별근무지표[사번키],INDEX(합계표[사번키],$W262))&gt;0,IFERROR(INDEX(기관표[급여지급병원(기준월)],MATCH(INDEX(합계표[사번키],$W262)&amp;"|"&amp;대상월키,기관표[키],0))&amp;"","—"),"—")))</f>
        <v/>
      </c>
      <c r="L262">
        <f>IF($W262="","",IF(NOT(COUNTIF(기관표[사번키],INDEX(합계표[사번키],$W262))+COUNTIF(월별근무지표[사번키],INDEX(합계표[사번키],$W262))&gt;0),"기관명단에 없음(다른 병원으로 발송)",IF($K262="—","대상월 기관명단 없음(추가 필요)",IF($K262="서울병원","해당","비해당"))))</f>
        <v/>
      </c>
      <c r="M262">
        <f>IF($W262="","",SUMIFS(상세표[06~07시],상세표[사번키],INDEX(합계표[사번키],$W262),상세표[반영월],대상월키,상세표[반영 기관],"서울병원"))</f>
        <v/>
      </c>
      <c r="N262">
        <f>IF($W262="","",SUMIFS(상세표[07~18시],상세표[사번키],INDEX(합계표[사번키],$W262),상세표[반영월],대상월키,상세표[반영 기관],"서울병원"))</f>
        <v/>
      </c>
      <c r="O262">
        <f>IF($W262="","",SUMIFS(상세표[18~22시],상세표[사번키],INDEX(합계표[사번키],$W262),상세표[반영월],대상월키,상세표[반영 기관],"서울병원"))</f>
        <v/>
      </c>
      <c r="P262">
        <f>IF($W262="","",SUMIFS(상세표[22~06시],상세표[사번키],INDEX(합계표[사번키],$W262),상세표[반영월],대상월키,상세표[반영 기관],"서울병원"))</f>
        <v/>
      </c>
      <c r="Q262">
        <f>IF($W262="","",SUM($M262:$P262))</f>
        <v/>
      </c>
      <c r="R262">
        <f>IF($W262="","",COUNTIFS(상세표[사번키],INDEX(합계표[사번키],$W262),상세표[반영월],대상월키,상세표[야간당직],1,상세표[야간 구분],"평일"))</f>
        <v/>
      </c>
      <c r="S262" s="4">
        <f>IF($W262="","",COUNTIFS(상세표[사번키],INDEX(합계표[사번키],$W262),상세표[반영월],대상월키,상세표[야간당직],1,상세표[야간 구분],"휴일"))</f>
        <v/>
      </c>
      <c r="T262">
        <f>IF($W262="","",COUNTIFS(상세표[사번키],INDEX(합계표[사번키],$W262),상세표[반영월],대상월키,상세표[야간당직],1,상세표[야간 구분],"평일",상세표[반영 기관],"서울병원"))</f>
        <v/>
      </c>
      <c r="U262">
        <f>IF($W262="","",COUNTIFS(상세표[사번키],INDEX(합계표[사번키],$W262),상세표[반영월],대상월키,상세표[야간당직],1,상세표[야간 구분],"휴일",상세표[반영 기관],"서울병원"))</f>
        <v/>
      </c>
      <c r="V262">
        <f>IF($W262="","",IF(ISNUMBER(MATCH(INDEX(합계표[사번키],$W262)&amp;"|"&amp;대상월키,월별근무지표[키],0)),"직접 입력",IF($K262="—","—","기관명단")))</f>
        <v/>
      </c>
      <c r="W262">
        <f>IFERROR(MATCH(257,합계표[판정순번],0),"")</f>
        <v/>
      </c>
      <c r="Y262">
        <f>IF($AB262="","",INDEX(상세표[사번],$AB262)&amp;"")</f>
        <v/>
      </c>
      <c r="Z262">
        <f>IF($AB262="","",INDEX(상세표[성명],$AB262)&amp;"")</f>
        <v/>
      </c>
      <c r="AA262">
        <f>IF($AB262="","",SUMIFS(상세표[기록 시간외],상세표[사번키],INDEX(상세표[사번키],$AB262),상세표[반영월],대상월키))</f>
        <v/>
      </c>
      <c r="AB262" s="4">
        <f>IFERROR(MATCH(257,상세표[합계없음순번],0),"")</f>
        <v/>
      </c>
    </row>
    <row r="263">
      <c r="A263">
        <f>IF($W263="","",INDEX(합계표[사번],$W263)&amp;"")</f>
        <v/>
      </c>
      <c r="B263">
        <f>IF($W263="","",INDEX(합계표[성명],$W263)&amp;"")</f>
        <v/>
      </c>
      <c r="C263">
        <f>IF($W263="","",INDEX(합계표[부서],$W263)&amp;"")</f>
        <v/>
      </c>
      <c r="D263">
        <f>IF($W263="","",INDEX(합계표[직위(통합)],$W263)&amp;"")</f>
        <v/>
      </c>
      <c r="E263">
        <f>IF($W263="","",SUMIFS(합계표[시스템 합계],합계표[사번키],INDEX(합계표[사번키],$W263)))</f>
        <v/>
      </c>
      <c r="F263">
        <f>IF($W263="","",SUMIFS(상세표[기록 시간외],상세표[사번키],INDEX(합계표[사번키],$W263),상세표[기록월],대상월키))</f>
        <v/>
      </c>
      <c r="G263">
        <f>IF($W263="","",IF(ABS($E263-$F263)&lt;0.01,"일치","불일치(차이 "&amp;TEXT($F263-$E263,"0.00")&amp;")"))</f>
        <v/>
      </c>
      <c r="H263">
        <f>IF($W263="","",SUMIFS(상세표[기록 시간외],상세표[사번키],INDEX(합계표[사번키],$W263),상세표[기록월],대상월키,상세표[반영월],"&lt;&gt;"&amp;대상월키))</f>
        <v/>
      </c>
      <c r="I263">
        <f>IF($W263="","",SUMIFS(상세표[기록 시간외],상세표[사번키],INDEX(합계표[사번키],$W263),상세표[기록월],"&lt;&gt;"&amp;대상월키,상세표[반영월],대상월키))</f>
        <v/>
      </c>
      <c r="J263">
        <f>IF($W263="","",SUMIFS(상세표[기록 시간외],상세표[사번키],INDEX(합계표[사번키],$W263),상세표[반영월],대상월키))</f>
        <v/>
      </c>
      <c r="K263">
        <f>IF($W263="","",IFERROR(INDEX(월별근무지표[적용 급여병원],MATCH(INDEX(합계표[사번키],$W263)&amp;"|"&amp;대상월키,월별근무지표[키],0))&amp;"",IF(COUNTIF(기관표[사번키],INDEX(합계표[사번키],$W263))+COUNTIF(월별근무지표[사번키],INDEX(합계표[사번키],$W263))&gt;0,IFERROR(INDEX(기관표[급여지급병원(기준월)],MATCH(INDEX(합계표[사번키],$W263)&amp;"|"&amp;대상월키,기관표[키],0))&amp;"","—"),"—")))</f>
        <v/>
      </c>
      <c r="L263">
        <f>IF($W263="","",IF(NOT(COUNTIF(기관표[사번키],INDEX(합계표[사번키],$W263))+COUNTIF(월별근무지표[사번키],INDEX(합계표[사번키],$W263))&gt;0),"기관명단에 없음(다른 병원으로 발송)",IF($K263="—","대상월 기관명단 없음(추가 필요)",IF($K263="서울병원","해당","비해당"))))</f>
        <v/>
      </c>
      <c r="M263">
        <f>IF($W263="","",SUMIFS(상세표[06~07시],상세표[사번키],INDEX(합계표[사번키],$W263),상세표[반영월],대상월키,상세표[반영 기관],"서울병원"))</f>
        <v/>
      </c>
      <c r="N263">
        <f>IF($W263="","",SUMIFS(상세표[07~18시],상세표[사번키],INDEX(합계표[사번키],$W263),상세표[반영월],대상월키,상세표[반영 기관],"서울병원"))</f>
        <v/>
      </c>
      <c r="O263">
        <f>IF($W263="","",SUMIFS(상세표[18~22시],상세표[사번키],INDEX(합계표[사번키],$W263),상세표[반영월],대상월키,상세표[반영 기관],"서울병원"))</f>
        <v/>
      </c>
      <c r="P263">
        <f>IF($W263="","",SUMIFS(상세표[22~06시],상세표[사번키],INDEX(합계표[사번키],$W263),상세표[반영월],대상월키,상세표[반영 기관],"서울병원"))</f>
        <v/>
      </c>
      <c r="Q263">
        <f>IF($W263="","",SUM($M263:$P263))</f>
        <v/>
      </c>
      <c r="R263">
        <f>IF($W263="","",COUNTIFS(상세표[사번키],INDEX(합계표[사번키],$W263),상세표[반영월],대상월키,상세표[야간당직],1,상세표[야간 구분],"평일"))</f>
        <v/>
      </c>
      <c r="S263" s="4">
        <f>IF($W263="","",COUNTIFS(상세표[사번키],INDEX(합계표[사번키],$W263),상세표[반영월],대상월키,상세표[야간당직],1,상세표[야간 구분],"휴일"))</f>
        <v/>
      </c>
      <c r="T263">
        <f>IF($W263="","",COUNTIFS(상세표[사번키],INDEX(합계표[사번키],$W263),상세표[반영월],대상월키,상세표[야간당직],1,상세표[야간 구분],"평일",상세표[반영 기관],"서울병원"))</f>
        <v/>
      </c>
      <c r="U263">
        <f>IF($W263="","",COUNTIFS(상세표[사번키],INDEX(합계표[사번키],$W263),상세표[반영월],대상월키,상세표[야간당직],1,상세표[야간 구분],"휴일",상세표[반영 기관],"서울병원"))</f>
        <v/>
      </c>
      <c r="V263">
        <f>IF($W263="","",IF(ISNUMBER(MATCH(INDEX(합계표[사번키],$W263)&amp;"|"&amp;대상월키,월별근무지표[키],0)),"직접 입력",IF($K263="—","—","기관명단")))</f>
        <v/>
      </c>
      <c r="W263">
        <f>IFERROR(MATCH(258,합계표[판정순번],0),"")</f>
        <v/>
      </c>
      <c r="Y263">
        <f>IF($AB263="","",INDEX(상세표[사번],$AB263)&amp;"")</f>
        <v/>
      </c>
      <c r="Z263">
        <f>IF($AB263="","",INDEX(상세표[성명],$AB263)&amp;"")</f>
        <v/>
      </c>
      <c r="AA263">
        <f>IF($AB263="","",SUMIFS(상세표[기록 시간외],상세표[사번키],INDEX(상세표[사번키],$AB263),상세표[반영월],대상월키))</f>
        <v/>
      </c>
      <c r="AB263" s="4">
        <f>IFERROR(MATCH(258,상세표[합계없음순번],0),"")</f>
        <v/>
      </c>
    </row>
    <row r="264">
      <c r="A264">
        <f>IF($W264="","",INDEX(합계표[사번],$W264)&amp;"")</f>
        <v/>
      </c>
      <c r="B264">
        <f>IF($W264="","",INDEX(합계표[성명],$W264)&amp;"")</f>
        <v/>
      </c>
      <c r="C264">
        <f>IF($W264="","",INDEX(합계표[부서],$W264)&amp;"")</f>
        <v/>
      </c>
      <c r="D264">
        <f>IF($W264="","",INDEX(합계표[직위(통합)],$W264)&amp;"")</f>
        <v/>
      </c>
      <c r="E264">
        <f>IF($W264="","",SUMIFS(합계표[시스템 합계],합계표[사번키],INDEX(합계표[사번키],$W264)))</f>
        <v/>
      </c>
      <c r="F264">
        <f>IF($W264="","",SUMIFS(상세표[기록 시간외],상세표[사번키],INDEX(합계표[사번키],$W264),상세표[기록월],대상월키))</f>
        <v/>
      </c>
      <c r="G264">
        <f>IF($W264="","",IF(ABS($E264-$F264)&lt;0.01,"일치","불일치(차이 "&amp;TEXT($F264-$E264,"0.00")&amp;")"))</f>
        <v/>
      </c>
      <c r="H264">
        <f>IF($W264="","",SUMIFS(상세표[기록 시간외],상세표[사번키],INDEX(합계표[사번키],$W264),상세표[기록월],대상월키,상세표[반영월],"&lt;&gt;"&amp;대상월키))</f>
        <v/>
      </c>
      <c r="I264">
        <f>IF($W264="","",SUMIFS(상세표[기록 시간외],상세표[사번키],INDEX(합계표[사번키],$W264),상세표[기록월],"&lt;&gt;"&amp;대상월키,상세표[반영월],대상월키))</f>
        <v/>
      </c>
      <c r="J264">
        <f>IF($W264="","",SUMIFS(상세표[기록 시간외],상세표[사번키],INDEX(합계표[사번키],$W264),상세표[반영월],대상월키))</f>
        <v/>
      </c>
      <c r="K264">
        <f>IF($W264="","",IFERROR(INDEX(월별근무지표[적용 급여병원],MATCH(INDEX(합계표[사번키],$W264)&amp;"|"&amp;대상월키,월별근무지표[키],0))&amp;"",IF(COUNTIF(기관표[사번키],INDEX(합계표[사번키],$W264))+COUNTIF(월별근무지표[사번키],INDEX(합계표[사번키],$W264))&gt;0,IFERROR(INDEX(기관표[급여지급병원(기준월)],MATCH(INDEX(합계표[사번키],$W264)&amp;"|"&amp;대상월키,기관표[키],0))&amp;"","—"),"—")))</f>
        <v/>
      </c>
      <c r="L264">
        <f>IF($W264="","",IF(NOT(COUNTIF(기관표[사번키],INDEX(합계표[사번키],$W264))+COUNTIF(월별근무지표[사번키],INDEX(합계표[사번키],$W264))&gt;0),"기관명단에 없음(다른 병원으로 발송)",IF($K264="—","대상월 기관명단 없음(추가 필요)",IF($K264="서울병원","해당","비해당"))))</f>
        <v/>
      </c>
      <c r="M264">
        <f>IF($W264="","",SUMIFS(상세표[06~07시],상세표[사번키],INDEX(합계표[사번키],$W264),상세표[반영월],대상월키,상세표[반영 기관],"서울병원"))</f>
        <v/>
      </c>
      <c r="N264">
        <f>IF($W264="","",SUMIFS(상세표[07~18시],상세표[사번키],INDEX(합계표[사번키],$W264),상세표[반영월],대상월키,상세표[반영 기관],"서울병원"))</f>
        <v/>
      </c>
      <c r="O264">
        <f>IF($W264="","",SUMIFS(상세표[18~22시],상세표[사번키],INDEX(합계표[사번키],$W264),상세표[반영월],대상월키,상세표[반영 기관],"서울병원"))</f>
        <v/>
      </c>
      <c r="P264">
        <f>IF($W264="","",SUMIFS(상세표[22~06시],상세표[사번키],INDEX(합계표[사번키],$W264),상세표[반영월],대상월키,상세표[반영 기관],"서울병원"))</f>
        <v/>
      </c>
      <c r="Q264">
        <f>IF($W264="","",SUM($M264:$P264))</f>
        <v/>
      </c>
      <c r="R264">
        <f>IF($W264="","",COUNTIFS(상세표[사번키],INDEX(합계표[사번키],$W264),상세표[반영월],대상월키,상세표[야간당직],1,상세표[야간 구분],"평일"))</f>
        <v/>
      </c>
      <c r="S264" s="4">
        <f>IF($W264="","",COUNTIFS(상세표[사번키],INDEX(합계표[사번키],$W264),상세표[반영월],대상월키,상세표[야간당직],1,상세표[야간 구분],"휴일"))</f>
        <v/>
      </c>
      <c r="T264">
        <f>IF($W264="","",COUNTIFS(상세표[사번키],INDEX(합계표[사번키],$W264),상세표[반영월],대상월키,상세표[야간당직],1,상세표[야간 구분],"평일",상세표[반영 기관],"서울병원"))</f>
        <v/>
      </c>
      <c r="U264">
        <f>IF($W264="","",COUNTIFS(상세표[사번키],INDEX(합계표[사번키],$W264),상세표[반영월],대상월키,상세표[야간당직],1,상세표[야간 구분],"휴일",상세표[반영 기관],"서울병원"))</f>
        <v/>
      </c>
      <c r="V264">
        <f>IF($W264="","",IF(ISNUMBER(MATCH(INDEX(합계표[사번키],$W264)&amp;"|"&amp;대상월키,월별근무지표[키],0)),"직접 입력",IF($K264="—","—","기관명단")))</f>
        <v/>
      </c>
      <c r="W264">
        <f>IFERROR(MATCH(259,합계표[판정순번],0),"")</f>
        <v/>
      </c>
      <c r="Y264">
        <f>IF($AB264="","",INDEX(상세표[사번],$AB264)&amp;"")</f>
        <v/>
      </c>
      <c r="Z264">
        <f>IF($AB264="","",INDEX(상세표[성명],$AB264)&amp;"")</f>
        <v/>
      </c>
      <c r="AA264">
        <f>IF($AB264="","",SUMIFS(상세표[기록 시간외],상세표[사번키],INDEX(상세표[사번키],$AB264),상세표[반영월],대상월키))</f>
        <v/>
      </c>
      <c r="AB264" s="4">
        <f>IFERROR(MATCH(259,상세표[합계없음순번],0),"")</f>
        <v/>
      </c>
    </row>
    <row r="265">
      <c r="A265">
        <f>IF($W265="","",INDEX(합계표[사번],$W265)&amp;"")</f>
        <v/>
      </c>
      <c r="B265">
        <f>IF($W265="","",INDEX(합계표[성명],$W265)&amp;"")</f>
        <v/>
      </c>
      <c r="C265">
        <f>IF($W265="","",INDEX(합계표[부서],$W265)&amp;"")</f>
        <v/>
      </c>
      <c r="D265">
        <f>IF($W265="","",INDEX(합계표[직위(통합)],$W265)&amp;"")</f>
        <v/>
      </c>
      <c r="E265">
        <f>IF($W265="","",SUMIFS(합계표[시스템 합계],합계표[사번키],INDEX(합계표[사번키],$W265)))</f>
        <v/>
      </c>
      <c r="F265">
        <f>IF($W265="","",SUMIFS(상세표[기록 시간외],상세표[사번키],INDEX(합계표[사번키],$W265),상세표[기록월],대상월키))</f>
        <v/>
      </c>
      <c r="G265">
        <f>IF($W265="","",IF(ABS($E265-$F265)&lt;0.01,"일치","불일치(차이 "&amp;TEXT($F265-$E265,"0.00")&amp;")"))</f>
        <v/>
      </c>
      <c r="H265">
        <f>IF($W265="","",SUMIFS(상세표[기록 시간외],상세표[사번키],INDEX(합계표[사번키],$W265),상세표[기록월],대상월키,상세표[반영월],"&lt;&gt;"&amp;대상월키))</f>
        <v/>
      </c>
      <c r="I265">
        <f>IF($W265="","",SUMIFS(상세표[기록 시간외],상세표[사번키],INDEX(합계표[사번키],$W265),상세표[기록월],"&lt;&gt;"&amp;대상월키,상세표[반영월],대상월키))</f>
        <v/>
      </c>
      <c r="J265">
        <f>IF($W265="","",SUMIFS(상세표[기록 시간외],상세표[사번키],INDEX(합계표[사번키],$W265),상세표[반영월],대상월키))</f>
        <v/>
      </c>
      <c r="K265">
        <f>IF($W265="","",IFERROR(INDEX(월별근무지표[적용 급여병원],MATCH(INDEX(합계표[사번키],$W265)&amp;"|"&amp;대상월키,월별근무지표[키],0))&amp;"",IF(COUNTIF(기관표[사번키],INDEX(합계표[사번키],$W265))+COUNTIF(월별근무지표[사번키],INDEX(합계표[사번키],$W265))&gt;0,IFERROR(INDEX(기관표[급여지급병원(기준월)],MATCH(INDEX(합계표[사번키],$W265)&amp;"|"&amp;대상월키,기관표[키],0))&amp;"","—"),"—")))</f>
        <v/>
      </c>
      <c r="L265">
        <f>IF($W265="","",IF(NOT(COUNTIF(기관표[사번키],INDEX(합계표[사번키],$W265))+COUNTIF(월별근무지표[사번키],INDEX(합계표[사번키],$W265))&gt;0),"기관명단에 없음(다른 병원으로 발송)",IF($K265="—","대상월 기관명단 없음(추가 필요)",IF($K265="서울병원","해당","비해당"))))</f>
        <v/>
      </c>
      <c r="M265">
        <f>IF($W265="","",SUMIFS(상세표[06~07시],상세표[사번키],INDEX(합계표[사번키],$W265),상세표[반영월],대상월키,상세표[반영 기관],"서울병원"))</f>
        <v/>
      </c>
      <c r="N265">
        <f>IF($W265="","",SUMIFS(상세표[07~18시],상세표[사번키],INDEX(합계표[사번키],$W265),상세표[반영월],대상월키,상세표[반영 기관],"서울병원"))</f>
        <v/>
      </c>
      <c r="O265">
        <f>IF($W265="","",SUMIFS(상세표[18~22시],상세표[사번키],INDEX(합계표[사번키],$W265),상세표[반영월],대상월키,상세표[반영 기관],"서울병원"))</f>
        <v/>
      </c>
      <c r="P265">
        <f>IF($W265="","",SUMIFS(상세표[22~06시],상세표[사번키],INDEX(합계표[사번키],$W265),상세표[반영월],대상월키,상세표[반영 기관],"서울병원"))</f>
        <v/>
      </c>
      <c r="Q265">
        <f>IF($W265="","",SUM($M265:$P265))</f>
        <v/>
      </c>
      <c r="R265">
        <f>IF($W265="","",COUNTIFS(상세표[사번키],INDEX(합계표[사번키],$W265),상세표[반영월],대상월키,상세표[야간당직],1,상세표[야간 구분],"평일"))</f>
        <v/>
      </c>
      <c r="S265" s="4">
        <f>IF($W265="","",COUNTIFS(상세표[사번키],INDEX(합계표[사번키],$W265),상세표[반영월],대상월키,상세표[야간당직],1,상세표[야간 구분],"휴일"))</f>
        <v/>
      </c>
      <c r="T265">
        <f>IF($W265="","",COUNTIFS(상세표[사번키],INDEX(합계표[사번키],$W265),상세표[반영월],대상월키,상세표[야간당직],1,상세표[야간 구분],"평일",상세표[반영 기관],"서울병원"))</f>
        <v/>
      </c>
      <c r="U265">
        <f>IF($W265="","",COUNTIFS(상세표[사번키],INDEX(합계표[사번키],$W265),상세표[반영월],대상월키,상세표[야간당직],1,상세표[야간 구분],"휴일",상세표[반영 기관],"서울병원"))</f>
        <v/>
      </c>
      <c r="V265">
        <f>IF($W265="","",IF(ISNUMBER(MATCH(INDEX(합계표[사번키],$W265)&amp;"|"&amp;대상월키,월별근무지표[키],0)),"직접 입력",IF($K265="—","—","기관명단")))</f>
        <v/>
      </c>
      <c r="W265">
        <f>IFERROR(MATCH(260,합계표[판정순번],0),"")</f>
        <v/>
      </c>
      <c r="Y265">
        <f>IF($AB265="","",INDEX(상세표[사번],$AB265)&amp;"")</f>
        <v/>
      </c>
      <c r="Z265">
        <f>IF($AB265="","",INDEX(상세표[성명],$AB265)&amp;"")</f>
        <v/>
      </c>
      <c r="AA265">
        <f>IF($AB265="","",SUMIFS(상세표[기록 시간외],상세표[사번키],INDEX(상세표[사번키],$AB265),상세표[반영월],대상월키))</f>
        <v/>
      </c>
      <c r="AB265" s="4">
        <f>IFERROR(MATCH(260,상세표[합계없음순번],0),"")</f>
        <v/>
      </c>
    </row>
    <row r="266">
      <c r="A266">
        <f>IF($W266="","",INDEX(합계표[사번],$W266)&amp;"")</f>
        <v/>
      </c>
      <c r="B266">
        <f>IF($W266="","",INDEX(합계표[성명],$W266)&amp;"")</f>
        <v/>
      </c>
      <c r="C266">
        <f>IF($W266="","",INDEX(합계표[부서],$W266)&amp;"")</f>
        <v/>
      </c>
      <c r="D266">
        <f>IF($W266="","",INDEX(합계표[직위(통합)],$W266)&amp;"")</f>
        <v/>
      </c>
      <c r="E266">
        <f>IF($W266="","",SUMIFS(합계표[시스템 합계],합계표[사번키],INDEX(합계표[사번키],$W266)))</f>
        <v/>
      </c>
      <c r="F266">
        <f>IF($W266="","",SUMIFS(상세표[기록 시간외],상세표[사번키],INDEX(합계표[사번키],$W266),상세표[기록월],대상월키))</f>
        <v/>
      </c>
      <c r="G266">
        <f>IF($W266="","",IF(ABS($E266-$F266)&lt;0.01,"일치","불일치(차이 "&amp;TEXT($F266-$E266,"0.00")&amp;")"))</f>
        <v/>
      </c>
      <c r="H266">
        <f>IF($W266="","",SUMIFS(상세표[기록 시간외],상세표[사번키],INDEX(합계표[사번키],$W266),상세표[기록월],대상월키,상세표[반영월],"&lt;&gt;"&amp;대상월키))</f>
        <v/>
      </c>
      <c r="I266">
        <f>IF($W266="","",SUMIFS(상세표[기록 시간외],상세표[사번키],INDEX(합계표[사번키],$W266),상세표[기록월],"&lt;&gt;"&amp;대상월키,상세표[반영월],대상월키))</f>
        <v/>
      </c>
      <c r="J266">
        <f>IF($W266="","",SUMIFS(상세표[기록 시간외],상세표[사번키],INDEX(합계표[사번키],$W266),상세표[반영월],대상월키))</f>
        <v/>
      </c>
      <c r="K266">
        <f>IF($W266="","",IFERROR(INDEX(월별근무지표[적용 급여병원],MATCH(INDEX(합계표[사번키],$W266)&amp;"|"&amp;대상월키,월별근무지표[키],0))&amp;"",IF(COUNTIF(기관표[사번키],INDEX(합계표[사번키],$W266))+COUNTIF(월별근무지표[사번키],INDEX(합계표[사번키],$W266))&gt;0,IFERROR(INDEX(기관표[급여지급병원(기준월)],MATCH(INDEX(합계표[사번키],$W266)&amp;"|"&amp;대상월키,기관표[키],0))&amp;"","—"),"—")))</f>
        <v/>
      </c>
      <c r="L266">
        <f>IF($W266="","",IF(NOT(COUNTIF(기관표[사번키],INDEX(합계표[사번키],$W266))+COUNTIF(월별근무지표[사번키],INDEX(합계표[사번키],$W266))&gt;0),"기관명단에 없음(다른 병원으로 발송)",IF($K266="—","대상월 기관명단 없음(추가 필요)",IF($K266="서울병원","해당","비해당"))))</f>
        <v/>
      </c>
      <c r="M266">
        <f>IF($W266="","",SUMIFS(상세표[06~07시],상세표[사번키],INDEX(합계표[사번키],$W266),상세표[반영월],대상월키,상세표[반영 기관],"서울병원"))</f>
        <v/>
      </c>
      <c r="N266">
        <f>IF($W266="","",SUMIFS(상세표[07~18시],상세표[사번키],INDEX(합계표[사번키],$W266),상세표[반영월],대상월키,상세표[반영 기관],"서울병원"))</f>
        <v/>
      </c>
      <c r="O266">
        <f>IF($W266="","",SUMIFS(상세표[18~22시],상세표[사번키],INDEX(합계표[사번키],$W266),상세표[반영월],대상월키,상세표[반영 기관],"서울병원"))</f>
        <v/>
      </c>
      <c r="P266">
        <f>IF($W266="","",SUMIFS(상세표[22~06시],상세표[사번키],INDEX(합계표[사번키],$W266),상세표[반영월],대상월키,상세표[반영 기관],"서울병원"))</f>
        <v/>
      </c>
      <c r="Q266">
        <f>IF($W266="","",SUM($M266:$P266))</f>
        <v/>
      </c>
      <c r="R266">
        <f>IF($W266="","",COUNTIFS(상세표[사번키],INDEX(합계표[사번키],$W266),상세표[반영월],대상월키,상세표[야간당직],1,상세표[야간 구분],"평일"))</f>
        <v/>
      </c>
      <c r="S266" s="4">
        <f>IF($W266="","",COUNTIFS(상세표[사번키],INDEX(합계표[사번키],$W266),상세표[반영월],대상월키,상세표[야간당직],1,상세표[야간 구분],"휴일"))</f>
        <v/>
      </c>
      <c r="T266">
        <f>IF($W266="","",COUNTIFS(상세표[사번키],INDEX(합계표[사번키],$W266),상세표[반영월],대상월키,상세표[야간당직],1,상세표[야간 구분],"평일",상세표[반영 기관],"서울병원"))</f>
        <v/>
      </c>
      <c r="U266">
        <f>IF($W266="","",COUNTIFS(상세표[사번키],INDEX(합계표[사번키],$W266),상세표[반영월],대상월키,상세표[야간당직],1,상세표[야간 구분],"휴일",상세표[반영 기관],"서울병원"))</f>
        <v/>
      </c>
      <c r="V266">
        <f>IF($W266="","",IF(ISNUMBER(MATCH(INDEX(합계표[사번키],$W266)&amp;"|"&amp;대상월키,월별근무지표[키],0)),"직접 입력",IF($K266="—","—","기관명단")))</f>
        <v/>
      </c>
      <c r="W266">
        <f>IFERROR(MATCH(261,합계표[판정순번],0),"")</f>
        <v/>
      </c>
      <c r="Y266">
        <f>IF($AB266="","",INDEX(상세표[사번],$AB266)&amp;"")</f>
        <v/>
      </c>
      <c r="Z266">
        <f>IF($AB266="","",INDEX(상세표[성명],$AB266)&amp;"")</f>
        <v/>
      </c>
      <c r="AA266">
        <f>IF($AB266="","",SUMIFS(상세표[기록 시간외],상세표[사번키],INDEX(상세표[사번키],$AB266),상세표[반영월],대상월키))</f>
        <v/>
      </c>
      <c r="AB266" s="4">
        <f>IFERROR(MATCH(261,상세표[합계없음순번],0),"")</f>
        <v/>
      </c>
    </row>
    <row r="267">
      <c r="A267">
        <f>IF($W267="","",INDEX(합계표[사번],$W267)&amp;"")</f>
        <v/>
      </c>
      <c r="B267">
        <f>IF($W267="","",INDEX(합계표[성명],$W267)&amp;"")</f>
        <v/>
      </c>
      <c r="C267">
        <f>IF($W267="","",INDEX(합계표[부서],$W267)&amp;"")</f>
        <v/>
      </c>
      <c r="D267">
        <f>IF($W267="","",INDEX(합계표[직위(통합)],$W267)&amp;"")</f>
        <v/>
      </c>
      <c r="E267">
        <f>IF($W267="","",SUMIFS(합계표[시스템 합계],합계표[사번키],INDEX(합계표[사번키],$W267)))</f>
        <v/>
      </c>
      <c r="F267">
        <f>IF($W267="","",SUMIFS(상세표[기록 시간외],상세표[사번키],INDEX(합계표[사번키],$W267),상세표[기록월],대상월키))</f>
        <v/>
      </c>
      <c r="G267">
        <f>IF($W267="","",IF(ABS($E267-$F267)&lt;0.01,"일치","불일치(차이 "&amp;TEXT($F267-$E267,"0.00")&amp;")"))</f>
        <v/>
      </c>
      <c r="H267">
        <f>IF($W267="","",SUMIFS(상세표[기록 시간외],상세표[사번키],INDEX(합계표[사번키],$W267),상세표[기록월],대상월키,상세표[반영월],"&lt;&gt;"&amp;대상월키))</f>
        <v/>
      </c>
      <c r="I267">
        <f>IF($W267="","",SUMIFS(상세표[기록 시간외],상세표[사번키],INDEX(합계표[사번키],$W267),상세표[기록월],"&lt;&gt;"&amp;대상월키,상세표[반영월],대상월키))</f>
        <v/>
      </c>
      <c r="J267">
        <f>IF($W267="","",SUMIFS(상세표[기록 시간외],상세표[사번키],INDEX(합계표[사번키],$W267),상세표[반영월],대상월키))</f>
        <v/>
      </c>
      <c r="K267">
        <f>IF($W267="","",IFERROR(INDEX(월별근무지표[적용 급여병원],MATCH(INDEX(합계표[사번키],$W267)&amp;"|"&amp;대상월키,월별근무지표[키],0))&amp;"",IF(COUNTIF(기관표[사번키],INDEX(합계표[사번키],$W267))+COUNTIF(월별근무지표[사번키],INDEX(합계표[사번키],$W267))&gt;0,IFERROR(INDEX(기관표[급여지급병원(기준월)],MATCH(INDEX(합계표[사번키],$W267)&amp;"|"&amp;대상월키,기관표[키],0))&amp;"","—"),"—")))</f>
        <v/>
      </c>
      <c r="L267">
        <f>IF($W267="","",IF(NOT(COUNTIF(기관표[사번키],INDEX(합계표[사번키],$W267))+COUNTIF(월별근무지표[사번키],INDEX(합계표[사번키],$W267))&gt;0),"기관명단에 없음(다른 병원으로 발송)",IF($K267="—","대상월 기관명단 없음(추가 필요)",IF($K267="서울병원","해당","비해당"))))</f>
        <v/>
      </c>
      <c r="M267">
        <f>IF($W267="","",SUMIFS(상세표[06~07시],상세표[사번키],INDEX(합계표[사번키],$W267),상세표[반영월],대상월키,상세표[반영 기관],"서울병원"))</f>
        <v/>
      </c>
      <c r="N267">
        <f>IF($W267="","",SUMIFS(상세표[07~18시],상세표[사번키],INDEX(합계표[사번키],$W267),상세표[반영월],대상월키,상세표[반영 기관],"서울병원"))</f>
        <v/>
      </c>
      <c r="O267">
        <f>IF($W267="","",SUMIFS(상세표[18~22시],상세표[사번키],INDEX(합계표[사번키],$W267),상세표[반영월],대상월키,상세표[반영 기관],"서울병원"))</f>
        <v/>
      </c>
      <c r="P267">
        <f>IF($W267="","",SUMIFS(상세표[22~06시],상세표[사번키],INDEX(합계표[사번키],$W267),상세표[반영월],대상월키,상세표[반영 기관],"서울병원"))</f>
        <v/>
      </c>
      <c r="Q267">
        <f>IF($W267="","",SUM($M267:$P267))</f>
        <v/>
      </c>
      <c r="R267">
        <f>IF($W267="","",COUNTIFS(상세표[사번키],INDEX(합계표[사번키],$W267),상세표[반영월],대상월키,상세표[야간당직],1,상세표[야간 구분],"평일"))</f>
        <v/>
      </c>
      <c r="S267" s="4">
        <f>IF($W267="","",COUNTIFS(상세표[사번키],INDEX(합계표[사번키],$W267),상세표[반영월],대상월키,상세표[야간당직],1,상세표[야간 구분],"휴일"))</f>
        <v/>
      </c>
      <c r="T267">
        <f>IF($W267="","",COUNTIFS(상세표[사번키],INDEX(합계표[사번키],$W267),상세표[반영월],대상월키,상세표[야간당직],1,상세표[야간 구분],"평일",상세표[반영 기관],"서울병원"))</f>
        <v/>
      </c>
      <c r="U267">
        <f>IF($W267="","",COUNTIFS(상세표[사번키],INDEX(합계표[사번키],$W267),상세표[반영월],대상월키,상세표[야간당직],1,상세표[야간 구분],"휴일",상세표[반영 기관],"서울병원"))</f>
        <v/>
      </c>
      <c r="V267">
        <f>IF($W267="","",IF(ISNUMBER(MATCH(INDEX(합계표[사번키],$W267)&amp;"|"&amp;대상월키,월별근무지표[키],0)),"직접 입력",IF($K267="—","—","기관명단")))</f>
        <v/>
      </c>
      <c r="W267">
        <f>IFERROR(MATCH(262,합계표[판정순번],0),"")</f>
        <v/>
      </c>
      <c r="Y267">
        <f>IF($AB267="","",INDEX(상세표[사번],$AB267)&amp;"")</f>
        <v/>
      </c>
      <c r="Z267">
        <f>IF($AB267="","",INDEX(상세표[성명],$AB267)&amp;"")</f>
        <v/>
      </c>
      <c r="AA267">
        <f>IF($AB267="","",SUMIFS(상세표[기록 시간외],상세표[사번키],INDEX(상세표[사번키],$AB267),상세표[반영월],대상월키))</f>
        <v/>
      </c>
      <c r="AB267" s="4">
        <f>IFERROR(MATCH(262,상세표[합계없음순번],0),"")</f>
        <v/>
      </c>
    </row>
    <row r="268">
      <c r="A268">
        <f>IF($W268="","",INDEX(합계표[사번],$W268)&amp;"")</f>
        <v/>
      </c>
      <c r="B268">
        <f>IF($W268="","",INDEX(합계표[성명],$W268)&amp;"")</f>
        <v/>
      </c>
      <c r="C268">
        <f>IF($W268="","",INDEX(합계표[부서],$W268)&amp;"")</f>
        <v/>
      </c>
      <c r="D268">
        <f>IF($W268="","",INDEX(합계표[직위(통합)],$W268)&amp;"")</f>
        <v/>
      </c>
      <c r="E268">
        <f>IF($W268="","",SUMIFS(합계표[시스템 합계],합계표[사번키],INDEX(합계표[사번키],$W268)))</f>
        <v/>
      </c>
      <c r="F268">
        <f>IF($W268="","",SUMIFS(상세표[기록 시간외],상세표[사번키],INDEX(합계표[사번키],$W268),상세표[기록월],대상월키))</f>
        <v/>
      </c>
      <c r="G268">
        <f>IF($W268="","",IF(ABS($E268-$F268)&lt;0.01,"일치","불일치(차이 "&amp;TEXT($F268-$E268,"0.00")&amp;")"))</f>
        <v/>
      </c>
      <c r="H268">
        <f>IF($W268="","",SUMIFS(상세표[기록 시간외],상세표[사번키],INDEX(합계표[사번키],$W268),상세표[기록월],대상월키,상세표[반영월],"&lt;&gt;"&amp;대상월키))</f>
        <v/>
      </c>
      <c r="I268">
        <f>IF($W268="","",SUMIFS(상세표[기록 시간외],상세표[사번키],INDEX(합계표[사번키],$W268),상세표[기록월],"&lt;&gt;"&amp;대상월키,상세표[반영월],대상월키))</f>
        <v/>
      </c>
      <c r="J268">
        <f>IF($W268="","",SUMIFS(상세표[기록 시간외],상세표[사번키],INDEX(합계표[사번키],$W268),상세표[반영월],대상월키))</f>
        <v/>
      </c>
      <c r="K268">
        <f>IF($W268="","",IFERROR(INDEX(월별근무지표[적용 급여병원],MATCH(INDEX(합계표[사번키],$W268)&amp;"|"&amp;대상월키,월별근무지표[키],0))&amp;"",IF(COUNTIF(기관표[사번키],INDEX(합계표[사번키],$W268))+COUNTIF(월별근무지표[사번키],INDEX(합계표[사번키],$W268))&gt;0,IFERROR(INDEX(기관표[급여지급병원(기준월)],MATCH(INDEX(합계표[사번키],$W268)&amp;"|"&amp;대상월키,기관표[키],0))&amp;"","—"),"—")))</f>
        <v/>
      </c>
      <c r="L268">
        <f>IF($W268="","",IF(NOT(COUNTIF(기관표[사번키],INDEX(합계표[사번키],$W268))+COUNTIF(월별근무지표[사번키],INDEX(합계표[사번키],$W268))&gt;0),"기관명단에 없음(다른 병원으로 발송)",IF($K268="—","대상월 기관명단 없음(추가 필요)",IF($K268="서울병원","해당","비해당"))))</f>
        <v/>
      </c>
      <c r="M268">
        <f>IF($W268="","",SUMIFS(상세표[06~07시],상세표[사번키],INDEX(합계표[사번키],$W268),상세표[반영월],대상월키,상세표[반영 기관],"서울병원"))</f>
        <v/>
      </c>
      <c r="N268">
        <f>IF($W268="","",SUMIFS(상세표[07~18시],상세표[사번키],INDEX(합계표[사번키],$W268),상세표[반영월],대상월키,상세표[반영 기관],"서울병원"))</f>
        <v/>
      </c>
      <c r="O268">
        <f>IF($W268="","",SUMIFS(상세표[18~22시],상세표[사번키],INDEX(합계표[사번키],$W268),상세표[반영월],대상월키,상세표[반영 기관],"서울병원"))</f>
        <v/>
      </c>
      <c r="P268">
        <f>IF($W268="","",SUMIFS(상세표[22~06시],상세표[사번키],INDEX(합계표[사번키],$W268),상세표[반영월],대상월키,상세표[반영 기관],"서울병원"))</f>
        <v/>
      </c>
      <c r="Q268">
        <f>IF($W268="","",SUM($M268:$P268))</f>
        <v/>
      </c>
      <c r="R268">
        <f>IF($W268="","",COUNTIFS(상세표[사번키],INDEX(합계표[사번키],$W268),상세표[반영월],대상월키,상세표[야간당직],1,상세표[야간 구분],"평일"))</f>
        <v/>
      </c>
      <c r="S268" s="4">
        <f>IF($W268="","",COUNTIFS(상세표[사번키],INDEX(합계표[사번키],$W268),상세표[반영월],대상월키,상세표[야간당직],1,상세표[야간 구분],"휴일"))</f>
        <v/>
      </c>
      <c r="T268">
        <f>IF($W268="","",COUNTIFS(상세표[사번키],INDEX(합계표[사번키],$W268),상세표[반영월],대상월키,상세표[야간당직],1,상세표[야간 구분],"평일",상세표[반영 기관],"서울병원"))</f>
        <v/>
      </c>
      <c r="U268">
        <f>IF($W268="","",COUNTIFS(상세표[사번키],INDEX(합계표[사번키],$W268),상세표[반영월],대상월키,상세표[야간당직],1,상세표[야간 구분],"휴일",상세표[반영 기관],"서울병원"))</f>
        <v/>
      </c>
      <c r="V268">
        <f>IF($W268="","",IF(ISNUMBER(MATCH(INDEX(합계표[사번키],$W268)&amp;"|"&amp;대상월키,월별근무지표[키],0)),"직접 입력",IF($K268="—","—","기관명단")))</f>
        <v/>
      </c>
      <c r="W268">
        <f>IFERROR(MATCH(263,합계표[판정순번],0),"")</f>
        <v/>
      </c>
      <c r="Y268">
        <f>IF($AB268="","",INDEX(상세표[사번],$AB268)&amp;"")</f>
        <v/>
      </c>
      <c r="Z268">
        <f>IF($AB268="","",INDEX(상세표[성명],$AB268)&amp;"")</f>
        <v/>
      </c>
      <c r="AA268">
        <f>IF($AB268="","",SUMIFS(상세표[기록 시간외],상세표[사번키],INDEX(상세표[사번키],$AB268),상세표[반영월],대상월키))</f>
        <v/>
      </c>
      <c r="AB268" s="4">
        <f>IFERROR(MATCH(263,상세표[합계없음순번],0),"")</f>
        <v/>
      </c>
    </row>
    <row r="269">
      <c r="A269">
        <f>IF($W269="","",INDEX(합계표[사번],$W269)&amp;"")</f>
        <v/>
      </c>
      <c r="B269">
        <f>IF($W269="","",INDEX(합계표[성명],$W269)&amp;"")</f>
        <v/>
      </c>
      <c r="C269">
        <f>IF($W269="","",INDEX(합계표[부서],$W269)&amp;"")</f>
        <v/>
      </c>
      <c r="D269">
        <f>IF($W269="","",INDEX(합계표[직위(통합)],$W269)&amp;"")</f>
        <v/>
      </c>
      <c r="E269">
        <f>IF($W269="","",SUMIFS(합계표[시스템 합계],합계표[사번키],INDEX(합계표[사번키],$W269)))</f>
        <v/>
      </c>
      <c r="F269">
        <f>IF($W269="","",SUMIFS(상세표[기록 시간외],상세표[사번키],INDEX(합계표[사번키],$W269),상세표[기록월],대상월키))</f>
        <v/>
      </c>
      <c r="G269">
        <f>IF($W269="","",IF(ABS($E269-$F269)&lt;0.01,"일치","불일치(차이 "&amp;TEXT($F269-$E269,"0.00")&amp;")"))</f>
        <v/>
      </c>
      <c r="H269">
        <f>IF($W269="","",SUMIFS(상세표[기록 시간외],상세표[사번키],INDEX(합계표[사번키],$W269),상세표[기록월],대상월키,상세표[반영월],"&lt;&gt;"&amp;대상월키))</f>
        <v/>
      </c>
      <c r="I269">
        <f>IF($W269="","",SUMIFS(상세표[기록 시간외],상세표[사번키],INDEX(합계표[사번키],$W269),상세표[기록월],"&lt;&gt;"&amp;대상월키,상세표[반영월],대상월키))</f>
        <v/>
      </c>
      <c r="J269">
        <f>IF($W269="","",SUMIFS(상세표[기록 시간외],상세표[사번키],INDEX(합계표[사번키],$W269),상세표[반영월],대상월키))</f>
        <v/>
      </c>
      <c r="K269">
        <f>IF($W269="","",IFERROR(INDEX(월별근무지표[적용 급여병원],MATCH(INDEX(합계표[사번키],$W269)&amp;"|"&amp;대상월키,월별근무지표[키],0))&amp;"",IF(COUNTIF(기관표[사번키],INDEX(합계표[사번키],$W269))+COUNTIF(월별근무지표[사번키],INDEX(합계표[사번키],$W269))&gt;0,IFERROR(INDEX(기관표[급여지급병원(기준월)],MATCH(INDEX(합계표[사번키],$W269)&amp;"|"&amp;대상월키,기관표[키],0))&amp;"","—"),"—")))</f>
        <v/>
      </c>
      <c r="L269">
        <f>IF($W269="","",IF(NOT(COUNTIF(기관표[사번키],INDEX(합계표[사번키],$W269))+COUNTIF(월별근무지표[사번키],INDEX(합계표[사번키],$W269))&gt;0),"기관명단에 없음(다른 병원으로 발송)",IF($K269="—","대상월 기관명단 없음(추가 필요)",IF($K269="서울병원","해당","비해당"))))</f>
        <v/>
      </c>
      <c r="M269">
        <f>IF($W269="","",SUMIFS(상세표[06~07시],상세표[사번키],INDEX(합계표[사번키],$W269),상세표[반영월],대상월키,상세표[반영 기관],"서울병원"))</f>
        <v/>
      </c>
      <c r="N269">
        <f>IF($W269="","",SUMIFS(상세표[07~18시],상세표[사번키],INDEX(합계표[사번키],$W269),상세표[반영월],대상월키,상세표[반영 기관],"서울병원"))</f>
        <v/>
      </c>
      <c r="O269">
        <f>IF($W269="","",SUMIFS(상세표[18~22시],상세표[사번키],INDEX(합계표[사번키],$W269),상세표[반영월],대상월키,상세표[반영 기관],"서울병원"))</f>
        <v/>
      </c>
      <c r="P269">
        <f>IF($W269="","",SUMIFS(상세표[22~06시],상세표[사번키],INDEX(합계표[사번키],$W269),상세표[반영월],대상월키,상세표[반영 기관],"서울병원"))</f>
        <v/>
      </c>
      <c r="Q269">
        <f>IF($W269="","",SUM($M269:$P269))</f>
        <v/>
      </c>
      <c r="R269">
        <f>IF($W269="","",COUNTIFS(상세표[사번키],INDEX(합계표[사번키],$W269),상세표[반영월],대상월키,상세표[야간당직],1,상세표[야간 구분],"평일"))</f>
        <v/>
      </c>
      <c r="S269" s="4">
        <f>IF($W269="","",COUNTIFS(상세표[사번키],INDEX(합계표[사번키],$W269),상세표[반영월],대상월키,상세표[야간당직],1,상세표[야간 구분],"휴일"))</f>
        <v/>
      </c>
      <c r="T269">
        <f>IF($W269="","",COUNTIFS(상세표[사번키],INDEX(합계표[사번키],$W269),상세표[반영월],대상월키,상세표[야간당직],1,상세표[야간 구분],"평일",상세표[반영 기관],"서울병원"))</f>
        <v/>
      </c>
      <c r="U269">
        <f>IF($W269="","",COUNTIFS(상세표[사번키],INDEX(합계표[사번키],$W269),상세표[반영월],대상월키,상세표[야간당직],1,상세표[야간 구분],"휴일",상세표[반영 기관],"서울병원"))</f>
        <v/>
      </c>
      <c r="V269">
        <f>IF($W269="","",IF(ISNUMBER(MATCH(INDEX(합계표[사번키],$W269)&amp;"|"&amp;대상월키,월별근무지표[키],0)),"직접 입력",IF($K269="—","—","기관명단")))</f>
        <v/>
      </c>
      <c r="W269">
        <f>IFERROR(MATCH(264,합계표[판정순번],0),"")</f>
        <v/>
      </c>
      <c r="Y269">
        <f>IF($AB269="","",INDEX(상세표[사번],$AB269)&amp;"")</f>
        <v/>
      </c>
      <c r="Z269">
        <f>IF($AB269="","",INDEX(상세표[성명],$AB269)&amp;"")</f>
        <v/>
      </c>
      <c r="AA269">
        <f>IF($AB269="","",SUMIFS(상세표[기록 시간외],상세표[사번키],INDEX(상세표[사번키],$AB269),상세표[반영월],대상월키))</f>
        <v/>
      </c>
      <c r="AB269" s="4">
        <f>IFERROR(MATCH(264,상세표[합계없음순번],0),"")</f>
        <v/>
      </c>
    </row>
    <row r="270">
      <c r="A270">
        <f>IF($W270="","",INDEX(합계표[사번],$W270)&amp;"")</f>
        <v/>
      </c>
      <c r="B270">
        <f>IF($W270="","",INDEX(합계표[성명],$W270)&amp;"")</f>
        <v/>
      </c>
      <c r="C270">
        <f>IF($W270="","",INDEX(합계표[부서],$W270)&amp;"")</f>
        <v/>
      </c>
      <c r="D270">
        <f>IF($W270="","",INDEX(합계표[직위(통합)],$W270)&amp;"")</f>
        <v/>
      </c>
      <c r="E270">
        <f>IF($W270="","",SUMIFS(합계표[시스템 합계],합계표[사번키],INDEX(합계표[사번키],$W270)))</f>
        <v/>
      </c>
      <c r="F270">
        <f>IF($W270="","",SUMIFS(상세표[기록 시간외],상세표[사번키],INDEX(합계표[사번키],$W270),상세표[기록월],대상월키))</f>
        <v/>
      </c>
      <c r="G270">
        <f>IF($W270="","",IF(ABS($E270-$F270)&lt;0.01,"일치","불일치(차이 "&amp;TEXT($F270-$E270,"0.00")&amp;")"))</f>
        <v/>
      </c>
      <c r="H270">
        <f>IF($W270="","",SUMIFS(상세표[기록 시간외],상세표[사번키],INDEX(합계표[사번키],$W270),상세표[기록월],대상월키,상세표[반영월],"&lt;&gt;"&amp;대상월키))</f>
        <v/>
      </c>
      <c r="I270">
        <f>IF($W270="","",SUMIFS(상세표[기록 시간외],상세표[사번키],INDEX(합계표[사번키],$W270),상세표[기록월],"&lt;&gt;"&amp;대상월키,상세표[반영월],대상월키))</f>
        <v/>
      </c>
      <c r="J270">
        <f>IF($W270="","",SUMIFS(상세표[기록 시간외],상세표[사번키],INDEX(합계표[사번키],$W270),상세표[반영월],대상월키))</f>
        <v/>
      </c>
      <c r="K270">
        <f>IF($W270="","",IFERROR(INDEX(월별근무지표[적용 급여병원],MATCH(INDEX(합계표[사번키],$W270)&amp;"|"&amp;대상월키,월별근무지표[키],0))&amp;"",IF(COUNTIF(기관표[사번키],INDEX(합계표[사번키],$W270))+COUNTIF(월별근무지표[사번키],INDEX(합계표[사번키],$W270))&gt;0,IFERROR(INDEX(기관표[급여지급병원(기준월)],MATCH(INDEX(합계표[사번키],$W270)&amp;"|"&amp;대상월키,기관표[키],0))&amp;"","—"),"—")))</f>
        <v/>
      </c>
      <c r="L270">
        <f>IF($W270="","",IF(NOT(COUNTIF(기관표[사번키],INDEX(합계표[사번키],$W270))+COUNTIF(월별근무지표[사번키],INDEX(합계표[사번키],$W270))&gt;0),"기관명단에 없음(다른 병원으로 발송)",IF($K270="—","대상월 기관명단 없음(추가 필요)",IF($K270="서울병원","해당","비해당"))))</f>
        <v/>
      </c>
      <c r="M270">
        <f>IF($W270="","",SUMIFS(상세표[06~07시],상세표[사번키],INDEX(합계표[사번키],$W270),상세표[반영월],대상월키,상세표[반영 기관],"서울병원"))</f>
        <v/>
      </c>
      <c r="N270">
        <f>IF($W270="","",SUMIFS(상세표[07~18시],상세표[사번키],INDEX(합계표[사번키],$W270),상세표[반영월],대상월키,상세표[반영 기관],"서울병원"))</f>
        <v/>
      </c>
      <c r="O270">
        <f>IF($W270="","",SUMIFS(상세표[18~22시],상세표[사번키],INDEX(합계표[사번키],$W270),상세표[반영월],대상월키,상세표[반영 기관],"서울병원"))</f>
        <v/>
      </c>
      <c r="P270">
        <f>IF($W270="","",SUMIFS(상세표[22~06시],상세표[사번키],INDEX(합계표[사번키],$W270),상세표[반영월],대상월키,상세표[반영 기관],"서울병원"))</f>
        <v/>
      </c>
      <c r="Q270">
        <f>IF($W270="","",SUM($M270:$P270))</f>
        <v/>
      </c>
      <c r="R270">
        <f>IF($W270="","",COUNTIFS(상세표[사번키],INDEX(합계표[사번키],$W270),상세표[반영월],대상월키,상세표[야간당직],1,상세표[야간 구분],"평일"))</f>
        <v/>
      </c>
      <c r="S270" s="4">
        <f>IF($W270="","",COUNTIFS(상세표[사번키],INDEX(합계표[사번키],$W270),상세표[반영월],대상월키,상세표[야간당직],1,상세표[야간 구분],"휴일"))</f>
        <v/>
      </c>
      <c r="T270">
        <f>IF($W270="","",COUNTIFS(상세표[사번키],INDEX(합계표[사번키],$W270),상세표[반영월],대상월키,상세표[야간당직],1,상세표[야간 구분],"평일",상세표[반영 기관],"서울병원"))</f>
        <v/>
      </c>
      <c r="U270">
        <f>IF($W270="","",COUNTIFS(상세표[사번키],INDEX(합계표[사번키],$W270),상세표[반영월],대상월키,상세표[야간당직],1,상세표[야간 구분],"휴일",상세표[반영 기관],"서울병원"))</f>
        <v/>
      </c>
      <c r="V270">
        <f>IF($W270="","",IF(ISNUMBER(MATCH(INDEX(합계표[사번키],$W270)&amp;"|"&amp;대상월키,월별근무지표[키],0)),"직접 입력",IF($K270="—","—","기관명단")))</f>
        <v/>
      </c>
      <c r="W270">
        <f>IFERROR(MATCH(265,합계표[판정순번],0),"")</f>
        <v/>
      </c>
      <c r="Y270">
        <f>IF($AB270="","",INDEX(상세표[사번],$AB270)&amp;"")</f>
        <v/>
      </c>
      <c r="Z270">
        <f>IF($AB270="","",INDEX(상세표[성명],$AB270)&amp;"")</f>
        <v/>
      </c>
      <c r="AA270">
        <f>IF($AB270="","",SUMIFS(상세표[기록 시간외],상세표[사번키],INDEX(상세표[사번키],$AB270),상세표[반영월],대상월키))</f>
        <v/>
      </c>
      <c r="AB270" s="4">
        <f>IFERROR(MATCH(265,상세표[합계없음순번],0),"")</f>
        <v/>
      </c>
    </row>
    <row r="271">
      <c r="A271">
        <f>IF($W271="","",INDEX(합계표[사번],$W271)&amp;"")</f>
        <v/>
      </c>
      <c r="B271">
        <f>IF($W271="","",INDEX(합계표[성명],$W271)&amp;"")</f>
        <v/>
      </c>
      <c r="C271">
        <f>IF($W271="","",INDEX(합계표[부서],$W271)&amp;"")</f>
        <v/>
      </c>
      <c r="D271">
        <f>IF($W271="","",INDEX(합계표[직위(통합)],$W271)&amp;"")</f>
        <v/>
      </c>
      <c r="E271">
        <f>IF($W271="","",SUMIFS(합계표[시스템 합계],합계표[사번키],INDEX(합계표[사번키],$W271)))</f>
        <v/>
      </c>
      <c r="F271">
        <f>IF($W271="","",SUMIFS(상세표[기록 시간외],상세표[사번키],INDEX(합계표[사번키],$W271),상세표[기록월],대상월키))</f>
        <v/>
      </c>
      <c r="G271">
        <f>IF($W271="","",IF(ABS($E271-$F271)&lt;0.01,"일치","불일치(차이 "&amp;TEXT($F271-$E271,"0.00")&amp;")"))</f>
        <v/>
      </c>
      <c r="H271">
        <f>IF($W271="","",SUMIFS(상세표[기록 시간외],상세표[사번키],INDEX(합계표[사번키],$W271),상세표[기록월],대상월키,상세표[반영월],"&lt;&gt;"&amp;대상월키))</f>
        <v/>
      </c>
      <c r="I271">
        <f>IF($W271="","",SUMIFS(상세표[기록 시간외],상세표[사번키],INDEX(합계표[사번키],$W271),상세표[기록월],"&lt;&gt;"&amp;대상월키,상세표[반영월],대상월키))</f>
        <v/>
      </c>
      <c r="J271">
        <f>IF($W271="","",SUMIFS(상세표[기록 시간외],상세표[사번키],INDEX(합계표[사번키],$W271),상세표[반영월],대상월키))</f>
        <v/>
      </c>
      <c r="K271">
        <f>IF($W271="","",IFERROR(INDEX(월별근무지표[적용 급여병원],MATCH(INDEX(합계표[사번키],$W271)&amp;"|"&amp;대상월키,월별근무지표[키],0))&amp;"",IF(COUNTIF(기관표[사번키],INDEX(합계표[사번키],$W271))+COUNTIF(월별근무지표[사번키],INDEX(합계표[사번키],$W271))&gt;0,IFERROR(INDEX(기관표[급여지급병원(기준월)],MATCH(INDEX(합계표[사번키],$W271)&amp;"|"&amp;대상월키,기관표[키],0))&amp;"","—"),"—")))</f>
        <v/>
      </c>
      <c r="L271">
        <f>IF($W271="","",IF(NOT(COUNTIF(기관표[사번키],INDEX(합계표[사번키],$W271))+COUNTIF(월별근무지표[사번키],INDEX(합계표[사번키],$W271))&gt;0),"기관명단에 없음(다른 병원으로 발송)",IF($K271="—","대상월 기관명단 없음(추가 필요)",IF($K271="서울병원","해당","비해당"))))</f>
        <v/>
      </c>
      <c r="M271">
        <f>IF($W271="","",SUMIFS(상세표[06~07시],상세표[사번키],INDEX(합계표[사번키],$W271),상세표[반영월],대상월키,상세표[반영 기관],"서울병원"))</f>
        <v/>
      </c>
      <c r="N271">
        <f>IF($W271="","",SUMIFS(상세표[07~18시],상세표[사번키],INDEX(합계표[사번키],$W271),상세표[반영월],대상월키,상세표[반영 기관],"서울병원"))</f>
        <v/>
      </c>
      <c r="O271">
        <f>IF($W271="","",SUMIFS(상세표[18~22시],상세표[사번키],INDEX(합계표[사번키],$W271),상세표[반영월],대상월키,상세표[반영 기관],"서울병원"))</f>
        <v/>
      </c>
      <c r="P271">
        <f>IF($W271="","",SUMIFS(상세표[22~06시],상세표[사번키],INDEX(합계표[사번키],$W271),상세표[반영월],대상월키,상세표[반영 기관],"서울병원"))</f>
        <v/>
      </c>
      <c r="Q271">
        <f>IF($W271="","",SUM($M271:$P271))</f>
        <v/>
      </c>
      <c r="R271">
        <f>IF($W271="","",COUNTIFS(상세표[사번키],INDEX(합계표[사번키],$W271),상세표[반영월],대상월키,상세표[야간당직],1,상세표[야간 구분],"평일"))</f>
        <v/>
      </c>
      <c r="S271" s="4">
        <f>IF($W271="","",COUNTIFS(상세표[사번키],INDEX(합계표[사번키],$W271),상세표[반영월],대상월키,상세표[야간당직],1,상세표[야간 구분],"휴일"))</f>
        <v/>
      </c>
      <c r="T271">
        <f>IF($W271="","",COUNTIFS(상세표[사번키],INDEX(합계표[사번키],$W271),상세표[반영월],대상월키,상세표[야간당직],1,상세표[야간 구분],"평일",상세표[반영 기관],"서울병원"))</f>
        <v/>
      </c>
      <c r="U271">
        <f>IF($W271="","",COUNTIFS(상세표[사번키],INDEX(합계표[사번키],$W271),상세표[반영월],대상월키,상세표[야간당직],1,상세표[야간 구분],"휴일",상세표[반영 기관],"서울병원"))</f>
        <v/>
      </c>
      <c r="V271">
        <f>IF($W271="","",IF(ISNUMBER(MATCH(INDEX(합계표[사번키],$W271)&amp;"|"&amp;대상월키,월별근무지표[키],0)),"직접 입력",IF($K271="—","—","기관명단")))</f>
        <v/>
      </c>
      <c r="W271">
        <f>IFERROR(MATCH(266,합계표[판정순번],0),"")</f>
        <v/>
      </c>
      <c r="Y271">
        <f>IF($AB271="","",INDEX(상세표[사번],$AB271)&amp;"")</f>
        <v/>
      </c>
      <c r="Z271">
        <f>IF($AB271="","",INDEX(상세표[성명],$AB271)&amp;"")</f>
        <v/>
      </c>
      <c r="AA271">
        <f>IF($AB271="","",SUMIFS(상세표[기록 시간외],상세표[사번키],INDEX(상세표[사번키],$AB271),상세표[반영월],대상월키))</f>
        <v/>
      </c>
      <c r="AB271" s="4">
        <f>IFERROR(MATCH(266,상세표[합계없음순번],0),"")</f>
        <v/>
      </c>
    </row>
    <row r="272">
      <c r="A272">
        <f>IF($W272="","",INDEX(합계표[사번],$W272)&amp;"")</f>
        <v/>
      </c>
      <c r="B272">
        <f>IF($W272="","",INDEX(합계표[성명],$W272)&amp;"")</f>
        <v/>
      </c>
      <c r="C272">
        <f>IF($W272="","",INDEX(합계표[부서],$W272)&amp;"")</f>
        <v/>
      </c>
      <c r="D272">
        <f>IF($W272="","",INDEX(합계표[직위(통합)],$W272)&amp;"")</f>
        <v/>
      </c>
      <c r="E272">
        <f>IF($W272="","",SUMIFS(합계표[시스템 합계],합계표[사번키],INDEX(합계표[사번키],$W272)))</f>
        <v/>
      </c>
      <c r="F272">
        <f>IF($W272="","",SUMIFS(상세표[기록 시간외],상세표[사번키],INDEX(합계표[사번키],$W272),상세표[기록월],대상월키))</f>
        <v/>
      </c>
      <c r="G272">
        <f>IF($W272="","",IF(ABS($E272-$F272)&lt;0.01,"일치","불일치(차이 "&amp;TEXT($F272-$E272,"0.00")&amp;")"))</f>
        <v/>
      </c>
      <c r="H272">
        <f>IF($W272="","",SUMIFS(상세표[기록 시간외],상세표[사번키],INDEX(합계표[사번키],$W272),상세표[기록월],대상월키,상세표[반영월],"&lt;&gt;"&amp;대상월키))</f>
        <v/>
      </c>
      <c r="I272">
        <f>IF($W272="","",SUMIFS(상세표[기록 시간외],상세표[사번키],INDEX(합계표[사번키],$W272),상세표[기록월],"&lt;&gt;"&amp;대상월키,상세표[반영월],대상월키))</f>
        <v/>
      </c>
      <c r="J272">
        <f>IF($W272="","",SUMIFS(상세표[기록 시간외],상세표[사번키],INDEX(합계표[사번키],$W272),상세표[반영월],대상월키))</f>
        <v/>
      </c>
      <c r="K272">
        <f>IF($W272="","",IFERROR(INDEX(월별근무지표[적용 급여병원],MATCH(INDEX(합계표[사번키],$W272)&amp;"|"&amp;대상월키,월별근무지표[키],0))&amp;"",IF(COUNTIF(기관표[사번키],INDEX(합계표[사번키],$W272))+COUNTIF(월별근무지표[사번키],INDEX(합계표[사번키],$W272))&gt;0,IFERROR(INDEX(기관표[급여지급병원(기준월)],MATCH(INDEX(합계표[사번키],$W272)&amp;"|"&amp;대상월키,기관표[키],0))&amp;"","—"),"—")))</f>
        <v/>
      </c>
      <c r="L272">
        <f>IF($W272="","",IF(NOT(COUNTIF(기관표[사번키],INDEX(합계표[사번키],$W272))+COUNTIF(월별근무지표[사번키],INDEX(합계표[사번키],$W272))&gt;0),"기관명단에 없음(다른 병원으로 발송)",IF($K272="—","대상월 기관명단 없음(추가 필요)",IF($K272="서울병원","해당","비해당"))))</f>
        <v/>
      </c>
      <c r="M272">
        <f>IF($W272="","",SUMIFS(상세표[06~07시],상세표[사번키],INDEX(합계표[사번키],$W272),상세표[반영월],대상월키,상세표[반영 기관],"서울병원"))</f>
        <v/>
      </c>
      <c r="N272">
        <f>IF($W272="","",SUMIFS(상세표[07~18시],상세표[사번키],INDEX(합계표[사번키],$W272),상세표[반영월],대상월키,상세표[반영 기관],"서울병원"))</f>
        <v/>
      </c>
      <c r="O272">
        <f>IF($W272="","",SUMIFS(상세표[18~22시],상세표[사번키],INDEX(합계표[사번키],$W272),상세표[반영월],대상월키,상세표[반영 기관],"서울병원"))</f>
        <v/>
      </c>
      <c r="P272">
        <f>IF($W272="","",SUMIFS(상세표[22~06시],상세표[사번키],INDEX(합계표[사번키],$W272),상세표[반영월],대상월키,상세표[반영 기관],"서울병원"))</f>
        <v/>
      </c>
      <c r="Q272">
        <f>IF($W272="","",SUM($M272:$P272))</f>
        <v/>
      </c>
      <c r="R272">
        <f>IF($W272="","",COUNTIFS(상세표[사번키],INDEX(합계표[사번키],$W272),상세표[반영월],대상월키,상세표[야간당직],1,상세표[야간 구분],"평일"))</f>
        <v/>
      </c>
      <c r="S272" s="4">
        <f>IF($W272="","",COUNTIFS(상세표[사번키],INDEX(합계표[사번키],$W272),상세표[반영월],대상월키,상세표[야간당직],1,상세표[야간 구분],"휴일"))</f>
        <v/>
      </c>
      <c r="T272">
        <f>IF($W272="","",COUNTIFS(상세표[사번키],INDEX(합계표[사번키],$W272),상세표[반영월],대상월키,상세표[야간당직],1,상세표[야간 구분],"평일",상세표[반영 기관],"서울병원"))</f>
        <v/>
      </c>
      <c r="U272">
        <f>IF($W272="","",COUNTIFS(상세표[사번키],INDEX(합계표[사번키],$W272),상세표[반영월],대상월키,상세표[야간당직],1,상세표[야간 구분],"휴일",상세표[반영 기관],"서울병원"))</f>
        <v/>
      </c>
      <c r="V272">
        <f>IF($W272="","",IF(ISNUMBER(MATCH(INDEX(합계표[사번키],$W272)&amp;"|"&amp;대상월키,월별근무지표[키],0)),"직접 입력",IF($K272="—","—","기관명단")))</f>
        <v/>
      </c>
      <c r="W272">
        <f>IFERROR(MATCH(267,합계표[판정순번],0),"")</f>
        <v/>
      </c>
      <c r="Y272">
        <f>IF($AB272="","",INDEX(상세표[사번],$AB272)&amp;"")</f>
        <v/>
      </c>
      <c r="Z272">
        <f>IF($AB272="","",INDEX(상세표[성명],$AB272)&amp;"")</f>
        <v/>
      </c>
      <c r="AA272">
        <f>IF($AB272="","",SUMIFS(상세표[기록 시간외],상세표[사번키],INDEX(상세표[사번키],$AB272),상세표[반영월],대상월키))</f>
        <v/>
      </c>
      <c r="AB272" s="4">
        <f>IFERROR(MATCH(267,상세표[합계없음순번],0),"")</f>
        <v/>
      </c>
    </row>
    <row r="273">
      <c r="A273">
        <f>IF($W273="","",INDEX(합계표[사번],$W273)&amp;"")</f>
        <v/>
      </c>
      <c r="B273">
        <f>IF($W273="","",INDEX(합계표[성명],$W273)&amp;"")</f>
        <v/>
      </c>
      <c r="C273">
        <f>IF($W273="","",INDEX(합계표[부서],$W273)&amp;"")</f>
        <v/>
      </c>
      <c r="D273">
        <f>IF($W273="","",INDEX(합계표[직위(통합)],$W273)&amp;"")</f>
        <v/>
      </c>
      <c r="E273">
        <f>IF($W273="","",SUMIFS(합계표[시스템 합계],합계표[사번키],INDEX(합계표[사번키],$W273)))</f>
        <v/>
      </c>
      <c r="F273">
        <f>IF($W273="","",SUMIFS(상세표[기록 시간외],상세표[사번키],INDEX(합계표[사번키],$W273),상세표[기록월],대상월키))</f>
        <v/>
      </c>
      <c r="G273">
        <f>IF($W273="","",IF(ABS($E273-$F273)&lt;0.01,"일치","불일치(차이 "&amp;TEXT($F273-$E273,"0.00")&amp;")"))</f>
        <v/>
      </c>
      <c r="H273">
        <f>IF($W273="","",SUMIFS(상세표[기록 시간외],상세표[사번키],INDEX(합계표[사번키],$W273),상세표[기록월],대상월키,상세표[반영월],"&lt;&gt;"&amp;대상월키))</f>
        <v/>
      </c>
      <c r="I273">
        <f>IF($W273="","",SUMIFS(상세표[기록 시간외],상세표[사번키],INDEX(합계표[사번키],$W273),상세표[기록월],"&lt;&gt;"&amp;대상월키,상세표[반영월],대상월키))</f>
        <v/>
      </c>
      <c r="J273">
        <f>IF($W273="","",SUMIFS(상세표[기록 시간외],상세표[사번키],INDEX(합계표[사번키],$W273),상세표[반영월],대상월키))</f>
        <v/>
      </c>
      <c r="K273">
        <f>IF($W273="","",IFERROR(INDEX(월별근무지표[적용 급여병원],MATCH(INDEX(합계표[사번키],$W273)&amp;"|"&amp;대상월키,월별근무지표[키],0))&amp;"",IF(COUNTIF(기관표[사번키],INDEX(합계표[사번키],$W273))+COUNTIF(월별근무지표[사번키],INDEX(합계표[사번키],$W273))&gt;0,IFERROR(INDEX(기관표[급여지급병원(기준월)],MATCH(INDEX(합계표[사번키],$W273)&amp;"|"&amp;대상월키,기관표[키],0))&amp;"","—"),"—")))</f>
        <v/>
      </c>
      <c r="L273">
        <f>IF($W273="","",IF(NOT(COUNTIF(기관표[사번키],INDEX(합계표[사번키],$W273))+COUNTIF(월별근무지표[사번키],INDEX(합계표[사번키],$W273))&gt;0),"기관명단에 없음(다른 병원으로 발송)",IF($K273="—","대상월 기관명단 없음(추가 필요)",IF($K273="서울병원","해당","비해당"))))</f>
        <v/>
      </c>
      <c r="M273">
        <f>IF($W273="","",SUMIFS(상세표[06~07시],상세표[사번키],INDEX(합계표[사번키],$W273),상세표[반영월],대상월키,상세표[반영 기관],"서울병원"))</f>
        <v/>
      </c>
      <c r="N273">
        <f>IF($W273="","",SUMIFS(상세표[07~18시],상세표[사번키],INDEX(합계표[사번키],$W273),상세표[반영월],대상월키,상세표[반영 기관],"서울병원"))</f>
        <v/>
      </c>
      <c r="O273">
        <f>IF($W273="","",SUMIFS(상세표[18~22시],상세표[사번키],INDEX(합계표[사번키],$W273),상세표[반영월],대상월키,상세표[반영 기관],"서울병원"))</f>
        <v/>
      </c>
      <c r="P273">
        <f>IF($W273="","",SUMIFS(상세표[22~06시],상세표[사번키],INDEX(합계표[사번키],$W273),상세표[반영월],대상월키,상세표[반영 기관],"서울병원"))</f>
        <v/>
      </c>
      <c r="Q273">
        <f>IF($W273="","",SUM($M273:$P273))</f>
        <v/>
      </c>
      <c r="R273">
        <f>IF($W273="","",COUNTIFS(상세표[사번키],INDEX(합계표[사번키],$W273),상세표[반영월],대상월키,상세표[야간당직],1,상세표[야간 구분],"평일"))</f>
        <v/>
      </c>
      <c r="S273" s="4">
        <f>IF($W273="","",COUNTIFS(상세표[사번키],INDEX(합계표[사번키],$W273),상세표[반영월],대상월키,상세표[야간당직],1,상세표[야간 구분],"휴일"))</f>
        <v/>
      </c>
      <c r="T273">
        <f>IF($W273="","",COUNTIFS(상세표[사번키],INDEX(합계표[사번키],$W273),상세표[반영월],대상월키,상세표[야간당직],1,상세표[야간 구분],"평일",상세표[반영 기관],"서울병원"))</f>
        <v/>
      </c>
      <c r="U273">
        <f>IF($W273="","",COUNTIFS(상세표[사번키],INDEX(합계표[사번키],$W273),상세표[반영월],대상월키,상세표[야간당직],1,상세표[야간 구분],"휴일",상세표[반영 기관],"서울병원"))</f>
        <v/>
      </c>
      <c r="V273">
        <f>IF($W273="","",IF(ISNUMBER(MATCH(INDEX(합계표[사번키],$W273)&amp;"|"&amp;대상월키,월별근무지표[키],0)),"직접 입력",IF($K273="—","—","기관명단")))</f>
        <v/>
      </c>
      <c r="W273">
        <f>IFERROR(MATCH(268,합계표[판정순번],0),"")</f>
        <v/>
      </c>
      <c r="Y273">
        <f>IF($AB273="","",INDEX(상세표[사번],$AB273)&amp;"")</f>
        <v/>
      </c>
      <c r="Z273">
        <f>IF($AB273="","",INDEX(상세표[성명],$AB273)&amp;"")</f>
        <v/>
      </c>
      <c r="AA273">
        <f>IF($AB273="","",SUMIFS(상세표[기록 시간외],상세표[사번키],INDEX(상세표[사번키],$AB273),상세표[반영월],대상월키))</f>
        <v/>
      </c>
      <c r="AB273" s="4">
        <f>IFERROR(MATCH(268,상세표[합계없음순번],0),"")</f>
        <v/>
      </c>
    </row>
    <row r="274">
      <c r="A274">
        <f>IF($W274="","",INDEX(합계표[사번],$W274)&amp;"")</f>
        <v/>
      </c>
      <c r="B274">
        <f>IF($W274="","",INDEX(합계표[성명],$W274)&amp;"")</f>
        <v/>
      </c>
      <c r="C274">
        <f>IF($W274="","",INDEX(합계표[부서],$W274)&amp;"")</f>
        <v/>
      </c>
      <c r="D274">
        <f>IF($W274="","",INDEX(합계표[직위(통합)],$W274)&amp;"")</f>
        <v/>
      </c>
      <c r="E274">
        <f>IF($W274="","",SUMIFS(합계표[시스템 합계],합계표[사번키],INDEX(합계표[사번키],$W274)))</f>
        <v/>
      </c>
      <c r="F274">
        <f>IF($W274="","",SUMIFS(상세표[기록 시간외],상세표[사번키],INDEX(합계표[사번키],$W274),상세표[기록월],대상월키))</f>
        <v/>
      </c>
      <c r="G274">
        <f>IF($W274="","",IF(ABS($E274-$F274)&lt;0.01,"일치","불일치(차이 "&amp;TEXT($F274-$E274,"0.00")&amp;")"))</f>
        <v/>
      </c>
      <c r="H274">
        <f>IF($W274="","",SUMIFS(상세표[기록 시간외],상세표[사번키],INDEX(합계표[사번키],$W274),상세표[기록월],대상월키,상세표[반영월],"&lt;&gt;"&amp;대상월키))</f>
        <v/>
      </c>
      <c r="I274">
        <f>IF($W274="","",SUMIFS(상세표[기록 시간외],상세표[사번키],INDEX(합계표[사번키],$W274),상세표[기록월],"&lt;&gt;"&amp;대상월키,상세표[반영월],대상월키))</f>
        <v/>
      </c>
      <c r="J274">
        <f>IF($W274="","",SUMIFS(상세표[기록 시간외],상세표[사번키],INDEX(합계표[사번키],$W274),상세표[반영월],대상월키))</f>
        <v/>
      </c>
      <c r="K274">
        <f>IF($W274="","",IFERROR(INDEX(월별근무지표[적용 급여병원],MATCH(INDEX(합계표[사번키],$W274)&amp;"|"&amp;대상월키,월별근무지표[키],0))&amp;"",IF(COUNTIF(기관표[사번키],INDEX(합계표[사번키],$W274))+COUNTIF(월별근무지표[사번키],INDEX(합계표[사번키],$W274))&gt;0,IFERROR(INDEX(기관표[급여지급병원(기준월)],MATCH(INDEX(합계표[사번키],$W274)&amp;"|"&amp;대상월키,기관표[키],0))&amp;"","—"),"—")))</f>
        <v/>
      </c>
      <c r="L274">
        <f>IF($W274="","",IF(NOT(COUNTIF(기관표[사번키],INDEX(합계표[사번키],$W274))+COUNTIF(월별근무지표[사번키],INDEX(합계표[사번키],$W274))&gt;0),"기관명단에 없음(다른 병원으로 발송)",IF($K274="—","대상월 기관명단 없음(추가 필요)",IF($K274="서울병원","해당","비해당"))))</f>
        <v/>
      </c>
      <c r="M274">
        <f>IF($W274="","",SUMIFS(상세표[06~07시],상세표[사번키],INDEX(합계표[사번키],$W274),상세표[반영월],대상월키,상세표[반영 기관],"서울병원"))</f>
        <v/>
      </c>
      <c r="N274">
        <f>IF($W274="","",SUMIFS(상세표[07~18시],상세표[사번키],INDEX(합계표[사번키],$W274),상세표[반영월],대상월키,상세표[반영 기관],"서울병원"))</f>
        <v/>
      </c>
      <c r="O274">
        <f>IF($W274="","",SUMIFS(상세표[18~22시],상세표[사번키],INDEX(합계표[사번키],$W274),상세표[반영월],대상월키,상세표[반영 기관],"서울병원"))</f>
        <v/>
      </c>
      <c r="P274">
        <f>IF($W274="","",SUMIFS(상세표[22~06시],상세표[사번키],INDEX(합계표[사번키],$W274),상세표[반영월],대상월키,상세표[반영 기관],"서울병원"))</f>
        <v/>
      </c>
      <c r="Q274">
        <f>IF($W274="","",SUM($M274:$P274))</f>
        <v/>
      </c>
      <c r="R274">
        <f>IF($W274="","",COUNTIFS(상세표[사번키],INDEX(합계표[사번키],$W274),상세표[반영월],대상월키,상세표[야간당직],1,상세표[야간 구분],"평일"))</f>
        <v/>
      </c>
      <c r="S274" s="4">
        <f>IF($W274="","",COUNTIFS(상세표[사번키],INDEX(합계표[사번키],$W274),상세표[반영월],대상월키,상세표[야간당직],1,상세표[야간 구분],"휴일"))</f>
        <v/>
      </c>
      <c r="T274">
        <f>IF($W274="","",COUNTIFS(상세표[사번키],INDEX(합계표[사번키],$W274),상세표[반영월],대상월키,상세표[야간당직],1,상세표[야간 구분],"평일",상세표[반영 기관],"서울병원"))</f>
        <v/>
      </c>
      <c r="U274">
        <f>IF($W274="","",COUNTIFS(상세표[사번키],INDEX(합계표[사번키],$W274),상세표[반영월],대상월키,상세표[야간당직],1,상세표[야간 구분],"휴일",상세표[반영 기관],"서울병원"))</f>
        <v/>
      </c>
      <c r="V274">
        <f>IF($W274="","",IF(ISNUMBER(MATCH(INDEX(합계표[사번키],$W274)&amp;"|"&amp;대상월키,월별근무지표[키],0)),"직접 입력",IF($K274="—","—","기관명단")))</f>
        <v/>
      </c>
      <c r="W274">
        <f>IFERROR(MATCH(269,합계표[판정순번],0),"")</f>
        <v/>
      </c>
      <c r="Y274">
        <f>IF($AB274="","",INDEX(상세표[사번],$AB274)&amp;"")</f>
        <v/>
      </c>
      <c r="Z274">
        <f>IF($AB274="","",INDEX(상세표[성명],$AB274)&amp;"")</f>
        <v/>
      </c>
      <c r="AA274">
        <f>IF($AB274="","",SUMIFS(상세표[기록 시간외],상세표[사번키],INDEX(상세표[사번키],$AB274),상세표[반영월],대상월키))</f>
        <v/>
      </c>
      <c r="AB274" s="4">
        <f>IFERROR(MATCH(269,상세표[합계없음순번],0),"")</f>
        <v/>
      </c>
    </row>
    <row r="275">
      <c r="A275">
        <f>IF($W275="","",INDEX(합계표[사번],$W275)&amp;"")</f>
        <v/>
      </c>
      <c r="B275">
        <f>IF($W275="","",INDEX(합계표[성명],$W275)&amp;"")</f>
        <v/>
      </c>
      <c r="C275">
        <f>IF($W275="","",INDEX(합계표[부서],$W275)&amp;"")</f>
        <v/>
      </c>
      <c r="D275">
        <f>IF($W275="","",INDEX(합계표[직위(통합)],$W275)&amp;"")</f>
        <v/>
      </c>
      <c r="E275">
        <f>IF($W275="","",SUMIFS(합계표[시스템 합계],합계표[사번키],INDEX(합계표[사번키],$W275)))</f>
        <v/>
      </c>
      <c r="F275">
        <f>IF($W275="","",SUMIFS(상세표[기록 시간외],상세표[사번키],INDEX(합계표[사번키],$W275),상세표[기록월],대상월키))</f>
        <v/>
      </c>
      <c r="G275">
        <f>IF($W275="","",IF(ABS($E275-$F275)&lt;0.01,"일치","불일치(차이 "&amp;TEXT($F275-$E275,"0.00")&amp;")"))</f>
        <v/>
      </c>
      <c r="H275">
        <f>IF($W275="","",SUMIFS(상세표[기록 시간외],상세표[사번키],INDEX(합계표[사번키],$W275),상세표[기록월],대상월키,상세표[반영월],"&lt;&gt;"&amp;대상월키))</f>
        <v/>
      </c>
      <c r="I275">
        <f>IF($W275="","",SUMIFS(상세표[기록 시간외],상세표[사번키],INDEX(합계표[사번키],$W275),상세표[기록월],"&lt;&gt;"&amp;대상월키,상세표[반영월],대상월키))</f>
        <v/>
      </c>
      <c r="J275">
        <f>IF($W275="","",SUMIFS(상세표[기록 시간외],상세표[사번키],INDEX(합계표[사번키],$W275),상세표[반영월],대상월키))</f>
        <v/>
      </c>
      <c r="K275">
        <f>IF($W275="","",IFERROR(INDEX(월별근무지표[적용 급여병원],MATCH(INDEX(합계표[사번키],$W275)&amp;"|"&amp;대상월키,월별근무지표[키],0))&amp;"",IF(COUNTIF(기관표[사번키],INDEX(합계표[사번키],$W275))+COUNTIF(월별근무지표[사번키],INDEX(합계표[사번키],$W275))&gt;0,IFERROR(INDEX(기관표[급여지급병원(기준월)],MATCH(INDEX(합계표[사번키],$W275)&amp;"|"&amp;대상월키,기관표[키],0))&amp;"","—"),"—")))</f>
        <v/>
      </c>
      <c r="L275">
        <f>IF($W275="","",IF(NOT(COUNTIF(기관표[사번키],INDEX(합계표[사번키],$W275))+COUNTIF(월별근무지표[사번키],INDEX(합계표[사번키],$W275))&gt;0),"기관명단에 없음(다른 병원으로 발송)",IF($K275="—","대상월 기관명단 없음(추가 필요)",IF($K275="서울병원","해당","비해당"))))</f>
        <v/>
      </c>
      <c r="M275">
        <f>IF($W275="","",SUMIFS(상세표[06~07시],상세표[사번키],INDEX(합계표[사번키],$W275),상세표[반영월],대상월키,상세표[반영 기관],"서울병원"))</f>
        <v/>
      </c>
      <c r="N275">
        <f>IF($W275="","",SUMIFS(상세표[07~18시],상세표[사번키],INDEX(합계표[사번키],$W275),상세표[반영월],대상월키,상세표[반영 기관],"서울병원"))</f>
        <v/>
      </c>
      <c r="O275">
        <f>IF($W275="","",SUMIFS(상세표[18~22시],상세표[사번키],INDEX(합계표[사번키],$W275),상세표[반영월],대상월키,상세표[반영 기관],"서울병원"))</f>
        <v/>
      </c>
      <c r="P275">
        <f>IF($W275="","",SUMIFS(상세표[22~06시],상세표[사번키],INDEX(합계표[사번키],$W275),상세표[반영월],대상월키,상세표[반영 기관],"서울병원"))</f>
        <v/>
      </c>
      <c r="Q275">
        <f>IF($W275="","",SUM($M275:$P275))</f>
        <v/>
      </c>
      <c r="R275">
        <f>IF($W275="","",COUNTIFS(상세표[사번키],INDEX(합계표[사번키],$W275),상세표[반영월],대상월키,상세표[야간당직],1,상세표[야간 구분],"평일"))</f>
        <v/>
      </c>
      <c r="S275" s="4">
        <f>IF($W275="","",COUNTIFS(상세표[사번키],INDEX(합계표[사번키],$W275),상세표[반영월],대상월키,상세표[야간당직],1,상세표[야간 구분],"휴일"))</f>
        <v/>
      </c>
      <c r="T275">
        <f>IF($W275="","",COUNTIFS(상세표[사번키],INDEX(합계표[사번키],$W275),상세표[반영월],대상월키,상세표[야간당직],1,상세표[야간 구분],"평일",상세표[반영 기관],"서울병원"))</f>
        <v/>
      </c>
      <c r="U275">
        <f>IF($W275="","",COUNTIFS(상세표[사번키],INDEX(합계표[사번키],$W275),상세표[반영월],대상월키,상세표[야간당직],1,상세표[야간 구분],"휴일",상세표[반영 기관],"서울병원"))</f>
        <v/>
      </c>
      <c r="V275">
        <f>IF($W275="","",IF(ISNUMBER(MATCH(INDEX(합계표[사번키],$W275)&amp;"|"&amp;대상월키,월별근무지표[키],0)),"직접 입력",IF($K275="—","—","기관명단")))</f>
        <v/>
      </c>
      <c r="W275">
        <f>IFERROR(MATCH(270,합계표[판정순번],0),"")</f>
        <v/>
      </c>
      <c r="Y275">
        <f>IF($AB275="","",INDEX(상세표[사번],$AB275)&amp;"")</f>
        <v/>
      </c>
      <c r="Z275">
        <f>IF($AB275="","",INDEX(상세표[성명],$AB275)&amp;"")</f>
        <v/>
      </c>
      <c r="AA275">
        <f>IF($AB275="","",SUMIFS(상세표[기록 시간외],상세표[사번키],INDEX(상세표[사번키],$AB275),상세표[반영월],대상월키))</f>
        <v/>
      </c>
      <c r="AB275" s="4">
        <f>IFERROR(MATCH(270,상세표[합계없음순번],0),"")</f>
        <v/>
      </c>
    </row>
    <row r="276">
      <c r="A276">
        <f>IF($W276="","",INDEX(합계표[사번],$W276)&amp;"")</f>
        <v/>
      </c>
      <c r="B276">
        <f>IF($W276="","",INDEX(합계표[성명],$W276)&amp;"")</f>
        <v/>
      </c>
      <c r="C276">
        <f>IF($W276="","",INDEX(합계표[부서],$W276)&amp;"")</f>
        <v/>
      </c>
      <c r="D276">
        <f>IF($W276="","",INDEX(합계표[직위(통합)],$W276)&amp;"")</f>
        <v/>
      </c>
      <c r="E276">
        <f>IF($W276="","",SUMIFS(합계표[시스템 합계],합계표[사번키],INDEX(합계표[사번키],$W276)))</f>
        <v/>
      </c>
      <c r="F276">
        <f>IF($W276="","",SUMIFS(상세표[기록 시간외],상세표[사번키],INDEX(합계표[사번키],$W276),상세표[기록월],대상월키))</f>
        <v/>
      </c>
      <c r="G276">
        <f>IF($W276="","",IF(ABS($E276-$F276)&lt;0.01,"일치","불일치(차이 "&amp;TEXT($F276-$E276,"0.00")&amp;")"))</f>
        <v/>
      </c>
      <c r="H276">
        <f>IF($W276="","",SUMIFS(상세표[기록 시간외],상세표[사번키],INDEX(합계표[사번키],$W276),상세표[기록월],대상월키,상세표[반영월],"&lt;&gt;"&amp;대상월키))</f>
        <v/>
      </c>
      <c r="I276">
        <f>IF($W276="","",SUMIFS(상세표[기록 시간외],상세표[사번키],INDEX(합계표[사번키],$W276),상세표[기록월],"&lt;&gt;"&amp;대상월키,상세표[반영월],대상월키))</f>
        <v/>
      </c>
      <c r="J276">
        <f>IF($W276="","",SUMIFS(상세표[기록 시간외],상세표[사번키],INDEX(합계표[사번키],$W276),상세표[반영월],대상월키))</f>
        <v/>
      </c>
      <c r="K276">
        <f>IF($W276="","",IFERROR(INDEX(월별근무지표[적용 급여병원],MATCH(INDEX(합계표[사번키],$W276)&amp;"|"&amp;대상월키,월별근무지표[키],0))&amp;"",IF(COUNTIF(기관표[사번키],INDEX(합계표[사번키],$W276))+COUNTIF(월별근무지표[사번키],INDEX(합계표[사번키],$W276))&gt;0,IFERROR(INDEX(기관표[급여지급병원(기준월)],MATCH(INDEX(합계표[사번키],$W276)&amp;"|"&amp;대상월키,기관표[키],0))&amp;"","—"),"—")))</f>
        <v/>
      </c>
      <c r="L276">
        <f>IF($W276="","",IF(NOT(COUNTIF(기관표[사번키],INDEX(합계표[사번키],$W276))+COUNTIF(월별근무지표[사번키],INDEX(합계표[사번키],$W276))&gt;0),"기관명단에 없음(다른 병원으로 발송)",IF($K276="—","대상월 기관명단 없음(추가 필요)",IF($K276="서울병원","해당","비해당"))))</f>
        <v/>
      </c>
      <c r="M276">
        <f>IF($W276="","",SUMIFS(상세표[06~07시],상세표[사번키],INDEX(합계표[사번키],$W276),상세표[반영월],대상월키,상세표[반영 기관],"서울병원"))</f>
        <v/>
      </c>
      <c r="N276">
        <f>IF($W276="","",SUMIFS(상세표[07~18시],상세표[사번키],INDEX(합계표[사번키],$W276),상세표[반영월],대상월키,상세표[반영 기관],"서울병원"))</f>
        <v/>
      </c>
      <c r="O276">
        <f>IF($W276="","",SUMIFS(상세표[18~22시],상세표[사번키],INDEX(합계표[사번키],$W276),상세표[반영월],대상월키,상세표[반영 기관],"서울병원"))</f>
        <v/>
      </c>
      <c r="P276">
        <f>IF($W276="","",SUMIFS(상세표[22~06시],상세표[사번키],INDEX(합계표[사번키],$W276),상세표[반영월],대상월키,상세표[반영 기관],"서울병원"))</f>
        <v/>
      </c>
      <c r="Q276">
        <f>IF($W276="","",SUM($M276:$P276))</f>
        <v/>
      </c>
      <c r="R276">
        <f>IF($W276="","",COUNTIFS(상세표[사번키],INDEX(합계표[사번키],$W276),상세표[반영월],대상월키,상세표[야간당직],1,상세표[야간 구분],"평일"))</f>
        <v/>
      </c>
      <c r="S276" s="4">
        <f>IF($W276="","",COUNTIFS(상세표[사번키],INDEX(합계표[사번키],$W276),상세표[반영월],대상월키,상세표[야간당직],1,상세표[야간 구분],"휴일"))</f>
        <v/>
      </c>
      <c r="T276">
        <f>IF($W276="","",COUNTIFS(상세표[사번키],INDEX(합계표[사번키],$W276),상세표[반영월],대상월키,상세표[야간당직],1,상세표[야간 구분],"평일",상세표[반영 기관],"서울병원"))</f>
        <v/>
      </c>
      <c r="U276">
        <f>IF($W276="","",COUNTIFS(상세표[사번키],INDEX(합계표[사번키],$W276),상세표[반영월],대상월키,상세표[야간당직],1,상세표[야간 구분],"휴일",상세표[반영 기관],"서울병원"))</f>
        <v/>
      </c>
      <c r="V276">
        <f>IF($W276="","",IF(ISNUMBER(MATCH(INDEX(합계표[사번키],$W276)&amp;"|"&amp;대상월키,월별근무지표[키],0)),"직접 입력",IF($K276="—","—","기관명단")))</f>
        <v/>
      </c>
      <c r="W276">
        <f>IFERROR(MATCH(271,합계표[판정순번],0),"")</f>
        <v/>
      </c>
      <c r="Y276">
        <f>IF($AB276="","",INDEX(상세표[사번],$AB276)&amp;"")</f>
        <v/>
      </c>
      <c r="Z276">
        <f>IF($AB276="","",INDEX(상세표[성명],$AB276)&amp;"")</f>
        <v/>
      </c>
      <c r="AA276">
        <f>IF($AB276="","",SUMIFS(상세표[기록 시간외],상세표[사번키],INDEX(상세표[사번키],$AB276),상세표[반영월],대상월키))</f>
        <v/>
      </c>
      <c r="AB276" s="4">
        <f>IFERROR(MATCH(271,상세표[합계없음순번],0),"")</f>
        <v/>
      </c>
    </row>
    <row r="277">
      <c r="A277">
        <f>IF($W277="","",INDEX(합계표[사번],$W277)&amp;"")</f>
        <v/>
      </c>
      <c r="B277">
        <f>IF($W277="","",INDEX(합계표[성명],$W277)&amp;"")</f>
        <v/>
      </c>
      <c r="C277">
        <f>IF($W277="","",INDEX(합계표[부서],$W277)&amp;"")</f>
        <v/>
      </c>
      <c r="D277">
        <f>IF($W277="","",INDEX(합계표[직위(통합)],$W277)&amp;"")</f>
        <v/>
      </c>
      <c r="E277">
        <f>IF($W277="","",SUMIFS(합계표[시스템 합계],합계표[사번키],INDEX(합계표[사번키],$W277)))</f>
        <v/>
      </c>
      <c r="F277">
        <f>IF($W277="","",SUMIFS(상세표[기록 시간외],상세표[사번키],INDEX(합계표[사번키],$W277),상세표[기록월],대상월키))</f>
        <v/>
      </c>
      <c r="G277">
        <f>IF($W277="","",IF(ABS($E277-$F277)&lt;0.01,"일치","불일치(차이 "&amp;TEXT($F277-$E277,"0.00")&amp;")"))</f>
        <v/>
      </c>
      <c r="H277">
        <f>IF($W277="","",SUMIFS(상세표[기록 시간외],상세표[사번키],INDEX(합계표[사번키],$W277),상세표[기록월],대상월키,상세표[반영월],"&lt;&gt;"&amp;대상월키))</f>
        <v/>
      </c>
      <c r="I277">
        <f>IF($W277="","",SUMIFS(상세표[기록 시간외],상세표[사번키],INDEX(합계표[사번키],$W277),상세표[기록월],"&lt;&gt;"&amp;대상월키,상세표[반영월],대상월키))</f>
        <v/>
      </c>
      <c r="J277">
        <f>IF($W277="","",SUMIFS(상세표[기록 시간외],상세표[사번키],INDEX(합계표[사번키],$W277),상세표[반영월],대상월키))</f>
        <v/>
      </c>
      <c r="K277">
        <f>IF($W277="","",IFERROR(INDEX(월별근무지표[적용 급여병원],MATCH(INDEX(합계표[사번키],$W277)&amp;"|"&amp;대상월키,월별근무지표[키],0))&amp;"",IF(COUNTIF(기관표[사번키],INDEX(합계표[사번키],$W277))+COUNTIF(월별근무지표[사번키],INDEX(합계표[사번키],$W277))&gt;0,IFERROR(INDEX(기관표[급여지급병원(기준월)],MATCH(INDEX(합계표[사번키],$W277)&amp;"|"&amp;대상월키,기관표[키],0))&amp;"","—"),"—")))</f>
        <v/>
      </c>
      <c r="L277">
        <f>IF($W277="","",IF(NOT(COUNTIF(기관표[사번키],INDEX(합계표[사번키],$W277))+COUNTIF(월별근무지표[사번키],INDEX(합계표[사번키],$W277))&gt;0),"기관명단에 없음(다른 병원으로 발송)",IF($K277="—","대상월 기관명단 없음(추가 필요)",IF($K277="서울병원","해당","비해당"))))</f>
        <v/>
      </c>
      <c r="M277">
        <f>IF($W277="","",SUMIFS(상세표[06~07시],상세표[사번키],INDEX(합계표[사번키],$W277),상세표[반영월],대상월키,상세표[반영 기관],"서울병원"))</f>
        <v/>
      </c>
      <c r="N277">
        <f>IF($W277="","",SUMIFS(상세표[07~18시],상세표[사번키],INDEX(합계표[사번키],$W277),상세표[반영월],대상월키,상세표[반영 기관],"서울병원"))</f>
        <v/>
      </c>
      <c r="O277">
        <f>IF($W277="","",SUMIFS(상세표[18~22시],상세표[사번키],INDEX(합계표[사번키],$W277),상세표[반영월],대상월키,상세표[반영 기관],"서울병원"))</f>
        <v/>
      </c>
      <c r="P277">
        <f>IF($W277="","",SUMIFS(상세표[22~06시],상세표[사번키],INDEX(합계표[사번키],$W277),상세표[반영월],대상월키,상세표[반영 기관],"서울병원"))</f>
        <v/>
      </c>
      <c r="Q277">
        <f>IF($W277="","",SUM($M277:$P277))</f>
        <v/>
      </c>
      <c r="R277">
        <f>IF($W277="","",COUNTIFS(상세표[사번키],INDEX(합계표[사번키],$W277),상세표[반영월],대상월키,상세표[야간당직],1,상세표[야간 구분],"평일"))</f>
        <v/>
      </c>
      <c r="S277" s="4">
        <f>IF($W277="","",COUNTIFS(상세표[사번키],INDEX(합계표[사번키],$W277),상세표[반영월],대상월키,상세표[야간당직],1,상세표[야간 구분],"휴일"))</f>
        <v/>
      </c>
      <c r="T277">
        <f>IF($W277="","",COUNTIFS(상세표[사번키],INDEX(합계표[사번키],$W277),상세표[반영월],대상월키,상세표[야간당직],1,상세표[야간 구분],"평일",상세표[반영 기관],"서울병원"))</f>
        <v/>
      </c>
      <c r="U277">
        <f>IF($W277="","",COUNTIFS(상세표[사번키],INDEX(합계표[사번키],$W277),상세표[반영월],대상월키,상세표[야간당직],1,상세표[야간 구분],"휴일",상세표[반영 기관],"서울병원"))</f>
        <v/>
      </c>
      <c r="V277">
        <f>IF($W277="","",IF(ISNUMBER(MATCH(INDEX(합계표[사번키],$W277)&amp;"|"&amp;대상월키,월별근무지표[키],0)),"직접 입력",IF($K277="—","—","기관명단")))</f>
        <v/>
      </c>
      <c r="W277">
        <f>IFERROR(MATCH(272,합계표[판정순번],0),"")</f>
        <v/>
      </c>
      <c r="Y277">
        <f>IF($AB277="","",INDEX(상세표[사번],$AB277)&amp;"")</f>
        <v/>
      </c>
      <c r="Z277">
        <f>IF($AB277="","",INDEX(상세표[성명],$AB277)&amp;"")</f>
        <v/>
      </c>
      <c r="AA277">
        <f>IF($AB277="","",SUMIFS(상세표[기록 시간외],상세표[사번키],INDEX(상세표[사번키],$AB277),상세표[반영월],대상월키))</f>
        <v/>
      </c>
      <c r="AB277" s="4">
        <f>IFERROR(MATCH(272,상세표[합계없음순번],0),"")</f>
        <v/>
      </c>
    </row>
    <row r="278">
      <c r="A278">
        <f>IF($W278="","",INDEX(합계표[사번],$W278)&amp;"")</f>
        <v/>
      </c>
      <c r="B278">
        <f>IF($W278="","",INDEX(합계표[성명],$W278)&amp;"")</f>
        <v/>
      </c>
      <c r="C278">
        <f>IF($W278="","",INDEX(합계표[부서],$W278)&amp;"")</f>
        <v/>
      </c>
      <c r="D278">
        <f>IF($W278="","",INDEX(합계표[직위(통합)],$W278)&amp;"")</f>
        <v/>
      </c>
      <c r="E278">
        <f>IF($W278="","",SUMIFS(합계표[시스템 합계],합계표[사번키],INDEX(합계표[사번키],$W278)))</f>
        <v/>
      </c>
      <c r="F278">
        <f>IF($W278="","",SUMIFS(상세표[기록 시간외],상세표[사번키],INDEX(합계표[사번키],$W278),상세표[기록월],대상월키))</f>
        <v/>
      </c>
      <c r="G278">
        <f>IF($W278="","",IF(ABS($E278-$F278)&lt;0.01,"일치","불일치(차이 "&amp;TEXT($F278-$E278,"0.00")&amp;")"))</f>
        <v/>
      </c>
      <c r="H278">
        <f>IF($W278="","",SUMIFS(상세표[기록 시간외],상세표[사번키],INDEX(합계표[사번키],$W278),상세표[기록월],대상월키,상세표[반영월],"&lt;&gt;"&amp;대상월키))</f>
        <v/>
      </c>
      <c r="I278">
        <f>IF($W278="","",SUMIFS(상세표[기록 시간외],상세표[사번키],INDEX(합계표[사번키],$W278),상세표[기록월],"&lt;&gt;"&amp;대상월키,상세표[반영월],대상월키))</f>
        <v/>
      </c>
      <c r="J278">
        <f>IF($W278="","",SUMIFS(상세표[기록 시간외],상세표[사번키],INDEX(합계표[사번키],$W278),상세표[반영월],대상월키))</f>
        <v/>
      </c>
      <c r="K278">
        <f>IF($W278="","",IFERROR(INDEX(월별근무지표[적용 급여병원],MATCH(INDEX(합계표[사번키],$W278)&amp;"|"&amp;대상월키,월별근무지표[키],0))&amp;"",IF(COUNTIF(기관표[사번키],INDEX(합계표[사번키],$W278))+COUNTIF(월별근무지표[사번키],INDEX(합계표[사번키],$W278))&gt;0,IFERROR(INDEX(기관표[급여지급병원(기준월)],MATCH(INDEX(합계표[사번키],$W278)&amp;"|"&amp;대상월키,기관표[키],0))&amp;"","—"),"—")))</f>
        <v/>
      </c>
      <c r="L278">
        <f>IF($W278="","",IF(NOT(COUNTIF(기관표[사번키],INDEX(합계표[사번키],$W278))+COUNTIF(월별근무지표[사번키],INDEX(합계표[사번키],$W278))&gt;0),"기관명단에 없음(다른 병원으로 발송)",IF($K278="—","대상월 기관명단 없음(추가 필요)",IF($K278="서울병원","해당","비해당"))))</f>
        <v/>
      </c>
      <c r="M278">
        <f>IF($W278="","",SUMIFS(상세표[06~07시],상세표[사번키],INDEX(합계표[사번키],$W278),상세표[반영월],대상월키,상세표[반영 기관],"서울병원"))</f>
        <v/>
      </c>
      <c r="N278">
        <f>IF($W278="","",SUMIFS(상세표[07~18시],상세표[사번키],INDEX(합계표[사번키],$W278),상세표[반영월],대상월키,상세표[반영 기관],"서울병원"))</f>
        <v/>
      </c>
      <c r="O278">
        <f>IF($W278="","",SUMIFS(상세표[18~22시],상세표[사번키],INDEX(합계표[사번키],$W278),상세표[반영월],대상월키,상세표[반영 기관],"서울병원"))</f>
        <v/>
      </c>
      <c r="P278">
        <f>IF($W278="","",SUMIFS(상세표[22~06시],상세표[사번키],INDEX(합계표[사번키],$W278),상세표[반영월],대상월키,상세표[반영 기관],"서울병원"))</f>
        <v/>
      </c>
      <c r="Q278">
        <f>IF($W278="","",SUM($M278:$P278))</f>
        <v/>
      </c>
      <c r="R278">
        <f>IF($W278="","",COUNTIFS(상세표[사번키],INDEX(합계표[사번키],$W278),상세표[반영월],대상월키,상세표[야간당직],1,상세표[야간 구분],"평일"))</f>
        <v/>
      </c>
      <c r="S278" s="4">
        <f>IF($W278="","",COUNTIFS(상세표[사번키],INDEX(합계표[사번키],$W278),상세표[반영월],대상월키,상세표[야간당직],1,상세표[야간 구분],"휴일"))</f>
        <v/>
      </c>
      <c r="T278">
        <f>IF($W278="","",COUNTIFS(상세표[사번키],INDEX(합계표[사번키],$W278),상세표[반영월],대상월키,상세표[야간당직],1,상세표[야간 구분],"평일",상세표[반영 기관],"서울병원"))</f>
        <v/>
      </c>
      <c r="U278">
        <f>IF($W278="","",COUNTIFS(상세표[사번키],INDEX(합계표[사번키],$W278),상세표[반영월],대상월키,상세표[야간당직],1,상세표[야간 구분],"휴일",상세표[반영 기관],"서울병원"))</f>
        <v/>
      </c>
      <c r="V278">
        <f>IF($W278="","",IF(ISNUMBER(MATCH(INDEX(합계표[사번키],$W278)&amp;"|"&amp;대상월키,월별근무지표[키],0)),"직접 입력",IF($K278="—","—","기관명단")))</f>
        <v/>
      </c>
      <c r="W278">
        <f>IFERROR(MATCH(273,합계표[판정순번],0),"")</f>
        <v/>
      </c>
      <c r="Y278">
        <f>IF($AB278="","",INDEX(상세표[사번],$AB278)&amp;"")</f>
        <v/>
      </c>
      <c r="Z278">
        <f>IF($AB278="","",INDEX(상세표[성명],$AB278)&amp;"")</f>
        <v/>
      </c>
      <c r="AA278">
        <f>IF($AB278="","",SUMIFS(상세표[기록 시간외],상세표[사번키],INDEX(상세표[사번키],$AB278),상세표[반영월],대상월키))</f>
        <v/>
      </c>
      <c r="AB278" s="4">
        <f>IFERROR(MATCH(273,상세표[합계없음순번],0),"")</f>
        <v/>
      </c>
    </row>
    <row r="279">
      <c r="A279">
        <f>IF($W279="","",INDEX(합계표[사번],$W279)&amp;"")</f>
        <v/>
      </c>
      <c r="B279">
        <f>IF($W279="","",INDEX(합계표[성명],$W279)&amp;"")</f>
        <v/>
      </c>
      <c r="C279">
        <f>IF($W279="","",INDEX(합계표[부서],$W279)&amp;"")</f>
        <v/>
      </c>
      <c r="D279">
        <f>IF($W279="","",INDEX(합계표[직위(통합)],$W279)&amp;"")</f>
        <v/>
      </c>
      <c r="E279">
        <f>IF($W279="","",SUMIFS(합계표[시스템 합계],합계표[사번키],INDEX(합계표[사번키],$W279)))</f>
        <v/>
      </c>
      <c r="F279">
        <f>IF($W279="","",SUMIFS(상세표[기록 시간외],상세표[사번키],INDEX(합계표[사번키],$W279),상세표[기록월],대상월키))</f>
        <v/>
      </c>
      <c r="G279">
        <f>IF($W279="","",IF(ABS($E279-$F279)&lt;0.01,"일치","불일치(차이 "&amp;TEXT($F279-$E279,"0.00")&amp;")"))</f>
        <v/>
      </c>
      <c r="H279">
        <f>IF($W279="","",SUMIFS(상세표[기록 시간외],상세표[사번키],INDEX(합계표[사번키],$W279),상세표[기록월],대상월키,상세표[반영월],"&lt;&gt;"&amp;대상월키))</f>
        <v/>
      </c>
      <c r="I279">
        <f>IF($W279="","",SUMIFS(상세표[기록 시간외],상세표[사번키],INDEX(합계표[사번키],$W279),상세표[기록월],"&lt;&gt;"&amp;대상월키,상세표[반영월],대상월키))</f>
        <v/>
      </c>
      <c r="J279">
        <f>IF($W279="","",SUMIFS(상세표[기록 시간외],상세표[사번키],INDEX(합계표[사번키],$W279),상세표[반영월],대상월키))</f>
        <v/>
      </c>
      <c r="K279">
        <f>IF($W279="","",IFERROR(INDEX(월별근무지표[적용 급여병원],MATCH(INDEX(합계표[사번키],$W279)&amp;"|"&amp;대상월키,월별근무지표[키],0))&amp;"",IF(COUNTIF(기관표[사번키],INDEX(합계표[사번키],$W279))+COUNTIF(월별근무지표[사번키],INDEX(합계표[사번키],$W279))&gt;0,IFERROR(INDEX(기관표[급여지급병원(기준월)],MATCH(INDEX(합계표[사번키],$W279)&amp;"|"&amp;대상월키,기관표[키],0))&amp;"","—"),"—")))</f>
        <v/>
      </c>
      <c r="L279">
        <f>IF($W279="","",IF(NOT(COUNTIF(기관표[사번키],INDEX(합계표[사번키],$W279))+COUNTIF(월별근무지표[사번키],INDEX(합계표[사번키],$W279))&gt;0),"기관명단에 없음(다른 병원으로 발송)",IF($K279="—","대상월 기관명단 없음(추가 필요)",IF($K279="서울병원","해당","비해당"))))</f>
        <v/>
      </c>
      <c r="M279">
        <f>IF($W279="","",SUMIFS(상세표[06~07시],상세표[사번키],INDEX(합계표[사번키],$W279),상세표[반영월],대상월키,상세표[반영 기관],"서울병원"))</f>
        <v/>
      </c>
      <c r="N279">
        <f>IF($W279="","",SUMIFS(상세표[07~18시],상세표[사번키],INDEX(합계표[사번키],$W279),상세표[반영월],대상월키,상세표[반영 기관],"서울병원"))</f>
        <v/>
      </c>
      <c r="O279">
        <f>IF($W279="","",SUMIFS(상세표[18~22시],상세표[사번키],INDEX(합계표[사번키],$W279),상세표[반영월],대상월키,상세표[반영 기관],"서울병원"))</f>
        <v/>
      </c>
      <c r="P279">
        <f>IF($W279="","",SUMIFS(상세표[22~06시],상세표[사번키],INDEX(합계표[사번키],$W279),상세표[반영월],대상월키,상세표[반영 기관],"서울병원"))</f>
        <v/>
      </c>
      <c r="Q279">
        <f>IF($W279="","",SUM($M279:$P279))</f>
        <v/>
      </c>
      <c r="R279">
        <f>IF($W279="","",COUNTIFS(상세표[사번키],INDEX(합계표[사번키],$W279),상세표[반영월],대상월키,상세표[야간당직],1,상세표[야간 구분],"평일"))</f>
        <v/>
      </c>
      <c r="S279" s="4">
        <f>IF($W279="","",COUNTIFS(상세표[사번키],INDEX(합계표[사번키],$W279),상세표[반영월],대상월키,상세표[야간당직],1,상세표[야간 구분],"휴일"))</f>
        <v/>
      </c>
      <c r="T279">
        <f>IF($W279="","",COUNTIFS(상세표[사번키],INDEX(합계표[사번키],$W279),상세표[반영월],대상월키,상세표[야간당직],1,상세표[야간 구분],"평일",상세표[반영 기관],"서울병원"))</f>
        <v/>
      </c>
      <c r="U279">
        <f>IF($W279="","",COUNTIFS(상세표[사번키],INDEX(합계표[사번키],$W279),상세표[반영월],대상월키,상세표[야간당직],1,상세표[야간 구분],"휴일",상세표[반영 기관],"서울병원"))</f>
        <v/>
      </c>
      <c r="V279">
        <f>IF($W279="","",IF(ISNUMBER(MATCH(INDEX(합계표[사번키],$W279)&amp;"|"&amp;대상월키,월별근무지표[키],0)),"직접 입력",IF($K279="—","—","기관명단")))</f>
        <v/>
      </c>
      <c r="W279">
        <f>IFERROR(MATCH(274,합계표[판정순번],0),"")</f>
        <v/>
      </c>
      <c r="Y279">
        <f>IF($AB279="","",INDEX(상세표[사번],$AB279)&amp;"")</f>
        <v/>
      </c>
      <c r="Z279">
        <f>IF($AB279="","",INDEX(상세표[성명],$AB279)&amp;"")</f>
        <v/>
      </c>
      <c r="AA279">
        <f>IF($AB279="","",SUMIFS(상세표[기록 시간외],상세표[사번키],INDEX(상세표[사번키],$AB279),상세표[반영월],대상월키))</f>
        <v/>
      </c>
      <c r="AB279" s="4">
        <f>IFERROR(MATCH(274,상세표[합계없음순번],0),"")</f>
        <v/>
      </c>
    </row>
    <row r="280">
      <c r="A280">
        <f>IF($W280="","",INDEX(합계표[사번],$W280)&amp;"")</f>
        <v/>
      </c>
      <c r="B280">
        <f>IF($W280="","",INDEX(합계표[성명],$W280)&amp;"")</f>
        <v/>
      </c>
      <c r="C280">
        <f>IF($W280="","",INDEX(합계표[부서],$W280)&amp;"")</f>
        <v/>
      </c>
      <c r="D280">
        <f>IF($W280="","",INDEX(합계표[직위(통합)],$W280)&amp;"")</f>
        <v/>
      </c>
      <c r="E280">
        <f>IF($W280="","",SUMIFS(합계표[시스템 합계],합계표[사번키],INDEX(합계표[사번키],$W280)))</f>
        <v/>
      </c>
      <c r="F280">
        <f>IF($W280="","",SUMIFS(상세표[기록 시간외],상세표[사번키],INDEX(합계표[사번키],$W280),상세표[기록월],대상월키))</f>
        <v/>
      </c>
      <c r="G280">
        <f>IF($W280="","",IF(ABS($E280-$F280)&lt;0.01,"일치","불일치(차이 "&amp;TEXT($F280-$E280,"0.00")&amp;")"))</f>
        <v/>
      </c>
      <c r="H280">
        <f>IF($W280="","",SUMIFS(상세표[기록 시간외],상세표[사번키],INDEX(합계표[사번키],$W280),상세표[기록월],대상월키,상세표[반영월],"&lt;&gt;"&amp;대상월키))</f>
        <v/>
      </c>
      <c r="I280">
        <f>IF($W280="","",SUMIFS(상세표[기록 시간외],상세표[사번키],INDEX(합계표[사번키],$W280),상세표[기록월],"&lt;&gt;"&amp;대상월키,상세표[반영월],대상월키))</f>
        <v/>
      </c>
      <c r="J280">
        <f>IF($W280="","",SUMIFS(상세표[기록 시간외],상세표[사번키],INDEX(합계표[사번키],$W280),상세표[반영월],대상월키))</f>
        <v/>
      </c>
      <c r="K280">
        <f>IF($W280="","",IFERROR(INDEX(월별근무지표[적용 급여병원],MATCH(INDEX(합계표[사번키],$W280)&amp;"|"&amp;대상월키,월별근무지표[키],0))&amp;"",IF(COUNTIF(기관표[사번키],INDEX(합계표[사번키],$W280))+COUNTIF(월별근무지표[사번키],INDEX(합계표[사번키],$W280))&gt;0,IFERROR(INDEX(기관표[급여지급병원(기준월)],MATCH(INDEX(합계표[사번키],$W280)&amp;"|"&amp;대상월키,기관표[키],0))&amp;"","—"),"—")))</f>
        <v/>
      </c>
      <c r="L280">
        <f>IF($W280="","",IF(NOT(COUNTIF(기관표[사번키],INDEX(합계표[사번키],$W280))+COUNTIF(월별근무지표[사번키],INDEX(합계표[사번키],$W280))&gt;0),"기관명단에 없음(다른 병원으로 발송)",IF($K280="—","대상월 기관명단 없음(추가 필요)",IF($K280="서울병원","해당","비해당"))))</f>
        <v/>
      </c>
      <c r="M280">
        <f>IF($W280="","",SUMIFS(상세표[06~07시],상세표[사번키],INDEX(합계표[사번키],$W280),상세표[반영월],대상월키,상세표[반영 기관],"서울병원"))</f>
        <v/>
      </c>
      <c r="N280">
        <f>IF($W280="","",SUMIFS(상세표[07~18시],상세표[사번키],INDEX(합계표[사번키],$W280),상세표[반영월],대상월키,상세표[반영 기관],"서울병원"))</f>
        <v/>
      </c>
      <c r="O280">
        <f>IF($W280="","",SUMIFS(상세표[18~22시],상세표[사번키],INDEX(합계표[사번키],$W280),상세표[반영월],대상월키,상세표[반영 기관],"서울병원"))</f>
        <v/>
      </c>
      <c r="P280">
        <f>IF($W280="","",SUMIFS(상세표[22~06시],상세표[사번키],INDEX(합계표[사번키],$W280),상세표[반영월],대상월키,상세표[반영 기관],"서울병원"))</f>
        <v/>
      </c>
      <c r="Q280">
        <f>IF($W280="","",SUM($M280:$P280))</f>
        <v/>
      </c>
      <c r="R280">
        <f>IF($W280="","",COUNTIFS(상세표[사번키],INDEX(합계표[사번키],$W280),상세표[반영월],대상월키,상세표[야간당직],1,상세표[야간 구분],"평일"))</f>
        <v/>
      </c>
      <c r="S280" s="4">
        <f>IF($W280="","",COUNTIFS(상세표[사번키],INDEX(합계표[사번키],$W280),상세표[반영월],대상월키,상세표[야간당직],1,상세표[야간 구분],"휴일"))</f>
        <v/>
      </c>
      <c r="T280">
        <f>IF($W280="","",COUNTIFS(상세표[사번키],INDEX(합계표[사번키],$W280),상세표[반영월],대상월키,상세표[야간당직],1,상세표[야간 구분],"평일",상세표[반영 기관],"서울병원"))</f>
        <v/>
      </c>
      <c r="U280">
        <f>IF($W280="","",COUNTIFS(상세표[사번키],INDEX(합계표[사번키],$W280),상세표[반영월],대상월키,상세표[야간당직],1,상세표[야간 구분],"휴일",상세표[반영 기관],"서울병원"))</f>
        <v/>
      </c>
      <c r="V280">
        <f>IF($W280="","",IF(ISNUMBER(MATCH(INDEX(합계표[사번키],$W280)&amp;"|"&amp;대상월키,월별근무지표[키],0)),"직접 입력",IF($K280="—","—","기관명단")))</f>
        <v/>
      </c>
      <c r="W280">
        <f>IFERROR(MATCH(275,합계표[판정순번],0),"")</f>
        <v/>
      </c>
      <c r="Y280">
        <f>IF($AB280="","",INDEX(상세표[사번],$AB280)&amp;"")</f>
        <v/>
      </c>
      <c r="Z280">
        <f>IF($AB280="","",INDEX(상세표[성명],$AB280)&amp;"")</f>
        <v/>
      </c>
      <c r="AA280">
        <f>IF($AB280="","",SUMIFS(상세표[기록 시간외],상세표[사번키],INDEX(상세표[사번키],$AB280),상세표[반영월],대상월키))</f>
        <v/>
      </c>
      <c r="AB280" s="4">
        <f>IFERROR(MATCH(275,상세표[합계없음순번],0),"")</f>
        <v/>
      </c>
    </row>
    <row r="281">
      <c r="A281">
        <f>IF($W281="","",INDEX(합계표[사번],$W281)&amp;"")</f>
        <v/>
      </c>
      <c r="B281">
        <f>IF($W281="","",INDEX(합계표[성명],$W281)&amp;"")</f>
        <v/>
      </c>
      <c r="C281">
        <f>IF($W281="","",INDEX(합계표[부서],$W281)&amp;"")</f>
        <v/>
      </c>
      <c r="D281">
        <f>IF($W281="","",INDEX(합계표[직위(통합)],$W281)&amp;"")</f>
        <v/>
      </c>
      <c r="E281">
        <f>IF($W281="","",SUMIFS(합계표[시스템 합계],합계표[사번키],INDEX(합계표[사번키],$W281)))</f>
        <v/>
      </c>
      <c r="F281">
        <f>IF($W281="","",SUMIFS(상세표[기록 시간외],상세표[사번키],INDEX(합계표[사번키],$W281),상세표[기록월],대상월키))</f>
        <v/>
      </c>
      <c r="G281">
        <f>IF($W281="","",IF(ABS($E281-$F281)&lt;0.01,"일치","불일치(차이 "&amp;TEXT($F281-$E281,"0.00")&amp;")"))</f>
        <v/>
      </c>
      <c r="H281">
        <f>IF($W281="","",SUMIFS(상세표[기록 시간외],상세표[사번키],INDEX(합계표[사번키],$W281),상세표[기록월],대상월키,상세표[반영월],"&lt;&gt;"&amp;대상월키))</f>
        <v/>
      </c>
      <c r="I281">
        <f>IF($W281="","",SUMIFS(상세표[기록 시간외],상세표[사번키],INDEX(합계표[사번키],$W281),상세표[기록월],"&lt;&gt;"&amp;대상월키,상세표[반영월],대상월키))</f>
        <v/>
      </c>
      <c r="J281">
        <f>IF($W281="","",SUMIFS(상세표[기록 시간외],상세표[사번키],INDEX(합계표[사번키],$W281),상세표[반영월],대상월키))</f>
        <v/>
      </c>
      <c r="K281">
        <f>IF($W281="","",IFERROR(INDEX(월별근무지표[적용 급여병원],MATCH(INDEX(합계표[사번키],$W281)&amp;"|"&amp;대상월키,월별근무지표[키],0))&amp;"",IF(COUNTIF(기관표[사번키],INDEX(합계표[사번키],$W281))+COUNTIF(월별근무지표[사번키],INDEX(합계표[사번키],$W281))&gt;0,IFERROR(INDEX(기관표[급여지급병원(기준월)],MATCH(INDEX(합계표[사번키],$W281)&amp;"|"&amp;대상월키,기관표[키],0))&amp;"","—"),"—")))</f>
        <v/>
      </c>
      <c r="L281">
        <f>IF($W281="","",IF(NOT(COUNTIF(기관표[사번키],INDEX(합계표[사번키],$W281))+COUNTIF(월별근무지표[사번키],INDEX(합계표[사번키],$W281))&gt;0),"기관명단에 없음(다른 병원으로 발송)",IF($K281="—","대상월 기관명단 없음(추가 필요)",IF($K281="서울병원","해당","비해당"))))</f>
        <v/>
      </c>
      <c r="M281">
        <f>IF($W281="","",SUMIFS(상세표[06~07시],상세표[사번키],INDEX(합계표[사번키],$W281),상세표[반영월],대상월키,상세표[반영 기관],"서울병원"))</f>
        <v/>
      </c>
      <c r="N281">
        <f>IF($W281="","",SUMIFS(상세표[07~18시],상세표[사번키],INDEX(합계표[사번키],$W281),상세표[반영월],대상월키,상세표[반영 기관],"서울병원"))</f>
        <v/>
      </c>
      <c r="O281">
        <f>IF($W281="","",SUMIFS(상세표[18~22시],상세표[사번키],INDEX(합계표[사번키],$W281),상세표[반영월],대상월키,상세표[반영 기관],"서울병원"))</f>
        <v/>
      </c>
      <c r="P281">
        <f>IF($W281="","",SUMIFS(상세표[22~06시],상세표[사번키],INDEX(합계표[사번키],$W281),상세표[반영월],대상월키,상세표[반영 기관],"서울병원"))</f>
        <v/>
      </c>
      <c r="Q281">
        <f>IF($W281="","",SUM($M281:$P281))</f>
        <v/>
      </c>
      <c r="R281">
        <f>IF($W281="","",COUNTIFS(상세표[사번키],INDEX(합계표[사번키],$W281),상세표[반영월],대상월키,상세표[야간당직],1,상세표[야간 구분],"평일"))</f>
        <v/>
      </c>
      <c r="S281" s="4">
        <f>IF($W281="","",COUNTIFS(상세표[사번키],INDEX(합계표[사번키],$W281),상세표[반영월],대상월키,상세표[야간당직],1,상세표[야간 구분],"휴일"))</f>
        <v/>
      </c>
      <c r="T281">
        <f>IF($W281="","",COUNTIFS(상세표[사번키],INDEX(합계표[사번키],$W281),상세표[반영월],대상월키,상세표[야간당직],1,상세표[야간 구분],"평일",상세표[반영 기관],"서울병원"))</f>
        <v/>
      </c>
      <c r="U281">
        <f>IF($W281="","",COUNTIFS(상세표[사번키],INDEX(합계표[사번키],$W281),상세표[반영월],대상월키,상세표[야간당직],1,상세표[야간 구분],"휴일",상세표[반영 기관],"서울병원"))</f>
        <v/>
      </c>
      <c r="V281">
        <f>IF($W281="","",IF(ISNUMBER(MATCH(INDEX(합계표[사번키],$W281)&amp;"|"&amp;대상월키,월별근무지표[키],0)),"직접 입력",IF($K281="—","—","기관명단")))</f>
        <v/>
      </c>
      <c r="W281">
        <f>IFERROR(MATCH(276,합계표[판정순번],0),"")</f>
        <v/>
      </c>
      <c r="Y281">
        <f>IF($AB281="","",INDEX(상세표[사번],$AB281)&amp;"")</f>
        <v/>
      </c>
      <c r="Z281">
        <f>IF($AB281="","",INDEX(상세표[성명],$AB281)&amp;"")</f>
        <v/>
      </c>
      <c r="AA281">
        <f>IF($AB281="","",SUMIFS(상세표[기록 시간외],상세표[사번키],INDEX(상세표[사번키],$AB281),상세표[반영월],대상월키))</f>
        <v/>
      </c>
      <c r="AB281" s="4">
        <f>IFERROR(MATCH(276,상세표[합계없음순번],0),"")</f>
        <v/>
      </c>
    </row>
    <row r="282">
      <c r="A282">
        <f>IF($W282="","",INDEX(합계표[사번],$W282)&amp;"")</f>
        <v/>
      </c>
      <c r="B282">
        <f>IF($W282="","",INDEX(합계표[성명],$W282)&amp;"")</f>
        <v/>
      </c>
      <c r="C282">
        <f>IF($W282="","",INDEX(합계표[부서],$W282)&amp;"")</f>
        <v/>
      </c>
      <c r="D282">
        <f>IF($W282="","",INDEX(합계표[직위(통합)],$W282)&amp;"")</f>
        <v/>
      </c>
      <c r="E282">
        <f>IF($W282="","",SUMIFS(합계표[시스템 합계],합계표[사번키],INDEX(합계표[사번키],$W282)))</f>
        <v/>
      </c>
      <c r="F282">
        <f>IF($W282="","",SUMIFS(상세표[기록 시간외],상세표[사번키],INDEX(합계표[사번키],$W282),상세표[기록월],대상월키))</f>
        <v/>
      </c>
      <c r="G282">
        <f>IF($W282="","",IF(ABS($E282-$F282)&lt;0.01,"일치","불일치(차이 "&amp;TEXT($F282-$E282,"0.00")&amp;")"))</f>
        <v/>
      </c>
      <c r="H282">
        <f>IF($W282="","",SUMIFS(상세표[기록 시간외],상세표[사번키],INDEX(합계표[사번키],$W282),상세표[기록월],대상월키,상세표[반영월],"&lt;&gt;"&amp;대상월키))</f>
        <v/>
      </c>
      <c r="I282">
        <f>IF($W282="","",SUMIFS(상세표[기록 시간외],상세표[사번키],INDEX(합계표[사번키],$W282),상세표[기록월],"&lt;&gt;"&amp;대상월키,상세표[반영월],대상월키))</f>
        <v/>
      </c>
      <c r="J282">
        <f>IF($W282="","",SUMIFS(상세표[기록 시간외],상세표[사번키],INDEX(합계표[사번키],$W282),상세표[반영월],대상월키))</f>
        <v/>
      </c>
      <c r="K282">
        <f>IF($W282="","",IFERROR(INDEX(월별근무지표[적용 급여병원],MATCH(INDEX(합계표[사번키],$W282)&amp;"|"&amp;대상월키,월별근무지표[키],0))&amp;"",IF(COUNTIF(기관표[사번키],INDEX(합계표[사번키],$W282))+COUNTIF(월별근무지표[사번키],INDEX(합계표[사번키],$W282))&gt;0,IFERROR(INDEX(기관표[급여지급병원(기준월)],MATCH(INDEX(합계표[사번키],$W282)&amp;"|"&amp;대상월키,기관표[키],0))&amp;"","—"),"—")))</f>
        <v/>
      </c>
      <c r="L282">
        <f>IF($W282="","",IF(NOT(COUNTIF(기관표[사번키],INDEX(합계표[사번키],$W282))+COUNTIF(월별근무지표[사번키],INDEX(합계표[사번키],$W282))&gt;0),"기관명단에 없음(다른 병원으로 발송)",IF($K282="—","대상월 기관명단 없음(추가 필요)",IF($K282="서울병원","해당","비해당"))))</f>
        <v/>
      </c>
      <c r="M282">
        <f>IF($W282="","",SUMIFS(상세표[06~07시],상세표[사번키],INDEX(합계표[사번키],$W282),상세표[반영월],대상월키,상세표[반영 기관],"서울병원"))</f>
        <v/>
      </c>
      <c r="N282">
        <f>IF($W282="","",SUMIFS(상세표[07~18시],상세표[사번키],INDEX(합계표[사번키],$W282),상세표[반영월],대상월키,상세표[반영 기관],"서울병원"))</f>
        <v/>
      </c>
      <c r="O282">
        <f>IF($W282="","",SUMIFS(상세표[18~22시],상세표[사번키],INDEX(합계표[사번키],$W282),상세표[반영월],대상월키,상세표[반영 기관],"서울병원"))</f>
        <v/>
      </c>
      <c r="P282">
        <f>IF($W282="","",SUMIFS(상세표[22~06시],상세표[사번키],INDEX(합계표[사번키],$W282),상세표[반영월],대상월키,상세표[반영 기관],"서울병원"))</f>
        <v/>
      </c>
      <c r="Q282">
        <f>IF($W282="","",SUM($M282:$P282))</f>
        <v/>
      </c>
      <c r="R282">
        <f>IF($W282="","",COUNTIFS(상세표[사번키],INDEX(합계표[사번키],$W282),상세표[반영월],대상월키,상세표[야간당직],1,상세표[야간 구분],"평일"))</f>
        <v/>
      </c>
      <c r="S282" s="4">
        <f>IF($W282="","",COUNTIFS(상세표[사번키],INDEX(합계표[사번키],$W282),상세표[반영월],대상월키,상세표[야간당직],1,상세표[야간 구분],"휴일"))</f>
        <v/>
      </c>
      <c r="T282">
        <f>IF($W282="","",COUNTIFS(상세표[사번키],INDEX(합계표[사번키],$W282),상세표[반영월],대상월키,상세표[야간당직],1,상세표[야간 구분],"평일",상세표[반영 기관],"서울병원"))</f>
        <v/>
      </c>
      <c r="U282">
        <f>IF($W282="","",COUNTIFS(상세표[사번키],INDEX(합계표[사번키],$W282),상세표[반영월],대상월키,상세표[야간당직],1,상세표[야간 구분],"휴일",상세표[반영 기관],"서울병원"))</f>
        <v/>
      </c>
      <c r="V282">
        <f>IF($W282="","",IF(ISNUMBER(MATCH(INDEX(합계표[사번키],$W282)&amp;"|"&amp;대상월키,월별근무지표[키],0)),"직접 입력",IF($K282="—","—","기관명단")))</f>
        <v/>
      </c>
      <c r="W282">
        <f>IFERROR(MATCH(277,합계표[판정순번],0),"")</f>
        <v/>
      </c>
      <c r="Y282">
        <f>IF($AB282="","",INDEX(상세표[사번],$AB282)&amp;"")</f>
        <v/>
      </c>
      <c r="Z282">
        <f>IF($AB282="","",INDEX(상세표[성명],$AB282)&amp;"")</f>
        <v/>
      </c>
      <c r="AA282">
        <f>IF($AB282="","",SUMIFS(상세표[기록 시간외],상세표[사번키],INDEX(상세표[사번키],$AB282),상세표[반영월],대상월키))</f>
        <v/>
      </c>
      <c r="AB282" s="4">
        <f>IFERROR(MATCH(277,상세표[합계없음순번],0),"")</f>
        <v/>
      </c>
    </row>
    <row r="283">
      <c r="A283">
        <f>IF($W283="","",INDEX(합계표[사번],$W283)&amp;"")</f>
        <v/>
      </c>
      <c r="B283">
        <f>IF($W283="","",INDEX(합계표[성명],$W283)&amp;"")</f>
        <v/>
      </c>
      <c r="C283">
        <f>IF($W283="","",INDEX(합계표[부서],$W283)&amp;"")</f>
        <v/>
      </c>
      <c r="D283">
        <f>IF($W283="","",INDEX(합계표[직위(통합)],$W283)&amp;"")</f>
        <v/>
      </c>
      <c r="E283">
        <f>IF($W283="","",SUMIFS(합계표[시스템 합계],합계표[사번키],INDEX(합계표[사번키],$W283)))</f>
        <v/>
      </c>
      <c r="F283">
        <f>IF($W283="","",SUMIFS(상세표[기록 시간외],상세표[사번키],INDEX(합계표[사번키],$W283),상세표[기록월],대상월키))</f>
        <v/>
      </c>
      <c r="G283">
        <f>IF($W283="","",IF(ABS($E283-$F283)&lt;0.01,"일치","불일치(차이 "&amp;TEXT($F283-$E283,"0.00")&amp;")"))</f>
        <v/>
      </c>
      <c r="H283">
        <f>IF($W283="","",SUMIFS(상세표[기록 시간외],상세표[사번키],INDEX(합계표[사번키],$W283),상세표[기록월],대상월키,상세표[반영월],"&lt;&gt;"&amp;대상월키))</f>
        <v/>
      </c>
      <c r="I283">
        <f>IF($W283="","",SUMIFS(상세표[기록 시간외],상세표[사번키],INDEX(합계표[사번키],$W283),상세표[기록월],"&lt;&gt;"&amp;대상월키,상세표[반영월],대상월키))</f>
        <v/>
      </c>
      <c r="J283">
        <f>IF($W283="","",SUMIFS(상세표[기록 시간외],상세표[사번키],INDEX(합계표[사번키],$W283),상세표[반영월],대상월키))</f>
        <v/>
      </c>
      <c r="K283">
        <f>IF($W283="","",IFERROR(INDEX(월별근무지표[적용 급여병원],MATCH(INDEX(합계표[사번키],$W283)&amp;"|"&amp;대상월키,월별근무지표[키],0))&amp;"",IF(COUNTIF(기관표[사번키],INDEX(합계표[사번키],$W283))+COUNTIF(월별근무지표[사번키],INDEX(합계표[사번키],$W283))&gt;0,IFERROR(INDEX(기관표[급여지급병원(기준월)],MATCH(INDEX(합계표[사번키],$W283)&amp;"|"&amp;대상월키,기관표[키],0))&amp;"","—"),"—")))</f>
        <v/>
      </c>
      <c r="L283">
        <f>IF($W283="","",IF(NOT(COUNTIF(기관표[사번키],INDEX(합계표[사번키],$W283))+COUNTIF(월별근무지표[사번키],INDEX(합계표[사번키],$W283))&gt;0),"기관명단에 없음(다른 병원으로 발송)",IF($K283="—","대상월 기관명단 없음(추가 필요)",IF($K283="서울병원","해당","비해당"))))</f>
        <v/>
      </c>
      <c r="M283">
        <f>IF($W283="","",SUMIFS(상세표[06~07시],상세표[사번키],INDEX(합계표[사번키],$W283),상세표[반영월],대상월키,상세표[반영 기관],"서울병원"))</f>
        <v/>
      </c>
      <c r="N283">
        <f>IF($W283="","",SUMIFS(상세표[07~18시],상세표[사번키],INDEX(합계표[사번키],$W283),상세표[반영월],대상월키,상세표[반영 기관],"서울병원"))</f>
        <v/>
      </c>
      <c r="O283">
        <f>IF($W283="","",SUMIFS(상세표[18~22시],상세표[사번키],INDEX(합계표[사번키],$W283),상세표[반영월],대상월키,상세표[반영 기관],"서울병원"))</f>
        <v/>
      </c>
      <c r="P283">
        <f>IF($W283="","",SUMIFS(상세표[22~06시],상세표[사번키],INDEX(합계표[사번키],$W283),상세표[반영월],대상월키,상세표[반영 기관],"서울병원"))</f>
        <v/>
      </c>
      <c r="Q283">
        <f>IF($W283="","",SUM($M283:$P283))</f>
        <v/>
      </c>
      <c r="R283">
        <f>IF($W283="","",COUNTIFS(상세표[사번키],INDEX(합계표[사번키],$W283),상세표[반영월],대상월키,상세표[야간당직],1,상세표[야간 구분],"평일"))</f>
        <v/>
      </c>
      <c r="S283" s="4">
        <f>IF($W283="","",COUNTIFS(상세표[사번키],INDEX(합계표[사번키],$W283),상세표[반영월],대상월키,상세표[야간당직],1,상세표[야간 구분],"휴일"))</f>
        <v/>
      </c>
      <c r="T283">
        <f>IF($W283="","",COUNTIFS(상세표[사번키],INDEX(합계표[사번키],$W283),상세표[반영월],대상월키,상세표[야간당직],1,상세표[야간 구분],"평일",상세표[반영 기관],"서울병원"))</f>
        <v/>
      </c>
      <c r="U283">
        <f>IF($W283="","",COUNTIFS(상세표[사번키],INDEX(합계표[사번키],$W283),상세표[반영월],대상월키,상세표[야간당직],1,상세표[야간 구분],"휴일",상세표[반영 기관],"서울병원"))</f>
        <v/>
      </c>
      <c r="V283">
        <f>IF($W283="","",IF(ISNUMBER(MATCH(INDEX(합계표[사번키],$W283)&amp;"|"&amp;대상월키,월별근무지표[키],0)),"직접 입력",IF($K283="—","—","기관명단")))</f>
        <v/>
      </c>
      <c r="W283">
        <f>IFERROR(MATCH(278,합계표[판정순번],0),"")</f>
        <v/>
      </c>
      <c r="Y283">
        <f>IF($AB283="","",INDEX(상세표[사번],$AB283)&amp;"")</f>
        <v/>
      </c>
      <c r="Z283">
        <f>IF($AB283="","",INDEX(상세표[성명],$AB283)&amp;"")</f>
        <v/>
      </c>
      <c r="AA283">
        <f>IF($AB283="","",SUMIFS(상세표[기록 시간외],상세표[사번키],INDEX(상세표[사번키],$AB283),상세표[반영월],대상월키))</f>
        <v/>
      </c>
      <c r="AB283" s="4">
        <f>IFERROR(MATCH(278,상세표[합계없음순번],0),"")</f>
        <v/>
      </c>
    </row>
    <row r="284">
      <c r="A284">
        <f>IF($W284="","",INDEX(합계표[사번],$W284)&amp;"")</f>
        <v/>
      </c>
      <c r="B284">
        <f>IF($W284="","",INDEX(합계표[성명],$W284)&amp;"")</f>
        <v/>
      </c>
      <c r="C284">
        <f>IF($W284="","",INDEX(합계표[부서],$W284)&amp;"")</f>
        <v/>
      </c>
      <c r="D284">
        <f>IF($W284="","",INDEX(합계표[직위(통합)],$W284)&amp;"")</f>
        <v/>
      </c>
      <c r="E284">
        <f>IF($W284="","",SUMIFS(합계표[시스템 합계],합계표[사번키],INDEX(합계표[사번키],$W284)))</f>
        <v/>
      </c>
      <c r="F284">
        <f>IF($W284="","",SUMIFS(상세표[기록 시간외],상세표[사번키],INDEX(합계표[사번키],$W284),상세표[기록월],대상월키))</f>
        <v/>
      </c>
      <c r="G284">
        <f>IF($W284="","",IF(ABS($E284-$F284)&lt;0.01,"일치","불일치(차이 "&amp;TEXT($F284-$E284,"0.00")&amp;")"))</f>
        <v/>
      </c>
      <c r="H284">
        <f>IF($W284="","",SUMIFS(상세표[기록 시간외],상세표[사번키],INDEX(합계표[사번키],$W284),상세표[기록월],대상월키,상세표[반영월],"&lt;&gt;"&amp;대상월키))</f>
        <v/>
      </c>
      <c r="I284">
        <f>IF($W284="","",SUMIFS(상세표[기록 시간외],상세표[사번키],INDEX(합계표[사번키],$W284),상세표[기록월],"&lt;&gt;"&amp;대상월키,상세표[반영월],대상월키))</f>
        <v/>
      </c>
      <c r="J284">
        <f>IF($W284="","",SUMIFS(상세표[기록 시간외],상세표[사번키],INDEX(합계표[사번키],$W284),상세표[반영월],대상월키))</f>
        <v/>
      </c>
      <c r="K284">
        <f>IF($W284="","",IFERROR(INDEX(월별근무지표[적용 급여병원],MATCH(INDEX(합계표[사번키],$W284)&amp;"|"&amp;대상월키,월별근무지표[키],0))&amp;"",IF(COUNTIF(기관표[사번키],INDEX(합계표[사번키],$W284))+COUNTIF(월별근무지표[사번키],INDEX(합계표[사번키],$W284))&gt;0,IFERROR(INDEX(기관표[급여지급병원(기준월)],MATCH(INDEX(합계표[사번키],$W284)&amp;"|"&amp;대상월키,기관표[키],0))&amp;"","—"),"—")))</f>
        <v/>
      </c>
      <c r="L284">
        <f>IF($W284="","",IF(NOT(COUNTIF(기관표[사번키],INDEX(합계표[사번키],$W284))+COUNTIF(월별근무지표[사번키],INDEX(합계표[사번키],$W284))&gt;0),"기관명단에 없음(다른 병원으로 발송)",IF($K284="—","대상월 기관명단 없음(추가 필요)",IF($K284="서울병원","해당","비해당"))))</f>
        <v/>
      </c>
      <c r="M284">
        <f>IF($W284="","",SUMIFS(상세표[06~07시],상세표[사번키],INDEX(합계표[사번키],$W284),상세표[반영월],대상월키,상세표[반영 기관],"서울병원"))</f>
        <v/>
      </c>
      <c r="N284">
        <f>IF($W284="","",SUMIFS(상세표[07~18시],상세표[사번키],INDEX(합계표[사번키],$W284),상세표[반영월],대상월키,상세표[반영 기관],"서울병원"))</f>
        <v/>
      </c>
      <c r="O284">
        <f>IF($W284="","",SUMIFS(상세표[18~22시],상세표[사번키],INDEX(합계표[사번키],$W284),상세표[반영월],대상월키,상세표[반영 기관],"서울병원"))</f>
        <v/>
      </c>
      <c r="P284">
        <f>IF($W284="","",SUMIFS(상세표[22~06시],상세표[사번키],INDEX(합계표[사번키],$W284),상세표[반영월],대상월키,상세표[반영 기관],"서울병원"))</f>
        <v/>
      </c>
      <c r="Q284">
        <f>IF($W284="","",SUM($M284:$P284))</f>
        <v/>
      </c>
      <c r="R284">
        <f>IF($W284="","",COUNTIFS(상세표[사번키],INDEX(합계표[사번키],$W284),상세표[반영월],대상월키,상세표[야간당직],1,상세표[야간 구분],"평일"))</f>
        <v/>
      </c>
      <c r="S284" s="4">
        <f>IF($W284="","",COUNTIFS(상세표[사번키],INDEX(합계표[사번키],$W284),상세표[반영월],대상월키,상세표[야간당직],1,상세표[야간 구분],"휴일"))</f>
        <v/>
      </c>
      <c r="T284">
        <f>IF($W284="","",COUNTIFS(상세표[사번키],INDEX(합계표[사번키],$W284),상세표[반영월],대상월키,상세표[야간당직],1,상세표[야간 구분],"평일",상세표[반영 기관],"서울병원"))</f>
        <v/>
      </c>
      <c r="U284">
        <f>IF($W284="","",COUNTIFS(상세표[사번키],INDEX(합계표[사번키],$W284),상세표[반영월],대상월키,상세표[야간당직],1,상세표[야간 구분],"휴일",상세표[반영 기관],"서울병원"))</f>
        <v/>
      </c>
      <c r="V284">
        <f>IF($W284="","",IF(ISNUMBER(MATCH(INDEX(합계표[사번키],$W284)&amp;"|"&amp;대상월키,월별근무지표[키],0)),"직접 입력",IF($K284="—","—","기관명단")))</f>
        <v/>
      </c>
      <c r="W284">
        <f>IFERROR(MATCH(279,합계표[판정순번],0),"")</f>
        <v/>
      </c>
      <c r="Y284">
        <f>IF($AB284="","",INDEX(상세표[사번],$AB284)&amp;"")</f>
        <v/>
      </c>
      <c r="Z284">
        <f>IF($AB284="","",INDEX(상세표[성명],$AB284)&amp;"")</f>
        <v/>
      </c>
      <c r="AA284">
        <f>IF($AB284="","",SUMIFS(상세표[기록 시간외],상세표[사번키],INDEX(상세표[사번키],$AB284),상세표[반영월],대상월키))</f>
        <v/>
      </c>
      <c r="AB284" s="4">
        <f>IFERROR(MATCH(279,상세표[합계없음순번],0),"")</f>
        <v/>
      </c>
    </row>
    <row r="285">
      <c r="A285">
        <f>IF($W285="","",INDEX(합계표[사번],$W285)&amp;"")</f>
        <v/>
      </c>
      <c r="B285">
        <f>IF($W285="","",INDEX(합계표[성명],$W285)&amp;"")</f>
        <v/>
      </c>
      <c r="C285">
        <f>IF($W285="","",INDEX(합계표[부서],$W285)&amp;"")</f>
        <v/>
      </c>
      <c r="D285">
        <f>IF($W285="","",INDEX(합계표[직위(통합)],$W285)&amp;"")</f>
        <v/>
      </c>
      <c r="E285">
        <f>IF($W285="","",SUMIFS(합계표[시스템 합계],합계표[사번키],INDEX(합계표[사번키],$W285)))</f>
        <v/>
      </c>
      <c r="F285">
        <f>IF($W285="","",SUMIFS(상세표[기록 시간외],상세표[사번키],INDEX(합계표[사번키],$W285),상세표[기록월],대상월키))</f>
        <v/>
      </c>
      <c r="G285">
        <f>IF($W285="","",IF(ABS($E285-$F285)&lt;0.01,"일치","불일치(차이 "&amp;TEXT($F285-$E285,"0.00")&amp;")"))</f>
        <v/>
      </c>
      <c r="H285">
        <f>IF($W285="","",SUMIFS(상세표[기록 시간외],상세표[사번키],INDEX(합계표[사번키],$W285),상세표[기록월],대상월키,상세표[반영월],"&lt;&gt;"&amp;대상월키))</f>
        <v/>
      </c>
      <c r="I285">
        <f>IF($W285="","",SUMIFS(상세표[기록 시간외],상세표[사번키],INDEX(합계표[사번키],$W285),상세표[기록월],"&lt;&gt;"&amp;대상월키,상세표[반영월],대상월키))</f>
        <v/>
      </c>
      <c r="J285">
        <f>IF($W285="","",SUMIFS(상세표[기록 시간외],상세표[사번키],INDEX(합계표[사번키],$W285),상세표[반영월],대상월키))</f>
        <v/>
      </c>
      <c r="K285">
        <f>IF($W285="","",IFERROR(INDEX(월별근무지표[적용 급여병원],MATCH(INDEX(합계표[사번키],$W285)&amp;"|"&amp;대상월키,월별근무지표[키],0))&amp;"",IF(COUNTIF(기관표[사번키],INDEX(합계표[사번키],$W285))+COUNTIF(월별근무지표[사번키],INDEX(합계표[사번키],$W285))&gt;0,IFERROR(INDEX(기관표[급여지급병원(기준월)],MATCH(INDEX(합계표[사번키],$W285)&amp;"|"&amp;대상월키,기관표[키],0))&amp;"","—"),"—")))</f>
        <v/>
      </c>
      <c r="L285">
        <f>IF($W285="","",IF(NOT(COUNTIF(기관표[사번키],INDEX(합계표[사번키],$W285))+COUNTIF(월별근무지표[사번키],INDEX(합계표[사번키],$W285))&gt;0),"기관명단에 없음(다른 병원으로 발송)",IF($K285="—","대상월 기관명단 없음(추가 필요)",IF($K285="서울병원","해당","비해당"))))</f>
        <v/>
      </c>
      <c r="M285">
        <f>IF($W285="","",SUMIFS(상세표[06~07시],상세표[사번키],INDEX(합계표[사번키],$W285),상세표[반영월],대상월키,상세표[반영 기관],"서울병원"))</f>
        <v/>
      </c>
      <c r="N285">
        <f>IF($W285="","",SUMIFS(상세표[07~18시],상세표[사번키],INDEX(합계표[사번키],$W285),상세표[반영월],대상월키,상세표[반영 기관],"서울병원"))</f>
        <v/>
      </c>
      <c r="O285">
        <f>IF($W285="","",SUMIFS(상세표[18~22시],상세표[사번키],INDEX(합계표[사번키],$W285),상세표[반영월],대상월키,상세표[반영 기관],"서울병원"))</f>
        <v/>
      </c>
      <c r="P285">
        <f>IF($W285="","",SUMIFS(상세표[22~06시],상세표[사번키],INDEX(합계표[사번키],$W285),상세표[반영월],대상월키,상세표[반영 기관],"서울병원"))</f>
        <v/>
      </c>
      <c r="Q285">
        <f>IF($W285="","",SUM($M285:$P285))</f>
        <v/>
      </c>
      <c r="R285">
        <f>IF($W285="","",COUNTIFS(상세표[사번키],INDEX(합계표[사번키],$W285),상세표[반영월],대상월키,상세표[야간당직],1,상세표[야간 구분],"평일"))</f>
        <v/>
      </c>
      <c r="S285" s="4">
        <f>IF($W285="","",COUNTIFS(상세표[사번키],INDEX(합계표[사번키],$W285),상세표[반영월],대상월키,상세표[야간당직],1,상세표[야간 구분],"휴일"))</f>
        <v/>
      </c>
      <c r="T285">
        <f>IF($W285="","",COUNTIFS(상세표[사번키],INDEX(합계표[사번키],$W285),상세표[반영월],대상월키,상세표[야간당직],1,상세표[야간 구분],"평일",상세표[반영 기관],"서울병원"))</f>
        <v/>
      </c>
      <c r="U285">
        <f>IF($W285="","",COUNTIFS(상세표[사번키],INDEX(합계표[사번키],$W285),상세표[반영월],대상월키,상세표[야간당직],1,상세표[야간 구분],"휴일",상세표[반영 기관],"서울병원"))</f>
        <v/>
      </c>
      <c r="V285">
        <f>IF($W285="","",IF(ISNUMBER(MATCH(INDEX(합계표[사번키],$W285)&amp;"|"&amp;대상월키,월별근무지표[키],0)),"직접 입력",IF($K285="—","—","기관명단")))</f>
        <v/>
      </c>
      <c r="W285">
        <f>IFERROR(MATCH(280,합계표[판정순번],0),"")</f>
        <v/>
      </c>
      <c r="Y285">
        <f>IF($AB285="","",INDEX(상세표[사번],$AB285)&amp;"")</f>
        <v/>
      </c>
      <c r="Z285">
        <f>IF($AB285="","",INDEX(상세표[성명],$AB285)&amp;"")</f>
        <v/>
      </c>
      <c r="AA285">
        <f>IF($AB285="","",SUMIFS(상세표[기록 시간외],상세표[사번키],INDEX(상세표[사번키],$AB285),상세표[반영월],대상월키))</f>
        <v/>
      </c>
      <c r="AB285" s="4">
        <f>IFERROR(MATCH(280,상세표[합계없음순번],0),"")</f>
        <v/>
      </c>
    </row>
    <row r="286">
      <c r="A286">
        <f>IF($W286="","",INDEX(합계표[사번],$W286)&amp;"")</f>
        <v/>
      </c>
      <c r="B286">
        <f>IF($W286="","",INDEX(합계표[성명],$W286)&amp;"")</f>
        <v/>
      </c>
      <c r="C286">
        <f>IF($W286="","",INDEX(합계표[부서],$W286)&amp;"")</f>
        <v/>
      </c>
      <c r="D286">
        <f>IF($W286="","",INDEX(합계표[직위(통합)],$W286)&amp;"")</f>
        <v/>
      </c>
      <c r="E286">
        <f>IF($W286="","",SUMIFS(합계표[시스템 합계],합계표[사번키],INDEX(합계표[사번키],$W286)))</f>
        <v/>
      </c>
      <c r="F286">
        <f>IF($W286="","",SUMIFS(상세표[기록 시간외],상세표[사번키],INDEX(합계표[사번키],$W286),상세표[기록월],대상월키))</f>
        <v/>
      </c>
      <c r="G286">
        <f>IF($W286="","",IF(ABS($E286-$F286)&lt;0.01,"일치","불일치(차이 "&amp;TEXT($F286-$E286,"0.00")&amp;")"))</f>
        <v/>
      </c>
      <c r="H286">
        <f>IF($W286="","",SUMIFS(상세표[기록 시간외],상세표[사번키],INDEX(합계표[사번키],$W286),상세표[기록월],대상월키,상세표[반영월],"&lt;&gt;"&amp;대상월키))</f>
        <v/>
      </c>
      <c r="I286">
        <f>IF($W286="","",SUMIFS(상세표[기록 시간외],상세표[사번키],INDEX(합계표[사번키],$W286),상세표[기록월],"&lt;&gt;"&amp;대상월키,상세표[반영월],대상월키))</f>
        <v/>
      </c>
      <c r="J286">
        <f>IF($W286="","",SUMIFS(상세표[기록 시간외],상세표[사번키],INDEX(합계표[사번키],$W286),상세표[반영월],대상월키))</f>
        <v/>
      </c>
      <c r="K286">
        <f>IF($W286="","",IFERROR(INDEX(월별근무지표[적용 급여병원],MATCH(INDEX(합계표[사번키],$W286)&amp;"|"&amp;대상월키,월별근무지표[키],0))&amp;"",IF(COUNTIF(기관표[사번키],INDEX(합계표[사번키],$W286))+COUNTIF(월별근무지표[사번키],INDEX(합계표[사번키],$W286))&gt;0,IFERROR(INDEX(기관표[급여지급병원(기준월)],MATCH(INDEX(합계표[사번키],$W286)&amp;"|"&amp;대상월키,기관표[키],0))&amp;"","—"),"—")))</f>
        <v/>
      </c>
      <c r="L286">
        <f>IF($W286="","",IF(NOT(COUNTIF(기관표[사번키],INDEX(합계표[사번키],$W286))+COUNTIF(월별근무지표[사번키],INDEX(합계표[사번키],$W286))&gt;0),"기관명단에 없음(다른 병원으로 발송)",IF($K286="—","대상월 기관명단 없음(추가 필요)",IF($K286="서울병원","해당","비해당"))))</f>
        <v/>
      </c>
      <c r="M286">
        <f>IF($W286="","",SUMIFS(상세표[06~07시],상세표[사번키],INDEX(합계표[사번키],$W286),상세표[반영월],대상월키,상세표[반영 기관],"서울병원"))</f>
        <v/>
      </c>
      <c r="N286">
        <f>IF($W286="","",SUMIFS(상세표[07~18시],상세표[사번키],INDEX(합계표[사번키],$W286),상세표[반영월],대상월키,상세표[반영 기관],"서울병원"))</f>
        <v/>
      </c>
      <c r="O286">
        <f>IF($W286="","",SUMIFS(상세표[18~22시],상세표[사번키],INDEX(합계표[사번키],$W286),상세표[반영월],대상월키,상세표[반영 기관],"서울병원"))</f>
        <v/>
      </c>
      <c r="P286">
        <f>IF($W286="","",SUMIFS(상세표[22~06시],상세표[사번키],INDEX(합계표[사번키],$W286),상세표[반영월],대상월키,상세표[반영 기관],"서울병원"))</f>
        <v/>
      </c>
      <c r="Q286">
        <f>IF($W286="","",SUM($M286:$P286))</f>
        <v/>
      </c>
      <c r="R286">
        <f>IF($W286="","",COUNTIFS(상세표[사번키],INDEX(합계표[사번키],$W286),상세표[반영월],대상월키,상세표[야간당직],1,상세표[야간 구분],"평일"))</f>
        <v/>
      </c>
      <c r="S286" s="4">
        <f>IF($W286="","",COUNTIFS(상세표[사번키],INDEX(합계표[사번키],$W286),상세표[반영월],대상월키,상세표[야간당직],1,상세표[야간 구분],"휴일"))</f>
        <v/>
      </c>
      <c r="T286">
        <f>IF($W286="","",COUNTIFS(상세표[사번키],INDEX(합계표[사번키],$W286),상세표[반영월],대상월키,상세표[야간당직],1,상세표[야간 구분],"평일",상세표[반영 기관],"서울병원"))</f>
        <v/>
      </c>
      <c r="U286">
        <f>IF($W286="","",COUNTIFS(상세표[사번키],INDEX(합계표[사번키],$W286),상세표[반영월],대상월키,상세표[야간당직],1,상세표[야간 구분],"휴일",상세표[반영 기관],"서울병원"))</f>
        <v/>
      </c>
      <c r="V286">
        <f>IF($W286="","",IF(ISNUMBER(MATCH(INDEX(합계표[사번키],$W286)&amp;"|"&amp;대상월키,월별근무지표[키],0)),"직접 입력",IF($K286="—","—","기관명단")))</f>
        <v/>
      </c>
      <c r="W286">
        <f>IFERROR(MATCH(281,합계표[판정순번],0),"")</f>
        <v/>
      </c>
      <c r="Y286">
        <f>IF($AB286="","",INDEX(상세표[사번],$AB286)&amp;"")</f>
        <v/>
      </c>
      <c r="Z286">
        <f>IF($AB286="","",INDEX(상세표[성명],$AB286)&amp;"")</f>
        <v/>
      </c>
      <c r="AA286">
        <f>IF($AB286="","",SUMIFS(상세표[기록 시간외],상세표[사번키],INDEX(상세표[사번키],$AB286),상세표[반영월],대상월키))</f>
        <v/>
      </c>
      <c r="AB286" s="4">
        <f>IFERROR(MATCH(281,상세표[합계없음순번],0),"")</f>
        <v/>
      </c>
    </row>
    <row r="287">
      <c r="A287">
        <f>IF($W287="","",INDEX(합계표[사번],$W287)&amp;"")</f>
        <v/>
      </c>
      <c r="B287">
        <f>IF($W287="","",INDEX(합계표[성명],$W287)&amp;"")</f>
        <v/>
      </c>
      <c r="C287">
        <f>IF($W287="","",INDEX(합계표[부서],$W287)&amp;"")</f>
        <v/>
      </c>
      <c r="D287">
        <f>IF($W287="","",INDEX(합계표[직위(통합)],$W287)&amp;"")</f>
        <v/>
      </c>
      <c r="E287">
        <f>IF($W287="","",SUMIFS(합계표[시스템 합계],합계표[사번키],INDEX(합계표[사번키],$W287)))</f>
        <v/>
      </c>
      <c r="F287">
        <f>IF($W287="","",SUMIFS(상세표[기록 시간외],상세표[사번키],INDEX(합계표[사번키],$W287),상세표[기록월],대상월키))</f>
        <v/>
      </c>
      <c r="G287">
        <f>IF($W287="","",IF(ABS($E287-$F287)&lt;0.01,"일치","불일치(차이 "&amp;TEXT($F287-$E287,"0.00")&amp;")"))</f>
        <v/>
      </c>
      <c r="H287">
        <f>IF($W287="","",SUMIFS(상세표[기록 시간외],상세표[사번키],INDEX(합계표[사번키],$W287),상세표[기록월],대상월키,상세표[반영월],"&lt;&gt;"&amp;대상월키))</f>
        <v/>
      </c>
      <c r="I287">
        <f>IF($W287="","",SUMIFS(상세표[기록 시간외],상세표[사번키],INDEX(합계표[사번키],$W287),상세표[기록월],"&lt;&gt;"&amp;대상월키,상세표[반영월],대상월키))</f>
        <v/>
      </c>
      <c r="J287">
        <f>IF($W287="","",SUMIFS(상세표[기록 시간외],상세표[사번키],INDEX(합계표[사번키],$W287),상세표[반영월],대상월키))</f>
        <v/>
      </c>
      <c r="K287">
        <f>IF($W287="","",IFERROR(INDEX(월별근무지표[적용 급여병원],MATCH(INDEX(합계표[사번키],$W287)&amp;"|"&amp;대상월키,월별근무지표[키],0))&amp;"",IF(COUNTIF(기관표[사번키],INDEX(합계표[사번키],$W287))+COUNTIF(월별근무지표[사번키],INDEX(합계표[사번키],$W287))&gt;0,IFERROR(INDEX(기관표[급여지급병원(기준월)],MATCH(INDEX(합계표[사번키],$W287)&amp;"|"&amp;대상월키,기관표[키],0))&amp;"","—"),"—")))</f>
        <v/>
      </c>
      <c r="L287">
        <f>IF($W287="","",IF(NOT(COUNTIF(기관표[사번키],INDEX(합계표[사번키],$W287))+COUNTIF(월별근무지표[사번키],INDEX(합계표[사번키],$W287))&gt;0),"기관명단에 없음(다른 병원으로 발송)",IF($K287="—","대상월 기관명단 없음(추가 필요)",IF($K287="서울병원","해당","비해당"))))</f>
        <v/>
      </c>
      <c r="M287">
        <f>IF($W287="","",SUMIFS(상세표[06~07시],상세표[사번키],INDEX(합계표[사번키],$W287),상세표[반영월],대상월키,상세표[반영 기관],"서울병원"))</f>
        <v/>
      </c>
      <c r="N287">
        <f>IF($W287="","",SUMIFS(상세표[07~18시],상세표[사번키],INDEX(합계표[사번키],$W287),상세표[반영월],대상월키,상세표[반영 기관],"서울병원"))</f>
        <v/>
      </c>
      <c r="O287">
        <f>IF($W287="","",SUMIFS(상세표[18~22시],상세표[사번키],INDEX(합계표[사번키],$W287),상세표[반영월],대상월키,상세표[반영 기관],"서울병원"))</f>
        <v/>
      </c>
      <c r="P287">
        <f>IF($W287="","",SUMIFS(상세표[22~06시],상세표[사번키],INDEX(합계표[사번키],$W287),상세표[반영월],대상월키,상세표[반영 기관],"서울병원"))</f>
        <v/>
      </c>
      <c r="Q287">
        <f>IF($W287="","",SUM($M287:$P287))</f>
        <v/>
      </c>
      <c r="R287">
        <f>IF($W287="","",COUNTIFS(상세표[사번키],INDEX(합계표[사번키],$W287),상세표[반영월],대상월키,상세표[야간당직],1,상세표[야간 구분],"평일"))</f>
        <v/>
      </c>
      <c r="S287" s="4">
        <f>IF($W287="","",COUNTIFS(상세표[사번키],INDEX(합계표[사번키],$W287),상세표[반영월],대상월키,상세표[야간당직],1,상세표[야간 구분],"휴일"))</f>
        <v/>
      </c>
      <c r="T287">
        <f>IF($W287="","",COUNTIFS(상세표[사번키],INDEX(합계표[사번키],$W287),상세표[반영월],대상월키,상세표[야간당직],1,상세표[야간 구분],"평일",상세표[반영 기관],"서울병원"))</f>
        <v/>
      </c>
      <c r="U287">
        <f>IF($W287="","",COUNTIFS(상세표[사번키],INDEX(합계표[사번키],$W287),상세표[반영월],대상월키,상세표[야간당직],1,상세표[야간 구분],"휴일",상세표[반영 기관],"서울병원"))</f>
        <v/>
      </c>
      <c r="V287">
        <f>IF($W287="","",IF(ISNUMBER(MATCH(INDEX(합계표[사번키],$W287)&amp;"|"&amp;대상월키,월별근무지표[키],0)),"직접 입력",IF($K287="—","—","기관명단")))</f>
        <v/>
      </c>
      <c r="W287">
        <f>IFERROR(MATCH(282,합계표[판정순번],0),"")</f>
        <v/>
      </c>
      <c r="Y287">
        <f>IF($AB287="","",INDEX(상세표[사번],$AB287)&amp;"")</f>
        <v/>
      </c>
      <c r="Z287">
        <f>IF($AB287="","",INDEX(상세표[성명],$AB287)&amp;"")</f>
        <v/>
      </c>
      <c r="AA287">
        <f>IF($AB287="","",SUMIFS(상세표[기록 시간외],상세표[사번키],INDEX(상세표[사번키],$AB287),상세표[반영월],대상월키))</f>
        <v/>
      </c>
      <c r="AB287" s="4">
        <f>IFERROR(MATCH(282,상세표[합계없음순번],0),"")</f>
        <v/>
      </c>
    </row>
    <row r="288">
      <c r="A288">
        <f>IF($W288="","",INDEX(합계표[사번],$W288)&amp;"")</f>
        <v/>
      </c>
      <c r="B288">
        <f>IF($W288="","",INDEX(합계표[성명],$W288)&amp;"")</f>
        <v/>
      </c>
      <c r="C288">
        <f>IF($W288="","",INDEX(합계표[부서],$W288)&amp;"")</f>
        <v/>
      </c>
      <c r="D288">
        <f>IF($W288="","",INDEX(합계표[직위(통합)],$W288)&amp;"")</f>
        <v/>
      </c>
      <c r="E288">
        <f>IF($W288="","",SUMIFS(합계표[시스템 합계],합계표[사번키],INDEX(합계표[사번키],$W288)))</f>
        <v/>
      </c>
      <c r="F288">
        <f>IF($W288="","",SUMIFS(상세표[기록 시간외],상세표[사번키],INDEX(합계표[사번키],$W288),상세표[기록월],대상월키))</f>
        <v/>
      </c>
      <c r="G288">
        <f>IF($W288="","",IF(ABS($E288-$F288)&lt;0.01,"일치","불일치(차이 "&amp;TEXT($F288-$E288,"0.00")&amp;")"))</f>
        <v/>
      </c>
      <c r="H288">
        <f>IF($W288="","",SUMIFS(상세표[기록 시간외],상세표[사번키],INDEX(합계표[사번키],$W288),상세표[기록월],대상월키,상세표[반영월],"&lt;&gt;"&amp;대상월키))</f>
        <v/>
      </c>
      <c r="I288">
        <f>IF($W288="","",SUMIFS(상세표[기록 시간외],상세표[사번키],INDEX(합계표[사번키],$W288),상세표[기록월],"&lt;&gt;"&amp;대상월키,상세표[반영월],대상월키))</f>
        <v/>
      </c>
      <c r="J288">
        <f>IF($W288="","",SUMIFS(상세표[기록 시간외],상세표[사번키],INDEX(합계표[사번키],$W288),상세표[반영월],대상월키))</f>
        <v/>
      </c>
      <c r="K288">
        <f>IF($W288="","",IFERROR(INDEX(월별근무지표[적용 급여병원],MATCH(INDEX(합계표[사번키],$W288)&amp;"|"&amp;대상월키,월별근무지표[키],0))&amp;"",IF(COUNTIF(기관표[사번키],INDEX(합계표[사번키],$W288))+COUNTIF(월별근무지표[사번키],INDEX(합계표[사번키],$W288))&gt;0,IFERROR(INDEX(기관표[급여지급병원(기준월)],MATCH(INDEX(합계표[사번키],$W288)&amp;"|"&amp;대상월키,기관표[키],0))&amp;"","—"),"—")))</f>
        <v/>
      </c>
      <c r="L288">
        <f>IF($W288="","",IF(NOT(COUNTIF(기관표[사번키],INDEX(합계표[사번키],$W288))+COUNTIF(월별근무지표[사번키],INDEX(합계표[사번키],$W288))&gt;0),"기관명단에 없음(다른 병원으로 발송)",IF($K288="—","대상월 기관명단 없음(추가 필요)",IF($K288="서울병원","해당","비해당"))))</f>
        <v/>
      </c>
      <c r="M288">
        <f>IF($W288="","",SUMIFS(상세표[06~07시],상세표[사번키],INDEX(합계표[사번키],$W288),상세표[반영월],대상월키,상세표[반영 기관],"서울병원"))</f>
        <v/>
      </c>
      <c r="N288">
        <f>IF($W288="","",SUMIFS(상세표[07~18시],상세표[사번키],INDEX(합계표[사번키],$W288),상세표[반영월],대상월키,상세표[반영 기관],"서울병원"))</f>
        <v/>
      </c>
      <c r="O288">
        <f>IF($W288="","",SUMIFS(상세표[18~22시],상세표[사번키],INDEX(합계표[사번키],$W288),상세표[반영월],대상월키,상세표[반영 기관],"서울병원"))</f>
        <v/>
      </c>
      <c r="P288">
        <f>IF($W288="","",SUMIFS(상세표[22~06시],상세표[사번키],INDEX(합계표[사번키],$W288),상세표[반영월],대상월키,상세표[반영 기관],"서울병원"))</f>
        <v/>
      </c>
      <c r="Q288">
        <f>IF($W288="","",SUM($M288:$P288))</f>
        <v/>
      </c>
      <c r="R288">
        <f>IF($W288="","",COUNTIFS(상세표[사번키],INDEX(합계표[사번키],$W288),상세표[반영월],대상월키,상세표[야간당직],1,상세표[야간 구분],"평일"))</f>
        <v/>
      </c>
      <c r="S288" s="4">
        <f>IF($W288="","",COUNTIFS(상세표[사번키],INDEX(합계표[사번키],$W288),상세표[반영월],대상월키,상세표[야간당직],1,상세표[야간 구분],"휴일"))</f>
        <v/>
      </c>
      <c r="T288">
        <f>IF($W288="","",COUNTIFS(상세표[사번키],INDEX(합계표[사번키],$W288),상세표[반영월],대상월키,상세표[야간당직],1,상세표[야간 구분],"평일",상세표[반영 기관],"서울병원"))</f>
        <v/>
      </c>
      <c r="U288">
        <f>IF($W288="","",COUNTIFS(상세표[사번키],INDEX(합계표[사번키],$W288),상세표[반영월],대상월키,상세표[야간당직],1,상세표[야간 구분],"휴일",상세표[반영 기관],"서울병원"))</f>
        <v/>
      </c>
      <c r="V288">
        <f>IF($W288="","",IF(ISNUMBER(MATCH(INDEX(합계표[사번키],$W288)&amp;"|"&amp;대상월키,월별근무지표[키],0)),"직접 입력",IF($K288="—","—","기관명단")))</f>
        <v/>
      </c>
      <c r="W288">
        <f>IFERROR(MATCH(283,합계표[판정순번],0),"")</f>
        <v/>
      </c>
      <c r="Y288">
        <f>IF($AB288="","",INDEX(상세표[사번],$AB288)&amp;"")</f>
        <v/>
      </c>
      <c r="Z288">
        <f>IF($AB288="","",INDEX(상세표[성명],$AB288)&amp;"")</f>
        <v/>
      </c>
      <c r="AA288">
        <f>IF($AB288="","",SUMIFS(상세표[기록 시간외],상세표[사번키],INDEX(상세표[사번키],$AB288),상세표[반영월],대상월키))</f>
        <v/>
      </c>
      <c r="AB288" s="4">
        <f>IFERROR(MATCH(283,상세표[합계없음순번],0),"")</f>
        <v/>
      </c>
    </row>
    <row r="289">
      <c r="A289">
        <f>IF($W289="","",INDEX(합계표[사번],$W289)&amp;"")</f>
        <v/>
      </c>
      <c r="B289">
        <f>IF($W289="","",INDEX(합계표[성명],$W289)&amp;"")</f>
        <v/>
      </c>
      <c r="C289">
        <f>IF($W289="","",INDEX(합계표[부서],$W289)&amp;"")</f>
        <v/>
      </c>
      <c r="D289">
        <f>IF($W289="","",INDEX(합계표[직위(통합)],$W289)&amp;"")</f>
        <v/>
      </c>
      <c r="E289">
        <f>IF($W289="","",SUMIFS(합계표[시스템 합계],합계표[사번키],INDEX(합계표[사번키],$W289)))</f>
        <v/>
      </c>
      <c r="F289">
        <f>IF($W289="","",SUMIFS(상세표[기록 시간외],상세표[사번키],INDEX(합계표[사번키],$W289),상세표[기록월],대상월키))</f>
        <v/>
      </c>
      <c r="G289">
        <f>IF($W289="","",IF(ABS($E289-$F289)&lt;0.01,"일치","불일치(차이 "&amp;TEXT($F289-$E289,"0.00")&amp;")"))</f>
        <v/>
      </c>
      <c r="H289">
        <f>IF($W289="","",SUMIFS(상세표[기록 시간외],상세표[사번키],INDEX(합계표[사번키],$W289),상세표[기록월],대상월키,상세표[반영월],"&lt;&gt;"&amp;대상월키))</f>
        <v/>
      </c>
      <c r="I289">
        <f>IF($W289="","",SUMIFS(상세표[기록 시간외],상세표[사번키],INDEX(합계표[사번키],$W289),상세표[기록월],"&lt;&gt;"&amp;대상월키,상세표[반영월],대상월키))</f>
        <v/>
      </c>
      <c r="J289">
        <f>IF($W289="","",SUMIFS(상세표[기록 시간외],상세표[사번키],INDEX(합계표[사번키],$W289),상세표[반영월],대상월키))</f>
        <v/>
      </c>
      <c r="K289">
        <f>IF($W289="","",IFERROR(INDEX(월별근무지표[적용 급여병원],MATCH(INDEX(합계표[사번키],$W289)&amp;"|"&amp;대상월키,월별근무지표[키],0))&amp;"",IF(COUNTIF(기관표[사번키],INDEX(합계표[사번키],$W289))+COUNTIF(월별근무지표[사번키],INDEX(합계표[사번키],$W289))&gt;0,IFERROR(INDEX(기관표[급여지급병원(기준월)],MATCH(INDEX(합계표[사번키],$W289)&amp;"|"&amp;대상월키,기관표[키],0))&amp;"","—"),"—")))</f>
        <v/>
      </c>
      <c r="L289">
        <f>IF($W289="","",IF(NOT(COUNTIF(기관표[사번키],INDEX(합계표[사번키],$W289))+COUNTIF(월별근무지표[사번키],INDEX(합계표[사번키],$W289))&gt;0),"기관명단에 없음(다른 병원으로 발송)",IF($K289="—","대상월 기관명단 없음(추가 필요)",IF($K289="서울병원","해당","비해당"))))</f>
        <v/>
      </c>
      <c r="M289">
        <f>IF($W289="","",SUMIFS(상세표[06~07시],상세표[사번키],INDEX(합계표[사번키],$W289),상세표[반영월],대상월키,상세표[반영 기관],"서울병원"))</f>
        <v/>
      </c>
      <c r="N289">
        <f>IF($W289="","",SUMIFS(상세표[07~18시],상세표[사번키],INDEX(합계표[사번키],$W289),상세표[반영월],대상월키,상세표[반영 기관],"서울병원"))</f>
        <v/>
      </c>
      <c r="O289">
        <f>IF($W289="","",SUMIFS(상세표[18~22시],상세표[사번키],INDEX(합계표[사번키],$W289),상세표[반영월],대상월키,상세표[반영 기관],"서울병원"))</f>
        <v/>
      </c>
      <c r="P289">
        <f>IF($W289="","",SUMIFS(상세표[22~06시],상세표[사번키],INDEX(합계표[사번키],$W289),상세표[반영월],대상월키,상세표[반영 기관],"서울병원"))</f>
        <v/>
      </c>
      <c r="Q289">
        <f>IF($W289="","",SUM($M289:$P289))</f>
        <v/>
      </c>
      <c r="R289">
        <f>IF($W289="","",COUNTIFS(상세표[사번키],INDEX(합계표[사번키],$W289),상세표[반영월],대상월키,상세표[야간당직],1,상세표[야간 구분],"평일"))</f>
        <v/>
      </c>
      <c r="S289" s="4">
        <f>IF($W289="","",COUNTIFS(상세표[사번키],INDEX(합계표[사번키],$W289),상세표[반영월],대상월키,상세표[야간당직],1,상세표[야간 구분],"휴일"))</f>
        <v/>
      </c>
      <c r="T289">
        <f>IF($W289="","",COUNTIFS(상세표[사번키],INDEX(합계표[사번키],$W289),상세표[반영월],대상월키,상세표[야간당직],1,상세표[야간 구분],"평일",상세표[반영 기관],"서울병원"))</f>
        <v/>
      </c>
      <c r="U289">
        <f>IF($W289="","",COUNTIFS(상세표[사번키],INDEX(합계표[사번키],$W289),상세표[반영월],대상월키,상세표[야간당직],1,상세표[야간 구분],"휴일",상세표[반영 기관],"서울병원"))</f>
        <v/>
      </c>
      <c r="V289">
        <f>IF($W289="","",IF(ISNUMBER(MATCH(INDEX(합계표[사번키],$W289)&amp;"|"&amp;대상월키,월별근무지표[키],0)),"직접 입력",IF($K289="—","—","기관명단")))</f>
        <v/>
      </c>
      <c r="W289">
        <f>IFERROR(MATCH(284,합계표[판정순번],0),"")</f>
        <v/>
      </c>
      <c r="Y289">
        <f>IF($AB289="","",INDEX(상세표[사번],$AB289)&amp;"")</f>
        <v/>
      </c>
      <c r="Z289">
        <f>IF($AB289="","",INDEX(상세표[성명],$AB289)&amp;"")</f>
        <v/>
      </c>
      <c r="AA289">
        <f>IF($AB289="","",SUMIFS(상세표[기록 시간외],상세표[사번키],INDEX(상세표[사번키],$AB289),상세표[반영월],대상월키))</f>
        <v/>
      </c>
      <c r="AB289" s="4">
        <f>IFERROR(MATCH(284,상세표[합계없음순번],0),"")</f>
        <v/>
      </c>
    </row>
    <row r="290">
      <c r="A290">
        <f>IF($W290="","",INDEX(합계표[사번],$W290)&amp;"")</f>
        <v/>
      </c>
      <c r="B290">
        <f>IF($W290="","",INDEX(합계표[성명],$W290)&amp;"")</f>
        <v/>
      </c>
      <c r="C290">
        <f>IF($W290="","",INDEX(합계표[부서],$W290)&amp;"")</f>
        <v/>
      </c>
      <c r="D290">
        <f>IF($W290="","",INDEX(합계표[직위(통합)],$W290)&amp;"")</f>
        <v/>
      </c>
      <c r="E290">
        <f>IF($W290="","",SUMIFS(합계표[시스템 합계],합계표[사번키],INDEX(합계표[사번키],$W290)))</f>
        <v/>
      </c>
      <c r="F290">
        <f>IF($W290="","",SUMIFS(상세표[기록 시간외],상세표[사번키],INDEX(합계표[사번키],$W290),상세표[기록월],대상월키))</f>
        <v/>
      </c>
      <c r="G290">
        <f>IF($W290="","",IF(ABS($E290-$F290)&lt;0.01,"일치","불일치(차이 "&amp;TEXT($F290-$E290,"0.00")&amp;")"))</f>
        <v/>
      </c>
      <c r="H290">
        <f>IF($W290="","",SUMIFS(상세표[기록 시간외],상세표[사번키],INDEX(합계표[사번키],$W290),상세표[기록월],대상월키,상세표[반영월],"&lt;&gt;"&amp;대상월키))</f>
        <v/>
      </c>
      <c r="I290">
        <f>IF($W290="","",SUMIFS(상세표[기록 시간외],상세표[사번키],INDEX(합계표[사번키],$W290),상세표[기록월],"&lt;&gt;"&amp;대상월키,상세표[반영월],대상월키))</f>
        <v/>
      </c>
      <c r="J290">
        <f>IF($W290="","",SUMIFS(상세표[기록 시간외],상세표[사번키],INDEX(합계표[사번키],$W290),상세표[반영월],대상월키))</f>
        <v/>
      </c>
      <c r="K290">
        <f>IF($W290="","",IFERROR(INDEX(월별근무지표[적용 급여병원],MATCH(INDEX(합계표[사번키],$W290)&amp;"|"&amp;대상월키,월별근무지표[키],0))&amp;"",IF(COUNTIF(기관표[사번키],INDEX(합계표[사번키],$W290))+COUNTIF(월별근무지표[사번키],INDEX(합계표[사번키],$W290))&gt;0,IFERROR(INDEX(기관표[급여지급병원(기준월)],MATCH(INDEX(합계표[사번키],$W290)&amp;"|"&amp;대상월키,기관표[키],0))&amp;"","—"),"—")))</f>
        <v/>
      </c>
      <c r="L290">
        <f>IF($W290="","",IF(NOT(COUNTIF(기관표[사번키],INDEX(합계표[사번키],$W290))+COUNTIF(월별근무지표[사번키],INDEX(합계표[사번키],$W290))&gt;0),"기관명단에 없음(다른 병원으로 발송)",IF($K290="—","대상월 기관명단 없음(추가 필요)",IF($K290="서울병원","해당","비해당"))))</f>
        <v/>
      </c>
      <c r="M290">
        <f>IF($W290="","",SUMIFS(상세표[06~07시],상세표[사번키],INDEX(합계표[사번키],$W290),상세표[반영월],대상월키,상세표[반영 기관],"서울병원"))</f>
        <v/>
      </c>
      <c r="N290">
        <f>IF($W290="","",SUMIFS(상세표[07~18시],상세표[사번키],INDEX(합계표[사번키],$W290),상세표[반영월],대상월키,상세표[반영 기관],"서울병원"))</f>
        <v/>
      </c>
      <c r="O290">
        <f>IF($W290="","",SUMIFS(상세표[18~22시],상세표[사번키],INDEX(합계표[사번키],$W290),상세표[반영월],대상월키,상세표[반영 기관],"서울병원"))</f>
        <v/>
      </c>
      <c r="P290">
        <f>IF($W290="","",SUMIFS(상세표[22~06시],상세표[사번키],INDEX(합계표[사번키],$W290),상세표[반영월],대상월키,상세표[반영 기관],"서울병원"))</f>
        <v/>
      </c>
      <c r="Q290">
        <f>IF($W290="","",SUM($M290:$P290))</f>
        <v/>
      </c>
      <c r="R290">
        <f>IF($W290="","",COUNTIFS(상세표[사번키],INDEX(합계표[사번키],$W290),상세표[반영월],대상월키,상세표[야간당직],1,상세표[야간 구분],"평일"))</f>
        <v/>
      </c>
      <c r="S290" s="4">
        <f>IF($W290="","",COUNTIFS(상세표[사번키],INDEX(합계표[사번키],$W290),상세표[반영월],대상월키,상세표[야간당직],1,상세표[야간 구분],"휴일"))</f>
        <v/>
      </c>
      <c r="T290">
        <f>IF($W290="","",COUNTIFS(상세표[사번키],INDEX(합계표[사번키],$W290),상세표[반영월],대상월키,상세표[야간당직],1,상세표[야간 구분],"평일",상세표[반영 기관],"서울병원"))</f>
        <v/>
      </c>
      <c r="U290">
        <f>IF($W290="","",COUNTIFS(상세표[사번키],INDEX(합계표[사번키],$W290),상세표[반영월],대상월키,상세표[야간당직],1,상세표[야간 구분],"휴일",상세표[반영 기관],"서울병원"))</f>
        <v/>
      </c>
      <c r="V290">
        <f>IF($W290="","",IF(ISNUMBER(MATCH(INDEX(합계표[사번키],$W290)&amp;"|"&amp;대상월키,월별근무지표[키],0)),"직접 입력",IF($K290="—","—","기관명단")))</f>
        <v/>
      </c>
      <c r="W290">
        <f>IFERROR(MATCH(285,합계표[판정순번],0),"")</f>
        <v/>
      </c>
      <c r="Y290">
        <f>IF($AB290="","",INDEX(상세표[사번],$AB290)&amp;"")</f>
        <v/>
      </c>
      <c r="Z290">
        <f>IF($AB290="","",INDEX(상세표[성명],$AB290)&amp;"")</f>
        <v/>
      </c>
      <c r="AA290">
        <f>IF($AB290="","",SUMIFS(상세표[기록 시간외],상세표[사번키],INDEX(상세표[사번키],$AB290),상세표[반영월],대상월키))</f>
        <v/>
      </c>
      <c r="AB290" s="4">
        <f>IFERROR(MATCH(285,상세표[합계없음순번],0),"")</f>
        <v/>
      </c>
    </row>
    <row r="291">
      <c r="A291">
        <f>IF($W291="","",INDEX(합계표[사번],$W291)&amp;"")</f>
        <v/>
      </c>
      <c r="B291">
        <f>IF($W291="","",INDEX(합계표[성명],$W291)&amp;"")</f>
        <v/>
      </c>
      <c r="C291">
        <f>IF($W291="","",INDEX(합계표[부서],$W291)&amp;"")</f>
        <v/>
      </c>
      <c r="D291">
        <f>IF($W291="","",INDEX(합계표[직위(통합)],$W291)&amp;"")</f>
        <v/>
      </c>
      <c r="E291">
        <f>IF($W291="","",SUMIFS(합계표[시스템 합계],합계표[사번키],INDEX(합계표[사번키],$W291)))</f>
        <v/>
      </c>
      <c r="F291">
        <f>IF($W291="","",SUMIFS(상세표[기록 시간외],상세표[사번키],INDEX(합계표[사번키],$W291),상세표[기록월],대상월키))</f>
        <v/>
      </c>
      <c r="G291">
        <f>IF($W291="","",IF(ABS($E291-$F291)&lt;0.01,"일치","불일치(차이 "&amp;TEXT($F291-$E291,"0.00")&amp;")"))</f>
        <v/>
      </c>
      <c r="H291">
        <f>IF($W291="","",SUMIFS(상세표[기록 시간외],상세표[사번키],INDEX(합계표[사번키],$W291),상세표[기록월],대상월키,상세표[반영월],"&lt;&gt;"&amp;대상월키))</f>
        <v/>
      </c>
      <c r="I291">
        <f>IF($W291="","",SUMIFS(상세표[기록 시간외],상세표[사번키],INDEX(합계표[사번키],$W291),상세표[기록월],"&lt;&gt;"&amp;대상월키,상세표[반영월],대상월키))</f>
        <v/>
      </c>
      <c r="J291">
        <f>IF($W291="","",SUMIFS(상세표[기록 시간외],상세표[사번키],INDEX(합계표[사번키],$W291),상세표[반영월],대상월키))</f>
        <v/>
      </c>
      <c r="K291">
        <f>IF($W291="","",IFERROR(INDEX(월별근무지표[적용 급여병원],MATCH(INDEX(합계표[사번키],$W291)&amp;"|"&amp;대상월키,월별근무지표[키],0))&amp;"",IF(COUNTIF(기관표[사번키],INDEX(합계표[사번키],$W291))+COUNTIF(월별근무지표[사번키],INDEX(합계표[사번키],$W291))&gt;0,IFERROR(INDEX(기관표[급여지급병원(기준월)],MATCH(INDEX(합계표[사번키],$W291)&amp;"|"&amp;대상월키,기관표[키],0))&amp;"","—"),"—")))</f>
        <v/>
      </c>
      <c r="L291">
        <f>IF($W291="","",IF(NOT(COUNTIF(기관표[사번키],INDEX(합계표[사번키],$W291))+COUNTIF(월별근무지표[사번키],INDEX(합계표[사번키],$W291))&gt;0),"기관명단에 없음(다른 병원으로 발송)",IF($K291="—","대상월 기관명단 없음(추가 필요)",IF($K291="서울병원","해당","비해당"))))</f>
        <v/>
      </c>
      <c r="M291">
        <f>IF($W291="","",SUMIFS(상세표[06~07시],상세표[사번키],INDEX(합계표[사번키],$W291),상세표[반영월],대상월키,상세표[반영 기관],"서울병원"))</f>
        <v/>
      </c>
      <c r="N291">
        <f>IF($W291="","",SUMIFS(상세표[07~18시],상세표[사번키],INDEX(합계표[사번키],$W291),상세표[반영월],대상월키,상세표[반영 기관],"서울병원"))</f>
        <v/>
      </c>
      <c r="O291">
        <f>IF($W291="","",SUMIFS(상세표[18~22시],상세표[사번키],INDEX(합계표[사번키],$W291),상세표[반영월],대상월키,상세표[반영 기관],"서울병원"))</f>
        <v/>
      </c>
      <c r="P291">
        <f>IF($W291="","",SUMIFS(상세표[22~06시],상세표[사번키],INDEX(합계표[사번키],$W291),상세표[반영월],대상월키,상세표[반영 기관],"서울병원"))</f>
        <v/>
      </c>
      <c r="Q291">
        <f>IF($W291="","",SUM($M291:$P291))</f>
        <v/>
      </c>
      <c r="R291">
        <f>IF($W291="","",COUNTIFS(상세표[사번키],INDEX(합계표[사번키],$W291),상세표[반영월],대상월키,상세표[야간당직],1,상세표[야간 구분],"평일"))</f>
        <v/>
      </c>
      <c r="S291" s="4">
        <f>IF($W291="","",COUNTIFS(상세표[사번키],INDEX(합계표[사번키],$W291),상세표[반영월],대상월키,상세표[야간당직],1,상세표[야간 구분],"휴일"))</f>
        <v/>
      </c>
      <c r="T291">
        <f>IF($W291="","",COUNTIFS(상세표[사번키],INDEX(합계표[사번키],$W291),상세표[반영월],대상월키,상세표[야간당직],1,상세표[야간 구분],"평일",상세표[반영 기관],"서울병원"))</f>
        <v/>
      </c>
      <c r="U291">
        <f>IF($W291="","",COUNTIFS(상세표[사번키],INDEX(합계표[사번키],$W291),상세표[반영월],대상월키,상세표[야간당직],1,상세표[야간 구분],"휴일",상세표[반영 기관],"서울병원"))</f>
        <v/>
      </c>
      <c r="V291">
        <f>IF($W291="","",IF(ISNUMBER(MATCH(INDEX(합계표[사번키],$W291)&amp;"|"&amp;대상월키,월별근무지표[키],0)),"직접 입력",IF($K291="—","—","기관명단")))</f>
        <v/>
      </c>
      <c r="W291">
        <f>IFERROR(MATCH(286,합계표[판정순번],0),"")</f>
        <v/>
      </c>
      <c r="Y291">
        <f>IF($AB291="","",INDEX(상세표[사번],$AB291)&amp;"")</f>
        <v/>
      </c>
      <c r="Z291">
        <f>IF($AB291="","",INDEX(상세표[성명],$AB291)&amp;"")</f>
        <v/>
      </c>
      <c r="AA291">
        <f>IF($AB291="","",SUMIFS(상세표[기록 시간외],상세표[사번키],INDEX(상세표[사번키],$AB291),상세표[반영월],대상월키))</f>
        <v/>
      </c>
      <c r="AB291" s="4">
        <f>IFERROR(MATCH(286,상세표[합계없음순번],0),"")</f>
        <v/>
      </c>
    </row>
    <row r="292">
      <c r="A292">
        <f>IF($W292="","",INDEX(합계표[사번],$W292)&amp;"")</f>
        <v/>
      </c>
      <c r="B292">
        <f>IF($W292="","",INDEX(합계표[성명],$W292)&amp;"")</f>
        <v/>
      </c>
      <c r="C292">
        <f>IF($W292="","",INDEX(합계표[부서],$W292)&amp;"")</f>
        <v/>
      </c>
      <c r="D292">
        <f>IF($W292="","",INDEX(합계표[직위(통합)],$W292)&amp;"")</f>
        <v/>
      </c>
      <c r="E292">
        <f>IF($W292="","",SUMIFS(합계표[시스템 합계],합계표[사번키],INDEX(합계표[사번키],$W292)))</f>
        <v/>
      </c>
      <c r="F292">
        <f>IF($W292="","",SUMIFS(상세표[기록 시간외],상세표[사번키],INDEX(합계표[사번키],$W292),상세표[기록월],대상월키))</f>
        <v/>
      </c>
      <c r="G292">
        <f>IF($W292="","",IF(ABS($E292-$F292)&lt;0.01,"일치","불일치(차이 "&amp;TEXT($F292-$E292,"0.00")&amp;")"))</f>
        <v/>
      </c>
      <c r="H292">
        <f>IF($W292="","",SUMIFS(상세표[기록 시간외],상세표[사번키],INDEX(합계표[사번키],$W292),상세표[기록월],대상월키,상세표[반영월],"&lt;&gt;"&amp;대상월키))</f>
        <v/>
      </c>
      <c r="I292">
        <f>IF($W292="","",SUMIFS(상세표[기록 시간외],상세표[사번키],INDEX(합계표[사번키],$W292),상세표[기록월],"&lt;&gt;"&amp;대상월키,상세표[반영월],대상월키))</f>
        <v/>
      </c>
      <c r="J292">
        <f>IF($W292="","",SUMIFS(상세표[기록 시간외],상세표[사번키],INDEX(합계표[사번키],$W292),상세표[반영월],대상월키))</f>
        <v/>
      </c>
      <c r="K292">
        <f>IF($W292="","",IFERROR(INDEX(월별근무지표[적용 급여병원],MATCH(INDEX(합계표[사번키],$W292)&amp;"|"&amp;대상월키,월별근무지표[키],0))&amp;"",IF(COUNTIF(기관표[사번키],INDEX(합계표[사번키],$W292))+COUNTIF(월별근무지표[사번키],INDEX(합계표[사번키],$W292))&gt;0,IFERROR(INDEX(기관표[급여지급병원(기준월)],MATCH(INDEX(합계표[사번키],$W292)&amp;"|"&amp;대상월키,기관표[키],0))&amp;"","—"),"—")))</f>
        <v/>
      </c>
      <c r="L292">
        <f>IF($W292="","",IF(NOT(COUNTIF(기관표[사번키],INDEX(합계표[사번키],$W292))+COUNTIF(월별근무지표[사번키],INDEX(합계표[사번키],$W292))&gt;0),"기관명단에 없음(다른 병원으로 발송)",IF($K292="—","대상월 기관명단 없음(추가 필요)",IF($K292="서울병원","해당","비해당"))))</f>
        <v/>
      </c>
      <c r="M292">
        <f>IF($W292="","",SUMIFS(상세표[06~07시],상세표[사번키],INDEX(합계표[사번키],$W292),상세표[반영월],대상월키,상세표[반영 기관],"서울병원"))</f>
        <v/>
      </c>
      <c r="N292">
        <f>IF($W292="","",SUMIFS(상세표[07~18시],상세표[사번키],INDEX(합계표[사번키],$W292),상세표[반영월],대상월키,상세표[반영 기관],"서울병원"))</f>
        <v/>
      </c>
      <c r="O292">
        <f>IF($W292="","",SUMIFS(상세표[18~22시],상세표[사번키],INDEX(합계표[사번키],$W292),상세표[반영월],대상월키,상세표[반영 기관],"서울병원"))</f>
        <v/>
      </c>
      <c r="P292">
        <f>IF($W292="","",SUMIFS(상세표[22~06시],상세표[사번키],INDEX(합계표[사번키],$W292),상세표[반영월],대상월키,상세표[반영 기관],"서울병원"))</f>
        <v/>
      </c>
      <c r="Q292">
        <f>IF($W292="","",SUM($M292:$P292))</f>
        <v/>
      </c>
      <c r="R292">
        <f>IF($W292="","",COUNTIFS(상세표[사번키],INDEX(합계표[사번키],$W292),상세표[반영월],대상월키,상세표[야간당직],1,상세표[야간 구분],"평일"))</f>
        <v/>
      </c>
      <c r="S292" s="4">
        <f>IF($W292="","",COUNTIFS(상세표[사번키],INDEX(합계표[사번키],$W292),상세표[반영월],대상월키,상세표[야간당직],1,상세표[야간 구분],"휴일"))</f>
        <v/>
      </c>
      <c r="T292">
        <f>IF($W292="","",COUNTIFS(상세표[사번키],INDEX(합계표[사번키],$W292),상세표[반영월],대상월키,상세표[야간당직],1,상세표[야간 구분],"평일",상세표[반영 기관],"서울병원"))</f>
        <v/>
      </c>
      <c r="U292">
        <f>IF($W292="","",COUNTIFS(상세표[사번키],INDEX(합계표[사번키],$W292),상세표[반영월],대상월키,상세표[야간당직],1,상세표[야간 구분],"휴일",상세표[반영 기관],"서울병원"))</f>
        <v/>
      </c>
      <c r="V292">
        <f>IF($W292="","",IF(ISNUMBER(MATCH(INDEX(합계표[사번키],$W292)&amp;"|"&amp;대상월키,월별근무지표[키],0)),"직접 입력",IF($K292="—","—","기관명단")))</f>
        <v/>
      </c>
      <c r="W292">
        <f>IFERROR(MATCH(287,합계표[판정순번],0),"")</f>
        <v/>
      </c>
      <c r="Y292">
        <f>IF($AB292="","",INDEX(상세표[사번],$AB292)&amp;"")</f>
        <v/>
      </c>
      <c r="Z292">
        <f>IF($AB292="","",INDEX(상세표[성명],$AB292)&amp;"")</f>
        <v/>
      </c>
      <c r="AA292">
        <f>IF($AB292="","",SUMIFS(상세표[기록 시간외],상세표[사번키],INDEX(상세표[사번키],$AB292),상세표[반영월],대상월키))</f>
        <v/>
      </c>
      <c r="AB292" s="4">
        <f>IFERROR(MATCH(287,상세표[합계없음순번],0),"")</f>
        <v/>
      </c>
    </row>
    <row r="293">
      <c r="A293">
        <f>IF($W293="","",INDEX(합계표[사번],$W293)&amp;"")</f>
        <v/>
      </c>
      <c r="B293">
        <f>IF($W293="","",INDEX(합계표[성명],$W293)&amp;"")</f>
        <v/>
      </c>
      <c r="C293">
        <f>IF($W293="","",INDEX(합계표[부서],$W293)&amp;"")</f>
        <v/>
      </c>
      <c r="D293">
        <f>IF($W293="","",INDEX(합계표[직위(통합)],$W293)&amp;"")</f>
        <v/>
      </c>
      <c r="E293">
        <f>IF($W293="","",SUMIFS(합계표[시스템 합계],합계표[사번키],INDEX(합계표[사번키],$W293)))</f>
        <v/>
      </c>
      <c r="F293">
        <f>IF($W293="","",SUMIFS(상세표[기록 시간외],상세표[사번키],INDEX(합계표[사번키],$W293),상세표[기록월],대상월키))</f>
        <v/>
      </c>
      <c r="G293">
        <f>IF($W293="","",IF(ABS($E293-$F293)&lt;0.01,"일치","불일치(차이 "&amp;TEXT($F293-$E293,"0.00")&amp;")"))</f>
        <v/>
      </c>
      <c r="H293">
        <f>IF($W293="","",SUMIFS(상세표[기록 시간외],상세표[사번키],INDEX(합계표[사번키],$W293),상세표[기록월],대상월키,상세표[반영월],"&lt;&gt;"&amp;대상월키))</f>
        <v/>
      </c>
      <c r="I293">
        <f>IF($W293="","",SUMIFS(상세표[기록 시간외],상세표[사번키],INDEX(합계표[사번키],$W293),상세표[기록월],"&lt;&gt;"&amp;대상월키,상세표[반영월],대상월키))</f>
        <v/>
      </c>
      <c r="J293">
        <f>IF($W293="","",SUMIFS(상세표[기록 시간외],상세표[사번키],INDEX(합계표[사번키],$W293),상세표[반영월],대상월키))</f>
        <v/>
      </c>
      <c r="K293">
        <f>IF($W293="","",IFERROR(INDEX(월별근무지표[적용 급여병원],MATCH(INDEX(합계표[사번키],$W293)&amp;"|"&amp;대상월키,월별근무지표[키],0))&amp;"",IF(COUNTIF(기관표[사번키],INDEX(합계표[사번키],$W293))+COUNTIF(월별근무지표[사번키],INDEX(합계표[사번키],$W293))&gt;0,IFERROR(INDEX(기관표[급여지급병원(기준월)],MATCH(INDEX(합계표[사번키],$W293)&amp;"|"&amp;대상월키,기관표[키],0))&amp;"","—"),"—")))</f>
        <v/>
      </c>
      <c r="L293">
        <f>IF($W293="","",IF(NOT(COUNTIF(기관표[사번키],INDEX(합계표[사번키],$W293))+COUNTIF(월별근무지표[사번키],INDEX(합계표[사번키],$W293))&gt;0),"기관명단에 없음(다른 병원으로 발송)",IF($K293="—","대상월 기관명단 없음(추가 필요)",IF($K293="서울병원","해당","비해당"))))</f>
        <v/>
      </c>
      <c r="M293">
        <f>IF($W293="","",SUMIFS(상세표[06~07시],상세표[사번키],INDEX(합계표[사번키],$W293),상세표[반영월],대상월키,상세표[반영 기관],"서울병원"))</f>
        <v/>
      </c>
      <c r="N293">
        <f>IF($W293="","",SUMIFS(상세표[07~18시],상세표[사번키],INDEX(합계표[사번키],$W293),상세표[반영월],대상월키,상세표[반영 기관],"서울병원"))</f>
        <v/>
      </c>
      <c r="O293">
        <f>IF($W293="","",SUMIFS(상세표[18~22시],상세표[사번키],INDEX(합계표[사번키],$W293),상세표[반영월],대상월키,상세표[반영 기관],"서울병원"))</f>
        <v/>
      </c>
      <c r="P293">
        <f>IF($W293="","",SUMIFS(상세표[22~06시],상세표[사번키],INDEX(합계표[사번키],$W293),상세표[반영월],대상월키,상세표[반영 기관],"서울병원"))</f>
        <v/>
      </c>
      <c r="Q293">
        <f>IF($W293="","",SUM($M293:$P293))</f>
        <v/>
      </c>
      <c r="R293">
        <f>IF($W293="","",COUNTIFS(상세표[사번키],INDEX(합계표[사번키],$W293),상세표[반영월],대상월키,상세표[야간당직],1,상세표[야간 구분],"평일"))</f>
        <v/>
      </c>
      <c r="S293" s="4">
        <f>IF($W293="","",COUNTIFS(상세표[사번키],INDEX(합계표[사번키],$W293),상세표[반영월],대상월키,상세표[야간당직],1,상세표[야간 구분],"휴일"))</f>
        <v/>
      </c>
      <c r="T293">
        <f>IF($W293="","",COUNTIFS(상세표[사번키],INDEX(합계표[사번키],$W293),상세표[반영월],대상월키,상세표[야간당직],1,상세표[야간 구분],"평일",상세표[반영 기관],"서울병원"))</f>
        <v/>
      </c>
      <c r="U293">
        <f>IF($W293="","",COUNTIFS(상세표[사번키],INDEX(합계표[사번키],$W293),상세표[반영월],대상월키,상세표[야간당직],1,상세표[야간 구분],"휴일",상세표[반영 기관],"서울병원"))</f>
        <v/>
      </c>
      <c r="V293">
        <f>IF($W293="","",IF(ISNUMBER(MATCH(INDEX(합계표[사번키],$W293)&amp;"|"&amp;대상월키,월별근무지표[키],0)),"직접 입력",IF($K293="—","—","기관명단")))</f>
        <v/>
      </c>
      <c r="W293">
        <f>IFERROR(MATCH(288,합계표[판정순번],0),"")</f>
        <v/>
      </c>
      <c r="Y293">
        <f>IF($AB293="","",INDEX(상세표[사번],$AB293)&amp;"")</f>
        <v/>
      </c>
      <c r="Z293">
        <f>IF($AB293="","",INDEX(상세표[성명],$AB293)&amp;"")</f>
        <v/>
      </c>
      <c r="AA293">
        <f>IF($AB293="","",SUMIFS(상세표[기록 시간외],상세표[사번키],INDEX(상세표[사번키],$AB293),상세표[반영월],대상월키))</f>
        <v/>
      </c>
      <c r="AB293" s="4">
        <f>IFERROR(MATCH(288,상세표[합계없음순번],0),"")</f>
        <v/>
      </c>
    </row>
    <row r="294">
      <c r="A294">
        <f>IF($W294="","",INDEX(합계표[사번],$W294)&amp;"")</f>
        <v/>
      </c>
      <c r="B294">
        <f>IF($W294="","",INDEX(합계표[성명],$W294)&amp;"")</f>
        <v/>
      </c>
      <c r="C294">
        <f>IF($W294="","",INDEX(합계표[부서],$W294)&amp;"")</f>
        <v/>
      </c>
      <c r="D294">
        <f>IF($W294="","",INDEX(합계표[직위(통합)],$W294)&amp;"")</f>
        <v/>
      </c>
      <c r="E294">
        <f>IF($W294="","",SUMIFS(합계표[시스템 합계],합계표[사번키],INDEX(합계표[사번키],$W294)))</f>
        <v/>
      </c>
      <c r="F294">
        <f>IF($W294="","",SUMIFS(상세표[기록 시간외],상세표[사번키],INDEX(합계표[사번키],$W294),상세표[기록월],대상월키))</f>
        <v/>
      </c>
      <c r="G294">
        <f>IF($W294="","",IF(ABS($E294-$F294)&lt;0.01,"일치","불일치(차이 "&amp;TEXT($F294-$E294,"0.00")&amp;")"))</f>
        <v/>
      </c>
      <c r="H294">
        <f>IF($W294="","",SUMIFS(상세표[기록 시간외],상세표[사번키],INDEX(합계표[사번키],$W294),상세표[기록월],대상월키,상세표[반영월],"&lt;&gt;"&amp;대상월키))</f>
        <v/>
      </c>
      <c r="I294">
        <f>IF($W294="","",SUMIFS(상세표[기록 시간외],상세표[사번키],INDEX(합계표[사번키],$W294),상세표[기록월],"&lt;&gt;"&amp;대상월키,상세표[반영월],대상월키))</f>
        <v/>
      </c>
      <c r="J294">
        <f>IF($W294="","",SUMIFS(상세표[기록 시간외],상세표[사번키],INDEX(합계표[사번키],$W294),상세표[반영월],대상월키))</f>
        <v/>
      </c>
      <c r="K294">
        <f>IF($W294="","",IFERROR(INDEX(월별근무지표[적용 급여병원],MATCH(INDEX(합계표[사번키],$W294)&amp;"|"&amp;대상월키,월별근무지표[키],0))&amp;"",IF(COUNTIF(기관표[사번키],INDEX(합계표[사번키],$W294))+COUNTIF(월별근무지표[사번키],INDEX(합계표[사번키],$W294))&gt;0,IFERROR(INDEX(기관표[급여지급병원(기준월)],MATCH(INDEX(합계표[사번키],$W294)&amp;"|"&amp;대상월키,기관표[키],0))&amp;"","—"),"—")))</f>
        <v/>
      </c>
      <c r="L294">
        <f>IF($W294="","",IF(NOT(COUNTIF(기관표[사번키],INDEX(합계표[사번키],$W294))+COUNTIF(월별근무지표[사번키],INDEX(합계표[사번키],$W294))&gt;0),"기관명단에 없음(다른 병원으로 발송)",IF($K294="—","대상월 기관명단 없음(추가 필요)",IF($K294="서울병원","해당","비해당"))))</f>
        <v/>
      </c>
      <c r="M294">
        <f>IF($W294="","",SUMIFS(상세표[06~07시],상세표[사번키],INDEX(합계표[사번키],$W294),상세표[반영월],대상월키,상세표[반영 기관],"서울병원"))</f>
        <v/>
      </c>
      <c r="N294">
        <f>IF($W294="","",SUMIFS(상세표[07~18시],상세표[사번키],INDEX(합계표[사번키],$W294),상세표[반영월],대상월키,상세표[반영 기관],"서울병원"))</f>
        <v/>
      </c>
      <c r="O294">
        <f>IF($W294="","",SUMIFS(상세표[18~22시],상세표[사번키],INDEX(합계표[사번키],$W294),상세표[반영월],대상월키,상세표[반영 기관],"서울병원"))</f>
        <v/>
      </c>
      <c r="P294">
        <f>IF($W294="","",SUMIFS(상세표[22~06시],상세표[사번키],INDEX(합계표[사번키],$W294),상세표[반영월],대상월키,상세표[반영 기관],"서울병원"))</f>
        <v/>
      </c>
      <c r="Q294">
        <f>IF($W294="","",SUM($M294:$P294))</f>
        <v/>
      </c>
      <c r="R294">
        <f>IF($W294="","",COUNTIFS(상세표[사번키],INDEX(합계표[사번키],$W294),상세표[반영월],대상월키,상세표[야간당직],1,상세표[야간 구분],"평일"))</f>
        <v/>
      </c>
      <c r="S294" s="4">
        <f>IF($W294="","",COUNTIFS(상세표[사번키],INDEX(합계표[사번키],$W294),상세표[반영월],대상월키,상세표[야간당직],1,상세표[야간 구분],"휴일"))</f>
        <v/>
      </c>
      <c r="T294">
        <f>IF($W294="","",COUNTIFS(상세표[사번키],INDEX(합계표[사번키],$W294),상세표[반영월],대상월키,상세표[야간당직],1,상세표[야간 구분],"평일",상세표[반영 기관],"서울병원"))</f>
        <v/>
      </c>
      <c r="U294">
        <f>IF($W294="","",COUNTIFS(상세표[사번키],INDEX(합계표[사번키],$W294),상세표[반영월],대상월키,상세표[야간당직],1,상세표[야간 구분],"휴일",상세표[반영 기관],"서울병원"))</f>
        <v/>
      </c>
      <c r="V294">
        <f>IF($W294="","",IF(ISNUMBER(MATCH(INDEX(합계표[사번키],$W294)&amp;"|"&amp;대상월키,월별근무지표[키],0)),"직접 입력",IF($K294="—","—","기관명단")))</f>
        <v/>
      </c>
      <c r="W294">
        <f>IFERROR(MATCH(289,합계표[판정순번],0),"")</f>
        <v/>
      </c>
      <c r="Y294">
        <f>IF($AB294="","",INDEX(상세표[사번],$AB294)&amp;"")</f>
        <v/>
      </c>
      <c r="Z294">
        <f>IF($AB294="","",INDEX(상세표[성명],$AB294)&amp;"")</f>
        <v/>
      </c>
      <c r="AA294">
        <f>IF($AB294="","",SUMIFS(상세표[기록 시간외],상세표[사번키],INDEX(상세표[사번키],$AB294),상세표[반영월],대상월키))</f>
        <v/>
      </c>
      <c r="AB294" s="4">
        <f>IFERROR(MATCH(289,상세표[합계없음순번],0),"")</f>
        <v/>
      </c>
    </row>
    <row r="295">
      <c r="A295">
        <f>IF($W295="","",INDEX(합계표[사번],$W295)&amp;"")</f>
        <v/>
      </c>
      <c r="B295">
        <f>IF($W295="","",INDEX(합계표[성명],$W295)&amp;"")</f>
        <v/>
      </c>
      <c r="C295">
        <f>IF($W295="","",INDEX(합계표[부서],$W295)&amp;"")</f>
        <v/>
      </c>
      <c r="D295">
        <f>IF($W295="","",INDEX(합계표[직위(통합)],$W295)&amp;"")</f>
        <v/>
      </c>
      <c r="E295">
        <f>IF($W295="","",SUMIFS(합계표[시스템 합계],합계표[사번키],INDEX(합계표[사번키],$W295)))</f>
        <v/>
      </c>
      <c r="F295">
        <f>IF($W295="","",SUMIFS(상세표[기록 시간외],상세표[사번키],INDEX(합계표[사번키],$W295),상세표[기록월],대상월키))</f>
        <v/>
      </c>
      <c r="G295">
        <f>IF($W295="","",IF(ABS($E295-$F295)&lt;0.01,"일치","불일치(차이 "&amp;TEXT($F295-$E295,"0.00")&amp;")"))</f>
        <v/>
      </c>
      <c r="H295">
        <f>IF($W295="","",SUMIFS(상세표[기록 시간외],상세표[사번키],INDEX(합계표[사번키],$W295),상세표[기록월],대상월키,상세표[반영월],"&lt;&gt;"&amp;대상월키))</f>
        <v/>
      </c>
      <c r="I295">
        <f>IF($W295="","",SUMIFS(상세표[기록 시간외],상세표[사번키],INDEX(합계표[사번키],$W295),상세표[기록월],"&lt;&gt;"&amp;대상월키,상세표[반영월],대상월키))</f>
        <v/>
      </c>
      <c r="J295">
        <f>IF($W295="","",SUMIFS(상세표[기록 시간외],상세표[사번키],INDEX(합계표[사번키],$W295),상세표[반영월],대상월키))</f>
        <v/>
      </c>
      <c r="K295">
        <f>IF($W295="","",IFERROR(INDEX(월별근무지표[적용 급여병원],MATCH(INDEX(합계표[사번키],$W295)&amp;"|"&amp;대상월키,월별근무지표[키],0))&amp;"",IF(COUNTIF(기관표[사번키],INDEX(합계표[사번키],$W295))+COUNTIF(월별근무지표[사번키],INDEX(합계표[사번키],$W295))&gt;0,IFERROR(INDEX(기관표[급여지급병원(기준월)],MATCH(INDEX(합계표[사번키],$W295)&amp;"|"&amp;대상월키,기관표[키],0))&amp;"","—"),"—")))</f>
        <v/>
      </c>
      <c r="L295">
        <f>IF($W295="","",IF(NOT(COUNTIF(기관표[사번키],INDEX(합계표[사번키],$W295))+COUNTIF(월별근무지표[사번키],INDEX(합계표[사번키],$W295))&gt;0),"기관명단에 없음(다른 병원으로 발송)",IF($K295="—","대상월 기관명단 없음(추가 필요)",IF($K295="서울병원","해당","비해당"))))</f>
        <v/>
      </c>
      <c r="M295">
        <f>IF($W295="","",SUMIFS(상세표[06~07시],상세표[사번키],INDEX(합계표[사번키],$W295),상세표[반영월],대상월키,상세표[반영 기관],"서울병원"))</f>
        <v/>
      </c>
      <c r="N295">
        <f>IF($W295="","",SUMIFS(상세표[07~18시],상세표[사번키],INDEX(합계표[사번키],$W295),상세표[반영월],대상월키,상세표[반영 기관],"서울병원"))</f>
        <v/>
      </c>
      <c r="O295">
        <f>IF($W295="","",SUMIFS(상세표[18~22시],상세표[사번키],INDEX(합계표[사번키],$W295),상세표[반영월],대상월키,상세표[반영 기관],"서울병원"))</f>
        <v/>
      </c>
      <c r="P295">
        <f>IF($W295="","",SUMIFS(상세표[22~06시],상세표[사번키],INDEX(합계표[사번키],$W295),상세표[반영월],대상월키,상세표[반영 기관],"서울병원"))</f>
        <v/>
      </c>
      <c r="Q295">
        <f>IF($W295="","",SUM($M295:$P295))</f>
        <v/>
      </c>
      <c r="R295">
        <f>IF($W295="","",COUNTIFS(상세표[사번키],INDEX(합계표[사번키],$W295),상세표[반영월],대상월키,상세표[야간당직],1,상세표[야간 구분],"평일"))</f>
        <v/>
      </c>
      <c r="S295" s="4">
        <f>IF($W295="","",COUNTIFS(상세표[사번키],INDEX(합계표[사번키],$W295),상세표[반영월],대상월키,상세표[야간당직],1,상세표[야간 구분],"휴일"))</f>
        <v/>
      </c>
      <c r="T295">
        <f>IF($W295="","",COUNTIFS(상세표[사번키],INDEX(합계표[사번키],$W295),상세표[반영월],대상월키,상세표[야간당직],1,상세표[야간 구분],"평일",상세표[반영 기관],"서울병원"))</f>
        <v/>
      </c>
      <c r="U295">
        <f>IF($W295="","",COUNTIFS(상세표[사번키],INDEX(합계표[사번키],$W295),상세표[반영월],대상월키,상세표[야간당직],1,상세표[야간 구분],"휴일",상세표[반영 기관],"서울병원"))</f>
        <v/>
      </c>
      <c r="V295">
        <f>IF($W295="","",IF(ISNUMBER(MATCH(INDEX(합계표[사번키],$W295)&amp;"|"&amp;대상월키,월별근무지표[키],0)),"직접 입력",IF($K295="—","—","기관명단")))</f>
        <v/>
      </c>
      <c r="W295">
        <f>IFERROR(MATCH(290,합계표[판정순번],0),"")</f>
        <v/>
      </c>
      <c r="Y295">
        <f>IF($AB295="","",INDEX(상세표[사번],$AB295)&amp;"")</f>
        <v/>
      </c>
      <c r="Z295">
        <f>IF($AB295="","",INDEX(상세표[성명],$AB295)&amp;"")</f>
        <v/>
      </c>
      <c r="AA295">
        <f>IF($AB295="","",SUMIFS(상세표[기록 시간외],상세표[사번키],INDEX(상세표[사번키],$AB295),상세표[반영월],대상월키))</f>
        <v/>
      </c>
      <c r="AB295" s="4">
        <f>IFERROR(MATCH(290,상세표[합계없음순번],0),"")</f>
        <v/>
      </c>
    </row>
    <row r="296">
      <c r="A296">
        <f>IF($W296="","",INDEX(합계표[사번],$W296)&amp;"")</f>
        <v/>
      </c>
      <c r="B296">
        <f>IF($W296="","",INDEX(합계표[성명],$W296)&amp;"")</f>
        <v/>
      </c>
      <c r="C296">
        <f>IF($W296="","",INDEX(합계표[부서],$W296)&amp;"")</f>
        <v/>
      </c>
      <c r="D296">
        <f>IF($W296="","",INDEX(합계표[직위(통합)],$W296)&amp;"")</f>
        <v/>
      </c>
      <c r="E296">
        <f>IF($W296="","",SUMIFS(합계표[시스템 합계],합계표[사번키],INDEX(합계표[사번키],$W296)))</f>
        <v/>
      </c>
      <c r="F296">
        <f>IF($W296="","",SUMIFS(상세표[기록 시간외],상세표[사번키],INDEX(합계표[사번키],$W296),상세표[기록월],대상월키))</f>
        <v/>
      </c>
      <c r="G296">
        <f>IF($W296="","",IF(ABS($E296-$F296)&lt;0.01,"일치","불일치(차이 "&amp;TEXT($F296-$E296,"0.00")&amp;")"))</f>
        <v/>
      </c>
      <c r="H296">
        <f>IF($W296="","",SUMIFS(상세표[기록 시간외],상세표[사번키],INDEX(합계표[사번키],$W296),상세표[기록월],대상월키,상세표[반영월],"&lt;&gt;"&amp;대상월키))</f>
        <v/>
      </c>
      <c r="I296">
        <f>IF($W296="","",SUMIFS(상세표[기록 시간외],상세표[사번키],INDEX(합계표[사번키],$W296),상세표[기록월],"&lt;&gt;"&amp;대상월키,상세표[반영월],대상월키))</f>
        <v/>
      </c>
      <c r="J296">
        <f>IF($W296="","",SUMIFS(상세표[기록 시간외],상세표[사번키],INDEX(합계표[사번키],$W296),상세표[반영월],대상월키))</f>
        <v/>
      </c>
      <c r="K296">
        <f>IF($W296="","",IFERROR(INDEX(월별근무지표[적용 급여병원],MATCH(INDEX(합계표[사번키],$W296)&amp;"|"&amp;대상월키,월별근무지표[키],0))&amp;"",IF(COUNTIF(기관표[사번키],INDEX(합계표[사번키],$W296))+COUNTIF(월별근무지표[사번키],INDEX(합계표[사번키],$W296))&gt;0,IFERROR(INDEX(기관표[급여지급병원(기준월)],MATCH(INDEX(합계표[사번키],$W296)&amp;"|"&amp;대상월키,기관표[키],0))&amp;"","—"),"—")))</f>
        <v/>
      </c>
      <c r="L296">
        <f>IF($W296="","",IF(NOT(COUNTIF(기관표[사번키],INDEX(합계표[사번키],$W296))+COUNTIF(월별근무지표[사번키],INDEX(합계표[사번키],$W296))&gt;0),"기관명단에 없음(다른 병원으로 발송)",IF($K296="—","대상월 기관명단 없음(추가 필요)",IF($K296="서울병원","해당","비해당"))))</f>
        <v/>
      </c>
      <c r="M296">
        <f>IF($W296="","",SUMIFS(상세표[06~07시],상세표[사번키],INDEX(합계표[사번키],$W296),상세표[반영월],대상월키,상세표[반영 기관],"서울병원"))</f>
        <v/>
      </c>
      <c r="N296">
        <f>IF($W296="","",SUMIFS(상세표[07~18시],상세표[사번키],INDEX(합계표[사번키],$W296),상세표[반영월],대상월키,상세표[반영 기관],"서울병원"))</f>
        <v/>
      </c>
      <c r="O296">
        <f>IF($W296="","",SUMIFS(상세표[18~22시],상세표[사번키],INDEX(합계표[사번키],$W296),상세표[반영월],대상월키,상세표[반영 기관],"서울병원"))</f>
        <v/>
      </c>
      <c r="P296">
        <f>IF($W296="","",SUMIFS(상세표[22~06시],상세표[사번키],INDEX(합계표[사번키],$W296),상세표[반영월],대상월키,상세표[반영 기관],"서울병원"))</f>
        <v/>
      </c>
      <c r="Q296">
        <f>IF($W296="","",SUM($M296:$P296))</f>
        <v/>
      </c>
      <c r="R296">
        <f>IF($W296="","",COUNTIFS(상세표[사번키],INDEX(합계표[사번키],$W296),상세표[반영월],대상월키,상세표[야간당직],1,상세표[야간 구분],"평일"))</f>
        <v/>
      </c>
      <c r="S296" s="4">
        <f>IF($W296="","",COUNTIFS(상세표[사번키],INDEX(합계표[사번키],$W296),상세표[반영월],대상월키,상세표[야간당직],1,상세표[야간 구분],"휴일"))</f>
        <v/>
      </c>
      <c r="T296">
        <f>IF($W296="","",COUNTIFS(상세표[사번키],INDEX(합계표[사번키],$W296),상세표[반영월],대상월키,상세표[야간당직],1,상세표[야간 구분],"평일",상세표[반영 기관],"서울병원"))</f>
        <v/>
      </c>
      <c r="U296">
        <f>IF($W296="","",COUNTIFS(상세표[사번키],INDEX(합계표[사번키],$W296),상세표[반영월],대상월키,상세표[야간당직],1,상세표[야간 구분],"휴일",상세표[반영 기관],"서울병원"))</f>
        <v/>
      </c>
      <c r="V296">
        <f>IF($W296="","",IF(ISNUMBER(MATCH(INDEX(합계표[사번키],$W296)&amp;"|"&amp;대상월키,월별근무지표[키],0)),"직접 입력",IF($K296="—","—","기관명단")))</f>
        <v/>
      </c>
      <c r="W296">
        <f>IFERROR(MATCH(291,합계표[판정순번],0),"")</f>
        <v/>
      </c>
      <c r="Y296">
        <f>IF($AB296="","",INDEX(상세표[사번],$AB296)&amp;"")</f>
        <v/>
      </c>
      <c r="Z296">
        <f>IF($AB296="","",INDEX(상세표[성명],$AB296)&amp;"")</f>
        <v/>
      </c>
      <c r="AA296">
        <f>IF($AB296="","",SUMIFS(상세표[기록 시간외],상세표[사번키],INDEX(상세표[사번키],$AB296),상세표[반영월],대상월키))</f>
        <v/>
      </c>
      <c r="AB296" s="4">
        <f>IFERROR(MATCH(291,상세표[합계없음순번],0),"")</f>
        <v/>
      </c>
    </row>
    <row r="297">
      <c r="A297">
        <f>IF($W297="","",INDEX(합계표[사번],$W297)&amp;"")</f>
        <v/>
      </c>
      <c r="B297">
        <f>IF($W297="","",INDEX(합계표[성명],$W297)&amp;"")</f>
        <v/>
      </c>
      <c r="C297">
        <f>IF($W297="","",INDEX(합계표[부서],$W297)&amp;"")</f>
        <v/>
      </c>
      <c r="D297">
        <f>IF($W297="","",INDEX(합계표[직위(통합)],$W297)&amp;"")</f>
        <v/>
      </c>
      <c r="E297">
        <f>IF($W297="","",SUMIFS(합계표[시스템 합계],합계표[사번키],INDEX(합계표[사번키],$W297)))</f>
        <v/>
      </c>
      <c r="F297">
        <f>IF($W297="","",SUMIFS(상세표[기록 시간외],상세표[사번키],INDEX(합계표[사번키],$W297),상세표[기록월],대상월키))</f>
        <v/>
      </c>
      <c r="G297">
        <f>IF($W297="","",IF(ABS($E297-$F297)&lt;0.01,"일치","불일치(차이 "&amp;TEXT($F297-$E297,"0.00")&amp;")"))</f>
        <v/>
      </c>
      <c r="H297">
        <f>IF($W297="","",SUMIFS(상세표[기록 시간외],상세표[사번키],INDEX(합계표[사번키],$W297),상세표[기록월],대상월키,상세표[반영월],"&lt;&gt;"&amp;대상월키))</f>
        <v/>
      </c>
      <c r="I297">
        <f>IF($W297="","",SUMIFS(상세표[기록 시간외],상세표[사번키],INDEX(합계표[사번키],$W297),상세표[기록월],"&lt;&gt;"&amp;대상월키,상세표[반영월],대상월키))</f>
        <v/>
      </c>
      <c r="J297">
        <f>IF($W297="","",SUMIFS(상세표[기록 시간외],상세표[사번키],INDEX(합계표[사번키],$W297),상세표[반영월],대상월키))</f>
        <v/>
      </c>
      <c r="K297">
        <f>IF($W297="","",IFERROR(INDEX(월별근무지표[적용 급여병원],MATCH(INDEX(합계표[사번키],$W297)&amp;"|"&amp;대상월키,월별근무지표[키],0))&amp;"",IF(COUNTIF(기관표[사번키],INDEX(합계표[사번키],$W297))+COUNTIF(월별근무지표[사번키],INDEX(합계표[사번키],$W297))&gt;0,IFERROR(INDEX(기관표[급여지급병원(기준월)],MATCH(INDEX(합계표[사번키],$W297)&amp;"|"&amp;대상월키,기관표[키],0))&amp;"","—"),"—")))</f>
        <v/>
      </c>
      <c r="L297">
        <f>IF($W297="","",IF(NOT(COUNTIF(기관표[사번키],INDEX(합계표[사번키],$W297))+COUNTIF(월별근무지표[사번키],INDEX(합계표[사번키],$W297))&gt;0),"기관명단에 없음(다른 병원으로 발송)",IF($K297="—","대상월 기관명단 없음(추가 필요)",IF($K297="서울병원","해당","비해당"))))</f>
        <v/>
      </c>
      <c r="M297">
        <f>IF($W297="","",SUMIFS(상세표[06~07시],상세표[사번키],INDEX(합계표[사번키],$W297),상세표[반영월],대상월키,상세표[반영 기관],"서울병원"))</f>
        <v/>
      </c>
      <c r="N297">
        <f>IF($W297="","",SUMIFS(상세표[07~18시],상세표[사번키],INDEX(합계표[사번키],$W297),상세표[반영월],대상월키,상세표[반영 기관],"서울병원"))</f>
        <v/>
      </c>
      <c r="O297">
        <f>IF($W297="","",SUMIFS(상세표[18~22시],상세표[사번키],INDEX(합계표[사번키],$W297),상세표[반영월],대상월키,상세표[반영 기관],"서울병원"))</f>
        <v/>
      </c>
      <c r="P297">
        <f>IF($W297="","",SUMIFS(상세표[22~06시],상세표[사번키],INDEX(합계표[사번키],$W297),상세표[반영월],대상월키,상세표[반영 기관],"서울병원"))</f>
        <v/>
      </c>
      <c r="Q297">
        <f>IF($W297="","",SUM($M297:$P297))</f>
        <v/>
      </c>
      <c r="R297">
        <f>IF($W297="","",COUNTIFS(상세표[사번키],INDEX(합계표[사번키],$W297),상세표[반영월],대상월키,상세표[야간당직],1,상세표[야간 구분],"평일"))</f>
        <v/>
      </c>
      <c r="S297" s="4">
        <f>IF($W297="","",COUNTIFS(상세표[사번키],INDEX(합계표[사번키],$W297),상세표[반영월],대상월키,상세표[야간당직],1,상세표[야간 구분],"휴일"))</f>
        <v/>
      </c>
      <c r="T297">
        <f>IF($W297="","",COUNTIFS(상세표[사번키],INDEX(합계표[사번키],$W297),상세표[반영월],대상월키,상세표[야간당직],1,상세표[야간 구분],"평일",상세표[반영 기관],"서울병원"))</f>
        <v/>
      </c>
      <c r="U297">
        <f>IF($W297="","",COUNTIFS(상세표[사번키],INDEX(합계표[사번키],$W297),상세표[반영월],대상월키,상세표[야간당직],1,상세표[야간 구분],"휴일",상세표[반영 기관],"서울병원"))</f>
        <v/>
      </c>
      <c r="V297">
        <f>IF($W297="","",IF(ISNUMBER(MATCH(INDEX(합계표[사번키],$W297)&amp;"|"&amp;대상월키,월별근무지표[키],0)),"직접 입력",IF($K297="—","—","기관명단")))</f>
        <v/>
      </c>
      <c r="W297">
        <f>IFERROR(MATCH(292,합계표[판정순번],0),"")</f>
        <v/>
      </c>
      <c r="Y297">
        <f>IF($AB297="","",INDEX(상세표[사번],$AB297)&amp;"")</f>
        <v/>
      </c>
      <c r="Z297">
        <f>IF($AB297="","",INDEX(상세표[성명],$AB297)&amp;"")</f>
        <v/>
      </c>
      <c r="AA297">
        <f>IF($AB297="","",SUMIFS(상세표[기록 시간외],상세표[사번키],INDEX(상세표[사번키],$AB297),상세표[반영월],대상월키))</f>
        <v/>
      </c>
      <c r="AB297" s="4">
        <f>IFERROR(MATCH(292,상세표[합계없음순번],0),"")</f>
        <v/>
      </c>
    </row>
    <row r="298">
      <c r="A298">
        <f>IF($W298="","",INDEX(합계표[사번],$W298)&amp;"")</f>
        <v/>
      </c>
      <c r="B298">
        <f>IF($W298="","",INDEX(합계표[성명],$W298)&amp;"")</f>
        <v/>
      </c>
      <c r="C298">
        <f>IF($W298="","",INDEX(합계표[부서],$W298)&amp;"")</f>
        <v/>
      </c>
      <c r="D298">
        <f>IF($W298="","",INDEX(합계표[직위(통합)],$W298)&amp;"")</f>
        <v/>
      </c>
      <c r="E298">
        <f>IF($W298="","",SUMIFS(합계표[시스템 합계],합계표[사번키],INDEX(합계표[사번키],$W298)))</f>
        <v/>
      </c>
      <c r="F298">
        <f>IF($W298="","",SUMIFS(상세표[기록 시간외],상세표[사번키],INDEX(합계표[사번키],$W298),상세표[기록월],대상월키))</f>
        <v/>
      </c>
      <c r="G298">
        <f>IF($W298="","",IF(ABS($E298-$F298)&lt;0.01,"일치","불일치(차이 "&amp;TEXT($F298-$E298,"0.00")&amp;")"))</f>
        <v/>
      </c>
      <c r="H298">
        <f>IF($W298="","",SUMIFS(상세표[기록 시간외],상세표[사번키],INDEX(합계표[사번키],$W298),상세표[기록월],대상월키,상세표[반영월],"&lt;&gt;"&amp;대상월키))</f>
        <v/>
      </c>
      <c r="I298">
        <f>IF($W298="","",SUMIFS(상세표[기록 시간외],상세표[사번키],INDEX(합계표[사번키],$W298),상세표[기록월],"&lt;&gt;"&amp;대상월키,상세표[반영월],대상월키))</f>
        <v/>
      </c>
      <c r="J298">
        <f>IF($W298="","",SUMIFS(상세표[기록 시간외],상세표[사번키],INDEX(합계표[사번키],$W298),상세표[반영월],대상월키))</f>
        <v/>
      </c>
      <c r="K298">
        <f>IF($W298="","",IFERROR(INDEX(월별근무지표[적용 급여병원],MATCH(INDEX(합계표[사번키],$W298)&amp;"|"&amp;대상월키,월별근무지표[키],0))&amp;"",IF(COUNTIF(기관표[사번키],INDEX(합계표[사번키],$W298))+COUNTIF(월별근무지표[사번키],INDEX(합계표[사번키],$W298))&gt;0,IFERROR(INDEX(기관표[급여지급병원(기준월)],MATCH(INDEX(합계표[사번키],$W298)&amp;"|"&amp;대상월키,기관표[키],0))&amp;"","—"),"—")))</f>
        <v/>
      </c>
      <c r="L298">
        <f>IF($W298="","",IF(NOT(COUNTIF(기관표[사번키],INDEX(합계표[사번키],$W298))+COUNTIF(월별근무지표[사번키],INDEX(합계표[사번키],$W298))&gt;0),"기관명단에 없음(다른 병원으로 발송)",IF($K298="—","대상월 기관명단 없음(추가 필요)",IF($K298="서울병원","해당","비해당"))))</f>
        <v/>
      </c>
      <c r="M298">
        <f>IF($W298="","",SUMIFS(상세표[06~07시],상세표[사번키],INDEX(합계표[사번키],$W298),상세표[반영월],대상월키,상세표[반영 기관],"서울병원"))</f>
        <v/>
      </c>
      <c r="N298">
        <f>IF($W298="","",SUMIFS(상세표[07~18시],상세표[사번키],INDEX(합계표[사번키],$W298),상세표[반영월],대상월키,상세표[반영 기관],"서울병원"))</f>
        <v/>
      </c>
      <c r="O298">
        <f>IF($W298="","",SUMIFS(상세표[18~22시],상세표[사번키],INDEX(합계표[사번키],$W298),상세표[반영월],대상월키,상세표[반영 기관],"서울병원"))</f>
        <v/>
      </c>
      <c r="P298">
        <f>IF($W298="","",SUMIFS(상세표[22~06시],상세표[사번키],INDEX(합계표[사번키],$W298),상세표[반영월],대상월키,상세표[반영 기관],"서울병원"))</f>
        <v/>
      </c>
      <c r="Q298">
        <f>IF($W298="","",SUM($M298:$P298))</f>
        <v/>
      </c>
      <c r="R298">
        <f>IF($W298="","",COUNTIFS(상세표[사번키],INDEX(합계표[사번키],$W298),상세표[반영월],대상월키,상세표[야간당직],1,상세표[야간 구분],"평일"))</f>
        <v/>
      </c>
      <c r="S298" s="4">
        <f>IF($W298="","",COUNTIFS(상세표[사번키],INDEX(합계표[사번키],$W298),상세표[반영월],대상월키,상세표[야간당직],1,상세표[야간 구분],"휴일"))</f>
        <v/>
      </c>
      <c r="T298">
        <f>IF($W298="","",COUNTIFS(상세표[사번키],INDEX(합계표[사번키],$W298),상세표[반영월],대상월키,상세표[야간당직],1,상세표[야간 구분],"평일",상세표[반영 기관],"서울병원"))</f>
        <v/>
      </c>
      <c r="U298">
        <f>IF($W298="","",COUNTIFS(상세표[사번키],INDEX(합계표[사번키],$W298),상세표[반영월],대상월키,상세표[야간당직],1,상세표[야간 구분],"휴일",상세표[반영 기관],"서울병원"))</f>
        <v/>
      </c>
      <c r="V298">
        <f>IF($W298="","",IF(ISNUMBER(MATCH(INDEX(합계표[사번키],$W298)&amp;"|"&amp;대상월키,월별근무지표[키],0)),"직접 입력",IF($K298="—","—","기관명단")))</f>
        <v/>
      </c>
      <c r="W298">
        <f>IFERROR(MATCH(293,합계표[판정순번],0),"")</f>
        <v/>
      </c>
      <c r="Y298">
        <f>IF($AB298="","",INDEX(상세표[사번],$AB298)&amp;"")</f>
        <v/>
      </c>
      <c r="Z298">
        <f>IF($AB298="","",INDEX(상세표[성명],$AB298)&amp;"")</f>
        <v/>
      </c>
      <c r="AA298">
        <f>IF($AB298="","",SUMIFS(상세표[기록 시간외],상세표[사번키],INDEX(상세표[사번키],$AB298),상세표[반영월],대상월키))</f>
        <v/>
      </c>
      <c r="AB298" s="4">
        <f>IFERROR(MATCH(293,상세표[합계없음순번],0),"")</f>
        <v/>
      </c>
    </row>
    <row r="299">
      <c r="A299">
        <f>IF($W299="","",INDEX(합계표[사번],$W299)&amp;"")</f>
        <v/>
      </c>
      <c r="B299">
        <f>IF($W299="","",INDEX(합계표[성명],$W299)&amp;"")</f>
        <v/>
      </c>
      <c r="C299">
        <f>IF($W299="","",INDEX(합계표[부서],$W299)&amp;"")</f>
        <v/>
      </c>
      <c r="D299">
        <f>IF($W299="","",INDEX(합계표[직위(통합)],$W299)&amp;"")</f>
        <v/>
      </c>
      <c r="E299">
        <f>IF($W299="","",SUMIFS(합계표[시스템 합계],합계표[사번키],INDEX(합계표[사번키],$W299)))</f>
        <v/>
      </c>
      <c r="F299">
        <f>IF($W299="","",SUMIFS(상세표[기록 시간외],상세표[사번키],INDEX(합계표[사번키],$W299),상세표[기록월],대상월키))</f>
        <v/>
      </c>
      <c r="G299">
        <f>IF($W299="","",IF(ABS($E299-$F299)&lt;0.01,"일치","불일치(차이 "&amp;TEXT($F299-$E299,"0.00")&amp;")"))</f>
        <v/>
      </c>
      <c r="H299">
        <f>IF($W299="","",SUMIFS(상세표[기록 시간외],상세표[사번키],INDEX(합계표[사번키],$W299),상세표[기록월],대상월키,상세표[반영월],"&lt;&gt;"&amp;대상월키))</f>
        <v/>
      </c>
      <c r="I299">
        <f>IF($W299="","",SUMIFS(상세표[기록 시간외],상세표[사번키],INDEX(합계표[사번키],$W299),상세표[기록월],"&lt;&gt;"&amp;대상월키,상세표[반영월],대상월키))</f>
        <v/>
      </c>
      <c r="J299">
        <f>IF($W299="","",SUMIFS(상세표[기록 시간외],상세표[사번키],INDEX(합계표[사번키],$W299),상세표[반영월],대상월키))</f>
        <v/>
      </c>
      <c r="K299">
        <f>IF($W299="","",IFERROR(INDEX(월별근무지표[적용 급여병원],MATCH(INDEX(합계표[사번키],$W299)&amp;"|"&amp;대상월키,월별근무지표[키],0))&amp;"",IF(COUNTIF(기관표[사번키],INDEX(합계표[사번키],$W299))+COUNTIF(월별근무지표[사번키],INDEX(합계표[사번키],$W299))&gt;0,IFERROR(INDEX(기관표[급여지급병원(기준월)],MATCH(INDEX(합계표[사번키],$W299)&amp;"|"&amp;대상월키,기관표[키],0))&amp;"","—"),"—")))</f>
        <v/>
      </c>
      <c r="L299">
        <f>IF($W299="","",IF(NOT(COUNTIF(기관표[사번키],INDEX(합계표[사번키],$W299))+COUNTIF(월별근무지표[사번키],INDEX(합계표[사번키],$W299))&gt;0),"기관명단에 없음(다른 병원으로 발송)",IF($K299="—","대상월 기관명단 없음(추가 필요)",IF($K299="서울병원","해당","비해당"))))</f>
        <v/>
      </c>
      <c r="M299">
        <f>IF($W299="","",SUMIFS(상세표[06~07시],상세표[사번키],INDEX(합계표[사번키],$W299),상세표[반영월],대상월키,상세표[반영 기관],"서울병원"))</f>
        <v/>
      </c>
      <c r="N299">
        <f>IF($W299="","",SUMIFS(상세표[07~18시],상세표[사번키],INDEX(합계표[사번키],$W299),상세표[반영월],대상월키,상세표[반영 기관],"서울병원"))</f>
        <v/>
      </c>
      <c r="O299">
        <f>IF($W299="","",SUMIFS(상세표[18~22시],상세표[사번키],INDEX(합계표[사번키],$W299),상세표[반영월],대상월키,상세표[반영 기관],"서울병원"))</f>
        <v/>
      </c>
      <c r="P299">
        <f>IF($W299="","",SUMIFS(상세표[22~06시],상세표[사번키],INDEX(합계표[사번키],$W299),상세표[반영월],대상월키,상세표[반영 기관],"서울병원"))</f>
        <v/>
      </c>
      <c r="Q299">
        <f>IF($W299="","",SUM($M299:$P299))</f>
        <v/>
      </c>
      <c r="R299">
        <f>IF($W299="","",COUNTIFS(상세표[사번키],INDEX(합계표[사번키],$W299),상세표[반영월],대상월키,상세표[야간당직],1,상세표[야간 구분],"평일"))</f>
        <v/>
      </c>
      <c r="S299" s="4">
        <f>IF($W299="","",COUNTIFS(상세표[사번키],INDEX(합계표[사번키],$W299),상세표[반영월],대상월키,상세표[야간당직],1,상세표[야간 구분],"휴일"))</f>
        <v/>
      </c>
      <c r="T299">
        <f>IF($W299="","",COUNTIFS(상세표[사번키],INDEX(합계표[사번키],$W299),상세표[반영월],대상월키,상세표[야간당직],1,상세표[야간 구분],"평일",상세표[반영 기관],"서울병원"))</f>
        <v/>
      </c>
      <c r="U299">
        <f>IF($W299="","",COUNTIFS(상세표[사번키],INDEX(합계표[사번키],$W299),상세표[반영월],대상월키,상세표[야간당직],1,상세표[야간 구분],"휴일",상세표[반영 기관],"서울병원"))</f>
        <v/>
      </c>
      <c r="V299">
        <f>IF($W299="","",IF(ISNUMBER(MATCH(INDEX(합계표[사번키],$W299)&amp;"|"&amp;대상월키,월별근무지표[키],0)),"직접 입력",IF($K299="—","—","기관명단")))</f>
        <v/>
      </c>
      <c r="W299">
        <f>IFERROR(MATCH(294,합계표[판정순번],0),"")</f>
        <v/>
      </c>
      <c r="Y299">
        <f>IF($AB299="","",INDEX(상세표[사번],$AB299)&amp;"")</f>
        <v/>
      </c>
      <c r="Z299">
        <f>IF($AB299="","",INDEX(상세표[성명],$AB299)&amp;"")</f>
        <v/>
      </c>
      <c r="AA299">
        <f>IF($AB299="","",SUMIFS(상세표[기록 시간외],상세표[사번키],INDEX(상세표[사번키],$AB299),상세표[반영월],대상월키))</f>
        <v/>
      </c>
      <c r="AB299" s="4">
        <f>IFERROR(MATCH(294,상세표[합계없음순번],0),"")</f>
        <v/>
      </c>
    </row>
    <row r="300">
      <c r="A300">
        <f>IF($W300="","",INDEX(합계표[사번],$W300)&amp;"")</f>
        <v/>
      </c>
      <c r="B300">
        <f>IF($W300="","",INDEX(합계표[성명],$W300)&amp;"")</f>
        <v/>
      </c>
      <c r="C300">
        <f>IF($W300="","",INDEX(합계표[부서],$W300)&amp;"")</f>
        <v/>
      </c>
      <c r="D300">
        <f>IF($W300="","",INDEX(합계표[직위(통합)],$W300)&amp;"")</f>
        <v/>
      </c>
      <c r="E300">
        <f>IF($W300="","",SUMIFS(합계표[시스템 합계],합계표[사번키],INDEX(합계표[사번키],$W300)))</f>
        <v/>
      </c>
      <c r="F300">
        <f>IF($W300="","",SUMIFS(상세표[기록 시간외],상세표[사번키],INDEX(합계표[사번키],$W300),상세표[기록월],대상월키))</f>
        <v/>
      </c>
      <c r="G300">
        <f>IF($W300="","",IF(ABS($E300-$F300)&lt;0.01,"일치","불일치(차이 "&amp;TEXT($F300-$E300,"0.00")&amp;")"))</f>
        <v/>
      </c>
      <c r="H300">
        <f>IF($W300="","",SUMIFS(상세표[기록 시간외],상세표[사번키],INDEX(합계표[사번키],$W300),상세표[기록월],대상월키,상세표[반영월],"&lt;&gt;"&amp;대상월키))</f>
        <v/>
      </c>
      <c r="I300">
        <f>IF($W300="","",SUMIFS(상세표[기록 시간외],상세표[사번키],INDEX(합계표[사번키],$W300),상세표[기록월],"&lt;&gt;"&amp;대상월키,상세표[반영월],대상월키))</f>
        <v/>
      </c>
      <c r="J300">
        <f>IF($W300="","",SUMIFS(상세표[기록 시간외],상세표[사번키],INDEX(합계표[사번키],$W300),상세표[반영월],대상월키))</f>
        <v/>
      </c>
      <c r="K300">
        <f>IF($W300="","",IFERROR(INDEX(월별근무지표[적용 급여병원],MATCH(INDEX(합계표[사번키],$W300)&amp;"|"&amp;대상월키,월별근무지표[키],0))&amp;"",IF(COUNTIF(기관표[사번키],INDEX(합계표[사번키],$W300))+COUNTIF(월별근무지표[사번키],INDEX(합계표[사번키],$W300))&gt;0,IFERROR(INDEX(기관표[급여지급병원(기준월)],MATCH(INDEX(합계표[사번키],$W300)&amp;"|"&amp;대상월키,기관표[키],0))&amp;"","—"),"—")))</f>
        <v/>
      </c>
      <c r="L300">
        <f>IF($W300="","",IF(NOT(COUNTIF(기관표[사번키],INDEX(합계표[사번키],$W300))+COUNTIF(월별근무지표[사번키],INDEX(합계표[사번키],$W300))&gt;0),"기관명단에 없음(다른 병원으로 발송)",IF($K300="—","대상월 기관명단 없음(추가 필요)",IF($K300="서울병원","해당","비해당"))))</f>
        <v/>
      </c>
      <c r="M300">
        <f>IF($W300="","",SUMIFS(상세표[06~07시],상세표[사번키],INDEX(합계표[사번키],$W300),상세표[반영월],대상월키,상세표[반영 기관],"서울병원"))</f>
        <v/>
      </c>
      <c r="N300">
        <f>IF($W300="","",SUMIFS(상세표[07~18시],상세표[사번키],INDEX(합계표[사번키],$W300),상세표[반영월],대상월키,상세표[반영 기관],"서울병원"))</f>
        <v/>
      </c>
      <c r="O300">
        <f>IF($W300="","",SUMIFS(상세표[18~22시],상세표[사번키],INDEX(합계표[사번키],$W300),상세표[반영월],대상월키,상세표[반영 기관],"서울병원"))</f>
        <v/>
      </c>
      <c r="P300">
        <f>IF($W300="","",SUMIFS(상세표[22~06시],상세표[사번키],INDEX(합계표[사번키],$W300),상세표[반영월],대상월키,상세표[반영 기관],"서울병원"))</f>
        <v/>
      </c>
      <c r="Q300">
        <f>IF($W300="","",SUM($M300:$P300))</f>
        <v/>
      </c>
      <c r="R300">
        <f>IF($W300="","",COUNTIFS(상세표[사번키],INDEX(합계표[사번키],$W300),상세표[반영월],대상월키,상세표[야간당직],1,상세표[야간 구분],"평일"))</f>
        <v/>
      </c>
      <c r="S300" s="4">
        <f>IF($W300="","",COUNTIFS(상세표[사번키],INDEX(합계표[사번키],$W300),상세표[반영월],대상월키,상세표[야간당직],1,상세표[야간 구분],"휴일"))</f>
        <v/>
      </c>
      <c r="T300">
        <f>IF($W300="","",COUNTIFS(상세표[사번키],INDEX(합계표[사번키],$W300),상세표[반영월],대상월키,상세표[야간당직],1,상세표[야간 구분],"평일",상세표[반영 기관],"서울병원"))</f>
        <v/>
      </c>
      <c r="U300">
        <f>IF($W300="","",COUNTIFS(상세표[사번키],INDEX(합계표[사번키],$W300),상세표[반영월],대상월키,상세표[야간당직],1,상세표[야간 구분],"휴일",상세표[반영 기관],"서울병원"))</f>
        <v/>
      </c>
      <c r="V300">
        <f>IF($W300="","",IF(ISNUMBER(MATCH(INDEX(합계표[사번키],$W300)&amp;"|"&amp;대상월키,월별근무지표[키],0)),"직접 입력",IF($K300="—","—","기관명단")))</f>
        <v/>
      </c>
      <c r="W300">
        <f>IFERROR(MATCH(295,합계표[판정순번],0),"")</f>
        <v/>
      </c>
      <c r="Y300">
        <f>IF($AB300="","",INDEX(상세표[사번],$AB300)&amp;"")</f>
        <v/>
      </c>
      <c r="Z300">
        <f>IF($AB300="","",INDEX(상세표[성명],$AB300)&amp;"")</f>
        <v/>
      </c>
      <c r="AA300">
        <f>IF($AB300="","",SUMIFS(상세표[기록 시간외],상세표[사번키],INDEX(상세표[사번키],$AB300),상세표[반영월],대상월키))</f>
        <v/>
      </c>
      <c r="AB300" s="4">
        <f>IFERROR(MATCH(295,상세표[합계없음순번],0),"")</f>
        <v/>
      </c>
    </row>
    <row r="301">
      <c r="A301">
        <f>IF($W301="","",INDEX(합계표[사번],$W301)&amp;"")</f>
        <v/>
      </c>
      <c r="B301">
        <f>IF($W301="","",INDEX(합계표[성명],$W301)&amp;"")</f>
        <v/>
      </c>
      <c r="C301">
        <f>IF($W301="","",INDEX(합계표[부서],$W301)&amp;"")</f>
        <v/>
      </c>
      <c r="D301">
        <f>IF($W301="","",INDEX(합계표[직위(통합)],$W301)&amp;"")</f>
        <v/>
      </c>
      <c r="E301">
        <f>IF($W301="","",SUMIFS(합계표[시스템 합계],합계표[사번키],INDEX(합계표[사번키],$W301)))</f>
        <v/>
      </c>
      <c r="F301">
        <f>IF($W301="","",SUMIFS(상세표[기록 시간외],상세표[사번키],INDEX(합계표[사번키],$W301),상세표[기록월],대상월키))</f>
        <v/>
      </c>
      <c r="G301">
        <f>IF($W301="","",IF(ABS($E301-$F301)&lt;0.01,"일치","불일치(차이 "&amp;TEXT($F301-$E301,"0.00")&amp;")"))</f>
        <v/>
      </c>
      <c r="H301">
        <f>IF($W301="","",SUMIFS(상세표[기록 시간외],상세표[사번키],INDEX(합계표[사번키],$W301),상세표[기록월],대상월키,상세표[반영월],"&lt;&gt;"&amp;대상월키))</f>
        <v/>
      </c>
      <c r="I301">
        <f>IF($W301="","",SUMIFS(상세표[기록 시간외],상세표[사번키],INDEX(합계표[사번키],$W301),상세표[기록월],"&lt;&gt;"&amp;대상월키,상세표[반영월],대상월키))</f>
        <v/>
      </c>
      <c r="J301">
        <f>IF($W301="","",SUMIFS(상세표[기록 시간외],상세표[사번키],INDEX(합계표[사번키],$W301),상세표[반영월],대상월키))</f>
        <v/>
      </c>
      <c r="K301">
        <f>IF($W301="","",IFERROR(INDEX(월별근무지표[적용 급여병원],MATCH(INDEX(합계표[사번키],$W301)&amp;"|"&amp;대상월키,월별근무지표[키],0))&amp;"",IF(COUNTIF(기관표[사번키],INDEX(합계표[사번키],$W301))+COUNTIF(월별근무지표[사번키],INDEX(합계표[사번키],$W301))&gt;0,IFERROR(INDEX(기관표[급여지급병원(기준월)],MATCH(INDEX(합계표[사번키],$W301)&amp;"|"&amp;대상월키,기관표[키],0))&amp;"","—"),"—")))</f>
        <v/>
      </c>
      <c r="L301">
        <f>IF($W301="","",IF(NOT(COUNTIF(기관표[사번키],INDEX(합계표[사번키],$W301))+COUNTIF(월별근무지표[사번키],INDEX(합계표[사번키],$W301))&gt;0),"기관명단에 없음(다른 병원으로 발송)",IF($K301="—","대상월 기관명단 없음(추가 필요)",IF($K301="서울병원","해당","비해당"))))</f>
        <v/>
      </c>
      <c r="M301">
        <f>IF($W301="","",SUMIFS(상세표[06~07시],상세표[사번키],INDEX(합계표[사번키],$W301),상세표[반영월],대상월키,상세표[반영 기관],"서울병원"))</f>
        <v/>
      </c>
      <c r="N301">
        <f>IF($W301="","",SUMIFS(상세표[07~18시],상세표[사번키],INDEX(합계표[사번키],$W301),상세표[반영월],대상월키,상세표[반영 기관],"서울병원"))</f>
        <v/>
      </c>
      <c r="O301">
        <f>IF($W301="","",SUMIFS(상세표[18~22시],상세표[사번키],INDEX(합계표[사번키],$W301),상세표[반영월],대상월키,상세표[반영 기관],"서울병원"))</f>
        <v/>
      </c>
      <c r="P301">
        <f>IF($W301="","",SUMIFS(상세표[22~06시],상세표[사번키],INDEX(합계표[사번키],$W301),상세표[반영월],대상월키,상세표[반영 기관],"서울병원"))</f>
        <v/>
      </c>
      <c r="Q301">
        <f>IF($W301="","",SUM($M301:$P301))</f>
        <v/>
      </c>
      <c r="R301">
        <f>IF($W301="","",COUNTIFS(상세표[사번키],INDEX(합계표[사번키],$W301),상세표[반영월],대상월키,상세표[야간당직],1,상세표[야간 구분],"평일"))</f>
        <v/>
      </c>
      <c r="S301" s="4">
        <f>IF($W301="","",COUNTIFS(상세표[사번키],INDEX(합계표[사번키],$W301),상세표[반영월],대상월키,상세표[야간당직],1,상세표[야간 구분],"휴일"))</f>
        <v/>
      </c>
      <c r="T301">
        <f>IF($W301="","",COUNTIFS(상세표[사번키],INDEX(합계표[사번키],$W301),상세표[반영월],대상월키,상세표[야간당직],1,상세표[야간 구분],"평일",상세표[반영 기관],"서울병원"))</f>
        <v/>
      </c>
      <c r="U301">
        <f>IF($W301="","",COUNTIFS(상세표[사번키],INDEX(합계표[사번키],$W301),상세표[반영월],대상월키,상세표[야간당직],1,상세표[야간 구분],"휴일",상세표[반영 기관],"서울병원"))</f>
        <v/>
      </c>
      <c r="V301">
        <f>IF($W301="","",IF(ISNUMBER(MATCH(INDEX(합계표[사번키],$W301)&amp;"|"&amp;대상월키,월별근무지표[키],0)),"직접 입력",IF($K301="—","—","기관명단")))</f>
        <v/>
      </c>
      <c r="W301">
        <f>IFERROR(MATCH(296,합계표[판정순번],0),"")</f>
        <v/>
      </c>
      <c r="Y301">
        <f>IF($AB301="","",INDEX(상세표[사번],$AB301)&amp;"")</f>
        <v/>
      </c>
      <c r="Z301">
        <f>IF($AB301="","",INDEX(상세표[성명],$AB301)&amp;"")</f>
        <v/>
      </c>
      <c r="AA301">
        <f>IF($AB301="","",SUMIFS(상세표[기록 시간외],상세표[사번키],INDEX(상세표[사번키],$AB301),상세표[반영월],대상월키))</f>
        <v/>
      </c>
      <c r="AB301" s="4">
        <f>IFERROR(MATCH(296,상세표[합계없음순번],0),"")</f>
        <v/>
      </c>
    </row>
    <row r="302">
      <c r="A302">
        <f>IF($W302="","",INDEX(합계표[사번],$W302)&amp;"")</f>
        <v/>
      </c>
      <c r="B302">
        <f>IF($W302="","",INDEX(합계표[성명],$W302)&amp;"")</f>
        <v/>
      </c>
      <c r="C302">
        <f>IF($W302="","",INDEX(합계표[부서],$W302)&amp;"")</f>
        <v/>
      </c>
      <c r="D302">
        <f>IF($W302="","",INDEX(합계표[직위(통합)],$W302)&amp;"")</f>
        <v/>
      </c>
      <c r="E302">
        <f>IF($W302="","",SUMIFS(합계표[시스템 합계],합계표[사번키],INDEX(합계표[사번키],$W302)))</f>
        <v/>
      </c>
      <c r="F302">
        <f>IF($W302="","",SUMIFS(상세표[기록 시간외],상세표[사번키],INDEX(합계표[사번키],$W302),상세표[기록월],대상월키))</f>
        <v/>
      </c>
      <c r="G302">
        <f>IF($W302="","",IF(ABS($E302-$F302)&lt;0.01,"일치","불일치(차이 "&amp;TEXT($F302-$E302,"0.00")&amp;")"))</f>
        <v/>
      </c>
      <c r="H302">
        <f>IF($W302="","",SUMIFS(상세표[기록 시간외],상세표[사번키],INDEX(합계표[사번키],$W302),상세표[기록월],대상월키,상세표[반영월],"&lt;&gt;"&amp;대상월키))</f>
        <v/>
      </c>
      <c r="I302">
        <f>IF($W302="","",SUMIFS(상세표[기록 시간외],상세표[사번키],INDEX(합계표[사번키],$W302),상세표[기록월],"&lt;&gt;"&amp;대상월키,상세표[반영월],대상월키))</f>
        <v/>
      </c>
      <c r="J302">
        <f>IF($W302="","",SUMIFS(상세표[기록 시간외],상세표[사번키],INDEX(합계표[사번키],$W302),상세표[반영월],대상월키))</f>
        <v/>
      </c>
      <c r="K302">
        <f>IF($W302="","",IFERROR(INDEX(월별근무지표[적용 급여병원],MATCH(INDEX(합계표[사번키],$W302)&amp;"|"&amp;대상월키,월별근무지표[키],0))&amp;"",IF(COUNTIF(기관표[사번키],INDEX(합계표[사번키],$W302))+COUNTIF(월별근무지표[사번키],INDEX(합계표[사번키],$W302))&gt;0,IFERROR(INDEX(기관표[급여지급병원(기준월)],MATCH(INDEX(합계표[사번키],$W302)&amp;"|"&amp;대상월키,기관표[키],0))&amp;"","—"),"—")))</f>
        <v/>
      </c>
      <c r="L302">
        <f>IF($W302="","",IF(NOT(COUNTIF(기관표[사번키],INDEX(합계표[사번키],$W302))+COUNTIF(월별근무지표[사번키],INDEX(합계표[사번키],$W302))&gt;0),"기관명단에 없음(다른 병원으로 발송)",IF($K302="—","대상월 기관명단 없음(추가 필요)",IF($K302="서울병원","해당","비해당"))))</f>
        <v/>
      </c>
      <c r="M302">
        <f>IF($W302="","",SUMIFS(상세표[06~07시],상세표[사번키],INDEX(합계표[사번키],$W302),상세표[반영월],대상월키,상세표[반영 기관],"서울병원"))</f>
        <v/>
      </c>
      <c r="N302">
        <f>IF($W302="","",SUMIFS(상세표[07~18시],상세표[사번키],INDEX(합계표[사번키],$W302),상세표[반영월],대상월키,상세표[반영 기관],"서울병원"))</f>
        <v/>
      </c>
      <c r="O302">
        <f>IF($W302="","",SUMIFS(상세표[18~22시],상세표[사번키],INDEX(합계표[사번키],$W302),상세표[반영월],대상월키,상세표[반영 기관],"서울병원"))</f>
        <v/>
      </c>
      <c r="P302">
        <f>IF($W302="","",SUMIFS(상세표[22~06시],상세표[사번키],INDEX(합계표[사번키],$W302),상세표[반영월],대상월키,상세표[반영 기관],"서울병원"))</f>
        <v/>
      </c>
      <c r="Q302">
        <f>IF($W302="","",SUM($M302:$P302))</f>
        <v/>
      </c>
      <c r="R302">
        <f>IF($W302="","",COUNTIFS(상세표[사번키],INDEX(합계표[사번키],$W302),상세표[반영월],대상월키,상세표[야간당직],1,상세표[야간 구분],"평일"))</f>
        <v/>
      </c>
      <c r="S302" s="4">
        <f>IF($W302="","",COUNTIFS(상세표[사번키],INDEX(합계표[사번키],$W302),상세표[반영월],대상월키,상세표[야간당직],1,상세표[야간 구분],"휴일"))</f>
        <v/>
      </c>
      <c r="T302">
        <f>IF($W302="","",COUNTIFS(상세표[사번키],INDEX(합계표[사번키],$W302),상세표[반영월],대상월키,상세표[야간당직],1,상세표[야간 구분],"평일",상세표[반영 기관],"서울병원"))</f>
        <v/>
      </c>
      <c r="U302">
        <f>IF($W302="","",COUNTIFS(상세표[사번키],INDEX(합계표[사번키],$W302),상세표[반영월],대상월키,상세표[야간당직],1,상세표[야간 구분],"휴일",상세표[반영 기관],"서울병원"))</f>
        <v/>
      </c>
      <c r="V302">
        <f>IF($W302="","",IF(ISNUMBER(MATCH(INDEX(합계표[사번키],$W302)&amp;"|"&amp;대상월키,월별근무지표[키],0)),"직접 입력",IF($K302="—","—","기관명단")))</f>
        <v/>
      </c>
      <c r="W302">
        <f>IFERROR(MATCH(297,합계표[판정순번],0),"")</f>
        <v/>
      </c>
      <c r="Y302">
        <f>IF($AB302="","",INDEX(상세표[사번],$AB302)&amp;"")</f>
        <v/>
      </c>
      <c r="Z302">
        <f>IF($AB302="","",INDEX(상세표[성명],$AB302)&amp;"")</f>
        <v/>
      </c>
      <c r="AA302">
        <f>IF($AB302="","",SUMIFS(상세표[기록 시간외],상세표[사번키],INDEX(상세표[사번키],$AB302),상세표[반영월],대상월키))</f>
        <v/>
      </c>
      <c r="AB302" s="4">
        <f>IFERROR(MATCH(297,상세표[합계없음순번],0),"")</f>
        <v/>
      </c>
    </row>
    <row r="303">
      <c r="A303">
        <f>IF($W303="","",INDEX(합계표[사번],$W303)&amp;"")</f>
        <v/>
      </c>
      <c r="B303">
        <f>IF($W303="","",INDEX(합계표[성명],$W303)&amp;"")</f>
        <v/>
      </c>
      <c r="C303">
        <f>IF($W303="","",INDEX(합계표[부서],$W303)&amp;"")</f>
        <v/>
      </c>
      <c r="D303">
        <f>IF($W303="","",INDEX(합계표[직위(통합)],$W303)&amp;"")</f>
        <v/>
      </c>
      <c r="E303">
        <f>IF($W303="","",SUMIFS(합계표[시스템 합계],합계표[사번키],INDEX(합계표[사번키],$W303)))</f>
        <v/>
      </c>
      <c r="F303">
        <f>IF($W303="","",SUMIFS(상세표[기록 시간외],상세표[사번키],INDEX(합계표[사번키],$W303),상세표[기록월],대상월키))</f>
        <v/>
      </c>
      <c r="G303">
        <f>IF($W303="","",IF(ABS($E303-$F303)&lt;0.01,"일치","불일치(차이 "&amp;TEXT($F303-$E303,"0.00")&amp;")"))</f>
        <v/>
      </c>
      <c r="H303">
        <f>IF($W303="","",SUMIFS(상세표[기록 시간외],상세표[사번키],INDEX(합계표[사번키],$W303),상세표[기록월],대상월키,상세표[반영월],"&lt;&gt;"&amp;대상월키))</f>
        <v/>
      </c>
      <c r="I303">
        <f>IF($W303="","",SUMIFS(상세표[기록 시간외],상세표[사번키],INDEX(합계표[사번키],$W303),상세표[기록월],"&lt;&gt;"&amp;대상월키,상세표[반영월],대상월키))</f>
        <v/>
      </c>
      <c r="J303">
        <f>IF($W303="","",SUMIFS(상세표[기록 시간외],상세표[사번키],INDEX(합계표[사번키],$W303),상세표[반영월],대상월키))</f>
        <v/>
      </c>
      <c r="K303">
        <f>IF($W303="","",IFERROR(INDEX(월별근무지표[적용 급여병원],MATCH(INDEX(합계표[사번키],$W303)&amp;"|"&amp;대상월키,월별근무지표[키],0))&amp;"",IF(COUNTIF(기관표[사번키],INDEX(합계표[사번키],$W303))+COUNTIF(월별근무지표[사번키],INDEX(합계표[사번키],$W303))&gt;0,IFERROR(INDEX(기관표[급여지급병원(기준월)],MATCH(INDEX(합계표[사번키],$W303)&amp;"|"&amp;대상월키,기관표[키],0))&amp;"","—"),"—")))</f>
        <v/>
      </c>
      <c r="L303">
        <f>IF($W303="","",IF(NOT(COUNTIF(기관표[사번키],INDEX(합계표[사번키],$W303))+COUNTIF(월별근무지표[사번키],INDEX(합계표[사번키],$W303))&gt;0),"기관명단에 없음(다른 병원으로 발송)",IF($K303="—","대상월 기관명단 없음(추가 필요)",IF($K303="서울병원","해당","비해당"))))</f>
        <v/>
      </c>
      <c r="M303">
        <f>IF($W303="","",SUMIFS(상세표[06~07시],상세표[사번키],INDEX(합계표[사번키],$W303),상세표[반영월],대상월키,상세표[반영 기관],"서울병원"))</f>
        <v/>
      </c>
      <c r="N303">
        <f>IF($W303="","",SUMIFS(상세표[07~18시],상세표[사번키],INDEX(합계표[사번키],$W303),상세표[반영월],대상월키,상세표[반영 기관],"서울병원"))</f>
        <v/>
      </c>
      <c r="O303">
        <f>IF($W303="","",SUMIFS(상세표[18~22시],상세표[사번키],INDEX(합계표[사번키],$W303),상세표[반영월],대상월키,상세표[반영 기관],"서울병원"))</f>
        <v/>
      </c>
      <c r="P303">
        <f>IF($W303="","",SUMIFS(상세표[22~06시],상세표[사번키],INDEX(합계표[사번키],$W303),상세표[반영월],대상월키,상세표[반영 기관],"서울병원"))</f>
        <v/>
      </c>
      <c r="Q303">
        <f>IF($W303="","",SUM($M303:$P303))</f>
        <v/>
      </c>
      <c r="R303">
        <f>IF($W303="","",COUNTIFS(상세표[사번키],INDEX(합계표[사번키],$W303),상세표[반영월],대상월키,상세표[야간당직],1,상세표[야간 구분],"평일"))</f>
        <v/>
      </c>
      <c r="S303" s="4">
        <f>IF($W303="","",COUNTIFS(상세표[사번키],INDEX(합계표[사번키],$W303),상세표[반영월],대상월키,상세표[야간당직],1,상세표[야간 구분],"휴일"))</f>
        <v/>
      </c>
      <c r="T303">
        <f>IF($W303="","",COUNTIFS(상세표[사번키],INDEX(합계표[사번키],$W303),상세표[반영월],대상월키,상세표[야간당직],1,상세표[야간 구분],"평일",상세표[반영 기관],"서울병원"))</f>
        <v/>
      </c>
      <c r="U303">
        <f>IF($W303="","",COUNTIFS(상세표[사번키],INDEX(합계표[사번키],$W303),상세표[반영월],대상월키,상세표[야간당직],1,상세표[야간 구분],"휴일",상세표[반영 기관],"서울병원"))</f>
        <v/>
      </c>
      <c r="V303">
        <f>IF($W303="","",IF(ISNUMBER(MATCH(INDEX(합계표[사번키],$W303)&amp;"|"&amp;대상월키,월별근무지표[키],0)),"직접 입력",IF($K303="—","—","기관명단")))</f>
        <v/>
      </c>
      <c r="W303">
        <f>IFERROR(MATCH(298,합계표[판정순번],0),"")</f>
        <v/>
      </c>
      <c r="Y303">
        <f>IF($AB303="","",INDEX(상세표[사번],$AB303)&amp;"")</f>
        <v/>
      </c>
      <c r="Z303">
        <f>IF($AB303="","",INDEX(상세표[성명],$AB303)&amp;"")</f>
        <v/>
      </c>
      <c r="AA303">
        <f>IF($AB303="","",SUMIFS(상세표[기록 시간외],상세표[사번키],INDEX(상세표[사번키],$AB303),상세표[반영월],대상월키))</f>
        <v/>
      </c>
      <c r="AB303" s="4">
        <f>IFERROR(MATCH(298,상세표[합계없음순번],0),"")</f>
        <v/>
      </c>
    </row>
    <row r="304">
      <c r="A304">
        <f>IF($W304="","",INDEX(합계표[사번],$W304)&amp;"")</f>
        <v/>
      </c>
      <c r="B304">
        <f>IF($W304="","",INDEX(합계표[성명],$W304)&amp;"")</f>
        <v/>
      </c>
      <c r="C304">
        <f>IF($W304="","",INDEX(합계표[부서],$W304)&amp;"")</f>
        <v/>
      </c>
      <c r="D304">
        <f>IF($W304="","",INDEX(합계표[직위(통합)],$W304)&amp;"")</f>
        <v/>
      </c>
      <c r="E304">
        <f>IF($W304="","",SUMIFS(합계표[시스템 합계],합계표[사번키],INDEX(합계표[사번키],$W304)))</f>
        <v/>
      </c>
      <c r="F304">
        <f>IF($W304="","",SUMIFS(상세표[기록 시간외],상세표[사번키],INDEX(합계표[사번키],$W304),상세표[기록월],대상월키))</f>
        <v/>
      </c>
      <c r="G304">
        <f>IF($W304="","",IF(ABS($E304-$F304)&lt;0.01,"일치","불일치(차이 "&amp;TEXT($F304-$E304,"0.00")&amp;")"))</f>
        <v/>
      </c>
      <c r="H304">
        <f>IF($W304="","",SUMIFS(상세표[기록 시간외],상세표[사번키],INDEX(합계표[사번키],$W304),상세표[기록월],대상월키,상세표[반영월],"&lt;&gt;"&amp;대상월키))</f>
        <v/>
      </c>
      <c r="I304">
        <f>IF($W304="","",SUMIFS(상세표[기록 시간외],상세표[사번키],INDEX(합계표[사번키],$W304),상세표[기록월],"&lt;&gt;"&amp;대상월키,상세표[반영월],대상월키))</f>
        <v/>
      </c>
      <c r="J304">
        <f>IF($W304="","",SUMIFS(상세표[기록 시간외],상세표[사번키],INDEX(합계표[사번키],$W304),상세표[반영월],대상월키))</f>
        <v/>
      </c>
      <c r="K304">
        <f>IF($W304="","",IFERROR(INDEX(월별근무지표[적용 급여병원],MATCH(INDEX(합계표[사번키],$W304)&amp;"|"&amp;대상월키,월별근무지표[키],0))&amp;"",IF(COUNTIF(기관표[사번키],INDEX(합계표[사번키],$W304))+COUNTIF(월별근무지표[사번키],INDEX(합계표[사번키],$W304))&gt;0,IFERROR(INDEX(기관표[급여지급병원(기준월)],MATCH(INDEX(합계표[사번키],$W304)&amp;"|"&amp;대상월키,기관표[키],0))&amp;"","—"),"—")))</f>
        <v/>
      </c>
      <c r="L304">
        <f>IF($W304="","",IF(NOT(COUNTIF(기관표[사번키],INDEX(합계표[사번키],$W304))+COUNTIF(월별근무지표[사번키],INDEX(합계표[사번키],$W304))&gt;0),"기관명단에 없음(다른 병원으로 발송)",IF($K304="—","대상월 기관명단 없음(추가 필요)",IF($K304="서울병원","해당","비해당"))))</f>
        <v/>
      </c>
      <c r="M304">
        <f>IF($W304="","",SUMIFS(상세표[06~07시],상세표[사번키],INDEX(합계표[사번키],$W304),상세표[반영월],대상월키,상세표[반영 기관],"서울병원"))</f>
        <v/>
      </c>
      <c r="N304">
        <f>IF($W304="","",SUMIFS(상세표[07~18시],상세표[사번키],INDEX(합계표[사번키],$W304),상세표[반영월],대상월키,상세표[반영 기관],"서울병원"))</f>
        <v/>
      </c>
      <c r="O304">
        <f>IF($W304="","",SUMIFS(상세표[18~22시],상세표[사번키],INDEX(합계표[사번키],$W304),상세표[반영월],대상월키,상세표[반영 기관],"서울병원"))</f>
        <v/>
      </c>
      <c r="P304">
        <f>IF($W304="","",SUMIFS(상세표[22~06시],상세표[사번키],INDEX(합계표[사번키],$W304),상세표[반영월],대상월키,상세표[반영 기관],"서울병원"))</f>
        <v/>
      </c>
      <c r="Q304">
        <f>IF($W304="","",SUM($M304:$P304))</f>
        <v/>
      </c>
      <c r="R304">
        <f>IF($W304="","",COUNTIFS(상세표[사번키],INDEX(합계표[사번키],$W304),상세표[반영월],대상월키,상세표[야간당직],1,상세표[야간 구분],"평일"))</f>
        <v/>
      </c>
      <c r="S304" s="4">
        <f>IF($W304="","",COUNTIFS(상세표[사번키],INDEX(합계표[사번키],$W304),상세표[반영월],대상월키,상세표[야간당직],1,상세표[야간 구분],"휴일"))</f>
        <v/>
      </c>
      <c r="T304">
        <f>IF($W304="","",COUNTIFS(상세표[사번키],INDEX(합계표[사번키],$W304),상세표[반영월],대상월키,상세표[야간당직],1,상세표[야간 구분],"평일",상세표[반영 기관],"서울병원"))</f>
        <v/>
      </c>
      <c r="U304">
        <f>IF($W304="","",COUNTIFS(상세표[사번키],INDEX(합계표[사번키],$W304),상세표[반영월],대상월키,상세표[야간당직],1,상세표[야간 구분],"휴일",상세표[반영 기관],"서울병원"))</f>
        <v/>
      </c>
      <c r="V304">
        <f>IF($W304="","",IF(ISNUMBER(MATCH(INDEX(합계표[사번키],$W304)&amp;"|"&amp;대상월키,월별근무지표[키],0)),"직접 입력",IF($K304="—","—","기관명단")))</f>
        <v/>
      </c>
      <c r="W304">
        <f>IFERROR(MATCH(299,합계표[판정순번],0),"")</f>
        <v/>
      </c>
      <c r="Y304">
        <f>IF($AB304="","",INDEX(상세표[사번],$AB304)&amp;"")</f>
        <v/>
      </c>
      <c r="Z304">
        <f>IF($AB304="","",INDEX(상세표[성명],$AB304)&amp;"")</f>
        <v/>
      </c>
      <c r="AA304">
        <f>IF($AB304="","",SUMIFS(상세표[기록 시간외],상세표[사번키],INDEX(상세표[사번키],$AB304),상세표[반영월],대상월키))</f>
        <v/>
      </c>
      <c r="AB304" s="4">
        <f>IFERROR(MATCH(299,상세표[합계없음순번],0),"")</f>
        <v/>
      </c>
    </row>
    <row r="305">
      <c r="A305">
        <f>IF($W305="","",INDEX(합계표[사번],$W305)&amp;"")</f>
        <v/>
      </c>
      <c r="B305">
        <f>IF($W305="","",INDEX(합계표[성명],$W305)&amp;"")</f>
        <v/>
      </c>
      <c r="C305">
        <f>IF($W305="","",INDEX(합계표[부서],$W305)&amp;"")</f>
        <v/>
      </c>
      <c r="D305">
        <f>IF($W305="","",INDEX(합계표[직위(통합)],$W305)&amp;"")</f>
        <v/>
      </c>
      <c r="E305">
        <f>IF($W305="","",SUMIFS(합계표[시스템 합계],합계표[사번키],INDEX(합계표[사번키],$W305)))</f>
        <v/>
      </c>
      <c r="F305">
        <f>IF($W305="","",SUMIFS(상세표[기록 시간외],상세표[사번키],INDEX(합계표[사번키],$W305),상세표[기록월],대상월키))</f>
        <v/>
      </c>
      <c r="G305">
        <f>IF($W305="","",IF(ABS($E305-$F305)&lt;0.01,"일치","불일치(차이 "&amp;TEXT($F305-$E305,"0.00")&amp;")"))</f>
        <v/>
      </c>
      <c r="H305">
        <f>IF($W305="","",SUMIFS(상세표[기록 시간외],상세표[사번키],INDEX(합계표[사번키],$W305),상세표[기록월],대상월키,상세표[반영월],"&lt;&gt;"&amp;대상월키))</f>
        <v/>
      </c>
      <c r="I305">
        <f>IF($W305="","",SUMIFS(상세표[기록 시간외],상세표[사번키],INDEX(합계표[사번키],$W305),상세표[기록월],"&lt;&gt;"&amp;대상월키,상세표[반영월],대상월키))</f>
        <v/>
      </c>
      <c r="J305">
        <f>IF($W305="","",SUMIFS(상세표[기록 시간외],상세표[사번키],INDEX(합계표[사번키],$W305),상세표[반영월],대상월키))</f>
        <v/>
      </c>
      <c r="K305">
        <f>IF($W305="","",IFERROR(INDEX(월별근무지표[적용 급여병원],MATCH(INDEX(합계표[사번키],$W305)&amp;"|"&amp;대상월키,월별근무지표[키],0))&amp;"",IF(COUNTIF(기관표[사번키],INDEX(합계표[사번키],$W305))+COUNTIF(월별근무지표[사번키],INDEX(합계표[사번키],$W305))&gt;0,IFERROR(INDEX(기관표[급여지급병원(기준월)],MATCH(INDEX(합계표[사번키],$W305)&amp;"|"&amp;대상월키,기관표[키],0))&amp;"","—"),"—")))</f>
        <v/>
      </c>
      <c r="L305">
        <f>IF($W305="","",IF(NOT(COUNTIF(기관표[사번키],INDEX(합계표[사번키],$W305))+COUNTIF(월별근무지표[사번키],INDEX(합계표[사번키],$W305))&gt;0),"기관명단에 없음(다른 병원으로 발송)",IF($K305="—","대상월 기관명단 없음(추가 필요)",IF($K305="서울병원","해당","비해당"))))</f>
        <v/>
      </c>
      <c r="M305">
        <f>IF($W305="","",SUMIFS(상세표[06~07시],상세표[사번키],INDEX(합계표[사번키],$W305),상세표[반영월],대상월키,상세표[반영 기관],"서울병원"))</f>
        <v/>
      </c>
      <c r="N305">
        <f>IF($W305="","",SUMIFS(상세표[07~18시],상세표[사번키],INDEX(합계표[사번키],$W305),상세표[반영월],대상월키,상세표[반영 기관],"서울병원"))</f>
        <v/>
      </c>
      <c r="O305">
        <f>IF($W305="","",SUMIFS(상세표[18~22시],상세표[사번키],INDEX(합계표[사번키],$W305),상세표[반영월],대상월키,상세표[반영 기관],"서울병원"))</f>
        <v/>
      </c>
      <c r="P305">
        <f>IF($W305="","",SUMIFS(상세표[22~06시],상세표[사번키],INDEX(합계표[사번키],$W305),상세표[반영월],대상월키,상세표[반영 기관],"서울병원"))</f>
        <v/>
      </c>
      <c r="Q305">
        <f>IF($W305="","",SUM($M305:$P305))</f>
        <v/>
      </c>
      <c r="R305">
        <f>IF($W305="","",COUNTIFS(상세표[사번키],INDEX(합계표[사번키],$W305),상세표[반영월],대상월키,상세표[야간당직],1,상세표[야간 구분],"평일"))</f>
        <v/>
      </c>
      <c r="S305" s="4">
        <f>IF($W305="","",COUNTIFS(상세표[사번키],INDEX(합계표[사번키],$W305),상세표[반영월],대상월키,상세표[야간당직],1,상세표[야간 구분],"휴일"))</f>
        <v/>
      </c>
      <c r="T305">
        <f>IF($W305="","",COUNTIFS(상세표[사번키],INDEX(합계표[사번키],$W305),상세표[반영월],대상월키,상세표[야간당직],1,상세표[야간 구분],"평일",상세표[반영 기관],"서울병원"))</f>
        <v/>
      </c>
      <c r="U305">
        <f>IF($W305="","",COUNTIFS(상세표[사번키],INDEX(합계표[사번키],$W305),상세표[반영월],대상월키,상세표[야간당직],1,상세표[야간 구분],"휴일",상세표[반영 기관],"서울병원"))</f>
        <v/>
      </c>
      <c r="V305">
        <f>IF($W305="","",IF(ISNUMBER(MATCH(INDEX(합계표[사번키],$W305)&amp;"|"&amp;대상월키,월별근무지표[키],0)),"직접 입력",IF($K305="—","—","기관명단")))</f>
        <v/>
      </c>
      <c r="W305">
        <f>IFERROR(MATCH(300,합계표[판정순번],0),"")</f>
        <v/>
      </c>
      <c r="Y305">
        <f>IF($AB305="","",INDEX(상세표[사번],$AB305)&amp;"")</f>
        <v/>
      </c>
      <c r="Z305">
        <f>IF($AB305="","",INDEX(상세표[성명],$AB305)&amp;"")</f>
        <v/>
      </c>
      <c r="AA305">
        <f>IF($AB305="","",SUMIFS(상세표[기록 시간외],상세표[사번키],INDEX(상세표[사번키],$AB305),상세표[반영월],대상월키))</f>
        <v/>
      </c>
      <c r="AB305" s="4">
        <f>IFERROR(MATCH(300,상세표[합계없음순번],0),"")</f>
        <v/>
      </c>
    </row>
    <row r="306">
      <c r="A306">
        <f>IF($W306="","",INDEX(합계표[사번],$W306)&amp;"")</f>
        <v/>
      </c>
      <c r="B306">
        <f>IF($W306="","",INDEX(합계표[성명],$W306)&amp;"")</f>
        <v/>
      </c>
      <c r="C306">
        <f>IF($W306="","",INDEX(합계표[부서],$W306)&amp;"")</f>
        <v/>
      </c>
      <c r="D306">
        <f>IF($W306="","",INDEX(합계표[직위(통합)],$W306)&amp;"")</f>
        <v/>
      </c>
      <c r="E306">
        <f>IF($W306="","",SUMIFS(합계표[시스템 합계],합계표[사번키],INDEX(합계표[사번키],$W306)))</f>
        <v/>
      </c>
      <c r="F306">
        <f>IF($W306="","",SUMIFS(상세표[기록 시간외],상세표[사번키],INDEX(합계표[사번키],$W306),상세표[기록월],대상월키))</f>
        <v/>
      </c>
      <c r="G306">
        <f>IF($W306="","",IF(ABS($E306-$F306)&lt;0.01,"일치","불일치(차이 "&amp;TEXT($F306-$E306,"0.00")&amp;")"))</f>
        <v/>
      </c>
      <c r="H306">
        <f>IF($W306="","",SUMIFS(상세표[기록 시간외],상세표[사번키],INDEX(합계표[사번키],$W306),상세표[기록월],대상월키,상세표[반영월],"&lt;&gt;"&amp;대상월키))</f>
        <v/>
      </c>
      <c r="I306">
        <f>IF($W306="","",SUMIFS(상세표[기록 시간외],상세표[사번키],INDEX(합계표[사번키],$W306),상세표[기록월],"&lt;&gt;"&amp;대상월키,상세표[반영월],대상월키))</f>
        <v/>
      </c>
      <c r="J306">
        <f>IF($W306="","",SUMIFS(상세표[기록 시간외],상세표[사번키],INDEX(합계표[사번키],$W306),상세표[반영월],대상월키))</f>
        <v/>
      </c>
      <c r="K306">
        <f>IF($W306="","",IFERROR(INDEX(월별근무지표[적용 급여병원],MATCH(INDEX(합계표[사번키],$W306)&amp;"|"&amp;대상월키,월별근무지표[키],0))&amp;"",IF(COUNTIF(기관표[사번키],INDEX(합계표[사번키],$W306))+COUNTIF(월별근무지표[사번키],INDEX(합계표[사번키],$W306))&gt;0,IFERROR(INDEX(기관표[급여지급병원(기준월)],MATCH(INDEX(합계표[사번키],$W306)&amp;"|"&amp;대상월키,기관표[키],0))&amp;"","—"),"—")))</f>
        <v/>
      </c>
      <c r="L306">
        <f>IF($W306="","",IF(NOT(COUNTIF(기관표[사번키],INDEX(합계표[사번키],$W306))+COUNTIF(월별근무지표[사번키],INDEX(합계표[사번키],$W306))&gt;0),"기관명단에 없음(다른 병원으로 발송)",IF($K306="—","대상월 기관명단 없음(추가 필요)",IF($K306="서울병원","해당","비해당"))))</f>
        <v/>
      </c>
      <c r="M306">
        <f>IF($W306="","",SUMIFS(상세표[06~07시],상세표[사번키],INDEX(합계표[사번키],$W306),상세표[반영월],대상월키,상세표[반영 기관],"서울병원"))</f>
        <v/>
      </c>
      <c r="N306">
        <f>IF($W306="","",SUMIFS(상세표[07~18시],상세표[사번키],INDEX(합계표[사번키],$W306),상세표[반영월],대상월키,상세표[반영 기관],"서울병원"))</f>
        <v/>
      </c>
      <c r="O306">
        <f>IF($W306="","",SUMIFS(상세표[18~22시],상세표[사번키],INDEX(합계표[사번키],$W306),상세표[반영월],대상월키,상세표[반영 기관],"서울병원"))</f>
        <v/>
      </c>
      <c r="P306">
        <f>IF($W306="","",SUMIFS(상세표[22~06시],상세표[사번키],INDEX(합계표[사번키],$W306),상세표[반영월],대상월키,상세표[반영 기관],"서울병원"))</f>
        <v/>
      </c>
      <c r="Q306">
        <f>IF($W306="","",SUM($M306:$P306))</f>
        <v/>
      </c>
      <c r="R306">
        <f>IF($W306="","",COUNTIFS(상세표[사번키],INDEX(합계표[사번키],$W306),상세표[반영월],대상월키,상세표[야간당직],1,상세표[야간 구분],"평일"))</f>
        <v/>
      </c>
      <c r="S306" s="4">
        <f>IF($W306="","",COUNTIFS(상세표[사번키],INDEX(합계표[사번키],$W306),상세표[반영월],대상월키,상세표[야간당직],1,상세표[야간 구분],"휴일"))</f>
        <v/>
      </c>
      <c r="T306">
        <f>IF($W306="","",COUNTIFS(상세표[사번키],INDEX(합계표[사번키],$W306),상세표[반영월],대상월키,상세표[야간당직],1,상세표[야간 구분],"평일",상세표[반영 기관],"서울병원"))</f>
        <v/>
      </c>
      <c r="U306">
        <f>IF($W306="","",COUNTIFS(상세표[사번키],INDEX(합계표[사번키],$W306),상세표[반영월],대상월키,상세표[야간당직],1,상세표[야간 구분],"휴일",상세표[반영 기관],"서울병원"))</f>
        <v/>
      </c>
      <c r="V306">
        <f>IF($W306="","",IF(ISNUMBER(MATCH(INDEX(합계표[사번키],$W306)&amp;"|"&amp;대상월키,월별근무지표[키],0)),"직접 입력",IF($K306="—","—","기관명단")))</f>
        <v/>
      </c>
      <c r="W306">
        <f>IFERROR(MATCH(301,합계표[판정순번],0),"")</f>
        <v/>
      </c>
    </row>
    <row r="307">
      <c r="A307">
        <f>IF($W307="","",INDEX(합계표[사번],$W307)&amp;"")</f>
        <v/>
      </c>
      <c r="B307">
        <f>IF($W307="","",INDEX(합계표[성명],$W307)&amp;"")</f>
        <v/>
      </c>
      <c r="C307">
        <f>IF($W307="","",INDEX(합계표[부서],$W307)&amp;"")</f>
        <v/>
      </c>
      <c r="D307">
        <f>IF($W307="","",INDEX(합계표[직위(통합)],$W307)&amp;"")</f>
        <v/>
      </c>
      <c r="E307">
        <f>IF($W307="","",SUMIFS(합계표[시스템 합계],합계표[사번키],INDEX(합계표[사번키],$W307)))</f>
        <v/>
      </c>
      <c r="F307">
        <f>IF($W307="","",SUMIFS(상세표[기록 시간외],상세표[사번키],INDEX(합계표[사번키],$W307),상세표[기록월],대상월키))</f>
        <v/>
      </c>
      <c r="G307">
        <f>IF($W307="","",IF(ABS($E307-$F307)&lt;0.01,"일치","불일치(차이 "&amp;TEXT($F307-$E307,"0.00")&amp;")"))</f>
        <v/>
      </c>
      <c r="H307">
        <f>IF($W307="","",SUMIFS(상세표[기록 시간외],상세표[사번키],INDEX(합계표[사번키],$W307),상세표[기록월],대상월키,상세표[반영월],"&lt;&gt;"&amp;대상월키))</f>
        <v/>
      </c>
      <c r="I307">
        <f>IF($W307="","",SUMIFS(상세표[기록 시간외],상세표[사번키],INDEX(합계표[사번키],$W307),상세표[기록월],"&lt;&gt;"&amp;대상월키,상세표[반영월],대상월키))</f>
        <v/>
      </c>
      <c r="J307">
        <f>IF($W307="","",SUMIFS(상세표[기록 시간외],상세표[사번키],INDEX(합계표[사번키],$W307),상세표[반영월],대상월키))</f>
        <v/>
      </c>
      <c r="K307">
        <f>IF($W307="","",IFERROR(INDEX(월별근무지표[적용 급여병원],MATCH(INDEX(합계표[사번키],$W307)&amp;"|"&amp;대상월키,월별근무지표[키],0))&amp;"",IF(COUNTIF(기관표[사번키],INDEX(합계표[사번키],$W307))+COUNTIF(월별근무지표[사번키],INDEX(합계표[사번키],$W307))&gt;0,IFERROR(INDEX(기관표[급여지급병원(기준월)],MATCH(INDEX(합계표[사번키],$W307)&amp;"|"&amp;대상월키,기관표[키],0))&amp;"","—"),"—")))</f>
        <v/>
      </c>
      <c r="L307">
        <f>IF($W307="","",IF(NOT(COUNTIF(기관표[사번키],INDEX(합계표[사번키],$W307))+COUNTIF(월별근무지표[사번키],INDEX(합계표[사번키],$W307))&gt;0),"기관명단에 없음(다른 병원으로 발송)",IF($K307="—","대상월 기관명단 없음(추가 필요)",IF($K307="서울병원","해당","비해당"))))</f>
        <v/>
      </c>
      <c r="M307">
        <f>IF($W307="","",SUMIFS(상세표[06~07시],상세표[사번키],INDEX(합계표[사번키],$W307),상세표[반영월],대상월키,상세표[반영 기관],"서울병원"))</f>
        <v/>
      </c>
      <c r="N307">
        <f>IF($W307="","",SUMIFS(상세표[07~18시],상세표[사번키],INDEX(합계표[사번키],$W307),상세표[반영월],대상월키,상세표[반영 기관],"서울병원"))</f>
        <v/>
      </c>
      <c r="O307">
        <f>IF($W307="","",SUMIFS(상세표[18~22시],상세표[사번키],INDEX(합계표[사번키],$W307),상세표[반영월],대상월키,상세표[반영 기관],"서울병원"))</f>
        <v/>
      </c>
      <c r="P307">
        <f>IF($W307="","",SUMIFS(상세표[22~06시],상세표[사번키],INDEX(합계표[사번키],$W307),상세표[반영월],대상월키,상세표[반영 기관],"서울병원"))</f>
        <v/>
      </c>
      <c r="Q307">
        <f>IF($W307="","",SUM($M307:$P307))</f>
        <v/>
      </c>
      <c r="R307">
        <f>IF($W307="","",COUNTIFS(상세표[사번키],INDEX(합계표[사번키],$W307),상세표[반영월],대상월키,상세표[야간당직],1,상세표[야간 구분],"평일"))</f>
        <v/>
      </c>
      <c r="S307" s="4">
        <f>IF($W307="","",COUNTIFS(상세표[사번키],INDEX(합계표[사번키],$W307),상세표[반영월],대상월키,상세표[야간당직],1,상세표[야간 구분],"휴일"))</f>
        <v/>
      </c>
      <c r="T307">
        <f>IF($W307="","",COUNTIFS(상세표[사번키],INDEX(합계표[사번키],$W307),상세표[반영월],대상월키,상세표[야간당직],1,상세표[야간 구분],"평일",상세표[반영 기관],"서울병원"))</f>
        <v/>
      </c>
      <c r="U307">
        <f>IF($W307="","",COUNTIFS(상세표[사번키],INDEX(합계표[사번키],$W307),상세표[반영월],대상월키,상세표[야간당직],1,상세표[야간 구분],"휴일",상세표[반영 기관],"서울병원"))</f>
        <v/>
      </c>
      <c r="V307">
        <f>IF($W307="","",IF(ISNUMBER(MATCH(INDEX(합계표[사번키],$W307)&amp;"|"&amp;대상월키,월별근무지표[키],0)),"직접 입력",IF($K307="—","—","기관명단")))</f>
        <v/>
      </c>
      <c r="W307">
        <f>IFERROR(MATCH(302,합계표[판정순번],0),"")</f>
        <v/>
      </c>
    </row>
    <row r="308">
      <c r="A308">
        <f>IF($W308="","",INDEX(합계표[사번],$W308)&amp;"")</f>
        <v/>
      </c>
      <c r="B308">
        <f>IF($W308="","",INDEX(합계표[성명],$W308)&amp;"")</f>
        <v/>
      </c>
      <c r="C308">
        <f>IF($W308="","",INDEX(합계표[부서],$W308)&amp;"")</f>
        <v/>
      </c>
      <c r="D308">
        <f>IF($W308="","",INDEX(합계표[직위(통합)],$W308)&amp;"")</f>
        <v/>
      </c>
      <c r="E308">
        <f>IF($W308="","",SUMIFS(합계표[시스템 합계],합계표[사번키],INDEX(합계표[사번키],$W308)))</f>
        <v/>
      </c>
      <c r="F308">
        <f>IF($W308="","",SUMIFS(상세표[기록 시간외],상세표[사번키],INDEX(합계표[사번키],$W308),상세표[기록월],대상월키))</f>
        <v/>
      </c>
      <c r="G308">
        <f>IF($W308="","",IF(ABS($E308-$F308)&lt;0.01,"일치","불일치(차이 "&amp;TEXT($F308-$E308,"0.00")&amp;")"))</f>
        <v/>
      </c>
      <c r="H308">
        <f>IF($W308="","",SUMIFS(상세표[기록 시간외],상세표[사번키],INDEX(합계표[사번키],$W308),상세표[기록월],대상월키,상세표[반영월],"&lt;&gt;"&amp;대상월키))</f>
        <v/>
      </c>
      <c r="I308">
        <f>IF($W308="","",SUMIFS(상세표[기록 시간외],상세표[사번키],INDEX(합계표[사번키],$W308),상세표[기록월],"&lt;&gt;"&amp;대상월키,상세표[반영월],대상월키))</f>
        <v/>
      </c>
      <c r="J308">
        <f>IF($W308="","",SUMIFS(상세표[기록 시간외],상세표[사번키],INDEX(합계표[사번키],$W308),상세표[반영월],대상월키))</f>
        <v/>
      </c>
      <c r="K308">
        <f>IF($W308="","",IFERROR(INDEX(월별근무지표[적용 급여병원],MATCH(INDEX(합계표[사번키],$W308)&amp;"|"&amp;대상월키,월별근무지표[키],0))&amp;"",IF(COUNTIF(기관표[사번키],INDEX(합계표[사번키],$W308))+COUNTIF(월별근무지표[사번키],INDEX(합계표[사번키],$W308))&gt;0,IFERROR(INDEX(기관표[급여지급병원(기준월)],MATCH(INDEX(합계표[사번키],$W308)&amp;"|"&amp;대상월키,기관표[키],0))&amp;"","—"),"—")))</f>
        <v/>
      </c>
      <c r="L308">
        <f>IF($W308="","",IF(NOT(COUNTIF(기관표[사번키],INDEX(합계표[사번키],$W308))+COUNTIF(월별근무지표[사번키],INDEX(합계표[사번키],$W308))&gt;0),"기관명단에 없음(다른 병원으로 발송)",IF($K308="—","대상월 기관명단 없음(추가 필요)",IF($K308="서울병원","해당","비해당"))))</f>
        <v/>
      </c>
      <c r="M308">
        <f>IF($W308="","",SUMIFS(상세표[06~07시],상세표[사번키],INDEX(합계표[사번키],$W308),상세표[반영월],대상월키,상세표[반영 기관],"서울병원"))</f>
        <v/>
      </c>
      <c r="N308">
        <f>IF($W308="","",SUMIFS(상세표[07~18시],상세표[사번키],INDEX(합계표[사번키],$W308),상세표[반영월],대상월키,상세표[반영 기관],"서울병원"))</f>
        <v/>
      </c>
      <c r="O308">
        <f>IF($W308="","",SUMIFS(상세표[18~22시],상세표[사번키],INDEX(합계표[사번키],$W308),상세표[반영월],대상월키,상세표[반영 기관],"서울병원"))</f>
        <v/>
      </c>
      <c r="P308">
        <f>IF($W308="","",SUMIFS(상세표[22~06시],상세표[사번키],INDEX(합계표[사번키],$W308),상세표[반영월],대상월키,상세표[반영 기관],"서울병원"))</f>
        <v/>
      </c>
      <c r="Q308">
        <f>IF($W308="","",SUM($M308:$P308))</f>
        <v/>
      </c>
      <c r="R308">
        <f>IF($W308="","",COUNTIFS(상세표[사번키],INDEX(합계표[사번키],$W308),상세표[반영월],대상월키,상세표[야간당직],1,상세표[야간 구분],"평일"))</f>
        <v/>
      </c>
      <c r="S308" s="4">
        <f>IF($W308="","",COUNTIFS(상세표[사번키],INDEX(합계표[사번키],$W308),상세표[반영월],대상월키,상세표[야간당직],1,상세표[야간 구분],"휴일"))</f>
        <v/>
      </c>
      <c r="T308">
        <f>IF($W308="","",COUNTIFS(상세표[사번키],INDEX(합계표[사번키],$W308),상세표[반영월],대상월키,상세표[야간당직],1,상세표[야간 구분],"평일",상세표[반영 기관],"서울병원"))</f>
        <v/>
      </c>
      <c r="U308">
        <f>IF($W308="","",COUNTIFS(상세표[사번키],INDEX(합계표[사번키],$W308),상세표[반영월],대상월키,상세표[야간당직],1,상세표[야간 구분],"휴일",상세표[반영 기관],"서울병원"))</f>
        <v/>
      </c>
      <c r="V308">
        <f>IF($W308="","",IF(ISNUMBER(MATCH(INDEX(합계표[사번키],$W308)&amp;"|"&amp;대상월키,월별근무지표[키],0)),"직접 입력",IF($K308="—","—","기관명단")))</f>
        <v/>
      </c>
      <c r="W308">
        <f>IFERROR(MATCH(303,합계표[판정순번],0),"")</f>
        <v/>
      </c>
    </row>
    <row r="309">
      <c r="A309">
        <f>IF($W309="","",INDEX(합계표[사번],$W309)&amp;"")</f>
        <v/>
      </c>
      <c r="B309">
        <f>IF($W309="","",INDEX(합계표[성명],$W309)&amp;"")</f>
        <v/>
      </c>
      <c r="C309">
        <f>IF($W309="","",INDEX(합계표[부서],$W309)&amp;"")</f>
        <v/>
      </c>
      <c r="D309">
        <f>IF($W309="","",INDEX(합계표[직위(통합)],$W309)&amp;"")</f>
        <v/>
      </c>
      <c r="E309">
        <f>IF($W309="","",SUMIFS(합계표[시스템 합계],합계표[사번키],INDEX(합계표[사번키],$W309)))</f>
        <v/>
      </c>
      <c r="F309">
        <f>IF($W309="","",SUMIFS(상세표[기록 시간외],상세표[사번키],INDEX(합계표[사번키],$W309),상세표[기록월],대상월키))</f>
        <v/>
      </c>
      <c r="G309">
        <f>IF($W309="","",IF(ABS($E309-$F309)&lt;0.01,"일치","불일치(차이 "&amp;TEXT($F309-$E309,"0.00")&amp;")"))</f>
        <v/>
      </c>
      <c r="H309">
        <f>IF($W309="","",SUMIFS(상세표[기록 시간외],상세표[사번키],INDEX(합계표[사번키],$W309),상세표[기록월],대상월키,상세표[반영월],"&lt;&gt;"&amp;대상월키))</f>
        <v/>
      </c>
      <c r="I309">
        <f>IF($W309="","",SUMIFS(상세표[기록 시간외],상세표[사번키],INDEX(합계표[사번키],$W309),상세표[기록월],"&lt;&gt;"&amp;대상월키,상세표[반영월],대상월키))</f>
        <v/>
      </c>
      <c r="J309">
        <f>IF($W309="","",SUMIFS(상세표[기록 시간외],상세표[사번키],INDEX(합계표[사번키],$W309),상세표[반영월],대상월키))</f>
        <v/>
      </c>
      <c r="K309">
        <f>IF($W309="","",IFERROR(INDEX(월별근무지표[적용 급여병원],MATCH(INDEX(합계표[사번키],$W309)&amp;"|"&amp;대상월키,월별근무지표[키],0))&amp;"",IF(COUNTIF(기관표[사번키],INDEX(합계표[사번키],$W309))+COUNTIF(월별근무지표[사번키],INDEX(합계표[사번키],$W309))&gt;0,IFERROR(INDEX(기관표[급여지급병원(기준월)],MATCH(INDEX(합계표[사번키],$W309)&amp;"|"&amp;대상월키,기관표[키],0))&amp;"","—"),"—")))</f>
        <v/>
      </c>
      <c r="L309">
        <f>IF($W309="","",IF(NOT(COUNTIF(기관표[사번키],INDEX(합계표[사번키],$W309))+COUNTIF(월별근무지표[사번키],INDEX(합계표[사번키],$W309))&gt;0),"기관명단에 없음(다른 병원으로 발송)",IF($K309="—","대상월 기관명단 없음(추가 필요)",IF($K309="서울병원","해당","비해당"))))</f>
        <v/>
      </c>
      <c r="M309">
        <f>IF($W309="","",SUMIFS(상세표[06~07시],상세표[사번키],INDEX(합계표[사번키],$W309),상세표[반영월],대상월키,상세표[반영 기관],"서울병원"))</f>
        <v/>
      </c>
      <c r="N309">
        <f>IF($W309="","",SUMIFS(상세표[07~18시],상세표[사번키],INDEX(합계표[사번키],$W309),상세표[반영월],대상월키,상세표[반영 기관],"서울병원"))</f>
        <v/>
      </c>
      <c r="O309">
        <f>IF($W309="","",SUMIFS(상세표[18~22시],상세표[사번키],INDEX(합계표[사번키],$W309),상세표[반영월],대상월키,상세표[반영 기관],"서울병원"))</f>
        <v/>
      </c>
      <c r="P309">
        <f>IF($W309="","",SUMIFS(상세표[22~06시],상세표[사번키],INDEX(합계표[사번키],$W309),상세표[반영월],대상월키,상세표[반영 기관],"서울병원"))</f>
        <v/>
      </c>
      <c r="Q309">
        <f>IF($W309="","",SUM($M309:$P309))</f>
        <v/>
      </c>
      <c r="R309">
        <f>IF($W309="","",COUNTIFS(상세표[사번키],INDEX(합계표[사번키],$W309),상세표[반영월],대상월키,상세표[야간당직],1,상세표[야간 구분],"평일"))</f>
        <v/>
      </c>
      <c r="S309" s="4">
        <f>IF($W309="","",COUNTIFS(상세표[사번키],INDEX(합계표[사번키],$W309),상세표[반영월],대상월키,상세표[야간당직],1,상세표[야간 구분],"휴일"))</f>
        <v/>
      </c>
      <c r="T309">
        <f>IF($W309="","",COUNTIFS(상세표[사번키],INDEX(합계표[사번키],$W309),상세표[반영월],대상월키,상세표[야간당직],1,상세표[야간 구분],"평일",상세표[반영 기관],"서울병원"))</f>
        <v/>
      </c>
      <c r="U309">
        <f>IF($W309="","",COUNTIFS(상세표[사번키],INDEX(합계표[사번키],$W309),상세표[반영월],대상월키,상세표[야간당직],1,상세표[야간 구분],"휴일",상세표[반영 기관],"서울병원"))</f>
        <v/>
      </c>
      <c r="V309">
        <f>IF($W309="","",IF(ISNUMBER(MATCH(INDEX(합계표[사번키],$W309)&amp;"|"&amp;대상월키,월별근무지표[키],0)),"직접 입력",IF($K309="—","—","기관명단")))</f>
        <v/>
      </c>
      <c r="W309">
        <f>IFERROR(MATCH(304,합계표[판정순번],0),"")</f>
        <v/>
      </c>
    </row>
    <row r="310">
      <c r="A310">
        <f>IF($W310="","",INDEX(합계표[사번],$W310)&amp;"")</f>
        <v/>
      </c>
      <c r="B310">
        <f>IF($W310="","",INDEX(합계표[성명],$W310)&amp;"")</f>
        <v/>
      </c>
      <c r="C310">
        <f>IF($W310="","",INDEX(합계표[부서],$W310)&amp;"")</f>
        <v/>
      </c>
      <c r="D310">
        <f>IF($W310="","",INDEX(합계표[직위(통합)],$W310)&amp;"")</f>
        <v/>
      </c>
      <c r="E310">
        <f>IF($W310="","",SUMIFS(합계표[시스템 합계],합계표[사번키],INDEX(합계표[사번키],$W310)))</f>
        <v/>
      </c>
      <c r="F310">
        <f>IF($W310="","",SUMIFS(상세표[기록 시간외],상세표[사번키],INDEX(합계표[사번키],$W310),상세표[기록월],대상월키))</f>
        <v/>
      </c>
      <c r="G310">
        <f>IF($W310="","",IF(ABS($E310-$F310)&lt;0.01,"일치","불일치(차이 "&amp;TEXT($F310-$E310,"0.00")&amp;")"))</f>
        <v/>
      </c>
      <c r="H310">
        <f>IF($W310="","",SUMIFS(상세표[기록 시간외],상세표[사번키],INDEX(합계표[사번키],$W310),상세표[기록월],대상월키,상세표[반영월],"&lt;&gt;"&amp;대상월키))</f>
        <v/>
      </c>
      <c r="I310">
        <f>IF($W310="","",SUMIFS(상세표[기록 시간외],상세표[사번키],INDEX(합계표[사번키],$W310),상세표[기록월],"&lt;&gt;"&amp;대상월키,상세표[반영월],대상월키))</f>
        <v/>
      </c>
      <c r="J310">
        <f>IF($W310="","",SUMIFS(상세표[기록 시간외],상세표[사번키],INDEX(합계표[사번키],$W310),상세표[반영월],대상월키))</f>
        <v/>
      </c>
      <c r="K310">
        <f>IF($W310="","",IFERROR(INDEX(월별근무지표[적용 급여병원],MATCH(INDEX(합계표[사번키],$W310)&amp;"|"&amp;대상월키,월별근무지표[키],0))&amp;"",IF(COUNTIF(기관표[사번키],INDEX(합계표[사번키],$W310))+COUNTIF(월별근무지표[사번키],INDEX(합계표[사번키],$W310))&gt;0,IFERROR(INDEX(기관표[급여지급병원(기준월)],MATCH(INDEX(합계표[사번키],$W310)&amp;"|"&amp;대상월키,기관표[키],0))&amp;"","—"),"—")))</f>
        <v/>
      </c>
      <c r="L310">
        <f>IF($W310="","",IF(NOT(COUNTIF(기관표[사번키],INDEX(합계표[사번키],$W310))+COUNTIF(월별근무지표[사번키],INDEX(합계표[사번키],$W310))&gt;0),"기관명단에 없음(다른 병원으로 발송)",IF($K310="—","대상월 기관명단 없음(추가 필요)",IF($K310="서울병원","해당","비해당"))))</f>
        <v/>
      </c>
      <c r="M310">
        <f>IF($W310="","",SUMIFS(상세표[06~07시],상세표[사번키],INDEX(합계표[사번키],$W310),상세표[반영월],대상월키,상세표[반영 기관],"서울병원"))</f>
        <v/>
      </c>
      <c r="N310">
        <f>IF($W310="","",SUMIFS(상세표[07~18시],상세표[사번키],INDEX(합계표[사번키],$W310),상세표[반영월],대상월키,상세표[반영 기관],"서울병원"))</f>
        <v/>
      </c>
      <c r="O310">
        <f>IF($W310="","",SUMIFS(상세표[18~22시],상세표[사번키],INDEX(합계표[사번키],$W310),상세표[반영월],대상월키,상세표[반영 기관],"서울병원"))</f>
        <v/>
      </c>
      <c r="P310">
        <f>IF($W310="","",SUMIFS(상세표[22~06시],상세표[사번키],INDEX(합계표[사번키],$W310),상세표[반영월],대상월키,상세표[반영 기관],"서울병원"))</f>
        <v/>
      </c>
      <c r="Q310">
        <f>IF($W310="","",SUM($M310:$P310))</f>
        <v/>
      </c>
      <c r="R310">
        <f>IF($W310="","",COUNTIFS(상세표[사번키],INDEX(합계표[사번키],$W310),상세표[반영월],대상월키,상세표[야간당직],1,상세표[야간 구분],"평일"))</f>
        <v/>
      </c>
      <c r="S310" s="4">
        <f>IF($W310="","",COUNTIFS(상세표[사번키],INDEX(합계표[사번키],$W310),상세표[반영월],대상월키,상세표[야간당직],1,상세표[야간 구분],"휴일"))</f>
        <v/>
      </c>
      <c r="T310">
        <f>IF($W310="","",COUNTIFS(상세표[사번키],INDEX(합계표[사번키],$W310),상세표[반영월],대상월키,상세표[야간당직],1,상세표[야간 구분],"평일",상세표[반영 기관],"서울병원"))</f>
        <v/>
      </c>
      <c r="U310">
        <f>IF($W310="","",COUNTIFS(상세표[사번키],INDEX(합계표[사번키],$W310),상세표[반영월],대상월키,상세표[야간당직],1,상세표[야간 구분],"휴일",상세표[반영 기관],"서울병원"))</f>
        <v/>
      </c>
      <c r="V310">
        <f>IF($W310="","",IF(ISNUMBER(MATCH(INDEX(합계표[사번키],$W310)&amp;"|"&amp;대상월키,월별근무지표[키],0)),"직접 입력",IF($K310="—","—","기관명단")))</f>
        <v/>
      </c>
      <c r="W310">
        <f>IFERROR(MATCH(305,합계표[판정순번],0),"")</f>
        <v/>
      </c>
    </row>
    <row r="311">
      <c r="A311">
        <f>IF($W311="","",INDEX(합계표[사번],$W311)&amp;"")</f>
        <v/>
      </c>
      <c r="B311">
        <f>IF($W311="","",INDEX(합계표[성명],$W311)&amp;"")</f>
        <v/>
      </c>
      <c r="C311">
        <f>IF($W311="","",INDEX(합계표[부서],$W311)&amp;"")</f>
        <v/>
      </c>
      <c r="D311">
        <f>IF($W311="","",INDEX(합계표[직위(통합)],$W311)&amp;"")</f>
        <v/>
      </c>
      <c r="E311">
        <f>IF($W311="","",SUMIFS(합계표[시스템 합계],합계표[사번키],INDEX(합계표[사번키],$W311)))</f>
        <v/>
      </c>
      <c r="F311">
        <f>IF($W311="","",SUMIFS(상세표[기록 시간외],상세표[사번키],INDEX(합계표[사번키],$W311),상세표[기록월],대상월키))</f>
        <v/>
      </c>
      <c r="G311">
        <f>IF($W311="","",IF(ABS($E311-$F311)&lt;0.01,"일치","불일치(차이 "&amp;TEXT($F311-$E311,"0.00")&amp;")"))</f>
        <v/>
      </c>
      <c r="H311">
        <f>IF($W311="","",SUMIFS(상세표[기록 시간외],상세표[사번키],INDEX(합계표[사번키],$W311),상세표[기록월],대상월키,상세표[반영월],"&lt;&gt;"&amp;대상월키))</f>
        <v/>
      </c>
      <c r="I311">
        <f>IF($W311="","",SUMIFS(상세표[기록 시간외],상세표[사번키],INDEX(합계표[사번키],$W311),상세표[기록월],"&lt;&gt;"&amp;대상월키,상세표[반영월],대상월키))</f>
        <v/>
      </c>
      <c r="J311">
        <f>IF($W311="","",SUMIFS(상세표[기록 시간외],상세표[사번키],INDEX(합계표[사번키],$W311),상세표[반영월],대상월키))</f>
        <v/>
      </c>
      <c r="K311">
        <f>IF($W311="","",IFERROR(INDEX(월별근무지표[적용 급여병원],MATCH(INDEX(합계표[사번키],$W311)&amp;"|"&amp;대상월키,월별근무지표[키],0))&amp;"",IF(COUNTIF(기관표[사번키],INDEX(합계표[사번키],$W311))+COUNTIF(월별근무지표[사번키],INDEX(합계표[사번키],$W311))&gt;0,IFERROR(INDEX(기관표[급여지급병원(기준월)],MATCH(INDEX(합계표[사번키],$W311)&amp;"|"&amp;대상월키,기관표[키],0))&amp;"","—"),"—")))</f>
        <v/>
      </c>
      <c r="L311">
        <f>IF($W311="","",IF(NOT(COUNTIF(기관표[사번키],INDEX(합계표[사번키],$W311))+COUNTIF(월별근무지표[사번키],INDEX(합계표[사번키],$W311))&gt;0),"기관명단에 없음(다른 병원으로 발송)",IF($K311="—","대상월 기관명단 없음(추가 필요)",IF($K311="서울병원","해당","비해당"))))</f>
        <v/>
      </c>
      <c r="M311">
        <f>IF($W311="","",SUMIFS(상세표[06~07시],상세표[사번키],INDEX(합계표[사번키],$W311),상세표[반영월],대상월키,상세표[반영 기관],"서울병원"))</f>
        <v/>
      </c>
      <c r="N311">
        <f>IF($W311="","",SUMIFS(상세표[07~18시],상세표[사번키],INDEX(합계표[사번키],$W311),상세표[반영월],대상월키,상세표[반영 기관],"서울병원"))</f>
        <v/>
      </c>
      <c r="O311">
        <f>IF($W311="","",SUMIFS(상세표[18~22시],상세표[사번키],INDEX(합계표[사번키],$W311),상세표[반영월],대상월키,상세표[반영 기관],"서울병원"))</f>
        <v/>
      </c>
      <c r="P311">
        <f>IF($W311="","",SUMIFS(상세표[22~06시],상세표[사번키],INDEX(합계표[사번키],$W311),상세표[반영월],대상월키,상세표[반영 기관],"서울병원"))</f>
        <v/>
      </c>
      <c r="Q311">
        <f>IF($W311="","",SUM($M311:$P311))</f>
        <v/>
      </c>
      <c r="R311">
        <f>IF($W311="","",COUNTIFS(상세표[사번키],INDEX(합계표[사번키],$W311),상세표[반영월],대상월키,상세표[야간당직],1,상세표[야간 구분],"평일"))</f>
        <v/>
      </c>
      <c r="S311" s="4">
        <f>IF($W311="","",COUNTIFS(상세표[사번키],INDEX(합계표[사번키],$W311),상세표[반영월],대상월키,상세표[야간당직],1,상세표[야간 구분],"휴일"))</f>
        <v/>
      </c>
      <c r="T311">
        <f>IF($W311="","",COUNTIFS(상세표[사번키],INDEX(합계표[사번키],$W311),상세표[반영월],대상월키,상세표[야간당직],1,상세표[야간 구분],"평일",상세표[반영 기관],"서울병원"))</f>
        <v/>
      </c>
      <c r="U311">
        <f>IF($W311="","",COUNTIFS(상세표[사번키],INDEX(합계표[사번키],$W311),상세표[반영월],대상월키,상세표[야간당직],1,상세표[야간 구분],"휴일",상세표[반영 기관],"서울병원"))</f>
        <v/>
      </c>
      <c r="V311">
        <f>IF($W311="","",IF(ISNUMBER(MATCH(INDEX(합계표[사번키],$W311)&amp;"|"&amp;대상월키,월별근무지표[키],0)),"직접 입력",IF($K311="—","—","기관명단")))</f>
        <v/>
      </c>
      <c r="W311">
        <f>IFERROR(MATCH(306,합계표[판정순번],0),"")</f>
        <v/>
      </c>
    </row>
    <row r="312">
      <c r="A312">
        <f>IF($W312="","",INDEX(합계표[사번],$W312)&amp;"")</f>
        <v/>
      </c>
      <c r="B312">
        <f>IF($W312="","",INDEX(합계표[성명],$W312)&amp;"")</f>
        <v/>
      </c>
      <c r="C312">
        <f>IF($W312="","",INDEX(합계표[부서],$W312)&amp;"")</f>
        <v/>
      </c>
      <c r="D312">
        <f>IF($W312="","",INDEX(합계표[직위(통합)],$W312)&amp;"")</f>
        <v/>
      </c>
      <c r="E312">
        <f>IF($W312="","",SUMIFS(합계표[시스템 합계],합계표[사번키],INDEX(합계표[사번키],$W312)))</f>
        <v/>
      </c>
      <c r="F312">
        <f>IF($W312="","",SUMIFS(상세표[기록 시간외],상세표[사번키],INDEX(합계표[사번키],$W312),상세표[기록월],대상월키))</f>
        <v/>
      </c>
      <c r="G312">
        <f>IF($W312="","",IF(ABS($E312-$F312)&lt;0.01,"일치","불일치(차이 "&amp;TEXT($F312-$E312,"0.00")&amp;")"))</f>
        <v/>
      </c>
      <c r="H312">
        <f>IF($W312="","",SUMIFS(상세표[기록 시간외],상세표[사번키],INDEX(합계표[사번키],$W312),상세표[기록월],대상월키,상세표[반영월],"&lt;&gt;"&amp;대상월키))</f>
        <v/>
      </c>
      <c r="I312">
        <f>IF($W312="","",SUMIFS(상세표[기록 시간외],상세표[사번키],INDEX(합계표[사번키],$W312),상세표[기록월],"&lt;&gt;"&amp;대상월키,상세표[반영월],대상월키))</f>
        <v/>
      </c>
      <c r="J312">
        <f>IF($W312="","",SUMIFS(상세표[기록 시간외],상세표[사번키],INDEX(합계표[사번키],$W312),상세표[반영월],대상월키))</f>
        <v/>
      </c>
      <c r="K312">
        <f>IF($W312="","",IFERROR(INDEX(월별근무지표[적용 급여병원],MATCH(INDEX(합계표[사번키],$W312)&amp;"|"&amp;대상월키,월별근무지표[키],0))&amp;"",IF(COUNTIF(기관표[사번키],INDEX(합계표[사번키],$W312))+COUNTIF(월별근무지표[사번키],INDEX(합계표[사번키],$W312))&gt;0,IFERROR(INDEX(기관표[급여지급병원(기준월)],MATCH(INDEX(합계표[사번키],$W312)&amp;"|"&amp;대상월키,기관표[키],0))&amp;"","—"),"—")))</f>
        <v/>
      </c>
      <c r="L312">
        <f>IF($W312="","",IF(NOT(COUNTIF(기관표[사번키],INDEX(합계표[사번키],$W312))+COUNTIF(월별근무지표[사번키],INDEX(합계표[사번키],$W312))&gt;0),"기관명단에 없음(다른 병원으로 발송)",IF($K312="—","대상월 기관명단 없음(추가 필요)",IF($K312="서울병원","해당","비해당"))))</f>
        <v/>
      </c>
      <c r="M312">
        <f>IF($W312="","",SUMIFS(상세표[06~07시],상세표[사번키],INDEX(합계표[사번키],$W312),상세표[반영월],대상월키,상세표[반영 기관],"서울병원"))</f>
        <v/>
      </c>
      <c r="N312">
        <f>IF($W312="","",SUMIFS(상세표[07~18시],상세표[사번키],INDEX(합계표[사번키],$W312),상세표[반영월],대상월키,상세표[반영 기관],"서울병원"))</f>
        <v/>
      </c>
      <c r="O312">
        <f>IF($W312="","",SUMIFS(상세표[18~22시],상세표[사번키],INDEX(합계표[사번키],$W312),상세표[반영월],대상월키,상세표[반영 기관],"서울병원"))</f>
        <v/>
      </c>
      <c r="P312">
        <f>IF($W312="","",SUMIFS(상세표[22~06시],상세표[사번키],INDEX(합계표[사번키],$W312),상세표[반영월],대상월키,상세표[반영 기관],"서울병원"))</f>
        <v/>
      </c>
      <c r="Q312">
        <f>IF($W312="","",SUM($M312:$P312))</f>
        <v/>
      </c>
      <c r="R312">
        <f>IF($W312="","",COUNTIFS(상세표[사번키],INDEX(합계표[사번키],$W312),상세표[반영월],대상월키,상세표[야간당직],1,상세표[야간 구분],"평일"))</f>
        <v/>
      </c>
      <c r="S312" s="4">
        <f>IF($W312="","",COUNTIFS(상세표[사번키],INDEX(합계표[사번키],$W312),상세표[반영월],대상월키,상세표[야간당직],1,상세표[야간 구분],"휴일"))</f>
        <v/>
      </c>
      <c r="T312">
        <f>IF($W312="","",COUNTIFS(상세표[사번키],INDEX(합계표[사번키],$W312),상세표[반영월],대상월키,상세표[야간당직],1,상세표[야간 구분],"평일",상세표[반영 기관],"서울병원"))</f>
        <v/>
      </c>
      <c r="U312">
        <f>IF($W312="","",COUNTIFS(상세표[사번키],INDEX(합계표[사번키],$W312),상세표[반영월],대상월키,상세표[야간당직],1,상세표[야간 구분],"휴일",상세표[반영 기관],"서울병원"))</f>
        <v/>
      </c>
      <c r="V312">
        <f>IF($W312="","",IF(ISNUMBER(MATCH(INDEX(합계표[사번키],$W312)&amp;"|"&amp;대상월키,월별근무지표[키],0)),"직접 입력",IF($K312="—","—","기관명단")))</f>
        <v/>
      </c>
      <c r="W312">
        <f>IFERROR(MATCH(307,합계표[판정순번],0),"")</f>
        <v/>
      </c>
    </row>
    <row r="313">
      <c r="A313">
        <f>IF($W313="","",INDEX(합계표[사번],$W313)&amp;"")</f>
        <v/>
      </c>
      <c r="B313">
        <f>IF($W313="","",INDEX(합계표[성명],$W313)&amp;"")</f>
        <v/>
      </c>
      <c r="C313">
        <f>IF($W313="","",INDEX(합계표[부서],$W313)&amp;"")</f>
        <v/>
      </c>
      <c r="D313">
        <f>IF($W313="","",INDEX(합계표[직위(통합)],$W313)&amp;"")</f>
        <v/>
      </c>
      <c r="E313">
        <f>IF($W313="","",SUMIFS(합계표[시스템 합계],합계표[사번키],INDEX(합계표[사번키],$W313)))</f>
        <v/>
      </c>
      <c r="F313">
        <f>IF($W313="","",SUMIFS(상세표[기록 시간외],상세표[사번키],INDEX(합계표[사번키],$W313),상세표[기록월],대상월키))</f>
        <v/>
      </c>
      <c r="G313">
        <f>IF($W313="","",IF(ABS($E313-$F313)&lt;0.01,"일치","불일치(차이 "&amp;TEXT($F313-$E313,"0.00")&amp;")"))</f>
        <v/>
      </c>
      <c r="H313">
        <f>IF($W313="","",SUMIFS(상세표[기록 시간외],상세표[사번키],INDEX(합계표[사번키],$W313),상세표[기록월],대상월키,상세표[반영월],"&lt;&gt;"&amp;대상월키))</f>
        <v/>
      </c>
      <c r="I313">
        <f>IF($W313="","",SUMIFS(상세표[기록 시간외],상세표[사번키],INDEX(합계표[사번키],$W313),상세표[기록월],"&lt;&gt;"&amp;대상월키,상세표[반영월],대상월키))</f>
        <v/>
      </c>
      <c r="J313">
        <f>IF($W313="","",SUMIFS(상세표[기록 시간외],상세표[사번키],INDEX(합계표[사번키],$W313),상세표[반영월],대상월키))</f>
        <v/>
      </c>
      <c r="K313">
        <f>IF($W313="","",IFERROR(INDEX(월별근무지표[적용 급여병원],MATCH(INDEX(합계표[사번키],$W313)&amp;"|"&amp;대상월키,월별근무지표[키],0))&amp;"",IF(COUNTIF(기관표[사번키],INDEX(합계표[사번키],$W313))+COUNTIF(월별근무지표[사번키],INDEX(합계표[사번키],$W313))&gt;0,IFERROR(INDEX(기관표[급여지급병원(기준월)],MATCH(INDEX(합계표[사번키],$W313)&amp;"|"&amp;대상월키,기관표[키],0))&amp;"","—"),"—")))</f>
        <v/>
      </c>
      <c r="L313">
        <f>IF($W313="","",IF(NOT(COUNTIF(기관표[사번키],INDEX(합계표[사번키],$W313))+COUNTIF(월별근무지표[사번키],INDEX(합계표[사번키],$W313))&gt;0),"기관명단에 없음(다른 병원으로 발송)",IF($K313="—","대상월 기관명단 없음(추가 필요)",IF($K313="서울병원","해당","비해당"))))</f>
        <v/>
      </c>
      <c r="M313">
        <f>IF($W313="","",SUMIFS(상세표[06~07시],상세표[사번키],INDEX(합계표[사번키],$W313),상세표[반영월],대상월키,상세표[반영 기관],"서울병원"))</f>
        <v/>
      </c>
      <c r="N313">
        <f>IF($W313="","",SUMIFS(상세표[07~18시],상세표[사번키],INDEX(합계표[사번키],$W313),상세표[반영월],대상월키,상세표[반영 기관],"서울병원"))</f>
        <v/>
      </c>
      <c r="O313">
        <f>IF($W313="","",SUMIFS(상세표[18~22시],상세표[사번키],INDEX(합계표[사번키],$W313),상세표[반영월],대상월키,상세표[반영 기관],"서울병원"))</f>
        <v/>
      </c>
      <c r="P313">
        <f>IF($W313="","",SUMIFS(상세표[22~06시],상세표[사번키],INDEX(합계표[사번키],$W313),상세표[반영월],대상월키,상세표[반영 기관],"서울병원"))</f>
        <v/>
      </c>
      <c r="Q313">
        <f>IF($W313="","",SUM($M313:$P313))</f>
        <v/>
      </c>
      <c r="R313">
        <f>IF($W313="","",COUNTIFS(상세표[사번키],INDEX(합계표[사번키],$W313),상세표[반영월],대상월키,상세표[야간당직],1,상세표[야간 구분],"평일"))</f>
        <v/>
      </c>
      <c r="S313" s="4">
        <f>IF($W313="","",COUNTIFS(상세표[사번키],INDEX(합계표[사번키],$W313),상세표[반영월],대상월키,상세표[야간당직],1,상세표[야간 구분],"휴일"))</f>
        <v/>
      </c>
      <c r="T313">
        <f>IF($W313="","",COUNTIFS(상세표[사번키],INDEX(합계표[사번키],$W313),상세표[반영월],대상월키,상세표[야간당직],1,상세표[야간 구분],"평일",상세표[반영 기관],"서울병원"))</f>
        <v/>
      </c>
      <c r="U313">
        <f>IF($W313="","",COUNTIFS(상세표[사번키],INDEX(합계표[사번키],$W313),상세표[반영월],대상월키,상세표[야간당직],1,상세표[야간 구분],"휴일",상세표[반영 기관],"서울병원"))</f>
        <v/>
      </c>
      <c r="V313">
        <f>IF($W313="","",IF(ISNUMBER(MATCH(INDEX(합계표[사번키],$W313)&amp;"|"&amp;대상월키,월별근무지표[키],0)),"직접 입력",IF($K313="—","—","기관명단")))</f>
        <v/>
      </c>
      <c r="W313">
        <f>IFERROR(MATCH(308,합계표[판정순번],0),"")</f>
        <v/>
      </c>
    </row>
    <row r="314">
      <c r="A314">
        <f>IF($W314="","",INDEX(합계표[사번],$W314)&amp;"")</f>
        <v/>
      </c>
      <c r="B314">
        <f>IF($W314="","",INDEX(합계표[성명],$W314)&amp;"")</f>
        <v/>
      </c>
      <c r="C314">
        <f>IF($W314="","",INDEX(합계표[부서],$W314)&amp;"")</f>
        <v/>
      </c>
      <c r="D314">
        <f>IF($W314="","",INDEX(합계표[직위(통합)],$W314)&amp;"")</f>
        <v/>
      </c>
      <c r="E314">
        <f>IF($W314="","",SUMIFS(합계표[시스템 합계],합계표[사번키],INDEX(합계표[사번키],$W314)))</f>
        <v/>
      </c>
      <c r="F314">
        <f>IF($W314="","",SUMIFS(상세표[기록 시간외],상세표[사번키],INDEX(합계표[사번키],$W314),상세표[기록월],대상월키))</f>
        <v/>
      </c>
      <c r="G314">
        <f>IF($W314="","",IF(ABS($E314-$F314)&lt;0.01,"일치","불일치(차이 "&amp;TEXT($F314-$E314,"0.00")&amp;")"))</f>
        <v/>
      </c>
      <c r="H314">
        <f>IF($W314="","",SUMIFS(상세표[기록 시간외],상세표[사번키],INDEX(합계표[사번키],$W314),상세표[기록월],대상월키,상세표[반영월],"&lt;&gt;"&amp;대상월키))</f>
        <v/>
      </c>
      <c r="I314">
        <f>IF($W314="","",SUMIFS(상세표[기록 시간외],상세표[사번키],INDEX(합계표[사번키],$W314),상세표[기록월],"&lt;&gt;"&amp;대상월키,상세표[반영월],대상월키))</f>
        <v/>
      </c>
      <c r="J314">
        <f>IF($W314="","",SUMIFS(상세표[기록 시간외],상세표[사번키],INDEX(합계표[사번키],$W314),상세표[반영월],대상월키))</f>
        <v/>
      </c>
      <c r="K314">
        <f>IF($W314="","",IFERROR(INDEX(월별근무지표[적용 급여병원],MATCH(INDEX(합계표[사번키],$W314)&amp;"|"&amp;대상월키,월별근무지표[키],0))&amp;"",IF(COUNTIF(기관표[사번키],INDEX(합계표[사번키],$W314))+COUNTIF(월별근무지표[사번키],INDEX(합계표[사번키],$W314))&gt;0,IFERROR(INDEX(기관표[급여지급병원(기준월)],MATCH(INDEX(합계표[사번키],$W314)&amp;"|"&amp;대상월키,기관표[키],0))&amp;"","—"),"—")))</f>
        <v/>
      </c>
      <c r="L314">
        <f>IF($W314="","",IF(NOT(COUNTIF(기관표[사번키],INDEX(합계표[사번키],$W314))+COUNTIF(월별근무지표[사번키],INDEX(합계표[사번키],$W314))&gt;0),"기관명단에 없음(다른 병원으로 발송)",IF($K314="—","대상월 기관명단 없음(추가 필요)",IF($K314="서울병원","해당","비해당"))))</f>
        <v/>
      </c>
      <c r="M314">
        <f>IF($W314="","",SUMIFS(상세표[06~07시],상세표[사번키],INDEX(합계표[사번키],$W314),상세표[반영월],대상월키,상세표[반영 기관],"서울병원"))</f>
        <v/>
      </c>
      <c r="N314">
        <f>IF($W314="","",SUMIFS(상세표[07~18시],상세표[사번키],INDEX(합계표[사번키],$W314),상세표[반영월],대상월키,상세표[반영 기관],"서울병원"))</f>
        <v/>
      </c>
      <c r="O314">
        <f>IF($W314="","",SUMIFS(상세표[18~22시],상세표[사번키],INDEX(합계표[사번키],$W314),상세표[반영월],대상월키,상세표[반영 기관],"서울병원"))</f>
        <v/>
      </c>
      <c r="P314">
        <f>IF($W314="","",SUMIFS(상세표[22~06시],상세표[사번키],INDEX(합계표[사번키],$W314),상세표[반영월],대상월키,상세표[반영 기관],"서울병원"))</f>
        <v/>
      </c>
      <c r="Q314">
        <f>IF($W314="","",SUM($M314:$P314))</f>
        <v/>
      </c>
      <c r="R314">
        <f>IF($W314="","",COUNTIFS(상세표[사번키],INDEX(합계표[사번키],$W314),상세표[반영월],대상월키,상세표[야간당직],1,상세표[야간 구분],"평일"))</f>
        <v/>
      </c>
      <c r="S314" s="4">
        <f>IF($W314="","",COUNTIFS(상세표[사번키],INDEX(합계표[사번키],$W314),상세표[반영월],대상월키,상세표[야간당직],1,상세표[야간 구분],"휴일"))</f>
        <v/>
      </c>
      <c r="T314">
        <f>IF($W314="","",COUNTIFS(상세표[사번키],INDEX(합계표[사번키],$W314),상세표[반영월],대상월키,상세표[야간당직],1,상세표[야간 구분],"평일",상세표[반영 기관],"서울병원"))</f>
        <v/>
      </c>
      <c r="U314">
        <f>IF($W314="","",COUNTIFS(상세표[사번키],INDEX(합계표[사번키],$W314),상세표[반영월],대상월키,상세표[야간당직],1,상세표[야간 구분],"휴일",상세표[반영 기관],"서울병원"))</f>
        <v/>
      </c>
      <c r="V314">
        <f>IF($W314="","",IF(ISNUMBER(MATCH(INDEX(합계표[사번키],$W314)&amp;"|"&amp;대상월키,월별근무지표[키],0)),"직접 입력",IF($K314="—","—","기관명단")))</f>
        <v/>
      </c>
      <c r="W314">
        <f>IFERROR(MATCH(309,합계표[판정순번],0),"")</f>
        <v/>
      </c>
    </row>
    <row r="315">
      <c r="A315">
        <f>IF($W315="","",INDEX(합계표[사번],$W315)&amp;"")</f>
        <v/>
      </c>
      <c r="B315">
        <f>IF($W315="","",INDEX(합계표[성명],$W315)&amp;"")</f>
        <v/>
      </c>
      <c r="C315">
        <f>IF($W315="","",INDEX(합계표[부서],$W315)&amp;"")</f>
        <v/>
      </c>
      <c r="D315">
        <f>IF($W315="","",INDEX(합계표[직위(통합)],$W315)&amp;"")</f>
        <v/>
      </c>
      <c r="E315">
        <f>IF($W315="","",SUMIFS(합계표[시스템 합계],합계표[사번키],INDEX(합계표[사번키],$W315)))</f>
        <v/>
      </c>
      <c r="F315">
        <f>IF($W315="","",SUMIFS(상세표[기록 시간외],상세표[사번키],INDEX(합계표[사번키],$W315),상세표[기록월],대상월키))</f>
        <v/>
      </c>
      <c r="G315">
        <f>IF($W315="","",IF(ABS($E315-$F315)&lt;0.01,"일치","불일치(차이 "&amp;TEXT($F315-$E315,"0.00")&amp;")"))</f>
        <v/>
      </c>
      <c r="H315">
        <f>IF($W315="","",SUMIFS(상세표[기록 시간외],상세표[사번키],INDEX(합계표[사번키],$W315),상세표[기록월],대상월키,상세표[반영월],"&lt;&gt;"&amp;대상월키))</f>
        <v/>
      </c>
      <c r="I315">
        <f>IF($W315="","",SUMIFS(상세표[기록 시간외],상세표[사번키],INDEX(합계표[사번키],$W315),상세표[기록월],"&lt;&gt;"&amp;대상월키,상세표[반영월],대상월키))</f>
        <v/>
      </c>
      <c r="J315">
        <f>IF($W315="","",SUMIFS(상세표[기록 시간외],상세표[사번키],INDEX(합계표[사번키],$W315),상세표[반영월],대상월키))</f>
        <v/>
      </c>
      <c r="K315">
        <f>IF($W315="","",IFERROR(INDEX(월별근무지표[적용 급여병원],MATCH(INDEX(합계표[사번키],$W315)&amp;"|"&amp;대상월키,월별근무지표[키],0))&amp;"",IF(COUNTIF(기관표[사번키],INDEX(합계표[사번키],$W315))+COUNTIF(월별근무지표[사번키],INDEX(합계표[사번키],$W315))&gt;0,IFERROR(INDEX(기관표[급여지급병원(기준월)],MATCH(INDEX(합계표[사번키],$W315)&amp;"|"&amp;대상월키,기관표[키],0))&amp;"","—"),"—")))</f>
        <v/>
      </c>
      <c r="L315">
        <f>IF($W315="","",IF(NOT(COUNTIF(기관표[사번키],INDEX(합계표[사번키],$W315))+COUNTIF(월별근무지표[사번키],INDEX(합계표[사번키],$W315))&gt;0),"기관명단에 없음(다른 병원으로 발송)",IF($K315="—","대상월 기관명단 없음(추가 필요)",IF($K315="서울병원","해당","비해당"))))</f>
        <v/>
      </c>
      <c r="M315">
        <f>IF($W315="","",SUMIFS(상세표[06~07시],상세표[사번키],INDEX(합계표[사번키],$W315),상세표[반영월],대상월키,상세표[반영 기관],"서울병원"))</f>
        <v/>
      </c>
      <c r="N315">
        <f>IF($W315="","",SUMIFS(상세표[07~18시],상세표[사번키],INDEX(합계표[사번키],$W315),상세표[반영월],대상월키,상세표[반영 기관],"서울병원"))</f>
        <v/>
      </c>
      <c r="O315">
        <f>IF($W315="","",SUMIFS(상세표[18~22시],상세표[사번키],INDEX(합계표[사번키],$W315),상세표[반영월],대상월키,상세표[반영 기관],"서울병원"))</f>
        <v/>
      </c>
      <c r="P315">
        <f>IF($W315="","",SUMIFS(상세표[22~06시],상세표[사번키],INDEX(합계표[사번키],$W315),상세표[반영월],대상월키,상세표[반영 기관],"서울병원"))</f>
        <v/>
      </c>
      <c r="Q315">
        <f>IF($W315="","",SUM($M315:$P315))</f>
        <v/>
      </c>
      <c r="R315">
        <f>IF($W315="","",COUNTIFS(상세표[사번키],INDEX(합계표[사번키],$W315),상세표[반영월],대상월키,상세표[야간당직],1,상세표[야간 구분],"평일"))</f>
        <v/>
      </c>
      <c r="S315" s="4">
        <f>IF($W315="","",COUNTIFS(상세표[사번키],INDEX(합계표[사번키],$W315),상세표[반영월],대상월키,상세표[야간당직],1,상세표[야간 구분],"휴일"))</f>
        <v/>
      </c>
      <c r="T315">
        <f>IF($W315="","",COUNTIFS(상세표[사번키],INDEX(합계표[사번키],$W315),상세표[반영월],대상월키,상세표[야간당직],1,상세표[야간 구분],"평일",상세표[반영 기관],"서울병원"))</f>
        <v/>
      </c>
      <c r="U315">
        <f>IF($W315="","",COUNTIFS(상세표[사번키],INDEX(합계표[사번키],$W315),상세표[반영월],대상월키,상세표[야간당직],1,상세표[야간 구분],"휴일",상세표[반영 기관],"서울병원"))</f>
        <v/>
      </c>
      <c r="V315">
        <f>IF($W315="","",IF(ISNUMBER(MATCH(INDEX(합계표[사번키],$W315)&amp;"|"&amp;대상월키,월별근무지표[키],0)),"직접 입력",IF($K315="—","—","기관명단")))</f>
        <v/>
      </c>
      <c r="W315">
        <f>IFERROR(MATCH(310,합계표[판정순번],0),"")</f>
        <v/>
      </c>
    </row>
    <row r="316">
      <c r="A316">
        <f>IF($W316="","",INDEX(합계표[사번],$W316)&amp;"")</f>
        <v/>
      </c>
      <c r="B316">
        <f>IF($W316="","",INDEX(합계표[성명],$W316)&amp;"")</f>
        <v/>
      </c>
      <c r="C316">
        <f>IF($W316="","",INDEX(합계표[부서],$W316)&amp;"")</f>
        <v/>
      </c>
      <c r="D316">
        <f>IF($W316="","",INDEX(합계표[직위(통합)],$W316)&amp;"")</f>
        <v/>
      </c>
      <c r="E316">
        <f>IF($W316="","",SUMIFS(합계표[시스템 합계],합계표[사번키],INDEX(합계표[사번키],$W316)))</f>
        <v/>
      </c>
      <c r="F316">
        <f>IF($W316="","",SUMIFS(상세표[기록 시간외],상세표[사번키],INDEX(합계표[사번키],$W316),상세표[기록월],대상월키))</f>
        <v/>
      </c>
      <c r="G316">
        <f>IF($W316="","",IF(ABS($E316-$F316)&lt;0.01,"일치","불일치(차이 "&amp;TEXT($F316-$E316,"0.00")&amp;")"))</f>
        <v/>
      </c>
      <c r="H316">
        <f>IF($W316="","",SUMIFS(상세표[기록 시간외],상세표[사번키],INDEX(합계표[사번키],$W316),상세표[기록월],대상월키,상세표[반영월],"&lt;&gt;"&amp;대상월키))</f>
        <v/>
      </c>
      <c r="I316">
        <f>IF($W316="","",SUMIFS(상세표[기록 시간외],상세표[사번키],INDEX(합계표[사번키],$W316),상세표[기록월],"&lt;&gt;"&amp;대상월키,상세표[반영월],대상월키))</f>
        <v/>
      </c>
      <c r="J316">
        <f>IF($W316="","",SUMIFS(상세표[기록 시간외],상세표[사번키],INDEX(합계표[사번키],$W316),상세표[반영월],대상월키))</f>
        <v/>
      </c>
      <c r="K316">
        <f>IF($W316="","",IFERROR(INDEX(월별근무지표[적용 급여병원],MATCH(INDEX(합계표[사번키],$W316)&amp;"|"&amp;대상월키,월별근무지표[키],0))&amp;"",IF(COUNTIF(기관표[사번키],INDEX(합계표[사번키],$W316))+COUNTIF(월별근무지표[사번키],INDEX(합계표[사번키],$W316))&gt;0,IFERROR(INDEX(기관표[급여지급병원(기준월)],MATCH(INDEX(합계표[사번키],$W316)&amp;"|"&amp;대상월키,기관표[키],0))&amp;"","—"),"—")))</f>
        <v/>
      </c>
      <c r="L316">
        <f>IF($W316="","",IF(NOT(COUNTIF(기관표[사번키],INDEX(합계표[사번키],$W316))+COUNTIF(월별근무지표[사번키],INDEX(합계표[사번키],$W316))&gt;0),"기관명단에 없음(다른 병원으로 발송)",IF($K316="—","대상월 기관명단 없음(추가 필요)",IF($K316="서울병원","해당","비해당"))))</f>
        <v/>
      </c>
      <c r="M316">
        <f>IF($W316="","",SUMIFS(상세표[06~07시],상세표[사번키],INDEX(합계표[사번키],$W316),상세표[반영월],대상월키,상세표[반영 기관],"서울병원"))</f>
        <v/>
      </c>
      <c r="N316">
        <f>IF($W316="","",SUMIFS(상세표[07~18시],상세표[사번키],INDEX(합계표[사번키],$W316),상세표[반영월],대상월키,상세표[반영 기관],"서울병원"))</f>
        <v/>
      </c>
      <c r="O316">
        <f>IF($W316="","",SUMIFS(상세표[18~22시],상세표[사번키],INDEX(합계표[사번키],$W316),상세표[반영월],대상월키,상세표[반영 기관],"서울병원"))</f>
        <v/>
      </c>
      <c r="P316">
        <f>IF($W316="","",SUMIFS(상세표[22~06시],상세표[사번키],INDEX(합계표[사번키],$W316),상세표[반영월],대상월키,상세표[반영 기관],"서울병원"))</f>
        <v/>
      </c>
      <c r="Q316">
        <f>IF($W316="","",SUM($M316:$P316))</f>
        <v/>
      </c>
      <c r="R316">
        <f>IF($W316="","",COUNTIFS(상세표[사번키],INDEX(합계표[사번키],$W316),상세표[반영월],대상월키,상세표[야간당직],1,상세표[야간 구분],"평일"))</f>
        <v/>
      </c>
      <c r="S316" s="4">
        <f>IF($W316="","",COUNTIFS(상세표[사번키],INDEX(합계표[사번키],$W316),상세표[반영월],대상월키,상세표[야간당직],1,상세표[야간 구분],"휴일"))</f>
        <v/>
      </c>
      <c r="T316">
        <f>IF($W316="","",COUNTIFS(상세표[사번키],INDEX(합계표[사번키],$W316),상세표[반영월],대상월키,상세표[야간당직],1,상세표[야간 구분],"평일",상세표[반영 기관],"서울병원"))</f>
        <v/>
      </c>
      <c r="U316">
        <f>IF($W316="","",COUNTIFS(상세표[사번키],INDEX(합계표[사번키],$W316),상세표[반영월],대상월키,상세표[야간당직],1,상세표[야간 구분],"휴일",상세표[반영 기관],"서울병원"))</f>
        <v/>
      </c>
      <c r="V316">
        <f>IF($W316="","",IF(ISNUMBER(MATCH(INDEX(합계표[사번키],$W316)&amp;"|"&amp;대상월키,월별근무지표[키],0)),"직접 입력",IF($K316="—","—","기관명단")))</f>
        <v/>
      </c>
      <c r="W316">
        <f>IFERROR(MATCH(311,합계표[판정순번],0),"")</f>
        <v/>
      </c>
    </row>
    <row r="317">
      <c r="A317">
        <f>IF($W317="","",INDEX(합계표[사번],$W317)&amp;"")</f>
        <v/>
      </c>
      <c r="B317">
        <f>IF($W317="","",INDEX(합계표[성명],$W317)&amp;"")</f>
        <v/>
      </c>
      <c r="C317">
        <f>IF($W317="","",INDEX(합계표[부서],$W317)&amp;"")</f>
        <v/>
      </c>
      <c r="D317">
        <f>IF($W317="","",INDEX(합계표[직위(통합)],$W317)&amp;"")</f>
        <v/>
      </c>
      <c r="E317">
        <f>IF($W317="","",SUMIFS(합계표[시스템 합계],합계표[사번키],INDEX(합계표[사번키],$W317)))</f>
        <v/>
      </c>
      <c r="F317">
        <f>IF($W317="","",SUMIFS(상세표[기록 시간외],상세표[사번키],INDEX(합계표[사번키],$W317),상세표[기록월],대상월키))</f>
        <v/>
      </c>
      <c r="G317">
        <f>IF($W317="","",IF(ABS($E317-$F317)&lt;0.01,"일치","불일치(차이 "&amp;TEXT($F317-$E317,"0.00")&amp;")"))</f>
        <v/>
      </c>
      <c r="H317">
        <f>IF($W317="","",SUMIFS(상세표[기록 시간외],상세표[사번키],INDEX(합계표[사번키],$W317),상세표[기록월],대상월키,상세표[반영월],"&lt;&gt;"&amp;대상월키))</f>
        <v/>
      </c>
      <c r="I317">
        <f>IF($W317="","",SUMIFS(상세표[기록 시간외],상세표[사번키],INDEX(합계표[사번키],$W317),상세표[기록월],"&lt;&gt;"&amp;대상월키,상세표[반영월],대상월키))</f>
        <v/>
      </c>
      <c r="J317">
        <f>IF($W317="","",SUMIFS(상세표[기록 시간외],상세표[사번키],INDEX(합계표[사번키],$W317),상세표[반영월],대상월키))</f>
        <v/>
      </c>
      <c r="K317">
        <f>IF($W317="","",IFERROR(INDEX(월별근무지표[적용 급여병원],MATCH(INDEX(합계표[사번키],$W317)&amp;"|"&amp;대상월키,월별근무지표[키],0))&amp;"",IF(COUNTIF(기관표[사번키],INDEX(합계표[사번키],$W317))+COUNTIF(월별근무지표[사번키],INDEX(합계표[사번키],$W317))&gt;0,IFERROR(INDEX(기관표[급여지급병원(기준월)],MATCH(INDEX(합계표[사번키],$W317)&amp;"|"&amp;대상월키,기관표[키],0))&amp;"","—"),"—")))</f>
        <v/>
      </c>
      <c r="L317">
        <f>IF($W317="","",IF(NOT(COUNTIF(기관표[사번키],INDEX(합계표[사번키],$W317))+COUNTIF(월별근무지표[사번키],INDEX(합계표[사번키],$W317))&gt;0),"기관명단에 없음(다른 병원으로 발송)",IF($K317="—","대상월 기관명단 없음(추가 필요)",IF($K317="서울병원","해당","비해당"))))</f>
        <v/>
      </c>
      <c r="M317">
        <f>IF($W317="","",SUMIFS(상세표[06~07시],상세표[사번키],INDEX(합계표[사번키],$W317),상세표[반영월],대상월키,상세표[반영 기관],"서울병원"))</f>
        <v/>
      </c>
      <c r="N317">
        <f>IF($W317="","",SUMIFS(상세표[07~18시],상세표[사번키],INDEX(합계표[사번키],$W317),상세표[반영월],대상월키,상세표[반영 기관],"서울병원"))</f>
        <v/>
      </c>
      <c r="O317">
        <f>IF($W317="","",SUMIFS(상세표[18~22시],상세표[사번키],INDEX(합계표[사번키],$W317),상세표[반영월],대상월키,상세표[반영 기관],"서울병원"))</f>
        <v/>
      </c>
      <c r="P317">
        <f>IF($W317="","",SUMIFS(상세표[22~06시],상세표[사번키],INDEX(합계표[사번키],$W317),상세표[반영월],대상월키,상세표[반영 기관],"서울병원"))</f>
        <v/>
      </c>
      <c r="Q317">
        <f>IF($W317="","",SUM($M317:$P317))</f>
        <v/>
      </c>
      <c r="R317">
        <f>IF($W317="","",COUNTIFS(상세표[사번키],INDEX(합계표[사번키],$W317),상세표[반영월],대상월키,상세표[야간당직],1,상세표[야간 구분],"평일"))</f>
        <v/>
      </c>
      <c r="S317" s="4">
        <f>IF($W317="","",COUNTIFS(상세표[사번키],INDEX(합계표[사번키],$W317),상세표[반영월],대상월키,상세표[야간당직],1,상세표[야간 구분],"휴일"))</f>
        <v/>
      </c>
      <c r="T317">
        <f>IF($W317="","",COUNTIFS(상세표[사번키],INDEX(합계표[사번키],$W317),상세표[반영월],대상월키,상세표[야간당직],1,상세표[야간 구분],"평일",상세표[반영 기관],"서울병원"))</f>
        <v/>
      </c>
      <c r="U317">
        <f>IF($W317="","",COUNTIFS(상세표[사번키],INDEX(합계표[사번키],$W317),상세표[반영월],대상월키,상세표[야간당직],1,상세표[야간 구분],"휴일",상세표[반영 기관],"서울병원"))</f>
        <v/>
      </c>
      <c r="V317">
        <f>IF($W317="","",IF(ISNUMBER(MATCH(INDEX(합계표[사번키],$W317)&amp;"|"&amp;대상월키,월별근무지표[키],0)),"직접 입력",IF($K317="—","—","기관명단")))</f>
        <v/>
      </c>
      <c r="W317">
        <f>IFERROR(MATCH(312,합계표[판정순번],0),"")</f>
        <v/>
      </c>
    </row>
    <row r="318">
      <c r="A318">
        <f>IF($W318="","",INDEX(합계표[사번],$W318)&amp;"")</f>
        <v/>
      </c>
      <c r="B318">
        <f>IF($W318="","",INDEX(합계표[성명],$W318)&amp;"")</f>
        <v/>
      </c>
      <c r="C318">
        <f>IF($W318="","",INDEX(합계표[부서],$W318)&amp;"")</f>
        <v/>
      </c>
      <c r="D318">
        <f>IF($W318="","",INDEX(합계표[직위(통합)],$W318)&amp;"")</f>
        <v/>
      </c>
      <c r="E318">
        <f>IF($W318="","",SUMIFS(합계표[시스템 합계],합계표[사번키],INDEX(합계표[사번키],$W318)))</f>
        <v/>
      </c>
      <c r="F318">
        <f>IF($W318="","",SUMIFS(상세표[기록 시간외],상세표[사번키],INDEX(합계표[사번키],$W318),상세표[기록월],대상월키))</f>
        <v/>
      </c>
      <c r="G318">
        <f>IF($W318="","",IF(ABS($E318-$F318)&lt;0.01,"일치","불일치(차이 "&amp;TEXT($F318-$E318,"0.00")&amp;")"))</f>
        <v/>
      </c>
      <c r="H318">
        <f>IF($W318="","",SUMIFS(상세표[기록 시간외],상세표[사번키],INDEX(합계표[사번키],$W318),상세표[기록월],대상월키,상세표[반영월],"&lt;&gt;"&amp;대상월키))</f>
        <v/>
      </c>
      <c r="I318">
        <f>IF($W318="","",SUMIFS(상세표[기록 시간외],상세표[사번키],INDEX(합계표[사번키],$W318),상세표[기록월],"&lt;&gt;"&amp;대상월키,상세표[반영월],대상월키))</f>
        <v/>
      </c>
      <c r="J318">
        <f>IF($W318="","",SUMIFS(상세표[기록 시간외],상세표[사번키],INDEX(합계표[사번키],$W318),상세표[반영월],대상월키))</f>
        <v/>
      </c>
      <c r="K318">
        <f>IF($W318="","",IFERROR(INDEX(월별근무지표[적용 급여병원],MATCH(INDEX(합계표[사번키],$W318)&amp;"|"&amp;대상월키,월별근무지표[키],0))&amp;"",IF(COUNTIF(기관표[사번키],INDEX(합계표[사번키],$W318))+COUNTIF(월별근무지표[사번키],INDEX(합계표[사번키],$W318))&gt;0,IFERROR(INDEX(기관표[급여지급병원(기준월)],MATCH(INDEX(합계표[사번키],$W318)&amp;"|"&amp;대상월키,기관표[키],0))&amp;"","—"),"—")))</f>
        <v/>
      </c>
      <c r="L318">
        <f>IF($W318="","",IF(NOT(COUNTIF(기관표[사번키],INDEX(합계표[사번키],$W318))+COUNTIF(월별근무지표[사번키],INDEX(합계표[사번키],$W318))&gt;0),"기관명단에 없음(다른 병원으로 발송)",IF($K318="—","대상월 기관명단 없음(추가 필요)",IF($K318="서울병원","해당","비해당"))))</f>
        <v/>
      </c>
      <c r="M318">
        <f>IF($W318="","",SUMIFS(상세표[06~07시],상세표[사번키],INDEX(합계표[사번키],$W318),상세표[반영월],대상월키,상세표[반영 기관],"서울병원"))</f>
        <v/>
      </c>
      <c r="N318">
        <f>IF($W318="","",SUMIFS(상세표[07~18시],상세표[사번키],INDEX(합계표[사번키],$W318),상세표[반영월],대상월키,상세표[반영 기관],"서울병원"))</f>
        <v/>
      </c>
      <c r="O318">
        <f>IF($W318="","",SUMIFS(상세표[18~22시],상세표[사번키],INDEX(합계표[사번키],$W318),상세표[반영월],대상월키,상세표[반영 기관],"서울병원"))</f>
        <v/>
      </c>
      <c r="P318">
        <f>IF($W318="","",SUMIFS(상세표[22~06시],상세표[사번키],INDEX(합계표[사번키],$W318),상세표[반영월],대상월키,상세표[반영 기관],"서울병원"))</f>
        <v/>
      </c>
      <c r="Q318">
        <f>IF($W318="","",SUM($M318:$P318))</f>
        <v/>
      </c>
      <c r="R318">
        <f>IF($W318="","",COUNTIFS(상세표[사번키],INDEX(합계표[사번키],$W318),상세표[반영월],대상월키,상세표[야간당직],1,상세표[야간 구분],"평일"))</f>
        <v/>
      </c>
      <c r="S318" s="4">
        <f>IF($W318="","",COUNTIFS(상세표[사번키],INDEX(합계표[사번키],$W318),상세표[반영월],대상월키,상세표[야간당직],1,상세표[야간 구분],"휴일"))</f>
        <v/>
      </c>
      <c r="T318">
        <f>IF($W318="","",COUNTIFS(상세표[사번키],INDEX(합계표[사번키],$W318),상세표[반영월],대상월키,상세표[야간당직],1,상세표[야간 구분],"평일",상세표[반영 기관],"서울병원"))</f>
        <v/>
      </c>
      <c r="U318">
        <f>IF($W318="","",COUNTIFS(상세표[사번키],INDEX(합계표[사번키],$W318),상세표[반영월],대상월키,상세표[야간당직],1,상세표[야간 구분],"휴일",상세표[반영 기관],"서울병원"))</f>
        <v/>
      </c>
      <c r="V318">
        <f>IF($W318="","",IF(ISNUMBER(MATCH(INDEX(합계표[사번키],$W318)&amp;"|"&amp;대상월키,월별근무지표[키],0)),"직접 입력",IF($K318="—","—","기관명단")))</f>
        <v/>
      </c>
      <c r="W318">
        <f>IFERROR(MATCH(313,합계표[판정순번],0),"")</f>
        <v/>
      </c>
    </row>
    <row r="319">
      <c r="A319">
        <f>IF($W319="","",INDEX(합계표[사번],$W319)&amp;"")</f>
        <v/>
      </c>
      <c r="B319">
        <f>IF($W319="","",INDEX(합계표[성명],$W319)&amp;"")</f>
        <v/>
      </c>
      <c r="C319">
        <f>IF($W319="","",INDEX(합계표[부서],$W319)&amp;"")</f>
        <v/>
      </c>
      <c r="D319">
        <f>IF($W319="","",INDEX(합계표[직위(통합)],$W319)&amp;"")</f>
        <v/>
      </c>
      <c r="E319">
        <f>IF($W319="","",SUMIFS(합계표[시스템 합계],합계표[사번키],INDEX(합계표[사번키],$W319)))</f>
        <v/>
      </c>
      <c r="F319">
        <f>IF($W319="","",SUMIFS(상세표[기록 시간외],상세표[사번키],INDEX(합계표[사번키],$W319),상세표[기록월],대상월키))</f>
        <v/>
      </c>
      <c r="G319">
        <f>IF($W319="","",IF(ABS($E319-$F319)&lt;0.01,"일치","불일치(차이 "&amp;TEXT($F319-$E319,"0.00")&amp;")"))</f>
        <v/>
      </c>
      <c r="H319">
        <f>IF($W319="","",SUMIFS(상세표[기록 시간외],상세표[사번키],INDEX(합계표[사번키],$W319),상세표[기록월],대상월키,상세표[반영월],"&lt;&gt;"&amp;대상월키))</f>
        <v/>
      </c>
      <c r="I319">
        <f>IF($W319="","",SUMIFS(상세표[기록 시간외],상세표[사번키],INDEX(합계표[사번키],$W319),상세표[기록월],"&lt;&gt;"&amp;대상월키,상세표[반영월],대상월키))</f>
        <v/>
      </c>
      <c r="J319">
        <f>IF($W319="","",SUMIFS(상세표[기록 시간외],상세표[사번키],INDEX(합계표[사번키],$W319),상세표[반영월],대상월키))</f>
        <v/>
      </c>
      <c r="K319">
        <f>IF($W319="","",IFERROR(INDEX(월별근무지표[적용 급여병원],MATCH(INDEX(합계표[사번키],$W319)&amp;"|"&amp;대상월키,월별근무지표[키],0))&amp;"",IF(COUNTIF(기관표[사번키],INDEX(합계표[사번키],$W319))+COUNTIF(월별근무지표[사번키],INDEX(합계표[사번키],$W319))&gt;0,IFERROR(INDEX(기관표[급여지급병원(기준월)],MATCH(INDEX(합계표[사번키],$W319)&amp;"|"&amp;대상월키,기관표[키],0))&amp;"","—"),"—")))</f>
        <v/>
      </c>
      <c r="L319">
        <f>IF($W319="","",IF(NOT(COUNTIF(기관표[사번키],INDEX(합계표[사번키],$W319))+COUNTIF(월별근무지표[사번키],INDEX(합계표[사번키],$W319))&gt;0),"기관명단에 없음(다른 병원으로 발송)",IF($K319="—","대상월 기관명단 없음(추가 필요)",IF($K319="서울병원","해당","비해당"))))</f>
        <v/>
      </c>
      <c r="M319">
        <f>IF($W319="","",SUMIFS(상세표[06~07시],상세표[사번키],INDEX(합계표[사번키],$W319),상세표[반영월],대상월키,상세표[반영 기관],"서울병원"))</f>
        <v/>
      </c>
      <c r="N319">
        <f>IF($W319="","",SUMIFS(상세표[07~18시],상세표[사번키],INDEX(합계표[사번키],$W319),상세표[반영월],대상월키,상세표[반영 기관],"서울병원"))</f>
        <v/>
      </c>
      <c r="O319">
        <f>IF($W319="","",SUMIFS(상세표[18~22시],상세표[사번키],INDEX(합계표[사번키],$W319),상세표[반영월],대상월키,상세표[반영 기관],"서울병원"))</f>
        <v/>
      </c>
      <c r="P319">
        <f>IF($W319="","",SUMIFS(상세표[22~06시],상세표[사번키],INDEX(합계표[사번키],$W319),상세표[반영월],대상월키,상세표[반영 기관],"서울병원"))</f>
        <v/>
      </c>
      <c r="Q319">
        <f>IF($W319="","",SUM($M319:$P319))</f>
        <v/>
      </c>
      <c r="R319">
        <f>IF($W319="","",COUNTIFS(상세표[사번키],INDEX(합계표[사번키],$W319),상세표[반영월],대상월키,상세표[야간당직],1,상세표[야간 구분],"평일"))</f>
        <v/>
      </c>
      <c r="S319" s="4">
        <f>IF($W319="","",COUNTIFS(상세표[사번키],INDEX(합계표[사번키],$W319),상세표[반영월],대상월키,상세표[야간당직],1,상세표[야간 구분],"휴일"))</f>
        <v/>
      </c>
      <c r="T319">
        <f>IF($W319="","",COUNTIFS(상세표[사번키],INDEX(합계표[사번키],$W319),상세표[반영월],대상월키,상세표[야간당직],1,상세표[야간 구분],"평일",상세표[반영 기관],"서울병원"))</f>
        <v/>
      </c>
      <c r="U319">
        <f>IF($W319="","",COUNTIFS(상세표[사번키],INDEX(합계표[사번키],$W319),상세표[반영월],대상월키,상세표[야간당직],1,상세표[야간 구분],"휴일",상세표[반영 기관],"서울병원"))</f>
        <v/>
      </c>
      <c r="V319">
        <f>IF($W319="","",IF(ISNUMBER(MATCH(INDEX(합계표[사번키],$W319)&amp;"|"&amp;대상월키,월별근무지표[키],0)),"직접 입력",IF($K319="—","—","기관명단")))</f>
        <v/>
      </c>
      <c r="W319">
        <f>IFERROR(MATCH(314,합계표[판정순번],0),"")</f>
        <v/>
      </c>
    </row>
    <row r="320">
      <c r="A320">
        <f>IF($W320="","",INDEX(합계표[사번],$W320)&amp;"")</f>
        <v/>
      </c>
      <c r="B320">
        <f>IF($W320="","",INDEX(합계표[성명],$W320)&amp;"")</f>
        <v/>
      </c>
      <c r="C320">
        <f>IF($W320="","",INDEX(합계표[부서],$W320)&amp;"")</f>
        <v/>
      </c>
      <c r="D320">
        <f>IF($W320="","",INDEX(합계표[직위(통합)],$W320)&amp;"")</f>
        <v/>
      </c>
      <c r="E320">
        <f>IF($W320="","",SUMIFS(합계표[시스템 합계],합계표[사번키],INDEX(합계표[사번키],$W320)))</f>
        <v/>
      </c>
      <c r="F320">
        <f>IF($W320="","",SUMIFS(상세표[기록 시간외],상세표[사번키],INDEX(합계표[사번키],$W320),상세표[기록월],대상월키))</f>
        <v/>
      </c>
      <c r="G320">
        <f>IF($W320="","",IF(ABS($E320-$F320)&lt;0.01,"일치","불일치(차이 "&amp;TEXT($F320-$E320,"0.00")&amp;")"))</f>
        <v/>
      </c>
      <c r="H320">
        <f>IF($W320="","",SUMIFS(상세표[기록 시간외],상세표[사번키],INDEX(합계표[사번키],$W320),상세표[기록월],대상월키,상세표[반영월],"&lt;&gt;"&amp;대상월키))</f>
        <v/>
      </c>
      <c r="I320">
        <f>IF($W320="","",SUMIFS(상세표[기록 시간외],상세표[사번키],INDEX(합계표[사번키],$W320),상세표[기록월],"&lt;&gt;"&amp;대상월키,상세표[반영월],대상월키))</f>
        <v/>
      </c>
      <c r="J320">
        <f>IF($W320="","",SUMIFS(상세표[기록 시간외],상세표[사번키],INDEX(합계표[사번키],$W320),상세표[반영월],대상월키))</f>
        <v/>
      </c>
      <c r="K320">
        <f>IF($W320="","",IFERROR(INDEX(월별근무지표[적용 급여병원],MATCH(INDEX(합계표[사번키],$W320)&amp;"|"&amp;대상월키,월별근무지표[키],0))&amp;"",IF(COUNTIF(기관표[사번키],INDEX(합계표[사번키],$W320))+COUNTIF(월별근무지표[사번키],INDEX(합계표[사번키],$W320))&gt;0,IFERROR(INDEX(기관표[급여지급병원(기준월)],MATCH(INDEX(합계표[사번키],$W320)&amp;"|"&amp;대상월키,기관표[키],0))&amp;"","—"),"—")))</f>
        <v/>
      </c>
      <c r="L320">
        <f>IF($W320="","",IF(NOT(COUNTIF(기관표[사번키],INDEX(합계표[사번키],$W320))+COUNTIF(월별근무지표[사번키],INDEX(합계표[사번키],$W320))&gt;0),"기관명단에 없음(다른 병원으로 발송)",IF($K320="—","대상월 기관명단 없음(추가 필요)",IF($K320="서울병원","해당","비해당"))))</f>
        <v/>
      </c>
      <c r="M320">
        <f>IF($W320="","",SUMIFS(상세표[06~07시],상세표[사번키],INDEX(합계표[사번키],$W320),상세표[반영월],대상월키,상세표[반영 기관],"서울병원"))</f>
        <v/>
      </c>
      <c r="N320">
        <f>IF($W320="","",SUMIFS(상세표[07~18시],상세표[사번키],INDEX(합계표[사번키],$W320),상세표[반영월],대상월키,상세표[반영 기관],"서울병원"))</f>
        <v/>
      </c>
      <c r="O320">
        <f>IF($W320="","",SUMIFS(상세표[18~22시],상세표[사번키],INDEX(합계표[사번키],$W320),상세표[반영월],대상월키,상세표[반영 기관],"서울병원"))</f>
        <v/>
      </c>
      <c r="P320">
        <f>IF($W320="","",SUMIFS(상세표[22~06시],상세표[사번키],INDEX(합계표[사번키],$W320),상세표[반영월],대상월키,상세표[반영 기관],"서울병원"))</f>
        <v/>
      </c>
      <c r="Q320">
        <f>IF($W320="","",SUM($M320:$P320))</f>
        <v/>
      </c>
      <c r="R320">
        <f>IF($W320="","",COUNTIFS(상세표[사번키],INDEX(합계표[사번키],$W320),상세표[반영월],대상월키,상세표[야간당직],1,상세표[야간 구분],"평일"))</f>
        <v/>
      </c>
      <c r="S320" s="4">
        <f>IF($W320="","",COUNTIFS(상세표[사번키],INDEX(합계표[사번키],$W320),상세표[반영월],대상월키,상세표[야간당직],1,상세표[야간 구분],"휴일"))</f>
        <v/>
      </c>
      <c r="T320">
        <f>IF($W320="","",COUNTIFS(상세표[사번키],INDEX(합계표[사번키],$W320),상세표[반영월],대상월키,상세표[야간당직],1,상세표[야간 구분],"평일",상세표[반영 기관],"서울병원"))</f>
        <v/>
      </c>
      <c r="U320">
        <f>IF($W320="","",COUNTIFS(상세표[사번키],INDEX(합계표[사번키],$W320),상세표[반영월],대상월키,상세표[야간당직],1,상세표[야간 구분],"휴일",상세표[반영 기관],"서울병원"))</f>
        <v/>
      </c>
      <c r="V320">
        <f>IF($W320="","",IF(ISNUMBER(MATCH(INDEX(합계표[사번키],$W320)&amp;"|"&amp;대상월키,월별근무지표[키],0)),"직접 입력",IF($K320="—","—","기관명단")))</f>
        <v/>
      </c>
      <c r="W320">
        <f>IFERROR(MATCH(315,합계표[판정순번],0),"")</f>
        <v/>
      </c>
    </row>
    <row r="321">
      <c r="A321">
        <f>IF($W321="","",INDEX(합계표[사번],$W321)&amp;"")</f>
        <v/>
      </c>
      <c r="B321">
        <f>IF($W321="","",INDEX(합계표[성명],$W321)&amp;"")</f>
        <v/>
      </c>
      <c r="C321">
        <f>IF($W321="","",INDEX(합계표[부서],$W321)&amp;"")</f>
        <v/>
      </c>
      <c r="D321">
        <f>IF($W321="","",INDEX(합계표[직위(통합)],$W321)&amp;"")</f>
        <v/>
      </c>
      <c r="E321">
        <f>IF($W321="","",SUMIFS(합계표[시스템 합계],합계표[사번키],INDEX(합계표[사번키],$W321)))</f>
        <v/>
      </c>
      <c r="F321">
        <f>IF($W321="","",SUMIFS(상세표[기록 시간외],상세표[사번키],INDEX(합계표[사번키],$W321),상세표[기록월],대상월키))</f>
        <v/>
      </c>
      <c r="G321">
        <f>IF($W321="","",IF(ABS($E321-$F321)&lt;0.01,"일치","불일치(차이 "&amp;TEXT($F321-$E321,"0.00")&amp;")"))</f>
        <v/>
      </c>
      <c r="H321">
        <f>IF($W321="","",SUMIFS(상세표[기록 시간외],상세표[사번키],INDEX(합계표[사번키],$W321),상세표[기록월],대상월키,상세표[반영월],"&lt;&gt;"&amp;대상월키))</f>
        <v/>
      </c>
      <c r="I321">
        <f>IF($W321="","",SUMIFS(상세표[기록 시간외],상세표[사번키],INDEX(합계표[사번키],$W321),상세표[기록월],"&lt;&gt;"&amp;대상월키,상세표[반영월],대상월키))</f>
        <v/>
      </c>
      <c r="J321">
        <f>IF($W321="","",SUMIFS(상세표[기록 시간외],상세표[사번키],INDEX(합계표[사번키],$W321),상세표[반영월],대상월키))</f>
        <v/>
      </c>
      <c r="K321">
        <f>IF($W321="","",IFERROR(INDEX(월별근무지표[적용 급여병원],MATCH(INDEX(합계표[사번키],$W321)&amp;"|"&amp;대상월키,월별근무지표[키],0))&amp;"",IF(COUNTIF(기관표[사번키],INDEX(합계표[사번키],$W321))+COUNTIF(월별근무지표[사번키],INDEX(합계표[사번키],$W321))&gt;0,IFERROR(INDEX(기관표[급여지급병원(기준월)],MATCH(INDEX(합계표[사번키],$W321)&amp;"|"&amp;대상월키,기관표[키],0))&amp;"","—"),"—")))</f>
        <v/>
      </c>
      <c r="L321">
        <f>IF($W321="","",IF(NOT(COUNTIF(기관표[사번키],INDEX(합계표[사번키],$W321))+COUNTIF(월별근무지표[사번키],INDEX(합계표[사번키],$W321))&gt;0),"기관명단에 없음(다른 병원으로 발송)",IF($K321="—","대상월 기관명단 없음(추가 필요)",IF($K321="서울병원","해당","비해당"))))</f>
        <v/>
      </c>
      <c r="M321">
        <f>IF($W321="","",SUMIFS(상세표[06~07시],상세표[사번키],INDEX(합계표[사번키],$W321),상세표[반영월],대상월키,상세표[반영 기관],"서울병원"))</f>
        <v/>
      </c>
      <c r="N321">
        <f>IF($W321="","",SUMIFS(상세표[07~18시],상세표[사번키],INDEX(합계표[사번키],$W321),상세표[반영월],대상월키,상세표[반영 기관],"서울병원"))</f>
        <v/>
      </c>
      <c r="O321">
        <f>IF($W321="","",SUMIFS(상세표[18~22시],상세표[사번키],INDEX(합계표[사번키],$W321),상세표[반영월],대상월키,상세표[반영 기관],"서울병원"))</f>
        <v/>
      </c>
      <c r="P321">
        <f>IF($W321="","",SUMIFS(상세표[22~06시],상세표[사번키],INDEX(합계표[사번키],$W321),상세표[반영월],대상월키,상세표[반영 기관],"서울병원"))</f>
        <v/>
      </c>
      <c r="Q321">
        <f>IF($W321="","",SUM($M321:$P321))</f>
        <v/>
      </c>
      <c r="R321">
        <f>IF($W321="","",COUNTIFS(상세표[사번키],INDEX(합계표[사번키],$W321),상세표[반영월],대상월키,상세표[야간당직],1,상세표[야간 구분],"평일"))</f>
        <v/>
      </c>
      <c r="S321" s="4">
        <f>IF($W321="","",COUNTIFS(상세표[사번키],INDEX(합계표[사번키],$W321),상세표[반영월],대상월키,상세표[야간당직],1,상세표[야간 구분],"휴일"))</f>
        <v/>
      </c>
      <c r="T321">
        <f>IF($W321="","",COUNTIFS(상세표[사번키],INDEX(합계표[사번키],$W321),상세표[반영월],대상월키,상세표[야간당직],1,상세표[야간 구분],"평일",상세표[반영 기관],"서울병원"))</f>
        <v/>
      </c>
      <c r="U321">
        <f>IF($W321="","",COUNTIFS(상세표[사번키],INDEX(합계표[사번키],$W321),상세표[반영월],대상월키,상세표[야간당직],1,상세표[야간 구분],"휴일",상세표[반영 기관],"서울병원"))</f>
        <v/>
      </c>
      <c r="V321">
        <f>IF($W321="","",IF(ISNUMBER(MATCH(INDEX(합계표[사번키],$W321)&amp;"|"&amp;대상월키,월별근무지표[키],0)),"직접 입력",IF($K321="—","—","기관명단")))</f>
        <v/>
      </c>
      <c r="W321">
        <f>IFERROR(MATCH(316,합계표[판정순번],0),"")</f>
        <v/>
      </c>
    </row>
    <row r="322">
      <c r="A322">
        <f>IF($W322="","",INDEX(합계표[사번],$W322)&amp;"")</f>
        <v/>
      </c>
      <c r="B322">
        <f>IF($W322="","",INDEX(합계표[성명],$W322)&amp;"")</f>
        <v/>
      </c>
      <c r="C322">
        <f>IF($W322="","",INDEX(합계표[부서],$W322)&amp;"")</f>
        <v/>
      </c>
      <c r="D322">
        <f>IF($W322="","",INDEX(합계표[직위(통합)],$W322)&amp;"")</f>
        <v/>
      </c>
      <c r="E322">
        <f>IF($W322="","",SUMIFS(합계표[시스템 합계],합계표[사번키],INDEX(합계표[사번키],$W322)))</f>
        <v/>
      </c>
      <c r="F322">
        <f>IF($W322="","",SUMIFS(상세표[기록 시간외],상세표[사번키],INDEX(합계표[사번키],$W322),상세표[기록월],대상월키))</f>
        <v/>
      </c>
      <c r="G322">
        <f>IF($W322="","",IF(ABS($E322-$F322)&lt;0.01,"일치","불일치(차이 "&amp;TEXT($F322-$E322,"0.00")&amp;")"))</f>
        <v/>
      </c>
      <c r="H322">
        <f>IF($W322="","",SUMIFS(상세표[기록 시간외],상세표[사번키],INDEX(합계표[사번키],$W322),상세표[기록월],대상월키,상세표[반영월],"&lt;&gt;"&amp;대상월키))</f>
        <v/>
      </c>
      <c r="I322">
        <f>IF($W322="","",SUMIFS(상세표[기록 시간외],상세표[사번키],INDEX(합계표[사번키],$W322),상세표[기록월],"&lt;&gt;"&amp;대상월키,상세표[반영월],대상월키))</f>
        <v/>
      </c>
      <c r="J322">
        <f>IF($W322="","",SUMIFS(상세표[기록 시간외],상세표[사번키],INDEX(합계표[사번키],$W322),상세표[반영월],대상월키))</f>
        <v/>
      </c>
      <c r="K322">
        <f>IF($W322="","",IFERROR(INDEX(월별근무지표[적용 급여병원],MATCH(INDEX(합계표[사번키],$W322)&amp;"|"&amp;대상월키,월별근무지표[키],0))&amp;"",IF(COUNTIF(기관표[사번키],INDEX(합계표[사번키],$W322))+COUNTIF(월별근무지표[사번키],INDEX(합계표[사번키],$W322))&gt;0,IFERROR(INDEX(기관표[급여지급병원(기준월)],MATCH(INDEX(합계표[사번키],$W322)&amp;"|"&amp;대상월키,기관표[키],0))&amp;"","—"),"—")))</f>
        <v/>
      </c>
      <c r="L322">
        <f>IF($W322="","",IF(NOT(COUNTIF(기관표[사번키],INDEX(합계표[사번키],$W322))+COUNTIF(월별근무지표[사번키],INDEX(합계표[사번키],$W322))&gt;0),"기관명단에 없음(다른 병원으로 발송)",IF($K322="—","대상월 기관명단 없음(추가 필요)",IF($K322="서울병원","해당","비해당"))))</f>
        <v/>
      </c>
      <c r="M322">
        <f>IF($W322="","",SUMIFS(상세표[06~07시],상세표[사번키],INDEX(합계표[사번키],$W322),상세표[반영월],대상월키,상세표[반영 기관],"서울병원"))</f>
        <v/>
      </c>
      <c r="N322">
        <f>IF($W322="","",SUMIFS(상세표[07~18시],상세표[사번키],INDEX(합계표[사번키],$W322),상세표[반영월],대상월키,상세표[반영 기관],"서울병원"))</f>
        <v/>
      </c>
      <c r="O322">
        <f>IF($W322="","",SUMIFS(상세표[18~22시],상세표[사번키],INDEX(합계표[사번키],$W322),상세표[반영월],대상월키,상세표[반영 기관],"서울병원"))</f>
        <v/>
      </c>
      <c r="P322">
        <f>IF($W322="","",SUMIFS(상세표[22~06시],상세표[사번키],INDEX(합계표[사번키],$W322),상세표[반영월],대상월키,상세표[반영 기관],"서울병원"))</f>
        <v/>
      </c>
      <c r="Q322">
        <f>IF($W322="","",SUM($M322:$P322))</f>
        <v/>
      </c>
      <c r="R322">
        <f>IF($W322="","",COUNTIFS(상세표[사번키],INDEX(합계표[사번키],$W322),상세표[반영월],대상월키,상세표[야간당직],1,상세표[야간 구분],"평일"))</f>
        <v/>
      </c>
      <c r="S322" s="4">
        <f>IF($W322="","",COUNTIFS(상세표[사번키],INDEX(합계표[사번키],$W322),상세표[반영월],대상월키,상세표[야간당직],1,상세표[야간 구분],"휴일"))</f>
        <v/>
      </c>
      <c r="T322">
        <f>IF($W322="","",COUNTIFS(상세표[사번키],INDEX(합계표[사번키],$W322),상세표[반영월],대상월키,상세표[야간당직],1,상세표[야간 구분],"평일",상세표[반영 기관],"서울병원"))</f>
        <v/>
      </c>
      <c r="U322">
        <f>IF($W322="","",COUNTIFS(상세표[사번키],INDEX(합계표[사번키],$W322),상세표[반영월],대상월키,상세표[야간당직],1,상세표[야간 구분],"휴일",상세표[반영 기관],"서울병원"))</f>
        <v/>
      </c>
      <c r="V322">
        <f>IF($W322="","",IF(ISNUMBER(MATCH(INDEX(합계표[사번키],$W322)&amp;"|"&amp;대상월키,월별근무지표[키],0)),"직접 입력",IF($K322="—","—","기관명단")))</f>
        <v/>
      </c>
      <c r="W322">
        <f>IFERROR(MATCH(317,합계표[판정순번],0),"")</f>
        <v/>
      </c>
    </row>
    <row r="323">
      <c r="A323">
        <f>IF($W323="","",INDEX(합계표[사번],$W323)&amp;"")</f>
        <v/>
      </c>
      <c r="B323">
        <f>IF($W323="","",INDEX(합계표[성명],$W323)&amp;"")</f>
        <v/>
      </c>
      <c r="C323">
        <f>IF($W323="","",INDEX(합계표[부서],$W323)&amp;"")</f>
        <v/>
      </c>
      <c r="D323">
        <f>IF($W323="","",INDEX(합계표[직위(통합)],$W323)&amp;"")</f>
        <v/>
      </c>
      <c r="E323">
        <f>IF($W323="","",SUMIFS(합계표[시스템 합계],합계표[사번키],INDEX(합계표[사번키],$W323)))</f>
        <v/>
      </c>
      <c r="F323">
        <f>IF($W323="","",SUMIFS(상세표[기록 시간외],상세표[사번키],INDEX(합계표[사번키],$W323),상세표[기록월],대상월키))</f>
        <v/>
      </c>
      <c r="G323">
        <f>IF($W323="","",IF(ABS($E323-$F323)&lt;0.01,"일치","불일치(차이 "&amp;TEXT($F323-$E323,"0.00")&amp;")"))</f>
        <v/>
      </c>
      <c r="H323">
        <f>IF($W323="","",SUMIFS(상세표[기록 시간외],상세표[사번키],INDEX(합계표[사번키],$W323),상세표[기록월],대상월키,상세표[반영월],"&lt;&gt;"&amp;대상월키))</f>
        <v/>
      </c>
      <c r="I323">
        <f>IF($W323="","",SUMIFS(상세표[기록 시간외],상세표[사번키],INDEX(합계표[사번키],$W323),상세표[기록월],"&lt;&gt;"&amp;대상월키,상세표[반영월],대상월키))</f>
        <v/>
      </c>
      <c r="J323">
        <f>IF($W323="","",SUMIFS(상세표[기록 시간외],상세표[사번키],INDEX(합계표[사번키],$W323),상세표[반영월],대상월키))</f>
        <v/>
      </c>
      <c r="K323">
        <f>IF($W323="","",IFERROR(INDEX(월별근무지표[적용 급여병원],MATCH(INDEX(합계표[사번키],$W323)&amp;"|"&amp;대상월키,월별근무지표[키],0))&amp;"",IF(COUNTIF(기관표[사번키],INDEX(합계표[사번키],$W323))+COUNTIF(월별근무지표[사번키],INDEX(합계표[사번키],$W323))&gt;0,IFERROR(INDEX(기관표[급여지급병원(기준월)],MATCH(INDEX(합계표[사번키],$W323)&amp;"|"&amp;대상월키,기관표[키],0))&amp;"","—"),"—")))</f>
        <v/>
      </c>
      <c r="L323">
        <f>IF($W323="","",IF(NOT(COUNTIF(기관표[사번키],INDEX(합계표[사번키],$W323))+COUNTIF(월별근무지표[사번키],INDEX(합계표[사번키],$W323))&gt;0),"기관명단에 없음(다른 병원으로 발송)",IF($K323="—","대상월 기관명단 없음(추가 필요)",IF($K323="서울병원","해당","비해당"))))</f>
        <v/>
      </c>
      <c r="M323">
        <f>IF($W323="","",SUMIFS(상세표[06~07시],상세표[사번키],INDEX(합계표[사번키],$W323),상세표[반영월],대상월키,상세표[반영 기관],"서울병원"))</f>
        <v/>
      </c>
      <c r="N323">
        <f>IF($W323="","",SUMIFS(상세표[07~18시],상세표[사번키],INDEX(합계표[사번키],$W323),상세표[반영월],대상월키,상세표[반영 기관],"서울병원"))</f>
        <v/>
      </c>
      <c r="O323">
        <f>IF($W323="","",SUMIFS(상세표[18~22시],상세표[사번키],INDEX(합계표[사번키],$W323),상세표[반영월],대상월키,상세표[반영 기관],"서울병원"))</f>
        <v/>
      </c>
      <c r="P323">
        <f>IF($W323="","",SUMIFS(상세표[22~06시],상세표[사번키],INDEX(합계표[사번키],$W323),상세표[반영월],대상월키,상세표[반영 기관],"서울병원"))</f>
        <v/>
      </c>
      <c r="Q323">
        <f>IF($W323="","",SUM($M323:$P323))</f>
        <v/>
      </c>
      <c r="R323">
        <f>IF($W323="","",COUNTIFS(상세표[사번키],INDEX(합계표[사번키],$W323),상세표[반영월],대상월키,상세표[야간당직],1,상세표[야간 구분],"평일"))</f>
        <v/>
      </c>
      <c r="S323" s="4">
        <f>IF($W323="","",COUNTIFS(상세표[사번키],INDEX(합계표[사번키],$W323),상세표[반영월],대상월키,상세표[야간당직],1,상세표[야간 구분],"휴일"))</f>
        <v/>
      </c>
      <c r="T323">
        <f>IF($W323="","",COUNTIFS(상세표[사번키],INDEX(합계표[사번키],$W323),상세표[반영월],대상월키,상세표[야간당직],1,상세표[야간 구분],"평일",상세표[반영 기관],"서울병원"))</f>
        <v/>
      </c>
      <c r="U323">
        <f>IF($W323="","",COUNTIFS(상세표[사번키],INDEX(합계표[사번키],$W323),상세표[반영월],대상월키,상세표[야간당직],1,상세표[야간 구분],"휴일",상세표[반영 기관],"서울병원"))</f>
        <v/>
      </c>
      <c r="V323">
        <f>IF($W323="","",IF(ISNUMBER(MATCH(INDEX(합계표[사번키],$W323)&amp;"|"&amp;대상월키,월별근무지표[키],0)),"직접 입력",IF($K323="—","—","기관명단")))</f>
        <v/>
      </c>
      <c r="W323">
        <f>IFERROR(MATCH(318,합계표[판정순번],0),"")</f>
        <v/>
      </c>
    </row>
    <row r="324">
      <c r="A324">
        <f>IF($W324="","",INDEX(합계표[사번],$W324)&amp;"")</f>
        <v/>
      </c>
      <c r="B324">
        <f>IF($W324="","",INDEX(합계표[성명],$W324)&amp;"")</f>
        <v/>
      </c>
      <c r="C324">
        <f>IF($W324="","",INDEX(합계표[부서],$W324)&amp;"")</f>
        <v/>
      </c>
      <c r="D324">
        <f>IF($W324="","",INDEX(합계표[직위(통합)],$W324)&amp;"")</f>
        <v/>
      </c>
      <c r="E324">
        <f>IF($W324="","",SUMIFS(합계표[시스템 합계],합계표[사번키],INDEX(합계표[사번키],$W324)))</f>
        <v/>
      </c>
      <c r="F324">
        <f>IF($W324="","",SUMIFS(상세표[기록 시간외],상세표[사번키],INDEX(합계표[사번키],$W324),상세표[기록월],대상월키))</f>
        <v/>
      </c>
      <c r="G324">
        <f>IF($W324="","",IF(ABS($E324-$F324)&lt;0.01,"일치","불일치(차이 "&amp;TEXT($F324-$E324,"0.00")&amp;")"))</f>
        <v/>
      </c>
      <c r="H324">
        <f>IF($W324="","",SUMIFS(상세표[기록 시간외],상세표[사번키],INDEX(합계표[사번키],$W324),상세표[기록월],대상월키,상세표[반영월],"&lt;&gt;"&amp;대상월키))</f>
        <v/>
      </c>
      <c r="I324">
        <f>IF($W324="","",SUMIFS(상세표[기록 시간외],상세표[사번키],INDEX(합계표[사번키],$W324),상세표[기록월],"&lt;&gt;"&amp;대상월키,상세표[반영월],대상월키))</f>
        <v/>
      </c>
      <c r="J324">
        <f>IF($W324="","",SUMIFS(상세표[기록 시간외],상세표[사번키],INDEX(합계표[사번키],$W324),상세표[반영월],대상월키))</f>
        <v/>
      </c>
      <c r="K324">
        <f>IF($W324="","",IFERROR(INDEX(월별근무지표[적용 급여병원],MATCH(INDEX(합계표[사번키],$W324)&amp;"|"&amp;대상월키,월별근무지표[키],0))&amp;"",IF(COUNTIF(기관표[사번키],INDEX(합계표[사번키],$W324))+COUNTIF(월별근무지표[사번키],INDEX(합계표[사번키],$W324))&gt;0,IFERROR(INDEX(기관표[급여지급병원(기준월)],MATCH(INDEX(합계표[사번키],$W324)&amp;"|"&amp;대상월키,기관표[키],0))&amp;"","—"),"—")))</f>
        <v/>
      </c>
      <c r="L324">
        <f>IF($W324="","",IF(NOT(COUNTIF(기관표[사번키],INDEX(합계표[사번키],$W324))+COUNTIF(월별근무지표[사번키],INDEX(합계표[사번키],$W324))&gt;0),"기관명단에 없음(다른 병원으로 발송)",IF($K324="—","대상월 기관명단 없음(추가 필요)",IF($K324="서울병원","해당","비해당"))))</f>
        <v/>
      </c>
      <c r="M324">
        <f>IF($W324="","",SUMIFS(상세표[06~07시],상세표[사번키],INDEX(합계표[사번키],$W324),상세표[반영월],대상월키,상세표[반영 기관],"서울병원"))</f>
        <v/>
      </c>
      <c r="N324">
        <f>IF($W324="","",SUMIFS(상세표[07~18시],상세표[사번키],INDEX(합계표[사번키],$W324),상세표[반영월],대상월키,상세표[반영 기관],"서울병원"))</f>
        <v/>
      </c>
      <c r="O324">
        <f>IF($W324="","",SUMIFS(상세표[18~22시],상세표[사번키],INDEX(합계표[사번키],$W324),상세표[반영월],대상월키,상세표[반영 기관],"서울병원"))</f>
        <v/>
      </c>
      <c r="P324">
        <f>IF($W324="","",SUMIFS(상세표[22~06시],상세표[사번키],INDEX(합계표[사번키],$W324),상세표[반영월],대상월키,상세표[반영 기관],"서울병원"))</f>
        <v/>
      </c>
      <c r="Q324">
        <f>IF($W324="","",SUM($M324:$P324))</f>
        <v/>
      </c>
      <c r="R324">
        <f>IF($W324="","",COUNTIFS(상세표[사번키],INDEX(합계표[사번키],$W324),상세표[반영월],대상월키,상세표[야간당직],1,상세표[야간 구분],"평일"))</f>
        <v/>
      </c>
      <c r="S324" s="4">
        <f>IF($W324="","",COUNTIFS(상세표[사번키],INDEX(합계표[사번키],$W324),상세표[반영월],대상월키,상세표[야간당직],1,상세표[야간 구분],"휴일"))</f>
        <v/>
      </c>
      <c r="T324">
        <f>IF($W324="","",COUNTIFS(상세표[사번키],INDEX(합계표[사번키],$W324),상세표[반영월],대상월키,상세표[야간당직],1,상세표[야간 구분],"평일",상세표[반영 기관],"서울병원"))</f>
        <v/>
      </c>
      <c r="U324">
        <f>IF($W324="","",COUNTIFS(상세표[사번키],INDEX(합계표[사번키],$W324),상세표[반영월],대상월키,상세표[야간당직],1,상세표[야간 구분],"휴일",상세표[반영 기관],"서울병원"))</f>
        <v/>
      </c>
      <c r="V324">
        <f>IF($W324="","",IF(ISNUMBER(MATCH(INDEX(합계표[사번키],$W324)&amp;"|"&amp;대상월키,월별근무지표[키],0)),"직접 입력",IF($K324="—","—","기관명단")))</f>
        <v/>
      </c>
      <c r="W324">
        <f>IFERROR(MATCH(319,합계표[판정순번],0),"")</f>
        <v/>
      </c>
    </row>
    <row r="325">
      <c r="A325">
        <f>IF($W325="","",INDEX(합계표[사번],$W325)&amp;"")</f>
        <v/>
      </c>
      <c r="B325">
        <f>IF($W325="","",INDEX(합계표[성명],$W325)&amp;"")</f>
        <v/>
      </c>
      <c r="C325">
        <f>IF($W325="","",INDEX(합계표[부서],$W325)&amp;"")</f>
        <v/>
      </c>
      <c r="D325">
        <f>IF($W325="","",INDEX(합계표[직위(통합)],$W325)&amp;"")</f>
        <v/>
      </c>
      <c r="E325">
        <f>IF($W325="","",SUMIFS(합계표[시스템 합계],합계표[사번키],INDEX(합계표[사번키],$W325)))</f>
        <v/>
      </c>
      <c r="F325">
        <f>IF($W325="","",SUMIFS(상세표[기록 시간외],상세표[사번키],INDEX(합계표[사번키],$W325),상세표[기록월],대상월키))</f>
        <v/>
      </c>
      <c r="G325">
        <f>IF($W325="","",IF(ABS($E325-$F325)&lt;0.01,"일치","불일치(차이 "&amp;TEXT($F325-$E325,"0.00")&amp;")"))</f>
        <v/>
      </c>
      <c r="H325">
        <f>IF($W325="","",SUMIFS(상세표[기록 시간외],상세표[사번키],INDEX(합계표[사번키],$W325),상세표[기록월],대상월키,상세표[반영월],"&lt;&gt;"&amp;대상월키))</f>
        <v/>
      </c>
      <c r="I325">
        <f>IF($W325="","",SUMIFS(상세표[기록 시간외],상세표[사번키],INDEX(합계표[사번키],$W325),상세표[기록월],"&lt;&gt;"&amp;대상월키,상세표[반영월],대상월키))</f>
        <v/>
      </c>
      <c r="J325">
        <f>IF($W325="","",SUMIFS(상세표[기록 시간외],상세표[사번키],INDEX(합계표[사번키],$W325),상세표[반영월],대상월키))</f>
        <v/>
      </c>
      <c r="K325">
        <f>IF($W325="","",IFERROR(INDEX(월별근무지표[적용 급여병원],MATCH(INDEX(합계표[사번키],$W325)&amp;"|"&amp;대상월키,월별근무지표[키],0))&amp;"",IF(COUNTIF(기관표[사번키],INDEX(합계표[사번키],$W325))+COUNTIF(월별근무지표[사번키],INDEX(합계표[사번키],$W325))&gt;0,IFERROR(INDEX(기관표[급여지급병원(기준월)],MATCH(INDEX(합계표[사번키],$W325)&amp;"|"&amp;대상월키,기관표[키],0))&amp;"","—"),"—")))</f>
        <v/>
      </c>
      <c r="L325">
        <f>IF($W325="","",IF(NOT(COUNTIF(기관표[사번키],INDEX(합계표[사번키],$W325))+COUNTIF(월별근무지표[사번키],INDEX(합계표[사번키],$W325))&gt;0),"기관명단에 없음(다른 병원으로 발송)",IF($K325="—","대상월 기관명단 없음(추가 필요)",IF($K325="서울병원","해당","비해당"))))</f>
        <v/>
      </c>
      <c r="M325">
        <f>IF($W325="","",SUMIFS(상세표[06~07시],상세표[사번키],INDEX(합계표[사번키],$W325),상세표[반영월],대상월키,상세표[반영 기관],"서울병원"))</f>
        <v/>
      </c>
      <c r="N325">
        <f>IF($W325="","",SUMIFS(상세표[07~18시],상세표[사번키],INDEX(합계표[사번키],$W325),상세표[반영월],대상월키,상세표[반영 기관],"서울병원"))</f>
        <v/>
      </c>
      <c r="O325">
        <f>IF($W325="","",SUMIFS(상세표[18~22시],상세표[사번키],INDEX(합계표[사번키],$W325),상세표[반영월],대상월키,상세표[반영 기관],"서울병원"))</f>
        <v/>
      </c>
      <c r="P325">
        <f>IF($W325="","",SUMIFS(상세표[22~06시],상세표[사번키],INDEX(합계표[사번키],$W325),상세표[반영월],대상월키,상세표[반영 기관],"서울병원"))</f>
        <v/>
      </c>
      <c r="Q325">
        <f>IF($W325="","",SUM($M325:$P325))</f>
        <v/>
      </c>
      <c r="R325">
        <f>IF($W325="","",COUNTIFS(상세표[사번키],INDEX(합계표[사번키],$W325),상세표[반영월],대상월키,상세표[야간당직],1,상세표[야간 구분],"평일"))</f>
        <v/>
      </c>
      <c r="S325" s="4">
        <f>IF($W325="","",COUNTIFS(상세표[사번키],INDEX(합계표[사번키],$W325),상세표[반영월],대상월키,상세표[야간당직],1,상세표[야간 구분],"휴일"))</f>
        <v/>
      </c>
      <c r="T325">
        <f>IF($W325="","",COUNTIFS(상세표[사번키],INDEX(합계표[사번키],$W325),상세표[반영월],대상월키,상세표[야간당직],1,상세표[야간 구분],"평일",상세표[반영 기관],"서울병원"))</f>
        <v/>
      </c>
      <c r="U325">
        <f>IF($W325="","",COUNTIFS(상세표[사번키],INDEX(합계표[사번키],$W325),상세표[반영월],대상월키,상세표[야간당직],1,상세표[야간 구분],"휴일",상세표[반영 기관],"서울병원"))</f>
        <v/>
      </c>
      <c r="V325">
        <f>IF($W325="","",IF(ISNUMBER(MATCH(INDEX(합계표[사번키],$W325)&amp;"|"&amp;대상월키,월별근무지표[키],0)),"직접 입력",IF($K325="—","—","기관명단")))</f>
        <v/>
      </c>
      <c r="W325">
        <f>IFERROR(MATCH(320,합계표[판정순번],0),"")</f>
        <v/>
      </c>
    </row>
    <row r="326">
      <c r="A326">
        <f>IF($W326="","",INDEX(합계표[사번],$W326)&amp;"")</f>
        <v/>
      </c>
      <c r="B326">
        <f>IF($W326="","",INDEX(합계표[성명],$W326)&amp;"")</f>
        <v/>
      </c>
      <c r="C326">
        <f>IF($W326="","",INDEX(합계표[부서],$W326)&amp;"")</f>
        <v/>
      </c>
      <c r="D326">
        <f>IF($W326="","",INDEX(합계표[직위(통합)],$W326)&amp;"")</f>
        <v/>
      </c>
      <c r="E326">
        <f>IF($W326="","",SUMIFS(합계표[시스템 합계],합계표[사번키],INDEX(합계표[사번키],$W326)))</f>
        <v/>
      </c>
      <c r="F326">
        <f>IF($W326="","",SUMIFS(상세표[기록 시간외],상세표[사번키],INDEX(합계표[사번키],$W326),상세표[기록월],대상월키))</f>
        <v/>
      </c>
      <c r="G326">
        <f>IF($W326="","",IF(ABS($E326-$F326)&lt;0.01,"일치","불일치(차이 "&amp;TEXT($F326-$E326,"0.00")&amp;")"))</f>
        <v/>
      </c>
      <c r="H326">
        <f>IF($W326="","",SUMIFS(상세표[기록 시간외],상세표[사번키],INDEX(합계표[사번키],$W326),상세표[기록월],대상월키,상세표[반영월],"&lt;&gt;"&amp;대상월키))</f>
        <v/>
      </c>
      <c r="I326">
        <f>IF($W326="","",SUMIFS(상세표[기록 시간외],상세표[사번키],INDEX(합계표[사번키],$W326),상세표[기록월],"&lt;&gt;"&amp;대상월키,상세표[반영월],대상월키))</f>
        <v/>
      </c>
      <c r="J326">
        <f>IF($W326="","",SUMIFS(상세표[기록 시간외],상세표[사번키],INDEX(합계표[사번키],$W326),상세표[반영월],대상월키))</f>
        <v/>
      </c>
      <c r="K326">
        <f>IF($W326="","",IFERROR(INDEX(월별근무지표[적용 급여병원],MATCH(INDEX(합계표[사번키],$W326)&amp;"|"&amp;대상월키,월별근무지표[키],0))&amp;"",IF(COUNTIF(기관표[사번키],INDEX(합계표[사번키],$W326))+COUNTIF(월별근무지표[사번키],INDEX(합계표[사번키],$W326))&gt;0,IFERROR(INDEX(기관표[급여지급병원(기준월)],MATCH(INDEX(합계표[사번키],$W326)&amp;"|"&amp;대상월키,기관표[키],0))&amp;"","—"),"—")))</f>
        <v/>
      </c>
      <c r="L326">
        <f>IF($W326="","",IF(NOT(COUNTIF(기관표[사번키],INDEX(합계표[사번키],$W326))+COUNTIF(월별근무지표[사번키],INDEX(합계표[사번키],$W326))&gt;0),"기관명단에 없음(다른 병원으로 발송)",IF($K326="—","대상월 기관명단 없음(추가 필요)",IF($K326="서울병원","해당","비해당"))))</f>
        <v/>
      </c>
      <c r="M326">
        <f>IF($W326="","",SUMIFS(상세표[06~07시],상세표[사번키],INDEX(합계표[사번키],$W326),상세표[반영월],대상월키,상세표[반영 기관],"서울병원"))</f>
        <v/>
      </c>
      <c r="N326">
        <f>IF($W326="","",SUMIFS(상세표[07~18시],상세표[사번키],INDEX(합계표[사번키],$W326),상세표[반영월],대상월키,상세표[반영 기관],"서울병원"))</f>
        <v/>
      </c>
      <c r="O326">
        <f>IF($W326="","",SUMIFS(상세표[18~22시],상세표[사번키],INDEX(합계표[사번키],$W326),상세표[반영월],대상월키,상세표[반영 기관],"서울병원"))</f>
        <v/>
      </c>
      <c r="P326">
        <f>IF($W326="","",SUMIFS(상세표[22~06시],상세표[사번키],INDEX(합계표[사번키],$W326),상세표[반영월],대상월키,상세표[반영 기관],"서울병원"))</f>
        <v/>
      </c>
      <c r="Q326">
        <f>IF($W326="","",SUM($M326:$P326))</f>
        <v/>
      </c>
      <c r="R326">
        <f>IF($W326="","",COUNTIFS(상세표[사번키],INDEX(합계표[사번키],$W326),상세표[반영월],대상월키,상세표[야간당직],1,상세표[야간 구분],"평일"))</f>
        <v/>
      </c>
      <c r="S326" s="4">
        <f>IF($W326="","",COUNTIFS(상세표[사번키],INDEX(합계표[사번키],$W326),상세표[반영월],대상월키,상세표[야간당직],1,상세표[야간 구분],"휴일"))</f>
        <v/>
      </c>
      <c r="T326">
        <f>IF($W326="","",COUNTIFS(상세표[사번키],INDEX(합계표[사번키],$W326),상세표[반영월],대상월키,상세표[야간당직],1,상세표[야간 구분],"평일",상세표[반영 기관],"서울병원"))</f>
        <v/>
      </c>
      <c r="U326">
        <f>IF($W326="","",COUNTIFS(상세표[사번키],INDEX(합계표[사번키],$W326),상세표[반영월],대상월키,상세표[야간당직],1,상세표[야간 구분],"휴일",상세표[반영 기관],"서울병원"))</f>
        <v/>
      </c>
      <c r="V326">
        <f>IF($W326="","",IF(ISNUMBER(MATCH(INDEX(합계표[사번키],$W326)&amp;"|"&amp;대상월키,월별근무지표[키],0)),"직접 입력",IF($K326="—","—","기관명단")))</f>
        <v/>
      </c>
      <c r="W326">
        <f>IFERROR(MATCH(321,합계표[판정순번],0),"")</f>
        <v/>
      </c>
    </row>
    <row r="327">
      <c r="A327">
        <f>IF($W327="","",INDEX(합계표[사번],$W327)&amp;"")</f>
        <v/>
      </c>
      <c r="B327">
        <f>IF($W327="","",INDEX(합계표[성명],$W327)&amp;"")</f>
        <v/>
      </c>
      <c r="C327">
        <f>IF($W327="","",INDEX(합계표[부서],$W327)&amp;"")</f>
        <v/>
      </c>
      <c r="D327">
        <f>IF($W327="","",INDEX(합계표[직위(통합)],$W327)&amp;"")</f>
        <v/>
      </c>
      <c r="E327">
        <f>IF($W327="","",SUMIFS(합계표[시스템 합계],합계표[사번키],INDEX(합계표[사번키],$W327)))</f>
        <v/>
      </c>
      <c r="F327">
        <f>IF($W327="","",SUMIFS(상세표[기록 시간외],상세표[사번키],INDEX(합계표[사번키],$W327),상세표[기록월],대상월키))</f>
        <v/>
      </c>
      <c r="G327">
        <f>IF($W327="","",IF(ABS($E327-$F327)&lt;0.01,"일치","불일치(차이 "&amp;TEXT($F327-$E327,"0.00")&amp;")"))</f>
        <v/>
      </c>
      <c r="H327">
        <f>IF($W327="","",SUMIFS(상세표[기록 시간외],상세표[사번키],INDEX(합계표[사번키],$W327),상세표[기록월],대상월키,상세표[반영월],"&lt;&gt;"&amp;대상월키))</f>
        <v/>
      </c>
      <c r="I327">
        <f>IF($W327="","",SUMIFS(상세표[기록 시간외],상세표[사번키],INDEX(합계표[사번키],$W327),상세표[기록월],"&lt;&gt;"&amp;대상월키,상세표[반영월],대상월키))</f>
        <v/>
      </c>
      <c r="J327">
        <f>IF($W327="","",SUMIFS(상세표[기록 시간외],상세표[사번키],INDEX(합계표[사번키],$W327),상세표[반영월],대상월키))</f>
        <v/>
      </c>
      <c r="K327">
        <f>IF($W327="","",IFERROR(INDEX(월별근무지표[적용 급여병원],MATCH(INDEX(합계표[사번키],$W327)&amp;"|"&amp;대상월키,월별근무지표[키],0))&amp;"",IF(COUNTIF(기관표[사번키],INDEX(합계표[사번키],$W327))+COUNTIF(월별근무지표[사번키],INDEX(합계표[사번키],$W327))&gt;0,IFERROR(INDEX(기관표[급여지급병원(기준월)],MATCH(INDEX(합계표[사번키],$W327)&amp;"|"&amp;대상월키,기관표[키],0))&amp;"","—"),"—")))</f>
        <v/>
      </c>
      <c r="L327">
        <f>IF($W327="","",IF(NOT(COUNTIF(기관표[사번키],INDEX(합계표[사번키],$W327))+COUNTIF(월별근무지표[사번키],INDEX(합계표[사번키],$W327))&gt;0),"기관명단에 없음(다른 병원으로 발송)",IF($K327="—","대상월 기관명단 없음(추가 필요)",IF($K327="서울병원","해당","비해당"))))</f>
        <v/>
      </c>
      <c r="M327">
        <f>IF($W327="","",SUMIFS(상세표[06~07시],상세표[사번키],INDEX(합계표[사번키],$W327),상세표[반영월],대상월키,상세표[반영 기관],"서울병원"))</f>
        <v/>
      </c>
      <c r="N327">
        <f>IF($W327="","",SUMIFS(상세표[07~18시],상세표[사번키],INDEX(합계표[사번키],$W327),상세표[반영월],대상월키,상세표[반영 기관],"서울병원"))</f>
        <v/>
      </c>
      <c r="O327">
        <f>IF($W327="","",SUMIFS(상세표[18~22시],상세표[사번키],INDEX(합계표[사번키],$W327),상세표[반영월],대상월키,상세표[반영 기관],"서울병원"))</f>
        <v/>
      </c>
      <c r="P327">
        <f>IF($W327="","",SUMIFS(상세표[22~06시],상세표[사번키],INDEX(합계표[사번키],$W327),상세표[반영월],대상월키,상세표[반영 기관],"서울병원"))</f>
        <v/>
      </c>
      <c r="Q327">
        <f>IF($W327="","",SUM($M327:$P327))</f>
        <v/>
      </c>
      <c r="R327">
        <f>IF($W327="","",COUNTIFS(상세표[사번키],INDEX(합계표[사번키],$W327),상세표[반영월],대상월키,상세표[야간당직],1,상세표[야간 구분],"평일"))</f>
        <v/>
      </c>
      <c r="S327" s="4">
        <f>IF($W327="","",COUNTIFS(상세표[사번키],INDEX(합계표[사번키],$W327),상세표[반영월],대상월키,상세표[야간당직],1,상세표[야간 구분],"휴일"))</f>
        <v/>
      </c>
      <c r="T327">
        <f>IF($W327="","",COUNTIFS(상세표[사번키],INDEX(합계표[사번키],$W327),상세표[반영월],대상월키,상세표[야간당직],1,상세표[야간 구분],"평일",상세표[반영 기관],"서울병원"))</f>
        <v/>
      </c>
      <c r="U327">
        <f>IF($W327="","",COUNTIFS(상세표[사번키],INDEX(합계표[사번키],$W327),상세표[반영월],대상월키,상세표[야간당직],1,상세표[야간 구분],"휴일",상세표[반영 기관],"서울병원"))</f>
        <v/>
      </c>
      <c r="V327">
        <f>IF($W327="","",IF(ISNUMBER(MATCH(INDEX(합계표[사번키],$W327)&amp;"|"&amp;대상월키,월별근무지표[키],0)),"직접 입력",IF($K327="—","—","기관명단")))</f>
        <v/>
      </c>
      <c r="W327">
        <f>IFERROR(MATCH(322,합계표[판정순번],0),"")</f>
        <v/>
      </c>
    </row>
    <row r="328">
      <c r="A328">
        <f>IF($W328="","",INDEX(합계표[사번],$W328)&amp;"")</f>
        <v/>
      </c>
      <c r="B328">
        <f>IF($W328="","",INDEX(합계표[성명],$W328)&amp;"")</f>
        <v/>
      </c>
      <c r="C328">
        <f>IF($W328="","",INDEX(합계표[부서],$W328)&amp;"")</f>
        <v/>
      </c>
      <c r="D328">
        <f>IF($W328="","",INDEX(합계표[직위(통합)],$W328)&amp;"")</f>
        <v/>
      </c>
      <c r="E328">
        <f>IF($W328="","",SUMIFS(합계표[시스템 합계],합계표[사번키],INDEX(합계표[사번키],$W328)))</f>
        <v/>
      </c>
      <c r="F328">
        <f>IF($W328="","",SUMIFS(상세표[기록 시간외],상세표[사번키],INDEX(합계표[사번키],$W328),상세표[기록월],대상월키))</f>
        <v/>
      </c>
      <c r="G328">
        <f>IF($W328="","",IF(ABS($E328-$F328)&lt;0.01,"일치","불일치(차이 "&amp;TEXT($F328-$E328,"0.00")&amp;")"))</f>
        <v/>
      </c>
      <c r="H328">
        <f>IF($W328="","",SUMIFS(상세표[기록 시간외],상세표[사번키],INDEX(합계표[사번키],$W328),상세표[기록월],대상월키,상세표[반영월],"&lt;&gt;"&amp;대상월키))</f>
        <v/>
      </c>
      <c r="I328">
        <f>IF($W328="","",SUMIFS(상세표[기록 시간외],상세표[사번키],INDEX(합계표[사번키],$W328),상세표[기록월],"&lt;&gt;"&amp;대상월키,상세표[반영월],대상월키))</f>
        <v/>
      </c>
      <c r="J328">
        <f>IF($W328="","",SUMIFS(상세표[기록 시간외],상세표[사번키],INDEX(합계표[사번키],$W328),상세표[반영월],대상월키))</f>
        <v/>
      </c>
      <c r="K328">
        <f>IF($W328="","",IFERROR(INDEX(월별근무지표[적용 급여병원],MATCH(INDEX(합계표[사번키],$W328)&amp;"|"&amp;대상월키,월별근무지표[키],0))&amp;"",IF(COUNTIF(기관표[사번키],INDEX(합계표[사번키],$W328))+COUNTIF(월별근무지표[사번키],INDEX(합계표[사번키],$W328))&gt;0,IFERROR(INDEX(기관표[급여지급병원(기준월)],MATCH(INDEX(합계표[사번키],$W328)&amp;"|"&amp;대상월키,기관표[키],0))&amp;"","—"),"—")))</f>
        <v/>
      </c>
      <c r="L328">
        <f>IF($W328="","",IF(NOT(COUNTIF(기관표[사번키],INDEX(합계표[사번키],$W328))+COUNTIF(월별근무지표[사번키],INDEX(합계표[사번키],$W328))&gt;0),"기관명단에 없음(다른 병원으로 발송)",IF($K328="—","대상월 기관명단 없음(추가 필요)",IF($K328="서울병원","해당","비해당"))))</f>
        <v/>
      </c>
      <c r="M328">
        <f>IF($W328="","",SUMIFS(상세표[06~07시],상세표[사번키],INDEX(합계표[사번키],$W328),상세표[반영월],대상월키,상세표[반영 기관],"서울병원"))</f>
        <v/>
      </c>
      <c r="N328">
        <f>IF($W328="","",SUMIFS(상세표[07~18시],상세표[사번키],INDEX(합계표[사번키],$W328),상세표[반영월],대상월키,상세표[반영 기관],"서울병원"))</f>
        <v/>
      </c>
      <c r="O328">
        <f>IF($W328="","",SUMIFS(상세표[18~22시],상세표[사번키],INDEX(합계표[사번키],$W328),상세표[반영월],대상월키,상세표[반영 기관],"서울병원"))</f>
        <v/>
      </c>
      <c r="P328">
        <f>IF($W328="","",SUMIFS(상세표[22~06시],상세표[사번키],INDEX(합계표[사번키],$W328),상세표[반영월],대상월키,상세표[반영 기관],"서울병원"))</f>
        <v/>
      </c>
      <c r="Q328">
        <f>IF($W328="","",SUM($M328:$P328))</f>
        <v/>
      </c>
      <c r="R328">
        <f>IF($W328="","",COUNTIFS(상세표[사번키],INDEX(합계표[사번키],$W328),상세표[반영월],대상월키,상세표[야간당직],1,상세표[야간 구분],"평일"))</f>
        <v/>
      </c>
      <c r="S328" s="4">
        <f>IF($W328="","",COUNTIFS(상세표[사번키],INDEX(합계표[사번키],$W328),상세표[반영월],대상월키,상세표[야간당직],1,상세표[야간 구분],"휴일"))</f>
        <v/>
      </c>
      <c r="T328">
        <f>IF($W328="","",COUNTIFS(상세표[사번키],INDEX(합계표[사번키],$W328),상세표[반영월],대상월키,상세표[야간당직],1,상세표[야간 구분],"평일",상세표[반영 기관],"서울병원"))</f>
        <v/>
      </c>
      <c r="U328">
        <f>IF($W328="","",COUNTIFS(상세표[사번키],INDEX(합계표[사번키],$W328),상세표[반영월],대상월키,상세표[야간당직],1,상세표[야간 구분],"휴일",상세표[반영 기관],"서울병원"))</f>
        <v/>
      </c>
      <c r="V328">
        <f>IF($W328="","",IF(ISNUMBER(MATCH(INDEX(합계표[사번키],$W328)&amp;"|"&amp;대상월키,월별근무지표[키],0)),"직접 입력",IF($K328="—","—","기관명단")))</f>
        <v/>
      </c>
      <c r="W328">
        <f>IFERROR(MATCH(323,합계표[판정순번],0),"")</f>
        <v/>
      </c>
    </row>
    <row r="329">
      <c r="A329">
        <f>IF($W329="","",INDEX(합계표[사번],$W329)&amp;"")</f>
        <v/>
      </c>
      <c r="B329">
        <f>IF($W329="","",INDEX(합계표[성명],$W329)&amp;"")</f>
        <v/>
      </c>
      <c r="C329">
        <f>IF($W329="","",INDEX(합계표[부서],$W329)&amp;"")</f>
        <v/>
      </c>
      <c r="D329">
        <f>IF($W329="","",INDEX(합계표[직위(통합)],$W329)&amp;"")</f>
        <v/>
      </c>
      <c r="E329">
        <f>IF($W329="","",SUMIFS(합계표[시스템 합계],합계표[사번키],INDEX(합계표[사번키],$W329)))</f>
        <v/>
      </c>
      <c r="F329">
        <f>IF($W329="","",SUMIFS(상세표[기록 시간외],상세표[사번키],INDEX(합계표[사번키],$W329),상세표[기록월],대상월키))</f>
        <v/>
      </c>
      <c r="G329">
        <f>IF($W329="","",IF(ABS($E329-$F329)&lt;0.01,"일치","불일치(차이 "&amp;TEXT($F329-$E329,"0.00")&amp;")"))</f>
        <v/>
      </c>
      <c r="H329">
        <f>IF($W329="","",SUMIFS(상세표[기록 시간외],상세표[사번키],INDEX(합계표[사번키],$W329),상세표[기록월],대상월키,상세표[반영월],"&lt;&gt;"&amp;대상월키))</f>
        <v/>
      </c>
      <c r="I329">
        <f>IF($W329="","",SUMIFS(상세표[기록 시간외],상세표[사번키],INDEX(합계표[사번키],$W329),상세표[기록월],"&lt;&gt;"&amp;대상월키,상세표[반영월],대상월키))</f>
        <v/>
      </c>
      <c r="J329">
        <f>IF($W329="","",SUMIFS(상세표[기록 시간외],상세표[사번키],INDEX(합계표[사번키],$W329),상세표[반영월],대상월키))</f>
        <v/>
      </c>
      <c r="K329">
        <f>IF($W329="","",IFERROR(INDEX(월별근무지표[적용 급여병원],MATCH(INDEX(합계표[사번키],$W329)&amp;"|"&amp;대상월키,월별근무지표[키],0))&amp;"",IF(COUNTIF(기관표[사번키],INDEX(합계표[사번키],$W329))+COUNTIF(월별근무지표[사번키],INDEX(합계표[사번키],$W329))&gt;0,IFERROR(INDEX(기관표[급여지급병원(기준월)],MATCH(INDEX(합계표[사번키],$W329)&amp;"|"&amp;대상월키,기관표[키],0))&amp;"","—"),"—")))</f>
        <v/>
      </c>
      <c r="L329">
        <f>IF($W329="","",IF(NOT(COUNTIF(기관표[사번키],INDEX(합계표[사번키],$W329))+COUNTIF(월별근무지표[사번키],INDEX(합계표[사번키],$W329))&gt;0),"기관명단에 없음(다른 병원으로 발송)",IF($K329="—","대상월 기관명단 없음(추가 필요)",IF($K329="서울병원","해당","비해당"))))</f>
        <v/>
      </c>
      <c r="M329">
        <f>IF($W329="","",SUMIFS(상세표[06~07시],상세표[사번키],INDEX(합계표[사번키],$W329),상세표[반영월],대상월키,상세표[반영 기관],"서울병원"))</f>
        <v/>
      </c>
      <c r="N329">
        <f>IF($W329="","",SUMIFS(상세표[07~18시],상세표[사번키],INDEX(합계표[사번키],$W329),상세표[반영월],대상월키,상세표[반영 기관],"서울병원"))</f>
        <v/>
      </c>
      <c r="O329">
        <f>IF($W329="","",SUMIFS(상세표[18~22시],상세표[사번키],INDEX(합계표[사번키],$W329),상세표[반영월],대상월키,상세표[반영 기관],"서울병원"))</f>
        <v/>
      </c>
      <c r="P329">
        <f>IF($W329="","",SUMIFS(상세표[22~06시],상세표[사번키],INDEX(합계표[사번키],$W329),상세표[반영월],대상월키,상세표[반영 기관],"서울병원"))</f>
        <v/>
      </c>
      <c r="Q329">
        <f>IF($W329="","",SUM($M329:$P329))</f>
        <v/>
      </c>
      <c r="R329">
        <f>IF($W329="","",COUNTIFS(상세표[사번키],INDEX(합계표[사번키],$W329),상세표[반영월],대상월키,상세표[야간당직],1,상세표[야간 구분],"평일"))</f>
        <v/>
      </c>
      <c r="S329" s="4">
        <f>IF($W329="","",COUNTIFS(상세표[사번키],INDEX(합계표[사번키],$W329),상세표[반영월],대상월키,상세표[야간당직],1,상세표[야간 구분],"휴일"))</f>
        <v/>
      </c>
      <c r="T329">
        <f>IF($W329="","",COUNTIFS(상세표[사번키],INDEX(합계표[사번키],$W329),상세표[반영월],대상월키,상세표[야간당직],1,상세표[야간 구분],"평일",상세표[반영 기관],"서울병원"))</f>
        <v/>
      </c>
      <c r="U329">
        <f>IF($W329="","",COUNTIFS(상세표[사번키],INDEX(합계표[사번키],$W329),상세표[반영월],대상월키,상세표[야간당직],1,상세표[야간 구분],"휴일",상세표[반영 기관],"서울병원"))</f>
        <v/>
      </c>
      <c r="V329">
        <f>IF($W329="","",IF(ISNUMBER(MATCH(INDEX(합계표[사번키],$W329)&amp;"|"&amp;대상월키,월별근무지표[키],0)),"직접 입력",IF($K329="—","—","기관명단")))</f>
        <v/>
      </c>
      <c r="W329">
        <f>IFERROR(MATCH(324,합계표[판정순번],0),"")</f>
        <v/>
      </c>
    </row>
    <row r="330">
      <c r="A330">
        <f>IF($W330="","",INDEX(합계표[사번],$W330)&amp;"")</f>
        <v/>
      </c>
      <c r="B330">
        <f>IF($W330="","",INDEX(합계표[성명],$W330)&amp;"")</f>
        <v/>
      </c>
      <c r="C330">
        <f>IF($W330="","",INDEX(합계표[부서],$W330)&amp;"")</f>
        <v/>
      </c>
      <c r="D330">
        <f>IF($W330="","",INDEX(합계표[직위(통합)],$W330)&amp;"")</f>
        <v/>
      </c>
      <c r="E330">
        <f>IF($W330="","",SUMIFS(합계표[시스템 합계],합계표[사번키],INDEX(합계표[사번키],$W330)))</f>
        <v/>
      </c>
      <c r="F330">
        <f>IF($W330="","",SUMIFS(상세표[기록 시간외],상세표[사번키],INDEX(합계표[사번키],$W330),상세표[기록월],대상월키))</f>
        <v/>
      </c>
      <c r="G330">
        <f>IF($W330="","",IF(ABS($E330-$F330)&lt;0.01,"일치","불일치(차이 "&amp;TEXT($F330-$E330,"0.00")&amp;")"))</f>
        <v/>
      </c>
      <c r="H330">
        <f>IF($W330="","",SUMIFS(상세표[기록 시간외],상세표[사번키],INDEX(합계표[사번키],$W330),상세표[기록월],대상월키,상세표[반영월],"&lt;&gt;"&amp;대상월키))</f>
        <v/>
      </c>
      <c r="I330">
        <f>IF($W330="","",SUMIFS(상세표[기록 시간외],상세표[사번키],INDEX(합계표[사번키],$W330),상세표[기록월],"&lt;&gt;"&amp;대상월키,상세표[반영월],대상월키))</f>
        <v/>
      </c>
      <c r="J330">
        <f>IF($W330="","",SUMIFS(상세표[기록 시간외],상세표[사번키],INDEX(합계표[사번키],$W330),상세표[반영월],대상월키))</f>
        <v/>
      </c>
      <c r="K330">
        <f>IF($W330="","",IFERROR(INDEX(월별근무지표[적용 급여병원],MATCH(INDEX(합계표[사번키],$W330)&amp;"|"&amp;대상월키,월별근무지표[키],0))&amp;"",IF(COUNTIF(기관표[사번키],INDEX(합계표[사번키],$W330))+COUNTIF(월별근무지표[사번키],INDEX(합계표[사번키],$W330))&gt;0,IFERROR(INDEX(기관표[급여지급병원(기준월)],MATCH(INDEX(합계표[사번키],$W330)&amp;"|"&amp;대상월키,기관표[키],0))&amp;"","—"),"—")))</f>
        <v/>
      </c>
      <c r="L330">
        <f>IF($W330="","",IF(NOT(COUNTIF(기관표[사번키],INDEX(합계표[사번키],$W330))+COUNTIF(월별근무지표[사번키],INDEX(합계표[사번키],$W330))&gt;0),"기관명단에 없음(다른 병원으로 발송)",IF($K330="—","대상월 기관명단 없음(추가 필요)",IF($K330="서울병원","해당","비해당"))))</f>
        <v/>
      </c>
      <c r="M330">
        <f>IF($W330="","",SUMIFS(상세표[06~07시],상세표[사번키],INDEX(합계표[사번키],$W330),상세표[반영월],대상월키,상세표[반영 기관],"서울병원"))</f>
        <v/>
      </c>
      <c r="N330">
        <f>IF($W330="","",SUMIFS(상세표[07~18시],상세표[사번키],INDEX(합계표[사번키],$W330),상세표[반영월],대상월키,상세표[반영 기관],"서울병원"))</f>
        <v/>
      </c>
      <c r="O330">
        <f>IF($W330="","",SUMIFS(상세표[18~22시],상세표[사번키],INDEX(합계표[사번키],$W330),상세표[반영월],대상월키,상세표[반영 기관],"서울병원"))</f>
        <v/>
      </c>
      <c r="P330">
        <f>IF($W330="","",SUMIFS(상세표[22~06시],상세표[사번키],INDEX(합계표[사번키],$W330),상세표[반영월],대상월키,상세표[반영 기관],"서울병원"))</f>
        <v/>
      </c>
      <c r="Q330">
        <f>IF($W330="","",SUM($M330:$P330))</f>
        <v/>
      </c>
      <c r="R330">
        <f>IF($W330="","",COUNTIFS(상세표[사번키],INDEX(합계표[사번키],$W330),상세표[반영월],대상월키,상세표[야간당직],1,상세표[야간 구분],"평일"))</f>
        <v/>
      </c>
      <c r="S330" s="4">
        <f>IF($W330="","",COUNTIFS(상세표[사번키],INDEX(합계표[사번키],$W330),상세표[반영월],대상월키,상세표[야간당직],1,상세표[야간 구분],"휴일"))</f>
        <v/>
      </c>
      <c r="T330">
        <f>IF($W330="","",COUNTIFS(상세표[사번키],INDEX(합계표[사번키],$W330),상세표[반영월],대상월키,상세표[야간당직],1,상세표[야간 구분],"평일",상세표[반영 기관],"서울병원"))</f>
        <v/>
      </c>
      <c r="U330">
        <f>IF($W330="","",COUNTIFS(상세표[사번키],INDEX(합계표[사번키],$W330),상세표[반영월],대상월키,상세표[야간당직],1,상세표[야간 구분],"휴일",상세표[반영 기관],"서울병원"))</f>
        <v/>
      </c>
      <c r="V330">
        <f>IF($W330="","",IF(ISNUMBER(MATCH(INDEX(합계표[사번키],$W330)&amp;"|"&amp;대상월키,월별근무지표[키],0)),"직접 입력",IF($K330="—","—","기관명단")))</f>
        <v/>
      </c>
      <c r="W330">
        <f>IFERROR(MATCH(325,합계표[판정순번],0),"")</f>
        <v/>
      </c>
    </row>
    <row r="331">
      <c r="A331">
        <f>IF($W331="","",INDEX(합계표[사번],$W331)&amp;"")</f>
        <v/>
      </c>
      <c r="B331">
        <f>IF($W331="","",INDEX(합계표[성명],$W331)&amp;"")</f>
        <v/>
      </c>
      <c r="C331">
        <f>IF($W331="","",INDEX(합계표[부서],$W331)&amp;"")</f>
        <v/>
      </c>
      <c r="D331">
        <f>IF($W331="","",INDEX(합계표[직위(통합)],$W331)&amp;"")</f>
        <v/>
      </c>
      <c r="E331">
        <f>IF($W331="","",SUMIFS(합계표[시스템 합계],합계표[사번키],INDEX(합계표[사번키],$W331)))</f>
        <v/>
      </c>
      <c r="F331">
        <f>IF($W331="","",SUMIFS(상세표[기록 시간외],상세표[사번키],INDEX(합계표[사번키],$W331),상세표[기록월],대상월키))</f>
        <v/>
      </c>
      <c r="G331">
        <f>IF($W331="","",IF(ABS($E331-$F331)&lt;0.01,"일치","불일치(차이 "&amp;TEXT($F331-$E331,"0.00")&amp;")"))</f>
        <v/>
      </c>
      <c r="H331">
        <f>IF($W331="","",SUMIFS(상세표[기록 시간외],상세표[사번키],INDEX(합계표[사번키],$W331),상세표[기록월],대상월키,상세표[반영월],"&lt;&gt;"&amp;대상월키))</f>
        <v/>
      </c>
      <c r="I331">
        <f>IF($W331="","",SUMIFS(상세표[기록 시간외],상세표[사번키],INDEX(합계표[사번키],$W331),상세표[기록월],"&lt;&gt;"&amp;대상월키,상세표[반영월],대상월키))</f>
        <v/>
      </c>
      <c r="J331">
        <f>IF($W331="","",SUMIFS(상세표[기록 시간외],상세표[사번키],INDEX(합계표[사번키],$W331),상세표[반영월],대상월키))</f>
        <v/>
      </c>
      <c r="K331">
        <f>IF($W331="","",IFERROR(INDEX(월별근무지표[적용 급여병원],MATCH(INDEX(합계표[사번키],$W331)&amp;"|"&amp;대상월키,월별근무지표[키],0))&amp;"",IF(COUNTIF(기관표[사번키],INDEX(합계표[사번키],$W331))+COUNTIF(월별근무지표[사번키],INDEX(합계표[사번키],$W331))&gt;0,IFERROR(INDEX(기관표[급여지급병원(기준월)],MATCH(INDEX(합계표[사번키],$W331)&amp;"|"&amp;대상월키,기관표[키],0))&amp;"","—"),"—")))</f>
        <v/>
      </c>
      <c r="L331">
        <f>IF($W331="","",IF(NOT(COUNTIF(기관표[사번키],INDEX(합계표[사번키],$W331))+COUNTIF(월별근무지표[사번키],INDEX(합계표[사번키],$W331))&gt;0),"기관명단에 없음(다른 병원으로 발송)",IF($K331="—","대상월 기관명단 없음(추가 필요)",IF($K331="서울병원","해당","비해당"))))</f>
        <v/>
      </c>
      <c r="M331">
        <f>IF($W331="","",SUMIFS(상세표[06~07시],상세표[사번키],INDEX(합계표[사번키],$W331),상세표[반영월],대상월키,상세표[반영 기관],"서울병원"))</f>
        <v/>
      </c>
      <c r="N331">
        <f>IF($W331="","",SUMIFS(상세표[07~18시],상세표[사번키],INDEX(합계표[사번키],$W331),상세표[반영월],대상월키,상세표[반영 기관],"서울병원"))</f>
        <v/>
      </c>
      <c r="O331">
        <f>IF($W331="","",SUMIFS(상세표[18~22시],상세표[사번키],INDEX(합계표[사번키],$W331),상세표[반영월],대상월키,상세표[반영 기관],"서울병원"))</f>
        <v/>
      </c>
      <c r="P331">
        <f>IF($W331="","",SUMIFS(상세표[22~06시],상세표[사번키],INDEX(합계표[사번키],$W331),상세표[반영월],대상월키,상세표[반영 기관],"서울병원"))</f>
        <v/>
      </c>
      <c r="Q331">
        <f>IF($W331="","",SUM($M331:$P331))</f>
        <v/>
      </c>
      <c r="R331">
        <f>IF($W331="","",COUNTIFS(상세표[사번키],INDEX(합계표[사번키],$W331),상세표[반영월],대상월키,상세표[야간당직],1,상세표[야간 구분],"평일"))</f>
        <v/>
      </c>
      <c r="S331" s="4">
        <f>IF($W331="","",COUNTIFS(상세표[사번키],INDEX(합계표[사번키],$W331),상세표[반영월],대상월키,상세표[야간당직],1,상세표[야간 구분],"휴일"))</f>
        <v/>
      </c>
      <c r="T331">
        <f>IF($W331="","",COUNTIFS(상세표[사번키],INDEX(합계표[사번키],$W331),상세표[반영월],대상월키,상세표[야간당직],1,상세표[야간 구분],"평일",상세표[반영 기관],"서울병원"))</f>
        <v/>
      </c>
      <c r="U331">
        <f>IF($W331="","",COUNTIFS(상세표[사번키],INDEX(합계표[사번키],$W331),상세표[반영월],대상월키,상세표[야간당직],1,상세표[야간 구분],"휴일",상세표[반영 기관],"서울병원"))</f>
        <v/>
      </c>
      <c r="V331">
        <f>IF($W331="","",IF(ISNUMBER(MATCH(INDEX(합계표[사번키],$W331)&amp;"|"&amp;대상월키,월별근무지표[키],0)),"직접 입력",IF($K331="—","—","기관명단")))</f>
        <v/>
      </c>
      <c r="W331">
        <f>IFERROR(MATCH(326,합계표[판정순번],0),"")</f>
        <v/>
      </c>
    </row>
    <row r="332">
      <c r="A332">
        <f>IF($W332="","",INDEX(합계표[사번],$W332)&amp;"")</f>
        <v/>
      </c>
      <c r="B332">
        <f>IF($W332="","",INDEX(합계표[성명],$W332)&amp;"")</f>
        <v/>
      </c>
      <c r="C332">
        <f>IF($W332="","",INDEX(합계표[부서],$W332)&amp;"")</f>
        <v/>
      </c>
      <c r="D332">
        <f>IF($W332="","",INDEX(합계표[직위(통합)],$W332)&amp;"")</f>
        <v/>
      </c>
      <c r="E332">
        <f>IF($W332="","",SUMIFS(합계표[시스템 합계],합계표[사번키],INDEX(합계표[사번키],$W332)))</f>
        <v/>
      </c>
      <c r="F332">
        <f>IF($W332="","",SUMIFS(상세표[기록 시간외],상세표[사번키],INDEX(합계표[사번키],$W332),상세표[기록월],대상월키))</f>
        <v/>
      </c>
      <c r="G332">
        <f>IF($W332="","",IF(ABS($E332-$F332)&lt;0.01,"일치","불일치(차이 "&amp;TEXT($F332-$E332,"0.00")&amp;")"))</f>
        <v/>
      </c>
      <c r="H332">
        <f>IF($W332="","",SUMIFS(상세표[기록 시간외],상세표[사번키],INDEX(합계표[사번키],$W332),상세표[기록월],대상월키,상세표[반영월],"&lt;&gt;"&amp;대상월키))</f>
        <v/>
      </c>
      <c r="I332">
        <f>IF($W332="","",SUMIFS(상세표[기록 시간외],상세표[사번키],INDEX(합계표[사번키],$W332),상세표[기록월],"&lt;&gt;"&amp;대상월키,상세표[반영월],대상월키))</f>
        <v/>
      </c>
      <c r="J332">
        <f>IF($W332="","",SUMIFS(상세표[기록 시간외],상세표[사번키],INDEX(합계표[사번키],$W332),상세표[반영월],대상월키))</f>
        <v/>
      </c>
      <c r="K332">
        <f>IF($W332="","",IFERROR(INDEX(월별근무지표[적용 급여병원],MATCH(INDEX(합계표[사번키],$W332)&amp;"|"&amp;대상월키,월별근무지표[키],0))&amp;"",IF(COUNTIF(기관표[사번키],INDEX(합계표[사번키],$W332))+COUNTIF(월별근무지표[사번키],INDEX(합계표[사번키],$W332))&gt;0,IFERROR(INDEX(기관표[급여지급병원(기준월)],MATCH(INDEX(합계표[사번키],$W332)&amp;"|"&amp;대상월키,기관표[키],0))&amp;"","—"),"—")))</f>
        <v/>
      </c>
      <c r="L332">
        <f>IF($W332="","",IF(NOT(COUNTIF(기관표[사번키],INDEX(합계표[사번키],$W332))+COUNTIF(월별근무지표[사번키],INDEX(합계표[사번키],$W332))&gt;0),"기관명단에 없음(다른 병원으로 발송)",IF($K332="—","대상월 기관명단 없음(추가 필요)",IF($K332="서울병원","해당","비해당"))))</f>
        <v/>
      </c>
      <c r="M332">
        <f>IF($W332="","",SUMIFS(상세표[06~07시],상세표[사번키],INDEX(합계표[사번키],$W332),상세표[반영월],대상월키,상세표[반영 기관],"서울병원"))</f>
        <v/>
      </c>
      <c r="N332">
        <f>IF($W332="","",SUMIFS(상세표[07~18시],상세표[사번키],INDEX(합계표[사번키],$W332),상세표[반영월],대상월키,상세표[반영 기관],"서울병원"))</f>
        <v/>
      </c>
      <c r="O332">
        <f>IF($W332="","",SUMIFS(상세표[18~22시],상세표[사번키],INDEX(합계표[사번키],$W332),상세표[반영월],대상월키,상세표[반영 기관],"서울병원"))</f>
        <v/>
      </c>
      <c r="P332">
        <f>IF($W332="","",SUMIFS(상세표[22~06시],상세표[사번키],INDEX(합계표[사번키],$W332),상세표[반영월],대상월키,상세표[반영 기관],"서울병원"))</f>
        <v/>
      </c>
      <c r="Q332">
        <f>IF($W332="","",SUM($M332:$P332))</f>
        <v/>
      </c>
      <c r="R332">
        <f>IF($W332="","",COUNTIFS(상세표[사번키],INDEX(합계표[사번키],$W332),상세표[반영월],대상월키,상세표[야간당직],1,상세표[야간 구분],"평일"))</f>
        <v/>
      </c>
      <c r="S332" s="4">
        <f>IF($W332="","",COUNTIFS(상세표[사번키],INDEX(합계표[사번키],$W332),상세표[반영월],대상월키,상세표[야간당직],1,상세표[야간 구분],"휴일"))</f>
        <v/>
      </c>
      <c r="T332">
        <f>IF($W332="","",COUNTIFS(상세표[사번키],INDEX(합계표[사번키],$W332),상세표[반영월],대상월키,상세표[야간당직],1,상세표[야간 구분],"평일",상세표[반영 기관],"서울병원"))</f>
        <v/>
      </c>
      <c r="U332">
        <f>IF($W332="","",COUNTIFS(상세표[사번키],INDEX(합계표[사번키],$W332),상세표[반영월],대상월키,상세표[야간당직],1,상세표[야간 구분],"휴일",상세표[반영 기관],"서울병원"))</f>
        <v/>
      </c>
      <c r="V332">
        <f>IF($W332="","",IF(ISNUMBER(MATCH(INDEX(합계표[사번키],$W332)&amp;"|"&amp;대상월키,월별근무지표[키],0)),"직접 입력",IF($K332="—","—","기관명단")))</f>
        <v/>
      </c>
      <c r="W332">
        <f>IFERROR(MATCH(327,합계표[판정순번],0),"")</f>
        <v/>
      </c>
    </row>
    <row r="333">
      <c r="A333">
        <f>IF($W333="","",INDEX(합계표[사번],$W333)&amp;"")</f>
        <v/>
      </c>
      <c r="B333">
        <f>IF($W333="","",INDEX(합계표[성명],$W333)&amp;"")</f>
        <v/>
      </c>
      <c r="C333">
        <f>IF($W333="","",INDEX(합계표[부서],$W333)&amp;"")</f>
        <v/>
      </c>
      <c r="D333">
        <f>IF($W333="","",INDEX(합계표[직위(통합)],$W333)&amp;"")</f>
        <v/>
      </c>
      <c r="E333">
        <f>IF($W333="","",SUMIFS(합계표[시스템 합계],합계표[사번키],INDEX(합계표[사번키],$W333)))</f>
        <v/>
      </c>
      <c r="F333">
        <f>IF($W333="","",SUMIFS(상세표[기록 시간외],상세표[사번키],INDEX(합계표[사번키],$W333),상세표[기록월],대상월키))</f>
        <v/>
      </c>
      <c r="G333">
        <f>IF($W333="","",IF(ABS($E333-$F333)&lt;0.01,"일치","불일치(차이 "&amp;TEXT($F333-$E333,"0.00")&amp;")"))</f>
        <v/>
      </c>
      <c r="H333">
        <f>IF($W333="","",SUMIFS(상세표[기록 시간외],상세표[사번키],INDEX(합계표[사번키],$W333),상세표[기록월],대상월키,상세표[반영월],"&lt;&gt;"&amp;대상월키))</f>
        <v/>
      </c>
      <c r="I333">
        <f>IF($W333="","",SUMIFS(상세표[기록 시간외],상세표[사번키],INDEX(합계표[사번키],$W333),상세표[기록월],"&lt;&gt;"&amp;대상월키,상세표[반영월],대상월키))</f>
        <v/>
      </c>
      <c r="J333">
        <f>IF($W333="","",SUMIFS(상세표[기록 시간외],상세표[사번키],INDEX(합계표[사번키],$W333),상세표[반영월],대상월키))</f>
        <v/>
      </c>
      <c r="K333">
        <f>IF($W333="","",IFERROR(INDEX(월별근무지표[적용 급여병원],MATCH(INDEX(합계표[사번키],$W333)&amp;"|"&amp;대상월키,월별근무지표[키],0))&amp;"",IF(COUNTIF(기관표[사번키],INDEX(합계표[사번키],$W333))+COUNTIF(월별근무지표[사번키],INDEX(합계표[사번키],$W333))&gt;0,IFERROR(INDEX(기관표[급여지급병원(기준월)],MATCH(INDEX(합계표[사번키],$W333)&amp;"|"&amp;대상월키,기관표[키],0))&amp;"","—"),"—")))</f>
        <v/>
      </c>
      <c r="L333">
        <f>IF($W333="","",IF(NOT(COUNTIF(기관표[사번키],INDEX(합계표[사번키],$W333))+COUNTIF(월별근무지표[사번키],INDEX(합계표[사번키],$W333))&gt;0),"기관명단에 없음(다른 병원으로 발송)",IF($K333="—","대상월 기관명단 없음(추가 필요)",IF($K333="서울병원","해당","비해당"))))</f>
        <v/>
      </c>
      <c r="M333">
        <f>IF($W333="","",SUMIFS(상세표[06~07시],상세표[사번키],INDEX(합계표[사번키],$W333),상세표[반영월],대상월키,상세표[반영 기관],"서울병원"))</f>
        <v/>
      </c>
      <c r="N333">
        <f>IF($W333="","",SUMIFS(상세표[07~18시],상세표[사번키],INDEX(합계표[사번키],$W333),상세표[반영월],대상월키,상세표[반영 기관],"서울병원"))</f>
        <v/>
      </c>
      <c r="O333">
        <f>IF($W333="","",SUMIFS(상세표[18~22시],상세표[사번키],INDEX(합계표[사번키],$W333),상세표[반영월],대상월키,상세표[반영 기관],"서울병원"))</f>
        <v/>
      </c>
      <c r="P333">
        <f>IF($W333="","",SUMIFS(상세표[22~06시],상세표[사번키],INDEX(합계표[사번키],$W333),상세표[반영월],대상월키,상세표[반영 기관],"서울병원"))</f>
        <v/>
      </c>
      <c r="Q333">
        <f>IF($W333="","",SUM($M333:$P333))</f>
        <v/>
      </c>
      <c r="R333">
        <f>IF($W333="","",COUNTIFS(상세표[사번키],INDEX(합계표[사번키],$W333),상세표[반영월],대상월키,상세표[야간당직],1,상세표[야간 구분],"평일"))</f>
        <v/>
      </c>
      <c r="S333" s="4">
        <f>IF($W333="","",COUNTIFS(상세표[사번키],INDEX(합계표[사번키],$W333),상세표[반영월],대상월키,상세표[야간당직],1,상세표[야간 구분],"휴일"))</f>
        <v/>
      </c>
      <c r="T333">
        <f>IF($W333="","",COUNTIFS(상세표[사번키],INDEX(합계표[사번키],$W333),상세표[반영월],대상월키,상세표[야간당직],1,상세표[야간 구분],"평일",상세표[반영 기관],"서울병원"))</f>
        <v/>
      </c>
      <c r="U333">
        <f>IF($W333="","",COUNTIFS(상세표[사번키],INDEX(합계표[사번키],$W333),상세표[반영월],대상월키,상세표[야간당직],1,상세표[야간 구분],"휴일",상세표[반영 기관],"서울병원"))</f>
        <v/>
      </c>
      <c r="V333">
        <f>IF($W333="","",IF(ISNUMBER(MATCH(INDEX(합계표[사번키],$W333)&amp;"|"&amp;대상월키,월별근무지표[키],0)),"직접 입력",IF($K333="—","—","기관명단")))</f>
        <v/>
      </c>
      <c r="W333">
        <f>IFERROR(MATCH(328,합계표[판정순번],0),"")</f>
        <v/>
      </c>
    </row>
    <row r="334">
      <c r="A334">
        <f>IF($W334="","",INDEX(합계표[사번],$W334)&amp;"")</f>
        <v/>
      </c>
      <c r="B334">
        <f>IF($W334="","",INDEX(합계표[성명],$W334)&amp;"")</f>
        <v/>
      </c>
      <c r="C334">
        <f>IF($W334="","",INDEX(합계표[부서],$W334)&amp;"")</f>
        <v/>
      </c>
      <c r="D334">
        <f>IF($W334="","",INDEX(합계표[직위(통합)],$W334)&amp;"")</f>
        <v/>
      </c>
      <c r="E334">
        <f>IF($W334="","",SUMIFS(합계표[시스템 합계],합계표[사번키],INDEX(합계표[사번키],$W334)))</f>
        <v/>
      </c>
      <c r="F334">
        <f>IF($W334="","",SUMIFS(상세표[기록 시간외],상세표[사번키],INDEX(합계표[사번키],$W334),상세표[기록월],대상월키))</f>
        <v/>
      </c>
      <c r="G334">
        <f>IF($W334="","",IF(ABS($E334-$F334)&lt;0.01,"일치","불일치(차이 "&amp;TEXT($F334-$E334,"0.00")&amp;")"))</f>
        <v/>
      </c>
      <c r="H334">
        <f>IF($W334="","",SUMIFS(상세표[기록 시간외],상세표[사번키],INDEX(합계표[사번키],$W334),상세표[기록월],대상월키,상세표[반영월],"&lt;&gt;"&amp;대상월키))</f>
        <v/>
      </c>
      <c r="I334">
        <f>IF($W334="","",SUMIFS(상세표[기록 시간외],상세표[사번키],INDEX(합계표[사번키],$W334),상세표[기록월],"&lt;&gt;"&amp;대상월키,상세표[반영월],대상월키))</f>
        <v/>
      </c>
      <c r="J334">
        <f>IF($W334="","",SUMIFS(상세표[기록 시간외],상세표[사번키],INDEX(합계표[사번키],$W334),상세표[반영월],대상월키))</f>
        <v/>
      </c>
      <c r="K334">
        <f>IF($W334="","",IFERROR(INDEX(월별근무지표[적용 급여병원],MATCH(INDEX(합계표[사번키],$W334)&amp;"|"&amp;대상월키,월별근무지표[키],0))&amp;"",IF(COUNTIF(기관표[사번키],INDEX(합계표[사번키],$W334))+COUNTIF(월별근무지표[사번키],INDEX(합계표[사번키],$W334))&gt;0,IFERROR(INDEX(기관표[급여지급병원(기준월)],MATCH(INDEX(합계표[사번키],$W334)&amp;"|"&amp;대상월키,기관표[키],0))&amp;"","—"),"—")))</f>
        <v/>
      </c>
      <c r="L334">
        <f>IF($W334="","",IF(NOT(COUNTIF(기관표[사번키],INDEX(합계표[사번키],$W334))+COUNTIF(월별근무지표[사번키],INDEX(합계표[사번키],$W334))&gt;0),"기관명단에 없음(다른 병원으로 발송)",IF($K334="—","대상월 기관명단 없음(추가 필요)",IF($K334="서울병원","해당","비해당"))))</f>
        <v/>
      </c>
      <c r="M334">
        <f>IF($W334="","",SUMIFS(상세표[06~07시],상세표[사번키],INDEX(합계표[사번키],$W334),상세표[반영월],대상월키,상세표[반영 기관],"서울병원"))</f>
        <v/>
      </c>
      <c r="N334">
        <f>IF($W334="","",SUMIFS(상세표[07~18시],상세표[사번키],INDEX(합계표[사번키],$W334),상세표[반영월],대상월키,상세표[반영 기관],"서울병원"))</f>
        <v/>
      </c>
      <c r="O334">
        <f>IF($W334="","",SUMIFS(상세표[18~22시],상세표[사번키],INDEX(합계표[사번키],$W334),상세표[반영월],대상월키,상세표[반영 기관],"서울병원"))</f>
        <v/>
      </c>
      <c r="P334">
        <f>IF($W334="","",SUMIFS(상세표[22~06시],상세표[사번키],INDEX(합계표[사번키],$W334),상세표[반영월],대상월키,상세표[반영 기관],"서울병원"))</f>
        <v/>
      </c>
      <c r="Q334">
        <f>IF($W334="","",SUM($M334:$P334))</f>
        <v/>
      </c>
      <c r="R334">
        <f>IF($W334="","",COUNTIFS(상세표[사번키],INDEX(합계표[사번키],$W334),상세표[반영월],대상월키,상세표[야간당직],1,상세표[야간 구분],"평일"))</f>
        <v/>
      </c>
      <c r="S334" s="4">
        <f>IF($W334="","",COUNTIFS(상세표[사번키],INDEX(합계표[사번키],$W334),상세표[반영월],대상월키,상세표[야간당직],1,상세표[야간 구분],"휴일"))</f>
        <v/>
      </c>
      <c r="T334">
        <f>IF($W334="","",COUNTIFS(상세표[사번키],INDEX(합계표[사번키],$W334),상세표[반영월],대상월키,상세표[야간당직],1,상세표[야간 구분],"평일",상세표[반영 기관],"서울병원"))</f>
        <v/>
      </c>
      <c r="U334">
        <f>IF($W334="","",COUNTIFS(상세표[사번키],INDEX(합계표[사번키],$W334),상세표[반영월],대상월키,상세표[야간당직],1,상세표[야간 구분],"휴일",상세표[반영 기관],"서울병원"))</f>
        <v/>
      </c>
      <c r="V334">
        <f>IF($W334="","",IF(ISNUMBER(MATCH(INDEX(합계표[사번키],$W334)&amp;"|"&amp;대상월키,월별근무지표[키],0)),"직접 입력",IF($K334="—","—","기관명단")))</f>
        <v/>
      </c>
      <c r="W334">
        <f>IFERROR(MATCH(329,합계표[판정순번],0),"")</f>
        <v/>
      </c>
    </row>
    <row r="335">
      <c r="A335">
        <f>IF($W335="","",INDEX(합계표[사번],$W335)&amp;"")</f>
        <v/>
      </c>
      <c r="B335">
        <f>IF($W335="","",INDEX(합계표[성명],$W335)&amp;"")</f>
        <v/>
      </c>
      <c r="C335">
        <f>IF($W335="","",INDEX(합계표[부서],$W335)&amp;"")</f>
        <v/>
      </c>
      <c r="D335">
        <f>IF($W335="","",INDEX(합계표[직위(통합)],$W335)&amp;"")</f>
        <v/>
      </c>
      <c r="E335">
        <f>IF($W335="","",SUMIFS(합계표[시스템 합계],합계표[사번키],INDEX(합계표[사번키],$W335)))</f>
        <v/>
      </c>
      <c r="F335">
        <f>IF($W335="","",SUMIFS(상세표[기록 시간외],상세표[사번키],INDEX(합계표[사번키],$W335),상세표[기록월],대상월키))</f>
        <v/>
      </c>
      <c r="G335">
        <f>IF($W335="","",IF(ABS($E335-$F335)&lt;0.01,"일치","불일치(차이 "&amp;TEXT($F335-$E335,"0.00")&amp;")"))</f>
        <v/>
      </c>
      <c r="H335">
        <f>IF($W335="","",SUMIFS(상세표[기록 시간외],상세표[사번키],INDEX(합계표[사번키],$W335),상세표[기록월],대상월키,상세표[반영월],"&lt;&gt;"&amp;대상월키))</f>
        <v/>
      </c>
      <c r="I335">
        <f>IF($W335="","",SUMIFS(상세표[기록 시간외],상세표[사번키],INDEX(합계표[사번키],$W335),상세표[기록월],"&lt;&gt;"&amp;대상월키,상세표[반영월],대상월키))</f>
        <v/>
      </c>
      <c r="J335">
        <f>IF($W335="","",SUMIFS(상세표[기록 시간외],상세표[사번키],INDEX(합계표[사번키],$W335),상세표[반영월],대상월키))</f>
        <v/>
      </c>
      <c r="K335">
        <f>IF($W335="","",IFERROR(INDEX(월별근무지표[적용 급여병원],MATCH(INDEX(합계표[사번키],$W335)&amp;"|"&amp;대상월키,월별근무지표[키],0))&amp;"",IF(COUNTIF(기관표[사번키],INDEX(합계표[사번키],$W335))+COUNTIF(월별근무지표[사번키],INDEX(합계표[사번키],$W335))&gt;0,IFERROR(INDEX(기관표[급여지급병원(기준월)],MATCH(INDEX(합계표[사번키],$W335)&amp;"|"&amp;대상월키,기관표[키],0))&amp;"","—"),"—")))</f>
        <v/>
      </c>
      <c r="L335">
        <f>IF($W335="","",IF(NOT(COUNTIF(기관표[사번키],INDEX(합계표[사번키],$W335))+COUNTIF(월별근무지표[사번키],INDEX(합계표[사번키],$W335))&gt;0),"기관명단에 없음(다른 병원으로 발송)",IF($K335="—","대상월 기관명단 없음(추가 필요)",IF($K335="서울병원","해당","비해당"))))</f>
        <v/>
      </c>
      <c r="M335">
        <f>IF($W335="","",SUMIFS(상세표[06~07시],상세표[사번키],INDEX(합계표[사번키],$W335),상세표[반영월],대상월키,상세표[반영 기관],"서울병원"))</f>
        <v/>
      </c>
      <c r="N335">
        <f>IF($W335="","",SUMIFS(상세표[07~18시],상세표[사번키],INDEX(합계표[사번키],$W335),상세표[반영월],대상월키,상세표[반영 기관],"서울병원"))</f>
        <v/>
      </c>
      <c r="O335">
        <f>IF($W335="","",SUMIFS(상세표[18~22시],상세표[사번키],INDEX(합계표[사번키],$W335),상세표[반영월],대상월키,상세표[반영 기관],"서울병원"))</f>
        <v/>
      </c>
      <c r="P335">
        <f>IF($W335="","",SUMIFS(상세표[22~06시],상세표[사번키],INDEX(합계표[사번키],$W335),상세표[반영월],대상월키,상세표[반영 기관],"서울병원"))</f>
        <v/>
      </c>
      <c r="Q335">
        <f>IF($W335="","",SUM($M335:$P335))</f>
        <v/>
      </c>
      <c r="R335">
        <f>IF($W335="","",COUNTIFS(상세표[사번키],INDEX(합계표[사번키],$W335),상세표[반영월],대상월키,상세표[야간당직],1,상세표[야간 구분],"평일"))</f>
        <v/>
      </c>
      <c r="S335" s="4">
        <f>IF($W335="","",COUNTIFS(상세표[사번키],INDEX(합계표[사번키],$W335),상세표[반영월],대상월키,상세표[야간당직],1,상세표[야간 구분],"휴일"))</f>
        <v/>
      </c>
      <c r="T335">
        <f>IF($W335="","",COUNTIFS(상세표[사번키],INDEX(합계표[사번키],$W335),상세표[반영월],대상월키,상세표[야간당직],1,상세표[야간 구분],"평일",상세표[반영 기관],"서울병원"))</f>
        <v/>
      </c>
      <c r="U335">
        <f>IF($W335="","",COUNTIFS(상세표[사번키],INDEX(합계표[사번키],$W335),상세표[반영월],대상월키,상세표[야간당직],1,상세표[야간 구분],"휴일",상세표[반영 기관],"서울병원"))</f>
        <v/>
      </c>
      <c r="V335">
        <f>IF($W335="","",IF(ISNUMBER(MATCH(INDEX(합계표[사번키],$W335)&amp;"|"&amp;대상월키,월별근무지표[키],0)),"직접 입력",IF($K335="—","—","기관명단")))</f>
        <v/>
      </c>
      <c r="W335">
        <f>IFERROR(MATCH(330,합계표[판정순번],0),"")</f>
        <v/>
      </c>
    </row>
    <row r="336">
      <c r="A336">
        <f>IF($W336="","",INDEX(합계표[사번],$W336)&amp;"")</f>
        <v/>
      </c>
      <c r="B336">
        <f>IF($W336="","",INDEX(합계표[성명],$W336)&amp;"")</f>
        <v/>
      </c>
      <c r="C336">
        <f>IF($W336="","",INDEX(합계표[부서],$W336)&amp;"")</f>
        <v/>
      </c>
      <c r="D336">
        <f>IF($W336="","",INDEX(합계표[직위(통합)],$W336)&amp;"")</f>
        <v/>
      </c>
      <c r="E336">
        <f>IF($W336="","",SUMIFS(합계표[시스템 합계],합계표[사번키],INDEX(합계표[사번키],$W336)))</f>
        <v/>
      </c>
      <c r="F336">
        <f>IF($W336="","",SUMIFS(상세표[기록 시간외],상세표[사번키],INDEX(합계표[사번키],$W336),상세표[기록월],대상월키))</f>
        <v/>
      </c>
      <c r="G336">
        <f>IF($W336="","",IF(ABS($E336-$F336)&lt;0.01,"일치","불일치(차이 "&amp;TEXT($F336-$E336,"0.00")&amp;")"))</f>
        <v/>
      </c>
      <c r="H336">
        <f>IF($W336="","",SUMIFS(상세표[기록 시간외],상세표[사번키],INDEX(합계표[사번키],$W336),상세표[기록월],대상월키,상세표[반영월],"&lt;&gt;"&amp;대상월키))</f>
        <v/>
      </c>
      <c r="I336">
        <f>IF($W336="","",SUMIFS(상세표[기록 시간외],상세표[사번키],INDEX(합계표[사번키],$W336),상세표[기록월],"&lt;&gt;"&amp;대상월키,상세표[반영월],대상월키))</f>
        <v/>
      </c>
      <c r="J336">
        <f>IF($W336="","",SUMIFS(상세표[기록 시간외],상세표[사번키],INDEX(합계표[사번키],$W336),상세표[반영월],대상월키))</f>
        <v/>
      </c>
      <c r="K336">
        <f>IF($W336="","",IFERROR(INDEX(월별근무지표[적용 급여병원],MATCH(INDEX(합계표[사번키],$W336)&amp;"|"&amp;대상월키,월별근무지표[키],0))&amp;"",IF(COUNTIF(기관표[사번키],INDEX(합계표[사번키],$W336))+COUNTIF(월별근무지표[사번키],INDEX(합계표[사번키],$W336))&gt;0,IFERROR(INDEX(기관표[급여지급병원(기준월)],MATCH(INDEX(합계표[사번키],$W336)&amp;"|"&amp;대상월키,기관표[키],0))&amp;"","—"),"—")))</f>
        <v/>
      </c>
      <c r="L336">
        <f>IF($W336="","",IF(NOT(COUNTIF(기관표[사번키],INDEX(합계표[사번키],$W336))+COUNTIF(월별근무지표[사번키],INDEX(합계표[사번키],$W336))&gt;0),"기관명단에 없음(다른 병원으로 발송)",IF($K336="—","대상월 기관명단 없음(추가 필요)",IF($K336="서울병원","해당","비해당"))))</f>
        <v/>
      </c>
      <c r="M336">
        <f>IF($W336="","",SUMIFS(상세표[06~07시],상세표[사번키],INDEX(합계표[사번키],$W336),상세표[반영월],대상월키,상세표[반영 기관],"서울병원"))</f>
        <v/>
      </c>
      <c r="N336">
        <f>IF($W336="","",SUMIFS(상세표[07~18시],상세표[사번키],INDEX(합계표[사번키],$W336),상세표[반영월],대상월키,상세표[반영 기관],"서울병원"))</f>
        <v/>
      </c>
      <c r="O336">
        <f>IF($W336="","",SUMIFS(상세표[18~22시],상세표[사번키],INDEX(합계표[사번키],$W336),상세표[반영월],대상월키,상세표[반영 기관],"서울병원"))</f>
        <v/>
      </c>
      <c r="P336">
        <f>IF($W336="","",SUMIFS(상세표[22~06시],상세표[사번키],INDEX(합계표[사번키],$W336),상세표[반영월],대상월키,상세표[반영 기관],"서울병원"))</f>
        <v/>
      </c>
      <c r="Q336">
        <f>IF($W336="","",SUM($M336:$P336))</f>
        <v/>
      </c>
      <c r="R336">
        <f>IF($W336="","",COUNTIFS(상세표[사번키],INDEX(합계표[사번키],$W336),상세표[반영월],대상월키,상세표[야간당직],1,상세표[야간 구분],"평일"))</f>
        <v/>
      </c>
      <c r="S336" s="4">
        <f>IF($W336="","",COUNTIFS(상세표[사번키],INDEX(합계표[사번키],$W336),상세표[반영월],대상월키,상세표[야간당직],1,상세표[야간 구분],"휴일"))</f>
        <v/>
      </c>
      <c r="T336">
        <f>IF($W336="","",COUNTIFS(상세표[사번키],INDEX(합계표[사번키],$W336),상세표[반영월],대상월키,상세표[야간당직],1,상세표[야간 구분],"평일",상세표[반영 기관],"서울병원"))</f>
        <v/>
      </c>
      <c r="U336">
        <f>IF($W336="","",COUNTIFS(상세표[사번키],INDEX(합계표[사번키],$W336),상세표[반영월],대상월키,상세표[야간당직],1,상세표[야간 구분],"휴일",상세표[반영 기관],"서울병원"))</f>
        <v/>
      </c>
      <c r="V336">
        <f>IF($W336="","",IF(ISNUMBER(MATCH(INDEX(합계표[사번키],$W336)&amp;"|"&amp;대상월키,월별근무지표[키],0)),"직접 입력",IF($K336="—","—","기관명단")))</f>
        <v/>
      </c>
      <c r="W336">
        <f>IFERROR(MATCH(331,합계표[판정순번],0),"")</f>
        <v/>
      </c>
    </row>
    <row r="337">
      <c r="A337">
        <f>IF($W337="","",INDEX(합계표[사번],$W337)&amp;"")</f>
        <v/>
      </c>
      <c r="B337">
        <f>IF($W337="","",INDEX(합계표[성명],$W337)&amp;"")</f>
        <v/>
      </c>
      <c r="C337">
        <f>IF($W337="","",INDEX(합계표[부서],$W337)&amp;"")</f>
        <v/>
      </c>
      <c r="D337">
        <f>IF($W337="","",INDEX(합계표[직위(통합)],$W337)&amp;"")</f>
        <v/>
      </c>
      <c r="E337">
        <f>IF($W337="","",SUMIFS(합계표[시스템 합계],합계표[사번키],INDEX(합계표[사번키],$W337)))</f>
        <v/>
      </c>
      <c r="F337">
        <f>IF($W337="","",SUMIFS(상세표[기록 시간외],상세표[사번키],INDEX(합계표[사번키],$W337),상세표[기록월],대상월키))</f>
        <v/>
      </c>
      <c r="G337">
        <f>IF($W337="","",IF(ABS($E337-$F337)&lt;0.01,"일치","불일치(차이 "&amp;TEXT($F337-$E337,"0.00")&amp;")"))</f>
        <v/>
      </c>
      <c r="H337">
        <f>IF($W337="","",SUMIFS(상세표[기록 시간외],상세표[사번키],INDEX(합계표[사번키],$W337),상세표[기록월],대상월키,상세표[반영월],"&lt;&gt;"&amp;대상월키))</f>
        <v/>
      </c>
      <c r="I337">
        <f>IF($W337="","",SUMIFS(상세표[기록 시간외],상세표[사번키],INDEX(합계표[사번키],$W337),상세표[기록월],"&lt;&gt;"&amp;대상월키,상세표[반영월],대상월키))</f>
        <v/>
      </c>
      <c r="J337">
        <f>IF($W337="","",SUMIFS(상세표[기록 시간외],상세표[사번키],INDEX(합계표[사번키],$W337),상세표[반영월],대상월키))</f>
        <v/>
      </c>
      <c r="K337">
        <f>IF($W337="","",IFERROR(INDEX(월별근무지표[적용 급여병원],MATCH(INDEX(합계표[사번키],$W337)&amp;"|"&amp;대상월키,월별근무지표[키],0))&amp;"",IF(COUNTIF(기관표[사번키],INDEX(합계표[사번키],$W337))+COUNTIF(월별근무지표[사번키],INDEX(합계표[사번키],$W337))&gt;0,IFERROR(INDEX(기관표[급여지급병원(기준월)],MATCH(INDEX(합계표[사번키],$W337)&amp;"|"&amp;대상월키,기관표[키],0))&amp;"","—"),"—")))</f>
        <v/>
      </c>
      <c r="L337">
        <f>IF($W337="","",IF(NOT(COUNTIF(기관표[사번키],INDEX(합계표[사번키],$W337))+COUNTIF(월별근무지표[사번키],INDEX(합계표[사번키],$W337))&gt;0),"기관명단에 없음(다른 병원으로 발송)",IF($K337="—","대상월 기관명단 없음(추가 필요)",IF($K337="서울병원","해당","비해당"))))</f>
        <v/>
      </c>
      <c r="M337">
        <f>IF($W337="","",SUMIFS(상세표[06~07시],상세표[사번키],INDEX(합계표[사번키],$W337),상세표[반영월],대상월키,상세표[반영 기관],"서울병원"))</f>
        <v/>
      </c>
      <c r="N337">
        <f>IF($W337="","",SUMIFS(상세표[07~18시],상세표[사번키],INDEX(합계표[사번키],$W337),상세표[반영월],대상월키,상세표[반영 기관],"서울병원"))</f>
        <v/>
      </c>
      <c r="O337">
        <f>IF($W337="","",SUMIFS(상세표[18~22시],상세표[사번키],INDEX(합계표[사번키],$W337),상세표[반영월],대상월키,상세표[반영 기관],"서울병원"))</f>
        <v/>
      </c>
      <c r="P337">
        <f>IF($W337="","",SUMIFS(상세표[22~06시],상세표[사번키],INDEX(합계표[사번키],$W337),상세표[반영월],대상월키,상세표[반영 기관],"서울병원"))</f>
        <v/>
      </c>
      <c r="Q337">
        <f>IF($W337="","",SUM($M337:$P337))</f>
        <v/>
      </c>
      <c r="R337">
        <f>IF($W337="","",COUNTIFS(상세표[사번키],INDEX(합계표[사번키],$W337),상세표[반영월],대상월키,상세표[야간당직],1,상세표[야간 구분],"평일"))</f>
        <v/>
      </c>
      <c r="S337" s="4">
        <f>IF($W337="","",COUNTIFS(상세표[사번키],INDEX(합계표[사번키],$W337),상세표[반영월],대상월키,상세표[야간당직],1,상세표[야간 구분],"휴일"))</f>
        <v/>
      </c>
      <c r="T337">
        <f>IF($W337="","",COUNTIFS(상세표[사번키],INDEX(합계표[사번키],$W337),상세표[반영월],대상월키,상세표[야간당직],1,상세표[야간 구분],"평일",상세표[반영 기관],"서울병원"))</f>
        <v/>
      </c>
      <c r="U337">
        <f>IF($W337="","",COUNTIFS(상세표[사번키],INDEX(합계표[사번키],$W337),상세표[반영월],대상월키,상세표[야간당직],1,상세표[야간 구분],"휴일",상세표[반영 기관],"서울병원"))</f>
        <v/>
      </c>
      <c r="V337">
        <f>IF($W337="","",IF(ISNUMBER(MATCH(INDEX(합계표[사번키],$W337)&amp;"|"&amp;대상월키,월별근무지표[키],0)),"직접 입력",IF($K337="—","—","기관명단")))</f>
        <v/>
      </c>
      <c r="W337">
        <f>IFERROR(MATCH(332,합계표[판정순번],0),"")</f>
        <v/>
      </c>
    </row>
    <row r="338">
      <c r="A338">
        <f>IF($W338="","",INDEX(합계표[사번],$W338)&amp;"")</f>
        <v/>
      </c>
      <c r="B338">
        <f>IF($W338="","",INDEX(합계표[성명],$W338)&amp;"")</f>
        <v/>
      </c>
      <c r="C338">
        <f>IF($W338="","",INDEX(합계표[부서],$W338)&amp;"")</f>
        <v/>
      </c>
      <c r="D338">
        <f>IF($W338="","",INDEX(합계표[직위(통합)],$W338)&amp;"")</f>
        <v/>
      </c>
      <c r="E338">
        <f>IF($W338="","",SUMIFS(합계표[시스템 합계],합계표[사번키],INDEX(합계표[사번키],$W338)))</f>
        <v/>
      </c>
      <c r="F338">
        <f>IF($W338="","",SUMIFS(상세표[기록 시간외],상세표[사번키],INDEX(합계표[사번키],$W338),상세표[기록월],대상월키))</f>
        <v/>
      </c>
      <c r="G338">
        <f>IF($W338="","",IF(ABS($E338-$F338)&lt;0.01,"일치","불일치(차이 "&amp;TEXT($F338-$E338,"0.00")&amp;")"))</f>
        <v/>
      </c>
      <c r="H338">
        <f>IF($W338="","",SUMIFS(상세표[기록 시간외],상세표[사번키],INDEX(합계표[사번키],$W338),상세표[기록월],대상월키,상세표[반영월],"&lt;&gt;"&amp;대상월키))</f>
        <v/>
      </c>
      <c r="I338">
        <f>IF($W338="","",SUMIFS(상세표[기록 시간외],상세표[사번키],INDEX(합계표[사번키],$W338),상세표[기록월],"&lt;&gt;"&amp;대상월키,상세표[반영월],대상월키))</f>
        <v/>
      </c>
      <c r="J338">
        <f>IF($W338="","",SUMIFS(상세표[기록 시간외],상세표[사번키],INDEX(합계표[사번키],$W338),상세표[반영월],대상월키))</f>
        <v/>
      </c>
      <c r="K338">
        <f>IF($W338="","",IFERROR(INDEX(월별근무지표[적용 급여병원],MATCH(INDEX(합계표[사번키],$W338)&amp;"|"&amp;대상월키,월별근무지표[키],0))&amp;"",IF(COUNTIF(기관표[사번키],INDEX(합계표[사번키],$W338))+COUNTIF(월별근무지표[사번키],INDEX(합계표[사번키],$W338))&gt;0,IFERROR(INDEX(기관표[급여지급병원(기준월)],MATCH(INDEX(합계표[사번키],$W338)&amp;"|"&amp;대상월키,기관표[키],0))&amp;"","—"),"—")))</f>
        <v/>
      </c>
      <c r="L338">
        <f>IF($W338="","",IF(NOT(COUNTIF(기관표[사번키],INDEX(합계표[사번키],$W338))+COUNTIF(월별근무지표[사번키],INDEX(합계표[사번키],$W338))&gt;0),"기관명단에 없음(다른 병원으로 발송)",IF($K338="—","대상월 기관명단 없음(추가 필요)",IF($K338="서울병원","해당","비해당"))))</f>
        <v/>
      </c>
      <c r="M338">
        <f>IF($W338="","",SUMIFS(상세표[06~07시],상세표[사번키],INDEX(합계표[사번키],$W338),상세표[반영월],대상월키,상세표[반영 기관],"서울병원"))</f>
        <v/>
      </c>
      <c r="N338">
        <f>IF($W338="","",SUMIFS(상세표[07~18시],상세표[사번키],INDEX(합계표[사번키],$W338),상세표[반영월],대상월키,상세표[반영 기관],"서울병원"))</f>
        <v/>
      </c>
      <c r="O338">
        <f>IF($W338="","",SUMIFS(상세표[18~22시],상세표[사번키],INDEX(합계표[사번키],$W338),상세표[반영월],대상월키,상세표[반영 기관],"서울병원"))</f>
        <v/>
      </c>
      <c r="P338">
        <f>IF($W338="","",SUMIFS(상세표[22~06시],상세표[사번키],INDEX(합계표[사번키],$W338),상세표[반영월],대상월키,상세표[반영 기관],"서울병원"))</f>
        <v/>
      </c>
      <c r="Q338">
        <f>IF($W338="","",SUM($M338:$P338))</f>
        <v/>
      </c>
      <c r="R338">
        <f>IF($W338="","",COUNTIFS(상세표[사번키],INDEX(합계표[사번키],$W338),상세표[반영월],대상월키,상세표[야간당직],1,상세표[야간 구분],"평일"))</f>
        <v/>
      </c>
      <c r="S338" s="4">
        <f>IF($W338="","",COUNTIFS(상세표[사번키],INDEX(합계표[사번키],$W338),상세표[반영월],대상월키,상세표[야간당직],1,상세표[야간 구분],"휴일"))</f>
        <v/>
      </c>
      <c r="T338">
        <f>IF($W338="","",COUNTIFS(상세표[사번키],INDEX(합계표[사번키],$W338),상세표[반영월],대상월키,상세표[야간당직],1,상세표[야간 구분],"평일",상세표[반영 기관],"서울병원"))</f>
        <v/>
      </c>
      <c r="U338">
        <f>IF($W338="","",COUNTIFS(상세표[사번키],INDEX(합계표[사번키],$W338),상세표[반영월],대상월키,상세표[야간당직],1,상세표[야간 구분],"휴일",상세표[반영 기관],"서울병원"))</f>
        <v/>
      </c>
      <c r="V338">
        <f>IF($W338="","",IF(ISNUMBER(MATCH(INDEX(합계표[사번키],$W338)&amp;"|"&amp;대상월키,월별근무지표[키],0)),"직접 입력",IF($K338="—","—","기관명단")))</f>
        <v/>
      </c>
      <c r="W338">
        <f>IFERROR(MATCH(333,합계표[판정순번],0),"")</f>
        <v/>
      </c>
    </row>
    <row r="339">
      <c r="A339">
        <f>IF($W339="","",INDEX(합계표[사번],$W339)&amp;"")</f>
        <v/>
      </c>
      <c r="B339">
        <f>IF($W339="","",INDEX(합계표[성명],$W339)&amp;"")</f>
        <v/>
      </c>
      <c r="C339">
        <f>IF($W339="","",INDEX(합계표[부서],$W339)&amp;"")</f>
        <v/>
      </c>
      <c r="D339">
        <f>IF($W339="","",INDEX(합계표[직위(통합)],$W339)&amp;"")</f>
        <v/>
      </c>
      <c r="E339">
        <f>IF($W339="","",SUMIFS(합계표[시스템 합계],합계표[사번키],INDEX(합계표[사번키],$W339)))</f>
        <v/>
      </c>
      <c r="F339">
        <f>IF($W339="","",SUMIFS(상세표[기록 시간외],상세표[사번키],INDEX(합계표[사번키],$W339),상세표[기록월],대상월키))</f>
        <v/>
      </c>
      <c r="G339">
        <f>IF($W339="","",IF(ABS($E339-$F339)&lt;0.01,"일치","불일치(차이 "&amp;TEXT($F339-$E339,"0.00")&amp;")"))</f>
        <v/>
      </c>
      <c r="H339">
        <f>IF($W339="","",SUMIFS(상세표[기록 시간외],상세표[사번키],INDEX(합계표[사번키],$W339),상세표[기록월],대상월키,상세표[반영월],"&lt;&gt;"&amp;대상월키))</f>
        <v/>
      </c>
      <c r="I339">
        <f>IF($W339="","",SUMIFS(상세표[기록 시간외],상세표[사번키],INDEX(합계표[사번키],$W339),상세표[기록월],"&lt;&gt;"&amp;대상월키,상세표[반영월],대상월키))</f>
        <v/>
      </c>
      <c r="J339">
        <f>IF($W339="","",SUMIFS(상세표[기록 시간외],상세표[사번키],INDEX(합계표[사번키],$W339),상세표[반영월],대상월키))</f>
        <v/>
      </c>
      <c r="K339">
        <f>IF($W339="","",IFERROR(INDEX(월별근무지표[적용 급여병원],MATCH(INDEX(합계표[사번키],$W339)&amp;"|"&amp;대상월키,월별근무지표[키],0))&amp;"",IF(COUNTIF(기관표[사번키],INDEX(합계표[사번키],$W339))+COUNTIF(월별근무지표[사번키],INDEX(합계표[사번키],$W339))&gt;0,IFERROR(INDEX(기관표[급여지급병원(기준월)],MATCH(INDEX(합계표[사번키],$W339)&amp;"|"&amp;대상월키,기관표[키],0))&amp;"","—"),"—")))</f>
        <v/>
      </c>
      <c r="L339">
        <f>IF($W339="","",IF(NOT(COUNTIF(기관표[사번키],INDEX(합계표[사번키],$W339))+COUNTIF(월별근무지표[사번키],INDEX(합계표[사번키],$W339))&gt;0),"기관명단에 없음(다른 병원으로 발송)",IF($K339="—","대상월 기관명단 없음(추가 필요)",IF($K339="서울병원","해당","비해당"))))</f>
        <v/>
      </c>
      <c r="M339">
        <f>IF($W339="","",SUMIFS(상세표[06~07시],상세표[사번키],INDEX(합계표[사번키],$W339),상세표[반영월],대상월키,상세표[반영 기관],"서울병원"))</f>
        <v/>
      </c>
      <c r="N339">
        <f>IF($W339="","",SUMIFS(상세표[07~18시],상세표[사번키],INDEX(합계표[사번키],$W339),상세표[반영월],대상월키,상세표[반영 기관],"서울병원"))</f>
        <v/>
      </c>
      <c r="O339">
        <f>IF($W339="","",SUMIFS(상세표[18~22시],상세표[사번키],INDEX(합계표[사번키],$W339),상세표[반영월],대상월키,상세표[반영 기관],"서울병원"))</f>
        <v/>
      </c>
      <c r="P339">
        <f>IF($W339="","",SUMIFS(상세표[22~06시],상세표[사번키],INDEX(합계표[사번키],$W339),상세표[반영월],대상월키,상세표[반영 기관],"서울병원"))</f>
        <v/>
      </c>
      <c r="Q339">
        <f>IF($W339="","",SUM($M339:$P339))</f>
        <v/>
      </c>
      <c r="R339">
        <f>IF($W339="","",COUNTIFS(상세표[사번키],INDEX(합계표[사번키],$W339),상세표[반영월],대상월키,상세표[야간당직],1,상세표[야간 구분],"평일"))</f>
        <v/>
      </c>
      <c r="S339" s="4">
        <f>IF($W339="","",COUNTIFS(상세표[사번키],INDEX(합계표[사번키],$W339),상세표[반영월],대상월키,상세표[야간당직],1,상세표[야간 구분],"휴일"))</f>
        <v/>
      </c>
      <c r="T339">
        <f>IF($W339="","",COUNTIFS(상세표[사번키],INDEX(합계표[사번키],$W339),상세표[반영월],대상월키,상세표[야간당직],1,상세표[야간 구분],"평일",상세표[반영 기관],"서울병원"))</f>
        <v/>
      </c>
      <c r="U339">
        <f>IF($W339="","",COUNTIFS(상세표[사번키],INDEX(합계표[사번키],$W339),상세표[반영월],대상월키,상세표[야간당직],1,상세표[야간 구분],"휴일",상세표[반영 기관],"서울병원"))</f>
        <v/>
      </c>
      <c r="V339">
        <f>IF($W339="","",IF(ISNUMBER(MATCH(INDEX(합계표[사번키],$W339)&amp;"|"&amp;대상월키,월별근무지표[키],0)),"직접 입력",IF($K339="—","—","기관명단")))</f>
        <v/>
      </c>
      <c r="W339">
        <f>IFERROR(MATCH(334,합계표[판정순번],0),"")</f>
        <v/>
      </c>
    </row>
    <row r="340">
      <c r="A340">
        <f>IF($W340="","",INDEX(합계표[사번],$W340)&amp;"")</f>
        <v/>
      </c>
      <c r="B340">
        <f>IF($W340="","",INDEX(합계표[성명],$W340)&amp;"")</f>
        <v/>
      </c>
      <c r="C340">
        <f>IF($W340="","",INDEX(합계표[부서],$W340)&amp;"")</f>
        <v/>
      </c>
      <c r="D340">
        <f>IF($W340="","",INDEX(합계표[직위(통합)],$W340)&amp;"")</f>
        <v/>
      </c>
      <c r="E340">
        <f>IF($W340="","",SUMIFS(합계표[시스템 합계],합계표[사번키],INDEX(합계표[사번키],$W340)))</f>
        <v/>
      </c>
      <c r="F340">
        <f>IF($W340="","",SUMIFS(상세표[기록 시간외],상세표[사번키],INDEX(합계표[사번키],$W340),상세표[기록월],대상월키))</f>
        <v/>
      </c>
      <c r="G340">
        <f>IF($W340="","",IF(ABS($E340-$F340)&lt;0.01,"일치","불일치(차이 "&amp;TEXT($F340-$E340,"0.00")&amp;")"))</f>
        <v/>
      </c>
      <c r="H340">
        <f>IF($W340="","",SUMIFS(상세표[기록 시간외],상세표[사번키],INDEX(합계표[사번키],$W340),상세표[기록월],대상월키,상세표[반영월],"&lt;&gt;"&amp;대상월키))</f>
        <v/>
      </c>
      <c r="I340">
        <f>IF($W340="","",SUMIFS(상세표[기록 시간외],상세표[사번키],INDEX(합계표[사번키],$W340),상세표[기록월],"&lt;&gt;"&amp;대상월키,상세표[반영월],대상월키))</f>
        <v/>
      </c>
      <c r="J340">
        <f>IF($W340="","",SUMIFS(상세표[기록 시간외],상세표[사번키],INDEX(합계표[사번키],$W340),상세표[반영월],대상월키))</f>
        <v/>
      </c>
      <c r="K340">
        <f>IF($W340="","",IFERROR(INDEX(월별근무지표[적용 급여병원],MATCH(INDEX(합계표[사번키],$W340)&amp;"|"&amp;대상월키,월별근무지표[키],0))&amp;"",IF(COUNTIF(기관표[사번키],INDEX(합계표[사번키],$W340))+COUNTIF(월별근무지표[사번키],INDEX(합계표[사번키],$W340))&gt;0,IFERROR(INDEX(기관표[급여지급병원(기준월)],MATCH(INDEX(합계표[사번키],$W340)&amp;"|"&amp;대상월키,기관표[키],0))&amp;"","—"),"—")))</f>
        <v/>
      </c>
      <c r="L340">
        <f>IF($W340="","",IF(NOT(COUNTIF(기관표[사번키],INDEX(합계표[사번키],$W340))+COUNTIF(월별근무지표[사번키],INDEX(합계표[사번키],$W340))&gt;0),"기관명단에 없음(다른 병원으로 발송)",IF($K340="—","대상월 기관명단 없음(추가 필요)",IF($K340="서울병원","해당","비해당"))))</f>
        <v/>
      </c>
      <c r="M340">
        <f>IF($W340="","",SUMIFS(상세표[06~07시],상세표[사번키],INDEX(합계표[사번키],$W340),상세표[반영월],대상월키,상세표[반영 기관],"서울병원"))</f>
        <v/>
      </c>
      <c r="N340">
        <f>IF($W340="","",SUMIFS(상세표[07~18시],상세표[사번키],INDEX(합계표[사번키],$W340),상세표[반영월],대상월키,상세표[반영 기관],"서울병원"))</f>
        <v/>
      </c>
      <c r="O340">
        <f>IF($W340="","",SUMIFS(상세표[18~22시],상세표[사번키],INDEX(합계표[사번키],$W340),상세표[반영월],대상월키,상세표[반영 기관],"서울병원"))</f>
        <v/>
      </c>
      <c r="P340">
        <f>IF($W340="","",SUMIFS(상세표[22~06시],상세표[사번키],INDEX(합계표[사번키],$W340),상세표[반영월],대상월키,상세표[반영 기관],"서울병원"))</f>
        <v/>
      </c>
      <c r="Q340">
        <f>IF($W340="","",SUM($M340:$P340))</f>
        <v/>
      </c>
      <c r="R340">
        <f>IF($W340="","",COUNTIFS(상세표[사번키],INDEX(합계표[사번키],$W340),상세표[반영월],대상월키,상세표[야간당직],1,상세표[야간 구분],"평일"))</f>
        <v/>
      </c>
      <c r="S340" s="4">
        <f>IF($W340="","",COUNTIFS(상세표[사번키],INDEX(합계표[사번키],$W340),상세표[반영월],대상월키,상세표[야간당직],1,상세표[야간 구분],"휴일"))</f>
        <v/>
      </c>
      <c r="T340">
        <f>IF($W340="","",COUNTIFS(상세표[사번키],INDEX(합계표[사번키],$W340),상세표[반영월],대상월키,상세표[야간당직],1,상세표[야간 구분],"평일",상세표[반영 기관],"서울병원"))</f>
        <v/>
      </c>
      <c r="U340">
        <f>IF($W340="","",COUNTIFS(상세표[사번키],INDEX(합계표[사번키],$W340),상세표[반영월],대상월키,상세표[야간당직],1,상세표[야간 구분],"휴일",상세표[반영 기관],"서울병원"))</f>
        <v/>
      </c>
      <c r="V340">
        <f>IF($W340="","",IF(ISNUMBER(MATCH(INDEX(합계표[사번키],$W340)&amp;"|"&amp;대상월키,월별근무지표[키],0)),"직접 입력",IF($K340="—","—","기관명단")))</f>
        <v/>
      </c>
      <c r="W340">
        <f>IFERROR(MATCH(335,합계표[판정순번],0),"")</f>
        <v/>
      </c>
    </row>
    <row r="341">
      <c r="A341">
        <f>IF($W341="","",INDEX(합계표[사번],$W341)&amp;"")</f>
        <v/>
      </c>
      <c r="B341">
        <f>IF($W341="","",INDEX(합계표[성명],$W341)&amp;"")</f>
        <v/>
      </c>
      <c r="C341">
        <f>IF($W341="","",INDEX(합계표[부서],$W341)&amp;"")</f>
        <v/>
      </c>
      <c r="D341">
        <f>IF($W341="","",INDEX(합계표[직위(통합)],$W341)&amp;"")</f>
        <v/>
      </c>
      <c r="E341">
        <f>IF($W341="","",SUMIFS(합계표[시스템 합계],합계표[사번키],INDEX(합계표[사번키],$W341)))</f>
        <v/>
      </c>
      <c r="F341">
        <f>IF($W341="","",SUMIFS(상세표[기록 시간외],상세표[사번키],INDEX(합계표[사번키],$W341),상세표[기록월],대상월키))</f>
        <v/>
      </c>
      <c r="G341">
        <f>IF($W341="","",IF(ABS($E341-$F341)&lt;0.01,"일치","불일치(차이 "&amp;TEXT($F341-$E341,"0.00")&amp;")"))</f>
        <v/>
      </c>
      <c r="H341">
        <f>IF($W341="","",SUMIFS(상세표[기록 시간외],상세표[사번키],INDEX(합계표[사번키],$W341),상세표[기록월],대상월키,상세표[반영월],"&lt;&gt;"&amp;대상월키))</f>
        <v/>
      </c>
      <c r="I341">
        <f>IF($W341="","",SUMIFS(상세표[기록 시간외],상세표[사번키],INDEX(합계표[사번키],$W341),상세표[기록월],"&lt;&gt;"&amp;대상월키,상세표[반영월],대상월키))</f>
        <v/>
      </c>
      <c r="J341">
        <f>IF($W341="","",SUMIFS(상세표[기록 시간외],상세표[사번키],INDEX(합계표[사번키],$W341),상세표[반영월],대상월키))</f>
        <v/>
      </c>
      <c r="K341">
        <f>IF($W341="","",IFERROR(INDEX(월별근무지표[적용 급여병원],MATCH(INDEX(합계표[사번키],$W341)&amp;"|"&amp;대상월키,월별근무지표[키],0))&amp;"",IF(COUNTIF(기관표[사번키],INDEX(합계표[사번키],$W341))+COUNTIF(월별근무지표[사번키],INDEX(합계표[사번키],$W341))&gt;0,IFERROR(INDEX(기관표[급여지급병원(기준월)],MATCH(INDEX(합계표[사번키],$W341)&amp;"|"&amp;대상월키,기관표[키],0))&amp;"","—"),"—")))</f>
        <v/>
      </c>
      <c r="L341">
        <f>IF($W341="","",IF(NOT(COUNTIF(기관표[사번키],INDEX(합계표[사번키],$W341))+COUNTIF(월별근무지표[사번키],INDEX(합계표[사번키],$W341))&gt;0),"기관명단에 없음(다른 병원으로 발송)",IF($K341="—","대상월 기관명단 없음(추가 필요)",IF($K341="서울병원","해당","비해당"))))</f>
        <v/>
      </c>
      <c r="M341">
        <f>IF($W341="","",SUMIFS(상세표[06~07시],상세표[사번키],INDEX(합계표[사번키],$W341),상세표[반영월],대상월키,상세표[반영 기관],"서울병원"))</f>
        <v/>
      </c>
      <c r="N341">
        <f>IF($W341="","",SUMIFS(상세표[07~18시],상세표[사번키],INDEX(합계표[사번키],$W341),상세표[반영월],대상월키,상세표[반영 기관],"서울병원"))</f>
        <v/>
      </c>
      <c r="O341">
        <f>IF($W341="","",SUMIFS(상세표[18~22시],상세표[사번키],INDEX(합계표[사번키],$W341),상세표[반영월],대상월키,상세표[반영 기관],"서울병원"))</f>
        <v/>
      </c>
      <c r="P341">
        <f>IF($W341="","",SUMIFS(상세표[22~06시],상세표[사번키],INDEX(합계표[사번키],$W341),상세표[반영월],대상월키,상세표[반영 기관],"서울병원"))</f>
        <v/>
      </c>
      <c r="Q341">
        <f>IF($W341="","",SUM($M341:$P341))</f>
        <v/>
      </c>
      <c r="R341">
        <f>IF($W341="","",COUNTIFS(상세표[사번키],INDEX(합계표[사번키],$W341),상세표[반영월],대상월키,상세표[야간당직],1,상세표[야간 구분],"평일"))</f>
        <v/>
      </c>
      <c r="S341" s="4">
        <f>IF($W341="","",COUNTIFS(상세표[사번키],INDEX(합계표[사번키],$W341),상세표[반영월],대상월키,상세표[야간당직],1,상세표[야간 구분],"휴일"))</f>
        <v/>
      </c>
      <c r="T341">
        <f>IF($W341="","",COUNTIFS(상세표[사번키],INDEX(합계표[사번키],$W341),상세표[반영월],대상월키,상세표[야간당직],1,상세표[야간 구분],"평일",상세표[반영 기관],"서울병원"))</f>
        <v/>
      </c>
      <c r="U341">
        <f>IF($W341="","",COUNTIFS(상세표[사번키],INDEX(합계표[사번키],$W341),상세표[반영월],대상월키,상세표[야간당직],1,상세표[야간 구분],"휴일",상세표[반영 기관],"서울병원"))</f>
        <v/>
      </c>
      <c r="V341">
        <f>IF($W341="","",IF(ISNUMBER(MATCH(INDEX(합계표[사번키],$W341)&amp;"|"&amp;대상월키,월별근무지표[키],0)),"직접 입력",IF($K341="—","—","기관명단")))</f>
        <v/>
      </c>
      <c r="W341">
        <f>IFERROR(MATCH(336,합계표[판정순번],0),"")</f>
        <v/>
      </c>
    </row>
    <row r="342">
      <c r="A342">
        <f>IF($W342="","",INDEX(합계표[사번],$W342)&amp;"")</f>
        <v/>
      </c>
      <c r="B342">
        <f>IF($W342="","",INDEX(합계표[성명],$W342)&amp;"")</f>
        <v/>
      </c>
      <c r="C342">
        <f>IF($W342="","",INDEX(합계표[부서],$W342)&amp;"")</f>
        <v/>
      </c>
      <c r="D342">
        <f>IF($W342="","",INDEX(합계표[직위(통합)],$W342)&amp;"")</f>
        <v/>
      </c>
      <c r="E342">
        <f>IF($W342="","",SUMIFS(합계표[시스템 합계],합계표[사번키],INDEX(합계표[사번키],$W342)))</f>
        <v/>
      </c>
      <c r="F342">
        <f>IF($W342="","",SUMIFS(상세표[기록 시간외],상세표[사번키],INDEX(합계표[사번키],$W342),상세표[기록월],대상월키))</f>
        <v/>
      </c>
      <c r="G342">
        <f>IF($W342="","",IF(ABS($E342-$F342)&lt;0.01,"일치","불일치(차이 "&amp;TEXT($F342-$E342,"0.00")&amp;")"))</f>
        <v/>
      </c>
      <c r="H342">
        <f>IF($W342="","",SUMIFS(상세표[기록 시간외],상세표[사번키],INDEX(합계표[사번키],$W342),상세표[기록월],대상월키,상세표[반영월],"&lt;&gt;"&amp;대상월키))</f>
        <v/>
      </c>
      <c r="I342">
        <f>IF($W342="","",SUMIFS(상세표[기록 시간외],상세표[사번키],INDEX(합계표[사번키],$W342),상세표[기록월],"&lt;&gt;"&amp;대상월키,상세표[반영월],대상월키))</f>
        <v/>
      </c>
      <c r="J342">
        <f>IF($W342="","",SUMIFS(상세표[기록 시간외],상세표[사번키],INDEX(합계표[사번키],$W342),상세표[반영월],대상월키))</f>
        <v/>
      </c>
      <c r="K342">
        <f>IF($W342="","",IFERROR(INDEX(월별근무지표[적용 급여병원],MATCH(INDEX(합계표[사번키],$W342)&amp;"|"&amp;대상월키,월별근무지표[키],0))&amp;"",IF(COUNTIF(기관표[사번키],INDEX(합계표[사번키],$W342))+COUNTIF(월별근무지표[사번키],INDEX(합계표[사번키],$W342))&gt;0,IFERROR(INDEX(기관표[급여지급병원(기준월)],MATCH(INDEX(합계표[사번키],$W342)&amp;"|"&amp;대상월키,기관표[키],0))&amp;"","—"),"—")))</f>
        <v/>
      </c>
      <c r="L342">
        <f>IF($W342="","",IF(NOT(COUNTIF(기관표[사번키],INDEX(합계표[사번키],$W342))+COUNTIF(월별근무지표[사번키],INDEX(합계표[사번키],$W342))&gt;0),"기관명단에 없음(다른 병원으로 발송)",IF($K342="—","대상월 기관명단 없음(추가 필요)",IF($K342="서울병원","해당","비해당"))))</f>
        <v/>
      </c>
      <c r="M342">
        <f>IF($W342="","",SUMIFS(상세표[06~07시],상세표[사번키],INDEX(합계표[사번키],$W342),상세표[반영월],대상월키,상세표[반영 기관],"서울병원"))</f>
        <v/>
      </c>
      <c r="N342">
        <f>IF($W342="","",SUMIFS(상세표[07~18시],상세표[사번키],INDEX(합계표[사번키],$W342),상세표[반영월],대상월키,상세표[반영 기관],"서울병원"))</f>
        <v/>
      </c>
      <c r="O342">
        <f>IF($W342="","",SUMIFS(상세표[18~22시],상세표[사번키],INDEX(합계표[사번키],$W342),상세표[반영월],대상월키,상세표[반영 기관],"서울병원"))</f>
        <v/>
      </c>
      <c r="P342">
        <f>IF($W342="","",SUMIFS(상세표[22~06시],상세표[사번키],INDEX(합계표[사번키],$W342),상세표[반영월],대상월키,상세표[반영 기관],"서울병원"))</f>
        <v/>
      </c>
      <c r="Q342">
        <f>IF($W342="","",SUM($M342:$P342))</f>
        <v/>
      </c>
      <c r="R342">
        <f>IF($W342="","",COUNTIFS(상세표[사번키],INDEX(합계표[사번키],$W342),상세표[반영월],대상월키,상세표[야간당직],1,상세표[야간 구분],"평일"))</f>
        <v/>
      </c>
      <c r="S342" s="4">
        <f>IF($W342="","",COUNTIFS(상세표[사번키],INDEX(합계표[사번키],$W342),상세표[반영월],대상월키,상세표[야간당직],1,상세표[야간 구분],"휴일"))</f>
        <v/>
      </c>
      <c r="T342">
        <f>IF($W342="","",COUNTIFS(상세표[사번키],INDEX(합계표[사번키],$W342),상세표[반영월],대상월키,상세표[야간당직],1,상세표[야간 구분],"평일",상세표[반영 기관],"서울병원"))</f>
        <v/>
      </c>
      <c r="U342">
        <f>IF($W342="","",COUNTIFS(상세표[사번키],INDEX(합계표[사번키],$W342),상세표[반영월],대상월키,상세표[야간당직],1,상세표[야간 구분],"휴일",상세표[반영 기관],"서울병원"))</f>
        <v/>
      </c>
      <c r="V342">
        <f>IF($W342="","",IF(ISNUMBER(MATCH(INDEX(합계표[사번키],$W342)&amp;"|"&amp;대상월키,월별근무지표[키],0)),"직접 입력",IF($K342="—","—","기관명단")))</f>
        <v/>
      </c>
      <c r="W342">
        <f>IFERROR(MATCH(337,합계표[판정순번],0),"")</f>
        <v/>
      </c>
    </row>
    <row r="343">
      <c r="A343">
        <f>IF($W343="","",INDEX(합계표[사번],$W343)&amp;"")</f>
        <v/>
      </c>
      <c r="B343">
        <f>IF($W343="","",INDEX(합계표[성명],$W343)&amp;"")</f>
        <v/>
      </c>
      <c r="C343">
        <f>IF($W343="","",INDEX(합계표[부서],$W343)&amp;"")</f>
        <v/>
      </c>
      <c r="D343">
        <f>IF($W343="","",INDEX(합계표[직위(통합)],$W343)&amp;"")</f>
        <v/>
      </c>
      <c r="E343">
        <f>IF($W343="","",SUMIFS(합계표[시스템 합계],합계표[사번키],INDEX(합계표[사번키],$W343)))</f>
        <v/>
      </c>
      <c r="F343">
        <f>IF($W343="","",SUMIFS(상세표[기록 시간외],상세표[사번키],INDEX(합계표[사번키],$W343),상세표[기록월],대상월키))</f>
        <v/>
      </c>
      <c r="G343">
        <f>IF($W343="","",IF(ABS($E343-$F343)&lt;0.01,"일치","불일치(차이 "&amp;TEXT($F343-$E343,"0.00")&amp;")"))</f>
        <v/>
      </c>
      <c r="H343">
        <f>IF($W343="","",SUMIFS(상세표[기록 시간외],상세표[사번키],INDEX(합계표[사번키],$W343),상세표[기록월],대상월키,상세표[반영월],"&lt;&gt;"&amp;대상월키))</f>
        <v/>
      </c>
      <c r="I343">
        <f>IF($W343="","",SUMIFS(상세표[기록 시간외],상세표[사번키],INDEX(합계표[사번키],$W343),상세표[기록월],"&lt;&gt;"&amp;대상월키,상세표[반영월],대상월키))</f>
        <v/>
      </c>
      <c r="J343">
        <f>IF($W343="","",SUMIFS(상세표[기록 시간외],상세표[사번키],INDEX(합계표[사번키],$W343),상세표[반영월],대상월키))</f>
        <v/>
      </c>
      <c r="K343">
        <f>IF($W343="","",IFERROR(INDEX(월별근무지표[적용 급여병원],MATCH(INDEX(합계표[사번키],$W343)&amp;"|"&amp;대상월키,월별근무지표[키],0))&amp;"",IF(COUNTIF(기관표[사번키],INDEX(합계표[사번키],$W343))+COUNTIF(월별근무지표[사번키],INDEX(합계표[사번키],$W343))&gt;0,IFERROR(INDEX(기관표[급여지급병원(기준월)],MATCH(INDEX(합계표[사번키],$W343)&amp;"|"&amp;대상월키,기관표[키],0))&amp;"","—"),"—")))</f>
        <v/>
      </c>
      <c r="L343">
        <f>IF($W343="","",IF(NOT(COUNTIF(기관표[사번키],INDEX(합계표[사번키],$W343))+COUNTIF(월별근무지표[사번키],INDEX(합계표[사번키],$W343))&gt;0),"기관명단에 없음(다른 병원으로 발송)",IF($K343="—","대상월 기관명단 없음(추가 필요)",IF($K343="서울병원","해당","비해당"))))</f>
        <v/>
      </c>
      <c r="M343">
        <f>IF($W343="","",SUMIFS(상세표[06~07시],상세표[사번키],INDEX(합계표[사번키],$W343),상세표[반영월],대상월키,상세표[반영 기관],"서울병원"))</f>
        <v/>
      </c>
      <c r="N343">
        <f>IF($W343="","",SUMIFS(상세표[07~18시],상세표[사번키],INDEX(합계표[사번키],$W343),상세표[반영월],대상월키,상세표[반영 기관],"서울병원"))</f>
        <v/>
      </c>
      <c r="O343">
        <f>IF($W343="","",SUMIFS(상세표[18~22시],상세표[사번키],INDEX(합계표[사번키],$W343),상세표[반영월],대상월키,상세표[반영 기관],"서울병원"))</f>
        <v/>
      </c>
      <c r="P343">
        <f>IF($W343="","",SUMIFS(상세표[22~06시],상세표[사번키],INDEX(합계표[사번키],$W343),상세표[반영월],대상월키,상세표[반영 기관],"서울병원"))</f>
        <v/>
      </c>
      <c r="Q343">
        <f>IF($W343="","",SUM($M343:$P343))</f>
        <v/>
      </c>
      <c r="R343">
        <f>IF($W343="","",COUNTIFS(상세표[사번키],INDEX(합계표[사번키],$W343),상세표[반영월],대상월키,상세표[야간당직],1,상세표[야간 구분],"평일"))</f>
        <v/>
      </c>
      <c r="S343" s="4">
        <f>IF($W343="","",COUNTIFS(상세표[사번키],INDEX(합계표[사번키],$W343),상세표[반영월],대상월키,상세표[야간당직],1,상세표[야간 구분],"휴일"))</f>
        <v/>
      </c>
      <c r="T343">
        <f>IF($W343="","",COUNTIFS(상세표[사번키],INDEX(합계표[사번키],$W343),상세표[반영월],대상월키,상세표[야간당직],1,상세표[야간 구분],"평일",상세표[반영 기관],"서울병원"))</f>
        <v/>
      </c>
      <c r="U343">
        <f>IF($W343="","",COUNTIFS(상세표[사번키],INDEX(합계표[사번키],$W343),상세표[반영월],대상월키,상세표[야간당직],1,상세표[야간 구분],"휴일",상세표[반영 기관],"서울병원"))</f>
        <v/>
      </c>
      <c r="V343">
        <f>IF($W343="","",IF(ISNUMBER(MATCH(INDEX(합계표[사번키],$W343)&amp;"|"&amp;대상월키,월별근무지표[키],0)),"직접 입력",IF($K343="—","—","기관명단")))</f>
        <v/>
      </c>
      <c r="W343">
        <f>IFERROR(MATCH(338,합계표[판정순번],0),"")</f>
        <v/>
      </c>
    </row>
    <row r="344">
      <c r="A344">
        <f>IF($W344="","",INDEX(합계표[사번],$W344)&amp;"")</f>
        <v/>
      </c>
      <c r="B344">
        <f>IF($W344="","",INDEX(합계표[성명],$W344)&amp;"")</f>
        <v/>
      </c>
      <c r="C344">
        <f>IF($W344="","",INDEX(합계표[부서],$W344)&amp;"")</f>
        <v/>
      </c>
      <c r="D344">
        <f>IF($W344="","",INDEX(합계표[직위(통합)],$W344)&amp;"")</f>
        <v/>
      </c>
      <c r="E344">
        <f>IF($W344="","",SUMIFS(합계표[시스템 합계],합계표[사번키],INDEX(합계표[사번키],$W344)))</f>
        <v/>
      </c>
      <c r="F344">
        <f>IF($W344="","",SUMIFS(상세표[기록 시간외],상세표[사번키],INDEX(합계표[사번키],$W344),상세표[기록월],대상월키))</f>
        <v/>
      </c>
      <c r="G344">
        <f>IF($W344="","",IF(ABS($E344-$F344)&lt;0.01,"일치","불일치(차이 "&amp;TEXT($F344-$E344,"0.00")&amp;")"))</f>
        <v/>
      </c>
      <c r="H344">
        <f>IF($W344="","",SUMIFS(상세표[기록 시간외],상세표[사번키],INDEX(합계표[사번키],$W344),상세표[기록월],대상월키,상세표[반영월],"&lt;&gt;"&amp;대상월키))</f>
        <v/>
      </c>
      <c r="I344">
        <f>IF($W344="","",SUMIFS(상세표[기록 시간외],상세표[사번키],INDEX(합계표[사번키],$W344),상세표[기록월],"&lt;&gt;"&amp;대상월키,상세표[반영월],대상월키))</f>
        <v/>
      </c>
      <c r="J344">
        <f>IF($W344="","",SUMIFS(상세표[기록 시간외],상세표[사번키],INDEX(합계표[사번키],$W344),상세표[반영월],대상월키))</f>
        <v/>
      </c>
      <c r="K344">
        <f>IF($W344="","",IFERROR(INDEX(월별근무지표[적용 급여병원],MATCH(INDEX(합계표[사번키],$W344)&amp;"|"&amp;대상월키,월별근무지표[키],0))&amp;"",IF(COUNTIF(기관표[사번키],INDEX(합계표[사번키],$W344))+COUNTIF(월별근무지표[사번키],INDEX(합계표[사번키],$W344))&gt;0,IFERROR(INDEX(기관표[급여지급병원(기준월)],MATCH(INDEX(합계표[사번키],$W344)&amp;"|"&amp;대상월키,기관표[키],0))&amp;"","—"),"—")))</f>
        <v/>
      </c>
      <c r="L344">
        <f>IF($W344="","",IF(NOT(COUNTIF(기관표[사번키],INDEX(합계표[사번키],$W344))+COUNTIF(월별근무지표[사번키],INDEX(합계표[사번키],$W344))&gt;0),"기관명단에 없음(다른 병원으로 발송)",IF($K344="—","대상월 기관명단 없음(추가 필요)",IF($K344="서울병원","해당","비해당"))))</f>
        <v/>
      </c>
      <c r="M344">
        <f>IF($W344="","",SUMIFS(상세표[06~07시],상세표[사번키],INDEX(합계표[사번키],$W344),상세표[반영월],대상월키,상세표[반영 기관],"서울병원"))</f>
        <v/>
      </c>
      <c r="N344">
        <f>IF($W344="","",SUMIFS(상세표[07~18시],상세표[사번키],INDEX(합계표[사번키],$W344),상세표[반영월],대상월키,상세표[반영 기관],"서울병원"))</f>
        <v/>
      </c>
      <c r="O344">
        <f>IF($W344="","",SUMIFS(상세표[18~22시],상세표[사번키],INDEX(합계표[사번키],$W344),상세표[반영월],대상월키,상세표[반영 기관],"서울병원"))</f>
        <v/>
      </c>
      <c r="P344">
        <f>IF($W344="","",SUMIFS(상세표[22~06시],상세표[사번키],INDEX(합계표[사번키],$W344),상세표[반영월],대상월키,상세표[반영 기관],"서울병원"))</f>
        <v/>
      </c>
      <c r="Q344">
        <f>IF($W344="","",SUM($M344:$P344))</f>
        <v/>
      </c>
      <c r="R344">
        <f>IF($W344="","",COUNTIFS(상세표[사번키],INDEX(합계표[사번키],$W344),상세표[반영월],대상월키,상세표[야간당직],1,상세표[야간 구분],"평일"))</f>
        <v/>
      </c>
      <c r="S344" s="4">
        <f>IF($W344="","",COUNTIFS(상세표[사번키],INDEX(합계표[사번키],$W344),상세표[반영월],대상월키,상세표[야간당직],1,상세표[야간 구분],"휴일"))</f>
        <v/>
      </c>
      <c r="T344">
        <f>IF($W344="","",COUNTIFS(상세표[사번키],INDEX(합계표[사번키],$W344),상세표[반영월],대상월키,상세표[야간당직],1,상세표[야간 구분],"평일",상세표[반영 기관],"서울병원"))</f>
        <v/>
      </c>
      <c r="U344">
        <f>IF($W344="","",COUNTIFS(상세표[사번키],INDEX(합계표[사번키],$W344),상세표[반영월],대상월키,상세표[야간당직],1,상세표[야간 구분],"휴일",상세표[반영 기관],"서울병원"))</f>
        <v/>
      </c>
      <c r="V344">
        <f>IF($W344="","",IF(ISNUMBER(MATCH(INDEX(합계표[사번키],$W344)&amp;"|"&amp;대상월키,월별근무지표[키],0)),"직접 입력",IF($K344="—","—","기관명단")))</f>
        <v/>
      </c>
      <c r="W344">
        <f>IFERROR(MATCH(339,합계표[판정순번],0),"")</f>
        <v/>
      </c>
    </row>
    <row r="345">
      <c r="A345">
        <f>IF($W345="","",INDEX(합계표[사번],$W345)&amp;"")</f>
        <v/>
      </c>
      <c r="B345">
        <f>IF($W345="","",INDEX(합계표[성명],$W345)&amp;"")</f>
        <v/>
      </c>
      <c r="C345">
        <f>IF($W345="","",INDEX(합계표[부서],$W345)&amp;"")</f>
        <v/>
      </c>
      <c r="D345">
        <f>IF($W345="","",INDEX(합계표[직위(통합)],$W345)&amp;"")</f>
        <v/>
      </c>
      <c r="E345">
        <f>IF($W345="","",SUMIFS(합계표[시스템 합계],합계표[사번키],INDEX(합계표[사번키],$W345)))</f>
        <v/>
      </c>
      <c r="F345">
        <f>IF($W345="","",SUMIFS(상세표[기록 시간외],상세표[사번키],INDEX(합계표[사번키],$W345),상세표[기록월],대상월키))</f>
        <v/>
      </c>
      <c r="G345">
        <f>IF($W345="","",IF(ABS($E345-$F345)&lt;0.01,"일치","불일치(차이 "&amp;TEXT($F345-$E345,"0.00")&amp;")"))</f>
        <v/>
      </c>
      <c r="H345">
        <f>IF($W345="","",SUMIFS(상세표[기록 시간외],상세표[사번키],INDEX(합계표[사번키],$W345),상세표[기록월],대상월키,상세표[반영월],"&lt;&gt;"&amp;대상월키))</f>
        <v/>
      </c>
      <c r="I345">
        <f>IF($W345="","",SUMIFS(상세표[기록 시간외],상세표[사번키],INDEX(합계표[사번키],$W345),상세표[기록월],"&lt;&gt;"&amp;대상월키,상세표[반영월],대상월키))</f>
        <v/>
      </c>
      <c r="J345">
        <f>IF($W345="","",SUMIFS(상세표[기록 시간외],상세표[사번키],INDEX(합계표[사번키],$W345),상세표[반영월],대상월키))</f>
        <v/>
      </c>
      <c r="K345">
        <f>IF($W345="","",IFERROR(INDEX(월별근무지표[적용 급여병원],MATCH(INDEX(합계표[사번키],$W345)&amp;"|"&amp;대상월키,월별근무지표[키],0))&amp;"",IF(COUNTIF(기관표[사번키],INDEX(합계표[사번키],$W345))+COUNTIF(월별근무지표[사번키],INDEX(합계표[사번키],$W345))&gt;0,IFERROR(INDEX(기관표[급여지급병원(기준월)],MATCH(INDEX(합계표[사번키],$W345)&amp;"|"&amp;대상월키,기관표[키],0))&amp;"","—"),"—")))</f>
        <v/>
      </c>
      <c r="L345">
        <f>IF($W345="","",IF(NOT(COUNTIF(기관표[사번키],INDEX(합계표[사번키],$W345))+COUNTIF(월별근무지표[사번키],INDEX(합계표[사번키],$W345))&gt;0),"기관명단에 없음(다른 병원으로 발송)",IF($K345="—","대상월 기관명단 없음(추가 필요)",IF($K345="서울병원","해당","비해당"))))</f>
        <v/>
      </c>
      <c r="M345">
        <f>IF($W345="","",SUMIFS(상세표[06~07시],상세표[사번키],INDEX(합계표[사번키],$W345),상세표[반영월],대상월키,상세표[반영 기관],"서울병원"))</f>
        <v/>
      </c>
      <c r="N345">
        <f>IF($W345="","",SUMIFS(상세표[07~18시],상세표[사번키],INDEX(합계표[사번키],$W345),상세표[반영월],대상월키,상세표[반영 기관],"서울병원"))</f>
        <v/>
      </c>
      <c r="O345">
        <f>IF($W345="","",SUMIFS(상세표[18~22시],상세표[사번키],INDEX(합계표[사번키],$W345),상세표[반영월],대상월키,상세표[반영 기관],"서울병원"))</f>
        <v/>
      </c>
      <c r="P345">
        <f>IF($W345="","",SUMIFS(상세표[22~06시],상세표[사번키],INDEX(합계표[사번키],$W345),상세표[반영월],대상월키,상세표[반영 기관],"서울병원"))</f>
        <v/>
      </c>
      <c r="Q345">
        <f>IF($W345="","",SUM($M345:$P345))</f>
        <v/>
      </c>
      <c r="R345">
        <f>IF($W345="","",COUNTIFS(상세표[사번키],INDEX(합계표[사번키],$W345),상세표[반영월],대상월키,상세표[야간당직],1,상세표[야간 구분],"평일"))</f>
        <v/>
      </c>
      <c r="S345" s="4">
        <f>IF($W345="","",COUNTIFS(상세표[사번키],INDEX(합계표[사번키],$W345),상세표[반영월],대상월키,상세표[야간당직],1,상세표[야간 구분],"휴일"))</f>
        <v/>
      </c>
      <c r="T345">
        <f>IF($W345="","",COUNTIFS(상세표[사번키],INDEX(합계표[사번키],$W345),상세표[반영월],대상월키,상세표[야간당직],1,상세표[야간 구분],"평일",상세표[반영 기관],"서울병원"))</f>
        <v/>
      </c>
      <c r="U345">
        <f>IF($W345="","",COUNTIFS(상세표[사번키],INDEX(합계표[사번키],$W345),상세표[반영월],대상월키,상세표[야간당직],1,상세표[야간 구분],"휴일",상세표[반영 기관],"서울병원"))</f>
        <v/>
      </c>
      <c r="V345">
        <f>IF($W345="","",IF(ISNUMBER(MATCH(INDEX(합계표[사번키],$W345)&amp;"|"&amp;대상월키,월별근무지표[키],0)),"직접 입력",IF($K345="—","—","기관명단")))</f>
        <v/>
      </c>
      <c r="W345">
        <f>IFERROR(MATCH(340,합계표[판정순번],0),"")</f>
        <v/>
      </c>
    </row>
    <row r="346">
      <c r="A346">
        <f>IF($W346="","",INDEX(합계표[사번],$W346)&amp;"")</f>
        <v/>
      </c>
      <c r="B346">
        <f>IF($W346="","",INDEX(합계표[성명],$W346)&amp;"")</f>
        <v/>
      </c>
      <c r="C346">
        <f>IF($W346="","",INDEX(합계표[부서],$W346)&amp;"")</f>
        <v/>
      </c>
      <c r="D346">
        <f>IF($W346="","",INDEX(합계표[직위(통합)],$W346)&amp;"")</f>
        <v/>
      </c>
      <c r="E346">
        <f>IF($W346="","",SUMIFS(합계표[시스템 합계],합계표[사번키],INDEX(합계표[사번키],$W346)))</f>
        <v/>
      </c>
      <c r="F346">
        <f>IF($W346="","",SUMIFS(상세표[기록 시간외],상세표[사번키],INDEX(합계표[사번키],$W346),상세표[기록월],대상월키))</f>
        <v/>
      </c>
      <c r="G346">
        <f>IF($W346="","",IF(ABS($E346-$F346)&lt;0.01,"일치","불일치(차이 "&amp;TEXT($F346-$E346,"0.00")&amp;")"))</f>
        <v/>
      </c>
      <c r="H346">
        <f>IF($W346="","",SUMIFS(상세표[기록 시간외],상세표[사번키],INDEX(합계표[사번키],$W346),상세표[기록월],대상월키,상세표[반영월],"&lt;&gt;"&amp;대상월키))</f>
        <v/>
      </c>
      <c r="I346">
        <f>IF($W346="","",SUMIFS(상세표[기록 시간외],상세표[사번키],INDEX(합계표[사번키],$W346),상세표[기록월],"&lt;&gt;"&amp;대상월키,상세표[반영월],대상월키))</f>
        <v/>
      </c>
      <c r="J346">
        <f>IF($W346="","",SUMIFS(상세표[기록 시간외],상세표[사번키],INDEX(합계표[사번키],$W346),상세표[반영월],대상월키))</f>
        <v/>
      </c>
      <c r="K346">
        <f>IF($W346="","",IFERROR(INDEX(월별근무지표[적용 급여병원],MATCH(INDEX(합계표[사번키],$W346)&amp;"|"&amp;대상월키,월별근무지표[키],0))&amp;"",IF(COUNTIF(기관표[사번키],INDEX(합계표[사번키],$W346))+COUNTIF(월별근무지표[사번키],INDEX(합계표[사번키],$W346))&gt;0,IFERROR(INDEX(기관표[급여지급병원(기준월)],MATCH(INDEX(합계표[사번키],$W346)&amp;"|"&amp;대상월키,기관표[키],0))&amp;"","—"),"—")))</f>
        <v/>
      </c>
      <c r="L346">
        <f>IF($W346="","",IF(NOT(COUNTIF(기관표[사번키],INDEX(합계표[사번키],$W346))+COUNTIF(월별근무지표[사번키],INDEX(합계표[사번키],$W346))&gt;0),"기관명단에 없음(다른 병원으로 발송)",IF($K346="—","대상월 기관명단 없음(추가 필요)",IF($K346="서울병원","해당","비해당"))))</f>
        <v/>
      </c>
      <c r="M346">
        <f>IF($W346="","",SUMIFS(상세표[06~07시],상세표[사번키],INDEX(합계표[사번키],$W346),상세표[반영월],대상월키,상세표[반영 기관],"서울병원"))</f>
        <v/>
      </c>
      <c r="N346">
        <f>IF($W346="","",SUMIFS(상세표[07~18시],상세표[사번키],INDEX(합계표[사번키],$W346),상세표[반영월],대상월키,상세표[반영 기관],"서울병원"))</f>
        <v/>
      </c>
      <c r="O346">
        <f>IF($W346="","",SUMIFS(상세표[18~22시],상세표[사번키],INDEX(합계표[사번키],$W346),상세표[반영월],대상월키,상세표[반영 기관],"서울병원"))</f>
        <v/>
      </c>
      <c r="P346">
        <f>IF($W346="","",SUMIFS(상세표[22~06시],상세표[사번키],INDEX(합계표[사번키],$W346),상세표[반영월],대상월키,상세표[반영 기관],"서울병원"))</f>
        <v/>
      </c>
      <c r="Q346">
        <f>IF($W346="","",SUM($M346:$P346))</f>
        <v/>
      </c>
      <c r="R346">
        <f>IF($W346="","",COUNTIFS(상세표[사번키],INDEX(합계표[사번키],$W346),상세표[반영월],대상월키,상세표[야간당직],1,상세표[야간 구분],"평일"))</f>
        <v/>
      </c>
      <c r="S346" s="4">
        <f>IF($W346="","",COUNTIFS(상세표[사번키],INDEX(합계표[사번키],$W346),상세표[반영월],대상월키,상세표[야간당직],1,상세표[야간 구분],"휴일"))</f>
        <v/>
      </c>
      <c r="T346">
        <f>IF($W346="","",COUNTIFS(상세표[사번키],INDEX(합계표[사번키],$W346),상세표[반영월],대상월키,상세표[야간당직],1,상세표[야간 구분],"평일",상세표[반영 기관],"서울병원"))</f>
        <v/>
      </c>
      <c r="U346">
        <f>IF($W346="","",COUNTIFS(상세표[사번키],INDEX(합계표[사번키],$W346),상세표[반영월],대상월키,상세표[야간당직],1,상세표[야간 구분],"휴일",상세표[반영 기관],"서울병원"))</f>
        <v/>
      </c>
      <c r="V346">
        <f>IF($W346="","",IF(ISNUMBER(MATCH(INDEX(합계표[사번키],$W346)&amp;"|"&amp;대상월키,월별근무지표[키],0)),"직접 입력",IF($K346="—","—","기관명단")))</f>
        <v/>
      </c>
      <c r="W346">
        <f>IFERROR(MATCH(341,합계표[판정순번],0),"")</f>
        <v/>
      </c>
    </row>
    <row r="347">
      <c r="A347">
        <f>IF($W347="","",INDEX(합계표[사번],$W347)&amp;"")</f>
        <v/>
      </c>
      <c r="B347">
        <f>IF($W347="","",INDEX(합계표[성명],$W347)&amp;"")</f>
        <v/>
      </c>
      <c r="C347">
        <f>IF($W347="","",INDEX(합계표[부서],$W347)&amp;"")</f>
        <v/>
      </c>
      <c r="D347">
        <f>IF($W347="","",INDEX(합계표[직위(통합)],$W347)&amp;"")</f>
        <v/>
      </c>
      <c r="E347">
        <f>IF($W347="","",SUMIFS(합계표[시스템 합계],합계표[사번키],INDEX(합계표[사번키],$W347)))</f>
        <v/>
      </c>
      <c r="F347">
        <f>IF($W347="","",SUMIFS(상세표[기록 시간외],상세표[사번키],INDEX(합계표[사번키],$W347),상세표[기록월],대상월키))</f>
        <v/>
      </c>
      <c r="G347">
        <f>IF($W347="","",IF(ABS($E347-$F347)&lt;0.01,"일치","불일치(차이 "&amp;TEXT($F347-$E347,"0.00")&amp;")"))</f>
        <v/>
      </c>
      <c r="H347">
        <f>IF($W347="","",SUMIFS(상세표[기록 시간외],상세표[사번키],INDEX(합계표[사번키],$W347),상세표[기록월],대상월키,상세표[반영월],"&lt;&gt;"&amp;대상월키))</f>
        <v/>
      </c>
      <c r="I347">
        <f>IF($W347="","",SUMIFS(상세표[기록 시간외],상세표[사번키],INDEX(합계표[사번키],$W347),상세표[기록월],"&lt;&gt;"&amp;대상월키,상세표[반영월],대상월키))</f>
        <v/>
      </c>
      <c r="J347">
        <f>IF($W347="","",SUMIFS(상세표[기록 시간외],상세표[사번키],INDEX(합계표[사번키],$W347),상세표[반영월],대상월키))</f>
        <v/>
      </c>
      <c r="K347">
        <f>IF($W347="","",IFERROR(INDEX(월별근무지표[적용 급여병원],MATCH(INDEX(합계표[사번키],$W347)&amp;"|"&amp;대상월키,월별근무지표[키],0))&amp;"",IF(COUNTIF(기관표[사번키],INDEX(합계표[사번키],$W347))+COUNTIF(월별근무지표[사번키],INDEX(합계표[사번키],$W347))&gt;0,IFERROR(INDEX(기관표[급여지급병원(기준월)],MATCH(INDEX(합계표[사번키],$W347)&amp;"|"&amp;대상월키,기관표[키],0))&amp;"","—"),"—")))</f>
        <v/>
      </c>
      <c r="L347">
        <f>IF($W347="","",IF(NOT(COUNTIF(기관표[사번키],INDEX(합계표[사번키],$W347))+COUNTIF(월별근무지표[사번키],INDEX(합계표[사번키],$W347))&gt;0),"기관명단에 없음(다른 병원으로 발송)",IF($K347="—","대상월 기관명단 없음(추가 필요)",IF($K347="서울병원","해당","비해당"))))</f>
        <v/>
      </c>
      <c r="M347">
        <f>IF($W347="","",SUMIFS(상세표[06~07시],상세표[사번키],INDEX(합계표[사번키],$W347),상세표[반영월],대상월키,상세표[반영 기관],"서울병원"))</f>
        <v/>
      </c>
      <c r="N347">
        <f>IF($W347="","",SUMIFS(상세표[07~18시],상세표[사번키],INDEX(합계표[사번키],$W347),상세표[반영월],대상월키,상세표[반영 기관],"서울병원"))</f>
        <v/>
      </c>
      <c r="O347">
        <f>IF($W347="","",SUMIFS(상세표[18~22시],상세표[사번키],INDEX(합계표[사번키],$W347),상세표[반영월],대상월키,상세표[반영 기관],"서울병원"))</f>
        <v/>
      </c>
      <c r="P347">
        <f>IF($W347="","",SUMIFS(상세표[22~06시],상세표[사번키],INDEX(합계표[사번키],$W347),상세표[반영월],대상월키,상세표[반영 기관],"서울병원"))</f>
        <v/>
      </c>
      <c r="Q347">
        <f>IF($W347="","",SUM($M347:$P347))</f>
        <v/>
      </c>
      <c r="R347">
        <f>IF($W347="","",COUNTIFS(상세표[사번키],INDEX(합계표[사번키],$W347),상세표[반영월],대상월키,상세표[야간당직],1,상세표[야간 구분],"평일"))</f>
        <v/>
      </c>
      <c r="S347" s="4">
        <f>IF($W347="","",COUNTIFS(상세표[사번키],INDEX(합계표[사번키],$W347),상세표[반영월],대상월키,상세표[야간당직],1,상세표[야간 구분],"휴일"))</f>
        <v/>
      </c>
      <c r="T347">
        <f>IF($W347="","",COUNTIFS(상세표[사번키],INDEX(합계표[사번키],$W347),상세표[반영월],대상월키,상세표[야간당직],1,상세표[야간 구분],"평일",상세표[반영 기관],"서울병원"))</f>
        <v/>
      </c>
      <c r="U347">
        <f>IF($W347="","",COUNTIFS(상세표[사번키],INDEX(합계표[사번키],$W347),상세표[반영월],대상월키,상세표[야간당직],1,상세표[야간 구분],"휴일",상세표[반영 기관],"서울병원"))</f>
        <v/>
      </c>
      <c r="V347">
        <f>IF($W347="","",IF(ISNUMBER(MATCH(INDEX(합계표[사번키],$W347)&amp;"|"&amp;대상월키,월별근무지표[키],0)),"직접 입력",IF($K347="—","—","기관명단")))</f>
        <v/>
      </c>
      <c r="W347">
        <f>IFERROR(MATCH(342,합계표[판정순번],0),"")</f>
        <v/>
      </c>
    </row>
    <row r="348">
      <c r="A348">
        <f>IF($W348="","",INDEX(합계표[사번],$W348)&amp;"")</f>
        <v/>
      </c>
      <c r="B348">
        <f>IF($W348="","",INDEX(합계표[성명],$W348)&amp;"")</f>
        <v/>
      </c>
      <c r="C348">
        <f>IF($W348="","",INDEX(합계표[부서],$W348)&amp;"")</f>
        <v/>
      </c>
      <c r="D348">
        <f>IF($W348="","",INDEX(합계표[직위(통합)],$W348)&amp;"")</f>
        <v/>
      </c>
      <c r="E348">
        <f>IF($W348="","",SUMIFS(합계표[시스템 합계],합계표[사번키],INDEX(합계표[사번키],$W348)))</f>
        <v/>
      </c>
      <c r="F348">
        <f>IF($W348="","",SUMIFS(상세표[기록 시간외],상세표[사번키],INDEX(합계표[사번키],$W348),상세표[기록월],대상월키))</f>
        <v/>
      </c>
      <c r="G348">
        <f>IF($W348="","",IF(ABS($E348-$F348)&lt;0.01,"일치","불일치(차이 "&amp;TEXT($F348-$E348,"0.00")&amp;")"))</f>
        <v/>
      </c>
      <c r="H348">
        <f>IF($W348="","",SUMIFS(상세표[기록 시간외],상세표[사번키],INDEX(합계표[사번키],$W348),상세표[기록월],대상월키,상세표[반영월],"&lt;&gt;"&amp;대상월키))</f>
        <v/>
      </c>
      <c r="I348">
        <f>IF($W348="","",SUMIFS(상세표[기록 시간외],상세표[사번키],INDEX(합계표[사번키],$W348),상세표[기록월],"&lt;&gt;"&amp;대상월키,상세표[반영월],대상월키))</f>
        <v/>
      </c>
      <c r="J348">
        <f>IF($W348="","",SUMIFS(상세표[기록 시간외],상세표[사번키],INDEX(합계표[사번키],$W348),상세표[반영월],대상월키))</f>
        <v/>
      </c>
      <c r="K348">
        <f>IF($W348="","",IFERROR(INDEX(월별근무지표[적용 급여병원],MATCH(INDEX(합계표[사번키],$W348)&amp;"|"&amp;대상월키,월별근무지표[키],0))&amp;"",IF(COUNTIF(기관표[사번키],INDEX(합계표[사번키],$W348))+COUNTIF(월별근무지표[사번키],INDEX(합계표[사번키],$W348))&gt;0,IFERROR(INDEX(기관표[급여지급병원(기준월)],MATCH(INDEX(합계표[사번키],$W348)&amp;"|"&amp;대상월키,기관표[키],0))&amp;"","—"),"—")))</f>
        <v/>
      </c>
      <c r="L348">
        <f>IF($W348="","",IF(NOT(COUNTIF(기관표[사번키],INDEX(합계표[사번키],$W348))+COUNTIF(월별근무지표[사번키],INDEX(합계표[사번키],$W348))&gt;0),"기관명단에 없음(다른 병원으로 발송)",IF($K348="—","대상월 기관명단 없음(추가 필요)",IF($K348="서울병원","해당","비해당"))))</f>
        <v/>
      </c>
      <c r="M348">
        <f>IF($W348="","",SUMIFS(상세표[06~07시],상세표[사번키],INDEX(합계표[사번키],$W348),상세표[반영월],대상월키,상세표[반영 기관],"서울병원"))</f>
        <v/>
      </c>
      <c r="N348">
        <f>IF($W348="","",SUMIFS(상세표[07~18시],상세표[사번키],INDEX(합계표[사번키],$W348),상세표[반영월],대상월키,상세표[반영 기관],"서울병원"))</f>
        <v/>
      </c>
      <c r="O348">
        <f>IF($W348="","",SUMIFS(상세표[18~22시],상세표[사번키],INDEX(합계표[사번키],$W348),상세표[반영월],대상월키,상세표[반영 기관],"서울병원"))</f>
        <v/>
      </c>
      <c r="P348">
        <f>IF($W348="","",SUMIFS(상세표[22~06시],상세표[사번키],INDEX(합계표[사번키],$W348),상세표[반영월],대상월키,상세표[반영 기관],"서울병원"))</f>
        <v/>
      </c>
      <c r="Q348">
        <f>IF($W348="","",SUM($M348:$P348))</f>
        <v/>
      </c>
      <c r="R348">
        <f>IF($W348="","",COUNTIFS(상세표[사번키],INDEX(합계표[사번키],$W348),상세표[반영월],대상월키,상세표[야간당직],1,상세표[야간 구분],"평일"))</f>
        <v/>
      </c>
      <c r="S348" s="4">
        <f>IF($W348="","",COUNTIFS(상세표[사번키],INDEX(합계표[사번키],$W348),상세표[반영월],대상월키,상세표[야간당직],1,상세표[야간 구분],"휴일"))</f>
        <v/>
      </c>
      <c r="T348">
        <f>IF($W348="","",COUNTIFS(상세표[사번키],INDEX(합계표[사번키],$W348),상세표[반영월],대상월키,상세표[야간당직],1,상세표[야간 구분],"평일",상세표[반영 기관],"서울병원"))</f>
        <v/>
      </c>
      <c r="U348">
        <f>IF($W348="","",COUNTIFS(상세표[사번키],INDEX(합계표[사번키],$W348),상세표[반영월],대상월키,상세표[야간당직],1,상세표[야간 구분],"휴일",상세표[반영 기관],"서울병원"))</f>
        <v/>
      </c>
      <c r="V348">
        <f>IF($W348="","",IF(ISNUMBER(MATCH(INDEX(합계표[사번키],$W348)&amp;"|"&amp;대상월키,월별근무지표[키],0)),"직접 입력",IF($K348="—","—","기관명단")))</f>
        <v/>
      </c>
      <c r="W348">
        <f>IFERROR(MATCH(343,합계표[판정순번],0),"")</f>
        <v/>
      </c>
    </row>
    <row r="349">
      <c r="A349">
        <f>IF($W349="","",INDEX(합계표[사번],$W349)&amp;"")</f>
        <v/>
      </c>
      <c r="B349">
        <f>IF($W349="","",INDEX(합계표[성명],$W349)&amp;"")</f>
        <v/>
      </c>
      <c r="C349">
        <f>IF($W349="","",INDEX(합계표[부서],$W349)&amp;"")</f>
        <v/>
      </c>
      <c r="D349">
        <f>IF($W349="","",INDEX(합계표[직위(통합)],$W349)&amp;"")</f>
        <v/>
      </c>
      <c r="E349">
        <f>IF($W349="","",SUMIFS(합계표[시스템 합계],합계표[사번키],INDEX(합계표[사번키],$W349)))</f>
        <v/>
      </c>
      <c r="F349">
        <f>IF($W349="","",SUMIFS(상세표[기록 시간외],상세표[사번키],INDEX(합계표[사번키],$W349),상세표[기록월],대상월키))</f>
        <v/>
      </c>
      <c r="G349">
        <f>IF($W349="","",IF(ABS($E349-$F349)&lt;0.01,"일치","불일치(차이 "&amp;TEXT($F349-$E349,"0.00")&amp;")"))</f>
        <v/>
      </c>
      <c r="H349">
        <f>IF($W349="","",SUMIFS(상세표[기록 시간외],상세표[사번키],INDEX(합계표[사번키],$W349),상세표[기록월],대상월키,상세표[반영월],"&lt;&gt;"&amp;대상월키))</f>
        <v/>
      </c>
      <c r="I349">
        <f>IF($W349="","",SUMIFS(상세표[기록 시간외],상세표[사번키],INDEX(합계표[사번키],$W349),상세표[기록월],"&lt;&gt;"&amp;대상월키,상세표[반영월],대상월키))</f>
        <v/>
      </c>
      <c r="J349">
        <f>IF($W349="","",SUMIFS(상세표[기록 시간외],상세표[사번키],INDEX(합계표[사번키],$W349),상세표[반영월],대상월키))</f>
        <v/>
      </c>
      <c r="K349">
        <f>IF($W349="","",IFERROR(INDEX(월별근무지표[적용 급여병원],MATCH(INDEX(합계표[사번키],$W349)&amp;"|"&amp;대상월키,월별근무지표[키],0))&amp;"",IF(COUNTIF(기관표[사번키],INDEX(합계표[사번키],$W349))+COUNTIF(월별근무지표[사번키],INDEX(합계표[사번키],$W349))&gt;0,IFERROR(INDEX(기관표[급여지급병원(기준월)],MATCH(INDEX(합계표[사번키],$W349)&amp;"|"&amp;대상월키,기관표[키],0))&amp;"","—"),"—")))</f>
        <v/>
      </c>
      <c r="L349">
        <f>IF($W349="","",IF(NOT(COUNTIF(기관표[사번키],INDEX(합계표[사번키],$W349))+COUNTIF(월별근무지표[사번키],INDEX(합계표[사번키],$W349))&gt;0),"기관명단에 없음(다른 병원으로 발송)",IF($K349="—","대상월 기관명단 없음(추가 필요)",IF($K349="서울병원","해당","비해당"))))</f>
        <v/>
      </c>
      <c r="M349">
        <f>IF($W349="","",SUMIFS(상세표[06~07시],상세표[사번키],INDEX(합계표[사번키],$W349),상세표[반영월],대상월키,상세표[반영 기관],"서울병원"))</f>
        <v/>
      </c>
      <c r="N349">
        <f>IF($W349="","",SUMIFS(상세표[07~18시],상세표[사번키],INDEX(합계표[사번키],$W349),상세표[반영월],대상월키,상세표[반영 기관],"서울병원"))</f>
        <v/>
      </c>
      <c r="O349">
        <f>IF($W349="","",SUMIFS(상세표[18~22시],상세표[사번키],INDEX(합계표[사번키],$W349),상세표[반영월],대상월키,상세표[반영 기관],"서울병원"))</f>
        <v/>
      </c>
      <c r="P349">
        <f>IF($W349="","",SUMIFS(상세표[22~06시],상세표[사번키],INDEX(합계표[사번키],$W349),상세표[반영월],대상월키,상세표[반영 기관],"서울병원"))</f>
        <v/>
      </c>
      <c r="Q349">
        <f>IF($W349="","",SUM($M349:$P349))</f>
        <v/>
      </c>
      <c r="R349">
        <f>IF($W349="","",COUNTIFS(상세표[사번키],INDEX(합계표[사번키],$W349),상세표[반영월],대상월키,상세표[야간당직],1,상세표[야간 구분],"평일"))</f>
        <v/>
      </c>
      <c r="S349" s="4">
        <f>IF($W349="","",COUNTIFS(상세표[사번키],INDEX(합계표[사번키],$W349),상세표[반영월],대상월키,상세표[야간당직],1,상세표[야간 구분],"휴일"))</f>
        <v/>
      </c>
      <c r="T349">
        <f>IF($W349="","",COUNTIFS(상세표[사번키],INDEX(합계표[사번키],$W349),상세표[반영월],대상월키,상세표[야간당직],1,상세표[야간 구분],"평일",상세표[반영 기관],"서울병원"))</f>
        <v/>
      </c>
      <c r="U349">
        <f>IF($W349="","",COUNTIFS(상세표[사번키],INDEX(합계표[사번키],$W349),상세표[반영월],대상월키,상세표[야간당직],1,상세표[야간 구분],"휴일",상세표[반영 기관],"서울병원"))</f>
        <v/>
      </c>
      <c r="V349">
        <f>IF($W349="","",IF(ISNUMBER(MATCH(INDEX(합계표[사번키],$W349)&amp;"|"&amp;대상월키,월별근무지표[키],0)),"직접 입력",IF($K349="—","—","기관명단")))</f>
        <v/>
      </c>
      <c r="W349">
        <f>IFERROR(MATCH(344,합계표[판정순번],0),"")</f>
        <v/>
      </c>
    </row>
    <row r="350">
      <c r="A350">
        <f>IF($W350="","",INDEX(합계표[사번],$W350)&amp;"")</f>
        <v/>
      </c>
      <c r="B350">
        <f>IF($W350="","",INDEX(합계표[성명],$W350)&amp;"")</f>
        <v/>
      </c>
      <c r="C350">
        <f>IF($W350="","",INDEX(합계표[부서],$W350)&amp;"")</f>
        <v/>
      </c>
      <c r="D350">
        <f>IF($W350="","",INDEX(합계표[직위(통합)],$W350)&amp;"")</f>
        <v/>
      </c>
      <c r="E350">
        <f>IF($W350="","",SUMIFS(합계표[시스템 합계],합계표[사번키],INDEX(합계표[사번키],$W350)))</f>
        <v/>
      </c>
      <c r="F350">
        <f>IF($W350="","",SUMIFS(상세표[기록 시간외],상세표[사번키],INDEX(합계표[사번키],$W350),상세표[기록월],대상월키))</f>
        <v/>
      </c>
      <c r="G350">
        <f>IF($W350="","",IF(ABS($E350-$F350)&lt;0.01,"일치","불일치(차이 "&amp;TEXT($F350-$E350,"0.00")&amp;")"))</f>
        <v/>
      </c>
      <c r="H350">
        <f>IF($W350="","",SUMIFS(상세표[기록 시간외],상세표[사번키],INDEX(합계표[사번키],$W350),상세표[기록월],대상월키,상세표[반영월],"&lt;&gt;"&amp;대상월키))</f>
        <v/>
      </c>
      <c r="I350">
        <f>IF($W350="","",SUMIFS(상세표[기록 시간외],상세표[사번키],INDEX(합계표[사번키],$W350),상세표[기록월],"&lt;&gt;"&amp;대상월키,상세표[반영월],대상월키))</f>
        <v/>
      </c>
      <c r="J350">
        <f>IF($W350="","",SUMIFS(상세표[기록 시간외],상세표[사번키],INDEX(합계표[사번키],$W350),상세표[반영월],대상월키))</f>
        <v/>
      </c>
      <c r="K350">
        <f>IF($W350="","",IFERROR(INDEX(월별근무지표[적용 급여병원],MATCH(INDEX(합계표[사번키],$W350)&amp;"|"&amp;대상월키,월별근무지표[키],0))&amp;"",IF(COUNTIF(기관표[사번키],INDEX(합계표[사번키],$W350))+COUNTIF(월별근무지표[사번키],INDEX(합계표[사번키],$W350))&gt;0,IFERROR(INDEX(기관표[급여지급병원(기준월)],MATCH(INDEX(합계표[사번키],$W350)&amp;"|"&amp;대상월키,기관표[키],0))&amp;"","—"),"—")))</f>
        <v/>
      </c>
      <c r="L350">
        <f>IF($W350="","",IF(NOT(COUNTIF(기관표[사번키],INDEX(합계표[사번키],$W350))+COUNTIF(월별근무지표[사번키],INDEX(합계표[사번키],$W350))&gt;0),"기관명단에 없음(다른 병원으로 발송)",IF($K350="—","대상월 기관명단 없음(추가 필요)",IF($K350="서울병원","해당","비해당"))))</f>
        <v/>
      </c>
      <c r="M350">
        <f>IF($W350="","",SUMIFS(상세표[06~07시],상세표[사번키],INDEX(합계표[사번키],$W350),상세표[반영월],대상월키,상세표[반영 기관],"서울병원"))</f>
        <v/>
      </c>
      <c r="N350">
        <f>IF($W350="","",SUMIFS(상세표[07~18시],상세표[사번키],INDEX(합계표[사번키],$W350),상세표[반영월],대상월키,상세표[반영 기관],"서울병원"))</f>
        <v/>
      </c>
      <c r="O350">
        <f>IF($W350="","",SUMIFS(상세표[18~22시],상세표[사번키],INDEX(합계표[사번키],$W350),상세표[반영월],대상월키,상세표[반영 기관],"서울병원"))</f>
        <v/>
      </c>
      <c r="P350">
        <f>IF($W350="","",SUMIFS(상세표[22~06시],상세표[사번키],INDEX(합계표[사번키],$W350),상세표[반영월],대상월키,상세표[반영 기관],"서울병원"))</f>
        <v/>
      </c>
      <c r="Q350">
        <f>IF($W350="","",SUM($M350:$P350))</f>
        <v/>
      </c>
      <c r="R350">
        <f>IF($W350="","",COUNTIFS(상세표[사번키],INDEX(합계표[사번키],$W350),상세표[반영월],대상월키,상세표[야간당직],1,상세표[야간 구분],"평일"))</f>
        <v/>
      </c>
      <c r="S350" s="4">
        <f>IF($W350="","",COUNTIFS(상세표[사번키],INDEX(합계표[사번키],$W350),상세표[반영월],대상월키,상세표[야간당직],1,상세표[야간 구분],"휴일"))</f>
        <v/>
      </c>
      <c r="T350">
        <f>IF($W350="","",COUNTIFS(상세표[사번키],INDEX(합계표[사번키],$W350),상세표[반영월],대상월키,상세표[야간당직],1,상세표[야간 구분],"평일",상세표[반영 기관],"서울병원"))</f>
        <v/>
      </c>
      <c r="U350">
        <f>IF($W350="","",COUNTIFS(상세표[사번키],INDEX(합계표[사번키],$W350),상세표[반영월],대상월키,상세표[야간당직],1,상세표[야간 구분],"휴일",상세표[반영 기관],"서울병원"))</f>
        <v/>
      </c>
      <c r="V350">
        <f>IF($W350="","",IF(ISNUMBER(MATCH(INDEX(합계표[사번키],$W350)&amp;"|"&amp;대상월키,월별근무지표[키],0)),"직접 입력",IF($K350="—","—","기관명단")))</f>
        <v/>
      </c>
      <c r="W350">
        <f>IFERROR(MATCH(345,합계표[판정순번],0),"")</f>
        <v/>
      </c>
    </row>
    <row r="351">
      <c r="A351">
        <f>IF($W351="","",INDEX(합계표[사번],$W351)&amp;"")</f>
        <v/>
      </c>
      <c r="B351">
        <f>IF($W351="","",INDEX(합계표[성명],$W351)&amp;"")</f>
        <v/>
      </c>
      <c r="C351">
        <f>IF($W351="","",INDEX(합계표[부서],$W351)&amp;"")</f>
        <v/>
      </c>
      <c r="D351">
        <f>IF($W351="","",INDEX(합계표[직위(통합)],$W351)&amp;"")</f>
        <v/>
      </c>
      <c r="E351">
        <f>IF($W351="","",SUMIFS(합계표[시스템 합계],합계표[사번키],INDEX(합계표[사번키],$W351)))</f>
        <v/>
      </c>
      <c r="F351">
        <f>IF($W351="","",SUMIFS(상세표[기록 시간외],상세표[사번키],INDEX(합계표[사번키],$W351),상세표[기록월],대상월키))</f>
        <v/>
      </c>
      <c r="G351">
        <f>IF($W351="","",IF(ABS($E351-$F351)&lt;0.01,"일치","불일치(차이 "&amp;TEXT($F351-$E351,"0.00")&amp;")"))</f>
        <v/>
      </c>
      <c r="H351">
        <f>IF($W351="","",SUMIFS(상세표[기록 시간외],상세표[사번키],INDEX(합계표[사번키],$W351),상세표[기록월],대상월키,상세표[반영월],"&lt;&gt;"&amp;대상월키))</f>
        <v/>
      </c>
      <c r="I351">
        <f>IF($W351="","",SUMIFS(상세표[기록 시간외],상세표[사번키],INDEX(합계표[사번키],$W351),상세표[기록월],"&lt;&gt;"&amp;대상월키,상세표[반영월],대상월키))</f>
        <v/>
      </c>
      <c r="J351">
        <f>IF($W351="","",SUMIFS(상세표[기록 시간외],상세표[사번키],INDEX(합계표[사번키],$W351),상세표[반영월],대상월키))</f>
        <v/>
      </c>
      <c r="K351">
        <f>IF($W351="","",IFERROR(INDEX(월별근무지표[적용 급여병원],MATCH(INDEX(합계표[사번키],$W351)&amp;"|"&amp;대상월키,월별근무지표[키],0))&amp;"",IF(COUNTIF(기관표[사번키],INDEX(합계표[사번키],$W351))+COUNTIF(월별근무지표[사번키],INDEX(합계표[사번키],$W351))&gt;0,IFERROR(INDEX(기관표[급여지급병원(기준월)],MATCH(INDEX(합계표[사번키],$W351)&amp;"|"&amp;대상월키,기관표[키],0))&amp;"","—"),"—")))</f>
        <v/>
      </c>
      <c r="L351">
        <f>IF($W351="","",IF(NOT(COUNTIF(기관표[사번키],INDEX(합계표[사번키],$W351))+COUNTIF(월별근무지표[사번키],INDEX(합계표[사번키],$W351))&gt;0),"기관명단에 없음(다른 병원으로 발송)",IF($K351="—","대상월 기관명단 없음(추가 필요)",IF($K351="서울병원","해당","비해당"))))</f>
        <v/>
      </c>
      <c r="M351">
        <f>IF($W351="","",SUMIFS(상세표[06~07시],상세표[사번키],INDEX(합계표[사번키],$W351),상세표[반영월],대상월키,상세표[반영 기관],"서울병원"))</f>
        <v/>
      </c>
      <c r="N351">
        <f>IF($W351="","",SUMIFS(상세표[07~18시],상세표[사번키],INDEX(합계표[사번키],$W351),상세표[반영월],대상월키,상세표[반영 기관],"서울병원"))</f>
        <v/>
      </c>
      <c r="O351">
        <f>IF($W351="","",SUMIFS(상세표[18~22시],상세표[사번키],INDEX(합계표[사번키],$W351),상세표[반영월],대상월키,상세표[반영 기관],"서울병원"))</f>
        <v/>
      </c>
      <c r="P351">
        <f>IF($W351="","",SUMIFS(상세표[22~06시],상세표[사번키],INDEX(합계표[사번키],$W351),상세표[반영월],대상월키,상세표[반영 기관],"서울병원"))</f>
        <v/>
      </c>
      <c r="Q351">
        <f>IF($W351="","",SUM($M351:$P351))</f>
        <v/>
      </c>
      <c r="R351">
        <f>IF($W351="","",COUNTIFS(상세표[사번키],INDEX(합계표[사번키],$W351),상세표[반영월],대상월키,상세표[야간당직],1,상세표[야간 구분],"평일"))</f>
        <v/>
      </c>
      <c r="S351" s="4">
        <f>IF($W351="","",COUNTIFS(상세표[사번키],INDEX(합계표[사번키],$W351),상세표[반영월],대상월키,상세표[야간당직],1,상세표[야간 구분],"휴일"))</f>
        <v/>
      </c>
      <c r="T351">
        <f>IF($W351="","",COUNTIFS(상세표[사번키],INDEX(합계표[사번키],$W351),상세표[반영월],대상월키,상세표[야간당직],1,상세표[야간 구분],"평일",상세표[반영 기관],"서울병원"))</f>
        <v/>
      </c>
      <c r="U351">
        <f>IF($W351="","",COUNTIFS(상세표[사번키],INDEX(합계표[사번키],$W351),상세표[반영월],대상월키,상세표[야간당직],1,상세표[야간 구분],"휴일",상세표[반영 기관],"서울병원"))</f>
        <v/>
      </c>
      <c r="V351">
        <f>IF($W351="","",IF(ISNUMBER(MATCH(INDEX(합계표[사번키],$W351)&amp;"|"&amp;대상월키,월별근무지표[키],0)),"직접 입력",IF($K351="—","—","기관명단")))</f>
        <v/>
      </c>
      <c r="W351">
        <f>IFERROR(MATCH(346,합계표[판정순번],0),"")</f>
        <v/>
      </c>
    </row>
    <row r="352">
      <c r="A352">
        <f>IF($W352="","",INDEX(합계표[사번],$W352)&amp;"")</f>
        <v/>
      </c>
      <c r="B352">
        <f>IF($W352="","",INDEX(합계표[성명],$W352)&amp;"")</f>
        <v/>
      </c>
      <c r="C352">
        <f>IF($W352="","",INDEX(합계표[부서],$W352)&amp;"")</f>
        <v/>
      </c>
      <c r="D352">
        <f>IF($W352="","",INDEX(합계표[직위(통합)],$W352)&amp;"")</f>
        <v/>
      </c>
      <c r="E352">
        <f>IF($W352="","",SUMIFS(합계표[시스템 합계],합계표[사번키],INDEX(합계표[사번키],$W352)))</f>
        <v/>
      </c>
      <c r="F352">
        <f>IF($W352="","",SUMIFS(상세표[기록 시간외],상세표[사번키],INDEX(합계표[사번키],$W352),상세표[기록월],대상월키))</f>
        <v/>
      </c>
      <c r="G352">
        <f>IF($W352="","",IF(ABS($E352-$F352)&lt;0.01,"일치","불일치(차이 "&amp;TEXT($F352-$E352,"0.00")&amp;")"))</f>
        <v/>
      </c>
      <c r="H352">
        <f>IF($W352="","",SUMIFS(상세표[기록 시간외],상세표[사번키],INDEX(합계표[사번키],$W352),상세표[기록월],대상월키,상세표[반영월],"&lt;&gt;"&amp;대상월키))</f>
        <v/>
      </c>
      <c r="I352">
        <f>IF($W352="","",SUMIFS(상세표[기록 시간외],상세표[사번키],INDEX(합계표[사번키],$W352),상세표[기록월],"&lt;&gt;"&amp;대상월키,상세표[반영월],대상월키))</f>
        <v/>
      </c>
      <c r="J352">
        <f>IF($W352="","",SUMIFS(상세표[기록 시간외],상세표[사번키],INDEX(합계표[사번키],$W352),상세표[반영월],대상월키))</f>
        <v/>
      </c>
      <c r="K352">
        <f>IF($W352="","",IFERROR(INDEX(월별근무지표[적용 급여병원],MATCH(INDEX(합계표[사번키],$W352)&amp;"|"&amp;대상월키,월별근무지표[키],0))&amp;"",IF(COUNTIF(기관표[사번키],INDEX(합계표[사번키],$W352))+COUNTIF(월별근무지표[사번키],INDEX(합계표[사번키],$W352))&gt;0,IFERROR(INDEX(기관표[급여지급병원(기준월)],MATCH(INDEX(합계표[사번키],$W352)&amp;"|"&amp;대상월키,기관표[키],0))&amp;"","—"),"—")))</f>
        <v/>
      </c>
      <c r="L352">
        <f>IF($W352="","",IF(NOT(COUNTIF(기관표[사번키],INDEX(합계표[사번키],$W352))+COUNTIF(월별근무지표[사번키],INDEX(합계표[사번키],$W352))&gt;0),"기관명단에 없음(다른 병원으로 발송)",IF($K352="—","대상월 기관명단 없음(추가 필요)",IF($K352="서울병원","해당","비해당"))))</f>
        <v/>
      </c>
      <c r="M352">
        <f>IF($W352="","",SUMIFS(상세표[06~07시],상세표[사번키],INDEX(합계표[사번키],$W352),상세표[반영월],대상월키,상세표[반영 기관],"서울병원"))</f>
        <v/>
      </c>
      <c r="N352">
        <f>IF($W352="","",SUMIFS(상세표[07~18시],상세표[사번키],INDEX(합계표[사번키],$W352),상세표[반영월],대상월키,상세표[반영 기관],"서울병원"))</f>
        <v/>
      </c>
      <c r="O352">
        <f>IF($W352="","",SUMIFS(상세표[18~22시],상세표[사번키],INDEX(합계표[사번키],$W352),상세표[반영월],대상월키,상세표[반영 기관],"서울병원"))</f>
        <v/>
      </c>
      <c r="P352">
        <f>IF($W352="","",SUMIFS(상세표[22~06시],상세표[사번키],INDEX(합계표[사번키],$W352),상세표[반영월],대상월키,상세표[반영 기관],"서울병원"))</f>
        <v/>
      </c>
      <c r="Q352">
        <f>IF($W352="","",SUM($M352:$P352))</f>
        <v/>
      </c>
      <c r="R352">
        <f>IF($W352="","",COUNTIFS(상세표[사번키],INDEX(합계표[사번키],$W352),상세표[반영월],대상월키,상세표[야간당직],1,상세표[야간 구분],"평일"))</f>
        <v/>
      </c>
      <c r="S352" s="4">
        <f>IF($W352="","",COUNTIFS(상세표[사번키],INDEX(합계표[사번키],$W352),상세표[반영월],대상월키,상세표[야간당직],1,상세표[야간 구분],"휴일"))</f>
        <v/>
      </c>
      <c r="T352">
        <f>IF($W352="","",COUNTIFS(상세표[사번키],INDEX(합계표[사번키],$W352),상세표[반영월],대상월키,상세표[야간당직],1,상세표[야간 구분],"평일",상세표[반영 기관],"서울병원"))</f>
        <v/>
      </c>
      <c r="U352">
        <f>IF($W352="","",COUNTIFS(상세표[사번키],INDEX(합계표[사번키],$W352),상세표[반영월],대상월키,상세표[야간당직],1,상세표[야간 구분],"휴일",상세표[반영 기관],"서울병원"))</f>
        <v/>
      </c>
      <c r="V352">
        <f>IF($W352="","",IF(ISNUMBER(MATCH(INDEX(합계표[사번키],$W352)&amp;"|"&amp;대상월키,월별근무지표[키],0)),"직접 입력",IF($K352="—","—","기관명단")))</f>
        <v/>
      </c>
      <c r="W352">
        <f>IFERROR(MATCH(347,합계표[판정순번],0),"")</f>
        <v/>
      </c>
    </row>
    <row r="353">
      <c r="A353">
        <f>IF($W353="","",INDEX(합계표[사번],$W353)&amp;"")</f>
        <v/>
      </c>
      <c r="B353">
        <f>IF($W353="","",INDEX(합계표[성명],$W353)&amp;"")</f>
        <v/>
      </c>
      <c r="C353">
        <f>IF($W353="","",INDEX(합계표[부서],$W353)&amp;"")</f>
        <v/>
      </c>
      <c r="D353">
        <f>IF($W353="","",INDEX(합계표[직위(통합)],$W353)&amp;"")</f>
        <v/>
      </c>
      <c r="E353">
        <f>IF($W353="","",SUMIFS(합계표[시스템 합계],합계표[사번키],INDEX(합계표[사번키],$W353)))</f>
        <v/>
      </c>
      <c r="F353">
        <f>IF($W353="","",SUMIFS(상세표[기록 시간외],상세표[사번키],INDEX(합계표[사번키],$W353),상세표[기록월],대상월키))</f>
        <v/>
      </c>
      <c r="G353">
        <f>IF($W353="","",IF(ABS($E353-$F353)&lt;0.01,"일치","불일치(차이 "&amp;TEXT($F353-$E353,"0.00")&amp;")"))</f>
        <v/>
      </c>
      <c r="H353">
        <f>IF($W353="","",SUMIFS(상세표[기록 시간외],상세표[사번키],INDEX(합계표[사번키],$W353),상세표[기록월],대상월키,상세표[반영월],"&lt;&gt;"&amp;대상월키))</f>
        <v/>
      </c>
      <c r="I353">
        <f>IF($W353="","",SUMIFS(상세표[기록 시간외],상세표[사번키],INDEX(합계표[사번키],$W353),상세표[기록월],"&lt;&gt;"&amp;대상월키,상세표[반영월],대상월키))</f>
        <v/>
      </c>
      <c r="J353">
        <f>IF($W353="","",SUMIFS(상세표[기록 시간외],상세표[사번키],INDEX(합계표[사번키],$W353),상세표[반영월],대상월키))</f>
        <v/>
      </c>
      <c r="K353">
        <f>IF($W353="","",IFERROR(INDEX(월별근무지표[적용 급여병원],MATCH(INDEX(합계표[사번키],$W353)&amp;"|"&amp;대상월키,월별근무지표[키],0))&amp;"",IF(COUNTIF(기관표[사번키],INDEX(합계표[사번키],$W353))+COUNTIF(월별근무지표[사번키],INDEX(합계표[사번키],$W353))&gt;0,IFERROR(INDEX(기관표[급여지급병원(기준월)],MATCH(INDEX(합계표[사번키],$W353)&amp;"|"&amp;대상월키,기관표[키],0))&amp;"","—"),"—")))</f>
        <v/>
      </c>
      <c r="L353">
        <f>IF($W353="","",IF(NOT(COUNTIF(기관표[사번키],INDEX(합계표[사번키],$W353))+COUNTIF(월별근무지표[사번키],INDEX(합계표[사번키],$W353))&gt;0),"기관명단에 없음(다른 병원으로 발송)",IF($K353="—","대상월 기관명단 없음(추가 필요)",IF($K353="서울병원","해당","비해당"))))</f>
        <v/>
      </c>
      <c r="M353">
        <f>IF($W353="","",SUMIFS(상세표[06~07시],상세표[사번키],INDEX(합계표[사번키],$W353),상세표[반영월],대상월키,상세표[반영 기관],"서울병원"))</f>
        <v/>
      </c>
      <c r="N353">
        <f>IF($W353="","",SUMIFS(상세표[07~18시],상세표[사번키],INDEX(합계표[사번키],$W353),상세표[반영월],대상월키,상세표[반영 기관],"서울병원"))</f>
        <v/>
      </c>
      <c r="O353">
        <f>IF($W353="","",SUMIFS(상세표[18~22시],상세표[사번키],INDEX(합계표[사번키],$W353),상세표[반영월],대상월키,상세표[반영 기관],"서울병원"))</f>
        <v/>
      </c>
      <c r="P353">
        <f>IF($W353="","",SUMIFS(상세표[22~06시],상세표[사번키],INDEX(합계표[사번키],$W353),상세표[반영월],대상월키,상세표[반영 기관],"서울병원"))</f>
        <v/>
      </c>
      <c r="Q353">
        <f>IF($W353="","",SUM($M353:$P353))</f>
        <v/>
      </c>
      <c r="R353">
        <f>IF($W353="","",COUNTIFS(상세표[사번키],INDEX(합계표[사번키],$W353),상세표[반영월],대상월키,상세표[야간당직],1,상세표[야간 구분],"평일"))</f>
        <v/>
      </c>
      <c r="S353" s="4">
        <f>IF($W353="","",COUNTIFS(상세표[사번키],INDEX(합계표[사번키],$W353),상세표[반영월],대상월키,상세표[야간당직],1,상세표[야간 구분],"휴일"))</f>
        <v/>
      </c>
      <c r="T353">
        <f>IF($W353="","",COUNTIFS(상세표[사번키],INDEX(합계표[사번키],$W353),상세표[반영월],대상월키,상세표[야간당직],1,상세표[야간 구분],"평일",상세표[반영 기관],"서울병원"))</f>
        <v/>
      </c>
      <c r="U353">
        <f>IF($W353="","",COUNTIFS(상세표[사번키],INDEX(합계표[사번키],$W353),상세표[반영월],대상월키,상세표[야간당직],1,상세표[야간 구분],"휴일",상세표[반영 기관],"서울병원"))</f>
        <v/>
      </c>
      <c r="V353">
        <f>IF($W353="","",IF(ISNUMBER(MATCH(INDEX(합계표[사번키],$W353)&amp;"|"&amp;대상월키,월별근무지표[키],0)),"직접 입력",IF($K353="—","—","기관명단")))</f>
        <v/>
      </c>
      <c r="W353">
        <f>IFERROR(MATCH(348,합계표[판정순번],0),"")</f>
        <v/>
      </c>
    </row>
    <row r="354">
      <c r="A354">
        <f>IF($W354="","",INDEX(합계표[사번],$W354)&amp;"")</f>
        <v/>
      </c>
      <c r="B354">
        <f>IF($W354="","",INDEX(합계표[성명],$W354)&amp;"")</f>
        <v/>
      </c>
      <c r="C354">
        <f>IF($W354="","",INDEX(합계표[부서],$W354)&amp;"")</f>
        <v/>
      </c>
      <c r="D354">
        <f>IF($W354="","",INDEX(합계표[직위(통합)],$W354)&amp;"")</f>
        <v/>
      </c>
      <c r="E354">
        <f>IF($W354="","",SUMIFS(합계표[시스템 합계],합계표[사번키],INDEX(합계표[사번키],$W354)))</f>
        <v/>
      </c>
      <c r="F354">
        <f>IF($W354="","",SUMIFS(상세표[기록 시간외],상세표[사번키],INDEX(합계표[사번키],$W354),상세표[기록월],대상월키))</f>
        <v/>
      </c>
      <c r="G354">
        <f>IF($W354="","",IF(ABS($E354-$F354)&lt;0.01,"일치","불일치(차이 "&amp;TEXT($F354-$E354,"0.00")&amp;")"))</f>
        <v/>
      </c>
      <c r="H354">
        <f>IF($W354="","",SUMIFS(상세표[기록 시간외],상세표[사번키],INDEX(합계표[사번키],$W354),상세표[기록월],대상월키,상세표[반영월],"&lt;&gt;"&amp;대상월키))</f>
        <v/>
      </c>
      <c r="I354">
        <f>IF($W354="","",SUMIFS(상세표[기록 시간외],상세표[사번키],INDEX(합계표[사번키],$W354),상세표[기록월],"&lt;&gt;"&amp;대상월키,상세표[반영월],대상월키))</f>
        <v/>
      </c>
      <c r="J354">
        <f>IF($W354="","",SUMIFS(상세표[기록 시간외],상세표[사번키],INDEX(합계표[사번키],$W354),상세표[반영월],대상월키))</f>
        <v/>
      </c>
      <c r="K354">
        <f>IF($W354="","",IFERROR(INDEX(월별근무지표[적용 급여병원],MATCH(INDEX(합계표[사번키],$W354)&amp;"|"&amp;대상월키,월별근무지표[키],0))&amp;"",IF(COUNTIF(기관표[사번키],INDEX(합계표[사번키],$W354))+COUNTIF(월별근무지표[사번키],INDEX(합계표[사번키],$W354))&gt;0,IFERROR(INDEX(기관표[급여지급병원(기준월)],MATCH(INDEX(합계표[사번키],$W354)&amp;"|"&amp;대상월키,기관표[키],0))&amp;"","—"),"—")))</f>
        <v/>
      </c>
      <c r="L354">
        <f>IF($W354="","",IF(NOT(COUNTIF(기관표[사번키],INDEX(합계표[사번키],$W354))+COUNTIF(월별근무지표[사번키],INDEX(합계표[사번키],$W354))&gt;0),"기관명단에 없음(다른 병원으로 발송)",IF($K354="—","대상월 기관명단 없음(추가 필요)",IF($K354="서울병원","해당","비해당"))))</f>
        <v/>
      </c>
      <c r="M354">
        <f>IF($W354="","",SUMIFS(상세표[06~07시],상세표[사번키],INDEX(합계표[사번키],$W354),상세표[반영월],대상월키,상세표[반영 기관],"서울병원"))</f>
        <v/>
      </c>
      <c r="N354">
        <f>IF($W354="","",SUMIFS(상세표[07~18시],상세표[사번키],INDEX(합계표[사번키],$W354),상세표[반영월],대상월키,상세표[반영 기관],"서울병원"))</f>
        <v/>
      </c>
      <c r="O354">
        <f>IF($W354="","",SUMIFS(상세표[18~22시],상세표[사번키],INDEX(합계표[사번키],$W354),상세표[반영월],대상월키,상세표[반영 기관],"서울병원"))</f>
        <v/>
      </c>
      <c r="P354">
        <f>IF($W354="","",SUMIFS(상세표[22~06시],상세표[사번키],INDEX(합계표[사번키],$W354),상세표[반영월],대상월키,상세표[반영 기관],"서울병원"))</f>
        <v/>
      </c>
      <c r="Q354">
        <f>IF($W354="","",SUM($M354:$P354))</f>
        <v/>
      </c>
      <c r="R354">
        <f>IF($W354="","",COUNTIFS(상세표[사번키],INDEX(합계표[사번키],$W354),상세표[반영월],대상월키,상세표[야간당직],1,상세표[야간 구분],"평일"))</f>
        <v/>
      </c>
      <c r="S354" s="4">
        <f>IF($W354="","",COUNTIFS(상세표[사번키],INDEX(합계표[사번키],$W354),상세표[반영월],대상월키,상세표[야간당직],1,상세표[야간 구분],"휴일"))</f>
        <v/>
      </c>
      <c r="T354">
        <f>IF($W354="","",COUNTIFS(상세표[사번키],INDEX(합계표[사번키],$W354),상세표[반영월],대상월키,상세표[야간당직],1,상세표[야간 구분],"평일",상세표[반영 기관],"서울병원"))</f>
        <v/>
      </c>
      <c r="U354">
        <f>IF($W354="","",COUNTIFS(상세표[사번키],INDEX(합계표[사번키],$W354),상세표[반영월],대상월키,상세표[야간당직],1,상세표[야간 구분],"휴일",상세표[반영 기관],"서울병원"))</f>
        <v/>
      </c>
      <c r="V354">
        <f>IF($W354="","",IF(ISNUMBER(MATCH(INDEX(합계표[사번키],$W354)&amp;"|"&amp;대상월키,월별근무지표[키],0)),"직접 입력",IF($K354="—","—","기관명단")))</f>
        <v/>
      </c>
      <c r="W354">
        <f>IFERROR(MATCH(349,합계표[판정순번],0),"")</f>
        <v/>
      </c>
    </row>
    <row r="355">
      <c r="A355">
        <f>IF($W355="","",INDEX(합계표[사번],$W355)&amp;"")</f>
        <v/>
      </c>
      <c r="B355">
        <f>IF($W355="","",INDEX(합계표[성명],$W355)&amp;"")</f>
        <v/>
      </c>
      <c r="C355">
        <f>IF($W355="","",INDEX(합계표[부서],$W355)&amp;"")</f>
        <v/>
      </c>
      <c r="D355">
        <f>IF($W355="","",INDEX(합계표[직위(통합)],$W355)&amp;"")</f>
        <v/>
      </c>
      <c r="E355">
        <f>IF($W355="","",SUMIFS(합계표[시스템 합계],합계표[사번키],INDEX(합계표[사번키],$W355)))</f>
        <v/>
      </c>
      <c r="F355">
        <f>IF($W355="","",SUMIFS(상세표[기록 시간외],상세표[사번키],INDEX(합계표[사번키],$W355),상세표[기록월],대상월키))</f>
        <v/>
      </c>
      <c r="G355">
        <f>IF($W355="","",IF(ABS($E355-$F355)&lt;0.01,"일치","불일치(차이 "&amp;TEXT($F355-$E355,"0.00")&amp;")"))</f>
        <v/>
      </c>
      <c r="H355">
        <f>IF($W355="","",SUMIFS(상세표[기록 시간외],상세표[사번키],INDEX(합계표[사번키],$W355),상세표[기록월],대상월키,상세표[반영월],"&lt;&gt;"&amp;대상월키))</f>
        <v/>
      </c>
      <c r="I355">
        <f>IF($W355="","",SUMIFS(상세표[기록 시간외],상세표[사번키],INDEX(합계표[사번키],$W355),상세표[기록월],"&lt;&gt;"&amp;대상월키,상세표[반영월],대상월키))</f>
        <v/>
      </c>
      <c r="J355">
        <f>IF($W355="","",SUMIFS(상세표[기록 시간외],상세표[사번키],INDEX(합계표[사번키],$W355),상세표[반영월],대상월키))</f>
        <v/>
      </c>
      <c r="K355">
        <f>IF($W355="","",IFERROR(INDEX(월별근무지표[적용 급여병원],MATCH(INDEX(합계표[사번키],$W355)&amp;"|"&amp;대상월키,월별근무지표[키],0))&amp;"",IF(COUNTIF(기관표[사번키],INDEX(합계표[사번키],$W355))+COUNTIF(월별근무지표[사번키],INDEX(합계표[사번키],$W355))&gt;0,IFERROR(INDEX(기관표[급여지급병원(기준월)],MATCH(INDEX(합계표[사번키],$W355)&amp;"|"&amp;대상월키,기관표[키],0))&amp;"","—"),"—")))</f>
        <v/>
      </c>
      <c r="L355">
        <f>IF($W355="","",IF(NOT(COUNTIF(기관표[사번키],INDEX(합계표[사번키],$W355))+COUNTIF(월별근무지표[사번키],INDEX(합계표[사번키],$W355))&gt;0),"기관명단에 없음(다른 병원으로 발송)",IF($K355="—","대상월 기관명단 없음(추가 필요)",IF($K355="서울병원","해당","비해당"))))</f>
        <v/>
      </c>
      <c r="M355">
        <f>IF($W355="","",SUMIFS(상세표[06~07시],상세표[사번키],INDEX(합계표[사번키],$W355),상세표[반영월],대상월키,상세표[반영 기관],"서울병원"))</f>
        <v/>
      </c>
      <c r="N355">
        <f>IF($W355="","",SUMIFS(상세표[07~18시],상세표[사번키],INDEX(합계표[사번키],$W355),상세표[반영월],대상월키,상세표[반영 기관],"서울병원"))</f>
        <v/>
      </c>
      <c r="O355">
        <f>IF($W355="","",SUMIFS(상세표[18~22시],상세표[사번키],INDEX(합계표[사번키],$W355),상세표[반영월],대상월키,상세표[반영 기관],"서울병원"))</f>
        <v/>
      </c>
      <c r="P355">
        <f>IF($W355="","",SUMIFS(상세표[22~06시],상세표[사번키],INDEX(합계표[사번키],$W355),상세표[반영월],대상월키,상세표[반영 기관],"서울병원"))</f>
        <v/>
      </c>
      <c r="Q355">
        <f>IF($W355="","",SUM($M355:$P355))</f>
        <v/>
      </c>
      <c r="R355">
        <f>IF($W355="","",COUNTIFS(상세표[사번키],INDEX(합계표[사번키],$W355),상세표[반영월],대상월키,상세표[야간당직],1,상세표[야간 구분],"평일"))</f>
        <v/>
      </c>
      <c r="S355" s="4">
        <f>IF($W355="","",COUNTIFS(상세표[사번키],INDEX(합계표[사번키],$W355),상세표[반영월],대상월키,상세표[야간당직],1,상세표[야간 구분],"휴일"))</f>
        <v/>
      </c>
      <c r="T355">
        <f>IF($W355="","",COUNTIFS(상세표[사번키],INDEX(합계표[사번키],$W355),상세표[반영월],대상월키,상세표[야간당직],1,상세표[야간 구분],"평일",상세표[반영 기관],"서울병원"))</f>
        <v/>
      </c>
      <c r="U355">
        <f>IF($W355="","",COUNTIFS(상세표[사번키],INDEX(합계표[사번키],$W355),상세표[반영월],대상월키,상세표[야간당직],1,상세표[야간 구분],"휴일",상세표[반영 기관],"서울병원"))</f>
        <v/>
      </c>
      <c r="V355">
        <f>IF($W355="","",IF(ISNUMBER(MATCH(INDEX(합계표[사번키],$W355)&amp;"|"&amp;대상월키,월별근무지표[키],0)),"직접 입력",IF($K355="—","—","기관명단")))</f>
        <v/>
      </c>
      <c r="W355">
        <f>IFERROR(MATCH(350,합계표[판정순번],0),"")</f>
        <v/>
      </c>
    </row>
    <row r="356">
      <c r="A356">
        <f>IF($W356="","",INDEX(합계표[사번],$W356)&amp;"")</f>
        <v/>
      </c>
      <c r="B356">
        <f>IF($W356="","",INDEX(합계표[성명],$W356)&amp;"")</f>
        <v/>
      </c>
      <c r="C356">
        <f>IF($W356="","",INDEX(합계표[부서],$W356)&amp;"")</f>
        <v/>
      </c>
      <c r="D356">
        <f>IF($W356="","",INDEX(합계표[직위(통합)],$W356)&amp;"")</f>
        <v/>
      </c>
      <c r="E356">
        <f>IF($W356="","",SUMIFS(합계표[시스템 합계],합계표[사번키],INDEX(합계표[사번키],$W356)))</f>
        <v/>
      </c>
      <c r="F356">
        <f>IF($W356="","",SUMIFS(상세표[기록 시간외],상세표[사번키],INDEX(합계표[사번키],$W356),상세표[기록월],대상월키))</f>
        <v/>
      </c>
      <c r="G356">
        <f>IF($W356="","",IF(ABS($E356-$F356)&lt;0.01,"일치","불일치(차이 "&amp;TEXT($F356-$E356,"0.00")&amp;")"))</f>
        <v/>
      </c>
      <c r="H356">
        <f>IF($W356="","",SUMIFS(상세표[기록 시간외],상세표[사번키],INDEX(합계표[사번키],$W356),상세표[기록월],대상월키,상세표[반영월],"&lt;&gt;"&amp;대상월키))</f>
        <v/>
      </c>
      <c r="I356">
        <f>IF($W356="","",SUMIFS(상세표[기록 시간외],상세표[사번키],INDEX(합계표[사번키],$W356),상세표[기록월],"&lt;&gt;"&amp;대상월키,상세표[반영월],대상월키))</f>
        <v/>
      </c>
      <c r="J356">
        <f>IF($W356="","",SUMIFS(상세표[기록 시간외],상세표[사번키],INDEX(합계표[사번키],$W356),상세표[반영월],대상월키))</f>
        <v/>
      </c>
      <c r="K356">
        <f>IF($W356="","",IFERROR(INDEX(월별근무지표[적용 급여병원],MATCH(INDEX(합계표[사번키],$W356)&amp;"|"&amp;대상월키,월별근무지표[키],0))&amp;"",IF(COUNTIF(기관표[사번키],INDEX(합계표[사번키],$W356))+COUNTIF(월별근무지표[사번키],INDEX(합계표[사번키],$W356))&gt;0,IFERROR(INDEX(기관표[급여지급병원(기준월)],MATCH(INDEX(합계표[사번키],$W356)&amp;"|"&amp;대상월키,기관표[키],0))&amp;"","—"),"—")))</f>
        <v/>
      </c>
      <c r="L356">
        <f>IF($W356="","",IF(NOT(COUNTIF(기관표[사번키],INDEX(합계표[사번키],$W356))+COUNTIF(월별근무지표[사번키],INDEX(합계표[사번키],$W356))&gt;0),"기관명단에 없음(다른 병원으로 발송)",IF($K356="—","대상월 기관명단 없음(추가 필요)",IF($K356="서울병원","해당","비해당"))))</f>
        <v/>
      </c>
      <c r="M356">
        <f>IF($W356="","",SUMIFS(상세표[06~07시],상세표[사번키],INDEX(합계표[사번키],$W356),상세표[반영월],대상월키,상세표[반영 기관],"서울병원"))</f>
        <v/>
      </c>
      <c r="N356">
        <f>IF($W356="","",SUMIFS(상세표[07~18시],상세표[사번키],INDEX(합계표[사번키],$W356),상세표[반영월],대상월키,상세표[반영 기관],"서울병원"))</f>
        <v/>
      </c>
      <c r="O356">
        <f>IF($W356="","",SUMIFS(상세표[18~22시],상세표[사번키],INDEX(합계표[사번키],$W356),상세표[반영월],대상월키,상세표[반영 기관],"서울병원"))</f>
        <v/>
      </c>
      <c r="P356">
        <f>IF($W356="","",SUMIFS(상세표[22~06시],상세표[사번키],INDEX(합계표[사번키],$W356),상세표[반영월],대상월키,상세표[반영 기관],"서울병원"))</f>
        <v/>
      </c>
      <c r="Q356">
        <f>IF($W356="","",SUM($M356:$P356))</f>
        <v/>
      </c>
      <c r="R356">
        <f>IF($W356="","",COUNTIFS(상세표[사번키],INDEX(합계표[사번키],$W356),상세표[반영월],대상월키,상세표[야간당직],1,상세표[야간 구분],"평일"))</f>
        <v/>
      </c>
      <c r="S356" s="4">
        <f>IF($W356="","",COUNTIFS(상세표[사번키],INDEX(합계표[사번키],$W356),상세표[반영월],대상월키,상세표[야간당직],1,상세표[야간 구분],"휴일"))</f>
        <v/>
      </c>
      <c r="T356">
        <f>IF($W356="","",COUNTIFS(상세표[사번키],INDEX(합계표[사번키],$W356),상세표[반영월],대상월키,상세표[야간당직],1,상세표[야간 구분],"평일",상세표[반영 기관],"서울병원"))</f>
        <v/>
      </c>
      <c r="U356">
        <f>IF($W356="","",COUNTIFS(상세표[사번키],INDEX(합계표[사번키],$W356),상세표[반영월],대상월키,상세표[야간당직],1,상세표[야간 구분],"휴일",상세표[반영 기관],"서울병원"))</f>
        <v/>
      </c>
      <c r="V356">
        <f>IF($W356="","",IF(ISNUMBER(MATCH(INDEX(합계표[사번키],$W356)&amp;"|"&amp;대상월키,월별근무지표[키],0)),"직접 입력",IF($K356="—","—","기관명단")))</f>
        <v/>
      </c>
      <c r="W356">
        <f>IFERROR(MATCH(351,합계표[판정순번],0),"")</f>
        <v/>
      </c>
    </row>
    <row r="357">
      <c r="A357">
        <f>IF($W357="","",INDEX(합계표[사번],$W357)&amp;"")</f>
        <v/>
      </c>
      <c r="B357">
        <f>IF($W357="","",INDEX(합계표[성명],$W357)&amp;"")</f>
        <v/>
      </c>
      <c r="C357">
        <f>IF($W357="","",INDEX(합계표[부서],$W357)&amp;"")</f>
        <v/>
      </c>
      <c r="D357">
        <f>IF($W357="","",INDEX(합계표[직위(통합)],$W357)&amp;"")</f>
        <v/>
      </c>
      <c r="E357">
        <f>IF($W357="","",SUMIFS(합계표[시스템 합계],합계표[사번키],INDEX(합계표[사번키],$W357)))</f>
        <v/>
      </c>
      <c r="F357">
        <f>IF($W357="","",SUMIFS(상세표[기록 시간외],상세표[사번키],INDEX(합계표[사번키],$W357),상세표[기록월],대상월키))</f>
        <v/>
      </c>
      <c r="G357">
        <f>IF($W357="","",IF(ABS($E357-$F357)&lt;0.01,"일치","불일치(차이 "&amp;TEXT($F357-$E357,"0.00")&amp;")"))</f>
        <v/>
      </c>
      <c r="H357">
        <f>IF($W357="","",SUMIFS(상세표[기록 시간외],상세표[사번키],INDEX(합계표[사번키],$W357),상세표[기록월],대상월키,상세표[반영월],"&lt;&gt;"&amp;대상월키))</f>
        <v/>
      </c>
      <c r="I357">
        <f>IF($W357="","",SUMIFS(상세표[기록 시간외],상세표[사번키],INDEX(합계표[사번키],$W357),상세표[기록월],"&lt;&gt;"&amp;대상월키,상세표[반영월],대상월키))</f>
        <v/>
      </c>
      <c r="J357">
        <f>IF($W357="","",SUMIFS(상세표[기록 시간외],상세표[사번키],INDEX(합계표[사번키],$W357),상세표[반영월],대상월키))</f>
        <v/>
      </c>
      <c r="K357">
        <f>IF($W357="","",IFERROR(INDEX(월별근무지표[적용 급여병원],MATCH(INDEX(합계표[사번키],$W357)&amp;"|"&amp;대상월키,월별근무지표[키],0))&amp;"",IF(COUNTIF(기관표[사번키],INDEX(합계표[사번키],$W357))+COUNTIF(월별근무지표[사번키],INDEX(합계표[사번키],$W357))&gt;0,IFERROR(INDEX(기관표[급여지급병원(기준월)],MATCH(INDEX(합계표[사번키],$W357)&amp;"|"&amp;대상월키,기관표[키],0))&amp;"","—"),"—")))</f>
        <v/>
      </c>
      <c r="L357">
        <f>IF($W357="","",IF(NOT(COUNTIF(기관표[사번키],INDEX(합계표[사번키],$W357))+COUNTIF(월별근무지표[사번키],INDEX(합계표[사번키],$W357))&gt;0),"기관명단에 없음(다른 병원으로 발송)",IF($K357="—","대상월 기관명단 없음(추가 필요)",IF($K357="서울병원","해당","비해당"))))</f>
        <v/>
      </c>
      <c r="M357">
        <f>IF($W357="","",SUMIFS(상세표[06~07시],상세표[사번키],INDEX(합계표[사번키],$W357),상세표[반영월],대상월키,상세표[반영 기관],"서울병원"))</f>
        <v/>
      </c>
      <c r="N357">
        <f>IF($W357="","",SUMIFS(상세표[07~18시],상세표[사번키],INDEX(합계표[사번키],$W357),상세표[반영월],대상월키,상세표[반영 기관],"서울병원"))</f>
        <v/>
      </c>
      <c r="O357">
        <f>IF($W357="","",SUMIFS(상세표[18~22시],상세표[사번키],INDEX(합계표[사번키],$W357),상세표[반영월],대상월키,상세표[반영 기관],"서울병원"))</f>
        <v/>
      </c>
      <c r="P357">
        <f>IF($W357="","",SUMIFS(상세표[22~06시],상세표[사번키],INDEX(합계표[사번키],$W357),상세표[반영월],대상월키,상세표[반영 기관],"서울병원"))</f>
        <v/>
      </c>
      <c r="Q357">
        <f>IF($W357="","",SUM($M357:$P357))</f>
        <v/>
      </c>
      <c r="R357">
        <f>IF($W357="","",COUNTIFS(상세표[사번키],INDEX(합계표[사번키],$W357),상세표[반영월],대상월키,상세표[야간당직],1,상세표[야간 구분],"평일"))</f>
        <v/>
      </c>
      <c r="S357" s="4">
        <f>IF($W357="","",COUNTIFS(상세표[사번키],INDEX(합계표[사번키],$W357),상세표[반영월],대상월키,상세표[야간당직],1,상세표[야간 구분],"휴일"))</f>
        <v/>
      </c>
      <c r="T357">
        <f>IF($W357="","",COUNTIFS(상세표[사번키],INDEX(합계표[사번키],$W357),상세표[반영월],대상월키,상세표[야간당직],1,상세표[야간 구분],"평일",상세표[반영 기관],"서울병원"))</f>
        <v/>
      </c>
      <c r="U357">
        <f>IF($W357="","",COUNTIFS(상세표[사번키],INDEX(합계표[사번키],$W357),상세표[반영월],대상월키,상세표[야간당직],1,상세표[야간 구분],"휴일",상세표[반영 기관],"서울병원"))</f>
        <v/>
      </c>
      <c r="V357">
        <f>IF($W357="","",IF(ISNUMBER(MATCH(INDEX(합계표[사번키],$W357)&amp;"|"&amp;대상월키,월별근무지표[키],0)),"직접 입력",IF($K357="—","—","기관명단")))</f>
        <v/>
      </c>
      <c r="W357">
        <f>IFERROR(MATCH(352,합계표[판정순번],0),"")</f>
        <v/>
      </c>
    </row>
    <row r="358">
      <c r="A358">
        <f>IF($W358="","",INDEX(합계표[사번],$W358)&amp;"")</f>
        <v/>
      </c>
      <c r="B358">
        <f>IF($W358="","",INDEX(합계표[성명],$W358)&amp;"")</f>
        <v/>
      </c>
      <c r="C358">
        <f>IF($W358="","",INDEX(합계표[부서],$W358)&amp;"")</f>
        <v/>
      </c>
      <c r="D358">
        <f>IF($W358="","",INDEX(합계표[직위(통합)],$W358)&amp;"")</f>
        <v/>
      </c>
      <c r="E358">
        <f>IF($W358="","",SUMIFS(합계표[시스템 합계],합계표[사번키],INDEX(합계표[사번키],$W358)))</f>
        <v/>
      </c>
      <c r="F358">
        <f>IF($W358="","",SUMIFS(상세표[기록 시간외],상세표[사번키],INDEX(합계표[사번키],$W358),상세표[기록월],대상월키))</f>
        <v/>
      </c>
      <c r="G358">
        <f>IF($W358="","",IF(ABS($E358-$F358)&lt;0.01,"일치","불일치(차이 "&amp;TEXT($F358-$E358,"0.00")&amp;")"))</f>
        <v/>
      </c>
      <c r="H358">
        <f>IF($W358="","",SUMIFS(상세표[기록 시간외],상세표[사번키],INDEX(합계표[사번키],$W358),상세표[기록월],대상월키,상세표[반영월],"&lt;&gt;"&amp;대상월키))</f>
        <v/>
      </c>
      <c r="I358">
        <f>IF($W358="","",SUMIFS(상세표[기록 시간외],상세표[사번키],INDEX(합계표[사번키],$W358),상세표[기록월],"&lt;&gt;"&amp;대상월키,상세표[반영월],대상월키))</f>
        <v/>
      </c>
      <c r="J358">
        <f>IF($W358="","",SUMIFS(상세표[기록 시간외],상세표[사번키],INDEX(합계표[사번키],$W358),상세표[반영월],대상월키))</f>
        <v/>
      </c>
      <c r="K358">
        <f>IF($W358="","",IFERROR(INDEX(월별근무지표[적용 급여병원],MATCH(INDEX(합계표[사번키],$W358)&amp;"|"&amp;대상월키,월별근무지표[키],0))&amp;"",IF(COUNTIF(기관표[사번키],INDEX(합계표[사번키],$W358))+COUNTIF(월별근무지표[사번키],INDEX(합계표[사번키],$W358))&gt;0,IFERROR(INDEX(기관표[급여지급병원(기준월)],MATCH(INDEX(합계표[사번키],$W358)&amp;"|"&amp;대상월키,기관표[키],0))&amp;"","—"),"—")))</f>
        <v/>
      </c>
      <c r="L358">
        <f>IF($W358="","",IF(NOT(COUNTIF(기관표[사번키],INDEX(합계표[사번키],$W358))+COUNTIF(월별근무지표[사번키],INDEX(합계표[사번키],$W358))&gt;0),"기관명단에 없음(다른 병원으로 발송)",IF($K358="—","대상월 기관명단 없음(추가 필요)",IF($K358="서울병원","해당","비해당"))))</f>
        <v/>
      </c>
      <c r="M358">
        <f>IF($W358="","",SUMIFS(상세표[06~07시],상세표[사번키],INDEX(합계표[사번키],$W358),상세표[반영월],대상월키,상세표[반영 기관],"서울병원"))</f>
        <v/>
      </c>
      <c r="N358">
        <f>IF($W358="","",SUMIFS(상세표[07~18시],상세표[사번키],INDEX(합계표[사번키],$W358),상세표[반영월],대상월키,상세표[반영 기관],"서울병원"))</f>
        <v/>
      </c>
      <c r="O358">
        <f>IF($W358="","",SUMIFS(상세표[18~22시],상세표[사번키],INDEX(합계표[사번키],$W358),상세표[반영월],대상월키,상세표[반영 기관],"서울병원"))</f>
        <v/>
      </c>
      <c r="P358">
        <f>IF($W358="","",SUMIFS(상세표[22~06시],상세표[사번키],INDEX(합계표[사번키],$W358),상세표[반영월],대상월키,상세표[반영 기관],"서울병원"))</f>
        <v/>
      </c>
      <c r="Q358">
        <f>IF($W358="","",SUM($M358:$P358))</f>
        <v/>
      </c>
      <c r="R358">
        <f>IF($W358="","",COUNTIFS(상세표[사번키],INDEX(합계표[사번키],$W358),상세표[반영월],대상월키,상세표[야간당직],1,상세표[야간 구분],"평일"))</f>
        <v/>
      </c>
      <c r="S358" s="4">
        <f>IF($W358="","",COUNTIFS(상세표[사번키],INDEX(합계표[사번키],$W358),상세표[반영월],대상월키,상세표[야간당직],1,상세표[야간 구분],"휴일"))</f>
        <v/>
      </c>
      <c r="T358">
        <f>IF($W358="","",COUNTIFS(상세표[사번키],INDEX(합계표[사번키],$W358),상세표[반영월],대상월키,상세표[야간당직],1,상세표[야간 구분],"평일",상세표[반영 기관],"서울병원"))</f>
        <v/>
      </c>
      <c r="U358">
        <f>IF($W358="","",COUNTIFS(상세표[사번키],INDEX(합계표[사번키],$W358),상세표[반영월],대상월키,상세표[야간당직],1,상세표[야간 구분],"휴일",상세표[반영 기관],"서울병원"))</f>
        <v/>
      </c>
      <c r="V358">
        <f>IF($W358="","",IF(ISNUMBER(MATCH(INDEX(합계표[사번키],$W358)&amp;"|"&amp;대상월키,월별근무지표[키],0)),"직접 입력",IF($K358="—","—","기관명단")))</f>
        <v/>
      </c>
      <c r="W358">
        <f>IFERROR(MATCH(353,합계표[판정순번],0),"")</f>
        <v/>
      </c>
    </row>
    <row r="359">
      <c r="A359">
        <f>IF($W359="","",INDEX(합계표[사번],$W359)&amp;"")</f>
        <v/>
      </c>
      <c r="B359">
        <f>IF($W359="","",INDEX(합계표[성명],$W359)&amp;"")</f>
        <v/>
      </c>
      <c r="C359">
        <f>IF($W359="","",INDEX(합계표[부서],$W359)&amp;"")</f>
        <v/>
      </c>
      <c r="D359">
        <f>IF($W359="","",INDEX(합계표[직위(통합)],$W359)&amp;"")</f>
        <v/>
      </c>
      <c r="E359">
        <f>IF($W359="","",SUMIFS(합계표[시스템 합계],합계표[사번키],INDEX(합계표[사번키],$W359)))</f>
        <v/>
      </c>
      <c r="F359">
        <f>IF($W359="","",SUMIFS(상세표[기록 시간외],상세표[사번키],INDEX(합계표[사번키],$W359),상세표[기록월],대상월키))</f>
        <v/>
      </c>
      <c r="G359">
        <f>IF($W359="","",IF(ABS($E359-$F359)&lt;0.01,"일치","불일치(차이 "&amp;TEXT($F359-$E359,"0.00")&amp;")"))</f>
        <v/>
      </c>
      <c r="H359">
        <f>IF($W359="","",SUMIFS(상세표[기록 시간외],상세표[사번키],INDEX(합계표[사번키],$W359),상세표[기록월],대상월키,상세표[반영월],"&lt;&gt;"&amp;대상월키))</f>
        <v/>
      </c>
      <c r="I359">
        <f>IF($W359="","",SUMIFS(상세표[기록 시간외],상세표[사번키],INDEX(합계표[사번키],$W359),상세표[기록월],"&lt;&gt;"&amp;대상월키,상세표[반영월],대상월키))</f>
        <v/>
      </c>
      <c r="J359">
        <f>IF($W359="","",SUMIFS(상세표[기록 시간외],상세표[사번키],INDEX(합계표[사번키],$W359),상세표[반영월],대상월키))</f>
        <v/>
      </c>
      <c r="K359">
        <f>IF($W359="","",IFERROR(INDEX(월별근무지표[적용 급여병원],MATCH(INDEX(합계표[사번키],$W359)&amp;"|"&amp;대상월키,월별근무지표[키],0))&amp;"",IF(COUNTIF(기관표[사번키],INDEX(합계표[사번키],$W359))+COUNTIF(월별근무지표[사번키],INDEX(합계표[사번키],$W359))&gt;0,IFERROR(INDEX(기관표[급여지급병원(기준월)],MATCH(INDEX(합계표[사번키],$W359)&amp;"|"&amp;대상월키,기관표[키],0))&amp;"","—"),"—")))</f>
        <v/>
      </c>
      <c r="L359">
        <f>IF($W359="","",IF(NOT(COUNTIF(기관표[사번키],INDEX(합계표[사번키],$W359))+COUNTIF(월별근무지표[사번키],INDEX(합계표[사번키],$W359))&gt;0),"기관명단에 없음(다른 병원으로 발송)",IF($K359="—","대상월 기관명단 없음(추가 필요)",IF($K359="서울병원","해당","비해당"))))</f>
        <v/>
      </c>
      <c r="M359">
        <f>IF($W359="","",SUMIFS(상세표[06~07시],상세표[사번키],INDEX(합계표[사번키],$W359),상세표[반영월],대상월키,상세표[반영 기관],"서울병원"))</f>
        <v/>
      </c>
      <c r="N359">
        <f>IF($W359="","",SUMIFS(상세표[07~18시],상세표[사번키],INDEX(합계표[사번키],$W359),상세표[반영월],대상월키,상세표[반영 기관],"서울병원"))</f>
        <v/>
      </c>
      <c r="O359">
        <f>IF($W359="","",SUMIFS(상세표[18~22시],상세표[사번키],INDEX(합계표[사번키],$W359),상세표[반영월],대상월키,상세표[반영 기관],"서울병원"))</f>
        <v/>
      </c>
      <c r="P359">
        <f>IF($W359="","",SUMIFS(상세표[22~06시],상세표[사번키],INDEX(합계표[사번키],$W359),상세표[반영월],대상월키,상세표[반영 기관],"서울병원"))</f>
        <v/>
      </c>
      <c r="Q359">
        <f>IF($W359="","",SUM($M359:$P359))</f>
        <v/>
      </c>
      <c r="R359">
        <f>IF($W359="","",COUNTIFS(상세표[사번키],INDEX(합계표[사번키],$W359),상세표[반영월],대상월키,상세표[야간당직],1,상세표[야간 구분],"평일"))</f>
        <v/>
      </c>
      <c r="S359" s="4">
        <f>IF($W359="","",COUNTIFS(상세표[사번키],INDEX(합계표[사번키],$W359),상세표[반영월],대상월키,상세표[야간당직],1,상세표[야간 구분],"휴일"))</f>
        <v/>
      </c>
      <c r="T359">
        <f>IF($W359="","",COUNTIFS(상세표[사번키],INDEX(합계표[사번키],$W359),상세표[반영월],대상월키,상세표[야간당직],1,상세표[야간 구분],"평일",상세표[반영 기관],"서울병원"))</f>
        <v/>
      </c>
      <c r="U359">
        <f>IF($W359="","",COUNTIFS(상세표[사번키],INDEX(합계표[사번키],$W359),상세표[반영월],대상월키,상세표[야간당직],1,상세표[야간 구분],"휴일",상세표[반영 기관],"서울병원"))</f>
        <v/>
      </c>
      <c r="V359">
        <f>IF($W359="","",IF(ISNUMBER(MATCH(INDEX(합계표[사번키],$W359)&amp;"|"&amp;대상월키,월별근무지표[키],0)),"직접 입력",IF($K359="—","—","기관명단")))</f>
        <v/>
      </c>
      <c r="W359">
        <f>IFERROR(MATCH(354,합계표[판정순번],0),"")</f>
        <v/>
      </c>
    </row>
    <row r="360">
      <c r="A360">
        <f>IF($W360="","",INDEX(합계표[사번],$W360)&amp;"")</f>
        <v/>
      </c>
      <c r="B360">
        <f>IF($W360="","",INDEX(합계표[성명],$W360)&amp;"")</f>
        <v/>
      </c>
      <c r="C360">
        <f>IF($W360="","",INDEX(합계표[부서],$W360)&amp;"")</f>
        <v/>
      </c>
      <c r="D360">
        <f>IF($W360="","",INDEX(합계표[직위(통합)],$W360)&amp;"")</f>
        <v/>
      </c>
      <c r="E360">
        <f>IF($W360="","",SUMIFS(합계표[시스템 합계],합계표[사번키],INDEX(합계표[사번키],$W360)))</f>
        <v/>
      </c>
      <c r="F360">
        <f>IF($W360="","",SUMIFS(상세표[기록 시간외],상세표[사번키],INDEX(합계표[사번키],$W360),상세표[기록월],대상월키))</f>
        <v/>
      </c>
      <c r="G360">
        <f>IF($W360="","",IF(ABS($E360-$F360)&lt;0.01,"일치","불일치(차이 "&amp;TEXT($F360-$E360,"0.00")&amp;")"))</f>
        <v/>
      </c>
      <c r="H360">
        <f>IF($W360="","",SUMIFS(상세표[기록 시간외],상세표[사번키],INDEX(합계표[사번키],$W360),상세표[기록월],대상월키,상세표[반영월],"&lt;&gt;"&amp;대상월키))</f>
        <v/>
      </c>
      <c r="I360">
        <f>IF($W360="","",SUMIFS(상세표[기록 시간외],상세표[사번키],INDEX(합계표[사번키],$W360),상세표[기록월],"&lt;&gt;"&amp;대상월키,상세표[반영월],대상월키))</f>
        <v/>
      </c>
      <c r="J360">
        <f>IF($W360="","",SUMIFS(상세표[기록 시간외],상세표[사번키],INDEX(합계표[사번키],$W360),상세표[반영월],대상월키))</f>
        <v/>
      </c>
      <c r="K360">
        <f>IF($W360="","",IFERROR(INDEX(월별근무지표[적용 급여병원],MATCH(INDEX(합계표[사번키],$W360)&amp;"|"&amp;대상월키,월별근무지표[키],0))&amp;"",IF(COUNTIF(기관표[사번키],INDEX(합계표[사번키],$W360))+COUNTIF(월별근무지표[사번키],INDEX(합계표[사번키],$W360))&gt;0,IFERROR(INDEX(기관표[급여지급병원(기준월)],MATCH(INDEX(합계표[사번키],$W360)&amp;"|"&amp;대상월키,기관표[키],0))&amp;"","—"),"—")))</f>
        <v/>
      </c>
      <c r="L360">
        <f>IF($W360="","",IF(NOT(COUNTIF(기관표[사번키],INDEX(합계표[사번키],$W360))+COUNTIF(월별근무지표[사번키],INDEX(합계표[사번키],$W360))&gt;0),"기관명단에 없음(다른 병원으로 발송)",IF($K360="—","대상월 기관명단 없음(추가 필요)",IF($K360="서울병원","해당","비해당"))))</f>
        <v/>
      </c>
      <c r="M360">
        <f>IF($W360="","",SUMIFS(상세표[06~07시],상세표[사번키],INDEX(합계표[사번키],$W360),상세표[반영월],대상월키,상세표[반영 기관],"서울병원"))</f>
        <v/>
      </c>
      <c r="N360">
        <f>IF($W360="","",SUMIFS(상세표[07~18시],상세표[사번키],INDEX(합계표[사번키],$W360),상세표[반영월],대상월키,상세표[반영 기관],"서울병원"))</f>
        <v/>
      </c>
      <c r="O360">
        <f>IF($W360="","",SUMIFS(상세표[18~22시],상세표[사번키],INDEX(합계표[사번키],$W360),상세표[반영월],대상월키,상세표[반영 기관],"서울병원"))</f>
        <v/>
      </c>
      <c r="P360">
        <f>IF($W360="","",SUMIFS(상세표[22~06시],상세표[사번키],INDEX(합계표[사번키],$W360),상세표[반영월],대상월키,상세표[반영 기관],"서울병원"))</f>
        <v/>
      </c>
      <c r="Q360">
        <f>IF($W360="","",SUM($M360:$P360))</f>
        <v/>
      </c>
      <c r="R360">
        <f>IF($W360="","",COUNTIFS(상세표[사번키],INDEX(합계표[사번키],$W360),상세표[반영월],대상월키,상세표[야간당직],1,상세표[야간 구분],"평일"))</f>
        <v/>
      </c>
      <c r="S360" s="4">
        <f>IF($W360="","",COUNTIFS(상세표[사번키],INDEX(합계표[사번키],$W360),상세표[반영월],대상월키,상세표[야간당직],1,상세표[야간 구분],"휴일"))</f>
        <v/>
      </c>
      <c r="T360">
        <f>IF($W360="","",COUNTIFS(상세표[사번키],INDEX(합계표[사번키],$W360),상세표[반영월],대상월키,상세표[야간당직],1,상세표[야간 구분],"평일",상세표[반영 기관],"서울병원"))</f>
        <v/>
      </c>
      <c r="U360">
        <f>IF($W360="","",COUNTIFS(상세표[사번키],INDEX(합계표[사번키],$W360),상세표[반영월],대상월키,상세표[야간당직],1,상세표[야간 구분],"휴일",상세표[반영 기관],"서울병원"))</f>
        <v/>
      </c>
      <c r="V360">
        <f>IF($W360="","",IF(ISNUMBER(MATCH(INDEX(합계표[사번키],$W360)&amp;"|"&amp;대상월키,월별근무지표[키],0)),"직접 입력",IF($K360="—","—","기관명단")))</f>
        <v/>
      </c>
      <c r="W360">
        <f>IFERROR(MATCH(355,합계표[판정순번],0),"")</f>
        <v/>
      </c>
    </row>
    <row r="361">
      <c r="A361">
        <f>IF($W361="","",INDEX(합계표[사번],$W361)&amp;"")</f>
        <v/>
      </c>
      <c r="B361">
        <f>IF($W361="","",INDEX(합계표[성명],$W361)&amp;"")</f>
        <v/>
      </c>
      <c r="C361">
        <f>IF($W361="","",INDEX(합계표[부서],$W361)&amp;"")</f>
        <v/>
      </c>
      <c r="D361">
        <f>IF($W361="","",INDEX(합계표[직위(통합)],$W361)&amp;"")</f>
        <v/>
      </c>
      <c r="E361">
        <f>IF($W361="","",SUMIFS(합계표[시스템 합계],합계표[사번키],INDEX(합계표[사번키],$W361)))</f>
        <v/>
      </c>
      <c r="F361">
        <f>IF($W361="","",SUMIFS(상세표[기록 시간외],상세표[사번키],INDEX(합계표[사번키],$W361),상세표[기록월],대상월키))</f>
        <v/>
      </c>
      <c r="G361">
        <f>IF($W361="","",IF(ABS($E361-$F361)&lt;0.01,"일치","불일치(차이 "&amp;TEXT($F361-$E361,"0.00")&amp;")"))</f>
        <v/>
      </c>
      <c r="H361">
        <f>IF($W361="","",SUMIFS(상세표[기록 시간외],상세표[사번키],INDEX(합계표[사번키],$W361),상세표[기록월],대상월키,상세표[반영월],"&lt;&gt;"&amp;대상월키))</f>
        <v/>
      </c>
      <c r="I361">
        <f>IF($W361="","",SUMIFS(상세표[기록 시간외],상세표[사번키],INDEX(합계표[사번키],$W361),상세표[기록월],"&lt;&gt;"&amp;대상월키,상세표[반영월],대상월키))</f>
        <v/>
      </c>
      <c r="J361">
        <f>IF($W361="","",SUMIFS(상세표[기록 시간외],상세표[사번키],INDEX(합계표[사번키],$W361),상세표[반영월],대상월키))</f>
        <v/>
      </c>
      <c r="K361">
        <f>IF($W361="","",IFERROR(INDEX(월별근무지표[적용 급여병원],MATCH(INDEX(합계표[사번키],$W361)&amp;"|"&amp;대상월키,월별근무지표[키],0))&amp;"",IF(COUNTIF(기관표[사번키],INDEX(합계표[사번키],$W361))+COUNTIF(월별근무지표[사번키],INDEX(합계표[사번키],$W361))&gt;0,IFERROR(INDEX(기관표[급여지급병원(기준월)],MATCH(INDEX(합계표[사번키],$W361)&amp;"|"&amp;대상월키,기관표[키],0))&amp;"","—"),"—")))</f>
        <v/>
      </c>
      <c r="L361">
        <f>IF($W361="","",IF(NOT(COUNTIF(기관표[사번키],INDEX(합계표[사번키],$W361))+COUNTIF(월별근무지표[사번키],INDEX(합계표[사번키],$W361))&gt;0),"기관명단에 없음(다른 병원으로 발송)",IF($K361="—","대상월 기관명단 없음(추가 필요)",IF($K361="서울병원","해당","비해당"))))</f>
        <v/>
      </c>
      <c r="M361">
        <f>IF($W361="","",SUMIFS(상세표[06~07시],상세표[사번키],INDEX(합계표[사번키],$W361),상세표[반영월],대상월키,상세표[반영 기관],"서울병원"))</f>
        <v/>
      </c>
      <c r="N361">
        <f>IF($W361="","",SUMIFS(상세표[07~18시],상세표[사번키],INDEX(합계표[사번키],$W361),상세표[반영월],대상월키,상세표[반영 기관],"서울병원"))</f>
        <v/>
      </c>
      <c r="O361">
        <f>IF($W361="","",SUMIFS(상세표[18~22시],상세표[사번키],INDEX(합계표[사번키],$W361),상세표[반영월],대상월키,상세표[반영 기관],"서울병원"))</f>
        <v/>
      </c>
      <c r="P361">
        <f>IF($W361="","",SUMIFS(상세표[22~06시],상세표[사번키],INDEX(합계표[사번키],$W361),상세표[반영월],대상월키,상세표[반영 기관],"서울병원"))</f>
        <v/>
      </c>
      <c r="Q361">
        <f>IF($W361="","",SUM($M361:$P361))</f>
        <v/>
      </c>
      <c r="R361">
        <f>IF($W361="","",COUNTIFS(상세표[사번키],INDEX(합계표[사번키],$W361),상세표[반영월],대상월키,상세표[야간당직],1,상세표[야간 구분],"평일"))</f>
        <v/>
      </c>
      <c r="S361" s="4">
        <f>IF($W361="","",COUNTIFS(상세표[사번키],INDEX(합계표[사번키],$W361),상세표[반영월],대상월키,상세표[야간당직],1,상세표[야간 구분],"휴일"))</f>
        <v/>
      </c>
      <c r="T361">
        <f>IF($W361="","",COUNTIFS(상세표[사번키],INDEX(합계표[사번키],$W361),상세표[반영월],대상월키,상세표[야간당직],1,상세표[야간 구분],"평일",상세표[반영 기관],"서울병원"))</f>
        <v/>
      </c>
      <c r="U361">
        <f>IF($W361="","",COUNTIFS(상세표[사번키],INDEX(합계표[사번키],$W361),상세표[반영월],대상월키,상세표[야간당직],1,상세표[야간 구분],"휴일",상세표[반영 기관],"서울병원"))</f>
        <v/>
      </c>
      <c r="V361">
        <f>IF($W361="","",IF(ISNUMBER(MATCH(INDEX(합계표[사번키],$W361)&amp;"|"&amp;대상월키,월별근무지표[키],0)),"직접 입력",IF($K361="—","—","기관명단")))</f>
        <v/>
      </c>
      <c r="W361">
        <f>IFERROR(MATCH(356,합계표[판정순번],0),"")</f>
        <v/>
      </c>
    </row>
    <row r="362">
      <c r="A362">
        <f>IF($W362="","",INDEX(합계표[사번],$W362)&amp;"")</f>
        <v/>
      </c>
      <c r="B362">
        <f>IF($W362="","",INDEX(합계표[성명],$W362)&amp;"")</f>
        <v/>
      </c>
      <c r="C362">
        <f>IF($W362="","",INDEX(합계표[부서],$W362)&amp;"")</f>
        <v/>
      </c>
      <c r="D362">
        <f>IF($W362="","",INDEX(합계표[직위(통합)],$W362)&amp;"")</f>
        <v/>
      </c>
      <c r="E362">
        <f>IF($W362="","",SUMIFS(합계표[시스템 합계],합계표[사번키],INDEX(합계표[사번키],$W362)))</f>
        <v/>
      </c>
      <c r="F362">
        <f>IF($W362="","",SUMIFS(상세표[기록 시간외],상세표[사번키],INDEX(합계표[사번키],$W362),상세표[기록월],대상월키))</f>
        <v/>
      </c>
      <c r="G362">
        <f>IF($W362="","",IF(ABS($E362-$F362)&lt;0.01,"일치","불일치(차이 "&amp;TEXT($F362-$E362,"0.00")&amp;")"))</f>
        <v/>
      </c>
      <c r="H362">
        <f>IF($W362="","",SUMIFS(상세표[기록 시간외],상세표[사번키],INDEX(합계표[사번키],$W362),상세표[기록월],대상월키,상세표[반영월],"&lt;&gt;"&amp;대상월키))</f>
        <v/>
      </c>
      <c r="I362">
        <f>IF($W362="","",SUMIFS(상세표[기록 시간외],상세표[사번키],INDEX(합계표[사번키],$W362),상세표[기록월],"&lt;&gt;"&amp;대상월키,상세표[반영월],대상월키))</f>
        <v/>
      </c>
      <c r="J362">
        <f>IF($W362="","",SUMIFS(상세표[기록 시간외],상세표[사번키],INDEX(합계표[사번키],$W362),상세표[반영월],대상월키))</f>
        <v/>
      </c>
      <c r="K362">
        <f>IF($W362="","",IFERROR(INDEX(월별근무지표[적용 급여병원],MATCH(INDEX(합계표[사번키],$W362)&amp;"|"&amp;대상월키,월별근무지표[키],0))&amp;"",IF(COUNTIF(기관표[사번키],INDEX(합계표[사번키],$W362))+COUNTIF(월별근무지표[사번키],INDEX(합계표[사번키],$W362))&gt;0,IFERROR(INDEX(기관표[급여지급병원(기준월)],MATCH(INDEX(합계표[사번키],$W362)&amp;"|"&amp;대상월키,기관표[키],0))&amp;"","—"),"—")))</f>
        <v/>
      </c>
      <c r="L362">
        <f>IF($W362="","",IF(NOT(COUNTIF(기관표[사번키],INDEX(합계표[사번키],$W362))+COUNTIF(월별근무지표[사번키],INDEX(합계표[사번키],$W362))&gt;0),"기관명단에 없음(다른 병원으로 발송)",IF($K362="—","대상월 기관명단 없음(추가 필요)",IF($K362="서울병원","해당","비해당"))))</f>
        <v/>
      </c>
      <c r="M362">
        <f>IF($W362="","",SUMIFS(상세표[06~07시],상세표[사번키],INDEX(합계표[사번키],$W362),상세표[반영월],대상월키,상세표[반영 기관],"서울병원"))</f>
        <v/>
      </c>
      <c r="N362">
        <f>IF($W362="","",SUMIFS(상세표[07~18시],상세표[사번키],INDEX(합계표[사번키],$W362),상세표[반영월],대상월키,상세표[반영 기관],"서울병원"))</f>
        <v/>
      </c>
      <c r="O362">
        <f>IF($W362="","",SUMIFS(상세표[18~22시],상세표[사번키],INDEX(합계표[사번키],$W362),상세표[반영월],대상월키,상세표[반영 기관],"서울병원"))</f>
        <v/>
      </c>
      <c r="P362">
        <f>IF($W362="","",SUMIFS(상세표[22~06시],상세표[사번키],INDEX(합계표[사번키],$W362),상세표[반영월],대상월키,상세표[반영 기관],"서울병원"))</f>
        <v/>
      </c>
      <c r="Q362">
        <f>IF($W362="","",SUM($M362:$P362))</f>
        <v/>
      </c>
      <c r="R362">
        <f>IF($W362="","",COUNTIFS(상세표[사번키],INDEX(합계표[사번키],$W362),상세표[반영월],대상월키,상세표[야간당직],1,상세표[야간 구분],"평일"))</f>
        <v/>
      </c>
      <c r="S362" s="4">
        <f>IF($W362="","",COUNTIFS(상세표[사번키],INDEX(합계표[사번키],$W362),상세표[반영월],대상월키,상세표[야간당직],1,상세표[야간 구분],"휴일"))</f>
        <v/>
      </c>
      <c r="T362">
        <f>IF($W362="","",COUNTIFS(상세표[사번키],INDEX(합계표[사번키],$W362),상세표[반영월],대상월키,상세표[야간당직],1,상세표[야간 구분],"평일",상세표[반영 기관],"서울병원"))</f>
        <v/>
      </c>
      <c r="U362">
        <f>IF($W362="","",COUNTIFS(상세표[사번키],INDEX(합계표[사번키],$W362),상세표[반영월],대상월키,상세표[야간당직],1,상세표[야간 구분],"휴일",상세표[반영 기관],"서울병원"))</f>
        <v/>
      </c>
      <c r="V362">
        <f>IF($W362="","",IF(ISNUMBER(MATCH(INDEX(합계표[사번키],$W362)&amp;"|"&amp;대상월키,월별근무지표[키],0)),"직접 입력",IF($K362="—","—","기관명단")))</f>
        <v/>
      </c>
      <c r="W362">
        <f>IFERROR(MATCH(357,합계표[판정순번],0),"")</f>
        <v/>
      </c>
    </row>
    <row r="363">
      <c r="A363">
        <f>IF($W363="","",INDEX(합계표[사번],$W363)&amp;"")</f>
        <v/>
      </c>
      <c r="B363">
        <f>IF($W363="","",INDEX(합계표[성명],$W363)&amp;"")</f>
        <v/>
      </c>
      <c r="C363">
        <f>IF($W363="","",INDEX(합계표[부서],$W363)&amp;"")</f>
        <v/>
      </c>
      <c r="D363">
        <f>IF($W363="","",INDEX(합계표[직위(통합)],$W363)&amp;"")</f>
        <v/>
      </c>
      <c r="E363">
        <f>IF($W363="","",SUMIFS(합계표[시스템 합계],합계표[사번키],INDEX(합계표[사번키],$W363)))</f>
        <v/>
      </c>
      <c r="F363">
        <f>IF($W363="","",SUMIFS(상세표[기록 시간외],상세표[사번키],INDEX(합계표[사번키],$W363),상세표[기록월],대상월키))</f>
        <v/>
      </c>
      <c r="G363">
        <f>IF($W363="","",IF(ABS($E363-$F363)&lt;0.01,"일치","불일치(차이 "&amp;TEXT($F363-$E363,"0.00")&amp;")"))</f>
        <v/>
      </c>
      <c r="H363">
        <f>IF($W363="","",SUMIFS(상세표[기록 시간외],상세표[사번키],INDEX(합계표[사번키],$W363),상세표[기록월],대상월키,상세표[반영월],"&lt;&gt;"&amp;대상월키))</f>
        <v/>
      </c>
      <c r="I363">
        <f>IF($W363="","",SUMIFS(상세표[기록 시간외],상세표[사번키],INDEX(합계표[사번키],$W363),상세표[기록월],"&lt;&gt;"&amp;대상월키,상세표[반영월],대상월키))</f>
        <v/>
      </c>
      <c r="J363">
        <f>IF($W363="","",SUMIFS(상세표[기록 시간외],상세표[사번키],INDEX(합계표[사번키],$W363),상세표[반영월],대상월키))</f>
        <v/>
      </c>
      <c r="K363">
        <f>IF($W363="","",IFERROR(INDEX(월별근무지표[적용 급여병원],MATCH(INDEX(합계표[사번키],$W363)&amp;"|"&amp;대상월키,월별근무지표[키],0))&amp;"",IF(COUNTIF(기관표[사번키],INDEX(합계표[사번키],$W363))+COUNTIF(월별근무지표[사번키],INDEX(합계표[사번키],$W363))&gt;0,IFERROR(INDEX(기관표[급여지급병원(기준월)],MATCH(INDEX(합계표[사번키],$W363)&amp;"|"&amp;대상월키,기관표[키],0))&amp;"","—"),"—")))</f>
        <v/>
      </c>
      <c r="L363">
        <f>IF($W363="","",IF(NOT(COUNTIF(기관표[사번키],INDEX(합계표[사번키],$W363))+COUNTIF(월별근무지표[사번키],INDEX(합계표[사번키],$W363))&gt;0),"기관명단에 없음(다른 병원으로 발송)",IF($K363="—","대상월 기관명단 없음(추가 필요)",IF($K363="서울병원","해당","비해당"))))</f>
        <v/>
      </c>
      <c r="M363">
        <f>IF($W363="","",SUMIFS(상세표[06~07시],상세표[사번키],INDEX(합계표[사번키],$W363),상세표[반영월],대상월키,상세표[반영 기관],"서울병원"))</f>
        <v/>
      </c>
      <c r="N363">
        <f>IF($W363="","",SUMIFS(상세표[07~18시],상세표[사번키],INDEX(합계표[사번키],$W363),상세표[반영월],대상월키,상세표[반영 기관],"서울병원"))</f>
        <v/>
      </c>
      <c r="O363">
        <f>IF($W363="","",SUMIFS(상세표[18~22시],상세표[사번키],INDEX(합계표[사번키],$W363),상세표[반영월],대상월키,상세표[반영 기관],"서울병원"))</f>
        <v/>
      </c>
      <c r="P363">
        <f>IF($W363="","",SUMIFS(상세표[22~06시],상세표[사번키],INDEX(합계표[사번키],$W363),상세표[반영월],대상월키,상세표[반영 기관],"서울병원"))</f>
        <v/>
      </c>
      <c r="Q363">
        <f>IF($W363="","",SUM($M363:$P363))</f>
        <v/>
      </c>
      <c r="R363">
        <f>IF($W363="","",COUNTIFS(상세표[사번키],INDEX(합계표[사번키],$W363),상세표[반영월],대상월키,상세표[야간당직],1,상세표[야간 구분],"평일"))</f>
        <v/>
      </c>
      <c r="S363" s="4">
        <f>IF($W363="","",COUNTIFS(상세표[사번키],INDEX(합계표[사번키],$W363),상세표[반영월],대상월키,상세표[야간당직],1,상세표[야간 구분],"휴일"))</f>
        <v/>
      </c>
      <c r="T363">
        <f>IF($W363="","",COUNTIFS(상세표[사번키],INDEX(합계표[사번키],$W363),상세표[반영월],대상월키,상세표[야간당직],1,상세표[야간 구분],"평일",상세표[반영 기관],"서울병원"))</f>
        <v/>
      </c>
      <c r="U363">
        <f>IF($W363="","",COUNTIFS(상세표[사번키],INDEX(합계표[사번키],$W363),상세표[반영월],대상월키,상세표[야간당직],1,상세표[야간 구분],"휴일",상세표[반영 기관],"서울병원"))</f>
        <v/>
      </c>
      <c r="V363">
        <f>IF($W363="","",IF(ISNUMBER(MATCH(INDEX(합계표[사번키],$W363)&amp;"|"&amp;대상월키,월별근무지표[키],0)),"직접 입력",IF($K363="—","—","기관명단")))</f>
        <v/>
      </c>
      <c r="W363">
        <f>IFERROR(MATCH(358,합계표[판정순번],0),"")</f>
        <v/>
      </c>
    </row>
    <row r="364">
      <c r="A364">
        <f>IF($W364="","",INDEX(합계표[사번],$W364)&amp;"")</f>
        <v/>
      </c>
      <c r="B364">
        <f>IF($W364="","",INDEX(합계표[성명],$W364)&amp;"")</f>
        <v/>
      </c>
      <c r="C364">
        <f>IF($W364="","",INDEX(합계표[부서],$W364)&amp;"")</f>
        <v/>
      </c>
      <c r="D364">
        <f>IF($W364="","",INDEX(합계표[직위(통합)],$W364)&amp;"")</f>
        <v/>
      </c>
      <c r="E364">
        <f>IF($W364="","",SUMIFS(합계표[시스템 합계],합계표[사번키],INDEX(합계표[사번키],$W364)))</f>
        <v/>
      </c>
      <c r="F364">
        <f>IF($W364="","",SUMIFS(상세표[기록 시간외],상세표[사번키],INDEX(합계표[사번키],$W364),상세표[기록월],대상월키))</f>
        <v/>
      </c>
      <c r="G364">
        <f>IF($W364="","",IF(ABS($E364-$F364)&lt;0.01,"일치","불일치(차이 "&amp;TEXT($F364-$E364,"0.00")&amp;")"))</f>
        <v/>
      </c>
      <c r="H364">
        <f>IF($W364="","",SUMIFS(상세표[기록 시간외],상세표[사번키],INDEX(합계표[사번키],$W364),상세표[기록월],대상월키,상세표[반영월],"&lt;&gt;"&amp;대상월키))</f>
        <v/>
      </c>
      <c r="I364">
        <f>IF($W364="","",SUMIFS(상세표[기록 시간외],상세표[사번키],INDEX(합계표[사번키],$W364),상세표[기록월],"&lt;&gt;"&amp;대상월키,상세표[반영월],대상월키))</f>
        <v/>
      </c>
      <c r="J364">
        <f>IF($W364="","",SUMIFS(상세표[기록 시간외],상세표[사번키],INDEX(합계표[사번키],$W364),상세표[반영월],대상월키))</f>
        <v/>
      </c>
      <c r="K364">
        <f>IF($W364="","",IFERROR(INDEX(월별근무지표[적용 급여병원],MATCH(INDEX(합계표[사번키],$W364)&amp;"|"&amp;대상월키,월별근무지표[키],0))&amp;"",IF(COUNTIF(기관표[사번키],INDEX(합계표[사번키],$W364))+COUNTIF(월별근무지표[사번키],INDEX(합계표[사번키],$W364))&gt;0,IFERROR(INDEX(기관표[급여지급병원(기준월)],MATCH(INDEX(합계표[사번키],$W364)&amp;"|"&amp;대상월키,기관표[키],0))&amp;"","—"),"—")))</f>
        <v/>
      </c>
      <c r="L364">
        <f>IF($W364="","",IF(NOT(COUNTIF(기관표[사번키],INDEX(합계표[사번키],$W364))+COUNTIF(월별근무지표[사번키],INDEX(합계표[사번키],$W364))&gt;0),"기관명단에 없음(다른 병원으로 발송)",IF($K364="—","대상월 기관명단 없음(추가 필요)",IF($K364="서울병원","해당","비해당"))))</f>
        <v/>
      </c>
      <c r="M364">
        <f>IF($W364="","",SUMIFS(상세표[06~07시],상세표[사번키],INDEX(합계표[사번키],$W364),상세표[반영월],대상월키,상세표[반영 기관],"서울병원"))</f>
        <v/>
      </c>
      <c r="N364">
        <f>IF($W364="","",SUMIFS(상세표[07~18시],상세표[사번키],INDEX(합계표[사번키],$W364),상세표[반영월],대상월키,상세표[반영 기관],"서울병원"))</f>
        <v/>
      </c>
      <c r="O364">
        <f>IF($W364="","",SUMIFS(상세표[18~22시],상세표[사번키],INDEX(합계표[사번키],$W364),상세표[반영월],대상월키,상세표[반영 기관],"서울병원"))</f>
        <v/>
      </c>
      <c r="P364">
        <f>IF($W364="","",SUMIFS(상세표[22~06시],상세표[사번키],INDEX(합계표[사번키],$W364),상세표[반영월],대상월키,상세표[반영 기관],"서울병원"))</f>
        <v/>
      </c>
      <c r="Q364">
        <f>IF($W364="","",SUM($M364:$P364))</f>
        <v/>
      </c>
      <c r="R364">
        <f>IF($W364="","",COUNTIFS(상세표[사번키],INDEX(합계표[사번키],$W364),상세표[반영월],대상월키,상세표[야간당직],1,상세표[야간 구분],"평일"))</f>
        <v/>
      </c>
      <c r="S364" s="4">
        <f>IF($W364="","",COUNTIFS(상세표[사번키],INDEX(합계표[사번키],$W364),상세표[반영월],대상월키,상세표[야간당직],1,상세표[야간 구분],"휴일"))</f>
        <v/>
      </c>
      <c r="T364">
        <f>IF($W364="","",COUNTIFS(상세표[사번키],INDEX(합계표[사번키],$W364),상세표[반영월],대상월키,상세표[야간당직],1,상세표[야간 구분],"평일",상세표[반영 기관],"서울병원"))</f>
        <v/>
      </c>
      <c r="U364">
        <f>IF($W364="","",COUNTIFS(상세표[사번키],INDEX(합계표[사번키],$W364),상세표[반영월],대상월키,상세표[야간당직],1,상세표[야간 구분],"휴일",상세표[반영 기관],"서울병원"))</f>
        <v/>
      </c>
      <c r="V364">
        <f>IF($W364="","",IF(ISNUMBER(MATCH(INDEX(합계표[사번키],$W364)&amp;"|"&amp;대상월키,월별근무지표[키],0)),"직접 입력",IF($K364="—","—","기관명단")))</f>
        <v/>
      </c>
      <c r="W364">
        <f>IFERROR(MATCH(359,합계표[판정순번],0),"")</f>
        <v/>
      </c>
    </row>
    <row r="365">
      <c r="A365">
        <f>IF($W365="","",INDEX(합계표[사번],$W365)&amp;"")</f>
        <v/>
      </c>
      <c r="B365">
        <f>IF($W365="","",INDEX(합계표[성명],$W365)&amp;"")</f>
        <v/>
      </c>
      <c r="C365">
        <f>IF($W365="","",INDEX(합계표[부서],$W365)&amp;"")</f>
        <v/>
      </c>
      <c r="D365">
        <f>IF($W365="","",INDEX(합계표[직위(통합)],$W365)&amp;"")</f>
        <v/>
      </c>
      <c r="E365">
        <f>IF($W365="","",SUMIFS(합계표[시스템 합계],합계표[사번키],INDEX(합계표[사번키],$W365)))</f>
        <v/>
      </c>
      <c r="F365">
        <f>IF($W365="","",SUMIFS(상세표[기록 시간외],상세표[사번키],INDEX(합계표[사번키],$W365),상세표[기록월],대상월키))</f>
        <v/>
      </c>
      <c r="G365">
        <f>IF($W365="","",IF(ABS($E365-$F365)&lt;0.01,"일치","불일치(차이 "&amp;TEXT($F365-$E365,"0.00")&amp;")"))</f>
        <v/>
      </c>
      <c r="H365">
        <f>IF($W365="","",SUMIFS(상세표[기록 시간외],상세표[사번키],INDEX(합계표[사번키],$W365),상세표[기록월],대상월키,상세표[반영월],"&lt;&gt;"&amp;대상월키))</f>
        <v/>
      </c>
      <c r="I365">
        <f>IF($W365="","",SUMIFS(상세표[기록 시간외],상세표[사번키],INDEX(합계표[사번키],$W365),상세표[기록월],"&lt;&gt;"&amp;대상월키,상세표[반영월],대상월키))</f>
        <v/>
      </c>
      <c r="J365">
        <f>IF($W365="","",SUMIFS(상세표[기록 시간외],상세표[사번키],INDEX(합계표[사번키],$W365),상세표[반영월],대상월키))</f>
        <v/>
      </c>
      <c r="K365">
        <f>IF($W365="","",IFERROR(INDEX(월별근무지표[적용 급여병원],MATCH(INDEX(합계표[사번키],$W365)&amp;"|"&amp;대상월키,월별근무지표[키],0))&amp;"",IF(COUNTIF(기관표[사번키],INDEX(합계표[사번키],$W365))+COUNTIF(월별근무지표[사번키],INDEX(합계표[사번키],$W365))&gt;0,IFERROR(INDEX(기관표[급여지급병원(기준월)],MATCH(INDEX(합계표[사번키],$W365)&amp;"|"&amp;대상월키,기관표[키],0))&amp;"","—"),"—")))</f>
        <v/>
      </c>
      <c r="L365">
        <f>IF($W365="","",IF(NOT(COUNTIF(기관표[사번키],INDEX(합계표[사번키],$W365))+COUNTIF(월별근무지표[사번키],INDEX(합계표[사번키],$W365))&gt;0),"기관명단에 없음(다른 병원으로 발송)",IF($K365="—","대상월 기관명단 없음(추가 필요)",IF($K365="서울병원","해당","비해당"))))</f>
        <v/>
      </c>
      <c r="M365">
        <f>IF($W365="","",SUMIFS(상세표[06~07시],상세표[사번키],INDEX(합계표[사번키],$W365),상세표[반영월],대상월키,상세표[반영 기관],"서울병원"))</f>
        <v/>
      </c>
      <c r="N365">
        <f>IF($W365="","",SUMIFS(상세표[07~18시],상세표[사번키],INDEX(합계표[사번키],$W365),상세표[반영월],대상월키,상세표[반영 기관],"서울병원"))</f>
        <v/>
      </c>
      <c r="O365">
        <f>IF($W365="","",SUMIFS(상세표[18~22시],상세표[사번키],INDEX(합계표[사번키],$W365),상세표[반영월],대상월키,상세표[반영 기관],"서울병원"))</f>
        <v/>
      </c>
      <c r="P365">
        <f>IF($W365="","",SUMIFS(상세표[22~06시],상세표[사번키],INDEX(합계표[사번키],$W365),상세표[반영월],대상월키,상세표[반영 기관],"서울병원"))</f>
        <v/>
      </c>
      <c r="Q365">
        <f>IF($W365="","",SUM($M365:$P365))</f>
        <v/>
      </c>
      <c r="R365">
        <f>IF($W365="","",COUNTIFS(상세표[사번키],INDEX(합계표[사번키],$W365),상세표[반영월],대상월키,상세표[야간당직],1,상세표[야간 구분],"평일"))</f>
        <v/>
      </c>
      <c r="S365" s="4">
        <f>IF($W365="","",COUNTIFS(상세표[사번키],INDEX(합계표[사번키],$W365),상세표[반영월],대상월키,상세표[야간당직],1,상세표[야간 구분],"휴일"))</f>
        <v/>
      </c>
      <c r="T365">
        <f>IF($W365="","",COUNTIFS(상세표[사번키],INDEX(합계표[사번키],$W365),상세표[반영월],대상월키,상세표[야간당직],1,상세표[야간 구분],"평일",상세표[반영 기관],"서울병원"))</f>
        <v/>
      </c>
      <c r="U365">
        <f>IF($W365="","",COUNTIFS(상세표[사번키],INDEX(합계표[사번키],$W365),상세표[반영월],대상월키,상세표[야간당직],1,상세표[야간 구분],"휴일",상세표[반영 기관],"서울병원"))</f>
        <v/>
      </c>
      <c r="V365">
        <f>IF($W365="","",IF(ISNUMBER(MATCH(INDEX(합계표[사번키],$W365)&amp;"|"&amp;대상월키,월별근무지표[키],0)),"직접 입력",IF($K365="—","—","기관명단")))</f>
        <v/>
      </c>
      <c r="W365">
        <f>IFERROR(MATCH(360,합계표[판정순번],0),"")</f>
        <v/>
      </c>
    </row>
    <row r="366">
      <c r="A366">
        <f>IF($W366="","",INDEX(합계표[사번],$W366)&amp;"")</f>
        <v/>
      </c>
      <c r="B366">
        <f>IF($W366="","",INDEX(합계표[성명],$W366)&amp;"")</f>
        <v/>
      </c>
      <c r="C366">
        <f>IF($W366="","",INDEX(합계표[부서],$W366)&amp;"")</f>
        <v/>
      </c>
      <c r="D366">
        <f>IF($W366="","",INDEX(합계표[직위(통합)],$W366)&amp;"")</f>
        <v/>
      </c>
      <c r="E366">
        <f>IF($W366="","",SUMIFS(합계표[시스템 합계],합계표[사번키],INDEX(합계표[사번키],$W366)))</f>
        <v/>
      </c>
      <c r="F366">
        <f>IF($W366="","",SUMIFS(상세표[기록 시간외],상세표[사번키],INDEX(합계표[사번키],$W366),상세표[기록월],대상월키))</f>
        <v/>
      </c>
      <c r="G366">
        <f>IF($W366="","",IF(ABS($E366-$F366)&lt;0.01,"일치","불일치(차이 "&amp;TEXT($F366-$E366,"0.00")&amp;")"))</f>
        <v/>
      </c>
      <c r="H366">
        <f>IF($W366="","",SUMIFS(상세표[기록 시간외],상세표[사번키],INDEX(합계표[사번키],$W366),상세표[기록월],대상월키,상세표[반영월],"&lt;&gt;"&amp;대상월키))</f>
        <v/>
      </c>
      <c r="I366">
        <f>IF($W366="","",SUMIFS(상세표[기록 시간외],상세표[사번키],INDEX(합계표[사번키],$W366),상세표[기록월],"&lt;&gt;"&amp;대상월키,상세표[반영월],대상월키))</f>
        <v/>
      </c>
      <c r="J366">
        <f>IF($W366="","",SUMIFS(상세표[기록 시간외],상세표[사번키],INDEX(합계표[사번키],$W366),상세표[반영월],대상월키))</f>
        <v/>
      </c>
      <c r="K366">
        <f>IF($W366="","",IFERROR(INDEX(월별근무지표[적용 급여병원],MATCH(INDEX(합계표[사번키],$W366)&amp;"|"&amp;대상월키,월별근무지표[키],0))&amp;"",IF(COUNTIF(기관표[사번키],INDEX(합계표[사번키],$W366))+COUNTIF(월별근무지표[사번키],INDEX(합계표[사번키],$W366))&gt;0,IFERROR(INDEX(기관표[급여지급병원(기준월)],MATCH(INDEX(합계표[사번키],$W366)&amp;"|"&amp;대상월키,기관표[키],0))&amp;"","—"),"—")))</f>
        <v/>
      </c>
      <c r="L366">
        <f>IF($W366="","",IF(NOT(COUNTIF(기관표[사번키],INDEX(합계표[사번키],$W366))+COUNTIF(월별근무지표[사번키],INDEX(합계표[사번키],$W366))&gt;0),"기관명단에 없음(다른 병원으로 발송)",IF($K366="—","대상월 기관명단 없음(추가 필요)",IF($K366="서울병원","해당","비해당"))))</f>
        <v/>
      </c>
      <c r="M366">
        <f>IF($W366="","",SUMIFS(상세표[06~07시],상세표[사번키],INDEX(합계표[사번키],$W366),상세표[반영월],대상월키,상세표[반영 기관],"서울병원"))</f>
        <v/>
      </c>
      <c r="N366">
        <f>IF($W366="","",SUMIFS(상세표[07~18시],상세표[사번키],INDEX(합계표[사번키],$W366),상세표[반영월],대상월키,상세표[반영 기관],"서울병원"))</f>
        <v/>
      </c>
      <c r="O366">
        <f>IF($W366="","",SUMIFS(상세표[18~22시],상세표[사번키],INDEX(합계표[사번키],$W366),상세표[반영월],대상월키,상세표[반영 기관],"서울병원"))</f>
        <v/>
      </c>
      <c r="P366">
        <f>IF($W366="","",SUMIFS(상세표[22~06시],상세표[사번키],INDEX(합계표[사번키],$W366),상세표[반영월],대상월키,상세표[반영 기관],"서울병원"))</f>
        <v/>
      </c>
      <c r="Q366">
        <f>IF($W366="","",SUM($M366:$P366))</f>
        <v/>
      </c>
      <c r="R366">
        <f>IF($W366="","",COUNTIFS(상세표[사번키],INDEX(합계표[사번키],$W366),상세표[반영월],대상월키,상세표[야간당직],1,상세표[야간 구분],"평일"))</f>
        <v/>
      </c>
      <c r="S366" s="4">
        <f>IF($W366="","",COUNTIFS(상세표[사번키],INDEX(합계표[사번키],$W366),상세표[반영월],대상월키,상세표[야간당직],1,상세표[야간 구분],"휴일"))</f>
        <v/>
      </c>
      <c r="T366">
        <f>IF($W366="","",COUNTIFS(상세표[사번키],INDEX(합계표[사번키],$W366),상세표[반영월],대상월키,상세표[야간당직],1,상세표[야간 구분],"평일",상세표[반영 기관],"서울병원"))</f>
        <v/>
      </c>
      <c r="U366">
        <f>IF($W366="","",COUNTIFS(상세표[사번키],INDEX(합계표[사번키],$W366),상세표[반영월],대상월키,상세표[야간당직],1,상세표[야간 구분],"휴일",상세표[반영 기관],"서울병원"))</f>
        <v/>
      </c>
      <c r="V366">
        <f>IF($W366="","",IF(ISNUMBER(MATCH(INDEX(합계표[사번키],$W366)&amp;"|"&amp;대상월키,월별근무지표[키],0)),"직접 입력",IF($K366="—","—","기관명단")))</f>
        <v/>
      </c>
      <c r="W366">
        <f>IFERROR(MATCH(361,합계표[판정순번],0),"")</f>
        <v/>
      </c>
    </row>
    <row r="367">
      <c r="A367">
        <f>IF($W367="","",INDEX(합계표[사번],$W367)&amp;"")</f>
        <v/>
      </c>
      <c r="B367">
        <f>IF($W367="","",INDEX(합계표[성명],$W367)&amp;"")</f>
        <v/>
      </c>
      <c r="C367">
        <f>IF($W367="","",INDEX(합계표[부서],$W367)&amp;"")</f>
        <v/>
      </c>
      <c r="D367">
        <f>IF($W367="","",INDEX(합계표[직위(통합)],$W367)&amp;"")</f>
        <v/>
      </c>
      <c r="E367">
        <f>IF($W367="","",SUMIFS(합계표[시스템 합계],합계표[사번키],INDEX(합계표[사번키],$W367)))</f>
        <v/>
      </c>
      <c r="F367">
        <f>IF($W367="","",SUMIFS(상세표[기록 시간외],상세표[사번키],INDEX(합계표[사번키],$W367),상세표[기록월],대상월키))</f>
        <v/>
      </c>
      <c r="G367">
        <f>IF($W367="","",IF(ABS($E367-$F367)&lt;0.01,"일치","불일치(차이 "&amp;TEXT($F367-$E367,"0.00")&amp;")"))</f>
        <v/>
      </c>
      <c r="H367">
        <f>IF($W367="","",SUMIFS(상세표[기록 시간외],상세표[사번키],INDEX(합계표[사번키],$W367),상세표[기록월],대상월키,상세표[반영월],"&lt;&gt;"&amp;대상월키))</f>
        <v/>
      </c>
      <c r="I367">
        <f>IF($W367="","",SUMIFS(상세표[기록 시간외],상세표[사번키],INDEX(합계표[사번키],$W367),상세표[기록월],"&lt;&gt;"&amp;대상월키,상세표[반영월],대상월키))</f>
        <v/>
      </c>
      <c r="J367">
        <f>IF($W367="","",SUMIFS(상세표[기록 시간외],상세표[사번키],INDEX(합계표[사번키],$W367),상세표[반영월],대상월키))</f>
        <v/>
      </c>
      <c r="K367">
        <f>IF($W367="","",IFERROR(INDEX(월별근무지표[적용 급여병원],MATCH(INDEX(합계표[사번키],$W367)&amp;"|"&amp;대상월키,월별근무지표[키],0))&amp;"",IF(COUNTIF(기관표[사번키],INDEX(합계표[사번키],$W367))+COUNTIF(월별근무지표[사번키],INDEX(합계표[사번키],$W367))&gt;0,IFERROR(INDEX(기관표[급여지급병원(기준월)],MATCH(INDEX(합계표[사번키],$W367)&amp;"|"&amp;대상월키,기관표[키],0))&amp;"","—"),"—")))</f>
        <v/>
      </c>
      <c r="L367">
        <f>IF($W367="","",IF(NOT(COUNTIF(기관표[사번키],INDEX(합계표[사번키],$W367))+COUNTIF(월별근무지표[사번키],INDEX(합계표[사번키],$W367))&gt;0),"기관명단에 없음(다른 병원으로 발송)",IF($K367="—","대상월 기관명단 없음(추가 필요)",IF($K367="서울병원","해당","비해당"))))</f>
        <v/>
      </c>
      <c r="M367">
        <f>IF($W367="","",SUMIFS(상세표[06~07시],상세표[사번키],INDEX(합계표[사번키],$W367),상세표[반영월],대상월키,상세표[반영 기관],"서울병원"))</f>
        <v/>
      </c>
      <c r="N367">
        <f>IF($W367="","",SUMIFS(상세표[07~18시],상세표[사번키],INDEX(합계표[사번키],$W367),상세표[반영월],대상월키,상세표[반영 기관],"서울병원"))</f>
        <v/>
      </c>
      <c r="O367">
        <f>IF($W367="","",SUMIFS(상세표[18~22시],상세표[사번키],INDEX(합계표[사번키],$W367),상세표[반영월],대상월키,상세표[반영 기관],"서울병원"))</f>
        <v/>
      </c>
      <c r="P367">
        <f>IF($W367="","",SUMIFS(상세표[22~06시],상세표[사번키],INDEX(합계표[사번키],$W367),상세표[반영월],대상월키,상세표[반영 기관],"서울병원"))</f>
        <v/>
      </c>
      <c r="Q367">
        <f>IF($W367="","",SUM($M367:$P367))</f>
        <v/>
      </c>
      <c r="R367">
        <f>IF($W367="","",COUNTIFS(상세표[사번키],INDEX(합계표[사번키],$W367),상세표[반영월],대상월키,상세표[야간당직],1,상세표[야간 구분],"평일"))</f>
        <v/>
      </c>
      <c r="S367" s="4">
        <f>IF($W367="","",COUNTIFS(상세표[사번키],INDEX(합계표[사번키],$W367),상세표[반영월],대상월키,상세표[야간당직],1,상세표[야간 구분],"휴일"))</f>
        <v/>
      </c>
      <c r="T367">
        <f>IF($W367="","",COUNTIFS(상세표[사번키],INDEX(합계표[사번키],$W367),상세표[반영월],대상월키,상세표[야간당직],1,상세표[야간 구분],"평일",상세표[반영 기관],"서울병원"))</f>
        <v/>
      </c>
      <c r="U367">
        <f>IF($W367="","",COUNTIFS(상세표[사번키],INDEX(합계표[사번키],$W367),상세표[반영월],대상월키,상세표[야간당직],1,상세표[야간 구분],"휴일",상세표[반영 기관],"서울병원"))</f>
        <v/>
      </c>
      <c r="V367">
        <f>IF($W367="","",IF(ISNUMBER(MATCH(INDEX(합계표[사번키],$W367)&amp;"|"&amp;대상월키,월별근무지표[키],0)),"직접 입력",IF($K367="—","—","기관명단")))</f>
        <v/>
      </c>
      <c r="W367">
        <f>IFERROR(MATCH(362,합계표[판정순번],0),"")</f>
        <v/>
      </c>
    </row>
    <row r="368">
      <c r="A368">
        <f>IF($W368="","",INDEX(합계표[사번],$W368)&amp;"")</f>
        <v/>
      </c>
      <c r="B368">
        <f>IF($W368="","",INDEX(합계표[성명],$W368)&amp;"")</f>
        <v/>
      </c>
      <c r="C368">
        <f>IF($W368="","",INDEX(합계표[부서],$W368)&amp;"")</f>
        <v/>
      </c>
      <c r="D368">
        <f>IF($W368="","",INDEX(합계표[직위(통합)],$W368)&amp;"")</f>
        <v/>
      </c>
      <c r="E368">
        <f>IF($W368="","",SUMIFS(합계표[시스템 합계],합계표[사번키],INDEX(합계표[사번키],$W368)))</f>
        <v/>
      </c>
      <c r="F368">
        <f>IF($W368="","",SUMIFS(상세표[기록 시간외],상세표[사번키],INDEX(합계표[사번키],$W368),상세표[기록월],대상월키))</f>
        <v/>
      </c>
      <c r="G368">
        <f>IF($W368="","",IF(ABS($E368-$F368)&lt;0.01,"일치","불일치(차이 "&amp;TEXT($F368-$E368,"0.00")&amp;")"))</f>
        <v/>
      </c>
      <c r="H368">
        <f>IF($W368="","",SUMIFS(상세표[기록 시간외],상세표[사번키],INDEX(합계표[사번키],$W368),상세표[기록월],대상월키,상세표[반영월],"&lt;&gt;"&amp;대상월키))</f>
        <v/>
      </c>
      <c r="I368">
        <f>IF($W368="","",SUMIFS(상세표[기록 시간외],상세표[사번키],INDEX(합계표[사번키],$W368),상세표[기록월],"&lt;&gt;"&amp;대상월키,상세표[반영월],대상월키))</f>
        <v/>
      </c>
      <c r="J368">
        <f>IF($W368="","",SUMIFS(상세표[기록 시간외],상세표[사번키],INDEX(합계표[사번키],$W368),상세표[반영월],대상월키))</f>
        <v/>
      </c>
      <c r="K368">
        <f>IF($W368="","",IFERROR(INDEX(월별근무지표[적용 급여병원],MATCH(INDEX(합계표[사번키],$W368)&amp;"|"&amp;대상월키,월별근무지표[키],0))&amp;"",IF(COUNTIF(기관표[사번키],INDEX(합계표[사번키],$W368))+COUNTIF(월별근무지표[사번키],INDEX(합계표[사번키],$W368))&gt;0,IFERROR(INDEX(기관표[급여지급병원(기준월)],MATCH(INDEX(합계표[사번키],$W368)&amp;"|"&amp;대상월키,기관표[키],0))&amp;"","—"),"—")))</f>
        <v/>
      </c>
      <c r="L368">
        <f>IF($W368="","",IF(NOT(COUNTIF(기관표[사번키],INDEX(합계표[사번키],$W368))+COUNTIF(월별근무지표[사번키],INDEX(합계표[사번키],$W368))&gt;0),"기관명단에 없음(다른 병원으로 발송)",IF($K368="—","대상월 기관명단 없음(추가 필요)",IF($K368="서울병원","해당","비해당"))))</f>
        <v/>
      </c>
      <c r="M368">
        <f>IF($W368="","",SUMIFS(상세표[06~07시],상세표[사번키],INDEX(합계표[사번키],$W368),상세표[반영월],대상월키,상세표[반영 기관],"서울병원"))</f>
        <v/>
      </c>
      <c r="N368">
        <f>IF($W368="","",SUMIFS(상세표[07~18시],상세표[사번키],INDEX(합계표[사번키],$W368),상세표[반영월],대상월키,상세표[반영 기관],"서울병원"))</f>
        <v/>
      </c>
      <c r="O368">
        <f>IF($W368="","",SUMIFS(상세표[18~22시],상세표[사번키],INDEX(합계표[사번키],$W368),상세표[반영월],대상월키,상세표[반영 기관],"서울병원"))</f>
        <v/>
      </c>
      <c r="P368">
        <f>IF($W368="","",SUMIFS(상세표[22~06시],상세표[사번키],INDEX(합계표[사번키],$W368),상세표[반영월],대상월키,상세표[반영 기관],"서울병원"))</f>
        <v/>
      </c>
      <c r="Q368">
        <f>IF($W368="","",SUM($M368:$P368))</f>
        <v/>
      </c>
      <c r="R368">
        <f>IF($W368="","",COUNTIFS(상세표[사번키],INDEX(합계표[사번키],$W368),상세표[반영월],대상월키,상세표[야간당직],1,상세표[야간 구분],"평일"))</f>
        <v/>
      </c>
      <c r="S368" s="4">
        <f>IF($W368="","",COUNTIFS(상세표[사번키],INDEX(합계표[사번키],$W368),상세표[반영월],대상월키,상세표[야간당직],1,상세표[야간 구분],"휴일"))</f>
        <v/>
      </c>
      <c r="T368">
        <f>IF($W368="","",COUNTIFS(상세표[사번키],INDEX(합계표[사번키],$W368),상세표[반영월],대상월키,상세표[야간당직],1,상세표[야간 구분],"평일",상세표[반영 기관],"서울병원"))</f>
        <v/>
      </c>
      <c r="U368">
        <f>IF($W368="","",COUNTIFS(상세표[사번키],INDEX(합계표[사번키],$W368),상세표[반영월],대상월키,상세표[야간당직],1,상세표[야간 구분],"휴일",상세표[반영 기관],"서울병원"))</f>
        <v/>
      </c>
      <c r="V368">
        <f>IF($W368="","",IF(ISNUMBER(MATCH(INDEX(합계표[사번키],$W368)&amp;"|"&amp;대상월키,월별근무지표[키],0)),"직접 입력",IF($K368="—","—","기관명단")))</f>
        <v/>
      </c>
      <c r="W368">
        <f>IFERROR(MATCH(363,합계표[판정순번],0),"")</f>
        <v/>
      </c>
    </row>
    <row r="369">
      <c r="A369">
        <f>IF($W369="","",INDEX(합계표[사번],$W369)&amp;"")</f>
        <v/>
      </c>
      <c r="B369">
        <f>IF($W369="","",INDEX(합계표[성명],$W369)&amp;"")</f>
        <v/>
      </c>
      <c r="C369">
        <f>IF($W369="","",INDEX(합계표[부서],$W369)&amp;"")</f>
        <v/>
      </c>
      <c r="D369">
        <f>IF($W369="","",INDEX(합계표[직위(통합)],$W369)&amp;"")</f>
        <v/>
      </c>
      <c r="E369">
        <f>IF($W369="","",SUMIFS(합계표[시스템 합계],합계표[사번키],INDEX(합계표[사번키],$W369)))</f>
        <v/>
      </c>
      <c r="F369">
        <f>IF($W369="","",SUMIFS(상세표[기록 시간외],상세표[사번키],INDEX(합계표[사번키],$W369),상세표[기록월],대상월키))</f>
        <v/>
      </c>
      <c r="G369">
        <f>IF($W369="","",IF(ABS($E369-$F369)&lt;0.01,"일치","불일치(차이 "&amp;TEXT($F369-$E369,"0.00")&amp;")"))</f>
        <v/>
      </c>
      <c r="H369">
        <f>IF($W369="","",SUMIFS(상세표[기록 시간외],상세표[사번키],INDEX(합계표[사번키],$W369),상세표[기록월],대상월키,상세표[반영월],"&lt;&gt;"&amp;대상월키))</f>
        <v/>
      </c>
      <c r="I369">
        <f>IF($W369="","",SUMIFS(상세표[기록 시간외],상세표[사번키],INDEX(합계표[사번키],$W369),상세표[기록월],"&lt;&gt;"&amp;대상월키,상세표[반영월],대상월키))</f>
        <v/>
      </c>
      <c r="J369">
        <f>IF($W369="","",SUMIFS(상세표[기록 시간외],상세표[사번키],INDEX(합계표[사번키],$W369),상세표[반영월],대상월키))</f>
        <v/>
      </c>
      <c r="K369">
        <f>IF($W369="","",IFERROR(INDEX(월별근무지표[적용 급여병원],MATCH(INDEX(합계표[사번키],$W369)&amp;"|"&amp;대상월키,월별근무지표[키],0))&amp;"",IF(COUNTIF(기관표[사번키],INDEX(합계표[사번키],$W369))+COUNTIF(월별근무지표[사번키],INDEX(합계표[사번키],$W369))&gt;0,IFERROR(INDEX(기관표[급여지급병원(기준월)],MATCH(INDEX(합계표[사번키],$W369)&amp;"|"&amp;대상월키,기관표[키],0))&amp;"","—"),"—")))</f>
        <v/>
      </c>
      <c r="L369">
        <f>IF($W369="","",IF(NOT(COUNTIF(기관표[사번키],INDEX(합계표[사번키],$W369))+COUNTIF(월별근무지표[사번키],INDEX(합계표[사번키],$W369))&gt;0),"기관명단에 없음(다른 병원으로 발송)",IF($K369="—","대상월 기관명단 없음(추가 필요)",IF($K369="서울병원","해당","비해당"))))</f>
        <v/>
      </c>
      <c r="M369">
        <f>IF($W369="","",SUMIFS(상세표[06~07시],상세표[사번키],INDEX(합계표[사번키],$W369),상세표[반영월],대상월키,상세표[반영 기관],"서울병원"))</f>
        <v/>
      </c>
      <c r="N369">
        <f>IF($W369="","",SUMIFS(상세표[07~18시],상세표[사번키],INDEX(합계표[사번키],$W369),상세표[반영월],대상월키,상세표[반영 기관],"서울병원"))</f>
        <v/>
      </c>
      <c r="O369">
        <f>IF($W369="","",SUMIFS(상세표[18~22시],상세표[사번키],INDEX(합계표[사번키],$W369),상세표[반영월],대상월키,상세표[반영 기관],"서울병원"))</f>
        <v/>
      </c>
      <c r="P369">
        <f>IF($W369="","",SUMIFS(상세표[22~06시],상세표[사번키],INDEX(합계표[사번키],$W369),상세표[반영월],대상월키,상세표[반영 기관],"서울병원"))</f>
        <v/>
      </c>
      <c r="Q369">
        <f>IF($W369="","",SUM($M369:$P369))</f>
        <v/>
      </c>
      <c r="R369">
        <f>IF($W369="","",COUNTIFS(상세표[사번키],INDEX(합계표[사번키],$W369),상세표[반영월],대상월키,상세표[야간당직],1,상세표[야간 구분],"평일"))</f>
        <v/>
      </c>
      <c r="S369" s="4">
        <f>IF($W369="","",COUNTIFS(상세표[사번키],INDEX(합계표[사번키],$W369),상세표[반영월],대상월키,상세표[야간당직],1,상세표[야간 구분],"휴일"))</f>
        <v/>
      </c>
      <c r="T369">
        <f>IF($W369="","",COUNTIFS(상세표[사번키],INDEX(합계표[사번키],$W369),상세표[반영월],대상월키,상세표[야간당직],1,상세표[야간 구분],"평일",상세표[반영 기관],"서울병원"))</f>
        <v/>
      </c>
      <c r="U369">
        <f>IF($W369="","",COUNTIFS(상세표[사번키],INDEX(합계표[사번키],$W369),상세표[반영월],대상월키,상세표[야간당직],1,상세표[야간 구분],"휴일",상세표[반영 기관],"서울병원"))</f>
        <v/>
      </c>
      <c r="V369">
        <f>IF($W369="","",IF(ISNUMBER(MATCH(INDEX(합계표[사번키],$W369)&amp;"|"&amp;대상월키,월별근무지표[키],0)),"직접 입력",IF($K369="—","—","기관명단")))</f>
        <v/>
      </c>
      <c r="W369">
        <f>IFERROR(MATCH(364,합계표[판정순번],0),"")</f>
        <v/>
      </c>
    </row>
    <row r="370">
      <c r="A370">
        <f>IF($W370="","",INDEX(합계표[사번],$W370)&amp;"")</f>
        <v/>
      </c>
      <c r="B370">
        <f>IF($W370="","",INDEX(합계표[성명],$W370)&amp;"")</f>
        <v/>
      </c>
      <c r="C370">
        <f>IF($W370="","",INDEX(합계표[부서],$W370)&amp;"")</f>
        <v/>
      </c>
      <c r="D370">
        <f>IF($W370="","",INDEX(합계표[직위(통합)],$W370)&amp;"")</f>
        <v/>
      </c>
      <c r="E370">
        <f>IF($W370="","",SUMIFS(합계표[시스템 합계],합계표[사번키],INDEX(합계표[사번키],$W370)))</f>
        <v/>
      </c>
      <c r="F370">
        <f>IF($W370="","",SUMIFS(상세표[기록 시간외],상세표[사번키],INDEX(합계표[사번키],$W370),상세표[기록월],대상월키))</f>
        <v/>
      </c>
      <c r="G370">
        <f>IF($W370="","",IF(ABS($E370-$F370)&lt;0.01,"일치","불일치(차이 "&amp;TEXT($F370-$E370,"0.00")&amp;")"))</f>
        <v/>
      </c>
      <c r="H370">
        <f>IF($W370="","",SUMIFS(상세표[기록 시간외],상세표[사번키],INDEX(합계표[사번키],$W370),상세표[기록월],대상월키,상세표[반영월],"&lt;&gt;"&amp;대상월키))</f>
        <v/>
      </c>
      <c r="I370">
        <f>IF($W370="","",SUMIFS(상세표[기록 시간외],상세표[사번키],INDEX(합계표[사번키],$W370),상세표[기록월],"&lt;&gt;"&amp;대상월키,상세표[반영월],대상월키))</f>
        <v/>
      </c>
      <c r="J370">
        <f>IF($W370="","",SUMIFS(상세표[기록 시간외],상세표[사번키],INDEX(합계표[사번키],$W370),상세표[반영월],대상월키))</f>
        <v/>
      </c>
      <c r="K370">
        <f>IF($W370="","",IFERROR(INDEX(월별근무지표[적용 급여병원],MATCH(INDEX(합계표[사번키],$W370)&amp;"|"&amp;대상월키,월별근무지표[키],0))&amp;"",IF(COUNTIF(기관표[사번키],INDEX(합계표[사번키],$W370))+COUNTIF(월별근무지표[사번키],INDEX(합계표[사번키],$W370))&gt;0,IFERROR(INDEX(기관표[급여지급병원(기준월)],MATCH(INDEX(합계표[사번키],$W370)&amp;"|"&amp;대상월키,기관표[키],0))&amp;"","—"),"—")))</f>
        <v/>
      </c>
      <c r="L370">
        <f>IF($W370="","",IF(NOT(COUNTIF(기관표[사번키],INDEX(합계표[사번키],$W370))+COUNTIF(월별근무지표[사번키],INDEX(합계표[사번키],$W370))&gt;0),"기관명단에 없음(다른 병원으로 발송)",IF($K370="—","대상월 기관명단 없음(추가 필요)",IF($K370="서울병원","해당","비해당"))))</f>
        <v/>
      </c>
      <c r="M370">
        <f>IF($W370="","",SUMIFS(상세표[06~07시],상세표[사번키],INDEX(합계표[사번키],$W370),상세표[반영월],대상월키,상세표[반영 기관],"서울병원"))</f>
        <v/>
      </c>
      <c r="N370">
        <f>IF($W370="","",SUMIFS(상세표[07~18시],상세표[사번키],INDEX(합계표[사번키],$W370),상세표[반영월],대상월키,상세표[반영 기관],"서울병원"))</f>
        <v/>
      </c>
      <c r="O370">
        <f>IF($W370="","",SUMIFS(상세표[18~22시],상세표[사번키],INDEX(합계표[사번키],$W370),상세표[반영월],대상월키,상세표[반영 기관],"서울병원"))</f>
        <v/>
      </c>
      <c r="P370">
        <f>IF($W370="","",SUMIFS(상세표[22~06시],상세표[사번키],INDEX(합계표[사번키],$W370),상세표[반영월],대상월키,상세표[반영 기관],"서울병원"))</f>
        <v/>
      </c>
      <c r="Q370">
        <f>IF($W370="","",SUM($M370:$P370))</f>
        <v/>
      </c>
      <c r="R370">
        <f>IF($W370="","",COUNTIFS(상세표[사번키],INDEX(합계표[사번키],$W370),상세표[반영월],대상월키,상세표[야간당직],1,상세표[야간 구분],"평일"))</f>
        <v/>
      </c>
      <c r="S370" s="4">
        <f>IF($W370="","",COUNTIFS(상세표[사번키],INDEX(합계표[사번키],$W370),상세표[반영월],대상월키,상세표[야간당직],1,상세표[야간 구분],"휴일"))</f>
        <v/>
      </c>
      <c r="T370">
        <f>IF($W370="","",COUNTIFS(상세표[사번키],INDEX(합계표[사번키],$W370),상세표[반영월],대상월키,상세표[야간당직],1,상세표[야간 구분],"평일",상세표[반영 기관],"서울병원"))</f>
        <v/>
      </c>
      <c r="U370">
        <f>IF($W370="","",COUNTIFS(상세표[사번키],INDEX(합계표[사번키],$W370),상세표[반영월],대상월키,상세표[야간당직],1,상세표[야간 구분],"휴일",상세표[반영 기관],"서울병원"))</f>
        <v/>
      </c>
      <c r="V370">
        <f>IF($W370="","",IF(ISNUMBER(MATCH(INDEX(합계표[사번키],$W370)&amp;"|"&amp;대상월키,월별근무지표[키],0)),"직접 입력",IF($K370="—","—","기관명단")))</f>
        <v/>
      </c>
      <c r="W370">
        <f>IFERROR(MATCH(365,합계표[판정순번],0),"")</f>
        <v/>
      </c>
    </row>
    <row r="371">
      <c r="A371">
        <f>IF($W371="","",INDEX(합계표[사번],$W371)&amp;"")</f>
        <v/>
      </c>
      <c r="B371">
        <f>IF($W371="","",INDEX(합계표[성명],$W371)&amp;"")</f>
        <v/>
      </c>
      <c r="C371">
        <f>IF($W371="","",INDEX(합계표[부서],$W371)&amp;"")</f>
        <v/>
      </c>
      <c r="D371">
        <f>IF($W371="","",INDEX(합계표[직위(통합)],$W371)&amp;"")</f>
        <v/>
      </c>
      <c r="E371">
        <f>IF($W371="","",SUMIFS(합계표[시스템 합계],합계표[사번키],INDEX(합계표[사번키],$W371)))</f>
        <v/>
      </c>
      <c r="F371">
        <f>IF($W371="","",SUMIFS(상세표[기록 시간외],상세표[사번키],INDEX(합계표[사번키],$W371),상세표[기록월],대상월키))</f>
        <v/>
      </c>
      <c r="G371">
        <f>IF($W371="","",IF(ABS($E371-$F371)&lt;0.01,"일치","불일치(차이 "&amp;TEXT($F371-$E371,"0.00")&amp;")"))</f>
        <v/>
      </c>
      <c r="H371">
        <f>IF($W371="","",SUMIFS(상세표[기록 시간외],상세표[사번키],INDEX(합계표[사번키],$W371),상세표[기록월],대상월키,상세표[반영월],"&lt;&gt;"&amp;대상월키))</f>
        <v/>
      </c>
      <c r="I371">
        <f>IF($W371="","",SUMIFS(상세표[기록 시간외],상세표[사번키],INDEX(합계표[사번키],$W371),상세표[기록월],"&lt;&gt;"&amp;대상월키,상세표[반영월],대상월키))</f>
        <v/>
      </c>
      <c r="J371">
        <f>IF($W371="","",SUMIFS(상세표[기록 시간외],상세표[사번키],INDEX(합계표[사번키],$W371),상세표[반영월],대상월키))</f>
        <v/>
      </c>
      <c r="K371">
        <f>IF($W371="","",IFERROR(INDEX(월별근무지표[적용 급여병원],MATCH(INDEX(합계표[사번키],$W371)&amp;"|"&amp;대상월키,월별근무지표[키],0))&amp;"",IF(COUNTIF(기관표[사번키],INDEX(합계표[사번키],$W371))+COUNTIF(월별근무지표[사번키],INDEX(합계표[사번키],$W371))&gt;0,IFERROR(INDEX(기관표[급여지급병원(기준월)],MATCH(INDEX(합계표[사번키],$W371)&amp;"|"&amp;대상월키,기관표[키],0))&amp;"","—"),"—")))</f>
        <v/>
      </c>
      <c r="L371">
        <f>IF($W371="","",IF(NOT(COUNTIF(기관표[사번키],INDEX(합계표[사번키],$W371))+COUNTIF(월별근무지표[사번키],INDEX(합계표[사번키],$W371))&gt;0),"기관명단에 없음(다른 병원으로 발송)",IF($K371="—","대상월 기관명단 없음(추가 필요)",IF($K371="서울병원","해당","비해당"))))</f>
        <v/>
      </c>
      <c r="M371">
        <f>IF($W371="","",SUMIFS(상세표[06~07시],상세표[사번키],INDEX(합계표[사번키],$W371),상세표[반영월],대상월키,상세표[반영 기관],"서울병원"))</f>
        <v/>
      </c>
      <c r="N371">
        <f>IF($W371="","",SUMIFS(상세표[07~18시],상세표[사번키],INDEX(합계표[사번키],$W371),상세표[반영월],대상월키,상세표[반영 기관],"서울병원"))</f>
        <v/>
      </c>
      <c r="O371">
        <f>IF($W371="","",SUMIFS(상세표[18~22시],상세표[사번키],INDEX(합계표[사번키],$W371),상세표[반영월],대상월키,상세표[반영 기관],"서울병원"))</f>
        <v/>
      </c>
      <c r="P371">
        <f>IF($W371="","",SUMIFS(상세표[22~06시],상세표[사번키],INDEX(합계표[사번키],$W371),상세표[반영월],대상월키,상세표[반영 기관],"서울병원"))</f>
        <v/>
      </c>
      <c r="Q371">
        <f>IF($W371="","",SUM($M371:$P371))</f>
        <v/>
      </c>
      <c r="R371">
        <f>IF($W371="","",COUNTIFS(상세표[사번키],INDEX(합계표[사번키],$W371),상세표[반영월],대상월키,상세표[야간당직],1,상세표[야간 구분],"평일"))</f>
        <v/>
      </c>
      <c r="S371" s="4">
        <f>IF($W371="","",COUNTIFS(상세표[사번키],INDEX(합계표[사번키],$W371),상세표[반영월],대상월키,상세표[야간당직],1,상세표[야간 구분],"휴일"))</f>
        <v/>
      </c>
      <c r="T371">
        <f>IF($W371="","",COUNTIFS(상세표[사번키],INDEX(합계표[사번키],$W371),상세표[반영월],대상월키,상세표[야간당직],1,상세표[야간 구분],"평일",상세표[반영 기관],"서울병원"))</f>
        <v/>
      </c>
      <c r="U371">
        <f>IF($W371="","",COUNTIFS(상세표[사번키],INDEX(합계표[사번키],$W371),상세표[반영월],대상월키,상세표[야간당직],1,상세표[야간 구분],"휴일",상세표[반영 기관],"서울병원"))</f>
        <v/>
      </c>
      <c r="V371">
        <f>IF($W371="","",IF(ISNUMBER(MATCH(INDEX(합계표[사번키],$W371)&amp;"|"&amp;대상월키,월별근무지표[키],0)),"직접 입력",IF($K371="—","—","기관명단")))</f>
        <v/>
      </c>
      <c r="W371">
        <f>IFERROR(MATCH(366,합계표[판정순번],0),"")</f>
        <v/>
      </c>
    </row>
    <row r="372">
      <c r="A372">
        <f>IF($W372="","",INDEX(합계표[사번],$W372)&amp;"")</f>
        <v/>
      </c>
      <c r="B372">
        <f>IF($W372="","",INDEX(합계표[성명],$W372)&amp;"")</f>
        <v/>
      </c>
      <c r="C372">
        <f>IF($W372="","",INDEX(합계표[부서],$W372)&amp;"")</f>
        <v/>
      </c>
      <c r="D372">
        <f>IF($W372="","",INDEX(합계표[직위(통합)],$W372)&amp;"")</f>
        <v/>
      </c>
      <c r="E372">
        <f>IF($W372="","",SUMIFS(합계표[시스템 합계],합계표[사번키],INDEX(합계표[사번키],$W372)))</f>
        <v/>
      </c>
      <c r="F372">
        <f>IF($W372="","",SUMIFS(상세표[기록 시간외],상세표[사번키],INDEX(합계표[사번키],$W372),상세표[기록월],대상월키))</f>
        <v/>
      </c>
      <c r="G372">
        <f>IF($W372="","",IF(ABS($E372-$F372)&lt;0.01,"일치","불일치(차이 "&amp;TEXT($F372-$E372,"0.00")&amp;")"))</f>
        <v/>
      </c>
      <c r="H372">
        <f>IF($W372="","",SUMIFS(상세표[기록 시간외],상세표[사번키],INDEX(합계표[사번키],$W372),상세표[기록월],대상월키,상세표[반영월],"&lt;&gt;"&amp;대상월키))</f>
        <v/>
      </c>
      <c r="I372">
        <f>IF($W372="","",SUMIFS(상세표[기록 시간외],상세표[사번키],INDEX(합계표[사번키],$W372),상세표[기록월],"&lt;&gt;"&amp;대상월키,상세표[반영월],대상월키))</f>
        <v/>
      </c>
      <c r="J372">
        <f>IF($W372="","",SUMIFS(상세표[기록 시간외],상세표[사번키],INDEX(합계표[사번키],$W372),상세표[반영월],대상월키))</f>
        <v/>
      </c>
      <c r="K372">
        <f>IF($W372="","",IFERROR(INDEX(월별근무지표[적용 급여병원],MATCH(INDEX(합계표[사번키],$W372)&amp;"|"&amp;대상월키,월별근무지표[키],0))&amp;"",IF(COUNTIF(기관표[사번키],INDEX(합계표[사번키],$W372))+COUNTIF(월별근무지표[사번키],INDEX(합계표[사번키],$W372))&gt;0,IFERROR(INDEX(기관표[급여지급병원(기준월)],MATCH(INDEX(합계표[사번키],$W372)&amp;"|"&amp;대상월키,기관표[키],0))&amp;"","—"),"—")))</f>
        <v/>
      </c>
      <c r="L372">
        <f>IF($W372="","",IF(NOT(COUNTIF(기관표[사번키],INDEX(합계표[사번키],$W372))+COUNTIF(월별근무지표[사번키],INDEX(합계표[사번키],$W372))&gt;0),"기관명단에 없음(다른 병원으로 발송)",IF($K372="—","대상월 기관명단 없음(추가 필요)",IF($K372="서울병원","해당","비해당"))))</f>
        <v/>
      </c>
      <c r="M372">
        <f>IF($W372="","",SUMIFS(상세표[06~07시],상세표[사번키],INDEX(합계표[사번키],$W372),상세표[반영월],대상월키,상세표[반영 기관],"서울병원"))</f>
        <v/>
      </c>
      <c r="N372">
        <f>IF($W372="","",SUMIFS(상세표[07~18시],상세표[사번키],INDEX(합계표[사번키],$W372),상세표[반영월],대상월키,상세표[반영 기관],"서울병원"))</f>
        <v/>
      </c>
      <c r="O372">
        <f>IF($W372="","",SUMIFS(상세표[18~22시],상세표[사번키],INDEX(합계표[사번키],$W372),상세표[반영월],대상월키,상세표[반영 기관],"서울병원"))</f>
        <v/>
      </c>
      <c r="P372">
        <f>IF($W372="","",SUMIFS(상세표[22~06시],상세표[사번키],INDEX(합계표[사번키],$W372),상세표[반영월],대상월키,상세표[반영 기관],"서울병원"))</f>
        <v/>
      </c>
      <c r="Q372">
        <f>IF($W372="","",SUM($M372:$P372))</f>
        <v/>
      </c>
      <c r="R372">
        <f>IF($W372="","",COUNTIFS(상세표[사번키],INDEX(합계표[사번키],$W372),상세표[반영월],대상월키,상세표[야간당직],1,상세표[야간 구분],"평일"))</f>
        <v/>
      </c>
      <c r="S372" s="4">
        <f>IF($W372="","",COUNTIFS(상세표[사번키],INDEX(합계표[사번키],$W372),상세표[반영월],대상월키,상세표[야간당직],1,상세표[야간 구분],"휴일"))</f>
        <v/>
      </c>
      <c r="T372">
        <f>IF($W372="","",COUNTIFS(상세표[사번키],INDEX(합계표[사번키],$W372),상세표[반영월],대상월키,상세표[야간당직],1,상세표[야간 구분],"평일",상세표[반영 기관],"서울병원"))</f>
        <v/>
      </c>
      <c r="U372">
        <f>IF($W372="","",COUNTIFS(상세표[사번키],INDEX(합계표[사번키],$W372),상세표[반영월],대상월키,상세표[야간당직],1,상세표[야간 구분],"휴일",상세표[반영 기관],"서울병원"))</f>
        <v/>
      </c>
      <c r="V372">
        <f>IF($W372="","",IF(ISNUMBER(MATCH(INDEX(합계표[사번키],$W372)&amp;"|"&amp;대상월키,월별근무지표[키],0)),"직접 입력",IF($K372="—","—","기관명단")))</f>
        <v/>
      </c>
      <c r="W372">
        <f>IFERROR(MATCH(367,합계표[판정순번],0),"")</f>
        <v/>
      </c>
    </row>
    <row r="373">
      <c r="A373">
        <f>IF($W373="","",INDEX(합계표[사번],$W373)&amp;"")</f>
        <v/>
      </c>
      <c r="B373">
        <f>IF($W373="","",INDEX(합계표[성명],$W373)&amp;"")</f>
        <v/>
      </c>
      <c r="C373">
        <f>IF($W373="","",INDEX(합계표[부서],$W373)&amp;"")</f>
        <v/>
      </c>
      <c r="D373">
        <f>IF($W373="","",INDEX(합계표[직위(통합)],$W373)&amp;"")</f>
        <v/>
      </c>
      <c r="E373">
        <f>IF($W373="","",SUMIFS(합계표[시스템 합계],합계표[사번키],INDEX(합계표[사번키],$W373)))</f>
        <v/>
      </c>
      <c r="F373">
        <f>IF($W373="","",SUMIFS(상세표[기록 시간외],상세표[사번키],INDEX(합계표[사번키],$W373),상세표[기록월],대상월키))</f>
        <v/>
      </c>
      <c r="G373">
        <f>IF($W373="","",IF(ABS($E373-$F373)&lt;0.01,"일치","불일치(차이 "&amp;TEXT($F373-$E373,"0.00")&amp;")"))</f>
        <v/>
      </c>
      <c r="H373">
        <f>IF($W373="","",SUMIFS(상세표[기록 시간외],상세표[사번키],INDEX(합계표[사번키],$W373),상세표[기록월],대상월키,상세표[반영월],"&lt;&gt;"&amp;대상월키))</f>
        <v/>
      </c>
      <c r="I373">
        <f>IF($W373="","",SUMIFS(상세표[기록 시간외],상세표[사번키],INDEX(합계표[사번키],$W373),상세표[기록월],"&lt;&gt;"&amp;대상월키,상세표[반영월],대상월키))</f>
        <v/>
      </c>
      <c r="J373">
        <f>IF($W373="","",SUMIFS(상세표[기록 시간외],상세표[사번키],INDEX(합계표[사번키],$W373),상세표[반영월],대상월키))</f>
        <v/>
      </c>
      <c r="K373">
        <f>IF($W373="","",IFERROR(INDEX(월별근무지표[적용 급여병원],MATCH(INDEX(합계표[사번키],$W373)&amp;"|"&amp;대상월키,월별근무지표[키],0))&amp;"",IF(COUNTIF(기관표[사번키],INDEX(합계표[사번키],$W373))+COUNTIF(월별근무지표[사번키],INDEX(합계표[사번키],$W373))&gt;0,IFERROR(INDEX(기관표[급여지급병원(기준월)],MATCH(INDEX(합계표[사번키],$W373)&amp;"|"&amp;대상월키,기관표[키],0))&amp;"","—"),"—")))</f>
        <v/>
      </c>
      <c r="L373">
        <f>IF($W373="","",IF(NOT(COUNTIF(기관표[사번키],INDEX(합계표[사번키],$W373))+COUNTIF(월별근무지표[사번키],INDEX(합계표[사번키],$W373))&gt;0),"기관명단에 없음(다른 병원으로 발송)",IF($K373="—","대상월 기관명단 없음(추가 필요)",IF($K373="서울병원","해당","비해당"))))</f>
        <v/>
      </c>
      <c r="M373">
        <f>IF($W373="","",SUMIFS(상세표[06~07시],상세표[사번키],INDEX(합계표[사번키],$W373),상세표[반영월],대상월키,상세표[반영 기관],"서울병원"))</f>
        <v/>
      </c>
      <c r="N373">
        <f>IF($W373="","",SUMIFS(상세표[07~18시],상세표[사번키],INDEX(합계표[사번키],$W373),상세표[반영월],대상월키,상세표[반영 기관],"서울병원"))</f>
        <v/>
      </c>
      <c r="O373">
        <f>IF($W373="","",SUMIFS(상세표[18~22시],상세표[사번키],INDEX(합계표[사번키],$W373),상세표[반영월],대상월키,상세표[반영 기관],"서울병원"))</f>
        <v/>
      </c>
      <c r="P373">
        <f>IF($W373="","",SUMIFS(상세표[22~06시],상세표[사번키],INDEX(합계표[사번키],$W373),상세표[반영월],대상월키,상세표[반영 기관],"서울병원"))</f>
        <v/>
      </c>
      <c r="Q373">
        <f>IF($W373="","",SUM($M373:$P373))</f>
        <v/>
      </c>
      <c r="R373">
        <f>IF($W373="","",COUNTIFS(상세표[사번키],INDEX(합계표[사번키],$W373),상세표[반영월],대상월키,상세표[야간당직],1,상세표[야간 구분],"평일"))</f>
        <v/>
      </c>
      <c r="S373" s="4">
        <f>IF($W373="","",COUNTIFS(상세표[사번키],INDEX(합계표[사번키],$W373),상세표[반영월],대상월키,상세표[야간당직],1,상세표[야간 구분],"휴일"))</f>
        <v/>
      </c>
      <c r="T373">
        <f>IF($W373="","",COUNTIFS(상세표[사번키],INDEX(합계표[사번키],$W373),상세표[반영월],대상월키,상세표[야간당직],1,상세표[야간 구분],"평일",상세표[반영 기관],"서울병원"))</f>
        <v/>
      </c>
      <c r="U373">
        <f>IF($W373="","",COUNTIFS(상세표[사번키],INDEX(합계표[사번키],$W373),상세표[반영월],대상월키,상세표[야간당직],1,상세표[야간 구분],"휴일",상세표[반영 기관],"서울병원"))</f>
        <v/>
      </c>
      <c r="V373">
        <f>IF($W373="","",IF(ISNUMBER(MATCH(INDEX(합계표[사번키],$W373)&amp;"|"&amp;대상월키,월별근무지표[키],0)),"직접 입력",IF($K373="—","—","기관명단")))</f>
        <v/>
      </c>
      <c r="W373">
        <f>IFERROR(MATCH(368,합계표[판정순번],0),"")</f>
        <v/>
      </c>
    </row>
    <row r="374">
      <c r="A374">
        <f>IF($W374="","",INDEX(합계표[사번],$W374)&amp;"")</f>
        <v/>
      </c>
      <c r="B374">
        <f>IF($W374="","",INDEX(합계표[성명],$W374)&amp;"")</f>
        <v/>
      </c>
      <c r="C374">
        <f>IF($W374="","",INDEX(합계표[부서],$W374)&amp;"")</f>
        <v/>
      </c>
      <c r="D374">
        <f>IF($W374="","",INDEX(합계표[직위(통합)],$W374)&amp;"")</f>
        <v/>
      </c>
      <c r="E374">
        <f>IF($W374="","",SUMIFS(합계표[시스템 합계],합계표[사번키],INDEX(합계표[사번키],$W374)))</f>
        <v/>
      </c>
      <c r="F374">
        <f>IF($W374="","",SUMIFS(상세표[기록 시간외],상세표[사번키],INDEX(합계표[사번키],$W374),상세표[기록월],대상월키))</f>
        <v/>
      </c>
      <c r="G374">
        <f>IF($W374="","",IF(ABS($E374-$F374)&lt;0.01,"일치","불일치(차이 "&amp;TEXT($F374-$E374,"0.00")&amp;")"))</f>
        <v/>
      </c>
      <c r="H374">
        <f>IF($W374="","",SUMIFS(상세표[기록 시간외],상세표[사번키],INDEX(합계표[사번키],$W374),상세표[기록월],대상월키,상세표[반영월],"&lt;&gt;"&amp;대상월키))</f>
        <v/>
      </c>
      <c r="I374">
        <f>IF($W374="","",SUMIFS(상세표[기록 시간외],상세표[사번키],INDEX(합계표[사번키],$W374),상세표[기록월],"&lt;&gt;"&amp;대상월키,상세표[반영월],대상월키))</f>
        <v/>
      </c>
      <c r="J374">
        <f>IF($W374="","",SUMIFS(상세표[기록 시간외],상세표[사번키],INDEX(합계표[사번키],$W374),상세표[반영월],대상월키))</f>
        <v/>
      </c>
      <c r="K374">
        <f>IF($W374="","",IFERROR(INDEX(월별근무지표[적용 급여병원],MATCH(INDEX(합계표[사번키],$W374)&amp;"|"&amp;대상월키,월별근무지표[키],0))&amp;"",IF(COUNTIF(기관표[사번키],INDEX(합계표[사번키],$W374))+COUNTIF(월별근무지표[사번키],INDEX(합계표[사번키],$W374))&gt;0,IFERROR(INDEX(기관표[급여지급병원(기준월)],MATCH(INDEX(합계표[사번키],$W374)&amp;"|"&amp;대상월키,기관표[키],0))&amp;"","—"),"—")))</f>
        <v/>
      </c>
      <c r="L374">
        <f>IF($W374="","",IF(NOT(COUNTIF(기관표[사번키],INDEX(합계표[사번키],$W374))+COUNTIF(월별근무지표[사번키],INDEX(합계표[사번키],$W374))&gt;0),"기관명단에 없음(다른 병원으로 발송)",IF($K374="—","대상월 기관명단 없음(추가 필요)",IF($K374="서울병원","해당","비해당"))))</f>
        <v/>
      </c>
      <c r="M374">
        <f>IF($W374="","",SUMIFS(상세표[06~07시],상세표[사번키],INDEX(합계표[사번키],$W374),상세표[반영월],대상월키,상세표[반영 기관],"서울병원"))</f>
        <v/>
      </c>
      <c r="N374">
        <f>IF($W374="","",SUMIFS(상세표[07~18시],상세표[사번키],INDEX(합계표[사번키],$W374),상세표[반영월],대상월키,상세표[반영 기관],"서울병원"))</f>
        <v/>
      </c>
      <c r="O374">
        <f>IF($W374="","",SUMIFS(상세표[18~22시],상세표[사번키],INDEX(합계표[사번키],$W374),상세표[반영월],대상월키,상세표[반영 기관],"서울병원"))</f>
        <v/>
      </c>
      <c r="P374">
        <f>IF($W374="","",SUMIFS(상세표[22~06시],상세표[사번키],INDEX(합계표[사번키],$W374),상세표[반영월],대상월키,상세표[반영 기관],"서울병원"))</f>
        <v/>
      </c>
      <c r="Q374">
        <f>IF($W374="","",SUM($M374:$P374))</f>
        <v/>
      </c>
      <c r="R374">
        <f>IF($W374="","",COUNTIFS(상세표[사번키],INDEX(합계표[사번키],$W374),상세표[반영월],대상월키,상세표[야간당직],1,상세표[야간 구분],"평일"))</f>
        <v/>
      </c>
      <c r="S374" s="4">
        <f>IF($W374="","",COUNTIFS(상세표[사번키],INDEX(합계표[사번키],$W374),상세표[반영월],대상월키,상세표[야간당직],1,상세표[야간 구분],"휴일"))</f>
        <v/>
      </c>
      <c r="T374">
        <f>IF($W374="","",COUNTIFS(상세표[사번키],INDEX(합계표[사번키],$W374),상세표[반영월],대상월키,상세표[야간당직],1,상세표[야간 구분],"평일",상세표[반영 기관],"서울병원"))</f>
        <v/>
      </c>
      <c r="U374">
        <f>IF($W374="","",COUNTIFS(상세표[사번키],INDEX(합계표[사번키],$W374),상세표[반영월],대상월키,상세표[야간당직],1,상세표[야간 구분],"휴일",상세표[반영 기관],"서울병원"))</f>
        <v/>
      </c>
      <c r="V374">
        <f>IF($W374="","",IF(ISNUMBER(MATCH(INDEX(합계표[사번키],$W374)&amp;"|"&amp;대상월키,월별근무지표[키],0)),"직접 입력",IF($K374="—","—","기관명단")))</f>
        <v/>
      </c>
      <c r="W374">
        <f>IFERROR(MATCH(369,합계표[판정순번],0),"")</f>
        <v/>
      </c>
    </row>
    <row r="375">
      <c r="A375">
        <f>IF($W375="","",INDEX(합계표[사번],$W375)&amp;"")</f>
        <v/>
      </c>
      <c r="B375">
        <f>IF($W375="","",INDEX(합계표[성명],$W375)&amp;"")</f>
        <v/>
      </c>
      <c r="C375">
        <f>IF($W375="","",INDEX(합계표[부서],$W375)&amp;"")</f>
        <v/>
      </c>
      <c r="D375">
        <f>IF($W375="","",INDEX(합계표[직위(통합)],$W375)&amp;"")</f>
        <v/>
      </c>
      <c r="E375">
        <f>IF($W375="","",SUMIFS(합계표[시스템 합계],합계표[사번키],INDEX(합계표[사번키],$W375)))</f>
        <v/>
      </c>
      <c r="F375">
        <f>IF($W375="","",SUMIFS(상세표[기록 시간외],상세표[사번키],INDEX(합계표[사번키],$W375),상세표[기록월],대상월키))</f>
        <v/>
      </c>
      <c r="G375">
        <f>IF($W375="","",IF(ABS($E375-$F375)&lt;0.01,"일치","불일치(차이 "&amp;TEXT($F375-$E375,"0.00")&amp;")"))</f>
        <v/>
      </c>
      <c r="H375">
        <f>IF($W375="","",SUMIFS(상세표[기록 시간외],상세표[사번키],INDEX(합계표[사번키],$W375),상세표[기록월],대상월키,상세표[반영월],"&lt;&gt;"&amp;대상월키))</f>
        <v/>
      </c>
      <c r="I375">
        <f>IF($W375="","",SUMIFS(상세표[기록 시간외],상세표[사번키],INDEX(합계표[사번키],$W375),상세표[기록월],"&lt;&gt;"&amp;대상월키,상세표[반영월],대상월키))</f>
        <v/>
      </c>
      <c r="J375">
        <f>IF($W375="","",SUMIFS(상세표[기록 시간외],상세표[사번키],INDEX(합계표[사번키],$W375),상세표[반영월],대상월키))</f>
        <v/>
      </c>
      <c r="K375">
        <f>IF($W375="","",IFERROR(INDEX(월별근무지표[적용 급여병원],MATCH(INDEX(합계표[사번키],$W375)&amp;"|"&amp;대상월키,월별근무지표[키],0))&amp;"",IF(COUNTIF(기관표[사번키],INDEX(합계표[사번키],$W375))+COUNTIF(월별근무지표[사번키],INDEX(합계표[사번키],$W375))&gt;0,IFERROR(INDEX(기관표[급여지급병원(기준월)],MATCH(INDEX(합계표[사번키],$W375)&amp;"|"&amp;대상월키,기관표[키],0))&amp;"","—"),"—")))</f>
        <v/>
      </c>
      <c r="L375">
        <f>IF($W375="","",IF(NOT(COUNTIF(기관표[사번키],INDEX(합계표[사번키],$W375))+COUNTIF(월별근무지표[사번키],INDEX(합계표[사번키],$W375))&gt;0),"기관명단에 없음(다른 병원으로 발송)",IF($K375="—","대상월 기관명단 없음(추가 필요)",IF($K375="서울병원","해당","비해당"))))</f>
        <v/>
      </c>
      <c r="M375">
        <f>IF($W375="","",SUMIFS(상세표[06~07시],상세표[사번키],INDEX(합계표[사번키],$W375),상세표[반영월],대상월키,상세표[반영 기관],"서울병원"))</f>
        <v/>
      </c>
      <c r="N375">
        <f>IF($W375="","",SUMIFS(상세표[07~18시],상세표[사번키],INDEX(합계표[사번키],$W375),상세표[반영월],대상월키,상세표[반영 기관],"서울병원"))</f>
        <v/>
      </c>
      <c r="O375">
        <f>IF($W375="","",SUMIFS(상세표[18~22시],상세표[사번키],INDEX(합계표[사번키],$W375),상세표[반영월],대상월키,상세표[반영 기관],"서울병원"))</f>
        <v/>
      </c>
      <c r="P375">
        <f>IF($W375="","",SUMIFS(상세표[22~06시],상세표[사번키],INDEX(합계표[사번키],$W375),상세표[반영월],대상월키,상세표[반영 기관],"서울병원"))</f>
        <v/>
      </c>
      <c r="Q375">
        <f>IF($W375="","",SUM($M375:$P375))</f>
        <v/>
      </c>
      <c r="R375">
        <f>IF($W375="","",COUNTIFS(상세표[사번키],INDEX(합계표[사번키],$W375),상세표[반영월],대상월키,상세표[야간당직],1,상세표[야간 구분],"평일"))</f>
        <v/>
      </c>
      <c r="S375" s="4">
        <f>IF($W375="","",COUNTIFS(상세표[사번키],INDEX(합계표[사번키],$W375),상세표[반영월],대상월키,상세표[야간당직],1,상세표[야간 구분],"휴일"))</f>
        <v/>
      </c>
      <c r="T375">
        <f>IF($W375="","",COUNTIFS(상세표[사번키],INDEX(합계표[사번키],$W375),상세표[반영월],대상월키,상세표[야간당직],1,상세표[야간 구분],"평일",상세표[반영 기관],"서울병원"))</f>
        <v/>
      </c>
      <c r="U375">
        <f>IF($W375="","",COUNTIFS(상세표[사번키],INDEX(합계표[사번키],$W375),상세표[반영월],대상월키,상세표[야간당직],1,상세표[야간 구분],"휴일",상세표[반영 기관],"서울병원"))</f>
        <v/>
      </c>
      <c r="V375">
        <f>IF($W375="","",IF(ISNUMBER(MATCH(INDEX(합계표[사번키],$W375)&amp;"|"&amp;대상월키,월별근무지표[키],0)),"직접 입력",IF($K375="—","—","기관명단")))</f>
        <v/>
      </c>
      <c r="W375">
        <f>IFERROR(MATCH(370,합계표[판정순번],0),"")</f>
        <v/>
      </c>
    </row>
    <row r="376">
      <c r="A376">
        <f>IF($W376="","",INDEX(합계표[사번],$W376)&amp;"")</f>
        <v/>
      </c>
      <c r="B376">
        <f>IF($W376="","",INDEX(합계표[성명],$W376)&amp;"")</f>
        <v/>
      </c>
      <c r="C376">
        <f>IF($W376="","",INDEX(합계표[부서],$W376)&amp;"")</f>
        <v/>
      </c>
      <c r="D376">
        <f>IF($W376="","",INDEX(합계표[직위(통합)],$W376)&amp;"")</f>
        <v/>
      </c>
      <c r="E376">
        <f>IF($W376="","",SUMIFS(합계표[시스템 합계],합계표[사번키],INDEX(합계표[사번키],$W376)))</f>
        <v/>
      </c>
      <c r="F376">
        <f>IF($W376="","",SUMIFS(상세표[기록 시간외],상세표[사번키],INDEX(합계표[사번키],$W376),상세표[기록월],대상월키))</f>
        <v/>
      </c>
      <c r="G376">
        <f>IF($W376="","",IF(ABS($E376-$F376)&lt;0.01,"일치","불일치(차이 "&amp;TEXT($F376-$E376,"0.00")&amp;")"))</f>
        <v/>
      </c>
      <c r="H376">
        <f>IF($W376="","",SUMIFS(상세표[기록 시간외],상세표[사번키],INDEX(합계표[사번키],$W376),상세표[기록월],대상월키,상세표[반영월],"&lt;&gt;"&amp;대상월키))</f>
        <v/>
      </c>
      <c r="I376">
        <f>IF($W376="","",SUMIFS(상세표[기록 시간외],상세표[사번키],INDEX(합계표[사번키],$W376),상세표[기록월],"&lt;&gt;"&amp;대상월키,상세표[반영월],대상월키))</f>
        <v/>
      </c>
      <c r="J376">
        <f>IF($W376="","",SUMIFS(상세표[기록 시간외],상세표[사번키],INDEX(합계표[사번키],$W376),상세표[반영월],대상월키))</f>
        <v/>
      </c>
      <c r="K376">
        <f>IF($W376="","",IFERROR(INDEX(월별근무지표[적용 급여병원],MATCH(INDEX(합계표[사번키],$W376)&amp;"|"&amp;대상월키,월별근무지표[키],0))&amp;"",IF(COUNTIF(기관표[사번키],INDEX(합계표[사번키],$W376))+COUNTIF(월별근무지표[사번키],INDEX(합계표[사번키],$W376))&gt;0,IFERROR(INDEX(기관표[급여지급병원(기준월)],MATCH(INDEX(합계표[사번키],$W376)&amp;"|"&amp;대상월키,기관표[키],0))&amp;"","—"),"—")))</f>
        <v/>
      </c>
      <c r="L376">
        <f>IF($W376="","",IF(NOT(COUNTIF(기관표[사번키],INDEX(합계표[사번키],$W376))+COUNTIF(월별근무지표[사번키],INDEX(합계표[사번키],$W376))&gt;0),"기관명단에 없음(다른 병원으로 발송)",IF($K376="—","대상월 기관명단 없음(추가 필요)",IF($K376="서울병원","해당","비해당"))))</f>
        <v/>
      </c>
      <c r="M376">
        <f>IF($W376="","",SUMIFS(상세표[06~07시],상세표[사번키],INDEX(합계표[사번키],$W376),상세표[반영월],대상월키,상세표[반영 기관],"서울병원"))</f>
        <v/>
      </c>
      <c r="N376">
        <f>IF($W376="","",SUMIFS(상세표[07~18시],상세표[사번키],INDEX(합계표[사번키],$W376),상세표[반영월],대상월키,상세표[반영 기관],"서울병원"))</f>
        <v/>
      </c>
      <c r="O376">
        <f>IF($W376="","",SUMIFS(상세표[18~22시],상세표[사번키],INDEX(합계표[사번키],$W376),상세표[반영월],대상월키,상세표[반영 기관],"서울병원"))</f>
        <v/>
      </c>
      <c r="P376">
        <f>IF($W376="","",SUMIFS(상세표[22~06시],상세표[사번키],INDEX(합계표[사번키],$W376),상세표[반영월],대상월키,상세표[반영 기관],"서울병원"))</f>
        <v/>
      </c>
      <c r="Q376">
        <f>IF($W376="","",SUM($M376:$P376))</f>
        <v/>
      </c>
      <c r="R376">
        <f>IF($W376="","",COUNTIFS(상세표[사번키],INDEX(합계표[사번키],$W376),상세표[반영월],대상월키,상세표[야간당직],1,상세표[야간 구분],"평일"))</f>
        <v/>
      </c>
      <c r="S376" s="4">
        <f>IF($W376="","",COUNTIFS(상세표[사번키],INDEX(합계표[사번키],$W376),상세표[반영월],대상월키,상세표[야간당직],1,상세표[야간 구분],"휴일"))</f>
        <v/>
      </c>
      <c r="T376">
        <f>IF($W376="","",COUNTIFS(상세표[사번키],INDEX(합계표[사번키],$W376),상세표[반영월],대상월키,상세표[야간당직],1,상세표[야간 구분],"평일",상세표[반영 기관],"서울병원"))</f>
        <v/>
      </c>
      <c r="U376">
        <f>IF($W376="","",COUNTIFS(상세표[사번키],INDEX(합계표[사번키],$W376),상세표[반영월],대상월키,상세표[야간당직],1,상세표[야간 구분],"휴일",상세표[반영 기관],"서울병원"))</f>
        <v/>
      </c>
      <c r="V376">
        <f>IF($W376="","",IF(ISNUMBER(MATCH(INDEX(합계표[사번키],$W376)&amp;"|"&amp;대상월키,월별근무지표[키],0)),"직접 입력",IF($K376="—","—","기관명단")))</f>
        <v/>
      </c>
      <c r="W376">
        <f>IFERROR(MATCH(371,합계표[판정순번],0),"")</f>
        <v/>
      </c>
    </row>
    <row r="377">
      <c r="A377">
        <f>IF($W377="","",INDEX(합계표[사번],$W377)&amp;"")</f>
        <v/>
      </c>
      <c r="B377">
        <f>IF($W377="","",INDEX(합계표[성명],$W377)&amp;"")</f>
        <v/>
      </c>
      <c r="C377">
        <f>IF($W377="","",INDEX(합계표[부서],$W377)&amp;"")</f>
        <v/>
      </c>
      <c r="D377">
        <f>IF($W377="","",INDEX(합계표[직위(통합)],$W377)&amp;"")</f>
        <v/>
      </c>
      <c r="E377">
        <f>IF($W377="","",SUMIFS(합계표[시스템 합계],합계표[사번키],INDEX(합계표[사번키],$W377)))</f>
        <v/>
      </c>
      <c r="F377">
        <f>IF($W377="","",SUMIFS(상세표[기록 시간외],상세표[사번키],INDEX(합계표[사번키],$W377),상세표[기록월],대상월키))</f>
        <v/>
      </c>
      <c r="G377">
        <f>IF($W377="","",IF(ABS($E377-$F377)&lt;0.01,"일치","불일치(차이 "&amp;TEXT($F377-$E377,"0.00")&amp;")"))</f>
        <v/>
      </c>
      <c r="H377">
        <f>IF($W377="","",SUMIFS(상세표[기록 시간외],상세표[사번키],INDEX(합계표[사번키],$W377),상세표[기록월],대상월키,상세표[반영월],"&lt;&gt;"&amp;대상월키))</f>
        <v/>
      </c>
      <c r="I377">
        <f>IF($W377="","",SUMIFS(상세표[기록 시간외],상세표[사번키],INDEX(합계표[사번키],$W377),상세표[기록월],"&lt;&gt;"&amp;대상월키,상세표[반영월],대상월키))</f>
        <v/>
      </c>
      <c r="J377">
        <f>IF($W377="","",SUMIFS(상세표[기록 시간외],상세표[사번키],INDEX(합계표[사번키],$W377),상세표[반영월],대상월키))</f>
        <v/>
      </c>
      <c r="K377">
        <f>IF($W377="","",IFERROR(INDEX(월별근무지표[적용 급여병원],MATCH(INDEX(합계표[사번키],$W377)&amp;"|"&amp;대상월키,월별근무지표[키],0))&amp;"",IF(COUNTIF(기관표[사번키],INDEX(합계표[사번키],$W377))+COUNTIF(월별근무지표[사번키],INDEX(합계표[사번키],$W377))&gt;0,IFERROR(INDEX(기관표[급여지급병원(기준월)],MATCH(INDEX(합계표[사번키],$W377)&amp;"|"&amp;대상월키,기관표[키],0))&amp;"","—"),"—")))</f>
        <v/>
      </c>
      <c r="L377">
        <f>IF($W377="","",IF(NOT(COUNTIF(기관표[사번키],INDEX(합계표[사번키],$W377))+COUNTIF(월별근무지표[사번키],INDEX(합계표[사번키],$W377))&gt;0),"기관명단에 없음(다른 병원으로 발송)",IF($K377="—","대상월 기관명단 없음(추가 필요)",IF($K377="서울병원","해당","비해당"))))</f>
        <v/>
      </c>
      <c r="M377">
        <f>IF($W377="","",SUMIFS(상세표[06~07시],상세표[사번키],INDEX(합계표[사번키],$W377),상세표[반영월],대상월키,상세표[반영 기관],"서울병원"))</f>
        <v/>
      </c>
      <c r="N377">
        <f>IF($W377="","",SUMIFS(상세표[07~18시],상세표[사번키],INDEX(합계표[사번키],$W377),상세표[반영월],대상월키,상세표[반영 기관],"서울병원"))</f>
        <v/>
      </c>
      <c r="O377">
        <f>IF($W377="","",SUMIFS(상세표[18~22시],상세표[사번키],INDEX(합계표[사번키],$W377),상세표[반영월],대상월키,상세표[반영 기관],"서울병원"))</f>
        <v/>
      </c>
      <c r="P377">
        <f>IF($W377="","",SUMIFS(상세표[22~06시],상세표[사번키],INDEX(합계표[사번키],$W377),상세표[반영월],대상월키,상세표[반영 기관],"서울병원"))</f>
        <v/>
      </c>
      <c r="Q377">
        <f>IF($W377="","",SUM($M377:$P377))</f>
        <v/>
      </c>
      <c r="R377">
        <f>IF($W377="","",COUNTIFS(상세표[사번키],INDEX(합계표[사번키],$W377),상세표[반영월],대상월키,상세표[야간당직],1,상세표[야간 구분],"평일"))</f>
        <v/>
      </c>
      <c r="S377" s="4">
        <f>IF($W377="","",COUNTIFS(상세표[사번키],INDEX(합계표[사번키],$W377),상세표[반영월],대상월키,상세표[야간당직],1,상세표[야간 구분],"휴일"))</f>
        <v/>
      </c>
      <c r="T377">
        <f>IF($W377="","",COUNTIFS(상세표[사번키],INDEX(합계표[사번키],$W377),상세표[반영월],대상월키,상세표[야간당직],1,상세표[야간 구분],"평일",상세표[반영 기관],"서울병원"))</f>
        <v/>
      </c>
      <c r="U377">
        <f>IF($W377="","",COUNTIFS(상세표[사번키],INDEX(합계표[사번키],$W377),상세표[반영월],대상월키,상세표[야간당직],1,상세표[야간 구분],"휴일",상세표[반영 기관],"서울병원"))</f>
        <v/>
      </c>
      <c r="V377">
        <f>IF($W377="","",IF(ISNUMBER(MATCH(INDEX(합계표[사번키],$W377)&amp;"|"&amp;대상월키,월별근무지표[키],0)),"직접 입력",IF($K377="—","—","기관명단")))</f>
        <v/>
      </c>
      <c r="W377">
        <f>IFERROR(MATCH(372,합계표[판정순번],0),"")</f>
        <v/>
      </c>
    </row>
    <row r="378">
      <c r="A378">
        <f>IF($W378="","",INDEX(합계표[사번],$W378)&amp;"")</f>
        <v/>
      </c>
      <c r="B378">
        <f>IF($W378="","",INDEX(합계표[성명],$W378)&amp;"")</f>
        <v/>
      </c>
      <c r="C378">
        <f>IF($W378="","",INDEX(합계표[부서],$W378)&amp;"")</f>
        <v/>
      </c>
      <c r="D378">
        <f>IF($W378="","",INDEX(합계표[직위(통합)],$W378)&amp;"")</f>
        <v/>
      </c>
      <c r="E378">
        <f>IF($W378="","",SUMIFS(합계표[시스템 합계],합계표[사번키],INDEX(합계표[사번키],$W378)))</f>
        <v/>
      </c>
      <c r="F378">
        <f>IF($W378="","",SUMIFS(상세표[기록 시간외],상세표[사번키],INDEX(합계표[사번키],$W378),상세표[기록월],대상월키))</f>
        <v/>
      </c>
      <c r="G378">
        <f>IF($W378="","",IF(ABS($E378-$F378)&lt;0.01,"일치","불일치(차이 "&amp;TEXT($F378-$E378,"0.00")&amp;")"))</f>
        <v/>
      </c>
      <c r="H378">
        <f>IF($W378="","",SUMIFS(상세표[기록 시간외],상세표[사번키],INDEX(합계표[사번키],$W378),상세표[기록월],대상월키,상세표[반영월],"&lt;&gt;"&amp;대상월키))</f>
        <v/>
      </c>
      <c r="I378">
        <f>IF($W378="","",SUMIFS(상세표[기록 시간외],상세표[사번키],INDEX(합계표[사번키],$W378),상세표[기록월],"&lt;&gt;"&amp;대상월키,상세표[반영월],대상월키))</f>
        <v/>
      </c>
      <c r="J378">
        <f>IF($W378="","",SUMIFS(상세표[기록 시간외],상세표[사번키],INDEX(합계표[사번키],$W378),상세표[반영월],대상월키))</f>
        <v/>
      </c>
      <c r="K378">
        <f>IF($W378="","",IFERROR(INDEX(월별근무지표[적용 급여병원],MATCH(INDEX(합계표[사번키],$W378)&amp;"|"&amp;대상월키,월별근무지표[키],0))&amp;"",IF(COUNTIF(기관표[사번키],INDEX(합계표[사번키],$W378))+COUNTIF(월별근무지표[사번키],INDEX(합계표[사번키],$W378))&gt;0,IFERROR(INDEX(기관표[급여지급병원(기준월)],MATCH(INDEX(합계표[사번키],$W378)&amp;"|"&amp;대상월키,기관표[키],0))&amp;"","—"),"—")))</f>
        <v/>
      </c>
      <c r="L378">
        <f>IF($W378="","",IF(NOT(COUNTIF(기관표[사번키],INDEX(합계표[사번키],$W378))+COUNTIF(월별근무지표[사번키],INDEX(합계표[사번키],$W378))&gt;0),"기관명단에 없음(다른 병원으로 발송)",IF($K378="—","대상월 기관명단 없음(추가 필요)",IF($K378="서울병원","해당","비해당"))))</f>
        <v/>
      </c>
      <c r="M378">
        <f>IF($W378="","",SUMIFS(상세표[06~07시],상세표[사번키],INDEX(합계표[사번키],$W378),상세표[반영월],대상월키,상세표[반영 기관],"서울병원"))</f>
        <v/>
      </c>
      <c r="N378">
        <f>IF($W378="","",SUMIFS(상세표[07~18시],상세표[사번키],INDEX(합계표[사번키],$W378),상세표[반영월],대상월키,상세표[반영 기관],"서울병원"))</f>
        <v/>
      </c>
      <c r="O378">
        <f>IF($W378="","",SUMIFS(상세표[18~22시],상세표[사번키],INDEX(합계표[사번키],$W378),상세표[반영월],대상월키,상세표[반영 기관],"서울병원"))</f>
        <v/>
      </c>
      <c r="P378">
        <f>IF($W378="","",SUMIFS(상세표[22~06시],상세표[사번키],INDEX(합계표[사번키],$W378),상세표[반영월],대상월키,상세표[반영 기관],"서울병원"))</f>
        <v/>
      </c>
      <c r="Q378">
        <f>IF($W378="","",SUM($M378:$P378))</f>
        <v/>
      </c>
      <c r="R378">
        <f>IF($W378="","",COUNTIFS(상세표[사번키],INDEX(합계표[사번키],$W378),상세표[반영월],대상월키,상세표[야간당직],1,상세표[야간 구분],"평일"))</f>
        <v/>
      </c>
      <c r="S378" s="4">
        <f>IF($W378="","",COUNTIFS(상세표[사번키],INDEX(합계표[사번키],$W378),상세표[반영월],대상월키,상세표[야간당직],1,상세표[야간 구분],"휴일"))</f>
        <v/>
      </c>
      <c r="T378">
        <f>IF($W378="","",COUNTIFS(상세표[사번키],INDEX(합계표[사번키],$W378),상세표[반영월],대상월키,상세표[야간당직],1,상세표[야간 구분],"평일",상세표[반영 기관],"서울병원"))</f>
        <v/>
      </c>
      <c r="U378">
        <f>IF($W378="","",COUNTIFS(상세표[사번키],INDEX(합계표[사번키],$W378),상세표[반영월],대상월키,상세표[야간당직],1,상세표[야간 구분],"휴일",상세표[반영 기관],"서울병원"))</f>
        <v/>
      </c>
      <c r="V378">
        <f>IF($W378="","",IF(ISNUMBER(MATCH(INDEX(합계표[사번키],$W378)&amp;"|"&amp;대상월키,월별근무지표[키],0)),"직접 입력",IF($K378="—","—","기관명단")))</f>
        <v/>
      </c>
      <c r="W378">
        <f>IFERROR(MATCH(373,합계표[판정순번],0),"")</f>
        <v/>
      </c>
    </row>
    <row r="379">
      <c r="A379">
        <f>IF($W379="","",INDEX(합계표[사번],$W379)&amp;"")</f>
        <v/>
      </c>
      <c r="B379">
        <f>IF($W379="","",INDEX(합계표[성명],$W379)&amp;"")</f>
        <v/>
      </c>
      <c r="C379">
        <f>IF($W379="","",INDEX(합계표[부서],$W379)&amp;"")</f>
        <v/>
      </c>
      <c r="D379">
        <f>IF($W379="","",INDEX(합계표[직위(통합)],$W379)&amp;"")</f>
        <v/>
      </c>
      <c r="E379">
        <f>IF($W379="","",SUMIFS(합계표[시스템 합계],합계표[사번키],INDEX(합계표[사번키],$W379)))</f>
        <v/>
      </c>
      <c r="F379">
        <f>IF($W379="","",SUMIFS(상세표[기록 시간외],상세표[사번키],INDEX(합계표[사번키],$W379),상세표[기록월],대상월키))</f>
        <v/>
      </c>
      <c r="G379">
        <f>IF($W379="","",IF(ABS($E379-$F379)&lt;0.01,"일치","불일치(차이 "&amp;TEXT($F379-$E379,"0.00")&amp;")"))</f>
        <v/>
      </c>
      <c r="H379">
        <f>IF($W379="","",SUMIFS(상세표[기록 시간외],상세표[사번키],INDEX(합계표[사번키],$W379),상세표[기록월],대상월키,상세표[반영월],"&lt;&gt;"&amp;대상월키))</f>
        <v/>
      </c>
      <c r="I379">
        <f>IF($W379="","",SUMIFS(상세표[기록 시간외],상세표[사번키],INDEX(합계표[사번키],$W379),상세표[기록월],"&lt;&gt;"&amp;대상월키,상세표[반영월],대상월키))</f>
        <v/>
      </c>
      <c r="J379">
        <f>IF($W379="","",SUMIFS(상세표[기록 시간외],상세표[사번키],INDEX(합계표[사번키],$W379),상세표[반영월],대상월키))</f>
        <v/>
      </c>
      <c r="K379">
        <f>IF($W379="","",IFERROR(INDEX(월별근무지표[적용 급여병원],MATCH(INDEX(합계표[사번키],$W379)&amp;"|"&amp;대상월키,월별근무지표[키],0))&amp;"",IF(COUNTIF(기관표[사번키],INDEX(합계표[사번키],$W379))+COUNTIF(월별근무지표[사번키],INDEX(합계표[사번키],$W379))&gt;0,IFERROR(INDEX(기관표[급여지급병원(기준월)],MATCH(INDEX(합계표[사번키],$W379)&amp;"|"&amp;대상월키,기관표[키],0))&amp;"","—"),"—")))</f>
        <v/>
      </c>
      <c r="L379">
        <f>IF($W379="","",IF(NOT(COUNTIF(기관표[사번키],INDEX(합계표[사번키],$W379))+COUNTIF(월별근무지표[사번키],INDEX(합계표[사번키],$W379))&gt;0),"기관명단에 없음(다른 병원으로 발송)",IF($K379="—","대상월 기관명단 없음(추가 필요)",IF($K379="서울병원","해당","비해당"))))</f>
        <v/>
      </c>
      <c r="M379">
        <f>IF($W379="","",SUMIFS(상세표[06~07시],상세표[사번키],INDEX(합계표[사번키],$W379),상세표[반영월],대상월키,상세표[반영 기관],"서울병원"))</f>
        <v/>
      </c>
      <c r="N379">
        <f>IF($W379="","",SUMIFS(상세표[07~18시],상세표[사번키],INDEX(합계표[사번키],$W379),상세표[반영월],대상월키,상세표[반영 기관],"서울병원"))</f>
        <v/>
      </c>
      <c r="O379">
        <f>IF($W379="","",SUMIFS(상세표[18~22시],상세표[사번키],INDEX(합계표[사번키],$W379),상세표[반영월],대상월키,상세표[반영 기관],"서울병원"))</f>
        <v/>
      </c>
      <c r="P379">
        <f>IF($W379="","",SUMIFS(상세표[22~06시],상세표[사번키],INDEX(합계표[사번키],$W379),상세표[반영월],대상월키,상세표[반영 기관],"서울병원"))</f>
        <v/>
      </c>
      <c r="Q379">
        <f>IF($W379="","",SUM($M379:$P379))</f>
        <v/>
      </c>
      <c r="R379">
        <f>IF($W379="","",COUNTIFS(상세표[사번키],INDEX(합계표[사번키],$W379),상세표[반영월],대상월키,상세표[야간당직],1,상세표[야간 구분],"평일"))</f>
        <v/>
      </c>
      <c r="S379" s="4">
        <f>IF($W379="","",COUNTIFS(상세표[사번키],INDEX(합계표[사번키],$W379),상세표[반영월],대상월키,상세표[야간당직],1,상세표[야간 구분],"휴일"))</f>
        <v/>
      </c>
      <c r="T379">
        <f>IF($W379="","",COUNTIFS(상세표[사번키],INDEX(합계표[사번키],$W379),상세표[반영월],대상월키,상세표[야간당직],1,상세표[야간 구분],"평일",상세표[반영 기관],"서울병원"))</f>
        <v/>
      </c>
      <c r="U379">
        <f>IF($W379="","",COUNTIFS(상세표[사번키],INDEX(합계표[사번키],$W379),상세표[반영월],대상월키,상세표[야간당직],1,상세표[야간 구분],"휴일",상세표[반영 기관],"서울병원"))</f>
        <v/>
      </c>
      <c r="V379">
        <f>IF($W379="","",IF(ISNUMBER(MATCH(INDEX(합계표[사번키],$W379)&amp;"|"&amp;대상월키,월별근무지표[키],0)),"직접 입력",IF($K379="—","—","기관명단")))</f>
        <v/>
      </c>
      <c r="W379">
        <f>IFERROR(MATCH(374,합계표[판정순번],0),"")</f>
        <v/>
      </c>
    </row>
    <row r="380">
      <c r="A380">
        <f>IF($W380="","",INDEX(합계표[사번],$W380)&amp;"")</f>
        <v/>
      </c>
      <c r="B380">
        <f>IF($W380="","",INDEX(합계표[성명],$W380)&amp;"")</f>
        <v/>
      </c>
      <c r="C380">
        <f>IF($W380="","",INDEX(합계표[부서],$W380)&amp;"")</f>
        <v/>
      </c>
      <c r="D380">
        <f>IF($W380="","",INDEX(합계표[직위(통합)],$W380)&amp;"")</f>
        <v/>
      </c>
      <c r="E380">
        <f>IF($W380="","",SUMIFS(합계표[시스템 합계],합계표[사번키],INDEX(합계표[사번키],$W380)))</f>
        <v/>
      </c>
      <c r="F380">
        <f>IF($W380="","",SUMIFS(상세표[기록 시간외],상세표[사번키],INDEX(합계표[사번키],$W380),상세표[기록월],대상월키))</f>
        <v/>
      </c>
      <c r="G380">
        <f>IF($W380="","",IF(ABS($E380-$F380)&lt;0.01,"일치","불일치(차이 "&amp;TEXT($F380-$E380,"0.00")&amp;")"))</f>
        <v/>
      </c>
      <c r="H380">
        <f>IF($W380="","",SUMIFS(상세표[기록 시간외],상세표[사번키],INDEX(합계표[사번키],$W380),상세표[기록월],대상월키,상세표[반영월],"&lt;&gt;"&amp;대상월키))</f>
        <v/>
      </c>
      <c r="I380">
        <f>IF($W380="","",SUMIFS(상세표[기록 시간외],상세표[사번키],INDEX(합계표[사번키],$W380),상세표[기록월],"&lt;&gt;"&amp;대상월키,상세표[반영월],대상월키))</f>
        <v/>
      </c>
      <c r="J380">
        <f>IF($W380="","",SUMIFS(상세표[기록 시간외],상세표[사번키],INDEX(합계표[사번키],$W380),상세표[반영월],대상월키))</f>
        <v/>
      </c>
      <c r="K380">
        <f>IF($W380="","",IFERROR(INDEX(월별근무지표[적용 급여병원],MATCH(INDEX(합계표[사번키],$W380)&amp;"|"&amp;대상월키,월별근무지표[키],0))&amp;"",IF(COUNTIF(기관표[사번키],INDEX(합계표[사번키],$W380))+COUNTIF(월별근무지표[사번키],INDEX(합계표[사번키],$W380))&gt;0,IFERROR(INDEX(기관표[급여지급병원(기준월)],MATCH(INDEX(합계표[사번키],$W380)&amp;"|"&amp;대상월키,기관표[키],0))&amp;"","—"),"—")))</f>
        <v/>
      </c>
      <c r="L380">
        <f>IF($W380="","",IF(NOT(COUNTIF(기관표[사번키],INDEX(합계표[사번키],$W380))+COUNTIF(월별근무지표[사번키],INDEX(합계표[사번키],$W380))&gt;0),"기관명단에 없음(다른 병원으로 발송)",IF($K380="—","대상월 기관명단 없음(추가 필요)",IF($K380="서울병원","해당","비해당"))))</f>
        <v/>
      </c>
      <c r="M380">
        <f>IF($W380="","",SUMIFS(상세표[06~07시],상세표[사번키],INDEX(합계표[사번키],$W380),상세표[반영월],대상월키,상세표[반영 기관],"서울병원"))</f>
        <v/>
      </c>
      <c r="N380">
        <f>IF($W380="","",SUMIFS(상세표[07~18시],상세표[사번키],INDEX(합계표[사번키],$W380),상세표[반영월],대상월키,상세표[반영 기관],"서울병원"))</f>
        <v/>
      </c>
      <c r="O380">
        <f>IF($W380="","",SUMIFS(상세표[18~22시],상세표[사번키],INDEX(합계표[사번키],$W380),상세표[반영월],대상월키,상세표[반영 기관],"서울병원"))</f>
        <v/>
      </c>
      <c r="P380">
        <f>IF($W380="","",SUMIFS(상세표[22~06시],상세표[사번키],INDEX(합계표[사번키],$W380),상세표[반영월],대상월키,상세표[반영 기관],"서울병원"))</f>
        <v/>
      </c>
      <c r="Q380">
        <f>IF($W380="","",SUM($M380:$P380))</f>
        <v/>
      </c>
      <c r="R380">
        <f>IF($W380="","",COUNTIFS(상세표[사번키],INDEX(합계표[사번키],$W380),상세표[반영월],대상월키,상세표[야간당직],1,상세표[야간 구분],"평일"))</f>
        <v/>
      </c>
      <c r="S380" s="4">
        <f>IF($W380="","",COUNTIFS(상세표[사번키],INDEX(합계표[사번키],$W380),상세표[반영월],대상월키,상세표[야간당직],1,상세표[야간 구분],"휴일"))</f>
        <v/>
      </c>
      <c r="T380">
        <f>IF($W380="","",COUNTIFS(상세표[사번키],INDEX(합계표[사번키],$W380),상세표[반영월],대상월키,상세표[야간당직],1,상세표[야간 구분],"평일",상세표[반영 기관],"서울병원"))</f>
        <v/>
      </c>
      <c r="U380">
        <f>IF($W380="","",COUNTIFS(상세표[사번키],INDEX(합계표[사번키],$W380),상세표[반영월],대상월키,상세표[야간당직],1,상세표[야간 구분],"휴일",상세표[반영 기관],"서울병원"))</f>
        <v/>
      </c>
      <c r="V380">
        <f>IF($W380="","",IF(ISNUMBER(MATCH(INDEX(합계표[사번키],$W380)&amp;"|"&amp;대상월키,월별근무지표[키],0)),"직접 입력",IF($K380="—","—","기관명단")))</f>
        <v/>
      </c>
      <c r="W380">
        <f>IFERROR(MATCH(375,합계표[판정순번],0),"")</f>
        <v/>
      </c>
    </row>
    <row r="381">
      <c r="A381">
        <f>IF($W381="","",INDEX(합계표[사번],$W381)&amp;"")</f>
        <v/>
      </c>
      <c r="B381">
        <f>IF($W381="","",INDEX(합계표[성명],$W381)&amp;"")</f>
        <v/>
      </c>
      <c r="C381">
        <f>IF($W381="","",INDEX(합계표[부서],$W381)&amp;"")</f>
        <v/>
      </c>
      <c r="D381">
        <f>IF($W381="","",INDEX(합계표[직위(통합)],$W381)&amp;"")</f>
        <v/>
      </c>
      <c r="E381">
        <f>IF($W381="","",SUMIFS(합계표[시스템 합계],합계표[사번키],INDEX(합계표[사번키],$W381)))</f>
        <v/>
      </c>
      <c r="F381">
        <f>IF($W381="","",SUMIFS(상세표[기록 시간외],상세표[사번키],INDEX(합계표[사번키],$W381),상세표[기록월],대상월키))</f>
        <v/>
      </c>
      <c r="G381">
        <f>IF($W381="","",IF(ABS($E381-$F381)&lt;0.01,"일치","불일치(차이 "&amp;TEXT($F381-$E381,"0.00")&amp;")"))</f>
        <v/>
      </c>
      <c r="H381">
        <f>IF($W381="","",SUMIFS(상세표[기록 시간외],상세표[사번키],INDEX(합계표[사번키],$W381),상세표[기록월],대상월키,상세표[반영월],"&lt;&gt;"&amp;대상월키))</f>
        <v/>
      </c>
      <c r="I381">
        <f>IF($W381="","",SUMIFS(상세표[기록 시간외],상세표[사번키],INDEX(합계표[사번키],$W381),상세표[기록월],"&lt;&gt;"&amp;대상월키,상세표[반영월],대상월키))</f>
        <v/>
      </c>
      <c r="J381">
        <f>IF($W381="","",SUMIFS(상세표[기록 시간외],상세표[사번키],INDEX(합계표[사번키],$W381),상세표[반영월],대상월키))</f>
        <v/>
      </c>
      <c r="K381">
        <f>IF($W381="","",IFERROR(INDEX(월별근무지표[적용 급여병원],MATCH(INDEX(합계표[사번키],$W381)&amp;"|"&amp;대상월키,월별근무지표[키],0))&amp;"",IF(COUNTIF(기관표[사번키],INDEX(합계표[사번키],$W381))+COUNTIF(월별근무지표[사번키],INDEX(합계표[사번키],$W381))&gt;0,IFERROR(INDEX(기관표[급여지급병원(기준월)],MATCH(INDEX(합계표[사번키],$W381)&amp;"|"&amp;대상월키,기관표[키],0))&amp;"","—"),"—")))</f>
        <v/>
      </c>
      <c r="L381">
        <f>IF($W381="","",IF(NOT(COUNTIF(기관표[사번키],INDEX(합계표[사번키],$W381))+COUNTIF(월별근무지표[사번키],INDEX(합계표[사번키],$W381))&gt;0),"기관명단에 없음(다른 병원으로 발송)",IF($K381="—","대상월 기관명단 없음(추가 필요)",IF($K381="서울병원","해당","비해당"))))</f>
        <v/>
      </c>
      <c r="M381">
        <f>IF($W381="","",SUMIFS(상세표[06~07시],상세표[사번키],INDEX(합계표[사번키],$W381),상세표[반영월],대상월키,상세표[반영 기관],"서울병원"))</f>
        <v/>
      </c>
      <c r="N381">
        <f>IF($W381="","",SUMIFS(상세표[07~18시],상세표[사번키],INDEX(합계표[사번키],$W381),상세표[반영월],대상월키,상세표[반영 기관],"서울병원"))</f>
        <v/>
      </c>
      <c r="O381">
        <f>IF($W381="","",SUMIFS(상세표[18~22시],상세표[사번키],INDEX(합계표[사번키],$W381),상세표[반영월],대상월키,상세표[반영 기관],"서울병원"))</f>
        <v/>
      </c>
      <c r="P381">
        <f>IF($W381="","",SUMIFS(상세표[22~06시],상세표[사번키],INDEX(합계표[사번키],$W381),상세표[반영월],대상월키,상세표[반영 기관],"서울병원"))</f>
        <v/>
      </c>
      <c r="Q381">
        <f>IF($W381="","",SUM($M381:$P381))</f>
        <v/>
      </c>
      <c r="R381">
        <f>IF($W381="","",COUNTIFS(상세표[사번키],INDEX(합계표[사번키],$W381),상세표[반영월],대상월키,상세표[야간당직],1,상세표[야간 구분],"평일"))</f>
        <v/>
      </c>
      <c r="S381" s="4">
        <f>IF($W381="","",COUNTIFS(상세표[사번키],INDEX(합계표[사번키],$W381),상세표[반영월],대상월키,상세표[야간당직],1,상세표[야간 구분],"휴일"))</f>
        <v/>
      </c>
      <c r="T381">
        <f>IF($W381="","",COUNTIFS(상세표[사번키],INDEX(합계표[사번키],$W381),상세표[반영월],대상월키,상세표[야간당직],1,상세표[야간 구분],"평일",상세표[반영 기관],"서울병원"))</f>
        <v/>
      </c>
      <c r="U381">
        <f>IF($W381="","",COUNTIFS(상세표[사번키],INDEX(합계표[사번키],$W381),상세표[반영월],대상월키,상세표[야간당직],1,상세표[야간 구분],"휴일",상세표[반영 기관],"서울병원"))</f>
        <v/>
      </c>
      <c r="V381">
        <f>IF($W381="","",IF(ISNUMBER(MATCH(INDEX(합계표[사번키],$W381)&amp;"|"&amp;대상월키,월별근무지표[키],0)),"직접 입력",IF($K381="—","—","기관명단")))</f>
        <v/>
      </c>
      <c r="W381">
        <f>IFERROR(MATCH(376,합계표[판정순번],0),"")</f>
        <v/>
      </c>
    </row>
    <row r="382">
      <c r="A382">
        <f>IF($W382="","",INDEX(합계표[사번],$W382)&amp;"")</f>
        <v/>
      </c>
      <c r="B382">
        <f>IF($W382="","",INDEX(합계표[성명],$W382)&amp;"")</f>
        <v/>
      </c>
      <c r="C382">
        <f>IF($W382="","",INDEX(합계표[부서],$W382)&amp;"")</f>
        <v/>
      </c>
      <c r="D382">
        <f>IF($W382="","",INDEX(합계표[직위(통합)],$W382)&amp;"")</f>
        <v/>
      </c>
      <c r="E382">
        <f>IF($W382="","",SUMIFS(합계표[시스템 합계],합계표[사번키],INDEX(합계표[사번키],$W382)))</f>
        <v/>
      </c>
      <c r="F382">
        <f>IF($W382="","",SUMIFS(상세표[기록 시간외],상세표[사번키],INDEX(합계표[사번키],$W382),상세표[기록월],대상월키))</f>
        <v/>
      </c>
      <c r="G382">
        <f>IF($W382="","",IF(ABS($E382-$F382)&lt;0.01,"일치","불일치(차이 "&amp;TEXT($F382-$E382,"0.00")&amp;")"))</f>
        <v/>
      </c>
      <c r="H382">
        <f>IF($W382="","",SUMIFS(상세표[기록 시간외],상세표[사번키],INDEX(합계표[사번키],$W382),상세표[기록월],대상월키,상세표[반영월],"&lt;&gt;"&amp;대상월키))</f>
        <v/>
      </c>
      <c r="I382">
        <f>IF($W382="","",SUMIFS(상세표[기록 시간외],상세표[사번키],INDEX(합계표[사번키],$W382),상세표[기록월],"&lt;&gt;"&amp;대상월키,상세표[반영월],대상월키))</f>
        <v/>
      </c>
      <c r="J382">
        <f>IF($W382="","",SUMIFS(상세표[기록 시간외],상세표[사번키],INDEX(합계표[사번키],$W382),상세표[반영월],대상월키))</f>
        <v/>
      </c>
      <c r="K382">
        <f>IF($W382="","",IFERROR(INDEX(월별근무지표[적용 급여병원],MATCH(INDEX(합계표[사번키],$W382)&amp;"|"&amp;대상월키,월별근무지표[키],0))&amp;"",IF(COUNTIF(기관표[사번키],INDEX(합계표[사번키],$W382))+COUNTIF(월별근무지표[사번키],INDEX(합계표[사번키],$W382))&gt;0,IFERROR(INDEX(기관표[급여지급병원(기준월)],MATCH(INDEX(합계표[사번키],$W382)&amp;"|"&amp;대상월키,기관표[키],0))&amp;"","—"),"—")))</f>
        <v/>
      </c>
      <c r="L382">
        <f>IF($W382="","",IF(NOT(COUNTIF(기관표[사번키],INDEX(합계표[사번키],$W382))+COUNTIF(월별근무지표[사번키],INDEX(합계표[사번키],$W382))&gt;0),"기관명단에 없음(다른 병원으로 발송)",IF($K382="—","대상월 기관명단 없음(추가 필요)",IF($K382="서울병원","해당","비해당"))))</f>
        <v/>
      </c>
      <c r="M382">
        <f>IF($W382="","",SUMIFS(상세표[06~07시],상세표[사번키],INDEX(합계표[사번키],$W382),상세표[반영월],대상월키,상세표[반영 기관],"서울병원"))</f>
        <v/>
      </c>
      <c r="N382">
        <f>IF($W382="","",SUMIFS(상세표[07~18시],상세표[사번키],INDEX(합계표[사번키],$W382),상세표[반영월],대상월키,상세표[반영 기관],"서울병원"))</f>
        <v/>
      </c>
      <c r="O382">
        <f>IF($W382="","",SUMIFS(상세표[18~22시],상세표[사번키],INDEX(합계표[사번키],$W382),상세표[반영월],대상월키,상세표[반영 기관],"서울병원"))</f>
        <v/>
      </c>
      <c r="P382">
        <f>IF($W382="","",SUMIFS(상세표[22~06시],상세표[사번키],INDEX(합계표[사번키],$W382),상세표[반영월],대상월키,상세표[반영 기관],"서울병원"))</f>
        <v/>
      </c>
      <c r="Q382">
        <f>IF($W382="","",SUM($M382:$P382))</f>
        <v/>
      </c>
      <c r="R382">
        <f>IF($W382="","",COUNTIFS(상세표[사번키],INDEX(합계표[사번키],$W382),상세표[반영월],대상월키,상세표[야간당직],1,상세표[야간 구분],"평일"))</f>
        <v/>
      </c>
      <c r="S382" s="4">
        <f>IF($W382="","",COUNTIFS(상세표[사번키],INDEX(합계표[사번키],$W382),상세표[반영월],대상월키,상세표[야간당직],1,상세표[야간 구분],"휴일"))</f>
        <v/>
      </c>
      <c r="T382">
        <f>IF($W382="","",COUNTIFS(상세표[사번키],INDEX(합계표[사번키],$W382),상세표[반영월],대상월키,상세표[야간당직],1,상세표[야간 구분],"평일",상세표[반영 기관],"서울병원"))</f>
        <v/>
      </c>
      <c r="U382">
        <f>IF($W382="","",COUNTIFS(상세표[사번키],INDEX(합계표[사번키],$W382),상세표[반영월],대상월키,상세표[야간당직],1,상세표[야간 구분],"휴일",상세표[반영 기관],"서울병원"))</f>
        <v/>
      </c>
      <c r="V382">
        <f>IF($W382="","",IF(ISNUMBER(MATCH(INDEX(합계표[사번키],$W382)&amp;"|"&amp;대상월키,월별근무지표[키],0)),"직접 입력",IF($K382="—","—","기관명단")))</f>
        <v/>
      </c>
      <c r="W382">
        <f>IFERROR(MATCH(377,합계표[판정순번],0),"")</f>
        <v/>
      </c>
    </row>
    <row r="383">
      <c r="A383">
        <f>IF($W383="","",INDEX(합계표[사번],$W383)&amp;"")</f>
        <v/>
      </c>
      <c r="B383">
        <f>IF($W383="","",INDEX(합계표[성명],$W383)&amp;"")</f>
        <v/>
      </c>
      <c r="C383">
        <f>IF($W383="","",INDEX(합계표[부서],$W383)&amp;"")</f>
        <v/>
      </c>
      <c r="D383">
        <f>IF($W383="","",INDEX(합계표[직위(통합)],$W383)&amp;"")</f>
        <v/>
      </c>
      <c r="E383">
        <f>IF($W383="","",SUMIFS(합계표[시스템 합계],합계표[사번키],INDEX(합계표[사번키],$W383)))</f>
        <v/>
      </c>
      <c r="F383">
        <f>IF($W383="","",SUMIFS(상세표[기록 시간외],상세표[사번키],INDEX(합계표[사번키],$W383),상세표[기록월],대상월키))</f>
        <v/>
      </c>
      <c r="G383">
        <f>IF($W383="","",IF(ABS($E383-$F383)&lt;0.01,"일치","불일치(차이 "&amp;TEXT($F383-$E383,"0.00")&amp;")"))</f>
        <v/>
      </c>
      <c r="H383">
        <f>IF($W383="","",SUMIFS(상세표[기록 시간외],상세표[사번키],INDEX(합계표[사번키],$W383),상세표[기록월],대상월키,상세표[반영월],"&lt;&gt;"&amp;대상월키))</f>
        <v/>
      </c>
      <c r="I383">
        <f>IF($W383="","",SUMIFS(상세표[기록 시간외],상세표[사번키],INDEX(합계표[사번키],$W383),상세표[기록월],"&lt;&gt;"&amp;대상월키,상세표[반영월],대상월키))</f>
        <v/>
      </c>
      <c r="J383">
        <f>IF($W383="","",SUMIFS(상세표[기록 시간외],상세표[사번키],INDEX(합계표[사번키],$W383),상세표[반영월],대상월키))</f>
        <v/>
      </c>
      <c r="K383">
        <f>IF($W383="","",IFERROR(INDEX(월별근무지표[적용 급여병원],MATCH(INDEX(합계표[사번키],$W383)&amp;"|"&amp;대상월키,월별근무지표[키],0))&amp;"",IF(COUNTIF(기관표[사번키],INDEX(합계표[사번키],$W383))+COUNTIF(월별근무지표[사번키],INDEX(합계표[사번키],$W383))&gt;0,IFERROR(INDEX(기관표[급여지급병원(기준월)],MATCH(INDEX(합계표[사번키],$W383)&amp;"|"&amp;대상월키,기관표[키],0))&amp;"","—"),"—")))</f>
        <v/>
      </c>
      <c r="L383">
        <f>IF($W383="","",IF(NOT(COUNTIF(기관표[사번키],INDEX(합계표[사번키],$W383))+COUNTIF(월별근무지표[사번키],INDEX(합계표[사번키],$W383))&gt;0),"기관명단에 없음(다른 병원으로 발송)",IF($K383="—","대상월 기관명단 없음(추가 필요)",IF($K383="서울병원","해당","비해당"))))</f>
        <v/>
      </c>
      <c r="M383">
        <f>IF($W383="","",SUMIFS(상세표[06~07시],상세표[사번키],INDEX(합계표[사번키],$W383),상세표[반영월],대상월키,상세표[반영 기관],"서울병원"))</f>
        <v/>
      </c>
      <c r="N383">
        <f>IF($W383="","",SUMIFS(상세표[07~18시],상세표[사번키],INDEX(합계표[사번키],$W383),상세표[반영월],대상월키,상세표[반영 기관],"서울병원"))</f>
        <v/>
      </c>
      <c r="O383">
        <f>IF($W383="","",SUMIFS(상세표[18~22시],상세표[사번키],INDEX(합계표[사번키],$W383),상세표[반영월],대상월키,상세표[반영 기관],"서울병원"))</f>
        <v/>
      </c>
      <c r="P383">
        <f>IF($W383="","",SUMIFS(상세표[22~06시],상세표[사번키],INDEX(합계표[사번키],$W383),상세표[반영월],대상월키,상세표[반영 기관],"서울병원"))</f>
        <v/>
      </c>
      <c r="Q383">
        <f>IF($W383="","",SUM($M383:$P383))</f>
        <v/>
      </c>
      <c r="R383">
        <f>IF($W383="","",COUNTIFS(상세표[사번키],INDEX(합계표[사번키],$W383),상세표[반영월],대상월키,상세표[야간당직],1,상세표[야간 구분],"평일"))</f>
        <v/>
      </c>
      <c r="S383" s="4">
        <f>IF($W383="","",COUNTIFS(상세표[사번키],INDEX(합계표[사번키],$W383),상세표[반영월],대상월키,상세표[야간당직],1,상세표[야간 구분],"휴일"))</f>
        <v/>
      </c>
      <c r="T383">
        <f>IF($W383="","",COUNTIFS(상세표[사번키],INDEX(합계표[사번키],$W383),상세표[반영월],대상월키,상세표[야간당직],1,상세표[야간 구분],"평일",상세표[반영 기관],"서울병원"))</f>
        <v/>
      </c>
      <c r="U383">
        <f>IF($W383="","",COUNTIFS(상세표[사번키],INDEX(합계표[사번키],$W383),상세표[반영월],대상월키,상세표[야간당직],1,상세표[야간 구분],"휴일",상세표[반영 기관],"서울병원"))</f>
        <v/>
      </c>
      <c r="V383">
        <f>IF($W383="","",IF(ISNUMBER(MATCH(INDEX(합계표[사번키],$W383)&amp;"|"&amp;대상월키,월별근무지표[키],0)),"직접 입력",IF($K383="—","—","기관명단")))</f>
        <v/>
      </c>
      <c r="W383">
        <f>IFERROR(MATCH(378,합계표[판정순번],0),"")</f>
        <v/>
      </c>
    </row>
    <row r="384">
      <c r="A384">
        <f>IF($W384="","",INDEX(합계표[사번],$W384)&amp;"")</f>
        <v/>
      </c>
      <c r="B384">
        <f>IF($W384="","",INDEX(합계표[성명],$W384)&amp;"")</f>
        <v/>
      </c>
      <c r="C384">
        <f>IF($W384="","",INDEX(합계표[부서],$W384)&amp;"")</f>
        <v/>
      </c>
      <c r="D384">
        <f>IF($W384="","",INDEX(합계표[직위(통합)],$W384)&amp;"")</f>
        <v/>
      </c>
      <c r="E384">
        <f>IF($W384="","",SUMIFS(합계표[시스템 합계],합계표[사번키],INDEX(합계표[사번키],$W384)))</f>
        <v/>
      </c>
      <c r="F384">
        <f>IF($W384="","",SUMIFS(상세표[기록 시간외],상세표[사번키],INDEX(합계표[사번키],$W384),상세표[기록월],대상월키))</f>
        <v/>
      </c>
      <c r="G384">
        <f>IF($W384="","",IF(ABS($E384-$F384)&lt;0.01,"일치","불일치(차이 "&amp;TEXT($F384-$E384,"0.00")&amp;")"))</f>
        <v/>
      </c>
      <c r="H384">
        <f>IF($W384="","",SUMIFS(상세표[기록 시간외],상세표[사번키],INDEX(합계표[사번키],$W384),상세표[기록월],대상월키,상세표[반영월],"&lt;&gt;"&amp;대상월키))</f>
        <v/>
      </c>
      <c r="I384">
        <f>IF($W384="","",SUMIFS(상세표[기록 시간외],상세표[사번키],INDEX(합계표[사번키],$W384),상세표[기록월],"&lt;&gt;"&amp;대상월키,상세표[반영월],대상월키))</f>
        <v/>
      </c>
      <c r="J384">
        <f>IF($W384="","",SUMIFS(상세표[기록 시간외],상세표[사번키],INDEX(합계표[사번키],$W384),상세표[반영월],대상월키))</f>
        <v/>
      </c>
      <c r="K384">
        <f>IF($W384="","",IFERROR(INDEX(월별근무지표[적용 급여병원],MATCH(INDEX(합계표[사번키],$W384)&amp;"|"&amp;대상월키,월별근무지표[키],0))&amp;"",IF(COUNTIF(기관표[사번키],INDEX(합계표[사번키],$W384))+COUNTIF(월별근무지표[사번키],INDEX(합계표[사번키],$W384))&gt;0,IFERROR(INDEX(기관표[급여지급병원(기준월)],MATCH(INDEX(합계표[사번키],$W384)&amp;"|"&amp;대상월키,기관표[키],0))&amp;"","—"),"—")))</f>
        <v/>
      </c>
      <c r="L384">
        <f>IF($W384="","",IF(NOT(COUNTIF(기관표[사번키],INDEX(합계표[사번키],$W384))+COUNTIF(월별근무지표[사번키],INDEX(합계표[사번키],$W384))&gt;0),"기관명단에 없음(다른 병원으로 발송)",IF($K384="—","대상월 기관명단 없음(추가 필요)",IF($K384="서울병원","해당","비해당"))))</f>
        <v/>
      </c>
      <c r="M384">
        <f>IF($W384="","",SUMIFS(상세표[06~07시],상세표[사번키],INDEX(합계표[사번키],$W384),상세표[반영월],대상월키,상세표[반영 기관],"서울병원"))</f>
        <v/>
      </c>
      <c r="N384">
        <f>IF($W384="","",SUMIFS(상세표[07~18시],상세표[사번키],INDEX(합계표[사번키],$W384),상세표[반영월],대상월키,상세표[반영 기관],"서울병원"))</f>
        <v/>
      </c>
      <c r="O384">
        <f>IF($W384="","",SUMIFS(상세표[18~22시],상세표[사번키],INDEX(합계표[사번키],$W384),상세표[반영월],대상월키,상세표[반영 기관],"서울병원"))</f>
        <v/>
      </c>
      <c r="P384">
        <f>IF($W384="","",SUMIFS(상세표[22~06시],상세표[사번키],INDEX(합계표[사번키],$W384),상세표[반영월],대상월키,상세표[반영 기관],"서울병원"))</f>
        <v/>
      </c>
      <c r="Q384">
        <f>IF($W384="","",SUM($M384:$P384))</f>
        <v/>
      </c>
      <c r="R384">
        <f>IF($W384="","",COUNTIFS(상세표[사번키],INDEX(합계표[사번키],$W384),상세표[반영월],대상월키,상세표[야간당직],1,상세표[야간 구분],"평일"))</f>
        <v/>
      </c>
      <c r="S384" s="4">
        <f>IF($W384="","",COUNTIFS(상세표[사번키],INDEX(합계표[사번키],$W384),상세표[반영월],대상월키,상세표[야간당직],1,상세표[야간 구분],"휴일"))</f>
        <v/>
      </c>
      <c r="T384">
        <f>IF($W384="","",COUNTIFS(상세표[사번키],INDEX(합계표[사번키],$W384),상세표[반영월],대상월키,상세표[야간당직],1,상세표[야간 구분],"평일",상세표[반영 기관],"서울병원"))</f>
        <v/>
      </c>
      <c r="U384">
        <f>IF($W384="","",COUNTIFS(상세표[사번키],INDEX(합계표[사번키],$W384),상세표[반영월],대상월키,상세표[야간당직],1,상세표[야간 구분],"휴일",상세표[반영 기관],"서울병원"))</f>
        <v/>
      </c>
      <c r="V384">
        <f>IF($W384="","",IF(ISNUMBER(MATCH(INDEX(합계표[사번키],$W384)&amp;"|"&amp;대상월키,월별근무지표[키],0)),"직접 입력",IF($K384="—","—","기관명단")))</f>
        <v/>
      </c>
      <c r="W384">
        <f>IFERROR(MATCH(379,합계표[판정순번],0),"")</f>
        <v/>
      </c>
    </row>
    <row r="385">
      <c r="A385">
        <f>IF($W385="","",INDEX(합계표[사번],$W385)&amp;"")</f>
        <v/>
      </c>
      <c r="B385">
        <f>IF($W385="","",INDEX(합계표[성명],$W385)&amp;"")</f>
        <v/>
      </c>
      <c r="C385">
        <f>IF($W385="","",INDEX(합계표[부서],$W385)&amp;"")</f>
        <v/>
      </c>
      <c r="D385">
        <f>IF($W385="","",INDEX(합계표[직위(통합)],$W385)&amp;"")</f>
        <v/>
      </c>
      <c r="E385">
        <f>IF($W385="","",SUMIFS(합계표[시스템 합계],합계표[사번키],INDEX(합계표[사번키],$W385)))</f>
        <v/>
      </c>
      <c r="F385">
        <f>IF($W385="","",SUMIFS(상세표[기록 시간외],상세표[사번키],INDEX(합계표[사번키],$W385),상세표[기록월],대상월키))</f>
        <v/>
      </c>
      <c r="G385">
        <f>IF($W385="","",IF(ABS($E385-$F385)&lt;0.01,"일치","불일치(차이 "&amp;TEXT($F385-$E385,"0.00")&amp;")"))</f>
        <v/>
      </c>
      <c r="H385">
        <f>IF($W385="","",SUMIFS(상세표[기록 시간외],상세표[사번키],INDEX(합계표[사번키],$W385),상세표[기록월],대상월키,상세표[반영월],"&lt;&gt;"&amp;대상월키))</f>
        <v/>
      </c>
      <c r="I385">
        <f>IF($W385="","",SUMIFS(상세표[기록 시간외],상세표[사번키],INDEX(합계표[사번키],$W385),상세표[기록월],"&lt;&gt;"&amp;대상월키,상세표[반영월],대상월키))</f>
        <v/>
      </c>
      <c r="J385">
        <f>IF($W385="","",SUMIFS(상세표[기록 시간외],상세표[사번키],INDEX(합계표[사번키],$W385),상세표[반영월],대상월키))</f>
        <v/>
      </c>
      <c r="K385">
        <f>IF($W385="","",IFERROR(INDEX(월별근무지표[적용 급여병원],MATCH(INDEX(합계표[사번키],$W385)&amp;"|"&amp;대상월키,월별근무지표[키],0))&amp;"",IF(COUNTIF(기관표[사번키],INDEX(합계표[사번키],$W385))+COUNTIF(월별근무지표[사번키],INDEX(합계표[사번키],$W385))&gt;0,IFERROR(INDEX(기관표[급여지급병원(기준월)],MATCH(INDEX(합계표[사번키],$W385)&amp;"|"&amp;대상월키,기관표[키],0))&amp;"","—"),"—")))</f>
        <v/>
      </c>
      <c r="L385">
        <f>IF($W385="","",IF(NOT(COUNTIF(기관표[사번키],INDEX(합계표[사번키],$W385))+COUNTIF(월별근무지표[사번키],INDEX(합계표[사번키],$W385))&gt;0),"기관명단에 없음(다른 병원으로 발송)",IF($K385="—","대상월 기관명단 없음(추가 필요)",IF($K385="서울병원","해당","비해당"))))</f>
        <v/>
      </c>
      <c r="M385">
        <f>IF($W385="","",SUMIFS(상세표[06~07시],상세표[사번키],INDEX(합계표[사번키],$W385),상세표[반영월],대상월키,상세표[반영 기관],"서울병원"))</f>
        <v/>
      </c>
      <c r="N385">
        <f>IF($W385="","",SUMIFS(상세표[07~18시],상세표[사번키],INDEX(합계표[사번키],$W385),상세표[반영월],대상월키,상세표[반영 기관],"서울병원"))</f>
        <v/>
      </c>
      <c r="O385">
        <f>IF($W385="","",SUMIFS(상세표[18~22시],상세표[사번키],INDEX(합계표[사번키],$W385),상세표[반영월],대상월키,상세표[반영 기관],"서울병원"))</f>
        <v/>
      </c>
      <c r="P385">
        <f>IF($W385="","",SUMIFS(상세표[22~06시],상세표[사번키],INDEX(합계표[사번키],$W385),상세표[반영월],대상월키,상세표[반영 기관],"서울병원"))</f>
        <v/>
      </c>
      <c r="Q385">
        <f>IF($W385="","",SUM($M385:$P385))</f>
        <v/>
      </c>
      <c r="R385">
        <f>IF($W385="","",COUNTIFS(상세표[사번키],INDEX(합계표[사번키],$W385),상세표[반영월],대상월키,상세표[야간당직],1,상세표[야간 구분],"평일"))</f>
        <v/>
      </c>
      <c r="S385" s="4">
        <f>IF($W385="","",COUNTIFS(상세표[사번키],INDEX(합계표[사번키],$W385),상세표[반영월],대상월키,상세표[야간당직],1,상세표[야간 구분],"휴일"))</f>
        <v/>
      </c>
      <c r="T385">
        <f>IF($W385="","",COUNTIFS(상세표[사번키],INDEX(합계표[사번키],$W385),상세표[반영월],대상월키,상세표[야간당직],1,상세표[야간 구분],"평일",상세표[반영 기관],"서울병원"))</f>
        <v/>
      </c>
      <c r="U385">
        <f>IF($W385="","",COUNTIFS(상세표[사번키],INDEX(합계표[사번키],$W385),상세표[반영월],대상월키,상세표[야간당직],1,상세표[야간 구분],"휴일",상세표[반영 기관],"서울병원"))</f>
        <v/>
      </c>
      <c r="V385">
        <f>IF($W385="","",IF(ISNUMBER(MATCH(INDEX(합계표[사번키],$W385)&amp;"|"&amp;대상월키,월별근무지표[키],0)),"직접 입력",IF($K385="—","—","기관명단")))</f>
        <v/>
      </c>
      <c r="W385">
        <f>IFERROR(MATCH(380,합계표[판정순번],0),"")</f>
        <v/>
      </c>
    </row>
    <row r="386">
      <c r="A386">
        <f>IF($W386="","",INDEX(합계표[사번],$W386)&amp;"")</f>
        <v/>
      </c>
      <c r="B386">
        <f>IF($W386="","",INDEX(합계표[성명],$W386)&amp;"")</f>
        <v/>
      </c>
      <c r="C386">
        <f>IF($W386="","",INDEX(합계표[부서],$W386)&amp;"")</f>
        <v/>
      </c>
      <c r="D386">
        <f>IF($W386="","",INDEX(합계표[직위(통합)],$W386)&amp;"")</f>
        <v/>
      </c>
      <c r="E386">
        <f>IF($W386="","",SUMIFS(합계표[시스템 합계],합계표[사번키],INDEX(합계표[사번키],$W386)))</f>
        <v/>
      </c>
      <c r="F386">
        <f>IF($W386="","",SUMIFS(상세표[기록 시간외],상세표[사번키],INDEX(합계표[사번키],$W386),상세표[기록월],대상월키))</f>
        <v/>
      </c>
      <c r="G386">
        <f>IF($W386="","",IF(ABS($E386-$F386)&lt;0.01,"일치","불일치(차이 "&amp;TEXT($F386-$E386,"0.00")&amp;")"))</f>
        <v/>
      </c>
      <c r="H386">
        <f>IF($W386="","",SUMIFS(상세표[기록 시간외],상세표[사번키],INDEX(합계표[사번키],$W386),상세표[기록월],대상월키,상세표[반영월],"&lt;&gt;"&amp;대상월키))</f>
        <v/>
      </c>
      <c r="I386">
        <f>IF($W386="","",SUMIFS(상세표[기록 시간외],상세표[사번키],INDEX(합계표[사번키],$W386),상세표[기록월],"&lt;&gt;"&amp;대상월키,상세표[반영월],대상월키))</f>
        <v/>
      </c>
      <c r="J386">
        <f>IF($W386="","",SUMIFS(상세표[기록 시간외],상세표[사번키],INDEX(합계표[사번키],$W386),상세표[반영월],대상월키))</f>
        <v/>
      </c>
      <c r="K386">
        <f>IF($W386="","",IFERROR(INDEX(월별근무지표[적용 급여병원],MATCH(INDEX(합계표[사번키],$W386)&amp;"|"&amp;대상월키,월별근무지표[키],0))&amp;"",IF(COUNTIF(기관표[사번키],INDEX(합계표[사번키],$W386))+COUNTIF(월별근무지표[사번키],INDEX(합계표[사번키],$W386))&gt;0,IFERROR(INDEX(기관표[급여지급병원(기준월)],MATCH(INDEX(합계표[사번키],$W386)&amp;"|"&amp;대상월키,기관표[키],0))&amp;"","—"),"—")))</f>
        <v/>
      </c>
      <c r="L386">
        <f>IF($W386="","",IF(NOT(COUNTIF(기관표[사번키],INDEX(합계표[사번키],$W386))+COUNTIF(월별근무지표[사번키],INDEX(합계표[사번키],$W386))&gt;0),"기관명단에 없음(다른 병원으로 발송)",IF($K386="—","대상월 기관명단 없음(추가 필요)",IF($K386="서울병원","해당","비해당"))))</f>
        <v/>
      </c>
      <c r="M386">
        <f>IF($W386="","",SUMIFS(상세표[06~07시],상세표[사번키],INDEX(합계표[사번키],$W386),상세표[반영월],대상월키,상세표[반영 기관],"서울병원"))</f>
        <v/>
      </c>
      <c r="N386">
        <f>IF($W386="","",SUMIFS(상세표[07~18시],상세표[사번키],INDEX(합계표[사번키],$W386),상세표[반영월],대상월키,상세표[반영 기관],"서울병원"))</f>
        <v/>
      </c>
      <c r="O386">
        <f>IF($W386="","",SUMIFS(상세표[18~22시],상세표[사번키],INDEX(합계표[사번키],$W386),상세표[반영월],대상월키,상세표[반영 기관],"서울병원"))</f>
        <v/>
      </c>
      <c r="P386">
        <f>IF($W386="","",SUMIFS(상세표[22~06시],상세표[사번키],INDEX(합계표[사번키],$W386),상세표[반영월],대상월키,상세표[반영 기관],"서울병원"))</f>
        <v/>
      </c>
      <c r="Q386">
        <f>IF($W386="","",SUM($M386:$P386))</f>
        <v/>
      </c>
      <c r="R386">
        <f>IF($W386="","",COUNTIFS(상세표[사번키],INDEX(합계표[사번키],$W386),상세표[반영월],대상월키,상세표[야간당직],1,상세표[야간 구분],"평일"))</f>
        <v/>
      </c>
      <c r="S386" s="4">
        <f>IF($W386="","",COUNTIFS(상세표[사번키],INDEX(합계표[사번키],$W386),상세표[반영월],대상월키,상세표[야간당직],1,상세표[야간 구분],"휴일"))</f>
        <v/>
      </c>
      <c r="T386">
        <f>IF($W386="","",COUNTIFS(상세표[사번키],INDEX(합계표[사번키],$W386),상세표[반영월],대상월키,상세표[야간당직],1,상세표[야간 구분],"평일",상세표[반영 기관],"서울병원"))</f>
        <v/>
      </c>
      <c r="U386">
        <f>IF($W386="","",COUNTIFS(상세표[사번키],INDEX(합계표[사번키],$W386),상세표[반영월],대상월키,상세표[야간당직],1,상세표[야간 구분],"휴일",상세표[반영 기관],"서울병원"))</f>
        <v/>
      </c>
      <c r="V386">
        <f>IF($W386="","",IF(ISNUMBER(MATCH(INDEX(합계표[사번키],$W386)&amp;"|"&amp;대상월키,월별근무지표[키],0)),"직접 입력",IF($K386="—","—","기관명단")))</f>
        <v/>
      </c>
      <c r="W386">
        <f>IFERROR(MATCH(381,합계표[판정순번],0),"")</f>
        <v/>
      </c>
    </row>
    <row r="387">
      <c r="A387">
        <f>IF($W387="","",INDEX(합계표[사번],$W387)&amp;"")</f>
        <v/>
      </c>
      <c r="B387">
        <f>IF($W387="","",INDEX(합계표[성명],$W387)&amp;"")</f>
        <v/>
      </c>
      <c r="C387">
        <f>IF($W387="","",INDEX(합계표[부서],$W387)&amp;"")</f>
        <v/>
      </c>
      <c r="D387">
        <f>IF($W387="","",INDEX(합계표[직위(통합)],$W387)&amp;"")</f>
        <v/>
      </c>
      <c r="E387">
        <f>IF($W387="","",SUMIFS(합계표[시스템 합계],합계표[사번키],INDEX(합계표[사번키],$W387)))</f>
        <v/>
      </c>
      <c r="F387">
        <f>IF($W387="","",SUMIFS(상세표[기록 시간외],상세표[사번키],INDEX(합계표[사번키],$W387),상세표[기록월],대상월키))</f>
        <v/>
      </c>
      <c r="G387">
        <f>IF($W387="","",IF(ABS($E387-$F387)&lt;0.01,"일치","불일치(차이 "&amp;TEXT($F387-$E387,"0.00")&amp;")"))</f>
        <v/>
      </c>
      <c r="H387">
        <f>IF($W387="","",SUMIFS(상세표[기록 시간외],상세표[사번키],INDEX(합계표[사번키],$W387),상세표[기록월],대상월키,상세표[반영월],"&lt;&gt;"&amp;대상월키))</f>
        <v/>
      </c>
      <c r="I387">
        <f>IF($W387="","",SUMIFS(상세표[기록 시간외],상세표[사번키],INDEX(합계표[사번키],$W387),상세표[기록월],"&lt;&gt;"&amp;대상월키,상세표[반영월],대상월키))</f>
        <v/>
      </c>
      <c r="J387">
        <f>IF($W387="","",SUMIFS(상세표[기록 시간외],상세표[사번키],INDEX(합계표[사번키],$W387),상세표[반영월],대상월키))</f>
        <v/>
      </c>
      <c r="K387">
        <f>IF($W387="","",IFERROR(INDEX(월별근무지표[적용 급여병원],MATCH(INDEX(합계표[사번키],$W387)&amp;"|"&amp;대상월키,월별근무지표[키],0))&amp;"",IF(COUNTIF(기관표[사번키],INDEX(합계표[사번키],$W387))+COUNTIF(월별근무지표[사번키],INDEX(합계표[사번키],$W387))&gt;0,IFERROR(INDEX(기관표[급여지급병원(기준월)],MATCH(INDEX(합계표[사번키],$W387)&amp;"|"&amp;대상월키,기관표[키],0))&amp;"","—"),"—")))</f>
        <v/>
      </c>
      <c r="L387">
        <f>IF($W387="","",IF(NOT(COUNTIF(기관표[사번키],INDEX(합계표[사번키],$W387))+COUNTIF(월별근무지표[사번키],INDEX(합계표[사번키],$W387))&gt;0),"기관명단에 없음(다른 병원으로 발송)",IF($K387="—","대상월 기관명단 없음(추가 필요)",IF($K387="서울병원","해당","비해당"))))</f>
        <v/>
      </c>
      <c r="M387">
        <f>IF($W387="","",SUMIFS(상세표[06~07시],상세표[사번키],INDEX(합계표[사번키],$W387),상세표[반영월],대상월키,상세표[반영 기관],"서울병원"))</f>
        <v/>
      </c>
      <c r="N387">
        <f>IF($W387="","",SUMIFS(상세표[07~18시],상세표[사번키],INDEX(합계표[사번키],$W387),상세표[반영월],대상월키,상세표[반영 기관],"서울병원"))</f>
        <v/>
      </c>
      <c r="O387">
        <f>IF($W387="","",SUMIFS(상세표[18~22시],상세표[사번키],INDEX(합계표[사번키],$W387),상세표[반영월],대상월키,상세표[반영 기관],"서울병원"))</f>
        <v/>
      </c>
      <c r="P387">
        <f>IF($W387="","",SUMIFS(상세표[22~06시],상세표[사번키],INDEX(합계표[사번키],$W387),상세표[반영월],대상월키,상세표[반영 기관],"서울병원"))</f>
        <v/>
      </c>
      <c r="Q387">
        <f>IF($W387="","",SUM($M387:$P387))</f>
        <v/>
      </c>
      <c r="R387">
        <f>IF($W387="","",COUNTIFS(상세표[사번키],INDEX(합계표[사번키],$W387),상세표[반영월],대상월키,상세표[야간당직],1,상세표[야간 구분],"평일"))</f>
        <v/>
      </c>
      <c r="S387" s="4">
        <f>IF($W387="","",COUNTIFS(상세표[사번키],INDEX(합계표[사번키],$W387),상세표[반영월],대상월키,상세표[야간당직],1,상세표[야간 구분],"휴일"))</f>
        <v/>
      </c>
      <c r="T387">
        <f>IF($W387="","",COUNTIFS(상세표[사번키],INDEX(합계표[사번키],$W387),상세표[반영월],대상월키,상세표[야간당직],1,상세표[야간 구분],"평일",상세표[반영 기관],"서울병원"))</f>
        <v/>
      </c>
      <c r="U387">
        <f>IF($W387="","",COUNTIFS(상세표[사번키],INDEX(합계표[사번키],$W387),상세표[반영월],대상월키,상세표[야간당직],1,상세표[야간 구분],"휴일",상세표[반영 기관],"서울병원"))</f>
        <v/>
      </c>
      <c r="V387">
        <f>IF($W387="","",IF(ISNUMBER(MATCH(INDEX(합계표[사번키],$W387)&amp;"|"&amp;대상월키,월별근무지표[키],0)),"직접 입력",IF($K387="—","—","기관명단")))</f>
        <v/>
      </c>
      <c r="W387">
        <f>IFERROR(MATCH(382,합계표[판정순번],0),"")</f>
        <v/>
      </c>
    </row>
    <row r="388">
      <c r="A388">
        <f>IF($W388="","",INDEX(합계표[사번],$W388)&amp;"")</f>
        <v/>
      </c>
      <c r="B388">
        <f>IF($W388="","",INDEX(합계표[성명],$W388)&amp;"")</f>
        <v/>
      </c>
      <c r="C388">
        <f>IF($W388="","",INDEX(합계표[부서],$W388)&amp;"")</f>
        <v/>
      </c>
      <c r="D388">
        <f>IF($W388="","",INDEX(합계표[직위(통합)],$W388)&amp;"")</f>
        <v/>
      </c>
      <c r="E388">
        <f>IF($W388="","",SUMIFS(합계표[시스템 합계],합계표[사번키],INDEX(합계표[사번키],$W388)))</f>
        <v/>
      </c>
      <c r="F388">
        <f>IF($W388="","",SUMIFS(상세표[기록 시간외],상세표[사번키],INDEX(합계표[사번키],$W388),상세표[기록월],대상월키))</f>
        <v/>
      </c>
      <c r="G388">
        <f>IF($W388="","",IF(ABS($E388-$F388)&lt;0.01,"일치","불일치(차이 "&amp;TEXT($F388-$E388,"0.00")&amp;")"))</f>
        <v/>
      </c>
      <c r="H388">
        <f>IF($W388="","",SUMIFS(상세표[기록 시간외],상세표[사번키],INDEX(합계표[사번키],$W388),상세표[기록월],대상월키,상세표[반영월],"&lt;&gt;"&amp;대상월키))</f>
        <v/>
      </c>
      <c r="I388">
        <f>IF($W388="","",SUMIFS(상세표[기록 시간외],상세표[사번키],INDEX(합계표[사번키],$W388),상세표[기록월],"&lt;&gt;"&amp;대상월키,상세표[반영월],대상월키))</f>
        <v/>
      </c>
      <c r="J388">
        <f>IF($W388="","",SUMIFS(상세표[기록 시간외],상세표[사번키],INDEX(합계표[사번키],$W388),상세표[반영월],대상월키))</f>
        <v/>
      </c>
      <c r="K388">
        <f>IF($W388="","",IFERROR(INDEX(월별근무지표[적용 급여병원],MATCH(INDEX(합계표[사번키],$W388)&amp;"|"&amp;대상월키,월별근무지표[키],0))&amp;"",IF(COUNTIF(기관표[사번키],INDEX(합계표[사번키],$W388))+COUNTIF(월별근무지표[사번키],INDEX(합계표[사번키],$W388))&gt;0,IFERROR(INDEX(기관표[급여지급병원(기준월)],MATCH(INDEX(합계표[사번키],$W388)&amp;"|"&amp;대상월키,기관표[키],0))&amp;"","—"),"—")))</f>
        <v/>
      </c>
      <c r="L388">
        <f>IF($W388="","",IF(NOT(COUNTIF(기관표[사번키],INDEX(합계표[사번키],$W388))+COUNTIF(월별근무지표[사번키],INDEX(합계표[사번키],$W388))&gt;0),"기관명단에 없음(다른 병원으로 발송)",IF($K388="—","대상월 기관명단 없음(추가 필요)",IF($K388="서울병원","해당","비해당"))))</f>
        <v/>
      </c>
      <c r="M388">
        <f>IF($W388="","",SUMIFS(상세표[06~07시],상세표[사번키],INDEX(합계표[사번키],$W388),상세표[반영월],대상월키,상세표[반영 기관],"서울병원"))</f>
        <v/>
      </c>
      <c r="N388">
        <f>IF($W388="","",SUMIFS(상세표[07~18시],상세표[사번키],INDEX(합계표[사번키],$W388),상세표[반영월],대상월키,상세표[반영 기관],"서울병원"))</f>
        <v/>
      </c>
      <c r="O388">
        <f>IF($W388="","",SUMIFS(상세표[18~22시],상세표[사번키],INDEX(합계표[사번키],$W388),상세표[반영월],대상월키,상세표[반영 기관],"서울병원"))</f>
        <v/>
      </c>
      <c r="P388">
        <f>IF($W388="","",SUMIFS(상세표[22~06시],상세표[사번키],INDEX(합계표[사번키],$W388),상세표[반영월],대상월키,상세표[반영 기관],"서울병원"))</f>
        <v/>
      </c>
      <c r="Q388">
        <f>IF($W388="","",SUM($M388:$P388))</f>
        <v/>
      </c>
      <c r="R388">
        <f>IF($W388="","",COUNTIFS(상세표[사번키],INDEX(합계표[사번키],$W388),상세표[반영월],대상월키,상세표[야간당직],1,상세표[야간 구분],"평일"))</f>
        <v/>
      </c>
      <c r="S388" s="4">
        <f>IF($W388="","",COUNTIFS(상세표[사번키],INDEX(합계표[사번키],$W388),상세표[반영월],대상월키,상세표[야간당직],1,상세표[야간 구분],"휴일"))</f>
        <v/>
      </c>
      <c r="T388">
        <f>IF($W388="","",COUNTIFS(상세표[사번키],INDEX(합계표[사번키],$W388),상세표[반영월],대상월키,상세표[야간당직],1,상세표[야간 구분],"평일",상세표[반영 기관],"서울병원"))</f>
        <v/>
      </c>
      <c r="U388">
        <f>IF($W388="","",COUNTIFS(상세표[사번키],INDEX(합계표[사번키],$W388),상세표[반영월],대상월키,상세표[야간당직],1,상세표[야간 구분],"휴일",상세표[반영 기관],"서울병원"))</f>
        <v/>
      </c>
      <c r="V388">
        <f>IF($W388="","",IF(ISNUMBER(MATCH(INDEX(합계표[사번키],$W388)&amp;"|"&amp;대상월키,월별근무지표[키],0)),"직접 입력",IF($K388="—","—","기관명단")))</f>
        <v/>
      </c>
      <c r="W388">
        <f>IFERROR(MATCH(383,합계표[판정순번],0),"")</f>
        <v/>
      </c>
    </row>
    <row r="389">
      <c r="A389">
        <f>IF($W389="","",INDEX(합계표[사번],$W389)&amp;"")</f>
        <v/>
      </c>
      <c r="B389">
        <f>IF($W389="","",INDEX(합계표[성명],$W389)&amp;"")</f>
        <v/>
      </c>
      <c r="C389">
        <f>IF($W389="","",INDEX(합계표[부서],$W389)&amp;"")</f>
        <v/>
      </c>
      <c r="D389">
        <f>IF($W389="","",INDEX(합계표[직위(통합)],$W389)&amp;"")</f>
        <v/>
      </c>
      <c r="E389">
        <f>IF($W389="","",SUMIFS(합계표[시스템 합계],합계표[사번키],INDEX(합계표[사번키],$W389)))</f>
        <v/>
      </c>
      <c r="F389">
        <f>IF($W389="","",SUMIFS(상세표[기록 시간외],상세표[사번키],INDEX(합계표[사번키],$W389),상세표[기록월],대상월키))</f>
        <v/>
      </c>
      <c r="G389">
        <f>IF($W389="","",IF(ABS($E389-$F389)&lt;0.01,"일치","불일치(차이 "&amp;TEXT($F389-$E389,"0.00")&amp;")"))</f>
        <v/>
      </c>
      <c r="H389">
        <f>IF($W389="","",SUMIFS(상세표[기록 시간외],상세표[사번키],INDEX(합계표[사번키],$W389),상세표[기록월],대상월키,상세표[반영월],"&lt;&gt;"&amp;대상월키))</f>
        <v/>
      </c>
      <c r="I389">
        <f>IF($W389="","",SUMIFS(상세표[기록 시간외],상세표[사번키],INDEX(합계표[사번키],$W389),상세표[기록월],"&lt;&gt;"&amp;대상월키,상세표[반영월],대상월키))</f>
        <v/>
      </c>
      <c r="J389">
        <f>IF($W389="","",SUMIFS(상세표[기록 시간외],상세표[사번키],INDEX(합계표[사번키],$W389),상세표[반영월],대상월키))</f>
        <v/>
      </c>
      <c r="K389">
        <f>IF($W389="","",IFERROR(INDEX(월별근무지표[적용 급여병원],MATCH(INDEX(합계표[사번키],$W389)&amp;"|"&amp;대상월키,월별근무지표[키],0))&amp;"",IF(COUNTIF(기관표[사번키],INDEX(합계표[사번키],$W389))+COUNTIF(월별근무지표[사번키],INDEX(합계표[사번키],$W389))&gt;0,IFERROR(INDEX(기관표[급여지급병원(기준월)],MATCH(INDEX(합계표[사번키],$W389)&amp;"|"&amp;대상월키,기관표[키],0))&amp;"","—"),"—")))</f>
        <v/>
      </c>
      <c r="L389">
        <f>IF($W389="","",IF(NOT(COUNTIF(기관표[사번키],INDEX(합계표[사번키],$W389))+COUNTIF(월별근무지표[사번키],INDEX(합계표[사번키],$W389))&gt;0),"기관명단에 없음(다른 병원으로 발송)",IF($K389="—","대상월 기관명단 없음(추가 필요)",IF($K389="서울병원","해당","비해당"))))</f>
        <v/>
      </c>
      <c r="M389">
        <f>IF($W389="","",SUMIFS(상세표[06~07시],상세표[사번키],INDEX(합계표[사번키],$W389),상세표[반영월],대상월키,상세표[반영 기관],"서울병원"))</f>
        <v/>
      </c>
      <c r="N389">
        <f>IF($W389="","",SUMIFS(상세표[07~18시],상세표[사번키],INDEX(합계표[사번키],$W389),상세표[반영월],대상월키,상세표[반영 기관],"서울병원"))</f>
        <v/>
      </c>
      <c r="O389">
        <f>IF($W389="","",SUMIFS(상세표[18~22시],상세표[사번키],INDEX(합계표[사번키],$W389),상세표[반영월],대상월키,상세표[반영 기관],"서울병원"))</f>
        <v/>
      </c>
      <c r="P389">
        <f>IF($W389="","",SUMIFS(상세표[22~06시],상세표[사번키],INDEX(합계표[사번키],$W389),상세표[반영월],대상월키,상세표[반영 기관],"서울병원"))</f>
        <v/>
      </c>
      <c r="Q389">
        <f>IF($W389="","",SUM($M389:$P389))</f>
        <v/>
      </c>
      <c r="R389">
        <f>IF($W389="","",COUNTIFS(상세표[사번키],INDEX(합계표[사번키],$W389),상세표[반영월],대상월키,상세표[야간당직],1,상세표[야간 구분],"평일"))</f>
        <v/>
      </c>
      <c r="S389" s="4">
        <f>IF($W389="","",COUNTIFS(상세표[사번키],INDEX(합계표[사번키],$W389),상세표[반영월],대상월키,상세표[야간당직],1,상세표[야간 구분],"휴일"))</f>
        <v/>
      </c>
      <c r="T389">
        <f>IF($W389="","",COUNTIFS(상세표[사번키],INDEX(합계표[사번키],$W389),상세표[반영월],대상월키,상세표[야간당직],1,상세표[야간 구분],"평일",상세표[반영 기관],"서울병원"))</f>
        <v/>
      </c>
      <c r="U389">
        <f>IF($W389="","",COUNTIFS(상세표[사번키],INDEX(합계표[사번키],$W389),상세표[반영월],대상월키,상세표[야간당직],1,상세표[야간 구분],"휴일",상세표[반영 기관],"서울병원"))</f>
        <v/>
      </c>
      <c r="V389">
        <f>IF($W389="","",IF(ISNUMBER(MATCH(INDEX(합계표[사번키],$W389)&amp;"|"&amp;대상월키,월별근무지표[키],0)),"직접 입력",IF($K389="—","—","기관명단")))</f>
        <v/>
      </c>
      <c r="W389">
        <f>IFERROR(MATCH(384,합계표[판정순번],0),"")</f>
        <v/>
      </c>
    </row>
    <row r="390">
      <c r="A390">
        <f>IF($W390="","",INDEX(합계표[사번],$W390)&amp;"")</f>
        <v/>
      </c>
      <c r="B390">
        <f>IF($W390="","",INDEX(합계표[성명],$W390)&amp;"")</f>
        <v/>
      </c>
      <c r="C390">
        <f>IF($W390="","",INDEX(합계표[부서],$W390)&amp;"")</f>
        <v/>
      </c>
      <c r="D390">
        <f>IF($W390="","",INDEX(합계표[직위(통합)],$W390)&amp;"")</f>
        <v/>
      </c>
      <c r="E390">
        <f>IF($W390="","",SUMIFS(합계표[시스템 합계],합계표[사번키],INDEX(합계표[사번키],$W390)))</f>
        <v/>
      </c>
      <c r="F390">
        <f>IF($W390="","",SUMIFS(상세표[기록 시간외],상세표[사번키],INDEX(합계표[사번키],$W390),상세표[기록월],대상월키))</f>
        <v/>
      </c>
      <c r="G390">
        <f>IF($W390="","",IF(ABS($E390-$F390)&lt;0.01,"일치","불일치(차이 "&amp;TEXT($F390-$E390,"0.00")&amp;")"))</f>
        <v/>
      </c>
      <c r="H390">
        <f>IF($W390="","",SUMIFS(상세표[기록 시간외],상세표[사번키],INDEX(합계표[사번키],$W390),상세표[기록월],대상월키,상세표[반영월],"&lt;&gt;"&amp;대상월키))</f>
        <v/>
      </c>
      <c r="I390">
        <f>IF($W390="","",SUMIFS(상세표[기록 시간외],상세표[사번키],INDEX(합계표[사번키],$W390),상세표[기록월],"&lt;&gt;"&amp;대상월키,상세표[반영월],대상월키))</f>
        <v/>
      </c>
      <c r="J390">
        <f>IF($W390="","",SUMIFS(상세표[기록 시간외],상세표[사번키],INDEX(합계표[사번키],$W390),상세표[반영월],대상월키))</f>
        <v/>
      </c>
      <c r="K390">
        <f>IF($W390="","",IFERROR(INDEX(월별근무지표[적용 급여병원],MATCH(INDEX(합계표[사번키],$W390)&amp;"|"&amp;대상월키,월별근무지표[키],0))&amp;"",IF(COUNTIF(기관표[사번키],INDEX(합계표[사번키],$W390))+COUNTIF(월별근무지표[사번키],INDEX(합계표[사번키],$W390))&gt;0,IFERROR(INDEX(기관표[급여지급병원(기준월)],MATCH(INDEX(합계표[사번키],$W390)&amp;"|"&amp;대상월키,기관표[키],0))&amp;"","—"),"—")))</f>
        <v/>
      </c>
      <c r="L390">
        <f>IF($W390="","",IF(NOT(COUNTIF(기관표[사번키],INDEX(합계표[사번키],$W390))+COUNTIF(월별근무지표[사번키],INDEX(합계표[사번키],$W390))&gt;0),"기관명단에 없음(다른 병원으로 발송)",IF($K390="—","대상월 기관명단 없음(추가 필요)",IF($K390="서울병원","해당","비해당"))))</f>
        <v/>
      </c>
      <c r="M390">
        <f>IF($W390="","",SUMIFS(상세표[06~07시],상세표[사번키],INDEX(합계표[사번키],$W390),상세표[반영월],대상월키,상세표[반영 기관],"서울병원"))</f>
        <v/>
      </c>
      <c r="N390">
        <f>IF($W390="","",SUMIFS(상세표[07~18시],상세표[사번키],INDEX(합계표[사번키],$W390),상세표[반영월],대상월키,상세표[반영 기관],"서울병원"))</f>
        <v/>
      </c>
      <c r="O390">
        <f>IF($W390="","",SUMIFS(상세표[18~22시],상세표[사번키],INDEX(합계표[사번키],$W390),상세표[반영월],대상월키,상세표[반영 기관],"서울병원"))</f>
        <v/>
      </c>
      <c r="P390">
        <f>IF($W390="","",SUMIFS(상세표[22~06시],상세표[사번키],INDEX(합계표[사번키],$W390),상세표[반영월],대상월키,상세표[반영 기관],"서울병원"))</f>
        <v/>
      </c>
      <c r="Q390">
        <f>IF($W390="","",SUM($M390:$P390))</f>
        <v/>
      </c>
      <c r="R390">
        <f>IF($W390="","",COUNTIFS(상세표[사번키],INDEX(합계표[사번키],$W390),상세표[반영월],대상월키,상세표[야간당직],1,상세표[야간 구분],"평일"))</f>
        <v/>
      </c>
      <c r="S390" s="4">
        <f>IF($W390="","",COUNTIFS(상세표[사번키],INDEX(합계표[사번키],$W390),상세표[반영월],대상월키,상세표[야간당직],1,상세표[야간 구분],"휴일"))</f>
        <v/>
      </c>
      <c r="T390">
        <f>IF($W390="","",COUNTIFS(상세표[사번키],INDEX(합계표[사번키],$W390),상세표[반영월],대상월키,상세표[야간당직],1,상세표[야간 구분],"평일",상세표[반영 기관],"서울병원"))</f>
        <v/>
      </c>
      <c r="U390">
        <f>IF($W390="","",COUNTIFS(상세표[사번키],INDEX(합계표[사번키],$W390),상세표[반영월],대상월키,상세표[야간당직],1,상세표[야간 구분],"휴일",상세표[반영 기관],"서울병원"))</f>
        <v/>
      </c>
      <c r="V390">
        <f>IF($W390="","",IF(ISNUMBER(MATCH(INDEX(합계표[사번키],$W390)&amp;"|"&amp;대상월키,월별근무지표[키],0)),"직접 입력",IF($K390="—","—","기관명단")))</f>
        <v/>
      </c>
      <c r="W390">
        <f>IFERROR(MATCH(385,합계표[판정순번],0),"")</f>
        <v/>
      </c>
    </row>
    <row r="391">
      <c r="A391">
        <f>IF($W391="","",INDEX(합계표[사번],$W391)&amp;"")</f>
        <v/>
      </c>
      <c r="B391">
        <f>IF($W391="","",INDEX(합계표[성명],$W391)&amp;"")</f>
        <v/>
      </c>
      <c r="C391">
        <f>IF($W391="","",INDEX(합계표[부서],$W391)&amp;"")</f>
        <v/>
      </c>
      <c r="D391">
        <f>IF($W391="","",INDEX(합계표[직위(통합)],$W391)&amp;"")</f>
        <v/>
      </c>
      <c r="E391">
        <f>IF($W391="","",SUMIFS(합계표[시스템 합계],합계표[사번키],INDEX(합계표[사번키],$W391)))</f>
        <v/>
      </c>
      <c r="F391">
        <f>IF($W391="","",SUMIFS(상세표[기록 시간외],상세표[사번키],INDEX(합계표[사번키],$W391),상세표[기록월],대상월키))</f>
        <v/>
      </c>
      <c r="G391">
        <f>IF($W391="","",IF(ABS($E391-$F391)&lt;0.01,"일치","불일치(차이 "&amp;TEXT($F391-$E391,"0.00")&amp;")"))</f>
        <v/>
      </c>
      <c r="H391">
        <f>IF($W391="","",SUMIFS(상세표[기록 시간외],상세표[사번키],INDEX(합계표[사번키],$W391),상세표[기록월],대상월키,상세표[반영월],"&lt;&gt;"&amp;대상월키))</f>
        <v/>
      </c>
      <c r="I391">
        <f>IF($W391="","",SUMIFS(상세표[기록 시간외],상세표[사번키],INDEX(합계표[사번키],$W391),상세표[기록월],"&lt;&gt;"&amp;대상월키,상세표[반영월],대상월키))</f>
        <v/>
      </c>
      <c r="J391">
        <f>IF($W391="","",SUMIFS(상세표[기록 시간외],상세표[사번키],INDEX(합계표[사번키],$W391),상세표[반영월],대상월키))</f>
        <v/>
      </c>
      <c r="K391">
        <f>IF($W391="","",IFERROR(INDEX(월별근무지표[적용 급여병원],MATCH(INDEX(합계표[사번키],$W391)&amp;"|"&amp;대상월키,월별근무지표[키],0))&amp;"",IF(COUNTIF(기관표[사번키],INDEX(합계표[사번키],$W391))+COUNTIF(월별근무지표[사번키],INDEX(합계표[사번키],$W391))&gt;0,IFERROR(INDEX(기관표[급여지급병원(기준월)],MATCH(INDEX(합계표[사번키],$W391)&amp;"|"&amp;대상월키,기관표[키],0))&amp;"","—"),"—")))</f>
        <v/>
      </c>
      <c r="L391">
        <f>IF($W391="","",IF(NOT(COUNTIF(기관표[사번키],INDEX(합계표[사번키],$W391))+COUNTIF(월별근무지표[사번키],INDEX(합계표[사번키],$W391))&gt;0),"기관명단에 없음(다른 병원으로 발송)",IF($K391="—","대상월 기관명단 없음(추가 필요)",IF($K391="서울병원","해당","비해당"))))</f>
        <v/>
      </c>
      <c r="M391">
        <f>IF($W391="","",SUMIFS(상세표[06~07시],상세표[사번키],INDEX(합계표[사번키],$W391),상세표[반영월],대상월키,상세표[반영 기관],"서울병원"))</f>
        <v/>
      </c>
      <c r="N391">
        <f>IF($W391="","",SUMIFS(상세표[07~18시],상세표[사번키],INDEX(합계표[사번키],$W391),상세표[반영월],대상월키,상세표[반영 기관],"서울병원"))</f>
        <v/>
      </c>
      <c r="O391">
        <f>IF($W391="","",SUMIFS(상세표[18~22시],상세표[사번키],INDEX(합계표[사번키],$W391),상세표[반영월],대상월키,상세표[반영 기관],"서울병원"))</f>
        <v/>
      </c>
      <c r="P391">
        <f>IF($W391="","",SUMIFS(상세표[22~06시],상세표[사번키],INDEX(합계표[사번키],$W391),상세표[반영월],대상월키,상세표[반영 기관],"서울병원"))</f>
        <v/>
      </c>
      <c r="Q391">
        <f>IF($W391="","",SUM($M391:$P391))</f>
        <v/>
      </c>
      <c r="R391">
        <f>IF($W391="","",COUNTIFS(상세표[사번키],INDEX(합계표[사번키],$W391),상세표[반영월],대상월키,상세표[야간당직],1,상세표[야간 구분],"평일"))</f>
        <v/>
      </c>
      <c r="S391" s="4">
        <f>IF($W391="","",COUNTIFS(상세표[사번키],INDEX(합계표[사번키],$W391),상세표[반영월],대상월키,상세표[야간당직],1,상세표[야간 구분],"휴일"))</f>
        <v/>
      </c>
      <c r="T391">
        <f>IF($W391="","",COUNTIFS(상세표[사번키],INDEX(합계표[사번키],$W391),상세표[반영월],대상월키,상세표[야간당직],1,상세표[야간 구분],"평일",상세표[반영 기관],"서울병원"))</f>
        <v/>
      </c>
      <c r="U391">
        <f>IF($W391="","",COUNTIFS(상세표[사번키],INDEX(합계표[사번키],$W391),상세표[반영월],대상월키,상세표[야간당직],1,상세표[야간 구분],"휴일",상세표[반영 기관],"서울병원"))</f>
        <v/>
      </c>
      <c r="V391">
        <f>IF($W391="","",IF(ISNUMBER(MATCH(INDEX(합계표[사번키],$W391)&amp;"|"&amp;대상월키,월별근무지표[키],0)),"직접 입력",IF($K391="—","—","기관명단")))</f>
        <v/>
      </c>
      <c r="W391">
        <f>IFERROR(MATCH(386,합계표[판정순번],0),"")</f>
        <v/>
      </c>
    </row>
    <row r="392">
      <c r="A392">
        <f>IF($W392="","",INDEX(합계표[사번],$W392)&amp;"")</f>
        <v/>
      </c>
      <c r="B392">
        <f>IF($W392="","",INDEX(합계표[성명],$W392)&amp;"")</f>
        <v/>
      </c>
      <c r="C392">
        <f>IF($W392="","",INDEX(합계표[부서],$W392)&amp;"")</f>
        <v/>
      </c>
      <c r="D392">
        <f>IF($W392="","",INDEX(합계표[직위(통합)],$W392)&amp;"")</f>
        <v/>
      </c>
      <c r="E392">
        <f>IF($W392="","",SUMIFS(합계표[시스템 합계],합계표[사번키],INDEX(합계표[사번키],$W392)))</f>
        <v/>
      </c>
      <c r="F392">
        <f>IF($W392="","",SUMIFS(상세표[기록 시간외],상세표[사번키],INDEX(합계표[사번키],$W392),상세표[기록월],대상월키))</f>
        <v/>
      </c>
      <c r="G392">
        <f>IF($W392="","",IF(ABS($E392-$F392)&lt;0.01,"일치","불일치(차이 "&amp;TEXT($F392-$E392,"0.00")&amp;")"))</f>
        <v/>
      </c>
      <c r="H392">
        <f>IF($W392="","",SUMIFS(상세표[기록 시간외],상세표[사번키],INDEX(합계표[사번키],$W392),상세표[기록월],대상월키,상세표[반영월],"&lt;&gt;"&amp;대상월키))</f>
        <v/>
      </c>
      <c r="I392">
        <f>IF($W392="","",SUMIFS(상세표[기록 시간외],상세표[사번키],INDEX(합계표[사번키],$W392),상세표[기록월],"&lt;&gt;"&amp;대상월키,상세표[반영월],대상월키))</f>
        <v/>
      </c>
      <c r="J392">
        <f>IF($W392="","",SUMIFS(상세표[기록 시간외],상세표[사번키],INDEX(합계표[사번키],$W392),상세표[반영월],대상월키))</f>
        <v/>
      </c>
      <c r="K392">
        <f>IF($W392="","",IFERROR(INDEX(월별근무지표[적용 급여병원],MATCH(INDEX(합계표[사번키],$W392)&amp;"|"&amp;대상월키,월별근무지표[키],0))&amp;"",IF(COUNTIF(기관표[사번키],INDEX(합계표[사번키],$W392))+COUNTIF(월별근무지표[사번키],INDEX(합계표[사번키],$W392))&gt;0,IFERROR(INDEX(기관표[급여지급병원(기준월)],MATCH(INDEX(합계표[사번키],$W392)&amp;"|"&amp;대상월키,기관표[키],0))&amp;"","—"),"—")))</f>
        <v/>
      </c>
      <c r="L392">
        <f>IF($W392="","",IF(NOT(COUNTIF(기관표[사번키],INDEX(합계표[사번키],$W392))+COUNTIF(월별근무지표[사번키],INDEX(합계표[사번키],$W392))&gt;0),"기관명단에 없음(다른 병원으로 발송)",IF($K392="—","대상월 기관명단 없음(추가 필요)",IF($K392="서울병원","해당","비해당"))))</f>
        <v/>
      </c>
      <c r="M392">
        <f>IF($W392="","",SUMIFS(상세표[06~07시],상세표[사번키],INDEX(합계표[사번키],$W392),상세표[반영월],대상월키,상세표[반영 기관],"서울병원"))</f>
        <v/>
      </c>
      <c r="N392">
        <f>IF($W392="","",SUMIFS(상세표[07~18시],상세표[사번키],INDEX(합계표[사번키],$W392),상세표[반영월],대상월키,상세표[반영 기관],"서울병원"))</f>
        <v/>
      </c>
      <c r="O392">
        <f>IF($W392="","",SUMIFS(상세표[18~22시],상세표[사번키],INDEX(합계표[사번키],$W392),상세표[반영월],대상월키,상세표[반영 기관],"서울병원"))</f>
        <v/>
      </c>
      <c r="P392">
        <f>IF($W392="","",SUMIFS(상세표[22~06시],상세표[사번키],INDEX(합계표[사번키],$W392),상세표[반영월],대상월키,상세표[반영 기관],"서울병원"))</f>
        <v/>
      </c>
      <c r="Q392">
        <f>IF($W392="","",SUM($M392:$P392))</f>
        <v/>
      </c>
      <c r="R392">
        <f>IF($W392="","",COUNTIFS(상세표[사번키],INDEX(합계표[사번키],$W392),상세표[반영월],대상월키,상세표[야간당직],1,상세표[야간 구분],"평일"))</f>
        <v/>
      </c>
      <c r="S392" s="4">
        <f>IF($W392="","",COUNTIFS(상세표[사번키],INDEX(합계표[사번키],$W392),상세표[반영월],대상월키,상세표[야간당직],1,상세표[야간 구분],"휴일"))</f>
        <v/>
      </c>
      <c r="T392">
        <f>IF($W392="","",COUNTIFS(상세표[사번키],INDEX(합계표[사번키],$W392),상세표[반영월],대상월키,상세표[야간당직],1,상세표[야간 구분],"평일",상세표[반영 기관],"서울병원"))</f>
        <v/>
      </c>
      <c r="U392">
        <f>IF($W392="","",COUNTIFS(상세표[사번키],INDEX(합계표[사번키],$W392),상세표[반영월],대상월키,상세표[야간당직],1,상세표[야간 구분],"휴일",상세표[반영 기관],"서울병원"))</f>
        <v/>
      </c>
      <c r="V392">
        <f>IF($W392="","",IF(ISNUMBER(MATCH(INDEX(합계표[사번키],$W392)&amp;"|"&amp;대상월키,월별근무지표[키],0)),"직접 입력",IF($K392="—","—","기관명단")))</f>
        <v/>
      </c>
      <c r="W392">
        <f>IFERROR(MATCH(387,합계표[판정순번],0),"")</f>
        <v/>
      </c>
    </row>
    <row r="393">
      <c r="A393">
        <f>IF($W393="","",INDEX(합계표[사번],$W393)&amp;"")</f>
        <v/>
      </c>
      <c r="B393">
        <f>IF($W393="","",INDEX(합계표[성명],$W393)&amp;"")</f>
        <v/>
      </c>
      <c r="C393">
        <f>IF($W393="","",INDEX(합계표[부서],$W393)&amp;"")</f>
        <v/>
      </c>
      <c r="D393">
        <f>IF($W393="","",INDEX(합계표[직위(통합)],$W393)&amp;"")</f>
        <v/>
      </c>
      <c r="E393">
        <f>IF($W393="","",SUMIFS(합계표[시스템 합계],합계표[사번키],INDEX(합계표[사번키],$W393)))</f>
        <v/>
      </c>
      <c r="F393">
        <f>IF($W393="","",SUMIFS(상세표[기록 시간외],상세표[사번키],INDEX(합계표[사번키],$W393),상세표[기록월],대상월키))</f>
        <v/>
      </c>
      <c r="G393">
        <f>IF($W393="","",IF(ABS($E393-$F393)&lt;0.01,"일치","불일치(차이 "&amp;TEXT($F393-$E393,"0.00")&amp;")"))</f>
        <v/>
      </c>
      <c r="H393">
        <f>IF($W393="","",SUMIFS(상세표[기록 시간외],상세표[사번키],INDEX(합계표[사번키],$W393),상세표[기록월],대상월키,상세표[반영월],"&lt;&gt;"&amp;대상월키))</f>
        <v/>
      </c>
      <c r="I393">
        <f>IF($W393="","",SUMIFS(상세표[기록 시간외],상세표[사번키],INDEX(합계표[사번키],$W393),상세표[기록월],"&lt;&gt;"&amp;대상월키,상세표[반영월],대상월키))</f>
        <v/>
      </c>
      <c r="J393">
        <f>IF($W393="","",SUMIFS(상세표[기록 시간외],상세표[사번키],INDEX(합계표[사번키],$W393),상세표[반영월],대상월키))</f>
        <v/>
      </c>
      <c r="K393">
        <f>IF($W393="","",IFERROR(INDEX(월별근무지표[적용 급여병원],MATCH(INDEX(합계표[사번키],$W393)&amp;"|"&amp;대상월키,월별근무지표[키],0))&amp;"",IF(COUNTIF(기관표[사번키],INDEX(합계표[사번키],$W393))+COUNTIF(월별근무지표[사번키],INDEX(합계표[사번키],$W393))&gt;0,IFERROR(INDEX(기관표[급여지급병원(기준월)],MATCH(INDEX(합계표[사번키],$W393)&amp;"|"&amp;대상월키,기관표[키],0))&amp;"","—"),"—")))</f>
        <v/>
      </c>
      <c r="L393">
        <f>IF($W393="","",IF(NOT(COUNTIF(기관표[사번키],INDEX(합계표[사번키],$W393))+COUNTIF(월별근무지표[사번키],INDEX(합계표[사번키],$W393))&gt;0),"기관명단에 없음(다른 병원으로 발송)",IF($K393="—","대상월 기관명단 없음(추가 필요)",IF($K393="서울병원","해당","비해당"))))</f>
        <v/>
      </c>
      <c r="M393">
        <f>IF($W393="","",SUMIFS(상세표[06~07시],상세표[사번키],INDEX(합계표[사번키],$W393),상세표[반영월],대상월키,상세표[반영 기관],"서울병원"))</f>
        <v/>
      </c>
      <c r="N393">
        <f>IF($W393="","",SUMIFS(상세표[07~18시],상세표[사번키],INDEX(합계표[사번키],$W393),상세표[반영월],대상월키,상세표[반영 기관],"서울병원"))</f>
        <v/>
      </c>
      <c r="O393">
        <f>IF($W393="","",SUMIFS(상세표[18~22시],상세표[사번키],INDEX(합계표[사번키],$W393),상세표[반영월],대상월키,상세표[반영 기관],"서울병원"))</f>
        <v/>
      </c>
      <c r="P393">
        <f>IF($W393="","",SUMIFS(상세표[22~06시],상세표[사번키],INDEX(합계표[사번키],$W393),상세표[반영월],대상월키,상세표[반영 기관],"서울병원"))</f>
        <v/>
      </c>
      <c r="Q393">
        <f>IF($W393="","",SUM($M393:$P393))</f>
        <v/>
      </c>
      <c r="R393">
        <f>IF($W393="","",COUNTIFS(상세표[사번키],INDEX(합계표[사번키],$W393),상세표[반영월],대상월키,상세표[야간당직],1,상세표[야간 구분],"평일"))</f>
        <v/>
      </c>
      <c r="S393" s="4">
        <f>IF($W393="","",COUNTIFS(상세표[사번키],INDEX(합계표[사번키],$W393),상세표[반영월],대상월키,상세표[야간당직],1,상세표[야간 구분],"휴일"))</f>
        <v/>
      </c>
      <c r="T393">
        <f>IF($W393="","",COUNTIFS(상세표[사번키],INDEX(합계표[사번키],$W393),상세표[반영월],대상월키,상세표[야간당직],1,상세표[야간 구분],"평일",상세표[반영 기관],"서울병원"))</f>
        <v/>
      </c>
      <c r="U393">
        <f>IF($W393="","",COUNTIFS(상세표[사번키],INDEX(합계표[사번키],$W393),상세표[반영월],대상월키,상세표[야간당직],1,상세표[야간 구분],"휴일",상세표[반영 기관],"서울병원"))</f>
        <v/>
      </c>
      <c r="V393">
        <f>IF($W393="","",IF(ISNUMBER(MATCH(INDEX(합계표[사번키],$W393)&amp;"|"&amp;대상월키,월별근무지표[키],0)),"직접 입력",IF($K393="—","—","기관명단")))</f>
        <v/>
      </c>
      <c r="W393">
        <f>IFERROR(MATCH(388,합계표[판정순번],0),"")</f>
        <v/>
      </c>
    </row>
    <row r="394">
      <c r="A394">
        <f>IF($W394="","",INDEX(합계표[사번],$W394)&amp;"")</f>
        <v/>
      </c>
      <c r="B394">
        <f>IF($W394="","",INDEX(합계표[성명],$W394)&amp;"")</f>
        <v/>
      </c>
      <c r="C394">
        <f>IF($W394="","",INDEX(합계표[부서],$W394)&amp;"")</f>
        <v/>
      </c>
      <c r="D394">
        <f>IF($W394="","",INDEX(합계표[직위(통합)],$W394)&amp;"")</f>
        <v/>
      </c>
      <c r="E394">
        <f>IF($W394="","",SUMIFS(합계표[시스템 합계],합계표[사번키],INDEX(합계표[사번키],$W394)))</f>
        <v/>
      </c>
      <c r="F394">
        <f>IF($W394="","",SUMIFS(상세표[기록 시간외],상세표[사번키],INDEX(합계표[사번키],$W394),상세표[기록월],대상월키))</f>
        <v/>
      </c>
      <c r="G394">
        <f>IF($W394="","",IF(ABS($E394-$F394)&lt;0.01,"일치","불일치(차이 "&amp;TEXT($F394-$E394,"0.00")&amp;")"))</f>
        <v/>
      </c>
      <c r="H394">
        <f>IF($W394="","",SUMIFS(상세표[기록 시간외],상세표[사번키],INDEX(합계표[사번키],$W394),상세표[기록월],대상월키,상세표[반영월],"&lt;&gt;"&amp;대상월키))</f>
        <v/>
      </c>
      <c r="I394">
        <f>IF($W394="","",SUMIFS(상세표[기록 시간외],상세표[사번키],INDEX(합계표[사번키],$W394),상세표[기록월],"&lt;&gt;"&amp;대상월키,상세표[반영월],대상월키))</f>
        <v/>
      </c>
      <c r="J394">
        <f>IF($W394="","",SUMIFS(상세표[기록 시간외],상세표[사번키],INDEX(합계표[사번키],$W394),상세표[반영월],대상월키))</f>
        <v/>
      </c>
      <c r="K394">
        <f>IF($W394="","",IFERROR(INDEX(월별근무지표[적용 급여병원],MATCH(INDEX(합계표[사번키],$W394)&amp;"|"&amp;대상월키,월별근무지표[키],0))&amp;"",IF(COUNTIF(기관표[사번키],INDEX(합계표[사번키],$W394))+COUNTIF(월별근무지표[사번키],INDEX(합계표[사번키],$W394))&gt;0,IFERROR(INDEX(기관표[급여지급병원(기준월)],MATCH(INDEX(합계표[사번키],$W394)&amp;"|"&amp;대상월키,기관표[키],0))&amp;"","—"),"—")))</f>
        <v/>
      </c>
      <c r="L394">
        <f>IF($W394="","",IF(NOT(COUNTIF(기관표[사번키],INDEX(합계표[사번키],$W394))+COUNTIF(월별근무지표[사번키],INDEX(합계표[사번키],$W394))&gt;0),"기관명단에 없음(다른 병원으로 발송)",IF($K394="—","대상월 기관명단 없음(추가 필요)",IF($K394="서울병원","해당","비해당"))))</f>
        <v/>
      </c>
      <c r="M394">
        <f>IF($W394="","",SUMIFS(상세표[06~07시],상세표[사번키],INDEX(합계표[사번키],$W394),상세표[반영월],대상월키,상세표[반영 기관],"서울병원"))</f>
        <v/>
      </c>
      <c r="N394">
        <f>IF($W394="","",SUMIFS(상세표[07~18시],상세표[사번키],INDEX(합계표[사번키],$W394),상세표[반영월],대상월키,상세표[반영 기관],"서울병원"))</f>
        <v/>
      </c>
      <c r="O394">
        <f>IF($W394="","",SUMIFS(상세표[18~22시],상세표[사번키],INDEX(합계표[사번키],$W394),상세표[반영월],대상월키,상세표[반영 기관],"서울병원"))</f>
        <v/>
      </c>
      <c r="P394">
        <f>IF($W394="","",SUMIFS(상세표[22~06시],상세표[사번키],INDEX(합계표[사번키],$W394),상세표[반영월],대상월키,상세표[반영 기관],"서울병원"))</f>
        <v/>
      </c>
      <c r="Q394">
        <f>IF($W394="","",SUM($M394:$P394))</f>
        <v/>
      </c>
      <c r="R394">
        <f>IF($W394="","",COUNTIFS(상세표[사번키],INDEX(합계표[사번키],$W394),상세표[반영월],대상월키,상세표[야간당직],1,상세표[야간 구분],"평일"))</f>
        <v/>
      </c>
      <c r="S394" s="4">
        <f>IF($W394="","",COUNTIFS(상세표[사번키],INDEX(합계표[사번키],$W394),상세표[반영월],대상월키,상세표[야간당직],1,상세표[야간 구분],"휴일"))</f>
        <v/>
      </c>
      <c r="T394">
        <f>IF($W394="","",COUNTIFS(상세표[사번키],INDEX(합계표[사번키],$W394),상세표[반영월],대상월키,상세표[야간당직],1,상세표[야간 구분],"평일",상세표[반영 기관],"서울병원"))</f>
        <v/>
      </c>
      <c r="U394">
        <f>IF($W394="","",COUNTIFS(상세표[사번키],INDEX(합계표[사번키],$W394),상세표[반영월],대상월키,상세표[야간당직],1,상세표[야간 구분],"휴일",상세표[반영 기관],"서울병원"))</f>
        <v/>
      </c>
      <c r="V394">
        <f>IF($W394="","",IF(ISNUMBER(MATCH(INDEX(합계표[사번키],$W394)&amp;"|"&amp;대상월키,월별근무지표[키],0)),"직접 입력",IF($K394="—","—","기관명단")))</f>
        <v/>
      </c>
      <c r="W394">
        <f>IFERROR(MATCH(389,합계표[판정순번],0),"")</f>
        <v/>
      </c>
    </row>
    <row r="395">
      <c r="A395">
        <f>IF($W395="","",INDEX(합계표[사번],$W395)&amp;"")</f>
        <v/>
      </c>
      <c r="B395">
        <f>IF($W395="","",INDEX(합계표[성명],$W395)&amp;"")</f>
        <v/>
      </c>
      <c r="C395">
        <f>IF($W395="","",INDEX(합계표[부서],$W395)&amp;"")</f>
        <v/>
      </c>
      <c r="D395">
        <f>IF($W395="","",INDEX(합계표[직위(통합)],$W395)&amp;"")</f>
        <v/>
      </c>
      <c r="E395">
        <f>IF($W395="","",SUMIFS(합계표[시스템 합계],합계표[사번키],INDEX(합계표[사번키],$W395)))</f>
        <v/>
      </c>
      <c r="F395">
        <f>IF($W395="","",SUMIFS(상세표[기록 시간외],상세표[사번키],INDEX(합계표[사번키],$W395),상세표[기록월],대상월키))</f>
        <v/>
      </c>
      <c r="G395">
        <f>IF($W395="","",IF(ABS($E395-$F395)&lt;0.01,"일치","불일치(차이 "&amp;TEXT($F395-$E395,"0.00")&amp;")"))</f>
        <v/>
      </c>
      <c r="H395">
        <f>IF($W395="","",SUMIFS(상세표[기록 시간외],상세표[사번키],INDEX(합계표[사번키],$W395),상세표[기록월],대상월키,상세표[반영월],"&lt;&gt;"&amp;대상월키))</f>
        <v/>
      </c>
      <c r="I395">
        <f>IF($W395="","",SUMIFS(상세표[기록 시간외],상세표[사번키],INDEX(합계표[사번키],$W395),상세표[기록월],"&lt;&gt;"&amp;대상월키,상세표[반영월],대상월키))</f>
        <v/>
      </c>
      <c r="J395">
        <f>IF($W395="","",SUMIFS(상세표[기록 시간외],상세표[사번키],INDEX(합계표[사번키],$W395),상세표[반영월],대상월키))</f>
        <v/>
      </c>
      <c r="K395">
        <f>IF($W395="","",IFERROR(INDEX(월별근무지표[적용 급여병원],MATCH(INDEX(합계표[사번키],$W395)&amp;"|"&amp;대상월키,월별근무지표[키],0))&amp;"",IF(COUNTIF(기관표[사번키],INDEX(합계표[사번키],$W395))+COUNTIF(월별근무지표[사번키],INDEX(합계표[사번키],$W395))&gt;0,IFERROR(INDEX(기관표[급여지급병원(기준월)],MATCH(INDEX(합계표[사번키],$W395)&amp;"|"&amp;대상월키,기관표[키],0))&amp;"","—"),"—")))</f>
        <v/>
      </c>
      <c r="L395">
        <f>IF($W395="","",IF(NOT(COUNTIF(기관표[사번키],INDEX(합계표[사번키],$W395))+COUNTIF(월별근무지표[사번키],INDEX(합계표[사번키],$W395))&gt;0),"기관명단에 없음(다른 병원으로 발송)",IF($K395="—","대상월 기관명단 없음(추가 필요)",IF($K395="서울병원","해당","비해당"))))</f>
        <v/>
      </c>
      <c r="M395">
        <f>IF($W395="","",SUMIFS(상세표[06~07시],상세표[사번키],INDEX(합계표[사번키],$W395),상세표[반영월],대상월키,상세표[반영 기관],"서울병원"))</f>
        <v/>
      </c>
      <c r="N395">
        <f>IF($W395="","",SUMIFS(상세표[07~18시],상세표[사번키],INDEX(합계표[사번키],$W395),상세표[반영월],대상월키,상세표[반영 기관],"서울병원"))</f>
        <v/>
      </c>
      <c r="O395">
        <f>IF($W395="","",SUMIFS(상세표[18~22시],상세표[사번키],INDEX(합계표[사번키],$W395),상세표[반영월],대상월키,상세표[반영 기관],"서울병원"))</f>
        <v/>
      </c>
      <c r="P395">
        <f>IF($W395="","",SUMIFS(상세표[22~06시],상세표[사번키],INDEX(합계표[사번키],$W395),상세표[반영월],대상월키,상세표[반영 기관],"서울병원"))</f>
        <v/>
      </c>
      <c r="Q395">
        <f>IF($W395="","",SUM($M395:$P395))</f>
        <v/>
      </c>
      <c r="R395">
        <f>IF($W395="","",COUNTIFS(상세표[사번키],INDEX(합계표[사번키],$W395),상세표[반영월],대상월키,상세표[야간당직],1,상세표[야간 구분],"평일"))</f>
        <v/>
      </c>
      <c r="S395" s="4">
        <f>IF($W395="","",COUNTIFS(상세표[사번키],INDEX(합계표[사번키],$W395),상세표[반영월],대상월키,상세표[야간당직],1,상세표[야간 구분],"휴일"))</f>
        <v/>
      </c>
      <c r="T395">
        <f>IF($W395="","",COUNTIFS(상세표[사번키],INDEX(합계표[사번키],$W395),상세표[반영월],대상월키,상세표[야간당직],1,상세표[야간 구분],"평일",상세표[반영 기관],"서울병원"))</f>
        <v/>
      </c>
      <c r="U395">
        <f>IF($W395="","",COUNTIFS(상세표[사번키],INDEX(합계표[사번키],$W395),상세표[반영월],대상월키,상세표[야간당직],1,상세표[야간 구분],"휴일",상세표[반영 기관],"서울병원"))</f>
        <v/>
      </c>
      <c r="V395">
        <f>IF($W395="","",IF(ISNUMBER(MATCH(INDEX(합계표[사번키],$W395)&amp;"|"&amp;대상월키,월별근무지표[키],0)),"직접 입력",IF($K395="—","—","기관명단")))</f>
        <v/>
      </c>
      <c r="W395">
        <f>IFERROR(MATCH(390,합계표[판정순번],0),"")</f>
        <v/>
      </c>
    </row>
    <row r="396">
      <c r="A396">
        <f>IF($W396="","",INDEX(합계표[사번],$W396)&amp;"")</f>
        <v/>
      </c>
      <c r="B396">
        <f>IF($W396="","",INDEX(합계표[성명],$W396)&amp;"")</f>
        <v/>
      </c>
      <c r="C396">
        <f>IF($W396="","",INDEX(합계표[부서],$W396)&amp;"")</f>
        <v/>
      </c>
      <c r="D396">
        <f>IF($W396="","",INDEX(합계표[직위(통합)],$W396)&amp;"")</f>
        <v/>
      </c>
      <c r="E396">
        <f>IF($W396="","",SUMIFS(합계표[시스템 합계],합계표[사번키],INDEX(합계표[사번키],$W396)))</f>
        <v/>
      </c>
      <c r="F396">
        <f>IF($W396="","",SUMIFS(상세표[기록 시간외],상세표[사번키],INDEX(합계표[사번키],$W396),상세표[기록월],대상월키))</f>
        <v/>
      </c>
      <c r="G396">
        <f>IF($W396="","",IF(ABS($E396-$F396)&lt;0.01,"일치","불일치(차이 "&amp;TEXT($F396-$E396,"0.00")&amp;")"))</f>
        <v/>
      </c>
      <c r="H396">
        <f>IF($W396="","",SUMIFS(상세표[기록 시간외],상세표[사번키],INDEX(합계표[사번키],$W396),상세표[기록월],대상월키,상세표[반영월],"&lt;&gt;"&amp;대상월키))</f>
        <v/>
      </c>
      <c r="I396">
        <f>IF($W396="","",SUMIFS(상세표[기록 시간외],상세표[사번키],INDEX(합계표[사번키],$W396),상세표[기록월],"&lt;&gt;"&amp;대상월키,상세표[반영월],대상월키))</f>
        <v/>
      </c>
      <c r="J396">
        <f>IF($W396="","",SUMIFS(상세표[기록 시간외],상세표[사번키],INDEX(합계표[사번키],$W396),상세표[반영월],대상월키))</f>
        <v/>
      </c>
      <c r="K396">
        <f>IF($W396="","",IFERROR(INDEX(월별근무지표[적용 급여병원],MATCH(INDEX(합계표[사번키],$W396)&amp;"|"&amp;대상월키,월별근무지표[키],0))&amp;"",IF(COUNTIF(기관표[사번키],INDEX(합계표[사번키],$W396))+COUNTIF(월별근무지표[사번키],INDEX(합계표[사번키],$W396))&gt;0,IFERROR(INDEX(기관표[급여지급병원(기준월)],MATCH(INDEX(합계표[사번키],$W396)&amp;"|"&amp;대상월키,기관표[키],0))&amp;"","—"),"—")))</f>
        <v/>
      </c>
      <c r="L396">
        <f>IF($W396="","",IF(NOT(COUNTIF(기관표[사번키],INDEX(합계표[사번키],$W396))+COUNTIF(월별근무지표[사번키],INDEX(합계표[사번키],$W396))&gt;0),"기관명단에 없음(다른 병원으로 발송)",IF($K396="—","대상월 기관명단 없음(추가 필요)",IF($K396="서울병원","해당","비해당"))))</f>
        <v/>
      </c>
      <c r="M396">
        <f>IF($W396="","",SUMIFS(상세표[06~07시],상세표[사번키],INDEX(합계표[사번키],$W396),상세표[반영월],대상월키,상세표[반영 기관],"서울병원"))</f>
        <v/>
      </c>
      <c r="N396">
        <f>IF($W396="","",SUMIFS(상세표[07~18시],상세표[사번키],INDEX(합계표[사번키],$W396),상세표[반영월],대상월키,상세표[반영 기관],"서울병원"))</f>
        <v/>
      </c>
      <c r="O396">
        <f>IF($W396="","",SUMIFS(상세표[18~22시],상세표[사번키],INDEX(합계표[사번키],$W396),상세표[반영월],대상월키,상세표[반영 기관],"서울병원"))</f>
        <v/>
      </c>
      <c r="P396">
        <f>IF($W396="","",SUMIFS(상세표[22~06시],상세표[사번키],INDEX(합계표[사번키],$W396),상세표[반영월],대상월키,상세표[반영 기관],"서울병원"))</f>
        <v/>
      </c>
      <c r="Q396">
        <f>IF($W396="","",SUM($M396:$P396))</f>
        <v/>
      </c>
      <c r="R396">
        <f>IF($W396="","",COUNTIFS(상세표[사번키],INDEX(합계표[사번키],$W396),상세표[반영월],대상월키,상세표[야간당직],1,상세표[야간 구분],"평일"))</f>
        <v/>
      </c>
      <c r="S396" s="4">
        <f>IF($W396="","",COUNTIFS(상세표[사번키],INDEX(합계표[사번키],$W396),상세표[반영월],대상월키,상세표[야간당직],1,상세표[야간 구분],"휴일"))</f>
        <v/>
      </c>
      <c r="T396">
        <f>IF($W396="","",COUNTIFS(상세표[사번키],INDEX(합계표[사번키],$W396),상세표[반영월],대상월키,상세표[야간당직],1,상세표[야간 구분],"평일",상세표[반영 기관],"서울병원"))</f>
        <v/>
      </c>
      <c r="U396">
        <f>IF($W396="","",COUNTIFS(상세표[사번키],INDEX(합계표[사번키],$W396),상세표[반영월],대상월키,상세표[야간당직],1,상세표[야간 구분],"휴일",상세표[반영 기관],"서울병원"))</f>
        <v/>
      </c>
      <c r="V396">
        <f>IF($W396="","",IF(ISNUMBER(MATCH(INDEX(합계표[사번키],$W396)&amp;"|"&amp;대상월키,월별근무지표[키],0)),"직접 입력",IF($K396="—","—","기관명단")))</f>
        <v/>
      </c>
      <c r="W396">
        <f>IFERROR(MATCH(391,합계표[판정순번],0),"")</f>
        <v/>
      </c>
    </row>
    <row r="397">
      <c r="A397">
        <f>IF($W397="","",INDEX(합계표[사번],$W397)&amp;"")</f>
        <v/>
      </c>
      <c r="B397">
        <f>IF($W397="","",INDEX(합계표[성명],$W397)&amp;"")</f>
        <v/>
      </c>
      <c r="C397">
        <f>IF($W397="","",INDEX(합계표[부서],$W397)&amp;"")</f>
        <v/>
      </c>
      <c r="D397">
        <f>IF($W397="","",INDEX(합계표[직위(통합)],$W397)&amp;"")</f>
        <v/>
      </c>
      <c r="E397">
        <f>IF($W397="","",SUMIFS(합계표[시스템 합계],합계표[사번키],INDEX(합계표[사번키],$W397)))</f>
        <v/>
      </c>
      <c r="F397">
        <f>IF($W397="","",SUMIFS(상세표[기록 시간외],상세표[사번키],INDEX(합계표[사번키],$W397),상세표[기록월],대상월키))</f>
        <v/>
      </c>
      <c r="G397">
        <f>IF($W397="","",IF(ABS($E397-$F397)&lt;0.01,"일치","불일치(차이 "&amp;TEXT($F397-$E397,"0.00")&amp;")"))</f>
        <v/>
      </c>
      <c r="H397">
        <f>IF($W397="","",SUMIFS(상세표[기록 시간외],상세표[사번키],INDEX(합계표[사번키],$W397),상세표[기록월],대상월키,상세표[반영월],"&lt;&gt;"&amp;대상월키))</f>
        <v/>
      </c>
      <c r="I397">
        <f>IF($W397="","",SUMIFS(상세표[기록 시간외],상세표[사번키],INDEX(합계표[사번키],$W397),상세표[기록월],"&lt;&gt;"&amp;대상월키,상세표[반영월],대상월키))</f>
        <v/>
      </c>
      <c r="J397">
        <f>IF($W397="","",SUMIFS(상세표[기록 시간외],상세표[사번키],INDEX(합계표[사번키],$W397),상세표[반영월],대상월키))</f>
        <v/>
      </c>
      <c r="K397">
        <f>IF($W397="","",IFERROR(INDEX(월별근무지표[적용 급여병원],MATCH(INDEX(합계표[사번키],$W397)&amp;"|"&amp;대상월키,월별근무지표[키],0))&amp;"",IF(COUNTIF(기관표[사번키],INDEX(합계표[사번키],$W397))+COUNTIF(월별근무지표[사번키],INDEX(합계표[사번키],$W397))&gt;0,IFERROR(INDEX(기관표[급여지급병원(기준월)],MATCH(INDEX(합계표[사번키],$W397)&amp;"|"&amp;대상월키,기관표[키],0))&amp;"","—"),"—")))</f>
        <v/>
      </c>
      <c r="L397">
        <f>IF($W397="","",IF(NOT(COUNTIF(기관표[사번키],INDEX(합계표[사번키],$W397))+COUNTIF(월별근무지표[사번키],INDEX(합계표[사번키],$W397))&gt;0),"기관명단에 없음(다른 병원으로 발송)",IF($K397="—","대상월 기관명단 없음(추가 필요)",IF($K397="서울병원","해당","비해당"))))</f>
        <v/>
      </c>
      <c r="M397">
        <f>IF($W397="","",SUMIFS(상세표[06~07시],상세표[사번키],INDEX(합계표[사번키],$W397),상세표[반영월],대상월키,상세표[반영 기관],"서울병원"))</f>
        <v/>
      </c>
      <c r="N397">
        <f>IF($W397="","",SUMIFS(상세표[07~18시],상세표[사번키],INDEX(합계표[사번키],$W397),상세표[반영월],대상월키,상세표[반영 기관],"서울병원"))</f>
        <v/>
      </c>
      <c r="O397">
        <f>IF($W397="","",SUMIFS(상세표[18~22시],상세표[사번키],INDEX(합계표[사번키],$W397),상세표[반영월],대상월키,상세표[반영 기관],"서울병원"))</f>
        <v/>
      </c>
      <c r="P397">
        <f>IF($W397="","",SUMIFS(상세표[22~06시],상세표[사번키],INDEX(합계표[사번키],$W397),상세표[반영월],대상월키,상세표[반영 기관],"서울병원"))</f>
        <v/>
      </c>
      <c r="Q397">
        <f>IF($W397="","",SUM($M397:$P397))</f>
        <v/>
      </c>
      <c r="R397">
        <f>IF($W397="","",COUNTIFS(상세표[사번키],INDEX(합계표[사번키],$W397),상세표[반영월],대상월키,상세표[야간당직],1,상세표[야간 구분],"평일"))</f>
        <v/>
      </c>
      <c r="S397" s="4">
        <f>IF($W397="","",COUNTIFS(상세표[사번키],INDEX(합계표[사번키],$W397),상세표[반영월],대상월키,상세표[야간당직],1,상세표[야간 구분],"휴일"))</f>
        <v/>
      </c>
      <c r="T397">
        <f>IF($W397="","",COUNTIFS(상세표[사번키],INDEX(합계표[사번키],$W397),상세표[반영월],대상월키,상세표[야간당직],1,상세표[야간 구분],"평일",상세표[반영 기관],"서울병원"))</f>
        <v/>
      </c>
      <c r="U397">
        <f>IF($W397="","",COUNTIFS(상세표[사번키],INDEX(합계표[사번키],$W397),상세표[반영월],대상월키,상세표[야간당직],1,상세표[야간 구분],"휴일",상세표[반영 기관],"서울병원"))</f>
        <v/>
      </c>
      <c r="V397">
        <f>IF($W397="","",IF(ISNUMBER(MATCH(INDEX(합계표[사번키],$W397)&amp;"|"&amp;대상월키,월별근무지표[키],0)),"직접 입력",IF($K397="—","—","기관명단")))</f>
        <v/>
      </c>
      <c r="W397">
        <f>IFERROR(MATCH(392,합계표[판정순번],0),"")</f>
        <v/>
      </c>
    </row>
    <row r="398">
      <c r="A398">
        <f>IF($W398="","",INDEX(합계표[사번],$W398)&amp;"")</f>
        <v/>
      </c>
      <c r="B398">
        <f>IF($W398="","",INDEX(합계표[성명],$W398)&amp;"")</f>
        <v/>
      </c>
      <c r="C398">
        <f>IF($W398="","",INDEX(합계표[부서],$W398)&amp;"")</f>
        <v/>
      </c>
      <c r="D398">
        <f>IF($W398="","",INDEX(합계표[직위(통합)],$W398)&amp;"")</f>
        <v/>
      </c>
      <c r="E398">
        <f>IF($W398="","",SUMIFS(합계표[시스템 합계],합계표[사번키],INDEX(합계표[사번키],$W398)))</f>
        <v/>
      </c>
      <c r="F398">
        <f>IF($W398="","",SUMIFS(상세표[기록 시간외],상세표[사번키],INDEX(합계표[사번키],$W398),상세표[기록월],대상월키))</f>
        <v/>
      </c>
      <c r="G398">
        <f>IF($W398="","",IF(ABS($E398-$F398)&lt;0.01,"일치","불일치(차이 "&amp;TEXT($F398-$E398,"0.00")&amp;")"))</f>
        <v/>
      </c>
      <c r="H398">
        <f>IF($W398="","",SUMIFS(상세표[기록 시간외],상세표[사번키],INDEX(합계표[사번키],$W398),상세표[기록월],대상월키,상세표[반영월],"&lt;&gt;"&amp;대상월키))</f>
        <v/>
      </c>
      <c r="I398">
        <f>IF($W398="","",SUMIFS(상세표[기록 시간외],상세표[사번키],INDEX(합계표[사번키],$W398),상세표[기록월],"&lt;&gt;"&amp;대상월키,상세표[반영월],대상월키))</f>
        <v/>
      </c>
      <c r="J398">
        <f>IF($W398="","",SUMIFS(상세표[기록 시간외],상세표[사번키],INDEX(합계표[사번키],$W398),상세표[반영월],대상월키))</f>
        <v/>
      </c>
      <c r="K398">
        <f>IF($W398="","",IFERROR(INDEX(월별근무지표[적용 급여병원],MATCH(INDEX(합계표[사번키],$W398)&amp;"|"&amp;대상월키,월별근무지표[키],0))&amp;"",IF(COUNTIF(기관표[사번키],INDEX(합계표[사번키],$W398))+COUNTIF(월별근무지표[사번키],INDEX(합계표[사번키],$W398))&gt;0,IFERROR(INDEX(기관표[급여지급병원(기준월)],MATCH(INDEX(합계표[사번키],$W398)&amp;"|"&amp;대상월키,기관표[키],0))&amp;"","—"),"—")))</f>
        <v/>
      </c>
      <c r="L398">
        <f>IF($W398="","",IF(NOT(COUNTIF(기관표[사번키],INDEX(합계표[사번키],$W398))+COUNTIF(월별근무지표[사번키],INDEX(합계표[사번키],$W398))&gt;0),"기관명단에 없음(다른 병원으로 발송)",IF($K398="—","대상월 기관명단 없음(추가 필요)",IF($K398="서울병원","해당","비해당"))))</f>
        <v/>
      </c>
      <c r="M398">
        <f>IF($W398="","",SUMIFS(상세표[06~07시],상세표[사번키],INDEX(합계표[사번키],$W398),상세표[반영월],대상월키,상세표[반영 기관],"서울병원"))</f>
        <v/>
      </c>
      <c r="N398">
        <f>IF($W398="","",SUMIFS(상세표[07~18시],상세표[사번키],INDEX(합계표[사번키],$W398),상세표[반영월],대상월키,상세표[반영 기관],"서울병원"))</f>
        <v/>
      </c>
      <c r="O398">
        <f>IF($W398="","",SUMIFS(상세표[18~22시],상세표[사번키],INDEX(합계표[사번키],$W398),상세표[반영월],대상월키,상세표[반영 기관],"서울병원"))</f>
        <v/>
      </c>
      <c r="P398">
        <f>IF($W398="","",SUMIFS(상세표[22~06시],상세표[사번키],INDEX(합계표[사번키],$W398),상세표[반영월],대상월키,상세표[반영 기관],"서울병원"))</f>
        <v/>
      </c>
      <c r="Q398">
        <f>IF($W398="","",SUM($M398:$P398))</f>
        <v/>
      </c>
      <c r="R398">
        <f>IF($W398="","",COUNTIFS(상세표[사번키],INDEX(합계표[사번키],$W398),상세표[반영월],대상월키,상세표[야간당직],1,상세표[야간 구분],"평일"))</f>
        <v/>
      </c>
      <c r="S398" s="4">
        <f>IF($W398="","",COUNTIFS(상세표[사번키],INDEX(합계표[사번키],$W398),상세표[반영월],대상월키,상세표[야간당직],1,상세표[야간 구분],"휴일"))</f>
        <v/>
      </c>
      <c r="T398">
        <f>IF($W398="","",COUNTIFS(상세표[사번키],INDEX(합계표[사번키],$W398),상세표[반영월],대상월키,상세표[야간당직],1,상세표[야간 구분],"평일",상세표[반영 기관],"서울병원"))</f>
        <v/>
      </c>
      <c r="U398">
        <f>IF($W398="","",COUNTIFS(상세표[사번키],INDEX(합계표[사번키],$W398),상세표[반영월],대상월키,상세표[야간당직],1,상세표[야간 구분],"휴일",상세표[반영 기관],"서울병원"))</f>
        <v/>
      </c>
      <c r="V398">
        <f>IF($W398="","",IF(ISNUMBER(MATCH(INDEX(합계표[사번키],$W398)&amp;"|"&amp;대상월키,월별근무지표[키],0)),"직접 입력",IF($K398="—","—","기관명단")))</f>
        <v/>
      </c>
      <c r="W398">
        <f>IFERROR(MATCH(393,합계표[판정순번],0),"")</f>
        <v/>
      </c>
    </row>
    <row r="399">
      <c r="A399">
        <f>IF($W399="","",INDEX(합계표[사번],$W399)&amp;"")</f>
        <v/>
      </c>
      <c r="B399">
        <f>IF($W399="","",INDEX(합계표[성명],$W399)&amp;"")</f>
        <v/>
      </c>
      <c r="C399">
        <f>IF($W399="","",INDEX(합계표[부서],$W399)&amp;"")</f>
        <v/>
      </c>
      <c r="D399">
        <f>IF($W399="","",INDEX(합계표[직위(통합)],$W399)&amp;"")</f>
        <v/>
      </c>
      <c r="E399">
        <f>IF($W399="","",SUMIFS(합계표[시스템 합계],합계표[사번키],INDEX(합계표[사번키],$W399)))</f>
        <v/>
      </c>
      <c r="F399">
        <f>IF($W399="","",SUMIFS(상세표[기록 시간외],상세표[사번키],INDEX(합계표[사번키],$W399),상세표[기록월],대상월키))</f>
        <v/>
      </c>
      <c r="G399">
        <f>IF($W399="","",IF(ABS($E399-$F399)&lt;0.01,"일치","불일치(차이 "&amp;TEXT($F399-$E399,"0.00")&amp;")"))</f>
        <v/>
      </c>
      <c r="H399">
        <f>IF($W399="","",SUMIFS(상세표[기록 시간외],상세표[사번키],INDEX(합계표[사번키],$W399),상세표[기록월],대상월키,상세표[반영월],"&lt;&gt;"&amp;대상월키))</f>
        <v/>
      </c>
      <c r="I399">
        <f>IF($W399="","",SUMIFS(상세표[기록 시간외],상세표[사번키],INDEX(합계표[사번키],$W399),상세표[기록월],"&lt;&gt;"&amp;대상월키,상세표[반영월],대상월키))</f>
        <v/>
      </c>
      <c r="J399">
        <f>IF($W399="","",SUMIFS(상세표[기록 시간외],상세표[사번키],INDEX(합계표[사번키],$W399),상세표[반영월],대상월키))</f>
        <v/>
      </c>
      <c r="K399">
        <f>IF($W399="","",IFERROR(INDEX(월별근무지표[적용 급여병원],MATCH(INDEX(합계표[사번키],$W399)&amp;"|"&amp;대상월키,월별근무지표[키],0))&amp;"",IF(COUNTIF(기관표[사번키],INDEX(합계표[사번키],$W399))+COUNTIF(월별근무지표[사번키],INDEX(합계표[사번키],$W399))&gt;0,IFERROR(INDEX(기관표[급여지급병원(기준월)],MATCH(INDEX(합계표[사번키],$W399)&amp;"|"&amp;대상월키,기관표[키],0))&amp;"","—"),"—")))</f>
        <v/>
      </c>
      <c r="L399">
        <f>IF($W399="","",IF(NOT(COUNTIF(기관표[사번키],INDEX(합계표[사번키],$W399))+COUNTIF(월별근무지표[사번키],INDEX(합계표[사번키],$W399))&gt;0),"기관명단에 없음(다른 병원으로 발송)",IF($K399="—","대상월 기관명단 없음(추가 필요)",IF($K399="서울병원","해당","비해당"))))</f>
        <v/>
      </c>
      <c r="M399">
        <f>IF($W399="","",SUMIFS(상세표[06~07시],상세표[사번키],INDEX(합계표[사번키],$W399),상세표[반영월],대상월키,상세표[반영 기관],"서울병원"))</f>
        <v/>
      </c>
      <c r="N399">
        <f>IF($W399="","",SUMIFS(상세표[07~18시],상세표[사번키],INDEX(합계표[사번키],$W399),상세표[반영월],대상월키,상세표[반영 기관],"서울병원"))</f>
        <v/>
      </c>
      <c r="O399">
        <f>IF($W399="","",SUMIFS(상세표[18~22시],상세표[사번키],INDEX(합계표[사번키],$W399),상세표[반영월],대상월키,상세표[반영 기관],"서울병원"))</f>
        <v/>
      </c>
      <c r="P399">
        <f>IF($W399="","",SUMIFS(상세표[22~06시],상세표[사번키],INDEX(합계표[사번키],$W399),상세표[반영월],대상월키,상세표[반영 기관],"서울병원"))</f>
        <v/>
      </c>
      <c r="Q399">
        <f>IF($W399="","",SUM($M399:$P399))</f>
        <v/>
      </c>
      <c r="R399">
        <f>IF($W399="","",COUNTIFS(상세표[사번키],INDEX(합계표[사번키],$W399),상세표[반영월],대상월키,상세표[야간당직],1,상세표[야간 구분],"평일"))</f>
        <v/>
      </c>
      <c r="S399" s="4">
        <f>IF($W399="","",COUNTIFS(상세표[사번키],INDEX(합계표[사번키],$W399),상세표[반영월],대상월키,상세표[야간당직],1,상세표[야간 구분],"휴일"))</f>
        <v/>
      </c>
      <c r="T399">
        <f>IF($W399="","",COUNTIFS(상세표[사번키],INDEX(합계표[사번키],$W399),상세표[반영월],대상월키,상세표[야간당직],1,상세표[야간 구분],"평일",상세표[반영 기관],"서울병원"))</f>
        <v/>
      </c>
      <c r="U399">
        <f>IF($W399="","",COUNTIFS(상세표[사번키],INDEX(합계표[사번키],$W399),상세표[반영월],대상월키,상세표[야간당직],1,상세표[야간 구분],"휴일",상세표[반영 기관],"서울병원"))</f>
        <v/>
      </c>
      <c r="V399">
        <f>IF($W399="","",IF(ISNUMBER(MATCH(INDEX(합계표[사번키],$W399)&amp;"|"&amp;대상월키,월별근무지표[키],0)),"직접 입력",IF($K399="—","—","기관명단")))</f>
        <v/>
      </c>
      <c r="W399">
        <f>IFERROR(MATCH(394,합계표[판정순번],0),"")</f>
        <v/>
      </c>
    </row>
    <row r="400">
      <c r="A400">
        <f>IF($W400="","",INDEX(합계표[사번],$W400)&amp;"")</f>
        <v/>
      </c>
      <c r="B400">
        <f>IF($W400="","",INDEX(합계표[성명],$W400)&amp;"")</f>
        <v/>
      </c>
      <c r="C400">
        <f>IF($W400="","",INDEX(합계표[부서],$W400)&amp;"")</f>
        <v/>
      </c>
      <c r="D400">
        <f>IF($W400="","",INDEX(합계표[직위(통합)],$W400)&amp;"")</f>
        <v/>
      </c>
      <c r="E400">
        <f>IF($W400="","",SUMIFS(합계표[시스템 합계],합계표[사번키],INDEX(합계표[사번키],$W400)))</f>
        <v/>
      </c>
      <c r="F400">
        <f>IF($W400="","",SUMIFS(상세표[기록 시간외],상세표[사번키],INDEX(합계표[사번키],$W400),상세표[기록월],대상월키))</f>
        <v/>
      </c>
      <c r="G400">
        <f>IF($W400="","",IF(ABS($E400-$F400)&lt;0.01,"일치","불일치(차이 "&amp;TEXT($F400-$E400,"0.00")&amp;")"))</f>
        <v/>
      </c>
      <c r="H400">
        <f>IF($W400="","",SUMIFS(상세표[기록 시간외],상세표[사번키],INDEX(합계표[사번키],$W400),상세표[기록월],대상월키,상세표[반영월],"&lt;&gt;"&amp;대상월키))</f>
        <v/>
      </c>
      <c r="I400">
        <f>IF($W400="","",SUMIFS(상세표[기록 시간외],상세표[사번키],INDEX(합계표[사번키],$W400),상세표[기록월],"&lt;&gt;"&amp;대상월키,상세표[반영월],대상월키))</f>
        <v/>
      </c>
      <c r="J400">
        <f>IF($W400="","",SUMIFS(상세표[기록 시간외],상세표[사번키],INDEX(합계표[사번키],$W400),상세표[반영월],대상월키))</f>
        <v/>
      </c>
      <c r="K400">
        <f>IF($W400="","",IFERROR(INDEX(월별근무지표[적용 급여병원],MATCH(INDEX(합계표[사번키],$W400)&amp;"|"&amp;대상월키,월별근무지표[키],0))&amp;"",IF(COUNTIF(기관표[사번키],INDEX(합계표[사번키],$W400))+COUNTIF(월별근무지표[사번키],INDEX(합계표[사번키],$W400))&gt;0,IFERROR(INDEX(기관표[급여지급병원(기준월)],MATCH(INDEX(합계표[사번키],$W400)&amp;"|"&amp;대상월키,기관표[키],0))&amp;"","—"),"—")))</f>
        <v/>
      </c>
      <c r="L400">
        <f>IF($W400="","",IF(NOT(COUNTIF(기관표[사번키],INDEX(합계표[사번키],$W400))+COUNTIF(월별근무지표[사번키],INDEX(합계표[사번키],$W400))&gt;0),"기관명단에 없음(다른 병원으로 발송)",IF($K400="—","대상월 기관명단 없음(추가 필요)",IF($K400="서울병원","해당","비해당"))))</f>
        <v/>
      </c>
      <c r="M400">
        <f>IF($W400="","",SUMIFS(상세표[06~07시],상세표[사번키],INDEX(합계표[사번키],$W400),상세표[반영월],대상월키,상세표[반영 기관],"서울병원"))</f>
        <v/>
      </c>
      <c r="N400">
        <f>IF($W400="","",SUMIFS(상세표[07~18시],상세표[사번키],INDEX(합계표[사번키],$W400),상세표[반영월],대상월키,상세표[반영 기관],"서울병원"))</f>
        <v/>
      </c>
      <c r="O400">
        <f>IF($W400="","",SUMIFS(상세표[18~22시],상세표[사번키],INDEX(합계표[사번키],$W400),상세표[반영월],대상월키,상세표[반영 기관],"서울병원"))</f>
        <v/>
      </c>
      <c r="P400">
        <f>IF($W400="","",SUMIFS(상세표[22~06시],상세표[사번키],INDEX(합계표[사번키],$W400),상세표[반영월],대상월키,상세표[반영 기관],"서울병원"))</f>
        <v/>
      </c>
      <c r="Q400">
        <f>IF($W400="","",SUM($M400:$P400))</f>
        <v/>
      </c>
      <c r="R400">
        <f>IF($W400="","",COUNTIFS(상세표[사번키],INDEX(합계표[사번키],$W400),상세표[반영월],대상월키,상세표[야간당직],1,상세표[야간 구분],"평일"))</f>
        <v/>
      </c>
      <c r="S400" s="4">
        <f>IF($W400="","",COUNTIFS(상세표[사번키],INDEX(합계표[사번키],$W400),상세표[반영월],대상월키,상세표[야간당직],1,상세표[야간 구분],"휴일"))</f>
        <v/>
      </c>
      <c r="T400">
        <f>IF($W400="","",COUNTIFS(상세표[사번키],INDEX(합계표[사번키],$W400),상세표[반영월],대상월키,상세표[야간당직],1,상세표[야간 구분],"평일",상세표[반영 기관],"서울병원"))</f>
        <v/>
      </c>
      <c r="U400">
        <f>IF($W400="","",COUNTIFS(상세표[사번키],INDEX(합계표[사번키],$W400),상세표[반영월],대상월키,상세표[야간당직],1,상세표[야간 구분],"휴일",상세표[반영 기관],"서울병원"))</f>
        <v/>
      </c>
      <c r="V400">
        <f>IF($W400="","",IF(ISNUMBER(MATCH(INDEX(합계표[사번키],$W400)&amp;"|"&amp;대상월키,월별근무지표[키],0)),"직접 입력",IF($K400="—","—","기관명단")))</f>
        <v/>
      </c>
      <c r="W400">
        <f>IFERROR(MATCH(395,합계표[판정순번],0),"")</f>
        <v/>
      </c>
    </row>
    <row r="401">
      <c r="A401">
        <f>IF($W401="","",INDEX(합계표[사번],$W401)&amp;"")</f>
        <v/>
      </c>
      <c r="B401">
        <f>IF($W401="","",INDEX(합계표[성명],$W401)&amp;"")</f>
        <v/>
      </c>
      <c r="C401">
        <f>IF($W401="","",INDEX(합계표[부서],$W401)&amp;"")</f>
        <v/>
      </c>
      <c r="D401">
        <f>IF($W401="","",INDEX(합계표[직위(통합)],$W401)&amp;"")</f>
        <v/>
      </c>
      <c r="E401">
        <f>IF($W401="","",SUMIFS(합계표[시스템 합계],합계표[사번키],INDEX(합계표[사번키],$W401)))</f>
        <v/>
      </c>
      <c r="F401">
        <f>IF($W401="","",SUMIFS(상세표[기록 시간외],상세표[사번키],INDEX(합계표[사번키],$W401),상세표[기록월],대상월키))</f>
        <v/>
      </c>
      <c r="G401">
        <f>IF($W401="","",IF(ABS($E401-$F401)&lt;0.01,"일치","불일치(차이 "&amp;TEXT($F401-$E401,"0.00")&amp;")"))</f>
        <v/>
      </c>
      <c r="H401">
        <f>IF($W401="","",SUMIFS(상세표[기록 시간외],상세표[사번키],INDEX(합계표[사번키],$W401),상세표[기록월],대상월키,상세표[반영월],"&lt;&gt;"&amp;대상월키))</f>
        <v/>
      </c>
      <c r="I401">
        <f>IF($W401="","",SUMIFS(상세표[기록 시간외],상세표[사번키],INDEX(합계표[사번키],$W401),상세표[기록월],"&lt;&gt;"&amp;대상월키,상세표[반영월],대상월키))</f>
        <v/>
      </c>
      <c r="J401">
        <f>IF($W401="","",SUMIFS(상세표[기록 시간외],상세표[사번키],INDEX(합계표[사번키],$W401),상세표[반영월],대상월키))</f>
        <v/>
      </c>
      <c r="K401">
        <f>IF($W401="","",IFERROR(INDEX(월별근무지표[적용 급여병원],MATCH(INDEX(합계표[사번키],$W401)&amp;"|"&amp;대상월키,월별근무지표[키],0))&amp;"",IF(COUNTIF(기관표[사번키],INDEX(합계표[사번키],$W401))+COUNTIF(월별근무지표[사번키],INDEX(합계표[사번키],$W401))&gt;0,IFERROR(INDEX(기관표[급여지급병원(기준월)],MATCH(INDEX(합계표[사번키],$W401)&amp;"|"&amp;대상월키,기관표[키],0))&amp;"","—"),"—")))</f>
        <v/>
      </c>
      <c r="L401">
        <f>IF($W401="","",IF(NOT(COUNTIF(기관표[사번키],INDEX(합계표[사번키],$W401))+COUNTIF(월별근무지표[사번키],INDEX(합계표[사번키],$W401))&gt;0),"기관명단에 없음(다른 병원으로 발송)",IF($K401="—","대상월 기관명단 없음(추가 필요)",IF($K401="서울병원","해당","비해당"))))</f>
        <v/>
      </c>
      <c r="M401">
        <f>IF($W401="","",SUMIFS(상세표[06~07시],상세표[사번키],INDEX(합계표[사번키],$W401),상세표[반영월],대상월키,상세표[반영 기관],"서울병원"))</f>
        <v/>
      </c>
      <c r="N401">
        <f>IF($W401="","",SUMIFS(상세표[07~18시],상세표[사번키],INDEX(합계표[사번키],$W401),상세표[반영월],대상월키,상세표[반영 기관],"서울병원"))</f>
        <v/>
      </c>
      <c r="O401">
        <f>IF($W401="","",SUMIFS(상세표[18~22시],상세표[사번키],INDEX(합계표[사번키],$W401),상세표[반영월],대상월키,상세표[반영 기관],"서울병원"))</f>
        <v/>
      </c>
      <c r="P401">
        <f>IF($W401="","",SUMIFS(상세표[22~06시],상세표[사번키],INDEX(합계표[사번키],$W401),상세표[반영월],대상월키,상세표[반영 기관],"서울병원"))</f>
        <v/>
      </c>
      <c r="Q401">
        <f>IF($W401="","",SUM($M401:$P401))</f>
        <v/>
      </c>
      <c r="R401">
        <f>IF($W401="","",COUNTIFS(상세표[사번키],INDEX(합계표[사번키],$W401),상세표[반영월],대상월키,상세표[야간당직],1,상세표[야간 구분],"평일"))</f>
        <v/>
      </c>
      <c r="S401" s="4">
        <f>IF($W401="","",COUNTIFS(상세표[사번키],INDEX(합계표[사번키],$W401),상세표[반영월],대상월키,상세표[야간당직],1,상세표[야간 구분],"휴일"))</f>
        <v/>
      </c>
      <c r="T401">
        <f>IF($W401="","",COUNTIFS(상세표[사번키],INDEX(합계표[사번키],$W401),상세표[반영월],대상월키,상세표[야간당직],1,상세표[야간 구분],"평일",상세표[반영 기관],"서울병원"))</f>
        <v/>
      </c>
      <c r="U401">
        <f>IF($W401="","",COUNTIFS(상세표[사번키],INDEX(합계표[사번키],$W401),상세표[반영월],대상월키,상세표[야간당직],1,상세표[야간 구분],"휴일",상세표[반영 기관],"서울병원"))</f>
        <v/>
      </c>
      <c r="V401">
        <f>IF($W401="","",IF(ISNUMBER(MATCH(INDEX(합계표[사번키],$W401)&amp;"|"&amp;대상월키,월별근무지표[키],0)),"직접 입력",IF($K401="—","—","기관명단")))</f>
        <v/>
      </c>
      <c r="W401">
        <f>IFERROR(MATCH(396,합계표[판정순번],0),"")</f>
        <v/>
      </c>
    </row>
    <row r="402">
      <c r="A402">
        <f>IF($W402="","",INDEX(합계표[사번],$W402)&amp;"")</f>
        <v/>
      </c>
      <c r="B402">
        <f>IF($W402="","",INDEX(합계표[성명],$W402)&amp;"")</f>
        <v/>
      </c>
      <c r="C402">
        <f>IF($W402="","",INDEX(합계표[부서],$W402)&amp;"")</f>
        <v/>
      </c>
      <c r="D402">
        <f>IF($W402="","",INDEX(합계표[직위(통합)],$W402)&amp;"")</f>
        <v/>
      </c>
      <c r="E402">
        <f>IF($W402="","",SUMIFS(합계표[시스템 합계],합계표[사번키],INDEX(합계표[사번키],$W402)))</f>
        <v/>
      </c>
      <c r="F402">
        <f>IF($W402="","",SUMIFS(상세표[기록 시간외],상세표[사번키],INDEX(합계표[사번키],$W402),상세표[기록월],대상월키))</f>
        <v/>
      </c>
      <c r="G402">
        <f>IF($W402="","",IF(ABS($E402-$F402)&lt;0.01,"일치","불일치(차이 "&amp;TEXT($F402-$E402,"0.00")&amp;")"))</f>
        <v/>
      </c>
      <c r="H402">
        <f>IF($W402="","",SUMIFS(상세표[기록 시간외],상세표[사번키],INDEX(합계표[사번키],$W402),상세표[기록월],대상월키,상세표[반영월],"&lt;&gt;"&amp;대상월키))</f>
        <v/>
      </c>
      <c r="I402">
        <f>IF($W402="","",SUMIFS(상세표[기록 시간외],상세표[사번키],INDEX(합계표[사번키],$W402),상세표[기록월],"&lt;&gt;"&amp;대상월키,상세표[반영월],대상월키))</f>
        <v/>
      </c>
      <c r="J402">
        <f>IF($W402="","",SUMIFS(상세표[기록 시간외],상세표[사번키],INDEX(합계표[사번키],$W402),상세표[반영월],대상월키))</f>
        <v/>
      </c>
      <c r="K402">
        <f>IF($W402="","",IFERROR(INDEX(월별근무지표[적용 급여병원],MATCH(INDEX(합계표[사번키],$W402)&amp;"|"&amp;대상월키,월별근무지표[키],0))&amp;"",IF(COUNTIF(기관표[사번키],INDEX(합계표[사번키],$W402))+COUNTIF(월별근무지표[사번키],INDEX(합계표[사번키],$W402))&gt;0,IFERROR(INDEX(기관표[급여지급병원(기준월)],MATCH(INDEX(합계표[사번키],$W402)&amp;"|"&amp;대상월키,기관표[키],0))&amp;"","—"),"—")))</f>
        <v/>
      </c>
      <c r="L402">
        <f>IF($W402="","",IF(NOT(COUNTIF(기관표[사번키],INDEX(합계표[사번키],$W402))+COUNTIF(월별근무지표[사번키],INDEX(합계표[사번키],$W402))&gt;0),"기관명단에 없음(다른 병원으로 발송)",IF($K402="—","대상월 기관명단 없음(추가 필요)",IF($K402="서울병원","해당","비해당"))))</f>
        <v/>
      </c>
      <c r="M402">
        <f>IF($W402="","",SUMIFS(상세표[06~07시],상세표[사번키],INDEX(합계표[사번키],$W402),상세표[반영월],대상월키,상세표[반영 기관],"서울병원"))</f>
        <v/>
      </c>
      <c r="N402">
        <f>IF($W402="","",SUMIFS(상세표[07~18시],상세표[사번키],INDEX(합계표[사번키],$W402),상세표[반영월],대상월키,상세표[반영 기관],"서울병원"))</f>
        <v/>
      </c>
      <c r="O402">
        <f>IF($W402="","",SUMIFS(상세표[18~22시],상세표[사번키],INDEX(합계표[사번키],$W402),상세표[반영월],대상월키,상세표[반영 기관],"서울병원"))</f>
        <v/>
      </c>
      <c r="P402">
        <f>IF($W402="","",SUMIFS(상세표[22~06시],상세표[사번키],INDEX(합계표[사번키],$W402),상세표[반영월],대상월키,상세표[반영 기관],"서울병원"))</f>
        <v/>
      </c>
      <c r="Q402">
        <f>IF($W402="","",SUM($M402:$P402))</f>
        <v/>
      </c>
      <c r="R402">
        <f>IF($W402="","",COUNTIFS(상세표[사번키],INDEX(합계표[사번키],$W402),상세표[반영월],대상월키,상세표[야간당직],1,상세표[야간 구분],"평일"))</f>
        <v/>
      </c>
      <c r="S402" s="4">
        <f>IF($W402="","",COUNTIFS(상세표[사번키],INDEX(합계표[사번키],$W402),상세표[반영월],대상월키,상세표[야간당직],1,상세표[야간 구분],"휴일"))</f>
        <v/>
      </c>
      <c r="T402">
        <f>IF($W402="","",COUNTIFS(상세표[사번키],INDEX(합계표[사번키],$W402),상세표[반영월],대상월키,상세표[야간당직],1,상세표[야간 구분],"평일",상세표[반영 기관],"서울병원"))</f>
        <v/>
      </c>
      <c r="U402">
        <f>IF($W402="","",COUNTIFS(상세표[사번키],INDEX(합계표[사번키],$W402),상세표[반영월],대상월키,상세표[야간당직],1,상세표[야간 구분],"휴일",상세표[반영 기관],"서울병원"))</f>
        <v/>
      </c>
      <c r="V402">
        <f>IF($W402="","",IF(ISNUMBER(MATCH(INDEX(합계표[사번키],$W402)&amp;"|"&amp;대상월키,월별근무지표[키],0)),"직접 입력",IF($K402="—","—","기관명단")))</f>
        <v/>
      </c>
      <c r="W402">
        <f>IFERROR(MATCH(397,합계표[판정순번],0),"")</f>
        <v/>
      </c>
    </row>
    <row r="403">
      <c r="A403">
        <f>IF($W403="","",INDEX(합계표[사번],$W403)&amp;"")</f>
        <v/>
      </c>
      <c r="B403">
        <f>IF($W403="","",INDEX(합계표[성명],$W403)&amp;"")</f>
        <v/>
      </c>
      <c r="C403">
        <f>IF($W403="","",INDEX(합계표[부서],$W403)&amp;"")</f>
        <v/>
      </c>
      <c r="D403">
        <f>IF($W403="","",INDEX(합계표[직위(통합)],$W403)&amp;"")</f>
        <v/>
      </c>
      <c r="E403">
        <f>IF($W403="","",SUMIFS(합계표[시스템 합계],합계표[사번키],INDEX(합계표[사번키],$W403)))</f>
        <v/>
      </c>
      <c r="F403">
        <f>IF($W403="","",SUMIFS(상세표[기록 시간외],상세표[사번키],INDEX(합계표[사번키],$W403),상세표[기록월],대상월키))</f>
        <v/>
      </c>
      <c r="G403">
        <f>IF($W403="","",IF(ABS($E403-$F403)&lt;0.01,"일치","불일치(차이 "&amp;TEXT($F403-$E403,"0.00")&amp;")"))</f>
        <v/>
      </c>
      <c r="H403">
        <f>IF($W403="","",SUMIFS(상세표[기록 시간외],상세표[사번키],INDEX(합계표[사번키],$W403),상세표[기록월],대상월키,상세표[반영월],"&lt;&gt;"&amp;대상월키))</f>
        <v/>
      </c>
      <c r="I403">
        <f>IF($W403="","",SUMIFS(상세표[기록 시간외],상세표[사번키],INDEX(합계표[사번키],$W403),상세표[기록월],"&lt;&gt;"&amp;대상월키,상세표[반영월],대상월키))</f>
        <v/>
      </c>
      <c r="J403">
        <f>IF($W403="","",SUMIFS(상세표[기록 시간외],상세표[사번키],INDEX(합계표[사번키],$W403),상세표[반영월],대상월키))</f>
        <v/>
      </c>
      <c r="K403">
        <f>IF($W403="","",IFERROR(INDEX(월별근무지표[적용 급여병원],MATCH(INDEX(합계표[사번키],$W403)&amp;"|"&amp;대상월키,월별근무지표[키],0))&amp;"",IF(COUNTIF(기관표[사번키],INDEX(합계표[사번키],$W403))+COUNTIF(월별근무지표[사번키],INDEX(합계표[사번키],$W403))&gt;0,IFERROR(INDEX(기관표[급여지급병원(기준월)],MATCH(INDEX(합계표[사번키],$W403)&amp;"|"&amp;대상월키,기관표[키],0))&amp;"","—"),"—")))</f>
        <v/>
      </c>
      <c r="L403">
        <f>IF($W403="","",IF(NOT(COUNTIF(기관표[사번키],INDEX(합계표[사번키],$W403))+COUNTIF(월별근무지표[사번키],INDEX(합계표[사번키],$W403))&gt;0),"기관명단에 없음(다른 병원으로 발송)",IF($K403="—","대상월 기관명단 없음(추가 필요)",IF($K403="서울병원","해당","비해당"))))</f>
        <v/>
      </c>
      <c r="M403">
        <f>IF($W403="","",SUMIFS(상세표[06~07시],상세표[사번키],INDEX(합계표[사번키],$W403),상세표[반영월],대상월키,상세표[반영 기관],"서울병원"))</f>
        <v/>
      </c>
      <c r="N403">
        <f>IF($W403="","",SUMIFS(상세표[07~18시],상세표[사번키],INDEX(합계표[사번키],$W403),상세표[반영월],대상월키,상세표[반영 기관],"서울병원"))</f>
        <v/>
      </c>
      <c r="O403">
        <f>IF($W403="","",SUMIFS(상세표[18~22시],상세표[사번키],INDEX(합계표[사번키],$W403),상세표[반영월],대상월키,상세표[반영 기관],"서울병원"))</f>
        <v/>
      </c>
      <c r="P403">
        <f>IF($W403="","",SUMIFS(상세표[22~06시],상세표[사번키],INDEX(합계표[사번키],$W403),상세표[반영월],대상월키,상세표[반영 기관],"서울병원"))</f>
        <v/>
      </c>
      <c r="Q403">
        <f>IF($W403="","",SUM($M403:$P403))</f>
        <v/>
      </c>
      <c r="R403">
        <f>IF($W403="","",COUNTIFS(상세표[사번키],INDEX(합계표[사번키],$W403),상세표[반영월],대상월키,상세표[야간당직],1,상세표[야간 구분],"평일"))</f>
        <v/>
      </c>
      <c r="S403" s="4">
        <f>IF($W403="","",COUNTIFS(상세표[사번키],INDEX(합계표[사번키],$W403),상세표[반영월],대상월키,상세표[야간당직],1,상세표[야간 구분],"휴일"))</f>
        <v/>
      </c>
      <c r="T403">
        <f>IF($W403="","",COUNTIFS(상세표[사번키],INDEX(합계표[사번키],$W403),상세표[반영월],대상월키,상세표[야간당직],1,상세표[야간 구분],"평일",상세표[반영 기관],"서울병원"))</f>
        <v/>
      </c>
      <c r="U403">
        <f>IF($W403="","",COUNTIFS(상세표[사번키],INDEX(합계표[사번키],$W403),상세표[반영월],대상월키,상세표[야간당직],1,상세표[야간 구분],"휴일",상세표[반영 기관],"서울병원"))</f>
        <v/>
      </c>
      <c r="V403">
        <f>IF($W403="","",IF(ISNUMBER(MATCH(INDEX(합계표[사번키],$W403)&amp;"|"&amp;대상월키,월별근무지표[키],0)),"직접 입력",IF($K403="—","—","기관명단")))</f>
        <v/>
      </c>
      <c r="W403">
        <f>IFERROR(MATCH(398,합계표[판정순번],0),"")</f>
        <v/>
      </c>
    </row>
    <row r="404">
      <c r="A404">
        <f>IF($W404="","",INDEX(합계표[사번],$W404)&amp;"")</f>
        <v/>
      </c>
      <c r="B404">
        <f>IF($W404="","",INDEX(합계표[성명],$W404)&amp;"")</f>
        <v/>
      </c>
      <c r="C404">
        <f>IF($W404="","",INDEX(합계표[부서],$W404)&amp;"")</f>
        <v/>
      </c>
      <c r="D404">
        <f>IF($W404="","",INDEX(합계표[직위(통합)],$W404)&amp;"")</f>
        <v/>
      </c>
      <c r="E404">
        <f>IF($W404="","",SUMIFS(합계표[시스템 합계],합계표[사번키],INDEX(합계표[사번키],$W404)))</f>
        <v/>
      </c>
      <c r="F404">
        <f>IF($W404="","",SUMIFS(상세표[기록 시간외],상세표[사번키],INDEX(합계표[사번키],$W404),상세표[기록월],대상월키))</f>
        <v/>
      </c>
      <c r="G404">
        <f>IF($W404="","",IF(ABS($E404-$F404)&lt;0.01,"일치","불일치(차이 "&amp;TEXT($F404-$E404,"0.00")&amp;")"))</f>
        <v/>
      </c>
      <c r="H404">
        <f>IF($W404="","",SUMIFS(상세표[기록 시간외],상세표[사번키],INDEX(합계표[사번키],$W404),상세표[기록월],대상월키,상세표[반영월],"&lt;&gt;"&amp;대상월키))</f>
        <v/>
      </c>
      <c r="I404">
        <f>IF($W404="","",SUMIFS(상세표[기록 시간외],상세표[사번키],INDEX(합계표[사번키],$W404),상세표[기록월],"&lt;&gt;"&amp;대상월키,상세표[반영월],대상월키))</f>
        <v/>
      </c>
      <c r="J404">
        <f>IF($W404="","",SUMIFS(상세표[기록 시간외],상세표[사번키],INDEX(합계표[사번키],$W404),상세표[반영월],대상월키))</f>
        <v/>
      </c>
      <c r="K404">
        <f>IF($W404="","",IFERROR(INDEX(월별근무지표[적용 급여병원],MATCH(INDEX(합계표[사번키],$W404)&amp;"|"&amp;대상월키,월별근무지표[키],0))&amp;"",IF(COUNTIF(기관표[사번키],INDEX(합계표[사번키],$W404))+COUNTIF(월별근무지표[사번키],INDEX(합계표[사번키],$W404))&gt;0,IFERROR(INDEX(기관표[급여지급병원(기준월)],MATCH(INDEX(합계표[사번키],$W404)&amp;"|"&amp;대상월키,기관표[키],0))&amp;"","—"),"—")))</f>
        <v/>
      </c>
      <c r="L404">
        <f>IF($W404="","",IF(NOT(COUNTIF(기관표[사번키],INDEX(합계표[사번키],$W404))+COUNTIF(월별근무지표[사번키],INDEX(합계표[사번키],$W404))&gt;0),"기관명단에 없음(다른 병원으로 발송)",IF($K404="—","대상월 기관명단 없음(추가 필요)",IF($K404="서울병원","해당","비해당"))))</f>
        <v/>
      </c>
      <c r="M404">
        <f>IF($W404="","",SUMIFS(상세표[06~07시],상세표[사번키],INDEX(합계표[사번키],$W404),상세표[반영월],대상월키,상세표[반영 기관],"서울병원"))</f>
        <v/>
      </c>
      <c r="N404">
        <f>IF($W404="","",SUMIFS(상세표[07~18시],상세표[사번키],INDEX(합계표[사번키],$W404),상세표[반영월],대상월키,상세표[반영 기관],"서울병원"))</f>
        <v/>
      </c>
      <c r="O404">
        <f>IF($W404="","",SUMIFS(상세표[18~22시],상세표[사번키],INDEX(합계표[사번키],$W404),상세표[반영월],대상월키,상세표[반영 기관],"서울병원"))</f>
        <v/>
      </c>
      <c r="P404">
        <f>IF($W404="","",SUMIFS(상세표[22~06시],상세표[사번키],INDEX(합계표[사번키],$W404),상세표[반영월],대상월키,상세표[반영 기관],"서울병원"))</f>
        <v/>
      </c>
      <c r="Q404">
        <f>IF($W404="","",SUM($M404:$P404))</f>
        <v/>
      </c>
      <c r="R404">
        <f>IF($W404="","",COUNTIFS(상세표[사번키],INDEX(합계표[사번키],$W404),상세표[반영월],대상월키,상세표[야간당직],1,상세표[야간 구분],"평일"))</f>
        <v/>
      </c>
      <c r="S404" s="4">
        <f>IF($W404="","",COUNTIFS(상세표[사번키],INDEX(합계표[사번키],$W404),상세표[반영월],대상월키,상세표[야간당직],1,상세표[야간 구분],"휴일"))</f>
        <v/>
      </c>
      <c r="T404">
        <f>IF($W404="","",COUNTIFS(상세표[사번키],INDEX(합계표[사번키],$W404),상세표[반영월],대상월키,상세표[야간당직],1,상세표[야간 구분],"평일",상세표[반영 기관],"서울병원"))</f>
        <v/>
      </c>
      <c r="U404">
        <f>IF($W404="","",COUNTIFS(상세표[사번키],INDEX(합계표[사번키],$W404),상세표[반영월],대상월키,상세표[야간당직],1,상세표[야간 구분],"휴일",상세표[반영 기관],"서울병원"))</f>
        <v/>
      </c>
      <c r="V404">
        <f>IF($W404="","",IF(ISNUMBER(MATCH(INDEX(합계표[사번키],$W404)&amp;"|"&amp;대상월키,월별근무지표[키],0)),"직접 입력",IF($K404="—","—","기관명단")))</f>
        <v/>
      </c>
      <c r="W404">
        <f>IFERROR(MATCH(399,합계표[판정순번],0),"")</f>
        <v/>
      </c>
    </row>
    <row r="405">
      <c r="A405">
        <f>IF($W405="","",INDEX(합계표[사번],$W405)&amp;"")</f>
        <v/>
      </c>
      <c r="B405">
        <f>IF($W405="","",INDEX(합계표[성명],$W405)&amp;"")</f>
        <v/>
      </c>
      <c r="C405">
        <f>IF($W405="","",INDEX(합계표[부서],$W405)&amp;"")</f>
        <v/>
      </c>
      <c r="D405">
        <f>IF($W405="","",INDEX(합계표[직위(통합)],$W405)&amp;"")</f>
        <v/>
      </c>
      <c r="E405">
        <f>IF($W405="","",SUMIFS(합계표[시스템 합계],합계표[사번키],INDEX(합계표[사번키],$W405)))</f>
        <v/>
      </c>
      <c r="F405">
        <f>IF($W405="","",SUMIFS(상세표[기록 시간외],상세표[사번키],INDEX(합계표[사번키],$W405),상세표[기록월],대상월키))</f>
        <v/>
      </c>
      <c r="G405">
        <f>IF($W405="","",IF(ABS($E405-$F405)&lt;0.01,"일치","불일치(차이 "&amp;TEXT($F405-$E405,"0.00")&amp;")"))</f>
        <v/>
      </c>
      <c r="H405">
        <f>IF($W405="","",SUMIFS(상세표[기록 시간외],상세표[사번키],INDEX(합계표[사번키],$W405),상세표[기록월],대상월키,상세표[반영월],"&lt;&gt;"&amp;대상월키))</f>
        <v/>
      </c>
      <c r="I405">
        <f>IF($W405="","",SUMIFS(상세표[기록 시간외],상세표[사번키],INDEX(합계표[사번키],$W405),상세표[기록월],"&lt;&gt;"&amp;대상월키,상세표[반영월],대상월키))</f>
        <v/>
      </c>
      <c r="J405">
        <f>IF($W405="","",SUMIFS(상세표[기록 시간외],상세표[사번키],INDEX(합계표[사번키],$W405),상세표[반영월],대상월키))</f>
        <v/>
      </c>
      <c r="K405">
        <f>IF($W405="","",IFERROR(INDEX(월별근무지표[적용 급여병원],MATCH(INDEX(합계표[사번키],$W405)&amp;"|"&amp;대상월키,월별근무지표[키],0))&amp;"",IF(COUNTIF(기관표[사번키],INDEX(합계표[사번키],$W405))+COUNTIF(월별근무지표[사번키],INDEX(합계표[사번키],$W405))&gt;0,IFERROR(INDEX(기관표[급여지급병원(기준월)],MATCH(INDEX(합계표[사번키],$W405)&amp;"|"&amp;대상월키,기관표[키],0))&amp;"","—"),"—")))</f>
        <v/>
      </c>
      <c r="L405">
        <f>IF($W405="","",IF(NOT(COUNTIF(기관표[사번키],INDEX(합계표[사번키],$W405))+COUNTIF(월별근무지표[사번키],INDEX(합계표[사번키],$W405))&gt;0),"기관명단에 없음(다른 병원으로 발송)",IF($K405="—","대상월 기관명단 없음(추가 필요)",IF($K405="서울병원","해당","비해당"))))</f>
        <v/>
      </c>
      <c r="M405">
        <f>IF($W405="","",SUMIFS(상세표[06~07시],상세표[사번키],INDEX(합계표[사번키],$W405),상세표[반영월],대상월키,상세표[반영 기관],"서울병원"))</f>
        <v/>
      </c>
      <c r="N405">
        <f>IF($W405="","",SUMIFS(상세표[07~18시],상세표[사번키],INDEX(합계표[사번키],$W405),상세표[반영월],대상월키,상세표[반영 기관],"서울병원"))</f>
        <v/>
      </c>
      <c r="O405">
        <f>IF($W405="","",SUMIFS(상세표[18~22시],상세표[사번키],INDEX(합계표[사번키],$W405),상세표[반영월],대상월키,상세표[반영 기관],"서울병원"))</f>
        <v/>
      </c>
      <c r="P405">
        <f>IF($W405="","",SUMIFS(상세표[22~06시],상세표[사번키],INDEX(합계표[사번키],$W405),상세표[반영월],대상월키,상세표[반영 기관],"서울병원"))</f>
        <v/>
      </c>
      <c r="Q405">
        <f>IF($W405="","",SUM($M405:$P405))</f>
        <v/>
      </c>
      <c r="R405">
        <f>IF($W405="","",COUNTIFS(상세표[사번키],INDEX(합계표[사번키],$W405),상세표[반영월],대상월키,상세표[야간당직],1,상세표[야간 구분],"평일"))</f>
        <v/>
      </c>
      <c r="S405" s="4">
        <f>IF($W405="","",COUNTIFS(상세표[사번키],INDEX(합계표[사번키],$W405),상세표[반영월],대상월키,상세표[야간당직],1,상세표[야간 구분],"휴일"))</f>
        <v/>
      </c>
      <c r="T405">
        <f>IF($W405="","",COUNTIFS(상세표[사번키],INDEX(합계표[사번키],$W405),상세표[반영월],대상월키,상세표[야간당직],1,상세표[야간 구분],"평일",상세표[반영 기관],"서울병원"))</f>
        <v/>
      </c>
      <c r="U405">
        <f>IF($W405="","",COUNTIFS(상세표[사번키],INDEX(합계표[사번키],$W405),상세표[반영월],대상월키,상세표[야간당직],1,상세표[야간 구분],"휴일",상세표[반영 기관],"서울병원"))</f>
        <v/>
      </c>
      <c r="V405">
        <f>IF($W405="","",IF(ISNUMBER(MATCH(INDEX(합계표[사번키],$W405)&amp;"|"&amp;대상월키,월별근무지표[키],0)),"직접 입력",IF($K405="—","—","기관명단")))</f>
        <v/>
      </c>
      <c r="W405">
        <f>IFERROR(MATCH(400,합계표[판정순번],0),"")</f>
        <v/>
      </c>
    </row>
    <row r="406">
      <c r="A406">
        <f>IF($W406="","",INDEX(합계표[사번],$W406)&amp;"")</f>
        <v/>
      </c>
      <c r="B406">
        <f>IF($W406="","",INDEX(합계표[성명],$W406)&amp;"")</f>
        <v/>
      </c>
      <c r="C406">
        <f>IF($W406="","",INDEX(합계표[부서],$W406)&amp;"")</f>
        <v/>
      </c>
      <c r="D406">
        <f>IF($W406="","",INDEX(합계표[직위(통합)],$W406)&amp;"")</f>
        <v/>
      </c>
      <c r="E406">
        <f>IF($W406="","",SUMIFS(합계표[시스템 합계],합계표[사번키],INDEX(합계표[사번키],$W406)))</f>
        <v/>
      </c>
      <c r="F406">
        <f>IF($W406="","",SUMIFS(상세표[기록 시간외],상세표[사번키],INDEX(합계표[사번키],$W406),상세표[기록월],대상월키))</f>
        <v/>
      </c>
      <c r="G406">
        <f>IF($W406="","",IF(ABS($E406-$F406)&lt;0.01,"일치","불일치(차이 "&amp;TEXT($F406-$E406,"0.00")&amp;")"))</f>
        <v/>
      </c>
      <c r="H406">
        <f>IF($W406="","",SUMIFS(상세표[기록 시간외],상세표[사번키],INDEX(합계표[사번키],$W406),상세표[기록월],대상월키,상세표[반영월],"&lt;&gt;"&amp;대상월키))</f>
        <v/>
      </c>
      <c r="I406">
        <f>IF($W406="","",SUMIFS(상세표[기록 시간외],상세표[사번키],INDEX(합계표[사번키],$W406),상세표[기록월],"&lt;&gt;"&amp;대상월키,상세표[반영월],대상월키))</f>
        <v/>
      </c>
      <c r="J406">
        <f>IF($W406="","",SUMIFS(상세표[기록 시간외],상세표[사번키],INDEX(합계표[사번키],$W406),상세표[반영월],대상월키))</f>
        <v/>
      </c>
      <c r="K406">
        <f>IF($W406="","",IFERROR(INDEX(월별근무지표[적용 급여병원],MATCH(INDEX(합계표[사번키],$W406)&amp;"|"&amp;대상월키,월별근무지표[키],0))&amp;"",IF(COUNTIF(기관표[사번키],INDEX(합계표[사번키],$W406))+COUNTIF(월별근무지표[사번키],INDEX(합계표[사번키],$W406))&gt;0,IFERROR(INDEX(기관표[급여지급병원(기준월)],MATCH(INDEX(합계표[사번키],$W406)&amp;"|"&amp;대상월키,기관표[키],0))&amp;"","—"),"—")))</f>
        <v/>
      </c>
      <c r="L406">
        <f>IF($W406="","",IF(NOT(COUNTIF(기관표[사번키],INDEX(합계표[사번키],$W406))+COUNTIF(월별근무지표[사번키],INDEX(합계표[사번키],$W406))&gt;0),"기관명단에 없음(다른 병원으로 발송)",IF($K406="—","대상월 기관명단 없음(추가 필요)",IF($K406="서울병원","해당","비해당"))))</f>
        <v/>
      </c>
      <c r="M406">
        <f>IF($W406="","",SUMIFS(상세표[06~07시],상세표[사번키],INDEX(합계표[사번키],$W406),상세표[반영월],대상월키,상세표[반영 기관],"서울병원"))</f>
        <v/>
      </c>
      <c r="N406">
        <f>IF($W406="","",SUMIFS(상세표[07~18시],상세표[사번키],INDEX(합계표[사번키],$W406),상세표[반영월],대상월키,상세표[반영 기관],"서울병원"))</f>
        <v/>
      </c>
      <c r="O406">
        <f>IF($W406="","",SUMIFS(상세표[18~22시],상세표[사번키],INDEX(합계표[사번키],$W406),상세표[반영월],대상월키,상세표[반영 기관],"서울병원"))</f>
        <v/>
      </c>
      <c r="P406">
        <f>IF($W406="","",SUMIFS(상세표[22~06시],상세표[사번키],INDEX(합계표[사번키],$W406),상세표[반영월],대상월키,상세표[반영 기관],"서울병원"))</f>
        <v/>
      </c>
      <c r="Q406">
        <f>IF($W406="","",SUM($M406:$P406))</f>
        <v/>
      </c>
      <c r="R406">
        <f>IF($W406="","",COUNTIFS(상세표[사번키],INDEX(합계표[사번키],$W406),상세표[반영월],대상월키,상세표[야간당직],1,상세표[야간 구분],"평일"))</f>
        <v/>
      </c>
      <c r="S406" s="4">
        <f>IF($W406="","",COUNTIFS(상세표[사번키],INDEX(합계표[사번키],$W406),상세표[반영월],대상월키,상세표[야간당직],1,상세표[야간 구분],"휴일"))</f>
        <v/>
      </c>
      <c r="T406">
        <f>IF($W406="","",COUNTIFS(상세표[사번키],INDEX(합계표[사번키],$W406),상세표[반영월],대상월키,상세표[야간당직],1,상세표[야간 구분],"평일",상세표[반영 기관],"서울병원"))</f>
        <v/>
      </c>
      <c r="U406">
        <f>IF($W406="","",COUNTIFS(상세표[사번키],INDEX(합계표[사번키],$W406),상세표[반영월],대상월키,상세표[야간당직],1,상세표[야간 구분],"휴일",상세표[반영 기관],"서울병원"))</f>
        <v/>
      </c>
      <c r="V406">
        <f>IF($W406="","",IF(ISNUMBER(MATCH(INDEX(합계표[사번키],$W406)&amp;"|"&amp;대상월키,월별근무지표[키],0)),"직접 입력",IF($K406="—","—","기관명단")))</f>
        <v/>
      </c>
      <c r="W406">
        <f>IFERROR(MATCH(401,합계표[판정순번],0),"")</f>
        <v/>
      </c>
    </row>
    <row r="407">
      <c r="A407">
        <f>IF($W407="","",INDEX(합계표[사번],$W407)&amp;"")</f>
        <v/>
      </c>
      <c r="B407">
        <f>IF($W407="","",INDEX(합계표[성명],$W407)&amp;"")</f>
        <v/>
      </c>
      <c r="C407">
        <f>IF($W407="","",INDEX(합계표[부서],$W407)&amp;"")</f>
        <v/>
      </c>
      <c r="D407">
        <f>IF($W407="","",INDEX(합계표[직위(통합)],$W407)&amp;"")</f>
        <v/>
      </c>
      <c r="E407">
        <f>IF($W407="","",SUMIFS(합계표[시스템 합계],합계표[사번키],INDEX(합계표[사번키],$W407)))</f>
        <v/>
      </c>
      <c r="F407">
        <f>IF($W407="","",SUMIFS(상세표[기록 시간외],상세표[사번키],INDEX(합계표[사번키],$W407),상세표[기록월],대상월키))</f>
        <v/>
      </c>
      <c r="G407">
        <f>IF($W407="","",IF(ABS($E407-$F407)&lt;0.01,"일치","불일치(차이 "&amp;TEXT($F407-$E407,"0.00")&amp;")"))</f>
        <v/>
      </c>
      <c r="H407">
        <f>IF($W407="","",SUMIFS(상세표[기록 시간외],상세표[사번키],INDEX(합계표[사번키],$W407),상세표[기록월],대상월키,상세표[반영월],"&lt;&gt;"&amp;대상월키))</f>
        <v/>
      </c>
      <c r="I407">
        <f>IF($W407="","",SUMIFS(상세표[기록 시간외],상세표[사번키],INDEX(합계표[사번키],$W407),상세표[기록월],"&lt;&gt;"&amp;대상월키,상세표[반영월],대상월키))</f>
        <v/>
      </c>
      <c r="J407">
        <f>IF($W407="","",SUMIFS(상세표[기록 시간외],상세표[사번키],INDEX(합계표[사번키],$W407),상세표[반영월],대상월키))</f>
        <v/>
      </c>
      <c r="K407">
        <f>IF($W407="","",IFERROR(INDEX(월별근무지표[적용 급여병원],MATCH(INDEX(합계표[사번키],$W407)&amp;"|"&amp;대상월키,월별근무지표[키],0))&amp;"",IF(COUNTIF(기관표[사번키],INDEX(합계표[사번키],$W407))+COUNTIF(월별근무지표[사번키],INDEX(합계표[사번키],$W407))&gt;0,IFERROR(INDEX(기관표[급여지급병원(기준월)],MATCH(INDEX(합계표[사번키],$W407)&amp;"|"&amp;대상월키,기관표[키],0))&amp;"","—"),"—")))</f>
        <v/>
      </c>
      <c r="L407">
        <f>IF($W407="","",IF(NOT(COUNTIF(기관표[사번키],INDEX(합계표[사번키],$W407))+COUNTIF(월별근무지표[사번키],INDEX(합계표[사번키],$W407))&gt;0),"기관명단에 없음(다른 병원으로 발송)",IF($K407="—","대상월 기관명단 없음(추가 필요)",IF($K407="서울병원","해당","비해당"))))</f>
        <v/>
      </c>
      <c r="M407">
        <f>IF($W407="","",SUMIFS(상세표[06~07시],상세표[사번키],INDEX(합계표[사번키],$W407),상세표[반영월],대상월키,상세표[반영 기관],"서울병원"))</f>
        <v/>
      </c>
      <c r="N407">
        <f>IF($W407="","",SUMIFS(상세표[07~18시],상세표[사번키],INDEX(합계표[사번키],$W407),상세표[반영월],대상월키,상세표[반영 기관],"서울병원"))</f>
        <v/>
      </c>
      <c r="O407">
        <f>IF($W407="","",SUMIFS(상세표[18~22시],상세표[사번키],INDEX(합계표[사번키],$W407),상세표[반영월],대상월키,상세표[반영 기관],"서울병원"))</f>
        <v/>
      </c>
      <c r="P407">
        <f>IF($W407="","",SUMIFS(상세표[22~06시],상세표[사번키],INDEX(합계표[사번키],$W407),상세표[반영월],대상월키,상세표[반영 기관],"서울병원"))</f>
        <v/>
      </c>
      <c r="Q407">
        <f>IF($W407="","",SUM($M407:$P407))</f>
        <v/>
      </c>
      <c r="R407">
        <f>IF($W407="","",COUNTIFS(상세표[사번키],INDEX(합계표[사번키],$W407),상세표[반영월],대상월키,상세표[야간당직],1,상세표[야간 구분],"평일"))</f>
        <v/>
      </c>
      <c r="S407" s="4">
        <f>IF($W407="","",COUNTIFS(상세표[사번키],INDEX(합계표[사번키],$W407),상세표[반영월],대상월키,상세표[야간당직],1,상세표[야간 구분],"휴일"))</f>
        <v/>
      </c>
      <c r="T407">
        <f>IF($W407="","",COUNTIFS(상세표[사번키],INDEX(합계표[사번키],$W407),상세표[반영월],대상월키,상세표[야간당직],1,상세표[야간 구분],"평일",상세표[반영 기관],"서울병원"))</f>
        <v/>
      </c>
      <c r="U407">
        <f>IF($W407="","",COUNTIFS(상세표[사번키],INDEX(합계표[사번키],$W407),상세표[반영월],대상월키,상세표[야간당직],1,상세표[야간 구분],"휴일",상세표[반영 기관],"서울병원"))</f>
        <v/>
      </c>
      <c r="V407">
        <f>IF($W407="","",IF(ISNUMBER(MATCH(INDEX(합계표[사번키],$W407)&amp;"|"&amp;대상월키,월별근무지표[키],0)),"직접 입력",IF($K407="—","—","기관명단")))</f>
        <v/>
      </c>
      <c r="W407">
        <f>IFERROR(MATCH(402,합계표[판정순번],0),"")</f>
        <v/>
      </c>
    </row>
    <row r="408">
      <c r="A408">
        <f>IF($W408="","",INDEX(합계표[사번],$W408)&amp;"")</f>
        <v/>
      </c>
      <c r="B408">
        <f>IF($W408="","",INDEX(합계표[성명],$W408)&amp;"")</f>
        <v/>
      </c>
      <c r="C408">
        <f>IF($W408="","",INDEX(합계표[부서],$W408)&amp;"")</f>
        <v/>
      </c>
      <c r="D408">
        <f>IF($W408="","",INDEX(합계표[직위(통합)],$W408)&amp;"")</f>
        <v/>
      </c>
      <c r="E408">
        <f>IF($W408="","",SUMIFS(합계표[시스템 합계],합계표[사번키],INDEX(합계표[사번키],$W408)))</f>
        <v/>
      </c>
      <c r="F408">
        <f>IF($W408="","",SUMIFS(상세표[기록 시간외],상세표[사번키],INDEX(합계표[사번키],$W408),상세표[기록월],대상월키))</f>
        <v/>
      </c>
      <c r="G408">
        <f>IF($W408="","",IF(ABS($E408-$F408)&lt;0.01,"일치","불일치(차이 "&amp;TEXT($F408-$E408,"0.00")&amp;")"))</f>
        <v/>
      </c>
      <c r="H408">
        <f>IF($W408="","",SUMIFS(상세표[기록 시간외],상세표[사번키],INDEX(합계표[사번키],$W408),상세표[기록월],대상월키,상세표[반영월],"&lt;&gt;"&amp;대상월키))</f>
        <v/>
      </c>
      <c r="I408">
        <f>IF($W408="","",SUMIFS(상세표[기록 시간외],상세표[사번키],INDEX(합계표[사번키],$W408),상세표[기록월],"&lt;&gt;"&amp;대상월키,상세표[반영월],대상월키))</f>
        <v/>
      </c>
      <c r="J408">
        <f>IF($W408="","",SUMIFS(상세표[기록 시간외],상세표[사번키],INDEX(합계표[사번키],$W408),상세표[반영월],대상월키))</f>
        <v/>
      </c>
      <c r="K408">
        <f>IF($W408="","",IFERROR(INDEX(월별근무지표[적용 급여병원],MATCH(INDEX(합계표[사번키],$W408)&amp;"|"&amp;대상월키,월별근무지표[키],0))&amp;"",IF(COUNTIF(기관표[사번키],INDEX(합계표[사번키],$W408))+COUNTIF(월별근무지표[사번키],INDEX(합계표[사번키],$W408))&gt;0,IFERROR(INDEX(기관표[급여지급병원(기준월)],MATCH(INDEX(합계표[사번키],$W408)&amp;"|"&amp;대상월키,기관표[키],0))&amp;"","—"),"—")))</f>
        <v/>
      </c>
      <c r="L408">
        <f>IF($W408="","",IF(NOT(COUNTIF(기관표[사번키],INDEX(합계표[사번키],$W408))+COUNTIF(월별근무지표[사번키],INDEX(합계표[사번키],$W408))&gt;0),"기관명단에 없음(다른 병원으로 발송)",IF($K408="—","대상월 기관명단 없음(추가 필요)",IF($K408="서울병원","해당","비해당"))))</f>
        <v/>
      </c>
      <c r="M408">
        <f>IF($W408="","",SUMIFS(상세표[06~07시],상세표[사번키],INDEX(합계표[사번키],$W408),상세표[반영월],대상월키,상세표[반영 기관],"서울병원"))</f>
        <v/>
      </c>
      <c r="N408">
        <f>IF($W408="","",SUMIFS(상세표[07~18시],상세표[사번키],INDEX(합계표[사번키],$W408),상세표[반영월],대상월키,상세표[반영 기관],"서울병원"))</f>
        <v/>
      </c>
      <c r="O408">
        <f>IF($W408="","",SUMIFS(상세표[18~22시],상세표[사번키],INDEX(합계표[사번키],$W408),상세표[반영월],대상월키,상세표[반영 기관],"서울병원"))</f>
        <v/>
      </c>
      <c r="P408">
        <f>IF($W408="","",SUMIFS(상세표[22~06시],상세표[사번키],INDEX(합계표[사번키],$W408),상세표[반영월],대상월키,상세표[반영 기관],"서울병원"))</f>
        <v/>
      </c>
      <c r="Q408">
        <f>IF($W408="","",SUM($M408:$P408))</f>
        <v/>
      </c>
      <c r="R408">
        <f>IF($W408="","",COUNTIFS(상세표[사번키],INDEX(합계표[사번키],$W408),상세표[반영월],대상월키,상세표[야간당직],1,상세표[야간 구분],"평일"))</f>
        <v/>
      </c>
      <c r="S408" s="4">
        <f>IF($W408="","",COUNTIFS(상세표[사번키],INDEX(합계표[사번키],$W408),상세표[반영월],대상월키,상세표[야간당직],1,상세표[야간 구분],"휴일"))</f>
        <v/>
      </c>
      <c r="T408">
        <f>IF($W408="","",COUNTIFS(상세표[사번키],INDEX(합계표[사번키],$W408),상세표[반영월],대상월키,상세표[야간당직],1,상세표[야간 구분],"평일",상세표[반영 기관],"서울병원"))</f>
        <v/>
      </c>
      <c r="U408">
        <f>IF($W408="","",COUNTIFS(상세표[사번키],INDEX(합계표[사번키],$W408),상세표[반영월],대상월키,상세표[야간당직],1,상세표[야간 구분],"휴일",상세표[반영 기관],"서울병원"))</f>
        <v/>
      </c>
      <c r="V408">
        <f>IF($W408="","",IF(ISNUMBER(MATCH(INDEX(합계표[사번키],$W408)&amp;"|"&amp;대상월키,월별근무지표[키],0)),"직접 입력",IF($K408="—","—","기관명단")))</f>
        <v/>
      </c>
      <c r="W408">
        <f>IFERROR(MATCH(403,합계표[판정순번],0),"")</f>
        <v/>
      </c>
    </row>
    <row r="409">
      <c r="A409">
        <f>IF($W409="","",INDEX(합계표[사번],$W409)&amp;"")</f>
        <v/>
      </c>
      <c r="B409">
        <f>IF($W409="","",INDEX(합계표[성명],$W409)&amp;"")</f>
        <v/>
      </c>
      <c r="C409">
        <f>IF($W409="","",INDEX(합계표[부서],$W409)&amp;"")</f>
        <v/>
      </c>
      <c r="D409">
        <f>IF($W409="","",INDEX(합계표[직위(통합)],$W409)&amp;"")</f>
        <v/>
      </c>
      <c r="E409">
        <f>IF($W409="","",SUMIFS(합계표[시스템 합계],합계표[사번키],INDEX(합계표[사번키],$W409)))</f>
        <v/>
      </c>
      <c r="F409">
        <f>IF($W409="","",SUMIFS(상세표[기록 시간외],상세표[사번키],INDEX(합계표[사번키],$W409),상세표[기록월],대상월키))</f>
        <v/>
      </c>
      <c r="G409">
        <f>IF($W409="","",IF(ABS($E409-$F409)&lt;0.01,"일치","불일치(차이 "&amp;TEXT($F409-$E409,"0.00")&amp;")"))</f>
        <v/>
      </c>
      <c r="H409">
        <f>IF($W409="","",SUMIFS(상세표[기록 시간외],상세표[사번키],INDEX(합계표[사번키],$W409),상세표[기록월],대상월키,상세표[반영월],"&lt;&gt;"&amp;대상월키))</f>
        <v/>
      </c>
      <c r="I409">
        <f>IF($W409="","",SUMIFS(상세표[기록 시간외],상세표[사번키],INDEX(합계표[사번키],$W409),상세표[기록월],"&lt;&gt;"&amp;대상월키,상세표[반영월],대상월키))</f>
        <v/>
      </c>
      <c r="J409">
        <f>IF($W409="","",SUMIFS(상세표[기록 시간외],상세표[사번키],INDEX(합계표[사번키],$W409),상세표[반영월],대상월키))</f>
        <v/>
      </c>
      <c r="K409">
        <f>IF($W409="","",IFERROR(INDEX(월별근무지표[적용 급여병원],MATCH(INDEX(합계표[사번키],$W409)&amp;"|"&amp;대상월키,월별근무지표[키],0))&amp;"",IF(COUNTIF(기관표[사번키],INDEX(합계표[사번키],$W409))+COUNTIF(월별근무지표[사번키],INDEX(합계표[사번키],$W409))&gt;0,IFERROR(INDEX(기관표[급여지급병원(기준월)],MATCH(INDEX(합계표[사번키],$W409)&amp;"|"&amp;대상월키,기관표[키],0))&amp;"","—"),"—")))</f>
        <v/>
      </c>
      <c r="L409">
        <f>IF($W409="","",IF(NOT(COUNTIF(기관표[사번키],INDEX(합계표[사번키],$W409))+COUNTIF(월별근무지표[사번키],INDEX(합계표[사번키],$W409))&gt;0),"기관명단에 없음(다른 병원으로 발송)",IF($K409="—","대상월 기관명단 없음(추가 필요)",IF($K409="서울병원","해당","비해당"))))</f>
        <v/>
      </c>
      <c r="M409">
        <f>IF($W409="","",SUMIFS(상세표[06~07시],상세표[사번키],INDEX(합계표[사번키],$W409),상세표[반영월],대상월키,상세표[반영 기관],"서울병원"))</f>
        <v/>
      </c>
      <c r="N409">
        <f>IF($W409="","",SUMIFS(상세표[07~18시],상세표[사번키],INDEX(합계표[사번키],$W409),상세표[반영월],대상월키,상세표[반영 기관],"서울병원"))</f>
        <v/>
      </c>
      <c r="O409">
        <f>IF($W409="","",SUMIFS(상세표[18~22시],상세표[사번키],INDEX(합계표[사번키],$W409),상세표[반영월],대상월키,상세표[반영 기관],"서울병원"))</f>
        <v/>
      </c>
      <c r="P409">
        <f>IF($W409="","",SUMIFS(상세표[22~06시],상세표[사번키],INDEX(합계표[사번키],$W409),상세표[반영월],대상월키,상세표[반영 기관],"서울병원"))</f>
        <v/>
      </c>
      <c r="Q409">
        <f>IF($W409="","",SUM($M409:$P409))</f>
        <v/>
      </c>
      <c r="R409">
        <f>IF($W409="","",COUNTIFS(상세표[사번키],INDEX(합계표[사번키],$W409),상세표[반영월],대상월키,상세표[야간당직],1,상세표[야간 구분],"평일"))</f>
        <v/>
      </c>
      <c r="S409" s="4">
        <f>IF($W409="","",COUNTIFS(상세표[사번키],INDEX(합계표[사번키],$W409),상세표[반영월],대상월키,상세표[야간당직],1,상세표[야간 구분],"휴일"))</f>
        <v/>
      </c>
      <c r="T409">
        <f>IF($W409="","",COUNTIFS(상세표[사번키],INDEX(합계표[사번키],$W409),상세표[반영월],대상월키,상세표[야간당직],1,상세표[야간 구분],"평일",상세표[반영 기관],"서울병원"))</f>
        <v/>
      </c>
      <c r="U409">
        <f>IF($W409="","",COUNTIFS(상세표[사번키],INDEX(합계표[사번키],$W409),상세표[반영월],대상월키,상세표[야간당직],1,상세표[야간 구분],"휴일",상세표[반영 기관],"서울병원"))</f>
        <v/>
      </c>
      <c r="V409">
        <f>IF($W409="","",IF(ISNUMBER(MATCH(INDEX(합계표[사번키],$W409)&amp;"|"&amp;대상월키,월별근무지표[키],0)),"직접 입력",IF($K409="—","—","기관명단")))</f>
        <v/>
      </c>
      <c r="W409">
        <f>IFERROR(MATCH(404,합계표[판정순번],0),"")</f>
        <v/>
      </c>
    </row>
    <row r="410">
      <c r="A410">
        <f>IF($W410="","",INDEX(합계표[사번],$W410)&amp;"")</f>
        <v/>
      </c>
      <c r="B410">
        <f>IF($W410="","",INDEX(합계표[성명],$W410)&amp;"")</f>
        <v/>
      </c>
      <c r="C410">
        <f>IF($W410="","",INDEX(합계표[부서],$W410)&amp;"")</f>
        <v/>
      </c>
      <c r="D410">
        <f>IF($W410="","",INDEX(합계표[직위(통합)],$W410)&amp;"")</f>
        <v/>
      </c>
      <c r="E410">
        <f>IF($W410="","",SUMIFS(합계표[시스템 합계],합계표[사번키],INDEX(합계표[사번키],$W410)))</f>
        <v/>
      </c>
      <c r="F410">
        <f>IF($W410="","",SUMIFS(상세표[기록 시간외],상세표[사번키],INDEX(합계표[사번키],$W410),상세표[기록월],대상월키))</f>
        <v/>
      </c>
      <c r="G410">
        <f>IF($W410="","",IF(ABS($E410-$F410)&lt;0.01,"일치","불일치(차이 "&amp;TEXT($F410-$E410,"0.00")&amp;")"))</f>
        <v/>
      </c>
      <c r="H410">
        <f>IF($W410="","",SUMIFS(상세표[기록 시간외],상세표[사번키],INDEX(합계표[사번키],$W410),상세표[기록월],대상월키,상세표[반영월],"&lt;&gt;"&amp;대상월키))</f>
        <v/>
      </c>
      <c r="I410">
        <f>IF($W410="","",SUMIFS(상세표[기록 시간외],상세표[사번키],INDEX(합계표[사번키],$W410),상세표[기록월],"&lt;&gt;"&amp;대상월키,상세표[반영월],대상월키))</f>
        <v/>
      </c>
      <c r="J410">
        <f>IF($W410="","",SUMIFS(상세표[기록 시간외],상세표[사번키],INDEX(합계표[사번키],$W410),상세표[반영월],대상월키))</f>
        <v/>
      </c>
      <c r="K410">
        <f>IF($W410="","",IFERROR(INDEX(월별근무지표[적용 급여병원],MATCH(INDEX(합계표[사번키],$W410)&amp;"|"&amp;대상월키,월별근무지표[키],0))&amp;"",IF(COUNTIF(기관표[사번키],INDEX(합계표[사번키],$W410))+COUNTIF(월별근무지표[사번키],INDEX(합계표[사번키],$W410))&gt;0,IFERROR(INDEX(기관표[급여지급병원(기준월)],MATCH(INDEX(합계표[사번키],$W410)&amp;"|"&amp;대상월키,기관표[키],0))&amp;"","—"),"—")))</f>
        <v/>
      </c>
      <c r="L410">
        <f>IF($W410="","",IF(NOT(COUNTIF(기관표[사번키],INDEX(합계표[사번키],$W410))+COUNTIF(월별근무지표[사번키],INDEX(합계표[사번키],$W410))&gt;0),"기관명단에 없음(다른 병원으로 발송)",IF($K410="—","대상월 기관명단 없음(추가 필요)",IF($K410="서울병원","해당","비해당"))))</f>
        <v/>
      </c>
      <c r="M410">
        <f>IF($W410="","",SUMIFS(상세표[06~07시],상세표[사번키],INDEX(합계표[사번키],$W410),상세표[반영월],대상월키,상세표[반영 기관],"서울병원"))</f>
        <v/>
      </c>
      <c r="N410">
        <f>IF($W410="","",SUMIFS(상세표[07~18시],상세표[사번키],INDEX(합계표[사번키],$W410),상세표[반영월],대상월키,상세표[반영 기관],"서울병원"))</f>
        <v/>
      </c>
      <c r="O410">
        <f>IF($W410="","",SUMIFS(상세표[18~22시],상세표[사번키],INDEX(합계표[사번키],$W410),상세표[반영월],대상월키,상세표[반영 기관],"서울병원"))</f>
        <v/>
      </c>
      <c r="P410">
        <f>IF($W410="","",SUMIFS(상세표[22~06시],상세표[사번키],INDEX(합계표[사번키],$W410),상세표[반영월],대상월키,상세표[반영 기관],"서울병원"))</f>
        <v/>
      </c>
      <c r="Q410">
        <f>IF($W410="","",SUM($M410:$P410))</f>
        <v/>
      </c>
      <c r="R410">
        <f>IF($W410="","",COUNTIFS(상세표[사번키],INDEX(합계표[사번키],$W410),상세표[반영월],대상월키,상세표[야간당직],1,상세표[야간 구분],"평일"))</f>
        <v/>
      </c>
      <c r="S410" s="4">
        <f>IF($W410="","",COUNTIFS(상세표[사번키],INDEX(합계표[사번키],$W410),상세표[반영월],대상월키,상세표[야간당직],1,상세표[야간 구분],"휴일"))</f>
        <v/>
      </c>
      <c r="T410">
        <f>IF($W410="","",COUNTIFS(상세표[사번키],INDEX(합계표[사번키],$W410),상세표[반영월],대상월키,상세표[야간당직],1,상세표[야간 구분],"평일",상세표[반영 기관],"서울병원"))</f>
        <v/>
      </c>
      <c r="U410">
        <f>IF($W410="","",COUNTIFS(상세표[사번키],INDEX(합계표[사번키],$W410),상세표[반영월],대상월키,상세표[야간당직],1,상세표[야간 구분],"휴일",상세표[반영 기관],"서울병원"))</f>
        <v/>
      </c>
      <c r="V410">
        <f>IF($W410="","",IF(ISNUMBER(MATCH(INDEX(합계표[사번키],$W410)&amp;"|"&amp;대상월키,월별근무지표[키],0)),"직접 입력",IF($K410="—","—","기관명단")))</f>
        <v/>
      </c>
      <c r="W410">
        <f>IFERROR(MATCH(405,합계표[판정순번],0),"")</f>
        <v/>
      </c>
    </row>
    <row r="411">
      <c r="A411">
        <f>IF($W411="","",INDEX(합계표[사번],$W411)&amp;"")</f>
        <v/>
      </c>
      <c r="B411">
        <f>IF($W411="","",INDEX(합계표[성명],$W411)&amp;"")</f>
        <v/>
      </c>
      <c r="C411">
        <f>IF($W411="","",INDEX(합계표[부서],$W411)&amp;"")</f>
        <v/>
      </c>
      <c r="D411">
        <f>IF($W411="","",INDEX(합계표[직위(통합)],$W411)&amp;"")</f>
        <v/>
      </c>
      <c r="E411">
        <f>IF($W411="","",SUMIFS(합계표[시스템 합계],합계표[사번키],INDEX(합계표[사번키],$W411)))</f>
        <v/>
      </c>
      <c r="F411">
        <f>IF($W411="","",SUMIFS(상세표[기록 시간외],상세표[사번키],INDEX(합계표[사번키],$W411),상세표[기록월],대상월키))</f>
        <v/>
      </c>
      <c r="G411">
        <f>IF($W411="","",IF(ABS($E411-$F411)&lt;0.01,"일치","불일치(차이 "&amp;TEXT($F411-$E411,"0.00")&amp;")"))</f>
        <v/>
      </c>
      <c r="H411">
        <f>IF($W411="","",SUMIFS(상세표[기록 시간외],상세표[사번키],INDEX(합계표[사번키],$W411),상세표[기록월],대상월키,상세표[반영월],"&lt;&gt;"&amp;대상월키))</f>
        <v/>
      </c>
      <c r="I411">
        <f>IF($W411="","",SUMIFS(상세표[기록 시간외],상세표[사번키],INDEX(합계표[사번키],$W411),상세표[기록월],"&lt;&gt;"&amp;대상월키,상세표[반영월],대상월키))</f>
        <v/>
      </c>
      <c r="J411">
        <f>IF($W411="","",SUMIFS(상세표[기록 시간외],상세표[사번키],INDEX(합계표[사번키],$W411),상세표[반영월],대상월키))</f>
        <v/>
      </c>
      <c r="K411">
        <f>IF($W411="","",IFERROR(INDEX(월별근무지표[적용 급여병원],MATCH(INDEX(합계표[사번키],$W411)&amp;"|"&amp;대상월키,월별근무지표[키],0))&amp;"",IF(COUNTIF(기관표[사번키],INDEX(합계표[사번키],$W411))+COUNTIF(월별근무지표[사번키],INDEX(합계표[사번키],$W411))&gt;0,IFERROR(INDEX(기관표[급여지급병원(기준월)],MATCH(INDEX(합계표[사번키],$W411)&amp;"|"&amp;대상월키,기관표[키],0))&amp;"","—"),"—")))</f>
        <v/>
      </c>
      <c r="L411">
        <f>IF($W411="","",IF(NOT(COUNTIF(기관표[사번키],INDEX(합계표[사번키],$W411))+COUNTIF(월별근무지표[사번키],INDEX(합계표[사번키],$W411))&gt;0),"기관명단에 없음(다른 병원으로 발송)",IF($K411="—","대상월 기관명단 없음(추가 필요)",IF($K411="서울병원","해당","비해당"))))</f>
        <v/>
      </c>
      <c r="M411">
        <f>IF($W411="","",SUMIFS(상세표[06~07시],상세표[사번키],INDEX(합계표[사번키],$W411),상세표[반영월],대상월키,상세표[반영 기관],"서울병원"))</f>
        <v/>
      </c>
      <c r="N411">
        <f>IF($W411="","",SUMIFS(상세표[07~18시],상세표[사번키],INDEX(합계표[사번키],$W411),상세표[반영월],대상월키,상세표[반영 기관],"서울병원"))</f>
        <v/>
      </c>
      <c r="O411">
        <f>IF($W411="","",SUMIFS(상세표[18~22시],상세표[사번키],INDEX(합계표[사번키],$W411),상세표[반영월],대상월키,상세표[반영 기관],"서울병원"))</f>
        <v/>
      </c>
      <c r="P411">
        <f>IF($W411="","",SUMIFS(상세표[22~06시],상세표[사번키],INDEX(합계표[사번키],$W411),상세표[반영월],대상월키,상세표[반영 기관],"서울병원"))</f>
        <v/>
      </c>
      <c r="Q411">
        <f>IF($W411="","",SUM($M411:$P411))</f>
        <v/>
      </c>
      <c r="R411">
        <f>IF($W411="","",COUNTIFS(상세표[사번키],INDEX(합계표[사번키],$W411),상세표[반영월],대상월키,상세표[야간당직],1,상세표[야간 구분],"평일"))</f>
        <v/>
      </c>
      <c r="S411" s="4">
        <f>IF($W411="","",COUNTIFS(상세표[사번키],INDEX(합계표[사번키],$W411),상세표[반영월],대상월키,상세표[야간당직],1,상세표[야간 구분],"휴일"))</f>
        <v/>
      </c>
      <c r="T411">
        <f>IF($W411="","",COUNTIFS(상세표[사번키],INDEX(합계표[사번키],$W411),상세표[반영월],대상월키,상세표[야간당직],1,상세표[야간 구분],"평일",상세표[반영 기관],"서울병원"))</f>
        <v/>
      </c>
      <c r="U411">
        <f>IF($W411="","",COUNTIFS(상세표[사번키],INDEX(합계표[사번키],$W411),상세표[반영월],대상월키,상세표[야간당직],1,상세표[야간 구분],"휴일",상세표[반영 기관],"서울병원"))</f>
        <v/>
      </c>
      <c r="V411">
        <f>IF($W411="","",IF(ISNUMBER(MATCH(INDEX(합계표[사번키],$W411)&amp;"|"&amp;대상월키,월별근무지표[키],0)),"직접 입력",IF($K411="—","—","기관명단")))</f>
        <v/>
      </c>
      <c r="W411">
        <f>IFERROR(MATCH(406,합계표[판정순번],0),"")</f>
        <v/>
      </c>
    </row>
    <row r="412">
      <c r="A412">
        <f>IF($W412="","",INDEX(합계표[사번],$W412)&amp;"")</f>
        <v/>
      </c>
      <c r="B412">
        <f>IF($W412="","",INDEX(합계표[성명],$W412)&amp;"")</f>
        <v/>
      </c>
      <c r="C412">
        <f>IF($W412="","",INDEX(합계표[부서],$W412)&amp;"")</f>
        <v/>
      </c>
      <c r="D412">
        <f>IF($W412="","",INDEX(합계표[직위(통합)],$W412)&amp;"")</f>
        <v/>
      </c>
      <c r="E412">
        <f>IF($W412="","",SUMIFS(합계표[시스템 합계],합계표[사번키],INDEX(합계표[사번키],$W412)))</f>
        <v/>
      </c>
      <c r="F412">
        <f>IF($W412="","",SUMIFS(상세표[기록 시간외],상세표[사번키],INDEX(합계표[사번키],$W412),상세표[기록월],대상월키))</f>
        <v/>
      </c>
      <c r="G412">
        <f>IF($W412="","",IF(ABS($E412-$F412)&lt;0.01,"일치","불일치(차이 "&amp;TEXT($F412-$E412,"0.00")&amp;")"))</f>
        <v/>
      </c>
      <c r="H412">
        <f>IF($W412="","",SUMIFS(상세표[기록 시간외],상세표[사번키],INDEX(합계표[사번키],$W412),상세표[기록월],대상월키,상세표[반영월],"&lt;&gt;"&amp;대상월키))</f>
        <v/>
      </c>
      <c r="I412">
        <f>IF($W412="","",SUMIFS(상세표[기록 시간외],상세표[사번키],INDEX(합계표[사번키],$W412),상세표[기록월],"&lt;&gt;"&amp;대상월키,상세표[반영월],대상월키))</f>
        <v/>
      </c>
      <c r="J412">
        <f>IF($W412="","",SUMIFS(상세표[기록 시간외],상세표[사번키],INDEX(합계표[사번키],$W412),상세표[반영월],대상월키))</f>
        <v/>
      </c>
      <c r="K412">
        <f>IF($W412="","",IFERROR(INDEX(월별근무지표[적용 급여병원],MATCH(INDEX(합계표[사번키],$W412)&amp;"|"&amp;대상월키,월별근무지표[키],0))&amp;"",IF(COUNTIF(기관표[사번키],INDEX(합계표[사번키],$W412))+COUNTIF(월별근무지표[사번키],INDEX(합계표[사번키],$W412))&gt;0,IFERROR(INDEX(기관표[급여지급병원(기준월)],MATCH(INDEX(합계표[사번키],$W412)&amp;"|"&amp;대상월키,기관표[키],0))&amp;"","—"),"—")))</f>
        <v/>
      </c>
      <c r="L412">
        <f>IF($W412="","",IF(NOT(COUNTIF(기관표[사번키],INDEX(합계표[사번키],$W412))+COUNTIF(월별근무지표[사번키],INDEX(합계표[사번키],$W412))&gt;0),"기관명단에 없음(다른 병원으로 발송)",IF($K412="—","대상월 기관명단 없음(추가 필요)",IF($K412="서울병원","해당","비해당"))))</f>
        <v/>
      </c>
      <c r="M412">
        <f>IF($W412="","",SUMIFS(상세표[06~07시],상세표[사번키],INDEX(합계표[사번키],$W412),상세표[반영월],대상월키,상세표[반영 기관],"서울병원"))</f>
        <v/>
      </c>
      <c r="N412">
        <f>IF($W412="","",SUMIFS(상세표[07~18시],상세표[사번키],INDEX(합계표[사번키],$W412),상세표[반영월],대상월키,상세표[반영 기관],"서울병원"))</f>
        <v/>
      </c>
      <c r="O412">
        <f>IF($W412="","",SUMIFS(상세표[18~22시],상세표[사번키],INDEX(합계표[사번키],$W412),상세표[반영월],대상월키,상세표[반영 기관],"서울병원"))</f>
        <v/>
      </c>
      <c r="P412">
        <f>IF($W412="","",SUMIFS(상세표[22~06시],상세표[사번키],INDEX(합계표[사번키],$W412),상세표[반영월],대상월키,상세표[반영 기관],"서울병원"))</f>
        <v/>
      </c>
      <c r="Q412">
        <f>IF($W412="","",SUM($M412:$P412))</f>
        <v/>
      </c>
      <c r="R412">
        <f>IF($W412="","",COUNTIFS(상세표[사번키],INDEX(합계표[사번키],$W412),상세표[반영월],대상월키,상세표[야간당직],1,상세표[야간 구분],"평일"))</f>
        <v/>
      </c>
      <c r="S412" s="4">
        <f>IF($W412="","",COUNTIFS(상세표[사번키],INDEX(합계표[사번키],$W412),상세표[반영월],대상월키,상세표[야간당직],1,상세표[야간 구분],"휴일"))</f>
        <v/>
      </c>
      <c r="T412">
        <f>IF($W412="","",COUNTIFS(상세표[사번키],INDEX(합계표[사번키],$W412),상세표[반영월],대상월키,상세표[야간당직],1,상세표[야간 구분],"평일",상세표[반영 기관],"서울병원"))</f>
        <v/>
      </c>
      <c r="U412">
        <f>IF($W412="","",COUNTIFS(상세표[사번키],INDEX(합계표[사번키],$W412),상세표[반영월],대상월키,상세표[야간당직],1,상세표[야간 구분],"휴일",상세표[반영 기관],"서울병원"))</f>
        <v/>
      </c>
      <c r="V412">
        <f>IF($W412="","",IF(ISNUMBER(MATCH(INDEX(합계표[사번키],$W412)&amp;"|"&amp;대상월키,월별근무지표[키],0)),"직접 입력",IF($K412="—","—","기관명단")))</f>
        <v/>
      </c>
      <c r="W412">
        <f>IFERROR(MATCH(407,합계표[판정순번],0),"")</f>
        <v/>
      </c>
    </row>
    <row r="413">
      <c r="A413">
        <f>IF($W413="","",INDEX(합계표[사번],$W413)&amp;"")</f>
        <v/>
      </c>
      <c r="B413">
        <f>IF($W413="","",INDEX(합계표[성명],$W413)&amp;"")</f>
        <v/>
      </c>
      <c r="C413">
        <f>IF($W413="","",INDEX(합계표[부서],$W413)&amp;"")</f>
        <v/>
      </c>
      <c r="D413">
        <f>IF($W413="","",INDEX(합계표[직위(통합)],$W413)&amp;"")</f>
        <v/>
      </c>
      <c r="E413">
        <f>IF($W413="","",SUMIFS(합계표[시스템 합계],합계표[사번키],INDEX(합계표[사번키],$W413)))</f>
        <v/>
      </c>
      <c r="F413">
        <f>IF($W413="","",SUMIFS(상세표[기록 시간외],상세표[사번키],INDEX(합계표[사번키],$W413),상세표[기록월],대상월키))</f>
        <v/>
      </c>
      <c r="G413">
        <f>IF($W413="","",IF(ABS($E413-$F413)&lt;0.01,"일치","불일치(차이 "&amp;TEXT($F413-$E413,"0.00")&amp;")"))</f>
        <v/>
      </c>
      <c r="H413">
        <f>IF($W413="","",SUMIFS(상세표[기록 시간외],상세표[사번키],INDEX(합계표[사번키],$W413),상세표[기록월],대상월키,상세표[반영월],"&lt;&gt;"&amp;대상월키))</f>
        <v/>
      </c>
      <c r="I413">
        <f>IF($W413="","",SUMIFS(상세표[기록 시간외],상세표[사번키],INDEX(합계표[사번키],$W413),상세표[기록월],"&lt;&gt;"&amp;대상월키,상세표[반영월],대상월키))</f>
        <v/>
      </c>
      <c r="J413">
        <f>IF($W413="","",SUMIFS(상세표[기록 시간외],상세표[사번키],INDEX(합계표[사번키],$W413),상세표[반영월],대상월키))</f>
        <v/>
      </c>
      <c r="K413">
        <f>IF($W413="","",IFERROR(INDEX(월별근무지표[적용 급여병원],MATCH(INDEX(합계표[사번키],$W413)&amp;"|"&amp;대상월키,월별근무지표[키],0))&amp;"",IF(COUNTIF(기관표[사번키],INDEX(합계표[사번키],$W413))+COUNTIF(월별근무지표[사번키],INDEX(합계표[사번키],$W413))&gt;0,IFERROR(INDEX(기관표[급여지급병원(기준월)],MATCH(INDEX(합계표[사번키],$W413)&amp;"|"&amp;대상월키,기관표[키],0))&amp;"","—"),"—")))</f>
        <v/>
      </c>
      <c r="L413">
        <f>IF($W413="","",IF(NOT(COUNTIF(기관표[사번키],INDEX(합계표[사번키],$W413))+COUNTIF(월별근무지표[사번키],INDEX(합계표[사번키],$W413))&gt;0),"기관명단에 없음(다른 병원으로 발송)",IF($K413="—","대상월 기관명단 없음(추가 필요)",IF($K413="서울병원","해당","비해당"))))</f>
        <v/>
      </c>
      <c r="M413">
        <f>IF($W413="","",SUMIFS(상세표[06~07시],상세표[사번키],INDEX(합계표[사번키],$W413),상세표[반영월],대상월키,상세표[반영 기관],"서울병원"))</f>
        <v/>
      </c>
      <c r="N413">
        <f>IF($W413="","",SUMIFS(상세표[07~18시],상세표[사번키],INDEX(합계표[사번키],$W413),상세표[반영월],대상월키,상세표[반영 기관],"서울병원"))</f>
        <v/>
      </c>
      <c r="O413">
        <f>IF($W413="","",SUMIFS(상세표[18~22시],상세표[사번키],INDEX(합계표[사번키],$W413),상세표[반영월],대상월키,상세표[반영 기관],"서울병원"))</f>
        <v/>
      </c>
      <c r="P413">
        <f>IF($W413="","",SUMIFS(상세표[22~06시],상세표[사번키],INDEX(합계표[사번키],$W413),상세표[반영월],대상월키,상세표[반영 기관],"서울병원"))</f>
        <v/>
      </c>
      <c r="Q413">
        <f>IF($W413="","",SUM($M413:$P413))</f>
        <v/>
      </c>
      <c r="R413">
        <f>IF($W413="","",COUNTIFS(상세표[사번키],INDEX(합계표[사번키],$W413),상세표[반영월],대상월키,상세표[야간당직],1,상세표[야간 구분],"평일"))</f>
        <v/>
      </c>
      <c r="S413" s="4">
        <f>IF($W413="","",COUNTIFS(상세표[사번키],INDEX(합계표[사번키],$W413),상세표[반영월],대상월키,상세표[야간당직],1,상세표[야간 구분],"휴일"))</f>
        <v/>
      </c>
      <c r="T413">
        <f>IF($W413="","",COUNTIFS(상세표[사번키],INDEX(합계표[사번키],$W413),상세표[반영월],대상월키,상세표[야간당직],1,상세표[야간 구분],"평일",상세표[반영 기관],"서울병원"))</f>
        <v/>
      </c>
      <c r="U413">
        <f>IF($W413="","",COUNTIFS(상세표[사번키],INDEX(합계표[사번키],$W413),상세표[반영월],대상월키,상세표[야간당직],1,상세표[야간 구분],"휴일",상세표[반영 기관],"서울병원"))</f>
        <v/>
      </c>
      <c r="V413">
        <f>IF($W413="","",IF(ISNUMBER(MATCH(INDEX(합계표[사번키],$W413)&amp;"|"&amp;대상월키,월별근무지표[키],0)),"직접 입력",IF($K413="—","—","기관명단")))</f>
        <v/>
      </c>
      <c r="W413">
        <f>IFERROR(MATCH(408,합계표[판정순번],0),"")</f>
        <v/>
      </c>
    </row>
    <row r="414">
      <c r="A414">
        <f>IF($W414="","",INDEX(합계표[사번],$W414)&amp;"")</f>
        <v/>
      </c>
      <c r="B414">
        <f>IF($W414="","",INDEX(합계표[성명],$W414)&amp;"")</f>
        <v/>
      </c>
      <c r="C414">
        <f>IF($W414="","",INDEX(합계표[부서],$W414)&amp;"")</f>
        <v/>
      </c>
      <c r="D414">
        <f>IF($W414="","",INDEX(합계표[직위(통합)],$W414)&amp;"")</f>
        <v/>
      </c>
      <c r="E414">
        <f>IF($W414="","",SUMIFS(합계표[시스템 합계],합계표[사번키],INDEX(합계표[사번키],$W414)))</f>
        <v/>
      </c>
      <c r="F414">
        <f>IF($W414="","",SUMIFS(상세표[기록 시간외],상세표[사번키],INDEX(합계표[사번키],$W414),상세표[기록월],대상월키))</f>
        <v/>
      </c>
      <c r="G414">
        <f>IF($W414="","",IF(ABS($E414-$F414)&lt;0.01,"일치","불일치(차이 "&amp;TEXT($F414-$E414,"0.00")&amp;")"))</f>
        <v/>
      </c>
      <c r="H414">
        <f>IF($W414="","",SUMIFS(상세표[기록 시간외],상세표[사번키],INDEX(합계표[사번키],$W414),상세표[기록월],대상월키,상세표[반영월],"&lt;&gt;"&amp;대상월키))</f>
        <v/>
      </c>
      <c r="I414">
        <f>IF($W414="","",SUMIFS(상세표[기록 시간외],상세표[사번키],INDEX(합계표[사번키],$W414),상세표[기록월],"&lt;&gt;"&amp;대상월키,상세표[반영월],대상월키))</f>
        <v/>
      </c>
      <c r="J414">
        <f>IF($W414="","",SUMIFS(상세표[기록 시간외],상세표[사번키],INDEX(합계표[사번키],$W414),상세표[반영월],대상월키))</f>
        <v/>
      </c>
      <c r="K414">
        <f>IF($W414="","",IFERROR(INDEX(월별근무지표[적용 급여병원],MATCH(INDEX(합계표[사번키],$W414)&amp;"|"&amp;대상월키,월별근무지표[키],0))&amp;"",IF(COUNTIF(기관표[사번키],INDEX(합계표[사번키],$W414))+COUNTIF(월별근무지표[사번키],INDEX(합계표[사번키],$W414))&gt;0,IFERROR(INDEX(기관표[급여지급병원(기준월)],MATCH(INDEX(합계표[사번키],$W414)&amp;"|"&amp;대상월키,기관표[키],0))&amp;"","—"),"—")))</f>
        <v/>
      </c>
      <c r="L414">
        <f>IF($W414="","",IF(NOT(COUNTIF(기관표[사번키],INDEX(합계표[사번키],$W414))+COUNTIF(월별근무지표[사번키],INDEX(합계표[사번키],$W414))&gt;0),"기관명단에 없음(다른 병원으로 발송)",IF($K414="—","대상월 기관명단 없음(추가 필요)",IF($K414="서울병원","해당","비해당"))))</f>
        <v/>
      </c>
      <c r="M414">
        <f>IF($W414="","",SUMIFS(상세표[06~07시],상세표[사번키],INDEX(합계표[사번키],$W414),상세표[반영월],대상월키,상세표[반영 기관],"서울병원"))</f>
        <v/>
      </c>
      <c r="N414">
        <f>IF($W414="","",SUMIFS(상세표[07~18시],상세표[사번키],INDEX(합계표[사번키],$W414),상세표[반영월],대상월키,상세표[반영 기관],"서울병원"))</f>
        <v/>
      </c>
      <c r="O414">
        <f>IF($W414="","",SUMIFS(상세표[18~22시],상세표[사번키],INDEX(합계표[사번키],$W414),상세표[반영월],대상월키,상세표[반영 기관],"서울병원"))</f>
        <v/>
      </c>
      <c r="P414">
        <f>IF($W414="","",SUMIFS(상세표[22~06시],상세표[사번키],INDEX(합계표[사번키],$W414),상세표[반영월],대상월키,상세표[반영 기관],"서울병원"))</f>
        <v/>
      </c>
      <c r="Q414">
        <f>IF($W414="","",SUM($M414:$P414))</f>
        <v/>
      </c>
      <c r="R414">
        <f>IF($W414="","",COUNTIFS(상세표[사번키],INDEX(합계표[사번키],$W414),상세표[반영월],대상월키,상세표[야간당직],1,상세표[야간 구분],"평일"))</f>
        <v/>
      </c>
      <c r="S414" s="4">
        <f>IF($W414="","",COUNTIFS(상세표[사번키],INDEX(합계표[사번키],$W414),상세표[반영월],대상월키,상세표[야간당직],1,상세표[야간 구분],"휴일"))</f>
        <v/>
      </c>
      <c r="T414">
        <f>IF($W414="","",COUNTIFS(상세표[사번키],INDEX(합계표[사번키],$W414),상세표[반영월],대상월키,상세표[야간당직],1,상세표[야간 구분],"평일",상세표[반영 기관],"서울병원"))</f>
        <v/>
      </c>
      <c r="U414">
        <f>IF($W414="","",COUNTIFS(상세표[사번키],INDEX(합계표[사번키],$W414),상세표[반영월],대상월키,상세표[야간당직],1,상세표[야간 구분],"휴일",상세표[반영 기관],"서울병원"))</f>
        <v/>
      </c>
      <c r="V414">
        <f>IF($W414="","",IF(ISNUMBER(MATCH(INDEX(합계표[사번키],$W414)&amp;"|"&amp;대상월키,월별근무지표[키],0)),"직접 입력",IF($K414="—","—","기관명단")))</f>
        <v/>
      </c>
      <c r="W414">
        <f>IFERROR(MATCH(409,합계표[판정순번],0),"")</f>
        <v/>
      </c>
    </row>
    <row r="415">
      <c r="A415">
        <f>IF($W415="","",INDEX(합계표[사번],$W415)&amp;"")</f>
        <v/>
      </c>
      <c r="B415">
        <f>IF($W415="","",INDEX(합계표[성명],$W415)&amp;"")</f>
        <v/>
      </c>
      <c r="C415">
        <f>IF($W415="","",INDEX(합계표[부서],$W415)&amp;"")</f>
        <v/>
      </c>
      <c r="D415">
        <f>IF($W415="","",INDEX(합계표[직위(통합)],$W415)&amp;"")</f>
        <v/>
      </c>
      <c r="E415">
        <f>IF($W415="","",SUMIFS(합계표[시스템 합계],합계표[사번키],INDEX(합계표[사번키],$W415)))</f>
        <v/>
      </c>
      <c r="F415">
        <f>IF($W415="","",SUMIFS(상세표[기록 시간외],상세표[사번키],INDEX(합계표[사번키],$W415),상세표[기록월],대상월키))</f>
        <v/>
      </c>
      <c r="G415">
        <f>IF($W415="","",IF(ABS($E415-$F415)&lt;0.01,"일치","불일치(차이 "&amp;TEXT($F415-$E415,"0.00")&amp;")"))</f>
        <v/>
      </c>
      <c r="H415">
        <f>IF($W415="","",SUMIFS(상세표[기록 시간외],상세표[사번키],INDEX(합계표[사번키],$W415),상세표[기록월],대상월키,상세표[반영월],"&lt;&gt;"&amp;대상월키))</f>
        <v/>
      </c>
      <c r="I415">
        <f>IF($W415="","",SUMIFS(상세표[기록 시간외],상세표[사번키],INDEX(합계표[사번키],$W415),상세표[기록월],"&lt;&gt;"&amp;대상월키,상세표[반영월],대상월키))</f>
        <v/>
      </c>
      <c r="J415">
        <f>IF($W415="","",SUMIFS(상세표[기록 시간외],상세표[사번키],INDEX(합계표[사번키],$W415),상세표[반영월],대상월키))</f>
        <v/>
      </c>
      <c r="K415">
        <f>IF($W415="","",IFERROR(INDEX(월별근무지표[적용 급여병원],MATCH(INDEX(합계표[사번키],$W415)&amp;"|"&amp;대상월키,월별근무지표[키],0))&amp;"",IF(COUNTIF(기관표[사번키],INDEX(합계표[사번키],$W415))+COUNTIF(월별근무지표[사번키],INDEX(합계표[사번키],$W415))&gt;0,IFERROR(INDEX(기관표[급여지급병원(기준월)],MATCH(INDEX(합계표[사번키],$W415)&amp;"|"&amp;대상월키,기관표[키],0))&amp;"","—"),"—")))</f>
        <v/>
      </c>
      <c r="L415">
        <f>IF($W415="","",IF(NOT(COUNTIF(기관표[사번키],INDEX(합계표[사번키],$W415))+COUNTIF(월별근무지표[사번키],INDEX(합계표[사번키],$W415))&gt;0),"기관명단에 없음(다른 병원으로 발송)",IF($K415="—","대상월 기관명단 없음(추가 필요)",IF($K415="서울병원","해당","비해당"))))</f>
        <v/>
      </c>
      <c r="M415">
        <f>IF($W415="","",SUMIFS(상세표[06~07시],상세표[사번키],INDEX(합계표[사번키],$W415),상세표[반영월],대상월키,상세표[반영 기관],"서울병원"))</f>
        <v/>
      </c>
      <c r="N415">
        <f>IF($W415="","",SUMIFS(상세표[07~18시],상세표[사번키],INDEX(합계표[사번키],$W415),상세표[반영월],대상월키,상세표[반영 기관],"서울병원"))</f>
        <v/>
      </c>
      <c r="O415">
        <f>IF($W415="","",SUMIFS(상세표[18~22시],상세표[사번키],INDEX(합계표[사번키],$W415),상세표[반영월],대상월키,상세표[반영 기관],"서울병원"))</f>
        <v/>
      </c>
      <c r="P415">
        <f>IF($W415="","",SUMIFS(상세표[22~06시],상세표[사번키],INDEX(합계표[사번키],$W415),상세표[반영월],대상월키,상세표[반영 기관],"서울병원"))</f>
        <v/>
      </c>
      <c r="Q415">
        <f>IF($W415="","",SUM($M415:$P415))</f>
        <v/>
      </c>
      <c r="R415">
        <f>IF($W415="","",COUNTIFS(상세표[사번키],INDEX(합계표[사번키],$W415),상세표[반영월],대상월키,상세표[야간당직],1,상세표[야간 구분],"평일"))</f>
        <v/>
      </c>
      <c r="S415" s="4">
        <f>IF($W415="","",COUNTIFS(상세표[사번키],INDEX(합계표[사번키],$W415),상세표[반영월],대상월키,상세표[야간당직],1,상세표[야간 구분],"휴일"))</f>
        <v/>
      </c>
      <c r="T415">
        <f>IF($W415="","",COUNTIFS(상세표[사번키],INDEX(합계표[사번키],$W415),상세표[반영월],대상월키,상세표[야간당직],1,상세표[야간 구분],"평일",상세표[반영 기관],"서울병원"))</f>
        <v/>
      </c>
      <c r="U415">
        <f>IF($W415="","",COUNTIFS(상세표[사번키],INDEX(합계표[사번키],$W415),상세표[반영월],대상월키,상세표[야간당직],1,상세표[야간 구분],"휴일",상세표[반영 기관],"서울병원"))</f>
        <v/>
      </c>
      <c r="V415">
        <f>IF($W415="","",IF(ISNUMBER(MATCH(INDEX(합계표[사번키],$W415)&amp;"|"&amp;대상월키,월별근무지표[키],0)),"직접 입력",IF($K415="—","—","기관명단")))</f>
        <v/>
      </c>
      <c r="W415">
        <f>IFERROR(MATCH(410,합계표[판정순번],0),"")</f>
        <v/>
      </c>
    </row>
    <row r="416">
      <c r="A416">
        <f>IF($W416="","",INDEX(합계표[사번],$W416)&amp;"")</f>
        <v/>
      </c>
      <c r="B416">
        <f>IF($W416="","",INDEX(합계표[성명],$W416)&amp;"")</f>
        <v/>
      </c>
      <c r="C416">
        <f>IF($W416="","",INDEX(합계표[부서],$W416)&amp;"")</f>
        <v/>
      </c>
      <c r="D416">
        <f>IF($W416="","",INDEX(합계표[직위(통합)],$W416)&amp;"")</f>
        <v/>
      </c>
      <c r="E416">
        <f>IF($W416="","",SUMIFS(합계표[시스템 합계],합계표[사번키],INDEX(합계표[사번키],$W416)))</f>
        <v/>
      </c>
      <c r="F416">
        <f>IF($W416="","",SUMIFS(상세표[기록 시간외],상세표[사번키],INDEX(합계표[사번키],$W416),상세표[기록월],대상월키))</f>
        <v/>
      </c>
      <c r="G416">
        <f>IF($W416="","",IF(ABS($E416-$F416)&lt;0.01,"일치","불일치(차이 "&amp;TEXT($F416-$E416,"0.00")&amp;")"))</f>
        <v/>
      </c>
      <c r="H416">
        <f>IF($W416="","",SUMIFS(상세표[기록 시간외],상세표[사번키],INDEX(합계표[사번키],$W416),상세표[기록월],대상월키,상세표[반영월],"&lt;&gt;"&amp;대상월키))</f>
        <v/>
      </c>
      <c r="I416">
        <f>IF($W416="","",SUMIFS(상세표[기록 시간외],상세표[사번키],INDEX(합계표[사번키],$W416),상세표[기록월],"&lt;&gt;"&amp;대상월키,상세표[반영월],대상월키))</f>
        <v/>
      </c>
      <c r="J416">
        <f>IF($W416="","",SUMIFS(상세표[기록 시간외],상세표[사번키],INDEX(합계표[사번키],$W416),상세표[반영월],대상월키))</f>
        <v/>
      </c>
      <c r="K416">
        <f>IF($W416="","",IFERROR(INDEX(월별근무지표[적용 급여병원],MATCH(INDEX(합계표[사번키],$W416)&amp;"|"&amp;대상월키,월별근무지표[키],0))&amp;"",IF(COUNTIF(기관표[사번키],INDEX(합계표[사번키],$W416))+COUNTIF(월별근무지표[사번키],INDEX(합계표[사번키],$W416))&gt;0,IFERROR(INDEX(기관표[급여지급병원(기준월)],MATCH(INDEX(합계표[사번키],$W416)&amp;"|"&amp;대상월키,기관표[키],0))&amp;"","—"),"—")))</f>
        <v/>
      </c>
      <c r="L416">
        <f>IF($W416="","",IF(NOT(COUNTIF(기관표[사번키],INDEX(합계표[사번키],$W416))+COUNTIF(월별근무지표[사번키],INDEX(합계표[사번키],$W416))&gt;0),"기관명단에 없음(다른 병원으로 발송)",IF($K416="—","대상월 기관명단 없음(추가 필요)",IF($K416="서울병원","해당","비해당"))))</f>
        <v/>
      </c>
      <c r="M416">
        <f>IF($W416="","",SUMIFS(상세표[06~07시],상세표[사번키],INDEX(합계표[사번키],$W416),상세표[반영월],대상월키,상세표[반영 기관],"서울병원"))</f>
        <v/>
      </c>
      <c r="N416">
        <f>IF($W416="","",SUMIFS(상세표[07~18시],상세표[사번키],INDEX(합계표[사번키],$W416),상세표[반영월],대상월키,상세표[반영 기관],"서울병원"))</f>
        <v/>
      </c>
      <c r="O416">
        <f>IF($W416="","",SUMIFS(상세표[18~22시],상세표[사번키],INDEX(합계표[사번키],$W416),상세표[반영월],대상월키,상세표[반영 기관],"서울병원"))</f>
        <v/>
      </c>
      <c r="P416">
        <f>IF($W416="","",SUMIFS(상세표[22~06시],상세표[사번키],INDEX(합계표[사번키],$W416),상세표[반영월],대상월키,상세표[반영 기관],"서울병원"))</f>
        <v/>
      </c>
      <c r="Q416">
        <f>IF($W416="","",SUM($M416:$P416))</f>
        <v/>
      </c>
      <c r="R416">
        <f>IF($W416="","",COUNTIFS(상세표[사번키],INDEX(합계표[사번키],$W416),상세표[반영월],대상월키,상세표[야간당직],1,상세표[야간 구분],"평일"))</f>
        <v/>
      </c>
      <c r="S416" s="4">
        <f>IF($W416="","",COUNTIFS(상세표[사번키],INDEX(합계표[사번키],$W416),상세표[반영월],대상월키,상세표[야간당직],1,상세표[야간 구분],"휴일"))</f>
        <v/>
      </c>
      <c r="T416">
        <f>IF($W416="","",COUNTIFS(상세표[사번키],INDEX(합계표[사번키],$W416),상세표[반영월],대상월키,상세표[야간당직],1,상세표[야간 구분],"평일",상세표[반영 기관],"서울병원"))</f>
        <v/>
      </c>
      <c r="U416">
        <f>IF($W416="","",COUNTIFS(상세표[사번키],INDEX(합계표[사번키],$W416),상세표[반영월],대상월키,상세표[야간당직],1,상세표[야간 구분],"휴일",상세표[반영 기관],"서울병원"))</f>
        <v/>
      </c>
      <c r="V416">
        <f>IF($W416="","",IF(ISNUMBER(MATCH(INDEX(합계표[사번키],$W416)&amp;"|"&amp;대상월키,월별근무지표[키],0)),"직접 입력",IF($K416="—","—","기관명단")))</f>
        <v/>
      </c>
      <c r="W416">
        <f>IFERROR(MATCH(411,합계표[판정순번],0),"")</f>
        <v/>
      </c>
    </row>
    <row r="417">
      <c r="A417">
        <f>IF($W417="","",INDEX(합계표[사번],$W417)&amp;"")</f>
        <v/>
      </c>
      <c r="B417">
        <f>IF($W417="","",INDEX(합계표[성명],$W417)&amp;"")</f>
        <v/>
      </c>
      <c r="C417">
        <f>IF($W417="","",INDEX(합계표[부서],$W417)&amp;"")</f>
        <v/>
      </c>
      <c r="D417">
        <f>IF($W417="","",INDEX(합계표[직위(통합)],$W417)&amp;"")</f>
        <v/>
      </c>
      <c r="E417">
        <f>IF($W417="","",SUMIFS(합계표[시스템 합계],합계표[사번키],INDEX(합계표[사번키],$W417)))</f>
        <v/>
      </c>
      <c r="F417">
        <f>IF($W417="","",SUMIFS(상세표[기록 시간외],상세표[사번키],INDEX(합계표[사번키],$W417),상세표[기록월],대상월키))</f>
        <v/>
      </c>
      <c r="G417">
        <f>IF($W417="","",IF(ABS($E417-$F417)&lt;0.01,"일치","불일치(차이 "&amp;TEXT($F417-$E417,"0.00")&amp;")"))</f>
        <v/>
      </c>
      <c r="H417">
        <f>IF($W417="","",SUMIFS(상세표[기록 시간외],상세표[사번키],INDEX(합계표[사번키],$W417),상세표[기록월],대상월키,상세표[반영월],"&lt;&gt;"&amp;대상월키))</f>
        <v/>
      </c>
      <c r="I417">
        <f>IF($W417="","",SUMIFS(상세표[기록 시간외],상세표[사번키],INDEX(합계표[사번키],$W417),상세표[기록월],"&lt;&gt;"&amp;대상월키,상세표[반영월],대상월키))</f>
        <v/>
      </c>
      <c r="J417">
        <f>IF($W417="","",SUMIFS(상세표[기록 시간외],상세표[사번키],INDEX(합계표[사번키],$W417),상세표[반영월],대상월키))</f>
        <v/>
      </c>
      <c r="K417">
        <f>IF($W417="","",IFERROR(INDEX(월별근무지표[적용 급여병원],MATCH(INDEX(합계표[사번키],$W417)&amp;"|"&amp;대상월키,월별근무지표[키],0))&amp;"",IF(COUNTIF(기관표[사번키],INDEX(합계표[사번키],$W417))+COUNTIF(월별근무지표[사번키],INDEX(합계표[사번키],$W417))&gt;0,IFERROR(INDEX(기관표[급여지급병원(기준월)],MATCH(INDEX(합계표[사번키],$W417)&amp;"|"&amp;대상월키,기관표[키],0))&amp;"","—"),"—")))</f>
        <v/>
      </c>
      <c r="L417">
        <f>IF($W417="","",IF(NOT(COUNTIF(기관표[사번키],INDEX(합계표[사번키],$W417))+COUNTIF(월별근무지표[사번키],INDEX(합계표[사번키],$W417))&gt;0),"기관명단에 없음(다른 병원으로 발송)",IF($K417="—","대상월 기관명단 없음(추가 필요)",IF($K417="서울병원","해당","비해당"))))</f>
        <v/>
      </c>
      <c r="M417">
        <f>IF($W417="","",SUMIFS(상세표[06~07시],상세표[사번키],INDEX(합계표[사번키],$W417),상세표[반영월],대상월키,상세표[반영 기관],"서울병원"))</f>
        <v/>
      </c>
      <c r="N417">
        <f>IF($W417="","",SUMIFS(상세표[07~18시],상세표[사번키],INDEX(합계표[사번키],$W417),상세표[반영월],대상월키,상세표[반영 기관],"서울병원"))</f>
        <v/>
      </c>
      <c r="O417">
        <f>IF($W417="","",SUMIFS(상세표[18~22시],상세표[사번키],INDEX(합계표[사번키],$W417),상세표[반영월],대상월키,상세표[반영 기관],"서울병원"))</f>
        <v/>
      </c>
      <c r="P417">
        <f>IF($W417="","",SUMIFS(상세표[22~06시],상세표[사번키],INDEX(합계표[사번키],$W417),상세표[반영월],대상월키,상세표[반영 기관],"서울병원"))</f>
        <v/>
      </c>
      <c r="Q417">
        <f>IF($W417="","",SUM($M417:$P417))</f>
        <v/>
      </c>
      <c r="R417">
        <f>IF($W417="","",COUNTIFS(상세표[사번키],INDEX(합계표[사번키],$W417),상세표[반영월],대상월키,상세표[야간당직],1,상세표[야간 구분],"평일"))</f>
        <v/>
      </c>
      <c r="S417" s="4">
        <f>IF($W417="","",COUNTIFS(상세표[사번키],INDEX(합계표[사번키],$W417),상세표[반영월],대상월키,상세표[야간당직],1,상세표[야간 구분],"휴일"))</f>
        <v/>
      </c>
      <c r="T417">
        <f>IF($W417="","",COUNTIFS(상세표[사번키],INDEX(합계표[사번키],$W417),상세표[반영월],대상월키,상세표[야간당직],1,상세표[야간 구분],"평일",상세표[반영 기관],"서울병원"))</f>
        <v/>
      </c>
      <c r="U417">
        <f>IF($W417="","",COUNTIFS(상세표[사번키],INDEX(합계표[사번키],$W417),상세표[반영월],대상월키,상세표[야간당직],1,상세표[야간 구분],"휴일",상세표[반영 기관],"서울병원"))</f>
        <v/>
      </c>
      <c r="V417">
        <f>IF($W417="","",IF(ISNUMBER(MATCH(INDEX(합계표[사번키],$W417)&amp;"|"&amp;대상월키,월별근무지표[키],0)),"직접 입력",IF($K417="—","—","기관명단")))</f>
        <v/>
      </c>
      <c r="W417">
        <f>IFERROR(MATCH(412,합계표[판정순번],0),"")</f>
        <v/>
      </c>
    </row>
    <row r="418">
      <c r="A418">
        <f>IF($W418="","",INDEX(합계표[사번],$W418)&amp;"")</f>
        <v/>
      </c>
      <c r="B418">
        <f>IF($W418="","",INDEX(합계표[성명],$W418)&amp;"")</f>
        <v/>
      </c>
      <c r="C418">
        <f>IF($W418="","",INDEX(합계표[부서],$W418)&amp;"")</f>
        <v/>
      </c>
      <c r="D418">
        <f>IF($W418="","",INDEX(합계표[직위(통합)],$W418)&amp;"")</f>
        <v/>
      </c>
      <c r="E418">
        <f>IF($W418="","",SUMIFS(합계표[시스템 합계],합계표[사번키],INDEX(합계표[사번키],$W418)))</f>
        <v/>
      </c>
      <c r="F418">
        <f>IF($W418="","",SUMIFS(상세표[기록 시간외],상세표[사번키],INDEX(합계표[사번키],$W418),상세표[기록월],대상월키))</f>
        <v/>
      </c>
      <c r="G418">
        <f>IF($W418="","",IF(ABS($E418-$F418)&lt;0.01,"일치","불일치(차이 "&amp;TEXT($F418-$E418,"0.00")&amp;")"))</f>
        <v/>
      </c>
      <c r="H418">
        <f>IF($W418="","",SUMIFS(상세표[기록 시간외],상세표[사번키],INDEX(합계표[사번키],$W418),상세표[기록월],대상월키,상세표[반영월],"&lt;&gt;"&amp;대상월키))</f>
        <v/>
      </c>
      <c r="I418">
        <f>IF($W418="","",SUMIFS(상세표[기록 시간외],상세표[사번키],INDEX(합계표[사번키],$W418),상세표[기록월],"&lt;&gt;"&amp;대상월키,상세표[반영월],대상월키))</f>
        <v/>
      </c>
      <c r="J418">
        <f>IF($W418="","",SUMIFS(상세표[기록 시간외],상세표[사번키],INDEX(합계표[사번키],$W418),상세표[반영월],대상월키))</f>
        <v/>
      </c>
      <c r="K418">
        <f>IF($W418="","",IFERROR(INDEX(월별근무지표[적용 급여병원],MATCH(INDEX(합계표[사번키],$W418)&amp;"|"&amp;대상월키,월별근무지표[키],0))&amp;"",IF(COUNTIF(기관표[사번키],INDEX(합계표[사번키],$W418))+COUNTIF(월별근무지표[사번키],INDEX(합계표[사번키],$W418))&gt;0,IFERROR(INDEX(기관표[급여지급병원(기준월)],MATCH(INDEX(합계표[사번키],$W418)&amp;"|"&amp;대상월키,기관표[키],0))&amp;"","—"),"—")))</f>
        <v/>
      </c>
      <c r="L418">
        <f>IF($W418="","",IF(NOT(COUNTIF(기관표[사번키],INDEX(합계표[사번키],$W418))+COUNTIF(월별근무지표[사번키],INDEX(합계표[사번키],$W418))&gt;0),"기관명단에 없음(다른 병원으로 발송)",IF($K418="—","대상월 기관명단 없음(추가 필요)",IF($K418="서울병원","해당","비해당"))))</f>
        <v/>
      </c>
      <c r="M418">
        <f>IF($W418="","",SUMIFS(상세표[06~07시],상세표[사번키],INDEX(합계표[사번키],$W418),상세표[반영월],대상월키,상세표[반영 기관],"서울병원"))</f>
        <v/>
      </c>
      <c r="N418">
        <f>IF($W418="","",SUMIFS(상세표[07~18시],상세표[사번키],INDEX(합계표[사번키],$W418),상세표[반영월],대상월키,상세표[반영 기관],"서울병원"))</f>
        <v/>
      </c>
      <c r="O418">
        <f>IF($W418="","",SUMIFS(상세표[18~22시],상세표[사번키],INDEX(합계표[사번키],$W418),상세표[반영월],대상월키,상세표[반영 기관],"서울병원"))</f>
        <v/>
      </c>
      <c r="P418">
        <f>IF($W418="","",SUMIFS(상세표[22~06시],상세표[사번키],INDEX(합계표[사번키],$W418),상세표[반영월],대상월키,상세표[반영 기관],"서울병원"))</f>
        <v/>
      </c>
      <c r="Q418">
        <f>IF($W418="","",SUM($M418:$P418))</f>
        <v/>
      </c>
      <c r="R418">
        <f>IF($W418="","",COUNTIFS(상세표[사번키],INDEX(합계표[사번키],$W418),상세표[반영월],대상월키,상세표[야간당직],1,상세표[야간 구분],"평일"))</f>
        <v/>
      </c>
      <c r="S418" s="4">
        <f>IF($W418="","",COUNTIFS(상세표[사번키],INDEX(합계표[사번키],$W418),상세표[반영월],대상월키,상세표[야간당직],1,상세표[야간 구분],"휴일"))</f>
        <v/>
      </c>
      <c r="T418">
        <f>IF($W418="","",COUNTIFS(상세표[사번키],INDEX(합계표[사번키],$W418),상세표[반영월],대상월키,상세표[야간당직],1,상세표[야간 구분],"평일",상세표[반영 기관],"서울병원"))</f>
        <v/>
      </c>
      <c r="U418">
        <f>IF($W418="","",COUNTIFS(상세표[사번키],INDEX(합계표[사번키],$W418),상세표[반영월],대상월키,상세표[야간당직],1,상세표[야간 구분],"휴일",상세표[반영 기관],"서울병원"))</f>
        <v/>
      </c>
      <c r="V418">
        <f>IF($W418="","",IF(ISNUMBER(MATCH(INDEX(합계표[사번키],$W418)&amp;"|"&amp;대상월키,월별근무지표[키],0)),"직접 입력",IF($K418="—","—","기관명단")))</f>
        <v/>
      </c>
      <c r="W418">
        <f>IFERROR(MATCH(413,합계표[판정순번],0),"")</f>
        <v/>
      </c>
    </row>
    <row r="419">
      <c r="A419">
        <f>IF($W419="","",INDEX(합계표[사번],$W419)&amp;"")</f>
        <v/>
      </c>
      <c r="B419">
        <f>IF($W419="","",INDEX(합계표[성명],$W419)&amp;"")</f>
        <v/>
      </c>
      <c r="C419">
        <f>IF($W419="","",INDEX(합계표[부서],$W419)&amp;"")</f>
        <v/>
      </c>
      <c r="D419">
        <f>IF($W419="","",INDEX(합계표[직위(통합)],$W419)&amp;"")</f>
        <v/>
      </c>
      <c r="E419">
        <f>IF($W419="","",SUMIFS(합계표[시스템 합계],합계표[사번키],INDEX(합계표[사번키],$W419)))</f>
        <v/>
      </c>
      <c r="F419">
        <f>IF($W419="","",SUMIFS(상세표[기록 시간외],상세표[사번키],INDEX(합계표[사번키],$W419),상세표[기록월],대상월키))</f>
        <v/>
      </c>
      <c r="G419">
        <f>IF($W419="","",IF(ABS($E419-$F419)&lt;0.01,"일치","불일치(차이 "&amp;TEXT($F419-$E419,"0.00")&amp;")"))</f>
        <v/>
      </c>
      <c r="H419">
        <f>IF($W419="","",SUMIFS(상세표[기록 시간외],상세표[사번키],INDEX(합계표[사번키],$W419),상세표[기록월],대상월키,상세표[반영월],"&lt;&gt;"&amp;대상월키))</f>
        <v/>
      </c>
      <c r="I419">
        <f>IF($W419="","",SUMIFS(상세표[기록 시간외],상세표[사번키],INDEX(합계표[사번키],$W419),상세표[기록월],"&lt;&gt;"&amp;대상월키,상세표[반영월],대상월키))</f>
        <v/>
      </c>
      <c r="J419">
        <f>IF($W419="","",SUMIFS(상세표[기록 시간외],상세표[사번키],INDEX(합계표[사번키],$W419),상세표[반영월],대상월키))</f>
        <v/>
      </c>
      <c r="K419">
        <f>IF($W419="","",IFERROR(INDEX(월별근무지표[적용 급여병원],MATCH(INDEX(합계표[사번키],$W419)&amp;"|"&amp;대상월키,월별근무지표[키],0))&amp;"",IF(COUNTIF(기관표[사번키],INDEX(합계표[사번키],$W419))+COUNTIF(월별근무지표[사번키],INDEX(합계표[사번키],$W419))&gt;0,IFERROR(INDEX(기관표[급여지급병원(기준월)],MATCH(INDEX(합계표[사번키],$W419)&amp;"|"&amp;대상월키,기관표[키],0))&amp;"","—"),"—")))</f>
        <v/>
      </c>
      <c r="L419">
        <f>IF($W419="","",IF(NOT(COUNTIF(기관표[사번키],INDEX(합계표[사번키],$W419))+COUNTIF(월별근무지표[사번키],INDEX(합계표[사번키],$W419))&gt;0),"기관명단에 없음(다른 병원으로 발송)",IF($K419="—","대상월 기관명단 없음(추가 필요)",IF($K419="서울병원","해당","비해당"))))</f>
        <v/>
      </c>
      <c r="M419">
        <f>IF($W419="","",SUMIFS(상세표[06~07시],상세표[사번키],INDEX(합계표[사번키],$W419),상세표[반영월],대상월키,상세표[반영 기관],"서울병원"))</f>
        <v/>
      </c>
      <c r="N419">
        <f>IF($W419="","",SUMIFS(상세표[07~18시],상세표[사번키],INDEX(합계표[사번키],$W419),상세표[반영월],대상월키,상세표[반영 기관],"서울병원"))</f>
        <v/>
      </c>
      <c r="O419">
        <f>IF($W419="","",SUMIFS(상세표[18~22시],상세표[사번키],INDEX(합계표[사번키],$W419),상세표[반영월],대상월키,상세표[반영 기관],"서울병원"))</f>
        <v/>
      </c>
      <c r="P419">
        <f>IF($W419="","",SUMIFS(상세표[22~06시],상세표[사번키],INDEX(합계표[사번키],$W419),상세표[반영월],대상월키,상세표[반영 기관],"서울병원"))</f>
        <v/>
      </c>
      <c r="Q419">
        <f>IF($W419="","",SUM($M419:$P419))</f>
        <v/>
      </c>
      <c r="R419">
        <f>IF($W419="","",COUNTIFS(상세표[사번키],INDEX(합계표[사번키],$W419),상세표[반영월],대상월키,상세표[야간당직],1,상세표[야간 구분],"평일"))</f>
        <v/>
      </c>
      <c r="S419" s="4">
        <f>IF($W419="","",COUNTIFS(상세표[사번키],INDEX(합계표[사번키],$W419),상세표[반영월],대상월키,상세표[야간당직],1,상세표[야간 구분],"휴일"))</f>
        <v/>
      </c>
      <c r="T419">
        <f>IF($W419="","",COUNTIFS(상세표[사번키],INDEX(합계표[사번키],$W419),상세표[반영월],대상월키,상세표[야간당직],1,상세표[야간 구분],"평일",상세표[반영 기관],"서울병원"))</f>
        <v/>
      </c>
      <c r="U419">
        <f>IF($W419="","",COUNTIFS(상세표[사번키],INDEX(합계표[사번키],$W419),상세표[반영월],대상월키,상세표[야간당직],1,상세표[야간 구분],"휴일",상세표[반영 기관],"서울병원"))</f>
        <v/>
      </c>
      <c r="V419">
        <f>IF($W419="","",IF(ISNUMBER(MATCH(INDEX(합계표[사번키],$W419)&amp;"|"&amp;대상월키,월별근무지표[키],0)),"직접 입력",IF($K419="—","—","기관명단")))</f>
        <v/>
      </c>
      <c r="W419">
        <f>IFERROR(MATCH(414,합계표[판정순번],0),"")</f>
        <v/>
      </c>
    </row>
    <row r="420">
      <c r="A420">
        <f>IF($W420="","",INDEX(합계표[사번],$W420)&amp;"")</f>
        <v/>
      </c>
      <c r="B420">
        <f>IF($W420="","",INDEX(합계표[성명],$W420)&amp;"")</f>
        <v/>
      </c>
      <c r="C420">
        <f>IF($W420="","",INDEX(합계표[부서],$W420)&amp;"")</f>
        <v/>
      </c>
      <c r="D420">
        <f>IF($W420="","",INDEX(합계표[직위(통합)],$W420)&amp;"")</f>
        <v/>
      </c>
      <c r="E420">
        <f>IF($W420="","",SUMIFS(합계표[시스템 합계],합계표[사번키],INDEX(합계표[사번키],$W420)))</f>
        <v/>
      </c>
      <c r="F420">
        <f>IF($W420="","",SUMIFS(상세표[기록 시간외],상세표[사번키],INDEX(합계표[사번키],$W420),상세표[기록월],대상월키))</f>
        <v/>
      </c>
      <c r="G420">
        <f>IF($W420="","",IF(ABS($E420-$F420)&lt;0.01,"일치","불일치(차이 "&amp;TEXT($F420-$E420,"0.00")&amp;")"))</f>
        <v/>
      </c>
      <c r="H420">
        <f>IF($W420="","",SUMIFS(상세표[기록 시간외],상세표[사번키],INDEX(합계표[사번키],$W420),상세표[기록월],대상월키,상세표[반영월],"&lt;&gt;"&amp;대상월키))</f>
        <v/>
      </c>
      <c r="I420">
        <f>IF($W420="","",SUMIFS(상세표[기록 시간외],상세표[사번키],INDEX(합계표[사번키],$W420),상세표[기록월],"&lt;&gt;"&amp;대상월키,상세표[반영월],대상월키))</f>
        <v/>
      </c>
      <c r="J420">
        <f>IF($W420="","",SUMIFS(상세표[기록 시간외],상세표[사번키],INDEX(합계표[사번키],$W420),상세표[반영월],대상월키))</f>
        <v/>
      </c>
      <c r="K420">
        <f>IF($W420="","",IFERROR(INDEX(월별근무지표[적용 급여병원],MATCH(INDEX(합계표[사번키],$W420)&amp;"|"&amp;대상월키,월별근무지표[키],0))&amp;"",IF(COUNTIF(기관표[사번키],INDEX(합계표[사번키],$W420))+COUNTIF(월별근무지표[사번키],INDEX(합계표[사번키],$W420))&gt;0,IFERROR(INDEX(기관표[급여지급병원(기준월)],MATCH(INDEX(합계표[사번키],$W420)&amp;"|"&amp;대상월키,기관표[키],0))&amp;"","—"),"—")))</f>
        <v/>
      </c>
      <c r="L420">
        <f>IF($W420="","",IF(NOT(COUNTIF(기관표[사번키],INDEX(합계표[사번키],$W420))+COUNTIF(월별근무지표[사번키],INDEX(합계표[사번키],$W420))&gt;0),"기관명단에 없음(다른 병원으로 발송)",IF($K420="—","대상월 기관명단 없음(추가 필요)",IF($K420="서울병원","해당","비해당"))))</f>
        <v/>
      </c>
      <c r="M420">
        <f>IF($W420="","",SUMIFS(상세표[06~07시],상세표[사번키],INDEX(합계표[사번키],$W420),상세표[반영월],대상월키,상세표[반영 기관],"서울병원"))</f>
        <v/>
      </c>
      <c r="N420">
        <f>IF($W420="","",SUMIFS(상세표[07~18시],상세표[사번키],INDEX(합계표[사번키],$W420),상세표[반영월],대상월키,상세표[반영 기관],"서울병원"))</f>
        <v/>
      </c>
      <c r="O420">
        <f>IF($W420="","",SUMIFS(상세표[18~22시],상세표[사번키],INDEX(합계표[사번키],$W420),상세표[반영월],대상월키,상세표[반영 기관],"서울병원"))</f>
        <v/>
      </c>
      <c r="P420">
        <f>IF($W420="","",SUMIFS(상세표[22~06시],상세표[사번키],INDEX(합계표[사번키],$W420),상세표[반영월],대상월키,상세표[반영 기관],"서울병원"))</f>
        <v/>
      </c>
      <c r="Q420">
        <f>IF($W420="","",SUM($M420:$P420))</f>
        <v/>
      </c>
      <c r="R420">
        <f>IF($W420="","",COUNTIFS(상세표[사번키],INDEX(합계표[사번키],$W420),상세표[반영월],대상월키,상세표[야간당직],1,상세표[야간 구분],"평일"))</f>
        <v/>
      </c>
      <c r="S420" s="4">
        <f>IF($W420="","",COUNTIFS(상세표[사번키],INDEX(합계표[사번키],$W420),상세표[반영월],대상월키,상세표[야간당직],1,상세표[야간 구분],"휴일"))</f>
        <v/>
      </c>
      <c r="T420">
        <f>IF($W420="","",COUNTIFS(상세표[사번키],INDEX(합계표[사번키],$W420),상세표[반영월],대상월키,상세표[야간당직],1,상세표[야간 구분],"평일",상세표[반영 기관],"서울병원"))</f>
        <v/>
      </c>
      <c r="U420">
        <f>IF($W420="","",COUNTIFS(상세표[사번키],INDEX(합계표[사번키],$W420),상세표[반영월],대상월키,상세표[야간당직],1,상세표[야간 구분],"휴일",상세표[반영 기관],"서울병원"))</f>
        <v/>
      </c>
      <c r="V420">
        <f>IF($W420="","",IF(ISNUMBER(MATCH(INDEX(합계표[사번키],$W420)&amp;"|"&amp;대상월키,월별근무지표[키],0)),"직접 입력",IF($K420="—","—","기관명단")))</f>
        <v/>
      </c>
      <c r="W420">
        <f>IFERROR(MATCH(415,합계표[판정순번],0),"")</f>
        <v/>
      </c>
    </row>
    <row r="421">
      <c r="A421">
        <f>IF($W421="","",INDEX(합계표[사번],$W421)&amp;"")</f>
        <v/>
      </c>
      <c r="B421">
        <f>IF($W421="","",INDEX(합계표[성명],$W421)&amp;"")</f>
        <v/>
      </c>
      <c r="C421">
        <f>IF($W421="","",INDEX(합계표[부서],$W421)&amp;"")</f>
        <v/>
      </c>
      <c r="D421">
        <f>IF($W421="","",INDEX(합계표[직위(통합)],$W421)&amp;"")</f>
        <v/>
      </c>
      <c r="E421">
        <f>IF($W421="","",SUMIFS(합계표[시스템 합계],합계표[사번키],INDEX(합계표[사번키],$W421)))</f>
        <v/>
      </c>
      <c r="F421">
        <f>IF($W421="","",SUMIFS(상세표[기록 시간외],상세표[사번키],INDEX(합계표[사번키],$W421),상세표[기록월],대상월키))</f>
        <v/>
      </c>
      <c r="G421">
        <f>IF($W421="","",IF(ABS($E421-$F421)&lt;0.01,"일치","불일치(차이 "&amp;TEXT($F421-$E421,"0.00")&amp;")"))</f>
        <v/>
      </c>
      <c r="H421">
        <f>IF($W421="","",SUMIFS(상세표[기록 시간외],상세표[사번키],INDEX(합계표[사번키],$W421),상세표[기록월],대상월키,상세표[반영월],"&lt;&gt;"&amp;대상월키))</f>
        <v/>
      </c>
      <c r="I421">
        <f>IF($W421="","",SUMIFS(상세표[기록 시간외],상세표[사번키],INDEX(합계표[사번키],$W421),상세표[기록월],"&lt;&gt;"&amp;대상월키,상세표[반영월],대상월키))</f>
        <v/>
      </c>
      <c r="J421">
        <f>IF($W421="","",SUMIFS(상세표[기록 시간외],상세표[사번키],INDEX(합계표[사번키],$W421),상세표[반영월],대상월키))</f>
        <v/>
      </c>
      <c r="K421">
        <f>IF($W421="","",IFERROR(INDEX(월별근무지표[적용 급여병원],MATCH(INDEX(합계표[사번키],$W421)&amp;"|"&amp;대상월키,월별근무지표[키],0))&amp;"",IF(COUNTIF(기관표[사번키],INDEX(합계표[사번키],$W421))+COUNTIF(월별근무지표[사번키],INDEX(합계표[사번키],$W421))&gt;0,IFERROR(INDEX(기관표[급여지급병원(기준월)],MATCH(INDEX(합계표[사번키],$W421)&amp;"|"&amp;대상월키,기관표[키],0))&amp;"","—"),"—")))</f>
        <v/>
      </c>
      <c r="L421">
        <f>IF($W421="","",IF(NOT(COUNTIF(기관표[사번키],INDEX(합계표[사번키],$W421))+COUNTIF(월별근무지표[사번키],INDEX(합계표[사번키],$W421))&gt;0),"기관명단에 없음(다른 병원으로 발송)",IF($K421="—","대상월 기관명단 없음(추가 필요)",IF($K421="서울병원","해당","비해당"))))</f>
        <v/>
      </c>
      <c r="M421">
        <f>IF($W421="","",SUMIFS(상세표[06~07시],상세표[사번키],INDEX(합계표[사번키],$W421),상세표[반영월],대상월키,상세표[반영 기관],"서울병원"))</f>
        <v/>
      </c>
      <c r="N421">
        <f>IF($W421="","",SUMIFS(상세표[07~18시],상세표[사번키],INDEX(합계표[사번키],$W421),상세표[반영월],대상월키,상세표[반영 기관],"서울병원"))</f>
        <v/>
      </c>
      <c r="O421">
        <f>IF($W421="","",SUMIFS(상세표[18~22시],상세표[사번키],INDEX(합계표[사번키],$W421),상세표[반영월],대상월키,상세표[반영 기관],"서울병원"))</f>
        <v/>
      </c>
      <c r="P421">
        <f>IF($W421="","",SUMIFS(상세표[22~06시],상세표[사번키],INDEX(합계표[사번키],$W421),상세표[반영월],대상월키,상세표[반영 기관],"서울병원"))</f>
        <v/>
      </c>
      <c r="Q421">
        <f>IF($W421="","",SUM($M421:$P421))</f>
        <v/>
      </c>
      <c r="R421">
        <f>IF($W421="","",COUNTIFS(상세표[사번키],INDEX(합계표[사번키],$W421),상세표[반영월],대상월키,상세표[야간당직],1,상세표[야간 구분],"평일"))</f>
        <v/>
      </c>
      <c r="S421" s="4">
        <f>IF($W421="","",COUNTIFS(상세표[사번키],INDEX(합계표[사번키],$W421),상세표[반영월],대상월키,상세표[야간당직],1,상세표[야간 구분],"휴일"))</f>
        <v/>
      </c>
      <c r="T421">
        <f>IF($W421="","",COUNTIFS(상세표[사번키],INDEX(합계표[사번키],$W421),상세표[반영월],대상월키,상세표[야간당직],1,상세표[야간 구분],"평일",상세표[반영 기관],"서울병원"))</f>
        <v/>
      </c>
      <c r="U421">
        <f>IF($W421="","",COUNTIFS(상세표[사번키],INDEX(합계표[사번키],$W421),상세표[반영월],대상월키,상세표[야간당직],1,상세표[야간 구분],"휴일",상세표[반영 기관],"서울병원"))</f>
        <v/>
      </c>
      <c r="V421">
        <f>IF($W421="","",IF(ISNUMBER(MATCH(INDEX(합계표[사번키],$W421)&amp;"|"&amp;대상월키,월별근무지표[키],0)),"직접 입력",IF($K421="—","—","기관명단")))</f>
        <v/>
      </c>
      <c r="W421">
        <f>IFERROR(MATCH(416,합계표[판정순번],0),"")</f>
        <v/>
      </c>
    </row>
    <row r="422">
      <c r="A422">
        <f>IF($W422="","",INDEX(합계표[사번],$W422)&amp;"")</f>
        <v/>
      </c>
      <c r="B422">
        <f>IF($W422="","",INDEX(합계표[성명],$W422)&amp;"")</f>
        <v/>
      </c>
      <c r="C422">
        <f>IF($W422="","",INDEX(합계표[부서],$W422)&amp;"")</f>
        <v/>
      </c>
      <c r="D422">
        <f>IF($W422="","",INDEX(합계표[직위(통합)],$W422)&amp;"")</f>
        <v/>
      </c>
      <c r="E422">
        <f>IF($W422="","",SUMIFS(합계표[시스템 합계],합계표[사번키],INDEX(합계표[사번키],$W422)))</f>
        <v/>
      </c>
      <c r="F422">
        <f>IF($W422="","",SUMIFS(상세표[기록 시간외],상세표[사번키],INDEX(합계표[사번키],$W422),상세표[기록월],대상월키))</f>
        <v/>
      </c>
      <c r="G422">
        <f>IF($W422="","",IF(ABS($E422-$F422)&lt;0.01,"일치","불일치(차이 "&amp;TEXT($F422-$E422,"0.00")&amp;")"))</f>
        <v/>
      </c>
      <c r="H422">
        <f>IF($W422="","",SUMIFS(상세표[기록 시간외],상세표[사번키],INDEX(합계표[사번키],$W422),상세표[기록월],대상월키,상세표[반영월],"&lt;&gt;"&amp;대상월키))</f>
        <v/>
      </c>
      <c r="I422">
        <f>IF($W422="","",SUMIFS(상세표[기록 시간외],상세표[사번키],INDEX(합계표[사번키],$W422),상세표[기록월],"&lt;&gt;"&amp;대상월키,상세표[반영월],대상월키))</f>
        <v/>
      </c>
      <c r="J422">
        <f>IF($W422="","",SUMIFS(상세표[기록 시간외],상세표[사번키],INDEX(합계표[사번키],$W422),상세표[반영월],대상월키))</f>
        <v/>
      </c>
      <c r="K422">
        <f>IF($W422="","",IFERROR(INDEX(월별근무지표[적용 급여병원],MATCH(INDEX(합계표[사번키],$W422)&amp;"|"&amp;대상월키,월별근무지표[키],0))&amp;"",IF(COUNTIF(기관표[사번키],INDEX(합계표[사번키],$W422))+COUNTIF(월별근무지표[사번키],INDEX(합계표[사번키],$W422))&gt;0,IFERROR(INDEX(기관표[급여지급병원(기준월)],MATCH(INDEX(합계표[사번키],$W422)&amp;"|"&amp;대상월키,기관표[키],0))&amp;"","—"),"—")))</f>
        <v/>
      </c>
      <c r="L422">
        <f>IF($W422="","",IF(NOT(COUNTIF(기관표[사번키],INDEX(합계표[사번키],$W422))+COUNTIF(월별근무지표[사번키],INDEX(합계표[사번키],$W422))&gt;0),"기관명단에 없음(다른 병원으로 발송)",IF($K422="—","대상월 기관명단 없음(추가 필요)",IF($K422="서울병원","해당","비해당"))))</f>
        <v/>
      </c>
      <c r="M422">
        <f>IF($W422="","",SUMIFS(상세표[06~07시],상세표[사번키],INDEX(합계표[사번키],$W422),상세표[반영월],대상월키,상세표[반영 기관],"서울병원"))</f>
        <v/>
      </c>
      <c r="N422">
        <f>IF($W422="","",SUMIFS(상세표[07~18시],상세표[사번키],INDEX(합계표[사번키],$W422),상세표[반영월],대상월키,상세표[반영 기관],"서울병원"))</f>
        <v/>
      </c>
      <c r="O422">
        <f>IF($W422="","",SUMIFS(상세표[18~22시],상세표[사번키],INDEX(합계표[사번키],$W422),상세표[반영월],대상월키,상세표[반영 기관],"서울병원"))</f>
        <v/>
      </c>
      <c r="P422">
        <f>IF($W422="","",SUMIFS(상세표[22~06시],상세표[사번키],INDEX(합계표[사번키],$W422),상세표[반영월],대상월키,상세표[반영 기관],"서울병원"))</f>
        <v/>
      </c>
      <c r="Q422">
        <f>IF($W422="","",SUM($M422:$P422))</f>
        <v/>
      </c>
      <c r="R422">
        <f>IF($W422="","",COUNTIFS(상세표[사번키],INDEX(합계표[사번키],$W422),상세표[반영월],대상월키,상세표[야간당직],1,상세표[야간 구분],"평일"))</f>
        <v/>
      </c>
      <c r="S422" s="4">
        <f>IF($W422="","",COUNTIFS(상세표[사번키],INDEX(합계표[사번키],$W422),상세표[반영월],대상월키,상세표[야간당직],1,상세표[야간 구분],"휴일"))</f>
        <v/>
      </c>
      <c r="T422">
        <f>IF($W422="","",COUNTIFS(상세표[사번키],INDEX(합계표[사번키],$W422),상세표[반영월],대상월키,상세표[야간당직],1,상세표[야간 구분],"평일",상세표[반영 기관],"서울병원"))</f>
        <v/>
      </c>
      <c r="U422">
        <f>IF($W422="","",COUNTIFS(상세표[사번키],INDEX(합계표[사번키],$W422),상세표[반영월],대상월키,상세표[야간당직],1,상세표[야간 구분],"휴일",상세표[반영 기관],"서울병원"))</f>
        <v/>
      </c>
      <c r="V422">
        <f>IF($W422="","",IF(ISNUMBER(MATCH(INDEX(합계표[사번키],$W422)&amp;"|"&amp;대상월키,월별근무지표[키],0)),"직접 입력",IF($K422="—","—","기관명단")))</f>
        <v/>
      </c>
      <c r="W422">
        <f>IFERROR(MATCH(417,합계표[판정순번],0),"")</f>
        <v/>
      </c>
    </row>
    <row r="423">
      <c r="A423">
        <f>IF($W423="","",INDEX(합계표[사번],$W423)&amp;"")</f>
        <v/>
      </c>
      <c r="B423">
        <f>IF($W423="","",INDEX(합계표[성명],$W423)&amp;"")</f>
        <v/>
      </c>
      <c r="C423">
        <f>IF($W423="","",INDEX(합계표[부서],$W423)&amp;"")</f>
        <v/>
      </c>
      <c r="D423">
        <f>IF($W423="","",INDEX(합계표[직위(통합)],$W423)&amp;"")</f>
        <v/>
      </c>
      <c r="E423">
        <f>IF($W423="","",SUMIFS(합계표[시스템 합계],합계표[사번키],INDEX(합계표[사번키],$W423)))</f>
        <v/>
      </c>
      <c r="F423">
        <f>IF($W423="","",SUMIFS(상세표[기록 시간외],상세표[사번키],INDEX(합계표[사번키],$W423),상세표[기록월],대상월키))</f>
        <v/>
      </c>
      <c r="G423">
        <f>IF($W423="","",IF(ABS($E423-$F423)&lt;0.01,"일치","불일치(차이 "&amp;TEXT($F423-$E423,"0.00")&amp;")"))</f>
        <v/>
      </c>
      <c r="H423">
        <f>IF($W423="","",SUMIFS(상세표[기록 시간외],상세표[사번키],INDEX(합계표[사번키],$W423),상세표[기록월],대상월키,상세표[반영월],"&lt;&gt;"&amp;대상월키))</f>
        <v/>
      </c>
      <c r="I423">
        <f>IF($W423="","",SUMIFS(상세표[기록 시간외],상세표[사번키],INDEX(합계표[사번키],$W423),상세표[기록월],"&lt;&gt;"&amp;대상월키,상세표[반영월],대상월키))</f>
        <v/>
      </c>
      <c r="J423">
        <f>IF($W423="","",SUMIFS(상세표[기록 시간외],상세표[사번키],INDEX(합계표[사번키],$W423),상세표[반영월],대상월키))</f>
        <v/>
      </c>
      <c r="K423">
        <f>IF($W423="","",IFERROR(INDEX(월별근무지표[적용 급여병원],MATCH(INDEX(합계표[사번키],$W423)&amp;"|"&amp;대상월키,월별근무지표[키],0))&amp;"",IF(COUNTIF(기관표[사번키],INDEX(합계표[사번키],$W423))+COUNTIF(월별근무지표[사번키],INDEX(합계표[사번키],$W423))&gt;0,IFERROR(INDEX(기관표[급여지급병원(기준월)],MATCH(INDEX(합계표[사번키],$W423)&amp;"|"&amp;대상월키,기관표[키],0))&amp;"","—"),"—")))</f>
        <v/>
      </c>
      <c r="L423">
        <f>IF($W423="","",IF(NOT(COUNTIF(기관표[사번키],INDEX(합계표[사번키],$W423))+COUNTIF(월별근무지표[사번키],INDEX(합계표[사번키],$W423))&gt;0),"기관명단에 없음(다른 병원으로 발송)",IF($K423="—","대상월 기관명단 없음(추가 필요)",IF($K423="서울병원","해당","비해당"))))</f>
        <v/>
      </c>
      <c r="M423">
        <f>IF($W423="","",SUMIFS(상세표[06~07시],상세표[사번키],INDEX(합계표[사번키],$W423),상세표[반영월],대상월키,상세표[반영 기관],"서울병원"))</f>
        <v/>
      </c>
      <c r="N423">
        <f>IF($W423="","",SUMIFS(상세표[07~18시],상세표[사번키],INDEX(합계표[사번키],$W423),상세표[반영월],대상월키,상세표[반영 기관],"서울병원"))</f>
        <v/>
      </c>
      <c r="O423">
        <f>IF($W423="","",SUMIFS(상세표[18~22시],상세표[사번키],INDEX(합계표[사번키],$W423),상세표[반영월],대상월키,상세표[반영 기관],"서울병원"))</f>
        <v/>
      </c>
      <c r="P423">
        <f>IF($W423="","",SUMIFS(상세표[22~06시],상세표[사번키],INDEX(합계표[사번키],$W423),상세표[반영월],대상월키,상세표[반영 기관],"서울병원"))</f>
        <v/>
      </c>
      <c r="Q423">
        <f>IF($W423="","",SUM($M423:$P423))</f>
        <v/>
      </c>
      <c r="R423">
        <f>IF($W423="","",COUNTIFS(상세표[사번키],INDEX(합계표[사번키],$W423),상세표[반영월],대상월키,상세표[야간당직],1,상세표[야간 구분],"평일"))</f>
        <v/>
      </c>
      <c r="S423" s="4">
        <f>IF($W423="","",COUNTIFS(상세표[사번키],INDEX(합계표[사번키],$W423),상세표[반영월],대상월키,상세표[야간당직],1,상세표[야간 구분],"휴일"))</f>
        <v/>
      </c>
      <c r="T423">
        <f>IF($W423="","",COUNTIFS(상세표[사번키],INDEX(합계표[사번키],$W423),상세표[반영월],대상월키,상세표[야간당직],1,상세표[야간 구분],"평일",상세표[반영 기관],"서울병원"))</f>
        <v/>
      </c>
      <c r="U423">
        <f>IF($W423="","",COUNTIFS(상세표[사번키],INDEX(합계표[사번키],$W423),상세표[반영월],대상월키,상세표[야간당직],1,상세표[야간 구분],"휴일",상세표[반영 기관],"서울병원"))</f>
        <v/>
      </c>
      <c r="V423">
        <f>IF($W423="","",IF(ISNUMBER(MATCH(INDEX(합계표[사번키],$W423)&amp;"|"&amp;대상월키,월별근무지표[키],0)),"직접 입력",IF($K423="—","—","기관명단")))</f>
        <v/>
      </c>
      <c r="W423">
        <f>IFERROR(MATCH(418,합계표[판정순번],0),"")</f>
        <v/>
      </c>
    </row>
    <row r="424">
      <c r="A424">
        <f>IF($W424="","",INDEX(합계표[사번],$W424)&amp;"")</f>
        <v/>
      </c>
      <c r="B424">
        <f>IF($W424="","",INDEX(합계표[성명],$W424)&amp;"")</f>
        <v/>
      </c>
      <c r="C424">
        <f>IF($W424="","",INDEX(합계표[부서],$W424)&amp;"")</f>
        <v/>
      </c>
      <c r="D424">
        <f>IF($W424="","",INDEX(합계표[직위(통합)],$W424)&amp;"")</f>
        <v/>
      </c>
      <c r="E424">
        <f>IF($W424="","",SUMIFS(합계표[시스템 합계],합계표[사번키],INDEX(합계표[사번키],$W424)))</f>
        <v/>
      </c>
      <c r="F424">
        <f>IF($W424="","",SUMIFS(상세표[기록 시간외],상세표[사번키],INDEX(합계표[사번키],$W424),상세표[기록월],대상월키))</f>
        <v/>
      </c>
      <c r="G424">
        <f>IF($W424="","",IF(ABS($E424-$F424)&lt;0.01,"일치","불일치(차이 "&amp;TEXT($F424-$E424,"0.00")&amp;")"))</f>
        <v/>
      </c>
      <c r="H424">
        <f>IF($W424="","",SUMIFS(상세표[기록 시간외],상세표[사번키],INDEX(합계표[사번키],$W424),상세표[기록월],대상월키,상세표[반영월],"&lt;&gt;"&amp;대상월키))</f>
        <v/>
      </c>
      <c r="I424">
        <f>IF($W424="","",SUMIFS(상세표[기록 시간외],상세표[사번키],INDEX(합계표[사번키],$W424),상세표[기록월],"&lt;&gt;"&amp;대상월키,상세표[반영월],대상월키))</f>
        <v/>
      </c>
      <c r="J424">
        <f>IF($W424="","",SUMIFS(상세표[기록 시간외],상세표[사번키],INDEX(합계표[사번키],$W424),상세표[반영월],대상월키))</f>
        <v/>
      </c>
      <c r="K424">
        <f>IF($W424="","",IFERROR(INDEX(월별근무지표[적용 급여병원],MATCH(INDEX(합계표[사번키],$W424)&amp;"|"&amp;대상월키,월별근무지표[키],0))&amp;"",IF(COUNTIF(기관표[사번키],INDEX(합계표[사번키],$W424))+COUNTIF(월별근무지표[사번키],INDEX(합계표[사번키],$W424))&gt;0,IFERROR(INDEX(기관표[급여지급병원(기준월)],MATCH(INDEX(합계표[사번키],$W424)&amp;"|"&amp;대상월키,기관표[키],0))&amp;"","—"),"—")))</f>
        <v/>
      </c>
      <c r="L424">
        <f>IF($W424="","",IF(NOT(COUNTIF(기관표[사번키],INDEX(합계표[사번키],$W424))+COUNTIF(월별근무지표[사번키],INDEX(합계표[사번키],$W424))&gt;0),"기관명단에 없음(다른 병원으로 발송)",IF($K424="—","대상월 기관명단 없음(추가 필요)",IF($K424="서울병원","해당","비해당"))))</f>
        <v/>
      </c>
      <c r="M424">
        <f>IF($W424="","",SUMIFS(상세표[06~07시],상세표[사번키],INDEX(합계표[사번키],$W424),상세표[반영월],대상월키,상세표[반영 기관],"서울병원"))</f>
        <v/>
      </c>
      <c r="N424">
        <f>IF($W424="","",SUMIFS(상세표[07~18시],상세표[사번키],INDEX(합계표[사번키],$W424),상세표[반영월],대상월키,상세표[반영 기관],"서울병원"))</f>
        <v/>
      </c>
      <c r="O424">
        <f>IF($W424="","",SUMIFS(상세표[18~22시],상세표[사번키],INDEX(합계표[사번키],$W424),상세표[반영월],대상월키,상세표[반영 기관],"서울병원"))</f>
        <v/>
      </c>
      <c r="P424">
        <f>IF($W424="","",SUMIFS(상세표[22~06시],상세표[사번키],INDEX(합계표[사번키],$W424),상세표[반영월],대상월키,상세표[반영 기관],"서울병원"))</f>
        <v/>
      </c>
      <c r="Q424">
        <f>IF($W424="","",SUM($M424:$P424))</f>
        <v/>
      </c>
      <c r="R424">
        <f>IF($W424="","",COUNTIFS(상세표[사번키],INDEX(합계표[사번키],$W424),상세표[반영월],대상월키,상세표[야간당직],1,상세표[야간 구분],"평일"))</f>
        <v/>
      </c>
      <c r="S424" s="4">
        <f>IF($W424="","",COUNTIFS(상세표[사번키],INDEX(합계표[사번키],$W424),상세표[반영월],대상월키,상세표[야간당직],1,상세표[야간 구분],"휴일"))</f>
        <v/>
      </c>
      <c r="T424">
        <f>IF($W424="","",COUNTIFS(상세표[사번키],INDEX(합계표[사번키],$W424),상세표[반영월],대상월키,상세표[야간당직],1,상세표[야간 구분],"평일",상세표[반영 기관],"서울병원"))</f>
        <v/>
      </c>
      <c r="U424">
        <f>IF($W424="","",COUNTIFS(상세표[사번키],INDEX(합계표[사번키],$W424),상세표[반영월],대상월키,상세표[야간당직],1,상세표[야간 구분],"휴일",상세표[반영 기관],"서울병원"))</f>
        <v/>
      </c>
      <c r="V424">
        <f>IF($W424="","",IF(ISNUMBER(MATCH(INDEX(합계표[사번키],$W424)&amp;"|"&amp;대상월키,월별근무지표[키],0)),"직접 입력",IF($K424="—","—","기관명단")))</f>
        <v/>
      </c>
      <c r="W424">
        <f>IFERROR(MATCH(419,합계표[판정순번],0),"")</f>
        <v/>
      </c>
    </row>
    <row r="425">
      <c r="A425">
        <f>IF($W425="","",INDEX(합계표[사번],$W425)&amp;"")</f>
        <v/>
      </c>
      <c r="B425">
        <f>IF($W425="","",INDEX(합계표[성명],$W425)&amp;"")</f>
        <v/>
      </c>
      <c r="C425">
        <f>IF($W425="","",INDEX(합계표[부서],$W425)&amp;"")</f>
        <v/>
      </c>
      <c r="D425">
        <f>IF($W425="","",INDEX(합계표[직위(통합)],$W425)&amp;"")</f>
        <v/>
      </c>
      <c r="E425">
        <f>IF($W425="","",SUMIFS(합계표[시스템 합계],합계표[사번키],INDEX(합계표[사번키],$W425)))</f>
        <v/>
      </c>
      <c r="F425">
        <f>IF($W425="","",SUMIFS(상세표[기록 시간외],상세표[사번키],INDEX(합계표[사번키],$W425),상세표[기록월],대상월키))</f>
        <v/>
      </c>
      <c r="G425">
        <f>IF($W425="","",IF(ABS($E425-$F425)&lt;0.01,"일치","불일치(차이 "&amp;TEXT($F425-$E425,"0.00")&amp;")"))</f>
        <v/>
      </c>
      <c r="H425">
        <f>IF($W425="","",SUMIFS(상세표[기록 시간외],상세표[사번키],INDEX(합계표[사번키],$W425),상세표[기록월],대상월키,상세표[반영월],"&lt;&gt;"&amp;대상월키))</f>
        <v/>
      </c>
      <c r="I425">
        <f>IF($W425="","",SUMIFS(상세표[기록 시간외],상세표[사번키],INDEX(합계표[사번키],$W425),상세표[기록월],"&lt;&gt;"&amp;대상월키,상세표[반영월],대상월키))</f>
        <v/>
      </c>
      <c r="J425">
        <f>IF($W425="","",SUMIFS(상세표[기록 시간외],상세표[사번키],INDEX(합계표[사번키],$W425),상세표[반영월],대상월키))</f>
        <v/>
      </c>
      <c r="K425">
        <f>IF($W425="","",IFERROR(INDEX(월별근무지표[적용 급여병원],MATCH(INDEX(합계표[사번키],$W425)&amp;"|"&amp;대상월키,월별근무지표[키],0))&amp;"",IF(COUNTIF(기관표[사번키],INDEX(합계표[사번키],$W425))+COUNTIF(월별근무지표[사번키],INDEX(합계표[사번키],$W425))&gt;0,IFERROR(INDEX(기관표[급여지급병원(기준월)],MATCH(INDEX(합계표[사번키],$W425)&amp;"|"&amp;대상월키,기관표[키],0))&amp;"","—"),"—")))</f>
        <v/>
      </c>
      <c r="L425">
        <f>IF($W425="","",IF(NOT(COUNTIF(기관표[사번키],INDEX(합계표[사번키],$W425))+COUNTIF(월별근무지표[사번키],INDEX(합계표[사번키],$W425))&gt;0),"기관명단에 없음(다른 병원으로 발송)",IF($K425="—","대상월 기관명단 없음(추가 필요)",IF($K425="서울병원","해당","비해당"))))</f>
        <v/>
      </c>
      <c r="M425">
        <f>IF($W425="","",SUMIFS(상세표[06~07시],상세표[사번키],INDEX(합계표[사번키],$W425),상세표[반영월],대상월키,상세표[반영 기관],"서울병원"))</f>
        <v/>
      </c>
      <c r="N425">
        <f>IF($W425="","",SUMIFS(상세표[07~18시],상세표[사번키],INDEX(합계표[사번키],$W425),상세표[반영월],대상월키,상세표[반영 기관],"서울병원"))</f>
        <v/>
      </c>
      <c r="O425">
        <f>IF($W425="","",SUMIFS(상세표[18~22시],상세표[사번키],INDEX(합계표[사번키],$W425),상세표[반영월],대상월키,상세표[반영 기관],"서울병원"))</f>
        <v/>
      </c>
      <c r="P425">
        <f>IF($W425="","",SUMIFS(상세표[22~06시],상세표[사번키],INDEX(합계표[사번키],$W425),상세표[반영월],대상월키,상세표[반영 기관],"서울병원"))</f>
        <v/>
      </c>
      <c r="Q425">
        <f>IF($W425="","",SUM($M425:$P425))</f>
        <v/>
      </c>
      <c r="R425">
        <f>IF($W425="","",COUNTIFS(상세표[사번키],INDEX(합계표[사번키],$W425),상세표[반영월],대상월키,상세표[야간당직],1,상세표[야간 구분],"평일"))</f>
        <v/>
      </c>
      <c r="S425" s="4">
        <f>IF($W425="","",COUNTIFS(상세표[사번키],INDEX(합계표[사번키],$W425),상세표[반영월],대상월키,상세표[야간당직],1,상세표[야간 구분],"휴일"))</f>
        <v/>
      </c>
      <c r="T425">
        <f>IF($W425="","",COUNTIFS(상세표[사번키],INDEX(합계표[사번키],$W425),상세표[반영월],대상월키,상세표[야간당직],1,상세표[야간 구분],"평일",상세표[반영 기관],"서울병원"))</f>
        <v/>
      </c>
      <c r="U425">
        <f>IF($W425="","",COUNTIFS(상세표[사번키],INDEX(합계표[사번키],$W425),상세표[반영월],대상월키,상세표[야간당직],1,상세표[야간 구분],"휴일",상세표[반영 기관],"서울병원"))</f>
        <v/>
      </c>
      <c r="V425">
        <f>IF($W425="","",IF(ISNUMBER(MATCH(INDEX(합계표[사번키],$W425)&amp;"|"&amp;대상월키,월별근무지표[키],0)),"직접 입력",IF($K425="—","—","기관명단")))</f>
        <v/>
      </c>
      <c r="W425">
        <f>IFERROR(MATCH(420,합계표[판정순번],0),"")</f>
        <v/>
      </c>
    </row>
    <row r="426">
      <c r="A426">
        <f>IF($W426="","",INDEX(합계표[사번],$W426)&amp;"")</f>
        <v/>
      </c>
      <c r="B426">
        <f>IF($W426="","",INDEX(합계표[성명],$W426)&amp;"")</f>
        <v/>
      </c>
      <c r="C426">
        <f>IF($W426="","",INDEX(합계표[부서],$W426)&amp;"")</f>
        <v/>
      </c>
      <c r="D426">
        <f>IF($W426="","",INDEX(합계표[직위(통합)],$W426)&amp;"")</f>
        <v/>
      </c>
      <c r="E426">
        <f>IF($W426="","",SUMIFS(합계표[시스템 합계],합계표[사번키],INDEX(합계표[사번키],$W426)))</f>
        <v/>
      </c>
      <c r="F426">
        <f>IF($W426="","",SUMIFS(상세표[기록 시간외],상세표[사번키],INDEX(합계표[사번키],$W426),상세표[기록월],대상월키))</f>
        <v/>
      </c>
      <c r="G426">
        <f>IF($W426="","",IF(ABS($E426-$F426)&lt;0.01,"일치","불일치(차이 "&amp;TEXT($F426-$E426,"0.00")&amp;")"))</f>
        <v/>
      </c>
      <c r="H426">
        <f>IF($W426="","",SUMIFS(상세표[기록 시간외],상세표[사번키],INDEX(합계표[사번키],$W426),상세표[기록월],대상월키,상세표[반영월],"&lt;&gt;"&amp;대상월키))</f>
        <v/>
      </c>
      <c r="I426">
        <f>IF($W426="","",SUMIFS(상세표[기록 시간외],상세표[사번키],INDEX(합계표[사번키],$W426),상세표[기록월],"&lt;&gt;"&amp;대상월키,상세표[반영월],대상월키))</f>
        <v/>
      </c>
      <c r="J426">
        <f>IF($W426="","",SUMIFS(상세표[기록 시간외],상세표[사번키],INDEX(합계표[사번키],$W426),상세표[반영월],대상월키))</f>
        <v/>
      </c>
      <c r="K426">
        <f>IF($W426="","",IFERROR(INDEX(월별근무지표[적용 급여병원],MATCH(INDEX(합계표[사번키],$W426)&amp;"|"&amp;대상월키,월별근무지표[키],0))&amp;"",IF(COUNTIF(기관표[사번키],INDEX(합계표[사번키],$W426))+COUNTIF(월별근무지표[사번키],INDEX(합계표[사번키],$W426))&gt;0,IFERROR(INDEX(기관표[급여지급병원(기준월)],MATCH(INDEX(합계표[사번키],$W426)&amp;"|"&amp;대상월키,기관표[키],0))&amp;"","—"),"—")))</f>
        <v/>
      </c>
      <c r="L426">
        <f>IF($W426="","",IF(NOT(COUNTIF(기관표[사번키],INDEX(합계표[사번키],$W426))+COUNTIF(월별근무지표[사번키],INDEX(합계표[사번키],$W426))&gt;0),"기관명단에 없음(다른 병원으로 발송)",IF($K426="—","대상월 기관명단 없음(추가 필요)",IF($K426="서울병원","해당","비해당"))))</f>
        <v/>
      </c>
      <c r="M426">
        <f>IF($W426="","",SUMIFS(상세표[06~07시],상세표[사번키],INDEX(합계표[사번키],$W426),상세표[반영월],대상월키,상세표[반영 기관],"서울병원"))</f>
        <v/>
      </c>
      <c r="N426">
        <f>IF($W426="","",SUMIFS(상세표[07~18시],상세표[사번키],INDEX(합계표[사번키],$W426),상세표[반영월],대상월키,상세표[반영 기관],"서울병원"))</f>
        <v/>
      </c>
      <c r="O426">
        <f>IF($W426="","",SUMIFS(상세표[18~22시],상세표[사번키],INDEX(합계표[사번키],$W426),상세표[반영월],대상월키,상세표[반영 기관],"서울병원"))</f>
        <v/>
      </c>
      <c r="P426">
        <f>IF($W426="","",SUMIFS(상세표[22~06시],상세표[사번키],INDEX(합계표[사번키],$W426),상세표[반영월],대상월키,상세표[반영 기관],"서울병원"))</f>
        <v/>
      </c>
      <c r="Q426">
        <f>IF($W426="","",SUM($M426:$P426))</f>
        <v/>
      </c>
      <c r="R426">
        <f>IF($W426="","",COUNTIFS(상세표[사번키],INDEX(합계표[사번키],$W426),상세표[반영월],대상월키,상세표[야간당직],1,상세표[야간 구분],"평일"))</f>
        <v/>
      </c>
      <c r="S426" s="4">
        <f>IF($W426="","",COUNTIFS(상세표[사번키],INDEX(합계표[사번키],$W426),상세표[반영월],대상월키,상세표[야간당직],1,상세표[야간 구분],"휴일"))</f>
        <v/>
      </c>
      <c r="T426">
        <f>IF($W426="","",COUNTIFS(상세표[사번키],INDEX(합계표[사번키],$W426),상세표[반영월],대상월키,상세표[야간당직],1,상세표[야간 구분],"평일",상세표[반영 기관],"서울병원"))</f>
        <v/>
      </c>
      <c r="U426">
        <f>IF($W426="","",COUNTIFS(상세표[사번키],INDEX(합계표[사번키],$W426),상세표[반영월],대상월키,상세표[야간당직],1,상세표[야간 구분],"휴일",상세표[반영 기관],"서울병원"))</f>
        <v/>
      </c>
      <c r="V426">
        <f>IF($W426="","",IF(ISNUMBER(MATCH(INDEX(합계표[사번키],$W426)&amp;"|"&amp;대상월키,월별근무지표[키],0)),"직접 입력",IF($K426="—","—","기관명단")))</f>
        <v/>
      </c>
      <c r="W426">
        <f>IFERROR(MATCH(421,합계표[판정순번],0),"")</f>
        <v/>
      </c>
    </row>
    <row r="427">
      <c r="A427">
        <f>IF($W427="","",INDEX(합계표[사번],$W427)&amp;"")</f>
        <v/>
      </c>
      <c r="B427">
        <f>IF($W427="","",INDEX(합계표[성명],$W427)&amp;"")</f>
        <v/>
      </c>
      <c r="C427">
        <f>IF($W427="","",INDEX(합계표[부서],$W427)&amp;"")</f>
        <v/>
      </c>
      <c r="D427">
        <f>IF($W427="","",INDEX(합계표[직위(통합)],$W427)&amp;"")</f>
        <v/>
      </c>
      <c r="E427">
        <f>IF($W427="","",SUMIFS(합계표[시스템 합계],합계표[사번키],INDEX(합계표[사번키],$W427)))</f>
        <v/>
      </c>
      <c r="F427">
        <f>IF($W427="","",SUMIFS(상세표[기록 시간외],상세표[사번키],INDEX(합계표[사번키],$W427),상세표[기록월],대상월키))</f>
        <v/>
      </c>
      <c r="G427">
        <f>IF($W427="","",IF(ABS($E427-$F427)&lt;0.01,"일치","불일치(차이 "&amp;TEXT($F427-$E427,"0.00")&amp;")"))</f>
        <v/>
      </c>
      <c r="H427">
        <f>IF($W427="","",SUMIFS(상세표[기록 시간외],상세표[사번키],INDEX(합계표[사번키],$W427),상세표[기록월],대상월키,상세표[반영월],"&lt;&gt;"&amp;대상월키))</f>
        <v/>
      </c>
      <c r="I427">
        <f>IF($W427="","",SUMIFS(상세표[기록 시간외],상세표[사번키],INDEX(합계표[사번키],$W427),상세표[기록월],"&lt;&gt;"&amp;대상월키,상세표[반영월],대상월키))</f>
        <v/>
      </c>
      <c r="J427">
        <f>IF($W427="","",SUMIFS(상세표[기록 시간외],상세표[사번키],INDEX(합계표[사번키],$W427),상세표[반영월],대상월키))</f>
        <v/>
      </c>
      <c r="K427">
        <f>IF($W427="","",IFERROR(INDEX(월별근무지표[적용 급여병원],MATCH(INDEX(합계표[사번키],$W427)&amp;"|"&amp;대상월키,월별근무지표[키],0))&amp;"",IF(COUNTIF(기관표[사번키],INDEX(합계표[사번키],$W427))+COUNTIF(월별근무지표[사번키],INDEX(합계표[사번키],$W427))&gt;0,IFERROR(INDEX(기관표[급여지급병원(기준월)],MATCH(INDEX(합계표[사번키],$W427)&amp;"|"&amp;대상월키,기관표[키],0))&amp;"","—"),"—")))</f>
        <v/>
      </c>
      <c r="L427">
        <f>IF($W427="","",IF(NOT(COUNTIF(기관표[사번키],INDEX(합계표[사번키],$W427))+COUNTIF(월별근무지표[사번키],INDEX(합계표[사번키],$W427))&gt;0),"기관명단에 없음(다른 병원으로 발송)",IF($K427="—","대상월 기관명단 없음(추가 필요)",IF($K427="서울병원","해당","비해당"))))</f>
        <v/>
      </c>
      <c r="M427">
        <f>IF($W427="","",SUMIFS(상세표[06~07시],상세표[사번키],INDEX(합계표[사번키],$W427),상세표[반영월],대상월키,상세표[반영 기관],"서울병원"))</f>
        <v/>
      </c>
      <c r="N427">
        <f>IF($W427="","",SUMIFS(상세표[07~18시],상세표[사번키],INDEX(합계표[사번키],$W427),상세표[반영월],대상월키,상세표[반영 기관],"서울병원"))</f>
        <v/>
      </c>
      <c r="O427">
        <f>IF($W427="","",SUMIFS(상세표[18~22시],상세표[사번키],INDEX(합계표[사번키],$W427),상세표[반영월],대상월키,상세표[반영 기관],"서울병원"))</f>
        <v/>
      </c>
      <c r="P427">
        <f>IF($W427="","",SUMIFS(상세표[22~06시],상세표[사번키],INDEX(합계표[사번키],$W427),상세표[반영월],대상월키,상세표[반영 기관],"서울병원"))</f>
        <v/>
      </c>
      <c r="Q427">
        <f>IF($W427="","",SUM($M427:$P427))</f>
        <v/>
      </c>
      <c r="R427">
        <f>IF($W427="","",COUNTIFS(상세표[사번키],INDEX(합계표[사번키],$W427),상세표[반영월],대상월키,상세표[야간당직],1,상세표[야간 구분],"평일"))</f>
        <v/>
      </c>
      <c r="S427" s="4">
        <f>IF($W427="","",COUNTIFS(상세표[사번키],INDEX(합계표[사번키],$W427),상세표[반영월],대상월키,상세표[야간당직],1,상세표[야간 구분],"휴일"))</f>
        <v/>
      </c>
      <c r="T427">
        <f>IF($W427="","",COUNTIFS(상세표[사번키],INDEX(합계표[사번키],$W427),상세표[반영월],대상월키,상세표[야간당직],1,상세표[야간 구분],"평일",상세표[반영 기관],"서울병원"))</f>
        <v/>
      </c>
      <c r="U427">
        <f>IF($W427="","",COUNTIFS(상세표[사번키],INDEX(합계표[사번키],$W427),상세표[반영월],대상월키,상세표[야간당직],1,상세표[야간 구분],"휴일",상세표[반영 기관],"서울병원"))</f>
        <v/>
      </c>
      <c r="V427">
        <f>IF($W427="","",IF(ISNUMBER(MATCH(INDEX(합계표[사번키],$W427)&amp;"|"&amp;대상월키,월별근무지표[키],0)),"직접 입력",IF($K427="—","—","기관명단")))</f>
        <v/>
      </c>
      <c r="W427">
        <f>IFERROR(MATCH(422,합계표[판정순번],0),"")</f>
        <v/>
      </c>
    </row>
    <row r="428">
      <c r="A428">
        <f>IF($W428="","",INDEX(합계표[사번],$W428)&amp;"")</f>
        <v/>
      </c>
      <c r="B428">
        <f>IF($W428="","",INDEX(합계표[성명],$W428)&amp;"")</f>
        <v/>
      </c>
      <c r="C428">
        <f>IF($W428="","",INDEX(합계표[부서],$W428)&amp;"")</f>
        <v/>
      </c>
      <c r="D428">
        <f>IF($W428="","",INDEX(합계표[직위(통합)],$W428)&amp;"")</f>
        <v/>
      </c>
      <c r="E428">
        <f>IF($W428="","",SUMIFS(합계표[시스템 합계],합계표[사번키],INDEX(합계표[사번키],$W428)))</f>
        <v/>
      </c>
      <c r="F428">
        <f>IF($W428="","",SUMIFS(상세표[기록 시간외],상세표[사번키],INDEX(합계표[사번키],$W428),상세표[기록월],대상월키))</f>
        <v/>
      </c>
      <c r="G428">
        <f>IF($W428="","",IF(ABS($E428-$F428)&lt;0.01,"일치","불일치(차이 "&amp;TEXT($F428-$E428,"0.00")&amp;")"))</f>
        <v/>
      </c>
      <c r="H428">
        <f>IF($W428="","",SUMIFS(상세표[기록 시간외],상세표[사번키],INDEX(합계표[사번키],$W428),상세표[기록월],대상월키,상세표[반영월],"&lt;&gt;"&amp;대상월키))</f>
        <v/>
      </c>
      <c r="I428">
        <f>IF($W428="","",SUMIFS(상세표[기록 시간외],상세표[사번키],INDEX(합계표[사번키],$W428),상세표[기록월],"&lt;&gt;"&amp;대상월키,상세표[반영월],대상월키))</f>
        <v/>
      </c>
      <c r="J428">
        <f>IF($W428="","",SUMIFS(상세표[기록 시간외],상세표[사번키],INDEX(합계표[사번키],$W428),상세표[반영월],대상월키))</f>
        <v/>
      </c>
      <c r="K428">
        <f>IF($W428="","",IFERROR(INDEX(월별근무지표[적용 급여병원],MATCH(INDEX(합계표[사번키],$W428)&amp;"|"&amp;대상월키,월별근무지표[키],0))&amp;"",IF(COUNTIF(기관표[사번키],INDEX(합계표[사번키],$W428))+COUNTIF(월별근무지표[사번키],INDEX(합계표[사번키],$W428))&gt;0,IFERROR(INDEX(기관표[급여지급병원(기준월)],MATCH(INDEX(합계표[사번키],$W428)&amp;"|"&amp;대상월키,기관표[키],0))&amp;"","—"),"—")))</f>
        <v/>
      </c>
      <c r="L428">
        <f>IF($W428="","",IF(NOT(COUNTIF(기관표[사번키],INDEX(합계표[사번키],$W428))+COUNTIF(월별근무지표[사번키],INDEX(합계표[사번키],$W428))&gt;0),"기관명단에 없음(다른 병원으로 발송)",IF($K428="—","대상월 기관명단 없음(추가 필요)",IF($K428="서울병원","해당","비해당"))))</f>
        <v/>
      </c>
      <c r="M428">
        <f>IF($W428="","",SUMIFS(상세표[06~07시],상세표[사번키],INDEX(합계표[사번키],$W428),상세표[반영월],대상월키,상세표[반영 기관],"서울병원"))</f>
        <v/>
      </c>
      <c r="N428">
        <f>IF($W428="","",SUMIFS(상세표[07~18시],상세표[사번키],INDEX(합계표[사번키],$W428),상세표[반영월],대상월키,상세표[반영 기관],"서울병원"))</f>
        <v/>
      </c>
      <c r="O428">
        <f>IF($W428="","",SUMIFS(상세표[18~22시],상세표[사번키],INDEX(합계표[사번키],$W428),상세표[반영월],대상월키,상세표[반영 기관],"서울병원"))</f>
        <v/>
      </c>
      <c r="P428">
        <f>IF($W428="","",SUMIFS(상세표[22~06시],상세표[사번키],INDEX(합계표[사번키],$W428),상세표[반영월],대상월키,상세표[반영 기관],"서울병원"))</f>
        <v/>
      </c>
      <c r="Q428">
        <f>IF($W428="","",SUM($M428:$P428))</f>
        <v/>
      </c>
      <c r="R428">
        <f>IF($W428="","",COUNTIFS(상세표[사번키],INDEX(합계표[사번키],$W428),상세표[반영월],대상월키,상세표[야간당직],1,상세표[야간 구분],"평일"))</f>
        <v/>
      </c>
      <c r="S428" s="4">
        <f>IF($W428="","",COUNTIFS(상세표[사번키],INDEX(합계표[사번키],$W428),상세표[반영월],대상월키,상세표[야간당직],1,상세표[야간 구분],"휴일"))</f>
        <v/>
      </c>
      <c r="T428">
        <f>IF($W428="","",COUNTIFS(상세표[사번키],INDEX(합계표[사번키],$W428),상세표[반영월],대상월키,상세표[야간당직],1,상세표[야간 구분],"평일",상세표[반영 기관],"서울병원"))</f>
        <v/>
      </c>
      <c r="U428">
        <f>IF($W428="","",COUNTIFS(상세표[사번키],INDEX(합계표[사번키],$W428),상세표[반영월],대상월키,상세표[야간당직],1,상세표[야간 구분],"휴일",상세표[반영 기관],"서울병원"))</f>
        <v/>
      </c>
      <c r="V428">
        <f>IF($W428="","",IF(ISNUMBER(MATCH(INDEX(합계표[사번키],$W428)&amp;"|"&amp;대상월키,월별근무지표[키],0)),"직접 입력",IF($K428="—","—","기관명단")))</f>
        <v/>
      </c>
      <c r="W428">
        <f>IFERROR(MATCH(423,합계표[판정순번],0),"")</f>
        <v/>
      </c>
    </row>
    <row r="429">
      <c r="A429">
        <f>IF($W429="","",INDEX(합계표[사번],$W429)&amp;"")</f>
        <v/>
      </c>
      <c r="B429">
        <f>IF($W429="","",INDEX(합계표[성명],$W429)&amp;"")</f>
        <v/>
      </c>
      <c r="C429">
        <f>IF($W429="","",INDEX(합계표[부서],$W429)&amp;"")</f>
        <v/>
      </c>
      <c r="D429">
        <f>IF($W429="","",INDEX(합계표[직위(통합)],$W429)&amp;"")</f>
        <v/>
      </c>
      <c r="E429">
        <f>IF($W429="","",SUMIFS(합계표[시스템 합계],합계표[사번키],INDEX(합계표[사번키],$W429)))</f>
        <v/>
      </c>
      <c r="F429">
        <f>IF($W429="","",SUMIFS(상세표[기록 시간외],상세표[사번키],INDEX(합계표[사번키],$W429),상세표[기록월],대상월키))</f>
        <v/>
      </c>
      <c r="G429">
        <f>IF($W429="","",IF(ABS($E429-$F429)&lt;0.01,"일치","불일치(차이 "&amp;TEXT($F429-$E429,"0.00")&amp;")"))</f>
        <v/>
      </c>
      <c r="H429">
        <f>IF($W429="","",SUMIFS(상세표[기록 시간외],상세표[사번키],INDEX(합계표[사번키],$W429),상세표[기록월],대상월키,상세표[반영월],"&lt;&gt;"&amp;대상월키))</f>
        <v/>
      </c>
      <c r="I429">
        <f>IF($W429="","",SUMIFS(상세표[기록 시간외],상세표[사번키],INDEX(합계표[사번키],$W429),상세표[기록월],"&lt;&gt;"&amp;대상월키,상세표[반영월],대상월키))</f>
        <v/>
      </c>
      <c r="J429">
        <f>IF($W429="","",SUMIFS(상세표[기록 시간외],상세표[사번키],INDEX(합계표[사번키],$W429),상세표[반영월],대상월키))</f>
        <v/>
      </c>
      <c r="K429">
        <f>IF($W429="","",IFERROR(INDEX(월별근무지표[적용 급여병원],MATCH(INDEX(합계표[사번키],$W429)&amp;"|"&amp;대상월키,월별근무지표[키],0))&amp;"",IF(COUNTIF(기관표[사번키],INDEX(합계표[사번키],$W429))+COUNTIF(월별근무지표[사번키],INDEX(합계표[사번키],$W429))&gt;0,IFERROR(INDEX(기관표[급여지급병원(기준월)],MATCH(INDEX(합계표[사번키],$W429)&amp;"|"&amp;대상월키,기관표[키],0))&amp;"","—"),"—")))</f>
        <v/>
      </c>
      <c r="L429">
        <f>IF($W429="","",IF(NOT(COUNTIF(기관표[사번키],INDEX(합계표[사번키],$W429))+COUNTIF(월별근무지표[사번키],INDEX(합계표[사번키],$W429))&gt;0),"기관명단에 없음(다른 병원으로 발송)",IF($K429="—","대상월 기관명단 없음(추가 필요)",IF($K429="서울병원","해당","비해당"))))</f>
        <v/>
      </c>
      <c r="M429">
        <f>IF($W429="","",SUMIFS(상세표[06~07시],상세표[사번키],INDEX(합계표[사번키],$W429),상세표[반영월],대상월키,상세표[반영 기관],"서울병원"))</f>
        <v/>
      </c>
      <c r="N429">
        <f>IF($W429="","",SUMIFS(상세표[07~18시],상세표[사번키],INDEX(합계표[사번키],$W429),상세표[반영월],대상월키,상세표[반영 기관],"서울병원"))</f>
        <v/>
      </c>
      <c r="O429">
        <f>IF($W429="","",SUMIFS(상세표[18~22시],상세표[사번키],INDEX(합계표[사번키],$W429),상세표[반영월],대상월키,상세표[반영 기관],"서울병원"))</f>
        <v/>
      </c>
      <c r="P429">
        <f>IF($W429="","",SUMIFS(상세표[22~06시],상세표[사번키],INDEX(합계표[사번키],$W429),상세표[반영월],대상월키,상세표[반영 기관],"서울병원"))</f>
        <v/>
      </c>
      <c r="Q429">
        <f>IF($W429="","",SUM($M429:$P429))</f>
        <v/>
      </c>
      <c r="R429">
        <f>IF($W429="","",COUNTIFS(상세표[사번키],INDEX(합계표[사번키],$W429),상세표[반영월],대상월키,상세표[야간당직],1,상세표[야간 구분],"평일"))</f>
        <v/>
      </c>
      <c r="S429" s="4">
        <f>IF($W429="","",COUNTIFS(상세표[사번키],INDEX(합계표[사번키],$W429),상세표[반영월],대상월키,상세표[야간당직],1,상세표[야간 구분],"휴일"))</f>
        <v/>
      </c>
      <c r="T429">
        <f>IF($W429="","",COUNTIFS(상세표[사번키],INDEX(합계표[사번키],$W429),상세표[반영월],대상월키,상세표[야간당직],1,상세표[야간 구분],"평일",상세표[반영 기관],"서울병원"))</f>
        <v/>
      </c>
      <c r="U429">
        <f>IF($W429="","",COUNTIFS(상세표[사번키],INDEX(합계표[사번키],$W429),상세표[반영월],대상월키,상세표[야간당직],1,상세표[야간 구분],"휴일",상세표[반영 기관],"서울병원"))</f>
        <v/>
      </c>
      <c r="V429">
        <f>IF($W429="","",IF(ISNUMBER(MATCH(INDEX(합계표[사번키],$W429)&amp;"|"&amp;대상월키,월별근무지표[키],0)),"직접 입력",IF($K429="—","—","기관명단")))</f>
        <v/>
      </c>
      <c r="W429">
        <f>IFERROR(MATCH(424,합계표[판정순번],0),"")</f>
        <v/>
      </c>
    </row>
    <row r="430">
      <c r="A430">
        <f>IF($W430="","",INDEX(합계표[사번],$W430)&amp;"")</f>
        <v/>
      </c>
      <c r="B430">
        <f>IF($W430="","",INDEX(합계표[성명],$W430)&amp;"")</f>
        <v/>
      </c>
      <c r="C430">
        <f>IF($W430="","",INDEX(합계표[부서],$W430)&amp;"")</f>
        <v/>
      </c>
      <c r="D430">
        <f>IF($W430="","",INDEX(합계표[직위(통합)],$W430)&amp;"")</f>
        <v/>
      </c>
      <c r="E430">
        <f>IF($W430="","",SUMIFS(합계표[시스템 합계],합계표[사번키],INDEX(합계표[사번키],$W430)))</f>
        <v/>
      </c>
      <c r="F430">
        <f>IF($W430="","",SUMIFS(상세표[기록 시간외],상세표[사번키],INDEX(합계표[사번키],$W430),상세표[기록월],대상월키))</f>
        <v/>
      </c>
      <c r="G430">
        <f>IF($W430="","",IF(ABS($E430-$F430)&lt;0.01,"일치","불일치(차이 "&amp;TEXT($F430-$E430,"0.00")&amp;")"))</f>
        <v/>
      </c>
      <c r="H430">
        <f>IF($W430="","",SUMIFS(상세표[기록 시간외],상세표[사번키],INDEX(합계표[사번키],$W430),상세표[기록월],대상월키,상세표[반영월],"&lt;&gt;"&amp;대상월키))</f>
        <v/>
      </c>
      <c r="I430">
        <f>IF($W430="","",SUMIFS(상세표[기록 시간외],상세표[사번키],INDEX(합계표[사번키],$W430),상세표[기록월],"&lt;&gt;"&amp;대상월키,상세표[반영월],대상월키))</f>
        <v/>
      </c>
      <c r="J430">
        <f>IF($W430="","",SUMIFS(상세표[기록 시간외],상세표[사번키],INDEX(합계표[사번키],$W430),상세표[반영월],대상월키))</f>
        <v/>
      </c>
      <c r="K430">
        <f>IF($W430="","",IFERROR(INDEX(월별근무지표[적용 급여병원],MATCH(INDEX(합계표[사번키],$W430)&amp;"|"&amp;대상월키,월별근무지표[키],0))&amp;"",IF(COUNTIF(기관표[사번키],INDEX(합계표[사번키],$W430))+COUNTIF(월별근무지표[사번키],INDEX(합계표[사번키],$W430))&gt;0,IFERROR(INDEX(기관표[급여지급병원(기준월)],MATCH(INDEX(합계표[사번키],$W430)&amp;"|"&amp;대상월키,기관표[키],0))&amp;"","—"),"—")))</f>
        <v/>
      </c>
      <c r="L430">
        <f>IF($W430="","",IF(NOT(COUNTIF(기관표[사번키],INDEX(합계표[사번키],$W430))+COUNTIF(월별근무지표[사번키],INDEX(합계표[사번키],$W430))&gt;0),"기관명단에 없음(다른 병원으로 발송)",IF($K430="—","대상월 기관명단 없음(추가 필요)",IF($K430="서울병원","해당","비해당"))))</f>
        <v/>
      </c>
      <c r="M430">
        <f>IF($W430="","",SUMIFS(상세표[06~07시],상세표[사번키],INDEX(합계표[사번키],$W430),상세표[반영월],대상월키,상세표[반영 기관],"서울병원"))</f>
        <v/>
      </c>
      <c r="N430">
        <f>IF($W430="","",SUMIFS(상세표[07~18시],상세표[사번키],INDEX(합계표[사번키],$W430),상세표[반영월],대상월키,상세표[반영 기관],"서울병원"))</f>
        <v/>
      </c>
      <c r="O430">
        <f>IF($W430="","",SUMIFS(상세표[18~22시],상세표[사번키],INDEX(합계표[사번키],$W430),상세표[반영월],대상월키,상세표[반영 기관],"서울병원"))</f>
        <v/>
      </c>
      <c r="P430">
        <f>IF($W430="","",SUMIFS(상세표[22~06시],상세표[사번키],INDEX(합계표[사번키],$W430),상세표[반영월],대상월키,상세표[반영 기관],"서울병원"))</f>
        <v/>
      </c>
      <c r="Q430">
        <f>IF($W430="","",SUM($M430:$P430))</f>
        <v/>
      </c>
      <c r="R430">
        <f>IF($W430="","",COUNTIFS(상세표[사번키],INDEX(합계표[사번키],$W430),상세표[반영월],대상월키,상세표[야간당직],1,상세표[야간 구분],"평일"))</f>
        <v/>
      </c>
      <c r="S430" s="4">
        <f>IF($W430="","",COUNTIFS(상세표[사번키],INDEX(합계표[사번키],$W430),상세표[반영월],대상월키,상세표[야간당직],1,상세표[야간 구분],"휴일"))</f>
        <v/>
      </c>
      <c r="T430">
        <f>IF($W430="","",COUNTIFS(상세표[사번키],INDEX(합계표[사번키],$W430),상세표[반영월],대상월키,상세표[야간당직],1,상세표[야간 구분],"평일",상세표[반영 기관],"서울병원"))</f>
        <v/>
      </c>
      <c r="U430">
        <f>IF($W430="","",COUNTIFS(상세표[사번키],INDEX(합계표[사번키],$W430),상세표[반영월],대상월키,상세표[야간당직],1,상세표[야간 구분],"휴일",상세표[반영 기관],"서울병원"))</f>
        <v/>
      </c>
      <c r="V430">
        <f>IF($W430="","",IF(ISNUMBER(MATCH(INDEX(합계표[사번키],$W430)&amp;"|"&amp;대상월키,월별근무지표[키],0)),"직접 입력",IF($K430="—","—","기관명단")))</f>
        <v/>
      </c>
      <c r="W430">
        <f>IFERROR(MATCH(425,합계표[판정순번],0),"")</f>
        <v/>
      </c>
    </row>
    <row r="431">
      <c r="A431">
        <f>IF($W431="","",INDEX(합계표[사번],$W431)&amp;"")</f>
        <v/>
      </c>
      <c r="B431">
        <f>IF($W431="","",INDEX(합계표[성명],$W431)&amp;"")</f>
        <v/>
      </c>
      <c r="C431">
        <f>IF($W431="","",INDEX(합계표[부서],$W431)&amp;"")</f>
        <v/>
      </c>
      <c r="D431">
        <f>IF($W431="","",INDEX(합계표[직위(통합)],$W431)&amp;"")</f>
        <v/>
      </c>
      <c r="E431">
        <f>IF($W431="","",SUMIFS(합계표[시스템 합계],합계표[사번키],INDEX(합계표[사번키],$W431)))</f>
        <v/>
      </c>
      <c r="F431">
        <f>IF($W431="","",SUMIFS(상세표[기록 시간외],상세표[사번키],INDEX(합계표[사번키],$W431),상세표[기록월],대상월키))</f>
        <v/>
      </c>
      <c r="G431">
        <f>IF($W431="","",IF(ABS($E431-$F431)&lt;0.01,"일치","불일치(차이 "&amp;TEXT($F431-$E431,"0.00")&amp;")"))</f>
        <v/>
      </c>
      <c r="H431">
        <f>IF($W431="","",SUMIFS(상세표[기록 시간외],상세표[사번키],INDEX(합계표[사번키],$W431),상세표[기록월],대상월키,상세표[반영월],"&lt;&gt;"&amp;대상월키))</f>
        <v/>
      </c>
      <c r="I431">
        <f>IF($W431="","",SUMIFS(상세표[기록 시간외],상세표[사번키],INDEX(합계표[사번키],$W431),상세표[기록월],"&lt;&gt;"&amp;대상월키,상세표[반영월],대상월키))</f>
        <v/>
      </c>
      <c r="J431">
        <f>IF($W431="","",SUMIFS(상세표[기록 시간외],상세표[사번키],INDEX(합계표[사번키],$W431),상세표[반영월],대상월키))</f>
        <v/>
      </c>
      <c r="K431">
        <f>IF($W431="","",IFERROR(INDEX(월별근무지표[적용 급여병원],MATCH(INDEX(합계표[사번키],$W431)&amp;"|"&amp;대상월키,월별근무지표[키],0))&amp;"",IF(COUNTIF(기관표[사번키],INDEX(합계표[사번키],$W431))+COUNTIF(월별근무지표[사번키],INDEX(합계표[사번키],$W431))&gt;0,IFERROR(INDEX(기관표[급여지급병원(기준월)],MATCH(INDEX(합계표[사번키],$W431)&amp;"|"&amp;대상월키,기관표[키],0))&amp;"","—"),"—")))</f>
        <v/>
      </c>
      <c r="L431">
        <f>IF($W431="","",IF(NOT(COUNTIF(기관표[사번키],INDEX(합계표[사번키],$W431))+COUNTIF(월별근무지표[사번키],INDEX(합계표[사번키],$W431))&gt;0),"기관명단에 없음(다른 병원으로 발송)",IF($K431="—","대상월 기관명단 없음(추가 필요)",IF($K431="서울병원","해당","비해당"))))</f>
        <v/>
      </c>
      <c r="M431">
        <f>IF($W431="","",SUMIFS(상세표[06~07시],상세표[사번키],INDEX(합계표[사번키],$W431),상세표[반영월],대상월키,상세표[반영 기관],"서울병원"))</f>
        <v/>
      </c>
      <c r="N431">
        <f>IF($W431="","",SUMIFS(상세표[07~18시],상세표[사번키],INDEX(합계표[사번키],$W431),상세표[반영월],대상월키,상세표[반영 기관],"서울병원"))</f>
        <v/>
      </c>
      <c r="O431">
        <f>IF($W431="","",SUMIFS(상세표[18~22시],상세표[사번키],INDEX(합계표[사번키],$W431),상세표[반영월],대상월키,상세표[반영 기관],"서울병원"))</f>
        <v/>
      </c>
      <c r="P431">
        <f>IF($W431="","",SUMIFS(상세표[22~06시],상세표[사번키],INDEX(합계표[사번키],$W431),상세표[반영월],대상월키,상세표[반영 기관],"서울병원"))</f>
        <v/>
      </c>
      <c r="Q431">
        <f>IF($W431="","",SUM($M431:$P431))</f>
        <v/>
      </c>
      <c r="R431">
        <f>IF($W431="","",COUNTIFS(상세표[사번키],INDEX(합계표[사번키],$W431),상세표[반영월],대상월키,상세표[야간당직],1,상세표[야간 구분],"평일"))</f>
        <v/>
      </c>
      <c r="S431" s="4">
        <f>IF($W431="","",COUNTIFS(상세표[사번키],INDEX(합계표[사번키],$W431),상세표[반영월],대상월키,상세표[야간당직],1,상세표[야간 구분],"휴일"))</f>
        <v/>
      </c>
      <c r="T431">
        <f>IF($W431="","",COUNTIFS(상세표[사번키],INDEX(합계표[사번키],$W431),상세표[반영월],대상월키,상세표[야간당직],1,상세표[야간 구분],"평일",상세표[반영 기관],"서울병원"))</f>
        <v/>
      </c>
      <c r="U431">
        <f>IF($W431="","",COUNTIFS(상세표[사번키],INDEX(합계표[사번키],$W431),상세표[반영월],대상월키,상세표[야간당직],1,상세표[야간 구분],"휴일",상세표[반영 기관],"서울병원"))</f>
        <v/>
      </c>
      <c r="V431">
        <f>IF($W431="","",IF(ISNUMBER(MATCH(INDEX(합계표[사번키],$W431)&amp;"|"&amp;대상월키,월별근무지표[키],0)),"직접 입력",IF($K431="—","—","기관명단")))</f>
        <v/>
      </c>
      <c r="W431">
        <f>IFERROR(MATCH(426,합계표[판정순번],0),"")</f>
        <v/>
      </c>
    </row>
    <row r="432">
      <c r="A432">
        <f>IF($W432="","",INDEX(합계표[사번],$W432)&amp;"")</f>
        <v/>
      </c>
      <c r="B432">
        <f>IF($W432="","",INDEX(합계표[성명],$W432)&amp;"")</f>
        <v/>
      </c>
      <c r="C432">
        <f>IF($W432="","",INDEX(합계표[부서],$W432)&amp;"")</f>
        <v/>
      </c>
      <c r="D432">
        <f>IF($W432="","",INDEX(합계표[직위(통합)],$W432)&amp;"")</f>
        <v/>
      </c>
      <c r="E432">
        <f>IF($W432="","",SUMIFS(합계표[시스템 합계],합계표[사번키],INDEX(합계표[사번키],$W432)))</f>
        <v/>
      </c>
      <c r="F432">
        <f>IF($W432="","",SUMIFS(상세표[기록 시간외],상세표[사번키],INDEX(합계표[사번키],$W432),상세표[기록월],대상월키))</f>
        <v/>
      </c>
      <c r="G432">
        <f>IF($W432="","",IF(ABS($E432-$F432)&lt;0.01,"일치","불일치(차이 "&amp;TEXT($F432-$E432,"0.00")&amp;")"))</f>
        <v/>
      </c>
      <c r="H432">
        <f>IF($W432="","",SUMIFS(상세표[기록 시간외],상세표[사번키],INDEX(합계표[사번키],$W432),상세표[기록월],대상월키,상세표[반영월],"&lt;&gt;"&amp;대상월키))</f>
        <v/>
      </c>
      <c r="I432">
        <f>IF($W432="","",SUMIFS(상세표[기록 시간외],상세표[사번키],INDEX(합계표[사번키],$W432),상세표[기록월],"&lt;&gt;"&amp;대상월키,상세표[반영월],대상월키))</f>
        <v/>
      </c>
      <c r="J432">
        <f>IF($W432="","",SUMIFS(상세표[기록 시간외],상세표[사번키],INDEX(합계표[사번키],$W432),상세표[반영월],대상월키))</f>
        <v/>
      </c>
      <c r="K432">
        <f>IF($W432="","",IFERROR(INDEX(월별근무지표[적용 급여병원],MATCH(INDEX(합계표[사번키],$W432)&amp;"|"&amp;대상월키,월별근무지표[키],0))&amp;"",IF(COUNTIF(기관표[사번키],INDEX(합계표[사번키],$W432))+COUNTIF(월별근무지표[사번키],INDEX(합계표[사번키],$W432))&gt;0,IFERROR(INDEX(기관표[급여지급병원(기준월)],MATCH(INDEX(합계표[사번키],$W432)&amp;"|"&amp;대상월키,기관표[키],0))&amp;"","—"),"—")))</f>
        <v/>
      </c>
      <c r="L432">
        <f>IF($W432="","",IF(NOT(COUNTIF(기관표[사번키],INDEX(합계표[사번키],$W432))+COUNTIF(월별근무지표[사번키],INDEX(합계표[사번키],$W432))&gt;0),"기관명단에 없음(다른 병원으로 발송)",IF($K432="—","대상월 기관명단 없음(추가 필요)",IF($K432="서울병원","해당","비해당"))))</f>
        <v/>
      </c>
      <c r="M432">
        <f>IF($W432="","",SUMIFS(상세표[06~07시],상세표[사번키],INDEX(합계표[사번키],$W432),상세표[반영월],대상월키,상세표[반영 기관],"서울병원"))</f>
        <v/>
      </c>
      <c r="N432">
        <f>IF($W432="","",SUMIFS(상세표[07~18시],상세표[사번키],INDEX(합계표[사번키],$W432),상세표[반영월],대상월키,상세표[반영 기관],"서울병원"))</f>
        <v/>
      </c>
      <c r="O432">
        <f>IF($W432="","",SUMIFS(상세표[18~22시],상세표[사번키],INDEX(합계표[사번키],$W432),상세표[반영월],대상월키,상세표[반영 기관],"서울병원"))</f>
        <v/>
      </c>
      <c r="P432">
        <f>IF($W432="","",SUMIFS(상세표[22~06시],상세표[사번키],INDEX(합계표[사번키],$W432),상세표[반영월],대상월키,상세표[반영 기관],"서울병원"))</f>
        <v/>
      </c>
      <c r="Q432">
        <f>IF($W432="","",SUM($M432:$P432))</f>
        <v/>
      </c>
      <c r="R432">
        <f>IF($W432="","",COUNTIFS(상세표[사번키],INDEX(합계표[사번키],$W432),상세표[반영월],대상월키,상세표[야간당직],1,상세표[야간 구분],"평일"))</f>
        <v/>
      </c>
      <c r="S432" s="4">
        <f>IF($W432="","",COUNTIFS(상세표[사번키],INDEX(합계표[사번키],$W432),상세표[반영월],대상월키,상세표[야간당직],1,상세표[야간 구분],"휴일"))</f>
        <v/>
      </c>
      <c r="T432">
        <f>IF($W432="","",COUNTIFS(상세표[사번키],INDEX(합계표[사번키],$W432),상세표[반영월],대상월키,상세표[야간당직],1,상세표[야간 구분],"평일",상세표[반영 기관],"서울병원"))</f>
        <v/>
      </c>
      <c r="U432">
        <f>IF($W432="","",COUNTIFS(상세표[사번키],INDEX(합계표[사번키],$W432),상세표[반영월],대상월키,상세표[야간당직],1,상세표[야간 구분],"휴일",상세표[반영 기관],"서울병원"))</f>
        <v/>
      </c>
      <c r="V432">
        <f>IF($W432="","",IF(ISNUMBER(MATCH(INDEX(합계표[사번키],$W432)&amp;"|"&amp;대상월키,월별근무지표[키],0)),"직접 입력",IF($K432="—","—","기관명단")))</f>
        <v/>
      </c>
      <c r="W432">
        <f>IFERROR(MATCH(427,합계표[판정순번],0),"")</f>
        <v/>
      </c>
    </row>
    <row r="433">
      <c r="A433">
        <f>IF($W433="","",INDEX(합계표[사번],$W433)&amp;"")</f>
        <v/>
      </c>
      <c r="B433">
        <f>IF($W433="","",INDEX(합계표[성명],$W433)&amp;"")</f>
        <v/>
      </c>
      <c r="C433">
        <f>IF($W433="","",INDEX(합계표[부서],$W433)&amp;"")</f>
        <v/>
      </c>
      <c r="D433">
        <f>IF($W433="","",INDEX(합계표[직위(통합)],$W433)&amp;"")</f>
        <v/>
      </c>
      <c r="E433">
        <f>IF($W433="","",SUMIFS(합계표[시스템 합계],합계표[사번키],INDEX(합계표[사번키],$W433)))</f>
        <v/>
      </c>
      <c r="F433">
        <f>IF($W433="","",SUMIFS(상세표[기록 시간외],상세표[사번키],INDEX(합계표[사번키],$W433),상세표[기록월],대상월키))</f>
        <v/>
      </c>
      <c r="G433">
        <f>IF($W433="","",IF(ABS($E433-$F433)&lt;0.01,"일치","불일치(차이 "&amp;TEXT($F433-$E433,"0.00")&amp;")"))</f>
        <v/>
      </c>
      <c r="H433">
        <f>IF($W433="","",SUMIFS(상세표[기록 시간외],상세표[사번키],INDEX(합계표[사번키],$W433),상세표[기록월],대상월키,상세표[반영월],"&lt;&gt;"&amp;대상월키))</f>
        <v/>
      </c>
      <c r="I433">
        <f>IF($W433="","",SUMIFS(상세표[기록 시간외],상세표[사번키],INDEX(합계표[사번키],$W433),상세표[기록월],"&lt;&gt;"&amp;대상월키,상세표[반영월],대상월키))</f>
        <v/>
      </c>
      <c r="J433">
        <f>IF($W433="","",SUMIFS(상세표[기록 시간외],상세표[사번키],INDEX(합계표[사번키],$W433),상세표[반영월],대상월키))</f>
        <v/>
      </c>
      <c r="K433">
        <f>IF($W433="","",IFERROR(INDEX(월별근무지표[적용 급여병원],MATCH(INDEX(합계표[사번키],$W433)&amp;"|"&amp;대상월키,월별근무지표[키],0))&amp;"",IF(COUNTIF(기관표[사번키],INDEX(합계표[사번키],$W433))+COUNTIF(월별근무지표[사번키],INDEX(합계표[사번키],$W433))&gt;0,IFERROR(INDEX(기관표[급여지급병원(기준월)],MATCH(INDEX(합계표[사번키],$W433)&amp;"|"&amp;대상월키,기관표[키],0))&amp;"","—"),"—")))</f>
        <v/>
      </c>
      <c r="L433">
        <f>IF($W433="","",IF(NOT(COUNTIF(기관표[사번키],INDEX(합계표[사번키],$W433))+COUNTIF(월별근무지표[사번키],INDEX(합계표[사번키],$W433))&gt;0),"기관명단에 없음(다른 병원으로 발송)",IF($K433="—","대상월 기관명단 없음(추가 필요)",IF($K433="서울병원","해당","비해당"))))</f>
        <v/>
      </c>
      <c r="M433">
        <f>IF($W433="","",SUMIFS(상세표[06~07시],상세표[사번키],INDEX(합계표[사번키],$W433),상세표[반영월],대상월키,상세표[반영 기관],"서울병원"))</f>
        <v/>
      </c>
      <c r="N433">
        <f>IF($W433="","",SUMIFS(상세표[07~18시],상세표[사번키],INDEX(합계표[사번키],$W433),상세표[반영월],대상월키,상세표[반영 기관],"서울병원"))</f>
        <v/>
      </c>
      <c r="O433">
        <f>IF($W433="","",SUMIFS(상세표[18~22시],상세표[사번키],INDEX(합계표[사번키],$W433),상세표[반영월],대상월키,상세표[반영 기관],"서울병원"))</f>
        <v/>
      </c>
      <c r="P433">
        <f>IF($W433="","",SUMIFS(상세표[22~06시],상세표[사번키],INDEX(합계표[사번키],$W433),상세표[반영월],대상월키,상세표[반영 기관],"서울병원"))</f>
        <v/>
      </c>
      <c r="Q433">
        <f>IF($W433="","",SUM($M433:$P433))</f>
        <v/>
      </c>
      <c r="R433">
        <f>IF($W433="","",COUNTIFS(상세표[사번키],INDEX(합계표[사번키],$W433),상세표[반영월],대상월키,상세표[야간당직],1,상세표[야간 구분],"평일"))</f>
        <v/>
      </c>
      <c r="S433" s="4">
        <f>IF($W433="","",COUNTIFS(상세표[사번키],INDEX(합계표[사번키],$W433),상세표[반영월],대상월키,상세표[야간당직],1,상세표[야간 구분],"휴일"))</f>
        <v/>
      </c>
      <c r="T433">
        <f>IF($W433="","",COUNTIFS(상세표[사번키],INDEX(합계표[사번키],$W433),상세표[반영월],대상월키,상세표[야간당직],1,상세표[야간 구분],"평일",상세표[반영 기관],"서울병원"))</f>
        <v/>
      </c>
      <c r="U433">
        <f>IF($W433="","",COUNTIFS(상세표[사번키],INDEX(합계표[사번키],$W433),상세표[반영월],대상월키,상세표[야간당직],1,상세표[야간 구분],"휴일",상세표[반영 기관],"서울병원"))</f>
        <v/>
      </c>
      <c r="V433">
        <f>IF($W433="","",IF(ISNUMBER(MATCH(INDEX(합계표[사번키],$W433)&amp;"|"&amp;대상월키,월별근무지표[키],0)),"직접 입력",IF($K433="—","—","기관명단")))</f>
        <v/>
      </c>
      <c r="W433">
        <f>IFERROR(MATCH(428,합계표[판정순번],0),"")</f>
        <v/>
      </c>
    </row>
    <row r="434">
      <c r="A434">
        <f>IF($W434="","",INDEX(합계표[사번],$W434)&amp;"")</f>
        <v/>
      </c>
      <c r="B434">
        <f>IF($W434="","",INDEX(합계표[성명],$W434)&amp;"")</f>
        <v/>
      </c>
      <c r="C434">
        <f>IF($W434="","",INDEX(합계표[부서],$W434)&amp;"")</f>
        <v/>
      </c>
      <c r="D434">
        <f>IF($W434="","",INDEX(합계표[직위(통합)],$W434)&amp;"")</f>
        <v/>
      </c>
      <c r="E434">
        <f>IF($W434="","",SUMIFS(합계표[시스템 합계],합계표[사번키],INDEX(합계표[사번키],$W434)))</f>
        <v/>
      </c>
      <c r="F434">
        <f>IF($W434="","",SUMIFS(상세표[기록 시간외],상세표[사번키],INDEX(합계표[사번키],$W434),상세표[기록월],대상월키))</f>
        <v/>
      </c>
      <c r="G434">
        <f>IF($W434="","",IF(ABS($E434-$F434)&lt;0.01,"일치","불일치(차이 "&amp;TEXT($F434-$E434,"0.00")&amp;")"))</f>
        <v/>
      </c>
      <c r="H434">
        <f>IF($W434="","",SUMIFS(상세표[기록 시간외],상세표[사번키],INDEX(합계표[사번키],$W434),상세표[기록월],대상월키,상세표[반영월],"&lt;&gt;"&amp;대상월키))</f>
        <v/>
      </c>
      <c r="I434">
        <f>IF($W434="","",SUMIFS(상세표[기록 시간외],상세표[사번키],INDEX(합계표[사번키],$W434),상세표[기록월],"&lt;&gt;"&amp;대상월키,상세표[반영월],대상월키))</f>
        <v/>
      </c>
      <c r="J434">
        <f>IF($W434="","",SUMIFS(상세표[기록 시간외],상세표[사번키],INDEX(합계표[사번키],$W434),상세표[반영월],대상월키))</f>
        <v/>
      </c>
      <c r="K434">
        <f>IF($W434="","",IFERROR(INDEX(월별근무지표[적용 급여병원],MATCH(INDEX(합계표[사번키],$W434)&amp;"|"&amp;대상월키,월별근무지표[키],0))&amp;"",IF(COUNTIF(기관표[사번키],INDEX(합계표[사번키],$W434))+COUNTIF(월별근무지표[사번키],INDEX(합계표[사번키],$W434))&gt;0,IFERROR(INDEX(기관표[급여지급병원(기준월)],MATCH(INDEX(합계표[사번키],$W434)&amp;"|"&amp;대상월키,기관표[키],0))&amp;"","—"),"—")))</f>
        <v/>
      </c>
      <c r="L434">
        <f>IF($W434="","",IF(NOT(COUNTIF(기관표[사번키],INDEX(합계표[사번키],$W434))+COUNTIF(월별근무지표[사번키],INDEX(합계표[사번키],$W434))&gt;0),"기관명단에 없음(다른 병원으로 발송)",IF($K434="—","대상월 기관명단 없음(추가 필요)",IF($K434="서울병원","해당","비해당"))))</f>
        <v/>
      </c>
      <c r="M434">
        <f>IF($W434="","",SUMIFS(상세표[06~07시],상세표[사번키],INDEX(합계표[사번키],$W434),상세표[반영월],대상월키,상세표[반영 기관],"서울병원"))</f>
        <v/>
      </c>
      <c r="N434">
        <f>IF($W434="","",SUMIFS(상세표[07~18시],상세표[사번키],INDEX(합계표[사번키],$W434),상세표[반영월],대상월키,상세표[반영 기관],"서울병원"))</f>
        <v/>
      </c>
      <c r="O434">
        <f>IF($W434="","",SUMIFS(상세표[18~22시],상세표[사번키],INDEX(합계표[사번키],$W434),상세표[반영월],대상월키,상세표[반영 기관],"서울병원"))</f>
        <v/>
      </c>
      <c r="P434">
        <f>IF($W434="","",SUMIFS(상세표[22~06시],상세표[사번키],INDEX(합계표[사번키],$W434),상세표[반영월],대상월키,상세표[반영 기관],"서울병원"))</f>
        <v/>
      </c>
      <c r="Q434">
        <f>IF($W434="","",SUM($M434:$P434))</f>
        <v/>
      </c>
      <c r="R434">
        <f>IF($W434="","",COUNTIFS(상세표[사번키],INDEX(합계표[사번키],$W434),상세표[반영월],대상월키,상세표[야간당직],1,상세표[야간 구분],"평일"))</f>
        <v/>
      </c>
      <c r="S434" s="4">
        <f>IF($W434="","",COUNTIFS(상세표[사번키],INDEX(합계표[사번키],$W434),상세표[반영월],대상월키,상세표[야간당직],1,상세표[야간 구분],"휴일"))</f>
        <v/>
      </c>
      <c r="T434">
        <f>IF($W434="","",COUNTIFS(상세표[사번키],INDEX(합계표[사번키],$W434),상세표[반영월],대상월키,상세표[야간당직],1,상세표[야간 구분],"평일",상세표[반영 기관],"서울병원"))</f>
        <v/>
      </c>
      <c r="U434">
        <f>IF($W434="","",COUNTIFS(상세표[사번키],INDEX(합계표[사번키],$W434),상세표[반영월],대상월키,상세표[야간당직],1,상세표[야간 구분],"휴일",상세표[반영 기관],"서울병원"))</f>
        <v/>
      </c>
      <c r="V434">
        <f>IF($W434="","",IF(ISNUMBER(MATCH(INDEX(합계표[사번키],$W434)&amp;"|"&amp;대상월키,월별근무지표[키],0)),"직접 입력",IF($K434="—","—","기관명단")))</f>
        <v/>
      </c>
      <c r="W434">
        <f>IFERROR(MATCH(429,합계표[판정순번],0),"")</f>
        <v/>
      </c>
    </row>
    <row r="435">
      <c r="A435">
        <f>IF($W435="","",INDEX(합계표[사번],$W435)&amp;"")</f>
        <v/>
      </c>
      <c r="B435">
        <f>IF($W435="","",INDEX(합계표[성명],$W435)&amp;"")</f>
        <v/>
      </c>
      <c r="C435">
        <f>IF($W435="","",INDEX(합계표[부서],$W435)&amp;"")</f>
        <v/>
      </c>
      <c r="D435">
        <f>IF($W435="","",INDEX(합계표[직위(통합)],$W435)&amp;"")</f>
        <v/>
      </c>
      <c r="E435">
        <f>IF($W435="","",SUMIFS(합계표[시스템 합계],합계표[사번키],INDEX(합계표[사번키],$W435)))</f>
        <v/>
      </c>
      <c r="F435">
        <f>IF($W435="","",SUMIFS(상세표[기록 시간외],상세표[사번키],INDEX(합계표[사번키],$W435),상세표[기록월],대상월키))</f>
        <v/>
      </c>
      <c r="G435">
        <f>IF($W435="","",IF(ABS($E435-$F435)&lt;0.01,"일치","불일치(차이 "&amp;TEXT($F435-$E435,"0.00")&amp;")"))</f>
        <v/>
      </c>
      <c r="H435">
        <f>IF($W435="","",SUMIFS(상세표[기록 시간외],상세표[사번키],INDEX(합계표[사번키],$W435),상세표[기록월],대상월키,상세표[반영월],"&lt;&gt;"&amp;대상월키))</f>
        <v/>
      </c>
      <c r="I435">
        <f>IF($W435="","",SUMIFS(상세표[기록 시간외],상세표[사번키],INDEX(합계표[사번키],$W435),상세표[기록월],"&lt;&gt;"&amp;대상월키,상세표[반영월],대상월키))</f>
        <v/>
      </c>
      <c r="J435">
        <f>IF($W435="","",SUMIFS(상세표[기록 시간외],상세표[사번키],INDEX(합계표[사번키],$W435),상세표[반영월],대상월키))</f>
        <v/>
      </c>
      <c r="K435">
        <f>IF($W435="","",IFERROR(INDEX(월별근무지표[적용 급여병원],MATCH(INDEX(합계표[사번키],$W435)&amp;"|"&amp;대상월키,월별근무지표[키],0))&amp;"",IF(COUNTIF(기관표[사번키],INDEX(합계표[사번키],$W435))+COUNTIF(월별근무지표[사번키],INDEX(합계표[사번키],$W435))&gt;0,IFERROR(INDEX(기관표[급여지급병원(기준월)],MATCH(INDEX(합계표[사번키],$W435)&amp;"|"&amp;대상월키,기관표[키],0))&amp;"","—"),"—")))</f>
        <v/>
      </c>
      <c r="L435">
        <f>IF($W435="","",IF(NOT(COUNTIF(기관표[사번키],INDEX(합계표[사번키],$W435))+COUNTIF(월별근무지표[사번키],INDEX(합계표[사번키],$W435))&gt;0),"기관명단에 없음(다른 병원으로 발송)",IF($K435="—","대상월 기관명단 없음(추가 필요)",IF($K435="서울병원","해당","비해당"))))</f>
        <v/>
      </c>
      <c r="M435">
        <f>IF($W435="","",SUMIFS(상세표[06~07시],상세표[사번키],INDEX(합계표[사번키],$W435),상세표[반영월],대상월키,상세표[반영 기관],"서울병원"))</f>
        <v/>
      </c>
      <c r="N435">
        <f>IF($W435="","",SUMIFS(상세표[07~18시],상세표[사번키],INDEX(합계표[사번키],$W435),상세표[반영월],대상월키,상세표[반영 기관],"서울병원"))</f>
        <v/>
      </c>
      <c r="O435">
        <f>IF($W435="","",SUMIFS(상세표[18~22시],상세표[사번키],INDEX(합계표[사번키],$W435),상세표[반영월],대상월키,상세표[반영 기관],"서울병원"))</f>
        <v/>
      </c>
      <c r="P435">
        <f>IF($W435="","",SUMIFS(상세표[22~06시],상세표[사번키],INDEX(합계표[사번키],$W435),상세표[반영월],대상월키,상세표[반영 기관],"서울병원"))</f>
        <v/>
      </c>
      <c r="Q435">
        <f>IF($W435="","",SUM($M435:$P435))</f>
        <v/>
      </c>
      <c r="R435">
        <f>IF($W435="","",COUNTIFS(상세표[사번키],INDEX(합계표[사번키],$W435),상세표[반영월],대상월키,상세표[야간당직],1,상세표[야간 구분],"평일"))</f>
        <v/>
      </c>
      <c r="S435" s="4">
        <f>IF($W435="","",COUNTIFS(상세표[사번키],INDEX(합계표[사번키],$W435),상세표[반영월],대상월키,상세표[야간당직],1,상세표[야간 구분],"휴일"))</f>
        <v/>
      </c>
      <c r="T435">
        <f>IF($W435="","",COUNTIFS(상세표[사번키],INDEX(합계표[사번키],$W435),상세표[반영월],대상월키,상세표[야간당직],1,상세표[야간 구분],"평일",상세표[반영 기관],"서울병원"))</f>
        <v/>
      </c>
      <c r="U435">
        <f>IF($W435="","",COUNTIFS(상세표[사번키],INDEX(합계표[사번키],$W435),상세표[반영월],대상월키,상세표[야간당직],1,상세표[야간 구분],"휴일",상세표[반영 기관],"서울병원"))</f>
        <v/>
      </c>
      <c r="V435">
        <f>IF($W435="","",IF(ISNUMBER(MATCH(INDEX(합계표[사번키],$W435)&amp;"|"&amp;대상월키,월별근무지표[키],0)),"직접 입력",IF($K435="—","—","기관명단")))</f>
        <v/>
      </c>
      <c r="W435">
        <f>IFERROR(MATCH(430,합계표[판정순번],0),"")</f>
        <v/>
      </c>
    </row>
    <row r="436">
      <c r="A436">
        <f>IF($W436="","",INDEX(합계표[사번],$W436)&amp;"")</f>
        <v/>
      </c>
      <c r="B436">
        <f>IF($W436="","",INDEX(합계표[성명],$W436)&amp;"")</f>
        <v/>
      </c>
      <c r="C436">
        <f>IF($W436="","",INDEX(합계표[부서],$W436)&amp;"")</f>
        <v/>
      </c>
      <c r="D436">
        <f>IF($W436="","",INDEX(합계표[직위(통합)],$W436)&amp;"")</f>
        <v/>
      </c>
      <c r="E436">
        <f>IF($W436="","",SUMIFS(합계표[시스템 합계],합계표[사번키],INDEX(합계표[사번키],$W436)))</f>
        <v/>
      </c>
      <c r="F436">
        <f>IF($W436="","",SUMIFS(상세표[기록 시간외],상세표[사번키],INDEX(합계표[사번키],$W436),상세표[기록월],대상월키))</f>
        <v/>
      </c>
      <c r="G436">
        <f>IF($W436="","",IF(ABS($E436-$F436)&lt;0.01,"일치","불일치(차이 "&amp;TEXT($F436-$E436,"0.00")&amp;")"))</f>
        <v/>
      </c>
      <c r="H436">
        <f>IF($W436="","",SUMIFS(상세표[기록 시간외],상세표[사번키],INDEX(합계표[사번키],$W436),상세표[기록월],대상월키,상세표[반영월],"&lt;&gt;"&amp;대상월키))</f>
        <v/>
      </c>
      <c r="I436">
        <f>IF($W436="","",SUMIFS(상세표[기록 시간외],상세표[사번키],INDEX(합계표[사번키],$W436),상세표[기록월],"&lt;&gt;"&amp;대상월키,상세표[반영월],대상월키))</f>
        <v/>
      </c>
      <c r="J436">
        <f>IF($W436="","",SUMIFS(상세표[기록 시간외],상세표[사번키],INDEX(합계표[사번키],$W436),상세표[반영월],대상월키))</f>
        <v/>
      </c>
      <c r="K436">
        <f>IF($W436="","",IFERROR(INDEX(월별근무지표[적용 급여병원],MATCH(INDEX(합계표[사번키],$W436)&amp;"|"&amp;대상월키,월별근무지표[키],0))&amp;"",IF(COUNTIF(기관표[사번키],INDEX(합계표[사번키],$W436))+COUNTIF(월별근무지표[사번키],INDEX(합계표[사번키],$W436))&gt;0,IFERROR(INDEX(기관표[급여지급병원(기준월)],MATCH(INDEX(합계표[사번키],$W436)&amp;"|"&amp;대상월키,기관표[키],0))&amp;"","—"),"—")))</f>
        <v/>
      </c>
      <c r="L436">
        <f>IF($W436="","",IF(NOT(COUNTIF(기관표[사번키],INDEX(합계표[사번키],$W436))+COUNTIF(월별근무지표[사번키],INDEX(합계표[사번키],$W436))&gt;0),"기관명단에 없음(다른 병원으로 발송)",IF($K436="—","대상월 기관명단 없음(추가 필요)",IF($K436="서울병원","해당","비해당"))))</f>
        <v/>
      </c>
      <c r="M436">
        <f>IF($W436="","",SUMIFS(상세표[06~07시],상세표[사번키],INDEX(합계표[사번키],$W436),상세표[반영월],대상월키,상세표[반영 기관],"서울병원"))</f>
        <v/>
      </c>
      <c r="N436">
        <f>IF($W436="","",SUMIFS(상세표[07~18시],상세표[사번키],INDEX(합계표[사번키],$W436),상세표[반영월],대상월키,상세표[반영 기관],"서울병원"))</f>
        <v/>
      </c>
      <c r="O436">
        <f>IF($W436="","",SUMIFS(상세표[18~22시],상세표[사번키],INDEX(합계표[사번키],$W436),상세표[반영월],대상월키,상세표[반영 기관],"서울병원"))</f>
        <v/>
      </c>
      <c r="P436">
        <f>IF($W436="","",SUMIFS(상세표[22~06시],상세표[사번키],INDEX(합계표[사번키],$W436),상세표[반영월],대상월키,상세표[반영 기관],"서울병원"))</f>
        <v/>
      </c>
      <c r="Q436">
        <f>IF($W436="","",SUM($M436:$P436))</f>
        <v/>
      </c>
      <c r="R436">
        <f>IF($W436="","",COUNTIFS(상세표[사번키],INDEX(합계표[사번키],$W436),상세표[반영월],대상월키,상세표[야간당직],1,상세표[야간 구분],"평일"))</f>
        <v/>
      </c>
      <c r="S436" s="4">
        <f>IF($W436="","",COUNTIFS(상세표[사번키],INDEX(합계표[사번키],$W436),상세표[반영월],대상월키,상세표[야간당직],1,상세표[야간 구분],"휴일"))</f>
        <v/>
      </c>
      <c r="T436">
        <f>IF($W436="","",COUNTIFS(상세표[사번키],INDEX(합계표[사번키],$W436),상세표[반영월],대상월키,상세표[야간당직],1,상세표[야간 구분],"평일",상세표[반영 기관],"서울병원"))</f>
        <v/>
      </c>
      <c r="U436">
        <f>IF($W436="","",COUNTIFS(상세표[사번키],INDEX(합계표[사번키],$W436),상세표[반영월],대상월키,상세표[야간당직],1,상세표[야간 구분],"휴일",상세표[반영 기관],"서울병원"))</f>
        <v/>
      </c>
      <c r="V436">
        <f>IF($W436="","",IF(ISNUMBER(MATCH(INDEX(합계표[사번키],$W436)&amp;"|"&amp;대상월키,월별근무지표[키],0)),"직접 입력",IF($K436="—","—","기관명단")))</f>
        <v/>
      </c>
      <c r="W436">
        <f>IFERROR(MATCH(431,합계표[판정순번],0),"")</f>
        <v/>
      </c>
    </row>
    <row r="437">
      <c r="A437">
        <f>IF($W437="","",INDEX(합계표[사번],$W437)&amp;"")</f>
        <v/>
      </c>
      <c r="B437">
        <f>IF($W437="","",INDEX(합계표[성명],$W437)&amp;"")</f>
        <v/>
      </c>
      <c r="C437">
        <f>IF($W437="","",INDEX(합계표[부서],$W437)&amp;"")</f>
        <v/>
      </c>
      <c r="D437">
        <f>IF($W437="","",INDEX(합계표[직위(통합)],$W437)&amp;"")</f>
        <v/>
      </c>
      <c r="E437">
        <f>IF($W437="","",SUMIFS(합계표[시스템 합계],합계표[사번키],INDEX(합계표[사번키],$W437)))</f>
        <v/>
      </c>
      <c r="F437">
        <f>IF($W437="","",SUMIFS(상세표[기록 시간외],상세표[사번키],INDEX(합계표[사번키],$W437),상세표[기록월],대상월키))</f>
        <v/>
      </c>
      <c r="G437">
        <f>IF($W437="","",IF(ABS($E437-$F437)&lt;0.01,"일치","불일치(차이 "&amp;TEXT($F437-$E437,"0.00")&amp;")"))</f>
        <v/>
      </c>
      <c r="H437">
        <f>IF($W437="","",SUMIFS(상세표[기록 시간외],상세표[사번키],INDEX(합계표[사번키],$W437),상세표[기록월],대상월키,상세표[반영월],"&lt;&gt;"&amp;대상월키))</f>
        <v/>
      </c>
      <c r="I437">
        <f>IF($W437="","",SUMIFS(상세표[기록 시간외],상세표[사번키],INDEX(합계표[사번키],$W437),상세표[기록월],"&lt;&gt;"&amp;대상월키,상세표[반영월],대상월키))</f>
        <v/>
      </c>
      <c r="J437">
        <f>IF($W437="","",SUMIFS(상세표[기록 시간외],상세표[사번키],INDEX(합계표[사번키],$W437),상세표[반영월],대상월키))</f>
        <v/>
      </c>
      <c r="K437">
        <f>IF($W437="","",IFERROR(INDEX(월별근무지표[적용 급여병원],MATCH(INDEX(합계표[사번키],$W437)&amp;"|"&amp;대상월키,월별근무지표[키],0))&amp;"",IF(COUNTIF(기관표[사번키],INDEX(합계표[사번키],$W437))+COUNTIF(월별근무지표[사번키],INDEX(합계표[사번키],$W437))&gt;0,IFERROR(INDEX(기관표[급여지급병원(기준월)],MATCH(INDEX(합계표[사번키],$W437)&amp;"|"&amp;대상월키,기관표[키],0))&amp;"","—"),"—")))</f>
        <v/>
      </c>
      <c r="L437">
        <f>IF($W437="","",IF(NOT(COUNTIF(기관표[사번키],INDEX(합계표[사번키],$W437))+COUNTIF(월별근무지표[사번키],INDEX(합계표[사번키],$W437))&gt;0),"기관명단에 없음(다른 병원으로 발송)",IF($K437="—","대상월 기관명단 없음(추가 필요)",IF($K437="서울병원","해당","비해당"))))</f>
        <v/>
      </c>
      <c r="M437">
        <f>IF($W437="","",SUMIFS(상세표[06~07시],상세표[사번키],INDEX(합계표[사번키],$W437),상세표[반영월],대상월키,상세표[반영 기관],"서울병원"))</f>
        <v/>
      </c>
      <c r="N437">
        <f>IF($W437="","",SUMIFS(상세표[07~18시],상세표[사번키],INDEX(합계표[사번키],$W437),상세표[반영월],대상월키,상세표[반영 기관],"서울병원"))</f>
        <v/>
      </c>
      <c r="O437">
        <f>IF($W437="","",SUMIFS(상세표[18~22시],상세표[사번키],INDEX(합계표[사번키],$W437),상세표[반영월],대상월키,상세표[반영 기관],"서울병원"))</f>
        <v/>
      </c>
      <c r="P437">
        <f>IF($W437="","",SUMIFS(상세표[22~06시],상세표[사번키],INDEX(합계표[사번키],$W437),상세표[반영월],대상월키,상세표[반영 기관],"서울병원"))</f>
        <v/>
      </c>
      <c r="Q437">
        <f>IF($W437="","",SUM($M437:$P437))</f>
        <v/>
      </c>
      <c r="R437">
        <f>IF($W437="","",COUNTIFS(상세표[사번키],INDEX(합계표[사번키],$W437),상세표[반영월],대상월키,상세표[야간당직],1,상세표[야간 구분],"평일"))</f>
        <v/>
      </c>
      <c r="S437" s="4">
        <f>IF($W437="","",COUNTIFS(상세표[사번키],INDEX(합계표[사번키],$W437),상세표[반영월],대상월키,상세표[야간당직],1,상세표[야간 구분],"휴일"))</f>
        <v/>
      </c>
      <c r="T437">
        <f>IF($W437="","",COUNTIFS(상세표[사번키],INDEX(합계표[사번키],$W437),상세표[반영월],대상월키,상세표[야간당직],1,상세표[야간 구분],"평일",상세표[반영 기관],"서울병원"))</f>
        <v/>
      </c>
      <c r="U437">
        <f>IF($W437="","",COUNTIFS(상세표[사번키],INDEX(합계표[사번키],$W437),상세표[반영월],대상월키,상세표[야간당직],1,상세표[야간 구분],"휴일",상세표[반영 기관],"서울병원"))</f>
        <v/>
      </c>
      <c r="V437">
        <f>IF($W437="","",IF(ISNUMBER(MATCH(INDEX(합계표[사번키],$W437)&amp;"|"&amp;대상월키,월별근무지표[키],0)),"직접 입력",IF($K437="—","—","기관명단")))</f>
        <v/>
      </c>
      <c r="W437">
        <f>IFERROR(MATCH(432,합계표[판정순번],0),"")</f>
        <v/>
      </c>
    </row>
    <row r="438">
      <c r="A438">
        <f>IF($W438="","",INDEX(합계표[사번],$W438)&amp;"")</f>
        <v/>
      </c>
      <c r="B438">
        <f>IF($W438="","",INDEX(합계표[성명],$W438)&amp;"")</f>
        <v/>
      </c>
      <c r="C438">
        <f>IF($W438="","",INDEX(합계표[부서],$W438)&amp;"")</f>
        <v/>
      </c>
      <c r="D438">
        <f>IF($W438="","",INDEX(합계표[직위(통합)],$W438)&amp;"")</f>
        <v/>
      </c>
      <c r="E438">
        <f>IF($W438="","",SUMIFS(합계표[시스템 합계],합계표[사번키],INDEX(합계표[사번키],$W438)))</f>
        <v/>
      </c>
      <c r="F438">
        <f>IF($W438="","",SUMIFS(상세표[기록 시간외],상세표[사번키],INDEX(합계표[사번키],$W438),상세표[기록월],대상월키))</f>
        <v/>
      </c>
      <c r="G438">
        <f>IF($W438="","",IF(ABS($E438-$F438)&lt;0.01,"일치","불일치(차이 "&amp;TEXT($F438-$E438,"0.00")&amp;")"))</f>
        <v/>
      </c>
      <c r="H438">
        <f>IF($W438="","",SUMIFS(상세표[기록 시간외],상세표[사번키],INDEX(합계표[사번키],$W438),상세표[기록월],대상월키,상세표[반영월],"&lt;&gt;"&amp;대상월키))</f>
        <v/>
      </c>
      <c r="I438">
        <f>IF($W438="","",SUMIFS(상세표[기록 시간외],상세표[사번키],INDEX(합계표[사번키],$W438),상세표[기록월],"&lt;&gt;"&amp;대상월키,상세표[반영월],대상월키))</f>
        <v/>
      </c>
      <c r="J438">
        <f>IF($W438="","",SUMIFS(상세표[기록 시간외],상세표[사번키],INDEX(합계표[사번키],$W438),상세표[반영월],대상월키))</f>
        <v/>
      </c>
      <c r="K438">
        <f>IF($W438="","",IFERROR(INDEX(월별근무지표[적용 급여병원],MATCH(INDEX(합계표[사번키],$W438)&amp;"|"&amp;대상월키,월별근무지표[키],0))&amp;"",IF(COUNTIF(기관표[사번키],INDEX(합계표[사번키],$W438))+COUNTIF(월별근무지표[사번키],INDEX(합계표[사번키],$W438))&gt;0,IFERROR(INDEX(기관표[급여지급병원(기준월)],MATCH(INDEX(합계표[사번키],$W438)&amp;"|"&amp;대상월키,기관표[키],0))&amp;"","—"),"—")))</f>
        <v/>
      </c>
      <c r="L438">
        <f>IF($W438="","",IF(NOT(COUNTIF(기관표[사번키],INDEX(합계표[사번키],$W438))+COUNTIF(월별근무지표[사번키],INDEX(합계표[사번키],$W438))&gt;0),"기관명단에 없음(다른 병원으로 발송)",IF($K438="—","대상월 기관명단 없음(추가 필요)",IF($K438="서울병원","해당","비해당"))))</f>
        <v/>
      </c>
      <c r="M438">
        <f>IF($W438="","",SUMIFS(상세표[06~07시],상세표[사번키],INDEX(합계표[사번키],$W438),상세표[반영월],대상월키,상세표[반영 기관],"서울병원"))</f>
        <v/>
      </c>
      <c r="N438">
        <f>IF($W438="","",SUMIFS(상세표[07~18시],상세표[사번키],INDEX(합계표[사번키],$W438),상세표[반영월],대상월키,상세표[반영 기관],"서울병원"))</f>
        <v/>
      </c>
      <c r="O438">
        <f>IF($W438="","",SUMIFS(상세표[18~22시],상세표[사번키],INDEX(합계표[사번키],$W438),상세표[반영월],대상월키,상세표[반영 기관],"서울병원"))</f>
        <v/>
      </c>
      <c r="P438">
        <f>IF($W438="","",SUMIFS(상세표[22~06시],상세표[사번키],INDEX(합계표[사번키],$W438),상세표[반영월],대상월키,상세표[반영 기관],"서울병원"))</f>
        <v/>
      </c>
      <c r="Q438">
        <f>IF($W438="","",SUM($M438:$P438))</f>
        <v/>
      </c>
      <c r="R438">
        <f>IF($W438="","",COUNTIFS(상세표[사번키],INDEX(합계표[사번키],$W438),상세표[반영월],대상월키,상세표[야간당직],1,상세표[야간 구분],"평일"))</f>
        <v/>
      </c>
      <c r="S438" s="4">
        <f>IF($W438="","",COUNTIFS(상세표[사번키],INDEX(합계표[사번키],$W438),상세표[반영월],대상월키,상세표[야간당직],1,상세표[야간 구분],"휴일"))</f>
        <v/>
      </c>
      <c r="T438">
        <f>IF($W438="","",COUNTIFS(상세표[사번키],INDEX(합계표[사번키],$W438),상세표[반영월],대상월키,상세표[야간당직],1,상세표[야간 구분],"평일",상세표[반영 기관],"서울병원"))</f>
        <v/>
      </c>
      <c r="U438">
        <f>IF($W438="","",COUNTIFS(상세표[사번키],INDEX(합계표[사번키],$W438),상세표[반영월],대상월키,상세표[야간당직],1,상세표[야간 구분],"휴일",상세표[반영 기관],"서울병원"))</f>
        <v/>
      </c>
      <c r="V438">
        <f>IF($W438="","",IF(ISNUMBER(MATCH(INDEX(합계표[사번키],$W438)&amp;"|"&amp;대상월키,월별근무지표[키],0)),"직접 입력",IF($K438="—","—","기관명단")))</f>
        <v/>
      </c>
      <c r="W438">
        <f>IFERROR(MATCH(433,합계표[판정순번],0),"")</f>
        <v/>
      </c>
    </row>
    <row r="439">
      <c r="A439">
        <f>IF($W439="","",INDEX(합계표[사번],$W439)&amp;"")</f>
        <v/>
      </c>
      <c r="B439">
        <f>IF($W439="","",INDEX(합계표[성명],$W439)&amp;"")</f>
        <v/>
      </c>
      <c r="C439">
        <f>IF($W439="","",INDEX(합계표[부서],$W439)&amp;"")</f>
        <v/>
      </c>
      <c r="D439">
        <f>IF($W439="","",INDEX(합계표[직위(통합)],$W439)&amp;"")</f>
        <v/>
      </c>
      <c r="E439">
        <f>IF($W439="","",SUMIFS(합계표[시스템 합계],합계표[사번키],INDEX(합계표[사번키],$W439)))</f>
        <v/>
      </c>
      <c r="F439">
        <f>IF($W439="","",SUMIFS(상세표[기록 시간외],상세표[사번키],INDEX(합계표[사번키],$W439),상세표[기록월],대상월키))</f>
        <v/>
      </c>
      <c r="G439">
        <f>IF($W439="","",IF(ABS($E439-$F439)&lt;0.01,"일치","불일치(차이 "&amp;TEXT($F439-$E439,"0.00")&amp;")"))</f>
        <v/>
      </c>
      <c r="H439">
        <f>IF($W439="","",SUMIFS(상세표[기록 시간외],상세표[사번키],INDEX(합계표[사번키],$W439),상세표[기록월],대상월키,상세표[반영월],"&lt;&gt;"&amp;대상월키))</f>
        <v/>
      </c>
      <c r="I439">
        <f>IF($W439="","",SUMIFS(상세표[기록 시간외],상세표[사번키],INDEX(합계표[사번키],$W439),상세표[기록월],"&lt;&gt;"&amp;대상월키,상세표[반영월],대상월키))</f>
        <v/>
      </c>
      <c r="J439">
        <f>IF($W439="","",SUMIFS(상세표[기록 시간외],상세표[사번키],INDEX(합계표[사번키],$W439),상세표[반영월],대상월키))</f>
        <v/>
      </c>
      <c r="K439">
        <f>IF($W439="","",IFERROR(INDEX(월별근무지표[적용 급여병원],MATCH(INDEX(합계표[사번키],$W439)&amp;"|"&amp;대상월키,월별근무지표[키],0))&amp;"",IF(COUNTIF(기관표[사번키],INDEX(합계표[사번키],$W439))+COUNTIF(월별근무지표[사번키],INDEX(합계표[사번키],$W439))&gt;0,IFERROR(INDEX(기관표[급여지급병원(기준월)],MATCH(INDEX(합계표[사번키],$W439)&amp;"|"&amp;대상월키,기관표[키],0))&amp;"","—"),"—")))</f>
        <v/>
      </c>
      <c r="L439">
        <f>IF($W439="","",IF(NOT(COUNTIF(기관표[사번키],INDEX(합계표[사번키],$W439))+COUNTIF(월별근무지표[사번키],INDEX(합계표[사번키],$W439))&gt;0),"기관명단에 없음(다른 병원으로 발송)",IF($K439="—","대상월 기관명단 없음(추가 필요)",IF($K439="서울병원","해당","비해당"))))</f>
        <v/>
      </c>
      <c r="M439">
        <f>IF($W439="","",SUMIFS(상세표[06~07시],상세표[사번키],INDEX(합계표[사번키],$W439),상세표[반영월],대상월키,상세표[반영 기관],"서울병원"))</f>
        <v/>
      </c>
      <c r="N439">
        <f>IF($W439="","",SUMIFS(상세표[07~18시],상세표[사번키],INDEX(합계표[사번키],$W439),상세표[반영월],대상월키,상세표[반영 기관],"서울병원"))</f>
        <v/>
      </c>
      <c r="O439">
        <f>IF($W439="","",SUMIFS(상세표[18~22시],상세표[사번키],INDEX(합계표[사번키],$W439),상세표[반영월],대상월키,상세표[반영 기관],"서울병원"))</f>
        <v/>
      </c>
      <c r="P439">
        <f>IF($W439="","",SUMIFS(상세표[22~06시],상세표[사번키],INDEX(합계표[사번키],$W439),상세표[반영월],대상월키,상세표[반영 기관],"서울병원"))</f>
        <v/>
      </c>
      <c r="Q439">
        <f>IF($W439="","",SUM($M439:$P439))</f>
        <v/>
      </c>
      <c r="R439">
        <f>IF($W439="","",COUNTIFS(상세표[사번키],INDEX(합계표[사번키],$W439),상세표[반영월],대상월키,상세표[야간당직],1,상세표[야간 구분],"평일"))</f>
        <v/>
      </c>
      <c r="S439" s="4">
        <f>IF($W439="","",COUNTIFS(상세표[사번키],INDEX(합계표[사번키],$W439),상세표[반영월],대상월키,상세표[야간당직],1,상세표[야간 구분],"휴일"))</f>
        <v/>
      </c>
      <c r="T439">
        <f>IF($W439="","",COUNTIFS(상세표[사번키],INDEX(합계표[사번키],$W439),상세표[반영월],대상월키,상세표[야간당직],1,상세표[야간 구분],"평일",상세표[반영 기관],"서울병원"))</f>
        <v/>
      </c>
      <c r="U439">
        <f>IF($W439="","",COUNTIFS(상세표[사번키],INDEX(합계표[사번키],$W439),상세표[반영월],대상월키,상세표[야간당직],1,상세표[야간 구분],"휴일",상세표[반영 기관],"서울병원"))</f>
        <v/>
      </c>
      <c r="V439">
        <f>IF($W439="","",IF(ISNUMBER(MATCH(INDEX(합계표[사번키],$W439)&amp;"|"&amp;대상월키,월별근무지표[키],0)),"직접 입력",IF($K439="—","—","기관명단")))</f>
        <v/>
      </c>
      <c r="W439">
        <f>IFERROR(MATCH(434,합계표[판정순번],0),"")</f>
        <v/>
      </c>
    </row>
    <row r="440">
      <c r="A440">
        <f>IF($W440="","",INDEX(합계표[사번],$W440)&amp;"")</f>
        <v/>
      </c>
      <c r="B440">
        <f>IF($W440="","",INDEX(합계표[성명],$W440)&amp;"")</f>
        <v/>
      </c>
      <c r="C440">
        <f>IF($W440="","",INDEX(합계표[부서],$W440)&amp;"")</f>
        <v/>
      </c>
      <c r="D440">
        <f>IF($W440="","",INDEX(합계표[직위(통합)],$W440)&amp;"")</f>
        <v/>
      </c>
      <c r="E440">
        <f>IF($W440="","",SUMIFS(합계표[시스템 합계],합계표[사번키],INDEX(합계표[사번키],$W440)))</f>
        <v/>
      </c>
      <c r="F440">
        <f>IF($W440="","",SUMIFS(상세표[기록 시간외],상세표[사번키],INDEX(합계표[사번키],$W440),상세표[기록월],대상월키))</f>
        <v/>
      </c>
      <c r="G440">
        <f>IF($W440="","",IF(ABS($E440-$F440)&lt;0.01,"일치","불일치(차이 "&amp;TEXT($F440-$E440,"0.00")&amp;")"))</f>
        <v/>
      </c>
      <c r="H440">
        <f>IF($W440="","",SUMIFS(상세표[기록 시간외],상세표[사번키],INDEX(합계표[사번키],$W440),상세표[기록월],대상월키,상세표[반영월],"&lt;&gt;"&amp;대상월키))</f>
        <v/>
      </c>
      <c r="I440">
        <f>IF($W440="","",SUMIFS(상세표[기록 시간외],상세표[사번키],INDEX(합계표[사번키],$W440),상세표[기록월],"&lt;&gt;"&amp;대상월키,상세표[반영월],대상월키))</f>
        <v/>
      </c>
      <c r="J440">
        <f>IF($W440="","",SUMIFS(상세표[기록 시간외],상세표[사번키],INDEX(합계표[사번키],$W440),상세표[반영월],대상월키))</f>
        <v/>
      </c>
      <c r="K440">
        <f>IF($W440="","",IFERROR(INDEX(월별근무지표[적용 급여병원],MATCH(INDEX(합계표[사번키],$W440)&amp;"|"&amp;대상월키,월별근무지표[키],0))&amp;"",IF(COUNTIF(기관표[사번키],INDEX(합계표[사번키],$W440))+COUNTIF(월별근무지표[사번키],INDEX(합계표[사번키],$W440))&gt;0,IFERROR(INDEX(기관표[급여지급병원(기준월)],MATCH(INDEX(합계표[사번키],$W440)&amp;"|"&amp;대상월키,기관표[키],0))&amp;"","—"),"—")))</f>
        <v/>
      </c>
      <c r="L440">
        <f>IF($W440="","",IF(NOT(COUNTIF(기관표[사번키],INDEX(합계표[사번키],$W440))+COUNTIF(월별근무지표[사번키],INDEX(합계표[사번키],$W440))&gt;0),"기관명단에 없음(다른 병원으로 발송)",IF($K440="—","대상월 기관명단 없음(추가 필요)",IF($K440="서울병원","해당","비해당"))))</f>
        <v/>
      </c>
      <c r="M440">
        <f>IF($W440="","",SUMIFS(상세표[06~07시],상세표[사번키],INDEX(합계표[사번키],$W440),상세표[반영월],대상월키,상세표[반영 기관],"서울병원"))</f>
        <v/>
      </c>
      <c r="N440">
        <f>IF($W440="","",SUMIFS(상세표[07~18시],상세표[사번키],INDEX(합계표[사번키],$W440),상세표[반영월],대상월키,상세표[반영 기관],"서울병원"))</f>
        <v/>
      </c>
      <c r="O440">
        <f>IF($W440="","",SUMIFS(상세표[18~22시],상세표[사번키],INDEX(합계표[사번키],$W440),상세표[반영월],대상월키,상세표[반영 기관],"서울병원"))</f>
        <v/>
      </c>
      <c r="P440">
        <f>IF($W440="","",SUMIFS(상세표[22~06시],상세표[사번키],INDEX(합계표[사번키],$W440),상세표[반영월],대상월키,상세표[반영 기관],"서울병원"))</f>
        <v/>
      </c>
      <c r="Q440">
        <f>IF($W440="","",SUM($M440:$P440))</f>
        <v/>
      </c>
      <c r="R440">
        <f>IF($W440="","",COUNTIFS(상세표[사번키],INDEX(합계표[사번키],$W440),상세표[반영월],대상월키,상세표[야간당직],1,상세표[야간 구분],"평일"))</f>
        <v/>
      </c>
      <c r="S440" s="4">
        <f>IF($W440="","",COUNTIFS(상세표[사번키],INDEX(합계표[사번키],$W440),상세표[반영월],대상월키,상세표[야간당직],1,상세표[야간 구분],"휴일"))</f>
        <v/>
      </c>
      <c r="T440">
        <f>IF($W440="","",COUNTIFS(상세표[사번키],INDEX(합계표[사번키],$W440),상세표[반영월],대상월키,상세표[야간당직],1,상세표[야간 구분],"평일",상세표[반영 기관],"서울병원"))</f>
        <v/>
      </c>
      <c r="U440">
        <f>IF($W440="","",COUNTIFS(상세표[사번키],INDEX(합계표[사번키],$W440),상세표[반영월],대상월키,상세표[야간당직],1,상세표[야간 구분],"휴일",상세표[반영 기관],"서울병원"))</f>
        <v/>
      </c>
      <c r="V440">
        <f>IF($W440="","",IF(ISNUMBER(MATCH(INDEX(합계표[사번키],$W440)&amp;"|"&amp;대상월키,월별근무지표[키],0)),"직접 입력",IF($K440="—","—","기관명단")))</f>
        <v/>
      </c>
      <c r="W440">
        <f>IFERROR(MATCH(435,합계표[판정순번],0),"")</f>
        <v/>
      </c>
    </row>
    <row r="441">
      <c r="A441">
        <f>IF($W441="","",INDEX(합계표[사번],$W441)&amp;"")</f>
        <v/>
      </c>
      <c r="B441">
        <f>IF($W441="","",INDEX(합계표[성명],$W441)&amp;"")</f>
        <v/>
      </c>
      <c r="C441">
        <f>IF($W441="","",INDEX(합계표[부서],$W441)&amp;"")</f>
        <v/>
      </c>
      <c r="D441">
        <f>IF($W441="","",INDEX(합계표[직위(통합)],$W441)&amp;"")</f>
        <v/>
      </c>
      <c r="E441">
        <f>IF($W441="","",SUMIFS(합계표[시스템 합계],합계표[사번키],INDEX(합계표[사번키],$W441)))</f>
        <v/>
      </c>
      <c r="F441">
        <f>IF($W441="","",SUMIFS(상세표[기록 시간외],상세표[사번키],INDEX(합계표[사번키],$W441),상세표[기록월],대상월키))</f>
        <v/>
      </c>
      <c r="G441">
        <f>IF($W441="","",IF(ABS($E441-$F441)&lt;0.01,"일치","불일치(차이 "&amp;TEXT($F441-$E441,"0.00")&amp;")"))</f>
        <v/>
      </c>
      <c r="H441">
        <f>IF($W441="","",SUMIFS(상세표[기록 시간외],상세표[사번키],INDEX(합계표[사번키],$W441),상세표[기록월],대상월키,상세표[반영월],"&lt;&gt;"&amp;대상월키))</f>
        <v/>
      </c>
      <c r="I441">
        <f>IF($W441="","",SUMIFS(상세표[기록 시간외],상세표[사번키],INDEX(합계표[사번키],$W441),상세표[기록월],"&lt;&gt;"&amp;대상월키,상세표[반영월],대상월키))</f>
        <v/>
      </c>
      <c r="J441">
        <f>IF($W441="","",SUMIFS(상세표[기록 시간외],상세표[사번키],INDEX(합계표[사번키],$W441),상세표[반영월],대상월키))</f>
        <v/>
      </c>
      <c r="K441">
        <f>IF($W441="","",IFERROR(INDEX(월별근무지표[적용 급여병원],MATCH(INDEX(합계표[사번키],$W441)&amp;"|"&amp;대상월키,월별근무지표[키],0))&amp;"",IF(COUNTIF(기관표[사번키],INDEX(합계표[사번키],$W441))+COUNTIF(월별근무지표[사번키],INDEX(합계표[사번키],$W441))&gt;0,IFERROR(INDEX(기관표[급여지급병원(기준월)],MATCH(INDEX(합계표[사번키],$W441)&amp;"|"&amp;대상월키,기관표[키],0))&amp;"","—"),"—")))</f>
        <v/>
      </c>
      <c r="L441">
        <f>IF($W441="","",IF(NOT(COUNTIF(기관표[사번키],INDEX(합계표[사번키],$W441))+COUNTIF(월별근무지표[사번키],INDEX(합계표[사번키],$W441))&gt;0),"기관명단에 없음(다른 병원으로 발송)",IF($K441="—","대상월 기관명단 없음(추가 필요)",IF($K441="서울병원","해당","비해당"))))</f>
        <v/>
      </c>
      <c r="M441">
        <f>IF($W441="","",SUMIFS(상세표[06~07시],상세표[사번키],INDEX(합계표[사번키],$W441),상세표[반영월],대상월키,상세표[반영 기관],"서울병원"))</f>
        <v/>
      </c>
      <c r="N441">
        <f>IF($W441="","",SUMIFS(상세표[07~18시],상세표[사번키],INDEX(합계표[사번키],$W441),상세표[반영월],대상월키,상세표[반영 기관],"서울병원"))</f>
        <v/>
      </c>
      <c r="O441">
        <f>IF($W441="","",SUMIFS(상세표[18~22시],상세표[사번키],INDEX(합계표[사번키],$W441),상세표[반영월],대상월키,상세표[반영 기관],"서울병원"))</f>
        <v/>
      </c>
      <c r="P441">
        <f>IF($W441="","",SUMIFS(상세표[22~06시],상세표[사번키],INDEX(합계표[사번키],$W441),상세표[반영월],대상월키,상세표[반영 기관],"서울병원"))</f>
        <v/>
      </c>
      <c r="Q441">
        <f>IF($W441="","",SUM($M441:$P441))</f>
        <v/>
      </c>
      <c r="R441">
        <f>IF($W441="","",COUNTIFS(상세표[사번키],INDEX(합계표[사번키],$W441),상세표[반영월],대상월키,상세표[야간당직],1,상세표[야간 구분],"평일"))</f>
        <v/>
      </c>
      <c r="S441" s="4">
        <f>IF($W441="","",COUNTIFS(상세표[사번키],INDEX(합계표[사번키],$W441),상세표[반영월],대상월키,상세표[야간당직],1,상세표[야간 구분],"휴일"))</f>
        <v/>
      </c>
      <c r="T441">
        <f>IF($W441="","",COUNTIFS(상세표[사번키],INDEX(합계표[사번키],$W441),상세표[반영월],대상월키,상세표[야간당직],1,상세표[야간 구분],"평일",상세표[반영 기관],"서울병원"))</f>
        <v/>
      </c>
      <c r="U441">
        <f>IF($W441="","",COUNTIFS(상세표[사번키],INDEX(합계표[사번키],$W441),상세표[반영월],대상월키,상세표[야간당직],1,상세표[야간 구분],"휴일",상세표[반영 기관],"서울병원"))</f>
        <v/>
      </c>
      <c r="V441">
        <f>IF($W441="","",IF(ISNUMBER(MATCH(INDEX(합계표[사번키],$W441)&amp;"|"&amp;대상월키,월별근무지표[키],0)),"직접 입력",IF($K441="—","—","기관명단")))</f>
        <v/>
      </c>
      <c r="W441">
        <f>IFERROR(MATCH(436,합계표[판정순번],0),"")</f>
        <v/>
      </c>
    </row>
    <row r="442">
      <c r="A442">
        <f>IF($W442="","",INDEX(합계표[사번],$W442)&amp;"")</f>
        <v/>
      </c>
      <c r="B442">
        <f>IF($W442="","",INDEX(합계표[성명],$W442)&amp;"")</f>
        <v/>
      </c>
      <c r="C442">
        <f>IF($W442="","",INDEX(합계표[부서],$W442)&amp;"")</f>
        <v/>
      </c>
      <c r="D442">
        <f>IF($W442="","",INDEX(합계표[직위(통합)],$W442)&amp;"")</f>
        <v/>
      </c>
      <c r="E442">
        <f>IF($W442="","",SUMIFS(합계표[시스템 합계],합계표[사번키],INDEX(합계표[사번키],$W442)))</f>
        <v/>
      </c>
      <c r="F442">
        <f>IF($W442="","",SUMIFS(상세표[기록 시간외],상세표[사번키],INDEX(합계표[사번키],$W442),상세표[기록월],대상월키))</f>
        <v/>
      </c>
      <c r="G442">
        <f>IF($W442="","",IF(ABS($E442-$F442)&lt;0.01,"일치","불일치(차이 "&amp;TEXT($F442-$E442,"0.00")&amp;")"))</f>
        <v/>
      </c>
      <c r="H442">
        <f>IF($W442="","",SUMIFS(상세표[기록 시간외],상세표[사번키],INDEX(합계표[사번키],$W442),상세표[기록월],대상월키,상세표[반영월],"&lt;&gt;"&amp;대상월키))</f>
        <v/>
      </c>
      <c r="I442">
        <f>IF($W442="","",SUMIFS(상세표[기록 시간외],상세표[사번키],INDEX(합계표[사번키],$W442),상세표[기록월],"&lt;&gt;"&amp;대상월키,상세표[반영월],대상월키))</f>
        <v/>
      </c>
      <c r="J442">
        <f>IF($W442="","",SUMIFS(상세표[기록 시간외],상세표[사번키],INDEX(합계표[사번키],$W442),상세표[반영월],대상월키))</f>
        <v/>
      </c>
      <c r="K442">
        <f>IF($W442="","",IFERROR(INDEX(월별근무지표[적용 급여병원],MATCH(INDEX(합계표[사번키],$W442)&amp;"|"&amp;대상월키,월별근무지표[키],0))&amp;"",IF(COUNTIF(기관표[사번키],INDEX(합계표[사번키],$W442))+COUNTIF(월별근무지표[사번키],INDEX(합계표[사번키],$W442))&gt;0,IFERROR(INDEX(기관표[급여지급병원(기준월)],MATCH(INDEX(합계표[사번키],$W442)&amp;"|"&amp;대상월키,기관표[키],0))&amp;"","—"),"—")))</f>
        <v/>
      </c>
      <c r="L442">
        <f>IF($W442="","",IF(NOT(COUNTIF(기관표[사번키],INDEX(합계표[사번키],$W442))+COUNTIF(월별근무지표[사번키],INDEX(합계표[사번키],$W442))&gt;0),"기관명단에 없음(다른 병원으로 발송)",IF($K442="—","대상월 기관명단 없음(추가 필요)",IF($K442="서울병원","해당","비해당"))))</f>
        <v/>
      </c>
      <c r="M442">
        <f>IF($W442="","",SUMIFS(상세표[06~07시],상세표[사번키],INDEX(합계표[사번키],$W442),상세표[반영월],대상월키,상세표[반영 기관],"서울병원"))</f>
        <v/>
      </c>
      <c r="N442">
        <f>IF($W442="","",SUMIFS(상세표[07~18시],상세표[사번키],INDEX(합계표[사번키],$W442),상세표[반영월],대상월키,상세표[반영 기관],"서울병원"))</f>
        <v/>
      </c>
      <c r="O442">
        <f>IF($W442="","",SUMIFS(상세표[18~22시],상세표[사번키],INDEX(합계표[사번키],$W442),상세표[반영월],대상월키,상세표[반영 기관],"서울병원"))</f>
        <v/>
      </c>
      <c r="P442">
        <f>IF($W442="","",SUMIFS(상세표[22~06시],상세표[사번키],INDEX(합계표[사번키],$W442),상세표[반영월],대상월키,상세표[반영 기관],"서울병원"))</f>
        <v/>
      </c>
      <c r="Q442">
        <f>IF($W442="","",SUM($M442:$P442))</f>
        <v/>
      </c>
      <c r="R442">
        <f>IF($W442="","",COUNTIFS(상세표[사번키],INDEX(합계표[사번키],$W442),상세표[반영월],대상월키,상세표[야간당직],1,상세표[야간 구분],"평일"))</f>
        <v/>
      </c>
      <c r="S442" s="4">
        <f>IF($W442="","",COUNTIFS(상세표[사번키],INDEX(합계표[사번키],$W442),상세표[반영월],대상월키,상세표[야간당직],1,상세표[야간 구분],"휴일"))</f>
        <v/>
      </c>
      <c r="T442">
        <f>IF($W442="","",COUNTIFS(상세표[사번키],INDEX(합계표[사번키],$W442),상세표[반영월],대상월키,상세표[야간당직],1,상세표[야간 구분],"평일",상세표[반영 기관],"서울병원"))</f>
        <v/>
      </c>
      <c r="U442">
        <f>IF($W442="","",COUNTIFS(상세표[사번키],INDEX(합계표[사번키],$W442),상세표[반영월],대상월키,상세표[야간당직],1,상세표[야간 구분],"휴일",상세표[반영 기관],"서울병원"))</f>
        <v/>
      </c>
      <c r="V442">
        <f>IF($W442="","",IF(ISNUMBER(MATCH(INDEX(합계표[사번키],$W442)&amp;"|"&amp;대상월키,월별근무지표[키],0)),"직접 입력",IF($K442="—","—","기관명단")))</f>
        <v/>
      </c>
      <c r="W442">
        <f>IFERROR(MATCH(437,합계표[판정순번],0),"")</f>
        <v/>
      </c>
    </row>
    <row r="443">
      <c r="A443">
        <f>IF($W443="","",INDEX(합계표[사번],$W443)&amp;"")</f>
        <v/>
      </c>
      <c r="B443">
        <f>IF($W443="","",INDEX(합계표[성명],$W443)&amp;"")</f>
        <v/>
      </c>
      <c r="C443">
        <f>IF($W443="","",INDEX(합계표[부서],$W443)&amp;"")</f>
        <v/>
      </c>
      <c r="D443">
        <f>IF($W443="","",INDEX(합계표[직위(통합)],$W443)&amp;"")</f>
        <v/>
      </c>
      <c r="E443">
        <f>IF($W443="","",SUMIFS(합계표[시스템 합계],합계표[사번키],INDEX(합계표[사번키],$W443)))</f>
        <v/>
      </c>
      <c r="F443">
        <f>IF($W443="","",SUMIFS(상세표[기록 시간외],상세표[사번키],INDEX(합계표[사번키],$W443),상세표[기록월],대상월키))</f>
        <v/>
      </c>
      <c r="G443">
        <f>IF($W443="","",IF(ABS($E443-$F443)&lt;0.01,"일치","불일치(차이 "&amp;TEXT($F443-$E443,"0.00")&amp;")"))</f>
        <v/>
      </c>
      <c r="H443">
        <f>IF($W443="","",SUMIFS(상세표[기록 시간외],상세표[사번키],INDEX(합계표[사번키],$W443),상세표[기록월],대상월키,상세표[반영월],"&lt;&gt;"&amp;대상월키))</f>
        <v/>
      </c>
      <c r="I443">
        <f>IF($W443="","",SUMIFS(상세표[기록 시간외],상세표[사번키],INDEX(합계표[사번키],$W443),상세표[기록월],"&lt;&gt;"&amp;대상월키,상세표[반영월],대상월키))</f>
        <v/>
      </c>
      <c r="J443">
        <f>IF($W443="","",SUMIFS(상세표[기록 시간외],상세표[사번키],INDEX(합계표[사번키],$W443),상세표[반영월],대상월키))</f>
        <v/>
      </c>
      <c r="K443">
        <f>IF($W443="","",IFERROR(INDEX(월별근무지표[적용 급여병원],MATCH(INDEX(합계표[사번키],$W443)&amp;"|"&amp;대상월키,월별근무지표[키],0))&amp;"",IF(COUNTIF(기관표[사번키],INDEX(합계표[사번키],$W443))+COUNTIF(월별근무지표[사번키],INDEX(합계표[사번키],$W443))&gt;0,IFERROR(INDEX(기관표[급여지급병원(기준월)],MATCH(INDEX(합계표[사번키],$W443)&amp;"|"&amp;대상월키,기관표[키],0))&amp;"","—"),"—")))</f>
        <v/>
      </c>
      <c r="L443">
        <f>IF($W443="","",IF(NOT(COUNTIF(기관표[사번키],INDEX(합계표[사번키],$W443))+COUNTIF(월별근무지표[사번키],INDEX(합계표[사번키],$W443))&gt;0),"기관명단에 없음(다른 병원으로 발송)",IF($K443="—","대상월 기관명단 없음(추가 필요)",IF($K443="서울병원","해당","비해당"))))</f>
        <v/>
      </c>
      <c r="M443">
        <f>IF($W443="","",SUMIFS(상세표[06~07시],상세표[사번키],INDEX(합계표[사번키],$W443),상세표[반영월],대상월키,상세표[반영 기관],"서울병원"))</f>
        <v/>
      </c>
      <c r="N443">
        <f>IF($W443="","",SUMIFS(상세표[07~18시],상세표[사번키],INDEX(합계표[사번키],$W443),상세표[반영월],대상월키,상세표[반영 기관],"서울병원"))</f>
        <v/>
      </c>
      <c r="O443">
        <f>IF($W443="","",SUMIFS(상세표[18~22시],상세표[사번키],INDEX(합계표[사번키],$W443),상세표[반영월],대상월키,상세표[반영 기관],"서울병원"))</f>
        <v/>
      </c>
      <c r="P443">
        <f>IF($W443="","",SUMIFS(상세표[22~06시],상세표[사번키],INDEX(합계표[사번키],$W443),상세표[반영월],대상월키,상세표[반영 기관],"서울병원"))</f>
        <v/>
      </c>
      <c r="Q443">
        <f>IF($W443="","",SUM($M443:$P443))</f>
        <v/>
      </c>
      <c r="R443">
        <f>IF($W443="","",COUNTIFS(상세표[사번키],INDEX(합계표[사번키],$W443),상세표[반영월],대상월키,상세표[야간당직],1,상세표[야간 구분],"평일"))</f>
        <v/>
      </c>
      <c r="S443" s="4">
        <f>IF($W443="","",COUNTIFS(상세표[사번키],INDEX(합계표[사번키],$W443),상세표[반영월],대상월키,상세표[야간당직],1,상세표[야간 구분],"휴일"))</f>
        <v/>
      </c>
      <c r="T443">
        <f>IF($W443="","",COUNTIFS(상세표[사번키],INDEX(합계표[사번키],$W443),상세표[반영월],대상월키,상세표[야간당직],1,상세표[야간 구분],"평일",상세표[반영 기관],"서울병원"))</f>
        <v/>
      </c>
      <c r="U443">
        <f>IF($W443="","",COUNTIFS(상세표[사번키],INDEX(합계표[사번키],$W443),상세표[반영월],대상월키,상세표[야간당직],1,상세표[야간 구분],"휴일",상세표[반영 기관],"서울병원"))</f>
        <v/>
      </c>
      <c r="V443">
        <f>IF($W443="","",IF(ISNUMBER(MATCH(INDEX(합계표[사번키],$W443)&amp;"|"&amp;대상월키,월별근무지표[키],0)),"직접 입력",IF($K443="—","—","기관명단")))</f>
        <v/>
      </c>
      <c r="W443">
        <f>IFERROR(MATCH(438,합계표[판정순번],0),"")</f>
        <v/>
      </c>
    </row>
    <row r="444">
      <c r="A444">
        <f>IF($W444="","",INDEX(합계표[사번],$W444)&amp;"")</f>
        <v/>
      </c>
      <c r="B444">
        <f>IF($W444="","",INDEX(합계표[성명],$W444)&amp;"")</f>
        <v/>
      </c>
      <c r="C444">
        <f>IF($W444="","",INDEX(합계표[부서],$W444)&amp;"")</f>
        <v/>
      </c>
      <c r="D444">
        <f>IF($W444="","",INDEX(합계표[직위(통합)],$W444)&amp;"")</f>
        <v/>
      </c>
      <c r="E444">
        <f>IF($W444="","",SUMIFS(합계표[시스템 합계],합계표[사번키],INDEX(합계표[사번키],$W444)))</f>
        <v/>
      </c>
      <c r="F444">
        <f>IF($W444="","",SUMIFS(상세표[기록 시간외],상세표[사번키],INDEX(합계표[사번키],$W444),상세표[기록월],대상월키))</f>
        <v/>
      </c>
      <c r="G444">
        <f>IF($W444="","",IF(ABS($E444-$F444)&lt;0.01,"일치","불일치(차이 "&amp;TEXT($F444-$E444,"0.00")&amp;")"))</f>
        <v/>
      </c>
      <c r="H444">
        <f>IF($W444="","",SUMIFS(상세표[기록 시간외],상세표[사번키],INDEX(합계표[사번키],$W444),상세표[기록월],대상월키,상세표[반영월],"&lt;&gt;"&amp;대상월키))</f>
        <v/>
      </c>
      <c r="I444">
        <f>IF($W444="","",SUMIFS(상세표[기록 시간외],상세표[사번키],INDEX(합계표[사번키],$W444),상세표[기록월],"&lt;&gt;"&amp;대상월키,상세표[반영월],대상월키))</f>
        <v/>
      </c>
      <c r="J444">
        <f>IF($W444="","",SUMIFS(상세표[기록 시간외],상세표[사번키],INDEX(합계표[사번키],$W444),상세표[반영월],대상월키))</f>
        <v/>
      </c>
      <c r="K444">
        <f>IF($W444="","",IFERROR(INDEX(월별근무지표[적용 급여병원],MATCH(INDEX(합계표[사번키],$W444)&amp;"|"&amp;대상월키,월별근무지표[키],0))&amp;"",IF(COUNTIF(기관표[사번키],INDEX(합계표[사번키],$W444))+COUNTIF(월별근무지표[사번키],INDEX(합계표[사번키],$W444))&gt;0,IFERROR(INDEX(기관표[급여지급병원(기준월)],MATCH(INDEX(합계표[사번키],$W444)&amp;"|"&amp;대상월키,기관표[키],0))&amp;"","—"),"—")))</f>
        <v/>
      </c>
      <c r="L444">
        <f>IF($W444="","",IF(NOT(COUNTIF(기관표[사번키],INDEX(합계표[사번키],$W444))+COUNTIF(월별근무지표[사번키],INDEX(합계표[사번키],$W444))&gt;0),"기관명단에 없음(다른 병원으로 발송)",IF($K444="—","대상월 기관명단 없음(추가 필요)",IF($K444="서울병원","해당","비해당"))))</f>
        <v/>
      </c>
      <c r="M444">
        <f>IF($W444="","",SUMIFS(상세표[06~07시],상세표[사번키],INDEX(합계표[사번키],$W444),상세표[반영월],대상월키,상세표[반영 기관],"서울병원"))</f>
        <v/>
      </c>
      <c r="N444">
        <f>IF($W444="","",SUMIFS(상세표[07~18시],상세표[사번키],INDEX(합계표[사번키],$W444),상세표[반영월],대상월키,상세표[반영 기관],"서울병원"))</f>
        <v/>
      </c>
      <c r="O444">
        <f>IF($W444="","",SUMIFS(상세표[18~22시],상세표[사번키],INDEX(합계표[사번키],$W444),상세표[반영월],대상월키,상세표[반영 기관],"서울병원"))</f>
        <v/>
      </c>
      <c r="P444">
        <f>IF($W444="","",SUMIFS(상세표[22~06시],상세표[사번키],INDEX(합계표[사번키],$W444),상세표[반영월],대상월키,상세표[반영 기관],"서울병원"))</f>
        <v/>
      </c>
      <c r="Q444">
        <f>IF($W444="","",SUM($M444:$P444))</f>
        <v/>
      </c>
      <c r="R444">
        <f>IF($W444="","",COUNTIFS(상세표[사번키],INDEX(합계표[사번키],$W444),상세표[반영월],대상월키,상세표[야간당직],1,상세표[야간 구분],"평일"))</f>
        <v/>
      </c>
      <c r="S444" s="4">
        <f>IF($W444="","",COUNTIFS(상세표[사번키],INDEX(합계표[사번키],$W444),상세표[반영월],대상월키,상세표[야간당직],1,상세표[야간 구분],"휴일"))</f>
        <v/>
      </c>
      <c r="T444">
        <f>IF($W444="","",COUNTIFS(상세표[사번키],INDEX(합계표[사번키],$W444),상세표[반영월],대상월키,상세표[야간당직],1,상세표[야간 구분],"평일",상세표[반영 기관],"서울병원"))</f>
        <v/>
      </c>
      <c r="U444">
        <f>IF($W444="","",COUNTIFS(상세표[사번키],INDEX(합계표[사번키],$W444),상세표[반영월],대상월키,상세표[야간당직],1,상세표[야간 구분],"휴일",상세표[반영 기관],"서울병원"))</f>
        <v/>
      </c>
      <c r="V444">
        <f>IF($W444="","",IF(ISNUMBER(MATCH(INDEX(합계표[사번키],$W444)&amp;"|"&amp;대상월키,월별근무지표[키],0)),"직접 입력",IF($K444="—","—","기관명단")))</f>
        <v/>
      </c>
      <c r="W444">
        <f>IFERROR(MATCH(439,합계표[판정순번],0),"")</f>
        <v/>
      </c>
    </row>
    <row r="445">
      <c r="A445">
        <f>IF($W445="","",INDEX(합계표[사번],$W445)&amp;"")</f>
        <v/>
      </c>
      <c r="B445">
        <f>IF($W445="","",INDEX(합계표[성명],$W445)&amp;"")</f>
        <v/>
      </c>
      <c r="C445">
        <f>IF($W445="","",INDEX(합계표[부서],$W445)&amp;"")</f>
        <v/>
      </c>
      <c r="D445">
        <f>IF($W445="","",INDEX(합계표[직위(통합)],$W445)&amp;"")</f>
        <v/>
      </c>
      <c r="E445">
        <f>IF($W445="","",SUMIFS(합계표[시스템 합계],합계표[사번키],INDEX(합계표[사번키],$W445)))</f>
        <v/>
      </c>
      <c r="F445">
        <f>IF($W445="","",SUMIFS(상세표[기록 시간외],상세표[사번키],INDEX(합계표[사번키],$W445),상세표[기록월],대상월키))</f>
        <v/>
      </c>
      <c r="G445">
        <f>IF($W445="","",IF(ABS($E445-$F445)&lt;0.01,"일치","불일치(차이 "&amp;TEXT($F445-$E445,"0.00")&amp;")"))</f>
        <v/>
      </c>
      <c r="H445">
        <f>IF($W445="","",SUMIFS(상세표[기록 시간외],상세표[사번키],INDEX(합계표[사번키],$W445),상세표[기록월],대상월키,상세표[반영월],"&lt;&gt;"&amp;대상월키))</f>
        <v/>
      </c>
      <c r="I445">
        <f>IF($W445="","",SUMIFS(상세표[기록 시간외],상세표[사번키],INDEX(합계표[사번키],$W445),상세표[기록월],"&lt;&gt;"&amp;대상월키,상세표[반영월],대상월키))</f>
        <v/>
      </c>
      <c r="J445">
        <f>IF($W445="","",SUMIFS(상세표[기록 시간외],상세표[사번키],INDEX(합계표[사번키],$W445),상세표[반영월],대상월키))</f>
        <v/>
      </c>
      <c r="K445">
        <f>IF($W445="","",IFERROR(INDEX(월별근무지표[적용 급여병원],MATCH(INDEX(합계표[사번키],$W445)&amp;"|"&amp;대상월키,월별근무지표[키],0))&amp;"",IF(COUNTIF(기관표[사번키],INDEX(합계표[사번키],$W445))+COUNTIF(월별근무지표[사번키],INDEX(합계표[사번키],$W445))&gt;0,IFERROR(INDEX(기관표[급여지급병원(기준월)],MATCH(INDEX(합계표[사번키],$W445)&amp;"|"&amp;대상월키,기관표[키],0))&amp;"","—"),"—")))</f>
        <v/>
      </c>
      <c r="L445">
        <f>IF($W445="","",IF(NOT(COUNTIF(기관표[사번키],INDEX(합계표[사번키],$W445))+COUNTIF(월별근무지표[사번키],INDEX(합계표[사번키],$W445))&gt;0),"기관명단에 없음(다른 병원으로 발송)",IF($K445="—","대상월 기관명단 없음(추가 필요)",IF($K445="서울병원","해당","비해당"))))</f>
        <v/>
      </c>
      <c r="M445">
        <f>IF($W445="","",SUMIFS(상세표[06~07시],상세표[사번키],INDEX(합계표[사번키],$W445),상세표[반영월],대상월키,상세표[반영 기관],"서울병원"))</f>
        <v/>
      </c>
      <c r="N445">
        <f>IF($W445="","",SUMIFS(상세표[07~18시],상세표[사번키],INDEX(합계표[사번키],$W445),상세표[반영월],대상월키,상세표[반영 기관],"서울병원"))</f>
        <v/>
      </c>
      <c r="O445">
        <f>IF($W445="","",SUMIFS(상세표[18~22시],상세표[사번키],INDEX(합계표[사번키],$W445),상세표[반영월],대상월키,상세표[반영 기관],"서울병원"))</f>
        <v/>
      </c>
      <c r="P445">
        <f>IF($W445="","",SUMIFS(상세표[22~06시],상세표[사번키],INDEX(합계표[사번키],$W445),상세표[반영월],대상월키,상세표[반영 기관],"서울병원"))</f>
        <v/>
      </c>
      <c r="Q445">
        <f>IF($W445="","",SUM($M445:$P445))</f>
        <v/>
      </c>
      <c r="R445">
        <f>IF($W445="","",COUNTIFS(상세표[사번키],INDEX(합계표[사번키],$W445),상세표[반영월],대상월키,상세표[야간당직],1,상세표[야간 구분],"평일"))</f>
        <v/>
      </c>
      <c r="S445" s="4">
        <f>IF($W445="","",COUNTIFS(상세표[사번키],INDEX(합계표[사번키],$W445),상세표[반영월],대상월키,상세표[야간당직],1,상세표[야간 구분],"휴일"))</f>
        <v/>
      </c>
      <c r="T445">
        <f>IF($W445="","",COUNTIFS(상세표[사번키],INDEX(합계표[사번키],$W445),상세표[반영월],대상월키,상세표[야간당직],1,상세표[야간 구분],"평일",상세표[반영 기관],"서울병원"))</f>
        <v/>
      </c>
      <c r="U445">
        <f>IF($W445="","",COUNTIFS(상세표[사번키],INDEX(합계표[사번키],$W445),상세표[반영월],대상월키,상세표[야간당직],1,상세표[야간 구분],"휴일",상세표[반영 기관],"서울병원"))</f>
        <v/>
      </c>
      <c r="V445">
        <f>IF($W445="","",IF(ISNUMBER(MATCH(INDEX(합계표[사번키],$W445)&amp;"|"&amp;대상월키,월별근무지표[키],0)),"직접 입력",IF($K445="—","—","기관명단")))</f>
        <v/>
      </c>
      <c r="W445">
        <f>IFERROR(MATCH(440,합계표[판정순번],0),"")</f>
        <v/>
      </c>
    </row>
    <row r="446">
      <c r="A446">
        <f>IF($W446="","",INDEX(합계표[사번],$W446)&amp;"")</f>
        <v/>
      </c>
      <c r="B446">
        <f>IF($W446="","",INDEX(합계표[성명],$W446)&amp;"")</f>
        <v/>
      </c>
      <c r="C446">
        <f>IF($W446="","",INDEX(합계표[부서],$W446)&amp;"")</f>
        <v/>
      </c>
      <c r="D446">
        <f>IF($W446="","",INDEX(합계표[직위(통합)],$W446)&amp;"")</f>
        <v/>
      </c>
      <c r="E446">
        <f>IF($W446="","",SUMIFS(합계표[시스템 합계],합계표[사번키],INDEX(합계표[사번키],$W446)))</f>
        <v/>
      </c>
      <c r="F446">
        <f>IF($W446="","",SUMIFS(상세표[기록 시간외],상세표[사번키],INDEX(합계표[사번키],$W446),상세표[기록월],대상월키))</f>
        <v/>
      </c>
      <c r="G446">
        <f>IF($W446="","",IF(ABS($E446-$F446)&lt;0.01,"일치","불일치(차이 "&amp;TEXT($F446-$E446,"0.00")&amp;")"))</f>
        <v/>
      </c>
      <c r="H446">
        <f>IF($W446="","",SUMIFS(상세표[기록 시간외],상세표[사번키],INDEX(합계표[사번키],$W446),상세표[기록월],대상월키,상세표[반영월],"&lt;&gt;"&amp;대상월키))</f>
        <v/>
      </c>
      <c r="I446">
        <f>IF($W446="","",SUMIFS(상세표[기록 시간외],상세표[사번키],INDEX(합계표[사번키],$W446),상세표[기록월],"&lt;&gt;"&amp;대상월키,상세표[반영월],대상월키))</f>
        <v/>
      </c>
      <c r="J446">
        <f>IF($W446="","",SUMIFS(상세표[기록 시간외],상세표[사번키],INDEX(합계표[사번키],$W446),상세표[반영월],대상월키))</f>
        <v/>
      </c>
      <c r="K446">
        <f>IF($W446="","",IFERROR(INDEX(월별근무지표[적용 급여병원],MATCH(INDEX(합계표[사번키],$W446)&amp;"|"&amp;대상월키,월별근무지표[키],0))&amp;"",IF(COUNTIF(기관표[사번키],INDEX(합계표[사번키],$W446))+COUNTIF(월별근무지표[사번키],INDEX(합계표[사번키],$W446))&gt;0,IFERROR(INDEX(기관표[급여지급병원(기준월)],MATCH(INDEX(합계표[사번키],$W446)&amp;"|"&amp;대상월키,기관표[키],0))&amp;"","—"),"—")))</f>
        <v/>
      </c>
      <c r="L446">
        <f>IF($W446="","",IF(NOT(COUNTIF(기관표[사번키],INDEX(합계표[사번키],$W446))+COUNTIF(월별근무지표[사번키],INDEX(합계표[사번키],$W446))&gt;0),"기관명단에 없음(다른 병원으로 발송)",IF($K446="—","대상월 기관명단 없음(추가 필요)",IF($K446="서울병원","해당","비해당"))))</f>
        <v/>
      </c>
      <c r="M446">
        <f>IF($W446="","",SUMIFS(상세표[06~07시],상세표[사번키],INDEX(합계표[사번키],$W446),상세표[반영월],대상월키,상세표[반영 기관],"서울병원"))</f>
        <v/>
      </c>
      <c r="N446">
        <f>IF($W446="","",SUMIFS(상세표[07~18시],상세표[사번키],INDEX(합계표[사번키],$W446),상세표[반영월],대상월키,상세표[반영 기관],"서울병원"))</f>
        <v/>
      </c>
      <c r="O446">
        <f>IF($W446="","",SUMIFS(상세표[18~22시],상세표[사번키],INDEX(합계표[사번키],$W446),상세표[반영월],대상월키,상세표[반영 기관],"서울병원"))</f>
        <v/>
      </c>
      <c r="P446">
        <f>IF($W446="","",SUMIFS(상세표[22~06시],상세표[사번키],INDEX(합계표[사번키],$W446),상세표[반영월],대상월키,상세표[반영 기관],"서울병원"))</f>
        <v/>
      </c>
      <c r="Q446">
        <f>IF($W446="","",SUM($M446:$P446))</f>
        <v/>
      </c>
      <c r="R446">
        <f>IF($W446="","",COUNTIFS(상세표[사번키],INDEX(합계표[사번키],$W446),상세표[반영월],대상월키,상세표[야간당직],1,상세표[야간 구분],"평일"))</f>
        <v/>
      </c>
      <c r="S446" s="4">
        <f>IF($W446="","",COUNTIFS(상세표[사번키],INDEX(합계표[사번키],$W446),상세표[반영월],대상월키,상세표[야간당직],1,상세표[야간 구분],"휴일"))</f>
        <v/>
      </c>
      <c r="T446">
        <f>IF($W446="","",COUNTIFS(상세표[사번키],INDEX(합계표[사번키],$W446),상세표[반영월],대상월키,상세표[야간당직],1,상세표[야간 구분],"평일",상세표[반영 기관],"서울병원"))</f>
        <v/>
      </c>
      <c r="U446">
        <f>IF($W446="","",COUNTIFS(상세표[사번키],INDEX(합계표[사번키],$W446),상세표[반영월],대상월키,상세표[야간당직],1,상세표[야간 구분],"휴일",상세표[반영 기관],"서울병원"))</f>
        <v/>
      </c>
      <c r="V446">
        <f>IF($W446="","",IF(ISNUMBER(MATCH(INDEX(합계표[사번키],$W446)&amp;"|"&amp;대상월키,월별근무지표[키],0)),"직접 입력",IF($K446="—","—","기관명단")))</f>
        <v/>
      </c>
      <c r="W446">
        <f>IFERROR(MATCH(441,합계표[판정순번],0),"")</f>
        <v/>
      </c>
    </row>
    <row r="447">
      <c r="A447">
        <f>IF($W447="","",INDEX(합계표[사번],$W447)&amp;"")</f>
        <v/>
      </c>
      <c r="B447">
        <f>IF($W447="","",INDEX(합계표[성명],$W447)&amp;"")</f>
        <v/>
      </c>
      <c r="C447">
        <f>IF($W447="","",INDEX(합계표[부서],$W447)&amp;"")</f>
        <v/>
      </c>
      <c r="D447">
        <f>IF($W447="","",INDEX(합계표[직위(통합)],$W447)&amp;"")</f>
        <v/>
      </c>
      <c r="E447">
        <f>IF($W447="","",SUMIFS(합계표[시스템 합계],합계표[사번키],INDEX(합계표[사번키],$W447)))</f>
        <v/>
      </c>
      <c r="F447">
        <f>IF($W447="","",SUMIFS(상세표[기록 시간외],상세표[사번키],INDEX(합계표[사번키],$W447),상세표[기록월],대상월키))</f>
        <v/>
      </c>
      <c r="G447">
        <f>IF($W447="","",IF(ABS($E447-$F447)&lt;0.01,"일치","불일치(차이 "&amp;TEXT($F447-$E447,"0.00")&amp;")"))</f>
        <v/>
      </c>
      <c r="H447">
        <f>IF($W447="","",SUMIFS(상세표[기록 시간외],상세표[사번키],INDEX(합계표[사번키],$W447),상세표[기록월],대상월키,상세표[반영월],"&lt;&gt;"&amp;대상월키))</f>
        <v/>
      </c>
      <c r="I447">
        <f>IF($W447="","",SUMIFS(상세표[기록 시간외],상세표[사번키],INDEX(합계표[사번키],$W447),상세표[기록월],"&lt;&gt;"&amp;대상월키,상세표[반영월],대상월키))</f>
        <v/>
      </c>
      <c r="J447">
        <f>IF($W447="","",SUMIFS(상세표[기록 시간외],상세표[사번키],INDEX(합계표[사번키],$W447),상세표[반영월],대상월키))</f>
        <v/>
      </c>
      <c r="K447">
        <f>IF($W447="","",IFERROR(INDEX(월별근무지표[적용 급여병원],MATCH(INDEX(합계표[사번키],$W447)&amp;"|"&amp;대상월키,월별근무지표[키],0))&amp;"",IF(COUNTIF(기관표[사번키],INDEX(합계표[사번키],$W447))+COUNTIF(월별근무지표[사번키],INDEX(합계표[사번키],$W447))&gt;0,IFERROR(INDEX(기관표[급여지급병원(기준월)],MATCH(INDEX(합계표[사번키],$W447)&amp;"|"&amp;대상월키,기관표[키],0))&amp;"","—"),"—")))</f>
        <v/>
      </c>
      <c r="L447">
        <f>IF($W447="","",IF(NOT(COUNTIF(기관표[사번키],INDEX(합계표[사번키],$W447))+COUNTIF(월별근무지표[사번키],INDEX(합계표[사번키],$W447))&gt;0),"기관명단에 없음(다른 병원으로 발송)",IF($K447="—","대상월 기관명단 없음(추가 필요)",IF($K447="서울병원","해당","비해당"))))</f>
        <v/>
      </c>
      <c r="M447">
        <f>IF($W447="","",SUMIFS(상세표[06~07시],상세표[사번키],INDEX(합계표[사번키],$W447),상세표[반영월],대상월키,상세표[반영 기관],"서울병원"))</f>
        <v/>
      </c>
      <c r="N447">
        <f>IF($W447="","",SUMIFS(상세표[07~18시],상세표[사번키],INDEX(합계표[사번키],$W447),상세표[반영월],대상월키,상세표[반영 기관],"서울병원"))</f>
        <v/>
      </c>
      <c r="O447">
        <f>IF($W447="","",SUMIFS(상세표[18~22시],상세표[사번키],INDEX(합계표[사번키],$W447),상세표[반영월],대상월키,상세표[반영 기관],"서울병원"))</f>
        <v/>
      </c>
      <c r="P447">
        <f>IF($W447="","",SUMIFS(상세표[22~06시],상세표[사번키],INDEX(합계표[사번키],$W447),상세표[반영월],대상월키,상세표[반영 기관],"서울병원"))</f>
        <v/>
      </c>
      <c r="Q447">
        <f>IF($W447="","",SUM($M447:$P447))</f>
        <v/>
      </c>
      <c r="R447">
        <f>IF($W447="","",COUNTIFS(상세표[사번키],INDEX(합계표[사번키],$W447),상세표[반영월],대상월키,상세표[야간당직],1,상세표[야간 구분],"평일"))</f>
        <v/>
      </c>
      <c r="S447" s="4">
        <f>IF($W447="","",COUNTIFS(상세표[사번키],INDEX(합계표[사번키],$W447),상세표[반영월],대상월키,상세표[야간당직],1,상세표[야간 구분],"휴일"))</f>
        <v/>
      </c>
      <c r="T447">
        <f>IF($W447="","",COUNTIFS(상세표[사번키],INDEX(합계표[사번키],$W447),상세표[반영월],대상월키,상세표[야간당직],1,상세표[야간 구분],"평일",상세표[반영 기관],"서울병원"))</f>
        <v/>
      </c>
      <c r="U447">
        <f>IF($W447="","",COUNTIFS(상세표[사번키],INDEX(합계표[사번키],$W447),상세표[반영월],대상월키,상세표[야간당직],1,상세표[야간 구분],"휴일",상세표[반영 기관],"서울병원"))</f>
        <v/>
      </c>
      <c r="V447">
        <f>IF($W447="","",IF(ISNUMBER(MATCH(INDEX(합계표[사번키],$W447)&amp;"|"&amp;대상월키,월별근무지표[키],0)),"직접 입력",IF($K447="—","—","기관명단")))</f>
        <v/>
      </c>
      <c r="W447">
        <f>IFERROR(MATCH(442,합계표[판정순번],0),"")</f>
        <v/>
      </c>
    </row>
    <row r="448">
      <c r="A448">
        <f>IF($W448="","",INDEX(합계표[사번],$W448)&amp;"")</f>
        <v/>
      </c>
      <c r="B448">
        <f>IF($W448="","",INDEX(합계표[성명],$W448)&amp;"")</f>
        <v/>
      </c>
      <c r="C448">
        <f>IF($W448="","",INDEX(합계표[부서],$W448)&amp;"")</f>
        <v/>
      </c>
      <c r="D448">
        <f>IF($W448="","",INDEX(합계표[직위(통합)],$W448)&amp;"")</f>
        <v/>
      </c>
      <c r="E448">
        <f>IF($W448="","",SUMIFS(합계표[시스템 합계],합계표[사번키],INDEX(합계표[사번키],$W448)))</f>
        <v/>
      </c>
      <c r="F448">
        <f>IF($W448="","",SUMIFS(상세표[기록 시간외],상세표[사번키],INDEX(합계표[사번키],$W448),상세표[기록월],대상월키))</f>
        <v/>
      </c>
      <c r="G448">
        <f>IF($W448="","",IF(ABS($E448-$F448)&lt;0.01,"일치","불일치(차이 "&amp;TEXT($F448-$E448,"0.00")&amp;")"))</f>
        <v/>
      </c>
      <c r="H448">
        <f>IF($W448="","",SUMIFS(상세표[기록 시간외],상세표[사번키],INDEX(합계표[사번키],$W448),상세표[기록월],대상월키,상세표[반영월],"&lt;&gt;"&amp;대상월키))</f>
        <v/>
      </c>
      <c r="I448">
        <f>IF($W448="","",SUMIFS(상세표[기록 시간외],상세표[사번키],INDEX(합계표[사번키],$W448),상세표[기록월],"&lt;&gt;"&amp;대상월키,상세표[반영월],대상월키))</f>
        <v/>
      </c>
      <c r="J448">
        <f>IF($W448="","",SUMIFS(상세표[기록 시간외],상세표[사번키],INDEX(합계표[사번키],$W448),상세표[반영월],대상월키))</f>
        <v/>
      </c>
      <c r="K448">
        <f>IF($W448="","",IFERROR(INDEX(월별근무지표[적용 급여병원],MATCH(INDEX(합계표[사번키],$W448)&amp;"|"&amp;대상월키,월별근무지표[키],0))&amp;"",IF(COUNTIF(기관표[사번키],INDEX(합계표[사번키],$W448))+COUNTIF(월별근무지표[사번키],INDEX(합계표[사번키],$W448))&gt;0,IFERROR(INDEX(기관표[급여지급병원(기준월)],MATCH(INDEX(합계표[사번키],$W448)&amp;"|"&amp;대상월키,기관표[키],0))&amp;"","—"),"—")))</f>
        <v/>
      </c>
      <c r="L448">
        <f>IF($W448="","",IF(NOT(COUNTIF(기관표[사번키],INDEX(합계표[사번키],$W448))+COUNTIF(월별근무지표[사번키],INDEX(합계표[사번키],$W448))&gt;0),"기관명단에 없음(다른 병원으로 발송)",IF($K448="—","대상월 기관명단 없음(추가 필요)",IF($K448="서울병원","해당","비해당"))))</f>
        <v/>
      </c>
      <c r="M448">
        <f>IF($W448="","",SUMIFS(상세표[06~07시],상세표[사번키],INDEX(합계표[사번키],$W448),상세표[반영월],대상월키,상세표[반영 기관],"서울병원"))</f>
        <v/>
      </c>
      <c r="N448">
        <f>IF($W448="","",SUMIFS(상세표[07~18시],상세표[사번키],INDEX(합계표[사번키],$W448),상세표[반영월],대상월키,상세표[반영 기관],"서울병원"))</f>
        <v/>
      </c>
      <c r="O448">
        <f>IF($W448="","",SUMIFS(상세표[18~22시],상세표[사번키],INDEX(합계표[사번키],$W448),상세표[반영월],대상월키,상세표[반영 기관],"서울병원"))</f>
        <v/>
      </c>
      <c r="P448">
        <f>IF($W448="","",SUMIFS(상세표[22~06시],상세표[사번키],INDEX(합계표[사번키],$W448),상세표[반영월],대상월키,상세표[반영 기관],"서울병원"))</f>
        <v/>
      </c>
      <c r="Q448">
        <f>IF($W448="","",SUM($M448:$P448))</f>
        <v/>
      </c>
      <c r="R448">
        <f>IF($W448="","",COUNTIFS(상세표[사번키],INDEX(합계표[사번키],$W448),상세표[반영월],대상월키,상세표[야간당직],1,상세표[야간 구분],"평일"))</f>
        <v/>
      </c>
      <c r="S448" s="4">
        <f>IF($W448="","",COUNTIFS(상세표[사번키],INDEX(합계표[사번키],$W448),상세표[반영월],대상월키,상세표[야간당직],1,상세표[야간 구분],"휴일"))</f>
        <v/>
      </c>
      <c r="T448">
        <f>IF($W448="","",COUNTIFS(상세표[사번키],INDEX(합계표[사번키],$W448),상세표[반영월],대상월키,상세표[야간당직],1,상세표[야간 구분],"평일",상세표[반영 기관],"서울병원"))</f>
        <v/>
      </c>
      <c r="U448">
        <f>IF($W448="","",COUNTIFS(상세표[사번키],INDEX(합계표[사번키],$W448),상세표[반영월],대상월키,상세표[야간당직],1,상세표[야간 구분],"휴일",상세표[반영 기관],"서울병원"))</f>
        <v/>
      </c>
      <c r="V448">
        <f>IF($W448="","",IF(ISNUMBER(MATCH(INDEX(합계표[사번키],$W448)&amp;"|"&amp;대상월키,월별근무지표[키],0)),"직접 입력",IF($K448="—","—","기관명단")))</f>
        <v/>
      </c>
      <c r="W448">
        <f>IFERROR(MATCH(443,합계표[판정순번],0),"")</f>
        <v/>
      </c>
    </row>
    <row r="449">
      <c r="A449">
        <f>IF($W449="","",INDEX(합계표[사번],$W449)&amp;"")</f>
        <v/>
      </c>
      <c r="B449">
        <f>IF($W449="","",INDEX(합계표[성명],$W449)&amp;"")</f>
        <v/>
      </c>
      <c r="C449">
        <f>IF($W449="","",INDEX(합계표[부서],$W449)&amp;"")</f>
        <v/>
      </c>
      <c r="D449">
        <f>IF($W449="","",INDEX(합계표[직위(통합)],$W449)&amp;"")</f>
        <v/>
      </c>
      <c r="E449">
        <f>IF($W449="","",SUMIFS(합계표[시스템 합계],합계표[사번키],INDEX(합계표[사번키],$W449)))</f>
        <v/>
      </c>
      <c r="F449">
        <f>IF($W449="","",SUMIFS(상세표[기록 시간외],상세표[사번키],INDEX(합계표[사번키],$W449),상세표[기록월],대상월키))</f>
        <v/>
      </c>
      <c r="G449">
        <f>IF($W449="","",IF(ABS($E449-$F449)&lt;0.01,"일치","불일치(차이 "&amp;TEXT($F449-$E449,"0.00")&amp;")"))</f>
        <v/>
      </c>
      <c r="H449">
        <f>IF($W449="","",SUMIFS(상세표[기록 시간외],상세표[사번키],INDEX(합계표[사번키],$W449),상세표[기록월],대상월키,상세표[반영월],"&lt;&gt;"&amp;대상월키))</f>
        <v/>
      </c>
      <c r="I449">
        <f>IF($W449="","",SUMIFS(상세표[기록 시간외],상세표[사번키],INDEX(합계표[사번키],$W449),상세표[기록월],"&lt;&gt;"&amp;대상월키,상세표[반영월],대상월키))</f>
        <v/>
      </c>
      <c r="J449">
        <f>IF($W449="","",SUMIFS(상세표[기록 시간외],상세표[사번키],INDEX(합계표[사번키],$W449),상세표[반영월],대상월키))</f>
        <v/>
      </c>
      <c r="K449">
        <f>IF($W449="","",IFERROR(INDEX(월별근무지표[적용 급여병원],MATCH(INDEX(합계표[사번키],$W449)&amp;"|"&amp;대상월키,월별근무지표[키],0))&amp;"",IF(COUNTIF(기관표[사번키],INDEX(합계표[사번키],$W449))+COUNTIF(월별근무지표[사번키],INDEX(합계표[사번키],$W449))&gt;0,IFERROR(INDEX(기관표[급여지급병원(기준월)],MATCH(INDEX(합계표[사번키],$W449)&amp;"|"&amp;대상월키,기관표[키],0))&amp;"","—"),"—")))</f>
        <v/>
      </c>
      <c r="L449">
        <f>IF($W449="","",IF(NOT(COUNTIF(기관표[사번키],INDEX(합계표[사번키],$W449))+COUNTIF(월별근무지표[사번키],INDEX(합계표[사번키],$W449))&gt;0),"기관명단에 없음(다른 병원으로 발송)",IF($K449="—","대상월 기관명단 없음(추가 필요)",IF($K449="서울병원","해당","비해당"))))</f>
        <v/>
      </c>
      <c r="M449">
        <f>IF($W449="","",SUMIFS(상세표[06~07시],상세표[사번키],INDEX(합계표[사번키],$W449),상세표[반영월],대상월키,상세표[반영 기관],"서울병원"))</f>
        <v/>
      </c>
      <c r="N449">
        <f>IF($W449="","",SUMIFS(상세표[07~18시],상세표[사번키],INDEX(합계표[사번키],$W449),상세표[반영월],대상월키,상세표[반영 기관],"서울병원"))</f>
        <v/>
      </c>
      <c r="O449">
        <f>IF($W449="","",SUMIFS(상세표[18~22시],상세표[사번키],INDEX(합계표[사번키],$W449),상세표[반영월],대상월키,상세표[반영 기관],"서울병원"))</f>
        <v/>
      </c>
      <c r="P449">
        <f>IF($W449="","",SUMIFS(상세표[22~06시],상세표[사번키],INDEX(합계표[사번키],$W449),상세표[반영월],대상월키,상세표[반영 기관],"서울병원"))</f>
        <v/>
      </c>
      <c r="Q449">
        <f>IF($W449="","",SUM($M449:$P449))</f>
        <v/>
      </c>
      <c r="R449">
        <f>IF($W449="","",COUNTIFS(상세표[사번키],INDEX(합계표[사번키],$W449),상세표[반영월],대상월키,상세표[야간당직],1,상세표[야간 구분],"평일"))</f>
        <v/>
      </c>
      <c r="S449" s="4">
        <f>IF($W449="","",COUNTIFS(상세표[사번키],INDEX(합계표[사번키],$W449),상세표[반영월],대상월키,상세표[야간당직],1,상세표[야간 구분],"휴일"))</f>
        <v/>
      </c>
      <c r="T449">
        <f>IF($W449="","",COUNTIFS(상세표[사번키],INDEX(합계표[사번키],$W449),상세표[반영월],대상월키,상세표[야간당직],1,상세표[야간 구분],"평일",상세표[반영 기관],"서울병원"))</f>
        <v/>
      </c>
      <c r="U449">
        <f>IF($W449="","",COUNTIFS(상세표[사번키],INDEX(합계표[사번키],$W449),상세표[반영월],대상월키,상세표[야간당직],1,상세표[야간 구분],"휴일",상세표[반영 기관],"서울병원"))</f>
        <v/>
      </c>
      <c r="V449">
        <f>IF($W449="","",IF(ISNUMBER(MATCH(INDEX(합계표[사번키],$W449)&amp;"|"&amp;대상월키,월별근무지표[키],0)),"직접 입력",IF($K449="—","—","기관명단")))</f>
        <v/>
      </c>
      <c r="W449">
        <f>IFERROR(MATCH(444,합계표[판정순번],0),"")</f>
        <v/>
      </c>
    </row>
    <row r="450">
      <c r="A450">
        <f>IF($W450="","",INDEX(합계표[사번],$W450)&amp;"")</f>
        <v/>
      </c>
      <c r="B450">
        <f>IF($W450="","",INDEX(합계표[성명],$W450)&amp;"")</f>
        <v/>
      </c>
      <c r="C450">
        <f>IF($W450="","",INDEX(합계표[부서],$W450)&amp;"")</f>
        <v/>
      </c>
      <c r="D450">
        <f>IF($W450="","",INDEX(합계표[직위(통합)],$W450)&amp;"")</f>
        <v/>
      </c>
      <c r="E450">
        <f>IF($W450="","",SUMIFS(합계표[시스템 합계],합계표[사번키],INDEX(합계표[사번키],$W450)))</f>
        <v/>
      </c>
      <c r="F450">
        <f>IF($W450="","",SUMIFS(상세표[기록 시간외],상세표[사번키],INDEX(합계표[사번키],$W450),상세표[기록월],대상월키))</f>
        <v/>
      </c>
      <c r="G450">
        <f>IF($W450="","",IF(ABS($E450-$F450)&lt;0.01,"일치","불일치(차이 "&amp;TEXT($F450-$E450,"0.00")&amp;")"))</f>
        <v/>
      </c>
      <c r="H450">
        <f>IF($W450="","",SUMIFS(상세표[기록 시간외],상세표[사번키],INDEX(합계표[사번키],$W450),상세표[기록월],대상월키,상세표[반영월],"&lt;&gt;"&amp;대상월키))</f>
        <v/>
      </c>
      <c r="I450">
        <f>IF($W450="","",SUMIFS(상세표[기록 시간외],상세표[사번키],INDEX(합계표[사번키],$W450),상세표[기록월],"&lt;&gt;"&amp;대상월키,상세표[반영월],대상월키))</f>
        <v/>
      </c>
      <c r="J450">
        <f>IF($W450="","",SUMIFS(상세표[기록 시간외],상세표[사번키],INDEX(합계표[사번키],$W450),상세표[반영월],대상월키))</f>
        <v/>
      </c>
      <c r="K450">
        <f>IF($W450="","",IFERROR(INDEX(월별근무지표[적용 급여병원],MATCH(INDEX(합계표[사번키],$W450)&amp;"|"&amp;대상월키,월별근무지표[키],0))&amp;"",IF(COUNTIF(기관표[사번키],INDEX(합계표[사번키],$W450))+COUNTIF(월별근무지표[사번키],INDEX(합계표[사번키],$W450))&gt;0,IFERROR(INDEX(기관표[급여지급병원(기준월)],MATCH(INDEX(합계표[사번키],$W450)&amp;"|"&amp;대상월키,기관표[키],0))&amp;"","—"),"—")))</f>
        <v/>
      </c>
      <c r="L450">
        <f>IF($W450="","",IF(NOT(COUNTIF(기관표[사번키],INDEX(합계표[사번키],$W450))+COUNTIF(월별근무지표[사번키],INDEX(합계표[사번키],$W450))&gt;0),"기관명단에 없음(다른 병원으로 발송)",IF($K450="—","대상월 기관명단 없음(추가 필요)",IF($K450="서울병원","해당","비해당"))))</f>
        <v/>
      </c>
      <c r="M450">
        <f>IF($W450="","",SUMIFS(상세표[06~07시],상세표[사번키],INDEX(합계표[사번키],$W450),상세표[반영월],대상월키,상세표[반영 기관],"서울병원"))</f>
        <v/>
      </c>
      <c r="N450">
        <f>IF($W450="","",SUMIFS(상세표[07~18시],상세표[사번키],INDEX(합계표[사번키],$W450),상세표[반영월],대상월키,상세표[반영 기관],"서울병원"))</f>
        <v/>
      </c>
      <c r="O450">
        <f>IF($W450="","",SUMIFS(상세표[18~22시],상세표[사번키],INDEX(합계표[사번키],$W450),상세표[반영월],대상월키,상세표[반영 기관],"서울병원"))</f>
        <v/>
      </c>
      <c r="P450">
        <f>IF($W450="","",SUMIFS(상세표[22~06시],상세표[사번키],INDEX(합계표[사번키],$W450),상세표[반영월],대상월키,상세표[반영 기관],"서울병원"))</f>
        <v/>
      </c>
      <c r="Q450">
        <f>IF($W450="","",SUM($M450:$P450))</f>
        <v/>
      </c>
      <c r="R450">
        <f>IF($W450="","",COUNTIFS(상세표[사번키],INDEX(합계표[사번키],$W450),상세표[반영월],대상월키,상세표[야간당직],1,상세표[야간 구분],"평일"))</f>
        <v/>
      </c>
      <c r="S450" s="4">
        <f>IF($W450="","",COUNTIFS(상세표[사번키],INDEX(합계표[사번키],$W450),상세표[반영월],대상월키,상세표[야간당직],1,상세표[야간 구분],"휴일"))</f>
        <v/>
      </c>
      <c r="T450">
        <f>IF($W450="","",COUNTIFS(상세표[사번키],INDEX(합계표[사번키],$W450),상세표[반영월],대상월키,상세표[야간당직],1,상세표[야간 구분],"평일",상세표[반영 기관],"서울병원"))</f>
        <v/>
      </c>
      <c r="U450">
        <f>IF($W450="","",COUNTIFS(상세표[사번키],INDEX(합계표[사번키],$W450),상세표[반영월],대상월키,상세표[야간당직],1,상세표[야간 구분],"휴일",상세표[반영 기관],"서울병원"))</f>
        <v/>
      </c>
      <c r="V450">
        <f>IF($W450="","",IF(ISNUMBER(MATCH(INDEX(합계표[사번키],$W450)&amp;"|"&amp;대상월키,월별근무지표[키],0)),"직접 입력",IF($K450="—","—","기관명단")))</f>
        <v/>
      </c>
      <c r="W450">
        <f>IFERROR(MATCH(445,합계표[판정순번],0),"")</f>
        <v/>
      </c>
    </row>
    <row r="451">
      <c r="A451">
        <f>IF($W451="","",INDEX(합계표[사번],$W451)&amp;"")</f>
        <v/>
      </c>
      <c r="B451">
        <f>IF($W451="","",INDEX(합계표[성명],$W451)&amp;"")</f>
        <v/>
      </c>
      <c r="C451">
        <f>IF($W451="","",INDEX(합계표[부서],$W451)&amp;"")</f>
        <v/>
      </c>
      <c r="D451">
        <f>IF($W451="","",INDEX(합계표[직위(통합)],$W451)&amp;"")</f>
        <v/>
      </c>
      <c r="E451">
        <f>IF($W451="","",SUMIFS(합계표[시스템 합계],합계표[사번키],INDEX(합계표[사번키],$W451)))</f>
        <v/>
      </c>
      <c r="F451">
        <f>IF($W451="","",SUMIFS(상세표[기록 시간외],상세표[사번키],INDEX(합계표[사번키],$W451),상세표[기록월],대상월키))</f>
        <v/>
      </c>
      <c r="G451">
        <f>IF($W451="","",IF(ABS($E451-$F451)&lt;0.01,"일치","불일치(차이 "&amp;TEXT($F451-$E451,"0.00")&amp;")"))</f>
        <v/>
      </c>
      <c r="H451">
        <f>IF($W451="","",SUMIFS(상세표[기록 시간외],상세표[사번키],INDEX(합계표[사번키],$W451),상세표[기록월],대상월키,상세표[반영월],"&lt;&gt;"&amp;대상월키))</f>
        <v/>
      </c>
      <c r="I451">
        <f>IF($W451="","",SUMIFS(상세표[기록 시간외],상세표[사번키],INDEX(합계표[사번키],$W451),상세표[기록월],"&lt;&gt;"&amp;대상월키,상세표[반영월],대상월키))</f>
        <v/>
      </c>
      <c r="J451">
        <f>IF($W451="","",SUMIFS(상세표[기록 시간외],상세표[사번키],INDEX(합계표[사번키],$W451),상세표[반영월],대상월키))</f>
        <v/>
      </c>
      <c r="K451">
        <f>IF($W451="","",IFERROR(INDEX(월별근무지표[적용 급여병원],MATCH(INDEX(합계표[사번키],$W451)&amp;"|"&amp;대상월키,월별근무지표[키],0))&amp;"",IF(COUNTIF(기관표[사번키],INDEX(합계표[사번키],$W451))+COUNTIF(월별근무지표[사번키],INDEX(합계표[사번키],$W451))&gt;0,IFERROR(INDEX(기관표[급여지급병원(기준월)],MATCH(INDEX(합계표[사번키],$W451)&amp;"|"&amp;대상월키,기관표[키],0))&amp;"","—"),"—")))</f>
        <v/>
      </c>
      <c r="L451">
        <f>IF($W451="","",IF(NOT(COUNTIF(기관표[사번키],INDEX(합계표[사번키],$W451))+COUNTIF(월별근무지표[사번키],INDEX(합계표[사번키],$W451))&gt;0),"기관명단에 없음(다른 병원으로 발송)",IF($K451="—","대상월 기관명단 없음(추가 필요)",IF($K451="서울병원","해당","비해당"))))</f>
        <v/>
      </c>
      <c r="M451">
        <f>IF($W451="","",SUMIFS(상세표[06~07시],상세표[사번키],INDEX(합계표[사번키],$W451),상세표[반영월],대상월키,상세표[반영 기관],"서울병원"))</f>
        <v/>
      </c>
      <c r="N451">
        <f>IF($W451="","",SUMIFS(상세표[07~18시],상세표[사번키],INDEX(합계표[사번키],$W451),상세표[반영월],대상월키,상세표[반영 기관],"서울병원"))</f>
        <v/>
      </c>
      <c r="O451">
        <f>IF($W451="","",SUMIFS(상세표[18~22시],상세표[사번키],INDEX(합계표[사번키],$W451),상세표[반영월],대상월키,상세표[반영 기관],"서울병원"))</f>
        <v/>
      </c>
      <c r="P451">
        <f>IF($W451="","",SUMIFS(상세표[22~06시],상세표[사번키],INDEX(합계표[사번키],$W451),상세표[반영월],대상월키,상세표[반영 기관],"서울병원"))</f>
        <v/>
      </c>
      <c r="Q451">
        <f>IF($W451="","",SUM($M451:$P451))</f>
        <v/>
      </c>
      <c r="R451">
        <f>IF($W451="","",COUNTIFS(상세표[사번키],INDEX(합계표[사번키],$W451),상세표[반영월],대상월키,상세표[야간당직],1,상세표[야간 구분],"평일"))</f>
        <v/>
      </c>
      <c r="S451" s="4">
        <f>IF($W451="","",COUNTIFS(상세표[사번키],INDEX(합계표[사번키],$W451),상세표[반영월],대상월키,상세표[야간당직],1,상세표[야간 구분],"휴일"))</f>
        <v/>
      </c>
      <c r="T451">
        <f>IF($W451="","",COUNTIFS(상세표[사번키],INDEX(합계표[사번키],$W451),상세표[반영월],대상월키,상세표[야간당직],1,상세표[야간 구분],"평일",상세표[반영 기관],"서울병원"))</f>
        <v/>
      </c>
      <c r="U451">
        <f>IF($W451="","",COUNTIFS(상세표[사번키],INDEX(합계표[사번키],$W451),상세표[반영월],대상월키,상세표[야간당직],1,상세표[야간 구분],"휴일",상세표[반영 기관],"서울병원"))</f>
        <v/>
      </c>
      <c r="V451">
        <f>IF($W451="","",IF(ISNUMBER(MATCH(INDEX(합계표[사번키],$W451)&amp;"|"&amp;대상월키,월별근무지표[키],0)),"직접 입력",IF($K451="—","—","기관명단")))</f>
        <v/>
      </c>
      <c r="W451">
        <f>IFERROR(MATCH(446,합계표[판정순번],0),"")</f>
        <v/>
      </c>
    </row>
    <row r="452">
      <c r="A452">
        <f>IF($W452="","",INDEX(합계표[사번],$W452)&amp;"")</f>
        <v/>
      </c>
      <c r="B452">
        <f>IF($W452="","",INDEX(합계표[성명],$W452)&amp;"")</f>
        <v/>
      </c>
      <c r="C452">
        <f>IF($W452="","",INDEX(합계표[부서],$W452)&amp;"")</f>
        <v/>
      </c>
      <c r="D452">
        <f>IF($W452="","",INDEX(합계표[직위(통합)],$W452)&amp;"")</f>
        <v/>
      </c>
      <c r="E452">
        <f>IF($W452="","",SUMIFS(합계표[시스템 합계],합계표[사번키],INDEX(합계표[사번키],$W452)))</f>
        <v/>
      </c>
      <c r="F452">
        <f>IF($W452="","",SUMIFS(상세표[기록 시간외],상세표[사번키],INDEX(합계표[사번키],$W452),상세표[기록월],대상월키))</f>
        <v/>
      </c>
      <c r="G452">
        <f>IF($W452="","",IF(ABS($E452-$F452)&lt;0.01,"일치","불일치(차이 "&amp;TEXT($F452-$E452,"0.00")&amp;")"))</f>
        <v/>
      </c>
      <c r="H452">
        <f>IF($W452="","",SUMIFS(상세표[기록 시간외],상세표[사번키],INDEX(합계표[사번키],$W452),상세표[기록월],대상월키,상세표[반영월],"&lt;&gt;"&amp;대상월키))</f>
        <v/>
      </c>
      <c r="I452">
        <f>IF($W452="","",SUMIFS(상세표[기록 시간외],상세표[사번키],INDEX(합계표[사번키],$W452),상세표[기록월],"&lt;&gt;"&amp;대상월키,상세표[반영월],대상월키))</f>
        <v/>
      </c>
      <c r="J452">
        <f>IF($W452="","",SUMIFS(상세표[기록 시간외],상세표[사번키],INDEX(합계표[사번키],$W452),상세표[반영월],대상월키))</f>
        <v/>
      </c>
      <c r="K452">
        <f>IF($W452="","",IFERROR(INDEX(월별근무지표[적용 급여병원],MATCH(INDEX(합계표[사번키],$W452)&amp;"|"&amp;대상월키,월별근무지표[키],0))&amp;"",IF(COUNTIF(기관표[사번키],INDEX(합계표[사번키],$W452))+COUNTIF(월별근무지표[사번키],INDEX(합계표[사번키],$W452))&gt;0,IFERROR(INDEX(기관표[급여지급병원(기준월)],MATCH(INDEX(합계표[사번키],$W452)&amp;"|"&amp;대상월키,기관표[키],0))&amp;"","—"),"—")))</f>
        <v/>
      </c>
      <c r="L452">
        <f>IF($W452="","",IF(NOT(COUNTIF(기관표[사번키],INDEX(합계표[사번키],$W452))+COUNTIF(월별근무지표[사번키],INDEX(합계표[사번키],$W452))&gt;0),"기관명단에 없음(다른 병원으로 발송)",IF($K452="—","대상월 기관명단 없음(추가 필요)",IF($K452="서울병원","해당","비해당"))))</f>
        <v/>
      </c>
      <c r="M452">
        <f>IF($W452="","",SUMIFS(상세표[06~07시],상세표[사번키],INDEX(합계표[사번키],$W452),상세표[반영월],대상월키,상세표[반영 기관],"서울병원"))</f>
        <v/>
      </c>
      <c r="N452">
        <f>IF($W452="","",SUMIFS(상세표[07~18시],상세표[사번키],INDEX(합계표[사번키],$W452),상세표[반영월],대상월키,상세표[반영 기관],"서울병원"))</f>
        <v/>
      </c>
      <c r="O452">
        <f>IF($W452="","",SUMIFS(상세표[18~22시],상세표[사번키],INDEX(합계표[사번키],$W452),상세표[반영월],대상월키,상세표[반영 기관],"서울병원"))</f>
        <v/>
      </c>
      <c r="P452">
        <f>IF($W452="","",SUMIFS(상세표[22~06시],상세표[사번키],INDEX(합계표[사번키],$W452),상세표[반영월],대상월키,상세표[반영 기관],"서울병원"))</f>
        <v/>
      </c>
      <c r="Q452">
        <f>IF($W452="","",SUM($M452:$P452))</f>
        <v/>
      </c>
      <c r="R452">
        <f>IF($W452="","",COUNTIFS(상세표[사번키],INDEX(합계표[사번키],$W452),상세표[반영월],대상월키,상세표[야간당직],1,상세표[야간 구분],"평일"))</f>
        <v/>
      </c>
      <c r="S452" s="4">
        <f>IF($W452="","",COUNTIFS(상세표[사번키],INDEX(합계표[사번키],$W452),상세표[반영월],대상월키,상세표[야간당직],1,상세표[야간 구분],"휴일"))</f>
        <v/>
      </c>
      <c r="T452">
        <f>IF($W452="","",COUNTIFS(상세표[사번키],INDEX(합계표[사번키],$W452),상세표[반영월],대상월키,상세표[야간당직],1,상세표[야간 구분],"평일",상세표[반영 기관],"서울병원"))</f>
        <v/>
      </c>
      <c r="U452">
        <f>IF($W452="","",COUNTIFS(상세표[사번키],INDEX(합계표[사번키],$W452),상세표[반영월],대상월키,상세표[야간당직],1,상세표[야간 구분],"휴일",상세표[반영 기관],"서울병원"))</f>
        <v/>
      </c>
      <c r="V452">
        <f>IF($W452="","",IF(ISNUMBER(MATCH(INDEX(합계표[사번키],$W452)&amp;"|"&amp;대상월키,월별근무지표[키],0)),"직접 입력",IF($K452="—","—","기관명단")))</f>
        <v/>
      </c>
      <c r="W452">
        <f>IFERROR(MATCH(447,합계표[판정순번],0),"")</f>
        <v/>
      </c>
    </row>
    <row r="453">
      <c r="A453">
        <f>IF($W453="","",INDEX(합계표[사번],$W453)&amp;"")</f>
        <v/>
      </c>
      <c r="B453">
        <f>IF($W453="","",INDEX(합계표[성명],$W453)&amp;"")</f>
        <v/>
      </c>
      <c r="C453">
        <f>IF($W453="","",INDEX(합계표[부서],$W453)&amp;"")</f>
        <v/>
      </c>
      <c r="D453">
        <f>IF($W453="","",INDEX(합계표[직위(통합)],$W453)&amp;"")</f>
        <v/>
      </c>
      <c r="E453">
        <f>IF($W453="","",SUMIFS(합계표[시스템 합계],합계표[사번키],INDEX(합계표[사번키],$W453)))</f>
        <v/>
      </c>
      <c r="F453">
        <f>IF($W453="","",SUMIFS(상세표[기록 시간외],상세표[사번키],INDEX(합계표[사번키],$W453),상세표[기록월],대상월키))</f>
        <v/>
      </c>
      <c r="G453">
        <f>IF($W453="","",IF(ABS($E453-$F453)&lt;0.01,"일치","불일치(차이 "&amp;TEXT($F453-$E453,"0.00")&amp;")"))</f>
        <v/>
      </c>
      <c r="H453">
        <f>IF($W453="","",SUMIFS(상세표[기록 시간외],상세표[사번키],INDEX(합계표[사번키],$W453),상세표[기록월],대상월키,상세표[반영월],"&lt;&gt;"&amp;대상월키))</f>
        <v/>
      </c>
      <c r="I453">
        <f>IF($W453="","",SUMIFS(상세표[기록 시간외],상세표[사번키],INDEX(합계표[사번키],$W453),상세표[기록월],"&lt;&gt;"&amp;대상월키,상세표[반영월],대상월키))</f>
        <v/>
      </c>
      <c r="J453">
        <f>IF($W453="","",SUMIFS(상세표[기록 시간외],상세표[사번키],INDEX(합계표[사번키],$W453),상세표[반영월],대상월키))</f>
        <v/>
      </c>
      <c r="K453">
        <f>IF($W453="","",IFERROR(INDEX(월별근무지표[적용 급여병원],MATCH(INDEX(합계표[사번키],$W453)&amp;"|"&amp;대상월키,월별근무지표[키],0))&amp;"",IF(COUNTIF(기관표[사번키],INDEX(합계표[사번키],$W453))+COUNTIF(월별근무지표[사번키],INDEX(합계표[사번키],$W453))&gt;0,IFERROR(INDEX(기관표[급여지급병원(기준월)],MATCH(INDEX(합계표[사번키],$W453)&amp;"|"&amp;대상월키,기관표[키],0))&amp;"","—"),"—")))</f>
        <v/>
      </c>
      <c r="L453">
        <f>IF($W453="","",IF(NOT(COUNTIF(기관표[사번키],INDEX(합계표[사번키],$W453))+COUNTIF(월별근무지표[사번키],INDEX(합계표[사번키],$W453))&gt;0),"기관명단에 없음(다른 병원으로 발송)",IF($K453="—","대상월 기관명단 없음(추가 필요)",IF($K453="서울병원","해당","비해당"))))</f>
        <v/>
      </c>
      <c r="M453">
        <f>IF($W453="","",SUMIFS(상세표[06~07시],상세표[사번키],INDEX(합계표[사번키],$W453),상세표[반영월],대상월키,상세표[반영 기관],"서울병원"))</f>
        <v/>
      </c>
      <c r="N453">
        <f>IF($W453="","",SUMIFS(상세표[07~18시],상세표[사번키],INDEX(합계표[사번키],$W453),상세표[반영월],대상월키,상세표[반영 기관],"서울병원"))</f>
        <v/>
      </c>
      <c r="O453">
        <f>IF($W453="","",SUMIFS(상세표[18~22시],상세표[사번키],INDEX(합계표[사번키],$W453),상세표[반영월],대상월키,상세표[반영 기관],"서울병원"))</f>
        <v/>
      </c>
      <c r="P453">
        <f>IF($W453="","",SUMIFS(상세표[22~06시],상세표[사번키],INDEX(합계표[사번키],$W453),상세표[반영월],대상월키,상세표[반영 기관],"서울병원"))</f>
        <v/>
      </c>
      <c r="Q453">
        <f>IF($W453="","",SUM($M453:$P453))</f>
        <v/>
      </c>
      <c r="R453">
        <f>IF($W453="","",COUNTIFS(상세표[사번키],INDEX(합계표[사번키],$W453),상세표[반영월],대상월키,상세표[야간당직],1,상세표[야간 구분],"평일"))</f>
        <v/>
      </c>
      <c r="S453" s="4">
        <f>IF($W453="","",COUNTIFS(상세표[사번키],INDEX(합계표[사번키],$W453),상세표[반영월],대상월키,상세표[야간당직],1,상세표[야간 구분],"휴일"))</f>
        <v/>
      </c>
      <c r="T453">
        <f>IF($W453="","",COUNTIFS(상세표[사번키],INDEX(합계표[사번키],$W453),상세표[반영월],대상월키,상세표[야간당직],1,상세표[야간 구분],"평일",상세표[반영 기관],"서울병원"))</f>
        <v/>
      </c>
      <c r="U453">
        <f>IF($W453="","",COUNTIFS(상세표[사번키],INDEX(합계표[사번키],$W453),상세표[반영월],대상월키,상세표[야간당직],1,상세표[야간 구분],"휴일",상세표[반영 기관],"서울병원"))</f>
        <v/>
      </c>
      <c r="V453">
        <f>IF($W453="","",IF(ISNUMBER(MATCH(INDEX(합계표[사번키],$W453)&amp;"|"&amp;대상월키,월별근무지표[키],0)),"직접 입력",IF($K453="—","—","기관명단")))</f>
        <v/>
      </c>
      <c r="W453">
        <f>IFERROR(MATCH(448,합계표[판정순번],0),"")</f>
        <v/>
      </c>
    </row>
    <row r="454">
      <c r="A454">
        <f>IF($W454="","",INDEX(합계표[사번],$W454)&amp;"")</f>
        <v/>
      </c>
      <c r="B454">
        <f>IF($W454="","",INDEX(합계표[성명],$W454)&amp;"")</f>
        <v/>
      </c>
      <c r="C454">
        <f>IF($W454="","",INDEX(합계표[부서],$W454)&amp;"")</f>
        <v/>
      </c>
      <c r="D454">
        <f>IF($W454="","",INDEX(합계표[직위(통합)],$W454)&amp;"")</f>
        <v/>
      </c>
      <c r="E454">
        <f>IF($W454="","",SUMIFS(합계표[시스템 합계],합계표[사번키],INDEX(합계표[사번키],$W454)))</f>
        <v/>
      </c>
      <c r="F454">
        <f>IF($W454="","",SUMIFS(상세표[기록 시간외],상세표[사번키],INDEX(합계표[사번키],$W454),상세표[기록월],대상월키))</f>
        <v/>
      </c>
      <c r="G454">
        <f>IF($W454="","",IF(ABS($E454-$F454)&lt;0.01,"일치","불일치(차이 "&amp;TEXT($F454-$E454,"0.00")&amp;")"))</f>
        <v/>
      </c>
      <c r="H454">
        <f>IF($W454="","",SUMIFS(상세표[기록 시간외],상세표[사번키],INDEX(합계표[사번키],$W454),상세표[기록월],대상월키,상세표[반영월],"&lt;&gt;"&amp;대상월키))</f>
        <v/>
      </c>
      <c r="I454">
        <f>IF($W454="","",SUMIFS(상세표[기록 시간외],상세표[사번키],INDEX(합계표[사번키],$W454),상세표[기록월],"&lt;&gt;"&amp;대상월키,상세표[반영월],대상월키))</f>
        <v/>
      </c>
      <c r="J454">
        <f>IF($W454="","",SUMIFS(상세표[기록 시간외],상세표[사번키],INDEX(합계표[사번키],$W454),상세표[반영월],대상월키))</f>
        <v/>
      </c>
      <c r="K454">
        <f>IF($W454="","",IFERROR(INDEX(월별근무지표[적용 급여병원],MATCH(INDEX(합계표[사번키],$W454)&amp;"|"&amp;대상월키,월별근무지표[키],0))&amp;"",IF(COUNTIF(기관표[사번키],INDEX(합계표[사번키],$W454))+COUNTIF(월별근무지표[사번키],INDEX(합계표[사번키],$W454))&gt;0,IFERROR(INDEX(기관표[급여지급병원(기준월)],MATCH(INDEX(합계표[사번키],$W454)&amp;"|"&amp;대상월키,기관표[키],0))&amp;"","—"),"—")))</f>
        <v/>
      </c>
      <c r="L454">
        <f>IF($W454="","",IF(NOT(COUNTIF(기관표[사번키],INDEX(합계표[사번키],$W454))+COUNTIF(월별근무지표[사번키],INDEX(합계표[사번키],$W454))&gt;0),"기관명단에 없음(다른 병원으로 발송)",IF($K454="—","대상월 기관명단 없음(추가 필요)",IF($K454="서울병원","해당","비해당"))))</f>
        <v/>
      </c>
      <c r="M454">
        <f>IF($W454="","",SUMIFS(상세표[06~07시],상세표[사번키],INDEX(합계표[사번키],$W454),상세표[반영월],대상월키,상세표[반영 기관],"서울병원"))</f>
        <v/>
      </c>
      <c r="N454">
        <f>IF($W454="","",SUMIFS(상세표[07~18시],상세표[사번키],INDEX(합계표[사번키],$W454),상세표[반영월],대상월키,상세표[반영 기관],"서울병원"))</f>
        <v/>
      </c>
      <c r="O454">
        <f>IF($W454="","",SUMIFS(상세표[18~22시],상세표[사번키],INDEX(합계표[사번키],$W454),상세표[반영월],대상월키,상세표[반영 기관],"서울병원"))</f>
        <v/>
      </c>
      <c r="P454">
        <f>IF($W454="","",SUMIFS(상세표[22~06시],상세표[사번키],INDEX(합계표[사번키],$W454),상세표[반영월],대상월키,상세표[반영 기관],"서울병원"))</f>
        <v/>
      </c>
      <c r="Q454">
        <f>IF($W454="","",SUM($M454:$P454))</f>
        <v/>
      </c>
      <c r="R454">
        <f>IF($W454="","",COUNTIFS(상세표[사번키],INDEX(합계표[사번키],$W454),상세표[반영월],대상월키,상세표[야간당직],1,상세표[야간 구분],"평일"))</f>
        <v/>
      </c>
      <c r="S454" s="4">
        <f>IF($W454="","",COUNTIFS(상세표[사번키],INDEX(합계표[사번키],$W454),상세표[반영월],대상월키,상세표[야간당직],1,상세표[야간 구분],"휴일"))</f>
        <v/>
      </c>
      <c r="T454">
        <f>IF($W454="","",COUNTIFS(상세표[사번키],INDEX(합계표[사번키],$W454),상세표[반영월],대상월키,상세표[야간당직],1,상세표[야간 구분],"평일",상세표[반영 기관],"서울병원"))</f>
        <v/>
      </c>
      <c r="U454">
        <f>IF($W454="","",COUNTIFS(상세표[사번키],INDEX(합계표[사번키],$W454),상세표[반영월],대상월키,상세표[야간당직],1,상세표[야간 구분],"휴일",상세표[반영 기관],"서울병원"))</f>
        <v/>
      </c>
      <c r="V454">
        <f>IF($W454="","",IF(ISNUMBER(MATCH(INDEX(합계표[사번키],$W454)&amp;"|"&amp;대상월키,월별근무지표[키],0)),"직접 입력",IF($K454="—","—","기관명단")))</f>
        <v/>
      </c>
      <c r="W454">
        <f>IFERROR(MATCH(449,합계표[판정순번],0),"")</f>
        <v/>
      </c>
    </row>
    <row r="455">
      <c r="A455">
        <f>IF($W455="","",INDEX(합계표[사번],$W455)&amp;"")</f>
        <v/>
      </c>
      <c r="B455">
        <f>IF($W455="","",INDEX(합계표[성명],$W455)&amp;"")</f>
        <v/>
      </c>
      <c r="C455">
        <f>IF($W455="","",INDEX(합계표[부서],$W455)&amp;"")</f>
        <v/>
      </c>
      <c r="D455">
        <f>IF($W455="","",INDEX(합계표[직위(통합)],$W455)&amp;"")</f>
        <v/>
      </c>
      <c r="E455">
        <f>IF($W455="","",SUMIFS(합계표[시스템 합계],합계표[사번키],INDEX(합계표[사번키],$W455)))</f>
        <v/>
      </c>
      <c r="F455">
        <f>IF($W455="","",SUMIFS(상세표[기록 시간외],상세표[사번키],INDEX(합계표[사번키],$W455),상세표[기록월],대상월키))</f>
        <v/>
      </c>
      <c r="G455">
        <f>IF($W455="","",IF(ABS($E455-$F455)&lt;0.01,"일치","불일치(차이 "&amp;TEXT($F455-$E455,"0.00")&amp;")"))</f>
        <v/>
      </c>
      <c r="H455">
        <f>IF($W455="","",SUMIFS(상세표[기록 시간외],상세표[사번키],INDEX(합계표[사번키],$W455),상세표[기록월],대상월키,상세표[반영월],"&lt;&gt;"&amp;대상월키))</f>
        <v/>
      </c>
      <c r="I455">
        <f>IF($W455="","",SUMIFS(상세표[기록 시간외],상세표[사번키],INDEX(합계표[사번키],$W455),상세표[기록월],"&lt;&gt;"&amp;대상월키,상세표[반영월],대상월키))</f>
        <v/>
      </c>
      <c r="J455">
        <f>IF($W455="","",SUMIFS(상세표[기록 시간외],상세표[사번키],INDEX(합계표[사번키],$W455),상세표[반영월],대상월키))</f>
        <v/>
      </c>
      <c r="K455">
        <f>IF($W455="","",IFERROR(INDEX(월별근무지표[적용 급여병원],MATCH(INDEX(합계표[사번키],$W455)&amp;"|"&amp;대상월키,월별근무지표[키],0))&amp;"",IF(COUNTIF(기관표[사번키],INDEX(합계표[사번키],$W455))+COUNTIF(월별근무지표[사번키],INDEX(합계표[사번키],$W455))&gt;0,IFERROR(INDEX(기관표[급여지급병원(기준월)],MATCH(INDEX(합계표[사번키],$W455)&amp;"|"&amp;대상월키,기관표[키],0))&amp;"","—"),"—")))</f>
        <v/>
      </c>
      <c r="L455">
        <f>IF($W455="","",IF(NOT(COUNTIF(기관표[사번키],INDEX(합계표[사번키],$W455))+COUNTIF(월별근무지표[사번키],INDEX(합계표[사번키],$W455))&gt;0),"기관명단에 없음(다른 병원으로 발송)",IF($K455="—","대상월 기관명단 없음(추가 필요)",IF($K455="서울병원","해당","비해당"))))</f>
        <v/>
      </c>
      <c r="M455">
        <f>IF($W455="","",SUMIFS(상세표[06~07시],상세표[사번키],INDEX(합계표[사번키],$W455),상세표[반영월],대상월키,상세표[반영 기관],"서울병원"))</f>
        <v/>
      </c>
      <c r="N455">
        <f>IF($W455="","",SUMIFS(상세표[07~18시],상세표[사번키],INDEX(합계표[사번키],$W455),상세표[반영월],대상월키,상세표[반영 기관],"서울병원"))</f>
        <v/>
      </c>
      <c r="O455">
        <f>IF($W455="","",SUMIFS(상세표[18~22시],상세표[사번키],INDEX(합계표[사번키],$W455),상세표[반영월],대상월키,상세표[반영 기관],"서울병원"))</f>
        <v/>
      </c>
      <c r="P455">
        <f>IF($W455="","",SUMIFS(상세표[22~06시],상세표[사번키],INDEX(합계표[사번키],$W455),상세표[반영월],대상월키,상세표[반영 기관],"서울병원"))</f>
        <v/>
      </c>
      <c r="Q455">
        <f>IF($W455="","",SUM($M455:$P455))</f>
        <v/>
      </c>
      <c r="R455">
        <f>IF($W455="","",COUNTIFS(상세표[사번키],INDEX(합계표[사번키],$W455),상세표[반영월],대상월키,상세표[야간당직],1,상세표[야간 구분],"평일"))</f>
        <v/>
      </c>
      <c r="S455" s="4">
        <f>IF($W455="","",COUNTIFS(상세표[사번키],INDEX(합계표[사번키],$W455),상세표[반영월],대상월키,상세표[야간당직],1,상세표[야간 구분],"휴일"))</f>
        <v/>
      </c>
      <c r="T455">
        <f>IF($W455="","",COUNTIFS(상세표[사번키],INDEX(합계표[사번키],$W455),상세표[반영월],대상월키,상세표[야간당직],1,상세표[야간 구분],"평일",상세표[반영 기관],"서울병원"))</f>
        <v/>
      </c>
      <c r="U455">
        <f>IF($W455="","",COUNTIFS(상세표[사번키],INDEX(합계표[사번키],$W455),상세표[반영월],대상월키,상세표[야간당직],1,상세표[야간 구분],"휴일",상세표[반영 기관],"서울병원"))</f>
        <v/>
      </c>
      <c r="V455">
        <f>IF($W455="","",IF(ISNUMBER(MATCH(INDEX(합계표[사번키],$W455)&amp;"|"&amp;대상월키,월별근무지표[키],0)),"직접 입력",IF($K455="—","—","기관명단")))</f>
        <v/>
      </c>
      <c r="W455">
        <f>IFERROR(MATCH(450,합계표[판정순번],0),"")</f>
        <v/>
      </c>
    </row>
    <row r="456">
      <c r="A456">
        <f>IF($W456="","",INDEX(합계표[사번],$W456)&amp;"")</f>
        <v/>
      </c>
      <c r="B456">
        <f>IF($W456="","",INDEX(합계표[성명],$W456)&amp;"")</f>
        <v/>
      </c>
      <c r="C456">
        <f>IF($W456="","",INDEX(합계표[부서],$W456)&amp;"")</f>
        <v/>
      </c>
      <c r="D456">
        <f>IF($W456="","",INDEX(합계표[직위(통합)],$W456)&amp;"")</f>
        <v/>
      </c>
      <c r="E456">
        <f>IF($W456="","",SUMIFS(합계표[시스템 합계],합계표[사번키],INDEX(합계표[사번키],$W456)))</f>
        <v/>
      </c>
      <c r="F456">
        <f>IF($W456="","",SUMIFS(상세표[기록 시간외],상세표[사번키],INDEX(합계표[사번키],$W456),상세표[기록월],대상월키))</f>
        <v/>
      </c>
      <c r="G456">
        <f>IF($W456="","",IF(ABS($E456-$F456)&lt;0.01,"일치","불일치(차이 "&amp;TEXT($F456-$E456,"0.00")&amp;")"))</f>
        <v/>
      </c>
      <c r="H456">
        <f>IF($W456="","",SUMIFS(상세표[기록 시간외],상세표[사번키],INDEX(합계표[사번키],$W456),상세표[기록월],대상월키,상세표[반영월],"&lt;&gt;"&amp;대상월키))</f>
        <v/>
      </c>
      <c r="I456">
        <f>IF($W456="","",SUMIFS(상세표[기록 시간외],상세표[사번키],INDEX(합계표[사번키],$W456),상세표[기록월],"&lt;&gt;"&amp;대상월키,상세표[반영월],대상월키))</f>
        <v/>
      </c>
      <c r="J456">
        <f>IF($W456="","",SUMIFS(상세표[기록 시간외],상세표[사번키],INDEX(합계표[사번키],$W456),상세표[반영월],대상월키))</f>
        <v/>
      </c>
      <c r="K456">
        <f>IF($W456="","",IFERROR(INDEX(월별근무지표[적용 급여병원],MATCH(INDEX(합계표[사번키],$W456)&amp;"|"&amp;대상월키,월별근무지표[키],0))&amp;"",IF(COUNTIF(기관표[사번키],INDEX(합계표[사번키],$W456))+COUNTIF(월별근무지표[사번키],INDEX(합계표[사번키],$W456))&gt;0,IFERROR(INDEX(기관표[급여지급병원(기준월)],MATCH(INDEX(합계표[사번키],$W456)&amp;"|"&amp;대상월키,기관표[키],0))&amp;"","—"),"—")))</f>
        <v/>
      </c>
      <c r="L456">
        <f>IF($W456="","",IF(NOT(COUNTIF(기관표[사번키],INDEX(합계표[사번키],$W456))+COUNTIF(월별근무지표[사번키],INDEX(합계표[사번키],$W456))&gt;0),"기관명단에 없음(다른 병원으로 발송)",IF($K456="—","대상월 기관명단 없음(추가 필요)",IF($K456="서울병원","해당","비해당"))))</f>
        <v/>
      </c>
      <c r="M456">
        <f>IF($W456="","",SUMIFS(상세표[06~07시],상세표[사번키],INDEX(합계표[사번키],$W456),상세표[반영월],대상월키,상세표[반영 기관],"서울병원"))</f>
        <v/>
      </c>
      <c r="N456">
        <f>IF($W456="","",SUMIFS(상세표[07~18시],상세표[사번키],INDEX(합계표[사번키],$W456),상세표[반영월],대상월키,상세표[반영 기관],"서울병원"))</f>
        <v/>
      </c>
      <c r="O456">
        <f>IF($W456="","",SUMIFS(상세표[18~22시],상세표[사번키],INDEX(합계표[사번키],$W456),상세표[반영월],대상월키,상세표[반영 기관],"서울병원"))</f>
        <v/>
      </c>
      <c r="P456">
        <f>IF($W456="","",SUMIFS(상세표[22~06시],상세표[사번키],INDEX(합계표[사번키],$W456),상세표[반영월],대상월키,상세표[반영 기관],"서울병원"))</f>
        <v/>
      </c>
      <c r="Q456">
        <f>IF($W456="","",SUM($M456:$P456))</f>
        <v/>
      </c>
      <c r="R456">
        <f>IF($W456="","",COUNTIFS(상세표[사번키],INDEX(합계표[사번키],$W456),상세표[반영월],대상월키,상세표[야간당직],1,상세표[야간 구분],"평일"))</f>
        <v/>
      </c>
      <c r="S456" s="4">
        <f>IF($W456="","",COUNTIFS(상세표[사번키],INDEX(합계표[사번키],$W456),상세표[반영월],대상월키,상세표[야간당직],1,상세표[야간 구분],"휴일"))</f>
        <v/>
      </c>
      <c r="T456">
        <f>IF($W456="","",COUNTIFS(상세표[사번키],INDEX(합계표[사번키],$W456),상세표[반영월],대상월키,상세표[야간당직],1,상세표[야간 구분],"평일",상세표[반영 기관],"서울병원"))</f>
        <v/>
      </c>
      <c r="U456">
        <f>IF($W456="","",COUNTIFS(상세표[사번키],INDEX(합계표[사번키],$W456),상세표[반영월],대상월키,상세표[야간당직],1,상세표[야간 구분],"휴일",상세표[반영 기관],"서울병원"))</f>
        <v/>
      </c>
      <c r="V456">
        <f>IF($W456="","",IF(ISNUMBER(MATCH(INDEX(합계표[사번키],$W456)&amp;"|"&amp;대상월키,월별근무지표[키],0)),"직접 입력",IF($K456="—","—","기관명단")))</f>
        <v/>
      </c>
      <c r="W456">
        <f>IFERROR(MATCH(451,합계표[판정순번],0),"")</f>
        <v/>
      </c>
    </row>
    <row r="457">
      <c r="A457">
        <f>IF($W457="","",INDEX(합계표[사번],$W457)&amp;"")</f>
        <v/>
      </c>
      <c r="B457">
        <f>IF($W457="","",INDEX(합계표[성명],$W457)&amp;"")</f>
        <v/>
      </c>
      <c r="C457">
        <f>IF($W457="","",INDEX(합계표[부서],$W457)&amp;"")</f>
        <v/>
      </c>
      <c r="D457">
        <f>IF($W457="","",INDEX(합계표[직위(통합)],$W457)&amp;"")</f>
        <v/>
      </c>
      <c r="E457">
        <f>IF($W457="","",SUMIFS(합계표[시스템 합계],합계표[사번키],INDEX(합계표[사번키],$W457)))</f>
        <v/>
      </c>
      <c r="F457">
        <f>IF($W457="","",SUMIFS(상세표[기록 시간외],상세표[사번키],INDEX(합계표[사번키],$W457),상세표[기록월],대상월키))</f>
        <v/>
      </c>
      <c r="G457">
        <f>IF($W457="","",IF(ABS($E457-$F457)&lt;0.01,"일치","불일치(차이 "&amp;TEXT($F457-$E457,"0.00")&amp;")"))</f>
        <v/>
      </c>
      <c r="H457">
        <f>IF($W457="","",SUMIFS(상세표[기록 시간외],상세표[사번키],INDEX(합계표[사번키],$W457),상세표[기록월],대상월키,상세표[반영월],"&lt;&gt;"&amp;대상월키))</f>
        <v/>
      </c>
      <c r="I457">
        <f>IF($W457="","",SUMIFS(상세표[기록 시간외],상세표[사번키],INDEX(합계표[사번키],$W457),상세표[기록월],"&lt;&gt;"&amp;대상월키,상세표[반영월],대상월키))</f>
        <v/>
      </c>
      <c r="J457">
        <f>IF($W457="","",SUMIFS(상세표[기록 시간외],상세표[사번키],INDEX(합계표[사번키],$W457),상세표[반영월],대상월키))</f>
        <v/>
      </c>
      <c r="K457">
        <f>IF($W457="","",IFERROR(INDEX(월별근무지표[적용 급여병원],MATCH(INDEX(합계표[사번키],$W457)&amp;"|"&amp;대상월키,월별근무지표[키],0))&amp;"",IF(COUNTIF(기관표[사번키],INDEX(합계표[사번키],$W457))+COUNTIF(월별근무지표[사번키],INDEX(합계표[사번키],$W457))&gt;0,IFERROR(INDEX(기관표[급여지급병원(기준월)],MATCH(INDEX(합계표[사번키],$W457)&amp;"|"&amp;대상월키,기관표[키],0))&amp;"","—"),"—")))</f>
        <v/>
      </c>
      <c r="L457">
        <f>IF($W457="","",IF(NOT(COUNTIF(기관표[사번키],INDEX(합계표[사번키],$W457))+COUNTIF(월별근무지표[사번키],INDEX(합계표[사번키],$W457))&gt;0),"기관명단에 없음(다른 병원으로 발송)",IF($K457="—","대상월 기관명단 없음(추가 필요)",IF($K457="서울병원","해당","비해당"))))</f>
        <v/>
      </c>
      <c r="M457">
        <f>IF($W457="","",SUMIFS(상세표[06~07시],상세표[사번키],INDEX(합계표[사번키],$W457),상세표[반영월],대상월키,상세표[반영 기관],"서울병원"))</f>
        <v/>
      </c>
      <c r="N457">
        <f>IF($W457="","",SUMIFS(상세표[07~18시],상세표[사번키],INDEX(합계표[사번키],$W457),상세표[반영월],대상월키,상세표[반영 기관],"서울병원"))</f>
        <v/>
      </c>
      <c r="O457">
        <f>IF($W457="","",SUMIFS(상세표[18~22시],상세표[사번키],INDEX(합계표[사번키],$W457),상세표[반영월],대상월키,상세표[반영 기관],"서울병원"))</f>
        <v/>
      </c>
      <c r="P457">
        <f>IF($W457="","",SUMIFS(상세표[22~06시],상세표[사번키],INDEX(합계표[사번키],$W457),상세표[반영월],대상월키,상세표[반영 기관],"서울병원"))</f>
        <v/>
      </c>
      <c r="Q457">
        <f>IF($W457="","",SUM($M457:$P457))</f>
        <v/>
      </c>
      <c r="R457">
        <f>IF($W457="","",COUNTIFS(상세표[사번키],INDEX(합계표[사번키],$W457),상세표[반영월],대상월키,상세표[야간당직],1,상세표[야간 구분],"평일"))</f>
        <v/>
      </c>
      <c r="S457" s="4">
        <f>IF($W457="","",COUNTIFS(상세표[사번키],INDEX(합계표[사번키],$W457),상세표[반영월],대상월키,상세표[야간당직],1,상세표[야간 구분],"휴일"))</f>
        <v/>
      </c>
      <c r="T457">
        <f>IF($W457="","",COUNTIFS(상세표[사번키],INDEX(합계표[사번키],$W457),상세표[반영월],대상월키,상세표[야간당직],1,상세표[야간 구분],"평일",상세표[반영 기관],"서울병원"))</f>
        <v/>
      </c>
      <c r="U457">
        <f>IF($W457="","",COUNTIFS(상세표[사번키],INDEX(합계표[사번키],$W457),상세표[반영월],대상월키,상세표[야간당직],1,상세표[야간 구분],"휴일",상세표[반영 기관],"서울병원"))</f>
        <v/>
      </c>
      <c r="V457">
        <f>IF($W457="","",IF(ISNUMBER(MATCH(INDEX(합계표[사번키],$W457)&amp;"|"&amp;대상월키,월별근무지표[키],0)),"직접 입력",IF($K457="—","—","기관명단")))</f>
        <v/>
      </c>
      <c r="W457">
        <f>IFERROR(MATCH(452,합계표[판정순번],0),"")</f>
        <v/>
      </c>
    </row>
    <row r="458">
      <c r="A458">
        <f>IF($W458="","",INDEX(합계표[사번],$W458)&amp;"")</f>
        <v/>
      </c>
      <c r="B458">
        <f>IF($W458="","",INDEX(합계표[성명],$W458)&amp;"")</f>
        <v/>
      </c>
      <c r="C458">
        <f>IF($W458="","",INDEX(합계표[부서],$W458)&amp;"")</f>
        <v/>
      </c>
      <c r="D458">
        <f>IF($W458="","",INDEX(합계표[직위(통합)],$W458)&amp;"")</f>
        <v/>
      </c>
      <c r="E458">
        <f>IF($W458="","",SUMIFS(합계표[시스템 합계],합계표[사번키],INDEX(합계표[사번키],$W458)))</f>
        <v/>
      </c>
      <c r="F458">
        <f>IF($W458="","",SUMIFS(상세표[기록 시간외],상세표[사번키],INDEX(합계표[사번키],$W458),상세표[기록월],대상월키))</f>
        <v/>
      </c>
      <c r="G458">
        <f>IF($W458="","",IF(ABS($E458-$F458)&lt;0.01,"일치","불일치(차이 "&amp;TEXT($F458-$E458,"0.00")&amp;")"))</f>
        <v/>
      </c>
      <c r="H458">
        <f>IF($W458="","",SUMIFS(상세표[기록 시간외],상세표[사번키],INDEX(합계표[사번키],$W458),상세표[기록월],대상월키,상세표[반영월],"&lt;&gt;"&amp;대상월키))</f>
        <v/>
      </c>
      <c r="I458">
        <f>IF($W458="","",SUMIFS(상세표[기록 시간외],상세표[사번키],INDEX(합계표[사번키],$W458),상세표[기록월],"&lt;&gt;"&amp;대상월키,상세표[반영월],대상월키))</f>
        <v/>
      </c>
      <c r="J458">
        <f>IF($W458="","",SUMIFS(상세표[기록 시간외],상세표[사번키],INDEX(합계표[사번키],$W458),상세표[반영월],대상월키))</f>
        <v/>
      </c>
      <c r="K458">
        <f>IF($W458="","",IFERROR(INDEX(월별근무지표[적용 급여병원],MATCH(INDEX(합계표[사번키],$W458)&amp;"|"&amp;대상월키,월별근무지표[키],0))&amp;"",IF(COUNTIF(기관표[사번키],INDEX(합계표[사번키],$W458))+COUNTIF(월별근무지표[사번키],INDEX(합계표[사번키],$W458))&gt;0,IFERROR(INDEX(기관표[급여지급병원(기준월)],MATCH(INDEX(합계표[사번키],$W458)&amp;"|"&amp;대상월키,기관표[키],0))&amp;"","—"),"—")))</f>
        <v/>
      </c>
      <c r="L458">
        <f>IF($W458="","",IF(NOT(COUNTIF(기관표[사번키],INDEX(합계표[사번키],$W458))+COUNTIF(월별근무지표[사번키],INDEX(합계표[사번키],$W458))&gt;0),"기관명단에 없음(다른 병원으로 발송)",IF($K458="—","대상월 기관명단 없음(추가 필요)",IF($K458="서울병원","해당","비해당"))))</f>
        <v/>
      </c>
      <c r="M458">
        <f>IF($W458="","",SUMIFS(상세표[06~07시],상세표[사번키],INDEX(합계표[사번키],$W458),상세표[반영월],대상월키,상세표[반영 기관],"서울병원"))</f>
        <v/>
      </c>
      <c r="N458">
        <f>IF($W458="","",SUMIFS(상세표[07~18시],상세표[사번키],INDEX(합계표[사번키],$W458),상세표[반영월],대상월키,상세표[반영 기관],"서울병원"))</f>
        <v/>
      </c>
      <c r="O458">
        <f>IF($W458="","",SUMIFS(상세표[18~22시],상세표[사번키],INDEX(합계표[사번키],$W458),상세표[반영월],대상월키,상세표[반영 기관],"서울병원"))</f>
        <v/>
      </c>
      <c r="P458">
        <f>IF($W458="","",SUMIFS(상세표[22~06시],상세표[사번키],INDEX(합계표[사번키],$W458),상세표[반영월],대상월키,상세표[반영 기관],"서울병원"))</f>
        <v/>
      </c>
      <c r="Q458">
        <f>IF($W458="","",SUM($M458:$P458))</f>
        <v/>
      </c>
      <c r="R458">
        <f>IF($W458="","",COUNTIFS(상세표[사번키],INDEX(합계표[사번키],$W458),상세표[반영월],대상월키,상세표[야간당직],1,상세표[야간 구분],"평일"))</f>
        <v/>
      </c>
      <c r="S458" s="4">
        <f>IF($W458="","",COUNTIFS(상세표[사번키],INDEX(합계표[사번키],$W458),상세표[반영월],대상월키,상세표[야간당직],1,상세표[야간 구분],"휴일"))</f>
        <v/>
      </c>
      <c r="T458">
        <f>IF($W458="","",COUNTIFS(상세표[사번키],INDEX(합계표[사번키],$W458),상세표[반영월],대상월키,상세표[야간당직],1,상세표[야간 구분],"평일",상세표[반영 기관],"서울병원"))</f>
        <v/>
      </c>
      <c r="U458">
        <f>IF($W458="","",COUNTIFS(상세표[사번키],INDEX(합계표[사번키],$W458),상세표[반영월],대상월키,상세표[야간당직],1,상세표[야간 구분],"휴일",상세표[반영 기관],"서울병원"))</f>
        <v/>
      </c>
      <c r="V458">
        <f>IF($W458="","",IF(ISNUMBER(MATCH(INDEX(합계표[사번키],$W458)&amp;"|"&amp;대상월키,월별근무지표[키],0)),"직접 입력",IF($K458="—","—","기관명단")))</f>
        <v/>
      </c>
      <c r="W458">
        <f>IFERROR(MATCH(453,합계표[판정순번],0),"")</f>
        <v/>
      </c>
    </row>
    <row r="459">
      <c r="A459">
        <f>IF($W459="","",INDEX(합계표[사번],$W459)&amp;"")</f>
        <v/>
      </c>
      <c r="B459">
        <f>IF($W459="","",INDEX(합계표[성명],$W459)&amp;"")</f>
        <v/>
      </c>
      <c r="C459">
        <f>IF($W459="","",INDEX(합계표[부서],$W459)&amp;"")</f>
        <v/>
      </c>
      <c r="D459">
        <f>IF($W459="","",INDEX(합계표[직위(통합)],$W459)&amp;"")</f>
        <v/>
      </c>
      <c r="E459">
        <f>IF($W459="","",SUMIFS(합계표[시스템 합계],합계표[사번키],INDEX(합계표[사번키],$W459)))</f>
        <v/>
      </c>
      <c r="F459">
        <f>IF($W459="","",SUMIFS(상세표[기록 시간외],상세표[사번키],INDEX(합계표[사번키],$W459),상세표[기록월],대상월키))</f>
        <v/>
      </c>
      <c r="G459">
        <f>IF($W459="","",IF(ABS($E459-$F459)&lt;0.01,"일치","불일치(차이 "&amp;TEXT($F459-$E459,"0.00")&amp;")"))</f>
        <v/>
      </c>
      <c r="H459">
        <f>IF($W459="","",SUMIFS(상세표[기록 시간외],상세표[사번키],INDEX(합계표[사번키],$W459),상세표[기록월],대상월키,상세표[반영월],"&lt;&gt;"&amp;대상월키))</f>
        <v/>
      </c>
      <c r="I459">
        <f>IF($W459="","",SUMIFS(상세표[기록 시간외],상세표[사번키],INDEX(합계표[사번키],$W459),상세표[기록월],"&lt;&gt;"&amp;대상월키,상세표[반영월],대상월키))</f>
        <v/>
      </c>
      <c r="J459">
        <f>IF($W459="","",SUMIFS(상세표[기록 시간외],상세표[사번키],INDEX(합계표[사번키],$W459),상세표[반영월],대상월키))</f>
        <v/>
      </c>
      <c r="K459">
        <f>IF($W459="","",IFERROR(INDEX(월별근무지표[적용 급여병원],MATCH(INDEX(합계표[사번키],$W459)&amp;"|"&amp;대상월키,월별근무지표[키],0))&amp;"",IF(COUNTIF(기관표[사번키],INDEX(합계표[사번키],$W459))+COUNTIF(월별근무지표[사번키],INDEX(합계표[사번키],$W459))&gt;0,IFERROR(INDEX(기관표[급여지급병원(기준월)],MATCH(INDEX(합계표[사번키],$W459)&amp;"|"&amp;대상월키,기관표[키],0))&amp;"","—"),"—")))</f>
        <v/>
      </c>
      <c r="L459">
        <f>IF($W459="","",IF(NOT(COUNTIF(기관표[사번키],INDEX(합계표[사번키],$W459))+COUNTIF(월별근무지표[사번키],INDEX(합계표[사번키],$W459))&gt;0),"기관명단에 없음(다른 병원으로 발송)",IF($K459="—","대상월 기관명단 없음(추가 필요)",IF($K459="서울병원","해당","비해당"))))</f>
        <v/>
      </c>
      <c r="M459">
        <f>IF($W459="","",SUMIFS(상세표[06~07시],상세표[사번키],INDEX(합계표[사번키],$W459),상세표[반영월],대상월키,상세표[반영 기관],"서울병원"))</f>
        <v/>
      </c>
      <c r="N459">
        <f>IF($W459="","",SUMIFS(상세표[07~18시],상세표[사번키],INDEX(합계표[사번키],$W459),상세표[반영월],대상월키,상세표[반영 기관],"서울병원"))</f>
        <v/>
      </c>
      <c r="O459">
        <f>IF($W459="","",SUMIFS(상세표[18~22시],상세표[사번키],INDEX(합계표[사번키],$W459),상세표[반영월],대상월키,상세표[반영 기관],"서울병원"))</f>
        <v/>
      </c>
      <c r="P459">
        <f>IF($W459="","",SUMIFS(상세표[22~06시],상세표[사번키],INDEX(합계표[사번키],$W459),상세표[반영월],대상월키,상세표[반영 기관],"서울병원"))</f>
        <v/>
      </c>
      <c r="Q459">
        <f>IF($W459="","",SUM($M459:$P459))</f>
        <v/>
      </c>
      <c r="R459">
        <f>IF($W459="","",COUNTIFS(상세표[사번키],INDEX(합계표[사번키],$W459),상세표[반영월],대상월키,상세표[야간당직],1,상세표[야간 구분],"평일"))</f>
        <v/>
      </c>
      <c r="S459" s="4">
        <f>IF($W459="","",COUNTIFS(상세표[사번키],INDEX(합계표[사번키],$W459),상세표[반영월],대상월키,상세표[야간당직],1,상세표[야간 구분],"휴일"))</f>
        <v/>
      </c>
      <c r="T459">
        <f>IF($W459="","",COUNTIFS(상세표[사번키],INDEX(합계표[사번키],$W459),상세표[반영월],대상월키,상세표[야간당직],1,상세표[야간 구분],"평일",상세표[반영 기관],"서울병원"))</f>
        <v/>
      </c>
      <c r="U459">
        <f>IF($W459="","",COUNTIFS(상세표[사번키],INDEX(합계표[사번키],$W459),상세표[반영월],대상월키,상세표[야간당직],1,상세표[야간 구분],"휴일",상세표[반영 기관],"서울병원"))</f>
        <v/>
      </c>
      <c r="V459">
        <f>IF($W459="","",IF(ISNUMBER(MATCH(INDEX(합계표[사번키],$W459)&amp;"|"&amp;대상월키,월별근무지표[키],0)),"직접 입력",IF($K459="—","—","기관명단")))</f>
        <v/>
      </c>
      <c r="W459">
        <f>IFERROR(MATCH(454,합계표[판정순번],0),"")</f>
        <v/>
      </c>
    </row>
    <row r="460">
      <c r="A460">
        <f>IF($W460="","",INDEX(합계표[사번],$W460)&amp;"")</f>
        <v/>
      </c>
      <c r="B460">
        <f>IF($W460="","",INDEX(합계표[성명],$W460)&amp;"")</f>
        <v/>
      </c>
      <c r="C460">
        <f>IF($W460="","",INDEX(합계표[부서],$W460)&amp;"")</f>
        <v/>
      </c>
      <c r="D460">
        <f>IF($W460="","",INDEX(합계표[직위(통합)],$W460)&amp;"")</f>
        <v/>
      </c>
      <c r="E460">
        <f>IF($W460="","",SUMIFS(합계표[시스템 합계],합계표[사번키],INDEX(합계표[사번키],$W460)))</f>
        <v/>
      </c>
      <c r="F460">
        <f>IF($W460="","",SUMIFS(상세표[기록 시간외],상세표[사번키],INDEX(합계표[사번키],$W460),상세표[기록월],대상월키))</f>
        <v/>
      </c>
      <c r="G460">
        <f>IF($W460="","",IF(ABS($E460-$F460)&lt;0.01,"일치","불일치(차이 "&amp;TEXT($F460-$E460,"0.00")&amp;")"))</f>
        <v/>
      </c>
      <c r="H460">
        <f>IF($W460="","",SUMIFS(상세표[기록 시간외],상세표[사번키],INDEX(합계표[사번키],$W460),상세표[기록월],대상월키,상세표[반영월],"&lt;&gt;"&amp;대상월키))</f>
        <v/>
      </c>
      <c r="I460">
        <f>IF($W460="","",SUMIFS(상세표[기록 시간외],상세표[사번키],INDEX(합계표[사번키],$W460),상세표[기록월],"&lt;&gt;"&amp;대상월키,상세표[반영월],대상월키))</f>
        <v/>
      </c>
      <c r="J460">
        <f>IF($W460="","",SUMIFS(상세표[기록 시간외],상세표[사번키],INDEX(합계표[사번키],$W460),상세표[반영월],대상월키))</f>
        <v/>
      </c>
      <c r="K460">
        <f>IF($W460="","",IFERROR(INDEX(월별근무지표[적용 급여병원],MATCH(INDEX(합계표[사번키],$W460)&amp;"|"&amp;대상월키,월별근무지표[키],0))&amp;"",IF(COUNTIF(기관표[사번키],INDEX(합계표[사번키],$W460))+COUNTIF(월별근무지표[사번키],INDEX(합계표[사번키],$W460))&gt;0,IFERROR(INDEX(기관표[급여지급병원(기준월)],MATCH(INDEX(합계표[사번키],$W460)&amp;"|"&amp;대상월키,기관표[키],0))&amp;"","—"),"—")))</f>
        <v/>
      </c>
      <c r="L460">
        <f>IF($W460="","",IF(NOT(COUNTIF(기관표[사번키],INDEX(합계표[사번키],$W460))+COUNTIF(월별근무지표[사번키],INDEX(합계표[사번키],$W460))&gt;0),"기관명단에 없음(다른 병원으로 발송)",IF($K460="—","대상월 기관명단 없음(추가 필요)",IF($K460="서울병원","해당","비해당"))))</f>
        <v/>
      </c>
      <c r="M460">
        <f>IF($W460="","",SUMIFS(상세표[06~07시],상세표[사번키],INDEX(합계표[사번키],$W460),상세표[반영월],대상월키,상세표[반영 기관],"서울병원"))</f>
        <v/>
      </c>
      <c r="N460">
        <f>IF($W460="","",SUMIFS(상세표[07~18시],상세표[사번키],INDEX(합계표[사번키],$W460),상세표[반영월],대상월키,상세표[반영 기관],"서울병원"))</f>
        <v/>
      </c>
      <c r="O460">
        <f>IF($W460="","",SUMIFS(상세표[18~22시],상세표[사번키],INDEX(합계표[사번키],$W460),상세표[반영월],대상월키,상세표[반영 기관],"서울병원"))</f>
        <v/>
      </c>
      <c r="P460">
        <f>IF($W460="","",SUMIFS(상세표[22~06시],상세표[사번키],INDEX(합계표[사번키],$W460),상세표[반영월],대상월키,상세표[반영 기관],"서울병원"))</f>
        <v/>
      </c>
      <c r="Q460">
        <f>IF($W460="","",SUM($M460:$P460))</f>
        <v/>
      </c>
      <c r="R460">
        <f>IF($W460="","",COUNTIFS(상세표[사번키],INDEX(합계표[사번키],$W460),상세표[반영월],대상월키,상세표[야간당직],1,상세표[야간 구분],"평일"))</f>
        <v/>
      </c>
      <c r="S460" s="4">
        <f>IF($W460="","",COUNTIFS(상세표[사번키],INDEX(합계표[사번키],$W460),상세표[반영월],대상월키,상세표[야간당직],1,상세표[야간 구분],"휴일"))</f>
        <v/>
      </c>
      <c r="T460">
        <f>IF($W460="","",COUNTIFS(상세표[사번키],INDEX(합계표[사번키],$W460),상세표[반영월],대상월키,상세표[야간당직],1,상세표[야간 구분],"평일",상세표[반영 기관],"서울병원"))</f>
        <v/>
      </c>
      <c r="U460">
        <f>IF($W460="","",COUNTIFS(상세표[사번키],INDEX(합계표[사번키],$W460),상세표[반영월],대상월키,상세표[야간당직],1,상세표[야간 구분],"휴일",상세표[반영 기관],"서울병원"))</f>
        <v/>
      </c>
      <c r="V460">
        <f>IF($W460="","",IF(ISNUMBER(MATCH(INDEX(합계표[사번키],$W460)&amp;"|"&amp;대상월키,월별근무지표[키],0)),"직접 입력",IF($K460="—","—","기관명단")))</f>
        <v/>
      </c>
      <c r="W460">
        <f>IFERROR(MATCH(455,합계표[판정순번],0),"")</f>
        <v/>
      </c>
    </row>
    <row r="461">
      <c r="A461">
        <f>IF($W461="","",INDEX(합계표[사번],$W461)&amp;"")</f>
        <v/>
      </c>
      <c r="B461">
        <f>IF($W461="","",INDEX(합계표[성명],$W461)&amp;"")</f>
        <v/>
      </c>
      <c r="C461">
        <f>IF($W461="","",INDEX(합계표[부서],$W461)&amp;"")</f>
        <v/>
      </c>
      <c r="D461">
        <f>IF($W461="","",INDEX(합계표[직위(통합)],$W461)&amp;"")</f>
        <v/>
      </c>
      <c r="E461">
        <f>IF($W461="","",SUMIFS(합계표[시스템 합계],합계표[사번키],INDEX(합계표[사번키],$W461)))</f>
        <v/>
      </c>
      <c r="F461">
        <f>IF($W461="","",SUMIFS(상세표[기록 시간외],상세표[사번키],INDEX(합계표[사번키],$W461),상세표[기록월],대상월키))</f>
        <v/>
      </c>
      <c r="G461">
        <f>IF($W461="","",IF(ABS($E461-$F461)&lt;0.01,"일치","불일치(차이 "&amp;TEXT($F461-$E461,"0.00")&amp;")"))</f>
        <v/>
      </c>
      <c r="H461">
        <f>IF($W461="","",SUMIFS(상세표[기록 시간외],상세표[사번키],INDEX(합계표[사번키],$W461),상세표[기록월],대상월키,상세표[반영월],"&lt;&gt;"&amp;대상월키))</f>
        <v/>
      </c>
      <c r="I461">
        <f>IF($W461="","",SUMIFS(상세표[기록 시간외],상세표[사번키],INDEX(합계표[사번키],$W461),상세표[기록월],"&lt;&gt;"&amp;대상월키,상세표[반영월],대상월키))</f>
        <v/>
      </c>
      <c r="J461">
        <f>IF($W461="","",SUMIFS(상세표[기록 시간외],상세표[사번키],INDEX(합계표[사번키],$W461),상세표[반영월],대상월키))</f>
        <v/>
      </c>
      <c r="K461">
        <f>IF($W461="","",IFERROR(INDEX(월별근무지표[적용 급여병원],MATCH(INDEX(합계표[사번키],$W461)&amp;"|"&amp;대상월키,월별근무지표[키],0))&amp;"",IF(COUNTIF(기관표[사번키],INDEX(합계표[사번키],$W461))+COUNTIF(월별근무지표[사번키],INDEX(합계표[사번키],$W461))&gt;0,IFERROR(INDEX(기관표[급여지급병원(기준월)],MATCH(INDEX(합계표[사번키],$W461)&amp;"|"&amp;대상월키,기관표[키],0))&amp;"","—"),"—")))</f>
        <v/>
      </c>
      <c r="L461">
        <f>IF($W461="","",IF(NOT(COUNTIF(기관표[사번키],INDEX(합계표[사번키],$W461))+COUNTIF(월별근무지표[사번키],INDEX(합계표[사번키],$W461))&gt;0),"기관명단에 없음(다른 병원으로 발송)",IF($K461="—","대상월 기관명단 없음(추가 필요)",IF($K461="서울병원","해당","비해당"))))</f>
        <v/>
      </c>
      <c r="M461">
        <f>IF($W461="","",SUMIFS(상세표[06~07시],상세표[사번키],INDEX(합계표[사번키],$W461),상세표[반영월],대상월키,상세표[반영 기관],"서울병원"))</f>
        <v/>
      </c>
      <c r="N461">
        <f>IF($W461="","",SUMIFS(상세표[07~18시],상세표[사번키],INDEX(합계표[사번키],$W461),상세표[반영월],대상월키,상세표[반영 기관],"서울병원"))</f>
        <v/>
      </c>
      <c r="O461">
        <f>IF($W461="","",SUMIFS(상세표[18~22시],상세표[사번키],INDEX(합계표[사번키],$W461),상세표[반영월],대상월키,상세표[반영 기관],"서울병원"))</f>
        <v/>
      </c>
      <c r="P461">
        <f>IF($W461="","",SUMIFS(상세표[22~06시],상세표[사번키],INDEX(합계표[사번키],$W461),상세표[반영월],대상월키,상세표[반영 기관],"서울병원"))</f>
        <v/>
      </c>
      <c r="Q461">
        <f>IF($W461="","",SUM($M461:$P461))</f>
        <v/>
      </c>
      <c r="R461">
        <f>IF($W461="","",COUNTIFS(상세표[사번키],INDEX(합계표[사번키],$W461),상세표[반영월],대상월키,상세표[야간당직],1,상세표[야간 구분],"평일"))</f>
        <v/>
      </c>
      <c r="S461" s="4">
        <f>IF($W461="","",COUNTIFS(상세표[사번키],INDEX(합계표[사번키],$W461),상세표[반영월],대상월키,상세표[야간당직],1,상세표[야간 구분],"휴일"))</f>
        <v/>
      </c>
      <c r="T461">
        <f>IF($W461="","",COUNTIFS(상세표[사번키],INDEX(합계표[사번키],$W461),상세표[반영월],대상월키,상세표[야간당직],1,상세표[야간 구분],"평일",상세표[반영 기관],"서울병원"))</f>
        <v/>
      </c>
      <c r="U461">
        <f>IF($W461="","",COUNTIFS(상세표[사번키],INDEX(합계표[사번키],$W461),상세표[반영월],대상월키,상세표[야간당직],1,상세표[야간 구분],"휴일",상세표[반영 기관],"서울병원"))</f>
        <v/>
      </c>
      <c r="V461">
        <f>IF($W461="","",IF(ISNUMBER(MATCH(INDEX(합계표[사번키],$W461)&amp;"|"&amp;대상월키,월별근무지표[키],0)),"직접 입력",IF($K461="—","—","기관명단")))</f>
        <v/>
      </c>
      <c r="W461">
        <f>IFERROR(MATCH(456,합계표[판정순번],0),"")</f>
        <v/>
      </c>
    </row>
    <row r="462">
      <c r="A462">
        <f>IF($W462="","",INDEX(합계표[사번],$W462)&amp;"")</f>
        <v/>
      </c>
      <c r="B462">
        <f>IF($W462="","",INDEX(합계표[성명],$W462)&amp;"")</f>
        <v/>
      </c>
      <c r="C462">
        <f>IF($W462="","",INDEX(합계표[부서],$W462)&amp;"")</f>
        <v/>
      </c>
      <c r="D462">
        <f>IF($W462="","",INDEX(합계표[직위(통합)],$W462)&amp;"")</f>
        <v/>
      </c>
      <c r="E462">
        <f>IF($W462="","",SUMIFS(합계표[시스템 합계],합계표[사번키],INDEX(합계표[사번키],$W462)))</f>
        <v/>
      </c>
      <c r="F462">
        <f>IF($W462="","",SUMIFS(상세표[기록 시간외],상세표[사번키],INDEX(합계표[사번키],$W462),상세표[기록월],대상월키))</f>
        <v/>
      </c>
      <c r="G462">
        <f>IF($W462="","",IF(ABS($E462-$F462)&lt;0.01,"일치","불일치(차이 "&amp;TEXT($F462-$E462,"0.00")&amp;")"))</f>
        <v/>
      </c>
      <c r="H462">
        <f>IF($W462="","",SUMIFS(상세표[기록 시간외],상세표[사번키],INDEX(합계표[사번키],$W462),상세표[기록월],대상월키,상세표[반영월],"&lt;&gt;"&amp;대상월키))</f>
        <v/>
      </c>
      <c r="I462">
        <f>IF($W462="","",SUMIFS(상세표[기록 시간외],상세표[사번키],INDEX(합계표[사번키],$W462),상세표[기록월],"&lt;&gt;"&amp;대상월키,상세표[반영월],대상월키))</f>
        <v/>
      </c>
      <c r="J462">
        <f>IF($W462="","",SUMIFS(상세표[기록 시간외],상세표[사번키],INDEX(합계표[사번키],$W462),상세표[반영월],대상월키))</f>
        <v/>
      </c>
      <c r="K462">
        <f>IF($W462="","",IFERROR(INDEX(월별근무지표[적용 급여병원],MATCH(INDEX(합계표[사번키],$W462)&amp;"|"&amp;대상월키,월별근무지표[키],0))&amp;"",IF(COUNTIF(기관표[사번키],INDEX(합계표[사번키],$W462))+COUNTIF(월별근무지표[사번키],INDEX(합계표[사번키],$W462))&gt;0,IFERROR(INDEX(기관표[급여지급병원(기준월)],MATCH(INDEX(합계표[사번키],$W462)&amp;"|"&amp;대상월키,기관표[키],0))&amp;"","—"),"—")))</f>
        <v/>
      </c>
      <c r="L462">
        <f>IF($W462="","",IF(NOT(COUNTIF(기관표[사번키],INDEX(합계표[사번키],$W462))+COUNTIF(월별근무지표[사번키],INDEX(합계표[사번키],$W462))&gt;0),"기관명단에 없음(다른 병원으로 발송)",IF($K462="—","대상월 기관명단 없음(추가 필요)",IF($K462="서울병원","해당","비해당"))))</f>
        <v/>
      </c>
      <c r="M462">
        <f>IF($W462="","",SUMIFS(상세표[06~07시],상세표[사번키],INDEX(합계표[사번키],$W462),상세표[반영월],대상월키,상세표[반영 기관],"서울병원"))</f>
        <v/>
      </c>
      <c r="N462">
        <f>IF($W462="","",SUMIFS(상세표[07~18시],상세표[사번키],INDEX(합계표[사번키],$W462),상세표[반영월],대상월키,상세표[반영 기관],"서울병원"))</f>
        <v/>
      </c>
      <c r="O462">
        <f>IF($W462="","",SUMIFS(상세표[18~22시],상세표[사번키],INDEX(합계표[사번키],$W462),상세표[반영월],대상월키,상세표[반영 기관],"서울병원"))</f>
        <v/>
      </c>
      <c r="P462">
        <f>IF($W462="","",SUMIFS(상세표[22~06시],상세표[사번키],INDEX(합계표[사번키],$W462),상세표[반영월],대상월키,상세표[반영 기관],"서울병원"))</f>
        <v/>
      </c>
      <c r="Q462">
        <f>IF($W462="","",SUM($M462:$P462))</f>
        <v/>
      </c>
      <c r="R462">
        <f>IF($W462="","",COUNTIFS(상세표[사번키],INDEX(합계표[사번키],$W462),상세표[반영월],대상월키,상세표[야간당직],1,상세표[야간 구분],"평일"))</f>
        <v/>
      </c>
      <c r="S462" s="4">
        <f>IF($W462="","",COUNTIFS(상세표[사번키],INDEX(합계표[사번키],$W462),상세표[반영월],대상월키,상세표[야간당직],1,상세표[야간 구분],"휴일"))</f>
        <v/>
      </c>
      <c r="T462">
        <f>IF($W462="","",COUNTIFS(상세표[사번키],INDEX(합계표[사번키],$W462),상세표[반영월],대상월키,상세표[야간당직],1,상세표[야간 구분],"평일",상세표[반영 기관],"서울병원"))</f>
        <v/>
      </c>
      <c r="U462">
        <f>IF($W462="","",COUNTIFS(상세표[사번키],INDEX(합계표[사번키],$W462),상세표[반영월],대상월키,상세표[야간당직],1,상세표[야간 구분],"휴일",상세표[반영 기관],"서울병원"))</f>
        <v/>
      </c>
      <c r="V462">
        <f>IF($W462="","",IF(ISNUMBER(MATCH(INDEX(합계표[사번키],$W462)&amp;"|"&amp;대상월키,월별근무지표[키],0)),"직접 입력",IF($K462="—","—","기관명단")))</f>
        <v/>
      </c>
      <c r="W462">
        <f>IFERROR(MATCH(457,합계표[판정순번],0),"")</f>
        <v/>
      </c>
    </row>
    <row r="463">
      <c r="A463">
        <f>IF($W463="","",INDEX(합계표[사번],$W463)&amp;"")</f>
        <v/>
      </c>
      <c r="B463">
        <f>IF($W463="","",INDEX(합계표[성명],$W463)&amp;"")</f>
        <v/>
      </c>
      <c r="C463">
        <f>IF($W463="","",INDEX(합계표[부서],$W463)&amp;"")</f>
        <v/>
      </c>
      <c r="D463">
        <f>IF($W463="","",INDEX(합계표[직위(통합)],$W463)&amp;"")</f>
        <v/>
      </c>
      <c r="E463">
        <f>IF($W463="","",SUMIFS(합계표[시스템 합계],합계표[사번키],INDEX(합계표[사번키],$W463)))</f>
        <v/>
      </c>
      <c r="F463">
        <f>IF($W463="","",SUMIFS(상세표[기록 시간외],상세표[사번키],INDEX(합계표[사번키],$W463),상세표[기록월],대상월키))</f>
        <v/>
      </c>
      <c r="G463">
        <f>IF($W463="","",IF(ABS($E463-$F463)&lt;0.01,"일치","불일치(차이 "&amp;TEXT($F463-$E463,"0.00")&amp;")"))</f>
        <v/>
      </c>
      <c r="H463">
        <f>IF($W463="","",SUMIFS(상세표[기록 시간외],상세표[사번키],INDEX(합계표[사번키],$W463),상세표[기록월],대상월키,상세표[반영월],"&lt;&gt;"&amp;대상월키))</f>
        <v/>
      </c>
      <c r="I463">
        <f>IF($W463="","",SUMIFS(상세표[기록 시간외],상세표[사번키],INDEX(합계표[사번키],$W463),상세표[기록월],"&lt;&gt;"&amp;대상월키,상세표[반영월],대상월키))</f>
        <v/>
      </c>
      <c r="J463">
        <f>IF($W463="","",SUMIFS(상세표[기록 시간외],상세표[사번키],INDEX(합계표[사번키],$W463),상세표[반영월],대상월키))</f>
        <v/>
      </c>
      <c r="K463">
        <f>IF($W463="","",IFERROR(INDEX(월별근무지표[적용 급여병원],MATCH(INDEX(합계표[사번키],$W463)&amp;"|"&amp;대상월키,월별근무지표[키],0))&amp;"",IF(COUNTIF(기관표[사번키],INDEX(합계표[사번키],$W463))+COUNTIF(월별근무지표[사번키],INDEX(합계표[사번키],$W463))&gt;0,IFERROR(INDEX(기관표[급여지급병원(기준월)],MATCH(INDEX(합계표[사번키],$W463)&amp;"|"&amp;대상월키,기관표[키],0))&amp;"","—"),"—")))</f>
        <v/>
      </c>
      <c r="L463">
        <f>IF($W463="","",IF(NOT(COUNTIF(기관표[사번키],INDEX(합계표[사번키],$W463))+COUNTIF(월별근무지표[사번키],INDEX(합계표[사번키],$W463))&gt;0),"기관명단에 없음(다른 병원으로 발송)",IF($K463="—","대상월 기관명단 없음(추가 필요)",IF($K463="서울병원","해당","비해당"))))</f>
        <v/>
      </c>
      <c r="M463">
        <f>IF($W463="","",SUMIFS(상세표[06~07시],상세표[사번키],INDEX(합계표[사번키],$W463),상세표[반영월],대상월키,상세표[반영 기관],"서울병원"))</f>
        <v/>
      </c>
      <c r="N463">
        <f>IF($W463="","",SUMIFS(상세표[07~18시],상세표[사번키],INDEX(합계표[사번키],$W463),상세표[반영월],대상월키,상세표[반영 기관],"서울병원"))</f>
        <v/>
      </c>
      <c r="O463">
        <f>IF($W463="","",SUMIFS(상세표[18~22시],상세표[사번키],INDEX(합계표[사번키],$W463),상세표[반영월],대상월키,상세표[반영 기관],"서울병원"))</f>
        <v/>
      </c>
      <c r="P463">
        <f>IF($W463="","",SUMIFS(상세표[22~06시],상세표[사번키],INDEX(합계표[사번키],$W463),상세표[반영월],대상월키,상세표[반영 기관],"서울병원"))</f>
        <v/>
      </c>
      <c r="Q463">
        <f>IF($W463="","",SUM($M463:$P463))</f>
        <v/>
      </c>
      <c r="R463">
        <f>IF($W463="","",COUNTIFS(상세표[사번키],INDEX(합계표[사번키],$W463),상세표[반영월],대상월키,상세표[야간당직],1,상세표[야간 구분],"평일"))</f>
        <v/>
      </c>
      <c r="S463" s="4">
        <f>IF($W463="","",COUNTIFS(상세표[사번키],INDEX(합계표[사번키],$W463),상세표[반영월],대상월키,상세표[야간당직],1,상세표[야간 구분],"휴일"))</f>
        <v/>
      </c>
      <c r="T463">
        <f>IF($W463="","",COUNTIFS(상세표[사번키],INDEX(합계표[사번키],$W463),상세표[반영월],대상월키,상세표[야간당직],1,상세표[야간 구분],"평일",상세표[반영 기관],"서울병원"))</f>
        <v/>
      </c>
      <c r="U463">
        <f>IF($W463="","",COUNTIFS(상세표[사번키],INDEX(합계표[사번키],$W463),상세표[반영월],대상월키,상세표[야간당직],1,상세표[야간 구분],"휴일",상세표[반영 기관],"서울병원"))</f>
        <v/>
      </c>
      <c r="V463">
        <f>IF($W463="","",IF(ISNUMBER(MATCH(INDEX(합계표[사번키],$W463)&amp;"|"&amp;대상월키,월별근무지표[키],0)),"직접 입력",IF($K463="—","—","기관명단")))</f>
        <v/>
      </c>
      <c r="W463">
        <f>IFERROR(MATCH(458,합계표[판정순번],0),"")</f>
        <v/>
      </c>
    </row>
    <row r="464">
      <c r="A464">
        <f>IF($W464="","",INDEX(합계표[사번],$W464)&amp;"")</f>
        <v/>
      </c>
      <c r="B464">
        <f>IF($W464="","",INDEX(합계표[성명],$W464)&amp;"")</f>
        <v/>
      </c>
      <c r="C464">
        <f>IF($W464="","",INDEX(합계표[부서],$W464)&amp;"")</f>
        <v/>
      </c>
      <c r="D464">
        <f>IF($W464="","",INDEX(합계표[직위(통합)],$W464)&amp;"")</f>
        <v/>
      </c>
      <c r="E464">
        <f>IF($W464="","",SUMIFS(합계표[시스템 합계],합계표[사번키],INDEX(합계표[사번키],$W464)))</f>
        <v/>
      </c>
      <c r="F464">
        <f>IF($W464="","",SUMIFS(상세표[기록 시간외],상세표[사번키],INDEX(합계표[사번키],$W464),상세표[기록월],대상월키))</f>
        <v/>
      </c>
      <c r="G464">
        <f>IF($W464="","",IF(ABS($E464-$F464)&lt;0.01,"일치","불일치(차이 "&amp;TEXT($F464-$E464,"0.00")&amp;")"))</f>
        <v/>
      </c>
      <c r="H464">
        <f>IF($W464="","",SUMIFS(상세표[기록 시간외],상세표[사번키],INDEX(합계표[사번키],$W464),상세표[기록월],대상월키,상세표[반영월],"&lt;&gt;"&amp;대상월키))</f>
        <v/>
      </c>
      <c r="I464">
        <f>IF($W464="","",SUMIFS(상세표[기록 시간외],상세표[사번키],INDEX(합계표[사번키],$W464),상세표[기록월],"&lt;&gt;"&amp;대상월키,상세표[반영월],대상월키))</f>
        <v/>
      </c>
      <c r="J464">
        <f>IF($W464="","",SUMIFS(상세표[기록 시간외],상세표[사번키],INDEX(합계표[사번키],$W464),상세표[반영월],대상월키))</f>
        <v/>
      </c>
      <c r="K464">
        <f>IF($W464="","",IFERROR(INDEX(월별근무지표[적용 급여병원],MATCH(INDEX(합계표[사번키],$W464)&amp;"|"&amp;대상월키,월별근무지표[키],0))&amp;"",IF(COUNTIF(기관표[사번키],INDEX(합계표[사번키],$W464))+COUNTIF(월별근무지표[사번키],INDEX(합계표[사번키],$W464))&gt;0,IFERROR(INDEX(기관표[급여지급병원(기준월)],MATCH(INDEX(합계표[사번키],$W464)&amp;"|"&amp;대상월키,기관표[키],0))&amp;"","—"),"—")))</f>
        <v/>
      </c>
      <c r="L464">
        <f>IF($W464="","",IF(NOT(COUNTIF(기관표[사번키],INDEX(합계표[사번키],$W464))+COUNTIF(월별근무지표[사번키],INDEX(합계표[사번키],$W464))&gt;0),"기관명단에 없음(다른 병원으로 발송)",IF($K464="—","대상월 기관명단 없음(추가 필요)",IF($K464="서울병원","해당","비해당"))))</f>
        <v/>
      </c>
      <c r="M464">
        <f>IF($W464="","",SUMIFS(상세표[06~07시],상세표[사번키],INDEX(합계표[사번키],$W464),상세표[반영월],대상월키,상세표[반영 기관],"서울병원"))</f>
        <v/>
      </c>
      <c r="N464">
        <f>IF($W464="","",SUMIFS(상세표[07~18시],상세표[사번키],INDEX(합계표[사번키],$W464),상세표[반영월],대상월키,상세표[반영 기관],"서울병원"))</f>
        <v/>
      </c>
      <c r="O464">
        <f>IF($W464="","",SUMIFS(상세표[18~22시],상세표[사번키],INDEX(합계표[사번키],$W464),상세표[반영월],대상월키,상세표[반영 기관],"서울병원"))</f>
        <v/>
      </c>
      <c r="P464">
        <f>IF($W464="","",SUMIFS(상세표[22~06시],상세표[사번키],INDEX(합계표[사번키],$W464),상세표[반영월],대상월키,상세표[반영 기관],"서울병원"))</f>
        <v/>
      </c>
      <c r="Q464">
        <f>IF($W464="","",SUM($M464:$P464))</f>
        <v/>
      </c>
      <c r="R464">
        <f>IF($W464="","",COUNTIFS(상세표[사번키],INDEX(합계표[사번키],$W464),상세표[반영월],대상월키,상세표[야간당직],1,상세표[야간 구분],"평일"))</f>
        <v/>
      </c>
      <c r="S464" s="4">
        <f>IF($W464="","",COUNTIFS(상세표[사번키],INDEX(합계표[사번키],$W464),상세표[반영월],대상월키,상세표[야간당직],1,상세표[야간 구분],"휴일"))</f>
        <v/>
      </c>
      <c r="T464">
        <f>IF($W464="","",COUNTIFS(상세표[사번키],INDEX(합계표[사번키],$W464),상세표[반영월],대상월키,상세표[야간당직],1,상세표[야간 구분],"평일",상세표[반영 기관],"서울병원"))</f>
        <v/>
      </c>
      <c r="U464">
        <f>IF($W464="","",COUNTIFS(상세표[사번키],INDEX(합계표[사번키],$W464),상세표[반영월],대상월키,상세표[야간당직],1,상세표[야간 구분],"휴일",상세표[반영 기관],"서울병원"))</f>
        <v/>
      </c>
      <c r="V464">
        <f>IF($W464="","",IF(ISNUMBER(MATCH(INDEX(합계표[사번키],$W464)&amp;"|"&amp;대상월키,월별근무지표[키],0)),"직접 입력",IF($K464="—","—","기관명단")))</f>
        <v/>
      </c>
      <c r="W464">
        <f>IFERROR(MATCH(459,합계표[판정순번],0),"")</f>
        <v/>
      </c>
    </row>
    <row r="465">
      <c r="A465">
        <f>IF($W465="","",INDEX(합계표[사번],$W465)&amp;"")</f>
        <v/>
      </c>
      <c r="B465">
        <f>IF($W465="","",INDEX(합계표[성명],$W465)&amp;"")</f>
        <v/>
      </c>
      <c r="C465">
        <f>IF($W465="","",INDEX(합계표[부서],$W465)&amp;"")</f>
        <v/>
      </c>
      <c r="D465">
        <f>IF($W465="","",INDEX(합계표[직위(통합)],$W465)&amp;"")</f>
        <v/>
      </c>
      <c r="E465">
        <f>IF($W465="","",SUMIFS(합계표[시스템 합계],합계표[사번키],INDEX(합계표[사번키],$W465)))</f>
        <v/>
      </c>
      <c r="F465">
        <f>IF($W465="","",SUMIFS(상세표[기록 시간외],상세표[사번키],INDEX(합계표[사번키],$W465),상세표[기록월],대상월키))</f>
        <v/>
      </c>
      <c r="G465">
        <f>IF($W465="","",IF(ABS($E465-$F465)&lt;0.01,"일치","불일치(차이 "&amp;TEXT($F465-$E465,"0.00")&amp;")"))</f>
        <v/>
      </c>
      <c r="H465">
        <f>IF($W465="","",SUMIFS(상세표[기록 시간외],상세표[사번키],INDEX(합계표[사번키],$W465),상세표[기록월],대상월키,상세표[반영월],"&lt;&gt;"&amp;대상월키))</f>
        <v/>
      </c>
      <c r="I465">
        <f>IF($W465="","",SUMIFS(상세표[기록 시간외],상세표[사번키],INDEX(합계표[사번키],$W465),상세표[기록월],"&lt;&gt;"&amp;대상월키,상세표[반영월],대상월키))</f>
        <v/>
      </c>
      <c r="J465">
        <f>IF($W465="","",SUMIFS(상세표[기록 시간외],상세표[사번키],INDEX(합계표[사번키],$W465),상세표[반영월],대상월키))</f>
        <v/>
      </c>
      <c r="K465">
        <f>IF($W465="","",IFERROR(INDEX(월별근무지표[적용 급여병원],MATCH(INDEX(합계표[사번키],$W465)&amp;"|"&amp;대상월키,월별근무지표[키],0))&amp;"",IF(COUNTIF(기관표[사번키],INDEX(합계표[사번키],$W465))+COUNTIF(월별근무지표[사번키],INDEX(합계표[사번키],$W465))&gt;0,IFERROR(INDEX(기관표[급여지급병원(기준월)],MATCH(INDEX(합계표[사번키],$W465)&amp;"|"&amp;대상월키,기관표[키],0))&amp;"","—"),"—")))</f>
        <v/>
      </c>
      <c r="L465">
        <f>IF($W465="","",IF(NOT(COUNTIF(기관표[사번키],INDEX(합계표[사번키],$W465))+COUNTIF(월별근무지표[사번키],INDEX(합계표[사번키],$W465))&gt;0),"기관명단에 없음(다른 병원으로 발송)",IF($K465="—","대상월 기관명단 없음(추가 필요)",IF($K465="서울병원","해당","비해당"))))</f>
        <v/>
      </c>
      <c r="M465">
        <f>IF($W465="","",SUMIFS(상세표[06~07시],상세표[사번키],INDEX(합계표[사번키],$W465),상세표[반영월],대상월키,상세표[반영 기관],"서울병원"))</f>
        <v/>
      </c>
      <c r="N465">
        <f>IF($W465="","",SUMIFS(상세표[07~18시],상세표[사번키],INDEX(합계표[사번키],$W465),상세표[반영월],대상월키,상세표[반영 기관],"서울병원"))</f>
        <v/>
      </c>
      <c r="O465">
        <f>IF($W465="","",SUMIFS(상세표[18~22시],상세표[사번키],INDEX(합계표[사번키],$W465),상세표[반영월],대상월키,상세표[반영 기관],"서울병원"))</f>
        <v/>
      </c>
      <c r="P465">
        <f>IF($W465="","",SUMIFS(상세표[22~06시],상세표[사번키],INDEX(합계표[사번키],$W465),상세표[반영월],대상월키,상세표[반영 기관],"서울병원"))</f>
        <v/>
      </c>
      <c r="Q465">
        <f>IF($W465="","",SUM($M465:$P465))</f>
        <v/>
      </c>
      <c r="R465">
        <f>IF($W465="","",COUNTIFS(상세표[사번키],INDEX(합계표[사번키],$W465),상세표[반영월],대상월키,상세표[야간당직],1,상세표[야간 구분],"평일"))</f>
        <v/>
      </c>
      <c r="S465" s="4">
        <f>IF($W465="","",COUNTIFS(상세표[사번키],INDEX(합계표[사번키],$W465),상세표[반영월],대상월키,상세표[야간당직],1,상세표[야간 구분],"휴일"))</f>
        <v/>
      </c>
      <c r="T465">
        <f>IF($W465="","",COUNTIFS(상세표[사번키],INDEX(합계표[사번키],$W465),상세표[반영월],대상월키,상세표[야간당직],1,상세표[야간 구분],"평일",상세표[반영 기관],"서울병원"))</f>
        <v/>
      </c>
      <c r="U465">
        <f>IF($W465="","",COUNTIFS(상세표[사번키],INDEX(합계표[사번키],$W465),상세표[반영월],대상월키,상세표[야간당직],1,상세표[야간 구분],"휴일",상세표[반영 기관],"서울병원"))</f>
        <v/>
      </c>
      <c r="V465">
        <f>IF($W465="","",IF(ISNUMBER(MATCH(INDEX(합계표[사번키],$W465)&amp;"|"&amp;대상월키,월별근무지표[키],0)),"직접 입력",IF($K465="—","—","기관명단")))</f>
        <v/>
      </c>
      <c r="W465">
        <f>IFERROR(MATCH(460,합계표[판정순번],0),"")</f>
        <v/>
      </c>
    </row>
    <row r="466">
      <c r="A466">
        <f>IF($W466="","",INDEX(합계표[사번],$W466)&amp;"")</f>
        <v/>
      </c>
      <c r="B466">
        <f>IF($W466="","",INDEX(합계표[성명],$W466)&amp;"")</f>
        <v/>
      </c>
      <c r="C466">
        <f>IF($W466="","",INDEX(합계표[부서],$W466)&amp;"")</f>
        <v/>
      </c>
      <c r="D466">
        <f>IF($W466="","",INDEX(합계표[직위(통합)],$W466)&amp;"")</f>
        <v/>
      </c>
      <c r="E466">
        <f>IF($W466="","",SUMIFS(합계표[시스템 합계],합계표[사번키],INDEX(합계표[사번키],$W466)))</f>
        <v/>
      </c>
      <c r="F466">
        <f>IF($W466="","",SUMIFS(상세표[기록 시간외],상세표[사번키],INDEX(합계표[사번키],$W466),상세표[기록월],대상월키))</f>
        <v/>
      </c>
      <c r="G466">
        <f>IF($W466="","",IF(ABS($E466-$F466)&lt;0.01,"일치","불일치(차이 "&amp;TEXT($F466-$E466,"0.00")&amp;")"))</f>
        <v/>
      </c>
      <c r="H466">
        <f>IF($W466="","",SUMIFS(상세표[기록 시간외],상세표[사번키],INDEX(합계표[사번키],$W466),상세표[기록월],대상월키,상세표[반영월],"&lt;&gt;"&amp;대상월키))</f>
        <v/>
      </c>
      <c r="I466">
        <f>IF($W466="","",SUMIFS(상세표[기록 시간외],상세표[사번키],INDEX(합계표[사번키],$W466),상세표[기록월],"&lt;&gt;"&amp;대상월키,상세표[반영월],대상월키))</f>
        <v/>
      </c>
      <c r="J466">
        <f>IF($W466="","",SUMIFS(상세표[기록 시간외],상세표[사번키],INDEX(합계표[사번키],$W466),상세표[반영월],대상월키))</f>
        <v/>
      </c>
      <c r="K466">
        <f>IF($W466="","",IFERROR(INDEX(월별근무지표[적용 급여병원],MATCH(INDEX(합계표[사번키],$W466)&amp;"|"&amp;대상월키,월별근무지표[키],0))&amp;"",IF(COUNTIF(기관표[사번키],INDEX(합계표[사번키],$W466))+COUNTIF(월별근무지표[사번키],INDEX(합계표[사번키],$W466))&gt;0,IFERROR(INDEX(기관표[급여지급병원(기준월)],MATCH(INDEX(합계표[사번키],$W466)&amp;"|"&amp;대상월키,기관표[키],0))&amp;"","—"),"—")))</f>
        <v/>
      </c>
      <c r="L466">
        <f>IF($W466="","",IF(NOT(COUNTIF(기관표[사번키],INDEX(합계표[사번키],$W466))+COUNTIF(월별근무지표[사번키],INDEX(합계표[사번키],$W466))&gt;0),"기관명단에 없음(다른 병원으로 발송)",IF($K466="—","대상월 기관명단 없음(추가 필요)",IF($K466="서울병원","해당","비해당"))))</f>
        <v/>
      </c>
      <c r="M466">
        <f>IF($W466="","",SUMIFS(상세표[06~07시],상세표[사번키],INDEX(합계표[사번키],$W466),상세표[반영월],대상월키,상세표[반영 기관],"서울병원"))</f>
        <v/>
      </c>
      <c r="N466">
        <f>IF($W466="","",SUMIFS(상세표[07~18시],상세표[사번키],INDEX(합계표[사번키],$W466),상세표[반영월],대상월키,상세표[반영 기관],"서울병원"))</f>
        <v/>
      </c>
      <c r="O466">
        <f>IF($W466="","",SUMIFS(상세표[18~22시],상세표[사번키],INDEX(합계표[사번키],$W466),상세표[반영월],대상월키,상세표[반영 기관],"서울병원"))</f>
        <v/>
      </c>
      <c r="P466">
        <f>IF($W466="","",SUMIFS(상세표[22~06시],상세표[사번키],INDEX(합계표[사번키],$W466),상세표[반영월],대상월키,상세표[반영 기관],"서울병원"))</f>
        <v/>
      </c>
      <c r="Q466">
        <f>IF($W466="","",SUM($M466:$P466))</f>
        <v/>
      </c>
      <c r="R466">
        <f>IF($W466="","",COUNTIFS(상세표[사번키],INDEX(합계표[사번키],$W466),상세표[반영월],대상월키,상세표[야간당직],1,상세표[야간 구분],"평일"))</f>
        <v/>
      </c>
      <c r="S466" s="4">
        <f>IF($W466="","",COUNTIFS(상세표[사번키],INDEX(합계표[사번키],$W466),상세표[반영월],대상월키,상세표[야간당직],1,상세표[야간 구분],"휴일"))</f>
        <v/>
      </c>
      <c r="T466">
        <f>IF($W466="","",COUNTIFS(상세표[사번키],INDEX(합계표[사번키],$W466),상세표[반영월],대상월키,상세표[야간당직],1,상세표[야간 구분],"평일",상세표[반영 기관],"서울병원"))</f>
        <v/>
      </c>
      <c r="U466">
        <f>IF($W466="","",COUNTIFS(상세표[사번키],INDEX(합계표[사번키],$W466),상세표[반영월],대상월키,상세표[야간당직],1,상세표[야간 구분],"휴일",상세표[반영 기관],"서울병원"))</f>
        <v/>
      </c>
      <c r="V466">
        <f>IF($W466="","",IF(ISNUMBER(MATCH(INDEX(합계표[사번키],$W466)&amp;"|"&amp;대상월키,월별근무지표[키],0)),"직접 입력",IF($K466="—","—","기관명단")))</f>
        <v/>
      </c>
      <c r="W466">
        <f>IFERROR(MATCH(461,합계표[판정순번],0),"")</f>
        <v/>
      </c>
    </row>
    <row r="467">
      <c r="A467">
        <f>IF($W467="","",INDEX(합계표[사번],$W467)&amp;"")</f>
        <v/>
      </c>
      <c r="B467">
        <f>IF($W467="","",INDEX(합계표[성명],$W467)&amp;"")</f>
        <v/>
      </c>
      <c r="C467">
        <f>IF($W467="","",INDEX(합계표[부서],$W467)&amp;"")</f>
        <v/>
      </c>
      <c r="D467">
        <f>IF($W467="","",INDEX(합계표[직위(통합)],$W467)&amp;"")</f>
        <v/>
      </c>
      <c r="E467">
        <f>IF($W467="","",SUMIFS(합계표[시스템 합계],합계표[사번키],INDEX(합계표[사번키],$W467)))</f>
        <v/>
      </c>
      <c r="F467">
        <f>IF($W467="","",SUMIFS(상세표[기록 시간외],상세표[사번키],INDEX(합계표[사번키],$W467),상세표[기록월],대상월키))</f>
        <v/>
      </c>
      <c r="G467">
        <f>IF($W467="","",IF(ABS($E467-$F467)&lt;0.01,"일치","불일치(차이 "&amp;TEXT($F467-$E467,"0.00")&amp;")"))</f>
        <v/>
      </c>
      <c r="H467">
        <f>IF($W467="","",SUMIFS(상세표[기록 시간외],상세표[사번키],INDEX(합계표[사번키],$W467),상세표[기록월],대상월키,상세표[반영월],"&lt;&gt;"&amp;대상월키))</f>
        <v/>
      </c>
      <c r="I467">
        <f>IF($W467="","",SUMIFS(상세표[기록 시간외],상세표[사번키],INDEX(합계표[사번키],$W467),상세표[기록월],"&lt;&gt;"&amp;대상월키,상세표[반영월],대상월키))</f>
        <v/>
      </c>
      <c r="J467">
        <f>IF($W467="","",SUMIFS(상세표[기록 시간외],상세표[사번키],INDEX(합계표[사번키],$W467),상세표[반영월],대상월키))</f>
        <v/>
      </c>
      <c r="K467">
        <f>IF($W467="","",IFERROR(INDEX(월별근무지표[적용 급여병원],MATCH(INDEX(합계표[사번키],$W467)&amp;"|"&amp;대상월키,월별근무지표[키],0))&amp;"",IF(COUNTIF(기관표[사번키],INDEX(합계표[사번키],$W467))+COUNTIF(월별근무지표[사번키],INDEX(합계표[사번키],$W467))&gt;0,IFERROR(INDEX(기관표[급여지급병원(기준월)],MATCH(INDEX(합계표[사번키],$W467)&amp;"|"&amp;대상월키,기관표[키],0))&amp;"","—"),"—")))</f>
        <v/>
      </c>
      <c r="L467">
        <f>IF($W467="","",IF(NOT(COUNTIF(기관표[사번키],INDEX(합계표[사번키],$W467))+COUNTIF(월별근무지표[사번키],INDEX(합계표[사번키],$W467))&gt;0),"기관명단에 없음(다른 병원으로 발송)",IF($K467="—","대상월 기관명단 없음(추가 필요)",IF($K467="서울병원","해당","비해당"))))</f>
        <v/>
      </c>
      <c r="M467">
        <f>IF($W467="","",SUMIFS(상세표[06~07시],상세표[사번키],INDEX(합계표[사번키],$W467),상세표[반영월],대상월키,상세표[반영 기관],"서울병원"))</f>
        <v/>
      </c>
      <c r="N467">
        <f>IF($W467="","",SUMIFS(상세표[07~18시],상세표[사번키],INDEX(합계표[사번키],$W467),상세표[반영월],대상월키,상세표[반영 기관],"서울병원"))</f>
        <v/>
      </c>
      <c r="O467">
        <f>IF($W467="","",SUMIFS(상세표[18~22시],상세표[사번키],INDEX(합계표[사번키],$W467),상세표[반영월],대상월키,상세표[반영 기관],"서울병원"))</f>
        <v/>
      </c>
      <c r="P467">
        <f>IF($W467="","",SUMIFS(상세표[22~06시],상세표[사번키],INDEX(합계표[사번키],$W467),상세표[반영월],대상월키,상세표[반영 기관],"서울병원"))</f>
        <v/>
      </c>
      <c r="Q467">
        <f>IF($W467="","",SUM($M467:$P467))</f>
        <v/>
      </c>
      <c r="R467">
        <f>IF($W467="","",COUNTIFS(상세표[사번키],INDEX(합계표[사번키],$W467),상세표[반영월],대상월키,상세표[야간당직],1,상세표[야간 구분],"평일"))</f>
        <v/>
      </c>
      <c r="S467" s="4">
        <f>IF($W467="","",COUNTIFS(상세표[사번키],INDEX(합계표[사번키],$W467),상세표[반영월],대상월키,상세표[야간당직],1,상세표[야간 구분],"휴일"))</f>
        <v/>
      </c>
      <c r="T467">
        <f>IF($W467="","",COUNTIFS(상세표[사번키],INDEX(합계표[사번키],$W467),상세표[반영월],대상월키,상세표[야간당직],1,상세표[야간 구분],"평일",상세표[반영 기관],"서울병원"))</f>
        <v/>
      </c>
      <c r="U467">
        <f>IF($W467="","",COUNTIFS(상세표[사번키],INDEX(합계표[사번키],$W467),상세표[반영월],대상월키,상세표[야간당직],1,상세표[야간 구분],"휴일",상세표[반영 기관],"서울병원"))</f>
        <v/>
      </c>
      <c r="V467">
        <f>IF($W467="","",IF(ISNUMBER(MATCH(INDEX(합계표[사번키],$W467)&amp;"|"&amp;대상월키,월별근무지표[키],0)),"직접 입력",IF($K467="—","—","기관명단")))</f>
        <v/>
      </c>
      <c r="W467">
        <f>IFERROR(MATCH(462,합계표[판정순번],0),"")</f>
        <v/>
      </c>
    </row>
    <row r="468">
      <c r="A468">
        <f>IF($W468="","",INDEX(합계표[사번],$W468)&amp;"")</f>
        <v/>
      </c>
      <c r="B468">
        <f>IF($W468="","",INDEX(합계표[성명],$W468)&amp;"")</f>
        <v/>
      </c>
      <c r="C468">
        <f>IF($W468="","",INDEX(합계표[부서],$W468)&amp;"")</f>
        <v/>
      </c>
      <c r="D468">
        <f>IF($W468="","",INDEX(합계표[직위(통합)],$W468)&amp;"")</f>
        <v/>
      </c>
      <c r="E468">
        <f>IF($W468="","",SUMIFS(합계표[시스템 합계],합계표[사번키],INDEX(합계표[사번키],$W468)))</f>
        <v/>
      </c>
      <c r="F468">
        <f>IF($W468="","",SUMIFS(상세표[기록 시간외],상세표[사번키],INDEX(합계표[사번키],$W468),상세표[기록월],대상월키))</f>
        <v/>
      </c>
      <c r="G468">
        <f>IF($W468="","",IF(ABS($E468-$F468)&lt;0.01,"일치","불일치(차이 "&amp;TEXT($F468-$E468,"0.00")&amp;")"))</f>
        <v/>
      </c>
      <c r="H468">
        <f>IF($W468="","",SUMIFS(상세표[기록 시간외],상세표[사번키],INDEX(합계표[사번키],$W468),상세표[기록월],대상월키,상세표[반영월],"&lt;&gt;"&amp;대상월키))</f>
        <v/>
      </c>
      <c r="I468">
        <f>IF($W468="","",SUMIFS(상세표[기록 시간외],상세표[사번키],INDEX(합계표[사번키],$W468),상세표[기록월],"&lt;&gt;"&amp;대상월키,상세표[반영월],대상월키))</f>
        <v/>
      </c>
      <c r="J468">
        <f>IF($W468="","",SUMIFS(상세표[기록 시간외],상세표[사번키],INDEX(합계표[사번키],$W468),상세표[반영월],대상월키))</f>
        <v/>
      </c>
      <c r="K468">
        <f>IF($W468="","",IFERROR(INDEX(월별근무지표[적용 급여병원],MATCH(INDEX(합계표[사번키],$W468)&amp;"|"&amp;대상월키,월별근무지표[키],0))&amp;"",IF(COUNTIF(기관표[사번키],INDEX(합계표[사번키],$W468))+COUNTIF(월별근무지표[사번키],INDEX(합계표[사번키],$W468))&gt;0,IFERROR(INDEX(기관표[급여지급병원(기준월)],MATCH(INDEX(합계표[사번키],$W468)&amp;"|"&amp;대상월키,기관표[키],0))&amp;"","—"),"—")))</f>
        <v/>
      </c>
      <c r="L468">
        <f>IF($W468="","",IF(NOT(COUNTIF(기관표[사번키],INDEX(합계표[사번키],$W468))+COUNTIF(월별근무지표[사번키],INDEX(합계표[사번키],$W468))&gt;0),"기관명단에 없음(다른 병원으로 발송)",IF($K468="—","대상월 기관명단 없음(추가 필요)",IF($K468="서울병원","해당","비해당"))))</f>
        <v/>
      </c>
      <c r="M468">
        <f>IF($W468="","",SUMIFS(상세표[06~07시],상세표[사번키],INDEX(합계표[사번키],$W468),상세표[반영월],대상월키,상세표[반영 기관],"서울병원"))</f>
        <v/>
      </c>
      <c r="N468">
        <f>IF($W468="","",SUMIFS(상세표[07~18시],상세표[사번키],INDEX(합계표[사번키],$W468),상세표[반영월],대상월키,상세표[반영 기관],"서울병원"))</f>
        <v/>
      </c>
      <c r="O468">
        <f>IF($W468="","",SUMIFS(상세표[18~22시],상세표[사번키],INDEX(합계표[사번키],$W468),상세표[반영월],대상월키,상세표[반영 기관],"서울병원"))</f>
        <v/>
      </c>
      <c r="P468">
        <f>IF($W468="","",SUMIFS(상세표[22~06시],상세표[사번키],INDEX(합계표[사번키],$W468),상세표[반영월],대상월키,상세표[반영 기관],"서울병원"))</f>
        <v/>
      </c>
      <c r="Q468">
        <f>IF($W468="","",SUM($M468:$P468))</f>
        <v/>
      </c>
      <c r="R468">
        <f>IF($W468="","",COUNTIFS(상세표[사번키],INDEX(합계표[사번키],$W468),상세표[반영월],대상월키,상세표[야간당직],1,상세표[야간 구분],"평일"))</f>
        <v/>
      </c>
      <c r="S468" s="4">
        <f>IF($W468="","",COUNTIFS(상세표[사번키],INDEX(합계표[사번키],$W468),상세표[반영월],대상월키,상세표[야간당직],1,상세표[야간 구분],"휴일"))</f>
        <v/>
      </c>
      <c r="T468">
        <f>IF($W468="","",COUNTIFS(상세표[사번키],INDEX(합계표[사번키],$W468),상세표[반영월],대상월키,상세표[야간당직],1,상세표[야간 구분],"평일",상세표[반영 기관],"서울병원"))</f>
        <v/>
      </c>
      <c r="U468">
        <f>IF($W468="","",COUNTIFS(상세표[사번키],INDEX(합계표[사번키],$W468),상세표[반영월],대상월키,상세표[야간당직],1,상세표[야간 구분],"휴일",상세표[반영 기관],"서울병원"))</f>
        <v/>
      </c>
      <c r="V468">
        <f>IF($W468="","",IF(ISNUMBER(MATCH(INDEX(합계표[사번키],$W468)&amp;"|"&amp;대상월키,월별근무지표[키],0)),"직접 입력",IF($K468="—","—","기관명단")))</f>
        <v/>
      </c>
      <c r="W468">
        <f>IFERROR(MATCH(463,합계표[판정순번],0),"")</f>
        <v/>
      </c>
    </row>
    <row r="469">
      <c r="A469">
        <f>IF($W469="","",INDEX(합계표[사번],$W469)&amp;"")</f>
        <v/>
      </c>
      <c r="B469">
        <f>IF($W469="","",INDEX(합계표[성명],$W469)&amp;"")</f>
        <v/>
      </c>
      <c r="C469">
        <f>IF($W469="","",INDEX(합계표[부서],$W469)&amp;"")</f>
        <v/>
      </c>
      <c r="D469">
        <f>IF($W469="","",INDEX(합계표[직위(통합)],$W469)&amp;"")</f>
        <v/>
      </c>
      <c r="E469">
        <f>IF($W469="","",SUMIFS(합계표[시스템 합계],합계표[사번키],INDEX(합계표[사번키],$W469)))</f>
        <v/>
      </c>
      <c r="F469">
        <f>IF($W469="","",SUMIFS(상세표[기록 시간외],상세표[사번키],INDEX(합계표[사번키],$W469),상세표[기록월],대상월키))</f>
        <v/>
      </c>
      <c r="G469">
        <f>IF($W469="","",IF(ABS($E469-$F469)&lt;0.01,"일치","불일치(차이 "&amp;TEXT($F469-$E469,"0.00")&amp;")"))</f>
        <v/>
      </c>
      <c r="H469">
        <f>IF($W469="","",SUMIFS(상세표[기록 시간외],상세표[사번키],INDEX(합계표[사번키],$W469),상세표[기록월],대상월키,상세표[반영월],"&lt;&gt;"&amp;대상월키))</f>
        <v/>
      </c>
      <c r="I469">
        <f>IF($W469="","",SUMIFS(상세표[기록 시간외],상세표[사번키],INDEX(합계표[사번키],$W469),상세표[기록월],"&lt;&gt;"&amp;대상월키,상세표[반영월],대상월키))</f>
        <v/>
      </c>
      <c r="J469">
        <f>IF($W469="","",SUMIFS(상세표[기록 시간외],상세표[사번키],INDEX(합계표[사번키],$W469),상세표[반영월],대상월키))</f>
        <v/>
      </c>
      <c r="K469">
        <f>IF($W469="","",IFERROR(INDEX(월별근무지표[적용 급여병원],MATCH(INDEX(합계표[사번키],$W469)&amp;"|"&amp;대상월키,월별근무지표[키],0))&amp;"",IF(COUNTIF(기관표[사번키],INDEX(합계표[사번키],$W469))+COUNTIF(월별근무지표[사번키],INDEX(합계표[사번키],$W469))&gt;0,IFERROR(INDEX(기관표[급여지급병원(기준월)],MATCH(INDEX(합계표[사번키],$W469)&amp;"|"&amp;대상월키,기관표[키],0))&amp;"","—"),"—")))</f>
        <v/>
      </c>
      <c r="L469">
        <f>IF($W469="","",IF(NOT(COUNTIF(기관표[사번키],INDEX(합계표[사번키],$W469))+COUNTIF(월별근무지표[사번키],INDEX(합계표[사번키],$W469))&gt;0),"기관명단에 없음(다른 병원으로 발송)",IF($K469="—","대상월 기관명단 없음(추가 필요)",IF($K469="서울병원","해당","비해당"))))</f>
        <v/>
      </c>
      <c r="M469">
        <f>IF($W469="","",SUMIFS(상세표[06~07시],상세표[사번키],INDEX(합계표[사번키],$W469),상세표[반영월],대상월키,상세표[반영 기관],"서울병원"))</f>
        <v/>
      </c>
      <c r="N469">
        <f>IF($W469="","",SUMIFS(상세표[07~18시],상세표[사번키],INDEX(합계표[사번키],$W469),상세표[반영월],대상월키,상세표[반영 기관],"서울병원"))</f>
        <v/>
      </c>
      <c r="O469">
        <f>IF($W469="","",SUMIFS(상세표[18~22시],상세표[사번키],INDEX(합계표[사번키],$W469),상세표[반영월],대상월키,상세표[반영 기관],"서울병원"))</f>
        <v/>
      </c>
      <c r="P469">
        <f>IF($W469="","",SUMIFS(상세표[22~06시],상세표[사번키],INDEX(합계표[사번키],$W469),상세표[반영월],대상월키,상세표[반영 기관],"서울병원"))</f>
        <v/>
      </c>
      <c r="Q469">
        <f>IF($W469="","",SUM($M469:$P469))</f>
        <v/>
      </c>
      <c r="R469">
        <f>IF($W469="","",COUNTIFS(상세표[사번키],INDEX(합계표[사번키],$W469),상세표[반영월],대상월키,상세표[야간당직],1,상세표[야간 구분],"평일"))</f>
        <v/>
      </c>
      <c r="S469" s="4">
        <f>IF($W469="","",COUNTIFS(상세표[사번키],INDEX(합계표[사번키],$W469),상세표[반영월],대상월키,상세표[야간당직],1,상세표[야간 구분],"휴일"))</f>
        <v/>
      </c>
      <c r="T469">
        <f>IF($W469="","",COUNTIFS(상세표[사번키],INDEX(합계표[사번키],$W469),상세표[반영월],대상월키,상세표[야간당직],1,상세표[야간 구분],"평일",상세표[반영 기관],"서울병원"))</f>
        <v/>
      </c>
      <c r="U469">
        <f>IF($W469="","",COUNTIFS(상세표[사번키],INDEX(합계표[사번키],$W469),상세표[반영월],대상월키,상세표[야간당직],1,상세표[야간 구분],"휴일",상세표[반영 기관],"서울병원"))</f>
        <v/>
      </c>
      <c r="V469">
        <f>IF($W469="","",IF(ISNUMBER(MATCH(INDEX(합계표[사번키],$W469)&amp;"|"&amp;대상월키,월별근무지표[키],0)),"직접 입력",IF($K469="—","—","기관명단")))</f>
        <v/>
      </c>
      <c r="W469">
        <f>IFERROR(MATCH(464,합계표[판정순번],0),"")</f>
        <v/>
      </c>
    </row>
    <row r="470">
      <c r="A470">
        <f>IF($W470="","",INDEX(합계표[사번],$W470)&amp;"")</f>
        <v/>
      </c>
      <c r="B470">
        <f>IF($W470="","",INDEX(합계표[성명],$W470)&amp;"")</f>
        <v/>
      </c>
      <c r="C470">
        <f>IF($W470="","",INDEX(합계표[부서],$W470)&amp;"")</f>
        <v/>
      </c>
      <c r="D470">
        <f>IF($W470="","",INDEX(합계표[직위(통합)],$W470)&amp;"")</f>
        <v/>
      </c>
      <c r="E470">
        <f>IF($W470="","",SUMIFS(합계표[시스템 합계],합계표[사번키],INDEX(합계표[사번키],$W470)))</f>
        <v/>
      </c>
      <c r="F470">
        <f>IF($W470="","",SUMIFS(상세표[기록 시간외],상세표[사번키],INDEX(합계표[사번키],$W470),상세표[기록월],대상월키))</f>
        <v/>
      </c>
      <c r="G470">
        <f>IF($W470="","",IF(ABS($E470-$F470)&lt;0.01,"일치","불일치(차이 "&amp;TEXT($F470-$E470,"0.00")&amp;")"))</f>
        <v/>
      </c>
      <c r="H470">
        <f>IF($W470="","",SUMIFS(상세표[기록 시간외],상세표[사번키],INDEX(합계표[사번키],$W470),상세표[기록월],대상월키,상세표[반영월],"&lt;&gt;"&amp;대상월키))</f>
        <v/>
      </c>
      <c r="I470">
        <f>IF($W470="","",SUMIFS(상세표[기록 시간외],상세표[사번키],INDEX(합계표[사번키],$W470),상세표[기록월],"&lt;&gt;"&amp;대상월키,상세표[반영월],대상월키))</f>
        <v/>
      </c>
      <c r="J470">
        <f>IF($W470="","",SUMIFS(상세표[기록 시간외],상세표[사번키],INDEX(합계표[사번키],$W470),상세표[반영월],대상월키))</f>
        <v/>
      </c>
      <c r="K470">
        <f>IF($W470="","",IFERROR(INDEX(월별근무지표[적용 급여병원],MATCH(INDEX(합계표[사번키],$W470)&amp;"|"&amp;대상월키,월별근무지표[키],0))&amp;"",IF(COUNTIF(기관표[사번키],INDEX(합계표[사번키],$W470))+COUNTIF(월별근무지표[사번키],INDEX(합계표[사번키],$W470))&gt;0,IFERROR(INDEX(기관표[급여지급병원(기준월)],MATCH(INDEX(합계표[사번키],$W470)&amp;"|"&amp;대상월키,기관표[키],0))&amp;"","—"),"—")))</f>
        <v/>
      </c>
      <c r="L470">
        <f>IF($W470="","",IF(NOT(COUNTIF(기관표[사번키],INDEX(합계표[사번키],$W470))+COUNTIF(월별근무지표[사번키],INDEX(합계표[사번키],$W470))&gt;0),"기관명단에 없음(다른 병원으로 발송)",IF($K470="—","대상월 기관명단 없음(추가 필요)",IF($K470="서울병원","해당","비해당"))))</f>
        <v/>
      </c>
      <c r="M470">
        <f>IF($W470="","",SUMIFS(상세표[06~07시],상세표[사번키],INDEX(합계표[사번키],$W470),상세표[반영월],대상월키,상세표[반영 기관],"서울병원"))</f>
        <v/>
      </c>
      <c r="N470">
        <f>IF($W470="","",SUMIFS(상세표[07~18시],상세표[사번키],INDEX(합계표[사번키],$W470),상세표[반영월],대상월키,상세표[반영 기관],"서울병원"))</f>
        <v/>
      </c>
      <c r="O470">
        <f>IF($W470="","",SUMIFS(상세표[18~22시],상세표[사번키],INDEX(합계표[사번키],$W470),상세표[반영월],대상월키,상세표[반영 기관],"서울병원"))</f>
        <v/>
      </c>
      <c r="P470">
        <f>IF($W470="","",SUMIFS(상세표[22~06시],상세표[사번키],INDEX(합계표[사번키],$W470),상세표[반영월],대상월키,상세표[반영 기관],"서울병원"))</f>
        <v/>
      </c>
      <c r="Q470">
        <f>IF($W470="","",SUM($M470:$P470))</f>
        <v/>
      </c>
      <c r="R470">
        <f>IF($W470="","",COUNTIFS(상세표[사번키],INDEX(합계표[사번키],$W470),상세표[반영월],대상월키,상세표[야간당직],1,상세표[야간 구분],"평일"))</f>
        <v/>
      </c>
      <c r="S470" s="4">
        <f>IF($W470="","",COUNTIFS(상세표[사번키],INDEX(합계표[사번키],$W470),상세표[반영월],대상월키,상세표[야간당직],1,상세표[야간 구분],"휴일"))</f>
        <v/>
      </c>
      <c r="T470">
        <f>IF($W470="","",COUNTIFS(상세표[사번키],INDEX(합계표[사번키],$W470),상세표[반영월],대상월키,상세표[야간당직],1,상세표[야간 구분],"평일",상세표[반영 기관],"서울병원"))</f>
        <v/>
      </c>
      <c r="U470">
        <f>IF($W470="","",COUNTIFS(상세표[사번키],INDEX(합계표[사번키],$W470),상세표[반영월],대상월키,상세표[야간당직],1,상세표[야간 구분],"휴일",상세표[반영 기관],"서울병원"))</f>
        <v/>
      </c>
      <c r="V470">
        <f>IF($W470="","",IF(ISNUMBER(MATCH(INDEX(합계표[사번키],$W470)&amp;"|"&amp;대상월키,월별근무지표[키],0)),"직접 입력",IF($K470="—","—","기관명단")))</f>
        <v/>
      </c>
      <c r="W470">
        <f>IFERROR(MATCH(465,합계표[판정순번],0),"")</f>
        <v/>
      </c>
    </row>
    <row r="471">
      <c r="A471">
        <f>IF($W471="","",INDEX(합계표[사번],$W471)&amp;"")</f>
        <v/>
      </c>
      <c r="B471">
        <f>IF($W471="","",INDEX(합계표[성명],$W471)&amp;"")</f>
        <v/>
      </c>
      <c r="C471">
        <f>IF($W471="","",INDEX(합계표[부서],$W471)&amp;"")</f>
        <v/>
      </c>
      <c r="D471">
        <f>IF($W471="","",INDEX(합계표[직위(통합)],$W471)&amp;"")</f>
        <v/>
      </c>
      <c r="E471">
        <f>IF($W471="","",SUMIFS(합계표[시스템 합계],합계표[사번키],INDEX(합계표[사번키],$W471)))</f>
        <v/>
      </c>
      <c r="F471">
        <f>IF($W471="","",SUMIFS(상세표[기록 시간외],상세표[사번키],INDEX(합계표[사번키],$W471),상세표[기록월],대상월키))</f>
        <v/>
      </c>
      <c r="G471">
        <f>IF($W471="","",IF(ABS($E471-$F471)&lt;0.01,"일치","불일치(차이 "&amp;TEXT($F471-$E471,"0.00")&amp;")"))</f>
        <v/>
      </c>
      <c r="H471">
        <f>IF($W471="","",SUMIFS(상세표[기록 시간외],상세표[사번키],INDEX(합계표[사번키],$W471),상세표[기록월],대상월키,상세표[반영월],"&lt;&gt;"&amp;대상월키))</f>
        <v/>
      </c>
      <c r="I471">
        <f>IF($W471="","",SUMIFS(상세표[기록 시간외],상세표[사번키],INDEX(합계표[사번키],$W471),상세표[기록월],"&lt;&gt;"&amp;대상월키,상세표[반영월],대상월키))</f>
        <v/>
      </c>
      <c r="J471">
        <f>IF($W471="","",SUMIFS(상세표[기록 시간외],상세표[사번키],INDEX(합계표[사번키],$W471),상세표[반영월],대상월키))</f>
        <v/>
      </c>
      <c r="K471">
        <f>IF($W471="","",IFERROR(INDEX(월별근무지표[적용 급여병원],MATCH(INDEX(합계표[사번키],$W471)&amp;"|"&amp;대상월키,월별근무지표[키],0))&amp;"",IF(COUNTIF(기관표[사번키],INDEX(합계표[사번키],$W471))+COUNTIF(월별근무지표[사번키],INDEX(합계표[사번키],$W471))&gt;0,IFERROR(INDEX(기관표[급여지급병원(기준월)],MATCH(INDEX(합계표[사번키],$W471)&amp;"|"&amp;대상월키,기관표[키],0))&amp;"","—"),"—")))</f>
        <v/>
      </c>
      <c r="L471">
        <f>IF($W471="","",IF(NOT(COUNTIF(기관표[사번키],INDEX(합계표[사번키],$W471))+COUNTIF(월별근무지표[사번키],INDEX(합계표[사번키],$W471))&gt;0),"기관명단에 없음(다른 병원으로 발송)",IF($K471="—","대상월 기관명단 없음(추가 필요)",IF($K471="서울병원","해당","비해당"))))</f>
        <v/>
      </c>
      <c r="M471">
        <f>IF($W471="","",SUMIFS(상세표[06~07시],상세표[사번키],INDEX(합계표[사번키],$W471),상세표[반영월],대상월키,상세표[반영 기관],"서울병원"))</f>
        <v/>
      </c>
      <c r="N471">
        <f>IF($W471="","",SUMIFS(상세표[07~18시],상세표[사번키],INDEX(합계표[사번키],$W471),상세표[반영월],대상월키,상세표[반영 기관],"서울병원"))</f>
        <v/>
      </c>
      <c r="O471">
        <f>IF($W471="","",SUMIFS(상세표[18~22시],상세표[사번키],INDEX(합계표[사번키],$W471),상세표[반영월],대상월키,상세표[반영 기관],"서울병원"))</f>
        <v/>
      </c>
      <c r="P471">
        <f>IF($W471="","",SUMIFS(상세표[22~06시],상세표[사번키],INDEX(합계표[사번키],$W471),상세표[반영월],대상월키,상세표[반영 기관],"서울병원"))</f>
        <v/>
      </c>
      <c r="Q471">
        <f>IF($W471="","",SUM($M471:$P471))</f>
        <v/>
      </c>
      <c r="R471">
        <f>IF($W471="","",COUNTIFS(상세표[사번키],INDEX(합계표[사번키],$W471),상세표[반영월],대상월키,상세표[야간당직],1,상세표[야간 구분],"평일"))</f>
        <v/>
      </c>
      <c r="S471" s="4">
        <f>IF($W471="","",COUNTIFS(상세표[사번키],INDEX(합계표[사번키],$W471),상세표[반영월],대상월키,상세표[야간당직],1,상세표[야간 구분],"휴일"))</f>
        <v/>
      </c>
      <c r="T471">
        <f>IF($W471="","",COUNTIFS(상세표[사번키],INDEX(합계표[사번키],$W471),상세표[반영월],대상월키,상세표[야간당직],1,상세표[야간 구분],"평일",상세표[반영 기관],"서울병원"))</f>
        <v/>
      </c>
      <c r="U471">
        <f>IF($W471="","",COUNTIFS(상세표[사번키],INDEX(합계표[사번키],$W471),상세표[반영월],대상월키,상세표[야간당직],1,상세표[야간 구분],"휴일",상세표[반영 기관],"서울병원"))</f>
        <v/>
      </c>
      <c r="V471">
        <f>IF($W471="","",IF(ISNUMBER(MATCH(INDEX(합계표[사번키],$W471)&amp;"|"&amp;대상월키,월별근무지표[키],0)),"직접 입력",IF($K471="—","—","기관명단")))</f>
        <v/>
      </c>
      <c r="W471">
        <f>IFERROR(MATCH(466,합계표[판정순번],0),"")</f>
        <v/>
      </c>
    </row>
    <row r="472">
      <c r="A472">
        <f>IF($W472="","",INDEX(합계표[사번],$W472)&amp;"")</f>
        <v/>
      </c>
      <c r="B472">
        <f>IF($W472="","",INDEX(합계표[성명],$W472)&amp;"")</f>
        <v/>
      </c>
      <c r="C472">
        <f>IF($W472="","",INDEX(합계표[부서],$W472)&amp;"")</f>
        <v/>
      </c>
      <c r="D472">
        <f>IF($W472="","",INDEX(합계표[직위(통합)],$W472)&amp;"")</f>
        <v/>
      </c>
      <c r="E472">
        <f>IF($W472="","",SUMIFS(합계표[시스템 합계],합계표[사번키],INDEX(합계표[사번키],$W472)))</f>
        <v/>
      </c>
      <c r="F472">
        <f>IF($W472="","",SUMIFS(상세표[기록 시간외],상세표[사번키],INDEX(합계표[사번키],$W472),상세표[기록월],대상월키))</f>
        <v/>
      </c>
      <c r="G472">
        <f>IF($W472="","",IF(ABS($E472-$F472)&lt;0.01,"일치","불일치(차이 "&amp;TEXT($F472-$E472,"0.00")&amp;")"))</f>
        <v/>
      </c>
      <c r="H472">
        <f>IF($W472="","",SUMIFS(상세표[기록 시간외],상세표[사번키],INDEX(합계표[사번키],$W472),상세표[기록월],대상월키,상세표[반영월],"&lt;&gt;"&amp;대상월키))</f>
        <v/>
      </c>
      <c r="I472">
        <f>IF($W472="","",SUMIFS(상세표[기록 시간외],상세표[사번키],INDEX(합계표[사번키],$W472),상세표[기록월],"&lt;&gt;"&amp;대상월키,상세표[반영월],대상월키))</f>
        <v/>
      </c>
      <c r="J472">
        <f>IF($W472="","",SUMIFS(상세표[기록 시간외],상세표[사번키],INDEX(합계표[사번키],$W472),상세표[반영월],대상월키))</f>
        <v/>
      </c>
      <c r="K472">
        <f>IF($W472="","",IFERROR(INDEX(월별근무지표[적용 급여병원],MATCH(INDEX(합계표[사번키],$W472)&amp;"|"&amp;대상월키,월별근무지표[키],0))&amp;"",IF(COUNTIF(기관표[사번키],INDEX(합계표[사번키],$W472))+COUNTIF(월별근무지표[사번키],INDEX(합계표[사번키],$W472))&gt;0,IFERROR(INDEX(기관표[급여지급병원(기준월)],MATCH(INDEX(합계표[사번키],$W472)&amp;"|"&amp;대상월키,기관표[키],0))&amp;"","—"),"—")))</f>
        <v/>
      </c>
      <c r="L472">
        <f>IF($W472="","",IF(NOT(COUNTIF(기관표[사번키],INDEX(합계표[사번키],$W472))+COUNTIF(월별근무지표[사번키],INDEX(합계표[사번키],$W472))&gt;0),"기관명단에 없음(다른 병원으로 발송)",IF($K472="—","대상월 기관명단 없음(추가 필요)",IF($K472="서울병원","해당","비해당"))))</f>
        <v/>
      </c>
      <c r="M472">
        <f>IF($W472="","",SUMIFS(상세표[06~07시],상세표[사번키],INDEX(합계표[사번키],$W472),상세표[반영월],대상월키,상세표[반영 기관],"서울병원"))</f>
        <v/>
      </c>
      <c r="N472">
        <f>IF($W472="","",SUMIFS(상세표[07~18시],상세표[사번키],INDEX(합계표[사번키],$W472),상세표[반영월],대상월키,상세표[반영 기관],"서울병원"))</f>
        <v/>
      </c>
      <c r="O472">
        <f>IF($W472="","",SUMIFS(상세표[18~22시],상세표[사번키],INDEX(합계표[사번키],$W472),상세표[반영월],대상월키,상세표[반영 기관],"서울병원"))</f>
        <v/>
      </c>
      <c r="P472">
        <f>IF($W472="","",SUMIFS(상세표[22~06시],상세표[사번키],INDEX(합계표[사번키],$W472),상세표[반영월],대상월키,상세표[반영 기관],"서울병원"))</f>
        <v/>
      </c>
      <c r="Q472">
        <f>IF($W472="","",SUM($M472:$P472))</f>
        <v/>
      </c>
      <c r="R472">
        <f>IF($W472="","",COUNTIFS(상세표[사번키],INDEX(합계표[사번키],$W472),상세표[반영월],대상월키,상세표[야간당직],1,상세표[야간 구분],"평일"))</f>
        <v/>
      </c>
      <c r="S472" s="4">
        <f>IF($W472="","",COUNTIFS(상세표[사번키],INDEX(합계표[사번키],$W472),상세표[반영월],대상월키,상세표[야간당직],1,상세표[야간 구분],"휴일"))</f>
        <v/>
      </c>
      <c r="T472">
        <f>IF($W472="","",COUNTIFS(상세표[사번키],INDEX(합계표[사번키],$W472),상세표[반영월],대상월키,상세표[야간당직],1,상세표[야간 구분],"평일",상세표[반영 기관],"서울병원"))</f>
        <v/>
      </c>
      <c r="U472">
        <f>IF($W472="","",COUNTIFS(상세표[사번키],INDEX(합계표[사번키],$W472),상세표[반영월],대상월키,상세표[야간당직],1,상세표[야간 구분],"휴일",상세표[반영 기관],"서울병원"))</f>
        <v/>
      </c>
      <c r="V472">
        <f>IF($W472="","",IF(ISNUMBER(MATCH(INDEX(합계표[사번키],$W472)&amp;"|"&amp;대상월키,월별근무지표[키],0)),"직접 입력",IF($K472="—","—","기관명단")))</f>
        <v/>
      </c>
      <c r="W472">
        <f>IFERROR(MATCH(467,합계표[판정순번],0),"")</f>
        <v/>
      </c>
    </row>
    <row r="473">
      <c r="A473">
        <f>IF($W473="","",INDEX(합계표[사번],$W473)&amp;"")</f>
        <v/>
      </c>
      <c r="B473">
        <f>IF($W473="","",INDEX(합계표[성명],$W473)&amp;"")</f>
        <v/>
      </c>
      <c r="C473">
        <f>IF($W473="","",INDEX(합계표[부서],$W473)&amp;"")</f>
        <v/>
      </c>
      <c r="D473">
        <f>IF($W473="","",INDEX(합계표[직위(통합)],$W473)&amp;"")</f>
        <v/>
      </c>
      <c r="E473">
        <f>IF($W473="","",SUMIFS(합계표[시스템 합계],합계표[사번키],INDEX(합계표[사번키],$W473)))</f>
        <v/>
      </c>
      <c r="F473">
        <f>IF($W473="","",SUMIFS(상세표[기록 시간외],상세표[사번키],INDEX(합계표[사번키],$W473),상세표[기록월],대상월키))</f>
        <v/>
      </c>
      <c r="G473">
        <f>IF($W473="","",IF(ABS($E473-$F473)&lt;0.01,"일치","불일치(차이 "&amp;TEXT($F473-$E473,"0.00")&amp;")"))</f>
        <v/>
      </c>
      <c r="H473">
        <f>IF($W473="","",SUMIFS(상세표[기록 시간외],상세표[사번키],INDEX(합계표[사번키],$W473),상세표[기록월],대상월키,상세표[반영월],"&lt;&gt;"&amp;대상월키))</f>
        <v/>
      </c>
      <c r="I473">
        <f>IF($W473="","",SUMIFS(상세표[기록 시간외],상세표[사번키],INDEX(합계표[사번키],$W473),상세표[기록월],"&lt;&gt;"&amp;대상월키,상세표[반영월],대상월키))</f>
        <v/>
      </c>
      <c r="J473">
        <f>IF($W473="","",SUMIFS(상세표[기록 시간외],상세표[사번키],INDEX(합계표[사번키],$W473),상세표[반영월],대상월키))</f>
        <v/>
      </c>
      <c r="K473">
        <f>IF($W473="","",IFERROR(INDEX(월별근무지표[적용 급여병원],MATCH(INDEX(합계표[사번키],$W473)&amp;"|"&amp;대상월키,월별근무지표[키],0))&amp;"",IF(COUNTIF(기관표[사번키],INDEX(합계표[사번키],$W473))+COUNTIF(월별근무지표[사번키],INDEX(합계표[사번키],$W473))&gt;0,IFERROR(INDEX(기관표[급여지급병원(기준월)],MATCH(INDEX(합계표[사번키],$W473)&amp;"|"&amp;대상월키,기관표[키],0))&amp;"","—"),"—")))</f>
        <v/>
      </c>
      <c r="L473">
        <f>IF($W473="","",IF(NOT(COUNTIF(기관표[사번키],INDEX(합계표[사번키],$W473))+COUNTIF(월별근무지표[사번키],INDEX(합계표[사번키],$W473))&gt;0),"기관명단에 없음(다른 병원으로 발송)",IF($K473="—","대상월 기관명단 없음(추가 필요)",IF($K473="서울병원","해당","비해당"))))</f>
        <v/>
      </c>
      <c r="M473">
        <f>IF($W473="","",SUMIFS(상세표[06~07시],상세표[사번키],INDEX(합계표[사번키],$W473),상세표[반영월],대상월키,상세표[반영 기관],"서울병원"))</f>
        <v/>
      </c>
      <c r="N473">
        <f>IF($W473="","",SUMIFS(상세표[07~18시],상세표[사번키],INDEX(합계표[사번키],$W473),상세표[반영월],대상월키,상세표[반영 기관],"서울병원"))</f>
        <v/>
      </c>
      <c r="O473">
        <f>IF($W473="","",SUMIFS(상세표[18~22시],상세표[사번키],INDEX(합계표[사번키],$W473),상세표[반영월],대상월키,상세표[반영 기관],"서울병원"))</f>
        <v/>
      </c>
      <c r="P473">
        <f>IF($W473="","",SUMIFS(상세표[22~06시],상세표[사번키],INDEX(합계표[사번키],$W473),상세표[반영월],대상월키,상세표[반영 기관],"서울병원"))</f>
        <v/>
      </c>
      <c r="Q473">
        <f>IF($W473="","",SUM($M473:$P473))</f>
        <v/>
      </c>
      <c r="R473">
        <f>IF($W473="","",COUNTIFS(상세표[사번키],INDEX(합계표[사번키],$W473),상세표[반영월],대상월키,상세표[야간당직],1,상세표[야간 구분],"평일"))</f>
        <v/>
      </c>
      <c r="S473" s="4">
        <f>IF($W473="","",COUNTIFS(상세표[사번키],INDEX(합계표[사번키],$W473),상세표[반영월],대상월키,상세표[야간당직],1,상세표[야간 구분],"휴일"))</f>
        <v/>
      </c>
      <c r="T473">
        <f>IF($W473="","",COUNTIFS(상세표[사번키],INDEX(합계표[사번키],$W473),상세표[반영월],대상월키,상세표[야간당직],1,상세표[야간 구분],"평일",상세표[반영 기관],"서울병원"))</f>
        <v/>
      </c>
      <c r="U473">
        <f>IF($W473="","",COUNTIFS(상세표[사번키],INDEX(합계표[사번키],$W473),상세표[반영월],대상월키,상세표[야간당직],1,상세표[야간 구분],"휴일",상세표[반영 기관],"서울병원"))</f>
        <v/>
      </c>
      <c r="V473">
        <f>IF($W473="","",IF(ISNUMBER(MATCH(INDEX(합계표[사번키],$W473)&amp;"|"&amp;대상월키,월별근무지표[키],0)),"직접 입력",IF($K473="—","—","기관명단")))</f>
        <v/>
      </c>
      <c r="W473">
        <f>IFERROR(MATCH(468,합계표[판정순번],0),"")</f>
        <v/>
      </c>
    </row>
    <row r="474">
      <c r="A474">
        <f>IF($W474="","",INDEX(합계표[사번],$W474)&amp;"")</f>
        <v/>
      </c>
      <c r="B474">
        <f>IF($W474="","",INDEX(합계표[성명],$W474)&amp;"")</f>
        <v/>
      </c>
      <c r="C474">
        <f>IF($W474="","",INDEX(합계표[부서],$W474)&amp;"")</f>
        <v/>
      </c>
      <c r="D474">
        <f>IF($W474="","",INDEX(합계표[직위(통합)],$W474)&amp;"")</f>
        <v/>
      </c>
      <c r="E474">
        <f>IF($W474="","",SUMIFS(합계표[시스템 합계],합계표[사번키],INDEX(합계표[사번키],$W474)))</f>
        <v/>
      </c>
      <c r="F474">
        <f>IF($W474="","",SUMIFS(상세표[기록 시간외],상세표[사번키],INDEX(합계표[사번키],$W474),상세표[기록월],대상월키))</f>
        <v/>
      </c>
      <c r="G474">
        <f>IF($W474="","",IF(ABS($E474-$F474)&lt;0.01,"일치","불일치(차이 "&amp;TEXT($F474-$E474,"0.00")&amp;")"))</f>
        <v/>
      </c>
      <c r="H474">
        <f>IF($W474="","",SUMIFS(상세표[기록 시간외],상세표[사번키],INDEX(합계표[사번키],$W474),상세표[기록월],대상월키,상세표[반영월],"&lt;&gt;"&amp;대상월키))</f>
        <v/>
      </c>
      <c r="I474">
        <f>IF($W474="","",SUMIFS(상세표[기록 시간외],상세표[사번키],INDEX(합계표[사번키],$W474),상세표[기록월],"&lt;&gt;"&amp;대상월키,상세표[반영월],대상월키))</f>
        <v/>
      </c>
      <c r="J474">
        <f>IF($W474="","",SUMIFS(상세표[기록 시간외],상세표[사번키],INDEX(합계표[사번키],$W474),상세표[반영월],대상월키))</f>
        <v/>
      </c>
      <c r="K474">
        <f>IF($W474="","",IFERROR(INDEX(월별근무지표[적용 급여병원],MATCH(INDEX(합계표[사번키],$W474)&amp;"|"&amp;대상월키,월별근무지표[키],0))&amp;"",IF(COUNTIF(기관표[사번키],INDEX(합계표[사번키],$W474))+COUNTIF(월별근무지표[사번키],INDEX(합계표[사번키],$W474))&gt;0,IFERROR(INDEX(기관표[급여지급병원(기준월)],MATCH(INDEX(합계표[사번키],$W474)&amp;"|"&amp;대상월키,기관표[키],0))&amp;"","—"),"—")))</f>
        <v/>
      </c>
      <c r="L474">
        <f>IF($W474="","",IF(NOT(COUNTIF(기관표[사번키],INDEX(합계표[사번키],$W474))+COUNTIF(월별근무지표[사번키],INDEX(합계표[사번키],$W474))&gt;0),"기관명단에 없음(다른 병원으로 발송)",IF($K474="—","대상월 기관명단 없음(추가 필요)",IF($K474="서울병원","해당","비해당"))))</f>
        <v/>
      </c>
      <c r="M474">
        <f>IF($W474="","",SUMIFS(상세표[06~07시],상세표[사번키],INDEX(합계표[사번키],$W474),상세표[반영월],대상월키,상세표[반영 기관],"서울병원"))</f>
        <v/>
      </c>
      <c r="N474">
        <f>IF($W474="","",SUMIFS(상세표[07~18시],상세표[사번키],INDEX(합계표[사번키],$W474),상세표[반영월],대상월키,상세표[반영 기관],"서울병원"))</f>
        <v/>
      </c>
      <c r="O474">
        <f>IF($W474="","",SUMIFS(상세표[18~22시],상세표[사번키],INDEX(합계표[사번키],$W474),상세표[반영월],대상월키,상세표[반영 기관],"서울병원"))</f>
        <v/>
      </c>
      <c r="P474">
        <f>IF($W474="","",SUMIFS(상세표[22~06시],상세표[사번키],INDEX(합계표[사번키],$W474),상세표[반영월],대상월키,상세표[반영 기관],"서울병원"))</f>
        <v/>
      </c>
      <c r="Q474">
        <f>IF($W474="","",SUM($M474:$P474))</f>
        <v/>
      </c>
      <c r="R474">
        <f>IF($W474="","",COUNTIFS(상세표[사번키],INDEX(합계표[사번키],$W474),상세표[반영월],대상월키,상세표[야간당직],1,상세표[야간 구분],"평일"))</f>
        <v/>
      </c>
      <c r="S474" s="4">
        <f>IF($W474="","",COUNTIFS(상세표[사번키],INDEX(합계표[사번키],$W474),상세표[반영월],대상월키,상세표[야간당직],1,상세표[야간 구분],"휴일"))</f>
        <v/>
      </c>
      <c r="T474">
        <f>IF($W474="","",COUNTIFS(상세표[사번키],INDEX(합계표[사번키],$W474),상세표[반영월],대상월키,상세표[야간당직],1,상세표[야간 구분],"평일",상세표[반영 기관],"서울병원"))</f>
        <v/>
      </c>
      <c r="U474">
        <f>IF($W474="","",COUNTIFS(상세표[사번키],INDEX(합계표[사번키],$W474),상세표[반영월],대상월키,상세표[야간당직],1,상세표[야간 구분],"휴일",상세표[반영 기관],"서울병원"))</f>
        <v/>
      </c>
      <c r="V474">
        <f>IF($W474="","",IF(ISNUMBER(MATCH(INDEX(합계표[사번키],$W474)&amp;"|"&amp;대상월키,월별근무지표[키],0)),"직접 입력",IF($K474="—","—","기관명단")))</f>
        <v/>
      </c>
      <c r="W474">
        <f>IFERROR(MATCH(469,합계표[판정순번],0),"")</f>
        <v/>
      </c>
    </row>
    <row r="475">
      <c r="A475">
        <f>IF($W475="","",INDEX(합계표[사번],$W475)&amp;"")</f>
        <v/>
      </c>
      <c r="B475">
        <f>IF($W475="","",INDEX(합계표[성명],$W475)&amp;"")</f>
        <v/>
      </c>
      <c r="C475">
        <f>IF($W475="","",INDEX(합계표[부서],$W475)&amp;"")</f>
        <v/>
      </c>
      <c r="D475">
        <f>IF($W475="","",INDEX(합계표[직위(통합)],$W475)&amp;"")</f>
        <v/>
      </c>
      <c r="E475">
        <f>IF($W475="","",SUMIFS(합계표[시스템 합계],합계표[사번키],INDEX(합계표[사번키],$W475)))</f>
        <v/>
      </c>
      <c r="F475">
        <f>IF($W475="","",SUMIFS(상세표[기록 시간외],상세표[사번키],INDEX(합계표[사번키],$W475),상세표[기록월],대상월키))</f>
        <v/>
      </c>
      <c r="G475">
        <f>IF($W475="","",IF(ABS($E475-$F475)&lt;0.01,"일치","불일치(차이 "&amp;TEXT($F475-$E475,"0.00")&amp;")"))</f>
        <v/>
      </c>
      <c r="H475">
        <f>IF($W475="","",SUMIFS(상세표[기록 시간외],상세표[사번키],INDEX(합계표[사번키],$W475),상세표[기록월],대상월키,상세표[반영월],"&lt;&gt;"&amp;대상월키))</f>
        <v/>
      </c>
      <c r="I475">
        <f>IF($W475="","",SUMIFS(상세표[기록 시간외],상세표[사번키],INDEX(합계표[사번키],$W475),상세표[기록월],"&lt;&gt;"&amp;대상월키,상세표[반영월],대상월키))</f>
        <v/>
      </c>
      <c r="J475">
        <f>IF($W475="","",SUMIFS(상세표[기록 시간외],상세표[사번키],INDEX(합계표[사번키],$W475),상세표[반영월],대상월키))</f>
        <v/>
      </c>
      <c r="K475">
        <f>IF($W475="","",IFERROR(INDEX(월별근무지표[적용 급여병원],MATCH(INDEX(합계표[사번키],$W475)&amp;"|"&amp;대상월키,월별근무지표[키],0))&amp;"",IF(COUNTIF(기관표[사번키],INDEX(합계표[사번키],$W475))+COUNTIF(월별근무지표[사번키],INDEX(합계표[사번키],$W475))&gt;0,IFERROR(INDEX(기관표[급여지급병원(기준월)],MATCH(INDEX(합계표[사번키],$W475)&amp;"|"&amp;대상월키,기관표[키],0))&amp;"","—"),"—")))</f>
        <v/>
      </c>
      <c r="L475">
        <f>IF($W475="","",IF(NOT(COUNTIF(기관표[사번키],INDEX(합계표[사번키],$W475))+COUNTIF(월별근무지표[사번키],INDEX(합계표[사번키],$W475))&gt;0),"기관명단에 없음(다른 병원으로 발송)",IF($K475="—","대상월 기관명단 없음(추가 필요)",IF($K475="서울병원","해당","비해당"))))</f>
        <v/>
      </c>
      <c r="M475">
        <f>IF($W475="","",SUMIFS(상세표[06~07시],상세표[사번키],INDEX(합계표[사번키],$W475),상세표[반영월],대상월키,상세표[반영 기관],"서울병원"))</f>
        <v/>
      </c>
      <c r="N475">
        <f>IF($W475="","",SUMIFS(상세표[07~18시],상세표[사번키],INDEX(합계표[사번키],$W475),상세표[반영월],대상월키,상세표[반영 기관],"서울병원"))</f>
        <v/>
      </c>
      <c r="O475">
        <f>IF($W475="","",SUMIFS(상세표[18~22시],상세표[사번키],INDEX(합계표[사번키],$W475),상세표[반영월],대상월키,상세표[반영 기관],"서울병원"))</f>
        <v/>
      </c>
      <c r="P475">
        <f>IF($W475="","",SUMIFS(상세표[22~06시],상세표[사번키],INDEX(합계표[사번키],$W475),상세표[반영월],대상월키,상세표[반영 기관],"서울병원"))</f>
        <v/>
      </c>
      <c r="Q475">
        <f>IF($W475="","",SUM($M475:$P475))</f>
        <v/>
      </c>
      <c r="R475">
        <f>IF($W475="","",COUNTIFS(상세표[사번키],INDEX(합계표[사번키],$W475),상세표[반영월],대상월키,상세표[야간당직],1,상세표[야간 구분],"평일"))</f>
        <v/>
      </c>
      <c r="S475" s="4">
        <f>IF($W475="","",COUNTIFS(상세표[사번키],INDEX(합계표[사번키],$W475),상세표[반영월],대상월키,상세표[야간당직],1,상세표[야간 구분],"휴일"))</f>
        <v/>
      </c>
      <c r="T475">
        <f>IF($W475="","",COUNTIFS(상세표[사번키],INDEX(합계표[사번키],$W475),상세표[반영월],대상월키,상세표[야간당직],1,상세표[야간 구분],"평일",상세표[반영 기관],"서울병원"))</f>
        <v/>
      </c>
      <c r="U475">
        <f>IF($W475="","",COUNTIFS(상세표[사번키],INDEX(합계표[사번키],$W475),상세표[반영월],대상월키,상세표[야간당직],1,상세표[야간 구분],"휴일",상세표[반영 기관],"서울병원"))</f>
        <v/>
      </c>
      <c r="V475">
        <f>IF($W475="","",IF(ISNUMBER(MATCH(INDEX(합계표[사번키],$W475)&amp;"|"&amp;대상월키,월별근무지표[키],0)),"직접 입력",IF($K475="—","—","기관명단")))</f>
        <v/>
      </c>
      <c r="W475">
        <f>IFERROR(MATCH(470,합계표[판정순번],0),"")</f>
        <v/>
      </c>
    </row>
    <row r="476">
      <c r="A476">
        <f>IF($W476="","",INDEX(합계표[사번],$W476)&amp;"")</f>
        <v/>
      </c>
      <c r="B476">
        <f>IF($W476="","",INDEX(합계표[성명],$W476)&amp;"")</f>
        <v/>
      </c>
      <c r="C476">
        <f>IF($W476="","",INDEX(합계표[부서],$W476)&amp;"")</f>
        <v/>
      </c>
      <c r="D476">
        <f>IF($W476="","",INDEX(합계표[직위(통합)],$W476)&amp;"")</f>
        <v/>
      </c>
      <c r="E476">
        <f>IF($W476="","",SUMIFS(합계표[시스템 합계],합계표[사번키],INDEX(합계표[사번키],$W476)))</f>
        <v/>
      </c>
      <c r="F476">
        <f>IF($W476="","",SUMIFS(상세표[기록 시간외],상세표[사번키],INDEX(합계표[사번키],$W476),상세표[기록월],대상월키))</f>
        <v/>
      </c>
      <c r="G476">
        <f>IF($W476="","",IF(ABS($E476-$F476)&lt;0.01,"일치","불일치(차이 "&amp;TEXT($F476-$E476,"0.00")&amp;")"))</f>
        <v/>
      </c>
      <c r="H476">
        <f>IF($W476="","",SUMIFS(상세표[기록 시간외],상세표[사번키],INDEX(합계표[사번키],$W476),상세표[기록월],대상월키,상세표[반영월],"&lt;&gt;"&amp;대상월키))</f>
        <v/>
      </c>
      <c r="I476">
        <f>IF($W476="","",SUMIFS(상세표[기록 시간외],상세표[사번키],INDEX(합계표[사번키],$W476),상세표[기록월],"&lt;&gt;"&amp;대상월키,상세표[반영월],대상월키))</f>
        <v/>
      </c>
      <c r="J476">
        <f>IF($W476="","",SUMIFS(상세표[기록 시간외],상세표[사번키],INDEX(합계표[사번키],$W476),상세표[반영월],대상월키))</f>
        <v/>
      </c>
      <c r="K476">
        <f>IF($W476="","",IFERROR(INDEX(월별근무지표[적용 급여병원],MATCH(INDEX(합계표[사번키],$W476)&amp;"|"&amp;대상월키,월별근무지표[키],0))&amp;"",IF(COUNTIF(기관표[사번키],INDEX(합계표[사번키],$W476))+COUNTIF(월별근무지표[사번키],INDEX(합계표[사번키],$W476))&gt;0,IFERROR(INDEX(기관표[급여지급병원(기준월)],MATCH(INDEX(합계표[사번키],$W476)&amp;"|"&amp;대상월키,기관표[키],0))&amp;"","—"),"—")))</f>
        <v/>
      </c>
      <c r="L476">
        <f>IF($W476="","",IF(NOT(COUNTIF(기관표[사번키],INDEX(합계표[사번키],$W476))+COUNTIF(월별근무지표[사번키],INDEX(합계표[사번키],$W476))&gt;0),"기관명단에 없음(다른 병원으로 발송)",IF($K476="—","대상월 기관명단 없음(추가 필요)",IF($K476="서울병원","해당","비해당"))))</f>
        <v/>
      </c>
      <c r="M476">
        <f>IF($W476="","",SUMIFS(상세표[06~07시],상세표[사번키],INDEX(합계표[사번키],$W476),상세표[반영월],대상월키,상세표[반영 기관],"서울병원"))</f>
        <v/>
      </c>
      <c r="N476">
        <f>IF($W476="","",SUMIFS(상세표[07~18시],상세표[사번키],INDEX(합계표[사번키],$W476),상세표[반영월],대상월키,상세표[반영 기관],"서울병원"))</f>
        <v/>
      </c>
      <c r="O476">
        <f>IF($W476="","",SUMIFS(상세표[18~22시],상세표[사번키],INDEX(합계표[사번키],$W476),상세표[반영월],대상월키,상세표[반영 기관],"서울병원"))</f>
        <v/>
      </c>
      <c r="P476">
        <f>IF($W476="","",SUMIFS(상세표[22~06시],상세표[사번키],INDEX(합계표[사번키],$W476),상세표[반영월],대상월키,상세표[반영 기관],"서울병원"))</f>
        <v/>
      </c>
      <c r="Q476">
        <f>IF($W476="","",SUM($M476:$P476))</f>
        <v/>
      </c>
      <c r="R476">
        <f>IF($W476="","",COUNTIFS(상세표[사번키],INDEX(합계표[사번키],$W476),상세표[반영월],대상월키,상세표[야간당직],1,상세표[야간 구분],"평일"))</f>
        <v/>
      </c>
      <c r="S476" s="4">
        <f>IF($W476="","",COUNTIFS(상세표[사번키],INDEX(합계표[사번키],$W476),상세표[반영월],대상월키,상세표[야간당직],1,상세표[야간 구분],"휴일"))</f>
        <v/>
      </c>
      <c r="T476">
        <f>IF($W476="","",COUNTIFS(상세표[사번키],INDEX(합계표[사번키],$W476),상세표[반영월],대상월키,상세표[야간당직],1,상세표[야간 구분],"평일",상세표[반영 기관],"서울병원"))</f>
        <v/>
      </c>
      <c r="U476">
        <f>IF($W476="","",COUNTIFS(상세표[사번키],INDEX(합계표[사번키],$W476),상세표[반영월],대상월키,상세표[야간당직],1,상세표[야간 구분],"휴일",상세표[반영 기관],"서울병원"))</f>
        <v/>
      </c>
      <c r="V476">
        <f>IF($W476="","",IF(ISNUMBER(MATCH(INDEX(합계표[사번키],$W476)&amp;"|"&amp;대상월키,월별근무지표[키],0)),"직접 입력",IF($K476="—","—","기관명단")))</f>
        <v/>
      </c>
      <c r="W476">
        <f>IFERROR(MATCH(471,합계표[판정순번],0),"")</f>
        <v/>
      </c>
    </row>
    <row r="477">
      <c r="A477">
        <f>IF($W477="","",INDEX(합계표[사번],$W477)&amp;"")</f>
        <v/>
      </c>
      <c r="B477">
        <f>IF($W477="","",INDEX(합계표[성명],$W477)&amp;"")</f>
        <v/>
      </c>
      <c r="C477">
        <f>IF($W477="","",INDEX(합계표[부서],$W477)&amp;"")</f>
        <v/>
      </c>
      <c r="D477">
        <f>IF($W477="","",INDEX(합계표[직위(통합)],$W477)&amp;"")</f>
        <v/>
      </c>
      <c r="E477">
        <f>IF($W477="","",SUMIFS(합계표[시스템 합계],합계표[사번키],INDEX(합계표[사번키],$W477)))</f>
        <v/>
      </c>
      <c r="F477">
        <f>IF($W477="","",SUMIFS(상세표[기록 시간외],상세표[사번키],INDEX(합계표[사번키],$W477),상세표[기록월],대상월키))</f>
        <v/>
      </c>
      <c r="G477">
        <f>IF($W477="","",IF(ABS($E477-$F477)&lt;0.01,"일치","불일치(차이 "&amp;TEXT($F477-$E477,"0.00")&amp;")"))</f>
        <v/>
      </c>
      <c r="H477">
        <f>IF($W477="","",SUMIFS(상세표[기록 시간외],상세표[사번키],INDEX(합계표[사번키],$W477),상세표[기록월],대상월키,상세표[반영월],"&lt;&gt;"&amp;대상월키))</f>
        <v/>
      </c>
      <c r="I477">
        <f>IF($W477="","",SUMIFS(상세표[기록 시간외],상세표[사번키],INDEX(합계표[사번키],$W477),상세표[기록월],"&lt;&gt;"&amp;대상월키,상세표[반영월],대상월키))</f>
        <v/>
      </c>
      <c r="J477">
        <f>IF($W477="","",SUMIFS(상세표[기록 시간외],상세표[사번키],INDEX(합계표[사번키],$W477),상세표[반영월],대상월키))</f>
        <v/>
      </c>
      <c r="K477">
        <f>IF($W477="","",IFERROR(INDEX(월별근무지표[적용 급여병원],MATCH(INDEX(합계표[사번키],$W477)&amp;"|"&amp;대상월키,월별근무지표[키],0))&amp;"",IF(COUNTIF(기관표[사번키],INDEX(합계표[사번키],$W477))+COUNTIF(월별근무지표[사번키],INDEX(합계표[사번키],$W477))&gt;0,IFERROR(INDEX(기관표[급여지급병원(기준월)],MATCH(INDEX(합계표[사번키],$W477)&amp;"|"&amp;대상월키,기관표[키],0))&amp;"","—"),"—")))</f>
        <v/>
      </c>
      <c r="L477">
        <f>IF($W477="","",IF(NOT(COUNTIF(기관표[사번키],INDEX(합계표[사번키],$W477))+COUNTIF(월별근무지표[사번키],INDEX(합계표[사번키],$W477))&gt;0),"기관명단에 없음(다른 병원으로 발송)",IF($K477="—","대상월 기관명단 없음(추가 필요)",IF($K477="서울병원","해당","비해당"))))</f>
        <v/>
      </c>
      <c r="M477">
        <f>IF($W477="","",SUMIFS(상세표[06~07시],상세표[사번키],INDEX(합계표[사번키],$W477),상세표[반영월],대상월키,상세표[반영 기관],"서울병원"))</f>
        <v/>
      </c>
      <c r="N477">
        <f>IF($W477="","",SUMIFS(상세표[07~18시],상세표[사번키],INDEX(합계표[사번키],$W477),상세표[반영월],대상월키,상세표[반영 기관],"서울병원"))</f>
        <v/>
      </c>
      <c r="O477">
        <f>IF($W477="","",SUMIFS(상세표[18~22시],상세표[사번키],INDEX(합계표[사번키],$W477),상세표[반영월],대상월키,상세표[반영 기관],"서울병원"))</f>
        <v/>
      </c>
      <c r="P477">
        <f>IF($W477="","",SUMIFS(상세표[22~06시],상세표[사번키],INDEX(합계표[사번키],$W477),상세표[반영월],대상월키,상세표[반영 기관],"서울병원"))</f>
        <v/>
      </c>
      <c r="Q477">
        <f>IF($W477="","",SUM($M477:$P477))</f>
        <v/>
      </c>
      <c r="R477">
        <f>IF($W477="","",COUNTIFS(상세표[사번키],INDEX(합계표[사번키],$W477),상세표[반영월],대상월키,상세표[야간당직],1,상세표[야간 구분],"평일"))</f>
        <v/>
      </c>
      <c r="S477" s="4">
        <f>IF($W477="","",COUNTIFS(상세표[사번키],INDEX(합계표[사번키],$W477),상세표[반영월],대상월키,상세표[야간당직],1,상세표[야간 구분],"휴일"))</f>
        <v/>
      </c>
      <c r="T477">
        <f>IF($W477="","",COUNTIFS(상세표[사번키],INDEX(합계표[사번키],$W477),상세표[반영월],대상월키,상세표[야간당직],1,상세표[야간 구분],"평일",상세표[반영 기관],"서울병원"))</f>
        <v/>
      </c>
      <c r="U477">
        <f>IF($W477="","",COUNTIFS(상세표[사번키],INDEX(합계표[사번키],$W477),상세표[반영월],대상월키,상세표[야간당직],1,상세표[야간 구분],"휴일",상세표[반영 기관],"서울병원"))</f>
        <v/>
      </c>
      <c r="V477">
        <f>IF($W477="","",IF(ISNUMBER(MATCH(INDEX(합계표[사번키],$W477)&amp;"|"&amp;대상월키,월별근무지표[키],0)),"직접 입력",IF($K477="—","—","기관명단")))</f>
        <v/>
      </c>
      <c r="W477">
        <f>IFERROR(MATCH(472,합계표[판정순번],0),"")</f>
        <v/>
      </c>
    </row>
    <row r="478">
      <c r="A478">
        <f>IF($W478="","",INDEX(합계표[사번],$W478)&amp;"")</f>
        <v/>
      </c>
      <c r="B478">
        <f>IF($W478="","",INDEX(합계표[성명],$W478)&amp;"")</f>
        <v/>
      </c>
      <c r="C478">
        <f>IF($W478="","",INDEX(합계표[부서],$W478)&amp;"")</f>
        <v/>
      </c>
      <c r="D478">
        <f>IF($W478="","",INDEX(합계표[직위(통합)],$W478)&amp;"")</f>
        <v/>
      </c>
      <c r="E478">
        <f>IF($W478="","",SUMIFS(합계표[시스템 합계],합계표[사번키],INDEX(합계표[사번키],$W478)))</f>
        <v/>
      </c>
      <c r="F478">
        <f>IF($W478="","",SUMIFS(상세표[기록 시간외],상세표[사번키],INDEX(합계표[사번키],$W478),상세표[기록월],대상월키))</f>
        <v/>
      </c>
      <c r="G478">
        <f>IF($W478="","",IF(ABS($E478-$F478)&lt;0.01,"일치","불일치(차이 "&amp;TEXT($F478-$E478,"0.00")&amp;")"))</f>
        <v/>
      </c>
      <c r="H478">
        <f>IF($W478="","",SUMIFS(상세표[기록 시간외],상세표[사번키],INDEX(합계표[사번키],$W478),상세표[기록월],대상월키,상세표[반영월],"&lt;&gt;"&amp;대상월키))</f>
        <v/>
      </c>
      <c r="I478">
        <f>IF($W478="","",SUMIFS(상세표[기록 시간외],상세표[사번키],INDEX(합계표[사번키],$W478),상세표[기록월],"&lt;&gt;"&amp;대상월키,상세표[반영월],대상월키))</f>
        <v/>
      </c>
      <c r="J478">
        <f>IF($W478="","",SUMIFS(상세표[기록 시간외],상세표[사번키],INDEX(합계표[사번키],$W478),상세표[반영월],대상월키))</f>
        <v/>
      </c>
      <c r="K478">
        <f>IF($W478="","",IFERROR(INDEX(월별근무지표[적용 급여병원],MATCH(INDEX(합계표[사번키],$W478)&amp;"|"&amp;대상월키,월별근무지표[키],0))&amp;"",IF(COUNTIF(기관표[사번키],INDEX(합계표[사번키],$W478))+COUNTIF(월별근무지표[사번키],INDEX(합계표[사번키],$W478))&gt;0,IFERROR(INDEX(기관표[급여지급병원(기준월)],MATCH(INDEX(합계표[사번키],$W478)&amp;"|"&amp;대상월키,기관표[키],0))&amp;"","—"),"—")))</f>
        <v/>
      </c>
      <c r="L478">
        <f>IF($W478="","",IF(NOT(COUNTIF(기관표[사번키],INDEX(합계표[사번키],$W478))+COUNTIF(월별근무지표[사번키],INDEX(합계표[사번키],$W478))&gt;0),"기관명단에 없음(다른 병원으로 발송)",IF($K478="—","대상월 기관명단 없음(추가 필요)",IF($K478="서울병원","해당","비해당"))))</f>
        <v/>
      </c>
      <c r="M478">
        <f>IF($W478="","",SUMIFS(상세표[06~07시],상세표[사번키],INDEX(합계표[사번키],$W478),상세표[반영월],대상월키,상세표[반영 기관],"서울병원"))</f>
        <v/>
      </c>
      <c r="N478">
        <f>IF($W478="","",SUMIFS(상세표[07~18시],상세표[사번키],INDEX(합계표[사번키],$W478),상세표[반영월],대상월키,상세표[반영 기관],"서울병원"))</f>
        <v/>
      </c>
      <c r="O478">
        <f>IF($W478="","",SUMIFS(상세표[18~22시],상세표[사번키],INDEX(합계표[사번키],$W478),상세표[반영월],대상월키,상세표[반영 기관],"서울병원"))</f>
        <v/>
      </c>
      <c r="P478">
        <f>IF($W478="","",SUMIFS(상세표[22~06시],상세표[사번키],INDEX(합계표[사번키],$W478),상세표[반영월],대상월키,상세표[반영 기관],"서울병원"))</f>
        <v/>
      </c>
      <c r="Q478">
        <f>IF($W478="","",SUM($M478:$P478))</f>
        <v/>
      </c>
      <c r="R478">
        <f>IF($W478="","",COUNTIFS(상세표[사번키],INDEX(합계표[사번키],$W478),상세표[반영월],대상월키,상세표[야간당직],1,상세표[야간 구분],"평일"))</f>
        <v/>
      </c>
      <c r="S478" s="4">
        <f>IF($W478="","",COUNTIFS(상세표[사번키],INDEX(합계표[사번키],$W478),상세표[반영월],대상월키,상세표[야간당직],1,상세표[야간 구분],"휴일"))</f>
        <v/>
      </c>
      <c r="T478">
        <f>IF($W478="","",COUNTIFS(상세표[사번키],INDEX(합계표[사번키],$W478),상세표[반영월],대상월키,상세표[야간당직],1,상세표[야간 구분],"평일",상세표[반영 기관],"서울병원"))</f>
        <v/>
      </c>
      <c r="U478">
        <f>IF($W478="","",COUNTIFS(상세표[사번키],INDEX(합계표[사번키],$W478),상세표[반영월],대상월키,상세표[야간당직],1,상세표[야간 구분],"휴일",상세표[반영 기관],"서울병원"))</f>
        <v/>
      </c>
      <c r="V478">
        <f>IF($W478="","",IF(ISNUMBER(MATCH(INDEX(합계표[사번키],$W478)&amp;"|"&amp;대상월키,월별근무지표[키],0)),"직접 입력",IF($K478="—","—","기관명단")))</f>
        <v/>
      </c>
      <c r="W478">
        <f>IFERROR(MATCH(473,합계표[판정순번],0),"")</f>
        <v/>
      </c>
    </row>
    <row r="479">
      <c r="A479">
        <f>IF($W479="","",INDEX(합계표[사번],$W479)&amp;"")</f>
        <v/>
      </c>
      <c r="B479">
        <f>IF($W479="","",INDEX(합계표[성명],$W479)&amp;"")</f>
        <v/>
      </c>
      <c r="C479">
        <f>IF($W479="","",INDEX(합계표[부서],$W479)&amp;"")</f>
        <v/>
      </c>
      <c r="D479">
        <f>IF($W479="","",INDEX(합계표[직위(통합)],$W479)&amp;"")</f>
        <v/>
      </c>
      <c r="E479">
        <f>IF($W479="","",SUMIFS(합계표[시스템 합계],합계표[사번키],INDEX(합계표[사번키],$W479)))</f>
        <v/>
      </c>
      <c r="F479">
        <f>IF($W479="","",SUMIFS(상세표[기록 시간외],상세표[사번키],INDEX(합계표[사번키],$W479),상세표[기록월],대상월키))</f>
        <v/>
      </c>
      <c r="G479">
        <f>IF($W479="","",IF(ABS($E479-$F479)&lt;0.01,"일치","불일치(차이 "&amp;TEXT($F479-$E479,"0.00")&amp;")"))</f>
        <v/>
      </c>
      <c r="H479">
        <f>IF($W479="","",SUMIFS(상세표[기록 시간외],상세표[사번키],INDEX(합계표[사번키],$W479),상세표[기록월],대상월키,상세표[반영월],"&lt;&gt;"&amp;대상월키))</f>
        <v/>
      </c>
      <c r="I479">
        <f>IF($W479="","",SUMIFS(상세표[기록 시간외],상세표[사번키],INDEX(합계표[사번키],$W479),상세표[기록월],"&lt;&gt;"&amp;대상월키,상세표[반영월],대상월키))</f>
        <v/>
      </c>
      <c r="J479">
        <f>IF($W479="","",SUMIFS(상세표[기록 시간외],상세표[사번키],INDEX(합계표[사번키],$W479),상세표[반영월],대상월키))</f>
        <v/>
      </c>
      <c r="K479">
        <f>IF($W479="","",IFERROR(INDEX(월별근무지표[적용 급여병원],MATCH(INDEX(합계표[사번키],$W479)&amp;"|"&amp;대상월키,월별근무지표[키],0))&amp;"",IF(COUNTIF(기관표[사번키],INDEX(합계표[사번키],$W479))+COUNTIF(월별근무지표[사번키],INDEX(합계표[사번키],$W479))&gt;0,IFERROR(INDEX(기관표[급여지급병원(기준월)],MATCH(INDEX(합계표[사번키],$W479)&amp;"|"&amp;대상월키,기관표[키],0))&amp;"","—"),"—")))</f>
        <v/>
      </c>
      <c r="L479">
        <f>IF($W479="","",IF(NOT(COUNTIF(기관표[사번키],INDEX(합계표[사번키],$W479))+COUNTIF(월별근무지표[사번키],INDEX(합계표[사번키],$W479))&gt;0),"기관명단에 없음(다른 병원으로 발송)",IF($K479="—","대상월 기관명단 없음(추가 필요)",IF($K479="서울병원","해당","비해당"))))</f>
        <v/>
      </c>
      <c r="M479">
        <f>IF($W479="","",SUMIFS(상세표[06~07시],상세표[사번키],INDEX(합계표[사번키],$W479),상세표[반영월],대상월키,상세표[반영 기관],"서울병원"))</f>
        <v/>
      </c>
      <c r="N479">
        <f>IF($W479="","",SUMIFS(상세표[07~18시],상세표[사번키],INDEX(합계표[사번키],$W479),상세표[반영월],대상월키,상세표[반영 기관],"서울병원"))</f>
        <v/>
      </c>
      <c r="O479">
        <f>IF($W479="","",SUMIFS(상세표[18~22시],상세표[사번키],INDEX(합계표[사번키],$W479),상세표[반영월],대상월키,상세표[반영 기관],"서울병원"))</f>
        <v/>
      </c>
      <c r="P479">
        <f>IF($W479="","",SUMIFS(상세표[22~06시],상세표[사번키],INDEX(합계표[사번키],$W479),상세표[반영월],대상월키,상세표[반영 기관],"서울병원"))</f>
        <v/>
      </c>
      <c r="Q479">
        <f>IF($W479="","",SUM($M479:$P479))</f>
        <v/>
      </c>
      <c r="R479">
        <f>IF($W479="","",COUNTIFS(상세표[사번키],INDEX(합계표[사번키],$W479),상세표[반영월],대상월키,상세표[야간당직],1,상세표[야간 구분],"평일"))</f>
        <v/>
      </c>
      <c r="S479" s="4">
        <f>IF($W479="","",COUNTIFS(상세표[사번키],INDEX(합계표[사번키],$W479),상세표[반영월],대상월키,상세표[야간당직],1,상세표[야간 구분],"휴일"))</f>
        <v/>
      </c>
      <c r="T479">
        <f>IF($W479="","",COUNTIFS(상세표[사번키],INDEX(합계표[사번키],$W479),상세표[반영월],대상월키,상세표[야간당직],1,상세표[야간 구분],"평일",상세표[반영 기관],"서울병원"))</f>
        <v/>
      </c>
      <c r="U479">
        <f>IF($W479="","",COUNTIFS(상세표[사번키],INDEX(합계표[사번키],$W479),상세표[반영월],대상월키,상세표[야간당직],1,상세표[야간 구분],"휴일",상세표[반영 기관],"서울병원"))</f>
        <v/>
      </c>
      <c r="V479">
        <f>IF($W479="","",IF(ISNUMBER(MATCH(INDEX(합계표[사번키],$W479)&amp;"|"&amp;대상월키,월별근무지표[키],0)),"직접 입력",IF($K479="—","—","기관명단")))</f>
        <v/>
      </c>
      <c r="W479">
        <f>IFERROR(MATCH(474,합계표[판정순번],0),"")</f>
        <v/>
      </c>
    </row>
    <row r="480">
      <c r="A480">
        <f>IF($W480="","",INDEX(합계표[사번],$W480)&amp;"")</f>
        <v/>
      </c>
      <c r="B480">
        <f>IF($W480="","",INDEX(합계표[성명],$W480)&amp;"")</f>
        <v/>
      </c>
      <c r="C480">
        <f>IF($W480="","",INDEX(합계표[부서],$W480)&amp;"")</f>
        <v/>
      </c>
      <c r="D480">
        <f>IF($W480="","",INDEX(합계표[직위(통합)],$W480)&amp;"")</f>
        <v/>
      </c>
      <c r="E480">
        <f>IF($W480="","",SUMIFS(합계표[시스템 합계],합계표[사번키],INDEX(합계표[사번키],$W480)))</f>
        <v/>
      </c>
      <c r="F480">
        <f>IF($W480="","",SUMIFS(상세표[기록 시간외],상세표[사번키],INDEX(합계표[사번키],$W480),상세표[기록월],대상월키))</f>
        <v/>
      </c>
      <c r="G480">
        <f>IF($W480="","",IF(ABS($E480-$F480)&lt;0.01,"일치","불일치(차이 "&amp;TEXT($F480-$E480,"0.00")&amp;")"))</f>
        <v/>
      </c>
      <c r="H480">
        <f>IF($W480="","",SUMIFS(상세표[기록 시간외],상세표[사번키],INDEX(합계표[사번키],$W480),상세표[기록월],대상월키,상세표[반영월],"&lt;&gt;"&amp;대상월키))</f>
        <v/>
      </c>
      <c r="I480">
        <f>IF($W480="","",SUMIFS(상세표[기록 시간외],상세표[사번키],INDEX(합계표[사번키],$W480),상세표[기록월],"&lt;&gt;"&amp;대상월키,상세표[반영월],대상월키))</f>
        <v/>
      </c>
      <c r="J480">
        <f>IF($W480="","",SUMIFS(상세표[기록 시간외],상세표[사번키],INDEX(합계표[사번키],$W480),상세표[반영월],대상월키))</f>
        <v/>
      </c>
      <c r="K480">
        <f>IF($W480="","",IFERROR(INDEX(월별근무지표[적용 급여병원],MATCH(INDEX(합계표[사번키],$W480)&amp;"|"&amp;대상월키,월별근무지표[키],0))&amp;"",IF(COUNTIF(기관표[사번키],INDEX(합계표[사번키],$W480))+COUNTIF(월별근무지표[사번키],INDEX(합계표[사번키],$W480))&gt;0,IFERROR(INDEX(기관표[급여지급병원(기준월)],MATCH(INDEX(합계표[사번키],$W480)&amp;"|"&amp;대상월키,기관표[키],0))&amp;"","—"),"—")))</f>
        <v/>
      </c>
      <c r="L480">
        <f>IF($W480="","",IF(NOT(COUNTIF(기관표[사번키],INDEX(합계표[사번키],$W480))+COUNTIF(월별근무지표[사번키],INDEX(합계표[사번키],$W480))&gt;0),"기관명단에 없음(다른 병원으로 발송)",IF($K480="—","대상월 기관명단 없음(추가 필요)",IF($K480="서울병원","해당","비해당"))))</f>
        <v/>
      </c>
      <c r="M480">
        <f>IF($W480="","",SUMIFS(상세표[06~07시],상세표[사번키],INDEX(합계표[사번키],$W480),상세표[반영월],대상월키,상세표[반영 기관],"서울병원"))</f>
        <v/>
      </c>
      <c r="N480">
        <f>IF($W480="","",SUMIFS(상세표[07~18시],상세표[사번키],INDEX(합계표[사번키],$W480),상세표[반영월],대상월키,상세표[반영 기관],"서울병원"))</f>
        <v/>
      </c>
      <c r="O480">
        <f>IF($W480="","",SUMIFS(상세표[18~22시],상세표[사번키],INDEX(합계표[사번키],$W480),상세표[반영월],대상월키,상세표[반영 기관],"서울병원"))</f>
        <v/>
      </c>
      <c r="P480">
        <f>IF($W480="","",SUMIFS(상세표[22~06시],상세표[사번키],INDEX(합계표[사번키],$W480),상세표[반영월],대상월키,상세표[반영 기관],"서울병원"))</f>
        <v/>
      </c>
      <c r="Q480">
        <f>IF($W480="","",SUM($M480:$P480))</f>
        <v/>
      </c>
      <c r="R480">
        <f>IF($W480="","",COUNTIFS(상세표[사번키],INDEX(합계표[사번키],$W480),상세표[반영월],대상월키,상세표[야간당직],1,상세표[야간 구분],"평일"))</f>
        <v/>
      </c>
      <c r="S480" s="4">
        <f>IF($W480="","",COUNTIFS(상세표[사번키],INDEX(합계표[사번키],$W480),상세표[반영월],대상월키,상세표[야간당직],1,상세표[야간 구분],"휴일"))</f>
        <v/>
      </c>
      <c r="T480">
        <f>IF($W480="","",COUNTIFS(상세표[사번키],INDEX(합계표[사번키],$W480),상세표[반영월],대상월키,상세표[야간당직],1,상세표[야간 구분],"평일",상세표[반영 기관],"서울병원"))</f>
        <v/>
      </c>
      <c r="U480">
        <f>IF($W480="","",COUNTIFS(상세표[사번키],INDEX(합계표[사번키],$W480),상세표[반영월],대상월키,상세표[야간당직],1,상세표[야간 구분],"휴일",상세표[반영 기관],"서울병원"))</f>
        <v/>
      </c>
      <c r="V480">
        <f>IF($W480="","",IF(ISNUMBER(MATCH(INDEX(합계표[사번키],$W480)&amp;"|"&amp;대상월키,월별근무지표[키],0)),"직접 입력",IF($K480="—","—","기관명단")))</f>
        <v/>
      </c>
      <c r="W480">
        <f>IFERROR(MATCH(475,합계표[판정순번],0),"")</f>
        <v/>
      </c>
    </row>
    <row r="481">
      <c r="A481">
        <f>IF($W481="","",INDEX(합계표[사번],$W481)&amp;"")</f>
        <v/>
      </c>
      <c r="B481">
        <f>IF($W481="","",INDEX(합계표[성명],$W481)&amp;"")</f>
        <v/>
      </c>
      <c r="C481">
        <f>IF($W481="","",INDEX(합계표[부서],$W481)&amp;"")</f>
        <v/>
      </c>
      <c r="D481">
        <f>IF($W481="","",INDEX(합계표[직위(통합)],$W481)&amp;"")</f>
        <v/>
      </c>
      <c r="E481">
        <f>IF($W481="","",SUMIFS(합계표[시스템 합계],합계표[사번키],INDEX(합계표[사번키],$W481)))</f>
        <v/>
      </c>
      <c r="F481">
        <f>IF($W481="","",SUMIFS(상세표[기록 시간외],상세표[사번키],INDEX(합계표[사번키],$W481),상세표[기록월],대상월키))</f>
        <v/>
      </c>
      <c r="G481">
        <f>IF($W481="","",IF(ABS($E481-$F481)&lt;0.01,"일치","불일치(차이 "&amp;TEXT($F481-$E481,"0.00")&amp;")"))</f>
        <v/>
      </c>
      <c r="H481">
        <f>IF($W481="","",SUMIFS(상세표[기록 시간외],상세표[사번키],INDEX(합계표[사번키],$W481),상세표[기록월],대상월키,상세표[반영월],"&lt;&gt;"&amp;대상월키))</f>
        <v/>
      </c>
      <c r="I481">
        <f>IF($W481="","",SUMIFS(상세표[기록 시간외],상세표[사번키],INDEX(합계표[사번키],$W481),상세표[기록월],"&lt;&gt;"&amp;대상월키,상세표[반영월],대상월키))</f>
        <v/>
      </c>
      <c r="J481">
        <f>IF($W481="","",SUMIFS(상세표[기록 시간외],상세표[사번키],INDEX(합계표[사번키],$W481),상세표[반영월],대상월키))</f>
        <v/>
      </c>
      <c r="K481">
        <f>IF($W481="","",IFERROR(INDEX(월별근무지표[적용 급여병원],MATCH(INDEX(합계표[사번키],$W481)&amp;"|"&amp;대상월키,월별근무지표[키],0))&amp;"",IF(COUNTIF(기관표[사번키],INDEX(합계표[사번키],$W481))+COUNTIF(월별근무지표[사번키],INDEX(합계표[사번키],$W481))&gt;0,IFERROR(INDEX(기관표[급여지급병원(기준월)],MATCH(INDEX(합계표[사번키],$W481)&amp;"|"&amp;대상월키,기관표[키],0))&amp;"","—"),"—")))</f>
        <v/>
      </c>
      <c r="L481">
        <f>IF($W481="","",IF(NOT(COUNTIF(기관표[사번키],INDEX(합계표[사번키],$W481))+COUNTIF(월별근무지표[사번키],INDEX(합계표[사번키],$W481))&gt;0),"기관명단에 없음(다른 병원으로 발송)",IF($K481="—","대상월 기관명단 없음(추가 필요)",IF($K481="서울병원","해당","비해당"))))</f>
        <v/>
      </c>
      <c r="M481">
        <f>IF($W481="","",SUMIFS(상세표[06~07시],상세표[사번키],INDEX(합계표[사번키],$W481),상세표[반영월],대상월키,상세표[반영 기관],"서울병원"))</f>
        <v/>
      </c>
      <c r="N481">
        <f>IF($W481="","",SUMIFS(상세표[07~18시],상세표[사번키],INDEX(합계표[사번키],$W481),상세표[반영월],대상월키,상세표[반영 기관],"서울병원"))</f>
        <v/>
      </c>
      <c r="O481">
        <f>IF($W481="","",SUMIFS(상세표[18~22시],상세표[사번키],INDEX(합계표[사번키],$W481),상세표[반영월],대상월키,상세표[반영 기관],"서울병원"))</f>
        <v/>
      </c>
      <c r="P481">
        <f>IF($W481="","",SUMIFS(상세표[22~06시],상세표[사번키],INDEX(합계표[사번키],$W481),상세표[반영월],대상월키,상세표[반영 기관],"서울병원"))</f>
        <v/>
      </c>
      <c r="Q481">
        <f>IF($W481="","",SUM($M481:$P481))</f>
        <v/>
      </c>
      <c r="R481">
        <f>IF($W481="","",COUNTIFS(상세표[사번키],INDEX(합계표[사번키],$W481),상세표[반영월],대상월키,상세표[야간당직],1,상세표[야간 구분],"평일"))</f>
        <v/>
      </c>
      <c r="S481" s="4">
        <f>IF($W481="","",COUNTIFS(상세표[사번키],INDEX(합계표[사번키],$W481),상세표[반영월],대상월키,상세표[야간당직],1,상세표[야간 구분],"휴일"))</f>
        <v/>
      </c>
      <c r="T481">
        <f>IF($W481="","",COUNTIFS(상세표[사번키],INDEX(합계표[사번키],$W481),상세표[반영월],대상월키,상세표[야간당직],1,상세표[야간 구분],"평일",상세표[반영 기관],"서울병원"))</f>
        <v/>
      </c>
      <c r="U481">
        <f>IF($W481="","",COUNTIFS(상세표[사번키],INDEX(합계표[사번키],$W481),상세표[반영월],대상월키,상세표[야간당직],1,상세표[야간 구분],"휴일",상세표[반영 기관],"서울병원"))</f>
        <v/>
      </c>
      <c r="V481">
        <f>IF($W481="","",IF(ISNUMBER(MATCH(INDEX(합계표[사번키],$W481)&amp;"|"&amp;대상월키,월별근무지표[키],0)),"직접 입력",IF($K481="—","—","기관명단")))</f>
        <v/>
      </c>
      <c r="W481">
        <f>IFERROR(MATCH(476,합계표[판정순번],0),"")</f>
        <v/>
      </c>
    </row>
    <row r="482">
      <c r="A482">
        <f>IF($W482="","",INDEX(합계표[사번],$W482)&amp;"")</f>
        <v/>
      </c>
      <c r="B482">
        <f>IF($W482="","",INDEX(합계표[성명],$W482)&amp;"")</f>
        <v/>
      </c>
      <c r="C482">
        <f>IF($W482="","",INDEX(합계표[부서],$W482)&amp;"")</f>
        <v/>
      </c>
      <c r="D482">
        <f>IF($W482="","",INDEX(합계표[직위(통합)],$W482)&amp;"")</f>
        <v/>
      </c>
      <c r="E482">
        <f>IF($W482="","",SUMIFS(합계표[시스템 합계],합계표[사번키],INDEX(합계표[사번키],$W482)))</f>
        <v/>
      </c>
      <c r="F482">
        <f>IF($W482="","",SUMIFS(상세표[기록 시간외],상세표[사번키],INDEX(합계표[사번키],$W482),상세표[기록월],대상월키))</f>
        <v/>
      </c>
      <c r="G482">
        <f>IF($W482="","",IF(ABS($E482-$F482)&lt;0.01,"일치","불일치(차이 "&amp;TEXT($F482-$E482,"0.00")&amp;")"))</f>
        <v/>
      </c>
      <c r="H482">
        <f>IF($W482="","",SUMIFS(상세표[기록 시간외],상세표[사번키],INDEX(합계표[사번키],$W482),상세표[기록월],대상월키,상세표[반영월],"&lt;&gt;"&amp;대상월키))</f>
        <v/>
      </c>
      <c r="I482">
        <f>IF($W482="","",SUMIFS(상세표[기록 시간외],상세표[사번키],INDEX(합계표[사번키],$W482),상세표[기록월],"&lt;&gt;"&amp;대상월키,상세표[반영월],대상월키))</f>
        <v/>
      </c>
      <c r="J482">
        <f>IF($W482="","",SUMIFS(상세표[기록 시간외],상세표[사번키],INDEX(합계표[사번키],$W482),상세표[반영월],대상월키))</f>
        <v/>
      </c>
      <c r="K482">
        <f>IF($W482="","",IFERROR(INDEX(월별근무지표[적용 급여병원],MATCH(INDEX(합계표[사번키],$W482)&amp;"|"&amp;대상월키,월별근무지표[키],0))&amp;"",IF(COUNTIF(기관표[사번키],INDEX(합계표[사번키],$W482))+COUNTIF(월별근무지표[사번키],INDEX(합계표[사번키],$W482))&gt;0,IFERROR(INDEX(기관표[급여지급병원(기준월)],MATCH(INDEX(합계표[사번키],$W482)&amp;"|"&amp;대상월키,기관표[키],0))&amp;"","—"),"—")))</f>
        <v/>
      </c>
      <c r="L482">
        <f>IF($W482="","",IF(NOT(COUNTIF(기관표[사번키],INDEX(합계표[사번키],$W482))+COUNTIF(월별근무지표[사번키],INDEX(합계표[사번키],$W482))&gt;0),"기관명단에 없음(다른 병원으로 발송)",IF($K482="—","대상월 기관명단 없음(추가 필요)",IF($K482="서울병원","해당","비해당"))))</f>
        <v/>
      </c>
      <c r="M482">
        <f>IF($W482="","",SUMIFS(상세표[06~07시],상세표[사번키],INDEX(합계표[사번키],$W482),상세표[반영월],대상월키,상세표[반영 기관],"서울병원"))</f>
        <v/>
      </c>
      <c r="N482">
        <f>IF($W482="","",SUMIFS(상세표[07~18시],상세표[사번키],INDEX(합계표[사번키],$W482),상세표[반영월],대상월키,상세표[반영 기관],"서울병원"))</f>
        <v/>
      </c>
      <c r="O482">
        <f>IF($W482="","",SUMIFS(상세표[18~22시],상세표[사번키],INDEX(합계표[사번키],$W482),상세표[반영월],대상월키,상세표[반영 기관],"서울병원"))</f>
        <v/>
      </c>
      <c r="P482">
        <f>IF($W482="","",SUMIFS(상세표[22~06시],상세표[사번키],INDEX(합계표[사번키],$W482),상세표[반영월],대상월키,상세표[반영 기관],"서울병원"))</f>
        <v/>
      </c>
      <c r="Q482">
        <f>IF($W482="","",SUM($M482:$P482))</f>
        <v/>
      </c>
      <c r="R482">
        <f>IF($W482="","",COUNTIFS(상세표[사번키],INDEX(합계표[사번키],$W482),상세표[반영월],대상월키,상세표[야간당직],1,상세표[야간 구분],"평일"))</f>
        <v/>
      </c>
      <c r="S482" s="4">
        <f>IF($W482="","",COUNTIFS(상세표[사번키],INDEX(합계표[사번키],$W482),상세표[반영월],대상월키,상세표[야간당직],1,상세표[야간 구분],"휴일"))</f>
        <v/>
      </c>
      <c r="T482">
        <f>IF($W482="","",COUNTIFS(상세표[사번키],INDEX(합계표[사번키],$W482),상세표[반영월],대상월키,상세표[야간당직],1,상세표[야간 구분],"평일",상세표[반영 기관],"서울병원"))</f>
        <v/>
      </c>
      <c r="U482">
        <f>IF($W482="","",COUNTIFS(상세표[사번키],INDEX(합계표[사번키],$W482),상세표[반영월],대상월키,상세표[야간당직],1,상세표[야간 구분],"휴일",상세표[반영 기관],"서울병원"))</f>
        <v/>
      </c>
      <c r="V482">
        <f>IF($W482="","",IF(ISNUMBER(MATCH(INDEX(합계표[사번키],$W482)&amp;"|"&amp;대상월키,월별근무지표[키],0)),"직접 입력",IF($K482="—","—","기관명단")))</f>
        <v/>
      </c>
      <c r="W482">
        <f>IFERROR(MATCH(477,합계표[판정순번],0),"")</f>
        <v/>
      </c>
    </row>
    <row r="483">
      <c r="A483">
        <f>IF($W483="","",INDEX(합계표[사번],$W483)&amp;"")</f>
        <v/>
      </c>
      <c r="B483">
        <f>IF($W483="","",INDEX(합계표[성명],$W483)&amp;"")</f>
        <v/>
      </c>
      <c r="C483">
        <f>IF($W483="","",INDEX(합계표[부서],$W483)&amp;"")</f>
        <v/>
      </c>
      <c r="D483">
        <f>IF($W483="","",INDEX(합계표[직위(통합)],$W483)&amp;"")</f>
        <v/>
      </c>
      <c r="E483">
        <f>IF($W483="","",SUMIFS(합계표[시스템 합계],합계표[사번키],INDEX(합계표[사번키],$W483)))</f>
        <v/>
      </c>
      <c r="F483">
        <f>IF($W483="","",SUMIFS(상세표[기록 시간외],상세표[사번키],INDEX(합계표[사번키],$W483),상세표[기록월],대상월키))</f>
        <v/>
      </c>
      <c r="G483">
        <f>IF($W483="","",IF(ABS($E483-$F483)&lt;0.01,"일치","불일치(차이 "&amp;TEXT($F483-$E483,"0.00")&amp;")"))</f>
        <v/>
      </c>
      <c r="H483">
        <f>IF($W483="","",SUMIFS(상세표[기록 시간외],상세표[사번키],INDEX(합계표[사번키],$W483),상세표[기록월],대상월키,상세표[반영월],"&lt;&gt;"&amp;대상월키))</f>
        <v/>
      </c>
      <c r="I483">
        <f>IF($W483="","",SUMIFS(상세표[기록 시간외],상세표[사번키],INDEX(합계표[사번키],$W483),상세표[기록월],"&lt;&gt;"&amp;대상월키,상세표[반영월],대상월키))</f>
        <v/>
      </c>
      <c r="J483">
        <f>IF($W483="","",SUMIFS(상세표[기록 시간외],상세표[사번키],INDEX(합계표[사번키],$W483),상세표[반영월],대상월키))</f>
        <v/>
      </c>
      <c r="K483">
        <f>IF($W483="","",IFERROR(INDEX(월별근무지표[적용 급여병원],MATCH(INDEX(합계표[사번키],$W483)&amp;"|"&amp;대상월키,월별근무지표[키],0))&amp;"",IF(COUNTIF(기관표[사번키],INDEX(합계표[사번키],$W483))+COUNTIF(월별근무지표[사번키],INDEX(합계표[사번키],$W483))&gt;0,IFERROR(INDEX(기관표[급여지급병원(기준월)],MATCH(INDEX(합계표[사번키],$W483)&amp;"|"&amp;대상월키,기관표[키],0))&amp;"","—"),"—")))</f>
        <v/>
      </c>
      <c r="L483">
        <f>IF($W483="","",IF(NOT(COUNTIF(기관표[사번키],INDEX(합계표[사번키],$W483))+COUNTIF(월별근무지표[사번키],INDEX(합계표[사번키],$W483))&gt;0),"기관명단에 없음(다른 병원으로 발송)",IF($K483="—","대상월 기관명단 없음(추가 필요)",IF($K483="서울병원","해당","비해당"))))</f>
        <v/>
      </c>
      <c r="M483">
        <f>IF($W483="","",SUMIFS(상세표[06~07시],상세표[사번키],INDEX(합계표[사번키],$W483),상세표[반영월],대상월키,상세표[반영 기관],"서울병원"))</f>
        <v/>
      </c>
      <c r="N483">
        <f>IF($W483="","",SUMIFS(상세표[07~18시],상세표[사번키],INDEX(합계표[사번키],$W483),상세표[반영월],대상월키,상세표[반영 기관],"서울병원"))</f>
        <v/>
      </c>
      <c r="O483">
        <f>IF($W483="","",SUMIFS(상세표[18~22시],상세표[사번키],INDEX(합계표[사번키],$W483),상세표[반영월],대상월키,상세표[반영 기관],"서울병원"))</f>
        <v/>
      </c>
      <c r="P483">
        <f>IF($W483="","",SUMIFS(상세표[22~06시],상세표[사번키],INDEX(합계표[사번키],$W483),상세표[반영월],대상월키,상세표[반영 기관],"서울병원"))</f>
        <v/>
      </c>
      <c r="Q483">
        <f>IF($W483="","",SUM($M483:$P483))</f>
        <v/>
      </c>
      <c r="R483">
        <f>IF($W483="","",COUNTIFS(상세표[사번키],INDEX(합계표[사번키],$W483),상세표[반영월],대상월키,상세표[야간당직],1,상세표[야간 구분],"평일"))</f>
        <v/>
      </c>
      <c r="S483" s="4">
        <f>IF($W483="","",COUNTIFS(상세표[사번키],INDEX(합계표[사번키],$W483),상세표[반영월],대상월키,상세표[야간당직],1,상세표[야간 구분],"휴일"))</f>
        <v/>
      </c>
      <c r="T483">
        <f>IF($W483="","",COUNTIFS(상세표[사번키],INDEX(합계표[사번키],$W483),상세표[반영월],대상월키,상세표[야간당직],1,상세표[야간 구분],"평일",상세표[반영 기관],"서울병원"))</f>
        <v/>
      </c>
      <c r="U483">
        <f>IF($W483="","",COUNTIFS(상세표[사번키],INDEX(합계표[사번키],$W483),상세표[반영월],대상월키,상세표[야간당직],1,상세표[야간 구분],"휴일",상세표[반영 기관],"서울병원"))</f>
        <v/>
      </c>
      <c r="V483">
        <f>IF($W483="","",IF(ISNUMBER(MATCH(INDEX(합계표[사번키],$W483)&amp;"|"&amp;대상월키,월별근무지표[키],0)),"직접 입력",IF($K483="—","—","기관명단")))</f>
        <v/>
      </c>
      <c r="W483">
        <f>IFERROR(MATCH(478,합계표[판정순번],0),"")</f>
        <v/>
      </c>
    </row>
    <row r="484">
      <c r="A484">
        <f>IF($W484="","",INDEX(합계표[사번],$W484)&amp;"")</f>
        <v/>
      </c>
      <c r="B484">
        <f>IF($W484="","",INDEX(합계표[성명],$W484)&amp;"")</f>
        <v/>
      </c>
      <c r="C484">
        <f>IF($W484="","",INDEX(합계표[부서],$W484)&amp;"")</f>
        <v/>
      </c>
      <c r="D484">
        <f>IF($W484="","",INDEX(합계표[직위(통합)],$W484)&amp;"")</f>
        <v/>
      </c>
      <c r="E484">
        <f>IF($W484="","",SUMIFS(합계표[시스템 합계],합계표[사번키],INDEX(합계표[사번키],$W484)))</f>
        <v/>
      </c>
      <c r="F484">
        <f>IF($W484="","",SUMIFS(상세표[기록 시간외],상세표[사번키],INDEX(합계표[사번키],$W484),상세표[기록월],대상월키))</f>
        <v/>
      </c>
      <c r="G484">
        <f>IF($W484="","",IF(ABS($E484-$F484)&lt;0.01,"일치","불일치(차이 "&amp;TEXT($F484-$E484,"0.00")&amp;")"))</f>
        <v/>
      </c>
      <c r="H484">
        <f>IF($W484="","",SUMIFS(상세표[기록 시간외],상세표[사번키],INDEX(합계표[사번키],$W484),상세표[기록월],대상월키,상세표[반영월],"&lt;&gt;"&amp;대상월키))</f>
        <v/>
      </c>
      <c r="I484">
        <f>IF($W484="","",SUMIFS(상세표[기록 시간외],상세표[사번키],INDEX(합계표[사번키],$W484),상세표[기록월],"&lt;&gt;"&amp;대상월키,상세표[반영월],대상월키))</f>
        <v/>
      </c>
      <c r="J484">
        <f>IF($W484="","",SUMIFS(상세표[기록 시간외],상세표[사번키],INDEX(합계표[사번키],$W484),상세표[반영월],대상월키))</f>
        <v/>
      </c>
      <c r="K484">
        <f>IF($W484="","",IFERROR(INDEX(월별근무지표[적용 급여병원],MATCH(INDEX(합계표[사번키],$W484)&amp;"|"&amp;대상월키,월별근무지표[키],0))&amp;"",IF(COUNTIF(기관표[사번키],INDEX(합계표[사번키],$W484))+COUNTIF(월별근무지표[사번키],INDEX(합계표[사번키],$W484))&gt;0,IFERROR(INDEX(기관표[급여지급병원(기준월)],MATCH(INDEX(합계표[사번키],$W484)&amp;"|"&amp;대상월키,기관표[키],0))&amp;"","—"),"—")))</f>
        <v/>
      </c>
      <c r="L484">
        <f>IF($W484="","",IF(NOT(COUNTIF(기관표[사번키],INDEX(합계표[사번키],$W484))+COUNTIF(월별근무지표[사번키],INDEX(합계표[사번키],$W484))&gt;0),"기관명단에 없음(다른 병원으로 발송)",IF($K484="—","대상월 기관명단 없음(추가 필요)",IF($K484="서울병원","해당","비해당"))))</f>
        <v/>
      </c>
      <c r="M484">
        <f>IF($W484="","",SUMIFS(상세표[06~07시],상세표[사번키],INDEX(합계표[사번키],$W484),상세표[반영월],대상월키,상세표[반영 기관],"서울병원"))</f>
        <v/>
      </c>
      <c r="N484">
        <f>IF($W484="","",SUMIFS(상세표[07~18시],상세표[사번키],INDEX(합계표[사번키],$W484),상세표[반영월],대상월키,상세표[반영 기관],"서울병원"))</f>
        <v/>
      </c>
      <c r="O484">
        <f>IF($W484="","",SUMIFS(상세표[18~22시],상세표[사번키],INDEX(합계표[사번키],$W484),상세표[반영월],대상월키,상세표[반영 기관],"서울병원"))</f>
        <v/>
      </c>
      <c r="P484">
        <f>IF($W484="","",SUMIFS(상세표[22~06시],상세표[사번키],INDEX(합계표[사번키],$W484),상세표[반영월],대상월키,상세표[반영 기관],"서울병원"))</f>
        <v/>
      </c>
      <c r="Q484">
        <f>IF($W484="","",SUM($M484:$P484))</f>
        <v/>
      </c>
      <c r="R484">
        <f>IF($W484="","",COUNTIFS(상세표[사번키],INDEX(합계표[사번키],$W484),상세표[반영월],대상월키,상세표[야간당직],1,상세표[야간 구분],"평일"))</f>
        <v/>
      </c>
      <c r="S484" s="4">
        <f>IF($W484="","",COUNTIFS(상세표[사번키],INDEX(합계표[사번키],$W484),상세표[반영월],대상월키,상세표[야간당직],1,상세표[야간 구분],"휴일"))</f>
        <v/>
      </c>
      <c r="T484">
        <f>IF($W484="","",COUNTIFS(상세표[사번키],INDEX(합계표[사번키],$W484),상세표[반영월],대상월키,상세표[야간당직],1,상세표[야간 구분],"평일",상세표[반영 기관],"서울병원"))</f>
        <v/>
      </c>
      <c r="U484">
        <f>IF($W484="","",COUNTIFS(상세표[사번키],INDEX(합계표[사번키],$W484),상세표[반영월],대상월키,상세표[야간당직],1,상세표[야간 구분],"휴일",상세표[반영 기관],"서울병원"))</f>
        <v/>
      </c>
      <c r="V484">
        <f>IF($W484="","",IF(ISNUMBER(MATCH(INDEX(합계표[사번키],$W484)&amp;"|"&amp;대상월키,월별근무지표[키],0)),"직접 입력",IF($K484="—","—","기관명단")))</f>
        <v/>
      </c>
      <c r="W484">
        <f>IFERROR(MATCH(479,합계표[판정순번],0),"")</f>
        <v/>
      </c>
    </row>
    <row r="485">
      <c r="A485">
        <f>IF($W485="","",INDEX(합계표[사번],$W485)&amp;"")</f>
        <v/>
      </c>
      <c r="B485">
        <f>IF($W485="","",INDEX(합계표[성명],$W485)&amp;"")</f>
        <v/>
      </c>
      <c r="C485">
        <f>IF($W485="","",INDEX(합계표[부서],$W485)&amp;"")</f>
        <v/>
      </c>
      <c r="D485">
        <f>IF($W485="","",INDEX(합계표[직위(통합)],$W485)&amp;"")</f>
        <v/>
      </c>
      <c r="E485">
        <f>IF($W485="","",SUMIFS(합계표[시스템 합계],합계표[사번키],INDEX(합계표[사번키],$W485)))</f>
        <v/>
      </c>
      <c r="F485">
        <f>IF($W485="","",SUMIFS(상세표[기록 시간외],상세표[사번키],INDEX(합계표[사번키],$W485),상세표[기록월],대상월키))</f>
        <v/>
      </c>
      <c r="G485">
        <f>IF($W485="","",IF(ABS($E485-$F485)&lt;0.01,"일치","불일치(차이 "&amp;TEXT($F485-$E485,"0.00")&amp;")"))</f>
        <v/>
      </c>
      <c r="H485">
        <f>IF($W485="","",SUMIFS(상세표[기록 시간외],상세표[사번키],INDEX(합계표[사번키],$W485),상세표[기록월],대상월키,상세표[반영월],"&lt;&gt;"&amp;대상월키))</f>
        <v/>
      </c>
      <c r="I485">
        <f>IF($W485="","",SUMIFS(상세표[기록 시간외],상세표[사번키],INDEX(합계표[사번키],$W485),상세표[기록월],"&lt;&gt;"&amp;대상월키,상세표[반영월],대상월키))</f>
        <v/>
      </c>
      <c r="J485">
        <f>IF($W485="","",SUMIFS(상세표[기록 시간외],상세표[사번키],INDEX(합계표[사번키],$W485),상세표[반영월],대상월키))</f>
        <v/>
      </c>
      <c r="K485">
        <f>IF($W485="","",IFERROR(INDEX(월별근무지표[적용 급여병원],MATCH(INDEX(합계표[사번키],$W485)&amp;"|"&amp;대상월키,월별근무지표[키],0))&amp;"",IF(COUNTIF(기관표[사번키],INDEX(합계표[사번키],$W485))+COUNTIF(월별근무지표[사번키],INDEX(합계표[사번키],$W485))&gt;0,IFERROR(INDEX(기관표[급여지급병원(기준월)],MATCH(INDEX(합계표[사번키],$W485)&amp;"|"&amp;대상월키,기관표[키],0))&amp;"","—"),"—")))</f>
        <v/>
      </c>
      <c r="L485">
        <f>IF($W485="","",IF(NOT(COUNTIF(기관표[사번키],INDEX(합계표[사번키],$W485))+COUNTIF(월별근무지표[사번키],INDEX(합계표[사번키],$W485))&gt;0),"기관명단에 없음(다른 병원으로 발송)",IF($K485="—","대상월 기관명단 없음(추가 필요)",IF($K485="서울병원","해당","비해당"))))</f>
        <v/>
      </c>
      <c r="M485">
        <f>IF($W485="","",SUMIFS(상세표[06~07시],상세표[사번키],INDEX(합계표[사번키],$W485),상세표[반영월],대상월키,상세표[반영 기관],"서울병원"))</f>
        <v/>
      </c>
      <c r="N485">
        <f>IF($W485="","",SUMIFS(상세표[07~18시],상세표[사번키],INDEX(합계표[사번키],$W485),상세표[반영월],대상월키,상세표[반영 기관],"서울병원"))</f>
        <v/>
      </c>
      <c r="O485">
        <f>IF($W485="","",SUMIFS(상세표[18~22시],상세표[사번키],INDEX(합계표[사번키],$W485),상세표[반영월],대상월키,상세표[반영 기관],"서울병원"))</f>
        <v/>
      </c>
      <c r="P485">
        <f>IF($W485="","",SUMIFS(상세표[22~06시],상세표[사번키],INDEX(합계표[사번키],$W485),상세표[반영월],대상월키,상세표[반영 기관],"서울병원"))</f>
        <v/>
      </c>
      <c r="Q485">
        <f>IF($W485="","",SUM($M485:$P485))</f>
        <v/>
      </c>
      <c r="R485">
        <f>IF($W485="","",COUNTIFS(상세표[사번키],INDEX(합계표[사번키],$W485),상세표[반영월],대상월키,상세표[야간당직],1,상세표[야간 구분],"평일"))</f>
        <v/>
      </c>
      <c r="S485" s="4">
        <f>IF($W485="","",COUNTIFS(상세표[사번키],INDEX(합계표[사번키],$W485),상세표[반영월],대상월키,상세표[야간당직],1,상세표[야간 구분],"휴일"))</f>
        <v/>
      </c>
      <c r="T485">
        <f>IF($W485="","",COUNTIFS(상세표[사번키],INDEX(합계표[사번키],$W485),상세표[반영월],대상월키,상세표[야간당직],1,상세표[야간 구분],"평일",상세표[반영 기관],"서울병원"))</f>
        <v/>
      </c>
      <c r="U485">
        <f>IF($W485="","",COUNTIFS(상세표[사번키],INDEX(합계표[사번키],$W485),상세표[반영월],대상월키,상세표[야간당직],1,상세표[야간 구분],"휴일",상세표[반영 기관],"서울병원"))</f>
        <v/>
      </c>
      <c r="V485">
        <f>IF($W485="","",IF(ISNUMBER(MATCH(INDEX(합계표[사번키],$W485)&amp;"|"&amp;대상월키,월별근무지표[키],0)),"직접 입력",IF($K485="—","—","기관명단")))</f>
        <v/>
      </c>
      <c r="W485">
        <f>IFERROR(MATCH(480,합계표[판정순번],0),"")</f>
        <v/>
      </c>
    </row>
    <row r="486">
      <c r="A486">
        <f>IF($W486="","",INDEX(합계표[사번],$W486)&amp;"")</f>
        <v/>
      </c>
      <c r="B486">
        <f>IF($W486="","",INDEX(합계표[성명],$W486)&amp;"")</f>
        <v/>
      </c>
      <c r="C486">
        <f>IF($W486="","",INDEX(합계표[부서],$W486)&amp;"")</f>
        <v/>
      </c>
      <c r="D486">
        <f>IF($W486="","",INDEX(합계표[직위(통합)],$W486)&amp;"")</f>
        <v/>
      </c>
      <c r="E486">
        <f>IF($W486="","",SUMIFS(합계표[시스템 합계],합계표[사번키],INDEX(합계표[사번키],$W486)))</f>
        <v/>
      </c>
      <c r="F486">
        <f>IF($W486="","",SUMIFS(상세표[기록 시간외],상세표[사번키],INDEX(합계표[사번키],$W486),상세표[기록월],대상월키))</f>
        <v/>
      </c>
      <c r="G486">
        <f>IF($W486="","",IF(ABS($E486-$F486)&lt;0.01,"일치","불일치(차이 "&amp;TEXT($F486-$E486,"0.00")&amp;")"))</f>
        <v/>
      </c>
      <c r="H486">
        <f>IF($W486="","",SUMIFS(상세표[기록 시간외],상세표[사번키],INDEX(합계표[사번키],$W486),상세표[기록월],대상월키,상세표[반영월],"&lt;&gt;"&amp;대상월키))</f>
        <v/>
      </c>
      <c r="I486">
        <f>IF($W486="","",SUMIFS(상세표[기록 시간외],상세표[사번키],INDEX(합계표[사번키],$W486),상세표[기록월],"&lt;&gt;"&amp;대상월키,상세표[반영월],대상월키))</f>
        <v/>
      </c>
      <c r="J486">
        <f>IF($W486="","",SUMIFS(상세표[기록 시간외],상세표[사번키],INDEX(합계표[사번키],$W486),상세표[반영월],대상월키))</f>
        <v/>
      </c>
      <c r="K486">
        <f>IF($W486="","",IFERROR(INDEX(월별근무지표[적용 급여병원],MATCH(INDEX(합계표[사번키],$W486)&amp;"|"&amp;대상월키,월별근무지표[키],0))&amp;"",IF(COUNTIF(기관표[사번키],INDEX(합계표[사번키],$W486))+COUNTIF(월별근무지표[사번키],INDEX(합계표[사번키],$W486))&gt;0,IFERROR(INDEX(기관표[급여지급병원(기준월)],MATCH(INDEX(합계표[사번키],$W486)&amp;"|"&amp;대상월키,기관표[키],0))&amp;"","—"),"—")))</f>
        <v/>
      </c>
      <c r="L486">
        <f>IF($W486="","",IF(NOT(COUNTIF(기관표[사번키],INDEX(합계표[사번키],$W486))+COUNTIF(월별근무지표[사번키],INDEX(합계표[사번키],$W486))&gt;0),"기관명단에 없음(다른 병원으로 발송)",IF($K486="—","대상월 기관명단 없음(추가 필요)",IF($K486="서울병원","해당","비해당"))))</f>
        <v/>
      </c>
      <c r="M486">
        <f>IF($W486="","",SUMIFS(상세표[06~07시],상세표[사번키],INDEX(합계표[사번키],$W486),상세표[반영월],대상월키,상세표[반영 기관],"서울병원"))</f>
        <v/>
      </c>
      <c r="N486">
        <f>IF($W486="","",SUMIFS(상세표[07~18시],상세표[사번키],INDEX(합계표[사번키],$W486),상세표[반영월],대상월키,상세표[반영 기관],"서울병원"))</f>
        <v/>
      </c>
      <c r="O486">
        <f>IF($W486="","",SUMIFS(상세표[18~22시],상세표[사번키],INDEX(합계표[사번키],$W486),상세표[반영월],대상월키,상세표[반영 기관],"서울병원"))</f>
        <v/>
      </c>
      <c r="P486">
        <f>IF($W486="","",SUMIFS(상세표[22~06시],상세표[사번키],INDEX(합계표[사번키],$W486),상세표[반영월],대상월키,상세표[반영 기관],"서울병원"))</f>
        <v/>
      </c>
      <c r="Q486">
        <f>IF($W486="","",SUM($M486:$P486))</f>
        <v/>
      </c>
      <c r="R486">
        <f>IF($W486="","",COUNTIFS(상세표[사번키],INDEX(합계표[사번키],$W486),상세표[반영월],대상월키,상세표[야간당직],1,상세표[야간 구분],"평일"))</f>
        <v/>
      </c>
      <c r="S486" s="4">
        <f>IF($W486="","",COUNTIFS(상세표[사번키],INDEX(합계표[사번키],$W486),상세표[반영월],대상월키,상세표[야간당직],1,상세표[야간 구분],"휴일"))</f>
        <v/>
      </c>
      <c r="T486">
        <f>IF($W486="","",COUNTIFS(상세표[사번키],INDEX(합계표[사번키],$W486),상세표[반영월],대상월키,상세표[야간당직],1,상세표[야간 구분],"평일",상세표[반영 기관],"서울병원"))</f>
        <v/>
      </c>
      <c r="U486">
        <f>IF($W486="","",COUNTIFS(상세표[사번키],INDEX(합계표[사번키],$W486),상세표[반영월],대상월키,상세표[야간당직],1,상세표[야간 구분],"휴일",상세표[반영 기관],"서울병원"))</f>
        <v/>
      </c>
      <c r="V486">
        <f>IF($W486="","",IF(ISNUMBER(MATCH(INDEX(합계표[사번키],$W486)&amp;"|"&amp;대상월키,월별근무지표[키],0)),"직접 입력",IF($K486="—","—","기관명단")))</f>
        <v/>
      </c>
      <c r="W486">
        <f>IFERROR(MATCH(481,합계표[판정순번],0),"")</f>
        <v/>
      </c>
    </row>
    <row r="487">
      <c r="A487">
        <f>IF($W487="","",INDEX(합계표[사번],$W487)&amp;"")</f>
        <v/>
      </c>
      <c r="B487">
        <f>IF($W487="","",INDEX(합계표[성명],$W487)&amp;"")</f>
        <v/>
      </c>
      <c r="C487">
        <f>IF($W487="","",INDEX(합계표[부서],$W487)&amp;"")</f>
        <v/>
      </c>
      <c r="D487">
        <f>IF($W487="","",INDEX(합계표[직위(통합)],$W487)&amp;"")</f>
        <v/>
      </c>
      <c r="E487">
        <f>IF($W487="","",SUMIFS(합계표[시스템 합계],합계표[사번키],INDEX(합계표[사번키],$W487)))</f>
        <v/>
      </c>
      <c r="F487">
        <f>IF($W487="","",SUMIFS(상세표[기록 시간외],상세표[사번키],INDEX(합계표[사번키],$W487),상세표[기록월],대상월키))</f>
        <v/>
      </c>
      <c r="G487">
        <f>IF($W487="","",IF(ABS($E487-$F487)&lt;0.01,"일치","불일치(차이 "&amp;TEXT($F487-$E487,"0.00")&amp;")"))</f>
        <v/>
      </c>
      <c r="H487">
        <f>IF($W487="","",SUMIFS(상세표[기록 시간외],상세표[사번키],INDEX(합계표[사번키],$W487),상세표[기록월],대상월키,상세표[반영월],"&lt;&gt;"&amp;대상월키))</f>
        <v/>
      </c>
      <c r="I487">
        <f>IF($W487="","",SUMIFS(상세표[기록 시간외],상세표[사번키],INDEX(합계표[사번키],$W487),상세표[기록월],"&lt;&gt;"&amp;대상월키,상세표[반영월],대상월키))</f>
        <v/>
      </c>
      <c r="J487">
        <f>IF($W487="","",SUMIFS(상세표[기록 시간외],상세표[사번키],INDEX(합계표[사번키],$W487),상세표[반영월],대상월키))</f>
        <v/>
      </c>
      <c r="K487">
        <f>IF($W487="","",IFERROR(INDEX(월별근무지표[적용 급여병원],MATCH(INDEX(합계표[사번키],$W487)&amp;"|"&amp;대상월키,월별근무지표[키],0))&amp;"",IF(COUNTIF(기관표[사번키],INDEX(합계표[사번키],$W487))+COUNTIF(월별근무지표[사번키],INDEX(합계표[사번키],$W487))&gt;0,IFERROR(INDEX(기관표[급여지급병원(기준월)],MATCH(INDEX(합계표[사번키],$W487)&amp;"|"&amp;대상월키,기관표[키],0))&amp;"","—"),"—")))</f>
        <v/>
      </c>
      <c r="L487">
        <f>IF($W487="","",IF(NOT(COUNTIF(기관표[사번키],INDEX(합계표[사번키],$W487))+COUNTIF(월별근무지표[사번키],INDEX(합계표[사번키],$W487))&gt;0),"기관명단에 없음(다른 병원으로 발송)",IF($K487="—","대상월 기관명단 없음(추가 필요)",IF($K487="서울병원","해당","비해당"))))</f>
        <v/>
      </c>
      <c r="M487">
        <f>IF($W487="","",SUMIFS(상세표[06~07시],상세표[사번키],INDEX(합계표[사번키],$W487),상세표[반영월],대상월키,상세표[반영 기관],"서울병원"))</f>
        <v/>
      </c>
      <c r="N487">
        <f>IF($W487="","",SUMIFS(상세표[07~18시],상세표[사번키],INDEX(합계표[사번키],$W487),상세표[반영월],대상월키,상세표[반영 기관],"서울병원"))</f>
        <v/>
      </c>
      <c r="O487">
        <f>IF($W487="","",SUMIFS(상세표[18~22시],상세표[사번키],INDEX(합계표[사번키],$W487),상세표[반영월],대상월키,상세표[반영 기관],"서울병원"))</f>
        <v/>
      </c>
      <c r="P487">
        <f>IF($W487="","",SUMIFS(상세표[22~06시],상세표[사번키],INDEX(합계표[사번키],$W487),상세표[반영월],대상월키,상세표[반영 기관],"서울병원"))</f>
        <v/>
      </c>
      <c r="Q487">
        <f>IF($W487="","",SUM($M487:$P487))</f>
        <v/>
      </c>
      <c r="R487">
        <f>IF($W487="","",COUNTIFS(상세표[사번키],INDEX(합계표[사번키],$W487),상세표[반영월],대상월키,상세표[야간당직],1,상세표[야간 구분],"평일"))</f>
        <v/>
      </c>
      <c r="S487" s="4">
        <f>IF($W487="","",COUNTIFS(상세표[사번키],INDEX(합계표[사번키],$W487),상세표[반영월],대상월키,상세표[야간당직],1,상세표[야간 구분],"휴일"))</f>
        <v/>
      </c>
      <c r="T487">
        <f>IF($W487="","",COUNTIFS(상세표[사번키],INDEX(합계표[사번키],$W487),상세표[반영월],대상월키,상세표[야간당직],1,상세표[야간 구분],"평일",상세표[반영 기관],"서울병원"))</f>
        <v/>
      </c>
      <c r="U487">
        <f>IF($W487="","",COUNTIFS(상세표[사번키],INDEX(합계표[사번키],$W487),상세표[반영월],대상월키,상세표[야간당직],1,상세표[야간 구분],"휴일",상세표[반영 기관],"서울병원"))</f>
        <v/>
      </c>
      <c r="V487">
        <f>IF($W487="","",IF(ISNUMBER(MATCH(INDEX(합계표[사번키],$W487)&amp;"|"&amp;대상월키,월별근무지표[키],0)),"직접 입력",IF($K487="—","—","기관명단")))</f>
        <v/>
      </c>
      <c r="W487">
        <f>IFERROR(MATCH(482,합계표[판정순번],0),"")</f>
        <v/>
      </c>
    </row>
    <row r="488">
      <c r="A488">
        <f>IF($W488="","",INDEX(합계표[사번],$W488)&amp;"")</f>
        <v/>
      </c>
      <c r="B488">
        <f>IF($W488="","",INDEX(합계표[성명],$W488)&amp;"")</f>
        <v/>
      </c>
      <c r="C488">
        <f>IF($W488="","",INDEX(합계표[부서],$W488)&amp;"")</f>
        <v/>
      </c>
      <c r="D488">
        <f>IF($W488="","",INDEX(합계표[직위(통합)],$W488)&amp;"")</f>
        <v/>
      </c>
      <c r="E488">
        <f>IF($W488="","",SUMIFS(합계표[시스템 합계],합계표[사번키],INDEX(합계표[사번키],$W488)))</f>
        <v/>
      </c>
      <c r="F488">
        <f>IF($W488="","",SUMIFS(상세표[기록 시간외],상세표[사번키],INDEX(합계표[사번키],$W488),상세표[기록월],대상월키))</f>
        <v/>
      </c>
      <c r="G488">
        <f>IF($W488="","",IF(ABS($E488-$F488)&lt;0.01,"일치","불일치(차이 "&amp;TEXT($F488-$E488,"0.00")&amp;")"))</f>
        <v/>
      </c>
      <c r="H488">
        <f>IF($W488="","",SUMIFS(상세표[기록 시간외],상세표[사번키],INDEX(합계표[사번키],$W488),상세표[기록월],대상월키,상세표[반영월],"&lt;&gt;"&amp;대상월키))</f>
        <v/>
      </c>
      <c r="I488">
        <f>IF($W488="","",SUMIFS(상세표[기록 시간외],상세표[사번키],INDEX(합계표[사번키],$W488),상세표[기록월],"&lt;&gt;"&amp;대상월키,상세표[반영월],대상월키))</f>
        <v/>
      </c>
      <c r="J488">
        <f>IF($W488="","",SUMIFS(상세표[기록 시간외],상세표[사번키],INDEX(합계표[사번키],$W488),상세표[반영월],대상월키))</f>
        <v/>
      </c>
      <c r="K488">
        <f>IF($W488="","",IFERROR(INDEX(월별근무지표[적용 급여병원],MATCH(INDEX(합계표[사번키],$W488)&amp;"|"&amp;대상월키,월별근무지표[키],0))&amp;"",IF(COUNTIF(기관표[사번키],INDEX(합계표[사번키],$W488))+COUNTIF(월별근무지표[사번키],INDEX(합계표[사번키],$W488))&gt;0,IFERROR(INDEX(기관표[급여지급병원(기준월)],MATCH(INDEX(합계표[사번키],$W488)&amp;"|"&amp;대상월키,기관표[키],0))&amp;"","—"),"—")))</f>
        <v/>
      </c>
      <c r="L488">
        <f>IF($W488="","",IF(NOT(COUNTIF(기관표[사번키],INDEX(합계표[사번키],$W488))+COUNTIF(월별근무지표[사번키],INDEX(합계표[사번키],$W488))&gt;0),"기관명단에 없음(다른 병원으로 발송)",IF($K488="—","대상월 기관명단 없음(추가 필요)",IF($K488="서울병원","해당","비해당"))))</f>
        <v/>
      </c>
      <c r="M488">
        <f>IF($W488="","",SUMIFS(상세표[06~07시],상세표[사번키],INDEX(합계표[사번키],$W488),상세표[반영월],대상월키,상세표[반영 기관],"서울병원"))</f>
        <v/>
      </c>
      <c r="N488">
        <f>IF($W488="","",SUMIFS(상세표[07~18시],상세표[사번키],INDEX(합계표[사번키],$W488),상세표[반영월],대상월키,상세표[반영 기관],"서울병원"))</f>
        <v/>
      </c>
      <c r="O488">
        <f>IF($W488="","",SUMIFS(상세표[18~22시],상세표[사번키],INDEX(합계표[사번키],$W488),상세표[반영월],대상월키,상세표[반영 기관],"서울병원"))</f>
        <v/>
      </c>
      <c r="P488">
        <f>IF($W488="","",SUMIFS(상세표[22~06시],상세표[사번키],INDEX(합계표[사번키],$W488),상세표[반영월],대상월키,상세표[반영 기관],"서울병원"))</f>
        <v/>
      </c>
      <c r="Q488">
        <f>IF($W488="","",SUM($M488:$P488))</f>
        <v/>
      </c>
      <c r="R488">
        <f>IF($W488="","",COUNTIFS(상세표[사번키],INDEX(합계표[사번키],$W488),상세표[반영월],대상월키,상세표[야간당직],1,상세표[야간 구분],"평일"))</f>
        <v/>
      </c>
      <c r="S488" s="4">
        <f>IF($W488="","",COUNTIFS(상세표[사번키],INDEX(합계표[사번키],$W488),상세표[반영월],대상월키,상세표[야간당직],1,상세표[야간 구분],"휴일"))</f>
        <v/>
      </c>
      <c r="T488">
        <f>IF($W488="","",COUNTIFS(상세표[사번키],INDEX(합계표[사번키],$W488),상세표[반영월],대상월키,상세표[야간당직],1,상세표[야간 구분],"평일",상세표[반영 기관],"서울병원"))</f>
        <v/>
      </c>
      <c r="U488">
        <f>IF($W488="","",COUNTIFS(상세표[사번키],INDEX(합계표[사번키],$W488),상세표[반영월],대상월키,상세표[야간당직],1,상세표[야간 구분],"휴일",상세표[반영 기관],"서울병원"))</f>
        <v/>
      </c>
      <c r="V488">
        <f>IF($W488="","",IF(ISNUMBER(MATCH(INDEX(합계표[사번키],$W488)&amp;"|"&amp;대상월키,월별근무지표[키],0)),"직접 입력",IF($K488="—","—","기관명단")))</f>
        <v/>
      </c>
      <c r="W488">
        <f>IFERROR(MATCH(483,합계표[판정순번],0),"")</f>
        <v/>
      </c>
    </row>
    <row r="489">
      <c r="A489">
        <f>IF($W489="","",INDEX(합계표[사번],$W489)&amp;"")</f>
        <v/>
      </c>
      <c r="B489">
        <f>IF($W489="","",INDEX(합계표[성명],$W489)&amp;"")</f>
        <v/>
      </c>
      <c r="C489">
        <f>IF($W489="","",INDEX(합계표[부서],$W489)&amp;"")</f>
        <v/>
      </c>
      <c r="D489">
        <f>IF($W489="","",INDEX(합계표[직위(통합)],$W489)&amp;"")</f>
        <v/>
      </c>
      <c r="E489">
        <f>IF($W489="","",SUMIFS(합계표[시스템 합계],합계표[사번키],INDEX(합계표[사번키],$W489)))</f>
        <v/>
      </c>
      <c r="F489">
        <f>IF($W489="","",SUMIFS(상세표[기록 시간외],상세표[사번키],INDEX(합계표[사번키],$W489),상세표[기록월],대상월키))</f>
        <v/>
      </c>
      <c r="G489">
        <f>IF($W489="","",IF(ABS($E489-$F489)&lt;0.01,"일치","불일치(차이 "&amp;TEXT($F489-$E489,"0.00")&amp;")"))</f>
        <v/>
      </c>
      <c r="H489">
        <f>IF($W489="","",SUMIFS(상세표[기록 시간외],상세표[사번키],INDEX(합계표[사번키],$W489),상세표[기록월],대상월키,상세표[반영월],"&lt;&gt;"&amp;대상월키))</f>
        <v/>
      </c>
      <c r="I489">
        <f>IF($W489="","",SUMIFS(상세표[기록 시간외],상세표[사번키],INDEX(합계표[사번키],$W489),상세표[기록월],"&lt;&gt;"&amp;대상월키,상세표[반영월],대상월키))</f>
        <v/>
      </c>
      <c r="J489">
        <f>IF($W489="","",SUMIFS(상세표[기록 시간외],상세표[사번키],INDEX(합계표[사번키],$W489),상세표[반영월],대상월키))</f>
        <v/>
      </c>
      <c r="K489">
        <f>IF($W489="","",IFERROR(INDEX(월별근무지표[적용 급여병원],MATCH(INDEX(합계표[사번키],$W489)&amp;"|"&amp;대상월키,월별근무지표[키],0))&amp;"",IF(COUNTIF(기관표[사번키],INDEX(합계표[사번키],$W489))+COUNTIF(월별근무지표[사번키],INDEX(합계표[사번키],$W489))&gt;0,IFERROR(INDEX(기관표[급여지급병원(기준월)],MATCH(INDEX(합계표[사번키],$W489)&amp;"|"&amp;대상월키,기관표[키],0))&amp;"","—"),"—")))</f>
        <v/>
      </c>
      <c r="L489">
        <f>IF($W489="","",IF(NOT(COUNTIF(기관표[사번키],INDEX(합계표[사번키],$W489))+COUNTIF(월별근무지표[사번키],INDEX(합계표[사번키],$W489))&gt;0),"기관명단에 없음(다른 병원으로 발송)",IF($K489="—","대상월 기관명단 없음(추가 필요)",IF($K489="서울병원","해당","비해당"))))</f>
        <v/>
      </c>
      <c r="M489">
        <f>IF($W489="","",SUMIFS(상세표[06~07시],상세표[사번키],INDEX(합계표[사번키],$W489),상세표[반영월],대상월키,상세표[반영 기관],"서울병원"))</f>
        <v/>
      </c>
      <c r="N489">
        <f>IF($W489="","",SUMIFS(상세표[07~18시],상세표[사번키],INDEX(합계표[사번키],$W489),상세표[반영월],대상월키,상세표[반영 기관],"서울병원"))</f>
        <v/>
      </c>
      <c r="O489">
        <f>IF($W489="","",SUMIFS(상세표[18~22시],상세표[사번키],INDEX(합계표[사번키],$W489),상세표[반영월],대상월키,상세표[반영 기관],"서울병원"))</f>
        <v/>
      </c>
      <c r="P489">
        <f>IF($W489="","",SUMIFS(상세표[22~06시],상세표[사번키],INDEX(합계표[사번키],$W489),상세표[반영월],대상월키,상세표[반영 기관],"서울병원"))</f>
        <v/>
      </c>
      <c r="Q489">
        <f>IF($W489="","",SUM($M489:$P489))</f>
        <v/>
      </c>
      <c r="R489">
        <f>IF($W489="","",COUNTIFS(상세표[사번키],INDEX(합계표[사번키],$W489),상세표[반영월],대상월키,상세표[야간당직],1,상세표[야간 구분],"평일"))</f>
        <v/>
      </c>
      <c r="S489" s="4">
        <f>IF($W489="","",COUNTIFS(상세표[사번키],INDEX(합계표[사번키],$W489),상세표[반영월],대상월키,상세표[야간당직],1,상세표[야간 구분],"휴일"))</f>
        <v/>
      </c>
      <c r="T489">
        <f>IF($W489="","",COUNTIFS(상세표[사번키],INDEX(합계표[사번키],$W489),상세표[반영월],대상월키,상세표[야간당직],1,상세표[야간 구분],"평일",상세표[반영 기관],"서울병원"))</f>
        <v/>
      </c>
      <c r="U489">
        <f>IF($W489="","",COUNTIFS(상세표[사번키],INDEX(합계표[사번키],$W489),상세표[반영월],대상월키,상세표[야간당직],1,상세표[야간 구분],"휴일",상세표[반영 기관],"서울병원"))</f>
        <v/>
      </c>
      <c r="V489">
        <f>IF($W489="","",IF(ISNUMBER(MATCH(INDEX(합계표[사번키],$W489)&amp;"|"&amp;대상월키,월별근무지표[키],0)),"직접 입력",IF($K489="—","—","기관명단")))</f>
        <v/>
      </c>
      <c r="W489">
        <f>IFERROR(MATCH(484,합계표[판정순번],0),"")</f>
        <v/>
      </c>
    </row>
    <row r="490">
      <c r="A490">
        <f>IF($W490="","",INDEX(합계표[사번],$W490)&amp;"")</f>
        <v/>
      </c>
      <c r="B490">
        <f>IF($W490="","",INDEX(합계표[성명],$W490)&amp;"")</f>
        <v/>
      </c>
      <c r="C490">
        <f>IF($W490="","",INDEX(합계표[부서],$W490)&amp;"")</f>
        <v/>
      </c>
      <c r="D490">
        <f>IF($W490="","",INDEX(합계표[직위(통합)],$W490)&amp;"")</f>
        <v/>
      </c>
      <c r="E490">
        <f>IF($W490="","",SUMIFS(합계표[시스템 합계],합계표[사번키],INDEX(합계표[사번키],$W490)))</f>
        <v/>
      </c>
      <c r="F490">
        <f>IF($W490="","",SUMIFS(상세표[기록 시간외],상세표[사번키],INDEX(합계표[사번키],$W490),상세표[기록월],대상월키))</f>
        <v/>
      </c>
      <c r="G490">
        <f>IF($W490="","",IF(ABS($E490-$F490)&lt;0.01,"일치","불일치(차이 "&amp;TEXT($F490-$E490,"0.00")&amp;")"))</f>
        <v/>
      </c>
      <c r="H490">
        <f>IF($W490="","",SUMIFS(상세표[기록 시간외],상세표[사번키],INDEX(합계표[사번키],$W490),상세표[기록월],대상월키,상세표[반영월],"&lt;&gt;"&amp;대상월키))</f>
        <v/>
      </c>
      <c r="I490">
        <f>IF($W490="","",SUMIFS(상세표[기록 시간외],상세표[사번키],INDEX(합계표[사번키],$W490),상세표[기록월],"&lt;&gt;"&amp;대상월키,상세표[반영월],대상월키))</f>
        <v/>
      </c>
      <c r="J490">
        <f>IF($W490="","",SUMIFS(상세표[기록 시간외],상세표[사번키],INDEX(합계표[사번키],$W490),상세표[반영월],대상월키))</f>
        <v/>
      </c>
      <c r="K490">
        <f>IF($W490="","",IFERROR(INDEX(월별근무지표[적용 급여병원],MATCH(INDEX(합계표[사번키],$W490)&amp;"|"&amp;대상월키,월별근무지표[키],0))&amp;"",IF(COUNTIF(기관표[사번키],INDEX(합계표[사번키],$W490))+COUNTIF(월별근무지표[사번키],INDEX(합계표[사번키],$W490))&gt;0,IFERROR(INDEX(기관표[급여지급병원(기준월)],MATCH(INDEX(합계표[사번키],$W490)&amp;"|"&amp;대상월키,기관표[키],0))&amp;"","—"),"—")))</f>
        <v/>
      </c>
      <c r="L490">
        <f>IF($W490="","",IF(NOT(COUNTIF(기관표[사번키],INDEX(합계표[사번키],$W490))+COUNTIF(월별근무지표[사번키],INDEX(합계표[사번키],$W490))&gt;0),"기관명단에 없음(다른 병원으로 발송)",IF($K490="—","대상월 기관명단 없음(추가 필요)",IF($K490="서울병원","해당","비해당"))))</f>
        <v/>
      </c>
      <c r="M490">
        <f>IF($W490="","",SUMIFS(상세표[06~07시],상세표[사번키],INDEX(합계표[사번키],$W490),상세표[반영월],대상월키,상세표[반영 기관],"서울병원"))</f>
        <v/>
      </c>
      <c r="N490">
        <f>IF($W490="","",SUMIFS(상세표[07~18시],상세표[사번키],INDEX(합계표[사번키],$W490),상세표[반영월],대상월키,상세표[반영 기관],"서울병원"))</f>
        <v/>
      </c>
      <c r="O490">
        <f>IF($W490="","",SUMIFS(상세표[18~22시],상세표[사번키],INDEX(합계표[사번키],$W490),상세표[반영월],대상월키,상세표[반영 기관],"서울병원"))</f>
        <v/>
      </c>
      <c r="P490">
        <f>IF($W490="","",SUMIFS(상세표[22~06시],상세표[사번키],INDEX(합계표[사번키],$W490),상세표[반영월],대상월키,상세표[반영 기관],"서울병원"))</f>
        <v/>
      </c>
      <c r="Q490">
        <f>IF($W490="","",SUM($M490:$P490))</f>
        <v/>
      </c>
      <c r="R490">
        <f>IF($W490="","",COUNTIFS(상세표[사번키],INDEX(합계표[사번키],$W490),상세표[반영월],대상월키,상세표[야간당직],1,상세표[야간 구분],"평일"))</f>
        <v/>
      </c>
      <c r="S490" s="4">
        <f>IF($W490="","",COUNTIFS(상세표[사번키],INDEX(합계표[사번키],$W490),상세표[반영월],대상월키,상세표[야간당직],1,상세표[야간 구분],"휴일"))</f>
        <v/>
      </c>
      <c r="T490">
        <f>IF($W490="","",COUNTIFS(상세표[사번키],INDEX(합계표[사번키],$W490),상세표[반영월],대상월키,상세표[야간당직],1,상세표[야간 구분],"평일",상세표[반영 기관],"서울병원"))</f>
        <v/>
      </c>
      <c r="U490">
        <f>IF($W490="","",COUNTIFS(상세표[사번키],INDEX(합계표[사번키],$W490),상세표[반영월],대상월키,상세표[야간당직],1,상세표[야간 구분],"휴일",상세표[반영 기관],"서울병원"))</f>
        <v/>
      </c>
      <c r="V490">
        <f>IF($W490="","",IF(ISNUMBER(MATCH(INDEX(합계표[사번키],$W490)&amp;"|"&amp;대상월키,월별근무지표[키],0)),"직접 입력",IF($K490="—","—","기관명단")))</f>
        <v/>
      </c>
      <c r="W490">
        <f>IFERROR(MATCH(485,합계표[판정순번],0),"")</f>
        <v/>
      </c>
    </row>
    <row r="491">
      <c r="A491">
        <f>IF($W491="","",INDEX(합계표[사번],$W491)&amp;"")</f>
        <v/>
      </c>
      <c r="B491">
        <f>IF($W491="","",INDEX(합계표[성명],$W491)&amp;"")</f>
        <v/>
      </c>
      <c r="C491">
        <f>IF($W491="","",INDEX(합계표[부서],$W491)&amp;"")</f>
        <v/>
      </c>
      <c r="D491">
        <f>IF($W491="","",INDEX(합계표[직위(통합)],$W491)&amp;"")</f>
        <v/>
      </c>
      <c r="E491">
        <f>IF($W491="","",SUMIFS(합계표[시스템 합계],합계표[사번키],INDEX(합계표[사번키],$W491)))</f>
        <v/>
      </c>
      <c r="F491">
        <f>IF($W491="","",SUMIFS(상세표[기록 시간외],상세표[사번키],INDEX(합계표[사번키],$W491),상세표[기록월],대상월키))</f>
        <v/>
      </c>
      <c r="G491">
        <f>IF($W491="","",IF(ABS($E491-$F491)&lt;0.01,"일치","불일치(차이 "&amp;TEXT($F491-$E491,"0.00")&amp;")"))</f>
        <v/>
      </c>
      <c r="H491">
        <f>IF($W491="","",SUMIFS(상세표[기록 시간외],상세표[사번키],INDEX(합계표[사번키],$W491),상세표[기록월],대상월키,상세표[반영월],"&lt;&gt;"&amp;대상월키))</f>
        <v/>
      </c>
      <c r="I491">
        <f>IF($W491="","",SUMIFS(상세표[기록 시간외],상세표[사번키],INDEX(합계표[사번키],$W491),상세표[기록월],"&lt;&gt;"&amp;대상월키,상세표[반영월],대상월키))</f>
        <v/>
      </c>
      <c r="J491">
        <f>IF($W491="","",SUMIFS(상세표[기록 시간외],상세표[사번키],INDEX(합계표[사번키],$W491),상세표[반영월],대상월키))</f>
        <v/>
      </c>
      <c r="K491">
        <f>IF($W491="","",IFERROR(INDEX(월별근무지표[적용 급여병원],MATCH(INDEX(합계표[사번키],$W491)&amp;"|"&amp;대상월키,월별근무지표[키],0))&amp;"",IF(COUNTIF(기관표[사번키],INDEX(합계표[사번키],$W491))+COUNTIF(월별근무지표[사번키],INDEX(합계표[사번키],$W491))&gt;0,IFERROR(INDEX(기관표[급여지급병원(기준월)],MATCH(INDEX(합계표[사번키],$W491)&amp;"|"&amp;대상월키,기관표[키],0))&amp;"","—"),"—")))</f>
        <v/>
      </c>
      <c r="L491">
        <f>IF($W491="","",IF(NOT(COUNTIF(기관표[사번키],INDEX(합계표[사번키],$W491))+COUNTIF(월별근무지표[사번키],INDEX(합계표[사번키],$W491))&gt;0),"기관명단에 없음(다른 병원으로 발송)",IF($K491="—","대상월 기관명단 없음(추가 필요)",IF($K491="서울병원","해당","비해당"))))</f>
        <v/>
      </c>
      <c r="M491">
        <f>IF($W491="","",SUMIFS(상세표[06~07시],상세표[사번키],INDEX(합계표[사번키],$W491),상세표[반영월],대상월키,상세표[반영 기관],"서울병원"))</f>
        <v/>
      </c>
      <c r="N491">
        <f>IF($W491="","",SUMIFS(상세표[07~18시],상세표[사번키],INDEX(합계표[사번키],$W491),상세표[반영월],대상월키,상세표[반영 기관],"서울병원"))</f>
        <v/>
      </c>
      <c r="O491">
        <f>IF($W491="","",SUMIFS(상세표[18~22시],상세표[사번키],INDEX(합계표[사번키],$W491),상세표[반영월],대상월키,상세표[반영 기관],"서울병원"))</f>
        <v/>
      </c>
      <c r="P491">
        <f>IF($W491="","",SUMIFS(상세표[22~06시],상세표[사번키],INDEX(합계표[사번키],$W491),상세표[반영월],대상월키,상세표[반영 기관],"서울병원"))</f>
        <v/>
      </c>
      <c r="Q491">
        <f>IF($W491="","",SUM($M491:$P491))</f>
        <v/>
      </c>
      <c r="R491">
        <f>IF($W491="","",COUNTIFS(상세표[사번키],INDEX(합계표[사번키],$W491),상세표[반영월],대상월키,상세표[야간당직],1,상세표[야간 구분],"평일"))</f>
        <v/>
      </c>
      <c r="S491" s="4">
        <f>IF($W491="","",COUNTIFS(상세표[사번키],INDEX(합계표[사번키],$W491),상세표[반영월],대상월키,상세표[야간당직],1,상세표[야간 구분],"휴일"))</f>
        <v/>
      </c>
      <c r="T491">
        <f>IF($W491="","",COUNTIFS(상세표[사번키],INDEX(합계표[사번키],$W491),상세표[반영월],대상월키,상세표[야간당직],1,상세표[야간 구분],"평일",상세표[반영 기관],"서울병원"))</f>
        <v/>
      </c>
      <c r="U491">
        <f>IF($W491="","",COUNTIFS(상세표[사번키],INDEX(합계표[사번키],$W491),상세표[반영월],대상월키,상세표[야간당직],1,상세표[야간 구분],"휴일",상세표[반영 기관],"서울병원"))</f>
        <v/>
      </c>
      <c r="V491">
        <f>IF($W491="","",IF(ISNUMBER(MATCH(INDEX(합계표[사번키],$W491)&amp;"|"&amp;대상월키,월별근무지표[키],0)),"직접 입력",IF($K491="—","—","기관명단")))</f>
        <v/>
      </c>
      <c r="W491">
        <f>IFERROR(MATCH(486,합계표[판정순번],0),"")</f>
        <v/>
      </c>
    </row>
    <row r="492">
      <c r="A492">
        <f>IF($W492="","",INDEX(합계표[사번],$W492)&amp;"")</f>
        <v/>
      </c>
      <c r="B492">
        <f>IF($W492="","",INDEX(합계표[성명],$W492)&amp;"")</f>
        <v/>
      </c>
      <c r="C492">
        <f>IF($W492="","",INDEX(합계표[부서],$W492)&amp;"")</f>
        <v/>
      </c>
      <c r="D492">
        <f>IF($W492="","",INDEX(합계표[직위(통합)],$W492)&amp;"")</f>
        <v/>
      </c>
      <c r="E492">
        <f>IF($W492="","",SUMIFS(합계표[시스템 합계],합계표[사번키],INDEX(합계표[사번키],$W492)))</f>
        <v/>
      </c>
      <c r="F492">
        <f>IF($W492="","",SUMIFS(상세표[기록 시간외],상세표[사번키],INDEX(합계표[사번키],$W492),상세표[기록월],대상월키))</f>
        <v/>
      </c>
      <c r="G492">
        <f>IF($W492="","",IF(ABS($E492-$F492)&lt;0.01,"일치","불일치(차이 "&amp;TEXT($F492-$E492,"0.00")&amp;")"))</f>
        <v/>
      </c>
      <c r="H492">
        <f>IF($W492="","",SUMIFS(상세표[기록 시간외],상세표[사번키],INDEX(합계표[사번키],$W492),상세표[기록월],대상월키,상세표[반영월],"&lt;&gt;"&amp;대상월키))</f>
        <v/>
      </c>
      <c r="I492">
        <f>IF($W492="","",SUMIFS(상세표[기록 시간외],상세표[사번키],INDEX(합계표[사번키],$W492),상세표[기록월],"&lt;&gt;"&amp;대상월키,상세표[반영월],대상월키))</f>
        <v/>
      </c>
      <c r="J492">
        <f>IF($W492="","",SUMIFS(상세표[기록 시간외],상세표[사번키],INDEX(합계표[사번키],$W492),상세표[반영월],대상월키))</f>
        <v/>
      </c>
      <c r="K492">
        <f>IF($W492="","",IFERROR(INDEX(월별근무지표[적용 급여병원],MATCH(INDEX(합계표[사번키],$W492)&amp;"|"&amp;대상월키,월별근무지표[키],0))&amp;"",IF(COUNTIF(기관표[사번키],INDEX(합계표[사번키],$W492))+COUNTIF(월별근무지표[사번키],INDEX(합계표[사번키],$W492))&gt;0,IFERROR(INDEX(기관표[급여지급병원(기준월)],MATCH(INDEX(합계표[사번키],$W492)&amp;"|"&amp;대상월키,기관표[키],0))&amp;"","—"),"—")))</f>
        <v/>
      </c>
      <c r="L492">
        <f>IF($W492="","",IF(NOT(COUNTIF(기관표[사번키],INDEX(합계표[사번키],$W492))+COUNTIF(월별근무지표[사번키],INDEX(합계표[사번키],$W492))&gt;0),"기관명단에 없음(다른 병원으로 발송)",IF($K492="—","대상월 기관명단 없음(추가 필요)",IF($K492="서울병원","해당","비해당"))))</f>
        <v/>
      </c>
      <c r="M492">
        <f>IF($W492="","",SUMIFS(상세표[06~07시],상세표[사번키],INDEX(합계표[사번키],$W492),상세표[반영월],대상월키,상세표[반영 기관],"서울병원"))</f>
        <v/>
      </c>
      <c r="N492">
        <f>IF($W492="","",SUMIFS(상세표[07~18시],상세표[사번키],INDEX(합계표[사번키],$W492),상세표[반영월],대상월키,상세표[반영 기관],"서울병원"))</f>
        <v/>
      </c>
      <c r="O492">
        <f>IF($W492="","",SUMIFS(상세표[18~22시],상세표[사번키],INDEX(합계표[사번키],$W492),상세표[반영월],대상월키,상세표[반영 기관],"서울병원"))</f>
        <v/>
      </c>
      <c r="P492">
        <f>IF($W492="","",SUMIFS(상세표[22~06시],상세표[사번키],INDEX(합계표[사번키],$W492),상세표[반영월],대상월키,상세표[반영 기관],"서울병원"))</f>
        <v/>
      </c>
      <c r="Q492">
        <f>IF($W492="","",SUM($M492:$P492))</f>
        <v/>
      </c>
      <c r="R492">
        <f>IF($W492="","",COUNTIFS(상세표[사번키],INDEX(합계표[사번키],$W492),상세표[반영월],대상월키,상세표[야간당직],1,상세표[야간 구분],"평일"))</f>
        <v/>
      </c>
      <c r="S492" s="4">
        <f>IF($W492="","",COUNTIFS(상세표[사번키],INDEX(합계표[사번키],$W492),상세표[반영월],대상월키,상세표[야간당직],1,상세표[야간 구분],"휴일"))</f>
        <v/>
      </c>
      <c r="T492">
        <f>IF($W492="","",COUNTIFS(상세표[사번키],INDEX(합계표[사번키],$W492),상세표[반영월],대상월키,상세표[야간당직],1,상세표[야간 구분],"평일",상세표[반영 기관],"서울병원"))</f>
        <v/>
      </c>
      <c r="U492">
        <f>IF($W492="","",COUNTIFS(상세표[사번키],INDEX(합계표[사번키],$W492),상세표[반영월],대상월키,상세표[야간당직],1,상세표[야간 구분],"휴일",상세표[반영 기관],"서울병원"))</f>
        <v/>
      </c>
      <c r="V492">
        <f>IF($W492="","",IF(ISNUMBER(MATCH(INDEX(합계표[사번키],$W492)&amp;"|"&amp;대상월키,월별근무지표[키],0)),"직접 입력",IF($K492="—","—","기관명단")))</f>
        <v/>
      </c>
      <c r="W492">
        <f>IFERROR(MATCH(487,합계표[판정순번],0),"")</f>
        <v/>
      </c>
    </row>
    <row r="493">
      <c r="A493">
        <f>IF($W493="","",INDEX(합계표[사번],$W493)&amp;"")</f>
        <v/>
      </c>
      <c r="B493">
        <f>IF($W493="","",INDEX(합계표[성명],$W493)&amp;"")</f>
        <v/>
      </c>
      <c r="C493">
        <f>IF($W493="","",INDEX(합계표[부서],$W493)&amp;"")</f>
        <v/>
      </c>
      <c r="D493">
        <f>IF($W493="","",INDEX(합계표[직위(통합)],$W493)&amp;"")</f>
        <v/>
      </c>
      <c r="E493">
        <f>IF($W493="","",SUMIFS(합계표[시스템 합계],합계표[사번키],INDEX(합계표[사번키],$W493)))</f>
        <v/>
      </c>
      <c r="F493">
        <f>IF($W493="","",SUMIFS(상세표[기록 시간외],상세표[사번키],INDEX(합계표[사번키],$W493),상세표[기록월],대상월키))</f>
        <v/>
      </c>
      <c r="G493">
        <f>IF($W493="","",IF(ABS($E493-$F493)&lt;0.01,"일치","불일치(차이 "&amp;TEXT($F493-$E493,"0.00")&amp;")"))</f>
        <v/>
      </c>
      <c r="H493">
        <f>IF($W493="","",SUMIFS(상세표[기록 시간외],상세표[사번키],INDEX(합계표[사번키],$W493),상세표[기록월],대상월키,상세표[반영월],"&lt;&gt;"&amp;대상월키))</f>
        <v/>
      </c>
      <c r="I493">
        <f>IF($W493="","",SUMIFS(상세표[기록 시간외],상세표[사번키],INDEX(합계표[사번키],$W493),상세표[기록월],"&lt;&gt;"&amp;대상월키,상세표[반영월],대상월키))</f>
        <v/>
      </c>
      <c r="J493">
        <f>IF($W493="","",SUMIFS(상세표[기록 시간외],상세표[사번키],INDEX(합계표[사번키],$W493),상세표[반영월],대상월키))</f>
        <v/>
      </c>
      <c r="K493">
        <f>IF($W493="","",IFERROR(INDEX(월별근무지표[적용 급여병원],MATCH(INDEX(합계표[사번키],$W493)&amp;"|"&amp;대상월키,월별근무지표[키],0))&amp;"",IF(COUNTIF(기관표[사번키],INDEX(합계표[사번키],$W493))+COUNTIF(월별근무지표[사번키],INDEX(합계표[사번키],$W493))&gt;0,IFERROR(INDEX(기관표[급여지급병원(기준월)],MATCH(INDEX(합계표[사번키],$W493)&amp;"|"&amp;대상월키,기관표[키],0))&amp;"","—"),"—")))</f>
        <v/>
      </c>
      <c r="L493">
        <f>IF($W493="","",IF(NOT(COUNTIF(기관표[사번키],INDEX(합계표[사번키],$W493))+COUNTIF(월별근무지표[사번키],INDEX(합계표[사번키],$W493))&gt;0),"기관명단에 없음(다른 병원으로 발송)",IF($K493="—","대상월 기관명단 없음(추가 필요)",IF($K493="서울병원","해당","비해당"))))</f>
        <v/>
      </c>
      <c r="M493">
        <f>IF($W493="","",SUMIFS(상세표[06~07시],상세표[사번키],INDEX(합계표[사번키],$W493),상세표[반영월],대상월키,상세표[반영 기관],"서울병원"))</f>
        <v/>
      </c>
      <c r="N493">
        <f>IF($W493="","",SUMIFS(상세표[07~18시],상세표[사번키],INDEX(합계표[사번키],$W493),상세표[반영월],대상월키,상세표[반영 기관],"서울병원"))</f>
        <v/>
      </c>
      <c r="O493">
        <f>IF($W493="","",SUMIFS(상세표[18~22시],상세표[사번키],INDEX(합계표[사번키],$W493),상세표[반영월],대상월키,상세표[반영 기관],"서울병원"))</f>
        <v/>
      </c>
      <c r="P493">
        <f>IF($W493="","",SUMIFS(상세표[22~06시],상세표[사번키],INDEX(합계표[사번키],$W493),상세표[반영월],대상월키,상세표[반영 기관],"서울병원"))</f>
        <v/>
      </c>
      <c r="Q493">
        <f>IF($W493="","",SUM($M493:$P493))</f>
        <v/>
      </c>
      <c r="R493">
        <f>IF($W493="","",COUNTIFS(상세표[사번키],INDEX(합계표[사번키],$W493),상세표[반영월],대상월키,상세표[야간당직],1,상세표[야간 구분],"평일"))</f>
        <v/>
      </c>
      <c r="S493" s="4">
        <f>IF($W493="","",COUNTIFS(상세표[사번키],INDEX(합계표[사번키],$W493),상세표[반영월],대상월키,상세표[야간당직],1,상세표[야간 구분],"휴일"))</f>
        <v/>
      </c>
      <c r="T493">
        <f>IF($W493="","",COUNTIFS(상세표[사번키],INDEX(합계표[사번키],$W493),상세표[반영월],대상월키,상세표[야간당직],1,상세표[야간 구분],"평일",상세표[반영 기관],"서울병원"))</f>
        <v/>
      </c>
      <c r="U493">
        <f>IF($W493="","",COUNTIFS(상세표[사번키],INDEX(합계표[사번키],$W493),상세표[반영월],대상월키,상세표[야간당직],1,상세표[야간 구분],"휴일",상세표[반영 기관],"서울병원"))</f>
        <v/>
      </c>
      <c r="V493">
        <f>IF($W493="","",IF(ISNUMBER(MATCH(INDEX(합계표[사번키],$W493)&amp;"|"&amp;대상월키,월별근무지표[키],0)),"직접 입력",IF($K493="—","—","기관명단")))</f>
        <v/>
      </c>
      <c r="W493">
        <f>IFERROR(MATCH(488,합계표[판정순번],0),"")</f>
        <v/>
      </c>
    </row>
    <row r="494">
      <c r="A494">
        <f>IF($W494="","",INDEX(합계표[사번],$W494)&amp;"")</f>
        <v/>
      </c>
      <c r="B494">
        <f>IF($W494="","",INDEX(합계표[성명],$W494)&amp;"")</f>
        <v/>
      </c>
      <c r="C494">
        <f>IF($W494="","",INDEX(합계표[부서],$W494)&amp;"")</f>
        <v/>
      </c>
      <c r="D494">
        <f>IF($W494="","",INDEX(합계표[직위(통합)],$W494)&amp;"")</f>
        <v/>
      </c>
      <c r="E494">
        <f>IF($W494="","",SUMIFS(합계표[시스템 합계],합계표[사번키],INDEX(합계표[사번키],$W494)))</f>
        <v/>
      </c>
      <c r="F494">
        <f>IF($W494="","",SUMIFS(상세표[기록 시간외],상세표[사번키],INDEX(합계표[사번키],$W494),상세표[기록월],대상월키))</f>
        <v/>
      </c>
      <c r="G494">
        <f>IF($W494="","",IF(ABS($E494-$F494)&lt;0.01,"일치","불일치(차이 "&amp;TEXT($F494-$E494,"0.00")&amp;")"))</f>
        <v/>
      </c>
      <c r="H494">
        <f>IF($W494="","",SUMIFS(상세표[기록 시간외],상세표[사번키],INDEX(합계표[사번키],$W494),상세표[기록월],대상월키,상세표[반영월],"&lt;&gt;"&amp;대상월키))</f>
        <v/>
      </c>
      <c r="I494">
        <f>IF($W494="","",SUMIFS(상세표[기록 시간외],상세표[사번키],INDEX(합계표[사번키],$W494),상세표[기록월],"&lt;&gt;"&amp;대상월키,상세표[반영월],대상월키))</f>
        <v/>
      </c>
      <c r="J494">
        <f>IF($W494="","",SUMIFS(상세표[기록 시간외],상세표[사번키],INDEX(합계표[사번키],$W494),상세표[반영월],대상월키))</f>
        <v/>
      </c>
      <c r="K494">
        <f>IF($W494="","",IFERROR(INDEX(월별근무지표[적용 급여병원],MATCH(INDEX(합계표[사번키],$W494)&amp;"|"&amp;대상월키,월별근무지표[키],0))&amp;"",IF(COUNTIF(기관표[사번키],INDEX(합계표[사번키],$W494))+COUNTIF(월별근무지표[사번키],INDEX(합계표[사번키],$W494))&gt;0,IFERROR(INDEX(기관표[급여지급병원(기준월)],MATCH(INDEX(합계표[사번키],$W494)&amp;"|"&amp;대상월키,기관표[키],0))&amp;"","—"),"—")))</f>
        <v/>
      </c>
      <c r="L494">
        <f>IF($W494="","",IF(NOT(COUNTIF(기관표[사번키],INDEX(합계표[사번키],$W494))+COUNTIF(월별근무지표[사번키],INDEX(합계표[사번키],$W494))&gt;0),"기관명단에 없음(다른 병원으로 발송)",IF($K494="—","대상월 기관명단 없음(추가 필요)",IF($K494="서울병원","해당","비해당"))))</f>
        <v/>
      </c>
      <c r="M494">
        <f>IF($W494="","",SUMIFS(상세표[06~07시],상세표[사번키],INDEX(합계표[사번키],$W494),상세표[반영월],대상월키,상세표[반영 기관],"서울병원"))</f>
        <v/>
      </c>
      <c r="N494">
        <f>IF($W494="","",SUMIFS(상세표[07~18시],상세표[사번키],INDEX(합계표[사번키],$W494),상세표[반영월],대상월키,상세표[반영 기관],"서울병원"))</f>
        <v/>
      </c>
      <c r="O494">
        <f>IF($W494="","",SUMIFS(상세표[18~22시],상세표[사번키],INDEX(합계표[사번키],$W494),상세표[반영월],대상월키,상세표[반영 기관],"서울병원"))</f>
        <v/>
      </c>
      <c r="P494">
        <f>IF($W494="","",SUMIFS(상세표[22~06시],상세표[사번키],INDEX(합계표[사번키],$W494),상세표[반영월],대상월키,상세표[반영 기관],"서울병원"))</f>
        <v/>
      </c>
      <c r="Q494">
        <f>IF($W494="","",SUM($M494:$P494))</f>
        <v/>
      </c>
      <c r="R494">
        <f>IF($W494="","",COUNTIFS(상세표[사번키],INDEX(합계표[사번키],$W494),상세표[반영월],대상월키,상세표[야간당직],1,상세표[야간 구분],"평일"))</f>
        <v/>
      </c>
      <c r="S494" s="4">
        <f>IF($W494="","",COUNTIFS(상세표[사번키],INDEX(합계표[사번키],$W494),상세표[반영월],대상월키,상세표[야간당직],1,상세표[야간 구분],"휴일"))</f>
        <v/>
      </c>
      <c r="T494">
        <f>IF($W494="","",COUNTIFS(상세표[사번키],INDEX(합계표[사번키],$W494),상세표[반영월],대상월키,상세표[야간당직],1,상세표[야간 구분],"평일",상세표[반영 기관],"서울병원"))</f>
        <v/>
      </c>
      <c r="U494">
        <f>IF($W494="","",COUNTIFS(상세표[사번키],INDEX(합계표[사번키],$W494),상세표[반영월],대상월키,상세표[야간당직],1,상세표[야간 구분],"휴일",상세표[반영 기관],"서울병원"))</f>
        <v/>
      </c>
      <c r="V494">
        <f>IF($W494="","",IF(ISNUMBER(MATCH(INDEX(합계표[사번키],$W494)&amp;"|"&amp;대상월키,월별근무지표[키],0)),"직접 입력",IF($K494="—","—","기관명단")))</f>
        <v/>
      </c>
      <c r="W494">
        <f>IFERROR(MATCH(489,합계표[판정순번],0),"")</f>
        <v/>
      </c>
    </row>
    <row r="495">
      <c r="A495">
        <f>IF($W495="","",INDEX(합계표[사번],$W495)&amp;"")</f>
        <v/>
      </c>
      <c r="B495">
        <f>IF($W495="","",INDEX(합계표[성명],$W495)&amp;"")</f>
        <v/>
      </c>
      <c r="C495">
        <f>IF($W495="","",INDEX(합계표[부서],$W495)&amp;"")</f>
        <v/>
      </c>
      <c r="D495">
        <f>IF($W495="","",INDEX(합계표[직위(통합)],$W495)&amp;"")</f>
        <v/>
      </c>
      <c r="E495">
        <f>IF($W495="","",SUMIFS(합계표[시스템 합계],합계표[사번키],INDEX(합계표[사번키],$W495)))</f>
        <v/>
      </c>
      <c r="F495">
        <f>IF($W495="","",SUMIFS(상세표[기록 시간외],상세표[사번키],INDEX(합계표[사번키],$W495),상세표[기록월],대상월키))</f>
        <v/>
      </c>
      <c r="G495">
        <f>IF($W495="","",IF(ABS($E495-$F495)&lt;0.01,"일치","불일치(차이 "&amp;TEXT($F495-$E495,"0.00")&amp;")"))</f>
        <v/>
      </c>
      <c r="H495">
        <f>IF($W495="","",SUMIFS(상세표[기록 시간외],상세표[사번키],INDEX(합계표[사번키],$W495),상세표[기록월],대상월키,상세표[반영월],"&lt;&gt;"&amp;대상월키))</f>
        <v/>
      </c>
      <c r="I495">
        <f>IF($W495="","",SUMIFS(상세표[기록 시간외],상세표[사번키],INDEX(합계표[사번키],$W495),상세표[기록월],"&lt;&gt;"&amp;대상월키,상세표[반영월],대상월키))</f>
        <v/>
      </c>
      <c r="J495">
        <f>IF($W495="","",SUMIFS(상세표[기록 시간외],상세표[사번키],INDEX(합계표[사번키],$W495),상세표[반영월],대상월키))</f>
        <v/>
      </c>
      <c r="K495">
        <f>IF($W495="","",IFERROR(INDEX(월별근무지표[적용 급여병원],MATCH(INDEX(합계표[사번키],$W495)&amp;"|"&amp;대상월키,월별근무지표[키],0))&amp;"",IF(COUNTIF(기관표[사번키],INDEX(합계표[사번키],$W495))+COUNTIF(월별근무지표[사번키],INDEX(합계표[사번키],$W495))&gt;0,IFERROR(INDEX(기관표[급여지급병원(기준월)],MATCH(INDEX(합계표[사번키],$W495)&amp;"|"&amp;대상월키,기관표[키],0))&amp;"","—"),"—")))</f>
        <v/>
      </c>
      <c r="L495">
        <f>IF($W495="","",IF(NOT(COUNTIF(기관표[사번키],INDEX(합계표[사번키],$W495))+COUNTIF(월별근무지표[사번키],INDEX(합계표[사번키],$W495))&gt;0),"기관명단에 없음(다른 병원으로 발송)",IF($K495="—","대상월 기관명단 없음(추가 필요)",IF($K495="서울병원","해당","비해당"))))</f>
        <v/>
      </c>
      <c r="M495">
        <f>IF($W495="","",SUMIFS(상세표[06~07시],상세표[사번키],INDEX(합계표[사번키],$W495),상세표[반영월],대상월키,상세표[반영 기관],"서울병원"))</f>
        <v/>
      </c>
      <c r="N495">
        <f>IF($W495="","",SUMIFS(상세표[07~18시],상세표[사번키],INDEX(합계표[사번키],$W495),상세표[반영월],대상월키,상세표[반영 기관],"서울병원"))</f>
        <v/>
      </c>
      <c r="O495">
        <f>IF($W495="","",SUMIFS(상세표[18~22시],상세표[사번키],INDEX(합계표[사번키],$W495),상세표[반영월],대상월키,상세표[반영 기관],"서울병원"))</f>
        <v/>
      </c>
      <c r="P495">
        <f>IF($W495="","",SUMIFS(상세표[22~06시],상세표[사번키],INDEX(합계표[사번키],$W495),상세표[반영월],대상월키,상세표[반영 기관],"서울병원"))</f>
        <v/>
      </c>
      <c r="Q495">
        <f>IF($W495="","",SUM($M495:$P495))</f>
        <v/>
      </c>
      <c r="R495">
        <f>IF($W495="","",COUNTIFS(상세표[사번키],INDEX(합계표[사번키],$W495),상세표[반영월],대상월키,상세표[야간당직],1,상세표[야간 구분],"평일"))</f>
        <v/>
      </c>
      <c r="S495" s="4">
        <f>IF($W495="","",COUNTIFS(상세표[사번키],INDEX(합계표[사번키],$W495),상세표[반영월],대상월키,상세표[야간당직],1,상세표[야간 구분],"휴일"))</f>
        <v/>
      </c>
      <c r="T495">
        <f>IF($W495="","",COUNTIFS(상세표[사번키],INDEX(합계표[사번키],$W495),상세표[반영월],대상월키,상세표[야간당직],1,상세표[야간 구분],"평일",상세표[반영 기관],"서울병원"))</f>
        <v/>
      </c>
      <c r="U495">
        <f>IF($W495="","",COUNTIFS(상세표[사번키],INDEX(합계표[사번키],$W495),상세표[반영월],대상월키,상세표[야간당직],1,상세표[야간 구분],"휴일",상세표[반영 기관],"서울병원"))</f>
        <v/>
      </c>
      <c r="V495">
        <f>IF($W495="","",IF(ISNUMBER(MATCH(INDEX(합계표[사번키],$W495)&amp;"|"&amp;대상월키,월별근무지표[키],0)),"직접 입력",IF($K495="—","—","기관명단")))</f>
        <v/>
      </c>
      <c r="W495">
        <f>IFERROR(MATCH(490,합계표[판정순번],0),"")</f>
        <v/>
      </c>
    </row>
    <row r="496">
      <c r="A496">
        <f>IF($W496="","",INDEX(합계표[사번],$W496)&amp;"")</f>
        <v/>
      </c>
      <c r="B496">
        <f>IF($W496="","",INDEX(합계표[성명],$W496)&amp;"")</f>
        <v/>
      </c>
      <c r="C496">
        <f>IF($W496="","",INDEX(합계표[부서],$W496)&amp;"")</f>
        <v/>
      </c>
      <c r="D496">
        <f>IF($W496="","",INDEX(합계표[직위(통합)],$W496)&amp;"")</f>
        <v/>
      </c>
      <c r="E496">
        <f>IF($W496="","",SUMIFS(합계표[시스템 합계],합계표[사번키],INDEX(합계표[사번키],$W496)))</f>
        <v/>
      </c>
      <c r="F496">
        <f>IF($W496="","",SUMIFS(상세표[기록 시간외],상세표[사번키],INDEX(합계표[사번키],$W496),상세표[기록월],대상월키))</f>
        <v/>
      </c>
      <c r="G496">
        <f>IF($W496="","",IF(ABS($E496-$F496)&lt;0.01,"일치","불일치(차이 "&amp;TEXT($F496-$E496,"0.00")&amp;")"))</f>
        <v/>
      </c>
      <c r="H496">
        <f>IF($W496="","",SUMIFS(상세표[기록 시간외],상세표[사번키],INDEX(합계표[사번키],$W496),상세표[기록월],대상월키,상세표[반영월],"&lt;&gt;"&amp;대상월키))</f>
        <v/>
      </c>
      <c r="I496">
        <f>IF($W496="","",SUMIFS(상세표[기록 시간외],상세표[사번키],INDEX(합계표[사번키],$W496),상세표[기록월],"&lt;&gt;"&amp;대상월키,상세표[반영월],대상월키))</f>
        <v/>
      </c>
      <c r="J496">
        <f>IF($W496="","",SUMIFS(상세표[기록 시간외],상세표[사번키],INDEX(합계표[사번키],$W496),상세표[반영월],대상월키))</f>
        <v/>
      </c>
      <c r="K496">
        <f>IF($W496="","",IFERROR(INDEX(월별근무지표[적용 급여병원],MATCH(INDEX(합계표[사번키],$W496)&amp;"|"&amp;대상월키,월별근무지표[키],0))&amp;"",IF(COUNTIF(기관표[사번키],INDEX(합계표[사번키],$W496))+COUNTIF(월별근무지표[사번키],INDEX(합계표[사번키],$W496))&gt;0,IFERROR(INDEX(기관표[급여지급병원(기준월)],MATCH(INDEX(합계표[사번키],$W496)&amp;"|"&amp;대상월키,기관표[키],0))&amp;"","—"),"—")))</f>
        <v/>
      </c>
      <c r="L496">
        <f>IF($W496="","",IF(NOT(COUNTIF(기관표[사번키],INDEX(합계표[사번키],$W496))+COUNTIF(월별근무지표[사번키],INDEX(합계표[사번키],$W496))&gt;0),"기관명단에 없음(다른 병원으로 발송)",IF($K496="—","대상월 기관명단 없음(추가 필요)",IF($K496="서울병원","해당","비해당"))))</f>
        <v/>
      </c>
      <c r="M496">
        <f>IF($W496="","",SUMIFS(상세표[06~07시],상세표[사번키],INDEX(합계표[사번키],$W496),상세표[반영월],대상월키,상세표[반영 기관],"서울병원"))</f>
        <v/>
      </c>
      <c r="N496">
        <f>IF($W496="","",SUMIFS(상세표[07~18시],상세표[사번키],INDEX(합계표[사번키],$W496),상세표[반영월],대상월키,상세표[반영 기관],"서울병원"))</f>
        <v/>
      </c>
      <c r="O496">
        <f>IF($W496="","",SUMIFS(상세표[18~22시],상세표[사번키],INDEX(합계표[사번키],$W496),상세표[반영월],대상월키,상세표[반영 기관],"서울병원"))</f>
        <v/>
      </c>
      <c r="P496">
        <f>IF($W496="","",SUMIFS(상세표[22~06시],상세표[사번키],INDEX(합계표[사번키],$W496),상세표[반영월],대상월키,상세표[반영 기관],"서울병원"))</f>
        <v/>
      </c>
      <c r="Q496">
        <f>IF($W496="","",SUM($M496:$P496))</f>
        <v/>
      </c>
      <c r="R496">
        <f>IF($W496="","",COUNTIFS(상세표[사번키],INDEX(합계표[사번키],$W496),상세표[반영월],대상월키,상세표[야간당직],1,상세표[야간 구분],"평일"))</f>
        <v/>
      </c>
      <c r="S496" s="4">
        <f>IF($W496="","",COUNTIFS(상세표[사번키],INDEX(합계표[사번키],$W496),상세표[반영월],대상월키,상세표[야간당직],1,상세표[야간 구분],"휴일"))</f>
        <v/>
      </c>
      <c r="T496">
        <f>IF($W496="","",COUNTIFS(상세표[사번키],INDEX(합계표[사번키],$W496),상세표[반영월],대상월키,상세표[야간당직],1,상세표[야간 구분],"평일",상세표[반영 기관],"서울병원"))</f>
        <v/>
      </c>
      <c r="U496">
        <f>IF($W496="","",COUNTIFS(상세표[사번키],INDEX(합계표[사번키],$W496),상세표[반영월],대상월키,상세표[야간당직],1,상세표[야간 구분],"휴일",상세표[반영 기관],"서울병원"))</f>
        <v/>
      </c>
      <c r="V496">
        <f>IF($W496="","",IF(ISNUMBER(MATCH(INDEX(합계표[사번키],$W496)&amp;"|"&amp;대상월키,월별근무지표[키],0)),"직접 입력",IF($K496="—","—","기관명단")))</f>
        <v/>
      </c>
      <c r="W496">
        <f>IFERROR(MATCH(491,합계표[판정순번],0),"")</f>
        <v/>
      </c>
    </row>
    <row r="497">
      <c r="A497">
        <f>IF($W497="","",INDEX(합계표[사번],$W497)&amp;"")</f>
        <v/>
      </c>
      <c r="B497">
        <f>IF($W497="","",INDEX(합계표[성명],$W497)&amp;"")</f>
        <v/>
      </c>
      <c r="C497">
        <f>IF($W497="","",INDEX(합계표[부서],$W497)&amp;"")</f>
        <v/>
      </c>
      <c r="D497">
        <f>IF($W497="","",INDEX(합계표[직위(통합)],$W497)&amp;"")</f>
        <v/>
      </c>
      <c r="E497">
        <f>IF($W497="","",SUMIFS(합계표[시스템 합계],합계표[사번키],INDEX(합계표[사번키],$W497)))</f>
        <v/>
      </c>
      <c r="F497">
        <f>IF($W497="","",SUMIFS(상세표[기록 시간외],상세표[사번키],INDEX(합계표[사번키],$W497),상세표[기록월],대상월키))</f>
        <v/>
      </c>
      <c r="G497">
        <f>IF($W497="","",IF(ABS($E497-$F497)&lt;0.01,"일치","불일치(차이 "&amp;TEXT($F497-$E497,"0.00")&amp;")"))</f>
        <v/>
      </c>
      <c r="H497">
        <f>IF($W497="","",SUMIFS(상세표[기록 시간외],상세표[사번키],INDEX(합계표[사번키],$W497),상세표[기록월],대상월키,상세표[반영월],"&lt;&gt;"&amp;대상월키))</f>
        <v/>
      </c>
      <c r="I497">
        <f>IF($W497="","",SUMIFS(상세표[기록 시간외],상세표[사번키],INDEX(합계표[사번키],$W497),상세표[기록월],"&lt;&gt;"&amp;대상월키,상세표[반영월],대상월키))</f>
        <v/>
      </c>
      <c r="J497">
        <f>IF($W497="","",SUMIFS(상세표[기록 시간외],상세표[사번키],INDEX(합계표[사번키],$W497),상세표[반영월],대상월키))</f>
        <v/>
      </c>
      <c r="K497">
        <f>IF($W497="","",IFERROR(INDEX(월별근무지표[적용 급여병원],MATCH(INDEX(합계표[사번키],$W497)&amp;"|"&amp;대상월키,월별근무지표[키],0))&amp;"",IF(COUNTIF(기관표[사번키],INDEX(합계표[사번키],$W497))+COUNTIF(월별근무지표[사번키],INDEX(합계표[사번키],$W497))&gt;0,IFERROR(INDEX(기관표[급여지급병원(기준월)],MATCH(INDEX(합계표[사번키],$W497)&amp;"|"&amp;대상월키,기관표[키],0))&amp;"","—"),"—")))</f>
        <v/>
      </c>
      <c r="L497">
        <f>IF($W497="","",IF(NOT(COUNTIF(기관표[사번키],INDEX(합계표[사번키],$W497))+COUNTIF(월별근무지표[사번키],INDEX(합계표[사번키],$W497))&gt;0),"기관명단에 없음(다른 병원으로 발송)",IF($K497="—","대상월 기관명단 없음(추가 필요)",IF($K497="서울병원","해당","비해당"))))</f>
        <v/>
      </c>
      <c r="M497">
        <f>IF($W497="","",SUMIFS(상세표[06~07시],상세표[사번키],INDEX(합계표[사번키],$W497),상세표[반영월],대상월키,상세표[반영 기관],"서울병원"))</f>
        <v/>
      </c>
      <c r="N497">
        <f>IF($W497="","",SUMIFS(상세표[07~18시],상세표[사번키],INDEX(합계표[사번키],$W497),상세표[반영월],대상월키,상세표[반영 기관],"서울병원"))</f>
        <v/>
      </c>
      <c r="O497">
        <f>IF($W497="","",SUMIFS(상세표[18~22시],상세표[사번키],INDEX(합계표[사번키],$W497),상세표[반영월],대상월키,상세표[반영 기관],"서울병원"))</f>
        <v/>
      </c>
      <c r="P497">
        <f>IF($W497="","",SUMIFS(상세표[22~06시],상세표[사번키],INDEX(합계표[사번키],$W497),상세표[반영월],대상월키,상세표[반영 기관],"서울병원"))</f>
        <v/>
      </c>
      <c r="Q497">
        <f>IF($W497="","",SUM($M497:$P497))</f>
        <v/>
      </c>
      <c r="R497">
        <f>IF($W497="","",COUNTIFS(상세표[사번키],INDEX(합계표[사번키],$W497),상세표[반영월],대상월키,상세표[야간당직],1,상세표[야간 구분],"평일"))</f>
        <v/>
      </c>
      <c r="S497" s="4">
        <f>IF($W497="","",COUNTIFS(상세표[사번키],INDEX(합계표[사번키],$W497),상세표[반영월],대상월키,상세표[야간당직],1,상세표[야간 구분],"휴일"))</f>
        <v/>
      </c>
      <c r="T497">
        <f>IF($W497="","",COUNTIFS(상세표[사번키],INDEX(합계표[사번키],$W497),상세표[반영월],대상월키,상세표[야간당직],1,상세표[야간 구분],"평일",상세표[반영 기관],"서울병원"))</f>
        <v/>
      </c>
      <c r="U497">
        <f>IF($W497="","",COUNTIFS(상세표[사번키],INDEX(합계표[사번키],$W497),상세표[반영월],대상월키,상세표[야간당직],1,상세표[야간 구분],"휴일",상세표[반영 기관],"서울병원"))</f>
        <v/>
      </c>
      <c r="V497">
        <f>IF($W497="","",IF(ISNUMBER(MATCH(INDEX(합계표[사번키],$W497)&amp;"|"&amp;대상월키,월별근무지표[키],0)),"직접 입력",IF($K497="—","—","기관명단")))</f>
        <v/>
      </c>
      <c r="W497">
        <f>IFERROR(MATCH(492,합계표[판정순번],0),"")</f>
        <v/>
      </c>
    </row>
    <row r="498">
      <c r="A498">
        <f>IF($W498="","",INDEX(합계표[사번],$W498)&amp;"")</f>
        <v/>
      </c>
      <c r="B498">
        <f>IF($W498="","",INDEX(합계표[성명],$W498)&amp;"")</f>
        <v/>
      </c>
      <c r="C498">
        <f>IF($W498="","",INDEX(합계표[부서],$W498)&amp;"")</f>
        <v/>
      </c>
      <c r="D498">
        <f>IF($W498="","",INDEX(합계표[직위(통합)],$W498)&amp;"")</f>
        <v/>
      </c>
      <c r="E498">
        <f>IF($W498="","",SUMIFS(합계표[시스템 합계],합계표[사번키],INDEX(합계표[사번키],$W498)))</f>
        <v/>
      </c>
      <c r="F498">
        <f>IF($W498="","",SUMIFS(상세표[기록 시간외],상세표[사번키],INDEX(합계표[사번키],$W498),상세표[기록월],대상월키))</f>
        <v/>
      </c>
      <c r="G498">
        <f>IF($W498="","",IF(ABS($E498-$F498)&lt;0.01,"일치","불일치(차이 "&amp;TEXT($F498-$E498,"0.00")&amp;")"))</f>
        <v/>
      </c>
      <c r="H498">
        <f>IF($W498="","",SUMIFS(상세표[기록 시간외],상세표[사번키],INDEX(합계표[사번키],$W498),상세표[기록월],대상월키,상세표[반영월],"&lt;&gt;"&amp;대상월키))</f>
        <v/>
      </c>
      <c r="I498">
        <f>IF($W498="","",SUMIFS(상세표[기록 시간외],상세표[사번키],INDEX(합계표[사번키],$W498),상세표[기록월],"&lt;&gt;"&amp;대상월키,상세표[반영월],대상월키))</f>
        <v/>
      </c>
      <c r="J498">
        <f>IF($W498="","",SUMIFS(상세표[기록 시간외],상세표[사번키],INDEX(합계표[사번키],$W498),상세표[반영월],대상월키))</f>
        <v/>
      </c>
      <c r="K498">
        <f>IF($W498="","",IFERROR(INDEX(월별근무지표[적용 급여병원],MATCH(INDEX(합계표[사번키],$W498)&amp;"|"&amp;대상월키,월별근무지표[키],0))&amp;"",IF(COUNTIF(기관표[사번키],INDEX(합계표[사번키],$W498))+COUNTIF(월별근무지표[사번키],INDEX(합계표[사번키],$W498))&gt;0,IFERROR(INDEX(기관표[급여지급병원(기준월)],MATCH(INDEX(합계표[사번키],$W498)&amp;"|"&amp;대상월키,기관표[키],0))&amp;"","—"),"—")))</f>
        <v/>
      </c>
      <c r="L498">
        <f>IF($W498="","",IF(NOT(COUNTIF(기관표[사번키],INDEX(합계표[사번키],$W498))+COUNTIF(월별근무지표[사번키],INDEX(합계표[사번키],$W498))&gt;0),"기관명단에 없음(다른 병원으로 발송)",IF($K498="—","대상월 기관명단 없음(추가 필요)",IF($K498="서울병원","해당","비해당"))))</f>
        <v/>
      </c>
      <c r="M498">
        <f>IF($W498="","",SUMIFS(상세표[06~07시],상세표[사번키],INDEX(합계표[사번키],$W498),상세표[반영월],대상월키,상세표[반영 기관],"서울병원"))</f>
        <v/>
      </c>
      <c r="N498">
        <f>IF($W498="","",SUMIFS(상세표[07~18시],상세표[사번키],INDEX(합계표[사번키],$W498),상세표[반영월],대상월키,상세표[반영 기관],"서울병원"))</f>
        <v/>
      </c>
      <c r="O498">
        <f>IF($W498="","",SUMIFS(상세표[18~22시],상세표[사번키],INDEX(합계표[사번키],$W498),상세표[반영월],대상월키,상세표[반영 기관],"서울병원"))</f>
        <v/>
      </c>
      <c r="P498">
        <f>IF($W498="","",SUMIFS(상세표[22~06시],상세표[사번키],INDEX(합계표[사번키],$W498),상세표[반영월],대상월키,상세표[반영 기관],"서울병원"))</f>
        <v/>
      </c>
      <c r="Q498">
        <f>IF($W498="","",SUM($M498:$P498))</f>
        <v/>
      </c>
      <c r="R498">
        <f>IF($W498="","",COUNTIFS(상세표[사번키],INDEX(합계표[사번키],$W498),상세표[반영월],대상월키,상세표[야간당직],1,상세표[야간 구분],"평일"))</f>
        <v/>
      </c>
      <c r="S498" s="4">
        <f>IF($W498="","",COUNTIFS(상세표[사번키],INDEX(합계표[사번키],$W498),상세표[반영월],대상월키,상세표[야간당직],1,상세표[야간 구분],"휴일"))</f>
        <v/>
      </c>
      <c r="T498">
        <f>IF($W498="","",COUNTIFS(상세표[사번키],INDEX(합계표[사번키],$W498),상세표[반영월],대상월키,상세표[야간당직],1,상세표[야간 구분],"평일",상세표[반영 기관],"서울병원"))</f>
        <v/>
      </c>
      <c r="U498">
        <f>IF($W498="","",COUNTIFS(상세표[사번키],INDEX(합계표[사번키],$W498),상세표[반영월],대상월키,상세표[야간당직],1,상세표[야간 구분],"휴일",상세표[반영 기관],"서울병원"))</f>
        <v/>
      </c>
      <c r="V498">
        <f>IF($W498="","",IF(ISNUMBER(MATCH(INDEX(합계표[사번키],$W498)&amp;"|"&amp;대상월키,월별근무지표[키],0)),"직접 입력",IF($K498="—","—","기관명단")))</f>
        <v/>
      </c>
      <c r="W498">
        <f>IFERROR(MATCH(493,합계표[판정순번],0),"")</f>
        <v/>
      </c>
    </row>
    <row r="499">
      <c r="A499">
        <f>IF($W499="","",INDEX(합계표[사번],$W499)&amp;"")</f>
        <v/>
      </c>
      <c r="B499">
        <f>IF($W499="","",INDEX(합계표[성명],$W499)&amp;"")</f>
        <v/>
      </c>
      <c r="C499">
        <f>IF($W499="","",INDEX(합계표[부서],$W499)&amp;"")</f>
        <v/>
      </c>
      <c r="D499">
        <f>IF($W499="","",INDEX(합계표[직위(통합)],$W499)&amp;"")</f>
        <v/>
      </c>
      <c r="E499">
        <f>IF($W499="","",SUMIFS(합계표[시스템 합계],합계표[사번키],INDEX(합계표[사번키],$W499)))</f>
        <v/>
      </c>
      <c r="F499">
        <f>IF($W499="","",SUMIFS(상세표[기록 시간외],상세표[사번키],INDEX(합계표[사번키],$W499),상세표[기록월],대상월키))</f>
        <v/>
      </c>
      <c r="G499">
        <f>IF($W499="","",IF(ABS($E499-$F499)&lt;0.01,"일치","불일치(차이 "&amp;TEXT($F499-$E499,"0.00")&amp;")"))</f>
        <v/>
      </c>
      <c r="H499">
        <f>IF($W499="","",SUMIFS(상세표[기록 시간외],상세표[사번키],INDEX(합계표[사번키],$W499),상세표[기록월],대상월키,상세표[반영월],"&lt;&gt;"&amp;대상월키))</f>
        <v/>
      </c>
      <c r="I499">
        <f>IF($W499="","",SUMIFS(상세표[기록 시간외],상세표[사번키],INDEX(합계표[사번키],$W499),상세표[기록월],"&lt;&gt;"&amp;대상월키,상세표[반영월],대상월키))</f>
        <v/>
      </c>
      <c r="J499">
        <f>IF($W499="","",SUMIFS(상세표[기록 시간외],상세표[사번키],INDEX(합계표[사번키],$W499),상세표[반영월],대상월키))</f>
        <v/>
      </c>
      <c r="K499">
        <f>IF($W499="","",IFERROR(INDEX(월별근무지표[적용 급여병원],MATCH(INDEX(합계표[사번키],$W499)&amp;"|"&amp;대상월키,월별근무지표[키],0))&amp;"",IF(COUNTIF(기관표[사번키],INDEX(합계표[사번키],$W499))+COUNTIF(월별근무지표[사번키],INDEX(합계표[사번키],$W499))&gt;0,IFERROR(INDEX(기관표[급여지급병원(기준월)],MATCH(INDEX(합계표[사번키],$W499)&amp;"|"&amp;대상월키,기관표[키],0))&amp;"","—"),"—")))</f>
        <v/>
      </c>
      <c r="L499">
        <f>IF($W499="","",IF(NOT(COUNTIF(기관표[사번키],INDEX(합계표[사번키],$W499))+COUNTIF(월별근무지표[사번키],INDEX(합계표[사번키],$W499))&gt;0),"기관명단에 없음(다른 병원으로 발송)",IF($K499="—","대상월 기관명단 없음(추가 필요)",IF($K499="서울병원","해당","비해당"))))</f>
        <v/>
      </c>
      <c r="M499">
        <f>IF($W499="","",SUMIFS(상세표[06~07시],상세표[사번키],INDEX(합계표[사번키],$W499),상세표[반영월],대상월키,상세표[반영 기관],"서울병원"))</f>
        <v/>
      </c>
      <c r="N499">
        <f>IF($W499="","",SUMIFS(상세표[07~18시],상세표[사번키],INDEX(합계표[사번키],$W499),상세표[반영월],대상월키,상세표[반영 기관],"서울병원"))</f>
        <v/>
      </c>
      <c r="O499">
        <f>IF($W499="","",SUMIFS(상세표[18~22시],상세표[사번키],INDEX(합계표[사번키],$W499),상세표[반영월],대상월키,상세표[반영 기관],"서울병원"))</f>
        <v/>
      </c>
      <c r="P499">
        <f>IF($W499="","",SUMIFS(상세표[22~06시],상세표[사번키],INDEX(합계표[사번키],$W499),상세표[반영월],대상월키,상세표[반영 기관],"서울병원"))</f>
        <v/>
      </c>
      <c r="Q499">
        <f>IF($W499="","",SUM($M499:$P499))</f>
        <v/>
      </c>
      <c r="R499">
        <f>IF($W499="","",COUNTIFS(상세표[사번키],INDEX(합계표[사번키],$W499),상세표[반영월],대상월키,상세표[야간당직],1,상세표[야간 구분],"평일"))</f>
        <v/>
      </c>
      <c r="S499" s="4">
        <f>IF($W499="","",COUNTIFS(상세표[사번키],INDEX(합계표[사번키],$W499),상세표[반영월],대상월키,상세표[야간당직],1,상세표[야간 구분],"휴일"))</f>
        <v/>
      </c>
      <c r="T499">
        <f>IF($W499="","",COUNTIFS(상세표[사번키],INDEX(합계표[사번키],$W499),상세표[반영월],대상월키,상세표[야간당직],1,상세표[야간 구분],"평일",상세표[반영 기관],"서울병원"))</f>
        <v/>
      </c>
      <c r="U499">
        <f>IF($W499="","",COUNTIFS(상세표[사번키],INDEX(합계표[사번키],$W499),상세표[반영월],대상월키,상세표[야간당직],1,상세표[야간 구분],"휴일",상세표[반영 기관],"서울병원"))</f>
        <v/>
      </c>
      <c r="V499">
        <f>IF($W499="","",IF(ISNUMBER(MATCH(INDEX(합계표[사번키],$W499)&amp;"|"&amp;대상월키,월별근무지표[키],0)),"직접 입력",IF($K499="—","—","기관명단")))</f>
        <v/>
      </c>
      <c r="W499">
        <f>IFERROR(MATCH(494,합계표[판정순번],0),"")</f>
        <v/>
      </c>
    </row>
    <row r="500">
      <c r="A500">
        <f>IF($W500="","",INDEX(합계표[사번],$W500)&amp;"")</f>
        <v/>
      </c>
      <c r="B500">
        <f>IF($W500="","",INDEX(합계표[성명],$W500)&amp;"")</f>
        <v/>
      </c>
      <c r="C500">
        <f>IF($W500="","",INDEX(합계표[부서],$W500)&amp;"")</f>
        <v/>
      </c>
      <c r="D500">
        <f>IF($W500="","",INDEX(합계표[직위(통합)],$W500)&amp;"")</f>
        <v/>
      </c>
      <c r="E500">
        <f>IF($W500="","",SUMIFS(합계표[시스템 합계],합계표[사번키],INDEX(합계표[사번키],$W500)))</f>
        <v/>
      </c>
      <c r="F500">
        <f>IF($W500="","",SUMIFS(상세표[기록 시간외],상세표[사번키],INDEX(합계표[사번키],$W500),상세표[기록월],대상월키))</f>
        <v/>
      </c>
      <c r="G500">
        <f>IF($W500="","",IF(ABS($E500-$F500)&lt;0.01,"일치","불일치(차이 "&amp;TEXT($F500-$E500,"0.00")&amp;")"))</f>
        <v/>
      </c>
      <c r="H500">
        <f>IF($W500="","",SUMIFS(상세표[기록 시간외],상세표[사번키],INDEX(합계표[사번키],$W500),상세표[기록월],대상월키,상세표[반영월],"&lt;&gt;"&amp;대상월키))</f>
        <v/>
      </c>
      <c r="I500">
        <f>IF($W500="","",SUMIFS(상세표[기록 시간외],상세표[사번키],INDEX(합계표[사번키],$W500),상세표[기록월],"&lt;&gt;"&amp;대상월키,상세표[반영월],대상월키))</f>
        <v/>
      </c>
      <c r="J500">
        <f>IF($W500="","",SUMIFS(상세표[기록 시간외],상세표[사번키],INDEX(합계표[사번키],$W500),상세표[반영월],대상월키))</f>
        <v/>
      </c>
      <c r="K500">
        <f>IF($W500="","",IFERROR(INDEX(월별근무지표[적용 급여병원],MATCH(INDEX(합계표[사번키],$W500)&amp;"|"&amp;대상월키,월별근무지표[키],0))&amp;"",IF(COUNTIF(기관표[사번키],INDEX(합계표[사번키],$W500))+COUNTIF(월별근무지표[사번키],INDEX(합계표[사번키],$W500))&gt;0,IFERROR(INDEX(기관표[급여지급병원(기준월)],MATCH(INDEX(합계표[사번키],$W500)&amp;"|"&amp;대상월키,기관표[키],0))&amp;"","—"),"—")))</f>
        <v/>
      </c>
      <c r="L500">
        <f>IF($W500="","",IF(NOT(COUNTIF(기관표[사번키],INDEX(합계표[사번키],$W500))+COUNTIF(월별근무지표[사번키],INDEX(합계표[사번키],$W500))&gt;0),"기관명단에 없음(다른 병원으로 발송)",IF($K500="—","대상월 기관명단 없음(추가 필요)",IF($K500="서울병원","해당","비해당"))))</f>
        <v/>
      </c>
      <c r="M500">
        <f>IF($W500="","",SUMIFS(상세표[06~07시],상세표[사번키],INDEX(합계표[사번키],$W500),상세표[반영월],대상월키,상세표[반영 기관],"서울병원"))</f>
        <v/>
      </c>
      <c r="N500">
        <f>IF($W500="","",SUMIFS(상세표[07~18시],상세표[사번키],INDEX(합계표[사번키],$W500),상세표[반영월],대상월키,상세표[반영 기관],"서울병원"))</f>
        <v/>
      </c>
      <c r="O500">
        <f>IF($W500="","",SUMIFS(상세표[18~22시],상세표[사번키],INDEX(합계표[사번키],$W500),상세표[반영월],대상월키,상세표[반영 기관],"서울병원"))</f>
        <v/>
      </c>
      <c r="P500">
        <f>IF($W500="","",SUMIFS(상세표[22~06시],상세표[사번키],INDEX(합계표[사번키],$W500),상세표[반영월],대상월키,상세표[반영 기관],"서울병원"))</f>
        <v/>
      </c>
      <c r="Q500">
        <f>IF($W500="","",SUM($M500:$P500))</f>
        <v/>
      </c>
      <c r="R500">
        <f>IF($W500="","",COUNTIFS(상세표[사번키],INDEX(합계표[사번키],$W500),상세표[반영월],대상월키,상세표[야간당직],1,상세표[야간 구분],"평일"))</f>
        <v/>
      </c>
      <c r="S500" s="4">
        <f>IF($W500="","",COUNTIFS(상세표[사번키],INDEX(합계표[사번키],$W500),상세표[반영월],대상월키,상세표[야간당직],1,상세표[야간 구분],"휴일"))</f>
        <v/>
      </c>
      <c r="T500">
        <f>IF($W500="","",COUNTIFS(상세표[사번키],INDEX(합계표[사번키],$W500),상세표[반영월],대상월키,상세표[야간당직],1,상세표[야간 구분],"평일",상세표[반영 기관],"서울병원"))</f>
        <v/>
      </c>
      <c r="U500">
        <f>IF($W500="","",COUNTIFS(상세표[사번키],INDEX(합계표[사번키],$W500),상세표[반영월],대상월키,상세표[야간당직],1,상세표[야간 구분],"휴일",상세표[반영 기관],"서울병원"))</f>
        <v/>
      </c>
      <c r="V500">
        <f>IF($W500="","",IF(ISNUMBER(MATCH(INDEX(합계표[사번키],$W500)&amp;"|"&amp;대상월키,월별근무지표[키],0)),"직접 입력",IF($K500="—","—","기관명단")))</f>
        <v/>
      </c>
      <c r="W500">
        <f>IFERROR(MATCH(495,합계표[판정순번],0),"")</f>
        <v/>
      </c>
    </row>
    <row r="501">
      <c r="A501">
        <f>IF($W501="","",INDEX(합계표[사번],$W501)&amp;"")</f>
        <v/>
      </c>
      <c r="B501">
        <f>IF($W501="","",INDEX(합계표[성명],$W501)&amp;"")</f>
        <v/>
      </c>
      <c r="C501">
        <f>IF($W501="","",INDEX(합계표[부서],$W501)&amp;"")</f>
        <v/>
      </c>
      <c r="D501">
        <f>IF($W501="","",INDEX(합계표[직위(통합)],$W501)&amp;"")</f>
        <v/>
      </c>
      <c r="E501">
        <f>IF($W501="","",SUMIFS(합계표[시스템 합계],합계표[사번키],INDEX(합계표[사번키],$W501)))</f>
        <v/>
      </c>
      <c r="F501">
        <f>IF($W501="","",SUMIFS(상세표[기록 시간외],상세표[사번키],INDEX(합계표[사번키],$W501),상세표[기록월],대상월키))</f>
        <v/>
      </c>
      <c r="G501">
        <f>IF($W501="","",IF(ABS($E501-$F501)&lt;0.01,"일치","불일치(차이 "&amp;TEXT($F501-$E501,"0.00")&amp;")"))</f>
        <v/>
      </c>
      <c r="H501">
        <f>IF($W501="","",SUMIFS(상세표[기록 시간외],상세표[사번키],INDEX(합계표[사번키],$W501),상세표[기록월],대상월키,상세표[반영월],"&lt;&gt;"&amp;대상월키))</f>
        <v/>
      </c>
      <c r="I501">
        <f>IF($W501="","",SUMIFS(상세표[기록 시간외],상세표[사번키],INDEX(합계표[사번키],$W501),상세표[기록월],"&lt;&gt;"&amp;대상월키,상세표[반영월],대상월키))</f>
        <v/>
      </c>
      <c r="J501">
        <f>IF($W501="","",SUMIFS(상세표[기록 시간외],상세표[사번키],INDEX(합계표[사번키],$W501),상세표[반영월],대상월키))</f>
        <v/>
      </c>
      <c r="K501">
        <f>IF($W501="","",IFERROR(INDEX(월별근무지표[적용 급여병원],MATCH(INDEX(합계표[사번키],$W501)&amp;"|"&amp;대상월키,월별근무지표[키],0))&amp;"",IF(COUNTIF(기관표[사번키],INDEX(합계표[사번키],$W501))+COUNTIF(월별근무지표[사번키],INDEX(합계표[사번키],$W501))&gt;0,IFERROR(INDEX(기관표[급여지급병원(기준월)],MATCH(INDEX(합계표[사번키],$W501)&amp;"|"&amp;대상월키,기관표[키],0))&amp;"","—"),"—")))</f>
        <v/>
      </c>
      <c r="L501">
        <f>IF($W501="","",IF(NOT(COUNTIF(기관표[사번키],INDEX(합계표[사번키],$W501))+COUNTIF(월별근무지표[사번키],INDEX(합계표[사번키],$W501))&gt;0),"기관명단에 없음(다른 병원으로 발송)",IF($K501="—","대상월 기관명단 없음(추가 필요)",IF($K501="서울병원","해당","비해당"))))</f>
        <v/>
      </c>
      <c r="M501">
        <f>IF($W501="","",SUMIFS(상세표[06~07시],상세표[사번키],INDEX(합계표[사번키],$W501),상세표[반영월],대상월키,상세표[반영 기관],"서울병원"))</f>
        <v/>
      </c>
      <c r="N501">
        <f>IF($W501="","",SUMIFS(상세표[07~18시],상세표[사번키],INDEX(합계표[사번키],$W501),상세표[반영월],대상월키,상세표[반영 기관],"서울병원"))</f>
        <v/>
      </c>
      <c r="O501">
        <f>IF($W501="","",SUMIFS(상세표[18~22시],상세표[사번키],INDEX(합계표[사번키],$W501),상세표[반영월],대상월키,상세표[반영 기관],"서울병원"))</f>
        <v/>
      </c>
      <c r="P501">
        <f>IF($W501="","",SUMIFS(상세표[22~06시],상세표[사번키],INDEX(합계표[사번키],$W501),상세표[반영월],대상월키,상세표[반영 기관],"서울병원"))</f>
        <v/>
      </c>
      <c r="Q501">
        <f>IF($W501="","",SUM($M501:$P501))</f>
        <v/>
      </c>
      <c r="R501">
        <f>IF($W501="","",COUNTIFS(상세표[사번키],INDEX(합계표[사번키],$W501),상세표[반영월],대상월키,상세표[야간당직],1,상세표[야간 구분],"평일"))</f>
        <v/>
      </c>
      <c r="S501" s="4">
        <f>IF($W501="","",COUNTIFS(상세표[사번키],INDEX(합계표[사번키],$W501),상세표[반영월],대상월키,상세표[야간당직],1,상세표[야간 구분],"휴일"))</f>
        <v/>
      </c>
      <c r="T501">
        <f>IF($W501="","",COUNTIFS(상세표[사번키],INDEX(합계표[사번키],$W501),상세표[반영월],대상월키,상세표[야간당직],1,상세표[야간 구분],"평일",상세표[반영 기관],"서울병원"))</f>
        <v/>
      </c>
      <c r="U501">
        <f>IF($W501="","",COUNTIFS(상세표[사번키],INDEX(합계표[사번키],$W501),상세표[반영월],대상월키,상세표[야간당직],1,상세표[야간 구분],"휴일",상세표[반영 기관],"서울병원"))</f>
        <v/>
      </c>
      <c r="V501">
        <f>IF($W501="","",IF(ISNUMBER(MATCH(INDEX(합계표[사번키],$W501)&amp;"|"&amp;대상월키,월별근무지표[키],0)),"직접 입력",IF($K501="—","—","기관명단")))</f>
        <v/>
      </c>
      <c r="W501">
        <f>IFERROR(MATCH(496,합계표[판정순번],0),"")</f>
        <v/>
      </c>
    </row>
    <row r="502">
      <c r="A502">
        <f>IF($W502="","",INDEX(합계표[사번],$W502)&amp;"")</f>
        <v/>
      </c>
      <c r="B502">
        <f>IF($W502="","",INDEX(합계표[성명],$W502)&amp;"")</f>
        <v/>
      </c>
      <c r="C502">
        <f>IF($W502="","",INDEX(합계표[부서],$W502)&amp;"")</f>
        <v/>
      </c>
      <c r="D502">
        <f>IF($W502="","",INDEX(합계표[직위(통합)],$W502)&amp;"")</f>
        <v/>
      </c>
      <c r="E502">
        <f>IF($W502="","",SUMIFS(합계표[시스템 합계],합계표[사번키],INDEX(합계표[사번키],$W502)))</f>
        <v/>
      </c>
      <c r="F502">
        <f>IF($W502="","",SUMIFS(상세표[기록 시간외],상세표[사번키],INDEX(합계표[사번키],$W502),상세표[기록월],대상월키))</f>
        <v/>
      </c>
      <c r="G502">
        <f>IF($W502="","",IF(ABS($E502-$F502)&lt;0.01,"일치","불일치(차이 "&amp;TEXT($F502-$E502,"0.00")&amp;")"))</f>
        <v/>
      </c>
      <c r="H502">
        <f>IF($W502="","",SUMIFS(상세표[기록 시간외],상세표[사번키],INDEX(합계표[사번키],$W502),상세표[기록월],대상월키,상세표[반영월],"&lt;&gt;"&amp;대상월키))</f>
        <v/>
      </c>
      <c r="I502">
        <f>IF($W502="","",SUMIFS(상세표[기록 시간외],상세표[사번키],INDEX(합계표[사번키],$W502),상세표[기록월],"&lt;&gt;"&amp;대상월키,상세표[반영월],대상월키))</f>
        <v/>
      </c>
      <c r="J502">
        <f>IF($W502="","",SUMIFS(상세표[기록 시간외],상세표[사번키],INDEX(합계표[사번키],$W502),상세표[반영월],대상월키))</f>
        <v/>
      </c>
      <c r="K502">
        <f>IF($W502="","",IFERROR(INDEX(월별근무지표[적용 급여병원],MATCH(INDEX(합계표[사번키],$W502)&amp;"|"&amp;대상월키,월별근무지표[키],0))&amp;"",IF(COUNTIF(기관표[사번키],INDEX(합계표[사번키],$W502))+COUNTIF(월별근무지표[사번키],INDEX(합계표[사번키],$W502))&gt;0,IFERROR(INDEX(기관표[급여지급병원(기준월)],MATCH(INDEX(합계표[사번키],$W502)&amp;"|"&amp;대상월키,기관표[키],0))&amp;"","—"),"—")))</f>
        <v/>
      </c>
      <c r="L502">
        <f>IF($W502="","",IF(NOT(COUNTIF(기관표[사번키],INDEX(합계표[사번키],$W502))+COUNTIF(월별근무지표[사번키],INDEX(합계표[사번키],$W502))&gt;0),"기관명단에 없음(다른 병원으로 발송)",IF($K502="—","대상월 기관명단 없음(추가 필요)",IF($K502="서울병원","해당","비해당"))))</f>
        <v/>
      </c>
      <c r="M502">
        <f>IF($W502="","",SUMIFS(상세표[06~07시],상세표[사번키],INDEX(합계표[사번키],$W502),상세표[반영월],대상월키,상세표[반영 기관],"서울병원"))</f>
        <v/>
      </c>
      <c r="N502">
        <f>IF($W502="","",SUMIFS(상세표[07~18시],상세표[사번키],INDEX(합계표[사번키],$W502),상세표[반영월],대상월키,상세표[반영 기관],"서울병원"))</f>
        <v/>
      </c>
      <c r="O502">
        <f>IF($W502="","",SUMIFS(상세표[18~22시],상세표[사번키],INDEX(합계표[사번키],$W502),상세표[반영월],대상월키,상세표[반영 기관],"서울병원"))</f>
        <v/>
      </c>
      <c r="P502">
        <f>IF($W502="","",SUMIFS(상세표[22~06시],상세표[사번키],INDEX(합계표[사번키],$W502),상세표[반영월],대상월키,상세표[반영 기관],"서울병원"))</f>
        <v/>
      </c>
      <c r="Q502">
        <f>IF($W502="","",SUM($M502:$P502))</f>
        <v/>
      </c>
      <c r="R502">
        <f>IF($W502="","",COUNTIFS(상세표[사번키],INDEX(합계표[사번키],$W502),상세표[반영월],대상월키,상세표[야간당직],1,상세표[야간 구분],"평일"))</f>
        <v/>
      </c>
      <c r="S502" s="4">
        <f>IF($W502="","",COUNTIFS(상세표[사번키],INDEX(합계표[사번키],$W502),상세표[반영월],대상월키,상세표[야간당직],1,상세표[야간 구분],"휴일"))</f>
        <v/>
      </c>
      <c r="T502">
        <f>IF($W502="","",COUNTIFS(상세표[사번키],INDEX(합계표[사번키],$W502),상세표[반영월],대상월키,상세표[야간당직],1,상세표[야간 구분],"평일",상세표[반영 기관],"서울병원"))</f>
        <v/>
      </c>
      <c r="U502">
        <f>IF($W502="","",COUNTIFS(상세표[사번키],INDEX(합계표[사번키],$W502),상세표[반영월],대상월키,상세표[야간당직],1,상세표[야간 구분],"휴일",상세표[반영 기관],"서울병원"))</f>
        <v/>
      </c>
      <c r="V502">
        <f>IF($W502="","",IF(ISNUMBER(MATCH(INDEX(합계표[사번키],$W502)&amp;"|"&amp;대상월키,월별근무지표[키],0)),"직접 입력",IF($K502="—","—","기관명단")))</f>
        <v/>
      </c>
      <c r="W502">
        <f>IFERROR(MATCH(497,합계표[판정순번],0),"")</f>
        <v/>
      </c>
    </row>
    <row r="503">
      <c r="A503">
        <f>IF($W503="","",INDEX(합계표[사번],$W503)&amp;"")</f>
        <v/>
      </c>
      <c r="B503">
        <f>IF($W503="","",INDEX(합계표[성명],$W503)&amp;"")</f>
        <v/>
      </c>
      <c r="C503">
        <f>IF($W503="","",INDEX(합계표[부서],$W503)&amp;"")</f>
        <v/>
      </c>
      <c r="D503">
        <f>IF($W503="","",INDEX(합계표[직위(통합)],$W503)&amp;"")</f>
        <v/>
      </c>
      <c r="E503">
        <f>IF($W503="","",SUMIFS(합계표[시스템 합계],합계표[사번키],INDEX(합계표[사번키],$W503)))</f>
        <v/>
      </c>
      <c r="F503">
        <f>IF($W503="","",SUMIFS(상세표[기록 시간외],상세표[사번키],INDEX(합계표[사번키],$W503),상세표[기록월],대상월키))</f>
        <v/>
      </c>
      <c r="G503">
        <f>IF($W503="","",IF(ABS($E503-$F503)&lt;0.01,"일치","불일치(차이 "&amp;TEXT($F503-$E503,"0.00")&amp;")"))</f>
        <v/>
      </c>
      <c r="H503">
        <f>IF($W503="","",SUMIFS(상세표[기록 시간외],상세표[사번키],INDEX(합계표[사번키],$W503),상세표[기록월],대상월키,상세표[반영월],"&lt;&gt;"&amp;대상월키))</f>
        <v/>
      </c>
      <c r="I503">
        <f>IF($W503="","",SUMIFS(상세표[기록 시간외],상세표[사번키],INDEX(합계표[사번키],$W503),상세표[기록월],"&lt;&gt;"&amp;대상월키,상세표[반영월],대상월키))</f>
        <v/>
      </c>
      <c r="J503">
        <f>IF($W503="","",SUMIFS(상세표[기록 시간외],상세표[사번키],INDEX(합계표[사번키],$W503),상세표[반영월],대상월키))</f>
        <v/>
      </c>
      <c r="K503">
        <f>IF($W503="","",IFERROR(INDEX(월별근무지표[적용 급여병원],MATCH(INDEX(합계표[사번키],$W503)&amp;"|"&amp;대상월키,월별근무지표[키],0))&amp;"",IF(COUNTIF(기관표[사번키],INDEX(합계표[사번키],$W503))+COUNTIF(월별근무지표[사번키],INDEX(합계표[사번키],$W503))&gt;0,IFERROR(INDEX(기관표[급여지급병원(기준월)],MATCH(INDEX(합계표[사번키],$W503)&amp;"|"&amp;대상월키,기관표[키],0))&amp;"","—"),"—")))</f>
        <v/>
      </c>
      <c r="L503">
        <f>IF($W503="","",IF(NOT(COUNTIF(기관표[사번키],INDEX(합계표[사번키],$W503))+COUNTIF(월별근무지표[사번키],INDEX(합계표[사번키],$W503))&gt;0),"기관명단에 없음(다른 병원으로 발송)",IF($K503="—","대상월 기관명단 없음(추가 필요)",IF($K503="서울병원","해당","비해당"))))</f>
        <v/>
      </c>
      <c r="M503">
        <f>IF($W503="","",SUMIFS(상세표[06~07시],상세표[사번키],INDEX(합계표[사번키],$W503),상세표[반영월],대상월키,상세표[반영 기관],"서울병원"))</f>
        <v/>
      </c>
      <c r="N503">
        <f>IF($W503="","",SUMIFS(상세표[07~18시],상세표[사번키],INDEX(합계표[사번키],$W503),상세표[반영월],대상월키,상세표[반영 기관],"서울병원"))</f>
        <v/>
      </c>
      <c r="O503">
        <f>IF($W503="","",SUMIFS(상세표[18~22시],상세표[사번키],INDEX(합계표[사번키],$W503),상세표[반영월],대상월키,상세표[반영 기관],"서울병원"))</f>
        <v/>
      </c>
      <c r="P503">
        <f>IF($W503="","",SUMIFS(상세표[22~06시],상세표[사번키],INDEX(합계표[사번키],$W503),상세표[반영월],대상월키,상세표[반영 기관],"서울병원"))</f>
        <v/>
      </c>
      <c r="Q503">
        <f>IF($W503="","",SUM($M503:$P503))</f>
        <v/>
      </c>
      <c r="R503">
        <f>IF($W503="","",COUNTIFS(상세표[사번키],INDEX(합계표[사번키],$W503),상세표[반영월],대상월키,상세표[야간당직],1,상세표[야간 구분],"평일"))</f>
        <v/>
      </c>
      <c r="S503" s="4">
        <f>IF($W503="","",COUNTIFS(상세표[사번키],INDEX(합계표[사번키],$W503),상세표[반영월],대상월키,상세표[야간당직],1,상세표[야간 구분],"휴일"))</f>
        <v/>
      </c>
      <c r="T503">
        <f>IF($W503="","",COUNTIFS(상세표[사번키],INDEX(합계표[사번키],$W503),상세표[반영월],대상월키,상세표[야간당직],1,상세표[야간 구분],"평일",상세표[반영 기관],"서울병원"))</f>
        <v/>
      </c>
      <c r="U503">
        <f>IF($W503="","",COUNTIFS(상세표[사번키],INDEX(합계표[사번키],$W503),상세표[반영월],대상월키,상세표[야간당직],1,상세표[야간 구분],"휴일",상세표[반영 기관],"서울병원"))</f>
        <v/>
      </c>
      <c r="V503">
        <f>IF($W503="","",IF(ISNUMBER(MATCH(INDEX(합계표[사번키],$W503)&amp;"|"&amp;대상월키,월별근무지표[키],0)),"직접 입력",IF($K503="—","—","기관명단")))</f>
        <v/>
      </c>
      <c r="W503">
        <f>IFERROR(MATCH(498,합계표[판정순번],0),"")</f>
        <v/>
      </c>
    </row>
    <row r="504">
      <c r="A504">
        <f>IF($W504="","",INDEX(합계표[사번],$W504)&amp;"")</f>
        <v/>
      </c>
      <c r="B504">
        <f>IF($W504="","",INDEX(합계표[성명],$W504)&amp;"")</f>
        <v/>
      </c>
      <c r="C504">
        <f>IF($W504="","",INDEX(합계표[부서],$W504)&amp;"")</f>
        <v/>
      </c>
      <c r="D504">
        <f>IF($W504="","",INDEX(합계표[직위(통합)],$W504)&amp;"")</f>
        <v/>
      </c>
      <c r="E504">
        <f>IF($W504="","",SUMIFS(합계표[시스템 합계],합계표[사번키],INDEX(합계표[사번키],$W504)))</f>
        <v/>
      </c>
      <c r="F504">
        <f>IF($W504="","",SUMIFS(상세표[기록 시간외],상세표[사번키],INDEX(합계표[사번키],$W504),상세표[기록월],대상월키))</f>
        <v/>
      </c>
      <c r="G504">
        <f>IF($W504="","",IF(ABS($E504-$F504)&lt;0.01,"일치","불일치(차이 "&amp;TEXT($F504-$E504,"0.00")&amp;")"))</f>
        <v/>
      </c>
      <c r="H504">
        <f>IF($W504="","",SUMIFS(상세표[기록 시간외],상세표[사번키],INDEX(합계표[사번키],$W504),상세표[기록월],대상월키,상세표[반영월],"&lt;&gt;"&amp;대상월키))</f>
        <v/>
      </c>
      <c r="I504">
        <f>IF($W504="","",SUMIFS(상세표[기록 시간외],상세표[사번키],INDEX(합계표[사번키],$W504),상세표[기록월],"&lt;&gt;"&amp;대상월키,상세표[반영월],대상월키))</f>
        <v/>
      </c>
      <c r="J504">
        <f>IF($W504="","",SUMIFS(상세표[기록 시간외],상세표[사번키],INDEX(합계표[사번키],$W504),상세표[반영월],대상월키))</f>
        <v/>
      </c>
      <c r="K504">
        <f>IF($W504="","",IFERROR(INDEX(월별근무지표[적용 급여병원],MATCH(INDEX(합계표[사번키],$W504)&amp;"|"&amp;대상월키,월별근무지표[키],0))&amp;"",IF(COUNTIF(기관표[사번키],INDEX(합계표[사번키],$W504))+COUNTIF(월별근무지표[사번키],INDEX(합계표[사번키],$W504))&gt;0,IFERROR(INDEX(기관표[급여지급병원(기준월)],MATCH(INDEX(합계표[사번키],$W504)&amp;"|"&amp;대상월키,기관표[키],0))&amp;"","—"),"—")))</f>
        <v/>
      </c>
      <c r="L504">
        <f>IF($W504="","",IF(NOT(COUNTIF(기관표[사번키],INDEX(합계표[사번키],$W504))+COUNTIF(월별근무지표[사번키],INDEX(합계표[사번키],$W504))&gt;0),"기관명단에 없음(다른 병원으로 발송)",IF($K504="—","대상월 기관명단 없음(추가 필요)",IF($K504="서울병원","해당","비해당"))))</f>
        <v/>
      </c>
      <c r="M504">
        <f>IF($W504="","",SUMIFS(상세표[06~07시],상세표[사번키],INDEX(합계표[사번키],$W504),상세표[반영월],대상월키,상세표[반영 기관],"서울병원"))</f>
        <v/>
      </c>
      <c r="N504">
        <f>IF($W504="","",SUMIFS(상세표[07~18시],상세표[사번키],INDEX(합계표[사번키],$W504),상세표[반영월],대상월키,상세표[반영 기관],"서울병원"))</f>
        <v/>
      </c>
      <c r="O504">
        <f>IF($W504="","",SUMIFS(상세표[18~22시],상세표[사번키],INDEX(합계표[사번키],$W504),상세표[반영월],대상월키,상세표[반영 기관],"서울병원"))</f>
        <v/>
      </c>
      <c r="P504">
        <f>IF($W504="","",SUMIFS(상세표[22~06시],상세표[사번키],INDEX(합계표[사번키],$W504),상세표[반영월],대상월키,상세표[반영 기관],"서울병원"))</f>
        <v/>
      </c>
      <c r="Q504">
        <f>IF($W504="","",SUM($M504:$P504))</f>
        <v/>
      </c>
      <c r="R504">
        <f>IF($W504="","",COUNTIFS(상세표[사번키],INDEX(합계표[사번키],$W504),상세표[반영월],대상월키,상세표[야간당직],1,상세표[야간 구분],"평일"))</f>
        <v/>
      </c>
      <c r="S504" s="4">
        <f>IF($W504="","",COUNTIFS(상세표[사번키],INDEX(합계표[사번키],$W504),상세표[반영월],대상월키,상세표[야간당직],1,상세표[야간 구분],"휴일"))</f>
        <v/>
      </c>
      <c r="T504">
        <f>IF($W504="","",COUNTIFS(상세표[사번키],INDEX(합계표[사번키],$W504),상세표[반영월],대상월키,상세표[야간당직],1,상세표[야간 구분],"평일",상세표[반영 기관],"서울병원"))</f>
        <v/>
      </c>
      <c r="U504">
        <f>IF($W504="","",COUNTIFS(상세표[사번키],INDEX(합계표[사번키],$W504),상세표[반영월],대상월키,상세표[야간당직],1,상세표[야간 구분],"휴일",상세표[반영 기관],"서울병원"))</f>
        <v/>
      </c>
      <c r="V504">
        <f>IF($W504="","",IF(ISNUMBER(MATCH(INDEX(합계표[사번키],$W504)&amp;"|"&amp;대상월키,월별근무지표[키],0)),"직접 입력",IF($K504="—","—","기관명단")))</f>
        <v/>
      </c>
      <c r="W504">
        <f>IFERROR(MATCH(499,합계표[판정순번],0),"")</f>
        <v/>
      </c>
    </row>
    <row r="505">
      <c r="A505">
        <f>IF($W505="","",INDEX(합계표[사번],$W505)&amp;"")</f>
        <v/>
      </c>
      <c r="B505">
        <f>IF($W505="","",INDEX(합계표[성명],$W505)&amp;"")</f>
        <v/>
      </c>
      <c r="C505">
        <f>IF($W505="","",INDEX(합계표[부서],$W505)&amp;"")</f>
        <v/>
      </c>
      <c r="D505">
        <f>IF($W505="","",INDEX(합계표[직위(통합)],$W505)&amp;"")</f>
        <v/>
      </c>
      <c r="E505">
        <f>IF($W505="","",SUMIFS(합계표[시스템 합계],합계표[사번키],INDEX(합계표[사번키],$W505)))</f>
        <v/>
      </c>
      <c r="F505">
        <f>IF($W505="","",SUMIFS(상세표[기록 시간외],상세표[사번키],INDEX(합계표[사번키],$W505),상세표[기록월],대상월키))</f>
        <v/>
      </c>
      <c r="G505">
        <f>IF($W505="","",IF(ABS($E505-$F505)&lt;0.01,"일치","불일치(차이 "&amp;TEXT($F505-$E505,"0.00")&amp;")"))</f>
        <v/>
      </c>
      <c r="H505">
        <f>IF($W505="","",SUMIFS(상세표[기록 시간외],상세표[사번키],INDEX(합계표[사번키],$W505),상세표[기록월],대상월키,상세표[반영월],"&lt;&gt;"&amp;대상월키))</f>
        <v/>
      </c>
      <c r="I505">
        <f>IF($W505="","",SUMIFS(상세표[기록 시간외],상세표[사번키],INDEX(합계표[사번키],$W505),상세표[기록월],"&lt;&gt;"&amp;대상월키,상세표[반영월],대상월키))</f>
        <v/>
      </c>
      <c r="J505">
        <f>IF($W505="","",SUMIFS(상세표[기록 시간외],상세표[사번키],INDEX(합계표[사번키],$W505),상세표[반영월],대상월키))</f>
        <v/>
      </c>
      <c r="K505">
        <f>IF($W505="","",IFERROR(INDEX(월별근무지표[적용 급여병원],MATCH(INDEX(합계표[사번키],$W505)&amp;"|"&amp;대상월키,월별근무지표[키],0))&amp;"",IF(COUNTIF(기관표[사번키],INDEX(합계표[사번키],$W505))+COUNTIF(월별근무지표[사번키],INDEX(합계표[사번키],$W505))&gt;0,IFERROR(INDEX(기관표[급여지급병원(기준월)],MATCH(INDEX(합계표[사번키],$W505)&amp;"|"&amp;대상월키,기관표[키],0))&amp;"","—"),"—")))</f>
        <v/>
      </c>
      <c r="L505">
        <f>IF($W505="","",IF(NOT(COUNTIF(기관표[사번키],INDEX(합계표[사번키],$W505))+COUNTIF(월별근무지표[사번키],INDEX(합계표[사번키],$W505))&gt;0),"기관명단에 없음(다른 병원으로 발송)",IF($K505="—","대상월 기관명단 없음(추가 필요)",IF($K505="서울병원","해당","비해당"))))</f>
        <v/>
      </c>
      <c r="M505">
        <f>IF($W505="","",SUMIFS(상세표[06~07시],상세표[사번키],INDEX(합계표[사번키],$W505),상세표[반영월],대상월키,상세표[반영 기관],"서울병원"))</f>
        <v/>
      </c>
      <c r="N505">
        <f>IF($W505="","",SUMIFS(상세표[07~18시],상세표[사번키],INDEX(합계표[사번키],$W505),상세표[반영월],대상월키,상세표[반영 기관],"서울병원"))</f>
        <v/>
      </c>
      <c r="O505">
        <f>IF($W505="","",SUMIFS(상세표[18~22시],상세표[사번키],INDEX(합계표[사번키],$W505),상세표[반영월],대상월키,상세표[반영 기관],"서울병원"))</f>
        <v/>
      </c>
      <c r="P505">
        <f>IF($W505="","",SUMIFS(상세표[22~06시],상세표[사번키],INDEX(합계표[사번키],$W505),상세표[반영월],대상월키,상세표[반영 기관],"서울병원"))</f>
        <v/>
      </c>
      <c r="Q505">
        <f>IF($W505="","",SUM($M505:$P505))</f>
        <v/>
      </c>
      <c r="R505">
        <f>IF($W505="","",COUNTIFS(상세표[사번키],INDEX(합계표[사번키],$W505),상세표[반영월],대상월키,상세표[야간당직],1,상세표[야간 구분],"평일"))</f>
        <v/>
      </c>
      <c r="S505" s="4">
        <f>IF($W505="","",COUNTIFS(상세표[사번키],INDEX(합계표[사번키],$W505),상세표[반영월],대상월키,상세표[야간당직],1,상세표[야간 구분],"휴일"))</f>
        <v/>
      </c>
      <c r="T505">
        <f>IF($W505="","",COUNTIFS(상세표[사번키],INDEX(합계표[사번키],$W505),상세표[반영월],대상월키,상세표[야간당직],1,상세표[야간 구분],"평일",상세표[반영 기관],"서울병원"))</f>
        <v/>
      </c>
      <c r="U505">
        <f>IF($W505="","",COUNTIFS(상세표[사번키],INDEX(합계표[사번키],$W505),상세표[반영월],대상월키,상세표[야간당직],1,상세표[야간 구분],"휴일",상세표[반영 기관],"서울병원"))</f>
        <v/>
      </c>
      <c r="V505">
        <f>IF($W505="","",IF(ISNUMBER(MATCH(INDEX(합계표[사번키],$W505)&amp;"|"&amp;대상월키,월별근무지표[키],0)),"직접 입력",IF($K505="—","—","기관명단")))</f>
        <v/>
      </c>
      <c r="W505">
        <f>IFERROR(MATCH(500,합계표[판정순번],0),"")</f>
        <v/>
      </c>
    </row>
    <row r="506">
      <c r="A506">
        <f>IF($W506="","",INDEX(합계표[사번],$W506)&amp;"")</f>
        <v/>
      </c>
      <c r="B506">
        <f>IF($W506="","",INDEX(합계표[성명],$W506)&amp;"")</f>
        <v/>
      </c>
      <c r="C506">
        <f>IF($W506="","",INDEX(합계표[부서],$W506)&amp;"")</f>
        <v/>
      </c>
      <c r="D506">
        <f>IF($W506="","",INDEX(합계표[직위(통합)],$W506)&amp;"")</f>
        <v/>
      </c>
      <c r="E506">
        <f>IF($W506="","",SUMIFS(합계표[시스템 합계],합계표[사번키],INDEX(합계표[사번키],$W506)))</f>
        <v/>
      </c>
      <c r="F506">
        <f>IF($W506="","",SUMIFS(상세표[기록 시간외],상세표[사번키],INDEX(합계표[사번키],$W506),상세표[기록월],대상월키))</f>
        <v/>
      </c>
      <c r="G506">
        <f>IF($W506="","",IF(ABS($E506-$F506)&lt;0.01,"일치","불일치(차이 "&amp;TEXT($F506-$E506,"0.00")&amp;")"))</f>
        <v/>
      </c>
      <c r="H506">
        <f>IF($W506="","",SUMIFS(상세표[기록 시간외],상세표[사번키],INDEX(합계표[사번키],$W506),상세표[기록월],대상월키,상세표[반영월],"&lt;&gt;"&amp;대상월키))</f>
        <v/>
      </c>
      <c r="I506">
        <f>IF($W506="","",SUMIFS(상세표[기록 시간외],상세표[사번키],INDEX(합계표[사번키],$W506),상세표[기록월],"&lt;&gt;"&amp;대상월키,상세표[반영월],대상월키))</f>
        <v/>
      </c>
      <c r="J506">
        <f>IF($W506="","",SUMIFS(상세표[기록 시간외],상세표[사번키],INDEX(합계표[사번키],$W506),상세표[반영월],대상월키))</f>
        <v/>
      </c>
      <c r="K506">
        <f>IF($W506="","",IFERROR(INDEX(월별근무지표[적용 급여병원],MATCH(INDEX(합계표[사번키],$W506)&amp;"|"&amp;대상월키,월별근무지표[키],0))&amp;"",IF(COUNTIF(기관표[사번키],INDEX(합계표[사번키],$W506))+COUNTIF(월별근무지표[사번키],INDEX(합계표[사번키],$W506))&gt;0,IFERROR(INDEX(기관표[급여지급병원(기준월)],MATCH(INDEX(합계표[사번키],$W506)&amp;"|"&amp;대상월키,기관표[키],0))&amp;"","—"),"—")))</f>
        <v/>
      </c>
      <c r="L506">
        <f>IF($W506="","",IF(NOT(COUNTIF(기관표[사번키],INDEX(합계표[사번키],$W506))+COUNTIF(월별근무지표[사번키],INDEX(합계표[사번키],$W506))&gt;0),"기관명단에 없음(다른 병원으로 발송)",IF($K506="—","대상월 기관명단 없음(추가 필요)",IF($K506="서울병원","해당","비해당"))))</f>
        <v/>
      </c>
      <c r="M506">
        <f>IF($W506="","",SUMIFS(상세표[06~07시],상세표[사번키],INDEX(합계표[사번키],$W506),상세표[반영월],대상월키,상세표[반영 기관],"서울병원"))</f>
        <v/>
      </c>
      <c r="N506">
        <f>IF($W506="","",SUMIFS(상세표[07~18시],상세표[사번키],INDEX(합계표[사번키],$W506),상세표[반영월],대상월키,상세표[반영 기관],"서울병원"))</f>
        <v/>
      </c>
      <c r="O506">
        <f>IF($W506="","",SUMIFS(상세표[18~22시],상세표[사번키],INDEX(합계표[사번키],$W506),상세표[반영월],대상월키,상세표[반영 기관],"서울병원"))</f>
        <v/>
      </c>
      <c r="P506">
        <f>IF($W506="","",SUMIFS(상세표[22~06시],상세표[사번키],INDEX(합계표[사번키],$W506),상세표[반영월],대상월키,상세표[반영 기관],"서울병원"))</f>
        <v/>
      </c>
      <c r="Q506">
        <f>IF($W506="","",SUM($M506:$P506))</f>
        <v/>
      </c>
      <c r="R506">
        <f>IF($W506="","",COUNTIFS(상세표[사번키],INDEX(합계표[사번키],$W506),상세표[반영월],대상월키,상세표[야간당직],1,상세표[야간 구분],"평일"))</f>
        <v/>
      </c>
      <c r="S506" s="4">
        <f>IF($W506="","",COUNTIFS(상세표[사번키],INDEX(합계표[사번키],$W506),상세표[반영월],대상월키,상세표[야간당직],1,상세표[야간 구분],"휴일"))</f>
        <v/>
      </c>
      <c r="T506">
        <f>IF($W506="","",COUNTIFS(상세표[사번키],INDEX(합계표[사번키],$W506),상세표[반영월],대상월키,상세표[야간당직],1,상세표[야간 구분],"평일",상세표[반영 기관],"서울병원"))</f>
        <v/>
      </c>
      <c r="U506">
        <f>IF($W506="","",COUNTIFS(상세표[사번키],INDEX(합계표[사번키],$W506),상세표[반영월],대상월키,상세표[야간당직],1,상세표[야간 구분],"휴일",상세표[반영 기관],"서울병원"))</f>
        <v/>
      </c>
      <c r="V506">
        <f>IF($W506="","",IF(ISNUMBER(MATCH(INDEX(합계표[사번키],$W506)&amp;"|"&amp;대상월키,월별근무지표[키],0)),"직접 입력",IF($K506="—","—","기관명단")))</f>
        <v/>
      </c>
      <c r="W506">
        <f>IFERROR(MATCH(501,합계표[판정순번],0),"")</f>
        <v/>
      </c>
    </row>
    <row r="507">
      <c r="A507">
        <f>IF($W507="","",INDEX(합계표[사번],$W507)&amp;"")</f>
        <v/>
      </c>
      <c r="B507">
        <f>IF($W507="","",INDEX(합계표[성명],$W507)&amp;"")</f>
        <v/>
      </c>
      <c r="C507">
        <f>IF($W507="","",INDEX(합계표[부서],$W507)&amp;"")</f>
        <v/>
      </c>
      <c r="D507">
        <f>IF($W507="","",INDEX(합계표[직위(통합)],$W507)&amp;"")</f>
        <v/>
      </c>
      <c r="E507">
        <f>IF($W507="","",SUMIFS(합계표[시스템 합계],합계표[사번키],INDEX(합계표[사번키],$W507)))</f>
        <v/>
      </c>
      <c r="F507">
        <f>IF($W507="","",SUMIFS(상세표[기록 시간외],상세표[사번키],INDEX(합계표[사번키],$W507),상세표[기록월],대상월키))</f>
        <v/>
      </c>
      <c r="G507">
        <f>IF($W507="","",IF(ABS($E507-$F507)&lt;0.01,"일치","불일치(차이 "&amp;TEXT($F507-$E507,"0.00")&amp;")"))</f>
        <v/>
      </c>
      <c r="H507">
        <f>IF($W507="","",SUMIFS(상세표[기록 시간외],상세표[사번키],INDEX(합계표[사번키],$W507),상세표[기록월],대상월키,상세표[반영월],"&lt;&gt;"&amp;대상월키))</f>
        <v/>
      </c>
      <c r="I507">
        <f>IF($W507="","",SUMIFS(상세표[기록 시간외],상세표[사번키],INDEX(합계표[사번키],$W507),상세표[기록월],"&lt;&gt;"&amp;대상월키,상세표[반영월],대상월키))</f>
        <v/>
      </c>
      <c r="J507">
        <f>IF($W507="","",SUMIFS(상세표[기록 시간외],상세표[사번키],INDEX(합계표[사번키],$W507),상세표[반영월],대상월키))</f>
        <v/>
      </c>
      <c r="K507">
        <f>IF($W507="","",IFERROR(INDEX(월별근무지표[적용 급여병원],MATCH(INDEX(합계표[사번키],$W507)&amp;"|"&amp;대상월키,월별근무지표[키],0))&amp;"",IF(COUNTIF(기관표[사번키],INDEX(합계표[사번키],$W507))+COUNTIF(월별근무지표[사번키],INDEX(합계표[사번키],$W507))&gt;0,IFERROR(INDEX(기관표[급여지급병원(기준월)],MATCH(INDEX(합계표[사번키],$W507)&amp;"|"&amp;대상월키,기관표[키],0))&amp;"","—"),"—")))</f>
        <v/>
      </c>
      <c r="L507">
        <f>IF($W507="","",IF(NOT(COUNTIF(기관표[사번키],INDEX(합계표[사번키],$W507))+COUNTIF(월별근무지표[사번키],INDEX(합계표[사번키],$W507))&gt;0),"기관명단에 없음(다른 병원으로 발송)",IF($K507="—","대상월 기관명단 없음(추가 필요)",IF($K507="서울병원","해당","비해당"))))</f>
        <v/>
      </c>
      <c r="M507">
        <f>IF($W507="","",SUMIFS(상세표[06~07시],상세표[사번키],INDEX(합계표[사번키],$W507),상세표[반영월],대상월키,상세표[반영 기관],"서울병원"))</f>
        <v/>
      </c>
      <c r="N507">
        <f>IF($W507="","",SUMIFS(상세표[07~18시],상세표[사번키],INDEX(합계표[사번키],$W507),상세표[반영월],대상월키,상세표[반영 기관],"서울병원"))</f>
        <v/>
      </c>
      <c r="O507">
        <f>IF($W507="","",SUMIFS(상세표[18~22시],상세표[사번키],INDEX(합계표[사번키],$W507),상세표[반영월],대상월키,상세표[반영 기관],"서울병원"))</f>
        <v/>
      </c>
      <c r="P507">
        <f>IF($W507="","",SUMIFS(상세표[22~06시],상세표[사번키],INDEX(합계표[사번키],$W507),상세표[반영월],대상월키,상세표[반영 기관],"서울병원"))</f>
        <v/>
      </c>
      <c r="Q507">
        <f>IF($W507="","",SUM($M507:$P507))</f>
        <v/>
      </c>
      <c r="R507">
        <f>IF($W507="","",COUNTIFS(상세표[사번키],INDEX(합계표[사번키],$W507),상세표[반영월],대상월키,상세표[야간당직],1,상세표[야간 구분],"평일"))</f>
        <v/>
      </c>
      <c r="S507" s="4">
        <f>IF($W507="","",COUNTIFS(상세표[사번키],INDEX(합계표[사번키],$W507),상세표[반영월],대상월키,상세표[야간당직],1,상세표[야간 구분],"휴일"))</f>
        <v/>
      </c>
      <c r="T507">
        <f>IF($W507="","",COUNTIFS(상세표[사번키],INDEX(합계표[사번키],$W507),상세표[반영월],대상월키,상세표[야간당직],1,상세표[야간 구분],"평일",상세표[반영 기관],"서울병원"))</f>
        <v/>
      </c>
      <c r="U507">
        <f>IF($W507="","",COUNTIFS(상세표[사번키],INDEX(합계표[사번키],$W507),상세표[반영월],대상월키,상세표[야간당직],1,상세표[야간 구분],"휴일",상세표[반영 기관],"서울병원"))</f>
        <v/>
      </c>
      <c r="V507">
        <f>IF($W507="","",IF(ISNUMBER(MATCH(INDEX(합계표[사번키],$W507)&amp;"|"&amp;대상월키,월별근무지표[키],0)),"직접 입력",IF($K507="—","—","기관명단")))</f>
        <v/>
      </c>
      <c r="W507">
        <f>IFERROR(MATCH(502,합계표[판정순번],0),"")</f>
        <v/>
      </c>
    </row>
    <row r="508">
      <c r="A508">
        <f>IF($W508="","",INDEX(합계표[사번],$W508)&amp;"")</f>
        <v/>
      </c>
      <c r="B508">
        <f>IF($W508="","",INDEX(합계표[성명],$W508)&amp;"")</f>
        <v/>
      </c>
      <c r="C508">
        <f>IF($W508="","",INDEX(합계표[부서],$W508)&amp;"")</f>
        <v/>
      </c>
      <c r="D508">
        <f>IF($W508="","",INDEX(합계표[직위(통합)],$W508)&amp;"")</f>
        <v/>
      </c>
      <c r="E508">
        <f>IF($W508="","",SUMIFS(합계표[시스템 합계],합계표[사번키],INDEX(합계표[사번키],$W508)))</f>
        <v/>
      </c>
      <c r="F508">
        <f>IF($W508="","",SUMIFS(상세표[기록 시간외],상세표[사번키],INDEX(합계표[사번키],$W508),상세표[기록월],대상월키))</f>
        <v/>
      </c>
      <c r="G508">
        <f>IF($W508="","",IF(ABS($E508-$F508)&lt;0.01,"일치","불일치(차이 "&amp;TEXT($F508-$E508,"0.00")&amp;")"))</f>
        <v/>
      </c>
      <c r="H508">
        <f>IF($W508="","",SUMIFS(상세표[기록 시간외],상세표[사번키],INDEX(합계표[사번키],$W508),상세표[기록월],대상월키,상세표[반영월],"&lt;&gt;"&amp;대상월키))</f>
        <v/>
      </c>
      <c r="I508">
        <f>IF($W508="","",SUMIFS(상세표[기록 시간외],상세표[사번키],INDEX(합계표[사번키],$W508),상세표[기록월],"&lt;&gt;"&amp;대상월키,상세표[반영월],대상월키))</f>
        <v/>
      </c>
      <c r="J508">
        <f>IF($W508="","",SUMIFS(상세표[기록 시간외],상세표[사번키],INDEX(합계표[사번키],$W508),상세표[반영월],대상월키))</f>
        <v/>
      </c>
      <c r="K508">
        <f>IF($W508="","",IFERROR(INDEX(월별근무지표[적용 급여병원],MATCH(INDEX(합계표[사번키],$W508)&amp;"|"&amp;대상월키,월별근무지표[키],0))&amp;"",IF(COUNTIF(기관표[사번키],INDEX(합계표[사번키],$W508))+COUNTIF(월별근무지표[사번키],INDEX(합계표[사번키],$W508))&gt;0,IFERROR(INDEX(기관표[급여지급병원(기준월)],MATCH(INDEX(합계표[사번키],$W508)&amp;"|"&amp;대상월키,기관표[키],0))&amp;"","—"),"—")))</f>
        <v/>
      </c>
      <c r="L508">
        <f>IF($W508="","",IF(NOT(COUNTIF(기관표[사번키],INDEX(합계표[사번키],$W508))+COUNTIF(월별근무지표[사번키],INDEX(합계표[사번키],$W508))&gt;0),"기관명단에 없음(다른 병원으로 발송)",IF($K508="—","대상월 기관명단 없음(추가 필요)",IF($K508="서울병원","해당","비해당"))))</f>
        <v/>
      </c>
      <c r="M508">
        <f>IF($W508="","",SUMIFS(상세표[06~07시],상세표[사번키],INDEX(합계표[사번키],$W508),상세표[반영월],대상월키,상세표[반영 기관],"서울병원"))</f>
        <v/>
      </c>
      <c r="N508">
        <f>IF($W508="","",SUMIFS(상세표[07~18시],상세표[사번키],INDEX(합계표[사번키],$W508),상세표[반영월],대상월키,상세표[반영 기관],"서울병원"))</f>
        <v/>
      </c>
      <c r="O508">
        <f>IF($W508="","",SUMIFS(상세표[18~22시],상세표[사번키],INDEX(합계표[사번키],$W508),상세표[반영월],대상월키,상세표[반영 기관],"서울병원"))</f>
        <v/>
      </c>
      <c r="P508">
        <f>IF($W508="","",SUMIFS(상세표[22~06시],상세표[사번키],INDEX(합계표[사번키],$W508),상세표[반영월],대상월키,상세표[반영 기관],"서울병원"))</f>
        <v/>
      </c>
      <c r="Q508">
        <f>IF($W508="","",SUM($M508:$P508))</f>
        <v/>
      </c>
      <c r="R508">
        <f>IF($W508="","",COUNTIFS(상세표[사번키],INDEX(합계표[사번키],$W508),상세표[반영월],대상월키,상세표[야간당직],1,상세표[야간 구분],"평일"))</f>
        <v/>
      </c>
      <c r="S508" s="4">
        <f>IF($W508="","",COUNTIFS(상세표[사번키],INDEX(합계표[사번키],$W508),상세표[반영월],대상월키,상세표[야간당직],1,상세표[야간 구분],"휴일"))</f>
        <v/>
      </c>
      <c r="T508">
        <f>IF($W508="","",COUNTIFS(상세표[사번키],INDEX(합계표[사번키],$W508),상세표[반영월],대상월키,상세표[야간당직],1,상세표[야간 구분],"평일",상세표[반영 기관],"서울병원"))</f>
        <v/>
      </c>
      <c r="U508">
        <f>IF($W508="","",COUNTIFS(상세표[사번키],INDEX(합계표[사번키],$W508),상세표[반영월],대상월키,상세표[야간당직],1,상세표[야간 구분],"휴일",상세표[반영 기관],"서울병원"))</f>
        <v/>
      </c>
      <c r="V508">
        <f>IF($W508="","",IF(ISNUMBER(MATCH(INDEX(합계표[사번키],$W508)&amp;"|"&amp;대상월키,월별근무지표[키],0)),"직접 입력",IF($K508="—","—","기관명단")))</f>
        <v/>
      </c>
      <c r="W508">
        <f>IFERROR(MATCH(503,합계표[판정순번],0),"")</f>
        <v/>
      </c>
    </row>
    <row r="509">
      <c r="A509">
        <f>IF($W509="","",INDEX(합계표[사번],$W509)&amp;"")</f>
        <v/>
      </c>
      <c r="B509">
        <f>IF($W509="","",INDEX(합계표[성명],$W509)&amp;"")</f>
        <v/>
      </c>
      <c r="C509">
        <f>IF($W509="","",INDEX(합계표[부서],$W509)&amp;"")</f>
        <v/>
      </c>
      <c r="D509">
        <f>IF($W509="","",INDEX(합계표[직위(통합)],$W509)&amp;"")</f>
        <v/>
      </c>
      <c r="E509">
        <f>IF($W509="","",SUMIFS(합계표[시스템 합계],합계표[사번키],INDEX(합계표[사번키],$W509)))</f>
        <v/>
      </c>
      <c r="F509">
        <f>IF($W509="","",SUMIFS(상세표[기록 시간외],상세표[사번키],INDEX(합계표[사번키],$W509),상세표[기록월],대상월키))</f>
        <v/>
      </c>
      <c r="G509">
        <f>IF($W509="","",IF(ABS($E509-$F509)&lt;0.01,"일치","불일치(차이 "&amp;TEXT($F509-$E509,"0.00")&amp;")"))</f>
        <v/>
      </c>
      <c r="H509">
        <f>IF($W509="","",SUMIFS(상세표[기록 시간외],상세표[사번키],INDEX(합계표[사번키],$W509),상세표[기록월],대상월키,상세표[반영월],"&lt;&gt;"&amp;대상월키))</f>
        <v/>
      </c>
      <c r="I509">
        <f>IF($W509="","",SUMIFS(상세표[기록 시간외],상세표[사번키],INDEX(합계표[사번키],$W509),상세표[기록월],"&lt;&gt;"&amp;대상월키,상세표[반영월],대상월키))</f>
        <v/>
      </c>
      <c r="J509">
        <f>IF($W509="","",SUMIFS(상세표[기록 시간외],상세표[사번키],INDEX(합계표[사번키],$W509),상세표[반영월],대상월키))</f>
        <v/>
      </c>
      <c r="K509">
        <f>IF($W509="","",IFERROR(INDEX(월별근무지표[적용 급여병원],MATCH(INDEX(합계표[사번키],$W509)&amp;"|"&amp;대상월키,월별근무지표[키],0))&amp;"",IF(COUNTIF(기관표[사번키],INDEX(합계표[사번키],$W509))+COUNTIF(월별근무지표[사번키],INDEX(합계표[사번키],$W509))&gt;0,IFERROR(INDEX(기관표[급여지급병원(기준월)],MATCH(INDEX(합계표[사번키],$W509)&amp;"|"&amp;대상월키,기관표[키],0))&amp;"","—"),"—")))</f>
        <v/>
      </c>
      <c r="L509">
        <f>IF($W509="","",IF(NOT(COUNTIF(기관표[사번키],INDEX(합계표[사번키],$W509))+COUNTIF(월별근무지표[사번키],INDEX(합계표[사번키],$W509))&gt;0),"기관명단에 없음(다른 병원으로 발송)",IF($K509="—","대상월 기관명단 없음(추가 필요)",IF($K509="서울병원","해당","비해당"))))</f>
        <v/>
      </c>
      <c r="M509">
        <f>IF($W509="","",SUMIFS(상세표[06~07시],상세표[사번키],INDEX(합계표[사번키],$W509),상세표[반영월],대상월키,상세표[반영 기관],"서울병원"))</f>
        <v/>
      </c>
      <c r="N509">
        <f>IF($W509="","",SUMIFS(상세표[07~18시],상세표[사번키],INDEX(합계표[사번키],$W509),상세표[반영월],대상월키,상세표[반영 기관],"서울병원"))</f>
        <v/>
      </c>
      <c r="O509">
        <f>IF($W509="","",SUMIFS(상세표[18~22시],상세표[사번키],INDEX(합계표[사번키],$W509),상세표[반영월],대상월키,상세표[반영 기관],"서울병원"))</f>
        <v/>
      </c>
      <c r="P509">
        <f>IF($W509="","",SUMIFS(상세표[22~06시],상세표[사번키],INDEX(합계표[사번키],$W509),상세표[반영월],대상월키,상세표[반영 기관],"서울병원"))</f>
        <v/>
      </c>
      <c r="Q509">
        <f>IF($W509="","",SUM($M509:$P509))</f>
        <v/>
      </c>
      <c r="R509">
        <f>IF($W509="","",COUNTIFS(상세표[사번키],INDEX(합계표[사번키],$W509),상세표[반영월],대상월키,상세표[야간당직],1,상세표[야간 구분],"평일"))</f>
        <v/>
      </c>
      <c r="S509" s="4">
        <f>IF($W509="","",COUNTIFS(상세표[사번키],INDEX(합계표[사번키],$W509),상세표[반영월],대상월키,상세표[야간당직],1,상세표[야간 구분],"휴일"))</f>
        <v/>
      </c>
      <c r="T509">
        <f>IF($W509="","",COUNTIFS(상세표[사번키],INDEX(합계표[사번키],$W509),상세표[반영월],대상월키,상세표[야간당직],1,상세표[야간 구분],"평일",상세표[반영 기관],"서울병원"))</f>
        <v/>
      </c>
      <c r="U509">
        <f>IF($W509="","",COUNTIFS(상세표[사번키],INDEX(합계표[사번키],$W509),상세표[반영월],대상월키,상세표[야간당직],1,상세표[야간 구분],"휴일",상세표[반영 기관],"서울병원"))</f>
        <v/>
      </c>
      <c r="V509">
        <f>IF($W509="","",IF(ISNUMBER(MATCH(INDEX(합계표[사번키],$W509)&amp;"|"&amp;대상월키,월별근무지표[키],0)),"직접 입력",IF($K509="—","—","기관명단")))</f>
        <v/>
      </c>
      <c r="W509">
        <f>IFERROR(MATCH(504,합계표[판정순번],0),"")</f>
        <v/>
      </c>
    </row>
    <row r="510">
      <c r="A510">
        <f>IF($W510="","",INDEX(합계표[사번],$W510)&amp;"")</f>
        <v/>
      </c>
      <c r="B510">
        <f>IF($W510="","",INDEX(합계표[성명],$W510)&amp;"")</f>
        <v/>
      </c>
      <c r="C510">
        <f>IF($W510="","",INDEX(합계표[부서],$W510)&amp;"")</f>
        <v/>
      </c>
      <c r="D510">
        <f>IF($W510="","",INDEX(합계표[직위(통합)],$W510)&amp;"")</f>
        <v/>
      </c>
      <c r="E510">
        <f>IF($W510="","",SUMIFS(합계표[시스템 합계],합계표[사번키],INDEX(합계표[사번키],$W510)))</f>
        <v/>
      </c>
      <c r="F510">
        <f>IF($W510="","",SUMIFS(상세표[기록 시간외],상세표[사번키],INDEX(합계표[사번키],$W510),상세표[기록월],대상월키))</f>
        <v/>
      </c>
      <c r="G510">
        <f>IF($W510="","",IF(ABS($E510-$F510)&lt;0.01,"일치","불일치(차이 "&amp;TEXT($F510-$E510,"0.00")&amp;")"))</f>
        <v/>
      </c>
      <c r="H510">
        <f>IF($W510="","",SUMIFS(상세표[기록 시간외],상세표[사번키],INDEX(합계표[사번키],$W510),상세표[기록월],대상월키,상세표[반영월],"&lt;&gt;"&amp;대상월키))</f>
        <v/>
      </c>
      <c r="I510">
        <f>IF($W510="","",SUMIFS(상세표[기록 시간외],상세표[사번키],INDEX(합계표[사번키],$W510),상세표[기록월],"&lt;&gt;"&amp;대상월키,상세표[반영월],대상월키))</f>
        <v/>
      </c>
      <c r="J510">
        <f>IF($W510="","",SUMIFS(상세표[기록 시간외],상세표[사번키],INDEX(합계표[사번키],$W510),상세표[반영월],대상월키))</f>
        <v/>
      </c>
      <c r="K510">
        <f>IF($W510="","",IFERROR(INDEX(월별근무지표[적용 급여병원],MATCH(INDEX(합계표[사번키],$W510)&amp;"|"&amp;대상월키,월별근무지표[키],0))&amp;"",IF(COUNTIF(기관표[사번키],INDEX(합계표[사번키],$W510))+COUNTIF(월별근무지표[사번키],INDEX(합계표[사번키],$W510))&gt;0,IFERROR(INDEX(기관표[급여지급병원(기준월)],MATCH(INDEX(합계표[사번키],$W510)&amp;"|"&amp;대상월키,기관표[키],0))&amp;"","—"),"—")))</f>
        <v/>
      </c>
      <c r="L510">
        <f>IF($W510="","",IF(NOT(COUNTIF(기관표[사번키],INDEX(합계표[사번키],$W510))+COUNTIF(월별근무지표[사번키],INDEX(합계표[사번키],$W510))&gt;0),"기관명단에 없음(다른 병원으로 발송)",IF($K510="—","대상월 기관명단 없음(추가 필요)",IF($K510="서울병원","해당","비해당"))))</f>
        <v/>
      </c>
      <c r="M510">
        <f>IF($W510="","",SUMIFS(상세표[06~07시],상세표[사번키],INDEX(합계표[사번키],$W510),상세표[반영월],대상월키,상세표[반영 기관],"서울병원"))</f>
        <v/>
      </c>
      <c r="N510">
        <f>IF($W510="","",SUMIFS(상세표[07~18시],상세표[사번키],INDEX(합계표[사번키],$W510),상세표[반영월],대상월키,상세표[반영 기관],"서울병원"))</f>
        <v/>
      </c>
      <c r="O510">
        <f>IF($W510="","",SUMIFS(상세표[18~22시],상세표[사번키],INDEX(합계표[사번키],$W510),상세표[반영월],대상월키,상세표[반영 기관],"서울병원"))</f>
        <v/>
      </c>
      <c r="P510">
        <f>IF($W510="","",SUMIFS(상세표[22~06시],상세표[사번키],INDEX(합계표[사번키],$W510),상세표[반영월],대상월키,상세표[반영 기관],"서울병원"))</f>
        <v/>
      </c>
      <c r="Q510">
        <f>IF($W510="","",SUM($M510:$P510))</f>
        <v/>
      </c>
      <c r="R510">
        <f>IF($W510="","",COUNTIFS(상세표[사번키],INDEX(합계표[사번키],$W510),상세표[반영월],대상월키,상세표[야간당직],1,상세표[야간 구분],"평일"))</f>
        <v/>
      </c>
      <c r="S510" s="4">
        <f>IF($W510="","",COUNTIFS(상세표[사번키],INDEX(합계표[사번키],$W510),상세표[반영월],대상월키,상세표[야간당직],1,상세표[야간 구분],"휴일"))</f>
        <v/>
      </c>
      <c r="T510">
        <f>IF($W510="","",COUNTIFS(상세표[사번키],INDEX(합계표[사번키],$W510),상세표[반영월],대상월키,상세표[야간당직],1,상세표[야간 구분],"평일",상세표[반영 기관],"서울병원"))</f>
        <v/>
      </c>
      <c r="U510">
        <f>IF($W510="","",COUNTIFS(상세표[사번키],INDEX(합계표[사번키],$W510),상세표[반영월],대상월키,상세표[야간당직],1,상세표[야간 구분],"휴일",상세표[반영 기관],"서울병원"))</f>
        <v/>
      </c>
      <c r="V510">
        <f>IF($W510="","",IF(ISNUMBER(MATCH(INDEX(합계표[사번키],$W510)&amp;"|"&amp;대상월키,월별근무지표[키],0)),"직접 입력",IF($K510="—","—","기관명단")))</f>
        <v/>
      </c>
      <c r="W510">
        <f>IFERROR(MATCH(505,합계표[판정순번],0),"")</f>
        <v/>
      </c>
    </row>
    <row r="511">
      <c r="A511">
        <f>IF($W511="","",INDEX(합계표[사번],$W511)&amp;"")</f>
        <v/>
      </c>
      <c r="B511">
        <f>IF($W511="","",INDEX(합계표[성명],$W511)&amp;"")</f>
        <v/>
      </c>
      <c r="C511">
        <f>IF($W511="","",INDEX(합계표[부서],$W511)&amp;"")</f>
        <v/>
      </c>
      <c r="D511">
        <f>IF($W511="","",INDEX(합계표[직위(통합)],$W511)&amp;"")</f>
        <v/>
      </c>
      <c r="E511">
        <f>IF($W511="","",SUMIFS(합계표[시스템 합계],합계표[사번키],INDEX(합계표[사번키],$W511)))</f>
        <v/>
      </c>
      <c r="F511">
        <f>IF($W511="","",SUMIFS(상세표[기록 시간외],상세표[사번키],INDEX(합계표[사번키],$W511),상세표[기록월],대상월키))</f>
        <v/>
      </c>
      <c r="G511">
        <f>IF($W511="","",IF(ABS($E511-$F511)&lt;0.01,"일치","불일치(차이 "&amp;TEXT($F511-$E511,"0.00")&amp;")"))</f>
        <v/>
      </c>
      <c r="H511">
        <f>IF($W511="","",SUMIFS(상세표[기록 시간외],상세표[사번키],INDEX(합계표[사번키],$W511),상세표[기록월],대상월키,상세표[반영월],"&lt;&gt;"&amp;대상월키))</f>
        <v/>
      </c>
      <c r="I511">
        <f>IF($W511="","",SUMIFS(상세표[기록 시간외],상세표[사번키],INDEX(합계표[사번키],$W511),상세표[기록월],"&lt;&gt;"&amp;대상월키,상세표[반영월],대상월키))</f>
        <v/>
      </c>
      <c r="J511">
        <f>IF($W511="","",SUMIFS(상세표[기록 시간외],상세표[사번키],INDEX(합계표[사번키],$W511),상세표[반영월],대상월키))</f>
        <v/>
      </c>
      <c r="K511">
        <f>IF($W511="","",IFERROR(INDEX(월별근무지표[적용 급여병원],MATCH(INDEX(합계표[사번키],$W511)&amp;"|"&amp;대상월키,월별근무지표[키],0))&amp;"",IF(COUNTIF(기관표[사번키],INDEX(합계표[사번키],$W511))+COUNTIF(월별근무지표[사번키],INDEX(합계표[사번키],$W511))&gt;0,IFERROR(INDEX(기관표[급여지급병원(기준월)],MATCH(INDEX(합계표[사번키],$W511)&amp;"|"&amp;대상월키,기관표[키],0))&amp;"","—"),"—")))</f>
        <v/>
      </c>
      <c r="L511">
        <f>IF($W511="","",IF(NOT(COUNTIF(기관표[사번키],INDEX(합계표[사번키],$W511))+COUNTIF(월별근무지표[사번키],INDEX(합계표[사번키],$W511))&gt;0),"기관명단에 없음(다른 병원으로 발송)",IF($K511="—","대상월 기관명단 없음(추가 필요)",IF($K511="서울병원","해당","비해당"))))</f>
        <v/>
      </c>
      <c r="M511">
        <f>IF($W511="","",SUMIFS(상세표[06~07시],상세표[사번키],INDEX(합계표[사번키],$W511),상세표[반영월],대상월키,상세표[반영 기관],"서울병원"))</f>
        <v/>
      </c>
      <c r="N511">
        <f>IF($W511="","",SUMIFS(상세표[07~18시],상세표[사번키],INDEX(합계표[사번키],$W511),상세표[반영월],대상월키,상세표[반영 기관],"서울병원"))</f>
        <v/>
      </c>
      <c r="O511">
        <f>IF($W511="","",SUMIFS(상세표[18~22시],상세표[사번키],INDEX(합계표[사번키],$W511),상세표[반영월],대상월키,상세표[반영 기관],"서울병원"))</f>
        <v/>
      </c>
      <c r="P511">
        <f>IF($W511="","",SUMIFS(상세표[22~06시],상세표[사번키],INDEX(합계표[사번키],$W511),상세표[반영월],대상월키,상세표[반영 기관],"서울병원"))</f>
        <v/>
      </c>
      <c r="Q511">
        <f>IF($W511="","",SUM($M511:$P511))</f>
        <v/>
      </c>
      <c r="R511">
        <f>IF($W511="","",COUNTIFS(상세표[사번키],INDEX(합계표[사번키],$W511),상세표[반영월],대상월키,상세표[야간당직],1,상세표[야간 구분],"평일"))</f>
        <v/>
      </c>
      <c r="S511" s="4">
        <f>IF($W511="","",COUNTIFS(상세표[사번키],INDEX(합계표[사번키],$W511),상세표[반영월],대상월키,상세표[야간당직],1,상세표[야간 구분],"휴일"))</f>
        <v/>
      </c>
      <c r="T511">
        <f>IF($W511="","",COUNTIFS(상세표[사번키],INDEX(합계표[사번키],$W511),상세표[반영월],대상월키,상세표[야간당직],1,상세표[야간 구분],"평일",상세표[반영 기관],"서울병원"))</f>
        <v/>
      </c>
      <c r="U511">
        <f>IF($W511="","",COUNTIFS(상세표[사번키],INDEX(합계표[사번키],$W511),상세표[반영월],대상월키,상세표[야간당직],1,상세표[야간 구분],"휴일",상세표[반영 기관],"서울병원"))</f>
        <v/>
      </c>
      <c r="V511">
        <f>IF($W511="","",IF(ISNUMBER(MATCH(INDEX(합계표[사번키],$W511)&amp;"|"&amp;대상월키,월별근무지표[키],0)),"직접 입력",IF($K511="—","—","기관명단")))</f>
        <v/>
      </c>
      <c r="W511">
        <f>IFERROR(MATCH(506,합계표[판정순번],0),"")</f>
        <v/>
      </c>
    </row>
    <row r="512">
      <c r="A512">
        <f>IF($W512="","",INDEX(합계표[사번],$W512)&amp;"")</f>
        <v/>
      </c>
      <c r="B512">
        <f>IF($W512="","",INDEX(합계표[성명],$W512)&amp;"")</f>
        <v/>
      </c>
      <c r="C512">
        <f>IF($W512="","",INDEX(합계표[부서],$W512)&amp;"")</f>
        <v/>
      </c>
      <c r="D512">
        <f>IF($W512="","",INDEX(합계표[직위(통합)],$W512)&amp;"")</f>
        <v/>
      </c>
      <c r="E512">
        <f>IF($W512="","",SUMIFS(합계표[시스템 합계],합계표[사번키],INDEX(합계표[사번키],$W512)))</f>
        <v/>
      </c>
      <c r="F512">
        <f>IF($W512="","",SUMIFS(상세표[기록 시간외],상세표[사번키],INDEX(합계표[사번키],$W512),상세표[기록월],대상월키))</f>
        <v/>
      </c>
      <c r="G512">
        <f>IF($W512="","",IF(ABS($E512-$F512)&lt;0.01,"일치","불일치(차이 "&amp;TEXT($F512-$E512,"0.00")&amp;")"))</f>
        <v/>
      </c>
      <c r="H512">
        <f>IF($W512="","",SUMIFS(상세표[기록 시간외],상세표[사번키],INDEX(합계표[사번키],$W512),상세표[기록월],대상월키,상세표[반영월],"&lt;&gt;"&amp;대상월키))</f>
        <v/>
      </c>
      <c r="I512">
        <f>IF($W512="","",SUMIFS(상세표[기록 시간외],상세표[사번키],INDEX(합계표[사번키],$W512),상세표[기록월],"&lt;&gt;"&amp;대상월키,상세표[반영월],대상월키))</f>
        <v/>
      </c>
      <c r="J512">
        <f>IF($W512="","",SUMIFS(상세표[기록 시간외],상세표[사번키],INDEX(합계표[사번키],$W512),상세표[반영월],대상월키))</f>
        <v/>
      </c>
      <c r="K512">
        <f>IF($W512="","",IFERROR(INDEX(월별근무지표[적용 급여병원],MATCH(INDEX(합계표[사번키],$W512)&amp;"|"&amp;대상월키,월별근무지표[키],0))&amp;"",IF(COUNTIF(기관표[사번키],INDEX(합계표[사번키],$W512))+COUNTIF(월별근무지표[사번키],INDEX(합계표[사번키],$W512))&gt;0,IFERROR(INDEX(기관표[급여지급병원(기준월)],MATCH(INDEX(합계표[사번키],$W512)&amp;"|"&amp;대상월키,기관표[키],0))&amp;"","—"),"—")))</f>
        <v/>
      </c>
      <c r="L512">
        <f>IF($W512="","",IF(NOT(COUNTIF(기관표[사번키],INDEX(합계표[사번키],$W512))+COUNTIF(월별근무지표[사번키],INDEX(합계표[사번키],$W512))&gt;0),"기관명단에 없음(다른 병원으로 발송)",IF($K512="—","대상월 기관명단 없음(추가 필요)",IF($K512="서울병원","해당","비해당"))))</f>
        <v/>
      </c>
      <c r="M512">
        <f>IF($W512="","",SUMIFS(상세표[06~07시],상세표[사번키],INDEX(합계표[사번키],$W512),상세표[반영월],대상월키,상세표[반영 기관],"서울병원"))</f>
        <v/>
      </c>
      <c r="N512">
        <f>IF($W512="","",SUMIFS(상세표[07~18시],상세표[사번키],INDEX(합계표[사번키],$W512),상세표[반영월],대상월키,상세표[반영 기관],"서울병원"))</f>
        <v/>
      </c>
      <c r="O512">
        <f>IF($W512="","",SUMIFS(상세표[18~22시],상세표[사번키],INDEX(합계표[사번키],$W512),상세표[반영월],대상월키,상세표[반영 기관],"서울병원"))</f>
        <v/>
      </c>
      <c r="P512">
        <f>IF($W512="","",SUMIFS(상세표[22~06시],상세표[사번키],INDEX(합계표[사번키],$W512),상세표[반영월],대상월키,상세표[반영 기관],"서울병원"))</f>
        <v/>
      </c>
      <c r="Q512">
        <f>IF($W512="","",SUM($M512:$P512))</f>
        <v/>
      </c>
      <c r="R512">
        <f>IF($W512="","",COUNTIFS(상세표[사번키],INDEX(합계표[사번키],$W512),상세표[반영월],대상월키,상세표[야간당직],1,상세표[야간 구분],"평일"))</f>
        <v/>
      </c>
      <c r="S512" s="4">
        <f>IF($W512="","",COUNTIFS(상세표[사번키],INDEX(합계표[사번키],$W512),상세표[반영월],대상월키,상세표[야간당직],1,상세표[야간 구분],"휴일"))</f>
        <v/>
      </c>
      <c r="T512">
        <f>IF($W512="","",COUNTIFS(상세표[사번키],INDEX(합계표[사번키],$W512),상세표[반영월],대상월키,상세표[야간당직],1,상세표[야간 구분],"평일",상세표[반영 기관],"서울병원"))</f>
        <v/>
      </c>
      <c r="U512">
        <f>IF($W512="","",COUNTIFS(상세표[사번키],INDEX(합계표[사번키],$W512),상세표[반영월],대상월키,상세표[야간당직],1,상세표[야간 구분],"휴일",상세표[반영 기관],"서울병원"))</f>
        <v/>
      </c>
      <c r="V512">
        <f>IF($W512="","",IF(ISNUMBER(MATCH(INDEX(합계표[사번키],$W512)&amp;"|"&amp;대상월키,월별근무지표[키],0)),"직접 입력",IF($K512="—","—","기관명단")))</f>
        <v/>
      </c>
      <c r="W512">
        <f>IFERROR(MATCH(507,합계표[판정순번],0),"")</f>
        <v/>
      </c>
    </row>
    <row r="513">
      <c r="A513">
        <f>IF($W513="","",INDEX(합계표[사번],$W513)&amp;"")</f>
        <v/>
      </c>
      <c r="B513">
        <f>IF($W513="","",INDEX(합계표[성명],$W513)&amp;"")</f>
        <v/>
      </c>
      <c r="C513">
        <f>IF($W513="","",INDEX(합계표[부서],$W513)&amp;"")</f>
        <v/>
      </c>
      <c r="D513">
        <f>IF($W513="","",INDEX(합계표[직위(통합)],$W513)&amp;"")</f>
        <v/>
      </c>
      <c r="E513">
        <f>IF($W513="","",SUMIFS(합계표[시스템 합계],합계표[사번키],INDEX(합계표[사번키],$W513)))</f>
        <v/>
      </c>
      <c r="F513">
        <f>IF($W513="","",SUMIFS(상세표[기록 시간외],상세표[사번키],INDEX(합계표[사번키],$W513),상세표[기록월],대상월키))</f>
        <v/>
      </c>
      <c r="G513">
        <f>IF($W513="","",IF(ABS($E513-$F513)&lt;0.01,"일치","불일치(차이 "&amp;TEXT($F513-$E513,"0.00")&amp;")"))</f>
        <v/>
      </c>
      <c r="H513">
        <f>IF($W513="","",SUMIFS(상세표[기록 시간외],상세표[사번키],INDEX(합계표[사번키],$W513),상세표[기록월],대상월키,상세표[반영월],"&lt;&gt;"&amp;대상월키))</f>
        <v/>
      </c>
      <c r="I513">
        <f>IF($W513="","",SUMIFS(상세표[기록 시간외],상세표[사번키],INDEX(합계표[사번키],$W513),상세표[기록월],"&lt;&gt;"&amp;대상월키,상세표[반영월],대상월키))</f>
        <v/>
      </c>
      <c r="J513">
        <f>IF($W513="","",SUMIFS(상세표[기록 시간외],상세표[사번키],INDEX(합계표[사번키],$W513),상세표[반영월],대상월키))</f>
        <v/>
      </c>
      <c r="K513">
        <f>IF($W513="","",IFERROR(INDEX(월별근무지표[적용 급여병원],MATCH(INDEX(합계표[사번키],$W513)&amp;"|"&amp;대상월키,월별근무지표[키],0))&amp;"",IF(COUNTIF(기관표[사번키],INDEX(합계표[사번키],$W513))+COUNTIF(월별근무지표[사번키],INDEX(합계표[사번키],$W513))&gt;0,IFERROR(INDEX(기관표[급여지급병원(기준월)],MATCH(INDEX(합계표[사번키],$W513)&amp;"|"&amp;대상월키,기관표[키],0))&amp;"","—"),"—")))</f>
        <v/>
      </c>
      <c r="L513">
        <f>IF($W513="","",IF(NOT(COUNTIF(기관표[사번키],INDEX(합계표[사번키],$W513))+COUNTIF(월별근무지표[사번키],INDEX(합계표[사번키],$W513))&gt;0),"기관명단에 없음(다른 병원으로 발송)",IF($K513="—","대상월 기관명단 없음(추가 필요)",IF($K513="서울병원","해당","비해당"))))</f>
        <v/>
      </c>
      <c r="M513">
        <f>IF($W513="","",SUMIFS(상세표[06~07시],상세표[사번키],INDEX(합계표[사번키],$W513),상세표[반영월],대상월키,상세표[반영 기관],"서울병원"))</f>
        <v/>
      </c>
      <c r="N513">
        <f>IF($W513="","",SUMIFS(상세표[07~18시],상세표[사번키],INDEX(합계표[사번키],$W513),상세표[반영월],대상월키,상세표[반영 기관],"서울병원"))</f>
        <v/>
      </c>
      <c r="O513">
        <f>IF($W513="","",SUMIFS(상세표[18~22시],상세표[사번키],INDEX(합계표[사번키],$W513),상세표[반영월],대상월키,상세표[반영 기관],"서울병원"))</f>
        <v/>
      </c>
      <c r="P513">
        <f>IF($W513="","",SUMIFS(상세표[22~06시],상세표[사번키],INDEX(합계표[사번키],$W513),상세표[반영월],대상월키,상세표[반영 기관],"서울병원"))</f>
        <v/>
      </c>
      <c r="Q513">
        <f>IF($W513="","",SUM($M513:$P513))</f>
        <v/>
      </c>
      <c r="R513">
        <f>IF($W513="","",COUNTIFS(상세표[사번키],INDEX(합계표[사번키],$W513),상세표[반영월],대상월키,상세표[야간당직],1,상세표[야간 구분],"평일"))</f>
        <v/>
      </c>
      <c r="S513" s="4">
        <f>IF($W513="","",COUNTIFS(상세표[사번키],INDEX(합계표[사번키],$W513),상세표[반영월],대상월키,상세표[야간당직],1,상세표[야간 구분],"휴일"))</f>
        <v/>
      </c>
      <c r="T513">
        <f>IF($W513="","",COUNTIFS(상세표[사번키],INDEX(합계표[사번키],$W513),상세표[반영월],대상월키,상세표[야간당직],1,상세표[야간 구분],"평일",상세표[반영 기관],"서울병원"))</f>
        <v/>
      </c>
      <c r="U513">
        <f>IF($W513="","",COUNTIFS(상세표[사번키],INDEX(합계표[사번키],$W513),상세표[반영월],대상월키,상세표[야간당직],1,상세표[야간 구분],"휴일",상세표[반영 기관],"서울병원"))</f>
        <v/>
      </c>
      <c r="V513">
        <f>IF($W513="","",IF(ISNUMBER(MATCH(INDEX(합계표[사번키],$W513)&amp;"|"&amp;대상월키,월별근무지표[키],0)),"직접 입력",IF($K513="—","—","기관명단")))</f>
        <v/>
      </c>
      <c r="W513">
        <f>IFERROR(MATCH(508,합계표[판정순번],0),"")</f>
        <v/>
      </c>
    </row>
    <row r="514">
      <c r="A514">
        <f>IF($W514="","",INDEX(합계표[사번],$W514)&amp;"")</f>
        <v/>
      </c>
      <c r="B514">
        <f>IF($W514="","",INDEX(합계표[성명],$W514)&amp;"")</f>
        <v/>
      </c>
      <c r="C514">
        <f>IF($W514="","",INDEX(합계표[부서],$W514)&amp;"")</f>
        <v/>
      </c>
      <c r="D514">
        <f>IF($W514="","",INDEX(합계표[직위(통합)],$W514)&amp;"")</f>
        <v/>
      </c>
      <c r="E514">
        <f>IF($W514="","",SUMIFS(합계표[시스템 합계],합계표[사번키],INDEX(합계표[사번키],$W514)))</f>
        <v/>
      </c>
      <c r="F514">
        <f>IF($W514="","",SUMIFS(상세표[기록 시간외],상세표[사번키],INDEX(합계표[사번키],$W514),상세표[기록월],대상월키))</f>
        <v/>
      </c>
      <c r="G514">
        <f>IF($W514="","",IF(ABS($E514-$F514)&lt;0.01,"일치","불일치(차이 "&amp;TEXT($F514-$E514,"0.00")&amp;")"))</f>
        <v/>
      </c>
      <c r="H514">
        <f>IF($W514="","",SUMIFS(상세표[기록 시간외],상세표[사번키],INDEX(합계표[사번키],$W514),상세표[기록월],대상월키,상세표[반영월],"&lt;&gt;"&amp;대상월키))</f>
        <v/>
      </c>
      <c r="I514">
        <f>IF($W514="","",SUMIFS(상세표[기록 시간외],상세표[사번키],INDEX(합계표[사번키],$W514),상세표[기록월],"&lt;&gt;"&amp;대상월키,상세표[반영월],대상월키))</f>
        <v/>
      </c>
      <c r="J514">
        <f>IF($W514="","",SUMIFS(상세표[기록 시간외],상세표[사번키],INDEX(합계표[사번키],$W514),상세표[반영월],대상월키))</f>
        <v/>
      </c>
      <c r="K514">
        <f>IF($W514="","",IFERROR(INDEX(월별근무지표[적용 급여병원],MATCH(INDEX(합계표[사번키],$W514)&amp;"|"&amp;대상월키,월별근무지표[키],0))&amp;"",IF(COUNTIF(기관표[사번키],INDEX(합계표[사번키],$W514))+COUNTIF(월별근무지표[사번키],INDEX(합계표[사번키],$W514))&gt;0,IFERROR(INDEX(기관표[급여지급병원(기준월)],MATCH(INDEX(합계표[사번키],$W514)&amp;"|"&amp;대상월키,기관표[키],0))&amp;"","—"),"—")))</f>
        <v/>
      </c>
      <c r="L514">
        <f>IF($W514="","",IF(NOT(COUNTIF(기관표[사번키],INDEX(합계표[사번키],$W514))+COUNTIF(월별근무지표[사번키],INDEX(합계표[사번키],$W514))&gt;0),"기관명단에 없음(다른 병원으로 발송)",IF($K514="—","대상월 기관명단 없음(추가 필요)",IF($K514="서울병원","해당","비해당"))))</f>
        <v/>
      </c>
      <c r="M514">
        <f>IF($W514="","",SUMIFS(상세표[06~07시],상세표[사번키],INDEX(합계표[사번키],$W514),상세표[반영월],대상월키,상세표[반영 기관],"서울병원"))</f>
        <v/>
      </c>
      <c r="N514">
        <f>IF($W514="","",SUMIFS(상세표[07~18시],상세표[사번키],INDEX(합계표[사번키],$W514),상세표[반영월],대상월키,상세표[반영 기관],"서울병원"))</f>
        <v/>
      </c>
      <c r="O514">
        <f>IF($W514="","",SUMIFS(상세표[18~22시],상세표[사번키],INDEX(합계표[사번키],$W514),상세표[반영월],대상월키,상세표[반영 기관],"서울병원"))</f>
        <v/>
      </c>
      <c r="P514">
        <f>IF($W514="","",SUMIFS(상세표[22~06시],상세표[사번키],INDEX(합계표[사번키],$W514),상세표[반영월],대상월키,상세표[반영 기관],"서울병원"))</f>
        <v/>
      </c>
      <c r="Q514">
        <f>IF($W514="","",SUM($M514:$P514))</f>
        <v/>
      </c>
      <c r="R514">
        <f>IF($W514="","",COUNTIFS(상세표[사번키],INDEX(합계표[사번키],$W514),상세표[반영월],대상월키,상세표[야간당직],1,상세표[야간 구분],"평일"))</f>
        <v/>
      </c>
      <c r="S514" s="4">
        <f>IF($W514="","",COUNTIFS(상세표[사번키],INDEX(합계표[사번키],$W514),상세표[반영월],대상월키,상세표[야간당직],1,상세표[야간 구분],"휴일"))</f>
        <v/>
      </c>
      <c r="T514">
        <f>IF($W514="","",COUNTIFS(상세표[사번키],INDEX(합계표[사번키],$W514),상세표[반영월],대상월키,상세표[야간당직],1,상세표[야간 구분],"평일",상세표[반영 기관],"서울병원"))</f>
        <v/>
      </c>
      <c r="U514">
        <f>IF($W514="","",COUNTIFS(상세표[사번키],INDEX(합계표[사번키],$W514),상세표[반영월],대상월키,상세표[야간당직],1,상세표[야간 구분],"휴일",상세표[반영 기관],"서울병원"))</f>
        <v/>
      </c>
      <c r="V514">
        <f>IF($W514="","",IF(ISNUMBER(MATCH(INDEX(합계표[사번키],$W514)&amp;"|"&amp;대상월키,월별근무지표[키],0)),"직접 입력",IF($K514="—","—","기관명단")))</f>
        <v/>
      </c>
      <c r="W514">
        <f>IFERROR(MATCH(509,합계표[판정순번],0),"")</f>
        <v/>
      </c>
    </row>
    <row r="515">
      <c r="A515">
        <f>IF($W515="","",INDEX(합계표[사번],$W515)&amp;"")</f>
        <v/>
      </c>
      <c r="B515">
        <f>IF($W515="","",INDEX(합계표[성명],$W515)&amp;"")</f>
        <v/>
      </c>
      <c r="C515">
        <f>IF($W515="","",INDEX(합계표[부서],$W515)&amp;"")</f>
        <v/>
      </c>
      <c r="D515">
        <f>IF($W515="","",INDEX(합계표[직위(통합)],$W515)&amp;"")</f>
        <v/>
      </c>
      <c r="E515">
        <f>IF($W515="","",SUMIFS(합계표[시스템 합계],합계표[사번키],INDEX(합계표[사번키],$W515)))</f>
        <v/>
      </c>
      <c r="F515">
        <f>IF($W515="","",SUMIFS(상세표[기록 시간외],상세표[사번키],INDEX(합계표[사번키],$W515),상세표[기록월],대상월키))</f>
        <v/>
      </c>
      <c r="G515">
        <f>IF($W515="","",IF(ABS($E515-$F515)&lt;0.01,"일치","불일치(차이 "&amp;TEXT($F515-$E515,"0.00")&amp;")"))</f>
        <v/>
      </c>
      <c r="H515">
        <f>IF($W515="","",SUMIFS(상세표[기록 시간외],상세표[사번키],INDEX(합계표[사번키],$W515),상세표[기록월],대상월키,상세표[반영월],"&lt;&gt;"&amp;대상월키))</f>
        <v/>
      </c>
      <c r="I515">
        <f>IF($W515="","",SUMIFS(상세표[기록 시간외],상세표[사번키],INDEX(합계표[사번키],$W515),상세표[기록월],"&lt;&gt;"&amp;대상월키,상세표[반영월],대상월키))</f>
        <v/>
      </c>
      <c r="J515">
        <f>IF($W515="","",SUMIFS(상세표[기록 시간외],상세표[사번키],INDEX(합계표[사번키],$W515),상세표[반영월],대상월키))</f>
        <v/>
      </c>
      <c r="K515">
        <f>IF($W515="","",IFERROR(INDEX(월별근무지표[적용 급여병원],MATCH(INDEX(합계표[사번키],$W515)&amp;"|"&amp;대상월키,월별근무지표[키],0))&amp;"",IF(COUNTIF(기관표[사번키],INDEX(합계표[사번키],$W515))+COUNTIF(월별근무지표[사번키],INDEX(합계표[사번키],$W515))&gt;0,IFERROR(INDEX(기관표[급여지급병원(기준월)],MATCH(INDEX(합계표[사번키],$W515)&amp;"|"&amp;대상월키,기관표[키],0))&amp;"","—"),"—")))</f>
        <v/>
      </c>
      <c r="L515">
        <f>IF($W515="","",IF(NOT(COUNTIF(기관표[사번키],INDEX(합계표[사번키],$W515))+COUNTIF(월별근무지표[사번키],INDEX(합계표[사번키],$W515))&gt;0),"기관명단에 없음(다른 병원으로 발송)",IF($K515="—","대상월 기관명단 없음(추가 필요)",IF($K515="서울병원","해당","비해당"))))</f>
        <v/>
      </c>
      <c r="M515">
        <f>IF($W515="","",SUMIFS(상세표[06~07시],상세표[사번키],INDEX(합계표[사번키],$W515),상세표[반영월],대상월키,상세표[반영 기관],"서울병원"))</f>
        <v/>
      </c>
      <c r="N515">
        <f>IF($W515="","",SUMIFS(상세표[07~18시],상세표[사번키],INDEX(합계표[사번키],$W515),상세표[반영월],대상월키,상세표[반영 기관],"서울병원"))</f>
        <v/>
      </c>
      <c r="O515">
        <f>IF($W515="","",SUMIFS(상세표[18~22시],상세표[사번키],INDEX(합계표[사번키],$W515),상세표[반영월],대상월키,상세표[반영 기관],"서울병원"))</f>
        <v/>
      </c>
      <c r="P515">
        <f>IF($W515="","",SUMIFS(상세표[22~06시],상세표[사번키],INDEX(합계표[사번키],$W515),상세표[반영월],대상월키,상세표[반영 기관],"서울병원"))</f>
        <v/>
      </c>
      <c r="Q515">
        <f>IF($W515="","",SUM($M515:$P515))</f>
        <v/>
      </c>
      <c r="R515">
        <f>IF($W515="","",COUNTIFS(상세표[사번키],INDEX(합계표[사번키],$W515),상세표[반영월],대상월키,상세표[야간당직],1,상세표[야간 구분],"평일"))</f>
        <v/>
      </c>
      <c r="S515" s="4">
        <f>IF($W515="","",COUNTIFS(상세표[사번키],INDEX(합계표[사번키],$W515),상세표[반영월],대상월키,상세표[야간당직],1,상세표[야간 구분],"휴일"))</f>
        <v/>
      </c>
      <c r="T515">
        <f>IF($W515="","",COUNTIFS(상세표[사번키],INDEX(합계표[사번키],$W515),상세표[반영월],대상월키,상세표[야간당직],1,상세표[야간 구분],"평일",상세표[반영 기관],"서울병원"))</f>
        <v/>
      </c>
      <c r="U515">
        <f>IF($W515="","",COUNTIFS(상세표[사번키],INDEX(합계표[사번키],$W515),상세표[반영월],대상월키,상세표[야간당직],1,상세표[야간 구분],"휴일",상세표[반영 기관],"서울병원"))</f>
        <v/>
      </c>
      <c r="V515">
        <f>IF($W515="","",IF(ISNUMBER(MATCH(INDEX(합계표[사번키],$W515)&amp;"|"&amp;대상월키,월별근무지표[키],0)),"직접 입력",IF($K515="—","—","기관명단")))</f>
        <v/>
      </c>
      <c r="W515">
        <f>IFERROR(MATCH(510,합계표[판정순번],0),"")</f>
        <v/>
      </c>
    </row>
    <row r="516">
      <c r="A516">
        <f>IF($W516="","",INDEX(합계표[사번],$W516)&amp;"")</f>
        <v/>
      </c>
      <c r="B516">
        <f>IF($W516="","",INDEX(합계표[성명],$W516)&amp;"")</f>
        <v/>
      </c>
      <c r="C516">
        <f>IF($W516="","",INDEX(합계표[부서],$W516)&amp;"")</f>
        <v/>
      </c>
      <c r="D516">
        <f>IF($W516="","",INDEX(합계표[직위(통합)],$W516)&amp;"")</f>
        <v/>
      </c>
      <c r="E516">
        <f>IF($W516="","",SUMIFS(합계표[시스템 합계],합계표[사번키],INDEX(합계표[사번키],$W516)))</f>
        <v/>
      </c>
      <c r="F516">
        <f>IF($W516="","",SUMIFS(상세표[기록 시간외],상세표[사번키],INDEX(합계표[사번키],$W516),상세표[기록월],대상월키))</f>
        <v/>
      </c>
      <c r="G516">
        <f>IF($W516="","",IF(ABS($E516-$F516)&lt;0.01,"일치","불일치(차이 "&amp;TEXT($F516-$E516,"0.00")&amp;")"))</f>
        <v/>
      </c>
      <c r="H516">
        <f>IF($W516="","",SUMIFS(상세표[기록 시간외],상세표[사번키],INDEX(합계표[사번키],$W516),상세표[기록월],대상월키,상세표[반영월],"&lt;&gt;"&amp;대상월키))</f>
        <v/>
      </c>
      <c r="I516">
        <f>IF($W516="","",SUMIFS(상세표[기록 시간외],상세표[사번키],INDEX(합계표[사번키],$W516),상세표[기록월],"&lt;&gt;"&amp;대상월키,상세표[반영월],대상월키))</f>
        <v/>
      </c>
      <c r="J516">
        <f>IF($W516="","",SUMIFS(상세표[기록 시간외],상세표[사번키],INDEX(합계표[사번키],$W516),상세표[반영월],대상월키))</f>
        <v/>
      </c>
      <c r="K516">
        <f>IF($W516="","",IFERROR(INDEX(월별근무지표[적용 급여병원],MATCH(INDEX(합계표[사번키],$W516)&amp;"|"&amp;대상월키,월별근무지표[키],0))&amp;"",IF(COUNTIF(기관표[사번키],INDEX(합계표[사번키],$W516))+COUNTIF(월별근무지표[사번키],INDEX(합계표[사번키],$W516))&gt;0,IFERROR(INDEX(기관표[급여지급병원(기준월)],MATCH(INDEX(합계표[사번키],$W516)&amp;"|"&amp;대상월키,기관표[키],0))&amp;"","—"),"—")))</f>
        <v/>
      </c>
      <c r="L516">
        <f>IF($W516="","",IF(NOT(COUNTIF(기관표[사번키],INDEX(합계표[사번키],$W516))+COUNTIF(월별근무지표[사번키],INDEX(합계표[사번키],$W516))&gt;0),"기관명단에 없음(다른 병원으로 발송)",IF($K516="—","대상월 기관명단 없음(추가 필요)",IF($K516="서울병원","해당","비해당"))))</f>
        <v/>
      </c>
      <c r="M516">
        <f>IF($W516="","",SUMIFS(상세표[06~07시],상세표[사번키],INDEX(합계표[사번키],$W516),상세표[반영월],대상월키,상세표[반영 기관],"서울병원"))</f>
        <v/>
      </c>
      <c r="N516">
        <f>IF($W516="","",SUMIFS(상세표[07~18시],상세표[사번키],INDEX(합계표[사번키],$W516),상세표[반영월],대상월키,상세표[반영 기관],"서울병원"))</f>
        <v/>
      </c>
      <c r="O516">
        <f>IF($W516="","",SUMIFS(상세표[18~22시],상세표[사번키],INDEX(합계표[사번키],$W516),상세표[반영월],대상월키,상세표[반영 기관],"서울병원"))</f>
        <v/>
      </c>
      <c r="P516">
        <f>IF($W516="","",SUMIFS(상세표[22~06시],상세표[사번키],INDEX(합계표[사번키],$W516),상세표[반영월],대상월키,상세표[반영 기관],"서울병원"))</f>
        <v/>
      </c>
      <c r="Q516">
        <f>IF($W516="","",SUM($M516:$P516))</f>
        <v/>
      </c>
      <c r="R516">
        <f>IF($W516="","",COUNTIFS(상세표[사번키],INDEX(합계표[사번키],$W516),상세표[반영월],대상월키,상세표[야간당직],1,상세표[야간 구분],"평일"))</f>
        <v/>
      </c>
      <c r="S516" s="4">
        <f>IF($W516="","",COUNTIFS(상세표[사번키],INDEX(합계표[사번키],$W516),상세표[반영월],대상월키,상세표[야간당직],1,상세표[야간 구분],"휴일"))</f>
        <v/>
      </c>
      <c r="T516">
        <f>IF($W516="","",COUNTIFS(상세표[사번키],INDEX(합계표[사번키],$W516),상세표[반영월],대상월키,상세표[야간당직],1,상세표[야간 구분],"평일",상세표[반영 기관],"서울병원"))</f>
        <v/>
      </c>
      <c r="U516">
        <f>IF($W516="","",COUNTIFS(상세표[사번키],INDEX(합계표[사번키],$W516),상세표[반영월],대상월키,상세표[야간당직],1,상세표[야간 구분],"휴일",상세표[반영 기관],"서울병원"))</f>
        <v/>
      </c>
      <c r="V516">
        <f>IF($W516="","",IF(ISNUMBER(MATCH(INDEX(합계표[사번키],$W516)&amp;"|"&amp;대상월키,월별근무지표[키],0)),"직접 입력",IF($K516="—","—","기관명단")))</f>
        <v/>
      </c>
      <c r="W516">
        <f>IFERROR(MATCH(511,합계표[판정순번],0),"")</f>
        <v/>
      </c>
    </row>
    <row r="517">
      <c r="A517">
        <f>IF($W517="","",INDEX(합계표[사번],$W517)&amp;"")</f>
        <v/>
      </c>
      <c r="B517">
        <f>IF($W517="","",INDEX(합계표[성명],$W517)&amp;"")</f>
        <v/>
      </c>
      <c r="C517">
        <f>IF($W517="","",INDEX(합계표[부서],$W517)&amp;"")</f>
        <v/>
      </c>
      <c r="D517">
        <f>IF($W517="","",INDEX(합계표[직위(통합)],$W517)&amp;"")</f>
        <v/>
      </c>
      <c r="E517">
        <f>IF($W517="","",SUMIFS(합계표[시스템 합계],합계표[사번키],INDEX(합계표[사번키],$W517)))</f>
        <v/>
      </c>
      <c r="F517">
        <f>IF($W517="","",SUMIFS(상세표[기록 시간외],상세표[사번키],INDEX(합계표[사번키],$W517),상세표[기록월],대상월키))</f>
        <v/>
      </c>
      <c r="G517">
        <f>IF($W517="","",IF(ABS($E517-$F517)&lt;0.01,"일치","불일치(차이 "&amp;TEXT($F517-$E517,"0.00")&amp;")"))</f>
        <v/>
      </c>
      <c r="H517">
        <f>IF($W517="","",SUMIFS(상세표[기록 시간외],상세표[사번키],INDEX(합계표[사번키],$W517),상세표[기록월],대상월키,상세표[반영월],"&lt;&gt;"&amp;대상월키))</f>
        <v/>
      </c>
      <c r="I517">
        <f>IF($W517="","",SUMIFS(상세표[기록 시간외],상세표[사번키],INDEX(합계표[사번키],$W517),상세표[기록월],"&lt;&gt;"&amp;대상월키,상세표[반영월],대상월키))</f>
        <v/>
      </c>
      <c r="J517">
        <f>IF($W517="","",SUMIFS(상세표[기록 시간외],상세표[사번키],INDEX(합계표[사번키],$W517),상세표[반영월],대상월키))</f>
        <v/>
      </c>
      <c r="K517">
        <f>IF($W517="","",IFERROR(INDEX(월별근무지표[적용 급여병원],MATCH(INDEX(합계표[사번키],$W517)&amp;"|"&amp;대상월키,월별근무지표[키],0))&amp;"",IF(COUNTIF(기관표[사번키],INDEX(합계표[사번키],$W517))+COUNTIF(월별근무지표[사번키],INDEX(합계표[사번키],$W517))&gt;0,IFERROR(INDEX(기관표[급여지급병원(기준월)],MATCH(INDEX(합계표[사번키],$W517)&amp;"|"&amp;대상월키,기관표[키],0))&amp;"","—"),"—")))</f>
        <v/>
      </c>
      <c r="L517">
        <f>IF($W517="","",IF(NOT(COUNTIF(기관표[사번키],INDEX(합계표[사번키],$W517))+COUNTIF(월별근무지표[사번키],INDEX(합계표[사번키],$W517))&gt;0),"기관명단에 없음(다른 병원으로 발송)",IF($K517="—","대상월 기관명단 없음(추가 필요)",IF($K517="서울병원","해당","비해당"))))</f>
        <v/>
      </c>
      <c r="M517">
        <f>IF($W517="","",SUMIFS(상세표[06~07시],상세표[사번키],INDEX(합계표[사번키],$W517),상세표[반영월],대상월키,상세표[반영 기관],"서울병원"))</f>
        <v/>
      </c>
      <c r="N517">
        <f>IF($W517="","",SUMIFS(상세표[07~18시],상세표[사번키],INDEX(합계표[사번키],$W517),상세표[반영월],대상월키,상세표[반영 기관],"서울병원"))</f>
        <v/>
      </c>
      <c r="O517">
        <f>IF($W517="","",SUMIFS(상세표[18~22시],상세표[사번키],INDEX(합계표[사번키],$W517),상세표[반영월],대상월키,상세표[반영 기관],"서울병원"))</f>
        <v/>
      </c>
      <c r="P517">
        <f>IF($W517="","",SUMIFS(상세표[22~06시],상세표[사번키],INDEX(합계표[사번키],$W517),상세표[반영월],대상월키,상세표[반영 기관],"서울병원"))</f>
        <v/>
      </c>
      <c r="Q517">
        <f>IF($W517="","",SUM($M517:$P517))</f>
        <v/>
      </c>
      <c r="R517">
        <f>IF($W517="","",COUNTIFS(상세표[사번키],INDEX(합계표[사번키],$W517),상세표[반영월],대상월키,상세표[야간당직],1,상세표[야간 구분],"평일"))</f>
        <v/>
      </c>
      <c r="S517" s="4">
        <f>IF($W517="","",COUNTIFS(상세표[사번키],INDEX(합계표[사번키],$W517),상세표[반영월],대상월키,상세표[야간당직],1,상세표[야간 구분],"휴일"))</f>
        <v/>
      </c>
      <c r="T517">
        <f>IF($W517="","",COUNTIFS(상세표[사번키],INDEX(합계표[사번키],$W517),상세표[반영월],대상월키,상세표[야간당직],1,상세표[야간 구분],"평일",상세표[반영 기관],"서울병원"))</f>
        <v/>
      </c>
      <c r="U517">
        <f>IF($W517="","",COUNTIFS(상세표[사번키],INDEX(합계표[사번키],$W517),상세표[반영월],대상월키,상세표[야간당직],1,상세표[야간 구분],"휴일",상세표[반영 기관],"서울병원"))</f>
        <v/>
      </c>
      <c r="V517">
        <f>IF($W517="","",IF(ISNUMBER(MATCH(INDEX(합계표[사번키],$W517)&amp;"|"&amp;대상월키,월별근무지표[키],0)),"직접 입력",IF($K517="—","—","기관명단")))</f>
        <v/>
      </c>
      <c r="W517">
        <f>IFERROR(MATCH(512,합계표[판정순번],0),"")</f>
        <v/>
      </c>
    </row>
    <row r="518">
      <c r="A518">
        <f>IF($W518="","",INDEX(합계표[사번],$W518)&amp;"")</f>
        <v/>
      </c>
      <c r="B518">
        <f>IF($W518="","",INDEX(합계표[성명],$W518)&amp;"")</f>
        <v/>
      </c>
      <c r="C518">
        <f>IF($W518="","",INDEX(합계표[부서],$W518)&amp;"")</f>
        <v/>
      </c>
      <c r="D518">
        <f>IF($W518="","",INDEX(합계표[직위(통합)],$W518)&amp;"")</f>
        <v/>
      </c>
      <c r="E518">
        <f>IF($W518="","",SUMIFS(합계표[시스템 합계],합계표[사번키],INDEX(합계표[사번키],$W518)))</f>
        <v/>
      </c>
      <c r="F518">
        <f>IF($W518="","",SUMIFS(상세표[기록 시간외],상세표[사번키],INDEX(합계표[사번키],$W518),상세표[기록월],대상월키))</f>
        <v/>
      </c>
      <c r="G518">
        <f>IF($W518="","",IF(ABS($E518-$F518)&lt;0.01,"일치","불일치(차이 "&amp;TEXT($F518-$E518,"0.00")&amp;")"))</f>
        <v/>
      </c>
      <c r="H518">
        <f>IF($W518="","",SUMIFS(상세표[기록 시간외],상세표[사번키],INDEX(합계표[사번키],$W518),상세표[기록월],대상월키,상세표[반영월],"&lt;&gt;"&amp;대상월키))</f>
        <v/>
      </c>
      <c r="I518">
        <f>IF($W518="","",SUMIFS(상세표[기록 시간외],상세표[사번키],INDEX(합계표[사번키],$W518),상세표[기록월],"&lt;&gt;"&amp;대상월키,상세표[반영월],대상월키))</f>
        <v/>
      </c>
      <c r="J518">
        <f>IF($W518="","",SUMIFS(상세표[기록 시간외],상세표[사번키],INDEX(합계표[사번키],$W518),상세표[반영월],대상월키))</f>
        <v/>
      </c>
      <c r="K518">
        <f>IF($W518="","",IFERROR(INDEX(월별근무지표[적용 급여병원],MATCH(INDEX(합계표[사번키],$W518)&amp;"|"&amp;대상월키,월별근무지표[키],0))&amp;"",IF(COUNTIF(기관표[사번키],INDEX(합계표[사번키],$W518))+COUNTIF(월별근무지표[사번키],INDEX(합계표[사번키],$W518))&gt;0,IFERROR(INDEX(기관표[급여지급병원(기준월)],MATCH(INDEX(합계표[사번키],$W518)&amp;"|"&amp;대상월키,기관표[키],0))&amp;"","—"),"—")))</f>
        <v/>
      </c>
      <c r="L518">
        <f>IF($W518="","",IF(NOT(COUNTIF(기관표[사번키],INDEX(합계표[사번키],$W518))+COUNTIF(월별근무지표[사번키],INDEX(합계표[사번키],$W518))&gt;0),"기관명단에 없음(다른 병원으로 발송)",IF($K518="—","대상월 기관명단 없음(추가 필요)",IF($K518="서울병원","해당","비해당"))))</f>
        <v/>
      </c>
      <c r="M518">
        <f>IF($W518="","",SUMIFS(상세표[06~07시],상세표[사번키],INDEX(합계표[사번키],$W518),상세표[반영월],대상월키,상세표[반영 기관],"서울병원"))</f>
        <v/>
      </c>
      <c r="N518">
        <f>IF($W518="","",SUMIFS(상세표[07~18시],상세표[사번키],INDEX(합계표[사번키],$W518),상세표[반영월],대상월키,상세표[반영 기관],"서울병원"))</f>
        <v/>
      </c>
      <c r="O518">
        <f>IF($W518="","",SUMIFS(상세표[18~22시],상세표[사번키],INDEX(합계표[사번키],$W518),상세표[반영월],대상월키,상세표[반영 기관],"서울병원"))</f>
        <v/>
      </c>
      <c r="P518">
        <f>IF($W518="","",SUMIFS(상세표[22~06시],상세표[사번키],INDEX(합계표[사번키],$W518),상세표[반영월],대상월키,상세표[반영 기관],"서울병원"))</f>
        <v/>
      </c>
      <c r="Q518">
        <f>IF($W518="","",SUM($M518:$P518))</f>
        <v/>
      </c>
      <c r="R518">
        <f>IF($W518="","",COUNTIFS(상세표[사번키],INDEX(합계표[사번키],$W518),상세표[반영월],대상월키,상세표[야간당직],1,상세표[야간 구분],"평일"))</f>
        <v/>
      </c>
      <c r="S518" s="4">
        <f>IF($W518="","",COUNTIFS(상세표[사번키],INDEX(합계표[사번키],$W518),상세표[반영월],대상월키,상세표[야간당직],1,상세표[야간 구분],"휴일"))</f>
        <v/>
      </c>
      <c r="T518">
        <f>IF($W518="","",COUNTIFS(상세표[사번키],INDEX(합계표[사번키],$W518),상세표[반영월],대상월키,상세표[야간당직],1,상세표[야간 구분],"평일",상세표[반영 기관],"서울병원"))</f>
        <v/>
      </c>
      <c r="U518">
        <f>IF($W518="","",COUNTIFS(상세표[사번키],INDEX(합계표[사번키],$W518),상세표[반영월],대상월키,상세표[야간당직],1,상세표[야간 구분],"휴일",상세표[반영 기관],"서울병원"))</f>
        <v/>
      </c>
      <c r="V518">
        <f>IF($W518="","",IF(ISNUMBER(MATCH(INDEX(합계표[사번키],$W518)&amp;"|"&amp;대상월키,월별근무지표[키],0)),"직접 입력",IF($K518="—","—","기관명단")))</f>
        <v/>
      </c>
      <c r="W518">
        <f>IFERROR(MATCH(513,합계표[판정순번],0),"")</f>
        <v/>
      </c>
    </row>
    <row r="519">
      <c r="A519">
        <f>IF($W519="","",INDEX(합계표[사번],$W519)&amp;"")</f>
        <v/>
      </c>
      <c r="B519">
        <f>IF($W519="","",INDEX(합계표[성명],$W519)&amp;"")</f>
        <v/>
      </c>
      <c r="C519">
        <f>IF($W519="","",INDEX(합계표[부서],$W519)&amp;"")</f>
        <v/>
      </c>
      <c r="D519">
        <f>IF($W519="","",INDEX(합계표[직위(통합)],$W519)&amp;"")</f>
        <v/>
      </c>
      <c r="E519">
        <f>IF($W519="","",SUMIFS(합계표[시스템 합계],합계표[사번키],INDEX(합계표[사번키],$W519)))</f>
        <v/>
      </c>
      <c r="F519">
        <f>IF($W519="","",SUMIFS(상세표[기록 시간외],상세표[사번키],INDEX(합계표[사번키],$W519),상세표[기록월],대상월키))</f>
        <v/>
      </c>
      <c r="G519">
        <f>IF($W519="","",IF(ABS($E519-$F519)&lt;0.01,"일치","불일치(차이 "&amp;TEXT($F519-$E519,"0.00")&amp;")"))</f>
        <v/>
      </c>
      <c r="H519">
        <f>IF($W519="","",SUMIFS(상세표[기록 시간외],상세표[사번키],INDEX(합계표[사번키],$W519),상세표[기록월],대상월키,상세표[반영월],"&lt;&gt;"&amp;대상월키))</f>
        <v/>
      </c>
      <c r="I519">
        <f>IF($W519="","",SUMIFS(상세표[기록 시간외],상세표[사번키],INDEX(합계표[사번키],$W519),상세표[기록월],"&lt;&gt;"&amp;대상월키,상세표[반영월],대상월키))</f>
        <v/>
      </c>
      <c r="J519">
        <f>IF($W519="","",SUMIFS(상세표[기록 시간외],상세표[사번키],INDEX(합계표[사번키],$W519),상세표[반영월],대상월키))</f>
        <v/>
      </c>
      <c r="K519">
        <f>IF($W519="","",IFERROR(INDEX(월별근무지표[적용 급여병원],MATCH(INDEX(합계표[사번키],$W519)&amp;"|"&amp;대상월키,월별근무지표[키],0))&amp;"",IF(COUNTIF(기관표[사번키],INDEX(합계표[사번키],$W519))+COUNTIF(월별근무지표[사번키],INDEX(합계표[사번키],$W519))&gt;0,IFERROR(INDEX(기관표[급여지급병원(기준월)],MATCH(INDEX(합계표[사번키],$W519)&amp;"|"&amp;대상월키,기관표[키],0))&amp;"","—"),"—")))</f>
        <v/>
      </c>
      <c r="L519">
        <f>IF($W519="","",IF(NOT(COUNTIF(기관표[사번키],INDEX(합계표[사번키],$W519))+COUNTIF(월별근무지표[사번키],INDEX(합계표[사번키],$W519))&gt;0),"기관명단에 없음(다른 병원으로 발송)",IF($K519="—","대상월 기관명단 없음(추가 필요)",IF($K519="서울병원","해당","비해당"))))</f>
        <v/>
      </c>
      <c r="M519">
        <f>IF($W519="","",SUMIFS(상세표[06~07시],상세표[사번키],INDEX(합계표[사번키],$W519),상세표[반영월],대상월키,상세표[반영 기관],"서울병원"))</f>
        <v/>
      </c>
      <c r="N519">
        <f>IF($W519="","",SUMIFS(상세표[07~18시],상세표[사번키],INDEX(합계표[사번키],$W519),상세표[반영월],대상월키,상세표[반영 기관],"서울병원"))</f>
        <v/>
      </c>
      <c r="O519">
        <f>IF($W519="","",SUMIFS(상세표[18~22시],상세표[사번키],INDEX(합계표[사번키],$W519),상세표[반영월],대상월키,상세표[반영 기관],"서울병원"))</f>
        <v/>
      </c>
      <c r="P519">
        <f>IF($W519="","",SUMIFS(상세표[22~06시],상세표[사번키],INDEX(합계표[사번키],$W519),상세표[반영월],대상월키,상세표[반영 기관],"서울병원"))</f>
        <v/>
      </c>
      <c r="Q519">
        <f>IF($W519="","",SUM($M519:$P519))</f>
        <v/>
      </c>
      <c r="R519">
        <f>IF($W519="","",COUNTIFS(상세표[사번키],INDEX(합계표[사번키],$W519),상세표[반영월],대상월키,상세표[야간당직],1,상세표[야간 구분],"평일"))</f>
        <v/>
      </c>
      <c r="S519" s="4">
        <f>IF($W519="","",COUNTIFS(상세표[사번키],INDEX(합계표[사번키],$W519),상세표[반영월],대상월키,상세표[야간당직],1,상세표[야간 구분],"휴일"))</f>
        <v/>
      </c>
      <c r="T519">
        <f>IF($W519="","",COUNTIFS(상세표[사번키],INDEX(합계표[사번키],$W519),상세표[반영월],대상월키,상세표[야간당직],1,상세표[야간 구분],"평일",상세표[반영 기관],"서울병원"))</f>
        <v/>
      </c>
      <c r="U519">
        <f>IF($W519="","",COUNTIFS(상세표[사번키],INDEX(합계표[사번키],$W519),상세표[반영월],대상월키,상세표[야간당직],1,상세표[야간 구분],"휴일",상세표[반영 기관],"서울병원"))</f>
        <v/>
      </c>
      <c r="V519">
        <f>IF($W519="","",IF(ISNUMBER(MATCH(INDEX(합계표[사번키],$W519)&amp;"|"&amp;대상월키,월별근무지표[키],0)),"직접 입력",IF($K519="—","—","기관명단")))</f>
        <v/>
      </c>
      <c r="W519">
        <f>IFERROR(MATCH(514,합계표[판정순번],0),"")</f>
        <v/>
      </c>
    </row>
    <row r="520">
      <c r="A520">
        <f>IF($W520="","",INDEX(합계표[사번],$W520)&amp;"")</f>
        <v/>
      </c>
      <c r="B520">
        <f>IF($W520="","",INDEX(합계표[성명],$W520)&amp;"")</f>
        <v/>
      </c>
      <c r="C520">
        <f>IF($W520="","",INDEX(합계표[부서],$W520)&amp;"")</f>
        <v/>
      </c>
      <c r="D520">
        <f>IF($W520="","",INDEX(합계표[직위(통합)],$W520)&amp;"")</f>
        <v/>
      </c>
      <c r="E520">
        <f>IF($W520="","",SUMIFS(합계표[시스템 합계],합계표[사번키],INDEX(합계표[사번키],$W520)))</f>
        <v/>
      </c>
      <c r="F520">
        <f>IF($W520="","",SUMIFS(상세표[기록 시간외],상세표[사번키],INDEX(합계표[사번키],$W520),상세표[기록월],대상월키))</f>
        <v/>
      </c>
      <c r="G520">
        <f>IF($W520="","",IF(ABS($E520-$F520)&lt;0.01,"일치","불일치(차이 "&amp;TEXT($F520-$E520,"0.00")&amp;")"))</f>
        <v/>
      </c>
      <c r="H520">
        <f>IF($W520="","",SUMIFS(상세표[기록 시간외],상세표[사번키],INDEX(합계표[사번키],$W520),상세표[기록월],대상월키,상세표[반영월],"&lt;&gt;"&amp;대상월키))</f>
        <v/>
      </c>
      <c r="I520">
        <f>IF($W520="","",SUMIFS(상세표[기록 시간외],상세표[사번키],INDEX(합계표[사번키],$W520),상세표[기록월],"&lt;&gt;"&amp;대상월키,상세표[반영월],대상월키))</f>
        <v/>
      </c>
      <c r="J520">
        <f>IF($W520="","",SUMIFS(상세표[기록 시간외],상세표[사번키],INDEX(합계표[사번키],$W520),상세표[반영월],대상월키))</f>
        <v/>
      </c>
      <c r="K520">
        <f>IF($W520="","",IFERROR(INDEX(월별근무지표[적용 급여병원],MATCH(INDEX(합계표[사번키],$W520)&amp;"|"&amp;대상월키,월별근무지표[키],0))&amp;"",IF(COUNTIF(기관표[사번키],INDEX(합계표[사번키],$W520))+COUNTIF(월별근무지표[사번키],INDEX(합계표[사번키],$W520))&gt;0,IFERROR(INDEX(기관표[급여지급병원(기준월)],MATCH(INDEX(합계표[사번키],$W520)&amp;"|"&amp;대상월키,기관표[키],0))&amp;"","—"),"—")))</f>
        <v/>
      </c>
      <c r="L520">
        <f>IF($W520="","",IF(NOT(COUNTIF(기관표[사번키],INDEX(합계표[사번키],$W520))+COUNTIF(월별근무지표[사번키],INDEX(합계표[사번키],$W520))&gt;0),"기관명단에 없음(다른 병원으로 발송)",IF($K520="—","대상월 기관명단 없음(추가 필요)",IF($K520="서울병원","해당","비해당"))))</f>
        <v/>
      </c>
      <c r="M520">
        <f>IF($W520="","",SUMIFS(상세표[06~07시],상세표[사번키],INDEX(합계표[사번키],$W520),상세표[반영월],대상월키,상세표[반영 기관],"서울병원"))</f>
        <v/>
      </c>
      <c r="N520">
        <f>IF($W520="","",SUMIFS(상세표[07~18시],상세표[사번키],INDEX(합계표[사번키],$W520),상세표[반영월],대상월키,상세표[반영 기관],"서울병원"))</f>
        <v/>
      </c>
      <c r="O520">
        <f>IF($W520="","",SUMIFS(상세표[18~22시],상세표[사번키],INDEX(합계표[사번키],$W520),상세표[반영월],대상월키,상세표[반영 기관],"서울병원"))</f>
        <v/>
      </c>
      <c r="P520">
        <f>IF($W520="","",SUMIFS(상세표[22~06시],상세표[사번키],INDEX(합계표[사번키],$W520),상세표[반영월],대상월키,상세표[반영 기관],"서울병원"))</f>
        <v/>
      </c>
      <c r="Q520">
        <f>IF($W520="","",SUM($M520:$P520))</f>
        <v/>
      </c>
      <c r="R520">
        <f>IF($W520="","",COUNTIFS(상세표[사번키],INDEX(합계표[사번키],$W520),상세표[반영월],대상월키,상세표[야간당직],1,상세표[야간 구분],"평일"))</f>
        <v/>
      </c>
      <c r="S520" s="4">
        <f>IF($W520="","",COUNTIFS(상세표[사번키],INDEX(합계표[사번키],$W520),상세표[반영월],대상월키,상세표[야간당직],1,상세표[야간 구분],"휴일"))</f>
        <v/>
      </c>
      <c r="T520">
        <f>IF($W520="","",COUNTIFS(상세표[사번키],INDEX(합계표[사번키],$W520),상세표[반영월],대상월키,상세표[야간당직],1,상세표[야간 구분],"평일",상세표[반영 기관],"서울병원"))</f>
        <v/>
      </c>
      <c r="U520">
        <f>IF($W520="","",COUNTIFS(상세표[사번키],INDEX(합계표[사번키],$W520),상세표[반영월],대상월키,상세표[야간당직],1,상세표[야간 구분],"휴일",상세표[반영 기관],"서울병원"))</f>
        <v/>
      </c>
      <c r="V520">
        <f>IF($W520="","",IF(ISNUMBER(MATCH(INDEX(합계표[사번키],$W520)&amp;"|"&amp;대상월키,월별근무지표[키],0)),"직접 입력",IF($K520="—","—","기관명단")))</f>
        <v/>
      </c>
      <c r="W520">
        <f>IFERROR(MATCH(515,합계표[판정순번],0),"")</f>
        <v/>
      </c>
    </row>
    <row r="521">
      <c r="A521">
        <f>IF($W521="","",INDEX(합계표[사번],$W521)&amp;"")</f>
        <v/>
      </c>
      <c r="B521">
        <f>IF($W521="","",INDEX(합계표[성명],$W521)&amp;"")</f>
        <v/>
      </c>
      <c r="C521">
        <f>IF($W521="","",INDEX(합계표[부서],$W521)&amp;"")</f>
        <v/>
      </c>
      <c r="D521">
        <f>IF($W521="","",INDEX(합계표[직위(통합)],$W521)&amp;"")</f>
        <v/>
      </c>
      <c r="E521">
        <f>IF($W521="","",SUMIFS(합계표[시스템 합계],합계표[사번키],INDEX(합계표[사번키],$W521)))</f>
        <v/>
      </c>
      <c r="F521">
        <f>IF($W521="","",SUMIFS(상세표[기록 시간외],상세표[사번키],INDEX(합계표[사번키],$W521),상세표[기록월],대상월키))</f>
        <v/>
      </c>
      <c r="G521">
        <f>IF($W521="","",IF(ABS($E521-$F521)&lt;0.01,"일치","불일치(차이 "&amp;TEXT($F521-$E521,"0.00")&amp;")"))</f>
        <v/>
      </c>
      <c r="H521">
        <f>IF($W521="","",SUMIFS(상세표[기록 시간외],상세표[사번키],INDEX(합계표[사번키],$W521),상세표[기록월],대상월키,상세표[반영월],"&lt;&gt;"&amp;대상월키))</f>
        <v/>
      </c>
      <c r="I521">
        <f>IF($W521="","",SUMIFS(상세표[기록 시간외],상세표[사번키],INDEX(합계표[사번키],$W521),상세표[기록월],"&lt;&gt;"&amp;대상월키,상세표[반영월],대상월키))</f>
        <v/>
      </c>
      <c r="J521">
        <f>IF($W521="","",SUMIFS(상세표[기록 시간외],상세표[사번키],INDEX(합계표[사번키],$W521),상세표[반영월],대상월키))</f>
        <v/>
      </c>
      <c r="K521">
        <f>IF($W521="","",IFERROR(INDEX(월별근무지표[적용 급여병원],MATCH(INDEX(합계표[사번키],$W521)&amp;"|"&amp;대상월키,월별근무지표[키],0))&amp;"",IF(COUNTIF(기관표[사번키],INDEX(합계표[사번키],$W521))+COUNTIF(월별근무지표[사번키],INDEX(합계표[사번키],$W521))&gt;0,IFERROR(INDEX(기관표[급여지급병원(기준월)],MATCH(INDEX(합계표[사번키],$W521)&amp;"|"&amp;대상월키,기관표[키],0))&amp;"","—"),"—")))</f>
        <v/>
      </c>
      <c r="L521">
        <f>IF($W521="","",IF(NOT(COUNTIF(기관표[사번키],INDEX(합계표[사번키],$W521))+COUNTIF(월별근무지표[사번키],INDEX(합계표[사번키],$W521))&gt;0),"기관명단에 없음(다른 병원으로 발송)",IF($K521="—","대상월 기관명단 없음(추가 필요)",IF($K521="서울병원","해당","비해당"))))</f>
        <v/>
      </c>
      <c r="M521">
        <f>IF($W521="","",SUMIFS(상세표[06~07시],상세표[사번키],INDEX(합계표[사번키],$W521),상세표[반영월],대상월키,상세표[반영 기관],"서울병원"))</f>
        <v/>
      </c>
      <c r="N521">
        <f>IF($W521="","",SUMIFS(상세표[07~18시],상세표[사번키],INDEX(합계표[사번키],$W521),상세표[반영월],대상월키,상세표[반영 기관],"서울병원"))</f>
        <v/>
      </c>
      <c r="O521">
        <f>IF($W521="","",SUMIFS(상세표[18~22시],상세표[사번키],INDEX(합계표[사번키],$W521),상세표[반영월],대상월키,상세표[반영 기관],"서울병원"))</f>
        <v/>
      </c>
      <c r="P521">
        <f>IF($W521="","",SUMIFS(상세표[22~06시],상세표[사번키],INDEX(합계표[사번키],$W521),상세표[반영월],대상월키,상세표[반영 기관],"서울병원"))</f>
        <v/>
      </c>
      <c r="Q521">
        <f>IF($W521="","",SUM($M521:$P521))</f>
        <v/>
      </c>
      <c r="R521">
        <f>IF($W521="","",COUNTIFS(상세표[사번키],INDEX(합계표[사번키],$W521),상세표[반영월],대상월키,상세표[야간당직],1,상세표[야간 구분],"평일"))</f>
        <v/>
      </c>
      <c r="S521" s="4">
        <f>IF($W521="","",COUNTIFS(상세표[사번키],INDEX(합계표[사번키],$W521),상세표[반영월],대상월키,상세표[야간당직],1,상세표[야간 구분],"휴일"))</f>
        <v/>
      </c>
      <c r="T521">
        <f>IF($W521="","",COUNTIFS(상세표[사번키],INDEX(합계표[사번키],$W521),상세표[반영월],대상월키,상세표[야간당직],1,상세표[야간 구분],"평일",상세표[반영 기관],"서울병원"))</f>
        <v/>
      </c>
      <c r="U521">
        <f>IF($W521="","",COUNTIFS(상세표[사번키],INDEX(합계표[사번키],$W521),상세표[반영월],대상월키,상세표[야간당직],1,상세표[야간 구분],"휴일",상세표[반영 기관],"서울병원"))</f>
        <v/>
      </c>
      <c r="V521">
        <f>IF($W521="","",IF(ISNUMBER(MATCH(INDEX(합계표[사번키],$W521)&amp;"|"&amp;대상월키,월별근무지표[키],0)),"직접 입력",IF($K521="—","—","기관명단")))</f>
        <v/>
      </c>
      <c r="W521">
        <f>IFERROR(MATCH(516,합계표[판정순번],0),"")</f>
        <v/>
      </c>
    </row>
    <row r="522">
      <c r="A522">
        <f>IF($W522="","",INDEX(합계표[사번],$W522)&amp;"")</f>
        <v/>
      </c>
      <c r="B522">
        <f>IF($W522="","",INDEX(합계표[성명],$W522)&amp;"")</f>
        <v/>
      </c>
      <c r="C522">
        <f>IF($W522="","",INDEX(합계표[부서],$W522)&amp;"")</f>
        <v/>
      </c>
      <c r="D522">
        <f>IF($W522="","",INDEX(합계표[직위(통합)],$W522)&amp;"")</f>
        <v/>
      </c>
      <c r="E522">
        <f>IF($W522="","",SUMIFS(합계표[시스템 합계],합계표[사번키],INDEX(합계표[사번키],$W522)))</f>
        <v/>
      </c>
      <c r="F522">
        <f>IF($W522="","",SUMIFS(상세표[기록 시간외],상세표[사번키],INDEX(합계표[사번키],$W522),상세표[기록월],대상월키))</f>
        <v/>
      </c>
      <c r="G522">
        <f>IF($W522="","",IF(ABS($E522-$F522)&lt;0.01,"일치","불일치(차이 "&amp;TEXT($F522-$E522,"0.00")&amp;")"))</f>
        <v/>
      </c>
      <c r="H522">
        <f>IF($W522="","",SUMIFS(상세표[기록 시간외],상세표[사번키],INDEX(합계표[사번키],$W522),상세표[기록월],대상월키,상세표[반영월],"&lt;&gt;"&amp;대상월키))</f>
        <v/>
      </c>
      <c r="I522">
        <f>IF($W522="","",SUMIFS(상세표[기록 시간외],상세표[사번키],INDEX(합계표[사번키],$W522),상세표[기록월],"&lt;&gt;"&amp;대상월키,상세표[반영월],대상월키))</f>
        <v/>
      </c>
      <c r="J522">
        <f>IF($W522="","",SUMIFS(상세표[기록 시간외],상세표[사번키],INDEX(합계표[사번키],$W522),상세표[반영월],대상월키))</f>
        <v/>
      </c>
      <c r="K522">
        <f>IF($W522="","",IFERROR(INDEX(월별근무지표[적용 급여병원],MATCH(INDEX(합계표[사번키],$W522)&amp;"|"&amp;대상월키,월별근무지표[키],0))&amp;"",IF(COUNTIF(기관표[사번키],INDEX(합계표[사번키],$W522))+COUNTIF(월별근무지표[사번키],INDEX(합계표[사번키],$W522))&gt;0,IFERROR(INDEX(기관표[급여지급병원(기준월)],MATCH(INDEX(합계표[사번키],$W522)&amp;"|"&amp;대상월키,기관표[키],0))&amp;"","—"),"—")))</f>
        <v/>
      </c>
      <c r="L522">
        <f>IF($W522="","",IF(NOT(COUNTIF(기관표[사번키],INDEX(합계표[사번키],$W522))+COUNTIF(월별근무지표[사번키],INDEX(합계표[사번키],$W522))&gt;0),"기관명단에 없음(다른 병원으로 발송)",IF($K522="—","대상월 기관명단 없음(추가 필요)",IF($K522="서울병원","해당","비해당"))))</f>
        <v/>
      </c>
      <c r="M522">
        <f>IF($W522="","",SUMIFS(상세표[06~07시],상세표[사번키],INDEX(합계표[사번키],$W522),상세표[반영월],대상월키,상세표[반영 기관],"서울병원"))</f>
        <v/>
      </c>
      <c r="N522">
        <f>IF($W522="","",SUMIFS(상세표[07~18시],상세표[사번키],INDEX(합계표[사번키],$W522),상세표[반영월],대상월키,상세표[반영 기관],"서울병원"))</f>
        <v/>
      </c>
      <c r="O522">
        <f>IF($W522="","",SUMIFS(상세표[18~22시],상세표[사번키],INDEX(합계표[사번키],$W522),상세표[반영월],대상월키,상세표[반영 기관],"서울병원"))</f>
        <v/>
      </c>
      <c r="P522">
        <f>IF($W522="","",SUMIFS(상세표[22~06시],상세표[사번키],INDEX(합계표[사번키],$W522),상세표[반영월],대상월키,상세표[반영 기관],"서울병원"))</f>
        <v/>
      </c>
      <c r="Q522">
        <f>IF($W522="","",SUM($M522:$P522))</f>
        <v/>
      </c>
      <c r="R522">
        <f>IF($W522="","",COUNTIFS(상세표[사번키],INDEX(합계표[사번키],$W522),상세표[반영월],대상월키,상세표[야간당직],1,상세표[야간 구분],"평일"))</f>
        <v/>
      </c>
      <c r="S522" s="4">
        <f>IF($W522="","",COUNTIFS(상세표[사번키],INDEX(합계표[사번키],$W522),상세표[반영월],대상월키,상세표[야간당직],1,상세표[야간 구분],"휴일"))</f>
        <v/>
      </c>
      <c r="T522">
        <f>IF($W522="","",COUNTIFS(상세표[사번키],INDEX(합계표[사번키],$W522),상세표[반영월],대상월키,상세표[야간당직],1,상세표[야간 구분],"평일",상세표[반영 기관],"서울병원"))</f>
        <v/>
      </c>
      <c r="U522">
        <f>IF($W522="","",COUNTIFS(상세표[사번키],INDEX(합계표[사번키],$W522),상세표[반영월],대상월키,상세표[야간당직],1,상세표[야간 구분],"휴일",상세표[반영 기관],"서울병원"))</f>
        <v/>
      </c>
      <c r="V522">
        <f>IF($W522="","",IF(ISNUMBER(MATCH(INDEX(합계표[사번키],$W522)&amp;"|"&amp;대상월키,월별근무지표[키],0)),"직접 입력",IF($K522="—","—","기관명단")))</f>
        <v/>
      </c>
      <c r="W522">
        <f>IFERROR(MATCH(517,합계표[판정순번],0),"")</f>
        <v/>
      </c>
    </row>
    <row r="523">
      <c r="A523">
        <f>IF($W523="","",INDEX(합계표[사번],$W523)&amp;"")</f>
        <v/>
      </c>
      <c r="B523">
        <f>IF($W523="","",INDEX(합계표[성명],$W523)&amp;"")</f>
        <v/>
      </c>
      <c r="C523">
        <f>IF($W523="","",INDEX(합계표[부서],$W523)&amp;"")</f>
        <v/>
      </c>
      <c r="D523">
        <f>IF($W523="","",INDEX(합계표[직위(통합)],$W523)&amp;"")</f>
        <v/>
      </c>
      <c r="E523">
        <f>IF($W523="","",SUMIFS(합계표[시스템 합계],합계표[사번키],INDEX(합계표[사번키],$W523)))</f>
        <v/>
      </c>
      <c r="F523">
        <f>IF($W523="","",SUMIFS(상세표[기록 시간외],상세표[사번키],INDEX(합계표[사번키],$W523),상세표[기록월],대상월키))</f>
        <v/>
      </c>
      <c r="G523">
        <f>IF($W523="","",IF(ABS($E523-$F523)&lt;0.01,"일치","불일치(차이 "&amp;TEXT($F523-$E523,"0.00")&amp;")"))</f>
        <v/>
      </c>
      <c r="H523">
        <f>IF($W523="","",SUMIFS(상세표[기록 시간외],상세표[사번키],INDEX(합계표[사번키],$W523),상세표[기록월],대상월키,상세표[반영월],"&lt;&gt;"&amp;대상월키))</f>
        <v/>
      </c>
      <c r="I523">
        <f>IF($W523="","",SUMIFS(상세표[기록 시간외],상세표[사번키],INDEX(합계표[사번키],$W523),상세표[기록월],"&lt;&gt;"&amp;대상월키,상세표[반영월],대상월키))</f>
        <v/>
      </c>
      <c r="J523">
        <f>IF($W523="","",SUMIFS(상세표[기록 시간외],상세표[사번키],INDEX(합계표[사번키],$W523),상세표[반영월],대상월키))</f>
        <v/>
      </c>
      <c r="K523">
        <f>IF($W523="","",IFERROR(INDEX(월별근무지표[적용 급여병원],MATCH(INDEX(합계표[사번키],$W523)&amp;"|"&amp;대상월키,월별근무지표[키],0))&amp;"",IF(COUNTIF(기관표[사번키],INDEX(합계표[사번키],$W523))+COUNTIF(월별근무지표[사번키],INDEX(합계표[사번키],$W523))&gt;0,IFERROR(INDEX(기관표[급여지급병원(기준월)],MATCH(INDEX(합계표[사번키],$W523)&amp;"|"&amp;대상월키,기관표[키],0))&amp;"","—"),"—")))</f>
        <v/>
      </c>
      <c r="L523">
        <f>IF($W523="","",IF(NOT(COUNTIF(기관표[사번키],INDEX(합계표[사번키],$W523))+COUNTIF(월별근무지표[사번키],INDEX(합계표[사번키],$W523))&gt;0),"기관명단에 없음(다른 병원으로 발송)",IF($K523="—","대상월 기관명단 없음(추가 필요)",IF($K523="서울병원","해당","비해당"))))</f>
        <v/>
      </c>
      <c r="M523">
        <f>IF($W523="","",SUMIFS(상세표[06~07시],상세표[사번키],INDEX(합계표[사번키],$W523),상세표[반영월],대상월키,상세표[반영 기관],"서울병원"))</f>
        <v/>
      </c>
      <c r="N523">
        <f>IF($W523="","",SUMIFS(상세표[07~18시],상세표[사번키],INDEX(합계표[사번키],$W523),상세표[반영월],대상월키,상세표[반영 기관],"서울병원"))</f>
        <v/>
      </c>
      <c r="O523">
        <f>IF($W523="","",SUMIFS(상세표[18~22시],상세표[사번키],INDEX(합계표[사번키],$W523),상세표[반영월],대상월키,상세표[반영 기관],"서울병원"))</f>
        <v/>
      </c>
      <c r="P523">
        <f>IF($W523="","",SUMIFS(상세표[22~06시],상세표[사번키],INDEX(합계표[사번키],$W523),상세표[반영월],대상월키,상세표[반영 기관],"서울병원"))</f>
        <v/>
      </c>
      <c r="Q523">
        <f>IF($W523="","",SUM($M523:$P523))</f>
        <v/>
      </c>
      <c r="R523">
        <f>IF($W523="","",COUNTIFS(상세표[사번키],INDEX(합계표[사번키],$W523),상세표[반영월],대상월키,상세표[야간당직],1,상세표[야간 구분],"평일"))</f>
        <v/>
      </c>
      <c r="S523" s="4">
        <f>IF($W523="","",COUNTIFS(상세표[사번키],INDEX(합계표[사번키],$W523),상세표[반영월],대상월키,상세표[야간당직],1,상세표[야간 구분],"휴일"))</f>
        <v/>
      </c>
      <c r="T523">
        <f>IF($W523="","",COUNTIFS(상세표[사번키],INDEX(합계표[사번키],$W523),상세표[반영월],대상월키,상세표[야간당직],1,상세표[야간 구분],"평일",상세표[반영 기관],"서울병원"))</f>
        <v/>
      </c>
      <c r="U523">
        <f>IF($W523="","",COUNTIFS(상세표[사번키],INDEX(합계표[사번키],$W523),상세표[반영월],대상월키,상세표[야간당직],1,상세표[야간 구분],"휴일",상세표[반영 기관],"서울병원"))</f>
        <v/>
      </c>
      <c r="V523">
        <f>IF($W523="","",IF(ISNUMBER(MATCH(INDEX(합계표[사번키],$W523)&amp;"|"&amp;대상월키,월별근무지표[키],0)),"직접 입력",IF($K523="—","—","기관명단")))</f>
        <v/>
      </c>
      <c r="W523">
        <f>IFERROR(MATCH(518,합계표[판정순번],0),"")</f>
        <v/>
      </c>
    </row>
    <row r="524">
      <c r="A524">
        <f>IF($W524="","",INDEX(합계표[사번],$W524)&amp;"")</f>
        <v/>
      </c>
      <c r="B524">
        <f>IF($W524="","",INDEX(합계표[성명],$W524)&amp;"")</f>
        <v/>
      </c>
      <c r="C524">
        <f>IF($W524="","",INDEX(합계표[부서],$W524)&amp;"")</f>
        <v/>
      </c>
      <c r="D524">
        <f>IF($W524="","",INDEX(합계표[직위(통합)],$W524)&amp;"")</f>
        <v/>
      </c>
      <c r="E524">
        <f>IF($W524="","",SUMIFS(합계표[시스템 합계],합계표[사번키],INDEX(합계표[사번키],$W524)))</f>
        <v/>
      </c>
      <c r="F524">
        <f>IF($W524="","",SUMIFS(상세표[기록 시간외],상세표[사번키],INDEX(합계표[사번키],$W524),상세표[기록월],대상월키))</f>
        <v/>
      </c>
      <c r="G524">
        <f>IF($W524="","",IF(ABS($E524-$F524)&lt;0.01,"일치","불일치(차이 "&amp;TEXT($F524-$E524,"0.00")&amp;")"))</f>
        <v/>
      </c>
      <c r="H524">
        <f>IF($W524="","",SUMIFS(상세표[기록 시간외],상세표[사번키],INDEX(합계표[사번키],$W524),상세표[기록월],대상월키,상세표[반영월],"&lt;&gt;"&amp;대상월키))</f>
        <v/>
      </c>
      <c r="I524">
        <f>IF($W524="","",SUMIFS(상세표[기록 시간외],상세표[사번키],INDEX(합계표[사번키],$W524),상세표[기록월],"&lt;&gt;"&amp;대상월키,상세표[반영월],대상월키))</f>
        <v/>
      </c>
      <c r="J524">
        <f>IF($W524="","",SUMIFS(상세표[기록 시간외],상세표[사번키],INDEX(합계표[사번키],$W524),상세표[반영월],대상월키))</f>
        <v/>
      </c>
      <c r="K524">
        <f>IF($W524="","",IFERROR(INDEX(월별근무지표[적용 급여병원],MATCH(INDEX(합계표[사번키],$W524)&amp;"|"&amp;대상월키,월별근무지표[키],0))&amp;"",IF(COUNTIF(기관표[사번키],INDEX(합계표[사번키],$W524))+COUNTIF(월별근무지표[사번키],INDEX(합계표[사번키],$W524))&gt;0,IFERROR(INDEX(기관표[급여지급병원(기준월)],MATCH(INDEX(합계표[사번키],$W524)&amp;"|"&amp;대상월키,기관표[키],0))&amp;"","—"),"—")))</f>
        <v/>
      </c>
      <c r="L524">
        <f>IF($W524="","",IF(NOT(COUNTIF(기관표[사번키],INDEX(합계표[사번키],$W524))+COUNTIF(월별근무지표[사번키],INDEX(합계표[사번키],$W524))&gt;0),"기관명단에 없음(다른 병원으로 발송)",IF($K524="—","대상월 기관명단 없음(추가 필요)",IF($K524="서울병원","해당","비해당"))))</f>
        <v/>
      </c>
      <c r="M524">
        <f>IF($W524="","",SUMIFS(상세표[06~07시],상세표[사번키],INDEX(합계표[사번키],$W524),상세표[반영월],대상월키,상세표[반영 기관],"서울병원"))</f>
        <v/>
      </c>
      <c r="N524">
        <f>IF($W524="","",SUMIFS(상세표[07~18시],상세표[사번키],INDEX(합계표[사번키],$W524),상세표[반영월],대상월키,상세표[반영 기관],"서울병원"))</f>
        <v/>
      </c>
      <c r="O524">
        <f>IF($W524="","",SUMIFS(상세표[18~22시],상세표[사번키],INDEX(합계표[사번키],$W524),상세표[반영월],대상월키,상세표[반영 기관],"서울병원"))</f>
        <v/>
      </c>
      <c r="P524">
        <f>IF($W524="","",SUMIFS(상세표[22~06시],상세표[사번키],INDEX(합계표[사번키],$W524),상세표[반영월],대상월키,상세표[반영 기관],"서울병원"))</f>
        <v/>
      </c>
      <c r="Q524">
        <f>IF($W524="","",SUM($M524:$P524))</f>
        <v/>
      </c>
      <c r="R524">
        <f>IF($W524="","",COUNTIFS(상세표[사번키],INDEX(합계표[사번키],$W524),상세표[반영월],대상월키,상세표[야간당직],1,상세표[야간 구분],"평일"))</f>
        <v/>
      </c>
      <c r="S524" s="4">
        <f>IF($W524="","",COUNTIFS(상세표[사번키],INDEX(합계표[사번키],$W524),상세표[반영월],대상월키,상세표[야간당직],1,상세표[야간 구분],"휴일"))</f>
        <v/>
      </c>
      <c r="T524">
        <f>IF($W524="","",COUNTIFS(상세표[사번키],INDEX(합계표[사번키],$W524),상세표[반영월],대상월키,상세표[야간당직],1,상세표[야간 구분],"평일",상세표[반영 기관],"서울병원"))</f>
        <v/>
      </c>
      <c r="U524">
        <f>IF($W524="","",COUNTIFS(상세표[사번키],INDEX(합계표[사번키],$W524),상세표[반영월],대상월키,상세표[야간당직],1,상세표[야간 구분],"휴일",상세표[반영 기관],"서울병원"))</f>
        <v/>
      </c>
      <c r="V524">
        <f>IF($W524="","",IF(ISNUMBER(MATCH(INDEX(합계표[사번키],$W524)&amp;"|"&amp;대상월키,월별근무지표[키],0)),"직접 입력",IF($K524="—","—","기관명단")))</f>
        <v/>
      </c>
      <c r="W524">
        <f>IFERROR(MATCH(519,합계표[판정순번],0),"")</f>
        <v/>
      </c>
    </row>
    <row r="525">
      <c r="A525">
        <f>IF($W525="","",INDEX(합계표[사번],$W525)&amp;"")</f>
        <v/>
      </c>
      <c r="B525">
        <f>IF($W525="","",INDEX(합계표[성명],$W525)&amp;"")</f>
        <v/>
      </c>
      <c r="C525">
        <f>IF($W525="","",INDEX(합계표[부서],$W525)&amp;"")</f>
        <v/>
      </c>
      <c r="D525">
        <f>IF($W525="","",INDEX(합계표[직위(통합)],$W525)&amp;"")</f>
        <v/>
      </c>
      <c r="E525">
        <f>IF($W525="","",SUMIFS(합계표[시스템 합계],합계표[사번키],INDEX(합계표[사번키],$W525)))</f>
        <v/>
      </c>
      <c r="F525">
        <f>IF($W525="","",SUMIFS(상세표[기록 시간외],상세표[사번키],INDEX(합계표[사번키],$W525),상세표[기록월],대상월키))</f>
        <v/>
      </c>
      <c r="G525">
        <f>IF($W525="","",IF(ABS($E525-$F525)&lt;0.01,"일치","불일치(차이 "&amp;TEXT($F525-$E525,"0.00")&amp;")"))</f>
        <v/>
      </c>
      <c r="H525">
        <f>IF($W525="","",SUMIFS(상세표[기록 시간외],상세표[사번키],INDEX(합계표[사번키],$W525),상세표[기록월],대상월키,상세표[반영월],"&lt;&gt;"&amp;대상월키))</f>
        <v/>
      </c>
      <c r="I525">
        <f>IF($W525="","",SUMIFS(상세표[기록 시간외],상세표[사번키],INDEX(합계표[사번키],$W525),상세표[기록월],"&lt;&gt;"&amp;대상월키,상세표[반영월],대상월키))</f>
        <v/>
      </c>
      <c r="J525">
        <f>IF($W525="","",SUMIFS(상세표[기록 시간외],상세표[사번키],INDEX(합계표[사번키],$W525),상세표[반영월],대상월키))</f>
        <v/>
      </c>
      <c r="K525">
        <f>IF($W525="","",IFERROR(INDEX(월별근무지표[적용 급여병원],MATCH(INDEX(합계표[사번키],$W525)&amp;"|"&amp;대상월키,월별근무지표[키],0))&amp;"",IF(COUNTIF(기관표[사번키],INDEX(합계표[사번키],$W525))+COUNTIF(월별근무지표[사번키],INDEX(합계표[사번키],$W525))&gt;0,IFERROR(INDEX(기관표[급여지급병원(기준월)],MATCH(INDEX(합계표[사번키],$W525)&amp;"|"&amp;대상월키,기관표[키],0))&amp;"","—"),"—")))</f>
        <v/>
      </c>
      <c r="L525">
        <f>IF($W525="","",IF(NOT(COUNTIF(기관표[사번키],INDEX(합계표[사번키],$W525))+COUNTIF(월별근무지표[사번키],INDEX(합계표[사번키],$W525))&gt;0),"기관명단에 없음(다른 병원으로 발송)",IF($K525="—","대상월 기관명단 없음(추가 필요)",IF($K525="서울병원","해당","비해당"))))</f>
        <v/>
      </c>
      <c r="M525">
        <f>IF($W525="","",SUMIFS(상세표[06~07시],상세표[사번키],INDEX(합계표[사번키],$W525),상세표[반영월],대상월키,상세표[반영 기관],"서울병원"))</f>
        <v/>
      </c>
      <c r="N525">
        <f>IF($W525="","",SUMIFS(상세표[07~18시],상세표[사번키],INDEX(합계표[사번키],$W525),상세표[반영월],대상월키,상세표[반영 기관],"서울병원"))</f>
        <v/>
      </c>
      <c r="O525">
        <f>IF($W525="","",SUMIFS(상세표[18~22시],상세표[사번키],INDEX(합계표[사번키],$W525),상세표[반영월],대상월키,상세표[반영 기관],"서울병원"))</f>
        <v/>
      </c>
      <c r="P525">
        <f>IF($W525="","",SUMIFS(상세표[22~06시],상세표[사번키],INDEX(합계표[사번키],$W525),상세표[반영월],대상월키,상세표[반영 기관],"서울병원"))</f>
        <v/>
      </c>
      <c r="Q525">
        <f>IF($W525="","",SUM($M525:$P525))</f>
        <v/>
      </c>
      <c r="R525">
        <f>IF($W525="","",COUNTIFS(상세표[사번키],INDEX(합계표[사번키],$W525),상세표[반영월],대상월키,상세표[야간당직],1,상세표[야간 구분],"평일"))</f>
        <v/>
      </c>
      <c r="S525" s="4">
        <f>IF($W525="","",COUNTIFS(상세표[사번키],INDEX(합계표[사번키],$W525),상세표[반영월],대상월키,상세표[야간당직],1,상세표[야간 구분],"휴일"))</f>
        <v/>
      </c>
      <c r="T525">
        <f>IF($W525="","",COUNTIFS(상세표[사번키],INDEX(합계표[사번키],$W525),상세표[반영월],대상월키,상세표[야간당직],1,상세표[야간 구분],"평일",상세표[반영 기관],"서울병원"))</f>
        <v/>
      </c>
      <c r="U525">
        <f>IF($W525="","",COUNTIFS(상세표[사번키],INDEX(합계표[사번키],$W525),상세표[반영월],대상월키,상세표[야간당직],1,상세표[야간 구분],"휴일",상세표[반영 기관],"서울병원"))</f>
        <v/>
      </c>
      <c r="V525">
        <f>IF($W525="","",IF(ISNUMBER(MATCH(INDEX(합계표[사번키],$W525)&amp;"|"&amp;대상월키,월별근무지표[키],0)),"직접 입력",IF($K525="—","—","기관명단")))</f>
        <v/>
      </c>
      <c r="W525">
        <f>IFERROR(MATCH(520,합계표[판정순번],0),"")</f>
        <v/>
      </c>
    </row>
    <row r="526">
      <c r="A526">
        <f>IF($W526="","",INDEX(합계표[사번],$W526)&amp;"")</f>
        <v/>
      </c>
      <c r="B526">
        <f>IF($W526="","",INDEX(합계표[성명],$W526)&amp;"")</f>
        <v/>
      </c>
      <c r="C526">
        <f>IF($W526="","",INDEX(합계표[부서],$W526)&amp;"")</f>
        <v/>
      </c>
      <c r="D526">
        <f>IF($W526="","",INDEX(합계표[직위(통합)],$W526)&amp;"")</f>
        <v/>
      </c>
      <c r="E526">
        <f>IF($W526="","",SUMIFS(합계표[시스템 합계],합계표[사번키],INDEX(합계표[사번키],$W526)))</f>
        <v/>
      </c>
      <c r="F526">
        <f>IF($W526="","",SUMIFS(상세표[기록 시간외],상세표[사번키],INDEX(합계표[사번키],$W526),상세표[기록월],대상월키))</f>
        <v/>
      </c>
      <c r="G526">
        <f>IF($W526="","",IF(ABS($E526-$F526)&lt;0.01,"일치","불일치(차이 "&amp;TEXT($F526-$E526,"0.00")&amp;")"))</f>
        <v/>
      </c>
      <c r="H526">
        <f>IF($W526="","",SUMIFS(상세표[기록 시간외],상세표[사번키],INDEX(합계표[사번키],$W526),상세표[기록월],대상월키,상세표[반영월],"&lt;&gt;"&amp;대상월키))</f>
        <v/>
      </c>
      <c r="I526">
        <f>IF($W526="","",SUMIFS(상세표[기록 시간외],상세표[사번키],INDEX(합계표[사번키],$W526),상세표[기록월],"&lt;&gt;"&amp;대상월키,상세표[반영월],대상월키))</f>
        <v/>
      </c>
      <c r="J526">
        <f>IF($W526="","",SUMIFS(상세표[기록 시간외],상세표[사번키],INDEX(합계표[사번키],$W526),상세표[반영월],대상월키))</f>
        <v/>
      </c>
      <c r="K526">
        <f>IF($W526="","",IFERROR(INDEX(월별근무지표[적용 급여병원],MATCH(INDEX(합계표[사번키],$W526)&amp;"|"&amp;대상월키,월별근무지표[키],0))&amp;"",IF(COUNTIF(기관표[사번키],INDEX(합계표[사번키],$W526))+COUNTIF(월별근무지표[사번키],INDEX(합계표[사번키],$W526))&gt;0,IFERROR(INDEX(기관표[급여지급병원(기준월)],MATCH(INDEX(합계표[사번키],$W526)&amp;"|"&amp;대상월키,기관표[키],0))&amp;"","—"),"—")))</f>
        <v/>
      </c>
      <c r="L526">
        <f>IF($W526="","",IF(NOT(COUNTIF(기관표[사번키],INDEX(합계표[사번키],$W526))+COUNTIF(월별근무지표[사번키],INDEX(합계표[사번키],$W526))&gt;0),"기관명단에 없음(다른 병원으로 발송)",IF($K526="—","대상월 기관명단 없음(추가 필요)",IF($K526="서울병원","해당","비해당"))))</f>
        <v/>
      </c>
      <c r="M526">
        <f>IF($W526="","",SUMIFS(상세표[06~07시],상세표[사번키],INDEX(합계표[사번키],$W526),상세표[반영월],대상월키,상세표[반영 기관],"서울병원"))</f>
        <v/>
      </c>
      <c r="N526">
        <f>IF($W526="","",SUMIFS(상세표[07~18시],상세표[사번키],INDEX(합계표[사번키],$W526),상세표[반영월],대상월키,상세표[반영 기관],"서울병원"))</f>
        <v/>
      </c>
      <c r="O526">
        <f>IF($W526="","",SUMIFS(상세표[18~22시],상세표[사번키],INDEX(합계표[사번키],$W526),상세표[반영월],대상월키,상세표[반영 기관],"서울병원"))</f>
        <v/>
      </c>
      <c r="P526">
        <f>IF($W526="","",SUMIFS(상세표[22~06시],상세표[사번키],INDEX(합계표[사번키],$W526),상세표[반영월],대상월키,상세표[반영 기관],"서울병원"))</f>
        <v/>
      </c>
      <c r="Q526">
        <f>IF($W526="","",SUM($M526:$P526))</f>
        <v/>
      </c>
      <c r="R526">
        <f>IF($W526="","",COUNTIFS(상세표[사번키],INDEX(합계표[사번키],$W526),상세표[반영월],대상월키,상세표[야간당직],1,상세표[야간 구분],"평일"))</f>
        <v/>
      </c>
      <c r="S526" s="4">
        <f>IF($W526="","",COUNTIFS(상세표[사번키],INDEX(합계표[사번키],$W526),상세표[반영월],대상월키,상세표[야간당직],1,상세표[야간 구분],"휴일"))</f>
        <v/>
      </c>
      <c r="T526">
        <f>IF($W526="","",COUNTIFS(상세표[사번키],INDEX(합계표[사번키],$W526),상세표[반영월],대상월키,상세표[야간당직],1,상세표[야간 구분],"평일",상세표[반영 기관],"서울병원"))</f>
        <v/>
      </c>
      <c r="U526">
        <f>IF($W526="","",COUNTIFS(상세표[사번키],INDEX(합계표[사번키],$W526),상세표[반영월],대상월키,상세표[야간당직],1,상세표[야간 구분],"휴일",상세표[반영 기관],"서울병원"))</f>
        <v/>
      </c>
      <c r="V526">
        <f>IF($W526="","",IF(ISNUMBER(MATCH(INDEX(합계표[사번키],$W526)&amp;"|"&amp;대상월키,월별근무지표[키],0)),"직접 입력",IF($K526="—","—","기관명단")))</f>
        <v/>
      </c>
      <c r="W526">
        <f>IFERROR(MATCH(521,합계표[판정순번],0),"")</f>
        <v/>
      </c>
    </row>
    <row r="527">
      <c r="A527">
        <f>IF($W527="","",INDEX(합계표[사번],$W527)&amp;"")</f>
        <v/>
      </c>
      <c r="B527">
        <f>IF($W527="","",INDEX(합계표[성명],$W527)&amp;"")</f>
        <v/>
      </c>
      <c r="C527">
        <f>IF($W527="","",INDEX(합계표[부서],$W527)&amp;"")</f>
        <v/>
      </c>
      <c r="D527">
        <f>IF($W527="","",INDEX(합계표[직위(통합)],$W527)&amp;"")</f>
        <v/>
      </c>
      <c r="E527">
        <f>IF($W527="","",SUMIFS(합계표[시스템 합계],합계표[사번키],INDEX(합계표[사번키],$W527)))</f>
        <v/>
      </c>
      <c r="F527">
        <f>IF($W527="","",SUMIFS(상세표[기록 시간외],상세표[사번키],INDEX(합계표[사번키],$W527),상세표[기록월],대상월키))</f>
        <v/>
      </c>
      <c r="G527">
        <f>IF($W527="","",IF(ABS($E527-$F527)&lt;0.01,"일치","불일치(차이 "&amp;TEXT($F527-$E527,"0.00")&amp;")"))</f>
        <v/>
      </c>
      <c r="H527">
        <f>IF($W527="","",SUMIFS(상세표[기록 시간외],상세표[사번키],INDEX(합계표[사번키],$W527),상세표[기록월],대상월키,상세표[반영월],"&lt;&gt;"&amp;대상월키))</f>
        <v/>
      </c>
      <c r="I527">
        <f>IF($W527="","",SUMIFS(상세표[기록 시간외],상세표[사번키],INDEX(합계표[사번키],$W527),상세표[기록월],"&lt;&gt;"&amp;대상월키,상세표[반영월],대상월키))</f>
        <v/>
      </c>
      <c r="J527">
        <f>IF($W527="","",SUMIFS(상세표[기록 시간외],상세표[사번키],INDEX(합계표[사번키],$W527),상세표[반영월],대상월키))</f>
        <v/>
      </c>
      <c r="K527">
        <f>IF($W527="","",IFERROR(INDEX(월별근무지표[적용 급여병원],MATCH(INDEX(합계표[사번키],$W527)&amp;"|"&amp;대상월키,월별근무지표[키],0))&amp;"",IF(COUNTIF(기관표[사번키],INDEX(합계표[사번키],$W527))+COUNTIF(월별근무지표[사번키],INDEX(합계표[사번키],$W527))&gt;0,IFERROR(INDEX(기관표[급여지급병원(기준월)],MATCH(INDEX(합계표[사번키],$W527)&amp;"|"&amp;대상월키,기관표[키],0))&amp;"","—"),"—")))</f>
        <v/>
      </c>
      <c r="L527">
        <f>IF($W527="","",IF(NOT(COUNTIF(기관표[사번키],INDEX(합계표[사번키],$W527))+COUNTIF(월별근무지표[사번키],INDEX(합계표[사번키],$W527))&gt;0),"기관명단에 없음(다른 병원으로 발송)",IF($K527="—","대상월 기관명단 없음(추가 필요)",IF($K527="서울병원","해당","비해당"))))</f>
        <v/>
      </c>
      <c r="M527">
        <f>IF($W527="","",SUMIFS(상세표[06~07시],상세표[사번키],INDEX(합계표[사번키],$W527),상세표[반영월],대상월키,상세표[반영 기관],"서울병원"))</f>
        <v/>
      </c>
      <c r="N527">
        <f>IF($W527="","",SUMIFS(상세표[07~18시],상세표[사번키],INDEX(합계표[사번키],$W527),상세표[반영월],대상월키,상세표[반영 기관],"서울병원"))</f>
        <v/>
      </c>
      <c r="O527">
        <f>IF($W527="","",SUMIFS(상세표[18~22시],상세표[사번키],INDEX(합계표[사번키],$W527),상세표[반영월],대상월키,상세표[반영 기관],"서울병원"))</f>
        <v/>
      </c>
      <c r="P527">
        <f>IF($W527="","",SUMIFS(상세표[22~06시],상세표[사번키],INDEX(합계표[사번키],$W527),상세표[반영월],대상월키,상세표[반영 기관],"서울병원"))</f>
        <v/>
      </c>
      <c r="Q527">
        <f>IF($W527="","",SUM($M527:$P527))</f>
        <v/>
      </c>
      <c r="R527">
        <f>IF($W527="","",COUNTIFS(상세표[사번키],INDEX(합계표[사번키],$W527),상세표[반영월],대상월키,상세표[야간당직],1,상세표[야간 구분],"평일"))</f>
        <v/>
      </c>
      <c r="S527" s="4">
        <f>IF($W527="","",COUNTIFS(상세표[사번키],INDEX(합계표[사번키],$W527),상세표[반영월],대상월키,상세표[야간당직],1,상세표[야간 구분],"휴일"))</f>
        <v/>
      </c>
      <c r="T527">
        <f>IF($W527="","",COUNTIFS(상세표[사번키],INDEX(합계표[사번키],$W527),상세표[반영월],대상월키,상세표[야간당직],1,상세표[야간 구분],"평일",상세표[반영 기관],"서울병원"))</f>
        <v/>
      </c>
      <c r="U527">
        <f>IF($W527="","",COUNTIFS(상세표[사번키],INDEX(합계표[사번키],$W527),상세표[반영월],대상월키,상세표[야간당직],1,상세표[야간 구분],"휴일",상세표[반영 기관],"서울병원"))</f>
        <v/>
      </c>
      <c r="V527">
        <f>IF($W527="","",IF(ISNUMBER(MATCH(INDEX(합계표[사번키],$W527)&amp;"|"&amp;대상월키,월별근무지표[키],0)),"직접 입력",IF($K527="—","—","기관명단")))</f>
        <v/>
      </c>
      <c r="W527">
        <f>IFERROR(MATCH(522,합계표[판정순번],0),"")</f>
        <v/>
      </c>
    </row>
    <row r="528">
      <c r="A528">
        <f>IF($W528="","",INDEX(합계표[사번],$W528)&amp;"")</f>
        <v/>
      </c>
      <c r="B528">
        <f>IF($W528="","",INDEX(합계표[성명],$W528)&amp;"")</f>
        <v/>
      </c>
      <c r="C528">
        <f>IF($W528="","",INDEX(합계표[부서],$W528)&amp;"")</f>
        <v/>
      </c>
      <c r="D528">
        <f>IF($W528="","",INDEX(합계표[직위(통합)],$W528)&amp;"")</f>
        <v/>
      </c>
      <c r="E528">
        <f>IF($W528="","",SUMIFS(합계표[시스템 합계],합계표[사번키],INDEX(합계표[사번키],$W528)))</f>
        <v/>
      </c>
      <c r="F528">
        <f>IF($W528="","",SUMIFS(상세표[기록 시간외],상세표[사번키],INDEX(합계표[사번키],$W528),상세표[기록월],대상월키))</f>
        <v/>
      </c>
      <c r="G528">
        <f>IF($W528="","",IF(ABS($E528-$F528)&lt;0.01,"일치","불일치(차이 "&amp;TEXT($F528-$E528,"0.00")&amp;")"))</f>
        <v/>
      </c>
      <c r="H528">
        <f>IF($W528="","",SUMIFS(상세표[기록 시간외],상세표[사번키],INDEX(합계표[사번키],$W528),상세표[기록월],대상월키,상세표[반영월],"&lt;&gt;"&amp;대상월키))</f>
        <v/>
      </c>
      <c r="I528">
        <f>IF($W528="","",SUMIFS(상세표[기록 시간외],상세표[사번키],INDEX(합계표[사번키],$W528),상세표[기록월],"&lt;&gt;"&amp;대상월키,상세표[반영월],대상월키))</f>
        <v/>
      </c>
      <c r="J528">
        <f>IF($W528="","",SUMIFS(상세표[기록 시간외],상세표[사번키],INDEX(합계표[사번키],$W528),상세표[반영월],대상월키))</f>
        <v/>
      </c>
      <c r="K528">
        <f>IF($W528="","",IFERROR(INDEX(월별근무지표[적용 급여병원],MATCH(INDEX(합계표[사번키],$W528)&amp;"|"&amp;대상월키,월별근무지표[키],0))&amp;"",IF(COUNTIF(기관표[사번키],INDEX(합계표[사번키],$W528))+COUNTIF(월별근무지표[사번키],INDEX(합계표[사번키],$W528))&gt;0,IFERROR(INDEX(기관표[급여지급병원(기준월)],MATCH(INDEX(합계표[사번키],$W528)&amp;"|"&amp;대상월키,기관표[키],0))&amp;"","—"),"—")))</f>
        <v/>
      </c>
      <c r="L528">
        <f>IF($W528="","",IF(NOT(COUNTIF(기관표[사번키],INDEX(합계표[사번키],$W528))+COUNTIF(월별근무지표[사번키],INDEX(합계표[사번키],$W528))&gt;0),"기관명단에 없음(다른 병원으로 발송)",IF($K528="—","대상월 기관명단 없음(추가 필요)",IF($K528="서울병원","해당","비해당"))))</f>
        <v/>
      </c>
      <c r="M528">
        <f>IF($W528="","",SUMIFS(상세표[06~07시],상세표[사번키],INDEX(합계표[사번키],$W528),상세표[반영월],대상월키,상세표[반영 기관],"서울병원"))</f>
        <v/>
      </c>
      <c r="N528">
        <f>IF($W528="","",SUMIFS(상세표[07~18시],상세표[사번키],INDEX(합계표[사번키],$W528),상세표[반영월],대상월키,상세표[반영 기관],"서울병원"))</f>
        <v/>
      </c>
      <c r="O528">
        <f>IF($W528="","",SUMIFS(상세표[18~22시],상세표[사번키],INDEX(합계표[사번키],$W528),상세표[반영월],대상월키,상세표[반영 기관],"서울병원"))</f>
        <v/>
      </c>
      <c r="P528">
        <f>IF($W528="","",SUMIFS(상세표[22~06시],상세표[사번키],INDEX(합계표[사번키],$W528),상세표[반영월],대상월키,상세표[반영 기관],"서울병원"))</f>
        <v/>
      </c>
      <c r="Q528">
        <f>IF($W528="","",SUM($M528:$P528))</f>
        <v/>
      </c>
      <c r="R528">
        <f>IF($W528="","",COUNTIFS(상세표[사번키],INDEX(합계표[사번키],$W528),상세표[반영월],대상월키,상세표[야간당직],1,상세표[야간 구분],"평일"))</f>
        <v/>
      </c>
      <c r="S528" s="4">
        <f>IF($W528="","",COUNTIFS(상세표[사번키],INDEX(합계표[사번키],$W528),상세표[반영월],대상월키,상세표[야간당직],1,상세표[야간 구분],"휴일"))</f>
        <v/>
      </c>
      <c r="T528">
        <f>IF($W528="","",COUNTIFS(상세표[사번키],INDEX(합계표[사번키],$W528),상세표[반영월],대상월키,상세표[야간당직],1,상세표[야간 구분],"평일",상세표[반영 기관],"서울병원"))</f>
        <v/>
      </c>
      <c r="U528">
        <f>IF($W528="","",COUNTIFS(상세표[사번키],INDEX(합계표[사번키],$W528),상세표[반영월],대상월키,상세표[야간당직],1,상세표[야간 구분],"휴일",상세표[반영 기관],"서울병원"))</f>
        <v/>
      </c>
      <c r="V528">
        <f>IF($W528="","",IF(ISNUMBER(MATCH(INDEX(합계표[사번키],$W528)&amp;"|"&amp;대상월키,월별근무지표[키],0)),"직접 입력",IF($K528="—","—","기관명단")))</f>
        <v/>
      </c>
      <c r="W528">
        <f>IFERROR(MATCH(523,합계표[판정순번],0),"")</f>
        <v/>
      </c>
    </row>
    <row r="529">
      <c r="A529">
        <f>IF($W529="","",INDEX(합계표[사번],$W529)&amp;"")</f>
        <v/>
      </c>
      <c r="B529">
        <f>IF($W529="","",INDEX(합계표[성명],$W529)&amp;"")</f>
        <v/>
      </c>
      <c r="C529">
        <f>IF($W529="","",INDEX(합계표[부서],$W529)&amp;"")</f>
        <v/>
      </c>
      <c r="D529">
        <f>IF($W529="","",INDEX(합계표[직위(통합)],$W529)&amp;"")</f>
        <v/>
      </c>
      <c r="E529">
        <f>IF($W529="","",SUMIFS(합계표[시스템 합계],합계표[사번키],INDEX(합계표[사번키],$W529)))</f>
        <v/>
      </c>
      <c r="F529">
        <f>IF($W529="","",SUMIFS(상세표[기록 시간외],상세표[사번키],INDEX(합계표[사번키],$W529),상세표[기록월],대상월키))</f>
        <v/>
      </c>
      <c r="G529">
        <f>IF($W529="","",IF(ABS($E529-$F529)&lt;0.01,"일치","불일치(차이 "&amp;TEXT($F529-$E529,"0.00")&amp;")"))</f>
        <v/>
      </c>
      <c r="H529">
        <f>IF($W529="","",SUMIFS(상세표[기록 시간외],상세표[사번키],INDEX(합계표[사번키],$W529),상세표[기록월],대상월키,상세표[반영월],"&lt;&gt;"&amp;대상월키))</f>
        <v/>
      </c>
      <c r="I529">
        <f>IF($W529="","",SUMIFS(상세표[기록 시간외],상세표[사번키],INDEX(합계표[사번키],$W529),상세표[기록월],"&lt;&gt;"&amp;대상월키,상세표[반영월],대상월키))</f>
        <v/>
      </c>
      <c r="J529">
        <f>IF($W529="","",SUMIFS(상세표[기록 시간외],상세표[사번키],INDEX(합계표[사번키],$W529),상세표[반영월],대상월키))</f>
        <v/>
      </c>
      <c r="K529">
        <f>IF($W529="","",IFERROR(INDEX(월별근무지표[적용 급여병원],MATCH(INDEX(합계표[사번키],$W529)&amp;"|"&amp;대상월키,월별근무지표[키],0))&amp;"",IF(COUNTIF(기관표[사번키],INDEX(합계표[사번키],$W529))+COUNTIF(월별근무지표[사번키],INDEX(합계표[사번키],$W529))&gt;0,IFERROR(INDEX(기관표[급여지급병원(기준월)],MATCH(INDEX(합계표[사번키],$W529)&amp;"|"&amp;대상월키,기관표[키],0))&amp;"","—"),"—")))</f>
        <v/>
      </c>
      <c r="L529">
        <f>IF($W529="","",IF(NOT(COUNTIF(기관표[사번키],INDEX(합계표[사번키],$W529))+COUNTIF(월별근무지표[사번키],INDEX(합계표[사번키],$W529))&gt;0),"기관명단에 없음(다른 병원으로 발송)",IF($K529="—","대상월 기관명단 없음(추가 필요)",IF($K529="서울병원","해당","비해당"))))</f>
        <v/>
      </c>
      <c r="M529">
        <f>IF($W529="","",SUMIFS(상세표[06~07시],상세표[사번키],INDEX(합계표[사번키],$W529),상세표[반영월],대상월키,상세표[반영 기관],"서울병원"))</f>
        <v/>
      </c>
      <c r="N529">
        <f>IF($W529="","",SUMIFS(상세표[07~18시],상세표[사번키],INDEX(합계표[사번키],$W529),상세표[반영월],대상월키,상세표[반영 기관],"서울병원"))</f>
        <v/>
      </c>
      <c r="O529">
        <f>IF($W529="","",SUMIFS(상세표[18~22시],상세표[사번키],INDEX(합계표[사번키],$W529),상세표[반영월],대상월키,상세표[반영 기관],"서울병원"))</f>
        <v/>
      </c>
      <c r="P529">
        <f>IF($W529="","",SUMIFS(상세표[22~06시],상세표[사번키],INDEX(합계표[사번키],$W529),상세표[반영월],대상월키,상세표[반영 기관],"서울병원"))</f>
        <v/>
      </c>
      <c r="Q529">
        <f>IF($W529="","",SUM($M529:$P529))</f>
        <v/>
      </c>
      <c r="R529">
        <f>IF($W529="","",COUNTIFS(상세표[사번키],INDEX(합계표[사번키],$W529),상세표[반영월],대상월키,상세표[야간당직],1,상세표[야간 구분],"평일"))</f>
        <v/>
      </c>
      <c r="S529" s="4">
        <f>IF($W529="","",COUNTIFS(상세표[사번키],INDEX(합계표[사번키],$W529),상세표[반영월],대상월키,상세표[야간당직],1,상세표[야간 구분],"휴일"))</f>
        <v/>
      </c>
      <c r="T529">
        <f>IF($W529="","",COUNTIFS(상세표[사번키],INDEX(합계표[사번키],$W529),상세표[반영월],대상월키,상세표[야간당직],1,상세표[야간 구분],"평일",상세표[반영 기관],"서울병원"))</f>
        <v/>
      </c>
      <c r="U529">
        <f>IF($W529="","",COUNTIFS(상세표[사번키],INDEX(합계표[사번키],$W529),상세표[반영월],대상월키,상세표[야간당직],1,상세표[야간 구분],"휴일",상세표[반영 기관],"서울병원"))</f>
        <v/>
      </c>
      <c r="V529">
        <f>IF($W529="","",IF(ISNUMBER(MATCH(INDEX(합계표[사번키],$W529)&amp;"|"&amp;대상월키,월별근무지표[키],0)),"직접 입력",IF($K529="—","—","기관명단")))</f>
        <v/>
      </c>
      <c r="W529">
        <f>IFERROR(MATCH(524,합계표[판정순번],0),"")</f>
        <v/>
      </c>
    </row>
    <row r="530">
      <c r="A530">
        <f>IF($W530="","",INDEX(합계표[사번],$W530)&amp;"")</f>
        <v/>
      </c>
      <c r="B530">
        <f>IF($W530="","",INDEX(합계표[성명],$W530)&amp;"")</f>
        <v/>
      </c>
      <c r="C530">
        <f>IF($W530="","",INDEX(합계표[부서],$W530)&amp;"")</f>
        <v/>
      </c>
      <c r="D530">
        <f>IF($W530="","",INDEX(합계표[직위(통합)],$W530)&amp;"")</f>
        <v/>
      </c>
      <c r="E530">
        <f>IF($W530="","",SUMIFS(합계표[시스템 합계],합계표[사번키],INDEX(합계표[사번키],$W530)))</f>
        <v/>
      </c>
      <c r="F530">
        <f>IF($W530="","",SUMIFS(상세표[기록 시간외],상세표[사번키],INDEX(합계표[사번키],$W530),상세표[기록월],대상월키))</f>
        <v/>
      </c>
      <c r="G530">
        <f>IF($W530="","",IF(ABS($E530-$F530)&lt;0.01,"일치","불일치(차이 "&amp;TEXT($F530-$E530,"0.00")&amp;")"))</f>
        <v/>
      </c>
      <c r="H530">
        <f>IF($W530="","",SUMIFS(상세표[기록 시간외],상세표[사번키],INDEX(합계표[사번키],$W530),상세표[기록월],대상월키,상세표[반영월],"&lt;&gt;"&amp;대상월키))</f>
        <v/>
      </c>
      <c r="I530">
        <f>IF($W530="","",SUMIFS(상세표[기록 시간외],상세표[사번키],INDEX(합계표[사번키],$W530),상세표[기록월],"&lt;&gt;"&amp;대상월키,상세표[반영월],대상월키))</f>
        <v/>
      </c>
      <c r="J530">
        <f>IF($W530="","",SUMIFS(상세표[기록 시간외],상세표[사번키],INDEX(합계표[사번키],$W530),상세표[반영월],대상월키))</f>
        <v/>
      </c>
      <c r="K530">
        <f>IF($W530="","",IFERROR(INDEX(월별근무지표[적용 급여병원],MATCH(INDEX(합계표[사번키],$W530)&amp;"|"&amp;대상월키,월별근무지표[키],0))&amp;"",IF(COUNTIF(기관표[사번키],INDEX(합계표[사번키],$W530))+COUNTIF(월별근무지표[사번키],INDEX(합계표[사번키],$W530))&gt;0,IFERROR(INDEX(기관표[급여지급병원(기준월)],MATCH(INDEX(합계표[사번키],$W530)&amp;"|"&amp;대상월키,기관표[키],0))&amp;"","—"),"—")))</f>
        <v/>
      </c>
      <c r="L530">
        <f>IF($W530="","",IF(NOT(COUNTIF(기관표[사번키],INDEX(합계표[사번키],$W530))+COUNTIF(월별근무지표[사번키],INDEX(합계표[사번키],$W530))&gt;0),"기관명단에 없음(다른 병원으로 발송)",IF($K530="—","대상월 기관명단 없음(추가 필요)",IF($K530="서울병원","해당","비해당"))))</f>
        <v/>
      </c>
      <c r="M530">
        <f>IF($W530="","",SUMIFS(상세표[06~07시],상세표[사번키],INDEX(합계표[사번키],$W530),상세표[반영월],대상월키,상세표[반영 기관],"서울병원"))</f>
        <v/>
      </c>
      <c r="N530">
        <f>IF($W530="","",SUMIFS(상세표[07~18시],상세표[사번키],INDEX(합계표[사번키],$W530),상세표[반영월],대상월키,상세표[반영 기관],"서울병원"))</f>
        <v/>
      </c>
      <c r="O530">
        <f>IF($W530="","",SUMIFS(상세표[18~22시],상세표[사번키],INDEX(합계표[사번키],$W530),상세표[반영월],대상월키,상세표[반영 기관],"서울병원"))</f>
        <v/>
      </c>
      <c r="P530">
        <f>IF($W530="","",SUMIFS(상세표[22~06시],상세표[사번키],INDEX(합계표[사번키],$W530),상세표[반영월],대상월키,상세표[반영 기관],"서울병원"))</f>
        <v/>
      </c>
      <c r="Q530">
        <f>IF($W530="","",SUM($M530:$P530))</f>
        <v/>
      </c>
      <c r="R530">
        <f>IF($W530="","",COUNTIFS(상세표[사번키],INDEX(합계표[사번키],$W530),상세표[반영월],대상월키,상세표[야간당직],1,상세표[야간 구분],"평일"))</f>
        <v/>
      </c>
      <c r="S530" s="4">
        <f>IF($W530="","",COUNTIFS(상세표[사번키],INDEX(합계표[사번키],$W530),상세표[반영월],대상월키,상세표[야간당직],1,상세표[야간 구분],"휴일"))</f>
        <v/>
      </c>
      <c r="T530">
        <f>IF($W530="","",COUNTIFS(상세표[사번키],INDEX(합계표[사번키],$W530),상세표[반영월],대상월키,상세표[야간당직],1,상세표[야간 구분],"평일",상세표[반영 기관],"서울병원"))</f>
        <v/>
      </c>
      <c r="U530">
        <f>IF($W530="","",COUNTIFS(상세표[사번키],INDEX(합계표[사번키],$W530),상세표[반영월],대상월키,상세표[야간당직],1,상세표[야간 구분],"휴일",상세표[반영 기관],"서울병원"))</f>
        <v/>
      </c>
      <c r="V530">
        <f>IF($W530="","",IF(ISNUMBER(MATCH(INDEX(합계표[사번키],$W530)&amp;"|"&amp;대상월키,월별근무지표[키],0)),"직접 입력",IF($K530="—","—","기관명단")))</f>
        <v/>
      </c>
      <c r="W530">
        <f>IFERROR(MATCH(525,합계표[판정순번],0),"")</f>
        <v/>
      </c>
    </row>
    <row r="531">
      <c r="A531">
        <f>IF($W531="","",INDEX(합계표[사번],$W531)&amp;"")</f>
        <v/>
      </c>
      <c r="B531">
        <f>IF($W531="","",INDEX(합계표[성명],$W531)&amp;"")</f>
        <v/>
      </c>
      <c r="C531">
        <f>IF($W531="","",INDEX(합계표[부서],$W531)&amp;"")</f>
        <v/>
      </c>
      <c r="D531">
        <f>IF($W531="","",INDEX(합계표[직위(통합)],$W531)&amp;"")</f>
        <v/>
      </c>
      <c r="E531">
        <f>IF($W531="","",SUMIFS(합계표[시스템 합계],합계표[사번키],INDEX(합계표[사번키],$W531)))</f>
        <v/>
      </c>
      <c r="F531">
        <f>IF($W531="","",SUMIFS(상세표[기록 시간외],상세표[사번키],INDEX(합계표[사번키],$W531),상세표[기록월],대상월키))</f>
        <v/>
      </c>
      <c r="G531">
        <f>IF($W531="","",IF(ABS($E531-$F531)&lt;0.01,"일치","불일치(차이 "&amp;TEXT($F531-$E531,"0.00")&amp;")"))</f>
        <v/>
      </c>
      <c r="H531">
        <f>IF($W531="","",SUMIFS(상세표[기록 시간외],상세표[사번키],INDEX(합계표[사번키],$W531),상세표[기록월],대상월키,상세표[반영월],"&lt;&gt;"&amp;대상월키))</f>
        <v/>
      </c>
      <c r="I531">
        <f>IF($W531="","",SUMIFS(상세표[기록 시간외],상세표[사번키],INDEX(합계표[사번키],$W531),상세표[기록월],"&lt;&gt;"&amp;대상월키,상세표[반영월],대상월키))</f>
        <v/>
      </c>
      <c r="J531">
        <f>IF($W531="","",SUMIFS(상세표[기록 시간외],상세표[사번키],INDEX(합계표[사번키],$W531),상세표[반영월],대상월키))</f>
        <v/>
      </c>
      <c r="K531">
        <f>IF($W531="","",IFERROR(INDEX(월별근무지표[적용 급여병원],MATCH(INDEX(합계표[사번키],$W531)&amp;"|"&amp;대상월키,월별근무지표[키],0))&amp;"",IF(COUNTIF(기관표[사번키],INDEX(합계표[사번키],$W531))+COUNTIF(월별근무지표[사번키],INDEX(합계표[사번키],$W531))&gt;0,IFERROR(INDEX(기관표[급여지급병원(기준월)],MATCH(INDEX(합계표[사번키],$W531)&amp;"|"&amp;대상월키,기관표[키],0))&amp;"","—"),"—")))</f>
        <v/>
      </c>
      <c r="L531">
        <f>IF($W531="","",IF(NOT(COUNTIF(기관표[사번키],INDEX(합계표[사번키],$W531))+COUNTIF(월별근무지표[사번키],INDEX(합계표[사번키],$W531))&gt;0),"기관명단에 없음(다른 병원으로 발송)",IF($K531="—","대상월 기관명단 없음(추가 필요)",IF($K531="서울병원","해당","비해당"))))</f>
        <v/>
      </c>
      <c r="M531">
        <f>IF($W531="","",SUMIFS(상세표[06~07시],상세표[사번키],INDEX(합계표[사번키],$W531),상세표[반영월],대상월키,상세표[반영 기관],"서울병원"))</f>
        <v/>
      </c>
      <c r="N531">
        <f>IF($W531="","",SUMIFS(상세표[07~18시],상세표[사번키],INDEX(합계표[사번키],$W531),상세표[반영월],대상월키,상세표[반영 기관],"서울병원"))</f>
        <v/>
      </c>
      <c r="O531">
        <f>IF($W531="","",SUMIFS(상세표[18~22시],상세표[사번키],INDEX(합계표[사번키],$W531),상세표[반영월],대상월키,상세표[반영 기관],"서울병원"))</f>
        <v/>
      </c>
      <c r="P531">
        <f>IF($W531="","",SUMIFS(상세표[22~06시],상세표[사번키],INDEX(합계표[사번키],$W531),상세표[반영월],대상월키,상세표[반영 기관],"서울병원"))</f>
        <v/>
      </c>
      <c r="Q531">
        <f>IF($W531="","",SUM($M531:$P531))</f>
        <v/>
      </c>
      <c r="R531">
        <f>IF($W531="","",COUNTIFS(상세표[사번키],INDEX(합계표[사번키],$W531),상세표[반영월],대상월키,상세표[야간당직],1,상세표[야간 구분],"평일"))</f>
        <v/>
      </c>
      <c r="S531" s="4">
        <f>IF($W531="","",COUNTIFS(상세표[사번키],INDEX(합계표[사번키],$W531),상세표[반영월],대상월키,상세표[야간당직],1,상세표[야간 구분],"휴일"))</f>
        <v/>
      </c>
      <c r="T531">
        <f>IF($W531="","",COUNTIFS(상세표[사번키],INDEX(합계표[사번키],$W531),상세표[반영월],대상월키,상세표[야간당직],1,상세표[야간 구분],"평일",상세표[반영 기관],"서울병원"))</f>
        <v/>
      </c>
      <c r="U531">
        <f>IF($W531="","",COUNTIFS(상세표[사번키],INDEX(합계표[사번키],$W531),상세표[반영월],대상월키,상세표[야간당직],1,상세표[야간 구분],"휴일",상세표[반영 기관],"서울병원"))</f>
        <v/>
      </c>
      <c r="V531">
        <f>IF($W531="","",IF(ISNUMBER(MATCH(INDEX(합계표[사번키],$W531)&amp;"|"&amp;대상월키,월별근무지표[키],0)),"직접 입력",IF($K531="—","—","기관명단")))</f>
        <v/>
      </c>
      <c r="W531">
        <f>IFERROR(MATCH(526,합계표[판정순번],0),"")</f>
        <v/>
      </c>
    </row>
    <row r="532">
      <c r="A532">
        <f>IF($W532="","",INDEX(합계표[사번],$W532)&amp;"")</f>
        <v/>
      </c>
      <c r="B532">
        <f>IF($W532="","",INDEX(합계표[성명],$W532)&amp;"")</f>
        <v/>
      </c>
      <c r="C532">
        <f>IF($W532="","",INDEX(합계표[부서],$W532)&amp;"")</f>
        <v/>
      </c>
      <c r="D532">
        <f>IF($W532="","",INDEX(합계표[직위(통합)],$W532)&amp;"")</f>
        <v/>
      </c>
      <c r="E532">
        <f>IF($W532="","",SUMIFS(합계표[시스템 합계],합계표[사번키],INDEX(합계표[사번키],$W532)))</f>
        <v/>
      </c>
      <c r="F532">
        <f>IF($W532="","",SUMIFS(상세표[기록 시간외],상세표[사번키],INDEX(합계표[사번키],$W532),상세표[기록월],대상월키))</f>
        <v/>
      </c>
      <c r="G532">
        <f>IF($W532="","",IF(ABS($E532-$F532)&lt;0.01,"일치","불일치(차이 "&amp;TEXT($F532-$E532,"0.00")&amp;")"))</f>
        <v/>
      </c>
      <c r="H532">
        <f>IF($W532="","",SUMIFS(상세표[기록 시간외],상세표[사번키],INDEX(합계표[사번키],$W532),상세표[기록월],대상월키,상세표[반영월],"&lt;&gt;"&amp;대상월키))</f>
        <v/>
      </c>
      <c r="I532">
        <f>IF($W532="","",SUMIFS(상세표[기록 시간외],상세표[사번키],INDEX(합계표[사번키],$W532),상세표[기록월],"&lt;&gt;"&amp;대상월키,상세표[반영월],대상월키))</f>
        <v/>
      </c>
      <c r="J532">
        <f>IF($W532="","",SUMIFS(상세표[기록 시간외],상세표[사번키],INDEX(합계표[사번키],$W532),상세표[반영월],대상월키))</f>
        <v/>
      </c>
      <c r="K532">
        <f>IF($W532="","",IFERROR(INDEX(월별근무지표[적용 급여병원],MATCH(INDEX(합계표[사번키],$W532)&amp;"|"&amp;대상월키,월별근무지표[키],0))&amp;"",IF(COUNTIF(기관표[사번키],INDEX(합계표[사번키],$W532))+COUNTIF(월별근무지표[사번키],INDEX(합계표[사번키],$W532))&gt;0,IFERROR(INDEX(기관표[급여지급병원(기준월)],MATCH(INDEX(합계표[사번키],$W532)&amp;"|"&amp;대상월키,기관표[키],0))&amp;"","—"),"—")))</f>
        <v/>
      </c>
      <c r="L532">
        <f>IF($W532="","",IF(NOT(COUNTIF(기관표[사번키],INDEX(합계표[사번키],$W532))+COUNTIF(월별근무지표[사번키],INDEX(합계표[사번키],$W532))&gt;0),"기관명단에 없음(다른 병원으로 발송)",IF($K532="—","대상월 기관명단 없음(추가 필요)",IF($K532="서울병원","해당","비해당"))))</f>
        <v/>
      </c>
      <c r="M532">
        <f>IF($W532="","",SUMIFS(상세표[06~07시],상세표[사번키],INDEX(합계표[사번키],$W532),상세표[반영월],대상월키,상세표[반영 기관],"서울병원"))</f>
        <v/>
      </c>
      <c r="N532">
        <f>IF($W532="","",SUMIFS(상세표[07~18시],상세표[사번키],INDEX(합계표[사번키],$W532),상세표[반영월],대상월키,상세표[반영 기관],"서울병원"))</f>
        <v/>
      </c>
      <c r="O532">
        <f>IF($W532="","",SUMIFS(상세표[18~22시],상세표[사번키],INDEX(합계표[사번키],$W532),상세표[반영월],대상월키,상세표[반영 기관],"서울병원"))</f>
        <v/>
      </c>
      <c r="P532">
        <f>IF($W532="","",SUMIFS(상세표[22~06시],상세표[사번키],INDEX(합계표[사번키],$W532),상세표[반영월],대상월키,상세표[반영 기관],"서울병원"))</f>
        <v/>
      </c>
      <c r="Q532">
        <f>IF($W532="","",SUM($M532:$P532))</f>
        <v/>
      </c>
      <c r="R532">
        <f>IF($W532="","",COUNTIFS(상세표[사번키],INDEX(합계표[사번키],$W532),상세표[반영월],대상월키,상세표[야간당직],1,상세표[야간 구분],"평일"))</f>
        <v/>
      </c>
      <c r="S532" s="4">
        <f>IF($W532="","",COUNTIFS(상세표[사번키],INDEX(합계표[사번키],$W532),상세표[반영월],대상월키,상세표[야간당직],1,상세표[야간 구분],"휴일"))</f>
        <v/>
      </c>
      <c r="T532">
        <f>IF($W532="","",COUNTIFS(상세표[사번키],INDEX(합계표[사번키],$W532),상세표[반영월],대상월키,상세표[야간당직],1,상세표[야간 구분],"평일",상세표[반영 기관],"서울병원"))</f>
        <v/>
      </c>
      <c r="U532">
        <f>IF($W532="","",COUNTIFS(상세표[사번키],INDEX(합계표[사번키],$W532),상세표[반영월],대상월키,상세표[야간당직],1,상세표[야간 구분],"휴일",상세표[반영 기관],"서울병원"))</f>
        <v/>
      </c>
      <c r="V532">
        <f>IF($W532="","",IF(ISNUMBER(MATCH(INDEX(합계표[사번키],$W532)&amp;"|"&amp;대상월키,월별근무지표[키],0)),"직접 입력",IF($K532="—","—","기관명단")))</f>
        <v/>
      </c>
      <c r="W532">
        <f>IFERROR(MATCH(527,합계표[판정순번],0),"")</f>
        <v/>
      </c>
    </row>
    <row r="533">
      <c r="A533">
        <f>IF($W533="","",INDEX(합계표[사번],$W533)&amp;"")</f>
        <v/>
      </c>
      <c r="B533">
        <f>IF($W533="","",INDEX(합계표[성명],$W533)&amp;"")</f>
        <v/>
      </c>
      <c r="C533">
        <f>IF($W533="","",INDEX(합계표[부서],$W533)&amp;"")</f>
        <v/>
      </c>
      <c r="D533">
        <f>IF($W533="","",INDEX(합계표[직위(통합)],$W533)&amp;"")</f>
        <v/>
      </c>
      <c r="E533">
        <f>IF($W533="","",SUMIFS(합계표[시스템 합계],합계표[사번키],INDEX(합계표[사번키],$W533)))</f>
        <v/>
      </c>
      <c r="F533">
        <f>IF($W533="","",SUMIFS(상세표[기록 시간외],상세표[사번키],INDEX(합계표[사번키],$W533),상세표[기록월],대상월키))</f>
        <v/>
      </c>
      <c r="G533">
        <f>IF($W533="","",IF(ABS($E533-$F533)&lt;0.01,"일치","불일치(차이 "&amp;TEXT($F533-$E533,"0.00")&amp;")"))</f>
        <v/>
      </c>
      <c r="H533">
        <f>IF($W533="","",SUMIFS(상세표[기록 시간외],상세표[사번키],INDEX(합계표[사번키],$W533),상세표[기록월],대상월키,상세표[반영월],"&lt;&gt;"&amp;대상월키))</f>
        <v/>
      </c>
      <c r="I533">
        <f>IF($W533="","",SUMIFS(상세표[기록 시간외],상세표[사번키],INDEX(합계표[사번키],$W533),상세표[기록월],"&lt;&gt;"&amp;대상월키,상세표[반영월],대상월키))</f>
        <v/>
      </c>
      <c r="J533">
        <f>IF($W533="","",SUMIFS(상세표[기록 시간외],상세표[사번키],INDEX(합계표[사번키],$W533),상세표[반영월],대상월키))</f>
        <v/>
      </c>
      <c r="K533">
        <f>IF($W533="","",IFERROR(INDEX(월별근무지표[적용 급여병원],MATCH(INDEX(합계표[사번키],$W533)&amp;"|"&amp;대상월키,월별근무지표[키],0))&amp;"",IF(COUNTIF(기관표[사번키],INDEX(합계표[사번키],$W533))+COUNTIF(월별근무지표[사번키],INDEX(합계표[사번키],$W533))&gt;0,IFERROR(INDEX(기관표[급여지급병원(기준월)],MATCH(INDEX(합계표[사번키],$W533)&amp;"|"&amp;대상월키,기관표[키],0))&amp;"","—"),"—")))</f>
        <v/>
      </c>
      <c r="L533">
        <f>IF($W533="","",IF(NOT(COUNTIF(기관표[사번키],INDEX(합계표[사번키],$W533))+COUNTIF(월별근무지표[사번키],INDEX(합계표[사번키],$W533))&gt;0),"기관명단에 없음(다른 병원으로 발송)",IF($K533="—","대상월 기관명단 없음(추가 필요)",IF($K533="서울병원","해당","비해당"))))</f>
        <v/>
      </c>
      <c r="M533">
        <f>IF($W533="","",SUMIFS(상세표[06~07시],상세표[사번키],INDEX(합계표[사번키],$W533),상세표[반영월],대상월키,상세표[반영 기관],"서울병원"))</f>
        <v/>
      </c>
      <c r="N533">
        <f>IF($W533="","",SUMIFS(상세표[07~18시],상세표[사번키],INDEX(합계표[사번키],$W533),상세표[반영월],대상월키,상세표[반영 기관],"서울병원"))</f>
        <v/>
      </c>
      <c r="O533">
        <f>IF($W533="","",SUMIFS(상세표[18~22시],상세표[사번키],INDEX(합계표[사번키],$W533),상세표[반영월],대상월키,상세표[반영 기관],"서울병원"))</f>
        <v/>
      </c>
      <c r="P533">
        <f>IF($W533="","",SUMIFS(상세표[22~06시],상세표[사번키],INDEX(합계표[사번키],$W533),상세표[반영월],대상월키,상세표[반영 기관],"서울병원"))</f>
        <v/>
      </c>
      <c r="Q533">
        <f>IF($W533="","",SUM($M533:$P533))</f>
        <v/>
      </c>
      <c r="R533">
        <f>IF($W533="","",COUNTIFS(상세표[사번키],INDEX(합계표[사번키],$W533),상세표[반영월],대상월키,상세표[야간당직],1,상세표[야간 구분],"평일"))</f>
        <v/>
      </c>
      <c r="S533" s="4">
        <f>IF($W533="","",COUNTIFS(상세표[사번키],INDEX(합계표[사번키],$W533),상세표[반영월],대상월키,상세표[야간당직],1,상세표[야간 구분],"휴일"))</f>
        <v/>
      </c>
      <c r="T533">
        <f>IF($W533="","",COUNTIFS(상세표[사번키],INDEX(합계표[사번키],$W533),상세표[반영월],대상월키,상세표[야간당직],1,상세표[야간 구분],"평일",상세표[반영 기관],"서울병원"))</f>
        <v/>
      </c>
      <c r="U533">
        <f>IF($W533="","",COUNTIFS(상세표[사번키],INDEX(합계표[사번키],$W533),상세표[반영월],대상월키,상세표[야간당직],1,상세표[야간 구분],"휴일",상세표[반영 기관],"서울병원"))</f>
        <v/>
      </c>
      <c r="V533">
        <f>IF($W533="","",IF(ISNUMBER(MATCH(INDEX(합계표[사번키],$W533)&amp;"|"&amp;대상월키,월별근무지표[키],0)),"직접 입력",IF($K533="—","—","기관명단")))</f>
        <v/>
      </c>
      <c r="W533">
        <f>IFERROR(MATCH(528,합계표[판정순번],0),"")</f>
        <v/>
      </c>
    </row>
    <row r="534">
      <c r="A534">
        <f>IF($W534="","",INDEX(합계표[사번],$W534)&amp;"")</f>
        <v/>
      </c>
      <c r="B534">
        <f>IF($W534="","",INDEX(합계표[성명],$W534)&amp;"")</f>
        <v/>
      </c>
      <c r="C534">
        <f>IF($W534="","",INDEX(합계표[부서],$W534)&amp;"")</f>
        <v/>
      </c>
      <c r="D534">
        <f>IF($W534="","",INDEX(합계표[직위(통합)],$W534)&amp;"")</f>
        <v/>
      </c>
      <c r="E534">
        <f>IF($W534="","",SUMIFS(합계표[시스템 합계],합계표[사번키],INDEX(합계표[사번키],$W534)))</f>
        <v/>
      </c>
      <c r="F534">
        <f>IF($W534="","",SUMIFS(상세표[기록 시간외],상세표[사번키],INDEX(합계표[사번키],$W534),상세표[기록월],대상월키))</f>
        <v/>
      </c>
      <c r="G534">
        <f>IF($W534="","",IF(ABS($E534-$F534)&lt;0.01,"일치","불일치(차이 "&amp;TEXT($F534-$E534,"0.00")&amp;")"))</f>
        <v/>
      </c>
      <c r="H534">
        <f>IF($W534="","",SUMIFS(상세표[기록 시간외],상세표[사번키],INDEX(합계표[사번키],$W534),상세표[기록월],대상월키,상세표[반영월],"&lt;&gt;"&amp;대상월키))</f>
        <v/>
      </c>
      <c r="I534">
        <f>IF($W534="","",SUMIFS(상세표[기록 시간외],상세표[사번키],INDEX(합계표[사번키],$W534),상세표[기록월],"&lt;&gt;"&amp;대상월키,상세표[반영월],대상월키))</f>
        <v/>
      </c>
      <c r="J534">
        <f>IF($W534="","",SUMIFS(상세표[기록 시간외],상세표[사번키],INDEX(합계표[사번키],$W534),상세표[반영월],대상월키))</f>
        <v/>
      </c>
      <c r="K534">
        <f>IF($W534="","",IFERROR(INDEX(월별근무지표[적용 급여병원],MATCH(INDEX(합계표[사번키],$W534)&amp;"|"&amp;대상월키,월별근무지표[키],0))&amp;"",IF(COUNTIF(기관표[사번키],INDEX(합계표[사번키],$W534))+COUNTIF(월별근무지표[사번키],INDEX(합계표[사번키],$W534))&gt;0,IFERROR(INDEX(기관표[급여지급병원(기준월)],MATCH(INDEX(합계표[사번키],$W534)&amp;"|"&amp;대상월키,기관표[키],0))&amp;"","—"),"—")))</f>
        <v/>
      </c>
      <c r="L534">
        <f>IF($W534="","",IF(NOT(COUNTIF(기관표[사번키],INDEX(합계표[사번키],$W534))+COUNTIF(월별근무지표[사번키],INDEX(합계표[사번키],$W534))&gt;0),"기관명단에 없음(다른 병원으로 발송)",IF($K534="—","대상월 기관명단 없음(추가 필요)",IF($K534="서울병원","해당","비해당"))))</f>
        <v/>
      </c>
      <c r="M534">
        <f>IF($W534="","",SUMIFS(상세표[06~07시],상세표[사번키],INDEX(합계표[사번키],$W534),상세표[반영월],대상월키,상세표[반영 기관],"서울병원"))</f>
        <v/>
      </c>
      <c r="N534">
        <f>IF($W534="","",SUMIFS(상세표[07~18시],상세표[사번키],INDEX(합계표[사번키],$W534),상세표[반영월],대상월키,상세표[반영 기관],"서울병원"))</f>
        <v/>
      </c>
      <c r="O534">
        <f>IF($W534="","",SUMIFS(상세표[18~22시],상세표[사번키],INDEX(합계표[사번키],$W534),상세표[반영월],대상월키,상세표[반영 기관],"서울병원"))</f>
        <v/>
      </c>
      <c r="P534">
        <f>IF($W534="","",SUMIFS(상세표[22~06시],상세표[사번키],INDEX(합계표[사번키],$W534),상세표[반영월],대상월키,상세표[반영 기관],"서울병원"))</f>
        <v/>
      </c>
      <c r="Q534">
        <f>IF($W534="","",SUM($M534:$P534))</f>
        <v/>
      </c>
      <c r="R534">
        <f>IF($W534="","",COUNTIFS(상세표[사번키],INDEX(합계표[사번키],$W534),상세표[반영월],대상월키,상세표[야간당직],1,상세표[야간 구분],"평일"))</f>
        <v/>
      </c>
      <c r="S534" s="4">
        <f>IF($W534="","",COUNTIFS(상세표[사번키],INDEX(합계표[사번키],$W534),상세표[반영월],대상월키,상세표[야간당직],1,상세표[야간 구분],"휴일"))</f>
        <v/>
      </c>
      <c r="T534">
        <f>IF($W534="","",COUNTIFS(상세표[사번키],INDEX(합계표[사번키],$W534),상세표[반영월],대상월키,상세표[야간당직],1,상세표[야간 구분],"평일",상세표[반영 기관],"서울병원"))</f>
        <v/>
      </c>
      <c r="U534">
        <f>IF($W534="","",COUNTIFS(상세표[사번키],INDEX(합계표[사번키],$W534),상세표[반영월],대상월키,상세표[야간당직],1,상세표[야간 구분],"휴일",상세표[반영 기관],"서울병원"))</f>
        <v/>
      </c>
      <c r="V534">
        <f>IF($W534="","",IF(ISNUMBER(MATCH(INDEX(합계표[사번키],$W534)&amp;"|"&amp;대상월키,월별근무지표[키],0)),"직접 입력",IF($K534="—","—","기관명단")))</f>
        <v/>
      </c>
      <c r="W534">
        <f>IFERROR(MATCH(529,합계표[판정순번],0),"")</f>
        <v/>
      </c>
    </row>
    <row r="535">
      <c r="A535">
        <f>IF($W535="","",INDEX(합계표[사번],$W535)&amp;"")</f>
        <v/>
      </c>
      <c r="B535">
        <f>IF($W535="","",INDEX(합계표[성명],$W535)&amp;"")</f>
        <v/>
      </c>
      <c r="C535">
        <f>IF($W535="","",INDEX(합계표[부서],$W535)&amp;"")</f>
        <v/>
      </c>
      <c r="D535">
        <f>IF($W535="","",INDEX(합계표[직위(통합)],$W535)&amp;"")</f>
        <v/>
      </c>
      <c r="E535">
        <f>IF($W535="","",SUMIFS(합계표[시스템 합계],합계표[사번키],INDEX(합계표[사번키],$W535)))</f>
        <v/>
      </c>
      <c r="F535">
        <f>IF($W535="","",SUMIFS(상세표[기록 시간외],상세표[사번키],INDEX(합계표[사번키],$W535),상세표[기록월],대상월키))</f>
        <v/>
      </c>
      <c r="G535">
        <f>IF($W535="","",IF(ABS($E535-$F535)&lt;0.01,"일치","불일치(차이 "&amp;TEXT($F535-$E535,"0.00")&amp;")"))</f>
        <v/>
      </c>
      <c r="H535">
        <f>IF($W535="","",SUMIFS(상세표[기록 시간외],상세표[사번키],INDEX(합계표[사번키],$W535),상세표[기록월],대상월키,상세표[반영월],"&lt;&gt;"&amp;대상월키))</f>
        <v/>
      </c>
      <c r="I535">
        <f>IF($W535="","",SUMIFS(상세표[기록 시간외],상세표[사번키],INDEX(합계표[사번키],$W535),상세표[기록월],"&lt;&gt;"&amp;대상월키,상세표[반영월],대상월키))</f>
        <v/>
      </c>
      <c r="J535">
        <f>IF($W535="","",SUMIFS(상세표[기록 시간외],상세표[사번키],INDEX(합계표[사번키],$W535),상세표[반영월],대상월키))</f>
        <v/>
      </c>
      <c r="K535">
        <f>IF($W535="","",IFERROR(INDEX(월별근무지표[적용 급여병원],MATCH(INDEX(합계표[사번키],$W535)&amp;"|"&amp;대상월키,월별근무지표[키],0))&amp;"",IF(COUNTIF(기관표[사번키],INDEX(합계표[사번키],$W535))+COUNTIF(월별근무지표[사번키],INDEX(합계표[사번키],$W535))&gt;0,IFERROR(INDEX(기관표[급여지급병원(기준월)],MATCH(INDEX(합계표[사번키],$W535)&amp;"|"&amp;대상월키,기관표[키],0))&amp;"","—"),"—")))</f>
        <v/>
      </c>
      <c r="L535">
        <f>IF($W535="","",IF(NOT(COUNTIF(기관표[사번키],INDEX(합계표[사번키],$W535))+COUNTIF(월별근무지표[사번키],INDEX(합계표[사번키],$W535))&gt;0),"기관명단에 없음(다른 병원으로 발송)",IF($K535="—","대상월 기관명단 없음(추가 필요)",IF($K535="서울병원","해당","비해당"))))</f>
        <v/>
      </c>
      <c r="M535">
        <f>IF($W535="","",SUMIFS(상세표[06~07시],상세표[사번키],INDEX(합계표[사번키],$W535),상세표[반영월],대상월키,상세표[반영 기관],"서울병원"))</f>
        <v/>
      </c>
      <c r="N535">
        <f>IF($W535="","",SUMIFS(상세표[07~18시],상세표[사번키],INDEX(합계표[사번키],$W535),상세표[반영월],대상월키,상세표[반영 기관],"서울병원"))</f>
        <v/>
      </c>
      <c r="O535">
        <f>IF($W535="","",SUMIFS(상세표[18~22시],상세표[사번키],INDEX(합계표[사번키],$W535),상세표[반영월],대상월키,상세표[반영 기관],"서울병원"))</f>
        <v/>
      </c>
      <c r="P535">
        <f>IF($W535="","",SUMIFS(상세표[22~06시],상세표[사번키],INDEX(합계표[사번키],$W535),상세표[반영월],대상월키,상세표[반영 기관],"서울병원"))</f>
        <v/>
      </c>
      <c r="Q535">
        <f>IF($W535="","",SUM($M535:$P535))</f>
        <v/>
      </c>
      <c r="R535">
        <f>IF($W535="","",COUNTIFS(상세표[사번키],INDEX(합계표[사번키],$W535),상세표[반영월],대상월키,상세표[야간당직],1,상세표[야간 구분],"평일"))</f>
        <v/>
      </c>
      <c r="S535" s="4">
        <f>IF($W535="","",COUNTIFS(상세표[사번키],INDEX(합계표[사번키],$W535),상세표[반영월],대상월키,상세표[야간당직],1,상세표[야간 구분],"휴일"))</f>
        <v/>
      </c>
      <c r="T535">
        <f>IF($W535="","",COUNTIFS(상세표[사번키],INDEX(합계표[사번키],$W535),상세표[반영월],대상월키,상세표[야간당직],1,상세표[야간 구분],"평일",상세표[반영 기관],"서울병원"))</f>
        <v/>
      </c>
      <c r="U535">
        <f>IF($W535="","",COUNTIFS(상세표[사번키],INDEX(합계표[사번키],$W535),상세표[반영월],대상월키,상세표[야간당직],1,상세표[야간 구분],"휴일",상세표[반영 기관],"서울병원"))</f>
        <v/>
      </c>
      <c r="V535">
        <f>IF($W535="","",IF(ISNUMBER(MATCH(INDEX(합계표[사번키],$W535)&amp;"|"&amp;대상월키,월별근무지표[키],0)),"직접 입력",IF($K535="—","—","기관명단")))</f>
        <v/>
      </c>
      <c r="W535">
        <f>IFERROR(MATCH(530,합계표[판정순번],0),"")</f>
        <v/>
      </c>
    </row>
    <row r="536">
      <c r="A536">
        <f>IF($W536="","",INDEX(합계표[사번],$W536)&amp;"")</f>
        <v/>
      </c>
      <c r="B536">
        <f>IF($W536="","",INDEX(합계표[성명],$W536)&amp;"")</f>
        <v/>
      </c>
      <c r="C536">
        <f>IF($W536="","",INDEX(합계표[부서],$W536)&amp;"")</f>
        <v/>
      </c>
      <c r="D536">
        <f>IF($W536="","",INDEX(합계표[직위(통합)],$W536)&amp;"")</f>
        <v/>
      </c>
      <c r="E536">
        <f>IF($W536="","",SUMIFS(합계표[시스템 합계],합계표[사번키],INDEX(합계표[사번키],$W536)))</f>
        <v/>
      </c>
      <c r="F536">
        <f>IF($W536="","",SUMIFS(상세표[기록 시간외],상세표[사번키],INDEX(합계표[사번키],$W536),상세표[기록월],대상월키))</f>
        <v/>
      </c>
      <c r="G536">
        <f>IF($W536="","",IF(ABS($E536-$F536)&lt;0.01,"일치","불일치(차이 "&amp;TEXT($F536-$E536,"0.00")&amp;")"))</f>
        <v/>
      </c>
      <c r="H536">
        <f>IF($W536="","",SUMIFS(상세표[기록 시간외],상세표[사번키],INDEX(합계표[사번키],$W536),상세표[기록월],대상월키,상세표[반영월],"&lt;&gt;"&amp;대상월키))</f>
        <v/>
      </c>
      <c r="I536">
        <f>IF($W536="","",SUMIFS(상세표[기록 시간외],상세표[사번키],INDEX(합계표[사번키],$W536),상세표[기록월],"&lt;&gt;"&amp;대상월키,상세표[반영월],대상월키))</f>
        <v/>
      </c>
      <c r="J536">
        <f>IF($W536="","",SUMIFS(상세표[기록 시간외],상세표[사번키],INDEX(합계표[사번키],$W536),상세표[반영월],대상월키))</f>
        <v/>
      </c>
      <c r="K536">
        <f>IF($W536="","",IFERROR(INDEX(월별근무지표[적용 급여병원],MATCH(INDEX(합계표[사번키],$W536)&amp;"|"&amp;대상월키,월별근무지표[키],0))&amp;"",IF(COUNTIF(기관표[사번키],INDEX(합계표[사번키],$W536))+COUNTIF(월별근무지표[사번키],INDEX(합계표[사번키],$W536))&gt;0,IFERROR(INDEX(기관표[급여지급병원(기준월)],MATCH(INDEX(합계표[사번키],$W536)&amp;"|"&amp;대상월키,기관표[키],0))&amp;"","—"),"—")))</f>
        <v/>
      </c>
      <c r="L536">
        <f>IF($W536="","",IF(NOT(COUNTIF(기관표[사번키],INDEX(합계표[사번키],$W536))+COUNTIF(월별근무지표[사번키],INDEX(합계표[사번키],$W536))&gt;0),"기관명단에 없음(다른 병원으로 발송)",IF($K536="—","대상월 기관명단 없음(추가 필요)",IF($K536="서울병원","해당","비해당"))))</f>
        <v/>
      </c>
      <c r="M536">
        <f>IF($W536="","",SUMIFS(상세표[06~07시],상세표[사번키],INDEX(합계표[사번키],$W536),상세표[반영월],대상월키,상세표[반영 기관],"서울병원"))</f>
        <v/>
      </c>
      <c r="N536">
        <f>IF($W536="","",SUMIFS(상세표[07~18시],상세표[사번키],INDEX(합계표[사번키],$W536),상세표[반영월],대상월키,상세표[반영 기관],"서울병원"))</f>
        <v/>
      </c>
      <c r="O536">
        <f>IF($W536="","",SUMIFS(상세표[18~22시],상세표[사번키],INDEX(합계표[사번키],$W536),상세표[반영월],대상월키,상세표[반영 기관],"서울병원"))</f>
        <v/>
      </c>
      <c r="P536">
        <f>IF($W536="","",SUMIFS(상세표[22~06시],상세표[사번키],INDEX(합계표[사번키],$W536),상세표[반영월],대상월키,상세표[반영 기관],"서울병원"))</f>
        <v/>
      </c>
      <c r="Q536">
        <f>IF($W536="","",SUM($M536:$P536))</f>
        <v/>
      </c>
      <c r="R536">
        <f>IF($W536="","",COUNTIFS(상세표[사번키],INDEX(합계표[사번키],$W536),상세표[반영월],대상월키,상세표[야간당직],1,상세표[야간 구분],"평일"))</f>
        <v/>
      </c>
      <c r="S536" s="4">
        <f>IF($W536="","",COUNTIFS(상세표[사번키],INDEX(합계표[사번키],$W536),상세표[반영월],대상월키,상세표[야간당직],1,상세표[야간 구분],"휴일"))</f>
        <v/>
      </c>
      <c r="T536">
        <f>IF($W536="","",COUNTIFS(상세표[사번키],INDEX(합계표[사번키],$W536),상세표[반영월],대상월키,상세표[야간당직],1,상세표[야간 구분],"평일",상세표[반영 기관],"서울병원"))</f>
        <v/>
      </c>
      <c r="U536">
        <f>IF($W536="","",COUNTIFS(상세표[사번키],INDEX(합계표[사번키],$W536),상세표[반영월],대상월키,상세표[야간당직],1,상세표[야간 구분],"휴일",상세표[반영 기관],"서울병원"))</f>
        <v/>
      </c>
      <c r="V536">
        <f>IF($W536="","",IF(ISNUMBER(MATCH(INDEX(합계표[사번키],$W536)&amp;"|"&amp;대상월키,월별근무지표[키],0)),"직접 입력",IF($K536="—","—","기관명단")))</f>
        <v/>
      </c>
      <c r="W536">
        <f>IFERROR(MATCH(531,합계표[판정순번],0),"")</f>
        <v/>
      </c>
    </row>
    <row r="537">
      <c r="A537">
        <f>IF($W537="","",INDEX(합계표[사번],$W537)&amp;"")</f>
        <v/>
      </c>
      <c r="B537">
        <f>IF($W537="","",INDEX(합계표[성명],$W537)&amp;"")</f>
        <v/>
      </c>
      <c r="C537">
        <f>IF($W537="","",INDEX(합계표[부서],$W537)&amp;"")</f>
        <v/>
      </c>
      <c r="D537">
        <f>IF($W537="","",INDEX(합계표[직위(통합)],$W537)&amp;"")</f>
        <v/>
      </c>
      <c r="E537">
        <f>IF($W537="","",SUMIFS(합계표[시스템 합계],합계표[사번키],INDEX(합계표[사번키],$W537)))</f>
        <v/>
      </c>
      <c r="F537">
        <f>IF($W537="","",SUMIFS(상세표[기록 시간외],상세표[사번키],INDEX(합계표[사번키],$W537),상세표[기록월],대상월키))</f>
        <v/>
      </c>
      <c r="G537">
        <f>IF($W537="","",IF(ABS($E537-$F537)&lt;0.01,"일치","불일치(차이 "&amp;TEXT($F537-$E537,"0.00")&amp;")"))</f>
        <v/>
      </c>
      <c r="H537">
        <f>IF($W537="","",SUMIFS(상세표[기록 시간외],상세표[사번키],INDEX(합계표[사번키],$W537),상세표[기록월],대상월키,상세표[반영월],"&lt;&gt;"&amp;대상월키))</f>
        <v/>
      </c>
      <c r="I537">
        <f>IF($W537="","",SUMIFS(상세표[기록 시간외],상세표[사번키],INDEX(합계표[사번키],$W537),상세표[기록월],"&lt;&gt;"&amp;대상월키,상세표[반영월],대상월키))</f>
        <v/>
      </c>
      <c r="J537">
        <f>IF($W537="","",SUMIFS(상세표[기록 시간외],상세표[사번키],INDEX(합계표[사번키],$W537),상세표[반영월],대상월키))</f>
        <v/>
      </c>
      <c r="K537">
        <f>IF($W537="","",IFERROR(INDEX(월별근무지표[적용 급여병원],MATCH(INDEX(합계표[사번키],$W537)&amp;"|"&amp;대상월키,월별근무지표[키],0))&amp;"",IF(COUNTIF(기관표[사번키],INDEX(합계표[사번키],$W537))+COUNTIF(월별근무지표[사번키],INDEX(합계표[사번키],$W537))&gt;0,IFERROR(INDEX(기관표[급여지급병원(기준월)],MATCH(INDEX(합계표[사번키],$W537)&amp;"|"&amp;대상월키,기관표[키],0))&amp;"","—"),"—")))</f>
        <v/>
      </c>
      <c r="L537">
        <f>IF($W537="","",IF(NOT(COUNTIF(기관표[사번키],INDEX(합계표[사번키],$W537))+COUNTIF(월별근무지표[사번키],INDEX(합계표[사번키],$W537))&gt;0),"기관명단에 없음(다른 병원으로 발송)",IF($K537="—","대상월 기관명단 없음(추가 필요)",IF($K537="서울병원","해당","비해당"))))</f>
        <v/>
      </c>
      <c r="M537">
        <f>IF($W537="","",SUMIFS(상세표[06~07시],상세표[사번키],INDEX(합계표[사번키],$W537),상세표[반영월],대상월키,상세표[반영 기관],"서울병원"))</f>
        <v/>
      </c>
      <c r="N537">
        <f>IF($W537="","",SUMIFS(상세표[07~18시],상세표[사번키],INDEX(합계표[사번키],$W537),상세표[반영월],대상월키,상세표[반영 기관],"서울병원"))</f>
        <v/>
      </c>
      <c r="O537">
        <f>IF($W537="","",SUMIFS(상세표[18~22시],상세표[사번키],INDEX(합계표[사번키],$W537),상세표[반영월],대상월키,상세표[반영 기관],"서울병원"))</f>
        <v/>
      </c>
      <c r="P537">
        <f>IF($W537="","",SUMIFS(상세표[22~06시],상세표[사번키],INDEX(합계표[사번키],$W537),상세표[반영월],대상월키,상세표[반영 기관],"서울병원"))</f>
        <v/>
      </c>
      <c r="Q537">
        <f>IF($W537="","",SUM($M537:$P537))</f>
        <v/>
      </c>
      <c r="R537">
        <f>IF($W537="","",COUNTIFS(상세표[사번키],INDEX(합계표[사번키],$W537),상세표[반영월],대상월키,상세표[야간당직],1,상세표[야간 구분],"평일"))</f>
        <v/>
      </c>
      <c r="S537" s="4">
        <f>IF($W537="","",COUNTIFS(상세표[사번키],INDEX(합계표[사번키],$W537),상세표[반영월],대상월키,상세표[야간당직],1,상세표[야간 구분],"휴일"))</f>
        <v/>
      </c>
      <c r="T537">
        <f>IF($W537="","",COUNTIFS(상세표[사번키],INDEX(합계표[사번키],$W537),상세표[반영월],대상월키,상세표[야간당직],1,상세표[야간 구분],"평일",상세표[반영 기관],"서울병원"))</f>
        <v/>
      </c>
      <c r="U537">
        <f>IF($W537="","",COUNTIFS(상세표[사번키],INDEX(합계표[사번키],$W537),상세표[반영월],대상월키,상세표[야간당직],1,상세표[야간 구분],"휴일",상세표[반영 기관],"서울병원"))</f>
        <v/>
      </c>
      <c r="V537">
        <f>IF($W537="","",IF(ISNUMBER(MATCH(INDEX(합계표[사번키],$W537)&amp;"|"&amp;대상월키,월별근무지표[키],0)),"직접 입력",IF($K537="—","—","기관명단")))</f>
        <v/>
      </c>
      <c r="W537">
        <f>IFERROR(MATCH(532,합계표[판정순번],0),"")</f>
        <v/>
      </c>
    </row>
    <row r="538">
      <c r="A538">
        <f>IF($W538="","",INDEX(합계표[사번],$W538)&amp;"")</f>
        <v/>
      </c>
      <c r="B538">
        <f>IF($W538="","",INDEX(합계표[성명],$W538)&amp;"")</f>
        <v/>
      </c>
      <c r="C538">
        <f>IF($W538="","",INDEX(합계표[부서],$W538)&amp;"")</f>
        <v/>
      </c>
      <c r="D538">
        <f>IF($W538="","",INDEX(합계표[직위(통합)],$W538)&amp;"")</f>
        <v/>
      </c>
      <c r="E538">
        <f>IF($W538="","",SUMIFS(합계표[시스템 합계],합계표[사번키],INDEX(합계표[사번키],$W538)))</f>
        <v/>
      </c>
      <c r="F538">
        <f>IF($W538="","",SUMIFS(상세표[기록 시간외],상세표[사번키],INDEX(합계표[사번키],$W538),상세표[기록월],대상월키))</f>
        <v/>
      </c>
      <c r="G538">
        <f>IF($W538="","",IF(ABS($E538-$F538)&lt;0.01,"일치","불일치(차이 "&amp;TEXT($F538-$E538,"0.00")&amp;")"))</f>
        <v/>
      </c>
      <c r="H538">
        <f>IF($W538="","",SUMIFS(상세표[기록 시간외],상세표[사번키],INDEX(합계표[사번키],$W538),상세표[기록월],대상월키,상세표[반영월],"&lt;&gt;"&amp;대상월키))</f>
        <v/>
      </c>
      <c r="I538">
        <f>IF($W538="","",SUMIFS(상세표[기록 시간외],상세표[사번키],INDEX(합계표[사번키],$W538),상세표[기록월],"&lt;&gt;"&amp;대상월키,상세표[반영월],대상월키))</f>
        <v/>
      </c>
      <c r="J538">
        <f>IF($W538="","",SUMIFS(상세표[기록 시간외],상세표[사번키],INDEX(합계표[사번키],$W538),상세표[반영월],대상월키))</f>
        <v/>
      </c>
      <c r="K538">
        <f>IF($W538="","",IFERROR(INDEX(월별근무지표[적용 급여병원],MATCH(INDEX(합계표[사번키],$W538)&amp;"|"&amp;대상월키,월별근무지표[키],0))&amp;"",IF(COUNTIF(기관표[사번키],INDEX(합계표[사번키],$W538))+COUNTIF(월별근무지표[사번키],INDEX(합계표[사번키],$W538))&gt;0,IFERROR(INDEX(기관표[급여지급병원(기준월)],MATCH(INDEX(합계표[사번키],$W538)&amp;"|"&amp;대상월키,기관표[키],0))&amp;"","—"),"—")))</f>
        <v/>
      </c>
      <c r="L538">
        <f>IF($W538="","",IF(NOT(COUNTIF(기관표[사번키],INDEX(합계표[사번키],$W538))+COUNTIF(월별근무지표[사번키],INDEX(합계표[사번키],$W538))&gt;0),"기관명단에 없음(다른 병원으로 발송)",IF($K538="—","대상월 기관명단 없음(추가 필요)",IF($K538="서울병원","해당","비해당"))))</f>
        <v/>
      </c>
      <c r="M538">
        <f>IF($W538="","",SUMIFS(상세표[06~07시],상세표[사번키],INDEX(합계표[사번키],$W538),상세표[반영월],대상월키,상세표[반영 기관],"서울병원"))</f>
        <v/>
      </c>
      <c r="N538">
        <f>IF($W538="","",SUMIFS(상세표[07~18시],상세표[사번키],INDEX(합계표[사번키],$W538),상세표[반영월],대상월키,상세표[반영 기관],"서울병원"))</f>
        <v/>
      </c>
      <c r="O538">
        <f>IF($W538="","",SUMIFS(상세표[18~22시],상세표[사번키],INDEX(합계표[사번키],$W538),상세표[반영월],대상월키,상세표[반영 기관],"서울병원"))</f>
        <v/>
      </c>
      <c r="P538">
        <f>IF($W538="","",SUMIFS(상세표[22~06시],상세표[사번키],INDEX(합계표[사번키],$W538),상세표[반영월],대상월키,상세표[반영 기관],"서울병원"))</f>
        <v/>
      </c>
      <c r="Q538">
        <f>IF($W538="","",SUM($M538:$P538))</f>
        <v/>
      </c>
      <c r="R538">
        <f>IF($W538="","",COUNTIFS(상세표[사번키],INDEX(합계표[사번키],$W538),상세표[반영월],대상월키,상세표[야간당직],1,상세표[야간 구분],"평일"))</f>
        <v/>
      </c>
      <c r="S538" s="4">
        <f>IF($W538="","",COUNTIFS(상세표[사번키],INDEX(합계표[사번키],$W538),상세표[반영월],대상월키,상세표[야간당직],1,상세표[야간 구분],"휴일"))</f>
        <v/>
      </c>
      <c r="T538">
        <f>IF($W538="","",COUNTIFS(상세표[사번키],INDEX(합계표[사번키],$W538),상세표[반영월],대상월키,상세표[야간당직],1,상세표[야간 구분],"평일",상세표[반영 기관],"서울병원"))</f>
        <v/>
      </c>
      <c r="U538">
        <f>IF($W538="","",COUNTIFS(상세표[사번키],INDEX(합계표[사번키],$W538),상세표[반영월],대상월키,상세표[야간당직],1,상세표[야간 구분],"휴일",상세표[반영 기관],"서울병원"))</f>
        <v/>
      </c>
      <c r="V538">
        <f>IF($W538="","",IF(ISNUMBER(MATCH(INDEX(합계표[사번키],$W538)&amp;"|"&amp;대상월키,월별근무지표[키],0)),"직접 입력",IF($K538="—","—","기관명단")))</f>
        <v/>
      </c>
      <c r="W538">
        <f>IFERROR(MATCH(533,합계표[판정순번],0),"")</f>
        <v/>
      </c>
    </row>
    <row r="539">
      <c r="A539">
        <f>IF($W539="","",INDEX(합계표[사번],$W539)&amp;"")</f>
        <v/>
      </c>
      <c r="B539">
        <f>IF($W539="","",INDEX(합계표[성명],$W539)&amp;"")</f>
        <v/>
      </c>
      <c r="C539">
        <f>IF($W539="","",INDEX(합계표[부서],$W539)&amp;"")</f>
        <v/>
      </c>
      <c r="D539">
        <f>IF($W539="","",INDEX(합계표[직위(통합)],$W539)&amp;"")</f>
        <v/>
      </c>
      <c r="E539">
        <f>IF($W539="","",SUMIFS(합계표[시스템 합계],합계표[사번키],INDEX(합계표[사번키],$W539)))</f>
        <v/>
      </c>
      <c r="F539">
        <f>IF($W539="","",SUMIFS(상세표[기록 시간외],상세표[사번키],INDEX(합계표[사번키],$W539),상세표[기록월],대상월키))</f>
        <v/>
      </c>
      <c r="G539">
        <f>IF($W539="","",IF(ABS($E539-$F539)&lt;0.01,"일치","불일치(차이 "&amp;TEXT($F539-$E539,"0.00")&amp;")"))</f>
        <v/>
      </c>
      <c r="H539">
        <f>IF($W539="","",SUMIFS(상세표[기록 시간외],상세표[사번키],INDEX(합계표[사번키],$W539),상세표[기록월],대상월키,상세표[반영월],"&lt;&gt;"&amp;대상월키))</f>
        <v/>
      </c>
      <c r="I539">
        <f>IF($W539="","",SUMIFS(상세표[기록 시간외],상세표[사번키],INDEX(합계표[사번키],$W539),상세표[기록월],"&lt;&gt;"&amp;대상월키,상세표[반영월],대상월키))</f>
        <v/>
      </c>
      <c r="J539">
        <f>IF($W539="","",SUMIFS(상세표[기록 시간외],상세표[사번키],INDEX(합계표[사번키],$W539),상세표[반영월],대상월키))</f>
        <v/>
      </c>
      <c r="K539">
        <f>IF($W539="","",IFERROR(INDEX(월별근무지표[적용 급여병원],MATCH(INDEX(합계표[사번키],$W539)&amp;"|"&amp;대상월키,월별근무지표[키],0))&amp;"",IF(COUNTIF(기관표[사번키],INDEX(합계표[사번키],$W539))+COUNTIF(월별근무지표[사번키],INDEX(합계표[사번키],$W539))&gt;0,IFERROR(INDEX(기관표[급여지급병원(기준월)],MATCH(INDEX(합계표[사번키],$W539)&amp;"|"&amp;대상월키,기관표[키],0))&amp;"","—"),"—")))</f>
        <v/>
      </c>
      <c r="L539">
        <f>IF($W539="","",IF(NOT(COUNTIF(기관표[사번키],INDEX(합계표[사번키],$W539))+COUNTIF(월별근무지표[사번키],INDEX(합계표[사번키],$W539))&gt;0),"기관명단에 없음(다른 병원으로 발송)",IF($K539="—","대상월 기관명단 없음(추가 필요)",IF($K539="서울병원","해당","비해당"))))</f>
        <v/>
      </c>
      <c r="M539">
        <f>IF($W539="","",SUMIFS(상세표[06~07시],상세표[사번키],INDEX(합계표[사번키],$W539),상세표[반영월],대상월키,상세표[반영 기관],"서울병원"))</f>
        <v/>
      </c>
      <c r="N539">
        <f>IF($W539="","",SUMIFS(상세표[07~18시],상세표[사번키],INDEX(합계표[사번키],$W539),상세표[반영월],대상월키,상세표[반영 기관],"서울병원"))</f>
        <v/>
      </c>
      <c r="O539">
        <f>IF($W539="","",SUMIFS(상세표[18~22시],상세표[사번키],INDEX(합계표[사번키],$W539),상세표[반영월],대상월키,상세표[반영 기관],"서울병원"))</f>
        <v/>
      </c>
      <c r="P539">
        <f>IF($W539="","",SUMIFS(상세표[22~06시],상세표[사번키],INDEX(합계표[사번키],$W539),상세표[반영월],대상월키,상세표[반영 기관],"서울병원"))</f>
        <v/>
      </c>
      <c r="Q539">
        <f>IF($W539="","",SUM($M539:$P539))</f>
        <v/>
      </c>
      <c r="R539">
        <f>IF($W539="","",COUNTIFS(상세표[사번키],INDEX(합계표[사번키],$W539),상세표[반영월],대상월키,상세표[야간당직],1,상세표[야간 구분],"평일"))</f>
        <v/>
      </c>
      <c r="S539" s="4">
        <f>IF($W539="","",COUNTIFS(상세표[사번키],INDEX(합계표[사번키],$W539),상세표[반영월],대상월키,상세표[야간당직],1,상세표[야간 구분],"휴일"))</f>
        <v/>
      </c>
      <c r="T539">
        <f>IF($W539="","",COUNTIFS(상세표[사번키],INDEX(합계표[사번키],$W539),상세표[반영월],대상월키,상세표[야간당직],1,상세표[야간 구분],"평일",상세표[반영 기관],"서울병원"))</f>
        <v/>
      </c>
      <c r="U539">
        <f>IF($W539="","",COUNTIFS(상세표[사번키],INDEX(합계표[사번키],$W539),상세표[반영월],대상월키,상세표[야간당직],1,상세표[야간 구분],"휴일",상세표[반영 기관],"서울병원"))</f>
        <v/>
      </c>
      <c r="V539">
        <f>IF($W539="","",IF(ISNUMBER(MATCH(INDEX(합계표[사번키],$W539)&amp;"|"&amp;대상월키,월별근무지표[키],0)),"직접 입력",IF($K539="—","—","기관명단")))</f>
        <v/>
      </c>
      <c r="W539">
        <f>IFERROR(MATCH(534,합계표[판정순번],0),"")</f>
        <v/>
      </c>
    </row>
    <row r="540">
      <c r="A540">
        <f>IF($W540="","",INDEX(합계표[사번],$W540)&amp;"")</f>
        <v/>
      </c>
      <c r="B540">
        <f>IF($W540="","",INDEX(합계표[성명],$W540)&amp;"")</f>
        <v/>
      </c>
      <c r="C540">
        <f>IF($W540="","",INDEX(합계표[부서],$W540)&amp;"")</f>
        <v/>
      </c>
      <c r="D540">
        <f>IF($W540="","",INDEX(합계표[직위(통합)],$W540)&amp;"")</f>
        <v/>
      </c>
      <c r="E540">
        <f>IF($W540="","",SUMIFS(합계표[시스템 합계],합계표[사번키],INDEX(합계표[사번키],$W540)))</f>
        <v/>
      </c>
      <c r="F540">
        <f>IF($W540="","",SUMIFS(상세표[기록 시간외],상세표[사번키],INDEX(합계표[사번키],$W540),상세표[기록월],대상월키))</f>
        <v/>
      </c>
      <c r="G540">
        <f>IF($W540="","",IF(ABS($E540-$F540)&lt;0.01,"일치","불일치(차이 "&amp;TEXT($F540-$E540,"0.00")&amp;")"))</f>
        <v/>
      </c>
      <c r="H540">
        <f>IF($W540="","",SUMIFS(상세표[기록 시간외],상세표[사번키],INDEX(합계표[사번키],$W540),상세표[기록월],대상월키,상세표[반영월],"&lt;&gt;"&amp;대상월키))</f>
        <v/>
      </c>
      <c r="I540">
        <f>IF($W540="","",SUMIFS(상세표[기록 시간외],상세표[사번키],INDEX(합계표[사번키],$W540),상세표[기록월],"&lt;&gt;"&amp;대상월키,상세표[반영월],대상월키))</f>
        <v/>
      </c>
      <c r="J540">
        <f>IF($W540="","",SUMIFS(상세표[기록 시간외],상세표[사번키],INDEX(합계표[사번키],$W540),상세표[반영월],대상월키))</f>
        <v/>
      </c>
      <c r="K540">
        <f>IF($W540="","",IFERROR(INDEX(월별근무지표[적용 급여병원],MATCH(INDEX(합계표[사번키],$W540)&amp;"|"&amp;대상월키,월별근무지표[키],0))&amp;"",IF(COUNTIF(기관표[사번키],INDEX(합계표[사번키],$W540))+COUNTIF(월별근무지표[사번키],INDEX(합계표[사번키],$W540))&gt;0,IFERROR(INDEX(기관표[급여지급병원(기준월)],MATCH(INDEX(합계표[사번키],$W540)&amp;"|"&amp;대상월키,기관표[키],0))&amp;"","—"),"—")))</f>
        <v/>
      </c>
      <c r="L540">
        <f>IF($W540="","",IF(NOT(COUNTIF(기관표[사번키],INDEX(합계표[사번키],$W540))+COUNTIF(월별근무지표[사번키],INDEX(합계표[사번키],$W540))&gt;0),"기관명단에 없음(다른 병원으로 발송)",IF($K540="—","대상월 기관명단 없음(추가 필요)",IF($K540="서울병원","해당","비해당"))))</f>
        <v/>
      </c>
      <c r="M540">
        <f>IF($W540="","",SUMIFS(상세표[06~07시],상세표[사번키],INDEX(합계표[사번키],$W540),상세표[반영월],대상월키,상세표[반영 기관],"서울병원"))</f>
        <v/>
      </c>
      <c r="N540">
        <f>IF($W540="","",SUMIFS(상세표[07~18시],상세표[사번키],INDEX(합계표[사번키],$W540),상세표[반영월],대상월키,상세표[반영 기관],"서울병원"))</f>
        <v/>
      </c>
      <c r="O540">
        <f>IF($W540="","",SUMIFS(상세표[18~22시],상세표[사번키],INDEX(합계표[사번키],$W540),상세표[반영월],대상월키,상세표[반영 기관],"서울병원"))</f>
        <v/>
      </c>
      <c r="P540">
        <f>IF($W540="","",SUMIFS(상세표[22~06시],상세표[사번키],INDEX(합계표[사번키],$W540),상세표[반영월],대상월키,상세표[반영 기관],"서울병원"))</f>
        <v/>
      </c>
      <c r="Q540">
        <f>IF($W540="","",SUM($M540:$P540))</f>
        <v/>
      </c>
      <c r="R540">
        <f>IF($W540="","",COUNTIFS(상세표[사번키],INDEX(합계표[사번키],$W540),상세표[반영월],대상월키,상세표[야간당직],1,상세표[야간 구분],"평일"))</f>
        <v/>
      </c>
      <c r="S540" s="4">
        <f>IF($W540="","",COUNTIFS(상세표[사번키],INDEX(합계표[사번키],$W540),상세표[반영월],대상월키,상세표[야간당직],1,상세표[야간 구분],"휴일"))</f>
        <v/>
      </c>
      <c r="T540">
        <f>IF($W540="","",COUNTIFS(상세표[사번키],INDEX(합계표[사번키],$W540),상세표[반영월],대상월키,상세표[야간당직],1,상세표[야간 구분],"평일",상세표[반영 기관],"서울병원"))</f>
        <v/>
      </c>
      <c r="U540">
        <f>IF($W540="","",COUNTIFS(상세표[사번키],INDEX(합계표[사번키],$W540),상세표[반영월],대상월키,상세표[야간당직],1,상세표[야간 구분],"휴일",상세표[반영 기관],"서울병원"))</f>
        <v/>
      </c>
      <c r="V540">
        <f>IF($W540="","",IF(ISNUMBER(MATCH(INDEX(합계표[사번키],$W540)&amp;"|"&amp;대상월키,월별근무지표[키],0)),"직접 입력",IF($K540="—","—","기관명단")))</f>
        <v/>
      </c>
      <c r="W540">
        <f>IFERROR(MATCH(535,합계표[판정순번],0),"")</f>
        <v/>
      </c>
    </row>
    <row r="541">
      <c r="A541">
        <f>IF($W541="","",INDEX(합계표[사번],$W541)&amp;"")</f>
        <v/>
      </c>
      <c r="B541">
        <f>IF($W541="","",INDEX(합계표[성명],$W541)&amp;"")</f>
        <v/>
      </c>
      <c r="C541">
        <f>IF($W541="","",INDEX(합계표[부서],$W541)&amp;"")</f>
        <v/>
      </c>
      <c r="D541">
        <f>IF($W541="","",INDEX(합계표[직위(통합)],$W541)&amp;"")</f>
        <v/>
      </c>
      <c r="E541">
        <f>IF($W541="","",SUMIFS(합계표[시스템 합계],합계표[사번키],INDEX(합계표[사번키],$W541)))</f>
        <v/>
      </c>
      <c r="F541">
        <f>IF($W541="","",SUMIFS(상세표[기록 시간외],상세표[사번키],INDEX(합계표[사번키],$W541),상세표[기록월],대상월키))</f>
        <v/>
      </c>
      <c r="G541">
        <f>IF($W541="","",IF(ABS($E541-$F541)&lt;0.01,"일치","불일치(차이 "&amp;TEXT($F541-$E541,"0.00")&amp;")"))</f>
        <v/>
      </c>
      <c r="H541">
        <f>IF($W541="","",SUMIFS(상세표[기록 시간외],상세표[사번키],INDEX(합계표[사번키],$W541),상세표[기록월],대상월키,상세표[반영월],"&lt;&gt;"&amp;대상월키))</f>
        <v/>
      </c>
      <c r="I541">
        <f>IF($W541="","",SUMIFS(상세표[기록 시간외],상세표[사번키],INDEX(합계표[사번키],$W541),상세표[기록월],"&lt;&gt;"&amp;대상월키,상세표[반영월],대상월키))</f>
        <v/>
      </c>
      <c r="J541">
        <f>IF($W541="","",SUMIFS(상세표[기록 시간외],상세표[사번키],INDEX(합계표[사번키],$W541),상세표[반영월],대상월키))</f>
        <v/>
      </c>
      <c r="K541">
        <f>IF($W541="","",IFERROR(INDEX(월별근무지표[적용 급여병원],MATCH(INDEX(합계표[사번키],$W541)&amp;"|"&amp;대상월키,월별근무지표[키],0))&amp;"",IF(COUNTIF(기관표[사번키],INDEX(합계표[사번키],$W541))+COUNTIF(월별근무지표[사번키],INDEX(합계표[사번키],$W541))&gt;0,IFERROR(INDEX(기관표[급여지급병원(기준월)],MATCH(INDEX(합계표[사번키],$W541)&amp;"|"&amp;대상월키,기관표[키],0))&amp;"","—"),"—")))</f>
        <v/>
      </c>
      <c r="L541">
        <f>IF($W541="","",IF(NOT(COUNTIF(기관표[사번키],INDEX(합계표[사번키],$W541))+COUNTIF(월별근무지표[사번키],INDEX(합계표[사번키],$W541))&gt;0),"기관명단에 없음(다른 병원으로 발송)",IF($K541="—","대상월 기관명단 없음(추가 필요)",IF($K541="서울병원","해당","비해당"))))</f>
        <v/>
      </c>
      <c r="M541">
        <f>IF($W541="","",SUMIFS(상세표[06~07시],상세표[사번키],INDEX(합계표[사번키],$W541),상세표[반영월],대상월키,상세표[반영 기관],"서울병원"))</f>
        <v/>
      </c>
      <c r="N541">
        <f>IF($W541="","",SUMIFS(상세표[07~18시],상세표[사번키],INDEX(합계표[사번키],$W541),상세표[반영월],대상월키,상세표[반영 기관],"서울병원"))</f>
        <v/>
      </c>
      <c r="O541">
        <f>IF($W541="","",SUMIFS(상세표[18~22시],상세표[사번키],INDEX(합계표[사번키],$W541),상세표[반영월],대상월키,상세표[반영 기관],"서울병원"))</f>
        <v/>
      </c>
      <c r="P541">
        <f>IF($W541="","",SUMIFS(상세표[22~06시],상세표[사번키],INDEX(합계표[사번키],$W541),상세표[반영월],대상월키,상세표[반영 기관],"서울병원"))</f>
        <v/>
      </c>
      <c r="Q541">
        <f>IF($W541="","",SUM($M541:$P541))</f>
        <v/>
      </c>
      <c r="R541">
        <f>IF($W541="","",COUNTIFS(상세표[사번키],INDEX(합계표[사번키],$W541),상세표[반영월],대상월키,상세표[야간당직],1,상세표[야간 구분],"평일"))</f>
        <v/>
      </c>
      <c r="S541" s="4">
        <f>IF($W541="","",COUNTIFS(상세표[사번키],INDEX(합계표[사번키],$W541),상세표[반영월],대상월키,상세표[야간당직],1,상세표[야간 구분],"휴일"))</f>
        <v/>
      </c>
      <c r="T541">
        <f>IF($W541="","",COUNTIFS(상세표[사번키],INDEX(합계표[사번키],$W541),상세표[반영월],대상월키,상세표[야간당직],1,상세표[야간 구분],"평일",상세표[반영 기관],"서울병원"))</f>
        <v/>
      </c>
      <c r="U541">
        <f>IF($W541="","",COUNTIFS(상세표[사번키],INDEX(합계표[사번키],$W541),상세표[반영월],대상월키,상세표[야간당직],1,상세표[야간 구분],"휴일",상세표[반영 기관],"서울병원"))</f>
        <v/>
      </c>
      <c r="V541">
        <f>IF($W541="","",IF(ISNUMBER(MATCH(INDEX(합계표[사번키],$W541)&amp;"|"&amp;대상월키,월별근무지표[키],0)),"직접 입력",IF($K541="—","—","기관명단")))</f>
        <v/>
      </c>
      <c r="W541">
        <f>IFERROR(MATCH(536,합계표[판정순번],0),"")</f>
        <v/>
      </c>
    </row>
    <row r="542">
      <c r="A542">
        <f>IF($W542="","",INDEX(합계표[사번],$W542)&amp;"")</f>
        <v/>
      </c>
      <c r="B542">
        <f>IF($W542="","",INDEX(합계표[성명],$W542)&amp;"")</f>
        <v/>
      </c>
      <c r="C542">
        <f>IF($W542="","",INDEX(합계표[부서],$W542)&amp;"")</f>
        <v/>
      </c>
      <c r="D542">
        <f>IF($W542="","",INDEX(합계표[직위(통합)],$W542)&amp;"")</f>
        <v/>
      </c>
      <c r="E542">
        <f>IF($W542="","",SUMIFS(합계표[시스템 합계],합계표[사번키],INDEX(합계표[사번키],$W542)))</f>
        <v/>
      </c>
      <c r="F542">
        <f>IF($W542="","",SUMIFS(상세표[기록 시간외],상세표[사번키],INDEX(합계표[사번키],$W542),상세표[기록월],대상월키))</f>
        <v/>
      </c>
      <c r="G542">
        <f>IF($W542="","",IF(ABS($E542-$F542)&lt;0.01,"일치","불일치(차이 "&amp;TEXT($F542-$E542,"0.00")&amp;")"))</f>
        <v/>
      </c>
      <c r="H542">
        <f>IF($W542="","",SUMIFS(상세표[기록 시간외],상세표[사번키],INDEX(합계표[사번키],$W542),상세표[기록월],대상월키,상세표[반영월],"&lt;&gt;"&amp;대상월키))</f>
        <v/>
      </c>
      <c r="I542">
        <f>IF($W542="","",SUMIFS(상세표[기록 시간외],상세표[사번키],INDEX(합계표[사번키],$W542),상세표[기록월],"&lt;&gt;"&amp;대상월키,상세표[반영월],대상월키))</f>
        <v/>
      </c>
      <c r="J542">
        <f>IF($W542="","",SUMIFS(상세표[기록 시간외],상세표[사번키],INDEX(합계표[사번키],$W542),상세표[반영월],대상월키))</f>
        <v/>
      </c>
      <c r="K542">
        <f>IF($W542="","",IFERROR(INDEX(월별근무지표[적용 급여병원],MATCH(INDEX(합계표[사번키],$W542)&amp;"|"&amp;대상월키,월별근무지표[키],0))&amp;"",IF(COUNTIF(기관표[사번키],INDEX(합계표[사번키],$W542))+COUNTIF(월별근무지표[사번키],INDEX(합계표[사번키],$W542))&gt;0,IFERROR(INDEX(기관표[급여지급병원(기준월)],MATCH(INDEX(합계표[사번키],$W542)&amp;"|"&amp;대상월키,기관표[키],0))&amp;"","—"),"—")))</f>
        <v/>
      </c>
      <c r="L542">
        <f>IF($W542="","",IF(NOT(COUNTIF(기관표[사번키],INDEX(합계표[사번키],$W542))+COUNTIF(월별근무지표[사번키],INDEX(합계표[사번키],$W542))&gt;0),"기관명단에 없음(다른 병원으로 발송)",IF($K542="—","대상월 기관명단 없음(추가 필요)",IF($K542="서울병원","해당","비해당"))))</f>
        <v/>
      </c>
      <c r="M542">
        <f>IF($W542="","",SUMIFS(상세표[06~07시],상세표[사번키],INDEX(합계표[사번키],$W542),상세표[반영월],대상월키,상세표[반영 기관],"서울병원"))</f>
        <v/>
      </c>
      <c r="N542">
        <f>IF($W542="","",SUMIFS(상세표[07~18시],상세표[사번키],INDEX(합계표[사번키],$W542),상세표[반영월],대상월키,상세표[반영 기관],"서울병원"))</f>
        <v/>
      </c>
      <c r="O542">
        <f>IF($W542="","",SUMIFS(상세표[18~22시],상세표[사번키],INDEX(합계표[사번키],$W542),상세표[반영월],대상월키,상세표[반영 기관],"서울병원"))</f>
        <v/>
      </c>
      <c r="P542">
        <f>IF($W542="","",SUMIFS(상세표[22~06시],상세표[사번키],INDEX(합계표[사번키],$W542),상세표[반영월],대상월키,상세표[반영 기관],"서울병원"))</f>
        <v/>
      </c>
      <c r="Q542">
        <f>IF($W542="","",SUM($M542:$P542))</f>
        <v/>
      </c>
      <c r="R542">
        <f>IF($W542="","",COUNTIFS(상세표[사번키],INDEX(합계표[사번키],$W542),상세표[반영월],대상월키,상세표[야간당직],1,상세표[야간 구분],"평일"))</f>
        <v/>
      </c>
      <c r="S542" s="4">
        <f>IF($W542="","",COUNTIFS(상세표[사번키],INDEX(합계표[사번키],$W542),상세표[반영월],대상월키,상세표[야간당직],1,상세표[야간 구분],"휴일"))</f>
        <v/>
      </c>
      <c r="T542">
        <f>IF($W542="","",COUNTIFS(상세표[사번키],INDEX(합계표[사번키],$W542),상세표[반영월],대상월키,상세표[야간당직],1,상세표[야간 구분],"평일",상세표[반영 기관],"서울병원"))</f>
        <v/>
      </c>
      <c r="U542">
        <f>IF($W542="","",COUNTIFS(상세표[사번키],INDEX(합계표[사번키],$W542),상세표[반영월],대상월키,상세표[야간당직],1,상세표[야간 구분],"휴일",상세표[반영 기관],"서울병원"))</f>
        <v/>
      </c>
      <c r="V542">
        <f>IF($W542="","",IF(ISNUMBER(MATCH(INDEX(합계표[사번키],$W542)&amp;"|"&amp;대상월키,월별근무지표[키],0)),"직접 입력",IF($K542="—","—","기관명단")))</f>
        <v/>
      </c>
      <c r="W542">
        <f>IFERROR(MATCH(537,합계표[판정순번],0),"")</f>
        <v/>
      </c>
    </row>
    <row r="543">
      <c r="A543">
        <f>IF($W543="","",INDEX(합계표[사번],$W543)&amp;"")</f>
        <v/>
      </c>
      <c r="B543">
        <f>IF($W543="","",INDEX(합계표[성명],$W543)&amp;"")</f>
        <v/>
      </c>
      <c r="C543">
        <f>IF($W543="","",INDEX(합계표[부서],$W543)&amp;"")</f>
        <v/>
      </c>
      <c r="D543">
        <f>IF($W543="","",INDEX(합계표[직위(통합)],$W543)&amp;"")</f>
        <v/>
      </c>
      <c r="E543">
        <f>IF($W543="","",SUMIFS(합계표[시스템 합계],합계표[사번키],INDEX(합계표[사번키],$W543)))</f>
        <v/>
      </c>
      <c r="F543">
        <f>IF($W543="","",SUMIFS(상세표[기록 시간외],상세표[사번키],INDEX(합계표[사번키],$W543),상세표[기록월],대상월키))</f>
        <v/>
      </c>
      <c r="G543">
        <f>IF($W543="","",IF(ABS($E543-$F543)&lt;0.01,"일치","불일치(차이 "&amp;TEXT($F543-$E543,"0.00")&amp;")"))</f>
        <v/>
      </c>
      <c r="H543">
        <f>IF($W543="","",SUMIFS(상세표[기록 시간외],상세표[사번키],INDEX(합계표[사번키],$W543),상세표[기록월],대상월키,상세표[반영월],"&lt;&gt;"&amp;대상월키))</f>
        <v/>
      </c>
      <c r="I543">
        <f>IF($W543="","",SUMIFS(상세표[기록 시간외],상세표[사번키],INDEX(합계표[사번키],$W543),상세표[기록월],"&lt;&gt;"&amp;대상월키,상세표[반영월],대상월키))</f>
        <v/>
      </c>
      <c r="J543">
        <f>IF($W543="","",SUMIFS(상세표[기록 시간외],상세표[사번키],INDEX(합계표[사번키],$W543),상세표[반영월],대상월키))</f>
        <v/>
      </c>
      <c r="K543">
        <f>IF($W543="","",IFERROR(INDEX(월별근무지표[적용 급여병원],MATCH(INDEX(합계표[사번키],$W543)&amp;"|"&amp;대상월키,월별근무지표[키],0))&amp;"",IF(COUNTIF(기관표[사번키],INDEX(합계표[사번키],$W543))+COUNTIF(월별근무지표[사번키],INDEX(합계표[사번키],$W543))&gt;0,IFERROR(INDEX(기관표[급여지급병원(기준월)],MATCH(INDEX(합계표[사번키],$W543)&amp;"|"&amp;대상월키,기관표[키],0))&amp;"","—"),"—")))</f>
        <v/>
      </c>
      <c r="L543">
        <f>IF($W543="","",IF(NOT(COUNTIF(기관표[사번키],INDEX(합계표[사번키],$W543))+COUNTIF(월별근무지표[사번키],INDEX(합계표[사번키],$W543))&gt;0),"기관명단에 없음(다른 병원으로 발송)",IF($K543="—","대상월 기관명단 없음(추가 필요)",IF($K543="서울병원","해당","비해당"))))</f>
        <v/>
      </c>
      <c r="M543">
        <f>IF($W543="","",SUMIFS(상세표[06~07시],상세표[사번키],INDEX(합계표[사번키],$W543),상세표[반영월],대상월키,상세표[반영 기관],"서울병원"))</f>
        <v/>
      </c>
      <c r="N543">
        <f>IF($W543="","",SUMIFS(상세표[07~18시],상세표[사번키],INDEX(합계표[사번키],$W543),상세표[반영월],대상월키,상세표[반영 기관],"서울병원"))</f>
        <v/>
      </c>
      <c r="O543">
        <f>IF($W543="","",SUMIFS(상세표[18~22시],상세표[사번키],INDEX(합계표[사번키],$W543),상세표[반영월],대상월키,상세표[반영 기관],"서울병원"))</f>
        <v/>
      </c>
      <c r="P543">
        <f>IF($W543="","",SUMIFS(상세표[22~06시],상세표[사번키],INDEX(합계표[사번키],$W543),상세표[반영월],대상월키,상세표[반영 기관],"서울병원"))</f>
        <v/>
      </c>
      <c r="Q543">
        <f>IF($W543="","",SUM($M543:$P543))</f>
        <v/>
      </c>
      <c r="R543">
        <f>IF($W543="","",COUNTIFS(상세표[사번키],INDEX(합계표[사번키],$W543),상세표[반영월],대상월키,상세표[야간당직],1,상세표[야간 구분],"평일"))</f>
        <v/>
      </c>
      <c r="S543" s="4">
        <f>IF($W543="","",COUNTIFS(상세표[사번키],INDEX(합계표[사번키],$W543),상세표[반영월],대상월키,상세표[야간당직],1,상세표[야간 구분],"휴일"))</f>
        <v/>
      </c>
      <c r="T543">
        <f>IF($W543="","",COUNTIFS(상세표[사번키],INDEX(합계표[사번키],$W543),상세표[반영월],대상월키,상세표[야간당직],1,상세표[야간 구분],"평일",상세표[반영 기관],"서울병원"))</f>
        <v/>
      </c>
      <c r="U543">
        <f>IF($W543="","",COUNTIFS(상세표[사번키],INDEX(합계표[사번키],$W543),상세표[반영월],대상월키,상세표[야간당직],1,상세표[야간 구분],"휴일",상세표[반영 기관],"서울병원"))</f>
        <v/>
      </c>
      <c r="V543">
        <f>IF($W543="","",IF(ISNUMBER(MATCH(INDEX(합계표[사번키],$W543)&amp;"|"&amp;대상월키,월별근무지표[키],0)),"직접 입력",IF($K543="—","—","기관명단")))</f>
        <v/>
      </c>
      <c r="W543">
        <f>IFERROR(MATCH(538,합계표[판정순번],0),"")</f>
        <v/>
      </c>
    </row>
    <row r="544">
      <c r="A544">
        <f>IF($W544="","",INDEX(합계표[사번],$W544)&amp;"")</f>
        <v/>
      </c>
      <c r="B544">
        <f>IF($W544="","",INDEX(합계표[성명],$W544)&amp;"")</f>
        <v/>
      </c>
      <c r="C544">
        <f>IF($W544="","",INDEX(합계표[부서],$W544)&amp;"")</f>
        <v/>
      </c>
      <c r="D544">
        <f>IF($W544="","",INDEX(합계표[직위(통합)],$W544)&amp;"")</f>
        <v/>
      </c>
      <c r="E544">
        <f>IF($W544="","",SUMIFS(합계표[시스템 합계],합계표[사번키],INDEX(합계표[사번키],$W544)))</f>
        <v/>
      </c>
      <c r="F544">
        <f>IF($W544="","",SUMIFS(상세표[기록 시간외],상세표[사번키],INDEX(합계표[사번키],$W544),상세표[기록월],대상월키))</f>
        <v/>
      </c>
      <c r="G544">
        <f>IF($W544="","",IF(ABS($E544-$F544)&lt;0.01,"일치","불일치(차이 "&amp;TEXT($F544-$E544,"0.00")&amp;")"))</f>
        <v/>
      </c>
      <c r="H544">
        <f>IF($W544="","",SUMIFS(상세표[기록 시간외],상세표[사번키],INDEX(합계표[사번키],$W544),상세표[기록월],대상월키,상세표[반영월],"&lt;&gt;"&amp;대상월키))</f>
        <v/>
      </c>
      <c r="I544">
        <f>IF($W544="","",SUMIFS(상세표[기록 시간외],상세표[사번키],INDEX(합계표[사번키],$W544),상세표[기록월],"&lt;&gt;"&amp;대상월키,상세표[반영월],대상월키))</f>
        <v/>
      </c>
      <c r="J544">
        <f>IF($W544="","",SUMIFS(상세표[기록 시간외],상세표[사번키],INDEX(합계표[사번키],$W544),상세표[반영월],대상월키))</f>
        <v/>
      </c>
      <c r="K544">
        <f>IF($W544="","",IFERROR(INDEX(월별근무지표[적용 급여병원],MATCH(INDEX(합계표[사번키],$W544)&amp;"|"&amp;대상월키,월별근무지표[키],0))&amp;"",IF(COUNTIF(기관표[사번키],INDEX(합계표[사번키],$W544))+COUNTIF(월별근무지표[사번키],INDEX(합계표[사번키],$W544))&gt;0,IFERROR(INDEX(기관표[급여지급병원(기준월)],MATCH(INDEX(합계표[사번키],$W544)&amp;"|"&amp;대상월키,기관표[키],0))&amp;"","—"),"—")))</f>
        <v/>
      </c>
      <c r="L544">
        <f>IF($W544="","",IF(NOT(COUNTIF(기관표[사번키],INDEX(합계표[사번키],$W544))+COUNTIF(월별근무지표[사번키],INDEX(합계표[사번키],$W544))&gt;0),"기관명단에 없음(다른 병원으로 발송)",IF($K544="—","대상월 기관명단 없음(추가 필요)",IF($K544="서울병원","해당","비해당"))))</f>
        <v/>
      </c>
      <c r="M544">
        <f>IF($W544="","",SUMIFS(상세표[06~07시],상세표[사번키],INDEX(합계표[사번키],$W544),상세표[반영월],대상월키,상세표[반영 기관],"서울병원"))</f>
        <v/>
      </c>
      <c r="N544">
        <f>IF($W544="","",SUMIFS(상세표[07~18시],상세표[사번키],INDEX(합계표[사번키],$W544),상세표[반영월],대상월키,상세표[반영 기관],"서울병원"))</f>
        <v/>
      </c>
      <c r="O544">
        <f>IF($W544="","",SUMIFS(상세표[18~22시],상세표[사번키],INDEX(합계표[사번키],$W544),상세표[반영월],대상월키,상세표[반영 기관],"서울병원"))</f>
        <v/>
      </c>
      <c r="P544">
        <f>IF($W544="","",SUMIFS(상세표[22~06시],상세표[사번키],INDEX(합계표[사번키],$W544),상세표[반영월],대상월키,상세표[반영 기관],"서울병원"))</f>
        <v/>
      </c>
      <c r="Q544">
        <f>IF($W544="","",SUM($M544:$P544))</f>
        <v/>
      </c>
      <c r="R544">
        <f>IF($W544="","",COUNTIFS(상세표[사번키],INDEX(합계표[사번키],$W544),상세표[반영월],대상월키,상세표[야간당직],1,상세표[야간 구분],"평일"))</f>
        <v/>
      </c>
      <c r="S544" s="4">
        <f>IF($W544="","",COUNTIFS(상세표[사번키],INDEX(합계표[사번키],$W544),상세표[반영월],대상월키,상세표[야간당직],1,상세표[야간 구분],"휴일"))</f>
        <v/>
      </c>
      <c r="T544">
        <f>IF($W544="","",COUNTIFS(상세표[사번키],INDEX(합계표[사번키],$W544),상세표[반영월],대상월키,상세표[야간당직],1,상세표[야간 구분],"평일",상세표[반영 기관],"서울병원"))</f>
        <v/>
      </c>
      <c r="U544">
        <f>IF($W544="","",COUNTIFS(상세표[사번키],INDEX(합계표[사번키],$W544),상세표[반영월],대상월키,상세표[야간당직],1,상세표[야간 구분],"휴일",상세표[반영 기관],"서울병원"))</f>
        <v/>
      </c>
      <c r="V544">
        <f>IF($W544="","",IF(ISNUMBER(MATCH(INDEX(합계표[사번키],$W544)&amp;"|"&amp;대상월키,월별근무지표[키],0)),"직접 입력",IF($K544="—","—","기관명단")))</f>
        <v/>
      </c>
      <c r="W544">
        <f>IFERROR(MATCH(539,합계표[판정순번],0),"")</f>
        <v/>
      </c>
    </row>
    <row r="545">
      <c r="A545">
        <f>IF($W545="","",INDEX(합계표[사번],$W545)&amp;"")</f>
        <v/>
      </c>
      <c r="B545">
        <f>IF($W545="","",INDEX(합계표[성명],$W545)&amp;"")</f>
        <v/>
      </c>
      <c r="C545">
        <f>IF($W545="","",INDEX(합계표[부서],$W545)&amp;"")</f>
        <v/>
      </c>
      <c r="D545">
        <f>IF($W545="","",INDEX(합계표[직위(통합)],$W545)&amp;"")</f>
        <v/>
      </c>
      <c r="E545">
        <f>IF($W545="","",SUMIFS(합계표[시스템 합계],합계표[사번키],INDEX(합계표[사번키],$W545)))</f>
        <v/>
      </c>
      <c r="F545">
        <f>IF($W545="","",SUMIFS(상세표[기록 시간외],상세표[사번키],INDEX(합계표[사번키],$W545),상세표[기록월],대상월키))</f>
        <v/>
      </c>
      <c r="G545">
        <f>IF($W545="","",IF(ABS($E545-$F545)&lt;0.01,"일치","불일치(차이 "&amp;TEXT($F545-$E545,"0.00")&amp;")"))</f>
        <v/>
      </c>
      <c r="H545">
        <f>IF($W545="","",SUMIFS(상세표[기록 시간외],상세표[사번키],INDEX(합계표[사번키],$W545),상세표[기록월],대상월키,상세표[반영월],"&lt;&gt;"&amp;대상월키))</f>
        <v/>
      </c>
      <c r="I545">
        <f>IF($W545="","",SUMIFS(상세표[기록 시간외],상세표[사번키],INDEX(합계표[사번키],$W545),상세표[기록월],"&lt;&gt;"&amp;대상월키,상세표[반영월],대상월키))</f>
        <v/>
      </c>
      <c r="J545">
        <f>IF($W545="","",SUMIFS(상세표[기록 시간외],상세표[사번키],INDEX(합계표[사번키],$W545),상세표[반영월],대상월키))</f>
        <v/>
      </c>
      <c r="K545">
        <f>IF($W545="","",IFERROR(INDEX(월별근무지표[적용 급여병원],MATCH(INDEX(합계표[사번키],$W545)&amp;"|"&amp;대상월키,월별근무지표[키],0))&amp;"",IF(COUNTIF(기관표[사번키],INDEX(합계표[사번키],$W545))+COUNTIF(월별근무지표[사번키],INDEX(합계표[사번키],$W545))&gt;0,IFERROR(INDEX(기관표[급여지급병원(기준월)],MATCH(INDEX(합계표[사번키],$W545)&amp;"|"&amp;대상월키,기관표[키],0))&amp;"","—"),"—")))</f>
        <v/>
      </c>
      <c r="L545">
        <f>IF($W545="","",IF(NOT(COUNTIF(기관표[사번키],INDEX(합계표[사번키],$W545))+COUNTIF(월별근무지표[사번키],INDEX(합계표[사번키],$W545))&gt;0),"기관명단에 없음(다른 병원으로 발송)",IF($K545="—","대상월 기관명단 없음(추가 필요)",IF($K545="서울병원","해당","비해당"))))</f>
        <v/>
      </c>
      <c r="M545">
        <f>IF($W545="","",SUMIFS(상세표[06~07시],상세표[사번키],INDEX(합계표[사번키],$W545),상세표[반영월],대상월키,상세표[반영 기관],"서울병원"))</f>
        <v/>
      </c>
      <c r="N545">
        <f>IF($W545="","",SUMIFS(상세표[07~18시],상세표[사번키],INDEX(합계표[사번키],$W545),상세표[반영월],대상월키,상세표[반영 기관],"서울병원"))</f>
        <v/>
      </c>
      <c r="O545">
        <f>IF($W545="","",SUMIFS(상세표[18~22시],상세표[사번키],INDEX(합계표[사번키],$W545),상세표[반영월],대상월키,상세표[반영 기관],"서울병원"))</f>
        <v/>
      </c>
      <c r="P545">
        <f>IF($W545="","",SUMIFS(상세표[22~06시],상세표[사번키],INDEX(합계표[사번키],$W545),상세표[반영월],대상월키,상세표[반영 기관],"서울병원"))</f>
        <v/>
      </c>
      <c r="Q545">
        <f>IF($W545="","",SUM($M545:$P545))</f>
        <v/>
      </c>
      <c r="R545">
        <f>IF($W545="","",COUNTIFS(상세표[사번키],INDEX(합계표[사번키],$W545),상세표[반영월],대상월키,상세표[야간당직],1,상세표[야간 구분],"평일"))</f>
        <v/>
      </c>
      <c r="S545" s="4">
        <f>IF($W545="","",COUNTIFS(상세표[사번키],INDEX(합계표[사번키],$W545),상세표[반영월],대상월키,상세표[야간당직],1,상세표[야간 구분],"휴일"))</f>
        <v/>
      </c>
      <c r="T545">
        <f>IF($W545="","",COUNTIFS(상세표[사번키],INDEX(합계표[사번키],$W545),상세표[반영월],대상월키,상세표[야간당직],1,상세표[야간 구분],"평일",상세표[반영 기관],"서울병원"))</f>
        <v/>
      </c>
      <c r="U545">
        <f>IF($W545="","",COUNTIFS(상세표[사번키],INDEX(합계표[사번키],$W545),상세표[반영월],대상월키,상세표[야간당직],1,상세표[야간 구분],"휴일",상세표[반영 기관],"서울병원"))</f>
        <v/>
      </c>
      <c r="V545">
        <f>IF($W545="","",IF(ISNUMBER(MATCH(INDEX(합계표[사번키],$W545)&amp;"|"&amp;대상월키,월별근무지표[키],0)),"직접 입력",IF($K545="—","—","기관명단")))</f>
        <v/>
      </c>
      <c r="W545">
        <f>IFERROR(MATCH(540,합계표[판정순번],0),"")</f>
        <v/>
      </c>
    </row>
    <row r="546">
      <c r="A546">
        <f>IF($W546="","",INDEX(합계표[사번],$W546)&amp;"")</f>
        <v/>
      </c>
      <c r="B546">
        <f>IF($W546="","",INDEX(합계표[성명],$W546)&amp;"")</f>
        <v/>
      </c>
      <c r="C546">
        <f>IF($W546="","",INDEX(합계표[부서],$W546)&amp;"")</f>
        <v/>
      </c>
      <c r="D546">
        <f>IF($W546="","",INDEX(합계표[직위(통합)],$W546)&amp;"")</f>
        <v/>
      </c>
      <c r="E546">
        <f>IF($W546="","",SUMIFS(합계표[시스템 합계],합계표[사번키],INDEX(합계표[사번키],$W546)))</f>
        <v/>
      </c>
      <c r="F546">
        <f>IF($W546="","",SUMIFS(상세표[기록 시간외],상세표[사번키],INDEX(합계표[사번키],$W546),상세표[기록월],대상월키))</f>
        <v/>
      </c>
      <c r="G546">
        <f>IF($W546="","",IF(ABS($E546-$F546)&lt;0.01,"일치","불일치(차이 "&amp;TEXT($F546-$E546,"0.00")&amp;")"))</f>
        <v/>
      </c>
      <c r="H546">
        <f>IF($W546="","",SUMIFS(상세표[기록 시간외],상세표[사번키],INDEX(합계표[사번키],$W546),상세표[기록월],대상월키,상세표[반영월],"&lt;&gt;"&amp;대상월키))</f>
        <v/>
      </c>
      <c r="I546">
        <f>IF($W546="","",SUMIFS(상세표[기록 시간외],상세표[사번키],INDEX(합계표[사번키],$W546),상세표[기록월],"&lt;&gt;"&amp;대상월키,상세표[반영월],대상월키))</f>
        <v/>
      </c>
      <c r="J546">
        <f>IF($W546="","",SUMIFS(상세표[기록 시간외],상세표[사번키],INDEX(합계표[사번키],$W546),상세표[반영월],대상월키))</f>
        <v/>
      </c>
      <c r="K546">
        <f>IF($W546="","",IFERROR(INDEX(월별근무지표[적용 급여병원],MATCH(INDEX(합계표[사번키],$W546)&amp;"|"&amp;대상월키,월별근무지표[키],0))&amp;"",IF(COUNTIF(기관표[사번키],INDEX(합계표[사번키],$W546))+COUNTIF(월별근무지표[사번키],INDEX(합계표[사번키],$W546))&gt;0,IFERROR(INDEX(기관표[급여지급병원(기준월)],MATCH(INDEX(합계표[사번키],$W546)&amp;"|"&amp;대상월키,기관표[키],0))&amp;"","—"),"—")))</f>
        <v/>
      </c>
      <c r="L546">
        <f>IF($W546="","",IF(NOT(COUNTIF(기관표[사번키],INDEX(합계표[사번키],$W546))+COUNTIF(월별근무지표[사번키],INDEX(합계표[사번키],$W546))&gt;0),"기관명단에 없음(다른 병원으로 발송)",IF($K546="—","대상월 기관명단 없음(추가 필요)",IF($K546="서울병원","해당","비해당"))))</f>
        <v/>
      </c>
      <c r="M546">
        <f>IF($W546="","",SUMIFS(상세표[06~07시],상세표[사번키],INDEX(합계표[사번키],$W546),상세표[반영월],대상월키,상세표[반영 기관],"서울병원"))</f>
        <v/>
      </c>
      <c r="N546">
        <f>IF($W546="","",SUMIFS(상세표[07~18시],상세표[사번키],INDEX(합계표[사번키],$W546),상세표[반영월],대상월키,상세표[반영 기관],"서울병원"))</f>
        <v/>
      </c>
      <c r="O546">
        <f>IF($W546="","",SUMIFS(상세표[18~22시],상세표[사번키],INDEX(합계표[사번키],$W546),상세표[반영월],대상월키,상세표[반영 기관],"서울병원"))</f>
        <v/>
      </c>
      <c r="P546">
        <f>IF($W546="","",SUMIFS(상세표[22~06시],상세표[사번키],INDEX(합계표[사번키],$W546),상세표[반영월],대상월키,상세표[반영 기관],"서울병원"))</f>
        <v/>
      </c>
      <c r="Q546">
        <f>IF($W546="","",SUM($M546:$P546))</f>
        <v/>
      </c>
      <c r="R546">
        <f>IF($W546="","",COUNTIFS(상세표[사번키],INDEX(합계표[사번키],$W546),상세표[반영월],대상월키,상세표[야간당직],1,상세표[야간 구분],"평일"))</f>
        <v/>
      </c>
      <c r="S546" s="4">
        <f>IF($W546="","",COUNTIFS(상세표[사번키],INDEX(합계표[사번키],$W546),상세표[반영월],대상월키,상세표[야간당직],1,상세표[야간 구분],"휴일"))</f>
        <v/>
      </c>
      <c r="T546">
        <f>IF($W546="","",COUNTIFS(상세표[사번키],INDEX(합계표[사번키],$W546),상세표[반영월],대상월키,상세표[야간당직],1,상세표[야간 구분],"평일",상세표[반영 기관],"서울병원"))</f>
        <v/>
      </c>
      <c r="U546">
        <f>IF($W546="","",COUNTIFS(상세표[사번키],INDEX(합계표[사번키],$W546),상세표[반영월],대상월키,상세표[야간당직],1,상세표[야간 구분],"휴일",상세표[반영 기관],"서울병원"))</f>
        <v/>
      </c>
      <c r="V546">
        <f>IF($W546="","",IF(ISNUMBER(MATCH(INDEX(합계표[사번키],$W546)&amp;"|"&amp;대상월키,월별근무지표[키],0)),"직접 입력",IF($K546="—","—","기관명단")))</f>
        <v/>
      </c>
      <c r="W546">
        <f>IFERROR(MATCH(541,합계표[판정순번],0),"")</f>
        <v/>
      </c>
    </row>
    <row r="547">
      <c r="A547">
        <f>IF($W547="","",INDEX(합계표[사번],$W547)&amp;"")</f>
        <v/>
      </c>
      <c r="B547">
        <f>IF($W547="","",INDEX(합계표[성명],$W547)&amp;"")</f>
        <v/>
      </c>
      <c r="C547">
        <f>IF($W547="","",INDEX(합계표[부서],$W547)&amp;"")</f>
        <v/>
      </c>
      <c r="D547">
        <f>IF($W547="","",INDEX(합계표[직위(통합)],$W547)&amp;"")</f>
        <v/>
      </c>
      <c r="E547">
        <f>IF($W547="","",SUMIFS(합계표[시스템 합계],합계표[사번키],INDEX(합계표[사번키],$W547)))</f>
        <v/>
      </c>
      <c r="F547">
        <f>IF($W547="","",SUMIFS(상세표[기록 시간외],상세표[사번키],INDEX(합계표[사번키],$W547),상세표[기록월],대상월키))</f>
        <v/>
      </c>
      <c r="G547">
        <f>IF($W547="","",IF(ABS($E547-$F547)&lt;0.01,"일치","불일치(차이 "&amp;TEXT($F547-$E547,"0.00")&amp;")"))</f>
        <v/>
      </c>
      <c r="H547">
        <f>IF($W547="","",SUMIFS(상세표[기록 시간외],상세표[사번키],INDEX(합계표[사번키],$W547),상세표[기록월],대상월키,상세표[반영월],"&lt;&gt;"&amp;대상월키))</f>
        <v/>
      </c>
      <c r="I547">
        <f>IF($W547="","",SUMIFS(상세표[기록 시간외],상세표[사번키],INDEX(합계표[사번키],$W547),상세표[기록월],"&lt;&gt;"&amp;대상월키,상세표[반영월],대상월키))</f>
        <v/>
      </c>
      <c r="J547">
        <f>IF($W547="","",SUMIFS(상세표[기록 시간외],상세표[사번키],INDEX(합계표[사번키],$W547),상세표[반영월],대상월키))</f>
        <v/>
      </c>
      <c r="K547">
        <f>IF($W547="","",IFERROR(INDEX(월별근무지표[적용 급여병원],MATCH(INDEX(합계표[사번키],$W547)&amp;"|"&amp;대상월키,월별근무지표[키],0))&amp;"",IF(COUNTIF(기관표[사번키],INDEX(합계표[사번키],$W547))+COUNTIF(월별근무지표[사번키],INDEX(합계표[사번키],$W547))&gt;0,IFERROR(INDEX(기관표[급여지급병원(기준월)],MATCH(INDEX(합계표[사번키],$W547)&amp;"|"&amp;대상월키,기관표[키],0))&amp;"","—"),"—")))</f>
        <v/>
      </c>
      <c r="L547">
        <f>IF($W547="","",IF(NOT(COUNTIF(기관표[사번키],INDEX(합계표[사번키],$W547))+COUNTIF(월별근무지표[사번키],INDEX(합계표[사번키],$W547))&gt;0),"기관명단에 없음(다른 병원으로 발송)",IF($K547="—","대상월 기관명단 없음(추가 필요)",IF($K547="서울병원","해당","비해당"))))</f>
        <v/>
      </c>
      <c r="M547">
        <f>IF($W547="","",SUMIFS(상세표[06~07시],상세표[사번키],INDEX(합계표[사번키],$W547),상세표[반영월],대상월키,상세표[반영 기관],"서울병원"))</f>
        <v/>
      </c>
      <c r="N547">
        <f>IF($W547="","",SUMIFS(상세표[07~18시],상세표[사번키],INDEX(합계표[사번키],$W547),상세표[반영월],대상월키,상세표[반영 기관],"서울병원"))</f>
        <v/>
      </c>
      <c r="O547">
        <f>IF($W547="","",SUMIFS(상세표[18~22시],상세표[사번키],INDEX(합계표[사번키],$W547),상세표[반영월],대상월키,상세표[반영 기관],"서울병원"))</f>
        <v/>
      </c>
      <c r="P547">
        <f>IF($W547="","",SUMIFS(상세표[22~06시],상세표[사번키],INDEX(합계표[사번키],$W547),상세표[반영월],대상월키,상세표[반영 기관],"서울병원"))</f>
        <v/>
      </c>
      <c r="Q547">
        <f>IF($W547="","",SUM($M547:$P547))</f>
        <v/>
      </c>
      <c r="R547">
        <f>IF($W547="","",COUNTIFS(상세표[사번키],INDEX(합계표[사번키],$W547),상세표[반영월],대상월키,상세표[야간당직],1,상세표[야간 구분],"평일"))</f>
        <v/>
      </c>
      <c r="S547" s="4">
        <f>IF($W547="","",COUNTIFS(상세표[사번키],INDEX(합계표[사번키],$W547),상세표[반영월],대상월키,상세표[야간당직],1,상세표[야간 구분],"휴일"))</f>
        <v/>
      </c>
      <c r="T547">
        <f>IF($W547="","",COUNTIFS(상세표[사번키],INDEX(합계표[사번키],$W547),상세표[반영월],대상월키,상세표[야간당직],1,상세표[야간 구분],"평일",상세표[반영 기관],"서울병원"))</f>
        <v/>
      </c>
      <c r="U547">
        <f>IF($W547="","",COUNTIFS(상세표[사번키],INDEX(합계표[사번키],$W547),상세표[반영월],대상월키,상세표[야간당직],1,상세표[야간 구분],"휴일",상세표[반영 기관],"서울병원"))</f>
        <v/>
      </c>
      <c r="V547">
        <f>IF($W547="","",IF(ISNUMBER(MATCH(INDEX(합계표[사번키],$W547)&amp;"|"&amp;대상월키,월별근무지표[키],0)),"직접 입력",IF($K547="—","—","기관명단")))</f>
        <v/>
      </c>
      <c r="W547">
        <f>IFERROR(MATCH(542,합계표[판정순번],0),"")</f>
        <v/>
      </c>
    </row>
    <row r="548">
      <c r="A548">
        <f>IF($W548="","",INDEX(합계표[사번],$W548)&amp;"")</f>
        <v/>
      </c>
      <c r="B548">
        <f>IF($W548="","",INDEX(합계표[성명],$W548)&amp;"")</f>
        <v/>
      </c>
      <c r="C548">
        <f>IF($W548="","",INDEX(합계표[부서],$W548)&amp;"")</f>
        <v/>
      </c>
      <c r="D548">
        <f>IF($W548="","",INDEX(합계표[직위(통합)],$W548)&amp;"")</f>
        <v/>
      </c>
      <c r="E548">
        <f>IF($W548="","",SUMIFS(합계표[시스템 합계],합계표[사번키],INDEX(합계표[사번키],$W548)))</f>
        <v/>
      </c>
      <c r="F548">
        <f>IF($W548="","",SUMIFS(상세표[기록 시간외],상세표[사번키],INDEX(합계표[사번키],$W548),상세표[기록월],대상월키))</f>
        <v/>
      </c>
      <c r="G548">
        <f>IF($W548="","",IF(ABS($E548-$F548)&lt;0.01,"일치","불일치(차이 "&amp;TEXT($F548-$E548,"0.00")&amp;")"))</f>
        <v/>
      </c>
      <c r="H548">
        <f>IF($W548="","",SUMIFS(상세표[기록 시간외],상세표[사번키],INDEX(합계표[사번키],$W548),상세표[기록월],대상월키,상세표[반영월],"&lt;&gt;"&amp;대상월키))</f>
        <v/>
      </c>
      <c r="I548">
        <f>IF($W548="","",SUMIFS(상세표[기록 시간외],상세표[사번키],INDEX(합계표[사번키],$W548),상세표[기록월],"&lt;&gt;"&amp;대상월키,상세표[반영월],대상월키))</f>
        <v/>
      </c>
      <c r="J548">
        <f>IF($W548="","",SUMIFS(상세표[기록 시간외],상세표[사번키],INDEX(합계표[사번키],$W548),상세표[반영월],대상월키))</f>
        <v/>
      </c>
      <c r="K548">
        <f>IF($W548="","",IFERROR(INDEX(월별근무지표[적용 급여병원],MATCH(INDEX(합계표[사번키],$W548)&amp;"|"&amp;대상월키,월별근무지표[키],0))&amp;"",IF(COUNTIF(기관표[사번키],INDEX(합계표[사번키],$W548))+COUNTIF(월별근무지표[사번키],INDEX(합계표[사번키],$W548))&gt;0,IFERROR(INDEX(기관표[급여지급병원(기준월)],MATCH(INDEX(합계표[사번키],$W548)&amp;"|"&amp;대상월키,기관표[키],0))&amp;"","—"),"—")))</f>
        <v/>
      </c>
      <c r="L548">
        <f>IF($W548="","",IF(NOT(COUNTIF(기관표[사번키],INDEX(합계표[사번키],$W548))+COUNTIF(월별근무지표[사번키],INDEX(합계표[사번키],$W548))&gt;0),"기관명단에 없음(다른 병원으로 발송)",IF($K548="—","대상월 기관명단 없음(추가 필요)",IF($K548="서울병원","해당","비해당"))))</f>
        <v/>
      </c>
      <c r="M548">
        <f>IF($W548="","",SUMIFS(상세표[06~07시],상세표[사번키],INDEX(합계표[사번키],$W548),상세표[반영월],대상월키,상세표[반영 기관],"서울병원"))</f>
        <v/>
      </c>
      <c r="N548">
        <f>IF($W548="","",SUMIFS(상세표[07~18시],상세표[사번키],INDEX(합계표[사번키],$W548),상세표[반영월],대상월키,상세표[반영 기관],"서울병원"))</f>
        <v/>
      </c>
      <c r="O548">
        <f>IF($W548="","",SUMIFS(상세표[18~22시],상세표[사번키],INDEX(합계표[사번키],$W548),상세표[반영월],대상월키,상세표[반영 기관],"서울병원"))</f>
        <v/>
      </c>
      <c r="P548">
        <f>IF($W548="","",SUMIFS(상세표[22~06시],상세표[사번키],INDEX(합계표[사번키],$W548),상세표[반영월],대상월키,상세표[반영 기관],"서울병원"))</f>
        <v/>
      </c>
      <c r="Q548">
        <f>IF($W548="","",SUM($M548:$P548))</f>
        <v/>
      </c>
      <c r="R548">
        <f>IF($W548="","",COUNTIFS(상세표[사번키],INDEX(합계표[사번키],$W548),상세표[반영월],대상월키,상세표[야간당직],1,상세표[야간 구분],"평일"))</f>
        <v/>
      </c>
      <c r="S548" s="4">
        <f>IF($W548="","",COUNTIFS(상세표[사번키],INDEX(합계표[사번키],$W548),상세표[반영월],대상월키,상세표[야간당직],1,상세표[야간 구분],"휴일"))</f>
        <v/>
      </c>
      <c r="T548">
        <f>IF($W548="","",COUNTIFS(상세표[사번키],INDEX(합계표[사번키],$W548),상세표[반영월],대상월키,상세표[야간당직],1,상세표[야간 구분],"평일",상세표[반영 기관],"서울병원"))</f>
        <v/>
      </c>
      <c r="U548">
        <f>IF($W548="","",COUNTIFS(상세표[사번키],INDEX(합계표[사번키],$W548),상세표[반영월],대상월키,상세표[야간당직],1,상세표[야간 구분],"휴일",상세표[반영 기관],"서울병원"))</f>
        <v/>
      </c>
      <c r="V548">
        <f>IF($W548="","",IF(ISNUMBER(MATCH(INDEX(합계표[사번키],$W548)&amp;"|"&amp;대상월키,월별근무지표[키],0)),"직접 입력",IF($K548="—","—","기관명단")))</f>
        <v/>
      </c>
      <c r="W548">
        <f>IFERROR(MATCH(543,합계표[판정순번],0),"")</f>
        <v/>
      </c>
    </row>
    <row r="549">
      <c r="A549">
        <f>IF($W549="","",INDEX(합계표[사번],$W549)&amp;"")</f>
        <v/>
      </c>
      <c r="B549">
        <f>IF($W549="","",INDEX(합계표[성명],$W549)&amp;"")</f>
        <v/>
      </c>
      <c r="C549">
        <f>IF($W549="","",INDEX(합계표[부서],$W549)&amp;"")</f>
        <v/>
      </c>
      <c r="D549">
        <f>IF($W549="","",INDEX(합계표[직위(통합)],$W549)&amp;"")</f>
        <v/>
      </c>
      <c r="E549">
        <f>IF($W549="","",SUMIFS(합계표[시스템 합계],합계표[사번키],INDEX(합계표[사번키],$W549)))</f>
        <v/>
      </c>
      <c r="F549">
        <f>IF($W549="","",SUMIFS(상세표[기록 시간외],상세표[사번키],INDEX(합계표[사번키],$W549),상세표[기록월],대상월키))</f>
        <v/>
      </c>
      <c r="G549">
        <f>IF($W549="","",IF(ABS($E549-$F549)&lt;0.01,"일치","불일치(차이 "&amp;TEXT($F549-$E549,"0.00")&amp;")"))</f>
        <v/>
      </c>
      <c r="H549">
        <f>IF($W549="","",SUMIFS(상세표[기록 시간외],상세표[사번키],INDEX(합계표[사번키],$W549),상세표[기록월],대상월키,상세표[반영월],"&lt;&gt;"&amp;대상월키))</f>
        <v/>
      </c>
      <c r="I549">
        <f>IF($W549="","",SUMIFS(상세표[기록 시간외],상세표[사번키],INDEX(합계표[사번키],$W549),상세표[기록월],"&lt;&gt;"&amp;대상월키,상세표[반영월],대상월키))</f>
        <v/>
      </c>
      <c r="J549">
        <f>IF($W549="","",SUMIFS(상세표[기록 시간외],상세표[사번키],INDEX(합계표[사번키],$W549),상세표[반영월],대상월키))</f>
        <v/>
      </c>
      <c r="K549">
        <f>IF($W549="","",IFERROR(INDEX(월별근무지표[적용 급여병원],MATCH(INDEX(합계표[사번키],$W549)&amp;"|"&amp;대상월키,월별근무지표[키],0))&amp;"",IF(COUNTIF(기관표[사번키],INDEX(합계표[사번키],$W549))+COUNTIF(월별근무지표[사번키],INDEX(합계표[사번키],$W549))&gt;0,IFERROR(INDEX(기관표[급여지급병원(기준월)],MATCH(INDEX(합계표[사번키],$W549)&amp;"|"&amp;대상월키,기관표[키],0))&amp;"","—"),"—")))</f>
        <v/>
      </c>
      <c r="L549">
        <f>IF($W549="","",IF(NOT(COUNTIF(기관표[사번키],INDEX(합계표[사번키],$W549))+COUNTIF(월별근무지표[사번키],INDEX(합계표[사번키],$W549))&gt;0),"기관명단에 없음(다른 병원으로 발송)",IF($K549="—","대상월 기관명단 없음(추가 필요)",IF($K549="서울병원","해당","비해당"))))</f>
        <v/>
      </c>
      <c r="M549">
        <f>IF($W549="","",SUMIFS(상세표[06~07시],상세표[사번키],INDEX(합계표[사번키],$W549),상세표[반영월],대상월키,상세표[반영 기관],"서울병원"))</f>
        <v/>
      </c>
      <c r="N549">
        <f>IF($W549="","",SUMIFS(상세표[07~18시],상세표[사번키],INDEX(합계표[사번키],$W549),상세표[반영월],대상월키,상세표[반영 기관],"서울병원"))</f>
        <v/>
      </c>
      <c r="O549">
        <f>IF($W549="","",SUMIFS(상세표[18~22시],상세표[사번키],INDEX(합계표[사번키],$W549),상세표[반영월],대상월키,상세표[반영 기관],"서울병원"))</f>
        <v/>
      </c>
      <c r="P549">
        <f>IF($W549="","",SUMIFS(상세표[22~06시],상세표[사번키],INDEX(합계표[사번키],$W549),상세표[반영월],대상월키,상세표[반영 기관],"서울병원"))</f>
        <v/>
      </c>
      <c r="Q549">
        <f>IF($W549="","",SUM($M549:$P549))</f>
        <v/>
      </c>
      <c r="R549">
        <f>IF($W549="","",COUNTIFS(상세표[사번키],INDEX(합계표[사번키],$W549),상세표[반영월],대상월키,상세표[야간당직],1,상세표[야간 구분],"평일"))</f>
        <v/>
      </c>
      <c r="S549" s="4">
        <f>IF($W549="","",COUNTIFS(상세표[사번키],INDEX(합계표[사번키],$W549),상세표[반영월],대상월키,상세표[야간당직],1,상세표[야간 구분],"휴일"))</f>
        <v/>
      </c>
      <c r="T549">
        <f>IF($W549="","",COUNTIFS(상세표[사번키],INDEX(합계표[사번키],$W549),상세표[반영월],대상월키,상세표[야간당직],1,상세표[야간 구분],"평일",상세표[반영 기관],"서울병원"))</f>
        <v/>
      </c>
      <c r="U549">
        <f>IF($W549="","",COUNTIFS(상세표[사번키],INDEX(합계표[사번키],$W549),상세표[반영월],대상월키,상세표[야간당직],1,상세표[야간 구분],"휴일",상세표[반영 기관],"서울병원"))</f>
        <v/>
      </c>
      <c r="V549">
        <f>IF($W549="","",IF(ISNUMBER(MATCH(INDEX(합계표[사번키],$W549)&amp;"|"&amp;대상월키,월별근무지표[키],0)),"직접 입력",IF($K549="—","—","기관명단")))</f>
        <v/>
      </c>
      <c r="W549">
        <f>IFERROR(MATCH(544,합계표[판정순번],0),"")</f>
        <v/>
      </c>
    </row>
    <row r="550">
      <c r="A550">
        <f>IF($W550="","",INDEX(합계표[사번],$W550)&amp;"")</f>
        <v/>
      </c>
      <c r="B550">
        <f>IF($W550="","",INDEX(합계표[성명],$W550)&amp;"")</f>
        <v/>
      </c>
      <c r="C550">
        <f>IF($W550="","",INDEX(합계표[부서],$W550)&amp;"")</f>
        <v/>
      </c>
      <c r="D550">
        <f>IF($W550="","",INDEX(합계표[직위(통합)],$W550)&amp;"")</f>
        <v/>
      </c>
      <c r="E550">
        <f>IF($W550="","",SUMIFS(합계표[시스템 합계],합계표[사번키],INDEX(합계표[사번키],$W550)))</f>
        <v/>
      </c>
      <c r="F550">
        <f>IF($W550="","",SUMIFS(상세표[기록 시간외],상세표[사번키],INDEX(합계표[사번키],$W550),상세표[기록월],대상월키))</f>
        <v/>
      </c>
      <c r="G550">
        <f>IF($W550="","",IF(ABS($E550-$F550)&lt;0.01,"일치","불일치(차이 "&amp;TEXT($F550-$E550,"0.00")&amp;")"))</f>
        <v/>
      </c>
      <c r="H550">
        <f>IF($W550="","",SUMIFS(상세표[기록 시간외],상세표[사번키],INDEX(합계표[사번키],$W550),상세표[기록월],대상월키,상세표[반영월],"&lt;&gt;"&amp;대상월키))</f>
        <v/>
      </c>
      <c r="I550">
        <f>IF($W550="","",SUMIFS(상세표[기록 시간외],상세표[사번키],INDEX(합계표[사번키],$W550),상세표[기록월],"&lt;&gt;"&amp;대상월키,상세표[반영월],대상월키))</f>
        <v/>
      </c>
      <c r="J550">
        <f>IF($W550="","",SUMIFS(상세표[기록 시간외],상세표[사번키],INDEX(합계표[사번키],$W550),상세표[반영월],대상월키))</f>
        <v/>
      </c>
      <c r="K550">
        <f>IF($W550="","",IFERROR(INDEX(월별근무지표[적용 급여병원],MATCH(INDEX(합계표[사번키],$W550)&amp;"|"&amp;대상월키,월별근무지표[키],0))&amp;"",IF(COUNTIF(기관표[사번키],INDEX(합계표[사번키],$W550))+COUNTIF(월별근무지표[사번키],INDEX(합계표[사번키],$W550))&gt;0,IFERROR(INDEX(기관표[급여지급병원(기준월)],MATCH(INDEX(합계표[사번키],$W550)&amp;"|"&amp;대상월키,기관표[키],0))&amp;"","—"),"—")))</f>
        <v/>
      </c>
      <c r="L550">
        <f>IF($W550="","",IF(NOT(COUNTIF(기관표[사번키],INDEX(합계표[사번키],$W550))+COUNTIF(월별근무지표[사번키],INDEX(합계표[사번키],$W550))&gt;0),"기관명단에 없음(다른 병원으로 발송)",IF($K550="—","대상월 기관명단 없음(추가 필요)",IF($K550="서울병원","해당","비해당"))))</f>
        <v/>
      </c>
      <c r="M550">
        <f>IF($W550="","",SUMIFS(상세표[06~07시],상세표[사번키],INDEX(합계표[사번키],$W550),상세표[반영월],대상월키,상세표[반영 기관],"서울병원"))</f>
        <v/>
      </c>
      <c r="N550">
        <f>IF($W550="","",SUMIFS(상세표[07~18시],상세표[사번키],INDEX(합계표[사번키],$W550),상세표[반영월],대상월키,상세표[반영 기관],"서울병원"))</f>
        <v/>
      </c>
      <c r="O550">
        <f>IF($W550="","",SUMIFS(상세표[18~22시],상세표[사번키],INDEX(합계표[사번키],$W550),상세표[반영월],대상월키,상세표[반영 기관],"서울병원"))</f>
        <v/>
      </c>
      <c r="P550">
        <f>IF($W550="","",SUMIFS(상세표[22~06시],상세표[사번키],INDEX(합계표[사번키],$W550),상세표[반영월],대상월키,상세표[반영 기관],"서울병원"))</f>
        <v/>
      </c>
      <c r="Q550">
        <f>IF($W550="","",SUM($M550:$P550))</f>
        <v/>
      </c>
      <c r="R550">
        <f>IF($W550="","",COUNTIFS(상세표[사번키],INDEX(합계표[사번키],$W550),상세표[반영월],대상월키,상세표[야간당직],1,상세표[야간 구분],"평일"))</f>
        <v/>
      </c>
      <c r="S550" s="4">
        <f>IF($W550="","",COUNTIFS(상세표[사번키],INDEX(합계표[사번키],$W550),상세표[반영월],대상월키,상세표[야간당직],1,상세표[야간 구분],"휴일"))</f>
        <v/>
      </c>
      <c r="T550">
        <f>IF($W550="","",COUNTIFS(상세표[사번키],INDEX(합계표[사번키],$W550),상세표[반영월],대상월키,상세표[야간당직],1,상세표[야간 구분],"평일",상세표[반영 기관],"서울병원"))</f>
        <v/>
      </c>
      <c r="U550">
        <f>IF($W550="","",COUNTIFS(상세표[사번키],INDEX(합계표[사번키],$W550),상세표[반영월],대상월키,상세표[야간당직],1,상세표[야간 구분],"휴일",상세표[반영 기관],"서울병원"))</f>
        <v/>
      </c>
      <c r="V550">
        <f>IF($W550="","",IF(ISNUMBER(MATCH(INDEX(합계표[사번키],$W550)&amp;"|"&amp;대상월키,월별근무지표[키],0)),"직접 입력",IF($K550="—","—","기관명단")))</f>
        <v/>
      </c>
      <c r="W550">
        <f>IFERROR(MATCH(545,합계표[판정순번],0),"")</f>
        <v/>
      </c>
    </row>
    <row r="551">
      <c r="A551">
        <f>IF($W551="","",INDEX(합계표[사번],$W551)&amp;"")</f>
        <v/>
      </c>
      <c r="B551">
        <f>IF($W551="","",INDEX(합계표[성명],$W551)&amp;"")</f>
        <v/>
      </c>
      <c r="C551">
        <f>IF($W551="","",INDEX(합계표[부서],$W551)&amp;"")</f>
        <v/>
      </c>
      <c r="D551">
        <f>IF($W551="","",INDEX(합계표[직위(통합)],$W551)&amp;"")</f>
        <v/>
      </c>
      <c r="E551">
        <f>IF($W551="","",SUMIFS(합계표[시스템 합계],합계표[사번키],INDEX(합계표[사번키],$W551)))</f>
        <v/>
      </c>
      <c r="F551">
        <f>IF($W551="","",SUMIFS(상세표[기록 시간외],상세표[사번키],INDEX(합계표[사번키],$W551),상세표[기록월],대상월키))</f>
        <v/>
      </c>
      <c r="G551">
        <f>IF($W551="","",IF(ABS($E551-$F551)&lt;0.01,"일치","불일치(차이 "&amp;TEXT($F551-$E551,"0.00")&amp;")"))</f>
        <v/>
      </c>
      <c r="H551">
        <f>IF($W551="","",SUMIFS(상세표[기록 시간외],상세표[사번키],INDEX(합계표[사번키],$W551),상세표[기록월],대상월키,상세표[반영월],"&lt;&gt;"&amp;대상월키))</f>
        <v/>
      </c>
      <c r="I551">
        <f>IF($W551="","",SUMIFS(상세표[기록 시간외],상세표[사번키],INDEX(합계표[사번키],$W551),상세표[기록월],"&lt;&gt;"&amp;대상월키,상세표[반영월],대상월키))</f>
        <v/>
      </c>
      <c r="J551">
        <f>IF($W551="","",SUMIFS(상세표[기록 시간외],상세표[사번키],INDEX(합계표[사번키],$W551),상세표[반영월],대상월키))</f>
        <v/>
      </c>
      <c r="K551">
        <f>IF($W551="","",IFERROR(INDEX(월별근무지표[적용 급여병원],MATCH(INDEX(합계표[사번키],$W551)&amp;"|"&amp;대상월키,월별근무지표[키],0))&amp;"",IF(COUNTIF(기관표[사번키],INDEX(합계표[사번키],$W551))+COUNTIF(월별근무지표[사번키],INDEX(합계표[사번키],$W551))&gt;0,IFERROR(INDEX(기관표[급여지급병원(기준월)],MATCH(INDEX(합계표[사번키],$W551)&amp;"|"&amp;대상월키,기관표[키],0))&amp;"","—"),"—")))</f>
        <v/>
      </c>
      <c r="L551">
        <f>IF($W551="","",IF(NOT(COUNTIF(기관표[사번키],INDEX(합계표[사번키],$W551))+COUNTIF(월별근무지표[사번키],INDEX(합계표[사번키],$W551))&gt;0),"기관명단에 없음(다른 병원으로 발송)",IF($K551="—","대상월 기관명단 없음(추가 필요)",IF($K551="서울병원","해당","비해당"))))</f>
        <v/>
      </c>
      <c r="M551">
        <f>IF($W551="","",SUMIFS(상세표[06~07시],상세표[사번키],INDEX(합계표[사번키],$W551),상세표[반영월],대상월키,상세표[반영 기관],"서울병원"))</f>
        <v/>
      </c>
      <c r="N551">
        <f>IF($W551="","",SUMIFS(상세표[07~18시],상세표[사번키],INDEX(합계표[사번키],$W551),상세표[반영월],대상월키,상세표[반영 기관],"서울병원"))</f>
        <v/>
      </c>
      <c r="O551">
        <f>IF($W551="","",SUMIFS(상세표[18~22시],상세표[사번키],INDEX(합계표[사번키],$W551),상세표[반영월],대상월키,상세표[반영 기관],"서울병원"))</f>
        <v/>
      </c>
      <c r="P551">
        <f>IF($W551="","",SUMIFS(상세표[22~06시],상세표[사번키],INDEX(합계표[사번키],$W551),상세표[반영월],대상월키,상세표[반영 기관],"서울병원"))</f>
        <v/>
      </c>
      <c r="Q551">
        <f>IF($W551="","",SUM($M551:$P551))</f>
        <v/>
      </c>
      <c r="R551">
        <f>IF($W551="","",COUNTIFS(상세표[사번키],INDEX(합계표[사번키],$W551),상세표[반영월],대상월키,상세표[야간당직],1,상세표[야간 구분],"평일"))</f>
        <v/>
      </c>
      <c r="S551" s="4">
        <f>IF($W551="","",COUNTIFS(상세표[사번키],INDEX(합계표[사번키],$W551),상세표[반영월],대상월키,상세표[야간당직],1,상세표[야간 구분],"휴일"))</f>
        <v/>
      </c>
      <c r="T551">
        <f>IF($W551="","",COUNTIFS(상세표[사번키],INDEX(합계표[사번키],$W551),상세표[반영월],대상월키,상세표[야간당직],1,상세표[야간 구분],"평일",상세표[반영 기관],"서울병원"))</f>
        <v/>
      </c>
      <c r="U551">
        <f>IF($W551="","",COUNTIFS(상세표[사번키],INDEX(합계표[사번키],$W551),상세표[반영월],대상월키,상세표[야간당직],1,상세표[야간 구분],"휴일",상세표[반영 기관],"서울병원"))</f>
        <v/>
      </c>
      <c r="V551">
        <f>IF($W551="","",IF(ISNUMBER(MATCH(INDEX(합계표[사번키],$W551)&amp;"|"&amp;대상월키,월별근무지표[키],0)),"직접 입력",IF($K551="—","—","기관명단")))</f>
        <v/>
      </c>
      <c r="W551">
        <f>IFERROR(MATCH(546,합계표[판정순번],0),"")</f>
        <v/>
      </c>
    </row>
    <row r="552">
      <c r="A552">
        <f>IF($W552="","",INDEX(합계표[사번],$W552)&amp;"")</f>
        <v/>
      </c>
      <c r="B552">
        <f>IF($W552="","",INDEX(합계표[성명],$W552)&amp;"")</f>
        <v/>
      </c>
      <c r="C552">
        <f>IF($W552="","",INDEX(합계표[부서],$W552)&amp;"")</f>
        <v/>
      </c>
      <c r="D552">
        <f>IF($W552="","",INDEX(합계표[직위(통합)],$W552)&amp;"")</f>
        <v/>
      </c>
      <c r="E552">
        <f>IF($W552="","",SUMIFS(합계표[시스템 합계],합계표[사번키],INDEX(합계표[사번키],$W552)))</f>
        <v/>
      </c>
      <c r="F552">
        <f>IF($W552="","",SUMIFS(상세표[기록 시간외],상세표[사번키],INDEX(합계표[사번키],$W552),상세표[기록월],대상월키))</f>
        <v/>
      </c>
      <c r="G552">
        <f>IF($W552="","",IF(ABS($E552-$F552)&lt;0.01,"일치","불일치(차이 "&amp;TEXT($F552-$E552,"0.00")&amp;")"))</f>
        <v/>
      </c>
      <c r="H552">
        <f>IF($W552="","",SUMIFS(상세표[기록 시간외],상세표[사번키],INDEX(합계표[사번키],$W552),상세표[기록월],대상월키,상세표[반영월],"&lt;&gt;"&amp;대상월키))</f>
        <v/>
      </c>
      <c r="I552">
        <f>IF($W552="","",SUMIFS(상세표[기록 시간외],상세표[사번키],INDEX(합계표[사번키],$W552),상세표[기록월],"&lt;&gt;"&amp;대상월키,상세표[반영월],대상월키))</f>
        <v/>
      </c>
      <c r="J552">
        <f>IF($W552="","",SUMIFS(상세표[기록 시간외],상세표[사번키],INDEX(합계표[사번키],$W552),상세표[반영월],대상월키))</f>
        <v/>
      </c>
      <c r="K552">
        <f>IF($W552="","",IFERROR(INDEX(월별근무지표[적용 급여병원],MATCH(INDEX(합계표[사번키],$W552)&amp;"|"&amp;대상월키,월별근무지표[키],0))&amp;"",IF(COUNTIF(기관표[사번키],INDEX(합계표[사번키],$W552))+COUNTIF(월별근무지표[사번키],INDEX(합계표[사번키],$W552))&gt;0,IFERROR(INDEX(기관표[급여지급병원(기준월)],MATCH(INDEX(합계표[사번키],$W552)&amp;"|"&amp;대상월키,기관표[키],0))&amp;"","—"),"—")))</f>
        <v/>
      </c>
      <c r="L552">
        <f>IF($W552="","",IF(NOT(COUNTIF(기관표[사번키],INDEX(합계표[사번키],$W552))+COUNTIF(월별근무지표[사번키],INDEX(합계표[사번키],$W552))&gt;0),"기관명단에 없음(다른 병원으로 발송)",IF($K552="—","대상월 기관명단 없음(추가 필요)",IF($K552="서울병원","해당","비해당"))))</f>
        <v/>
      </c>
      <c r="M552">
        <f>IF($W552="","",SUMIFS(상세표[06~07시],상세표[사번키],INDEX(합계표[사번키],$W552),상세표[반영월],대상월키,상세표[반영 기관],"서울병원"))</f>
        <v/>
      </c>
      <c r="N552">
        <f>IF($W552="","",SUMIFS(상세표[07~18시],상세표[사번키],INDEX(합계표[사번키],$W552),상세표[반영월],대상월키,상세표[반영 기관],"서울병원"))</f>
        <v/>
      </c>
      <c r="O552">
        <f>IF($W552="","",SUMIFS(상세표[18~22시],상세표[사번키],INDEX(합계표[사번키],$W552),상세표[반영월],대상월키,상세표[반영 기관],"서울병원"))</f>
        <v/>
      </c>
      <c r="P552">
        <f>IF($W552="","",SUMIFS(상세표[22~06시],상세표[사번키],INDEX(합계표[사번키],$W552),상세표[반영월],대상월키,상세표[반영 기관],"서울병원"))</f>
        <v/>
      </c>
      <c r="Q552">
        <f>IF($W552="","",SUM($M552:$P552))</f>
        <v/>
      </c>
      <c r="R552">
        <f>IF($W552="","",COUNTIFS(상세표[사번키],INDEX(합계표[사번키],$W552),상세표[반영월],대상월키,상세표[야간당직],1,상세표[야간 구분],"평일"))</f>
        <v/>
      </c>
      <c r="S552" s="4">
        <f>IF($W552="","",COUNTIFS(상세표[사번키],INDEX(합계표[사번키],$W552),상세표[반영월],대상월키,상세표[야간당직],1,상세표[야간 구분],"휴일"))</f>
        <v/>
      </c>
      <c r="T552">
        <f>IF($W552="","",COUNTIFS(상세표[사번키],INDEX(합계표[사번키],$W552),상세표[반영월],대상월키,상세표[야간당직],1,상세표[야간 구분],"평일",상세표[반영 기관],"서울병원"))</f>
        <v/>
      </c>
      <c r="U552">
        <f>IF($W552="","",COUNTIFS(상세표[사번키],INDEX(합계표[사번키],$W552),상세표[반영월],대상월키,상세표[야간당직],1,상세표[야간 구분],"휴일",상세표[반영 기관],"서울병원"))</f>
        <v/>
      </c>
      <c r="V552">
        <f>IF($W552="","",IF(ISNUMBER(MATCH(INDEX(합계표[사번키],$W552)&amp;"|"&amp;대상월키,월별근무지표[키],0)),"직접 입력",IF($K552="—","—","기관명단")))</f>
        <v/>
      </c>
      <c r="W552">
        <f>IFERROR(MATCH(547,합계표[판정순번],0),"")</f>
        <v/>
      </c>
    </row>
    <row r="553">
      <c r="A553">
        <f>IF($W553="","",INDEX(합계표[사번],$W553)&amp;"")</f>
        <v/>
      </c>
      <c r="B553">
        <f>IF($W553="","",INDEX(합계표[성명],$W553)&amp;"")</f>
        <v/>
      </c>
      <c r="C553">
        <f>IF($W553="","",INDEX(합계표[부서],$W553)&amp;"")</f>
        <v/>
      </c>
      <c r="D553">
        <f>IF($W553="","",INDEX(합계표[직위(통합)],$W553)&amp;"")</f>
        <v/>
      </c>
      <c r="E553">
        <f>IF($W553="","",SUMIFS(합계표[시스템 합계],합계표[사번키],INDEX(합계표[사번키],$W553)))</f>
        <v/>
      </c>
      <c r="F553">
        <f>IF($W553="","",SUMIFS(상세표[기록 시간외],상세표[사번키],INDEX(합계표[사번키],$W553),상세표[기록월],대상월키))</f>
        <v/>
      </c>
      <c r="G553">
        <f>IF($W553="","",IF(ABS($E553-$F553)&lt;0.01,"일치","불일치(차이 "&amp;TEXT($F553-$E553,"0.00")&amp;")"))</f>
        <v/>
      </c>
      <c r="H553">
        <f>IF($W553="","",SUMIFS(상세표[기록 시간외],상세표[사번키],INDEX(합계표[사번키],$W553),상세표[기록월],대상월키,상세표[반영월],"&lt;&gt;"&amp;대상월키))</f>
        <v/>
      </c>
      <c r="I553">
        <f>IF($W553="","",SUMIFS(상세표[기록 시간외],상세표[사번키],INDEX(합계표[사번키],$W553),상세표[기록월],"&lt;&gt;"&amp;대상월키,상세표[반영월],대상월키))</f>
        <v/>
      </c>
      <c r="J553">
        <f>IF($W553="","",SUMIFS(상세표[기록 시간외],상세표[사번키],INDEX(합계표[사번키],$W553),상세표[반영월],대상월키))</f>
        <v/>
      </c>
      <c r="K553">
        <f>IF($W553="","",IFERROR(INDEX(월별근무지표[적용 급여병원],MATCH(INDEX(합계표[사번키],$W553)&amp;"|"&amp;대상월키,월별근무지표[키],0))&amp;"",IF(COUNTIF(기관표[사번키],INDEX(합계표[사번키],$W553))+COUNTIF(월별근무지표[사번키],INDEX(합계표[사번키],$W553))&gt;0,IFERROR(INDEX(기관표[급여지급병원(기준월)],MATCH(INDEX(합계표[사번키],$W553)&amp;"|"&amp;대상월키,기관표[키],0))&amp;"","—"),"—")))</f>
        <v/>
      </c>
      <c r="L553">
        <f>IF($W553="","",IF(NOT(COUNTIF(기관표[사번키],INDEX(합계표[사번키],$W553))+COUNTIF(월별근무지표[사번키],INDEX(합계표[사번키],$W553))&gt;0),"기관명단에 없음(다른 병원으로 발송)",IF($K553="—","대상월 기관명단 없음(추가 필요)",IF($K553="서울병원","해당","비해당"))))</f>
        <v/>
      </c>
      <c r="M553">
        <f>IF($W553="","",SUMIFS(상세표[06~07시],상세표[사번키],INDEX(합계표[사번키],$W553),상세표[반영월],대상월키,상세표[반영 기관],"서울병원"))</f>
        <v/>
      </c>
      <c r="N553">
        <f>IF($W553="","",SUMIFS(상세표[07~18시],상세표[사번키],INDEX(합계표[사번키],$W553),상세표[반영월],대상월키,상세표[반영 기관],"서울병원"))</f>
        <v/>
      </c>
      <c r="O553">
        <f>IF($W553="","",SUMIFS(상세표[18~22시],상세표[사번키],INDEX(합계표[사번키],$W553),상세표[반영월],대상월키,상세표[반영 기관],"서울병원"))</f>
        <v/>
      </c>
      <c r="P553">
        <f>IF($W553="","",SUMIFS(상세표[22~06시],상세표[사번키],INDEX(합계표[사번키],$W553),상세표[반영월],대상월키,상세표[반영 기관],"서울병원"))</f>
        <v/>
      </c>
      <c r="Q553">
        <f>IF($W553="","",SUM($M553:$P553))</f>
        <v/>
      </c>
      <c r="R553">
        <f>IF($W553="","",COUNTIFS(상세표[사번키],INDEX(합계표[사번키],$W553),상세표[반영월],대상월키,상세표[야간당직],1,상세표[야간 구분],"평일"))</f>
        <v/>
      </c>
      <c r="S553" s="4">
        <f>IF($W553="","",COUNTIFS(상세표[사번키],INDEX(합계표[사번키],$W553),상세표[반영월],대상월키,상세표[야간당직],1,상세표[야간 구분],"휴일"))</f>
        <v/>
      </c>
      <c r="T553">
        <f>IF($W553="","",COUNTIFS(상세표[사번키],INDEX(합계표[사번키],$W553),상세표[반영월],대상월키,상세표[야간당직],1,상세표[야간 구분],"평일",상세표[반영 기관],"서울병원"))</f>
        <v/>
      </c>
      <c r="U553">
        <f>IF($W553="","",COUNTIFS(상세표[사번키],INDEX(합계표[사번키],$W553),상세표[반영월],대상월키,상세표[야간당직],1,상세표[야간 구분],"휴일",상세표[반영 기관],"서울병원"))</f>
        <v/>
      </c>
      <c r="V553">
        <f>IF($W553="","",IF(ISNUMBER(MATCH(INDEX(합계표[사번키],$W553)&amp;"|"&amp;대상월키,월별근무지표[키],0)),"직접 입력",IF($K553="—","—","기관명단")))</f>
        <v/>
      </c>
      <c r="W553">
        <f>IFERROR(MATCH(548,합계표[판정순번],0),"")</f>
        <v/>
      </c>
    </row>
    <row r="554">
      <c r="A554">
        <f>IF($W554="","",INDEX(합계표[사번],$W554)&amp;"")</f>
        <v/>
      </c>
      <c r="B554">
        <f>IF($W554="","",INDEX(합계표[성명],$W554)&amp;"")</f>
        <v/>
      </c>
      <c r="C554">
        <f>IF($W554="","",INDEX(합계표[부서],$W554)&amp;"")</f>
        <v/>
      </c>
      <c r="D554">
        <f>IF($W554="","",INDEX(합계표[직위(통합)],$W554)&amp;"")</f>
        <v/>
      </c>
      <c r="E554">
        <f>IF($W554="","",SUMIFS(합계표[시스템 합계],합계표[사번키],INDEX(합계표[사번키],$W554)))</f>
        <v/>
      </c>
      <c r="F554">
        <f>IF($W554="","",SUMIFS(상세표[기록 시간외],상세표[사번키],INDEX(합계표[사번키],$W554),상세표[기록월],대상월키))</f>
        <v/>
      </c>
      <c r="G554">
        <f>IF($W554="","",IF(ABS($E554-$F554)&lt;0.01,"일치","불일치(차이 "&amp;TEXT($F554-$E554,"0.00")&amp;")"))</f>
        <v/>
      </c>
      <c r="H554">
        <f>IF($W554="","",SUMIFS(상세표[기록 시간외],상세표[사번키],INDEX(합계표[사번키],$W554),상세표[기록월],대상월키,상세표[반영월],"&lt;&gt;"&amp;대상월키))</f>
        <v/>
      </c>
      <c r="I554">
        <f>IF($W554="","",SUMIFS(상세표[기록 시간외],상세표[사번키],INDEX(합계표[사번키],$W554),상세표[기록월],"&lt;&gt;"&amp;대상월키,상세표[반영월],대상월키))</f>
        <v/>
      </c>
      <c r="J554">
        <f>IF($W554="","",SUMIFS(상세표[기록 시간외],상세표[사번키],INDEX(합계표[사번키],$W554),상세표[반영월],대상월키))</f>
        <v/>
      </c>
      <c r="K554">
        <f>IF($W554="","",IFERROR(INDEX(월별근무지표[적용 급여병원],MATCH(INDEX(합계표[사번키],$W554)&amp;"|"&amp;대상월키,월별근무지표[키],0))&amp;"",IF(COUNTIF(기관표[사번키],INDEX(합계표[사번키],$W554))+COUNTIF(월별근무지표[사번키],INDEX(합계표[사번키],$W554))&gt;0,IFERROR(INDEX(기관표[급여지급병원(기준월)],MATCH(INDEX(합계표[사번키],$W554)&amp;"|"&amp;대상월키,기관표[키],0))&amp;"","—"),"—")))</f>
        <v/>
      </c>
      <c r="L554">
        <f>IF($W554="","",IF(NOT(COUNTIF(기관표[사번키],INDEX(합계표[사번키],$W554))+COUNTIF(월별근무지표[사번키],INDEX(합계표[사번키],$W554))&gt;0),"기관명단에 없음(다른 병원으로 발송)",IF($K554="—","대상월 기관명단 없음(추가 필요)",IF($K554="서울병원","해당","비해당"))))</f>
        <v/>
      </c>
      <c r="M554">
        <f>IF($W554="","",SUMIFS(상세표[06~07시],상세표[사번키],INDEX(합계표[사번키],$W554),상세표[반영월],대상월키,상세표[반영 기관],"서울병원"))</f>
        <v/>
      </c>
      <c r="N554">
        <f>IF($W554="","",SUMIFS(상세표[07~18시],상세표[사번키],INDEX(합계표[사번키],$W554),상세표[반영월],대상월키,상세표[반영 기관],"서울병원"))</f>
        <v/>
      </c>
      <c r="O554">
        <f>IF($W554="","",SUMIFS(상세표[18~22시],상세표[사번키],INDEX(합계표[사번키],$W554),상세표[반영월],대상월키,상세표[반영 기관],"서울병원"))</f>
        <v/>
      </c>
      <c r="P554">
        <f>IF($W554="","",SUMIFS(상세표[22~06시],상세표[사번키],INDEX(합계표[사번키],$W554),상세표[반영월],대상월키,상세표[반영 기관],"서울병원"))</f>
        <v/>
      </c>
      <c r="Q554">
        <f>IF($W554="","",SUM($M554:$P554))</f>
        <v/>
      </c>
      <c r="R554">
        <f>IF($W554="","",COUNTIFS(상세표[사번키],INDEX(합계표[사번키],$W554),상세표[반영월],대상월키,상세표[야간당직],1,상세표[야간 구분],"평일"))</f>
        <v/>
      </c>
      <c r="S554" s="4">
        <f>IF($W554="","",COUNTIFS(상세표[사번키],INDEX(합계표[사번키],$W554),상세표[반영월],대상월키,상세표[야간당직],1,상세표[야간 구분],"휴일"))</f>
        <v/>
      </c>
      <c r="T554">
        <f>IF($W554="","",COUNTIFS(상세표[사번키],INDEX(합계표[사번키],$W554),상세표[반영월],대상월키,상세표[야간당직],1,상세표[야간 구분],"평일",상세표[반영 기관],"서울병원"))</f>
        <v/>
      </c>
      <c r="U554">
        <f>IF($W554="","",COUNTIFS(상세표[사번키],INDEX(합계표[사번키],$W554),상세표[반영월],대상월키,상세표[야간당직],1,상세표[야간 구분],"휴일",상세표[반영 기관],"서울병원"))</f>
        <v/>
      </c>
      <c r="V554">
        <f>IF($W554="","",IF(ISNUMBER(MATCH(INDEX(합계표[사번키],$W554)&amp;"|"&amp;대상월키,월별근무지표[키],0)),"직접 입력",IF($K554="—","—","기관명단")))</f>
        <v/>
      </c>
      <c r="W554">
        <f>IFERROR(MATCH(549,합계표[판정순번],0),"")</f>
        <v/>
      </c>
    </row>
    <row r="555">
      <c r="A555">
        <f>IF($W555="","",INDEX(합계표[사번],$W555)&amp;"")</f>
        <v/>
      </c>
      <c r="B555">
        <f>IF($W555="","",INDEX(합계표[성명],$W555)&amp;"")</f>
        <v/>
      </c>
      <c r="C555">
        <f>IF($W555="","",INDEX(합계표[부서],$W555)&amp;"")</f>
        <v/>
      </c>
      <c r="D555">
        <f>IF($W555="","",INDEX(합계표[직위(통합)],$W555)&amp;"")</f>
        <v/>
      </c>
      <c r="E555">
        <f>IF($W555="","",SUMIFS(합계표[시스템 합계],합계표[사번키],INDEX(합계표[사번키],$W555)))</f>
        <v/>
      </c>
      <c r="F555">
        <f>IF($W555="","",SUMIFS(상세표[기록 시간외],상세표[사번키],INDEX(합계표[사번키],$W555),상세표[기록월],대상월키))</f>
        <v/>
      </c>
      <c r="G555">
        <f>IF($W555="","",IF(ABS($E555-$F555)&lt;0.01,"일치","불일치(차이 "&amp;TEXT($F555-$E555,"0.00")&amp;")"))</f>
        <v/>
      </c>
      <c r="H555">
        <f>IF($W555="","",SUMIFS(상세표[기록 시간외],상세표[사번키],INDEX(합계표[사번키],$W555),상세표[기록월],대상월키,상세표[반영월],"&lt;&gt;"&amp;대상월키))</f>
        <v/>
      </c>
      <c r="I555">
        <f>IF($W555="","",SUMIFS(상세표[기록 시간외],상세표[사번키],INDEX(합계표[사번키],$W555),상세표[기록월],"&lt;&gt;"&amp;대상월키,상세표[반영월],대상월키))</f>
        <v/>
      </c>
      <c r="J555">
        <f>IF($W555="","",SUMIFS(상세표[기록 시간외],상세표[사번키],INDEX(합계표[사번키],$W555),상세표[반영월],대상월키))</f>
        <v/>
      </c>
      <c r="K555">
        <f>IF($W555="","",IFERROR(INDEX(월별근무지표[적용 급여병원],MATCH(INDEX(합계표[사번키],$W555)&amp;"|"&amp;대상월키,월별근무지표[키],0))&amp;"",IF(COUNTIF(기관표[사번키],INDEX(합계표[사번키],$W555))+COUNTIF(월별근무지표[사번키],INDEX(합계표[사번키],$W555))&gt;0,IFERROR(INDEX(기관표[급여지급병원(기준월)],MATCH(INDEX(합계표[사번키],$W555)&amp;"|"&amp;대상월키,기관표[키],0))&amp;"","—"),"—")))</f>
        <v/>
      </c>
      <c r="L555">
        <f>IF($W555="","",IF(NOT(COUNTIF(기관표[사번키],INDEX(합계표[사번키],$W555))+COUNTIF(월별근무지표[사번키],INDEX(합계표[사번키],$W555))&gt;0),"기관명단에 없음(다른 병원으로 발송)",IF($K555="—","대상월 기관명단 없음(추가 필요)",IF($K555="서울병원","해당","비해당"))))</f>
        <v/>
      </c>
      <c r="M555">
        <f>IF($W555="","",SUMIFS(상세표[06~07시],상세표[사번키],INDEX(합계표[사번키],$W555),상세표[반영월],대상월키,상세표[반영 기관],"서울병원"))</f>
        <v/>
      </c>
      <c r="N555">
        <f>IF($W555="","",SUMIFS(상세표[07~18시],상세표[사번키],INDEX(합계표[사번키],$W555),상세표[반영월],대상월키,상세표[반영 기관],"서울병원"))</f>
        <v/>
      </c>
      <c r="O555">
        <f>IF($W555="","",SUMIFS(상세표[18~22시],상세표[사번키],INDEX(합계표[사번키],$W555),상세표[반영월],대상월키,상세표[반영 기관],"서울병원"))</f>
        <v/>
      </c>
      <c r="P555">
        <f>IF($W555="","",SUMIFS(상세표[22~06시],상세표[사번키],INDEX(합계표[사번키],$W555),상세표[반영월],대상월키,상세표[반영 기관],"서울병원"))</f>
        <v/>
      </c>
      <c r="Q555">
        <f>IF($W555="","",SUM($M555:$P555))</f>
        <v/>
      </c>
      <c r="R555">
        <f>IF($W555="","",COUNTIFS(상세표[사번키],INDEX(합계표[사번키],$W555),상세표[반영월],대상월키,상세표[야간당직],1,상세표[야간 구분],"평일"))</f>
        <v/>
      </c>
      <c r="S555" s="4">
        <f>IF($W555="","",COUNTIFS(상세표[사번키],INDEX(합계표[사번키],$W555),상세표[반영월],대상월키,상세표[야간당직],1,상세표[야간 구분],"휴일"))</f>
        <v/>
      </c>
      <c r="T555">
        <f>IF($W555="","",COUNTIFS(상세표[사번키],INDEX(합계표[사번키],$W555),상세표[반영월],대상월키,상세표[야간당직],1,상세표[야간 구분],"평일",상세표[반영 기관],"서울병원"))</f>
        <v/>
      </c>
      <c r="U555">
        <f>IF($W555="","",COUNTIFS(상세표[사번키],INDEX(합계표[사번키],$W555),상세표[반영월],대상월키,상세표[야간당직],1,상세표[야간 구분],"휴일",상세표[반영 기관],"서울병원"))</f>
        <v/>
      </c>
      <c r="V555">
        <f>IF($W555="","",IF(ISNUMBER(MATCH(INDEX(합계표[사번키],$W555)&amp;"|"&amp;대상월키,월별근무지표[키],0)),"직접 입력",IF($K555="—","—","기관명단")))</f>
        <v/>
      </c>
      <c r="W555">
        <f>IFERROR(MATCH(550,합계표[판정순번],0),"")</f>
        <v/>
      </c>
    </row>
    <row r="556">
      <c r="A556">
        <f>IF($W556="","",INDEX(합계표[사번],$W556)&amp;"")</f>
        <v/>
      </c>
      <c r="B556">
        <f>IF($W556="","",INDEX(합계표[성명],$W556)&amp;"")</f>
        <v/>
      </c>
      <c r="C556">
        <f>IF($W556="","",INDEX(합계표[부서],$W556)&amp;"")</f>
        <v/>
      </c>
      <c r="D556">
        <f>IF($W556="","",INDEX(합계표[직위(통합)],$W556)&amp;"")</f>
        <v/>
      </c>
      <c r="E556">
        <f>IF($W556="","",SUMIFS(합계표[시스템 합계],합계표[사번키],INDEX(합계표[사번키],$W556)))</f>
        <v/>
      </c>
      <c r="F556">
        <f>IF($W556="","",SUMIFS(상세표[기록 시간외],상세표[사번키],INDEX(합계표[사번키],$W556),상세표[기록월],대상월키))</f>
        <v/>
      </c>
      <c r="G556">
        <f>IF($W556="","",IF(ABS($E556-$F556)&lt;0.01,"일치","불일치(차이 "&amp;TEXT($F556-$E556,"0.00")&amp;")"))</f>
        <v/>
      </c>
      <c r="H556">
        <f>IF($W556="","",SUMIFS(상세표[기록 시간외],상세표[사번키],INDEX(합계표[사번키],$W556),상세표[기록월],대상월키,상세표[반영월],"&lt;&gt;"&amp;대상월키))</f>
        <v/>
      </c>
      <c r="I556">
        <f>IF($W556="","",SUMIFS(상세표[기록 시간외],상세표[사번키],INDEX(합계표[사번키],$W556),상세표[기록월],"&lt;&gt;"&amp;대상월키,상세표[반영월],대상월키))</f>
        <v/>
      </c>
      <c r="J556">
        <f>IF($W556="","",SUMIFS(상세표[기록 시간외],상세표[사번키],INDEX(합계표[사번키],$W556),상세표[반영월],대상월키))</f>
        <v/>
      </c>
      <c r="K556">
        <f>IF($W556="","",IFERROR(INDEX(월별근무지표[적용 급여병원],MATCH(INDEX(합계표[사번키],$W556)&amp;"|"&amp;대상월키,월별근무지표[키],0))&amp;"",IF(COUNTIF(기관표[사번키],INDEX(합계표[사번키],$W556))+COUNTIF(월별근무지표[사번키],INDEX(합계표[사번키],$W556))&gt;0,IFERROR(INDEX(기관표[급여지급병원(기준월)],MATCH(INDEX(합계표[사번키],$W556)&amp;"|"&amp;대상월키,기관표[키],0))&amp;"","—"),"—")))</f>
        <v/>
      </c>
      <c r="L556">
        <f>IF($W556="","",IF(NOT(COUNTIF(기관표[사번키],INDEX(합계표[사번키],$W556))+COUNTIF(월별근무지표[사번키],INDEX(합계표[사번키],$W556))&gt;0),"기관명단에 없음(다른 병원으로 발송)",IF($K556="—","대상월 기관명단 없음(추가 필요)",IF($K556="서울병원","해당","비해당"))))</f>
        <v/>
      </c>
      <c r="M556">
        <f>IF($W556="","",SUMIFS(상세표[06~07시],상세표[사번키],INDEX(합계표[사번키],$W556),상세표[반영월],대상월키,상세표[반영 기관],"서울병원"))</f>
        <v/>
      </c>
      <c r="N556">
        <f>IF($W556="","",SUMIFS(상세표[07~18시],상세표[사번키],INDEX(합계표[사번키],$W556),상세표[반영월],대상월키,상세표[반영 기관],"서울병원"))</f>
        <v/>
      </c>
      <c r="O556">
        <f>IF($W556="","",SUMIFS(상세표[18~22시],상세표[사번키],INDEX(합계표[사번키],$W556),상세표[반영월],대상월키,상세표[반영 기관],"서울병원"))</f>
        <v/>
      </c>
      <c r="P556">
        <f>IF($W556="","",SUMIFS(상세표[22~06시],상세표[사번키],INDEX(합계표[사번키],$W556),상세표[반영월],대상월키,상세표[반영 기관],"서울병원"))</f>
        <v/>
      </c>
      <c r="Q556">
        <f>IF($W556="","",SUM($M556:$P556))</f>
        <v/>
      </c>
      <c r="R556">
        <f>IF($W556="","",COUNTIFS(상세표[사번키],INDEX(합계표[사번키],$W556),상세표[반영월],대상월키,상세표[야간당직],1,상세표[야간 구분],"평일"))</f>
        <v/>
      </c>
      <c r="S556" s="4">
        <f>IF($W556="","",COUNTIFS(상세표[사번키],INDEX(합계표[사번키],$W556),상세표[반영월],대상월키,상세표[야간당직],1,상세표[야간 구분],"휴일"))</f>
        <v/>
      </c>
      <c r="T556">
        <f>IF($W556="","",COUNTIFS(상세표[사번키],INDEX(합계표[사번키],$W556),상세표[반영월],대상월키,상세표[야간당직],1,상세표[야간 구분],"평일",상세표[반영 기관],"서울병원"))</f>
        <v/>
      </c>
      <c r="U556">
        <f>IF($W556="","",COUNTIFS(상세표[사번키],INDEX(합계표[사번키],$W556),상세표[반영월],대상월키,상세표[야간당직],1,상세표[야간 구분],"휴일",상세표[반영 기관],"서울병원"))</f>
        <v/>
      </c>
      <c r="V556">
        <f>IF($W556="","",IF(ISNUMBER(MATCH(INDEX(합계표[사번키],$W556)&amp;"|"&amp;대상월키,월별근무지표[키],0)),"직접 입력",IF($K556="—","—","기관명단")))</f>
        <v/>
      </c>
      <c r="W556">
        <f>IFERROR(MATCH(551,합계표[판정순번],0),"")</f>
        <v/>
      </c>
    </row>
    <row r="557">
      <c r="A557">
        <f>IF($W557="","",INDEX(합계표[사번],$W557)&amp;"")</f>
        <v/>
      </c>
      <c r="B557">
        <f>IF($W557="","",INDEX(합계표[성명],$W557)&amp;"")</f>
        <v/>
      </c>
      <c r="C557">
        <f>IF($W557="","",INDEX(합계표[부서],$W557)&amp;"")</f>
        <v/>
      </c>
      <c r="D557">
        <f>IF($W557="","",INDEX(합계표[직위(통합)],$W557)&amp;"")</f>
        <v/>
      </c>
      <c r="E557">
        <f>IF($W557="","",SUMIFS(합계표[시스템 합계],합계표[사번키],INDEX(합계표[사번키],$W557)))</f>
        <v/>
      </c>
      <c r="F557">
        <f>IF($W557="","",SUMIFS(상세표[기록 시간외],상세표[사번키],INDEX(합계표[사번키],$W557),상세표[기록월],대상월키))</f>
        <v/>
      </c>
      <c r="G557">
        <f>IF($W557="","",IF(ABS($E557-$F557)&lt;0.01,"일치","불일치(차이 "&amp;TEXT($F557-$E557,"0.00")&amp;")"))</f>
        <v/>
      </c>
      <c r="H557">
        <f>IF($W557="","",SUMIFS(상세표[기록 시간외],상세표[사번키],INDEX(합계표[사번키],$W557),상세표[기록월],대상월키,상세표[반영월],"&lt;&gt;"&amp;대상월키))</f>
        <v/>
      </c>
      <c r="I557">
        <f>IF($W557="","",SUMIFS(상세표[기록 시간외],상세표[사번키],INDEX(합계표[사번키],$W557),상세표[기록월],"&lt;&gt;"&amp;대상월키,상세표[반영월],대상월키))</f>
        <v/>
      </c>
      <c r="J557">
        <f>IF($W557="","",SUMIFS(상세표[기록 시간외],상세표[사번키],INDEX(합계표[사번키],$W557),상세표[반영월],대상월키))</f>
        <v/>
      </c>
      <c r="K557">
        <f>IF($W557="","",IFERROR(INDEX(월별근무지표[적용 급여병원],MATCH(INDEX(합계표[사번키],$W557)&amp;"|"&amp;대상월키,월별근무지표[키],0))&amp;"",IF(COUNTIF(기관표[사번키],INDEX(합계표[사번키],$W557))+COUNTIF(월별근무지표[사번키],INDEX(합계표[사번키],$W557))&gt;0,IFERROR(INDEX(기관표[급여지급병원(기준월)],MATCH(INDEX(합계표[사번키],$W557)&amp;"|"&amp;대상월키,기관표[키],0))&amp;"","—"),"—")))</f>
        <v/>
      </c>
      <c r="L557">
        <f>IF($W557="","",IF(NOT(COUNTIF(기관표[사번키],INDEX(합계표[사번키],$W557))+COUNTIF(월별근무지표[사번키],INDEX(합계표[사번키],$W557))&gt;0),"기관명단에 없음(다른 병원으로 발송)",IF($K557="—","대상월 기관명단 없음(추가 필요)",IF($K557="서울병원","해당","비해당"))))</f>
        <v/>
      </c>
      <c r="M557">
        <f>IF($W557="","",SUMIFS(상세표[06~07시],상세표[사번키],INDEX(합계표[사번키],$W557),상세표[반영월],대상월키,상세표[반영 기관],"서울병원"))</f>
        <v/>
      </c>
      <c r="N557">
        <f>IF($W557="","",SUMIFS(상세표[07~18시],상세표[사번키],INDEX(합계표[사번키],$W557),상세표[반영월],대상월키,상세표[반영 기관],"서울병원"))</f>
        <v/>
      </c>
      <c r="O557">
        <f>IF($W557="","",SUMIFS(상세표[18~22시],상세표[사번키],INDEX(합계표[사번키],$W557),상세표[반영월],대상월키,상세표[반영 기관],"서울병원"))</f>
        <v/>
      </c>
      <c r="P557">
        <f>IF($W557="","",SUMIFS(상세표[22~06시],상세표[사번키],INDEX(합계표[사번키],$W557),상세표[반영월],대상월키,상세표[반영 기관],"서울병원"))</f>
        <v/>
      </c>
      <c r="Q557">
        <f>IF($W557="","",SUM($M557:$P557))</f>
        <v/>
      </c>
      <c r="R557">
        <f>IF($W557="","",COUNTIFS(상세표[사번키],INDEX(합계표[사번키],$W557),상세표[반영월],대상월키,상세표[야간당직],1,상세표[야간 구분],"평일"))</f>
        <v/>
      </c>
      <c r="S557" s="4">
        <f>IF($W557="","",COUNTIFS(상세표[사번키],INDEX(합계표[사번키],$W557),상세표[반영월],대상월키,상세표[야간당직],1,상세표[야간 구분],"휴일"))</f>
        <v/>
      </c>
      <c r="T557">
        <f>IF($W557="","",COUNTIFS(상세표[사번키],INDEX(합계표[사번키],$W557),상세표[반영월],대상월키,상세표[야간당직],1,상세표[야간 구분],"평일",상세표[반영 기관],"서울병원"))</f>
        <v/>
      </c>
      <c r="U557">
        <f>IF($W557="","",COUNTIFS(상세표[사번키],INDEX(합계표[사번키],$W557),상세표[반영월],대상월키,상세표[야간당직],1,상세표[야간 구분],"휴일",상세표[반영 기관],"서울병원"))</f>
        <v/>
      </c>
      <c r="V557">
        <f>IF($W557="","",IF(ISNUMBER(MATCH(INDEX(합계표[사번키],$W557)&amp;"|"&amp;대상월키,월별근무지표[키],0)),"직접 입력",IF($K557="—","—","기관명단")))</f>
        <v/>
      </c>
      <c r="W557">
        <f>IFERROR(MATCH(552,합계표[판정순번],0),"")</f>
        <v/>
      </c>
    </row>
    <row r="558">
      <c r="A558">
        <f>IF($W558="","",INDEX(합계표[사번],$W558)&amp;"")</f>
        <v/>
      </c>
      <c r="B558">
        <f>IF($W558="","",INDEX(합계표[성명],$W558)&amp;"")</f>
        <v/>
      </c>
      <c r="C558">
        <f>IF($W558="","",INDEX(합계표[부서],$W558)&amp;"")</f>
        <v/>
      </c>
      <c r="D558">
        <f>IF($W558="","",INDEX(합계표[직위(통합)],$W558)&amp;"")</f>
        <v/>
      </c>
      <c r="E558">
        <f>IF($W558="","",SUMIFS(합계표[시스템 합계],합계표[사번키],INDEX(합계표[사번키],$W558)))</f>
        <v/>
      </c>
      <c r="F558">
        <f>IF($W558="","",SUMIFS(상세표[기록 시간외],상세표[사번키],INDEX(합계표[사번키],$W558),상세표[기록월],대상월키))</f>
        <v/>
      </c>
      <c r="G558">
        <f>IF($W558="","",IF(ABS($E558-$F558)&lt;0.01,"일치","불일치(차이 "&amp;TEXT($F558-$E558,"0.00")&amp;")"))</f>
        <v/>
      </c>
      <c r="H558">
        <f>IF($W558="","",SUMIFS(상세표[기록 시간외],상세표[사번키],INDEX(합계표[사번키],$W558),상세표[기록월],대상월키,상세표[반영월],"&lt;&gt;"&amp;대상월키))</f>
        <v/>
      </c>
      <c r="I558">
        <f>IF($W558="","",SUMIFS(상세표[기록 시간외],상세표[사번키],INDEX(합계표[사번키],$W558),상세표[기록월],"&lt;&gt;"&amp;대상월키,상세표[반영월],대상월키))</f>
        <v/>
      </c>
      <c r="J558">
        <f>IF($W558="","",SUMIFS(상세표[기록 시간외],상세표[사번키],INDEX(합계표[사번키],$W558),상세표[반영월],대상월키))</f>
        <v/>
      </c>
      <c r="K558">
        <f>IF($W558="","",IFERROR(INDEX(월별근무지표[적용 급여병원],MATCH(INDEX(합계표[사번키],$W558)&amp;"|"&amp;대상월키,월별근무지표[키],0))&amp;"",IF(COUNTIF(기관표[사번키],INDEX(합계표[사번키],$W558))+COUNTIF(월별근무지표[사번키],INDEX(합계표[사번키],$W558))&gt;0,IFERROR(INDEX(기관표[급여지급병원(기준월)],MATCH(INDEX(합계표[사번키],$W558)&amp;"|"&amp;대상월키,기관표[키],0))&amp;"","—"),"—")))</f>
        <v/>
      </c>
      <c r="L558">
        <f>IF($W558="","",IF(NOT(COUNTIF(기관표[사번키],INDEX(합계표[사번키],$W558))+COUNTIF(월별근무지표[사번키],INDEX(합계표[사번키],$W558))&gt;0),"기관명단에 없음(다른 병원으로 발송)",IF($K558="—","대상월 기관명단 없음(추가 필요)",IF($K558="서울병원","해당","비해당"))))</f>
        <v/>
      </c>
      <c r="M558">
        <f>IF($W558="","",SUMIFS(상세표[06~07시],상세표[사번키],INDEX(합계표[사번키],$W558),상세표[반영월],대상월키,상세표[반영 기관],"서울병원"))</f>
        <v/>
      </c>
      <c r="N558">
        <f>IF($W558="","",SUMIFS(상세표[07~18시],상세표[사번키],INDEX(합계표[사번키],$W558),상세표[반영월],대상월키,상세표[반영 기관],"서울병원"))</f>
        <v/>
      </c>
      <c r="O558">
        <f>IF($W558="","",SUMIFS(상세표[18~22시],상세표[사번키],INDEX(합계표[사번키],$W558),상세표[반영월],대상월키,상세표[반영 기관],"서울병원"))</f>
        <v/>
      </c>
      <c r="P558">
        <f>IF($W558="","",SUMIFS(상세표[22~06시],상세표[사번키],INDEX(합계표[사번키],$W558),상세표[반영월],대상월키,상세표[반영 기관],"서울병원"))</f>
        <v/>
      </c>
      <c r="Q558">
        <f>IF($W558="","",SUM($M558:$P558))</f>
        <v/>
      </c>
      <c r="R558">
        <f>IF($W558="","",COUNTIFS(상세표[사번키],INDEX(합계표[사번키],$W558),상세표[반영월],대상월키,상세표[야간당직],1,상세표[야간 구분],"평일"))</f>
        <v/>
      </c>
      <c r="S558" s="4">
        <f>IF($W558="","",COUNTIFS(상세표[사번키],INDEX(합계표[사번키],$W558),상세표[반영월],대상월키,상세표[야간당직],1,상세표[야간 구분],"휴일"))</f>
        <v/>
      </c>
      <c r="T558">
        <f>IF($W558="","",COUNTIFS(상세표[사번키],INDEX(합계표[사번키],$W558),상세표[반영월],대상월키,상세표[야간당직],1,상세표[야간 구분],"평일",상세표[반영 기관],"서울병원"))</f>
        <v/>
      </c>
      <c r="U558">
        <f>IF($W558="","",COUNTIFS(상세표[사번키],INDEX(합계표[사번키],$W558),상세표[반영월],대상월키,상세표[야간당직],1,상세표[야간 구분],"휴일",상세표[반영 기관],"서울병원"))</f>
        <v/>
      </c>
      <c r="V558">
        <f>IF($W558="","",IF(ISNUMBER(MATCH(INDEX(합계표[사번키],$W558)&amp;"|"&amp;대상월키,월별근무지표[키],0)),"직접 입력",IF($K558="—","—","기관명단")))</f>
        <v/>
      </c>
      <c r="W558">
        <f>IFERROR(MATCH(553,합계표[판정순번],0),"")</f>
        <v/>
      </c>
    </row>
    <row r="559">
      <c r="A559">
        <f>IF($W559="","",INDEX(합계표[사번],$W559)&amp;"")</f>
        <v/>
      </c>
      <c r="B559">
        <f>IF($W559="","",INDEX(합계표[성명],$W559)&amp;"")</f>
        <v/>
      </c>
      <c r="C559">
        <f>IF($W559="","",INDEX(합계표[부서],$W559)&amp;"")</f>
        <v/>
      </c>
      <c r="D559">
        <f>IF($W559="","",INDEX(합계표[직위(통합)],$W559)&amp;"")</f>
        <v/>
      </c>
      <c r="E559">
        <f>IF($W559="","",SUMIFS(합계표[시스템 합계],합계표[사번키],INDEX(합계표[사번키],$W559)))</f>
        <v/>
      </c>
      <c r="F559">
        <f>IF($W559="","",SUMIFS(상세표[기록 시간외],상세표[사번키],INDEX(합계표[사번키],$W559),상세표[기록월],대상월키))</f>
        <v/>
      </c>
      <c r="G559">
        <f>IF($W559="","",IF(ABS($E559-$F559)&lt;0.01,"일치","불일치(차이 "&amp;TEXT($F559-$E559,"0.00")&amp;")"))</f>
        <v/>
      </c>
      <c r="H559">
        <f>IF($W559="","",SUMIFS(상세표[기록 시간외],상세표[사번키],INDEX(합계표[사번키],$W559),상세표[기록월],대상월키,상세표[반영월],"&lt;&gt;"&amp;대상월키))</f>
        <v/>
      </c>
      <c r="I559">
        <f>IF($W559="","",SUMIFS(상세표[기록 시간외],상세표[사번키],INDEX(합계표[사번키],$W559),상세표[기록월],"&lt;&gt;"&amp;대상월키,상세표[반영월],대상월키))</f>
        <v/>
      </c>
      <c r="J559">
        <f>IF($W559="","",SUMIFS(상세표[기록 시간외],상세표[사번키],INDEX(합계표[사번키],$W559),상세표[반영월],대상월키))</f>
        <v/>
      </c>
      <c r="K559">
        <f>IF($W559="","",IFERROR(INDEX(월별근무지표[적용 급여병원],MATCH(INDEX(합계표[사번키],$W559)&amp;"|"&amp;대상월키,월별근무지표[키],0))&amp;"",IF(COUNTIF(기관표[사번키],INDEX(합계표[사번키],$W559))+COUNTIF(월별근무지표[사번키],INDEX(합계표[사번키],$W559))&gt;0,IFERROR(INDEX(기관표[급여지급병원(기준월)],MATCH(INDEX(합계표[사번키],$W559)&amp;"|"&amp;대상월키,기관표[키],0))&amp;"","—"),"—")))</f>
        <v/>
      </c>
      <c r="L559">
        <f>IF($W559="","",IF(NOT(COUNTIF(기관표[사번키],INDEX(합계표[사번키],$W559))+COUNTIF(월별근무지표[사번키],INDEX(합계표[사번키],$W559))&gt;0),"기관명단에 없음(다른 병원으로 발송)",IF($K559="—","대상월 기관명단 없음(추가 필요)",IF($K559="서울병원","해당","비해당"))))</f>
        <v/>
      </c>
      <c r="M559">
        <f>IF($W559="","",SUMIFS(상세표[06~07시],상세표[사번키],INDEX(합계표[사번키],$W559),상세표[반영월],대상월키,상세표[반영 기관],"서울병원"))</f>
        <v/>
      </c>
      <c r="N559">
        <f>IF($W559="","",SUMIFS(상세표[07~18시],상세표[사번키],INDEX(합계표[사번키],$W559),상세표[반영월],대상월키,상세표[반영 기관],"서울병원"))</f>
        <v/>
      </c>
      <c r="O559">
        <f>IF($W559="","",SUMIFS(상세표[18~22시],상세표[사번키],INDEX(합계표[사번키],$W559),상세표[반영월],대상월키,상세표[반영 기관],"서울병원"))</f>
        <v/>
      </c>
      <c r="P559">
        <f>IF($W559="","",SUMIFS(상세표[22~06시],상세표[사번키],INDEX(합계표[사번키],$W559),상세표[반영월],대상월키,상세표[반영 기관],"서울병원"))</f>
        <v/>
      </c>
      <c r="Q559">
        <f>IF($W559="","",SUM($M559:$P559))</f>
        <v/>
      </c>
      <c r="R559">
        <f>IF($W559="","",COUNTIFS(상세표[사번키],INDEX(합계표[사번키],$W559),상세표[반영월],대상월키,상세표[야간당직],1,상세표[야간 구분],"평일"))</f>
        <v/>
      </c>
      <c r="S559" s="4">
        <f>IF($W559="","",COUNTIFS(상세표[사번키],INDEX(합계표[사번키],$W559),상세표[반영월],대상월키,상세표[야간당직],1,상세표[야간 구분],"휴일"))</f>
        <v/>
      </c>
      <c r="T559">
        <f>IF($W559="","",COUNTIFS(상세표[사번키],INDEX(합계표[사번키],$W559),상세표[반영월],대상월키,상세표[야간당직],1,상세표[야간 구분],"평일",상세표[반영 기관],"서울병원"))</f>
        <v/>
      </c>
      <c r="U559">
        <f>IF($W559="","",COUNTIFS(상세표[사번키],INDEX(합계표[사번키],$W559),상세표[반영월],대상월키,상세표[야간당직],1,상세표[야간 구분],"휴일",상세표[반영 기관],"서울병원"))</f>
        <v/>
      </c>
      <c r="V559">
        <f>IF($W559="","",IF(ISNUMBER(MATCH(INDEX(합계표[사번키],$W559)&amp;"|"&amp;대상월키,월별근무지표[키],0)),"직접 입력",IF($K559="—","—","기관명단")))</f>
        <v/>
      </c>
      <c r="W559">
        <f>IFERROR(MATCH(554,합계표[판정순번],0),"")</f>
        <v/>
      </c>
    </row>
    <row r="560">
      <c r="A560">
        <f>IF($W560="","",INDEX(합계표[사번],$W560)&amp;"")</f>
        <v/>
      </c>
      <c r="B560">
        <f>IF($W560="","",INDEX(합계표[성명],$W560)&amp;"")</f>
        <v/>
      </c>
      <c r="C560">
        <f>IF($W560="","",INDEX(합계표[부서],$W560)&amp;"")</f>
        <v/>
      </c>
      <c r="D560">
        <f>IF($W560="","",INDEX(합계표[직위(통합)],$W560)&amp;"")</f>
        <v/>
      </c>
      <c r="E560">
        <f>IF($W560="","",SUMIFS(합계표[시스템 합계],합계표[사번키],INDEX(합계표[사번키],$W560)))</f>
        <v/>
      </c>
      <c r="F560">
        <f>IF($W560="","",SUMIFS(상세표[기록 시간외],상세표[사번키],INDEX(합계표[사번키],$W560),상세표[기록월],대상월키))</f>
        <v/>
      </c>
      <c r="G560">
        <f>IF($W560="","",IF(ABS($E560-$F560)&lt;0.01,"일치","불일치(차이 "&amp;TEXT($F560-$E560,"0.00")&amp;")"))</f>
        <v/>
      </c>
      <c r="H560">
        <f>IF($W560="","",SUMIFS(상세표[기록 시간외],상세표[사번키],INDEX(합계표[사번키],$W560),상세표[기록월],대상월키,상세표[반영월],"&lt;&gt;"&amp;대상월키))</f>
        <v/>
      </c>
      <c r="I560">
        <f>IF($W560="","",SUMIFS(상세표[기록 시간외],상세표[사번키],INDEX(합계표[사번키],$W560),상세표[기록월],"&lt;&gt;"&amp;대상월키,상세표[반영월],대상월키))</f>
        <v/>
      </c>
      <c r="J560">
        <f>IF($W560="","",SUMIFS(상세표[기록 시간외],상세표[사번키],INDEX(합계표[사번키],$W560),상세표[반영월],대상월키))</f>
        <v/>
      </c>
      <c r="K560">
        <f>IF($W560="","",IFERROR(INDEX(월별근무지표[적용 급여병원],MATCH(INDEX(합계표[사번키],$W560)&amp;"|"&amp;대상월키,월별근무지표[키],0))&amp;"",IF(COUNTIF(기관표[사번키],INDEX(합계표[사번키],$W560))+COUNTIF(월별근무지표[사번키],INDEX(합계표[사번키],$W560))&gt;0,IFERROR(INDEX(기관표[급여지급병원(기준월)],MATCH(INDEX(합계표[사번키],$W560)&amp;"|"&amp;대상월키,기관표[키],0))&amp;"","—"),"—")))</f>
        <v/>
      </c>
      <c r="L560">
        <f>IF($W560="","",IF(NOT(COUNTIF(기관표[사번키],INDEX(합계표[사번키],$W560))+COUNTIF(월별근무지표[사번키],INDEX(합계표[사번키],$W560))&gt;0),"기관명단에 없음(다른 병원으로 발송)",IF($K560="—","대상월 기관명단 없음(추가 필요)",IF($K560="서울병원","해당","비해당"))))</f>
        <v/>
      </c>
      <c r="M560">
        <f>IF($W560="","",SUMIFS(상세표[06~07시],상세표[사번키],INDEX(합계표[사번키],$W560),상세표[반영월],대상월키,상세표[반영 기관],"서울병원"))</f>
        <v/>
      </c>
      <c r="N560">
        <f>IF($W560="","",SUMIFS(상세표[07~18시],상세표[사번키],INDEX(합계표[사번키],$W560),상세표[반영월],대상월키,상세표[반영 기관],"서울병원"))</f>
        <v/>
      </c>
      <c r="O560">
        <f>IF($W560="","",SUMIFS(상세표[18~22시],상세표[사번키],INDEX(합계표[사번키],$W560),상세표[반영월],대상월키,상세표[반영 기관],"서울병원"))</f>
        <v/>
      </c>
      <c r="P560">
        <f>IF($W560="","",SUMIFS(상세표[22~06시],상세표[사번키],INDEX(합계표[사번키],$W560),상세표[반영월],대상월키,상세표[반영 기관],"서울병원"))</f>
        <v/>
      </c>
      <c r="Q560">
        <f>IF($W560="","",SUM($M560:$P560))</f>
        <v/>
      </c>
      <c r="R560">
        <f>IF($W560="","",COUNTIFS(상세표[사번키],INDEX(합계표[사번키],$W560),상세표[반영월],대상월키,상세표[야간당직],1,상세표[야간 구분],"평일"))</f>
        <v/>
      </c>
      <c r="S560" s="4">
        <f>IF($W560="","",COUNTIFS(상세표[사번키],INDEX(합계표[사번키],$W560),상세표[반영월],대상월키,상세표[야간당직],1,상세표[야간 구분],"휴일"))</f>
        <v/>
      </c>
      <c r="T560">
        <f>IF($W560="","",COUNTIFS(상세표[사번키],INDEX(합계표[사번키],$W560),상세표[반영월],대상월키,상세표[야간당직],1,상세표[야간 구분],"평일",상세표[반영 기관],"서울병원"))</f>
        <v/>
      </c>
      <c r="U560">
        <f>IF($W560="","",COUNTIFS(상세표[사번키],INDEX(합계표[사번키],$W560),상세표[반영월],대상월키,상세표[야간당직],1,상세표[야간 구분],"휴일",상세표[반영 기관],"서울병원"))</f>
        <v/>
      </c>
      <c r="V560">
        <f>IF($W560="","",IF(ISNUMBER(MATCH(INDEX(합계표[사번키],$W560)&amp;"|"&amp;대상월키,월별근무지표[키],0)),"직접 입력",IF($K560="—","—","기관명단")))</f>
        <v/>
      </c>
      <c r="W560">
        <f>IFERROR(MATCH(555,합계표[판정순번],0),"")</f>
        <v/>
      </c>
    </row>
    <row r="561">
      <c r="A561">
        <f>IF($W561="","",INDEX(합계표[사번],$W561)&amp;"")</f>
        <v/>
      </c>
      <c r="B561">
        <f>IF($W561="","",INDEX(합계표[성명],$W561)&amp;"")</f>
        <v/>
      </c>
      <c r="C561">
        <f>IF($W561="","",INDEX(합계표[부서],$W561)&amp;"")</f>
        <v/>
      </c>
      <c r="D561">
        <f>IF($W561="","",INDEX(합계표[직위(통합)],$W561)&amp;"")</f>
        <v/>
      </c>
      <c r="E561">
        <f>IF($W561="","",SUMIFS(합계표[시스템 합계],합계표[사번키],INDEX(합계표[사번키],$W561)))</f>
        <v/>
      </c>
      <c r="F561">
        <f>IF($W561="","",SUMIFS(상세표[기록 시간외],상세표[사번키],INDEX(합계표[사번키],$W561),상세표[기록월],대상월키))</f>
        <v/>
      </c>
      <c r="G561">
        <f>IF($W561="","",IF(ABS($E561-$F561)&lt;0.01,"일치","불일치(차이 "&amp;TEXT($F561-$E561,"0.00")&amp;")"))</f>
        <v/>
      </c>
      <c r="H561">
        <f>IF($W561="","",SUMIFS(상세표[기록 시간외],상세표[사번키],INDEX(합계표[사번키],$W561),상세표[기록월],대상월키,상세표[반영월],"&lt;&gt;"&amp;대상월키))</f>
        <v/>
      </c>
      <c r="I561">
        <f>IF($W561="","",SUMIFS(상세표[기록 시간외],상세표[사번키],INDEX(합계표[사번키],$W561),상세표[기록월],"&lt;&gt;"&amp;대상월키,상세표[반영월],대상월키))</f>
        <v/>
      </c>
      <c r="J561">
        <f>IF($W561="","",SUMIFS(상세표[기록 시간외],상세표[사번키],INDEX(합계표[사번키],$W561),상세표[반영월],대상월키))</f>
        <v/>
      </c>
      <c r="K561">
        <f>IF($W561="","",IFERROR(INDEX(월별근무지표[적용 급여병원],MATCH(INDEX(합계표[사번키],$W561)&amp;"|"&amp;대상월키,월별근무지표[키],0))&amp;"",IF(COUNTIF(기관표[사번키],INDEX(합계표[사번키],$W561))+COUNTIF(월별근무지표[사번키],INDEX(합계표[사번키],$W561))&gt;0,IFERROR(INDEX(기관표[급여지급병원(기준월)],MATCH(INDEX(합계표[사번키],$W561)&amp;"|"&amp;대상월키,기관표[키],0))&amp;"","—"),"—")))</f>
        <v/>
      </c>
      <c r="L561">
        <f>IF($W561="","",IF(NOT(COUNTIF(기관표[사번키],INDEX(합계표[사번키],$W561))+COUNTIF(월별근무지표[사번키],INDEX(합계표[사번키],$W561))&gt;0),"기관명단에 없음(다른 병원으로 발송)",IF($K561="—","대상월 기관명단 없음(추가 필요)",IF($K561="서울병원","해당","비해당"))))</f>
        <v/>
      </c>
      <c r="M561">
        <f>IF($W561="","",SUMIFS(상세표[06~07시],상세표[사번키],INDEX(합계표[사번키],$W561),상세표[반영월],대상월키,상세표[반영 기관],"서울병원"))</f>
        <v/>
      </c>
      <c r="N561">
        <f>IF($W561="","",SUMIFS(상세표[07~18시],상세표[사번키],INDEX(합계표[사번키],$W561),상세표[반영월],대상월키,상세표[반영 기관],"서울병원"))</f>
        <v/>
      </c>
      <c r="O561">
        <f>IF($W561="","",SUMIFS(상세표[18~22시],상세표[사번키],INDEX(합계표[사번키],$W561),상세표[반영월],대상월키,상세표[반영 기관],"서울병원"))</f>
        <v/>
      </c>
      <c r="P561">
        <f>IF($W561="","",SUMIFS(상세표[22~06시],상세표[사번키],INDEX(합계표[사번키],$W561),상세표[반영월],대상월키,상세표[반영 기관],"서울병원"))</f>
        <v/>
      </c>
      <c r="Q561">
        <f>IF($W561="","",SUM($M561:$P561))</f>
        <v/>
      </c>
      <c r="R561">
        <f>IF($W561="","",COUNTIFS(상세표[사번키],INDEX(합계표[사번키],$W561),상세표[반영월],대상월키,상세표[야간당직],1,상세표[야간 구분],"평일"))</f>
        <v/>
      </c>
      <c r="S561" s="4">
        <f>IF($W561="","",COUNTIFS(상세표[사번키],INDEX(합계표[사번키],$W561),상세표[반영월],대상월키,상세표[야간당직],1,상세표[야간 구분],"휴일"))</f>
        <v/>
      </c>
      <c r="T561">
        <f>IF($W561="","",COUNTIFS(상세표[사번키],INDEX(합계표[사번키],$W561),상세표[반영월],대상월키,상세표[야간당직],1,상세표[야간 구분],"평일",상세표[반영 기관],"서울병원"))</f>
        <v/>
      </c>
      <c r="U561">
        <f>IF($W561="","",COUNTIFS(상세표[사번키],INDEX(합계표[사번키],$W561),상세표[반영월],대상월키,상세표[야간당직],1,상세표[야간 구분],"휴일",상세표[반영 기관],"서울병원"))</f>
        <v/>
      </c>
      <c r="V561">
        <f>IF($W561="","",IF(ISNUMBER(MATCH(INDEX(합계표[사번키],$W561)&amp;"|"&amp;대상월키,월별근무지표[키],0)),"직접 입력",IF($K561="—","—","기관명단")))</f>
        <v/>
      </c>
      <c r="W561">
        <f>IFERROR(MATCH(556,합계표[판정순번],0),"")</f>
        <v/>
      </c>
    </row>
    <row r="562">
      <c r="A562">
        <f>IF($W562="","",INDEX(합계표[사번],$W562)&amp;"")</f>
        <v/>
      </c>
      <c r="B562">
        <f>IF($W562="","",INDEX(합계표[성명],$W562)&amp;"")</f>
        <v/>
      </c>
      <c r="C562">
        <f>IF($W562="","",INDEX(합계표[부서],$W562)&amp;"")</f>
        <v/>
      </c>
      <c r="D562">
        <f>IF($W562="","",INDEX(합계표[직위(통합)],$W562)&amp;"")</f>
        <v/>
      </c>
      <c r="E562">
        <f>IF($W562="","",SUMIFS(합계표[시스템 합계],합계표[사번키],INDEX(합계표[사번키],$W562)))</f>
        <v/>
      </c>
      <c r="F562">
        <f>IF($W562="","",SUMIFS(상세표[기록 시간외],상세표[사번키],INDEX(합계표[사번키],$W562),상세표[기록월],대상월키))</f>
        <v/>
      </c>
      <c r="G562">
        <f>IF($W562="","",IF(ABS($E562-$F562)&lt;0.01,"일치","불일치(차이 "&amp;TEXT($F562-$E562,"0.00")&amp;")"))</f>
        <v/>
      </c>
      <c r="H562">
        <f>IF($W562="","",SUMIFS(상세표[기록 시간외],상세표[사번키],INDEX(합계표[사번키],$W562),상세표[기록월],대상월키,상세표[반영월],"&lt;&gt;"&amp;대상월키))</f>
        <v/>
      </c>
      <c r="I562">
        <f>IF($W562="","",SUMIFS(상세표[기록 시간외],상세표[사번키],INDEX(합계표[사번키],$W562),상세표[기록월],"&lt;&gt;"&amp;대상월키,상세표[반영월],대상월키))</f>
        <v/>
      </c>
      <c r="J562">
        <f>IF($W562="","",SUMIFS(상세표[기록 시간외],상세표[사번키],INDEX(합계표[사번키],$W562),상세표[반영월],대상월키))</f>
        <v/>
      </c>
      <c r="K562">
        <f>IF($W562="","",IFERROR(INDEX(월별근무지표[적용 급여병원],MATCH(INDEX(합계표[사번키],$W562)&amp;"|"&amp;대상월키,월별근무지표[키],0))&amp;"",IF(COUNTIF(기관표[사번키],INDEX(합계표[사번키],$W562))+COUNTIF(월별근무지표[사번키],INDEX(합계표[사번키],$W562))&gt;0,IFERROR(INDEX(기관표[급여지급병원(기준월)],MATCH(INDEX(합계표[사번키],$W562)&amp;"|"&amp;대상월키,기관표[키],0))&amp;"","—"),"—")))</f>
        <v/>
      </c>
      <c r="L562">
        <f>IF($W562="","",IF(NOT(COUNTIF(기관표[사번키],INDEX(합계표[사번키],$W562))+COUNTIF(월별근무지표[사번키],INDEX(합계표[사번키],$W562))&gt;0),"기관명단에 없음(다른 병원으로 발송)",IF($K562="—","대상월 기관명단 없음(추가 필요)",IF($K562="서울병원","해당","비해당"))))</f>
        <v/>
      </c>
      <c r="M562">
        <f>IF($W562="","",SUMIFS(상세표[06~07시],상세표[사번키],INDEX(합계표[사번키],$W562),상세표[반영월],대상월키,상세표[반영 기관],"서울병원"))</f>
        <v/>
      </c>
      <c r="N562">
        <f>IF($W562="","",SUMIFS(상세표[07~18시],상세표[사번키],INDEX(합계표[사번키],$W562),상세표[반영월],대상월키,상세표[반영 기관],"서울병원"))</f>
        <v/>
      </c>
      <c r="O562">
        <f>IF($W562="","",SUMIFS(상세표[18~22시],상세표[사번키],INDEX(합계표[사번키],$W562),상세표[반영월],대상월키,상세표[반영 기관],"서울병원"))</f>
        <v/>
      </c>
      <c r="P562">
        <f>IF($W562="","",SUMIFS(상세표[22~06시],상세표[사번키],INDEX(합계표[사번키],$W562),상세표[반영월],대상월키,상세표[반영 기관],"서울병원"))</f>
        <v/>
      </c>
      <c r="Q562">
        <f>IF($W562="","",SUM($M562:$P562))</f>
        <v/>
      </c>
      <c r="R562">
        <f>IF($W562="","",COUNTIFS(상세표[사번키],INDEX(합계표[사번키],$W562),상세표[반영월],대상월키,상세표[야간당직],1,상세표[야간 구분],"평일"))</f>
        <v/>
      </c>
      <c r="S562" s="4">
        <f>IF($W562="","",COUNTIFS(상세표[사번키],INDEX(합계표[사번키],$W562),상세표[반영월],대상월키,상세표[야간당직],1,상세표[야간 구분],"휴일"))</f>
        <v/>
      </c>
      <c r="T562">
        <f>IF($W562="","",COUNTIFS(상세표[사번키],INDEX(합계표[사번키],$W562),상세표[반영월],대상월키,상세표[야간당직],1,상세표[야간 구분],"평일",상세표[반영 기관],"서울병원"))</f>
        <v/>
      </c>
      <c r="U562">
        <f>IF($W562="","",COUNTIFS(상세표[사번키],INDEX(합계표[사번키],$W562),상세표[반영월],대상월키,상세표[야간당직],1,상세표[야간 구분],"휴일",상세표[반영 기관],"서울병원"))</f>
        <v/>
      </c>
      <c r="V562">
        <f>IF($W562="","",IF(ISNUMBER(MATCH(INDEX(합계표[사번키],$W562)&amp;"|"&amp;대상월키,월별근무지표[키],0)),"직접 입력",IF($K562="—","—","기관명단")))</f>
        <v/>
      </c>
      <c r="W562">
        <f>IFERROR(MATCH(557,합계표[판정순번],0),"")</f>
        <v/>
      </c>
    </row>
    <row r="563">
      <c r="A563">
        <f>IF($W563="","",INDEX(합계표[사번],$W563)&amp;"")</f>
        <v/>
      </c>
      <c r="B563">
        <f>IF($W563="","",INDEX(합계표[성명],$W563)&amp;"")</f>
        <v/>
      </c>
      <c r="C563">
        <f>IF($W563="","",INDEX(합계표[부서],$W563)&amp;"")</f>
        <v/>
      </c>
      <c r="D563">
        <f>IF($W563="","",INDEX(합계표[직위(통합)],$W563)&amp;"")</f>
        <v/>
      </c>
      <c r="E563">
        <f>IF($W563="","",SUMIFS(합계표[시스템 합계],합계표[사번키],INDEX(합계표[사번키],$W563)))</f>
        <v/>
      </c>
      <c r="F563">
        <f>IF($W563="","",SUMIFS(상세표[기록 시간외],상세표[사번키],INDEX(합계표[사번키],$W563),상세표[기록월],대상월키))</f>
        <v/>
      </c>
      <c r="G563">
        <f>IF($W563="","",IF(ABS($E563-$F563)&lt;0.01,"일치","불일치(차이 "&amp;TEXT($F563-$E563,"0.00")&amp;")"))</f>
        <v/>
      </c>
      <c r="H563">
        <f>IF($W563="","",SUMIFS(상세표[기록 시간외],상세표[사번키],INDEX(합계표[사번키],$W563),상세표[기록월],대상월키,상세표[반영월],"&lt;&gt;"&amp;대상월키))</f>
        <v/>
      </c>
      <c r="I563">
        <f>IF($W563="","",SUMIFS(상세표[기록 시간외],상세표[사번키],INDEX(합계표[사번키],$W563),상세표[기록월],"&lt;&gt;"&amp;대상월키,상세표[반영월],대상월키))</f>
        <v/>
      </c>
      <c r="J563">
        <f>IF($W563="","",SUMIFS(상세표[기록 시간외],상세표[사번키],INDEX(합계표[사번키],$W563),상세표[반영월],대상월키))</f>
        <v/>
      </c>
      <c r="K563">
        <f>IF($W563="","",IFERROR(INDEX(월별근무지표[적용 급여병원],MATCH(INDEX(합계표[사번키],$W563)&amp;"|"&amp;대상월키,월별근무지표[키],0))&amp;"",IF(COUNTIF(기관표[사번키],INDEX(합계표[사번키],$W563))+COUNTIF(월별근무지표[사번키],INDEX(합계표[사번키],$W563))&gt;0,IFERROR(INDEX(기관표[급여지급병원(기준월)],MATCH(INDEX(합계표[사번키],$W563)&amp;"|"&amp;대상월키,기관표[키],0))&amp;"","—"),"—")))</f>
        <v/>
      </c>
      <c r="L563">
        <f>IF($W563="","",IF(NOT(COUNTIF(기관표[사번키],INDEX(합계표[사번키],$W563))+COUNTIF(월별근무지표[사번키],INDEX(합계표[사번키],$W563))&gt;0),"기관명단에 없음(다른 병원으로 발송)",IF($K563="—","대상월 기관명단 없음(추가 필요)",IF($K563="서울병원","해당","비해당"))))</f>
        <v/>
      </c>
      <c r="M563">
        <f>IF($W563="","",SUMIFS(상세표[06~07시],상세표[사번키],INDEX(합계표[사번키],$W563),상세표[반영월],대상월키,상세표[반영 기관],"서울병원"))</f>
        <v/>
      </c>
      <c r="N563">
        <f>IF($W563="","",SUMIFS(상세표[07~18시],상세표[사번키],INDEX(합계표[사번키],$W563),상세표[반영월],대상월키,상세표[반영 기관],"서울병원"))</f>
        <v/>
      </c>
      <c r="O563">
        <f>IF($W563="","",SUMIFS(상세표[18~22시],상세표[사번키],INDEX(합계표[사번키],$W563),상세표[반영월],대상월키,상세표[반영 기관],"서울병원"))</f>
        <v/>
      </c>
      <c r="P563">
        <f>IF($W563="","",SUMIFS(상세표[22~06시],상세표[사번키],INDEX(합계표[사번키],$W563),상세표[반영월],대상월키,상세표[반영 기관],"서울병원"))</f>
        <v/>
      </c>
      <c r="Q563">
        <f>IF($W563="","",SUM($M563:$P563))</f>
        <v/>
      </c>
      <c r="R563">
        <f>IF($W563="","",COUNTIFS(상세표[사번키],INDEX(합계표[사번키],$W563),상세표[반영월],대상월키,상세표[야간당직],1,상세표[야간 구분],"평일"))</f>
        <v/>
      </c>
      <c r="S563" s="4">
        <f>IF($W563="","",COUNTIFS(상세표[사번키],INDEX(합계표[사번키],$W563),상세표[반영월],대상월키,상세표[야간당직],1,상세표[야간 구분],"휴일"))</f>
        <v/>
      </c>
      <c r="T563">
        <f>IF($W563="","",COUNTIFS(상세표[사번키],INDEX(합계표[사번키],$W563),상세표[반영월],대상월키,상세표[야간당직],1,상세표[야간 구분],"평일",상세표[반영 기관],"서울병원"))</f>
        <v/>
      </c>
      <c r="U563">
        <f>IF($W563="","",COUNTIFS(상세표[사번키],INDEX(합계표[사번키],$W563),상세표[반영월],대상월키,상세표[야간당직],1,상세표[야간 구분],"휴일",상세표[반영 기관],"서울병원"))</f>
        <v/>
      </c>
      <c r="V563">
        <f>IF($W563="","",IF(ISNUMBER(MATCH(INDEX(합계표[사번키],$W563)&amp;"|"&amp;대상월키,월별근무지표[키],0)),"직접 입력",IF($K563="—","—","기관명단")))</f>
        <v/>
      </c>
      <c r="W563">
        <f>IFERROR(MATCH(558,합계표[판정순번],0),"")</f>
        <v/>
      </c>
    </row>
    <row r="564">
      <c r="A564">
        <f>IF($W564="","",INDEX(합계표[사번],$W564)&amp;"")</f>
        <v/>
      </c>
      <c r="B564">
        <f>IF($W564="","",INDEX(합계표[성명],$W564)&amp;"")</f>
        <v/>
      </c>
      <c r="C564">
        <f>IF($W564="","",INDEX(합계표[부서],$W564)&amp;"")</f>
        <v/>
      </c>
      <c r="D564">
        <f>IF($W564="","",INDEX(합계표[직위(통합)],$W564)&amp;"")</f>
        <v/>
      </c>
      <c r="E564">
        <f>IF($W564="","",SUMIFS(합계표[시스템 합계],합계표[사번키],INDEX(합계표[사번키],$W564)))</f>
        <v/>
      </c>
      <c r="F564">
        <f>IF($W564="","",SUMIFS(상세표[기록 시간외],상세표[사번키],INDEX(합계표[사번키],$W564),상세표[기록월],대상월키))</f>
        <v/>
      </c>
      <c r="G564">
        <f>IF($W564="","",IF(ABS($E564-$F564)&lt;0.01,"일치","불일치(차이 "&amp;TEXT($F564-$E564,"0.00")&amp;")"))</f>
        <v/>
      </c>
      <c r="H564">
        <f>IF($W564="","",SUMIFS(상세표[기록 시간외],상세표[사번키],INDEX(합계표[사번키],$W564),상세표[기록월],대상월키,상세표[반영월],"&lt;&gt;"&amp;대상월키))</f>
        <v/>
      </c>
      <c r="I564">
        <f>IF($W564="","",SUMIFS(상세표[기록 시간외],상세표[사번키],INDEX(합계표[사번키],$W564),상세표[기록월],"&lt;&gt;"&amp;대상월키,상세표[반영월],대상월키))</f>
        <v/>
      </c>
      <c r="J564">
        <f>IF($W564="","",SUMIFS(상세표[기록 시간외],상세표[사번키],INDEX(합계표[사번키],$W564),상세표[반영월],대상월키))</f>
        <v/>
      </c>
      <c r="K564">
        <f>IF($W564="","",IFERROR(INDEX(월별근무지표[적용 급여병원],MATCH(INDEX(합계표[사번키],$W564)&amp;"|"&amp;대상월키,월별근무지표[키],0))&amp;"",IF(COUNTIF(기관표[사번키],INDEX(합계표[사번키],$W564))+COUNTIF(월별근무지표[사번키],INDEX(합계표[사번키],$W564))&gt;0,IFERROR(INDEX(기관표[급여지급병원(기준월)],MATCH(INDEX(합계표[사번키],$W564)&amp;"|"&amp;대상월키,기관표[키],0))&amp;"","—"),"—")))</f>
        <v/>
      </c>
      <c r="L564">
        <f>IF($W564="","",IF(NOT(COUNTIF(기관표[사번키],INDEX(합계표[사번키],$W564))+COUNTIF(월별근무지표[사번키],INDEX(합계표[사번키],$W564))&gt;0),"기관명단에 없음(다른 병원으로 발송)",IF($K564="—","대상월 기관명단 없음(추가 필요)",IF($K564="서울병원","해당","비해당"))))</f>
        <v/>
      </c>
      <c r="M564">
        <f>IF($W564="","",SUMIFS(상세표[06~07시],상세표[사번키],INDEX(합계표[사번키],$W564),상세표[반영월],대상월키,상세표[반영 기관],"서울병원"))</f>
        <v/>
      </c>
      <c r="N564">
        <f>IF($W564="","",SUMIFS(상세표[07~18시],상세표[사번키],INDEX(합계표[사번키],$W564),상세표[반영월],대상월키,상세표[반영 기관],"서울병원"))</f>
        <v/>
      </c>
      <c r="O564">
        <f>IF($W564="","",SUMIFS(상세표[18~22시],상세표[사번키],INDEX(합계표[사번키],$W564),상세표[반영월],대상월키,상세표[반영 기관],"서울병원"))</f>
        <v/>
      </c>
      <c r="P564">
        <f>IF($W564="","",SUMIFS(상세표[22~06시],상세표[사번키],INDEX(합계표[사번키],$W564),상세표[반영월],대상월키,상세표[반영 기관],"서울병원"))</f>
        <v/>
      </c>
      <c r="Q564">
        <f>IF($W564="","",SUM($M564:$P564))</f>
        <v/>
      </c>
      <c r="R564">
        <f>IF($W564="","",COUNTIFS(상세표[사번키],INDEX(합계표[사번키],$W564),상세표[반영월],대상월키,상세표[야간당직],1,상세표[야간 구분],"평일"))</f>
        <v/>
      </c>
      <c r="S564" s="4">
        <f>IF($W564="","",COUNTIFS(상세표[사번키],INDEX(합계표[사번키],$W564),상세표[반영월],대상월키,상세표[야간당직],1,상세표[야간 구분],"휴일"))</f>
        <v/>
      </c>
      <c r="T564">
        <f>IF($W564="","",COUNTIFS(상세표[사번키],INDEX(합계표[사번키],$W564),상세표[반영월],대상월키,상세표[야간당직],1,상세표[야간 구분],"평일",상세표[반영 기관],"서울병원"))</f>
        <v/>
      </c>
      <c r="U564">
        <f>IF($W564="","",COUNTIFS(상세표[사번키],INDEX(합계표[사번키],$W564),상세표[반영월],대상월키,상세표[야간당직],1,상세표[야간 구분],"휴일",상세표[반영 기관],"서울병원"))</f>
        <v/>
      </c>
      <c r="V564">
        <f>IF($W564="","",IF(ISNUMBER(MATCH(INDEX(합계표[사번키],$W564)&amp;"|"&amp;대상월키,월별근무지표[키],0)),"직접 입력",IF($K564="—","—","기관명단")))</f>
        <v/>
      </c>
      <c r="W564">
        <f>IFERROR(MATCH(559,합계표[판정순번],0),"")</f>
        <v/>
      </c>
    </row>
    <row r="565">
      <c r="A565">
        <f>IF($W565="","",INDEX(합계표[사번],$W565)&amp;"")</f>
        <v/>
      </c>
      <c r="B565">
        <f>IF($W565="","",INDEX(합계표[성명],$W565)&amp;"")</f>
        <v/>
      </c>
      <c r="C565">
        <f>IF($W565="","",INDEX(합계표[부서],$W565)&amp;"")</f>
        <v/>
      </c>
      <c r="D565">
        <f>IF($W565="","",INDEX(합계표[직위(통합)],$W565)&amp;"")</f>
        <v/>
      </c>
      <c r="E565">
        <f>IF($W565="","",SUMIFS(합계표[시스템 합계],합계표[사번키],INDEX(합계표[사번키],$W565)))</f>
        <v/>
      </c>
      <c r="F565">
        <f>IF($W565="","",SUMIFS(상세표[기록 시간외],상세표[사번키],INDEX(합계표[사번키],$W565),상세표[기록월],대상월키))</f>
        <v/>
      </c>
      <c r="G565">
        <f>IF($W565="","",IF(ABS($E565-$F565)&lt;0.01,"일치","불일치(차이 "&amp;TEXT($F565-$E565,"0.00")&amp;")"))</f>
        <v/>
      </c>
      <c r="H565">
        <f>IF($W565="","",SUMIFS(상세표[기록 시간외],상세표[사번키],INDEX(합계표[사번키],$W565),상세표[기록월],대상월키,상세표[반영월],"&lt;&gt;"&amp;대상월키))</f>
        <v/>
      </c>
      <c r="I565">
        <f>IF($W565="","",SUMIFS(상세표[기록 시간외],상세표[사번키],INDEX(합계표[사번키],$W565),상세표[기록월],"&lt;&gt;"&amp;대상월키,상세표[반영월],대상월키))</f>
        <v/>
      </c>
      <c r="J565">
        <f>IF($W565="","",SUMIFS(상세표[기록 시간외],상세표[사번키],INDEX(합계표[사번키],$W565),상세표[반영월],대상월키))</f>
        <v/>
      </c>
      <c r="K565">
        <f>IF($W565="","",IFERROR(INDEX(월별근무지표[적용 급여병원],MATCH(INDEX(합계표[사번키],$W565)&amp;"|"&amp;대상월키,월별근무지표[키],0))&amp;"",IF(COUNTIF(기관표[사번키],INDEX(합계표[사번키],$W565))+COUNTIF(월별근무지표[사번키],INDEX(합계표[사번키],$W565))&gt;0,IFERROR(INDEX(기관표[급여지급병원(기준월)],MATCH(INDEX(합계표[사번키],$W565)&amp;"|"&amp;대상월키,기관표[키],0))&amp;"","—"),"—")))</f>
        <v/>
      </c>
      <c r="L565">
        <f>IF($W565="","",IF(NOT(COUNTIF(기관표[사번키],INDEX(합계표[사번키],$W565))+COUNTIF(월별근무지표[사번키],INDEX(합계표[사번키],$W565))&gt;0),"기관명단에 없음(다른 병원으로 발송)",IF($K565="—","대상월 기관명단 없음(추가 필요)",IF($K565="서울병원","해당","비해당"))))</f>
        <v/>
      </c>
      <c r="M565">
        <f>IF($W565="","",SUMIFS(상세표[06~07시],상세표[사번키],INDEX(합계표[사번키],$W565),상세표[반영월],대상월키,상세표[반영 기관],"서울병원"))</f>
        <v/>
      </c>
      <c r="N565">
        <f>IF($W565="","",SUMIFS(상세표[07~18시],상세표[사번키],INDEX(합계표[사번키],$W565),상세표[반영월],대상월키,상세표[반영 기관],"서울병원"))</f>
        <v/>
      </c>
      <c r="O565">
        <f>IF($W565="","",SUMIFS(상세표[18~22시],상세표[사번키],INDEX(합계표[사번키],$W565),상세표[반영월],대상월키,상세표[반영 기관],"서울병원"))</f>
        <v/>
      </c>
      <c r="P565">
        <f>IF($W565="","",SUMIFS(상세표[22~06시],상세표[사번키],INDEX(합계표[사번키],$W565),상세표[반영월],대상월키,상세표[반영 기관],"서울병원"))</f>
        <v/>
      </c>
      <c r="Q565">
        <f>IF($W565="","",SUM($M565:$P565))</f>
        <v/>
      </c>
      <c r="R565">
        <f>IF($W565="","",COUNTIFS(상세표[사번키],INDEX(합계표[사번키],$W565),상세표[반영월],대상월키,상세표[야간당직],1,상세표[야간 구분],"평일"))</f>
        <v/>
      </c>
      <c r="S565" s="4">
        <f>IF($W565="","",COUNTIFS(상세표[사번키],INDEX(합계표[사번키],$W565),상세표[반영월],대상월키,상세표[야간당직],1,상세표[야간 구분],"휴일"))</f>
        <v/>
      </c>
      <c r="T565">
        <f>IF($W565="","",COUNTIFS(상세표[사번키],INDEX(합계표[사번키],$W565),상세표[반영월],대상월키,상세표[야간당직],1,상세표[야간 구분],"평일",상세표[반영 기관],"서울병원"))</f>
        <v/>
      </c>
      <c r="U565">
        <f>IF($W565="","",COUNTIFS(상세표[사번키],INDEX(합계표[사번키],$W565),상세표[반영월],대상월키,상세표[야간당직],1,상세표[야간 구분],"휴일",상세표[반영 기관],"서울병원"))</f>
        <v/>
      </c>
      <c r="V565">
        <f>IF($W565="","",IF(ISNUMBER(MATCH(INDEX(합계표[사번키],$W565)&amp;"|"&amp;대상월키,월별근무지표[키],0)),"직접 입력",IF($K565="—","—","기관명단")))</f>
        <v/>
      </c>
      <c r="W565">
        <f>IFERROR(MATCH(560,합계표[판정순번],0),"")</f>
        <v/>
      </c>
    </row>
    <row r="566">
      <c r="A566">
        <f>IF($W566="","",INDEX(합계표[사번],$W566)&amp;"")</f>
        <v/>
      </c>
      <c r="B566">
        <f>IF($W566="","",INDEX(합계표[성명],$W566)&amp;"")</f>
        <v/>
      </c>
      <c r="C566">
        <f>IF($W566="","",INDEX(합계표[부서],$W566)&amp;"")</f>
        <v/>
      </c>
      <c r="D566">
        <f>IF($W566="","",INDEX(합계표[직위(통합)],$W566)&amp;"")</f>
        <v/>
      </c>
      <c r="E566">
        <f>IF($W566="","",SUMIFS(합계표[시스템 합계],합계표[사번키],INDEX(합계표[사번키],$W566)))</f>
        <v/>
      </c>
      <c r="F566">
        <f>IF($W566="","",SUMIFS(상세표[기록 시간외],상세표[사번키],INDEX(합계표[사번키],$W566),상세표[기록월],대상월키))</f>
        <v/>
      </c>
      <c r="G566">
        <f>IF($W566="","",IF(ABS($E566-$F566)&lt;0.01,"일치","불일치(차이 "&amp;TEXT($F566-$E566,"0.00")&amp;")"))</f>
        <v/>
      </c>
      <c r="H566">
        <f>IF($W566="","",SUMIFS(상세표[기록 시간외],상세표[사번키],INDEX(합계표[사번키],$W566),상세표[기록월],대상월키,상세표[반영월],"&lt;&gt;"&amp;대상월키))</f>
        <v/>
      </c>
      <c r="I566">
        <f>IF($W566="","",SUMIFS(상세표[기록 시간외],상세표[사번키],INDEX(합계표[사번키],$W566),상세표[기록월],"&lt;&gt;"&amp;대상월키,상세표[반영월],대상월키))</f>
        <v/>
      </c>
      <c r="J566">
        <f>IF($W566="","",SUMIFS(상세표[기록 시간외],상세표[사번키],INDEX(합계표[사번키],$W566),상세표[반영월],대상월키))</f>
        <v/>
      </c>
      <c r="K566">
        <f>IF($W566="","",IFERROR(INDEX(월별근무지표[적용 급여병원],MATCH(INDEX(합계표[사번키],$W566)&amp;"|"&amp;대상월키,월별근무지표[키],0))&amp;"",IF(COUNTIF(기관표[사번키],INDEX(합계표[사번키],$W566))+COUNTIF(월별근무지표[사번키],INDEX(합계표[사번키],$W566))&gt;0,IFERROR(INDEX(기관표[급여지급병원(기준월)],MATCH(INDEX(합계표[사번키],$W566)&amp;"|"&amp;대상월키,기관표[키],0))&amp;"","—"),"—")))</f>
        <v/>
      </c>
      <c r="L566">
        <f>IF($W566="","",IF(NOT(COUNTIF(기관표[사번키],INDEX(합계표[사번키],$W566))+COUNTIF(월별근무지표[사번키],INDEX(합계표[사번키],$W566))&gt;0),"기관명단에 없음(다른 병원으로 발송)",IF($K566="—","대상월 기관명단 없음(추가 필요)",IF($K566="서울병원","해당","비해당"))))</f>
        <v/>
      </c>
      <c r="M566">
        <f>IF($W566="","",SUMIFS(상세표[06~07시],상세표[사번키],INDEX(합계표[사번키],$W566),상세표[반영월],대상월키,상세표[반영 기관],"서울병원"))</f>
        <v/>
      </c>
      <c r="N566">
        <f>IF($W566="","",SUMIFS(상세표[07~18시],상세표[사번키],INDEX(합계표[사번키],$W566),상세표[반영월],대상월키,상세표[반영 기관],"서울병원"))</f>
        <v/>
      </c>
      <c r="O566">
        <f>IF($W566="","",SUMIFS(상세표[18~22시],상세표[사번키],INDEX(합계표[사번키],$W566),상세표[반영월],대상월키,상세표[반영 기관],"서울병원"))</f>
        <v/>
      </c>
      <c r="P566">
        <f>IF($W566="","",SUMIFS(상세표[22~06시],상세표[사번키],INDEX(합계표[사번키],$W566),상세표[반영월],대상월키,상세표[반영 기관],"서울병원"))</f>
        <v/>
      </c>
      <c r="Q566">
        <f>IF($W566="","",SUM($M566:$P566))</f>
        <v/>
      </c>
      <c r="R566">
        <f>IF($W566="","",COUNTIFS(상세표[사번키],INDEX(합계표[사번키],$W566),상세표[반영월],대상월키,상세표[야간당직],1,상세표[야간 구분],"평일"))</f>
        <v/>
      </c>
      <c r="S566" s="4">
        <f>IF($W566="","",COUNTIFS(상세표[사번키],INDEX(합계표[사번키],$W566),상세표[반영월],대상월키,상세표[야간당직],1,상세표[야간 구분],"휴일"))</f>
        <v/>
      </c>
      <c r="T566">
        <f>IF($W566="","",COUNTIFS(상세표[사번키],INDEX(합계표[사번키],$W566),상세표[반영월],대상월키,상세표[야간당직],1,상세표[야간 구분],"평일",상세표[반영 기관],"서울병원"))</f>
        <v/>
      </c>
      <c r="U566">
        <f>IF($W566="","",COUNTIFS(상세표[사번키],INDEX(합계표[사번키],$W566),상세표[반영월],대상월키,상세표[야간당직],1,상세표[야간 구분],"휴일",상세표[반영 기관],"서울병원"))</f>
        <v/>
      </c>
      <c r="V566">
        <f>IF($W566="","",IF(ISNUMBER(MATCH(INDEX(합계표[사번키],$W566)&amp;"|"&amp;대상월키,월별근무지표[키],0)),"직접 입력",IF($K566="—","—","기관명단")))</f>
        <v/>
      </c>
      <c r="W566">
        <f>IFERROR(MATCH(561,합계표[판정순번],0),"")</f>
        <v/>
      </c>
    </row>
    <row r="567">
      <c r="A567">
        <f>IF($W567="","",INDEX(합계표[사번],$W567)&amp;"")</f>
        <v/>
      </c>
      <c r="B567">
        <f>IF($W567="","",INDEX(합계표[성명],$W567)&amp;"")</f>
        <v/>
      </c>
      <c r="C567">
        <f>IF($W567="","",INDEX(합계표[부서],$W567)&amp;"")</f>
        <v/>
      </c>
      <c r="D567">
        <f>IF($W567="","",INDEX(합계표[직위(통합)],$W567)&amp;"")</f>
        <v/>
      </c>
      <c r="E567">
        <f>IF($W567="","",SUMIFS(합계표[시스템 합계],합계표[사번키],INDEX(합계표[사번키],$W567)))</f>
        <v/>
      </c>
      <c r="F567">
        <f>IF($W567="","",SUMIFS(상세표[기록 시간외],상세표[사번키],INDEX(합계표[사번키],$W567),상세표[기록월],대상월키))</f>
        <v/>
      </c>
      <c r="G567">
        <f>IF($W567="","",IF(ABS($E567-$F567)&lt;0.01,"일치","불일치(차이 "&amp;TEXT($F567-$E567,"0.00")&amp;")"))</f>
        <v/>
      </c>
      <c r="H567">
        <f>IF($W567="","",SUMIFS(상세표[기록 시간외],상세표[사번키],INDEX(합계표[사번키],$W567),상세표[기록월],대상월키,상세표[반영월],"&lt;&gt;"&amp;대상월키))</f>
        <v/>
      </c>
      <c r="I567">
        <f>IF($W567="","",SUMIFS(상세표[기록 시간외],상세표[사번키],INDEX(합계표[사번키],$W567),상세표[기록월],"&lt;&gt;"&amp;대상월키,상세표[반영월],대상월키))</f>
        <v/>
      </c>
      <c r="J567">
        <f>IF($W567="","",SUMIFS(상세표[기록 시간외],상세표[사번키],INDEX(합계표[사번키],$W567),상세표[반영월],대상월키))</f>
        <v/>
      </c>
      <c r="K567">
        <f>IF($W567="","",IFERROR(INDEX(월별근무지표[적용 급여병원],MATCH(INDEX(합계표[사번키],$W567)&amp;"|"&amp;대상월키,월별근무지표[키],0))&amp;"",IF(COUNTIF(기관표[사번키],INDEX(합계표[사번키],$W567))+COUNTIF(월별근무지표[사번키],INDEX(합계표[사번키],$W567))&gt;0,IFERROR(INDEX(기관표[급여지급병원(기준월)],MATCH(INDEX(합계표[사번키],$W567)&amp;"|"&amp;대상월키,기관표[키],0))&amp;"","—"),"—")))</f>
        <v/>
      </c>
      <c r="L567">
        <f>IF($W567="","",IF(NOT(COUNTIF(기관표[사번키],INDEX(합계표[사번키],$W567))+COUNTIF(월별근무지표[사번키],INDEX(합계표[사번키],$W567))&gt;0),"기관명단에 없음(다른 병원으로 발송)",IF($K567="—","대상월 기관명단 없음(추가 필요)",IF($K567="서울병원","해당","비해당"))))</f>
        <v/>
      </c>
      <c r="M567">
        <f>IF($W567="","",SUMIFS(상세표[06~07시],상세표[사번키],INDEX(합계표[사번키],$W567),상세표[반영월],대상월키,상세표[반영 기관],"서울병원"))</f>
        <v/>
      </c>
      <c r="N567">
        <f>IF($W567="","",SUMIFS(상세표[07~18시],상세표[사번키],INDEX(합계표[사번키],$W567),상세표[반영월],대상월키,상세표[반영 기관],"서울병원"))</f>
        <v/>
      </c>
      <c r="O567">
        <f>IF($W567="","",SUMIFS(상세표[18~22시],상세표[사번키],INDEX(합계표[사번키],$W567),상세표[반영월],대상월키,상세표[반영 기관],"서울병원"))</f>
        <v/>
      </c>
      <c r="P567">
        <f>IF($W567="","",SUMIFS(상세표[22~06시],상세표[사번키],INDEX(합계표[사번키],$W567),상세표[반영월],대상월키,상세표[반영 기관],"서울병원"))</f>
        <v/>
      </c>
      <c r="Q567">
        <f>IF($W567="","",SUM($M567:$P567))</f>
        <v/>
      </c>
      <c r="R567">
        <f>IF($W567="","",COUNTIFS(상세표[사번키],INDEX(합계표[사번키],$W567),상세표[반영월],대상월키,상세표[야간당직],1,상세표[야간 구분],"평일"))</f>
        <v/>
      </c>
      <c r="S567" s="4">
        <f>IF($W567="","",COUNTIFS(상세표[사번키],INDEX(합계표[사번키],$W567),상세표[반영월],대상월키,상세표[야간당직],1,상세표[야간 구분],"휴일"))</f>
        <v/>
      </c>
      <c r="T567">
        <f>IF($W567="","",COUNTIFS(상세표[사번키],INDEX(합계표[사번키],$W567),상세표[반영월],대상월키,상세표[야간당직],1,상세표[야간 구분],"평일",상세표[반영 기관],"서울병원"))</f>
        <v/>
      </c>
      <c r="U567">
        <f>IF($W567="","",COUNTIFS(상세표[사번키],INDEX(합계표[사번키],$W567),상세표[반영월],대상월키,상세표[야간당직],1,상세표[야간 구분],"휴일",상세표[반영 기관],"서울병원"))</f>
        <v/>
      </c>
      <c r="V567">
        <f>IF($W567="","",IF(ISNUMBER(MATCH(INDEX(합계표[사번키],$W567)&amp;"|"&amp;대상월키,월별근무지표[키],0)),"직접 입력",IF($K567="—","—","기관명단")))</f>
        <v/>
      </c>
      <c r="W567">
        <f>IFERROR(MATCH(562,합계표[판정순번],0),"")</f>
        <v/>
      </c>
    </row>
    <row r="568">
      <c r="A568">
        <f>IF($W568="","",INDEX(합계표[사번],$W568)&amp;"")</f>
        <v/>
      </c>
      <c r="B568">
        <f>IF($W568="","",INDEX(합계표[성명],$W568)&amp;"")</f>
        <v/>
      </c>
      <c r="C568">
        <f>IF($W568="","",INDEX(합계표[부서],$W568)&amp;"")</f>
        <v/>
      </c>
      <c r="D568">
        <f>IF($W568="","",INDEX(합계표[직위(통합)],$W568)&amp;"")</f>
        <v/>
      </c>
      <c r="E568">
        <f>IF($W568="","",SUMIFS(합계표[시스템 합계],합계표[사번키],INDEX(합계표[사번키],$W568)))</f>
        <v/>
      </c>
      <c r="F568">
        <f>IF($W568="","",SUMIFS(상세표[기록 시간외],상세표[사번키],INDEX(합계표[사번키],$W568),상세표[기록월],대상월키))</f>
        <v/>
      </c>
      <c r="G568">
        <f>IF($W568="","",IF(ABS($E568-$F568)&lt;0.01,"일치","불일치(차이 "&amp;TEXT($F568-$E568,"0.00")&amp;")"))</f>
        <v/>
      </c>
      <c r="H568">
        <f>IF($W568="","",SUMIFS(상세표[기록 시간외],상세표[사번키],INDEX(합계표[사번키],$W568),상세표[기록월],대상월키,상세표[반영월],"&lt;&gt;"&amp;대상월키))</f>
        <v/>
      </c>
      <c r="I568">
        <f>IF($W568="","",SUMIFS(상세표[기록 시간외],상세표[사번키],INDEX(합계표[사번키],$W568),상세표[기록월],"&lt;&gt;"&amp;대상월키,상세표[반영월],대상월키))</f>
        <v/>
      </c>
      <c r="J568">
        <f>IF($W568="","",SUMIFS(상세표[기록 시간외],상세표[사번키],INDEX(합계표[사번키],$W568),상세표[반영월],대상월키))</f>
        <v/>
      </c>
      <c r="K568">
        <f>IF($W568="","",IFERROR(INDEX(월별근무지표[적용 급여병원],MATCH(INDEX(합계표[사번키],$W568)&amp;"|"&amp;대상월키,월별근무지표[키],0))&amp;"",IF(COUNTIF(기관표[사번키],INDEX(합계표[사번키],$W568))+COUNTIF(월별근무지표[사번키],INDEX(합계표[사번키],$W568))&gt;0,IFERROR(INDEX(기관표[급여지급병원(기준월)],MATCH(INDEX(합계표[사번키],$W568)&amp;"|"&amp;대상월키,기관표[키],0))&amp;"","—"),"—")))</f>
        <v/>
      </c>
      <c r="L568">
        <f>IF($W568="","",IF(NOT(COUNTIF(기관표[사번키],INDEX(합계표[사번키],$W568))+COUNTIF(월별근무지표[사번키],INDEX(합계표[사번키],$W568))&gt;0),"기관명단에 없음(다른 병원으로 발송)",IF($K568="—","대상월 기관명단 없음(추가 필요)",IF($K568="서울병원","해당","비해당"))))</f>
        <v/>
      </c>
      <c r="M568">
        <f>IF($W568="","",SUMIFS(상세표[06~07시],상세표[사번키],INDEX(합계표[사번키],$W568),상세표[반영월],대상월키,상세표[반영 기관],"서울병원"))</f>
        <v/>
      </c>
      <c r="N568">
        <f>IF($W568="","",SUMIFS(상세표[07~18시],상세표[사번키],INDEX(합계표[사번키],$W568),상세표[반영월],대상월키,상세표[반영 기관],"서울병원"))</f>
        <v/>
      </c>
      <c r="O568">
        <f>IF($W568="","",SUMIFS(상세표[18~22시],상세표[사번키],INDEX(합계표[사번키],$W568),상세표[반영월],대상월키,상세표[반영 기관],"서울병원"))</f>
        <v/>
      </c>
      <c r="P568">
        <f>IF($W568="","",SUMIFS(상세표[22~06시],상세표[사번키],INDEX(합계표[사번키],$W568),상세표[반영월],대상월키,상세표[반영 기관],"서울병원"))</f>
        <v/>
      </c>
      <c r="Q568">
        <f>IF($W568="","",SUM($M568:$P568))</f>
        <v/>
      </c>
      <c r="R568">
        <f>IF($W568="","",COUNTIFS(상세표[사번키],INDEX(합계표[사번키],$W568),상세표[반영월],대상월키,상세표[야간당직],1,상세표[야간 구분],"평일"))</f>
        <v/>
      </c>
      <c r="S568" s="4">
        <f>IF($W568="","",COUNTIFS(상세표[사번키],INDEX(합계표[사번키],$W568),상세표[반영월],대상월키,상세표[야간당직],1,상세표[야간 구분],"휴일"))</f>
        <v/>
      </c>
      <c r="T568">
        <f>IF($W568="","",COUNTIFS(상세표[사번키],INDEX(합계표[사번키],$W568),상세표[반영월],대상월키,상세표[야간당직],1,상세표[야간 구분],"평일",상세표[반영 기관],"서울병원"))</f>
        <v/>
      </c>
      <c r="U568">
        <f>IF($W568="","",COUNTIFS(상세표[사번키],INDEX(합계표[사번키],$W568),상세표[반영월],대상월키,상세표[야간당직],1,상세표[야간 구분],"휴일",상세표[반영 기관],"서울병원"))</f>
        <v/>
      </c>
      <c r="V568">
        <f>IF($W568="","",IF(ISNUMBER(MATCH(INDEX(합계표[사번키],$W568)&amp;"|"&amp;대상월키,월별근무지표[키],0)),"직접 입력",IF($K568="—","—","기관명단")))</f>
        <v/>
      </c>
      <c r="W568">
        <f>IFERROR(MATCH(563,합계표[판정순번],0),"")</f>
        <v/>
      </c>
    </row>
    <row r="569">
      <c r="A569">
        <f>IF($W569="","",INDEX(합계표[사번],$W569)&amp;"")</f>
        <v/>
      </c>
      <c r="B569">
        <f>IF($W569="","",INDEX(합계표[성명],$W569)&amp;"")</f>
        <v/>
      </c>
      <c r="C569">
        <f>IF($W569="","",INDEX(합계표[부서],$W569)&amp;"")</f>
        <v/>
      </c>
      <c r="D569">
        <f>IF($W569="","",INDEX(합계표[직위(통합)],$W569)&amp;"")</f>
        <v/>
      </c>
      <c r="E569">
        <f>IF($W569="","",SUMIFS(합계표[시스템 합계],합계표[사번키],INDEX(합계표[사번키],$W569)))</f>
        <v/>
      </c>
      <c r="F569">
        <f>IF($W569="","",SUMIFS(상세표[기록 시간외],상세표[사번키],INDEX(합계표[사번키],$W569),상세표[기록월],대상월키))</f>
        <v/>
      </c>
      <c r="G569">
        <f>IF($W569="","",IF(ABS($E569-$F569)&lt;0.01,"일치","불일치(차이 "&amp;TEXT($F569-$E569,"0.00")&amp;")"))</f>
        <v/>
      </c>
      <c r="H569">
        <f>IF($W569="","",SUMIFS(상세표[기록 시간외],상세표[사번키],INDEX(합계표[사번키],$W569),상세표[기록월],대상월키,상세표[반영월],"&lt;&gt;"&amp;대상월키))</f>
        <v/>
      </c>
      <c r="I569">
        <f>IF($W569="","",SUMIFS(상세표[기록 시간외],상세표[사번키],INDEX(합계표[사번키],$W569),상세표[기록월],"&lt;&gt;"&amp;대상월키,상세표[반영월],대상월키))</f>
        <v/>
      </c>
      <c r="J569">
        <f>IF($W569="","",SUMIFS(상세표[기록 시간외],상세표[사번키],INDEX(합계표[사번키],$W569),상세표[반영월],대상월키))</f>
        <v/>
      </c>
      <c r="K569">
        <f>IF($W569="","",IFERROR(INDEX(월별근무지표[적용 급여병원],MATCH(INDEX(합계표[사번키],$W569)&amp;"|"&amp;대상월키,월별근무지표[키],0))&amp;"",IF(COUNTIF(기관표[사번키],INDEX(합계표[사번키],$W569))+COUNTIF(월별근무지표[사번키],INDEX(합계표[사번키],$W569))&gt;0,IFERROR(INDEX(기관표[급여지급병원(기준월)],MATCH(INDEX(합계표[사번키],$W569)&amp;"|"&amp;대상월키,기관표[키],0))&amp;"","—"),"—")))</f>
        <v/>
      </c>
      <c r="L569">
        <f>IF($W569="","",IF(NOT(COUNTIF(기관표[사번키],INDEX(합계표[사번키],$W569))+COUNTIF(월별근무지표[사번키],INDEX(합계표[사번키],$W569))&gt;0),"기관명단에 없음(다른 병원으로 발송)",IF($K569="—","대상월 기관명단 없음(추가 필요)",IF($K569="서울병원","해당","비해당"))))</f>
        <v/>
      </c>
      <c r="M569">
        <f>IF($W569="","",SUMIFS(상세표[06~07시],상세표[사번키],INDEX(합계표[사번키],$W569),상세표[반영월],대상월키,상세표[반영 기관],"서울병원"))</f>
        <v/>
      </c>
      <c r="N569">
        <f>IF($W569="","",SUMIFS(상세표[07~18시],상세표[사번키],INDEX(합계표[사번키],$W569),상세표[반영월],대상월키,상세표[반영 기관],"서울병원"))</f>
        <v/>
      </c>
      <c r="O569">
        <f>IF($W569="","",SUMIFS(상세표[18~22시],상세표[사번키],INDEX(합계표[사번키],$W569),상세표[반영월],대상월키,상세표[반영 기관],"서울병원"))</f>
        <v/>
      </c>
      <c r="P569">
        <f>IF($W569="","",SUMIFS(상세표[22~06시],상세표[사번키],INDEX(합계표[사번키],$W569),상세표[반영월],대상월키,상세표[반영 기관],"서울병원"))</f>
        <v/>
      </c>
      <c r="Q569">
        <f>IF($W569="","",SUM($M569:$P569))</f>
        <v/>
      </c>
      <c r="R569">
        <f>IF($W569="","",COUNTIFS(상세표[사번키],INDEX(합계표[사번키],$W569),상세표[반영월],대상월키,상세표[야간당직],1,상세표[야간 구분],"평일"))</f>
        <v/>
      </c>
      <c r="S569" s="4">
        <f>IF($W569="","",COUNTIFS(상세표[사번키],INDEX(합계표[사번키],$W569),상세표[반영월],대상월키,상세표[야간당직],1,상세표[야간 구분],"휴일"))</f>
        <v/>
      </c>
      <c r="T569">
        <f>IF($W569="","",COUNTIFS(상세표[사번키],INDEX(합계표[사번키],$W569),상세표[반영월],대상월키,상세표[야간당직],1,상세표[야간 구분],"평일",상세표[반영 기관],"서울병원"))</f>
        <v/>
      </c>
      <c r="U569">
        <f>IF($W569="","",COUNTIFS(상세표[사번키],INDEX(합계표[사번키],$W569),상세표[반영월],대상월키,상세표[야간당직],1,상세표[야간 구분],"휴일",상세표[반영 기관],"서울병원"))</f>
        <v/>
      </c>
      <c r="V569">
        <f>IF($W569="","",IF(ISNUMBER(MATCH(INDEX(합계표[사번키],$W569)&amp;"|"&amp;대상월키,월별근무지표[키],0)),"직접 입력",IF($K569="—","—","기관명단")))</f>
        <v/>
      </c>
      <c r="W569">
        <f>IFERROR(MATCH(564,합계표[판정순번],0),"")</f>
        <v/>
      </c>
    </row>
    <row r="570">
      <c r="A570">
        <f>IF($W570="","",INDEX(합계표[사번],$W570)&amp;"")</f>
        <v/>
      </c>
      <c r="B570">
        <f>IF($W570="","",INDEX(합계표[성명],$W570)&amp;"")</f>
        <v/>
      </c>
      <c r="C570">
        <f>IF($W570="","",INDEX(합계표[부서],$W570)&amp;"")</f>
        <v/>
      </c>
      <c r="D570">
        <f>IF($W570="","",INDEX(합계표[직위(통합)],$W570)&amp;"")</f>
        <v/>
      </c>
      <c r="E570">
        <f>IF($W570="","",SUMIFS(합계표[시스템 합계],합계표[사번키],INDEX(합계표[사번키],$W570)))</f>
        <v/>
      </c>
      <c r="F570">
        <f>IF($W570="","",SUMIFS(상세표[기록 시간외],상세표[사번키],INDEX(합계표[사번키],$W570),상세표[기록월],대상월키))</f>
        <v/>
      </c>
      <c r="G570">
        <f>IF($W570="","",IF(ABS($E570-$F570)&lt;0.01,"일치","불일치(차이 "&amp;TEXT($F570-$E570,"0.00")&amp;")"))</f>
        <v/>
      </c>
      <c r="H570">
        <f>IF($W570="","",SUMIFS(상세표[기록 시간외],상세표[사번키],INDEX(합계표[사번키],$W570),상세표[기록월],대상월키,상세표[반영월],"&lt;&gt;"&amp;대상월키))</f>
        <v/>
      </c>
      <c r="I570">
        <f>IF($W570="","",SUMIFS(상세표[기록 시간외],상세표[사번키],INDEX(합계표[사번키],$W570),상세표[기록월],"&lt;&gt;"&amp;대상월키,상세표[반영월],대상월키))</f>
        <v/>
      </c>
      <c r="J570">
        <f>IF($W570="","",SUMIFS(상세표[기록 시간외],상세표[사번키],INDEX(합계표[사번키],$W570),상세표[반영월],대상월키))</f>
        <v/>
      </c>
      <c r="K570">
        <f>IF($W570="","",IFERROR(INDEX(월별근무지표[적용 급여병원],MATCH(INDEX(합계표[사번키],$W570)&amp;"|"&amp;대상월키,월별근무지표[키],0))&amp;"",IF(COUNTIF(기관표[사번키],INDEX(합계표[사번키],$W570))+COUNTIF(월별근무지표[사번키],INDEX(합계표[사번키],$W570))&gt;0,IFERROR(INDEX(기관표[급여지급병원(기준월)],MATCH(INDEX(합계표[사번키],$W570)&amp;"|"&amp;대상월키,기관표[키],0))&amp;"","—"),"—")))</f>
        <v/>
      </c>
      <c r="L570">
        <f>IF($W570="","",IF(NOT(COUNTIF(기관표[사번키],INDEX(합계표[사번키],$W570))+COUNTIF(월별근무지표[사번키],INDEX(합계표[사번키],$W570))&gt;0),"기관명단에 없음(다른 병원으로 발송)",IF($K570="—","대상월 기관명단 없음(추가 필요)",IF($K570="서울병원","해당","비해당"))))</f>
        <v/>
      </c>
      <c r="M570">
        <f>IF($W570="","",SUMIFS(상세표[06~07시],상세표[사번키],INDEX(합계표[사번키],$W570),상세표[반영월],대상월키,상세표[반영 기관],"서울병원"))</f>
        <v/>
      </c>
      <c r="N570">
        <f>IF($W570="","",SUMIFS(상세표[07~18시],상세표[사번키],INDEX(합계표[사번키],$W570),상세표[반영월],대상월키,상세표[반영 기관],"서울병원"))</f>
        <v/>
      </c>
      <c r="O570">
        <f>IF($W570="","",SUMIFS(상세표[18~22시],상세표[사번키],INDEX(합계표[사번키],$W570),상세표[반영월],대상월키,상세표[반영 기관],"서울병원"))</f>
        <v/>
      </c>
      <c r="P570">
        <f>IF($W570="","",SUMIFS(상세표[22~06시],상세표[사번키],INDEX(합계표[사번키],$W570),상세표[반영월],대상월키,상세표[반영 기관],"서울병원"))</f>
        <v/>
      </c>
      <c r="Q570">
        <f>IF($W570="","",SUM($M570:$P570))</f>
        <v/>
      </c>
      <c r="R570">
        <f>IF($W570="","",COUNTIFS(상세표[사번키],INDEX(합계표[사번키],$W570),상세표[반영월],대상월키,상세표[야간당직],1,상세표[야간 구분],"평일"))</f>
        <v/>
      </c>
      <c r="S570" s="4">
        <f>IF($W570="","",COUNTIFS(상세표[사번키],INDEX(합계표[사번키],$W570),상세표[반영월],대상월키,상세표[야간당직],1,상세표[야간 구분],"휴일"))</f>
        <v/>
      </c>
      <c r="T570">
        <f>IF($W570="","",COUNTIFS(상세표[사번키],INDEX(합계표[사번키],$W570),상세표[반영월],대상월키,상세표[야간당직],1,상세표[야간 구분],"평일",상세표[반영 기관],"서울병원"))</f>
        <v/>
      </c>
      <c r="U570">
        <f>IF($W570="","",COUNTIFS(상세표[사번키],INDEX(합계표[사번키],$W570),상세표[반영월],대상월키,상세표[야간당직],1,상세표[야간 구분],"휴일",상세표[반영 기관],"서울병원"))</f>
        <v/>
      </c>
      <c r="V570">
        <f>IF($W570="","",IF(ISNUMBER(MATCH(INDEX(합계표[사번키],$W570)&amp;"|"&amp;대상월키,월별근무지표[키],0)),"직접 입력",IF($K570="—","—","기관명단")))</f>
        <v/>
      </c>
      <c r="W570">
        <f>IFERROR(MATCH(565,합계표[판정순번],0),"")</f>
        <v/>
      </c>
    </row>
    <row r="571">
      <c r="A571">
        <f>IF($W571="","",INDEX(합계표[사번],$W571)&amp;"")</f>
        <v/>
      </c>
      <c r="B571">
        <f>IF($W571="","",INDEX(합계표[성명],$W571)&amp;"")</f>
        <v/>
      </c>
      <c r="C571">
        <f>IF($W571="","",INDEX(합계표[부서],$W571)&amp;"")</f>
        <v/>
      </c>
      <c r="D571">
        <f>IF($W571="","",INDEX(합계표[직위(통합)],$W571)&amp;"")</f>
        <v/>
      </c>
      <c r="E571">
        <f>IF($W571="","",SUMIFS(합계표[시스템 합계],합계표[사번키],INDEX(합계표[사번키],$W571)))</f>
        <v/>
      </c>
      <c r="F571">
        <f>IF($W571="","",SUMIFS(상세표[기록 시간외],상세표[사번키],INDEX(합계표[사번키],$W571),상세표[기록월],대상월키))</f>
        <v/>
      </c>
      <c r="G571">
        <f>IF($W571="","",IF(ABS($E571-$F571)&lt;0.01,"일치","불일치(차이 "&amp;TEXT($F571-$E571,"0.00")&amp;")"))</f>
        <v/>
      </c>
      <c r="H571">
        <f>IF($W571="","",SUMIFS(상세표[기록 시간외],상세표[사번키],INDEX(합계표[사번키],$W571),상세표[기록월],대상월키,상세표[반영월],"&lt;&gt;"&amp;대상월키))</f>
        <v/>
      </c>
      <c r="I571">
        <f>IF($W571="","",SUMIFS(상세표[기록 시간외],상세표[사번키],INDEX(합계표[사번키],$W571),상세표[기록월],"&lt;&gt;"&amp;대상월키,상세표[반영월],대상월키))</f>
        <v/>
      </c>
      <c r="J571">
        <f>IF($W571="","",SUMIFS(상세표[기록 시간외],상세표[사번키],INDEX(합계표[사번키],$W571),상세표[반영월],대상월키))</f>
        <v/>
      </c>
      <c r="K571">
        <f>IF($W571="","",IFERROR(INDEX(월별근무지표[적용 급여병원],MATCH(INDEX(합계표[사번키],$W571)&amp;"|"&amp;대상월키,월별근무지표[키],0))&amp;"",IF(COUNTIF(기관표[사번키],INDEX(합계표[사번키],$W571))+COUNTIF(월별근무지표[사번키],INDEX(합계표[사번키],$W571))&gt;0,IFERROR(INDEX(기관표[급여지급병원(기준월)],MATCH(INDEX(합계표[사번키],$W571)&amp;"|"&amp;대상월키,기관표[키],0))&amp;"","—"),"—")))</f>
        <v/>
      </c>
      <c r="L571">
        <f>IF($W571="","",IF(NOT(COUNTIF(기관표[사번키],INDEX(합계표[사번키],$W571))+COUNTIF(월별근무지표[사번키],INDEX(합계표[사번키],$W571))&gt;0),"기관명단에 없음(다른 병원으로 발송)",IF($K571="—","대상월 기관명단 없음(추가 필요)",IF($K571="서울병원","해당","비해당"))))</f>
        <v/>
      </c>
      <c r="M571">
        <f>IF($W571="","",SUMIFS(상세표[06~07시],상세표[사번키],INDEX(합계표[사번키],$W571),상세표[반영월],대상월키,상세표[반영 기관],"서울병원"))</f>
        <v/>
      </c>
      <c r="N571">
        <f>IF($W571="","",SUMIFS(상세표[07~18시],상세표[사번키],INDEX(합계표[사번키],$W571),상세표[반영월],대상월키,상세표[반영 기관],"서울병원"))</f>
        <v/>
      </c>
      <c r="O571">
        <f>IF($W571="","",SUMIFS(상세표[18~22시],상세표[사번키],INDEX(합계표[사번키],$W571),상세표[반영월],대상월키,상세표[반영 기관],"서울병원"))</f>
        <v/>
      </c>
      <c r="P571">
        <f>IF($W571="","",SUMIFS(상세표[22~06시],상세표[사번키],INDEX(합계표[사번키],$W571),상세표[반영월],대상월키,상세표[반영 기관],"서울병원"))</f>
        <v/>
      </c>
      <c r="Q571">
        <f>IF($W571="","",SUM($M571:$P571))</f>
        <v/>
      </c>
      <c r="R571">
        <f>IF($W571="","",COUNTIFS(상세표[사번키],INDEX(합계표[사번키],$W571),상세표[반영월],대상월키,상세표[야간당직],1,상세표[야간 구분],"평일"))</f>
        <v/>
      </c>
      <c r="S571" s="4">
        <f>IF($W571="","",COUNTIFS(상세표[사번키],INDEX(합계표[사번키],$W571),상세표[반영월],대상월키,상세표[야간당직],1,상세표[야간 구분],"휴일"))</f>
        <v/>
      </c>
      <c r="T571">
        <f>IF($W571="","",COUNTIFS(상세표[사번키],INDEX(합계표[사번키],$W571),상세표[반영월],대상월키,상세표[야간당직],1,상세표[야간 구분],"평일",상세표[반영 기관],"서울병원"))</f>
        <v/>
      </c>
      <c r="U571">
        <f>IF($W571="","",COUNTIFS(상세표[사번키],INDEX(합계표[사번키],$W571),상세표[반영월],대상월키,상세표[야간당직],1,상세표[야간 구분],"휴일",상세표[반영 기관],"서울병원"))</f>
        <v/>
      </c>
      <c r="V571">
        <f>IF($W571="","",IF(ISNUMBER(MATCH(INDEX(합계표[사번키],$W571)&amp;"|"&amp;대상월키,월별근무지표[키],0)),"직접 입력",IF($K571="—","—","기관명단")))</f>
        <v/>
      </c>
      <c r="W571">
        <f>IFERROR(MATCH(566,합계표[판정순번],0),"")</f>
        <v/>
      </c>
    </row>
    <row r="572">
      <c r="A572">
        <f>IF($W572="","",INDEX(합계표[사번],$W572)&amp;"")</f>
        <v/>
      </c>
      <c r="B572">
        <f>IF($W572="","",INDEX(합계표[성명],$W572)&amp;"")</f>
        <v/>
      </c>
      <c r="C572">
        <f>IF($W572="","",INDEX(합계표[부서],$W572)&amp;"")</f>
        <v/>
      </c>
      <c r="D572">
        <f>IF($W572="","",INDEX(합계표[직위(통합)],$W572)&amp;"")</f>
        <v/>
      </c>
      <c r="E572">
        <f>IF($W572="","",SUMIFS(합계표[시스템 합계],합계표[사번키],INDEX(합계표[사번키],$W572)))</f>
        <v/>
      </c>
      <c r="F572">
        <f>IF($W572="","",SUMIFS(상세표[기록 시간외],상세표[사번키],INDEX(합계표[사번키],$W572),상세표[기록월],대상월키))</f>
        <v/>
      </c>
      <c r="G572">
        <f>IF($W572="","",IF(ABS($E572-$F572)&lt;0.01,"일치","불일치(차이 "&amp;TEXT($F572-$E572,"0.00")&amp;")"))</f>
        <v/>
      </c>
      <c r="H572">
        <f>IF($W572="","",SUMIFS(상세표[기록 시간외],상세표[사번키],INDEX(합계표[사번키],$W572),상세표[기록월],대상월키,상세표[반영월],"&lt;&gt;"&amp;대상월키))</f>
        <v/>
      </c>
      <c r="I572">
        <f>IF($W572="","",SUMIFS(상세표[기록 시간외],상세표[사번키],INDEX(합계표[사번키],$W572),상세표[기록월],"&lt;&gt;"&amp;대상월키,상세표[반영월],대상월키))</f>
        <v/>
      </c>
      <c r="J572">
        <f>IF($W572="","",SUMIFS(상세표[기록 시간외],상세표[사번키],INDEX(합계표[사번키],$W572),상세표[반영월],대상월키))</f>
        <v/>
      </c>
      <c r="K572">
        <f>IF($W572="","",IFERROR(INDEX(월별근무지표[적용 급여병원],MATCH(INDEX(합계표[사번키],$W572)&amp;"|"&amp;대상월키,월별근무지표[키],0))&amp;"",IF(COUNTIF(기관표[사번키],INDEX(합계표[사번키],$W572))+COUNTIF(월별근무지표[사번키],INDEX(합계표[사번키],$W572))&gt;0,IFERROR(INDEX(기관표[급여지급병원(기준월)],MATCH(INDEX(합계표[사번키],$W572)&amp;"|"&amp;대상월키,기관표[키],0))&amp;"","—"),"—")))</f>
        <v/>
      </c>
      <c r="L572">
        <f>IF($W572="","",IF(NOT(COUNTIF(기관표[사번키],INDEX(합계표[사번키],$W572))+COUNTIF(월별근무지표[사번키],INDEX(합계표[사번키],$W572))&gt;0),"기관명단에 없음(다른 병원으로 발송)",IF($K572="—","대상월 기관명단 없음(추가 필요)",IF($K572="서울병원","해당","비해당"))))</f>
        <v/>
      </c>
      <c r="M572">
        <f>IF($W572="","",SUMIFS(상세표[06~07시],상세표[사번키],INDEX(합계표[사번키],$W572),상세표[반영월],대상월키,상세표[반영 기관],"서울병원"))</f>
        <v/>
      </c>
      <c r="N572">
        <f>IF($W572="","",SUMIFS(상세표[07~18시],상세표[사번키],INDEX(합계표[사번키],$W572),상세표[반영월],대상월키,상세표[반영 기관],"서울병원"))</f>
        <v/>
      </c>
      <c r="O572">
        <f>IF($W572="","",SUMIFS(상세표[18~22시],상세표[사번키],INDEX(합계표[사번키],$W572),상세표[반영월],대상월키,상세표[반영 기관],"서울병원"))</f>
        <v/>
      </c>
      <c r="P572">
        <f>IF($W572="","",SUMIFS(상세표[22~06시],상세표[사번키],INDEX(합계표[사번키],$W572),상세표[반영월],대상월키,상세표[반영 기관],"서울병원"))</f>
        <v/>
      </c>
      <c r="Q572">
        <f>IF($W572="","",SUM($M572:$P572))</f>
        <v/>
      </c>
      <c r="R572">
        <f>IF($W572="","",COUNTIFS(상세표[사번키],INDEX(합계표[사번키],$W572),상세표[반영월],대상월키,상세표[야간당직],1,상세표[야간 구분],"평일"))</f>
        <v/>
      </c>
      <c r="S572" s="4">
        <f>IF($W572="","",COUNTIFS(상세표[사번키],INDEX(합계표[사번키],$W572),상세표[반영월],대상월키,상세표[야간당직],1,상세표[야간 구분],"휴일"))</f>
        <v/>
      </c>
      <c r="T572">
        <f>IF($W572="","",COUNTIFS(상세표[사번키],INDEX(합계표[사번키],$W572),상세표[반영월],대상월키,상세표[야간당직],1,상세표[야간 구분],"평일",상세표[반영 기관],"서울병원"))</f>
        <v/>
      </c>
      <c r="U572">
        <f>IF($W572="","",COUNTIFS(상세표[사번키],INDEX(합계표[사번키],$W572),상세표[반영월],대상월키,상세표[야간당직],1,상세표[야간 구분],"휴일",상세표[반영 기관],"서울병원"))</f>
        <v/>
      </c>
      <c r="V572">
        <f>IF($W572="","",IF(ISNUMBER(MATCH(INDEX(합계표[사번키],$W572)&amp;"|"&amp;대상월키,월별근무지표[키],0)),"직접 입력",IF($K572="—","—","기관명단")))</f>
        <v/>
      </c>
      <c r="W572">
        <f>IFERROR(MATCH(567,합계표[판정순번],0),"")</f>
        <v/>
      </c>
    </row>
    <row r="573">
      <c r="A573">
        <f>IF($W573="","",INDEX(합계표[사번],$W573)&amp;"")</f>
        <v/>
      </c>
      <c r="B573">
        <f>IF($W573="","",INDEX(합계표[성명],$W573)&amp;"")</f>
        <v/>
      </c>
      <c r="C573">
        <f>IF($W573="","",INDEX(합계표[부서],$W573)&amp;"")</f>
        <v/>
      </c>
      <c r="D573">
        <f>IF($W573="","",INDEX(합계표[직위(통합)],$W573)&amp;"")</f>
        <v/>
      </c>
      <c r="E573">
        <f>IF($W573="","",SUMIFS(합계표[시스템 합계],합계표[사번키],INDEX(합계표[사번키],$W573)))</f>
        <v/>
      </c>
      <c r="F573">
        <f>IF($W573="","",SUMIFS(상세표[기록 시간외],상세표[사번키],INDEX(합계표[사번키],$W573),상세표[기록월],대상월키))</f>
        <v/>
      </c>
      <c r="G573">
        <f>IF($W573="","",IF(ABS($E573-$F573)&lt;0.01,"일치","불일치(차이 "&amp;TEXT($F573-$E573,"0.00")&amp;")"))</f>
        <v/>
      </c>
      <c r="H573">
        <f>IF($W573="","",SUMIFS(상세표[기록 시간외],상세표[사번키],INDEX(합계표[사번키],$W573),상세표[기록월],대상월키,상세표[반영월],"&lt;&gt;"&amp;대상월키))</f>
        <v/>
      </c>
      <c r="I573">
        <f>IF($W573="","",SUMIFS(상세표[기록 시간외],상세표[사번키],INDEX(합계표[사번키],$W573),상세표[기록월],"&lt;&gt;"&amp;대상월키,상세표[반영월],대상월키))</f>
        <v/>
      </c>
      <c r="J573">
        <f>IF($W573="","",SUMIFS(상세표[기록 시간외],상세표[사번키],INDEX(합계표[사번키],$W573),상세표[반영월],대상월키))</f>
        <v/>
      </c>
      <c r="K573">
        <f>IF($W573="","",IFERROR(INDEX(월별근무지표[적용 급여병원],MATCH(INDEX(합계표[사번키],$W573)&amp;"|"&amp;대상월키,월별근무지표[키],0))&amp;"",IF(COUNTIF(기관표[사번키],INDEX(합계표[사번키],$W573))+COUNTIF(월별근무지표[사번키],INDEX(합계표[사번키],$W573))&gt;0,IFERROR(INDEX(기관표[급여지급병원(기준월)],MATCH(INDEX(합계표[사번키],$W573)&amp;"|"&amp;대상월키,기관표[키],0))&amp;"","—"),"—")))</f>
        <v/>
      </c>
      <c r="L573">
        <f>IF($W573="","",IF(NOT(COUNTIF(기관표[사번키],INDEX(합계표[사번키],$W573))+COUNTIF(월별근무지표[사번키],INDEX(합계표[사번키],$W573))&gt;0),"기관명단에 없음(다른 병원으로 발송)",IF($K573="—","대상월 기관명단 없음(추가 필요)",IF($K573="서울병원","해당","비해당"))))</f>
        <v/>
      </c>
      <c r="M573">
        <f>IF($W573="","",SUMIFS(상세표[06~07시],상세표[사번키],INDEX(합계표[사번키],$W573),상세표[반영월],대상월키,상세표[반영 기관],"서울병원"))</f>
        <v/>
      </c>
      <c r="N573">
        <f>IF($W573="","",SUMIFS(상세표[07~18시],상세표[사번키],INDEX(합계표[사번키],$W573),상세표[반영월],대상월키,상세표[반영 기관],"서울병원"))</f>
        <v/>
      </c>
      <c r="O573">
        <f>IF($W573="","",SUMIFS(상세표[18~22시],상세표[사번키],INDEX(합계표[사번키],$W573),상세표[반영월],대상월키,상세표[반영 기관],"서울병원"))</f>
        <v/>
      </c>
      <c r="P573">
        <f>IF($W573="","",SUMIFS(상세표[22~06시],상세표[사번키],INDEX(합계표[사번키],$W573),상세표[반영월],대상월키,상세표[반영 기관],"서울병원"))</f>
        <v/>
      </c>
      <c r="Q573">
        <f>IF($W573="","",SUM($M573:$P573))</f>
        <v/>
      </c>
      <c r="R573">
        <f>IF($W573="","",COUNTIFS(상세표[사번키],INDEX(합계표[사번키],$W573),상세표[반영월],대상월키,상세표[야간당직],1,상세표[야간 구분],"평일"))</f>
        <v/>
      </c>
      <c r="S573" s="4">
        <f>IF($W573="","",COUNTIFS(상세표[사번키],INDEX(합계표[사번키],$W573),상세표[반영월],대상월키,상세표[야간당직],1,상세표[야간 구분],"휴일"))</f>
        <v/>
      </c>
      <c r="T573">
        <f>IF($W573="","",COUNTIFS(상세표[사번키],INDEX(합계표[사번키],$W573),상세표[반영월],대상월키,상세표[야간당직],1,상세표[야간 구분],"평일",상세표[반영 기관],"서울병원"))</f>
        <v/>
      </c>
      <c r="U573">
        <f>IF($W573="","",COUNTIFS(상세표[사번키],INDEX(합계표[사번키],$W573),상세표[반영월],대상월키,상세표[야간당직],1,상세표[야간 구분],"휴일",상세표[반영 기관],"서울병원"))</f>
        <v/>
      </c>
      <c r="V573">
        <f>IF($W573="","",IF(ISNUMBER(MATCH(INDEX(합계표[사번키],$W573)&amp;"|"&amp;대상월키,월별근무지표[키],0)),"직접 입력",IF($K573="—","—","기관명단")))</f>
        <v/>
      </c>
      <c r="W573">
        <f>IFERROR(MATCH(568,합계표[판정순번],0),"")</f>
        <v/>
      </c>
    </row>
    <row r="574">
      <c r="A574">
        <f>IF($W574="","",INDEX(합계표[사번],$W574)&amp;"")</f>
        <v/>
      </c>
      <c r="B574">
        <f>IF($W574="","",INDEX(합계표[성명],$W574)&amp;"")</f>
        <v/>
      </c>
      <c r="C574">
        <f>IF($W574="","",INDEX(합계표[부서],$W574)&amp;"")</f>
        <v/>
      </c>
      <c r="D574">
        <f>IF($W574="","",INDEX(합계표[직위(통합)],$W574)&amp;"")</f>
        <v/>
      </c>
      <c r="E574">
        <f>IF($W574="","",SUMIFS(합계표[시스템 합계],합계표[사번키],INDEX(합계표[사번키],$W574)))</f>
        <v/>
      </c>
      <c r="F574">
        <f>IF($W574="","",SUMIFS(상세표[기록 시간외],상세표[사번키],INDEX(합계표[사번키],$W574),상세표[기록월],대상월키))</f>
        <v/>
      </c>
      <c r="G574">
        <f>IF($W574="","",IF(ABS($E574-$F574)&lt;0.01,"일치","불일치(차이 "&amp;TEXT($F574-$E574,"0.00")&amp;")"))</f>
        <v/>
      </c>
      <c r="H574">
        <f>IF($W574="","",SUMIFS(상세표[기록 시간외],상세표[사번키],INDEX(합계표[사번키],$W574),상세표[기록월],대상월키,상세표[반영월],"&lt;&gt;"&amp;대상월키))</f>
        <v/>
      </c>
      <c r="I574">
        <f>IF($W574="","",SUMIFS(상세표[기록 시간외],상세표[사번키],INDEX(합계표[사번키],$W574),상세표[기록월],"&lt;&gt;"&amp;대상월키,상세표[반영월],대상월키))</f>
        <v/>
      </c>
      <c r="J574">
        <f>IF($W574="","",SUMIFS(상세표[기록 시간외],상세표[사번키],INDEX(합계표[사번키],$W574),상세표[반영월],대상월키))</f>
        <v/>
      </c>
      <c r="K574">
        <f>IF($W574="","",IFERROR(INDEX(월별근무지표[적용 급여병원],MATCH(INDEX(합계표[사번키],$W574)&amp;"|"&amp;대상월키,월별근무지표[키],0))&amp;"",IF(COUNTIF(기관표[사번키],INDEX(합계표[사번키],$W574))+COUNTIF(월별근무지표[사번키],INDEX(합계표[사번키],$W574))&gt;0,IFERROR(INDEX(기관표[급여지급병원(기준월)],MATCH(INDEX(합계표[사번키],$W574)&amp;"|"&amp;대상월키,기관표[키],0))&amp;"","—"),"—")))</f>
        <v/>
      </c>
      <c r="L574">
        <f>IF($W574="","",IF(NOT(COUNTIF(기관표[사번키],INDEX(합계표[사번키],$W574))+COUNTIF(월별근무지표[사번키],INDEX(합계표[사번키],$W574))&gt;0),"기관명단에 없음(다른 병원으로 발송)",IF($K574="—","대상월 기관명단 없음(추가 필요)",IF($K574="서울병원","해당","비해당"))))</f>
        <v/>
      </c>
      <c r="M574">
        <f>IF($W574="","",SUMIFS(상세표[06~07시],상세표[사번키],INDEX(합계표[사번키],$W574),상세표[반영월],대상월키,상세표[반영 기관],"서울병원"))</f>
        <v/>
      </c>
      <c r="N574">
        <f>IF($W574="","",SUMIFS(상세표[07~18시],상세표[사번키],INDEX(합계표[사번키],$W574),상세표[반영월],대상월키,상세표[반영 기관],"서울병원"))</f>
        <v/>
      </c>
      <c r="O574">
        <f>IF($W574="","",SUMIFS(상세표[18~22시],상세표[사번키],INDEX(합계표[사번키],$W574),상세표[반영월],대상월키,상세표[반영 기관],"서울병원"))</f>
        <v/>
      </c>
      <c r="P574">
        <f>IF($W574="","",SUMIFS(상세표[22~06시],상세표[사번키],INDEX(합계표[사번키],$W574),상세표[반영월],대상월키,상세표[반영 기관],"서울병원"))</f>
        <v/>
      </c>
      <c r="Q574">
        <f>IF($W574="","",SUM($M574:$P574))</f>
        <v/>
      </c>
      <c r="R574">
        <f>IF($W574="","",COUNTIFS(상세표[사번키],INDEX(합계표[사번키],$W574),상세표[반영월],대상월키,상세표[야간당직],1,상세표[야간 구분],"평일"))</f>
        <v/>
      </c>
      <c r="S574" s="4">
        <f>IF($W574="","",COUNTIFS(상세표[사번키],INDEX(합계표[사번키],$W574),상세표[반영월],대상월키,상세표[야간당직],1,상세표[야간 구분],"휴일"))</f>
        <v/>
      </c>
      <c r="T574">
        <f>IF($W574="","",COUNTIFS(상세표[사번키],INDEX(합계표[사번키],$W574),상세표[반영월],대상월키,상세표[야간당직],1,상세표[야간 구분],"평일",상세표[반영 기관],"서울병원"))</f>
        <v/>
      </c>
      <c r="U574">
        <f>IF($W574="","",COUNTIFS(상세표[사번키],INDEX(합계표[사번키],$W574),상세표[반영월],대상월키,상세표[야간당직],1,상세표[야간 구분],"휴일",상세표[반영 기관],"서울병원"))</f>
        <v/>
      </c>
      <c r="V574">
        <f>IF($W574="","",IF(ISNUMBER(MATCH(INDEX(합계표[사번키],$W574)&amp;"|"&amp;대상월키,월별근무지표[키],0)),"직접 입력",IF($K574="—","—","기관명단")))</f>
        <v/>
      </c>
      <c r="W574">
        <f>IFERROR(MATCH(569,합계표[판정순번],0),"")</f>
        <v/>
      </c>
    </row>
    <row r="575">
      <c r="A575">
        <f>IF($W575="","",INDEX(합계표[사번],$W575)&amp;"")</f>
        <v/>
      </c>
      <c r="B575">
        <f>IF($W575="","",INDEX(합계표[성명],$W575)&amp;"")</f>
        <v/>
      </c>
      <c r="C575">
        <f>IF($W575="","",INDEX(합계표[부서],$W575)&amp;"")</f>
        <v/>
      </c>
      <c r="D575">
        <f>IF($W575="","",INDEX(합계표[직위(통합)],$W575)&amp;"")</f>
        <v/>
      </c>
      <c r="E575">
        <f>IF($W575="","",SUMIFS(합계표[시스템 합계],합계표[사번키],INDEX(합계표[사번키],$W575)))</f>
        <v/>
      </c>
      <c r="F575">
        <f>IF($W575="","",SUMIFS(상세표[기록 시간외],상세표[사번키],INDEX(합계표[사번키],$W575),상세표[기록월],대상월키))</f>
        <v/>
      </c>
      <c r="G575">
        <f>IF($W575="","",IF(ABS($E575-$F575)&lt;0.01,"일치","불일치(차이 "&amp;TEXT($F575-$E575,"0.00")&amp;")"))</f>
        <v/>
      </c>
      <c r="H575">
        <f>IF($W575="","",SUMIFS(상세표[기록 시간외],상세표[사번키],INDEX(합계표[사번키],$W575),상세표[기록월],대상월키,상세표[반영월],"&lt;&gt;"&amp;대상월키))</f>
        <v/>
      </c>
      <c r="I575">
        <f>IF($W575="","",SUMIFS(상세표[기록 시간외],상세표[사번키],INDEX(합계표[사번키],$W575),상세표[기록월],"&lt;&gt;"&amp;대상월키,상세표[반영월],대상월키))</f>
        <v/>
      </c>
      <c r="J575">
        <f>IF($W575="","",SUMIFS(상세표[기록 시간외],상세표[사번키],INDEX(합계표[사번키],$W575),상세표[반영월],대상월키))</f>
        <v/>
      </c>
      <c r="K575">
        <f>IF($W575="","",IFERROR(INDEX(월별근무지표[적용 급여병원],MATCH(INDEX(합계표[사번키],$W575)&amp;"|"&amp;대상월키,월별근무지표[키],0))&amp;"",IF(COUNTIF(기관표[사번키],INDEX(합계표[사번키],$W575))+COUNTIF(월별근무지표[사번키],INDEX(합계표[사번키],$W575))&gt;0,IFERROR(INDEX(기관표[급여지급병원(기준월)],MATCH(INDEX(합계표[사번키],$W575)&amp;"|"&amp;대상월키,기관표[키],0))&amp;"","—"),"—")))</f>
        <v/>
      </c>
      <c r="L575">
        <f>IF($W575="","",IF(NOT(COUNTIF(기관표[사번키],INDEX(합계표[사번키],$W575))+COUNTIF(월별근무지표[사번키],INDEX(합계표[사번키],$W575))&gt;0),"기관명단에 없음(다른 병원으로 발송)",IF($K575="—","대상월 기관명단 없음(추가 필요)",IF($K575="서울병원","해당","비해당"))))</f>
        <v/>
      </c>
      <c r="M575">
        <f>IF($W575="","",SUMIFS(상세표[06~07시],상세표[사번키],INDEX(합계표[사번키],$W575),상세표[반영월],대상월키,상세표[반영 기관],"서울병원"))</f>
        <v/>
      </c>
      <c r="N575">
        <f>IF($W575="","",SUMIFS(상세표[07~18시],상세표[사번키],INDEX(합계표[사번키],$W575),상세표[반영월],대상월키,상세표[반영 기관],"서울병원"))</f>
        <v/>
      </c>
      <c r="O575">
        <f>IF($W575="","",SUMIFS(상세표[18~22시],상세표[사번키],INDEX(합계표[사번키],$W575),상세표[반영월],대상월키,상세표[반영 기관],"서울병원"))</f>
        <v/>
      </c>
      <c r="P575">
        <f>IF($W575="","",SUMIFS(상세표[22~06시],상세표[사번키],INDEX(합계표[사번키],$W575),상세표[반영월],대상월키,상세표[반영 기관],"서울병원"))</f>
        <v/>
      </c>
      <c r="Q575">
        <f>IF($W575="","",SUM($M575:$P575))</f>
        <v/>
      </c>
      <c r="R575">
        <f>IF($W575="","",COUNTIFS(상세표[사번키],INDEX(합계표[사번키],$W575),상세표[반영월],대상월키,상세표[야간당직],1,상세표[야간 구분],"평일"))</f>
        <v/>
      </c>
      <c r="S575" s="4">
        <f>IF($W575="","",COUNTIFS(상세표[사번키],INDEX(합계표[사번키],$W575),상세표[반영월],대상월키,상세표[야간당직],1,상세표[야간 구분],"휴일"))</f>
        <v/>
      </c>
      <c r="T575">
        <f>IF($W575="","",COUNTIFS(상세표[사번키],INDEX(합계표[사번키],$W575),상세표[반영월],대상월키,상세표[야간당직],1,상세표[야간 구분],"평일",상세표[반영 기관],"서울병원"))</f>
        <v/>
      </c>
      <c r="U575">
        <f>IF($W575="","",COUNTIFS(상세표[사번키],INDEX(합계표[사번키],$W575),상세표[반영월],대상월키,상세표[야간당직],1,상세표[야간 구분],"휴일",상세표[반영 기관],"서울병원"))</f>
        <v/>
      </c>
      <c r="V575">
        <f>IF($W575="","",IF(ISNUMBER(MATCH(INDEX(합계표[사번키],$W575)&amp;"|"&amp;대상월키,월별근무지표[키],0)),"직접 입력",IF($K575="—","—","기관명단")))</f>
        <v/>
      </c>
      <c r="W575">
        <f>IFERROR(MATCH(570,합계표[판정순번],0),"")</f>
        <v/>
      </c>
    </row>
    <row r="576">
      <c r="A576">
        <f>IF($W576="","",INDEX(합계표[사번],$W576)&amp;"")</f>
        <v/>
      </c>
      <c r="B576">
        <f>IF($W576="","",INDEX(합계표[성명],$W576)&amp;"")</f>
        <v/>
      </c>
      <c r="C576">
        <f>IF($W576="","",INDEX(합계표[부서],$W576)&amp;"")</f>
        <v/>
      </c>
      <c r="D576">
        <f>IF($W576="","",INDEX(합계표[직위(통합)],$W576)&amp;"")</f>
        <v/>
      </c>
      <c r="E576">
        <f>IF($W576="","",SUMIFS(합계표[시스템 합계],합계표[사번키],INDEX(합계표[사번키],$W576)))</f>
        <v/>
      </c>
      <c r="F576">
        <f>IF($W576="","",SUMIFS(상세표[기록 시간외],상세표[사번키],INDEX(합계표[사번키],$W576),상세표[기록월],대상월키))</f>
        <v/>
      </c>
      <c r="G576">
        <f>IF($W576="","",IF(ABS($E576-$F576)&lt;0.01,"일치","불일치(차이 "&amp;TEXT($F576-$E576,"0.00")&amp;")"))</f>
        <v/>
      </c>
      <c r="H576">
        <f>IF($W576="","",SUMIFS(상세표[기록 시간외],상세표[사번키],INDEX(합계표[사번키],$W576),상세표[기록월],대상월키,상세표[반영월],"&lt;&gt;"&amp;대상월키))</f>
        <v/>
      </c>
      <c r="I576">
        <f>IF($W576="","",SUMIFS(상세표[기록 시간외],상세표[사번키],INDEX(합계표[사번키],$W576),상세표[기록월],"&lt;&gt;"&amp;대상월키,상세표[반영월],대상월키))</f>
        <v/>
      </c>
      <c r="J576">
        <f>IF($W576="","",SUMIFS(상세표[기록 시간외],상세표[사번키],INDEX(합계표[사번키],$W576),상세표[반영월],대상월키))</f>
        <v/>
      </c>
      <c r="K576">
        <f>IF($W576="","",IFERROR(INDEX(월별근무지표[적용 급여병원],MATCH(INDEX(합계표[사번키],$W576)&amp;"|"&amp;대상월키,월별근무지표[키],0))&amp;"",IF(COUNTIF(기관표[사번키],INDEX(합계표[사번키],$W576))+COUNTIF(월별근무지표[사번키],INDEX(합계표[사번키],$W576))&gt;0,IFERROR(INDEX(기관표[급여지급병원(기준월)],MATCH(INDEX(합계표[사번키],$W576)&amp;"|"&amp;대상월키,기관표[키],0))&amp;"","—"),"—")))</f>
        <v/>
      </c>
      <c r="L576">
        <f>IF($W576="","",IF(NOT(COUNTIF(기관표[사번키],INDEX(합계표[사번키],$W576))+COUNTIF(월별근무지표[사번키],INDEX(합계표[사번키],$W576))&gt;0),"기관명단에 없음(다른 병원으로 발송)",IF($K576="—","대상월 기관명단 없음(추가 필요)",IF($K576="서울병원","해당","비해당"))))</f>
        <v/>
      </c>
      <c r="M576">
        <f>IF($W576="","",SUMIFS(상세표[06~07시],상세표[사번키],INDEX(합계표[사번키],$W576),상세표[반영월],대상월키,상세표[반영 기관],"서울병원"))</f>
        <v/>
      </c>
      <c r="N576">
        <f>IF($W576="","",SUMIFS(상세표[07~18시],상세표[사번키],INDEX(합계표[사번키],$W576),상세표[반영월],대상월키,상세표[반영 기관],"서울병원"))</f>
        <v/>
      </c>
      <c r="O576">
        <f>IF($W576="","",SUMIFS(상세표[18~22시],상세표[사번키],INDEX(합계표[사번키],$W576),상세표[반영월],대상월키,상세표[반영 기관],"서울병원"))</f>
        <v/>
      </c>
      <c r="P576">
        <f>IF($W576="","",SUMIFS(상세표[22~06시],상세표[사번키],INDEX(합계표[사번키],$W576),상세표[반영월],대상월키,상세표[반영 기관],"서울병원"))</f>
        <v/>
      </c>
      <c r="Q576">
        <f>IF($W576="","",SUM($M576:$P576))</f>
        <v/>
      </c>
      <c r="R576">
        <f>IF($W576="","",COUNTIFS(상세표[사번키],INDEX(합계표[사번키],$W576),상세표[반영월],대상월키,상세표[야간당직],1,상세표[야간 구분],"평일"))</f>
        <v/>
      </c>
      <c r="S576" s="4">
        <f>IF($W576="","",COUNTIFS(상세표[사번키],INDEX(합계표[사번키],$W576),상세표[반영월],대상월키,상세표[야간당직],1,상세표[야간 구분],"휴일"))</f>
        <v/>
      </c>
      <c r="T576">
        <f>IF($W576="","",COUNTIFS(상세표[사번키],INDEX(합계표[사번키],$W576),상세표[반영월],대상월키,상세표[야간당직],1,상세표[야간 구분],"평일",상세표[반영 기관],"서울병원"))</f>
        <v/>
      </c>
      <c r="U576">
        <f>IF($W576="","",COUNTIFS(상세표[사번키],INDEX(합계표[사번키],$W576),상세표[반영월],대상월키,상세표[야간당직],1,상세표[야간 구분],"휴일",상세표[반영 기관],"서울병원"))</f>
        <v/>
      </c>
      <c r="V576">
        <f>IF($W576="","",IF(ISNUMBER(MATCH(INDEX(합계표[사번키],$W576)&amp;"|"&amp;대상월키,월별근무지표[키],0)),"직접 입력",IF($K576="—","—","기관명단")))</f>
        <v/>
      </c>
      <c r="W576">
        <f>IFERROR(MATCH(571,합계표[판정순번],0),"")</f>
        <v/>
      </c>
    </row>
    <row r="577">
      <c r="A577">
        <f>IF($W577="","",INDEX(합계표[사번],$W577)&amp;"")</f>
        <v/>
      </c>
      <c r="B577">
        <f>IF($W577="","",INDEX(합계표[성명],$W577)&amp;"")</f>
        <v/>
      </c>
      <c r="C577">
        <f>IF($W577="","",INDEX(합계표[부서],$W577)&amp;"")</f>
        <v/>
      </c>
      <c r="D577">
        <f>IF($W577="","",INDEX(합계표[직위(통합)],$W577)&amp;"")</f>
        <v/>
      </c>
      <c r="E577">
        <f>IF($W577="","",SUMIFS(합계표[시스템 합계],합계표[사번키],INDEX(합계표[사번키],$W577)))</f>
        <v/>
      </c>
      <c r="F577">
        <f>IF($W577="","",SUMIFS(상세표[기록 시간외],상세표[사번키],INDEX(합계표[사번키],$W577),상세표[기록월],대상월키))</f>
        <v/>
      </c>
      <c r="G577">
        <f>IF($W577="","",IF(ABS($E577-$F577)&lt;0.01,"일치","불일치(차이 "&amp;TEXT($F577-$E577,"0.00")&amp;")"))</f>
        <v/>
      </c>
      <c r="H577">
        <f>IF($W577="","",SUMIFS(상세표[기록 시간외],상세표[사번키],INDEX(합계표[사번키],$W577),상세표[기록월],대상월키,상세표[반영월],"&lt;&gt;"&amp;대상월키))</f>
        <v/>
      </c>
      <c r="I577">
        <f>IF($W577="","",SUMIFS(상세표[기록 시간외],상세표[사번키],INDEX(합계표[사번키],$W577),상세표[기록월],"&lt;&gt;"&amp;대상월키,상세표[반영월],대상월키))</f>
        <v/>
      </c>
      <c r="J577">
        <f>IF($W577="","",SUMIFS(상세표[기록 시간외],상세표[사번키],INDEX(합계표[사번키],$W577),상세표[반영월],대상월키))</f>
        <v/>
      </c>
      <c r="K577">
        <f>IF($W577="","",IFERROR(INDEX(월별근무지표[적용 급여병원],MATCH(INDEX(합계표[사번키],$W577)&amp;"|"&amp;대상월키,월별근무지표[키],0))&amp;"",IF(COUNTIF(기관표[사번키],INDEX(합계표[사번키],$W577))+COUNTIF(월별근무지표[사번키],INDEX(합계표[사번키],$W577))&gt;0,IFERROR(INDEX(기관표[급여지급병원(기준월)],MATCH(INDEX(합계표[사번키],$W577)&amp;"|"&amp;대상월키,기관표[키],0))&amp;"","—"),"—")))</f>
        <v/>
      </c>
      <c r="L577">
        <f>IF($W577="","",IF(NOT(COUNTIF(기관표[사번키],INDEX(합계표[사번키],$W577))+COUNTIF(월별근무지표[사번키],INDEX(합계표[사번키],$W577))&gt;0),"기관명단에 없음(다른 병원으로 발송)",IF($K577="—","대상월 기관명단 없음(추가 필요)",IF($K577="서울병원","해당","비해당"))))</f>
        <v/>
      </c>
      <c r="M577">
        <f>IF($W577="","",SUMIFS(상세표[06~07시],상세표[사번키],INDEX(합계표[사번키],$W577),상세표[반영월],대상월키,상세표[반영 기관],"서울병원"))</f>
        <v/>
      </c>
      <c r="N577">
        <f>IF($W577="","",SUMIFS(상세표[07~18시],상세표[사번키],INDEX(합계표[사번키],$W577),상세표[반영월],대상월키,상세표[반영 기관],"서울병원"))</f>
        <v/>
      </c>
      <c r="O577">
        <f>IF($W577="","",SUMIFS(상세표[18~22시],상세표[사번키],INDEX(합계표[사번키],$W577),상세표[반영월],대상월키,상세표[반영 기관],"서울병원"))</f>
        <v/>
      </c>
      <c r="P577">
        <f>IF($W577="","",SUMIFS(상세표[22~06시],상세표[사번키],INDEX(합계표[사번키],$W577),상세표[반영월],대상월키,상세표[반영 기관],"서울병원"))</f>
        <v/>
      </c>
      <c r="Q577">
        <f>IF($W577="","",SUM($M577:$P577))</f>
        <v/>
      </c>
      <c r="R577">
        <f>IF($W577="","",COUNTIFS(상세표[사번키],INDEX(합계표[사번키],$W577),상세표[반영월],대상월키,상세표[야간당직],1,상세표[야간 구분],"평일"))</f>
        <v/>
      </c>
      <c r="S577" s="4">
        <f>IF($W577="","",COUNTIFS(상세표[사번키],INDEX(합계표[사번키],$W577),상세표[반영월],대상월키,상세표[야간당직],1,상세표[야간 구분],"휴일"))</f>
        <v/>
      </c>
      <c r="T577">
        <f>IF($W577="","",COUNTIFS(상세표[사번키],INDEX(합계표[사번키],$W577),상세표[반영월],대상월키,상세표[야간당직],1,상세표[야간 구분],"평일",상세표[반영 기관],"서울병원"))</f>
        <v/>
      </c>
      <c r="U577">
        <f>IF($W577="","",COUNTIFS(상세표[사번키],INDEX(합계표[사번키],$W577),상세표[반영월],대상월키,상세표[야간당직],1,상세표[야간 구분],"휴일",상세표[반영 기관],"서울병원"))</f>
        <v/>
      </c>
      <c r="V577">
        <f>IF($W577="","",IF(ISNUMBER(MATCH(INDEX(합계표[사번키],$W577)&amp;"|"&amp;대상월키,월별근무지표[키],0)),"직접 입력",IF($K577="—","—","기관명단")))</f>
        <v/>
      </c>
      <c r="W577">
        <f>IFERROR(MATCH(572,합계표[판정순번],0),"")</f>
        <v/>
      </c>
    </row>
    <row r="578">
      <c r="A578">
        <f>IF($W578="","",INDEX(합계표[사번],$W578)&amp;"")</f>
        <v/>
      </c>
      <c r="B578">
        <f>IF($W578="","",INDEX(합계표[성명],$W578)&amp;"")</f>
        <v/>
      </c>
      <c r="C578">
        <f>IF($W578="","",INDEX(합계표[부서],$W578)&amp;"")</f>
        <v/>
      </c>
      <c r="D578">
        <f>IF($W578="","",INDEX(합계표[직위(통합)],$W578)&amp;"")</f>
        <v/>
      </c>
      <c r="E578">
        <f>IF($W578="","",SUMIFS(합계표[시스템 합계],합계표[사번키],INDEX(합계표[사번키],$W578)))</f>
        <v/>
      </c>
      <c r="F578">
        <f>IF($W578="","",SUMIFS(상세표[기록 시간외],상세표[사번키],INDEX(합계표[사번키],$W578),상세표[기록월],대상월키))</f>
        <v/>
      </c>
      <c r="G578">
        <f>IF($W578="","",IF(ABS($E578-$F578)&lt;0.01,"일치","불일치(차이 "&amp;TEXT($F578-$E578,"0.00")&amp;")"))</f>
        <v/>
      </c>
      <c r="H578">
        <f>IF($W578="","",SUMIFS(상세표[기록 시간외],상세표[사번키],INDEX(합계표[사번키],$W578),상세표[기록월],대상월키,상세표[반영월],"&lt;&gt;"&amp;대상월키))</f>
        <v/>
      </c>
      <c r="I578">
        <f>IF($W578="","",SUMIFS(상세표[기록 시간외],상세표[사번키],INDEX(합계표[사번키],$W578),상세표[기록월],"&lt;&gt;"&amp;대상월키,상세표[반영월],대상월키))</f>
        <v/>
      </c>
      <c r="J578">
        <f>IF($W578="","",SUMIFS(상세표[기록 시간외],상세표[사번키],INDEX(합계표[사번키],$W578),상세표[반영월],대상월키))</f>
        <v/>
      </c>
      <c r="K578">
        <f>IF($W578="","",IFERROR(INDEX(월별근무지표[적용 급여병원],MATCH(INDEX(합계표[사번키],$W578)&amp;"|"&amp;대상월키,월별근무지표[키],0))&amp;"",IF(COUNTIF(기관표[사번키],INDEX(합계표[사번키],$W578))+COUNTIF(월별근무지표[사번키],INDEX(합계표[사번키],$W578))&gt;0,IFERROR(INDEX(기관표[급여지급병원(기준월)],MATCH(INDEX(합계표[사번키],$W578)&amp;"|"&amp;대상월키,기관표[키],0))&amp;"","—"),"—")))</f>
        <v/>
      </c>
      <c r="L578">
        <f>IF($W578="","",IF(NOT(COUNTIF(기관표[사번키],INDEX(합계표[사번키],$W578))+COUNTIF(월별근무지표[사번키],INDEX(합계표[사번키],$W578))&gt;0),"기관명단에 없음(다른 병원으로 발송)",IF($K578="—","대상월 기관명단 없음(추가 필요)",IF($K578="서울병원","해당","비해당"))))</f>
        <v/>
      </c>
      <c r="M578">
        <f>IF($W578="","",SUMIFS(상세표[06~07시],상세표[사번키],INDEX(합계표[사번키],$W578),상세표[반영월],대상월키,상세표[반영 기관],"서울병원"))</f>
        <v/>
      </c>
      <c r="N578">
        <f>IF($W578="","",SUMIFS(상세표[07~18시],상세표[사번키],INDEX(합계표[사번키],$W578),상세표[반영월],대상월키,상세표[반영 기관],"서울병원"))</f>
        <v/>
      </c>
      <c r="O578">
        <f>IF($W578="","",SUMIFS(상세표[18~22시],상세표[사번키],INDEX(합계표[사번키],$W578),상세표[반영월],대상월키,상세표[반영 기관],"서울병원"))</f>
        <v/>
      </c>
      <c r="P578">
        <f>IF($W578="","",SUMIFS(상세표[22~06시],상세표[사번키],INDEX(합계표[사번키],$W578),상세표[반영월],대상월키,상세표[반영 기관],"서울병원"))</f>
        <v/>
      </c>
      <c r="Q578">
        <f>IF($W578="","",SUM($M578:$P578))</f>
        <v/>
      </c>
      <c r="R578">
        <f>IF($W578="","",COUNTIFS(상세표[사번키],INDEX(합계표[사번키],$W578),상세표[반영월],대상월키,상세표[야간당직],1,상세표[야간 구분],"평일"))</f>
        <v/>
      </c>
      <c r="S578" s="4">
        <f>IF($W578="","",COUNTIFS(상세표[사번키],INDEX(합계표[사번키],$W578),상세표[반영월],대상월키,상세표[야간당직],1,상세표[야간 구분],"휴일"))</f>
        <v/>
      </c>
      <c r="T578">
        <f>IF($W578="","",COUNTIFS(상세표[사번키],INDEX(합계표[사번키],$W578),상세표[반영월],대상월키,상세표[야간당직],1,상세표[야간 구분],"평일",상세표[반영 기관],"서울병원"))</f>
        <v/>
      </c>
      <c r="U578">
        <f>IF($W578="","",COUNTIFS(상세표[사번키],INDEX(합계표[사번키],$W578),상세표[반영월],대상월키,상세표[야간당직],1,상세표[야간 구분],"휴일",상세표[반영 기관],"서울병원"))</f>
        <v/>
      </c>
      <c r="V578">
        <f>IF($W578="","",IF(ISNUMBER(MATCH(INDEX(합계표[사번키],$W578)&amp;"|"&amp;대상월키,월별근무지표[키],0)),"직접 입력",IF($K578="—","—","기관명단")))</f>
        <v/>
      </c>
      <c r="W578">
        <f>IFERROR(MATCH(573,합계표[판정순번],0),"")</f>
        <v/>
      </c>
    </row>
    <row r="579">
      <c r="A579">
        <f>IF($W579="","",INDEX(합계표[사번],$W579)&amp;"")</f>
        <v/>
      </c>
      <c r="B579">
        <f>IF($W579="","",INDEX(합계표[성명],$W579)&amp;"")</f>
        <v/>
      </c>
      <c r="C579">
        <f>IF($W579="","",INDEX(합계표[부서],$W579)&amp;"")</f>
        <v/>
      </c>
      <c r="D579">
        <f>IF($W579="","",INDEX(합계표[직위(통합)],$W579)&amp;"")</f>
        <v/>
      </c>
      <c r="E579">
        <f>IF($W579="","",SUMIFS(합계표[시스템 합계],합계표[사번키],INDEX(합계표[사번키],$W579)))</f>
        <v/>
      </c>
      <c r="F579">
        <f>IF($W579="","",SUMIFS(상세표[기록 시간외],상세표[사번키],INDEX(합계표[사번키],$W579),상세표[기록월],대상월키))</f>
        <v/>
      </c>
      <c r="G579">
        <f>IF($W579="","",IF(ABS($E579-$F579)&lt;0.01,"일치","불일치(차이 "&amp;TEXT($F579-$E579,"0.00")&amp;")"))</f>
        <v/>
      </c>
      <c r="H579">
        <f>IF($W579="","",SUMIFS(상세표[기록 시간외],상세표[사번키],INDEX(합계표[사번키],$W579),상세표[기록월],대상월키,상세표[반영월],"&lt;&gt;"&amp;대상월키))</f>
        <v/>
      </c>
      <c r="I579">
        <f>IF($W579="","",SUMIFS(상세표[기록 시간외],상세표[사번키],INDEX(합계표[사번키],$W579),상세표[기록월],"&lt;&gt;"&amp;대상월키,상세표[반영월],대상월키))</f>
        <v/>
      </c>
      <c r="J579">
        <f>IF($W579="","",SUMIFS(상세표[기록 시간외],상세표[사번키],INDEX(합계표[사번키],$W579),상세표[반영월],대상월키))</f>
        <v/>
      </c>
      <c r="K579">
        <f>IF($W579="","",IFERROR(INDEX(월별근무지표[적용 급여병원],MATCH(INDEX(합계표[사번키],$W579)&amp;"|"&amp;대상월키,월별근무지표[키],0))&amp;"",IF(COUNTIF(기관표[사번키],INDEX(합계표[사번키],$W579))+COUNTIF(월별근무지표[사번키],INDEX(합계표[사번키],$W579))&gt;0,IFERROR(INDEX(기관표[급여지급병원(기준월)],MATCH(INDEX(합계표[사번키],$W579)&amp;"|"&amp;대상월키,기관표[키],0))&amp;"","—"),"—")))</f>
        <v/>
      </c>
      <c r="L579">
        <f>IF($W579="","",IF(NOT(COUNTIF(기관표[사번키],INDEX(합계표[사번키],$W579))+COUNTIF(월별근무지표[사번키],INDEX(합계표[사번키],$W579))&gt;0),"기관명단에 없음(다른 병원으로 발송)",IF($K579="—","대상월 기관명단 없음(추가 필요)",IF($K579="서울병원","해당","비해당"))))</f>
        <v/>
      </c>
      <c r="M579">
        <f>IF($W579="","",SUMIFS(상세표[06~07시],상세표[사번키],INDEX(합계표[사번키],$W579),상세표[반영월],대상월키,상세표[반영 기관],"서울병원"))</f>
        <v/>
      </c>
      <c r="N579">
        <f>IF($W579="","",SUMIFS(상세표[07~18시],상세표[사번키],INDEX(합계표[사번키],$W579),상세표[반영월],대상월키,상세표[반영 기관],"서울병원"))</f>
        <v/>
      </c>
      <c r="O579">
        <f>IF($W579="","",SUMIFS(상세표[18~22시],상세표[사번키],INDEX(합계표[사번키],$W579),상세표[반영월],대상월키,상세표[반영 기관],"서울병원"))</f>
        <v/>
      </c>
      <c r="P579">
        <f>IF($W579="","",SUMIFS(상세표[22~06시],상세표[사번키],INDEX(합계표[사번키],$W579),상세표[반영월],대상월키,상세표[반영 기관],"서울병원"))</f>
        <v/>
      </c>
      <c r="Q579">
        <f>IF($W579="","",SUM($M579:$P579))</f>
        <v/>
      </c>
      <c r="R579">
        <f>IF($W579="","",COUNTIFS(상세표[사번키],INDEX(합계표[사번키],$W579),상세표[반영월],대상월키,상세표[야간당직],1,상세표[야간 구분],"평일"))</f>
        <v/>
      </c>
      <c r="S579" s="4">
        <f>IF($W579="","",COUNTIFS(상세표[사번키],INDEX(합계표[사번키],$W579),상세표[반영월],대상월키,상세표[야간당직],1,상세표[야간 구분],"휴일"))</f>
        <v/>
      </c>
      <c r="T579">
        <f>IF($W579="","",COUNTIFS(상세표[사번키],INDEX(합계표[사번키],$W579),상세표[반영월],대상월키,상세표[야간당직],1,상세표[야간 구분],"평일",상세표[반영 기관],"서울병원"))</f>
        <v/>
      </c>
      <c r="U579">
        <f>IF($W579="","",COUNTIFS(상세표[사번키],INDEX(합계표[사번키],$W579),상세표[반영월],대상월키,상세표[야간당직],1,상세표[야간 구분],"휴일",상세표[반영 기관],"서울병원"))</f>
        <v/>
      </c>
      <c r="V579">
        <f>IF($W579="","",IF(ISNUMBER(MATCH(INDEX(합계표[사번키],$W579)&amp;"|"&amp;대상월키,월별근무지표[키],0)),"직접 입력",IF($K579="—","—","기관명단")))</f>
        <v/>
      </c>
      <c r="W579">
        <f>IFERROR(MATCH(574,합계표[판정순번],0),"")</f>
        <v/>
      </c>
    </row>
    <row r="580">
      <c r="A580">
        <f>IF($W580="","",INDEX(합계표[사번],$W580)&amp;"")</f>
        <v/>
      </c>
      <c r="B580">
        <f>IF($W580="","",INDEX(합계표[성명],$W580)&amp;"")</f>
        <v/>
      </c>
      <c r="C580">
        <f>IF($W580="","",INDEX(합계표[부서],$W580)&amp;"")</f>
        <v/>
      </c>
      <c r="D580">
        <f>IF($W580="","",INDEX(합계표[직위(통합)],$W580)&amp;"")</f>
        <v/>
      </c>
      <c r="E580">
        <f>IF($W580="","",SUMIFS(합계표[시스템 합계],합계표[사번키],INDEX(합계표[사번키],$W580)))</f>
        <v/>
      </c>
      <c r="F580">
        <f>IF($W580="","",SUMIFS(상세표[기록 시간외],상세표[사번키],INDEX(합계표[사번키],$W580),상세표[기록월],대상월키))</f>
        <v/>
      </c>
      <c r="G580">
        <f>IF($W580="","",IF(ABS($E580-$F580)&lt;0.01,"일치","불일치(차이 "&amp;TEXT($F580-$E580,"0.00")&amp;")"))</f>
        <v/>
      </c>
      <c r="H580">
        <f>IF($W580="","",SUMIFS(상세표[기록 시간외],상세표[사번키],INDEX(합계표[사번키],$W580),상세표[기록월],대상월키,상세표[반영월],"&lt;&gt;"&amp;대상월키))</f>
        <v/>
      </c>
      <c r="I580">
        <f>IF($W580="","",SUMIFS(상세표[기록 시간외],상세표[사번키],INDEX(합계표[사번키],$W580),상세표[기록월],"&lt;&gt;"&amp;대상월키,상세표[반영월],대상월키))</f>
        <v/>
      </c>
      <c r="J580">
        <f>IF($W580="","",SUMIFS(상세표[기록 시간외],상세표[사번키],INDEX(합계표[사번키],$W580),상세표[반영월],대상월키))</f>
        <v/>
      </c>
      <c r="K580">
        <f>IF($W580="","",IFERROR(INDEX(월별근무지표[적용 급여병원],MATCH(INDEX(합계표[사번키],$W580)&amp;"|"&amp;대상월키,월별근무지표[키],0))&amp;"",IF(COUNTIF(기관표[사번키],INDEX(합계표[사번키],$W580))+COUNTIF(월별근무지표[사번키],INDEX(합계표[사번키],$W580))&gt;0,IFERROR(INDEX(기관표[급여지급병원(기준월)],MATCH(INDEX(합계표[사번키],$W580)&amp;"|"&amp;대상월키,기관표[키],0))&amp;"","—"),"—")))</f>
        <v/>
      </c>
      <c r="L580">
        <f>IF($W580="","",IF(NOT(COUNTIF(기관표[사번키],INDEX(합계표[사번키],$W580))+COUNTIF(월별근무지표[사번키],INDEX(합계표[사번키],$W580))&gt;0),"기관명단에 없음(다른 병원으로 발송)",IF($K580="—","대상월 기관명단 없음(추가 필요)",IF($K580="서울병원","해당","비해당"))))</f>
        <v/>
      </c>
      <c r="M580">
        <f>IF($W580="","",SUMIFS(상세표[06~07시],상세표[사번키],INDEX(합계표[사번키],$W580),상세표[반영월],대상월키,상세표[반영 기관],"서울병원"))</f>
        <v/>
      </c>
      <c r="N580">
        <f>IF($W580="","",SUMIFS(상세표[07~18시],상세표[사번키],INDEX(합계표[사번키],$W580),상세표[반영월],대상월키,상세표[반영 기관],"서울병원"))</f>
        <v/>
      </c>
      <c r="O580">
        <f>IF($W580="","",SUMIFS(상세표[18~22시],상세표[사번키],INDEX(합계표[사번키],$W580),상세표[반영월],대상월키,상세표[반영 기관],"서울병원"))</f>
        <v/>
      </c>
      <c r="P580">
        <f>IF($W580="","",SUMIFS(상세표[22~06시],상세표[사번키],INDEX(합계표[사번키],$W580),상세표[반영월],대상월키,상세표[반영 기관],"서울병원"))</f>
        <v/>
      </c>
      <c r="Q580">
        <f>IF($W580="","",SUM($M580:$P580))</f>
        <v/>
      </c>
      <c r="R580">
        <f>IF($W580="","",COUNTIFS(상세표[사번키],INDEX(합계표[사번키],$W580),상세표[반영월],대상월키,상세표[야간당직],1,상세표[야간 구분],"평일"))</f>
        <v/>
      </c>
      <c r="S580" s="4">
        <f>IF($W580="","",COUNTIFS(상세표[사번키],INDEX(합계표[사번키],$W580),상세표[반영월],대상월키,상세표[야간당직],1,상세표[야간 구분],"휴일"))</f>
        <v/>
      </c>
      <c r="T580">
        <f>IF($W580="","",COUNTIFS(상세표[사번키],INDEX(합계표[사번키],$W580),상세표[반영월],대상월키,상세표[야간당직],1,상세표[야간 구분],"평일",상세표[반영 기관],"서울병원"))</f>
        <v/>
      </c>
      <c r="U580">
        <f>IF($W580="","",COUNTIFS(상세표[사번키],INDEX(합계표[사번키],$W580),상세표[반영월],대상월키,상세표[야간당직],1,상세표[야간 구분],"휴일",상세표[반영 기관],"서울병원"))</f>
        <v/>
      </c>
      <c r="V580">
        <f>IF($W580="","",IF(ISNUMBER(MATCH(INDEX(합계표[사번키],$W580)&amp;"|"&amp;대상월키,월별근무지표[키],0)),"직접 입력",IF($K580="—","—","기관명단")))</f>
        <v/>
      </c>
      <c r="W580">
        <f>IFERROR(MATCH(575,합계표[판정순번],0),"")</f>
        <v/>
      </c>
    </row>
    <row r="581">
      <c r="A581">
        <f>IF($W581="","",INDEX(합계표[사번],$W581)&amp;"")</f>
        <v/>
      </c>
      <c r="B581">
        <f>IF($W581="","",INDEX(합계표[성명],$W581)&amp;"")</f>
        <v/>
      </c>
      <c r="C581">
        <f>IF($W581="","",INDEX(합계표[부서],$W581)&amp;"")</f>
        <v/>
      </c>
      <c r="D581">
        <f>IF($W581="","",INDEX(합계표[직위(통합)],$W581)&amp;"")</f>
        <v/>
      </c>
      <c r="E581">
        <f>IF($W581="","",SUMIFS(합계표[시스템 합계],합계표[사번키],INDEX(합계표[사번키],$W581)))</f>
        <v/>
      </c>
      <c r="F581">
        <f>IF($W581="","",SUMIFS(상세표[기록 시간외],상세표[사번키],INDEX(합계표[사번키],$W581),상세표[기록월],대상월키))</f>
        <v/>
      </c>
      <c r="G581">
        <f>IF($W581="","",IF(ABS($E581-$F581)&lt;0.01,"일치","불일치(차이 "&amp;TEXT($F581-$E581,"0.00")&amp;")"))</f>
        <v/>
      </c>
      <c r="H581">
        <f>IF($W581="","",SUMIFS(상세표[기록 시간외],상세표[사번키],INDEX(합계표[사번키],$W581),상세표[기록월],대상월키,상세표[반영월],"&lt;&gt;"&amp;대상월키))</f>
        <v/>
      </c>
      <c r="I581">
        <f>IF($W581="","",SUMIFS(상세표[기록 시간외],상세표[사번키],INDEX(합계표[사번키],$W581),상세표[기록월],"&lt;&gt;"&amp;대상월키,상세표[반영월],대상월키))</f>
        <v/>
      </c>
      <c r="J581">
        <f>IF($W581="","",SUMIFS(상세표[기록 시간외],상세표[사번키],INDEX(합계표[사번키],$W581),상세표[반영월],대상월키))</f>
        <v/>
      </c>
      <c r="K581">
        <f>IF($W581="","",IFERROR(INDEX(월별근무지표[적용 급여병원],MATCH(INDEX(합계표[사번키],$W581)&amp;"|"&amp;대상월키,월별근무지표[키],0))&amp;"",IF(COUNTIF(기관표[사번키],INDEX(합계표[사번키],$W581))+COUNTIF(월별근무지표[사번키],INDEX(합계표[사번키],$W581))&gt;0,IFERROR(INDEX(기관표[급여지급병원(기준월)],MATCH(INDEX(합계표[사번키],$W581)&amp;"|"&amp;대상월키,기관표[키],0))&amp;"","—"),"—")))</f>
        <v/>
      </c>
      <c r="L581">
        <f>IF($W581="","",IF(NOT(COUNTIF(기관표[사번키],INDEX(합계표[사번키],$W581))+COUNTIF(월별근무지표[사번키],INDEX(합계표[사번키],$W581))&gt;0),"기관명단에 없음(다른 병원으로 발송)",IF($K581="—","대상월 기관명단 없음(추가 필요)",IF($K581="서울병원","해당","비해당"))))</f>
        <v/>
      </c>
      <c r="M581">
        <f>IF($W581="","",SUMIFS(상세표[06~07시],상세표[사번키],INDEX(합계표[사번키],$W581),상세표[반영월],대상월키,상세표[반영 기관],"서울병원"))</f>
        <v/>
      </c>
      <c r="N581">
        <f>IF($W581="","",SUMIFS(상세표[07~18시],상세표[사번키],INDEX(합계표[사번키],$W581),상세표[반영월],대상월키,상세표[반영 기관],"서울병원"))</f>
        <v/>
      </c>
      <c r="O581">
        <f>IF($W581="","",SUMIFS(상세표[18~22시],상세표[사번키],INDEX(합계표[사번키],$W581),상세표[반영월],대상월키,상세표[반영 기관],"서울병원"))</f>
        <v/>
      </c>
      <c r="P581">
        <f>IF($W581="","",SUMIFS(상세표[22~06시],상세표[사번키],INDEX(합계표[사번키],$W581),상세표[반영월],대상월키,상세표[반영 기관],"서울병원"))</f>
        <v/>
      </c>
      <c r="Q581">
        <f>IF($W581="","",SUM($M581:$P581))</f>
        <v/>
      </c>
      <c r="R581">
        <f>IF($W581="","",COUNTIFS(상세표[사번키],INDEX(합계표[사번키],$W581),상세표[반영월],대상월키,상세표[야간당직],1,상세표[야간 구분],"평일"))</f>
        <v/>
      </c>
      <c r="S581" s="4">
        <f>IF($W581="","",COUNTIFS(상세표[사번키],INDEX(합계표[사번키],$W581),상세표[반영월],대상월키,상세표[야간당직],1,상세표[야간 구분],"휴일"))</f>
        <v/>
      </c>
      <c r="T581">
        <f>IF($W581="","",COUNTIFS(상세표[사번키],INDEX(합계표[사번키],$W581),상세표[반영월],대상월키,상세표[야간당직],1,상세표[야간 구분],"평일",상세표[반영 기관],"서울병원"))</f>
        <v/>
      </c>
      <c r="U581">
        <f>IF($W581="","",COUNTIFS(상세표[사번키],INDEX(합계표[사번키],$W581),상세표[반영월],대상월키,상세표[야간당직],1,상세표[야간 구분],"휴일",상세표[반영 기관],"서울병원"))</f>
        <v/>
      </c>
      <c r="V581">
        <f>IF($W581="","",IF(ISNUMBER(MATCH(INDEX(합계표[사번키],$W581)&amp;"|"&amp;대상월키,월별근무지표[키],0)),"직접 입력",IF($K581="—","—","기관명단")))</f>
        <v/>
      </c>
      <c r="W581">
        <f>IFERROR(MATCH(576,합계표[판정순번],0),"")</f>
        <v/>
      </c>
    </row>
    <row r="582">
      <c r="A582">
        <f>IF($W582="","",INDEX(합계표[사번],$W582)&amp;"")</f>
        <v/>
      </c>
      <c r="B582">
        <f>IF($W582="","",INDEX(합계표[성명],$W582)&amp;"")</f>
        <v/>
      </c>
      <c r="C582">
        <f>IF($W582="","",INDEX(합계표[부서],$W582)&amp;"")</f>
        <v/>
      </c>
      <c r="D582">
        <f>IF($W582="","",INDEX(합계표[직위(통합)],$W582)&amp;"")</f>
        <v/>
      </c>
      <c r="E582">
        <f>IF($W582="","",SUMIFS(합계표[시스템 합계],합계표[사번키],INDEX(합계표[사번키],$W582)))</f>
        <v/>
      </c>
      <c r="F582">
        <f>IF($W582="","",SUMIFS(상세표[기록 시간외],상세표[사번키],INDEX(합계표[사번키],$W582),상세표[기록월],대상월키))</f>
        <v/>
      </c>
      <c r="G582">
        <f>IF($W582="","",IF(ABS($E582-$F582)&lt;0.01,"일치","불일치(차이 "&amp;TEXT($F582-$E582,"0.00")&amp;")"))</f>
        <v/>
      </c>
      <c r="H582">
        <f>IF($W582="","",SUMIFS(상세표[기록 시간외],상세표[사번키],INDEX(합계표[사번키],$W582),상세표[기록월],대상월키,상세표[반영월],"&lt;&gt;"&amp;대상월키))</f>
        <v/>
      </c>
      <c r="I582">
        <f>IF($W582="","",SUMIFS(상세표[기록 시간외],상세표[사번키],INDEX(합계표[사번키],$W582),상세표[기록월],"&lt;&gt;"&amp;대상월키,상세표[반영월],대상월키))</f>
        <v/>
      </c>
      <c r="J582">
        <f>IF($W582="","",SUMIFS(상세표[기록 시간외],상세표[사번키],INDEX(합계표[사번키],$W582),상세표[반영월],대상월키))</f>
        <v/>
      </c>
      <c r="K582">
        <f>IF($W582="","",IFERROR(INDEX(월별근무지표[적용 급여병원],MATCH(INDEX(합계표[사번키],$W582)&amp;"|"&amp;대상월키,월별근무지표[키],0))&amp;"",IF(COUNTIF(기관표[사번키],INDEX(합계표[사번키],$W582))+COUNTIF(월별근무지표[사번키],INDEX(합계표[사번키],$W582))&gt;0,IFERROR(INDEX(기관표[급여지급병원(기준월)],MATCH(INDEX(합계표[사번키],$W582)&amp;"|"&amp;대상월키,기관표[키],0))&amp;"","—"),"—")))</f>
        <v/>
      </c>
      <c r="L582">
        <f>IF($W582="","",IF(NOT(COUNTIF(기관표[사번키],INDEX(합계표[사번키],$W582))+COUNTIF(월별근무지표[사번키],INDEX(합계표[사번키],$W582))&gt;0),"기관명단에 없음(다른 병원으로 발송)",IF($K582="—","대상월 기관명단 없음(추가 필요)",IF($K582="서울병원","해당","비해당"))))</f>
        <v/>
      </c>
      <c r="M582">
        <f>IF($W582="","",SUMIFS(상세표[06~07시],상세표[사번키],INDEX(합계표[사번키],$W582),상세표[반영월],대상월키,상세표[반영 기관],"서울병원"))</f>
        <v/>
      </c>
      <c r="N582">
        <f>IF($W582="","",SUMIFS(상세표[07~18시],상세표[사번키],INDEX(합계표[사번키],$W582),상세표[반영월],대상월키,상세표[반영 기관],"서울병원"))</f>
        <v/>
      </c>
      <c r="O582">
        <f>IF($W582="","",SUMIFS(상세표[18~22시],상세표[사번키],INDEX(합계표[사번키],$W582),상세표[반영월],대상월키,상세표[반영 기관],"서울병원"))</f>
        <v/>
      </c>
      <c r="P582">
        <f>IF($W582="","",SUMIFS(상세표[22~06시],상세표[사번키],INDEX(합계표[사번키],$W582),상세표[반영월],대상월키,상세표[반영 기관],"서울병원"))</f>
        <v/>
      </c>
      <c r="Q582">
        <f>IF($W582="","",SUM($M582:$P582))</f>
        <v/>
      </c>
      <c r="R582">
        <f>IF($W582="","",COUNTIFS(상세표[사번키],INDEX(합계표[사번키],$W582),상세표[반영월],대상월키,상세표[야간당직],1,상세표[야간 구분],"평일"))</f>
        <v/>
      </c>
      <c r="S582" s="4">
        <f>IF($W582="","",COUNTIFS(상세표[사번키],INDEX(합계표[사번키],$W582),상세표[반영월],대상월키,상세표[야간당직],1,상세표[야간 구분],"휴일"))</f>
        <v/>
      </c>
      <c r="T582">
        <f>IF($W582="","",COUNTIFS(상세표[사번키],INDEX(합계표[사번키],$W582),상세표[반영월],대상월키,상세표[야간당직],1,상세표[야간 구분],"평일",상세표[반영 기관],"서울병원"))</f>
        <v/>
      </c>
      <c r="U582">
        <f>IF($W582="","",COUNTIFS(상세표[사번키],INDEX(합계표[사번키],$W582),상세표[반영월],대상월키,상세표[야간당직],1,상세표[야간 구분],"휴일",상세표[반영 기관],"서울병원"))</f>
        <v/>
      </c>
      <c r="V582">
        <f>IF($W582="","",IF(ISNUMBER(MATCH(INDEX(합계표[사번키],$W582)&amp;"|"&amp;대상월키,월별근무지표[키],0)),"직접 입력",IF($K582="—","—","기관명단")))</f>
        <v/>
      </c>
      <c r="W582">
        <f>IFERROR(MATCH(577,합계표[판정순번],0),"")</f>
        <v/>
      </c>
    </row>
    <row r="583">
      <c r="A583">
        <f>IF($W583="","",INDEX(합계표[사번],$W583)&amp;"")</f>
        <v/>
      </c>
      <c r="B583">
        <f>IF($W583="","",INDEX(합계표[성명],$W583)&amp;"")</f>
        <v/>
      </c>
      <c r="C583">
        <f>IF($W583="","",INDEX(합계표[부서],$W583)&amp;"")</f>
        <v/>
      </c>
      <c r="D583">
        <f>IF($W583="","",INDEX(합계표[직위(통합)],$W583)&amp;"")</f>
        <v/>
      </c>
      <c r="E583">
        <f>IF($W583="","",SUMIFS(합계표[시스템 합계],합계표[사번키],INDEX(합계표[사번키],$W583)))</f>
        <v/>
      </c>
      <c r="F583">
        <f>IF($W583="","",SUMIFS(상세표[기록 시간외],상세표[사번키],INDEX(합계표[사번키],$W583),상세표[기록월],대상월키))</f>
        <v/>
      </c>
      <c r="G583">
        <f>IF($W583="","",IF(ABS($E583-$F583)&lt;0.01,"일치","불일치(차이 "&amp;TEXT($F583-$E583,"0.00")&amp;")"))</f>
        <v/>
      </c>
      <c r="H583">
        <f>IF($W583="","",SUMIFS(상세표[기록 시간외],상세표[사번키],INDEX(합계표[사번키],$W583),상세표[기록월],대상월키,상세표[반영월],"&lt;&gt;"&amp;대상월키))</f>
        <v/>
      </c>
      <c r="I583">
        <f>IF($W583="","",SUMIFS(상세표[기록 시간외],상세표[사번키],INDEX(합계표[사번키],$W583),상세표[기록월],"&lt;&gt;"&amp;대상월키,상세표[반영월],대상월키))</f>
        <v/>
      </c>
      <c r="J583">
        <f>IF($W583="","",SUMIFS(상세표[기록 시간외],상세표[사번키],INDEX(합계표[사번키],$W583),상세표[반영월],대상월키))</f>
        <v/>
      </c>
      <c r="K583">
        <f>IF($W583="","",IFERROR(INDEX(월별근무지표[적용 급여병원],MATCH(INDEX(합계표[사번키],$W583)&amp;"|"&amp;대상월키,월별근무지표[키],0))&amp;"",IF(COUNTIF(기관표[사번키],INDEX(합계표[사번키],$W583))+COUNTIF(월별근무지표[사번키],INDEX(합계표[사번키],$W583))&gt;0,IFERROR(INDEX(기관표[급여지급병원(기준월)],MATCH(INDEX(합계표[사번키],$W583)&amp;"|"&amp;대상월키,기관표[키],0))&amp;"","—"),"—")))</f>
        <v/>
      </c>
      <c r="L583">
        <f>IF($W583="","",IF(NOT(COUNTIF(기관표[사번키],INDEX(합계표[사번키],$W583))+COUNTIF(월별근무지표[사번키],INDEX(합계표[사번키],$W583))&gt;0),"기관명단에 없음(다른 병원으로 발송)",IF($K583="—","대상월 기관명단 없음(추가 필요)",IF($K583="서울병원","해당","비해당"))))</f>
        <v/>
      </c>
      <c r="M583">
        <f>IF($W583="","",SUMIFS(상세표[06~07시],상세표[사번키],INDEX(합계표[사번키],$W583),상세표[반영월],대상월키,상세표[반영 기관],"서울병원"))</f>
        <v/>
      </c>
      <c r="N583">
        <f>IF($W583="","",SUMIFS(상세표[07~18시],상세표[사번키],INDEX(합계표[사번키],$W583),상세표[반영월],대상월키,상세표[반영 기관],"서울병원"))</f>
        <v/>
      </c>
      <c r="O583">
        <f>IF($W583="","",SUMIFS(상세표[18~22시],상세표[사번키],INDEX(합계표[사번키],$W583),상세표[반영월],대상월키,상세표[반영 기관],"서울병원"))</f>
        <v/>
      </c>
      <c r="P583">
        <f>IF($W583="","",SUMIFS(상세표[22~06시],상세표[사번키],INDEX(합계표[사번키],$W583),상세표[반영월],대상월키,상세표[반영 기관],"서울병원"))</f>
        <v/>
      </c>
      <c r="Q583">
        <f>IF($W583="","",SUM($M583:$P583))</f>
        <v/>
      </c>
      <c r="R583">
        <f>IF($W583="","",COUNTIFS(상세표[사번키],INDEX(합계표[사번키],$W583),상세표[반영월],대상월키,상세표[야간당직],1,상세표[야간 구분],"평일"))</f>
        <v/>
      </c>
      <c r="S583" s="4">
        <f>IF($W583="","",COUNTIFS(상세표[사번키],INDEX(합계표[사번키],$W583),상세표[반영월],대상월키,상세표[야간당직],1,상세표[야간 구분],"휴일"))</f>
        <v/>
      </c>
      <c r="T583">
        <f>IF($W583="","",COUNTIFS(상세표[사번키],INDEX(합계표[사번키],$W583),상세표[반영월],대상월키,상세표[야간당직],1,상세표[야간 구분],"평일",상세표[반영 기관],"서울병원"))</f>
        <v/>
      </c>
      <c r="U583">
        <f>IF($W583="","",COUNTIFS(상세표[사번키],INDEX(합계표[사번키],$W583),상세표[반영월],대상월키,상세표[야간당직],1,상세표[야간 구분],"휴일",상세표[반영 기관],"서울병원"))</f>
        <v/>
      </c>
      <c r="V583">
        <f>IF($W583="","",IF(ISNUMBER(MATCH(INDEX(합계표[사번키],$W583)&amp;"|"&amp;대상월키,월별근무지표[키],0)),"직접 입력",IF($K583="—","—","기관명단")))</f>
        <v/>
      </c>
      <c r="W583">
        <f>IFERROR(MATCH(578,합계표[판정순번],0),"")</f>
        <v/>
      </c>
    </row>
    <row r="584">
      <c r="A584">
        <f>IF($W584="","",INDEX(합계표[사번],$W584)&amp;"")</f>
        <v/>
      </c>
      <c r="B584">
        <f>IF($W584="","",INDEX(합계표[성명],$W584)&amp;"")</f>
        <v/>
      </c>
      <c r="C584">
        <f>IF($W584="","",INDEX(합계표[부서],$W584)&amp;"")</f>
        <v/>
      </c>
      <c r="D584">
        <f>IF($W584="","",INDEX(합계표[직위(통합)],$W584)&amp;"")</f>
        <v/>
      </c>
      <c r="E584">
        <f>IF($W584="","",SUMIFS(합계표[시스템 합계],합계표[사번키],INDEX(합계표[사번키],$W584)))</f>
        <v/>
      </c>
      <c r="F584">
        <f>IF($W584="","",SUMIFS(상세표[기록 시간외],상세표[사번키],INDEX(합계표[사번키],$W584),상세표[기록월],대상월키))</f>
        <v/>
      </c>
      <c r="G584">
        <f>IF($W584="","",IF(ABS($E584-$F584)&lt;0.01,"일치","불일치(차이 "&amp;TEXT($F584-$E584,"0.00")&amp;")"))</f>
        <v/>
      </c>
      <c r="H584">
        <f>IF($W584="","",SUMIFS(상세표[기록 시간외],상세표[사번키],INDEX(합계표[사번키],$W584),상세표[기록월],대상월키,상세표[반영월],"&lt;&gt;"&amp;대상월키))</f>
        <v/>
      </c>
      <c r="I584">
        <f>IF($W584="","",SUMIFS(상세표[기록 시간외],상세표[사번키],INDEX(합계표[사번키],$W584),상세표[기록월],"&lt;&gt;"&amp;대상월키,상세표[반영월],대상월키))</f>
        <v/>
      </c>
      <c r="J584">
        <f>IF($W584="","",SUMIFS(상세표[기록 시간외],상세표[사번키],INDEX(합계표[사번키],$W584),상세표[반영월],대상월키))</f>
        <v/>
      </c>
      <c r="K584">
        <f>IF($W584="","",IFERROR(INDEX(월별근무지표[적용 급여병원],MATCH(INDEX(합계표[사번키],$W584)&amp;"|"&amp;대상월키,월별근무지표[키],0))&amp;"",IF(COUNTIF(기관표[사번키],INDEX(합계표[사번키],$W584))+COUNTIF(월별근무지표[사번키],INDEX(합계표[사번키],$W584))&gt;0,IFERROR(INDEX(기관표[급여지급병원(기준월)],MATCH(INDEX(합계표[사번키],$W584)&amp;"|"&amp;대상월키,기관표[키],0))&amp;"","—"),"—")))</f>
        <v/>
      </c>
      <c r="L584">
        <f>IF($W584="","",IF(NOT(COUNTIF(기관표[사번키],INDEX(합계표[사번키],$W584))+COUNTIF(월별근무지표[사번키],INDEX(합계표[사번키],$W584))&gt;0),"기관명단에 없음(다른 병원으로 발송)",IF($K584="—","대상월 기관명단 없음(추가 필요)",IF($K584="서울병원","해당","비해당"))))</f>
        <v/>
      </c>
      <c r="M584">
        <f>IF($W584="","",SUMIFS(상세표[06~07시],상세표[사번키],INDEX(합계표[사번키],$W584),상세표[반영월],대상월키,상세표[반영 기관],"서울병원"))</f>
        <v/>
      </c>
      <c r="N584">
        <f>IF($W584="","",SUMIFS(상세표[07~18시],상세표[사번키],INDEX(합계표[사번키],$W584),상세표[반영월],대상월키,상세표[반영 기관],"서울병원"))</f>
        <v/>
      </c>
      <c r="O584">
        <f>IF($W584="","",SUMIFS(상세표[18~22시],상세표[사번키],INDEX(합계표[사번키],$W584),상세표[반영월],대상월키,상세표[반영 기관],"서울병원"))</f>
        <v/>
      </c>
      <c r="P584">
        <f>IF($W584="","",SUMIFS(상세표[22~06시],상세표[사번키],INDEX(합계표[사번키],$W584),상세표[반영월],대상월키,상세표[반영 기관],"서울병원"))</f>
        <v/>
      </c>
      <c r="Q584">
        <f>IF($W584="","",SUM($M584:$P584))</f>
        <v/>
      </c>
      <c r="R584">
        <f>IF($W584="","",COUNTIFS(상세표[사번키],INDEX(합계표[사번키],$W584),상세표[반영월],대상월키,상세표[야간당직],1,상세표[야간 구분],"평일"))</f>
        <v/>
      </c>
      <c r="S584" s="4">
        <f>IF($W584="","",COUNTIFS(상세표[사번키],INDEX(합계표[사번키],$W584),상세표[반영월],대상월키,상세표[야간당직],1,상세표[야간 구분],"휴일"))</f>
        <v/>
      </c>
      <c r="T584">
        <f>IF($W584="","",COUNTIFS(상세표[사번키],INDEX(합계표[사번키],$W584),상세표[반영월],대상월키,상세표[야간당직],1,상세표[야간 구분],"평일",상세표[반영 기관],"서울병원"))</f>
        <v/>
      </c>
      <c r="U584">
        <f>IF($W584="","",COUNTIFS(상세표[사번키],INDEX(합계표[사번키],$W584),상세표[반영월],대상월키,상세표[야간당직],1,상세표[야간 구분],"휴일",상세표[반영 기관],"서울병원"))</f>
        <v/>
      </c>
      <c r="V584">
        <f>IF($W584="","",IF(ISNUMBER(MATCH(INDEX(합계표[사번키],$W584)&amp;"|"&amp;대상월키,월별근무지표[키],0)),"직접 입력",IF($K584="—","—","기관명단")))</f>
        <v/>
      </c>
      <c r="W584">
        <f>IFERROR(MATCH(579,합계표[판정순번],0),"")</f>
        <v/>
      </c>
    </row>
    <row r="585">
      <c r="A585">
        <f>IF($W585="","",INDEX(합계표[사번],$W585)&amp;"")</f>
        <v/>
      </c>
      <c r="B585">
        <f>IF($W585="","",INDEX(합계표[성명],$W585)&amp;"")</f>
        <v/>
      </c>
      <c r="C585">
        <f>IF($W585="","",INDEX(합계표[부서],$W585)&amp;"")</f>
        <v/>
      </c>
      <c r="D585">
        <f>IF($W585="","",INDEX(합계표[직위(통합)],$W585)&amp;"")</f>
        <v/>
      </c>
      <c r="E585">
        <f>IF($W585="","",SUMIFS(합계표[시스템 합계],합계표[사번키],INDEX(합계표[사번키],$W585)))</f>
        <v/>
      </c>
      <c r="F585">
        <f>IF($W585="","",SUMIFS(상세표[기록 시간외],상세표[사번키],INDEX(합계표[사번키],$W585),상세표[기록월],대상월키))</f>
        <v/>
      </c>
      <c r="G585">
        <f>IF($W585="","",IF(ABS($E585-$F585)&lt;0.01,"일치","불일치(차이 "&amp;TEXT($F585-$E585,"0.00")&amp;")"))</f>
        <v/>
      </c>
      <c r="H585">
        <f>IF($W585="","",SUMIFS(상세표[기록 시간외],상세표[사번키],INDEX(합계표[사번키],$W585),상세표[기록월],대상월키,상세표[반영월],"&lt;&gt;"&amp;대상월키))</f>
        <v/>
      </c>
      <c r="I585">
        <f>IF($W585="","",SUMIFS(상세표[기록 시간외],상세표[사번키],INDEX(합계표[사번키],$W585),상세표[기록월],"&lt;&gt;"&amp;대상월키,상세표[반영월],대상월키))</f>
        <v/>
      </c>
      <c r="J585">
        <f>IF($W585="","",SUMIFS(상세표[기록 시간외],상세표[사번키],INDEX(합계표[사번키],$W585),상세표[반영월],대상월키))</f>
        <v/>
      </c>
      <c r="K585">
        <f>IF($W585="","",IFERROR(INDEX(월별근무지표[적용 급여병원],MATCH(INDEX(합계표[사번키],$W585)&amp;"|"&amp;대상월키,월별근무지표[키],0))&amp;"",IF(COUNTIF(기관표[사번키],INDEX(합계표[사번키],$W585))+COUNTIF(월별근무지표[사번키],INDEX(합계표[사번키],$W585))&gt;0,IFERROR(INDEX(기관표[급여지급병원(기준월)],MATCH(INDEX(합계표[사번키],$W585)&amp;"|"&amp;대상월키,기관표[키],0))&amp;"","—"),"—")))</f>
        <v/>
      </c>
      <c r="L585">
        <f>IF($W585="","",IF(NOT(COUNTIF(기관표[사번키],INDEX(합계표[사번키],$W585))+COUNTIF(월별근무지표[사번키],INDEX(합계표[사번키],$W585))&gt;0),"기관명단에 없음(다른 병원으로 발송)",IF($K585="—","대상월 기관명단 없음(추가 필요)",IF($K585="서울병원","해당","비해당"))))</f>
        <v/>
      </c>
      <c r="M585">
        <f>IF($W585="","",SUMIFS(상세표[06~07시],상세표[사번키],INDEX(합계표[사번키],$W585),상세표[반영월],대상월키,상세표[반영 기관],"서울병원"))</f>
        <v/>
      </c>
      <c r="N585">
        <f>IF($W585="","",SUMIFS(상세표[07~18시],상세표[사번키],INDEX(합계표[사번키],$W585),상세표[반영월],대상월키,상세표[반영 기관],"서울병원"))</f>
        <v/>
      </c>
      <c r="O585">
        <f>IF($W585="","",SUMIFS(상세표[18~22시],상세표[사번키],INDEX(합계표[사번키],$W585),상세표[반영월],대상월키,상세표[반영 기관],"서울병원"))</f>
        <v/>
      </c>
      <c r="P585">
        <f>IF($W585="","",SUMIFS(상세표[22~06시],상세표[사번키],INDEX(합계표[사번키],$W585),상세표[반영월],대상월키,상세표[반영 기관],"서울병원"))</f>
        <v/>
      </c>
      <c r="Q585">
        <f>IF($W585="","",SUM($M585:$P585))</f>
        <v/>
      </c>
      <c r="R585">
        <f>IF($W585="","",COUNTIFS(상세표[사번키],INDEX(합계표[사번키],$W585),상세표[반영월],대상월키,상세표[야간당직],1,상세표[야간 구분],"평일"))</f>
        <v/>
      </c>
      <c r="S585" s="4">
        <f>IF($W585="","",COUNTIFS(상세표[사번키],INDEX(합계표[사번키],$W585),상세표[반영월],대상월키,상세표[야간당직],1,상세표[야간 구분],"휴일"))</f>
        <v/>
      </c>
      <c r="T585">
        <f>IF($W585="","",COUNTIFS(상세표[사번키],INDEX(합계표[사번키],$W585),상세표[반영월],대상월키,상세표[야간당직],1,상세표[야간 구분],"평일",상세표[반영 기관],"서울병원"))</f>
        <v/>
      </c>
      <c r="U585">
        <f>IF($W585="","",COUNTIFS(상세표[사번키],INDEX(합계표[사번키],$W585),상세표[반영월],대상월키,상세표[야간당직],1,상세표[야간 구분],"휴일",상세표[반영 기관],"서울병원"))</f>
        <v/>
      </c>
      <c r="V585">
        <f>IF($W585="","",IF(ISNUMBER(MATCH(INDEX(합계표[사번키],$W585)&amp;"|"&amp;대상월키,월별근무지표[키],0)),"직접 입력",IF($K585="—","—","기관명단")))</f>
        <v/>
      </c>
      <c r="W585">
        <f>IFERROR(MATCH(580,합계표[판정순번],0),"")</f>
        <v/>
      </c>
    </row>
    <row r="586">
      <c r="A586">
        <f>IF($W586="","",INDEX(합계표[사번],$W586)&amp;"")</f>
        <v/>
      </c>
      <c r="B586">
        <f>IF($W586="","",INDEX(합계표[성명],$W586)&amp;"")</f>
        <v/>
      </c>
      <c r="C586">
        <f>IF($W586="","",INDEX(합계표[부서],$W586)&amp;"")</f>
        <v/>
      </c>
      <c r="D586">
        <f>IF($W586="","",INDEX(합계표[직위(통합)],$W586)&amp;"")</f>
        <v/>
      </c>
      <c r="E586">
        <f>IF($W586="","",SUMIFS(합계표[시스템 합계],합계표[사번키],INDEX(합계표[사번키],$W586)))</f>
        <v/>
      </c>
      <c r="F586">
        <f>IF($W586="","",SUMIFS(상세표[기록 시간외],상세표[사번키],INDEX(합계표[사번키],$W586),상세표[기록월],대상월키))</f>
        <v/>
      </c>
      <c r="G586">
        <f>IF($W586="","",IF(ABS($E586-$F586)&lt;0.01,"일치","불일치(차이 "&amp;TEXT($F586-$E586,"0.00")&amp;")"))</f>
        <v/>
      </c>
      <c r="H586">
        <f>IF($W586="","",SUMIFS(상세표[기록 시간외],상세표[사번키],INDEX(합계표[사번키],$W586),상세표[기록월],대상월키,상세표[반영월],"&lt;&gt;"&amp;대상월키))</f>
        <v/>
      </c>
      <c r="I586">
        <f>IF($W586="","",SUMIFS(상세표[기록 시간외],상세표[사번키],INDEX(합계표[사번키],$W586),상세표[기록월],"&lt;&gt;"&amp;대상월키,상세표[반영월],대상월키))</f>
        <v/>
      </c>
      <c r="J586">
        <f>IF($W586="","",SUMIFS(상세표[기록 시간외],상세표[사번키],INDEX(합계표[사번키],$W586),상세표[반영월],대상월키))</f>
        <v/>
      </c>
      <c r="K586">
        <f>IF($W586="","",IFERROR(INDEX(월별근무지표[적용 급여병원],MATCH(INDEX(합계표[사번키],$W586)&amp;"|"&amp;대상월키,월별근무지표[키],0))&amp;"",IF(COUNTIF(기관표[사번키],INDEX(합계표[사번키],$W586))+COUNTIF(월별근무지표[사번키],INDEX(합계표[사번키],$W586))&gt;0,IFERROR(INDEX(기관표[급여지급병원(기준월)],MATCH(INDEX(합계표[사번키],$W586)&amp;"|"&amp;대상월키,기관표[키],0))&amp;"","—"),"—")))</f>
        <v/>
      </c>
      <c r="L586">
        <f>IF($W586="","",IF(NOT(COUNTIF(기관표[사번키],INDEX(합계표[사번키],$W586))+COUNTIF(월별근무지표[사번키],INDEX(합계표[사번키],$W586))&gt;0),"기관명단에 없음(다른 병원으로 발송)",IF($K586="—","대상월 기관명단 없음(추가 필요)",IF($K586="서울병원","해당","비해당"))))</f>
        <v/>
      </c>
      <c r="M586">
        <f>IF($W586="","",SUMIFS(상세표[06~07시],상세표[사번키],INDEX(합계표[사번키],$W586),상세표[반영월],대상월키,상세표[반영 기관],"서울병원"))</f>
        <v/>
      </c>
      <c r="N586">
        <f>IF($W586="","",SUMIFS(상세표[07~18시],상세표[사번키],INDEX(합계표[사번키],$W586),상세표[반영월],대상월키,상세표[반영 기관],"서울병원"))</f>
        <v/>
      </c>
      <c r="O586">
        <f>IF($W586="","",SUMIFS(상세표[18~22시],상세표[사번키],INDEX(합계표[사번키],$W586),상세표[반영월],대상월키,상세표[반영 기관],"서울병원"))</f>
        <v/>
      </c>
      <c r="P586">
        <f>IF($W586="","",SUMIFS(상세표[22~06시],상세표[사번키],INDEX(합계표[사번키],$W586),상세표[반영월],대상월키,상세표[반영 기관],"서울병원"))</f>
        <v/>
      </c>
      <c r="Q586">
        <f>IF($W586="","",SUM($M586:$P586))</f>
        <v/>
      </c>
      <c r="R586">
        <f>IF($W586="","",COUNTIFS(상세표[사번키],INDEX(합계표[사번키],$W586),상세표[반영월],대상월키,상세표[야간당직],1,상세표[야간 구분],"평일"))</f>
        <v/>
      </c>
      <c r="S586" s="4">
        <f>IF($W586="","",COUNTIFS(상세표[사번키],INDEX(합계표[사번키],$W586),상세표[반영월],대상월키,상세표[야간당직],1,상세표[야간 구분],"휴일"))</f>
        <v/>
      </c>
      <c r="T586">
        <f>IF($W586="","",COUNTIFS(상세표[사번키],INDEX(합계표[사번키],$W586),상세표[반영월],대상월키,상세표[야간당직],1,상세표[야간 구분],"평일",상세표[반영 기관],"서울병원"))</f>
        <v/>
      </c>
      <c r="U586">
        <f>IF($W586="","",COUNTIFS(상세표[사번키],INDEX(합계표[사번키],$W586),상세표[반영월],대상월키,상세표[야간당직],1,상세표[야간 구분],"휴일",상세표[반영 기관],"서울병원"))</f>
        <v/>
      </c>
      <c r="V586">
        <f>IF($W586="","",IF(ISNUMBER(MATCH(INDEX(합계표[사번키],$W586)&amp;"|"&amp;대상월키,월별근무지표[키],0)),"직접 입력",IF($K586="—","—","기관명단")))</f>
        <v/>
      </c>
      <c r="W586">
        <f>IFERROR(MATCH(581,합계표[판정순번],0),"")</f>
        <v/>
      </c>
    </row>
    <row r="587">
      <c r="A587">
        <f>IF($W587="","",INDEX(합계표[사번],$W587)&amp;"")</f>
        <v/>
      </c>
      <c r="B587">
        <f>IF($W587="","",INDEX(합계표[성명],$W587)&amp;"")</f>
        <v/>
      </c>
      <c r="C587">
        <f>IF($W587="","",INDEX(합계표[부서],$W587)&amp;"")</f>
        <v/>
      </c>
      <c r="D587">
        <f>IF($W587="","",INDEX(합계표[직위(통합)],$W587)&amp;"")</f>
        <v/>
      </c>
      <c r="E587">
        <f>IF($W587="","",SUMIFS(합계표[시스템 합계],합계표[사번키],INDEX(합계표[사번키],$W587)))</f>
        <v/>
      </c>
      <c r="F587">
        <f>IF($W587="","",SUMIFS(상세표[기록 시간외],상세표[사번키],INDEX(합계표[사번키],$W587),상세표[기록월],대상월키))</f>
        <v/>
      </c>
      <c r="G587">
        <f>IF($W587="","",IF(ABS($E587-$F587)&lt;0.01,"일치","불일치(차이 "&amp;TEXT($F587-$E587,"0.00")&amp;")"))</f>
        <v/>
      </c>
      <c r="H587">
        <f>IF($W587="","",SUMIFS(상세표[기록 시간외],상세표[사번키],INDEX(합계표[사번키],$W587),상세표[기록월],대상월키,상세표[반영월],"&lt;&gt;"&amp;대상월키))</f>
        <v/>
      </c>
      <c r="I587">
        <f>IF($W587="","",SUMIFS(상세표[기록 시간외],상세표[사번키],INDEX(합계표[사번키],$W587),상세표[기록월],"&lt;&gt;"&amp;대상월키,상세표[반영월],대상월키))</f>
        <v/>
      </c>
      <c r="J587">
        <f>IF($W587="","",SUMIFS(상세표[기록 시간외],상세표[사번키],INDEX(합계표[사번키],$W587),상세표[반영월],대상월키))</f>
        <v/>
      </c>
      <c r="K587">
        <f>IF($W587="","",IFERROR(INDEX(월별근무지표[적용 급여병원],MATCH(INDEX(합계표[사번키],$W587)&amp;"|"&amp;대상월키,월별근무지표[키],0))&amp;"",IF(COUNTIF(기관표[사번키],INDEX(합계표[사번키],$W587))+COUNTIF(월별근무지표[사번키],INDEX(합계표[사번키],$W587))&gt;0,IFERROR(INDEX(기관표[급여지급병원(기준월)],MATCH(INDEX(합계표[사번키],$W587)&amp;"|"&amp;대상월키,기관표[키],0))&amp;"","—"),"—")))</f>
        <v/>
      </c>
      <c r="L587">
        <f>IF($W587="","",IF(NOT(COUNTIF(기관표[사번키],INDEX(합계표[사번키],$W587))+COUNTIF(월별근무지표[사번키],INDEX(합계표[사번키],$W587))&gt;0),"기관명단에 없음(다른 병원으로 발송)",IF($K587="—","대상월 기관명단 없음(추가 필요)",IF($K587="서울병원","해당","비해당"))))</f>
        <v/>
      </c>
      <c r="M587">
        <f>IF($W587="","",SUMIFS(상세표[06~07시],상세표[사번키],INDEX(합계표[사번키],$W587),상세표[반영월],대상월키,상세표[반영 기관],"서울병원"))</f>
        <v/>
      </c>
      <c r="N587">
        <f>IF($W587="","",SUMIFS(상세표[07~18시],상세표[사번키],INDEX(합계표[사번키],$W587),상세표[반영월],대상월키,상세표[반영 기관],"서울병원"))</f>
        <v/>
      </c>
      <c r="O587">
        <f>IF($W587="","",SUMIFS(상세표[18~22시],상세표[사번키],INDEX(합계표[사번키],$W587),상세표[반영월],대상월키,상세표[반영 기관],"서울병원"))</f>
        <v/>
      </c>
      <c r="P587">
        <f>IF($W587="","",SUMIFS(상세표[22~06시],상세표[사번키],INDEX(합계표[사번키],$W587),상세표[반영월],대상월키,상세표[반영 기관],"서울병원"))</f>
        <v/>
      </c>
      <c r="Q587">
        <f>IF($W587="","",SUM($M587:$P587))</f>
        <v/>
      </c>
      <c r="R587">
        <f>IF($W587="","",COUNTIFS(상세표[사번키],INDEX(합계표[사번키],$W587),상세표[반영월],대상월키,상세표[야간당직],1,상세표[야간 구분],"평일"))</f>
        <v/>
      </c>
      <c r="S587" s="4">
        <f>IF($W587="","",COUNTIFS(상세표[사번키],INDEX(합계표[사번키],$W587),상세표[반영월],대상월키,상세표[야간당직],1,상세표[야간 구분],"휴일"))</f>
        <v/>
      </c>
      <c r="T587">
        <f>IF($W587="","",COUNTIFS(상세표[사번키],INDEX(합계표[사번키],$W587),상세표[반영월],대상월키,상세표[야간당직],1,상세표[야간 구분],"평일",상세표[반영 기관],"서울병원"))</f>
        <v/>
      </c>
      <c r="U587">
        <f>IF($W587="","",COUNTIFS(상세표[사번키],INDEX(합계표[사번키],$W587),상세표[반영월],대상월키,상세표[야간당직],1,상세표[야간 구분],"휴일",상세표[반영 기관],"서울병원"))</f>
        <v/>
      </c>
      <c r="V587">
        <f>IF($W587="","",IF(ISNUMBER(MATCH(INDEX(합계표[사번키],$W587)&amp;"|"&amp;대상월키,월별근무지표[키],0)),"직접 입력",IF($K587="—","—","기관명단")))</f>
        <v/>
      </c>
      <c r="W587">
        <f>IFERROR(MATCH(582,합계표[판정순번],0),"")</f>
        <v/>
      </c>
    </row>
    <row r="588">
      <c r="A588">
        <f>IF($W588="","",INDEX(합계표[사번],$W588)&amp;"")</f>
        <v/>
      </c>
      <c r="B588">
        <f>IF($W588="","",INDEX(합계표[성명],$W588)&amp;"")</f>
        <v/>
      </c>
      <c r="C588">
        <f>IF($W588="","",INDEX(합계표[부서],$W588)&amp;"")</f>
        <v/>
      </c>
      <c r="D588">
        <f>IF($W588="","",INDEX(합계표[직위(통합)],$W588)&amp;"")</f>
        <v/>
      </c>
      <c r="E588">
        <f>IF($W588="","",SUMIFS(합계표[시스템 합계],합계표[사번키],INDEX(합계표[사번키],$W588)))</f>
        <v/>
      </c>
      <c r="F588">
        <f>IF($W588="","",SUMIFS(상세표[기록 시간외],상세표[사번키],INDEX(합계표[사번키],$W588),상세표[기록월],대상월키))</f>
        <v/>
      </c>
      <c r="G588">
        <f>IF($W588="","",IF(ABS($E588-$F588)&lt;0.01,"일치","불일치(차이 "&amp;TEXT($F588-$E588,"0.00")&amp;")"))</f>
        <v/>
      </c>
      <c r="H588">
        <f>IF($W588="","",SUMIFS(상세표[기록 시간외],상세표[사번키],INDEX(합계표[사번키],$W588),상세표[기록월],대상월키,상세표[반영월],"&lt;&gt;"&amp;대상월키))</f>
        <v/>
      </c>
      <c r="I588">
        <f>IF($W588="","",SUMIFS(상세표[기록 시간외],상세표[사번키],INDEX(합계표[사번키],$W588),상세표[기록월],"&lt;&gt;"&amp;대상월키,상세표[반영월],대상월키))</f>
        <v/>
      </c>
      <c r="J588">
        <f>IF($W588="","",SUMIFS(상세표[기록 시간외],상세표[사번키],INDEX(합계표[사번키],$W588),상세표[반영월],대상월키))</f>
        <v/>
      </c>
      <c r="K588">
        <f>IF($W588="","",IFERROR(INDEX(월별근무지표[적용 급여병원],MATCH(INDEX(합계표[사번키],$W588)&amp;"|"&amp;대상월키,월별근무지표[키],0))&amp;"",IF(COUNTIF(기관표[사번키],INDEX(합계표[사번키],$W588))+COUNTIF(월별근무지표[사번키],INDEX(합계표[사번키],$W588))&gt;0,IFERROR(INDEX(기관표[급여지급병원(기준월)],MATCH(INDEX(합계표[사번키],$W588)&amp;"|"&amp;대상월키,기관표[키],0))&amp;"","—"),"—")))</f>
        <v/>
      </c>
      <c r="L588">
        <f>IF($W588="","",IF(NOT(COUNTIF(기관표[사번키],INDEX(합계표[사번키],$W588))+COUNTIF(월별근무지표[사번키],INDEX(합계표[사번키],$W588))&gt;0),"기관명단에 없음(다른 병원으로 발송)",IF($K588="—","대상월 기관명단 없음(추가 필요)",IF($K588="서울병원","해당","비해당"))))</f>
        <v/>
      </c>
      <c r="M588">
        <f>IF($W588="","",SUMIFS(상세표[06~07시],상세표[사번키],INDEX(합계표[사번키],$W588),상세표[반영월],대상월키,상세표[반영 기관],"서울병원"))</f>
        <v/>
      </c>
      <c r="N588">
        <f>IF($W588="","",SUMIFS(상세표[07~18시],상세표[사번키],INDEX(합계표[사번키],$W588),상세표[반영월],대상월키,상세표[반영 기관],"서울병원"))</f>
        <v/>
      </c>
      <c r="O588">
        <f>IF($W588="","",SUMIFS(상세표[18~22시],상세표[사번키],INDEX(합계표[사번키],$W588),상세표[반영월],대상월키,상세표[반영 기관],"서울병원"))</f>
        <v/>
      </c>
      <c r="P588">
        <f>IF($W588="","",SUMIFS(상세표[22~06시],상세표[사번키],INDEX(합계표[사번키],$W588),상세표[반영월],대상월키,상세표[반영 기관],"서울병원"))</f>
        <v/>
      </c>
      <c r="Q588">
        <f>IF($W588="","",SUM($M588:$P588))</f>
        <v/>
      </c>
      <c r="R588">
        <f>IF($W588="","",COUNTIFS(상세표[사번키],INDEX(합계표[사번키],$W588),상세표[반영월],대상월키,상세표[야간당직],1,상세표[야간 구분],"평일"))</f>
        <v/>
      </c>
      <c r="S588" s="4">
        <f>IF($W588="","",COUNTIFS(상세표[사번키],INDEX(합계표[사번키],$W588),상세표[반영월],대상월키,상세표[야간당직],1,상세표[야간 구분],"휴일"))</f>
        <v/>
      </c>
      <c r="T588">
        <f>IF($W588="","",COUNTIFS(상세표[사번키],INDEX(합계표[사번키],$W588),상세표[반영월],대상월키,상세표[야간당직],1,상세표[야간 구분],"평일",상세표[반영 기관],"서울병원"))</f>
        <v/>
      </c>
      <c r="U588">
        <f>IF($W588="","",COUNTIFS(상세표[사번키],INDEX(합계표[사번키],$W588),상세표[반영월],대상월키,상세표[야간당직],1,상세표[야간 구분],"휴일",상세표[반영 기관],"서울병원"))</f>
        <v/>
      </c>
      <c r="V588">
        <f>IF($W588="","",IF(ISNUMBER(MATCH(INDEX(합계표[사번키],$W588)&amp;"|"&amp;대상월키,월별근무지표[키],0)),"직접 입력",IF($K588="—","—","기관명단")))</f>
        <v/>
      </c>
      <c r="W588">
        <f>IFERROR(MATCH(583,합계표[판정순번],0),"")</f>
        <v/>
      </c>
    </row>
    <row r="589">
      <c r="A589">
        <f>IF($W589="","",INDEX(합계표[사번],$W589)&amp;"")</f>
        <v/>
      </c>
      <c r="B589">
        <f>IF($W589="","",INDEX(합계표[성명],$W589)&amp;"")</f>
        <v/>
      </c>
      <c r="C589">
        <f>IF($W589="","",INDEX(합계표[부서],$W589)&amp;"")</f>
        <v/>
      </c>
      <c r="D589">
        <f>IF($W589="","",INDEX(합계표[직위(통합)],$W589)&amp;"")</f>
        <v/>
      </c>
      <c r="E589">
        <f>IF($W589="","",SUMIFS(합계표[시스템 합계],합계표[사번키],INDEX(합계표[사번키],$W589)))</f>
        <v/>
      </c>
      <c r="F589">
        <f>IF($W589="","",SUMIFS(상세표[기록 시간외],상세표[사번키],INDEX(합계표[사번키],$W589),상세표[기록월],대상월키))</f>
        <v/>
      </c>
      <c r="G589">
        <f>IF($W589="","",IF(ABS($E589-$F589)&lt;0.01,"일치","불일치(차이 "&amp;TEXT($F589-$E589,"0.00")&amp;")"))</f>
        <v/>
      </c>
      <c r="H589">
        <f>IF($W589="","",SUMIFS(상세표[기록 시간외],상세표[사번키],INDEX(합계표[사번키],$W589),상세표[기록월],대상월키,상세표[반영월],"&lt;&gt;"&amp;대상월키))</f>
        <v/>
      </c>
      <c r="I589">
        <f>IF($W589="","",SUMIFS(상세표[기록 시간외],상세표[사번키],INDEX(합계표[사번키],$W589),상세표[기록월],"&lt;&gt;"&amp;대상월키,상세표[반영월],대상월키))</f>
        <v/>
      </c>
      <c r="J589">
        <f>IF($W589="","",SUMIFS(상세표[기록 시간외],상세표[사번키],INDEX(합계표[사번키],$W589),상세표[반영월],대상월키))</f>
        <v/>
      </c>
      <c r="K589">
        <f>IF($W589="","",IFERROR(INDEX(월별근무지표[적용 급여병원],MATCH(INDEX(합계표[사번키],$W589)&amp;"|"&amp;대상월키,월별근무지표[키],0))&amp;"",IF(COUNTIF(기관표[사번키],INDEX(합계표[사번키],$W589))+COUNTIF(월별근무지표[사번키],INDEX(합계표[사번키],$W589))&gt;0,IFERROR(INDEX(기관표[급여지급병원(기준월)],MATCH(INDEX(합계표[사번키],$W589)&amp;"|"&amp;대상월키,기관표[키],0))&amp;"","—"),"—")))</f>
        <v/>
      </c>
      <c r="L589">
        <f>IF($W589="","",IF(NOT(COUNTIF(기관표[사번키],INDEX(합계표[사번키],$W589))+COUNTIF(월별근무지표[사번키],INDEX(합계표[사번키],$W589))&gt;0),"기관명단에 없음(다른 병원으로 발송)",IF($K589="—","대상월 기관명단 없음(추가 필요)",IF($K589="서울병원","해당","비해당"))))</f>
        <v/>
      </c>
      <c r="M589">
        <f>IF($W589="","",SUMIFS(상세표[06~07시],상세표[사번키],INDEX(합계표[사번키],$W589),상세표[반영월],대상월키,상세표[반영 기관],"서울병원"))</f>
        <v/>
      </c>
      <c r="N589">
        <f>IF($W589="","",SUMIFS(상세표[07~18시],상세표[사번키],INDEX(합계표[사번키],$W589),상세표[반영월],대상월키,상세표[반영 기관],"서울병원"))</f>
        <v/>
      </c>
      <c r="O589">
        <f>IF($W589="","",SUMIFS(상세표[18~22시],상세표[사번키],INDEX(합계표[사번키],$W589),상세표[반영월],대상월키,상세표[반영 기관],"서울병원"))</f>
        <v/>
      </c>
      <c r="P589">
        <f>IF($W589="","",SUMIFS(상세표[22~06시],상세표[사번키],INDEX(합계표[사번키],$W589),상세표[반영월],대상월키,상세표[반영 기관],"서울병원"))</f>
        <v/>
      </c>
      <c r="Q589">
        <f>IF($W589="","",SUM($M589:$P589))</f>
        <v/>
      </c>
      <c r="R589">
        <f>IF($W589="","",COUNTIFS(상세표[사번키],INDEX(합계표[사번키],$W589),상세표[반영월],대상월키,상세표[야간당직],1,상세표[야간 구분],"평일"))</f>
        <v/>
      </c>
      <c r="S589" s="4">
        <f>IF($W589="","",COUNTIFS(상세표[사번키],INDEX(합계표[사번키],$W589),상세표[반영월],대상월키,상세표[야간당직],1,상세표[야간 구분],"휴일"))</f>
        <v/>
      </c>
      <c r="T589">
        <f>IF($W589="","",COUNTIFS(상세표[사번키],INDEX(합계표[사번키],$W589),상세표[반영월],대상월키,상세표[야간당직],1,상세표[야간 구분],"평일",상세표[반영 기관],"서울병원"))</f>
        <v/>
      </c>
      <c r="U589">
        <f>IF($W589="","",COUNTIFS(상세표[사번키],INDEX(합계표[사번키],$W589),상세표[반영월],대상월키,상세표[야간당직],1,상세표[야간 구분],"휴일",상세표[반영 기관],"서울병원"))</f>
        <v/>
      </c>
      <c r="V589">
        <f>IF($W589="","",IF(ISNUMBER(MATCH(INDEX(합계표[사번키],$W589)&amp;"|"&amp;대상월키,월별근무지표[키],0)),"직접 입력",IF($K589="—","—","기관명단")))</f>
        <v/>
      </c>
      <c r="W589">
        <f>IFERROR(MATCH(584,합계표[판정순번],0),"")</f>
        <v/>
      </c>
    </row>
    <row r="590">
      <c r="A590">
        <f>IF($W590="","",INDEX(합계표[사번],$W590)&amp;"")</f>
        <v/>
      </c>
      <c r="B590">
        <f>IF($W590="","",INDEX(합계표[성명],$W590)&amp;"")</f>
        <v/>
      </c>
      <c r="C590">
        <f>IF($W590="","",INDEX(합계표[부서],$W590)&amp;"")</f>
        <v/>
      </c>
      <c r="D590">
        <f>IF($W590="","",INDEX(합계표[직위(통합)],$W590)&amp;"")</f>
        <v/>
      </c>
      <c r="E590">
        <f>IF($W590="","",SUMIFS(합계표[시스템 합계],합계표[사번키],INDEX(합계표[사번키],$W590)))</f>
        <v/>
      </c>
      <c r="F590">
        <f>IF($W590="","",SUMIFS(상세표[기록 시간외],상세표[사번키],INDEX(합계표[사번키],$W590),상세표[기록월],대상월키))</f>
        <v/>
      </c>
      <c r="G590">
        <f>IF($W590="","",IF(ABS($E590-$F590)&lt;0.01,"일치","불일치(차이 "&amp;TEXT($F590-$E590,"0.00")&amp;")"))</f>
        <v/>
      </c>
      <c r="H590">
        <f>IF($W590="","",SUMIFS(상세표[기록 시간외],상세표[사번키],INDEX(합계표[사번키],$W590),상세표[기록월],대상월키,상세표[반영월],"&lt;&gt;"&amp;대상월키))</f>
        <v/>
      </c>
      <c r="I590">
        <f>IF($W590="","",SUMIFS(상세표[기록 시간외],상세표[사번키],INDEX(합계표[사번키],$W590),상세표[기록월],"&lt;&gt;"&amp;대상월키,상세표[반영월],대상월키))</f>
        <v/>
      </c>
      <c r="J590">
        <f>IF($W590="","",SUMIFS(상세표[기록 시간외],상세표[사번키],INDEX(합계표[사번키],$W590),상세표[반영월],대상월키))</f>
        <v/>
      </c>
      <c r="K590">
        <f>IF($W590="","",IFERROR(INDEX(월별근무지표[적용 급여병원],MATCH(INDEX(합계표[사번키],$W590)&amp;"|"&amp;대상월키,월별근무지표[키],0))&amp;"",IF(COUNTIF(기관표[사번키],INDEX(합계표[사번키],$W590))+COUNTIF(월별근무지표[사번키],INDEX(합계표[사번키],$W590))&gt;0,IFERROR(INDEX(기관표[급여지급병원(기준월)],MATCH(INDEX(합계표[사번키],$W590)&amp;"|"&amp;대상월키,기관표[키],0))&amp;"","—"),"—")))</f>
        <v/>
      </c>
      <c r="L590">
        <f>IF($W590="","",IF(NOT(COUNTIF(기관표[사번키],INDEX(합계표[사번키],$W590))+COUNTIF(월별근무지표[사번키],INDEX(합계표[사번키],$W590))&gt;0),"기관명단에 없음(다른 병원으로 발송)",IF($K590="—","대상월 기관명단 없음(추가 필요)",IF($K590="서울병원","해당","비해당"))))</f>
        <v/>
      </c>
      <c r="M590">
        <f>IF($W590="","",SUMIFS(상세표[06~07시],상세표[사번키],INDEX(합계표[사번키],$W590),상세표[반영월],대상월키,상세표[반영 기관],"서울병원"))</f>
        <v/>
      </c>
      <c r="N590">
        <f>IF($W590="","",SUMIFS(상세표[07~18시],상세표[사번키],INDEX(합계표[사번키],$W590),상세표[반영월],대상월키,상세표[반영 기관],"서울병원"))</f>
        <v/>
      </c>
      <c r="O590">
        <f>IF($W590="","",SUMIFS(상세표[18~22시],상세표[사번키],INDEX(합계표[사번키],$W590),상세표[반영월],대상월키,상세표[반영 기관],"서울병원"))</f>
        <v/>
      </c>
      <c r="P590">
        <f>IF($W590="","",SUMIFS(상세표[22~06시],상세표[사번키],INDEX(합계표[사번키],$W590),상세표[반영월],대상월키,상세표[반영 기관],"서울병원"))</f>
        <v/>
      </c>
      <c r="Q590">
        <f>IF($W590="","",SUM($M590:$P590))</f>
        <v/>
      </c>
      <c r="R590">
        <f>IF($W590="","",COUNTIFS(상세표[사번키],INDEX(합계표[사번키],$W590),상세표[반영월],대상월키,상세표[야간당직],1,상세표[야간 구분],"평일"))</f>
        <v/>
      </c>
      <c r="S590" s="4">
        <f>IF($W590="","",COUNTIFS(상세표[사번키],INDEX(합계표[사번키],$W590),상세표[반영월],대상월키,상세표[야간당직],1,상세표[야간 구분],"휴일"))</f>
        <v/>
      </c>
      <c r="T590">
        <f>IF($W590="","",COUNTIFS(상세표[사번키],INDEX(합계표[사번키],$W590),상세표[반영월],대상월키,상세표[야간당직],1,상세표[야간 구분],"평일",상세표[반영 기관],"서울병원"))</f>
        <v/>
      </c>
      <c r="U590">
        <f>IF($W590="","",COUNTIFS(상세표[사번키],INDEX(합계표[사번키],$W590),상세표[반영월],대상월키,상세표[야간당직],1,상세표[야간 구분],"휴일",상세표[반영 기관],"서울병원"))</f>
        <v/>
      </c>
      <c r="V590">
        <f>IF($W590="","",IF(ISNUMBER(MATCH(INDEX(합계표[사번키],$W590)&amp;"|"&amp;대상월키,월별근무지표[키],0)),"직접 입력",IF($K590="—","—","기관명단")))</f>
        <v/>
      </c>
      <c r="W590">
        <f>IFERROR(MATCH(585,합계표[판정순번],0),"")</f>
        <v/>
      </c>
    </row>
    <row r="591">
      <c r="A591">
        <f>IF($W591="","",INDEX(합계표[사번],$W591)&amp;"")</f>
        <v/>
      </c>
      <c r="B591">
        <f>IF($W591="","",INDEX(합계표[성명],$W591)&amp;"")</f>
        <v/>
      </c>
      <c r="C591">
        <f>IF($W591="","",INDEX(합계표[부서],$W591)&amp;"")</f>
        <v/>
      </c>
      <c r="D591">
        <f>IF($W591="","",INDEX(합계표[직위(통합)],$W591)&amp;"")</f>
        <v/>
      </c>
      <c r="E591">
        <f>IF($W591="","",SUMIFS(합계표[시스템 합계],합계표[사번키],INDEX(합계표[사번키],$W591)))</f>
        <v/>
      </c>
      <c r="F591">
        <f>IF($W591="","",SUMIFS(상세표[기록 시간외],상세표[사번키],INDEX(합계표[사번키],$W591),상세표[기록월],대상월키))</f>
        <v/>
      </c>
      <c r="G591">
        <f>IF($W591="","",IF(ABS($E591-$F591)&lt;0.01,"일치","불일치(차이 "&amp;TEXT($F591-$E591,"0.00")&amp;")"))</f>
        <v/>
      </c>
      <c r="H591">
        <f>IF($W591="","",SUMIFS(상세표[기록 시간외],상세표[사번키],INDEX(합계표[사번키],$W591),상세표[기록월],대상월키,상세표[반영월],"&lt;&gt;"&amp;대상월키))</f>
        <v/>
      </c>
      <c r="I591">
        <f>IF($W591="","",SUMIFS(상세표[기록 시간외],상세표[사번키],INDEX(합계표[사번키],$W591),상세표[기록월],"&lt;&gt;"&amp;대상월키,상세표[반영월],대상월키))</f>
        <v/>
      </c>
      <c r="J591">
        <f>IF($W591="","",SUMIFS(상세표[기록 시간외],상세표[사번키],INDEX(합계표[사번키],$W591),상세표[반영월],대상월키))</f>
        <v/>
      </c>
      <c r="K591">
        <f>IF($W591="","",IFERROR(INDEX(월별근무지표[적용 급여병원],MATCH(INDEX(합계표[사번키],$W591)&amp;"|"&amp;대상월키,월별근무지표[키],0))&amp;"",IF(COUNTIF(기관표[사번키],INDEX(합계표[사번키],$W591))+COUNTIF(월별근무지표[사번키],INDEX(합계표[사번키],$W591))&gt;0,IFERROR(INDEX(기관표[급여지급병원(기준월)],MATCH(INDEX(합계표[사번키],$W591)&amp;"|"&amp;대상월키,기관표[키],0))&amp;"","—"),"—")))</f>
        <v/>
      </c>
      <c r="L591">
        <f>IF($W591="","",IF(NOT(COUNTIF(기관표[사번키],INDEX(합계표[사번키],$W591))+COUNTIF(월별근무지표[사번키],INDEX(합계표[사번키],$W591))&gt;0),"기관명단에 없음(다른 병원으로 발송)",IF($K591="—","대상월 기관명단 없음(추가 필요)",IF($K591="서울병원","해당","비해당"))))</f>
        <v/>
      </c>
      <c r="M591">
        <f>IF($W591="","",SUMIFS(상세표[06~07시],상세표[사번키],INDEX(합계표[사번키],$W591),상세표[반영월],대상월키,상세표[반영 기관],"서울병원"))</f>
        <v/>
      </c>
      <c r="N591">
        <f>IF($W591="","",SUMIFS(상세표[07~18시],상세표[사번키],INDEX(합계표[사번키],$W591),상세표[반영월],대상월키,상세표[반영 기관],"서울병원"))</f>
        <v/>
      </c>
      <c r="O591">
        <f>IF($W591="","",SUMIFS(상세표[18~22시],상세표[사번키],INDEX(합계표[사번키],$W591),상세표[반영월],대상월키,상세표[반영 기관],"서울병원"))</f>
        <v/>
      </c>
      <c r="P591">
        <f>IF($W591="","",SUMIFS(상세표[22~06시],상세표[사번키],INDEX(합계표[사번키],$W591),상세표[반영월],대상월키,상세표[반영 기관],"서울병원"))</f>
        <v/>
      </c>
      <c r="Q591">
        <f>IF($W591="","",SUM($M591:$P591))</f>
        <v/>
      </c>
      <c r="R591">
        <f>IF($W591="","",COUNTIFS(상세표[사번키],INDEX(합계표[사번키],$W591),상세표[반영월],대상월키,상세표[야간당직],1,상세표[야간 구분],"평일"))</f>
        <v/>
      </c>
      <c r="S591" s="4">
        <f>IF($W591="","",COUNTIFS(상세표[사번키],INDEX(합계표[사번키],$W591),상세표[반영월],대상월키,상세표[야간당직],1,상세표[야간 구분],"휴일"))</f>
        <v/>
      </c>
      <c r="T591">
        <f>IF($W591="","",COUNTIFS(상세표[사번키],INDEX(합계표[사번키],$W591),상세표[반영월],대상월키,상세표[야간당직],1,상세표[야간 구분],"평일",상세표[반영 기관],"서울병원"))</f>
        <v/>
      </c>
      <c r="U591">
        <f>IF($W591="","",COUNTIFS(상세표[사번키],INDEX(합계표[사번키],$W591),상세표[반영월],대상월키,상세표[야간당직],1,상세표[야간 구분],"휴일",상세표[반영 기관],"서울병원"))</f>
        <v/>
      </c>
      <c r="V591">
        <f>IF($W591="","",IF(ISNUMBER(MATCH(INDEX(합계표[사번키],$W591)&amp;"|"&amp;대상월키,월별근무지표[키],0)),"직접 입력",IF($K591="—","—","기관명단")))</f>
        <v/>
      </c>
      <c r="W591">
        <f>IFERROR(MATCH(586,합계표[판정순번],0),"")</f>
        <v/>
      </c>
    </row>
    <row r="592">
      <c r="A592">
        <f>IF($W592="","",INDEX(합계표[사번],$W592)&amp;"")</f>
        <v/>
      </c>
      <c r="B592">
        <f>IF($W592="","",INDEX(합계표[성명],$W592)&amp;"")</f>
        <v/>
      </c>
      <c r="C592">
        <f>IF($W592="","",INDEX(합계표[부서],$W592)&amp;"")</f>
        <v/>
      </c>
      <c r="D592">
        <f>IF($W592="","",INDEX(합계표[직위(통합)],$W592)&amp;"")</f>
        <v/>
      </c>
      <c r="E592">
        <f>IF($W592="","",SUMIFS(합계표[시스템 합계],합계표[사번키],INDEX(합계표[사번키],$W592)))</f>
        <v/>
      </c>
      <c r="F592">
        <f>IF($W592="","",SUMIFS(상세표[기록 시간외],상세표[사번키],INDEX(합계표[사번키],$W592),상세표[기록월],대상월키))</f>
        <v/>
      </c>
      <c r="G592">
        <f>IF($W592="","",IF(ABS($E592-$F592)&lt;0.01,"일치","불일치(차이 "&amp;TEXT($F592-$E592,"0.00")&amp;")"))</f>
        <v/>
      </c>
      <c r="H592">
        <f>IF($W592="","",SUMIFS(상세표[기록 시간외],상세표[사번키],INDEX(합계표[사번키],$W592),상세표[기록월],대상월키,상세표[반영월],"&lt;&gt;"&amp;대상월키))</f>
        <v/>
      </c>
      <c r="I592">
        <f>IF($W592="","",SUMIFS(상세표[기록 시간외],상세표[사번키],INDEX(합계표[사번키],$W592),상세표[기록월],"&lt;&gt;"&amp;대상월키,상세표[반영월],대상월키))</f>
        <v/>
      </c>
      <c r="J592">
        <f>IF($W592="","",SUMIFS(상세표[기록 시간외],상세표[사번키],INDEX(합계표[사번키],$W592),상세표[반영월],대상월키))</f>
        <v/>
      </c>
      <c r="K592">
        <f>IF($W592="","",IFERROR(INDEX(월별근무지표[적용 급여병원],MATCH(INDEX(합계표[사번키],$W592)&amp;"|"&amp;대상월키,월별근무지표[키],0))&amp;"",IF(COUNTIF(기관표[사번키],INDEX(합계표[사번키],$W592))+COUNTIF(월별근무지표[사번키],INDEX(합계표[사번키],$W592))&gt;0,IFERROR(INDEX(기관표[급여지급병원(기준월)],MATCH(INDEX(합계표[사번키],$W592)&amp;"|"&amp;대상월키,기관표[키],0))&amp;"","—"),"—")))</f>
        <v/>
      </c>
      <c r="L592">
        <f>IF($W592="","",IF(NOT(COUNTIF(기관표[사번키],INDEX(합계표[사번키],$W592))+COUNTIF(월별근무지표[사번키],INDEX(합계표[사번키],$W592))&gt;0),"기관명단에 없음(다른 병원으로 발송)",IF($K592="—","대상월 기관명단 없음(추가 필요)",IF($K592="서울병원","해당","비해당"))))</f>
        <v/>
      </c>
      <c r="M592">
        <f>IF($W592="","",SUMIFS(상세표[06~07시],상세표[사번키],INDEX(합계표[사번키],$W592),상세표[반영월],대상월키,상세표[반영 기관],"서울병원"))</f>
        <v/>
      </c>
      <c r="N592">
        <f>IF($W592="","",SUMIFS(상세표[07~18시],상세표[사번키],INDEX(합계표[사번키],$W592),상세표[반영월],대상월키,상세표[반영 기관],"서울병원"))</f>
        <v/>
      </c>
      <c r="O592">
        <f>IF($W592="","",SUMIFS(상세표[18~22시],상세표[사번키],INDEX(합계표[사번키],$W592),상세표[반영월],대상월키,상세표[반영 기관],"서울병원"))</f>
        <v/>
      </c>
      <c r="P592">
        <f>IF($W592="","",SUMIFS(상세표[22~06시],상세표[사번키],INDEX(합계표[사번키],$W592),상세표[반영월],대상월키,상세표[반영 기관],"서울병원"))</f>
        <v/>
      </c>
      <c r="Q592">
        <f>IF($W592="","",SUM($M592:$P592))</f>
        <v/>
      </c>
      <c r="R592">
        <f>IF($W592="","",COUNTIFS(상세표[사번키],INDEX(합계표[사번키],$W592),상세표[반영월],대상월키,상세표[야간당직],1,상세표[야간 구분],"평일"))</f>
        <v/>
      </c>
      <c r="S592" s="4">
        <f>IF($W592="","",COUNTIFS(상세표[사번키],INDEX(합계표[사번키],$W592),상세표[반영월],대상월키,상세표[야간당직],1,상세표[야간 구분],"휴일"))</f>
        <v/>
      </c>
      <c r="T592">
        <f>IF($W592="","",COUNTIFS(상세표[사번키],INDEX(합계표[사번키],$W592),상세표[반영월],대상월키,상세표[야간당직],1,상세표[야간 구분],"평일",상세표[반영 기관],"서울병원"))</f>
        <v/>
      </c>
      <c r="U592">
        <f>IF($W592="","",COUNTIFS(상세표[사번키],INDEX(합계표[사번키],$W592),상세표[반영월],대상월키,상세표[야간당직],1,상세표[야간 구분],"휴일",상세표[반영 기관],"서울병원"))</f>
        <v/>
      </c>
      <c r="V592">
        <f>IF($W592="","",IF(ISNUMBER(MATCH(INDEX(합계표[사번키],$W592)&amp;"|"&amp;대상월키,월별근무지표[키],0)),"직접 입력",IF($K592="—","—","기관명단")))</f>
        <v/>
      </c>
      <c r="W592">
        <f>IFERROR(MATCH(587,합계표[판정순번],0),"")</f>
        <v/>
      </c>
    </row>
    <row r="593">
      <c r="A593">
        <f>IF($W593="","",INDEX(합계표[사번],$W593)&amp;"")</f>
        <v/>
      </c>
      <c r="B593">
        <f>IF($W593="","",INDEX(합계표[성명],$W593)&amp;"")</f>
        <v/>
      </c>
      <c r="C593">
        <f>IF($W593="","",INDEX(합계표[부서],$W593)&amp;"")</f>
        <v/>
      </c>
      <c r="D593">
        <f>IF($W593="","",INDEX(합계표[직위(통합)],$W593)&amp;"")</f>
        <v/>
      </c>
      <c r="E593">
        <f>IF($W593="","",SUMIFS(합계표[시스템 합계],합계표[사번키],INDEX(합계표[사번키],$W593)))</f>
        <v/>
      </c>
      <c r="F593">
        <f>IF($W593="","",SUMIFS(상세표[기록 시간외],상세표[사번키],INDEX(합계표[사번키],$W593),상세표[기록월],대상월키))</f>
        <v/>
      </c>
      <c r="G593">
        <f>IF($W593="","",IF(ABS($E593-$F593)&lt;0.01,"일치","불일치(차이 "&amp;TEXT($F593-$E593,"0.00")&amp;")"))</f>
        <v/>
      </c>
      <c r="H593">
        <f>IF($W593="","",SUMIFS(상세표[기록 시간외],상세표[사번키],INDEX(합계표[사번키],$W593),상세표[기록월],대상월키,상세표[반영월],"&lt;&gt;"&amp;대상월키))</f>
        <v/>
      </c>
      <c r="I593">
        <f>IF($W593="","",SUMIFS(상세표[기록 시간외],상세표[사번키],INDEX(합계표[사번키],$W593),상세표[기록월],"&lt;&gt;"&amp;대상월키,상세표[반영월],대상월키))</f>
        <v/>
      </c>
      <c r="J593">
        <f>IF($W593="","",SUMIFS(상세표[기록 시간외],상세표[사번키],INDEX(합계표[사번키],$W593),상세표[반영월],대상월키))</f>
        <v/>
      </c>
      <c r="K593">
        <f>IF($W593="","",IFERROR(INDEX(월별근무지표[적용 급여병원],MATCH(INDEX(합계표[사번키],$W593)&amp;"|"&amp;대상월키,월별근무지표[키],0))&amp;"",IF(COUNTIF(기관표[사번키],INDEX(합계표[사번키],$W593))+COUNTIF(월별근무지표[사번키],INDEX(합계표[사번키],$W593))&gt;0,IFERROR(INDEX(기관표[급여지급병원(기준월)],MATCH(INDEX(합계표[사번키],$W593)&amp;"|"&amp;대상월키,기관표[키],0))&amp;"","—"),"—")))</f>
        <v/>
      </c>
      <c r="L593">
        <f>IF($W593="","",IF(NOT(COUNTIF(기관표[사번키],INDEX(합계표[사번키],$W593))+COUNTIF(월별근무지표[사번키],INDEX(합계표[사번키],$W593))&gt;0),"기관명단에 없음(다른 병원으로 발송)",IF($K593="—","대상월 기관명단 없음(추가 필요)",IF($K593="서울병원","해당","비해당"))))</f>
        <v/>
      </c>
      <c r="M593">
        <f>IF($W593="","",SUMIFS(상세표[06~07시],상세표[사번키],INDEX(합계표[사번키],$W593),상세표[반영월],대상월키,상세표[반영 기관],"서울병원"))</f>
        <v/>
      </c>
      <c r="N593">
        <f>IF($W593="","",SUMIFS(상세표[07~18시],상세표[사번키],INDEX(합계표[사번키],$W593),상세표[반영월],대상월키,상세표[반영 기관],"서울병원"))</f>
        <v/>
      </c>
      <c r="O593">
        <f>IF($W593="","",SUMIFS(상세표[18~22시],상세표[사번키],INDEX(합계표[사번키],$W593),상세표[반영월],대상월키,상세표[반영 기관],"서울병원"))</f>
        <v/>
      </c>
      <c r="P593">
        <f>IF($W593="","",SUMIFS(상세표[22~06시],상세표[사번키],INDEX(합계표[사번키],$W593),상세표[반영월],대상월키,상세표[반영 기관],"서울병원"))</f>
        <v/>
      </c>
      <c r="Q593">
        <f>IF($W593="","",SUM($M593:$P593))</f>
        <v/>
      </c>
      <c r="R593">
        <f>IF($W593="","",COUNTIFS(상세표[사번키],INDEX(합계표[사번키],$W593),상세표[반영월],대상월키,상세표[야간당직],1,상세표[야간 구분],"평일"))</f>
        <v/>
      </c>
      <c r="S593" s="4">
        <f>IF($W593="","",COUNTIFS(상세표[사번키],INDEX(합계표[사번키],$W593),상세표[반영월],대상월키,상세표[야간당직],1,상세표[야간 구분],"휴일"))</f>
        <v/>
      </c>
      <c r="T593">
        <f>IF($W593="","",COUNTIFS(상세표[사번키],INDEX(합계표[사번키],$W593),상세표[반영월],대상월키,상세표[야간당직],1,상세표[야간 구분],"평일",상세표[반영 기관],"서울병원"))</f>
        <v/>
      </c>
      <c r="U593">
        <f>IF($W593="","",COUNTIFS(상세표[사번키],INDEX(합계표[사번키],$W593),상세표[반영월],대상월키,상세표[야간당직],1,상세표[야간 구분],"휴일",상세표[반영 기관],"서울병원"))</f>
        <v/>
      </c>
      <c r="V593">
        <f>IF($W593="","",IF(ISNUMBER(MATCH(INDEX(합계표[사번키],$W593)&amp;"|"&amp;대상월키,월별근무지표[키],0)),"직접 입력",IF($K593="—","—","기관명단")))</f>
        <v/>
      </c>
      <c r="W593">
        <f>IFERROR(MATCH(588,합계표[판정순번],0),"")</f>
        <v/>
      </c>
    </row>
    <row r="594">
      <c r="A594">
        <f>IF($W594="","",INDEX(합계표[사번],$W594)&amp;"")</f>
        <v/>
      </c>
      <c r="B594">
        <f>IF($W594="","",INDEX(합계표[성명],$W594)&amp;"")</f>
        <v/>
      </c>
      <c r="C594">
        <f>IF($W594="","",INDEX(합계표[부서],$W594)&amp;"")</f>
        <v/>
      </c>
      <c r="D594">
        <f>IF($W594="","",INDEX(합계표[직위(통합)],$W594)&amp;"")</f>
        <v/>
      </c>
      <c r="E594">
        <f>IF($W594="","",SUMIFS(합계표[시스템 합계],합계표[사번키],INDEX(합계표[사번키],$W594)))</f>
        <v/>
      </c>
      <c r="F594">
        <f>IF($W594="","",SUMIFS(상세표[기록 시간외],상세표[사번키],INDEX(합계표[사번키],$W594),상세표[기록월],대상월키))</f>
        <v/>
      </c>
      <c r="G594">
        <f>IF($W594="","",IF(ABS($E594-$F594)&lt;0.01,"일치","불일치(차이 "&amp;TEXT($F594-$E594,"0.00")&amp;")"))</f>
        <v/>
      </c>
      <c r="H594">
        <f>IF($W594="","",SUMIFS(상세표[기록 시간외],상세표[사번키],INDEX(합계표[사번키],$W594),상세표[기록월],대상월키,상세표[반영월],"&lt;&gt;"&amp;대상월키))</f>
        <v/>
      </c>
      <c r="I594">
        <f>IF($W594="","",SUMIFS(상세표[기록 시간외],상세표[사번키],INDEX(합계표[사번키],$W594),상세표[기록월],"&lt;&gt;"&amp;대상월키,상세표[반영월],대상월키))</f>
        <v/>
      </c>
      <c r="J594">
        <f>IF($W594="","",SUMIFS(상세표[기록 시간외],상세표[사번키],INDEX(합계표[사번키],$W594),상세표[반영월],대상월키))</f>
        <v/>
      </c>
      <c r="K594">
        <f>IF($W594="","",IFERROR(INDEX(월별근무지표[적용 급여병원],MATCH(INDEX(합계표[사번키],$W594)&amp;"|"&amp;대상월키,월별근무지표[키],0))&amp;"",IF(COUNTIF(기관표[사번키],INDEX(합계표[사번키],$W594))+COUNTIF(월별근무지표[사번키],INDEX(합계표[사번키],$W594))&gt;0,IFERROR(INDEX(기관표[급여지급병원(기준월)],MATCH(INDEX(합계표[사번키],$W594)&amp;"|"&amp;대상월키,기관표[키],0))&amp;"","—"),"—")))</f>
        <v/>
      </c>
      <c r="L594">
        <f>IF($W594="","",IF(NOT(COUNTIF(기관표[사번키],INDEX(합계표[사번키],$W594))+COUNTIF(월별근무지표[사번키],INDEX(합계표[사번키],$W594))&gt;0),"기관명단에 없음(다른 병원으로 발송)",IF($K594="—","대상월 기관명단 없음(추가 필요)",IF($K594="서울병원","해당","비해당"))))</f>
        <v/>
      </c>
      <c r="M594">
        <f>IF($W594="","",SUMIFS(상세표[06~07시],상세표[사번키],INDEX(합계표[사번키],$W594),상세표[반영월],대상월키,상세표[반영 기관],"서울병원"))</f>
        <v/>
      </c>
      <c r="N594">
        <f>IF($W594="","",SUMIFS(상세표[07~18시],상세표[사번키],INDEX(합계표[사번키],$W594),상세표[반영월],대상월키,상세표[반영 기관],"서울병원"))</f>
        <v/>
      </c>
      <c r="O594">
        <f>IF($W594="","",SUMIFS(상세표[18~22시],상세표[사번키],INDEX(합계표[사번키],$W594),상세표[반영월],대상월키,상세표[반영 기관],"서울병원"))</f>
        <v/>
      </c>
      <c r="P594">
        <f>IF($W594="","",SUMIFS(상세표[22~06시],상세표[사번키],INDEX(합계표[사번키],$W594),상세표[반영월],대상월키,상세표[반영 기관],"서울병원"))</f>
        <v/>
      </c>
      <c r="Q594">
        <f>IF($W594="","",SUM($M594:$P594))</f>
        <v/>
      </c>
      <c r="R594">
        <f>IF($W594="","",COUNTIFS(상세표[사번키],INDEX(합계표[사번키],$W594),상세표[반영월],대상월키,상세표[야간당직],1,상세표[야간 구분],"평일"))</f>
        <v/>
      </c>
      <c r="S594" s="4">
        <f>IF($W594="","",COUNTIFS(상세표[사번키],INDEX(합계표[사번키],$W594),상세표[반영월],대상월키,상세표[야간당직],1,상세표[야간 구분],"휴일"))</f>
        <v/>
      </c>
      <c r="T594">
        <f>IF($W594="","",COUNTIFS(상세표[사번키],INDEX(합계표[사번키],$W594),상세표[반영월],대상월키,상세표[야간당직],1,상세표[야간 구분],"평일",상세표[반영 기관],"서울병원"))</f>
        <v/>
      </c>
      <c r="U594">
        <f>IF($W594="","",COUNTIFS(상세표[사번키],INDEX(합계표[사번키],$W594),상세표[반영월],대상월키,상세표[야간당직],1,상세표[야간 구분],"휴일",상세표[반영 기관],"서울병원"))</f>
        <v/>
      </c>
      <c r="V594">
        <f>IF($W594="","",IF(ISNUMBER(MATCH(INDEX(합계표[사번키],$W594)&amp;"|"&amp;대상월키,월별근무지표[키],0)),"직접 입력",IF($K594="—","—","기관명단")))</f>
        <v/>
      </c>
      <c r="W594">
        <f>IFERROR(MATCH(589,합계표[판정순번],0),"")</f>
        <v/>
      </c>
    </row>
    <row r="595">
      <c r="A595">
        <f>IF($W595="","",INDEX(합계표[사번],$W595)&amp;"")</f>
        <v/>
      </c>
      <c r="B595">
        <f>IF($W595="","",INDEX(합계표[성명],$W595)&amp;"")</f>
        <v/>
      </c>
      <c r="C595">
        <f>IF($W595="","",INDEX(합계표[부서],$W595)&amp;"")</f>
        <v/>
      </c>
      <c r="D595">
        <f>IF($W595="","",INDEX(합계표[직위(통합)],$W595)&amp;"")</f>
        <v/>
      </c>
      <c r="E595">
        <f>IF($W595="","",SUMIFS(합계표[시스템 합계],합계표[사번키],INDEX(합계표[사번키],$W595)))</f>
        <v/>
      </c>
      <c r="F595">
        <f>IF($W595="","",SUMIFS(상세표[기록 시간외],상세표[사번키],INDEX(합계표[사번키],$W595),상세표[기록월],대상월키))</f>
        <v/>
      </c>
      <c r="G595">
        <f>IF($W595="","",IF(ABS($E595-$F595)&lt;0.01,"일치","불일치(차이 "&amp;TEXT($F595-$E595,"0.00")&amp;")"))</f>
        <v/>
      </c>
      <c r="H595">
        <f>IF($W595="","",SUMIFS(상세표[기록 시간외],상세표[사번키],INDEX(합계표[사번키],$W595),상세표[기록월],대상월키,상세표[반영월],"&lt;&gt;"&amp;대상월키))</f>
        <v/>
      </c>
      <c r="I595">
        <f>IF($W595="","",SUMIFS(상세표[기록 시간외],상세표[사번키],INDEX(합계표[사번키],$W595),상세표[기록월],"&lt;&gt;"&amp;대상월키,상세표[반영월],대상월키))</f>
        <v/>
      </c>
      <c r="J595">
        <f>IF($W595="","",SUMIFS(상세표[기록 시간외],상세표[사번키],INDEX(합계표[사번키],$W595),상세표[반영월],대상월키))</f>
        <v/>
      </c>
      <c r="K595">
        <f>IF($W595="","",IFERROR(INDEX(월별근무지표[적용 급여병원],MATCH(INDEX(합계표[사번키],$W595)&amp;"|"&amp;대상월키,월별근무지표[키],0))&amp;"",IF(COUNTIF(기관표[사번키],INDEX(합계표[사번키],$W595))+COUNTIF(월별근무지표[사번키],INDEX(합계표[사번키],$W595))&gt;0,IFERROR(INDEX(기관표[급여지급병원(기준월)],MATCH(INDEX(합계표[사번키],$W595)&amp;"|"&amp;대상월키,기관표[키],0))&amp;"","—"),"—")))</f>
        <v/>
      </c>
      <c r="L595">
        <f>IF($W595="","",IF(NOT(COUNTIF(기관표[사번키],INDEX(합계표[사번키],$W595))+COUNTIF(월별근무지표[사번키],INDEX(합계표[사번키],$W595))&gt;0),"기관명단에 없음(다른 병원으로 발송)",IF($K595="—","대상월 기관명단 없음(추가 필요)",IF($K595="서울병원","해당","비해당"))))</f>
        <v/>
      </c>
      <c r="M595">
        <f>IF($W595="","",SUMIFS(상세표[06~07시],상세표[사번키],INDEX(합계표[사번키],$W595),상세표[반영월],대상월키,상세표[반영 기관],"서울병원"))</f>
        <v/>
      </c>
      <c r="N595">
        <f>IF($W595="","",SUMIFS(상세표[07~18시],상세표[사번키],INDEX(합계표[사번키],$W595),상세표[반영월],대상월키,상세표[반영 기관],"서울병원"))</f>
        <v/>
      </c>
      <c r="O595">
        <f>IF($W595="","",SUMIFS(상세표[18~22시],상세표[사번키],INDEX(합계표[사번키],$W595),상세표[반영월],대상월키,상세표[반영 기관],"서울병원"))</f>
        <v/>
      </c>
      <c r="P595">
        <f>IF($W595="","",SUMIFS(상세표[22~06시],상세표[사번키],INDEX(합계표[사번키],$W595),상세표[반영월],대상월키,상세표[반영 기관],"서울병원"))</f>
        <v/>
      </c>
      <c r="Q595">
        <f>IF($W595="","",SUM($M595:$P595))</f>
        <v/>
      </c>
      <c r="R595">
        <f>IF($W595="","",COUNTIFS(상세표[사번키],INDEX(합계표[사번키],$W595),상세표[반영월],대상월키,상세표[야간당직],1,상세표[야간 구분],"평일"))</f>
        <v/>
      </c>
      <c r="S595" s="4">
        <f>IF($W595="","",COUNTIFS(상세표[사번키],INDEX(합계표[사번키],$W595),상세표[반영월],대상월키,상세표[야간당직],1,상세표[야간 구분],"휴일"))</f>
        <v/>
      </c>
      <c r="T595">
        <f>IF($W595="","",COUNTIFS(상세표[사번키],INDEX(합계표[사번키],$W595),상세표[반영월],대상월키,상세표[야간당직],1,상세표[야간 구분],"평일",상세표[반영 기관],"서울병원"))</f>
        <v/>
      </c>
      <c r="U595">
        <f>IF($W595="","",COUNTIFS(상세표[사번키],INDEX(합계표[사번키],$W595),상세표[반영월],대상월키,상세표[야간당직],1,상세표[야간 구분],"휴일",상세표[반영 기관],"서울병원"))</f>
        <v/>
      </c>
      <c r="V595">
        <f>IF($W595="","",IF(ISNUMBER(MATCH(INDEX(합계표[사번키],$W595)&amp;"|"&amp;대상월키,월별근무지표[키],0)),"직접 입력",IF($K595="—","—","기관명단")))</f>
        <v/>
      </c>
      <c r="W595">
        <f>IFERROR(MATCH(590,합계표[판정순번],0),"")</f>
        <v/>
      </c>
    </row>
    <row r="596">
      <c r="A596">
        <f>IF($W596="","",INDEX(합계표[사번],$W596)&amp;"")</f>
        <v/>
      </c>
      <c r="B596">
        <f>IF($W596="","",INDEX(합계표[성명],$W596)&amp;"")</f>
        <v/>
      </c>
      <c r="C596">
        <f>IF($W596="","",INDEX(합계표[부서],$W596)&amp;"")</f>
        <v/>
      </c>
      <c r="D596">
        <f>IF($W596="","",INDEX(합계표[직위(통합)],$W596)&amp;"")</f>
        <v/>
      </c>
      <c r="E596">
        <f>IF($W596="","",SUMIFS(합계표[시스템 합계],합계표[사번키],INDEX(합계표[사번키],$W596)))</f>
        <v/>
      </c>
      <c r="F596">
        <f>IF($W596="","",SUMIFS(상세표[기록 시간외],상세표[사번키],INDEX(합계표[사번키],$W596),상세표[기록월],대상월키))</f>
        <v/>
      </c>
      <c r="G596">
        <f>IF($W596="","",IF(ABS($E596-$F596)&lt;0.01,"일치","불일치(차이 "&amp;TEXT($F596-$E596,"0.00")&amp;")"))</f>
        <v/>
      </c>
      <c r="H596">
        <f>IF($W596="","",SUMIFS(상세표[기록 시간외],상세표[사번키],INDEX(합계표[사번키],$W596),상세표[기록월],대상월키,상세표[반영월],"&lt;&gt;"&amp;대상월키))</f>
        <v/>
      </c>
      <c r="I596">
        <f>IF($W596="","",SUMIFS(상세표[기록 시간외],상세표[사번키],INDEX(합계표[사번키],$W596),상세표[기록월],"&lt;&gt;"&amp;대상월키,상세표[반영월],대상월키))</f>
        <v/>
      </c>
      <c r="J596">
        <f>IF($W596="","",SUMIFS(상세표[기록 시간외],상세표[사번키],INDEX(합계표[사번키],$W596),상세표[반영월],대상월키))</f>
        <v/>
      </c>
      <c r="K596">
        <f>IF($W596="","",IFERROR(INDEX(월별근무지표[적용 급여병원],MATCH(INDEX(합계표[사번키],$W596)&amp;"|"&amp;대상월키,월별근무지표[키],0))&amp;"",IF(COUNTIF(기관표[사번키],INDEX(합계표[사번키],$W596))+COUNTIF(월별근무지표[사번키],INDEX(합계표[사번키],$W596))&gt;0,IFERROR(INDEX(기관표[급여지급병원(기준월)],MATCH(INDEX(합계표[사번키],$W596)&amp;"|"&amp;대상월키,기관표[키],0))&amp;"","—"),"—")))</f>
        <v/>
      </c>
      <c r="L596">
        <f>IF($W596="","",IF(NOT(COUNTIF(기관표[사번키],INDEX(합계표[사번키],$W596))+COUNTIF(월별근무지표[사번키],INDEX(합계표[사번키],$W596))&gt;0),"기관명단에 없음(다른 병원으로 발송)",IF($K596="—","대상월 기관명단 없음(추가 필요)",IF($K596="서울병원","해당","비해당"))))</f>
        <v/>
      </c>
      <c r="M596">
        <f>IF($W596="","",SUMIFS(상세표[06~07시],상세표[사번키],INDEX(합계표[사번키],$W596),상세표[반영월],대상월키,상세표[반영 기관],"서울병원"))</f>
        <v/>
      </c>
      <c r="N596">
        <f>IF($W596="","",SUMIFS(상세표[07~18시],상세표[사번키],INDEX(합계표[사번키],$W596),상세표[반영월],대상월키,상세표[반영 기관],"서울병원"))</f>
        <v/>
      </c>
      <c r="O596">
        <f>IF($W596="","",SUMIFS(상세표[18~22시],상세표[사번키],INDEX(합계표[사번키],$W596),상세표[반영월],대상월키,상세표[반영 기관],"서울병원"))</f>
        <v/>
      </c>
      <c r="P596">
        <f>IF($W596="","",SUMIFS(상세표[22~06시],상세표[사번키],INDEX(합계표[사번키],$W596),상세표[반영월],대상월키,상세표[반영 기관],"서울병원"))</f>
        <v/>
      </c>
      <c r="Q596">
        <f>IF($W596="","",SUM($M596:$P596))</f>
        <v/>
      </c>
      <c r="R596">
        <f>IF($W596="","",COUNTIFS(상세표[사번키],INDEX(합계표[사번키],$W596),상세표[반영월],대상월키,상세표[야간당직],1,상세표[야간 구분],"평일"))</f>
        <v/>
      </c>
      <c r="S596" s="4">
        <f>IF($W596="","",COUNTIFS(상세표[사번키],INDEX(합계표[사번키],$W596),상세표[반영월],대상월키,상세표[야간당직],1,상세표[야간 구분],"휴일"))</f>
        <v/>
      </c>
      <c r="T596">
        <f>IF($W596="","",COUNTIFS(상세표[사번키],INDEX(합계표[사번키],$W596),상세표[반영월],대상월키,상세표[야간당직],1,상세표[야간 구분],"평일",상세표[반영 기관],"서울병원"))</f>
        <v/>
      </c>
      <c r="U596">
        <f>IF($W596="","",COUNTIFS(상세표[사번키],INDEX(합계표[사번키],$W596),상세표[반영월],대상월키,상세표[야간당직],1,상세표[야간 구분],"휴일",상세표[반영 기관],"서울병원"))</f>
        <v/>
      </c>
      <c r="V596">
        <f>IF($W596="","",IF(ISNUMBER(MATCH(INDEX(합계표[사번키],$W596)&amp;"|"&amp;대상월키,월별근무지표[키],0)),"직접 입력",IF($K596="—","—","기관명단")))</f>
        <v/>
      </c>
      <c r="W596">
        <f>IFERROR(MATCH(591,합계표[판정순번],0),"")</f>
        <v/>
      </c>
    </row>
    <row r="597">
      <c r="A597">
        <f>IF($W597="","",INDEX(합계표[사번],$W597)&amp;"")</f>
        <v/>
      </c>
      <c r="B597">
        <f>IF($W597="","",INDEX(합계표[성명],$W597)&amp;"")</f>
        <v/>
      </c>
      <c r="C597">
        <f>IF($W597="","",INDEX(합계표[부서],$W597)&amp;"")</f>
        <v/>
      </c>
      <c r="D597">
        <f>IF($W597="","",INDEX(합계표[직위(통합)],$W597)&amp;"")</f>
        <v/>
      </c>
      <c r="E597">
        <f>IF($W597="","",SUMIFS(합계표[시스템 합계],합계표[사번키],INDEX(합계표[사번키],$W597)))</f>
        <v/>
      </c>
      <c r="F597">
        <f>IF($W597="","",SUMIFS(상세표[기록 시간외],상세표[사번키],INDEX(합계표[사번키],$W597),상세표[기록월],대상월키))</f>
        <v/>
      </c>
      <c r="G597">
        <f>IF($W597="","",IF(ABS($E597-$F597)&lt;0.01,"일치","불일치(차이 "&amp;TEXT($F597-$E597,"0.00")&amp;")"))</f>
        <v/>
      </c>
      <c r="H597">
        <f>IF($W597="","",SUMIFS(상세표[기록 시간외],상세표[사번키],INDEX(합계표[사번키],$W597),상세표[기록월],대상월키,상세표[반영월],"&lt;&gt;"&amp;대상월키))</f>
        <v/>
      </c>
      <c r="I597">
        <f>IF($W597="","",SUMIFS(상세표[기록 시간외],상세표[사번키],INDEX(합계표[사번키],$W597),상세표[기록월],"&lt;&gt;"&amp;대상월키,상세표[반영월],대상월키))</f>
        <v/>
      </c>
      <c r="J597">
        <f>IF($W597="","",SUMIFS(상세표[기록 시간외],상세표[사번키],INDEX(합계표[사번키],$W597),상세표[반영월],대상월키))</f>
        <v/>
      </c>
      <c r="K597">
        <f>IF($W597="","",IFERROR(INDEX(월별근무지표[적용 급여병원],MATCH(INDEX(합계표[사번키],$W597)&amp;"|"&amp;대상월키,월별근무지표[키],0))&amp;"",IF(COUNTIF(기관표[사번키],INDEX(합계표[사번키],$W597))+COUNTIF(월별근무지표[사번키],INDEX(합계표[사번키],$W597))&gt;0,IFERROR(INDEX(기관표[급여지급병원(기준월)],MATCH(INDEX(합계표[사번키],$W597)&amp;"|"&amp;대상월키,기관표[키],0))&amp;"","—"),"—")))</f>
        <v/>
      </c>
      <c r="L597">
        <f>IF($W597="","",IF(NOT(COUNTIF(기관표[사번키],INDEX(합계표[사번키],$W597))+COUNTIF(월별근무지표[사번키],INDEX(합계표[사번키],$W597))&gt;0),"기관명단에 없음(다른 병원으로 발송)",IF($K597="—","대상월 기관명단 없음(추가 필요)",IF($K597="서울병원","해당","비해당"))))</f>
        <v/>
      </c>
      <c r="M597">
        <f>IF($W597="","",SUMIFS(상세표[06~07시],상세표[사번키],INDEX(합계표[사번키],$W597),상세표[반영월],대상월키,상세표[반영 기관],"서울병원"))</f>
        <v/>
      </c>
      <c r="N597">
        <f>IF($W597="","",SUMIFS(상세표[07~18시],상세표[사번키],INDEX(합계표[사번키],$W597),상세표[반영월],대상월키,상세표[반영 기관],"서울병원"))</f>
        <v/>
      </c>
      <c r="O597">
        <f>IF($W597="","",SUMIFS(상세표[18~22시],상세표[사번키],INDEX(합계표[사번키],$W597),상세표[반영월],대상월키,상세표[반영 기관],"서울병원"))</f>
        <v/>
      </c>
      <c r="P597">
        <f>IF($W597="","",SUMIFS(상세표[22~06시],상세표[사번키],INDEX(합계표[사번키],$W597),상세표[반영월],대상월키,상세표[반영 기관],"서울병원"))</f>
        <v/>
      </c>
      <c r="Q597">
        <f>IF($W597="","",SUM($M597:$P597))</f>
        <v/>
      </c>
      <c r="R597">
        <f>IF($W597="","",COUNTIFS(상세표[사번키],INDEX(합계표[사번키],$W597),상세표[반영월],대상월키,상세표[야간당직],1,상세표[야간 구분],"평일"))</f>
        <v/>
      </c>
      <c r="S597" s="4">
        <f>IF($W597="","",COUNTIFS(상세표[사번키],INDEX(합계표[사번키],$W597),상세표[반영월],대상월키,상세표[야간당직],1,상세표[야간 구분],"휴일"))</f>
        <v/>
      </c>
      <c r="T597">
        <f>IF($W597="","",COUNTIFS(상세표[사번키],INDEX(합계표[사번키],$W597),상세표[반영월],대상월키,상세표[야간당직],1,상세표[야간 구분],"평일",상세표[반영 기관],"서울병원"))</f>
        <v/>
      </c>
      <c r="U597">
        <f>IF($W597="","",COUNTIFS(상세표[사번키],INDEX(합계표[사번키],$W597),상세표[반영월],대상월키,상세표[야간당직],1,상세표[야간 구분],"휴일",상세표[반영 기관],"서울병원"))</f>
        <v/>
      </c>
      <c r="V597">
        <f>IF($W597="","",IF(ISNUMBER(MATCH(INDEX(합계표[사번키],$W597)&amp;"|"&amp;대상월키,월별근무지표[키],0)),"직접 입력",IF($K597="—","—","기관명단")))</f>
        <v/>
      </c>
      <c r="W597">
        <f>IFERROR(MATCH(592,합계표[판정순번],0),"")</f>
        <v/>
      </c>
    </row>
    <row r="598">
      <c r="A598">
        <f>IF($W598="","",INDEX(합계표[사번],$W598)&amp;"")</f>
        <v/>
      </c>
      <c r="B598">
        <f>IF($W598="","",INDEX(합계표[성명],$W598)&amp;"")</f>
        <v/>
      </c>
      <c r="C598">
        <f>IF($W598="","",INDEX(합계표[부서],$W598)&amp;"")</f>
        <v/>
      </c>
      <c r="D598">
        <f>IF($W598="","",INDEX(합계표[직위(통합)],$W598)&amp;"")</f>
        <v/>
      </c>
      <c r="E598">
        <f>IF($W598="","",SUMIFS(합계표[시스템 합계],합계표[사번키],INDEX(합계표[사번키],$W598)))</f>
        <v/>
      </c>
      <c r="F598">
        <f>IF($W598="","",SUMIFS(상세표[기록 시간외],상세표[사번키],INDEX(합계표[사번키],$W598),상세표[기록월],대상월키))</f>
        <v/>
      </c>
      <c r="G598">
        <f>IF($W598="","",IF(ABS($E598-$F598)&lt;0.01,"일치","불일치(차이 "&amp;TEXT($F598-$E598,"0.00")&amp;")"))</f>
        <v/>
      </c>
      <c r="H598">
        <f>IF($W598="","",SUMIFS(상세표[기록 시간외],상세표[사번키],INDEX(합계표[사번키],$W598),상세표[기록월],대상월키,상세표[반영월],"&lt;&gt;"&amp;대상월키))</f>
        <v/>
      </c>
      <c r="I598">
        <f>IF($W598="","",SUMIFS(상세표[기록 시간외],상세표[사번키],INDEX(합계표[사번키],$W598),상세표[기록월],"&lt;&gt;"&amp;대상월키,상세표[반영월],대상월키))</f>
        <v/>
      </c>
      <c r="J598">
        <f>IF($W598="","",SUMIFS(상세표[기록 시간외],상세표[사번키],INDEX(합계표[사번키],$W598),상세표[반영월],대상월키))</f>
        <v/>
      </c>
      <c r="K598">
        <f>IF($W598="","",IFERROR(INDEX(월별근무지표[적용 급여병원],MATCH(INDEX(합계표[사번키],$W598)&amp;"|"&amp;대상월키,월별근무지표[키],0))&amp;"",IF(COUNTIF(기관표[사번키],INDEX(합계표[사번키],$W598))+COUNTIF(월별근무지표[사번키],INDEX(합계표[사번키],$W598))&gt;0,IFERROR(INDEX(기관표[급여지급병원(기준월)],MATCH(INDEX(합계표[사번키],$W598)&amp;"|"&amp;대상월키,기관표[키],0))&amp;"","—"),"—")))</f>
        <v/>
      </c>
      <c r="L598">
        <f>IF($W598="","",IF(NOT(COUNTIF(기관표[사번키],INDEX(합계표[사번키],$W598))+COUNTIF(월별근무지표[사번키],INDEX(합계표[사번키],$W598))&gt;0),"기관명단에 없음(다른 병원으로 발송)",IF($K598="—","대상월 기관명단 없음(추가 필요)",IF($K598="서울병원","해당","비해당"))))</f>
        <v/>
      </c>
      <c r="M598">
        <f>IF($W598="","",SUMIFS(상세표[06~07시],상세표[사번키],INDEX(합계표[사번키],$W598),상세표[반영월],대상월키,상세표[반영 기관],"서울병원"))</f>
        <v/>
      </c>
      <c r="N598">
        <f>IF($W598="","",SUMIFS(상세표[07~18시],상세표[사번키],INDEX(합계표[사번키],$W598),상세표[반영월],대상월키,상세표[반영 기관],"서울병원"))</f>
        <v/>
      </c>
      <c r="O598">
        <f>IF($W598="","",SUMIFS(상세표[18~22시],상세표[사번키],INDEX(합계표[사번키],$W598),상세표[반영월],대상월키,상세표[반영 기관],"서울병원"))</f>
        <v/>
      </c>
      <c r="P598">
        <f>IF($W598="","",SUMIFS(상세표[22~06시],상세표[사번키],INDEX(합계표[사번키],$W598),상세표[반영월],대상월키,상세표[반영 기관],"서울병원"))</f>
        <v/>
      </c>
      <c r="Q598">
        <f>IF($W598="","",SUM($M598:$P598))</f>
        <v/>
      </c>
      <c r="R598">
        <f>IF($W598="","",COUNTIFS(상세표[사번키],INDEX(합계표[사번키],$W598),상세표[반영월],대상월키,상세표[야간당직],1,상세표[야간 구분],"평일"))</f>
        <v/>
      </c>
      <c r="S598" s="4">
        <f>IF($W598="","",COUNTIFS(상세표[사번키],INDEX(합계표[사번키],$W598),상세표[반영월],대상월키,상세표[야간당직],1,상세표[야간 구분],"휴일"))</f>
        <v/>
      </c>
      <c r="T598">
        <f>IF($W598="","",COUNTIFS(상세표[사번키],INDEX(합계표[사번키],$W598),상세표[반영월],대상월키,상세표[야간당직],1,상세표[야간 구분],"평일",상세표[반영 기관],"서울병원"))</f>
        <v/>
      </c>
      <c r="U598">
        <f>IF($W598="","",COUNTIFS(상세표[사번키],INDEX(합계표[사번키],$W598),상세표[반영월],대상월키,상세표[야간당직],1,상세표[야간 구분],"휴일",상세표[반영 기관],"서울병원"))</f>
        <v/>
      </c>
      <c r="V598">
        <f>IF($W598="","",IF(ISNUMBER(MATCH(INDEX(합계표[사번키],$W598)&amp;"|"&amp;대상월키,월별근무지표[키],0)),"직접 입력",IF($K598="—","—","기관명단")))</f>
        <v/>
      </c>
      <c r="W598">
        <f>IFERROR(MATCH(593,합계표[판정순번],0),"")</f>
        <v/>
      </c>
    </row>
    <row r="599">
      <c r="A599">
        <f>IF($W599="","",INDEX(합계표[사번],$W599)&amp;"")</f>
        <v/>
      </c>
      <c r="B599">
        <f>IF($W599="","",INDEX(합계표[성명],$W599)&amp;"")</f>
        <v/>
      </c>
      <c r="C599">
        <f>IF($W599="","",INDEX(합계표[부서],$W599)&amp;"")</f>
        <v/>
      </c>
      <c r="D599">
        <f>IF($W599="","",INDEX(합계표[직위(통합)],$W599)&amp;"")</f>
        <v/>
      </c>
      <c r="E599">
        <f>IF($W599="","",SUMIFS(합계표[시스템 합계],합계표[사번키],INDEX(합계표[사번키],$W599)))</f>
        <v/>
      </c>
      <c r="F599">
        <f>IF($W599="","",SUMIFS(상세표[기록 시간외],상세표[사번키],INDEX(합계표[사번키],$W599),상세표[기록월],대상월키))</f>
        <v/>
      </c>
      <c r="G599">
        <f>IF($W599="","",IF(ABS($E599-$F599)&lt;0.01,"일치","불일치(차이 "&amp;TEXT($F599-$E599,"0.00")&amp;")"))</f>
        <v/>
      </c>
      <c r="H599">
        <f>IF($W599="","",SUMIFS(상세표[기록 시간외],상세표[사번키],INDEX(합계표[사번키],$W599),상세표[기록월],대상월키,상세표[반영월],"&lt;&gt;"&amp;대상월키))</f>
        <v/>
      </c>
      <c r="I599">
        <f>IF($W599="","",SUMIFS(상세표[기록 시간외],상세표[사번키],INDEX(합계표[사번키],$W599),상세표[기록월],"&lt;&gt;"&amp;대상월키,상세표[반영월],대상월키))</f>
        <v/>
      </c>
      <c r="J599">
        <f>IF($W599="","",SUMIFS(상세표[기록 시간외],상세표[사번키],INDEX(합계표[사번키],$W599),상세표[반영월],대상월키))</f>
        <v/>
      </c>
      <c r="K599">
        <f>IF($W599="","",IFERROR(INDEX(월별근무지표[적용 급여병원],MATCH(INDEX(합계표[사번키],$W599)&amp;"|"&amp;대상월키,월별근무지표[키],0))&amp;"",IF(COUNTIF(기관표[사번키],INDEX(합계표[사번키],$W599))+COUNTIF(월별근무지표[사번키],INDEX(합계표[사번키],$W599))&gt;0,IFERROR(INDEX(기관표[급여지급병원(기준월)],MATCH(INDEX(합계표[사번키],$W599)&amp;"|"&amp;대상월키,기관표[키],0))&amp;"","—"),"—")))</f>
        <v/>
      </c>
      <c r="L599">
        <f>IF($W599="","",IF(NOT(COUNTIF(기관표[사번키],INDEX(합계표[사번키],$W599))+COUNTIF(월별근무지표[사번키],INDEX(합계표[사번키],$W599))&gt;0),"기관명단에 없음(다른 병원으로 발송)",IF($K599="—","대상월 기관명단 없음(추가 필요)",IF($K599="서울병원","해당","비해당"))))</f>
        <v/>
      </c>
      <c r="M599">
        <f>IF($W599="","",SUMIFS(상세표[06~07시],상세표[사번키],INDEX(합계표[사번키],$W599),상세표[반영월],대상월키,상세표[반영 기관],"서울병원"))</f>
        <v/>
      </c>
      <c r="N599">
        <f>IF($W599="","",SUMIFS(상세표[07~18시],상세표[사번키],INDEX(합계표[사번키],$W599),상세표[반영월],대상월키,상세표[반영 기관],"서울병원"))</f>
        <v/>
      </c>
      <c r="O599">
        <f>IF($W599="","",SUMIFS(상세표[18~22시],상세표[사번키],INDEX(합계표[사번키],$W599),상세표[반영월],대상월키,상세표[반영 기관],"서울병원"))</f>
        <v/>
      </c>
      <c r="P599">
        <f>IF($W599="","",SUMIFS(상세표[22~06시],상세표[사번키],INDEX(합계표[사번키],$W599),상세표[반영월],대상월키,상세표[반영 기관],"서울병원"))</f>
        <v/>
      </c>
      <c r="Q599">
        <f>IF($W599="","",SUM($M599:$P599))</f>
        <v/>
      </c>
      <c r="R599">
        <f>IF($W599="","",COUNTIFS(상세표[사번키],INDEX(합계표[사번키],$W599),상세표[반영월],대상월키,상세표[야간당직],1,상세표[야간 구분],"평일"))</f>
        <v/>
      </c>
      <c r="S599" s="4">
        <f>IF($W599="","",COUNTIFS(상세표[사번키],INDEX(합계표[사번키],$W599),상세표[반영월],대상월키,상세표[야간당직],1,상세표[야간 구분],"휴일"))</f>
        <v/>
      </c>
      <c r="T599">
        <f>IF($W599="","",COUNTIFS(상세표[사번키],INDEX(합계표[사번키],$W599),상세표[반영월],대상월키,상세표[야간당직],1,상세표[야간 구분],"평일",상세표[반영 기관],"서울병원"))</f>
        <v/>
      </c>
      <c r="U599">
        <f>IF($W599="","",COUNTIFS(상세표[사번키],INDEX(합계표[사번키],$W599),상세표[반영월],대상월키,상세표[야간당직],1,상세표[야간 구분],"휴일",상세표[반영 기관],"서울병원"))</f>
        <v/>
      </c>
      <c r="V599">
        <f>IF($W599="","",IF(ISNUMBER(MATCH(INDEX(합계표[사번키],$W599)&amp;"|"&amp;대상월키,월별근무지표[키],0)),"직접 입력",IF($K599="—","—","기관명단")))</f>
        <v/>
      </c>
      <c r="W599">
        <f>IFERROR(MATCH(594,합계표[판정순번],0),"")</f>
        <v/>
      </c>
    </row>
    <row r="600">
      <c r="A600">
        <f>IF($W600="","",INDEX(합계표[사번],$W600)&amp;"")</f>
        <v/>
      </c>
      <c r="B600">
        <f>IF($W600="","",INDEX(합계표[성명],$W600)&amp;"")</f>
        <v/>
      </c>
      <c r="C600">
        <f>IF($W600="","",INDEX(합계표[부서],$W600)&amp;"")</f>
        <v/>
      </c>
      <c r="D600">
        <f>IF($W600="","",INDEX(합계표[직위(통합)],$W600)&amp;"")</f>
        <v/>
      </c>
      <c r="E600">
        <f>IF($W600="","",SUMIFS(합계표[시스템 합계],합계표[사번키],INDEX(합계표[사번키],$W600)))</f>
        <v/>
      </c>
      <c r="F600">
        <f>IF($W600="","",SUMIFS(상세표[기록 시간외],상세표[사번키],INDEX(합계표[사번키],$W600),상세표[기록월],대상월키))</f>
        <v/>
      </c>
      <c r="G600">
        <f>IF($W600="","",IF(ABS($E600-$F600)&lt;0.01,"일치","불일치(차이 "&amp;TEXT($F600-$E600,"0.00")&amp;")"))</f>
        <v/>
      </c>
      <c r="H600">
        <f>IF($W600="","",SUMIFS(상세표[기록 시간외],상세표[사번키],INDEX(합계표[사번키],$W600),상세표[기록월],대상월키,상세표[반영월],"&lt;&gt;"&amp;대상월키))</f>
        <v/>
      </c>
      <c r="I600">
        <f>IF($W600="","",SUMIFS(상세표[기록 시간외],상세표[사번키],INDEX(합계표[사번키],$W600),상세표[기록월],"&lt;&gt;"&amp;대상월키,상세표[반영월],대상월키))</f>
        <v/>
      </c>
      <c r="J600">
        <f>IF($W600="","",SUMIFS(상세표[기록 시간외],상세표[사번키],INDEX(합계표[사번키],$W600),상세표[반영월],대상월키))</f>
        <v/>
      </c>
      <c r="K600">
        <f>IF($W600="","",IFERROR(INDEX(월별근무지표[적용 급여병원],MATCH(INDEX(합계표[사번키],$W600)&amp;"|"&amp;대상월키,월별근무지표[키],0))&amp;"",IF(COUNTIF(기관표[사번키],INDEX(합계표[사번키],$W600))+COUNTIF(월별근무지표[사번키],INDEX(합계표[사번키],$W600))&gt;0,IFERROR(INDEX(기관표[급여지급병원(기준월)],MATCH(INDEX(합계표[사번키],$W600)&amp;"|"&amp;대상월키,기관표[키],0))&amp;"","—"),"—")))</f>
        <v/>
      </c>
      <c r="L600">
        <f>IF($W600="","",IF(NOT(COUNTIF(기관표[사번키],INDEX(합계표[사번키],$W600))+COUNTIF(월별근무지표[사번키],INDEX(합계표[사번키],$W600))&gt;0),"기관명단에 없음(다른 병원으로 발송)",IF($K600="—","대상월 기관명단 없음(추가 필요)",IF($K600="서울병원","해당","비해당"))))</f>
        <v/>
      </c>
      <c r="M600">
        <f>IF($W600="","",SUMIFS(상세표[06~07시],상세표[사번키],INDEX(합계표[사번키],$W600),상세표[반영월],대상월키,상세표[반영 기관],"서울병원"))</f>
        <v/>
      </c>
      <c r="N600">
        <f>IF($W600="","",SUMIFS(상세표[07~18시],상세표[사번키],INDEX(합계표[사번키],$W600),상세표[반영월],대상월키,상세표[반영 기관],"서울병원"))</f>
        <v/>
      </c>
      <c r="O600">
        <f>IF($W600="","",SUMIFS(상세표[18~22시],상세표[사번키],INDEX(합계표[사번키],$W600),상세표[반영월],대상월키,상세표[반영 기관],"서울병원"))</f>
        <v/>
      </c>
      <c r="P600">
        <f>IF($W600="","",SUMIFS(상세표[22~06시],상세표[사번키],INDEX(합계표[사번키],$W600),상세표[반영월],대상월키,상세표[반영 기관],"서울병원"))</f>
        <v/>
      </c>
      <c r="Q600">
        <f>IF($W600="","",SUM($M600:$P600))</f>
        <v/>
      </c>
      <c r="R600">
        <f>IF($W600="","",COUNTIFS(상세표[사번키],INDEX(합계표[사번키],$W600),상세표[반영월],대상월키,상세표[야간당직],1,상세표[야간 구분],"평일"))</f>
        <v/>
      </c>
      <c r="S600" s="4">
        <f>IF($W600="","",COUNTIFS(상세표[사번키],INDEX(합계표[사번키],$W600),상세표[반영월],대상월키,상세표[야간당직],1,상세표[야간 구분],"휴일"))</f>
        <v/>
      </c>
      <c r="T600">
        <f>IF($W600="","",COUNTIFS(상세표[사번키],INDEX(합계표[사번키],$W600),상세표[반영월],대상월키,상세표[야간당직],1,상세표[야간 구분],"평일",상세표[반영 기관],"서울병원"))</f>
        <v/>
      </c>
      <c r="U600">
        <f>IF($W600="","",COUNTIFS(상세표[사번키],INDEX(합계표[사번키],$W600),상세표[반영월],대상월키,상세표[야간당직],1,상세표[야간 구분],"휴일",상세표[반영 기관],"서울병원"))</f>
        <v/>
      </c>
      <c r="V600">
        <f>IF($W600="","",IF(ISNUMBER(MATCH(INDEX(합계표[사번키],$W600)&amp;"|"&amp;대상월키,월별근무지표[키],0)),"직접 입력",IF($K600="—","—","기관명단")))</f>
        <v/>
      </c>
      <c r="W600">
        <f>IFERROR(MATCH(595,합계표[판정순번],0),"")</f>
        <v/>
      </c>
    </row>
    <row r="601">
      <c r="A601">
        <f>IF($W601="","",INDEX(합계표[사번],$W601)&amp;"")</f>
        <v/>
      </c>
      <c r="B601">
        <f>IF($W601="","",INDEX(합계표[성명],$W601)&amp;"")</f>
        <v/>
      </c>
      <c r="C601">
        <f>IF($W601="","",INDEX(합계표[부서],$W601)&amp;"")</f>
        <v/>
      </c>
      <c r="D601">
        <f>IF($W601="","",INDEX(합계표[직위(통합)],$W601)&amp;"")</f>
        <v/>
      </c>
      <c r="E601">
        <f>IF($W601="","",SUMIFS(합계표[시스템 합계],합계표[사번키],INDEX(합계표[사번키],$W601)))</f>
        <v/>
      </c>
      <c r="F601">
        <f>IF($W601="","",SUMIFS(상세표[기록 시간외],상세표[사번키],INDEX(합계표[사번키],$W601),상세표[기록월],대상월키))</f>
        <v/>
      </c>
      <c r="G601">
        <f>IF($W601="","",IF(ABS($E601-$F601)&lt;0.01,"일치","불일치(차이 "&amp;TEXT($F601-$E601,"0.00")&amp;")"))</f>
        <v/>
      </c>
      <c r="H601">
        <f>IF($W601="","",SUMIFS(상세표[기록 시간외],상세표[사번키],INDEX(합계표[사번키],$W601),상세표[기록월],대상월키,상세표[반영월],"&lt;&gt;"&amp;대상월키))</f>
        <v/>
      </c>
      <c r="I601">
        <f>IF($W601="","",SUMIFS(상세표[기록 시간외],상세표[사번키],INDEX(합계표[사번키],$W601),상세표[기록월],"&lt;&gt;"&amp;대상월키,상세표[반영월],대상월키))</f>
        <v/>
      </c>
      <c r="J601">
        <f>IF($W601="","",SUMIFS(상세표[기록 시간외],상세표[사번키],INDEX(합계표[사번키],$W601),상세표[반영월],대상월키))</f>
        <v/>
      </c>
      <c r="K601">
        <f>IF($W601="","",IFERROR(INDEX(월별근무지표[적용 급여병원],MATCH(INDEX(합계표[사번키],$W601)&amp;"|"&amp;대상월키,월별근무지표[키],0))&amp;"",IF(COUNTIF(기관표[사번키],INDEX(합계표[사번키],$W601))+COUNTIF(월별근무지표[사번키],INDEX(합계표[사번키],$W601))&gt;0,IFERROR(INDEX(기관표[급여지급병원(기준월)],MATCH(INDEX(합계표[사번키],$W601)&amp;"|"&amp;대상월키,기관표[키],0))&amp;"","—"),"—")))</f>
        <v/>
      </c>
      <c r="L601">
        <f>IF($W601="","",IF(NOT(COUNTIF(기관표[사번키],INDEX(합계표[사번키],$W601))+COUNTIF(월별근무지표[사번키],INDEX(합계표[사번키],$W601))&gt;0),"기관명단에 없음(다른 병원으로 발송)",IF($K601="—","대상월 기관명단 없음(추가 필요)",IF($K601="서울병원","해당","비해당"))))</f>
        <v/>
      </c>
      <c r="M601">
        <f>IF($W601="","",SUMIFS(상세표[06~07시],상세표[사번키],INDEX(합계표[사번키],$W601),상세표[반영월],대상월키,상세표[반영 기관],"서울병원"))</f>
        <v/>
      </c>
      <c r="N601">
        <f>IF($W601="","",SUMIFS(상세표[07~18시],상세표[사번키],INDEX(합계표[사번키],$W601),상세표[반영월],대상월키,상세표[반영 기관],"서울병원"))</f>
        <v/>
      </c>
      <c r="O601">
        <f>IF($W601="","",SUMIFS(상세표[18~22시],상세표[사번키],INDEX(합계표[사번키],$W601),상세표[반영월],대상월키,상세표[반영 기관],"서울병원"))</f>
        <v/>
      </c>
      <c r="P601">
        <f>IF($W601="","",SUMIFS(상세표[22~06시],상세표[사번키],INDEX(합계표[사번키],$W601),상세표[반영월],대상월키,상세표[반영 기관],"서울병원"))</f>
        <v/>
      </c>
      <c r="Q601">
        <f>IF($W601="","",SUM($M601:$P601))</f>
        <v/>
      </c>
      <c r="R601">
        <f>IF($W601="","",COUNTIFS(상세표[사번키],INDEX(합계표[사번키],$W601),상세표[반영월],대상월키,상세표[야간당직],1,상세표[야간 구분],"평일"))</f>
        <v/>
      </c>
      <c r="S601" s="4">
        <f>IF($W601="","",COUNTIFS(상세표[사번키],INDEX(합계표[사번키],$W601),상세표[반영월],대상월키,상세표[야간당직],1,상세표[야간 구분],"휴일"))</f>
        <v/>
      </c>
      <c r="T601">
        <f>IF($W601="","",COUNTIFS(상세표[사번키],INDEX(합계표[사번키],$W601),상세표[반영월],대상월키,상세표[야간당직],1,상세표[야간 구분],"평일",상세표[반영 기관],"서울병원"))</f>
        <v/>
      </c>
      <c r="U601">
        <f>IF($W601="","",COUNTIFS(상세표[사번키],INDEX(합계표[사번키],$W601),상세표[반영월],대상월키,상세표[야간당직],1,상세표[야간 구분],"휴일",상세표[반영 기관],"서울병원"))</f>
        <v/>
      </c>
      <c r="V601">
        <f>IF($W601="","",IF(ISNUMBER(MATCH(INDEX(합계표[사번키],$W601)&amp;"|"&amp;대상월키,월별근무지표[키],0)),"직접 입력",IF($K601="—","—","기관명단")))</f>
        <v/>
      </c>
      <c r="W601">
        <f>IFERROR(MATCH(596,합계표[판정순번],0),"")</f>
        <v/>
      </c>
    </row>
    <row r="602">
      <c r="A602">
        <f>IF($W602="","",INDEX(합계표[사번],$W602)&amp;"")</f>
        <v/>
      </c>
      <c r="B602">
        <f>IF($W602="","",INDEX(합계표[성명],$W602)&amp;"")</f>
        <v/>
      </c>
      <c r="C602">
        <f>IF($W602="","",INDEX(합계표[부서],$W602)&amp;"")</f>
        <v/>
      </c>
      <c r="D602">
        <f>IF($W602="","",INDEX(합계표[직위(통합)],$W602)&amp;"")</f>
        <v/>
      </c>
      <c r="E602">
        <f>IF($W602="","",SUMIFS(합계표[시스템 합계],합계표[사번키],INDEX(합계표[사번키],$W602)))</f>
        <v/>
      </c>
      <c r="F602">
        <f>IF($W602="","",SUMIFS(상세표[기록 시간외],상세표[사번키],INDEX(합계표[사번키],$W602),상세표[기록월],대상월키))</f>
        <v/>
      </c>
      <c r="G602">
        <f>IF($W602="","",IF(ABS($E602-$F602)&lt;0.01,"일치","불일치(차이 "&amp;TEXT($F602-$E602,"0.00")&amp;")"))</f>
        <v/>
      </c>
      <c r="H602">
        <f>IF($W602="","",SUMIFS(상세표[기록 시간외],상세표[사번키],INDEX(합계표[사번키],$W602),상세표[기록월],대상월키,상세표[반영월],"&lt;&gt;"&amp;대상월키))</f>
        <v/>
      </c>
      <c r="I602">
        <f>IF($W602="","",SUMIFS(상세표[기록 시간외],상세표[사번키],INDEX(합계표[사번키],$W602),상세표[기록월],"&lt;&gt;"&amp;대상월키,상세표[반영월],대상월키))</f>
        <v/>
      </c>
      <c r="J602">
        <f>IF($W602="","",SUMIFS(상세표[기록 시간외],상세표[사번키],INDEX(합계표[사번키],$W602),상세표[반영월],대상월키))</f>
        <v/>
      </c>
      <c r="K602">
        <f>IF($W602="","",IFERROR(INDEX(월별근무지표[적용 급여병원],MATCH(INDEX(합계표[사번키],$W602)&amp;"|"&amp;대상월키,월별근무지표[키],0))&amp;"",IF(COUNTIF(기관표[사번키],INDEX(합계표[사번키],$W602))+COUNTIF(월별근무지표[사번키],INDEX(합계표[사번키],$W602))&gt;0,IFERROR(INDEX(기관표[급여지급병원(기준월)],MATCH(INDEX(합계표[사번키],$W602)&amp;"|"&amp;대상월키,기관표[키],0))&amp;"","—"),"—")))</f>
        <v/>
      </c>
      <c r="L602">
        <f>IF($W602="","",IF(NOT(COUNTIF(기관표[사번키],INDEX(합계표[사번키],$W602))+COUNTIF(월별근무지표[사번키],INDEX(합계표[사번키],$W602))&gt;0),"기관명단에 없음(다른 병원으로 발송)",IF($K602="—","대상월 기관명단 없음(추가 필요)",IF($K602="서울병원","해당","비해당"))))</f>
        <v/>
      </c>
      <c r="M602">
        <f>IF($W602="","",SUMIFS(상세표[06~07시],상세표[사번키],INDEX(합계표[사번키],$W602),상세표[반영월],대상월키,상세표[반영 기관],"서울병원"))</f>
        <v/>
      </c>
      <c r="N602">
        <f>IF($W602="","",SUMIFS(상세표[07~18시],상세표[사번키],INDEX(합계표[사번키],$W602),상세표[반영월],대상월키,상세표[반영 기관],"서울병원"))</f>
        <v/>
      </c>
      <c r="O602">
        <f>IF($W602="","",SUMIFS(상세표[18~22시],상세표[사번키],INDEX(합계표[사번키],$W602),상세표[반영월],대상월키,상세표[반영 기관],"서울병원"))</f>
        <v/>
      </c>
      <c r="P602">
        <f>IF($W602="","",SUMIFS(상세표[22~06시],상세표[사번키],INDEX(합계표[사번키],$W602),상세표[반영월],대상월키,상세표[반영 기관],"서울병원"))</f>
        <v/>
      </c>
      <c r="Q602">
        <f>IF($W602="","",SUM($M602:$P602))</f>
        <v/>
      </c>
      <c r="R602">
        <f>IF($W602="","",COUNTIFS(상세표[사번키],INDEX(합계표[사번키],$W602),상세표[반영월],대상월키,상세표[야간당직],1,상세표[야간 구분],"평일"))</f>
        <v/>
      </c>
      <c r="S602" s="4">
        <f>IF($W602="","",COUNTIFS(상세표[사번키],INDEX(합계표[사번키],$W602),상세표[반영월],대상월키,상세표[야간당직],1,상세표[야간 구분],"휴일"))</f>
        <v/>
      </c>
      <c r="T602">
        <f>IF($W602="","",COUNTIFS(상세표[사번키],INDEX(합계표[사번키],$W602),상세표[반영월],대상월키,상세표[야간당직],1,상세표[야간 구분],"평일",상세표[반영 기관],"서울병원"))</f>
        <v/>
      </c>
      <c r="U602">
        <f>IF($W602="","",COUNTIFS(상세표[사번키],INDEX(합계표[사번키],$W602),상세표[반영월],대상월키,상세표[야간당직],1,상세표[야간 구분],"휴일",상세표[반영 기관],"서울병원"))</f>
        <v/>
      </c>
      <c r="V602">
        <f>IF($W602="","",IF(ISNUMBER(MATCH(INDEX(합계표[사번키],$W602)&amp;"|"&amp;대상월키,월별근무지표[키],0)),"직접 입력",IF($K602="—","—","기관명단")))</f>
        <v/>
      </c>
      <c r="W602">
        <f>IFERROR(MATCH(597,합계표[판정순번],0),"")</f>
        <v/>
      </c>
    </row>
    <row r="603">
      <c r="A603">
        <f>IF($W603="","",INDEX(합계표[사번],$W603)&amp;"")</f>
        <v/>
      </c>
      <c r="B603">
        <f>IF($W603="","",INDEX(합계표[성명],$W603)&amp;"")</f>
        <v/>
      </c>
      <c r="C603">
        <f>IF($W603="","",INDEX(합계표[부서],$W603)&amp;"")</f>
        <v/>
      </c>
      <c r="D603">
        <f>IF($W603="","",INDEX(합계표[직위(통합)],$W603)&amp;"")</f>
        <v/>
      </c>
      <c r="E603">
        <f>IF($W603="","",SUMIFS(합계표[시스템 합계],합계표[사번키],INDEX(합계표[사번키],$W603)))</f>
        <v/>
      </c>
      <c r="F603">
        <f>IF($W603="","",SUMIFS(상세표[기록 시간외],상세표[사번키],INDEX(합계표[사번키],$W603),상세표[기록월],대상월키))</f>
        <v/>
      </c>
      <c r="G603">
        <f>IF($W603="","",IF(ABS($E603-$F603)&lt;0.01,"일치","불일치(차이 "&amp;TEXT($F603-$E603,"0.00")&amp;")"))</f>
        <v/>
      </c>
      <c r="H603">
        <f>IF($W603="","",SUMIFS(상세표[기록 시간외],상세표[사번키],INDEX(합계표[사번키],$W603),상세표[기록월],대상월키,상세표[반영월],"&lt;&gt;"&amp;대상월키))</f>
        <v/>
      </c>
      <c r="I603">
        <f>IF($W603="","",SUMIFS(상세표[기록 시간외],상세표[사번키],INDEX(합계표[사번키],$W603),상세표[기록월],"&lt;&gt;"&amp;대상월키,상세표[반영월],대상월키))</f>
        <v/>
      </c>
      <c r="J603">
        <f>IF($W603="","",SUMIFS(상세표[기록 시간외],상세표[사번키],INDEX(합계표[사번키],$W603),상세표[반영월],대상월키))</f>
        <v/>
      </c>
      <c r="K603">
        <f>IF($W603="","",IFERROR(INDEX(월별근무지표[적용 급여병원],MATCH(INDEX(합계표[사번키],$W603)&amp;"|"&amp;대상월키,월별근무지표[키],0))&amp;"",IF(COUNTIF(기관표[사번키],INDEX(합계표[사번키],$W603))+COUNTIF(월별근무지표[사번키],INDEX(합계표[사번키],$W603))&gt;0,IFERROR(INDEX(기관표[급여지급병원(기준월)],MATCH(INDEX(합계표[사번키],$W603)&amp;"|"&amp;대상월키,기관표[키],0))&amp;"","—"),"—")))</f>
        <v/>
      </c>
      <c r="L603">
        <f>IF($W603="","",IF(NOT(COUNTIF(기관표[사번키],INDEX(합계표[사번키],$W603))+COUNTIF(월별근무지표[사번키],INDEX(합계표[사번키],$W603))&gt;0),"기관명단에 없음(다른 병원으로 발송)",IF($K603="—","대상월 기관명단 없음(추가 필요)",IF($K603="서울병원","해당","비해당"))))</f>
        <v/>
      </c>
      <c r="M603">
        <f>IF($W603="","",SUMIFS(상세표[06~07시],상세표[사번키],INDEX(합계표[사번키],$W603),상세표[반영월],대상월키,상세표[반영 기관],"서울병원"))</f>
        <v/>
      </c>
      <c r="N603">
        <f>IF($W603="","",SUMIFS(상세표[07~18시],상세표[사번키],INDEX(합계표[사번키],$W603),상세표[반영월],대상월키,상세표[반영 기관],"서울병원"))</f>
        <v/>
      </c>
      <c r="O603">
        <f>IF($W603="","",SUMIFS(상세표[18~22시],상세표[사번키],INDEX(합계표[사번키],$W603),상세표[반영월],대상월키,상세표[반영 기관],"서울병원"))</f>
        <v/>
      </c>
      <c r="P603">
        <f>IF($W603="","",SUMIFS(상세표[22~06시],상세표[사번키],INDEX(합계표[사번키],$W603),상세표[반영월],대상월키,상세표[반영 기관],"서울병원"))</f>
        <v/>
      </c>
      <c r="Q603">
        <f>IF($W603="","",SUM($M603:$P603))</f>
        <v/>
      </c>
      <c r="R603">
        <f>IF($W603="","",COUNTIFS(상세표[사번키],INDEX(합계표[사번키],$W603),상세표[반영월],대상월키,상세표[야간당직],1,상세표[야간 구분],"평일"))</f>
        <v/>
      </c>
      <c r="S603" s="4">
        <f>IF($W603="","",COUNTIFS(상세표[사번키],INDEX(합계표[사번키],$W603),상세표[반영월],대상월키,상세표[야간당직],1,상세표[야간 구분],"휴일"))</f>
        <v/>
      </c>
      <c r="T603">
        <f>IF($W603="","",COUNTIFS(상세표[사번키],INDEX(합계표[사번키],$W603),상세표[반영월],대상월키,상세표[야간당직],1,상세표[야간 구분],"평일",상세표[반영 기관],"서울병원"))</f>
        <v/>
      </c>
      <c r="U603">
        <f>IF($W603="","",COUNTIFS(상세표[사번키],INDEX(합계표[사번키],$W603),상세표[반영월],대상월키,상세표[야간당직],1,상세표[야간 구분],"휴일",상세표[반영 기관],"서울병원"))</f>
        <v/>
      </c>
      <c r="V603">
        <f>IF($W603="","",IF(ISNUMBER(MATCH(INDEX(합계표[사번키],$W603)&amp;"|"&amp;대상월키,월별근무지표[키],0)),"직접 입력",IF($K603="—","—","기관명단")))</f>
        <v/>
      </c>
      <c r="W603">
        <f>IFERROR(MATCH(598,합계표[판정순번],0),"")</f>
        <v/>
      </c>
    </row>
    <row r="604">
      <c r="A604">
        <f>IF($W604="","",INDEX(합계표[사번],$W604)&amp;"")</f>
        <v/>
      </c>
      <c r="B604">
        <f>IF($W604="","",INDEX(합계표[성명],$W604)&amp;"")</f>
        <v/>
      </c>
      <c r="C604">
        <f>IF($W604="","",INDEX(합계표[부서],$W604)&amp;"")</f>
        <v/>
      </c>
      <c r="D604">
        <f>IF($W604="","",INDEX(합계표[직위(통합)],$W604)&amp;"")</f>
        <v/>
      </c>
      <c r="E604">
        <f>IF($W604="","",SUMIFS(합계표[시스템 합계],합계표[사번키],INDEX(합계표[사번키],$W604)))</f>
        <v/>
      </c>
      <c r="F604">
        <f>IF($W604="","",SUMIFS(상세표[기록 시간외],상세표[사번키],INDEX(합계표[사번키],$W604),상세표[기록월],대상월키))</f>
        <v/>
      </c>
      <c r="G604">
        <f>IF($W604="","",IF(ABS($E604-$F604)&lt;0.01,"일치","불일치(차이 "&amp;TEXT($F604-$E604,"0.00")&amp;")"))</f>
        <v/>
      </c>
      <c r="H604">
        <f>IF($W604="","",SUMIFS(상세표[기록 시간외],상세표[사번키],INDEX(합계표[사번키],$W604),상세표[기록월],대상월키,상세표[반영월],"&lt;&gt;"&amp;대상월키))</f>
        <v/>
      </c>
      <c r="I604">
        <f>IF($W604="","",SUMIFS(상세표[기록 시간외],상세표[사번키],INDEX(합계표[사번키],$W604),상세표[기록월],"&lt;&gt;"&amp;대상월키,상세표[반영월],대상월키))</f>
        <v/>
      </c>
      <c r="J604">
        <f>IF($W604="","",SUMIFS(상세표[기록 시간외],상세표[사번키],INDEX(합계표[사번키],$W604),상세표[반영월],대상월키))</f>
        <v/>
      </c>
      <c r="K604">
        <f>IF($W604="","",IFERROR(INDEX(월별근무지표[적용 급여병원],MATCH(INDEX(합계표[사번키],$W604)&amp;"|"&amp;대상월키,월별근무지표[키],0))&amp;"",IF(COUNTIF(기관표[사번키],INDEX(합계표[사번키],$W604))+COUNTIF(월별근무지표[사번키],INDEX(합계표[사번키],$W604))&gt;0,IFERROR(INDEX(기관표[급여지급병원(기준월)],MATCH(INDEX(합계표[사번키],$W604)&amp;"|"&amp;대상월키,기관표[키],0))&amp;"","—"),"—")))</f>
        <v/>
      </c>
      <c r="L604">
        <f>IF($W604="","",IF(NOT(COUNTIF(기관표[사번키],INDEX(합계표[사번키],$W604))+COUNTIF(월별근무지표[사번키],INDEX(합계표[사번키],$W604))&gt;0),"기관명단에 없음(다른 병원으로 발송)",IF($K604="—","대상월 기관명단 없음(추가 필요)",IF($K604="서울병원","해당","비해당"))))</f>
        <v/>
      </c>
      <c r="M604">
        <f>IF($W604="","",SUMIFS(상세표[06~07시],상세표[사번키],INDEX(합계표[사번키],$W604),상세표[반영월],대상월키,상세표[반영 기관],"서울병원"))</f>
        <v/>
      </c>
      <c r="N604">
        <f>IF($W604="","",SUMIFS(상세표[07~18시],상세표[사번키],INDEX(합계표[사번키],$W604),상세표[반영월],대상월키,상세표[반영 기관],"서울병원"))</f>
        <v/>
      </c>
      <c r="O604">
        <f>IF($W604="","",SUMIFS(상세표[18~22시],상세표[사번키],INDEX(합계표[사번키],$W604),상세표[반영월],대상월키,상세표[반영 기관],"서울병원"))</f>
        <v/>
      </c>
      <c r="P604">
        <f>IF($W604="","",SUMIFS(상세표[22~06시],상세표[사번키],INDEX(합계표[사번키],$W604),상세표[반영월],대상월키,상세표[반영 기관],"서울병원"))</f>
        <v/>
      </c>
      <c r="Q604">
        <f>IF($W604="","",SUM($M604:$P604))</f>
        <v/>
      </c>
      <c r="R604">
        <f>IF($W604="","",COUNTIFS(상세표[사번키],INDEX(합계표[사번키],$W604),상세표[반영월],대상월키,상세표[야간당직],1,상세표[야간 구분],"평일"))</f>
        <v/>
      </c>
      <c r="S604" s="4">
        <f>IF($W604="","",COUNTIFS(상세표[사번키],INDEX(합계표[사번키],$W604),상세표[반영월],대상월키,상세표[야간당직],1,상세표[야간 구분],"휴일"))</f>
        <v/>
      </c>
      <c r="T604">
        <f>IF($W604="","",COUNTIFS(상세표[사번키],INDEX(합계표[사번키],$W604),상세표[반영월],대상월키,상세표[야간당직],1,상세표[야간 구분],"평일",상세표[반영 기관],"서울병원"))</f>
        <v/>
      </c>
      <c r="U604">
        <f>IF($W604="","",COUNTIFS(상세표[사번키],INDEX(합계표[사번키],$W604),상세표[반영월],대상월키,상세표[야간당직],1,상세표[야간 구분],"휴일",상세표[반영 기관],"서울병원"))</f>
        <v/>
      </c>
      <c r="V604">
        <f>IF($W604="","",IF(ISNUMBER(MATCH(INDEX(합계표[사번키],$W604)&amp;"|"&amp;대상월키,월별근무지표[키],0)),"직접 입력",IF($K604="—","—","기관명단")))</f>
        <v/>
      </c>
      <c r="W604">
        <f>IFERROR(MATCH(599,합계표[판정순번],0),"")</f>
        <v/>
      </c>
    </row>
    <row r="605">
      <c r="A605">
        <f>IF($W605="","",INDEX(합계표[사번],$W605)&amp;"")</f>
        <v/>
      </c>
      <c r="B605">
        <f>IF($W605="","",INDEX(합계표[성명],$W605)&amp;"")</f>
        <v/>
      </c>
      <c r="C605">
        <f>IF($W605="","",INDEX(합계표[부서],$W605)&amp;"")</f>
        <v/>
      </c>
      <c r="D605">
        <f>IF($W605="","",INDEX(합계표[직위(통합)],$W605)&amp;"")</f>
        <v/>
      </c>
      <c r="E605">
        <f>IF($W605="","",SUMIFS(합계표[시스템 합계],합계표[사번키],INDEX(합계표[사번키],$W605)))</f>
        <v/>
      </c>
      <c r="F605">
        <f>IF($W605="","",SUMIFS(상세표[기록 시간외],상세표[사번키],INDEX(합계표[사번키],$W605),상세표[기록월],대상월키))</f>
        <v/>
      </c>
      <c r="G605">
        <f>IF($W605="","",IF(ABS($E605-$F605)&lt;0.01,"일치","불일치(차이 "&amp;TEXT($F605-$E605,"0.00")&amp;")"))</f>
        <v/>
      </c>
      <c r="H605">
        <f>IF($W605="","",SUMIFS(상세표[기록 시간외],상세표[사번키],INDEX(합계표[사번키],$W605),상세표[기록월],대상월키,상세표[반영월],"&lt;&gt;"&amp;대상월키))</f>
        <v/>
      </c>
      <c r="I605">
        <f>IF($W605="","",SUMIFS(상세표[기록 시간외],상세표[사번키],INDEX(합계표[사번키],$W605),상세표[기록월],"&lt;&gt;"&amp;대상월키,상세표[반영월],대상월키))</f>
        <v/>
      </c>
      <c r="J605">
        <f>IF($W605="","",SUMIFS(상세표[기록 시간외],상세표[사번키],INDEX(합계표[사번키],$W605),상세표[반영월],대상월키))</f>
        <v/>
      </c>
      <c r="K605">
        <f>IF($W605="","",IFERROR(INDEX(월별근무지표[적용 급여병원],MATCH(INDEX(합계표[사번키],$W605)&amp;"|"&amp;대상월키,월별근무지표[키],0))&amp;"",IF(COUNTIF(기관표[사번키],INDEX(합계표[사번키],$W605))+COUNTIF(월별근무지표[사번키],INDEX(합계표[사번키],$W605))&gt;0,IFERROR(INDEX(기관표[급여지급병원(기준월)],MATCH(INDEX(합계표[사번키],$W605)&amp;"|"&amp;대상월키,기관표[키],0))&amp;"","—"),"—")))</f>
        <v/>
      </c>
      <c r="L605">
        <f>IF($W605="","",IF(NOT(COUNTIF(기관표[사번키],INDEX(합계표[사번키],$W605))+COUNTIF(월별근무지표[사번키],INDEX(합계표[사번키],$W605))&gt;0),"기관명단에 없음(다른 병원으로 발송)",IF($K605="—","대상월 기관명단 없음(추가 필요)",IF($K605="서울병원","해당","비해당"))))</f>
        <v/>
      </c>
      <c r="M605">
        <f>IF($W605="","",SUMIFS(상세표[06~07시],상세표[사번키],INDEX(합계표[사번키],$W605),상세표[반영월],대상월키,상세표[반영 기관],"서울병원"))</f>
        <v/>
      </c>
      <c r="N605">
        <f>IF($W605="","",SUMIFS(상세표[07~18시],상세표[사번키],INDEX(합계표[사번키],$W605),상세표[반영월],대상월키,상세표[반영 기관],"서울병원"))</f>
        <v/>
      </c>
      <c r="O605">
        <f>IF($W605="","",SUMIFS(상세표[18~22시],상세표[사번키],INDEX(합계표[사번키],$W605),상세표[반영월],대상월키,상세표[반영 기관],"서울병원"))</f>
        <v/>
      </c>
      <c r="P605">
        <f>IF($W605="","",SUMIFS(상세표[22~06시],상세표[사번키],INDEX(합계표[사번키],$W605),상세표[반영월],대상월키,상세표[반영 기관],"서울병원"))</f>
        <v/>
      </c>
      <c r="Q605">
        <f>IF($W605="","",SUM($M605:$P605))</f>
        <v/>
      </c>
      <c r="R605">
        <f>IF($W605="","",COUNTIFS(상세표[사번키],INDEX(합계표[사번키],$W605),상세표[반영월],대상월키,상세표[야간당직],1,상세표[야간 구분],"평일"))</f>
        <v/>
      </c>
      <c r="S605" s="4">
        <f>IF($W605="","",COUNTIFS(상세표[사번키],INDEX(합계표[사번키],$W605),상세표[반영월],대상월키,상세표[야간당직],1,상세표[야간 구분],"휴일"))</f>
        <v/>
      </c>
      <c r="T605">
        <f>IF($W605="","",COUNTIFS(상세표[사번키],INDEX(합계표[사번키],$W605),상세표[반영월],대상월키,상세표[야간당직],1,상세표[야간 구분],"평일",상세표[반영 기관],"서울병원"))</f>
        <v/>
      </c>
      <c r="U605">
        <f>IF($W605="","",COUNTIFS(상세표[사번키],INDEX(합계표[사번키],$W605),상세표[반영월],대상월키,상세표[야간당직],1,상세표[야간 구분],"휴일",상세표[반영 기관],"서울병원"))</f>
        <v/>
      </c>
      <c r="V605">
        <f>IF($W605="","",IF(ISNUMBER(MATCH(INDEX(합계표[사번키],$W605)&amp;"|"&amp;대상월키,월별근무지표[키],0)),"직접 입력",IF($K605="—","—","기관명단")))</f>
        <v/>
      </c>
      <c r="W605">
        <f>IFERROR(MATCH(600,합계표[판정순번],0),"")</f>
        <v/>
      </c>
    </row>
    <row r="606">
      <c r="A606">
        <f>IF($W606="","",INDEX(합계표[사번],$W606)&amp;"")</f>
        <v/>
      </c>
      <c r="B606">
        <f>IF($W606="","",INDEX(합계표[성명],$W606)&amp;"")</f>
        <v/>
      </c>
      <c r="C606">
        <f>IF($W606="","",INDEX(합계표[부서],$W606)&amp;"")</f>
        <v/>
      </c>
      <c r="D606">
        <f>IF($W606="","",INDEX(합계표[직위(통합)],$W606)&amp;"")</f>
        <v/>
      </c>
      <c r="E606">
        <f>IF($W606="","",SUMIFS(합계표[시스템 합계],합계표[사번키],INDEX(합계표[사번키],$W606)))</f>
        <v/>
      </c>
      <c r="F606">
        <f>IF($W606="","",SUMIFS(상세표[기록 시간외],상세표[사번키],INDEX(합계표[사번키],$W606),상세표[기록월],대상월키))</f>
        <v/>
      </c>
      <c r="G606">
        <f>IF($W606="","",IF(ABS($E606-$F606)&lt;0.01,"일치","불일치(차이 "&amp;TEXT($F606-$E606,"0.00")&amp;")"))</f>
        <v/>
      </c>
      <c r="H606">
        <f>IF($W606="","",SUMIFS(상세표[기록 시간외],상세표[사번키],INDEX(합계표[사번키],$W606),상세표[기록월],대상월키,상세표[반영월],"&lt;&gt;"&amp;대상월키))</f>
        <v/>
      </c>
      <c r="I606">
        <f>IF($W606="","",SUMIFS(상세표[기록 시간외],상세표[사번키],INDEX(합계표[사번키],$W606),상세표[기록월],"&lt;&gt;"&amp;대상월키,상세표[반영월],대상월키))</f>
        <v/>
      </c>
      <c r="J606">
        <f>IF($W606="","",SUMIFS(상세표[기록 시간외],상세표[사번키],INDEX(합계표[사번키],$W606),상세표[반영월],대상월키))</f>
        <v/>
      </c>
      <c r="K606">
        <f>IF($W606="","",IFERROR(INDEX(월별근무지표[적용 급여병원],MATCH(INDEX(합계표[사번키],$W606)&amp;"|"&amp;대상월키,월별근무지표[키],0))&amp;"",IF(COUNTIF(기관표[사번키],INDEX(합계표[사번키],$W606))+COUNTIF(월별근무지표[사번키],INDEX(합계표[사번키],$W606))&gt;0,IFERROR(INDEX(기관표[급여지급병원(기준월)],MATCH(INDEX(합계표[사번키],$W606)&amp;"|"&amp;대상월키,기관표[키],0))&amp;"","—"),"—")))</f>
        <v/>
      </c>
      <c r="L606">
        <f>IF($W606="","",IF(NOT(COUNTIF(기관표[사번키],INDEX(합계표[사번키],$W606))+COUNTIF(월별근무지표[사번키],INDEX(합계표[사번키],$W606))&gt;0),"기관명단에 없음(다른 병원으로 발송)",IF($K606="—","대상월 기관명단 없음(추가 필요)",IF($K606="서울병원","해당","비해당"))))</f>
        <v/>
      </c>
      <c r="M606">
        <f>IF($W606="","",SUMIFS(상세표[06~07시],상세표[사번키],INDEX(합계표[사번키],$W606),상세표[반영월],대상월키,상세표[반영 기관],"서울병원"))</f>
        <v/>
      </c>
      <c r="N606">
        <f>IF($W606="","",SUMIFS(상세표[07~18시],상세표[사번키],INDEX(합계표[사번키],$W606),상세표[반영월],대상월키,상세표[반영 기관],"서울병원"))</f>
        <v/>
      </c>
      <c r="O606">
        <f>IF($W606="","",SUMIFS(상세표[18~22시],상세표[사번키],INDEX(합계표[사번키],$W606),상세표[반영월],대상월키,상세표[반영 기관],"서울병원"))</f>
        <v/>
      </c>
      <c r="P606">
        <f>IF($W606="","",SUMIFS(상세표[22~06시],상세표[사번키],INDEX(합계표[사번키],$W606),상세표[반영월],대상월키,상세표[반영 기관],"서울병원"))</f>
        <v/>
      </c>
      <c r="Q606">
        <f>IF($W606="","",SUM($M606:$P606))</f>
        <v/>
      </c>
      <c r="R606">
        <f>IF($W606="","",COUNTIFS(상세표[사번키],INDEX(합계표[사번키],$W606),상세표[반영월],대상월키,상세표[야간당직],1,상세표[야간 구분],"평일"))</f>
        <v/>
      </c>
      <c r="S606" s="4">
        <f>IF($W606="","",COUNTIFS(상세표[사번키],INDEX(합계표[사번키],$W606),상세표[반영월],대상월키,상세표[야간당직],1,상세표[야간 구분],"휴일"))</f>
        <v/>
      </c>
      <c r="T606">
        <f>IF($W606="","",COUNTIFS(상세표[사번키],INDEX(합계표[사번키],$W606),상세표[반영월],대상월키,상세표[야간당직],1,상세표[야간 구분],"평일",상세표[반영 기관],"서울병원"))</f>
        <v/>
      </c>
      <c r="U606">
        <f>IF($W606="","",COUNTIFS(상세표[사번키],INDEX(합계표[사번키],$W606),상세표[반영월],대상월키,상세표[야간당직],1,상세표[야간 구분],"휴일",상세표[반영 기관],"서울병원"))</f>
        <v/>
      </c>
      <c r="V606">
        <f>IF($W606="","",IF(ISNUMBER(MATCH(INDEX(합계표[사번키],$W606)&amp;"|"&amp;대상월키,월별근무지표[키],0)),"직접 입력",IF($K606="—","—","기관명단")))</f>
        <v/>
      </c>
      <c r="W606">
        <f>IFERROR(MATCH(601,합계표[판정순번],0),"")</f>
        <v/>
      </c>
    </row>
    <row r="607">
      <c r="A607">
        <f>IF($W607="","",INDEX(합계표[사번],$W607)&amp;"")</f>
        <v/>
      </c>
      <c r="B607">
        <f>IF($W607="","",INDEX(합계표[성명],$W607)&amp;"")</f>
        <v/>
      </c>
      <c r="C607">
        <f>IF($W607="","",INDEX(합계표[부서],$W607)&amp;"")</f>
        <v/>
      </c>
      <c r="D607">
        <f>IF($W607="","",INDEX(합계표[직위(통합)],$W607)&amp;"")</f>
        <v/>
      </c>
      <c r="E607">
        <f>IF($W607="","",SUMIFS(합계표[시스템 합계],합계표[사번키],INDEX(합계표[사번키],$W607)))</f>
        <v/>
      </c>
      <c r="F607">
        <f>IF($W607="","",SUMIFS(상세표[기록 시간외],상세표[사번키],INDEX(합계표[사번키],$W607),상세표[기록월],대상월키))</f>
        <v/>
      </c>
      <c r="G607">
        <f>IF($W607="","",IF(ABS($E607-$F607)&lt;0.01,"일치","불일치(차이 "&amp;TEXT($F607-$E607,"0.00")&amp;")"))</f>
        <v/>
      </c>
      <c r="H607">
        <f>IF($W607="","",SUMIFS(상세표[기록 시간외],상세표[사번키],INDEX(합계표[사번키],$W607),상세표[기록월],대상월키,상세표[반영월],"&lt;&gt;"&amp;대상월키))</f>
        <v/>
      </c>
      <c r="I607">
        <f>IF($W607="","",SUMIFS(상세표[기록 시간외],상세표[사번키],INDEX(합계표[사번키],$W607),상세표[기록월],"&lt;&gt;"&amp;대상월키,상세표[반영월],대상월키))</f>
        <v/>
      </c>
      <c r="J607">
        <f>IF($W607="","",SUMIFS(상세표[기록 시간외],상세표[사번키],INDEX(합계표[사번키],$W607),상세표[반영월],대상월키))</f>
        <v/>
      </c>
      <c r="K607">
        <f>IF($W607="","",IFERROR(INDEX(월별근무지표[적용 급여병원],MATCH(INDEX(합계표[사번키],$W607)&amp;"|"&amp;대상월키,월별근무지표[키],0))&amp;"",IF(COUNTIF(기관표[사번키],INDEX(합계표[사번키],$W607))+COUNTIF(월별근무지표[사번키],INDEX(합계표[사번키],$W607))&gt;0,IFERROR(INDEX(기관표[급여지급병원(기준월)],MATCH(INDEX(합계표[사번키],$W607)&amp;"|"&amp;대상월키,기관표[키],0))&amp;"","—"),"—")))</f>
        <v/>
      </c>
      <c r="L607">
        <f>IF($W607="","",IF(NOT(COUNTIF(기관표[사번키],INDEX(합계표[사번키],$W607))+COUNTIF(월별근무지표[사번키],INDEX(합계표[사번키],$W607))&gt;0),"기관명단에 없음(다른 병원으로 발송)",IF($K607="—","대상월 기관명단 없음(추가 필요)",IF($K607="서울병원","해당","비해당"))))</f>
        <v/>
      </c>
      <c r="M607">
        <f>IF($W607="","",SUMIFS(상세표[06~07시],상세표[사번키],INDEX(합계표[사번키],$W607),상세표[반영월],대상월키,상세표[반영 기관],"서울병원"))</f>
        <v/>
      </c>
      <c r="N607">
        <f>IF($W607="","",SUMIFS(상세표[07~18시],상세표[사번키],INDEX(합계표[사번키],$W607),상세표[반영월],대상월키,상세표[반영 기관],"서울병원"))</f>
        <v/>
      </c>
      <c r="O607">
        <f>IF($W607="","",SUMIFS(상세표[18~22시],상세표[사번키],INDEX(합계표[사번키],$W607),상세표[반영월],대상월키,상세표[반영 기관],"서울병원"))</f>
        <v/>
      </c>
      <c r="P607">
        <f>IF($W607="","",SUMIFS(상세표[22~06시],상세표[사번키],INDEX(합계표[사번키],$W607),상세표[반영월],대상월키,상세표[반영 기관],"서울병원"))</f>
        <v/>
      </c>
      <c r="Q607">
        <f>IF($W607="","",SUM($M607:$P607))</f>
        <v/>
      </c>
      <c r="R607">
        <f>IF($W607="","",COUNTIFS(상세표[사번키],INDEX(합계표[사번키],$W607),상세표[반영월],대상월키,상세표[야간당직],1,상세표[야간 구분],"평일"))</f>
        <v/>
      </c>
      <c r="S607" s="4">
        <f>IF($W607="","",COUNTIFS(상세표[사번키],INDEX(합계표[사번키],$W607),상세표[반영월],대상월키,상세표[야간당직],1,상세표[야간 구분],"휴일"))</f>
        <v/>
      </c>
      <c r="T607">
        <f>IF($W607="","",COUNTIFS(상세표[사번키],INDEX(합계표[사번키],$W607),상세표[반영월],대상월키,상세표[야간당직],1,상세표[야간 구분],"평일",상세표[반영 기관],"서울병원"))</f>
        <v/>
      </c>
      <c r="U607">
        <f>IF($W607="","",COUNTIFS(상세표[사번키],INDEX(합계표[사번키],$W607),상세표[반영월],대상월키,상세표[야간당직],1,상세표[야간 구분],"휴일",상세표[반영 기관],"서울병원"))</f>
        <v/>
      </c>
      <c r="V607">
        <f>IF($W607="","",IF(ISNUMBER(MATCH(INDEX(합계표[사번키],$W607)&amp;"|"&amp;대상월키,월별근무지표[키],0)),"직접 입력",IF($K607="—","—","기관명단")))</f>
        <v/>
      </c>
      <c r="W607">
        <f>IFERROR(MATCH(602,합계표[판정순번],0),"")</f>
        <v/>
      </c>
    </row>
    <row r="608">
      <c r="A608">
        <f>IF($W608="","",INDEX(합계표[사번],$W608)&amp;"")</f>
        <v/>
      </c>
      <c r="B608">
        <f>IF($W608="","",INDEX(합계표[성명],$W608)&amp;"")</f>
        <v/>
      </c>
      <c r="C608">
        <f>IF($W608="","",INDEX(합계표[부서],$W608)&amp;"")</f>
        <v/>
      </c>
      <c r="D608">
        <f>IF($W608="","",INDEX(합계표[직위(통합)],$W608)&amp;"")</f>
        <v/>
      </c>
      <c r="E608">
        <f>IF($W608="","",SUMIFS(합계표[시스템 합계],합계표[사번키],INDEX(합계표[사번키],$W608)))</f>
        <v/>
      </c>
      <c r="F608">
        <f>IF($W608="","",SUMIFS(상세표[기록 시간외],상세표[사번키],INDEX(합계표[사번키],$W608),상세표[기록월],대상월키))</f>
        <v/>
      </c>
      <c r="G608">
        <f>IF($W608="","",IF(ABS($E608-$F608)&lt;0.01,"일치","불일치(차이 "&amp;TEXT($F608-$E608,"0.00")&amp;")"))</f>
        <v/>
      </c>
      <c r="H608">
        <f>IF($W608="","",SUMIFS(상세표[기록 시간외],상세표[사번키],INDEX(합계표[사번키],$W608),상세표[기록월],대상월키,상세표[반영월],"&lt;&gt;"&amp;대상월키))</f>
        <v/>
      </c>
      <c r="I608">
        <f>IF($W608="","",SUMIFS(상세표[기록 시간외],상세표[사번키],INDEX(합계표[사번키],$W608),상세표[기록월],"&lt;&gt;"&amp;대상월키,상세표[반영월],대상월키))</f>
        <v/>
      </c>
      <c r="J608">
        <f>IF($W608="","",SUMIFS(상세표[기록 시간외],상세표[사번키],INDEX(합계표[사번키],$W608),상세표[반영월],대상월키))</f>
        <v/>
      </c>
      <c r="K608">
        <f>IF($W608="","",IFERROR(INDEX(월별근무지표[적용 급여병원],MATCH(INDEX(합계표[사번키],$W608)&amp;"|"&amp;대상월키,월별근무지표[키],0))&amp;"",IF(COUNTIF(기관표[사번키],INDEX(합계표[사번키],$W608))+COUNTIF(월별근무지표[사번키],INDEX(합계표[사번키],$W608))&gt;0,IFERROR(INDEX(기관표[급여지급병원(기준월)],MATCH(INDEX(합계표[사번키],$W608)&amp;"|"&amp;대상월키,기관표[키],0))&amp;"","—"),"—")))</f>
        <v/>
      </c>
      <c r="L608">
        <f>IF($W608="","",IF(NOT(COUNTIF(기관표[사번키],INDEX(합계표[사번키],$W608))+COUNTIF(월별근무지표[사번키],INDEX(합계표[사번키],$W608))&gt;0),"기관명단에 없음(다른 병원으로 발송)",IF($K608="—","대상월 기관명단 없음(추가 필요)",IF($K608="서울병원","해당","비해당"))))</f>
        <v/>
      </c>
      <c r="M608">
        <f>IF($W608="","",SUMIFS(상세표[06~07시],상세표[사번키],INDEX(합계표[사번키],$W608),상세표[반영월],대상월키,상세표[반영 기관],"서울병원"))</f>
        <v/>
      </c>
      <c r="N608">
        <f>IF($W608="","",SUMIFS(상세표[07~18시],상세표[사번키],INDEX(합계표[사번키],$W608),상세표[반영월],대상월키,상세표[반영 기관],"서울병원"))</f>
        <v/>
      </c>
      <c r="O608">
        <f>IF($W608="","",SUMIFS(상세표[18~22시],상세표[사번키],INDEX(합계표[사번키],$W608),상세표[반영월],대상월키,상세표[반영 기관],"서울병원"))</f>
        <v/>
      </c>
      <c r="P608">
        <f>IF($W608="","",SUMIFS(상세표[22~06시],상세표[사번키],INDEX(합계표[사번키],$W608),상세표[반영월],대상월키,상세표[반영 기관],"서울병원"))</f>
        <v/>
      </c>
      <c r="Q608">
        <f>IF($W608="","",SUM($M608:$P608))</f>
        <v/>
      </c>
      <c r="R608">
        <f>IF($W608="","",COUNTIFS(상세표[사번키],INDEX(합계표[사번키],$W608),상세표[반영월],대상월키,상세표[야간당직],1,상세표[야간 구분],"평일"))</f>
        <v/>
      </c>
      <c r="S608" s="4">
        <f>IF($W608="","",COUNTIFS(상세표[사번키],INDEX(합계표[사번키],$W608),상세표[반영월],대상월키,상세표[야간당직],1,상세표[야간 구분],"휴일"))</f>
        <v/>
      </c>
      <c r="T608">
        <f>IF($W608="","",COUNTIFS(상세표[사번키],INDEX(합계표[사번키],$W608),상세표[반영월],대상월키,상세표[야간당직],1,상세표[야간 구분],"평일",상세표[반영 기관],"서울병원"))</f>
        <v/>
      </c>
      <c r="U608">
        <f>IF($W608="","",COUNTIFS(상세표[사번키],INDEX(합계표[사번키],$W608),상세표[반영월],대상월키,상세표[야간당직],1,상세표[야간 구분],"휴일",상세표[반영 기관],"서울병원"))</f>
        <v/>
      </c>
      <c r="V608">
        <f>IF($W608="","",IF(ISNUMBER(MATCH(INDEX(합계표[사번키],$W608)&amp;"|"&amp;대상월키,월별근무지표[키],0)),"직접 입력",IF($K608="—","—","기관명단")))</f>
        <v/>
      </c>
      <c r="W608">
        <f>IFERROR(MATCH(603,합계표[판정순번],0),"")</f>
        <v/>
      </c>
    </row>
    <row r="609">
      <c r="A609">
        <f>IF($W609="","",INDEX(합계표[사번],$W609)&amp;"")</f>
        <v/>
      </c>
      <c r="B609">
        <f>IF($W609="","",INDEX(합계표[성명],$W609)&amp;"")</f>
        <v/>
      </c>
      <c r="C609">
        <f>IF($W609="","",INDEX(합계표[부서],$W609)&amp;"")</f>
        <v/>
      </c>
      <c r="D609">
        <f>IF($W609="","",INDEX(합계표[직위(통합)],$W609)&amp;"")</f>
        <v/>
      </c>
      <c r="E609">
        <f>IF($W609="","",SUMIFS(합계표[시스템 합계],합계표[사번키],INDEX(합계표[사번키],$W609)))</f>
        <v/>
      </c>
      <c r="F609">
        <f>IF($W609="","",SUMIFS(상세표[기록 시간외],상세표[사번키],INDEX(합계표[사번키],$W609),상세표[기록월],대상월키))</f>
        <v/>
      </c>
      <c r="G609">
        <f>IF($W609="","",IF(ABS($E609-$F609)&lt;0.01,"일치","불일치(차이 "&amp;TEXT($F609-$E609,"0.00")&amp;")"))</f>
        <v/>
      </c>
      <c r="H609">
        <f>IF($W609="","",SUMIFS(상세표[기록 시간외],상세표[사번키],INDEX(합계표[사번키],$W609),상세표[기록월],대상월키,상세표[반영월],"&lt;&gt;"&amp;대상월키))</f>
        <v/>
      </c>
      <c r="I609">
        <f>IF($W609="","",SUMIFS(상세표[기록 시간외],상세표[사번키],INDEX(합계표[사번키],$W609),상세표[기록월],"&lt;&gt;"&amp;대상월키,상세표[반영월],대상월키))</f>
        <v/>
      </c>
      <c r="J609">
        <f>IF($W609="","",SUMIFS(상세표[기록 시간외],상세표[사번키],INDEX(합계표[사번키],$W609),상세표[반영월],대상월키))</f>
        <v/>
      </c>
      <c r="K609">
        <f>IF($W609="","",IFERROR(INDEX(월별근무지표[적용 급여병원],MATCH(INDEX(합계표[사번키],$W609)&amp;"|"&amp;대상월키,월별근무지표[키],0))&amp;"",IF(COUNTIF(기관표[사번키],INDEX(합계표[사번키],$W609))+COUNTIF(월별근무지표[사번키],INDEX(합계표[사번키],$W609))&gt;0,IFERROR(INDEX(기관표[급여지급병원(기준월)],MATCH(INDEX(합계표[사번키],$W609)&amp;"|"&amp;대상월키,기관표[키],0))&amp;"","—"),"—")))</f>
        <v/>
      </c>
      <c r="L609">
        <f>IF($W609="","",IF(NOT(COUNTIF(기관표[사번키],INDEX(합계표[사번키],$W609))+COUNTIF(월별근무지표[사번키],INDEX(합계표[사번키],$W609))&gt;0),"기관명단에 없음(다른 병원으로 발송)",IF($K609="—","대상월 기관명단 없음(추가 필요)",IF($K609="서울병원","해당","비해당"))))</f>
        <v/>
      </c>
      <c r="M609">
        <f>IF($W609="","",SUMIFS(상세표[06~07시],상세표[사번키],INDEX(합계표[사번키],$W609),상세표[반영월],대상월키,상세표[반영 기관],"서울병원"))</f>
        <v/>
      </c>
      <c r="N609">
        <f>IF($W609="","",SUMIFS(상세표[07~18시],상세표[사번키],INDEX(합계표[사번키],$W609),상세표[반영월],대상월키,상세표[반영 기관],"서울병원"))</f>
        <v/>
      </c>
      <c r="O609">
        <f>IF($W609="","",SUMIFS(상세표[18~22시],상세표[사번키],INDEX(합계표[사번키],$W609),상세표[반영월],대상월키,상세표[반영 기관],"서울병원"))</f>
        <v/>
      </c>
      <c r="P609">
        <f>IF($W609="","",SUMIFS(상세표[22~06시],상세표[사번키],INDEX(합계표[사번키],$W609),상세표[반영월],대상월키,상세표[반영 기관],"서울병원"))</f>
        <v/>
      </c>
      <c r="Q609">
        <f>IF($W609="","",SUM($M609:$P609))</f>
        <v/>
      </c>
      <c r="R609">
        <f>IF($W609="","",COUNTIFS(상세표[사번키],INDEX(합계표[사번키],$W609),상세표[반영월],대상월키,상세표[야간당직],1,상세표[야간 구분],"평일"))</f>
        <v/>
      </c>
      <c r="S609" s="4">
        <f>IF($W609="","",COUNTIFS(상세표[사번키],INDEX(합계표[사번키],$W609),상세표[반영월],대상월키,상세표[야간당직],1,상세표[야간 구분],"휴일"))</f>
        <v/>
      </c>
      <c r="T609">
        <f>IF($W609="","",COUNTIFS(상세표[사번키],INDEX(합계표[사번키],$W609),상세표[반영월],대상월키,상세표[야간당직],1,상세표[야간 구분],"평일",상세표[반영 기관],"서울병원"))</f>
        <v/>
      </c>
      <c r="U609">
        <f>IF($W609="","",COUNTIFS(상세표[사번키],INDEX(합계표[사번키],$W609),상세표[반영월],대상월키,상세표[야간당직],1,상세표[야간 구분],"휴일",상세표[반영 기관],"서울병원"))</f>
        <v/>
      </c>
      <c r="V609">
        <f>IF($W609="","",IF(ISNUMBER(MATCH(INDEX(합계표[사번키],$W609)&amp;"|"&amp;대상월키,월별근무지표[키],0)),"직접 입력",IF($K609="—","—","기관명단")))</f>
        <v/>
      </c>
      <c r="W609">
        <f>IFERROR(MATCH(604,합계표[판정순번],0),"")</f>
        <v/>
      </c>
    </row>
    <row r="610">
      <c r="A610">
        <f>IF($W610="","",INDEX(합계표[사번],$W610)&amp;"")</f>
        <v/>
      </c>
      <c r="B610">
        <f>IF($W610="","",INDEX(합계표[성명],$W610)&amp;"")</f>
        <v/>
      </c>
      <c r="C610">
        <f>IF($W610="","",INDEX(합계표[부서],$W610)&amp;"")</f>
        <v/>
      </c>
      <c r="D610">
        <f>IF($W610="","",INDEX(합계표[직위(통합)],$W610)&amp;"")</f>
        <v/>
      </c>
      <c r="E610">
        <f>IF($W610="","",SUMIFS(합계표[시스템 합계],합계표[사번키],INDEX(합계표[사번키],$W610)))</f>
        <v/>
      </c>
      <c r="F610">
        <f>IF($W610="","",SUMIFS(상세표[기록 시간외],상세표[사번키],INDEX(합계표[사번키],$W610),상세표[기록월],대상월키))</f>
        <v/>
      </c>
      <c r="G610">
        <f>IF($W610="","",IF(ABS($E610-$F610)&lt;0.01,"일치","불일치(차이 "&amp;TEXT($F610-$E610,"0.00")&amp;")"))</f>
        <v/>
      </c>
      <c r="H610">
        <f>IF($W610="","",SUMIFS(상세표[기록 시간외],상세표[사번키],INDEX(합계표[사번키],$W610),상세표[기록월],대상월키,상세표[반영월],"&lt;&gt;"&amp;대상월키))</f>
        <v/>
      </c>
      <c r="I610">
        <f>IF($W610="","",SUMIFS(상세표[기록 시간외],상세표[사번키],INDEX(합계표[사번키],$W610),상세표[기록월],"&lt;&gt;"&amp;대상월키,상세표[반영월],대상월키))</f>
        <v/>
      </c>
      <c r="J610">
        <f>IF($W610="","",SUMIFS(상세표[기록 시간외],상세표[사번키],INDEX(합계표[사번키],$W610),상세표[반영월],대상월키))</f>
        <v/>
      </c>
      <c r="K610">
        <f>IF($W610="","",IFERROR(INDEX(월별근무지표[적용 급여병원],MATCH(INDEX(합계표[사번키],$W610)&amp;"|"&amp;대상월키,월별근무지표[키],0))&amp;"",IF(COUNTIF(기관표[사번키],INDEX(합계표[사번키],$W610))+COUNTIF(월별근무지표[사번키],INDEX(합계표[사번키],$W610))&gt;0,IFERROR(INDEX(기관표[급여지급병원(기준월)],MATCH(INDEX(합계표[사번키],$W610)&amp;"|"&amp;대상월키,기관표[키],0))&amp;"","—"),"—")))</f>
        <v/>
      </c>
      <c r="L610">
        <f>IF($W610="","",IF(NOT(COUNTIF(기관표[사번키],INDEX(합계표[사번키],$W610))+COUNTIF(월별근무지표[사번키],INDEX(합계표[사번키],$W610))&gt;0),"기관명단에 없음(다른 병원으로 발송)",IF($K610="—","대상월 기관명단 없음(추가 필요)",IF($K610="서울병원","해당","비해당"))))</f>
        <v/>
      </c>
      <c r="M610">
        <f>IF($W610="","",SUMIFS(상세표[06~07시],상세표[사번키],INDEX(합계표[사번키],$W610),상세표[반영월],대상월키,상세표[반영 기관],"서울병원"))</f>
        <v/>
      </c>
      <c r="N610">
        <f>IF($W610="","",SUMIFS(상세표[07~18시],상세표[사번키],INDEX(합계표[사번키],$W610),상세표[반영월],대상월키,상세표[반영 기관],"서울병원"))</f>
        <v/>
      </c>
      <c r="O610">
        <f>IF($W610="","",SUMIFS(상세표[18~22시],상세표[사번키],INDEX(합계표[사번키],$W610),상세표[반영월],대상월키,상세표[반영 기관],"서울병원"))</f>
        <v/>
      </c>
      <c r="P610">
        <f>IF($W610="","",SUMIFS(상세표[22~06시],상세표[사번키],INDEX(합계표[사번키],$W610),상세표[반영월],대상월키,상세표[반영 기관],"서울병원"))</f>
        <v/>
      </c>
      <c r="Q610">
        <f>IF($W610="","",SUM($M610:$P610))</f>
        <v/>
      </c>
      <c r="R610">
        <f>IF($W610="","",COUNTIFS(상세표[사번키],INDEX(합계표[사번키],$W610),상세표[반영월],대상월키,상세표[야간당직],1,상세표[야간 구분],"평일"))</f>
        <v/>
      </c>
      <c r="S610" s="4">
        <f>IF($W610="","",COUNTIFS(상세표[사번키],INDEX(합계표[사번키],$W610),상세표[반영월],대상월키,상세표[야간당직],1,상세표[야간 구분],"휴일"))</f>
        <v/>
      </c>
      <c r="T610">
        <f>IF($W610="","",COUNTIFS(상세표[사번키],INDEX(합계표[사번키],$W610),상세표[반영월],대상월키,상세표[야간당직],1,상세표[야간 구분],"평일",상세표[반영 기관],"서울병원"))</f>
        <v/>
      </c>
      <c r="U610">
        <f>IF($W610="","",COUNTIFS(상세표[사번키],INDEX(합계표[사번키],$W610),상세표[반영월],대상월키,상세표[야간당직],1,상세표[야간 구분],"휴일",상세표[반영 기관],"서울병원"))</f>
        <v/>
      </c>
      <c r="V610">
        <f>IF($W610="","",IF(ISNUMBER(MATCH(INDEX(합계표[사번키],$W610)&amp;"|"&amp;대상월키,월별근무지표[키],0)),"직접 입력",IF($K610="—","—","기관명단")))</f>
        <v/>
      </c>
      <c r="W610">
        <f>IFERROR(MATCH(605,합계표[판정순번],0),"")</f>
        <v/>
      </c>
    </row>
    <row r="611">
      <c r="A611">
        <f>IF($W611="","",INDEX(합계표[사번],$W611)&amp;"")</f>
        <v/>
      </c>
      <c r="B611">
        <f>IF($W611="","",INDEX(합계표[성명],$W611)&amp;"")</f>
        <v/>
      </c>
      <c r="C611">
        <f>IF($W611="","",INDEX(합계표[부서],$W611)&amp;"")</f>
        <v/>
      </c>
      <c r="D611">
        <f>IF($W611="","",INDEX(합계표[직위(통합)],$W611)&amp;"")</f>
        <v/>
      </c>
      <c r="E611">
        <f>IF($W611="","",SUMIFS(합계표[시스템 합계],합계표[사번키],INDEX(합계표[사번키],$W611)))</f>
        <v/>
      </c>
      <c r="F611">
        <f>IF($W611="","",SUMIFS(상세표[기록 시간외],상세표[사번키],INDEX(합계표[사번키],$W611),상세표[기록월],대상월키))</f>
        <v/>
      </c>
      <c r="G611">
        <f>IF($W611="","",IF(ABS($E611-$F611)&lt;0.01,"일치","불일치(차이 "&amp;TEXT($F611-$E611,"0.00")&amp;")"))</f>
        <v/>
      </c>
      <c r="H611">
        <f>IF($W611="","",SUMIFS(상세표[기록 시간외],상세표[사번키],INDEX(합계표[사번키],$W611),상세표[기록월],대상월키,상세표[반영월],"&lt;&gt;"&amp;대상월키))</f>
        <v/>
      </c>
      <c r="I611">
        <f>IF($W611="","",SUMIFS(상세표[기록 시간외],상세표[사번키],INDEX(합계표[사번키],$W611),상세표[기록월],"&lt;&gt;"&amp;대상월키,상세표[반영월],대상월키))</f>
        <v/>
      </c>
      <c r="J611">
        <f>IF($W611="","",SUMIFS(상세표[기록 시간외],상세표[사번키],INDEX(합계표[사번키],$W611),상세표[반영월],대상월키))</f>
        <v/>
      </c>
      <c r="K611">
        <f>IF($W611="","",IFERROR(INDEX(월별근무지표[적용 급여병원],MATCH(INDEX(합계표[사번키],$W611)&amp;"|"&amp;대상월키,월별근무지표[키],0))&amp;"",IF(COUNTIF(기관표[사번키],INDEX(합계표[사번키],$W611))+COUNTIF(월별근무지표[사번키],INDEX(합계표[사번키],$W611))&gt;0,IFERROR(INDEX(기관표[급여지급병원(기준월)],MATCH(INDEX(합계표[사번키],$W611)&amp;"|"&amp;대상월키,기관표[키],0))&amp;"","—"),"—")))</f>
        <v/>
      </c>
      <c r="L611">
        <f>IF($W611="","",IF(NOT(COUNTIF(기관표[사번키],INDEX(합계표[사번키],$W611))+COUNTIF(월별근무지표[사번키],INDEX(합계표[사번키],$W611))&gt;0),"기관명단에 없음(다른 병원으로 발송)",IF($K611="—","대상월 기관명단 없음(추가 필요)",IF($K611="서울병원","해당","비해당"))))</f>
        <v/>
      </c>
      <c r="M611">
        <f>IF($W611="","",SUMIFS(상세표[06~07시],상세표[사번키],INDEX(합계표[사번키],$W611),상세표[반영월],대상월키,상세표[반영 기관],"서울병원"))</f>
        <v/>
      </c>
      <c r="N611">
        <f>IF($W611="","",SUMIFS(상세표[07~18시],상세표[사번키],INDEX(합계표[사번키],$W611),상세표[반영월],대상월키,상세표[반영 기관],"서울병원"))</f>
        <v/>
      </c>
      <c r="O611">
        <f>IF($W611="","",SUMIFS(상세표[18~22시],상세표[사번키],INDEX(합계표[사번키],$W611),상세표[반영월],대상월키,상세표[반영 기관],"서울병원"))</f>
        <v/>
      </c>
      <c r="P611">
        <f>IF($W611="","",SUMIFS(상세표[22~06시],상세표[사번키],INDEX(합계표[사번키],$W611),상세표[반영월],대상월키,상세표[반영 기관],"서울병원"))</f>
        <v/>
      </c>
      <c r="Q611">
        <f>IF($W611="","",SUM($M611:$P611))</f>
        <v/>
      </c>
      <c r="R611">
        <f>IF($W611="","",COUNTIFS(상세표[사번키],INDEX(합계표[사번키],$W611),상세표[반영월],대상월키,상세표[야간당직],1,상세표[야간 구분],"평일"))</f>
        <v/>
      </c>
      <c r="S611" s="4">
        <f>IF($W611="","",COUNTIFS(상세표[사번키],INDEX(합계표[사번키],$W611),상세표[반영월],대상월키,상세표[야간당직],1,상세표[야간 구분],"휴일"))</f>
        <v/>
      </c>
      <c r="T611">
        <f>IF($W611="","",COUNTIFS(상세표[사번키],INDEX(합계표[사번키],$W611),상세표[반영월],대상월키,상세표[야간당직],1,상세표[야간 구분],"평일",상세표[반영 기관],"서울병원"))</f>
        <v/>
      </c>
      <c r="U611">
        <f>IF($W611="","",COUNTIFS(상세표[사번키],INDEX(합계표[사번키],$W611),상세표[반영월],대상월키,상세표[야간당직],1,상세표[야간 구분],"휴일",상세표[반영 기관],"서울병원"))</f>
        <v/>
      </c>
      <c r="V611">
        <f>IF($W611="","",IF(ISNUMBER(MATCH(INDEX(합계표[사번키],$W611)&amp;"|"&amp;대상월키,월별근무지표[키],0)),"직접 입력",IF($K611="—","—","기관명단")))</f>
        <v/>
      </c>
      <c r="W611">
        <f>IFERROR(MATCH(606,합계표[판정순번],0),"")</f>
        <v/>
      </c>
    </row>
    <row r="612">
      <c r="A612">
        <f>IF($W612="","",INDEX(합계표[사번],$W612)&amp;"")</f>
        <v/>
      </c>
      <c r="B612">
        <f>IF($W612="","",INDEX(합계표[성명],$W612)&amp;"")</f>
        <v/>
      </c>
      <c r="C612">
        <f>IF($W612="","",INDEX(합계표[부서],$W612)&amp;"")</f>
        <v/>
      </c>
      <c r="D612">
        <f>IF($W612="","",INDEX(합계표[직위(통합)],$W612)&amp;"")</f>
        <v/>
      </c>
      <c r="E612">
        <f>IF($W612="","",SUMIFS(합계표[시스템 합계],합계표[사번키],INDEX(합계표[사번키],$W612)))</f>
        <v/>
      </c>
      <c r="F612">
        <f>IF($W612="","",SUMIFS(상세표[기록 시간외],상세표[사번키],INDEX(합계표[사번키],$W612),상세표[기록월],대상월키))</f>
        <v/>
      </c>
      <c r="G612">
        <f>IF($W612="","",IF(ABS($E612-$F612)&lt;0.01,"일치","불일치(차이 "&amp;TEXT($F612-$E612,"0.00")&amp;")"))</f>
        <v/>
      </c>
      <c r="H612">
        <f>IF($W612="","",SUMIFS(상세표[기록 시간외],상세표[사번키],INDEX(합계표[사번키],$W612),상세표[기록월],대상월키,상세표[반영월],"&lt;&gt;"&amp;대상월키))</f>
        <v/>
      </c>
      <c r="I612">
        <f>IF($W612="","",SUMIFS(상세표[기록 시간외],상세표[사번키],INDEX(합계표[사번키],$W612),상세표[기록월],"&lt;&gt;"&amp;대상월키,상세표[반영월],대상월키))</f>
        <v/>
      </c>
      <c r="J612">
        <f>IF($W612="","",SUMIFS(상세표[기록 시간외],상세표[사번키],INDEX(합계표[사번키],$W612),상세표[반영월],대상월키))</f>
        <v/>
      </c>
      <c r="K612">
        <f>IF($W612="","",IFERROR(INDEX(월별근무지표[적용 급여병원],MATCH(INDEX(합계표[사번키],$W612)&amp;"|"&amp;대상월키,월별근무지표[키],0))&amp;"",IF(COUNTIF(기관표[사번키],INDEX(합계표[사번키],$W612))+COUNTIF(월별근무지표[사번키],INDEX(합계표[사번키],$W612))&gt;0,IFERROR(INDEX(기관표[급여지급병원(기준월)],MATCH(INDEX(합계표[사번키],$W612)&amp;"|"&amp;대상월키,기관표[키],0))&amp;"","—"),"—")))</f>
        <v/>
      </c>
      <c r="L612">
        <f>IF($W612="","",IF(NOT(COUNTIF(기관표[사번키],INDEX(합계표[사번키],$W612))+COUNTIF(월별근무지표[사번키],INDEX(합계표[사번키],$W612))&gt;0),"기관명단에 없음(다른 병원으로 발송)",IF($K612="—","대상월 기관명단 없음(추가 필요)",IF($K612="서울병원","해당","비해당"))))</f>
        <v/>
      </c>
      <c r="M612">
        <f>IF($W612="","",SUMIFS(상세표[06~07시],상세표[사번키],INDEX(합계표[사번키],$W612),상세표[반영월],대상월키,상세표[반영 기관],"서울병원"))</f>
        <v/>
      </c>
      <c r="N612">
        <f>IF($W612="","",SUMIFS(상세표[07~18시],상세표[사번키],INDEX(합계표[사번키],$W612),상세표[반영월],대상월키,상세표[반영 기관],"서울병원"))</f>
        <v/>
      </c>
      <c r="O612">
        <f>IF($W612="","",SUMIFS(상세표[18~22시],상세표[사번키],INDEX(합계표[사번키],$W612),상세표[반영월],대상월키,상세표[반영 기관],"서울병원"))</f>
        <v/>
      </c>
      <c r="P612">
        <f>IF($W612="","",SUMIFS(상세표[22~06시],상세표[사번키],INDEX(합계표[사번키],$W612),상세표[반영월],대상월키,상세표[반영 기관],"서울병원"))</f>
        <v/>
      </c>
      <c r="Q612">
        <f>IF($W612="","",SUM($M612:$P612))</f>
        <v/>
      </c>
      <c r="R612">
        <f>IF($W612="","",COUNTIFS(상세표[사번키],INDEX(합계표[사번키],$W612),상세표[반영월],대상월키,상세표[야간당직],1,상세표[야간 구분],"평일"))</f>
        <v/>
      </c>
      <c r="S612" s="4">
        <f>IF($W612="","",COUNTIFS(상세표[사번키],INDEX(합계표[사번키],$W612),상세표[반영월],대상월키,상세표[야간당직],1,상세표[야간 구분],"휴일"))</f>
        <v/>
      </c>
      <c r="T612">
        <f>IF($W612="","",COUNTIFS(상세표[사번키],INDEX(합계표[사번키],$W612),상세표[반영월],대상월키,상세표[야간당직],1,상세표[야간 구분],"평일",상세표[반영 기관],"서울병원"))</f>
        <v/>
      </c>
      <c r="U612">
        <f>IF($W612="","",COUNTIFS(상세표[사번키],INDEX(합계표[사번키],$W612),상세표[반영월],대상월키,상세표[야간당직],1,상세표[야간 구분],"휴일",상세표[반영 기관],"서울병원"))</f>
        <v/>
      </c>
      <c r="V612">
        <f>IF($W612="","",IF(ISNUMBER(MATCH(INDEX(합계표[사번키],$W612)&amp;"|"&amp;대상월키,월별근무지표[키],0)),"직접 입력",IF($K612="—","—","기관명단")))</f>
        <v/>
      </c>
      <c r="W612">
        <f>IFERROR(MATCH(607,합계표[판정순번],0),"")</f>
        <v/>
      </c>
    </row>
    <row r="613">
      <c r="A613">
        <f>IF($W613="","",INDEX(합계표[사번],$W613)&amp;"")</f>
        <v/>
      </c>
      <c r="B613">
        <f>IF($W613="","",INDEX(합계표[성명],$W613)&amp;"")</f>
        <v/>
      </c>
      <c r="C613">
        <f>IF($W613="","",INDEX(합계표[부서],$W613)&amp;"")</f>
        <v/>
      </c>
      <c r="D613">
        <f>IF($W613="","",INDEX(합계표[직위(통합)],$W613)&amp;"")</f>
        <v/>
      </c>
      <c r="E613">
        <f>IF($W613="","",SUMIFS(합계표[시스템 합계],합계표[사번키],INDEX(합계표[사번키],$W613)))</f>
        <v/>
      </c>
      <c r="F613">
        <f>IF($W613="","",SUMIFS(상세표[기록 시간외],상세표[사번키],INDEX(합계표[사번키],$W613),상세표[기록월],대상월키))</f>
        <v/>
      </c>
      <c r="G613">
        <f>IF($W613="","",IF(ABS($E613-$F613)&lt;0.01,"일치","불일치(차이 "&amp;TEXT($F613-$E613,"0.00")&amp;")"))</f>
        <v/>
      </c>
      <c r="H613">
        <f>IF($W613="","",SUMIFS(상세표[기록 시간외],상세표[사번키],INDEX(합계표[사번키],$W613),상세표[기록월],대상월키,상세표[반영월],"&lt;&gt;"&amp;대상월키))</f>
        <v/>
      </c>
      <c r="I613">
        <f>IF($W613="","",SUMIFS(상세표[기록 시간외],상세표[사번키],INDEX(합계표[사번키],$W613),상세표[기록월],"&lt;&gt;"&amp;대상월키,상세표[반영월],대상월키))</f>
        <v/>
      </c>
      <c r="J613">
        <f>IF($W613="","",SUMIFS(상세표[기록 시간외],상세표[사번키],INDEX(합계표[사번키],$W613),상세표[반영월],대상월키))</f>
        <v/>
      </c>
      <c r="K613">
        <f>IF($W613="","",IFERROR(INDEX(월별근무지표[적용 급여병원],MATCH(INDEX(합계표[사번키],$W613)&amp;"|"&amp;대상월키,월별근무지표[키],0))&amp;"",IF(COUNTIF(기관표[사번키],INDEX(합계표[사번키],$W613))+COUNTIF(월별근무지표[사번키],INDEX(합계표[사번키],$W613))&gt;0,IFERROR(INDEX(기관표[급여지급병원(기준월)],MATCH(INDEX(합계표[사번키],$W613)&amp;"|"&amp;대상월키,기관표[키],0))&amp;"","—"),"—")))</f>
        <v/>
      </c>
      <c r="L613">
        <f>IF($W613="","",IF(NOT(COUNTIF(기관표[사번키],INDEX(합계표[사번키],$W613))+COUNTIF(월별근무지표[사번키],INDEX(합계표[사번키],$W613))&gt;0),"기관명단에 없음(다른 병원으로 발송)",IF($K613="—","대상월 기관명단 없음(추가 필요)",IF($K613="서울병원","해당","비해당"))))</f>
        <v/>
      </c>
      <c r="M613">
        <f>IF($W613="","",SUMIFS(상세표[06~07시],상세표[사번키],INDEX(합계표[사번키],$W613),상세표[반영월],대상월키,상세표[반영 기관],"서울병원"))</f>
        <v/>
      </c>
      <c r="N613">
        <f>IF($W613="","",SUMIFS(상세표[07~18시],상세표[사번키],INDEX(합계표[사번키],$W613),상세표[반영월],대상월키,상세표[반영 기관],"서울병원"))</f>
        <v/>
      </c>
      <c r="O613">
        <f>IF($W613="","",SUMIFS(상세표[18~22시],상세표[사번키],INDEX(합계표[사번키],$W613),상세표[반영월],대상월키,상세표[반영 기관],"서울병원"))</f>
        <v/>
      </c>
      <c r="P613">
        <f>IF($W613="","",SUMIFS(상세표[22~06시],상세표[사번키],INDEX(합계표[사번키],$W613),상세표[반영월],대상월키,상세표[반영 기관],"서울병원"))</f>
        <v/>
      </c>
      <c r="Q613">
        <f>IF($W613="","",SUM($M613:$P613))</f>
        <v/>
      </c>
      <c r="R613">
        <f>IF($W613="","",COUNTIFS(상세표[사번키],INDEX(합계표[사번키],$W613),상세표[반영월],대상월키,상세표[야간당직],1,상세표[야간 구분],"평일"))</f>
        <v/>
      </c>
      <c r="S613" s="4">
        <f>IF($W613="","",COUNTIFS(상세표[사번키],INDEX(합계표[사번키],$W613),상세표[반영월],대상월키,상세표[야간당직],1,상세표[야간 구분],"휴일"))</f>
        <v/>
      </c>
      <c r="T613">
        <f>IF($W613="","",COUNTIFS(상세표[사번키],INDEX(합계표[사번키],$W613),상세표[반영월],대상월키,상세표[야간당직],1,상세표[야간 구분],"평일",상세표[반영 기관],"서울병원"))</f>
        <v/>
      </c>
      <c r="U613">
        <f>IF($W613="","",COUNTIFS(상세표[사번키],INDEX(합계표[사번키],$W613),상세표[반영월],대상월키,상세표[야간당직],1,상세표[야간 구분],"휴일",상세표[반영 기관],"서울병원"))</f>
        <v/>
      </c>
      <c r="V613">
        <f>IF($W613="","",IF(ISNUMBER(MATCH(INDEX(합계표[사번키],$W613)&amp;"|"&amp;대상월키,월별근무지표[키],0)),"직접 입력",IF($K613="—","—","기관명단")))</f>
        <v/>
      </c>
      <c r="W613">
        <f>IFERROR(MATCH(608,합계표[판정순번],0),"")</f>
        <v/>
      </c>
    </row>
    <row r="614">
      <c r="A614">
        <f>IF($W614="","",INDEX(합계표[사번],$W614)&amp;"")</f>
        <v/>
      </c>
      <c r="B614">
        <f>IF($W614="","",INDEX(합계표[성명],$W614)&amp;"")</f>
        <v/>
      </c>
      <c r="C614">
        <f>IF($W614="","",INDEX(합계표[부서],$W614)&amp;"")</f>
        <v/>
      </c>
      <c r="D614">
        <f>IF($W614="","",INDEX(합계표[직위(통합)],$W614)&amp;"")</f>
        <v/>
      </c>
      <c r="E614">
        <f>IF($W614="","",SUMIFS(합계표[시스템 합계],합계표[사번키],INDEX(합계표[사번키],$W614)))</f>
        <v/>
      </c>
      <c r="F614">
        <f>IF($W614="","",SUMIFS(상세표[기록 시간외],상세표[사번키],INDEX(합계표[사번키],$W614),상세표[기록월],대상월키))</f>
        <v/>
      </c>
      <c r="G614">
        <f>IF($W614="","",IF(ABS($E614-$F614)&lt;0.01,"일치","불일치(차이 "&amp;TEXT($F614-$E614,"0.00")&amp;")"))</f>
        <v/>
      </c>
      <c r="H614">
        <f>IF($W614="","",SUMIFS(상세표[기록 시간외],상세표[사번키],INDEX(합계표[사번키],$W614),상세표[기록월],대상월키,상세표[반영월],"&lt;&gt;"&amp;대상월키))</f>
        <v/>
      </c>
      <c r="I614">
        <f>IF($W614="","",SUMIFS(상세표[기록 시간외],상세표[사번키],INDEX(합계표[사번키],$W614),상세표[기록월],"&lt;&gt;"&amp;대상월키,상세표[반영월],대상월키))</f>
        <v/>
      </c>
      <c r="J614">
        <f>IF($W614="","",SUMIFS(상세표[기록 시간외],상세표[사번키],INDEX(합계표[사번키],$W614),상세표[반영월],대상월키))</f>
        <v/>
      </c>
      <c r="K614">
        <f>IF($W614="","",IFERROR(INDEX(월별근무지표[적용 급여병원],MATCH(INDEX(합계표[사번키],$W614)&amp;"|"&amp;대상월키,월별근무지표[키],0))&amp;"",IF(COUNTIF(기관표[사번키],INDEX(합계표[사번키],$W614))+COUNTIF(월별근무지표[사번키],INDEX(합계표[사번키],$W614))&gt;0,IFERROR(INDEX(기관표[급여지급병원(기준월)],MATCH(INDEX(합계표[사번키],$W614)&amp;"|"&amp;대상월키,기관표[키],0))&amp;"","—"),"—")))</f>
        <v/>
      </c>
      <c r="L614">
        <f>IF($W614="","",IF(NOT(COUNTIF(기관표[사번키],INDEX(합계표[사번키],$W614))+COUNTIF(월별근무지표[사번키],INDEX(합계표[사번키],$W614))&gt;0),"기관명단에 없음(다른 병원으로 발송)",IF($K614="—","대상월 기관명단 없음(추가 필요)",IF($K614="서울병원","해당","비해당"))))</f>
        <v/>
      </c>
      <c r="M614">
        <f>IF($W614="","",SUMIFS(상세표[06~07시],상세표[사번키],INDEX(합계표[사번키],$W614),상세표[반영월],대상월키,상세표[반영 기관],"서울병원"))</f>
        <v/>
      </c>
      <c r="N614">
        <f>IF($W614="","",SUMIFS(상세표[07~18시],상세표[사번키],INDEX(합계표[사번키],$W614),상세표[반영월],대상월키,상세표[반영 기관],"서울병원"))</f>
        <v/>
      </c>
      <c r="O614">
        <f>IF($W614="","",SUMIFS(상세표[18~22시],상세표[사번키],INDEX(합계표[사번키],$W614),상세표[반영월],대상월키,상세표[반영 기관],"서울병원"))</f>
        <v/>
      </c>
      <c r="P614">
        <f>IF($W614="","",SUMIFS(상세표[22~06시],상세표[사번키],INDEX(합계표[사번키],$W614),상세표[반영월],대상월키,상세표[반영 기관],"서울병원"))</f>
        <v/>
      </c>
      <c r="Q614">
        <f>IF($W614="","",SUM($M614:$P614))</f>
        <v/>
      </c>
      <c r="R614">
        <f>IF($W614="","",COUNTIFS(상세표[사번키],INDEX(합계표[사번키],$W614),상세표[반영월],대상월키,상세표[야간당직],1,상세표[야간 구분],"평일"))</f>
        <v/>
      </c>
      <c r="S614" s="4">
        <f>IF($W614="","",COUNTIFS(상세표[사번키],INDEX(합계표[사번키],$W614),상세표[반영월],대상월키,상세표[야간당직],1,상세표[야간 구분],"휴일"))</f>
        <v/>
      </c>
      <c r="T614">
        <f>IF($W614="","",COUNTIFS(상세표[사번키],INDEX(합계표[사번키],$W614),상세표[반영월],대상월키,상세표[야간당직],1,상세표[야간 구분],"평일",상세표[반영 기관],"서울병원"))</f>
        <v/>
      </c>
      <c r="U614">
        <f>IF($W614="","",COUNTIFS(상세표[사번키],INDEX(합계표[사번키],$W614),상세표[반영월],대상월키,상세표[야간당직],1,상세표[야간 구분],"휴일",상세표[반영 기관],"서울병원"))</f>
        <v/>
      </c>
      <c r="V614">
        <f>IF($W614="","",IF(ISNUMBER(MATCH(INDEX(합계표[사번키],$W614)&amp;"|"&amp;대상월키,월별근무지표[키],0)),"직접 입력",IF($K614="—","—","기관명단")))</f>
        <v/>
      </c>
      <c r="W614">
        <f>IFERROR(MATCH(609,합계표[판정순번],0),"")</f>
        <v/>
      </c>
    </row>
    <row r="615">
      <c r="A615">
        <f>IF($W615="","",INDEX(합계표[사번],$W615)&amp;"")</f>
        <v/>
      </c>
      <c r="B615">
        <f>IF($W615="","",INDEX(합계표[성명],$W615)&amp;"")</f>
        <v/>
      </c>
      <c r="C615">
        <f>IF($W615="","",INDEX(합계표[부서],$W615)&amp;"")</f>
        <v/>
      </c>
      <c r="D615">
        <f>IF($W615="","",INDEX(합계표[직위(통합)],$W615)&amp;"")</f>
        <v/>
      </c>
      <c r="E615">
        <f>IF($W615="","",SUMIFS(합계표[시스템 합계],합계표[사번키],INDEX(합계표[사번키],$W615)))</f>
        <v/>
      </c>
      <c r="F615">
        <f>IF($W615="","",SUMIFS(상세표[기록 시간외],상세표[사번키],INDEX(합계표[사번키],$W615),상세표[기록월],대상월키))</f>
        <v/>
      </c>
      <c r="G615">
        <f>IF($W615="","",IF(ABS($E615-$F615)&lt;0.01,"일치","불일치(차이 "&amp;TEXT($F615-$E615,"0.00")&amp;")"))</f>
        <v/>
      </c>
      <c r="H615">
        <f>IF($W615="","",SUMIFS(상세표[기록 시간외],상세표[사번키],INDEX(합계표[사번키],$W615),상세표[기록월],대상월키,상세표[반영월],"&lt;&gt;"&amp;대상월키))</f>
        <v/>
      </c>
      <c r="I615">
        <f>IF($W615="","",SUMIFS(상세표[기록 시간외],상세표[사번키],INDEX(합계표[사번키],$W615),상세표[기록월],"&lt;&gt;"&amp;대상월키,상세표[반영월],대상월키))</f>
        <v/>
      </c>
      <c r="J615">
        <f>IF($W615="","",SUMIFS(상세표[기록 시간외],상세표[사번키],INDEX(합계표[사번키],$W615),상세표[반영월],대상월키))</f>
        <v/>
      </c>
      <c r="K615">
        <f>IF($W615="","",IFERROR(INDEX(월별근무지표[적용 급여병원],MATCH(INDEX(합계표[사번키],$W615)&amp;"|"&amp;대상월키,월별근무지표[키],0))&amp;"",IF(COUNTIF(기관표[사번키],INDEX(합계표[사번키],$W615))+COUNTIF(월별근무지표[사번키],INDEX(합계표[사번키],$W615))&gt;0,IFERROR(INDEX(기관표[급여지급병원(기준월)],MATCH(INDEX(합계표[사번키],$W615)&amp;"|"&amp;대상월키,기관표[키],0))&amp;"","—"),"—")))</f>
        <v/>
      </c>
      <c r="L615">
        <f>IF($W615="","",IF(NOT(COUNTIF(기관표[사번키],INDEX(합계표[사번키],$W615))+COUNTIF(월별근무지표[사번키],INDEX(합계표[사번키],$W615))&gt;0),"기관명단에 없음(다른 병원으로 발송)",IF($K615="—","대상월 기관명단 없음(추가 필요)",IF($K615="서울병원","해당","비해당"))))</f>
        <v/>
      </c>
      <c r="M615">
        <f>IF($W615="","",SUMIFS(상세표[06~07시],상세표[사번키],INDEX(합계표[사번키],$W615),상세표[반영월],대상월키,상세표[반영 기관],"서울병원"))</f>
        <v/>
      </c>
      <c r="N615">
        <f>IF($W615="","",SUMIFS(상세표[07~18시],상세표[사번키],INDEX(합계표[사번키],$W615),상세표[반영월],대상월키,상세표[반영 기관],"서울병원"))</f>
        <v/>
      </c>
      <c r="O615">
        <f>IF($W615="","",SUMIFS(상세표[18~22시],상세표[사번키],INDEX(합계표[사번키],$W615),상세표[반영월],대상월키,상세표[반영 기관],"서울병원"))</f>
        <v/>
      </c>
      <c r="P615">
        <f>IF($W615="","",SUMIFS(상세표[22~06시],상세표[사번키],INDEX(합계표[사번키],$W615),상세표[반영월],대상월키,상세표[반영 기관],"서울병원"))</f>
        <v/>
      </c>
      <c r="Q615">
        <f>IF($W615="","",SUM($M615:$P615))</f>
        <v/>
      </c>
      <c r="R615">
        <f>IF($W615="","",COUNTIFS(상세표[사번키],INDEX(합계표[사번키],$W615),상세표[반영월],대상월키,상세표[야간당직],1,상세표[야간 구분],"평일"))</f>
        <v/>
      </c>
      <c r="S615" s="4">
        <f>IF($W615="","",COUNTIFS(상세표[사번키],INDEX(합계표[사번키],$W615),상세표[반영월],대상월키,상세표[야간당직],1,상세표[야간 구분],"휴일"))</f>
        <v/>
      </c>
      <c r="T615">
        <f>IF($W615="","",COUNTIFS(상세표[사번키],INDEX(합계표[사번키],$W615),상세표[반영월],대상월키,상세표[야간당직],1,상세표[야간 구분],"평일",상세표[반영 기관],"서울병원"))</f>
        <v/>
      </c>
      <c r="U615">
        <f>IF($W615="","",COUNTIFS(상세표[사번키],INDEX(합계표[사번키],$W615),상세표[반영월],대상월키,상세표[야간당직],1,상세표[야간 구분],"휴일",상세표[반영 기관],"서울병원"))</f>
        <v/>
      </c>
      <c r="V615">
        <f>IF($W615="","",IF(ISNUMBER(MATCH(INDEX(합계표[사번키],$W615)&amp;"|"&amp;대상월키,월별근무지표[키],0)),"직접 입력",IF($K615="—","—","기관명단")))</f>
        <v/>
      </c>
      <c r="W615">
        <f>IFERROR(MATCH(610,합계표[판정순번],0),"")</f>
        <v/>
      </c>
    </row>
    <row r="616">
      <c r="A616">
        <f>IF($W616="","",INDEX(합계표[사번],$W616)&amp;"")</f>
        <v/>
      </c>
      <c r="B616">
        <f>IF($W616="","",INDEX(합계표[성명],$W616)&amp;"")</f>
        <v/>
      </c>
      <c r="C616">
        <f>IF($W616="","",INDEX(합계표[부서],$W616)&amp;"")</f>
        <v/>
      </c>
      <c r="D616">
        <f>IF($W616="","",INDEX(합계표[직위(통합)],$W616)&amp;"")</f>
        <v/>
      </c>
      <c r="E616">
        <f>IF($W616="","",SUMIFS(합계표[시스템 합계],합계표[사번키],INDEX(합계표[사번키],$W616)))</f>
        <v/>
      </c>
      <c r="F616">
        <f>IF($W616="","",SUMIFS(상세표[기록 시간외],상세표[사번키],INDEX(합계표[사번키],$W616),상세표[기록월],대상월키))</f>
        <v/>
      </c>
      <c r="G616">
        <f>IF($W616="","",IF(ABS($E616-$F616)&lt;0.01,"일치","불일치(차이 "&amp;TEXT($F616-$E616,"0.00")&amp;")"))</f>
        <v/>
      </c>
      <c r="H616">
        <f>IF($W616="","",SUMIFS(상세표[기록 시간외],상세표[사번키],INDEX(합계표[사번키],$W616),상세표[기록월],대상월키,상세표[반영월],"&lt;&gt;"&amp;대상월키))</f>
        <v/>
      </c>
      <c r="I616">
        <f>IF($W616="","",SUMIFS(상세표[기록 시간외],상세표[사번키],INDEX(합계표[사번키],$W616),상세표[기록월],"&lt;&gt;"&amp;대상월키,상세표[반영월],대상월키))</f>
        <v/>
      </c>
      <c r="J616">
        <f>IF($W616="","",SUMIFS(상세표[기록 시간외],상세표[사번키],INDEX(합계표[사번키],$W616),상세표[반영월],대상월키))</f>
        <v/>
      </c>
      <c r="K616">
        <f>IF($W616="","",IFERROR(INDEX(월별근무지표[적용 급여병원],MATCH(INDEX(합계표[사번키],$W616)&amp;"|"&amp;대상월키,월별근무지표[키],0))&amp;"",IF(COUNTIF(기관표[사번키],INDEX(합계표[사번키],$W616))+COUNTIF(월별근무지표[사번키],INDEX(합계표[사번키],$W616))&gt;0,IFERROR(INDEX(기관표[급여지급병원(기준월)],MATCH(INDEX(합계표[사번키],$W616)&amp;"|"&amp;대상월키,기관표[키],0))&amp;"","—"),"—")))</f>
        <v/>
      </c>
      <c r="L616">
        <f>IF($W616="","",IF(NOT(COUNTIF(기관표[사번키],INDEX(합계표[사번키],$W616))+COUNTIF(월별근무지표[사번키],INDEX(합계표[사번키],$W616))&gt;0),"기관명단에 없음(다른 병원으로 발송)",IF($K616="—","대상월 기관명단 없음(추가 필요)",IF($K616="서울병원","해당","비해당"))))</f>
        <v/>
      </c>
      <c r="M616">
        <f>IF($W616="","",SUMIFS(상세표[06~07시],상세표[사번키],INDEX(합계표[사번키],$W616),상세표[반영월],대상월키,상세표[반영 기관],"서울병원"))</f>
        <v/>
      </c>
      <c r="N616">
        <f>IF($W616="","",SUMIFS(상세표[07~18시],상세표[사번키],INDEX(합계표[사번키],$W616),상세표[반영월],대상월키,상세표[반영 기관],"서울병원"))</f>
        <v/>
      </c>
      <c r="O616">
        <f>IF($W616="","",SUMIFS(상세표[18~22시],상세표[사번키],INDEX(합계표[사번키],$W616),상세표[반영월],대상월키,상세표[반영 기관],"서울병원"))</f>
        <v/>
      </c>
      <c r="P616">
        <f>IF($W616="","",SUMIFS(상세표[22~06시],상세표[사번키],INDEX(합계표[사번키],$W616),상세표[반영월],대상월키,상세표[반영 기관],"서울병원"))</f>
        <v/>
      </c>
      <c r="Q616">
        <f>IF($W616="","",SUM($M616:$P616))</f>
        <v/>
      </c>
      <c r="R616">
        <f>IF($W616="","",COUNTIFS(상세표[사번키],INDEX(합계표[사번키],$W616),상세표[반영월],대상월키,상세표[야간당직],1,상세표[야간 구분],"평일"))</f>
        <v/>
      </c>
      <c r="S616" s="4">
        <f>IF($W616="","",COUNTIFS(상세표[사번키],INDEX(합계표[사번키],$W616),상세표[반영월],대상월키,상세표[야간당직],1,상세표[야간 구분],"휴일"))</f>
        <v/>
      </c>
      <c r="T616">
        <f>IF($W616="","",COUNTIFS(상세표[사번키],INDEX(합계표[사번키],$W616),상세표[반영월],대상월키,상세표[야간당직],1,상세표[야간 구분],"평일",상세표[반영 기관],"서울병원"))</f>
        <v/>
      </c>
      <c r="U616">
        <f>IF($W616="","",COUNTIFS(상세표[사번키],INDEX(합계표[사번키],$W616),상세표[반영월],대상월키,상세표[야간당직],1,상세표[야간 구분],"휴일",상세표[반영 기관],"서울병원"))</f>
        <v/>
      </c>
      <c r="V616">
        <f>IF($W616="","",IF(ISNUMBER(MATCH(INDEX(합계표[사번키],$W616)&amp;"|"&amp;대상월키,월별근무지표[키],0)),"직접 입력",IF($K616="—","—","기관명단")))</f>
        <v/>
      </c>
      <c r="W616">
        <f>IFERROR(MATCH(611,합계표[판정순번],0),"")</f>
        <v/>
      </c>
    </row>
    <row r="617">
      <c r="A617">
        <f>IF($W617="","",INDEX(합계표[사번],$W617)&amp;"")</f>
        <v/>
      </c>
      <c r="B617">
        <f>IF($W617="","",INDEX(합계표[성명],$W617)&amp;"")</f>
        <v/>
      </c>
      <c r="C617">
        <f>IF($W617="","",INDEX(합계표[부서],$W617)&amp;"")</f>
        <v/>
      </c>
      <c r="D617">
        <f>IF($W617="","",INDEX(합계표[직위(통합)],$W617)&amp;"")</f>
        <v/>
      </c>
      <c r="E617">
        <f>IF($W617="","",SUMIFS(합계표[시스템 합계],합계표[사번키],INDEX(합계표[사번키],$W617)))</f>
        <v/>
      </c>
      <c r="F617">
        <f>IF($W617="","",SUMIFS(상세표[기록 시간외],상세표[사번키],INDEX(합계표[사번키],$W617),상세표[기록월],대상월키))</f>
        <v/>
      </c>
      <c r="G617">
        <f>IF($W617="","",IF(ABS($E617-$F617)&lt;0.01,"일치","불일치(차이 "&amp;TEXT($F617-$E617,"0.00")&amp;")"))</f>
        <v/>
      </c>
      <c r="H617">
        <f>IF($W617="","",SUMIFS(상세표[기록 시간외],상세표[사번키],INDEX(합계표[사번키],$W617),상세표[기록월],대상월키,상세표[반영월],"&lt;&gt;"&amp;대상월키))</f>
        <v/>
      </c>
      <c r="I617">
        <f>IF($W617="","",SUMIFS(상세표[기록 시간외],상세표[사번키],INDEX(합계표[사번키],$W617),상세표[기록월],"&lt;&gt;"&amp;대상월키,상세표[반영월],대상월키))</f>
        <v/>
      </c>
      <c r="J617">
        <f>IF($W617="","",SUMIFS(상세표[기록 시간외],상세표[사번키],INDEX(합계표[사번키],$W617),상세표[반영월],대상월키))</f>
        <v/>
      </c>
      <c r="K617">
        <f>IF($W617="","",IFERROR(INDEX(월별근무지표[적용 급여병원],MATCH(INDEX(합계표[사번키],$W617)&amp;"|"&amp;대상월키,월별근무지표[키],0))&amp;"",IF(COUNTIF(기관표[사번키],INDEX(합계표[사번키],$W617))+COUNTIF(월별근무지표[사번키],INDEX(합계표[사번키],$W617))&gt;0,IFERROR(INDEX(기관표[급여지급병원(기준월)],MATCH(INDEX(합계표[사번키],$W617)&amp;"|"&amp;대상월키,기관표[키],0))&amp;"","—"),"—")))</f>
        <v/>
      </c>
      <c r="L617">
        <f>IF($W617="","",IF(NOT(COUNTIF(기관표[사번키],INDEX(합계표[사번키],$W617))+COUNTIF(월별근무지표[사번키],INDEX(합계표[사번키],$W617))&gt;0),"기관명단에 없음(다른 병원으로 발송)",IF($K617="—","대상월 기관명단 없음(추가 필요)",IF($K617="서울병원","해당","비해당"))))</f>
        <v/>
      </c>
      <c r="M617">
        <f>IF($W617="","",SUMIFS(상세표[06~07시],상세표[사번키],INDEX(합계표[사번키],$W617),상세표[반영월],대상월키,상세표[반영 기관],"서울병원"))</f>
        <v/>
      </c>
      <c r="N617">
        <f>IF($W617="","",SUMIFS(상세표[07~18시],상세표[사번키],INDEX(합계표[사번키],$W617),상세표[반영월],대상월키,상세표[반영 기관],"서울병원"))</f>
        <v/>
      </c>
      <c r="O617">
        <f>IF($W617="","",SUMIFS(상세표[18~22시],상세표[사번키],INDEX(합계표[사번키],$W617),상세표[반영월],대상월키,상세표[반영 기관],"서울병원"))</f>
        <v/>
      </c>
      <c r="P617">
        <f>IF($W617="","",SUMIFS(상세표[22~06시],상세표[사번키],INDEX(합계표[사번키],$W617),상세표[반영월],대상월키,상세표[반영 기관],"서울병원"))</f>
        <v/>
      </c>
      <c r="Q617">
        <f>IF($W617="","",SUM($M617:$P617))</f>
        <v/>
      </c>
      <c r="R617">
        <f>IF($W617="","",COUNTIFS(상세표[사번키],INDEX(합계표[사번키],$W617),상세표[반영월],대상월키,상세표[야간당직],1,상세표[야간 구분],"평일"))</f>
        <v/>
      </c>
      <c r="S617" s="4">
        <f>IF($W617="","",COUNTIFS(상세표[사번키],INDEX(합계표[사번키],$W617),상세표[반영월],대상월키,상세표[야간당직],1,상세표[야간 구분],"휴일"))</f>
        <v/>
      </c>
      <c r="T617">
        <f>IF($W617="","",COUNTIFS(상세표[사번키],INDEX(합계표[사번키],$W617),상세표[반영월],대상월키,상세표[야간당직],1,상세표[야간 구분],"평일",상세표[반영 기관],"서울병원"))</f>
        <v/>
      </c>
      <c r="U617">
        <f>IF($W617="","",COUNTIFS(상세표[사번키],INDEX(합계표[사번키],$W617),상세표[반영월],대상월키,상세표[야간당직],1,상세표[야간 구분],"휴일",상세표[반영 기관],"서울병원"))</f>
        <v/>
      </c>
      <c r="V617">
        <f>IF($W617="","",IF(ISNUMBER(MATCH(INDEX(합계표[사번키],$W617)&amp;"|"&amp;대상월키,월별근무지표[키],0)),"직접 입력",IF($K617="—","—","기관명단")))</f>
        <v/>
      </c>
      <c r="W617">
        <f>IFERROR(MATCH(612,합계표[판정순번],0),"")</f>
        <v/>
      </c>
    </row>
    <row r="618">
      <c r="A618">
        <f>IF($W618="","",INDEX(합계표[사번],$W618)&amp;"")</f>
        <v/>
      </c>
      <c r="B618">
        <f>IF($W618="","",INDEX(합계표[성명],$W618)&amp;"")</f>
        <v/>
      </c>
      <c r="C618">
        <f>IF($W618="","",INDEX(합계표[부서],$W618)&amp;"")</f>
        <v/>
      </c>
      <c r="D618">
        <f>IF($W618="","",INDEX(합계표[직위(통합)],$W618)&amp;"")</f>
        <v/>
      </c>
      <c r="E618">
        <f>IF($W618="","",SUMIFS(합계표[시스템 합계],합계표[사번키],INDEX(합계표[사번키],$W618)))</f>
        <v/>
      </c>
      <c r="F618">
        <f>IF($W618="","",SUMIFS(상세표[기록 시간외],상세표[사번키],INDEX(합계표[사번키],$W618),상세표[기록월],대상월키))</f>
        <v/>
      </c>
      <c r="G618">
        <f>IF($W618="","",IF(ABS($E618-$F618)&lt;0.01,"일치","불일치(차이 "&amp;TEXT($F618-$E618,"0.00")&amp;")"))</f>
        <v/>
      </c>
      <c r="H618">
        <f>IF($W618="","",SUMIFS(상세표[기록 시간외],상세표[사번키],INDEX(합계표[사번키],$W618),상세표[기록월],대상월키,상세표[반영월],"&lt;&gt;"&amp;대상월키))</f>
        <v/>
      </c>
      <c r="I618">
        <f>IF($W618="","",SUMIFS(상세표[기록 시간외],상세표[사번키],INDEX(합계표[사번키],$W618),상세표[기록월],"&lt;&gt;"&amp;대상월키,상세표[반영월],대상월키))</f>
        <v/>
      </c>
      <c r="J618">
        <f>IF($W618="","",SUMIFS(상세표[기록 시간외],상세표[사번키],INDEX(합계표[사번키],$W618),상세표[반영월],대상월키))</f>
        <v/>
      </c>
      <c r="K618">
        <f>IF($W618="","",IFERROR(INDEX(월별근무지표[적용 급여병원],MATCH(INDEX(합계표[사번키],$W618)&amp;"|"&amp;대상월키,월별근무지표[키],0))&amp;"",IF(COUNTIF(기관표[사번키],INDEX(합계표[사번키],$W618))+COUNTIF(월별근무지표[사번키],INDEX(합계표[사번키],$W618))&gt;0,IFERROR(INDEX(기관표[급여지급병원(기준월)],MATCH(INDEX(합계표[사번키],$W618)&amp;"|"&amp;대상월키,기관표[키],0))&amp;"","—"),"—")))</f>
        <v/>
      </c>
      <c r="L618">
        <f>IF($W618="","",IF(NOT(COUNTIF(기관표[사번키],INDEX(합계표[사번키],$W618))+COUNTIF(월별근무지표[사번키],INDEX(합계표[사번키],$W618))&gt;0),"기관명단에 없음(다른 병원으로 발송)",IF($K618="—","대상월 기관명단 없음(추가 필요)",IF($K618="서울병원","해당","비해당"))))</f>
        <v/>
      </c>
      <c r="M618">
        <f>IF($W618="","",SUMIFS(상세표[06~07시],상세표[사번키],INDEX(합계표[사번키],$W618),상세표[반영월],대상월키,상세표[반영 기관],"서울병원"))</f>
        <v/>
      </c>
      <c r="N618">
        <f>IF($W618="","",SUMIFS(상세표[07~18시],상세표[사번키],INDEX(합계표[사번키],$W618),상세표[반영월],대상월키,상세표[반영 기관],"서울병원"))</f>
        <v/>
      </c>
      <c r="O618">
        <f>IF($W618="","",SUMIFS(상세표[18~22시],상세표[사번키],INDEX(합계표[사번키],$W618),상세표[반영월],대상월키,상세표[반영 기관],"서울병원"))</f>
        <v/>
      </c>
      <c r="P618">
        <f>IF($W618="","",SUMIFS(상세표[22~06시],상세표[사번키],INDEX(합계표[사번키],$W618),상세표[반영월],대상월키,상세표[반영 기관],"서울병원"))</f>
        <v/>
      </c>
      <c r="Q618">
        <f>IF($W618="","",SUM($M618:$P618))</f>
        <v/>
      </c>
      <c r="R618">
        <f>IF($W618="","",COUNTIFS(상세표[사번키],INDEX(합계표[사번키],$W618),상세표[반영월],대상월키,상세표[야간당직],1,상세표[야간 구분],"평일"))</f>
        <v/>
      </c>
      <c r="S618" s="4">
        <f>IF($W618="","",COUNTIFS(상세표[사번키],INDEX(합계표[사번키],$W618),상세표[반영월],대상월키,상세표[야간당직],1,상세표[야간 구분],"휴일"))</f>
        <v/>
      </c>
      <c r="T618">
        <f>IF($W618="","",COUNTIFS(상세표[사번키],INDEX(합계표[사번키],$W618),상세표[반영월],대상월키,상세표[야간당직],1,상세표[야간 구분],"평일",상세표[반영 기관],"서울병원"))</f>
        <v/>
      </c>
      <c r="U618">
        <f>IF($W618="","",COUNTIFS(상세표[사번키],INDEX(합계표[사번키],$W618),상세표[반영월],대상월키,상세표[야간당직],1,상세표[야간 구분],"휴일",상세표[반영 기관],"서울병원"))</f>
        <v/>
      </c>
      <c r="V618">
        <f>IF($W618="","",IF(ISNUMBER(MATCH(INDEX(합계표[사번키],$W618)&amp;"|"&amp;대상월키,월별근무지표[키],0)),"직접 입력",IF($K618="—","—","기관명단")))</f>
        <v/>
      </c>
      <c r="W618">
        <f>IFERROR(MATCH(613,합계표[판정순번],0),"")</f>
        <v/>
      </c>
    </row>
    <row r="619">
      <c r="A619">
        <f>IF($W619="","",INDEX(합계표[사번],$W619)&amp;"")</f>
        <v/>
      </c>
      <c r="B619">
        <f>IF($W619="","",INDEX(합계표[성명],$W619)&amp;"")</f>
        <v/>
      </c>
      <c r="C619">
        <f>IF($W619="","",INDEX(합계표[부서],$W619)&amp;"")</f>
        <v/>
      </c>
      <c r="D619">
        <f>IF($W619="","",INDEX(합계표[직위(통합)],$W619)&amp;"")</f>
        <v/>
      </c>
      <c r="E619">
        <f>IF($W619="","",SUMIFS(합계표[시스템 합계],합계표[사번키],INDEX(합계표[사번키],$W619)))</f>
        <v/>
      </c>
      <c r="F619">
        <f>IF($W619="","",SUMIFS(상세표[기록 시간외],상세표[사번키],INDEX(합계표[사번키],$W619),상세표[기록월],대상월키))</f>
        <v/>
      </c>
      <c r="G619">
        <f>IF($W619="","",IF(ABS($E619-$F619)&lt;0.01,"일치","불일치(차이 "&amp;TEXT($F619-$E619,"0.00")&amp;")"))</f>
        <v/>
      </c>
      <c r="H619">
        <f>IF($W619="","",SUMIFS(상세표[기록 시간외],상세표[사번키],INDEX(합계표[사번키],$W619),상세표[기록월],대상월키,상세표[반영월],"&lt;&gt;"&amp;대상월키))</f>
        <v/>
      </c>
      <c r="I619">
        <f>IF($W619="","",SUMIFS(상세표[기록 시간외],상세표[사번키],INDEX(합계표[사번키],$W619),상세표[기록월],"&lt;&gt;"&amp;대상월키,상세표[반영월],대상월키))</f>
        <v/>
      </c>
      <c r="J619">
        <f>IF($W619="","",SUMIFS(상세표[기록 시간외],상세표[사번키],INDEX(합계표[사번키],$W619),상세표[반영월],대상월키))</f>
        <v/>
      </c>
      <c r="K619">
        <f>IF($W619="","",IFERROR(INDEX(월별근무지표[적용 급여병원],MATCH(INDEX(합계표[사번키],$W619)&amp;"|"&amp;대상월키,월별근무지표[키],0))&amp;"",IF(COUNTIF(기관표[사번키],INDEX(합계표[사번키],$W619))+COUNTIF(월별근무지표[사번키],INDEX(합계표[사번키],$W619))&gt;0,IFERROR(INDEX(기관표[급여지급병원(기준월)],MATCH(INDEX(합계표[사번키],$W619)&amp;"|"&amp;대상월키,기관표[키],0))&amp;"","—"),"—")))</f>
        <v/>
      </c>
      <c r="L619">
        <f>IF($W619="","",IF(NOT(COUNTIF(기관표[사번키],INDEX(합계표[사번키],$W619))+COUNTIF(월별근무지표[사번키],INDEX(합계표[사번키],$W619))&gt;0),"기관명단에 없음(다른 병원으로 발송)",IF($K619="—","대상월 기관명단 없음(추가 필요)",IF($K619="서울병원","해당","비해당"))))</f>
        <v/>
      </c>
      <c r="M619">
        <f>IF($W619="","",SUMIFS(상세표[06~07시],상세표[사번키],INDEX(합계표[사번키],$W619),상세표[반영월],대상월키,상세표[반영 기관],"서울병원"))</f>
        <v/>
      </c>
      <c r="N619">
        <f>IF($W619="","",SUMIFS(상세표[07~18시],상세표[사번키],INDEX(합계표[사번키],$W619),상세표[반영월],대상월키,상세표[반영 기관],"서울병원"))</f>
        <v/>
      </c>
      <c r="O619">
        <f>IF($W619="","",SUMIFS(상세표[18~22시],상세표[사번키],INDEX(합계표[사번키],$W619),상세표[반영월],대상월키,상세표[반영 기관],"서울병원"))</f>
        <v/>
      </c>
      <c r="P619">
        <f>IF($W619="","",SUMIFS(상세표[22~06시],상세표[사번키],INDEX(합계표[사번키],$W619),상세표[반영월],대상월키,상세표[반영 기관],"서울병원"))</f>
        <v/>
      </c>
      <c r="Q619">
        <f>IF($W619="","",SUM($M619:$P619))</f>
        <v/>
      </c>
      <c r="R619">
        <f>IF($W619="","",COUNTIFS(상세표[사번키],INDEX(합계표[사번키],$W619),상세표[반영월],대상월키,상세표[야간당직],1,상세표[야간 구분],"평일"))</f>
        <v/>
      </c>
      <c r="S619" s="4">
        <f>IF($W619="","",COUNTIFS(상세표[사번키],INDEX(합계표[사번키],$W619),상세표[반영월],대상월키,상세표[야간당직],1,상세표[야간 구분],"휴일"))</f>
        <v/>
      </c>
      <c r="T619">
        <f>IF($W619="","",COUNTIFS(상세표[사번키],INDEX(합계표[사번키],$W619),상세표[반영월],대상월키,상세표[야간당직],1,상세표[야간 구분],"평일",상세표[반영 기관],"서울병원"))</f>
        <v/>
      </c>
      <c r="U619">
        <f>IF($W619="","",COUNTIFS(상세표[사번키],INDEX(합계표[사번키],$W619),상세표[반영월],대상월키,상세표[야간당직],1,상세표[야간 구분],"휴일",상세표[반영 기관],"서울병원"))</f>
        <v/>
      </c>
      <c r="V619">
        <f>IF($W619="","",IF(ISNUMBER(MATCH(INDEX(합계표[사번키],$W619)&amp;"|"&amp;대상월키,월별근무지표[키],0)),"직접 입력",IF($K619="—","—","기관명단")))</f>
        <v/>
      </c>
      <c r="W619">
        <f>IFERROR(MATCH(614,합계표[판정순번],0),"")</f>
        <v/>
      </c>
    </row>
    <row r="620">
      <c r="A620">
        <f>IF($W620="","",INDEX(합계표[사번],$W620)&amp;"")</f>
        <v/>
      </c>
      <c r="B620">
        <f>IF($W620="","",INDEX(합계표[성명],$W620)&amp;"")</f>
        <v/>
      </c>
      <c r="C620">
        <f>IF($W620="","",INDEX(합계표[부서],$W620)&amp;"")</f>
        <v/>
      </c>
      <c r="D620">
        <f>IF($W620="","",INDEX(합계표[직위(통합)],$W620)&amp;"")</f>
        <v/>
      </c>
      <c r="E620">
        <f>IF($W620="","",SUMIFS(합계표[시스템 합계],합계표[사번키],INDEX(합계표[사번키],$W620)))</f>
        <v/>
      </c>
      <c r="F620">
        <f>IF($W620="","",SUMIFS(상세표[기록 시간외],상세표[사번키],INDEX(합계표[사번키],$W620),상세표[기록월],대상월키))</f>
        <v/>
      </c>
      <c r="G620">
        <f>IF($W620="","",IF(ABS($E620-$F620)&lt;0.01,"일치","불일치(차이 "&amp;TEXT($F620-$E620,"0.00")&amp;")"))</f>
        <v/>
      </c>
      <c r="H620">
        <f>IF($W620="","",SUMIFS(상세표[기록 시간외],상세표[사번키],INDEX(합계표[사번키],$W620),상세표[기록월],대상월키,상세표[반영월],"&lt;&gt;"&amp;대상월키))</f>
        <v/>
      </c>
      <c r="I620">
        <f>IF($W620="","",SUMIFS(상세표[기록 시간외],상세표[사번키],INDEX(합계표[사번키],$W620),상세표[기록월],"&lt;&gt;"&amp;대상월키,상세표[반영월],대상월키))</f>
        <v/>
      </c>
      <c r="J620">
        <f>IF($W620="","",SUMIFS(상세표[기록 시간외],상세표[사번키],INDEX(합계표[사번키],$W620),상세표[반영월],대상월키))</f>
        <v/>
      </c>
      <c r="K620">
        <f>IF($W620="","",IFERROR(INDEX(월별근무지표[적용 급여병원],MATCH(INDEX(합계표[사번키],$W620)&amp;"|"&amp;대상월키,월별근무지표[키],0))&amp;"",IF(COUNTIF(기관표[사번키],INDEX(합계표[사번키],$W620))+COUNTIF(월별근무지표[사번키],INDEX(합계표[사번키],$W620))&gt;0,IFERROR(INDEX(기관표[급여지급병원(기준월)],MATCH(INDEX(합계표[사번키],$W620)&amp;"|"&amp;대상월키,기관표[키],0))&amp;"","—"),"—")))</f>
        <v/>
      </c>
      <c r="L620">
        <f>IF($W620="","",IF(NOT(COUNTIF(기관표[사번키],INDEX(합계표[사번키],$W620))+COUNTIF(월별근무지표[사번키],INDEX(합계표[사번키],$W620))&gt;0),"기관명단에 없음(다른 병원으로 발송)",IF($K620="—","대상월 기관명단 없음(추가 필요)",IF($K620="서울병원","해당","비해당"))))</f>
        <v/>
      </c>
      <c r="M620">
        <f>IF($W620="","",SUMIFS(상세표[06~07시],상세표[사번키],INDEX(합계표[사번키],$W620),상세표[반영월],대상월키,상세표[반영 기관],"서울병원"))</f>
        <v/>
      </c>
      <c r="N620">
        <f>IF($W620="","",SUMIFS(상세표[07~18시],상세표[사번키],INDEX(합계표[사번키],$W620),상세표[반영월],대상월키,상세표[반영 기관],"서울병원"))</f>
        <v/>
      </c>
      <c r="O620">
        <f>IF($W620="","",SUMIFS(상세표[18~22시],상세표[사번키],INDEX(합계표[사번키],$W620),상세표[반영월],대상월키,상세표[반영 기관],"서울병원"))</f>
        <v/>
      </c>
      <c r="P620">
        <f>IF($W620="","",SUMIFS(상세표[22~06시],상세표[사번키],INDEX(합계표[사번키],$W620),상세표[반영월],대상월키,상세표[반영 기관],"서울병원"))</f>
        <v/>
      </c>
      <c r="Q620">
        <f>IF($W620="","",SUM($M620:$P620))</f>
        <v/>
      </c>
      <c r="R620">
        <f>IF($W620="","",COUNTIFS(상세표[사번키],INDEX(합계표[사번키],$W620),상세표[반영월],대상월키,상세표[야간당직],1,상세표[야간 구분],"평일"))</f>
        <v/>
      </c>
      <c r="S620" s="4">
        <f>IF($W620="","",COUNTIFS(상세표[사번키],INDEX(합계표[사번키],$W620),상세표[반영월],대상월키,상세표[야간당직],1,상세표[야간 구분],"휴일"))</f>
        <v/>
      </c>
      <c r="T620">
        <f>IF($W620="","",COUNTIFS(상세표[사번키],INDEX(합계표[사번키],$W620),상세표[반영월],대상월키,상세표[야간당직],1,상세표[야간 구분],"평일",상세표[반영 기관],"서울병원"))</f>
        <v/>
      </c>
      <c r="U620">
        <f>IF($W620="","",COUNTIFS(상세표[사번키],INDEX(합계표[사번키],$W620),상세표[반영월],대상월키,상세표[야간당직],1,상세표[야간 구분],"휴일",상세표[반영 기관],"서울병원"))</f>
        <v/>
      </c>
      <c r="V620">
        <f>IF($W620="","",IF(ISNUMBER(MATCH(INDEX(합계표[사번키],$W620)&amp;"|"&amp;대상월키,월별근무지표[키],0)),"직접 입력",IF($K620="—","—","기관명단")))</f>
        <v/>
      </c>
      <c r="W620">
        <f>IFERROR(MATCH(615,합계표[판정순번],0),"")</f>
        <v/>
      </c>
    </row>
    <row r="621">
      <c r="A621">
        <f>IF($W621="","",INDEX(합계표[사번],$W621)&amp;"")</f>
        <v/>
      </c>
      <c r="B621">
        <f>IF($W621="","",INDEX(합계표[성명],$W621)&amp;"")</f>
        <v/>
      </c>
      <c r="C621">
        <f>IF($W621="","",INDEX(합계표[부서],$W621)&amp;"")</f>
        <v/>
      </c>
      <c r="D621">
        <f>IF($W621="","",INDEX(합계표[직위(통합)],$W621)&amp;"")</f>
        <v/>
      </c>
      <c r="E621">
        <f>IF($W621="","",SUMIFS(합계표[시스템 합계],합계표[사번키],INDEX(합계표[사번키],$W621)))</f>
        <v/>
      </c>
      <c r="F621">
        <f>IF($W621="","",SUMIFS(상세표[기록 시간외],상세표[사번키],INDEX(합계표[사번키],$W621),상세표[기록월],대상월키))</f>
        <v/>
      </c>
      <c r="G621">
        <f>IF($W621="","",IF(ABS($E621-$F621)&lt;0.01,"일치","불일치(차이 "&amp;TEXT($F621-$E621,"0.00")&amp;")"))</f>
        <v/>
      </c>
      <c r="H621">
        <f>IF($W621="","",SUMIFS(상세표[기록 시간외],상세표[사번키],INDEX(합계표[사번키],$W621),상세표[기록월],대상월키,상세표[반영월],"&lt;&gt;"&amp;대상월키))</f>
        <v/>
      </c>
      <c r="I621">
        <f>IF($W621="","",SUMIFS(상세표[기록 시간외],상세표[사번키],INDEX(합계표[사번키],$W621),상세표[기록월],"&lt;&gt;"&amp;대상월키,상세표[반영월],대상월키))</f>
        <v/>
      </c>
      <c r="J621">
        <f>IF($W621="","",SUMIFS(상세표[기록 시간외],상세표[사번키],INDEX(합계표[사번키],$W621),상세표[반영월],대상월키))</f>
        <v/>
      </c>
      <c r="K621">
        <f>IF($W621="","",IFERROR(INDEX(월별근무지표[적용 급여병원],MATCH(INDEX(합계표[사번키],$W621)&amp;"|"&amp;대상월키,월별근무지표[키],0))&amp;"",IF(COUNTIF(기관표[사번키],INDEX(합계표[사번키],$W621))+COUNTIF(월별근무지표[사번키],INDEX(합계표[사번키],$W621))&gt;0,IFERROR(INDEX(기관표[급여지급병원(기준월)],MATCH(INDEX(합계표[사번키],$W621)&amp;"|"&amp;대상월키,기관표[키],0))&amp;"","—"),"—")))</f>
        <v/>
      </c>
      <c r="L621">
        <f>IF($W621="","",IF(NOT(COUNTIF(기관표[사번키],INDEX(합계표[사번키],$W621))+COUNTIF(월별근무지표[사번키],INDEX(합계표[사번키],$W621))&gt;0),"기관명단에 없음(다른 병원으로 발송)",IF($K621="—","대상월 기관명단 없음(추가 필요)",IF($K621="서울병원","해당","비해당"))))</f>
        <v/>
      </c>
      <c r="M621">
        <f>IF($W621="","",SUMIFS(상세표[06~07시],상세표[사번키],INDEX(합계표[사번키],$W621),상세표[반영월],대상월키,상세표[반영 기관],"서울병원"))</f>
        <v/>
      </c>
      <c r="N621">
        <f>IF($W621="","",SUMIFS(상세표[07~18시],상세표[사번키],INDEX(합계표[사번키],$W621),상세표[반영월],대상월키,상세표[반영 기관],"서울병원"))</f>
        <v/>
      </c>
      <c r="O621">
        <f>IF($W621="","",SUMIFS(상세표[18~22시],상세표[사번키],INDEX(합계표[사번키],$W621),상세표[반영월],대상월키,상세표[반영 기관],"서울병원"))</f>
        <v/>
      </c>
      <c r="P621">
        <f>IF($W621="","",SUMIFS(상세표[22~06시],상세표[사번키],INDEX(합계표[사번키],$W621),상세표[반영월],대상월키,상세표[반영 기관],"서울병원"))</f>
        <v/>
      </c>
      <c r="Q621">
        <f>IF($W621="","",SUM($M621:$P621))</f>
        <v/>
      </c>
      <c r="R621">
        <f>IF($W621="","",COUNTIFS(상세표[사번키],INDEX(합계표[사번키],$W621),상세표[반영월],대상월키,상세표[야간당직],1,상세표[야간 구분],"평일"))</f>
        <v/>
      </c>
      <c r="S621" s="4">
        <f>IF($W621="","",COUNTIFS(상세표[사번키],INDEX(합계표[사번키],$W621),상세표[반영월],대상월키,상세표[야간당직],1,상세표[야간 구분],"휴일"))</f>
        <v/>
      </c>
      <c r="T621">
        <f>IF($W621="","",COUNTIFS(상세표[사번키],INDEX(합계표[사번키],$W621),상세표[반영월],대상월키,상세표[야간당직],1,상세표[야간 구분],"평일",상세표[반영 기관],"서울병원"))</f>
        <v/>
      </c>
      <c r="U621">
        <f>IF($W621="","",COUNTIFS(상세표[사번키],INDEX(합계표[사번키],$W621),상세표[반영월],대상월키,상세표[야간당직],1,상세표[야간 구분],"휴일",상세표[반영 기관],"서울병원"))</f>
        <v/>
      </c>
      <c r="V621">
        <f>IF($W621="","",IF(ISNUMBER(MATCH(INDEX(합계표[사번키],$W621)&amp;"|"&amp;대상월키,월별근무지표[키],0)),"직접 입력",IF($K621="—","—","기관명단")))</f>
        <v/>
      </c>
      <c r="W621">
        <f>IFERROR(MATCH(616,합계표[판정순번],0),"")</f>
        <v/>
      </c>
    </row>
    <row r="622">
      <c r="A622">
        <f>IF($W622="","",INDEX(합계표[사번],$W622)&amp;"")</f>
        <v/>
      </c>
      <c r="B622">
        <f>IF($W622="","",INDEX(합계표[성명],$W622)&amp;"")</f>
        <v/>
      </c>
      <c r="C622">
        <f>IF($W622="","",INDEX(합계표[부서],$W622)&amp;"")</f>
        <v/>
      </c>
      <c r="D622">
        <f>IF($W622="","",INDEX(합계표[직위(통합)],$W622)&amp;"")</f>
        <v/>
      </c>
      <c r="E622">
        <f>IF($W622="","",SUMIFS(합계표[시스템 합계],합계표[사번키],INDEX(합계표[사번키],$W622)))</f>
        <v/>
      </c>
      <c r="F622">
        <f>IF($W622="","",SUMIFS(상세표[기록 시간외],상세표[사번키],INDEX(합계표[사번키],$W622),상세표[기록월],대상월키))</f>
        <v/>
      </c>
      <c r="G622">
        <f>IF($W622="","",IF(ABS($E622-$F622)&lt;0.01,"일치","불일치(차이 "&amp;TEXT($F622-$E622,"0.00")&amp;")"))</f>
        <v/>
      </c>
      <c r="H622">
        <f>IF($W622="","",SUMIFS(상세표[기록 시간외],상세표[사번키],INDEX(합계표[사번키],$W622),상세표[기록월],대상월키,상세표[반영월],"&lt;&gt;"&amp;대상월키))</f>
        <v/>
      </c>
      <c r="I622">
        <f>IF($W622="","",SUMIFS(상세표[기록 시간외],상세표[사번키],INDEX(합계표[사번키],$W622),상세표[기록월],"&lt;&gt;"&amp;대상월키,상세표[반영월],대상월키))</f>
        <v/>
      </c>
      <c r="J622">
        <f>IF($W622="","",SUMIFS(상세표[기록 시간외],상세표[사번키],INDEX(합계표[사번키],$W622),상세표[반영월],대상월키))</f>
        <v/>
      </c>
      <c r="K622">
        <f>IF($W622="","",IFERROR(INDEX(월별근무지표[적용 급여병원],MATCH(INDEX(합계표[사번키],$W622)&amp;"|"&amp;대상월키,월별근무지표[키],0))&amp;"",IF(COUNTIF(기관표[사번키],INDEX(합계표[사번키],$W622))+COUNTIF(월별근무지표[사번키],INDEX(합계표[사번키],$W622))&gt;0,IFERROR(INDEX(기관표[급여지급병원(기준월)],MATCH(INDEX(합계표[사번키],$W622)&amp;"|"&amp;대상월키,기관표[키],0))&amp;"","—"),"—")))</f>
        <v/>
      </c>
      <c r="L622">
        <f>IF($W622="","",IF(NOT(COUNTIF(기관표[사번키],INDEX(합계표[사번키],$W622))+COUNTIF(월별근무지표[사번키],INDEX(합계표[사번키],$W622))&gt;0),"기관명단에 없음(다른 병원으로 발송)",IF($K622="—","대상월 기관명단 없음(추가 필요)",IF($K622="서울병원","해당","비해당"))))</f>
        <v/>
      </c>
      <c r="M622">
        <f>IF($W622="","",SUMIFS(상세표[06~07시],상세표[사번키],INDEX(합계표[사번키],$W622),상세표[반영월],대상월키,상세표[반영 기관],"서울병원"))</f>
        <v/>
      </c>
      <c r="N622">
        <f>IF($W622="","",SUMIFS(상세표[07~18시],상세표[사번키],INDEX(합계표[사번키],$W622),상세표[반영월],대상월키,상세표[반영 기관],"서울병원"))</f>
        <v/>
      </c>
      <c r="O622">
        <f>IF($W622="","",SUMIFS(상세표[18~22시],상세표[사번키],INDEX(합계표[사번키],$W622),상세표[반영월],대상월키,상세표[반영 기관],"서울병원"))</f>
        <v/>
      </c>
      <c r="P622">
        <f>IF($W622="","",SUMIFS(상세표[22~06시],상세표[사번키],INDEX(합계표[사번키],$W622),상세표[반영월],대상월키,상세표[반영 기관],"서울병원"))</f>
        <v/>
      </c>
      <c r="Q622">
        <f>IF($W622="","",SUM($M622:$P622))</f>
        <v/>
      </c>
      <c r="R622">
        <f>IF($W622="","",COUNTIFS(상세표[사번키],INDEX(합계표[사번키],$W622),상세표[반영월],대상월키,상세표[야간당직],1,상세표[야간 구분],"평일"))</f>
        <v/>
      </c>
      <c r="S622" s="4">
        <f>IF($W622="","",COUNTIFS(상세표[사번키],INDEX(합계표[사번키],$W622),상세표[반영월],대상월키,상세표[야간당직],1,상세표[야간 구분],"휴일"))</f>
        <v/>
      </c>
      <c r="T622">
        <f>IF($W622="","",COUNTIFS(상세표[사번키],INDEX(합계표[사번키],$W622),상세표[반영월],대상월키,상세표[야간당직],1,상세표[야간 구분],"평일",상세표[반영 기관],"서울병원"))</f>
        <v/>
      </c>
      <c r="U622">
        <f>IF($W622="","",COUNTIFS(상세표[사번키],INDEX(합계표[사번키],$W622),상세표[반영월],대상월키,상세표[야간당직],1,상세표[야간 구분],"휴일",상세표[반영 기관],"서울병원"))</f>
        <v/>
      </c>
      <c r="V622">
        <f>IF($W622="","",IF(ISNUMBER(MATCH(INDEX(합계표[사번키],$W622)&amp;"|"&amp;대상월키,월별근무지표[키],0)),"직접 입력",IF($K622="—","—","기관명단")))</f>
        <v/>
      </c>
      <c r="W622">
        <f>IFERROR(MATCH(617,합계표[판정순번],0),"")</f>
        <v/>
      </c>
    </row>
    <row r="623">
      <c r="A623">
        <f>IF($W623="","",INDEX(합계표[사번],$W623)&amp;"")</f>
        <v/>
      </c>
      <c r="B623">
        <f>IF($W623="","",INDEX(합계표[성명],$W623)&amp;"")</f>
        <v/>
      </c>
      <c r="C623">
        <f>IF($W623="","",INDEX(합계표[부서],$W623)&amp;"")</f>
        <v/>
      </c>
      <c r="D623">
        <f>IF($W623="","",INDEX(합계표[직위(통합)],$W623)&amp;"")</f>
        <v/>
      </c>
      <c r="E623">
        <f>IF($W623="","",SUMIFS(합계표[시스템 합계],합계표[사번키],INDEX(합계표[사번키],$W623)))</f>
        <v/>
      </c>
      <c r="F623">
        <f>IF($W623="","",SUMIFS(상세표[기록 시간외],상세표[사번키],INDEX(합계표[사번키],$W623),상세표[기록월],대상월키))</f>
        <v/>
      </c>
      <c r="G623">
        <f>IF($W623="","",IF(ABS($E623-$F623)&lt;0.01,"일치","불일치(차이 "&amp;TEXT($F623-$E623,"0.00")&amp;")"))</f>
        <v/>
      </c>
      <c r="H623">
        <f>IF($W623="","",SUMIFS(상세표[기록 시간외],상세표[사번키],INDEX(합계표[사번키],$W623),상세표[기록월],대상월키,상세표[반영월],"&lt;&gt;"&amp;대상월키))</f>
        <v/>
      </c>
      <c r="I623">
        <f>IF($W623="","",SUMIFS(상세표[기록 시간외],상세표[사번키],INDEX(합계표[사번키],$W623),상세표[기록월],"&lt;&gt;"&amp;대상월키,상세표[반영월],대상월키))</f>
        <v/>
      </c>
      <c r="J623">
        <f>IF($W623="","",SUMIFS(상세표[기록 시간외],상세표[사번키],INDEX(합계표[사번키],$W623),상세표[반영월],대상월키))</f>
        <v/>
      </c>
      <c r="K623">
        <f>IF($W623="","",IFERROR(INDEX(월별근무지표[적용 급여병원],MATCH(INDEX(합계표[사번키],$W623)&amp;"|"&amp;대상월키,월별근무지표[키],0))&amp;"",IF(COUNTIF(기관표[사번키],INDEX(합계표[사번키],$W623))+COUNTIF(월별근무지표[사번키],INDEX(합계표[사번키],$W623))&gt;0,IFERROR(INDEX(기관표[급여지급병원(기준월)],MATCH(INDEX(합계표[사번키],$W623)&amp;"|"&amp;대상월키,기관표[키],0))&amp;"","—"),"—")))</f>
        <v/>
      </c>
      <c r="L623">
        <f>IF($W623="","",IF(NOT(COUNTIF(기관표[사번키],INDEX(합계표[사번키],$W623))+COUNTIF(월별근무지표[사번키],INDEX(합계표[사번키],$W623))&gt;0),"기관명단에 없음(다른 병원으로 발송)",IF($K623="—","대상월 기관명단 없음(추가 필요)",IF($K623="서울병원","해당","비해당"))))</f>
        <v/>
      </c>
      <c r="M623">
        <f>IF($W623="","",SUMIFS(상세표[06~07시],상세표[사번키],INDEX(합계표[사번키],$W623),상세표[반영월],대상월키,상세표[반영 기관],"서울병원"))</f>
        <v/>
      </c>
      <c r="N623">
        <f>IF($W623="","",SUMIFS(상세표[07~18시],상세표[사번키],INDEX(합계표[사번키],$W623),상세표[반영월],대상월키,상세표[반영 기관],"서울병원"))</f>
        <v/>
      </c>
      <c r="O623">
        <f>IF($W623="","",SUMIFS(상세표[18~22시],상세표[사번키],INDEX(합계표[사번키],$W623),상세표[반영월],대상월키,상세표[반영 기관],"서울병원"))</f>
        <v/>
      </c>
      <c r="P623">
        <f>IF($W623="","",SUMIFS(상세표[22~06시],상세표[사번키],INDEX(합계표[사번키],$W623),상세표[반영월],대상월키,상세표[반영 기관],"서울병원"))</f>
        <v/>
      </c>
      <c r="Q623">
        <f>IF($W623="","",SUM($M623:$P623))</f>
        <v/>
      </c>
      <c r="R623">
        <f>IF($W623="","",COUNTIFS(상세표[사번키],INDEX(합계표[사번키],$W623),상세표[반영월],대상월키,상세표[야간당직],1,상세표[야간 구분],"평일"))</f>
        <v/>
      </c>
      <c r="S623" s="4">
        <f>IF($W623="","",COUNTIFS(상세표[사번키],INDEX(합계표[사번키],$W623),상세표[반영월],대상월키,상세표[야간당직],1,상세표[야간 구분],"휴일"))</f>
        <v/>
      </c>
      <c r="T623">
        <f>IF($W623="","",COUNTIFS(상세표[사번키],INDEX(합계표[사번키],$W623),상세표[반영월],대상월키,상세표[야간당직],1,상세표[야간 구분],"평일",상세표[반영 기관],"서울병원"))</f>
        <v/>
      </c>
      <c r="U623">
        <f>IF($W623="","",COUNTIFS(상세표[사번키],INDEX(합계표[사번키],$W623),상세표[반영월],대상월키,상세표[야간당직],1,상세표[야간 구분],"휴일",상세표[반영 기관],"서울병원"))</f>
        <v/>
      </c>
      <c r="V623">
        <f>IF($W623="","",IF(ISNUMBER(MATCH(INDEX(합계표[사번키],$W623)&amp;"|"&amp;대상월키,월별근무지표[키],0)),"직접 입력",IF($K623="—","—","기관명단")))</f>
        <v/>
      </c>
      <c r="W623">
        <f>IFERROR(MATCH(618,합계표[판정순번],0),"")</f>
        <v/>
      </c>
    </row>
    <row r="624">
      <c r="A624">
        <f>IF($W624="","",INDEX(합계표[사번],$W624)&amp;"")</f>
        <v/>
      </c>
      <c r="B624">
        <f>IF($W624="","",INDEX(합계표[성명],$W624)&amp;"")</f>
        <v/>
      </c>
      <c r="C624">
        <f>IF($W624="","",INDEX(합계표[부서],$W624)&amp;"")</f>
        <v/>
      </c>
      <c r="D624">
        <f>IF($W624="","",INDEX(합계표[직위(통합)],$W624)&amp;"")</f>
        <v/>
      </c>
      <c r="E624">
        <f>IF($W624="","",SUMIFS(합계표[시스템 합계],합계표[사번키],INDEX(합계표[사번키],$W624)))</f>
        <v/>
      </c>
      <c r="F624">
        <f>IF($W624="","",SUMIFS(상세표[기록 시간외],상세표[사번키],INDEX(합계표[사번키],$W624),상세표[기록월],대상월키))</f>
        <v/>
      </c>
      <c r="G624">
        <f>IF($W624="","",IF(ABS($E624-$F624)&lt;0.01,"일치","불일치(차이 "&amp;TEXT($F624-$E624,"0.00")&amp;")"))</f>
        <v/>
      </c>
      <c r="H624">
        <f>IF($W624="","",SUMIFS(상세표[기록 시간외],상세표[사번키],INDEX(합계표[사번키],$W624),상세표[기록월],대상월키,상세표[반영월],"&lt;&gt;"&amp;대상월키))</f>
        <v/>
      </c>
      <c r="I624">
        <f>IF($W624="","",SUMIFS(상세표[기록 시간외],상세표[사번키],INDEX(합계표[사번키],$W624),상세표[기록월],"&lt;&gt;"&amp;대상월키,상세표[반영월],대상월키))</f>
        <v/>
      </c>
      <c r="J624">
        <f>IF($W624="","",SUMIFS(상세표[기록 시간외],상세표[사번키],INDEX(합계표[사번키],$W624),상세표[반영월],대상월키))</f>
        <v/>
      </c>
      <c r="K624">
        <f>IF($W624="","",IFERROR(INDEX(월별근무지표[적용 급여병원],MATCH(INDEX(합계표[사번키],$W624)&amp;"|"&amp;대상월키,월별근무지표[키],0))&amp;"",IF(COUNTIF(기관표[사번키],INDEX(합계표[사번키],$W624))+COUNTIF(월별근무지표[사번키],INDEX(합계표[사번키],$W624))&gt;0,IFERROR(INDEX(기관표[급여지급병원(기준월)],MATCH(INDEX(합계표[사번키],$W624)&amp;"|"&amp;대상월키,기관표[키],0))&amp;"","—"),"—")))</f>
        <v/>
      </c>
      <c r="L624">
        <f>IF($W624="","",IF(NOT(COUNTIF(기관표[사번키],INDEX(합계표[사번키],$W624))+COUNTIF(월별근무지표[사번키],INDEX(합계표[사번키],$W624))&gt;0),"기관명단에 없음(다른 병원으로 발송)",IF($K624="—","대상월 기관명단 없음(추가 필요)",IF($K624="서울병원","해당","비해당"))))</f>
        <v/>
      </c>
      <c r="M624">
        <f>IF($W624="","",SUMIFS(상세표[06~07시],상세표[사번키],INDEX(합계표[사번키],$W624),상세표[반영월],대상월키,상세표[반영 기관],"서울병원"))</f>
        <v/>
      </c>
      <c r="N624">
        <f>IF($W624="","",SUMIFS(상세표[07~18시],상세표[사번키],INDEX(합계표[사번키],$W624),상세표[반영월],대상월키,상세표[반영 기관],"서울병원"))</f>
        <v/>
      </c>
      <c r="O624">
        <f>IF($W624="","",SUMIFS(상세표[18~22시],상세표[사번키],INDEX(합계표[사번키],$W624),상세표[반영월],대상월키,상세표[반영 기관],"서울병원"))</f>
        <v/>
      </c>
      <c r="P624">
        <f>IF($W624="","",SUMIFS(상세표[22~06시],상세표[사번키],INDEX(합계표[사번키],$W624),상세표[반영월],대상월키,상세표[반영 기관],"서울병원"))</f>
        <v/>
      </c>
      <c r="Q624">
        <f>IF($W624="","",SUM($M624:$P624))</f>
        <v/>
      </c>
      <c r="R624">
        <f>IF($W624="","",COUNTIFS(상세표[사번키],INDEX(합계표[사번키],$W624),상세표[반영월],대상월키,상세표[야간당직],1,상세표[야간 구분],"평일"))</f>
        <v/>
      </c>
      <c r="S624" s="4">
        <f>IF($W624="","",COUNTIFS(상세표[사번키],INDEX(합계표[사번키],$W624),상세표[반영월],대상월키,상세표[야간당직],1,상세표[야간 구분],"휴일"))</f>
        <v/>
      </c>
      <c r="T624">
        <f>IF($W624="","",COUNTIFS(상세표[사번키],INDEX(합계표[사번키],$W624),상세표[반영월],대상월키,상세표[야간당직],1,상세표[야간 구분],"평일",상세표[반영 기관],"서울병원"))</f>
        <v/>
      </c>
      <c r="U624">
        <f>IF($W624="","",COUNTIFS(상세표[사번키],INDEX(합계표[사번키],$W624),상세표[반영월],대상월키,상세표[야간당직],1,상세표[야간 구분],"휴일",상세표[반영 기관],"서울병원"))</f>
        <v/>
      </c>
      <c r="V624">
        <f>IF($W624="","",IF(ISNUMBER(MATCH(INDEX(합계표[사번키],$W624)&amp;"|"&amp;대상월키,월별근무지표[키],0)),"직접 입력",IF($K624="—","—","기관명단")))</f>
        <v/>
      </c>
      <c r="W624">
        <f>IFERROR(MATCH(619,합계표[판정순번],0),"")</f>
        <v/>
      </c>
    </row>
    <row r="625">
      <c r="A625">
        <f>IF($W625="","",INDEX(합계표[사번],$W625)&amp;"")</f>
        <v/>
      </c>
      <c r="B625">
        <f>IF($W625="","",INDEX(합계표[성명],$W625)&amp;"")</f>
        <v/>
      </c>
      <c r="C625">
        <f>IF($W625="","",INDEX(합계표[부서],$W625)&amp;"")</f>
        <v/>
      </c>
      <c r="D625">
        <f>IF($W625="","",INDEX(합계표[직위(통합)],$W625)&amp;"")</f>
        <v/>
      </c>
      <c r="E625">
        <f>IF($W625="","",SUMIFS(합계표[시스템 합계],합계표[사번키],INDEX(합계표[사번키],$W625)))</f>
        <v/>
      </c>
      <c r="F625">
        <f>IF($W625="","",SUMIFS(상세표[기록 시간외],상세표[사번키],INDEX(합계표[사번키],$W625),상세표[기록월],대상월키))</f>
        <v/>
      </c>
      <c r="G625">
        <f>IF($W625="","",IF(ABS($E625-$F625)&lt;0.01,"일치","불일치(차이 "&amp;TEXT($F625-$E625,"0.00")&amp;")"))</f>
        <v/>
      </c>
      <c r="H625">
        <f>IF($W625="","",SUMIFS(상세표[기록 시간외],상세표[사번키],INDEX(합계표[사번키],$W625),상세표[기록월],대상월키,상세표[반영월],"&lt;&gt;"&amp;대상월키))</f>
        <v/>
      </c>
      <c r="I625">
        <f>IF($W625="","",SUMIFS(상세표[기록 시간외],상세표[사번키],INDEX(합계표[사번키],$W625),상세표[기록월],"&lt;&gt;"&amp;대상월키,상세표[반영월],대상월키))</f>
        <v/>
      </c>
      <c r="J625">
        <f>IF($W625="","",SUMIFS(상세표[기록 시간외],상세표[사번키],INDEX(합계표[사번키],$W625),상세표[반영월],대상월키))</f>
        <v/>
      </c>
      <c r="K625">
        <f>IF($W625="","",IFERROR(INDEX(월별근무지표[적용 급여병원],MATCH(INDEX(합계표[사번키],$W625)&amp;"|"&amp;대상월키,월별근무지표[키],0))&amp;"",IF(COUNTIF(기관표[사번키],INDEX(합계표[사번키],$W625))+COUNTIF(월별근무지표[사번키],INDEX(합계표[사번키],$W625))&gt;0,IFERROR(INDEX(기관표[급여지급병원(기준월)],MATCH(INDEX(합계표[사번키],$W625)&amp;"|"&amp;대상월키,기관표[키],0))&amp;"","—"),"—")))</f>
        <v/>
      </c>
      <c r="L625">
        <f>IF($W625="","",IF(NOT(COUNTIF(기관표[사번키],INDEX(합계표[사번키],$W625))+COUNTIF(월별근무지표[사번키],INDEX(합계표[사번키],$W625))&gt;0),"기관명단에 없음(다른 병원으로 발송)",IF($K625="—","대상월 기관명단 없음(추가 필요)",IF($K625="서울병원","해당","비해당"))))</f>
        <v/>
      </c>
      <c r="M625">
        <f>IF($W625="","",SUMIFS(상세표[06~07시],상세표[사번키],INDEX(합계표[사번키],$W625),상세표[반영월],대상월키,상세표[반영 기관],"서울병원"))</f>
        <v/>
      </c>
      <c r="N625">
        <f>IF($W625="","",SUMIFS(상세표[07~18시],상세표[사번키],INDEX(합계표[사번키],$W625),상세표[반영월],대상월키,상세표[반영 기관],"서울병원"))</f>
        <v/>
      </c>
      <c r="O625">
        <f>IF($W625="","",SUMIFS(상세표[18~22시],상세표[사번키],INDEX(합계표[사번키],$W625),상세표[반영월],대상월키,상세표[반영 기관],"서울병원"))</f>
        <v/>
      </c>
      <c r="P625">
        <f>IF($W625="","",SUMIFS(상세표[22~06시],상세표[사번키],INDEX(합계표[사번키],$W625),상세표[반영월],대상월키,상세표[반영 기관],"서울병원"))</f>
        <v/>
      </c>
      <c r="Q625">
        <f>IF($W625="","",SUM($M625:$P625))</f>
        <v/>
      </c>
      <c r="R625">
        <f>IF($W625="","",COUNTIFS(상세표[사번키],INDEX(합계표[사번키],$W625),상세표[반영월],대상월키,상세표[야간당직],1,상세표[야간 구분],"평일"))</f>
        <v/>
      </c>
      <c r="S625" s="4">
        <f>IF($W625="","",COUNTIFS(상세표[사번키],INDEX(합계표[사번키],$W625),상세표[반영월],대상월키,상세표[야간당직],1,상세표[야간 구분],"휴일"))</f>
        <v/>
      </c>
      <c r="T625">
        <f>IF($W625="","",COUNTIFS(상세표[사번키],INDEX(합계표[사번키],$W625),상세표[반영월],대상월키,상세표[야간당직],1,상세표[야간 구분],"평일",상세표[반영 기관],"서울병원"))</f>
        <v/>
      </c>
      <c r="U625">
        <f>IF($W625="","",COUNTIFS(상세표[사번키],INDEX(합계표[사번키],$W625),상세표[반영월],대상월키,상세표[야간당직],1,상세표[야간 구분],"휴일",상세표[반영 기관],"서울병원"))</f>
        <v/>
      </c>
      <c r="V625">
        <f>IF($W625="","",IF(ISNUMBER(MATCH(INDEX(합계표[사번키],$W625)&amp;"|"&amp;대상월키,월별근무지표[키],0)),"직접 입력",IF($K625="—","—","기관명단")))</f>
        <v/>
      </c>
      <c r="W625">
        <f>IFERROR(MATCH(620,합계표[판정순번],0),"")</f>
        <v/>
      </c>
    </row>
    <row r="626">
      <c r="A626">
        <f>IF($W626="","",INDEX(합계표[사번],$W626)&amp;"")</f>
        <v/>
      </c>
      <c r="B626">
        <f>IF($W626="","",INDEX(합계표[성명],$W626)&amp;"")</f>
        <v/>
      </c>
      <c r="C626">
        <f>IF($W626="","",INDEX(합계표[부서],$W626)&amp;"")</f>
        <v/>
      </c>
      <c r="D626">
        <f>IF($W626="","",INDEX(합계표[직위(통합)],$W626)&amp;"")</f>
        <v/>
      </c>
      <c r="E626">
        <f>IF($W626="","",SUMIFS(합계표[시스템 합계],합계표[사번키],INDEX(합계표[사번키],$W626)))</f>
        <v/>
      </c>
      <c r="F626">
        <f>IF($W626="","",SUMIFS(상세표[기록 시간외],상세표[사번키],INDEX(합계표[사번키],$W626),상세표[기록월],대상월키))</f>
        <v/>
      </c>
      <c r="G626">
        <f>IF($W626="","",IF(ABS($E626-$F626)&lt;0.01,"일치","불일치(차이 "&amp;TEXT($F626-$E626,"0.00")&amp;")"))</f>
        <v/>
      </c>
      <c r="H626">
        <f>IF($W626="","",SUMIFS(상세표[기록 시간외],상세표[사번키],INDEX(합계표[사번키],$W626),상세표[기록월],대상월키,상세표[반영월],"&lt;&gt;"&amp;대상월키))</f>
        <v/>
      </c>
      <c r="I626">
        <f>IF($W626="","",SUMIFS(상세표[기록 시간외],상세표[사번키],INDEX(합계표[사번키],$W626),상세표[기록월],"&lt;&gt;"&amp;대상월키,상세표[반영월],대상월키))</f>
        <v/>
      </c>
      <c r="J626">
        <f>IF($W626="","",SUMIFS(상세표[기록 시간외],상세표[사번키],INDEX(합계표[사번키],$W626),상세표[반영월],대상월키))</f>
        <v/>
      </c>
      <c r="K626">
        <f>IF($W626="","",IFERROR(INDEX(월별근무지표[적용 급여병원],MATCH(INDEX(합계표[사번키],$W626)&amp;"|"&amp;대상월키,월별근무지표[키],0))&amp;"",IF(COUNTIF(기관표[사번키],INDEX(합계표[사번키],$W626))+COUNTIF(월별근무지표[사번키],INDEX(합계표[사번키],$W626))&gt;0,IFERROR(INDEX(기관표[급여지급병원(기준월)],MATCH(INDEX(합계표[사번키],$W626)&amp;"|"&amp;대상월키,기관표[키],0))&amp;"","—"),"—")))</f>
        <v/>
      </c>
      <c r="L626">
        <f>IF($W626="","",IF(NOT(COUNTIF(기관표[사번키],INDEX(합계표[사번키],$W626))+COUNTIF(월별근무지표[사번키],INDEX(합계표[사번키],$W626))&gt;0),"기관명단에 없음(다른 병원으로 발송)",IF($K626="—","대상월 기관명단 없음(추가 필요)",IF($K626="서울병원","해당","비해당"))))</f>
        <v/>
      </c>
      <c r="M626">
        <f>IF($W626="","",SUMIFS(상세표[06~07시],상세표[사번키],INDEX(합계표[사번키],$W626),상세표[반영월],대상월키,상세표[반영 기관],"서울병원"))</f>
        <v/>
      </c>
      <c r="N626">
        <f>IF($W626="","",SUMIFS(상세표[07~18시],상세표[사번키],INDEX(합계표[사번키],$W626),상세표[반영월],대상월키,상세표[반영 기관],"서울병원"))</f>
        <v/>
      </c>
      <c r="O626">
        <f>IF($W626="","",SUMIFS(상세표[18~22시],상세표[사번키],INDEX(합계표[사번키],$W626),상세표[반영월],대상월키,상세표[반영 기관],"서울병원"))</f>
        <v/>
      </c>
      <c r="P626">
        <f>IF($W626="","",SUMIFS(상세표[22~06시],상세표[사번키],INDEX(합계표[사번키],$W626),상세표[반영월],대상월키,상세표[반영 기관],"서울병원"))</f>
        <v/>
      </c>
      <c r="Q626">
        <f>IF($W626="","",SUM($M626:$P626))</f>
        <v/>
      </c>
      <c r="R626">
        <f>IF($W626="","",COUNTIFS(상세표[사번키],INDEX(합계표[사번키],$W626),상세표[반영월],대상월키,상세표[야간당직],1,상세표[야간 구분],"평일"))</f>
        <v/>
      </c>
      <c r="S626" s="4">
        <f>IF($W626="","",COUNTIFS(상세표[사번키],INDEX(합계표[사번키],$W626),상세표[반영월],대상월키,상세표[야간당직],1,상세표[야간 구분],"휴일"))</f>
        <v/>
      </c>
      <c r="T626">
        <f>IF($W626="","",COUNTIFS(상세표[사번키],INDEX(합계표[사번키],$W626),상세표[반영월],대상월키,상세표[야간당직],1,상세표[야간 구분],"평일",상세표[반영 기관],"서울병원"))</f>
        <v/>
      </c>
      <c r="U626">
        <f>IF($W626="","",COUNTIFS(상세표[사번키],INDEX(합계표[사번키],$W626),상세표[반영월],대상월키,상세표[야간당직],1,상세표[야간 구분],"휴일",상세표[반영 기관],"서울병원"))</f>
        <v/>
      </c>
      <c r="V626">
        <f>IF($W626="","",IF(ISNUMBER(MATCH(INDEX(합계표[사번키],$W626)&amp;"|"&amp;대상월키,월별근무지표[키],0)),"직접 입력",IF($K626="—","—","기관명단")))</f>
        <v/>
      </c>
      <c r="W626">
        <f>IFERROR(MATCH(621,합계표[판정순번],0),"")</f>
        <v/>
      </c>
    </row>
    <row r="627">
      <c r="A627">
        <f>IF($W627="","",INDEX(합계표[사번],$W627)&amp;"")</f>
        <v/>
      </c>
      <c r="B627">
        <f>IF($W627="","",INDEX(합계표[성명],$W627)&amp;"")</f>
        <v/>
      </c>
      <c r="C627">
        <f>IF($W627="","",INDEX(합계표[부서],$W627)&amp;"")</f>
        <v/>
      </c>
      <c r="D627">
        <f>IF($W627="","",INDEX(합계표[직위(통합)],$W627)&amp;"")</f>
        <v/>
      </c>
      <c r="E627">
        <f>IF($W627="","",SUMIFS(합계표[시스템 합계],합계표[사번키],INDEX(합계표[사번키],$W627)))</f>
        <v/>
      </c>
      <c r="F627">
        <f>IF($W627="","",SUMIFS(상세표[기록 시간외],상세표[사번키],INDEX(합계표[사번키],$W627),상세표[기록월],대상월키))</f>
        <v/>
      </c>
      <c r="G627">
        <f>IF($W627="","",IF(ABS($E627-$F627)&lt;0.01,"일치","불일치(차이 "&amp;TEXT($F627-$E627,"0.00")&amp;")"))</f>
        <v/>
      </c>
      <c r="H627">
        <f>IF($W627="","",SUMIFS(상세표[기록 시간외],상세표[사번키],INDEX(합계표[사번키],$W627),상세표[기록월],대상월키,상세표[반영월],"&lt;&gt;"&amp;대상월키))</f>
        <v/>
      </c>
      <c r="I627">
        <f>IF($W627="","",SUMIFS(상세표[기록 시간외],상세표[사번키],INDEX(합계표[사번키],$W627),상세표[기록월],"&lt;&gt;"&amp;대상월키,상세표[반영월],대상월키))</f>
        <v/>
      </c>
      <c r="J627">
        <f>IF($W627="","",SUMIFS(상세표[기록 시간외],상세표[사번키],INDEX(합계표[사번키],$W627),상세표[반영월],대상월키))</f>
        <v/>
      </c>
      <c r="K627">
        <f>IF($W627="","",IFERROR(INDEX(월별근무지표[적용 급여병원],MATCH(INDEX(합계표[사번키],$W627)&amp;"|"&amp;대상월키,월별근무지표[키],0))&amp;"",IF(COUNTIF(기관표[사번키],INDEX(합계표[사번키],$W627))+COUNTIF(월별근무지표[사번키],INDEX(합계표[사번키],$W627))&gt;0,IFERROR(INDEX(기관표[급여지급병원(기준월)],MATCH(INDEX(합계표[사번키],$W627)&amp;"|"&amp;대상월키,기관표[키],0))&amp;"","—"),"—")))</f>
        <v/>
      </c>
      <c r="L627">
        <f>IF($W627="","",IF(NOT(COUNTIF(기관표[사번키],INDEX(합계표[사번키],$W627))+COUNTIF(월별근무지표[사번키],INDEX(합계표[사번키],$W627))&gt;0),"기관명단에 없음(다른 병원으로 발송)",IF($K627="—","대상월 기관명단 없음(추가 필요)",IF($K627="서울병원","해당","비해당"))))</f>
        <v/>
      </c>
      <c r="M627">
        <f>IF($W627="","",SUMIFS(상세표[06~07시],상세표[사번키],INDEX(합계표[사번키],$W627),상세표[반영월],대상월키,상세표[반영 기관],"서울병원"))</f>
        <v/>
      </c>
      <c r="N627">
        <f>IF($W627="","",SUMIFS(상세표[07~18시],상세표[사번키],INDEX(합계표[사번키],$W627),상세표[반영월],대상월키,상세표[반영 기관],"서울병원"))</f>
        <v/>
      </c>
      <c r="O627">
        <f>IF($W627="","",SUMIFS(상세표[18~22시],상세표[사번키],INDEX(합계표[사번키],$W627),상세표[반영월],대상월키,상세표[반영 기관],"서울병원"))</f>
        <v/>
      </c>
      <c r="P627">
        <f>IF($W627="","",SUMIFS(상세표[22~06시],상세표[사번키],INDEX(합계표[사번키],$W627),상세표[반영월],대상월키,상세표[반영 기관],"서울병원"))</f>
        <v/>
      </c>
      <c r="Q627">
        <f>IF($W627="","",SUM($M627:$P627))</f>
        <v/>
      </c>
      <c r="R627">
        <f>IF($W627="","",COUNTIFS(상세표[사번키],INDEX(합계표[사번키],$W627),상세표[반영월],대상월키,상세표[야간당직],1,상세표[야간 구분],"평일"))</f>
        <v/>
      </c>
      <c r="S627" s="4">
        <f>IF($W627="","",COUNTIFS(상세표[사번키],INDEX(합계표[사번키],$W627),상세표[반영월],대상월키,상세표[야간당직],1,상세표[야간 구분],"휴일"))</f>
        <v/>
      </c>
      <c r="T627">
        <f>IF($W627="","",COUNTIFS(상세표[사번키],INDEX(합계표[사번키],$W627),상세표[반영월],대상월키,상세표[야간당직],1,상세표[야간 구분],"평일",상세표[반영 기관],"서울병원"))</f>
        <v/>
      </c>
      <c r="U627">
        <f>IF($W627="","",COUNTIFS(상세표[사번키],INDEX(합계표[사번키],$W627),상세표[반영월],대상월키,상세표[야간당직],1,상세표[야간 구분],"휴일",상세표[반영 기관],"서울병원"))</f>
        <v/>
      </c>
      <c r="V627">
        <f>IF($W627="","",IF(ISNUMBER(MATCH(INDEX(합계표[사번키],$W627)&amp;"|"&amp;대상월키,월별근무지표[키],0)),"직접 입력",IF($K627="—","—","기관명단")))</f>
        <v/>
      </c>
      <c r="W627">
        <f>IFERROR(MATCH(622,합계표[판정순번],0),"")</f>
        <v/>
      </c>
    </row>
    <row r="628">
      <c r="A628">
        <f>IF($W628="","",INDEX(합계표[사번],$W628)&amp;"")</f>
        <v/>
      </c>
      <c r="B628">
        <f>IF($W628="","",INDEX(합계표[성명],$W628)&amp;"")</f>
        <v/>
      </c>
      <c r="C628">
        <f>IF($W628="","",INDEX(합계표[부서],$W628)&amp;"")</f>
        <v/>
      </c>
      <c r="D628">
        <f>IF($W628="","",INDEX(합계표[직위(통합)],$W628)&amp;"")</f>
        <v/>
      </c>
      <c r="E628">
        <f>IF($W628="","",SUMIFS(합계표[시스템 합계],합계표[사번키],INDEX(합계표[사번키],$W628)))</f>
        <v/>
      </c>
      <c r="F628">
        <f>IF($W628="","",SUMIFS(상세표[기록 시간외],상세표[사번키],INDEX(합계표[사번키],$W628),상세표[기록월],대상월키))</f>
        <v/>
      </c>
      <c r="G628">
        <f>IF($W628="","",IF(ABS($E628-$F628)&lt;0.01,"일치","불일치(차이 "&amp;TEXT($F628-$E628,"0.00")&amp;")"))</f>
        <v/>
      </c>
      <c r="H628">
        <f>IF($W628="","",SUMIFS(상세표[기록 시간외],상세표[사번키],INDEX(합계표[사번키],$W628),상세표[기록월],대상월키,상세표[반영월],"&lt;&gt;"&amp;대상월키))</f>
        <v/>
      </c>
      <c r="I628">
        <f>IF($W628="","",SUMIFS(상세표[기록 시간외],상세표[사번키],INDEX(합계표[사번키],$W628),상세표[기록월],"&lt;&gt;"&amp;대상월키,상세표[반영월],대상월키))</f>
        <v/>
      </c>
      <c r="J628">
        <f>IF($W628="","",SUMIFS(상세표[기록 시간외],상세표[사번키],INDEX(합계표[사번키],$W628),상세표[반영월],대상월키))</f>
        <v/>
      </c>
      <c r="K628">
        <f>IF($W628="","",IFERROR(INDEX(월별근무지표[적용 급여병원],MATCH(INDEX(합계표[사번키],$W628)&amp;"|"&amp;대상월키,월별근무지표[키],0))&amp;"",IF(COUNTIF(기관표[사번키],INDEX(합계표[사번키],$W628))+COUNTIF(월별근무지표[사번키],INDEX(합계표[사번키],$W628))&gt;0,IFERROR(INDEX(기관표[급여지급병원(기준월)],MATCH(INDEX(합계표[사번키],$W628)&amp;"|"&amp;대상월키,기관표[키],0))&amp;"","—"),"—")))</f>
        <v/>
      </c>
      <c r="L628">
        <f>IF($W628="","",IF(NOT(COUNTIF(기관표[사번키],INDEX(합계표[사번키],$W628))+COUNTIF(월별근무지표[사번키],INDEX(합계표[사번키],$W628))&gt;0),"기관명단에 없음(다른 병원으로 발송)",IF($K628="—","대상월 기관명단 없음(추가 필요)",IF($K628="서울병원","해당","비해당"))))</f>
        <v/>
      </c>
      <c r="M628">
        <f>IF($W628="","",SUMIFS(상세표[06~07시],상세표[사번키],INDEX(합계표[사번키],$W628),상세표[반영월],대상월키,상세표[반영 기관],"서울병원"))</f>
        <v/>
      </c>
      <c r="N628">
        <f>IF($W628="","",SUMIFS(상세표[07~18시],상세표[사번키],INDEX(합계표[사번키],$W628),상세표[반영월],대상월키,상세표[반영 기관],"서울병원"))</f>
        <v/>
      </c>
      <c r="O628">
        <f>IF($W628="","",SUMIFS(상세표[18~22시],상세표[사번키],INDEX(합계표[사번키],$W628),상세표[반영월],대상월키,상세표[반영 기관],"서울병원"))</f>
        <v/>
      </c>
      <c r="P628">
        <f>IF($W628="","",SUMIFS(상세표[22~06시],상세표[사번키],INDEX(합계표[사번키],$W628),상세표[반영월],대상월키,상세표[반영 기관],"서울병원"))</f>
        <v/>
      </c>
      <c r="Q628">
        <f>IF($W628="","",SUM($M628:$P628))</f>
        <v/>
      </c>
      <c r="R628">
        <f>IF($W628="","",COUNTIFS(상세표[사번키],INDEX(합계표[사번키],$W628),상세표[반영월],대상월키,상세표[야간당직],1,상세표[야간 구분],"평일"))</f>
        <v/>
      </c>
      <c r="S628" s="4">
        <f>IF($W628="","",COUNTIFS(상세표[사번키],INDEX(합계표[사번키],$W628),상세표[반영월],대상월키,상세표[야간당직],1,상세표[야간 구분],"휴일"))</f>
        <v/>
      </c>
      <c r="T628">
        <f>IF($W628="","",COUNTIFS(상세표[사번키],INDEX(합계표[사번키],$W628),상세표[반영월],대상월키,상세표[야간당직],1,상세표[야간 구분],"평일",상세표[반영 기관],"서울병원"))</f>
        <v/>
      </c>
      <c r="U628">
        <f>IF($W628="","",COUNTIFS(상세표[사번키],INDEX(합계표[사번키],$W628),상세표[반영월],대상월키,상세표[야간당직],1,상세표[야간 구분],"휴일",상세표[반영 기관],"서울병원"))</f>
        <v/>
      </c>
      <c r="V628">
        <f>IF($W628="","",IF(ISNUMBER(MATCH(INDEX(합계표[사번키],$W628)&amp;"|"&amp;대상월키,월별근무지표[키],0)),"직접 입력",IF($K628="—","—","기관명단")))</f>
        <v/>
      </c>
      <c r="W628">
        <f>IFERROR(MATCH(623,합계표[판정순번],0),"")</f>
        <v/>
      </c>
    </row>
    <row r="629">
      <c r="A629">
        <f>IF($W629="","",INDEX(합계표[사번],$W629)&amp;"")</f>
        <v/>
      </c>
      <c r="B629">
        <f>IF($W629="","",INDEX(합계표[성명],$W629)&amp;"")</f>
        <v/>
      </c>
      <c r="C629">
        <f>IF($W629="","",INDEX(합계표[부서],$W629)&amp;"")</f>
        <v/>
      </c>
      <c r="D629">
        <f>IF($W629="","",INDEX(합계표[직위(통합)],$W629)&amp;"")</f>
        <v/>
      </c>
      <c r="E629">
        <f>IF($W629="","",SUMIFS(합계표[시스템 합계],합계표[사번키],INDEX(합계표[사번키],$W629)))</f>
        <v/>
      </c>
      <c r="F629">
        <f>IF($W629="","",SUMIFS(상세표[기록 시간외],상세표[사번키],INDEX(합계표[사번키],$W629),상세표[기록월],대상월키))</f>
        <v/>
      </c>
      <c r="G629">
        <f>IF($W629="","",IF(ABS($E629-$F629)&lt;0.01,"일치","불일치(차이 "&amp;TEXT($F629-$E629,"0.00")&amp;")"))</f>
        <v/>
      </c>
      <c r="H629">
        <f>IF($W629="","",SUMIFS(상세표[기록 시간외],상세표[사번키],INDEX(합계표[사번키],$W629),상세표[기록월],대상월키,상세표[반영월],"&lt;&gt;"&amp;대상월키))</f>
        <v/>
      </c>
      <c r="I629">
        <f>IF($W629="","",SUMIFS(상세표[기록 시간외],상세표[사번키],INDEX(합계표[사번키],$W629),상세표[기록월],"&lt;&gt;"&amp;대상월키,상세표[반영월],대상월키))</f>
        <v/>
      </c>
      <c r="J629">
        <f>IF($W629="","",SUMIFS(상세표[기록 시간외],상세표[사번키],INDEX(합계표[사번키],$W629),상세표[반영월],대상월키))</f>
        <v/>
      </c>
      <c r="K629">
        <f>IF($W629="","",IFERROR(INDEX(월별근무지표[적용 급여병원],MATCH(INDEX(합계표[사번키],$W629)&amp;"|"&amp;대상월키,월별근무지표[키],0))&amp;"",IF(COUNTIF(기관표[사번키],INDEX(합계표[사번키],$W629))+COUNTIF(월별근무지표[사번키],INDEX(합계표[사번키],$W629))&gt;0,IFERROR(INDEX(기관표[급여지급병원(기준월)],MATCH(INDEX(합계표[사번키],$W629)&amp;"|"&amp;대상월키,기관표[키],0))&amp;"","—"),"—")))</f>
        <v/>
      </c>
      <c r="L629">
        <f>IF($W629="","",IF(NOT(COUNTIF(기관표[사번키],INDEX(합계표[사번키],$W629))+COUNTIF(월별근무지표[사번키],INDEX(합계표[사번키],$W629))&gt;0),"기관명단에 없음(다른 병원으로 발송)",IF($K629="—","대상월 기관명단 없음(추가 필요)",IF($K629="서울병원","해당","비해당"))))</f>
        <v/>
      </c>
      <c r="M629">
        <f>IF($W629="","",SUMIFS(상세표[06~07시],상세표[사번키],INDEX(합계표[사번키],$W629),상세표[반영월],대상월키,상세표[반영 기관],"서울병원"))</f>
        <v/>
      </c>
      <c r="N629">
        <f>IF($W629="","",SUMIFS(상세표[07~18시],상세표[사번키],INDEX(합계표[사번키],$W629),상세표[반영월],대상월키,상세표[반영 기관],"서울병원"))</f>
        <v/>
      </c>
      <c r="O629">
        <f>IF($W629="","",SUMIFS(상세표[18~22시],상세표[사번키],INDEX(합계표[사번키],$W629),상세표[반영월],대상월키,상세표[반영 기관],"서울병원"))</f>
        <v/>
      </c>
      <c r="P629">
        <f>IF($W629="","",SUMIFS(상세표[22~06시],상세표[사번키],INDEX(합계표[사번키],$W629),상세표[반영월],대상월키,상세표[반영 기관],"서울병원"))</f>
        <v/>
      </c>
      <c r="Q629">
        <f>IF($W629="","",SUM($M629:$P629))</f>
        <v/>
      </c>
      <c r="R629">
        <f>IF($W629="","",COUNTIFS(상세표[사번키],INDEX(합계표[사번키],$W629),상세표[반영월],대상월키,상세표[야간당직],1,상세표[야간 구분],"평일"))</f>
        <v/>
      </c>
      <c r="S629" s="4">
        <f>IF($W629="","",COUNTIFS(상세표[사번키],INDEX(합계표[사번키],$W629),상세표[반영월],대상월키,상세표[야간당직],1,상세표[야간 구분],"휴일"))</f>
        <v/>
      </c>
      <c r="T629">
        <f>IF($W629="","",COUNTIFS(상세표[사번키],INDEX(합계표[사번키],$W629),상세표[반영월],대상월키,상세표[야간당직],1,상세표[야간 구분],"평일",상세표[반영 기관],"서울병원"))</f>
        <v/>
      </c>
      <c r="U629">
        <f>IF($W629="","",COUNTIFS(상세표[사번키],INDEX(합계표[사번키],$W629),상세표[반영월],대상월키,상세표[야간당직],1,상세표[야간 구분],"휴일",상세표[반영 기관],"서울병원"))</f>
        <v/>
      </c>
      <c r="V629">
        <f>IF($W629="","",IF(ISNUMBER(MATCH(INDEX(합계표[사번키],$W629)&amp;"|"&amp;대상월키,월별근무지표[키],0)),"직접 입력",IF($K629="—","—","기관명단")))</f>
        <v/>
      </c>
      <c r="W629">
        <f>IFERROR(MATCH(624,합계표[판정순번],0),"")</f>
        <v/>
      </c>
    </row>
    <row r="630">
      <c r="A630">
        <f>IF($W630="","",INDEX(합계표[사번],$W630)&amp;"")</f>
        <v/>
      </c>
      <c r="B630">
        <f>IF($W630="","",INDEX(합계표[성명],$W630)&amp;"")</f>
        <v/>
      </c>
      <c r="C630">
        <f>IF($W630="","",INDEX(합계표[부서],$W630)&amp;"")</f>
        <v/>
      </c>
      <c r="D630">
        <f>IF($W630="","",INDEX(합계표[직위(통합)],$W630)&amp;"")</f>
        <v/>
      </c>
      <c r="E630">
        <f>IF($W630="","",SUMIFS(합계표[시스템 합계],합계표[사번키],INDEX(합계표[사번키],$W630)))</f>
        <v/>
      </c>
      <c r="F630">
        <f>IF($W630="","",SUMIFS(상세표[기록 시간외],상세표[사번키],INDEX(합계표[사번키],$W630),상세표[기록월],대상월키))</f>
        <v/>
      </c>
      <c r="G630">
        <f>IF($W630="","",IF(ABS($E630-$F630)&lt;0.01,"일치","불일치(차이 "&amp;TEXT($F630-$E630,"0.00")&amp;")"))</f>
        <v/>
      </c>
      <c r="H630">
        <f>IF($W630="","",SUMIFS(상세표[기록 시간외],상세표[사번키],INDEX(합계표[사번키],$W630),상세표[기록월],대상월키,상세표[반영월],"&lt;&gt;"&amp;대상월키))</f>
        <v/>
      </c>
      <c r="I630">
        <f>IF($W630="","",SUMIFS(상세표[기록 시간외],상세표[사번키],INDEX(합계표[사번키],$W630),상세표[기록월],"&lt;&gt;"&amp;대상월키,상세표[반영월],대상월키))</f>
        <v/>
      </c>
      <c r="J630">
        <f>IF($W630="","",SUMIFS(상세표[기록 시간외],상세표[사번키],INDEX(합계표[사번키],$W630),상세표[반영월],대상월키))</f>
        <v/>
      </c>
      <c r="K630">
        <f>IF($W630="","",IFERROR(INDEX(월별근무지표[적용 급여병원],MATCH(INDEX(합계표[사번키],$W630)&amp;"|"&amp;대상월키,월별근무지표[키],0))&amp;"",IF(COUNTIF(기관표[사번키],INDEX(합계표[사번키],$W630))+COUNTIF(월별근무지표[사번키],INDEX(합계표[사번키],$W630))&gt;0,IFERROR(INDEX(기관표[급여지급병원(기준월)],MATCH(INDEX(합계표[사번키],$W630)&amp;"|"&amp;대상월키,기관표[키],0))&amp;"","—"),"—")))</f>
        <v/>
      </c>
      <c r="L630">
        <f>IF($W630="","",IF(NOT(COUNTIF(기관표[사번키],INDEX(합계표[사번키],$W630))+COUNTIF(월별근무지표[사번키],INDEX(합계표[사번키],$W630))&gt;0),"기관명단에 없음(다른 병원으로 발송)",IF($K630="—","대상월 기관명단 없음(추가 필요)",IF($K630="서울병원","해당","비해당"))))</f>
        <v/>
      </c>
      <c r="M630">
        <f>IF($W630="","",SUMIFS(상세표[06~07시],상세표[사번키],INDEX(합계표[사번키],$W630),상세표[반영월],대상월키,상세표[반영 기관],"서울병원"))</f>
        <v/>
      </c>
      <c r="N630">
        <f>IF($W630="","",SUMIFS(상세표[07~18시],상세표[사번키],INDEX(합계표[사번키],$W630),상세표[반영월],대상월키,상세표[반영 기관],"서울병원"))</f>
        <v/>
      </c>
      <c r="O630">
        <f>IF($W630="","",SUMIFS(상세표[18~22시],상세표[사번키],INDEX(합계표[사번키],$W630),상세표[반영월],대상월키,상세표[반영 기관],"서울병원"))</f>
        <v/>
      </c>
      <c r="P630">
        <f>IF($W630="","",SUMIFS(상세표[22~06시],상세표[사번키],INDEX(합계표[사번키],$W630),상세표[반영월],대상월키,상세표[반영 기관],"서울병원"))</f>
        <v/>
      </c>
      <c r="Q630">
        <f>IF($W630="","",SUM($M630:$P630))</f>
        <v/>
      </c>
      <c r="R630">
        <f>IF($W630="","",COUNTIFS(상세표[사번키],INDEX(합계표[사번키],$W630),상세표[반영월],대상월키,상세표[야간당직],1,상세표[야간 구분],"평일"))</f>
        <v/>
      </c>
      <c r="S630" s="4">
        <f>IF($W630="","",COUNTIFS(상세표[사번키],INDEX(합계표[사번키],$W630),상세표[반영월],대상월키,상세표[야간당직],1,상세표[야간 구분],"휴일"))</f>
        <v/>
      </c>
      <c r="T630">
        <f>IF($W630="","",COUNTIFS(상세표[사번키],INDEX(합계표[사번키],$W630),상세표[반영월],대상월키,상세표[야간당직],1,상세표[야간 구분],"평일",상세표[반영 기관],"서울병원"))</f>
        <v/>
      </c>
      <c r="U630">
        <f>IF($W630="","",COUNTIFS(상세표[사번키],INDEX(합계표[사번키],$W630),상세표[반영월],대상월키,상세표[야간당직],1,상세표[야간 구분],"휴일",상세표[반영 기관],"서울병원"))</f>
        <v/>
      </c>
      <c r="V630">
        <f>IF($W630="","",IF(ISNUMBER(MATCH(INDEX(합계표[사번키],$W630)&amp;"|"&amp;대상월키,월별근무지표[키],0)),"직접 입력",IF($K630="—","—","기관명단")))</f>
        <v/>
      </c>
      <c r="W630">
        <f>IFERROR(MATCH(625,합계표[판정순번],0),"")</f>
        <v/>
      </c>
    </row>
    <row r="631">
      <c r="A631">
        <f>IF($W631="","",INDEX(합계표[사번],$W631)&amp;"")</f>
        <v/>
      </c>
      <c r="B631">
        <f>IF($W631="","",INDEX(합계표[성명],$W631)&amp;"")</f>
        <v/>
      </c>
      <c r="C631">
        <f>IF($W631="","",INDEX(합계표[부서],$W631)&amp;"")</f>
        <v/>
      </c>
      <c r="D631">
        <f>IF($W631="","",INDEX(합계표[직위(통합)],$W631)&amp;"")</f>
        <v/>
      </c>
      <c r="E631">
        <f>IF($W631="","",SUMIFS(합계표[시스템 합계],합계표[사번키],INDEX(합계표[사번키],$W631)))</f>
        <v/>
      </c>
      <c r="F631">
        <f>IF($W631="","",SUMIFS(상세표[기록 시간외],상세표[사번키],INDEX(합계표[사번키],$W631),상세표[기록월],대상월키))</f>
        <v/>
      </c>
      <c r="G631">
        <f>IF($W631="","",IF(ABS($E631-$F631)&lt;0.01,"일치","불일치(차이 "&amp;TEXT($F631-$E631,"0.00")&amp;")"))</f>
        <v/>
      </c>
      <c r="H631">
        <f>IF($W631="","",SUMIFS(상세표[기록 시간외],상세표[사번키],INDEX(합계표[사번키],$W631),상세표[기록월],대상월키,상세표[반영월],"&lt;&gt;"&amp;대상월키))</f>
        <v/>
      </c>
      <c r="I631">
        <f>IF($W631="","",SUMIFS(상세표[기록 시간외],상세표[사번키],INDEX(합계표[사번키],$W631),상세표[기록월],"&lt;&gt;"&amp;대상월키,상세표[반영월],대상월키))</f>
        <v/>
      </c>
      <c r="J631">
        <f>IF($W631="","",SUMIFS(상세표[기록 시간외],상세표[사번키],INDEX(합계표[사번키],$W631),상세표[반영월],대상월키))</f>
        <v/>
      </c>
      <c r="K631">
        <f>IF($W631="","",IFERROR(INDEX(월별근무지표[적용 급여병원],MATCH(INDEX(합계표[사번키],$W631)&amp;"|"&amp;대상월키,월별근무지표[키],0))&amp;"",IF(COUNTIF(기관표[사번키],INDEX(합계표[사번키],$W631))+COUNTIF(월별근무지표[사번키],INDEX(합계표[사번키],$W631))&gt;0,IFERROR(INDEX(기관표[급여지급병원(기준월)],MATCH(INDEX(합계표[사번키],$W631)&amp;"|"&amp;대상월키,기관표[키],0))&amp;"","—"),"—")))</f>
        <v/>
      </c>
      <c r="L631">
        <f>IF($W631="","",IF(NOT(COUNTIF(기관표[사번키],INDEX(합계표[사번키],$W631))+COUNTIF(월별근무지표[사번키],INDEX(합계표[사번키],$W631))&gt;0),"기관명단에 없음(다른 병원으로 발송)",IF($K631="—","대상월 기관명단 없음(추가 필요)",IF($K631="서울병원","해당","비해당"))))</f>
        <v/>
      </c>
      <c r="M631">
        <f>IF($W631="","",SUMIFS(상세표[06~07시],상세표[사번키],INDEX(합계표[사번키],$W631),상세표[반영월],대상월키,상세표[반영 기관],"서울병원"))</f>
        <v/>
      </c>
      <c r="N631">
        <f>IF($W631="","",SUMIFS(상세표[07~18시],상세표[사번키],INDEX(합계표[사번키],$W631),상세표[반영월],대상월키,상세표[반영 기관],"서울병원"))</f>
        <v/>
      </c>
      <c r="O631">
        <f>IF($W631="","",SUMIFS(상세표[18~22시],상세표[사번키],INDEX(합계표[사번키],$W631),상세표[반영월],대상월키,상세표[반영 기관],"서울병원"))</f>
        <v/>
      </c>
      <c r="P631">
        <f>IF($W631="","",SUMIFS(상세표[22~06시],상세표[사번키],INDEX(합계표[사번키],$W631),상세표[반영월],대상월키,상세표[반영 기관],"서울병원"))</f>
        <v/>
      </c>
      <c r="Q631">
        <f>IF($W631="","",SUM($M631:$P631))</f>
        <v/>
      </c>
      <c r="R631">
        <f>IF($W631="","",COUNTIFS(상세표[사번키],INDEX(합계표[사번키],$W631),상세표[반영월],대상월키,상세표[야간당직],1,상세표[야간 구분],"평일"))</f>
        <v/>
      </c>
      <c r="S631" s="4">
        <f>IF($W631="","",COUNTIFS(상세표[사번키],INDEX(합계표[사번키],$W631),상세표[반영월],대상월키,상세표[야간당직],1,상세표[야간 구분],"휴일"))</f>
        <v/>
      </c>
      <c r="T631">
        <f>IF($W631="","",COUNTIFS(상세표[사번키],INDEX(합계표[사번키],$W631),상세표[반영월],대상월키,상세표[야간당직],1,상세표[야간 구분],"평일",상세표[반영 기관],"서울병원"))</f>
        <v/>
      </c>
      <c r="U631">
        <f>IF($W631="","",COUNTIFS(상세표[사번키],INDEX(합계표[사번키],$W631),상세표[반영월],대상월키,상세표[야간당직],1,상세표[야간 구분],"휴일",상세표[반영 기관],"서울병원"))</f>
        <v/>
      </c>
      <c r="V631">
        <f>IF($W631="","",IF(ISNUMBER(MATCH(INDEX(합계표[사번키],$W631)&amp;"|"&amp;대상월키,월별근무지표[키],0)),"직접 입력",IF($K631="—","—","기관명단")))</f>
        <v/>
      </c>
      <c r="W631">
        <f>IFERROR(MATCH(626,합계표[판정순번],0),"")</f>
        <v/>
      </c>
    </row>
    <row r="632">
      <c r="A632">
        <f>IF($W632="","",INDEX(합계표[사번],$W632)&amp;"")</f>
        <v/>
      </c>
      <c r="B632">
        <f>IF($W632="","",INDEX(합계표[성명],$W632)&amp;"")</f>
        <v/>
      </c>
      <c r="C632">
        <f>IF($W632="","",INDEX(합계표[부서],$W632)&amp;"")</f>
        <v/>
      </c>
      <c r="D632">
        <f>IF($W632="","",INDEX(합계표[직위(통합)],$W632)&amp;"")</f>
        <v/>
      </c>
      <c r="E632">
        <f>IF($W632="","",SUMIFS(합계표[시스템 합계],합계표[사번키],INDEX(합계표[사번키],$W632)))</f>
        <v/>
      </c>
      <c r="F632">
        <f>IF($W632="","",SUMIFS(상세표[기록 시간외],상세표[사번키],INDEX(합계표[사번키],$W632),상세표[기록월],대상월키))</f>
        <v/>
      </c>
      <c r="G632">
        <f>IF($W632="","",IF(ABS($E632-$F632)&lt;0.01,"일치","불일치(차이 "&amp;TEXT($F632-$E632,"0.00")&amp;")"))</f>
        <v/>
      </c>
      <c r="H632">
        <f>IF($W632="","",SUMIFS(상세표[기록 시간외],상세표[사번키],INDEX(합계표[사번키],$W632),상세표[기록월],대상월키,상세표[반영월],"&lt;&gt;"&amp;대상월키))</f>
        <v/>
      </c>
      <c r="I632">
        <f>IF($W632="","",SUMIFS(상세표[기록 시간외],상세표[사번키],INDEX(합계표[사번키],$W632),상세표[기록월],"&lt;&gt;"&amp;대상월키,상세표[반영월],대상월키))</f>
        <v/>
      </c>
      <c r="J632">
        <f>IF($W632="","",SUMIFS(상세표[기록 시간외],상세표[사번키],INDEX(합계표[사번키],$W632),상세표[반영월],대상월키))</f>
        <v/>
      </c>
      <c r="K632">
        <f>IF($W632="","",IFERROR(INDEX(월별근무지표[적용 급여병원],MATCH(INDEX(합계표[사번키],$W632)&amp;"|"&amp;대상월키,월별근무지표[키],0))&amp;"",IF(COUNTIF(기관표[사번키],INDEX(합계표[사번키],$W632))+COUNTIF(월별근무지표[사번키],INDEX(합계표[사번키],$W632))&gt;0,IFERROR(INDEX(기관표[급여지급병원(기준월)],MATCH(INDEX(합계표[사번키],$W632)&amp;"|"&amp;대상월키,기관표[키],0))&amp;"","—"),"—")))</f>
        <v/>
      </c>
      <c r="L632">
        <f>IF($W632="","",IF(NOT(COUNTIF(기관표[사번키],INDEX(합계표[사번키],$W632))+COUNTIF(월별근무지표[사번키],INDEX(합계표[사번키],$W632))&gt;0),"기관명단에 없음(다른 병원으로 발송)",IF($K632="—","대상월 기관명단 없음(추가 필요)",IF($K632="서울병원","해당","비해당"))))</f>
        <v/>
      </c>
      <c r="M632">
        <f>IF($W632="","",SUMIFS(상세표[06~07시],상세표[사번키],INDEX(합계표[사번키],$W632),상세표[반영월],대상월키,상세표[반영 기관],"서울병원"))</f>
        <v/>
      </c>
      <c r="N632">
        <f>IF($W632="","",SUMIFS(상세표[07~18시],상세표[사번키],INDEX(합계표[사번키],$W632),상세표[반영월],대상월키,상세표[반영 기관],"서울병원"))</f>
        <v/>
      </c>
      <c r="O632">
        <f>IF($W632="","",SUMIFS(상세표[18~22시],상세표[사번키],INDEX(합계표[사번키],$W632),상세표[반영월],대상월키,상세표[반영 기관],"서울병원"))</f>
        <v/>
      </c>
      <c r="P632">
        <f>IF($W632="","",SUMIFS(상세표[22~06시],상세표[사번키],INDEX(합계표[사번키],$W632),상세표[반영월],대상월키,상세표[반영 기관],"서울병원"))</f>
        <v/>
      </c>
      <c r="Q632">
        <f>IF($W632="","",SUM($M632:$P632))</f>
        <v/>
      </c>
      <c r="R632">
        <f>IF($W632="","",COUNTIFS(상세표[사번키],INDEX(합계표[사번키],$W632),상세표[반영월],대상월키,상세표[야간당직],1,상세표[야간 구분],"평일"))</f>
        <v/>
      </c>
      <c r="S632" s="4">
        <f>IF($W632="","",COUNTIFS(상세표[사번키],INDEX(합계표[사번키],$W632),상세표[반영월],대상월키,상세표[야간당직],1,상세표[야간 구분],"휴일"))</f>
        <v/>
      </c>
      <c r="T632">
        <f>IF($W632="","",COUNTIFS(상세표[사번키],INDEX(합계표[사번키],$W632),상세표[반영월],대상월키,상세표[야간당직],1,상세표[야간 구분],"평일",상세표[반영 기관],"서울병원"))</f>
        <v/>
      </c>
      <c r="U632">
        <f>IF($W632="","",COUNTIFS(상세표[사번키],INDEX(합계표[사번키],$W632),상세표[반영월],대상월키,상세표[야간당직],1,상세표[야간 구분],"휴일",상세표[반영 기관],"서울병원"))</f>
        <v/>
      </c>
      <c r="V632">
        <f>IF($W632="","",IF(ISNUMBER(MATCH(INDEX(합계표[사번키],$W632)&amp;"|"&amp;대상월키,월별근무지표[키],0)),"직접 입력",IF($K632="—","—","기관명단")))</f>
        <v/>
      </c>
      <c r="W632">
        <f>IFERROR(MATCH(627,합계표[판정순번],0),"")</f>
        <v/>
      </c>
    </row>
    <row r="633">
      <c r="A633">
        <f>IF($W633="","",INDEX(합계표[사번],$W633)&amp;"")</f>
        <v/>
      </c>
      <c r="B633">
        <f>IF($W633="","",INDEX(합계표[성명],$W633)&amp;"")</f>
        <v/>
      </c>
      <c r="C633">
        <f>IF($W633="","",INDEX(합계표[부서],$W633)&amp;"")</f>
        <v/>
      </c>
      <c r="D633">
        <f>IF($W633="","",INDEX(합계표[직위(통합)],$W633)&amp;"")</f>
        <v/>
      </c>
      <c r="E633">
        <f>IF($W633="","",SUMIFS(합계표[시스템 합계],합계표[사번키],INDEX(합계표[사번키],$W633)))</f>
        <v/>
      </c>
      <c r="F633">
        <f>IF($W633="","",SUMIFS(상세표[기록 시간외],상세표[사번키],INDEX(합계표[사번키],$W633),상세표[기록월],대상월키))</f>
        <v/>
      </c>
      <c r="G633">
        <f>IF($W633="","",IF(ABS($E633-$F633)&lt;0.01,"일치","불일치(차이 "&amp;TEXT($F633-$E633,"0.00")&amp;")"))</f>
        <v/>
      </c>
      <c r="H633">
        <f>IF($W633="","",SUMIFS(상세표[기록 시간외],상세표[사번키],INDEX(합계표[사번키],$W633),상세표[기록월],대상월키,상세표[반영월],"&lt;&gt;"&amp;대상월키))</f>
        <v/>
      </c>
      <c r="I633">
        <f>IF($W633="","",SUMIFS(상세표[기록 시간외],상세표[사번키],INDEX(합계표[사번키],$W633),상세표[기록월],"&lt;&gt;"&amp;대상월키,상세표[반영월],대상월키))</f>
        <v/>
      </c>
      <c r="J633">
        <f>IF($W633="","",SUMIFS(상세표[기록 시간외],상세표[사번키],INDEX(합계표[사번키],$W633),상세표[반영월],대상월키))</f>
        <v/>
      </c>
      <c r="K633">
        <f>IF($W633="","",IFERROR(INDEX(월별근무지표[적용 급여병원],MATCH(INDEX(합계표[사번키],$W633)&amp;"|"&amp;대상월키,월별근무지표[키],0))&amp;"",IF(COUNTIF(기관표[사번키],INDEX(합계표[사번키],$W633))+COUNTIF(월별근무지표[사번키],INDEX(합계표[사번키],$W633))&gt;0,IFERROR(INDEX(기관표[급여지급병원(기준월)],MATCH(INDEX(합계표[사번키],$W633)&amp;"|"&amp;대상월키,기관표[키],0))&amp;"","—"),"—")))</f>
        <v/>
      </c>
      <c r="L633">
        <f>IF($W633="","",IF(NOT(COUNTIF(기관표[사번키],INDEX(합계표[사번키],$W633))+COUNTIF(월별근무지표[사번키],INDEX(합계표[사번키],$W633))&gt;0),"기관명단에 없음(다른 병원으로 발송)",IF($K633="—","대상월 기관명단 없음(추가 필요)",IF($K633="서울병원","해당","비해당"))))</f>
        <v/>
      </c>
      <c r="M633">
        <f>IF($W633="","",SUMIFS(상세표[06~07시],상세표[사번키],INDEX(합계표[사번키],$W633),상세표[반영월],대상월키,상세표[반영 기관],"서울병원"))</f>
        <v/>
      </c>
      <c r="N633">
        <f>IF($W633="","",SUMIFS(상세표[07~18시],상세표[사번키],INDEX(합계표[사번키],$W633),상세표[반영월],대상월키,상세표[반영 기관],"서울병원"))</f>
        <v/>
      </c>
      <c r="O633">
        <f>IF($W633="","",SUMIFS(상세표[18~22시],상세표[사번키],INDEX(합계표[사번키],$W633),상세표[반영월],대상월키,상세표[반영 기관],"서울병원"))</f>
        <v/>
      </c>
      <c r="P633">
        <f>IF($W633="","",SUMIFS(상세표[22~06시],상세표[사번키],INDEX(합계표[사번키],$W633),상세표[반영월],대상월키,상세표[반영 기관],"서울병원"))</f>
        <v/>
      </c>
      <c r="Q633">
        <f>IF($W633="","",SUM($M633:$P633))</f>
        <v/>
      </c>
      <c r="R633">
        <f>IF($W633="","",COUNTIFS(상세표[사번키],INDEX(합계표[사번키],$W633),상세표[반영월],대상월키,상세표[야간당직],1,상세표[야간 구분],"평일"))</f>
        <v/>
      </c>
      <c r="S633" s="4">
        <f>IF($W633="","",COUNTIFS(상세표[사번키],INDEX(합계표[사번키],$W633),상세표[반영월],대상월키,상세표[야간당직],1,상세표[야간 구분],"휴일"))</f>
        <v/>
      </c>
      <c r="T633">
        <f>IF($W633="","",COUNTIFS(상세표[사번키],INDEX(합계표[사번키],$W633),상세표[반영월],대상월키,상세표[야간당직],1,상세표[야간 구분],"평일",상세표[반영 기관],"서울병원"))</f>
        <v/>
      </c>
      <c r="U633">
        <f>IF($W633="","",COUNTIFS(상세표[사번키],INDEX(합계표[사번키],$W633),상세표[반영월],대상월키,상세표[야간당직],1,상세표[야간 구분],"휴일",상세표[반영 기관],"서울병원"))</f>
        <v/>
      </c>
      <c r="V633">
        <f>IF($W633="","",IF(ISNUMBER(MATCH(INDEX(합계표[사번키],$W633)&amp;"|"&amp;대상월키,월별근무지표[키],0)),"직접 입력",IF($K633="—","—","기관명단")))</f>
        <v/>
      </c>
      <c r="W633">
        <f>IFERROR(MATCH(628,합계표[판정순번],0),"")</f>
        <v/>
      </c>
    </row>
    <row r="634">
      <c r="A634">
        <f>IF($W634="","",INDEX(합계표[사번],$W634)&amp;"")</f>
        <v/>
      </c>
      <c r="B634">
        <f>IF($W634="","",INDEX(합계표[성명],$W634)&amp;"")</f>
        <v/>
      </c>
      <c r="C634">
        <f>IF($W634="","",INDEX(합계표[부서],$W634)&amp;"")</f>
        <v/>
      </c>
      <c r="D634">
        <f>IF($W634="","",INDEX(합계표[직위(통합)],$W634)&amp;"")</f>
        <v/>
      </c>
      <c r="E634">
        <f>IF($W634="","",SUMIFS(합계표[시스템 합계],합계표[사번키],INDEX(합계표[사번키],$W634)))</f>
        <v/>
      </c>
      <c r="F634">
        <f>IF($W634="","",SUMIFS(상세표[기록 시간외],상세표[사번키],INDEX(합계표[사번키],$W634),상세표[기록월],대상월키))</f>
        <v/>
      </c>
      <c r="G634">
        <f>IF($W634="","",IF(ABS($E634-$F634)&lt;0.01,"일치","불일치(차이 "&amp;TEXT($F634-$E634,"0.00")&amp;")"))</f>
        <v/>
      </c>
      <c r="H634">
        <f>IF($W634="","",SUMIFS(상세표[기록 시간외],상세표[사번키],INDEX(합계표[사번키],$W634),상세표[기록월],대상월키,상세표[반영월],"&lt;&gt;"&amp;대상월키))</f>
        <v/>
      </c>
      <c r="I634">
        <f>IF($W634="","",SUMIFS(상세표[기록 시간외],상세표[사번키],INDEX(합계표[사번키],$W634),상세표[기록월],"&lt;&gt;"&amp;대상월키,상세표[반영월],대상월키))</f>
        <v/>
      </c>
      <c r="J634">
        <f>IF($W634="","",SUMIFS(상세표[기록 시간외],상세표[사번키],INDEX(합계표[사번키],$W634),상세표[반영월],대상월키))</f>
        <v/>
      </c>
      <c r="K634">
        <f>IF($W634="","",IFERROR(INDEX(월별근무지표[적용 급여병원],MATCH(INDEX(합계표[사번키],$W634)&amp;"|"&amp;대상월키,월별근무지표[키],0))&amp;"",IF(COUNTIF(기관표[사번키],INDEX(합계표[사번키],$W634))+COUNTIF(월별근무지표[사번키],INDEX(합계표[사번키],$W634))&gt;0,IFERROR(INDEX(기관표[급여지급병원(기준월)],MATCH(INDEX(합계표[사번키],$W634)&amp;"|"&amp;대상월키,기관표[키],0))&amp;"","—"),"—")))</f>
        <v/>
      </c>
      <c r="L634">
        <f>IF($W634="","",IF(NOT(COUNTIF(기관표[사번키],INDEX(합계표[사번키],$W634))+COUNTIF(월별근무지표[사번키],INDEX(합계표[사번키],$W634))&gt;0),"기관명단에 없음(다른 병원으로 발송)",IF($K634="—","대상월 기관명단 없음(추가 필요)",IF($K634="서울병원","해당","비해당"))))</f>
        <v/>
      </c>
      <c r="M634">
        <f>IF($W634="","",SUMIFS(상세표[06~07시],상세표[사번키],INDEX(합계표[사번키],$W634),상세표[반영월],대상월키,상세표[반영 기관],"서울병원"))</f>
        <v/>
      </c>
      <c r="N634">
        <f>IF($W634="","",SUMIFS(상세표[07~18시],상세표[사번키],INDEX(합계표[사번키],$W634),상세표[반영월],대상월키,상세표[반영 기관],"서울병원"))</f>
        <v/>
      </c>
      <c r="O634">
        <f>IF($W634="","",SUMIFS(상세표[18~22시],상세표[사번키],INDEX(합계표[사번키],$W634),상세표[반영월],대상월키,상세표[반영 기관],"서울병원"))</f>
        <v/>
      </c>
      <c r="P634">
        <f>IF($W634="","",SUMIFS(상세표[22~06시],상세표[사번키],INDEX(합계표[사번키],$W634),상세표[반영월],대상월키,상세표[반영 기관],"서울병원"))</f>
        <v/>
      </c>
      <c r="Q634">
        <f>IF($W634="","",SUM($M634:$P634))</f>
        <v/>
      </c>
      <c r="R634">
        <f>IF($W634="","",COUNTIFS(상세표[사번키],INDEX(합계표[사번키],$W634),상세표[반영월],대상월키,상세표[야간당직],1,상세표[야간 구분],"평일"))</f>
        <v/>
      </c>
      <c r="S634" s="4">
        <f>IF($W634="","",COUNTIFS(상세표[사번키],INDEX(합계표[사번키],$W634),상세표[반영월],대상월키,상세표[야간당직],1,상세표[야간 구분],"휴일"))</f>
        <v/>
      </c>
      <c r="T634">
        <f>IF($W634="","",COUNTIFS(상세표[사번키],INDEX(합계표[사번키],$W634),상세표[반영월],대상월키,상세표[야간당직],1,상세표[야간 구분],"평일",상세표[반영 기관],"서울병원"))</f>
        <v/>
      </c>
      <c r="U634">
        <f>IF($W634="","",COUNTIFS(상세표[사번키],INDEX(합계표[사번키],$W634),상세표[반영월],대상월키,상세표[야간당직],1,상세표[야간 구분],"휴일",상세표[반영 기관],"서울병원"))</f>
        <v/>
      </c>
      <c r="V634">
        <f>IF($W634="","",IF(ISNUMBER(MATCH(INDEX(합계표[사번키],$W634)&amp;"|"&amp;대상월키,월별근무지표[키],0)),"직접 입력",IF($K634="—","—","기관명단")))</f>
        <v/>
      </c>
      <c r="W634">
        <f>IFERROR(MATCH(629,합계표[판정순번],0),"")</f>
        <v/>
      </c>
    </row>
    <row r="635">
      <c r="A635">
        <f>IF($W635="","",INDEX(합계표[사번],$W635)&amp;"")</f>
        <v/>
      </c>
      <c r="B635">
        <f>IF($W635="","",INDEX(합계표[성명],$W635)&amp;"")</f>
        <v/>
      </c>
      <c r="C635">
        <f>IF($W635="","",INDEX(합계표[부서],$W635)&amp;"")</f>
        <v/>
      </c>
      <c r="D635">
        <f>IF($W635="","",INDEX(합계표[직위(통합)],$W635)&amp;"")</f>
        <v/>
      </c>
      <c r="E635">
        <f>IF($W635="","",SUMIFS(합계표[시스템 합계],합계표[사번키],INDEX(합계표[사번키],$W635)))</f>
        <v/>
      </c>
      <c r="F635">
        <f>IF($W635="","",SUMIFS(상세표[기록 시간외],상세표[사번키],INDEX(합계표[사번키],$W635),상세표[기록월],대상월키))</f>
        <v/>
      </c>
      <c r="G635">
        <f>IF($W635="","",IF(ABS($E635-$F635)&lt;0.01,"일치","불일치(차이 "&amp;TEXT($F635-$E635,"0.00")&amp;")"))</f>
        <v/>
      </c>
      <c r="H635">
        <f>IF($W635="","",SUMIFS(상세표[기록 시간외],상세표[사번키],INDEX(합계표[사번키],$W635),상세표[기록월],대상월키,상세표[반영월],"&lt;&gt;"&amp;대상월키))</f>
        <v/>
      </c>
      <c r="I635">
        <f>IF($W635="","",SUMIFS(상세표[기록 시간외],상세표[사번키],INDEX(합계표[사번키],$W635),상세표[기록월],"&lt;&gt;"&amp;대상월키,상세표[반영월],대상월키))</f>
        <v/>
      </c>
      <c r="J635">
        <f>IF($W635="","",SUMIFS(상세표[기록 시간외],상세표[사번키],INDEX(합계표[사번키],$W635),상세표[반영월],대상월키))</f>
        <v/>
      </c>
      <c r="K635">
        <f>IF($W635="","",IFERROR(INDEX(월별근무지표[적용 급여병원],MATCH(INDEX(합계표[사번키],$W635)&amp;"|"&amp;대상월키,월별근무지표[키],0))&amp;"",IF(COUNTIF(기관표[사번키],INDEX(합계표[사번키],$W635))+COUNTIF(월별근무지표[사번키],INDEX(합계표[사번키],$W635))&gt;0,IFERROR(INDEX(기관표[급여지급병원(기준월)],MATCH(INDEX(합계표[사번키],$W635)&amp;"|"&amp;대상월키,기관표[키],0))&amp;"","—"),"—")))</f>
        <v/>
      </c>
      <c r="L635">
        <f>IF($W635="","",IF(NOT(COUNTIF(기관표[사번키],INDEX(합계표[사번키],$W635))+COUNTIF(월별근무지표[사번키],INDEX(합계표[사번키],$W635))&gt;0),"기관명단에 없음(다른 병원으로 발송)",IF($K635="—","대상월 기관명단 없음(추가 필요)",IF($K635="서울병원","해당","비해당"))))</f>
        <v/>
      </c>
      <c r="M635">
        <f>IF($W635="","",SUMIFS(상세표[06~07시],상세표[사번키],INDEX(합계표[사번키],$W635),상세표[반영월],대상월키,상세표[반영 기관],"서울병원"))</f>
        <v/>
      </c>
      <c r="N635">
        <f>IF($W635="","",SUMIFS(상세표[07~18시],상세표[사번키],INDEX(합계표[사번키],$W635),상세표[반영월],대상월키,상세표[반영 기관],"서울병원"))</f>
        <v/>
      </c>
      <c r="O635">
        <f>IF($W635="","",SUMIFS(상세표[18~22시],상세표[사번키],INDEX(합계표[사번키],$W635),상세표[반영월],대상월키,상세표[반영 기관],"서울병원"))</f>
        <v/>
      </c>
      <c r="P635">
        <f>IF($W635="","",SUMIFS(상세표[22~06시],상세표[사번키],INDEX(합계표[사번키],$W635),상세표[반영월],대상월키,상세표[반영 기관],"서울병원"))</f>
        <v/>
      </c>
      <c r="Q635">
        <f>IF($W635="","",SUM($M635:$P635))</f>
        <v/>
      </c>
      <c r="R635">
        <f>IF($W635="","",COUNTIFS(상세표[사번키],INDEX(합계표[사번키],$W635),상세표[반영월],대상월키,상세표[야간당직],1,상세표[야간 구분],"평일"))</f>
        <v/>
      </c>
      <c r="S635" s="4">
        <f>IF($W635="","",COUNTIFS(상세표[사번키],INDEX(합계표[사번키],$W635),상세표[반영월],대상월키,상세표[야간당직],1,상세표[야간 구분],"휴일"))</f>
        <v/>
      </c>
      <c r="T635">
        <f>IF($W635="","",COUNTIFS(상세표[사번키],INDEX(합계표[사번키],$W635),상세표[반영월],대상월키,상세표[야간당직],1,상세표[야간 구분],"평일",상세표[반영 기관],"서울병원"))</f>
        <v/>
      </c>
      <c r="U635">
        <f>IF($W635="","",COUNTIFS(상세표[사번키],INDEX(합계표[사번키],$W635),상세표[반영월],대상월키,상세표[야간당직],1,상세표[야간 구분],"휴일",상세표[반영 기관],"서울병원"))</f>
        <v/>
      </c>
      <c r="V635">
        <f>IF($W635="","",IF(ISNUMBER(MATCH(INDEX(합계표[사번키],$W635)&amp;"|"&amp;대상월키,월별근무지표[키],0)),"직접 입력",IF($K635="—","—","기관명단")))</f>
        <v/>
      </c>
      <c r="W635">
        <f>IFERROR(MATCH(630,합계표[판정순번],0),"")</f>
        <v/>
      </c>
    </row>
    <row r="636">
      <c r="A636">
        <f>IF($W636="","",INDEX(합계표[사번],$W636)&amp;"")</f>
        <v/>
      </c>
      <c r="B636">
        <f>IF($W636="","",INDEX(합계표[성명],$W636)&amp;"")</f>
        <v/>
      </c>
      <c r="C636">
        <f>IF($W636="","",INDEX(합계표[부서],$W636)&amp;"")</f>
        <v/>
      </c>
      <c r="D636">
        <f>IF($W636="","",INDEX(합계표[직위(통합)],$W636)&amp;"")</f>
        <v/>
      </c>
      <c r="E636">
        <f>IF($W636="","",SUMIFS(합계표[시스템 합계],합계표[사번키],INDEX(합계표[사번키],$W636)))</f>
        <v/>
      </c>
      <c r="F636">
        <f>IF($W636="","",SUMIFS(상세표[기록 시간외],상세표[사번키],INDEX(합계표[사번키],$W636),상세표[기록월],대상월키))</f>
        <v/>
      </c>
      <c r="G636">
        <f>IF($W636="","",IF(ABS($E636-$F636)&lt;0.01,"일치","불일치(차이 "&amp;TEXT($F636-$E636,"0.00")&amp;")"))</f>
        <v/>
      </c>
      <c r="H636">
        <f>IF($W636="","",SUMIFS(상세표[기록 시간외],상세표[사번키],INDEX(합계표[사번키],$W636),상세표[기록월],대상월키,상세표[반영월],"&lt;&gt;"&amp;대상월키))</f>
        <v/>
      </c>
      <c r="I636">
        <f>IF($W636="","",SUMIFS(상세표[기록 시간외],상세표[사번키],INDEX(합계표[사번키],$W636),상세표[기록월],"&lt;&gt;"&amp;대상월키,상세표[반영월],대상월키))</f>
        <v/>
      </c>
      <c r="J636">
        <f>IF($W636="","",SUMIFS(상세표[기록 시간외],상세표[사번키],INDEX(합계표[사번키],$W636),상세표[반영월],대상월키))</f>
        <v/>
      </c>
      <c r="K636">
        <f>IF($W636="","",IFERROR(INDEX(월별근무지표[적용 급여병원],MATCH(INDEX(합계표[사번키],$W636)&amp;"|"&amp;대상월키,월별근무지표[키],0))&amp;"",IF(COUNTIF(기관표[사번키],INDEX(합계표[사번키],$W636))+COUNTIF(월별근무지표[사번키],INDEX(합계표[사번키],$W636))&gt;0,IFERROR(INDEX(기관표[급여지급병원(기준월)],MATCH(INDEX(합계표[사번키],$W636)&amp;"|"&amp;대상월키,기관표[키],0))&amp;"","—"),"—")))</f>
        <v/>
      </c>
      <c r="L636">
        <f>IF($W636="","",IF(NOT(COUNTIF(기관표[사번키],INDEX(합계표[사번키],$W636))+COUNTIF(월별근무지표[사번키],INDEX(합계표[사번키],$W636))&gt;0),"기관명단에 없음(다른 병원으로 발송)",IF($K636="—","대상월 기관명단 없음(추가 필요)",IF($K636="서울병원","해당","비해당"))))</f>
        <v/>
      </c>
      <c r="M636">
        <f>IF($W636="","",SUMIFS(상세표[06~07시],상세표[사번키],INDEX(합계표[사번키],$W636),상세표[반영월],대상월키,상세표[반영 기관],"서울병원"))</f>
        <v/>
      </c>
      <c r="N636">
        <f>IF($W636="","",SUMIFS(상세표[07~18시],상세표[사번키],INDEX(합계표[사번키],$W636),상세표[반영월],대상월키,상세표[반영 기관],"서울병원"))</f>
        <v/>
      </c>
      <c r="O636">
        <f>IF($W636="","",SUMIFS(상세표[18~22시],상세표[사번키],INDEX(합계표[사번키],$W636),상세표[반영월],대상월키,상세표[반영 기관],"서울병원"))</f>
        <v/>
      </c>
      <c r="P636">
        <f>IF($W636="","",SUMIFS(상세표[22~06시],상세표[사번키],INDEX(합계표[사번키],$W636),상세표[반영월],대상월키,상세표[반영 기관],"서울병원"))</f>
        <v/>
      </c>
      <c r="Q636">
        <f>IF($W636="","",SUM($M636:$P636))</f>
        <v/>
      </c>
      <c r="R636">
        <f>IF($W636="","",COUNTIFS(상세표[사번키],INDEX(합계표[사번키],$W636),상세표[반영월],대상월키,상세표[야간당직],1,상세표[야간 구분],"평일"))</f>
        <v/>
      </c>
      <c r="S636" s="4">
        <f>IF($W636="","",COUNTIFS(상세표[사번키],INDEX(합계표[사번키],$W636),상세표[반영월],대상월키,상세표[야간당직],1,상세표[야간 구분],"휴일"))</f>
        <v/>
      </c>
      <c r="T636">
        <f>IF($W636="","",COUNTIFS(상세표[사번키],INDEX(합계표[사번키],$W636),상세표[반영월],대상월키,상세표[야간당직],1,상세표[야간 구분],"평일",상세표[반영 기관],"서울병원"))</f>
        <v/>
      </c>
      <c r="U636">
        <f>IF($W636="","",COUNTIFS(상세표[사번키],INDEX(합계표[사번키],$W636),상세표[반영월],대상월키,상세표[야간당직],1,상세표[야간 구분],"휴일",상세표[반영 기관],"서울병원"))</f>
        <v/>
      </c>
      <c r="V636">
        <f>IF($W636="","",IF(ISNUMBER(MATCH(INDEX(합계표[사번키],$W636)&amp;"|"&amp;대상월키,월별근무지표[키],0)),"직접 입력",IF($K636="—","—","기관명단")))</f>
        <v/>
      </c>
      <c r="W636">
        <f>IFERROR(MATCH(631,합계표[판정순번],0),"")</f>
        <v/>
      </c>
    </row>
    <row r="637">
      <c r="A637">
        <f>IF($W637="","",INDEX(합계표[사번],$W637)&amp;"")</f>
        <v/>
      </c>
      <c r="B637">
        <f>IF($W637="","",INDEX(합계표[성명],$W637)&amp;"")</f>
        <v/>
      </c>
      <c r="C637">
        <f>IF($W637="","",INDEX(합계표[부서],$W637)&amp;"")</f>
        <v/>
      </c>
      <c r="D637">
        <f>IF($W637="","",INDEX(합계표[직위(통합)],$W637)&amp;"")</f>
        <v/>
      </c>
      <c r="E637">
        <f>IF($W637="","",SUMIFS(합계표[시스템 합계],합계표[사번키],INDEX(합계표[사번키],$W637)))</f>
        <v/>
      </c>
      <c r="F637">
        <f>IF($W637="","",SUMIFS(상세표[기록 시간외],상세표[사번키],INDEX(합계표[사번키],$W637),상세표[기록월],대상월키))</f>
        <v/>
      </c>
      <c r="G637">
        <f>IF($W637="","",IF(ABS($E637-$F637)&lt;0.01,"일치","불일치(차이 "&amp;TEXT($F637-$E637,"0.00")&amp;")"))</f>
        <v/>
      </c>
      <c r="H637">
        <f>IF($W637="","",SUMIFS(상세표[기록 시간외],상세표[사번키],INDEX(합계표[사번키],$W637),상세표[기록월],대상월키,상세표[반영월],"&lt;&gt;"&amp;대상월키))</f>
        <v/>
      </c>
      <c r="I637">
        <f>IF($W637="","",SUMIFS(상세표[기록 시간외],상세표[사번키],INDEX(합계표[사번키],$W637),상세표[기록월],"&lt;&gt;"&amp;대상월키,상세표[반영월],대상월키))</f>
        <v/>
      </c>
      <c r="J637">
        <f>IF($W637="","",SUMIFS(상세표[기록 시간외],상세표[사번키],INDEX(합계표[사번키],$W637),상세표[반영월],대상월키))</f>
        <v/>
      </c>
      <c r="K637">
        <f>IF($W637="","",IFERROR(INDEX(월별근무지표[적용 급여병원],MATCH(INDEX(합계표[사번키],$W637)&amp;"|"&amp;대상월키,월별근무지표[키],0))&amp;"",IF(COUNTIF(기관표[사번키],INDEX(합계표[사번키],$W637))+COUNTIF(월별근무지표[사번키],INDEX(합계표[사번키],$W637))&gt;0,IFERROR(INDEX(기관표[급여지급병원(기준월)],MATCH(INDEX(합계표[사번키],$W637)&amp;"|"&amp;대상월키,기관표[키],0))&amp;"","—"),"—")))</f>
        <v/>
      </c>
      <c r="L637">
        <f>IF($W637="","",IF(NOT(COUNTIF(기관표[사번키],INDEX(합계표[사번키],$W637))+COUNTIF(월별근무지표[사번키],INDEX(합계표[사번키],$W637))&gt;0),"기관명단에 없음(다른 병원으로 발송)",IF($K637="—","대상월 기관명단 없음(추가 필요)",IF($K637="서울병원","해당","비해당"))))</f>
        <v/>
      </c>
      <c r="M637">
        <f>IF($W637="","",SUMIFS(상세표[06~07시],상세표[사번키],INDEX(합계표[사번키],$W637),상세표[반영월],대상월키,상세표[반영 기관],"서울병원"))</f>
        <v/>
      </c>
      <c r="N637">
        <f>IF($W637="","",SUMIFS(상세표[07~18시],상세표[사번키],INDEX(합계표[사번키],$W637),상세표[반영월],대상월키,상세표[반영 기관],"서울병원"))</f>
        <v/>
      </c>
      <c r="O637">
        <f>IF($W637="","",SUMIFS(상세표[18~22시],상세표[사번키],INDEX(합계표[사번키],$W637),상세표[반영월],대상월키,상세표[반영 기관],"서울병원"))</f>
        <v/>
      </c>
      <c r="P637">
        <f>IF($W637="","",SUMIFS(상세표[22~06시],상세표[사번키],INDEX(합계표[사번키],$W637),상세표[반영월],대상월키,상세표[반영 기관],"서울병원"))</f>
        <v/>
      </c>
      <c r="Q637">
        <f>IF($W637="","",SUM($M637:$P637))</f>
        <v/>
      </c>
      <c r="R637">
        <f>IF($W637="","",COUNTIFS(상세표[사번키],INDEX(합계표[사번키],$W637),상세표[반영월],대상월키,상세표[야간당직],1,상세표[야간 구분],"평일"))</f>
        <v/>
      </c>
      <c r="S637" s="4">
        <f>IF($W637="","",COUNTIFS(상세표[사번키],INDEX(합계표[사번키],$W637),상세표[반영월],대상월키,상세표[야간당직],1,상세표[야간 구분],"휴일"))</f>
        <v/>
      </c>
      <c r="T637">
        <f>IF($W637="","",COUNTIFS(상세표[사번키],INDEX(합계표[사번키],$W637),상세표[반영월],대상월키,상세표[야간당직],1,상세표[야간 구분],"평일",상세표[반영 기관],"서울병원"))</f>
        <v/>
      </c>
      <c r="U637">
        <f>IF($W637="","",COUNTIFS(상세표[사번키],INDEX(합계표[사번키],$W637),상세표[반영월],대상월키,상세표[야간당직],1,상세표[야간 구분],"휴일",상세표[반영 기관],"서울병원"))</f>
        <v/>
      </c>
      <c r="V637">
        <f>IF($W637="","",IF(ISNUMBER(MATCH(INDEX(합계표[사번키],$W637)&amp;"|"&amp;대상월키,월별근무지표[키],0)),"직접 입력",IF($K637="—","—","기관명단")))</f>
        <v/>
      </c>
      <c r="W637">
        <f>IFERROR(MATCH(632,합계표[판정순번],0),"")</f>
        <v/>
      </c>
    </row>
    <row r="638">
      <c r="A638">
        <f>IF($W638="","",INDEX(합계표[사번],$W638)&amp;"")</f>
        <v/>
      </c>
      <c r="B638">
        <f>IF($W638="","",INDEX(합계표[성명],$W638)&amp;"")</f>
        <v/>
      </c>
      <c r="C638">
        <f>IF($W638="","",INDEX(합계표[부서],$W638)&amp;"")</f>
        <v/>
      </c>
      <c r="D638">
        <f>IF($W638="","",INDEX(합계표[직위(통합)],$W638)&amp;"")</f>
        <v/>
      </c>
      <c r="E638">
        <f>IF($W638="","",SUMIFS(합계표[시스템 합계],합계표[사번키],INDEX(합계표[사번키],$W638)))</f>
        <v/>
      </c>
      <c r="F638">
        <f>IF($W638="","",SUMIFS(상세표[기록 시간외],상세표[사번키],INDEX(합계표[사번키],$W638),상세표[기록월],대상월키))</f>
        <v/>
      </c>
      <c r="G638">
        <f>IF($W638="","",IF(ABS($E638-$F638)&lt;0.01,"일치","불일치(차이 "&amp;TEXT($F638-$E638,"0.00")&amp;")"))</f>
        <v/>
      </c>
      <c r="H638">
        <f>IF($W638="","",SUMIFS(상세표[기록 시간외],상세표[사번키],INDEX(합계표[사번키],$W638),상세표[기록월],대상월키,상세표[반영월],"&lt;&gt;"&amp;대상월키))</f>
        <v/>
      </c>
      <c r="I638">
        <f>IF($W638="","",SUMIFS(상세표[기록 시간외],상세표[사번키],INDEX(합계표[사번키],$W638),상세표[기록월],"&lt;&gt;"&amp;대상월키,상세표[반영월],대상월키))</f>
        <v/>
      </c>
      <c r="J638">
        <f>IF($W638="","",SUMIFS(상세표[기록 시간외],상세표[사번키],INDEX(합계표[사번키],$W638),상세표[반영월],대상월키))</f>
        <v/>
      </c>
      <c r="K638">
        <f>IF($W638="","",IFERROR(INDEX(월별근무지표[적용 급여병원],MATCH(INDEX(합계표[사번키],$W638)&amp;"|"&amp;대상월키,월별근무지표[키],0))&amp;"",IF(COUNTIF(기관표[사번키],INDEX(합계표[사번키],$W638))+COUNTIF(월별근무지표[사번키],INDEX(합계표[사번키],$W638))&gt;0,IFERROR(INDEX(기관표[급여지급병원(기준월)],MATCH(INDEX(합계표[사번키],$W638)&amp;"|"&amp;대상월키,기관표[키],0))&amp;"","—"),"—")))</f>
        <v/>
      </c>
      <c r="L638">
        <f>IF($W638="","",IF(NOT(COUNTIF(기관표[사번키],INDEX(합계표[사번키],$W638))+COUNTIF(월별근무지표[사번키],INDEX(합계표[사번키],$W638))&gt;0),"기관명단에 없음(다른 병원으로 발송)",IF($K638="—","대상월 기관명단 없음(추가 필요)",IF($K638="서울병원","해당","비해당"))))</f>
        <v/>
      </c>
      <c r="M638">
        <f>IF($W638="","",SUMIFS(상세표[06~07시],상세표[사번키],INDEX(합계표[사번키],$W638),상세표[반영월],대상월키,상세표[반영 기관],"서울병원"))</f>
        <v/>
      </c>
      <c r="N638">
        <f>IF($W638="","",SUMIFS(상세표[07~18시],상세표[사번키],INDEX(합계표[사번키],$W638),상세표[반영월],대상월키,상세표[반영 기관],"서울병원"))</f>
        <v/>
      </c>
      <c r="O638">
        <f>IF($W638="","",SUMIFS(상세표[18~22시],상세표[사번키],INDEX(합계표[사번키],$W638),상세표[반영월],대상월키,상세표[반영 기관],"서울병원"))</f>
        <v/>
      </c>
      <c r="P638">
        <f>IF($W638="","",SUMIFS(상세표[22~06시],상세표[사번키],INDEX(합계표[사번키],$W638),상세표[반영월],대상월키,상세표[반영 기관],"서울병원"))</f>
        <v/>
      </c>
      <c r="Q638">
        <f>IF($W638="","",SUM($M638:$P638))</f>
        <v/>
      </c>
      <c r="R638">
        <f>IF($W638="","",COUNTIFS(상세표[사번키],INDEX(합계표[사번키],$W638),상세표[반영월],대상월키,상세표[야간당직],1,상세표[야간 구분],"평일"))</f>
        <v/>
      </c>
      <c r="S638" s="4">
        <f>IF($W638="","",COUNTIFS(상세표[사번키],INDEX(합계표[사번키],$W638),상세표[반영월],대상월키,상세표[야간당직],1,상세표[야간 구분],"휴일"))</f>
        <v/>
      </c>
      <c r="T638">
        <f>IF($W638="","",COUNTIFS(상세표[사번키],INDEX(합계표[사번키],$W638),상세표[반영월],대상월키,상세표[야간당직],1,상세표[야간 구분],"평일",상세표[반영 기관],"서울병원"))</f>
        <v/>
      </c>
      <c r="U638">
        <f>IF($W638="","",COUNTIFS(상세표[사번키],INDEX(합계표[사번키],$W638),상세표[반영월],대상월키,상세표[야간당직],1,상세표[야간 구분],"휴일",상세표[반영 기관],"서울병원"))</f>
        <v/>
      </c>
      <c r="V638">
        <f>IF($W638="","",IF(ISNUMBER(MATCH(INDEX(합계표[사번키],$W638)&amp;"|"&amp;대상월키,월별근무지표[키],0)),"직접 입력",IF($K638="—","—","기관명단")))</f>
        <v/>
      </c>
      <c r="W638">
        <f>IFERROR(MATCH(633,합계표[판정순번],0),"")</f>
        <v/>
      </c>
    </row>
    <row r="639">
      <c r="A639">
        <f>IF($W639="","",INDEX(합계표[사번],$W639)&amp;"")</f>
        <v/>
      </c>
      <c r="B639">
        <f>IF($W639="","",INDEX(합계표[성명],$W639)&amp;"")</f>
        <v/>
      </c>
      <c r="C639">
        <f>IF($W639="","",INDEX(합계표[부서],$W639)&amp;"")</f>
        <v/>
      </c>
      <c r="D639">
        <f>IF($W639="","",INDEX(합계표[직위(통합)],$W639)&amp;"")</f>
        <v/>
      </c>
      <c r="E639">
        <f>IF($W639="","",SUMIFS(합계표[시스템 합계],합계표[사번키],INDEX(합계표[사번키],$W639)))</f>
        <v/>
      </c>
      <c r="F639">
        <f>IF($W639="","",SUMIFS(상세표[기록 시간외],상세표[사번키],INDEX(합계표[사번키],$W639),상세표[기록월],대상월키))</f>
        <v/>
      </c>
      <c r="G639">
        <f>IF($W639="","",IF(ABS($E639-$F639)&lt;0.01,"일치","불일치(차이 "&amp;TEXT($F639-$E639,"0.00")&amp;")"))</f>
        <v/>
      </c>
      <c r="H639">
        <f>IF($W639="","",SUMIFS(상세표[기록 시간외],상세표[사번키],INDEX(합계표[사번키],$W639),상세표[기록월],대상월키,상세표[반영월],"&lt;&gt;"&amp;대상월키))</f>
        <v/>
      </c>
      <c r="I639">
        <f>IF($W639="","",SUMIFS(상세표[기록 시간외],상세표[사번키],INDEX(합계표[사번키],$W639),상세표[기록월],"&lt;&gt;"&amp;대상월키,상세표[반영월],대상월키))</f>
        <v/>
      </c>
      <c r="J639">
        <f>IF($W639="","",SUMIFS(상세표[기록 시간외],상세표[사번키],INDEX(합계표[사번키],$W639),상세표[반영월],대상월키))</f>
        <v/>
      </c>
      <c r="K639">
        <f>IF($W639="","",IFERROR(INDEX(월별근무지표[적용 급여병원],MATCH(INDEX(합계표[사번키],$W639)&amp;"|"&amp;대상월키,월별근무지표[키],0))&amp;"",IF(COUNTIF(기관표[사번키],INDEX(합계표[사번키],$W639))+COUNTIF(월별근무지표[사번키],INDEX(합계표[사번키],$W639))&gt;0,IFERROR(INDEX(기관표[급여지급병원(기준월)],MATCH(INDEX(합계표[사번키],$W639)&amp;"|"&amp;대상월키,기관표[키],0))&amp;"","—"),"—")))</f>
        <v/>
      </c>
      <c r="L639">
        <f>IF($W639="","",IF(NOT(COUNTIF(기관표[사번키],INDEX(합계표[사번키],$W639))+COUNTIF(월별근무지표[사번키],INDEX(합계표[사번키],$W639))&gt;0),"기관명단에 없음(다른 병원으로 발송)",IF($K639="—","대상월 기관명단 없음(추가 필요)",IF($K639="서울병원","해당","비해당"))))</f>
        <v/>
      </c>
      <c r="M639">
        <f>IF($W639="","",SUMIFS(상세표[06~07시],상세표[사번키],INDEX(합계표[사번키],$W639),상세표[반영월],대상월키,상세표[반영 기관],"서울병원"))</f>
        <v/>
      </c>
      <c r="N639">
        <f>IF($W639="","",SUMIFS(상세표[07~18시],상세표[사번키],INDEX(합계표[사번키],$W639),상세표[반영월],대상월키,상세표[반영 기관],"서울병원"))</f>
        <v/>
      </c>
      <c r="O639">
        <f>IF($W639="","",SUMIFS(상세표[18~22시],상세표[사번키],INDEX(합계표[사번키],$W639),상세표[반영월],대상월키,상세표[반영 기관],"서울병원"))</f>
        <v/>
      </c>
      <c r="P639">
        <f>IF($W639="","",SUMIFS(상세표[22~06시],상세표[사번키],INDEX(합계표[사번키],$W639),상세표[반영월],대상월키,상세표[반영 기관],"서울병원"))</f>
        <v/>
      </c>
      <c r="Q639">
        <f>IF($W639="","",SUM($M639:$P639))</f>
        <v/>
      </c>
      <c r="R639">
        <f>IF($W639="","",COUNTIFS(상세표[사번키],INDEX(합계표[사번키],$W639),상세표[반영월],대상월키,상세표[야간당직],1,상세표[야간 구분],"평일"))</f>
        <v/>
      </c>
      <c r="S639" s="4">
        <f>IF($W639="","",COUNTIFS(상세표[사번키],INDEX(합계표[사번키],$W639),상세표[반영월],대상월키,상세표[야간당직],1,상세표[야간 구분],"휴일"))</f>
        <v/>
      </c>
      <c r="T639">
        <f>IF($W639="","",COUNTIFS(상세표[사번키],INDEX(합계표[사번키],$W639),상세표[반영월],대상월키,상세표[야간당직],1,상세표[야간 구분],"평일",상세표[반영 기관],"서울병원"))</f>
        <v/>
      </c>
      <c r="U639">
        <f>IF($W639="","",COUNTIFS(상세표[사번키],INDEX(합계표[사번키],$W639),상세표[반영월],대상월키,상세표[야간당직],1,상세표[야간 구분],"휴일",상세표[반영 기관],"서울병원"))</f>
        <v/>
      </c>
      <c r="V639">
        <f>IF($W639="","",IF(ISNUMBER(MATCH(INDEX(합계표[사번키],$W639)&amp;"|"&amp;대상월키,월별근무지표[키],0)),"직접 입력",IF($K639="—","—","기관명단")))</f>
        <v/>
      </c>
      <c r="W639">
        <f>IFERROR(MATCH(634,합계표[판정순번],0),"")</f>
        <v/>
      </c>
    </row>
    <row r="640">
      <c r="A640">
        <f>IF($W640="","",INDEX(합계표[사번],$W640)&amp;"")</f>
        <v/>
      </c>
      <c r="B640">
        <f>IF($W640="","",INDEX(합계표[성명],$W640)&amp;"")</f>
        <v/>
      </c>
      <c r="C640">
        <f>IF($W640="","",INDEX(합계표[부서],$W640)&amp;"")</f>
        <v/>
      </c>
      <c r="D640">
        <f>IF($W640="","",INDEX(합계표[직위(통합)],$W640)&amp;"")</f>
        <v/>
      </c>
      <c r="E640">
        <f>IF($W640="","",SUMIFS(합계표[시스템 합계],합계표[사번키],INDEX(합계표[사번키],$W640)))</f>
        <v/>
      </c>
      <c r="F640">
        <f>IF($W640="","",SUMIFS(상세표[기록 시간외],상세표[사번키],INDEX(합계표[사번키],$W640),상세표[기록월],대상월키))</f>
        <v/>
      </c>
      <c r="G640">
        <f>IF($W640="","",IF(ABS($E640-$F640)&lt;0.01,"일치","불일치(차이 "&amp;TEXT($F640-$E640,"0.00")&amp;")"))</f>
        <v/>
      </c>
      <c r="H640">
        <f>IF($W640="","",SUMIFS(상세표[기록 시간외],상세표[사번키],INDEX(합계표[사번키],$W640),상세표[기록월],대상월키,상세표[반영월],"&lt;&gt;"&amp;대상월키))</f>
        <v/>
      </c>
      <c r="I640">
        <f>IF($W640="","",SUMIFS(상세표[기록 시간외],상세표[사번키],INDEX(합계표[사번키],$W640),상세표[기록월],"&lt;&gt;"&amp;대상월키,상세표[반영월],대상월키))</f>
        <v/>
      </c>
      <c r="J640">
        <f>IF($W640="","",SUMIFS(상세표[기록 시간외],상세표[사번키],INDEX(합계표[사번키],$W640),상세표[반영월],대상월키))</f>
        <v/>
      </c>
      <c r="K640">
        <f>IF($W640="","",IFERROR(INDEX(월별근무지표[적용 급여병원],MATCH(INDEX(합계표[사번키],$W640)&amp;"|"&amp;대상월키,월별근무지표[키],0))&amp;"",IF(COUNTIF(기관표[사번키],INDEX(합계표[사번키],$W640))+COUNTIF(월별근무지표[사번키],INDEX(합계표[사번키],$W640))&gt;0,IFERROR(INDEX(기관표[급여지급병원(기준월)],MATCH(INDEX(합계표[사번키],$W640)&amp;"|"&amp;대상월키,기관표[키],0))&amp;"","—"),"—")))</f>
        <v/>
      </c>
      <c r="L640">
        <f>IF($W640="","",IF(NOT(COUNTIF(기관표[사번키],INDEX(합계표[사번키],$W640))+COUNTIF(월별근무지표[사번키],INDEX(합계표[사번키],$W640))&gt;0),"기관명단에 없음(다른 병원으로 발송)",IF($K640="—","대상월 기관명단 없음(추가 필요)",IF($K640="서울병원","해당","비해당"))))</f>
        <v/>
      </c>
      <c r="M640">
        <f>IF($W640="","",SUMIFS(상세표[06~07시],상세표[사번키],INDEX(합계표[사번키],$W640),상세표[반영월],대상월키,상세표[반영 기관],"서울병원"))</f>
        <v/>
      </c>
      <c r="N640">
        <f>IF($W640="","",SUMIFS(상세표[07~18시],상세표[사번키],INDEX(합계표[사번키],$W640),상세표[반영월],대상월키,상세표[반영 기관],"서울병원"))</f>
        <v/>
      </c>
      <c r="O640">
        <f>IF($W640="","",SUMIFS(상세표[18~22시],상세표[사번키],INDEX(합계표[사번키],$W640),상세표[반영월],대상월키,상세표[반영 기관],"서울병원"))</f>
        <v/>
      </c>
      <c r="P640">
        <f>IF($W640="","",SUMIFS(상세표[22~06시],상세표[사번키],INDEX(합계표[사번키],$W640),상세표[반영월],대상월키,상세표[반영 기관],"서울병원"))</f>
        <v/>
      </c>
      <c r="Q640">
        <f>IF($W640="","",SUM($M640:$P640))</f>
        <v/>
      </c>
      <c r="R640">
        <f>IF($W640="","",COUNTIFS(상세표[사번키],INDEX(합계표[사번키],$W640),상세표[반영월],대상월키,상세표[야간당직],1,상세표[야간 구분],"평일"))</f>
        <v/>
      </c>
      <c r="S640" s="4">
        <f>IF($W640="","",COUNTIFS(상세표[사번키],INDEX(합계표[사번키],$W640),상세표[반영월],대상월키,상세표[야간당직],1,상세표[야간 구분],"휴일"))</f>
        <v/>
      </c>
      <c r="T640">
        <f>IF($W640="","",COUNTIFS(상세표[사번키],INDEX(합계표[사번키],$W640),상세표[반영월],대상월키,상세표[야간당직],1,상세표[야간 구분],"평일",상세표[반영 기관],"서울병원"))</f>
        <v/>
      </c>
      <c r="U640">
        <f>IF($W640="","",COUNTIFS(상세표[사번키],INDEX(합계표[사번키],$W640),상세표[반영월],대상월키,상세표[야간당직],1,상세표[야간 구분],"휴일",상세표[반영 기관],"서울병원"))</f>
        <v/>
      </c>
      <c r="V640">
        <f>IF($W640="","",IF(ISNUMBER(MATCH(INDEX(합계표[사번키],$W640)&amp;"|"&amp;대상월키,월별근무지표[키],0)),"직접 입력",IF($K640="—","—","기관명단")))</f>
        <v/>
      </c>
      <c r="W640">
        <f>IFERROR(MATCH(635,합계표[판정순번],0),"")</f>
        <v/>
      </c>
    </row>
    <row r="641">
      <c r="A641">
        <f>IF($W641="","",INDEX(합계표[사번],$W641)&amp;"")</f>
        <v/>
      </c>
      <c r="B641">
        <f>IF($W641="","",INDEX(합계표[성명],$W641)&amp;"")</f>
        <v/>
      </c>
      <c r="C641">
        <f>IF($W641="","",INDEX(합계표[부서],$W641)&amp;"")</f>
        <v/>
      </c>
      <c r="D641">
        <f>IF($W641="","",INDEX(합계표[직위(통합)],$W641)&amp;"")</f>
        <v/>
      </c>
      <c r="E641">
        <f>IF($W641="","",SUMIFS(합계표[시스템 합계],합계표[사번키],INDEX(합계표[사번키],$W641)))</f>
        <v/>
      </c>
      <c r="F641">
        <f>IF($W641="","",SUMIFS(상세표[기록 시간외],상세표[사번키],INDEX(합계표[사번키],$W641),상세표[기록월],대상월키))</f>
        <v/>
      </c>
      <c r="G641">
        <f>IF($W641="","",IF(ABS($E641-$F641)&lt;0.01,"일치","불일치(차이 "&amp;TEXT($F641-$E641,"0.00")&amp;")"))</f>
        <v/>
      </c>
      <c r="H641">
        <f>IF($W641="","",SUMIFS(상세표[기록 시간외],상세표[사번키],INDEX(합계표[사번키],$W641),상세표[기록월],대상월키,상세표[반영월],"&lt;&gt;"&amp;대상월키))</f>
        <v/>
      </c>
      <c r="I641">
        <f>IF($W641="","",SUMIFS(상세표[기록 시간외],상세표[사번키],INDEX(합계표[사번키],$W641),상세표[기록월],"&lt;&gt;"&amp;대상월키,상세표[반영월],대상월키))</f>
        <v/>
      </c>
      <c r="J641">
        <f>IF($W641="","",SUMIFS(상세표[기록 시간외],상세표[사번키],INDEX(합계표[사번키],$W641),상세표[반영월],대상월키))</f>
        <v/>
      </c>
      <c r="K641">
        <f>IF($W641="","",IFERROR(INDEX(월별근무지표[적용 급여병원],MATCH(INDEX(합계표[사번키],$W641)&amp;"|"&amp;대상월키,월별근무지표[키],0))&amp;"",IF(COUNTIF(기관표[사번키],INDEX(합계표[사번키],$W641))+COUNTIF(월별근무지표[사번키],INDEX(합계표[사번키],$W641))&gt;0,IFERROR(INDEX(기관표[급여지급병원(기준월)],MATCH(INDEX(합계표[사번키],$W641)&amp;"|"&amp;대상월키,기관표[키],0))&amp;"","—"),"—")))</f>
        <v/>
      </c>
      <c r="L641">
        <f>IF($W641="","",IF(NOT(COUNTIF(기관표[사번키],INDEX(합계표[사번키],$W641))+COUNTIF(월별근무지표[사번키],INDEX(합계표[사번키],$W641))&gt;0),"기관명단에 없음(다른 병원으로 발송)",IF($K641="—","대상월 기관명단 없음(추가 필요)",IF($K641="서울병원","해당","비해당"))))</f>
        <v/>
      </c>
      <c r="M641">
        <f>IF($W641="","",SUMIFS(상세표[06~07시],상세표[사번키],INDEX(합계표[사번키],$W641),상세표[반영월],대상월키,상세표[반영 기관],"서울병원"))</f>
        <v/>
      </c>
      <c r="N641">
        <f>IF($W641="","",SUMIFS(상세표[07~18시],상세표[사번키],INDEX(합계표[사번키],$W641),상세표[반영월],대상월키,상세표[반영 기관],"서울병원"))</f>
        <v/>
      </c>
      <c r="O641">
        <f>IF($W641="","",SUMIFS(상세표[18~22시],상세표[사번키],INDEX(합계표[사번키],$W641),상세표[반영월],대상월키,상세표[반영 기관],"서울병원"))</f>
        <v/>
      </c>
      <c r="P641">
        <f>IF($W641="","",SUMIFS(상세표[22~06시],상세표[사번키],INDEX(합계표[사번키],$W641),상세표[반영월],대상월키,상세표[반영 기관],"서울병원"))</f>
        <v/>
      </c>
      <c r="Q641">
        <f>IF($W641="","",SUM($M641:$P641))</f>
        <v/>
      </c>
      <c r="R641">
        <f>IF($W641="","",COUNTIFS(상세표[사번키],INDEX(합계표[사번키],$W641),상세표[반영월],대상월키,상세표[야간당직],1,상세표[야간 구분],"평일"))</f>
        <v/>
      </c>
      <c r="S641" s="4">
        <f>IF($W641="","",COUNTIFS(상세표[사번키],INDEX(합계표[사번키],$W641),상세표[반영월],대상월키,상세표[야간당직],1,상세표[야간 구분],"휴일"))</f>
        <v/>
      </c>
      <c r="T641">
        <f>IF($W641="","",COUNTIFS(상세표[사번키],INDEX(합계표[사번키],$W641),상세표[반영월],대상월키,상세표[야간당직],1,상세표[야간 구분],"평일",상세표[반영 기관],"서울병원"))</f>
        <v/>
      </c>
      <c r="U641">
        <f>IF($W641="","",COUNTIFS(상세표[사번키],INDEX(합계표[사번키],$W641),상세표[반영월],대상월키,상세표[야간당직],1,상세표[야간 구분],"휴일",상세표[반영 기관],"서울병원"))</f>
        <v/>
      </c>
      <c r="V641">
        <f>IF($W641="","",IF(ISNUMBER(MATCH(INDEX(합계표[사번키],$W641)&amp;"|"&amp;대상월키,월별근무지표[키],0)),"직접 입력",IF($K641="—","—","기관명단")))</f>
        <v/>
      </c>
      <c r="W641">
        <f>IFERROR(MATCH(636,합계표[판정순번],0),"")</f>
        <v/>
      </c>
    </row>
    <row r="642">
      <c r="A642">
        <f>IF($W642="","",INDEX(합계표[사번],$W642)&amp;"")</f>
        <v/>
      </c>
      <c r="B642">
        <f>IF($W642="","",INDEX(합계표[성명],$W642)&amp;"")</f>
        <v/>
      </c>
      <c r="C642">
        <f>IF($W642="","",INDEX(합계표[부서],$W642)&amp;"")</f>
        <v/>
      </c>
      <c r="D642">
        <f>IF($W642="","",INDEX(합계표[직위(통합)],$W642)&amp;"")</f>
        <v/>
      </c>
      <c r="E642">
        <f>IF($W642="","",SUMIFS(합계표[시스템 합계],합계표[사번키],INDEX(합계표[사번키],$W642)))</f>
        <v/>
      </c>
      <c r="F642">
        <f>IF($W642="","",SUMIFS(상세표[기록 시간외],상세표[사번키],INDEX(합계표[사번키],$W642),상세표[기록월],대상월키))</f>
        <v/>
      </c>
      <c r="G642">
        <f>IF($W642="","",IF(ABS($E642-$F642)&lt;0.01,"일치","불일치(차이 "&amp;TEXT($F642-$E642,"0.00")&amp;")"))</f>
        <v/>
      </c>
      <c r="H642">
        <f>IF($W642="","",SUMIFS(상세표[기록 시간외],상세표[사번키],INDEX(합계표[사번키],$W642),상세표[기록월],대상월키,상세표[반영월],"&lt;&gt;"&amp;대상월키))</f>
        <v/>
      </c>
      <c r="I642">
        <f>IF($W642="","",SUMIFS(상세표[기록 시간외],상세표[사번키],INDEX(합계표[사번키],$W642),상세표[기록월],"&lt;&gt;"&amp;대상월키,상세표[반영월],대상월키))</f>
        <v/>
      </c>
      <c r="J642">
        <f>IF($W642="","",SUMIFS(상세표[기록 시간외],상세표[사번키],INDEX(합계표[사번키],$W642),상세표[반영월],대상월키))</f>
        <v/>
      </c>
      <c r="K642">
        <f>IF($W642="","",IFERROR(INDEX(월별근무지표[적용 급여병원],MATCH(INDEX(합계표[사번키],$W642)&amp;"|"&amp;대상월키,월별근무지표[키],0))&amp;"",IF(COUNTIF(기관표[사번키],INDEX(합계표[사번키],$W642))+COUNTIF(월별근무지표[사번키],INDEX(합계표[사번키],$W642))&gt;0,IFERROR(INDEX(기관표[급여지급병원(기준월)],MATCH(INDEX(합계표[사번키],$W642)&amp;"|"&amp;대상월키,기관표[키],0))&amp;"","—"),"—")))</f>
        <v/>
      </c>
      <c r="L642">
        <f>IF($W642="","",IF(NOT(COUNTIF(기관표[사번키],INDEX(합계표[사번키],$W642))+COUNTIF(월별근무지표[사번키],INDEX(합계표[사번키],$W642))&gt;0),"기관명단에 없음(다른 병원으로 발송)",IF($K642="—","대상월 기관명단 없음(추가 필요)",IF($K642="서울병원","해당","비해당"))))</f>
        <v/>
      </c>
      <c r="M642">
        <f>IF($W642="","",SUMIFS(상세표[06~07시],상세표[사번키],INDEX(합계표[사번키],$W642),상세표[반영월],대상월키,상세표[반영 기관],"서울병원"))</f>
        <v/>
      </c>
      <c r="N642">
        <f>IF($W642="","",SUMIFS(상세표[07~18시],상세표[사번키],INDEX(합계표[사번키],$W642),상세표[반영월],대상월키,상세표[반영 기관],"서울병원"))</f>
        <v/>
      </c>
      <c r="O642">
        <f>IF($W642="","",SUMIFS(상세표[18~22시],상세표[사번키],INDEX(합계표[사번키],$W642),상세표[반영월],대상월키,상세표[반영 기관],"서울병원"))</f>
        <v/>
      </c>
      <c r="P642">
        <f>IF($W642="","",SUMIFS(상세표[22~06시],상세표[사번키],INDEX(합계표[사번키],$W642),상세표[반영월],대상월키,상세표[반영 기관],"서울병원"))</f>
        <v/>
      </c>
      <c r="Q642">
        <f>IF($W642="","",SUM($M642:$P642))</f>
        <v/>
      </c>
      <c r="R642">
        <f>IF($W642="","",COUNTIFS(상세표[사번키],INDEX(합계표[사번키],$W642),상세표[반영월],대상월키,상세표[야간당직],1,상세표[야간 구분],"평일"))</f>
        <v/>
      </c>
      <c r="S642" s="4">
        <f>IF($W642="","",COUNTIFS(상세표[사번키],INDEX(합계표[사번키],$W642),상세표[반영월],대상월키,상세표[야간당직],1,상세표[야간 구분],"휴일"))</f>
        <v/>
      </c>
      <c r="T642">
        <f>IF($W642="","",COUNTIFS(상세표[사번키],INDEX(합계표[사번키],$W642),상세표[반영월],대상월키,상세표[야간당직],1,상세표[야간 구분],"평일",상세표[반영 기관],"서울병원"))</f>
        <v/>
      </c>
      <c r="U642">
        <f>IF($W642="","",COUNTIFS(상세표[사번키],INDEX(합계표[사번키],$W642),상세표[반영월],대상월키,상세표[야간당직],1,상세표[야간 구분],"휴일",상세표[반영 기관],"서울병원"))</f>
        <v/>
      </c>
      <c r="V642">
        <f>IF($W642="","",IF(ISNUMBER(MATCH(INDEX(합계표[사번키],$W642)&amp;"|"&amp;대상월키,월별근무지표[키],0)),"직접 입력",IF($K642="—","—","기관명단")))</f>
        <v/>
      </c>
      <c r="W642">
        <f>IFERROR(MATCH(637,합계표[판정순번],0),"")</f>
        <v/>
      </c>
    </row>
    <row r="643">
      <c r="A643">
        <f>IF($W643="","",INDEX(합계표[사번],$W643)&amp;"")</f>
        <v/>
      </c>
      <c r="B643">
        <f>IF($W643="","",INDEX(합계표[성명],$W643)&amp;"")</f>
        <v/>
      </c>
      <c r="C643">
        <f>IF($W643="","",INDEX(합계표[부서],$W643)&amp;"")</f>
        <v/>
      </c>
      <c r="D643">
        <f>IF($W643="","",INDEX(합계표[직위(통합)],$W643)&amp;"")</f>
        <v/>
      </c>
      <c r="E643">
        <f>IF($W643="","",SUMIFS(합계표[시스템 합계],합계표[사번키],INDEX(합계표[사번키],$W643)))</f>
        <v/>
      </c>
      <c r="F643">
        <f>IF($W643="","",SUMIFS(상세표[기록 시간외],상세표[사번키],INDEX(합계표[사번키],$W643),상세표[기록월],대상월키))</f>
        <v/>
      </c>
      <c r="G643">
        <f>IF($W643="","",IF(ABS($E643-$F643)&lt;0.01,"일치","불일치(차이 "&amp;TEXT($F643-$E643,"0.00")&amp;")"))</f>
        <v/>
      </c>
      <c r="H643">
        <f>IF($W643="","",SUMIFS(상세표[기록 시간외],상세표[사번키],INDEX(합계표[사번키],$W643),상세표[기록월],대상월키,상세표[반영월],"&lt;&gt;"&amp;대상월키))</f>
        <v/>
      </c>
      <c r="I643">
        <f>IF($W643="","",SUMIFS(상세표[기록 시간외],상세표[사번키],INDEX(합계표[사번키],$W643),상세표[기록월],"&lt;&gt;"&amp;대상월키,상세표[반영월],대상월키))</f>
        <v/>
      </c>
      <c r="J643">
        <f>IF($W643="","",SUMIFS(상세표[기록 시간외],상세표[사번키],INDEX(합계표[사번키],$W643),상세표[반영월],대상월키))</f>
        <v/>
      </c>
      <c r="K643">
        <f>IF($W643="","",IFERROR(INDEX(월별근무지표[적용 급여병원],MATCH(INDEX(합계표[사번키],$W643)&amp;"|"&amp;대상월키,월별근무지표[키],0))&amp;"",IF(COUNTIF(기관표[사번키],INDEX(합계표[사번키],$W643))+COUNTIF(월별근무지표[사번키],INDEX(합계표[사번키],$W643))&gt;0,IFERROR(INDEX(기관표[급여지급병원(기준월)],MATCH(INDEX(합계표[사번키],$W643)&amp;"|"&amp;대상월키,기관표[키],0))&amp;"","—"),"—")))</f>
        <v/>
      </c>
      <c r="L643">
        <f>IF($W643="","",IF(NOT(COUNTIF(기관표[사번키],INDEX(합계표[사번키],$W643))+COUNTIF(월별근무지표[사번키],INDEX(합계표[사번키],$W643))&gt;0),"기관명단에 없음(다른 병원으로 발송)",IF($K643="—","대상월 기관명단 없음(추가 필요)",IF($K643="서울병원","해당","비해당"))))</f>
        <v/>
      </c>
      <c r="M643">
        <f>IF($W643="","",SUMIFS(상세표[06~07시],상세표[사번키],INDEX(합계표[사번키],$W643),상세표[반영월],대상월키,상세표[반영 기관],"서울병원"))</f>
        <v/>
      </c>
      <c r="N643">
        <f>IF($W643="","",SUMIFS(상세표[07~18시],상세표[사번키],INDEX(합계표[사번키],$W643),상세표[반영월],대상월키,상세표[반영 기관],"서울병원"))</f>
        <v/>
      </c>
      <c r="O643">
        <f>IF($W643="","",SUMIFS(상세표[18~22시],상세표[사번키],INDEX(합계표[사번키],$W643),상세표[반영월],대상월키,상세표[반영 기관],"서울병원"))</f>
        <v/>
      </c>
      <c r="P643">
        <f>IF($W643="","",SUMIFS(상세표[22~06시],상세표[사번키],INDEX(합계표[사번키],$W643),상세표[반영월],대상월키,상세표[반영 기관],"서울병원"))</f>
        <v/>
      </c>
      <c r="Q643">
        <f>IF($W643="","",SUM($M643:$P643))</f>
        <v/>
      </c>
      <c r="R643">
        <f>IF($W643="","",COUNTIFS(상세표[사번키],INDEX(합계표[사번키],$W643),상세표[반영월],대상월키,상세표[야간당직],1,상세표[야간 구분],"평일"))</f>
        <v/>
      </c>
      <c r="S643" s="4">
        <f>IF($W643="","",COUNTIFS(상세표[사번키],INDEX(합계표[사번키],$W643),상세표[반영월],대상월키,상세표[야간당직],1,상세표[야간 구분],"휴일"))</f>
        <v/>
      </c>
      <c r="T643">
        <f>IF($W643="","",COUNTIFS(상세표[사번키],INDEX(합계표[사번키],$W643),상세표[반영월],대상월키,상세표[야간당직],1,상세표[야간 구분],"평일",상세표[반영 기관],"서울병원"))</f>
        <v/>
      </c>
      <c r="U643">
        <f>IF($W643="","",COUNTIFS(상세표[사번키],INDEX(합계표[사번키],$W643),상세표[반영월],대상월키,상세표[야간당직],1,상세표[야간 구분],"휴일",상세표[반영 기관],"서울병원"))</f>
        <v/>
      </c>
      <c r="V643">
        <f>IF($W643="","",IF(ISNUMBER(MATCH(INDEX(합계표[사번키],$W643)&amp;"|"&amp;대상월키,월별근무지표[키],0)),"직접 입력",IF($K643="—","—","기관명단")))</f>
        <v/>
      </c>
      <c r="W643">
        <f>IFERROR(MATCH(638,합계표[판정순번],0),"")</f>
        <v/>
      </c>
    </row>
    <row r="644">
      <c r="A644">
        <f>IF($W644="","",INDEX(합계표[사번],$W644)&amp;"")</f>
        <v/>
      </c>
      <c r="B644">
        <f>IF($W644="","",INDEX(합계표[성명],$W644)&amp;"")</f>
        <v/>
      </c>
      <c r="C644">
        <f>IF($W644="","",INDEX(합계표[부서],$W644)&amp;"")</f>
        <v/>
      </c>
      <c r="D644">
        <f>IF($W644="","",INDEX(합계표[직위(통합)],$W644)&amp;"")</f>
        <v/>
      </c>
      <c r="E644">
        <f>IF($W644="","",SUMIFS(합계표[시스템 합계],합계표[사번키],INDEX(합계표[사번키],$W644)))</f>
        <v/>
      </c>
      <c r="F644">
        <f>IF($W644="","",SUMIFS(상세표[기록 시간외],상세표[사번키],INDEX(합계표[사번키],$W644),상세표[기록월],대상월키))</f>
        <v/>
      </c>
      <c r="G644">
        <f>IF($W644="","",IF(ABS($E644-$F644)&lt;0.01,"일치","불일치(차이 "&amp;TEXT($F644-$E644,"0.00")&amp;")"))</f>
        <v/>
      </c>
      <c r="H644">
        <f>IF($W644="","",SUMIFS(상세표[기록 시간외],상세표[사번키],INDEX(합계표[사번키],$W644),상세표[기록월],대상월키,상세표[반영월],"&lt;&gt;"&amp;대상월키))</f>
        <v/>
      </c>
      <c r="I644">
        <f>IF($W644="","",SUMIFS(상세표[기록 시간외],상세표[사번키],INDEX(합계표[사번키],$W644),상세표[기록월],"&lt;&gt;"&amp;대상월키,상세표[반영월],대상월키))</f>
        <v/>
      </c>
      <c r="J644">
        <f>IF($W644="","",SUMIFS(상세표[기록 시간외],상세표[사번키],INDEX(합계표[사번키],$W644),상세표[반영월],대상월키))</f>
        <v/>
      </c>
      <c r="K644">
        <f>IF($W644="","",IFERROR(INDEX(월별근무지표[적용 급여병원],MATCH(INDEX(합계표[사번키],$W644)&amp;"|"&amp;대상월키,월별근무지표[키],0))&amp;"",IF(COUNTIF(기관표[사번키],INDEX(합계표[사번키],$W644))+COUNTIF(월별근무지표[사번키],INDEX(합계표[사번키],$W644))&gt;0,IFERROR(INDEX(기관표[급여지급병원(기준월)],MATCH(INDEX(합계표[사번키],$W644)&amp;"|"&amp;대상월키,기관표[키],0))&amp;"","—"),"—")))</f>
        <v/>
      </c>
      <c r="L644">
        <f>IF($W644="","",IF(NOT(COUNTIF(기관표[사번키],INDEX(합계표[사번키],$W644))+COUNTIF(월별근무지표[사번키],INDEX(합계표[사번키],$W644))&gt;0),"기관명단에 없음(다른 병원으로 발송)",IF($K644="—","대상월 기관명단 없음(추가 필요)",IF($K644="서울병원","해당","비해당"))))</f>
        <v/>
      </c>
      <c r="M644">
        <f>IF($W644="","",SUMIFS(상세표[06~07시],상세표[사번키],INDEX(합계표[사번키],$W644),상세표[반영월],대상월키,상세표[반영 기관],"서울병원"))</f>
        <v/>
      </c>
      <c r="N644">
        <f>IF($W644="","",SUMIFS(상세표[07~18시],상세표[사번키],INDEX(합계표[사번키],$W644),상세표[반영월],대상월키,상세표[반영 기관],"서울병원"))</f>
        <v/>
      </c>
      <c r="O644">
        <f>IF($W644="","",SUMIFS(상세표[18~22시],상세표[사번키],INDEX(합계표[사번키],$W644),상세표[반영월],대상월키,상세표[반영 기관],"서울병원"))</f>
        <v/>
      </c>
      <c r="P644">
        <f>IF($W644="","",SUMIFS(상세표[22~06시],상세표[사번키],INDEX(합계표[사번키],$W644),상세표[반영월],대상월키,상세표[반영 기관],"서울병원"))</f>
        <v/>
      </c>
      <c r="Q644">
        <f>IF($W644="","",SUM($M644:$P644))</f>
        <v/>
      </c>
      <c r="R644">
        <f>IF($W644="","",COUNTIFS(상세표[사번키],INDEX(합계표[사번키],$W644),상세표[반영월],대상월키,상세표[야간당직],1,상세표[야간 구분],"평일"))</f>
        <v/>
      </c>
      <c r="S644" s="4">
        <f>IF($W644="","",COUNTIFS(상세표[사번키],INDEX(합계표[사번키],$W644),상세표[반영월],대상월키,상세표[야간당직],1,상세표[야간 구분],"휴일"))</f>
        <v/>
      </c>
      <c r="T644">
        <f>IF($W644="","",COUNTIFS(상세표[사번키],INDEX(합계표[사번키],$W644),상세표[반영월],대상월키,상세표[야간당직],1,상세표[야간 구분],"평일",상세표[반영 기관],"서울병원"))</f>
        <v/>
      </c>
      <c r="U644">
        <f>IF($W644="","",COUNTIFS(상세표[사번키],INDEX(합계표[사번키],$W644),상세표[반영월],대상월키,상세표[야간당직],1,상세표[야간 구분],"휴일",상세표[반영 기관],"서울병원"))</f>
        <v/>
      </c>
      <c r="V644">
        <f>IF($W644="","",IF(ISNUMBER(MATCH(INDEX(합계표[사번키],$W644)&amp;"|"&amp;대상월키,월별근무지표[키],0)),"직접 입력",IF($K644="—","—","기관명단")))</f>
        <v/>
      </c>
      <c r="W644">
        <f>IFERROR(MATCH(639,합계표[판정순번],0),"")</f>
        <v/>
      </c>
    </row>
    <row r="645">
      <c r="A645">
        <f>IF($W645="","",INDEX(합계표[사번],$W645)&amp;"")</f>
        <v/>
      </c>
      <c r="B645">
        <f>IF($W645="","",INDEX(합계표[성명],$W645)&amp;"")</f>
        <v/>
      </c>
      <c r="C645">
        <f>IF($W645="","",INDEX(합계표[부서],$W645)&amp;"")</f>
        <v/>
      </c>
      <c r="D645">
        <f>IF($W645="","",INDEX(합계표[직위(통합)],$W645)&amp;"")</f>
        <v/>
      </c>
      <c r="E645">
        <f>IF($W645="","",SUMIFS(합계표[시스템 합계],합계표[사번키],INDEX(합계표[사번키],$W645)))</f>
        <v/>
      </c>
      <c r="F645">
        <f>IF($W645="","",SUMIFS(상세표[기록 시간외],상세표[사번키],INDEX(합계표[사번키],$W645),상세표[기록월],대상월키))</f>
        <v/>
      </c>
      <c r="G645">
        <f>IF($W645="","",IF(ABS($E645-$F645)&lt;0.01,"일치","불일치(차이 "&amp;TEXT($F645-$E645,"0.00")&amp;")"))</f>
        <v/>
      </c>
      <c r="H645">
        <f>IF($W645="","",SUMIFS(상세표[기록 시간외],상세표[사번키],INDEX(합계표[사번키],$W645),상세표[기록월],대상월키,상세표[반영월],"&lt;&gt;"&amp;대상월키))</f>
        <v/>
      </c>
      <c r="I645">
        <f>IF($W645="","",SUMIFS(상세표[기록 시간외],상세표[사번키],INDEX(합계표[사번키],$W645),상세표[기록월],"&lt;&gt;"&amp;대상월키,상세표[반영월],대상월키))</f>
        <v/>
      </c>
      <c r="J645">
        <f>IF($W645="","",SUMIFS(상세표[기록 시간외],상세표[사번키],INDEX(합계표[사번키],$W645),상세표[반영월],대상월키))</f>
        <v/>
      </c>
      <c r="K645">
        <f>IF($W645="","",IFERROR(INDEX(월별근무지표[적용 급여병원],MATCH(INDEX(합계표[사번키],$W645)&amp;"|"&amp;대상월키,월별근무지표[키],0))&amp;"",IF(COUNTIF(기관표[사번키],INDEX(합계표[사번키],$W645))+COUNTIF(월별근무지표[사번키],INDEX(합계표[사번키],$W645))&gt;0,IFERROR(INDEX(기관표[급여지급병원(기준월)],MATCH(INDEX(합계표[사번키],$W645)&amp;"|"&amp;대상월키,기관표[키],0))&amp;"","—"),"—")))</f>
        <v/>
      </c>
      <c r="L645">
        <f>IF($W645="","",IF(NOT(COUNTIF(기관표[사번키],INDEX(합계표[사번키],$W645))+COUNTIF(월별근무지표[사번키],INDEX(합계표[사번키],$W645))&gt;0),"기관명단에 없음(다른 병원으로 발송)",IF($K645="—","대상월 기관명단 없음(추가 필요)",IF($K645="서울병원","해당","비해당"))))</f>
        <v/>
      </c>
      <c r="M645">
        <f>IF($W645="","",SUMIFS(상세표[06~07시],상세표[사번키],INDEX(합계표[사번키],$W645),상세표[반영월],대상월키,상세표[반영 기관],"서울병원"))</f>
        <v/>
      </c>
      <c r="N645">
        <f>IF($W645="","",SUMIFS(상세표[07~18시],상세표[사번키],INDEX(합계표[사번키],$W645),상세표[반영월],대상월키,상세표[반영 기관],"서울병원"))</f>
        <v/>
      </c>
      <c r="O645">
        <f>IF($W645="","",SUMIFS(상세표[18~22시],상세표[사번키],INDEX(합계표[사번키],$W645),상세표[반영월],대상월키,상세표[반영 기관],"서울병원"))</f>
        <v/>
      </c>
      <c r="P645">
        <f>IF($W645="","",SUMIFS(상세표[22~06시],상세표[사번키],INDEX(합계표[사번키],$W645),상세표[반영월],대상월키,상세표[반영 기관],"서울병원"))</f>
        <v/>
      </c>
      <c r="Q645">
        <f>IF($W645="","",SUM($M645:$P645))</f>
        <v/>
      </c>
      <c r="R645">
        <f>IF($W645="","",COUNTIFS(상세표[사번키],INDEX(합계표[사번키],$W645),상세표[반영월],대상월키,상세표[야간당직],1,상세표[야간 구분],"평일"))</f>
        <v/>
      </c>
      <c r="S645" s="4">
        <f>IF($W645="","",COUNTIFS(상세표[사번키],INDEX(합계표[사번키],$W645),상세표[반영월],대상월키,상세표[야간당직],1,상세표[야간 구분],"휴일"))</f>
        <v/>
      </c>
      <c r="T645">
        <f>IF($W645="","",COUNTIFS(상세표[사번키],INDEX(합계표[사번키],$W645),상세표[반영월],대상월키,상세표[야간당직],1,상세표[야간 구분],"평일",상세표[반영 기관],"서울병원"))</f>
        <v/>
      </c>
      <c r="U645">
        <f>IF($W645="","",COUNTIFS(상세표[사번키],INDEX(합계표[사번키],$W645),상세표[반영월],대상월키,상세표[야간당직],1,상세표[야간 구분],"휴일",상세표[반영 기관],"서울병원"))</f>
        <v/>
      </c>
      <c r="V645">
        <f>IF($W645="","",IF(ISNUMBER(MATCH(INDEX(합계표[사번키],$W645)&amp;"|"&amp;대상월키,월별근무지표[키],0)),"직접 입력",IF($K645="—","—","기관명단")))</f>
        <v/>
      </c>
      <c r="W645">
        <f>IFERROR(MATCH(640,합계표[판정순번],0),"")</f>
        <v/>
      </c>
    </row>
    <row r="646">
      <c r="A646">
        <f>IF($W646="","",INDEX(합계표[사번],$W646)&amp;"")</f>
        <v/>
      </c>
      <c r="B646">
        <f>IF($W646="","",INDEX(합계표[성명],$W646)&amp;"")</f>
        <v/>
      </c>
      <c r="C646">
        <f>IF($W646="","",INDEX(합계표[부서],$W646)&amp;"")</f>
        <v/>
      </c>
      <c r="D646">
        <f>IF($W646="","",INDEX(합계표[직위(통합)],$W646)&amp;"")</f>
        <v/>
      </c>
      <c r="E646">
        <f>IF($W646="","",SUMIFS(합계표[시스템 합계],합계표[사번키],INDEX(합계표[사번키],$W646)))</f>
        <v/>
      </c>
      <c r="F646">
        <f>IF($W646="","",SUMIFS(상세표[기록 시간외],상세표[사번키],INDEX(합계표[사번키],$W646),상세표[기록월],대상월키))</f>
        <v/>
      </c>
      <c r="G646">
        <f>IF($W646="","",IF(ABS($E646-$F646)&lt;0.01,"일치","불일치(차이 "&amp;TEXT($F646-$E646,"0.00")&amp;")"))</f>
        <v/>
      </c>
      <c r="H646">
        <f>IF($W646="","",SUMIFS(상세표[기록 시간외],상세표[사번키],INDEX(합계표[사번키],$W646),상세표[기록월],대상월키,상세표[반영월],"&lt;&gt;"&amp;대상월키))</f>
        <v/>
      </c>
      <c r="I646">
        <f>IF($W646="","",SUMIFS(상세표[기록 시간외],상세표[사번키],INDEX(합계표[사번키],$W646),상세표[기록월],"&lt;&gt;"&amp;대상월키,상세표[반영월],대상월키))</f>
        <v/>
      </c>
      <c r="J646">
        <f>IF($W646="","",SUMIFS(상세표[기록 시간외],상세표[사번키],INDEX(합계표[사번키],$W646),상세표[반영월],대상월키))</f>
        <v/>
      </c>
      <c r="K646">
        <f>IF($W646="","",IFERROR(INDEX(월별근무지표[적용 급여병원],MATCH(INDEX(합계표[사번키],$W646)&amp;"|"&amp;대상월키,월별근무지표[키],0))&amp;"",IF(COUNTIF(기관표[사번키],INDEX(합계표[사번키],$W646))+COUNTIF(월별근무지표[사번키],INDEX(합계표[사번키],$W646))&gt;0,IFERROR(INDEX(기관표[급여지급병원(기준월)],MATCH(INDEX(합계표[사번키],$W646)&amp;"|"&amp;대상월키,기관표[키],0))&amp;"","—"),"—")))</f>
        <v/>
      </c>
      <c r="L646">
        <f>IF($W646="","",IF(NOT(COUNTIF(기관표[사번키],INDEX(합계표[사번키],$W646))+COUNTIF(월별근무지표[사번키],INDEX(합계표[사번키],$W646))&gt;0),"기관명단에 없음(다른 병원으로 발송)",IF($K646="—","대상월 기관명단 없음(추가 필요)",IF($K646="서울병원","해당","비해당"))))</f>
        <v/>
      </c>
      <c r="M646">
        <f>IF($W646="","",SUMIFS(상세표[06~07시],상세표[사번키],INDEX(합계표[사번키],$W646),상세표[반영월],대상월키,상세표[반영 기관],"서울병원"))</f>
        <v/>
      </c>
      <c r="N646">
        <f>IF($W646="","",SUMIFS(상세표[07~18시],상세표[사번키],INDEX(합계표[사번키],$W646),상세표[반영월],대상월키,상세표[반영 기관],"서울병원"))</f>
        <v/>
      </c>
      <c r="O646">
        <f>IF($W646="","",SUMIFS(상세표[18~22시],상세표[사번키],INDEX(합계표[사번키],$W646),상세표[반영월],대상월키,상세표[반영 기관],"서울병원"))</f>
        <v/>
      </c>
      <c r="P646">
        <f>IF($W646="","",SUMIFS(상세표[22~06시],상세표[사번키],INDEX(합계표[사번키],$W646),상세표[반영월],대상월키,상세표[반영 기관],"서울병원"))</f>
        <v/>
      </c>
      <c r="Q646">
        <f>IF($W646="","",SUM($M646:$P646))</f>
        <v/>
      </c>
      <c r="R646">
        <f>IF($W646="","",COUNTIFS(상세표[사번키],INDEX(합계표[사번키],$W646),상세표[반영월],대상월키,상세표[야간당직],1,상세표[야간 구분],"평일"))</f>
        <v/>
      </c>
      <c r="S646" s="4">
        <f>IF($W646="","",COUNTIFS(상세표[사번키],INDEX(합계표[사번키],$W646),상세표[반영월],대상월키,상세표[야간당직],1,상세표[야간 구분],"휴일"))</f>
        <v/>
      </c>
      <c r="T646">
        <f>IF($W646="","",COUNTIFS(상세표[사번키],INDEX(합계표[사번키],$W646),상세표[반영월],대상월키,상세표[야간당직],1,상세표[야간 구분],"평일",상세표[반영 기관],"서울병원"))</f>
        <v/>
      </c>
      <c r="U646">
        <f>IF($W646="","",COUNTIFS(상세표[사번키],INDEX(합계표[사번키],$W646),상세표[반영월],대상월키,상세표[야간당직],1,상세표[야간 구분],"휴일",상세표[반영 기관],"서울병원"))</f>
        <v/>
      </c>
      <c r="V646">
        <f>IF($W646="","",IF(ISNUMBER(MATCH(INDEX(합계표[사번키],$W646)&amp;"|"&amp;대상월키,월별근무지표[키],0)),"직접 입력",IF($K646="—","—","기관명단")))</f>
        <v/>
      </c>
      <c r="W646">
        <f>IFERROR(MATCH(641,합계표[판정순번],0),"")</f>
        <v/>
      </c>
    </row>
    <row r="647">
      <c r="A647">
        <f>IF($W647="","",INDEX(합계표[사번],$W647)&amp;"")</f>
        <v/>
      </c>
      <c r="B647">
        <f>IF($W647="","",INDEX(합계표[성명],$W647)&amp;"")</f>
        <v/>
      </c>
      <c r="C647">
        <f>IF($W647="","",INDEX(합계표[부서],$W647)&amp;"")</f>
        <v/>
      </c>
      <c r="D647">
        <f>IF($W647="","",INDEX(합계표[직위(통합)],$W647)&amp;"")</f>
        <v/>
      </c>
      <c r="E647">
        <f>IF($W647="","",SUMIFS(합계표[시스템 합계],합계표[사번키],INDEX(합계표[사번키],$W647)))</f>
        <v/>
      </c>
      <c r="F647">
        <f>IF($W647="","",SUMIFS(상세표[기록 시간외],상세표[사번키],INDEX(합계표[사번키],$W647),상세표[기록월],대상월키))</f>
        <v/>
      </c>
      <c r="G647">
        <f>IF($W647="","",IF(ABS($E647-$F647)&lt;0.01,"일치","불일치(차이 "&amp;TEXT($F647-$E647,"0.00")&amp;")"))</f>
        <v/>
      </c>
      <c r="H647">
        <f>IF($W647="","",SUMIFS(상세표[기록 시간외],상세표[사번키],INDEX(합계표[사번키],$W647),상세표[기록월],대상월키,상세표[반영월],"&lt;&gt;"&amp;대상월키))</f>
        <v/>
      </c>
      <c r="I647">
        <f>IF($W647="","",SUMIFS(상세표[기록 시간외],상세표[사번키],INDEX(합계표[사번키],$W647),상세표[기록월],"&lt;&gt;"&amp;대상월키,상세표[반영월],대상월키))</f>
        <v/>
      </c>
      <c r="J647">
        <f>IF($W647="","",SUMIFS(상세표[기록 시간외],상세표[사번키],INDEX(합계표[사번키],$W647),상세표[반영월],대상월키))</f>
        <v/>
      </c>
      <c r="K647">
        <f>IF($W647="","",IFERROR(INDEX(월별근무지표[적용 급여병원],MATCH(INDEX(합계표[사번키],$W647)&amp;"|"&amp;대상월키,월별근무지표[키],0))&amp;"",IF(COUNTIF(기관표[사번키],INDEX(합계표[사번키],$W647))+COUNTIF(월별근무지표[사번키],INDEX(합계표[사번키],$W647))&gt;0,IFERROR(INDEX(기관표[급여지급병원(기준월)],MATCH(INDEX(합계표[사번키],$W647)&amp;"|"&amp;대상월키,기관표[키],0))&amp;"","—"),"—")))</f>
        <v/>
      </c>
      <c r="L647">
        <f>IF($W647="","",IF(NOT(COUNTIF(기관표[사번키],INDEX(합계표[사번키],$W647))+COUNTIF(월별근무지표[사번키],INDEX(합계표[사번키],$W647))&gt;0),"기관명단에 없음(다른 병원으로 발송)",IF($K647="—","대상월 기관명단 없음(추가 필요)",IF($K647="서울병원","해당","비해당"))))</f>
        <v/>
      </c>
      <c r="M647">
        <f>IF($W647="","",SUMIFS(상세표[06~07시],상세표[사번키],INDEX(합계표[사번키],$W647),상세표[반영월],대상월키,상세표[반영 기관],"서울병원"))</f>
        <v/>
      </c>
      <c r="N647">
        <f>IF($W647="","",SUMIFS(상세표[07~18시],상세표[사번키],INDEX(합계표[사번키],$W647),상세표[반영월],대상월키,상세표[반영 기관],"서울병원"))</f>
        <v/>
      </c>
      <c r="O647">
        <f>IF($W647="","",SUMIFS(상세표[18~22시],상세표[사번키],INDEX(합계표[사번키],$W647),상세표[반영월],대상월키,상세표[반영 기관],"서울병원"))</f>
        <v/>
      </c>
      <c r="P647">
        <f>IF($W647="","",SUMIFS(상세표[22~06시],상세표[사번키],INDEX(합계표[사번키],$W647),상세표[반영월],대상월키,상세표[반영 기관],"서울병원"))</f>
        <v/>
      </c>
      <c r="Q647">
        <f>IF($W647="","",SUM($M647:$P647))</f>
        <v/>
      </c>
      <c r="R647">
        <f>IF($W647="","",COUNTIFS(상세표[사번키],INDEX(합계표[사번키],$W647),상세표[반영월],대상월키,상세표[야간당직],1,상세표[야간 구분],"평일"))</f>
        <v/>
      </c>
      <c r="S647" s="4">
        <f>IF($W647="","",COUNTIFS(상세표[사번키],INDEX(합계표[사번키],$W647),상세표[반영월],대상월키,상세표[야간당직],1,상세표[야간 구분],"휴일"))</f>
        <v/>
      </c>
      <c r="T647">
        <f>IF($W647="","",COUNTIFS(상세표[사번키],INDEX(합계표[사번키],$W647),상세표[반영월],대상월키,상세표[야간당직],1,상세표[야간 구분],"평일",상세표[반영 기관],"서울병원"))</f>
        <v/>
      </c>
      <c r="U647">
        <f>IF($W647="","",COUNTIFS(상세표[사번키],INDEX(합계표[사번키],$W647),상세표[반영월],대상월키,상세표[야간당직],1,상세표[야간 구분],"휴일",상세표[반영 기관],"서울병원"))</f>
        <v/>
      </c>
      <c r="V647">
        <f>IF($W647="","",IF(ISNUMBER(MATCH(INDEX(합계표[사번키],$W647)&amp;"|"&amp;대상월키,월별근무지표[키],0)),"직접 입력",IF($K647="—","—","기관명단")))</f>
        <v/>
      </c>
      <c r="W647">
        <f>IFERROR(MATCH(642,합계표[판정순번],0),"")</f>
        <v/>
      </c>
    </row>
    <row r="648">
      <c r="A648">
        <f>IF($W648="","",INDEX(합계표[사번],$W648)&amp;"")</f>
        <v/>
      </c>
      <c r="B648">
        <f>IF($W648="","",INDEX(합계표[성명],$W648)&amp;"")</f>
        <v/>
      </c>
      <c r="C648">
        <f>IF($W648="","",INDEX(합계표[부서],$W648)&amp;"")</f>
        <v/>
      </c>
      <c r="D648">
        <f>IF($W648="","",INDEX(합계표[직위(통합)],$W648)&amp;"")</f>
        <v/>
      </c>
      <c r="E648">
        <f>IF($W648="","",SUMIFS(합계표[시스템 합계],합계표[사번키],INDEX(합계표[사번키],$W648)))</f>
        <v/>
      </c>
      <c r="F648">
        <f>IF($W648="","",SUMIFS(상세표[기록 시간외],상세표[사번키],INDEX(합계표[사번키],$W648),상세표[기록월],대상월키))</f>
        <v/>
      </c>
      <c r="G648">
        <f>IF($W648="","",IF(ABS($E648-$F648)&lt;0.01,"일치","불일치(차이 "&amp;TEXT($F648-$E648,"0.00")&amp;")"))</f>
        <v/>
      </c>
      <c r="H648">
        <f>IF($W648="","",SUMIFS(상세표[기록 시간외],상세표[사번키],INDEX(합계표[사번키],$W648),상세표[기록월],대상월키,상세표[반영월],"&lt;&gt;"&amp;대상월키))</f>
        <v/>
      </c>
      <c r="I648">
        <f>IF($W648="","",SUMIFS(상세표[기록 시간외],상세표[사번키],INDEX(합계표[사번키],$W648),상세표[기록월],"&lt;&gt;"&amp;대상월키,상세표[반영월],대상월키))</f>
        <v/>
      </c>
      <c r="J648">
        <f>IF($W648="","",SUMIFS(상세표[기록 시간외],상세표[사번키],INDEX(합계표[사번키],$W648),상세표[반영월],대상월키))</f>
        <v/>
      </c>
      <c r="K648">
        <f>IF($W648="","",IFERROR(INDEX(월별근무지표[적용 급여병원],MATCH(INDEX(합계표[사번키],$W648)&amp;"|"&amp;대상월키,월별근무지표[키],0))&amp;"",IF(COUNTIF(기관표[사번키],INDEX(합계표[사번키],$W648))+COUNTIF(월별근무지표[사번키],INDEX(합계표[사번키],$W648))&gt;0,IFERROR(INDEX(기관표[급여지급병원(기준월)],MATCH(INDEX(합계표[사번키],$W648)&amp;"|"&amp;대상월키,기관표[키],0))&amp;"","—"),"—")))</f>
        <v/>
      </c>
      <c r="L648">
        <f>IF($W648="","",IF(NOT(COUNTIF(기관표[사번키],INDEX(합계표[사번키],$W648))+COUNTIF(월별근무지표[사번키],INDEX(합계표[사번키],$W648))&gt;0),"기관명단에 없음(다른 병원으로 발송)",IF($K648="—","대상월 기관명단 없음(추가 필요)",IF($K648="서울병원","해당","비해당"))))</f>
        <v/>
      </c>
      <c r="M648">
        <f>IF($W648="","",SUMIFS(상세표[06~07시],상세표[사번키],INDEX(합계표[사번키],$W648),상세표[반영월],대상월키,상세표[반영 기관],"서울병원"))</f>
        <v/>
      </c>
      <c r="N648">
        <f>IF($W648="","",SUMIFS(상세표[07~18시],상세표[사번키],INDEX(합계표[사번키],$W648),상세표[반영월],대상월키,상세표[반영 기관],"서울병원"))</f>
        <v/>
      </c>
      <c r="O648">
        <f>IF($W648="","",SUMIFS(상세표[18~22시],상세표[사번키],INDEX(합계표[사번키],$W648),상세표[반영월],대상월키,상세표[반영 기관],"서울병원"))</f>
        <v/>
      </c>
      <c r="P648">
        <f>IF($W648="","",SUMIFS(상세표[22~06시],상세표[사번키],INDEX(합계표[사번키],$W648),상세표[반영월],대상월키,상세표[반영 기관],"서울병원"))</f>
        <v/>
      </c>
      <c r="Q648">
        <f>IF($W648="","",SUM($M648:$P648))</f>
        <v/>
      </c>
      <c r="R648">
        <f>IF($W648="","",COUNTIFS(상세표[사번키],INDEX(합계표[사번키],$W648),상세표[반영월],대상월키,상세표[야간당직],1,상세표[야간 구분],"평일"))</f>
        <v/>
      </c>
      <c r="S648" s="4">
        <f>IF($W648="","",COUNTIFS(상세표[사번키],INDEX(합계표[사번키],$W648),상세표[반영월],대상월키,상세표[야간당직],1,상세표[야간 구분],"휴일"))</f>
        <v/>
      </c>
      <c r="T648">
        <f>IF($W648="","",COUNTIFS(상세표[사번키],INDEX(합계표[사번키],$W648),상세표[반영월],대상월키,상세표[야간당직],1,상세표[야간 구분],"평일",상세표[반영 기관],"서울병원"))</f>
        <v/>
      </c>
      <c r="U648">
        <f>IF($W648="","",COUNTIFS(상세표[사번키],INDEX(합계표[사번키],$W648),상세표[반영월],대상월키,상세표[야간당직],1,상세표[야간 구분],"휴일",상세표[반영 기관],"서울병원"))</f>
        <v/>
      </c>
      <c r="V648">
        <f>IF($W648="","",IF(ISNUMBER(MATCH(INDEX(합계표[사번키],$W648)&amp;"|"&amp;대상월키,월별근무지표[키],0)),"직접 입력",IF($K648="—","—","기관명단")))</f>
        <v/>
      </c>
      <c r="W648">
        <f>IFERROR(MATCH(643,합계표[판정순번],0),"")</f>
        <v/>
      </c>
    </row>
    <row r="649">
      <c r="A649">
        <f>IF($W649="","",INDEX(합계표[사번],$W649)&amp;"")</f>
        <v/>
      </c>
      <c r="B649">
        <f>IF($W649="","",INDEX(합계표[성명],$W649)&amp;"")</f>
        <v/>
      </c>
      <c r="C649">
        <f>IF($W649="","",INDEX(합계표[부서],$W649)&amp;"")</f>
        <v/>
      </c>
      <c r="D649">
        <f>IF($W649="","",INDEX(합계표[직위(통합)],$W649)&amp;"")</f>
        <v/>
      </c>
      <c r="E649">
        <f>IF($W649="","",SUMIFS(합계표[시스템 합계],합계표[사번키],INDEX(합계표[사번키],$W649)))</f>
        <v/>
      </c>
      <c r="F649">
        <f>IF($W649="","",SUMIFS(상세표[기록 시간외],상세표[사번키],INDEX(합계표[사번키],$W649),상세표[기록월],대상월키))</f>
        <v/>
      </c>
      <c r="G649">
        <f>IF($W649="","",IF(ABS($E649-$F649)&lt;0.01,"일치","불일치(차이 "&amp;TEXT($F649-$E649,"0.00")&amp;")"))</f>
        <v/>
      </c>
      <c r="H649">
        <f>IF($W649="","",SUMIFS(상세표[기록 시간외],상세표[사번키],INDEX(합계표[사번키],$W649),상세표[기록월],대상월키,상세표[반영월],"&lt;&gt;"&amp;대상월키))</f>
        <v/>
      </c>
      <c r="I649">
        <f>IF($W649="","",SUMIFS(상세표[기록 시간외],상세표[사번키],INDEX(합계표[사번키],$W649),상세표[기록월],"&lt;&gt;"&amp;대상월키,상세표[반영월],대상월키))</f>
        <v/>
      </c>
      <c r="J649">
        <f>IF($W649="","",SUMIFS(상세표[기록 시간외],상세표[사번키],INDEX(합계표[사번키],$W649),상세표[반영월],대상월키))</f>
        <v/>
      </c>
      <c r="K649">
        <f>IF($W649="","",IFERROR(INDEX(월별근무지표[적용 급여병원],MATCH(INDEX(합계표[사번키],$W649)&amp;"|"&amp;대상월키,월별근무지표[키],0))&amp;"",IF(COUNTIF(기관표[사번키],INDEX(합계표[사번키],$W649))+COUNTIF(월별근무지표[사번키],INDEX(합계표[사번키],$W649))&gt;0,IFERROR(INDEX(기관표[급여지급병원(기준월)],MATCH(INDEX(합계표[사번키],$W649)&amp;"|"&amp;대상월키,기관표[키],0))&amp;"","—"),"—")))</f>
        <v/>
      </c>
      <c r="L649">
        <f>IF($W649="","",IF(NOT(COUNTIF(기관표[사번키],INDEX(합계표[사번키],$W649))+COUNTIF(월별근무지표[사번키],INDEX(합계표[사번키],$W649))&gt;0),"기관명단에 없음(다른 병원으로 발송)",IF($K649="—","대상월 기관명단 없음(추가 필요)",IF($K649="서울병원","해당","비해당"))))</f>
        <v/>
      </c>
      <c r="M649">
        <f>IF($W649="","",SUMIFS(상세표[06~07시],상세표[사번키],INDEX(합계표[사번키],$W649),상세표[반영월],대상월키,상세표[반영 기관],"서울병원"))</f>
        <v/>
      </c>
      <c r="N649">
        <f>IF($W649="","",SUMIFS(상세표[07~18시],상세표[사번키],INDEX(합계표[사번키],$W649),상세표[반영월],대상월키,상세표[반영 기관],"서울병원"))</f>
        <v/>
      </c>
      <c r="O649">
        <f>IF($W649="","",SUMIFS(상세표[18~22시],상세표[사번키],INDEX(합계표[사번키],$W649),상세표[반영월],대상월키,상세표[반영 기관],"서울병원"))</f>
        <v/>
      </c>
      <c r="P649">
        <f>IF($W649="","",SUMIFS(상세표[22~06시],상세표[사번키],INDEX(합계표[사번키],$W649),상세표[반영월],대상월키,상세표[반영 기관],"서울병원"))</f>
        <v/>
      </c>
      <c r="Q649">
        <f>IF($W649="","",SUM($M649:$P649))</f>
        <v/>
      </c>
      <c r="R649">
        <f>IF($W649="","",COUNTIFS(상세표[사번키],INDEX(합계표[사번키],$W649),상세표[반영월],대상월키,상세표[야간당직],1,상세표[야간 구분],"평일"))</f>
        <v/>
      </c>
      <c r="S649" s="4">
        <f>IF($W649="","",COUNTIFS(상세표[사번키],INDEX(합계표[사번키],$W649),상세표[반영월],대상월키,상세표[야간당직],1,상세표[야간 구분],"휴일"))</f>
        <v/>
      </c>
      <c r="T649">
        <f>IF($W649="","",COUNTIFS(상세표[사번키],INDEX(합계표[사번키],$W649),상세표[반영월],대상월키,상세표[야간당직],1,상세표[야간 구분],"평일",상세표[반영 기관],"서울병원"))</f>
        <v/>
      </c>
      <c r="U649">
        <f>IF($W649="","",COUNTIFS(상세표[사번키],INDEX(합계표[사번키],$W649),상세표[반영월],대상월키,상세표[야간당직],1,상세표[야간 구분],"휴일",상세표[반영 기관],"서울병원"))</f>
        <v/>
      </c>
      <c r="V649">
        <f>IF($W649="","",IF(ISNUMBER(MATCH(INDEX(합계표[사번키],$W649)&amp;"|"&amp;대상월키,월별근무지표[키],0)),"직접 입력",IF($K649="—","—","기관명단")))</f>
        <v/>
      </c>
      <c r="W649">
        <f>IFERROR(MATCH(644,합계표[판정순번],0),"")</f>
        <v/>
      </c>
    </row>
    <row r="650">
      <c r="A650">
        <f>IF($W650="","",INDEX(합계표[사번],$W650)&amp;"")</f>
        <v/>
      </c>
      <c r="B650">
        <f>IF($W650="","",INDEX(합계표[성명],$W650)&amp;"")</f>
        <v/>
      </c>
      <c r="C650">
        <f>IF($W650="","",INDEX(합계표[부서],$W650)&amp;"")</f>
        <v/>
      </c>
      <c r="D650">
        <f>IF($W650="","",INDEX(합계표[직위(통합)],$W650)&amp;"")</f>
        <v/>
      </c>
      <c r="E650">
        <f>IF($W650="","",SUMIFS(합계표[시스템 합계],합계표[사번키],INDEX(합계표[사번키],$W650)))</f>
        <v/>
      </c>
      <c r="F650">
        <f>IF($W650="","",SUMIFS(상세표[기록 시간외],상세표[사번키],INDEX(합계표[사번키],$W650),상세표[기록월],대상월키))</f>
        <v/>
      </c>
      <c r="G650">
        <f>IF($W650="","",IF(ABS($E650-$F650)&lt;0.01,"일치","불일치(차이 "&amp;TEXT($F650-$E650,"0.00")&amp;")"))</f>
        <v/>
      </c>
      <c r="H650">
        <f>IF($W650="","",SUMIFS(상세표[기록 시간외],상세표[사번키],INDEX(합계표[사번키],$W650),상세표[기록월],대상월키,상세표[반영월],"&lt;&gt;"&amp;대상월키))</f>
        <v/>
      </c>
      <c r="I650">
        <f>IF($W650="","",SUMIFS(상세표[기록 시간외],상세표[사번키],INDEX(합계표[사번키],$W650),상세표[기록월],"&lt;&gt;"&amp;대상월키,상세표[반영월],대상월키))</f>
        <v/>
      </c>
      <c r="J650">
        <f>IF($W650="","",SUMIFS(상세표[기록 시간외],상세표[사번키],INDEX(합계표[사번키],$W650),상세표[반영월],대상월키))</f>
        <v/>
      </c>
      <c r="K650">
        <f>IF($W650="","",IFERROR(INDEX(월별근무지표[적용 급여병원],MATCH(INDEX(합계표[사번키],$W650)&amp;"|"&amp;대상월키,월별근무지표[키],0))&amp;"",IF(COUNTIF(기관표[사번키],INDEX(합계표[사번키],$W650))+COUNTIF(월별근무지표[사번키],INDEX(합계표[사번키],$W650))&gt;0,IFERROR(INDEX(기관표[급여지급병원(기준월)],MATCH(INDEX(합계표[사번키],$W650)&amp;"|"&amp;대상월키,기관표[키],0))&amp;"","—"),"—")))</f>
        <v/>
      </c>
      <c r="L650">
        <f>IF($W650="","",IF(NOT(COUNTIF(기관표[사번키],INDEX(합계표[사번키],$W650))+COUNTIF(월별근무지표[사번키],INDEX(합계표[사번키],$W650))&gt;0),"기관명단에 없음(다른 병원으로 발송)",IF($K650="—","대상월 기관명단 없음(추가 필요)",IF($K650="서울병원","해당","비해당"))))</f>
        <v/>
      </c>
      <c r="M650">
        <f>IF($W650="","",SUMIFS(상세표[06~07시],상세표[사번키],INDEX(합계표[사번키],$W650),상세표[반영월],대상월키,상세표[반영 기관],"서울병원"))</f>
        <v/>
      </c>
      <c r="N650">
        <f>IF($W650="","",SUMIFS(상세표[07~18시],상세표[사번키],INDEX(합계표[사번키],$W650),상세표[반영월],대상월키,상세표[반영 기관],"서울병원"))</f>
        <v/>
      </c>
      <c r="O650">
        <f>IF($W650="","",SUMIFS(상세표[18~22시],상세표[사번키],INDEX(합계표[사번키],$W650),상세표[반영월],대상월키,상세표[반영 기관],"서울병원"))</f>
        <v/>
      </c>
      <c r="P650">
        <f>IF($W650="","",SUMIFS(상세표[22~06시],상세표[사번키],INDEX(합계표[사번키],$W650),상세표[반영월],대상월키,상세표[반영 기관],"서울병원"))</f>
        <v/>
      </c>
      <c r="Q650">
        <f>IF($W650="","",SUM($M650:$P650))</f>
        <v/>
      </c>
      <c r="R650">
        <f>IF($W650="","",COUNTIFS(상세표[사번키],INDEX(합계표[사번키],$W650),상세표[반영월],대상월키,상세표[야간당직],1,상세표[야간 구분],"평일"))</f>
        <v/>
      </c>
      <c r="S650" s="4">
        <f>IF($W650="","",COUNTIFS(상세표[사번키],INDEX(합계표[사번키],$W650),상세표[반영월],대상월키,상세표[야간당직],1,상세표[야간 구분],"휴일"))</f>
        <v/>
      </c>
      <c r="T650">
        <f>IF($W650="","",COUNTIFS(상세표[사번키],INDEX(합계표[사번키],$W650),상세표[반영월],대상월키,상세표[야간당직],1,상세표[야간 구분],"평일",상세표[반영 기관],"서울병원"))</f>
        <v/>
      </c>
      <c r="U650">
        <f>IF($W650="","",COUNTIFS(상세표[사번키],INDEX(합계표[사번키],$W650),상세표[반영월],대상월키,상세표[야간당직],1,상세표[야간 구분],"휴일",상세표[반영 기관],"서울병원"))</f>
        <v/>
      </c>
      <c r="V650">
        <f>IF($W650="","",IF(ISNUMBER(MATCH(INDEX(합계표[사번키],$W650)&amp;"|"&amp;대상월키,월별근무지표[키],0)),"직접 입력",IF($K650="—","—","기관명단")))</f>
        <v/>
      </c>
      <c r="W650">
        <f>IFERROR(MATCH(645,합계표[판정순번],0),"")</f>
        <v/>
      </c>
    </row>
    <row r="651">
      <c r="A651">
        <f>IF($W651="","",INDEX(합계표[사번],$W651)&amp;"")</f>
        <v/>
      </c>
      <c r="B651">
        <f>IF($W651="","",INDEX(합계표[성명],$W651)&amp;"")</f>
        <v/>
      </c>
      <c r="C651">
        <f>IF($W651="","",INDEX(합계표[부서],$W651)&amp;"")</f>
        <v/>
      </c>
      <c r="D651">
        <f>IF($W651="","",INDEX(합계표[직위(통합)],$W651)&amp;"")</f>
        <v/>
      </c>
      <c r="E651">
        <f>IF($W651="","",SUMIFS(합계표[시스템 합계],합계표[사번키],INDEX(합계표[사번키],$W651)))</f>
        <v/>
      </c>
      <c r="F651">
        <f>IF($W651="","",SUMIFS(상세표[기록 시간외],상세표[사번키],INDEX(합계표[사번키],$W651),상세표[기록월],대상월키))</f>
        <v/>
      </c>
      <c r="G651">
        <f>IF($W651="","",IF(ABS($E651-$F651)&lt;0.01,"일치","불일치(차이 "&amp;TEXT($F651-$E651,"0.00")&amp;")"))</f>
        <v/>
      </c>
      <c r="H651">
        <f>IF($W651="","",SUMIFS(상세표[기록 시간외],상세표[사번키],INDEX(합계표[사번키],$W651),상세표[기록월],대상월키,상세표[반영월],"&lt;&gt;"&amp;대상월키))</f>
        <v/>
      </c>
      <c r="I651">
        <f>IF($W651="","",SUMIFS(상세표[기록 시간외],상세표[사번키],INDEX(합계표[사번키],$W651),상세표[기록월],"&lt;&gt;"&amp;대상월키,상세표[반영월],대상월키))</f>
        <v/>
      </c>
      <c r="J651">
        <f>IF($W651="","",SUMIFS(상세표[기록 시간외],상세표[사번키],INDEX(합계표[사번키],$W651),상세표[반영월],대상월키))</f>
        <v/>
      </c>
      <c r="K651">
        <f>IF($W651="","",IFERROR(INDEX(월별근무지표[적용 급여병원],MATCH(INDEX(합계표[사번키],$W651)&amp;"|"&amp;대상월키,월별근무지표[키],0))&amp;"",IF(COUNTIF(기관표[사번키],INDEX(합계표[사번키],$W651))+COUNTIF(월별근무지표[사번키],INDEX(합계표[사번키],$W651))&gt;0,IFERROR(INDEX(기관표[급여지급병원(기준월)],MATCH(INDEX(합계표[사번키],$W651)&amp;"|"&amp;대상월키,기관표[키],0))&amp;"","—"),"—")))</f>
        <v/>
      </c>
      <c r="L651">
        <f>IF($W651="","",IF(NOT(COUNTIF(기관표[사번키],INDEX(합계표[사번키],$W651))+COUNTIF(월별근무지표[사번키],INDEX(합계표[사번키],$W651))&gt;0),"기관명단에 없음(다른 병원으로 발송)",IF($K651="—","대상월 기관명단 없음(추가 필요)",IF($K651="서울병원","해당","비해당"))))</f>
        <v/>
      </c>
      <c r="M651">
        <f>IF($W651="","",SUMIFS(상세표[06~07시],상세표[사번키],INDEX(합계표[사번키],$W651),상세표[반영월],대상월키,상세표[반영 기관],"서울병원"))</f>
        <v/>
      </c>
      <c r="N651">
        <f>IF($W651="","",SUMIFS(상세표[07~18시],상세표[사번키],INDEX(합계표[사번키],$W651),상세표[반영월],대상월키,상세표[반영 기관],"서울병원"))</f>
        <v/>
      </c>
      <c r="O651">
        <f>IF($W651="","",SUMIFS(상세표[18~22시],상세표[사번키],INDEX(합계표[사번키],$W651),상세표[반영월],대상월키,상세표[반영 기관],"서울병원"))</f>
        <v/>
      </c>
      <c r="P651">
        <f>IF($W651="","",SUMIFS(상세표[22~06시],상세표[사번키],INDEX(합계표[사번키],$W651),상세표[반영월],대상월키,상세표[반영 기관],"서울병원"))</f>
        <v/>
      </c>
      <c r="Q651">
        <f>IF($W651="","",SUM($M651:$P651))</f>
        <v/>
      </c>
      <c r="R651">
        <f>IF($W651="","",COUNTIFS(상세표[사번키],INDEX(합계표[사번키],$W651),상세표[반영월],대상월키,상세표[야간당직],1,상세표[야간 구분],"평일"))</f>
        <v/>
      </c>
      <c r="S651" s="4">
        <f>IF($W651="","",COUNTIFS(상세표[사번키],INDEX(합계표[사번키],$W651),상세표[반영월],대상월키,상세표[야간당직],1,상세표[야간 구분],"휴일"))</f>
        <v/>
      </c>
      <c r="T651">
        <f>IF($W651="","",COUNTIFS(상세표[사번키],INDEX(합계표[사번키],$W651),상세표[반영월],대상월키,상세표[야간당직],1,상세표[야간 구분],"평일",상세표[반영 기관],"서울병원"))</f>
        <v/>
      </c>
      <c r="U651">
        <f>IF($W651="","",COUNTIFS(상세표[사번키],INDEX(합계표[사번키],$W651),상세표[반영월],대상월키,상세표[야간당직],1,상세표[야간 구분],"휴일",상세표[반영 기관],"서울병원"))</f>
        <v/>
      </c>
      <c r="V651">
        <f>IF($W651="","",IF(ISNUMBER(MATCH(INDEX(합계표[사번키],$W651)&amp;"|"&amp;대상월키,월별근무지표[키],0)),"직접 입력",IF($K651="—","—","기관명단")))</f>
        <v/>
      </c>
      <c r="W651">
        <f>IFERROR(MATCH(646,합계표[판정순번],0),"")</f>
        <v/>
      </c>
    </row>
    <row r="652">
      <c r="A652">
        <f>IF($W652="","",INDEX(합계표[사번],$W652)&amp;"")</f>
        <v/>
      </c>
      <c r="B652">
        <f>IF($W652="","",INDEX(합계표[성명],$W652)&amp;"")</f>
        <v/>
      </c>
      <c r="C652">
        <f>IF($W652="","",INDEX(합계표[부서],$W652)&amp;"")</f>
        <v/>
      </c>
      <c r="D652">
        <f>IF($W652="","",INDEX(합계표[직위(통합)],$W652)&amp;"")</f>
        <v/>
      </c>
      <c r="E652">
        <f>IF($W652="","",SUMIFS(합계표[시스템 합계],합계표[사번키],INDEX(합계표[사번키],$W652)))</f>
        <v/>
      </c>
      <c r="F652">
        <f>IF($W652="","",SUMIFS(상세표[기록 시간외],상세표[사번키],INDEX(합계표[사번키],$W652),상세표[기록월],대상월키))</f>
        <v/>
      </c>
      <c r="G652">
        <f>IF($W652="","",IF(ABS($E652-$F652)&lt;0.01,"일치","불일치(차이 "&amp;TEXT($F652-$E652,"0.00")&amp;")"))</f>
        <v/>
      </c>
      <c r="H652">
        <f>IF($W652="","",SUMIFS(상세표[기록 시간외],상세표[사번키],INDEX(합계표[사번키],$W652),상세표[기록월],대상월키,상세표[반영월],"&lt;&gt;"&amp;대상월키))</f>
        <v/>
      </c>
      <c r="I652">
        <f>IF($W652="","",SUMIFS(상세표[기록 시간외],상세표[사번키],INDEX(합계표[사번키],$W652),상세표[기록월],"&lt;&gt;"&amp;대상월키,상세표[반영월],대상월키))</f>
        <v/>
      </c>
      <c r="J652">
        <f>IF($W652="","",SUMIFS(상세표[기록 시간외],상세표[사번키],INDEX(합계표[사번키],$W652),상세표[반영월],대상월키))</f>
        <v/>
      </c>
      <c r="K652">
        <f>IF($W652="","",IFERROR(INDEX(월별근무지표[적용 급여병원],MATCH(INDEX(합계표[사번키],$W652)&amp;"|"&amp;대상월키,월별근무지표[키],0))&amp;"",IF(COUNTIF(기관표[사번키],INDEX(합계표[사번키],$W652))+COUNTIF(월별근무지표[사번키],INDEX(합계표[사번키],$W652))&gt;0,IFERROR(INDEX(기관표[급여지급병원(기준월)],MATCH(INDEX(합계표[사번키],$W652)&amp;"|"&amp;대상월키,기관표[키],0))&amp;"","—"),"—")))</f>
        <v/>
      </c>
      <c r="L652">
        <f>IF($W652="","",IF(NOT(COUNTIF(기관표[사번키],INDEX(합계표[사번키],$W652))+COUNTIF(월별근무지표[사번키],INDEX(합계표[사번키],$W652))&gt;0),"기관명단에 없음(다른 병원으로 발송)",IF($K652="—","대상월 기관명단 없음(추가 필요)",IF($K652="서울병원","해당","비해당"))))</f>
        <v/>
      </c>
      <c r="M652">
        <f>IF($W652="","",SUMIFS(상세표[06~07시],상세표[사번키],INDEX(합계표[사번키],$W652),상세표[반영월],대상월키,상세표[반영 기관],"서울병원"))</f>
        <v/>
      </c>
      <c r="N652">
        <f>IF($W652="","",SUMIFS(상세표[07~18시],상세표[사번키],INDEX(합계표[사번키],$W652),상세표[반영월],대상월키,상세표[반영 기관],"서울병원"))</f>
        <v/>
      </c>
      <c r="O652">
        <f>IF($W652="","",SUMIFS(상세표[18~22시],상세표[사번키],INDEX(합계표[사번키],$W652),상세표[반영월],대상월키,상세표[반영 기관],"서울병원"))</f>
        <v/>
      </c>
      <c r="P652">
        <f>IF($W652="","",SUMIFS(상세표[22~06시],상세표[사번키],INDEX(합계표[사번키],$W652),상세표[반영월],대상월키,상세표[반영 기관],"서울병원"))</f>
        <v/>
      </c>
      <c r="Q652">
        <f>IF($W652="","",SUM($M652:$P652))</f>
        <v/>
      </c>
      <c r="R652">
        <f>IF($W652="","",COUNTIFS(상세표[사번키],INDEX(합계표[사번키],$W652),상세표[반영월],대상월키,상세표[야간당직],1,상세표[야간 구분],"평일"))</f>
        <v/>
      </c>
      <c r="S652" s="4">
        <f>IF($W652="","",COUNTIFS(상세표[사번키],INDEX(합계표[사번키],$W652),상세표[반영월],대상월키,상세표[야간당직],1,상세표[야간 구분],"휴일"))</f>
        <v/>
      </c>
      <c r="T652">
        <f>IF($W652="","",COUNTIFS(상세표[사번키],INDEX(합계표[사번키],$W652),상세표[반영월],대상월키,상세표[야간당직],1,상세표[야간 구분],"평일",상세표[반영 기관],"서울병원"))</f>
        <v/>
      </c>
      <c r="U652">
        <f>IF($W652="","",COUNTIFS(상세표[사번키],INDEX(합계표[사번키],$W652),상세표[반영월],대상월키,상세표[야간당직],1,상세표[야간 구분],"휴일",상세표[반영 기관],"서울병원"))</f>
        <v/>
      </c>
      <c r="V652">
        <f>IF($W652="","",IF(ISNUMBER(MATCH(INDEX(합계표[사번키],$W652)&amp;"|"&amp;대상월키,월별근무지표[키],0)),"직접 입력",IF($K652="—","—","기관명단")))</f>
        <v/>
      </c>
      <c r="W652">
        <f>IFERROR(MATCH(647,합계표[판정순번],0),"")</f>
        <v/>
      </c>
    </row>
    <row r="653">
      <c r="A653">
        <f>IF($W653="","",INDEX(합계표[사번],$W653)&amp;"")</f>
        <v/>
      </c>
      <c r="B653">
        <f>IF($W653="","",INDEX(합계표[성명],$W653)&amp;"")</f>
        <v/>
      </c>
      <c r="C653">
        <f>IF($W653="","",INDEX(합계표[부서],$W653)&amp;"")</f>
        <v/>
      </c>
      <c r="D653">
        <f>IF($W653="","",INDEX(합계표[직위(통합)],$W653)&amp;"")</f>
        <v/>
      </c>
      <c r="E653">
        <f>IF($W653="","",SUMIFS(합계표[시스템 합계],합계표[사번키],INDEX(합계표[사번키],$W653)))</f>
        <v/>
      </c>
      <c r="F653">
        <f>IF($W653="","",SUMIFS(상세표[기록 시간외],상세표[사번키],INDEX(합계표[사번키],$W653),상세표[기록월],대상월키))</f>
        <v/>
      </c>
      <c r="G653">
        <f>IF($W653="","",IF(ABS($E653-$F653)&lt;0.01,"일치","불일치(차이 "&amp;TEXT($F653-$E653,"0.00")&amp;")"))</f>
        <v/>
      </c>
      <c r="H653">
        <f>IF($W653="","",SUMIFS(상세표[기록 시간외],상세표[사번키],INDEX(합계표[사번키],$W653),상세표[기록월],대상월키,상세표[반영월],"&lt;&gt;"&amp;대상월키))</f>
        <v/>
      </c>
      <c r="I653">
        <f>IF($W653="","",SUMIFS(상세표[기록 시간외],상세표[사번키],INDEX(합계표[사번키],$W653),상세표[기록월],"&lt;&gt;"&amp;대상월키,상세표[반영월],대상월키))</f>
        <v/>
      </c>
      <c r="J653">
        <f>IF($W653="","",SUMIFS(상세표[기록 시간외],상세표[사번키],INDEX(합계표[사번키],$W653),상세표[반영월],대상월키))</f>
        <v/>
      </c>
      <c r="K653">
        <f>IF($W653="","",IFERROR(INDEX(월별근무지표[적용 급여병원],MATCH(INDEX(합계표[사번키],$W653)&amp;"|"&amp;대상월키,월별근무지표[키],0))&amp;"",IF(COUNTIF(기관표[사번키],INDEX(합계표[사번키],$W653))+COUNTIF(월별근무지표[사번키],INDEX(합계표[사번키],$W653))&gt;0,IFERROR(INDEX(기관표[급여지급병원(기준월)],MATCH(INDEX(합계표[사번키],$W653)&amp;"|"&amp;대상월키,기관표[키],0))&amp;"","—"),"—")))</f>
        <v/>
      </c>
      <c r="L653">
        <f>IF($W653="","",IF(NOT(COUNTIF(기관표[사번키],INDEX(합계표[사번키],$W653))+COUNTIF(월별근무지표[사번키],INDEX(합계표[사번키],$W653))&gt;0),"기관명단에 없음(다른 병원으로 발송)",IF($K653="—","대상월 기관명단 없음(추가 필요)",IF($K653="서울병원","해당","비해당"))))</f>
        <v/>
      </c>
      <c r="M653">
        <f>IF($W653="","",SUMIFS(상세표[06~07시],상세표[사번키],INDEX(합계표[사번키],$W653),상세표[반영월],대상월키,상세표[반영 기관],"서울병원"))</f>
        <v/>
      </c>
      <c r="N653">
        <f>IF($W653="","",SUMIFS(상세표[07~18시],상세표[사번키],INDEX(합계표[사번키],$W653),상세표[반영월],대상월키,상세표[반영 기관],"서울병원"))</f>
        <v/>
      </c>
      <c r="O653">
        <f>IF($W653="","",SUMIFS(상세표[18~22시],상세표[사번키],INDEX(합계표[사번키],$W653),상세표[반영월],대상월키,상세표[반영 기관],"서울병원"))</f>
        <v/>
      </c>
      <c r="P653">
        <f>IF($W653="","",SUMIFS(상세표[22~06시],상세표[사번키],INDEX(합계표[사번키],$W653),상세표[반영월],대상월키,상세표[반영 기관],"서울병원"))</f>
        <v/>
      </c>
      <c r="Q653">
        <f>IF($W653="","",SUM($M653:$P653))</f>
        <v/>
      </c>
      <c r="R653">
        <f>IF($W653="","",COUNTIFS(상세표[사번키],INDEX(합계표[사번키],$W653),상세표[반영월],대상월키,상세표[야간당직],1,상세표[야간 구분],"평일"))</f>
        <v/>
      </c>
      <c r="S653" s="4">
        <f>IF($W653="","",COUNTIFS(상세표[사번키],INDEX(합계표[사번키],$W653),상세표[반영월],대상월키,상세표[야간당직],1,상세표[야간 구분],"휴일"))</f>
        <v/>
      </c>
      <c r="T653">
        <f>IF($W653="","",COUNTIFS(상세표[사번키],INDEX(합계표[사번키],$W653),상세표[반영월],대상월키,상세표[야간당직],1,상세표[야간 구분],"평일",상세표[반영 기관],"서울병원"))</f>
        <v/>
      </c>
      <c r="U653">
        <f>IF($W653="","",COUNTIFS(상세표[사번키],INDEX(합계표[사번키],$W653),상세표[반영월],대상월키,상세표[야간당직],1,상세표[야간 구분],"휴일",상세표[반영 기관],"서울병원"))</f>
        <v/>
      </c>
      <c r="V653">
        <f>IF($W653="","",IF(ISNUMBER(MATCH(INDEX(합계표[사번키],$W653)&amp;"|"&amp;대상월키,월별근무지표[키],0)),"직접 입력",IF($K653="—","—","기관명단")))</f>
        <v/>
      </c>
      <c r="W653">
        <f>IFERROR(MATCH(648,합계표[판정순번],0),"")</f>
        <v/>
      </c>
    </row>
    <row r="654">
      <c r="A654">
        <f>IF($W654="","",INDEX(합계표[사번],$W654)&amp;"")</f>
        <v/>
      </c>
      <c r="B654">
        <f>IF($W654="","",INDEX(합계표[성명],$W654)&amp;"")</f>
        <v/>
      </c>
      <c r="C654">
        <f>IF($W654="","",INDEX(합계표[부서],$W654)&amp;"")</f>
        <v/>
      </c>
      <c r="D654">
        <f>IF($W654="","",INDEX(합계표[직위(통합)],$W654)&amp;"")</f>
        <v/>
      </c>
      <c r="E654">
        <f>IF($W654="","",SUMIFS(합계표[시스템 합계],합계표[사번키],INDEX(합계표[사번키],$W654)))</f>
        <v/>
      </c>
      <c r="F654">
        <f>IF($W654="","",SUMIFS(상세표[기록 시간외],상세표[사번키],INDEX(합계표[사번키],$W654),상세표[기록월],대상월키))</f>
        <v/>
      </c>
      <c r="G654">
        <f>IF($W654="","",IF(ABS($E654-$F654)&lt;0.01,"일치","불일치(차이 "&amp;TEXT($F654-$E654,"0.00")&amp;")"))</f>
        <v/>
      </c>
      <c r="H654">
        <f>IF($W654="","",SUMIFS(상세표[기록 시간외],상세표[사번키],INDEX(합계표[사번키],$W654),상세표[기록월],대상월키,상세표[반영월],"&lt;&gt;"&amp;대상월키))</f>
        <v/>
      </c>
      <c r="I654">
        <f>IF($W654="","",SUMIFS(상세표[기록 시간외],상세표[사번키],INDEX(합계표[사번키],$W654),상세표[기록월],"&lt;&gt;"&amp;대상월키,상세표[반영월],대상월키))</f>
        <v/>
      </c>
      <c r="J654">
        <f>IF($W654="","",SUMIFS(상세표[기록 시간외],상세표[사번키],INDEX(합계표[사번키],$W654),상세표[반영월],대상월키))</f>
        <v/>
      </c>
      <c r="K654">
        <f>IF($W654="","",IFERROR(INDEX(월별근무지표[적용 급여병원],MATCH(INDEX(합계표[사번키],$W654)&amp;"|"&amp;대상월키,월별근무지표[키],0))&amp;"",IF(COUNTIF(기관표[사번키],INDEX(합계표[사번키],$W654))+COUNTIF(월별근무지표[사번키],INDEX(합계표[사번키],$W654))&gt;0,IFERROR(INDEX(기관표[급여지급병원(기준월)],MATCH(INDEX(합계표[사번키],$W654)&amp;"|"&amp;대상월키,기관표[키],0))&amp;"","—"),"—")))</f>
        <v/>
      </c>
      <c r="L654">
        <f>IF($W654="","",IF(NOT(COUNTIF(기관표[사번키],INDEX(합계표[사번키],$W654))+COUNTIF(월별근무지표[사번키],INDEX(합계표[사번키],$W654))&gt;0),"기관명단에 없음(다른 병원으로 발송)",IF($K654="—","대상월 기관명단 없음(추가 필요)",IF($K654="서울병원","해당","비해당"))))</f>
        <v/>
      </c>
      <c r="M654">
        <f>IF($W654="","",SUMIFS(상세표[06~07시],상세표[사번키],INDEX(합계표[사번키],$W654),상세표[반영월],대상월키,상세표[반영 기관],"서울병원"))</f>
        <v/>
      </c>
      <c r="N654">
        <f>IF($W654="","",SUMIFS(상세표[07~18시],상세표[사번키],INDEX(합계표[사번키],$W654),상세표[반영월],대상월키,상세표[반영 기관],"서울병원"))</f>
        <v/>
      </c>
      <c r="O654">
        <f>IF($W654="","",SUMIFS(상세표[18~22시],상세표[사번키],INDEX(합계표[사번키],$W654),상세표[반영월],대상월키,상세표[반영 기관],"서울병원"))</f>
        <v/>
      </c>
      <c r="P654">
        <f>IF($W654="","",SUMIFS(상세표[22~06시],상세표[사번키],INDEX(합계표[사번키],$W654),상세표[반영월],대상월키,상세표[반영 기관],"서울병원"))</f>
        <v/>
      </c>
      <c r="Q654">
        <f>IF($W654="","",SUM($M654:$P654))</f>
        <v/>
      </c>
      <c r="R654">
        <f>IF($W654="","",COUNTIFS(상세표[사번키],INDEX(합계표[사번키],$W654),상세표[반영월],대상월키,상세표[야간당직],1,상세표[야간 구분],"평일"))</f>
        <v/>
      </c>
      <c r="S654" s="4">
        <f>IF($W654="","",COUNTIFS(상세표[사번키],INDEX(합계표[사번키],$W654),상세표[반영월],대상월키,상세표[야간당직],1,상세표[야간 구분],"휴일"))</f>
        <v/>
      </c>
      <c r="T654">
        <f>IF($W654="","",COUNTIFS(상세표[사번키],INDEX(합계표[사번키],$W654),상세표[반영월],대상월키,상세표[야간당직],1,상세표[야간 구분],"평일",상세표[반영 기관],"서울병원"))</f>
        <v/>
      </c>
      <c r="U654">
        <f>IF($W654="","",COUNTIFS(상세표[사번키],INDEX(합계표[사번키],$W654),상세표[반영월],대상월키,상세표[야간당직],1,상세표[야간 구분],"휴일",상세표[반영 기관],"서울병원"))</f>
        <v/>
      </c>
      <c r="V654">
        <f>IF($W654="","",IF(ISNUMBER(MATCH(INDEX(합계표[사번키],$W654)&amp;"|"&amp;대상월키,월별근무지표[키],0)),"직접 입력",IF($K654="—","—","기관명단")))</f>
        <v/>
      </c>
      <c r="W654">
        <f>IFERROR(MATCH(649,합계표[판정순번],0),"")</f>
        <v/>
      </c>
    </row>
    <row r="655">
      <c r="A655">
        <f>IF($W655="","",INDEX(합계표[사번],$W655)&amp;"")</f>
        <v/>
      </c>
      <c r="B655">
        <f>IF($W655="","",INDEX(합계표[성명],$W655)&amp;"")</f>
        <v/>
      </c>
      <c r="C655">
        <f>IF($W655="","",INDEX(합계표[부서],$W655)&amp;"")</f>
        <v/>
      </c>
      <c r="D655">
        <f>IF($W655="","",INDEX(합계표[직위(통합)],$W655)&amp;"")</f>
        <v/>
      </c>
      <c r="E655">
        <f>IF($W655="","",SUMIFS(합계표[시스템 합계],합계표[사번키],INDEX(합계표[사번키],$W655)))</f>
        <v/>
      </c>
      <c r="F655">
        <f>IF($W655="","",SUMIFS(상세표[기록 시간외],상세표[사번키],INDEX(합계표[사번키],$W655),상세표[기록월],대상월키))</f>
        <v/>
      </c>
      <c r="G655">
        <f>IF($W655="","",IF(ABS($E655-$F655)&lt;0.01,"일치","불일치(차이 "&amp;TEXT($F655-$E655,"0.00")&amp;")"))</f>
        <v/>
      </c>
      <c r="H655">
        <f>IF($W655="","",SUMIFS(상세표[기록 시간외],상세표[사번키],INDEX(합계표[사번키],$W655),상세표[기록월],대상월키,상세표[반영월],"&lt;&gt;"&amp;대상월키))</f>
        <v/>
      </c>
      <c r="I655">
        <f>IF($W655="","",SUMIFS(상세표[기록 시간외],상세표[사번키],INDEX(합계표[사번키],$W655),상세표[기록월],"&lt;&gt;"&amp;대상월키,상세표[반영월],대상월키))</f>
        <v/>
      </c>
      <c r="J655">
        <f>IF($W655="","",SUMIFS(상세표[기록 시간외],상세표[사번키],INDEX(합계표[사번키],$W655),상세표[반영월],대상월키))</f>
        <v/>
      </c>
      <c r="K655">
        <f>IF($W655="","",IFERROR(INDEX(월별근무지표[적용 급여병원],MATCH(INDEX(합계표[사번키],$W655)&amp;"|"&amp;대상월키,월별근무지표[키],0))&amp;"",IF(COUNTIF(기관표[사번키],INDEX(합계표[사번키],$W655))+COUNTIF(월별근무지표[사번키],INDEX(합계표[사번키],$W655))&gt;0,IFERROR(INDEX(기관표[급여지급병원(기준월)],MATCH(INDEX(합계표[사번키],$W655)&amp;"|"&amp;대상월키,기관표[키],0))&amp;"","—"),"—")))</f>
        <v/>
      </c>
      <c r="L655">
        <f>IF($W655="","",IF(NOT(COUNTIF(기관표[사번키],INDEX(합계표[사번키],$W655))+COUNTIF(월별근무지표[사번키],INDEX(합계표[사번키],$W655))&gt;0),"기관명단에 없음(다른 병원으로 발송)",IF($K655="—","대상월 기관명단 없음(추가 필요)",IF($K655="서울병원","해당","비해당"))))</f>
        <v/>
      </c>
      <c r="M655">
        <f>IF($W655="","",SUMIFS(상세표[06~07시],상세표[사번키],INDEX(합계표[사번키],$W655),상세표[반영월],대상월키,상세표[반영 기관],"서울병원"))</f>
        <v/>
      </c>
      <c r="N655">
        <f>IF($W655="","",SUMIFS(상세표[07~18시],상세표[사번키],INDEX(합계표[사번키],$W655),상세표[반영월],대상월키,상세표[반영 기관],"서울병원"))</f>
        <v/>
      </c>
      <c r="O655">
        <f>IF($W655="","",SUMIFS(상세표[18~22시],상세표[사번키],INDEX(합계표[사번키],$W655),상세표[반영월],대상월키,상세표[반영 기관],"서울병원"))</f>
        <v/>
      </c>
      <c r="P655">
        <f>IF($W655="","",SUMIFS(상세표[22~06시],상세표[사번키],INDEX(합계표[사번키],$W655),상세표[반영월],대상월키,상세표[반영 기관],"서울병원"))</f>
        <v/>
      </c>
      <c r="Q655">
        <f>IF($W655="","",SUM($M655:$P655))</f>
        <v/>
      </c>
      <c r="R655">
        <f>IF($W655="","",COUNTIFS(상세표[사번키],INDEX(합계표[사번키],$W655),상세표[반영월],대상월키,상세표[야간당직],1,상세표[야간 구분],"평일"))</f>
        <v/>
      </c>
      <c r="S655" s="4">
        <f>IF($W655="","",COUNTIFS(상세표[사번키],INDEX(합계표[사번키],$W655),상세표[반영월],대상월키,상세표[야간당직],1,상세표[야간 구분],"휴일"))</f>
        <v/>
      </c>
      <c r="T655">
        <f>IF($W655="","",COUNTIFS(상세표[사번키],INDEX(합계표[사번키],$W655),상세표[반영월],대상월키,상세표[야간당직],1,상세표[야간 구분],"평일",상세표[반영 기관],"서울병원"))</f>
        <v/>
      </c>
      <c r="U655">
        <f>IF($W655="","",COUNTIFS(상세표[사번키],INDEX(합계표[사번키],$W655),상세표[반영월],대상월키,상세표[야간당직],1,상세표[야간 구분],"휴일",상세표[반영 기관],"서울병원"))</f>
        <v/>
      </c>
      <c r="V655">
        <f>IF($W655="","",IF(ISNUMBER(MATCH(INDEX(합계표[사번키],$W655)&amp;"|"&amp;대상월키,월별근무지표[키],0)),"직접 입력",IF($K655="—","—","기관명단")))</f>
        <v/>
      </c>
      <c r="W655">
        <f>IFERROR(MATCH(650,합계표[판정순번],0),"")</f>
        <v/>
      </c>
    </row>
    <row r="656">
      <c r="A656">
        <f>IF($W656="","",INDEX(합계표[사번],$W656)&amp;"")</f>
        <v/>
      </c>
      <c r="B656">
        <f>IF($W656="","",INDEX(합계표[성명],$W656)&amp;"")</f>
        <v/>
      </c>
      <c r="C656">
        <f>IF($W656="","",INDEX(합계표[부서],$W656)&amp;"")</f>
        <v/>
      </c>
      <c r="D656">
        <f>IF($W656="","",INDEX(합계표[직위(통합)],$W656)&amp;"")</f>
        <v/>
      </c>
      <c r="E656">
        <f>IF($W656="","",SUMIFS(합계표[시스템 합계],합계표[사번키],INDEX(합계표[사번키],$W656)))</f>
        <v/>
      </c>
      <c r="F656">
        <f>IF($W656="","",SUMIFS(상세표[기록 시간외],상세표[사번키],INDEX(합계표[사번키],$W656),상세표[기록월],대상월키))</f>
        <v/>
      </c>
      <c r="G656">
        <f>IF($W656="","",IF(ABS($E656-$F656)&lt;0.01,"일치","불일치(차이 "&amp;TEXT($F656-$E656,"0.00")&amp;")"))</f>
        <v/>
      </c>
      <c r="H656">
        <f>IF($W656="","",SUMIFS(상세표[기록 시간외],상세표[사번키],INDEX(합계표[사번키],$W656),상세표[기록월],대상월키,상세표[반영월],"&lt;&gt;"&amp;대상월키))</f>
        <v/>
      </c>
      <c r="I656">
        <f>IF($W656="","",SUMIFS(상세표[기록 시간외],상세표[사번키],INDEX(합계표[사번키],$W656),상세표[기록월],"&lt;&gt;"&amp;대상월키,상세표[반영월],대상월키))</f>
        <v/>
      </c>
      <c r="J656">
        <f>IF($W656="","",SUMIFS(상세표[기록 시간외],상세표[사번키],INDEX(합계표[사번키],$W656),상세표[반영월],대상월키))</f>
        <v/>
      </c>
      <c r="K656">
        <f>IF($W656="","",IFERROR(INDEX(월별근무지표[적용 급여병원],MATCH(INDEX(합계표[사번키],$W656)&amp;"|"&amp;대상월키,월별근무지표[키],0))&amp;"",IF(COUNTIF(기관표[사번키],INDEX(합계표[사번키],$W656))+COUNTIF(월별근무지표[사번키],INDEX(합계표[사번키],$W656))&gt;0,IFERROR(INDEX(기관표[급여지급병원(기준월)],MATCH(INDEX(합계표[사번키],$W656)&amp;"|"&amp;대상월키,기관표[키],0))&amp;"","—"),"—")))</f>
        <v/>
      </c>
      <c r="L656">
        <f>IF($W656="","",IF(NOT(COUNTIF(기관표[사번키],INDEX(합계표[사번키],$W656))+COUNTIF(월별근무지표[사번키],INDEX(합계표[사번키],$W656))&gt;0),"기관명단에 없음(다른 병원으로 발송)",IF($K656="—","대상월 기관명단 없음(추가 필요)",IF($K656="서울병원","해당","비해당"))))</f>
        <v/>
      </c>
      <c r="M656">
        <f>IF($W656="","",SUMIFS(상세표[06~07시],상세표[사번키],INDEX(합계표[사번키],$W656),상세표[반영월],대상월키,상세표[반영 기관],"서울병원"))</f>
        <v/>
      </c>
      <c r="N656">
        <f>IF($W656="","",SUMIFS(상세표[07~18시],상세표[사번키],INDEX(합계표[사번키],$W656),상세표[반영월],대상월키,상세표[반영 기관],"서울병원"))</f>
        <v/>
      </c>
      <c r="O656">
        <f>IF($W656="","",SUMIFS(상세표[18~22시],상세표[사번키],INDEX(합계표[사번키],$W656),상세표[반영월],대상월키,상세표[반영 기관],"서울병원"))</f>
        <v/>
      </c>
      <c r="P656">
        <f>IF($W656="","",SUMIFS(상세표[22~06시],상세표[사번키],INDEX(합계표[사번키],$W656),상세표[반영월],대상월키,상세표[반영 기관],"서울병원"))</f>
        <v/>
      </c>
      <c r="Q656">
        <f>IF($W656="","",SUM($M656:$P656))</f>
        <v/>
      </c>
      <c r="R656">
        <f>IF($W656="","",COUNTIFS(상세표[사번키],INDEX(합계표[사번키],$W656),상세표[반영월],대상월키,상세표[야간당직],1,상세표[야간 구분],"평일"))</f>
        <v/>
      </c>
      <c r="S656" s="4">
        <f>IF($W656="","",COUNTIFS(상세표[사번키],INDEX(합계표[사번키],$W656),상세표[반영월],대상월키,상세표[야간당직],1,상세표[야간 구분],"휴일"))</f>
        <v/>
      </c>
      <c r="T656">
        <f>IF($W656="","",COUNTIFS(상세표[사번키],INDEX(합계표[사번키],$W656),상세표[반영월],대상월키,상세표[야간당직],1,상세표[야간 구분],"평일",상세표[반영 기관],"서울병원"))</f>
        <v/>
      </c>
      <c r="U656">
        <f>IF($W656="","",COUNTIFS(상세표[사번키],INDEX(합계표[사번키],$W656),상세표[반영월],대상월키,상세표[야간당직],1,상세표[야간 구분],"휴일",상세표[반영 기관],"서울병원"))</f>
        <v/>
      </c>
      <c r="V656">
        <f>IF($W656="","",IF(ISNUMBER(MATCH(INDEX(합계표[사번키],$W656)&amp;"|"&amp;대상월키,월별근무지표[키],0)),"직접 입력",IF($K656="—","—","기관명단")))</f>
        <v/>
      </c>
      <c r="W656">
        <f>IFERROR(MATCH(651,합계표[판정순번],0),"")</f>
        <v/>
      </c>
    </row>
    <row r="657">
      <c r="A657">
        <f>IF($W657="","",INDEX(합계표[사번],$W657)&amp;"")</f>
        <v/>
      </c>
      <c r="B657">
        <f>IF($W657="","",INDEX(합계표[성명],$W657)&amp;"")</f>
        <v/>
      </c>
      <c r="C657">
        <f>IF($W657="","",INDEX(합계표[부서],$W657)&amp;"")</f>
        <v/>
      </c>
      <c r="D657">
        <f>IF($W657="","",INDEX(합계표[직위(통합)],$W657)&amp;"")</f>
        <v/>
      </c>
      <c r="E657">
        <f>IF($W657="","",SUMIFS(합계표[시스템 합계],합계표[사번키],INDEX(합계표[사번키],$W657)))</f>
        <v/>
      </c>
      <c r="F657">
        <f>IF($W657="","",SUMIFS(상세표[기록 시간외],상세표[사번키],INDEX(합계표[사번키],$W657),상세표[기록월],대상월키))</f>
        <v/>
      </c>
      <c r="G657">
        <f>IF($W657="","",IF(ABS($E657-$F657)&lt;0.01,"일치","불일치(차이 "&amp;TEXT($F657-$E657,"0.00")&amp;")"))</f>
        <v/>
      </c>
      <c r="H657">
        <f>IF($W657="","",SUMIFS(상세표[기록 시간외],상세표[사번키],INDEX(합계표[사번키],$W657),상세표[기록월],대상월키,상세표[반영월],"&lt;&gt;"&amp;대상월키))</f>
        <v/>
      </c>
      <c r="I657">
        <f>IF($W657="","",SUMIFS(상세표[기록 시간외],상세표[사번키],INDEX(합계표[사번키],$W657),상세표[기록월],"&lt;&gt;"&amp;대상월키,상세표[반영월],대상월키))</f>
        <v/>
      </c>
      <c r="J657">
        <f>IF($W657="","",SUMIFS(상세표[기록 시간외],상세표[사번키],INDEX(합계표[사번키],$W657),상세표[반영월],대상월키))</f>
        <v/>
      </c>
      <c r="K657">
        <f>IF($W657="","",IFERROR(INDEX(월별근무지표[적용 급여병원],MATCH(INDEX(합계표[사번키],$W657)&amp;"|"&amp;대상월키,월별근무지표[키],0))&amp;"",IF(COUNTIF(기관표[사번키],INDEX(합계표[사번키],$W657))+COUNTIF(월별근무지표[사번키],INDEX(합계표[사번키],$W657))&gt;0,IFERROR(INDEX(기관표[급여지급병원(기준월)],MATCH(INDEX(합계표[사번키],$W657)&amp;"|"&amp;대상월키,기관표[키],0))&amp;"","—"),"—")))</f>
        <v/>
      </c>
      <c r="L657">
        <f>IF($W657="","",IF(NOT(COUNTIF(기관표[사번키],INDEX(합계표[사번키],$W657))+COUNTIF(월별근무지표[사번키],INDEX(합계표[사번키],$W657))&gt;0),"기관명단에 없음(다른 병원으로 발송)",IF($K657="—","대상월 기관명단 없음(추가 필요)",IF($K657="서울병원","해당","비해당"))))</f>
        <v/>
      </c>
      <c r="M657">
        <f>IF($W657="","",SUMIFS(상세표[06~07시],상세표[사번키],INDEX(합계표[사번키],$W657),상세표[반영월],대상월키,상세표[반영 기관],"서울병원"))</f>
        <v/>
      </c>
      <c r="N657">
        <f>IF($W657="","",SUMIFS(상세표[07~18시],상세표[사번키],INDEX(합계표[사번키],$W657),상세표[반영월],대상월키,상세표[반영 기관],"서울병원"))</f>
        <v/>
      </c>
      <c r="O657">
        <f>IF($W657="","",SUMIFS(상세표[18~22시],상세표[사번키],INDEX(합계표[사번키],$W657),상세표[반영월],대상월키,상세표[반영 기관],"서울병원"))</f>
        <v/>
      </c>
      <c r="P657">
        <f>IF($W657="","",SUMIFS(상세표[22~06시],상세표[사번키],INDEX(합계표[사번키],$W657),상세표[반영월],대상월키,상세표[반영 기관],"서울병원"))</f>
        <v/>
      </c>
      <c r="Q657">
        <f>IF($W657="","",SUM($M657:$P657))</f>
        <v/>
      </c>
      <c r="R657">
        <f>IF($W657="","",COUNTIFS(상세표[사번키],INDEX(합계표[사번키],$W657),상세표[반영월],대상월키,상세표[야간당직],1,상세표[야간 구분],"평일"))</f>
        <v/>
      </c>
      <c r="S657" s="4">
        <f>IF($W657="","",COUNTIFS(상세표[사번키],INDEX(합계표[사번키],$W657),상세표[반영월],대상월키,상세표[야간당직],1,상세표[야간 구분],"휴일"))</f>
        <v/>
      </c>
      <c r="T657">
        <f>IF($W657="","",COUNTIFS(상세표[사번키],INDEX(합계표[사번키],$W657),상세표[반영월],대상월키,상세표[야간당직],1,상세표[야간 구분],"평일",상세표[반영 기관],"서울병원"))</f>
        <v/>
      </c>
      <c r="U657">
        <f>IF($W657="","",COUNTIFS(상세표[사번키],INDEX(합계표[사번키],$W657),상세표[반영월],대상월키,상세표[야간당직],1,상세표[야간 구분],"휴일",상세표[반영 기관],"서울병원"))</f>
        <v/>
      </c>
      <c r="V657">
        <f>IF($W657="","",IF(ISNUMBER(MATCH(INDEX(합계표[사번키],$W657)&amp;"|"&amp;대상월키,월별근무지표[키],0)),"직접 입력",IF($K657="—","—","기관명단")))</f>
        <v/>
      </c>
      <c r="W657">
        <f>IFERROR(MATCH(652,합계표[판정순번],0),"")</f>
        <v/>
      </c>
    </row>
    <row r="658">
      <c r="A658">
        <f>IF($W658="","",INDEX(합계표[사번],$W658)&amp;"")</f>
        <v/>
      </c>
      <c r="B658">
        <f>IF($W658="","",INDEX(합계표[성명],$W658)&amp;"")</f>
        <v/>
      </c>
      <c r="C658">
        <f>IF($W658="","",INDEX(합계표[부서],$W658)&amp;"")</f>
        <v/>
      </c>
      <c r="D658">
        <f>IF($W658="","",INDEX(합계표[직위(통합)],$W658)&amp;"")</f>
        <v/>
      </c>
      <c r="E658">
        <f>IF($W658="","",SUMIFS(합계표[시스템 합계],합계표[사번키],INDEX(합계표[사번키],$W658)))</f>
        <v/>
      </c>
      <c r="F658">
        <f>IF($W658="","",SUMIFS(상세표[기록 시간외],상세표[사번키],INDEX(합계표[사번키],$W658),상세표[기록월],대상월키))</f>
        <v/>
      </c>
      <c r="G658">
        <f>IF($W658="","",IF(ABS($E658-$F658)&lt;0.01,"일치","불일치(차이 "&amp;TEXT($F658-$E658,"0.00")&amp;")"))</f>
        <v/>
      </c>
      <c r="H658">
        <f>IF($W658="","",SUMIFS(상세표[기록 시간외],상세표[사번키],INDEX(합계표[사번키],$W658),상세표[기록월],대상월키,상세표[반영월],"&lt;&gt;"&amp;대상월키))</f>
        <v/>
      </c>
      <c r="I658">
        <f>IF($W658="","",SUMIFS(상세표[기록 시간외],상세표[사번키],INDEX(합계표[사번키],$W658),상세표[기록월],"&lt;&gt;"&amp;대상월키,상세표[반영월],대상월키))</f>
        <v/>
      </c>
      <c r="J658">
        <f>IF($W658="","",SUMIFS(상세표[기록 시간외],상세표[사번키],INDEX(합계표[사번키],$W658),상세표[반영월],대상월키))</f>
        <v/>
      </c>
      <c r="K658">
        <f>IF($W658="","",IFERROR(INDEX(월별근무지표[적용 급여병원],MATCH(INDEX(합계표[사번키],$W658)&amp;"|"&amp;대상월키,월별근무지표[키],0))&amp;"",IF(COUNTIF(기관표[사번키],INDEX(합계표[사번키],$W658))+COUNTIF(월별근무지표[사번키],INDEX(합계표[사번키],$W658))&gt;0,IFERROR(INDEX(기관표[급여지급병원(기준월)],MATCH(INDEX(합계표[사번키],$W658)&amp;"|"&amp;대상월키,기관표[키],0))&amp;"","—"),"—")))</f>
        <v/>
      </c>
      <c r="L658">
        <f>IF($W658="","",IF(NOT(COUNTIF(기관표[사번키],INDEX(합계표[사번키],$W658))+COUNTIF(월별근무지표[사번키],INDEX(합계표[사번키],$W658))&gt;0),"기관명단에 없음(다른 병원으로 발송)",IF($K658="—","대상월 기관명단 없음(추가 필요)",IF($K658="서울병원","해당","비해당"))))</f>
        <v/>
      </c>
      <c r="M658">
        <f>IF($W658="","",SUMIFS(상세표[06~07시],상세표[사번키],INDEX(합계표[사번키],$W658),상세표[반영월],대상월키,상세표[반영 기관],"서울병원"))</f>
        <v/>
      </c>
      <c r="N658">
        <f>IF($W658="","",SUMIFS(상세표[07~18시],상세표[사번키],INDEX(합계표[사번키],$W658),상세표[반영월],대상월키,상세표[반영 기관],"서울병원"))</f>
        <v/>
      </c>
      <c r="O658">
        <f>IF($W658="","",SUMIFS(상세표[18~22시],상세표[사번키],INDEX(합계표[사번키],$W658),상세표[반영월],대상월키,상세표[반영 기관],"서울병원"))</f>
        <v/>
      </c>
      <c r="P658">
        <f>IF($W658="","",SUMIFS(상세표[22~06시],상세표[사번키],INDEX(합계표[사번키],$W658),상세표[반영월],대상월키,상세표[반영 기관],"서울병원"))</f>
        <v/>
      </c>
      <c r="Q658">
        <f>IF($W658="","",SUM($M658:$P658))</f>
        <v/>
      </c>
      <c r="R658">
        <f>IF($W658="","",COUNTIFS(상세표[사번키],INDEX(합계표[사번키],$W658),상세표[반영월],대상월키,상세표[야간당직],1,상세표[야간 구분],"평일"))</f>
        <v/>
      </c>
      <c r="S658" s="4">
        <f>IF($W658="","",COUNTIFS(상세표[사번키],INDEX(합계표[사번키],$W658),상세표[반영월],대상월키,상세표[야간당직],1,상세표[야간 구분],"휴일"))</f>
        <v/>
      </c>
      <c r="T658">
        <f>IF($W658="","",COUNTIFS(상세표[사번키],INDEX(합계표[사번키],$W658),상세표[반영월],대상월키,상세표[야간당직],1,상세표[야간 구분],"평일",상세표[반영 기관],"서울병원"))</f>
        <v/>
      </c>
      <c r="U658">
        <f>IF($W658="","",COUNTIFS(상세표[사번키],INDEX(합계표[사번키],$W658),상세표[반영월],대상월키,상세표[야간당직],1,상세표[야간 구분],"휴일",상세표[반영 기관],"서울병원"))</f>
        <v/>
      </c>
      <c r="V658">
        <f>IF($W658="","",IF(ISNUMBER(MATCH(INDEX(합계표[사번키],$W658)&amp;"|"&amp;대상월키,월별근무지표[키],0)),"직접 입력",IF($K658="—","—","기관명단")))</f>
        <v/>
      </c>
      <c r="W658">
        <f>IFERROR(MATCH(653,합계표[판정순번],0),"")</f>
        <v/>
      </c>
    </row>
    <row r="659">
      <c r="A659">
        <f>IF($W659="","",INDEX(합계표[사번],$W659)&amp;"")</f>
        <v/>
      </c>
      <c r="B659">
        <f>IF($W659="","",INDEX(합계표[성명],$W659)&amp;"")</f>
        <v/>
      </c>
      <c r="C659">
        <f>IF($W659="","",INDEX(합계표[부서],$W659)&amp;"")</f>
        <v/>
      </c>
      <c r="D659">
        <f>IF($W659="","",INDEX(합계표[직위(통합)],$W659)&amp;"")</f>
        <v/>
      </c>
      <c r="E659">
        <f>IF($W659="","",SUMIFS(합계표[시스템 합계],합계표[사번키],INDEX(합계표[사번키],$W659)))</f>
        <v/>
      </c>
      <c r="F659">
        <f>IF($W659="","",SUMIFS(상세표[기록 시간외],상세표[사번키],INDEX(합계표[사번키],$W659),상세표[기록월],대상월키))</f>
        <v/>
      </c>
      <c r="G659">
        <f>IF($W659="","",IF(ABS($E659-$F659)&lt;0.01,"일치","불일치(차이 "&amp;TEXT($F659-$E659,"0.00")&amp;")"))</f>
        <v/>
      </c>
      <c r="H659">
        <f>IF($W659="","",SUMIFS(상세표[기록 시간외],상세표[사번키],INDEX(합계표[사번키],$W659),상세표[기록월],대상월키,상세표[반영월],"&lt;&gt;"&amp;대상월키))</f>
        <v/>
      </c>
      <c r="I659">
        <f>IF($W659="","",SUMIFS(상세표[기록 시간외],상세표[사번키],INDEX(합계표[사번키],$W659),상세표[기록월],"&lt;&gt;"&amp;대상월키,상세표[반영월],대상월키))</f>
        <v/>
      </c>
      <c r="J659">
        <f>IF($W659="","",SUMIFS(상세표[기록 시간외],상세표[사번키],INDEX(합계표[사번키],$W659),상세표[반영월],대상월키))</f>
        <v/>
      </c>
      <c r="K659">
        <f>IF($W659="","",IFERROR(INDEX(월별근무지표[적용 급여병원],MATCH(INDEX(합계표[사번키],$W659)&amp;"|"&amp;대상월키,월별근무지표[키],0))&amp;"",IF(COUNTIF(기관표[사번키],INDEX(합계표[사번키],$W659))+COUNTIF(월별근무지표[사번키],INDEX(합계표[사번키],$W659))&gt;0,IFERROR(INDEX(기관표[급여지급병원(기준월)],MATCH(INDEX(합계표[사번키],$W659)&amp;"|"&amp;대상월키,기관표[키],0))&amp;"","—"),"—")))</f>
        <v/>
      </c>
      <c r="L659">
        <f>IF($W659="","",IF(NOT(COUNTIF(기관표[사번키],INDEX(합계표[사번키],$W659))+COUNTIF(월별근무지표[사번키],INDEX(합계표[사번키],$W659))&gt;0),"기관명단에 없음(다른 병원으로 발송)",IF($K659="—","대상월 기관명단 없음(추가 필요)",IF($K659="서울병원","해당","비해당"))))</f>
        <v/>
      </c>
      <c r="M659">
        <f>IF($W659="","",SUMIFS(상세표[06~07시],상세표[사번키],INDEX(합계표[사번키],$W659),상세표[반영월],대상월키,상세표[반영 기관],"서울병원"))</f>
        <v/>
      </c>
      <c r="N659">
        <f>IF($W659="","",SUMIFS(상세표[07~18시],상세표[사번키],INDEX(합계표[사번키],$W659),상세표[반영월],대상월키,상세표[반영 기관],"서울병원"))</f>
        <v/>
      </c>
      <c r="O659">
        <f>IF($W659="","",SUMIFS(상세표[18~22시],상세표[사번키],INDEX(합계표[사번키],$W659),상세표[반영월],대상월키,상세표[반영 기관],"서울병원"))</f>
        <v/>
      </c>
      <c r="P659">
        <f>IF($W659="","",SUMIFS(상세표[22~06시],상세표[사번키],INDEX(합계표[사번키],$W659),상세표[반영월],대상월키,상세표[반영 기관],"서울병원"))</f>
        <v/>
      </c>
      <c r="Q659">
        <f>IF($W659="","",SUM($M659:$P659))</f>
        <v/>
      </c>
      <c r="R659">
        <f>IF($W659="","",COUNTIFS(상세표[사번키],INDEX(합계표[사번키],$W659),상세표[반영월],대상월키,상세표[야간당직],1,상세표[야간 구분],"평일"))</f>
        <v/>
      </c>
      <c r="S659" s="4">
        <f>IF($W659="","",COUNTIFS(상세표[사번키],INDEX(합계표[사번키],$W659),상세표[반영월],대상월키,상세표[야간당직],1,상세표[야간 구분],"휴일"))</f>
        <v/>
      </c>
      <c r="T659">
        <f>IF($W659="","",COUNTIFS(상세표[사번키],INDEX(합계표[사번키],$W659),상세표[반영월],대상월키,상세표[야간당직],1,상세표[야간 구분],"평일",상세표[반영 기관],"서울병원"))</f>
        <v/>
      </c>
      <c r="U659">
        <f>IF($W659="","",COUNTIFS(상세표[사번키],INDEX(합계표[사번키],$W659),상세표[반영월],대상월키,상세표[야간당직],1,상세표[야간 구분],"휴일",상세표[반영 기관],"서울병원"))</f>
        <v/>
      </c>
      <c r="V659">
        <f>IF($W659="","",IF(ISNUMBER(MATCH(INDEX(합계표[사번키],$W659)&amp;"|"&amp;대상월키,월별근무지표[키],0)),"직접 입력",IF($K659="—","—","기관명단")))</f>
        <v/>
      </c>
      <c r="W659">
        <f>IFERROR(MATCH(654,합계표[판정순번],0),"")</f>
        <v/>
      </c>
    </row>
    <row r="660">
      <c r="A660">
        <f>IF($W660="","",INDEX(합계표[사번],$W660)&amp;"")</f>
        <v/>
      </c>
      <c r="B660">
        <f>IF($W660="","",INDEX(합계표[성명],$W660)&amp;"")</f>
        <v/>
      </c>
      <c r="C660">
        <f>IF($W660="","",INDEX(합계표[부서],$W660)&amp;"")</f>
        <v/>
      </c>
      <c r="D660">
        <f>IF($W660="","",INDEX(합계표[직위(통합)],$W660)&amp;"")</f>
        <v/>
      </c>
      <c r="E660">
        <f>IF($W660="","",SUMIFS(합계표[시스템 합계],합계표[사번키],INDEX(합계표[사번키],$W660)))</f>
        <v/>
      </c>
      <c r="F660">
        <f>IF($W660="","",SUMIFS(상세표[기록 시간외],상세표[사번키],INDEX(합계표[사번키],$W660),상세표[기록월],대상월키))</f>
        <v/>
      </c>
      <c r="G660">
        <f>IF($W660="","",IF(ABS($E660-$F660)&lt;0.01,"일치","불일치(차이 "&amp;TEXT($F660-$E660,"0.00")&amp;")"))</f>
        <v/>
      </c>
      <c r="H660">
        <f>IF($W660="","",SUMIFS(상세표[기록 시간외],상세표[사번키],INDEX(합계표[사번키],$W660),상세표[기록월],대상월키,상세표[반영월],"&lt;&gt;"&amp;대상월키))</f>
        <v/>
      </c>
      <c r="I660">
        <f>IF($W660="","",SUMIFS(상세표[기록 시간외],상세표[사번키],INDEX(합계표[사번키],$W660),상세표[기록월],"&lt;&gt;"&amp;대상월키,상세표[반영월],대상월키))</f>
        <v/>
      </c>
      <c r="J660">
        <f>IF($W660="","",SUMIFS(상세표[기록 시간외],상세표[사번키],INDEX(합계표[사번키],$W660),상세표[반영월],대상월키))</f>
        <v/>
      </c>
      <c r="K660">
        <f>IF($W660="","",IFERROR(INDEX(월별근무지표[적용 급여병원],MATCH(INDEX(합계표[사번키],$W660)&amp;"|"&amp;대상월키,월별근무지표[키],0))&amp;"",IF(COUNTIF(기관표[사번키],INDEX(합계표[사번키],$W660))+COUNTIF(월별근무지표[사번키],INDEX(합계표[사번키],$W660))&gt;0,IFERROR(INDEX(기관표[급여지급병원(기준월)],MATCH(INDEX(합계표[사번키],$W660)&amp;"|"&amp;대상월키,기관표[키],0))&amp;"","—"),"—")))</f>
        <v/>
      </c>
      <c r="L660">
        <f>IF($W660="","",IF(NOT(COUNTIF(기관표[사번키],INDEX(합계표[사번키],$W660))+COUNTIF(월별근무지표[사번키],INDEX(합계표[사번키],$W660))&gt;0),"기관명단에 없음(다른 병원으로 발송)",IF($K660="—","대상월 기관명단 없음(추가 필요)",IF($K660="서울병원","해당","비해당"))))</f>
        <v/>
      </c>
      <c r="M660">
        <f>IF($W660="","",SUMIFS(상세표[06~07시],상세표[사번키],INDEX(합계표[사번키],$W660),상세표[반영월],대상월키,상세표[반영 기관],"서울병원"))</f>
        <v/>
      </c>
      <c r="N660">
        <f>IF($W660="","",SUMIFS(상세표[07~18시],상세표[사번키],INDEX(합계표[사번키],$W660),상세표[반영월],대상월키,상세표[반영 기관],"서울병원"))</f>
        <v/>
      </c>
      <c r="O660">
        <f>IF($W660="","",SUMIFS(상세표[18~22시],상세표[사번키],INDEX(합계표[사번키],$W660),상세표[반영월],대상월키,상세표[반영 기관],"서울병원"))</f>
        <v/>
      </c>
      <c r="P660">
        <f>IF($W660="","",SUMIFS(상세표[22~06시],상세표[사번키],INDEX(합계표[사번키],$W660),상세표[반영월],대상월키,상세표[반영 기관],"서울병원"))</f>
        <v/>
      </c>
      <c r="Q660">
        <f>IF($W660="","",SUM($M660:$P660))</f>
        <v/>
      </c>
      <c r="R660">
        <f>IF($W660="","",COUNTIFS(상세표[사번키],INDEX(합계표[사번키],$W660),상세표[반영월],대상월키,상세표[야간당직],1,상세표[야간 구분],"평일"))</f>
        <v/>
      </c>
      <c r="S660" s="4">
        <f>IF($W660="","",COUNTIFS(상세표[사번키],INDEX(합계표[사번키],$W660),상세표[반영월],대상월키,상세표[야간당직],1,상세표[야간 구분],"휴일"))</f>
        <v/>
      </c>
      <c r="T660">
        <f>IF($W660="","",COUNTIFS(상세표[사번키],INDEX(합계표[사번키],$W660),상세표[반영월],대상월키,상세표[야간당직],1,상세표[야간 구분],"평일",상세표[반영 기관],"서울병원"))</f>
        <v/>
      </c>
      <c r="U660">
        <f>IF($W660="","",COUNTIFS(상세표[사번키],INDEX(합계표[사번키],$W660),상세표[반영월],대상월키,상세표[야간당직],1,상세표[야간 구분],"휴일",상세표[반영 기관],"서울병원"))</f>
        <v/>
      </c>
      <c r="V660">
        <f>IF($W660="","",IF(ISNUMBER(MATCH(INDEX(합계표[사번키],$W660)&amp;"|"&amp;대상월키,월별근무지표[키],0)),"직접 입력",IF($K660="—","—","기관명단")))</f>
        <v/>
      </c>
      <c r="W660">
        <f>IFERROR(MATCH(655,합계표[판정순번],0),"")</f>
        <v/>
      </c>
    </row>
    <row r="661">
      <c r="A661">
        <f>IF($W661="","",INDEX(합계표[사번],$W661)&amp;"")</f>
        <v/>
      </c>
      <c r="B661">
        <f>IF($W661="","",INDEX(합계표[성명],$W661)&amp;"")</f>
        <v/>
      </c>
      <c r="C661">
        <f>IF($W661="","",INDEX(합계표[부서],$W661)&amp;"")</f>
        <v/>
      </c>
      <c r="D661">
        <f>IF($W661="","",INDEX(합계표[직위(통합)],$W661)&amp;"")</f>
        <v/>
      </c>
      <c r="E661">
        <f>IF($W661="","",SUMIFS(합계표[시스템 합계],합계표[사번키],INDEX(합계표[사번키],$W661)))</f>
        <v/>
      </c>
      <c r="F661">
        <f>IF($W661="","",SUMIFS(상세표[기록 시간외],상세표[사번키],INDEX(합계표[사번키],$W661),상세표[기록월],대상월키))</f>
        <v/>
      </c>
      <c r="G661">
        <f>IF($W661="","",IF(ABS($E661-$F661)&lt;0.01,"일치","불일치(차이 "&amp;TEXT($F661-$E661,"0.00")&amp;")"))</f>
        <v/>
      </c>
      <c r="H661">
        <f>IF($W661="","",SUMIFS(상세표[기록 시간외],상세표[사번키],INDEX(합계표[사번키],$W661),상세표[기록월],대상월키,상세표[반영월],"&lt;&gt;"&amp;대상월키))</f>
        <v/>
      </c>
      <c r="I661">
        <f>IF($W661="","",SUMIFS(상세표[기록 시간외],상세표[사번키],INDEX(합계표[사번키],$W661),상세표[기록월],"&lt;&gt;"&amp;대상월키,상세표[반영월],대상월키))</f>
        <v/>
      </c>
      <c r="J661">
        <f>IF($W661="","",SUMIFS(상세표[기록 시간외],상세표[사번키],INDEX(합계표[사번키],$W661),상세표[반영월],대상월키))</f>
        <v/>
      </c>
      <c r="K661">
        <f>IF($W661="","",IFERROR(INDEX(월별근무지표[적용 급여병원],MATCH(INDEX(합계표[사번키],$W661)&amp;"|"&amp;대상월키,월별근무지표[키],0))&amp;"",IF(COUNTIF(기관표[사번키],INDEX(합계표[사번키],$W661))+COUNTIF(월별근무지표[사번키],INDEX(합계표[사번키],$W661))&gt;0,IFERROR(INDEX(기관표[급여지급병원(기준월)],MATCH(INDEX(합계표[사번키],$W661)&amp;"|"&amp;대상월키,기관표[키],0))&amp;"","—"),"—")))</f>
        <v/>
      </c>
      <c r="L661">
        <f>IF($W661="","",IF(NOT(COUNTIF(기관표[사번키],INDEX(합계표[사번키],$W661))+COUNTIF(월별근무지표[사번키],INDEX(합계표[사번키],$W661))&gt;0),"기관명단에 없음(다른 병원으로 발송)",IF($K661="—","대상월 기관명단 없음(추가 필요)",IF($K661="서울병원","해당","비해당"))))</f>
        <v/>
      </c>
      <c r="M661">
        <f>IF($W661="","",SUMIFS(상세표[06~07시],상세표[사번키],INDEX(합계표[사번키],$W661),상세표[반영월],대상월키,상세표[반영 기관],"서울병원"))</f>
        <v/>
      </c>
      <c r="N661">
        <f>IF($W661="","",SUMIFS(상세표[07~18시],상세표[사번키],INDEX(합계표[사번키],$W661),상세표[반영월],대상월키,상세표[반영 기관],"서울병원"))</f>
        <v/>
      </c>
      <c r="O661">
        <f>IF($W661="","",SUMIFS(상세표[18~22시],상세표[사번키],INDEX(합계표[사번키],$W661),상세표[반영월],대상월키,상세표[반영 기관],"서울병원"))</f>
        <v/>
      </c>
      <c r="P661">
        <f>IF($W661="","",SUMIFS(상세표[22~06시],상세표[사번키],INDEX(합계표[사번키],$W661),상세표[반영월],대상월키,상세표[반영 기관],"서울병원"))</f>
        <v/>
      </c>
      <c r="Q661">
        <f>IF($W661="","",SUM($M661:$P661))</f>
        <v/>
      </c>
      <c r="R661">
        <f>IF($W661="","",COUNTIFS(상세표[사번키],INDEX(합계표[사번키],$W661),상세표[반영월],대상월키,상세표[야간당직],1,상세표[야간 구분],"평일"))</f>
        <v/>
      </c>
      <c r="S661" s="4">
        <f>IF($W661="","",COUNTIFS(상세표[사번키],INDEX(합계표[사번키],$W661),상세표[반영월],대상월키,상세표[야간당직],1,상세표[야간 구분],"휴일"))</f>
        <v/>
      </c>
      <c r="T661">
        <f>IF($W661="","",COUNTIFS(상세표[사번키],INDEX(합계표[사번키],$W661),상세표[반영월],대상월키,상세표[야간당직],1,상세표[야간 구분],"평일",상세표[반영 기관],"서울병원"))</f>
        <v/>
      </c>
      <c r="U661">
        <f>IF($W661="","",COUNTIFS(상세표[사번키],INDEX(합계표[사번키],$W661),상세표[반영월],대상월키,상세표[야간당직],1,상세표[야간 구분],"휴일",상세표[반영 기관],"서울병원"))</f>
        <v/>
      </c>
      <c r="V661">
        <f>IF($W661="","",IF(ISNUMBER(MATCH(INDEX(합계표[사번키],$W661)&amp;"|"&amp;대상월키,월별근무지표[키],0)),"직접 입력",IF($K661="—","—","기관명단")))</f>
        <v/>
      </c>
      <c r="W661">
        <f>IFERROR(MATCH(656,합계표[판정순번],0),"")</f>
        <v/>
      </c>
    </row>
    <row r="662">
      <c r="A662">
        <f>IF($W662="","",INDEX(합계표[사번],$W662)&amp;"")</f>
        <v/>
      </c>
      <c r="B662">
        <f>IF($W662="","",INDEX(합계표[성명],$W662)&amp;"")</f>
        <v/>
      </c>
      <c r="C662">
        <f>IF($W662="","",INDEX(합계표[부서],$W662)&amp;"")</f>
        <v/>
      </c>
      <c r="D662">
        <f>IF($W662="","",INDEX(합계표[직위(통합)],$W662)&amp;"")</f>
        <v/>
      </c>
      <c r="E662">
        <f>IF($W662="","",SUMIFS(합계표[시스템 합계],합계표[사번키],INDEX(합계표[사번키],$W662)))</f>
        <v/>
      </c>
      <c r="F662">
        <f>IF($W662="","",SUMIFS(상세표[기록 시간외],상세표[사번키],INDEX(합계표[사번키],$W662),상세표[기록월],대상월키))</f>
        <v/>
      </c>
      <c r="G662">
        <f>IF($W662="","",IF(ABS($E662-$F662)&lt;0.01,"일치","불일치(차이 "&amp;TEXT($F662-$E662,"0.00")&amp;")"))</f>
        <v/>
      </c>
      <c r="H662">
        <f>IF($W662="","",SUMIFS(상세표[기록 시간외],상세표[사번키],INDEX(합계표[사번키],$W662),상세표[기록월],대상월키,상세표[반영월],"&lt;&gt;"&amp;대상월키))</f>
        <v/>
      </c>
      <c r="I662">
        <f>IF($W662="","",SUMIFS(상세표[기록 시간외],상세표[사번키],INDEX(합계표[사번키],$W662),상세표[기록월],"&lt;&gt;"&amp;대상월키,상세표[반영월],대상월키))</f>
        <v/>
      </c>
      <c r="J662">
        <f>IF($W662="","",SUMIFS(상세표[기록 시간외],상세표[사번키],INDEX(합계표[사번키],$W662),상세표[반영월],대상월키))</f>
        <v/>
      </c>
      <c r="K662">
        <f>IF($W662="","",IFERROR(INDEX(월별근무지표[적용 급여병원],MATCH(INDEX(합계표[사번키],$W662)&amp;"|"&amp;대상월키,월별근무지표[키],0))&amp;"",IF(COUNTIF(기관표[사번키],INDEX(합계표[사번키],$W662))+COUNTIF(월별근무지표[사번키],INDEX(합계표[사번키],$W662))&gt;0,IFERROR(INDEX(기관표[급여지급병원(기준월)],MATCH(INDEX(합계표[사번키],$W662)&amp;"|"&amp;대상월키,기관표[키],0))&amp;"","—"),"—")))</f>
        <v/>
      </c>
      <c r="L662">
        <f>IF($W662="","",IF(NOT(COUNTIF(기관표[사번키],INDEX(합계표[사번키],$W662))+COUNTIF(월별근무지표[사번키],INDEX(합계표[사번키],$W662))&gt;0),"기관명단에 없음(다른 병원으로 발송)",IF($K662="—","대상월 기관명단 없음(추가 필요)",IF($K662="서울병원","해당","비해당"))))</f>
        <v/>
      </c>
      <c r="M662">
        <f>IF($W662="","",SUMIFS(상세표[06~07시],상세표[사번키],INDEX(합계표[사번키],$W662),상세표[반영월],대상월키,상세표[반영 기관],"서울병원"))</f>
        <v/>
      </c>
      <c r="N662">
        <f>IF($W662="","",SUMIFS(상세표[07~18시],상세표[사번키],INDEX(합계표[사번키],$W662),상세표[반영월],대상월키,상세표[반영 기관],"서울병원"))</f>
        <v/>
      </c>
      <c r="O662">
        <f>IF($W662="","",SUMIFS(상세표[18~22시],상세표[사번키],INDEX(합계표[사번키],$W662),상세표[반영월],대상월키,상세표[반영 기관],"서울병원"))</f>
        <v/>
      </c>
      <c r="P662">
        <f>IF($W662="","",SUMIFS(상세표[22~06시],상세표[사번키],INDEX(합계표[사번키],$W662),상세표[반영월],대상월키,상세표[반영 기관],"서울병원"))</f>
        <v/>
      </c>
      <c r="Q662">
        <f>IF($W662="","",SUM($M662:$P662))</f>
        <v/>
      </c>
      <c r="R662">
        <f>IF($W662="","",COUNTIFS(상세표[사번키],INDEX(합계표[사번키],$W662),상세표[반영월],대상월키,상세표[야간당직],1,상세표[야간 구분],"평일"))</f>
        <v/>
      </c>
      <c r="S662" s="4">
        <f>IF($W662="","",COUNTIFS(상세표[사번키],INDEX(합계표[사번키],$W662),상세표[반영월],대상월키,상세표[야간당직],1,상세표[야간 구분],"휴일"))</f>
        <v/>
      </c>
      <c r="T662">
        <f>IF($W662="","",COUNTIFS(상세표[사번키],INDEX(합계표[사번키],$W662),상세표[반영월],대상월키,상세표[야간당직],1,상세표[야간 구분],"평일",상세표[반영 기관],"서울병원"))</f>
        <v/>
      </c>
      <c r="U662">
        <f>IF($W662="","",COUNTIFS(상세표[사번키],INDEX(합계표[사번키],$W662),상세표[반영월],대상월키,상세표[야간당직],1,상세표[야간 구분],"휴일",상세표[반영 기관],"서울병원"))</f>
        <v/>
      </c>
      <c r="V662">
        <f>IF($W662="","",IF(ISNUMBER(MATCH(INDEX(합계표[사번키],$W662)&amp;"|"&amp;대상월키,월별근무지표[키],0)),"직접 입력",IF($K662="—","—","기관명단")))</f>
        <v/>
      </c>
      <c r="W662">
        <f>IFERROR(MATCH(657,합계표[판정순번],0),"")</f>
        <v/>
      </c>
    </row>
    <row r="663">
      <c r="A663">
        <f>IF($W663="","",INDEX(합계표[사번],$W663)&amp;"")</f>
        <v/>
      </c>
      <c r="B663">
        <f>IF($W663="","",INDEX(합계표[성명],$W663)&amp;"")</f>
        <v/>
      </c>
      <c r="C663">
        <f>IF($W663="","",INDEX(합계표[부서],$W663)&amp;"")</f>
        <v/>
      </c>
      <c r="D663">
        <f>IF($W663="","",INDEX(합계표[직위(통합)],$W663)&amp;"")</f>
        <v/>
      </c>
      <c r="E663">
        <f>IF($W663="","",SUMIFS(합계표[시스템 합계],합계표[사번키],INDEX(합계표[사번키],$W663)))</f>
        <v/>
      </c>
      <c r="F663">
        <f>IF($W663="","",SUMIFS(상세표[기록 시간외],상세표[사번키],INDEX(합계표[사번키],$W663),상세표[기록월],대상월키))</f>
        <v/>
      </c>
      <c r="G663">
        <f>IF($W663="","",IF(ABS($E663-$F663)&lt;0.01,"일치","불일치(차이 "&amp;TEXT($F663-$E663,"0.00")&amp;")"))</f>
        <v/>
      </c>
      <c r="H663">
        <f>IF($W663="","",SUMIFS(상세표[기록 시간외],상세표[사번키],INDEX(합계표[사번키],$W663),상세표[기록월],대상월키,상세표[반영월],"&lt;&gt;"&amp;대상월키))</f>
        <v/>
      </c>
      <c r="I663">
        <f>IF($W663="","",SUMIFS(상세표[기록 시간외],상세표[사번키],INDEX(합계표[사번키],$W663),상세표[기록월],"&lt;&gt;"&amp;대상월키,상세표[반영월],대상월키))</f>
        <v/>
      </c>
      <c r="J663">
        <f>IF($W663="","",SUMIFS(상세표[기록 시간외],상세표[사번키],INDEX(합계표[사번키],$W663),상세표[반영월],대상월키))</f>
        <v/>
      </c>
      <c r="K663">
        <f>IF($W663="","",IFERROR(INDEX(월별근무지표[적용 급여병원],MATCH(INDEX(합계표[사번키],$W663)&amp;"|"&amp;대상월키,월별근무지표[키],0))&amp;"",IF(COUNTIF(기관표[사번키],INDEX(합계표[사번키],$W663))+COUNTIF(월별근무지표[사번키],INDEX(합계표[사번키],$W663))&gt;0,IFERROR(INDEX(기관표[급여지급병원(기준월)],MATCH(INDEX(합계표[사번키],$W663)&amp;"|"&amp;대상월키,기관표[키],0))&amp;"","—"),"—")))</f>
        <v/>
      </c>
      <c r="L663">
        <f>IF($W663="","",IF(NOT(COUNTIF(기관표[사번키],INDEX(합계표[사번키],$W663))+COUNTIF(월별근무지표[사번키],INDEX(합계표[사번키],$W663))&gt;0),"기관명단에 없음(다른 병원으로 발송)",IF($K663="—","대상월 기관명단 없음(추가 필요)",IF($K663="서울병원","해당","비해당"))))</f>
        <v/>
      </c>
      <c r="M663">
        <f>IF($W663="","",SUMIFS(상세표[06~07시],상세표[사번키],INDEX(합계표[사번키],$W663),상세표[반영월],대상월키,상세표[반영 기관],"서울병원"))</f>
        <v/>
      </c>
      <c r="N663">
        <f>IF($W663="","",SUMIFS(상세표[07~18시],상세표[사번키],INDEX(합계표[사번키],$W663),상세표[반영월],대상월키,상세표[반영 기관],"서울병원"))</f>
        <v/>
      </c>
      <c r="O663">
        <f>IF($W663="","",SUMIFS(상세표[18~22시],상세표[사번키],INDEX(합계표[사번키],$W663),상세표[반영월],대상월키,상세표[반영 기관],"서울병원"))</f>
        <v/>
      </c>
      <c r="P663">
        <f>IF($W663="","",SUMIFS(상세표[22~06시],상세표[사번키],INDEX(합계표[사번키],$W663),상세표[반영월],대상월키,상세표[반영 기관],"서울병원"))</f>
        <v/>
      </c>
      <c r="Q663">
        <f>IF($W663="","",SUM($M663:$P663))</f>
        <v/>
      </c>
      <c r="R663">
        <f>IF($W663="","",COUNTIFS(상세표[사번키],INDEX(합계표[사번키],$W663),상세표[반영월],대상월키,상세표[야간당직],1,상세표[야간 구분],"평일"))</f>
        <v/>
      </c>
      <c r="S663" s="4">
        <f>IF($W663="","",COUNTIFS(상세표[사번키],INDEX(합계표[사번키],$W663),상세표[반영월],대상월키,상세표[야간당직],1,상세표[야간 구분],"휴일"))</f>
        <v/>
      </c>
      <c r="T663">
        <f>IF($W663="","",COUNTIFS(상세표[사번키],INDEX(합계표[사번키],$W663),상세표[반영월],대상월키,상세표[야간당직],1,상세표[야간 구분],"평일",상세표[반영 기관],"서울병원"))</f>
        <v/>
      </c>
      <c r="U663">
        <f>IF($W663="","",COUNTIFS(상세표[사번키],INDEX(합계표[사번키],$W663),상세표[반영월],대상월키,상세표[야간당직],1,상세표[야간 구분],"휴일",상세표[반영 기관],"서울병원"))</f>
        <v/>
      </c>
      <c r="V663">
        <f>IF($W663="","",IF(ISNUMBER(MATCH(INDEX(합계표[사번키],$W663)&amp;"|"&amp;대상월키,월별근무지표[키],0)),"직접 입력",IF($K663="—","—","기관명단")))</f>
        <v/>
      </c>
      <c r="W663">
        <f>IFERROR(MATCH(658,합계표[판정순번],0),"")</f>
        <v/>
      </c>
    </row>
    <row r="664">
      <c r="A664">
        <f>IF($W664="","",INDEX(합계표[사번],$W664)&amp;"")</f>
        <v/>
      </c>
      <c r="B664">
        <f>IF($W664="","",INDEX(합계표[성명],$W664)&amp;"")</f>
        <v/>
      </c>
      <c r="C664">
        <f>IF($W664="","",INDEX(합계표[부서],$W664)&amp;"")</f>
        <v/>
      </c>
      <c r="D664">
        <f>IF($W664="","",INDEX(합계표[직위(통합)],$W664)&amp;"")</f>
        <v/>
      </c>
      <c r="E664">
        <f>IF($W664="","",SUMIFS(합계표[시스템 합계],합계표[사번키],INDEX(합계표[사번키],$W664)))</f>
        <v/>
      </c>
      <c r="F664">
        <f>IF($W664="","",SUMIFS(상세표[기록 시간외],상세표[사번키],INDEX(합계표[사번키],$W664),상세표[기록월],대상월키))</f>
        <v/>
      </c>
      <c r="G664">
        <f>IF($W664="","",IF(ABS($E664-$F664)&lt;0.01,"일치","불일치(차이 "&amp;TEXT($F664-$E664,"0.00")&amp;")"))</f>
        <v/>
      </c>
      <c r="H664">
        <f>IF($W664="","",SUMIFS(상세표[기록 시간외],상세표[사번키],INDEX(합계표[사번키],$W664),상세표[기록월],대상월키,상세표[반영월],"&lt;&gt;"&amp;대상월키))</f>
        <v/>
      </c>
      <c r="I664">
        <f>IF($W664="","",SUMIFS(상세표[기록 시간외],상세표[사번키],INDEX(합계표[사번키],$W664),상세표[기록월],"&lt;&gt;"&amp;대상월키,상세표[반영월],대상월키))</f>
        <v/>
      </c>
      <c r="J664">
        <f>IF($W664="","",SUMIFS(상세표[기록 시간외],상세표[사번키],INDEX(합계표[사번키],$W664),상세표[반영월],대상월키))</f>
        <v/>
      </c>
      <c r="K664">
        <f>IF($W664="","",IFERROR(INDEX(월별근무지표[적용 급여병원],MATCH(INDEX(합계표[사번키],$W664)&amp;"|"&amp;대상월키,월별근무지표[키],0))&amp;"",IF(COUNTIF(기관표[사번키],INDEX(합계표[사번키],$W664))+COUNTIF(월별근무지표[사번키],INDEX(합계표[사번키],$W664))&gt;0,IFERROR(INDEX(기관표[급여지급병원(기준월)],MATCH(INDEX(합계표[사번키],$W664)&amp;"|"&amp;대상월키,기관표[키],0))&amp;"","—"),"—")))</f>
        <v/>
      </c>
      <c r="L664">
        <f>IF($W664="","",IF(NOT(COUNTIF(기관표[사번키],INDEX(합계표[사번키],$W664))+COUNTIF(월별근무지표[사번키],INDEX(합계표[사번키],$W664))&gt;0),"기관명단에 없음(다른 병원으로 발송)",IF($K664="—","대상월 기관명단 없음(추가 필요)",IF($K664="서울병원","해당","비해당"))))</f>
        <v/>
      </c>
      <c r="M664">
        <f>IF($W664="","",SUMIFS(상세표[06~07시],상세표[사번키],INDEX(합계표[사번키],$W664),상세표[반영월],대상월키,상세표[반영 기관],"서울병원"))</f>
        <v/>
      </c>
      <c r="N664">
        <f>IF($W664="","",SUMIFS(상세표[07~18시],상세표[사번키],INDEX(합계표[사번키],$W664),상세표[반영월],대상월키,상세표[반영 기관],"서울병원"))</f>
        <v/>
      </c>
      <c r="O664">
        <f>IF($W664="","",SUMIFS(상세표[18~22시],상세표[사번키],INDEX(합계표[사번키],$W664),상세표[반영월],대상월키,상세표[반영 기관],"서울병원"))</f>
        <v/>
      </c>
      <c r="P664">
        <f>IF($W664="","",SUMIFS(상세표[22~06시],상세표[사번키],INDEX(합계표[사번키],$W664),상세표[반영월],대상월키,상세표[반영 기관],"서울병원"))</f>
        <v/>
      </c>
      <c r="Q664">
        <f>IF($W664="","",SUM($M664:$P664))</f>
        <v/>
      </c>
      <c r="R664">
        <f>IF($W664="","",COUNTIFS(상세표[사번키],INDEX(합계표[사번키],$W664),상세표[반영월],대상월키,상세표[야간당직],1,상세표[야간 구분],"평일"))</f>
        <v/>
      </c>
      <c r="S664" s="4">
        <f>IF($W664="","",COUNTIFS(상세표[사번키],INDEX(합계표[사번키],$W664),상세표[반영월],대상월키,상세표[야간당직],1,상세표[야간 구분],"휴일"))</f>
        <v/>
      </c>
      <c r="T664">
        <f>IF($W664="","",COUNTIFS(상세표[사번키],INDEX(합계표[사번키],$W664),상세표[반영월],대상월키,상세표[야간당직],1,상세표[야간 구분],"평일",상세표[반영 기관],"서울병원"))</f>
        <v/>
      </c>
      <c r="U664">
        <f>IF($W664="","",COUNTIFS(상세표[사번키],INDEX(합계표[사번키],$W664),상세표[반영월],대상월키,상세표[야간당직],1,상세표[야간 구분],"휴일",상세표[반영 기관],"서울병원"))</f>
        <v/>
      </c>
      <c r="V664">
        <f>IF($W664="","",IF(ISNUMBER(MATCH(INDEX(합계표[사번키],$W664)&amp;"|"&amp;대상월키,월별근무지표[키],0)),"직접 입력",IF($K664="—","—","기관명단")))</f>
        <v/>
      </c>
      <c r="W664">
        <f>IFERROR(MATCH(659,합계표[판정순번],0),"")</f>
        <v/>
      </c>
    </row>
    <row r="665">
      <c r="A665">
        <f>IF($W665="","",INDEX(합계표[사번],$W665)&amp;"")</f>
        <v/>
      </c>
      <c r="B665">
        <f>IF($W665="","",INDEX(합계표[성명],$W665)&amp;"")</f>
        <v/>
      </c>
      <c r="C665">
        <f>IF($W665="","",INDEX(합계표[부서],$W665)&amp;"")</f>
        <v/>
      </c>
      <c r="D665">
        <f>IF($W665="","",INDEX(합계표[직위(통합)],$W665)&amp;"")</f>
        <v/>
      </c>
      <c r="E665">
        <f>IF($W665="","",SUMIFS(합계표[시스템 합계],합계표[사번키],INDEX(합계표[사번키],$W665)))</f>
        <v/>
      </c>
      <c r="F665">
        <f>IF($W665="","",SUMIFS(상세표[기록 시간외],상세표[사번키],INDEX(합계표[사번키],$W665),상세표[기록월],대상월키))</f>
        <v/>
      </c>
      <c r="G665">
        <f>IF($W665="","",IF(ABS($E665-$F665)&lt;0.01,"일치","불일치(차이 "&amp;TEXT($F665-$E665,"0.00")&amp;")"))</f>
        <v/>
      </c>
      <c r="H665">
        <f>IF($W665="","",SUMIFS(상세표[기록 시간외],상세표[사번키],INDEX(합계표[사번키],$W665),상세표[기록월],대상월키,상세표[반영월],"&lt;&gt;"&amp;대상월키))</f>
        <v/>
      </c>
      <c r="I665">
        <f>IF($W665="","",SUMIFS(상세표[기록 시간외],상세표[사번키],INDEX(합계표[사번키],$W665),상세표[기록월],"&lt;&gt;"&amp;대상월키,상세표[반영월],대상월키))</f>
        <v/>
      </c>
      <c r="J665">
        <f>IF($W665="","",SUMIFS(상세표[기록 시간외],상세표[사번키],INDEX(합계표[사번키],$W665),상세표[반영월],대상월키))</f>
        <v/>
      </c>
      <c r="K665">
        <f>IF($W665="","",IFERROR(INDEX(월별근무지표[적용 급여병원],MATCH(INDEX(합계표[사번키],$W665)&amp;"|"&amp;대상월키,월별근무지표[키],0))&amp;"",IF(COUNTIF(기관표[사번키],INDEX(합계표[사번키],$W665))+COUNTIF(월별근무지표[사번키],INDEX(합계표[사번키],$W665))&gt;0,IFERROR(INDEX(기관표[급여지급병원(기준월)],MATCH(INDEX(합계표[사번키],$W665)&amp;"|"&amp;대상월키,기관표[키],0))&amp;"","—"),"—")))</f>
        <v/>
      </c>
      <c r="L665">
        <f>IF($W665="","",IF(NOT(COUNTIF(기관표[사번키],INDEX(합계표[사번키],$W665))+COUNTIF(월별근무지표[사번키],INDEX(합계표[사번키],$W665))&gt;0),"기관명단에 없음(다른 병원으로 발송)",IF($K665="—","대상월 기관명단 없음(추가 필요)",IF($K665="서울병원","해당","비해당"))))</f>
        <v/>
      </c>
      <c r="M665">
        <f>IF($W665="","",SUMIFS(상세표[06~07시],상세표[사번키],INDEX(합계표[사번키],$W665),상세표[반영월],대상월키,상세표[반영 기관],"서울병원"))</f>
        <v/>
      </c>
      <c r="N665">
        <f>IF($W665="","",SUMIFS(상세표[07~18시],상세표[사번키],INDEX(합계표[사번키],$W665),상세표[반영월],대상월키,상세표[반영 기관],"서울병원"))</f>
        <v/>
      </c>
      <c r="O665">
        <f>IF($W665="","",SUMIFS(상세표[18~22시],상세표[사번키],INDEX(합계표[사번키],$W665),상세표[반영월],대상월키,상세표[반영 기관],"서울병원"))</f>
        <v/>
      </c>
      <c r="P665">
        <f>IF($W665="","",SUMIFS(상세표[22~06시],상세표[사번키],INDEX(합계표[사번키],$W665),상세표[반영월],대상월키,상세표[반영 기관],"서울병원"))</f>
        <v/>
      </c>
      <c r="Q665">
        <f>IF($W665="","",SUM($M665:$P665))</f>
        <v/>
      </c>
      <c r="R665">
        <f>IF($W665="","",COUNTIFS(상세표[사번키],INDEX(합계표[사번키],$W665),상세표[반영월],대상월키,상세표[야간당직],1,상세표[야간 구분],"평일"))</f>
        <v/>
      </c>
      <c r="S665" s="4">
        <f>IF($W665="","",COUNTIFS(상세표[사번키],INDEX(합계표[사번키],$W665),상세표[반영월],대상월키,상세표[야간당직],1,상세표[야간 구분],"휴일"))</f>
        <v/>
      </c>
      <c r="T665">
        <f>IF($W665="","",COUNTIFS(상세표[사번키],INDEX(합계표[사번키],$W665),상세표[반영월],대상월키,상세표[야간당직],1,상세표[야간 구분],"평일",상세표[반영 기관],"서울병원"))</f>
        <v/>
      </c>
      <c r="U665">
        <f>IF($W665="","",COUNTIFS(상세표[사번키],INDEX(합계표[사번키],$W665),상세표[반영월],대상월키,상세표[야간당직],1,상세표[야간 구분],"휴일",상세표[반영 기관],"서울병원"))</f>
        <v/>
      </c>
      <c r="V665">
        <f>IF($W665="","",IF(ISNUMBER(MATCH(INDEX(합계표[사번키],$W665)&amp;"|"&amp;대상월키,월별근무지표[키],0)),"직접 입력",IF($K665="—","—","기관명단")))</f>
        <v/>
      </c>
      <c r="W665">
        <f>IFERROR(MATCH(660,합계표[판정순번],0),"")</f>
        <v/>
      </c>
    </row>
    <row r="666">
      <c r="A666">
        <f>IF($W666="","",INDEX(합계표[사번],$W666)&amp;"")</f>
        <v/>
      </c>
      <c r="B666">
        <f>IF($W666="","",INDEX(합계표[성명],$W666)&amp;"")</f>
        <v/>
      </c>
      <c r="C666">
        <f>IF($W666="","",INDEX(합계표[부서],$W666)&amp;"")</f>
        <v/>
      </c>
      <c r="D666">
        <f>IF($W666="","",INDEX(합계표[직위(통합)],$W666)&amp;"")</f>
        <v/>
      </c>
      <c r="E666">
        <f>IF($W666="","",SUMIFS(합계표[시스템 합계],합계표[사번키],INDEX(합계표[사번키],$W666)))</f>
        <v/>
      </c>
      <c r="F666">
        <f>IF($W666="","",SUMIFS(상세표[기록 시간외],상세표[사번키],INDEX(합계표[사번키],$W666),상세표[기록월],대상월키))</f>
        <v/>
      </c>
      <c r="G666">
        <f>IF($W666="","",IF(ABS($E666-$F666)&lt;0.01,"일치","불일치(차이 "&amp;TEXT($F666-$E666,"0.00")&amp;")"))</f>
        <v/>
      </c>
      <c r="H666">
        <f>IF($W666="","",SUMIFS(상세표[기록 시간외],상세표[사번키],INDEX(합계표[사번키],$W666),상세표[기록월],대상월키,상세표[반영월],"&lt;&gt;"&amp;대상월키))</f>
        <v/>
      </c>
      <c r="I666">
        <f>IF($W666="","",SUMIFS(상세표[기록 시간외],상세표[사번키],INDEX(합계표[사번키],$W666),상세표[기록월],"&lt;&gt;"&amp;대상월키,상세표[반영월],대상월키))</f>
        <v/>
      </c>
      <c r="J666">
        <f>IF($W666="","",SUMIFS(상세표[기록 시간외],상세표[사번키],INDEX(합계표[사번키],$W666),상세표[반영월],대상월키))</f>
        <v/>
      </c>
      <c r="K666">
        <f>IF($W666="","",IFERROR(INDEX(월별근무지표[적용 급여병원],MATCH(INDEX(합계표[사번키],$W666)&amp;"|"&amp;대상월키,월별근무지표[키],0))&amp;"",IF(COUNTIF(기관표[사번키],INDEX(합계표[사번키],$W666))+COUNTIF(월별근무지표[사번키],INDEX(합계표[사번키],$W666))&gt;0,IFERROR(INDEX(기관표[급여지급병원(기준월)],MATCH(INDEX(합계표[사번키],$W666)&amp;"|"&amp;대상월키,기관표[키],0))&amp;"","—"),"—")))</f>
        <v/>
      </c>
      <c r="L666">
        <f>IF($W666="","",IF(NOT(COUNTIF(기관표[사번키],INDEX(합계표[사번키],$W666))+COUNTIF(월별근무지표[사번키],INDEX(합계표[사번키],$W666))&gt;0),"기관명단에 없음(다른 병원으로 발송)",IF($K666="—","대상월 기관명단 없음(추가 필요)",IF($K666="서울병원","해당","비해당"))))</f>
        <v/>
      </c>
      <c r="M666">
        <f>IF($W666="","",SUMIFS(상세표[06~07시],상세표[사번키],INDEX(합계표[사번키],$W666),상세표[반영월],대상월키,상세표[반영 기관],"서울병원"))</f>
        <v/>
      </c>
      <c r="N666">
        <f>IF($W666="","",SUMIFS(상세표[07~18시],상세표[사번키],INDEX(합계표[사번키],$W666),상세표[반영월],대상월키,상세표[반영 기관],"서울병원"))</f>
        <v/>
      </c>
      <c r="O666">
        <f>IF($W666="","",SUMIFS(상세표[18~22시],상세표[사번키],INDEX(합계표[사번키],$W666),상세표[반영월],대상월키,상세표[반영 기관],"서울병원"))</f>
        <v/>
      </c>
      <c r="P666">
        <f>IF($W666="","",SUMIFS(상세표[22~06시],상세표[사번키],INDEX(합계표[사번키],$W666),상세표[반영월],대상월키,상세표[반영 기관],"서울병원"))</f>
        <v/>
      </c>
      <c r="Q666">
        <f>IF($W666="","",SUM($M666:$P666))</f>
        <v/>
      </c>
      <c r="R666">
        <f>IF($W666="","",COUNTIFS(상세표[사번키],INDEX(합계표[사번키],$W666),상세표[반영월],대상월키,상세표[야간당직],1,상세표[야간 구분],"평일"))</f>
        <v/>
      </c>
      <c r="S666" s="4">
        <f>IF($W666="","",COUNTIFS(상세표[사번키],INDEX(합계표[사번키],$W666),상세표[반영월],대상월키,상세표[야간당직],1,상세표[야간 구분],"휴일"))</f>
        <v/>
      </c>
      <c r="T666">
        <f>IF($W666="","",COUNTIFS(상세표[사번키],INDEX(합계표[사번키],$W666),상세표[반영월],대상월키,상세표[야간당직],1,상세표[야간 구분],"평일",상세표[반영 기관],"서울병원"))</f>
        <v/>
      </c>
      <c r="U666">
        <f>IF($W666="","",COUNTIFS(상세표[사번키],INDEX(합계표[사번키],$W666),상세표[반영월],대상월키,상세표[야간당직],1,상세표[야간 구분],"휴일",상세표[반영 기관],"서울병원"))</f>
        <v/>
      </c>
      <c r="V666">
        <f>IF($W666="","",IF(ISNUMBER(MATCH(INDEX(합계표[사번키],$W666)&amp;"|"&amp;대상월키,월별근무지표[키],0)),"직접 입력",IF($K666="—","—","기관명단")))</f>
        <v/>
      </c>
      <c r="W666">
        <f>IFERROR(MATCH(661,합계표[판정순번],0),"")</f>
        <v/>
      </c>
    </row>
    <row r="667">
      <c r="A667">
        <f>IF($W667="","",INDEX(합계표[사번],$W667)&amp;"")</f>
        <v/>
      </c>
      <c r="B667">
        <f>IF($W667="","",INDEX(합계표[성명],$W667)&amp;"")</f>
        <v/>
      </c>
      <c r="C667">
        <f>IF($W667="","",INDEX(합계표[부서],$W667)&amp;"")</f>
        <v/>
      </c>
      <c r="D667">
        <f>IF($W667="","",INDEX(합계표[직위(통합)],$W667)&amp;"")</f>
        <v/>
      </c>
      <c r="E667">
        <f>IF($W667="","",SUMIFS(합계표[시스템 합계],합계표[사번키],INDEX(합계표[사번키],$W667)))</f>
        <v/>
      </c>
      <c r="F667">
        <f>IF($W667="","",SUMIFS(상세표[기록 시간외],상세표[사번키],INDEX(합계표[사번키],$W667),상세표[기록월],대상월키))</f>
        <v/>
      </c>
      <c r="G667">
        <f>IF($W667="","",IF(ABS($E667-$F667)&lt;0.01,"일치","불일치(차이 "&amp;TEXT($F667-$E667,"0.00")&amp;")"))</f>
        <v/>
      </c>
      <c r="H667">
        <f>IF($W667="","",SUMIFS(상세표[기록 시간외],상세표[사번키],INDEX(합계표[사번키],$W667),상세표[기록월],대상월키,상세표[반영월],"&lt;&gt;"&amp;대상월키))</f>
        <v/>
      </c>
      <c r="I667">
        <f>IF($W667="","",SUMIFS(상세표[기록 시간외],상세표[사번키],INDEX(합계표[사번키],$W667),상세표[기록월],"&lt;&gt;"&amp;대상월키,상세표[반영월],대상월키))</f>
        <v/>
      </c>
      <c r="J667">
        <f>IF($W667="","",SUMIFS(상세표[기록 시간외],상세표[사번키],INDEX(합계표[사번키],$W667),상세표[반영월],대상월키))</f>
        <v/>
      </c>
      <c r="K667">
        <f>IF($W667="","",IFERROR(INDEX(월별근무지표[적용 급여병원],MATCH(INDEX(합계표[사번키],$W667)&amp;"|"&amp;대상월키,월별근무지표[키],0))&amp;"",IF(COUNTIF(기관표[사번키],INDEX(합계표[사번키],$W667))+COUNTIF(월별근무지표[사번키],INDEX(합계표[사번키],$W667))&gt;0,IFERROR(INDEX(기관표[급여지급병원(기준월)],MATCH(INDEX(합계표[사번키],$W667)&amp;"|"&amp;대상월키,기관표[키],0))&amp;"","—"),"—")))</f>
        <v/>
      </c>
      <c r="L667">
        <f>IF($W667="","",IF(NOT(COUNTIF(기관표[사번키],INDEX(합계표[사번키],$W667))+COUNTIF(월별근무지표[사번키],INDEX(합계표[사번키],$W667))&gt;0),"기관명단에 없음(다른 병원으로 발송)",IF($K667="—","대상월 기관명단 없음(추가 필요)",IF($K667="서울병원","해당","비해당"))))</f>
        <v/>
      </c>
      <c r="M667">
        <f>IF($W667="","",SUMIFS(상세표[06~07시],상세표[사번키],INDEX(합계표[사번키],$W667),상세표[반영월],대상월키,상세표[반영 기관],"서울병원"))</f>
        <v/>
      </c>
      <c r="N667">
        <f>IF($W667="","",SUMIFS(상세표[07~18시],상세표[사번키],INDEX(합계표[사번키],$W667),상세표[반영월],대상월키,상세표[반영 기관],"서울병원"))</f>
        <v/>
      </c>
      <c r="O667">
        <f>IF($W667="","",SUMIFS(상세표[18~22시],상세표[사번키],INDEX(합계표[사번키],$W667),상세표[반영월],대상월키,상세표[반영 기관],"서울병원"))</f>
        <v/>
      </c>
      <c r="P667">
        <f>IF($W667="","",SUMIFS(상세표[22~06시],상세표[사번키],INDEX(합계표[사번키],$W667),상세표[반영월],대상월키,상세표[반영 기관],"서울병원"))</f>
        <v/>
      </c>
      <c r="Q667">
        <f>IF($W667="","",SUM($M667:$P667))</f>
        <v/>
      </c>
      <c r="R667">
        <f>IF($W667="","",COUNTIFS(상세표[사번키],INDEX(합계표[사번키],$W667),상세표[반영월],대상월키,상세표[야간당직],1,상세표[야간 구분],"평일"))</f>
        <v/>
      </c>
      <c r="S667" s="4">
        <f>IF($W667="","",COUNTIFS(상세표[사번키],INDEX(합계표[사번키],$W667),상세표[반영월],대상월키,상세표[야간당직],1,상세표[야간 구분],"휴일"))</f>
        <v/>
      </c>
      <c r="T667">
        <f>IF($W667="","",COUNTIFS(상세표[사번키],INDEX(합계표[사번키],$W667),상세표[반영월],대상월키,상세표[야간당직],1,상세표[야간 구분],"평일",상세표[반영 기관],"서울병원"))</f>
        <v/>
      </c>
      <c r="U667">
        <f>IF($W667="","",COUNTIFS(상세표[사번키],INDEX(합계표[사번키],$W667),상세표[반영월],대상월키,상세표[야간당직],1,상세표[야간 구분],"휴일",상세표[반영 기관],"서울병원"))</f>
        <v/>
      </c>
      <c r="V667">
        <f>IF($W667="","",IF(ISNUMBER(MATCH(INDEX(합계표[사번키],$W667)&amp;"|"&amp;대상월키,월별근무지표[키],0)),"직접 입력",IF($K667="—","—","기관명단")))</f>
        <v/>
      </c>
      <c r="W667">
        <f>IFERROR(MATCH(662,합계표[판정순번],0),"")</f>
        <v/>
      </c>
    </row>
    <row r="668">
      <c r="A668">
        <f>IF($W668="","",INDEX(합계표[사번],$W668)&amp;"")</f>
        <v/>
      </c>
      <c r="B668">
        <f>IF($W668="","",INDEX(합계표[성명],$W668)&amp;"")</f>
        <v/>
      </c>
      <c r="C668">
        <f>IF($W668="","",INDEX(합계표[부서],$W668)&amp;"")</f>
        <v/>
      </c>
      <c r="D668">
        <f>IF($W668="","",INDEX(합계표[직위(통합)],$W668)&amp;"")</f>
        <v/>
      </c>
      <c r="E668">
        <f>IF($W668="","",SUMIFS(합계표[시스템 합계],합계표[사번키],INDEX(합계표[사번키],$W668)))</f>
        <v/>
      </c>
      <c r="F668">
        <f>IF($W668="","",SUMIFS(상세표[기록 시간외],상세표[사번키],INDEX(합계표[사번키],$W668),상세표[기록월],대상월키))</f>
        <v/>
      </c>
      <c r="G668">
        <f>IF($W668="","",IF(ABS($E668-$F668)&lt;0.01,"일치","불일치(차이 "&amp;TEXT($F668-$E668,"0.00")&amp;")"))</f>
        <v/>
      </c>
      <c r="H668">
        <f>IF($W668="","",SUMIFS(상세표[기록 시간외],상세표[사번키],INDEX(합계표[사번키],$W668),상세표[기록월],대상월키,상세표[반영월],"&lt;&gt;"&amp;대상월키))</f>
        <v/>
      </c>
      <c r="I668">
        <f>IF($W668="","",SUMIFS(상세표[기록 시간외],상세표[사번키],INDEX(합계표[사번키],$W668),상세표[기록월],"&lt;&gt;"&amp;대상월키,상세표[반영월],대상월키))</f>
        <v/>
      </c>
      <c r="J668">
        <f>IF($W668="","",SUMIFS(상세표[기록 시간외],상세표[사번키],INDEX(합계표[사번키],$W668),상세표[반영월],대상월키))</f>
        <v/>
      </c>
      <c r="K668">
        <f>IF($W668="","",IFERROR(INDEX(월별근무지표[적용 급여병원],MATCH(INDEX(합계표[사번키],$W668)&amp;"|"&amp;대상월키,월별근무지표[키],0))&amp;"",IF(COUNTIF(기관표[사번키],INDEX(합계표[사번키],$W668))+COUNTIF(월별근무지표[사번키],INDEX(합계표[사번키],$W668))&gt;0,IFERROR(INDEX(기관표[급여지급병원(기준월)],MATCH(INDEX(합계표[사번키],$W668)&amp;"|"&amp;대상월키,기관표[키],0))&amp;"","—"),"—")))</f>
        <v/>
      </c>
      <c r="L668">
        <f>IF($W668="","",IF(NOT(COUNTIF(기관표[사번키],INDEX(합계표[사번키],$W668))+COUNTIF(월별근무지표[사번키],INDEX(합계표[사번키],$W668))&gt;0),"기관명단에 없음(다른 병원으로 발송)",IF($K668="—","대상월 기관명단 없음(추가 필요)",IF($K668="서울병원","해당","비해당"))))</f>
        <v/>
      </c>
      <c r="M668">
        <f>IF($W668="","",SUMIFS(상세표[06~07시],상세표[사번키],INDEX(합계표[사번키],$W668),상세표[반영월],대상월키,상세표[반영 기관],"서울병원"))</f>
        <v/>
      </c>
      <c r="N668">
        <f>IF($W668="","",SUMIFS(상세표[07~18시],상세표[사번키],INDEX(합계표[사번키],$W668),상세표[반영월],대상월키,상세표[반영 기관],"서울병원"))</f>
        <v/>
      </c>
      <c r="O668">
        <f>IF($W668="","",SUMIFS(상세표[18~22시],상세표[사번키],INDEX(합계표[사번키],$W668),상세표[반영월],대상월키,상세표[반영 기관],"서울병원"))</f>
        <v/>
      </c>
      <c r="P668">
        <f>IF($W668="","",SUMIFS(상세표[22~06시],상세표[사번키],INDEX(합계표[사번키],$W668),상세표[반영월],대상월키,상세표[반영 기관],"서울병원"))</f>
        <v/>
      </c>
      <c r="Q668">
        <f>IF($W668="","",SUM($M668:$P668))</f>
        <v/>
      </c>
      <c r="R668">
        <f>IF($W668="","",COUNTIFS(상세표[사번키],INDEX(합계표[사번키],$W668),상세표[반영월],대상월키,상세표[야간당직],1,상세표[야간 구분],"평일"))</f>
        <v/>
      </c>
      <c r="S668" s="4">
        <f>IF($W668="","",COUNTIFS(상세표[사번키],INDEX(합계표[사번키],$W668),상세표[반영월],대상월키,상세표[야간당직],1,상세표[야간 구분],"휴일"))</f>
        <v/>
      </c>
      <c r="T668">
        <f>IF($W668="","",COUNTIFS(상세표[사번키],INDEX(합계표[사번키],$W668),상세표[반영월],대상월키,상세표[야간당직],1,상세표[야간 구분],"평일",상세표[반영 기관],"서울병원"))</f>
        <v/>
      </c>
      <c r="U668">
        <f>IF($W668="","",COUNTIFS(상세표[사번키],INDEX(합계표[사번키],$W668),상세표[반영월],대상월키,상세표[야간당직],1,상세표[야간 구분],"휴일",상세표[반영 기관],"서울병원"))</f>
        <v/>
      </c>
      <c r="V668">
        <f>IF($W668="","",IF(ISNUMBER(MATCH(INDEX(합계표[사번키],$W668)&amp;"|"&amp;대상월키,월별근무지표[키],0)),"직접 입력",IF($K668="—","—","기관명단")))</f>
        <v/>
      </c>
      <c r="W668">
        <f>IFERROR(MATCH(663,합계표[판정순번],0),"")</f>
        <v/>
      </c>
    </row>
    <row r="669">
      <c r="A669">
        <f>IF($W669="","",INDEX(합계표[사번],$W669)&amp;"")</f>
        <v/>
      </c>
      <c r="B669">
        <f>IF($W669="","",INDEX(합계표[성명],$W669)&amp;"")</f>
        <v/>
      </c>
      <c r="C669">
        <f>IF($W669="","",INDEX(합계표[부서],$W669)&amp;"")</f>
        <v/>
      </c>
      <c r="D669">
        <f>IF($W669="","",INDEX(합계표[직위(통합)],$W669)&amp;"")</f>
        <v/>
      </c>
      <c r="E669">
        <f>IF($W669="","",SUMIFS(합계표[시스템 합계],합계표[사번키],INDEX(합계표[사번키],$W669)))</f>
        <v/>
      </c>
      <c r="F669">
        <f>IF($W669="","",SUMIFS(상세표[기록 시간외],상세표[사번키],INDEX(합계표[사번키],$W669),상세표[기록월],대상월키))</f>
        <v/>
      </c>
      <c r="G669">
        <f>IF($W669="","",IF(ABS($E669-$F669)&lt;0.01,"일치","불일치(차이 "&amp;TEXT($F669-$E669,"0.00")&amp;")"))</f>
        <v/>
      </c>
      <c r="H669">
        <f>IF($W669="","",SUMIFS(상세표[기록 시간외],상세표[사번키],INDEX(합계표[사번키],$W669),상세표[기록월],대상월키,상세표[반영월],"&lt;&gt;"&amp;대상월키))</f>
        <v/>
      </c>
      <c r="I669">
        <f>IF($W669="","",SUMIFS(상세표[기록 시간외],상세표[사번키],INDEX(합계표[사번키],$W669),상세표[기록월],"&lt;&gt;"&amp;대상월키,상세표[반영월],대상월키))</f>
        <v/>
      </c>
      <c r="J669">
        <f>IF($W669="","",SUMIFS(상세표[기록 시간외],상세표[사번키],INDEX(합계표[사번키],$W669),상세표[반영월],대상월키))</f>
        <v/>
      </c>
      <c r="K669">
        <f>IF($W669="","",IFERROR(INDEX(월별근무지표[적용 급여병원],MATCH(INDEX(합계표[사번키],$W669)&amp;"|"&amp;대상월키,월별근무지표[키],0))&amp;"",IF(COUNTIF(기관표[사번키],INDEX(합계표[사번키],$W669))+COUNTIF(월별근무지표[사번키],INDEX(합계표[사번키],$W669))&gt;0,IFERROR(INDEX(기관표[급여지급병원(기준월)],MATCH(INDEX(합계표[사번키],$W669)&amp;"|"&amp;대상월키,기관표[키],0))&amp;"","—"),"—")))</f>
        <v/>
      </c>
      <c r="L669">
        <f>IF($W669="","",IF(NOT(COUNTIF(기관표[사번키],INDEX(합계표[사번키],$W669))+COUNTIF(월별근무지표[사번키],INDEX(합계표[사번키],$W669))&gt;0),"기관명단에 없음(다른 병원으로 발송)",IF($K669="—","대상월 기관명단 없음(추가 필요)",IF($K669="서울병원","해당","비해당"))))</f>
        <v/>
      </c>
      <c r="M669">
        <f>IF($W669="","",SUMIFS(상세표[06~07시],상세표[사번키],INDEX(합계표[사번키],$W669),상세표[반영월],대상월키,상세표[반영 기관],"서울병원"))</f>
        <v/>
      </c>
      <c r="N669">
        <f>IF($W669="","",SUMIFS(상세표[07~18시],상세표[사번키],INDEX(합계표[사번키],$W669),상세표[반영월],대상월키,상세표[반영 기관],"서울병원"))</f>
        <v/>
      </c>
      <c r="O669">
        <f>IF($W669="","",SUMIFS(상세표[18~22시],상세표[사번키],INDEX(합계표[사번키],$W669),상세표[반영월],대상월키,상세표[반영 기관],"서울병원"))</f>
        <v/>
      </c>
      <c r="P669">
        <f>IF($W669="","",SUMIFS(상세표[22~06시],상세표[사번키],INDEX(합계표[사번키],$W669),상세표[반영월],대상월키,상세표[반영 기관],"서울병원"))</f>
        <v/>
      </c>
      <c r="Q669">
        <f>IF($W669="","",SUM($M669:$P669))</f>
        <v/>
      </c>
      <c r="R669">
        <f>IF($W669="","",COUNTIFS(상세표[사번키],INDEX(합계표[사번키],$W669),상세표[반영월],대상월키,상세표[야간당직],1,상세표[야간 구분],"평일"))</f>
        <v/>
      </c>
      <c r="S669" s="4">
        <f>IF($W669="","",COUNTIFS(상세표[사번키],INDEX(합계표[사번키],$W669),상세표[반영월],대상월키,상세표[야간당직],1,상세표[야간 구분],"휴일"))</f>
        <v/>
      </c>
      <c r="T669">
        <f>IF($W669="","",COUNTIFS(상세표[사번키],INDEX(합계표[사번키],$W669),상세표[반영월],대상월키,상세표[야간당직],1,상세표[야간 구분],"평일",상세표[반영 기관],"서울병원"))</f>
        <v/>
      </c>
      <c r="U669">
        <f>IF($W669="","",COUNTIFS(상세표[사번키],INDEX(합계표[사번키],$W669),상세표[반영월],대상월키,상세표[야간당직],1,상세표[야간 구분],"휴일",상세표[반영 기관],"서울병원"))</f>
        <v/>
      </c>
      <c r="V669">
        <f>IF($W669="","",IF(ISNUMBER(MATCH(INDEX(합계표[사번키],$W669)&amp;"|"&amp;대상월키,월별근무지표[키],0)),"직접 입력",IF($K669="—","—","기관명단")))</f>
        <v/>
      </c>
      <c r="W669">
        <f>IFERROR(MATCH(664,합계표[판정순번],0),"")</f>
        <v/>
      </c>
    </row>
    <row r="670">
      <c r="A670">
        <f>IF($W670="","",INDEX(합계표[사번],$W670)&amp;"")</f>
        <v/>
      </c>
      <c r="B670">
        <f>IF($W670="","",INDEX(합계표[성명],$W670)&amp;"")</f>
        <v/>
      </c>
      <c r="C670">
        <f>IF($W670="","",INDEX(합계표[부서],$W670)&amp;"")</f>
        <v/>
      </c>
      <c r="D670">
        <f>IF($W670="","",INDEX(합계표[직위(통합)],$W670)&amp;"")</f>
        <v/>
      </c>
      <c r="E670">
        <f>IF($W670="","",SUMIFS(합계표[시스템 합계],합계표[사번키],INDEX(합계표[사번키],$W670)))</f>
        <v/>
      </c>
      <c r="F670">
        <f>IF($W670="","",SUMIFS(상세표[기록 시간외],상세표[사번키],INDEX(합계표[사번키],$W670),상세표[기록월],대상월키))</f>
        <v/>
      </c>
      <c r="G670">
        <f>IF($W670="","",IF(ABS($E670-$F670)&lt;0.01,"일치","불일치(차이 "&amp;TEXT($F670-$E670,"0.00")&amp;")"))</f>
        <v/>
      </c>
      <c r="H670">
        <f>IF($W670="","",SUMIFS(상세표[기록 시간외],상세표[사번키],INDEX(합계표[사번키],$W670),상세표[기록월],대상월키,상세표[반영월],"&lt;&gt;"&amp;대상월키))</f>
        <v/>
      </c>
      <c r="I670">
        <f>IF($W670="","",SUMIFS(상세표[기록 시간외],상세표[사번키],INDEX(합계표[사번키],$W670),상세표[기록월],"&lt;&gt;"&amp;대상월키,상세표[반영월],대상월키))</f>
        <v/>
      </c>
      <c r="J670">
        <f>IF($W670="","",SUMIFS(상세표[기록 시간외],상세표[사번키],INDEX(합계표[사번키],$W670),상세표[반영월],대상월키))</f>
        <v/>
      </c>
      <c r="K670">
        <f>IF($W670="","",IFERROR(INDEX(월별근무지표[적용 급여병원],MATCH(INDEX(합계표[사번키],$W670)&amp;"|"&amp;대상월키,월별근무지표[키],0))&amp;"",IF(COUNTIF(기관표[사번키],INDEX(합계표[사번키],$W670))+COUNTIF(월별근무지표[사번키],INDEX(합계표[사번키],$W670))&gt;0,IFERROR(INDEX(기관표[급여지급병원(기준월)],MATCH(INDEX(합계표[사번키],$W670)&amp;"|"&amp;대상월키,기관표[키],0))&amp;"","—"),"—")))</f>
        <v/>
      </c>
      <c r="L670">
        <f>IF($W670="","",IF(NOT(COUNTIF(기관표[사번키],INDEX(합계표[사번키],$W670))+COUNTIF(월별근무지표[사번키],INDEX(합계표[사번키],$W670))&gt;0),"기관명단에 없음(다른 병원으로 발송)",IF($K670="—","대상월 기관명단 없음(추가 필요)",IF($K670="서울병원","해당","비해당"))))</f>
        <v/>
      </c>
      <c r="M670">
        <f>IF($W670="","",SUMIFS(상세표[06~07시],상세표[사번키],INDEX(합계표[사번키],$W670),상세표[반영월],대상월키,상세표[반영 기관],"서울병원"))</f>
        <v/>
      </c>
      <c r="N670">
        <f>IF($W670="","",SUMIFS(상세표[07~18시],상세표[사번키],INDEX(합계표[사번키],$W670),상세표[반영월],대상월키,상세표[반영 기관],"서울병원"))</f>
        <v/>
      </c>
      <c r="O670">
        <f>IF($W670="","",SUMIFS(상세표[18~22시],상세표[사번키],INDEX(합계표[사번키],$W670),상세표[반영월],대상월키,상세표[반영 기관],"서울병원"))</f>
        <v/>
      </c>
      <c r="P670">
        <f>IF($W670="","",SUMIFS(상세표[22~06시],상세표[사번키],INDEX(합계표[사번키],$W670),상세표[반영월],대상월키,상세표[반영 기관],"서울병원"))</f>
        <v/>
      </c>
      <c r="Q670">
        <f>IF($W670="","",SUM($M670:$P670))</f>
        <v/>
      </c>
      <c r="R670">
        <f>IF($W670="","",COUNTIFS(상세표[사번키],INDEX(합계표[사번키],$W670),상세표[반영월],대상월키,상세표[야간당직],1,상세표[야간 구분],"평일"))</f>
        <v/>
      </c>
      <c r="S670" s="4">
        <f>IF($W670="","",COUNTIFS(상세표[사번키],INDEX(합계표[사번키],$W670),상세표[반영월],대상월키,상세표[야간당직],1,상세표[야간 구분],"휴일"))</f>
        <v/>
      </c>
      <c r="T670">
        <f>IF($W670="","",COUNTIFS(상세표[사번키],INDEX(합계표[사번키],$W670),상세표[반영월],대상월키,상세표[야간당직],1,상세표[야간 구분],"평일",상세표[반영 기관],"서울병원"))</f>
        <v/>
      </c>
      <c r="U670">
        <f>IF($W670="","",COUNTIFS(상세표[사번키],INDEX(합계표[사번키],$W670),상세표[반영월],대상월키,상세표[야간당직],1,상세표[야간 구분],"휴일",상세표[반영 기관],"서울병원"))</f>
        <v/>
      </c>
      <c r="V670">
        <f>IF($W670="","",IF(ISNUMBER(MATCH(INDEX(합계표[사번키],$W670)&amp;"|"&amp;대상월키,월별근무지표[키],0)),"직접 입력",IF($K670="—","—","기관명단")))</f>
        <v/>
      </c>
      <c r="W670">
        <f>IFERROR(MATCH(665,합계표[판정순번],0),"")</f>
        <v/>
      </c>
    </row>
    <row r="671">
      <c r="A671">
        <f>IF($W671="","",INDEX(합계표[사번],$W671)&amp;"")</f>
        <v/>
      </c>
      <c r="B671">
        <f>IF($W671="","",INDEX(합계표[성명],$W671)&amp;"")</f>
        <v/>
      </c>
      <c r="C671">
        <f>IF($W671="","",INDEX(합계표[부서],$W671)&amp;"")</f>
        <v/>
      </c>
      <c r="D671">
        <f>IF($W671="","",INDEX(합계표[직위(통합)],$W671)&amp;"")</f>
        <v/>
      </c>
      <c r="E671">
        <f>IF($W671="","",SUMIFS(합계표[시스템 합계],합계표[사번키],INDEX(합계표[사번키],$W671)))</f>
        <v/>
      </c>
      <c r="F671">
        <f>IF($W671="","",SUMIFS(상세표[기록 시간외],상세표[사번키],INDEX(합계표[사번키],$W671),상세표[기록월],대상월키))</f>
        <v/>
      </c>
      <c r="G671">
        <f>IF($W671="","",IF(ABS($E671-$F671)&lt;0.01,"일치","불일치(차이 "&amp;TEXT($F671-$E671,"0.00")&amp;")"))</f>
        <v/>
      </c>
      <c r="H671">
        <f>IF($W671="","",SUMIFS(상세표[기록 시간외],상세표[사번키],INDEX(합계표[사번키],$W671),상세표[기록월],대상월키,상세표[반영월],"&lt;&gt;"&amp;대상월키))</f>
        <v/>
      </c>
      <c r="I671">
        <f>IF($W671="","",SUMIFS(상세표[기록 시간외],상세표[사번키],INDEX(합계표[사번키],$W671),상세표[기록월],"&lt;&gt;"&amp;대상월키,상세표[반영월],대상월키))</f>
        <v/>
      </c>
      <c r="J671">
        <f>IF($W671="","",SUMIFS(상세표[기록 시간외],상세표[사번키],INDEX(합계표[사번키],$W671),상세표[반영월],대상월키))</f>
        <v/>
      </c>
      <c r="K671">
        <f>IF($W671="","",IFERROR(INDEX(월별근무지표[적용 급여병원],MATCH(INDEX(합계표[사번키],$W671)&amp;"|"&amp;대상월키,월별근무지표[키],0))&amp;"",IF(COUNTIF(기관표[사번키],INDEX(합계표[사번키],$W671))+COUNTIF(월별근무지표[사번키],INDEX(합계표[사번키],$W671))&gt;0,IFERROR(INDEX(기관표[급여지급병원(기준월)],MATCH(INDEX(합계표[사번키],$W671)&amp;"|"&amp;대상월키,기관표[키],0))&amp;"","—"),"—")))</f>
        <v/>
      </c>
      <c r="L671">
        <f>IF($W671="","",IF(NOT(COUNTIF(기관표[사번키],INDEX(합계표[사번키],$W671))+COUNTIF(월별근무지표[사번키],INDEX(합계표[사번키],$W671))&gt;0),"기관명단에 없음(다른 병원으로 발송)",IF($K671="—","대상월 기관명단 없음(추가 필요)",IF($K671="서울병원","해당","비해당"))))</f>
        <v/>
      </c>
      <c r="M671">
        <f>IF($W671="","",SUMIFS(상세표[06~07시],상세표[사번키],INDEX(합계표[사번키],$W671),상세표[반영월],대상월키,상세표[반영 기관],"서울병원"))</f>
        <v/>
      </c>
      <c r="N671">
        <f>IF($W671="","",SUMIFS(상세표[07~18시],상세표[사번키],INDEX(합계표[사번키],$W671),상세표[반영월],대상월키,상세표[반영 기관],"서울병원"))</f>
        <v/>
      </c>
      <c r="O671">
        <f>IF($W671="","",SUMIFS(상세표[18~22시],상세표[사번키],INDEX(합계표[사번키],$W671),상세표[반영월],대상월키,상세표[반영 기관],"서울병원"))</f>
        <v/>
      </c>
      <c r="P671">
        <f>IF($W671="","",SUMIFS(상세표[22~06시],상세표[사번키],INDEX(합계표[사번키],$W671),상세표[반영월],대상월키,상세표[반영 기관],"서울병원"))</f>
        <v/>
      </c>
      <c r="Q671">
        <f>IF($W671="","",SUM($M671:$P671))</f>
        <v/>
      </c>
      <c r="R671">
        <f>IF($W671="","",COUNTIFS(상세표[사번키],INDEX(합계표[사번키],$W671),상세표[반영월],대상월키,상세표[야간당직],1,상세표[야간 구분],"평일"))</f>
        <v/>
      </c>
      <c r="S671" s="4">
        <f>IF($W671="","",COUNTIFS(상세표[사번키],INDEX(합계표[사번키],$W671),상세표[반영월],대상월키,상세표[야간당직],1,상세표[야간 구분],"휴일"))</f>
        <v/>
      </c>
      <c r="T671">
        <f>IF($W671="","",COUNTIFS(상세표[사번키],INDEX(합계표[사번키],$W671),상세표[반영월],대상월키,상세표[야간당직],1,상세표[야간 구분],"평일",상세표[반영 기관],"서울병원"))</f>
        <v/>
      </c>
      <c r="U671">
        <f>IF($W671="","",COUNTIFS(상세표[사번키],INDEX(합계표[사번키],$W671),상세표[반영월],대상월키,상세표[야간당직],1,상세표[야간 구분],"휴일",상세표[반영 기관],"서울병원"))</f>
        <v/>
      </c>
      <c r="V671">
        <f>IF($W671="","",IF(ISNUMBER(MATCH(INDEX(합계표[사번키],$W671)&amp;"|"&amp;대상월키,월별근무지표[키],0)),"직접 입력",IF($K671="—","—","기관명단")))</f>
        <v/>
      </c>
      <c r="W671">
        <f>IFERROR(MATCH(666,합계표[판정순번],0),"")</f>
        <v/>
      </c>
    </row>
    <row r="672">
      <c r="A672">
        <f>IF($W672="","",INDEX(합계표[사번],$W672)&amp;"")</f>
        <v/>
      </c>
      <c r="B672">
        <f>IF($W672="","",INDEX(합계표[성명],$W672)&amp;"")</f>
        <v/>
      </c>
      <c r="C672">
        <f>IF($W672="","",INDEX(합계표[부서],$W672)&amp;"")</f>
        <v/>
      </c>
      <c r="D672">
        <f>IF($W672="","",INDEX(합계표[직위(통합)],$W672)&amp;"")</f>
        <v/>
      </c>
      <c r="E672">
        <f>IF($W672="","",SUMIFS(합계표[시스템 합계],합계표[사번키],INDEX(합계표[사번키],$W672)))</f>
        <v/>
      </c>
      <c r="F672">
        <f>IF($W672="","",SUMIFS(상세표[기록 시간외],상세표[사번키],INDEX(합계표[사번키],$W672),상세표[기록월],대상월키))</f>
        <v/>
      </c>
      <c r="G672">
        <f>IF($W672="","",IF(ABS($E672-$F672)&lt;0.01,"일치","불일치(차이 "&amp;TEXT($F672-$E672,"0.00")&amp;")"))</f>
        <v/>
      </c>
      <c r="H672">
        <f>IF($W672="","",SUMIFS(상세표[기록 시간외],상세표[사번키],INDEX(합계표[사번키],$W672),상세표[기록월],대상월키,상세표[반영월],"&lt;&gt;"&amp;대상월키))</f>
        <v/>
      </c>
      <c r="I672">
        <f>IF($W672="","",SUMIFS(상세표[기록 시간외],상세표[사번키],INDEX(합계표[사번키],$W672),상세표[기록월],"&lt;&gt;"&amp;대상월키,상세표[반영월],대상월키))</f>
        <v/>
      </c>
      <c r="J672">
        <f>IF($W672="","",SUMIFS(상세표[기록 시간외],상세표[사번키],INDEX(합계표[사번키],$W672),상세표[반영월],대상월키))</f>
        <v/>
      </c>
      <c r="K672">
        <f>IF($W672="","",IFERROR(INDEX(월별근무지표[적용 급여병원],MATCH(INDEX(합계표[사번키],$W672)&amp;"|"&amp;대상월키,월별근무지표[키],0))&amp;"",IF(COUNTIF(기관표[사번키],INDEX(합계표[사번키],$W672))+COUNTIF(월별근무지표[사번키],INDEX(합계표[사번키],$W672))&gt;0,IFERROR(INDEX(기관표[급여지급병원(기준월)],MATCH(INDEX(합계표[사번키],$W672)&amp;"|"&amp;대상월키,기관표[키],0))&amp;"","—"),"—")))</f>
        <v/>
      </c>
      <c r="L672">
        <f>IF($W672="","",IF(NOT(COUNTIF(기관표[사번키],INDEX(합계표[사번키],$W672))+COUNTIF(월별근무지표[사번키],INDEX(합계표[사번키],$W672))&gt;0),"기관명단에 없음(다른 병원으로 발송)",IF($K672="—","대상월 기관명단 없음(추가 필요)",IF($K672="서울병원","해당","비해당"))))</f>
        <v/>
      </c>
      <c r="M672">
        <f>IF($W672="","",SUMIFS(상세표[06~07시],상세표[사번키],INDEX(합계표[사번키],$W672),상세표[반영월],대상월키,상세표[반영 기관],"서울병원"))</f>
        <v/>
      </c>
      <c r="N672">
        <f>IF($W672="","",SUMIFS(상세표[07~18시],상세표[사번키],INDEX(합계표[사번키],$W672),상세표[반영월],대상월키,상세표[반영 기관],"서울병원"))</f>
        <v/>
      </c>
      <c r="O672">
        <f>IF($W672="","",SUMIFS(상세표[18~22시],상세표[사번키],INDEX(합계표[사번키],$W672),상세표[반영월],대상월키,상세표[반영 기관],"서울병원"))</f>
        <v/>
      </c>
      <c r="P672">
        <f>IF($W672="","",SUMIFS(상세표[22~06시],상세표[사번키],INDEX(합계표[사번키],$W672),상세표[반영월],대상월키,상세표[반영 기관],"서울병원"))</f>
        <v/>
      </c>
      <c r="Q672">
        <f>IF($W672="","",SUM($M672:$P672))</f>
        <v/>
      </c>
      <c r="R672">
        <f>IF($W672="","",COUNTIFS(상세표[사번키],INDEX(합계표[사번키],$W672),상세표[반영월],대상월키,상세표[야간당직],1,상세표[야간 구분],"평일"))</f>
        <v/>
      </c>
      <c r="S672" s="4">
        <f>IF($W672="","",COUNTIFS(상세표[사번키],INDEX(합계표[사번키],$W672),상세표[반영월],대상월키,상세표[야간당직],1,상세표[야간 구분],"휴일"))</f>
        <v/>
      </c>
      <c r="T672">
        <f>IF($W672="","",COUNTIFS(상세표[사번키],INDEX(합계표[사번키],$W672),상세표[반영월],대상월키,상세표[야간당직],1,상세표[야간 구분],"평일",상세표[반영 기관],"서울병원"))</f>
        <v/>
      </c>
      <c r="U672">
        <f>IF($W672="","",COUNTIFS(상세표[사번키],INDEX(합계표[사번키],$W672),상세표[반영월],대상월키,상세표[야간당직],1,상세표[야간 구분],"휴일",상세표[반영 기관],"서울병원"))</f>
        <v/>
      </c>
      <c r="V672">
        <f>IF($W672="","",IF(ISNUMBER(MATCH(INDEX(합계표[사번키],$W672)&amp;"|"&amp;대상월키,월별근무지표[키],0)),"직접 입력",IF($K672="—","—","기관명단")))</f>
        <v/>
      </c>
      <c r="W672">
        <f>IFERROR(MATCH(667,합계표[판정순번],0),"")</f>
        <v/>
      </c>
    </row>
    <row r="673">
      <c r="A673">
        <f>IF($W673="","",INDEX(합계표[사번],$W673)&amp;"")</f>
        <v/>
      </c>
      <c r="B673">
        <f>IF($W673="","",INDEX(합계표[성명],$W673)&amp;"")</f>
        <v/>
      </c>
      <c r="C673">
        <f>IF($W673="","",INDEX(합계표[부서],$W673)&amp;"")</f>
        <v/>
      </c>
      <c r="D673">
        <f>IF($W673="","",INDEX(합계표[직위(통합)],$W673)&amp;"")</f>
        <v/>
      </c>
      <c r="E673">
        <f>IF($W673="","",SUMIFS(합계표[시스템 합계],합계표[사번키],INDEX(합계표[사번키],$W673)))</f>
        <v/>
      </c>
      <c r="F673">
        <f>IF($W673="","",SUMIFS(상세표[기록 시간외],상세표[사번키],INDEX(합계표[사번키],$W673),상세표[기록월],대상월키))</f>
        <v/>
      </c>
      <c r="G673">
        <f>IF($W673="","",IF(ABS($E673-$F673)&lt;0.01,"일치","불일치(차이 "&amp;TEXT($F673-$E673,"0.00")&amp;")"))</f>
        <v/>
      </c>
      <c r="H673">
        <f>IF($W673="","",SUMIFS(상세표[기록 시간외],상세표[사번키],INDEX(합계표[사번키],$W673),상세표[기록월],대상월키,상세표[반영월],"&lt;&gt;"&amp;대상월키))</f>
        <v/>
      </c>
      <c r="I673">
        <f>IF($W673="","",SUMIFS(상세표[기록 시간외],상세표[사번키],INDEX(합계표[사번키],$W673),상세표[기록월],"&lt;&gt;"&amp;대상월키,상세표[반영월],대상월키))</f>
        <v/>
      </c>
      <c r="J673">
        <f>IF($W673="","",SUMIFS(상세표[기록 시간외],상세표[사번키],INDEX(합계표[사번키],$W673),상세표[반영월],대상월키))</f>
        <v/>
      </c>
      <c r="K673">
        <f>IF($W673="","",IFERROR(INDEX(월별근무지표[적용 급여병원],MATCH(INDEX(합계표[사번키],$W673)&amp;"|"&amp;대상월키,월별근무지표[키],0))&amp;"",IF(COUNTIF(기관표[사번키],INDEX(합계표[사번키],$W673))+COUNTIF(월별근무지표[사번키],INDEX(합계표[사번키],$W673))&gt;0,IFERROR(INDEX(기관표[급여지급병원(기준월)],MATCH(INDEX(합계표[사번키],$W673)&amp;"|"&amp;대상월키,기관표[키],0))&amp;"","—"),"—")))</f>
        <v/>
      </c>
      <c r="L673">
        <f>IF($W673="","",IF(NOT(COUNTIF(기관표[사번키],INDEX(합계표[사번키],$W673))+COUNTIF(월별근무지표[사번키],INDEX(합계표[사번키],$W673))&gt;0),"기관명단에 없음(다른 병원으로 발송)",IF($K673="—","대상월 기관명단 없음(추가 필요)",IF($K673="서울병원","해당","비해당"))))</f>
        <v/>
      </c>
      <c r="M673">
        <f>IF($W673="","",SUMIFS(상세표[06~07시],상세표[사번키],INDEX(합계표[사번키],$W673),상세표[반영월],대상월키,상세표[반영 기관],"서울병원"))</f>
        <v/>
      </c>
      <c r="N673">
        <f>IF($W673="","",SUMIFS(상세표[07~18시],상세표[사번키],INDEX(합계표[사번키],$W673),상세표[반영월],대상월키,상세표[반영 기관],"서울병원"))</f>
        <v/>
      </c>
      <c r="O673">
        <f>IF($W673="","",SUMIFS(상세표[18~22시],상세표[사번키],INDEX(합계표[사번키],$W673),상세표[반영월],대상월키,상세표[반영 기관],"서울병원"))</f>
        <v/>
      </c>
      <c r="P673">
        <f>IF($W673="","",SUMIFS(상세표[22~06시],상세표[사번키],INDEX(합계표[사번키],$W673),상세표[반영월],대상월키,상세표[반영 기관],"서울병원"))</f>
        <v/>
      </c>
      <c r="Q673">
        <f>IF($W673="","",SUM($M673:$P673))</f>
        <v/>
      </c>
      <c r="R673">
        <f>IF($W673="","",COUNTIFS(상세표[사번키],INDEX(합계표[사번키],$W673),상세표[반영월],대상월키,상세표[야간당직],1,상세표[야간 구분],"평일"))</f>
        <v/>
      </c>
      <c r="S673" s="4">
        <f>IF($W673="","",COUNTIFS(상세표[사번키],INDEX(합계표[사번키],$W673),상세표[반영월],대상월키,상세표[야간당직],1,상세표[야간 구분],"휴일"))</f>
        <v/>
      </c>
      <c r="T673">
        <f>IF($W673="","",COUNTIFS(상세표[사번키],INDEX(합계표[사번키],$W673),상세표[반영월],대상월키,상세표[야간당직],1,상세표[야간 구분],"평일",상세표[반영 기관],"서울병원"))</f>
        <v/>
      </c>
      <c r="U673">
        <f>IF($W673="","",COUNTIFS(상세표[사번키],INDEX(합계표[사번키],$W673),상세표[반영월],대상월키,상세표[야간당직],1,상세표[야간 구분],"휴일",상세표[반영 기관],"서울병원"))</f>
        <v/>
      </c>
      <c r="V673">
        <f>IF($W673="","",IF(ISNUMBER(MATCH(INDEX(합계표[사번키],$W673)&amp;"|"&amp;대상월키,월별근무지표[키],0)),"직접 입력",IF($K673="—","—","기관명단")))</f>
        <v/>
      </c>
      <c r="W673">
        <f>IFERROR(MATCH(668,합계표[판정순번],0),"")</f>
        <v/>
      </c>
    </row>
    <row r="674">
      <c r="A674">
        <f>IF($W674="","",INDEX(합계표[사번],$W674)&amp;"")</f>
        <v/>
      </c>
      <c r="B674">
        <f>IF($W674="","",INDEX(합계표[성명],$W674)&amp;"")</f>
        <v/>
      </c>
      <c r="C674">
        <f>IF($W674="","",INDEX(합계표[부서],$W674)&amp;"")</f>
        <v/>
      </c>
      <c r="D674">
        <f>IF($W674="","",INDEX(합계표[직위(통합)],$W674)&amp;"")</f>
        <v/>
      </c>
      <c r="E674">
        <f>IF($W674="","",SUMIFS(합계표[시스템 합계],합계표[사번키],INDEX(합계표[사번키],$W674)))</f>
        <v/>
      </c>
      <c r="F674">
        <f>IF($W674="","",SUMIFS(상세표[기록 시간외],상세표[사번키],INDEX(합계표[사번키],$W674),상세표[기록월],대상월키))</f>
        <v/>
      </c>
      <c r="G674">
        <f>IF($W674="","",IF(ABS($E674-$F674)&lt;0.01,"일치","불일치(차이 "&amp;TEXT($F674-$E674,"0.00")&amp;")"))</f>
        <v/>
      </c>
      <c r="H674">
        <f>IF($W674="","",SUMIFS(상세표[기록 시간외],상세표[사번키],INDEX(합계표[사번키],$W674),상세표[기록월],대상월키,상세표[반영월],"&lt;&gt;"&amp;대상월키))</f>
        <v/>
      </c>
      <c r="I674">
        <f>IF($W674="","",SUMIFS(상세표[기록 시간외],상세표[사번키],INDEX(합계표[사번키],$W674),상세표[기록월],"&lt;&gt;"&amp;대상월키,상세표[반영월],대상월키))</f>
        <v/>
      </c>
      <c r="J674">
        <f>IF($W674="","",SUMIFS(상세표[기록 시간외],상세표[사번키],INDEX(합계표[사번키],$W674),상세표[반영월],대상월키))</f>
        <v/>
      </c>
      <c r="K674">
        <f>IF($W674="","",IFERROR(INDEX(월별근무지표[적용 급여병원],MATCH(INDEX(합계표[사번키],$W674)&amp;"|"&amp;대상월키,월별근무지표[키],0))&amp;"",IF(COUNTIF(기관표[사번키],INDEX(합계표[사번키],$W674))+COUNTIF(월별근무지표[사번키],INDEX(합계표[사번키],$W674))&gt;0,IFERROR(INDEX(기관표[급여지급병원(기준월)],MATCH(INDEX(합계표[사번키],$W674)&amp;"|"&amp;대상월키,기관표[키],0))&amp;"","—"),"—")))</f>
        <v/>
      </c>
      <c r="L674">
        <f>IF($W674="","",IF(NOT(COUNTIF(기관표[사번키],INDEX(합계표[사번키],$W674))+COUNTIF(월별근무지표[사번키],INDEX(합계표[사번키],$W674))&gt;0),"기관명단에 없음(다른 병원으로 발송)",IF($K674="—","대상월 기관명단 없음(추가 필요)",IF($K674="서울병원","해당","비해당"))))</f>
        <v/>
      </c>
      <c r="M674">
        <f>IF($W674="","",SUMIFS(상세표[06~07시],상세표[사번키],INDEX(합계표[사번키],$W674),상세표[반영월],대상월키,상세표[반영 기관],"서울병원"))</f>
        <v/>
      </c>
      <c r="N674">
        <f>IF($W674="","",SUMIFS(상세표[07~18시],상세표[사번키],INDEX(합계표[사번키],$W674),상세표[반영월],대상월키,상세표[반영 기관],"서울병원"))</f>
        <v/>
      </c>
      <c r="O674">
        <f>IF($W674="","",SUMIFS(상세표[18~22시],상세표[사번키],INDEX(합계표[사번키],$W674),상세표[반영월],대상월키,상세표[반영 기관],"서울병원"))</f>
        <v/>
      </c>
      <c r="P674">
        <f>IF($W674="","",SUMIFS(상세표[22~06시],상세표[사번키],INDEX(합계표[사번키],$W674),상세표[반영월],대상월키,상세표[반영 기관],"서울병원"))</f>
        <v/>
      </c>
      <c r="Q674">
        <f>IF($W674="","",SUM($M674:$P674))</f>
        <v/>
      </c>
      <c r="R674">
        <f>IF($W674="","",COUNTIFS(상세표[사번키],INDEX(합계표[사번키],$W674),상세표[반영월],대상월키,상세표[야간당직],1,상세표[야간 구분],"평일"))</f>
        <v/>
      </c>
      <c r="S674" s="4">
        <f>IF($W674="","",COUNTIFS(상세표[사번키],INDEX(합계표[사번키],$W674),상세표[반영월],대상월키,상세표[야간당직],1,상세표[야간 구분],"휴일"))</f>
        <v/>
      </c>
      <c r="T674">
        <f>IF($W674="","",COUNTIFS(상세표[사번키],INDEX(합계표[사번키],$W674),상세표[반영월],대상월키,상세표[야간당직],1,상세표[야간 구분],"평일",상세표[반영 기관],"서울병원"))</f>
        <v/>
      </c>
      <c r="U674">
        <f>IF($W674="","",COUNTIFS(상세표[사번키],INDEX(합계표[사번키],$W674),상세표[반영월],대상월키,상세표[야간당직],1,상세표[야간 구분],"휴일",상세표[반영 기관],"서울병원"))</f>
        <v/>
      </c>
      <c r="V674">
        <f>IF($W674="","",IF(ISNUMBER(MATCH(INDEX(합계표[사번키],$W674)&amp;"|"&amp;대상월키,월별근무지표[키],0)),"직접 입력",IF($K674="—","—","기관명단")))</f>
        <v/>
      </c>
      <c r="W674">
        <f>IFERROR(MATCH(669,합계표[판정순번],0),"")</f>
        <v/>
      </c>
    </row>
    <row r="675">
      <c r="A675">
        <f>IF($W675="","",INDEX(합계표[사번],$W675)&amp;"")</f>
        <v/>
      </c>
      <c r="B675">
        <f>IF($W675="","",INDEX(합계표[성명],$W675)&amp;"")</f>
        <v/>
      </c>
      <c r="C675">
        <f>IF($W675="","",INDEX(합계표[부서],$W675)&amp;"")</f>
        <v/>
      </c>
      <c r="D675">
        <f>IF($W675="","",INDEX(합계표[직위(통합)],$W675)&amp;"")</f>
        <v/>
      </c>
      <c r="E675">
        <f>IF($W675="","",SUMIFS(합계표[시스템 합계],합계표[사번키],INDEX(합계표[사번키],$W675)))</f>
        <v/>
      </c>
      <c r="F675">
        <f>IF($W675="","",SUMIFS(상세표[기록 시간외],상세표[사번키],INDEX(합계표[사번키],$W675),상세표[기록월],대상월키))</f>
        <v/>
      </c>
      <c r="G675">
        <f>IF($W675="","",IF(ABS($E675-$F675)&lt;0.01,"일치","불일치(차이 "&amp;TEXT($F675-$E675,"0.00")&amp;")"))</f>
        <v/>
      </c>
      <c r="H675">
        <f>IF($W675="","",SUMIFS(상세표[기록 시간외],상세표[사번키],INDEX(합계표[사번키],$W675),상세표[기록월],대상월키,상세표[반영월],"&lt;&gt;"&amp;대상월키))</f>
        <v/>
      </c>
      <c r="I675">
        <f>IF($W675="","",SUMIFS(상세표[기록 시간외],상세표[사번키],INDEX(합계표[사번키],$W675),상세표[기록월],"&lt;&gt;"&amp;대상월키,상세표[반영월],대상월키))</f>
        <v/>
      </c>
      <c r="J675">
        <f>IF($W675="","",SUMIFS(상세표[기록 시간외],상세표[사번키],INDEX(합계표[사번키],$W675),상세표[반영월],대상월키))</f>
        <v/>
      </c>
      <c r="K675">
        <f>IF($W675="","",IFERROR(INDEX(월별근무지표[적용 급여병원],MATCH(INDEX(합계표[사번키],$W675)&amp;"|"&amp;대상월키,월별근무지표[키],0))&amp;"",IF(COUNTIF(기관표[사번키],INDEX(합계표[사번키],$W675))+COUNTIF(월별근무지표[사번키],INDEX(합계표[사번키],$W675))&gt;0,IFERROR(INDEX(기관표[급여지급병원(기준월)],MATCH(INDEX(합계표[사번키],$W675)&amp;"|"&amp;대상월키,기관표[키],0))&amp;"","—"),"—")))</f>
        <v/>
      </c>
      <c r="L675">
        <f>IF($W675="","",IF(NOT(COUNTIF(기관표[사번키],INDEX(합계표[사번키],$W675))+COUNTIF(월별근무지표[사번키],INDEX(합계표[사번키],$W675))&gt;0),"기관명단에 없음(다른 병원으로 발송)",IF($K675="—","대상월 기관명단 없음(추가 필요)",IF($K675="서울병원","해당","비해당"))))</f>
        <v/>
      </c>
      <c r="M675">
        <f>IF($W675="","",SUMIFS(상세표[06~07시],상세표[사번키],INDEX(합계표[사번키],$W675),상세표[반영월],대상월키,상세표[반영 기관],"서울병원"))</f>
        <v/>
      </c>
      <c r="N675">
        <f>IF($W675="","",SUMIFS(상세표[07~18시],상세표[사번키],INDEX(합계표[사번키],$W675),상세표[반영월],대상월키,상세표[반영 기관],"서울병원"))</f>
        <v/>
      </c>
      <c r="O675">
        <f>IF($W675="","",SUMIFS(상세표[18~22시],상세표[사번키],INDEX(합계표[사번키],$W675),상세표[반영월],대상월키,상세표[반영 기관],"서울병원"))</f>
        <v/>
      </c>
      <c r="P675">
        <f>IF($W675="","",SUMIFS(상세표[22~06시],상세표[사번키],INDEX(합계표[사번키],$W675),상세표[반영월],대상월키,상세표[반영 기관],"서울병원"))</f>
        <v/>
      </c>
      <c r="Q675">
        <f>IF($W675="","",SUM($M675:$P675))</f>
        <v/>
      </c>
      <c r="R675">
        <f>IF($W675="","",COUNTIFS(상세표[사번키],INDEX(합계표[사번키],$W675),상세표[반영월],대상월키,상세표[야간당직],1,상세표[야간 구분],"평일"))</f>
        <v/>
      </c>
      <c r="S675" s="4">
        <f>IF($W675="","",COUNTIFS(상세표[사번키],INDEX(합계표[사번키],$W675),상세표[반영월],대상월키,상세표[야간당직],1,상세표[야간 구분],"휴일"))</f>
        <v/>
      </c>
      <c r="T675">
        <f>IF($W675="","",COUNTIFS(상세표[사번키],INDEX(합계표[사번키],$W675),상세표[반영월],대상월키,상세표[야간당직],1,상세표[야간 구분],"평일",상세표[반영 기관],"서울병원"))</f>
        <v/>
      </c>
      <c r="U675">
        <f>IF($W675="","",COUNTIFS(상세표[사번키],INDEX(합계표[사번키],$W675),상세표[반영월],대상월키,상세표[야간당직],1,상세표[야간 구분],"휴일",상세표[반영 기관],"서울병원"))</f>
        <v/>
      </c>
      <c r="V675">
        <f>IF($W675="","",IF(ISNUMBER(MATCH(INDEX(합계표[사번키],$W675)&amp;"|"&amp;대상월키,월별근무지표[키],0)),"직접 입력",IF($K675="—","—","기관명단")))</f>
        <v/>
      </c>
      <c r="W675">
        <f>IFERROR(MATCH(670,합계표[판정순번],0),"")</f>
        <v/>
      </c>
    </row>
    <row r="676">
      <c r="A676">
        <f>IF($W676="","",INDEX(합계표[사번],$W676)&amp;"")</f>
        <v/>
      </c>
      <c r="B676">
        <f>IF($W676="","",INDEX(합계표[성명],$W676)&amp;"")</f>
        <v/>
      </c>
      <c r="C676">
        <f>IF($W676="","",INDEX(합계표[부서],$W676)&amp;"")</f>
        <v/>
      </c>
      <c r="D676">
        <f>IF($W676="","",INDEX(합계표[직위(통합)],$W676)&amp;"")</f>
        <v/>
      </c>
      <c r="E676">
        <f>IF($W676="","",SUMIFS(합계표[시스템 합계],합계표[사번키],INDEX(합계표[사번키],$W676)))</f>
        <v/>
      </c>
      <c r="F676">
        <f>IF($W676="","",SUMIFS(상세표[기록 시간외],상세표[사번키],INDEX(합계표[사번키],$W676),상세표[기록월],대상월키))</f>
        <v/>
      </c>
      <c r="G676">
        <f>IF($W676="","",IF(ABS($E676-$F676)&lt;0.01,"일치","불일치(차이 "&amp;TEXT($F676-$E676,"0.00")&amp;")"))</f>
        <v/>
      </c>
      <c r="H676">
        <f>IF($W676="","",SUMIFS(상세표[기록 시간외],상세표[사번키],INDEX(합계표[사번키],$W676),상세표[기록월],대상월키,상세표[반영월],"&lt;&gt;"&amp;대상월키))</f>
        <v/>
      </c>
      <c r="I676">
        <f>IF($W676="","",SUMIFS(상세표[기록 시간외],상세표[사번키],INDEX(합계표[사번키],$W676),상세표[기록월],"&lt;&gt;"&amp;대상월키,상세표[반영월],대상월키))</f>
        <v/>
      </c>
      <c r="J676">
        <f>IF($W676="","",SUMIFS(상세표[기록 시간외],상세표[사번키],INDEX(합계표[사번키],$W676),상세표[반영월],대상월키))</f>
        <v/>
      </c>
      <c r="K676">
        <f>IF($W676="","",IFERROR(INDEX(월별근무지표[적용 급여병원],MATCH(INDEX(합계표[사번키],$W676)&amp;"|"&amp;대상월키,월별근무지표[키],0))&amp;"",IF(COUNTIF(기관표[사번키],INDEX(합계표[사번키],$W676))+COUNTIF(월별근무지표[사번키],INDEX(합계표[사번키],$W676))&gt;0,IFERROR(INDEX(기관표[급여지급병원(기준월)],MATCH(INDEX(합계표[사번키],$W676)&amp;"|"&amp;대상월키,기관표[키],0))&amp;"","—"),"—")))</f>
        <v/>
      </c>
      <c r="L676">
        <f>IF($W676="","",IF(NOT(COUNTIF(기관표[사번키],INDEX(합계표[사번키],$W676))+COUNTIF(월별근무지표[사번키],INDEX(합계표[사번키],$W676))&gt;0),"기관명단에 없음(다른 병원으로 발송)",IF($K676="—","대상월 기관명단 없음(추가 필요)",IF($K676="서울병원","해당","비해당"))))</f>
        <v/>
      </c>
      <c r="M676">
        <f>IF($W676="","",SUMIFS(상세표[06~07시],상세표[사번키],INDEX(합계표[사번키],$W676),상세표[반영월],대상월키,상세표[반영 기관],"서울병원"))</f>
        <v/>
      </c>
      <c r="N676">
        <f>IF($W676="","",SUMIFS(상세표[07~18시],상세표[사번키],INDEX(합계표[사번키],$W676),상세표[반영월],대상월키,상세표[반영 기관],"서울병원"))</f>
        <v/>
      </c>
      <c r="O676">
        <f>IF($W676="","",SUMIFS(상세표[18~22시],상세표[사번키],INDEX(합계표[사번키],$W676),상세표[반영월],대상월키,상세표[반영 기관],"서울병원"))</f>
        <v/>
      </c>
      <c r="P676">
        <f>IF($W676="","",SUMIFS(상세표[22~06시],상세표[사번키],INDEX(합계표[사번키],$W676),상세표[반영월],대상월키,상세표[반영 기관],"서울병원"))</f>
        <v/>
      </c>
      <c r="Q676">
        <f>IF($W676="","",SUM($M676:$P676))</f>
        <v/>
      </c>
      <c r="R676">
        <f>IF($W676="","",COUNTIFS(상세표[사번키],INDEX(합계표[사번키],$W676),상세표[반영월],대상월키,상세표[야간당직],1,상세표[야간 구분],"평일"))</f>
        <v/>
      </c>
      <c r="S676" s="4">
        <f>IF($W676="","",COUNTIFS(상세표[사번키],INDEX(합계표[사번키],$W676),상세표[반영월],대상월키,상세표[야간당직],1,상세표[야간 구분],"휴일"))</f>
        <v/>
      </c>
      <c r="T676">
        <f>IF($W676="","",COUNTIFS(상세표[사번키],INDEX(합계표[사번키],$W676),상세표[반영월],대상월키,상세표[야간당직],1,상세표[야간 구분],"평일",상세표[반영 기관],"서울병원"))</f>
        <v/>
      </c>
      <c r="U676">
        <f>IF($W676="","",COUNTIFS(상세표[사번키],INDEX(합계표[사번키],$W676),상세표[반영월],대상월키,상세표[야간당직],1,상세표[야간 구분],"휴일",상세표[반영 기관],"서울병원"))</f>
        <v/>
      </c>
      <c r="V676">
        <f>IF($W676="","",IF(ISNUMBER(MATCH(INDEX(합계표[사번키],$W676)&amp;"|"&amp;대상월키,월별근무지표[키],0)),"직접 입력",IF($K676="—","—","기관명단")))</f>
        <v/>
      </c>
      <c r="W676">
        <f>IFERROR(MATCH(671,합계표[판정순번],0),"")</f>
        <v/>
      </c>
    </row>
    <row r="677">
      <c r="A677">
        <f>IF($W677="","",INDEX(합계표[사번],$W677)&amp;"")</f>
        <v/>
      </c>
      <c r="B677">
        <f>IF($W677="","",INDEX(합계표[성명],$W677)&amp;"")</f>
        <v/>
      </c>
      <c r="C677">
        <f>IF($W677="","",INDEX(합계표[부서],$W677)&amp;"")</f>
        <v/>
      </c>
      <c r="D677">
        <f>IF($W677="","",INDEX(합계표[직위(통합)],$W677)&amp;"")</f>
        <v/>
      </c>
      <c r="E677">
        <f>IF($W677="","",SUMIFS(합계표[시스템 합계],합계표[사번키],INDEX(합계표[사번키],$W677)))</f>
        <v/>
      </c>
      <c r="F677">
        <f>IF($W677="","",SUMIFS(상세표[기록 시간외],상세표[사번키],INDEX(합계표[사번키],$W677),상세표[기록월],대상월키))</f>
        <v/>
      </c>
      <c r="G677">
        <f>IF($W677="","",IF(ABS($E677-$F677)&lt;0.01,"일치","불일치(차이 "&amp;TEXT($F677-$E677,"0.00")&amp;")"))</f>
        <v/>
      </c>
      <c r="H677">
        <f>IF($W677="","",SUMIFS(상세표[기록 시간외],상세표[사번키],INDEX(합계표[사번키],$W677),상세표[기록월],대상월키,상세표[반영월],"&lt;&gt;"&amp;대상월키))</f>
        <v/>
      </c>
      <c r="I677">
        <f>IF($W677="","",SUMIFS(상세표[기록 시간외],상세표[사번키],INDEX(합계표[사번키],$W677),상세표[기록월],"&lt;&gt;"&amp;대상월키,상세표[반영월],대상월키))</f>
        <v/>
      </c>
      <c r="J677">
        <f>IF($W677="","",SUMIFS(상세표[기록 시간외],상세표[사번키],INDEX(합계표[사번키],$W677),상세표[반영월],대상월키))</f>
        <v/>
      </c>
      <c r="K677">
        <f>IF($W677="","",IFERROR(INDEX(월별근무지표[적용 급여병원],MATCH(INDEX(합계표[사번키],$W677)&amp;"|"&amp;대상월키,월별근무지표[키],0))&amp;"",IF(COUNTIF(기관표[사번키],INDEX(합계표[사번키],$W677))+COUNTIF(월별근무지표[사번키],INDEX(합계표[사번키],$W677))&gt;0,IFERROR(INDEX(기관표[급여지급병원(기준월)],MATCH(INDEX(합계표[사번키],$W677)&amp;"|"&amp;대상월키,기관표[키],0))&amp;"","—"),"—")))</f>
        <v/>
      </c>
      <c r="L677">
        <f>IF($W677="","",IF(NOT(COUNTIF(기관표[사번키],INDEX(합계표[사번키],$W677))+COUNTIF(월별근무지표[사번키],INDEX(합계표[사번키],$W677))&gt;0),"기관명단에 없음(다른 병원으로 발송)",IF($K677="—","대상월 기관명단 없음(추가 필요)",IF($K677="서울병원","해당","비해당"))))</f>
        <v/>
      </c>
      <c r="M677">
        <f>IF($W677="","",SUMIFS(상세표[06~07시],상세표[사번키],INDEX(합계표[사번키],$W677),상세표[반영월],대상월키,상세표[반영 기관],"서울병원"))</f>
        <v/>
      </c>
      <c r="N677">
        <f>IF($W677="","",SUMIFS(상세표[07~18시],상세표[사번키],INDEX(합계표[사번키],$W677),상세표[반영월],대상월키,상세표[반영 기관],"서울병원"))</f>
        <v/>
      </c>
      <c r="O677">
        <f>IF($W677="","",SUMIFS(상세표[18~22시],상세표[사번키],INDEX(합계표[사번키],$W677),상세표[반영월],대상월키,상세표[반영 기관],"서울병원"))</f>
        <v/>
      </c>
      <c r="P677">
        <f>IF($W677="","",SUMIFS(상세표[22~06시],상세표[사번키],INDEX(합계표[사번키],$W677),상세표[반영월],대상월키,상세표[반영 기관],"서울병원"))</f>
        <v/>
      </c>
      <c r="Q677">
        <f>IF($W677="","",SUM($M677:$P677))</f>
        <v/>
      </c>
      <c r="R677">
        <f>IF($W677="","",COUNTIFS(상세표[사번키],INDEX(합계표[사번키],$W677),상세표[반영월],대상월키,상세표[야간당직],1,상세표[야간 구분],"평일"))</f>
        <v/>
      </c>
      <c r="S677" s="4">
        <f>IF($W677="","",COUNTIFS(상세표[사번키],INDEX(합계표[사번키],$W677),상세표[반영월],대상월키,상세표[야간당직],1,상세표[야간 구분],"휴일"))</f>
        <v/>
      </c>
      <c r="T677">
        <f>IF($W677="","",COUNTIFS(상세표[사번키],INDEX(합계표[사번키],$W677),상세표[반영월],대상월키,상세표[야간당직],1,상세표[야간 구분],"평일",상세표[반영 기관],"서울병원"))</f>
        <v/>
      </c>
      <c r="U677">
        <f>IF($W677="","",COUNTIFS(상세표[사번키],INDEX(합계표[사번키],$W677),상세표[반영월],대상월키,상세표[야간당직],1,상세표[야간 구분],"휴일",상세표[반영 기관],"서울병원"))</f>
        <v/>
      </c>
      <c r="V677">
        <f>IF($W677="","",IF(ISNUMBER(MATCH(INDEX(합계표[사번키],$W677)&amp;"|"&amp;대상월키,월별근무지표[키],0)),"직접 입력",IF($K677="—","—","기관명단")))</f>
        <v/>
      </c>
      <c r="W677">
        <f>IFERROR(MATCH(672,합계표[판정순번],0),"")</f>
        <v/>
      </c>
    </row>
    <row r="678">
      <c r="A678">
        <f>IF($W678="","",INDEX(합계표[사번],$W678)&amp;"")</f>
        <v/>
      </c>
      <c r="B678">
        <f>IF($W678="","",INDEX(합계표[성명],$W678)&amp;"")</f>
        <v/>
      </c>
      <c r="C678">
        <f>IF($W678="","",INDEX(합계표[부서],$W678)&amp;"")</f>
        <v/>
      </c>
      <c r="D678">
        <f>IF($W678="","",INDEX(합계표[직위(통합)],$W678)&amp;"")</f>
        <v/>
      </c>
      <c r="E678">
        <f>IF($W678="","",SUMIFS(합계표[시스템 합계],합계표[사번키],INDEX(합계표[사번키],$W678)))</f>
        <v/>
      </c>
      <c r="F678">
        <f>IF($W678="","",SUMIFS(상세표[기록 시간외],상세표[사번키],INDEX(합계표[사번키],$W678),상세표[기록월],대상월키))</f>
        <v/>
      </c>
      <c r="G678">
        <f>IF($W678="","",IF(ABS($E678-$F678)&lt;0.01,"일치","불일치(차이 "&amp;TEXT($F678-$E678,"0.00")&amp;")"))</f>
        <v/>
      </c>
      <c r="H678">
        <f>IF($W678="","",SUMIFS(상세표[기록 시간외],상세표[사번키],INDEX(합계표[사번키],$W678),상세표[기록월],대상월키,상세표[반영월],"&lt;&gt;"&amp;대상월키))</f>
        <v/>
      </c>
      <c r="I678">
        <f>IF($W678="","",SUMIFS(상세표[기록 시간외],상세표[사번키],INDEX(합계표[사번키],$W678),상세표[기록월],"&lt;&gt;"&amp;대상월키,상세표[반영월],대상월키))</f>
        <v/>
      </c>
      <c r="J678">
        <f>IF($W678="","",SUMIFS(상세표[기록 시간외],상세표[사번키],INDEX(합계표[사번키],$W678),상세표[반영월],대상월키))</f>
        <v/>
      </c>
      <c r="K678">
        <f>IF($W678="","",IFERROR(INDEX(월별근무지표[적용 급여병원],MATCH(INDEX(합계표[사번키],$W678)&amp;"|"&amp;대상월키,월별근무지표[키],0))&amp;"",IF(COUNTIF(기관표[사번키],INDEX(합계표[사번키],$W678))+COUNTIF(월별근무지표[사번키],INDEX(합계표[사번키],$W678))&gt;0,IFERROR(INDEX(기관표[급여지급병원(기준월)],MATCH(INDEX(합계표[사번키],$W678)&amp;"|"&amp;대상월키,기관표[키],0))&amp;"","—"),"—")))</f>
        <v/>
      </c>
      <c r="L678">
        <f>IF($W678="","",IF(NOT(COUNTIF(기관표[사번키],INDEX(합계표[사번키],$W678))+COUNTIF(월별근무지표[사번키],INDEX(합계표[사번키],$W678))&gt;0),"기관명단에 없음(다른 병원으로 발송)",IF($K678="—","대상월 기관명단 없음(추가 필요)",IF($K678="서울병원","해당","비해당"))))</f>
        <v/>
      </c>
      <c r="M678">
        <f>IF($W678="","",SUMIFS(상세표[06~07시],상세표[사번키],INDEX(합계표[사번키],$W678),상세표[반영월],대상월키,상세표[반영 기관],"서울병원"))</f>
        <v/>
      </c>
      <c r="N678">
        <f>IF($W678="","",SUMIFS(상세표[07~18시],상세표[사번키],INDEX(합계표[사번키],$W678),상세표[반영월],대상월키,상세표[반영 기관],"서울병원"))</f>
        <v/>
      </c>
      <c r="O678">
        <f>IF($W678="","",SUMIFS(상세표[18~22시],상세표[사번키],INDEX(합계표[사번키],$W678),상세표[반영월],대상월키,상세표[반영 기관],"서울병원"))</f>
        <v/>
      </c>
      <c r="P678">
        <f>IF($W678="","",SUMIFS(상세표[22~06시],상세표[사번키],INDEX(합계표[사번키],$W678),상세표[반영월],대상월키,상세표[반영 기관],"서울병원"))</f>
        <v/>
      </c>
      <c r="Q678">
        <f>IF($W678="","",SUM($M678:$P678))</f>
        <v/>
      </c>
      <c r="R678">
        <f>IF($W678="","",COUNTIFS(상세표[사번키],INDEX(합계표[사번키],$W678),상세표[반영월],대상월키,상세표[야간당직],1,상세표[야간 구분],"평일"))</f>
        <v/>
      </c>
      <c r="S678" s="4">
        <f>IF($W678="","",COUNTIFS(상세표[사번키],INDEX(합계표[사번키],$W678),상세표[반영월],대상월키,상세표[야간당직],1,상세표[야간 구분],"휴일"))</f>
        <v/>
      </c>
      <c r="T678">
        <f>IF($W678="","",COUNTIFS(상세표[사번키],INDEX(합계표[사번키],$W678),상세표[반영월],대상월키,상세표[야간당직],1,상세표[야간 구분],"평일",상세표[반영 기관],"서울병원"))</f>
        <v/>
      </c>
      <c r="U678">
        <f>IF($W678="","",COUNTIFS(상세표[사번키],INDEX(합계표[사번키],$W678),상세표[반영월],대상월키,상세표[야간당직],1,상세표[야간 구분],"휴일",상세표[반영 기관],"서울병원"))</f>
        <v/>
      </c>
      <c r="V678">
        <f>IF($W678="","",IF(ISNUMBER(MATCH(INDEX(합계표[사번키],$W678)&amp;"|"&amp;대상월키,월별근무지표[키],0)),"직접 입력",IF($K678="—","—","기관명단")))</f>
        <v/>
      </c>
      <c r="W678">
        <f>IFERROR(MATCH(673,합계표[판정순번],0),"")</f>
        <v/>
      </c>
    </row>
    <row r="679">
      <c r="A679">
        <f>IF($W679="","",INDEX(합계표[사번],$W679)&amp;"")</f>
        <v/>
      </c>
      <c r="B679">
        <f>IF($W679="","",INDEX(합계표[성명],$W679)&amp;"")</f>
        <v/>
      </c>
      <c r="C679">
        <f>IF($W679="","",INDEX(합계표[부서],$W679)&amp;"")</f>
        <v/>
      </c>
      <c r="D679">
        <f>IF($W679="","",INDEX(합계표[직위(통합)],$W679)&amp;"")</f>
        <v/>
      </c>
      <c r="E679">
        <f>IF($W679="","",SUMIFS(합계표[시스템 합계],합계표[사번키],INDEX(합계표[사번키],$W679)))</f>
        <v/>
      </c>
      <c r="F679">
        <f>IF($W679="","",SUMIFS(상세표[기록 시간외],상세표[사번키],INDEX(합계표[사번키],$W679),상세표[기록월],대상월키))</f>
        <v/>
      </c>
      <c r="G679">
        <f>IF($W679="","",IF(ABS($E679-$F679)&lt;0.01,"일치","불일치(차이 "&amp;TEXT($F679-$E679,"0.00")&amp;")"))</f>
        <v/>
      </c>
      <c r="H679">
        <f>IF($W679="","",SUMIFS(상세표[기록 시간외],상세표[사번키],INDEX(합계표[사번키],$W679),상세표[기록월],대상월키,상세표[반영월],"&lt;&gt;"&amp;대상월키))</f>
        <v/>
      </c>
      <c r="I679">
        <f>IF($W679="","",SUMIFS(상세표[기록 시간외],상세표[사번키],INDEX(합계표[사번키],$W679),상세표[기록월],"&lt;&gt;"&amp;대상월키,상세표[반영월],대상월키))</f>
        <v/>
      </c>
      <c r="J679">
        <f>IF($W679="","",SUMIFS(상세표[기록 시간외],상세표[사번키],INDEX(합계표[사번키],$W679),상세표[반영월],대상월키))</f>
        <v/>
      </c>
      <c r="K679">
        <f>IF($W679="","",IFERROR(INDEX(월별근무지표[적용 급여병원],MATCH(INDEX(합계표[사번키],$W679)&amp;"|"&amp;대상월키,월별근무지표[키],0))&amp;"",IF(COUNTIF(기관표[사번키],INDEX(합계표[사번키],$W679))+COUNTIF(월별근무지표[사번키],INDEX(합계표[사번키],$W679))&gt;0,IFERROR(INDEX(기관표[급여지급병원(기준월)],MATCH(INDEX(합계표[사번키],$W679)&amp;"|"&amp;대상월키,기관표[키],0))&amp;"","—"),"—")))</f>
        <v/>
      </c>
      <c r="L679">
        <f>IF($W679="","",IF(NOT(COUNTIF(기관표[사번키],INDEX(합계표[사번키],$W679))+COUNTIF(월별근무지표[사번키],INDEX(합계표[사번키],$W679))&gt;0),"기관명단에 없음(다른 병원으로 발송)",IF($K679="—","대상월 기관명단 없음(추가 필요)",IF($K679="서울병원","해당","비해당"))))</f>
        <v/>
      </c>
      <c r="M679">
        <f>IF($W679="","",SUMIFS(상세표[06~07시],상세표[사번키],INDEX(합계표[사번키],$W679),상세표[반영월],대상월키,상세표[반영 기관],"서울병원"))</f>
        <v/>
      </c>
      <c r="N679">
        <f>IF($W679="","",SUMIFS(상세표[07~18시],상세표[사번키],INDEX(합계표[사번키],$W679),상세표[반영월],대상월키,상세표[반영 기관],"서울병원"))</f>
        <v/>
      </c>
      <c r="O679">
        <f>IF($W679="","",SUMIFS(상세표[18~22시],상세표[사번키],INDEX(합계표[사번키],$W679),상세표[반영월],대상월키,상세표[반영 기관],"서울병원"))</f>
        <v/>
      </c>
      <c r="P679">
        <f>IF($W679="","",SUMIFS(상세표[22~06시],상세표[사번키],INDEX(합계표[사번키],$W679),상세표[반영월],대상월키,상세표[반영 기관],"서울병원"))</f>
        <v/>
      </c>
      <c r="Q679">
        <f>IF($W679="","",SUM($M679:$P679))</f>
        <v/>
      </c>
      <c r="R679">
        <f>IF($W679="","",COUNTIFS(상세표[사번키],INDEX(합계표[사번키],$W679),상세표[반영월],대상월키,상세표[야간당직],1,상세표[야간 구분],"평일"))</f>
        <v/>
      </c>
      <c r="S679" s="4">
        <f>IF($W679="","",COUNTIFS(상세표[사번키],INDEX(합계표[사번키],$W679),상세표[반영월],대상월키,상세표[야간당직],1,상세표[야간 구분],"휴일"))</f>
        <v/>
      </c>
      <c r="T679">
        <f>IF($W679="","",COUNTIFS(상세표[사번키],INDEX(합계표[사번키],$W679),상세표[반영월],대상월키,상세표[야간당직],1,상세표[야간 구분],"평일",상세표[반영 기관],"서울병원"))</f>
        <v/>
      </c>
      <c r="U679">
        <f>IF($W679="","",COUNTIFS(상세표[사번키],INDEX(합계표[사번키],$W679),상세표[반영월],대상월키,상세표[야간당직],1,상세표[야간 구분],"휴일",상세표[반영 기관],"서울병원"))</f>
        <v/>
      </c>
      <c r="V679">
        <f>IF($W679="","",IF(ISNUMBER(MATCH(INDEX(합계표[사번키],$W679)&amp;"|"&amp;대상월키,월별근무지표[키],0)),"직접 입력",IF($K679="—","—","기관명단")))</f>
        <v/>
      </c>
      <c r="W679">
        <f>IFERROR(MATCH(674,합계표[판정순번],0),"")</f>
        <v/>
      </c>
    </row>
    <row r="680">
      <c r="A680">
        <f>IF($W680="","",INDEX(합계표[사번],$W680)&amp;"")</f>
        <v/>
      </c>
      <c r="B680">
        <f>IF($W680="","",INDEX(합계표[성명],$W680)&amp;"")</f>
        <v/>
      </c>
      <c r="C680">
        <f>IF($W680="","",INDEX(합계표[부서],$W680)&amp;"")</f>
        <v/>
      </c>
      <c r="D680">
        <f>IF($W680="","",INDEX(합계표[직위(통합)],$W680)&amp;"")</f>
        <v/>
      </c>
      <c r="E680">
        <f>IF($W680="","",SUMIFS(합계표[시스템 합계],합계표[사번키],INDEX(합계표[사번키],$W680)))</f>
        <v/>
      </c>
      <c r="F680">
        <f>IF($W680="","",SUMIFS(상세표[기록 시간외],상세표[사번키],INDEX(합계표[사번키],$W680),상세표[기록월],대상월키))</f>
        <v/>
      </c>
      <c r="G680">
        <f>IF($W680="","",IF(ABS($E680-$F680)&lt;0.01,"일치","불일치(차이 "&amp;TEXT($F680-$E680,"0.00")&amp;")"))</f>
        <v/>
      </c>
      <c r="H680">
        <f>IF($W680="","",SUMIFS(상세표[기록 시간외],상세표[사번키],INDEX(합계표[사번키],$W680),상세표[기록월],대상월키,상세표[반영월],"&lt;&gt;"&amp;대상월키))</f>
        <v/>
      </c>
      <c r="I680">
        <f>IF($W680="","",SUMIFS(상세표[기록 시간외],상세표[사번키],INDEX(합계표[사번키],$W680),상세표[기록월],"&lt;&gt;"&amp;대상월키,상세표[반영월],대상월키))</f>
        <v/>
      </c>
      <c r="J680">
        <f>IF($W680="","",SUMIFS(상세표[기록 시간외],상세표[사번키],INDEX(합계표[사번키],$W680),상세표[반영월],대상월키))</f>
        <v/>
      </c>
      <c r="K680">
        <f>IF($W680="","",IFERROR(INDEX(월별근무지표[적용 급여병원],MATCH(INDEX(합계표[사번키],$W680)&amp;"|"&amp;대상월키,월별근무지표[키],0))&amp;"",IF(COUNTIF(기관표[사번키],INDEX(합계표[사번키],$W680))+COUNTIF(월별근무지표[사번키],INDEX(합계표[사번키],$W680))&gt;0,IFERROR(INDEX(기관표[급여지급병원(기준월)],MATCH(INDEX(합계표[사번키],$W680)&amp;"|"&amp;대상월키,기관표[키],0))&amp;"","—"),"—")))</f>
        <v/>
      </c>
      <c r="L680">
        <f>IF($W680="","",IF(NOT(COUNTIF(기관표[사번키],INDEX(합계표[사번키],$W680))+COUNTIF(월별근무지표[사번키],INDEX(합계표[사번키],$W680))&gt;0),"기관명단에 없음(다른 병원으로 발송)",IF($K680="—","대상월 기관명단 없음(추가 필요)",IF($K680="서울병원","해당","비해당"))))</f>
        <v/>
      </c>
      <c r="M680">
        <f>IF($W680="","",SUMIFS(상세표[06~07시],상세표[사번키],INDEX(합계표[사번키],$W680),상세표[반영월],대상월키,상세표[반영 기관],"서울병원"))</f>
        <v/>
      </c>
      <c r="N680">
        <f>IF($W680="","",SUMIFS(상세표[07~18시],상세표[사번키],INDEX(합계표[사번키],$W680),상세표[반영월],대상월키,상세표[반영 기관],"서울병원"))</f>
        <v/>
      </c>
      <c r="O680">
        <f>IF($W680="","",SUMIFS(상세표[18~22시],상세표[사번키],INDEX(합계표[사번키],$W680),상세표[반영월],대상월키,상세표[반영 기관],"서울병원"))</f>
        <v/>
      </c>
      <c r="P680">
        <f>IF($W680="","",SUMIFS(상세표[22~06시],상세표[사번키],INDEX(합계표[사번키],$W680),상세표[반영월],대상월키,상세표[반영 기관],"서울병원"))</f>
        <v/>
      </c>
      <c r="Q680">
        <f>IF($W680="","",SUM($M680:$P680))</f>
        <v/>
      </c>
      <c r="R680">
        <f>IF($W680="","",COUNTIFS(상세표[사번키],INDEX(합계표[사번키],$W680),상세표[반영월],대상월키,상세표[야간당직],1,상세표[야간 구분],"평일"))</f>
        <v/>
      </c>
      <c r="S680" s="4">
        <f>IF($W680="","",COUNTIFS(상세표[사번키],INDEX(합계표[사번키],$W680),상세표[반영월],대상월키,상세표[야간당직],1,상세표[야간 구분],"휴일"))</f>
        <v/>
      </c>
      <c r="T680">
        <f>IF($W680="","",COUNTIFS(상세표[사번키],INDEX(합계표[사번키],$W680),상세표[반영월],대상월키,상세표[야간당직],1,상세표[야간 구분],"평일",상세표[반영 기관],"서울병원"))</f>
        <v/>
      </c>
      <c r="U680">
        <f>IF($W680="","",COUNTIFS(상세표[사번키],INDEX(합계표[사번키],$W680),상세표[반영월],대상월키,상세표[야간당직],1,상세표[야간 구분],"휴일",상세표[반영 기관],"서울병원"))</f>
        <v/>
      </c>
      <c r="V680">
        <f>IF($W680="","",IF(ISNUMBER(MATCH(INDEX(합계표[사번키],$W680)&amp;"|"&amp;대상월키,월별근무지표[키],0)),"직접 입력",IF($K680="—","—","기관명단")))</f>
        <v/>
      </c>
      <c r="W680">
        <f>IFERROR(MATCH(675,합계표[판정순번],0),"")</f>
        <v/>
      </c>
    </row>
    <row r="681">
      <c r="A681">
        <f>IF($W681="","",INDEX(합계표[사번],$W681)&amp;"")</f>
        <v/>
      </c>
      <c r="B681">
        <f>IF($W681="","",INDEX(합계표[성명],$W681)&amp;"")</f>
        <v/>
      </c>
      <c r="C681">
        <f>IF($W681="","",INDEX(합계표[부서],$W681)&amp;"")</f>
        <v/>
      </c>
      <c r="D681">
        <f>IF($W681="","",INDEX(합계표[직위(통합)],$W681)&amp;"")</f>
        <v/>
      </c>
      <c r="E681">
        <f>IF($W681="","",SUMIFS(합계표[시스템 합계],합계표[사번키],INDEX(합계표[사번키],$W681)))</f>
        <v/>
      </c>
      <c r="F681">
        <f>IF($W681="","",SUMIFS(상세표[기록 시간외],상세표[사번키],INDEX(합계표[사번키],$W681),상세표[기록월],대상월키))</f>
        <v/>
      </c>
      <c r="G681">
        <f>IF($W681="","",IF(ABS($E681-$F681)&lt;0.01,"일치","불일치(차이 "&amp;TEXT($F681-$E681,"0.00")&amp;")"))</f>
        <v/>
      </c>
      <c r="H681">
        <f>IF($W681="","",SUMIFS(상세표[기록 시간외],상세표[사번키],INDEX(합계표[사번키],$W681),상세표[기록월],대상월키,상세표[반영월],"&lt;&gt;"&amp;대상월키))</f>
        <v/>
      </c>
      <c r="I681">
        <f>IF($W681="","",SUMIFS(상세표[기록 시간외],상세표[사번키],INDEX(합계표[사번키],$W681),상세표[기록월],"&lt;&gt;"&amp;대상월키,상세표[반영월],대상월키))</f>
        <v/>
      </c>
      <c r="J681">
        <f>IF($W681="","",SUMIFS(상세표[기록 시간외],상세표[사번키],INDEX(합계표[사번키],$W681),상세표[반영월],대상월키))</f>
        <v/>
      </c>
      <c r="K681">
        <f>IF($W681="","",IFERROR(INDEX(월별근무지표[적용 급여병원],MATCH(INDEX(합계표[사번키],$W681)&amp;"|"&amp;대상월키,월별근무지표[키],0))&amp;"",IF(COUNTIF(기관표[사번키],INDEX(합계표[사번키],$W681))+COUNTIF(월별근무지표[사번키],INDEX(합계표[사번키],$W681))&gt;0,IFERROR(INDEX(기관표[급여지급병원(기준월)],MATCH(INDEX(합계표[사번키],$W681)&amp;"|"&amp;대상월키,기관표[키],0))&amp;"","—"),"—")))</f>
        <v/>
      </c>
      <c r="L681">
        <f>IF($W681="","",IF(NOT(COUNTIF(기관표[사번키],INDEX(합계표[사번키],$W681))+COUNTIF(월별근무지표[사번키],INDEX(합계표[사번키],$W681))&gt;0),"기관명단에 없음(다른 병원으로 발송)",IF($K681="—","대상월 기관명단 없음(추가 필요)",IF($K681="서울병원","해당","비해당"))))</f>
        <v/>
      </c>
      <c r="M681">
        <f>IF($W681="","",SUMIFS(상세표[06~07시],상세표[사번키],INDEX(합계표[사번키],$W681),상세표[반영월],대상월키,상세표[반영 기관],"서울병원"))</f>
        <v/>
      </c>
      <c r="N681">
        <f>IF($W681="","",SUMIFS(상세표[07~18시],상세표[사번키],INDEX(합계표[사번키],$W681),상세표[반영월],대상월키,상세표[반영 기관],"서울병원"))</f>
        <v/>
      </c>
      <c r="O681">
        <f>IF($W681="","",SUMIFS(상세표[18~22시],상세표[사번키],INDEX(합계표[사번키],$W681),상세표[반영월],대상월키,상세표[반영 기관],"서울병원"))</f>
        <v/>
      </c>
      <c r="P681">
        <f>IF($W681="","",SUMIFS(상세표[22~06시],상세표[사번키],INDEX(합계표[사번키],$W681),상세표[반영월],대상월키,상세표[반영 기관],"서울병원"))</f>
        <v/>
      </c>
      <c r="Q681">
        <f>IF($W681="","",SUM($M681:$P681))</f>
        <v/>
      </c>
      <c r="R681">
        <f>IF($W681="","",COUNTIFS(상세표[사번키],INDEX(합계표[사번키],$W681),상세표[반영월],대상월키,상세표[야간당직],1,상세표[야간 구분],"평일"))</f>
        <v/>
      </c>
      <c r="S681" s="4">
        <f>IF($W681="","",COUNTIFS(상세표[사번키],INDEX(합계표[사번키],$W681),상세표[반영월],대상월키,상세표[야간당직],1,상세표[야간 구분],"휴일"))</f>
        <v/>
      </c>
      <c r="T681">
        <f>IF($W681="","",COUNTIFS(상세표[사번키],INDEX(합계표[사번키],$W681),상세표[반영월],대상월키,상세표[야간당직],1,상세표[야간 구분],"평일",상세표[반영 기관],"서울병원"))</f>
        <v/>
      </c>
      <c r="U681">
        <f>IF($W681="","",COUNTIFS(상세표[사번키],INDEX(합계표[사번키],$W681),상세표[반영월],대상월키,상세표[야간당직],1,상세표[야간 구분],"휴일",상세표[반영 기관],"서울병원"))</f>
        <v/>
      </c>
      <c r="V681">
        <f>IF($W681="","",IF(ISNUMBER(MATCH(INDEX(합계표[사번키],$W681)&amp;"|"&amp;대상월키,월별근무지표[키],0)),"직접 입력",IF($K681="—","—","기관명단")))</f>
        <v/>
      </c>
      <c r="W681">
        <f>IFERROR(MATCH(676,합계표[판정순번],0),"")</f>
        <v/>
      </c>
    </row>
    <row r="682">
      <c r="A682">
        <f>IF($W682="","",INDEX(합계표[사번],$W682)&amp;"")</f>
        <v/>
      </c>
      <c r="B682">
        <f>IF($W682="","",INDEX(합계표[성명],$W682)&amp;"")</f>
        <v/>
      </c>
      <c r="C682">
        <f>IF($W682="","",INDEX(합계표[부서],$W682)&amp;"")</f>
        <v/>
      </c>
      <c r="D682">
        <f>IF($W682="","",INDEX(합계표[직위(통합)],$W682)&amp;"")</f>
        <v/>
      </c>
      <c r="E682">
        <f>IF($W682="","",SUMIFS(합계표[시스템 합계],합계표[사번키],INDEX(합계표[사번키],$W682)))</f>
        <v/>
      </c>
      <c r="F682">
        <f>IF($W682="","",SUMIFS(상세표[기록 시간외],상세표[사번키],INDEX(합계표[사번키],$W682),상세표[기록월],대상월키))</f>
        <v/>
      </c>
      <c r="G682">
        <f>IF($W682="","",IF(ABS($E682-$F682)&lt;0.01,"일치","불일치(차이 "&amp;TEXT($F682-$E682,"0.00")&amp;")"))</f>
        <v/>
      </c>
      <c r="H682">
        <f>IF($W682="","",SUMIFS(상세표[기록 시간외],상세표[사번키],INDEX(합계표[사번키],$W682),상세표[기록월],대상월키,상세표[반영월],"&lt;&gt;"&amp;대상월키))</f>
        <v/>
      </c>
      <c r="I682">
        <f>IF($W682="","",SUMIFS(상세표[기록 시간외],상세표[사번키],INDEX(합계표[사번키],$W682),상세표[기록월],"&lt;&gt;"&amp;대상월키,상세표[반영월],대상월키))</f>
        <v/>
      </c>
      <c r="J682">
        <f>IF($W682="","",SUMIFS(상세표[기록 시간외],상세표[사번키],INDEX(합계표[사번키],$W682),상세표[반영월],대상월키))</f>
        <v/>
      </c>
      <c r="K682">
        <f>IF($W682="","",IFERROR(INDEX(월별근무지표[적용 급여병원],MATCH(INDEX(합계표[사번키],$W682)&amp;"|"&amp;대상월키,월별근무지표[키],0))&amp;"",IF(COUNTIF(기관표[사번키],INDEX(합계표[사번키],$W682))+COUNTIF(월별근무지표[사번키],INDEX(합계표[사번키],$W682))&gt;0,IFERROR(INDEX(기관표[급여지급병원(기준월)],MATCH(INDEX(합계표[사번키],$W682)&amp;"|"&amp;대상월키,기관표[키],0))&amp;"","—"),"—")))</f>
        <v/>
      </c>
      <c r="L682">
        <f>IF($W682="","",IF(NOT(COUNTIF(기관표[사번키],INDEX(합계표[사번키],$W682))+COUNTIF(월별근무지표[사번키],INDEX(합계표[사번키],$W682))&gt;0),"기관명단에 없음(다른 병원으로 발송)",IF($K682="—","대상월 기관명단 없음(추가 필요)",IF($K682="서울병원","해당","비해당"))))</f>
        <v/>
      </c>
      <c r="M682">
        <f>IF($W682="","",SUMIFS(상세표[06~07시],상세표[사번키],INDEX(합계표[사번키],$W682),상세표[반영월],대상월키,상세표[반영 기관],"서울병원"))</f>
        <v/>
      </c>
      <c r="N682">
        <f>IF($W682="","",SUMIFS(상세표[07~18시],상세표[사번키],INDEX(합계표[사번키],$W682),상세표[반영월],대상월키,상세표[반영 기관],"서울병원"))</f>
        <v/>
      </c>
      <c r="O682">
        <f>IF($W682="","",SUMIFS(상세표[18~22시],상세표[사번키],INDEX(합계표[사번키],$W682),상세표[반영월],대상월키,상세표[반영 기관],"서울병원"))</f>
        <v/>
      </c>
      <c r="P682">
        <f>IF($W682="","",SUMIFS(상세표[22~06시],상세표[사번키],INDEX(합계표[사번키],$W682),상세표[반영월],대상월키,상세표[반영 기관],"서울병원"))</f>
        <v/>
      </c>
      <c r="Q682">
        <f>IF($W682="","",SUM($M682:$P682))</f>
        <v/>
      </c>
      <c r="R682">
        <f>IF($W682="","",COUNTIFS(상세표[사번키],INDEX(합계표[사번키],$W682),상세표[반영월],대상월키,상세표[야간당직],1,상세표[야간 구분],"평일"))</f>
        <v/>
      </c>
      <c r="S682" s="4">
        <f>IF($W682="","",COUNTIFS(상세표[사번키],INDEX(합계표[사번키],$W682),상세표[반영월],대상월키,상세표[야간당직],1,상세표[야간 구분],"휴일"))</f>
        <v/>
      </c>
      <c r="T682">
        <f>IF($W682="","",COUNTIFS(상세표[사번키],INDEX(합계표[사번키],$W682),상세표[반영월],대상월키,상세표[야간당직],1,상세표[야간 구분],"평일",상세표[반영 기관],"서울병원"))</f>
        <v/>
      </c>
      <c r="U682">
        <f>IF($W682="","",COUNTIFS(상세표[사번키],INDEX(합계표[사번키],$W682),상세표[반영월],대상월키,상세표[야간당직],1,상세표[야간 구분],"휴일",상세표[반영 기관],"서울병원"))</f>
        <v/>
      </c>
      <c r="V682">
        <f>IF($W682="","",IF(ISNUMBER(MATCH(INDEX(합계표[사번키],$W682)&amp;"|"&amp;대상월키,월별근무지표[키],0)),"직접 입력",IF($K682="—","—","기관명단")))</f>
        <v/>
      </c>
      <c r="W682">
        <f>IFERROR(MATCH(677,합계표[판정순번],0),"")</f>
        <v/>
      </c>
    </row>
    <row r="683">
      <c r="A683">
        <f>IF($W683="","",INDEX(합계표[사번],$W683)&amp;"")</f>
        <v/>
      </c>
      <c r="B683">
        <f>IF($W683="","",INDEX(합계표[성명],$W683)&amp;"")</f>
        <v/>
      </c>
      <c r="C683">
        <f>IF($W683="","",INDEX(합계표[부서],$W683)&amp;"")</f>
        <v/>
      </c>
      <c r="D683">
        <f>IF($W683="","",INDEX(합계표[직위(통합)],$W683)&amp;"")</f>
        <v/>
      </c>
      <c r="E683">
        <f>IF($W683="","",SUMIFS(합계표[시스템 합계],합계표[사번키],INDEX(합계표[사번키],$W683)))</f>
        <v/>
      </c>
      <c r="F683">
        <f>IF($W683="","",SUMIFS(상세표[기록 시간외],상세표[사번키],INDEX(합계표[사번키],$W683),상세표[기록월],대상월키))</f>
        <v/>
      </c>
      <c r="G683">
        <f>IF($W683="","",IF(ABS($E683-$F683)&lt;0.01,"일치","불일치(차이 "&amp;TEXT($F683-$E683,"0.00")&amp;")"))</f>
        <v/>
      </c>
      <c r="H683">
        <f>IF($W683="","",SUMIFS(상세표[기록 시간외],상세표[사번키],INDEX(합계표[사번키],$W683),상세표[기록월],대상월키,상세표[반영월],"&lt;&gt;"&amp;대상월키))</f>
        <v/>
      </c>
      <c r="I683">
        <f>IF($W683="","",SUMIFS(상세표[기록 시간외],상세표[사번키],INDEX(합계표[사번키],$W683),상세표[기록월],"&lt;&gt;"&amp;대상월키,상세표[반영월],대상월키))</f>
        <v/>
      </c>
      <c r="J683">
        <f>IF($W683="","",SUMIFS(상세표[기록 시간외],상세표[사번키],INDEX(합계표[사번키],$W683),상세표[반영월],대상월키))</f>
        <v/>
      </c>
      <c r="K683">
        <f>IF($W683="","",IFERROR(INDEX(월별근무지표[적용 급여병원],MATCH(INDEX(합계표[사번키],$W683)&amp;"|"&amp;대상월키,월별근무지표[키],0))&amp;"",IF(COUNTIF(기관표[사번키],INDEX(합계표[사번키],$W683))+COUNTIF(월별근무지표[사번키],INDEX(합계표[사번키],$W683))&gt;0,IFERROR(INDEX(기관표[급여지급병원(기준월)],MATCH(INDEX(합계표[사번키],$W683)&amp;"|"&amp;대상월키,기관표[키],0))&amp;"","—"),"—")))</f>
        <v/>
      </c>
      <c r="L683">
        <f>IF($W683="","",IF(NOT(COUNTIF(기관표[사번키],INDEX(합계표[사번키],$W683))+COUNTIF(월별근무지표[사번키],INDEX(합계표[사번키],$W683))&gt;0),"기관명단에 없음(다른 병원으로 발송)",IF($K683="—","대상월 기관명단 없음(추가 필요)",IF($K683="서울병원","해당","비해당"))))</f>
        <v/>
      </c>
      <c r="M683">
        <f>IF($W683="","",SUMIFS(상세표[06~07시],상세표[사번키],INDEX(합계표[사번키],$W683),상세표[반영월],대상월키,상세표[반영 기관],"서울병원"))</f>
        <v/>
      </c>
      <c r="N683">
        <f>IF($W683="","",SUMIFS(상세표[07~18시],상세표[사번키],INDEX(합계표[사번키],$W683),상세표[반영월],대상월키,상세표[반영 기관],"서울병원"))</f>
        <v/>
      </c>
      <c r="O683">
        <f>IF($W683="","",SUMIFS(상세표[18~22시],상세표[사번키],INDEX(합계표[사번키],$W683),상세표[반영월],대상월키,상세표[반영 기관],"서울병원"))</f>
        <v/>
      </c>
      <c r="P683">
        <f>IF($W683="","",SUMIFS(상세표[22~06시],상세표[사번키],INDEX(합계표[사번키],$W683),상세표[반영월],대상월키,상세표[반영 기관],"서울병원"))</f>
        <v/>
      </c>
      <c r="Q683">
        <f>IF($W683="","",SUM($M683:$P683))</f>
        <v/>
      </c>
      <c r="R683">
        <f>IF($W683="","",COUNTIFS(상세표[사번키],INDEX(합계표[사번키],$W683),상세표[반영월],대상월키,상세표[야간당직],1,상세표[야간 구분],"평일"))</f>
        <v/>
      </c>
      <c r="S683" s="4">
        <f>IF($W683="","",COUNTIFS(상세표[사번키],INDEX(합계표[사번키],$W683),상세표[반영월],대상월키,상세표[야간당직],1,상세표[야간 구분],"휴일"))</f>
        <v/>
      </c>
      <c r="T683">
        <f>IF($W683="","",COUNTIFS(상세표[사번키],INDEX(합계표[사번키],$W683),상세표[반영월],대상월키,상세표[야간당직],1,상세표[야간 구분],"평일",상세표[반영 기관],"서울병원"))</f>
        <v/>
      </c>
      <c r="U683">
        <f>IF($W683="","",COUNTIFS(상세표[사번키],INDEX(합계표[사번키],$W683),상세표[반영월],대상월키,상세표[야간당직],1,상세표[야간 구분],"휴일",상세표[반영 기관],"서울병원"))</f>
        <v/>
      </c>
      <c r="V683">
        <f>IF($W683="","",IF(ISNUMBER(MATCH(INDEX(합계표[사번키],$W683)&amp;"|"&amp;대상월키,월별근무지표[키],0)),"직접 입력",IF($K683="—","—","기관명단")))</f>
        <v/>
      </c>
      <c r="W683">
        <f>IFERROR(MATCH(678,합계표[판정순번],0),"")</f>
        <v/>
      </c>
    </row>
    <row r="684">
      <c r="A684">
        <f>IF($W684="","",INDEX(합계표[사번],$W684)&amp;"")</f>
        <v/>
      </c>
      <c r="B684">
        <f>IF($W684="","",INDEX(합계표[성명],$W684)&amp;"")</f>
        <v/>
      </c>
      <c r="C684">
        <f>IF($W684="","",INDEX(합계표[부서],$W684)&amp;"")</f>
        <v/>
      </c>
      <c r="D684">
        <f>IF($W684="","",INDEX(합계표[직위(통합)],$W684)&amp;"")</f>
        <v/>
      </c>
      <c r="E684">
        <f>IF($W684="","",SUMIFS(합계표[시스템 합계],합계표[사번키],INDEX(합계표[사번키],$W684)))</f>
        <v/>
      </c>
      <c r="F684">
        <f>IF($W684="","",SUMIFS(상세표[기록 시간외],상세표[사번키],INDEX(합계표[사번키],$W684),상세표[기록월],대상월키))</f>
        <v/>
      </c>
      <c r="G684">
        <f>IF($W684="","",IF(ABS($E684-$F684)&lt;0.01,"일치","불일치(차이 "&amp;TEXT($F684-$E684,"0.00")&amp;")"))</f>
        <v/>
      </c>
      <c r="H684">
        <f>IF($W684="","",SUMIFS(상세표[기록 시간외],상세표[사번키],INDEX(합계표[사번키],$W684),상세표[기록월],대상월키,상세표[반영월],"&lt;&gt;"&amp;대상월키))</f>
        <v/>
      </c>
      <c r="I684">
        <f>IF($W684="","",SUMIFS(상세표[기록 시간외],상세표[사번키],INDEX(합계표[사번키],$W684),상세표[기록월],"&lt;&gt;"&amp;대상월키,상세표[반영월],대상월키))</f>
        <v/>
      </c>
      <c r="J684">
        <f>IF($W684="","",SUMIFS(상세표[기록 시간외],상세표[사번키],INDEX(합계표[사번키],$W684),상세표[반영월],대상월키))</f>
        <v/>
      </c>
      <c r="K684">
        <f>IF($W684="","",IFERROR(INDEX(월별근무지표[적용 급여병원],MATCH(INDEX(합계표[사번키],$W684)&amp;"|"&amp;대상월키,월별근무지표[키],0))&amp;"",IF(COUNTIF(기관표[사번키],INDEX(합계표[사번키],$W684))+COUNTIF(월별근무지표[사번키],INDEX(합계표[사번키],$W684))&gt;0,IFERROR(INDEX(기관표[급여지급병원(기준월)],MATCH(INDEX(합계표[사번키],$W684)&amp;"|"&amp;대상월키,기관표[키],0))&amp;"","—"),"—")))</f>
        <v/>
      </c>
      <c r="L684">
        <f>IF($W684="","",IF(NOT(COUNTIF(기관표[사번키],INDEX(합계표[사번키],$W684))+COUNTIF(월별근무지표[사번키],INDEX(합계표[사번키],$W684))&gt;0),"기관명단에 없음(다른 병원으로 발송)",IF($K684="—","대상월 기관명단 없음(추가 필요)",IF($K684="서울병원","해당","비해당"))))</f>
        <v/>
      </c>
      <c r="M684">
        <f>IF($W684="","",SUMIFS(상세표[06~07시],상세표[사번키],INDEX(합계표[사번키],$W684),상세표[반영월],대상월키,상세표[반영 기관],"서울병원"))</f>
        <v/>
      </c>
      <c r="N684">
        <f>IF($W684="","",SUMIFS(상세표[07~18시],상세표[사번키],INDEX(합계표[사번키],$W684),상세표[반영월],대상월키,상세표[반영 기관],"서울병원"))</f>
        <v/>
      </c>
      <c r="O684">
        <f>IF($W684="","",SUMIFS(상세표[18~22시],상세표[사번키],INDEX(합계표[사번키],$W684),상세표[반영월],대상월키,상세표[반영 기관],"서울병원"))</f>
        <v/>
      </c>
      <c r="P684">
        <f>IF($W684="","",SUMIFS(상세표[22~06시],상세표[사번키],INDEX(합계표[사번키],$W684),상세표[반영월],대상월키,상세표[반영 기관],"서울병원"))</f>
        <v/>
      </c>
      <c r="Q684">
        <f>IF($W684="","",SUM($M684:$P684))</f>
        <v/>
      </c>
      <c r="R684">
        <f>IF($W684="","",COUNTIFS(상세표[사번키],INDEX(합계표[사번키],$W684),상세표[반영월],대상월키,상세표[야간당직],1,상세표[야간 구분],"평일"))</f>
        <v/>
      </c>
      <c r="S684" s="4">
        <f>IF($W684="","",COUNTIFS(상세표[사번키],INDEX(합계표[사번키],$W684),상세표[반영월],대상월키,상세표[야간당직],1,상세표[야간 구분],"휴일"))</f>
        <v/>
      </c>
      <c r="T684">
        <f>IF($W684="","",COUNTIFS(상세표[사번키],INDEX(합계표[사번키],$W684),상세표[반영월],대상월키,상세표[야간당직],1,상세표[야간 구분],"평일",상세표[반영 기관],"서울병원"))</f>
        <v/>
      </c>
      <c r="U684">
        <f>IF($W684="","",COUNTIFS(상세표[사번키],INDEX(합계표[사번키],$W684),상세표[반영월],대상월키,상세표[야간당직],1,상세표[야간 구분],"휴일",상세표[반영 기관],"서울병원"))</f>
        <v/>
      </c>
      <c r="V684">
        <f>IF($W684="","",IF(ISNUMBER(MATCH(INDEX(합계표[사번키],$W684)&amp;"|"&amp;대상월키,월별근무지표[키],0)),"직접 입력",IF($K684="—","—","기관명단")))</f>
        <v/>
      </c>
      <c r="W684">
        <f>IFERROR(MATCH(679,합계표[판정순번],0),"")</f>
        <v/>
      </c>
    </row>
    <row r="685">
      <c r="A685">
        <f>IF($W685="","",INDEX(합계표[사번],$W685)&amp;"")</f>
        <v/>
      </c>
      <c r="B685">
        <f>IF($W685="","",INDEX(합계표[성명],$W685)&amp;"")</f>
        <v/>
      </c>
      <c r="C685">
        <f>IF($W685="","",INDEX(합계표[부서],$W685)&amp;"")</f>
        <v/>
      </c>
      <c r="D685">
        <f>IF($W685="","",INDEX(합계표[직위(통합)],$W685)&amp;"")</f>
        <v/>
      </c>
      <c r="E685">
        <f>IF($W685="","",SUMIFS(합계표[시스템 합계],합계표[사번키],INDEX(합계표[사번키],$W685)))</f>
        <v/>
      </c>
      <c r="F685">
        <f>IF($W685="","",SUMIFS(상세표[기록 시간외],상세표[사번키],INDEX(합계표[사번키],$W685),상세표[기록월],대상월키))</f>
        <v/>
      </c>
      <c r="G685">
        <f>IF($W685="","",IF(ABS($E685-$F685)&lt;0.01,"일치","불일치(차이 "&amp;TEXT($F685-$E685,"0.00")&amp;")"))</f>
        <v/>
      </c>
      <c r="H685">
        <f>IF($W685="","",SUMIFS(상세표[기록 시간외],상세표[사번키],INDEX(합계표[사번키],$W685),상세표[기록월],대상월키,상세표[반영월],"&lt;&gt;"&amp;대상월키))</f>
        <v/>
      </c>
      <c r="I685">
        <f>IF($W685="","",SUMIFS(상세표[기록 시간외],상세표[사번키],INDEX(합계표[사번키],$W685),상세표[기록월],"&lt;&gt;"&amp;대상월키,상세표[반영월],대상월키))</f>
        <v/>
      </c>
      <c r="J685">
        <f>IF($W685="","",SUMIFS(상세표[기록 시간외],상세표[사번키],INDEX(합계표[사번키],$W685),상세표[반영월],대상월키))</f>
        <v/>
      </c>
      <c r="K685">
        <f>IF($W685="","",IFERROR(INDEX(월별근무지표[적용 급여병원],MATCH(INDEX(합계표[사번키],$W685)&amp;"|"&amp;대상월키,월별근무지표[키],0))&amp;"",IF(COUNTIF(기관표[사번키],INDEX(합계표[사번키],$W685))+COUNTIF(월별근무지표[사번키],INDEX(합계표[사번키],$W685))&gt;0,IFERROR(INDEX(기관표[급여지급병원(기준월)],MATCH(INDEX(합계표[사번키],$W685)&amp;"|"&amp;대상월키,기관표[키],0))&amp;"","—"),"—")))</f>
        <v/>
      </c>
      <c r="L685">
        <f>IF($W685="","",IF(NOT(COUNTIF(기관표[사번키],INDEX(합계표[사번키],$W685))+COUNTIF(월별근무지표[사번키],INDEX(합계표[사번키],$W685))&gt;0),"기관명단에 없음(다른 병원으로 발송)",IF($K685="—","대상월 기관명단 없음(추가 필요)",IF($K685="서울병원","해당","비해당"))))</f>
        <v/>
      </c>
      <c r="M685">
        <f>IF($W685="","",SUMIFS(상세표[06~07시],상세표[사번키],INDEX(합계표[사번키],$W685),상세표[반영월],대상월키,상세표[반영 기관],"서울병원"))</f>
        <v/>
      </c>
      <c r="N685">
        <f>IF($W685="","",SUMIFS(상세표[07~18시],상세표[사번키],INDEX(합계표[사번키],$W685),상세표[반영월],대상월키,상세표[반영 기관],"서울병원"))</f>
        <v/>
      </c>
      <c r="O685">
        <f>IF($W685="","",SUMIFS(상세표[18~22시],상세표[사번키],INDEX(합계표[사번키],$W685),상세표[반영월],대상월키,상세표[반영 기관],"서울병원"))</f>
        <v/>
      </c>
      <c r="P685">
        <f>IF($W685="","",SUMIFS(상세표[22~06시],상세표[사번키],INDEX(합계표[사번키],$W685),상세표[반영월],대상월키,상세표[반영 기관],"서울병원"))</f>
        <v/>
      </c>
      <c r="Q685">
        <f>IF($W685="","",SUM($M685:$P685))</f>
        <v/>
      </c>
      <c r="R685">
        <f>IF($W685="","",COUNTIFS(상세표[사번키],INDEX(합계표[사번키],$W685),상세표[반영월],대상월키,상세표[야간당직],1,상세표[야간 구분],"평일"))</f>
        <v/>
      </c>
      <c r="S685" s="4">
        <f>IF($W685="","",COUNTIFS(상세표[사번키],INDEX(합계표[사번키],$W685),상세표[반영월],대상월키,상세표[야간당직],1,상세표[야간 구분],"휴일"))</f>
        <v/>
      </c>
      <c r="T685">
        <f>IF($W685="","",COUNTIFS(상세표[사번키],INDEX(합계표[사번키],$W685),상세표[반영월],대상월키,상세표[야간당직],1,상세표[야간 구분],"평일",상세표[반영 기관],"서울병원"))</f>
        <v/>
      </c>
      <c r="U685">
        <f>IF($W685="","",COUNTIFS(상세표[사번키],INDEX(합계표[사번키],$W685),상세표[반영월],대상월키,상세표[야간당직],1,상세표[야간 구분],"휴일",상세표[반영 기관],"서울병원"))</f>
        <v/>
      </c>
      <c r="V685">
        <f>IF($W685="","",IF(ISNUMBER(MATCH(INDEX(합계표[사번키],$W685)&amp;"|"&amp;대상월키,월별근무지표[키],0)),"직접 입력",IF($K685="—","—","기관명단")))</f>
        <v/>
      </c>
      <c r="W685">
        <f>IFERROR(MATCH(680,합계표[판정순번],0),"")</f>
        <v/>
      </c>
    </row>
    <row r="686">
      <c r="A686">
        <f>IF($W686="","",INDEX(합계표[사번],$W686)&amp;"")</f>
        <v/>
      </c>
      <c r="B686">
        <f>IF($W686="","",INDEX(합계표[성명],$W686)&amp;"")</f>
        <v/>
      </c>
      <c r="C686">
        <f>IF($W686="","",INDEX(합계표[부서],$W686)&amp;"")</f>
        <v/>
      </c>
      <c r="D686">
        <f>IF($W686="","",INDEX(합계표[직위(통합)],$W686)&amp;"")</f>
        <v/>
      </c>
      <c r="E686">
        <f>IF($W686="","",SUMIFS(합계표[시스템 합계],합계표[사번키],INDEX(합계표[사번키],$W686)))</f>
        <v/>
      </c>
      <c r="F686">
        <f>IF($W686="","",SUMIFS(상세표[기록 시간외],상세표[사번키],INDEX(합계표[사번키],$W686),상세표[기록월],대상월키))</f>
        <v/>
      </c>
      <c r="G686">
        <f>IF($W686="","",IF(ABS($E686-$F686)&lt;0.01,"일치","불일치(차이 "&amp;TEXT($F686-$E686,"0.00")&amp;")"))</f>
        <v/>
      </c>
      <c r="H686">
        <f>IF($W686="","",SUMIFS(상세표[기록 시간외],상세표[사번키],INDEX(합계표[사번키],$W686),상세표[기록월],대상월키,상세표[반영월],"&lt;&gt;"&amp;대상월키))</f>
        <v/>
      </c>
      <c r="I686">
        <f>IF($W686="","",SUMIFS(상세표[기록 시간외],상세표[사번키],INDEX(합계표[사번키],$W686),상세표[기록월],"&lt;&gt;"&amp;대상월키,상세표[반영월],대상월키))</f>
        <v/>
      </c>
      <c r="J686">
        <f>IF($W686="","",SUMIFS(상세표[기록 시간외],상세표[사번키],INDEX(합계표[사번키],$W686),상세표[반영월],대상월키))</f>
        <v/>
      </c>
      <c r="K686">
        <f>IF($W686="","",IFERROR(INDEX(월별근무지표[적용 급여병원],MATCH(INDEX(합계표[사번키],$W686)&amp;"|"&amp;대상월키,월별근무지표[키],0))&amp;"",IF(COUNTIF(기관표[사번키],INDEX(합계표[사번키],$W686))+COUNTIF(월별근무지표[사번키],INDEX(합계표[사번키],$W686))&gt;0,IFERROR(INDEX(기관표[급여지급병원(기준월)],MATCH(INDEX(합계표[사번키],$W686)&amp;"|"&amp;대상월키,기관표[키],0))&amp;"","—"),"—")))</f>
        <v/>
      </c>
      <c r="L686">
        <f>IF($W686="","",IF(NOT(COUNTIF(기관표[사번키],INDEX(합계표[사번키],$W686))+COUNTIF(월별근무지표[사번키],INDEX(합계표[사번키],$W686))&gt;0),"기관명단에 없음(다른 병원으로 발송)",IF($K686="—","대상월 기관명단 없음(추가 필요)",IF($K686="서울병원","해당","비해당"))))</f>
        <v/>
      </c>
      <c r="M686">
        <f>IF($W686="","",SUMIFS(상세표[06~07시],상세표[사번키],INDEX(합계표[사번키],$W686),상세표[반영월],대상월키,상세표[반영 기관],"서울병원"))</f>
        <v/>
      </c>
      <c r="N686">
        <f>IF($W686="","",SUMIFS(상세표[07~18시],상세표[사번키],INDEX(합계표[사번키],$W686),상세표[반영월],대상월키,상세표[반영 기관],"서울병원"))</f>
        <v/>
      </c>
      <c r="O686">
        <f>IF($W686="","",SUMIFS(상세표[18~22시],상세표[사번키],INDEX(합계표[사번키],$W686),상세표[반영월],대상월키,상세표[반영 기관],"서울병원"))</f>
        <v/>
      </c>
      <c r="P686">
        <f>IF($W686="","",SUMIFS(상세표[22~06시],상세표[사번키],INDEX(합계표[사번키],$W686),상세표[반영월],대상월키,상세표[반영 기관],"서울병원"))</f>
        <v/>
      </c>
      <c r="Q686">
        <f>IF($W686="","",SUM($M686:$P686))</f>
        <v/>
      </c>
      <c r="R686">
        <f>IF($W686="","",COUNTIFS(상세표[사번키],INDEX(합계표[사번키],$W686),상세표[반영월],대상월키,상세표[야간당직],1,상세표[야간 구분],"평일"))</f>
        <v/>
      </c>
      <c r="S686" s="4">
        <f>IF($W686="","",COUNTIFS(상세표[사번키],INDEX(합계표[사번키],$W686),상세표[반영월],대상월키,상세표[야간당직],1,상세표[야간 구분],"휴일"))</f>
        <v/>
      </c>
      <c r="T686">
        <f>IF($W686="","",COUNTIFS(상세표[사번키],INDEX(합계표[사번키],$W686),상세표[반영월],대상월키,상세표[야간당직],1,상세표[야간 구분],"평일",상세표[반영 기관],"서울병원"))</f>
        <v/>
      </c>
      <c r="U686">
        <f>IF($W686="","",COUNTIFS(상세표[사번키],INDEX(합계표[사번키],$W686),상세표[반영월],대상월키,상세표[야간당직],1,상세표[야간 구분],"휴일",상세표[반영 기관],"서울병원"))</f>
        <v/>
      </c>
      <c r="V686">
        <f>IF($W686="","",IF(ISNUMBER(MATCH(INDEX(합계표[사번키],$W686)&amp;"|"&amp;대상월키,월별근무지표[키],0)),"직접 입력",IF($K686="—","—","기관명단")))</f>
        <v/>
      </c>
      <c r="W686">
        <f>IFERROR(MATCH(681,합계표[판정순번],0),"")</f>
        <v/>
      </c>
    </row>
    <row r="687">
      <c r="A687">
        <f>IF($W687="","",INDEX(합계표[사번],$W687)&amp;"")</f>
        <v/>
      </c>
      <c r="B687">
        <f>IF($W687="","",INDEX(합계표[성명],$W687)&amp;"")</f>
        <v/>
      </c>
      <c r="C687">
        <f>IF($W687="","",INDEX(합계표[부서],$W687)&amp;"")</f>
        <v/>
      </c>
      <c r="D687">
        <f>IF($W687="","",INDEX(합계표[직위(통합)],$W687)&amp;"")</f>
        <v/>
      </c>
      <c r="E687">
        <f>IF($W687="","",SUMIFS(합계표[시스템 합계],합계표[사번키],INDEX(합계표[사번키],$W687)))</f>
        <v/>
      </c>
      <c r="F687">
        <f>IF($W687="","",SUMIFS(상세표[기록 시간외],상세표[사번키],INDEX(합계표[사번키],$W687),상세표[기록월],대상월키))</f>
        <v/>
      </c>
      <c r="G687">
        <f>IF($W687="","",IF(ABS($E687-$F687)&lt;0.01,"일치","불일치(차이 "&amp;TEXT($F687-$E687,"0.00")&amp;")"))</f>
        <v/>
      </c>
      <c r="H687">
        <f>IF($W687="","",SUMIFS(상세표[기록 시간외],상세표[사번키],INDEX(합계표[사번키],$W687),상세표[기록월],대상월키,상세표[반영월],"&lt;&gt;"&amp;대상월키))</f>
        <v/>
      </c>
      <c r="I687">
        <f>IF($W687="","",SUMIFS(상세표[기록 시간외],상세표[사번키],INDEX(합계표[사번키],$W687),상세표[기록월],"&lt;&gt;"&amp;대상월키,상세표[반영월],대상월키))</f>
        <v/>
      </c>
      <c r="J687">
        <f>IF($W687="","",SUMIFS(상세표[기록 시간외],상세표[사번키],INDEX(합계표[사번키],$W687),상세표[반영월],대상월키))</f>
        <v/>
      </c>
      <c r="K687">
        <f>IF($W687="","",IFERROR(INDEX(월별근무지표[적용 급여병원],MATCH(INDEX(합계표[사번키],$W687)&amp;"|"&amp;대상월키,월별근무지표[키],0))&amp;"",IF(COUNTIF(기관표[사번키],INDEX(합계표[사번키],$W687))+COUNTIF(월별근무지표[사번키],INDEX(합계표[사번키],$W687))&gt;0,IFERROR(INDEX(기관표[급여지급병원(기준월)],MATCH(INDEX(합계표[사번키],$W687)&amp;"|"&amp;대상월키,기관표[키],0))&amp;"","—"),"—")))</f>
        <v/>
      </c>
      <c r="L687">
        <f>IF($W687="","",IF(NOT(COUNTIF(기관표[사번키],INDEX(합계표[사번키],$W687))+COUNTIF(월별근무지표[사번키],INDEX(합계표[사번키],$W687))&gt;0),"기관명단에 없음(다른 병원으로 발송)",IF($K687="—","대상월 기관명단 없음(추가 필요)",IF($K687="서울병원","해당","비해당"))))</f>
        <v/>
      </c>
      <c r="M687">
        <f>IF($W687="","",SUMIFS(상세표[06~07시],상세표[사번키],INDEX(합계표[사번키],$W687),상세표[반영월],대상월키,상세표[반영 기관],"서울병원"))</f>
        <v/>
      </c>
      <c r="N687">
        <f>IF($W687="","",SUMIFS(상세표[07~18시],상세표[사번키],INDEX(합계표[사번키],$W687),상세표[반영월],대상월키,상세표[반영 기관],"서울병원"))</f>
        <v/>
      </c>
      <c r="O687">
        <f>IF($W687="","",SUMIFS(상세표[18~22시],상세표[사번키],INDEX(합계표[사번키],$W687),상세표[반영월],대상월키,상세표[반영 기관],"서울병원"))</f>
        <v/>
      </c>
      <c r="P687">
        <f>IF($W687="","",SUMIFS(상세표[22~06시],상세표[사번키],INDEX(합계표[사번키],$W687),상세표[반영월],대상월키,상세표[반영 기관],"서울병원"))</f>
        <v/>
      </c>
      <c r="Q687">
        <f>IF($W687="","",SUM($M687:$P687))</f>
        <v/>
      </c>
      <c r="R687">
        <f>IF($W687="","",COUNTIFS(상세표[사번키],INDEX(합계표[사번키],$W687),상세표[반영월],대상월키,상세표[야간당직],1,상세표[야간 구분],"평일"))</f>
        <v/>
      </c>
      <c r="S687" s="4">
        <f>IF($W687="","",COUNTIFS(상세표[사번키],INDEX(합계표[사번키],$W687),상세표[반영월],대상월키,상세표[야간당직],1,상세표[야간 구분],"휴일"))</f>
        <v/>
      </c>
      <c r="T687">
        <f>IF($W687="","",COUNTIFS(상세표[사번키],INDEX(합계표[사번키],$W687),상세표[반영월],대상월키,상세표[야간당직],1,상세표[야간 구분],"평일",상세표[반영 기관],"서울병원"))</f>
        <v/>
      </c>
      <c r="U687">
        <f>IF($W687="","",COUNTIFS(상세표[사번키],INDEX(합계표[사번키],$W687),상세표[반영월],대상월키,상세표[야간당직],1,상세표[야간 구분],"휴일",상세표[반영 기관],"서울병원"))</f>
        <v/>
      </c>
      <c r="V687">
        <f>IF($W687="","",IF(ISNUMBER(MATCH(INDEX(합계표[사번키],$W687)&amp;"|"&amp;대상월키,월별근무지표[키],0)),"직접 입력",IF($K687="—","—","기관명단")))</f>
        <v/>
      </c>
      <c r="W687">
        <f>IFERROR(MATCH(682,합계표[판정순번],0),"")</f>
        <v/>
      </c>
    </row>
    <row r="688">
      <c r="A688">
        <f>IF($W688="","",INDEX(합계표[사번],$W688)&amp;"")</f>
        <v/>
      </c>
      <c r="B688">
        <f>IF($W688="","",INDEX(합계표[성명],$W688)&amp;"")</f>
        <v/>
      </c>
      <c r="C688">
        <f>IF($W688="","",INDEX(합계표[부서],$W688)&amp;"")</f>
        <v/>
      </c>
      <c r="D688">
        <f>IF($W688="","",INDEX(합계표[직위(통합)],$W688)&amp;"")</f>
        <v/>
      </c>
      <c r="E688">
        <f>IF($W688="","",SUMIFS(합계표[시스템 합계],합계표[사번키],INDEX(합계표[사번키],$W688)))</f>
        <v/>
      </c>
      <c r="F688">
        <f>IF($W688="","",SUMIFS(상세표[기록 시간외],상세표[사번키],INDEX(합계표[사번키],$W688),상세표[기록월],대상월키))</f>
        <v/>
      </c>
      <c r="G688">
        <f>IF($W688="","",IF(ABS($E688-$F688)&lt;0.01,"일치","불일치(차이 "&amp;TEXT($F688-$E688,"0.00")&amp;")"))</f>
        <v/>
      </c>
      <c r="H688">
        <f>IF($W688="","",SUMIFS(상세표[기록 시간외],상세표[사번키],INDEX(합계표[사번키],$W688),상세표[기록월],대상월키,상세표[반영월],"&lt;&gt;"&amp;대상월키))</f>
        <v/>
      </c>
      <c r="I688">
        <f>IF($W688="","",SUMIFS(상세표[기록 시간외],상세표[사번키],INDEX(합계표[사번키],$W688),상세표[기록월],"&lt;&gt;"&amp;대상월키,상세표[반영월],대상월키))</f>
        <v/>
      </c>
      <c r="J688">
        <f>IF($W688="","",SUMIFS(상세표[기록 시간외],상세표[사번키],INDEX(합계표[사번키],$W688),상세표[반영월],대상월키))</f>
        <v/>
      </c>
      <c r="K688">
        <f>IF($W688="","",IFERROR(INDEX(월별근무지표[적용 급여병원],MATCH(INDEX(합계표[사번키],$W688)&amp;"|"&amp;대상월키,월별근무지표[키],0))&amp;"",IF(COUNTIF(기관표[사번키],INDEX(합계표[사번키],$W688))+COUNTIF(월별근무지표[사번키],INDEX(합계표[사번키],$W688))&gt;0,IFERROR(INDEX(기관표[급여지급병원(기준월)],MATCH(INDEX(합계표[사번키],$W688)&amp;"|"&amp;대상월키,기관표[키],0))&amp;"","—"),"—")))</f>
        <v/>
      </c>
      <c r="L688">
        <f>IF($W688="","",IF(NOT(COUNTIF(기관표[사번키],INDEX(합계표[사번키],$W688))+COUNTIF(월별근무지표[사번키],INDEX(합계표[사번키],$W688))&gt;0),"기관명단에 없음(다른 병원으로 발송)",IF($K688="—","대상월 기관명단 없음(추가 필요)",IF($K688="서울병원","해당","비해당"))))</f>
        <v/>
      </c>
      <c r="M688">
        <f>IF($W688="","",SUMIFS(상세표[06~07시],상세표[사번키],INDEX(합계표[사번키],$W688),상세표[반영월],대상월키,상세표[반영 기관],"서울병원"))</f>
        <v/>
      </c>
      <c r="N688">
        <f>IF($W688="","",SUMIFS(상세표[07~18시],상세표[사번키],INDEX(합계표[사번키],$W688),상세표[반영월],대상월키,상세표[반영 기관],"서울병원"))</f>
        <v/>
      </c>
      <c r="O688">
        <f>IF($W688="","",SUMIFS(상세표[18~22시],상세표[사번키],INDEX(합계표[사번키],$W688),상세표[반영월],대상월키,상세표[반영 기관],"서울병원"))</f>
        <v/>
      </c>
      <c r="P688">
        <f>IF($W688="","",SUMIFS(상세표[22~06시],상세표[사번키],INDEX(합계표[사번키],$W688),상세표[반영월],대상월키,상세표[반영 기관],"서울병원"))</f>
        <v/>
      </c>
      <c r="Q688">
        <f>IF($W688="","",SUM($M688:$P688))</f>
        <v/>
      </c>
      <c r="R688">
        <f>IF($W688="","",COUNTIFS(상세표[사번키],INDEX(합계표[사번키],$W688),상세표[반영월],대상월키,상세표[야간당직],1,상세표[야간 구분],"평일"))</f>
        <v/>
      </c>
      <c r="S688" s="4">
        <f>IF($W688="","",COUNTIFS(상세표[사번키],INDEX(합계표[사번키],$W688),상세표[반영월],대상월키,상세표[야간당직],1,상세표[야간 구분],"휴일"))</f>
        <v/>
      </c>
      <c r="T688">
        <f>IF($W688="","",COUNTIFS(상세표[사번키],INDEX(합계표[사번키],$W688),상세표[반영월],대상월키,상세표[야간당직],1,상세표[야간 구분],"평일",상세표[반영 기관],"서울병원"))</f>
        <v/>
      </c>
      <c r="U688">
        <f>IF($W688="","",COUNTIFS(상세표[사번키],INDEX(합계표[사번키],$W688),상세표[반영월],대상월키,상세표[야간당직],1,상세표[야간 구분],"휴일",상세표[반영 기관],"서울병원"))</f>
        <v/>
      </c>
      <c r="V688">
        <f>IF($W688="","",IF(ISNUMBER(MATCH(INDEX(합계표[사번키],$W688)&amp;"|"&amp;대상월키,월별근무지표[키],0)),"직접 입력",IF($K688="—","—","기관명단")))</f>
        <v/>
      </c>
      <c r="W688">
        <f>IFERROR(MATCH(683,합계표[판정순번],0),"")</f>
        <v/>
      </c>
    </row>
    <row r="689">
      <c r="A689">
        <f>IF($W689="","",INDEX(합계표[사번],$W689)&amp;"")</f>
        <v/>
      </c>
      <c r="B689">
        <f>IF($W689="","",INDEX(합계표[성명],$W689)&amp;"")</f>
        <v/>
      </c>
      <c r="C689">
        <f>IF($W689="","",INDEX(합계표[부서],$W689)&amp;"")</f>
        <v/>
      </c>
      <c r="D689">
        <f>IF($W689="","",INDEX(합계표[직위(통합)],$W689)&amp;"")</f>
        <v/>
      </c>
      <c r="E689">
        <f>IF($W689="","",SUMIFS(합계표[시스템 합계],합계표[사번키],INDEX(합계표[사번키],$W689)))</f>
        <v/>
      </c>
      <c r="F689">
        <f>IF($W689="","",SUMIFS(상세표[기록 시간외],상세표[사번키],INDEX(합계표[사번키],$W689),상세표[기록월],대상월키))</f>
        <v/>
      </c>
      <c r="G689">
        <f>IF($W689="","",IF(ABS($E689-$F689)&lt;0.01,"일치","불일치(차이 "&amp;TEXT($F689-$E689,"0.00")&amp;")"))</f>
        <v/>
      </c>
      <c r="H689">
        <f>IF($W689="","",SUMIFS(상세표[기록 시간외],상세표[사번키],INDEX(합계표[사번키],$W689),상세표[기록월],대상월키,상세표[반영월],"&lt;&gt;"&amp;대상월키))</f>
        <v/>
      </c>
      <c r="I689">
        <f>IF($W689="","",SUMIFS(상세표[기록 시간외],상세표[사번키],INDEX(합계표[사번키],$W689),상세표[기록월],"&lt;&gt;"&amp;대상월키,상세표[반영월],대상월키))</f>
        <v/>
      </c>
      <c r="J689">
        <f>IF($W689="","",SUMIFS(상세표[기록 시간외],상세표[사번키],INDEX(합계표[사번키],$W689),상세표[반영월],대상월키))</f>
        <v/>
      </c>
      <c r="K689">
        <f>IF($W689="","",IFERROR(INDEX(월별근무지표[적용 급여병원],MATCH(INDEX(합계표[사번키],$W689)&amp;"|"&amp;대상월키,월별근무지표[키],0))&amp;"",IF(COUNTIF(기관표[사번키],INDEX(합계표[사번키],$W689))+COUNTIF(월별근무지표[사번키],INDEX(합계표[사번키],$W689))&gt;0,IFERROR(INDEX(기관표[급여지급병원(기준월)],MATCH(INDEX(합계표[사번키],$W689)&amp;"|"&amp;대상월키,기관표[키],0))&amp;"","—"),"—")))</f>
        <v/>
      </c>
      <c r="L689">
        <f>IF($W689="","",IF(NOT(COUNTIF(기관표[사번키],INDEX(합계표[사번키],$W689))+COUNTIF(월별근무지표[사번키],INDEX(합계표[사번키],$W689))&gt;0),"기관명단에 없음(다른 병원으로 발송)",IF($K689="—","대상월 기관명단 없음(추가 필요)",IF($K689="서울병원","해당","비해당"))))</f>
        <v/>
      </c>
      <c r="M689">
        <f>IF($W689="","",SUMIFS(상세표[06~07시],상세표[사번키],INDEX(합계표[사번키],$W689),상세표[반영월],대상월키,상세표[반영 기관],"서울병원"))</f>
        <v/>
      </c>
      <c r="N689">
        <f>IF($W689="","",SUMIFS(상세표[07~18시],상세표[사번키],INDEX(합계표[사번키],$W689),상세표[반영월],대상월키,상세표[반영 기관],"서울병원"))</f>
        <v/>
      </c>
      <c r="O689">
        <f>IF($W689="","",SUMIFS(상세표[18~22시],상세표[사번키],INDEX(합계표[사번키],$W689),상세표[반영월],대상월키,상세표[반영 기관],"서울병원"))</f>
        <v/>
      </c>
      <c r="P689">
        <f>IF($W689="","",SUMIFS(상세표[22~06시],상세표[사번키],INDEX(합계표[사번키],$W689),상세표[반영월],대상월키,상세표[반영 기관],"서울병원"))</f>
        <v/>
      </c>
      <c r="Q689">
        <f>IF($W689="","",SUM($M689:$P689))</f>
        <v/>
      </c>
      <c r="R689">
        <f>IF($W689="","",COUNTIFS(상세표[사번키],INDEX(합계표[사번키],$W689),상세표[반영월],대상월키,상세표[야간당직],1,상세표[야간 구분],"평일"))</f>
        <v/>
      </c>
      <c r="S689" s="4">
        <f>IF($W689="","",COUNTIFS(상세표[사번키],INDEX(합계표[사번키],$W689),상세표[반영월],대상월키,상세표[야간당직],1,상세표[야간 구분],"휴일"))</f>
        <v/>
      </c>
      <c r="T689">
        <f>IF($W689="","",COUNTIFS(상세표[사번키],INDEX(합계표[사번키],$W689),상세표[반영월],대상월키,상세표[야간당직],1,상세표[야간 구분],"평일",상세표[반영 기관],"서울병원"))</f>
        <v/>
      </c>
      <c r="U689">
        <f>IF($W689="","",COUNTIFS(상세표[사번키],INDEX(합계표[사번키],$W689),상세표[반영월],대상월키,상세표[야간당직],1,상세표[야간 구분],"휴일",상세표[반영 기관],"서울병원"))</f>
        <v/>
      </c>
      <c r="V689">
        <f>IF($W689="","",IF(ISNUMBER(MATCH(INDEX(합계표[사번키],$W689)&amp;"|"&amp;대상월키,월별근무지표[키],0)),"직접 입력",IF($K689="—","—","기관명단")))</f>
        <v/>
      </c>
      <c r="W689">
        <f>IFERROR(MATCH(684,합계표[판정순번],0),"")</f>
        <v/>
      </c>
    </row>
    <row r="690">
      <c r="A690">
        <f>IF($W690="","",INDEX(합계표[사번],$W690)&amp;"")</f>
        <v/>
      </c>
      <c r="B690">
        <f>IF($W690="","",INDEX(합계표[성명],$W690)&amp;"")</f>
        <v/>
      </c>
      <c r="C690">
        <f>IF($W690="","",INDEX(합계표[부서],$W690)&amp;"")</f>
        <v/>
      </c>
      <c r="D690">
        <f>IF($W690="","",INDEX(합계표[직위(통합)],$W690)&amp;"")</f>
        <v/>
      </c>
      <c r="E690">
        <f>IF($W690="","",SUMIFS(합계표[시스템 합계],합계표[사번키],INDEX(합계표[사번키],$W690)))</f>
        <v/>
      </c>
      <c r="F690">
        <f>IF($W690="","",SUMIFS(상세표[기록 시간외],상세표[사번키],INDEX(합계표[사번키],$W690),상세표[기록월],대상월키))</f>
        <v/>
      </c>
      <c r="G690">
        <f>IF($W690="","",IF(ABS($E690-$F690)&lt;0.01,"일치","불일치(차이 "&amp;TEXT($F690-$E690,"0.00")&amp;")"))</f>
        <v/>
      </c>
      <c r="H690">
        <f>IF($W690="","",SUMIFS(상세표[기록 시간외],상세표[사번키],INDEX(합계표[사번키],$W690),상세표[기록월],대상월키,상세표[반영월],"&lt;&gt;"&amp;대상월키))</f>
        <v/>
      </c>
      <c r="I690">
        <f>IF($W690="","",SUMIFS(상세표[기록 시간외],상세표[사번키],INDEX(합계표[사번키],$W690),상세표[기록월],"&lt;&gt;"&amp;대상월키,상세표[반영월],대상월키))</f>
        <v/>
      </c>
      <c r="J690">
        <f>IF($W690="","",SUMIFS(상세표[기록 시간외],상세표[사번키],INDEX(합계표[사번키],$W690),상세표[반영월],대상월키))</f>
        <v/>
      </c>
      <c r="K690">
        <f>IF($W690="","",IFERROR(INDEX(월별근무지표[적용 급여병원],MATCH(INDEX(합계표[사번키],$W690)&amp;"|"&amp;대상월키,월별근무지표[키],0))&amp;"",IF(COUNTIF(기관표[사번키],INDEX(합계표[사번키],$W690))+COUNTIF(월별근무지표[사번키],INDEX(합계표[사번키],$W690))&gt;0,IFERROR(INDEX(기관표[급여지급병원(기준월)],MATCH(INDEX(합계표[사번키],$W690)&amp;"|"&amp;대상월키,기관표[키],0))&amp;"","—"),"—")))</f>
        <v/>
      </c>
      <c r="L690">
        <f>IF($W690="","",IF(NOT(COUNTIF(기관표[사번키],INDEX(합계표[사번키],$W690))+COUNTIF(월별근무지표[사번키],INDEX(합계표[사번키],$W690))&gt;0),"기관명단에 없음(다른 병원으로 발송)",IF($K690="—","대상월 기관명단 없음(추가 필요)",IF($K690="서울병원","해당","비해당"))))</f>
        <v/>
      </c>
      <c r="M690">
        <f>IF($W690="","",SUMIFS(상세표[06~07시],상세표[사번키],INDEX(합계표[사번키],$W690),상세표[반영월],대상월키,상세표[반영 기관],"서울병원"))</f>
        <v/>
      </c>
      <c r="N690">
        <f>IF($W690="","",SUMIFS(상세표[07~18시],상세표[사번키],INDEX(합계표[사번키],$W690),상세표[반영월],대상월키,상세표[반영 기관],"서울병원"))</f>
        <v/>
      </c>
      <c r="O690">
        <f>IF($W690="","",SUMIFS(상세표[18~22시],상세표[사번키],INDEX(합계표[사번키],$W690),상세표[반영월],대상월키,상세표[반영 기관],"서울병원"))</f>
        <v/>
      </c>
      <c r="P690">
        <f>IF($W690="","",SUMIFS(상세표[22~06시],상세표[사번키],INDEX(합계표[사번키],$W690),상세표[반영월],대상월키,상세표[반영 기관],"서울병원"))</f>
        <v/>
      </c>
      <c r="Q690">
        <f>IF($W690="","",SUM($M690:$P690))</f>
        <v/>
      </c>
      <c r="R690">
        <f>IF($W690="","",COUNTIFS(상세표[사번키],INDEX(합계표[사번키],$W690),상세표[반영월],대상월키,상세표[야간당직],1,상세표[야간 구분],"평일"))</f>
        <v/>
      </c>
      <c r="S690" s="4">
        <f>IF($W690="","",COUNTIFS(상세표[사번키],INDEX(합계표[사번키],$W690),상세표[반영월],대상월키,상세표[야간당직],1,상세표[야간 구분],"휴일"))</f>
        <v/>
      </c>
      <c r="T690">
        <f>IF($W690="","",COUNTIFS(상세표[사번키],INDEX(합계표[사번키],$W690),상세표[반영월],대상월키,상세표[야간당직],1,상세표[야간 구분],"평일",상세표[반영 기관],"서울병원"))</f>
        <v/>
      </c>
      <c r="U690">
        <f>IF($W690="","",COUNTIFS(상세표[사번키],INDEX(합계표[사번키],$W690),상세표[반영월],대상월키,상세표[야간당직],1,상세표[야간 구분],"휴일",상세표[반영 기관],"서울병원"))</f>
        <v/>
      </c>
      <c r="V690">
        <f>IF($W690="","",IF(ISNUMBER(MATCH(INDEX(합계표[사번키],$W690)&amp;"|"&amp;대상월키,월별근무지표[키],0)),"직접 입력",IF($K690="—","—","기관명단")))</f>
        <v/>
      </c>
      <c r="W690">
        <f>IFERROR(MATCH(685,합계표[판정순번],0),"")</f>
        <v/>
      </c>
    </row>
    <row r="691">
      <c r="A691">
        <f>IF($W691="","",INDEX(합계표[사번],$W691)&amp;"")</f>
        <v/>
      </c>
      <c r="B691">
        <f>IF($W691="","",INDEX(합계표[성명],$W691)&amp;"")</f>
        <v/>
      </c>
      <c r="C691">
        <f>IF($W691="","",INDEX(합계표[부서],$W691)&amp;"")</f>
        <v/>
      </c>
      <c r="D691">
        <f>IF($W691="","",INDEX(합계표[직위(통합)],$W691)&amp;"")</f>
        <v/>
      </c>
      <c r="E691">
        <f>IF($W691="","",SUMIFS(합계표[시스템 합계],합계표[사번키],INDEX(합계표[사번키],$W691)))</f>
        <v/>
      </c>
      <c r="F691">
        <f>IF($W691="","",SUMIFS(상세표[기록 시간외],상세표[사번키],INDEX(합계표[사번키],$W691),상세표[기록월],대상월키))</f>
        <v/>
      </c>
      <c r="G691">
        <f>IF($W691="","",IF(ABS($E691-$F691)&lt;0.01,"일치","불일치(차이 "&amp;TEXT($F691-$E691,"0.00")&amp;")"))</f>
        <v/>
      </c>
      <c r="H691">
        <f>IF($W691="","",SUMIFS(상세표[기록 시간외],상세표[사번키],INDEX(합계표[사번키],$W691),상세표[기록월],대상월키,상세표[반영월],"&lt;&gt;"&amp;대상월키))</f>
        <v/>
      </c>
      <c r="I691">
        <f>IF($W691="","",SUMIFS(상세표[기록 시간외],상세표[사번키],INDEX(합계표[사번키],$W691),상세표[기록월],"&lt;&gt;"&amp;대상월키,상세표[반영월],대상월키))</f>
        <v/>
      </c>
      <c r="J691">
        <f>IF($W691="","",SUMIFS(상세표[기록 시간외],상세표[사번키],INDEX(합계표[사번키],$W691),상세표[반영월],대상월키))</f>
        <v/>
      </c>
      <c r="K691">
        <f>IF($W691="","",IFERROR(INDEX(월별근무지표[적용 급여병원],MATCH(INDEX(합계표[사번키],$W691)&amp;"|"&amp;대상월키,월별근무지표[키],0))&amp;"",IF(COUNTIF(기관표[사번키],INDEX(합계표[사번키],$W691))+COUNTIF(월별근무지표[사번키],INDEX(합계표[사번키],$W691))&gt;0,IFERROR(INDEX(기관표[급여지급병원(기준월)],MATCH(INDEX(합계표[사번키],$W691)&amp;"|"&amp;대상월키,기관표[키],0))&amp;"","—"),"—")))</f>
        <v/>
      </c>
      <c r="L691">
        <f>IF($W691="","",IF(NOT(COUNTIF(기관표[사번키],INDEX(합계표[사번키],$W691))+COUNTIF(월별근무지표[사번키],INDEX(합계표[사번키],$W691))&gt;0),"기관명단에 없음(다른 병원으로 발송)",IF($K691="—","대상월 기관명단 없음(추가 필요)",IF($K691="서울병원","해당","비해당"))))</f>
        <v/>
      </c>
      <c r="M691">
        <f>IF($W691="","",SUMIFS(상세표[06~07시],상세표[사번키],INDEX(합계표[사번키],$W691),상세표[반영월],대상월키,상세표[반영 기관],"서울병원"))</f>
        <v/>
      </c>
      <c r="N691">
        <f>IF($W691="","",SUMIFS(상세표[07~18시],상세표[사번키],INDEX(합계표[사번키],$W691),상세표[반영월],대상월키,상세표[반영 기관],"서울병원"))</f>
        <v/>
      </c>
      <c r="O691">
        <f>IF($W691="","",SUMIFS(상세표[18~22시],상세표[사번키],INDEX(합계표[사번키],$W691),상세표[반영월],대상월키,상세표[반영 기관],"서울병원"))</f>
        <v/>
      </c>
      <c r="P691">
        <f>IF($W691="","",SUMIFS(상세표[22~06시],상세표[사번키],INDEX(합계표[사번키],$W691),상세표[반영월],대상월키,상세표[반영 기관],"서울병원"))</f>
        <v/>
      </c>
      <c r="Q691">
        <f>IF($W691="","",SUM($M691:$P691))</f>
        <v/>
      </c>
      <c r="R691">
        <f>IF($W691="","",COUNTIFS(상세표[사번키],INDEX(합계표[사번키],$W691),상세표[반영월],대상월키,상세표[야간당직],1,상세표[야간 구분],"평일"))</f>
        <v/>
      </c>
      <c r="S691" s="4">
        <f>IF($W691="","",COUNTIFS(상세표[사번키],INDEX(합계표[사번키],$W691),상세표[반영월],대상월키,상세표[야간당직],1,상세표[야간 구분],"휴일"))</f>
        <v/>
      </c>
      <c r="T691">
        <f>IF($W691="","",COUNTIFS(상세표[사번키],INDEX(합계표[사번키],$W691),상세표[반영월],대상월키,상세표[야간당직],1,상세표[야간 구분],"평일",상세표[반영 기관],"서울병원"))</f>
        <v/>
      </c>
      <c r="U691">
        <f>IF($W691="","",COUNTIFS(상세표[사번키],INDEX(합계표[사번키],$W691),상세표[반영월],대상월키,상세표[야간당직],1,상세표[야간 구분],"휴일",상세표[반영 기관],"서울병원"))</f>
        <v/>
      </c>
      <c r="V691">
        <f>IF($W691="","",IF(ISNUMBER(MATCH(INDEX(합계표[사번키],$W691)&amp;"|"&amp;대상월키,월별근무지표[키],0)),"직접 입력",IF($K691="—","—","기관명단")))</f>
        <v/>
      </c>
      <c r="W691">
        <f>IFERROR(MATCH(686,합계표[판정순번],0),"")</f>
        <v/>
      </c>
    </row>
    <row r="692">
      <c r="A692">
        <f>IF($W692="","",INDEX(합계표[사번],$W692)&amp;"")</f>
        <v/>
      </c>
      <c r="B692">
        <f>IF($W692="","",INDEX(합계표[성명],$W692)&amp;"")</f>
        <v/>
      </c>
      <c r="C692">
        <f>IF($W692="","",INDEX(합계표[부서],$W692)&amp;"")</f>
        <v/>
      </c>
      <c r="D692">
        <f>IF($W692="","",INDEX(합계표[직위(통합)],$W692)&amp;"")</f>
        <v/>
      </c>
      <c r="E692">
        <f>IF($W692="","",SUMIFS(합계표[시스템 합계],합계표[사번키],INDEX(합계표[사번키],$W692)))</f>
        <v/>
      </c>
      <c r="F692">
        <f>IF($W692="","",SUMIFS(상세표[기록 시간외],상세표[사번키],INDEX(합계표[사번키],$W692),상세표[기록월],대상월키))</f>
        <v/>
      </c>
      <c r="G692">
        <f>IF($W692="","",IF(ABS($E692-$F692)&lt;0.01,"일치","불일치(차이 "&amp;TEXT($F692-$E692,"0.00")&amp;")"))</f>
        <v/>
      </c>
      <c r="H692">
        <f>IF($W692="","",SUMIFS(상세표[기록 시간외],상세표[사번키],INDEX(합계표[사번키],$W692),상세표[기록월],대상월키,상세표[반영월],"&lt;&gt;"&amp;대상월키))</f>
        <v/>
      </c>
      <c r="I692">
        <f>IF($W692="","",SUMIFS(상세표[기록 시간외],상세표[사번키],INDEX(합계표[사번키],$W692),상세표[기록월],"&lt;&gt;"&amp;대상월키,상세표[반영월],대상월키))</f>
        <v/>
      </c>
      <c r="J692">
        <f>IF($W692="","",SUMIFS(상세표[기록 시간외],상세표[사번키],INDEX(합계표[사번키],$W692),상세표[반영월],대상월키))</f>
        <v/>
      </c>
      <c r="K692">
        <f>IF($W692="","",IFERROR(INDEX(월별근무지표[적용 급여병원],MATCH(INDEX(합계표[사번키],$W692)&amp;"|"&amp;대상월키,월별근무지표[키],0))&amp;"",IF(COUNTIF(기관표[사번키],INDEX(합계표[사번키],$W692))+COUNTIF(월별근무지표[사번키],INDEX(합계표[사번키],$W692))&gt;0,IFERROR(INDEX(기관표[급여지급병원(기준월)],MATCH(INDEX(합계표[사번키],$W692)&amp;"|"&amp;대상월키,기관표[키],0))&amp;"","—"),"—")))</f>
        <v/>
      </c>
      <c r="L692">
        <f>IF($W692="","",IF(NOT(COUNTIF(기관표[사번키],INDEX(합계표[사번키],$W692))+COUNTIF(월별근무지표[사번키],INDEX(합계표[사번키],$W692))&gt;0),"기관명단에 없음(다른 병원으로 발송)",IF($K692="—","대상월 기관명단 없음(추가 필요)",IF($K692="서울병원","해당","비해당"))))</f>
        <v/>
      </c>
      <c r="M692">
        <f>IF($W692="","",SUMIFS(상세표[06~07시],상세표[사번키],INDEX(합계표[사번키],$W692),상세표[반영월],대상월키,상세표[반영 기관],"서울병원"))</f>
        <v/>
      </c>
      <c r="N692">
        <f>IF($W692="","",SUMIFS(상세표[07~18시],상세표[사번키],INDEX(합계표[사번키],$W692),상세표[반영월],대상월키,상세표[반영 기관],"서울병원"))</f>
        <v/>
      </c>
      <c r="O692">
        <f>IF($W692="","",SUMIFS(상세표[18~22시],상세표[사번키],INDEX(합계표[사번키],$W692),상세표[반영월],대상월키,상세표[반영 기관],"서울병원"))</f>
        <v/>
      </c>
      <c r="P692">
        <f>IF($W692="","",SUMIFS(상세표[22~06시],상세표[사번키],INDEX(합계표[사번키],$W692),상세표[반영월],대상월키,상세표[반영 기관],"서울병원"))</f>
        <v/>
      </c>
      <c r="Q692">
        <f>IF($W692="","",SUM($M692:$P692))</f>
        <v/>
      </c>
      <c r="R692">
        <f>IF($W692="","",COUNTIFS(상세표[사번키],INDEX(합계표[사번키],$W692),상세표[반영월],대상월키,상세표[야간당직],1,상세표[야간 구분],"평일"))</f>
        <v/>
      </c>
      <c r="S692" s="4">
        <f>IF($W692="","",COUNTIFS(상세표[사번키],INDEX(합계표[사번키],$W692),상세표[반영월],대상월키,상세표[야간당직],1,상세표[야간 구분],"휴일"))</f>
        <v/>
      </c>
      <c r="T692">
        <f>IF($W692="","",COUNTIFS(상세표[사번키],INDEX(합계표[사번키],$W692),상세표[반영월],대상월키,상세표[야간당직],1,상세표[야간 구분],"평일",상세표[반영 기관],"서울병원"))</f>
        <v/>
      </c>
      <c r="U692">
        <f>IF($W692="","",COUNTIFS(상세표[사번키],INDEX(합계표[사번키],$W692),상세표[반영월],대상월키,상세표[야간당직],1,상세표[야간 구분],"휴일",상세표[반영 기관],"서울병원"))</f>
        <v/>
      </c>
      <c r="V692">
        <f>IF($W692="","",IF(ISNUMBER(MATCH(INDEX(합계표[사번키],$W692)&amp;"|"&amp;대상월키,월별근무지표[키],0)),"직접 입력",IF($K692="—","—","기관명단")))</f>
        <v/>
      </c>
      <c r="W692">
        <f>IFERROR(MATCH(687,합계표[판정순번],0),"")</f>
        <v/>
      </c>
    </row>
    <row r="693">
      <c r="A693">
        <f>IF($W693="","",INDEX(합계표[사번],$W693)&amp;"")</f>
        <v/>
      </c>
      <c r="B693">
        <f>IF($W693="","",INDEX(합계표[성명],$W693)&amp;"")</f>
        <v/>
      </c>
      <c r="C693">
        <f>IF($W693="","",INDEX(합계표[부서],$W693)&amp;"")</f>
        <v/>
      </c>
      <c r="D693">
        <f>IF($W693="","",INDEX(합계표[직위(통합)],$W693)&amp;"")</f>
        <v/>
      </c>
      <c r="E693">
        <f>IF($W693="","",SUMIFS(합계표[시스템 합계],합계표[사번키],INDEX(합계표[사번키],$W693)))</f>
        <v/>
      </c>
      <c r="F693">
        <f>IF($W693="","",SUMIFS(상세표[기록 시간외],상세표[사번키],INDEX(합계표[사번키],$W693),상세표[기록월],대상월키))</f>
        <v/>
      </c>
      <c r="G693">
        <f>IF($W693="","",IF(ABS($E693-$F693)&lt;0.01,"일치","불일치(차이 "&amp;TEXT($F693-$E693,"0.00")&amp;")"))</f>
        <v/>
      </c>
      <c r="H693">
        <f>IF($W693="","",SUMIFS(상세표[기록 시간외],상세표[사번키],INDEX(합계표[사번키],$W693),상세표[기록월],대상월키,상세표[반영월],"&lt;&gt;"&amp;대상월키))</f>
        <v/>
      </c>
      <c r="I693">
        <f>IF($W693="","",SUMIFS(상세표[기록 시간외],상세표[사번키],INDEX(합계표[사번키],$W693),상세표[기록월],"&lt;&gt;"&amp;대상월키,상세표[반영월],대상월키))</f>
        <v/>
      </c>
      <c r="J693">
        <f>IF($W693="","",SUMIFS(상세표[기록 시간외],상세표[사번키],INDEX(합계표[사번키],$W693),상세표[반영월],대상월키))</f>
        <v/>
      </c>
      <c r="K693">
        <f>IF($W693="","",IFERROR(INDEX(월별근무지표[적용 급여병원],MATCH(INDEX(합계표[사번키],$W693)&amp;"|"&amp;대상월키,월별근무지표[키],0))&amp;"",IF(COUNTIF(기관표[사번키],INDEX(합계표[사번키],$W693))+COUNTIF(월별근무지표[사번키],INDEX(합계표[사번키],$W693))&gt;0,IFERROR(INDEX(기관표[급여지급병원(기준월)],MATCH(INDEX(합계표[사번키],$W693)&amp;"|"&amp;대상월키,기관표[키],0))&amp;"","—"),"—")))</f>
        <v/>
      </c>
      <c r="L693">
        <f>IF($W693="","",IF(NOT(COUNTIF(기관표[사번키],INDEX(합계표[사번키],$W693))+COUNTIF(월별근무지표[사번키],INDEX(합계표[사번키],$W693))&gt;0),"기관명단에 없음(다른 병원으로 발송)",IF($K693="—","대상월 기관명단 없음(추가 필요)",IF($K693="서울병원","해당","비해당"))))</f>
        <v/>
      </c>
      <c r="M693">
        <f>IF($W693="","",SUMIFS(상세표[06~07시],상세표[사번키],INDEX(합계표[사번키],$W693),상세표[반영월],대상월키,상세표[반영 기관],"서울병원"))</f>
        <v/>
      </c>
      <c r="N693">
        <f>IF($W693="","",SUMIFS(상세표[07~18시],상세표[사번키],INDEX(합계표[사번키],$W693),상세표[반영월],대상월키,상세표[반영 기관],"서울병원"))</f>
        <v/>
      </c>
      <c r="O693">
        <f>IF($W693="","",SUMIFS(상세표[18~22시],상세표[사번키],INDEX(합계표[사번키],$W693),상세표[반영월],대상월키,상세표[반영 기관],"서울병원"))</f>
        <v/>
      </c>
      <c r="P693">
        <f>IF($W693="","",SUMIFS(상세표[22~06시],상세표[사번키],INDEX(합계표[사번키],$W693),상세표[반영월],대상월키,상세표[반영 기관],"서울병원"))</f>
        <v/>
      </c>
      <c r="Q693">
        <f>IF($W693="","",SUM($M693:$P693))</f>
        <v/>
      </c>
      <c r="R693">
        <f>IF($W693="","",COUNTIFS(상세표[사번키],INDEX(합계표[사번키],$W693),상세표[반영월],대상월키,상세표[야간당직],1,상세표[야간 구분],"평일"))</f>
        <v/>
      </c>
      <c r="S693" s="4">
        <f>IF($W693="","",COUNTIFS(상세표[사번키],INDEX(합계표[사번키],$W693),상세표[반영월],대상월키,상세표[야간당직],1,상세표[야간 구분],"휴일"))</f>
        <v/>
      </c>
      <c r="T693">
        <f>IF($W693="","",COUNTIFS(상세표[사번키],INDEX(합계표[사번키],$W693),상세표[반영월],대상월키,상세표[야간당직],1,상세표[야간 구분],"평일",상세표[반영 기관],"서울병원"))</f>
        <v/>
      </c>
      <c r="U693">
        <f>IF($W693="","",COUNTIFS(상세표[사번키],INDEX(합계표[사번키],$W693),상세표[반영월],대상월키,상세표[야간당직],1,상세표[야간 구분],"휴일",상세표[반영 기관],"서울병원"))</f>
        <v/>
      </c>
      <c r="V693">
        <f>IF($W693="","",IF(ISNUMBER(MATCH(INDEX(합계표[사번키],$W693)&amp;"|"&amp;대상월키,월별근무지표[키],0)),"직접 입력",IF($K693="—","—","기관명단")))</f>
        <v/>
      </c>
      <c r="W693">
        <f>IFERROR(MATCH(688,합계표[판정순번],0),"")</f>
        <v/>
      </c>
    </row>
    <row r="694">
      <c r="A694">
        <f>IF($W694="","",INDEX(합계표[사번],$W694)&amp;"")</f>
        <v/>
      </c>
      <c r="B694">
        <f>IF($W694="","",INDEX(합계표[성명],$W694)&amp;"")</f>
        <v/>
      </c>
      <c r="C694">
        <f>IF($W694="","",INDEX(합계표[부서],$W694)&amp;"")</f>
        <v/>
      </c>
      <c r="D694">
        <f>IF($W694="","",INDEX(합계표[직위(통합)],$W694)&amp;"")</f>
        <v/>
      </c>
      <c r="E694">
        <f>IF($W694="","",SUMIFS(합계표[시스템 합계],합계표[사번키],INDEX(합계표[사번키],$W694)))</f>
        <v/>
      </c>
      <c r="F694">
        <f>IF($W694="","",SUMIFS(상세표[기록 시간외],상세표[사번키],INDEX(합계표[사번키],$W694),상세표[기록월],대상월키))</f>
        <v/>
      </c>
      <c r="G694">
        <f>IF($W694="","",IF(ABS($E694-$F694)&lt;0.01,"일치","불일치(차이 "&amp;TEXT($F694-$E694,"0.00")&amp;")"))</f>
        <v/>
      </c>
      <c r="H694">
        <f>IF($W694="","",SUMIFS(상세표[기록 시간외],상세표[사번키],INDEX(합계표[사번키],$W694),상세표[기록월],대상월키,상세표[반영월],"&lt;&gt;"&amp;대상월키))</f>
        <v/>
      </c>
      <c r="I694">
        <f>IF($W694="","",SUMIFS(상세표[기록 시간외],상세표[사번키],INDEX(합계표[사번키],$W694),상세표[기록월],"&lt;&gt;"&amp;대상월키,상세표[반영월],대상월키))</f>
        <v/>
      </c>
      <c r="J694">
        <f>IF($W694="","",SUMIFS(상세표[기록 시간외],상세표[사번키],INDEX(합계표[사번키],$W694),상세표[반영월],대상월키))</f>
        <v/>
      </c>
      <c r="K694">
        <f>IF($W694="","",IFERROR(INDEX(월별근무지표[적용 급여병원],MATCH(INDEX(합계표[사번키],$W694)&amp;"|"&amp;대상월키,월별근무지표[키],0))&amp;"",IF(COUNTIF(기관표[사번키],INDEX(합계표[사번키],$W694))+COUNTIF(월별근무지표[사번키],INDEX(합계표[사번키],$W694))&gt;0,IFERROR(INDEX(기관표[급여지급병원(기준월)],MATCH(INDEX(합계표[사번키],$W694)&amp;"|"&amp;대상월키,기관표[키],0))&amp;"","—"),"—")))</f>
        <v/>
      </c>
      <c r="L694">
        <f>IF($W694="","",IF(NOT(COUNTIF(기관표[사번키],INDEX(합계표[사번키],$W694))+COUNTIF(월별근무지표[사번키],INDEX(합계표[사번키],$W694))&gt;0),"기관명단에 없음(다른 병원으로 발송)",IF($K694="—","대상월 기관명단 없음(추가 필요)",IF($K694="서울병원","해당","비해당"))))</f>
        <v/>
      </c>
      <c r="M694">
        <f>IF($W694="","",SUMIFS(상세표[06~07시],상세표[사번키],INDEX(합계표[사번키],$W694),상세표[반영월],대상월키,상세표[반영 기관],"서울병원"))</f>
        <v/>
      </c>
      <c r="N694">
        <f>IF($W694="","",SUMIFS(상세표[07~18시],상세표[사번키],INDEX(합계표[사번키],$W694),상세표[반영월],대상월키,상세표[반영 기관],"서울병원"))</f>
        <v/>
      </c>
      <c r="O694">
        <f>IF($W694="","",SUMIFS(상세표[18~22시],상세표[사번키],INDEX(합계표[사번키],$W694),상세표[반영월],대상월키,상세표[반영 기관],"서울병원"))</f>
        <v/>
      </c>
      <c r="P694">
        <f>IF($W694="","",SUMIFS(상세표[22~06시],상세표[사번키],INDEX(합계표[사번키],$W694),상세표[반영월],대상월키,상세표[반영 기관],"서울병원"))</f>
        <v/>
      </c>
      <c r="Q694">
        <f>IF($W694="","",SUM($M694:$P694))</f>
        <v/>
      </c>
      <c r="R694">
        <f>IF($W694="","",COUNTIFS(상세표[사번키],INDEX(합계표[사번키],$W694),상세표[반영월],대상월키,상세표[야간당직],1,상세표[야간 구분],"평일"))</f>
        <v/>
      </c>
      <c r="S694" s="4">
        <f>IF($W694="","",COUNTIFS(상세표[사번키],INDEX(합계표[사번키],$W694),상세표[반영월],대상월키,상세표[야간당직],1,상세표[야간 구분],"휴일"))</f>
        <v/>
      </c>
      <c r="T694">
        <f>IF($W694="","",COUNTIFS(상세표[사번키],INDEX(합계표[사번키],$W694),상세표[반영월],대상월키,상세표[야간당직],1,상세표[야간 구분],"평일",상세표[반영 기관],"서울병원"))</f>
        <v/>
      </c>
      <c r="U694">
        <f>IF($W694="","",COUNTIFS(상세표[사번키],INDEX(합계표[사번키],$W694),상세표[반영월],대상월키,상세표[야간당직],1,상세표[야간 구분],"휴일",상세표[반영 기관],"서울병원"))</f>
        <v/>
      </c>
      <c r="V694">
        <f>IF($W694="","",IF(ISNUMBER(MATCH(INDEX(합계표[사번키],$W694)&amp;"|"&amp;대상월키,월별근무지표[키],0)),"직접 입력",IF($K694="—","—","기관명단")))</f>
        <v/>
      </c>
      <c r="W694">
        <f>IFERROR(MATCH(689,합계표[판정순번],0),"")</f>
        <v/>
      </c>
    </row>
    <row r="695">
      <c r="A695">
        <f>IF($W695="","",INDEX(합계표[사번],$W695)&amp;"")</f>
        <v/>
      </c>
      <c r="B695">
        <f>IF($W695="","",INDEX(합계표[성명],$W695)&amp;"")</f>
        <v/>
      </c>
      <c r="C695">
        <f>IF($W695="","",INDEX(합계표[부서],$W695)&amp;"")</f>
        <v/>
      </c>
      <c r="D695">
        <f>IF($W695="","",INDEX(합계표[직위(통합)],$W695)&amp;"")</f>
        <v/>
      </c>
      <c r="E695">
        <f>IF($W695="","",SUMIFS(합계표[시스템 합계],합계표[사번키],INDEX(합계표[사번키],$W695)))</f>
        <v/>
      </c>
      <c r="F695">
        <f>IF($W695="","",SUMIFS(상세표[기록 시간외],상세표[사번키],INDEX(합계표[사번키],$W695),상세표[기록월],대상월키))</f>
        <v/>
      </c>
      <c r="G695">
        <f>IF($W695="","",IF(ABS($E695-$F695)&lt;0.01,"일치","불일치(차이 "&amp;TEXT($F695-$E695,"0.00")&amp;")"))</f>
        <v/>
      </c>
      <c r="H695">
        <f>IF($W695="","",SUMIFS(상세표[기록 시간외],상세표[사번키],INDEX(합계표[사번키],$W695),상세표[기록월],대상월키,상세표[반영월],"&lt;&gt;"&amp;대상월키))</f>
        <v/>
      </c>
      <c r="I695">
        <f>IF($W695="","",SUMIFS(상세표[기록 시간외],상세표[사번키],INDEX(합계표[사번키],$W695),상세표[기록월],"&lt;&gt;"&amp;대상월키,상세표[반영월],대상월키))</f>
        <v/>
      </c>
      <c r="J695">
        <f>IF($W695="","",SUMIFS(상세표[기록 시간외],상세표[사번키],INDEX(합계표[사번키],$W695),상세표[반영월],대상월키))</f>
        <v/>
      </c>
      <c r="K695">
        <f>IF($W695="","",IFERROR(INDEX(월별근무지표[적용 급여병원],MATCH(INDEX(합계표[사번키],$W695)&amp;"|"&amp;대상월키,월별근무지표[키],0))&amp;"",IF(COUNTIF(기관표[사번키],INDEX(합계표[사번키],$W695))+COUNTIF(월별근무지표[사번키],INDEX(합계표[사번키],$W695))&gt;0,IFERROR(INDEX(기관표[급여지급병원(기준월)],MATCH(INDEX(합계표[사번키],$W695)&amp;"|"&amp;대상월키,기관표[키],0))&amp;"","—"),"—")))</f>
        <v/>
      </c>
      <c r="L695">
        <f>IF($W695="","",IF(NOT(COUNTIF(기관표[사번키],INDEX(합계표[사번키],$W695))+COUNTIF(월별근무지표[사번키],INDEX(합계표[사번키],$W695))&gt;0),"기관명단에 없음(다른 병원으로 발송)",IF($K695="—","대상월 기관명단 없음(추가 필요)",IF($K695="서울병원","해당","비해당"))))</f>
        <v/>
      </c>
      <c r="M695">
        <f>IF($W695="","",SUMIFS(상세표[06~07시],상세표[사번키],INDEX(합계표[사번키],$W695),상세표[반영월],대상월키,상세표[반영 기관],"서울병원"))</f>
        <v/>
      </c>
      <c r="N695">
        <f>IF($W695="","",SUMIFS(상세표[07~18시],상세표[사번키],INDEX(합계표[사번키],$W695),상세표[반영월],대상월키,상세표[반영 기관],"서울병원"))</f>
        <v/>
      </c>
      <c r="O695">
        <f>IF($W695="","",SUMIFS(상세표[18~22시],상세표[사번키],INDEX(합계표[사번키],$W695),상세표[반영월],대상월키,상세표[반영 기관],"서울병원"))</f>
        <v/>
      </c>
      <c r="P695">
        <f>IF($W695="","",SUMIFS(상세표[22~06시],상세표[사번키],INDEX(합계표[사번키],$W695),상세표[반영월],대상월키,상세표[반영 기관],"서울병원"))</f>
        <v/>
      </c>
      <c r="Q695">
        <f>IF($W695="","",SUM($M695:$P695))</f>
        <v/>
      </c>
      <c r="R695">
        <f>IF($W695="","",COUNTIFS(상세표[사번키],INDEX(합계표[사번키],$W695),상세표[반영월],대상월키,상세표[야간당직],1,상세표[야간 구분],"평일"))</f>
        <v/>
      </c>
      <c r="S695" s="4">
        <f>IF($W695="","",COUNTIFS(상세표[사번키],INDEX(합계표[사번키],$W695),상세표[반영월],대상월키,상세표[야간당직],1,상세표[야간 구분],"휴일"))</f>
        <v/>
      </c>
      <c r="T695">
        <f>IF($W695="","",COUNTIFS(상세표[사번키],INDEX(합계표[사번키],$W695),상세표[반영월],대상월키,상세표[야간당직],1,상세표[야간 구분],"평일",상세표[반영 기관],"서울병원"))</f>
        <v/>
      </c>
      <c r="U695">
        <f>IF($W695="","",COUNTIFS(상세표[사번키],INDEX(합계표[사번키],$W695),상세표[반영월],대상월키,상세표[야간당직],1,상세표[야간 구분],"휴일",상세표[반영 기관],"서울병원"))</f>
        <v/>
      </c>
      <c r="V695">
        <f>IF($W695="","",IF(ISNUMBER(MATCH(INDEX(합계표[사번키],$W695)&amp;"|"&amp;대상월키,월별근무지표[키],0)),"직접 입력",IF($K695="—","—","기관명단")))</f>
        <v/>
      </c>
      <c r="W695">
        <f>IFERROR(MATCH(690,합계표[판정순번],0),"")</f>
        <v/>
      </c>
    </row>
    <row r="696">
      <c r="A696">
        <f>IF($W696="","",INDEX(합계표[사번],$W696)&amp;"")</f>
        <v/>
      </c>
      <c r="B696">
        <f>IF($W696="","",INDEX(합계표[성명],$W696)&amp;"")</f>
        <v/>
      </c>
      <c r="C696">
        <f>IF($W696="","",INDEX(합계표[부서],$W696)&amp;"")</f>
        <v/>
      </c>
      <c r="D696">
        <f>IF($W696="","",INDEX(합계표[직위(통합)],$W696)&amp;"")</f>
        <v/>
      </c>
      <c r="E696">
        <f>IF($W696="","",SUMIFS(합계표[시스템 합계],합계표[사번키],INDEX(합계표[사번키],$W696)))</f>
        <v/>
      </c>
      <c r="F696">
        <f>IF($W696="","",SUMIFS(상세표[기록 시간외],상세표[사번키],INDEX(합계표[사번키],$W696),상세표[기록월],대상월키))</f>
        <v/>
      </c>
      <c r="G696">
        <f>IF($W696="","",IF(ABS($E696-$F696)&lt;0.01,"일치","불일치(차이 "&amp;TEXT($F696-$E696,"0.00")&amp;")"))</f>
        <v/>
      </c>
      <c r="H696">
        <f>IF($W696="","",SUMIFS(상세표[기록 시간외],상세표[사번키],INDEX(합계표[사번키],$W696),상세표[기록월],대상월키,상세표[반영월],"&lt;&gt;"&amp;대상월키))</f>
        <v/>
      </c>
      <c r="I696">
        <f>IF($W696="","",SUMIFS(상세표[기록 시간외],상세표[사번키],INDEX(합계표[사번키],$W696),상세표[기록월],"&lt;&gt;"&amp;대상월키,상세표[반영월],대상월키))</f>
        <v/>
      </c>
      <c r="J696">
        <f>IF($W696="","",SUMIFS(상세표[기록 시간외],상세표[사번키],INDEX(합계표[사번키],$W696),상세표[반영월],대상월키))</f>
        <v/>
      </c>
      <c r="K696">
        <f>IF($W696="","",IFERROR(INDEX(월별근무지표[적용 급여병원],MATCH(INDEX(합계표[사번키],$W696)&amp;"|"&amp;대상월키,월별근무지표[키],0))&amp;"",IF(COUNTIF(기관표[사번키],INDEX(합계표[사번키],$W696))+COUNTIF(월별근무지표[사번키],INDEX(합계표[사번키],$W696))&gt;0,IFERROR(INDEX(기관표[급여지급병원(기준월)],MATCH(INDEX(합계표[사번키],$W696)&amp;"|"&amp;대상월키,기관표[키],0))&amp;"","—"),"—")))</f>
        <v/>
      </c>
      <c r="L696">
        <f>IF($W696="","",IF(NOT(COUNTIF(기관표[사번키],INDEX(합계표[사번키],$W696))+COUNTIF(월별근무지표[사번키],INDEX(합계표[사번키],$W696))&gt;0),"기관명단에 없음(다른 병원으로 발송)",IF($K696="—","대상월 기관명단 없음(추가 필요)",IF($K696="서울병원","해당","비해당"))))</f>
        <v/>
      </c>
      <c r="M696">
        <f>IF($W696="","",SUMIFS(상세표[06~07시],상세표[사번키],INDEX(합계표[사번키],$W696),상세표[반영월],대상월키,상세표[반영 기관],"서울병원"))</f>
        <v/>
      </c>
      <c r="N696">
        <f>IF($W696="","",SUMIFS(상세표[07~18시],상세표[사번키],INDEX(합계표[사번키],$W696),상세표[반영월],대상월키,상세표[반영 기관],"서울병원"))</f>
        <v/>
      </c>
      <c r="O696">
        <f>IF($W696="","",SUMIFS(상세표[18~22시],상세표[사번키],INDEX(합계표[사번키],$W696),상세표[반영월],대상월키,상세표[반영 기관],"서울병원"))</f>
        <v/>
      </c>
      <c r="P696">
        <f>IF($W696="","",SUMIFS(상세표[22~06시],상세표[사번키],INDEX(합계표[사번키],$W696),상세표[반영월],대상월키,상세표[반영 기관],"서울병원"))</f>
        <v/>
      </c>
      <c r="Q696">
        <f>IF($W696="","",SUM($M696:$P696))</f>
        <v/>
      </c>
      <c r="R696">
        <f>IF($W696="","",COUNTIFS(상세표[사번키],INDEX(합계표[사번키],$W696),상세표[반영월],대상월키,상세표[야간당직],1,상세표[야간 구분],"평일"))</f>
        <v/>
      </c>
      <c r="S696" s="4">
        <f>IF($W696="","",COUNTIFS(상세표[사번키],INDEX(합계표[사번키],$W696),상세표[반영월],대상월키,상세표[야간당직],1,상세표[야간 구분],"휴일"))</f>
        <v/>
      </c>
      <c r="T696">
        <f>IF($W696="","",COUNTIFS(상세표[사번키],INDEX(합계표[사번키],$W696),상세표[반영월],대상월키,상세표[야간당직],1,상세표[야간 구분],"평일",상세표[반영 기관],"서울병원"))</f>
        <v/>
      </c>
      <c r="U696">
        <f>IF($W696="","",COUNTIFS(상세표[사번키],INDEX(합계표[사번키],$W696),상세표[반영월],대상월키,상세표[야간당직],1,상세표[야간 구분],"휴일",상세표[반영 기관],"서울병원"))</f>
        <v/>
      </c>
      <c r="V696">
        <f>IF($W696="","",IF(ISNUMBER(MATCH(INDEX(합계표[사번키],$W696)&amp;"|"&amp;대상월키,월별근무지표[키],0)),"직접 입력",IF($K696="—","—","기관명단")))</f>
        <v/>
      </c>
      <c r="W696">
        <f>IFERROR(MATCH(691,합계표[판정순번],0),"")</f>
        <v/>
      </c>
    </row>
    <row r="697">
      <c r="A697">
        <f>IF($W697="","",INDEX(합계표[사번],$W697)&amp;"")</f>
        <v/>
      </c>
      <c r="B697">
        <f>IF($W697="","",INDEX(합계표[성명],$W697)&amp;"")</f>
        <v/>
      </c>
      <c r="C697">
        <f>IF($W697="","",INDEX(합계표[부서],$W697)&amp;"")</f>
        <v/>
      </c>
      <c r="D697">
        <f>IF($W697="","",INDEX(합계표[직위(통합)],$W697)&amp;"")</f>
        <v/>
      </c>
      <c r="E697">
        <f>IF($W697="","",SUMIFS(합계표[시스템 합계],합계표[사번키],INDEX(합계표[사번키],$W697)))</f>
        <v/>
      </c>
      <c r="F697">
        <f>IF($W697="","",SUMIFS(상세표[기록 시간외],상세표[사번키],INDEX(합계표[사번키],$W697),상세표[기록월],대상월키))</f>
        <v/>
      </c>
      <c r="G697">
        <f>IF($W697="","",IF(ABS($E697-$F697)&lt;0.01,"일치","불일치(차이 "&amp;TEXT($F697-$E697,"0.00")&amp;")"))</f>
        <v/>
      </c>
      <c r="H697">
        <f>IF($W697="","",SUMIFS(상세표[기록 시간외],상세표[사번키],INDEX(합계표[사번키],$W697),상세표[기록월],대상월키,상세표[반영월],"&lt;&gt;"&amp;대상월키))</f>
        <v/>
      </c>
      <c r="I697">
        <f>IF($W697="","",SUMIFS(상세표[기록 시간외],상세표[사번키],INDEX(합계표[사번키],$W697),상세표[기록월],"&lt;&gt;"&amp;대상월키,상세표[반영월],대상월키))</f>
        <v/>
      </c>
      <c r="J697">
        <f>IF($W697="","",SUMIFS(상세표[기록 시간외],상세표[사번키],INDEX(합계표[사번키],$W697),상세표[반영월],대상월키))</f>
        <v/>
      </c>
      <c r="K697">
        <f>IF($W697="","",IFERROR(INDEX(월별근무지표[적용 급여병원],MATCH(INDEX(합계표[사번키],$W697)&amp;"|"&amp;대상월키,월별근무지표[키],0))&amp;"",IF(COUNTIF(기관표[사번키],INDEX(합계표[사번키],$W697))+COUNTIF(월별근무지표[사번키],INDEX(합계표[사번키],$W697))&gt;0,IFERROR(INDEX(기관표[급여지급병원(기준월)],MATCH(INDEX(합계표[사번키],$W697)&amp;"|"&amp;대상월키,기관표[키],0))&amp;"","—"),"—")))</f>
        <v/>
      </c>
      <c r="L697">
        <f>IF($W697="","",IF(NOT(COUNTIF(기관표[사번키],INDEX(합계표[사번키],$W697))+COUNTIF(월별근무지표[사번키],INDEX(합계표[사번키],$W697))&gt;0),"기관명단에 없음(다른 병원으로 발송)",IF($K697="—","대상월 기관명단 없음(추가 필요)",IF($K697="서울병원","해당","비해당"))))</f>
        <v/>
      </c>
      <c r="M697">
        <f>IF($W697="","",SUMIFS(상세표[06~07시],상세표[사번키],INDEX(합계표[사번키],$W697),상세표[반영월],대상월키,상세표[반영 기관],"서울병원"))</f>
        <v/>
      </c>
      <c r="N697">
        <f>IF($W697="","",SUMIFS(상세표[07~18시],상세표[사번키],INDEX(합계표[사번키],$W697),상세표[반영월],대상월키,상세표[반영 기관],"서울병원"))</f>
        <v/>
      </c>
      <c r="O697">
        <f>IF($W697="","",SUMIFS(상세표[18~22시],상세표[사번키],INDEX(합계표[사번키],$W697),상세표[반영월],대상월키,상세표[반영 기관],"서울병원"))</f>
        <v/>
      </c>
      <c r="P697">
        <f>IF($W697="","",SUMIFS(상세표[22~06시],상세표[사번키],INDEX(합계표[사번키],$W697),상세표[반영월],대상월키,상세표[반영 기관],"서울병원"))</f>
        <v/>
      </c>
      <c r="Q697">
        <f>IF($W697="","",SUM($M697:$P697))</f>
        <v/>
      </c>
      <c r="R697">
        <f>IF($W697="","",COUNTIFS(상세표[사번키],INDEX(합계표[사번키],$W697),상세표[반영월],대상월키,상세표[야간당직],1,상세표[야간 구분],"평일"))</f>
        <v/>
      </c>
      <c r="S697" s="4">
        <f>IF($W697="","",COUNTIFS(상세표[사번키],INDEX(합계표[사번키],$W697),상세표[반영월],대상월키,상세표[야간당직],1,상세표[야간 구분],"휴일"))</f>
        <v/>
      </c>
      <c r="T697">
        <f>IF($W697="","",COUNTIFS(상세표[사번키],INDEX(합계표[사번키],$W697),상세표[반영월],대상월키,상세표[야간당직],1,상세표[야간 구분],"평일",상세표[반영 기관],"서울병원"))</f>
        <v/>
      </c>
      <c r="U697">
        <f>IF($W697="","",COUNTIFS(상세표[사번키],INDEX(합계표[사번키],$W697),상세표[반영월],대상월키,상세표[야간당직],1,상세표[야간 구분],"휴일",상세표[반영 기관],"서울병원"))</f>
        <v/>
      </c>
      <c r="V697">
        <f>IF($W697="","",IF(ISNUMBER(MATCH(INDEX(합계표[사번키],$W697)&amp;"|"&amp;대상월키,월별근무지표[키],0)),"직접 입력",IF($K697="—","—","기관명단")))</f>
        <v/>
      </c>
      <c r="W697">
        <f>IFERROR(MATCH(692,합계표[판정순번],0),"")</f>
        <v/>
      </c>
    </row>
    <row r="698">
      <c r="A698">
        <f>IF($W698="","",INDEX(합계표[사번],$W698)&amp;"")</f>
        <v/>
      </c>
      <c r="B698">
        <f>IF($W698="","",INDEX(합계표[성명],$W698)&amp;"")</f>
        <v/>
      </c>
      <c r="C698">
        <f>IF($W698="","",INDEX(합계표[부서],$W698)&amp;"")</f>
        <v/>
      </c>
      <c r="D698">
        <f>IF($W698="","",INDEX(합계표[직위(통합)],$W698)&amp;"")</f>
        <v/>
      </c>
      <c r="E698">
        <f>IF($W698="","",SUMIFS(합계표[시스템 합계],합계표[사번키],INDEX(합계표[사번키],$W698)))</f>
        <v/>
      </c>
      <c r="F698">
        <f>IF($W698="","",SUMIFS(상세표[기록 시간외],상세표[사번키],INDEX(합계표[사번키],$W698),상세표[기록월],대상월키))</f>
        <v/>
      </c>
      <c r="G698">
        <f>IF($W698="","",IF(ABS($E698-$F698)&lt;0.01,"일치","불일치(차이 "&amp;TEXT($F698-$E698,"0.00")&amp;")"))</f>
        <v/>
      </c>
      <c r="H698">
        <f>IF($W698="","",SUMIFS(상세표[기록 시간외],상세표[사번키],INDEX(합계표[사번키],$W698),상세표[기록월],대상월키,상세표[반영월],"&lt;&gt;"&amp;대상월키))</f>
        <v/>
      </c>
      <c r="I698">
        <f>IF($W698="","",SUMIFS(상세표[기록 시간외],상세표[사번키],INDEX(합계표[사번키],$W698),상세표[기록월],"&lt;&gt;"&amp;대상월키,상세표[반영월],대상월키))</f>
        <v/>
      </c>
      <c r="J698">
        <f>IF($W698="","",SUMIFS(상세표[기록 시간외],상세표[사번키],INDEX(합계표[사번키],$W698),상세표[반영월],대상월키))</f>
        <v/>
      </c>
      <c r="K698">
        <f>IF($W698="","",IFERROR(INDEX(월별근무지표[적용 급여병원],MATCH(INDEX(합계표[사번키],$W698)&amp;"|"&amp;대상월키,월별근무지표[키],0))&amp;"",IF(COUNTIF(기관표[사번키],INDEX(합계표[사번키],$W698))+COUNTIF(월별근무지표[사번키],INDEX(합계표[사번키],$W698))&gt;0,IFERROR(INDEX(기관표[급여지급병원(기준월)],MATCH(INDEX(합계표[사번키],$W698)&amp;"|"&amp;대상월키,기관표[키],0))&amp;"","—"),"—")))</f>
        <v/>
      </c>
      <c r="L698">
        <f>IF($W698="","",IF(NOT(COUNTIF(기관표[사번키],INDEX(합계표[사번키],$W698))+COUNTIF(월별근무지표[사번키],INDEX(합계표[사번키],$W698))&gt;0),"기관명단에 없음(다른 병원으로 발송)",IF($K698="—","대상월 기관명단 없음(추가 필요)",IF($K698="서울병원","해당","비해당"))))</f>
        <v/>
      </c>
      <c r="M698">
        <f>IF($W698="","",SUMIFS(상세표[06~07시],상세표[사번키],INDEX(합계표[사번키],$W698),상세표[반영월],대상월키,상세표[반영 기관],"서울병원"))</f>
        <v/>
      </c>
      <c r="N698">
        <f>IF($W698="","",SUMIFS(상세표[07~18시],상세표[사번키],INDEX(합계표[사번키],$W698),상세표[반영월],대상월키,상세표[반영 기관],"서울병원"))</f>
        <v/>
      </c>
      <c r="O698">
        <f>IF($W698="","",SUMIFS(상세표[18~22시],상세표[사번키],INDEX(합계표[사번키],$W698),상세표[반영월],대상월키,상세표[반영 기관],"서울병원"))</f>
        <v/>
      </c>
      <c r="P698">
        <f>IF($W698="","",SUMIFS(상세표[22~06시],상세표[사번키],INDEX(합계표[사번키],$W698),상세표[반영월],대상월키,상세표[반영 기관],"서울병원"))</f>
        <v/>
      </c>
      <c r="Q698">
        <f>IF($W698="","",SUM($M698:$P698))</f>
        <v/>
      </c>
      <c r="R698">
        <f>IF($W698="","",COUNTIFS(상세표[사번키],INDEX(합계표[사번키],$W698),상세표[반영월],대상월키,상세표[야간당직],1,상세표[야간 구분],"평일"))</f>
        <v/>
      </c>
      <c r="S698" s="4">
        <f>IF($W698="","",COUNTIFS(상세표[사번키],INDEX(합계표[사번키],$W698),상세표[반영월],대상월키,상세표[야간당직],1,상세표[야간 구분],"휴일"))</f>
        <v/>
      </c>
      <c r="T698">
        <f>IF($W698="","",COUNTIFS(상세표[사번키],INDEX(합계표[사번키],$W698),상세표[반영월],대상월키,상세표[야간당직],1,상세표[야간 구분],"평일",상세표[반영 기관],"서울병원"))</f>
        <v/>
      </c>
      <c r="U698">
        <f>IF($W698="","",COUNTIFS(상세표[사번키],INDEX(합계표[사번키],$W698),상세표[반영월],대상월키,상세표[야간당직],1,상세표[야간 구분],"휴일",상세표[반영 기관],"서울병원"))</f>
        <v/>
      </c>
      <c r="V698">
        <f>IF($W698="","",IF(ISNUMBER(MATCH(INDEX(합계표[사번키],$W698)&amp;"|"&amp;대상월키,월별근무지표[키],0)),"직접 입력",IF($K698="—","—","기관명단")))</f>
        <v/>
      </c>
      <c r="W698">
        <f>IFERROR(MATCH(693,합계표[판정순번],0),"")</f>
        <v/>
      </c>
    </row>
    <row r="699">
      <c r="A699">
        <f>IF($W699="","",INDEX(합계표[사번],$W699)&amp;"")</f>
        <v/>
      </c>
      <c r="B699">
        <f>IF($W699="","",INDEX(합계표[성명],$W699)&amp;"")</f>
        <v/>
      </c>
      <c r="C699">
        <f>IF($W699="","",INDEX(합계표[부서],$W699)&amp;"")</f>
        <v/>
      </c>
      <c r="D699">
        <f>IF($W699="","",INDEX(합계표[직위(통합)],$W699)&amp;"")</f>
        <v/>
      </c>
      <c r="E699">
        <f>IF($W699="","",SUMIFS(합계표[시스템 합계],합계표[사번키],INDEX(합계표[사번키],$W699)))</f>
        <v/>
      </c>
      <c r="F699">
        <f>IF($W699="","",SUMIFS(상세표[기록 시간외],상세표[사번키],INDEX(합계표[사번키],$W699),상세표[기록월],대상월키))</f>
        <v/>
      </c>
      <c r="G699">
        <f>IF($W699="","",IF(ABS($E699-$F699)&lt;0.01,"일치","불일치(차이 "&amp;TEXT($F699-$E699,"0.00")&amp;")"))</f>
        <v/>
      </c>
      <c r="H699">
        <f>IF($W699="","",SUMIFS(상세표[기록 시간외],상세표[사번키],INDEX(합계표[사번키],$W699),상세표[기록월],대상월키,상세표[반영월],"&lt;&gt;"&amp;대상월키))</f>
        <v/>
      </c>
      <c r="I699">
        <f>IF($W699="","",SUMIFS(상세표[기록 시간외],상세표[사번키],INDEX(합계표[사번키],$W699),상세표[기록월],"&lt;&gt;"&amp;대상월키,상세표[반영월],대상월키))</f>
        <v/>
      </c>
      <c r="J699">
        <f>IF($W699="","",SUMIFS(상세표[기록 시간외],상세표[사번키],INDEX(합계표[사번키],$W699),상세표[반영월],대상월키))</f>
        <v/>
      </c>
      <c r="K699">
        <f>IF($W699="","",IFERROR(INDEX(월별근무지표[적용 급여병원],MATCH(INDEX(합계표[사번키],$W699)&amp;"|"&amp;대상월키,월별근무지표[키],0))&amp;"",IF(COUNTIF(기관표[사번키],INDEX(합계표[사번키],$W699))+COUNTIF(월별근무지표[사번키],INDEX(합계표[사번키],$W699))&gt;0,IFERROR(INDEX(기관표[급여지급병원(기준월)],MATCH(INDEX(합계표[사번키],$W699)&amp;"|"&amp;대상월키,기관표[키],0))&amp;"","—"),"—")))</f>
        <v/>
      </c>
      <c r="L699">
        <f>IF($W699="","",IF(NOT(COUNTIF(기관표[사번키],INDEX(합계표[사번키],$W699))+COUNTIF(월별근무지표[사번키],INDEX(합계표[사번키],$W699))&gt;0),"기관명단에 없음(다른 병원으로 발송)",IF($K699="—","대상월 기관명단 없음(추가 필요)",IF($K699="서울병원","해당","비해당"))))</f>
        <v/>
      </c>
      <c r="M699">
        <f>IF($W699="","",SUMIFS(상세표[06~07시],상세표[사번키],INDEX(합계표[사번키],$W699),상세표[반영월],대상월키,상세표[반영 기관],"서울병원"))</f>
        <v/>
      </c>
      <c r="N699">
        <f>IF($W699="","",SUMIFS(상세표[07~18시],상세표[사번키],INDEX(합계표[사번키],$W699),상세표[반영월],대상월키,상세표[반영 기관],"서울병원"))</f>
        <v/>
      </c>
      <c r="O699">
        <f>IF($W699="","",SUMIFS(상세표[18~22시],상세표[사번키],INDEX(합계표[사번키],$W699),상세표[반영월],대상월키,상세표[반영 기관],"서울병원"))</f>
        <v/>
      </c>
      <c r="P699">
        <f>IF($W699="","",SUMIFS(상세표[22~06시],상세표[사번키],INDEX(합계표[사번키],$W699),상세표[반영월],대상월키,상세표[반영 기관],"서울병원"))</f>
        <v/>
      </c>
      <c r="Q699">
        <f>IF($W699="","",SUM($M699:$P699))</f>
        <v/>
      </c>
      <c r="R699">
        <f>IF($W699="","",COUNTIFS(상세표[사번키],INDEX(합계표[사번키],$W699),상세표[반영월],대상월키,상세표[야간당직],1,상세표[야간 구분],"평일"))</f>
        <v/>
      </c>
      <c r="S699" s="4">
        <f>IF($W699="","",COUNTIFS(상세표[사번키],INDEX(합계표[사번키],$W699),상세표[반영월],대상월키,상세표[야간당직],1,상세표[야간 구분],"휴일"))</f>
        <v/>
      </c>
      <c r="T699">
        <f>IF($W699="","",COUNTIFS(상세표[사번키],INDEX(합계표[사번키],$W699),상세표[반영월],대상월키,상세표[야간당직],1,상세표[야간 구분],"평일",상세표[반영 기관],"서울병원"))</f>
        <v/>
      </c>
      <c r="U699">
        <f>IF($W699="","",COUNTIFS(상세표[사번키],INDEX(합계표[사번키],$W699),상세표[반영월],대상월키,상세표[야간당직],1,상세표[야간 구분],"휴일",상세표[반영 기관],"서울병원"))</f>
        <v/>
      </c>
      <c r="V699">
        <f>IF($W699="","",IF(ISNUMBER(MATCH(INDEX(합계표[사번키],$W699)&amp;"|"&amp;대상월키,월별근무지표[키],0)),"직접 입력",IF($K699="—","—","기관명단")))</f>
        <v/>
      </c>
      <c r="W699">
        <f>IFERROR(MATCH(694,합계표[판정순번],0),"")</f>
        <v/>
      </c>
    </row>
    <row r="700">
      <c r="A700">
        <f>IF($W700="","",INDEX(합계표[사번],$W700)&amp;"")</f>
        <v/>
      </c>
      <c r="B700">
        <f>IF($W700="","",INDEX(합계표[성명],$W700)&amp;"")</f>
        <v/>
      </c>
      <c r="C700">
        <f>IF($W700="","",INDEX(합계표[부서],$W700)&amp;"")</f>
        <v/>
      </c>
      <c r="D700">
        <f>IF($W700="","",INDEX(합계표[직위(통합)],$W700)&amp;"")</f>
        <v/>
      </c>
      <c r="E700">
        <f>IF($W700="","",SUMIFS(합계표[시스템 합계],합계표[사번키],INDEX(합계표[사번키],$W700)))</f>
        <v/>
      </c>
      <c r="F700">
        <f>IF($W700="","",SUMIFS(상세표[기록 시간외],상세표[사번키],INDEX(합계표[사번키],$W700),상세표[기록월],대상월키))</f>
        <v/>
      </c>
      <c r="G700">
        <f>IF($W700="","",IF(ABS($E700-$F700)&lt;0.01,"일치","불일치(차이 "&amp;TEXT($F700-$E700,"0.00")&amp;")"))</f>
        <v/>
      </c>
      <c r="H700">
        <f>IF($W700="","",SUMIFS(상세표[기록 시간외],상세표[사번키],INDEX(합계표[사번키],$W700),상세표[기록월],대상월키,상세표[반영월],"&lt;&gt;"&amp;대상월키))</f>
        <v/>
      </c>
      <c r="I700">
        <f>IF($W700="","",SUMIFS(상세표[기록 시간외],상세표[사번키],INDEX(합계표[사번키],$W700),상세표[기록월],"&lt;&gt;"&amp;대상월키,상세표[반영월],대상월키))</f>
        <v/>
      </c>
      <c r="J700">
        <f>IF($W700="","",SUMIFS(상세표[기록 시간외],상세표[사번키],INDEX(합계표[사번키],$W700),상세표[반영월],대상월키))</f>
        <v/>
      </c>
      <c r="K700">
        <f>IF($W700="","",IFERROR(INDEX(월별근무지표[적용 급여병원],MATCH(INDEX(합계표[사번키],$W700)&amp;"|"&amp;대상월키,월별근무지표[키],0))&amp;"",IF(COUNTIF(기관표[사번키],INDEX(합계표[사번키],$W700))+COUNTIF(월별근무지표[사번키],INDEX(합계표[사번키],$W700))&gt;0,IFERROR(INDEX(기관표[급여지급병원(기준월)],MATCH(INDEX(합계표[사번키],$W700)&amp;"|"&amp;대상월키,기관표[키],0))&amp;"","—"),"—")))</f>
        <v/>
      </c>
      <c r="L700">
        <f>IF($W700="","",IF(NOT(COUNTIF(기관표[사번키],INDEX(합계표[사번키],$W700))+COUNTIF(월별근무지표[사번키],INDEX(합계표[사번키],$W700))&gt;0),"기관명단에 없음(다른 병원으로 발송)",IF($K700="—","대상월 기관명단 없음(추가 필요)",IF($K700="서울병원","해당","비해당"))))</f>
        <v/>
      </c>
      <c r="M700">
        <f>IF($W700="","",SUMIFS(상세표[06~07시],상세표[사번키],INDEX(합계표[사번키],$W700),상세표[반영월],대상월키,상세표[반영 기관],"서울병원"))</f>
        <v/>
      </c>
      <c r="N700">
        <f>IF($W700="","",SUMIFS(상세표[07~18시],상세표[사번키],INDEX(합계표[사번키],$W700),상세표[반영월],대상월키,상세표[반영 기관],"서울병원"))</f>
        <v/>
      </c>
      <c r="O700">
        <f>IF($W700="","",SUMIFS(상세표[18~22시],상세표[사번키],INDEX(합계표[사번키],$W700),상세표[반영월],대상월키,상세표[반영 기관],"서울병원"))</f>
        <v/>
      </c>
      <c r="P700">
        <f>IF($W700="","",SUMIFS(상세표[22~06시],상세표[사번키],INDEX(합계표[사번키],$W700),상세표[반영월],대상월키,상세표[반영 기관],"서울병원"))</f>
        <v/>
      </c>
      <c r="Q700">
        <f>IF($W700="","",SUM($M700:$P700))</f>
        <v/>
      </c>
      <c r="R700">
        <f>IF($W700="","",COUNTIFS(상세표[사번키],INDEX(합계표[사번키],$W700),상세표[반영월],대상월키,상세표[야간당직],1,상세표[야간 구분],"평일"))</f>
        <v/>
      </c>
      <c r="S700" s="4">
        <f>IF($W700="","",COUNTIFS(상세표[사번키],INDEX(합계표[사번키],$W700),상세표[반영월],대상월키,상세표[야간당직],1,상세표[야간 구분],"휴일"))</f>
        <v/>
      </c>
      <c r="T700">
        <f>IF($W700="","",COUNTIFS(상세표[사번키],INDEX(합계표[사번키],$W700),상세표[반영월],대상월키,상세표[야간당직],1,상세표[야간 구분],"평일",상세표[반영 기관],"서울병원"))</f>
        <v/>
      </c>
      <c r="U700">
        <f>IF($W700="","",COUNTIFS(상세표[사번키],INDEX(합계표[사번키],$W700),상세표[반영월],대상월키,상세표[야간당직],1,상세표[야간 구분],"휴일",상세표[반영 기관],"서울병원"))</f>
        <v/>
      </c>
      <c r="V700">
        <f>IF($W700="","",IF(ISNUMBER(MATCH(INDEX(합계표[사번키],$W700)&amp;"|"&amp;대상월키,월별근무지표[키],0)),"직접 입력",IF($K700="—","—","기관명단")))</f>
        <v/>
      </c>
      <c r="W700">
        <f>IFERROR(MATCH(695,합계표[판정순번],0),"")</f>
        <v/>
      </c>
    </row>
    <row r="701">
      <c r="A701">
        <f>IF($W701="","",INDEX(합계표[사번],$W701)&amp;"")</f>
        <v/>
      </c>
      <c r="B701">
        <f>IF($W701="","",INDEX(합계표[성명],$W701)&amp;"")</f>
        <v/>
      </c>
      <c r="C701">
        <f>IF($W701="","",INDEX(합계표[부서],$W701)&amp;"")</f>
        <v/>
      </c>
      <c r="D701">
        <f>IF($W701="","",INDEX(합계표[직위(통합)],$W701)&amp;"")</f>
        <v/>
      </c>
      <c r="E701">
        <f>IF($W701="","",SUMIFS(합계표[시스템 합계],합계표[사번키],INDEX(합계표[사번키],$W701)))</f>
        <v/>
      </c>
      <c r="F701">
        <f>IF($W701="","",SUMIFS(상세표[기록 시간외],상세표[사번키],INDEX(합계표[사번키],$W701),상세표[기록월],대상월키))</f>
        <v/>
      </c>
      <c r="G701">
        <f>IF($W701="","",IF(ABS($E701-$F701)&lt;0.01,"일치","불일치(차이 "&amp;TEXT($F701-$E701,"0.00")&amp;")"))</f>
        <v/>
      </c>
      <c r="H701">
        <f>IF($W701="","",SUMIFS(상세표[기록 시간외],상세표[사번키],INDEX(합계표[사번키],$W701),상세표[기록월],대상월키,상세표[반영월],"&lt;&gt;"&amp;대상월키))</f>
        <v/>
      </c>
      <c r="I701">
        <f>IF($W701="","",SUMIFS(상세표[기록 시간외],상세표[사번키],INDEX(합계표[사번키],$W701),상세표[기록월],"&lt;&gt;"&amp;대상월키,상세표[반영월],대상월키))</f>
        <v/>
      </c>
      <c r="J701">
        <f>IF($W701="","",SUMIFS(상세표[기록 시간외],상세표[사번키],INDEX(합계표[사번키],$W701),상세표[반영월],대상월키))</f>
        <v/>
      </c>
      <c r="K701">
        <f>IF($W701="","",IFERROR(INDEX(월별근무지표[적용 급여병원],MATCH(INDEX(합계표[사번키],$W701)&amp;"|"&amp;대상월키,월별근무지표[키],0))&amp;"",IF(COUNTIF(기관표[사번키],INDEX(합계표[사번키],$W701))+COUNTIF(월별근무지표[사번키],INDEX(합계표[사번키],$W701))&gt;0,IFERROR(INDEX(기관표[급여지급병원(기준월)],MATCH(INDEX(합계표[사번키],$W701)&amp;"|"&amp;대상월키,기관표[키],0))&amp;"","—"),"—")))</f>
        <v/>
      </c>
      <c r="L701">
        <f>IF($W701="","",IF(NOT(COUNTIF(기관표[사번키],INDEX(합계표[사번키],$W701))+COUNTIF(월별근무지표[사번키],INDEX(합계표[사번키],$W701))&gt;0),"기관명단에 없음(다른 병원으로 발송)",IF($K701="—","대상월 기관명단 없음(추가 필요)",IF($K701="서울병원","해당","비해당"))))</f>
        <v/>
      </c>
      <c r="M701">
        <f>IF($W701="","",SUMIFS(상세표[06~07시],상세표[사번키],INDEX(합계표[사번키],$W701),상세표[반영월],대상월키,상세표[반영 기관],"서울병원"))</f>
        <v/>
      </c>
      <c r="N701">
        <f>IF($W701="","",SUMIFS(상세표[07~18시],상세표[사번키],INDEX(합계표[사번키],$W701),상세표[반영월],대상월키,상세표[반영 기관],"서울병원"))</f>
        <v/>
      </c>
      <c r="O701">
        <f>IF($W701="","",SUMIFS(상세표[18~22시],상세표[사번키],INDEX(합계표[사번키],$W701),상세표[반영월],대상월키,상세표[반영 기관],"서울병원"))</f>
        <v/>
      </c>
      <c r="P701">
        <f>IF($W701="","",SUMIFS(상세표[22~06시],상세표[사번키],INDEX(합계표[사번키],$W701),상세표[반영월],대상월키,상세표[반영 기관],"서울병원"))</f>
        <v/>
      </c>
      <c r="Q701">
        <f>IF($W701="","",SUM($M701:$P701))</f>
        <v/>
      </c>
      <c r="R701">
        <f>IF($W701="","",COUNTIFS(상세표[사번키],INDEX(합계표[사번키],$W701),상세표[반영월],대상월키,상세표[야간당직],1,상세표[야간 구분],"평일"))</f>
        <v/>
      </c>
      <c r="S701" s="4">
        <f>IF($W701="","",COUNTIFS(상세표[사번키],INDEX(합계표[사번키],$W701),상세표[반영월],대상월키,상세표[야간당직],1,상세표[야간 구분],"휴일"))</f>
        <v/>
      </c>
      <c r="T701">
        <f>IF($W701="","",COUNTIFS(상세표[사번키],INDEX(합계표[사번키],$W701),상세표[반영월],대상월키,상세표[야간당직],1,상세표[야간 구분],"평일",상세표[반영 기관],"서울병원"))</f>
        <v/>
      </c>
      <c r="U701">
        <f>IF($W701="","",COUNTIFS(상세표[사번키],INDEX(합계표[사번키],$W701),상세표[반영월],대상월키,상세표[야간당직],1,상세표[야간 구분],"휴일",상세표[반영 기관],"서울병원"))</f>
        <v/>
      </c>
      <c r="V701">
        <f>IF($W701="","",IF(ISNUMBER(MATCH(INDEX(합계표[사번키],$W701)&amp;"|"&amp;대상월키,월별근무지표[키],0)),"직접 입력",IF($K701="—","—","기관명단")))</f>
        <v/>
      </c>
      <c r="W701">
        <f>IFERROR(MATCH(696,합계표[판정순번],0),"")</f>
        <v/>
      </c>
    </row>
    <row r="702">
      <c r="A702">
        <f>IF($W702="","",INDEX(합계표[사번],$W702)&amp;"")</f>
        <v/>
      </c>
      <c r="B702">
        <f>IF($W702="","",INDEX(합계표[성명],$W702)&amp;"")</f>
        <v/>
      </c>
      <c r="C702">
        <f>IF($W702="","",INDEX(합계표[부서],$W702)&amp;"")</f>
        <v/>
      </c>
      <c r="D702">
        <f>IF($W702="","",INDEX(합계표[직위(통합)],$W702)&amp;"")</f>
        <v/>
      </c>
      <c r="E702">
        <f>IF($W702="","",SUMIFS(합계표[시스템 합계],합계표[사번키],INDEX(합계표[사번키],$W702)))</f>
        <v/>
      </c>
      <c r="F702">
        <f>IF($W702="","",SUMIFS(상세표[기록 시간외],상세표[사번키],INDEX(합계표[사번키],$W702),상세표[기록월],대상월키))</f>
        <v/>
      </c>
      <c r="G702">
        <f>IF($W702="","",IF(ABS($E702-$F702)&lt;0.01,"일치","불일치(차이 "&amp;TEXT($F702-$E702,"0.00")&amp;")"))</f>
        <v/>
      </c>
      <c r="H702">
        <f>IF($W702="","",SUMIFS(상세표[기록 시간외],상세표[사번키],INDEX(합계표[사번키],$W702),상세표[기록월],대상월키,상세표[반영월],"&lt;&gt;"&amp;대상월키))</f>
        <v/>
      </c>
      <c r="I702">
        <f>IF($W702="","",SUMIFS(상세표[기록 시간외],상세표[사번키],INDEX(합계표[사번키],$W702),상세표[기록월],"&lt;&gt;"&amp;대상월키,상세표[반영월],대상월키))</f>
        <v/>
      </c>
      <c r="J702">
        <f>IF($W702="","",SUMIFS(상세표[기록 시간외],상세표[사번키],INDEX(합계표[사번키],$W702),상세표[반영월],대상월키))</f>
        <v/>
      </c>
      <c r="K702">
        <f>IF($W702="","",IFERROR(INDEX(월별근무지표[적용 급여병원],MATCH(INDEX(합계표[사번키],$W702)&amp;"|"&amp;대상월키,월별근무지표[키],0))&amp;"",IF(COUNTIF(기관표[사번키],INDEX(합계표[사번키],$W702))+COUNTIF(월별근무지표[사번키],INDEX(합계표[사번키],$W702))&gt;0,IFERROR(INDEX(기관표[급여지급병원(기준월)],MATCH(INDEX(합계표[사번키],$W702)&amp;"|"&amp;대상월키,기관표[키],0))&amp;"","—"),"—")))</f>
        <v/>
      </c>
      <c r="L702">
        <f>IF($W702="","",IF(NOT(COUNTIF(기관표[사번키],INDEX(합계표[사번키],$W702))+COUNTIF(월별근무지표[사번키],INDEX(합계표[사번키],$W702))&gt;0),"기관명단에 없음(다른 병원으로 발송)",IF($K702="—","대상월 기관명단 없음(추가 필요)",IF($K702="서울병원","해당","비해당"))))</f>
        <v/>
      </c>
      <c r="M702">
        <f>IF($W702="","",SUMIFS(상세표[06~07시],상세표[사번키],INDEX(합계표[사번키],$W702),상세표[반영월],대상월키,상세표[반영 기관],"서울병원"))</f>
        <v/>
      </c>
      <c r="N702">
        <f>IF($W702="","",SUMIFS(상세표[07~18시],상세표[사번키],INDEX(합계표[사번키],$W702),상세표[반영월],대상월키,상세표[반영 기관],"서울병원"))</f>
        <v/>
      </c>
      <c r="O702">
        <f>IF($W702="","",SUMIFS(상세표[18~22시],상세표[사번키],INDEX(합계표[사번키],$W702),상세표[반영월],대상월키,상세표[반영 기관],"서울병원"))</f>
        <v/>
      </c>
      <c r="P702">
        <f>IF($W702="","",SUMIFS(상세표[22~06시],상세표[사번키],INDEX(합계표[사번키],$W702),상세표[반영월],대상월키,상세표[반영 기관],"서울병원"))</f>
        <v/>
      </c>
      <c r="Q702">
        <f>IF($W702="","",SUM($M702:$P702))</f>
        <v/>
      </c>
      <c r="R702">
        <f>IF($W702="","",COUNTIFS(상세표[사번키],INDEX(합계표[사번키],$W702),상세표[반영월],대상월키,상세표[야간당직],1,상세표[야간 구분],"평일"))</f>
        <v/>
      </c>
      <c r="S702" s="4">
        <f>IF($W702="","",COUNTIFS(상세표[사번키],INDEX(합계표[사번키],$W702),상세표[반영월],대상월키,상세표[야간당직],1,상세표[야간 구분],"휴일"))</f>
        <v/>
      </c>
      <c r="T702">
        <f>IF($W702="","",COUNTIFS(상세표[사번키],INDEX(합계표[사번키],$W702),상세표[반영월],대상월키,상세표[야간당직],1,상세표[야간 구분],"평일",상세표[반영 기관],"서울병원"))</f>
        <v/>
      </c>
      <c r="U702">
        <f>IF($W702="","",COUNTIFS(상세표[사번키],INDEX(합계표[사번키],$W702),상세표[반영월],대상월키,상세표[야간당직],1,상세표[야간 구분],"휴일",상세표[반영 기관],"서울병원"))</f>
        <v/>
      </c>
      <c r="V702">
        <f>IF($W702="","",IF(ISNUMBER(MATCH(INDEX(합계표[사번키],$W702)&amp;"|"&amp;대상월키,월별근무지표[키],0)),"직접 입력",IF($K702="—","—","기관명단")))</f>
        <v/>
      </c>
      <c r="W702">
        <f>IFERROR(MATCH(697,합계표[판정순번],0),"")</f>
        <v/>
      </c>
    </row>
    <row r="703">
      <c r="A703">
        <f>IF($W703="","",INDEX(합계표[사번],$W703)&amp;"")</f>
        <v/>
      </c>
      <c r="B703">
        <f>IF($W703="","",INDEX(합계표[성명],$W703)&amp;"")</f>
        <v/>
      </c>
      <c r="C703">
        <f>IF($W703="","",INDEX(합계표[부서],$W703)&amp;"")</f>
        <v/>
      </c>
      <c r="D703">
        <f>IF($W703="","",INDEX(합계표[직위(통합)],$W703)&amp;"")</f>
        <v/>
      </c>
      <c r="E703">
        <f>IF($W703="","",SUMIFS(합계표[시스템 합계],합계표[사번키],INDEX(합계표[사번키],$W703)))</f>
        <v/>
      </c>
      <c r="F703">
        <f>IF($W703="","",SUMIFS(상세표[기록 시간외],상세표[사번키],INDEX(합계표[사번키],$W703),상세표[기록월],대상월키))</f>
        <v/>
      </c>
      <c r="G703">
        <f>IF($W703="","",IF(ABS($E703-$F703)&lt;0.01,"일치","불일치(차이 "&amp;TEXT($F703-$E703,"0.00")&amp;")"))</f>
        <v/>
      </c>
      <c r="H703">
        <f>IF($W703="","",SUMIFS(상세표[기록 시간외],상세표[사번키],INDEX(합계표[사번키],$W703),상세표[기록월],대상월키,상세표[반영월],"&lt;&gt;"&amp;대상월키))</f>
        <v/>
      </c>
      <c r="I703">
        <f>IF($W703="","",SUMIFS(상세표[기록 시간외],상세표[사번키],INDEX(합계표[사번키],$W703),상세표[기록월],"&lt;&gt;"&amp;대상월키,상세표[반영월],대상월키))</f>
        <v/>
      </c>
      <c r="J703">
        <f>IF($W703="","",SUMIFS(상세표[기록 시간외],상세표[사번키],INDEX(합계표[사번키],$W703),상세표[반영월],대상월키))</f>
        <v/>
      </c>
      <c r="K703">
        <f>IF($W703="","",IFERROR(INDEX(월별근무지표[적용 급여병원],MATCH(INDEX(합계표[사번키],$W703)&amp;"|"&amp;대상월키,월별근무지표[키],0))&amp;"",IF(COUNTIF(기관표[사번키],INDEX(합계표[사번키],$W703))+COUNTIF(월별근무지표[사번키],INDEX(합계표[사번키],$W703))&gt;0,IFERROR(INDEX(기관표[급여지급병원(기준월)],MATCH(INDEX(합계표[사번키],$W703)&amp;"|"&amp;대상월키,기관표[키],0))&amp;"","—"),"—")))</f>
        <v/>
      </c>
      <c r="L703">
        <f>IF($W703="","",IF(NOT(COUNTIF(기관표[사번키],INDEX(합계표[사번키],$W703))+COUNTIF(월별근무지표[사번키],INDEX(합계표[사번키],$W703))&gt;0),"기관명단에 없음(다른 병원으로 발송)",IF($K703="—","대상월 기관명단 없음(추가 필요)",IF($K703="서울병원","해당","비해당"))))</f>
        <v/>
      </c>
      <c r="M703">
        <f>IF($W703="","",SUMIFS(상세표[06~07시],상세표[사번키],INDEX(합계표[사번키],$W703),상세표[반영월],대상월키,상세표[반영 기관],"서울병원"))</f>
        <v/>
      </c>
      <c r="N703">
        <f>IF($W703="","",SUMIFS(상세표[07~18시],상세표[사번키],INDEX(합계표[사번키],$W703),상세표[반영월],대상월키,상세표[반영 기관],"서울병원"))</f>
        <v/>
      </c>
      <c r="O703">
        <f>IF($W703="","",SUMIFS(상세표[18~22시],상세표[사번키],INDEX(합계표[사번키],$W703),상세표[반영월],대상월키,상세표[반영 기관],"서울병원"))</f>
        <v/>
      </c>
      <c r="P703">
        <f>IF($W703="","",SUMIFS(상세표[22~06시],상세표[사번키],INDEX(합계표[사번키],$W703),상세표[반영월],대상월키,상세표[반영 기관],"서울병원"))</f>
        <v/>
      </c>
      <c r="Q703">
        <f>IF($W703="","",SUM($M703:$P703))</f>
        <v/>
      </c>
      <c r="R703">
        <f>IF($W703="","",COUNTIFS(상세표[사번키],INDEX(합계표[사번키],$W703),상세표[반영월],대상월키,상세표[야간당직],1,상세표[야간 구분],"평일"))</f>
        <v/>
      </c>
      <c r="S703" s="4">
        <f>IF($W703="","",COUNTIFS(상세표[사번키],INDEX(합계표[사번키],$W703),상세표[반영월],대상월키,상세표[야간당직],1,상세표[야간 구분],"휴일"))</f>
        <v/>
      </c>
      <c r="T703">
        <f>IF($W703="","",COUNTIFS(상세표[사번키],INDEX(합계표[사번키],$W703),상세표[반영월],대상월키,상세표[야간당직],1,상세표[야간 구분],"평일",상세표[반영 기관],"서울병원"))</f>
        <v/>
      </c>
      <c r="U703">
        <f>IF($W703="","",COUNTIFS(상세표[사번키],INDEX(합계표[사번키],$W703),상세표[반영월],대상월키,상세표[야간당직],1,상세표[야간 구분],"휴일",상세표[반영 기관],"서울병원"))</f>
        <v/>
      </c>
      <c r="V703">
        <f>IF($W703="","",IF(ISNUMBER(MATCH(INDEX(합계표[사번키],$W703)&amp;"|"&amp;대상월키,월별근무지표[키],0)),"직접 입력",IF($K703="—","—","기관명단")))</f>
        <v/>
      </c>
      <c r="W703">
        <f>IFERROR(MATCH(698,합계표[판정순번],0),"")</f>
        <v/>
      </c>
    </row>
    <row r="704">
      <c r="A704">
        <f>IF($W704="","",INDEX(합계표[사번],$W704)&amp;"")</f>
        <v/>
      </c>
      <c r="B704">
        <f>IF($W704="","",INDEX(합계표[성명],$W704)&amp;"")</f>
        <v/>
      </c>
      <c r="C704">
        <f>IF($W704="","",INDEX(합계표[부서],$W704)&amp;"")</f>
        <v/>
      </c>
      <c r="D704">
        <f>IF($W704="","",INDEX(합계표[직위(통합)],$W704)&amp;"")</f>
        <v/>
      </c>
      <c r="E704">
        <f>IF($W704="","",SUMIFS(합계표[시스템 합계],합계표[사번키],INDEX(합계표[사번키],$W704)))</f>
        <v/>
      </c>
      <c r="F704">
        <f>IF($W704="","",SUMIFS(상세표[기록 시간외],상세표[사번키],INDEX(합계표[사번키],$W704),상세표[기록월],대상월키))</f>
        <v/>
      </c>
      <c r="G704">
        <f>IF($W704="","",IF(ABS($E704-$F704)&lt;0.01,"일치","불일치(차이 "&amp;TEXT($F704-$E704,"0.00")&amp;")"))</f>
        <v/>
      </c>
      <c r="H704">
        <f>IF($W704="","",SUMIFS(상세표[기록 시간외],상세표[사번키],INDEX(합계표[사번키],$W704),상세표[기록월],대상월키,상세표[반영월],"&lt;&gt;"&amp;대상월키))</f>
        <v/>
      </c>
      <c r="I704">
        <f>IF($W704="","",SUMIFS(상세표[기록 시간외],상세표[사번키],INDEX(합계표[사번키],$W704),상세표[기록월],"&lt;&gt;"&amp;대상월키,상세표[반영월],대상월키))</f>
        <v/>
      </c>
      <c r="J704">
        <f>IF($W704="","",SUMIFS(상세표[기록 시간외],상세표[사번키],INDEX(합계표[사번키],$W704),상세표[반영월],대상월키))</f>
        <v/>
      </c>
      <c r="K704">
        <f>IF($W704="","",IFERROR(INDEX(월별근무지표[적용 급여병원],MATCH(INDEX(합계표[사번키],$W704)&amp;"|"&amp;대상월키,월별근무지표[키],0))&amp;"",IF(COUNTIF(기관표[사번키],INDEX(합계표[사번키],$W704))+COUNTIF(월별근무지표[사번키],INDEX(합계표[사번키],$W704))&gt;0,IFERROR(INDEX(기관표[급여지급병원(기준월)],MATCH(INDEX(합계표[사번키],$W704)&amp;"|"&amp;대상월키,기관표[키],0))&amp;"","—"),"—")))</f>
        <v/>
      </c>
      <c r="L704">
        <f>IF($W704="","",IF(NOT(COUNTIF(기관표[사번키],INDEX(합계표[사번키],$W704))+COUNTIF(월별근무지표[사번키],INDEX(합계표[사번키],$W704))&gt;0),"기관명단에 없음(다른 병원으로 발송)",IF($K704="—","대상월 기관명단 없음(추가 필요)",IF($K704="서울병원","해당","비해당"))))</f>
        <v/>
      </c>
      <c r="M704">
        <f>IF($W704="","",SUMIFS(상세표[06~07시],상세표[사번키],INDEX(합계표[사번키],$W704),상세표[반영월],대상월키,상세표[반영 기관],"서울병원"))</f>
        <v/>
      </c>
      <c r="N704">
        <f>IF($W704="","",SUMIFS(상세표[07~18시],상세표[사번키],INDEX(합계표[사번키],$W704),상세표[반영월],대상월키,상세표[반영 기관],"서울병원"))</f>
        <v/>
      </c>
      <c r="O704">
        <f>IF($W704="","",SUMIFS(상세표[18~22시],상세표[사번키],INDEX(합계표[사번키],$W704),상세표[반영월],대상월키,상세표[반영 기관],"서울병원"))</f>
        <v/>
      </c>
      <c r="P704">
        <f>IF($W704="","",SUMIFS(상세표[22~06시],상세표[사번키],INDEX(합계표[사번키],$W704),상세표[반영월],대상월키,상세표[반영 기관],"서울병원"))</f>
        <v/>
      </c>
      <c r="Q704">
        <f>IF($W704="","",SUM($M704:$P704))</f>
        <v/>
      </c>
      <c r="R704">
        <f>IF($W704="","",COUNTIFS(상세표[사번키],INDEX(합계표[사번키],$W704),상세표[반영월],대상월키,상세표[야간당직],1,상세표[야간 구분],"평일"))</f>
        <v/>
      </c>
      <c r="S704" s="4">
        <f>IF($W704="","",COUNTIFS(상세표[사번키],INDEX(합계표[사번키],$W704),상세표[반영월],대상월키,상세표[야간당직],1,상세표[야간 구분],"휴일"))</f>
        <v/>
      </c>
      <c r="T704">
        <f>IF($W704="","",COUNTIFS(상세표[사번키],INDEX(합계표[사번키],$W704),상세표[반영월],대상월키,상세표[야간당직],1,상세표[야간 구분],"평일",상세표[반영 기관],"서울병원"))</f>
        <v/>
      </c>
      <c r="U704">
        <f>IF($W704="","",COUNTIFS(상세표[사번키],INDEX(합계표[사번키],$W704),상세표[반영월],대상월키,상세표[야간당직],1,상세표[야간 구분],"휴일",상세표[반영 기관],"서울병원"))</f>
        <v/>
      </c>
      <c r="V704">
        <f>IF($W704="","",IF(ISNUMBER(MATCH(INDEX(합계표[사번키],$W704)&amp;"|"&amp;대상월키,월별근무지표[키],0)),"직접 입력",IF($K704="—","—","기관명단")))</f>
        <v/>
      </c>
      <c r="W704">
        <f>IFERROR(MATCH(699,합계표[판정순번],0),"")</f>
        <v/>
      </c>
    </row>
    <row r="705">
      <c r="A705">
        <f>IF($W705="","",INDEX(합계표[사번],$W705)&amp;"")</f>
        <v/>
      </c>
      <c r="B705">
        <f>IF($W705="","",INDEX(합계표[성명],$W705)&amp;"")</f>
        <v/>
      </c>
      <c r="C705">
        <f>IF($W705="","",INDEX(합계표[부서],$W705)&amp;"")</f>
        <v/>
      </c>
      <c r="D705">
        <f>IF($W705="","",INDEX(합계표[직위(통합)],$W705)&amp;"")</f>
        <v/>
      </c>
      <c r="E705">
        <f>IF($W705="","",SUMIFS(합계표[시스템 합계],합계표[사번키],INDEX(합계표[사번키],$W705)))</f>
        <v/>
      </c>
      <c r="F705">
        <f>IF($W705="","",SUMIFS(상세표[기록 시간외],상세표[사번키],INDEX(합계표[사번키],$W705),상세표[기록월],대상월키))</f>
        <v/>
      </c>
      <c r="G705">
        <f>IF($W705="","",IF(ABS($E705-$F705)&lt;0.01,"일치","불일치(차이 "&amp;TEXT($F705-$E705,"0.00")&amp;")"))</f>
        <v/>
      </c>
      <c r="H705">
        <f>IF($W705="","",SUMIFS(상세표[기록 시간외],상세표[사번키],INDEX(합계표[사번키],$W705),상세표[기록월],대상월키,상세표[반영월],"&lt;&gt;"&amp;대상월키))</f>
        <v/>
      </c>
      <c r="I705">
        <f>IF($W705="","",SUMIFS(상세표[기록 시간외],상세표[사번키],INDEX(합계표[사번키],$W705),상세표[기록월],"&lt;&gt;"&amp;대상월키,상세표[반영월],대상월키))</f>
        <v/>
      </c>
      <c r="J705">
        <f>IF($W705="","",SUMIFS(상세표[기록 시간외],상세표[사번키],INDEX(합계표[사번키],$W705),상세표[반영월],대상월키))</f>
        <v/>
      </c>
      <c r="K705">
        <f>IF($W705="","",IFERROR(INDEX(월별근무지표[적용 급여병원],MATCH(INDEX(합계표[사번키],$W705)&amp;"|"&amp;대상월키,월별근무지표[키],0))&amp;"",IF(COUNTIF(기관표[사번키],INDEX(합계표[사번키],$W705))+COUNTIF(월별근무지표[사번키],INDEX(합계표[사번키],$W705))&gt;0,IFERROR(INDEX(기관표[급여지급병원(기준월)],MATCH(INDEX(합계표[사번키],$W705)&amp;"|"&amp;대상월키,기관표[키],0))&amp;"","—"),"—")))</f>
        <v/>
      </c>
      <c r="L705">
        <f>IF($W705="","",IF(NOT(COUNTIF(기관표[사번키],INDEX(합계표[사번키],$W705))+COUNTIF(월별근무지표[사번키],INDEX(합계표[사번키],$W705))&gt;0),"기관명단에 없음(다른 병원으로 발송)",IF($K705="—","대상월 기관명단 없음(추가 필요)",IF($K705="서울병원","해당","비해당"))))</f>
        <v/>
      </c>
      <c r="M705">
        <f>IF($W705="","",SUMIFS(상세표[06~07시],상세표[사번키],INDEX(합계표[사번키],$W705),상세표[반영월],대상월키,상세표[반영 기관],"서울병원"))</f>
        <v/>
      </c>
      <c r="N705">
        <f>IF($W705="","",SUMIFS(상세표[07~18시],상세표[사번키],INDEX(합계표[사번키],$W705),상세표[반영월],대상월키,상세표[반영 기관],"서울병원"))</f>
        <v/>
      </c>
      <c r="O705">
        <f>IF($W705="","",SUMIFS(상세표[18~22시],상세표[사번키],INDEX(합계표[사번키],$W705),상세표[반영월],대상월키,상세표[반영 기관],"서울병원"))</f>
        <v/>
      </c>
      <c r="P705">
        <f>IF($W705="","",SUMIFS(상세표[22~06시],상세표[사번키],INDEX(합계표[사번키],$W705),상세표[반영월],대상월키,상세표[반영 기관],"서울병원"))</f>
        <v/>
      </c>
      <c r="Q705">
        <f>IF($W705="","",SUM($M705:$P705))</f>
        <v/>
      </c>
      <c r="R705">
        <f>IF($W705="","",COUNTIFS(상세표[사번키],INDEX(합계표[사번키],$W705),상세표[반영월],대상월키,상세표[야간당직],1,상세표[야간 구분],"평일"))</f>
        <v/>
      </c>
      <c r="S705" s="4">
        <f>IF($W705="","",COUNTIFS(상세표[사번키],INDEX(합계표[사번키],$W705),상세표[반영월],대상월키,상세표[야간당직],1,상세표[야간 구분],"휴일"))</f>
        <v/>
      </c>
      <c r="T705">
        <f>IF($W705="","",COUNTIFS(상세표[사번키],INDEX(합계표[사번키],$W705),상세표[반영월],대상월키,상세표[야간당직],1,상세표[야간 구분],"평일",상세표[반영 기관],"서울병원"))</f>
        <v/>
      </c>
      <c r="U705">
        <f>IF($W705="","",COUNTIFS(상세표[사번키],INDEX(합계표[사번키],$W705),상세표[반영월],대상월키,상세표[야간당직],1,상세표[야간 구분],"휴일",상세표[반영 기관],"서울병원"))</f>
        <v/>
      </c>
      <c r="V705">
        <f>IF($W705="","",IF(ISNUMBER(MATCH(INDEX(합계표[사번키],$W705)&amp;"|"&amp;대상월키,월별근무지표[키],0)),"직접 입력",IF($K705="—","—","기관명단")))</f>
        <v/>
      </c>
      <c r="W705">
        <f>IFERROR(MATCH(700,합계표[판정순번],0),"")</f>
        <v/>
      </c>
    </row>
    <row r="706">
      <c r="A706">
        <f>IF($W706="","",INDEX(합계표[사번],$W706)&amp;"")</f>
        <v/>
      </c>
      <c r="B706">
        <f>IF($W706="","",INDEX(합계표[성명],$W706)&amp;"")</f>
        <v/>
      </c>
      <c r="C706">
        <f>IF($W706="","",INDEX(합계표[부서],$W706)&amp;"")</f>
        <v/>
      </c>
      <c r="D706">
        <f>IF($W706="","",INDEX(합계표[직위(통합)],$W706)&amp;"")</f>
        <v/>
      </c>
      <c r="E706">
        <f>IF($W706="","",SUMIFS(합계표[시스템 합계],합계표[사번키],INDEX(합계표[사번키],$W706)))</f>
        <v/>
      </c>
      <c r="F706">
        <f>IF($W706="","",SUMIFS(상세표[기록 시간외],상세표[사번키],INDEX(합계표[사번키],$W706),상세표[기록월],대상월키))</f>
        <v/>
      </c>
      <c r="G706">
        <f>IF($W706="","",IF(ABS($E706-$F706)&lt;0.01,"일치","불일치(차이 "&amp;TEXT($F706-$E706,"0.00")&amp;")"))</f>
        <v/>
      </c>
      <c r="H706">
        <f>IF($W706="","",SUMIFS(상세표[기록 시간외],상세표[사번키],INDEX(합계표[사번키],$W706),상세표[기록월],대상월키,상세표[반영월],"&lt;&gt;"&amp;대상월키))</f>
        <v/>
      </c>
      <c r="I706">
        <f>IF($W706="","",SUMIFS(상세표[기록 시간외],상세표[사번키],INDEX(합계표[사번키],$W706),상세표[기록월],"&lt;&gt;"&amp;대상월키,상세표[반영월],대상월키))</f>
        <v/>
      </c>
      <c r="J706">
        <f>IF($W706="","",SUMIFS(상세표[기록 시간외],상세표[사번키],INDEX(합계표[사번키],$W706),상세표[반영월],대상월키))</f>
        <v/>
      </c>
      <c r="K706">
        <f>IF($W706="","",IFERROR(INDEX(월별근무지표[적용 급여병원],MATCH(INDEX(합계표[사번키],$W706)&amp;"|"&amp;대상월키,월별근무지표[키],0))&amp;"",IF(COUNTIF(기관표[사번키],INDEX(합계표[사번키],$W706))+COUNTIF(월별근무지표[사번키],INDEX(합계표[사번키],$W706))&gt;0,IFERROR(INDEX(기관표[급여지급병원(기준월)],MATCH(INDEX(합계표[사번키],$W706)&amp;"|"&amp;대상월키,기관표[키],0))&amp;"","—"),"—")))</f>
        <v/>
      </c>
      <c r="L706">
        <f>IF($W706="","",IF(NOT(COUNTIF(기관표[사번키],INDEX(합계표[사번키],$W706))+COUNTIF(월별근무지표[사번키],INDEX(합계표[사번키],$W706))&gt;0),"기관명단에 없음(다른 병원으로 발송)",IF($K706="—","대상월 기관명단 없음(추가 필요)",IF($K706="서울병원","해당","비해당"))))</f>
        <v/>
      </c>
      <c r="M706">
        <f>IF($W706="","",SUMIFS(상세표[06~07시],상세표[사번키],INDEX(합계표[사번키],$W706),상세표[반영월],대상월키,상세표[반영 기관],"서울병원"))</f>
        <v/>
      </c>
      <c r="N706">
        <f>IF($W706="","",SUMIFS(상세표[07~18시],상세표[사번키],INDEX(합계표[사번키],$W706),상세표[반영월],대상월키,상세표[반영 기관],"서울병원"))</f>
        <v/>
      </c>
      <c r="O706">
        <f>IF($W706="","",SUMIFS(상세표[18~22시],상세표[사번키],INDEX(합계표[사번키],$W706),상세표[반영월],대상월키,상세표[반영 기관],"서울병원"))</f>
        <v/>
      </c>
      <c r="P706">
        <f>IF($W706="","",SUMIFS(상세표[22~06시],상세표[사번키],INDEX(합계표[사번키],$W706),상세표[반영월],대상월키,상세표[반영 기관],"서울병원"))</f>
        <v/>
      </c>
      <c r="Q706">
        <f>IF($W706="","",SUM($M706:$P706))</f>
        <v/>
      </c>
      <c r="R706">
        <f>IF($W706="","",COUNTIFS(상세표[사번키],INDEX(합계표[사번키],$W706),상세표[반영월],대상월키,상세표[야간당직],1,상세표[야간 구분],"평일"))</f>
        <v/>
      </c>
      <c r="S706" s="4">
        <f>IF($W706="","",COUNTIFS(상세표[사번키],INDEX(합계표[사번키],$W706),상세표[반영월],대상월키,상세표[야간당직],1,상세표[야간 구분],"휴일"))</f>
        <v/>
      </c>
      <c r="T706">
        <f>IF($W706="","",COUNTIFS(상세표[사번키],INDEX(합계표[사번키],$W706),상세표[반영월],대상월키,상세표[야간당직],1,상세표[야간 구분],"평일",상세표[반영 기관],"서울병원"))</f>
        <v/>
      </c>
      <c r="U706">
        <f>IF($W706="","",COUNTIFS(상세표[사번키],INDEX(합계표[사번키],$W706),상세표[반영월],대상월키,상세표[야간당직],1,상세표[야간 구분],"휴일",상세표[반영 기관],"서울병원"))</f>
        <v/>
      </c>
      <c r="V706">
        <f>IF($W706="","",IF(ISNUMBER(MATCH(INDEX(합계표[사번키],$W706)&amp;"|"&amp;대상월키,월별근무지표[키],0)),"직접 입력",IF($K706="—","—","기관명단")))</f>
        <v/>
      </c>
      <c r="W706">
        <f>IFERROR(MATCH(701,합계표[판정순번],0),"")</f>
        <v/>
      </c>
    </row>
    <row r="707">
      <c r="A707">
        <f>IF($W707="","",INDEX(합계표[사번],$W707)&amp;"")</f>
        <v/>
      </c>
      <c r="B707">
        <f>IF($W707="","",INDEX(합계표[성명],$W707)&amp;"")</f>
        <v/>
      </c>
      <c r="C707">
        <f>IF($W707="","",INDEX(합계표[부서],$W707)&amp;"")</f>
        <v/>
      </c>
      <c r="D707">
        <f>IF($W707="","",INDEX(합계표[직위(통합)],$W707)&amp;"")</f>
        <v/>
      </c>
      <c r="E707">
        <f>IF($W707="","",SUMIFS(합계표[시스템 합계],합계표[사번키],INDEX(합계표[사번키],$W707)))</f>
        <v/>
      </c>
      <c r="F707">
        <f>IF($W707="","",SUMIFS(상세표[기록 시간외],상세표[사번키],INDEX(합계표[사번키],$W707),상세표[기록월],대상월키))</f>
        <v/>
      </c>
      <c r="G707">
        <f>IF($W707="","",IF(ABS($E707-$F707)&lt;0.01,"일치","불일치(차이 "&amp;TEXT($F707-$E707,"0.00")&amp;")"))</f>
        <v/>
      </c>
      <c r="H707">
        <f>IF($W707="","",SUMIFS(상세표[기록 시간외],상세표[사번키],INDEX(합계표[사번키],$W707),상세표[기록월],대상월키,상세표[반영월],"&lt;&gt;"&amp;대상월키))</f>
        <v/>
      </c>
      <c r="I707">
        <f>IF($W707="","",SUMIFS(상세표[기록 시간외],상세표[사번키],INDEX(합계표[사번키],$W707),상세표[기록월],"&lt;&gt;"&amp;대상월키,상세표[반영월],대상월키))</f>
        <v/>
      </c>
      <c r="J707">
        <f>IF($W707="","",SUMIFS(상세표[기록 시간외],상세표[사번키],INDEX(합계표[사번키],$W707),상세표[반영월],대상월키))</f>
        <v/>
      </c>
      <c r="K707">
        <f>IF($W707="","",IFERROR(INDEX(월별근무지표[적용 급여병원],MATCH(INDEX(합계표[사번키],$W707)&amp;"|"&amp;대상월키,월별근무지표[키],0))&amp;"",IF(COUNTIF(기관표[사번키],INDEX(합계표[사번키],$W707))+COUNTIF(월별근무지표[사번키],INDEX(합계표[사번키],$W707))&gt;0,IFERROR(INDEX(기관표[급여지급병원(기준월)],MATCH(INDEX(합계표[사번키],$W707)&amp;"|"&amp;대상월키,기관표[키],0))&amp;"","—"),"—")))</f>
        <v/>
      </c>
      <c r="L707">
        <f>IF($W707="","",IF(NOT(COUNTIF(기관표[사번키],INDEX(합계표[사번키],$W707))+COUNTIF(월별근무지표[사번키],INDEX(합계표[사번키],$W707))&gt;0),"기관명단에 없음(다른 병원으로 발송)",IF($K707="—","대상월 기관명단 없음(추가 필요)",IF($K707="서울병원","해당","비해당"))))</f>
        <v/>
      </c>
      <c r="M707">
        <f>IF($W707="","",SUMIFS(상세표[06~07시],상세표[사번키],INDEX(합계표[사번키],$W707),상세표[반영월],대상월키,상세표[반영 기관],"서울병원"))</f>
        <v/>
      </c>
      <c r="N707">
        <f>IF($W707="","",SUMIFS(상세표[07~18시],상세표[사번키],INDEX(합계표[사번키],$W707),상세표[반영월],대상월키,상세표[반영 기관],"서울병원"))</f>
        <v/>
      </c>
      <c r="O707">
        <f>IF($W707="","",SUMIFS(상세표[18~22시],상세표[사번키],INDEX(합계표[사번키],$W707),상세표[반영월],대상월키,상세표[반영 기관],"서울병원"))</f>
        <v/>
      </c>
      <c r="P707">
        <f>IF($W707="","",SUMIFS(상세표[22~06시],상세표[사번키],INDEX(합계표[사번키],$W707),상세표[반영월],대상월키,상세표[반영 기관],"서울병원"))</f>
        <v/>
      </c>
      <c r="Q707">
        <f>IF($W707="","",SUM($M707:$P707))</f>
        <v/>
      </c>
      <c r="R707">
        <f>IF($W707="","",COUNTIFS(상세표[사번키],INDEX(합계표[사번키],$W707),상세표[반영월],대상월키,상세표[야간당직],1,상세표[야간 구분],"평일"))</f>
        <v/>
      </c>
      <c r="S707" s="4">
        <f>IF($W707="","",COUNTIFS(상세표[사번키],INDEX(합계표[사번키],$W707),상세표[반영월],대상월키,상세표[야간당직],1,상세표[야간 구분],"휴일"))</f>
        <v/>
      </c>
      <c r="T707">
        <f>IF($W707="","",COUNTIFS(상세표[사번키],INDEX(합계표[사번키],$W707),상세표[반영월],대상월키,상세표[야간당직],1,상세표[야간 구분],"평일",상세표[반영 기관],"서울병원"))</f>
        <v/>
      </c>
      <c r="U707">
        <f>IF($W707="","",COUNTIFS(상세표[사번키],INDEX(합계표[사번키],$W707),상세표[반영월],대상월키,상세표[야간당직],1,상세표[야간 구분],"휴일",상세표[반영 기관],"서울병원"))</f>
        <v/>
      </c>
      <c r="V707">
        <f>IF($W707="","",IF(ISNUMBER(MATCH(INDEX(합계표[사번키],$W707)&amp;"|"&amp;대상월키,월별근무지표[키],0)),"직접 입력",IF($K707="—","—","기관명단")))</f>
        <v/>
      </c>
      <c r="W707">
        <f>IFERROR(MATCH(702,합계표[판정순번],0),"")</f>
        <v/>
      </c>
    </row>
    <row r="708">
      <c r="A708">
        <f>IF($W708="","",INDEX(합계표[사번],$W708)&amp;"")</f>
        <v/>
      </c>
      <c r="B708">
        <f>IF($W708="","",INDEX(합계표[성명],$W708)&amp;"")</f>
        <v/>
      </c>
      <c r="C708">
        <f>IF($W708="","",INDEX(합계표[부서],$W708)&amp;"")</f>
        <v/>
      </c>
      <c r="D708">
        <f>IF($W708="","",INDEX(합계표[직위(통합)],$W708)&amp;"")</f>
        <v/>
      </c>
      <c r="E708">
        <f>IF($W708="","",SUMIFS(합계표[시스템 합계],합계표[사번키],INDEX(합계표[사번키],$W708)))</f>
        <v/>
      </c>
      <c r="F708">
        <f>IF($W708="","",SUMIFS(상세표[기록 시간외],상세표[사번키],INDEX(합계표[사번키],$W708),상세표[기록월],대상월키))</f>
        <v/>
      </c>
      <c r="G708">
        <f>IF($W708="","",IF(ABS($E708-$F708)&lt;0.01,"일치","불일치(차이 "&amp;TEXT($F708-$E708,"0.00")&amp;")"))</f>
        <v/>
      </c>
      <c r="H708">
        <f>IF($W708="","",SUMIFS(상세표[기록 시간외],상세표[사번키],INDEX(합계표[사번키],$W708),상세표[기록월],대상월키,상세표[반영월],"&lt;&gt;"&amp;대상월키))</f>
        <v/>
      </c>
      <c r="I708">
        <f>IF($W708="","",SUMIFS(상세표[기록 시간외],상세표[사번키],INDEX(합계표[사번키],$W708),상세표[기록월],"&lt;&gt;"&amp;대상월키,상세표[반영월],대상월키))</f>
        <v/>
      </c>
      <c r="J708">
        <f>IF($W708="","",SUMIFS(상세표[기록 시간외],상세표[사번키],INDEX(합계표[사번키],$W708),상세표[반영월],대상월키))</f>
        <v/>
      </c>
      <c r="K708">
        <f>IF($W708="","",IFERROR(INDEX(월별근무지표[적용 급여병원],MATCH(INDEX(합계표[사번키],$W708)&amp;"|"&amp;대상월키,월별근무지표[키],0))&amp;"",IF(COUNTIF(기관표[사번키],INDEX(합계표[사번키],$W708))+COUNTIF(월별근무지표[사번키],INDEX(합계표[사번키],$W708))&gt;0,IFERROR(INDEX(기관표[급여지급병원(기준월)],MATCH(INDEX(합계표[사번키],$W708)&amp;"|"&amp;대상월키,기관표[키],0))&amp;"","—"),"—")))</f>
        <v/>
      </c>
      <c r="L708">
        <f>IF($W708="","",IF(NOT(COUNTIF(기관표[사번키],INDEX(합계표[사번키],$W708))+COUNTIF(월별근무지표[사번키],INDEX(합계표[사번키],$W708))&gt;0),"기관명단에 없음(다른 병원으로 발송)",IF($K708="—","대상월 기관명단 없음(추가 필요)",IF($K708="서울병원","해당","비해당"))))</f>
        <v/>
      </c>
      <c r="M708">
        <f>IF($W708="","",SUMIFS(상세표[06~07시],상세표[사번키],INDEX(합계표[사번키],$W708),상세표[반영월],대상월키,상세표[반영 기관],"서울병원"))</f>
        <v/>
      </c>
      <c r="N708">
        <f>IF($W708="","",SUMIFS(상세표[07~18시],상세표[사번키],INDEX(합계표[사번키],$W708),상세표[반영월],대상월키,상세표[반영 기관],"서울병원"))</f>
        <v/>
      </c>
      <c r="O708">
        <f>IF($W708="","",SUMIFS(상세표[18~22시],상세표[사번키],INDEX(합계표[사번키],$W708),상세표[반영월],대상월키,상세표[반영 기관],"서울병원"))</f>
        <v/>
      </c>
      <c r="P708">
        <f>IF($W708="","",SUMIFS(상세표[22~06시],상세표[사번키],INDEX(합계표[사번키],$W708),상세표[반영월],대상월키,상세표[반영 기관],"서울병원"))</f>
        <v/>
      </c>
      <c r="Q708">
        <f>IF($W708="","",SUM($M708:$P708))</f>
        <v/>
      </c>
      <c r="R708">
        <f>IF($W708="","",COUNTIFS(상세표[사번키],INDEX(합계표[사번키],$W708),상세표[반영월],대상월키,상세표[야간당직],1,상세표[야간 구분],"평일"))</f>
        <v/>
      </c>
      <c r="S708" s="4">
        <f>IF($W708="","",COUNTIFS(상세표[사번키],INDEX(합계표[사번키],$W708),상세표[반영월],대상월키,상세표[야간당직],1,상세표[야간 구분],"휴일"))</f>
        <v/>
      </c>
      <c r="T708">
        <f>IF($W708="","",COUNTIFS(상세표[사번키],INDEX(합계표[사번키],$W708),상세표[반영월],대상월키,상세표[야간당직],1,상세표[야간 구분],"평일",상세표[반영 기관],"서울병원"))</f>
        <v/>
      </c>
      <c r="U708">
        <f>IF($W708="","",COUNTIFS(상세표[사번키],INDEX(합계표[사번키],$W708),상세표[반영월],대상월키,상세표[야간당직],1,상세표[야간 구분],"휴일",상세표[반영 기관],"서울병원"))</f>
        <v/>
      </c>
      <c r="V708">
        <f>IF($W708="","",IF(ISNUMBER(MATCH(INDEX(합계표[사번키],$W708)&amp;"|"&amp;대상월키,월별근무지표[키],0)),"직접 입력",IF($K708="—","—","기관명단")))</f>
        <v/>
      </c>
      <c r="W708">
        <f>IFERROR(MATCH(703,합계표[판정순번],0),"")</f>
        <v/>
      </c>
    </row>
    <row r="709">
      <c r="A709">
        <f>IF($W709="","",INDEX(합계표[사번],$W709)&amp;"")</f>
        <v/>
      </c>
      <c r="B709">
        <f>IF($W709="","",INDEX(합계표[성명],$W709)&amp;"")</f>
        <v/>
      </c>
      <c r="C709">
        <f>IF($W709="","",INDEX(합계표[부서],$W709)&amp;"")</f>
        <v/>
      </c>
      <c r="D709">
        <f>IF($W709="","",INDEX(합계표[직위(통합)],$W709)&amp;"")</f>
        <v/>
      </c>
      <c r="E709">
        <f>IF($W709="","",SUMIFS(합계표[시스템 합계],합계표[사번키],INDEX(합계표[사번키],$W709)))</f>
        <v/>
      </c>
      <c r="F709">
        <f>IF($W709="","",SUMIFS(상세표[기록 시간외],상세표[사번키],INDEX(합계표[사번키],$W709),상세표[기록월],대상월키))</f>
        <v/>
      </c>
      <c r="G709">
        <f>IF($W709="","",IF(ABS($E709-$F709)&lt;0.01,"일치","불일치(차이 "&amp;TEXT($F709-$E709,"0.00")&amp;")"))</f>
        <v/>
      </c>
      <c r="H709">
        <f>IF($W709="","",SUMIFS(상세표[기록 시간외],상세표[사번키],INDEX(합계표[사번키],$W709),상세표[기록월],대상월키,상세표[반영월],"&lt;&gt;"&amp;대상월키))</f>
        <v/>
      </c>
      <c r="I709">
        <f>IF($W709="","",SUMIFS(상세표[기록 시간외],상세표[사번키],INDEX(합계표[사번키],$W709),상세표[기록월],"&lt;&gt;"&amp;대상월키,상세표[반영월],대상월키))</f>
        <v/>
      </c>
      <c r="J709">
        <f>IF($W709="","",SUMIFS(상세표[기록 시간외],상세표[사번키],INDEX(합계표[사번키],$W709),상세표[반영월],대상월키))</f>
        <v/>
      </c>
      <c r="K709">
        <f>IF($W709="","",IFERROR(INDEX(월별근무지표[적용 급여병원],MATCH(INDEX(합계표[사번키],$W709)&amp;"|"&amp;대상월키,월별근무지표[키],0))&amp;"",IF(COUNTIF(기관표[사번키],INDEX(합계표[사번키],$W709))+COUNTIF(월별근무지표[사번키],INDEX(합계표[사번키],$W709))&gt;0,IFERROR(INDEX(기관표[급여지급병원(기준월)],MATCH(INDEX(합계표[사번키],$W709)&amp;"|"&amp;대상월키,기관표[키],0))&amp;"","—"),"—")))</f>
        <v/>
      </c>
      <c r="L709">
        <f>IF($W709="","",IF(NOT(COUNTIF(기관표[사번키],INDEX(합계표[사번키],$W709))+COUNTIF(월별근무지표[사번키],INDEX(합계표[사번키],$W709))&gt;0),"기관명단에 없음(다른 병원으로 발송)",IF($K709="—","대상월 기관명단 없음(추가 필요)",IF($K709="서울병원","해당","비해당"))))</f>
        <v/>
      </c>
      <c r="M709">
        <f>IF($W709="","",SUMIFS(상세표[06~07시],상세표[사번키],INDEX(합계표[사번키],$W709),상세표[반영월],대상월키,상세표[반영 기관],"서울병원"))</f>
        <v/>
      </c>
      <c r="N709">
        <f>IF($W709="","",SUMIFS(상세표[07~18시],상세표[사번키],INDEX(합계표[사번키],$W709),상세표[반영월],대상월키,상세표[반영 기관],"서울병원"))</f>
        <v/>
      </c>
      <c r="O709">
        <f>IF($W709="","",SUMIFS(상세표[18~22시],상세표[사번키],INDEX(합계표[사번키],$W709),상세표[반영월],대상월키,상세표[반영 기관],"서울병원"))</f>
        <v/>
      </c>
      <c r="P709">
        <f>IF($W709="","",SUMIFS(상세표[22~06시],상세표[사번키],INDEX(합계표[사번키],$W709),상세표[반영월],대상월키,상세표[반영 기관],"서울병원"))</f>
        <v/>
      </c>
      <c r="Q709">
        <f>IF($W709="","",SUM($M709:$P709))</f>
        <v/>
      </c>
      <c r="R709">
        <f>IF($W709="","",COUNTIFS(상세표[사번키],INDEX(합계표[사번키],$W709),상세표[반영월],대상월키,상세표[야간당직],1,상세표[야간 구분],"평일"))</f>
        <v/>
      </c>
      <c r="S709" s="4">
        <f>IF($W709="","",COUNTIFS(상세표[사번키],INDEX(합계표[사번키],$W709),상세표[반영월],대상월키,상세표[야간당직],1,상세표[야간 구분],"휴일"))</f>
        <v/>
      </c>
      <c r="T709">
        <f>IF($W709="","",COUNTIFS(상세표[사번키],INDEX(합계표[사번키],$W709),상세표[반영월],대상월키,상세표[야간당직],1,상세표[야간 구분],"평일",상세표[반영 기관],"서울병원"))</f>
        <v/>
      </c>
      <c r="U709">
        <f>IF($W709="","",COUNTIFS(상세표[사번키],INDEX(합계표[사번키],$W709),상세표[반영월],대상월키,상세표[야간당직],1,상세표[야간 구분],"휴일",상세표[반영 기관],"서울병원"))</f>
        <v/>
      </c>
      <c r="V709">
        <f>IF($W709="","",IF(ISNUMBER(MATCH(INDEX(합계표[사번키],$W709)&amp;"|"&amp;대상월키,월별근무지표[키],0)),"직접 입력",IF($K709="—","—","기관명단")))</f>
        <v/>
      </c>
      <c r="W709">
        <f>IFERROR(MATCH(704,합계표[판정순번],0),"")</f>
        <v/>
      </c>
    </row>
    <row r="710">
      <c r="A710">
        <f>IF($W710="","",INDEX(합계표[사번],$W710)&amp;"")</f>
        <v/>
      </c>
      <c r="B710">
        <f>IF($W710="","",INDEX(합계표[성명],$W710)&amp;"")</f>
        <v/>
      </c>
      <c r="C710">
        <f>IF($W710="","",INDEX(합계표[부서],$W710)&amp;"")</f>
        <v/>
      </c>
      <c r="D710">
        <f>IF($W710="","",INDEX(합계표[직위(통합)],$W710)&amp;"")</f>
        <v/>
      </c>
      <c r="E710">
        <f>IF($W710="","",SUMIFS(합계표[시스템 합계],합계표[사번키],INDEX(합계표[사번키],$W710)))</f>
        <v/>
      </c>
      <c r="F710">
        <f>IF($W710="","",SUMIFS(상세표[기록 시간외],상세표[사번키],INDEX(합계표[사번키],$W710),상세표[기록월],대상월키))</f>
        <v/>
      </c>
      <c r="G710">
        <f>IF($W710="","",IF(ABS($E710-$F710)&lt;0.01,"일치","불일치(차이 "&amp;TEXT($F710-$E710,"0.00")&amp;")"))</f>
        <v/>
      </c>
      <c r="H710">
        <f>IF($W710="","",SUMIFS(상세표[기록 시간외],상세표[사번키],INDEX(합계표[사번키],$W710),상세표[기록월],대상월키,상세표[반영월],"&lt;&gt;"&amp;대상월키))</f>
        <v/>
      </c>
      <c r="I710">
        <f>IF($W710="","",SUMIFS(상세표[기록 시간외],상세표[사번키],INDEX(합계표[사번키],$W710),상세표[기록월],"&lt;&gt;"&amp;대상월키,상세표[반영월],대상월키))</f>
        <v/>
      </c>
      <c r="J710">
        <f>IF($W710="","",SUMIFS(상세표[기록 시간외],상세표[사번키],INDEX(합계표[사번키],$W710),상세표[반영월],대상월키))</f>
        <v/>
      </c>
      <c r="K710">
        <f>IF($W710="","",IFERROR(INDEX(월별근무지표[적용 급여병원],MATCH(INDEX(합계표[사번키],$W710)&amp;"|"&amp;대상월키,월별근무지표[키],0))&amp;"",IF(COUNTIF(기관표[사번키],INDEX(합계표[사번키],$W710))+COUNTIF(월별근무지표[사번키],INDEX(합계표[사번키],$W710))&gt;0,IFERROR(INDEX(기관표[급여지급병원(기준월)],MATCH(INDEX(합계표[사번키],$W710)&amp;"|"&amp;대상월키,기관표[키],0))&amp;"","—"),"—")))</f>
        <v/>
      </c>
      <c r="L710">
        <f>IF($W710="","",IF(NOT(COUNTIF(기관표[사번키],INDEX(합계표[사번키],$W710))+COUNTIF(월별근무지표[사번키],INDEX(합계표[사번키],$W710))&gt;0),"기관명단에 없음(다른 병원으로 발송)",IF($K710="—","대상월 기관명단 없음(추가 필요)",IF($K710="서울병원","해당","비해당"))))</f>
        <v/>
      </c>
      <c r="M710">
        <f>IF($W710="","",SUMIFS(상세표[06~07시],상세표[사번키],INDEX(합계표[사번키],$W710),상세표[반영월],대상월키,상세표[반영 기관],"서울병원"))</f>
        <v/>
      </c>
      <c r="N710">
        <f>IF($W710="","",SUMIFS(상세표[07~18시],상세표[사번키],INDEX(합계표[사번키],$W710),상세표[반영월],대상월키,상세표[반영 기관],"서울병원"))</f>
        <v/>
      </c>
      <c r="O710">
        <f>IF($W710="","",SUMIFS(상세표[18~22시],상세표[사번키],INDEX(합계표[사번키],$W710),상세표[반영월],대상월키,상세표[반영 기관],"서울병원"))</f>
        <v/>
      </c>
      <c r="P710">
        <f>IF($W710="","",SUMIFS(상세표[22~06시],상세표[사번키],INDEX(합계표[사번키],$W710),상세표[반영월],대상월키,상세표[반영 기관],"서울병원"))</f>
        <v/>
      </c>
      <c r="Q710">
        <f>IF($W710="","",SUM($M710:$P710))</f>
        <v/>
      </c>
      <c r="R710">
        <f>IF($W710="","",COUNTIFS(상세표[사번키],INDEX(합계표[사번키],$W710),상세표[반영월],대상월키,상세표[야간당직],1,상세표[야간 구분],"평일"))</f>
        <v/>
      </c>
      <c r="S710" s="4">
        <f>IF($W710="","",COUNTIFS(상세표[사번키],INDEX(합계표[사번키],$W710),상세표[반영월],대상월키,상세표[야간당직],1,상세표[야간 구분],"휴일"))</f>
        <v/>
      </c>
      <c r="T710">
        <f>IF($W710="","",COUNTIFS(상세표[사번키],INDEX(합계표[사번키],$W710),상세표[반영월],대상월키,상세표[야간당직],1,상세표[야간 구분],"평일",상세표[반영 기관],"서울병원"))</f>
        <v/>
      </c>
      <c r="U710">
        <f>IF($W710="","",COUNTIFS(상세표[사번키],INDEX(합계표[사번키],$W710),상세표[반영월],대상월키,상세표[야간당직],1,상세표[야간 구분],"휴일",상세표[반영 기관],"서울병원"))</f>
        <v/>
      </c>
      <c r="V710">
        <f>IF($W710="","",IF(ISNUMBER(MATCH(INDEX(합계표[사번키],$W710)&amp;"|"&amp;대상월키,월별근무지표[키],0)),"직접 입력",IF($K710="—","—","기관명단")))</f>
        <v/>
      </c>
      <c r="W710">
        <f>IFERROR(MATCH(705,합계표[판정순번],0),"")</f>
        <v/>
      </c>
    </row>
    <row r="711">
      <c r="A711">
        <f>IF($W711="","",INDEX(합계표[사번],$W711)&amp;"")</f>
        <v/>
      </c>
      <c r="B711">
        <f>IF($W711="","",INDEX(합계표[성명],$W711)&amp;"")</f>
        <v/>
      </c>
      <c r="C711">
        <f>IF($W711="","",INDEX(합계표[부서],$W711)&amp;"")</f>
        <v/>
      </c>
      <c r="D711">
        <f>IF($W711="","",INDEX(합계표[직위(통합)],$W711)&amp;"")</f>
        <v/>
      </c>
      <c r="E711">
        <f>IF($W711="","",SUMIFS(합계표[시스템 합계],합계표[사번키],INDEX(합계표[사번키],$W711)))</f>
        <v/>
      </c>
      <c r="F711">
        <f>IF($W711="","",SUMIFS(상세표[기록 시간외],상세표[사번키],INDEX(합계표[사번키],$W711),상세표[기록월],대상월키))</f>
        <v/>
      </c>
      <c r="G711">
        <f>IF($W711="","",IF(ABS($E711-$F711)&lt;0.01,"일치","불일치(차이 "&amp;TEXT($F711-$E711,"0.00")&amp;")"))</f>
        <v/>
      </c>
      <c r="H711">
        <f>IF($W711="","",SUMIFS(상세표[기록 시간외],상세표[사번키],INDEX(합계표[사번키],$W711),상세표[기록월],대상월키,상세표[반영월],"&lt;&gt;"&amp;대상월키))</f>
        <v/>
      </c>
      <c r="I711">
        <f>IF($W711="","",SUMIFS(상세표[기록 시간외],상세표[사번키],INDEX(합계표[사번키],$W711),상세표[기록월],"&lt;&gt;"&amp;대상월키,상세표[반영월],대상월키))</f>
        <v/>
      </c>
      <c r="J711">
        <f>IF($W711="","",SUMIFS(상세표[기록 시간외],상세표[사번키],INDEX(합계표[사번키],$W711),상세표[반영월],대상월키))</f>
        <v/>
      </c>
      <c r="K711">
        <f>IF($W711="","",IFERROR(INDEX(월별근무지표[적용 급여병원],MATCH(INDEX(합계표[사번키],$W711)&amp;"|"&amp;대상월키,월별근무지표[키],0))&amp;"",IF(COUNTIF(기관표[사번키],INDEX(합계표[사번키],$W711))+COUNTIF(월별근무지표[사번키],INDEX(합계표[사번키],$W711))&gt;0,IFERROR(INDEX(기관표[급여지급병원(기준월)],MATCH(INDEX(합계표[사번키],$W711)&amp;"|"&amp;대상월키,기관표[키],0))&amp;"","—"),"—")))</f>
        <v/>
      </c>
      <c r="L711">
        <f>IF($W711="","",IF(NOT(COUNTIF(기관표[사번키],INDEX(합계표[사번키],$W711))+COUNTIF(월별근무지표[사번키],INDEX(합계표[사번키],$W711))&gt;0),"기관명단에 없음(다른 병원으로 발송)",IF($K711="—","대상월 기관명단 없음(추가 필요)",IF($K711="서울병원","해당","비해당"))))</f>
        <v/>
      </c>
      <c r="M711">
        <f>IF($W711="","",SUMIFS(상세표[06~07시],상세표[사번키],INDEX(합계표[사번키],$W711),상세표[반영월],대상월키,상세표[반영 기관],"서울병원"))</f>
        <v/>
      </c>
      <c r="N711">
        <f>IF($W711="","",SUMIFS(상세표[07~18시],상세표[사번키],INDEX(합계표[사번키],$W711),상세표[반영월],대상월키,상세표[반영 기관],"서울병원"))</f>
        <v/>
      </c>
      <c r="O711">
        <f>IF($W711="","",SUMIFS(상세표[18~22시],상세표[사번키],INDEX(합계표[사번키],$W711),상세표[반영월],대상월키,상세표[반영 기관],"서울병원"))</f>
        <v/>
      </c>
      <c r="P711">
        <f>IF($W711="","",SUMIFS(상세표[22~06시],상세표[사번키],INDEX(합계표[사번키],$W711),상세표[반영월],대상월키,상세표[반영 기관],"서울병원"))</f>
        <v/>
      </c>
      <c r="Q711">
        <f>IF($W711="","",SUM($M711:$P711))</f>
        <v/>
      </c>
      <c r="R711">
        <f>IF($W711="","",COUNTIFS(상세표[사번키],INDEX(합계표[사번키],$W711),상세표[반영월],대상월키,상세표[야간당직],1,상세표[야간 구분],"평일"))</f>
        <v/>
      </c>
      <c r="S711" s="4">
        <f>IF($W711="","",COUNTIFS(상세표[사번키],INDEX(합계표[사번키],$W711),상세표[반영월],대상월키,상세표[야간당직],1,상세표[야간 구분],"휴일"))</f>
        <v/>
      </c>
      <c r="T711">
        <f>IF($W711="","",COUNTIFS(상세표[사번키],INDEX(합계표[사번키],$W711),상세표[반영월],대상월키,상세표[야간당직],1,상세표[야간 구분],"평일",상세표[반영 기관],"서울병원"))</f>
        <v/>
      </c>
      <c r="U711">
        <f>IF($W711="","",COUNTIFS(상세표[사번키],INDEX(합계표[사번키],$W711),상세표[반영월],대상월키,상세표[야간당직],1,상세표[야간 구분],"휴일",상세표[반영 기관],"서울병원"))</f>
        <v/>
      </c>
      <c r="V711">
        <f>IF($W711="","",IF(ISNUMBER(MATCH(INDEX(합계표[사번키],$W711)&amp;"|"&amp;대상월키,월별근무지표[키],0)),"직접 입력",IF($K711="—","—","기관명단")))</f>
        <v/>
      </c>
      <c r="W711">
        <f>IFERROR(MATCH(706,합계표[판정순번],0),"")</f>
        <v/>
      </c>
    </row>
    <row r="712">
      <c r="A712">
        <f>IF($W712="","",INDEX(합계표[사번],$W712)&amp;"")</f>
        <v/>
      </c>
      <c r="B712">
        <f>IF($W712="","",INDEX(합계표[성명],$W712)&amp;"")</f>
        <v/>
      </c>
      <c r="C712">
        <f>IF($W712="","",INDEX(합계표[부서],$W712)&amp;"")</f>
        <v/>
      </c>
      <c r="D712">
        <f>IF($W712="","",INDEX(합계표[직위(통합)],$W712)&amp;"")</f>
        <v/>
      </c>
      <c r="E712">
        <f>IF($W712="","",SUMIFS(합계표[시스템 합계],합계표[사번키],INDEX(합계표[사번키],$W712)))</f>
        <v/>
      </c>
      <c r="F712">
        <f>IF($W712="","",SUMIFS(상세표[기록 시간외],상세표[사번키],INDEX(합계표[사번키],$W712),상세표[기록월],대상월키))</f>
        <v/>
      </c>
      <c r="G712">
        <f>IF($W712="","",IF(ABS($E712-$F712)&lt;0.01,"일치","불일치(차이 "&amp;TEXT($F712-$E712,"0.00")&amp;")"))</f>
        <v/>
      </c>
      <c r="H712">
        <f>IF($W712="","",SUMIFS(상세표[기록 시간외],상세표[사번키],INDEX(합계표[사번키],$W712),상세표[기록월],대상월키,상세표[반영월],"&lt;&gt;"&amp;대상월키))</f>
        <v/>
      </c>
      <c r="I712">
        <f>IF($W712="","",SUMIFS(상세표[기록 시간외],상세표[사번키],INDEX(합계표[사번키],$W712),상세표[기록월],"&lt;&gt;"&amp;대상월키,상세표[반영월],대상월키))</f>
        <v/>
      </c>
      <c r="J712">
        <f>IF($W712="","",SUMIFS(상세표[기록 시간외],상세표[사번키],INDEX(합계표[사번키],$W712),상세표[반영월],대상월키))</f>
        <v/>
      </c>
      <c r="K712">
        <f>IF($W712="","",IFERROR(INDEX(월별근무지표[적용 급여병원],MATCH(INDEX(합계표[사번키],$W712)&amp;"|"&amp;대상월키,월별근무지표[키],0))&amp;"",IF(COUNTIF(기관표[사번키],INDEX(합계표[사번키],$W712))+COUNTIF(월별근무지표[사번키],INDEX(합계표[사번키],$W712))&gt;0,IFERROR(INDEX(기관표[급여지급병원(기준월)],MATCH(INDEX(합계표[사번키],$W712)&amp;"|"&amp;대상월키,기관표[키],0))&amp;"","—"),"—")))</f>
        <v/>
      </c>
      <c r="L712">
        <f>IF($W712="","",IF(NOT(COUNTIF(기관표[사번키],INDEX(합계표[사번키],$W712))+COUNTIF(월별근무지표[사번키],INDEX(합계표[사번키],$W712))&gt;0),"기관명단에 없음(다른 병원으로 발송)",IF($K712="—","대상월 기관명단 없음(추가 필요)",IF($K712="서울병원","해당","비해당"))))</f>
        <v/>
      </c>
      <c r="M712">
        <f>IF($W712="","",SUMIFS(상세표[06~07시],상세표[사번키],INDEX(합계표[사번키],$W712),상세표[반영월],대상월키,상세표[반영 기관],"서울병원"))</f>
        <v/>
      </c>
      <c r="N712">
        <f>IF($W712="","",SUMIFS(상세표[07~18시],상세표[사번키],INDEX(합계표[사번키],$W712),상세표[반영월],대상월키,상세표[반영 기관],"서울병원"))</f>
        <v/>
      </c>
      <c r="O712">
        <f>IF($W712="","",SUMIFS(상세표[18~22시],상세표[사번키],INDEX(합계표[사번키],$W712),상세표[반영월],대상월키,상세표[반영 기관],"서울병원"))</f>
        <v/>
      </c>
      <c r="P712">
        <f>IF($W712="","",SUMIFS(상세표[22~06시],상세표[사번키],INDEX(합계표[사번키],$W712),상세표[반영월],대상월키,상세표[반영 기관],"서울병원"))</f>
        <v/>
      </c>
      <c r="Q712">
        <f>IF($W712="","",SUM($M712:$P712))</f>
        <v/>
      </c>
      <c r="R712">
        <f>IF($W712="","",COUNTIFS(상세표[사번키],INDEX(합계표[사번키],$W712),상세표[반영월],대상월키,상세표[야간당직],1,상세표[야간 구분],"평일"))</f>
        <v/>
      </c>
      <c r="S712" s="4">
        <f>IF($W712="","",COUNTIFS(상세표[사번키],INDEX(합계표[사번키],$W712),상세표[반영월],대상월키,상세표[야간당직],1,상세표[야간 구분],"휴일"))</f>
        <v/>
      </c>
      <c r="T712">
        <f>IF($W712="","",COUNTIFS(상세표[사번키],INDEX(합계표[사번키],$W712),상세표[반영월],대상월키,상세표[야간당직],1,상세표[야간 구분],"평일",상세표[반영 기관],"서울병원"))</f>
        <v/>
      </c>
      <c r="U712">
        <f>IF($W712="","",COUNTIFS(상세표[사번키],INDEX(합계표[사번키],$W712),상세표[반영월],대상월키,상세표[야간당직],1,상세표[야간 구분],"휴일",상세표[반영 기관],"서울병원"))</f>
        <v/>
      </c>
      <c r="V712">
        <f>IF($W712="","",IF(ISNUMBER(MATCH(INDEX(합계표[사번키],$W712)&amp;"|"&amp;대상월키,월별근무지표[키],0)),"직접 입력",IF($K712="—","—","기관명단")))</f>
        <v/>
      </c>
      <c r="W712">
        <f>IFERROR(MATCH(707,합계표[판정순번],0),"")</f>
        <v/>
      </c>
    </row>
    <row r="713">
      <c r="A713">
        <f>IF($W713="","",INDEX(합계표[사번],$W713)&amp;"")</f>
        <v/>
      </c>
      <c r="B713">
        <f>IF($W713="","",INDEX(합계표[성명],$W713)&amp;"")</f>
        <v/>
      </c>
      <c r="C713">
        <f>IF($W713="","",INDEX(합계표[부서],$W713)&amp;"")</f>
        <v/>
      </c>
      <c r="D713">
        <f>IF($W713="","",INDEX(합계표[직위(통합)],$W713)&amp;"")</f>
        <v/>
      </c>
      <c r="E713">
        <f>IF($W713="","",SUMIFS(합계표[시스템 합계],합계표[사번키],INDEX(합계표[사번키],$W713)))</f>
        <v/>
      </c>
      <c r="F713">
        <f>IF($W713="","",SUMIFS(상세표[기록 시간외],상세표[사번키],INDEX(합계표[사번키],$W713),상세표[기록월],대상월키))</f>
        <v/>
      </c>
      <c r="G713">
        <f>IF($W713="","",IF(ABS($E713-$F713)&lt;0.01,"일치","불일치(차이 "&amp;TEXT($F713-$E713,"0.00")&amp;")"))</f>
        <v/>
      </c>
      <c r="H713">
        <f>IF($W713="","",SUMIFS(상세표[기록 시간외],상세표[사번키],INDEX(합계표[사번키],$W713),상세표[기록월],대상월키,상세표[반영월],"&lt;&gt;"&amp;대상월키))</f>
        <v/>
      </c>
      <c r="I713">
        <f>IF($W713="","",SUMIFS(상세표[기록 시간외],상세표[사번키],INDEX(합계표[사번키],$W713),상세표[기록월],"&lt;&gt;"&amp;대상월키,상세표[반영월],대상월키))</f>
        <v/>
      </c>
      <c r="J713">
        <f>IF($W713="","",SUMIFS(상세표[기록 시간외],상세표[사번키],INDEX(합계표[사번키],$W713),상세표[반영월],대상월키))</f>
        <v/>
      </c>
      <c r="K713">
        <f>IF($W713="","",IFERROR(INDEX(월별근무지표[적용 급여병원],MATCH(INDEX(합계표[사번키],$W713)&amp;"|"&amp;대상월키,월별근무지표[키],0))&amp;"",IF(COUNTIF(기관표[사번키],INDEX(합계표[사번키],$W713))+COUNTIF(월별근무지표[사번키],INDEX(합계표[사번키],$W713))&gt;0,IFERROR(INDEX(기관표[급여지급병원(기준월)],MATCH(INDEX(합계표[사번키],$W713)&amp;"|"&amp;대상월키,기관표[키],0))&amp;"","—"),"—")))</f>
        <v/>
      </c>
      <c r="L713">
        <f>IF($W713="","",IF(NOT(COUNTIF(기관표[사번키],INDEX(합계표[사번키],$W713))+COUNTIF(월별근무지표[사번키],INDEX(합계표[사번키],$W713))&gt;0),"기관명단에 없음(다른 병원으로 발송)",IF($K713="—","대상월 기관명단 없음(추가 필요)",IF($K713="서울병원","해당","비해당"))))</f>
        <v/>
      </c>
      <c r="M713">
        <f>IF($W713="","",SUMIFS(상세표[06~07시],상세표[사번키],INDEX(합계표[사번키],$W713),상세표[반영월],대상월키,상세표[반영 기관],"서울병원"))</f>
        <v/>
      </c>
      <c r="N713">
        <f>IF($W713="","",SUMIFS(상세표[07~18시],상세표[사번키],INDEX(합계표[사번키],$W713),상세표[반영월],대상월키,상세표[반영 기관],"서울병원"))</f>
        <v/>
      </c>
      <c r="O713">
        <f>IF($W713="","",SUMIFS(상세표[18~22시],상세표[사번키],INDEX(합계표[사번키],$W713),상세표[반영월],대상월키,상세표[반영 기관],"서울병원"))</f>
        <v/>
      </c>
      <c r="P713">
        <f>IF($W713="","",SUMIFS(상세표[22~06시],상세표[사번키],INDEX(합계표[사번키],$W713),상세표[반영월],대상월키,상세표[반영 기관],"서울병원"))</f>
        <v/>
      </c>
      <c r="Q713">
        <f>IF($W713="","",SUM($M713:$P713))</f>
        <v/>
      </c>
      <c r="R713">
        <f>IF($W713="","",COUNTIFS(상세표[사번키],INDEX(합계표[사번키],$W713),상세표[반영월],대상월키,상세표[야간당직],1,상세표[야간 구분],"평일"))</f>
        <v/>
      </c>
      <c r="S713" s="4">
        <f>IF($W713="","",COUNTIFS(상세표[사번키],INDEX(합계표[사번키],$W713),상세표[반영월],대상월키,상세표[야간당직],1,상세표[야간 구분],"휴일"))</f>
        <v/>
      </c>
      <c r="T713">
        <f>IF($W713="","",COUNTIFS(상세표[사번키],INDEX(합계표[사번키],$W713),상세표[반영월],대상월키,상세표[야간당직],1,상세표[야간 구분],"평일",상세표[반영 기관],"서울병원"))</f>
        <v/>
      </c>
      <c r="U713">
        <f>IF($W713="","",COUNTIFS(상세표[사번키],INDEX(합계표[사번키],$W713),상세표[반영월],대상월키,상세표[야간당직],1,상세표[야간 구분],"휴일",상세표[반영 기관],"서울병원"))</f>
        <v/>
      </c>
      <c r="V713">
        <f>IF($W713="","",IF(ISNUMBER(MATCH(INDEX(합계표[사번키],$W713)&amp;"|"&amp;대상월키,월별근무지표[키],0)),"직접 입력",IF($K713="—","—","기관명단")))</f>
        <v/>
      </c>
      <c r="W713">
        <f>IFERROR(MATCH(708,합계표[판정순번],0),"")</f>
        <v/>
      </c>
    </row>
    <row r="714">
      <c r="A714">
        <f>IF($W714="","",INDEX(합계표[사번],$W714)&amp;"")</f>
        <v/>
      </c>
      <c r="B714">
        <f>IF($W714="","",INDEX(합계표[성명],$W714)&amp;"")</f>
        <v/>
      </c>
      <c r="C714">
        <f>IF($W714="","",INDEX(합계표[부서],$W714)&amp;"")</f>
        <v/>
      </c>
      <c r="D714">
        <f>IF($W714="","",INDEX(합계표[직위(통합)],$W714)&amp;"")</f>
        <v/>
      </c>
      <c r="E714">
        <f>IF($W714="","",SUMIFS(합계표[시스템 합계],합계표[사번키],INDEX(합계표[사번키],$W714)))</f>
        <v/>
      </c>
      <c r="F714">
        <f>IF($W714="","",SUMIFS(상세표[기록 시간외],상세표[사번키],INDEX(합계표[사번키],$W714),상세표[기록월],대상월키))</f>
        <v/>
      </c>
      <c r="G714">
        <f>IF($W714="","",IF(ABS($E714-$F714)&lt;0.01,"일치","불일치(차이 "&amp;TEXT($F714-$E714,"0.00")&amp;")"))</f>
        <v/>
      </c>
      <c r="H714">
        <f>IF($W714="","",SUMIFS(상세표[기록 시간외],상세표[사번키],INDEX(합계표[사번키],$W714),상세표[기록월],대상월키,상세표[반영월],"&lt;&gt;"&amp;대상월키))</f>
        <v/>
      </c>
      <c r="I714">
        <f>IF($W714="","",SUMIFS(상세표[기록 시간외],상세표[사번키],INDEX(합계표[사번키],$W714),상세표[기록월],"&lt;&gt;"&amp;대상월키,상세표[반영월],대상월키))</f>
        <v/>
      </c>
      <c r="J714">
        <f>IF($W714="","",SUMIFS(상세표[기록 시간외],상세표[사번키],INDEX(합계표[사번키],$W714),상세표[반영월],대상월키))</f>
        <v/>
      </c>
      <c r="K714">
        <f>IF($W714="","",IFERROR(INDEX(월별근무지표[적용 급여병원],MATCH(INDEX(합계표[사번키],$W714)&amp;"|"&amp;대상월키,월별근무지표[키],0))&amp;"",IF(COUNTIF(기관표[사번키],INDEX(합계표[사번키],$W714))+COUNTIF(월별근무지표[사번키],INDEX(합계표[사번키],$W714))&gt;0,IFERROR(INDEX(기관표[급여지급병원(기준월)],MATCH(INDEX(합계표[사번키],$W714)&amp;"|"&amp;대상월키,기관표[키],0))&amp;"","—"),"—")))</f>
        <v/>
      </c>
      <c r="L714">
        <f>IF($W714="","",IF(NOT(COUNTIF(기관표[사번키],INDEX(합계표[사번키],$W714))+COUNTIF(월별근무지표[사번키],INDEX(합계표[사번키],$W714))&gt;0),"기관명단에 없음(다른 병원으로 발송)",IF($K714="—","대상월 기관명단 없음(추가 필요)",IF($K714="서울병원","해당","비해당"))))</f>
        <v/>
      </c>
      <c r="M714">
        <f>IF($W714="","",SUMIFS(상세표[06~07시],상세표[사번키],INDEX(합계표[사번키],$W714),상세표[반영월],대상월키,상세표[반영 기관],"서울병원"))</f>
        <v/>
      </c>
      <c r="N714">
        <f>IF($W714="","",SUMIFS(상세표[07~18시],상세표[사번키],INDEX(합계표[사번키],$W714),상세표[반영월],대상월키,상세표[반영 기관],"서울병원"))</f>
        <v/>
      </c>
      <c r="O714">
        <f>IF($W714="","",SUMIFS(상세표[18~22시],상세표[사번키],INDEX(합계표[사번키],$W714),상세표[반영월],대상월키,상세표[반영 기관],"서울병원"))</f>
        <v/>
      </c>
      <c r="P714">
        <f>IF($W714="","",SUMIFS(상세표[22~06시],상세표[사번키],INDEX(합계표[사번키],$W714),상세표[반영월],대상월키,상세표[반영 기관],"서울병원"))</f>
        <v/>
      </c>
      <c r="Q714">
        <f>IF($W714="","",SUM($M714:$P714))</f>
        <v/>
      </c>
      <c r="R714">
        <f>IF($W714="","",COUNTIFS(상세표[사번키],INDEX(합계표[사번키],$W714),상세표[반영월],대상월키,상세표[야간당직],1,상세표[야간 구분],"평일"))</f>
        <v/>
      </c>
      <c r="S714" s="4">
        <f>IF($W714="","",COUNTIFS(상세표[사번키],INDEX(합계표[사번키],$W714),상세표[반영월],대상월키,상세표[야간당직],1,상세표[야간 구분],"휴일"))</f>
        <v/>
      </c>
      <c r="T714">
        <f>IF($W714="","",COUNTIFS(상세표[사번키],INDEX(합계표[사번키],$W714),상세표[반영월],대상월키,상세표[야간당직],1,상세표[야간 구분],"평일",상세표[반영 기관],"서울병원"))</f>
        <v/>
      </c>
      <c r="U714">
        <f>IF($W714="","",COUNTIFS(상세표[사번키],INDEX(합계표[사번키],$W714),상세표[반영월],대상월키,상세표[야간당직],1,상세표[야간 구분],"휴일",상세표[반영 기관],"서울병원"))</f>
        <v/>
      </c>
      <c r="V714">
        <f>IF($W714="","",IF(ISNUMBER(MATCH(INDEX(합계표[사번키],$W714)&amp;"|"&amp;대상월키,월별근무지표[키],0)),"직접 입력",IF($K714="—","—","기관명단")))</f>
        <v/>
      </c>
      <c r="W714">
        <f>IFERROR(MATCH(709,합계표[판정순번],0),"")</f>
        <v/>
      </c>
    </row>
    <row r="715">
      <c r="A715">
        <f>IF($W715="","",INDEX(합계표[사번],$W715)&amp;"")</f>
        <v/>
      </c>
      <c r="B715">
        <f>IF($W715="","",INDEX(합계표[성명],$W715)&amp;"")</f>
        <v/>
      </c>
      <c r="C715">
        <f>IF($W715="","",INDEX(합계표[부서],$W715)&amp;"")</f>
        <v/>
      </c>
      <c r="D715">
        <f>IF($W715="","",INDEX(합계표[직위(통합)],$W715)&amp;"")</f>
        <v/>
      </c>
      <c r="E715">
        <f>IF($W715="","",SUMIFS(합계표[시스템 합계],합계표[사번키],INDEX(합계표[사번키],$W715)))</f>
        <v/>
      </c>
      <c r="F715">
        <f>IF($W715="","",SUMIFS(상세표[기록 시간외],상세표[사번키],INDEX(합계표[사번키],$W715),상세표[기록월],대상월키))</f>
        <v/>
      </c>
      <c r="G715">
        <f>IF($W715="","",IF(ABS($E715-$F715)&lt;0.01,"일치","불일치(차이 "&amp;TEXT($F715-$E715,"0.00")&amp;")"))</f>
        <v/>
      </c>
      <c r="H715">
        <f>IF($W715="","",SUMIFS(상세표[기록 시간외],상세표[사번키],INDEX(합계표[사번키],$W715),상세표[기록월],대상월키,상세표[반영월],"&lt;&gt;"&amp;대상월키))</f>
        <v/>
      </c>
      <c r="I715">
        <f>IF($W715="","",SUMIFS(상세표[기록 시간외],상세표[사번키],INDEX(합계표[사번키],$W715),상세표[기록월],"&lt;&gt;"&amp;대상월키,상세표[반영월],대상월키))</f>
        <v/>
      </c>
      <c r="J715">
        <f>IF($W715="","",SUMIFS(상세표[기록 시간외],상세표[사번키],INDEX(합계표[사번키],$W715),상세표[반영월],대상월키))</f>
        <v/>
      </c>
      <c r="K715">
        <f>IF($W715="","",IFERROR(INDEX(월별근무지표[적용 급여병원],MATCH(INDEX(합계표[사번키],$W715)&amp;"|"&amp;대상월키,월별근무지표[키],0))&amp;"",IF(COUNTIF(기관표[사번키],INDEX(합계표[사번키],$W715))+COUNTIF(월별근무지표[사번키],INDEX(합계표[사번키],$W715))&gt;0,IFERROR(INDEX(기관표[급여지급병원(기준월)],MATCH(INDEX(합계표[사번키],$W715)&amp;"|"&amp;대상월키,기관표[키],0))&amp;"","—"),"—")))</f>
        <v/>
      </c>
      <c r="L715">
        <f>IF($W715="","",IF(NOT(COUNTIF(기관표[사번키],INDEX(합계표[사번키],$W715))+COUNTIF(월별근무지표[사번키],INDEX(합계표[사번키],$W715))&gt;0),"기관명단에 없음(다른 병원으로 발송)",IF($K715="—","대상월 기관명단 없음(추가 필요)",IF($K715="서울병원","해당","비해당"))))</f>
        <v/>
      </c>
      <c r="M715">
        <f>IF($W715="","",SUMIFS(상세표[06~07시],상세표[사번키],INDEX(합계표[사번키],$W715),상세표[반영월],대상월키,상세표[반영 기관],"서울병원"))</f>
        <v/>
      </c>
      <c r="N715">
        <f>IF($W715="","",SUMIFS(상세표[07~18시],상세표[사번키],INDEX(합계표[사번키],$W715),상세표[반영월],대상월키,상세표[반영 기관],"서울병원"))</f>
        <v/>
      </c>
      <c r="O715">
        <f>IF($W715="","",SUMIFS(상세표[18~22시],상세표[사번키],INDEX(합계표[사번키],$W715),상세표[반영월],대상월키,상세표[반영 기관],"서울병원"))</f>
        <v/>
      </c>
      <c r="P715">
        <f>IF($W715="","",SUMIFS(상세표[22~06시],상세표[사번키],INDEX(합계표[사번키],$W715),상세표[반영월],대상월키,상세표[반영 기관],"서울병원"))</f>
        <v/>
      </c>
      <c r="Q715">
        <f>IF($W715="","",SUM($M715:$P715))</f>
        <v/>
      </c>
      <c r="R715">
        <f>IF($W715="","",COUNTIFS(상세표[사번키],INDEX(합계표[사번키],$W715),상세표[반영월],대상월키,상세표[야간당직],1,상세표[야간 구분],"평일"))</f>
        <v/>
      </c>
      <c r="S715" s="4">
        <f>IF($W715="","",COUNTIFS(상세표[사번키],INDEX(합계표[사번키],$W715),상세표[반영월],대상월키,상세표[야간당직],1,상세표[야간 구분],"휴일"))</f>
        <v/>
      </c>
      <c r="T715">
        <f>IF($W715="","",COUNTIFS(상세표[사번키],INDEX(합계표[사번키],$W715),상세표[반영월],대상월키,상세표[야간당직],1,상세표[야간 구분],"평일",상세표[반영 기관],"서울병원"))</f>
        <v/>
      </c>
      <c r="U715">
        <f>IF($W715="","",COUNTIFS(상세표[사번키],INDEX(합계표[사번키],$W715),상세표[반영월],대상월키,상세표[야간당직],1,상세표[야간 구분],"휴일",상세표[반영 기관],"서울병원"))</f>
        <v/>
      </c>
      <c r="V715">
        <f>IF($W715="","",IF(ISNUMBER(MATCH(INDEX(합계표[사번키],$W715)&amp;"|"&amp;대상월키,월별근무지표[키],0)),"직접 입력",IF($K715="—","—","기관명단")))</f>
        <v/>
      </c>
      <c r="W715">
        <f>IFERROR(MATCH(710,합계표[판정순번],0),"")</f>
        <v/>
      </c>
    </row>
    <row r="716">
      <c r="A716">
        <f>IF($W716="","",INDEX(합계표[사번],$W716)&amp;"")</f>
        <v/>
      </c>
      <c r="B716">
        <f>IF($W716="","",INDEX(합계표[성명],$W716)&amp;"")</f>
        <v/>
      </c>
      <c r="C716">
        <f>IF($W716="","",INDEX(합계표[부서],$W716)&amp;"")</f>
        <v/>
      </c>
      <c r="D716">
        <f>IF($W716="","",INDEX(합계표[직위(통합)],$W716)&amp;"")</f>
        <v/>
      </c>
      <c r="E716">
        <f>IF($W716="","",SUMIFS(합계표[시스템 합계],합계표[사번키],INDEX(합계표[사번키],$W716)))</f>
        <v/>
      </c>
      <c r="F716">
        <f>IF($W716="","",SUMIFS(상세표[기록 시간외],상세표[사번키],INDEX(합계표[사번키],$W716),상세표[기록월],대상월키))</f>
        <v/>
      </c>
      <c r="G716">
        <f>IF($W716="","",IF(ABS($E716-$F716)&lt;0.01,"일치","불일치(차이 "&amp;TEXT($F716-$E716,"0.00")&amp;")"))</f>
        <v/>
      </c>
      <c r="H716">
        <f>IF($W716="","",SUMIFS(상세표[기록 시간외],상세표[사번키],INDEX(합계표[사번키],$W716),상세표[기록월],대상월키,상세표[반영월],"&lt;&gt;"&amp;대상월키))</f>
        <v/>
      </c>
      <c r="I716">
        <f>IF($W716="","",SUMIFS(상세표[기록 시간외],상세표[사번키],INDEX(합계표[사번키],$W716),상세표[기록월],"&lt;&gt;"&amp;대상월키,상세표[반영월],대상월키))</f>
        <v/>
      </c>
      <c r="J716">
        <f>IF($W716="","",SUMIFS(상세표[기록 시간외],상세표[사번키],INDEX(합계표[사번키],$W716),상세표[반영월],대상월키))</f>
        <v/>
      </c>
      <c r="K716">
        <f>IF($W716="","",IFERROR(INDEX(월별근무지표[적용 급여병원],MATCH(INDEX(합계표[사번키],$W716)&amp;"|"&amp;대상월키,월별근무지표[키],0))&amp;"",IF(COUNTIF(기관표[사번키],INDEX(합계표[사번키],$W716))+COUNTIF(월별근무지표[사번키],INDEX(합계표[사번키],$W716))&gt;0,IFERROR(INDEX(기관표[급여지급병원(기준월)],MATCH(INDEX(합계표[사번키],$W716)&amp;"|"&amp;대상월키,기관표[키],0))&amp;"","—"),"—")))</f>
        <v/>
      </c>
      <c r="L716">
        <f>IF($W716="","",IF(NOT(COUNTIF(기관표[사번키],INDEX(합계표[사번키],$W716))+COUNTIF(월별근무지표[사번키],INDEX(합계표[사번키],$W716))&gt;0),"기관명단에 없음(다른 병원으로 발송)",IF($K716="—","대상월 기관명단 없음(추가 필요)",IF($K716="서울병원","해당","비해당"))))</f>
        <v/>
      </c>
      <c r="M716">
        <f>IF($W716="","",SUMIFS(상세표[06~07시],상세표[사번키],INDEX(합계표[사번키],$W716),상세표[반영월],대상월키,상세표[반영 기관],"서울병원"))</f>
        <v/>
      </c>
      <c r="N716">
        <f>IF($W716="","",SUMIFS(상세표[07~18시],상세표[사번키],INDEX(합계표[사번키],$W716),상세표[반영월],대상월키,상세표[반영 기관],"서울병원"))</f>
        <v/>
      </c>
      <c r="O716">
        <f>IF($W716="","",SUMIFS(상세표[18~22시],상세표[사번키],INDEX(합계표[사번키],$W716),상세표[반영월],대상월키,상세표[반영 기관],"서울병원"))</f>
        <v/>
      </c>
      <c r="P716">
        <f>IF($W716="","",SUMIFS(상세표[22~06시],상세표[사번키],INDEX(합계표[사번키],$W716),상세표[반영월],대상월키,상세표[반영 기관],"서울병원"))</f>
        <v/>
      </c>
      <c r="Q716">
        <f>IF($W716="","",SUM($M716:$P716))</f>
        <v/>
      </c>
      <c r="R716">
        <f>IF($W716="","",COUNTIFS(상세표[사번키],INDEX(합계표[사번키],$W716),상세표[반영월],대상월키,상세표[야간당직],1,상세표[야간 구분],"평일"))</f>
        <v/>
      </c>
      <c r="S716" s="4">
        <f>IF($W716="","",COUNTIFS(상세표[사번키],INDEX(합계표[사번키],$W716),상세표[반영월],대상월키,상세표[야간당직],1,상세표[야간 구분],"휴일"))</f>
        <v/>
      </c>
      <c r="T716">
        <f>IF($W716="","",COUNTIFS(상세표[사번키],INDEX(합계표[사번키],$W716),상세표[반영월],대상월키,상세표[야간당직],1,상세표[야간 구분],"평일",상세표[반영 기관],"서울병원"))</f>
        <v/>
      </c>
      <c r="U716">
        <f>IF($W716="","",COUNTIFS(상세표[사번키],INDEX(합계표[사번키],$W716),상세표[반영월],대상월키,상세표[야간당직],1,상세표[야간 구분],"휴일",상세표[반영 기관],"서울병원"))</f>
        <v/>
      </c>
      <c r="V716">
        <f>IF($W716="","",IF(ISNUMBER(MATCH(INDEX(합계표[사번키],$W716)&amp;"|"&amp;대상월키,월별근무지표[키],0)),"직접 입력",IF($K716="—","—","기관명단")))</f>
        <v/>
      </c>
      <c r="W716">
        <f>IFERROR(MATCH(711,합계표[판정순번],0),"")</f>
        <v/>
      </c>
    </row>
    <row r="717">
      <c r="A717">
        <f>IF($W717="","",INDEX(합계표[사번],$W717)&amp;"")</f>
        <v/>
      </c>
      <c r="B717">
        <f>IF($W717="","",INDEX(합계표[성명],$W717)&amp;"")</f>
        <v/>
      </c>
      <c r="C717">
        <f>IF($W717="","",INDEX(합계표[부서],$W717)&amp;"")</f>
        <v/>
      </c>
      <c r="D717">
        <f>IF($W717="","",INDEX(합계표[직위(통합)],$W717)&amp;"")</f>
        <v/>
      </c>
      <c r="E717">
        <f>IF($W717="","",SUMIFS(합계표[시스템 합계],합계표[사번키],INDEX(합계표[사번키],$W717)))</f>
        <v/>
      </c>
      <c r="F717">
        <f>IF($W717="","",SUMIFS(상세표[기록 시간외],상세표[사번키],INDEX(합계표[사번키],$W717),상세표[기록월],대상월키))</f>
        <v/>
      </c>
      <c r="G717">
        <f>IF($W717="","",IF(ABS($E717-$F717)&lt;0.01,"일치","불일치(차이 "&amp;TEXT($F717-$E717,"0.00")&amp;")"))</f>
        <v/>
      </c>
      <c r="H717">
        <f>IF($W717="","",SUMIFS(상세표[기록 시간외],상세표[사번키],INDEX(합계표[사번키],$W717),상세표[기록월],대상월키,상세표[반영월],"&lt;&gt;"&amp;대상월키))</f>
        <v/>
      </c>
      <c r="I717">
        <f>IF($W717="","",SUMIFS(상세표[기록 시간외],상세표[사번키],INDEX(합계표[사번키],$W717),상세표[기록월],"&lt;&gt;"&amp;대상월키,상세표[반영월],대상월키))</f>
        <v/>
      </c>
      <c r="J717">
        <f>IF($W717="","",SUMIFS(상세표[기록 시간외],상세표[사번키],INDEX(합계표[사번키],$W717),상세표[반영월],대상월키))</f>
        <v/>
      </c>
      <c r="K717">
        <f>IF($W717="","",IFERROR(INDEX(월별근무지표[적용 급여병원],MATCH(INDEX(합계표[사번키],$W717)&amp;"|"&amp;대상월키,월별근무지표[키],0))&amp;"",IF(COUNTIF(기관표[사번키],INDEX(합계표[사번키],$W717))+COUNTIF(월별근무지표[사번키],INDEX(합계표[사번키],$W717))&gt;0,IFERROR(INDEX(기관표[급여지급병원(기준월)],MATCH(INDEX(합계표[사번키],$W717)&amp;"|"&amp;대상월키,기관표[키],0))&amp;"","—"),"—")))</f>
        <v/>
      </c>
      <c r="L717">
        <f>IF($W717="","",IF(NOT(COUNTIF(기관표[사번키],INDEX(합계표[사번키],$W717))+COUNTIF(월별근무지표[사번키],INDEX(합계표[사번키],$W717))&gt;0),"기관명단에 없음(다른 병원으로 발송)",IF($K717="—","대상월 기관명단 없음(추가 필요)",IF($K717="서울병원","해당","비해당"))))</f>
        <v/>
      </c>
      <c r="M717">
        <f>IF($W717="","",SUMIFS(상세표[06~07시],상세표[사번키],INDEX(합계표[사번키],$W717),상세표[반영월],대상월키,상세표[반영 기관],"서울병원"))</f>
        <v/>
      </c>
      <c r="N717">
        <f>IF($W717="","",SUMIFS(상세표[07~18시],상세표[사번키],INDEX(합계표[사번키],$W717),상세표[반영월],대상월키,상세표[반영 기관],"서울병원"))</f>
        <v/>
      </c>
      <c r="O717">
        <f>IF($W717="","",SUMIFS(상세표[18~22시],상세표[사번키],INDEX(합계표[사번키],$W717),상세표[반영월],대상월키,상세표[반영 기관],"서울병원"))</f>
        <v/>
      </c>
      <c r="P717">
        <f>IF($W717="","",SUMIFS(상세표[22~06시],상세표[사번키],INDEX(합계표[사번키],$W717),상세표[반영월],대상월키,상세표[반영 기관],"서울병원"))</f>
        <v/>
      </c>
      <c r="Q717">
        <f>IF($W717="","",SUM($M717:$P717))</f>
        <v/>
      </c>
      <c r="R717">
        <f>IF($W717="","",COUNTIFS(상세표[사번키],INDEX(합계표[사번키],$W717),상세표[반영월],대상월키,상세표[야간당직],1,상세표[야간 구분],"평일"))</f>
        <v/>
      </c>
      <c r="S717" s="4">
        <f>IF($W717="","",COUNTIFS(상세표[사번키],INDEX(합계표[사번키],$W717),상세표[반영월],대상월키,상세표[야간당직],1,상세표[야간 구분],"휴일"))</f>
        <v/>
      </c>
      <c r="T717">
        <f>IF($W717="","",COUNTIFS(상세표[사번키],INDEX(합계표[사번키],$W717),상세표[반영월],대상월키,상세표[야간당직],1,상세표[야간 구분],"평일",상세표[반영 기관],"서울병원"))</f>
        <v/>
      </c>
      <c r="U717">
        <f>IF($W717="","",COUNTIFS(상세표[사번키],INDEX(합계표[사번키],$W717),상세표[반영월],대상월키,상세표[야간당직],1,상세표[야간 구분],"휴일",상세표[반영 기관],"서울병원"))</f>
        <v/>
      </c>
      <c r="V717">
        <f>IF($W717="","",IF(ISNUMBER(MATCH(INDEX(합계표[사번키],$W717)&amp;"|"&amp;대상월키,월별근무지표[키],0)),"직접 입력",IF($K717="—","—","기관명단")))</f>
        <v/>
      </c>
      <c r="W717">
        <f>IFERROR(MATCH(712,합계표[판정순번],0),"")</f>
        <v/>
      </c>
    </row>
    <row r="718">
      <c r="A718">
        <f>IF($W718="","",INDEX(합계표[사번],$W718)&amp;"")</f>
        <v/>
      </c>
      <c r="B718">
        <f>IF($W718="","",INDEX(합계표[성명],$W718)&amp;"")</f>
        <v/>
      </c>
      <c r="C718">
        <f>IF($W718="","",INDEX(합계표[부서],$W718)&amp;"")</f>
        <v/>
      </c>
      <c r="D718">
        <f>IF($W718="","",INDEX(합계표[직위(통합)],$W718)&amp;"")</f>
        <v/>
      </c>
      <c r="E718">
        <f>IF($W718="","",SUMIFS(합계표[시스템 합계],합계표[사번키],INDEX(합계표[사번키],$W718)))</f>
        <v/>
      </c>
      <c r="F718">
        <f>IF($W718="","",SUMIFS(상세표[기록 시간외],상세표[사번키],INDEX(합계표[사번키],$W718),상세표[기록월],대상월키))</f>
        <v/>
      </c>
      <c r="G718">
        <f>IF($W718="","",IF(ABS($E718-$F718)&lt;0.01,"일치","불일치(차이 "&amp;TEXT($F718-$E718,"0.00")&amp;")"))</f>
        <v/>
      </c>
      <c r="H718">
        <f>IF($W718="","",SUMIFS(상세표[기록 시간외],상세표[사번키],INDEX(합계표[사번키],$W718),상세표[기록월],대상월키,상세표[반영월],"&lt;&gt;"&amp;대상월키))</f>
        <v/>
      </c>
      <c r="I718">
        <f>IF($W718="","",SUMIFS(상세표[기록 시간외],상세표[사번키],INDEX(합계표[사번키],$W718),상세표[기록월],"&lt;&gt;"&amp;대상월키,상세표[반영월],대상월키))</f>
        <v/>
      </c>
      <c r="J718">
        <f>IF($W718="","",SUMIFS(상세표[기록 시간외],상세표[사번키],INDEX(합계표[사번키],$W718),상세표[반영월],대상월키))</f>
        <v/>
      </c>
      <c r="K718">
        <f>IF($W718="","",IFERROR(INDEX(월별근무지표[적용 급여병원],MATCH(INDEX(합계표[사번키],$W718)&amp;"|"&amp;대상월키,월별근무지표[키],0))&amp;"",IF(COUNTIF(기관표[사번키],INDEX(합계표[사번키],$W718))+COUNTIF(월별근무지표[사번키],INDEX(합계표[사번키],$W718))&gt;0,IFERROR(INDEX(기관표[급여지급병원(기준월)],MATCH(INDEX(합계표[사번키],$W718)&amp;"|"&amp;대상월키,기관표[키],0))&amp;"","—"),"—")))</f>
        <v/>
      </c>
      <c r="L718">
        <f>IF($W718="","",IF(NOT(COUNTIF(기관표[사번키],INDEX(합계표[사번키],$W718))+COUNTIF(월별근무지표[사번키],INDEX(합계표[사번키],$W718))&gt;0),"기관명단에 없음(다른 병원으로 발송)",IF($K718="—","대상월 기관명단 없음(추가 필요)",IF($K718="서울병원","해당","비해당"))))</f>
        <v/>
      </c>
      <c r="M718">
        <f>IF($W718="","",SUMIFS(상세표[06~07시],상세표[사번키],INDEX(합계표[사번키],$W718),상세표[반영월],대상월키,상세표[반영 기관],"서울병원"))</f>
        <v/>
      </c>
      <c r="N718">
        <f>IF($W718="","",SUMIFS(상세표[07~18시],상세표[사번키],INDEX(합계표[사번키],$W718),상세표[반영월],대상월키,상세표[반영 기관],"서울병원"))</f>
        <v/>
      </c>
      <c r="O718">
        <f>IF($W718="","",SUMIFS(상세표[18~22시],상세표[사번키],INDEX(합계표[사번키],$W718),상세표[반영월],대상월키,상세표[반영 기관],"서울병원"))</f>
        <v/>
      </c>
      <c r="P718">
        <f>IF($W718="","",SUMIFS(상세표[22~06시],상세표[사번키],INDEX(합계표[사번키],$W718),상세표[반영월],대상월키,상세표[반영 기관],"서울병원"))</f>
        <v/>
      </c>
      <c r="Q718">
        <f>IF($W718="","",SUM($M718:$P718))</f>
        <v/>
      </c>
      <c r="R718">
        <f>IF($W718="","",COUNTIFS(상세표[사번키],INDEX(합계표[사번키],$W718),상세표[반영월],대상월키,상세표[야간당직],1,상세표[야간 구분],"평일"))</f>
        <v/>
      </c>
      <c r="S718" s="4">
        <f>IF($W718="","",COUNTIFS(상세표[사번키],INDEX(합계표[사번키],$W718),상세표[반영월],대상월키,상세표[야간당직],1,상세표[야간 구분],"휴일"))</f>
        <v/>
      </c>
      <c r="T718">
        <f>IF($W718="","",COUNTIFS(상세표[사번키],INDEX(합계표[사번키],$W718),상세표[반영월],대상월키,상세표[야간당직],1,상세표[야간 구분],"평일",상세표[반영 기관],"서울병원"))</f>
        <v/>
      </c>
      <c r="U718">
        <f>IF($W718="","",COUNTIFS(상세표[사번키],INDEX(합계표[사번키],$W718),상세표[반영월],대상월키,상세표[야간당직],1,상세표[야간 구분],"휴일",상세표[반영 기관],"서울병원"))</f>
        <v/>
      </c>
      <c r="V718">
        <f>IF($W718="","",IF(ISNUMBER(MATCH(INDEX(합계표[사번키],$W718)&amp;"|"&amp;대상월키,월별근무지표[키],0)),"직접 입력",IF($K718="—","—","기관명단")))</f>
        <v/>
      </c>
      <c r="W718">
        <f>IFERROR(MATCH(713,합계표[판정순번],0),"")</f>
        <v/>
      </c>
    </row>
    <row r="719">
      <c r="A719">
        <f>IF($W719="","",INDEX(합계표[사번],$W719)&amp;"")</f>
        <v/>
      </c>
      <c r="B719">
        <f>IF($W719="","",INDEX(합계표[성명],$W719)&amp;"")</f>
        <v/>
      </c>
      <c r="C719">
        <f>IF($W719="","",INDEX(합계표[부서],$W719)&amp;"")</f>
        <v/>
      </c>
      <c r="D719">
        <f>IF($W719="","",INDEX(합계표[직위(통합)],$W719)&amp;"")</f>
        <v/>
      </c>
      <c r="E719">
        <f>IF($W719="","",SUMIFS(합계표[시스템 합계],합계표[사번키],INDEX(합계표[사번키],$W719)))</f>
        <v/>
      </c>
      <c r="F719">
        <f>IF($W719="","",SUMIFS(상세표[기록 시간외],상세표[사번키],INDEX(합계표[사번키],$W719),상세표[기록월],대상월키))</f>
        <v/>
      </c>
      <c r="G719">
        <f>IF($W719="","",IF(ABS($E719-$F719)&lt;0.01,"일치","불일치(차이 "&amp;TEXT($F719-$E719,"0.00")&amp;")"))</f>
        <v/>
      </c>
      <c r="H719">
        <f>IF($W719="","",SUMIFS(상세표[기록 시간외],상세표[사번키],INDEX(합계표[사번키],$W719),상세표[기록월],대상월키,상세표[반영월],"&lt;&gt;"&amp;대상월키))</f>
        <v/>
      </c>
      <c r="I719">
        <f>IF($W719="","",SUMIFS(상세표[기록 시간외],상세표[사번키],INDEX(합계표[사번키],$W719),상세표[기록월],"&lt;&gt;"&amp;대상월키,상세표[반영월],대상월키))</f>
        <v/>
      </c>
      <c r="J719">
        <f>IF($W719="","",SUMIFS(상세표[기록 시간외],상세표[사번키],INDEX(합계표[사번키],$W719),상세표[반영월],대상월키))</f>
        <v/>
      </c>
      <c r="K719">
        <f>IF($W719="","",IFERROR(INDEX(월별근무지표[적용 급여병원],MATCH(INDEX(합계표[사번키],$W719)&amp;"|"&amp;대상월키,월별근무지표[키],0))&amp;"",IF(COUNTIF(기관표[사번키],INDEX(합계표[사번키],$W719))+COUNTIF(월별근무지표[사번키],INDEX(합계표[사번키],$W719))&gt;0,IFERROR(INDEX(기관표[급여지급병원(기준월)],MATCH(INDEX(합계표[사번키],$W719)&amp;"|"&amp;대상월키,기관표[키],0))&amp;"","—"),"—")))</f>
        <v/>
      </c>
      <c r="L719">
        <f>IF($W719="","",IF(NOT(COUNTIF(기관표[사번키],INDEX(합계표[사번키],$W719))+COUNTIF(월별근무지표[사번키],INDEX(합계표[사번키],$W719))&gt;0),"기관명단에 없음(다른 병원으로 발송)",IF($K719="—","대상월 기관명단 없음(추가 필요)",IF($K719="서울병원","해당","비해당"))))</f>
        <v/>
      </c>
      <c r="M719">
        <f>IF($W719="","",SUMIFS(상세표[06~07시],상세표[사번키],INDEX(합계표[사번키],$W719),상세표[반영월],대상월키,상세표[반영 기관],"서울병원"))</f>
        <v/>
      </c>
      <c r="N719">
        <f>IF($W719="","",SUMIFS(상세표[07~18시],상세표[사번키],INDEX(합계표[사번키],$W719),상세표[반영월],대상월키,상세표[반영 기관],"서울병원"))</f>
        <v/>
      </c>
      <c r="O719">
        <f>IF($W719="","",SUMIFS(상세표[18~22시],상세표[사번키],INDEX(합계표[사번키],$W719),상세표[반영월],대상월키,상세표[반영 기관],"서울병원"))</f>
        <v/>
      </c>
      <c r="P719">
        <f>IF($W719="","",SUMIFS(상세표[22~06시],상세표[사번키],INDEX(합계표[사번키],$W719),상세표[반영월],대상월키,상세표[반영 기관],"서울병원"))</f>
        <v/>
      </c>
      <c r="Q719">
        <f>IF($W719="","",SUM($M719:$P719))</f>
        <v/>
      </c>
      <c r="R719">
        <f>IF($W719="","",COUNTIFS(상세표[사번키],INDEX(합계표[사번키],$W719),상세표[반영월],대상월키,상세표[야간당직],1,상세표[야간 구분],"평일"))</f>
        <v/>
      </c>
      <c r="S719" s="4">
        <f>IF($W719="","",COUNTIFS(상세표[사번키],INDEX(합계표[사번키],$W719),상세표[반영월],대상월키,상세표[야간당직],1,상세표[야간 구분],"휴일"))</f>
        <v/>
      </c>
      <c r="T719">
        <f>IF($W719="","",COUNTIFS(상세표[사번키],INDEX(합계표[사번키],$W719),상세표[반영월],대상월키,상세표[야간당직],1,상세표[야간 구분],"평일",상세표[반영 기관],"서울병원"))</f>
        <v/>
      </c>
      <c r="U719">
        <f>IF($W719="","",COUNTIFS(상세표[사번키],INDEX(합계표[사번키],$W719),상세표[반영월],대상월키,상세표[야간당직],1,상세표[야간 구분],"휴일",상세표[반영 기관],"서울병원"))</f>
        <v/>
      </c>
      <c r="V719">
        <f>IF($W719="","",IF(ISNUMBER(MATCH(INDEX(합계표[사번키],$W719)&amp;"|"&amp;대상월키,월별근무지표[키],0)),"직접 입력",IF($K719="—","—","기관명단")))</f>
        <v/>
      </c>
      <c r="W719">
        <f>IFERROR(MATCH(714,합계표[판정순번],0),"")</f>
        <v/>
      </c>
    </row>
    <row r="720">
      <c r="A720">
        <f>IF($W720="","",INDEX(합계표[사번],$W720)&amp;"")</f>
        <v/>
      </c>
      <c r="B720">
        <f>IF($W720="","",INDEX(합계표[성명],$W720)&amp;"")</f>
        <v/>
      </c>
      <c r="C720">
        <f>IF($W720="","",INDEX(합계표[부서],$W720)&amp;"")</f>
        <v/>
      </c>
      <c r="D720">
        <f>IF($W720="","",INDEX(합계표[직위(통합)],$W720)&amp;"")</f>
        <v/>
      </c>
      <c r="E720">
        <f>IF($W720="","",SUMIFS(합계표[시스템 합계],합계표[사번키],INDEX(합계표[사번키],$W720)))</f>
        <v/>
      </c>
      <c r="F720">
        <f>IF($W720="","",SUMIFS(상세표[기록 시간외],상세표[사번키],INDEX(합계표[사번키],$W720),상세표[기록월],대상월키))</f>
        <v/>
      </c>
      <c r="G720">
        <f>IF($W720="","",IF(ABS($E720-$F720)&lt;0.01,"일치","불일치(차이 "&amp;TEXT($F720-$E720,"0.00")&amp;")"))</f>
        <v/>
      </c>
      <c r="H720">
        <f>IF($W720="","",SUMIFS(상세표[기록 시간외],상세표[사번키],INDEX(합계표[사번키],$W720),상세표[기록월],대상월키,상세표[반영월],"&lt;&gt;"&amp;대상월키))</f>
        <v/>
      </c>
      <c r="I720">
        <f>IF($W720="","",SUMIFS(상세표[기록 시간외],상세표[사번키],INDEX(합계표[사번키],$W720),상세표[기록월],"&lt;&gt;"&amp;대상월키,상세표[반영월],대상월키))</f>
        <v/>
      </c>
      <c r="J720">
        <f>IF($W720="","",SUMIFS(상세표[기록 시간외],상세표[사번키],INDEX(합계표[사번키],$W720),상세표[반영월],대상월키))</f>
        <v/>
      </c>
      <c r="K720">
        <f>IF($W720="","",IFERROR(INDEX(월별근무지표[적용 급여병원],MATCH(INDEX(합계표[사번키],$W720)&amp;"|"&amp;대상월키,월별근무지표[키],0))&amp;"",IF(COUNTIF(기관표[사번키],INDEX(합계표[사번키],$W720))+COUNTIF(월별근무지표[사번키],INDEX(합계표[사번키],$W720))&gt;0,IFERROR(INDEX(기관표[급여지급병원(기준월)],MATCH(INDEX(합계표[사번키],$W720)&amp;"|"&amp;대상월키,기관표[키],0))&amp;"","—"),"—")))</f>
        <v/>
      </c>
      <c r="L720">
        <f>IF($W720="","",IF(NOT(COUNTIF(기관표[사번키],INDEX(합계표[사번키],$W720))+COUNTIF(월별근무지표[사번키],INDEX(합계표[사번키],$W720))&gt;0),"기관명단에 없음(다른 병원으로 발송)",IF($K720="—","대상월 기관명단 없음(추가 필요)",IF($K720="서울병원","해당","비해당"))))</f>
        <v/>
      </c>
      <c r="M720">
        <f>IF($W720="","",SUMIFS(상세표[06~07시],상세표[사번키],INDEX(합계표[사번키],$W720),상세표[반영월],대상월키,상세표[반영 기관],"서울병원"))</f>
        <v/>
      </c>
      <c r="N720">
        <f>IF($W720="","",SUMIFS(상세표[07~18시],상세표[사번키],INDEX(합계표[사번키],$W720),상세표[반영월],대상월키,상세표[반영 기관],"서울병원"))</f>
        <v/>
      </c>
      <c r="O720">
        <f>IF($W720="","",SUMIFS(상세표[18~22시],상세표[사번키],INDEX(합계표[사번키],$W720),상세표[반영월],대상월키,상세표[반영 기관],"서울병원"))</f>
        <v/>
      </c>
      <c r="P720">
        <f>IF($W720="","",SUMIFS(상세표[22~06시],상세표[사번키],INDEX(합계표[사번키],$W720),상세표[반영월],대상월키,상세표[반영 기관],"서울병원"))</f>
        <v/>
      </c>
      <c r="Q720">
        <f>IF($W720="","",SUM($M720:$P720))</f>
        <v/>
      </c>
      <c r="R720">
        <f>IF($W720="","",COUNTIFS(상세표[사번키],INDEX(합계표[사번키],$W720),상세표[반영월],대상월키,상세표[야간당직],1,상세표[야간 구분],"평일"))</f>
        <v/>
      </c>
      <c r="S720" s="4">
        <f>IF($W720="","",COUNTIFS(상세표[사번키],INDEX(합계표[사번키],$W720),상세표[반영월],대상월키,상세표[야간당직],1,상세표[야간 구분],"휴일"))</f>
        <v/>
      </c>
      <c r="T720">
        <f>IF($W720="","",COUNTIFS(상세표[사번키],INDEX(합계표[사번키],$W720),상세표[반영월],대상월키,상세표[야간당직],1,상세표[야간 구분],"평일",상세표[반영 기관],"서울병원"))</f>
        <v/>
      </c>
      <c r="U720">
        <f>IF($W720="","",COUNTIFS(상세표[사번키],INDEX(합계표[사번키],$W720),상세표[반영월],대상월키,상세표[야간당직],1,상세표[야간 구분],"휴일",상세표[반영 기관],"서울병원"))</f>
        <v/>
      </c>
      <c r="V720">
        <f>IF($W720="","",IF(ISNUMBER(MATCH(INDEX(합계표[사번키],$W720)&amp;"|"&amp;대상월키,월별근무지표[키],0)),"직접 입력",IF($K720="—","—","기관명단")))</f>
        <v/>
      </c>
      <c r="W720">
        <f>IFERROR(MATCH(715,합계표[판정순번],0),"")</f>
        <v/>
      </c>
    </row>
    <row r="721">
      <c r="A721">
        <f>IF($W721="","",INDEX(합계표[사번],$W721)&amp;"")</f>
        <v/>
      </c>
      <c r="B721">
        <f>IF($W721="","",INDEX(합계표[성명],$W721)&amp;"")</f>
        <v/>
      </c>
      <c r="C721">
        <f>IF($W721="","",INDEX(합계표[부서],$W721)&amp;"")</f>
        <v/>
      </c>
      <c r="D721">
        <f>IF($W721="","",INDEX(합계표[직위(통합)],$W721)&amp;"")</f>
        <v/>
      </c>
      <c r="E721">
        <f>IF($W721="","",SUMIFS(합계표[시스템 합계],합계표[사번키],INDEX(합계표[사번키],$W721)))</f>
        <v/>
      </c>
      <c r="F721">
        <f>IF($W721="","",SUMIFS(상세표[기록 시간외],상세표[사번키],INDEX(합계표[사번키],$W721),상세표[기록월],대상월키))</f>
        <v/>
      </c>
      <c r="G721">
        <f>IF($W721="","",IF(ABS($E721-$F721)&lt;0.01,"일치","불일치(차이 "&amp;TEXT($F721-$E721,"0.00")&amp;")"))</f>
        <v/>
      </c>
      <c r="H721">
        <f>IF($W721="","",SUMIFS(상세표[기록 시간외],상세표[사번키],INDEX(합계표[사번키],$W721),상세표[기록월],대상월키,상세표[반영월],"&lt;&gt;"&amp;대상월키))</f>
        <v/>
      </c>
      <c r="I721">
        <f>IF($W721="","",SUMIFS(상세표[기록 시간외],상세표[사번키],INDEX(합계표[사번키],$W721),상세표[기록월],"&lt;&gt;"&amp;대상월키,상세표[반영월],대상월키))</f>
        <v/>
      </c>
      <c r="J721">
        <f>IF($W721="","",SUMIFS(상세표[기록 시간외],상세표[사번키],INDEX(합계표[사번키],$W721),상세표[반영월],대상월키))</f>
        <v/>
      </c>
      <c r="K721">
        <f>IF($W721="","",IFERROR(INDEX(월별근무지표[적용 급여병원],MATCH(INDEX(합계표[사번키],$W721)&amp;"|"&amp;대상월키,월별근무지표[키],0))&amp;"",IF(COUNTIF(기관표[사번키],INDEX(합계표[사번키],$W721))+COUNTIF(월별근무지표[사번키],INDEX(합계표[사번키],$W721))&gt;0,IFERROR(INDEX(기관표[급여지급병원(기준월)],MATCH(INDEX(합계표[사번키],$W721)&amp;"|"&amp;대상월키,기관표[키],0))&amp;"","—"),"—")))</f>
        <v/>
      </c>
      <c r="L721">
        <f>IF($W721="","",IF(NOT(COUNTIF(기관표[사번키],INDEX(합계표[사번키],$W721))+COUNTIF(월별근무지표[사번키],INDEX(합계표[사번키],$W721))&gt;0),"기관명단에 없음(다른 병원으로 발송)",IF($K721="—","대상월 기관명단 없음(추가 필요)",IF($K721="서울병원","해당","비해당"))))</f>
        <v/>
      </c>
      <c r="M721">
        <f>IF($W721="","",SUMIFS(상세표[06~07시],상세표[사번키],INDEX(합계표[사번키],$W721),상세표[반영월],대상월키,상세표[반영 기관],"서울병원"))</f>
        <v/>
      </c>
      <c r="N721">
        <f>IF($W721="","",SUMIFS(상세표[07~18시],상세표[사번키],INDEX(합계표[사번키],$W721),상세표[반영월],대상월키,상세표[반영 기관],"서울병원"))</f>
        <v/>
      </c>
      <c r="O721">
        <f>IF($W721="","",SUMIFS(상세표[18~22시],상세표[사번키],INDEX(합계표[사번키],$W721),상세표[반영월],대상월키,상세표[반영 기관],"서울병원"))</f>
        <v/>
      </c>
      <c r="P721">
        <f>IF($W721="","",SUMIFS(상세표[22~06시],상세표[사번키],INDEX(합계표[사번키],$W721),상세표[반영월],대상월키,상세표[반영 기관],"서울병원"))</f>
        <v/>
      </c>
      <c r="Q721">
        <f>IF($W721="","",SUM($M721:$P721))</f>
        <v/>
      </c>
      <c r="R721">
        <f>IF($W721="","",COUNTIFS(상세표[사번키],INDEX(합계표[사번키],$W721),상세표[반영월],대상월키,상세표[야간당직],1,상세표[야간 구분],"평일"))</f>
        <v/>
      </c>
      <c r="S721" s="4">
        <f>IF($W721="","",COUNTIFS(상세표[사번키],INDEX(합계표[사번키],$W721),상세표[반영월],대상월키,상세표[야간당직],1,상세표[야간 구분],"휴일"))</f>
        <v/>
      </c>
      <c r="T721">
        <f>IF($W721="","",COUNTIFS(상세표[사번키],INDEX(합계표[사번키],$W721),상세표[반영월],대상월키,상세표[야간당직],1,상세표[야간 구분],"평일",상세표[반영 기관],"서울병원"))</f>
        <v/>
      </c>
      <c r="U721">
        <f>IF($W721="","",COUNTIFS(상세표[사번키],INDEX(합계표[사번키],$W721),상세표[반영월],대상월키,상세표[야간당직],1,상세표[야간 구분],"휴일",상세표[반영 기관],"서울병원"))</f>
        <v/>
      </c>
      <c r="V721">
        <f>IF($W721="","",IF(ISNUMBER(MATCH(INDEX(합계표[사번키],$W721)&amp;"|"&amp;대상월키,월별근무지표[키],0)),"직접 입력",IF($K721="—","—","기관명단")))</f>
        <v/>
      </c>
      <c r="W721">
        <f>IFERROR(MATCH(716,합계표[판정순번],0),"")</f>
        <v/>
      </c>
    </row>
    <row r="722">
      <c r="A722">
        <f>IF($W722="","",INDEX(합계표[사번],$W722)&amp;"")</f>
        <v/>
      </c>
      <c r="B722">
        <f>IF($W722="","",INDEX(합계표[성명],$W722)&amp;"")</f>
        <v/>
      </c>
      <c r="C722">
        <f>IF($W722="","",INDEX(합계표[부서],$W722)&amp;"")</f>
        <v/>
      </c>
      <c r="D722">
        <f>IF($W722="","",INDEX(합계표[직위(통합)],$W722)&amp;"")</f>
        <v/>
      </c>
      <c r="E722">
        <f>IF($W722="","",SUMIFS(합계표[시스템 합계],합계표[사번키],INDEX(합계표[사번키],$W722)))</f>
        <v/>
      </c>
      <c r="F722">
        <f>IF($W722="","",SUMIFS(상세표[기록 시간외],상세표[사번키],INDEX(합계표[사번키],$W722),상세표[기록월],대상월키))</f>
        <v/>
      </c>
      <c r="G722">
        <f>IF($W722="","",IF(ABS($E722-$F722)&lt;0.01,"일치","불일치(차이 "&amp;TEXT($F722-$E722,"0.00")&amp;")"))</f>
        <v/>
      </c>
      <c r="H722">
        <f>IF($W722="","",SUMIFS(상세표[기록 시간외],상세표[사번키],INDEX(합계표[사번키],$W722),상세표[기록월],대상월키,상세표[반영월],"&lt;&gt;"&amp;대상월키))</f>
        <v/>
      </c>
      <c r="I722">
        <f>IF($W722="","",SUMIFS(상세표[기록 시간외],상세표[사번키],INDEX(합계표[사번키],$W722),상세표[기록월],"&lt;&gt;"&amp;대상월키,상세표[반영월],대상월키))</f>
        <v/>
      </c>
      <c r="J722">
        <f>IF($W722="","",SUMIFS(상세표[기록 시간외],상세표[사번키],INDEX(합계표[사번키],$W722),상세표[반영월],대상월키))</f>
        <v/>
      </c>
      <c r="K722">
        <f>IF($W722="","",IFERROR(INDEX(월별근무지표[적용 급여병원],MATCH(INDEX(합계표[사번키],$W722)&amp;"|"&amp;대상월키,월별근무지표[키],0))&amp;"",IF(COUNTIF(기관표[사번키],INDEX(합계표[사번키],$W722))+COUNTIF(월별근무지표[사번키],INDEX(합계표[사번키],$W722))&gt;0,IFERROR(INDEX(기관표[급여지급병원(기준월)],MATCH(INDEX(합계표[사번키],$W722)&amp;"|"&amp;대상월키,기관표[키],0))&amp;"","—"),"—")))</f>
        <v/>
      </c>
      <c r="L722">
        <f>IF($W722="","",IF(NOT(COUNTIF(기관표[사번키],INDEX(합계표[사번키],$W722))+COUNTIF(월별근무지표[사번키],INDEX(합계표[사번키],$W722))&gt;0),"기관명단에 없음(다른 병원으로 발송)",IF($K722="—","대상월 기관명단 없음(추가 필요)",IF($K722="서울병원","해당","비해당"))))</f>
        <v/>
      </c>
      <c r="M722">
        <f>IF($W722="","",SUMIFS(상세표[06~07시],상세표[사번키],INDEX(합계표[사번키],$W722),상세표[반영월],대상월키,상세표[반영 기관],"서울병원"))</f>
        <v/>
      </c>
      <c r="N722">
        <f>IF($W722="","",SUMIFS(상세표[07~18시],상세표[사번키],INDEX(합계표[사번키],$W722),상세표[반영월],대상월키,상세표[반영 기관],"서울병원"))</f>
        <v/>
      </c>
      <c r="O722">
        <f>IF($W722="","",SUMIFS(상세표[18~22시],상세표[사번키],INDEX(합계표[사번키],$W722),상세표[반영월],대상월키,상세표[반영 기관],"서울병원"))</f>
        <v/>
      </c>
      <c r="P722">
        <f>IF($W722="","",SUMIFS(상세표[22~06시],상세표[사번키],INDEX(합계표[사번키],$W722),상세표[반영월],대상월키,상세표[반영 기관],"서울병원"))</f>
        <v/>
      </c>
      <c r="Q722">
        <f>IF($W722="","",SUM($M722:$P722))</f>
        <v/>
      </c>
      <c r="R722">
        <f>IF($W722="","",COUNTIFS(상세표[사번키],INDEX(합계표[사번키],$W722),상세표[반영월],대상월키,상세표[야간당직],1,상세표[야간 구분],"평일"))</f>
        <v/>
      </c>
      <c r="S722" s="4">
        <f>IF($W722="","",COUNTIFS(상세표[사번키],INDEX(합계표[사번키],$W722),상세표[반영월],대상월키,상세표[야간당직],1,상세표[야간 구분],"휴일"))</f>
        <v/>
      </c>
      <c r="T722">
        <f>IF($W722="","",COUNTIFS(상세표[사번키],INDEX(합계표[사번키],$W722),상세표[반영월],대상월키,상세표[야간당직],1,상세표[야간 구분],"평일",상세표[반영 기관],"서울병원"))</f>
        <v/>
      </c>
      <c r="U722">
        <f>IF($W722="","",COUNTIFS(상세표[사번키],INDEX(합계표[사번키],$W722),상세표[반영월],대상월키,상세표[야간당직],1,상세표[야간 구분],"휴일",상세표[반영 기관],"서울병원"))</f>
        <v/>
      </c>
      <c r="V722">
        <f>IF($W722="","",IF(ISNUMBER(MATCH(INDEX(합계표[사번키],$W722)&amp;"|"&amp;대상월키,월별근무지표[키],0)),"직접 입력",IF($K722="—","—","기관명단")))</f>
        <v/>
      </c>
      <c r="W722">
        <f>IFERROR(MATCH(717,합계표[판정순번],0),"")</f>
        <v/>
      </c>
    </row>
    <row r="723">
      <c r="A723">
        <f>IF($W723="","",INDEX(합계표[사번],$W723)&amp;"")</f>
        <v/>
      </c>
      <c r="B723">
        <f>IF($W723="","",INDEX(합계표[성명],$W723)&amp;"")</f>
        <v/>
      </c>
      <c r="C723">
        <f>IF($W723="","",INDEX(합계표[부서],$W723)&amp;"")</f>
        <v/>
      </c>
      <c r="D723">
        <f>IF($W723="","",INDEX(합계표[직위(통합)],$W723)&amp;"")</f>
        <v/>
      </c>
      <c r="E723">
        <f>IF($W723="","",SUMIFS(합계표[시스템 합계],합계표[사번키],INDEX(합계표[사번키],$W723)))</f>
        <v/>
      </c>
      <c r="F723">
        <f>IF($W723="","",SUMIFS(상세표[기록 시간외],상세표[사번키],INDEX(합계표[사번키],$W723),상세표[기록월],대상월키))</f>
        <v/>
      </c>
      <c r="G723">
        <f>IF($W723="","",IF(ABS($E723-$F723)&lt;0.01,"일치","불일치(차이 "&amp;TEXT($F723-$E723,"0.00")&amp;")"))</f>
        <v/>
      </c>
      <c r="H723">
        <f>IF($W723="","",SUMIFS(상세표[기록 시간외],상세표[사번키],INDEX(합계표[사번키],$W723),상세표[기록월],대상월키,상세표[반영월],"&lt;&gt;"&amp;대상월키))</f>
        <v/>
      </c>
      <c r="I723">
        <f>IF($W723="","",SUMIFS(상세표[기록 시간외],상세표[사번키],INDEX(합계표[사번키],$W723),상세표[기록월],"&lt;&gt;"&amp;대상월키,상세표[반영월],대상월키))</f>
        <v/>
      </c>
      <c r="J723">
        <f>IF($W723="","",SUMIFS(상세표[기록 시간외],상세표[사번키],INDEX(합계표[사번키],$W723),상세표[반영월],대상월키))</f>
        <v/>
      </c>
      <c r="K723">
        <f>IF($W723="","",IFERROR(INDEX(월별근무지표[적용 급여병원],MATCH(INDEX(합계표[사번키],$W723)&amp;"|"&amp;대상월키,월별근무지표[키],0))&amp;"",IF(COUNTIF(기관표[사번키],INDEX(합계표[사번키],$W723))+COUNTIF(월별근무지표[사번키],INDEX(합계표[사번키],$W723))&gt;0,IFERROR(INDEX(기관표[급여지급병원(기준월)],MATCH(INDEX(합계표[사번키],$W723)&amp;"|"&amp;대상월키,기관표[키],0))&amp;"","—"),"—")))</f>
        <v/>
      </c>
      <c r="L723">
        <f>IF($W723="","",IF(NOT(COUNTIF(기관표[사번키],INDEX(합계표[사번키],$W723))+COUNTIF(월별근무지표[사번키],INDEX(합계표[사번키],$W723))&gt;0),"기관명단에 없음(다른 병원으로 발송)",IF($K723="—","대상월 기관명단 없음(추가 필요)",IF($K723="서울병원","해당","비해당"))))</f>
        <v/>
      </c>
      <c r="M723">
        <f>IF($W723="","",SUMIFS(상세표[06~07시],상세표[사번키],INDEX(합계표[사번키],$W723),상세표[반영월],대상월키,상세표[반영 기관],"서울병원"))</f>
        <v/>
      </c>
      <c r="N723">
        <f>IF($W723="","",SUMIFS(상세표[07~18시],상세표[사번키],INDEX(합계표[사번키],$W723),상세표[반영월],대상월키,상세표[반영 기관],"서울병원"))</f>
        <v/>
      </c>
      <c r="O723">
        <f>IF($W723="","",SUMIFS(상세표[18~22시],상세표[사번키],INDEX(합계표[사번키],$W723),상세표[반영월],대상월키,상세표[반영 기관],"서울병원"))</f>
        <v/>
      </c>
      <c r="P723">
        <f>IF($W723="","",SUMIFS(상세표[22~06시],상세표[사번키],INDEX(합계표[사번키],$W723),상세표[반영월],대상월키,상세표[반영 기관],"서울병원"))</f>
        <v/>
      </c>
      <c r="Q723">
        <f>IF($W723="","",SUM($M723:$P723))</f>
        <v/>
      </c>
      <c r="R723">
        <f>IF($W723="","",COUNTIFS(상세표[사번키],INDEX(합계표[사번키],$W723),상세표[반영월],대상월키,상세표[야간당직],1,상세표[야간 구분],"평일"))</f>
        <v/>
      </c>
      <c r="S723" s="4">
        <f>IF($W723="","",COUNTIFS(상세표[사번키],INDEX(합계표[사번키],$W723),상세표[반영월],대상월키,상세표[야간당직],1,상세표[야간 구분],"휴일"))</f>
        <v/>
      </c>
      <c r="T723">
        <f>IF($W723="","",COUNTIFS(상세표[사번키],INDEX(합계표[사번키],$W723),상세표[반영월],대상월키,상세표[야간당직],1,상세표[야간 구분],"평일",상세표[반영 기관],"서울병원"))</f>
        <v/>
      </c>
      <c r="U723">
        <f>IF($W723="","",COUNTIFS(상세표[사번키],INDEX(합계표[사번키],$W723),상세표[반영월],대상월키,상세표[야간당직],1,상세표[야간 구분],"휴일",상세표[반영 기관],"서울병원"))</f>
        <v/>
      </c>
      <c r="V723">
        <f>IF($W723="","",IF(ISNUMBER(MATCH(INDEX(합계표[사번키],$W723)&amp;"|"&amp;대상월키,월별근무지표[키],0)),"직접 입력",IF($K723="—","—","기관명단")))</f>
        <v/>
      </c>
      <c r="W723">
        <f>IFERROR(MATCH(718,합계표[판정순번],0),"")</f>
        <v/>
      </c>
    </row>
    <row r="724">
      <c r="A724">
        <f>IF($W724="","",INDEX(합계표[사번],$W724)&amp;"")</f>
        <v/>
      </c>
      <c r="B724">
        <f>IF($W724="","",INDEX(합계표[성명],$W724)&amp;"")</f>
        <v/>
      </c>
      <c r="C724">
        <f>IF($W724="","",INDEX(합계표[부서],$W724)&amp;"")</f>
        <v/>
      </c>
      <c r="D724">
        <f>IF($W724="","",INDEX(합계표[직위(통합)],$W724)&amp;"")</f>
        <v/>
      </c>
      <c r="E724">
        <f>IF($W724="","",SUMIFS(합계표[시스템 합계],합계표[사번키],INDEX(합계표[사번키],$W724)))</f>
        <v/>
      </c>
      <c r="F724">
        <f>IF($W724="","",SUMIFS(상세표[기록 시간외],상세표[사번키],INDEX(합계표[사번키],$W724),상세표[기록월],대상월키))</f>
        <v/>
      </c>
      <c r="G724">
        <f>IF($W724="","",IF(ABS($E724-$F724)&lt;0.01,"일치","불일치(차이 "&amp;TEXT($F724-$E724,"0.00")&amp;")"))</f>
        <v/>
      </c>
      <c r="H724">
        <f>IF($W724="","",SUMIFS(상세표[기록 시간외],상세표[사번키],INDEX(합계표[사번키],$W724),상세표[기록월],대상월키,상세표[반영월],"&lt;&gt;"&amp;대상월키))</f>
        <v/>
      </c>
      <c r="I724">
        <f>IF($W724="","",SUMIFS(상세표[기록 시간외],상세표[사번키],INDEX(합계표[사번키],$W724),상세표[기록월],"&lt;&gt;"&amp;대상월키,상세표[반영월],대상월키))</f>
        <v/>
      </c>
      <c r="J724">
        <f>IF($W724="","",SUMIFS(상세표[기록 시간외],상세표[사번키],INDEX(합계표[사번키],$W724),상세표[반영월],대상월키))</f>
        <v/>
      </c>
      <c r="K724">
        <f>IF($W724="","",IFERROR(INDEX(월별근무지표[적용 급여병원],MATCH(INDEX(합계표[사번키],$W724)&amp;"|"&amp;대상월키,월별근무지표[키],0))&amp;"",IF(COUNTIF(기관표[사번키],INDEX(합계표[사번키],$W724))+COUNTIF(월별근무지표[사번키],INDEX(합계표[사번키],$W724))&gt;0,IFERROR(INDEX(기관표[급여지급병원(기준월)],MATCH(INDEX(합계표[사번키],$W724)&amp;"|"&amp;대상월키,기관표[키],0))&amp;"","—"),"—")))</f>
        <v/>
      </c>
      <c r="L724">
        <f>IF($W724="","",IF(NOT(COUNTIF(기관표[사번키],INDEX(합계표[사번키],$W724))+COUNTIF(월별근무지표[사번키],INDEX(합계표[사번키],$W724))&gt;0),"기관명단에 없음(다른 병원으로 발송)",IF($K724="—","대상월 기관명단 없음(추가 필요)",IF($K724="서울병원","해당","비해당"))))</f>
        <v/>
      </c>
      <c r="M724">
        <f>IF($W724="","",SUMIFS(상세표[06~07시],상세표[사번키],INDEX(합계표[사번키],$W724),상세표[반영월],대상월키,상세표[반영 기관],"서울병원"))</f>
        <v/>
      </c>
      <c r="N724">
        <f>IF($W724="","",SUMIFS(상세표[07~18시],상세표[사번키],INDEX(합계표[사번키],$W724),상세표[반영월],대상월키,상세표[반영 기관],"서울병원"))</f>
        <v/>
      </c>
      <c r="O724">
        <f>IF($W724="","",SUMIFS(상세표[18~22시],상세표[사번키],INDEX(합계표[사번키],$W724),상세표[반영월],대상월키,상세표[반영 기관],"서울병원"))</f>
        <v/>
      </c>
      <c r="P724">
        <f>IF($W724="","",SUMIFS(상세표[22~06시],상세표[사번키],INDEX(합계표[사번키],$W724),상세표[반영월],대상월키,상세표[반영 기관],"서울병원"))</f>
        <v/>
      </c>
      <c r="Q724">
        <f>IF($W724="","",SUM($M724:$P724))</f>
        <v/>
      </c>
      <c r="R724">
        <f>IF($W724="","",COUNTIFS(상세표[사번키],INDEX(합계표[사번키],$W724),상세표[반영월],대상월키,상세표[야간당직],1,상세표[야간 구분],"평일"))</f>
        <v/>
      </c>
      <c r="S724" s="4">
        <f>IF($W724="","",COUNTIFS(상세표[사번키],INDEX(합계표[사번키],$W724),상세표[반영월],대상월키,상세표[야간당직],1,상세표[야간 구분],"휴일"))</f>
        <v/>
      </c>
      <c r="T724">
        <f>IF($W724="","",COUNTIFS(상세표[사번키],INDEX(합계표[사번키],$W724),상세표[반영월],대상월키,상세표[야간당직],1,상세표[야간 구분],"평일",상세표[반영 기관],"서울병원"))</f>
        <v/>
      </c>
      <c r="U724">
        <f>IF($W724="","",COUNTIFS(상세표[사번키],INDEX(합계표[사번키],$W724),상세표[반영월],대상월키,상세표[야간당직],1,상세표[야간 구분],"휴일",상세표[반영 기관],"서울병원"))</f>
        <v/>
      </c>
      <c r="V724">
        <f>IF($W724="","",IF(ISNUMBER(MATCH(INDEX(합계표[사번키],$W724)&amp;"|"&amp;대상월키,월별근무지표[키],0)),"직접 입력",IF($K724="—","—","기관명단")))</f>
        <v/>
      </c>
      <c r="W724">
        <f>IFERROR(MATCH(719,합계표[판정순번],0),"")</f>
        <v/>
      </c>
    </row>
    <row r="725">
      <c r="A725">
        <f>IF($W725="","",INDEX(합계표[사번],$W725)&amp;"")</f>
        <v/>
      </c>
      <c r="B725">
        <f>IF($W725="","",INDEX(합계표[성명],$W725)&amp;"")</f>
        <v/>
      </c>
      <c r="C725">
        <f>IF($W725="","",INDEX(합계표[부서],$W725)&amp;"")</f>
        <v/>
      </c>
      <c r="D725">
        <f>IF($W725="","",INDEX(합계표[직위(통합)],$W725)&amp;"")</f>
        <v/>
      </c>
      <c r="E725">
        <f>IF($W725="","",SUMIFS(합계표[시스템 합계],합계표[사번키],INDEX(합계표[사번키],$W725)))</f>
        <v/>
      </c>
      <c r="F725">
        <f>IF($W725="","",SUMIFS(상세표[기록 시간외],상세표[사번키],INDEX(합계표[사번키],$W725),상세표[기록월],대상월키))</f>
        <v/>
      </c>
      <c r="G725">
        <f>IF($W725="","",IF(ABS($E725-$F725)&lt;0.01,"일치","불일치(차이 "&amp;TEXT($F725-$E725,"0.00")&amp;")"))</f>
        <v/>
      </c>
      <c r="H725">
        <f>IF($W725="","",SUMIFS(상세표[기록 시간외],상세표[사번키],INDEX(합계표[사번키],$W725),상세표[기록월],대상월키,상세표[반영월],"&lt;&gt;"&amp;대상월키))</f>
        <v/>
      </c>
      <c r="I725">
        <f>IF($W725="","",SUMIFS(상세표[기록 시간외],상세표[사번키],INDEX(합계표[사번키],$W725),상세표[기록월],"&lt;&gt;"&amp;대상월키,상세표[반영월],대상월키))</f>
        <v/>
      </c>
      <c r="J725">
        <f>IF($W725="","",SUMIFS(상세표[기록 시간외],상세표[사번키],INDEX(합계표[사번키],$W725),상세표[반영월],대상월키))</f>
        <v/>
      </c>
      <c r="K725">
        <f>IF($W725="","",IFERROR(INDEX(월별근무지표[적용 급여병원],MATCH(INDEX(합계표[사번키],$W725)&amp;"|"&amp;대상월키,월별근무지표[키],0))&amp;"",IF(COUNTIF(기관표[사번키],INDEX(합계표[사번키],$W725))+COUNTIF(월별근무지표[사번키],INDEX(합계표[사번키],$W725))&gt;0,IFERROR(INDEX(기관표[급여지급병원(기준월)],MATCH(INDEX(합계표[사번키],$W725)&amp;"|"&amp;대상월키,기관표[키],0))&amp;"","—"),"—")))</f>
        <v/>
      </c>
      <c r="L725">
        <f>IF($W725="","",IF(NOT(COUNTIF(기관표[사번키],INDEX(합계표[사번키],$W725))+COUNTIF(월별근무지표[사번키],INDEX(합계표[사번키],$W725))&gt;0),"기관명단에 없음(다른 병원으로 발송)",IF($K725="—","대상월 기관명단 없음(추가 필요)",IF($K725="서울병원","해당","비해당"))))</f>
        <v/>
      </c>
      <c r="M725">
        <f>IF($W725="","",SUMIFS(상세표[06~07시],상세표[사번키],INDEX(합계표[사번키],$W725),상세표[반영월],대상월키,상세표[반영 기관],"서울병원"))</f>
        <v/>
      </c>
      <c r="N725">
        <f>IF($W725="","",SUMIFS(상세표[07~18시],상세표[사번키],INDEX(합계표[사번키],$W725),상세표[반영월],대상월키,상세표[반영 기관],"서울병원"))</f>
        <v/>
      </c>
      <c r="O725">
        <f>IF($W725="","",SUMIFS(상세표[18~22시],상세표[사번키],INDEX(합계표[사번키],$W725),상세표[반영월],대상월키,상세표[반영 기관],"서울병원"))</f>
        <v/>
      </c>
      <c r="P725">
        <f>IF($W725="","",SUMIFS(상세표[22~06시],상세표[사번키],INDEX(합계표[사번키],$W725),상세표[반영월],대상월키,상세표[반영 기관],"서울병원"))</f>
        <v/>
      </c>
      <c r="Q725">
        <f>IF($W725="","",SUM($M725:$P725))</f>
        <v/>
      </c>
      <c r="R725">
        <f>IF($W725="","",COUNTIFS(상세표[사번키],INDEX(합계표[사번키],$W725),상세표[반영월],대상월키,상세표[야간당직],1,상세표[야간 구분],"평일"))</f>
        <v/>
      </c>
      <c r="S725" s="4">
        <f>IF($W725="","",COUNTIFS(상세표[사번키],INDEX(합계표[사번키],$W725),상세표[반영월],대상월키,상세표[야간당직],1,상세표[야간 구분],"휴일"))</f>
        <v/>
      </c>
      <c r="T725">
        <f>IF($W725="","",COUNTIFS(상세표[사번키],INDEX(합계표[사번키],$W725),상세표[반영월],대상월키,상세표[야간당직],1,상세표[야간 구분],"평일",상세표[반영 기관],"서울병원"))</f>
        <v/>
      </c>
      <c r="U725">
        <f>IF($W725="","",COUNTIFS(상세표[사번키],INDEX(합계표[사번키],$W725),상세표[반영월],대상월키,상세표[야간당직],1,상세표[야간 구분],"휴일",상세표[반영 기관],"서울병원"))</f>
        <v/>
      </c>
      <c r="V725">
        <f>IF($W725="","",IF(ISNUMBER(MATCH(INDEX(합계표[사번키],$W725)&amp;"|"&amp;대상월키,월별근무지표[키],0)),"직접 입력",IF($K725="—","—","기관명단")))</f>
        <v/>
      </c>
      <c r="W725">
        <f>IFERROR(MATCH(720,합계표[판정순번],0),"")</f>
        <v/>
      </c>
    </row>
    <row r="726">
      <c r="A726">
        <f>IF($W726="","",INDEX(합계표[사번],$W726)&amp;"")</f>
        <v/>
      </c>
      <c r="B726">
        <f>IF($W726="","",INDEX(합계표[성명],$W726)&amp;"")</f>
        <v/>
      </c>
      <c r="C726">
        <f>IF($W726="","",INDEX(합계표[부서],$W726)&amp;"")</f>
        <v/>
      </c>
      <c r="D726">
        <f>IF($W726="","",INDEX(합계표[직위(통합)],$W726)&amp;"")</f>
        <v/>
      </c>
      <c r="E726">
        <f>IF($W726="","",SUMIFS(합계표[시스템 합계],합계표[사번키],INDEX(합계표[사번키],$W726)))</f>
        <v/>
      </c>
      <c r="F726">
        <f>IF($W726="","",SUMIFS(상세표[기록 시간외],상세표[사번키],INDEX(합계표[사번키],$W726),상세표[기록월],대상월키))</f>
        <v/>
      </c>
      <c r="G726">
        <f>IF($W726="","",IF(ABS($E726-$F726)&lt;0.01,"일치","불일치(차이 "&amp;TEXT($F726-$E726,"0.00")&amp;")"))</f>
        <v/>
      </c>
      <c r="H726">
        <f>IF($W726="","",SUMIFS(상세표[기록 시간외],상세표[사번키],INDEX(합계표[사번키],$W726),상세표[기록월],대상월키,상세표[반영월],"&lt;&gt;"&amp;대상월키))</f>
        <v/>
      </c>
      <c r="I726">
        <f>IF($W726="","",SUMIFS(상세표[기록 시간외],상세표[사번키],INDEX(합계표[사번키],$W726),상세표[기록월],"&lt;&gt;"&amp;대상월키,상세표[반영월],대상월키))</f>
        <v/>
      </c>
      <c r="J726">
        <f>IF($W726="","",SUMIFS(상세표[기록 시간외],상세표[사번키],INDEX(합계표[사번키],$W726),상세표[반영월],대상월키))</f>
        <v/>
      </c>
      <c r="K726">
        <f>IF($W726="","",IFERROR(INDEX(월별근무지표[적용 급여병원],MATCH(INDEX(합계표[사번키],$W726)&amp;"|"&amp;대상월키,월별근무지표[키],0))&amp;"",IF(COUNTIF(기관표[사번키],INDEX(합계표[사번키],$W726))+COUNTIF(월별근무지표[사번키],INDEX(합계표[사번키],$W726))&gt;0,IFERROR(INDEX(기관표[급여지급병원(기준월)],MATCH(INDEX(합계표[사번키],$W726)&amp;"|"&amp;대상월키,기관표[키],0))&amp;"","—"),"—")))</f>
        <v/>
      </c>
      <c r="L726">
        <f>IF($W726="","",IF(NOT(COUNTIF(기관표[사번키],INDEX(합계표[사번키],$W726))+COUNTIF(월별근무지표[사번키],INDEX(합계표[사번키],$W726))&gt;0),"기관명단에 없음(다른 병원으로 발송)",IF($K726="—","대상월 기관명단 없음(추가 필요)",IF($K726="서울병원","해당","비해당"))))</f>
        <v/>
      </c>
      <c r="M726">
        <f>IF($W726="","",SUMIFS(상세표[06~07시],상세표[사번키],INDEX(합계표[사번키],$W726),상세표[반영월],대상월키,상세표[반영 기관],"서울병원"))</f>
        <v/>
      </c>
      <c r="N726">
        <f>IF($W726="","",SUMIFS(상세표[07~18시],상세표[사번키],INDEX(합계표[사번키],$W726),상세표[반영월],대상월키,상세표[반영 기관],"서울병원"))</f>
        <v/>
      </c>
      <c r="O726">
        <f>IF($W726="","",SUMIFS(상세표[18~22시],상세표[사번키],INDEX(합계표[사번키],$W726),상세표[반영월],대상월키,상세표[반영 기관],"서울병원"))</f>
        <v/>
      </c>
      <c r="P726">
        <f>IF($W726="","",SUMIFS(상세표[22~06시],상세표[사번키],INDEX(합계표[사번키],$W726),상세표[반영월],대상월키,상세표[반영 기관],"서울병원"))</f>
        <v/>
      </c>
      <c r="Q726">
        <f>IF($W726="","",SUM($M726:$P726))</f>
        <v/>
      </c>
      <c r="R726">
        <f>IF($W726="","",COUNTIFS(상세표[사번키],INDEX(합계표[사번키],$W726),상세표[반영월],대상월키,상세표[야간당직],1,상세표[야간 구분],"평일"))</f>
        <v/>
      </c>
      <c r="S726" s="4">
        <f>IF($W726="","",COUNTIFS(상세표[사번키],INDEX(합계표[사번키],$W726),상세표[반영월],대상월키,상세표[야간당직],1,상세표[야간 구분],"휴일"))</f>
        <v/>
      </c>
      <c r="T726">
        <f>IF($W726="","",COUNTIFS(상세표[사번키],INDEX(합계표[사번키],$W726),상세표[반영월],대상월키,상세표[야간당직],1,상세표[야간 구분],"평일",상세표[반영 기관],"서울병원"))</f>
        <v/>
      </c>
      <c r="U726">
        <f>IF($W726="","",COUNTIFS(상세표[사번키],INDEX(합계표[사번키],$W726),상세표[반영월],대상월키,상세표[야간당직],1,상세표[야간 구분],"휴일",상세표[반영 기관],"서울병원"))</f>
        <v/>
      </c>
      <c r="V726">
        <f>IF($W726="","",IF(ISNUMBER(MATCH(INDEX(합계표[사번키],$W726)&amp;"|"&amp;대상월키,월별근무지표[키],0)),"직접 입력",IF($K726="—","—","기관명단")))</f>
        <v/>
      </c>
      <c r="W726">
        <f>IFERROR(MATCH(721,합계표[판정순번],0),"")</f>
        <v/>
      </c>
    </row>
    <row r="727">
      <c r="A727">
        <f>IF($W727="","",INDEX(합계표[사번],$W727)&amp;"")</f>
        <v/>
      </c>
      <c r="B727">
        <f>IF($W727="","",INDEX(합계표[성명],$W727)&amp;"")</f>
        <v/>
      </c>
      <c r="C727">
        <f>IF($W727="","",INDEX(합계표[부서],$W727)&amp;"")</f>
        <v/>
      </c>
      <c r="D727">
        <f>IF($W727="","",INDEX(합계표[직위(통합)],$W727)&amp;"")</f>
        <v/>
      </c>
      <c r="E727">
        <f>IF($W727="","",SUMIFS(합계표[시스템 합계],합계표[사번키],INDEX(합계표[사번키],$W727)))</f>
        <v/>
      </c>
      <c r="F727">
        <f>IF($W727="","",SUMIFS(상세표[기록 시간외],상세표[사번키],INDEX(합계표[사번키],$W727),상세표[기록월],대상월키))</f>
        <v/>
      </c>
      <c r="G727">
        <f>IF($W727="","",IF(ABS($E727-$F727)&lt;0.01,"일치","불일치(차이 "&amp;TEXT($F727-$E727,"0.00")&amp;")"))</f>
        <v/>
      </c>
      <c r="H727">
        <f>IF($W727="","",SUMIFS(상세표[기록 시간외],상세표[사번키],INDEX(합계표[사번키],$W727),상세표[기록월],대상월키,상세표[반영월],"&lt;&gt;"&amp;대상월키))</f>
        <v/>
      </c>
      <c r="I727">
        <f>IF($W727="","",SUMIFS(상세표[기록 시간외],상세표[사번키],INDEX(합계표[사번키],$W727),상세표[기록월],"&lt;&gt;"&amp;대상월키,상세표[반영월],대상월키))</f>
        <v/>
      </c>
      <c r="J727">
        <f>IF($W727="","",SUMIFS(상세표[기록 시간외],상세표[사번키],INDEX(합계표[사번키],$W727),상세표[반영월],대상월키))</f>
        <v/>
      </c>
      <c r="K727">
        <f>IF($W727="","",IFERROR(INDEX(월별근무지표[적용 급여병원],MATCH(INDEX(합계표[사번키],$W727)&amp;"|"&amp;대상월키,월별근무지표[키],0))&amp;"",IF(COUNTIF(기관표[사번키],INDEX(합계표[사번키],$W727))+COUNTIF(월별근무지표[사번키],INDEX(합계표[사번키],$W727))&gt;0,IFERROR(INDEX(기관표[급여지급병원(기준월)],MATCH(INDEX(합계표[사번키],$W727)&amp;"|"&amp;대상월키,기관표[키],0))&amp;"","—"),"—")))</f>
        <v/>
      </c>
      <c r="L727">
        <f>IF($W727="","",IF(NOT(COUNTIF(기관표[사번키],INDEX(합계표[사번키],$W727))+COUNTIF(월별근무지표[사번키],INDEX(합계표[사번키],$W727))&gt;0),"기관명단에 없음(다른 병원으로 발송)",IF($K727="—","대상월 기관명단 없음(추가 필요)",IF($K727="서울병원","해당","비해당"))))</f>
        <v/>
      </c>
      <c r="M727">
        <f>IF($W727="","",SUMIFS(상세표[06~07시],상세표[사번키],INDEX(합계표[사번키],$W727),상세표[반영월],대상월키,상세표[반영 기관],"서울병원"))</f>
        <v/>
      </c>
      <c r="N727">
        <f>IF($W727="","",SUMIFS(상세표[07~18시],상세표[사번키],INDEX(합계표[사번키],$W727),상세표[반영월],대상월키,상세표[반영 기관],"서울병원"))</f>
        <v/>
      </c>
      <c r="O727">
        <f>IF($W727="","",SUMIFS(상세표[18~22시],상세표[사번키],INDEX(합계표[사번키],$W727),상세표[반영월],대상월키,상세표[반영 기관],"서울병원"))</f>
        <v/>
      </c>
      <c r="P727">
        <f>IF($W727="","",SUMIFS(상세표[22~06시],상세표[사번키],INDEX(합계표[사번키],$W727),상세표[반영월],대상월키,상세표[반영 기관],"서울병원"))</f>
        <v/>
      </c>
      <c r="Q727">
        <f>IF($W727="","",SUM($M727:$P727))</f>
        <v/>
      </c>
      <c r="R727">
        <f>IF($W727="","",COUNTIFS(상세표[사번키],INDEX(합계표[사번키],$W727),상세표[반영월],대상월키,상세표[야간당직],1,상세표[야간 구분],"평일"))</f>
        <v/>
      </c>
      <c r="S727" s="4">
        <f>IF($W727="","",COUNTIFS(상세표[사번키],INDEX(합계표[사번키],$W727),상세표[반영월],대상월키,상세표[야간당직],1,상세표[야간 구분],"휴일"))</f>
        <v/>
      </c>
      <c r="T727">
        <f>IF($W727="","",COUNTIFS(상세표[사번키],INDEX(합계표[사번키],$W727),상세표[반영월],대상월키,상세표[야간당직],1,상세표[야간 구분],"평일",상세표[반영 기관],"서울병원"))</f>
        <v/>
      </c>
      <c r="U727">
        <f>IF($W727="","",COUNTIFS(상세표[사번키],INDEX(합계표[사번키],$W727),상세표[반영월],대상월키,상세표[야간당직],1,상세표[야간 구분],"휴일",상세표[반영 기관],"서울병원"))</f>
        <v/>
      </c>
      <c r="V727">
        <f>IF($W727="","",IF(ISNUMBER(MATCH(INDEX(합계표[사번키],$W727)&amp;"|"&amp;대상월키,월별근무지표[키],0)),"직접 입력",IF($K727="—","—","기관명단")))</f>
        <v/>
      </c>
      <c r="W727">
        <f>IFERROR(MATCH(722,합계표[판정순번],0),"")</f>
        <v/>
      </c>
    </row>
    <row r="728">
      <c r="A728">
        <f>IF($W728="","",INDEX(합계표[사번],$W728)&amp;"")</f>
        <v/>
      </c>
      <c r="B728">
        <f>IF($W728="","",INDEX(합계표[성명],$W728)&amp;"")</f>
        <v/>
      </c>
      <c r="C728">
        <f>IF($W728="","",INDEX(합계표[부서],$W728)&amp;"")</f>
        <v/>
      </c>
      <c r="D728">
        <f>IF($W728="","",INDEX(합계표[직위(통합)],$W728)&amp;"")</f>
        <v/>
      </c>
      <c r="E728">
        <f>IF($W728="","",SUMIFS(합계표[시스템 합계],합계표[사번키],INDEX(합계표[사번키],$W728)))</f>
        <v/>
      </c>
      <c r="F728">
        <f>IF($W728="","",SUMIFS(상세표[기록 시간외],상세표[사번키],INDEX(합계표[사번키],$W728),상세표[기록월],대상월키))</f>
        <v/>
      </c>
      <c r="G728">
        <f>IF($W728="","",IF(ABS($E728-$F728)&lt;0.01,"일치","불일치(차이 "&amp;TEXT($F728-$E728,"0.00")&amp;")"))</f>
        <v/>
      </c>
      <c r="H728">
        <f>IF($W728="","",SUMIFS(상세표[기록 시간외],상세표[사번키],INDEX(합계표[사번키],$W728),상세표[기록월],대상월키,상세표[반영월],"&lt;&gt;"&amp;대상월키))</f>
        <v/>
      </c>
      <c r="I728">
        <f>IF($W728="","",SUMIFS(상세표[기록 시간외],상세표[사번키],INDEX(합계표[사번키],$W728),상세표[기록월],"&lt;&gt;"&amp;대상월키,상세표[반영월],대상월키))</f>
        <v/>
      </c>
      <c r="J728">
        <f>IF($W728="","",SUMIFS(상세표[기록 시간외],상세표[사번키],INDEX(합계표[사번키],$W728),상세표[반영월],대상월키))</f>
        <v/>
      </c>
      <c r="K728">
        <f>IF($W728="","",IFERROR(INDEX(월별근무지표[적용 급여병원],MATCH(INDEX(합계표[사번키],$W728)&amp;"|"&amp;대상월키,월별근무지표[키],0))&amp;"",IF(COUNTIF(기관표[사번키],INDEX(합계표[사번키],$W728))+COUNTIF(월별근무지표[사번키],INDEX(합계표[사번키],$W728))&gt;0,IFERROR(INDEX(기관표[급여지급병원(기준월)],MATCH(INDEX(합계표[사번키],$W728)&amp;"|"&amp;대상월키,기관표[키],0))&amp;"","—"),"—")))</f>
        <v/>
      </c>
      <c r="L728">
        <f>IF($W728="","",IF(NOT(COUNTIF(기관표[사번키],INDEX(합계표[사번키],$W728))+COUNTIF(월별근무지표[사번키],INDEX(합계표[사번키],$W728))&gt;0),"기관명단에 없음(다른 병원으로 발송)",IF($K728="—","대상월 기관명단 없음(추가 필요)",IF($K728="서울병원","해당","비해당"))))</f>
        <v/>
      </c>
      <c r="M728">
        <f>IF($W728="","",SUMIFS(상세표[06~07시],상세표[사번키],INDEX(합계표[사번키],$W728),상세표[반영월],대상월키,상세표[반영 기관],"서울병원"))</f>
        <v/>
      </c>
      <c r="N728">
        <f>IF($W728="","",SUMIFS(상세표[07~18시],상세표[사번키],INDEX(합계표[사번키],$W728),상세표[반영월],대상월키,상세표[반영 기관],"서울병원"))</f>
        <v/>
      </c>
      <c r="O728">
        <f>IF($W728="","",SUMIFS(상세표[18~22시],상세표[사번키],INDEX(합계표[사번키],$W728),상세표[반영월],대상월키,상세표[반영 기관],"서울병원"))</f>
        <v/>
      </c>
      <c r="P728">
        <f>IF($W728="","",SUMIFS(상세표[22~06시],상세표[사번키],INDEX(합계표[사번키],$W728),상세표[반영월],대상월키,상세표[반영 기관],"서울병원"))</f>
        <v/>
      </c>
      <c r="Q728">
        <f>IF($W728="","",SUM($M728:$P728))</f>
        <v/>
      </c>
      <c r="R728">
        <f>IF($W728="","",COUNTIFS(상세표[사번키],INDEX(합계표[사번키],$W728),상세표[반영월],대상월키,상세표[야간당직],1,상세표[야간 구분],"평일"))</f>
        <v/>
      </c>
      <c r="S728" s="4">
        <f>IF($W728="","",COUNTIFS(상세표[사번키],INDEX(합계표[사번키],$W728),상세표[반영월],대상월키,상세표[야간당직],1,상세표[야간 구분],"휴일"))</f>
        <v/>
      </c>
      <c r="T728">
        <f>IF($W728="","",COUNTIFS(상세표[사번키],INDEX(합계표[사번키],$W728),상세표[반영월],대상월키,상세표[야간당직],1,상세표[야간 구분],"평일",상세표[반영 기관],"서울병원"))</f>
        <v/>
      </c>
      <c r="U728">
        <f>IF($W728="","",COUNTIFS(상세표[사번키],INDEX(합계표[사번키],$W728),상세표[반영월],대상월키,상세표[야간당직],1,상세표[야간 구분],"휴일",상세표[반영 기관],"서울병원"))</f>
        <v/>
      </c>
      <c r="V728">
        <f>IF($W728="","",IF(ISNUMBER(MATCH(INDEX(합계표[사번키],$W728)&amp;"|"&amp;대상월키,월별근무지표[키],0)),"직접 입력",IF($K728="—","—","기관명단")))</f>
        <v/>
      </c>
      <c r="W728">
        <f>IFERROR(MATCH(723,합계표[판정순번],0),"")</f>
        <v/>
      </c>
    </row>
    <row r="729">
      <c r="A729">
        <f>IF($W729="","",INDEX(합계표[사번],$W729)&amp;"")</f>
        <v/>
      </c>
      <c r="B729">
        <f>IF($W729="","",INDEX(합계표[성명],$W729)&amp;"")</f>
        <v/>
      </c>
      <c r="C729">
        <f>IF($W729="","",INDEX(합계표[부서],$W729)&amp;"")</f>
        <v/>
      </c>
      <c r="D729">
        <f>IF($W729="","",INDEX(합계표[직위(통합)],$W729)&amp;"")</f>
        <v/>
      </c>
      <c r="E729">
        <f>IF($W729="","",SUMIFS(합계표[시스템 합계],합계표[사번키],INDEX(합계표[사번키],$W729)))</f>
        <v/>
      </c>
      <c r="F729">
        <f>IF($W729="","",SUMIFS(상세표[기록 시간외],상세표[사번키],INDEX(합계표[사번키],$W729),상세표[기록월],대상월키))</f>
        <v/>
      </c>
      <c r="G729">
        <f>IF($W729="","",IF(ABS($E729-$F729)&lt;0.01,"일치","불일치(차이 "&amp;TEXT($F729-$E729,"0.00")&amp;")"))</f>
        <v/>
      </c>
      <c r="H729">
        <f>IF($W729="","",SUMIFS(상세표[기록 시간외],상세표[사번키],INDEX(합계표[사번키],$W729),상세표[기록월],대상월키,상세표[반영월],"&lt;&gt;"&amp;대상월키))</f>
        <v/>
      </c>
      <c r="I729">
        <f>IF($W729="","",SUMIFS(상세표[기록 시간외],상세표[사번키],INDEX(합계표[사번키],$W729),상세표[기록월],"&lt;&gt;"&amp;대상월키,상세표[반영월],대상월키))</f>
        <v/>
      </c>
      <c r="J729">
        <f>IF($W729="","",SUMIFS(상세표[기록 시간외],상세표[사번키],INDEX(합계표[사번키],$W729),상세표[반영월],대상월키))</f>
        <v/>
      </c>
      <c r="K729">
        <f>IF($W729="","",IFERROR(INDEX(월별근무지표[적용 급여병원],MATCH(INDEX(합계표[사번키],$W729)&amp;"|"&amp;대상월키,월별근무지표[키],0))&amp;"",IF(COUNTIF(기관표[사번키],INDEX(합계표[사번키],$W729))+COUNTIF(월별근무지표[사번키],INDEX(합계표[사번키],$W729))&gt;0,IFERROR(INDEX(기관표[급여지급병원(기준월)],MATCH(INDEX(합계표[사번키],$W729)&amp;"|"&amp;대상월키,기관표[키],0))&amp;"","—"),"—")))</f>
        <v/>
      </c>
      <c r="L729">
        <f>IF($W729="","",IF(NOT(COUNTIF(기관표[사번키],INDEX(합계표[사번키],$W729))+COUNTIF(월별근무지표[사번키],INDEX(합계표[사번키],$W729))&gt;0),"기관명단에 없음(다른 병원으로 발송)",IF($K729="—","대상월 기관명단 없음(추가 필요)",IF($K729="서울병원","해당","비해당"))))</f>
        <v/>
      </c>
      <c r="M729">
        <f>IF($W729="","",SUMIFS(상세표[06~07시],상세표[사번키],INDEX(합계표[사번키],$W729),상세표[반영월],대상월키,상세표[반영 기관],"서울병원"))</f>
        <v/>
      </c>
      <c r="N729">
        <f>IF($W729="","",SUMIFS(상세표[07~18시],상세표[사번키],INDEX(합계표[사번키],$W729),상세표[반영월],대상월키,상세표[반영 기관],"서울병원"))</f>
        <v/>
      </c>
      <c r="O729">
        <f>IF($W729="","",SUMIFS(상세표[18~22시],상세표[사번키],INDEX(합계표[사번키],$W729),상세표[반영월],대상월키,상세표[반영 기관],"서울병원"))</f>
        <v/>
      </c>
      <c r="P729">
        <f>IF($W729="","",SUMIFS(상세표[22~06시],상세표[사번키],INDEX(합계표[사번키],$W729),상세표[반영월],대상월키,상세표[반영 기관],"서울병원"))</f>
        <v/>
      </c>
      <c r="Q729">
        <f>IF($W729="","",SUM($M729:$P729))</f>
        <v/>
      </c>
      <c r="R729">
        <f>IF($W729="","",COUNTIFS(상세표[사번키],INDEX(합계표[사번키],$W729),상세표[반영월],대상월키,상세표[야간당직],1,상세표[야간 구분],"평일"))</f>
        <v/>
      </c>
      <c r="S729" s="4">
        <f>IF($W729="","",COUNTIFS(상세표[사번키],INDEX(합계표[사번키],$W729),상세표[반영월],대상월키,상세표[야간당직],1,상세표[야간 구분],"휴일"))</f>
        <v/>
      </c>
      <c r="T729">
        <f>IF($W729="","",COUNTIFS(상세표[사번키],INDEX(합계표[사번키],$W729),상세표[반영월],대상월키,상세표[야간당직],1,상세표[야간 구분],"평일",상세표[반영 기관],"서울병원"))</f>
        <v/>
      </c>
      <c r="U729">
        <f>IF($W729="","",COUNTIFS(상세표[사번키],INDEX(합계표[사번키],$W729),상세표[반영월],대상월키,상세표[야간당직],1,상세표[야간 구분],"휴일",상세표[반영 기관],"서울병원"))</f>
        <v/>
      </c>
      <c r="V729">
        <f>IF($W729="","",IF(ISNUMBER(MATCH(INDEX(합계표[사번키],$W729)&amp;"|"&amp;대상월키,월별근무지표[키],0)),"직접 입력",IF($K729="—","—","기관명단")))</f>
        <v/>
      </c>
      <c r="W729">
        <f>IFERROR(MATCH(724,합계표[판정순번],0),"")</f>
        <v/>
      </c>
    </row>
    <row r="730">
      <c r="A730">
        <f>IF($W730="","",INDEX(합계표[사번],$W730)&amp;"")</f>
        <v/>
      </c>
      <c r="B730">
        <f>IF($W730="","",INDEX(합계표[성명],$W730)&amp;"")</f>
        <v/>
      </c>
      <c r="C730">
        <f>IF($W730="","",INDEX(합계표[부서],$W730)&amp;"")</f>
        <v/>
      </c>
      <c r="D730">
        <f>IF($W730="","",INDEX(합계표[직위(통합)],$W730)&amp;"")</f>
        <v/>
      </c>
      <c r="E730">
        <f>IF($W730="","",SUMIFS(합계표[시스템 합계],합계표[사번키],INDEX(합계표[사번키],$W730)))</f>
        <v/>
      </c>
      <c r="F730">
        <f>IF($W730="","",SUMIFS(상세표[기록 시간외],상세표[사번키],INDEX(합계표[사번키],$W730),상세표[기록월],대상월키))</f>
        <v/>
      </c>
      <c r="G730">
        <f>IF($W730="","",IF(ABS($E730-$F730)&lt;0.01,"일치","불일치(차이 "&amp;TEXT($F730-$E730,"0.00")&amp;")"))</f>
        <v/>
      </c>
      <c r="H730">
        <f>IF($W730="","",SUMIFS(상세표[기록 시간외],상세표[사번키],INDEX(합계표[사번키],$W730),상세표[기록월],대상월키,상세표[반영월],"&lt;&gt;"&amp;대상월키))</f>
        <v/>
      </c>
      <c r="I730">
        <f>IF($W730="","",SUMIFS(상세표[기록 시간외],상세표[사번키],INDEX(합계표[사번키],$W730),상세표[기록월],"&lt;&gt;"&amp;대상월키,상세표[반영월],대상월키))</f>
        <v/>
      </c>
      <c r="J730">
        <f>IF($W730="","",SUMIFS(상세표[기록 시간외],상세표[사번키],INDEX(합계표[사번키],$W730),상세표[반영월],대상월키))</f>
        <v/>
      </c>
      <c r="K730">
        <f>IF($W730="","",IFERROR(INDEX(월별근무지표[적용 급여병원],MATCH(INDEX(합계표[사번키],$W730)&amp;"|"&amp;대상월키,월별근무지표[키],0))&amp;"",IF(COUNTIF(기관표[사번키],INDEX(합계표[사번키],$W730))+COUNTIF(월별근무지표[사번키],INDEX(합계표[사번키],$W730))&gt;0,IFERROR(INDEX(기관표[급여지급병원(기준월)],MATCH(INDEX(합계표[사번키],$W730)&amp;"|"&amp;대상월키,기관표[키],0))&amp;"","—"),"—")))</f>
        <v/>
      </c>
      <c r="L730">
        <f>IF($W730="","",IF(NOT(COUNTIF(기관표[사번키],INDEX(합계표[사번키],$W730))+COUNTIF(월별근무지표[사번키],INDEX(합계표[사번키],$W730))&gt;0),"기관명단에 없음(다른 병원으로 발송)",IF($K730="—","대상월 기관명단 없음(추가 필요)",IF($K730="서울병원","해당","비해당"))))</f>
        <v/>
      </c>
      <c r="M730">
        <f>IF($W730="","",SUMIFS(상세표[06~07시],상세표[사번키],INDEX(합계표[사번키],$W730),상세표[반영월],대상월키,상세표[반영 기관],"서울병원"))</f>
        <v/>
      </c>
      <c r="N730">
        <f>IF($W730="","",SUMIFS(상세표[07~18시],상세표[사번키],INDEX(합계표[사번키],$W730),상세표[반영월],대상월키,상세표[반영 기관],"서울병원"))</f>
        <v/>
      </c>
      <c r="O730">
        <f>IF($W730="","",SUMIFS(상세표[18~22시],상세표[사번키],INDEX(합계표[사번키],$W730),상세표[반영월],대상월키,상세표[반영 기관],"서울병원"))</f>
        <v/>
      </c>
      <c r="P730">
        <f>IF($W730="","",SUMIFS(상세표[22~06시],상세표[사번키],INDEX(합계표[사번키],$W730),상세표[반영월],대상월키,상세표[반영 기관],"서울병원"))</f>
        <v/>
      </c>
      <c r="Q730">
        <f>IF($W730="","",SUM($M730:$P730))</f>
        <v/>
      </c>
      <c r="R730">
        <f>IF($W730="","",COUNTIFS(상세표[사번키],INDEX(합계표[사번키],$W730),상세표[반영월],대상월키,상세표[야간당직],1,상세표[야간 구분],"평일"))</f>
        <v/>
      </c>
      <c r="S730" s="4">
        <f>IF($W730="","",COUNTIFS(상세표[사번키],INDEX(합계표[사번키],$W730),상세표[반영월],대상월키,상세표[야간당직],1,상세표[야간 구분],"휴일"))</f>
        <v/>
      </c>
      <c r="T730">
        <f>IF($W730="","",COUNTIFS(상세표[사번키],INDEX(합계표[사번키],$W730),상세표[반영월],대상월키,상세표[야간당직],1,상세표[야간 구분],"평일",상세표[반영 기관],"서울병원"))</f>
        <v/>
      </c>
      <c r="U730">
        <f>IF($W730="","",COUNTIFS(상세표[사번키],INDEX(합계표[사번키],$W730),상세표[반영월],대상월키,상세표[야간당직],1,상세표[야간 구분],"휴일",상세표[반영 기관],"서울병원"))</f>
        <v/>
      </c>
      <c r="V730">
        <f>IF($W730="","",IF(ISNUMBER(MATCH(INDEX(합계표[사번키],$W730)&amp;"|"&amp;대상월키,월별근무지표[키],0)),"직접 입력",IF($K730="—","—","기관명단")))</f>
        <v/>
      </c>
      <c r="W730">
        <f>IFERROR(MATCH(725,합계표[판정순번],0),"")</f>
        <v/>
      </c>
    </row>
    <row r="731">
      <c r="A731">
        <f>IF($W731="","",INDEX(합계표[사번],$W731)&amp;"")</f>
        <v/>
      </c>
      <c r="B731">
        <f>IF($W731="","",INDEX(합계표[성명],$W731)&amp;"")</f>
        <v/>
      </c>
      <c r="C731">
        <f>IF($W731="","",INDEX(합계표[부서],$W731)&amp;"")</f>
        <v/>
      </c>
      <c r="D731">
        <f>IF($W731="","",INDEX(합계표[직위(통합)],$W731)&amp;"")</f>
        <v/>
      </c>
      <c r="E731">
        <f>IF($W731="","",SUMIFS(합계표[시스템 합계],합계표[사번키],INDEX(합계표[사번키],$W731)))</f>
        <v/>
      </c>
      <c r="F731">
        <f>IF($W731="","",SUMIFS(상세표[기록 시간외],상세표[사번키],INDEX(합계표[사번키],$W731),상세표[기록월],대상월키))</f>
        <v/>
      </c>
      <c r="G731">
        <f>IF($W731="","",IF(ABS($E731-$F731)&lt;0.01,"일치","불일치(차이 "&amp;TEXT($F731-$E731,"0.00")&amp;")"))</f>
        <v/>
      </c>
      <c r="H731">
        <f>IF($W731="","",SUMIFS(상세표[기록 시간외],상세표[사번키],INDEX(합계표[사번키],$W731),상세표[기록월],대상월키,상세표[반영월],"&lt;&gt;"&amp;대상월키))</f>
        <v/>
      </c>
      <c r="I731">
        <f>IF($W731="","",SUMIFS(상세표[기록 시간외],상세표[사번키],INDEX(합계표[사번키],$W731),상세표[기록월],"&lt;&gt;"&amp;대상월키,상세표[반영월],대상월키))</f>
        <v/>
      </c>
      <c r="J731">
        <f>IF($W731="","",SUMIFS(상세표[기록 시간외],상세표[사번키],INDEX(합계표[사번키],$W731),상세표[반영월],대상월키))</f>
        <v/>
      </c>
      <c r="K731">
        <f>IF($W731="","",IFERROR(INDEX(월별근무지표[적용 급여병원],MATCH(INDEX(합계표[사번키],$W731)&amp;"|"&amp;대상월키,월별근무지표[키],0))&amp;"",IF(COUNTIF(기관표[사번키],INDEX(합계표[사번키],$W731))+COUNTIF(월별근무지표[사번키],INDEX(합계표[사번키],$W731))&gt;0,IFERROR(INDEX(기관표[급여지급병원(기준월)],MATCH(INDEX(합계표[사번키],$W731)&amp;"|"&amp;대상월키,기관표[키],0))&amp;"","—"),"—")))</f>
        <v/>
      </c>
      <c r="L731">
        <f>IF($W731="","",IF(NOT(COUNTIF(기관표[사번키],INDEX(합계표[사번키],$W731))+COUNTIF(월별근무지표[사번키],INDEX(합계표[사번키],$W731))&gt;0),"기관명단에 없음(다른 병원으로 발송)",IF($K731="—","대상월 기관명단 없음(추가 필요)",IF($K731="서울병원","해당","비해당"))))</f>
        <v/>
      </c>
      <c r="M731">
        <f>IF($W731="","",SUMIFS(상세표[06~07시],상세표[사번키],INDEX(합계표[사번키],$W731),상세표[반영월],대상월키,상세표[반영 기관],"서울병원"))</f>
        <v/>
      </c>
      <c r="N731">
        <f>IF($W731="","",SUMIFS(상세표[07~18시],상세표[사번키],INDEX(합계표[사번키],$W731),상세표[반영월],대상월키,상세표[반영 기관],"서울병원"))</f>
        <v/>
      </c>
      <c r="O731">
        <f>IF($W731="","",SUMIFS(상세표[18~22시],상세표[사번키],INDEX(합계표[사번키],$W731),상세표[반영월],대상월키,상세표[반영 기관],"서울병원"))</f>
        <v/>
      </c>
      <c r="P731">
        <f>IF($W731="","",SUMIFS(상세표[22~06시],상세표[사번키],INDEX(합계표[사번키],$W731),상세표[반영월],대상월키,상세표[반영 기관],"서울병원"))</f>
        <v/>
      </c>
      <c r="Q731">
        <f>IF($W731="","",SUM($M731:$P731))</f>
        <v/>
      </c>
      <c r="R731">
        <f>IF($W731="","",COUNTIFS(상세표[사번키],INDEX(합계표[사번키],$W731),상세표[반영월],대상월키,상세표[야간당직],1,상세표[야간 구분],"평일"))</f>
        <v/>
      </c>
      <c r="S731" s="4">
        <f>IF($W731="","",COUNTIFS(상세표[사번키],INDEX(합계표[사번키],$W731),상세표[반영월],대상월키,상세표[야간당직],1,상세표[야간 구분],"휴일"))</f>
        <v/>
      </c>
      <c r="T731">
        <f>IF($W731="","",COUNTIFS(상세표[사번키],INDEX(합계표[사번키],$W731),상세표[반영월],대상월키,상세표[야간당직],1,상세표[야간 구분],"평일",상세표[반영 기관],"서울병원"))</f>
        <v/>
      </c>
      <c r="U731">
        <f>IF($W731="","",COUNTIFS(상세표[사번키],INDEX(합계표[사번키],$W731),상세표[반영월],대상월키,상세표[야간당직],1,상세표[야간 구분],"휴일",상세표[반영 기관],"서울병원"))</f>
        <v/>
      </c>
      <c r="V731">
        <f>IF($W731="","",IF(ISNUMBER(MATCH(INDEX(합계표[사번키],$W731)&amp;"|"&amp;대상월키,월별근무지표[키],0)),"직접 입력",IF($K731="—","—","기관명단")))</f>
        <v/>
      </c>
      <c r="W731">
        <f>IFERROR(MATCH(726,합계표[판정순번],0),"")</f>
        <v/>
      </c>
    </row>
    <row r="732">
      <c r="A732">
        <f>IF($W732="","",INDEX(합계표[사번],$W732)&amp;"")</f>
        <v/>
      </c>
      <c r="B732">
        <f>IF($W732="","",INDEX(합계표[성명],$W732)&amp;"")</f>
        <v/>
      </c>
      <c r="C732">
        <f>IF($W732="","",INDEX(합계표[부서],$W732)&amp;"")</f>
        <v/>
      </c>
      <c r="D732">
        <f>IF($W732="","",INDEX(합계표[직위(통합)],$W732)&amp;"")</f>
        <v/>
      </c>
      <c r="E732">
        <f>IF($W732="","",SUMIFS(합계표[시스템 합계],합계표[사번키],INDEX(합계표[사번키],$W732)))</f>
        <v/>
      </c>
      <c r="F732">
        <f>IF($W732="","",SUMIFS(상세표[기록 시간외],상세표[사번키],INDEX(합계표[사번키],$W732),상세표[기록월],대상월키))</f>
        <v/>
      </c>
      <c r="G732">
        <f>IF($W732="","",IF(ABS($E732-$F732)&lt;0.01,"일치","불일치(차이 "&amp;TEXT($F732-$E732,"0.00")&amp;")"))</f>
        <v/>
      </c>
      <c r="H732">
        <f>IF($W732="","",SUMIFS(상세표[기록 시간외],상세표[사번키],INDEX(합계표[사번키],$W732),상세표[기록월],대상월키,상세표[반영월],"&lt;&gt;"&amp;대상월키))</f>
        <v/>
      </c>
      <c r="I732">
        <f>IF($W732="","",SUMIFS(상세표[기록 시간외],상세표[사번키],INDEX(합계표[사번키],$W732),상세표[기록월],"&lt;&gt;"&amp;대상월키,상세표[반영월],대상월키))</f>
        <v/>
      </c>
      <c r="J732">
        <f>IF($W732="","",SUMIFS(상세표[기록 시간외],상세표[사번키],INDEX(합계표[사번키],$W732),상세표[반영월],대상월키))</f>
        <v/>
      </c>
      <c r="K732">
        <f>IF($W732="","",IFERROR(INDEX(월별근무지표[적용 급여병원],MATCH(INDEX(합계표[사번키],$W732)&amp;"|"&amp;대상월키,월별근무지표[키],0))&amp;"",IF(COUNTIF(기관표[사번키],INDEX(합계표[사번키],$W732))+COUNTIF(월별근무지표[사번키],INDEX(합계표[사번키],$W732))&gt;0,IFERROR(INDEX(기관표[급여지급병원(기준월)],MATCH(INDEX(합계표[사번키],$W732)&amp;"|"&amp;대상월키,기관표[키],0))&amp;"","—"),"—")))</f>
        <v/>
      </c>
      <c r="L732">
        <f>IF($W732="","",IF(NOT(COUNTIF(기관표[사번키],INDEX(합계표[사번키],$W732))+COUNTIF(월별근무지표[사번키],INDEX(합계표[사번키],$W732))&gt;0),"기관명단에 없음(다른 병원으로 발송)",IF($K732="—","대상월 기관명단 없음(추가 필요)",IF($K732="서울병원","해당","비해당"))))</f>
        <v/>
      </c>
      <c r="M732">
        <f>IF($W732="","",SUMIFS(상세표[06~07시],상세표[사번키],INDEX(합계표[사번키],$W732),상세표[반영월],대상월키,상세표[반영 기관],"서울병원"))</f>
        <v/>
      </c>
      <c r="N732">
        <f>IF($W732="","",SUMIFS(상세표[07~18시],상세표[사번키],INDEX(합계표[사번키],$W732),상세표[반영월],대상월키,상세표[반영 기관],"서울병원"))</f>
        <v/>
      </c>
      <c r="O732">
        <f>IF($W732="","",SUMIFS(상세표[18~22시],상세표[사번키],INDEX(합계표[사번키],$W732),상세표[반영월],대상월키,상세표[반영 기관],"서울병원"))</f>
        <v/>
      </c>
      <c r="P732">
        <f>IF($W732="","",SUMIFS(상세표[22~06시],상세표[사번키],INDEX(합계표[사번키],$W732),상세표[반영월],대상월키,상세표[반영 기관],"서울병원"))</f>
        <v/>
      </c>
      <c r="Q732">
        <f>IF($W732="","",SUM($M732:$P732))</f>
        <v/>
      </c>
      <c r="R732">
        <f>IF($W732="","",COUNTIFS(상세표[사번키],INDEX(합계표[사번키],$W732),상세표[반영월],대상월키,상세표[야간당직],1,상세표[야간 구분],"평일"))</f>
        <v/>
      </c>
      <c r="S732" s="4">
        <f>IF($W732="","",COUNTIFS(상세표[사번키],INDEX(합계표[사번키],$W732),상세표[반영월],대상월키,상세표[야간당직],1,상세표[야간 구분],"휴일"))</f>
        <v/>
      </c>
      <c r="T732">
        <f>IF($W732="","",COUNTIFS(상세표[사번키],INDEX(합계표[사번키],$W732),상세표[반영월],대상월키,상세표[야간당직],1,상세표[야간 구분],"평일",상세표[반영 기관],"서울병원"))</f>
        <v/>
      </c>
      <c r="U732">
        <f>IF($W732="","",COUNTIFS(상세표[사번키],INDEX(합계표[사번키],$W732),상세표[반영월],대상월키,상세표[야간당직],1,상세표[야간 구분],"휴일",상세표[반영 기관],"서울병원"))</f>
        <v/>
      </c>
      <c r="V732">
        <f>IF($W732="","",IF(ISNUMBER(MATCH(INDEX(합계표[사번키],$W732)&amp;"|"&amp;대상월키,월별근무지표[키],0)),"직접 입력",IF($K732="—","—","기관명단")))</f>
        <v/>
      </c>
      <c r="W732">
        <f>IFERROR(MATCH(727,합계표[판정순번],0),"")</f>
        <v/>
      </c>
    </row>
    <row r="733">
      <c r="A733">
        <f>IF($W733="","",INDEX(합계표[사번],$W733)&amp;"")</f>
        <v/>
      </c>
      <c r="B733">
        <f>IF($W733="","",INDEX(합계표[성명],$W733)&amp;"")</f>
        <v/>
      </c>
      <c r="C733">
        <f>IF($W733="","",INDEX(합계표[부서],$W733)&amp;"")</f>
        <v/>
      </c>
      <c r="D733">
        <f>IF($W733="","",INDEX(합계표[직위(통합)],$W733)&amp;"")</f>
        <v/>
      </c>
      <c r="E733">
        <f>IF($W733="","",SUMIFS(합계표[시스템 합계],합계표[사번키],INDEX(합계표[사번키],$W733)))</f>
        <v/>
      </c>
      <c r="F733">
        <f>IF($W733="","",SUMIFS(상세표[기록 시간외],상세표[사번키],INDEX(합계표[사번키],$W733),상세표[기록월],대상월키))</f>
        <v/>
      </c>
      <c r="G733">
        <f>IF($W733="","",IF(ABS($E733-$F733)&lt;0.01,"일치","불일치(차이 "&amp;TEXT($F733-$E733,"0.00")&amp;")"))</f>
        <v/>
      </c>
      <c r="H733">
        <f>IF($W733="","",SUMIFS(상세표[기록 시간외],상세표[사번키],INDEX(합계표[사번키],$W733),상세표[기록월],대상월키,상세표[반영월],"&lt;&gt;"&amp;대상월키))</f>
        <v/>
      </c>
      <c r="I733">
        <f>IF($W733="","",SUMIFS(상세표[기록 시간외],상세표[사번키],INDEX(합계표[사번키],$W733),상세표[기록월],"&lt;&gt;"&amp;대상월키,상세표[반영월],대상월키))</f>
        <v/>
      </c>
      <c r="J733">
        <f>IF($W733="","",SUMIFS(상세표[기록 시간외],상세표[사번키],INDEX(합계표[사번키],$W733),상세표[반영월],대상월키))</f>
        <v/>
      </c>
      <c r="K733">
        <f>IF($W733="","",IFERROR(INDEX(월별근무지표[적용 급여병원],MATCH(INDEX(합계표[사번키],$W733)&amp;"|"&amp;대상월키,월별근무지표[키],0))&amp;"",IF(COUNTIF(기관표[사번키],INDEX(합계표[사번키],$W733))+COUNTIF(월별근무지표[사번키],INDEX(합계표[사번키],$W733))&gt;0,IFERROR(INDEX(기관표[급여지급병원(기준월)],MATCH(INDEX(합계표[사번키],$W733)&amp;"|"&amp;대상월키,기관표[키],0))&amp;"","—"),"—")))</f>
        <v/>
      </c>
      <c r="L733">
        <f>IF($W733="","",IF(NOT(COUNTIF(기관표[사번키],INDEX(합계표[사번키],$W733))+COUNTIF(월별근무지표[사번키],INDEX(합계표[사번키],$W733))&gt;0),"기관명단에 없음(다른 병원으로 발송)",IF($K733="—","대상월 기관명단 없음(추가 필요)",IF($K733="서울병원","해당","비해당"))))</f>
        <v/>
      </c>
      <c r="M733">
        <f>IF($W733="","",SUMIFS(상세표[06~07시],상세표[사번키],INDEX(합계표[사번키],$W733),상세표[반영월],대상월키,상세표[반영 기관],"서울병원"))</f>
        <v/>
      </c>
      <c r="N733">
        <f>IF($W733="","",SUMIFS(상세표[07~18시],상세표[사번키],INDEX(합계표[사번키],$W733),상세표[반영월],대상월키,상세표[반영 기관],"서울병원"))</f>
        <v/>
      </c>
      <c r="O733">
        <f>IF($W733="","",SUMIFS(상세표[18~22시],상세표[사번키],INDEX(합계표[사번키],$W733),상세표[반영월],대상월키,상세표[반영 기관],"서울병원"))</f>
        <v/>
      </c>
      <c r="P733">
        <f>IF($W733="","",SUMIFS(상세표[22~06시],상세표[사번키],INDEX(합계표[사번키],$W733),상세표[반영월],대상월키,상세표[반영 기관],"서울병원"))</f>
        <v/>
      </c>
      <c r="Q733">
        <f>IF($W733="","",SUM($M733:$P733))</f>
        <v/>
      </c>
      <c r="R733">
        <f>IF($W733="","",COUNTIFS(상세표[사번키],INDEX(합계표[사번키],$W733),상세표[반영월],대상월키,상세표[야간당직],1,상세표[야간 구분],"평일"))</f>
        <v/>
      </c>
      <c r="S733" s="4">
        <f>IF($W733="","",COUNTIFS(상세표[사번키],INDEX(합계표[사번키],$W733),상세표[반영월],대상월키,상세표[야간당직],1,상세표[야간 구분],"휴일"))</f>
        <v/>
      </c>
      <c r="T733">
        <f>IF($W733="","",COUNTIFS(상세표[사번키],INDEX(합계표[사번키],$W733),상세표[반영월],대상월키,상세표[야간당직],1,상세표[야간 구분],"평일",상세표[반영 기관],"서울병원"))</f>
        <v/>
      </c>
      <c r="U733">
        <f>IF($W733="","",COUNTIFS(상세표[사번키],INDEX(합계표[사번키],$W733),상세표[반영월],대상월키,상세표[야간당직],1,상세표[야간 구분],"휴일",상세표[반영 기관],"서울병원"))</f>
        <v/>
      </c>
      <c r="V733">
        <f>IF($W733="","",IF(ISNUMBER(MATCH(INDEX(합계표[사번키],$W733)&amp;"|"&amp;대상월키,월별근무지표[키],0)),"직접 입력",IF($K733="—","—","기관명단")))</f>
        <v/>
      </c>
      <c r="W733">
        <f>IFERROR(MATCH(728,합계표[판정순번],0),"")</f>
        <v/>
      </c>
    </row>
    <row r="734">
      <c r="A734">
        <f>IF($W734="","",INDEX(합계표[사번],$W734)&amp;"")</f>
        <v/>
      </c>
      <c r="B734">
        <f>IF($W734="","",INDEX(합계표[성명],$W734)&amp;"")</f>
        <v/>
      </c>
      <c r="C734">
        <f>IF($W734="","",INDEX(합계표[부서],$W734)&amp;"")</f>
        <v/>
      </c>
      <c r="D734">
        <f>IF($W734="","",INDEX(합계표[직위(통합)],$W734)&amp;"")</f>
        <v/>
      </c>
      <c r="E734">
        <f>IF($W734="","",SUMIFS(합계표[시스템 합계],합계표[사번키],INDEX(합계표[사번키],$W734)))</f>
        <v/>
      </c>
      <c r="F734">
        <f>IF($W734="","",SUMIFS(상세표[기록 시간외],상세표[사번키],INDEX(합계표[사번키],$W734),상세표[기록월],대상월키))</f>
        <v/>
      </c>
      <c r="G734">
        <f>IF($W734="","",IF(ABS($E734-$F734)&lt;0.01,"일치","불일치(차이 "&amp;TEXT($F734-$E734,"0.00")&amp;")"))</f>
        <v/>
      </c>
      <c r="H734">
        <f>IF($W734="","",SUMIFS(상세표[기록 시간외],상세표[사번키],INDEX(합계표[사번키],$W734),상세표[기록월],대상월키,상세표[반영월],"&lt;&gt;"&amp;대상월키))</f>
        <v/>
      </c>
      <c r="I734">
        <f>IF($W734="","",SUMIFS(상세표[기록 시간외],상세표[사번키],INDEX(합계표[사번키],$W734),상세표[기록월],"&lt;&gt;"&amp;대상월키,상세표[반영월],대상월키))</f>
        <v/>
      </c>
      <c r="J734">
        <f>IF($W734="","",SUMIFS(상세표[기록 시간외],상세표[사번키],INDEX(합계표[사번키],$W734),상세표[반영월],대상월키))</f>
        <v/>
      </c>
      <c r="K734">
        <f>IF($W734="","",IFERROR(INDEX(월별근무지표[적용 급여병원],MATCH(INDEX(합계표[사번키],$W734)&amp;"|"&amp;대상월키,월별근무지표[키],0))&amp;"",IF(COUNTIF(기관표[사번키],INDEX(합계표[사번키],$W734))+COUNTIF(월별근무지표[사번키],INDEX(합계표[사번키],$W734))&gt;0,IFERROR(INDEX(기관표[급여지급병원(기준월)],MATCH(INDEX(합계표[사번키],$W734)&amp;"|"&amp;대상월키,기관표[키],0))&amp;"","—"),"—")))</f>
        <v/>
      </c>
      <c r="L734">
        <f>IF($W734="","",IF(NOT(COUNTIF(기관표[사번키],INDEX(합계표[사번키],$W734))+COUNTIF(월별근무지표[사번키],INDEX(합계표[사번키],$W734))&gt;0),"기관명단에 없음(다른 병원으로 발송)",IF($K734="—","대상월 기관명단 없음(추가 필요)",IF($K734="서울병원","해당","비해당"))))</f>
        <v/>
      </c>
      <c r="M734">
        <f>IF($W734="","",SUMIFS(상세표[06~07시],상세표[사번키],INDEX(합계표[사번키],$W734),상세표[반영월],대상월키,상세표[반영 기관],"서울병원"))</f>
        <v/>
      </c>
      <c r="N734">
        <f>IF($W734="","",SUMIFS(상세표[07~18시],상세표[사번키],INDEX(합계표[사번키],$W734),상세표[반영월],대상월키,상세표[반영 기관],"서울병원"))</f>
        <v/>
      </c>
      <c r="O734">
        <f>IF($W734="","",SUMIFS(상세표[18~22시],상세표[사번키],INDEX(합계표[사번키],$W734),상세표[반영월],대상월키,상세표[반영 기관],"서울병원"))</f>
        <v/>
      </c>
      <c r="P734">
        <f>IF($W734="","",SUMIFS(상세표[22~06시],상세표[사번키],INDEX(합계표[사번키],$W734),상세표[반영월],대상월키,상세표[반영 기관],"서울병원"))</f>
        <v/>
      </c>
      <c r="Q734">
        <f>IF($W734="","",SUM($M734:$P734))</f>
        <v/>
      </c>
      <c r="R734">
        <f>IF($W734="","",COUNTIFS(상세표[사번키],INDEX(합계표[사번키],$W734),상세표[반영월],대상월키,상세표[야간당직],1,상세표[야간 구분],"평일"))</f>
        <v/>
      </c>
      <c r="S734" s="4">
        <f>IF($W734="","",COUNTIFS(상세표[사번키],INDEX(합계표[사번키],$W734),상세표[반영월],대상월키,상세표[야간당직],1,상세표[야간 구분],"휴일"))</f>
        <v/>
      </c>
      <c r="T734">
        <f>IF($W734="","",COUNTIFS(상세표[사번키],INDEX(합계표[사번키],$W734),상세표[반영월],대상월키,상세표[야간당직],1,상세표[야간 구분],"평일",상세표[반영 기관],"서울병원"))</f>
        <v/>
      </c>
      <c r="U734">
        <f>IF($W734="","",COUNTIFS(상세표[사번키],INDEX(합계표[사번키],$W734),상세표[반영월],대상월키,상세표[야간당직],1,상세표[야간 구분],"휴일",상세표[반영 기관],"서울병원"))</f>
        <v/>
      </c>
      <c r="V734">
        <f>IF($W734="","",IF(ISNUMBER(MATCH(INDEX(합계표[사번키],$W734)&amp;"|"&amp;대상월키,월별근무지표[키],0)),"직접 입력",IF($K734="—","—","기관명단")))</f>
        <v/>
      </c>
      <c r="W734">
        <f>IFERROR(MATCH(729,합계표[판정순번],0),"")</f>
        <v/>
      </c>
    </row>
    <row r="735">
      <c r="A735">
        <f>IF($W735="","",INDEX(합계표[사번],$W735)&amp;"")</f>
        <v/>
      </c>
      <c r="B735">
        <f>IF($W735="","",INDEX(합계표[성명],$W735)&amp;"")</f>
        <v/>
      </c>
      <c r="C735">
        <f>IF($W735="","",INDEX(합계표[부서],$W735)&amp;"")</f>
        <v/>
      </c>
      <c r="D735">
        <f>IF($W735="","",INDEX(합계표[직위(통합)],$W735)&amp;"")</f>
        <v/>
      </c>
      <c r="E735">
        <f>IF($W735="","",SUMIFS(합계표[시스템 합계],합계표[사번키],INDEX(합계표[사번키],$W735)))</f>
        <v/>
      </c>
      <c r="F735">
        <f>IF($W735="","",SUMIFS(상세표[기록 시간외],상세표[사번키],INDEX(합계표[사번키],$W735),상세표[기록월],대상월키))</f>
        <v/>
      </c>
      <c r="G735">
        <f>IF($W735="","",IF(ABS($E735-$F735)&lt;0.01,"일치","불일치(차이 "&amp;TEXT($F735-$E735,"0.00")&amp;")"))</f>
        <v/>
      </c>
      <c r="H735">
        <f>IF($W735="","",SUMIFS(상세표[기록 시간외],상세표[사번키],INDEX(합계표[사번키],$W735),상세표[기록월],대상월키,상세표[반영월],"&lt;&gt;"&amp;대상월키))</f>
        <v/>
      </c>
      <c r="I735">
        <f>IF($W735="","",SUMIFS(상세표[기록 시간외],상세표[사번키],INDEX(합계표[사번키],$W735),상세표[기록월],"&lt;&gt;"&amp;대상월키,상세표[반영월],대상월키))</f>
        <v/>
      </c>
      <c r="J735">
        <f>IF($W735="","",SUMIFS(상세표[기록 시간외],상세표[사번키],INDEX(합계표[사번키],$W735),상세표[반영월],대상월키))</f>
        <v/>
      </c>
      <c r="K735">
        <f>IF($W735="","",IFERROR(INDEX(월별근무지표[적용 급여병원],MATCH(INDEX(합계표[사번키],$W735)&amp;"|"&amp;대상월키,월별근무지표[키],0))&amp;"",IF(COUNTIF(기관표[사번키],INDEX(합계표[사번키],$W735))+COUNTIF(월별근무지표[사번키],INDEX(합계표[사번키],$W735))&gt;0,IFERROR(INDEX(기관표[급여지급병원(기준월)],MATCH(INDEX(합계표[사번키],$W735)&amp;"|"&amp;대상월키,기관표[키],0))&amp;"","—"),"—")))</f>
        <v/>
      </c>
      <c r="L735">
        <f>IF($W735="","",IF(NOT(COUNTIF(기관표[사번키],INDEX(합계표[사번키],$W735))+COUNTIF(월별근무지표[사번키],INDEX(합계표[사번키],$W735))&gt;0),"기관명단에 없음(다른 병원으로 발송)",IF($K735="—","대상월 기관명단 없음(추가 필요)",IF($K735="서울병원","해당","비해당"))))</f>
        <v/>
      </c>
      <c r="M735">
        <f>IF($W735="","",SUMIFS(상세표[06~07시],상세표[사번키],INDEX(합계표[사번키],$W735),상세표[반영월],대상월키,상세표[반영 기관],"서울병원"))</f>
        <v/>
      </c>
      <c r="N735">
        <f>IF($W735="","",SUMIFS(상세표[07~18시],상세표[사번키],INDEX(합계표[사번키],$W735),상세표[반영월],대상월키,상세표[반영 기관],"서울병원"))</f>
        <v/>
      </c>
      <c r="O735">
        <f>IF($W735="","",SUMIFS(상세표[18~22시],상세표[사번키],INDEX(합계표[사번키],$W735),상세표[반영월],대상월키,상세표[반영 기관],"서울병원"))</f>
        <v/>
      </c>
      <c r="P735">
        <f>IF($W735="","",SUMIFS(상세표[22~06시],상세표[사번키],INDEX(합계표[사번키],$W735),상세표[반영월],대상월키,상세표[반영 기관],"서울병원"))</f>
        <v/>
      </c>
      <c r="Q735">
        <f>IF($W735="","",SUM($M735:$P735))</f>
        <v/>
      </c>
      <c r="R735">
        <f>IF($W735="","",COUNTIFS(상세표[사번키],INDEX(합계표[사번키],$W735),상세표[반영월],대상월키,상세표[야간당직],1,상세표[야간 구분],"평일"))</f>
        <v/>
      </c>
      <c r="S735" s="4">
        <f>IF($W735="","",COUNTIFS(상세표[사번키],INDEX(합계표[사번키],$W735),상세표[반영월],대상월키,상세표[야간당직],1,상세표[야간 구분],"휴일"))</f>
        <v/>
      </c>
      <c r="T735">
        <f>IF($W735="","",COUNTIFS(상세표[사번키],INDEX(합계표[사번키],$W735),상세표[반영월],대상월키,상세표[야간당직],1,상세표[야간 구분],"평일",상세표[반영 기관],"서울병원"))</f>
        <v/>
      </c>
      <c r="U735">
        <f>IF($W735="","",COUNTIFS(상세표[사번키],INDEX(합계표[사번키],$W735),상세표[반영월],대상월키,상세표[야간당직],1,상세표[야간 구분],"휴일",상세표[반영 기관],"서울병원"))</f>
        <v/>
      </c>
      <c r="V735">
        <f>IF($W735="","",IF(ISNUMBER(MATCH(INDEX(합계표[사번키],$W735)&amp;"|"&amp;대상월키,월별근무지표[키],0)),"직접 입력",IF($K735="—","—","기관명단")))</f>
        <v/>
      </c>
      <c r="W735">
        <f>IFERROR(MATCH(730,합계표[판정순번],0),"")</f>
        <v/>
      </c>
    </row>
    <row r="736">
      <c r="A736">
        <f>IF($W736="","",INDEX(합계표[사번],$W736)&amp;"")</f>
        <v/>
      </c>
      <c r="B736">
        <f>IF($W736="","",INDEX(합계표[성명],$W736)&amp;"")</f>
        <v/>
      </c>
      <c r="C736">
        <f>IF($W736="","",INDEX(합계표[부서],$W736)&amp;"")</f>
        <v/>
      </c>
      <c r="D736">
        <f>IF($W736="","",INDEX(합계표[직위(통합)],$W736)&amp;"")</f>
        <v/>
      </c>
      <c r="E736">
        <f>IF($W736="","",SUMIFS(합계표[시스템 합계],합계표[사번키],INDEX(합계표[사번키],$W736)))</f>
        <v/>
      </c>
      <c r="F736">
        <f>IF($W736="","",SUMIFS(상세표[기록 시간외],상세표[사번키],INDEX(합계표[사번키],$W736),상세표[기록월],대상월키))</f>
        <v/>
      </c>
      <c r="G736">
        <f>IF($W736="","",IF(ABS($E736-$F736)&lt;0.01,"일치","불일치(차이 "&amp;TEXT($F736-$E736,"0.00")&amp;")"))</f>
        <v/>
      </c>
      <c r="H736">
        <f>IF($W736="","",SUMIFS(상세표[기록 시간외],상세표[사번키],INDEX(합계표[사번키],$W736),상세표[기록월],대상월키,상세표[반영월],"&lt;&gt;"&amp;대상월키))</f>
        <v/>
      </c>
      <c r="I736">
        <f>IF($W736="","",SUMIFS(상세표[기록 시간외],상세표[사번키],INDEX(합계표[사번키],$W736),상세표[기록월],"&lt;&gt;"&amp;대상월키,상세표[반영월],대상월키))</f>
        <v/>
      </c>
      <c r="J736">
        <f>IF($W736="","",SUMIFS(상세표[기록 시간외],상세표[사번키],INDEX(합계표[사번키],$W736),상세표[반영월],대상월키))</f>
        <v/>
      </c>
      <c r="K736">
        <f>IF($W736="","",IFERROR(INDEX(월별근무지표[적용 급여병원],MATCH(INDEX(합계표[사번키],$W736)&amp;"|"&amp;대상월키,월별근무지표[키],0))&amp;"",IF(COUNTIF(기관표[사번키],INDEX(합계표[사번키],$W736))+COUNTIF(월별근무지표[사번키],INDEX(합계표[사번키],$W736))&gt;0,IFERROR(INDEX(기관표[급여지급병원(기준월)],MATCH(INDEX(합계표[사번키],$W736)&amp;"|"&amp;대상월키,기관표[키],0))&amp;"","—"),"—")))</f>
        <v/>
      </c>
      <c r="L736">
        <f>IF($W736="","",IF(NOT(COUNTIF(기관표[사번키],INDEX(합계표[사번키],$W736))+COUNTIF(월별근무지표[사번키],INDEX(합계표[사번키],$W736))&gt;0),"기관명단에 없음(다른 병원으로 발송)",IF($K736="—","대상월 기관명단 없음(추가 필요)",IF($K736="서울병원","해당","비해당"))))</f>
        <v/>
      </c>
      <c r="M736">
        <f>IF($W736="","",SUMIFS(상세표[06~07시],상세표[사번키],INDEX(합계표[사번키],$W736),상세표[반영월],대상월키,상세표[반영 기관],"서울병원"))</f>
        <v/>
      </c>
      <c r="N736">
        <f>IF($W736="","",SUMIFS(상세표[07~18시],상세표[사번키],INDEX(합계표[사번키],$W736),상세표[반영월],대상월키,상세표[반영 기관],"서울병원"))</f>
        <v/>
      </c>
      <c r="O736">
        <f>IF($W736="","",SUMIFS(상세표[18~22시],상세표[사번키],INDEX(합계표[사번키],$W736),상세표[반영월],대상월키,상세표[반영 기관],"서울병원"))</f>
        <v/>
      </c>
      <c r="P736">
        <f>IF($W736="","",SUMIFS(상세표[22~06시],상세표[사번키],INDEX(합계표[사번키],$W736),상세표[반영월],대상월키,상세표[반영 기관],"서울병원"))</f>
        <v/>
      </c>
      <c r="Q736">
        <f>IF($W736="","",SUM($M736:$P736))</f>
        <v/>
      </c>
      <c r="R736">
        <f>IF($W736="","",COUNTIFS(상세표[사번키],INDEX(합계표[사번키],$W736),상세표[반영월],대상월키,상세표[야간당직],1,상세표[야간 구분],"평일"))</f>
        <v/>
      </c>
      <c r="S736" s="4">
        <f>IF($W736="","",COUNTIFS(상세표[사번키],INDEX(합계표[사번키],$W736),상세표[반영월],대상월키,상세표[야간당직],1,상세표[야간 구분],"휴일"))</f>
        <v/>
      </c>
      <c r="T736">
        <f>IF($W736="","",COUNTIFS(상세표[사번키],INDEX(합계표[사번키],$W736),상세표[반영월],대상월키,상세표[야간당직],1,상세표[야간 구분],"평일",상세표[반영 기관],"서울병원"))</f>
        <v/>
      </c>
      <c r="U736">
        <f>IF($W736="","",COUNTIFS(상세표[사번키],INDEX(합계표[사번키],$W736),상세표[반영월],대상월키,상세표[야간당직],1,상세표[야간 구분],"휴일",상세표[반영 기관],"서울병원"))</f>
        <v/>
      </c>
      <c r="V736">
        <f>IF($W736="","",IF(ISNUMBER(MATCH(INDEX(합계표[사번키],$W736)&amp;"|"&amp;대상월키,월별근무지표[키],0)),"직접 입력",IF($K736="—","—","기관명단")))</f>
        <v/>
      </c>
      <c r="W736">
        <f>IFERROR(MATCH(731,합계표[판정순번],0),"")</f>
        <v/>
      </c>
    </row>
    <row r="737">
      <c r="A737">
        <f>IF($W737="","",INDEX(합계표[사번],$W737)&amp;"")</f>
        <v/>
      </c>
      <c r="B737">
        <f>IF($W737="","",INDEX(합계표[성명],$W737)&amp;"")</f>
        <v/>
      </c>
      <c r="C737">
        <f>IF($W737="","",INDEX(합계표[부서],$W737)&amp;"")</f>
        <v/>
      </c>
      <c r="D737">
        <f>IF($W737="","",INDEX(합계표[직위(통합)],$W737)&amp;"")</f>
        <v/>
      </c>
      <c r="E737">
        <f>IF($W737="","",SUMIFS(합계표[시스템 합계],합계표[사번키],INDEX(합계표[사번키],$W737)))</f>
        <v/>
      </c>
      <c r="F737">
        <f>IF($W737="","",SUMIFS(상세표[기록 시간외],상세표[사번키],INDEX(합계표[사번키],$W737),상세표[기록월],대상월키))</f>
        <v/>
      </c>
      <c r="G737">
        <f>IF($W737="","",IF(ABS($E737-$F737)&lt;0.01,"일치","불일치(차이 "&amp;TEXT($F737-$E737,"0.00")&amp;")"))</f>
        <v/>
      </c>
      <c r="H737">
        <f>IF($W737="","",SUMIFS(상세표[기록 시간외],상세표[사번키],INDEX(합계표[사번키],$W737),상세표[기록월],대상월키,상세표[반영월],"&lt;&gt;"&amp;대상월키))</f>
        <v/>
      </c>
      <c r="I737">
        <f>IF($W737="","",SUMIFS(상세표[기록 시간외],상세표[사번키],INDEX(합계표[사번키],$W737),상세표[기록월],"&lt;&gt;"&amp;대상월키,상세표[반영월],대상월키))</f>
        <v/>
      </c>
      <c r="J737">
        <f>IF($W737="","",SUMIFS(상세표[기록 시간외],상세표[사번키],INDEX(합계표[사번키],$W737),상세표[반영월],대상월키))</f>
        <v/>
      </c>
      <c r="K737">
        <f>IF($W737="","",IFERROR(INDEX(월별근무지표[적용 급여병원],MATCH(INDEX(합계표[사번키],$W737)&amp;"|"&amp;대상월키,월별근무지표[키],0))&amp;"",IF(COUNTIF(기관표[사번키],INDEX(합계표[사번키],$W737))+COUNTIF(월별근무지표[사번키],INDEX(합계표[사번키],$W737))&gt;0,IFERROR(INDEX(기관표[급여지급병원(기준월)],MATCH(INDEX(합계표[사번키],$W737)&amp;"|"&amp;대상월키,기관표[키],0))&amp;"","—"),"—")))</f>
        <v/>
      </c>
      <c r="L737">
        <f>IF($W737="","",IF(NOT(COUNTIF(기관표[사번키],INDEX(합계표[사번키],$W737))+COUNTIF(월별근무지표[사번키],INDEX(합계표[사번키],$W737))&gt;0),"기관명단에 없음(다른 병원으로 발송)",IF($K737="—","대상월 기관명단 없음(추가 필요)",IF($K737="서울병원","해당","비해당"))))</f>
        <v/>
      </c>
      <c r="M737">
        <f>IF($W737="","",SUMIFS(상세표[06~07시],상세표[사번키],INDEX(합계표[사번키],$W737),상세표[반영월],대상월키,상세표[반영 기관],"서울병원"))</f>
        <v/>
      </c>
      <c r="N737">
        <f>IF($W737="","",SUMIFS(상세표[07~18시],상세표[사번키],INDEX(합계표[사번키],$W737),상세표[반영월],대상월키,상세표[반영 기관],"서울병원"))</f>
        <v/>
      </c>
      <c r="O737">
        <f>IF($W737="","",SUMIFS(상세표[18~22시],상세표[사번키],INDEX(합계표[사번키],$W737),상세표[반영월],대상월키,상세표[반영 기관],"서울병원"))</f>
        <v/>
      </c>
      <c r="P737">
        <f>IF($W737="","",SUMIFS(상세표[22~06시],상세표[사번키],INDEX(합계표[사번키],$W737),상세표[반영월],대상월키,상세표[반영 기관],"서울병원"))</f>
        <v/>
      </c>
      <c r="Q737">
        <f>IF($W737="","",SUM($M737:$P737))</f>
        <v/>
      </c>
      <c r="R737">
        <f>IF($W737="","",COUNTIFS(상세표[사번키],INDEX(합계표[사번키],$W737),상세표[반영월],대상월키,상세표[야간당직],1,상세표[야간 구분],"평일"))</f>
        <v/>
      </c>
      <c r="S737" s="4">
        <f>IF($W737="","",COUNTIFS(상세표[사번키],INDEX(합계표[사번키],$W737),상세표[반영월],대상월키,상세표[야간당직],1,상세표[야간 구분],"휴일"))</f>
        <v/>
      </c>
      <c r="T737">
        <f>IF($W737="","",COUNTIFS(상세표[사번키],INDEX(합계표[사번키],$W737),상세표[반영월],대상월키,상세표[야간당직],1,상세표[야간 구분],"평일",상세표[반영 기관],"서울병원"))</f>
        <v/>
      </c>
      <c r="U737">
        <f>IF($W737="","",COUNTIFS(상세표[사번키],INDEX(합계표[사번키],$W737),상세표[반영월],대상월키,상세표[야간당직],1,상세표[야간 구분],"휴일",상세표[반영 기관],"서울병원"))</f>
        <v/>
      </c>
      <c r="V737">
        <f>IF($W737="","",IF(ISNUMBER(MATCH(INDEX(합계표[사번키],$W737)&amp;"|"&amp;대상월키,월별근무지표[키],0)),"직접 입력",IF($K737="—","—","기관명단")))</f>
        <v/>
      </c>
      <c r="W737">
        <f>IFERROR(MATCH(732,합계표[판정순번],0),"")</f>
        <v/>
      </c>
    </row>
    <row r="738">
      <c r="A738">
        <f>IF($W738="","",INDEX(합계표[사번],$W738)&amp;"")</f>
        <v/>
      </c>
      <c r="B738">
        <f>IF($W738="","",INDEX(합계표[성명],$W738)&amp;"")</f>
        <v/>
      </c>
      <c r="C738">
        <f>IF($W738="","",INDEX(합계표[부서],$W738)&amp;"")</f>
        <v/>
      </c>
      <c r="D738">
        <f>IF($W738="","",INDEX(합계표[직위(통합)],$W738)&amp;"")</f>
        <v/>
      </c>
      <c r="E738">
        <f>IF($W738="","",SUMIFS(합계표[시스템 합계],합계표[사번키],INDEX(합계표[사번키],$W738)))</f>
        <v/>
      </c>
      <c r="F738">
        <f>IF($W738="","",SUMIFS(상세표[기록 시간외],상세표[사번키],INDEX(합계표[사번키],$W738),상세표[기록월],대상월키))</f>
        <v/>
      </c>
      <c r="G738">
        <f>IF($W738="","",IF(ABS($E738-$F738)&lt;0.01,"일치","불일치(차이 "&amp;TEXT($F738-$E738,"0.00")&amp;")"))</f>
        <v/>
      </c>
      <c r="H738">
        <f>IF($W738="","",SUMIFS(상세표[기록 시간외],상세표[사번키],INDEX(합계표[사번키],$W738),상세표[기록월],대상월키,상세표[반영월],"&lt;&gt;"&amp;대상월키))</f>
        <v/>
      </c>
      <c r="I738">
        <f>IF($W738="","",SUMIFS(상세표[기록 시간외],상세표[사번키],INDEX(합계표[사번키],$W738),상세표[기록월],"&lt;&gt;"&amp;대상월키,상세표[반영월],대상월키))</f>
        <v/>
      </c>
      <c r="J738">
        <f>IF($W738="","",SUMIFS(상세표[기록 시간외],상세표[사번키],INDEX(합계표[사번키],$W738),상세표[반영월],대상월키))</f>
        <v/>
      </c>
      <c r="K738">
        <f>IF($W738="","",IFERROR(INDEX(월별근무지표[적용 급여병원],MATCH(INDEX(합계표[사번키],$W738)&amp;"|"&amp;대상월키,월별근무지표[키],0))&amp;"",IF(COUNTIF(기관표[사번키],INDEX(합계표[사번키],$W738))+COUNTIF(월별근무지표[사번키],INDEX(합계표[사번키],$W738))&gt;0,IFERROR(INDEX(기관표[급여지급병원(기준월)],MATCH(INDEX(합계표[사번키],$W738)&amp;"|"&amp;대상월키,기관표[키],0))&amp;"","—"),"—")))</f>
        <v/>
      </c>
      <c r="L738">
        <f>IF($W738="","",IF(NOT(COUNTIF(기관표[사번키],INDEX(합계표[사번키],$W738))+COUNTIF(월별근무지표[사번키],INDEX(합계표[사번키],$W738))&gt;0),"기관명단에 없음(다른 병원으로 발송)",IF($K738="—","대상월 기관명단 없음(추가 필요)",IF($K738="서울병원","해당","비해당"))))</f>
        <v/>
      </c>
      <c r="M738">
        <f>IF($W738="","",SUMIFS(상세표[06~07시],상세표[사번키],INDEX(합계표[사번키],$W738),상세표[반영월],대상월키,상세표[반영 기관],"서울병원"))</f>
        <v/>
      </c>
      <c r="N738">
        <f>IF($W738="","",SUMIFS(상세표[07~18시],상세표[사번키],INDEX(합계표[사번키],$W738),상세표[반영월],대상월키,상세표[반영 기관],"서울병원"))</f>
        <v/>
      </c>
      <c r="O738">
        <f>IF($W738="","",SUMIFS(상세표[18~22시],상세표[사번키],INDEX(합계표[사번키],$W738),상세표[반영월],대상월키,상세표[반영 기관],"서울병원"))</f>
        <v/>
      </c>
      <c r="P738">
        <f>IF($W738="","",SUMIFS(상세표[22~06시],상세표[사번키],INDEX(합계표[사번키],$W738),상세표[반영월],대상월키,상세표[반영 기관],"서울병원"))</f>
        <v/>
      </c>
      <c r="Q738">
        <f>IF($W738="","",SUM($M738:$P738))</f>
        <v/>
      </c>
      <c r="R738">
        <f>IF($W738="","",COUNTIFS(상세표[사번키],INDEX(합계표[사번키],$W738),상세표[반영월],대상월키,상세표[야간당직],1,상세표[야간 구분],"평일"))</f>
        <v/>
      </c>
      <c r="S738" s="4">
        <f>IF($W738="","",COUNTIFS(상세표[사번키],INDEX(합계표[사번키],$W738),상세표[반영월],대상월키,상세표[야간당직],1,상세표[야간 구분],"휴일"))</f>
        <v/>
      </c>
      <c r="T738">
        <f>IF($W738="","",COUNTIFS(상세표[사번키],INDEX(합계표[사번키],$W738),상세표[반영월],대상월키,상세표[야간당직],1,상세표[야간 구분],"평일",상세표[반영 기관],"서울병원"))</f>
        <v/>
      </c>
      <c r="U738">
        <f>IF($W738="","",COUNTIFS(상세표[사번키],INDEX(합계표[사번키],$W738),상세표[반영월],대상월키,상세표[야간당직],1,상세표[야간 구분],"휴일",상세표[반영 기관],"서울병원"))</f>
        <v/>
      </c>
      <c r="V738">
        <f>IF($W738="","",IF(ISNUMBER(MATCH(INDEX(합계표[사번키],$W738)&amp;"|"&amp;대상월키,월별근무지표[키],0)),"직접 입력",IF($K738="—","—","기관명단")))</f>
        <v/>
      </c>
      <c r="W738">
        <f>IFERROR(MATCH(733,합계표[판정순번],0),"")</f>
        <v/>
      </c>
    </row>
    <row r="739">
      <c r="A739">
        <f>IF($W739="","",INDEX(합계표[사번],$W739)&amp;"")</f>
        <v/>
      </c>
      <c r="B739">
        <f>IF($W739="","",INDEX(합계표[성명],$W739)&amp;"")</f>
        <v/>
      </c>
      <c r="C739">
        <f>IF($W739="","",INDEX(합계표[부서],$W739)&amp;"")</f>
        <v/>
      </c>
      <c r="D739">
        <f>IF($W739="","",INDEX(합계표[직위(통합)],$W739)&amp;"")</f>
        <v/>
      </c>
      <c r="E739">
        <f>IF($W739="","",SUMIFS(합계표[시스템 합계],합계표[사번키],INDEX(합계표[사번키],$W739)))</f>
        <v/>
      </c>
      <c r="F739">
        <f>IF($W739="","",SUMIFS(상세표[기록 시간외],상세표[사번키],INDEX(합계표[사번키],$W739),상세표[기록월],대상월키))</f>
        <v/>
      </c>
      <c r="G739">
        <f>IF($W739="","",IF(ABS($E739-$F739)&lt;0.01,"일치","불일치(차이 "&amp;TEXT($F739-$E739,"0.00")&amp;")"))</f>
        <v/>
      </c>
      <c r="H739">
        <f>IF($W739="","",SUMIFS(상세표[기록 시간외],상세표[사번키],INDEX(합계표[사번키],$W739),상세표[기록월],대상월키,상세표[반영월],"&lt;&gt;"&amp;대상월키))</f>
        <v/>
      </c>
      <c r="I739">
        <f>IF($W739="","",SUMIFS(상세표[기록 시간외],상세표[사번키],INDEX(합계표[사번키],$W739),상세표[기록월],"&lt;&gt;"&amp;대상월키,상세표[반영월],대상월키))</f>
        <v/>
      </c>
      <c r="J739">
        <f>IF($W739="","",SUMIFS(상세표[기록 시간외],상세표[사번키],INDEX(합계표[사번키],$W739),상세표[반영월],대상월키))</f>
        <v/>
      </c>
      <c r="K739">
        <f>IF($W739="","",IFERROR(INDEX(월별근무지표[적용 급여병원],MATCH(INDEX(합계표[사번키],$W739)&amp;"|"&amp;대상월키,월별근무지표[키],0))&amp;"",IF(COUNTIF(기관표[사번키],INDEX(합계표[사번키],$W739))+COUNTIF(월별근무지표[사번키],INDEX(합계표[사번키],$W739))&gt;0,IFERROR(INDEX(기관표[급여지급병원(기준월)],MATCH(INDEX(합계표[사번키],$W739)&amp;"|"&amp;대상월키,기관표[키],0))&amp;"","—"),"—")))</f>
        <v/>
      </c>
      <c r="L739">
        <f>IF($W739="","",IF(NOT(COUNTIF(기관표[사번키],INDEX(합계표[사번키],$W739))+COUNTIF(월별근무지표[사번키],INDEX(합계표[사번키],$W739))&gt;0),"기관명단에 없음(다른 병원으로 발송)",IF($K739="—","대상월 기관명단 없음(추가 필요)",IF($K739="서울병원","해당","비해당"))))</f>
        <v/>
      </c>
      <c r="M739">
        <f>IF($W739="","",SUMIFS(상세표[06~07시],상세표[사번키],INDEX(합계표[사번키],$W739),상세표[반영월],대상월키,상세표[반영 기관],"서울병원"))</f>
        <v/>
      </c>
      <c r="N739">
        <f>IF($W739="","",SUMIFS(상세표[07~18시],상세표[사번키],INDEX(합계표[사번키],$W739),상세표[반영월],대상월키,상세표[반영 기관],"서울병원"))</f>
        <v/>
      </c>
      <c r="O739">
        <f>IF($W739="","",SUMIFS(상세표[18~22시],상세표[사번키],INDEX(합계표[사번키],$W739),상세표[반영월],대상월키,상세표[반영 기관],"서울병원"))</f>
        <v/>
      </c>
      <c r="P739">
        <f>IF($W739="","",SUMIFS(상세표[22~06시],상세표[사번키],INDEX(합계표[사번키],$W739),상세표[반영월],대상월키,상세표[반영 기관],"서울병원"))</f>
        <v/>
      </c>
      <c r="Q739">
        <f>IF($W739="","",SUM($M739:$P739))</f>
        <v/>
      </c>
      <c r="R739">
        <f>IF($W739="","",COUNTIFS(상세표[사번키],INDEX(합계표[사번키],$W739),상세표[반영월],대상월키,상세표[야간당직],1,상세표[야간 구분],"평일"))</f>
        <v/>
      </c>
      <c r="S739" s="4">
        <f>IF($W739="","",COUNTIFS(상세표[사번키],INDEX(합계표[사번키],$W739),상세표[반영월],대상월키,상세표[야간당직],1,상세표[야간 구분],"휴일"))</f>
        <v/>
      </c>
      <c r="T739">
        <f>IF($W739="","",COUNTIFS(상세표[사번키],INDEX(합계표[사번키],$W739),상세표[반영월],대상월키,상세표[야간당직],1,상세표[야간 구분],"평일",상세표[반영 기관],"서울병원"))</f>
        <v/>
      </c>
      <c r="U739">
        <f>IF($W739="","",COUNTIFS(상세표[사번키],INDEX(합계표[사번키],$W739),상세표[반영월],대상월키,상세표[야간당직],1,상세표[야간 구분],"휴일",상세표[반영 기관],"서울병원"))</f>
        <v/>
      </c>
      <c r="V739">
        <f>IF($W739="","",IF(ISNUMBER(MATCH(INDEX(합계표[사번키],$W739)&amp;"|"&amp;대상월키,월별근무지표[키],0)),"직접 입력",IF($K739="—","—","기관명단")))</f>
        <v/>
      </c>
      <c r="W739">
        <f>IFERROR(MATCH(734,합계표[판정순번],0),"")</f>
        <v/>
      </c>
    </row>
    <row r="740">
      <c r="A740">
        <f>IF($W740="","",INDEX(합계표[사번],$W740)&amp;"")</f>
        <v/>
      </c>
      <c r="B740">
        <f>IF($W740="","",INDEX(합계표[성명],$W740)&amp;"")</f>
        <v/>
      </c>
      <c r="C740">
        <f>IF($W740="","",INDEX(합계표[부서],$W740)&amp;"")</f>
        <v/>
      </c>
      <c r="D740">
        <f>IF($W740="","",INDEX(합계표[직위(통합)],$W740)&amp;"")</f>
        <v/>
      </c>
      <c r="E740">
        <f>IF($W740="","",SUMIFS(합계표[시스템 합계],합계표[사번키],INDEX(합계표[사번키],$W740)))</f>
        <v/>
      </c>
      <c r="F740">
        <f>IF($W740="","",SUMIFS(상세표[기록 시간외],상세표[사번키],INDEX(합계표[사번키],$W740),상세표[기록월],대상월키))</f>
        <v/>
      </c>
      <c r="G740">
        <f>IF($W740="","",IF(ABS($E740-$F740)&lt;0.01,"일치","불일치(차이 "&amp;TEXT($F740-$E740,"0.00")&amp;")"))</f>
        <v/>
      </c>
      <c r="H740">
        <f>IF($W740="","",SUMIFS(상세표[기록 시간외],상세표[사번키],INDEX(합계표[사번키],$W740),상세표[기록월],대상월키,상세표[반영월],"&lt;&gt;"&amp;대상월키))</f>
        <v/>
      </c>
      <c r="I740">
        <f>IF($W740="","",SUMIFS(상세표[기록 시간외],상세표[사번키],INDEX(합계표[사번키],$W740),상세표[기록월],"&lt;&gt;"&amp;대상월키,상세표[반영월],대상월키))</f>
        <v/>
      </c>
      <c r="J740">
        <f>IF($W740="","",SUMIFS(상세표[기록 시간외],상세표[사번키],INDEX(합계표[사번키],$W740),상세표[반영월],대상월키))</f>
        <v/>
      </c>
      <c r="K740">
        <f>IF($W740="","",IFERROR(INDEX(월별근무지표[적용 급여병원],MATCH(INDEX(합계표[사번키],$W740)&amp;"|"&amp;대상월키,월별근무지표[키],0))&amp;"",IF(COUNTIF(기관표[사번키],INDEX(합계표[사번키],$W740))+COUNTIF(월별근무지표[사번키],INDEX(합계표[사번키],$W740))&gt;0,IFERROR(INDEX(기관표[급여지급병원(기준월)],MATCH(INDEX(합계표[사번키],$W740)&amp;"|"&amp;대상월키,기관표[키],0))&amp;"","—"),"—")))</f>
        <v/>
      </c>
      <c r="L740">
        <f>IF($W740="","",IF(NOT(COUNTIF(기관표[사번키],INDEX(합계표[사번키],$W740))+COUNTIF(월별근무지표[사번키],INDEX(합계표[사번키],$W740))&gt;0),"기관명단에 없음(다른 병원으로 발송)",IF($K740="—","대상월 기관명단 없음(추가 필요)",IF($K740="서울병원","해당","비해당"))))</f>
        <v/>
      </c>
      <c r="M740">
        <f>IF($W740="","",SUMIFS(상세표[06~07시],상세표[사번키],INDEX(합계표[사번키],$W740),상세표[반영월],대상월키,상세표[반영 기관],"서울병원"))</f>
        <v/>
      </c>
      <c r="N740">
        <f>IF($W740="","",SUMIFS(상세표[07~18시],상세표[사번키],INDEX(합계표[사번키],$W740),상세표[반영월],대상월키,상세표[반영 기관],"서울병원"))</f>
        <v/>
      </c>
      <c r="O740">
        <f>IF($W740="","",SUMIFS(상세표[18~22시],상세표[사번키],INDEX(합계표[사번키],$W740),상세표[반영월],대상월키,상세표[반영 기관],"서울병원"))</f>
        <v/>
      </c>
      <c r="P740">
        <f>IF($W740="","",SUMIFS(상세표[22~06시],상세표[사번키],INDEX(합계표[사번키],$W740),상세표[반영월],대상월키,상세표[반영 기관],"서울병원"))</f>
        <v/>
      </c>
      <c r="Q740">
        <f>IF($W740="","",SUM($M740:$P740))</f>
        <v/>
      </c>
      <c r="R740">
        <f>IF($W740="","",COUNTIFS(상세표[사번키],INDEX(합계표[사번키],$W740),상세표[반영월],대상월키,상세표[야간당직],1,상세표[야간 구분],"평일"))</f>
        <v/>
      </c>
      <c r="S740" s="4">
        <f>IF($W740="","",COUNTIFS(상세표[사번키],INDEX(합계표[사번키],$W740),상세표[반영월],대상월키,상세표[야간당직],1,상세표[야간 구분],"휴일"))</f>
        <v/>
      </c>
      <c r="T740">
        <f>IF($W740="","",COUNTIFS(상세표[사번키],INDEX(합계표[사번키],$W740),상세표[반영월],대상월키,상세표[야간당직],1,상세표[야간 구분],"평일",상세표[반영 기관],"서울병원"))</f>
        <v/>
      </c>
      <c r="U740">
        <f>IF($W740="","",COUNTIFS(상세표[사번키],INDEX(합계표[사번키],$W740),상세표[반영월],대상월키,상세표[야간당직],1,상세표[야간 구분],"휴일",상세표[반영 기관],"서울병원"))</f>
        <v/>
      </c>
      <c r="V740">
        <f>IF($W740="","",IF(ISNUMBER(MATCH(INDEX(합계표[사번키],$W740)&amp;"|"&amp;대상월키,월별근무지표[키],0)),"직접 입력",IF($K740="—","—","기관명단")))</f>
        <v/>
      </c>
      <c r="W740">
        <f>IFERROR(MATCH(735,합계표[판정순번],0),"")</f>
        <v/>
      </c>
    </row>
    <row r="741">
      <c r="A741">
        <f>IF($W741="","",INDEX(합계표[사번],$W741)&amp;"")</f>
        <v/>
      </c>
      <c r="B741">
        <f>IF($W741="","",INDEX(합계표[성명],$W741)&amp;"")</f>
        <v/>
      </c>
      <c r="C741">
        <f>IF($W741="","",INDEX(합계표[부서],$W741)&amp;"")</f>
        <v/>
      </c>
      <c r="D741">
        <f>IF($W741="","",INDEX(합계표[직위(통합)],$W741)&amp;"")</f>
        <v/>
      </c>
      <c r="E741">
        <f>IF($W741="","",SUMIFS(합계표[시스템 합계],합계표[사번키],INDEX(합계표[사번키],$W741)))</f>
        <v/>
      </c>
      <c r="F741">
        <f>IF($W741="","",SUMIFS(상세표[기록 시간외],상세표[사번키],INDEX(합계표[사번키],$W741),상세표[기록월],대상월키))</f>
        <v/>
      </c>
      <c r="G741">
        <f>IF($W741="","",IF(ABS($E741-$F741)&lt;0.01,"일치","불일치(차이 "&amp;TEXT($F741-$E741,"0.00")&amp;")"))</f>
        <v/>
      </c>
      <c r="H741">
        <f>IF($W741="","",SUMIFS(상세표[기록 시간외],상세표[사번키],INDEX(합계표[사번키],$W741),상세표[기록월],대상월키,상세표[반영월],"&lt;&gt;"&amp;대상월키))</f>
        <v/>
      </c>
      <c r="I741">
        <f>IF($W741="","",SUMIFS(상세표[기록 시간외],상세표[사번키],INDEX(합계표[사번키],$W741),상세표[기록월],"&lt;&gt;"&amp;대상월키,상세표[반영월],대상월키))</f>
        <v/>
      </c>
      <c r="J741">
        <f>IF($W741="","",SUMIFS(상세표[기록 시간외],상세표[사번키],INDEX(합계표[사번키],$W741),상세표[반영월],대상월키))</f>
        <v/>
      </c>
      <c r="K741">
        <f>IF($W741="","",IFERROR(INDEX(월별근무지표[적용 급여병원],MATCH(INDEX(합계표[사번키],$W741)&amp;"|"&amp;대상월키,월별근무지표[키],0))&amp;"",IF(COUNTIF(기관표[사번키],INDEX(합계표[사번키],$W741))+COUNTIF(월별근무지표[사번키],INDEX(합계표[사번키],$W741))&gt;0,IFERROR(INDEX(기관표[급여지급병원(기준월)],MATCH(INDEX(합계표[사번키],$W741)&amp;"|"&amp;대상월키,기관표[키],0))&amp;"","—"),"—")))</f>
        <v/>
      </c>
      <c r="L741">
        <f>IF($W741="","",IF(NOT(COUNTIF(기관표[사번키],INDEX(합계표[사번키],$W741))+COUNTIF(월별근무지표[사번키],INDEX(합계표[사번키],$W741))&gt;0),"기관명단에 없음(다른 병원으로 발송)",IF($K741="—","대상월 기관명단 없음(추가 필요)",IF($K741="서울병원","해당","비해당"))))</f>
        <v/>
      </c>
      <c r="M741">
        <f>IF($W741="","",SUMIFS(상세표[06~07시],상세표[사번키],INDEX(합계표[사번키],$W741),상세표[반영월],대상월키,상세표[반영 기관],"서울병원"))</f>
        <v/>
      </c>
      <c r="N741">
        <f>IF($W741="","",SUMIFS(상세표[07~18시],상세표[사번키],INDEX(합계표[사번키],$W741),상세표[반영월],대상월키,상세표[반영 기관],"서울병원"))</f>
        <v/>
      </c>
      <c r="O741">
        <f>IF($W741="","",SUMIFS(상세표[18~22시],상세표[사번키],INDEX(합계표[사번키],$W741),상세표[반영월],대상월키,상세표[반영 기관],"서울병원"))</f>
        <v/>
      </c>
      <c r="P741">
        <f>IF($W741="","",SUMIFS(상세표[22~06시],상세표[사번키],INDEX(합계표[사번키],$W741),상세표[반영월],대상월키,상세표[반영 기관],"서울병원"))</f>
        <v/>
      </c>
      <c r="Q741">
        <f>IF($W741="","",SUM($M741:$P741))</f>
        <v/>
      </c>
      <c r="R741">
        <f>IF($W741="","",COUNTIFS(상세표[사번키],INDEX(합계표[사번키],$W741),상세표[반영월],대상월키,상세표[야간당직],1,상세표[야간 구분],"평일"))</f>
        <v/>
      </c>
      <c r="S741" s="4">
        <f>IF($W741="","",COUNTIFS(상세표[사번키],INDEX(합계표[사번키],$W741),상세표[반영월],대상월키,상세표[야간당직],1,상세표[야간 구분],"휴일"))</f>
        <v/>
      </c>
      <c r="T741">
        <f>IF($W741="","",COUNTIFS(상세표[사번키],INDEX(합계표[사번키],$W741),상세표[반영월],대상월키,상세표[야간당직],1,상세표[야간 구분],"평일",상세표[반영 기관],"서울병원"))</f>
        <v/>
      </c>
      <c r="U741">
        <f>IF($W741="","",COUNTIFS(상세표[사번키],INDEX(합계표[사번키],$W741),상세표[반영월],대상월키,상세표[야간당직],1,상세표[야간 구분],"휴일",상세표[반영 기관],"서울병원"))</f>
        <v/>
      </c>
      <c r="V741">
        <f>IF($W741="","",IF(ISNUMBER(MATCH(INDEX(합계표[사번키],$W741)&amp;"|"&amp;대상월키,월별근무지표[키],0)),"직접 입력",IF($K741="—","—","기관명단")))</f>
        <v/>
      </c>
      <c r="W741">
        <f>IFERROR(MATCH(736,합계표[판정순번],0),"")</f>
        <v/>
      </c>
    </row>
    <row r="742">
      <c r="A742">
        <f>IF($W742="","",INDEX(합계표[사번],$W742)&amp;"")</f>
        <v/>
      </c>
      <c r="B742">
        <f>IF($W742="","",INDEX(합계표[성명],$W742)&amp;"")</f>
        <v/>
      </c>
      <c r="C742">
        <f>IF($W742="","",INDEX(합계표[부서],$W742)&amp;"")</f>
        <v/>
      </c>
      <c r="D742">
        <f>IF($W742="","",INDEX(합계표[직위(통합)],$W742)&amp;"")</f>
        <v/>
      </c>
      <c r="E742">
        <f>IF($W742="","",SUMIFS(합계표[시스템 합계],합계표[사번키],INDEX(합계표[사번키],$W742)))</f>
        <v/>
      </c>
      <c r="F742">
        <f>IF($W742="","",SUMIFS(상세표[기록 시간외],상세표[사번키],INDEX(합계표[사번키],$W742),상세표[기록월],대상월키))</f>
        <v/>
      </c>
      <c r="G742">
        <f>IF($W742="","",IF(ABS($E742-$F742)&lt;0.01,"일치","불일치(차이 "&amp;TEXT($F742-$E742,"0.00")&amp;")"))</f>
        <v/>
      </c>
      <c r="H742">
        <f>IF($W742="","",SUMIFS(상세표[기록 시간외],상세표[사번키],INDEX(합계표[사번키],$W742),상세표[기록월],대상월키,상세표[반영월],"&lt;&gt;"&amp;대상월키))</f>
        <v/>
      </c>
      <c r="I742">
        <f>IF($W742="","",SUMIFS(상세표[기록 시간외],상세표[사번키],INDEX(합계표[사번키],$W742),상세표[기록월],"&lt;&gt;"&amp;대상월키,상세표[반영월],대상월키))</f>
        <v/>
      </c>
      <c r="J742">
        <f>IF($W742="","",SUMIFS(상세표[기록 시간외],상세표[사번키],INDEX(합계표[사번키],$W742),상세표[반영월],대상월키))</f>
        <v/>
      </c>
      <c r="K742">
        <f>IF($W742="","",IFERROR(INDEX(월별근무지표[적용 급여병원],MATCH(INDEX(합계표[사번키],$W742)&amp;"|"&amp;대상월키,월별근무지표[키],0))&amp;"",IF(COUNTIF(기관표[사번키],INDEX(합계표[사번키],$W742))+COUNTIF(월별근무지표[사번키],INDEX(합계표[사번키],$W742))&gt;0,IFERROR(INDEX(기관표[급여지급병원(기준월)],MATCH(INDEX(합계표[사번키],$W742)&amp;"|"&amp;대상월키,기관표[키],0))&amp;"","—"),"—")))</f>
        <v/>
      </c>
      <c r="L742">
        <f>IF($W742="","",IF(NOT(COUNTIF(기관표[사번키],INDEX(합계표[사번키],$W742))+COUNTIF(월별근무지표[사번키],INDEX(합계표[사번키],$W742))&gt;0),"기관명단에 없음(다른 병원으로 발송)",IF($K742="—","대상월 기관명단 없음(추가 필요)",IF($K742="서울병원","해당","비해당"))))</f>
        <v/>
      </c>
      <c r="M742">
        <f>IF($W742="","",SUMIFS(상세표[06~07시],상세표[사번키],INDEX(합계표[사번키],$W742),상세표[반영월],대상월키,상세표[반영 기관],"서울병원"))</f>
        <v/>
      </c>
      <c r="N742">
        <f>IF($W742="","",SUMIFS(상세표[07~18시],상세표[사번키],INDEX(합계표[사번키],$W742),상세표[반영월],대상월키,상세표[반영 기관],"서울병원"))</f>
        <v/>
      </c>
      <c r="O742">
        <f>IF($W742="","",SUMIFS(상세표[18~22시],상세표[사번키],INDEX(합계표[사번키],$W742),상세표[반영월],대상월키,상세표[반영 기관],"서울병원"))</f>
        <v/>
      </c>
      <c r="P742">
        <f>IF($W742="","",SUMIFS(상세표[22~06시],상세표[사번키],INDEX(합계표[사번키],$W742),상세표[반영월],대상월키,상세표[반영 기관],"서울병원"))</f>
        <v/>
      </c>
      <c r="Q742">
        <f>IF($W742="","",SUM($M742:$P742))</f>
        <v/>
      </c>
      <c r="R742">
        <f>IF($W742="","",COUNTIFS(상세표[사번키],INDEX(합계표[사번키],$W742),상세표[반영월],대상월키,상세표[야간당직],1,상세표[야간 구분],"평일"))</f>
        <v/>
      </c>
      <c r="S742" s="4">
        <f>IF($W742="","",COUNTIFS(상세표[사번키],INDEX(합계표[사번키],$W742),상세표[반영월],대상월키,상세표[야간당직],1,상세표[야간 구분],"휴일"))</f>
        <v/>
      </c>
      <c r="T742">
        <f>IF($W742="","",COUNTIFS(상세표[사번키],INDEX(합계표[사번키],$W742),상세표[반영월],대상월키,상세표[야간당직],1,상세표[야간 구분],"평일",상세표[반영 기관],"서울병원"))</f>
        <v/>
      </c>
      <c r="U742">
        <f>IF($W742="","",COUNTIFS(상세표[사번키],INDEX(합계표[사번키],$W742),상세표[반영월],대상월키,상세표[야간당직],1,상세표[야간 구분],"휴일",상세표[반영 기관],"서울병원"))</f>
        <v/>
      </c>
      <c r="V742">
        <f>IF($W742="","",IF(ISNUMBER(MATCH(INDEX(합계표[사번키],$W742)&amp;"|"&amp;대상월키,월별근무지표[키],0)),"직접 입력",IF($K742="—","—","기관명단")))</f>
        <v/>
      </c>
      <c r="W742">
        <f>IFERROR(MATCH(737,합계표[판정순번],0),"")</f>
        <v/>
      </c>
    </row>
    <row r="743">
      <c r="A743">
        <f>IF($W743="","",INDEX(합계표[사번],$W743)&amp;"")</f>
        <v/>
      </c>
      <c r="B743">
        <f>IF($W743="","",INDEX(합계표[성명],$W743)&amp;"")</f>
        <v/>
      </c>
      <c r="C743">
        <f>IF($W743="","",INDEX(합계표[부서],$W743)&amp;"")</f>
        <v/>
      </c>
      <c r="D743">
        <f>IF($W743="","",INDEX(합계표[직위(통합)],$W743)&amp;"")</f>
        <v/>
      </c>
      <c r="E743">
        <f>IF($W743="","",SUMIFS(합계표[시스템 합계],합계표[사번키],INDEX(합계표[사번키],$W743)))</f>
        <v/>
      </c>
      <c r="F743">
        <f>IF($W743="","",SUMIFS(상세표[기록 시간외],상세표[사번키],INDEX(합계표[사번키],$W743),상세표[기록월],대상월키))</f>
        <v/>
      </c>
      <c r="G743">
        <f>IF($W743="","",IF(ABS($E743-$F743)&lt;0.01,"일치","불일치(차이 "&amp;TEXT($F743-$E743,"0.00")&amp;")"))</f>
        <v/>
      </c>
      <c r="H743">
        <f>IF($W743="","",SUMIFS(상세표[기록 시간외],상세표[사번키],INDEX(합계표[사번키],$W743),상세표[기록월],대상월키,상세표[반영월],"&lt;&gt;"&amp;대상월키))</f>
        <v/>
      </c>
      <c r="I743">
        <f>IF($W743="","",SUMIFS(상세표[기록 시간외],상세표[사번키],INDEX(합계표[사번키],$W743),상세표[기록월],"&lt;&gt;"&amp;대상월키,상세표[반영월],대상월키))</f>
        <v/>
      </c>
      <c r="J743">
        <f>IF($W743="","",SUMIFS(상세표[기록 시간외],상세표[사번키],INDEX(합계표[사번키],$W743),상세표[반영월],대상월키))</f>
        <v/>
      </c>
      <c r="K743">
        <f>IF($W743="","",IFERROR(INDEX(월별근무지표[적용 급여병원],MATCH(INDEX(합계표[사번키],$W743)&amp;"|"&amp;대상월키,월별근무지표[키],0))&amp;"",IF(COUNTIF(기관표[사번키],INDEX(합계표[사번키],$W743))+COUNTIF(월별근무지표[사번키],INDEX(합계표[사번키],$W743))&gt;0,IFERROR(INDEX(기관표[급여지급병원(기준월)],MATCH(INDEX(합계표[사번키],$W743)&amp;"|"&amp;대상월키,기관표[키],0))&amp;"","—"),"—")))</f>
        <v/>
      </c>
      <c r="L743">
        <f>IF($W743="","",IF(NOT(COUNTIF(기관표[사번키],INDEX(합계표[사번키],$W743))+COUNTIF(월별근무지표[사번키],INDEX(합계표[사번키],$W743))&gt;0),"기관명단에 없음(다른 병원으로 발송)",IF($K743="—","대상월 기관명단 없음(추가 필요)",IF($K743="서울병원","해당","비해당"))))</f>
        <v/>
      </c>
      <c r="M743">
        <f>IF($W743="","",SUMIFS(상세표[06~07시],상세표[사번키],INDEX(합계표[사번키],$W743),상세표[반영월],대상월키,상세표[반영 기관],"서울병원"))</f>
        <v/>
      </c>
      <c r="N743">
        <f>IF($W743="","",SUMIFS(상세표[07~18시],상세표[사번키],INDEX(합계표[사번키],$W743),상세표[반영월],대상월키,상세표[반영 기관],"서울병원"))</f>
        <v/>
      </c>
      <c r="O743">
        <f>IF($W743="","",SUMIFS(상세표[18~22시],상세표[사번키],INDEX(합계표[사번키],$W743),상세표[반영월],대상월키,상세표[반영 기관],"서울병원"))</f>
        <v/>
      </c>
      <c r="P743">
        <f>IF($W743="","",SUMIFS(상세표[22~06시],상세표[사번키],INDEX(합계표[사번키],$W743),상세표[반영월],대상월키,상세표[반영 기관],"서울병원"))</f>
        <v/>
      </c>
      <c r="Q743">
        <f>IF($W743="","",SUM($M743:$P743))</f>
        <v/>
      </c>
      <c r="R743">
        <f>IF($W743="","",COUNTIFS(상세표[사번키],INDEX(합계표[사번키],$W743),상세표[반영월],대상월키,상세표[야간당직],1,상세표[야간 구분],"평일"))</f>
        <v/>
      </c>
      <c r="S743" s="4">
        <f>IF($W743="","",COUNTIFS(상세표[사번키],INDEX(합계표[사번키],$W743),상세표[반영월],대상월키,상세표[야간당직],1,상세표[야간 구분],"휴일"))</f>
        <v/>
      </c>
      <c r="T743">
        <f>IF($W743="","",COUNTIFS(상세표[사번키],INDEX(합계표[사번키],$W743),상세표[반영월],대상월키,상세표[야간당직],1,상세표[야간 구분],"평일",상세표[반영 기관],"서울병원"))</f>
        <v/>
      </c>
      <c r="U743">
        <f>IF($W743="","",COUNTIFS(상세표[사번키],INDEX(합계표[사번키],$W743),상세표[반영월],대상월키,상세표[야간당직],1,상세표[야간 구분],"휴일",상세표[반영 기관],"서울병원"))</f>
        <v/>
      </c>
      <c r="V743">
        <f>IF($W743="","",IF(ISNUMBER(MATCH(INDEX(합계표[사번키],$W743)&amp;"|"&amp;대상월키,월별근무지표[키],0)),"직접 입력",IF($K743="—","—","기관명단")))</f>
        <v/>
      </c>
      <c r="W743">
        <f>IFERROR(MATCH(738,합계표[판정순번],0),"")</f>
        <v/>
      </c>
    </row>
    <row r="744">
      <c r="A744">
        <f>IF($W744="","",INDEX(합계표[사번],$W744)&amp;"")</f>
        <v/>
      </c>
      <c r="B744">
        <f>IF($W744="","",INDEX(합계표[성명],$W744)&amp;"")</f>
        <v/>
      </c>
      <c r="C744">
        <f>IF($W744="","",INDEX(합계표[부서],$W744)&amp;"")</f>
        <v/>
      </c>
      <c r="D744">
        <f>IF($W744="","",INDEX(합계표[직위(통합)],$W744)&amp;"")</f>
        <v/>
      </c>
      <c r="E744">
        <f>IF($W744="","",SUMIFS(합계표[시스템 합계],합계표[사번키],INDEX(합계표[사번키],$W744)))</f>
        <v/>
      </c>
      <c r="F744">
        <f>IF($W744="","",SUMIFS(상세표[기록 시간외],상세표[사번키],INDEX(합계표[사번키],$W744),상세표[기록월],대상월키))</f>
        <v/>
      </c>
      <c r="G744">
        <f>IF($W744="","",IF(ABS($E744-$F744)&lt;0.01,"일치","불일치(차이 "&amp;TEXT($F744-$E744,"0.00")&amp;")"))</f>
        <v/>
      </c>
      <c r="H744">
        <f>IF($W744="","",SUMIFS(상세표[기록 시간외],상세표[사번키],INDEX(합계표[사번키],$W744),상세표[기록월],대상월키,상세표[반영월],"&lt;&gt;"&amp;대상월키))</f>
        <v/>
      </c>
      <c r="I744">
        <f>IF($W744="","",SUMIFS(상세표[기록 시간외],상세표[사번키],INDEX(합계표[사번키],$W744),상세표[기록월],"&lt;&gt;"&amp;대상월키,상세표[반영월],대상월키))</f>
        <v/>
      </c>
      <c r="J744">
        <f>IF($W744="","",SUMIFS(상세표[기록 시간외],상세표[사번키],INDEX(합계표[사번키],$W744),상세표[반영월],대상월키))</f>
        <v/>
      </c>
      <c r="K744">
        <f>IF($W744="","",IFERROR(INDEX(월별근무지표[적용 급여병원],MATCH(INDEX(합계표[사번키],$W744)&amp;"|"&amp;대상월키,월별근무지표[키],0))&amp;"",IF(COUNTIF(기관표[사번키],INDEX(합계표[사번키],$W744))+COUNTIF(월별근무지표[사번키],INDEX(합계표[사번키],$W744))&gt;0,IFERROR(INDEX(기관표[급여지급병원(기준월)],MATCH(INDEX(합계표[사번키],$W744)&amp;"|"&amp;대상월키,기관표[키],0))&amp;"","—"),"—")))</f>
        <v/>
      </c>
      <c r="L744">
        <f>IF($W744="","",IF(NOT(COUNTIF(기관표[사번키],INDEX(합계표[사번키],$W744))+COUNTIF(월별근무지표[사번키],INDEX(합계표[사번키],$W744))&gt;0),"기관명단에 없음(다른 병원으로 발송)",IF($K744="—","대상월 기관명단 없음(추가 필요)",IF($K744="서울병원","해당","비해당"))))</f>
        <v/>
      </c>
      <c r="M744">
        <f>IF($W744="","",SUMIFS(상세표[06~07시],상세표[사번키],INDEX(합계표[사번키],$W744),상세표[반영월],대상월키,상세표[반영 기관],"서울병원"))</f>
        <v/>
      </c>
      <c r="N744">
        <f>IF($W744="","",SUMIFS(상세표[07~18시],상세표[사번키],INDEX(합계표[사번키],$W744),상세표[반영월],대상월키,상세표[반영 기관],"서울병원"))</f>
        <v/>
      </c>
      <c r="O744">
        <f>IF($W744="","",SUMIFS(상세표[18~22시],상세표[사번키],INDEX(합계표[사번키],$W744),상세표[반영월],대상월키,상세표[반영 기관],"서울병원"))</f>
        <v/>
      </c>
      <c r="P744">
        <f>IF($W744="","",SUMIFS(상세표[22~06시],상세표[사번키],INDEX(합계표[사번키],$W744),상세표[반영월],대상월키,상세표[반영 기관],"서울병원"))</f>
        <v/>
      </c>
      <c r="Q744">
        <f>IF($W744="","",SUM($M744:$P744))</f>
        <v/>
      </c>
      <c r="R744">
        <f>IF($W744="","",COUNTIFS(상세표[사번키],INDEX(합계표[사번키],$W744),상세표[반영월],대상월키,상세표[야간당직],1,상세표[야간 구분],"평일"))</f>
        <v/>
      </c>
      <c r="S744" s="4">
        <f>IF($W744="","",COUNTIFS(상세표[사번키],INDEX(합계표[사번키],$W744),상세표[반영월],대상월키,상세표[야간당직],1,상세표[야간 구분],"휴일"))</f>
        <v/>
      </c>
      <c r="T744">
        <f>IF($W744="","",COUNTIFS(상세표[사번키],INDEX(합계표[사번키],$W744),상세표[반영월],대상월키,상세표[야간당직],1,상세표[야간 구분],"평일",상세표[반영 기관],"서울병원"))</f>
        <v/>
      </c>
      <c r="U744">
        <f>IF($W744="","",COUNTIFS(상세표[사번키],INDEX(합계표[사번키],$W744),상세표[반영월],대상월키,상세표[야간당직],1,상세표[야간 구분],"휴일",상세표[반영 기관],"서울병원"))</f>
        <v/>
      </c>
      <c r="V744">
        <f>IF($W744="","",IF(ISNUMBER(MATCH(INDEX(합계표[사번키],$W744)&amp;"|"&amp;대상월키,월별근무지표[키],0)),"직접 입력",IF($K744="—","—","기관명단")))</f>
        <v/>
      </c>
      <c r="W744">
        <f>IFERROR(MATCH(739,합계표[판정순번],0),"")</f>
        <v/>
      </c>
    </row>
    <row r="745">
      <c r="A745">
        <f>IF($W745="","",INDEX(합계표[사번],$W745)&amp;"")</f>
        <v/>
      </c>
      <c r="B745">
        <f>IF($W745="","",INDEX(합계표[성명],$W745)&amp;"")</f>
        <v/>
      </c>
      <c r="C745">
        <f>IF($W745="","",INDEX(합계표[부서],$W745)&amp;"")</f>
        <v/>
      </c>
      <c r="D745">
        <f>IF($W745="","",INDEX(합계표[직위(통합)],$W745)&amp;"")</f>
        <v/>
      </c>
      <c r="E745">
        <f>IF($W745="","",SUMIFS(합계표[시스템 합계],합계표[사번키],INDEX(합계표[사번키],$W745)))</f>
        <v/>
      </c>
      <c r="F745">
        <f>IF($W745="","",SUMIFS(상세표[기록 시간외],상세표[사번키],INDEX(합계표[사번키],$W745),상세표[기록월],대상월키))</f>
        <v/>
      </c>
      <c r="G745">
        <f>IF($W745="","",IF(ABS($E745-$F745)&lt;0.01,"일치","불일치(차이 "&amp;TEXT($F745-$E745,"0.00")&amp;")"))</f>
        <v/>
      </c>
      <c r="H745">
        <f>IF($W745="","",SUMIFS(상세표[기록 시간외],상세표[사번키],INDEX(합계표[사번키],$W745),상세표[기록월],대상월키,상세표[반영월],"&lt;&gt;"&amp;대상월키))</f>
        <v/>
      </c>
      <c r="I745">
        <f>IF($W745="","",SUMIFS(상세표[기록 시간외],상세표[사번키],INDEX(합계표[사번키],$W745),상세표[기록월],"&lt;&gt;"&amp;대상월키,상세표[반영월],대상월키))</f>
        <v/>
      </c>
      <c r="J745">
        <f>IF($W745="","",SUMIFS(상세표[기록 시간외],상세표[사번키],INDEX(합계표[사번키],$W745),상세표[반영월],대상월키))</f>
        <v/>
      </c>
      <c r="K745">
        <f>IF($W745="","",IFERROR(INDEX(월별근무지표[적용 급여병원],MATCH(INDEX(합계표[사번키],$W745)&amp;"|"&amp;대상월키,월별근무지표[키],0))&amp;"",IF(COUNTIF(기관표[사번키],INDEX(합계표[사번키],$W745))+COUNTIF(월별근무지표[사번키],INDEX(합계표[사번키],$W745))&gt;0,IFERROR(INDEX(기관표[급여지급병원(기준월)],MATCH(INDEX(합계표[사번키],$W745)&amp;"|"&amp;대상월키,기관표[키],0))&amp;"","—"),"—")))</f>
        <v/>
      </c>
      <c r="L745">
        <f>IF($W745="","",IF(NOT(COUNTIF(기관표[사번키],INDEX(합계표[사번키],$W745))+COUNTIF(월별근무지표[사번키],INDEX(합계표[사번키],$W745))&gt;0),"기관명단에 없음(다른 병원으로 발송)",IF($K745="—","대상월 기관명단 없음(추가 필요)",IF($K745="서울병원","해당","비해당"))))</f>
        <v/>
      </c>
      <c r="M745">
        <f>IF($W745="","",SUMIFS(상세표[06~07시],상세표[사번키],INDEX(합계표[사번키],$W745),상세표[반영월],대상월키,상세표[반영 기관],"서울병원"))</f>
        <v/>
      </c>
      <c r="N745">
        <f>IF($W745="","",SUMIFS(상세표[07~18시],상세표[사번키],INDEX(합계표[사번키],$W745),상세표[반영월],대상월키,상세표[반영 기관],"서울병원"))</f>
        <v/>
      </c>
      <c r="O745">
        <f>IF($W745="","",SUMIFS(상세표[18~22시],상세표[사번키],INDEX(합계표[사번키],$W745),상세표[반영월],대상월키,상세표[반영 기관],"서울병원"))</f>
        <v/>
      </c>
      <c r="P745">
        <f>IF($W745="","",SUMIFS(상세표[22~06시],상세표[사번키],INDEX(합계표[사번키],$W745),상세표[반영월],대상월키,상세표[반영 기관],"서울병원"))</f>
        <v/>
      </c>
      <c r="Q745">
        <f>IF($W745="","",SUM($M745:$P745))</f>
        <v/>
      </c>
      <c r="R745">
        <f>IF($W745="","",COUNTIFS(상세표[사번키],INDEX(합계표[사번키],$W745),상세표[반영월],대상월키,상세표[야간당직],1,상세표[야간 구분],"평일"))</f>
        <v/>
      </c>
      <c r="S745" s="4">
        <f>IF($W745="","",COUNTIFS(상세표[사번키],INDEX(합계표[사번키],$W745),상세표[반영월],대상월키,상세표[야간당직],1,상세표[야간 구분],"휴일"))</f>
        <v/>
      </c>
      <c r="T745">
        <f>IF($W745="","",COUNTIFS(상세표[사번키],INDEX(합계표[사번키],$W745),상세표[반영월],대상월키,상세표[야간당직],1,상세표[야간 구분],"평일",상세표[반영 기관],"서울병원"))</f>
        <v/>
      </c>
      <c r="U745">
        <f>IF($W745="","",COUNTIFS(상세표[사번키],INDEX(합계표[사번키],$W745),상세표[반영월],대상월키,상세표[야간당직],1,상세표[야간 구분],"휴일",상세표[반영 기관],"서울병원"))</f>
        <v/>
      </c>
      <c r="V745">
        <f>IF($W745="","",IF(ISNUMBER(MATCH(INDEX(합계표[사번키],$W745)&amp;"|"&amp;대상월키,월별근무지표[키],0)),"직접 입력",IF($K745="—","—","기관명단")))</f>
        <v/>
      </c>
      <c r="W745">
        <f>IFERROR(MATCH(740,합계표[판정순번],0),"")</f>
        <v/>
      </c>
    </row>
    <row r="746">
      <c r="A746">
        <f>IF($W746="","",INDEX(합계표[사번],$W746)&amp;"")</f>
        <v/>
      </c>
      <c r="B746">
        <f>IF($W746="","",INDEX(합계표[성명],$W746)&amp;"")</f>
        <v/>
      </c>
      <c r="C746">
        <f>IF($W746="","",INDEX(합계표[부서],$W746)&amp;"")</f>
        <v/>
      </c>
      <c r="D746">
        <f>IF($W746="","",INDEX(합계표[직위(통합)],$W746)&amp;"")</f>
        <v/>
      </c>
      <c r="E746">
        <f>IF($W746="","",SUMIFS(합계표[시스템 합계],합계표[사번키],INDEX(합계표[사번키],$W746)))</f>
        <v/>
      </c>
      <c r="F746">
        <f>IF($W746="","",SUMIFS(상세표[기록 시간외],상세표[사번키],INDEX(합계표[사번키],$W746),상세표[기록월],대상월키))</f>
        <v/>
      </c>
      <c r="G746">
        <f>IF($W746="","",IF(ABS($E746-$F746)&lt;0.01,"일치","불일치(차이 "&amp;TEXT($F746-$E746,"0.00")&amp;")"))</f>
        <v/>
      </c>
      <c r="H746">
        <f>IF($W746="","",SUMIFS(상세표[기록 시간외],상세표[사번키],INDEX(합계표[사번키],$W746),상세표[기록월],대상월키,상세표[반영월],"&lt;&gt;"&amp;대상월키))</f>
        <v/>
      </c>
      <c r="I746">
        <f>IF($W746="","",SUMIFS(상세표[기록 시간외],상세표[사번키],INDEX(합계표[사번키],$W746),상세표[기록월],"&lt;&gt;"&amp;대상월키,상세표[반영월],대상월키))</f>
        <v/>
      </c>
      <c r="J746">
        <f>IF($W746="","",SUMIFS(상세표[기록 시간외],상세표[사번키],INDEX(합계표[사번키],$W746),상세표[반영월],대상월키))</f>
        <v/>
      </c>
      <c r="K746">
        <f>IF($W746="","",IFERROR(INDEX(월별근무지표[적용 급여병원],MATCH(INDEX(합계표[사번키],$W746)&amp;"|"&amp;대상월키,월별근무지표[키],0))&amp;"",IF(COUNTIF(기관표[사번키],INDEX(합계표[사번키],$W746))+COUNTIF(월별근무지표[사번키],INDEX(합계표[사번키],$W746))&gt;0,IFERROR(INDEX(기관표[급여지급병원(기준월)],MATCH(INDEX(합계표[사번키],$W746)&amp;"|"&amp;대상월키,기관표[키],0))&amp;"","—"),"—")))</f>
        <v/>
      </c>
      <c r="L746">
        <f>IF($W746="","",IF(NOT(COUNTIF(기관표[사번키],INDEX(합계표[사번키],$W746))+COUNTIF(월별근무지표[사번키],INDEX(합계표[사번키],$W746))&gt;0),"기관명단에 없음(다른 병원으로 발송)",IF($K746="—","대상월 기관명단 없음(추가 필요)",IF($K746="서울병원","해당","비해당"))))</f>
        <v/>
      </c>
      <c r="M746">
        <f>IF($W746="","",SUMIFS(상세표[06~07시],상세표[사번키],INDEX(합계표[사번키],$W746),상세표[반영월],대상월키,상세표[반영 기관],"서울병원"))</f>
        <v/>
      </c>
      <c r="N746">
        <f>IF($W746="","",SUMIFS(상세표[07~18시],상세표[사번키],INDEX(합계표[사번키],$W746),상세표[반영월],대상월키,상세표[반영 기관],"서울병원"))</f>
        <v/>
      </c>
      <c r="O746">
        <f>IF($W746="","",SUMIFS(상세표[18~22시],상세표[사번키],INDEX(합계표[사번키],$W746),상세표[반영월],대상월키,상세표[반영 기관],"서울병원"))</f>
        <v/>
      </c>
      <c r="P746">
        <f>IF($W746="","",SUMIFS(상세표[22~06시],상세표[사번키],INDEX(합계표[사번키],$W746),상세표[반영월],대상월키,상세표[반영 기관],"서울병원"))</f>
        <v/>
      </c>
      <c r="Q746">
        <f>IF($W746="","",SUM($M746:$P746))</f>
        <v/>
      </c>
      <c r="R746">
        <f>IF($W746="","",COUNTIFS(상세표[사번키],INDEX(합계표[사번키],$W746),상세표[반영월],대상월키,상세표[야간당직],1,상세표[야간 구분],"평일"))</f>
        <v/>
      </c>
      <c r="S746" s="4">
        <f>IF($W746="","",COUNTIFS(상세표[사번키],INDEX(합계표[사번키],$W746),상세표[반영월],대상월키,상세표[야간당직],1,상세표[야간 구분],"휴일"))</f>
        <v/>
      </c>
      <c r="T746">
        <f>IF($W746="","",COUNTIFS(상세표[사번키],INDEX(합계표[사번키],$W746),상세표[반영월],대상월키,상세표[야간당직],1,상세표[야간 구분],"평일",상세표[반영 기관],"서울병원"))</f>
        <v/>
      </c>
      <c r="U746">
        <f>IF($W746="","",COUNTIFS(상세표[사번키],INDEX(합계표[사번키],$W746),상세표[반영월],대상월키,상세표[야간당직],1,상세표[야간 구분],"휴일",상세표[반영 기관],"서울병원"))</f>
        <v/>
      </c>
      <c r="V746">
        <f>IF($W746="","",IF(ISNUMBER(MATCH(INDEX(합계표[사번키],$W746)&amp;"|"&amp;대상월키,월별근무지표[키],0)),"직접 입력",IF($K746="—","—","기관명단")))</f>
        <v/>
      </c>
      <c r="W746">
        <f>IFERROR(MATCH(741,합계표[판정순번],0),"")</f>
        <v/>
      </c>
    </row>
    <row r="747">
      <c r="A747">
        <f>IF($W747="","",INDEX(합계표[사번],$W747)&amp;"")</f>
        <v/>
      </c>
      <c r="B747">
        <f>IF($W747="","",INDEX(합계표[성명],$W747)&amp;"")</f>
        <v/>
      </c>
      <c r="C747">
        <f>IF($W747="","",INDEX(합계표[부서],$W747)&amp;"")</f>
        <v/>
      </c>
      <c r="D747">
        <f>IF($W747="","",INDEX(합계표[직위(통합)],$W747)&amp;"")</f>
        <v/>
      </c>
      <c r="E747">
        <f>IF($W747="","",SUMIFS(합계표[시스템 합계],합계표[사번키],INDEX(합계표[사번키],$W747)))</f>
        <v/>
      </c>
      <c r="F747">
        <f>IF($W747="","",SUMIFS(상세표[기록 시간외],상세표[사번키],INDEX(합계표[사번키],$W747),상세표[기록월],대상월키))</f>
        <v/>
      </c>
      <c r="G747">
        <f>IF($W747="","",IF(ABS($E747-$F747)&lt;0.01,"일치","불일치(차이 "&amp;TEXT($F747-$E747,"0.00")&amp;")"))</f>
        <v/>
      </c>
      <c r="H747">
        <f>IF($W747="","",SUMIFS(상세표[기록 시간외],상세표[사번키],INDEX(합계표[사번키],$W747),상세표[기록월],대상월키,상세표[반영월],"&lt;&gt;"&amp;대상월키))</f>
        <v/>
      </c>
      <c r="I747">
        <f>IF($W747="","",SUMIFS(상세표[기록 시간외],상세표[사번키],INDEX(합계표[사번키],$W747),상세표[기록월],"&lt;&gt;"&amp;대상월키,상세표[반영월],대상월키))</f>
        <v/>
      </c>
      <c r="J747">
        <f>IF($W747="","",SUMIFS(상세표[기록 시간외],상세표[사번키],INDEX(합계표[사번키],$W747),상세표[반영월],대상월키))</f>
        <v/>
      </c>
      <c r="K747">
        <f>IF($W747="","",IFERROR(INDEX(월별근무지표[적용 급여병원],MATCH(INDEX(합계표[사번키],$W747)&amp;"|"&amp;대상월키,월별근무지표[키],0))&amp;"",IF(COUNTIF(기관표[사번키],INDEX(합계표[사번키],$W747))+COUNTIF(월별근무지표[사번키],INDEX(합계표[사번키],$W747))&gt;0,IFERROR(INDEX(기관표[급여지급병원(기준월)],MATCH(INDEX(합계표[사번키],$W747)&amp;"|"&amp;대상월키,기관표[키],0))&amp;"","—"),"—")))</f>
        <v/>
      </c>
      <c r="L747">
        <f>IF($W747="","",IF(NOT(COUNTIF(기관표[사번키],INDEX(합계표[사번키],$W747))+COUNTIF(월별근무지표[사번키],INDEX(합계표[사번키],$W747))&gt;0),"기관명단에 없음(다른 병원으로 발송)",IF($K747="—","대상월 기관명단 없음(추가 필요)",IF($K747="서울병원","해당","비해당"))))</f>
        <v/>
      </c>
      <c r="M747">
        <f>IF($W747="","",SUMIFS(상세표[06~07시],상세표[사번키],INDEX(합계표[사번키],$W747),상세표[반영월],대상월키,상세표[반영 기관],"서울병원"))</f>
        <v/>
      </c>
      <c r="N747">
        <f>IF($W747="","",SUMIFS(상세표[07~18시],상세표[사번키],INDEX(합계표[사번키],$W747),상세표[반영월],대상월키,상세표[반영 기관],"서울병원"))</f>
        <v/>
      </c>
      <c r="O747">
        <f>IF($W747="","",SUMIFS(상세표[18~22시],상세표[사번키],INDEX(합계표[사번키],$W747),상세표[반영월],대상월키,상세표[반영 기관],"서울병원"))</f>
        <v/>
      </c>
      <c r="P747">
        <f>IF($W747="","",SUMIFS(상세표[22~06시],상세표[사번키],INDEX(합계표[사번키],$W747),상세표[반영월],대상월키,상세표[반영 기관],"서울병원"))</f>
        <v/>
      </c>
      <c r="Q747">
        <f>IF($W747="","",SUM($M747:$P747))</f>
        <v/>
      </c>
      <c r="R747">
        <f>IF($W747="","",COUNTIFS(상세표[사번키],INDEX(합계표[사번키],$W747),상세표[반영월],대상월키,상세표[야간당직],1,상세표[야간 구분],"평일"))</f>
        <v/>
      </c>
      <c r="S747" s="4">
        <f>IF($W747="","",COUNTIFS(상세표[사번키],INDEX(합계표[사번키],$W747),상세표[반영월],대상월키,상세표[야간당직],1,상세표[야간 구분],"휴일"))</f>
        <v/>
      </c>
      <c r="T747">
        <f>IF($W747="","",COUNTIFS(상세표[사번키],INDEX(합계표[사번키],$W747),상세표[반영월],대상월키,상세표[야간당직],1,상세표[야간 구분],"평일",상세표[반영 기관],"서울병원"))</f>
        <v/>
      </c>
      <c r="U747">
        <f>IF($W747="","",COUNTIFS(상세표[사번키],INDEX(합계표[사번키],$W747),상세표[반영월],대상월키,상세표[야간당직],1,상세표[야간 구분],"휴일",상세표[반영 기관],"서울병원"))</f>
        <v/>
      </c>
      <c r="V747">
        <f>IF($W747="","",IF(ISNUMBER(MATCH(INDEX(합계표[사번키],$W747)&amp;"|"&amp;대상월키,월별근무지표[키],0)),"직접 입력",IF($K747="—","—","기관명단")))</f>
        <v/>
      </c>
      <c r="W747">
        <f>IFERROR(MATCH(742,합계표[판정순번],0),"")</f>
        <v/>
      </c>
    </row>
    <row r="748">
      <c r="A748">
        <f>IF($W748="","",INDEX(합계표[사번],$W748)&amp;"")</f>
        <v/>
      </c>
      <c r="B748">
        <f>IF($W748="","",INDEX(합계표[성명],$W748)&amp;"")</f>
        <v/>
      </c>
      <c r="C748">
        <f>IF($W748="","",INDEX(합계표[부서],$W748)&amp;"")</f>
        <v/>
      </c>
      <c r="D748">
        <f>IF($W748="","",INDEX(합계표[직위(통합)],$W748)&amp;"")</f>
        <v/>
      </c>
      <c r="E748">
        <f>IF($W748="","",SUMIFS(합계표[시스템 합계],합계표[사번키],INDEX(합계표[사번키],$W748)))</f>
        <v/>
      </c>
      <c r="F748">
        <f>IF($W748="","",SUMIFS(상세표[기록 시간외],상세표[사번키],INDEX(합계표[사번키],$W748),상세표[기록월],대상월키))</f>
        <v/>
      </c>
      <c r="G748">
        <f>IF($W748="","",IF(ABS($E748-$F748)&lt;0.01,"일치","불일치(차이 "&amp;TEXT($F748-$E748,"0.00")&amp;")"))</f>
        <v/>
      </c>
      <c r="H748">
        <f>IF($W748="","",SUMIFS(상세표[기록 시간외],상세표[사번키],INDEX(합계표[사번키],$W748),상세표[기록월],대상월키,상세표[반영월],"&lt;&gt;"&amp;대상월키))</f>
        <v/>
      </c>
      <c r="I748">
        <f>IF($W748="","",SUMIFS(상세표[기록 시간외],상세표[사번키],INDEX(합계표[사번키],$W748),상세표[기록월],"&lt;&gt;"&amp;대상월키,상세표[반영월],대상월키))</f>
        <v/>
      </c>
      <c r="J748">
        <f>IF($W748="","",SUMIFS(상세표[기록 시간외],상세표[사번키],INDEX(합계표[사번키],$W748),상세표[반영월],대상월키))</f>
        <v/>
      </c>
      <c r="K748">
        <f>IF($W748="","",IFERROR(INDEX(월별근무지표[적용 급여병원],MATCH(INDEX(합계표[사번키],$W748)&amp;"|"&amp;대상월키,월별근무지표[키],0))&amp;"",IF(COUNTIF(기관표[사번키],INDEX(합계표[사번키],$W748))+COUNTIF(월별근무지표[사번키],INDEX(합계표[사번키],$W748))&gt;0,IFERROR(INDEX(기관표[급여지급병원(기준월)],MATCH(INDEX(합계표[사번키],$W748)&amp;"|"&amp;대상월키,기관표[키],0))&amp;"","—"),"—")))</f>
        <v/>
      </c>
      <c r="L748">
        <f>IF($W748="","",IF(NOT(COUNTIF(기관표[사번키],INDEX(합계표[사번키],$W748))+COUNTIF(월별근무지표[사번키],INDEX(합계표[사번키],$W748))&gt;0),"기관명단에 없음(다른 병원으로 발송)",IF($K748="—","대상월 기관명단 없음(추가 필요)",IF($K748="서울병원","해당","비해당"))))</f>
        <v/>
      </c>
      <c r="M748">
        <f>IF($W748="","",SUMIFS(상세표[06~07시],상세표[사번키],INDEX(합계표[사번키],$W748),상세표[반영월],대상월키,상세표[반영 기관],"서울병원"))</f>
        <v/>
      </c>
      <c r="N748">
        <f>IF($W748="","",SUMIFS(상세표[07~18시],상세표[사번키],INDEX(합계표[사번키],$W748),상세표[반영월],대상월키,상세표[반영 기관],"서울병원"))</f>
        <v/>
      </c>
      <c r="O748">
        <f>IF($W748="","",SUMIFS(상세표[18~22시],상세표[사번키],INDEX(합계표[사번키],$W748),상세표[반영월],대상월키,상세표[반영 기관],"서울병원"))</f>
        <v/>
      </c>
      <c r="P748">
        <f>IF($W748="","",SUMIFS(상세표[22~06시],상세표[사번키],INDEX(합계표[사번키],$W748),상세표[반영월],대상월키,상세표[반영 기관],"서울병원"))</f>
        <v/>
      </c>
      <c r="Q748">
        <f>IF($W748="","",SUM($M748:$P748))</f>
        <v/>
      </c>
      <c r="R748">
        <f>IF($W748="","",COUNTIFS(상세표[사번키],INDEX(합계표[사번키],$W748),상세표[반영월],대상월키,상세표[야간당직],1,상세표[야간 구분],"평일"))</f>
        <v/>
      </c>
      <c r="S748" s="4">
        <f>IF($W748="","",COUNTIFS(상세표[사번키],INDEX(합계표[사번키],$W748),상세표[반영월],대상월키,상세표[야간당직],1,상세표[야간 구분],"휴일"))</f>
        <v/>
      </c>
      <c r="T748">
        <f>IF($W748="","",COUNTIFS(상세표[사번키],INDEX(합계표[사번키],$W748),상세표[반영월],대상월키,상세표[야간당직],1,상세표[야간 구분],"평일",상세표[반영 기관],"서울병원"))</f>
        <v/>
      </c>
      <c r="U748">
        <f>IF($W748="","",COUNTIFS(상세표[사번키],INDEX(합계표[사번키],$W748),상세표[반영월],대상월키,상세표[야간당직],1,상세표[야간 구분],"휴일",상세표[반영 기관],"서울병원"))</f>
        <v/>
      </c>
      <c r="V748">
        <f>IF($W748="","",IF(ISNUMBER(MATCH(INDEX(합계표[사번키],$W748)&amp;"|"&amp;대상월키,월별근무지표[키],0)),"직접 입력",IF($K748="—","—","기관명단")))</f>
        <v/>
      </c>
      <c r="W748">
        <f>IFERROR(MATCH(743,합계표[판정순번],0),"")</f>
        <v/>
      </c>
    </row>
    <row r="749">
      <c r="A749">
        <f>IF($W749="","",INDEX(합계표[사번],$W749)&amp;"")</f>
        <v/>
      </c>
      <c r="B749">
        <f>IF($W749="","",INDEX(합계표[성명],$W749)&amp;"")</f>
        <v/>
      </c>
      <c r="C749">
        <f>IF($W749="","",INDEX(합계표[부서],$W749)&amp;"")</f>
        <v/>
      </c>
      <c r="D749">
        <f>IF($W749="","",INDEX(합계표[직위(통합)],$W749)&amp;"")</f>
        <v/>
      </c>
      <c r="E749">
        <f>IF($W749="","",SUMIFS(합계표[시스템 합계],합계표[사번키],INDEX(합계표[사번키],$W749)))</f>
        <v/>
      </c>
      <c r="F749">
        <f>IF($W749="","",SUMIFS(상세표[기록 시간외],상세표[사번키],INDEX(합계표[사번키],$W749),상세표[기록월],대상월키))</f>
        <v/>
      </c>
      <c r="G749">
        <f>IF($W749="","",IF(ABS($E749-$F749)&lt;0.01,"일치","불일치(차이 "&amp;TEXT($F749-$E749,"0.00")&amp;")"))</f>
        <v/>
      </c>
      <c r="H749">
        <f>IF($W749="","",SUMIFS(상세표[기록 시간외],상세표[사번키],INDEX(합계표[사번키],$W749),상세표[기록월],대상월키,상세표[반영월],"&lt;&gt;"&amp;대상월키))</f>
        <v/>
      </c>
      <c r="I749">
        <f>IF($W749="","",SUMIFS(상세표[기록 시간외],상세표[사번키],INDEX(합계표[사번키],$W749),상세표[기록월],"&lt;&gt;"&amp;대상월키,상세표[반영월],대상월키))</f>
        <v/>
      </c>
      <c r="J749">
        <f>IF($W749="","",SUMIFS(상세표[기록 시간외],상세표[사번키],INDEX(합계표[사번키],$W749),상세표[반영월],대상월키))</f>
        <v/>
      </c>
      <c r="K749">
        <f>IF($W749="","",IFERROR(INDEX(월별근무지표[적용 급여병원],MATCH(INDEX(합계표[사번키],$W749)&amp;"|"&amp;대상월키,월별근무지표[키],0))&amp;"",IF(COUNTIF(기관표[사번키],INDEX(합계표[사번키],$W749))+COUNTIF(월별근무지표[사번키],INDEX(합계표[사번키],$W749))&gt;0,IFERROR(INDEX(기관표[급여지급병원(기준월)],MATCH(INDEX(합계표[사번키],$W749)&amp;"|"&amp;대상월키,기관표[키],0))&amp;"","—"),"—")))</f>
        <v/>
      </c>
      <c r="L749">
        <f>IF($W749="","",IF(NOT(COUNTIF(기관표[사번키],INDEX(합계표[사번키],$W749))+COUNTIF(월별근무지표[사번키],INDEX(합계표[사번키],$W749))&gt;0),"기관명단에 없음(다른 병원으로 발송)",IF($K749="—","대상월 기관명단 없음(추가 필요)",IF($K749="서울병원","해당","비해당"))))</f>
        <v/>
      </c>
      <c r="M749">
        <f>IF($W749="","",SUMIFS(상세표[06~07시],상세표[사번키],INDEX(합계표[사번키],$W749),상세표[반영월],대상월키,상세표[반영 기관],"서울병원"))</f>
        <v/>
      </c>
      <c r="N749">
        <f>IF($W749="","",SUMIFS(상세표[07~18시],상세표[사번키],INDEX(합계표[사번키],$W749),상세표[반영월],대상월키,상세표[반영 기관],"서울병원"))</f>
        <v/>
      </c>
      <c r="O749">
        <f>IF($W749="","",SUMIFS(상세표[18~22시],상세표[사번키],INDEX(합계표[사번키],$W749),상세표[반영월],대상월키,상세표[반영 기관],"서울병원"))</f>
        <v/>
      </c>
      <c r="P749">
        <f>IF($W749="","",SUMIFS(상세표[22~06시],상세표[사번키],INDEX(합계표[사번키],$W749),상세표[반영월],대상월키,상세표[반영 기관],"서울병원"))</f>
        <v/>
      </c>
      <c r="Q749">
        <f>IF($W749="","",SUM($M749:$P749))</f>
        <v/>
      </c>
      <c r="R749">
        <f>IF($W749="","",COUNTIFS(상세표[사번키],INDEX(합계표[사번키],$W749),상세표[반영월],대상월키,상세표[야간당직],1,상세표[야간 구분],"평일"))</f>
        <v/>
      </c>
      <c r="S749" s="4">
        <f>IF($W749="","",COUNTIFS(상세표[사번키],INDEX(합계표[사번키],$W749),상세표[반영월],대상월키,상세표[야간당직],1,상세표[야간 구분],"휴일"))</f>
        <v/>
      </c>
      <c r="T749">
        <f>IF($W749="","",COUNTIFS(상세표[사번키],INDEX(합계표[사번키],$W749),상세표[반영월],대상월키,상세표[야간당직],1,상세표[야간 구분],"평일",상세표[반영 기관],"서울병원"))</f>
        <v/>
      </c>
      <c r="U749">
        <f>IF($W749="","",COUNTIFS(상세표[사번키],INDEX(합계표[사번키],$W749),상세표[반영월],대상월키,상세표[야간당직],1,상세표[야간 구분],"휴일",상세표[반영 기관],"서울병원"))</f>
        <v/>
      </c>
      <c r="V749">
        <f>IF($W749="","",IF(ISNUMBER(MATCH(INDEX(합계표[사번키],$W749)&amp;"|"&amp;대상월키,월별근무지표[키],0)),"직접 입력",IF($K749="—","—","기관명단")))</f>
        <v/>
      </c>
      <c r="W749">
        <f>IFERROR(MATCH(744,합계표[판정순번],0),"")</f>
        <v/>
      </c>
    </row>
    <row r="750">
      <c r="A750">
        <f>IF($W750="","",INDEX(합계표[사번],$W750)&amp;"")</f>
        <v/>
      </c>
      <c r="B750">
        <f>IF($W750="","",INDEX(합계표[성명],$W750)&amp;"")</f>
        <v/>
      </c>
      <c r="C750">
        <f>IF($W750="","",INDEX(합계표[부서],$W750)&amp;"")</f>
        <v/>
      </c>
      <c r="D750">
        <f>IF($W750="","",INDEX(합계표[직위(통합)],$W750)&amp;"")</f>
        <v/>
      </c>
      <c r="E750">
        <f>IF($W750="","",SUMIFS(합계표[시스템 합계],합계표[사번키],INDEX(합계표[사번키],$W750)))</f>
        <v/>
      </c>
      <c r="F750">
        <f>IF($W750="","",SUMIFS(상세표[기록 시간외],상세표[사번키],INDEX(합계표[사번키],$W750),상세표[기록월],대상월키))</f>
        <v/>
      </c>
      <c r="G750">
        <f>IF($W750="","",IF(ABS($E750-$F750)&lt;0.01,"일치","불일치(차이 "&amp;TEXT($F750-$E750,"0.00")&amp;")"))</f>
        <v/>
      </c>
      <c r="H750">
        <f>IF($W750="","",SUMIFS(상세표[기록 시간외],상세표[사번키],INDEX(합계표[사번키],$W750),상세표[기록월],대상월키,상세표[반영월],"&lt;&gt;"&amp;대상월키))</f>
        <v/>
      </c>
      <c r="I750">
        <f>IF($W750="","",SUMIFS(상세표[기록 시간외],상세표[사번키],INDEX(합계표[사번키],$W750),상세표[기록월],"&lt;&gt;"&amp;대상월키,상세표[반영월],대상월키))</f>
        <v/>
      </c>
      <c r="J750">
        <f>IF($W750="","",SUMIFS(상세표[기록 시간외],상세표[사번키],INDEX(합계표[사번키],$W750),상세표[반영월],대상월키))</f>
        <v/>
      </c>
      <c r="K750">
        <f>IF($W750="","",IFERROR(INDEX(월별근무지표[적용 급여병원],MATCH(INDEX(합계표[사번키],$W750)&amp;"|"&amp;대상월키,월별근무지표[키],0))&amp;"",IF(COUNTIF(기관표[사번키],INDEX(합계표[사번키],$W750))+COUNTIF(월별근무지표[사번키],INDEX(합계표[사번키],$W750))&gt;0,IFERROR(INDEX(기관표[급여지급병원(기준월)],MATCH(INDEX(합계표[사번키],$W750)&amp;"|"&amp;대상월키,기관표[키],0))&amp;"","—"),"—")))</f>
        <v/>
      </c>
      <c r="L750">
        <f>IF($W750="","",IF(NOT(COUNTIF(기관표[사번키],INDEX(합계표[사번키],$W750))+COUNTIF(월별근무지표[사번키],INDEX(합계표[사번키],$W750))&gt;0),"기관명단에 없음(다른 병원으로 발송)",IF($K750="—","대상월 기관명단 없음(추가 필요)",IF($K750="서울병원","해당","비해당"))))</f>
        <v/>
      </c>
      <c r="M750">
        <f>IF($W750="","",SUMIFS(상세표[06~07시],상세표[사번키],INDEX(합계표[사번키],$W750),상세표[반영월],대상월키,상세표[반영 기관],"서울병원"))</f>
        <v/>
      </c>
      <c r="N750">
        <f>IF($W750="","",SUMIFS(상세표[07~18시],상세표[사번키],INDEX(합계표[사번키],$W750),상세표[반영월],대상월키,상세표[반영 기관],"서울병원"))</f>
        <v/>
      </c>
      <c r="O750">
        <f>IF($W750="","",SUMIFS(상세표[18~22시],상세표[사번키],INDEX(합계표[사번키],$W750),상세표[반영월],대상월키,상세표[반영 기관],"서울병원"))</f>
        <v/>
      </c>
      <c r="P750">
        <f>IF($W750="","",SUMIFS(상세표[22~06시],상세표[사번키],INDEX(합계표[사번키],$W750),상세표[반영월],대상월키,상세표[반영 기관],"서울병원"))</f>
        <v/>
      </c>
      <c r="Q750">
        <f>IF($W750="","",SUM($M750:$P750))</f>
        <v/>
      </c>
      <c r="R750">
        <f>IF($W750="","",COUNTIFS(상세표[사번키],INDEX(합계표[사번키],$W750),상세표[반영월],대상월키,상세표[야간당직],1,상세표[야간 구분],"평일"))</f>
        <v/>
      </c>
      <c r="S750" s="4">
        <f>IF($W750="","",COUNTIFS(상세표[사번키],INDEX(합계표[사번키],$W750),상세표[반영월],대상월키,상세표[야간당직],1,상세표[야간 구분],"휴일"))</f>
        <v/>
      </c>
      <c r="T750">
        <f>IF($W750="","",COUNTIFS(상세표[사번키],INDEX(합계표[사번키],$W750),상세표[반영월],대상월키,상세표[야간당직],1,상세표[야간 구분],"평일",상세표[반영 기관],"서울병원"))</f>
        <v/>
      </c>
      <c r="U750">
        <f>IF($W750="","",COUNTIFS(상세표[사번키],INDEX(합계표[사번키],$W750),상세표[반영월],대상월키,상세표[야간당직],1,상세표[야간 구분],"휴일",상세표[반영 기관],"서울병원"))</f>
        <v/>
      </c>
      <c r="V750">
        <f>IF($W750="","",IF(ISNUMBER(MATCH(INDEX(합계표[사번키],$W750)&amp;"|"&amp;대상월키,월별근무지표[키],0)),"직접 입력",IF($K750="—","—","기관명단")))</f>
        <v/>
      </c>
      <c r="W750">
        <f>IFERROR(MATCH(745,합계표[판정순번],0),"")</f>
        <v/>
      </c>
    </row>
    <row r="751">
      <c r="A751">
        <f>IF($W751="","",INDEX(합계표[사번],$W751)&amp;"")</f>
        <v/>
      </c>
      <c r="B751">
        <f>IF($W751="","",INDEX(합계표[성명],$W751)&amp;"")</f>
        <v/>
      </c>
      <c r="C751">
        <f>IF($W751="","",INDEX(합계표[부서],$W751)&amp;"")</f>
        <v/>
      </c>
      <c r="D751">
        <f>IF($W751="","",INDEX(합계표[직위(통합)],$W751)&amp;"")</f>
        <v/>
      </c>
      <c r="E751">
        <f>IF($W751="","",SUMIFS(합계표[시스템 합계],합계표[사번키],INDEX(합계표[사번키],$W751)))</f>
        <v/>
      </c>
      <c r="F751">
        <f>IF($W751="","",SUMIFS(상세표[기록 시간외],상세표[사번키],INDEX(합계표[사번키],$W751),상세표[기록월],대상월키))</f>
        <v/>
      </c>
      <c r="G751">
        <f>IF($W751="","",IF(ABS($E751-$F751)&lt;0.01,"일치","불일치(차이 "&amp;TEXT($F751-$E751,"0.00")&amp;")"))</f>
        <v/>
      </c>
      <c r="H751">
        <f>IF($W751="","",SUMIFS(상세표[기록 시간외],상세표[사번키],INDEX(합계표[사번키],$W751),상세표[기록월],대상월키,상세표[반영월],"&lt;&gt;"&amp;대상월키))</f>
        <v/>
      </c>
      <c r="I751">
        <f>IF($W751="","",SUMIFS(상세표[기록 시간외],상세표[사번키],INDEX(합계표[사번키],$W751),상세표[기록월],"&lt;&gt;"&amp;대상월키,상세표[반영월],대상월키))</f>
        <v/>
      </c>
      <c r="J751">
        <f>IF($W751="","",SUMIFS(상세표[기록 시간외],상세표[사번키],INDEX(합계표[사번키],$W751),상세표[반영월],대상월키))</f>
        <v/>
      </c>
      <c r="K751">
        <f>IF($W751="","",IFERROR(INDEX(월별근무지표[적용 급여병원],MATCH(INDEX(합계표[사번키],$W751)&amp;"|"&amp;대상월키,월별근무지표[키],0))&amp;"",IF(COUNTIF(기관표[사번키],INDEX(합계표[사번키],$W751))+COUNTIF(월별근무지표[사번키],INDEX(합계표[사번키],$W751))&gt;0,IFERROR(INDEX(기관표[급여지급병원(기준월)],MATCH(INDEX(합계표[사번키],$W751)&amp;"|"&amp;대상월키,기관표[키],0))&amp;"","—"),"—")))</f>
        <v/>
      </c>
      <c r="L751">
        <f>IF($W751="","",IF(NOT(COUNTIF(기관표[사번키],INDEX(합계표[사번키],$W751))+COUNTIF(월별근무지표[사번키],INDEX(합계표[사번키],$W751))&gt;0),"기관명단에 없음(다른 병원으로 발송)",IF($K751="—","대상월 기관명단 없음(추가 필요)",IF($K751="서울병원","해당","비해당"))))</f>
        <v/>
      </c>
      <c r="M751">
        <f>IF($W751="","",SUMIFS(상세표[06~07시],상세표[사번키],INDEX(합계표[사번키],$W751),상세표[반영월],대상월키,상세표[반영 기관],"서울병원"))</f>
        <v/>
      </c>
      <c r="N751">
        <f>IF($W751="","",SUMIFS(상세표[07~18시],상세표[사번키],INDEX(합계표[사번키],$W751),상세표[반영월],대상월키,상세표[반영 기관],"서울병원"))</f>
        <v/>
      </c>
      <c r="O751">
        <f>IF($W751="","",SUMIFS(상세표[18~22시],상세표[사번키],INDEX(합계표[사번키],$W751),상세표[반영월],대상월키,상세표[반영 기관],"서울병원"))</f>
        <v/>
      </c>
      <c r="P751">
        <f>IF($W751="","",SUMIFS(상세표[22~06시],상세표[사번키],INDEX(합계표[사번키],$W751),상세표[반영월],대상월키,상세표[반영 기관],"서울병원"))</f>
        <v/>
      </c>
      <c r="Q751">
        <f>IF($W751="","",SUM($M751:$P751))</f>
        <v/>
      </c>
      <c r="R751">
        <f>IF($W751="","",COUNTIFS(상세표[사번키],INDEX(합계표[사번키],$W751),상세표[반영월],대상월키,상세표[야간당직],1,상세표[야간 구분],"평일"))</f>
        <v/>
      </c>
      <c r="S751" s="4">
        <f>IF($W751="","",COUNTIFS(상세표[사번키],INDEX(합계표[사번키],$W751),상세표[반영월],대상월키,상세표[야간당직],1,상세표[야간 구분],"휴일"))</f>
        <v/>
      </c>
      <c r="T751">
        <f>IF($W751="","",COUNTIFS(상세표[사번키],INDEX(합계표[사번키],$W751),상세표[반영월],대상월키,상세표[야간당직],1,상세표[야간 구분],"평일",상세표[반영 기관],"서울병원"))</f>
        <v/>
      </c>
      <c r="U751">
        <f>IF($W751="","",COUNTIFS(상세표[사번키],INDEX(합계표[사번키],$W751),상세표[반영월],대상월키,상세표[야간당직],1,상세표[야간 구분],"휴일",상세표[반영 기관],"서울병원"))</f>
        <v/>
      </c>
      <c r="V751">
        <f>IF($W751="","",IF(ISNUMBER(MATCH(INDEX(합계표[사번키],$W751)&amp;"|"&amp;대상월키,월별근무지표[키],0)),"직접 입력",IF($K751="—","—","기관명단")))</f>
        <v/>
      </c>
      <c r="W751">
        <f>IFERROR(MATCH(746,합계표[판정순번],0),"")</f>
        <v/>
      </c>
    </row>
    <row r="752">
      <c r="A752">
        <f>IF($W752="","",INDEX(합계표[사번],$W752)&amp;"")</f>
        <v/>
      </c>
      <c r="B752">
        <f>IF($W752="","",INDEX(합계표[성명],$W752)&amp;"")</f>
        <v/>
      </c>
      <c r="C752">
        <f>IF($W752="","",INDEX(합계표[부서],$W752)&amp;"")</f>
        <v/>
      </c>
      <c r="D752">
        <f>IF($W752="","",INDEX(합계표[직위(통합)],$W752)&amp;"")</f>
        <v/>
      </c>
      <c r="E752">
        <f>IF($W752="","",SUMIFS(합계표[시스템 합계],합계표[사번키],INDEX(합계표[사번키],$W752)))</f>
        <v/>
      </c>
      <c r="F752">
        <f>IF($W752="","",SUMIFS(상세표[기록 시간외],상세표[사번키],INDEX(합계표[사번키],$W752),상세표[기록월],대상월키))</f>
        <v/>
      </c>
      <c r="G752">
        <f>IF($W752="","",IF(ABS($E752-$F752)&lt;0.01,"일치","불일치(차이 "&amp;TEXT($F752-$E752,"0.00")&amp;")"))</f>
        <v/>
      </c>
      <c r="H752">
        <f>IF($W752="","",SUMIFS(상세표[기록 시간외],상세표[사번키],INDEX(합계표[사번키],$W752),상세표[기록월],대상월키,상세표[반영월],"&lt;&gt;"&amp;대상월키))</f>
        <v/>
      </c>
      <c r="I752">
        <f>IF($W752="","",SUMIFS(상세표[기록 시간외],상세표[사번키],INDEX(합계표[사번키],$W752),상세표[기록월],"&lt;&gt;"&amp;대상월키,상세표[반영월],대상월키))</f>
        <v/>
      </c>
      <c r="J752">
        <f>IF($W752="","",SUMIFS(상세표[기록 시간외],상세표[사번키],INDEX(합계표[사번키],$W752),상세표[반영월],대상월키))</f>
        <v/>
      </c>
      <c r="K752">
        <f>IF($W752="","",IFERROR(INDEX(월별근무지표[적용 급여병원],MATCH(INDEX(합계표[사번키],$W752)&amp;"|"&amp;대상월키,월별근무지표[키],0))&amp;"",IF(COUNTIF(기관표[사번키],INDEX(합계표[사번키],$W752))+COUNTIF(월별근무지표[사번키],INDEX(합계표[사번키],$W752))&gt;0,IFERROR(INDEX(기관표[급여지급병원(기준월)],MATCH(INDEX(합계표[사번키],$W752)&amp;"|"&amp;대상월키,기관표[키],0))&amp;"","—"),"—")))</f>
        <v/>
      </c>
      <c r="L752">
        <f>IF($W752="","",IF(NOT(COUNTIF(기관표[사번키],INDEX(합계표[사번키],$W752))+COUNTIF(월별근무지표[사번키],INDEX(합계표[사번키],$W752))&gt;0),"기관명단에 없음(다른 병원으로 발송)",IF($K752="—","대상월 기관명단 없음(추가 필요)",IF($K752="서울병원","해당","비해당"))))</f>
        <v/>
      </c>
      <c r="M752">
        <f>IF($W752="","",SUMIFS(상세표[06~07시],상세표[사번키],INDEX(합계표[사번키],$W752),상세표[반영월],대상월키,상세표[반영 기관],"서울병원"))</f>
        <v/>
      </c>
      <c r="N752">
        <f>IF($W752="","",SUMIFS(상세표[07~18시],상세표[사번키],INDEX(합계표[사번키],$W752),상세표[반영월],대상월키,상세표[반영 기관],"서울병원"))</f>
        <v/>
      </c>
      <c r="O752">
        <f>IF($W752="","",SUMIFS(상세표[18~22시],상세표[사번키],INDEX(합계표[사번키],$W752),상세표[반영월],대상월키,상세표[반영 기관],"서울병원"))</f>
        <v/>
      </c>
      <c r="P752">
        <f>IF($W752="","",SUMIFS(상세표[22~06시],상세표[사번키],INDEX(합계표[사번키],$W752),상세표[반영월],대상월키,상세표[반영 기관],"서울병원"))</f>
        <v/>
      </c>
      <c r="Q752">
        <f>IF($W752="","",SUM($M752:$P752))</f>
        <v/>
      </c>
      <c r="R752">
        <f>IF($W752="","",COUNTIFS(상세표[사번키],INDEX(합계표[사번키],$W752),상세표[반영월],대상월키,상세표[야간당직],1,상세표[야간 구분],"평일"))</f>
        <v/>
      </c>
      <c r="S752" s="4">
        <f>IF($W752="","",COUNTIFS(상세표[사번키],INDEX(합계표[사번키],$W752),상세표[반영월],대상월키,상세표[야간당직],1,상세표[야간 구분],"휴일"))</f>
        <v/>
      </c>
      <c r="T752">
        <f>IF($W752="","",COUNTIFS(상세표[사번키],INDEX(합계표[사번키],$W752),상세표[반영월],대상월키,상세표[야간당직],1,상세표[야간 구분],"평일",상세표[반영 기관],"서울병원"))</f>
        <v/>
      </c>
      <c r="U752">
        <f>IF($W752="","",COUNTIFS(상세표[사번키],INDEX(합계표[사번키],$W752),상세표[반영월],대상월키,상세표[야간당직],1,상세표[야간 구분],"휴일",상세표[반영 기관],"서울병원"))</f>
        <v/>
      </c>
      <c r="V752">
        <f>IF($W752="","",IF(ISNUMBER(MATCH(INDEX(합계표[사번키],$W752)&amp;"|"&amp;대상월키,월별근무지표[키],0)),"직접 입력",IF($K752="—","—","기관명단")))</f>
        <v/>
      </c>
      <c r="W752">
        <f>IFERROR(MATCH(747,합계표[판정순번],0),"")</f>
        <v/>
      </c>
    </row>
    <row r="753">
      <c r="A753">
        <f>IF($W753="","",INDEX(합계표[사번],$W753)&amp;"")</f>
        <v/>
      </c>
      <c r="B753">
        <f>IF($W753="","",INDEX(합계표[성명],$W753)&amp;"")</f>
        <v/>
      </c>
      <c r="C753">
        <f>IF($W753="","",INDEX(합계표[부서],$W753)&amp;"")</f>
        <v/>
      </c>
      <c r="D753">
        <f>IF($W753="","",INDEX(합계표[직위(통합)],$W753)&amp;"")</f>
        <v/>
      </c>
      <c r="E753">
        <f>IF($W753="","",SUMIFS(합계표[시스템 합계],합계표[사번키],INDEX(합계표[사번키],$W753)))</f>
        <v/>
      </c>
      <c r="F753">
        <f>IF($W753="","",SUMIFS(상세표[기록 시간외],상세표[사번키],INDEX(합계표[사번키],$W753),상세표[기록월],대상월키))</f>
        <v/>
      </c>
      <c r="G753">
        <f>IF($W753="","",IF(ABS($E753-$F753)&lt;0.01,"일치","불일치(차이 "&amp;TEXT($F753-$E753,"0.00")&amp;")"))</f>
        <v/>
      </c>
      <c r="H753">
        <f>IF($W753="","",SUMIFS(상세표[기록 시간외],상세표[사번키],INDEX(합계표[사번키],$W753),상세표[기록월],대상월키,상세표[반영월],"&lt;&gt;"&amp;대상월키))</f>
        <v/>
      </c>
      <c r="I753">
        <f>IF($W753="","",SUMIFS(상세표[기록 시간외],상세표[사번키],INDEX(합계표[사번키],$W753),상세표[기록월],"&lt;&gt;"&amp;대상월키,상세표[반영월],대상월키))</f>
        <v/>
      </c>
      <c r="J753">
        <f>IF($W753="","",SUMIFS(상세표[기록 시간외],상세표[사번키],INDEX(합계표[사번키],$W753),상세표[반영월],대상월키))</f>
        <v/>
      </c>
      <c r="K753">
        <f>IF($W753="","",IFERROR(INDEX(월별근무지표[적용 급여병원],MATCH(INDEX(합계표[사번키],$W753)&amp;"|"&amp;대상월키,월별근무지표[키],0))&amp;"",IF(COUNTIF(기관표[사번키],INDEX(합계표[사번키],$W753))+COUNTIF(월별근무지표[사번키],INDEX(합계표[사번키],$W753))&gt;0,IFERROR(INDEX(기관표[급여지급병원(기준월)],MATCH(INDEX(합계표[사번키],$W753)&amp;"|"&amp;대상월키,기관표[키],0))&amp;"","—"),"—")))</f>
        <v/>
      </c>
      <c r="L753">
        <f>IF($W753="","",IF(NOT(COUNTIF(기관표[사번키],INDEX(합계표[사번키],$W753))+COUNTIF(월별근무지표[사번키],INDEX(합계표[사번키],$W753))&gt;0),"기관명단에 없음(다른 병원으로 발송)",IF($K753="—","대상월 기관명단 없음(추가 필요)",IF($K753="서울병원","해당","비해당"))))</f>
        <v/>
      </c>
      <c r="M753">
        <f>IF($W753="","",SUMIFS(상세표[06~07시],상세표[사번키],INDEX(합계표[사번키],$W753),상세표[반영월],대상월키,상세표[반영 기관],"서울병원"))</f>
        <v/>
      </c>
      <c r="N753">
        <f>IF($W753="","",SUMIFS(상세표[07~18시],상세표[사번키],INDEX(합계표[사번키],$W753),상세표[반영월],대상월키,상세표[반영 기관],"서울병원"))</f>
        <v/>
      </c>
      <c r="O753">
        <f>IF($W753="","",SUMIFS(상세표[18~22시],상세표[사번키],INDEX(합계표[사번키],$W753),상세표[반영월],대상월키,상세표[반영 기관],"서울병원"))</f>
        <v/>
      </c>
      <c r="P753">
        <f>IF($W753="","",SUMIFS(상세표[22~06시],상세표[사번키],INDEX(합계표[사번키],$W753),상세표[반영월],대상월키,상세표[반영 기관],"서울병원"))</f>
        <v/>
      </c>
      <c r="Q753">
        <f>IF($W753="","",SUM($M753:$P753))</f>
        <v/>
      </c>
      <c r="R753">
        <f>IF($W753="","",COUNTIFS(상세표[사번키],INDEX(합계표[사번키],$W753),상세표[반영월],대상월키,상세표[야간당직],1,상세표[야간 구분],"평일"))</f>
        <v/>
      </c>
      <c r="S753" s="4">
        <f>IF($W753="","",COUNTIFS(상세표[사번키],INDEX(합계표[사번키],$W753),상세표[반영월],대상월키,상세표[야간당직],1,상세표[야간 구분],"휴일"))</f>
        <v/>
      </c>
      <c r="T753">
        <f>IF($W753="","",COUNTIFS(상세표[사번키],INDEX(합계표[사번키],$W753),상세표[반영월],대상월키,상세표[야간당직],1,상세표[야간 구분],"평일",상세표[반영 기관],"서울병원"))</f>
        <v/>
      </c>
      <c r="U753">
        <f>IF($W753="","",COUNTIFS(상세표[사번키],INDEX(합계표[사번키],$W753),상세표[반영월],대상월키,상세표[야간당직],1,상세표[야간 구분],"휴일",상세표[반영 기관],"서울병원"))</f>
        <v/>
      </c>
      <c r="V753">
        <f>IF($W753="","",IF(ISNUMBER(MATCH(INDEX(합계표[사번키],$W753)&amp;"|"&amp;대상월키,월별근무지표[키],0)),"직접 입력",IF($K753="—","—","기관명단")))</f>
        <v/>
      </c>
      <c r="W753">
        <f>IFERROR(MATCH(748,합계표[판정순번],0),"")</f>
        <v/>
      </c>
    </row>
    <row r="754">
      <c r="A754">
        <f>IF($W754="","",INDEX(합계표[사번],$W754)&amp;"")</f>
        <v/>
      </c>
      <c r="B754">
        <f>IF($W754="","",INDEX(합계표[성명],$W754)&amp;"")</f>
        <v/>
      </c>
      <c r="C754">
        <f>IF($W754="","",INDEX(합계표[부서],$W754)&amp;"")</f>
        <v/>
      </c>
      <c r="D754">
        <f>IF($W754="","",INDEX(합계표[직위(통합)],$W754)&amp;"")</f>
        <v/>
      </c>
      <c r="E754">
        <f>IF($W754="","",SUMIFS(합계표[시스템 합계],합계표[사번키],INDEX(합계표[사번키],$W754)))</f>
        <v/>
      </c>
      <c r="F754">
        <f>IF($W754="","",SUMIFS(상세표[기록 시간외],상세표[사번키],INDEX(합계표[사번키],$W754),상세표[기록월],대상월키))</f>
        <v/>
      </c>
      <c r="G754">
        <f>IF($W754="","",IF(ABS($E754-$F754)&lt;0.01,"일치","불일치(차이 "&amp;TEXT($F754-$E754,"0.00")&amp;")"))</f>
        <v/>
      </c>
      <c r="H754">
        <f>IF($W754="","",SUMIFS(상세표[기록 시간외],상세표[사번키],INDEX(합계표[사번키],$W754),상세표[기록월],대상월키,상세표[반영월],"&lt;&gt;"&amp;대상월키))</f>
        <v/>
      </c>
      <c r="I754">
        <f>IF($W754="","",SUMIFS(상세표[기록 시간외],상세표[사번키],INDEX(합계표[사번키],$W754),상세표[기록월],"&lt;&gt;"&amp;대상월키,상세표[반영월],대상월키))</f>
        <v/>
      </c>
      <c r="J754">
        <f>IF($W754="","",SUMIFS(상세표[기록 시간외],상세표[사번키],INDEX(합계표[사번키],$W754),상세표[반영월],대상월키))</f>
        <v/>
      </c>
      <c r="K754">
        <f>IF($W754="","",IFERROR(INDEX(월별근무지표[적용 급여병원],MATCH(INDEX(합계표[사번키],$W754)&amp;"|"&amp;대상월키,월별근무지표[키],0))&amp;"",IF(COUNTIF(기관표[사번키],INDEX(합계표[사번키],$W754))+COUNTIF(월별근무지표[사번키],INDEX(합계표[사번키],$W754))&gt;0,IFERROR(INDEX(기관표[급여지급병원(기준월)],MATCH(INDEX(합계표[사번키],$W754)&amp;"|"&amp;대상월키,기관표[키],0))&amp;"","—"),"—")))</f>
        <v/>
      </c>
      <c r="L754">
        <f>IF($W754="","",IF(NOT(COUNTIF(기관표[사번키],INDEX(합계표[사번키],$W754))+COUNTIF(월별근무지표[사번키],INDEX(합계표[사번키],$W754))&gt;0),"기관명단에 없음(다른 병원으로 발송)",IF($K754="—","대상월 기관명단 없음(추가 필요)",IF($K754="서울병원","해당","비해당"))))</f>
        <v/>
      </c>
      <c r="M754">
        <f>IF($W754="","",SUMIFS(상세표[06~07시],상세표[사번키],INDEX(합계표[사번키],$W754),상세표[반영월],대상월키,상세표[반영 기관],"서울병원"))</f>
        <v/>
      </c>
      <c r="N754">
        <f>IF($W754="","",SUMIFS(상세표[07~18시],상세표[사번키],INDEX(합계표[사번키],$W754),상세표[반영월],대상월키,상세표[반영 기관],"서울병원"))</f>
        <v/>
      </c>
      <c r="O754">
        <f>IF($W754="","",SUMIFS(상세표[18~22시],상세표[사번키],INDEX(합계표[사번키],$W754),상세표[반영월],대상월키,상세표[반영 기관],"서울병원"))</f>
        <v/>
      </c>
      <c r="P754">
        <f>IF($W754="","",SUMIFS(상세표[22~06시],상세표[사번키],INDEX(합계표[사번키],$W754),상세표[반영월],대상월키,상세표[반영 기관],"서울병원"))</f>
        <v/>
      </c>
      <c r="Q754">
        <f>IF($W754="","",SUM($M754:$P754))</f>
        <v/>
      </c>
      <c r="R754">
        <f>IF($W754="","",COUNTIFS(상세표[사번키],INDEX(합계표[사번키],$W754),상세표[반영월],대상월키,상세표[야간당직],1,상세표[야간 구분],"평일"))</f>
        <v/>
      </c>
      <c r="S754" s="4">
        <f>IF($W754="","",COUNTIFS(상세표[사번키],INDEX(합계표[사번키],$W754),상세표[반영월],대상월키,상세표[야간당직],1,상세표[야간 구분],"휴일"))</f>
        <v/>
      </c>
      <c r="T754">
        <f>IF($W754="","",COUNTIFS(상세표[사번키],INDEX(합계표[사번키],$W754),상세표[반영월],대상월키,상세표[야간당직],1,상세표[야간 구분],"평일",상세표[반영 기관],"서울병원"))</f>
        <v/>
      </c>
      <c r="U754">
        <f>IF($W754="","",COUNTIFS(상세표[사번키],INDEX(합계표[사번키],$W754),상세표[반영월],대상월키,상세표[야간당직],1,상세표[야간 구분],"휴일",상세표[반영 기관],"서울병원"))</f>
        <v/>
      </c>
      <c r="V754">
        <f>IF($W754="","",IF(ISNUMBER(MATCH(INDEX(합계표[사번키],$W754)&amp;"|"&amp;대상월키,월별근무지표[키],0)),"직접 입력",IF($K754="—","—","기관명단")))</f>
        <v/>
      </c>
      <c r="W754">
        <f>IFERROR(MATCH(749,합계표[판정순번],0),"")</f>
        <v/>
      </c>
    </row>
    <row r="755">
      <c r="A755">
        <f>IF($W755="","",INDEX(합계표[사번],$W755)&amp;"")</f>
        <v/>
      </c>
      <c r="B755">
        <f>IF($W755="","",INDEX(합계표[성명],$W755)&amp;"")</f>
        <v/>
      </c>
      <c r="C755">
        <f>IF($W755="","",INDEX(합계표[부서],$W755)&amp;"")</f>
        <v/>
      </c>
      <c r="D755">
        <f>IF($W755="","",INDEX(합계표[직위(통합)],$W755)&amp;"")</f>
        <v/>
      </c>
      <c r="E755">
        <f>IF($W755="","",SUMIFS(합계표[시스템 합계],합계표[사번키],INDEX(합계표[사번키],$W755)))</f>
        <v/>
      </c>
      <c r="F755">
        <f>IF($W755="","",SUMIFS(상세표[기록 시간외],상세표[사번키],INDEX(합계표[사번키],$W755),상세표[기록월],대상월키))</f>
        <v/>
      </c>
      <c r="G755">
        <f>IF($W755="","",IF(ABS($E755-$F755)&lt;0.01,"일치","불일치(차이 "&amp;TEXT($F755-$E755,"0.00")&amp;")"))</f>
        <v/>
      </c>
      <c r="H755">
        <f>IF($W755="","",SUMIFS(상세표[기록 시간외],상세표[사번키],INDEX(합계표[사번키],$W755),상세표[기록월],대상월키,상세표[반영월],"&lt;&gt;"&amp;대상월키))</f>
        <v/>
      </c>
      <c r="I755">
        <f>IF($W755="","",SUMIFS(상세표[기록 시간외],상세표[사번키],INDEX(합계표[사번키],$W755),상세표[기록월],"&lt;&gt;"&amp;대상월키,상세표[반영월],대상월키))</f>
        <v/>
      </c>
      <c r="J755">
        <f>IF($W755="","",SUMIFS(상세표[기록 시간외],상세표[사번키],INDEX(합계표[사번키],$W755),상세표[반영월],대상월키))</f>
        <v/>
      </c>
      <c r="K755">
        <f>IF($W755="","",IFERROR(INDEX(월별근무지표[적용 급여병원],MATCH(INDEX(합계표[사번키],$W755)&amp;"|"&amp;대상월키,월별근무지표[키],0))&amp;"",IF(COUNTIF(기관표[사번키],INDEX(합계표[사번키],$W755))+COUNTIF(월별근무지표[사번키],INDEX(합계표[사번키],$W755))&gt;0,IFERROR(INDEX(기관표[급여지급병원(기준월)],MATCH(INDEX(합계표[사번키],$W755)&amp;"|"&amp;대상월키,기관표[키],0))&amp;"","—"),"—")))</f>
        <v/>
      </c>
      <c r="L755">
        <f>IF($W755="","",IF(NOT(COUNTIF(기관표[사번키],INDEX(합계표[사번키],$W755))+COUNTIF(월별근무지표[사번키],INDEX(합계표[사번키],$W755))&gt;0),"기관명단에 없음(다른 병원으로 발송)",IF($K755="—","대상월 기관명단 없음(추가 필요)",IF($K755="서울병원","해당","비해당"))))</f>
        <v/>
      </c>
      <c r="M755">
        <f>IF($W755="","",SUMIFS(상세표[06~07시],상세표[사번키],INDEX(합계표[사번키],$W755),상세표[반영월],대상월키,상세표[반영 기관],"서울병원"))</f>
        <v/>
      </c>
      <c r="N755">
        <f>IF($W755="","",SUMIFS(상세표[07~18시],상세표[사번키],INDEX(합계표[사번키],$W755),상세표[반영월],대상월키,상세표[반영 기관],"서울병원"))</f>
        <v/>
      </c>
      <c r="O755">
        <f>IF($W755="","",SUMIFS(상세표[18~22시],상세표[사번키],INDEX(합계표[사번키],$W755),상세표[반영월],대상월키,상세표[반영 기관],"서울병원"))</f>
        <v/>
      </c>
      <c r="P755">
        <f>IF($W755="","",SUMIFS(상세표[22~06시],상세표[사번키],INDEX(합계표[사번키],$W755),상세표[반영월],대상월키,상세표[반영 기관],"서울병원"))</f>
        <v/>
      </c>
      <c r="Q755">
        <f>IF($W755="","",SUM($M755:$P755))</f>
        <v/>
      </c>
      <c r="R755">
        <f>IF($W755="","",COUNTIFS(상세표[사번키],INDEX(합계표[사번키],$W755),상세표[반영월],대상월키,상세표[야간당직],1,상세표[야간 구분],"평일"))</f>
        <v/>
      </c>
      <c r="S755" s="4">
        <f>IF($W755="","",COUNTIFS(상세표[사번키],INDEX(합계표[사번키],$W755),상세표[반영월],대상월키,상세표[야간당직],1,상세표[야간 구분],"휴일"))</f>
        <v/>
      </c>
      <c r="T755">
        <f>IF($W755="","",COUNTIFS(상세표[사번키],INDEX(합계표[사번키],$W755),상세표[반영월],대상월키,상세표[야간당직],1,상세표[야간 구분],"평일",상세표[반영 기관],"서울병원"))</f>
        <v/>
      </c>
      <c r="U755">
        <f>IF($W755="","",COUNTIFS(상세표[사번키],INDEX(합계표[사번키],$W755),상세표[반영월],대상월키,상세표[야간당직],1,상세표[야간 구분],"휴일",상세표[반영 기관],"서울병원"))</f>
        <v/>
      </c>
      <c r="V755">
        <f>IF($W755="","",IF(ISNUMBER(MATCH(INDEX(합계표[사번키],$W755)&amp;"|"&amp;대상월키,월별근무지표[키],0)),"직접 입력",IF($K755="—","—","기관명단")))</f>
        <v/>
      </c>
      <c r="W755">
        <f>IFERROR(MATCH(750,합계표[판정순번],0),"")</f>
        <v/>
      </c>
    </row>
    <row r="756">
      <c r="A756">
        <f>IF($W756="","",INDEX(합계표[사번],$W756)&amp;"")</f>
        <v/>
      </c>
      <c r="B756">
        <f>IF($W756="","",INDEX(합계표[성명],$W756)&amp;"")</f>
        <v/>
      </c>
      <c r="C756">
        <f>IF($W756="","",INDEX(합계표[부서],$W756)&amp;"")</f>
        <v/>
      </c>
      <c r="D756">
        <f>IF($W756="","",INDEX(합계표[직위(통합)],$W756)&amp;"")</f>
        <v/>
      </c>
      <c r="E756">
        <f>IF($W756="","",SUMIFS(합계표[시스템 합계],합계표[사번키],INDEX(합계표[사번키],$W756)))</f>
        <v/>
      </c>
      <c r="F756">
        <f>IF($W756="","",SUMIFS(상세표[기록 시간외],상세표[사번키],INDEX(합계표[사번키],$W756),상세표[기록월],대상월키))</f>
        <v/>
      </c>
      <c r="G756">
        <f>IF($W756="","",IF(ABS($E756-$F756)&lt;0.01,"일치","불일치(차이 "&amp;TEXT($F756-$E756,"0.00")&amp;")"))</f>
        <v/>
      </c>
      <c r="H756">
        <f>IF($W756="","",SUMIFS(상세표[기록 시간외],상세표[사번키],INDEX(합계표[사번키],$W756),상세표[기록월],대상월키,상세표[반영월],"&lt;&gt;"&amp;대상월키))</f>
        <v/>
      </c>
      <c r="I756">
        <f>IF($W756="","",SUMIFS(상세표[기록 시간외],상세표[사번키],INDEX(합계표[사번키],$W756),상세표[기록월],"&lt;&gt;"&amp;대상월키,상세표[반영월],대상월키))</f>
        <v/>
      </c>
      <c r="J756">
        <f>IF($W756="","",SUMIFS(상세표[기록 시간외],상세표[사번키],INDEX(합계표[사번키],$W756),상세표[반영월],대상월키))</f>
        <v/>
      </c>
      <c r="K756">
        <f>IF($W756="","",IFERROR(INDEX(월별근무지표[적용 급여병원],MATCH(INDEX(합계표[사번키],$W756)&amp;"|"&amp;대상월키,월별근무지표[키],0))&amp;"",IF(COUNTIF(기관표[사번키],INDEX(합계표[사번키],$W756))+COUNTIF(월별근무지표[사번키],INDEX(합계표[사번키],$W756))&gt;0,IFERROR(INDEX(기관표[급여지급병원(기준월)],MATCH(INDEX(합계표[사번키],$W756)&amp;"|"&amp;대상월키,기관표[키],0))&amp;"","—"),"—")))</f>
        <v/>
      </c>
      <c r="L756">
        <f>IF($W756="","",IF(NOT(COUNTIF(기관표[사번키],INDEX(합계표[사번키],$W756))+COUNTIF(월별근무지표[사번키],INDEX(합계표[사번키],$W756))&gt;0),"기관명단에 없음(다른 병원으로 발송)",IF($K756="—","대상월 기관명단 없음(추가 필요)",IF($K756="서울병원","해당","비해당"))))</f>
        <v/>
      </c>
      <c r="M756">
        <f>IF($W756="","",SUMIFS(상세표[06~07시],상세표[사번키],INDEX(합계표[사번키],$W756),상세표[반영월],대상월키,상세표[반영 기관],"서울병원"))</f>
        <v/>
      </c>
      <c r="N756">
        <f>IF($W756="","",SUMIFS(상세표[07~18시],상세표[사번키],INDEX(합계표[사번키],$W756),상세표[반영월],대상월키,상세표[반영 기관],"서울병원"))</f>
        <v/>
      </c>
      <c r="O756">
        <f>IF($W756="","",SUMIFS(상세표[18~22시],상세표[사번키],INDEX(합계표[사번키],$W756),상세표[반영월],대상월키,상세표[반영 기관],"서울병원"))</f>
        <v/>
      </c>
      <c r="P756">
        <f>IF($W756="","",SUMIFS(상세표[22~06시],상세표[사번키],INDEX(합계표[사번키],$W756),상세표[반영월],대상월키,상세표[반영 기관],"서울병원"))</f>
        <v/>
      </c>
      <c r="Q756">
        <f>IF($W756="","",SUM($M756:$P756))</f>
        <v/>
      </c>
      <c r="R756">
        <f>IF($W756="","",COUNTIFS(상세표[사번키],INDEX(합계표[사번키],$W756),상세표[반영월],대상월키,상세표[야간당직],1,상세표[야간 구분],"평일"))</f>
        <v/>
      </c>
      <c r="S756" s="4">
        <f>IF($W756="","",COUNTIFS(상세표[사번키],INDEX(합계표[사번키],$W756),상세표[반영월],대상월키,상세표[야간당직],1,상세표[야간 구분],"휴일"))</f>
        <v/>
      </c>
      <c r="T756">
        <f>IF($W756="","",COUNTIFS(상세표[사번키],INDEX(합계표[사번키],$W756),상세표[반영월],대상월키,상세표[야간당직],1,상세표[야간 구분],"평일",상세표[반영 기관],"서울병원"))</f>
        <v/>
      </c>
      <c r="U756">
        <f>IF($W756="","",COUNTIFS(상세표[사번키],INDEX(합계표[사번키],$W756),상세표[반영월],대상월키,상세표[야간당직],1,상세표[야간 구분],"휴일",상세표[반영 기관],"서울병원"))</f>
        <v/>
      </c>
      <c r="V756">
        <f>IF($W756="","",IF(ISNUMBER(MATCH(INDEX(합계표[사번키],$W756)&amp;"|"&amp;대상월키,월별근무지표[키],0)),"직접 입력",IF($K756="—","—","기관명단")))</f>
        <v/>
      </c>
      <c r="W756">
        <f>IFERROR(MATCH(751,합계표[판정순번],0),"")</f>
        <v/>
      </c>
    </row>
    <row r="757">
      <c r="A757">
        <f>IF($W757="","",INDEX(합계표[사번],$W757)&amp;"")</f>
        <v/>
      </c>
      <c r="B757">
        <f>IF($W757="","",INDEX(합계표[성명],$W757)&amp;"")</f>
        <v/>
      </c>
      <c r="C757">
        <f>IF($W757="","",INDEX(합계표[부서],$W757)&amp;"")</f>
        <v/>
      </c>
      <c r="D757">
        <f>IF($W757="","",INDEX(합계표[직위(통합)],$W757)&amp;"")</f>
        <v/>
      </c>
      <c r="E757">
        <f>IF($W757="","",SUMIFS(합계표[시스템 합계],합계표[사번키],INDEX(합계표[사번키],$W757)))</f>
        <v/>
      </c>
      <c r="F757">
        <f>IF($W757="","",SUMIFS(상세표[기록 시간외],상세표[사번키],INDEX(합계표[사번키],$W757),상세표[기록월],대상월키))</f>
        <v/>
      </c>
      <c r="G757">
        <f>IF($W757="","",IF(ABS($E757-$F757)&lt;0.01,"일치","불일치(차이 "&amp;TEXT($F757-$E757,"0.00")&amp;")"))</f>
        <v/>
      </c>
      <c r="H757">
        <f>IF($W757="","",SUMIFS(상세표[기록 시간외],상세표[사번키],INDEX(합계표[사번키],$W757),상세표[기록월],대상월키,상세표[반영월],"&lt;&gt;"&amp;대상월키))</f>
        <v/>
      </c>
      <c r="I757">
        <f>IF($W757="","",SUMIFS(상세표[기록 시간외],상세표[사번키],INDEX(합계표[사번키],$W757),상세표[기록월],"&lt;&gt;"&amp;대상월키,상세표[반영월],대상월키))</f>
        <v/>
      </c>
      <c r="J757">
        <f>IF($W757="","",SUMIFS(상세표[기록 시간외],상세표[사번키],INDEX(합계표[사번키],$W757),상세표[반영월],대상월키))</f>
        <v/>
      </c>
      <c r="K757">
        <f>IF($W757="","",IFERROR(INDEX(월별근무지표[적용 급여병원],MATCH(INDEX(합계표[사번키],$W757)&amp;"|"&amp;대상월키,월별근무지표[키],0))&amp;"",IF(COUNTIF(기관표[사번키],INDEX(합계표[사번키],$W757))+COUNTIF(월별근무지표[사번키],INDEX(합계표[사번키],$W757))&gt;0,IFERROR(INDEX(기관표[급여지급병원(기준월)],MATCH(INDEX(합계표[사번키],$W757)&amp;"|"&amp;대상월키,기관표[키],0))&amp;"","—"),"—")))</f>
        <v/>
      </c>
      <c r="L757">
        <f>IF($W757="","",IF(NOT(COUNTIF(기관표[사번키],INDEX(합계표[사번키],$W757))+COUNTIF(월별근무지표[사번키],INDEX(합계표[사번키],$W757))&gt;0),"기관명단에 없음(다른 병원으로 발송)",IF($K757="—","대상월 기관명단 없음(추가 필요)",IF($K757="서울병원","해당","비해당"))))</f>
        <v/>
      </c>
      <c r="M757">
        <f>IF($W757="","",SUMIFS(상세표[06~07시],상세표[사번키],INDEX(합계표[사번키],$W757),상세표[반영월],대상월키,상세표[반영 기관],"서울병원"))</f>
        <v/>
      </c>
      <c r="N757">
        <f>IF($W757="","",SUMIFS(상세표[07~18시],상세표[사번키],INDEX(합계표[사번키],$W757),상세표[반영월],대상월키,상세표[반영 기관],"서울병원"))</f>
        <v/>
      </c>
      <c r="O757">
        <f>IF($W757="","",SUMIFS(상세표[18~22시],상세표[사번키],INDEX(합계표[사번키],$W757),상세표[반영월],대상월키,상세표[반영 기관],"서울병원"))</f>
        <v/>
      </c>
      <c r="P757">
        <f>IF($W757="","",SUMIFS(상세표[22~06시],상세표[사번키],INDEX(합계표[사번키],$W757),상세표[반영월],대상월키,상세표[반영 기관],"서울병원"))</f>
        <v/>
      </c>
      <c r="Q757">
        <f>IF($W757="","",SUM($M757:$P757))</f>
        <v/>
      </c>
      <c r="R757">
        <f>IF($W757="","",COUNTIFS(상세표[사번키],INDEX(합계표[사번키],$W757),상세표[반영월],대상월키,상세표[야간당직],1,상세표[야간 구분],"평일"))</f>
        <v/>
      </c>
      <c r="S757" s="4">
        <f>IF($W757="","",COUNTIFS(상세표[사번키],INDEX(합계표[사번키],$W757),상세표[반영월],대상월키,상세표[야간당직],1,상세표[야간 구분],"휴일"))</f>
        <v/>
      </c>
      <c r="T757">
        <f>IF($W757="","",COUNTIFS(상세표[사번키],INDEX(합계표[사번키],$W757),상세표[반영월],대상월키,상세표[야간당직],1,상세표[야간 구분],"평일",상세표[반영 기관],"서울병원"))</f>
        <v/>
      </c>
      <c r="U757">
        <f>IF($W757="","",COUNTIFS(상세표[사번키],INDEX(합계표[사번키],$W757),상세표[반영월],대상월키,상세표[야간당직],1,상세표[야간 구분],"휴일",상세표[반영 기관],"서울병원"))</f>
        <v/>
      </c>
      <c r="V757">
        <f>IF($W757="","",IF(ISNUMBER(MATCH(INDEX(합계표[사번키],$W757)&amp;"|"&amp;대상월키,월별근무지표[키],0)),"직접 입력",IF($K757="—","—","기관명단")))</f>
        <v/>
      </c>
      <c r="W757">
        <f>IFERROR(MATCH(752,합계표[판정순번],0),"")</f>
        <v/>
      </c>
    </row>
    <row r="758">
      <c r="A758">
        <f>IF($W758="","",INDEX(합계표[사번],$W758)&amp;"")</f>
        <v/>
      </c>
      <c r="B758">
        <f>IF($W758="","",INDEX(합계표[성명],$W758)&amp;"")</f>
        <v/>
      </c>
      <c r="C758">
        <f>IF($W758="","",INDEX(합계표[부서],$W758)&amp;"")</f>
        <v/>
      </c>
      <c r="D758">
        <f>IF($W758="","",INDEX(합계표[직위(통합)],$W758)&amp;"")</f>
        <v/>
      </c>
      <c r="E758">
        <f>IF($W758="","",SUMIFS(합계표[시스템 합계],합계표[사번키],INDEX(합계표[사번키],$W758)))</f>
        <v/>
      </c>
      <c r="F758">
        <f>IF($W758="","",SUMIFS(상세표[기록 시간외],상세표[사번키],INDEX(합계표[사번키],$W758),상세표[기록월],대상월키))</f>
        <v/>
      </c>
      <c r="G758">
        <f>IF($W758="","",IF(ABS($E758-$F758)&lt;0.01,"일치","불일치(차이 "&amp;TEXT($F758-$E758,"0.00")&amp;")"))</f>
        <v/>
      </c>
      <c r="H758">
        <f>IF($W758="","",SUMIFS(상세표[기록 시간외],상세표[사번키],INDEX(합계표[사번키],$W758),상세표[기록월],대상월키,상세표[반영월],"&lt;&gt;"&amp;대상월키))</f>
        <v/>
      </c>
      <c r="I758">
        <f>IF($W758="","",SUMIFS(상세표[기록 시간외],상세표[사번키],INDEX(합계표[사번키],$W758),상세표[기록월],"&lt;&gt;"&amp;대상월키,상세표[반영월],대상월키))</f>
        <v/>
      </c>
      <c r="J758">
        <f>IF($W758="","",SUMIFS(상세표[기록 시간외],상세표[사번키],INDEX(합계표[사번키],$W758),상세표[반영월],대상월키))</f>
        <v/>
      </c>
      <c r="K758">
        <f>IF($W758="","",IFERROR(INDEX(월별근무지표[적용 급여병원],MATCH(INDEX(합계표[사번키],$W758)&amp;"|"&amp;대상월키,월별근무지표[키],0))&amp;"",IF(COUNTIF(기관표[사번키],INDEX(합계표[사번키],$W758))+COUNTIF(월별근무지표[사번키],INDEX(합계표[사번키],$W758))&gt;0,IFERROR(INDEX(기관표[급여지급병원(기준월)],MATCH(INDEX(합계표[사번키],$W758)&amp;"|"&amp;대상월키,기관표[키],0))&amp;"","—"),"—")))</f>
        <v/>
      </c>
      <c r="L758">
        <f>IF($W758="","",IF(NOT(COUNTIF(기관표[사번키],INDEX(합계표[사번키],$W758))+COUNTIF(월별근무지표[사번키],INDEX(합계표[사번키],$W758))&gt;0),"기관명단에 없음(다른 병원으로 발송)",IF($K758="—","대상월 기관명단 없음(추가 필요)",IF($K758="서울병원","해당","비해당"))))</f>
        <v/>
      </c>
      <c r="M758">
        <f>IF($W758="","",SUMIFS(상세표[06~07시],상세표[사번키],INDEX(합계표[사번키],$W758),상세표[반영월],대상월키,상세표[반영 기관],"서울병원"))</f>
        <v/>
      </c>
      <c r="N758">
        <f>IF($W758="","",SUMIFS(상세표[07~18시],상세표[사번키],INDEX(합계표[사번키],$W758),상세표[반영월],대상월키,상세표[반영 기관],"서울병원"))</f>
        <v/>
      </c>
      <c r="O758">
        <f>IF($W758="","",SUMIFS(상세표[18~22시],상세표[사번키],INDEX(합계표[사번키],$W758),상세표[반영월],대상월키,상세표[반영 기관],"서울병원"))</f>
        <v/>
      </c>
      <c r="P758">
        <f>IF($W758="","",SUMIFS(상세표[22~06시],상세표[사번키],INDEX(합계표[사번키],$W758),상세표[반영월],대상월키,상세표[반영 기관],"서울병원"))</f>
        <v/>
      </c>
      <c r="Q758">
        <f>IF($W758="","",SUM($M758:$P758))</f>
        <v/>
      </c>
      <c r="R758">
        <f>IF($W758="","",COUNTIFS(상세표[사번키],INDEX(합계표[사번키],$W758),상세표[반영월],대상월키,상세표[야간당직],1,상세표[야간 구분],"평일"))</f>
        <v/>
      </c>
      <c r="S758" s="4">
        <f>IF($W758="","",COUNTIFS(상세표[사번키],INDEX(합계표[사번키],$W758),상세표[반영월],대상월키,상세표[야간당직],1,상세표[야간 구분],"휴일"))</f>
        <v/>
      </c>
      <c r="T758">
        <f>IF($W758="","",COUNTIFS(상세표[사번키],INDEX(합계표[사번키],$W758),상세표[반영월],대상월키,상세표[야간당직],1,상세표[야간 구분],"평일",상세표[반영 기관],"서울병원"))</f>
        <v/>
      </c>
      <c r="U758">
        <f>IF($W758="","",COUNTIFS(상세표[사번키],INDEX(합계표[사번키],$W758),상세표[반영월],대상월키,상세표[야간당직],1,상세표[야간 구분],"휴일",상세표[반영 기관],"서울병원"))</f>
        <v/>
      </c>
      <c r="V758">
        <f>IF($W758="","",IF(ISNUMBER(MATCH(INDEX(합계표[사번키],$W758)&amp;"|"&amp;대상월키,월별근무지표[키],0)),"직접 입력",IF($K758="—","—","기관명단")))</f>
        <v/>
      </c>
      <c r="W758">
        <f>IFERROR(MATCH(753,합계표[판정순번],0),"")</f>
        <v/>
      </c>
    </row>
    <row r="759">
      <c r="A759">
        <f>IF($W759="","",INDEX(합계표[사번],$W759)&amp;"")</f>
        <v/>
      </c>
      <c r="B759">
        <f>IF($W759="","",INDEX(합계표[성명],$W759)&amp;"")</f>
        <v/>
      </c>
      <c r="C759">
        <f>IF($W759="","",INDEX(합계표[부서],$W759)&amp;"")</f>
        <v/>
      </c>
      <c r="D759">
        <f>IF($W759="","",INDEX(합계표[직위(통합)],$W759)&amp;"")</f>
        <v/>
      </c>
      <c r="E759">
        <f>IF($W759="","",SUMIFS(합계표[시스템 합계],합계표[사번키],INDEX(합계표[사번키],$W759)))</f>
        <v/>
      </c>
      <c r="F759">
        <f>IF($W759="","",SUMIFS(상세표[기록 시간외],상세표[사번키],INDEX(합계표[사번키],$W759),상세표[기록월],대상월키))</f>
        <v/>
      </c>
      <c r="G759">
        <f>IF($W759="","",IF(ABS($E759-$F759)&lt;0.01,"일치","불일치(차이 "&amp;TEXT($F759-$E759,"0.00")&amp;")"))</f>
        <v/>
      </c>
      <c r="H759">
        <f>IF($W759="","",SUMIFS(상세표[기록 시간외],상세표[사번키],INDEX(합계표[사번키],$W759),상세표[기록월],대상월키,상세표[반영월],"&lt;&gt;"&amp;대상월키))</f>
        <v/>
      </c>
      <c r="I759">
        <f>IF($W759="","",SUMIFS(상세표[기록 시간외],상세표[사번키],INDEX(합계표[사번키],$W759),상세표[기록월],"&lt;&gt;"&amp;대상월키,상세표[반영월],대상월키))</f>
        <v/>
      </c>
      <c r="J759">
        <f>IF($W759="","",SUMIFS(상세표[기록 시간외],상세표[사번키],INDEX(합계표[사번키],$W759),상세표[반영월],대상월키))</f>
        <v/>
      </c>
      <c r="K759">
        <f>IF($W759="","",IFERROR(INDEX(월별근무지표[적용 급여병원],MATCH(INDEX(합계표[사번키],$W759)&amp;"|"&amp;대상월키,월별근무지표[키],0))&amp;"",IF(COUNTIF(기관표[사번키],INDEX(합계표[사번키],$W759))+COUNTIF(월별근무지표[사번키],INDEX(합계표[사번키],$W759))&gt;0,IFERROR(INDEX(기관표[급여지급병원(기준월)],MATCH(INDEX(합계표[사번키],$W759)&amp;"|"&amp;대상월키,기관표[키],0))&amp;"","—"),"—")))</f>
        <v/>
      </c>
      <c r="L759">
        <f>IF($W759="","",IF(NOT(COUNTIF(기관표[사번키],INDEX(합계표[사번키],$W759))+COUNTIF(월별근무지표[사번키],INDEX(합계표[사번키],$W759))&gt;0),"기관명단에 없음(다른 병원으로 발송)",IF($K759="—","대상월 기관명단 없음(추가 필요)",IF($K759="서울병원","해당","비해당"))))</f>
        <v/>
      </c>
      <c r="M759">
        <f>IF($W759="","",SUMIFS(상세표[06~07시],상세표[사번키],INDEX(합계표[사번키],$W759),상세표[반영월],대상월키,상세표[반영 기관],"서울병원"))</f>
        <v/>
      </c>
      <c r="N759">
        <f>IF($W759="","",SUMIFS(상세표[07~18시],상세표[사번키],INDEX(합계표[사번키],$W759),상세표[반영월],대상월키,상세표[반영 기관],"서울병원"))</f>
        <v/>
      </c>
      <c r="O759">
        <f>IF($W759="","",SUMIFS(상세표[18~22시],상세표[사번키],INDEX(합계표[사번키],$W759),상세표[반영월],대상월키,상세표[반영 기관],"서울병원"))</f>
        <v/>
      </c>
      <c r="P759">
        <f>IF($W759="","",SUMIFS(상세표[22~06시],상세표[사번키],INDEX(합계표[사번키],$W759),상세표[반영월],대상월키,상세표[반영 기관],"서울병원"))</f>
        <v/>
      </c>
      <c r="Q759">
        <f>IF($W759="","",SUM($M759:$P759))</f>
        <v/>
      </c>
      <c r="R759">
        <f>IF($W759="","",COUNTIFS(상세표[사번키],INDEX(합계표[사번키],$W759),상세표[반영월],대상월키,상세표[야간당직],1,상세표[야간 구분],"평일"))</f>
        <v/>
      </c>
      <c r="S759" s="4">
        <f>IF($W759="","",COUNTIFS(상세표[사번키],INDEX(합계표[사번키],$W759),상세표[반영월],대상월키,상세표[야간당직],1,상세표[야간 구분],"휴일"))</f>
        <v/>
      </c>
      <c r="T759">
        <f>IF($W759="","",COUNTIFS(상세표[사번키],INDEX(합계표[사번키],$W759),상세표[반영월],대상월키,상세표[야간당직],1,상세표[야간 구분],"평일",상세표[반영 기관],"서울병원"))</f>
        <v/>
      </c>
      <c r="U759">
        <f>IF($W759="","",COUNTIFS(상세표[사번키],INDEX(합계표[사번키],$W759),상세표[반영월],대상월키,상세표[야간당직],1,상세표[야간 구분],"휴일",상세표[반영 기관],"서울병원"))</f>
        <v/>
      </c>
      <c r="V759">
        <f>IF($W759="","",IF(ISNUMBER(MATCH(INDEX(합계표[사번키],$W759)&amp;"|"&amp;대상월키,월별근무지표[키],0)),"직접 입력",IF($K759="—","—","기관명단")))</f>
        <v/>
      </c>
      <c r="W759">
        <f>IFERROR(MATCH(754,합계표[판정순번],0),"")</f>
        <v/>
      </c>
    </row>
    <row r="760">
      <c r="A760">
        <f>IF($W760="","",INDEX(합계표[사번],$W760)&amp;"")</f>
        <v/>
      </c>
      <c r="B760">
        <f>IF($W760="","",INDEX(합계표[성명],$W760)&amp;"")</f>
        <v/>
      </c>
      <c r="C760">
        <f>IF($W760="","",INDEX(합계표[부서],$W760)&amp;"")</f>
        <v/>
      </c>
      <c r="D760">
        <f>IF($W760="","",INDEX(합계표[직위(통합)],$W760)&amp;"")</f>
        <v/>
      </c>
      <c r="E760">
        <f>IF($W760="","",SUMIFS(합계표[시스템 합계],합계표[사번키],INDEX(합계표[사번키],$W760)))</f>
        <v/>
      </c>
      <c r="F760">
        <f>IF($W760="","",SUMIFS(상세표[기록 시간외],상세표[사번키],INDEX(합계표[사번키],$W760),상세표[기록월],대상월키))</f>
        <v/>
      </c>
      <c r="G760">
        <f>IF($W760="","",IF(ABS($E760-$F760)&lt;0.01,"일치","불일치(차이 "&amp;TEXT($F760-$E760,"0.00")&amp;")"))</f>
        <v/>
      </c>
      <c r="H760">
        <f>IF($W760="","",SUMIFS(상세표[기록 시간외],상세표[사번키],INDEX(합계표[사번키],$W760),상세표[기록월],대상월키,상세표[반영월],"&lt;&gt;"&amp;대상월키))</f>
        <v/>
      </c>
      <c r="I760">
        <f>IF($W760="","",SUMIFS(상세표[기록 시간외],상세표[사번키],INDEX(합계표[사번키],$W760),상세표[기록월],"&lt;&gt;"&amp;대상월키,상세표[반영월],대상월키))</f>
        <v/>
      </c>
      <c r="J760">
        <f>IF($W760="","",SUMIFS(상세표[기록 시간외],상세표[사번키],INDEX(합계표[사번키],$W760),상세표[반영월],대상월키))</f>
        <v/>
      </c>
      <c r="K760">
        <f>IF($W760="","",IFERROR(INDEX(월별근무지표[적용 급여병원],MATCH(INDEX(합계표[사번키],$W760)&amp;"|"&amp;대상월키,월별근무지표[키],0))&amp;"",IF(COUNTIF(기관표[사번키],INDEX(합계표[사번키],$W760))+COUNTIF(월별근무지표[사번키],INDEX(합계표[사번키],$W760))&gt;0,IFERROR(INDEX(기관표[급여지급병원(기준월)],MATCH(INDEX(합계표[사번키],$W760)&amp;"|"&amp;대상월키,기관표[키],0))&amp;"","—"),"—")))</f>
        <v/>
      </c>
      <c r="L760">
        <f>IF($W760="","",IF(NOT(COUNTIF(기관표[사번키],INDEX(합계표[사번키],$W760))+COUNTIF(월별근무지표[사번키],INDEX(합계표[사번키],$W760))&gt;0),"기관명단에 없음(다른 병원으로 발송)",IF($K760="—","대상월 기관명단 없음(추가 필요)",IF($K760="서울병원","해당","비해당"))))</f>
        <v/>
      </c>
      <c r="M760">
        <f>IF($W760="","",SUMIFS(상세표[06~07시],상세표[사번키],INDEX(합계표[사번키],$W760),상세표[반영월],대상월키,상세표[반영 기관],"서울병원"))</f>
        <v/>
      </c>
      <c r="N760">
        <f>IF($W760="","",SUMIFS(상세표[07~18시],상세표[사번키],INDEX(합계표[사번키],$W760),상세표[반영월],대상월키,상세표[반영 기관],"서울병원"))</f>
        <v/>
      </c>
      <c r="O760">
        <f>IF($W760="","",SUMIFS(상세표[18~22시],상세표[사번키],INDEX(합계표[사번키],$W760),상세표[반영월],대상월키,상세표[반영 기관],"서울병원"))</f>
        <v/>
      </c>
      <c r="P760">
        <f>IF($W760="","",SUMIFS(상세표[22~06시],상세표[사번키],INDEX(합계표[사번키],$W760),상세표[반영월],대상월키,상세표[반영 기관],"서울병원"))</f>
        <v/>
      </c>
      <c r="Q760">
        <f>IF($W760="","",SUM($M760:$P760))</f>
        <v/>
      </c>
      <c r="R760">
        <f>IF($W760="","",COUNTIFS(상세표[사번키],INDEX(합계표[사번키],$W760),상세표[반영월],대상월키,상세표[야간당직],1,상세표[야간 구분],"평일"))</f>
        <v/>
      </c>
      <c r="S760" s="4">
        <f>IF($W760="","",COUNTIFS(상세표[사번키],INDEX(합계표[사번키],$W760),상세표[반영월],대상월키,상세표[야간당직],1,상세표[야간 구분],"휴일"))</f>
        <v/>
      </c>
      <c r="T760">
        <f>IF($W760="","",COUNTIFS(상세표[사번키],INDEX(합계표[사번키],$W760),상세표[반영월],대상월키,상세표[야간당직],1,상세표[야간 구분],"평일",상세표[반영 기관],"서울병원"))</f>
        <v/>
      </c>
      <c r="U760">
        <f>IF($W760="","",COUNTIFS(상세표[사번키],INDEX(합계표[사번키],$W760),상세표[반영월],대상월키,상세표[야간당직],1,상세표[야간 구분],"휴일",상세표[반영 기관],"서울병원"))</f>
        <v/>
      </c>
      <c r="V760">
        <f>IF($W760="","",IF(ISNUMBER(MATCH(INDEX(합계표[사번키],$W760)&amp;"|"&amp;대상월키,월별근무지표[키],0)),"직접 입력",IF($K760="—","—","기관명단")))</f>
        <v/>
      </c>
      <c r="W760">
        <f>IFERROR(MATCH(755,합계표[판정순번],0),"")</f>
        <v/>
      </c>
    </row>
    <row r="761">
      <c r="A761">
        <f>IF($W761="","",INDEX(합계표[사번],$W761)&amp;"")</f>
        <v/>
      </c>
      <c r="B761">
        <f>IF($W761="","",INDEX(합계표[성명],$W761)&amp;"")</f>
        <v/>
      </c>
      <c r="C761">
        <f>IF($W761="","",INDEX(합계표[부서],$W761)&amp;"")</f>
        <v/>
      </c>
      <c r="D761">
        <f>IF($W761="","",INDEX(합계표[직위(통합)],$W761)&amp;"")</f>
        <v/>
      </c>
      <c r="E761">
        <f>IF($W761="","",SUMIFS(합계표[시스템 합계],합계표[사번키],INDEX(합계표[사번키],$W761)))</f>
        <v/>
      </c>
      <c r="F761">
        <f>IF($W761="","",SUMIFS(상세표[기록 시간외],상세표[사번키],INDEX(합계표[사번키],$W761),상세표[기록월],대상월키))</f>
        <v/>
      </c>
      <c r="G761">
        <f>IF($W761="","",IF(ABS($E761-$F761)&lt;0.01,"일치","불일치(차이 "&amp;TEXT($F761-$E761,"0.00")&amp;")"))</f>
        <v/>
      </c>
      <c r="H761">
        <f>IF($W761="","",SUMIFS(상세표[기록 시간외],상세표[사번키],INDEX(합계표[사번키],$W761),상세표[기록월],대상월키,상세표[반영월],"&lt;&gt;"&amp;대상월키))</f>
        <v/>
      </c>
      <c r="I761">
        <f>IF($W761="","",SUMIFS(상세표[기록 시간외],상세표[사번키],INDEX(합계표[사번키],$W761),상세표[기록월],"&lt;&gt;"&amp;대상월키,상세표[반영월],대상월키))</f>
        <v/>
      </c>
      <c r="J761">
        <f>IF($W761="","",SUMIFS(상세표[기록 시간외],상세표[사번키],INDEX(합계표[사번키],$W761),상세표[반영월],대상월키))</f>
        <v/>
      </c>
      <c r="K761">
        <f>IF($W761="","",IFERROR(INDEX(월별근무지표[적용 급여병원],MATCH(INDEX(합계표[사번키],$W761)&amp;"|"&amp;대상월키,월별근무지표[키],0))&amp;"",IF(COUNTIF(기관표[사번키],INDEX(합계표[사번키],$W761))+COUNTIF(월별근무지표[사번키],INDEX(합계표[사번키],$W761))&gt;0,IFERROR(INDEX(기관표[급여지급병원(기준월)],MATCH(INDEX(합계표[사번키],$W761)&amp;"|"&amp;대상월키,기관표[키],0))&amp;"","—"),"—")))</f>
        <v/>
      </c>
      <c r="L761">
        <f>IF($W761="","",IF(NOT(COUNTIF(기관표[사번키],INDEX(합계표[사번키],$W761))+COUNTIF(월별근무지표[사번키],INDEX(합계표[사번키],$W761))&gt;0),"기관명단에 없음(다른 병원으로 발송)",IF($K761="—","대상월 기관명단 없음(추가 필요)",IF($K761="서울병원","해당","비해당"))))</f>
        <v/>
      </c>
      <c r="M761">
        <f>IF($W761="","",SUMIFS(상세표[06~07시],상세표[사번키],INDEX(합계표[사번키],$W761),상세표[반영월],대상월키,상세표[반영 기관],"서울병원"))</f>
        <v/>
      </c>
      <c r="N761">
        <f>IF($W761="","",SUMIFS(상세표[07~18시],상세표[사번키],INDEX(합계표[사번키],$W761),상세표[반영월],대상월키,상세표[반영 기관],"서울병원"))</f>
        <v/>
      </c>
      <c r="O761">
        <f>IF($W761="","",SUMIFS(상세표[18~22시],상세표[사번키],INDEX(합계표[사번키],$W761),상세표[반영월],대상월키,상세표[반영 기관],"서울병원"))</f>
        <v/>
      </c>
      <c r="P761">
        <f>IF($W761="","",SUMIFS(상세표[22~06시],상세표[사번키],INDEX(합계표[사번키],$W761),상세표[반영월],대상월키,상세표[반영 기관],"서울병원"))</f>
        <v/>
      </c>
      <c r="Q761">
        <f>IF($W761="","",SUM($M761:$P761))</f>
        <v/>
      </c>
      <c r="R761">
        <f>IF($W761="","",COUNTIFS(상세표[사번키],INDEX(합계표[사번키],$W761),상세표[반영월],대상월키,상세표[야간당직],1,상세표[야간 구분],"평일"))</f>
        <v/>
      </c>
      <c r="S761" s="4">
        <f>IF($W761="","",COUNTIFS(상세표[사번키],INDEX(합계표[사번키],$W761),상세표[반영월],대상월키,상세표[야간당직],1,상세표[야간 구분],"휴일"))</f>
        <v/>
      </c>
      <c r="T761">
        <f>IF($W761="","",COUNTIFS(상세표[사번키],INDEX(합계표[사번키],$W761),상세표[반영월],대상월키,상세표[야간당직],1,상세표[야간 구분],"평일",상세표[반영 기관],"서울병원"))</f>
        <v/>
      </c>
      <c r="U761">
        <f>IF($W761="","",COUNTIFS(상세표[사번키],INDEX(합계표[사번키],$W761),상세표[반영월],대상월키,상세표[야간당직],1,상세표[야간 구분],"휴일",상세표[반영 기관],"서울병원"))</f>
        <v/>
      </c>
      <c r="V761">
        <f>IF($W761="","",IF(ISNUMBER(MATCH(INDEX(합계표[사번키],$W761)&amp;"|"&amp;대상월키,월별근무지표[키],0)),"직접 입력",IF($K761="—","—","기관명단")))</f>
        <v/>
      </c>
      <c r="W761">
        <f>IFERROR(MATCH(756,합계표[판정순번],0),"")</f>
        <v/>
      </c>
    </row>
    <row r="762">
      <c r="A762">
        <f>IF($W762="","",INDEX(합계표[사번],$W762)&amp;"")</f>
        <v/>
      </c>
      <c r="B762">
        <f>IF($W762="","",INDEX(합계표[성명],$W762)&amp;"")</f>
        <v/>
      </c>
      <c r="C762">
        <f>IF($W762="","",INDEX(합계표[부서],$W762)&amp;"")</f>
        <v/>
      </c>
      <c r="D762">
        <f>IF($W762="","",INDEX(합계표[직위(통합)],$W762)&amp;"")</f>
        <v/>
      </c>
      <c r="E762">
        <f>IF($W762="","",SUMIFS(합계표[시스템 합계],합계표[사번키],INDEX(합계표[사번키],$W762)))</f>
        <v/>
      </c>
      <c r="F762">
        <f>IF($W762="","",SUMIFS(상세표[기록 시간외],상세표[사번키],INDEX(합계표[사번키],$W762),상세표[기록월],대상월키))</f>
        <v/>
      </c>
      <c r="G762">
        <f>IF($W762="","",IF(ABS($E762-$F762)&lt;0.01,"일치","불일치(차이 "&amp;TEXT($F762-$E762,"0.00")&amp;")"))</f>
        <v/>
      </c>
      <c r="H762">
        <f>IF($W762="","",SUMIFS(상세표[기록 시간외],상세표[사번키],INDEX(합계표[사번키],$W762),상세표[기록월],대상월키,상세표[반영월],"&lt;&gt;"&amp;대상월키))</f>
        <v/>
      </c>
      <c r="I762">
        <f>IF($W762="","",SUMIFS(상세표[기록 시간외],상세표[사번키],INDEX(합계표[사번키],$W762),상세표[기록월],"&lt;&gt;"&amp;대상월키,상세표[반영월],대상월키))</f>
        <v/>
      </c>
      <c r="J762">
        <f>IF($W762="","",SUMIFS(상세표[기록 시간외],상세표[사번키],INDEX(합계표[사번키],$W762),상세표[반영월],대상월키))</f>
        <v/>
      </c>
      <c r="K762">
        <f>IF($W762="","",IFERROR(INDEX(월별근무지표[적용 급여병원],MATCH(INDEX(합계표[사번키],$W762)&amp;"|"&amp;대상월키,월별근무지표[키],0))&amp;"",IF(COUNTIF(기관표[사번키],INDEX(합계표[사번키],$W762))+COUNTIF(월별근무지표[사번키],INDEX(합계표[사번키],$W762))&gt;0,IFERROR(INDEX(기관표[급여지급병원(기준월)],MATCH(INDEX(합계표[사번키],$W762)&amp;"|"&amp;대상월키,기관표[키],0))&amp;"","—"),"—")))</f>
        <v/>
      </c>
      <c r="L762">
        <f>IF($W762="","",IF(NOT(COUNTIF(기관표[사번키],INDEX(합계표[사번키],$W762))+COUNTIF(월별근무지표[사번키],INDEX(합계표[사번키],$W762))&gt;0),"기관명단에 없음(다른 병원으로 발송)",IF($K762="—","대상월 기관명단 없음(추가 필요)",IF($K762="서울병원","해당","비해당"))))</f>
        <v/>
      </c>
      <c r="M762">
        <f>IF($W762="","",SUMIFS(상세표[06~07시],상세표[사번키],INDEX(합계표[사번키],$W762),상세표[반영월],대상월키,상세표[반영 기관],"서울병원"))</f>
        <v/>
      </c>
      <c r="N762">
        <f>IF($W762="","",SUMIFS(상세표[07~18시],상세표[사번키],INDEX(합계표[사번키],$W762),상세표[반영월],대상월키,상세표[반영 기관],"서울병원"))</f>
        <v/>
      </c>
      <c r="O762">
        <f>IF($W762="","",SUMIFS(상세표[18~22시],상세표[사번키],INDEX(합계표[사번키],$W762),상세표[반영월],대상월키,상세표[반영 기관],"서울병원"))</f>
        <v/>
      </c>
      <c r="P762">
        <f>IF($W762="","",SUMIFS(상세표[22~06시],상세표[사번키],INDEX(합계표[사번키],$W762),상세표[반영월],대상월키,상세표[반영 기관],"서울병원"))</f>
        <v/>
      </c>
      <c r="Q762">
        <f>IF($W762="","",SUM($M762:$P762))</f>
        <v/>
      </c>
      <c r="R762">
        <f>IF($W762="","",COUNTIFS(상세표[사번키],INDEX(합계표[사번키],$W762),상세표[반영월],대상월키,상세표[야간당직],1,상세표[야간 구분],"평일"))</f>
        <v/>
      </c>
      <c r="S762" s="4">
        <f>IF($W762="","",COUNTIFS(상세표[사번키],INDEX(합계표[사번키],$W762),상세표[반영월],대상월키,상세표[야간당직],1,상세표[야간 구분],"휴일"))</f>
        <v/>
      </c>
      <c r="T762">
        <f>IF($W762="","",COUNTIFS(상세표[사번키],INDEX(합계표[사번키],$W762),상세표[반영월],대상월키,상세표[야간당직],1,상세표[야간 구분],"평일",상세표[반영 기관],"서울병원"))</f>
        <v/>
      </c>
      <c r="U762">
        <f>IF($W762="","",COUNTIFS(상세표[사번키],INDEX(합계표[사번키],$W762),상세표[반영월],대상월키,상세표[야간당직],1,상세표[야간 구분],"휴일",상세표[반영 기관],"서울병원"))</f>
        <v/>
      </c>
      <c r="V762">
        <f>IF($W762="","",IF(ISNUMBER(MATCH(INDEX(합계표[사번키],$W762)&amp;"|"&amp;대상월키,월별근무지표[키],0)),"직접 입력",IF($K762="—","—","기관명단")))</f>
        <v/>
      </c>
      <c r="W762">
        <f>IFERROR(MATCH(757,합계표[판정순번],0),"")</f>
        <v/>
      </c>
    </row>
    <row r="763">
      <c r="A763">
        <f>IF($W763="","",INDEX(합계표[사번],$W763)&amp;"")</f>
        <v/>
      </c>
      <c r="B763">
        <f>IF($W763="","",INDEX(합계표[성명],$W763)&amp;"")</f>
        <v/>
      </c>
      <c r="C763">
        <f>IF($W763="","",INDEX(합계표[부서],$W763)&amp;"")</f>
        <v/>
      </c>
      <c r="D763">
        <f>IF($W763="","",INDEX(합계표[직위(통합)],$W763)&amp;"")</f>
        <v/>
      </c>
      <c r="E763">
        <f>IF($W763="","",SUMIFS(합계표[시스템 합계],합계표[사번키],INDEX(합계표[사번키],$W763)))</f>
        <v/>
      </c>
      <c r="F763">
        <f>IF($W763="","",SUMIFS(상세표[기록 시간외],상세표[사번키],INDEX(합계표[사번키],$W763),상세표[기록월],대상월키))</f>
        <v/>
      </c>
      <c r="G763">
        <f>IF($W763="","",IF(ABS($E763-$F763)&lt;0.01,"일치","불일치(차이 "&amp;TEXT($F763-$E763,"0.00")&amp;")"))</f>
        <v/>
      </c>
      <c r="H763">
        <f>IF($W763="","",SUMIFS(상세표[기록 시간외],상세표[사번키],INDEX(합계표[사번키],$W763),상세표[기록월],대상월키,상세표[반영월],"&lt;&gt;"&amp;대상월키))</f>
        <v/>
      </c>
      <c r="I763">
        <f>IF($W763="","",SUMIFS(상세표[기록 시간외],상세표[사번키],INDEX(합계표[사번키],$W763),상세표[기록월],"&lt;&gt;"&amp;대상월키,상세표[반영월],대상월키))</f>
        <v/>
      </c>
      <c r="J763">
        <f>IF($W763="","",SUMIFS(상세표[기록 시간외],상세표[사번키],INDEX(합계표[사번키],$W763),상세표[반영월],대상월키))</f>
        <v/>
      </c>
      <c r="K763">
        <f>IF($W763="","",IFERROR(INDEX(월별근무지표[적용 급여병원],MATCH(INDEX(합계표[사번키],$W763)&amp;"|"&amp;대상월키,월별근무지표[키],0))&amp;"",IF(COUNTIF(기관표[사번키],INDEX(합계표[사번키],$W763))+COUNTIF(월별근무지표[사번키],INDEX(합계표[사번키],$W763))&gt;0,IFERROR(INDEX(기관표[급여지급병원(기준월)],MATCH(INDEX(합계표[사번키],$W763)&amp;"|"&amp;대상월키,기관표[키],0))&amp;"","—"),"—")))</f>
        <v/>
      </c>
      <c r="L763">
        <f>IF($W763="","",IF(NOT(COUNTIF(기관표[사번키],INDEX(합계표[사번키],$W763))+COUNTIF(월별근무지표[사번키],INDEX(합계표[사번키],$W763))&gt;0),"기관명단에 없음(다른 병원으로 발송)",IF($K763="—","대상월 기관명단 없음(추가 필요)",IF($K763="서울병원","해당","비해당"))))</f>
        <v/>
      </c>
      <c r="M763">
        <f>IF($W763="","",SUMIFS(상세표[06~07시],상세표[사번키],INDEX(합계표[사번키],$W763),상세표[반영월],대상월키,상세표[반영 기관],"서울병원"))</f>
        <v/>
      </c>
      <c r="N763">
        <f>IF($W763="","",SUMIFS(상세표[07~18시],상세표[사번키],INDEX(합계표[사번키],$W763),상세표[반영월],대상월키,상세표[반영 기관],"서울병원"))</f>
        <v/>
      </c>
      <c r="O763">
        <f>IF($W763="","",SUMIFS(상세표[18~22시],상세표[사번키],INDEX(합계표[사번키],$W763),상세표[반영월],대상월키,상세표[반영 기관],"서울병원"))</f>
        <v/>
      </c>
      <c r="P763">
        <f>IF($W763="","",SUMIFS(상세표[22~06시],상세표[사번키],INDEX(합계표[사번키],$W763),상세표[반영월],대상월키,상세표[반영 기관],"서울병원"))</f>
        <v/>
      </c>
      <c r="Q763">
        <f>IF($W763="","",SUM($M763:$P763))</f>
        <v/>
      </c>
      <c r="R763">
        <f>IF($W763="","",COUNTIFS(상세표[사번키],INDEX(합계표[사번키],$W763),상세표[반영월],대상월키,상세표[야간당직],1,상세표[야간 구분],"평일"))</f>
        <v/>
      </c>
      <c r="S763" s="4">
        <f>IF($W763="","",COUNTIFS(상세표[사번키],INDEX(합계표[사번키],$W763),상세표[반영월],대상월키,상세표[야간당직],1,상세표[야간 구분],"휴일"))</f>
        <v/>
      </c>
      <c r="T763">
        <f>IF($W763="","",COUNTIFS(상세표[사번키],INDEX(합계표[사번키],$W763),상세표[반영월],대상월키,상세표[야간당직],1,상세표[야간 구분],"평일",상세표[반영 기관],"서울병원"))</f>
        <v/>
      </c>
      <c r="U763">
        <f>IF($W763="","",COUNTIFS(상세표[사번키],INDEX(합계표[사번키],$W763),상세표[반영월],대상월키,상세표[야간당직],1,상세표[야간 구분],"휴일",상세표[반영 기관],"서울병원"))</f>
        <v/>
      </c>
      <c r="V763">
        <f>IF($W763="","",IF(ISNUMBER(MATCH(INDEX(합계표[사번키],$W763)&amp;"|"&amp;대상월키,월별근무지표[키],0)),"직접 입력",IF($K763="—","—","기관명단")))</f>
        <v/>
      </c>
      <c r="W763">
        <f>IFERROR(MATCH(758,합계표[판정순번],0),"")</f>
        <v/>
      </c>
    </row>
    <row r="764">
      <c r="A764">
        <f>IF($W764="","",INDEX(합계표[사번],$W764)&amp;"")</f>
        <v/>
      </c>
      <c r="B764">
        <f>IF($W764="","",INDEX(합계표[성명],$W764)&amp;"")</f>
        <v/>
      </c>
      <c r="C764">
        <f>IF($W764="","",INDEX(합계표[부서],$W764)&amp;"")</f>
        <v/>
      </c>
      <c r="D764">
        <f>IF($W764="","",INDEX(합계표[직위(통합)],$W764)&amp;"")</f>
        <v/>
      </c>
      <c r="E764">
        <f>IF($W764="","",SUMIFS(합계표[시스템 합계],합계표[사번키],INDEX(합계표[사번키],$W764)))</f>
        <v/>
      </c>
      <c r="F764">
        <f>IF($W764="","",SUMIFS(상세표[기록 시간외],상세표[사번키],INDEX(합계표[사번키],$W764),상세표[기록월],대상월키))</f>
        <v/>
      </c>
      <c r="G764">
        <f>IF($W764="","",IF(ABS($E764-$F764)&lt;0.01,"일치","불일치(차이 "&amp;TEXT($F764-$E764,"0.00")&amp;")"))</f>
        <v/>
      </c>
      <c r="H764">
        <f>IF($W764="","",SUMIFS(상세표[기록 시간외],상세표[사번키],INDEX(합계표[사번키],$W764),상세표[기록월],대상월키,상세표[반영월],"&lt;&gt;"&amp;대상월키))</f>
        <v/>
      </c>
      <c r="I764">
        <f>IF($W764="","",SUMIFS(상세표[기록 시간외],상세표[사번키],INDEX(합계표[사번키],$W764),상세표[기록월],"&lt;&gt;"&amp;대상월키,상세표[반영월],대상월키))</f>
        <v/>
      </c>
      <c r="J764">
        <f>IF($W764="","",SUMIFS(상세표[기록 시간외],상세표[사번키],INDEX(합계표[사번키],$W764),상세표[반영월],대상월키))</f>
        <v/>
      </c>
      <c r="K764">
        <f>IF($W764="","",IFERROR(INDEX(월별근무지표[적용 급여병원],MATCH(INDEX(합계표[사번키],$W764)&amp;"|"&amp;대상월키,월별근무지표[키],0))&amp;"",IF(COUNTIF(기관표[사번키],INDEX(합계표[사번키],$W764))+COUNTIF(월별근무지표[사번키],INDEX(합계표[사번키],$W764))&gt;0,IFERROR(INDEX(기관표[급여지급병원(기준월)],MATCH(INDEX(합계표[사번키],$W764)&amp;"|"&amp;대상월키,기관표[키],0))&amp;"","—"),"—")))</f>
        <v/>
      </c>
      <c r="L764">
        <f>IF($W764="","",IF(NOT(COUNTIF(기관표[사번키],INDEX(합계표[사번키],$W764))+COUNTIF(월별근무지표[사번키],INDEX(합계표[사번키],$W764))&gt;0),"기관명단에 없음(다른 병원으로 발송)",IF($K764="—","대상월 기관명단 없음(추가 필요)",IF($K764="서울병원","해당","비해당"))))</f>
        <v/>
      </c>
      <c r="M764">
        <f>IF($W764="","",SUMIFS(상세표[06~07시],상세표[사번키],INDEX(합계표[사번키],$W764),상세표[반영월],대상월키,상세표[반영 기관],"서울병원"))</f>
        <v/>
      </c>
      <c r="N764">
        <f>IF($W764="","",SUMIFS(상세표[07~18시],상세표[사번키],INDEX(합계표[사번키],$W764),상세표[반영월],대상월키,상세표[반영 기관],"서울병원"))</f>
        <v/>
      </c>
      <c r="O764">
        <f>IF($W764="","",SUMIFS(상세표[18~22시],상세표[사번키],INDEX(합계표[사번키],$W764),상세표[반영월],대상월키,상세표[반영 기관],"서울병원"))</f>
        <v/>
      </c>
      <c r="P764">
        <f>IF($W764="","",SUMIFS(상세표[22~06시],상세표[사번키],INDEX(합계표[사번키],$W764),상세표[반영월],대상월키,상세표[반영 기관],"서울병원"))</f>
        <v/>
      </c>
      <c r="Q764">
        <f>IF($W764="","",SUM($M764:$P764))</f>
        <v/>
      </c>
      <c r="R764">
        <f>IF($W764="","",COUNTIFS(상세표[사번키],INDEX(합계표[사번키],$W764),상세표[반영월],대상월키,상세표[야간당직],1,상세표[야간 구분],"평일"))</f>
        <v/>
      </c>
      <c r="S764" s="4">
        <f>IF($W764="","",COUNTIFS(상세표[사번키],INDEX(합계표[사번키],$W764),상세표[반영월],대상월키,상세표[야간당직],1,상세표[야간 구분],"휴일"))</f>
        <v/>
      </c>
      <c r="T764">
        <f>IF($W764="","",COUNTIFS(상세표[사번키],INDEX(합계표[사번키],$W764),상세표[반영월],대상월키,상세표[야간당직],1,상세표[야간 구분],"평일",상세표[반영 기관],"서울병원"))</f>
        <v/>
      </c>
      <c r="U764">
        <f>IF($W764="","",COUNTIFS(상세표[사번키],INDEX(합계표[사번키],$W764),상세표[반영월],대상월키,상세표[야간당직],1,상세표[야간 구분],"휴일",상세표[반영 기관],"서울병원"))</f>
        <v/>
      </c>
      <c r="V764">
        <f>IF($W764="","",IF(ISNUMBER(MATCH(INDEX(합계표[사번키],$W764)&amp;"|"&amp;대상월키,월별근무지표[키],0)),"직접 입력",IF($K764="—","—","기관명단")))</f>
        <v/>
      </c>
      <c r="W764">
        <f>IFERROR(MATCH(759,합계표[판정순번],0),"")</f>
        <v/>
      </c>
    </row>
    <row r="765">
      <c r="A765">
        <f>IF($W765="","",INDEX(합계표[사번],$W765)&amp;"")</f>
        <v/>
      </c>
      <c r="B765">
        <f>IF($W765="","",INDEX(합계표[성명],$W765)&amp;"")</f>
        <v/>
      </c>
      <c r="C765">
        <f>IF($W765="","",INDEX(합계표[부서],$W765)&amp;"")</f>
        <v/>
      </c>
      <c r="D765">
        <f>IF($W765="","",INDEX(합계표[직위(통합)],$W765)&amp;"")</f>
        <v/>
      </c>
      <c r="E765">
        <f>IF($W765="","",SUMIFS(합계표[시스템 합계],합계표[사번키],INDEX(합계표[사번키],$W765)))</f>
        <v/>
      </c>
      <c r="F765">
        <f>IF($W765="","",SUMIFS(상세표[기록 시간외],상세표[사번키],INDEX(합계표[사번키],$W765),상세표[기록월],대상월키))</f>
        <v/>
      </c>
      <c r="G765">
        <f>IF($W765="","",IF(ABS($E765-$F765)&lt;0.01,"일치","불일치(차이 "&amp;TEXT($F765-$E765,"0.00")&amp;")"))</f>
        <v/>
      </c>
      <c r="H765">
        <f>IF($W765="","",SUMIFS(상세표[기록 시간외],상세표[사번키],INDEX(합계표[사번키],$W765),상세표[기록월],대상월키,상세표[반영월],"&lt;&gt;"&amp;대상월키))</f>
        <v/>
      </c>
      <c r="I765">
        <f>IF($W765="","",SUMIFS(상세표[기록 시간외],상세표[사번키],INDEX(합계표[사번키],$W765),상세표[기록월],"&lt;&gt;"&amp;대상월키,상세표[반영월],대상월키))</f>
        <v/>
      </c>
      <c r="J765">
        <f>IF($W765="","",SUMIFS(상세표[기록 시간외],상세표[사번키],INDEX(합계표[사번키],$W765),상세표[반영월],대상월키))</f>
        <v/>
      </c>
      <c r="K765">
        <f>IF($W765="","",IFERROR(INDEX(월별근무지표[적용 급여병원],MATCH(INDEX(합계표[사번키],$W765)&amp;"|"&amp;대상월키,월별근무지표[키],0))&amp;"",IF(COUNTIF(기관표[사번키],INDEX(합계표[사번키],$W765))+COUNTIF(월별근무지표[사번키],INDEX(합계표[사번키],$W765))&gt;0,IFERROR(INDEX(기관표[급여지급병원(기준월)],MATCH(INDEX(합계표[사번키],$W765)&amp;"|"&amp;대상월키,기관표[키],0))&amp;"","—"),"—")))</f>
        <v/>
      </c>
      <c r="L765">
        <f>IF($W765="","",IF(NOT(COUNTIF(기관표[사번키],INDEX(합계표[사번키],$W765))+COUNTIF(월별근무지표[사번키],INDEX(합계표[사번키],$W765))&gt;0),"기관명단에 없음(다른 병원으로 발송)",IF($K765="—","대상월 기관명단 없음(추가 필요)",IF($K765="서울병원","해당","비해당"))))</f>
        <v/>
      </c>
      <c r="M765">
        <f>IF($W765="","",SUMIFS(상세표[06~07시],상세표[사번키],INDEX(합계표[사번키],$W765),상세표[반영월],대상월키,상세표[반영 기관],"서울병원"))</f>
        <v/>
      </c>
      <c r="N765">
        <f>IF($W765="","",SUMIFS(상세표[07~18시],상세표[사번키],INDEX(합계표[사번키],$W765),상세표[반영월],대상월키,상세표[반영 기관],"서울병원"))</f>
        <v/>
      </c>
      <c r="O765">
        <f>IF($W765="","",SUMIFS(상세표[18~22시],상세표[사번키],INDEX(합계표[사번키],$W765),상세표[반영월],대상월키,상세표[반영 기관],"서울병원"))</f>
        <v/>
      </c>
      <c r="P765">
        <f>IF($W765="","",SUMIFS(상세표[22~06시],상세표[사번키],INDEX(합계표[사번키],$W765),상세표[반영월],대상월키,상세표[반영 기관],"서울병원"))</f>
        <v/>
      </c>
      <c r="Q765">
        <f>IF($W765="","",SUM($M765:$P765))</f>
        <v/>
      </c>
      <c r="R765">
        <f>IF($W765="","",COUNTIFS(상세표[사번키],INDEX(합계표[사번키],$W765),상세표[반영월],대상월키,상세표[야간당직],1,상세표[야간 구분],"평일"))</f>
        <v/>
      </c>
      <c r="S765" s="4">
        <f>IF($W765="","",COUNTIFS(상세표[사번키],INDEX(합계표[사번키],$W765),상세표[반영월],대상월키,상세표[야간당직],1,상세표[야간 구분],"휴일"))</f>
        <v/>
      </c>
      <c r="T765">
        <f>IF($W765="","",COUNTIFS(상세표[사번키],INDEX(합계표[사번키],$W765),상세표[반영월],대상월키,상세표[야간당직],1,상세표[야간 구분],"평일",상세표[반영 기관],"서울병원"))</f>
        <v/>
      </c>
      <c r="U765">
        <f>IF($W765="","",COUNTIFS(상세표[사번키],INDEX(합계표[사번키],$W765),상세표[반영월],대상월키,상세표[야간당직],1,상세표[야간 구분],"휴일",상세표[반영 기관],"서울병원"))</f>
        <v/>
      </c>
      <c r="V765">
        <f>IF($W765="","",IF(ISNUMBER(MATCH(INDEX(합계표[사번키],$W765)&amp;"|"&amp;대상월키,월별근무지표[키],0)),"직접 입력",IF($K765="—","—","기관명단")))</f>
        <v/>
      </c>
      <c r="W765">
        <f>IFERROR(MATCH(760,합계표[판정순번],0),"")</f>
        <v/>
      </c>
    </row>
    <row r="766">
      <c r="A766">
        <f>IF($W766="","",INDEX(합계표[사번],$W766)&amp;"")</f>
        <v/>
      </c>
      <c r="B766">
        <f>IF($W766="","",INDEX(합계표[성명],$W766)&amp;"")</f>
        <v/>
      </c>
      <c r="C766">
        <f>IF($W766="","",INDEX(합계표[부서],$W766)&amp;"")</f>
        <v/>
      </c>
      <c r="D766">
        <f>IF($W766="","",INDEX(합계표[직위(통합)],$W766)&amp;"")</f>
        <v/>
      </c>
      <c r="E766">
        <f>IF($W766="","",SUMIFS(합계표[시스템 합계],합계표[사번키],INDEX(합계표[사번키],$W766)))</f>
        <v/>
      </c>
      <c r="F766">
        <f>IF($W766="","",SUMIFS(상세표[기록 시간외],상세표[사번키],INDEX(합계표[사번키],$W766),상세표[기록월],대상월키))</f>
        <v/>
      </c>
      <c r="G766">
        <f>IF($W766="","",IF(ABS($E766-$F766)&lt;0.01,"일치","불일치(차이 "&amp;TEXT($F766-$E766,"0.00")&amp;")"))</f>
        <v/>
      </c>
      <c r="H766">
        <f>IF($W766="","",SUMIFS(상세표[기록 시간외],상세표[사번키],INDEX(합계표[사번키],$W766),상세표[기록월],대상월키,상세표[반영월],"&lt;&gt;"&amp;대상월키))</f>
        <v/>
      </c>
      <c r="I766">
        <f>IF($W766="","",SUMIFS(상세표[기록 시간외],상세표[사번키],INDEX(합계표[사번키],$W766),상세표[기록월],"&lt;&gt;"&amp;대상월키,상세표[반영월],대상월키))</f>
        <v/>
      </c>
      <c r="J766">
        <f>IF($W766="","",SUMIFS(상세표[기록 시간외],상세표[사번키],INDEX(합계표[사번키],$W766),상세표[반영월],대상월키))</f>
        <v/>
      </c>
      <c r="K766">
        <f>IF($W766="","",IFERROR(INDEX(월별근무지표[적용 급여병원],MATCH(INDEX(합계표[사번키],$W766)&amp;"|"&amp;대상월키,월별근무지표[키],0))&amp;"",IF(COUNTIF(기관표[사번키],INDEX(합계표[사번키],$W766))+COUNTIF(월별근무지표[사번키],INDEX(합계표[사번키],$W766))&gt;0,IFERROR(INDEX(기관표[급여지급병원(기준월)],MATCH(INDEX(합계표[사번키],$W766)&amp;"|"&amp;대상월키,기관표[키],0))&amp;"","—"),"—")))</f>
        <v/>
      </c>
      <c r="L766">
        <f>IF($W766="","",IF(NOT(COUNTIF(기관표[사번키],INDEX(합계표[사번키],$W766))+COUNTIF(월별근무지표[사번키],INDEX(합계표[사번키],$W766))&gt;0),"기관명단에 없음(다른 병원으로 발송)",IF($K766="—","대상월 기관명단 없음(추가 필요)",IF($K766="서울병원","해당","비해당"))))</f>
        <v/>
      </c>
      <c r="M766">
        <f>IF($W766="","",SUMIFS(상세표[06~07시],상세표[사번키],INDEX(합계표[사번키],$W766),상세표[반영월],대상월키,상세표[반영 기관],"서울병원"))</f>
        <v/>
      </c>
      <c r="N766">
        <f>IF($W766="","",SUMIFS(상세표[07~18시],상세표[사번키],INDEX(합계표[사번키],$W766),상세표[반영월],대상월키,상세표[반영 기관],"서울병원"))</f>
        <v/>
      </c>
      <c r="O766">
        <f>IF($W766="","",SUMIFS(상세표[18~22시],상세표[사번키],INDEX(합계표[사번키],$W766),상세표[반영월],대상월키,상세표[반영 기관],"서울병원"))</f>
        <v/>
      </c>
      <c r="P766">
        <f>IF($W766="","",SUMIFS(상세표[22~06시],상세표[사번키],INDEX(합계표[사번키],$W766),상세표[반영월],대상월키,상세표[반영 기관],"서울병원"))</f>
        <v/>
      </c>
      <c r="Q766">
        <f>IF($W766="","",SUM($M766:$P766))</f>
        <v/>
      </c>
      <c r="R766">
        <f>IF($W766="","",COUNTIFS(상세표[사번키],INDEX(합계표[사번키],$W766),상세표[반영월],대상월키,상세표[야간당직],1,상세표[야간 구분],"평일"))</f>
        <v/>
      </c>
      <c r="S766" s="4">
        <f>IF($W766="","",COUNTIFS(상세표[사번키],INDEX(합계표[사번키],$W766),상세표[반영월],대상월키,상세표[야간당직],1,상세표[야간 구분],"휴일"))</f>
        <v/>
      </c>
      <c r="T766">
        <f>IF($W766="","",COUNTIFS(상세표[사번키],INDEX(합계표[사번키],$W766),상세표[반영월],대상월키,상세표[야간당직],1,상세표[야간 구분],"평일",상세표[반영 기관],"서울병원"))</f>
        <v/>
      </c>
      <c r="U766">
        <f>IF($W766="","",COUNTIFS(상세표[사번키],INDEX(합계표[사번키],$W766),상세표[반영월],대상월키,상세표[야간당직],1,상세표[야간 구분],"휴일",상세표[반영 기관],"서울병원"))</f>
        <v/>
      </c>
      <c r="V766">
        <f>IF($W766="","",IF(ISNUMBER(MATCH(INDEX(합계표[사번키],$W766)&amp;"|"&amp;대상월키,월별근무지표[키],0)),"직접 입력",IF($K766="—","—","기관명단")))</f>
        <v/>
      </c>
      <c r="W766">
        <f>IFERROR(MATCH(761,합계표[판정순번],0),"")</f>
        <v/>
      </c>
    </row>
    <row r="767">
      <c r="A767">
        <f>IF($W767="","",INDEX(합계표[사번],$W767)&amp;"")</f>
        <v/>
      </c>
      <c r="B767">
        <f>IF($W767="","",INDEX(합계표[성명],$W767)&amp;"")</f>
        <v/>
      </c>
      <c r="C767">
        <f>IF($W767="","",INDEX(합계표[부서],$W767)&amp;"")</f>
        <v/>
      </c>
      <c r="D767">
        <f>IF($W767="","",INDEX(합계표[직위(통합)],$W767)&amp;"")</f>
        <v/>
      </c>
      <c r="E767">
        <f>IF($W767="","",SUMIFS(합계표[시스템 합계],합계표[사번키],INDEX(합계표[사번키],$W767)))</f>
        <v/>
      </c>
      <c r="F767">
        <f>IF($W767="","",SUMIFS(상세표[기록 시간외],상세표[사번키],INDEX(합계표[사번키],$W767),상세표[기록월],대상월키))</f>
        <v/>
      </c>
      <c r="G767">
        <f>IF($W767="","",IF(ABS($E767-$F767)&lt;0.01,"일치","불일치(차이 "&amp;TEXT($F767-$E767,"0.00")&amp;")"))</f>
        <v/>
      </c>
      <c r="H767">
        <f>IF($W767="","",SUMIFS(상세표[기록 시간외],상세표[사번키],INDEX(합계표[사번키],$W767),상세표[기록월],대상월키,상세표[반영월],"&lt;&gt;"&amp;대상월키))</f>
        <v/>
      </c>
      <c r="I767">
        <f>IF($W767="","",SUMIFS(상세표[기록 시간외],상세표[사번키],INDEX(합계표[사번키],$W767),상세표[기록월],"&lt;&gt;"&amp;대상월키,상세표[반영월],대상월키))</f>
        <v/>
      </c>
      <c r="J767">
        <f>IF($W767="","",SUMIFS(상세표[기록 시간외],상세표[사번키],INDEX(합계표[사번키],$W767),상세표[반영월],대상월키))</f>
        <v/>
      </c>
      <c r="K767">
        <f>IF($W767="","",IFERROR(INDEX(월별근무지표[적용 급여병원],MATCH(INDEX(합계표[사번키],$W767)&amp;"|"&amp;대상월키,월별근무지표[키],0))&amp;"",IF(COUNTIF(기관표[사번키],INDEX(합계표[사번키],$W767))+COUNTIF(월별근무지표[사번키],INDEX(합계표[사번키],$W767))&gt;0,IFERROR(INDEX(기관표[급여지급병원(기준월)],MATCH(INDEX(합계표[사번키],$W767)&amp;"|"&amp;대상월키,기관표[키],0))&amp;"","—"),"—")))</f>
        <v/>
      </c>
      <c r="L767">
        <f>IF($W767="","",IF(NOT(COUNTIF(기관표[사번키],INDEX(합계표[사번키],$W767))+COUNTIF(월별근무지표[사번키],INDEX(합계표[사번키],$W767))&gt;0),"기관명단에 없음(다른 병원으로 발송)",IF($K767="—","대상월 기관명단 없음(추가 필요)",IF($K767="서울병원","해당","비해당"))))</f>
        <v/>
      </c>
      <c r="M767">
        <f>IF($W767="","",SUMIFS(상세표[06~07시],상세표[사번키],INDEX(합계표[사번키],$W767),상세표[반영월],대상월키,상세표[반영 기관],"서울병원"))</f>
        <v/>
      </c>
      <c r="N767">
        <f>IF($W767="","",SUMIFS(상세표[07~18시],상세표[사번키],INDEX(합계표[사번키],$W767),상세표[반영월],대상월키,상세표[반영 기관],"서울병원"))</f>
        <v/>
      </c>
      <c r="O767">
        <f>IF($W767="","",SUMIFS(상세표[18~22시],상세표[사번키],INDEX(합계표[사번키],$W767),상세표[반영월],대상월키,상세표[반영 기관],"서울병원"))</f>
        <v/>
      </c>
      <c r="P767">
        <f>IF($W767="","",SUMIFS(상세표[22~06시],상세표[사번키],INDEX(합계표[사번키],$W767),상세표[반영월],대상월키,상세표[반영 기관],"서울병원"))</f>
        <v/>
      </c>
      <c r="Q767">
        <f>IF($W767="","",SUM($M767:$P767))</f>
        <v/>
      </c>
      <c r="R767">
        <f>IF($W767="","",COUNTIFS(상세표[사번키],INDEX(합계표[사번키],$W767),상세표[반영월],대상월키,상세표[야간당직],1,상세표[야간 구분],"평일"))</f>
        <v/>
      </c>
      <c r="S767" s="4">
        <f>IF($W767="","",COUNTIFS(상세표[사번키],INDEX(합계표[사번키],$W767),상세표[반영월],대상월키,상세표[야간당직],1,상세표[야간 구분],"휴일"))</f>
        <v/>
      </c>
      <c r="T767">
        <f>IF($W767="","",COUNTIFS(상세표[사번키],INDEX(합계표[사번키],$W767),상세표[반영월],대상월키,상세표[야간당직],1,상세표[야간 구분],"평일",상세표[반영 기관],"서울병원"))</f>
        <v/>
      </c>
      <c r="U767">
        <f>IF($W767="","",COUNTIFS(상세표[사번키],INDEX(합계표[사번키],$W767),상세표[반영월],대상월키,상세표[야간당직],1,상세표[야간 구분],"휴일",상세표[반영 기관],"서울병원"))</f>
        <v/>
      </c>
      <c r="V767">
        <f>IF($W767="","",IF(ISNUMBER(MATCH(INDEX(합계표[사번키],$W767)&amp;"|"&amp;대상월키,월별근무지표[키],0)),"직접 입력",IF($K767="—","—","기관명단")))</f>
        <v/>
      </c>
      <c r="W767">
        <f>IFERROR(MATCH(762,합계표[판정순번],0),"")</f>
        <v/>
      </c>
    </row>
    <row r="768">
      <c r="A768">
        <f>IF($W768="","",INDEX(합계표[사번],$W768)&amp;"")</f>
        <v/>
      </c>
      <c r="B768">
        <f>IF($W768="","",INDEX(합계표[성명],$W768)&amp;"")</f>
        <v/>
      </c>
      <c r="C768">
        <f>IF($W768="","",INDEX(합계표[부서],$W768)&amp;"")</f>
        <v/>
      </c>
      <c r="D768">
        <f>IF($W768="","",INDEX(합계표[직위(통합)],$W768)&amp;"")</f>
        <v/>
      </c>
      <c r="E768">
        <f>IF($W768="","",SUMIFS(합계표[시스템 합계],합계표[사번키],INDEX(합계표[사번키],$W768)))</f>
        <v/>
      </c>
      <c r="F768">
        <f>IF($W768="","",SUMIFS(상세표[기록 시간외],상세표[사번키],INDEX(합계표[사번키],$W768),상세표[기록월],대상월키))</f>
        <v/>
      </c>
      <c r="G768">
        <f>IF($W768="","",IF(ABS($E768-$F768)&lt;0.01,"일치","불일치(차이 "&amp;TEXT($F768-$E768,"0.00")&amp;")"))</f>
        <v/>
      </c>
      <c r="H768">
        <f>IF($W768="","",SUMIFS(상세표[기록 시간외],상세표[사번키],INDEX(합계표[사번키],$W768),상세표[기록월],대상월키,상세표[반영월],"&lt;&gt;"&amp;대상월키))</f>
        <v/>
      </c>
      <c r="I768">
        <f>IF($W768="","",SUMIFS(상세표[기록 시간외],상세표[사번키],INDEX(합계표[사번키],$W768),상세표[기록월],"&lt;&gt;"&amp;대상월키,상세표[반영월],대상월키))</f>
        <v/>
      </c>
      <c r="J768">
        <f>IF($W768="","",SUMIFS(상세표[기록 시간외],상세표[사번키],INDEX(합계표[사번키],$W768),상세표[반영월],대상월키))</f>
        <v/>
      </c>
      <c r="K768">
        <f>IF($W768="","",IFERROR(INDEX(월별근무지표[적용 급여병원],MATCH(INDEX(합계표[사번키],$W768)&amp;"|"&amp;대상월키,월별근무지표[키],0))&amp;"",IF(COUNTIF(기관표[사번키],INDEX(합계표[사번키],$W768))+COUNTIF(월별근무지표[사번키],INDEX(합계표[사번키],$W768))&gt;0,IFERROR(INDEX(기관표[급여지급병원(기준월)],MATCH(INDEX(합계표[사번키],$W768)&amp;"|"&amp;대상월키,기관표[키],0))&amp;"","—"),"—")))</f>
        <v/>
      </c>
      <c r="L768">
        <f>IF($W768="","",IF(NOT(COUNTIF(기관표[사번키],INDEX(합계표[사번키],$W768))+COUNTIF(월별근무지표[사번키],INDEX(합계표[사번키],$W768))&gt;0),"기관명단에 없음(다른 병원으로 발송)",IF($K768="—","대상월 기관명단 없음(추가 필요)",IF($K768="서울병원","해당","비해당"))))</f>
        <v/>
      </c>
      <c r="M768">
        <f>IF($W768="","",SUMIFS(상세표[06~07시],상세표[사번키],INDEX(합계표[사번키],$W768),상세표[반영월],대상월키,상세표[반영 기관],"서울병원"))</f>
        <v/>
      </c>
      <c r="N768">
        <f>IF($W768="","",SUMIFS(상세표[07~18시],상세표[사번키],INDEX(합계표[사번키],$W768),상세표[반영월],대상월키,상세표[반영 기관],"서울병원"))</f>
        <v/>
      </c>
      <c r="O768">
        <f>IF($W768="","",SUMIFS(상세표[18~22시],상세표[사번키],INDEX(합계표[사번키],$W768),상세표[반영월],대상월키,상세표[반영 기관],"서울병원"))</f>
        <v/>
      </c>
      <c r="P768">
        <f>IF($W768="","",SUMIFS(상세표[22~06시],상세표[사번키],INDEX(합계표[사번키],$W768),상세표[반영월],대상월키,상세표[반영 기관],"서울병원"))</f>
        <v/>
      </c>
      <c r="Q768">
        <f>IF($W768="","",SUM($M768:$P768))</f>
        <v/>
      </c>
      <c r="R768">
        <f>IF($W768="","",COUNTIFS(상세표[사번키],INDEX(합계표[사번키],$W768),상세표[반영월],대상월키,상세표[야간당직],1,상세표[야간 구분],"평일"))</f>
        <v/>
      </c>
      <c r="S768" s="4">
        <f>IF($W768="","",COUNTIFS(상세표[사번키],INDEX(합계표[사번키],$W768),상세표[반영월],대상월키,상세표[야간당직],1,상세표[야간 구분],"휴일"))</f>
        <v/>
      </c>
      <c r="T768">
        <f>IF($W768="","",COUNTIFS(상세표[사번키],INDEX(합계표[사번키],$W768),상세표[반영월],대상월키,상세표[야간당직],1,상세표[야간 구분],"평일",상세표[반영 기관],"서울병원"))</f>
        <v/>
      </c>
      <c r="U768">
        <f>IF($W768="","",COUNTIFS(상세표[사번키],INDEX(합계표[사번키],$W768),상세표[반영월],대상월키,상세표[야간당직],1,상세표[야간 구분],"휴일",상세표[반영 기관],"서울병원"))</f>
        <v/>
      </c>
      <c r="V768">
        <f>IF($W768="","",IF(ISNUMBER(MATCH(INDEX(합계표[사번키],$W768)&amp;"|"&amp;대상월키,월별근무지표[키],0)),"직접 입력",IF($K768="—","—","기관명단")))</f>
        <v/>
      </c>
      <c r="W768">
        <f>IFERROR(MATCH(763,합계표[판정순번],0),"")</f>
        <v/>
      </c>
    </row>
    <row r="769">
      <c r="A769">
        <f>IF($W769="","",INDEX(합계표[사번],$W769)&amp;"")</f>
        <v/>
      </c>
      <c r="B769">
        <f>IF($W769="","",INDEX(합계표[성명],$W769)&amp;"")</f>
        <v/>
      </c>
      <c r="C769">
        <f>IF($W769="","",INDEX(합계표[부서],$W769)&amp;"")</f>
        <v/>
      </c>
      <c r="D769">
        <f>IF($W769="","",INDEX(합계표[직위(통합)],$W769)&amp;"")</f>
        <v/>
      </c>
      <c r="E769">
        <f>IF($W769="","",SUMIFS(합계표[시스템 합계],합계표[사번키],INDEX(합계표[사번키],$W769)))</f>
        <v/>
      </c>
      <c r="F769">
        <f>IF($W769="","",SUMIFS(상세표[기록 시간외],상세표[사번키],INDEX(합계표[사번키],$W769),상세표[기록월],대상월키))</f>
        <v/>
      </c>
      <c r="G769">
        <f>IF($W769="","",IF(ABS($E769-$F769)&lt;0.01,"일치","불일치(차이 "&amp;TEXT($F769-$E769,"0.00")&amp;")"))</f>
        <v/>
      </c>
      <c r="H769">
        <f>IF($W769="","",SUMIFS(상세표[기록 시간외],상세표[사번키],INDEX(합계표[사번키],$W769),상세표[기록월],대상월키,상세표[반영월],"&lt;&gt;"&amp;대상월키))</f>
        <v/>
      </c>
      <c r="I769">
        <f>IF($W769="","",SUMIFS(상세표[기록 시간외],상세표[사번키],INDEX(합계표[사번키],$W769),상세표[기록월],"&lt;&gt;"&amp;대상월키,상세표[반영월],대상월키))</f>
        <v/>
      </c>
      <c r="J769">
        <f>IF($W769="","",SUMIFS(상세표[기록 시간외],상세표[사번키],INDEX(합계표[사번키],$W769),상세표[반영월],대상월키))</f>
        <v/>
      </c>
      <c r="K769">
        <f>IF($W769="","",IFERROR(INDEX(월별근무지표[적용 급여병원],MATCH(INDEX(합계표[사번키],$W769)&amp;"|"&amp;대상월키,월별근무지표[키],0))&amp;"",IF(COUNTIF(기관표[사번키],INDEX(합계표[사번키],$W769))+COUNTIF(월별근무지표[사번키],INDEX(합계표[사번키],$W769))&gt;0,IFERROR(INDEX(기관표[급여지급병원(기준월)],MATCH(INDEX(합계표[사번키],$W769)&amp;"|"&amp;대상월키,기관표[키],0))&amp;"","—"),"—")))</f>
        <v/>
      </c>
      <c r="L769">
        <f>IF($W769="","",IF(NOT(COUNTIF(기관표[사번키],INDEX(합계표[사번키],$W769))+COUNTIF(월별근무지표[사번키],INDEX(합계표[사번키],$W769))&gt;0),"기관명단에 없음(다른 병원으로 발송)",IF($K769="—","대상월 기관명단 없음(추가 필요)",IF($K769="서울병원","해당","비해당"))))</f>
        <v/>
      </c>
      <c r="M769">
        <f>IF($W769="","",SUMIFS(상세표[06~07시],상세표[사번키],INDEX(합계표[사번키],$W769),상세표[반영월],대상월키,상세표[반영 기관],"서울병원"))</f>
        <v/>
      </c>
      <c r="N769">
        <f>IF($W769="","",SUMIFS(상세표[07~18시],상세표[사번키],INDEX(합계표[사번키],$W769),상세표[반영월],대상월키,상세표[반영 기관],"서울병원"))</f>
        <v/>
      </c>
      <c r="O769">
        <f>IF($W769="","",SUMIFS(상세표[18~22시],상세표[사번키],INDEX(합계표[사번키],$W769),상세표[반영월],대상월키,상세표[반영 기관],"서울병원"))</f>
        <v/>
      </c>
      <c r="P769">
        <f>IF($W769="","",SUMIFS(상세표[22~06시],상세표[사번키],INDEX(합계표[사번키],$W769),상세표[반영월],대상월키,상세표[반영 기관],"서울병원"))</f>
        <v/>
      </c>
      <c r="Q769">
        <f>IF($W769="","",SUM($M769:$P769))</f>
        <v/>
      </c>
      <c r="R769">
        <f>IF($W769="","",COUNTIFS(상세표[사번키],INDEX(합계표[사번키],$W769),상세표[반영월],대상월키,상세표[야간당직],1,상세표[야간 구분],"평일"))</f>
        <v/>
      </c>
      <c r="S769" s="4">
        <f>IF($W769="","",COUNTIFS(상세표[사번키],INDEX(합계표[사번키],$W769),상세표[반영월],대상월키,상세표[야간당직],1,상세표[야간 구분],"휴일"))</f>
        <v/>
      </c>
      <c r="T769">
        <f>IF($W769="","",COUNTIFS(상세표[사번키],INDEX(합계표[사번키],$W769),상세표[반영월],대상월키,상세표[야간당직],1,상세표[야간 구분],"평일",상세표[반영 기관],"서울병원"))</f>
        <v/>
      </c>
      <c r="U769">
        <f>IF($W769="","",COUNTIFS(상세표[사번키],INDEX(합계표[사번키],$W769),상세표[반영월],대상월키,상세표[야간당직],1,상세표[야간 구분],"휴일",상세표[반영 기관],"서울병원"))</f>
        <v/>
      </c>
      <c r="V769">
        <f>IF($W769="","",IF(ISNUMBER(MATCH(INDEX(합계표[사번키],$W769)&amp;"|"&amp;대상월키,월별근무지표[키],0)),"직접 입력",IF($K769="—","—","기관명단")))</f>
        <v/>
      </c>
      <c r="W769">
        <f>IFERROR(MATCH(764,합계표[판정순번],0),"")</f>
        <v/>
      </c>
    </row>
    <row r="770">
      <c r="A770">
        <f>IF($W770="","",INDEX(합계표[사번],$W770)&amp;"")</f>
        <v/>
      </c>
      <c r="B770">
        <f>IF($W770="","",INDEX(합계표[성명],$W770)&amp;"")</f>
        <v/>
      </c>
      <c r="C770">
        <f>IF($W770="","",INDEX(합계표[부서],$W770)&amp;"")</f>
        <v/>
      </c>
      <c r="D770">
        <f>IF($W770="","",INDEX(합계표[직위(통합)],$W770)&amp;"")</f>
        <v/>
      </c>
      <c r="E770">
        <f>IF($W770="","",SUMIFS(합계표[시스템 합계],합계표[사번키],INDEX(합계표[사번키],$W770)))</f>
        <v/>
      </c>
      <c r="F770">
        <f>IF($W770="","",SUMIFS(상세표[기록 시간외],상세표[사번키],INDEX(합계표[사번키],$W770),상세표[기록월],대상월키))</f>
        <v/>
      </c>
      <c r="G770">
        <f>IF($W770="","",IF(ABS($E770-$F770)&lt;0.01,"일치","불일치(차이 "&amp;TEXT($F770-$E770,"0.00")&amp;")"))</f>
        <v/>
      </c>
      <c r="H770">
        <f>IF($W770="","",SUMIFS(상세표[기록 시간외],상세표[사번키],INDEX(합계표[사번키],$W770),상세표[기록월],대상월키,상세표[반영월],"&lt;&gt;"&amp;대상월키))</f>
        <v/>
      </c>
      <c r="I770">
        <f>IF($W770="","",SUMIFS(상세표[기록 시간외],상세표[사번키],INDEX(합계표[사번키],$W770),상세표[기록월],"&lt;&gt;"&amp;대상월키,상세표[반영월],대상월키))</f>
        <v/>
      </c>
      <c r="J770">
        <f>IF($W770="","",SUMIFS(상세표[기록 시간외],상세표[사번키],INDEX(합계표[사번키],$W770),상세표[반영월],대상월키))</f>
        <v/>
      </c>
      <c r="K770">
        <f>IF($W770="","",IFERROR(INDEX(월별근무지표[적용 급여병원],MATCH(INDEX(합계표[사번키],$W770)&amp;"|"&amp;대상월키,월별근무지표[키],0))&amp;"",IF(COUNTIF(기관표[사번키],INDEX(합계표[사번키],$W770))+COUNTIF(월별근무지표[사번키],INDEX(합계표[사번키],$W770))&gt;0,IFERROR(INDEX(기관표[급여지급병원(기준월)],MATCH(INDEX(합계표[사번키],$W770)&amp;"|"&amp;대상월키,기관표[키],0))&amp;"","—"),"—")))</f>
        <v/>
      </c>
      <c r="L770">
        <f>IF($W770="","",IF(NOT(COUNTIF(기관표[사번키],INDEX(합계표[사번키],$W770))+COUNTIF(월별근무지표[사번키],INDEX(합계표[사번키],$W770))&gt;0),"기관명단에 없음(다른 병원으로 발송)",IF($K770="—","대상월 기관명단 없음(추가 필요)",IF($K770="서울병원","해당","비해당"))))</f>
        <v/>
      </c>
      <c r="M770">
        <f>IF($W770="","",SUMIFS(상세표[06~07시],상세표[사번키],INDEX(합계표[사번키],$W770),상세표[반영월],대상월키,상세표[반영 기관],"서울병원"))</f>
        <v/>
      </c>
      <c r="N770">
        <f>IF($W770="","",SUMIFS(상세표[07~18시],상세표[사번키],INDEX(합계표[사번키],$W770),상세표[반영월],대상월키,상세표[반영 기관],"서울병원"))</f>
        <v/>
      </c>
      <c r="O770">
        <f>IF($W770="","",SUMIFS(상세표[18~22시],상세표[사번키],INDEX(합계표[사번키],$W770),상세표[반영월],대상월키,상세표[반영 기관],"서울병원"))</f>
        <v/>
      </c>
      <c r="P770">
        <f>IF($W770="","",SUMIFS(상세표[22~06시],상세표[사번키],INDEX(합계표[사번키],$W770),상세표[반영월],대상월키,상세표[반영 기관],"서울병원"))</f>
        <v/>
      </c>
      <c r="Q770">
        <f>IF($W770="","",SUM($M770:$P770))</f>
        <v/>
      </c>
      <c r="R770">
        <f>IF($W770="","",COUNTIFS(상세표[사번키],INDEX(합계표[사번키],$W770),상세표[반영월],대상월키,상세표[야간당직],1,상세표[야간 구분],"평일"))</f>
        <v/>
      </c>
      <c r="S770" s="4">
        <f>IF($W770="","",COUNTIFS(상세표[사번키],INDEX(합계표[사번키],$W770),상세표[반영월],대상월키,상세표[야간당직],1,상세표[야간 구분],"휴일"))</f>
        <v/>
      </c>
      <c r="T770">
        <f>IF($W770="","",COUNTIFS(상세표[사번키],INDEX(합계표[사번키],$W770),상세표[반영월],대상월키,상세표[야간당직],1,상세표[야간 구분],"평일",상세표[반영 기관],"서울병원"))</f>
        <v/>
      </c>
      <c r="U770">
        <f>IF($W770="","",COUNTIFS(상세표[사번키],INDEX(합계표[사번키],$W770),상세표[반영월],대상월키,상세표[야간당직],1,상세표[야간 구분],"휴일",상세표[반영 기관],"서울병원"))</f>
        <v/>
      </c>
      <c r="V770">
        <f>IF($W770="","",IF(ISNUMBER(MATCH(INDEX(합계표[사번키],$W770)&amp;"|"&amp;대상월키,월별근무지표[키],0)),"직접 입력",IF($K770="—","—","기관명단")))</f>
        <v/>
      </c>
      <c r="W770">
        <f>IFERROR(MATCH(765,합계표[판정순번],0),"")</f>
        <v/>
      </c>
    </row>
    <row r="771">
      <c r="A771">
        <f>IF($W771="","",INDEX(합계표[사번],$W771)&amp;"")</f>
        <v/>
      </c>
      <c r="B771">
        <f>IF($W771="","",INDEX(합계표[성명],$W771)&amp;"")</f>
        <v/>
      </c>
      <c r="C771">
        <f>IF($W771="","",INDEX(합계표[부서],$W771)&amp;"")</f>
        <v/>
      </c>
      <c r="D771">
        <f>IF($W771="","",INDEX(합계표[직위(통합)],$W771)&amp;"")</f>
        <v/>
      </c>
      <c r="E771">
        <f>IF($W771="","",SUMIFS(합계표[시스템 합계],합계표[사번키],INDEX(합계표[사번키],$W771)))</f>
        <v/>
      </c>
      <c r="F771">
        <f>IF($W771="","",SUMIFS(상세표[기록 시간외],상세표[사번키],INDEX(합계표[사번키],$W771),상세표[기록월],대상월키))</f>
        <v/>
      </c>
      <c r="G771">
        <f>IF($W771="","",IF(ABS($E771-$F771)&lt;0.01,"일치","불일치(차이 "&amp;TEXT($F771-$E771,"0.00")&amp;")"))</f>
        <v/>
      </c>
      <c r="H771">
        <f>IF($W771="","",SUMIFS(상세표[기록 시간외],상세표[사번키],INDEX(합계표[사번키],$W771),상세표[기록월],대상월키,상세표[반영월],"&lt;&gt;"&amp;대상월키))</f>
        <v/>
      </c>
      <c r="I771">
        <f>IF($W771="","",SUMIFS(상세표[기록 시간외],상세표[사번키],INDEX(합계표[사번키],$W771),상세표[기록월],"&lt;&gt;"&amp;대상월키,상세표[반영월],대상월키))</f>
        <v/>
      </c>
      <c r="J771">
        <f>IF($W771="","",SUMIFS(상세표[기록 시간외],상세표[사번키],INDEX(합계표[사번키],$W771),상세표[반영월],대상월키))</f>
        <v/>
      </c>
      <c r="K771">
        <f>IF($W771="","",IFERROR(INDEX(월별근무지표[적용 급여병원],MATCH(INDEX(합계표[사번키],$W771)&amp;"|"&amp;대상월키,월별근무지표[키],0))&amp;"",IF(COUNTIF(기관표[사번키],INDEX(합계표[사번키],$W771))+COUNTIF(월별근무지표[사번키],INDEX(합계표[사번키],$W771))&gt;0,IFERROR(INDEX(기관표[급여지급병원(기준월)],MATCH(INDEX(합계표[사번키],$W771)&amp;"|"&amp;대상월키,기관표[키],0))&amp;"","—"),"—")))</f>
        <v/>
      </c>
      <c r="L771">
        <f>IF($W771="","",IF(NOT(COUNTIF(기관표[사번키],INDEX(합계표[사번키],$W771))+COUNTIF(월별근무지표[사번키],INDEX(합계표[사번키],$W771))&gt;0),"기관명단에 없음(다른 병원으로 발송)",IF($K771="—","대상월 기관명단 없음(추가 필요)",IF($K771="서울병원","해당","비해당"))))</f>
        <v/>
      </c>
      <c r="M771">
        <f>IF($W771="","",SUMIFS(상세표[06~07시],상세표[사번키],INDEX(합계표[사번키],$W771),상세표[반영월],대상월키,상세표[반영 기관],"서울병원"))</f>
        <v/>
      </c>
      <c r="N771">
        <f>IF($W771="","",SUMIFS(상세표[07~18시],상세표[사번키],INDEX(합계표[사번키],$W771),상세표[반영월],대상월키,상세표[반영 기관],"서울병원"))</f>
        <v/>
      </c>
      <c r="O771">
        <f>IF($W771="","",SUMIFS(상세표[18~22시],상세표[사번키],INDEX(합계표[사번키],$W771),상세표[반영월],대상월키,상세표[반영 기관],"서울병원"))</f>
        <v/>
      </c>
      <c r="P771">
        <f>IF($W771="","",SUMIFS(상세표[22~06시],상세표[사번키],INDEX(합계표[사번키],$W771),상세표[반영월],대상월키,상세표[반영 기관],"서울병원"))</f>
        <v/>
      </c>
      <c r="Q771">
        <f>IF($W771="","",SUM($M771:$P771))</f>
        <v/>
      </c>
      <c r="R771">
        <f>IF($W771="","",COUNTIFS(상세표[사번키],INDEX(합계표[사번키],$W771),상세표[반영월],대상월키,상세표[야간당직],1,상세표[야간 구분],"평일"))</f>
        <v/>
      </c>
      <c r="S771" s="4">
        <f>IF($W771="","",COUNTIFS(상세표[사번키],INDEX(합계표[사번키],$W771),상세표[반영월],대상월키,상세표[야간당직],1,상세표[야간 구분],"휴일"))</f>
        <v/>
      </c>
      <c r="T771">
        <f>IF($W771="","",COUNTIFS(상세표[사번키],INDEX(합계표[사번키],$W771),상세표[반영월],대상월키,상세표[야간당직],1,상세표[야간 구분],"평일",상세표[반영 기관],"서울병원"))</f>
        <v/>
      </c>
      <c r="U771">
        <f>IF($W771="","",COUNTIFS(상세표[사번키],INDEX(합계표[사번키],$W771),상세표[반영월],대상월키,상세표[야간당직],1,상세표[야간 구분],"휴일",상세표[반영 기관],"서울병원"))</f>
        <v/>
      </c>
      <c r="V771">
        <f>IF($W771="","",IF(ISNUMBER(MATCH(INDEX(합계표[사번키],$W771)&amp;"|"&amp;대상월키,월별근무지표[키],0)),"직접 입력",IF($K771="—","—","기관명단")))</f>
        <v/>
      </c>
      <c r="W771">
        <f>IFERROR(MATCH(766,합계표[판정순번],0),"")</f>
        <v/>
      </c>
    </row>
    <row r="772">
      <c r="A772">
        <f>IF($W772="","",INDEX(합계표[사번],$W772)&amp;"")</f>
        <v/>
      </c>
      <c r="B772">
        <f>IF($W772="","",INDEX(합계표[성명],$W772)&amp;"")</f>
        <v/>
      </c>
      <c r="C772">
        <f>IF($W772="","",INDEX(합계표[부서],$W772)&amp;"")</f>
        <v/>
      </c>
      <c r="D772">
        <f>IF($W772="","",INDEX(합계표[직위(통합)],$W772)&amp;"")</f>
        <v/>
      </c>
      <c r="E772">
        <f>IF($W772="","",SUMIFS(합계표[시스템 합계],합계표[사번키],INDEX(합계표[사번키],$W772)))</f>
        <v/>
      </c>
      <c r="F772">
        <f>IF($W772="","",SUMIFS(상세표[기록 시간외],상세표[사번키],INDEX(합계표[사번키],$W772),상세표[기록월],대상월키))</f>
        <v/>
      </c>
      <c r="G772">
        <f>IF($W772="","",IF(ABS($E772-$F772)&lt;0.01,"일치","불일치(차이 "&amp;TEXT($F772-$E772,"0.00")&amp;")"))</f>
        <v/>
      </c>
      <c r="H772">
        <f>IF($W772="","",SUMIFS(상세표[기록 시간외],상세표[사번키],INDEX(합계표[사번키],$W772),상세표[기록월],대상월키,상세표[반영월],"&lt;&gt;"&amp;대상월키))</f>
        <v/>
      </c>
      <c r="I772">
        <f>IF($W772="","",SUMIFS(상세표[기록 시간외],상세표[사번키],INDEX(합계표[사번키],$W772),상세표[기록월],"&lt;&gt;"&amp;대상월키,상세표[반영월],대상월키))</f>
        <v/>
      </c>
      <c r="J772">
        <f>IF($W772="","",SUMIFS(상세표[기록 시간외],상세표[사번키],INDEX(합계표[사번키],$W772),상세표[반영월],대상월키))</f>
        <v/>
      </c>
      <c r="K772">
        <f>IF($W772="","",IFERROR(INDEX(월별근무지표[적용 급여병원],MATCH(INDEX(합계표[사번키],$W772)&amp;"|"&amp;대상월키,월별근무지표[키],0))&amp;"",IF(COUNTIF(기관표[사번키],INDEX(합계표[사번키],$W772))+COUNTIF(월별근무지표[사번키],INDEX(합계표[사번키],$W772))&gt;0,IFERROR(INDEX(기관표[급여지급병원(기준월)],MATCH(INDEX(합계표[사번키],$W772)&amp;"|"&amp;대상월키,기관표[키],0))&amp;"","—"),"—")))</f>
        <v/>
      </c>
      <c r="L772">
        <f>IF($W772="","",IF(NOT(COUNTIF(기관표[사번키],INDEX(합계표[사번키],$W772))+COUNTIF(월별근무지표[사번키],INDEX(합계표[사번키],$W772))&gt;0),"기관명단에 없음(다른 병원으로 발송)",IF($K772="—","대상월 기관명단 없음(추가 필요)",IF($K772="서울병원","해당","비해당"))))</f>
        <v/>
      </c>
      <c r="M772">
        <f>IF($W772="","",SUMIFS(상세표[06~07시],상세표[사번키],INDEX(합계표[사번키],$W772),상세표[반영월],대상월키,상세표[반영 기관],"서울병원"))</f>
        <v/>
      </c>
      <c r="N772">
        <f>IF($W772="","",SUMIFS(상세표[07~18시],상세표[사번키],INDEX(합계표[사번키],$W772),상세표[반영월],대상월키,상세표[반영 기관],"서울병원"))</f>
        <v/>
      </c>
      <c r="O772">
        <f>IF($W772="","",SUMIFS(상세표[18~22시],상세표[사번키],INDEX(합계표[사번키],$W772),상세표[반영월],대상월키,상세표[반영 기관],"서울병원"))</f>
        <v/>
      </c>
      <c r="P772">
        <f>IF($W772="","",SUMIFS(상세표[22~06시],상세표[사번키],INDEX(합계표[사번키],$W772),상세표[반영월],대상월키,상세표[반영 기관],"서울병원"))</f>
        <v/>
      </c>
      <c r="Q772">
        <f>IF($W772="","",SUM($M772:$P772))</f>
        <v/>
      </c>
      <c r="R772">
        <f>IF($W772="","",COUNTIFS(상세표[사번키],INDEX(합계표[사번키],$W772),상세표[반영월],대상월키,상세표[야간당직],1,상세표[야간 구분],"평일"))</f>
        <v/>
      </c>
      <c r="S772" s="4">
        <f>IF($W772="","",COUNTIFS(상세표[사번키],INDEX(합계표[사번키],$W772),상세표[반영월],대상월키,상세표[야간당직],1,상세표[야간 구분],"휴일"))</f>
        <v/>
      </c>
      <c r="T772">
        <f>IF($W772="","",COUNTIFS(상세표[사번키],INDEX(합계표[사번키],$W772),상세표[반영월],대상월키,상세표[야간당직],1,상세표[야간 구분],"평일",상세표[반영 기관],"서울병원"))</f>
        <v/>
      </c>
      <c r="U772">
        <f>IF($W772="","",COUNTIFS(상세표[사번키],INDEX(합계표[사번키],$W772),상세표[반영월],대상월키,상세표[야간당직],1,상세표[야간 구분],"휴일",상세표[반영 기관],"서울병원"))</f>
        <v/>
      </c>
      <c r="V772">
        <f>IF($W772="","",IF(ISNUMBER(MATCH(INDEX(합계표[사번키],$W772)&amp;"|"&amp;대상월키,월별근무지표[키],0)),"직접 입력",IF($K772="—","—","기관명단")))</f>
        <v/>
      </c>
      <c r="W772">
        <f>IFERROR(MATCH(767,합계표[판정순번],0),"")</f>
        <v/>
      </c>
    </row>
    <row r="773">
      <c r="A773">
        <f>IF($W773="","",INDEX(합계표[사번],$W773)&amp;"")</f>
        <v/>
      </c>
      <c r="B773">
        <f>IF($W773="","",INDEX(합계표[성명],$W773)&amp;"")</f>
        <v/>
      </c>
      <c r="C773">
        <f>IF($W773="","",INDEX(합계표[부서],$W773)&amp;"")</f>
        <v/>
      </c>
      <c r="D773">
        <f>IF($W773="","",INDEX(합계표[직위(통합)],$W773)&amp;"")</f>
        <v/>
      </c>
      <c r="E773">
        <f>IF($W773="","",SUMIFS(합계표[시스템 합계],합계표[사번키],INDEX(합계표[사번키],$W773)))</f>
        <v/>
      </c>
      <c r="F773">
        <f>IF($W773="","",SUMIFS(상세표[기록 시간외],상세표[사번키],INDEX(합계표[사번키],$W773),상세표[기록월],대상월키))</f>
        <v/>
      </c>
      <c r="G773">
        <f>IF($W773="","",IF(ABS($E773-$F773)&lt;0.01,"일치","불일치(차이 "&amp;TEXT($F773-$E773,"0.00")&amp;")"))</f>
        <v/>
      </c>
      <c r="H773">
        <f>IF($W773="","",SUMIFS(상세표[기록 시간외],상세표[사번키],INDEX(합계표[사번키],$W773),상세표[기록월],대상월키,상세표[반영월],"&lt;&gt;"&amp;대상월키))</f>
        <v/>
      </c>
      <c r="I773">
        <f>IF($W773="","",SUMIFS(상세표[기록 시간외],상세표[사번키],INDEX(합계표[사번키],$W773),상세표[기록월],"&lt;&gt;"&amp;대상월키,상세표[반영월],대상월키))</f>
        <v/>
      </c>
      <c r="J773">
        <f>IF($W773="","",SUMIFS(상세표[기록 시간외],상세표[사번키],INDEX(합계표[사번키],$W773),상세표[반영월],대상월키))</f>
        <v/>
      </c>
      <c r="K773">
        <f>IF($W773="","",IFERROR(INDEX(월별근무지표[적용 급여병원],MATCH(INDEX(합계표[사번키],$W773)&amp;"|"&amp;대상월키,월별근무지표[키],0))&amp;"",IF(COUNTIF(기관표[사번키],INDEX(합계표[사번키],$W773))+COUNTIF(월별근무지표[사번키],INDEX(합계표[사번키],$W773))&gt;0,IFERROR(INDEX(기관표[급여지급병원(기준월)],MATCH(INDEX(합계표[사번키],$W773)&amp;"|"&amp;대상월키,기관표[키],0))&amp;"","—"),"—")))</f>
        <v/>
      </c>
      <c r="L773">
        <f>IF($W773="","",IF(NOT(COUNTIF(기관표[사번키],INDEX(합계표[사번키],$W773))+COUNTIF(월별근무지표[사번키],INDEX(합계표[사번키],$W773))&gt;0),"기관명단에 없음(다른 병원으로 발송)",IF($K773="—","대상월 기관명단 없음(추가 필요)",IF($K773="서울병원","해당","비해당"))))</f>
        <v/>
      </c>
      <c r="M773">
        <f>IF($W773="","",SUMIFS(상세표[06~07시],상세표[사번키],INDEX(합계표[사번키],$W773),상세표[반영월],대상월키,상세표[반영 기관],"서울병원"))</f>
        <v/>
      </c>
      <c r="N773">
        <f>IF($W773="","",SUMIFS(상세표[07~18시],상세표[사번키],INDEX(합계표[사번키],$W773),상세표[반영월],대상월키,상세표[반영 기관],"서울병원"))</f>
        <v/>
      </c>
      <c r="O773">
        <f>IF($W773="","",SUMIFS(상세표[18~22시],상세표[사번키],INDEX(합계표[사번키],$W773),상세표[반영월],대상월키,상세표[반영 기관],"서울병원"))</f>
        <v/>
      </c>
      <c r="P773">
        <f>IF($W773="","",SUMIFS(상세표[22~06시],상세표[사번키],INDEX(합계표[사번키],$W773),상세표[반영월],대상월키,상세표[반영 기관],"서울병원"))</f>
        <v/>
      </c>
      <c r="Q773">
        <f>IF($W773="","",SUM($M773:$P773))</f>
        <v/>
      </c>
      <c r="R773">
        <f>IF($W773="","",COUNTIFS(상세표[사번키],INDEX(합계표[사번키],$W773),상세표[반영월],대상월키,상세표[야간당직],1,상세표[야간 구분],"평일"))</f>
        <v/>
      </c>
      <c r="S773" s="4">
        <f>IF($W773="","",COUNTIFS(상세표[사번키],INDEX(합계표[사번키],$W773),상세표[반영월],대상월키,상세표[야간당직],1,상세표[야간 구분],"휴일"))</f>
        <v/>
      </c>
      <c r="T773">
        <f>IF($W773="","",COUNTIFS(상세표[사번키],INDEX(합계표[사번키],$W773),상세표[반영월],대상월키,상세표[야간당직],1,상세표[야간 구분],"평일",상세표[반영 기관],"서울병원"))</f>
        <v/>
      </c>
      <c r="U773">
        <f>IF($W773="","",COUNTIFS(상세표[사번키],INDEX(합계표[사번키],$W773),상세표[반영월],대상월키,상세표[야간당직],1,상세표[야간 구분],"휴일",상세표[반영 기관],"서울병원"))</f>
        <v/>
      </c>
      <c r="V773">
        <f>IF($W773="","",IF(ISNUMBER(MATCH(INDEX(합계표[사번키],$W773)&amp;"|"&amp;대상월키,월별근무지표[키],0)),"직접 입력",IF($K773="—","—","기관명단")))</f>
        <v/>
      </c>
      <c r="W773">
        <f>IFERROR(MATCH(768,합계표[판정순번],0),"")</f>
        <v/>
      </c>
    </row>
    <row r="774">
      <c r="A774">
        <f>IF($W774="","",INDEX(합계표[사번],$W774)&amp;"")</f>
        <v/>
      </c>
      <c r="B774">
        <f>IF($W774="","",INDEX(합계표[성명],$W774)&amp;"")</f>
        <v/>
      </c>
      <c r="C774">
        <f>IF($W774="","",INDEX(합계표[부서],$W774)&amp;"")</f>
        <v/>
      </c>
      <c r="D774">
        <f>IF($W774="","",INDEX(합계표[직위(통합)],$W774)&amp;"")</f>
        <v/>
      </c>
      <c r="E774">
        <f>IF($W774="","",SUMIFS(합계표[시스템 합계],합계표[사번키],INDEX(합계표[사번키],$W774)))</f>
        <v/>
      </c>
      <c r="F774">
        <f>IF($W774="","",SUMIFS(상세표[기록 시간외],상세표[사번키],INDEX(합계표[사번키],$W774),상세표[기록월],대상월키))</f>
        <v/>
      </c>
      <c r="G774">
        <f>IF($W774="","",IF(ABS($E774-$F774)&lt;0.01,"일치","불일치(차이 "&amp;TEXT($F774-$E774,"0.00")&amp;")"))</f>
        <v/>
      </c>
      <c r="H774">
        <f>IF($W774="","",SUMIFS(상세표[기록 시간외],상세표[사번키],INDEX(합계표[사번키],$W774),상세표[기록월],대상월키,상세표[반영월],"&lt;&gt;"&amp;대상월키))</f>
        <v/>
      </c>
      <c r="I774">
        <f>IF($W774="","",SUMIFS(상세표[기록 시간외],상세표[사번키],INDEX(합계표[사번키],$W774),상세표[기록월],"&lt;&gt;"&amp;대상월키,상세표[반영월],대상월키))</f>
        <v/>
      </c>
      <c r="J774">
        <f>IF($W774="","",SUMIFS(상세표[기록 시간외],상세표[사번키],INDEX(합계표[사번키],$W774),상세표[반영월],대상월키))</f>
        <v/>
      </c>
      <c r="K774">
        <f>IF($W774="","",IFERROR(INDEX(월별근무지표[적용 급여병원],MATCH(INDEX(합계표[사번키],$W774)&amp;"|"&amp;대상월키,월별근무지표[키],0))&amp;"",IF(COUNTIF(기관표[사번키],INDEX(합계표[사번키],$W774))+COUNTIF(월별근무지표[사번키],INDEX(합계표[사번키],$W774))&gt;0,IFERROR(INDEX(기관표[급여지급병원(기준월)],MATCH(INDEX(합계표[사번키],$W774)&amp;"|"&amp;대상월키,기관표[키],0))&amp;"","—"),"—")))</f>
        <v/>
      </c>
      <c r="L774">
        <f>IF($W774="","",IF(NOT(COUNTIF(기관표[사번키],INDEX(합계표[사번키],$W774))+COUNTIF(월별근무지표[사번키],INDEX(합계표[사번키],$W774))&gt;0),"기관명단에 없음(다른 병원으로 발송)",IF($K774="—","대상월 기관명단 없음(추가 필요)",IF($K774="서울병원","해당","비해당"))))</f>
        <v/>
      </c>
      <c r="M774">
        <f>IF($W774="","",SUMIFS(상세표[06~07시],상세표[사번키],INDEX(합계표[사번키],$W774),상세표[반영월],대상월키,상세표[반영 기관],"서울병원"))</f>
        <v/>
      </c>
      <c r="N774">
        <f>IF($W774="","",SUMIFS(상세표[07~18시],상세표[사번키],INDEX(합계표[사번키],$W774),상세표[반영월],대상월키,상세표[반영 기관],"서울병원"))</f>
        <v/>
      </c>
      <c r="O774">
        <f>IF($W774="","",SUMIFS(상세표[18~22시],상세표[사번키],INDEX(합계표[사번키],$W774),상세표[반영월],대상월키,상세표[반영 기관],"서울병원"))</f>
        <v/>
      </c>
      <c r="P774">
        <f>IF($W774="","",SUMIFS(상세표[22~06시],상세표[사번키],INDEX(합계표[사번키],$W774),상세표[반영월],대상월키,상세표[반영 기관],"서울병원"))</f>
        <v/>
      </c>
      <c r="Q774">
        <f>IF($W774="","",SUM($M774:$P774))</f>
        <v/>
      </c>
      <c r="R774">
        <f>IF($W774="","",COUNTIFS(상세표[사번키],INDEX(합계표[사번키],$W774),상세표[반영월],대상월키,상세표[야간당직],1,상세표[야간 구분],"평일"))</f>
        <v/>
      </c>
      <c r="S774" s="4">
        <f>IF($W774="","",COUNTIFS(상세표[사번키],INDEX(합계표[사번키],$W774),상세표[반영월],대상월키,상세표[야간당직],1,상세표[야간 구분],"휴일"))</f>
        <v/>
      </c>
      <c r="T774">
        <f>IF($W774="","",COUNTIFS(상세표[사번키],INDEX(합계표[사번키],$W774),상세표[반영월],대상월키,상세표[야간당직],1,상세표[야간 구분],"평일",상세표[반영 기관],"서울병원"))</f>
        <v/>
      </c>
      <c r="U774">
        <f>IF($W774="","",COUNTIFS(상세표[사번키],INDEX(합계표[사번키],$W774),상세표[반영월],대상월키,상세표[야간당직],1,상세표[야간 구분],"휴일",상세표[반영 기관],"서울병원"))</f>
        <v/>
      </c>
      <c r="V774">
        <f>IF($W774="","",IF(ISNUMBER(MATCH(INDEX(합계표[사번키],$W774)&amp;"|"&amp;대상월키,월별근무지표[키],0)),"직접 입력",IF($K774="—","—","기관명단")))</f>
        <v/>
      </c>
      <c r="W774">
        <f>IFERROR(MATCH(769,합계표[판정순번],0),"")</f>
        <v/>
      </c>
    </row>
    <row r="775">
      <c r="A775">
        <f>IF($W775="","",INDEX(합계표[사번],$W775)&amp;"")</f>
        <v/>
      </c>
      <c r="B775">
        <f>IF($W775="","",INDEX(합계표[성명],$W775)&amp;"")</f>
        <v/>
      </c>
      <c r="C775">
        <f>IF($W775="","",INDEX(합계표[부서],$W775)&amp;"")</f>
        <v/>
      </c>
      <c r="D775">
        <f>IF($W775="","",INDEX(합계표[직위(통합)],$W775)&amp;"")</f>
        <v/>
      </c>
      <c r="E775">
        <f>IF($W775="","",SUMIFS(합계표[시스템 합계],합계표[사번키],INDEX(합계표[사번키],$W775)))</f>
        <v/>
      </c>
      <c r="F775">
        <f>IF($W775="","",SUMIFS(상세표[기록 시간외],상세표[사번키],INDEX(합계표[사번키],$W775),상세표[기록월],대상월키))</f>
        <v/>
      </c>
      <c r="G775">
        <f>IF($W775="","",IF(ABS($E775-$F775)&lt;0.01,"일치","불일치(차이 "&amp;TEXT($F775-$E775,"0.00")&amp;")"))</f>
        <v/>
      </c>
      <c r="H775">
        <f>IF($W775="","",SUMIFS(상세표[기록 시간외],상세표[사번키],INDEX(합계표[사번키],$W775),상세표[기록월],대상월키,상세표[반영월],"&lt;&gt;"&amp;대상월키))</f>
        <v/>
      </c>
      <c r="I775">
        <f>IF($W775="","",SUMIFS(상세표[기록 시간외],상세표[사번키],INDEX(합계표[사번키],$W775),상세표[기록월],"&lt;&gt;"&amp;대상월키,상세표[반영월],대상월키))</f>
        <v/>
      </c>
      <c r="J775">
        <f>IF($W775="","",SUMIFS(상세표[기록 시간외],상세표[사번키],INDEX(합계표[사번키],$W775),상세표[반영월],대상월키))</f>
        <v/>
      </c>
      <c r="K775">
        <f>IF($W775="","",IFERROR(INDEX(월별근무지표[적용 급여병원],MATCH(INDEX(합계표[사번키],$W775)&amp;"|"&amp;대상월키,월별근무지표[키],0))&amp;"",IF(COUNTIF(기관표[사번키],INDEX(합계표[사번키],$W775))+COUNTIF(월별근무지표[사번키],INDEX(합계표[사번키],$W775))&gt;0,IFERROR(INDEX(기관표[급여지급병원(기준월)],MATCH(INDEX(합계표[사번키],$W775)&amp;"|"&amp;대상월키,기관표[키],0))&amp;"","—"),"—")))</f>
        <v/>
      </c>
      <c r="L775">
        <f>IF($W775="","",IF(NOT(COUNTIF(기관표[사번키],INDEX(합계표[사번키],$W775))+COUNTIF(월별근무지표[사번키],INDEX(합계표[사번키],$W775))&gt;0),"기관명단에 없음(다른 병원으로 발송)",IF($K775="—","대상월 기관명단 없음(추가 필요)",IF($K775="서울병원","해당","비해당"))))</f>
        <v/>
      </c>
      <c r="M775">
        <f>IF($W775="","",SUMIFS(상세표[06~07시],상세표[사번키],INDEX(합계표[사번키],$W775),상세표[반영월],대상월키,상세표[반영 기관],"서울병원"))</f>
        <v/>
      </c>
      <c r="N775">
        <f>IF($W775="","",SUMIFS(상세표[07~18시],상세표[사번키],INDEX(합계표[사번키],$W775),상세표[반영월],대상월키,상세표[반영 기관],"서울병원"))</f>
        <v/>
      </c>
      <c r="O775">
        <f>IF($W775="","",SUMIFS(상세표[18~22시],상세표[사번키],INDEX(합계표[사번키],$W775),상세표[반영월],대상월키,상세표[반영 기관],"서울병원"))</f>
        <v/>
      </c>
      <c r="P775">
        <f>IF($W775="","",SUMIFS(상세표[22~06시],상세표[사번키],INDEX(합계표[사번키],$W775),상세표[반영월],대상월키,상세표[반영 기관],"서울병원"))</f>
        <v/>
      </c>
      <c r="Q775">
        <f>IF($W775="","",SUM($M775:$P775))</f>
        <v/>
      </c>
      <c r="R775">
        <f>IF($W775="","",COUNTIFS(상세표[사번키],INDEX(합계표[사번키],$W775),상세표[반영월],대상월키,상세표[야간당직],1,상세표[야간 구분],"평일"))</f>
        <v/>
      </c>
      <c r="S775" s="4">
        <f>IF($W775="","",COUNTIFS(상세표[사번키],INDEX(합계표[사번키],$W775),상세표[반영월],대상월키,상세표[야간당직],1,상세표[야간 구분],"휴일"))</f>
        <v/>
      </c>
      <c r="T775">
        <f>IF($W775="","",COUNTIFS(상세표[사번키],INDEX(합계표[사번키],$W775),상세표[반영월],대상월키,상세표[야간당직],1,상세표[야간 구분],"평일",상세표[반영 기관],"서울병원"))</f>
        <v/>
      </c>
      <c r="U775">
        <f>IF($W775="","",COUNTIFS(상세표[사번키],INDEX(합계표[사번키],$W775),상세표[반영월],대상월키,상세표[야간당직],1,상세표[야간 구분],"휴일",상세표[반영 기관],"서울병원"))</f>
        <v/>
      </c>
      <c r="V775">
        <f>IF($W775="","",IF(ISNUMBER(MATCH(INDEX(합계표[사번키],$W775)&amp;"|"&amp;대상월키,월별근무지표[키],0)),"직접 입력",IF($K775="—","—","기관명단")))</f>
        <v/>
      </c>
      <c r="W775">
        <f>IFERROR(MATCH(770,합계표[판정순번],0),"")</f>
        <v/>
      </c>
    </row>
    <row r="776">
      <c r="A776">
        <f>IF($W776="","",INDEX(합계표[사번],$W776)&amp;"")</f>
        <v/>
      </c>
      <c r="B776">
        <f>IF($W776="","",INDEX(합계표[성명],$W776)&amp;"")</f>
        <v/>
      </c>
      <c r="C776">
        <f>IF($W776="","",INDEX(합계표[부서],$W776)&amp;"")</f>
        <v/>
      </c>
      <c r="D776">
        <f>IF($W776="","",INDEX(합계표[직위(통합)],$W776)&amp;"")</f>
        <v/>
      </c>
      <c r="E776">
        <f>IF($W776="","",SUMIFS(합계표[시스템 합계],합계표[사번키],INDEX(합계표[사번키],$W776)))</f>
        <v/>
      </c>
      <c r="F776">
        <f>IF($W776="","",SUMIFS(상세표[기록 시간외],상세표[사번키],INDEX(합계표[사번키],$W776),상세표[기록월],대상월키))</f>
        <v/>
      </c>
      <c r="G776">
        <f>IF($W776="","",IF(ABS($E776-$F776)&lt;0.01,"일치","불일치(차이 "&amp;TEXT($F776-$E776,"0.00")&amp;")"))</f>
        <v/>
      </c>
      <c r="H776">
        <f>IF($W776="","",SUMIFS(상세표[기록 시간외],상세표[사번키],INDEX(합계표[사번키],$W776),상세표[기록월],대상월키,상세표[반영월],"&lt;&gt;"&amp;대상월키))</f>
        <v/>
      </c>
      <c r="I776">
        <f>IF($W776="","",SUMIFS(상세표[기록 시간외],상세표[사번키],INDEX(합계표[사번키],$W776),상세표[기록월],"&lt;&gt;"&amp;대상월키,상세표[반영월],대상월키))</f>
        <v/>
      </c>
      <c r="J776">
        <f>IF($W776="","",SUMIFS(상세표[기록 시간외],상세표[사번키],INDEX(합계표[사번키],$W776),상세표[반영월],대상월키))</f>
        <v/>
      </c>
      <c r="K776">
        <f>IF($W776="","",IFERROR(INDEX(월별근무지표[적용 급여병원],MATCH(INDEX(합계표[사번키],$W776)&amp;"|"&amp;대상월키,월별근무지표[키],0))&amp;"",IF(COUNTIF(기관표[사번키],INDEX(합계표[사번키],$W776))+COUNTIF(월별근무지표[사번키],INDEX(합계표[사번키],$W776))&gt;0,IFERROR(INDEX(기관표[급여지급병원(기준월)],MATCH(INDEX(합계표[사번키],$W776)&amp;"|"&amp;대상월키,기관표[키],0))&amp;"","—"),"—")))</f>
        <v/>
      </c>
      <c r="L776">
        <f>IF($W776="","",IF(NOT(COUNTIF(기관표[사번키],INDEX(합계표[사번키],$W776))+COUNTIF(월별근무지표[사번키],INDEX(합계표[사번키],$W776))&gt;0),"기관명단에 없음(다른 병원으로 발송)",IF($K776="—","대상월 기관명단 없음(추가 필요)",IF($K776="서울병원","해당","비해당"))))</f>
        <v/>
      </c>
      <c r="M776">
        <f>IF($W776="","",SUMIFS(상세표[06~07시],상세표[사번키],INDEX(합계표[사번키],$W776),상세표[반영월],대상월키,상세표[반영 기관],"서울병원"))</f>
        <v/>
      </c>
      <c r="N776">
        <f>IF($W776="","",SUMIFS(상세표[07~18시],상세표[사번키],INDEX(합계표[사번키],$W776),상세표[반영월],대상월키,상세표[반영 기관],"서울병원"))</f>
        <v/>
      </c>
      <c r="O776">
        <f>IF($W776="","",SUMIFS(상세표[18~22시],상세표[사번키],INDEX(합계표[사번키],$W776),상세표[반영월],대상월키,상세표[반영 기관],"서울병원"))</f>
        <v/>
      </c>
      <c r="P776">
        <f>IF($W776="","",SUMIFS(상세표[22~06시],상세표[사번키],INDEX(합계표[사번키],$W776),상세표[반영월],대상월키,상세표[반영 기관],"서울병원"))</f>
        <v/>
      </c>
      <c r="Q776">
        <f>IF($W776="","",SUM($M776:$P776))</f>
        <v/>
      </c>
      <c r="R776">
        <f>IF($W776="","",COUNTIFS(상세표[사번키],INDEX(합계표[사번키],$W776),상세표[반영월],대상월키,상세표[야간당직],1,상세표[야간 구분],"평일"))</f>
        <v/>
      </c>
      <c r="S776" s="4">
        <f>IF($W776="","",COUNTIFS(상세표[사번키],INDEX(합계표[사번키],$W776),상세표[반영월],대상월키,상세표[야간당직],1,상세표[야간 구분],"휴일"))</f>
        <v/>
      </c>
      <c r="T776">
        <f>IF($W776="","",COUNTIFS(상세표[사번키],INDEX(합계표[사번키],$W776),상세표[반영월],대상월키,상세표[야간당직],1,상세표[야간 구분],"평일",상세표[반영 기관],"서울병원"))</f>
        <v/>
      </c>
      <c r="U776">
        <f>IF($W776="","",COUNTIFS(상세표[사번키],INDEX(합계표[사번키],$W776),상세표[반영월],대상월키,상세표[야간당직],1,상세표[야간 구분],"휴일",상세표[반영 기관],"서울병원"))</f>
        <v/>
      </c>
      <c r="V776">
        <f>IF($W776="","",IF(ISNUMBER(MATCH(INDEX(합계표[사번키],$W776)&amp;"|"&amp;대상월키,월별근무지표[키],0)),"직접 입력",IF($K776="—","—","기관명단")))</f>
        <v/>
      </c>
      <c r="W776">
        <f>IFERROR(MATCH(771,합계표[판정순번],0),"")</f>
        <v/>
      </c>
    </row>
    <row r="777">
      <c r="A777">
        <f>IF($W777="","",INDEX(합계표[사번],$W777)&amp;"")</f>
        <v/>
      </c>
      <c r="B777">
        <f>IF($W777="","",INDEX(합계표[성명],$W777)&amp;"")</f>
        <v/>
      </c>
      <c r="C777">
        <f>IF($W777="","",INDEX(합계표[부서],$W777)&amp;"")</f>
        <v/>
      </c>
      <c r="D777">
        <f>IF($W777="","",INDEX(합계표[직위(통합)],$W777)&amp;"")</f>
        <v/>
      </c>
      <c r="E777">
        <f>IF($W777="","",SUMIFS(합계표[시스템 합계],합계표[사번키],INDEX(합계표[사번키],$W777)))</f>
        <v/>
      </c>
      <c r="F777">
        <f>IF($W777="","",SUMIFS(상세표[기록 시간외],상세표[사번키],INDEX(합계표[사번키],$W777),상세표[기록월],대상월키))</f>
        <v/>
      </c>
      <c r="G777">
        <f>IF($W777="","",IF(ABS($E777-$F777)&lt;0.01,"일치","불일치(차이 "&amp;TEXT($F777-$E777,"0.00")&amp;")"))</f>
        <v/>
      </c>
      <c r="H777">
        <f>IF($W777="","",SUMIFS(상세표[기록 시간외],상세표[사번키],INDEX(합계표[사번키],$W777),상세표[기록월],대상월키,상세표[반영월],"&lt;&gt;"&amp;대상월키))</f>
        <v/>
      </c>
      <c r="I777">
        <f>IF($W777="","",SUMIFS(상세표[기록 시간외],상세표[사번키],INDEX(합계표[사번키],$W777),상세표[기록월],"&lt;&gt;"&amp;대상월키,상세표[반영월],대상월키))</f>
        <v/>
      </c>
      <c r="J777">
        <f>IF($W777="","",SUMIFS(상세표[기록 시간외],상세표[사번키],INDEX(합계표[사번키],$W777),상세표[반영월],대상월키))</f>
        <v/>
      </c>
      <c r="K777">
        <f>IF($W777="","",IFERROR(INDEX(월별근무지표[적용 급여병원],MATCH(INDEX(합계표[사번키],$W777)&amp;"|"&amp;대상월키,월별근무지표[키],0))&amp;"",IF(COUNTIF(기관표[사번키],INDEX(합계표[사번키],$W777))+COUNTIF(월별근무지표[사번키],INDEX(합계표[사번키],$W777))&gt;0,IFERROR(INDEX(기관표[급여지급병원(기준월)],MATCH(INDEX(합계표[사번키],$W777)&amp;"|"&amp;대상월키,기관표[키],0))&amp;"","—"),"—")))</f>
        <v/>
      </c>
      <c r="L777">
        <f>IF($W777="","",IF(NOT(COUNTIF(기관표[사번키],INDEX(합계표[사번키],$W777))+COUNTIF(월별근무지표[사번키],INDEX(합계표[사번키],$W777))&gt;0),"기관명단에 없음(다른 병원으로 발송)",IF($K777="—","대상월 기관명단 없음(추가 필요)",IF($K777="서울병원","해당","비해당"))))</f>
        <v/>
      </c>
      <c r="M777">
        <f>IF($W777="","",SUMIFS(상세표[06~07시],상세표[사번키],INDEX(합계표[사번키],$W777),상세표[반영월],대상월키,상세표[반영 기관],"서울병원"))</f>
        <v/>
      </c>
      <c r="N777">
        <f>IF($W777="","",SUMIFS(상세표[07~18시],상세표[사번키],INDEX(합계표[사번키],$W777),상세표[반영월],대상월키,상세표[반영 기관],"서울병원"))</f>
        <v/>
      </c>
      <c r="O777">
        <f>IF($W777="","",SUMIFS(상세표[18~22시],상세표[사번키],INDEX(합계표[사번키],$W777),상세표[반영월],대상월키,상세표[반영 기관],"서울병원"))</f>
        <v/>
      </c>
      <c r="P777">
        <f>IF($W777="","",SUMIFS(상세표[22~06시],상세표[사번키],INDEX(합계표[사번키],$W777),상세표[반영월],대상월키,상세표[반영 기관],"서울병원"))</f>
        <v/>
      </c>
      <c r="Q777">
        <f>IF($W777="","",SUM($M777:$P777))</f>
        <v/>
      </c>
      <c r="R777">
        <f>IF($W777="","",COUNTIFS(상세표[사번키],INDEX(합계표[사번키],$W777),상세표[반영월],대상월키,상세표[야간당직],1,상세표[야간 구분],"평일"))</f>
        <v/>
      </c>
      <c r="S777" s="4">
        <f>IF($W777="","",COUNTIFS(상세표[사번키],INDEX(합계표[사번키],$W777),상세표[반영월],대상월키,상세표[야간당직],1,상세표[야간 구분],"휴일"))</f>
        <v/>
      </c>
      <c r="T777">
        <f>IF($W777="","",COUNTIFS(상세표[사번키],INDEX(합계표[사번키],$W777),상세표[반영월],대상월키,상세표[야간당직],1,상세표[야간 구분],"평일",상세표[반영 기관],"서울병원"))</f>
        <v/>
      </c>
      <c r="U777">
        <f>IF($W777="","",COUNTIFS(상세표[사번키],INDEX(합계표[사번키],$W777),상세표[반영월],대상월키,상세표[야간당직],1,상세표[야간 구분],"휴일",상세표[반영 기관],"서울병원"))</f>
        <v/>
      </c>
      <c r="V777">
        <f>IF($W777="","",IF(ISNUMBER(MATCH(INDEX(합계표[사번키],$W777)&amp;"|"&amp;대상월키,월별근무지표[키],0)),"직접 입력",IF($K777="—","—","기관명단")))</f>
        <v/>
      </c>
      <c r="W777">
        <f>IFERROR(MATCH(772,합계표[판정순번],0),"")</f>
        <v/>
      </c>
    </row>
    <row r="778">
      <c r="A778">
        <f>IF($W778="","",INDEX(합계표[사번],$W778)&amp;"")</f>
        <v/>
      </c>
      <c r="B778">
        <f>IF($W778="","",INDEX(합계표[성명],$W778)&amp;"")</f>
        <v/>
      </c>
      <c r="C778">
        <f>IF($W778="","",INDEX(합계표[부서],$W778)&amp;"")</f>
        <v/>
      </c>
      <c r="D778">
        <f>IF($W778="","",INDEX(합계표[직위(통합)],$W778)&amp;"")</f>
        <v/>
      </c>
      <c r="E778">
        <f>IF($W778="","",SUMIFS(합계표[시스템 합계],합계표[사번키],INDEX(합계표[사번키],$W778)))</f>
        <v/>
      </c>
      <c r="F778">
        <f>IF($W778="","",SUMIFS(상세표[기록 시간외],상세표[사번키],INDEX(합계표[사번키],$W778),상세표[기록월],대상월키))</f>
        <v/>
      </c>
      <c r="G778">
        <f>IF($W778="","",IF(ABS($E778-$F778)&lt;0.01,"일치","불일치(차이 "&amp;TEXT($F778-$E778,"0.00")&amp;")"))</f>
        <v/>
      </c>
      <c r="H778">
        <f>IF($W778="","",SUMIFS(상세표[기록 시간외],상세표[사번키],INDEX(합계표[사번키],$W778),상세표[기록월],대상월키,상세표[반영월],"&lt;&gt;"&amp;대상월키))</f>
        <v/>
      </c>
      <c r="I778">
        <f>IF($W778="","",SUMIFS(상세표[기록 시간외],상세표[사번키],INDEX(합계표[사번키],$W778),상세표[기록월],"&lt;&gt;"&amp;대상월키,상세표[반영월],대상월키))</f>
        <v/>
      </c>
      <c r="J778">
        <f>IF($W778="","",SUMIFS(상세표[기록 시간외],상세표[사번키],INDEX(합계표[사번키],$W778),상세표[반영월],대상월키))</f>
        <v/>
      </c>
      <c r="K778">
        <f>IF($W778="","",IFERROR(INDEX(월별근무지표[적용 급여병원],MATCH(INDEX(합계표[사번키],$W778)&amp;"|"&amp;대상월키,월별근무지표[키],0))&amp;"",IF(COUNTIF(기관표[사번키],INDEX(합계표[사번키],$W778))+COUNTIF(월별근무지표[사번키],INDEX(합계표[사번키],$W778))&gt;0,IFERROR(INDEX(기관표[급여지급병원(기준월)],MATCH(INDEX(합계표[사번키],$W778)&amp;"|"&amp;대상월키,기관표[키],0))&amp;"","—"),"—")))</f>
        <v/>
      </c>
      <c r="L778">
        <f>IF($W778="","",IF(NOT(COUNTIF(기관표[사번키],INDEX(합계표[사번키],$W778))+COUNTIF(월별근무지표[사번키],INDEX(합계표[사번키],$W778))&gt;0),"기관명단에 없음(다른 병원으로 발송)",IF($K778="—","대상월 기관명단 없음(추가 필요)",IF($K778="서울병원","해당","비해당"))))</f>
        <v/>
      </c>
      <c r="M778">
        <f>IF($W778="","",SUMIFS(상세표[06~07시],상세표[사번키],INDEX(합계표[사번키],$W778),상세표[반영월],대상월키,상세표[반영 기관],"서울병원"))</f>
        <v/>
      </c>
      <c r="N778">
        <f>IF($W778="","",SUMIFS(상세표[07~18시],상세표[사번키],INDEX(합계표[사번키],$W778),상세표[반영월],대상월키,상세표[반영 기관],"서울병원"))</f>
        <v/>
      </c>
      <c r="O778">
        <f>IF($W778="","",SUMIFS(상세표[18~22시],상세표[사번키],INDEX(합계표[사번키],$W778),상세표[반영월],대상월키,상세표[반영 기관],"서울병원"))</f>
        <v/>
      </c>
      <c r="P778">
        <f>IF($W778="","",SUMIFS(상세표[22~06시],상세표[사번키],INDEX(합계표[사번키],$W778),상세표[반영월],대상월키,상세표[반영 기관],"서울병원"))</f>
        <v/>
      </c>
      <c r="Q778">
        <f>IF($W778="","",SUM($M778:$P778))</f>
        <v/>
      </c>
      <c r="R778">
        <f>IF($W778="","",COUNTIFS(상세표[사번키],INDEX(합계표[사번키],$W778),상세표[반영월],대상월키,상세표[야간당직],1,상세표[야간 구분],"평일"))</f>
        <v/>
      </c>
      <c r="S778" s="4">
        <f>IF($W778="","",COUNTIFS(상세표[사번키],INDEX(합계표[사번키],$W778),상세표[반영월],대상월키,상세표[야간당직],1,상세표[야간 구분],"휴일"))</f>
        <v/>
      </c>
      <c r="T778">
        <f>IF($W778="","",COUNTIFS(상세표[사번키],INDEX(합계표[사번키],$W778),상세표[반영월],대상월키,상세표[야간당직],1,상세표[야간 구분],"평일",상세표[반영 기관],"서울병원"))</f>
        <v/>
      </c>
      <c r="U778">
        <f>IF($W778="","",COUNTIFS(상세표[사번키],INDEX(합계표[사번키],$W778),상세표[반영월],대상월키,상세표[야간당직],1,상세표[야간 구분],"휴일",상세표[반영 기관],"서울병원"))</f>
        <v/>
      </c>
      <c r="V778">
        <f>IF($W778="","",IF(ISNUMBER(MATCH(INDEX(합계표[사번키],$W778)&amp;"|"&amp;대상월키,월별근무지표[키],0)),"직접 입력",IF($K778="—","—","기관명단")))</f>
        <v/>
      </c>
      <c r="W778">
        <f>IFERROR(MATCH(773,합계표[판정순번],0),"")</f>
        <v/>
      </c>
    </row>
    <row r="779">
      <c r="A779">
        <f>IF($W779="","",INDEX(합계표[사번],$W779)&amp;"")</f>
        <v/>
      </c>
      <c r="B779">
        <f>IF($W779="","",INDEX(합계표[성명],$W779)&amp;"")</f>
        <v/>
      </c>
      <c r="C779">
        <f>IF($W779="","",INDEX(합계표[부서],$W779)&amp;"")</f>
        <v/>
      </c>
      <c r="D779">
        <f>IF($W779="","",INDEX(합계표[직위(통합)],$W779)&amp;"")</f>
        <v/>
      </c>
      <c r="E779">
        <f>IF($W779="","",SUMIFS(합계표[시스템 합계],합계표[사번키],INDEX(합계표[사번키],$W779)))</f>
        <v/>
      </c>
      <c r="F779">
        <f>IF($W779="","",SUMIFS(상세표[기록 시간외],상세표[사번키],INDEX(합계표[사번키],$W779),상세표[기록월],대상월키))</f>
        <v/>
      </c>
      <c r="G779">
        <f>IF($W779="","",IF(ABS($E779-$F779)&lt;0.01,"일치","불일치(차이 "&amp;TEXT($F779-$E779,"0.00")&amp;")"))</f>
        <v/>
      </c>
      <c r="H779">
        <f>IF($W779="","",SUMIFS(상세표[기록 시간외],상세표[사번키],INDEX(합계표[사번키],$W779),상세표[기록월],대상월키,상세표[반영월],"&lt;&gt;"&amp;대상월키))</f>
        <v/>
      </c>
      <c r="I779">
        <f>IF($W779="","",SUMIFS(상세표[기록 시간외],상세표[사번키],INDEX(합계표[사번키],$W779),상세표[기록월],"&lt;&gt;"&amp;대상월키,상세표[반영월],대상월키))</f>
        <v/>
      </c>
      <c r="J779">
        <f>IF($W779="","",SUMIFS(상세표[기록 시간외],상세표[사번키],INDEX(합계표[사번키],$W779),상세표[반영월],대상월키))</f>
        <v/>
      </c>
      <c r="K779">
        <f>IF($W779="","",IFERROR(INDEX(월별근무지표[적용 급여병원],MATCH(INDEX(합계표[사번키],$W779)&amp;"|"&amp;대상월키,월별근무지표[키],0))&amp;"",IF(COUNTIF(기관표[사번키],INDEX(합계표[사번키],$W779))+COUNTIF(월별근무지표[사번키],INDEX(합계표[사번키],$W779))&gt;0,IFERROR(INDEX(기관표[급여지급병원(기준월)],MATCH(INDEX(합계표[사번키],$W779)&amp;"|"&amp;대상월키,기관표[키],0))&amp;"","—"),"—")))</f>
        <v/>
      </c>
      <c r="L779">
        <f>IF($W779="","",IF(NOT(COUNTIF(기관표[사번키],INDEX(합계표[사번키],$W779))+COUNTIF(월별근무지표[사번키],INDEX(합계표[사번키],$W779))&gt;0),"기관명단에 없음(다른 병원으로 발송)",IF($K779="—","대상월 기관명단 없음(추가 필요)",IF($K779="서울병원","해당","비해당"))))</f>
        <v/>
      </c>
      <c r="M779">
        <f>IF($W779="","",SUMIFS(상세표[06~07시],상세표[사번키],INDEX(합계표[사번키],$W779),상세표[반영월],대상월키,상세표[반영 기관],"서울병원"))</f>
        <v/>
      </c>
      <c r="N779">
        <f>IF($W779="","",SUMIFS(상세표[07~18시],상세표[사번키],INDEX(합계표[사번키],$W779),상세표[반영월],대상월키,상세표[반영 기관],"서울병원"))</f>
        <v/>
      </c>
      <c r="O779">
        <f>IF($W779="","",SUMIFS(상세표[18~22시],상세표[사번키],INDEX(합계표[사번키],$W779),상세표[반영월],대상월키,상세표[반영 기관],"서울병원"))</f>
        <v/>
      </c>
      <c r="P779">
        <f>IF($W779="","",SUMIFS(상세표[22~06시],상세표[사번키],INDEX(합계표[사번키],$W779),상세표[반영월],대상월키,상세표[반영 기관],"서울병원"))</f>
        <v/>
      </c>
      <c r="Q779">
        <f>IF($W779="","",SUM($M779:$P779))</f>
        <v/>
      </c>
      <c r="R779">
        <f>IF($W779="","",COUNTIFS(상세표[사번키],INDEX(합계표[사번키],$W779),상세표[반영월],대상월키,상세표[야간당직],1,상세표[야간 구분],"평일"))</f>
        <v/>
      </c>
      <c r="S779" s="4">
        <f>IF($W779="","",COUNTIFS(상세표[사번키],INDEX(합계표[사번키],$W779),상세표[반영월],대상월키,상세표[야간당직],1,상세표[야간 구분],"휴일"))</f>
        <v/>
      </c>
      <c r="T779">
        <f>IF($W779="","",COUNTIFS(상세표[사번키],INDEX(합계표[사번키],$W779),상세표[반영월],대상월키,상세표[야간당직],1,상세표[야간 구분],"평일",상세표[반영 기관],"서울병원"))</f>
        <v/>
      </c>
      <c r="U779">
        <f>IF($W779="","",COUNTIFS(상세표[사번키],INDEX(합계표[사번키],$W779),상세표[반영월],대상월키,상세표[야간당직],1,상세표[야간 구분],"휴일",상세표[반영 기관],"서울병원"))</f>
        <v/>
      </c>
      <c r="V779">
        <f>IF($W779="","",IF(ISNUMBER(MATCH(INDEX(합계표[사번키],$W779)&amp;"|"&amp;대상월키,월별근무지표[키],0)),"직접 입력",IF($K779="—","—","기관명단")))</f>
        <v/>
      </c>
      <c r="W779">
        <f>IFERROR(MATCH(774,합계표[판정순번],0),"")</f>
        <v/>
      </c>
    </row>
    <row r="780">
      <c r="A780">
        <f>IF($W780="","",INDEX(합계표[사번],$W780)&amp;"")</f>
        <v/>
      </c>
      <c r="B780">
        <f>IF($W780="","",INDEX(합계표[성명],$W780)&amp;"")</f>
        <v/>
      </c>
      <c r="C780">
        <f>IF($W780="","",INDEX(합계표[부서],$W780)&amp;"")</f>
        <v/>
      </c>
      <c r="D780">
        <f>IF($W780="","",INDEX(합계표[직위(통합)],$W780)&amp;"")</f>
        <v/>
      </c>
      <c r="E780">
        <f>IF($W780="","",SUMIFS(합계표[시스템 합계],합계표[사번키],INDEX(합계표[사번키],$W780)))</f>
        <v/>
      </c>
      <c r="F780">
        <f>IF($W780="","",SUMIFS(상세표[기록 시간외],상세표[사번키],INDEX(합계표[사번키],$W780),상세표[기록월],대상월키))</f>
        <v/>
      </c>
      <c r="G780">
        <f>IF($W780="","",IF(ABS($E780-$F780)&lt;0.01,"일치","불일치(차이 "&amp;TEXT($F780-$E780,"0.00")&amp;")"))</f>
        <v/>
      </c>
      <c r="H780">
        <f>IF($W780="","",SUMIFS(상세표[기록 시간외],상세표[사번키],INDEX(합계표[사번키],$W780),상세표[기록월],대상월키,상세표[반영월],"&lt;&gt;"&amp;대상월키))</f>
        <v/>
      </c>
      <c r="I780">
        <f>IF($W780="","",SUMIFS(상세표[기록 시간외],상세표[사번키],INDEX(합계표[사번키],$W780),상세표[기록월],"&lt;&gt;"&amp;대상월키,상세표[반영월],대상월키))</f>
        <v/>
      </c>
      <c r="J780">
        <f>IF($W780="","",SUMIFS(상세표[기록 시간외],상세표[사번키],INDEX(합계표[사번키],$W780),상세표[반영월],대상월키))</f>
        <v/>
      </c>
      <c r="K780">
        <f>IF($W780="","",IFERROR(INDEX(월별근무지표[적용 급여병원],MATCH(INDEX(합계표[사번키],$W780)&amp;"|"&amp;대상월키,월별근무지표[키],0))&amp;"",IF(COUNTIF(기관표[사번키],INDEX(합계표[사번키],$W780))+COUNTIF(월별근무지표[사번키],INDEX(합계표[사번키],$W780))&gt;0,IFERROR(INDEX(기관표[급여지급병원(기준월)],MATCH(INDEX(합계표[사번키],$W780)&amp;"|"&amp;대상월키,기관표[키],0))&amp;"","—"),"—")))</f>
        <v/>
      </c>
      <c r="L780">
        <f>IF($W780="","",IF(NOT(COUNTIF(기관표[사번키],INDEX(합계표[사번키],$W780))+COUNTIF(월별근무지표[사번키],INDEX(합계표[사번키],$W780))&gt;0),"기관명단에 없음(다른 병원으로 발송)",IF($K780="—","대상월 기관명단 없음(추가 필요)",IF($K780="서울병원","해당","비해당"))))</f>
        <v/>
      </c>
      <c r="M780">
        <f>IF($W780="","",SUMIFS(상세표[06~07시],상세표[사번키],INDEX(합계표[사번키],$W780),상세표[반영월],대상월키,상세표[반영 기관],"서울병원"))</f>
        <v/>
      </c>
      <c r="N780">
        <f>IF($W780="","",SUMIFS(상세표[07~18시],상세표[사번키],INDEX(합계표[사번키],$W780),상세표[반영월],대상월키,상세표[반영 기관],"서울병원"))</f>
        <v/>
      </c>
      <c r="O780">
        <f>IF($W780="","",SUMIFS(상세표[18~22시],상세표[사번키],INDEX(합계표[사번키],$W780),상세표[반영월],대상월키,상세표[반영 기관],"서울병원"))</f>
        <v/>
      </c>
      <c r="P780">
        <f>IF($W780="","",SUMIFS(상세표[22~06시],상세표[사번키],INDEX(합계표[사번키],$W780),상세표[반영월],대상월키,상세표[반영 기관],"서울병원"))</f>
        <v/>
      </c>
      <c r="Q780">
        <f>IF($W780="","",SUM($M780:$P780))</f>
        <v/>
      </c>
      <c r="R780">
        <f>IF($W780="","",COUNTIFS(상세표[사번키],INDEX(합계표[사번키],$W780),상세표[반영월],대상월키,상세표[야간당직],1,상세표[야간 구분],"평일"))</f>
        <v/>
      </c>
      <c r="S780" s="4">
        <f>IF($W780="","",COUNTIFS(상세표[사번키],INDEX(합계표[사번키],$W780),상세표[반영월],대상월키,상세표[야간당직],1,상세표[야간 구분],"휴일"))</f>
        <v/>
      </c>
      <c r="T780">
        <f>IF($W780="","",COUNTIFS(상세표[사번키],INDEX(합계표[사번키],$W780),상세표[반영월],대상월키,상세표[야간당직],1,상세표[야간 구분],"평일",상세표[반영 기관],"서울병원"))</f>
        <v/>
      </c>
      <c r="U780">
        <f>IF($W780="","",COUNTIFS(상세표[사번키],INDEX(합계표[사번키],$W780),상세표[반영월],대상월키,상세표[야간당직],1,상세표[야간 구분],"휴일",상세표[반영 기관],"서울병원"))</f>
        <v/>
      </c>
      <c r="V780">
        <f>IF($W780="","",IF(ISNUMBER(MATCH(INDEX(합계표[사번키],$W780)&amp;"|"&amp;대상월키,월별근무지표[키],0)),"직접 입력",IF($K780="—","—","기관명단")))</f>
        <v/>
      </c>
      <c r="W780">
        <f>IFERROR(MATCH(775,합계표[판정순번],0),"")</f>
        <v/>
      </c>
    </row>
    <row r="781">
      <c r="A781">
        <f>IF($W781="","",INDEX(합계표[사번],$W781)&amp;"")</f>
        <v/>
      </c>
      <c r="B781">
        <f>IF($W781="","",INDEX(합계표[성명],$W781)&amp;"")</f>
        <v/>
      </c>
      <c r="C781">
        <f>IF($W781="","",INDEX(합계표[부서],$W781)&amp;"")</f>
        <v/>
      </c>
      <c r="D781">
        <f>IF($W781="","",INDEX(합계표[직위(통합)],$W781)&amp;"")</f>
        <v/>
      </c>
      <c r="E781">
        <f>IF($W781="","",SUMIFS(합계표[시스템 합계],합계표[사번키],INDEX(합계표[사번키],$W781)))</f>
        <v/>
      </c>
      <c r="F781">
        <f>IF($W781="","",SUMIFS(상세표[기록 시간외],상세표[사번키],INDEX(합계표[사번키],$W781),상세표[기록월],대상월키))</f>
        <v/>
      </c>
      <c r="G781">
        <f>IF($W781="","",IF(ABS($E781-$F781)&lt;0.01,"일치","불일치(차이 "&amp;TEXT($F781-$E781,"0.00")&amp;")"))</f>
        <v/>
      </c>
      <c r="H781">
        <f>IF($W781="","",SUMIFS(상세표[기록 시간외],상세표[사번키],INDEX(합계표[사번키],$W781),상세표[기록월],대상월키,상세표[반영월],"&lt;&gt;"&amp;대상월키))</f>
        <v/>
      </c>
      <c r="I781">
        <f>IF($W781="","",SUMIFS(상세표[기록 시간외],상세표[사번키],INDEX(합계표[사번키],$W781),상세표[기록월],"&lt;&gt;"&amp;대상월키,상세표[반영월],대상월키))</f>
        <v/>
      </c>
      <c r="J781">
        <f>IF($W781="","",SUMIFS(상세표[기록 시간외],상세표[사번키],INDEX(합계표[사번키],$W781),상세표[반영월],대상월키))</f>
        <v/>
      </c>
      <c r="K781">
        <f>IF($W781="","",IFERROR(INDEX(월별근무지표[적용 급여병원],MATCH(INDEX(합계표[사번키],$W781)&amp;"|"&amp;대상월키,월별근무지표[키],0))&amp;"",IF(COUNTIF(기관표[사번키],INDEX(합계표[사번키],$W781))+COUNTIF(월별근무지표[사번키],INDEX(합계표[사번키],$W781))&gt;0,IFERROR(INDEX(기관표[급여지급병원(기준월)],MATCH(INDEX(합계표[사번키],$W781)&amp;"|"&amp;대상월키,기관표[키],0))&amp;"","—"),"—")))</f>
        <v/>
      </c>
      <c r="L781">
        <f>IF($W781="","",IF(NOT(COUNTIF(기관표[사번키],INDEX(합계표[사번키],$W781))+COUNTIF(월별근무지표[사번키],INDEX(합계표[사번키],$W781))&gt;0),"기관명단에 없음(다른 병원으로 발송)",IF($K781="—","대상월 기관명단 없음(추가 필요)",IF($K781="서울병원","해당","비해당"))))</f>
        <v/>
      </c>
      <c r="M781">
        <f>IF($W781="","",SUMIFS(상세표[06~07시],상세표[사번키],INDEX(합계표[사번키],$W781),상세표[반영월],대상월키,상세표[반영 기관],"서울병원"))</f>
        <v/>
      </c>
      <c r="N781">
        <f>IF($W781="","",SUMIFS(상세표[07~18시],상세표[사번키],INDEX(합계표[사번키],$W781),상세표[반영월],대상월키,상세표[반영 기관],"서울병원"))</f>
        <v/>
      </c>
      <c r="O781">
        <f>IF($W781="","",SUMIFS(상세표[18~22시],상세표[사번키],INDEX(합계표[사번키],$W781),상세표[반영월],대상월키,상세표[반영 기관],"서울병원"))</f>
        <v/>
      </c>
      <c r="P781">
        <f>IF($W781="","",SUMIFS(상세표[22~06시],상세표[사번키],INDEX(합계표[사번키],$W781),상세표[반영월],대상월키,상세표[반영 기관],"서울병원"))</f>
        <v/>
      </c>
      <c r="Q781">
        <f>IF($W781="","",SUM($M781:$P781))</f>
        <v/>
      </c>
      <c r="R781">
        <f>IF($W781="","",COUNTIFS(상세표[사번키],INDEX(합계표[사번키],$W781),상세표[반영월],대상월키,상세표[야간당직],1,상세표[야간 구분],"평일"))</f>
        <v/>
      </c>
      <c r="S781" s="4">
        <f>IF($W781="","",COUNTIFS(상세표[사번키],INDEX(합계표[사번키],$W781),상세표[반영월],대상월키,상세표[야간당직],1,상세표[야간 구분],"휴일"))</f>
        <v/>
      </c>
      <c r="T781">
        <f>IF($W781="","",COUNTIFS(상세표[사번키],INDEX(합계표[사번키],$W781),상세표[반영월],대상월키,상세표[야간당직],1,상세표[야간 구분],"평일",상세표[반영 기관],"서울병원"))</f>
        <v/>
      </c>
      <c r="U781">
        <f>IF($W781="","",COUNTIFS(상세표[사번키],INDEX(합계표[사번키],$W781),상세표[반영월],대상월키,상세표[야간당직],1,상세표[야간 구분],"휴일",상세표[반영 기관],"서울병원"))</f>
        <v/>
      </c>
      <c r="V781">
        <f>IF($W781="","",IF(ISNUMBER(MATCH(INDEX(합계표[사번키],$W781)&amp;"|"&amp;대상월키,월별근무지표[키],0)),"직접 입력",IF($K781="—","—","기관명단")))</f>
        <v/>
      </c>
      <c r="W781">
        <f>IFERROR(MATCH(776,합계표[판정순번],0),"")</f>
        <v/>
      </c>
    </row>
    <row r="782">
      <c r="A782">
        <f>IF($W782="","",INDEX(합계표[사번],$W782)&amp;"")</f>
        <v/>
      </c>
      <c r="B782">
        <f>IF($W782="","",INDEX(합계표[성명],$W782)&amp;"")</f>
        <v/>
      </c>
      <c r="C782">
        <f>IF($W782="","",INDEX(합계표[부서],$W782)&amp;"")</f>
        <v/>
      </c>
      <c r="D782">
        <f>IF($W782="","",INDEX(합계표[직위(통합)],$W782)&amp;"")</f>
        <v/>
      </c>
      <c r="E782">
        <f>IF($W782="","",SUMIFS(합계표[시스템 합계],합계표[사번키],INDEX(합계표[사번키],$W782)))</f>
        <v/>
      </c>
      <c r="F782">
        <f>IF($W782="","",SUMIFS(상세표[기록 시간외],상세표[사번키],INDEX(합계표[사번키],$W782),상세표[기록월],대상월키))</f>
        <v/>
      </c>
      <c r="G782">
        <f>IF($W782="","",IF(ABS($E782-$F782)&lt;0.01,"일치","불일치(차이 "&amp;TEXT($F782-$E782,"0.00")&amp;")"))</f>
        <v/>
      </c>
      <c r="H782">
        <f>IF($W782="","",SUMIFS(상세표[기록 시간외],상세표[사번키],INDEX(합계표[사번키],$W782),상세표[기록월],대상월키,상세표[반영월],"&lt;&gt;"&amp;대상월키))</f>
        <v/>
      </c>
      <c r="I782">
        <f>IF($W782="","",SUMIFS(상세표[기록 시간외],상세표[사번키],INDEX(합계표[사번키],$W782),상세표[기록월],"&lt;&gt;"&amp;대상월키,상세표[반영월],대상월키))</f>
        <v/>
      </c>
      <c r="J782">
        <f>IF($W782="","",SUMIFS(상세표[기록 시간외],상세표[사번키],INDEX(합계표[사번키],$W782),상세표[반영월],대상월키))</f>
        <v/>
      </c>
      <c r="K782">
        <f>IF($W782="","",IFERROR(INDEX(월별근무지표[적용 급여병원],MATCH(INDEX(합계표[사번키],$W782)&amp;"|"&amp;대상월키,월별근무지표[키],0))&amp;"",IF(COUNTIF(기관표[사번키],INDEX(합계표[사번키],$W782))+COUNTIF(월별근무지표[사번키],INDEX(합계표[사번키],$W782))&gt;0,IFERROR(INDEX(기관표[급여지급병원(기준월)],MATCH(INDEX(합계표[사번키],$W782)&amp;"|"&amp;대상월키,기관표[키],0))&amp;"","—"),"—")))</f>
        <v/>
      </c>
      <c r="L782">
        <f>IF($W782="","",IF(NOT(COUNTIF(기관표[사번키],INDEX(합계표[사번키],$W782))+COUNTIF(월별근무지표[사번키],INDEX(합계표[사번키],$W782))&gt;0),"기관명단에 없음(다른 병원으로 발송)",IF($K782="—","대상월 기관명단 없음(추가 필요)",IF($K782="서울병원","해당","비해당"))))</f>
        <v/>
      </c>
      <c r="M782">
        <f>IF($W782="","",SUMIFS(상세표[06~07시],상세표[사번키],INDEX(합계표[사번키],$W782),상세표[반영월],대상월키,상세표[반영 기관],"서울병원"))</f>
        <v/>
      </c>
      <c r="N782">
        <f>IF($W782="","",SUMIFS(상세표[07~18시],상세표[사번키],INDEX(합계표[사번키],$W782),상세표[반영월],대상월키,상세표[반영 기관],"서울병원"))</f>
        <v/>
      </c>
      <c r="O782">
        <f>IF($W782="","",SUMIFS(상세표[18~22시],상세표[사번키],INDEX(합계표[사번키],$W782),상세표[반영월],대상월키,상세표[반영 기관],"서울병원"))</f>
        <v/>
      </c>
      <c r="P782">
        <f>IF($W782="","",SUMIFS(상세표[22~06시],상세표[사번키],INDEX(합계표[사번키],$W782),상세표[반영월],대상월키,상세표[반영 기관],"서울병원"))</f>
        <v/>
      </c>
      <c r="Q782">
        <f>IF($W782="","",SUM($M782:$P782))</f>
        <v/>
      </c>
      <c r="R782">
        <f>IF($W782="","",COUNTIFS(상세표[사번키],INDEX(합계표[사번키],$W782),상세표[반영월],대상월키,상세표[야간당직],1,상세표[야간 구분],"평일"))</f>
        <v/>
      </c>
      <c r="S782" s="4">
        <f>IF($W782="","",COUNTIFS(상세표[사번키],INDEX(합계표[사번키],$W782),상세표[반영월],대상월키,상세표[야간당직],1,상세표[야간 구분],"휴일"))</f>
        <v/>
      </c>
      <c r="T782">
        <f>IF($W782="","",COUNTIFS(상세표[사번키],INDEX(합계표[사번키],$W782),상세표[반영월],대상월키,상세표[야간당직],1,상세표[야간 구분],"평일",상세표[반영 기관],"서울병원"))</f>
        <v/>
      </c>
      <c r="U782">
        <f>IF($W782="","",COUNTIFS(상세표[사번키],INDEX(합계표[사번키],$W782),상세표[반영월],대상월키,상세표[야간당직],1,상세표[야간 구분],"휴일",상세표[반영 기관],"서울병원"))</f>
        <v/>
      </c>
      <c r="V782">
        <f>IF($W782="","",IF(ISNUMBER(MATCH(INDEX(합계표[사번키],$W782)&amp;"|"&amp;대상월키,월별근무지표[키],0)),"직접 입력",IF($K782="—","—","기관명단")))</f>
        <v/>
      </c>
      <c r="W782">
        <f>IFERROR(MATCH(777,합계표[판정순번],0),"")</f>
        <v/>
      </c>
    </row>
    <row r="783">
      <c r="A783">
        <f>IF($W783="","",INDEX(합계표[사번],$W783)&amp;"")</f>
        <v/>
      </c>
      <c r="B783">
        <f>IF($W783="","",INDEX(합계표[성명],$W783)&amp;"")</f>
        <v/>
      </c>
      <c r="C783">
        <f>IF($W783="","",INDEX(합계표[부서],$W783)&amp;"")</f>
        <v/>
      </c>
      <c r="D783">
        <f>IF($W783="","",INDEX(합계표[직위(통합)],$W783)&amp;"")</f>
        <v/>
      </c>
      <c r="E783">
        <f>IF($W783="","",SUMIFS(합계표[시스템 합계],합계표[사번키],INDEX(합계표[사번키],$W783)))</f>
        <v/>
      </c>
      <c r="F783">
        <f>IF($W783="","",SUMIFS(상세표[기록 시간외],상세표[사번키],INDEX(합계표[사번키],$W783),상세표[기록월],대상월키))</f>
        <v/>
      </c>
      <c r="G783">
        <f>IF($W783="","",IF(ABS($E783-$F783)&lt;0.01,"일치","불일치(차이 "&amp;TEXT($F783-$E783,"0.00")&amp;")"))</f>
        <v/>
      </c>
      <c r="H783">
        <f>IF($W783="","",SUMIFS(상세표[기록 시간외],상세표[사번키],INDEX(합계표[사번키],$W783),상세표[기록월],대상월키,상세표[반영월],"&lt;&gt;"&amp;대상월키))</f>
        <v/>
      </c>
      <c r="I783">
        <f>IF($W783="","",SUMIFS(상세표[기록 시간외],상세표[사번키],INDEX(합계표[사번키],$W783),상세표[기록월],"&lt;&gt;"&amp;대상월키,상세표[반영월],대상월키))</f>
        <v/>
      </c>
      <c r="J783">
        <f>IF($W783="","",SUMIFS(상세표[기록 시간외],상세표[사번키],INDEX(합계표[사번키],$W783),상세표[반영월],대상월키))</f>
        <v/>
      </c>
      <c r="K783">
        <f>IF($W783="","",IFERROR(INDEX(월별근무지표[적용 급여병원],MATCH(INDEX(합계표[사번키],$W783)&amp;"|"&amp;대상월키,월별근무지표[키],0))&amp;"",IF(COUNTIF(기관표[사번키],INDEX(합계표[사번키],$W783))+COUNTIF(월별근무지표[사번키],INDEX(합계표[사번키],$W783))&gt;0,IFERROR(INDEX(기관표[급여지급병원(기준월)],MATCH(INDEX(합계표[사번키],$W783)&amp;"|"&amp;대상월키,기관표[키],0))&amp;"","—"),"—")))</f>
        <v/>
      </c>
      <c r="L783">
        <f>IF($W783="","",IF(NOT(COUNTIF(기관표[사번키],INDEX(합계표[사번키],$W783))+COUNTIF(월별근무지표[사번키],INDEX(합계표[사번키],$W783))&gt;0),"기관명단에 없음(다른 병원으로 발송)",IF($K783="—","대상월 기관명단 없음(추가 필요)",IF($K783="서울병원","해당","비해당"))))</f>
        <v/>
      </c>
      <c r="M783">
        <f>IF($W783="","",SUMIFS(상세표[06~07시],상세표[사번키],INDEX(합계표[사번키],$W783),상세표[반영월],대상월키,상세표[반영 기관],"서울병원"))</f>
        <v/>
      </c>
      <c r="N783">
        <f>IF($W783="","",SUMIFS(상세표[07~18시],상세표[사번키],INDEX(합계표[사번키],$W783),상세표[반영월],대상월키,상세표[반영 기관],"서울병원"))</f>
        <v/>
      </c>
      <c r="O783">
        <f>IF($W783="","",SUMIFS(상세표[18~22시],상세표[사번키],INDEX(합계표[사번키],$W783),상세표[반영월],대상월키,상세표[반영 기관],"서울병원"))</f>
        <v/>
      </c>
      <c r="P783">
        <f>IF($W783="","",SUMIFS(상세표[22~06시],상세표[사번키],INDEX(합계표[사번키],$W783),상세표[반영월],대상월키,상세표[반영 기관],"서울병원"))</f>
        <v/>
      </c>
      <c r="Q783">
        <f>IF($W783="","",SUM($M783:$P783))</f>
        <v/>
      </c>
      <c r="R783">
        <f>IF($W783="","",COUNTIFS(상세표[사번키],INDEX(합계표[사번키],$W783),상세표[반영월],대상월키,상세표[야간당직],1,상세표[야간 구분],"평일"))</f>
        <v/>
      </c>
      <c r="S783" s="4">
        <f>IF($W783="","",COUNTIFS(상세표[사번키],INDEX(합계표[사번키],$W783),상세표[반영월],대상월키,상세표[야간당직],1,상세표[야간 구분],"휴일"))</f>
        <v/>
      </c>
      <c r="T783">
        <f>IF($W783="","",COUNTIFS(상세표[사번키],INDEX(합계표[사번키],$W783),상세표[반영월],대상월키,상세표[야간당직],1,상세표[야간 구분],"평일",상세표[반영 기관],"서울병원"))</f>
        <v/>
      </c>
      <c r="U783">
        <f>IF($W783="","",COUNTIFS(상세표[사번키],INDEX(합계표[사번키],$W783),상세표[반영월],대상월키,상세표[야간당직],1,상세표[야간 구분],"휴일",상세표[반영 기관],"서울병원"))</f>
        <v/>
      </c>
      <c r="V783">
        <f>IF($W783="","",IF(ISNUMBER(MATCH(INDEX(합계표[사번키],$W783)&amp;"|"&amp;대상월키,월별근무지표[키],0)),"직접 입력",IF($K783="—","—","기관명단")))</f>
        <v/>
      </c>
      <c r="W783">
        <f>IFERROR(MATCH(778,합계표[판정순번],0),"")</f>
        <v/>
      </c>
    </row>
    <row r="784">
      <c r="A784">
        <f>IF($W784="","",INDEX(합계표[사번],$W784)&amp;"")</f>
        <v/>
      </c>
      <c r="B784">
        <f>IF($W784="","",INDEX(합계표[성명],$W784)&amp;"")</f>
        <v/>
      </c>
      <c r="C784">
        <f>IF($W784="","",INDEX(합계표[부서],$W784)&amp;"")</f>
        <v/>
      </c>
      <c r="D784">
        <f>IF($W784="","",INDEX(합계표[직위(통합)],$W784)&amp;"")</f>
        <v/>
      </c>
      <c r="E784">
        <f>IF($W784="","",SUMIFS(합계표[시스템 합계],합계표[사번키],INDEX(합계표[사번키],$W784)))</f>
        <v/>
      </c>
      <c r="F784">
        <f>IF($W784="","",SUMIFS(상세표[기록 시간외],상세표[사번키],INDEX(합계표[사번키],$W784),상세표[기록월],대상월키))</f>
        <v/>
      </c>
      <c r="G784">
        <f>IF($W784="","",IF(ABS($E784-$F784)&lt;0.01,"일치","불일치(차이 "&amp;TEXT($F784-$E784,"0.00")&amp;")"))</f>
        <v/>
      </c>
      <c r="H784">
        <f>IF($W784="","",SUMIFS(상세표[기록 시간외],상세표[사번키],INDEX(합계표[사번키],$W784),상세표[기록월],대상월키,상세표[반영월],"&lt;&gt;"&amp;대상월키))</f>
        <v/>
      </c>
      <c r="I784">
        <f>IF($W784="","",SUMIFS(상세표[기록 시간외],상세표[사번키],INDEX(합계표[사번키],$W784),상세표[기록월],"&lt;&gt;"&amp;대상월키,상세표[반영월],대상월키))</f>
        <v/>
      </c>
      <c r="J784">
        <f>IF($W784="","",SUMIFS(상세표[기록 시간외],상세표[사번키],INDEX(합계표[사번키],$W784),상세표[반영월],대상월키))</f>
        <v/>
      </c>
      <c r="K784">
        <f>IF($W784="","",IFERROR(INDEX(월별근무지표[적용 급여병원],MATCH(INDEX(합계표[사번키],$W784)&amp;"|"&amp;대상월키,월별근무지표[키],0))&amp;"",IF(COUNTIF(기관표[사번키],INDEX(합계표[사번키],$W784))+COUNTIF(월별근무지표[사번키],INDEX(합계표[사번키],$W784))&gt;0,IFERROR(INDEX(기관표[급여지급병원(기준월)],MATCH(INDEX(합계표[사번키],$W784)&amp;"|"&amp;대상월키,기관표[키],0))&amp;"","—"),"—")))</f>
        <v/>
      </c>
      <c r="L784">
        <f>IF($W784="","",IF(NOT(COUNTIF(기관표[사번키],INDEX(합계표[사번키],$W784))+COUNTIF(월별근무지표[사번키],INDEX(합계표[사번키],$W784))&gt;0),"기관명단에 없음(다른 병원으로 발송)",IF($K784="—","대상월 기관명단 없음(추가 필요)",IF($K784="서울병원","해당","비해당"))))</f>
        <v/>
      </c>
      <c r="M784">
        <f>IF($W784="","",SUMIFS(상세표[06~07시],상세표[사번키],INDEX(합계표[사번키],$W784),상세표[반영월],대상월키,상세표[반영 기관],"서울병원"))</f>
        <v/>
      </c>
      <c r="N784">
        <f>IF($W784="","",SUMIFS(상세표[07~18시],상세표[사번키],INDEX(합계표[사번키],$W784),상세표[반영월],대상월키,상세표[반영 기관],"서울병원"))</f>
        <v/>
      </c>
      <c r="O784">
        <f>IF($W784="","",SUMIFS(상세표[18~22시],상세표[사번키],INDEX(합계표[사번키],$W784),상세표[반영월],대상월키,상세표[반영 기관],"서울병원"))</f>
        <v/>
      </c>
      <c r="P784">
        <f>IF($W784="","",SUMIFS(상세표[22~06시],상세표[사번키],INDEX(합계표[사번키],$W784),상세표[반영월],대상월키,상세표[반영 기관],"서울병원"))</f>
        <v/>
      </c>
      <c r="Q784">
        <f>IF($W784="","",SUM($M784:$P784))</f>
        <v/>
      </c>
      <c r="R784">
        <f>IF($W784="","",COUNTIFS(상세표[사번키],INDEX(합계표[사번키],$W784),상세표[반영월],대상월키,상세표[야간당직],1,상세표[야간 구분],"평일"))</f>
        <v/>
      </c>
      <c r="S784" s="4">
        <f>IF($W784="","",COUNTIFS(상세표[사번키],INDEX(합계표[사번키],$W784),상세표[반영월],대상월키,상세표[야간당직],1,상세표[야간 구분],"휴일"))</f>
        <v/>
      </c>
      <c r="T784">
        <f>IF($W784="","",COUNTIFS(상세표[사번키],INDEX(합계표[사번키],$W784),상세표[반영월],대상월키,상세표[야간당직],1,상세표[야간 구분],"평일",상세표[반영 기관],"서울병원"))</f>
        <v/>
      </c>
      <c r="U784">
        <f>IF($W784="","",COUNTIFS(상세표[사번키],INDEX(합계표[사번키],$W784),상세표[반영월],대상월키,상세표[야간당직],1,상세표[야간 구분],"휴일",상세표[반영 기관],"서울병원"))</f>
        <v/>
      </c>
      <c r="V784">
        <f>IF($W784="","",IF(ISNUMBER(MATCH(INDEX(합계표[사번키],$W784)&amp;"|"&amp;대상월키,월별근무지표[키],0)),"직접 입력",IF($K784="—","—","기관명단")))</f>
        <v/>
      </c>
      <c r="W784">
        <f>IFERROR(MATCH(779,합계표[판정순번],0),"")</f>
        <v/>
      </c>
    </row>
    <row r="785">
      <c r="A785">
        <f>IF($W785="","",INDEX(합계표[사번],$W785)&amp;"")</f>
        <v/>
      </c>
      <c r="B785">
        <f>IF($W785="","",INDEX(합계표[성명],$W785)&amp;"")</f>
        <v/>
      </c>
      <c r="C785">
        <f>IF($W785="","",INDEX(합계표[부서],$W785)&amp;"")</f>
        <v/>
      </c>
      <c r="D785">
        <f>IF($W785="","",INDEX(합계표[직위(통합)],$W785)&amp;"")</f>
        <v/>
      </c>
      <c r="E785">
        <f>IF($W785="","",SUMIFS(합계표[시스템 합계],합계표[사번키],INDEX(합계표[사번키],$W785)))</f>
        <v/>
      </c>
      <c r="F785">
        <f>IF($W785="","",SUMIFS(상세표[기록 시간외],상세표[사번키],INDEX(합계표[사번키],$W785),상세표[기록월],대상월키))</f>
        <v/>
      </c>
      <c r="G785">
        <f>IF($W785="","",IF(ABS($E785-$F785)&lt;0.01,"일치","불일치(차이 "&amp;TEXT($F785-$E785,"0.00")&amp;")"))</f>
        <v/>
      </c>
      <c r="H785">
        <f>IF($W785="","",SUMIFS(상세표[기록 시간외],상세표[사번키],INDEX(합계표[사번키],$W785),상세표[기록월],대상월키,상세표[반영월],"&lt;&gt;"&amp;대상월키))</f>
        <v/>
      </c>
      <c r="I785">
        <f>IF($W785="","",SUMIFS(상세표[기록 시간외],상세표[사번키],INDEX(합계표[사번키],$W785),상세표[기록월],"&lt;&gt;"&amp;대상월키,상세표[반영월],대상월키))</f>
        <v/>
      </c>
      <c r="J785">
        <f>IF($W785="","",SUMIFS(상세표[기록 시간외],상세표[사번키],INDEX(합계표[사번키],$W785),상세표[반영월],대상월키))</f>
        <v/>
      </c>
      <c r="K785">
        <f>IF($W785="","",IFERROR(INDEX(월별근무지표[적용 급여병원],MATCH(INDEX(합계표[사번키],$W785)&amp;"|"&amp;대상월키,월별근무지표[키],0))&amp;"",IF(COUNTIF(기관표[사번키],INDEX(합계표[사번키],$W785))+COUNTIF(월별근무지표[사번키],INDEX(합계표[사번키],$W785))&gt;0,IFERROR(INDEX(기관표[급여지급병원(기준월)],MATCH(INDEX(합계표[사번키],$W785)&amp;"|"&amp;대상월키,기관표[키],0))&amp;"","—"),"—")))</f>
        <v/>
      </c>
      <c r="L785">
        <f>IF($W785="","",IF(NOT(COUNTIF(기관표[사번키],INDEX(합계표[사번키],$W785))+COUNTIF(월별근무지표[사번키],INDEX(합계표[사번키],$W785))&gt;0),"기관명단에 없음(다른 병원으로 발송)",IF($K785="—","대상월 기관명단 없음(추가 필요)",IF($K785="서울병원","해당","비해당"))))</f>
        <v/>
      </c>
      <c r="M785">
        <f>IF($W785="","",SUMIFS(상세표[06~07시],상세표[사번키],INDEX(합계표[사번키],$W785),상세표[반영월],대상월키,상세표[반영 기관],"서울병원"))</f>
        <v/>
      </c>
      <c r="N785">
        <f>IF($W785="","",SUMIFS(상세표[07~18시],상세표[사번키],INDEX(합계표[사번키],$W785),상세표[반영월],대상월키,상세표[반영 기관],"서울병원"))</f>
        <v/>
      </c>
      <c r="O785">
        <f>IF($W785="","",SUMIFS(상세표[18~22시],상세표[사번키],INDEX(합계표[사번키],$W785),상세표[반영월],대상월키,상세표[반영 기관],"서울병원"))</f>
        <v/>
      </c>
      <c r="P785">
        <f>IF($W785="","",SUMIFS(상세표[22~06시],상세표[사번키],INDEX(합계표[사번키],$W785),상세표[반영월],대상월키,상세표[반영 기관],"서울병원"))</f>
        <v/>
      </c>
      <c r="Q785">
        <f>IF($W785="","",SUM($M785:$P785))</f>
        <v/>
      </c>
      <c r="R785">
        <f>IF($W785="","",COUNTIFS(상세표[사번키],INDEX(합계표[사번키],$W785),상세표[반영월],대상월키,상세표[야간당직],1,상세표[야간 구분],"평일"))</f>
        <v/>
      </c>
      <c r="S785" s="4">
        <f>IF($W785="","",COUNTIFS(상세표[사번키],INDEX(합계표[사번키],$W785),상세표[반영월],대상월키,상세표[야간당직],1,상세표[야간 구분],"휴일"))</f>
        <v/>
      </c>
      <c r="T785">
        <f>IF($W785="","",COUNTIFS(상세표[사번키],INDEX(합계표[사번키],$W785),상세표[반영월],대상월키,상세표[야간당직],1,상세표[야간 구분],"평일",상세표[반영 기관],"서울병원"))</f>
        <v/>
      </c>
      <c r="U785">
        <f>IF($W785="","",COUNTIFS(상세표[사번키],INDEX(합계표[사번키],$W785),상세표[반영월],대상월키,상세표[야간당직],1,상세표[야간 구분],"휴일",상세표[반영 기관],"서울병원"))</f>
        <v/>
      </c>
      <c r="V785">
        <f>IF($W785="","",IF(ISNUMBER(MATCH(INDEX(합계표[사번키],$W785)&amp;"|"&amp;대상월키,월별근무지표[키],0)),"직접 입력",IF($K785="—","—","기관명단")))</f>
        <v/>
      </c>
      <c r="W785">
        <f>IFERROR(MATCH(780,합계표[판정순번],0),"")</f>
        <v/>
      </c>
    </row>
    <row r="786">
      <c r="A786">
        <f>IF($W786="","",INDEX(합계표[사번],$W786)&amp;"")</f>
        <v/>
      </c>
      <c r="B786">
        <f>IF($W786="","",INDEX(합계표[성명],$W786)&amp;"")</f>
        <v/>
      </c>
      <c r="C786">
        <f>IF($W786="","",INDEX(합계표[부서],$W786)&amp;"")</f>
        <v/>
      </c>
      <c r="D786">
        <f>IF($W786="","",INDEX(합계표[직위(통합)],$W786)&amp;"")</f>
        <v/>
      </c>
      <c r="E786">
        <f>IF($W786="","",SUMIFS(합계표[시스템 합계],합계표[사번키],INDEX(합계표[사번키],$W786)))</f>
        <v/>
      </c>
      <c r="F786">
        <f>IF($W786="","",SUMIFS(상세표[기록 시간외],상세표[사번키],INDEX(합계표[사번키],$W786),상세표[기록월],대상월키))</f>
        <v/>
      </c>
      <c r="G786">
        <f>IF($W786="","",IF(ABS($E786-$F786)&lt;0.01,"일치","불일치(차이 "&amp;TEXT($F786-$E786,"0.00")&amp;")"))</f>
        <v/>
      </c>
      <c r="H786">
        <f>IF($W786="","",SUMIFS(상세표[기록 시간외],상세표[사번키],INDEX(합계표[사번키],$W786),상세표[기록월],대상월키,상세표[반영월],"&lt;&gt;"&amp;대상월키))</f>
        <v/>
      </c>
      <c r="I786">
        <f>IF($W786="","",SUMIFS(상세표[기록 시간외],상세표[사번키],INDEX(합계표[사번키],$W786),상세표[기록월],"&lt;&gt;"&amp;대상월키,상세표[반영월],대상월키))</f>
        <v/>
      </c>
      <c r="J786">
        <f>IF($W786="","",SUMIFS(상세표[기록 시간외],상세표[사번키],INDEX(합계표[사번키],$W786),상세표[반영월],대상월키))</f>
        <v/>
      </c>
      <c r="K786">
        <f>IF($W786="","",IFERROR(INDEX(월별근무지표[적용 급여병원],MATCH(INDEX(합계표[사번키],$W786)&amp;"|"&amp;대상월키,월별근무지표[키],0))&amp;"",IF(COUNTIF(기관표[사번키],INDEX(합계표[사번키],$W786))+COUNTIF(월별근무지표[사번키],INDEX(합계표[사번키],$W786))&gt;0,IFERROR(INDEX(기관표[급여지급병원(기준월)],MATCH(INDEX(합계표[사번키],$W786)&amp;"|"&amp;대상월키,기관표[키],0))&amp;"","—"),"—")))</f>
        <v/>
      </c>
      <c r="L786">
        <f>IF($W786="","",IF(NOT(COUNTIF(기관표[사번키],INDEX(합계표[사번키],$W786))+COUNTIF(월별근무지표[사번키],INDEX(합계표[사번키],$W786))&gt;0),"기관명단에 없음(다른 병원으로 발송)",IF($K786="—","대상월 기관명단 없음(추가 필요)",IF($K786="서울병원","해당","비해당"))))</f>
        <v/>
      </c>
      <c r="M786">
        <f>IF($W786="","",SUMIFS(상세표[06~07시],상세표[사번키],INDEX(합계표[사번키],$W786),상세표[반영월],대상월키,상세표[반영 기관],"서울병원"))</f>
        <v/>
      </c>
      <c r="N786">
        <f>IF($W786="","",SUMIFS(상세표[07~18시],상세표[사번키],INDEX(합계표[사번키],$W786),상세표[반영월],대상월키,상세표[반영 기관],"서울병원"))</f>
        <v/>
      </c>
      <c r="O786">
        <f>IF($W786="","",SUMIFS(상세표[18~22시],상세표[사번키],INDEX(합계표[사번키],$W786),상세표[반영월],대상월키,상세표[반영 기관],"서울병원"))</f>
        <v/>
      </c>
      <c r="P786">
        <f>IF($W786="","",SUMIFS(상세표[22~06시],상세표[사번키],INDEX(합계표[사번키],$W786),상세표[반영월],대상월키,상세표[반영 기관],"서울병원"))</f>
        <v/>
      </c>
      <c r="Q786">
        <f>IF($W786="","",SUM($M786:$P786))</f>
        <v/>
      </c>
      <c r="R786">
        <f>IF($W786="","",COUNTIFS(상세표[사번키],INDEX(합계표[사번키],$W786),상세표[반영월],대상월키,상세표[야간당직],1,상세표[야간 구분],"평일"))</f>
        <v/>
      </c>
      <c r="S786" s="4">
        <f>IF($W786="","",COUNTIFS(상세표[사번키],INDEX(합계표[사번키],$W786),상세표[반영월],대상월키,상세표[야간당직],1,상세표[야간 구분],"휴일"))</f>
        <v/>
      </c>
      <c r="T786">
        <f>IF($W786="","",COUNTIFS(상세표[사번키],INDEX(합계표[사번키],$W786),상세표[반영월],대상월키,상세표[야간당직],1,상세표[야간 구분],"평일",상세표[반영 기관],"서울병원"))</f>
        <v/>
      </c>
      <c r="U786">
        <f>IF($W786="","",COUNTIFS(상세표[사번키],INDEX(합계표[사번키],$W786),상세표[반영월],대상월키,상세표[야간당직],1,상세표[야간 구분],"휴일",상세표[반영 기관],"서울병원"))</f>
        <v/>
      </c>
      <c r="V786">
        <f>IF($W786="","",IF(ISNUMBER(MATCH(INDEX(합계표[사번키],$W786)&amp;"|"&amp;대상월키,월별근무지표[키],0)),"직접 입력",IF($K786="—","—","기관명단")))</f>
        <v/>
      </c>
      <c r="W786">
        <f>IFERROR(MATCH(781,합계표[판정순번],0),"")</f>
        <v/>
      </c>
    </row>
    <row r="787">
      <c r="A787">
        <f>IF($W787="","",INDEX(합계표[사번],$W787)&amp;"")</f>
        <v/>
      </c>
      <c r="B787">
        <f>IF($W787="","",INDEX(합계표[성명],$W787)&amp;"")</f>
        <v/>
      </c>
      <c r="C787">
        <f>IF($W787="","",INDEX(합계표[부서],$W787)&amp;"")</f>
        <v/>
      </c>
      <c r="D787">
        <f>IF($W787="","",INDEX(합계표[직위(통합)],$W787)&amp;"")</f>
        <v/>
      </c>
      <c r="E787">
        <f>IF($W787="","",SUMIFS(합계표[시스템 합계],합계표[사번키],INDEX(합계표[사번키],$W787)))</f>
        <v/>
      </c>
      <c r="F787">
        <f>IF($W787="","",SUMIFS(상세표[기록 시간외],상세표[사번키],INDEX(합계표[사번키],$W787),상세표[기록월],대상월키))</f>
        <v/>
      </c>
      <c r="G787">
        <f>IF($W787="","",IF(ABS($E787-$F787)&lt;0.01,"일치","불일치(차이 "&amp;TEXT($F787-$E787,"0.00")&amp;")"))</f>
        <v/>
      </c>
      <c r="H787">
        <f>IF($W787="","",SUMIFS(상세표[기록 시간외],상세표[사번키],INDEX(합계표[사번키],$W787),상세표[기록월],대상월키,상세표[반영월],"&lt;&gt;"&amp;대상월키))</f>
        <v/>
      </c>
      <c r="I787">
        <f>IF($W787="","",SUMIFS(상세표[기록 시간외],상세표[사번키],INDEX(합계표[사번키],$W787),상세표[기록월],"&lt;&gt;"&amp;대상월키,상세표[반영월],대상월키))</f>
        <v/>
      </c>
      <c r="J787">
        <f>IF($W787="","",SUMIFS(상세표[기록 시간외],상세표[사번키],INDEX(합계표[사번키],$W787),상세표[반영월],대상월키))</f>
        <v/>
      </c>
      <c r="K787">
        <f>IF($W787="","",IFERROR(INDEX(월별근무지표[적용 급여병원],MATCH(INDEX(합계표[사번키],$W787)&amp;"|"&amp;대상월키,월별근무지표[키],0))&amp;"",IF(COUNTIF(기관표[사번키],INDEX(합계표[사번키],$W787))+COUNTIF(월별근무지표[사번키],INDEX(합계표[사번키],$W787))&gt;0,IFERROR(INDEX(기관표[급여지급병원(기준월)],MATCH(INDEX(합계표[사번키],$W787)&amp;"|"&amp;대상월키,기관표[키],0))&amp;"","—"),"—")))</f>
        <v/>
      </c>
      <c r="L787">
        <f>IF($W787="","",IF(NOT(COUNTIF(기관표[사번키],INDEX(합계표[사번키],$W787))+COUNTIF(월별근무지표[사번키],INDEX(합계표[사번키],$W787))&gt;0),"기관명단에 없음(다른 병원으로 발송)",IF($K787="—","대상월 기관명단 없음(추가 필요)",IF($K787="서울병원","해당","비해당"))))</f>
        <v/>
      </c>
      <c r="M787">
        <f>IF($W787="","",SUMIFS(상세표[06~07시],상세표[사번키],INDEX(합계표[사번키],$W787),상세표[반영월],대상월키,상세표[반영 기관],"서울병원"))</f>
        <v/>
      </c>
      <c r="N787">
        <f>IF($W787="","",SUMIFS(상세표[07~18시],상세표[사번키],INDEX(합계표[사번키],$W787),상세표[반영월],대상월키,상세표[반영 기관],"서울병원"))</f>
        <v/>
      </c>
      <c r="O787">
        <f>IF($W787="","",SUMIFS(상세표[18~22시],상세표[사번키],INDEX(합계표[사번키],$W787),상세표[반영월],대상월키,상세표[반영 기관],"서울병원"))</f>
        <v/>
      </c>
      <c r="P787">
        <f>IF($W787="","",SUMIFS(상세표[22~06시],상세표[사번키],INDEX(합계표[사번키],$W787),상세표[반영월],대상월키,상세표[반영 기관],"서울병원"))</f>
        <v/>
      </c>
      <c r="Q787">
        <f>IF($W787="","",SUM($M787:$P787))</f>
        <v/>
      </c>
      <c r="R787">
        <f>IF($W787="","",COUNTIFS(상세표[사번키],INDEX(합계표[사번키],$W787),상세표[반영월],대상월키,상세표[야간당직],1,상세표[야간 구분],"평일"))</f>
        <v/>
      </c>
      <c r="S787" s="4">
        <f>IF($W787="","",COUNTIFS(상세표[사번키],INDEX(합계표[사번키],$W787),상세표[반영월],대상월키,상세표[야간당직],1,상세표[야간 구분],"휴일"))</f>
        <v/>
      </c>
      <c r="T787">
        <f>IF($W787="","",COUNTIFS(상세표[사번키],INDEX(합계표[사번키],$W787),상세표[반영월],대상월키,상세표[야간당직],1,상세표[야간 구분],"평일",상세표[반영 기관],"서울병원"))</f>
        <v/>
      </c>
      <c r="U787">
        <f>IF($W787="","",COUNTIFS(상세표[사번키],INDEX(합계표[사번키],$W787),상세표[반영월],대상월키,상세표[야간당직],1,상세표[야간 구분],"휴일",상세표[반영 기관],"서울병원"))</f>
        <v/>
      </c>
      <c r="V787">
        <f>IF($W787="","",IF(ISNUMBER(MATCH(INDEX(합계표[사번키],$W787)&amp;"|"&amp;대상월키,월별근무지표[키],0)),"직접 입력",IF($K787="—","—","기관명단")))</f>
        <v/>
      </c>
      <c r="W787">
        <f>IFERROR(MATCH(782,합계표[판정순번],0),"")</f>
        <v/>
      </c>
    </row>
    <row r="788">
      <c r="A788">
        <f>IF($W788="","",INDEX(합계표[사번],$W788)&amp;"")</f>
        <v/>
      </c>
      <c r="B788">
        <f>IF($W788="","",INDEX(합계표[성명],$W788)&amp;"")</f>
        <v/>
      </c>
      <c r="C788">
        <f>IF($W788="","",INDEX(합계표[부서],$W788)&amp;"")</f>
        <v/>
      </c>
      <c r="D788">
        <f>IF($W788="","",INDEX(합계표[직위(통합)],$W788)&amp;"")</f>
        <v/>
      </c>
      <c r="E788">
        <f>IF($W788="","",SUMIFS(합계표[시스템 합계],합계표[사번키],INDEX(합계표[사번키],$W788)))</f>
        <v/>
      </c>
      <c r="F788">
        <f>IF($W788="","",SUMIFS(상세표[기록 시간외],상세표[사번키],INDEX(합계표[사번키],$W788),상세표[기록월],대상월키))</f>
        <v/>
      </c>
      <c r="G788">
        <f>IF($W788="","",IF(ABS($E788-$F788)&lt;0.01,"일치","불일치(차이 "&amp;TEXT($F788-$E788,"0.00")&amp;")"))</f>
        <v/>
      </c>
      <c r="H788">
        <f>IF($W788="","",SUMIFS(상세표[기록 시간외],상세표[사번키],INDEX(합계표[사번키],$W788),상세표[기록월],대상월키,상세표[반영월],"&lt;&gt;"&amp;대상월키))</f>
        <v/>
      </c>
      <c r="I788">
        <f>IF($W788="","",SUMIFS(상세표[기록 시간외],상세표[사번키],INDEX(합계표[사번키],$W788),상세표[기록월],"&lt;&gt;"&amp;대상월키,상세표[반영월],대상월키))</f>
        <v/>
      </c>
      <c r="J788">
        <f>IF($W788="","",SUMIFS(상세표[기록 시간외],상세표[사번키],INDEX(합계표[사번키],$W788),상세표[반영월],대상월키))</f>
        <v/>
      </c>
      <c r="K788">
        <f>IF($W788="","",IFERROR(INDEX(월별근무지표[적용 급여병원],MATCH(INDEX(합계표[사번키],$W788)&amp;"|"&amp;대상월키,월별근무지표[키],0))&amp;"",IF(COUNTIF(기관표[사번키],INDEX(합계표[사번키],$W788))+COUNTIF(월별근무지표[사번키],INDEX(합계표[사번키],$W788))&gt;0,IFERROR(INDEX(기관표[급여지급병원(기준월)],MATCH(INDEX(합계표[사번키],$W788)&amp;"|"&amp;대상월키,기관표[키],0))&amp;"","—"),"—")))</f>
        <v/>
      </c>
      <c r="L788">
        <f>IF($W788="","",IF(NOT(COUNTIF(기관표[사번키],INDEX(합계표[사번키],$W788))+COUNTIF(월별근무지표[사번키],INDEX(합계표[사번키],$W788))&gt;0),"기관명단에 없음(다른 병원으로 발송)",IF($K788="—","대상월 기관명단 없음(추가 필요)",IF($K788="서울병원","해당","비해당"))))</f>
        <v/>
      </c>
      <c r="M788">
        <f>IF($W788="","",SUMIFS(상세표[06~07시],상세표[사번키],INDEX(합계표[사번키],$W788),상세표[반영월],대상월키,상세표[반영 기관],"서울병원"))</f>
        <v/>
      </c>
      <c r="N788">
        <f>IF($W788="","",SUMIFS(상세표[07~18시],상세표[사번키],INDEX(합계표[사번키],$W788),상세표[반영월],대상월키,상세표[반영 기관],"서울병원"))</f>
        <v/>
      </c>
      <c r="O788">
        <f>IF($W788="","",SUMIFS(상세표[18~22시],상세표[사번키],INDEX(합계표[사번키],$W788),상세표[반영월],대상월키,상세표[반영 기관],"서울병원"))</f>
        <v/>
      </c>
      <c r="P788">
        <f>IF($W788="","",SUMIFS(상세표[22~06시],상세표[사번키],INDEX(합계표[사번키],$W788),상세표[반영월],대상월키,상세표[반영 기관],"서울병원"))</f>
        <v/>
      </c>
      <c r="Q788">
        <f>IF($W788="","",SUM($M788:$P788))</f>
        <v/>
      </c>
      <c r="R788">
        <f>IF($W788="","",COUNTIFS(상세표[사번키],INDEX(합계표[사번키],$W788),상세표[반영월],대상월키,상세표[야간당직],1,상세표[야간 구분],"평일"))</f>
        <v/>
      </c>
      <c r="S788" s="4">
        <f>IF($W788="","",COUNTIFS(상세표[사번키],INDEX(합계표[사번키],$W788),상세표[반영월],대상월키,상세표[야간당직],1,상세표[야간 구분],"휴일"))</f>
        <v/>
      </c>
      <c r="T788">
        <f>IF($W788="","",COUNTIFS(상세표[사번키],INDEX(합계표[사번키],$W788),상세표[반영월],대상월키,상세표[야간당직],1,상세표[야간 구분],"평일",상세표[반영 기관],"서울병원"))</f>
        <v/>
      </c>
      <c r="U788">
        <f>IF($W788="","",COUNTIFS(상세표[사번키],INDEX(합계표[사번키],$W788),상세표[반영월],대상월키,상세표[야간당직],1,상세표[야간 구분],"휴일",상세표[반영 기관],"서울병원"))</f>
        <v/>
      </c>
      <c r="V788">
        <f>IF($W788="","",IF(ISNUMBER(MATCH(INDEX(합계표[사번키],$W788)&amp;"|"&amp;대상월키,월별근무지표[키],0)),"직접 입력",IF($K788="—","—","기관명단")))</f>
        <v/>
      </c>
      <c r="W788">
        <f>IFERROR(MATCH(783,합계표[판정순번],0),"")</f>
        <v/>
      </c>
    </row>
    <row r="789">
      <c r="A789">
        <f>IF($W789="","",INDEX(합계표[사번],$W789)&amp;"")</f>
        <v/>
      </c>
      <c r="B789">
        <f>IF($W789="","",INDEX(합계표[성명],$W789)&amp;"")</f>
        <v/>
      </c>
      <c r="C789">
        <f>IF($W789="","",INDEX(합계표[부서],$W789)&amp;"")</f>
        <v/>
      </c>
      <c r="D789">
        <f>IF($W789="","",INDEX(합계표[직위(통합)],$W789)&amp;"")</f>
        <v/>
      </c>
      <c r="E789">
        <f>IF($W789="","",SUMIFS(합계표[시스템 합계],합계표[사번키],INDEX(합계표[사번키],$W789)))</f>
        <v/>
      </c>
      <c r="F789">
        <f>IF($W789="","",SUMIFS(상세표[기록 시간외],상세표[사번키],INDEX(합계표[사번키],$W789),상세표[기록월],대상월키))</f>
        <v/>
      </c>
      <c r="G789">
        <f>IF($W789="","",IF(ABS($E789-$F789)&lt;0.01,"일치","불일치(차이 "&amp;TEXT($F789-$E789,"0.00")&amp;")"))</f>
        <v/>
      </c>
      <c r="H789">
        <f>IF($W789="","",SUMIFS(상세표[기록 시간외],상세표[사번키],INDEX(합계표[사번키],$W789),상세표[기록월],대상월키,상세표[반영월],"&lt;&gt;"&amp;대상월키))</f>
        <v/>
      </c>
      <c r="I789">
        <f>IF($W789="","",SUMIFS(상세표[기록 시간외],상세표[사번키],INDEX(합계표[사번키],$W789),상세표[기록월],"&lt;&gt;"&amp;대상월키,상세표[반영월],대상월키))</f>
        <v/>
      </c>
      <c r="J789">
        <f>IF($W789="","",SUMIFS(상세표[기록 시간외],상세표[사번키],INDEX(합계표[사번키],$W789),상세표[반영월],대상월키))</f>
        <v/>
      </c>
      <c r="K789">
        <f>IF($W789="","",IFERROR(INDEX(월별근무지표[적용 급여병원],MATCH(INDEX(합계표[사번키],$W789)&amp;"|"&amp;대상월키,월별근무지표[키],0))&amp;"",IF(COUNTIF(기관표[사번키],INDEX(합계표[사번키],$W789))+COUNTIF(월별근무지표[사번키],INDEX(합계표[사번키],$W789))&gt;0,IFERROR(INDEX(기관표[급여지급병원(기준월)],MATCH(INDEX(합계표[사번키],$W789)&amp;"|"&amp;대상월키,기관표[키],0))&amp;"","—"),"—")))</f>
        <v/>
      </c>
      <c r="L789">
        <f>IF($W789="","",IF(NOT(COUNTIF(기관표[사번키],INDEX(합계표[사번키],$W789))+COUNTIF(월별근무지표[사번키],INDEX(합계표[사번키],$W789))&gt;0),"기관명단에 없음(다른 병원으로 발송)",IF($K789="—","대상월 기관명단 없음(추가 필요)",IF($K789="서울병원","해당","비해당"))))</f>
        <v/>
      </c>
      <c r="M789">
        <f>IF($W789="","",SUMIFS(상세표[06~07시],상세표[사번키],INDEX(합계표[사번키],$W789),상세표[반영월],대상월키,상세표[반영 기관],"서울병원"))</f>
        <v/>
      </c>
      <c r="N789">
        <f>IF($W789="","",SUMIFS(상세표[07~18시],상세표[사번키],INDEX(합계표[사번키],$W789),상세표[반영월],대상월키,상세표[반영 기관],"서울병원"))</f>
        <v/>
      </c>
      <c r="O789">
        <f>IF($W789="","",SUMIFS(상세표[18~22시],상세표[사번키],INDEX(합계표[사번키],$W789),상세표[반영월],대상월키,상세표[반영 기관],"서울병원"))</f>
        <v/>
      </c>
      <c r="P789">
        <f>IF($W789="","",SUMIFS(상세표[22~06시],상세표[사번키],INDEX(합계표[사번키],$W789),상세표[반영월],대상월키,상세표[반영 기관],"서울병원"))</f>
        <v/>
      </c>
      <c r="Q789">
        <f>IF($W789="","",SUM($M789:$P789))</f>
        <v/>
      </c>
      <c r="R789">
        <f>IF($W789="","",COUNTIFS(상세표[사번키],INDEX(합계표[사번키],$W789),상세표[반영월],대상월키,상세표[야간당직],1,상세표[야간 구분],"평일"))</f>
        <v/>
      </c>
      <c r="S789" s="4">
        <f>IF($W789="","",COUNTIFS(상세표[사번키],INDEX(합계표[사번키],$W789),상세표[반영월],대상월키,상세표[야간당직],1,상세표[야간 구분],"휴일"))</f>
        <v/>
      </c>
      <c r="T789">
        <f>IF($W789="","",COUNTIFS(상세표[사번키],INDEX(합계표[사번키],$W789),상세표[반영월],대상월키,상세표[야간당직],1,상세표[야간 구분],"평일",상세표[반영 기관],"서울병원"))</f>
        <v/>
      </c>
      <c r="U789">
        <f>IF($W789="","",COUNTIFS(상세표[사번키],INDEX(합계표[사번키],$W789),상세표[반영월],대상월키,상세표[야간당직],1,상세표[야간 구분],"휴일",상세표[반영 기관],"서울병원"))</f>
        <v/>
      </c>
      <c r="V789">
        <f>IF($W789="","",IF(ISNUMBER(MATCH(INDEX(합계표[사번키],$W789)&amp;"|"&amp;대상월키,월별근무지표[키],0)),"직접 입력",IF($K789="—","—","기관명단")))</f>
        <v/>
      </c>
      <c r="W789">
        <f>IFERROR(MATCH(784,합계표[판정순번],0),"")</f>
        <v/>
      </c>
    </row>
    <row r="790">
      <c r="A790">
        <f>IF($W790="","",INDEX(합계표[사번],$W790)&amp;"")</f>
        <v/>
      </c>
      <c r="B790">
        <f>IF($W790="","",INDEX(합계표[성명],$W790)&amp;"")</f>
        <v/>
      </c>
      <c r="C790">
        <f>IF($W790="","",INDEX(합계표[부서],$W790)&amp;"")</f>
        <v/>
      </c>
      <c r="D790">
        <f>IF($W790="","",INDEX(합계표[직위(통합)],$W790)&amp;"")</f>
        <v/>
      </c>
      <c r="E790">
        <f>IF($W790="","",SUMIFS(합계표[시스템 합계],합계표[사번키],INDEX(합계표[사번키],$W790)))</f>
        <v/>
      </c>
      <c r="F790">
        <f>IF($W790="","",SUMIFS(상세표[기록 시간외],상세표[사번키],INDEX(합계표[사번키],$W790),상세표[기록월],대상월키))</f>
        <v/>
      </c>
      <c r="G790">
        <f>IF($W790="","",IF(ABS($E790-$F790)&lt;0.01,"일치","불일치(차이 "&amp;TEXT($F790-$E790,"0.00")&amp;")"))</f>
        <v/>
      </c>
      <c r="H790">
        <f>IF($W790="","",SUMIFS(상세표[기록 시간외],상세표[사번키],INDEX(합계표[사번키],$W790),상세표[기록월],대상월키,상세표[반영월],"&lt;&gt;"&amp;대상월키))</f>
        <v/>
      </c>
      <c r="I790">
        <f>IF($W790="","",SUMIFS(상세표[기록 시간외],상세표[사번키],INDEX(합계표[사번키],$W790),상세표[기록월],"&lt;&gt;"&amp;대상월키,상세표[반영월],대상월키))</f>
        <v/>
      </c>
      <c r="J790">
        <f>IF($W790="","",SUMIFS(상세표[기록 시간외],상세표[사번키],INDEX(합계표[사번키],$W790),상세표[반영월],대상월키))</f>
        <v/>
      </c>
      <c r="K790">
        <f>IF($W790="","",IFERROR(INDEX(월별근무지표[적용 급여병원],MATCH(INDEX(합계표[사번키],$W790)&amp;"|"&amp;대상월키,월별근무지표[키],0))&amp;"",IF(COUNTIF(기관표[사번키],INDEX(합계표[사번키],$W790))+COUNTIF(월별근무지표[사번키],INDEX(합계표[사번키],$W790))&gt;0,IFERROR(INDEX(기관표[급여지급병원(기준월)],MATCH(INDEX(합계표[사번키],$W790)&amp;"|"&amp;대상월키,기관표[키],0))&amp;"","—"),"—")))</f>
        <v/>
      </c>
      <c r="L790">
        <f>IF($W790="","",IF(NOT(COUNTIF(기관표[사번키],INDEX(합계표[사번키],$W790))+COUNTIF(월별근무지표[사번키],INDEX(합계표[사번키],$W790))&gt;0),"기관명단에 없음(다른 병원으로 발송)",IF($K790="—","대상월 기관명단 없음(추가 필요)",IF($K790="서울병원","해당","비해당"))))</f>
        <v/>
      </c>
      <c r="M790">
        <f>IF($W790="","",SUMIFS(상세표[06~07시],상세표[사번키],INDEX(합계표[사번키],$W790),상세표[반영월],대상월키,상세표[반영 기관],"서울병원"))</f>
        <v/>
      </c>
      <c r="N790">
        <f>IF($W790="","",SUMIFS(상세표[07~18시],상세표[사번키],INDEX(합계표[사번키],$W790),상세표[반영월],대상월키,상세표[반영 기관],"서울병원"))</f>
        <v/>
      </c>
      <c r="O790">
        <f>IF($W790="","",SUMIFS(상세표[18~22시],상세표[사번키],INDEX(합계표[사번키],$W790),상세표[반영월],대상월키,상세표[반영 기관],"서울병원"))</f>
        <v/>
      </c>
      <c r="P790">
        <f>IF($W790="","",SUMIFS(상세표[22~06시],상세표[사번키],INDEX(합계표[사번키],$W790),상세표[반영월],대상월키,상세표[반영 기관],"서울병원"))</f>
        <v/>
      </c>
      <c r="Q790">
        <f>IF($W790="","",SUM($M790:$P790))</f>
        <v/>
      </c>
      <c r="R790">
        <f>IF($W790="","",COUNTIFS(상세표[사번키],INDEX(합계표[사번키],$W790),상세표[반영월],대상월키,상세표[야간당직],1,상세표[야간 구분],"평일"))</f>
        <v/>
      </c>
      <c r="S790" s="4">
        <f>IF($W790="","",COUNTIFS(상세표[사번키],INDEX(합계표[사번키],$W790),상세표[반영월],대상월키,상세표[야간당직],1,상세표[야간 구분],"휴일"))</f>
        <v/>
      </c>
      <c r="T790">
        <f>IF($W790="","",COUNTIFS(상세표[사번키],INDEX(합계표[사번키],$W790),상세표[반영월],대상월키,상세표[야간당직],1,상세표[야간 구분],"평일",상세표[반영 기관],"서울병원"))</f>
        <v/>
      </c>
      <c r="U790">
        <f>IF($W790="","",COUNTIFS(상세표[사번키],INDEX(합계표[사번키],$W790),상세표[반영월],대상월키,상세표[야간당직],1,상세표[야간 구분],"휴일",상세표[반영 기관],"서울병원"))</f>
        <v/>
      </c>
      <c r="V790">
        <f>IF($W790="","",IF(ISNUMBER(MATCH(INDEX(합계표[사번키],$W790)&amp;"|"&amp;대상월키,월별근무지표[키],0)),"직접 입력",IF($K790="—","—","기관명단")))</f>
        <v/>
      </c>
      <c r="W790">
        <f>IFERROR(MATCH(785,합계표[판정순번],0),"")</f>
        <v/>
      </c>
    </row>
    <row r="791">
      <c r="A791">
        <f>IF($W791="","",INDEX(합계표[사번],$W791)&amp;"")</f>
        <v/>
      </c>
      <c r="B791">
        <f>IF($W791="","",INDEX(합계표[성명],$W791)&amp;"")</f>
        <v/>
      </c>
      <c r="C791">
        <f>IF($W791="","",INDEX(합계표[부서],$W791)&amp;"")</f>
        <v/>
      </c>
      <c r="D791">
        <f>IF($W791="","",INDEX(합계표[직위(통합)],$W791)&amp;"")</f>
        <v/>
      </c>
      <c r="E791">
        <f>IF($W791="","",SUMIFS(합계표[시스템 합계],합계표[사번키],INDEX(합계표[사번키],$W791)))</f>
        <v/>
      </c>
      <c r="F791">
        <f>IF($W791="","",SUMIFS(상세표[기록 시간외],상세표[사번키],INDEX(합계표[사번키],$W791),상세표[기록월],대상월키))</f>
        <v/>
      </c>
      <c r="G791">
        <f>IF($W791="","",IF(ABS($E791-$F791)&lt;0.01,"일치","불일치(차이 "&amp;TEXT($F791-$E791,"0.00")&amp;")"))</f>
        <v/>
      </c>
      <c r="H791">
        <f>IF($W791="","",SUMIFS(상세표[기록 시간외],상세표[사번키],INDEX(합계표[사번키],$W791),상세표[기록월],대상월키,상세표[반영월],"&lt;&gt;"&amp;대상월키))</f>
        <v/>
      </c>
      <c r="I791">
        <f>IF($W791="","",SUMIFS(상세표[기록 시간외],상세표[사번키],INDEX(합계표[사번키],$W791),상세표[기록월],"&lt;&gt;"&amp;대상월키,상세표[반영월],대상월키))</f>
        <v/>
      </c>
      <c r="J791">
        <f>IF($W791="","",SUMIFS(상세표[기록 시간외],상세표[사번키],INDEX(합계표[사번키],$W791),상세표[반영월],대상월키))</f>
        <v/>
      </c>
      <c r="K791">
        <f>IF($W791="","",IFERROR(INDEX(월별근무지표[적용 급여병원],MATCH(INDEX(합계표[사번키],$W791)&amp;"|"&amp;대상월키,월별근무지표[키],0))&amp;"",IF(COUNTIF(기관표[사번키],INDEX(합계표[사번키],$W791))+COUNTIF(월별근무지표[사번키],INDEX(합계표[사번키],$W791))&gt;0,IFERROR(INDEX(기관표[급여지급병원(기준월)],MATCH(INDEX(합계표[사번키],$W791)&amp;"|"&amp;대상월키,기관표[키],0))&amp;"","—"),"—")))</f>
        <v/>
      </c>
      <c r="L791">
        <f>IF($W791="","",IF(NOT(COUNTIF(기관표[사번키],INDEX(합계표[사번키],$W791))+COUNTIF(월별근무지표[사번키],INDEX(합계표[사번키],$W791))&gt;0),"기관명단에 없음(다른 병원으로 발송)",IF($K791="—","대상월 기관명단 없음(추가 필요)",IF($K791="서울병원","해당","비해당"))))</f>
        <v/>
      </c>
      <c r="M791">
        <f>IF($W791="","",SUMIFS(상세표[06~07시],상세표[사번키],INDEX(합계표[사번키],$W791),상세표[반영월],대상월키,상세표[반영 기관],"서울병원"))</f>
        <v/>
      </c>
      <c r="N791">
        <f>IF($W791="","",SUMIFS(상세표[07~18시],상세표[사번키],INDEX(합계표[사번키],$W791),상세표[반영월],대상월키,상세표[반영 기관],"서울병원"))</f>
        <v/>
      </c>
      <c r="O791">
        <f>IF($W791="","",SUMIFS(상세표[18~22시],상세표[사번키],INDEX(합계표[사번키],$W791),상세표[반영월],대상월키,상세표[반영 기관],"서울병원"))</f>
        <v/>
      </c>
      <c r="P791">
        <f>IF($W791="","",SUMIFS(상세표[22~06시],상세표[사번키],INDEX(합계표[사번키],$W791),상세표[반영월],대상월키,상세표[반영 기관],"서울병원"))</f>
        <v/>
      </c>
      <c r="Q791">
        <f>IF($W791="","",SUM($M791:$P791))</f>
        <v/>
      </c>
      <c r="R791">
        <f>IF($W791="","",COUNTIFS(상세표[사번키],INDEX(합계표[사번키],$W791),상세표[반영월],대상월키,상세표[야간당직],1,상세표[야간 구분],"평일"))</f>
        <v/>
      </c>
      <c r="S791" s="4">
        <f>IF($W791="","",COUNTIFS(상세표[사번키],INDEX(합계표[사번키],$W791),상세표[반영월],대상월키,상세표[야간당직],1,상세표[야간 구분],"휴일"))</f>
        <v/>
      </c>
      <c r="T791">
        <f>IF($W791="","",COUNTIFS(상세표[사번키],INDEX(합계표[사번키],$W791),상세표[반영월],대상월키,상세표[야간당직],1,상세표[야간 구분],"평일",상세표[반영 기관],"서울병원"))</f>
        <v/>
      </c>
      <c r="U791">
        <f>IF($W791="","",COUNTIFS(상세표[사번키],INDEX(합계표[사번키],$W791),상세표[반영월],대상월키,상세표[야간당직],1,상세표[야간 구분],"휴일",상세표[반영 기관],"서울병원"))</f>
        <v/>
      </c>
      <c r="V791">
        <f>IF($W791="","",IF(ISNUMBER(MATCH(INDEX(합계표[사번키],$W791)&amp;"|"&amp;대상월키,월별근무지표[키],0)),"직접 입력",IF($K791="—","—","기관명단")))</f>
        <v/>
      </c>
      <c r="W791">
        <f>IFERROR(MATCH(786,합계표[판정순번],0),"")</f>
        <v/>
      </c>
    </row>
    <row r="792">
      <c r="A792">
        <f>IF($W792="","",INDEX(합계표[사번],$W792)&amp;"")</f>
        <v/>
      </c>
      <c r="B792">
        <f>IF($W792="","",INDEX(합계표[성명],$W792)&amp;"")</f>
        <v/>
      </c>
      <c r="C792">
        <f>IF($W792="","",INDEX(합계표[부서],$W792)&amp;"")</f>
        <v/>
      </c>
      <c r="D792">
        <f>IF($W792="","",INDEX(합계표[직위(통합)],$W792)&amp;"")</f>
        <v/>
      </c>
      <c r="E792">
        <f>IF($W792="","",SUMIFS(합계표[시스템 합계],합계표[사번키],INDEX(합계표[사번키],$W792)))</f>
        <v/>
      </c>
      <c r="F792">
        <f>IF($W792="","",SUMIFS(상세표[기록 시간외],상세표[사번키],INDEX(합계표[사번키],$W792),상세표[기록월],대상월키))</f>
        <v/>
      </c>
      <c r="G792">
        <f>IF($W792="","",IF(ABS($E792-$F792)&lt;0.01,"일치","불일치(차이 "&amp;TEXT($F792-$E792,"0.00")&amp;")"))</f>
        <v/>
      </c>
      <c r="H792">
        <f>IF($W792="","",SUMIFS(상세표[기록 시간외],상세표[사번키],INDEX(합계표[사번키],$W792),상세표[기록월],대상월키,상세표[반영월],"&lt;&gt;"&amp;대상월키))</f>
        <v/>
      </c>
      <c r="I792">
        <f>IF($W792="","",SUMIFS(상세표[기록 시간외],상세표[사번키],INDEX(합계표[사번키],$W792),상세표[기록월],"&lt;&gt;"&amp;대상월키,상세표[반영월],대상월키))</f>
        <v/>
      </c>
      <c r="J792">
        <f>IF($W792="","",SUMIFS(상세표[기록 시간외],상세표[사번키],INDEX(합계표[사번키],$W792),상세표[반영월],대상월키))</f>
        <v/>
      </c>
      <c r="K792">
        <f>IF($W792="","",IFERROR(INDEX(월별근무지표[적용 급여병원],MATCH(INDEX(합계표[사번키],$W792)&amp;"|"&amp;대상월키,월별근무지표[키],0))&amp;"",IF(COUNTIF(기관표[사번키],INDEX(합계표[사번키],$W792))+COUNTIF(월별근무지표[사번키],INDEX(합계표[사번키],$W792))&gt;0,IFERROR(INDEX(기관표[급여지급병원(기준월)],MATCH(INDEX(합계표[사번키],$W792)&amp;"|"&amp;대상월키,기관표[키],0))&amp;"","—"),"—")))</f>
        <v/>
      </c>
      <c r="L792">
        <f>IF($W792="","",IF(NOT(COUNTIF(기관표[사번키],INDEX(합계표[사번키],$W792))+COUNTIF(월별근무지표[사번키],INDEX(합계표[사번키],$W792))&gt;0),"기관명단에 없음(다른 병원으로 발송)",IF($K792="—","대상월 기관명단 없음(추가 필요)",IF($K792="서울병원","해당","비해당"))))</f>
        <v/>
      </c>
      <c r="M792">
        <f>IF($W792="","",SUMIFS(상세표[06~07시],상세표[사번키],INDEX(합계표[사번키],$W792),상세표[반영월],대상월키,상세표[반영 기관],"서울병원"))</f>
        <v/>
      </c>
      <c r="N792">
        <f>IF($W792="","",SUMIFS(상세표[07~18시],상세표[사번키],INDEX(합계표[사번키],$W792),상세표[반영월],대상월키,상세표[반영 기관],"서울병원"))</f>
        <v/>
      </c>
      <c r="O792">
        <f>IF($W792="","",SUMIFS(상세표[18~22시],상세표[사번키],INDEX(합계표[사번키],$W792),상세표[반영월],대상월키,상세표[반영 기관],"서울병원"))</f>
        <v/>
      </c>
      <c r="P792">
        <f>IF($W792="","",SUMIFS(상세표[22~06시],상세표[사번키],INDEX(합계표[사번키],$W792),상세표[반영월],대상월키,상세표[반영 기관],"서울병원"))</f>
        <v/>
      </c>
      <c r="Q792">
        <f>IF($W792="","",SUM($M792:$P792))</f>
        <v/>
      </c>
      <c r="R792">
        <f>IF($W792="","",COUNTIFS(상세표[사번키],INDEX(합계표[사번키],$W792),상세표[반영월],대상월키,상세표[야간당직],1,상세표[야간 구분],"평일"))</f>
        <v/>
      </c>
      <c r="S792" s="4">
        <f>IF($W792="","",COUNTIFS(상세표[사번키],INDEX(합계표[사번키],$W792),상세표[반영월],대상월키,상세표[야간당직],1,상세표[야간 구분],"휴일"))</f>
        <v/>
      </c>
      <c r="T792">
        <f>IF($W792="","",COUNTIFS(상세표[사번키],INDEX(합계표[사번키],$W792),상세표[반영월],대상월키,상세표[야간당직],1,상세표[야간 구분],"평일",상세표[반영 기관],"서울병원"))</f>
        <v/>
      </c>
      <c r="U792">
        <f>IF($W792="","",COUNTIFS(상세표[사번키],INDEX(합계표[사번키],$W792),상세표[반영월],대상월키,상세표[야간당직],1,상세표[야간 구분],"휴일",상세표[반영 기관],"서울병원"))</f>
        <v/>
      </c>
      <c r="V792">
        <f>IF($W792="","",IF(ISNUMBER(MATCH(INDEX(합계표[사번키],$W792)&amp;"|"&amp;대상월키,월별근무지표[키],0)),"직접 입력",IF($K792="—","—","기관명단")))</f>
        <v/>
      </c>
      <c r="W792">
        <f>IFERROR(MATCH(787,합계표[판정순번],0),"")</f>
        <v/>
      </c>
    </row>
    <row r="793">
      <c r="A793">
        <f>IF($W793="","",INDEX(합계표[사번],$W793)&amp;"")</f>
        <v/>
      </c>
      <c r="B793">
        <f>IF($W793="","",INDEX(합계표[성명],$W793)&amp;"")</f>
        <v/>
      </c>
      <c r="C793">
        <f>IF($W793="","",INDEX(합계표[부서],$W793)&amp;"")</f>
        <v/>
      </c>
      <c r="D793">
        <f>IF($W793="","",INDEX(합계표[직위(통합)],$W793)&amp;"")</f>
        <v/>
      </c>
      <c r="E793">
        <f>IF($W793="","",SUMIFS(합계표[시스템 합계],합계표[사번키],INDEX(합계표[사번키],$W793)))</f>
        <v/>
      </c>
      <c r="F793">
        <f>IF($W793="","",SUMIFS(상세표[기록 시간외],상세표[사번키],INDEX(합계표[사번키],$W793),상세표[기록월],대상월키))</f>
        <v/>
      </c>
      <c r="G793">
        <f>IF($W793="","",IF(ABS($E793-$F793)&lt;0.01,"일치","불일치(차이 "&amp;TEXT($F793-$E793,"0.00")&amp;")"))</f>
        <v/>
      </c>
      <c r="H793">
        <f>IF($W793="","",SUMIFS(상세표[기록 시간외],상세표[사번키],INDEX(합계표[사번키],$W793),상세표[기록월],대상월키,상세표[반영월],"&lt;&gt;"&amp;대상월키))</f>
        <v/>
      </c>
      <c r="I793">
        <f>IF($W793="","",SUMIFS(상세표[기록 시간외],상세표[사번키],INDEX(합계표[사번키],$W793),상세표[기록월],"&lt;&gt;"&amp;대상월키,상세표[반영월],대상월키))</f>
        <v/>
      </c>
      <c r="J793">
        <f>IF($W793="","",SUMIFS(상세표[기록 시간외],상세표[사번키],INDEX(합계표[사번키],$W793),상세표[반영월],대상월키))</f>
        <v/>
      </c>
      <c r="K793">
        <f>IF($W793="","",IFERROR(INDEX(월별근무지표[적용 급여병원],MATCH(INDEX(합계표[사번키],$W793)&amp;"|"&amp;대상월키,월별근무지표[키],0))&amp;"",IF(COUNTIF(기관표[사번키],INDEX(합계표[사번키],$W793))+COUNTIF(월별근무지표[사번키],INDEX(합계표[사번키],$W793))&gt;0,IFERROR(INDEX(기관표[급여지급병원(기준월)],MATCH(INDEX(합계표[사번키],$W793)&amp;"|"&amp;대상월키,기관표[키],0))&amp;"","—"),"—")))</f>
        <v/>
      </c>
      <c r="L793">
        <f>IF($W793="","",IF(NOT(COUNTIF(기관표[사번키],INDEX(합계표[사번키],$W793))+COUNTIF(월별근무지표[사번키],INDEX(합계표[사번키],$W793))&gt;0),"기관명단에 없음(다른 병원으로 발송)",IF($K793="—","대상월 기관명단 없음(추가 필요)",IF($K793="서울병원","해당","비해당"))))</f>
        <v/>
      </c>
      <c r="M793">
        <f>IF($W793="","",SUMIFS(상세표[06~07시],상세표[사번키],INDEX(합계표[사번키],$W793),상세표[반영월],대상월키,상세표[반영 기관],"서울병원"))</f>
        <v/>
      </c>
      <c r="N793">
        <f>IF($W793="","",SUMIFS(상세표[07~18시],상세표[사번키],INDEX(합계표[사번키],$W793),상세표[반영월],대상월키,상세표[반영 기관],"서울병원"))</f>
        <v/>
      </c>
      <c r="O793">
        <f>IF($W793="","",SUMIFS(상세표[18~22시],상세표[사번키],INDEX(합계표[사번키],$W793),상세표[반영월],대상월키,상세표[반영 기관],"서울병원"))</f>
        <v/>
      </c>
      <c r="P793">
        <f>IF($W793="","",SUMIFS(상세표[22~06시],상세표[사번키],INDEX(합계표[사번키],$W793),상세표[반영월],대상월키,상세표[반영 기관],"서울병원"))</f>
        <v/>
      </c>
      <c r="Q793">
        <f>IF($W793="","",SUM($M793:$P793))</f>
        <v/>
      </c>
      <c r="R793">
        <f>IF($W793="","",COUNTIFS(상세표[사번키],INDEX(합계표[사번키],$W793),상세표[반영월],대상월키,상세표[야간당직],1,상세표[야간 구분],"평일"))</f>
        <v/>
      </c>
      <c r="S793" s="4">
        <f>IF($W793="","",COUNTIFS(상세표[사번키],INDEX(합계표[사번키],$W793),상세표[반영월],대상월키,상세표[야간당직],1,상세표[야간 구분],"휴일"))</f>
        <v/>
      </c>
      <c r="T793">
        <f>IF($W793="","",COUNTIFS(상세표[사번키],INDEX(합계표[사번키],$W793),상세표[반영월],대상월키,상세표[야간당직],1,상세표[야간 구분],"평일",상세표[반영 기관],"서울병원"))</f>
        <v/>
      </c>
      <c r="U793">
        <f>IF($W793="","",COUNTIFS(상세표[사번키],INDEX(합계표[사번키],$W793),상세표[반영월],대상월키,상세표[야간당직],1,상세표[야간 구분],"휴일",상세표[반영 기관],"서울병원"))</f>
        <v/>
      </c>
      <c r="V793">
        <f>IF($W793="","",IF(ISNUMBER(MATCH(INDEX(합계표[사번키],$W793)&amp;"|"&amp;대상월키,월별근무지표[키],0)),"직접 입력",IF($K793="—","—","기관명단")))</f>
        <v/>
      </c>
      <c r="W793">
        <f>IFERROR(MATCH(788,합계표[판정순번],0),"")</f>
        <v/>
      </c>
    </row>
    <row r="794">
      <c r="A794">
        <f>IF($W794="","",INDEX(합계표[사번],$W794)&amp;"")</f>
        <v/>
      </c>
      <c r="B794">
        <f>IF($W794="","",INDEX(합계표[성명],$W794)&amp;"")</f>
        <v/>
      </c>
      <c r="C794">
        <f>IF($W794="","",INDEX(합계표[부서],$W794)&amp;"")</f>
        <v/>
      </c>
      <c r="D794">
        <f>IF($W794="","",INDEX(합계표[직위(통합)],$W794)&amp;"")</f>
        <v/>
      </c>
      <c r="E794">
        <f>IF($W794="","",SUMIFS(합계표[시스템 합계],합계표[사번키],INDEX(합계표[사번키],$W794)))</f>
        <v/>
      </c>
      <c r="F794">
        <f>IF($W794="","",SUMIFS(상세표[기록 시간외],상세표[사번키],INDEX(합계표[사번키],$W794),상세표[기록월],대상월키))</f>
        <v/>
      </c>
      <c r="G794">
        <f>IF($W794="","",IF(ABS($E794-$F794)&lt;0.01,"일치","불일치(차이 "&amp;TEXT($F794-$E794,"0.00")&amp;")"))</f>
        <v/>
      </c>
      <c r="H794">
        <f>IF($W794="","",SUMIFS(상세표[기록 시간외],상세표[사번키],INDEX(합계표[사번키],$W794),상세표[기록월],대상월키,상세표[반영월],"&lt;&gt;"&amp;대상월키))</f>
        <v/>
      </c>
      <c r="I794">
        <f>IF($W794="","",SUMIFS(상세표[기록 시간외],상세표[사번키],INDEX(합계표[사번키],$W794),상세표[기록월],"&lt;&gt;"&amp;대상월키,상세표[반영월],대상월키))</f>
        <v/>
      </c>
      <c r="J794">
        <f>IF($W794="","",SUMIFS(상세표[기록 시간외],상세표[사번키],INDEX(합계표[사번키],$W794),상세표[반영월],대상월키))</f>
        <v/>
      </c>
      <c r="K794">
        <f>IF($W794="","",IFERROR(INDEX(월별근무지표[적용 급여병원],MATCH(INDEX(합계표[사번키],$W794)&amp;"|"&amp;대상월키,월별근무지표[키],0))&amp;"",IF(COUNTIF(기관표[사번키],INDEX(합계표[사번키],$W794))+COUNTIF(월별근무지표[사번키],INDEX(합계표[사번키],$W794))&gt;0,IFERROR(INDEX(기관표[급여지급병원(기준월)],MATCH(INDEX(합계표[사번키],$W794)&amp;"|"&amp;대상월키,기관표[키],0))&amp;"","—"),"—")))</f>
        <v/>
      </c>
      <c r="L794">
        <f>IF($W794="","",IF(NOT(COUNTIF(기관표[사번키],INDEX(합계표[사번키],$W794))+COUNTIF(월별근무지표[사번키],INDEX(합계표[사번키],$W794))&gt;0),"기관명단에 없음(다른 병원으로 발송)",IF($K794="—","대상월 기관명단 없음(추가 필요)",IF($K794="서울병원","해당","비해당"))))</f>
        <v/>
      </c>
      <c r="M794">
        <f>IF($W794="","",SUMIFS(상세표[06~07시],상세표[사번키],INDEX(합계표[사번키],$W794),상세표[반영월],대상월키,상세표[반영 기관],"서울병원"))</f>
        <v/>
      </c>
      <c r="N794">
        <f>IF($W794="","",SUMIFS(상세표[07~18시],상세표[사번키],INDEX(합계표[사번키],$W794),상세표[반영월],대상월키,상세표[반영 기관],"서울병원"))</f>
        <v/>
      </c>
      <c r="O794">
        <f>IF($W794="","",SUMIFS(상세표[18~22시],상세표[사번키],INDEX(합계표[사번키],$W794),상세표[반영월],대상월키,상세표[반영 기관],"서울병원"))</f>
        <v/>
      </c>
      <c r="P794">
        <f>IF($W794="","",SUMIFS(상세표[22~06시],상세표[사번키],INDEX(합계표[사번키],$W794),상세표[반영월],대상월키,상세표[반영 기관],"서울병원"))</f>
        <v/>
      </c>
      <c r="Q794">
        <f>IF($W794="","",SUM($M794:$P794))</f>
        <v/>
      </c>
      <c r="R794">
        <f>IF($W794="","",COUNTIFS(상세표[사번키],INDEX(합계표[사번키],$W794),상세표[반영월],대상월키,상세표[야간당직],1,상세표[야간 구분],"평일"))</f>
        <v/>
      </c>
      <c r="S794" s="4">
        <f>IF($W794="","",COUNTIFS(상세표[사번키],INDEX(합계표[사번키],$W794),상세표[반영월],대상월키,상세표[야간당직],1,상세표[야간 구분],"휴일"))</f>
        <v/>
      </c>
      <c r="T794">
        <f>IF($W794="","",COUNTIFS(상세표[사번키],INDEX(합계표[사번키],$W794),상세표[반영월],대상월키,상세표[야간당직],1,상세표[야간 구분],"평일",상세표[반영 기관],"서울병원"))</f>
        <v/>
      </c>
      <c r="U794">
        <f>IF($W794="","",COUNTIFS(상세표[사번키],INDEX(합계표[사번키],$W794),상세표[반영월],대상월키,상세표[야간당직],1,상세표[야간 구분],"휴일",상세표[반영 기관],"서울병원"))</f>
        <v/>
      </c>
      <c r="V794">
        <f>IF($W794="","",IF(ISNUMBER(MATCH(INDEX(합계표[사번키],$W794)&amp;"|"&amp;대상월키,월별근무지표[키],0)),"직접 입력",IF($K794="—","—","기관명단")))</f>
        <v/>
      </c>
      <c r="W794">
        <f>IFERROR(MATCH(789,합계표[판정순번],0),"")</f>
        <v/>
      </c>
    </row>
    <row r="795">
      <c r="A795">
        <f>IF($W795="","",INDEX(합계표[사번],$W795)&amp;"")</f>
        <v/>
      </c>
      <c r="B795">
        <f>IF($W795="","",INDEX(합계표[성명],$W795)&amp;"")</f>
        <v/>
      </c>
      <c r="C795">
        <f>IF($W795="","",INDEX(합계표[부서],$W795)&amp;"")</f>
        <v/>
      </c>
      <c r="D795">
        <f>IF($W795="","",INDEX(합계표[직위(통합)],$W795)&amp;"")</f>
        <v/>
      </c>
      <c r="E795">
        <f>IF($W795="","",SUMIFS(합계표[시스템 합계],합계표[사번키],INDEX(합계표[사번키],$W795)))</f>
        <v/>
      </c>
      <c r="F795">
        <f>IF($W795="","",SUMIFS(상세표[기록 시간외],상세표[사번키],INDEX(합계표[사번키],$W795),상세표[기록월],대상월키))</f>
        <v/>
      </c>
      <c r="G795">
        <f>IF($W795="","",IF(ABS($E795-$F795)&lt;0.01,"일치","불일치(차이 "&amp;TEXT($F795-$E795,"0.00")&amp;")"))</f>
        <v/>
      </c>
      <c r="H795">
        <f>IF($W795="","",SUMIFS(상세표[기록 시간외],상세표[사번키],INDEX(합계표[사번키],$W795),상세표[기록월],대상월키,상세표[반영월],"&lt;&gt;"&amp;대상월키))</f>
        <v/>
      </c>
      <c r="I795">
        <f>IF($W795="","",SUMIFS(상세표[기록 시간외],상세표[사번키],INDEX(합계표[사번키],$W795),상세표[기록월],"&lt;&gt;"&amp;대상월키,상세표[반영월],대상월키))</f>
        <v/>
      </c>
      <c r="J795">
        <f>IF($W795="","",SUMIFS(상세표[기록 시간외],상세표[사번키],INDEX(합계표[사번키],$W795),상세표[반영월],대상월키))</f>
        <v/>
      </c>
      <c r="K795">
        <f>IF($W795="","",IFERROR(INDEX(월별근무지표[적용 급여병원],MATCH(INDEX(합계표[사번키],$W795)&amp;"|"&amp;대상월키,월별근무지표[키],0))&amp;"",IF(COUNTIF(기관표[사번키],INDEX(합계표[사번키],$W795))+COUNTIF(월별근무지표[사번키],INDEX(합계표[사번키],$W795))&gt;0,IFERROR(INDEX(기관표[급여지급병원(기준월)],MATCH(INDEX(합계표[사번키],$W795)&amp;"|"&amp;대상월키,기관표[키],0))&amp;"","—"),"—")))</f>
        <v/>
      </c>
      <c r="L795">
        <f>IF($W795="","",IF(NOT(COUNTIF(기관표[사번키],INDEX(합계표[사번키],$W795))+COUNTIF(월별근무지표[사번키],INDEX(합계표[사번키],$W795))&gt;0),"기관명단에 없음(다른 병원으로 발송)",IF($K795="—","대상월 기관명단 없음(추가 필요)",IF($K795="서울병원","해당","비해당"))))</f>
        <v/>
      </c>
      <c r="M795">
        <f>IF($W795="","",SUMIFS(상세표[06~07시],상세표[사번키],INDEX(합계표[사번키],$W795),상세표[반영월],대상월키,상세표[반영 기관],"서울병원"))</f>
        <v/>
      </c>
      <c r="N795">
        <f>IF($W795="","",SUMIFS(상세표[07~18시],상세표[사번키],INDEX(합계표[사번키],$W795),상세표[반영월],대상월키,상세표[반영 기관],"서울병원"))</f>
        <v/>
      </c>
      <c r="O795">
        <f>IF($W795="","",SUMIFS(상세표[18~22시],상세표[사번키],INDEX(합계표[사번키],$W795),상세표[반영월],대상월키,상세표[반영 기관],"서울병원"))</f>
        <v/>
      </c>
      <c r="P795">
        <f>IF($W795="","",SUMIFS(상세표[22~06시],상세표[사번키],INDEX(합계표[사번키],$W795),상세표[반영월],대상월키,상세표[반영 기관],"서울병원"))</f>
        <v/>
      </c>
      <c r="Q795">
        <f>IF($W795="","",SUM($M795:$P795))</f>
        <v/>
      </c>
      <c r="R795">
        <f>IF($W795="","",COUNTIFS(상세표[사번키],INDEX(합계표[사번키],$W795),상세표[반영월],대상월키,상세표[야간당직],1,상세표[야간 구분],"평일"))</f>
        <v/>
      </c>
      <c r="S795" s="4">
        <f>IF($W795="","",COUNTIFS(상세표[사번키],INDEX(합계표[사번키],$W795),상세표[반영월],대상월키,상세표[야간당직],1,상세표[야간 구분],"휴일"))</f>
        <v/>
      </c>
      <c r="T795">
        <f>IF($W795="","",COUNTIFS(상세표[사번키],INDEX(합계표[사번키],$W795),상세표[반영월],대상월키,상세표[야간당직],1,상세표[야간 구분],"평일",상세표[반영 기관],"서울병원"))</f>
        <v/>
      </c>
      <c r="U795">
        <f>IF($W795="","",COUNTIFS(상세표[사번키],INDEX(합계표[사번키],$W795),상세표[반영월],대상월키,상세표[야간당직],1,상세표[야간 구분],"휴일",상세표[반영 기관],"서울병원"))</f>
        <v/>
      </c>
      <c r="V795">
        <f>IF($W795="","",IF(ISNUMBER(MATCH(INDEX(합계표[사번키],$W795)&amp;"|"&amp;대상월키,월별근무지표[키],0)),"직접 입력",IF($K795="—","—","기관명단")))</f>
        <v/>
      </c>
      <c r="W795">
        <f>IFERROR(MATCH(790,합계표[판정순번],0),"")</f>
        <v/>
      </c>
    </row>
    <row r="796">
      <c r="A796">
        <f>IF($W796="","",INDEX(합계표[사번],$W796)&amp;"")</f>
        <v/>
      </c>
      <c r="B796">
        <f>IF($W796="","",INDEX(합계표[성명],$W796)&amp;"")</f>
        <v/>
      </c>
      <c r="C796">
        <f>IF($W796="","",INDEX(합계표[부서],$W796)&amp;"")</f>
        <v/>
      </c>
      <c r="D796">
        <f>IF($W796="","",INDEX(합계표[직위(통합)],$W796)&amp;"")</f>
        <v/>
      </c>
      <c r="E796">
        <f>IF($W796="","",SUMIFS(합계표[시스템 합계],합계표[사번키],INDEX(합계표[사번키],$W796)))</f>
        <v/>
      </c>
      <c r="F796">
        <f>IF($W796="","",SUMIFS(상세표[기록 시간외],상세표[사번키],INDEX(합계표[사번키],$W796),상세표[기록월],대상월키))</f>
        <v/>
      </c>
      <c r="G796">
        <f>IF($W796="","",IF(ABS($E796-$F796)&lt;0.01,"일치","불일치(차이 "&amp;TEXT($F796-$E796,"0.00")&amp;")"))</f>
        <v/>
      </c>
      <c r="H796">
        <f>IF($W796="","",SUMIFS(상세표[기록 시간외],상세표[사번키],INDEX(합계표[사번키],$W796),상세표[기록월],대상월키,상세표[반영월],"&lt;&gt;"&amp;대상월키))</f>
        <v/>
      </c>
      <c r="I796">
        <f>IF($W796="","",SUMIFS(상세표[기록 시간외],상세표[사번키],INDEX(합계표[사번키],$W796),상세표[기록월],"&lt;&gt;"&amp;대상월키,상세표[반영월],대상월키))</f>
        <v/>
      </c>
      <c r="J796">
        <f>IF($W796="","",SUMIFS(상세표[기록 시간외],상세표[사번키],INDEX(합계표[사번키],$W796),상세표[반영월],대상월키))</f>
        <v/>
      </c>
      <c r="K796">
        <f>IF($W796="","",IFERROR(INDEX(월별근무지표[적용 급여병원],MATCH(INDEX(합계표[사번키],$W796)&amp;"|"&amp;대상월키,월별근무지표[키],0))&amp;"",IF(COUNTIF(기관표[사번키],INDEX(합계표[사번키],$W796))+COUNTIF(월별근무지표[사번키],INDEX(합계표[사번키],$W796))&gt;0,IFERROR(INDEX(기관표[급여지급병원(기준월)],MATCH(INDEX(합계표[사번키],$W796)&amp;"|"&amp;대상월키,기관표[키],0))&amp;"","—"),"—")))</f>
        <v/>
      </c>
      <c r="L796">
        <f>IF($W796="","",IF(NOT(COUNTIF(기관표[사번키],INDEX(합계표[사번키],$W796))+COUNTIF(월별근무지표[사번키],INDEX(합계표[사번키],$W796))&gt;0),"기관명단에 없음(다른 병원으로 발송)",IF($K796="—","대상월 기관명단 없음(추가 필요)",IF($K796="서울병원","해당","비해당"))))</f>
        <v/>
      </c>
      <c r="M796">
        <f>IF($W796="","",SUMIFS(상세표[06~07시],상세표[사번키],INDEX(합계표[사번키],$W796),상세표[반영월],대상월키,상세표[반영 기관],"서울병원"))</f>
        <v/>
      </c>
      <c r="N796">
        <f>IF($W796="","",SUMIFS(상세표[07~18시],상세표[사번키],INDEX(합계표[사번키],$W796),상세표[반영월],대상월키,상세표[반영 기관],"서울병원"))</f>
        <v/>
      </c>
      <c r="O796">
        <f>IF($W796="","",SUMIFS(상세표[18~22시],상세표[사번키],INDEX(합계표[사번키],$W796),상세표[반영월],대상월키,상세표[반영 기관],"서울병원"))</f>
        <v/>
      </c>
      <c r="P796">
        <f>IF($W796="","",SUMIFS(상세표[22~06시],상세표[사번키],INDEX(합계표[사번키],$W796),상세표[반영월],대상월키,상세표[반영 기관],"서울병원"))</f>
        <v/>
      </c>
      <c r="Q796">
        <f>IF($W796="","",SUM($M796:$P796))</f>
        <v/>
      </c>
      <c r="R796">
        <f>IF($W796="","",COUNTIFS(상세표[사번키],INDEX(합계표[사번키],$W796),상세표[반영월],대상월키,상세표[야간당직],1,상세표[야간 구분],"평일"))</f>
        <v/>
      </c>
      <c r="S796" s="4">
        <f>IF($W796="","",COUNTIFS(상세표[사번키],INDEX(합계표[사번키],$W796),상세표[반영월],대상월키,상세표[야간당직],1,상세표[야간 구분],"휴일"))</f>
        <v/>
      </c>
      <c r="T796">
        <f>IF($W796="","",COUNTIFS(상세표[사번키],INDEX(합계표[사번키],$W796),상세표[반영월],대상월키,상세표[야간당직],1,상세표[야간 구분],"평일",상세표[반영 기관],"서울병원"))</f>
        <v/>
      </c>
      <c r="U796">
        <f>IF($W796="","",COUNTIFS(상세표[사번키],INDEX(합계표[사번키],$W796),상세표[반영월],대상월키,상세표[야간당직],1,상세표[야간 구분],"휴일",상세표[반영 기관],"서울병원"))</f>
        <v/>
      </c>
      <c r="V796">
        <f>IF($W796="","",IF(ISNUMBER(MATCH(INDEX(합계표[사번키],$W796)&amp;"|"&amp;대상월키,월별근무지표[키],0)),"직접 입력",IF($K796="—","—","기관명단")))</f>
        <v/>
      </c>
      <c r="W796">
        <f>IFERROR(MATCH(791,합계표[판정순번],0),"")</f>
        <v/>
      </c>
    </row>
    <row r="797">
      <c r="A797">
        <f>IF($W797="","",INDEX(합계표[사번],$W797)&amp;"")</f>
        <v/>
      </c>
      <c r="B797">
        <f>IF($W797="","",INDEX(합계표[성명],$W797)&amp;"")</f>
        <v/>
      </c>
      <c r="C797">
        <f>IF($W797="","",INDEX(합계표[부서],$W797)&amp;"")</f>
        <v/>
      </c>
      <c r="D797">
        <f>IF($W797="","",INDEX(합계표[직위(통합)],$W797)&amp;"")</f>
        <v/>
      </c>
      <c r="E797">
        <f>IF($W797="","",SUMIFS(합계표[시스템 합계],합계표[사번키],INDEX(합계표[사번키],$W797)))</f>
        <v/>
      </c>
      <c r="F797">
        <f>IF($W797="","",SUMIFS(상세표[기록 시간외],상세표[사번키],INDEX(합계표[사번키],$W797),상세표[기록월],대상월키))</f>
        <v/>
      </c>
      <c r="G797">
        <f>IF($W797="","",IF(ABS($E797-$F797)&lt;0.01,"일치","불일치(차이 "&amp;TEXT($F797-$E797,"0.00")&amp;")"))</f>
        <v/>
      </c>
      <c r="H797">
        <f>IF($W797="","",SUMIFS(상세표[기록 시간외],상세표[사번키],INDEX(합계표[사번키],$W797),상세표[기록월],대상월키,상세표[반영월],"&lt;&gt;"&amp;대상월키))</f>
        <v/>
      </c>
      <c r="I797">
        <f>IF($W797="","",SUMIFS(상세표[기록 시간외],상세표[사번키],INDEX(합계표[사번키],$W797),상세표[기록월],"&lt;&gt;"&amp;대상월키,상세표[반영월],대상월키))</f>
        <v/>
      </c>
      <c r="J797">
        <f>IF($W797="","",SUMIFS(상세표[기록 시간외],상세표[사번키],INDEX(합계표[사번키],$W797),상세표[반영월],대상월키))</f>
        <v/>
      </c>
      <c r="K797">
        <f>IF($W797="","",IFERROR(INDEX(월별근무지표[적용 급여병원],MATCH(INDEX(합계표[사번키],$W797)&amp;"|"&amp;대상월키,월별근무지표[키],0))&amp;"",IF(COUNTIF(기관표[사번키],INDEX(합계표[사번키],$W797))+COUNTIF(월별근무지표[사번키],INDEX(합계표[사번키],$W797))&gt;0,IFERROR(INDEX(기관표[급여지급병원(기준월)],MATCH(INDEX(합계표[사번키],$W797)&amp;"|"&amp;대상월키,기관표[키],0))&amp;"","—"),"—")))</f>
        <v/>
      </c>
      <c r="L797">
        <f>IF($W797="","",IF(NOT(COUNTIF(기관표[사번키],INDEX(합계표[사번키],$W797))+COUNTIF(월별근무지표[사번키],INDEX(합계표[사번키],$W797))&gt;0),"기관명단에 없음(다른 병원으로 발송)",IF($K797="—","대상월 기관명단 없음(추가 필요)",IF($K797="서울병원","해당","비해당"))))</f>
        <v/>
      </c>
      <c r="M797">
        <f>IF($W797="","",SUMIFS(상세표[06~07시],상세표[사번키],INDEX(합계표[사번키],$W797),상세표[반영월],대상월키,상세표[반영 기관],"서울병원"))</f>
        <v/>
      </c>
      <c r="N797">
        <f>IF($W797="","",SUMIFS(상세표[07~18시],상세표[사번키],INDEX(합계표[사번키],$W797),상세표[반영월],대상월키,상세표[반영 기관],"서울병원"))</f>
        <v/>
      </c>
      <c r="O797">
        <f>IF($W797="","",SUMIFS(상세표[18~22시],상세표[사번키],INDEX(합계표[사번키],$W797),상세표[반영월],대상월키,상세표[반영 기관],"서울병원"))</f>
        <v/>
      </c>
      <c r="P797">
        <f>IF($W797="","",SUMIFS(상세표[22~06시],상세표[사번키],INDEX(합계표[사번키],$W797),상세표[반영월],대상월키,상세표[반영 기관],"서울병원"))</f>
        <v/>
      </c>
      <c r="Q797">
        <f>IF($W797="","",SUM($M797:$P797))</f>
        <v/>
      </c>
      <c r="R797">
        <f>IF($W797="","",COUNTIFS(상세표[사번키],INDEX(합계표[사번키],$W797),상세표[반영월],대상월키,상세표[야간당직],1,상세표[야간 구분],"평일"))</f>
        <v/>
      </c>
      <c r="S797" s="4">
        <f>IF($W797="","",COUNTIFS(상세표[사번키],INDEX(합계표[사번키],$W797),상세표[반영월],대상월키,상세표[야간당직],1,상세표[야간 구분],"휴일"))</f>
        <v/>
      </c>
      <c r="T797">
        <f>IF($W797="","",COUNTIFS(상세표[사번키],INDEX(합계표[사번키],$W797),상세표[반영월],대상월키,상세표[야간당직],1,상세표[야간 구분],"평일",상세표[반영 기관],"서울병원"))</f>
        <v/>
      </c>
      <c r="U797">
        <f>IF($W797="","",COUNTIFS(상세표[사번키],INDEX(합계표[사번키],$W797),상세표[반영월],대상월키,상세표[야간당직],1,상세표[야간 구분],"휴일",상세표[반영 기관],"서울병원"))</f>
        <v/>
      </c>
      <c r="V797">
        <f>IF($W797="","",IF(ISNUMBER(MATCH(INDEX(합계표[사번키],$W797)&amp;"|"&amp;대상월키,월별근무지표[키],0)),"직접 입력",IF($K797="—","—","기관명단")))</f>
        <v/>
      </c>
      <c r="W797">
        <f>IFERROR(MATCH(792,합계표[판정순번],0),"")</f>
        <v/>
      </c>
    </row>
    <row r="798">
      <c r="A798">
        <f>IF($W798="","",INDEX(합계표[사번],$W798)&amp;"")</f>
        <v/>
      </c>
      <c r="B798">
        <f>IF($W798="","",INDEX(합계표[성명],$W798)&amp;"")</f>
        <v/>
      </c>
      <c r="C798">
        <f>IF($W798="","",INDEX(합계표[부서],$W798)&amp;"")</f>
        <v/>
      </c>
      <c r="D798">
        <f>IF($W798="","",INDEX(합계표[직위(통합)],$W798)&amp;"")</f>
        <v/>
      </c>
      <c r="E798">
        <f>IF($W798="","",SUMIFS(합계표[시스템 합계],합계표[사번키],INDEX(합계표[사번키],$W798)))</f>
        <v/>
      </c>
      <c r="F798">
        <f>IF($W798="","",SUMIFS(상세표[기록 시간외],상세표[사번키],INDEX(합계표[사번키],$W798),상세표[기록월],대상월키))</f>
        <v/>
      </c>
      <c r="G798">
        <f>IF($W798="","",IF(ABS($E798-$F798)&lt;0.01,"일치","불일치(차이 "&amp;TEXT($F798-$E798,"0.00")&amp;")"))</f>
        <v/>
      </c>
      <c r="H798">
        <f>IF($W798="","",SUMIFS(상세표[기록 시간외],상세표[사번키],INDEX(합계표[사번키],$W798),상세표[기록월],대상월키,상세표[반영월],"&lt;&gt;"&amp;대상월키))</f>
        <v/>
      </c>
      <c r="I798">
        <f>IF($W798="","",SUMIFS(상세표[기록 시간외],상세표[사번키],INDEX(합계표[사번키],$W798),상세표[기록월],"&lt;&gt;"&amp;대상월키,상세표[반영월],대상월키))</f>
        <v/>
      </c>
      <c r="J798">
        <f>IF($W798="","",SUMIFS(상세표[기록 시간외],상세표[사번키],INDEX(합계표[사번키],$W798),상세표[반영월],대상월키))</f>
        <v/>
      </c>
      <c r="K798">
        <f>IF($W798="","",IFERROR(INDEX(월별근무지표[적용 급여병원],MATCH(INDEX(합계표[사번키],$W798)&amp;"|"&amp;대상월키,월별근무지표[키],0))&amp;"",IF(COUNTIF(기관표[사번키],INDEX(합계표[사번키],$W798))+COUNTIF(월별근무지표[사번키],INDEX(합계표[사번키],$W798))&gt;0,IFERROR(INDEX(기관표[급여지급병원(기준월)],MATCH(INDEX(합계표[사번키],$W798)&amp;"|"&amp;대상월키,기관표[키],0))&amp;"","—"),"—")))</f>
        <v/>
      </c>
      <c r="L798">
        <f>IF($W798="","",IF(NOT(COUNTIF(기관표[사번키],INDEX(합계표[사번키],$W798))+COUNTIF(월별근무지표[사번키],INDEX(합계표[사번키],$W798))&gt;0),"기관명단에 없음(다른 병원으로 발송)",IF($K798="—","대상월 기관명단 없음(추가 필요)",IF($K798="서울병원","해당","비해당"))))</f>
        <v/>
      </c>
      <c r="M798">
        <f>IF($W798="","",SUMIFS(상세표[06~07시],상세표[사번키],INDEX(합계표[사번키],$W798),상세표[반영월],대상월키,상세표[반영 기관],"서울병원"))</f>
        <v/>
      </c>
      <c r="N798">
        <f>IF($W798="","",SUMIFS(상세표[07~18시],상세표[사번키],INDEX(합계표[사번키],$W798),상세표[반영월],대상월키,상세표[반영 기관],"서울병원"))</f>
        <v/>
      </c>
      <c r="O798">
        <f>IF($W798="","",SUMIFS(상세표[18~22시],상세표[사번키],INDEX(합계표[사번키],$W798),상세표[반영월],대상월키,상세표[반영 기관],"서울병원"))</f>
        <v/>
      </c>
      <c r="P798">
        <f>IF($W798="","",SUMIFS(상세표[22~06시],상세표[사번키],INDEX(합계표[사번키],$W798),상세표[반영월],대상월키,상세표[반영 기관],"서울병원"))</f>
        <v/>
      </c>
      <c r="Q798">
        <f>IF($W798="","",SUM($M798:$P798))</f>
        <v/>
      </c>
      <c r="R798">
        <f>IF($W798="","",COUNTIFS(상세표[사번키],INDEX(합계표[사번키],$W798),상세표[반영월],대상월키,상세표[야간당직],1,상세표[야간 구분],"평일"))</f>
        <v/>
      </c>
      <c r="S798" s="4">
        <f>IF($W798="","",COUNTIFS(상세표[사번키],INDEX(합계표[사번키],$W798),상세표[반영월],대상월키,상세표[야간당직],1,상세표[야간 구분],"휴일"))</f>
        <v/>
      </c>
      <c r="T798">
        <f>IF($W798="","",COUNTIFS(상세표[사번키],INDEX(합계표[사번키],$W798),상세표[반영월],대상월키,상세표[야간당직],1,상세표[야간 구분],"평일",상세표[반영 기관],"서울병원"))</f>
        <v/>
      </c>
      <c r="U798">
        <f>IF($W798="","",COUNTIFS(상세표[사번키],INDEX(합계표[사번키],$W798),상세표[반영월],대상월키,상세표[야간당직],1,상세표[야간 구분],"휴일",상세표[반영 기관],"서울병원"))</f>
        <v/>
      </c>
      <c r="V798">
        <f>IF($W798="","",IF(ISNUMBER(MATCH(INDEX(합계표[사번키],$W798)&amp;"|"&amp;대상월키,월별근무지표[키],0)),"직접 입력",IF($K798="—","—","기관명단")))</f>
        <v/>
      </c>
      <c r="W798">
        <f>IFERROR(MATCH(793,합계표[판정순번],0),"")</f>
        <v/>
      </c>
    </row>
    <row r="799">
      <c r="A799">
        <f>IF($W799="","",INDEX(합계표[사번],$W799)&amp;"")</f>
        <v/>
      </c>
      <c r="B799">
        <f>IF($W799="","",INDEX(합계표[성명],$W799)&amp;"")</f>
        <v/>
      </c>
      <c r="C799">
        <f>IF($W799="","",INDEX(합계표[부서],$W799)&amp;"")</f>
        <v/>
      </c>
      <c r="D799">
        <f>IF($W799="","",INDEX(합계표[직위(통합)],$W799)&amp;"")</f>
        <v/>
      </c>
      <c r="E799">
        <f>IF($W799="","",SUMIFS(합계표[시스템 합계],합계표[사번키],INDEX(합계표[사번키],$W799)))</f>
        <v/>
      </c>
      <c r="F799">
        <f>IF($W799="","",SUMIFS(상세표[기록 시간외],상세표[사번키],INDEX(합계표[사번키],$W799),상세표[기록월],대상월키))</f>
        <v/>
      </c>
      <c r="G799">
        <f>IF($W799="","",IF(ABS($E799-$F799)&lt;0.01,"일치","불일치(차이 "&amp;TEXT($F799-$E799,"0.00")&amp;")"))</f>
        <v/>
      </c>
      <c r="H799">
        <f>IF($W799="","",SUMIFS(상세표[기록 시간외],상세표[사번키],INDEX(합계표[사번키],$W799),상세표[기록월],대상월키,상세표[반영월],"&lt;&gt;"&amp;대상월키))</f>
        <v/>
      </c>
      <c r="I799">
        <f>IF($W799="","",SUMIFS(상세표[기록 시간외],상세표[사번키],INDEX(합계표[사번키],$W799),상세표[기록월],"&lt;&gt;"&amp;대상월키,상세표[반영월],대상월키))</f>
        <v/>
      </c>
      <c r="J799">
        <f>IF($W799="","",SUMIFS(상세표[기록 시간외],상세표[사번키],INDEX(합계표[사번키],$W799),상세표[반영월],대상월키))</f>
        <v/>
      </c>
      <c r="K799">
        <f>IF($W799="","",IFERROR(INDEX(월별근무지표[적용 급여병원],MATCH(INDEX(합계표[사번키],$W799)&amp;"|"&amp;대상월키,월별근무지표[키],0))&amp;"",IF(COUNTIF(기관표[사번키],INDEX(합계표[사번키],$W799))+COUNTIF(월별근무지표[사번키],INDEX(합계표[사번키],$W799))&gt;0,IFERROR(INDEX(기관표[급여지급병원(기준월)],MATCH(INDEX(합계표[사번키],$W799)&amp;"|"&amp;대상월키,기관표[키],0))&amp;"","—"),"—")))</f>
        <v/>
      </c>
      <c r="L799">
        <f>IF($W799="","",IF(NOT(COUNTIF(기관표[사번키],INDEX(합계표[사번키],$W799))+COUNTIF(월별근무지표[사번키],INDEX(합계표[사번키],$W799))&gt;0),"기관명단에 없음(다른 병원으로 발송)",IF($K799="—","대상월 기관명단 없음(추가 필요)",IF($K799="서울병원","해당","비해당"))))</f>
        <v/>
      </c>
      <c r="M799">
        <f>IF($W799="","",SUMIFS(상세표[06~07시],상세표[사번키],INDEX(합계표[사번키],$W799),상세표[반영월],대상월키,상세표[반영 기관],"서울병원"))</f>
        <v/>
      </c>
      <c r="N799">
        <f>IF($W799="","",SUMIFS(상세표[07~18시],상세표[사번키],INDEX(합계표[사번키],$W799),상세표[반영월],대상월키,상세표[반영 기관],"서울병원"))</f>
        <v/>
      </c>
      <c r="O799">
        <f>IF($W799="","",SUMIFS(상세표[18~22시],상세표[사번키],INDEX(합계표[사번키],$W799),상세표[반영월],대상월키,상세표[반영 기관],"서울병원"))</f>
        <v/>
      </c>
      <c r="P799">
        <f>IF($W799="","",SUMIFS(상세표[22~06시],상세표[사번키],INDEX(합계표[사번키],$W799),상세표[반영월],대상월키,상세표[반영 기관],"서울병원"))</f>
        <v/>
      </c>
      <c r="Q799">
        <f>IF($W799="","",SUM($M799:$P799))</f>
        <v/>
      </c>
      <c r="R799">
        <f>IF($W799="","",COUNTIFS(상세표[사번키],INDEX(합계표[사번키],$W799),상세표[반영월],대상월키,상세표[야간당직],1,상세표[야간 구분],"평일"))</f>
        <v/>
      </c>
      <c r="S799" s="4">
        <f>IF($W799="","",COUNTIFS(상세표[사번키],INDEX(합계표[사번키],$W799),상세표[반영월],대상월키,상세표[야간당직],1,상세표[야간 구분],"휴일"))</f>
        <v/>
      </c>
      <c r="T799">
        <f>IF($W799="","",COUNTIFS(상세표[사번키],INDEX(합계표[사번키],$W799),상세표[반영월],대상월키,상세표[야간당직],1,상세표[야간 구분],"평일",상세표[반영 기관],"서울병원"))</f>
        <v/>
      </c>
      <c r="U799">
        <f>IF($W799="","",COUNTIFS(상세표[사번키],INDEX(합계표[사번키],$W799),상세표[반영월],대상월키,상세표[야간당직],1,상세표[야간 구분],"휴일",상세표[반영 기관],"서울병원"))</f>
        <v/>
      </c>
      <c r="V799">
        <f>IF($W799="","",IF(ISNUMBER(MATCH(INDEX(합계표[사번키],$W799)&amp;"|"&amp;대상월키,월별근무지표[키],0)),"직접 입력",IF($K799="—","—","기관명단")))</f>
        <v/>
      </c>
      <c r="W799">
        <f>IFERROR(MATCH(794,합계표[판정순번],0),"")</f>
        <v/>
      </c>
    </row>
    <row r="800">
      <c r="A800">
        <f>IF($W800="","",INDEX(합계표[사번],$W800)&amp;"")</f>
        <v/>
      </c>
      <c r="B800">
        <f>IF($W800="","",INDEX(합계표[성명],$W800)&amp;"")</f>
        <v/>
      </c>
      <c r="C800">
        <f>IF($W800="","",INDEX(합계표[부서],$W800)&amp;"")</f>
        <v/>
      </c>
      <c r="D800">
        <f>IF($W800="","",INDEX(합계표[직위(통합)],$W800)&amp;"")</f>
        <v/>
      </c>
      <c r="E800">
        <f>IF($W800="","",SUMIFS(합계표[시스템 합계],합계표[사번키],INDEX(합계표[사번키],$W800)))</f>
        <v/>
      </c>
      <c r="F800">
        <f>IF($W800="","",SUMIFS(상세표[기록 시간외],상세표[사번키],INDEX(합계표[사번키],$W800),상세표[기록월],대상월키))</f>
        <v/>
      </c>
      <c r="G800">
        <f>IF($W800="","",IF(ABS($E800-$F800)&lt;0.01,"일치","불일치(차이 "&amp;TEXT($F800-$E800,"0.00")&amp;")"))</f>
        <v/>
      </c>
      <c r="H800">
        <f>IF($W800="","",SUMIFS(상세표[기록 시간외],상세표[사번키],INDEX(합계표[사번키],$W800),상세표[기록월],대상월키,상세표[반영월],"&lt;&gt;"&amp;대상월키))</f>
        <v/>
      </c>
      <c r="I800">
        <f>IF($W800="","",SUMIFS(상세표[기록 시간외],상세표[사번키],INDEX(합계표[사번키],$W800),상세표[기록월],"&lt;&gt;"&amp;대상월키,상세표[반영월],대상월키))</f>
        <v/>
      </c>
      <c r="J800">
        <f>IF($W800="","",SUMIFS(상세표[기록 시간외],상세표[사번키],INDEX(합계표[사번키],$W800),상세표[반영월],대상월키))</f>
        <v/>
      </c>
      <c r="K800">
        <f>IF($W800="","",IFERROR(INDEX(월별근무지표[적용 급여병원],MATCH(INDEX(합계표[사번키],$W800)&amp;"|"&amp;대상월키,월별근무지표[키],0))&amp;"",IF(COUNTIF(기관표[사번키],INDEX(합계표[사번키],$W800))+COUNTIF(월별근무지표[사번키],INDEX(합계표[사번키],$W800))&gt;0,IFERROR(INDEX(기관표[급여지급병원(기준월)],MATCH(INDEX(합계표[사번키],$W800)&amp;"|"&amp;대상월키,기관표[키],0))&amp;"","—"),"—")))</f>
        <v/>
      </c>
      <c r="L800">
        <f>IF($W800="","",IF(NOT(COUNTIF(기관표[사번키],INDEX(합계표[사번키],$W800))+COUNTIF(월별근무지표[사번키],INDEX(합계표[사번키],$W800))&gt;0),"기관명단에 없음(다른 병원으로 발송)",IF($K800="—","대상월 기관명단 없음(추가 필요)",IF($K800="서울병원","해당","비해당"))))</f>
        <v/>
      </c>
      <c r="M800">
        <f>IF($W800="","",SUMIFS(상세표[06~07시],상세표[사번키],INDEX(합계표[사번키],$W800),상세표[반영월],대상월키,상세표[반영 기관],"서울병원"))</f>
        <v/>
      </c>
      <c r="N800">
        <f>IF($W800="","",SUMIFS(상세표[07~18시],상세표[사번키],INDEX(합계표[사번키],$W800),상세표[반영월],대상월키,상세표[반영 기관],"서울병원"))</f>
        <v/>
      </c>
      <c r="O800">
        <f>IF($W800="","",SUMIFS(상세표[18~22시],상세표[사번키],INDEX(합계표[사번키],$W800),상세표[반영월],대상월키,상세표[반영 기관],"서울병원"))</f>
        <v/>
      </c>
      <c r="P800">
        <f>IF($W800="","",SUMIFS(상세표[22~06시],상세표[사번키],INDEX(합계표[사번키],$W800),상세표[반영월],대상월키,상세표[반영 기관],"서울병원"))</f>
        <v/>
      </c>
      <c r="Q800">
        <f>IF($W800="","",SUM($M800:$P800))</f>
        <v/>
      </c>
      <c r="R800">
        <f>IF($W800="","",COUNTIFS(상세표[사번키],INDEX(합계표[사번키],$W800),상세표[반영월],대상월키,상세표[야간당직],1,상세표[야간 구분],"평일"))</f>
        <v/>
      </c>
      <c r="S800" s="4">
        <f>IF($W800="","",COUNTIFS(상세표[사번키],INDEX(합계표[사번키],$W800),상세표[반영월],대상월키,상세표[야간당직],1,상세표[야간 구분],"휴일"))</f>
        <v/>
      </c>
      <c r="T800">
        <f>IF($W800="","",COUNTIFS(상세표[사번키],INDEX(합계표[사번키],$W800),상세표[반영월],대상월키,상세표[야간당직],1,상세표[야간 구분],"평일",상세표[반영 기관],"서울병원"))</f>
        <v/>
      </c>
      <c r="U800">
        <f>IF($W800="","",COUNTIFS(상세표[사번키],INDEX(합계표[사번키],$W800),상세표[반영월],대상월키,상세표[야간당직],1,상세표[야간 구분],"휴일",상세표[반영 기관],"서울병원"))</f>
        <v/>
      </c>
      <c r="V800">
        <f>IF($W800="","",IF(ISNUMBER(MATCH(INDEX(합계표[사번키],$W800)&amp;"|"&amp;대상월키,월별근무지표[키],0)),"직접 입력",IF($K800="—","—","기관명단")))</f>
        <v/>
      </c>
      <c r="W800">
        <f>IFERROR(MATCH(795,합계표[판정순번],0),"")</f>
        <v/>
      </c>
    </row>
    <row r="801">
      <c r="A801">
        <f>IF($W801="","",INDEX(합계표[사번],$W801)&amp;"")</f>
        <v/>
      </c>
      <c r="B801">
        <f>IF($W801="","",INDEX(합계표[성명],$W801)&amp;"")</f>
        <v/>
      </c>
      <c r="C801">
        <f>IF($W801="","",INDEX(합계표[부서],$W801)&amp;"")</f>
        <v/>
      </c>
      <c r="D801">
        <f>IF($W801="","",INDEX(합계표[직위(통합)],$W801)&amp;"")</f>
        <v/>
      </c>
      <c r="E801">
        <f>IF($W801="","",SUMIFS(합계표[시스템 합계],합계표[사번키],INDEX(합계표[사번키],$W801)))</f>
        <v/>
      </c>
      <c r="F801">
        <f>IF($W801="","",SUMIFS(상세표[기록 시간외],상세표[사번키],INDEX(합계표[사번키],$W801),상세표[기록월],대상월키))</f>
        <v/>
      </c>
      <c r="G801">
        <f>IF($W801="","",IF(ABS($E801-$F801)&lt;0.01,"일치","불일치(차이 "&amp;TEXT($F801-$E801,"0.00")&amp;")"))</f>
        <v/>
      </c>
      <c r="H801">
        <f>IF($W801="","",SUMIFS(상세표[기록 시간외],상세표[사번키],INDEX(합계표[사번키],$W801),상세표[기록월],대상월키,상세표[반영월],"&lt;&gt;"&amp;대상월키))</f>
        <v/>
      </c>
      <c r="I801">
        <f>IF($W801="","",SUMIFS(상세표[기록 시간외],상세표[사번키],INDEX(합계표[사번키],$W801),상세표[기록월],"&lt;&gt;"&amp;대상월키,상세표[반영월],대상월키))</f>
        <v/>
      </c>
      <c r="J801">
        <f>IF($W801="","",SUMIFS(상세표[기록 시간외],상세표[사번키],INDEX(합계표[사번키],$W801),상세표[반영월],대상월키))</f>
        <v/>
      </c>
      <c r="K801">
        <f>IF($W801="","",IFERROR(INDEX(월별근무지표[적용 급여병원],MATCH(INDEX(합계표[사번키],$W801)&amp;"|"&amp;대상월키,월별근무지표[키],0))&amp;"",IF(COUNTIF(기관표[사번키],INDEX(합계표[사번키],$W801))+COUNTIF(월별근무지표[사번키],INDEX(합계표[사번키],$W801))&gt;0,IFERROR(INDEX(기관표[급여지급병원(기준월)],MATCH(INDEX(합계표[사번키],$W801)&amp;"|"&amp;대상월키,기관표[키],0))&amp;"","—"),"—")))</f>
        <v/>
      </c>
      <c r="L801">
        <f>IF($W801="","",IF(NOT(COUNTIF(기관표[사번키],INDEX(합계표[사번키],$W801))+COUNTIF(월별근무지표[사번키],INDEX(합계표[사번키],$W801))&gt;0),"기관명단에 없음(다른 병원으로 발송)",IF($K801="—","대상월 기관명단 없음(추가 필요)",IF($K801="서울병원","해당","비해당"))))</f>
        <v/>
      </c>
      <c r="M801">
        <f>IF($W801="","",SUMIFS(상세표[06~07시],상세표[사번키],INDEX(합계표[사번키],$W801),상세표[반영월],대상월키,상세표[반영 기관],"서울병원"))</f>
        <v/>
      </c>
      <c r="N801">
        <f>IF($W801="","",SUMIFS(상세표[07~18시],상세표[사번키],INDEX(합계표[사번키],$W801),상세표[반영월],대상월키,상세표[반영 기관],"서울병원"))</f>
        <v/>
      </c>
      <c r="O801">
        <f>IF($W801="","",SUMIFS(상세표[18~22시],상세표[사번키],INDEX(합계표[사번키],$W801),상세표[반영월],대상월키,상세표[반영 기관],"서울병원"))</f>
        <v/>
      </c>
      <c r="P801">
        <f>IF($W801="","",SUMIFS(상세표[22~06시],상세표[사번키],INDEX(합계표[사번키],$W801),상세표[반영월],대상월키,상세표[반영 기관],"서울병원"))</f>
        <v/>
      </c>
      <c r="Q801">
        <f>IF($W801="","",SUM($M801:$P801))</f>
        <v/>
      </c>
      <c r="R801">
        <f>IF($W801="","",COUNTIFS(상세표[사번키],INDEX(합계표[사번키],$W801),상세표[반영월],대상월키,상세표[야간당직],1,상세표[야간 구분],"평일"))</f>
        <v/>
      </c>
      <c r="S801" s="4">
        <f>IF($W801="","",COUNTIFS(상세표[사번키],INDEX(합계표[사번키],$W801),상세표[반영월],대상월키,상세표[야간당직],1,상세표[야간 구분],"휴일"))</f>
        <v/>
      </c>
      <c r="T801">
        <f>IF($W801="","",COUNTIFS(상세표[사번키],INDEX(합계표[사번키],$W801),상세표[반영월],대상월키,상세표[야간당직],1,상세표[야간 구분],"평일",상세표[반영 기관],"서울병원"))</f>
        <v/>
      </c>
      <c r="U801">
        <f>IF($W801="","",COUNTIFS(상세표[사번키],INDEX(합계표[사번키],$W801),상세표[반영월],대상월키,상세표[야간당직],1,상세표[야간 구분],"휴일",상세표[반영 기관],"서울병원"))</f>
        <v/>
      </c>
      <c r="V801">
        <f>IF($W801="","",IF(ISNUMBER(MATCH(INDEX(합계표[사번키],$W801)&amp;"|"&amp;대상월키,월별근무지표[키],0)),"직접 입력",IF($K801="—","—","기관명단")))</f>
        <v/>
      </c>
      <c r="W801">
        <f>IFERROR(MATCH(796,합계표[판정순번],0),"")</f>
        <v/>
      </c>
    </row>
    <row r="802">
      <c r="A802">
        <f>IF($W802="","",INDEX(합계표[사번],$W802)&amp;"")</f>
        <v/>
      </c>
      <c r="B802">
        <f>IF($W802="","",INDEX(합계표[성명],$W802)&amp;"")</f>
        <v/>
      </c>
      <c r="C802">
        <f>IF($W802="","",INDEX(합계표[부서],$W802)&amp;"")</f>
        <v/>
      </c>
      <c r="D802">
        <f>IF($W802="","",INDEX(합계표[직위(통합)],$W802)&amp;"")</f>
        <v/>
      </c>
      <c r="E802">
        <f>IF($W802="","",SUMIFS(합계표[시스템 합계],합계표[사번키],INDEX(합계표[사번키],$W802)))</f>
        <v/>
      </c>
      <c r="F802">
        <f>IF($W802="","",SUMIFS(상세표[기록 시간외],상세표[사번키],INDEX(합계표[사번키],$W802),상세표[기록월],대상월키))</f>
        <v/>
      </c>
      <c r="G802">
        <f>IF($W802="","",IF(ABS($E802-$F802)&lt;0.01,"일치","불일치(차이 "&amp;TEXT($F802-$E802,"0.00")&amp;")"))</f>
        <v/>
      </c>
      <c r="H802">
        <f>IF($W802="","",SUMIFS(상세표[기록 시간외],상세표[사번키],INDEX(합계표[사번키],$W802),상세표[기록월],대상월키,상세표[반영월],"&lt;&gt;"&amp;대상월키))</f>
        <v/>
      </c>
      <c r="I802">
        <f>IF($W802="","",SUMIFS(상세표[기록 시간외],상세표[사번키],INDEX(합계표[사번키],$W802),상세표[기록월],"&lt;&gt;"&amp;대상월키,상세표[반영월],대상월키))</f>
        <v/>
      </c>
      <c r="J802">
        <f>IF($W802="","",SUMIFS(상세표[기록 시간외],상세표[사번키],INDEX(합계표[사번키],$W802),상세표[반영월],대상월키))</f>
        <v/>
      </c>
      <c r="K802">
        <f>IF($W802="","",IFERROR(INDEX(월별근무지표[적용 급여병원],MATCH(INDEX(합계표[사번키],$W802)&amp;"|"&amp;대상월키,월별근무지표[키],0))&amp;"",IF(COUNTIF(기관표[사번키],INDEX(합계표[사번키],$W802))+COUNTIF(월별근무지표[사번키],INDEX(합계표[사번키],$W802))&gt;0,IFERROR(INDEX(기관표[급여지급병원(기준월)],MATCH(INDEX(합계표[사번키],$W802)&amp;"|"&amp;대상월키,기관표[키],0))&amp;"","—"),"—")))</f>
        <v/>
      </c>
      <c r="L802">
        <f>IF($W802="","",IF(NOT(COUNTIF(기관표[사번키],INDEX(합계표[사번키],$W802))+COUNTIF(월별근무지표[사번키],INDEX(합계표[사번키],$W802))&gt;0),"기관명단에 없음(다른 병원으로 발송)",IF($K802="—","대상월 기관명단 없음(추가 필요)",IF($K802="서울병원","해당","비해당"))))</f>
        <v/>
      </c>
      <c r="M802">
        <f>IF($W802="","",SUMIFS(상세표[06~07시],상세표[사번키],INDEX(합계표[사번키],$W802),상세표[반영월],대상월키,상세표[반영 기관],"서울병원"))</f>
        <v/>
      </c>
      <c r="N802">
        <f>IF($W802="","",SUMIFS(상세표[07~18시],상세표[사번키],INDEX(합계표[사번키],$W802),상세표[반영월],대상월키,상세표[반영 기관],"서울병원"))</f>
        <v/>
      </c>
      <c r="O802">
        <f>IF($W802="","",SUMIFS(상세표[18~22시],상세표[사번키],INDEX(합계표[사번키],$W802),상세표[반영월],대상월키,상세표[반영 기관],"서울병원"))</f>
        <v/>
      </c>
      <c r="P802">
        <f>IF($W802="","",SUMIFS(상세표[22~06시],상세표[사번키],INDEX(합계표[사번키],$W802),상세표[반영월],대상월키,상세표[반영 기관],"서울병원"))</f>
        <v/>
      </c>
      <c r="Q802">
        <f>IF($W802="","",SUM($M802:$P802))</f>
        <v/>
      </c>
      <c r="R802">
        <f>IF($W802="","",COUNTIFS(상세표[사번키],INDEX(합계표[사번키],$W802),상세표[반영월],대상월키,상세표[야간당직],1,상세표[야간 구분],"평일"))</f>
        <v/>
      </c>
      <c r="S802" s="4">
        <f>IF($W802="","",COUNTIFS(상세표[사번키],INDEX(합계표[사번키],$W802),상세표[반영월],대상월키,상세표[야간당직],1,상세표[야간 구분],"휴일"))</f>
        <v/>
      </c>
      <c r="T802">
        <f>IF($W802="","",COUNTIFS(상세표[사번키],INDEX(합계표[사번키],$W802),상세표[반영월],대상월키,상세표[야간당직],1,상세표[야간 구분],"평일",상세표[반영 기관],"서울병원"))</f>
        <v/>
      </c>
      <c r="U802">
        <f>IF($W802="","",COUNTIFS(상세표[사번키],INDEX(합계표[사번키],$W802),상세표[반영월],대상월키,상세표[야간당직],1,상세표[야간 구분],"휴일",상세표[반영 기관],"서울병원"))</f>
        <v/>
      </c>
      <c r="V802">
        <f>IF($W802="","",IF(ISNUMBER(MATCH(INDEX(합계표[사번키],$W802)&amp;"|"&amp;대상월키,월별근무지표[키],0)),"직접 입력",IF($K802="—","—","기관명단")))</f>
        <v/>
      </c>
      <c r="W802">
        <f>IFERROR(MATCH(797,합계표[판정순번],0),"")</f>
        <v/>
      </c>
    </row>
    <row r="803">
      <c r="A803">
        <f>IF($W803="","",INDEX(합계표[사번],$W803)&amp;"")</f>
        <v/>
      </c>
      <c r="B803">
        <f>IF($W803="","",INDEX(합계표[성명],$W803)&amp;"")</f>
        <v/>
      </c>
      <c r="C803">
        <f>IF($W803="","",INDEX(합계표[부서],$W803)&amp;"")</f>
        <v/>
      </c>
      <c r="D803">
        <f>IF($W803="","",INDEX(합계표[직위(통합)],$W803)&amp;"")</f>
        <v/>
      </c>
      <c r="E803">
        <f>IF($W803="","",SUMIFS(합계표[시스템 합계],합계표[사번키],INDEX(합계표[사번키],$W803)))</f>
        <v/>
      </c>
      <c r="F803">
        <f>IF($W803="","",SUMIFS(상세표[기록 시간외],상세표[사번키],INDEX(합계표[사번키],$W803),상세표[기록월],대상월키))</f>
        <v/>
      </c>
      <c r="G803">
        <f>IF($W803="","",IF(ABS($E803-$F803)&lt;0.01,"일치","불일치(차이 "&amp;TEXT($F803-$E803,"0.00")&amp;")"))</f>
        <v/>
      </c>
      <c r="H803">
        <f>IF($W803="","",SUMIFS(상세표[기록 시간외],상세표[사번키],INDEX(합계표[사번키],$W803),상세표[기록월],대상월키,상세표[반영월],"&lt;&gt;"&amp;대상월키))</f>
        <v/>
      </c>
      <c r="I803">
        <f>IF($W803="","",SUMIFS(상세표[기록 시간외],상세표[사번키],INDEX(합계표[사번키],$W803),상세표[기록월],"&lt;&gt;"&amp;대상월키,상세표[반영월],대상월키))</f>
        <v/>
      </c>
      <c r="J803">
        <f>IF($W803="","",SUMIFS(상세표[기록 시간외],상세표[사번키],INDEX(합계표[사번키],$W803),상세표[반영월],대상월키))</f>
        <v/>
      </c>
      <c r="K803">
        <f>IF($W803="","",IFERROR(INDEX(월별근무지표[적용 급여병원],MATCH(INDEX(합계표[사번키],$W803)&amp;"|"&amp;대상월키,월별근무지표[키],0))&amp;"",IF(COUNTIF(기관표[사번키],INDEX(합계표[사번키],$W803))+COUNTIF(월별근무지표[사번키],INDEX(합계표[사번키],$W803))&gt;0,IFERROR(INDEX(기관표[급여지급병원(기준월)],MATCH(INDEX(합계표[사번키],$W803)&amp;"|"&amp;대상월키,기관표[키],0))&amp;"","—"),"—")))</f>
        <v/>
      </c>
      <c r="L803">
        <f>IF($W803="","",IF(NOT(COUNTIF(기관표[사번키],INDEX(합계표[사번키],$W803))+COUNTIF(월별근무지표[사번키],INDEX(합계표[사번키],$W803))&gt;0),"기관명단에 없음(다른 병원으로 발송)",IF($K803="—","대상월 기관명단 없음(추가 필요)",IF($K803="서울병원","해당","비해당"))))</f>
        <v/>
      </c>
      <c r="M803">
        <f>IF($W803="","",SUMIFS(상세표[06~07시],상세표[사번키],INDEX(합계표[사번키],$W803),상세표[반영월],대상월키,상세표[반영 기관],"서울병원"))</f>
        <v/>
      </c>
      <c r="N803">
        <f>IF($W803="","",SUMIFS(상세표[07~18시],상세표[사번키],INDEX(합계표[사번키],$W803),상세표[반영월],대상월키,상세표[반영 기관],"서울병원"))</f>
        <v/>
      </c>
      <c r="O803">
        <f>IF($W803="","",SUMIFS(상세표[18~22시],상세표[사번키],INDEX(합계표[사번키],$W803),상세표[반영월],대상월키,상세표[반영 기관],"서울병원"))</f>
        <v/>
      </c>
      <c r="P803">
        <f>IF($W803="","",SUMIFS(상세표[22~06시],상세표[사번키],INDEX(합계표[사번키],$W803),상세표[반영월],대상월키,상세표[반영 기관],"서울병원"))</f>
        <v/>
      </c>
      <c r="Q803">
        <f>IF($W803="","",SUM($M803:$P803))</f>
        <v/>
      </c>
      <c r="R803">
        <f>IF($W803="","",COUNTIFS(상세표[사번키],INDEX(합계표[사번키],$W803),상세표[반영월],대상월키,상세표[야간당직],1,상세표[야간 구분],"평일"))</f>
        <v/>
      </c>
      <c r="S803" s="4">
        <f>IF($W803="","",COUNTIFS(상세표[사번키],INDEX(합계표[사번키],$W803),상세표[반영월],대상월키,상세표[야간당직],1,상세표[야간 구분],"휴일"))</f>
        <v/>
      </c>
      <c r="T803">
        <f>IF($W803="","",COUNTIFS(상세표[사번키],INDEX(합계표[사번키],$W803),상세표[반영월],대상월키,상세표[야간당직],1,상세표[야간 구분],"평일",상세표[반영 기관],"서울병원"))</f>
        <v/>
      </c>
      <c r="U803">
        <f>IF($W803="","",COUNTIFS(상세표[사번키],INDEX(합계표[사번키],$W803),상세표[반영월],대상월키,상세표[야간당직],1,상세표[야간 구분],"휴일",상세표[반영 기관],"서울병원"))</f>
        <v/>
      </c>
      <c r="V803">
        <f>IF($W803="","",IF(ISNUMBER(MATCH(INDEX(합계표[사번키],$W803)&amp;"|"&amp;대상월키,월별근무지표[키],0)),"직접 입력",IF($K803="—","—","기관명단")))</f>
        <v/>
      </c>
      <c r="W803">
        <f>IFERROR(MATCH(798,합계표[판정순번],0),"")</f>
        <v/>
      </c>
    </row>
    <row r="804">
      <c r="A804">
        <f>IF($W804="","",INDEX(합계표[사번],$W804)&amp;"")</f>
        <v/>
      </c>
      <c r="B804">
        <f>IF($W804="","",INDEX(합계표[성명],$W804)&amp;"")</f>
        <v/>
      </c>
      <c r="C804">
        <f>IF($W804="","",INDEX(합계표[부서],$W804)&amp;"")</f>
        <v/>
      </c>
      <c r="D804">
        <f>IF($W804="","",INDEX(합계표[직위(통합)],$W804)&amp;"")</f>
        <v/>
      </c>
      <c r="E804">
        <f>IF($W804="","",SUMIFS(합계표[시스템 합계],합계표[사번키],INDEX(합계표[사번키],$W804)))</f>
        <v/>
      </c>
      <c r="F804">
        <f>IF($W804="","",SUMIFS(상세표[기록 시간외],상세표[사번키],INDEX(합계표[사번키],$W804),상세표[기록월],대상월키))</f>
        <v/>
      </c>
      <c r="G804">
        <f>IF($W804="","",IF(ABS($E804-$F804)&lt;0.01,"일치","불일치(차이 "&amp;TEXT($F804-$E804,"0.00")&amp;")"))</f>
        <v/>
      </c>
      <c r="H804">
        <f>IF($W804="","",SUMIFS(상세표[기록 시간외],상세표[사번키],INDEX(합계표[사번키],$W804),상세표[기록월],대상월키,상세표[반영월],"&lt;&gt;"&amp;대상월키))</f>
        <v/>
      </c>
      <c r="I804">
        <f>IF($W804="","",SUMIFS(상세표[기록 시간외],상세표[사번키],INDEX(합계표[사번키],$W804),상세표[기록월],"&lt;&gt;"&amp;대상월키,상세표[반영월],대상월키))</f>
        <v/>
      </c>
      <c r="J804">
        <f>IF($W804="","",SUMIFS(상세표[기록 시간외],상세표[사번키],INDEX(합계표[사번키],$W804),상세표[반영월],대상월키))</f>
        <v/>
      </c>
      <c r="K804">
        <f>IF($W804="","",IFERROR(INDEX(월별근무지표[적용 급여병원],MATCH(INDEX(합계표[사번키],$W804)&amp;"|"&amp;대상월키,월별근무지표[키],0))&amp;"",IF(COUNTIF(기관표[사번키],INDEX(합계표[사번키],$W804))+COUNTIF(월별근무지표[사번키],INDEX(합계표[사번키],$W804))&gt;0,IFERROR(INDEX(기관표[급여지급병원(기준월)],MATCH(INDEX(합계표[사번키],$W804)&amp;"|"&amp;대상월키,기관표[키],0))&amp;"","—"),"—")))</f>
        <v/>
      </c>
      <c r="L804">
        <f>IF($W804="","",IF(NOT(COUNTIF(기관표[사번키],INDEX(합계표[사번키],$W804))+COUNTIF(월별근무지표[사번키],INDEX(합계표[사번키],$W804))&gt;0),"기관명단에 없음(다른 병원으로 발송)",IF($K804="—","대상월 기관명단 없음(추가 필요)",IF($K804="서울병원","해당","비해당"))))</f>
        <v/>
      </c>
      <c r="M804">
        <f>IF($W804="","",SUMIFS(상세표[06~07시],상세표[사번키],INDEX(합계표[사번키],$W804),상세표[반영월],대상월키,상세표[반영 기관],"서울병원"))</f>
        <v/>
      </c>
      <c r="N804">
        <f>IF($W804="","",SUMIFS(상세표[07~18시],상세표[사번키],INDEX(합계표[사번키],$W804),상세표[반영월],대상월키,상세표[반영 기관],"서울병원"))</f>
        <v/>
      </c>
      <c r="O804">
        <f>IF($W804="","",SUMIFS(상세표[18~22시],상세표[사번키],INDEX(합계표[사번키],$W804),상세표[반영월],대상월키,상세표[반영 기관],"서울병원"))</f>
        <v/>
      </c>
      <c r="P804">
        <f>IF($W804="","",SUMIFS(상세표[22~06시],상세표[사번키],INDEX(합계표[사번키],$W804),상세표[반영월],대상월키,상세표[반영 기관],"서울병원"))</f>
        <v/>
      </c>
      <c r="Q804">
        <f>IF($W804="","",SUM($M804:$P804))</f>
        <v/>
      </c>
      <c r="R804">
        <f>IF($W804="","",COUNTIFS(상세표[사번키],INDEX(합계표[사번키],$W804),상세표[반영월],대상월키,상세표[야간당직],1,상세표[야간 구분],"평일"))</f>
        <v/>
      </c>
      <c r="S804" s="4">
        <f>IF($W804="","",COUNTIFS(상세표[사번키],INDEX(합계표[사번키],$W804),상세표[반영월],대상월키,상세표[야간당직],1,상세표[야간 구분],"휴일"))</f>
        <v/>
      </c>
      <c r="T804">
        <f>IF($W804="","",COUNTIFS(상세표[사번키],INDEX(합계표[사번키],$W804),상세표[반영월],대상월키,상세표[야간당직],1,상세표[야간 구분],"평일",상세표[반영 기관],"서울병원"))</f>
        <v/>
      </c>
      <c r="U804">
        <f>IF($W804="","",COUNTIFS(상세표[사번키],INDEX(합계표[사번키],$W804),상세표[반영월],대상월키,상세표[야간당직],1,상세표[야간 구분],"휴일",상세표[반영 기관],"서울병원"))</f>
        <v/>
      </c>
      <c r="V804">
        <f>IF($W804="","",IF(ISNUMBER(MATCH(INDEX(합계표[사번키],$W804)&amp;"|"&amp;대상월키,월별근무지표[키],0)),"직접 입력",IF($K804="—","—","기관명단")))</f>
        <v/>
      </c>
      <c r="W804">
        <f>IFERROR(MATCH(799,합계표[판정순번],0),"")</f>
        <v/>
      </c>
    </row>
    <row r="805">
      <c r="A805">
        <f>IF($W805="","",INDEX(합계표[사번],$W805)&amp;"")</f>
        <v/>
      </c>
      <c r="B805">
        <f>IF($W805="","",INDEX(합계표[성명],$W805)&amp;"")</f>
        <v/>
      </c>
      <c r="C805">
        <f>IF($W805="","",INDEX(합계표[부서],$W805)&amp;"")</f>
        <v/>
      </c>
      <c r="D805">
        <f>IF($W805="","",INDEX(합계표[직위(통합)],$W805)&amp;"")</f>
        <v/>
      </c>
      <c r="E805">
        <f>IF($W805="","",SUMIFS(합계표[시스템 합계],합계표[사번키],INDEX(합계표[사번키],$W805)))</f>
        <v/>
      </c>
      <c r="F805">
        <f>IF($W805="","",SUMIFS(상세표[기록 시간외],상세표[사번키],INDEX(합계표[사번키],$W805),상세표[기록월],대상월키))</f>
        <v/>
      </c>
      <c r="G805">
        <f>IF($W805="","",IF(ABS($E805-$F805)&lt;0.01,"일치","불일치(차이 "&amp;TEXT($F805-$E805,"0.00")&amp;")"))</f>
        <v/>
      </c>
      <c r="H805">
        <f>IF($W805="","",SUMIFS(상세표[기록 시간외],상세표[사번키],INDEX(합계표[사번키],$W805),상세표[기록월],대상월키,상세표[반영월],"&lt;&gt;"&amp;대상월키))</f>
        <v/>
      </c>
      <c r="I805">
        <f>IF($W805="","",SUMIFS(상세표[기록 시간외],상세표[사번키],INDEX(합계표[사번키],$W805),상세표[기록월],"&lt;&gt;"&amp;대상월키,상세표[반영월],대상월키))</f>
        <v/>
      </c>
      <c r="J805">
        <f>IF($W805="","",SUMIFS(상세표[기록 시간외],상세표[사번키],INDEX(합계표[사번키],$W805),상세표[반영월],대상월키))</f>
        <v/>
      </c>
      <c r="K805">
        <f>IF($W805="","",IFERROR(INDEX(월별근무지표[적용 급여병원],MATCH(INDEX(합계표[사번키],$W805)&amp;"|"&amp;대상월키,월별근무지표[키],0))&amp;"",IF(COUNTIF(기관표[사번키],INDEX(합계표[사번키],$W805))+COUNTIF(월별근무지표[사번키],INDEX(합계표[사번키],$W805))&gt;0,IFERROR(INDEX(기관표[급여지급병원(기준월)],MATCH(INDEX(합계표[사번키],$W805)&amp;"|"&amp;대상월키,기관표[키],0))&amp;"","—"),"—")))</f>
        <v/>
      </c>
      <c r="L805">
        <f>IF($W805="","",IF(NOT(COUNTIF(기관표[사번키],INDEX(합계표[사번키],$W805))+COUNTIF(월별근무지표[사번키],INDEX(합계표[사번키],$W805))&gt;0),"기관명단에 없음(다른 병원으로 발송)",IF($K805="—","대상월 기관명단 없음(추가 필요)",IF($K805="서울병원","해당","비해당"))))</f>
        <v/>
      </c>
      <c r="M805">
        <f>IF($W805="","",SUMIFS(상세표[06~07시],상세표[사번키],INDEX(합계표[사번키],$W805),상세표[반영월],대상월키,상세표[반영 기관],"서울병원"))</f>
        <v/>
      </c>
      <c r="N805">
        <f>IF($W805="","",SUMIFS(상세표[07~18시],상세표[사번키],INDEX(합계표[사번키],$W805),상세표[반영월],대상월키,상세표[반영 기관],"서울병원"))</f>
        <v/>
      </c>
      <c r="O805">
        <f>IF($W805="","",SUMIFS(상세표[18~22시],상세표[사번키],INDEX(합계표[사번키],$W805),상세표[반영월],대상월키,상세표[반영 기관],"서울병원"))</f>
        <v/>
      </c>
      <c r="P805">
        <f>IF($W805="","",SUMIFS(상세표[22~06시],상세표[사번키],INDEX(합계표[사번키],$W805),상세표[반영월],대상월키,상세표[반영 기관],"서울병원"))</f>
        <v/>
      </c>
      <c r="Q805">
        <f>IF($W805="","",SUM($M805:$P805))</f>
        <v/>
      </c>
      <c r="R805">
        <f>IF($W805="","",COUNTIFS(상세표[사번키],INDEX(합계표[사번키],$W805),상세표[반영월],대상월키,상세표[야간당직],1,상세표[야간 구분],"평일"))</f>
        <v/>
      </c>
      <c r="S805" s="4">
        <f>IF($W805="","",COUNTIFS(상세표[사번키],INDEX(합계표[사번키],$W805),상세표[반영월],대상월키,상세표[야간당직],1,상세표[야간 구분],"휴일"))</f>
        <v/>
      </c>
      <c r="T805">
        <f>IF($W805="","",COUNTIFS(상세표[사번키],INDEX(합계표[사번키],$W805),상세표[반영월],대상월키,상세표[야간당직],1,상세표[야간 구분],"평일",상세표[반영 기관],"서울병원"))</f>
        <v/>
      </c>
      <c r="U805">
        <f>IF($W805="","",COUNTIFS(상세표[사번키],INDEX(합계표[사번키],$W805),상세표[반영월],대상월키,상세표[야간당직],1,상세표[야간 구분],"휴일",상세표[반영 기관],"서울병원"))</f>
        <v/>
      </c>
      <c r="V805">
        <f>IF($W805="","",IF(ISNUMBER(MATCH(INDEX(합계표[사번키],$W805)&amp;"|"&amp;대상월키,월별근무지표[키],0)),"직접 입력",IF($K805="—","—","기관명단")))</f>
        <v/>
      </c>
      <c r="W805">
        <f>IFERROR(MATCH(800,합계표[판정순번],0),"")</f>
        <v/>
      </c>
    </row>
    <row r="806">
      <c r="A806">
        <f>IF($W806="","",INDEX(합계표[사번],$W806)&amp;"")</f>
        <v/>
      </c>
      <c r="B806">
        <f>IF($W806="","",INDEX(합계표[성명],$W806)&amp;"")</f>
        <v/>
      </c>
      <c r="C806">
        <f>IF($W806="","",INDEX(합계표[부서],$W806)&amp;"")</f>
        <v/>
      </c>
      <c r="D806">
        <f>IF($W806="","",INDEX(합계표[직위(통합)],$W806)&amp;"")</f>
        <v/>
      </c>
      <c r="E806">
        <f>IF($W806="","",SUMIFS(합계표[시스템 합계],합계표[사번키],INDEX(합계표[사번키],$W806)))</f>
        <v/>
      </c>
      <c r="F806">
        <f>IF($W806="","",SUMIFS(상세표[기록 시간외],상세표[사번키],INDEX(합계표[사번키],$W806),상세표[기록월],대상월키))</f>
        <v/>
      </c>
      <c r="G806">
        <f>IF($W806="","",IF(ABS($E806-$F806)&lt;0.01,"일치","불일치(차이 "&amp;TEXT($F806-$E806,"0.00")&amp;")"))</f>
        <v/>
      </c>
      <c r="H806">
        <f>IF($W806="","",SUMIFS(상세표[기록 시간외],상세표[사번키],INDEX(합계표[사번키],$W806),상세표[기록월],대상월키,상세표[반영월],"&lt;&gt;"&amp;대상월키))</f>
        <v/>
      </c>
      <c r="I806">
        <f>IF($W806="","",SUMIFS(상세표[기록 시간외],상세표[사번키],INDEX(합계표[사번키],$W806),상세표[기록월],"&lt;&gt;"&amp;대상월키,상세표[반영월],대상월키))</f>
        <v/>
      </c>
      <c r="J806">
        <f>IF($W806="","",SUMIFS(상세표[기록 시간외],상세표[사번키],INDEX(합계표[사번키],$W806),상세표[반영월],대상월키))</f>
        <v/>
      </c>
      <c r="K806">
        <f>IF($W806="","",IFERROR(INDEX(월별근무지표[적용 급여병원],MATCH(INDEX(합계표[사번키],$W806)&amp;"|"&amp;대상월키,월별근무지표[키],0))&amp;"",IF(COUNTIF(기관표[사번키],INDEX(합계표[사번키],$W806))+COUNTIF(월별근무지표[사번키],INDEX(합계표[사번키],$W806))&gt;0,IFERROR(INDEX(기관표[급여지급병원(기준월)],MATCH(INDEX(합계표[사번키],$W806)&amp;"|"&amp;대상월키,기관표[키],0))&amp;"","—"),"—")))</f>
        <v/>
      </c>
      <c r="L806">
        <f>IF($W806="","",IF(NOT(COUNTIF(기관표[사번키],INDEX(합계표[사번키],$W806))+COUNTIF(월별근무지표[사번키],INDEX(합계표[사번키],$W806))&gt;0),"기관명단에 없음(다른 병원으로 발송)",IF($K806="—","대상월 기관명단 없음(추가 필요)",IF($K806="서울병원","해당","비해당"))))</f>
        <v/>
      </c>
      <c r="M806">
        <f>IF($W806="","",SUMIFS(상세표[06~07시],상세표[사번키],INDEX(합계표[사번키],$W806),상세표[반영월],대상월키,상세표[반영 기관],"서울병원"))</f>
        <v/>
      </c>
      <c r="N806">
        <f>IF($W806="","",SUMIFS(상세표[07~18시],상세표[사번키],INDEX(합계표[사번키],$W806),상세표[반영월],대상월키,상세표[반영 기관],"서울병원"))</f>
        <v/>
      </c>
      <c r="O806">
        <f>IF($W806="","",SUMIFS(상세표[18~22시],상세표[사번키],INDEX(합계표[사번키],$W806),상세표[반영월],대상월키,상세표[반영 기관],"서울병원"))</f>
        <v/>
      </c>
      <c r="P806">
        <f>IF($W806="","",SUMIFS(상세표[22~06시],상세표[사번키],INDEX(합계표[사번키],$W806),상세표[반영월],대상월키,상세표[반영 기관],"서울병원"))</f>
        <v/>
      </c>
      <c r="Q806">
        <f>IF($W806="","",SUM($M806:$P806))</f>
        <v/>
      </c>
      <c r="R806">
        <f>IF($W806="","",COUNTIFS(상세표[사번키],INDEX(합계표[사번키],$W806),상세표[반영월],대상월키,상세표[야간당직],1,상세표[야간 구분],"평일"))</f>
        <v/>
      </c>
      <c r="S806" s="4">
        <f>IF($W806="","",COUNTIFS(상세표[사번키],INDEX(합계표[사번키],$W806),상세표[반영월],대상월키,상세표[야간당직],1,상세표[야간 구분],"휴일"))</f>
        <v/>
      </c>
      <c r="T806">
        <f>IF($W806="","",COUNTIFS(상세표[사번키],INDEX(합계표[사번키],$W806),상세표[반영월],대상월키,상세표[야간당직],1,상세표[야간 구분],"평일",상세표[반영 기관],"서울병원"))</f>
        <v/>
      </c>
      <c r="U806">
        <f>IF($W806="","",COUNTIFS(상세표[사번키],INDEX(합계표[사번키],$W806),상세표[반영월],대상월키,상세표[야간당직],1,상세표[야간 구분],"휴일",상세표[반영 기관],"서울병원"))</f>
        <v/>
      </c>
      <c r="V806">
        <f>IF($W806="","",IF(ISNUMBER(MATCH(INDEX(합계표[사번키],$W806)&amp;"|"&amp;대상월키,월별근무지표[키],0)),"직접 입력",IF($K806="—","—","기관명단")))</f>
        <v/>
      </c>
      <c r="W806">
        <f>IFERROR(MATCH(801,합계표[판정순번],0),"")</f>
        <v/>
      </c>
    </row>
    <row r="807">
      <c r="A807">
        <f>IF($W807="","",INDEX(합계표[사번],$W807)&amp;"")</f>
        <v/>
      </c>
      <c r="B807">
        <f>IF($W807="","",INDEX(합계표[성명],$W807)&amp;"")</f>
        <v/>
      </c>
      <c r="C807">
        <f>IF($W807="","",INDEX(합계표[부서],$W807)&amp;"")</f>
        <v/>
      </c>
      <c r="D807">
        <f>IF($W807="","",INDEX(합계표[직위(통합)],$W807)&amp;"")</f>
        <v/>
      </c>
      <c r="E807">
        <f>IF($W807="","",SUMIFS(합계표[시스템 합계],합계표[사번키],INDEX(합계표[사번키],$W807)))</f>
        <v/>
      </c>
      <c r="F807">
        <f>IF($W807="","",SUMIFS(상세표[기록 시간외],상세표[사번키],INDEX(합계표[사번키],$W807),상세표[기록월],대상월키))</f>
        <v/>
      </c>
      <c r="G807">
        <f>IF($W807="","",IF(ABS($E807-$F807)&lt;0.01,"일치","불일치(차이 "&amp;TEXT($F807-$E807,"0.00")&amp;")"))</f>
        <v/>
      </c>
      <c r="H807">
        <f>IF($W807="","",SUMIFS(상세표[기록 시간외],상세표[사번키],INDEX(합계표[사번키],$W807),상세표[기록월],대상월키,상세표[반영월],"&lt;&gt;"&amp;대상월키))</f>
        <v/>
      </c>
      <c r="I807">
        <f>IF($W807="","",SUMIFS(상세표[기록 시간외],상세표[사번키],INDEX(합계표[사번키],$W807),상세표[기록월],"&lt;&gt;"&amp;대상월키,상세표[반영월],대상월키))</f>
        <v/>
      </c>
      <c r="J807">
        <f>IF($W807="","",SUMIFS(상세표[기록 시간외],상세표[사번키],INDEX(합계표[사번키],$W807),상세표[반영월],대상월키))</f>
        <v/>
      </c>
      <c r="K807">
        <f>IF($W807="","",IFERROR(INDEX(월별근무지표[적용 급여병원],MATCH(INDEX(합계표[사번키],$W807)&amp;"|"&amp;대상월키,월별근무지표[키],0))&amp;"",IF(COUNTIF(기관표[사번키],INDEX(합계표[사번키],$W807))+COUNTIF(월별근무지표[사번키],INDEX(합계표[사번키],$W807))&gt;0,IFERROR(INDEX(기관표[급여지급병원(기준월)],MATCH(INDEX(합계표[사번키],$W807)&amp;"|"&amp;대상월키,기관표[키],0))&amp;"","—"),"—")))</f>
        <v/>
      </c>
      <c r="L807">
        <f>IF($W807="","",IF(NOT(COUNTIF(기관표[사번키],INDEX(합계표[사번키],$W807))+COUNTIF(월별근무지표[사번키],INDEX(합계표[사번키],$W807))&gt;0),"기관명단에 없음(다른 병원으로 발송)",IF($K807="—","대상월 기관명단 없음(추가 필요)",IF($K807="서울병원","해당","비해당"))))</f>
        <v/>
      </c>
      <c r="M807">
        <f>IF($W807="","",SUMIFS(상세표[06~07시],상세표[사번키],INDEX(합계표[사번키],$W807),상세표[반영월],대상월키,상세표[반영 기관],"서울병원"))</f>
        <v/>
      </c>
      <c r="N807">
        <f>IF($W807="","",SUMIFS(상세표[07~18시],상세표[사번키],INDEX(합계표[사번키],$W807),상세표[반영월],대상월키,상세표[반영 기관],"서울병원"))</f>
        <v/>
      </c>
      <c r="O807">
        <f>IF($W807="","",SUMIFS(상세표[18~22시],상세표[사번키],INDEX(합계표[사번키],$W807),상세표[반영월],대상월키,상세표[반영 기관],"서울병원"))</f>
        <v/>
      </c>
      <c r="P807">
        <f>IF($W807="","",SUMIFS(상세표[22~06시],상세표[사번키],INDEX(합계표[사번키],$W807),상세표[반영월],대상월키,상세표[반영 기관],"서울병원"))</f>
        <v/>
      </c>
      <c r="Q807">
        <f>IF($W807="","",SUM($M807:$P807))</f>
        <v/>
      </c>
      <c r="R807">
        <f>IF($W807="","",COUNTIFS(상세표[사번키],INDEX(합계표[사번키],$W807),상세표[반영월],대상월키,상세표[야간당직],1,상세표[야간 구분],"평일"))</f>
        <v/>
      </c>
      <c r="S807" s="4">
        <f>IF($W807="","",COUNTIFS(상세표[사번키],INDEX(합계표[사번키],$W807),상세표[반영월],대상월키,상세표[야간당직],1,상세표[야간 구분],"휴일"))</f>
        <v/>
      </c>
      <c r="T807">
        <f>IF($W807="","",COUNTIFS(상세표[사번키],INDEX(합계표[사번키],$W807),상세표[반영월],대상월키,상세표[야간당직],1,상세표[야간 구분],"평일",상세표[반영 기관],"서울병원"))</f>
        <v/>
      </c>
      <c r="U807">
        <f>IF($W807="","",COUNTIFS(상세표[사번키],INDEX(합계표[사번키],$W807),상세표[반영월],대상월키,상세표[야간당직],1,상세표[야간 구분],"휴일",상세표[반영 기관],"서울병원"))</f>
        <v/>
      </c>
      <c r="V807">
        <f>IF($W807="","",IF(ISNUMBER(MATCH(INDEX(합계표[사번키],$W807)&amp;"|"&amp;대상월키,월별근무지표[키],0)),"직접 입력",IF($K807="—","—","기관명단")))</f>
        <v/>
      </c>
      <c r="W807">
        <f>IFERROR(MATCH(802,합계표[판정순번],0),"")</f>
        <v/>
      </c>
    </row>
    <row r="808">
      <c r="A808">
        <f>IF($W808="","",INDEX(합계표[사번],$W808)&amp;"")</f>
        <v/>
      </c>
      <c r="B808">
        <f>IF($W808="","",INDEX(합계표[성명],$W808)&amp;"")</f>
        <v/>
      </c>
      <c r="C808">
        <f>IF($W808="","",INDEX(합계표[부서],$W808)&amp;"")</f>
        <v/>
      </c>
      <c r="D808">
        <f>IF($W808="","",INDEX(합계표[직위(통합)],$W808)&amp;"")</f>
        <v/>
      </c>
      <c r="E808">
        <f>IF($W808="","",SUMIFS(합계표[시스템 합계],합계표[사번키],INDEX(합계표[사번키],$W808)))</f>
        <v/>
      </c>
      <c r="F808">
        <f>IF($W808="","",SUMIFS(상세표[기록 시간외],상세표[사번키],INDEX(합계표[사번키],$W808),상세표[기록월],대상월키))</f>
        <v/>
      </c>
      <c r="G808">
        <f>IF($W808="","",IF(ABS($E808-$F808)&lt;0.01,"일치","불일치(차이 "&amp;TEXT($F808-$E808,"0.00")&amp;")"))</f>
        <v/>
      </c>
      <c r="H808">
        <f>IF($W808="","",SUMIFS(상세표[기록 시간외],상세표[사번키],INDEX(합계표[사번키],$W808),상세표[기록월],대상월키,상세표[반영월],"&lt;&gt;"&amp;대상월키))</f>
        <v/>
      </c>
      <c r="I808">
        <f>IF($W808="","",SUMIFS(상세표[기록 시간외],상세표[사번키],INDEX(합계표[사번키],$W808),상세표[기록월],"&lt;&gt;"&amp;대상월키,상세표[반영월],대상월키))</f>
        <v/>
      </c>
      <c r="J808">
        <f>IF($W808="","",SUMIFS(상세표[기록 시간외],상세표[사번키],INDEX(합계표[사번키],$W808),상세표[반영월],대상월키))</f>
        <v/>
      </c>
      <c r="K808">
        <f>IF($W808="","",IFERROR(INDEX(월별근무지표[적용 급여병원],MATCH(INDEX(합계표[사번키],$W808)&amp;"|"&amp;대상월키,월별근무지표[키],0))&amp;"",IF(COUNTIF(기관표[사번키],INDEX(합계표[사번키],$W808))+COUNTIF(월별근무지표[사번키],INDEX(합계표[사번키],$W808))&gt;0,IFERROR(INDEX(기관표[급여지급병원(기준월)],MATCH(INDEX(합계표[사번키],$W808)&amp;"|"&amp;대상월키,기관표[키],0))&amp;"","—"),"—")))</f>
        <v/>
      </c>
      <c r="L808">
        <f>IF($W808="","",IF(NOT(COUNTIF(기관표[사번키],INDEX(합계표[사번키],$W808))+COUNTIF(월별근무지표[사번키],INDEX(합계표[사번키],$W808))&gt;0),"기관명단에 없음(다른 병원으로 발송)",IF($K808="—","대상월 기관명단 없음(추가 필요)",IF($K808="서울병원","해당","비해당"))))</f>
        <v/>
      </c>
      <c r="M808">
        <f>IF($W808="","",SUMIFS(상세표[06~07시],상세표[사번키],INDEX(합계표[사번키],$W808),상세표[반영월],대상월키,상세표[반영 기관],"서울병원"))</f>
        <v/>
      </c>
      <c r="N808">
        <f>IF($W808="","",SUMIFS(상세표[07~18시],상세표[사번키],INDEX(합계표[사번키],$W808),상세표[반영월],대상월키,상세표[반영 기관],"서울병원"))</f>
        <v/>
      </c>
      <c r="O808">
        <f>IF($W808="","",SUMIFS(상세표[18~22시],상세표[사번키],INDEX(합계표[사번키],$W808),상세표[반영월],대상월키,상세표[반영 기관],"서울병원"))</f>
        <v/>
      </c>
      <c r="P808">
        <f>IF($W808="","",SUMIFS(상세표[22~06시],상세표[사번키],INDEX(합계표[사번키],$W808),상세표[반영월],대상월키,상세표[반영 기관],"서울병원"))</f>
        <v/>
      </c>
      <c r="Q808">
        <f>IF($W808="","",SUM($M808:$P808))</f>
        <v/>
      </c>
      <c r="R808">
        <f>IF($W808="","",COUNTIFS(상세표[사번키],INDEX(합계표[사번키],$W808),상세표[반영월],대상월키,상세표[야간당직],1,상세표[야간 구분],"평일"))</f>
        <v/>
      </c>
      <c r="S808" s="4">
        <f>IF($W808="","",COUNTIFS(상세표[사번키],INDEX(합계표[사번키],$W808),상세표[반영월],대상월키,상세표[야간당직],1,상세표[야간 구분],"휴일"))</f>
        <v/>
      </c>
      <c r="T808">
        <f>IF($W808="","",COUNTIFS(상세표[사번키],INDEX(합계표[사번키],$W808),상세표[반영월],대상월키,상세표[야간당직],1,상세표[야간 구분],"평일",상세표[반영 기관],"서울병원"))</f>
        <v/>
      </c>
      <c r="U808">
        <f>IF($W808="","",COUNTIFS(상세표[사번키],INDEX(합계표[사번키],$W808),상세표[반영월],대상월키,상세표[야간당직],1,상세표[야간 구분],"휴일",상세표[반영 기관],"서울병원"))</f>
        <v/>
      </c>
      <c r="V808">
        <f>IF($W808="","",IF(ISNUMBER(MATCH(INDEX(합계표[사번키],$W808)&amp;"|"&amp;대상월키,월별근무지표[키],0)),"직접 입력",IF($K808="—","—","기관명단")))</f>
        <v/>
      </c>
      <c r="W808">
        <f>IFERROR(MATCH(803,합계표[판정순번],0),"")</f>
        <v/>
      </c>
    </row>
    <row r="809">
      <c r="A809">
        <f>IF($W809="","",INDEX(합계표[사번],$W809)&amp;"")</f>
        <v/>
      </c>
      <c r="B809">
        <f>IF($W809="","",INDEX(합계표[성명],$W809)&amp;"")</f>
        <v/>
      </c>
      <c r="C809">
        <f>IF($W809="","",INDEX(합계표[부서],$W809)&amp;"")</f>
        <v/>
      </c>
      <c r="D809">
        <f>IF($W809="","",INDEX(합계표[직위(통합)],$W809)&amp;"")</f>
        <v/>
      </c>
      <c r="E809">
        <f>IF($W809="","",SUMIFS(합계표[시스템 합계],합계표[사번키],INDEX(합계표[사번키],$W809)))</f>
        <v/>
      </c>
      <c r="F809">
        <f>IF($W809="","",SUMIFS(상세표[기록 시간외],상세표[사번키],INDEX(합계표[사번키],$W809),상세표[기록월],대상월키))</f>
        <v/>
      </c>
      <c r="G809">
        <f>IF($W809="","",IF(ABS($E809-$F809)&lt;0.01,"일치","불일치(차이 "&amp;TEXT($F809-$E809,"0.00")&amp;")"))</f>
        <v/>
      </c>
      <c r="H809">
        <f>IF($W809="","",SUMIFS(상세표[기록 시간외],상세표[사번키],INDEX(합계표[사번키],$W809),상세표[기록월],대상월키,상세표[반영월],"&lt;&gt;"&amp;대상월키))</f>
        <v/>
      </c>
      <c r="I809">
        <f>IF($W809="","",SUMIFS(상세표[기록 시간외],상세표[사번키],INDEX(합계표[사번키],$W809),상세표[기록월],"&lt;&gt;"&amp;대상월키,상세표[반영월],대상월키))</f>
        <v/>
      </c>
      <c r="J809">
        <f>IF($W809="","",SUMIFS(상세표[기록 시간외],상세표[사번키],INDEX(합계표[사번키],$W809),상세표[반영월],대상월키))</f>
        <v/>
      </c>
      <c r="K809">
        <f>IF($W809="","",IFERROR(INDEX(월별근무지표[적용 급여병원],MATCH(INDEX(합계표[사번키],$W809)&amp;"|"&amp;대상월키,월별근무지표[키],0))&amp;"",IF(COUNTIF(기관표[사번키],INDEX(합계표[사번키],$W809))+COUNTIF(월별근무지표[사번키],INDEX(합계표[사번키],$W809))&gt;0,IFERROR(INDEX(기관표[급여지급병원(기준월)],MATCH(INDEX(합계표[사번키],$W809)&amp;"|"&amp;대상월키,기관표[키],0))&amp;"","—"),"—")))</f>
        <v/>
      </c>
      <c r="L809">
        <f>IF($W809="","",IF(NOT(COUNTIF(기관표[사번키],INDEX(합계표[사번키],$W809))+COUNTIF(월별근무지표[사번키],INDEX(합계표[사번키],$W809))&gt;0),"기관명단에 없음(다른 병원으로 발송)",IF($K809="—","대상월 기관명단 없음(추가 필요)",IF($K809="서울병원","해당","비해당"))))</f>
        <v/>
      </c>
      <c r="M809">
        <f>IF($W809="","",SUMIFS(상세표[06~07시],상세표[사번키],INDEX(합계표[사번키],$W809),상세표[반영월],대상월키,상세표[반영 기관],"서울병원"))</f>
        <v/>
      </c>
      <c r="N809">
        <f>IF($W809="","",SUMIFS(상세표[07~18시],상세표[사번키],INDEX(합계표[사번키],$W809),상세표[반영월],대상월키,상세표[반영 기관],"서울병원"))</f>
        <v/>
      </c>
      <c r="O809">
        <f>IF($W809="","",SUMIFS(상세표[18~22시],상세표[사번키],INDEX(합계표[사번키],$W809),상세표[반영월],대상월키,상세표[반영 기관],"서울병원"))</f>
        <v/>
      </c>
      <c r="P809">
        <f>IF($W809="","",SUMIFS(상세표[22~06시],상세표[사번키],INDEX(합계표[사번키],$W809),상세표[반영월],대상월키,상세표[반영 기관],"서울병원"))</f>
        <v/>
      </c>
      <c r="Q809">
        <f>IF($W809="","",SUM($M809:$P809))</f>
        <v/>
      </c>
      <c r="R809">
        <f>IF($W809="","",COUNTIFS(상세표[사번키],INDEX(합계표[사번키],$W809),상세표[반영월],대상월키,상세표[야간당직],1,상세표[야간 구분],"평일"))</f>
        <v/>
      </c>
      <c r="S809" s="4">
        <f>IF($W809="","",COUNTIFS(상세표[사번키],INDEX(합계표[사번키],$W809),상세표[반영월],대상월키,상세표[야간당직],1,상세표[야간 구분],"휴일"))</f>
        <v/>
      </c>
      <c r="T809">
        <f>IF($W809="","",COUNTIFS(상세표[사번키],INDEX(합계표[사번키],$W809),상세표[반영월],대상월키,상세표[야간당직],1,상세표[야간 구분],"평일",상세표[반영 기관],"서울병원"))</f>
        <v/>
      </c>
      <c r="U809">
        <f>IF($W809="","",COUNTIFS(상세표[사번키],INDEX(합계표[사번키],$W809),상세표[반영월],대상월키,상세표[야간당직],1,상세표[야간 구분],"휴일",상세표[반영 기관],"서울병원"))</f>
        <v/>
      </c>
      <c r="V809">
        <f>IF($W809="","",IF(ISNUMBER(MATCH(INDEX(합계표[사번키],$W809)&amp;"|"&amp;대상월키,월별근무지표[키],0)),"직접 입력",IF($K809="—","—","기관명단")))</f>
        <v/>
      </c>
      <c r="W809">
        <f>IFERROR(MATCH(804,합계표[판정순번],0),"")</f>
        <v/>
      </c>
    </row>
    <row r="810">
      <c r="A810">
        <f>IF($W810="","",INDEX(합계표[사번],$W810)&amp;"")</f>
        <v/>
      </c>
      <c r="B810">
        <f>IF($W810="","",INDEX(합계표[성명],$W810)&amp;"")</f>
        <v/>
      </c>
      <c r="C810">
        <f>IF($W810="","",INDEX(합계표[부서],$W810)&amp;"")</f>
        <v/>
      </c>
      <c r="D810">
        <f>IF($W810="","",INDEX(합계표[직위(통합)],$W810)&amp;"")</f>
        <v/>
      </c>
      <c r="E810">
        <f>IF($W810="","",SUMIFS(합계표[시스템 합계],합계표[사번키],INDEX(합계표[사번키],$W810)))</f>
        <v/>
      </c>
      <c r="F810">
        <f>IF($W810="","",SUMIFS(상세표[기록 시간외],상세표[사번키],INDEX(합계표[사번키],$W810),상세표[기록월],대상월키))</f>
        <v/>
      </c>
      <c r="G810">
        <f>IF($W810="","",IF(ABS($E810-$F810)&lt;0.01,"일치","불일치(차이 "&amp;TEXT($F810-$E810,"0.00")&amp;")"))</f>
        <v/>
      </c>
      <c r="H810">
        <f>IF($W810="","",SUMIFS(상세표[기록 시간외],상세표[사번키],INDEX(합계표[사번키],$W810),상세표[기록월],대상월키,상세표[반영월],"&lt;&gt;"&amp;대상월키))</f>
        <v/>
      </c>
      <c r="I810">
        <f>IF($W810="","",SUMIFS(상세표[기록 시간외],상세표[사번키],INDEX(합계표[사번키],$W810),상세표[기록월],"&lt;&gt;"&amp;대상월키,상세표[반영월],대상월키))</f>
        <v/>
      </c>
      <c r="J810">
        <f>IF($W810="","",SUMIFS(상세표[기록 시간외],상세표[사번키],INDEX(합계표[사번키],$W810),상세표[반영월],대상월키))</f>
        <v/>
      </c>
      <c r="K810">
        <f>IF($W810="","",IFERROR(INDEX(월별근무지표[적용 급여병원],MATCH(INDEX(합계표[사번키],$W810)&amp;"|"&amp;대상월키,월별근무지표[키],0))&amp;"",IF(COUNTIF(기관표[사번키],INDEX(합계표[사번키],$W810))+COUNTIF(월별근무지표[사번키],INDEX(합계표[사번키],$W810))&gt;0,IFERROR(INDEX(기관표[급여지급병원(기준월)],MATCH(INDEX(합계표[사번키],$W810)&amp;"|"&amp;대상월키,기관표[키],0))&amp;"","—"),"—")))</f>
        <v/>
      </c>
      <c r="L810">
        <f>IF($W810="","",IF(NOT(COUNTIF(기관표[사번키],INDEX(합계표[사번키],$W810))+COUNTIF(월별근무지표[사번키],INDEX(합계표[사번키],$W810))&gt;0),"기관명단에 없음(다른 병원으로 발송)",IF($K810="—","대상월 기관명단 없음(추가 필요)",IF($K810="서울병원","해당","비해당"))))</f>
        <v/>
      </c>
      <c r="M810">
        <f>IF($W810="","",SUMIFS(상세표[06~07시],상세표[사번키],INDEX(합계표[사번키],$W810),상세표[반영월],대상월키,상세표[반영 기관],"서울병원"))</f>
        <v/>
      </c>
      <c r="N810">
        <f>IF($W810="","",SUMIFS(상세표[07~18시],상세표[사번키],INDEX(합계표[사번키],$W810),상세표[반영월],대상월키,상세표[반영 기관],"서울병원"))</f>
        <v/>
      </c>
      <c r="O810">
        <f>IF($W810="","",SUMIFS(상세표[18~22시],상세표[사번키],INDEX(합계표[사번키],$W810),상세표[반영월],대상월키,상세표[반영 기관],"서울병원"))</f>
        <v/>
      </c>
      <c r="P810">
        <f>IF($W810="","",SUMIFS(상세표[22~06시],상세표[사번키],INDEX(합계표[사번키],$W810),상세표[반영월],대상월키,상세표[반영 기관],"서울병원"))</f>
        <v/>
      </c>
      <c r="Q810">
        <f>IF($W810="","",SUM($M810:$P810))</f>
        <v/>
      </c>
      <c r="R810">
        <f>IF($W810="","",COUNTIFS(상세표[사번키],INDEX(합계표[사번키],$W810),상세표[반영월],대상월키,상세표[야간당직],1,상세표[야간 구분],"평일"))</f>
        <v/>
      </c>
      <c r="S810" s="4">
        <f>IF($W810="","",COUNTIFS(상세표[사번키],INDEX(합계표[사번키],$W810),상세표[반영월],대상월키,상세표[야간당직],1,상세표[야간 구분],"휴일"))</f>
        <v/>
      </c>
      <c r="T810">
        <f>IF($W810="","",COUNTIFS(상세표[사번키],INDEX(합계표[사번키],$W810),상세표[반영월],대상월키,상세표[야간당직],1,상세표[야간 구분],"평일",상세표[반영 기관],"서울병원"))</f>
        <v/>
      </c>
      <c r="U810">
        <f>IF($W810="","",COUNTIFS(상세표[사번키],INDEX(합계표[사번키],$W810),상세표[반영월],대상월키,상세표[야간당직],1,상세표[야간 구분],"휴일",상세표[반영 기관],"서울병원"))</f>
        <v/>
      </c>
      <c r="V810">
        <f>IF($W810="","",IF(ISNUMBER(MATCH(INDEX(합계표[사번키],$W810)&amp;"|"&amp;대상월키,월별근무지표[키],0)),"직접 입력",IF($K810="—","—","기관명단")))</f>
        <v/>
      </c>
      <c r="W810">
        <f>IFERROR(MATCH(805,합계표[판정순번],0),"")</f>
        <v/>
      </c>
    </row>
    <row r="811">
      <c r="A811">
        <f>IF($W811="","",INDEX(합계표[사번],$W811)&amp;"")</f>
        <v/>
      </c>
      <c r="B811">
        <f>IF($W811="","",INDEX(합계표[성명],$W811)&amp;"")</f>
        <v/>
      </c>
      <c r="C811">
        <f>IF($W811="","",INDEX(합계표[부서],$W811)&amp;"")</f>
        <v/>
      </c>
      <c r="D811">
        <f>IF($W811="","",INDEX(합계표[직위(통합)],$W811)&amp;"")</f>
        <v/>
      </c>
      <c r="E811">
        <f>IF($W811="","",SUMIFS(합계표[시스템 합계],합계표[사번키],INDEX(합계표[사번키],$W811)))</f>
        <v/>
      </c>
      <c r="F811">
        <f>IF($W811="","",SUMIFS(상세표[기록 시간외],상세표[사번키],INDEX(합계표[사번키],$W811),상세표[기록월],대상월키))</f>
        <v/>
      </c>
      <c r="G811">
        <f>IF($W811="","",IF(ABS($E811-$F811)&lt;0.01,"일치","불일치(차이 "&amp;TEXT($F811-$E811,"0.00")&amp;")"))</f>
        <v/>
      </c>
      <c r="H811">
        <f>IF($W811="","",SUMIFS(상세표[기록 시간외],상세표[사번키],INDEX(합계표[사번키],$W811),상세표[기록월],대상월키,상세표[반영월],"&lt;&gt;"&amp;대상월키))</f>
        <v/>
      </c>
      <c r="I811">
        <f>IF($W811="","",SUMIFS(상세표[기록 시간외],상세표[사번키],INDEX(합계표[사번키],$W811),상세표[기록월],"&lt;&gt;"&amp;대상월키,상세표[반영월],대상월키))</f>
        <v/>
      </c>
      <c r="J811">
        <f>IF($W811="","",SUMIFS(상세표[기록 시간외],상세표[사번키],INDEX(합계표[사번키],$W811),상세표[반영월],대상월키))</f>
        <v/>
      </c>
      <c r="K811">
        <f>IF($W811="","",IFERROR(INDEX(월별근무지표[적용 급여병원],MATCH(INDEX(합계표[사번키],$W811)&amp;"|"&amp;대상월키,월별근무지표[키],0))&amp;"",IF(COUNTIF(기관표[사번키],INDEX(합계표[사번키],$W811))+COUNTIF(월별근무지표[사번키],INDEX(합계표[사번키],$W811))&gt;0,IFERROR(INDEX(기관표[급여지급병원(기준월)],MATCH(INDEX(합계표[사번키],$W811)&amp;"|"&amp;대상월키,기관표[키],0))&amp;"","—"),"—")))</f>
        <v/>
      </c>
      <c r="L811">
        <f>IF($W811="","",IF(NOT(COUNTIF(기관표[사번키],INDEX(합계표[사번키],$W811))+COUNTIF(월별근무지표[사번키],INDEX(합계표[사번키],$W811))&gt;0),"기관명단에 없음(다른 병원으로 발송)",IF($K811="—","대상월 기관명단 없음(추가 필요)",IF($K811="서울병원","해당","비해당"))))</f>
        <v/>
      </c>
      <c r="M811">
        <f>IF($W811="","",SUMIFS(상세표[06~07시],상세표[사번키],INDEX(합계표[사번키],$W811),상세표[반영월],대상월키,상세표[반영 기관],"서울병원"))</f>
        <v/>
      </c>
      <c r="N811">
        <f>IF($W811="","",SUMIFS(상세표[07~18시],상세표[사번키],INDEX(합계표[사번키],$W811),상세표[반영월],대상월키,상세표[반영 기관],"서울병원"))</f>
        <v/>
      </c>
      <c r="O811">
        <f>IF($W811="","",SUMIFS(상세표[18~22시],상세표[사번키],INDEX(합계표[사번키],$W811),상세표[반영월],대상월키,상세표[반영 기관],"서울병원"))</f>
        <v/>
      </c>
      <c r="P811">
        <f>IF($W811="","",SUMIFS(상세표[22~06시],상세표[사번키],INDEX(합계표[사번키],$W811),상세표[반영월],대상월키,상세표[반영 기관],"서울병원"))</f>
        <v/>
      </c>
      <c r="Q811">
        <f>IF($W811="","",SUM($M811:$P811))</f>
        <v/>
      </c>
      <c r="R811">
        <f>IF($W811="","",COUNTIFS(상세표[사번키],INDEX(합계표[사번키],$W811),상세표[반영월],대상월키,상세표[야간당직],1,상세표[야간 구분],"평일"))</f>
        <v/>
      </c>
      <c r="S811" s="4">
        <f>IF($W811="","",COUNTIFS(상세표[사번키],INDEX(합계표[사번키],$W811),상세표[반영월],대상월키,상세표[야간당직],1,상세표[야간 구분],"휴일"))</f>
        <v/>
      </c>
      <c r="T811">
        <f>IF($W811="","",COUNTIFS(상세표[사번키],INDEX(합계표[사번키],$W811),상세표[반영월],대상월키,상세표[야간당직],1,상세표[야간 구분],"평일",상세표[반영 기관],"서울병원"))</f>
        <v/>
      </c>
      <c r="U811">
        <f>IF($W811="","",COUNTIFS(상세표[사번키],INDEX(합계표[사번키],$W811),상세표[반영월],대상월키,상세표[야간당직],1,상세표[야간 구분],"휴일",상세표[반영 기관],"서울병원"))</f>
        <v/>
      </c>
      <c r="V811">
        <f>IF($W811="","",IF(ISNUMBER(MATCH(INDEX(합계표[사번키],$W811)&amp;"|"&amp;대상월키,월별근무지표[키],0)),"직접 입력",IF($K811="—","—","기관명단")))</f>
        <v/>
      </c>
      <c r="W811">
        <f>IFERROR(MATCH(806,합계표[판정순번],0),"")</f>
        <v/>
      </c>
    </row>
    <row r="812">
      <c r="A812">
        <f>IF($W812="","",INDEX(합계표[사번],$W812)&amp;"")</f>
        <v/>
      </c>
      <c r="B812">
        <f>IF($W812="","",INDEX(합계표[성명],$W812)&amp;"")</f>
        <v/>
      </c>
      <c r="C812">
        <f>IF($W812="","",INDEX(합계표[부서],$W812)&amp;"")</f>
        <v/>
      </c>
      <c r="D812">
        <f>IF($W812="","",INDEX(합계표[직위(통합)],$W812)&amp;"")</f>
        <v/>
      </c>
      <c r="E812">
        <f>IF($W812="","",SUMIFS(합계표[시스템 합계],합계표[사번키],INDEX(합계표[사번키],$W812)))</f>
        <v/>
      </c>
      <c r="F812">
        <f>IF($W812="","",SUMIFS(상세표[기록 시간외],상세표[사번키],INDEX(합계표[사번키],$W812),상세표[기록월],대상월키))</f>
        <v/>
      </c>
      <c r="G812">
        <f>IF($W812="","",IF(ABS($E812-$F812)&lt;0.01,"일치","불일치(차이 "&amp;TEXT($F812-$E812,"0.00")&amp;")"))</f>
        <v/>
      </c>
      <c r="H812">
        <f>IF($W812="","",SUMIFS(상세표[기록 시간외],상세표[사번키],INDEX(합계표[사번키],$W812),상세표[기록월],대상월키,상세표[반영월],"&lt;&gt;"&amp;대상월키))</f>
        <v/>
      </c>
      <c r="I812">
        <f>IF($W812="","",SUMIFS(상세표[기록 시간외],상세표[사번키],INDEX(합계표[사번키],$W812),상세표[기록월],"&lt;&gt;"&amp;대상월키,상세표[반영월],대상월키))</f>
        <v/>
      </c>
      <c r="J812">
        <f>IF($W812="","",SUMIFS(상세표[기록 시간외],상세표[사번키],INDEX(합계표[사번키],$W812),상세표[반영월],대상월키))</f>
        <v/>
      </c>
      <c r="K812">
        <f>IF($W812="","",IFERROR(INDEX(월별근무지표[적용 급여병원],MATCH(INDEX(합계표[사번키],$W812)&amp;"|"&amp;대상월키,월별근무지표[키],0))&amp;"",IF(COUNTIF(기관표[사번키],INDEX(합계표[사번키],$W812))+COUNTIF(월별근무지표[사번키],INDEX(합계표[사번키],$W812))&gt;0,IFERROR(INDEX(기관표[급여지급병원(기준월)],MATCH(INDEX(합계표[사번키],$W812)&amp;"|"&amp;대상월키,기관표[키],0))&amp;"","—"),"—")))</f>
        <v/>
      </c>
      <c r="L812">
        <f>IF($W812="","",IF(NOT(COUNTIF(기관표[사번키],INDEX(합계표[사번키],$W812))+COUNTIF(월별근무지표[사번키],INDEX(합계표[사번키],$W812))&gt;0),"기관명단에 없음(다른 병원으로 발송)",IF($K812="—","대상월 기관명단 없음(추가 필요)",IF($K812="서울병원","해당","비해당"))))</f>
        <v/>
      </c>
      <c r="M812">
        <f>IF($W812="","",SUMIFS(상세표[06~07시],상세표[사번키],INDEX(합계표[사번키],$W812),상세표[반영월],대상월키,상세표[반영 기관],"서울병원"))</f>
        <v/>
      </c>
      <c r="N812">
        <f>IF($W812="","",SUMIFS(상세표[07~18시],상세표[사번키],INDEX(합계표[사번키],$W812),상세표[반영월],대상월키,상세표[반영 기관],"서울병원"))</f>
        <v/>
      </c>
      <c r="O812">
        <f>IF($W812="","",SUMIFS(상세표[18~22시],상세표[사번키],INDEX(합계표[사번키],$W812),상세표[반영월],대상월키,상세표[반영 기관],"서울병원"))</f>
        <v/>
      </c>
      <c r="P812">
        <f>IF($W812="","",SUMIFS(상세표[22~06시],상세표[사번키],INDEX(합계표[사번키],$W812),상세표[반영월],대상월키,상세표[반영 기관],"서울병원"))</f>
        <v/>
      </c>
      <c r="Q812">
        <f>IF($W812="","",SUM($M812:$P812))</f>
        <v/>
      </c>
      <c r="R812">
        <f>IF($W812="","",COUNTIFS(상세표[사번키],INDEX(합계표[사번키],$W812),상세표[반영월],대상월키,상세표[야간당직],1,상세표[야간 구분],"평일"))</f>
        <v/>
      </c>
      <c r="S812" s="4">
        <f>IF($W812="","",COUNTIFS(상세표[사번키],INDEX(합계표[사번키],$W812),상세표[반영월],대상월키,상세표[야간당직],1,상세표[야간 구분],"휴일"))</f>
        <v/>
      </c>
      <c r="T812">
        <f>IF($W812="","",COUNTIFS(상세표[사번키],INDEX(합계표[사번키],$W812),상세표[반영월],대상월키,상세표[야간당직],1,상세표[야간 구분],"평일",상세표[반영 기관],"서울병원"))</f>
        <v/>
      </c>
      <c r="U812">
        <f>IF($W812="","",COUNTIFS(상세표[사번키],INDEX(합계표[사번키],$W812),상세표[반영월],대상월키,상세표[야간당직],1,상세표[야간 구분],"휴일",상세표[반영 기관],"서울병원"))</f>
        <v/>
      </c>
      <c r="V812">
        <f>IF($W812="","",IF(ISNUMBER(MATCH(INDEX(합계표[사번키],$W812)&amp;"|"&amp;대상월키,월별근무지표[키],0)),"직접 입력",IF($K812="—","—","기관명단")))</f>
        <v/>
      </c>
      <c r="W812">
        <f>IFERROR(MATCH(807,합계표[판정순번],0),"")</f>
        <v/>
      </c>
    </row>
    <row r="813">
      <c r="A813">
        <f>IF($W813="","",INDEX(합계표[사번],$W813)&amp;"")</f>
        <v/>
      </c>
      <c r="B813">
        <f>IF($W813="","",INDEX(합계표[성명],$W813)&amp;"")</f>
        <v/>
      </c>
      <c r="C813">
        <f>IF($W813="","",INDEX(합계표[부서],$W813)&amp;"")</f>
        <v/>
      </c>
      <c r="D813">
        <f>IF($W813="","",INDEX(합계표[직위(통합)],$W813)&amp;"")</f>
        <v/>
      </c>
      <c r="E813">
        <f>IF($W813="","",SUMIFS(합계표[시스템 합계],합계표[사번키],INDEX(합계표[사번키],$W813)))</f>
        <v/>
      </c>
      <c r="F813">
        <f>IF($W813="","",SUMIFS(상세표[기록 시간외],상세표[사번키],INDEX(합계표[사번키],$W813),상세표[기록월],대상월키))</f>
        <v/>
      </c>
      <c r="G813">
        <f>IF($W813="","",IF(ABS($E813-$F813)&lt;0.01,"일치","불일치(차이 "&amp;TEXT($F813-$E813,"0.00")&amp;")"))</f>
        <v/>
      </c>
      <c r="H813">
        <f>IF($W813="","",SUMIFS(상세표[기록 시간외],상세표[사번키],INDEX(합계표[사번키],$W813),상세표[기록월],대상월키,상세표[반영월],"&lt;&gt;"&amp;대상월키))</f>
        <v/>
      </c>
      <c r="I813">
        <f>IF($W813="","",SUMIFS(상세표[기록 시간외],상세표[사번키],INDEX(합계표[사번키],$W813),상세표[기록월],"&lt;&gt;"&amp;대상월키,상세표[반영월],대상월키))</f>
        <v/>
      </c>
      <c r="J813">
        <f>IF($W813="","",SUMIFS(상세표[기록 시간외],상세표[사번키],INDEX(합계표[사번키],$W813),상세표[반영월],대상월키))</f>
        <v/>
      </c>
      <c r="K813">
        <f>IF($W813="","",IFERROR(INDEX(월별근무지표[적용 급여병원],MATCH(INDEX(합계표[사번키],$W813)&amp;"|"&amp;대상월키,월별근무지표[키],0))&amp;"",IF(COUNTIF(기관표[사번키],INDEX(합계표[사번키],$W813))+COUNTIF(월별근무지표[사번키],INDEX(합계표[사번키],$W813))&gt;0,IFERROR(INDEX(기관표[급여지급병원(기준월)],MATCH(INDEX(합계표[사번키],$W813)&amp;"|"&amp;대상월키,기관표[키],0))&amp;"","—"),"—")))</f>
        <v/>
      </c>
      <c r="L813">
        <f>IF($W813="","",IF(NOT(COUNTIF(기관표[사번키],INDEX(합계표[사번키],$W813))+COUNTIF(월별근무지표[사번키],INDEX(합계표[사번키],$W813))&gt;0),"기관명단에 없음(다른 병원으로 발송)",IF($K813="—","대상월 기관명단 없음(추가 필요)",IF($K813="서울병원","해당","비해당"))))</f>
        <v/>
      </c>
      <c r="M813">
        <f>IF($W813="","",SUMIFS(상세표[06~07시],상세표[사번키],INDEX(합계표[사번키],$W813),상세표[반영월],대상월키,상세표[반영 기관],"서울병원"))</f>
        <v/>
      </c>
      <c r="N813">
        <f>IF($W813="","",SUMIFS(상세표[07~18시],상세표[사번키],INDEX(합계표[사번키],$W813),상세표[반영월],대상월키,상세표[반영 기관],"서울병원"))</f>
        <v/>
      </c>
      <c r="O813">
        <f>IF($W813="","",SUMIFS(상세표[18~22시],상세표[사번키],INDEX(합계표[사번키],$W813),상세표[반영월],대상월키,상세표[반영 기관],"서울병원"))</f>
        <v/>
      </c>
      <c r="P813">
        <f>IF($W813="","",SUMIFS(상세표[22~06시],상세표[사번키],INDEX(합계표[사번키],$W813),상세표[반영월],대상월키,상세표[반영 기관],"서울병원"))</f>
        <v/>
      </c>
      <c r="Q813">
        <f>IF($W813="","",SUM($M813:$P813))</f>
        <v/>
      </c>
      <c r="R813">
        <f>IF($W813="","",COUNTIFS(상세표[사번키],INDEX(합계표[사번키],$W813),상세표[반영월],대상월키,상세표[야간당직],1,상세표[야간 구분],"평일"))</f>
        <v/>
      </c>
      <c r="S813" s="4">
        <f>IF($W813="","",COUNTIFS(상세표[사번키],INDEX(합계표[사번키],$W813),상세표[반영월],대상월키,상세표[야간당직],1,상세표[야간 구분],"휴일"))</f>
        <v/>
      </c>
      <c r="T813">
        <f>IF($W813="","",COUNTIFS(상세표[사번키],INDEX(합계표[사번키],$W813),상세표[반영월],대상월키,상세표[야간당직],1,상세표[야간 구분],"평일",상세표[반영 기관],"서울병원"))</f>
        <v/>
      </c>
      <c r="U813">
        <f>IF($W813="","",COUNTIFS(상세표[사번키],INDEX(합계표[사번키],$W813),상세표[반영월],대상월키,상세표[야간당직],1,상세표[야간 구분],"휴일",상세표[반영 기관],"서울병원"))</f>
        <v/>
      </c>
      <c r="V813">
        <f>IF($W813="","",IF(ISNUMBER(MATCH(INDEX(합계표[사번키],$W813)&amp;"|"&amp;대상월키,월별근무지표[키],0)),"직접 입력",IF($K813="—","—","기관명단")))</f>
        <v/>
      </c>
      <c r="W813">
        <f>IFERROR(MATCH(808,합계표[판정순번],0),"")</f>
        <v/>
      </c>
    </row>
    <row r="814">
      <c r="A814">
        <f>IF($W814="","",INDEX(합계표[사번],$W814)&amp;"")</f>
        <v/>
      </c>
      <c r="B814">
        <f>IF($W814="","",INDEX(합계표[성명],$W814)&amp;"")</f>
        <v/>
      </c>
      <c r="C814">
        <f>IF($W814="","",INDEX(합계표[부서],$W814)&amp;"")</f>
        <v/>
      </c>
      <c r="D814">
        <f>IF($W814="","",INDEX(합계표[직위(통합)],$W814)&amp;"")</f>
        <v/>
      </c>
      <c r="E814">
        <f>IF($W814="","",SUMIFS(합계표[시스템 합계],합계표[사번키],INDEX(합계표[사번키],$W814)))</f>
        <v/>
      </c>
      <c r="F814">
        <f>IF($W814="","",SUMIFS(상세표[기록 시간외],상세표[사번키],INDEX(합계표[사번키],$W814),상세표[기록월],대상월키))</f>
        <v/>
      </c>
      <c r="G814">
        <f>IF($W814="","",IF(ABS($E814-$F814)&lt;0.01,"일치","불일치(차이 "&amp;TEXT($F814-$E814,"0.00")&amp;")"))</f>
        <v/>
      </c>
      <c r="H814">
        <f>IF($W814="","",SUMIFS(상세표[기록 시간외],상세표[사번키],INDEX(합계표[사번키],$W814),상세표[기록월],대상월키,상세표[반영월],"&lt;&gt;"&amp;대상월키))</f>
        <v/>
      </c>
      <c r="I814">
        <f>IF($W814="","",SUMIFS(상세표[기록 시간외],상세표[사번키],INDEX(합계표[사번키],$W814),상세표[기록월],"&lt;&gt;"&amp;대상월키,상세표[반영월],대상월키))</f>
        <v/>
      </c>
      <c r="J814">
        <f>IF($W814="","",SUMIFS(상세표[기록 시간외],상세표[사번키],INDEX(합계표[사번키],$W814),상세표[반영월],대상월키))</f>
        <v/>
      </c>
      <c r="K814">
        <f>IF($W814="","",IFERROR(INDEX(월별근무지표[적용 급여병원],MATCH(INDEX(합계표[사번키],$W814)&amp;"|"&amp;대상월키,월별근무지표[키],0))&amp;"",IF(COUNTIF(기관표[사번키],INDEX(합계표[사번키],$W814))+COUNTIF(월별근무지표[사번키],INDEX(합계표[사번키],$W814))&gt;0,IFERROR(INDEX(기관표[급여지급병원(기준월)],MATCH(INDEX(합계표[사번키],$W814)&amp;"|"&amp;대상월키,기관표[키],0))&amp;"","—"),"—")))</f>
        <v/>
      </c>
      <c r="L814">
        <f>IF($W814="","",IF(NOT(COUNTIF(기관표[사번키],INDEX(합계표[사번키],$W814))+COUNTIF(월별근무지표[사번키],INDEX(합계표[사번키],$W814))&gt;0),"기관명단에 없음(다른 병원으로 발송)",IF($K814="—","대상월 기관명단 없음(추가 필요)",IF($K814="서울병원","해당","비해당"))))</f>
        <v/>
      </c>
      <c r="M814">
        <f>IF($W814="","",SUMIFS(상세표[06~07시],상세표[사번키],INDEX(합계표[사번키],$W814),상세표[반영월],대상월키,상세표[반영 기관],"서울병원"))</f>
        <v/>
      </c>
      <c r="N814">
        <f>IF($W814="","",SUMIFS(상세표[07~18시],상세표[사번키],INDEX(합계표[사번키],$W814),상세표[반영월],대상월키,상세표[반영 기관],"서울병원"))</f>
        <v/>
      </c>
      <c r="O814">
        <f>IF($W814="","",SUMIFS(상세표[18~22시],상세표[사번키],INDEX(합계표[사번키],$W814),상세표[반영월],대상월키,상세표[반영 기관],"서울병원"))</f>
        <v/>
      </c>
      <c r="P814">
        <f>IF($W814="","",SUMIFS(상세표[22~06시],상세표[사번키],INDEX(합계표[사번키],$W814),상세표[반영월],대상월키,상세표[반영 기관],"서울병원"))</f>
        <v/>
      </c>
      <c r="Q814">
        <f>IF($W814="","",SUM($M814:$P814))</f>
        <v/>
      </c>
      <c r="R814">
        <f>IF($W814="","",COUNTIFS(상세표[사번키],INDEX(합계표[사번키],$W814),상세표[반영월],대상월키,상세표[야간당직],1,상세표[야간 구분],"평일"))</f>
        <v/>
      </c>
      <c r="S814" s="4">
        <f>IF($W814="","",COUNTIFS(상세표[사번키],INDEX(합계표[사번키],$W814),상세표[반영월],대상월키,상세표[야간당직],1,상세표[야간 구분],"휴일"))</f>
        <v/>
      </c>
      <c r="T814">
        <f>IF($W814="","",COUNTIFS(상세표[사번키],INDEX(합계표[사번키],$W814),상세표[반영월],대상월키,상세표[야간당직],1,상세표[야간 구분],"평일",상세표[반영 기관],"서울병원"))</f>
        <v/>
      </c>
      <c r="U814">
        <f>IF($W814="","",COUNTIFS(상세표[사번키],INDEX(합계표[사번키],$W814),상세표[반영월],대상월키,상세표[야간당직],1,상세표[야간 구분],"휴일",상세표[반영 기관],"서울병원"))</f>
        <v/>
      </c>
      <c r="V814">
        <f>IF($W814="","",IF(ISNUMBER(MATCH(INDEX(합계표[사번키],$W814)&amp;"|"&amp;대상월키,월별근무지표[키],0)),"직접 입력",IF($K814="—","—","기관명단")))</f>
        <v/>
      </c>
      <c r="W814">
        <f>IFERROR(MATCH(809,합계표[판정순번],0),"")</f>
        <v/>
      </c>
    </row>
    <row r="815">
      <c r="A815">
        <f>IF($W815="","",INDEX(합계표[사번],$W815)&amp;"")</f>
        <v/>
      </c>
      <c r="B815">
        <f>IF($W815="","",INDEX(합계표[성명],$W815)&amp;"")</f>
        <v/>
      </c>
      <c r="C815">
        <f>IF($W815="","",INDEX(합계표[부서],$W815)&amp;"")</f>
        <v/>
      </c>
      <c r="D815">
        <f>IF($W815="","",INDEX(합계표[직위(통합)],$W815)&amp;"")</f>
        <v/>
      </c>
      <c r="E815">
        <f>IF($W815="","",SUMIFS(합계표[시스템 합계],합계표[사번키],INDEX(합계표[사번키],$W815)))</f>
        <v/>
      </c>
      <c r="F815">
        <f>IF($W815="","",SUMIFS(상세표[기록 시간외],상세표[사번키],INDEX(합계표[사번키],$W815),상세표[기록월],대상월키))</f>
        <v/>
      </c>
      <c r="G815">
        <f>IF($W815="","",IF(ABS($E815-$F815)&lt;0.01,"일치","불일치(차이 "&amp;TEXT($F815-$E815,"0.00")&amp;")"))</f>
        <v/>
      </c>
      <c r="H815">
        <f>IF($W815="","",SUMIFS(상세표[기록 시간외],상세표[사번키],INDEX(합계표[사번키],$W815),상세표[기록월],대상월키,상세표[반영월],"&lt;&gt;"&amp;대상월키))</f>
        <v/>
      </c>
      <c r="I815">
        <f>IF($W815="","",SUMIFS(상세표[기록 시간외],상세표[사번키],INDEX(합계표[사번키],$W815),상세표[기록월],"&lt;&gt;"&amp;대상월키,상세표[반영월],대상월키))</f>
        <v/>
      </c>
      <c r="J815">
        <f>IF($W815="","",SUMIFS(상세표[기록 시간외],상세표[사번키],INDEX(합계표[사번키],$W815),상세표[반영월],대상월키))</f>
        <v/>
      </c>
      <c r="K815">
        <f>IF($W815="","",IFERROR(INDEX(월별근무지표[적용 급여병원],MATCH(INDEX(합계표[사번키],$W815)&amp;"|"&amp;대상월키,월별근무지표[키],0))&amp;"",IF(COUNTIF(기관표[사번키],INDEX(합계표[사번키],$W815))+COUNTIF(월별근무지표[사번키],INDEX(합계표[사번키],$W815))&gt;0,IFERROR(INDEX(기관표[급여지급병원(기준월)],MATCH(INDEX(합계표[사번키],$W815)&amp;"|"&amp;대상월키,기관표[키],0))&amp;"","—"),"—")))</f>
        <v/>
      </c>
      <c r="L815">
        <f>IF($W815="","",IF(NOT(COUNTIF(기관표[사번키],INDEX(합계표[사번키],$W815))+COUNTIF(월별근무지표[사번키],INDEX(합계표[사번키],$W815))&gt;0),"기관명단에 없음(다른 병원으로 발송)",IF($K815="—","대상월 기관명단 없음(추가 필요)",IF($K815="서울병원","해당","비해당"))))</f>
        <v/>
      </c>
      <c r="M815">
        <f>IF($W815="","",SUMIFS(상세표[06~07시],상세표[사번키],INDEX(합계표[사번키],$W815),상세표[반영월],대상월키,상세표[반영 기관],"서울병원"))</f>
        <v/>
      </c>
      <c r="N815">
        <f>IF($W815="","",SUMIFS(상세표[07~18시],상세표[사번키],INDEX(합계표[사번키],$W815),상세표[반영월],대상월키,상세표[반영 기관],"서울병원"))</f>
        <v/>
      </c>
      <c r="O815">
        <f>IF($W815="","",SUMIFS(상세표[18~22시],상세표[사번키],INDEX(합계표[사번키],$W815),상세표[반영월],대상월키,상세표[반영 기관],"서울병원"))</f>
        <v/>
      </c>
      <c r="P815">
        <f>IF($W815="","",SUMIFS(상세표[22~06시],상세표[사번키],INDEX(합계표[사번키],$W815),상세표[반영월],대상월키,상세표[반영 기관],"서울병원"))</f>
        <v/>
      </c>
      <c r="Q815">
        <f>IF($W815="","",SUM($M815:$P815))</f>
        <v/>
      </c>
      <c r="R815">
        <f>IF($W815="","",COUNTIFS(상세표[사번키],INDEX(합계표[사번키],$W815),상세표[반영월],대상월키,상세표[야간당직],1,상세표[야간 구분],"평일"))</f>
        <v/>
      </c>
      <c r="S815" s="4">
        <f>IF($W815="","",COUNTIFS(상세표[사번키],INDEX(합계표[사번키],$W815),상세표[반영월],대상월키,상세표[야간당직],1,상세표[야간 구분],"휴일"))</f>
        <v/>
      </c>
      <c r="T815">
        <f>IF($W815="","",COUNTIFS(상세표[사번키],INDEX(합계표[사번키],$W815),상세표[반영월],대상월키,상세표[야간당직],1,상세표[야간 구분],"평일",상세표[반영 기관],"서울병원"))</f>
        <v/>
      </c>
      <c r="U815">
        <f>IF($W815="","",COUNTIFS(상세표[사번키],INDEX(합계표[사번키],$W815),상세표[반영월],대상월키,상세표[야간당직],1,상세표[야간 구분],"휴일",상세표[반영 기관],"서울병원"))</f>
        <v/>
      </c>
      <c r="V815">
        <f>IF($W815="","",IF(ISNUMBER(MATCH(INDEX(합계표[사번키],$W815)&amp;"|"&amp;대상월키,월별근무지표[키],0)),"직접 입력",IF($K815="—","—","기관명단")))</f>
        <v/>
      </c>
      <c r="W815">
        <f>IFERROR(MATCH(810,합계표[판정순번],0),"")</f>
        <v/>
      </c>
    </row>
    <row r="816">
      <c r="A816">
        <f>IF($W816="","",INDEX(합계표[사번],$W816)&amp;"")</f>
        <v/>
      </c>
      <c r="B816">
        <f>IF($W816="","",INDEX(합계표[성명],$W816)&amp;"")</f>
        <v/>
      </c>
      <c r="C816">
        <f>IF($W816="","",INDEX(합계표[부서],$W816)&amp;"")</f>
        <v/>
      </c>
      <c r="D816">
        <f>IF($W816="","",INDEX(합계표[직위(통합)],$W816)&amp;"")</f>
        <v/>
      </c>
      <c r="E816">
        <f>IF($W816="","",SUMIFS(합계표[시스템 합계],합계표[사번키],INDEX(합계표[사번키],$W816)))</f>
        <v/>
      </c>
      <c r="F816">
        <f>IF($W816="","",SUMIFS(상세표[기록 시간외],상세표[사번키],INDEX(합계표[사번키],$W816),상세표[기록월],대상월키))</f>
        <v/>
      </c>
      <c r="G816">
        <f>IF($W816="","",IF(ABS($E816-$F816)&lt;0.01,"일치","불일치(차이 "&amp;TEXT($F816-$E816,"0.00")&amp;")"))</f>
        <v/>
      </c>
      <c r="H816">
        <f>IF($W816="","",SUMIFS(상세표[기록 시간외],상세표[사번키],INDEX(합계표[사번키],$W816),상세표[기록월],대상월키,상세표[반영월],"&lt;&gt;"&amp;대상월키))</f>
        <v/>
      </c>
      <c r="I816">
        <f>IF($W816="","",SUMIFS(상세표[기록 시간외],상세표[사번키],INDEX(합계표[사번키],$W816),상세표[기록월],"&lt;&gt;"&amp;대상월키,상세표[반영월],대상월키))</f>
        <v/>
      </c>
      <c r="J816">
        <f>IF($W816="","",SUMIFS(상세표[기록 시간외],상세표[사번키],INDEX(합계표[사번키],$W816),상세표[반영월],대상월키))</f>
        <v/>
      </c>
      <c r="K816">
        <f>IF($W816="","",IFERROR(INDEX(월별근무지표[적용 급여병원],MATCH(INDEX(합계표[사번키],$W816)&amp;"|"&amp;대상월키,월별근무지표[키],0))&amp;"",IF(COUNTIF(기관표[사번키],INDEX(합계표[사번키],$W816))+COUNTIF(월별근무지표[사번키],INDEX(합계표[사번키],$W816))&gt;0,IFERROR(INDEX(기관표[급여지급병원(기준월)],MATCH(INDEX(합계표[사번키],$W816)&amp;"|"&amp;대상월키,기관표[키],0))&amp;"","—"),"—")))</f>
        <v/>
      </c>
      <c r="L816">
        <f>IF($W816="","",IF(NOT(COUNTIF(기관표[사번키],INDEX(합계표[사번키],$W816))+COUNTIF(월별근무지표[사번키],INDEX(합계표[사번키],$W816))&gt;0),"기관명단에 없음(다른 병원으로 발송)",IF($K816="—","대상월 기관명단 없음(추가 필요)",IF($K816="서울병원","해당","비해당"))))</f>
        <v/>
      </c>
      <c r="M816">
        <f>IF($W816="","",SUMIFS(상세표[06~07시],상세표[사번키],INDEX(합계표[사번키],$W816),상세표[반영월],대상월키,상세표[반영 기관],"서울병원"))</f>
        <v/>
      </c>
      <c r="N816">
        <f>IF($W816="","",SUMIFS(상세표[07~18시],상세표[사번키],INDEX(합계표[사번키],$W816),상세표[반영월],대상월키,상세표[반영 기관],"서울병원"))</f>
        <v/>
      </c>
      <c r="O816">
        <f>IF($W816="","",SUMIFS(상세표[18~22시],상세표[사번키],INDEX(합계표[사번키],$W816),상세표[반영월],대상월키,상세표[반영 기관],"서울병원"))</f>
        <v/>
      </c>
      <c r="P816">
        <f>IF($W816="","",SUMIFS(상세표[22~06시],상세표[사번키],INDEX(합계표[사번키],$W816),상세표[반영월],대상월키,상세표[반영 기관],"서울병원"))</f>
        <v/>
      </c>
      <c r="Q816">
        <f>IF($W816="","",SUM($M816:$P816))</f>
        <v/>
      </c>
      <c r="R816">
        <f>IF($W816="","",COUNTIFS(상세표[사번키],INDEX(합계표[사번키],$W816),상세표[반영월],대상월키,상세표[야간당직],1,상세표[야간 구분],"평일"))</f>
        <v/>
      </c>
      <c r="S816" s="4">
        <f>IF($W816="","",COUNTIFS(상세표[사번키],INDEX(합계표[사번키],$W816),상세표[반영월],대상월키,상세표[야간당직],1,상세표[야간 구분],"휴일"))</f>
        <v/>
      </c>
      <c r="T816">
        <f>IF($W816="","",COUNTIFS(상세표[사번키],INDEX(합계표[사번키],$W816),상세표[반영월],대상월키,상세표[야간당직],1,상세표[야간 구분],"평일",상세표[반영 기관],"서울병원"))</f>
        <v/>
      </c>
      <c r="U816">
        <f>IF($W816="","",COUNTIFS(상세표[사번키],INDEX(합계표[사번키],$W816),상세표[반영월],대상월키,상세표[야간당직],1,상세표[야간 구분],"휴일",상세표[반영 기관],"서울병원"))</f>
        <v/>
      </c>
      <c r="V816">
        <f>IF($W816="","",IF(ISNUMBER(MATCH(INDEX(합계표[사번키],$W816)&amp;"|"&amp;대상월키,월별근무지표[키],0)),"직접 입력",IF($K816="—","—","기관명단")))</f>
        <v/>
      </c>
      <c r="W816">
        <f>IFERROR(MATCH(811,합계표[판정순번],0),"")</f>
        <v/>
      </c>
    </row>
    <row r="817">
      <c r="A817">
        <f>IF($W817="","",INDEX(합계표[사번],$W817)&amp;"")</f>
        <v/>
      </c>
      <c r="B817">
        <f>IF($W817="","",INDEX(합계표[성명],$W817)&amp;"")</f>
        <v/>
      </c>
      <c r="C817">
        <f>IF($W817="","",INDEX(합계표[부서],$W817)&amp;"")</f>
        <v/>
      </c>
      <c r="D817">
        <f>IF($W817="","",INDEX(합계표[직위(통합)],$W817)&amp;"")</f>
        <v/>
      </c>
      <c r="E817">
        <f>IF($W817="","",SUMIFS(합계표[시스템 합계],합계표[사번키],INDEX(합계표[사번키],$W817)))</f>
        <v/>
      </c>
      <c r="F817">
        <f>IF($W817="","",SUMIFS(상세표[기록 시간외],상세표[사번키],INDEX(합계표[사번키],$W817),상세표[기록월],대상월키))</f>
        <v/>
      </c>
      <c r="G817">
        <f>IF($W817="","",IF(ABS($E817-$F817)&lt;0.01,"일치","불일치(차이 "&amp;TEXT($F817-$E817,"0.00")&amp;")"))</f>
        <v/>
      </c>
      <c r="H817">
        <f>IF($W817="","",SUMIFS(상세표[기록 시간외],상세표[사번키],INDEX(합계표[사번키],$W817),상세표[기록월],대상월키,상세표[반영월],"&lt;&gt;"&amp;대상월키))</f>
        <v/>
      </c>
      <c r="I817">
        <f>IF($W817="","",SUMIFS(상세표[기록 시간외],상세표[사번키],INDEX(합계표[사번키],$W817),상세표[기록월],"&lt;&gt;"&amp;대상월키,상세표[반영월],대상월키))</f>
        <v/>
      </c>
      <c r="J817">
        <f>IF($W817="","",SUMIFS(상세표[기록 시간외],상세표[사번키],INDEX(합계표[사번키],$W817),상세표[반영월],대상월키))</f>
        <v/>
      </c>
      <c r="K817">
        <f>IF($W817="","",IFERROR(INDEX(월별근무지표[적용 급여병원],MATCH(INDEX(합계표[사번키],$W817)&amp;"|"&amp;대상월키,월별근무지표[키],0))&amp;"",IF(COUNTIF(기관표[사번키],INDEX(합계표[사번키],$W817))+COUNTIF(월별근무지표[사번키],INDEX(합계표[사번키],$W817))&gt;0,IFERROR(INDEX(기관표[급여지급병원(기준월)],MATCH(INDEX(합계표[사번키],$W817)&amp;"|"&amp;대상월키,기관표[키],0))&amp;"","—"),"—")))</f>
        <v/>
      </c>
      <c r="L817">
        <f>IF($W817="","",IF(NOT(COUNTIF(기관표[사번키],INDEX(합계표[사번키],$W817))+COUNTIF(월별근무지표[사번키],INDEX(합계표[사번키],$W817))&gt;0),"기관명단에 없음(다른 병원으로 발송)",IF($K817="—","대상월 기관명단 없음(추가 필요)",IF($K817="서울병원","해당","비해당"))))</f>
        <v/>
      </c>
      <c r="M817">
        <f>IF($W817="","",SUMIFS(상세표[06~07시],상세표[사번키],INDEX(합계표[사번키],$W817),상세표[반영월],대상월키,상세표[반영 기관],"서울병원"))</f>
        <v/>
      </c>
      <c r="N817">
        <f>IF($W817="","",SUMIFS(상세표[07~18시],상세표[사번키],INDEX(합계표[사번키],$W817),상세표[반영월],대상월키,상세표[반영 기관],"서울병원"))</f>
        <v/>
      </c>
      <c r="O817">
        <f>IF($W817="","",SUMIFS(상세표[18~22시],상세표[사번키],INDEX(합계표[사번키],$W817),상세표[반영월],대상월키,상세표[반영 기관],"서울병원"))</f>
        <v/>
      </c>
      <c r="P817">
        <f>IF($W817="","",SUMIFS(상세표[22~06시],상세표[사번키],INDEX(합계표[사번키],$W817),상세표[반영월],대상월키,상세표[반영 기관],"서울병원"))</f>
        <v/>
      </c>
      <c r="Q817">
        <f>IF($W817="","",SUM($M817:$P817))</f>
        <v/>
      </c>
      <c r="R817">
        <f>IF($W817="","",COUNTIFS(상세표[사번키],INDEX(합계표[사번키],$W817),상세표[반영월],대상월키,상세표[야간당직],1,상세표[야간 구분],"평일"))</f>
        <v/>
      </c>
      <c r="S817" s="4">
        <f>IF($W817="","",COUNTIFS(상세표[사번키],INDEX(합계표[사번키],$W817),상세표[반영월],대상월키,상세표[야간당직],1,상세표[야간 구분],"휴일"))</f>
        <v/>
      </c>
      <c r="T817">
        <f>IF($W817="","",COUNTIFS(상세표[사번키],INDEX(합계표[사번키],$W817),상세표[반영월],대상월키,상세표[야간당직],1,상세표[야간 구분],"평일",상세표[반영 기관],"서울병원"))</f>
        <v/>
      </c>
      <c r="U817">
        <f>IF($W817="","",COUNTIFS(상세표[사번키],INDEX(합계표[사번키],$W817),상세표[반영월],대상월키,상세표[야간당직],1,상세표[야간 구분],"휴일",상세표[반영 기관],"서울병원"))</f>
        <v/>
      </c>
      <c r="V817">
        <f>IF($W817="","",IF(ISNUMBER(MATCH(INDEX(합계표[사번키],$W817)&amp;"|"&amp;대상월키,월별근무지표[키],0)),"직접 입력",IF($K817="—","—","기관명단")))</f>
        <v/>
      </c>
      <c r="W817">
        <f>IFERROR(MATCH(812,합계표[판정순번],0),"")</f>
        <v/>
      </c>
    </row>
    <row r="818">
      <c r="A818">
        <f>IF($W818="","",INDEX(합계표[사번],$W818)&amp;"")</f>
        <v/>
      </c>
      <c r="B818">
        <f>IF($W818="","",INDEX(합계표[성명],$W818)&amp;"")</f>
        <v/>
      </c>
      <c r="C818">
        <f>IF($W818="","",INDEX(합계표[부서],$W818)&amp;"")</f>
        <v/>
      </c>
      <c r="D818">
        <f>IF($W818="","",INDEX(합계표[직위(통합)],$W818)&amp;"")</f>
        <v/>
      </c>
      <c r="E818">
        <f>IF($W818="","",SUMIFS(합계표[시스템 합계],합계표[사번키],INDEX(합계표[사번키],$W818)))</f>
        <v/>
      </c>
      <c r="F818">
        <f>IF($W818="","",SUMIFS(상세표[기록 시간외],상세표[사번키],INDEX(합계표[사번키],$W818),상세표[기록월],대상월키))</f>
        <v/>
      </c>
      <c r="G818">
        <f>IF($W818="","",IF(ABS($E818-$F818)&lt;0.01,"일치","불일치(차이 "&amp;TEXT($F818-$E818,"0.00")&amp;")"))</f>
        <v/>
      </c>
      <c r="H818">
        <f>IF($W818="","",SUMIFS(상세표[기록 시간외],상세표[사번키],INDEX(합계표[사번키],$W818),상세표[기록월],대상월키,상세표[반영월],"&lt;&gt;"&amp;대상월키))</f>
        <v/>
      </c>
      <c r="I818">
        <f>IF($W818="","",SUMIFS(상세표[기록 시간외],상세표[사번키],INDEX(합계표[사번키],$W818),상세표[기록월],"&lt;&gt;"&amp;대상월키,상세표[반영월],대상월키))</f>
        <v/>
      </c>
      <c r="J818">
        <f>IF($W818="","",SUMIFS(상세표[기록 시간외],상세표[사번키],INDEX(합계표[사번키],$W818),상세표[반영월],대상월키))</f>
        <v/>
      </c>
      <c r="K818">
        <f>IF($W818="","",IFERROR(INDEX(월별근무지표[적용 급여병원],MATCH(INDEX(합계표[사번키],$W818)&amp;"|"&amp;대상월키,월별근무지표[키],0))&amp;"",IF(COUNTIF(기관표[사번키],INDEX(합계표[사번키],$W818))+COUNTIF(월별근무지표[사번키],INDEX(합계표[사번키],$W818))&gt;0,IFERROR(INDEX(기관표[급여지급병원(기준월)],MATCH(INDEX(합계표[사번키],$W818)&amp;"|"&amp;대상월키,기관표[키],0))&amp;"","—"),"—")))</f>
        <v/>
      </c>
      <c r="L818">
        <f>IF($W818="","",IF(NOT(COUNTIF(기관표[사번키],INDEX(합계표[사번키],$W818))+COUNTIF(월별근무지표[사번키],INDEX(합계표[사번키],$W818))&gt;0),"기관명단에 없음(다른 병원으로 발송)",IF($K818="—","대상월 기관명단 없음(추가 필요)",IF($K818="서울병원","해당","비해당"))))</f>
        <v/>
      </c>
      <c r="M818">
        <f>IF($W818="","",SUMIFS(상세표[06~07시],상세표[사번키],INDEX(합계표[사번키],$W818),상세표[반영월],대상월키,상세표[반영 기관],"서울병원"))</f>
        <v/>
      </c>
      <c r="N818">
        <f>IF($W818="","",SUMIFS(상세표[07~18시],상세표[사번키],INDEX(합계표[사번키],$W818),상세표[반영월],대상월키,상세표[반영 기관],"서울병원"))</f>
        <v/>
      </c>
      <c r="O818">
        <f>IF($W818="","",SUMIFS(상세표[18~22시],상세표[사번키],INDEX(합계표[사번키],$W818),상세표[반영월],대상월키,상세표[반영 기관],"서울병원"))</f>
        <v/>
      </c>
      <c r="P818">
        <f>IF($W818="","",SUMIFS(상세표[22~06시],상세표[사번키],INDEX(합계표[사번키],$W818),상세표[반영월],대상월키,상세표[반영 기관],"서울병원"))</f>
        <v/>
      </c>
      <c r="Q818">
        <f>IF($W818="","",SUM($M818:$P818))</f>
        <v/>
      </c>
      <c r="R818">
        <f>IF($W818="","",COUNTIFS(상세표[사번키],INDEX(합계표[사번키],$W818),상세표[반영월],대상월키,상세표[야간당직],1,상세표[야간 구분],"평일"))</f>
        <v/>
      </c>
      <c r="S818" s="4">
        <f>IF($W818="","",COUNTIFS(상세표[사번키],INDEX(합계표[사번키],$W818),상세표[반영월],대상월키,상세표[야간당직],1,상세표[야간 구분],"휴일"))</f>
        <v/>
      </c>
      <c r="T818">
        <f>IF($W818="","",COUNTIFS(상세표[사번키],INDEX(합계표[사번키],$W818),상세표[반영월],대상월키,상세표[야간당직],1,상세표[야간 구분],"평일",상세표[반영 기관],"서울병원"))</f>
        <v/>
      </c>
      <c r="U818">
        <f>IF($W818="","",COUNTIFS(상세표[사번키],INDEX(합계표[사번키],$W818),상세표[반영월],대상월키,상세표[야간당직],1,상세표[야간 구분],"휴일",상세표[반영 기관],"서울병원"))</f>
        <v/>
      </c>
      <c r="V818">
        <f>IF($W818="","",IF(ISNUMBER(MATCH(INDEX(합계표[사번키],$W818)&amp;"|"&amp;대상월키,월별근무지표[키],0)),"직접 입력",IF($K818="—","—","기관명단")))</f>
        <v/>
      </c>
      <c r="W818">
        <f>IFERROR(MATCH(813,합계표[판정순번],0),"")</f>
        <v/>
      </c>
    </row>
    <row r="819">
      <c r="A819">
        <f>IF($W819="","",INDEX(합계표[사번],$W819)&amp;"")</f>
        <v/>
      </c>
      <c r="B819">
        <f>IF($W819="","",INDEX(합계표[성명],$W819)&amp;"")</f>
        <v/>
      </c>
      <c r="C819">
        <f>IF($W819="","",INDEX(합계표[부서],$W819)&amp;"")</f>
        <v/>
      </c>
      <c r="D819">
        <f>IF($W819="","",INDEX(합계표[직위(통합)],$W819)&amp;"")</f>
        <v/>
      </c>
      <c r="E819">
        <f>IF($W819="","",SUMIFS(합계표[시스템 합계],합계표[사번키],INDEX(합계표[사번키],$W819)))</f>
        <v/>
      </c>
      <c r="F819">
        <f>IF($W819="","",SUMIFS(상세표[기록 시간외],상세표[사번키],INDEX(합계표[사번키],$W819),상세표[기록월],대상월키))</f>
        <v/>
      </c>
      <c r="G819">
        <f>IF($W819="","",IF(ABS($E819-$F819)&lt;0.01,"일치","불일치(차이 "&amp;TEXT($F819-$E819,"0.00")&amp;")"))</f>
        <v/>
      </c>
      <c r="H819">
        <f>IF($W819="","",SUMIFS(상세표[기록 시간외],상세표[사번키],INDEX(합계표[사번키],$W819),상세표[기록월],대상월키,상세표[반영월],"&lt;&gt;"&amp;대상월키))</f>
        <v/>
      </c>
      <c r="I819">
        <f>IF($W819="","",SUMIFS(상세표[기록 시간외],상세표[사번키],INDEX(합계표[사번키],$W819),상세표[기록월],"&lt;&gt;"&amp;대상월키,상세표[반영월],대상월키))</f>
        <v/>
      </c>
      <c r="J819">
        <f>IF($W819="","",SUMIFS(상세표[기록 시간외],상세표[사번키],INDEX(합계표[사번키],$W819),상세표[반영월],대상월키))</f>
        <v/>
      </c>
      <c r="K819">
        <f>IF($W819="","",IFERROR(INDEX(월별근무지표[적용 급여병원],MATCH(INDEX(합계표[사번키],$W819)&amp;"|"&amp;대상월키,월별근무지표[키],0))&amp;"",IF(COUNTIF(기관표[사번키],INDEX(합계표[사번키],$W819))+COUNTIF(월별근무지표[사번키],INDEX(합계표[사번키],$W819))&gt;0,IFERROR(INDEX(기관표[급여지급병원(기준월)],MATCH(INDEX(합계표[사번키],$W819)&amp;"|"&amp;대상월키,기관표[키],0))&amp;"","—"),"—")))</f>
        <v/>
      </c>
      <c r="L819">
        <f>IF($W819="","",IF(NOT(COUNTIF(기관표[사번키],INDEX(합계표[사번키],$W819))+COUNTIF(월별근무지표[사번키],INDEX(합계표[사번키],$W819))&gt;0),"기관명단에 없음(다른 병원으로 발송)",IF($K819="—","대상월 기관명단 없음(추가 필요)",IF($K819="서울병원","해당","비해당"))))</f>
        <v/>
      </c>
      <c r="M819">
        <f>IF($W819="","",SUMIFS(상세표[06~07시],상세표[사번키],INDEX(합계표[사번키],$W819),상세표[반영월],대상월키,상세표[반영 기관],"서울병원"))</f>
        <v/>
      </c>
      <c r="N819">
        <f>IF($W819="","",SUMIFS(상세표[07~18시],상세표[사번키],INDEX(합계표[사번키],$W819),상세표[반영월],대상월키,상세표[반영 기관],"서울병원"))</f>
        <v/>
      </c>
      <c r="O819">
        <f>IF($W819="","",SUMIFS(상세표[18~22시],상세표[사번키],INDEX(합계표[사번키],$W819),상세표[반영월],대상월키,상세표[반영 기관],"서울병원"))</f>
        <v/>
      </c>
      <c r="P819">
        <f>IF($W819="","",SUMIFS(상세표[22~06시],상세표[사번키],INDEX(합계표[사번키],$W819),상세표[반영월],대상월키,상세표[반영 기관],"서울병원"))</f>
        <v/>
      </c>
      <c r="Q819">
        <f>IF($W819="","",SUM($M819:$P819))</f>
        <v/>
      </c>
      <c r="R819">
        <f>IF($W819="","",COUNTIFS(상세표[사번키],INDEX(합계표[사번키],$W819),상세표[반영월],대상월키,상세표[야간당직],1,상세표[야간 구분],"평일"))</f>
        <v/>
      </c>
      <c r="S819" s="4">
        <f>IF($W819="","",COUNTIFS(상세표[사번키],INDEX(합계표[사번키],$W819),상세표[반영월],대상월키,상세표[야간당직],1,상세표[야간 구분],"휴일"))</f>
        <v/>
      </c>
      <c r="T819">
        <f>IF($W819="","",COUNTIFS(상세표[사번키],INDEX(합계표[사번키],$W819),상세표[반영월],대상월키,상세표[야간당직],1,상세표[야간 구분],"평일",상세표[반영 기관],"서울병원"))</f>
        <v/>
      </c>
      <c r="U819">
        <f>IF($W819="","",COUNTIFS(상세표[사번키],INDEX(합계표[사번키],$W819),상세표[반영월],대상월키,상세표[야간당직],1,상세표[야간 구분],"휴일",상세표[반영 기관],"서울병원"))</f>
        <v/>
      </c>
      <c r="V819">
        <f>IF($W819="","",IF(ISNUMBER(MATCH(INDEX(합계표[사번키],$W819)&amp;"|"&amp;대상월키,월별근무지표[키],0)),"직접 입력",IF($K819="—","—","기관명단")))</f>
        <v/>
      </c>
      <c r="W819">
        <f>IFERROR(MATCH(814,합계표[판정순번],0),"")</f>
        <v/>
      </c>
    </row>
    <row r="820">
      <c r="A820">
        <f>IF($W820="","",INDEX(합계표[사번],$W820)&amp;"")</f>
        <v/>
      </c>
      <c r="B820">
        <f>IF($W820="","",INDEX(합계표[성명],$W820)&amp;"")</f>
        <v/>
      </c>
      <c r="C820">
        <f>IF($W820="","",INDEX(합계표[부서],$W820)&amp;"")</f>
        <v/>
      </c>
      <c r="D820">
        <f>IF($W820="","",INDEX(합계표[직위(통합)],$W820)&amp;"")</f>
        <v/>
      </c>
      <c r="E820">
        <f>IF($W820="","",SUMIFS(합계표[시스템 합계],합계표[사번키],INDEX(합계표[사번키],$W820)))</f>
        <v/>
      </c>
      <c r="F820">
        <f>IF($W820="","",SUMIFS(상세표[기록 시간외],상세표[사번키],INDEX(합계표[사번키],$W820),상세표[기록월],대상월키))</f>
        <v/>
      </c>
      <c r="G820">
        <f>IF($W820="","",IF(ABS($E820-$F820)&lt;0.01,"일치","불일치(차이 "&amp;TEXT($F820-$E820,"0.00")&amp;")"))</f>
        <v/>
      </c>
      <c r="H820">
        <f>IF($W820="","",SUMIFS(상세표[기록 시간외],상세표[사번키],INDEX(합계표[사번키],$W820),상세표[기록월],대상월키,상세표[반영월],"&lt;&gt;"&amp;대상월키))</f>
        <v/>
      </c>
      <c r="I820">
        <f>IF($W820="","",SUMIFS(상세표[기록 시간외],상세표[사번키],INDEX(합계표[사번키],$W820),상세표[기록월],"&lt;&gt;"&amp;대상월키,상세표[반영월],대상월키))</f>
        <v/>
      </c>
      <c r="J820">
        <f>IF($W820="","",SUMIFS(상세표[기록 시간외],상세표[사번키],INDEX(합계표[사번키],$W820),상세표[반영월],대상월키))</f>
        <v/>
      </c>
      <c r="K820">
        <f>IF($W820="","",IFERROR(INDEX(월별근무지표[적용 급여병원],MATCH(INDEX(합계표[사번키],$W820)&amp;"|"&amp;대상월키,월별근무지표[키],0))&amp;"",IF(COUNTIF(기관표[사번키],INDEX(합계표[사번키],$W820))+COUNTIF(월별근무지표[사번키],INDEX(합계표[사번키],$W820))&gt;0,IFERROR(INDEX(기관표[급여지급병원(기준월)],MATCH(INDEX(합계표[사번키],$W820)&amp;"|"&amp;대상월키,기관표[키],0))&amp;"","—"),"—")))</f>
        <v/>
      </c>
      <c r="L820">
        <f>IF($W820="","",IF(NOT(COUNTIF(기관표[사번키],INDEX(합계표[사번키],$W820))+COUNTIF(월별근무지표[사번키],INDEX(합계표[사번키],$W820))&gt;0),"기관명단에 없음(다른 병원으로 발송)",IF($K820="—","대상월 기관명단 없음(추가 필요)",IF($K820="서울병원","해당","비해당"))))</f>
        <v/>
      </c>
      <c r="M820">
        <f>IF($W820="","",SUMIFS(상세표[06~07시],상세표[사번키],INDEX(합계표[사번키],$W820),상세표[반영월],대상월키,상세표[반영 기관],"서울병원"))</f>
        <v/>
      </c>
      <c r="N820">
        <f>IF($W820="","",SUMIFS(상세표[07~18시],상세표[사번키],INDEX(합계표[사번키],$W820),상세표[반영월],대상월키,상세표[반영 기관],"서울병원"))</f>
        <v/>
      </c>
      <c r="O820">
        <f>IF($W820="","",SUMIFS(상세표[18~22시],상세표[사번키],INDEX(합계표[사번키],$W820),상세표[반영월],대상월키,상세표[반영 기관],"서울병원"))</f>
        <v/>
      </c>
      <c r="P820">
        <f>IF($W820="","",SUMIFS(상세표[22~06시],상세표[사번키],INDEX(합계표[사번키],$W820),상세표[반영월],대상월키,상세표[반영 기관],"서울병원"))</f>
        <v/>
      </c>
      <c r="Q820">
        <f>IF($W820="","",SUM($M820:$P820))</f>
        <v/>
      </c>
      <c r="R820">
        <f>IF($W820="","",COUNTIFS(상세표[사번키],INDEX(합계표[사번키],$W820),상세표[반영월],대상월키,상세표[야간당직],1,상세표[야간 구분],"평일"))</f>
        <v/>
      </c>
      <c r="S820" s="4">
        <f>IF($W820="","",COUNTIFS(상세표[사번키],INDEX(합계표[사번키],$W820),상세표[반영월],대상월키,상세표[야간당직],1,상세표[야간 구분],"휴일"))</f>
        <v/>
      </c>
      <c r="T820">
        <f>IF($W820="","",COUNTIFS(상세표[사번키],INDEX(합계표[사번키],$W820),상세표[반영월],대상월키,상세표[야간당직],1,상세표[야간 구분],"평일",상세표[반영 기관],"서울병원"))</f>
        <v/>
      </c>
      <c r="U820">
        <f>IF($W820="","",COUNTIFS(상세표[사번키],INDEX(합계표[사번키],$W820),상세표[반영월],대상월키,상세표[야간당직],1,상세표[야간 구분],"휴일",상세표[반영 기관],"서울병원"))</f>
        <v/>
      </c>
      <c r="V820">
        <f>IF($W820="","",IF(ISNUMBER(MATCH(INDEX(합계표[사번키],$W820)&amp;"|"&amp;대상월키,월별근무지표[키],0)),"직접 입력",IF($K820="—","—","기관명단")))</f>
        <v/>
      </c>
      <c r="W820">
        <f>IFERROR(MATCH(815,합계표[판정순번],0),"")</f>
        <v/>
      </c>
    </row>
    <row r="821">
      <c r="A821">
        <f>IF($W821="","",INDEX(합계표[사번],$W821)&amp;"")</f>
        <v/>
      </c>
      <c r="B821">
        <f>IF($W821="","",INDEX(합계표[성명],$W821)&amp;"")</f>
        <v/>
      </c>
      <c r="C821">
        <f>IF($W821="","",INDEX(합계표[부서],$W821)&amp;"")</f>
        <v/>
      </c>
      <c r="D821">
        <f>IF($W821="","",INDEX(합계표[직위(통합)],$W821)&amp;"")</f>
        <v/>
      </c>
      <c r="E821">
        <f>IF($W821="","",SUMIFS(합계표[시스템 합계],합계표[사번키],INDEX(합계표[사번키],$W821)))</f>
        <v/>
      </c>
      <c r="F821">
        <f>IF($W821="","",SUMIFS(상세표[기록 시간외],상세표[사번키],INDEX(합계표[사번키],$W821),상세표[기록월],대상월키))</f>
        <v/>
      </c>
      <c r="G821">
        <f>IF($W821="","",IF(ABS($E821-$F821)&lt;0.01,"일치","불일치(차이 "&amp;TEXT($F821-$E821,"0.00")&amp;")"))</f>
        <v/>
      </c>
      <c r="H821">
        <f>IF($W821="","",SUMIFS(상세표[기록 시간외],상세표[사번키],INDEX(합계표[사번키],$W821),상세표[기록월],대상월키,상세표[반영월],"&lt;&gt;"&amp;대상월키))</f>
        <v/>
      </c>
      <c r="I821">
        <f>IF($W821="","",SUMIFS(상세표[기록 시간외],상세표[사번키],INDEX(합계표[사번키],$W821),상세표[기록월],"&lt;&gt;"&amp;대상월키,상세표[반영월],대상월키))</f>
        <v/>
      </c>
      <c r="J821">
        <f>IF($W821="","",SUMIFS(상세표[기록 시간외],상세표[사번키],INDEX(합계표[사번키],$W821),상세표[반영월],대상월키))</f>
        <v/>
      </c>
      <c r="K821">
        <f>IF($W821="","",IFERROR(INDEX(월별근무지표[적용 급여병원],MATCH(INDEX(합계표[사번키],$W821)&amp;"|"&amp;대상월키,월별근무지표[키],0))&amp;"",IF(COUNTIF(기관표[사번키],INDEX(합계표[사번키],$W821))+COUNTIF(월별근무지표[사번키],INDEX(합계표[사번키],$W821))&gt;0,IFERROR(INDEX(기관표[급여지급병원(기준월)],MATCH(INDEX(합계표[사번키],$W821)&amp;"|"&amp;대상월키,기관표[키],0))&amp;"","—"),"—")))</f>
        <v/>
      </c>
      <c r="L821">
        <f>IF($W821="","",IF(NOT(COUNTIF(기관표[사번키],INDEX(합계표[사번키],$W821))+COUNTIF(월별근무지표[사번키],INDEX(합계표[사번키],$W821))&gt;0),"기관명단에 없음(다른 병원으로 발송)",IF($K821="—","대상월 기관명단 없음(추가 필요)",IF($K821="서울병원","해당","비해당"))))</f>
        <v/>
      </c>
      <c r="M821">
        <f>IF($W821="","",SUMIFS(상세표[06~07시],상세표[사번키],INDEX(합계표[사번키],$W821),상세표[반영월],대상월키,상세표[반영 기관],"서울병원"))</f>
        <v/>
      </c>
      <c r="N821">
        <f>IF($W821="","",SUMIFS(상세표[07~18시],상세표[사번키],INDEX(합계표[사번키],$W821),상세표[반영월],대상월키,상세표[반영 기관],"서울병원"))</f>
        <v/>
      </c>
      <c r="O821">
        <f>IF($W821="","",SUMIFS(상세표[18~22시],상세표[사번키],INDEX(합계표[사번키],$W821),상세표[반영월],대상월키,상세표[반영 기관],"서울병원"))</f>
        <v/>
      </c>
      <c r="P821">
        <f>IF($W821="","",SUMIFS(상세표[22~06시],상세표[사번키],INDEX(합계표[사번키],$W821),상세표[반영월],대상월키,상세표[반영 기관],"서울병원"))</f>
        <v/>
      </c>
      <c r="Q821">
        <f>IF($W821="","",SUM($M821:$P821))</f>
        <v/>
      </c>
      <c r="R821">
        <f>IF($W821="","",COUNTIFS(상세표[사번키],INDEX(합계표[사번키],$W821),상세표[반영월],대상월키,상세표[야간당직],1,상세표[야간 구분],"평일"))</f>
        <v/>
      </c>
      <c r="S821" s="4">
        <f>IF($W821="","",COUNTIFS(상세표[사번키],INDEX(합계표[사번키],$W821),상세표[반영월],대상월키,상세표[야간당직],1,상세표[야간 구분],"휴일"))</f>
        <v/>
      </c>
      <c r="T821">
        <f>IF($W821="","",COUNTIFS(상세표[사번키],INDEX(합계표[사번키],$W821),상세표[반영월],대상월키,상세표[야간당직],1,상세표[야간 구분],"평일",상세표[반영 기관],"서울병원"))</f>
        <v/>
      </c>
      <c r="U821">
        <f>IF($W821="","",COUNTIFS(상세표[사번키],INDEX(합계표[사번키],$W821),상세표[반영월],대상월키,상세표[야간당직],1,상세표[야간 구분],"휴일",상세표[반영 기관],"서울병원"))</f>
        <v/>
      </c>
      <c r="V821">
        <f>IF($W821="","",IF(ISNUMBER(MATCH(INDEX(합계표[사번키],$W821)&amp;"|"&amp;대상월키,월별근무지표[키],0)),"직접 입력",IF($K821="—","—","기관명단")))</f>
        <v/>
      </c>
      <c r="W821">
        <f>IFERROR(MATCH(816,합계표[판정순번],0),"")</f>
        <v/>
      </c>
    </row>
    <row r="822">
      <c r="A822">
        <f>IF($W822="","",INDEX(합계표[사번],$W822)&amp;"")</f>
        <v/>
      </c>
      <c r="B822">
        <f>IF($W822="","",INDEX(합계표[성명],$W822)&amp;"")</f>
        <v/>
      </c>
      <c r="C822">
        <f>IF($W822="","",INDEX(합계표[부서],$W822)&amp;"")</f>
        <v/>
      </c>
      <c r="D822">
        <f>IF($W822="","",INDEX(합계표[직위(통합)],$W822)&amp;"")</f>
        <v/>
      </c>
      <c r="E822">
        <f>IF($W822="","",SUMIFS(합계표[시스템 합계],합계표[사번키],INDEX(합계표[사번키],$W822)))</f>
        <v/>
      </c>
      <c r="F822">
        <f>IF($W822="","",SUMIFS(상세표[기록 시간외],상세표[사번키],INDEX(합계표[사번키],$W822),상세표[기록월],대상월키))</f>
        <v/>
      </c>
      <c r="G822">
        <f>IF($W822="","",IF(ABS($E822-$F822)&lt;0.01,"일치","불일치(차이 "&amp;TEXT($F822-$E822,"0.00")&amp;")"))</f>
        <v/>
      </c>
      <c r="H822">
        <f>IF($W822="","",SUMIFS(상세표[기록 시간외],상세표[사번키],INDEX(합계표[사번키],$W822),상세표[기록월],대상월키,상세표[반영월],"&lt;&gt;"&amp;대상월키))</f>
        <v/>
      </c>
      <c r="I822">
        <f>IF($W822="","",SUMIFS(상세표[기록 시간외],상세표[사번키],INDEX(합계표[사번키],$W822),상세표[기록월],"&lt;&gt;"&amp;대상월키,상세표[반영월],대상월키))</f>
        <v/>
      </c>
      <c r="J822">
        <f>IF($W822="","",SUMIFS(상세표[기록 시간외],상세표[사번키],INDEX(합계표[사번키],$W822),상세표[반영월],대상월키))</f>
        <v/>
      </c>
      <c r="K822">
        <f>IF($W822="","",IFERROR(INDEX(월별근무지표[적용 급여병원],MATCH(INDEX(합계표[사번키],$W822)&amp;"|"&amp;대상월키,월별근무지표[키],0))&amp;"",IF(COUNTIF(기관표[사번키],INDEX(합계표[사번키],$W822))+COUNTIF(월별근무지표[사번키],INDEX(합계표[사번키],$W822))&gt;0,IFERROR(INDEX(기관표[급여지급병원(기준월)],MATCH(INDEX(합계표[사번키],$W822)&amp;"|"&amp;대상월키,기관표[키],0))&amp;"","—"),"—")))</f>
        <v/>
      </c>
      <c r="L822">
        <f>IF($W822="","",IF(NOT(COUNTIF(기관표[사번키],INDEX(합계표[사번키],$W822))+COUNTIF(월별근무지표[사번키],INDEX(합계표[사번키],$W822))&gt;0),"기관명단에 없음(다른 병원으로 발송)",IF($K822="—","대상월 기관명단 없음(추가 필요)",IF($K822="서울병원","해당","비해당"))))</f>
        <v/>
      </c>
      <c r="M822">
        <f>IF($W822="","",SUMIFS(상세표[06~07시],상세표[사번키],INDEX(합계표[사번키],$W822),상세표[반영월],대상월키,상세표[반영 기관],"서울병원"))</f>
        <v/>
      </c>
      <c r="N822">
        <f>IF($W822="","",SUMIFS(상세표[07~18시],상세표[사번키],INDEX(합계표[사번키],$W822),상세표[반영월],대상월키,상세표[반영 기관],"서울병원"))</f>
        <v/>
      </c>
      <c r="O822">
        <f>IF($W822="","",SUMIFS(상세표[18~22시],상세표[사번키],INDEX(합계표[사번키],$W822),상세표[반영월],대상월키,상세표[반영 기관],"서울병원"))</f>
        <v/>
      </c>
      <c r="P822">
        <f>IF($W822="","",SUMIFS(상세표[22~06시],상세표[사번키],INDEX(합계표[사번키],$W822),상세표[반영월],대상월키,상세표[반영 기관],"서울병원"))</f>
        <v/>
      </c>
      <c r="Q822">
        <f>IF($W822="","",SUM($M822:$P822))</f>
        <v/>
      </c>
      <c r="R822">
        <f>IF($W822="","",COUNTIFS(상세표[사번키],INDEX(합계표[사번키],$W822),상세표[반영월],대상월키,상세표[야간당직],1,상세표[야간 구분],"평일"))</f>
        <v/>
      </c>
      <c r="S822" s="4">
        <f>IF($W822="","",COUNTIFS(상세표[사번키],INDEX(합계표[사번키],$W822),상세표[반영월],대상월키,상세표[야간당직],1,상세표[야간 구분],"휴일"))</f>
        <v/>
      </c>
      <c r="T822">
        <f>IF($W822="","",COUNTIFS(상세표[사번키],INDEX(합계표[사번키],$W822),상세표[반영월],대상월키,상세표[야간당직],1,상세표[야간 구분],"평일",상세표[반영 기관],"서울병원"))</f>
        <v/>
      </c>
      <c r="U822">
        <f>IF($W822="","",COUNTIFS(상세표[사번키],INDEX(합계표[사번키],$W822),상세표[반영월],대상월키,상세표[야간당직],1,상세표[야간 구분],"휴일",상세표[반영 기관],"서울병원"))</f>
        <v/>
      </c>
      <c r="V822">
        <f>IF($W822="","",IF(ISNUMBER(MATCH(INDEX(합계표[사번키],$W822)&amp;"|"&amp;대상월키,월별근무지표[키],0)),"직접 입력",IF($K822="—","—","기관명단")))</f>
        <v/>
      </c>
      <c r="W822">
        <f>IFERROR(MATCH(817,합계표[판정순번],0),"")</f>
        <v/>
      </c>
    </row>
    <row r="823">
      <c r="A823">
        <f>IF($W823="","",INDEX(합계표[사번],$W823)&amp;"")</f>
        <v/>
      </c>
      <c r="B823">
        <f>IF($W823="","",INDEX(합계표[성명],$W823)&amp;"")</f>
        <v/>
      </c>
      <c r="C823">
        <f>IF($W823="","",INDEX(합계표[부서],$W823)&amp;"")</f>
        <v/>
      </c>
      <c r="D823">
        <f>IF($W823="","",INDEX(합계표[직위(통합)],$W823)&amp;"")</f>
        <v/>
      </c>
      <c r="E823">
        <f>IF($W823="","",SUMIFS(합계표[시스템 합계],합계표[사번키],INDEX(합계표[사번키],$W823)))</f>
        <v/>
      </c>
      <c r="F823">
        <f>IF($W823="","",SUMIFS(상세표[기록 시간외],상세표[사번키],INDEX(합계표[사번키],$W823),상세표[기록월],대상월키))</f>
        <v/>
      </c>
      <c r="G823">
        <f>IF($W823="","",IF(ABS($E823-$F823)&lt;0.01,"일치","불일치(차이 "&amp;TEXT($F823-$E823,"0.00")&amp;")"))</f>
        <v/>
      </c>
      <c r="H823">
        <f>IF($W823="","",SUMIFS(상세표[기록 시간외],상세표[사번키],INDEX(합계표[사번키],$W823),상세표[기록월],대상월키,상세표[반영월],"&lt;&gt;"&amp;대상월키))</f>
        <v/>
      </c>
      <c r="I823">
        <f>IF($W823="","",SUMIFS(상세표[기록 시간외],상세표[사번키],INDEX(합계표[사번키],$W823),상세표[기록월],"&lt;&gt;"&amp;대상월키,상세표[반영월],대상월키))</f>
        <v/>
      </c>
      <c r="J823">
        <f>IF($W823="","",SUMIFS(상세표[기록 시간외],상세표[사번키],INDEX(합계표[사번키],$W823),상세표[반영월],대상월키))</f>
        <v/>
      </c>
      <c r="K823">
        <f>IF($W823="","",IFERROR(INDEX(월별근무지표[적용 급여병원],MATCH(INDEX(합계표[사번키],$W823)&amp;"|"&amp;대상월키,월별근무지표[키],0))&amp;"",IF(COUNTIF(기관표[사번키],INDEX(합계표[사번키],$W823))+COUNTIF(월별근무지표[사번키],INDEX(합계표[사번키],$W823))&gt;0,IFERROR(INDEX(기관표[급여지급병원(기준월)],MATCH(INDEX(합계표[사번키],$W823)&amp;"|"&amp;대상월키,기관표[키],0))&amp;"","—"),"—")))</f>
        <v/>
      </c>
      <c r="L823">
        <f>IF($W823="","",IF(NOT(COUNTIF(기관표[사번키],INDEX(합계표[사번키],$W823))+COUNTIF(월별근무지표[사번키],INDEX(합계표[사번키],$W823))&gt;0),"기관명단에 없음(다른 병원으로 발송)",IF($K823="—","대상월 기관명단 없음(추가 필요)",IF($K823="서울병원","해당","비해당"))))</f>
        <v/>
      </c>
      <c r="M823">
        <f>IF($W823="","",SUMIFS(상세표[06~07시],상세표[사번키],INDEX(합계표[사번키],$W823),상세표[반영월],대상월키,상세표[반영 기관],"서울병원"))</f>
        <v/>
      </c>
      <c r="N823">
        <f>IF($W823="","",SUMIFS(상세표[07~18시],상세표[사번키],INDEX(합계표[사번키],$W823),상세표[반영월],대상월키,상세표[반영 기관],"서울병원"))</f>
        <v/>
      </c>
      <c r="O823">
        <f>IF($W823="","",SUMIFS(상세표[18~22시],상세표[사번키],INDEX(합계표[사번키],$W823),상세표[반영월],대상월키,상세표[반영 기관],"서울병원"))</f>
        <v/>
      </c>
      <c r="P823">
        <f>IF($W823="","",SUMIFS(상세표[22~06시],상세표[사번키],INDEX(합계표[사번키],$W823),상세표[반영월],대상월키,상세표[반영 기관],"서울병원"))</f>
        <v/>
      </c>
      <c r="Q823">
        <f>IF($W823="","",SUM($M823:$P823))</f>
        <v/>
      </c>
      <c r="R823">
        <f>IF($W823="","",COUNTIFS(상세표[사번키],INDEX(합계표[사번키],$W823),상세표[반영월],대상월키,상세표[야간당직],1,상세표[야간 구분],"평일"))</f>
        <v/>
      </c>
      <c r="S823" s="4">
        <f>IF($W823="","",COUNTIFS(상세표[사번키],INDEX(합계표[사번키],$W823),상세표[반영월],대상월키,상세표[야간당직],1,상세표[야간 구분],"휴일"))</f>
        <v/>
      </c>
      <c r="T823">
        <f>IF($W823="","",COUNTIFS(상세표[사번키],INDEX(합계표[사번키],$W823),상세표[반영월],대상월키,상세표[야간당직],1,상세표[야간 구분],"평일",상세표[반영 기관],"서울병원"))</f>
        <v/>
      </c>
      <c r="U823">
        <f>IF($W823="","",COUNTIFS(상세표[사번키],INDEX(합계표[사번키],$W823),상세표[반영월],대상월키,상세표[야간당직],1,상세표[야간 구분],"휴일",상세표[반영 기관],"서울병원"))</f>
        <v/>
      </c>
      <c r="V823">
        <f>IF($W823="","",IF(ISNUMBER(MATCH(INDEX(합계표[사번키],$W823)&amp;"|"&amp;대상월키,월별근무지표[키],0)),"직접 입력",IF($K823="—","—","기관명단")))</f>
        <v/>
      </c>
      <c r="W823">
        <f>IFERROR(MATCH(818,합계표[판정순번],0),"")</f>
        <v/>
      </c>
    </row>
    <row r="824">
      <c r="A824">
        <f>IF($W824="","",INDEX(합계표[사번],$W824)&amp;"")</f>
        <v/>
      </c>
      <c r="B824">
        <f>IF($W824="","",INDEX(합계표[성명],$W824)&amp;"")</f>
        <v/>
      </c>
      <c r="C824">
        <f>IF($W824="","",INDEX(합계표[부서],$W824)&amp;"")</f>
        <v/>
      </c>
      <c r="D824">
        <f>IF($W824="","",INDEX(합계표[직위(통합)],$W824)&amp;"")</f>
        <v/>
      </c>
      <c r="E824">
        <f>IF($W824="","",SUMIFS(합계표[시스템 합계],합계표[사번키],INDEX(합계표[사번키],$W824)))</f>
        <v/>
      </c>
      <c r="F824">
        <f>IF($W824="","",SUMIFS(상세표[기록 시간외],상세표[사번키],INDEX(합계표[사번키],$W824),상세표[기록월],대상월키))</f>
        <v/>
      </c>
      <c r="G824">
        <f>IF($W824="","",IF(ABS($E824-$F824)&lt;0.01,"일치","불일치(차이 "&amp;TEXT($F824-$E824,"0.00")&amp;")"))</f>
        <v/>
      </c>
      <c r="H824">
        <f>IF($W824="","",SUMIFS(상세표[기록 시간외],상세표[사번키],INDEX(합계표[사번키],$W824),상세표[기록월],대상월키,상세표[반영월],"&lt;&gt;"&amp;대상월키))</f>
        <v/>
      </c>
      <c r="I824">
        <f>IF($W824="","",SUMIFS(상세표[기록 시간외],상세표[사번키],INDEX(합계표[사번키],$W824),상세표[기록월],"&lt;&gt;"&amp;대상월키,상세표[반영월],대상월키))</f>
        <v/>
      </c>
      <c r="J824">
        <f>IF($W824="","",SUMIFS(상세표[기록 시간외],상세표[사번키],INDEX(합계표[사번키],$W824),상세표[반영월],대상월키))</f>
        <v/>
      </c>
      <c r="K824">
        <f>IF($W824="","",IFERROR(INDEX(월별근무지표[적용 급여병원],MATCH(INDEX(합계표[사번키],$W824)&amp;"|"&amp;대상월키,월별근무지표[키],0))&amp;"",IF(COUNTIF(기관표[사번키],INDEX(합계표[사번키],$W824))+COUNTIF(월별근무지표[사번키],INDEX(합계표[사번키],$W824))&gt;0,IFERROR(INDEX(기관표[급여지급병원(기준월)],MATCH(INDEX(합계표[사번키],$W824)&amp;"|"&amp;대상월키,기관표[키],0))&amp;"","—"),"—")))</f>
        <v/>
      </c>
      <c r="L824">
        <f>IF($W824="","",IF(NOT(COUNTIF(기관표[사번키],INDEX(합계표[사번키],$W824))+COUNTIF(월별근무지표[사번키],INDEX(합계표[사번키],$W824))&gt;0),"기관명단에 없음(다른 병원으로 발송)",IF($K824="—","대상월 기관명단 없음(추가 필요)",IF($K824="서울병원","해당","비해당"))))</f>
        <v/>
      </c>
      <c r="M824">
        <f>IF($W824="","",SUMIFS(상세표[06~07시],상세표[사번키],INDEX(합계표[사번키],$W824),상세표[반영월],대상월키,상세표[반영 기관],"서울병원"))</f>
        <v/>
      </c>
      <c r="N824">
        <f>IF($W824="","",SUMIFS(상세표[07~18시],상세표[사번키],INDEX(합계표[사번키],$W824),상세표[반영월],대상월키,상세표[반영 기관],"서울병원"))</f>
        <v/>
      </c>
      <c r="O824">
        <f>IF($W824="","",SUMIFS(상세표[18~22시],상세표[사번키],INDEX(합계표[사번키],$W824),상세표[반영월],대상월키,상세표[반영 기관],"서울병원"))</f>
        <v/>
      </c>
      <c r="P824">
        <f>IF($W824="","",SUMIFS(상세표[22~06시],상세표[사번키],INDEX(합계표[사번키],$W824),상세표[반영월],대상월키,상세표[반영 기관],"서울병원"))</f>
        <v/>
      </c>
      <c r="Q824">
        <f>IF($W824="","",SUM($M824:$P824))</f>
        <v/>
      </c>
      <c r="R824">
        <f>IF($W824="","",COUNTIFS(상세표[사번키],INDEX(합계표[사번키],$W824),상세표[반영월],대상월키,상세표[야간당직],1,상세표[야간 구분],"평일"))</f>
        <v/>
      </c>
      <c r="S824" s="4">
        <f>IF($W824="","",COUNTIFS(상세표[사번키],INDEX(합계표[사번키],$W824),상세표[반영월],대상월키,상세표[야간당직],1,상세표[야간 구분],"휴일"))</f>
        <v/>
      </c>
      <c r="T824">
        <f>IF($W824="","",COUNTIFS(상세표[사번키],INDEX(합계표[사번키],$W824),상세표[반영월],대상월키,상세표[야간당직],1,상세표[야간 구분],"평일",상세표[반영 기관],"서울병원"))</f>
        <v/>
      </c>
      <c r="U824">
        <f>IF($W824="","",COUNTIFS(상세표[사번키],INDEX(합계표[사번키],$W824),상세표[반영월],대상월키,상세표[야간당직],1,상세표[야간 구분],"휴일",상세표[반영 기관],"서울병원"))</f>
        <v/>
      </c>
      <c r="V824">
        <f>IF($W824="","",IF(ISNUMBER(MATCH(INDEX(합계표[사번키],$W824)&amp;"|"&amp;대상월키,월별근무지표[키],0)),"직접 입력",IF($K824="—","—","기관명단")))</f>
        <v/>
      </c>
      <c r="W824">
        <f>IFERROR(MATCH(819,합계표[판정순번],0),"")</f>
        <v/>
      </c>
    </row>
    <row r="825">
      <c r="A825">
        <f>IF($W825="","",INDEX(합계표[사번],$W825)&amp;"")</f>
        <v/>
      </c>
      <c r="B825">
        <f>IF($W825="","",INDEX(합계표[성명],$W825)&amp;"")</f>
        <v/>
      </c>
      <c r="C825">
        <f>IF($W825="","",INDEX(합계표[부서],$W825)&amp;"")</f>
        <v/>
      </c>
      <c r="D825">
        <f>IF($W825="","",INDEX(합계표[직위(통합)],$W825)&amp;"")</f>
        <v/>
      </c>
      <c r="E825">
        <f>IF($W825="","",SUMIFS(합계표[시스템 합계],합계표[사번키],INDEX(합계표[사번키],$W825)))</f>
        <v/>
      </c>
      <c r="F825">
        <f>IF($W825="","",SUMIFS(상세표[기록 시간외],상세표[사번키],INDEX(합계표[사번키],$W825),상세표[기록월],대상월키))</f>
        <v/>
      </c>
      <c r="G825">
        <f>IF($W825="","",IF(ABS($E825-$F825)&lt;0.01,"일치","불일치(차이 "&amp;TEXT($F825-$E825,"0.00")&amp;")"))</f>
        <v/>
      </c>
      <c r="H825">
        <f>IF($W825="","",SUMIFS(상세표[기록 시간외],상세표[사번키],INDEX(합계표[사번키],$W825),상세표[기록월],대상월키,상세표[반영월],"&lt;&gt;"&amp;대상월키))</f>
        <v/>
      </c>
      <c r="I825">
        <f>IF($W825="","",SUMIFS(상세표[기록 시간외],상세표[사번키],INDEX(합계표[사번키],$W825),상세표[기록월],"&lt;&gt;"&amp;대상월키,상세표[반영월],대상월키))</f>
        <v/>
      </c>
      <c r="J825">
        <f>IF($W825="","",SUMIFS(상세표[기록 시간외],상세표[사번키],INDEX(합계표[사번키],$W825),상세표[반영월],대상월키))</f>
        <v/>
      </c>
      <c r="K825">
        <f>IF($W825="","",IFERROR(INDEX(월별근무지표[적용 급여병원],MATCH(INDEX(합계표[사번키],$W825)&amp;"|"&amp;대상월키,월별근무지표[키],0))&amp;"",IF(COUNTIF(기관표[사번키],INDEX(합계표[사번키],$W825))+COUNTIF(월별근무지표[사번키],INDEX(합계표[사번키],$W825))&gt;0,IFERROR(INDEX(기관표[급여지급병원(기준월)],MATCH(INDEX(합계표[사번키],$W825)&amp;"|"&amp;대상월키,기관표[키],0))&amp;"","—"),"—")))</f>
        <v/>
      </c>
      <c r="L825">
        <f>IF($W825="","",IF(NOT(COUNTIF(기관표[사번키],INDEX(합계표[사번키],$W825))+COUNTIF(월별근무지표[사번키],INDEX(합계표[사번키],$W825))&gt;0),"기관명단에 없음(다른 병원으로 발송)",IF($K825="—","대상월 기관명단 없음(추가 필요)",IF($K825="서울병원","해당","비해당"))))</f>
        <v/>
      </c>
      <c r="M825">
        <f>IF($W825="","",SUMIFS(상세표[06~07시],상세표[사번키],INDEX(합계표[사번키],$W825),상세표[반영월],대상월키,상세표[반영 기관],"서울병원"))</f>
        <v/>
      </c>
      <c r="N825">
        <f>IF($W825="","",SUMIFS(상세표[07~18시],상세표[사번키],INDEX(합계표[사번키],$W825),상세표[반영월],대상월키,상세표[반영 기관],"서울병원"))</f>
        <v/>
      </c>
      <c r="O825">
        <f>IF($W825="","",SUMIFS(상세표[18~22시],상세표[사번키],INDEX(합계표[사번키],$W825),상세표[반영월],대상월키,상세표[반영 기관],"서울병원"))</f>
        <v/>
      </c>
      <c r="P825">
        <f>IF($W825="","",SUMIFS(상세표[22~06시],상세표[사번키],INDEX(합계표[사번키],$W825),상세표[반영월],대상월키,상세표[반영 기관],"서울병원"))</f>
        <v/>
      </c>
      <c r="Q825">
        <f>IF($W825="","",SUM($M825:$P825))</f>
        <v/>
      </c>
      <c r="R825">
        <f>IF($W825="","",COUNTIFS(상세표[사번키],INDEX(합계표[사번키],$W825),상세표[반영월],대상월키,상세표[야간당직],1,상세표[야간 구분],"평일"))</f>
        <v/>
      </c>
      <c r="S825" s="4">
        <f>IF($W825="","",COUNTIFS(상세표[사번키],INDEX(합계표[사번키],$W825),상세표[반영월],대상월키,상세표[야간당직],1,상세표[야간 구분],"휴일"))</f>
        <v/>
      </c>
      <c r="T825">
        <f>IF($W825="","",COUNTIFS(상세표[사번키],INDEX(합계표[사번키],$W825),상세표[반영월],대상월키,상세표[야간당직],1,상세표[야간 구분],"평일",상세표[반영 기관],"서울병원"))</f>
        <v/>
      </c>
      <c r="U825">
        <f>IF($W825="","",COUNTIFS(상세표[사번키],INDEX(합계표[사번키],$W825),상세표[반영월],대상월키,상세표[야간당직],1,상세표[야간 구분],"휴일",상세표[반영 기관],"서울병원"))</f>
        <v/>
      </c>
      <c r="V825">
        <f>IF($W825="","",IF(ISNUMBER(MATCH(INDEX(합계표[사번키],$W825)&amp;"|"&amp;대상월키,월별근무지표[키],0)),"직접 입력",IF($K825="—","—","기관명단")))</f>
        <v/>
      </c>
      <c r="W825">
        <f>IFERROR(MATCH(820,합계표[판정순번],0),"")</f>
        <v/>
      </c>
    </row>
    <row r="826">
      <c r="A826">
        <f>IF($W826="","",INDEX(합계표[사번],$W826)&amp;"")</f>
        <v/>
      </c>
      <c r="B826">
        <f>IF($W826="","",INDEX(합계표[성명],$W826)&amp;"")</f>
        <v/>
      </c>
      <c r="C826">
        <f>IF($W826="","",INDEX(합계표[부서],$W826)&amp;"")</f>
        <v/>
      </c>
      <c r="D826">
        <f>IF($W826="","",INDEX(합계표[직위(통합)],$W826)&amp;"")</f>
        <v/>
      </c>
      <c r="E826">
        <f>IF($W826="","",SUMIFS(합계표[시스템 합계],합계표[사번키],INDEX(합계표[사번키],$W826)))</f>
        <v/>
      </c>
      <c r="F826">
        <f>IF($W826="","",SUMIFS(상세표[기록 시간외],상세표[사번키],INDEX(합계표[사번키],$W826),상세표[기록월],대상월키))</f>
        <v/>
      </c>
      <c r="G826">
        <f>IF($W826="","",IF(ABS($E826-$F826)&lt;0.01,"일치","불일치(차이 "&amp;TEXT($F826-$E826,"0.00")&amp;")"))</f>
        <v/>
      </c>
      <c r="H826">
        <f>IF($W826="","",SUMIFS(상세표[기록 시간외],상세표[사번키],INDEX(합계표[사번키],$W826),상세표[기록월],대상월키,상세표[반영월],"&lt;&gt;"&amp;대상월키))</f>
        <v/>
      </c>
      <c r="I826">
        <f>IF($W826="","",SUMIFS(상세표[기록 시간외],상세표[사번키],INDEX(합계표[사번키],$W826),상세표[기록월],"&lt;&gt;"&amp;대상월키,상세표[반영월],대상월키))</f>
        <v/>
      </c>
      <c r="J826">
        <f>IF($W826="","",SUMIFS(상세표[기록 시간외],상세표[사번키],INDEX(합계표[사번키],$W826),상세표[반영월],대상월키))</f>
        <v/>
      </c>
      <c r="K826">
        <f>IF($W826="","",IFERROR(INDEX(월별근무지표[적용 급여병원],MATCH(INDEX(합계표[사번키],$W826)&amp;"|"&amp;대상월키,월별근무지표[키],0))&amp;"",IF(COUNTIF(기관표[사번키],INDEX(합계표[사번키],$W826))+COUNTIF(월별근무지표[사번키],INDEX(합계표[사번키],$W826))&gt;0,IFERROR(INDEX(기관표[급여지급병원(기준월)],MATCH(INDEX(합계표[사번키],$W826)&amp;"|"&amp;대상월키,기관표[키],0))&amp;"","—"),"—")))</f>
        <v/>
      </c>
      <c r="L826">
        <f>IF($W826="","",IF(NOT(COUNTIF(기관표[사번키],INDEX(합계표[사번키],$W826))+COUNTIF(월별근무지표[사번키],INDEX(합계표[사번키],$W826))&gt;0),"기관명단에 없음(다른 병원으로 발송)",IF($K826="—","대상월 기관명단 없음(추가 필요)",IF($K826="서울병원","해당","비해당"))))</f>
        <v/>
      </c>
      <c r="M826">
        <f>IF($W826="","",SUMIFS(상세표[06~07시],상세표[사번키],INDEX(합계표[사번키],$W826),상세표[반영월],대상월키,상세표[반영 기관],"서울병원"))</f>
        <v/>
      </c>
      <c r="N826">
        <f>IF($W826="","",SUMIFS(상세표[07~18시],상세표[사번키],INDEX(합계표[사번키],$W826),상세표[반영월],대상월키,상세표[반영 기관],"서울병원"))</f>
        <v/>
      </c>
      <c r="O826">
        <f>IF($W826="","",SUMIFS(상세표[18~22시],상세표[사번키],INDEX(합계표[사번키],$W826),상세표[반영월],대상월키,상세표[반영 기관],"서울병원"))</f>
        <v/>
      </c>
      <c r="P826">
        <f>IF($W826="","",SUMIFS(상세표[22~06시],상세표[사번키],INDEX(합계표[사번키],$W826),상세표[반영월],대상월키,상세표[반영 기관],"서울병원"))</f>
        <v/>
      </c>
      <c r="Q826">
        <f>IF($W826="","",SUM($M826:$P826))</f>
        <v/>
      </c>
      <c r="R826">
        <f>IF($W826="","",COUNTIFS(상세표[사번키],INDEX(합계표[사번키],$W826),상세표[반영월],대상월키,상세표[야간당직],1,상세표[야간 구분],"평일"))</f>
        <v/>
      </c>
      <c r="S826" s="4">
        <f>IF($W826="","",COUNTIFS(상세표[사번키],INDEX(합계표[사번키],$W826),상세표[반영월],대상월키,상세표[야간당직],1,상세표[야간 구분],"휴일"))</f>
        <v/>
      </c>
      <c r="T826">
        <f>IF($W826="","",COUNTIFS(상세표[사번키],INDEX(합계표[사번키],$W826),상세표[반영월],대상월키,상세표[야간당직],1,상세표[야간 구분],"평일",상세표[반영 기관],"서울병원"))</f>
        <v/>
      </c>
      <c r="U826">
        <f>IF($W826="","",COUNTIFS(상세표[사번키],INDEX(합계표[사번키],$W826),상세표[반영월],대상월키,상세표[야간당직],1,상세표[야간 구분],"휴일",상세표[반영 기관],"서울병원"))</f>
        <v/>
      </c>
      <c r="V826">
        <f>IF($W826="","",IF(ISNUMBER(MATCH(INDEX(합계표[사번키],$W826)&amp;"|"&amp;대상월키,월별근무지표[키],0)),"직접 입력",IF($K826="—","—","기관명단")))</f>
        <v/>
      </c>
      <c r="W826">
        <f>IFERROR(MATCH(821,합계표[판정순번],0),"")</f>
        <v/>
      </c>
    </row>
    <row r="827">
      <c r="A827">
        <f>IF($W827="","",INDEX(합계표[사번],$W827)&amp;"")</f>
        <v/>
      </c>
      <c r="B827">
        <f>IF($W827="","",INDEX(합계표[성명],$W827)&amp;"")</f>
        <v/>
      </c>
      <c r="C827">
        <f>IF($W827="","",INDEX(합계표[부서],$W827)&amp;"")</f>
        <v/>
      </c>
      <c r="D827">
        <f>IF($W827="","",INDEX(합계표[직위(통합)],$W827)&amp;"")</f>
        <v/>
      </c>
      <c r="E827">
        <f>IF($W827="","",SUMIFS(합계표[시스템 합계],합계표[사번키],INDEX(합계표[사번키],$W827)))</f>
        <v/>
      </c>
      <c r="F827">
        <f>IF($W827="","",SUMIFS(상세표[기록 시간외],상세표[사번키],INDEX(합계표[사번키],$W827),상세표[기록월],대상월키))</f>
        <v/>
      </c>
      <c r="G827">
        <f>IF($W827="","",IF(ABS($E827-$F827)&lt;0.01,"일치","불일치(차이 "&amp;TEXT($F827-$E827,"0.00")&amp;")"))</f>
        <v/>
      </c>
      <c r="H827">
        <f>IF($W827="","",SUMIFS(상세표[기록 시간외],상세표[사번키],INDEX(합계표[사번키],$W827),상세표[기록월],대상월키,상세표[반영월],"&lt;&gt;"&amp;대상월키))</f>
        <v/>
      </c>
      <c r="I827">
        <f>IF($W827="","",SUMIFS(상세표[기록 시간외],상세표[사번키],INDEX(합계표[사번키],$W827),상세표[기록월],"&lt;&gt;"&amp;대상월키,상세표[반영월],대상월키))</f>
        <v/>
      </c>
      <c r="J827">
        <f>IF($W827="","",SUMIFS(상세표[기록 시간외],상세표[사번키],INDEX(합계표[사번키],$W827),상세표[반영월],대상월키))</f>
        <v/>
      </c>
      <c r="K827">
        <f>IF($W827="","",IFERROR(INDEX(월별근무지표[적용 급여병원],MATCH(INDEX(합계표[사번키],$W827)&amp;"|"&amp;대상월키,월별근무지표[키],0))&amp;"",IF(COUNTIF(기관표[사번키],INDEX(합계표[사번키],$W827))+COUNTIF(월별근무지표[사번키],INDEX(합계표[사번키],$W827))&gt;0,IFERROR(INDEX(기관표[급여지급병원(기준월)],MATCH(INDEX(합계표[사번키],$W827)&amp;"|"&amp;대상월키,기관표[키],0))&amp;"","—"),"—")))</f>
        <v/>
      </c>
      <c r="L827">
        <f>IF($W827="","",IF(NOT(COUNTIF(기관표[사번키],INDEX(합계표[사번키],$W827))+COUNTIF(월별근무지표[사번키],INDEX(합계표[사번키],$W827))&gt;0),"기관명단에 없음(다른 병원으로 발송)",IF($K827="—","대상월 기관명단 없음(추가 필요)",IF($K827="서울병원","해당","비해당"))))</f>
        <v/>
      </c>
      <c r="M827">
        <f>IF($W827="","",SUMIFS(상세표[06~07시],상세표[사번키],INDEX(합계표[사번키],$W827),상세표[반영월],대상월키,상세표[반영 기관],"서울병원"))</f>
        <v/>
      </c>
      <c r="N827">
        <f>IF($W827="","",SUMIFS(상세표[07~18시],상세표[사번키],INDEX(합계표[사번키],$W827),상세표[반영월],대상월키,상세표[반영 기관],"서울병원"))</f>
        <v/>
      </c>
      <c r="O827">
        <f>IF($W827="","",SUMIFS(상세표[18~22시],상세표[사번키],INDEX(합계표[사번키],$W827),상세표[반영월],대상월키,상세표[반영 기관],"서울병원"))</f>
        <v/>
      </c>
      <c r="P827">
        <f>IF($W827="","",SUMIFS(상세표[22~06시],상세표[사번키],INDEX(합계표[사번키],$W827),상세표[반영월],대상월키,상세표[반영 기관],"서울병원"))</f>
        <v/>
      </c>
      <c r="Q827">
        <f>IF($W827="","",SUM($M827:$P827))</f>
        <v/>
      </c>
      <c r="R827">
        <f>IF($W827="","",COUNTIFS(상세표[사번키],INDEX(합계표[사번키],$W827),상세표[반영월],대상월키,상세표[야간당직],1,상세표[야간 구분],"평일"))</f>
        <v/>
      </c>
      <c r="S827" s="4">
        <f>IF($W827="","",COUNTIFS(상세표[사번키],INDEX(합계표[사번키],$W827),상세표[반영월],대상월키,상세표[야간당직],1,상세표[야간 구분],"휴일"))</f>
        <v/>
      </c>
      <c r="T827">
        <f>IF($W827="","",COUNTIFS(상세표[사번키],INDEX(합계표[사번키],$W827),상세표[반영월],대상월키,상세표[야간당직],1,상세표[야간 구분],"평일",상세표[반영 기관],"서울병원"))</f>
        <v/>
      </c>
      <c r="U827">
        <f>IF($W827="","",COUNTIFS(상세표[사번키],INDEX(합계표[사번키],$W827),상세표[반영월],대상월키,상세표[야간당직],1,상세표[야간 구분],"휴일",상세표[반영 기관],"서울병원"))</f>
        <v/>
      </c>
      <c r="V827">
        <f>IF($W827="","",IF(ISNUMBER(MATCH(INDEX(합계표[사번키],$W827)&amp;"|"&amp;대상월키,월별근무지표[키],0)),"직접 입력",IF($K827="—","—","기관명단")))</f>
        <v/>
      </c>
      <c r="W827">
        <f>IFERROR(MATCH(822,합계표[판정순번],0),"")</f>
        <v/>
      </c>
    </row>
    <row r="828">
      <c r="A828">
        <f>IF($W828="","",INDEX(합계표[사번],$W828)&amp;"")</f>
        <v/>
      </c>
      <c r="B828">
        <f>IF($W828="","",INDEX(합계표[성명],$W828)&amp;"")</f>
        <v/>
      </c>
      <c r="C828">
        <f>IF($W828="","",INDEX(합계표[부서],$W828)&amp;"")</f>
        <v/>
      </c>
      <c r="D828">
        <f>IF($W828="","",INDEX(합계표[직위(통합)],$W828)&amp;"")</f>
        <v/>
      </c>
      <c r="E828">
        <f>IF($W828="","",SUMIFS(합계표[시스템 합계],합계표[사번키],INDEX(합계표[사번키],$W828)))</f>
        <v/>
      </c>
      <c r="F828">
        <f>IF($W828="","",SUMIFS(상세표[기록 시간외],상세표[사번키],INDEX(합계표[사번키],$W828),상세표[기록월],대상월키))</f>
        <v/>
      </c>
      <c r="G828">
        <f>IF($W828="","",IF(ABS($E828-$F828)&lt;0.01,"일치","불일치(차이 "&amp;TEXT($F828-$E828,"0.00")&amp;")"))</f>
        <v/>
      </c>
      <c r="H828">
        <f>IF($W828="","",SUMIFS(상세표[기록 시간외],상세표[사번키],INDEX(합계표[사번키],$W828),상세표[기록월],대상월키,상세표[반영월],"&lt;&gt;"&amp;대상월키))</f>
        <v/>
      </c>
      <c r="I828">
        <f>IF($W828="","",SUMIFS(상세표[기록 시간외],상세표[사번키],INDEX(합계표[사번키],$W828),상세표[기록월],"&lt;&gt;"&amp;대상월키,상세표[반영월],대상월키))</f>
        <v/>
      </c>
      <c r="J828">
        <f>IF($W828="","",SUMIFS(상세표[기록 시간외],상세표[사번키],INDEX(합계표[사번키],$W828),상세표[반영월],대상월키))</f>
        <v/>
      </c>
      <c r="K828">
        <f>IF($W828="","",IFERROR(INDEX(월별근무지표[적용 급여병원],MATCH(INDEX(합계표[사번키],$W828)&amp;"|"&amp;대상월키,월별근무지표[키],0))&amp;"",IF(COUNTIF(기관표[사번키],INDEX(합계표[사번키],$W828))+COUNTIF(월별근무지표[사번키],INDEX(합계표[사번키],$W828))&gt;0,IFERROR(INDEX(기관표[급여지급병원(기준월)],MATCH(INDEX(합계표[사번키],$W828)&amp;"|"&amp;대상월키,기관표[키],0))&amp;"","—"),"—")))</f>
        <v/>
      </c>
      <c r="L828">
        <f>IF($W828="","",IF(NOT(COUNTIF(기관표[사번키],INDEX(합계표[사번키],$W828))+COUNTIF(월별근무지표[사번키],INDEX(합계표[사번키],$W828))&gt;0),"기관명단에 없음(다른 병원으로 발송)",IF($K828="—","대상월 기관명단 없음(추가 필요)",IF($K828="서울병원","해당","비해당"))))</f>
        <v/>
      </c>
      <c r="M828">
        <f>IF($W828="","",SUMIFS(상세표[06~07시],상세표[사번키],INDEX(합계표[사번키],$W828),상세표[반영월],대상월키,상세표[반영 기관],"서울병원"))</f>
        <v/>
      </c>
      <c r="N828">
        <f>IF($W828="","",SUMIFS(상세표[07~18시],상세표[사번키],INDEX(합계표[사번키],$W828),상세표[반영월],대상월키,상세표[반영 기관],"서울병원"))</f>
        <v/>
      </c>
      <c r="O828">
        <f>IF($W828="","",SUMIFS(상세표[18~22시],상세표[사번키],INDEX(합계표[사번키],$W828),상세표[반영월],대상월키,상세표[반영 기관],"서울병원"))</f>
        <v/>
      </c>
      <c r="P828">
        <f>IF($W828="","",SUMIFS(상세표[22~06시],상세표[사번키],INDEX(합계표[사번키],$W828),상세표[반영월],대상월키,상세표[반영 기관],"서울병원"))</f>
        <v/>
      </c>
      <c r="Q828">
        <f>IF($W828="","",SUM($M828:$P828))</f>
        <v/>
      </c>
      <c r="R828">
        <f>IF($W828="","",COUNTIFS(상세표[사번키],INDEX(합계표[사번키],$W828),상세표[반영월],대상월키,상세표[야간당직],1,상세표[야간 구분],"평일"))</f>
        <v/>
      </c>
      <c r="S828" s="4">
        <f>IF($W828="","",COUNTIFS(상세표[사번키],INDEX(합계표[사번키],$W828),상세표[반영월],대상월키,상세표[야간당직],1,상세표[야간 구분],"휴일"))</f>
        <v/>
      </c>
      <c r="T828">
        <f>IF($W828="","",COUNTIFS(상세표[사번키],INDEX(합계표[사번키],$W828),상세표[반영월],대상월키,상세표[야간당직],1,상세표[야간 구분],"평일",상세표[반영 기관],"서울병원"))</f>
        <v/>
      </c>
      <c r="U828">
        <f>IF($W828="","",COUNTIFS(상세표[사번키],INDEX(합계표[사번키],$W828),상세표[반영월],대상월키,상세표[야간당직],1,상세표[야간 구분],"휴일",상세표[반영 기관],"서울병원"))</f>
        <v/>
      </c>
      <c r="V828">
        <f>IF($W828="","",IF(ISNUMBER(MATCH(INDEX(합계표[사번키],$W828)&amp;"|"&amp;대상월키,월별근무지표[키],0)),"직접 입력",IF($K828="—","—","기관명단")))</f>
        <v/>
      </c>
      <c r="W828">
        <f>IFERROR(MATCH(823,합계표[판정순번],0),"")</f>
        <v/>
      </c>
    </row>
    <row r="829">
      <c r="A829">
        <f>IF($W829="","",INDEX(합계표[사번],$W829)&amp;"")</f>
        <v/>
      </c>
      <c r="B829">
        <f>IF($W829="","",INDEX(합계표[성명],$W829)&amp;"")</f>
        <v/>
      </c>
      <c r="C829">
        <f>IF($W829="","",INDEX(합계표[부서],$W829)&amp;"")</f>
        <v/>
      </c>
      <c r="D829">
        <f>IF($W829="","",INDEX(합계표[직위(통합)],$W829)&amp;"")</f>
        <v/>
      </c>
      <c r="E829">
        <f>IF($W829="","",SUMIFS(합계표[시스템 합계],합계표[사번키],INDEX(합계표[사번키],$W829)))</f>
        <v/>
      </c>
      <c r="F829">
        <f>IF($W829="","",SUMIFS(상세표[기록 시간외],상세표[사번키],INDEX(합계표[사번키],$W829),상세표[기록월],대상월키))</f>
        <v/>
      </c>
      <c r="G829">
        <f>IF($W829="","",IF(ABS($E829-$F829)&lt;0.01,"일치","불일치(차이 "&amp;TEXT($F829-$E829,"0.00")&amp;")"))</f>
        <v/>
      </c>
      <c r="H829">
        <f>IF($W829="","",SUMIFS(상세표[기록 시간외],상세표[사번키],INDEX(합계표[사번키],$W829),상세표[기록월],대상월키,상세표[반영월],"&lt;&gt;"&amp;대상월키))</f>
        <v/>
      </c>
      <c r="I829">
        <f>IF($W829="","",SUMIFS(상세표[기록 시간외],상세표[사번키],INDEX(합계표[사번키],$W829),상세표[기록월],"&lt;&gt;"&amp;대상월키,상세표[반영월],대상월키))</f>
        <v/>
      </c>
      <c r="J829">
        <f>IF($W829="","",SUMIFS(상세표[기록 시간외],상세표[사번키],INDEX(합계표[사번키],$W829),상세표[반영월],대상월키))</f>
        <v/>
      </c>
      <c r="K829">
        <f>IF($W829="","",IFERROR(INDEX(월별근무지표[적용 급여병원],MATCH(INDEX(합계표[사번키],$W829)&amp;"|"&amp;대상월키,월별근무지표[키],0))&amp;"",IF(COUNTIF(기관표[사번키],INDEX(합계표[사번키],$W829))+COUNTIF(월별근무지표[사번키],INDEX(합계표[사번키],$W829))&gt;0,IFERROR(INDEX(기관표[급여지급병원(기준월)],MATCH(INDEX(합계표[사번키],$W829)&amp;"|"&amp;대상월키,기관표[키],0))&amp;"","—"),"—")))</f>
        <v/>
      </c>
      <c r="L829">
        <f>IF($W829="","",IF(NOT(COUNTIF(기관표[사번키],INDEX(합계표[사번키],$W829))+COUNTIF(월별근무지표[사번키],INDEX(합계표[사번키],$W829))&gt;0),"기관명단에 없음(다른 병원으로 발송)",IF($K829="—","대상월 기관명단 없음(추가 필요)",IF($K829="서울병원","해당","비해당"))))</f>
        <v/>
      </c>
      <c r="M829">
        <f>IF($W829="","",SUMIFS(상세표[06~07시],상세표[사번키],INDEX(합계표[사번키],$W829),상세표[반영월],대상월키,상세표[반영 기관],"서울병원"))</f>
        <v/>
      </c>
      <c r="N829">
        <f>IF($W829="","",SUMIFS(상세표[07~18시],상세표[사번키],INDEX(합계표[사번키],$W829),상세표[반영월],대상월키,상세표[반영 기관],"서울병원"))</f>
        <v/>
      </c>
      <c r="O829">
        <f>IF($W829="","",SUMIFS(상세표[18~22시],상세표[사번키],INDEX(합계표[사번키],$W829),상세표[반영월],대상월키,상세표[반영 기관],"서울병원"))</f>
        <v/>
      </c>
      <c r="P829">
        <f>IF($W829="","",SUMIFS(상세표[22~06시],상세표[사번키],INDEX(합계표[사번키],$W829),상세표[반영월],대상월키,상세표[반영 기관],"서울병원"))</f>
        <v/>
      </c>
      <c r="Q829">
        <f>IF($W829="","",SUM($M829:$P829))</f>
        <v/>
      </c>
      <c r="R829">
        <f>IF($W829="","",COUNTIFS(상세표[사번키],INDEX(합계표[사번키],$W829),상세표[반영월],대상월키,상세표[야간당직],1,상세표[야간 구분],"평일"))</f>
        <v/>
      </c>
      <c r="S829" s="4">
        <f>IF($W829="","",COUNTIFS(상세표[사번키],INDEX(합계표[사번키],$W829),상세표[반영월],대상월키,상세표[야간당직],1,상세표[야간 구분],"휴일"))</f>
        <v/>
      </c>
      <c r="T829">
        <f>IF($W829="","",COUNTIFS(상세표[사번키],INDEX(합계표[사번키],$W829),상세표[반영월],대상월키,상세표[야간당직],1,상세표[야간 구분],"평일",상세표[반영 기관],"서울병원"))</f>
        <v/>
      </c>
      <c r="U829">
        <f>IF($W829="","",COUNTIFS(상세표[사번키],INDEX(합계표[사번키],$W829),상세표[반영월],대상월키,상세표[야간당직],1,상세표[야간 구분],"휴일",상세표[반영 기관],"서울병원"))</f>
        <v/>
      </c>
      <c r="V829">
        <f>IF($W829="","",IF(ISNUMBER(MATCH(INDEX(합계표[사번키],$W829)&amp;"|"&amp;대상월키,월별근무지표[키],0)),"직접 입력",IF($K829="—","—","기관명단")))</f>
        <v/>
      </c>
      <c r="W829">
        <f>IFERROR(MATCH(824,합계표[판정순번],0),"")</f>
        <v/>
      </c>
    </row>
    <row r="830">
      <c r="A830">
        <f>IF($W830="","",INDEX(합계표[사번],$W830)&amp;"")</f>
        <v/>
      </c>
      <c r="B830">
        <f>IF($W830="","",INDEX(합계표[성명],$W830)&amp;"")</f>
        <v/>
      </c>
      <c r="C830">
        <f>IF($W830="","",INDEX(합계표[부서],$W830)&amp;"")</f>
        <v/>
      </c>
      <c r="D830">
        <f>IF($W830="","",INDEX(합계표[직위(통합)],$W830)&amp;"")</f>
        <v/>
      </c>
      <c r="E830">
        <f>IF($W830="","",SUMIFS(합계표[시스템 합계],합계표[사번키],INDEX(합계표[사번키],$W830)))</f>
        <v/>
      </c>
      <c r="F830">
        <f>IF($W830="","",SUMIFS(상세표[기록 시간외],상세표[사번키],INDEX(합계표[사번키],$W830),상세표[기록월],대상월키))</f>
        <v/>
      </c>
      <c r="G830">
        <f>IF($W830="","",IF(ABS($E830-$F830)&lt;0.01,"일치","불일치(차이 "&amp;TEXT($F830-$E830,"0.00")&amp;")"))</f>
        <v/>
      </c>
      <c r="H830">
        <f>IF($W830="","",SUMIFS(상세표[기록 시간외],상세표[사번키],INDEX(합계표[사번키],$W830),상세표[기록월],대상월키,상세표[반영월],"&lt;&gt;"&amp;대상월키))</f>
        <v/>
      </c>
      <c r="I830">
        <f>IF($W830="","",SUMIFS(상세표[기록 시간외],상세표[사번키],INDEX(합계표[사번키],$W830),상세표[기록월],"&lt;&gt;"&amp;대상월키,상세표[반영월],대상월키))</f>
        <v/>
      </c>
      <c r="J830">
        <f>IF($W830="","",SUMIFS(상세표[기록 시간외],상세표[사번키],INDEX(합계표[사번키],$W830),상세표[반영월],대상월키))</f>
        <v/>
      </c>
      <c r="K830">
        <f>IF($W830="","",IFERROR(INDEX(월별근무지표[적용 급여병원],MATCH(INDEX(합계표[사번키],$W830)&amp;"|"&amp;대상월키,월별근무지표[키],0))&amp;"",IF(COUNTIF(기관표[사번키],INDEX(합계표[사번키],$W830))+COUNTIF(월별근무지표[사번키],INDEX(합계표[사번키],$W830))&gt;0,IFERROR(INDEX(기관표[급여지급병원(기준월)],MATCH(INDEX(합계표[사번키],$W830)&amp;"|"&amp;대상월키,기관표[키],0))&amp;"","—"),"—")))</f>
        <v/>
      </c>
      <c r="L830">
        <f>IF($W830="","",IF(NOT(COUNTIF(기관표[사번키],INDEX(합계표[사번키],$W830))+COUNTIF(월별근무지표[사번키],INDEX(합계표[사번키],$W830))&gt;0),"기관명단에 없음(다른 병원으로 발송)",IF($K830="—","대상월 기관명단 없음(추가 필요)",IF($K830="서울병원","해당","비해당"))))</f>
        <v/>
      </c>
      <c r="M830">
        <f>IF($W830="","",SUMIFS(상세표[06~07시],상세표[사번키],INDEX(합계표[사번키],$W830),상세표[반영월],대상월키,상세표[반영 기관],"서울병원"))</f>
        <v/>
      </c>
      <c r="N830">
        <f>IF($W830="","",SUMIFS(상세표[07~18시],상세표[사번키],INDEX(합계표[사번키],$W830),상세표[반영월],대상월키,상세표[반영 기관],"서울병원"))</f>
        <v/>
      </c>
      <c r="O830">
        <f>IF($W830="","",SUMIFS(상세표[18~22시],상세표[사번키],INDEX(합계표[사번키],$W830),상세표[반영월],대상월키,상세표[반영 기관],"서울병원"))</f>
        <v/>
      </c>
      <c r="P830">
        <f>IF($W830="","",SUMIFS(상세표[22~06시],상세표[사번키],INDEX(합계표[사번키],$W830),상세표[반영월],대상월키,상세표[반영 기관],"서울병원"))</f>
        <v/>
      </c>
      <c r="Q830">
        <f>IF($W830="","",SUM($M830:$P830))</f>
        <v/>
      </c>
      <c r="R830">
        <f>IF($W830="","",COUNTIFS(상세표[사번키],INDEX(합계표[사번키],$W830),상세표[반영월],대상월키,상세표[야간당직],1,상세표[야간 구분],"평일"))</f>
        <v/>
      </c>
      <c r="S830" s="4">
        <f>IF($W830="","",COUNTIFS(상세표[사번키],INDEX(합계표[사번키],$W830),상세표[반영월],대상월키,상세표[야간당직],1,상세표[야간 구분],"휴일"))</f>
        <v/>
      </c>
      <c r="T830">
        <f>IF($W830="","",COUNTIFS(상세표[사번키],INDEX(합계표[사번키],$W830),상세표[반영월],대상월키,상세표[야간당직],1,상세표[야간 구분],"평일",상세표[반영 기관],"서울병원"))</f>
        <v/>
      </c>
      <c r="U830">
        <f>IF($W830="","",COUNTIFS(상세표[사번키],INDEX(합계표[사번키],$W830),상세표[반영월],대상월키,상세표[야간당직],1,상세표[야간 구분],"휴일",상세표[반영 기관],"서울병원"))</f>
        <v/>
      </c>
      <c r="V830">
        <f>IF($W830="","",IF(ISNUMBER(MATCH(INDEX(합계표[사번키],$W830)&amp;"|"&amp;대상월키,월별근무지표[키],0)),"직접 입력",IF($K830="—","—","기관명단")))</f>
        <v/>
      </c>
      <c r="W830">
        <f>IFERROR(MATCH(825,합계표[판정순번],0),"")</f>
        <v/>
      </c>
    </row>
    <row r="831">
      <c r="A831">
        <f>IF($W831="","",INDEX(합계표[사번],$W831)&amp;"")</f>
        <v/>
      </c>
      <c r="B831">
        <f>IF($W831="","",INDEX(합계표[성명],$W831)&amp;"")</f>
        <v/>
      </c>
      <c r="C831">
        <f>IF($W831="","",INDEX(합계표[부서],$W831)&amp;"")</f>
        <v/>
      </c>
      <c r="D831">
        <f>IF($W831="","",INDEX(합계표[직위(통합)],$W831)&amp;"")</f>
        <v/>
      </c>
      <c r="E831">
        <f>IF($W831="","",SUMIFS(합계표[시스템 합계],합계표[사번키],INDEX(합계표[사번키],$W831)))</f>
        <v/>
      </c>
      <c r="F831">
        <f>IF($W831="","",SUMIFS(상세표[기록 시간외],상세표[사번키],INDEX(합계표[사번키],$W831),상세표[기록월],대상월키))</f>
        <v/>
      </c>
      <c r="G831">
        <f>IF($W831="","",IF(ABS($E831-$F831)&lt;0.01,"일치","불일치(차이 "&amp;TEXT($F831-$E831,"0.00")&amp;")"))</f>
        <v/>
      </c>
      <c r="H831">
        <f>IF($W831="","",SUMIFS(상세표[기록 시간외],상세표[사번키],INDEX(합계표[사번키],$W831),상세표[기록월],대상월키,상세표[반영월],"&lt;&gt;"&amp;대상월키))</f>
        <v/>
      </c>
      <c r="I831">
        <f>IF($W831="","",SUMIFS(상세표[기록 시간외],상세표[사번키],INDEX(합계표[사번키],$W831),상세표[기록월],"&lt;&gt;"&amp;대상월키,상세표[반영월],대상월키))</f>
        <v/>
      </c>
      <c r="J831">
        <f>IF($W831="","",SUMIFS(상세표[기록 시간외],상세표[사번키],INDEX(합계표[사번키],$W831),상세표[반영월],대상월키))</f>
        <v/>
      </c>
      <c r="K831">
        <f>IF($W831="","",IFERROR(INDEX(월별근무지표[적용 급여병원],MATCH(INDEX(합계표[사번키],$W831)&amp;"|"&amp;대상월키,월별근무지표[키],0))&amp;"",IF(COUNTIF(기관표[사번키],INDEX(합계표[사번키],$W831))+COUNTIF(월별근무지표[사번키],INDEX(합계표[사번키],$W831))&gt;0,IFERROR(INDEX(기관표[급여지급병원(기준월)],MATCH(INDEX(합계표[사번키],$W831)&amp;"|"&amp;대상월키,기관표[키],0))&amp;"","—"),"—")))</f>
        <v/>
      </c>
      <c r="L831">
        <f>IF($W831="","",IF(NOT(COUNTIF(기관표[사번키],INDEX(합계표[사번키],$W831))+COUNTIF(월별근무지표[사번키],INDEX(합계표[사번키],$W831))&gt;0),"기관명단에 없음(다른 병원으로 발송)",IF($K831="—","대상월 기관명단 없음(추가 필요)",IF($K831="서울병원","해당","비해당"))))</f>
        <v/>
      </c>
      <c r="M831">
        <f>IF($W831="","",SUMIFS(상세표[06~07시],상세표[사번키],INDEX(합계표[사번키],$W831),상세표[반영월],대상월키,상세표[반영 기관],"서울병원"))</f>
        <v/>
      </c>
      <c r="N831">
        <f>IF($W831="","",SUMIFS(상세표[07~18시],상세표[사번키],INDEX(합계표[사번키],$W831),상세표[반영월],대상월키,상세표[반영 기관],"서울병원"))</f>
        <v/>
      </c>
      <c r="O831">
        <f>IF($W831="","",SUMIFS(상세표[18~22시],상세표[사번키],INDEX(합계표[사번키],$W831),상세표[반영월],대상월키,상세표[반영 기관],"서울병원"))</f>
        <v/>
      </c>
      <c r="P831">
        <f>IF($W831="","",SUMIFS(상세표[22~06시],상세표[사번키],INDEX(합계표[사번키],$W831),상세표[반영월],대상월키,상세표[반영 기관],"서울병원"))</f>
        <v/>
      </c>
      <c r="Q831">
        <f>IF($W831="","",SUM($M831:$P831))</f>
        <v/>
      </c>
      <c r="R831">
        <f>IF($W831="","",COUNTIFS(상세표[사번키],INDEX(합계표[사번키],$W831),상세표[반영월],대상월키,상세표[야간당직],1,상세표[야간 구분],"평일"))</f>
        <v/>
      </c>
      <c r="S831" s="4">
        <f>IF($W831="","",COUNTIFS(상세표[사번키],INDEX(합계표[사번키],$W831),상세표[반영월],대상월키,상세표[야간당직],1,상세표[야간 구분],"휴일"))</f>
        <v/>
      </c>
      <c r="T831">
        <f>IF($W831="","",COUNTIFS(상세표[사번키],INDEX(합계표[사번키],$W831),상세표[반영월],대상월키,상세표[야간당직],1,상세표[야간 구분],"평일",상세표[반영 기관],"서울병원"))</f>
        <v/>
      </c>
      <c r="U831">
        <f>IF($W831="","",COUNTIFS(상세표[사번키],INDEX(합계표[사번키],$W831),상세표[반영월],대상월키,상세표[야간당직],1,상세표[야간 구분],"휴일",상세표[반영 기관],"서울병원"))</f>
        <v/>
      </c>
      <c r="V831">
        <f>IF($W831="","",IF(ISNUMBER(MATCH(INDEX(합계표[사번키],$W831)&amp;"|"&amp;대상월키,월별근무지표[키],0)),"직접 입력",IF($K831="—","—","기관명단")))</f>
        <v/>
      </c>
      <c r="W831">
        <f>IFERROR(MATCH(826,합계표[판정순번],0),"")</f>
        <v/>
      </c>
    </row>
    <row r="832">
      <c r="A832">
        <f>IF($W832="","",INDEX(합계표[사번],$W832)&amp;"")</f>
        <v/>
      </c>
      <c r="B832">
        <f>IF($W832="","",INDEX(합계표[성명],$W832)&amp;"")</f>
        <v/>
      </c>
      <c r="C832">
        <f>IF($W832="","",INDEX(합계표[부서],$W832)&amp;"")</f>
        <v/>
      </c>
      <c r="D832">
        <f>IF($W832="","",INDEX(합계표[직위(통합)],$W832)&amp;"")</f>
        <v/>
      </c>
      <c r="E832">
        <f>IF($W832="","",SUMIFS(합계표[시스템 합계],합계표[사번키],INDEX(합계표[사번키],$W832)))</f>
        <v/>
      </c>
      <c r="F832">
        <f>IF($W832="","",SUMIFS(상세표[기록 시간외],상세표[사번키],INDEX(합계표[사번키],$W832),상세표[기록월],대상월키))</f>
        <v/>
      </c>
      <c r="G832">
        <f>IF($W832="","",IF(ABS($E832-$F832)&lt;0.01,"일치","불일치(차이 "&amp;TEXT($F832-$E832,"0.00")&amp;")"))</f>
        <v/>
      </c>
      <c r="H832">
        <f>IF($W832="","",SUMIFS(상세표[기록 시간외],상세표[사번키],INDEX(합계표[사번키],$W832),상세표[기록월],대상월키,상세표[반영월],"&lt;&gt;"&amp;대상월키))</f>
        <v/>
      </c>
      <c r="I832">
        <f>IF($W832="","",SUMIFS(상세표[기록 시간외],상세표[사번키],INDEX(합계표[사번키],$W832),상세표[기록월],"&lt;&gt;"&amp;대상월키,상세표[반영월],대상월키))</f>
        <v/>
      </c>
      <c r="J832">
        <f>IF($W832="","",SUMIFS(상세표[기록 시간외],상세표[사번키],INDEX(합계표[사번키],$W832),상세표[반영월],대상월키))</f>
        <v/>
      </c>
      <c r="K832">
        <f>IF($W832="","",IFERROR(INDEX(월별근무지표[적용 급여병원],MATCH(INDEX(합계표[사번키],$W832)&amp;"|"&amp;대상월키,월별근무지표[키],0))&amp;"",IF(COUNTIF(기관표[사번키],INDEX(합계표[사번키],$W832))+COUNTIF(월별근무지표[사번키],INDEX(합계표[사번키],$W832))&gt;0,IFERROR(INDEX(기관표[급여지급병원(기준월)],MATCH(INDEX(합계표[사번키],$W832)&amp;"|"&amp;대상월키,기관표[키],0))&amp;"","—"),"—")))</f>
        <v/>
      </c>
      <c r="L832">
        <f>IF($W832="","",IF(NOT(COUNTIF(기관표[사번키],INDEX(합계표[사번키],$W832))+COUNTIF(월별근무지표[사번키],INDEX(합계표[사번키],$W832))&gt;0),"기관명단에 없음(다른 병원으로 발송)",IF($K832="—","대상월 기관명단 없음(추가 필요)",IF($K832="서울병원","해당","비해당"))))</f>
        <v/>
      </c>
      <c r="M832">
        <f>IF($W832="","",SUMIFS(상세표[06~07시],상세표[사번키],INDEX(합계표[사번키],$W832),상세표[반영월],대상월키,상세표[반영 기관],"서울병원"))</f>
        <v/>
      </c>
      <c r="N832">
        <f>IF($W832="","",SUMIFS(상세표[07~18시],상세표[사번키],INDEX(합계표[사번키],$W832),상세표[반영월],대상월키,상세표[반영 기관],"서울병원"))</f>
        <v/>
      </c>
      <c r="O832">
        <f>IF($W832="","",SUMIFS(상세표[18~22시],상세표[사번키],INDEX(합계표[사번키],$W832),상세표[반영월],대상월키,상세표[반영 기관],"서울병원"))</f>
        <v/>
      </c>
      <c r="P832">
        <f>IF($W832="","",SUMIFS(상세표[22~06시],상세표[사번키],INDEX(합계표[사번키],$W832),상세표[반영월],대상월키,상세표[반영 기관],"서울병원"))</f>
        <v/>
      </c>
      <c r="Q832">
        <f>IF($W832="","",SUM($M832:$P832))</f>
        <v/>
      </c>
      <c r="R832">
        <f>IF($W832="","",COUNTIFS(상세표[사번키],INDEX(합계표[사번키],$W832),상세표[반영월],대상월키,상세표[야간당직],1,상세표[야간 구분],"평일"))</f>
        <v/>
      </c>
      <c r="S832" s="4">
        <f>IF($W832="","",COUNTIFS(상세표[사번키],INDEX(합계표[사번키],$W832),상세표[반영월],대상월키,상세표[야간당직],1,상세표[야간 구분],"휴일"))</f>
        <v/>
      </c>
      <c r="T832">
        <f>IF($W832="","",COUNTIFS(상세표[사번키],INDEX(합계표[사번키],$W832),상세표[반영월],대상월키,상세표[야간당직],1,상세표[야간 구분],"평일",상세표[반영 기관],"서울병원"))</f>
        <v/>
      </c>
      <c r="U832">
        <f>IF($W832="","",COUNTIFS(상세표[사번키],INDEX(합계표[사번키],$W832),상세표[반영월],대상월키,상세표[야간당직],1,상세표[야간 구분],"휴일",상세표[반영 기관],"서울병원"))</f>
        <v/>
      </c>
      <c r="V832">
        <f>IF($W832="","",IF(ISNUMBER(MATCH(INDEX(합계표[사번키],$W832)&amp;"|"&amp;대상월키,월별근무지표[키],0)),"직접 입력",IF($K832="—","—","기관명단")))</f>
        <v/>
      </c>
      <c r="W832">
        <f>IFERROR(MATCH(827,합계표[판정순번],0),"")</f>
        <v/>
      </c>
    </row>
    <row r="833">
      <c r="A833">
        <f>IF($W833="","",INDEX(합계표[사번],$W833)&amp;"")</f>
        <v/>
      </c>
      <c r="B833">
        <f>IF($W833="","",INDEX(합계표[성명],$W833)&amp;"")</f>
        <v/>
      </c>
      <c r="C833">
        <f>IF($W833="","",INDEX(합계표[부서],$W833)&amp;"")</f>
        <v/>
      </c>
      <c r="D833">
        <f>IF($W833="","",INDEX(합계표[직위(통합)],$W833)&amp;"")</f>
        <v/>
      </c>
      <c r="E833">
        <f>IF($W833="","",SUMIFS(합계표[시스템 합계],합계표[사번키],INDEX(합계표[사번키],$W833)))</f>
        <v/>
      </c>
      <c r="F833">
        <f>IF($W833="","",SUMIFS(상세표[기록 시간외],상세표[사번키],INDEX(합계표[사번키],$W833),상세표[기록월],대상월키))</f>
        <v/>
      </c>
      <c r="G833">
        <f>IF($W833="","",IF(ABS($E833-$F833)&lt;0.01,"일치","불일치(차이 "&amp;TEXT($F833-$E833,"0.00")&amp;")"))</f>
        <v/>
      </c>
      <c r="H833">
        <f>IF($W833="","",SUMIFS(상세표[기록 시간외],상세표[사번키],INDEX(합계표[사번키],$W833),상세표[기록월],대상월키,상세표[반영월],"&lt;&gt;"&amp;대상월키))</f>
        <v/>
      </c>
      <c r="I833">
        <f>IF($W833="","",SUMIFS(상세표[기록 시간외],상세표[사번키],INDEX(합계표[사번키],$W833),상세표[기록월],"&lt;&gt;"&amp;대상월키,상세표[반영월],대상월키))</f>
        <v/>
      </c>
      <c r="J833">
        <f>IF($W833="","",SUMIFS(상세표[기록 시간외],상세표[사번키],INDEX(합계표[사번키],$W833),상세표[반영월],대상월키))</f>
        <v/>
      </c>
      <c r="K833">
        <f>IF($W833="","",IFERROR(INDEX(월별근무지표[적용 급여병원],MATCH(INDEX(합계표[사번키],$W833)&amp;"|"&amp;대상월키,월별근무지표[키],0))&amp;"",IF(COUNTIF(기관표[사번키],INDEX(합계표[사번키],$W833))+COUNTIF(월별근무지표[사번키],INDEX(합계표[사번키],$W833))&gt;0,IFERROR(INDEX(기관표[급여지급병원(기준월)],MATCH(INDEX(합계표[사번키],$W833)&amp;"|"&amp;대상월키,기관표[키],0))&amp;"","—"),"—")))</f>
        <v/>
      </c>
      <c r="L833">
        <f>IF($W833="","",IF(NOT(COUNTIF(기관표[사번키],INDEX(합계표[사번키],$W833))+COUNTIF(월별근무지표[사번키],INDEX(합계표[사번키],$W833))&gt;0),"기관명단에 없음(다른 병원으로 발송)",IF($K833="—","대상월 기관명단 없음(추가 필요)",IF($K833="서울병원","해당","비해당"))))</f>
        <v/>
      </c>
      <c r="M833">
        <f>IF($W833="","",SUMIFS(상세표[06~07시],상세표[사번키],INDEX(합계표[사번키],$W833),상세표[반영월],대상월키,상세표[반영 기관],"서울병원"))</f>
        <v/>
      </c>
      <c r="N833">
        <f>IF($W833="","",SUMIFS(상세표[07~18시],상세표[사번키],INDEX(합계표[사번키],$W833),상세표[반영월],대상월키,상세표[반영 기관],"서울병원"))</f>
        <v/>
      </c>
      <c r="O833">
        <f>IF($W833="","",SUMIFS(상세표[18~22시],상세표[사번키],INDEX(합계표[사번키],$W833),상세표[반영월],대상월키,상세표[반영 기관],"서울병원"))</f>
        <v/>
      </c>
      <c r="P833">
        <f>IF($W833="","",SUMIFS(상세표[22~06시],상세표[사번키],INDEX(합계표[사번키],$W833),상세표[반영월],대상월키,상세표[반영 기관],"서울병원"))</f>
        <v/>
      </c>
      <c r="Q833">
        <f>IF($W833="","",SUM($M833:$P833))</f>
        <v/>
      </c>
      <c r="R833">
        <f>IF($W833="","",COUNTIFS(상세표[사번키],INDEX(합계표[사번키],$W833),상세표[반영월],대상월키,상세표[야간당직],1,상세표[야간 구분],"평일"))</f>
        <v/>
      </c>
      <c r="S833" s="4">
        <f>IF($W833="","",COUNTIFS(상세표[사번키],INDEX(합계표[사번키],$W833),상세표[반영월],대상월키,상세표[야간당직],1,상세표[야간 구분],"휴일"))</f>
        <v/>
      </c>
      <c r="T833">
        <f>IF($W833="","",COUNTIFS(상세표[사번키],INDEX(합계표[사번키],$W833),상세표[반영월],대상월키,상세표[야간당직],1,상세표[야간 구분],"평일",상세표[반영 기관],"서울병원"))</f>
        <v/>
      </c>
      <c r="U833">
        <f>IF($W833="","",COUNTIFS(상세표[사번키],INDEX(합계표[사번키],$W833),상세표[반영월],대상월키,상세표[야간당직],1,상세표[야간 구분],"휴일",상세표[반영 기관],"서울병원"))</f>
        <v/>
      </c>
      <c r="V833">
        <f>IF($W833="","",IF(ISNUMBER(MATCH(INDEX(합계표[사번키],$W833)&amp;"|"&amp;대상월키,월별근무지표[키],0)),"직접 입력",IF($K833="—","—","기관명단")))</f>
        <v/>
      </c>
      <c r="W833">
        <f>IFERROR(MATCH(828,합계표[판정순번],0),"")</f>
        <v/>
      </c>
    </row>
    <row r="834">
      <c r="A834">
        <f>IF($W834="","",INDEX(합계표[사번],$W834)&amp;"")</f>
        <v/>
      </c>
      <c r="B834">
        <f>IF($W834="","",INDEX(합계표[성명],$W834)&amp;"")</f>
        <v/>
      </c>
      <c r="C834">
        <f>IF($W834="","",INDEX(합계표[부서],$W834)&amp;"")</f>
        <v/>
      </c>
      <c r="D834">
        <f>IF($W834="","",INDEX(합계표[직위(통합)],$W834)&amp;"")</f>
        <v/>
      </c>
      <c r="E834">
        <f>IF($W834="","",SUMIFS(합계표[시스템 합계],합계표[사번키],INDEX(합계표[사번키],$W834)))</f>
        <v/>
      </c>
      <c r="F834">
        <f>IF($W834="","",SUMIFS(상세표[기록 시간외],상세표[사번키],INDEX(합계표[사번키],$W834),상세표[기록월],대상월키))</f>
        <v/>
      </c>
      <c r="G834">
        <f>IF($W834="","",IF(ABS($E834-$F834)&lt;0.01,"일치","불일치(차이 "&amp;TEXT($F834-$E834,"0.00")&amp;")"))</f>
        <v/>
      </c>
      <c r="H834">
        <f>IF($W834="","",SUMIFS(상세표[기록 시간외],상세표[사번키],INDEX(합계표[사번키],$W834),상세표[기록월],대상월키,상세표[반영월],"&lt;&gt;"&amp;대상월키))</f>
        <v/>
      </c>
      <c r="I834">
        <f>IF($W834="","",SUMIFS(상세표[기록 시간외],상세표[사번키],INDEX(합계표[사번키],$W834),상세표[기록월],"&lt;&gt;"&amp;대상월키,상세표[반영월],대상월키))</f>
        <v/>
      </c>
      <c r="J834">
        <f>IF($W834="","",SUMIFS(상세표[기록 시간외],상세표[사번키],INDEX(합계표[사번키],$W834),상세표[반영월],대상월키))</f>
        <v/>
      </c>
      <c r="K834">
        <f>IF($W834="","",IFERROR(INDEX(월별근무지표[적용 급여병원],MATCH(INDEX(합계표[사번키],$W834)&amp;"|"&amp;대상월키,월별근무지표[키],0))&amp;"",IF(COUNTIF(기관표[사번키],INDEX(합계표[사번키],$W834))+COUNTIF(월별근무지표[사번키],INDEX(합계표[사번키],$W834))&gt;0,IFERROR(INDEX(기관표[급여지급병원(기준월)],MATCH(INDEX(합계표[사번키],$W834)&amp;"|"&amp;대상월키,기관표[키],0))&amp;"","—"),"—")))</f>
        <v/>
      </c>
      <c r="L834">
        <f>IF($W834="","",IF(NOT(COUNTIF(기관표[사번키],INDEX(합계표[사번키],$W834))+COUNTIF(월별근무지표[사번키],INDEX(합계표[사번키],$W834))&gt;0),"기관명단에 없음(다른 병원으로 발송)",IF($K834="—","대상월 기관명단 없음(추가 필요)",IF($K834="서울병원","해당","비해당"))))</f>
        <v/>
      </c>
      <c r="M834">
        <f>IF($W834="","",SUMIFS(상세표[06~07시],상세표[사번키],INDEX(합계표[사번키],$W834),상세표[반영월],대상월키,상세표[반영 기관],"서울병원"))</f>
        <v/>
      </c>
      <c r="N834">
        <f>IF($W834="","",SUMIFS(상세표[07~18시],상세표[사번키],INDEX(합계표[사번키],$W834),상세표[반영월],대상월키,상세표[반영 기관],"서울병원"))</f>
        <v/>
      </c>
      <c r="O834">
        <f>IF($W834="","",SUMIFS(상세표[18~22시],상세표[사번키],INDEX(합계표[사번키],$W834),상세표[반영월],대상월키,상세표[반영 기관],"서울병원"))</f>
        <v/>
      </c>
      <c r="P834">
        <f>IF($W834="","",SUMIFS(상세표[22~06시],상세표[사번키],INDEX(합계표[사번키],$W834),상세표[반영월],대상월키,상세표[반영 기관],"서울병원"))</f>
        <v/>
      </c>
      <c r="Q834">
        <f>IF($W834="","",SUM($M834:$P834))</f>
        <v/>
      </c>
      <c r="R834">
        <f>IF($W834="","",COUNTIFS(상세표[사번키],INDEX(합계표[사번키],$W834),상세표[반영월],대상월키,상세표[야간당직],1,상세표[야간 구분],"평일"))</f>
        <v/>
      </c>
      <c r="S834" s="4">
        <f>IF($W834="","",COUNTIFS(상세표[사번키],INDEX(합계표[사번키],$W834),상세표[반영월],대상월키,상세표[야간당직],1,상세표[야간 구분],"휴일"))</f>
        <v/>
      </c>
      <c r="T834">
        <f>IF($W834="","",COUNTIFS(상세표[사번키],INDEX(합계표[사번키],$W834),상세표[반영월],대상월키,상세표[야간당직],1,상세표[야간 구분],"평일",상세표[반영 기관],"서울병원"))</f>
        <v/>
      </c>
      <c r="U834">
        <f>IF($W834="","",COUNTIFS(상세표[사번키],INDEX(합계표[사번키],$W834),상세표[반영월],대상월키,상세표[야간당직],1,상세표[야간 구분],"휴일",상세표[반영 기관],"서울병원"))</f>
        <v/>
      </c>
      <c r="V834">
        <f>IF($W834="","",IF(ISNUMBER(MATCH(INDEX(합계표[사번키],$W834)&amp;"|"&amp;대상월키,월별근무지표[키],0)),"직접 입력",IF($K834="—","—","기관명단")))</f>
        <v/>
      </c>
      <c r="W834">
        <f>IFERROR(MATCH(829,합계표[판정순번],0),"")</f>
        <v/>
      </c>
    </row>
    <row r="835">
      <c r="A835">
        <f>IF($W835="","",INDEX(합계표[사번],$W835)&amp;"")</f>
        <v/>
      </c>
      <c r="B835">
        <f>IF($W835="","",INDEX(합계표[성명],$W835)&amp;"")</f>
        <v/>
      </c>
      <c r="C835">
        <f>IF($W835="","",INDEX(합계표[부서],$W835)&amp;"")</f>
        <v/>
      </c>
      <c r="D835">
        <f>IF($W835="","",INDEX(합계표[직위(통합)],$W835)&amp;"")</f>
        <v/>
      </c>
      <c r="E835">
        <f>IF($W835="","",SUMIFS(합계표[시스템 합계],합계표[사번키],INDEX(합계표[사번키],$W835)))</f>
        <v/>
      </c>
      <c r="F835">
        <f>IF($W835="","",SUMIFS(상세표[기록 시간외],상세표[사번키],INDEX(합계표[사번키],$W835),상세표[기록월],대상월키))</f>
        <v/>
      </c>
      <c r="G835">
        <f>IF($W835="","",IF(ABS($E835-$F835)&lt;0.01,"일치","불일치(차이 "&amp;TEXT($F835-$E835,"0.00")&amp;")"))</f>
        <v/>
      </c>
      <c r="H835">
        <f>IF($W835="","",SUMIFS(상세표[기록 시간외],상세표[사번키],INDEX(합계표[사번키],$W835),상세표[기록월],대상월키,상세표[반영월],"&lt;&gt;"&amp;대상월키))</f>
        <v/>
      </c>
      <c r="I835">
        <f>IF($W835="","",SUMIFS(상세표[기록 시간외],상세표[사번키],INDEX(합계표[사번키],$W835),상세표[기록월],"&lt;&gt;"&amp;대상월키,상세표[반영월],대상월키))</f>
        <v/>
      </c>
      <c r="J835">
        <f>IF($W835="","",SUMIFS(상세표[기록 시간외],상세표[사번키],INDEX(합계표[사번키],$W835),상세표[반영월],대상월키))</f>
        <v/>
      </c>
      <c r="K835">
        <f>IF($W835="","",IFERROR(INDEX(월별근무지표[적용 급여병원],MATCH(INDEX(합계표[사번키],$W835)&amp;"|"&amp;대상월키,월별근무지표[키],0))&amp;"",IF(COUNTIF(기관표[사번키],INDEX(합계표[사번키],$W835))+COUNTIF(월별근무지표[사번키],INDEX(합계표[사번키],$W835))&gt;0,IFERROR(INDEX(기관표[급여지급병원(기준월)],MATCH(INDEX(합계표[사번키],$W835)&amp;"|"&amp;대상월키,기관표[키],0))&amp;"","—"),"—")))</f>
        <v/>
      </c>
      <c r="L835">
        <f>IF($W835="","",IF(NOT(COUNTIF(기관표[사번키],INDEX(합계표[사번키],$W835))+COUNTIF(월별근무지표[사번키],INDEX(합계표[사번키],$W835))&gt;0),"기관명단에 없음(다른 병원으로 발송)",IF($K835="—","대상월 기관명단 없음(추가 필요)",IF($K835="서울병원","해당","비해당"))))</f>
        <v/>
      </c>
      <c r="M835">
        <f>IF($W835="","",SUMIFS(상세표[06~07시],상세표[사번키],INDEX(합계표[사번키],$W835),상세표[반영월],대상월키,상세표[반영 기관],"서울병원"))</f>
        <v/>
      </c>
      <c r="N835">
        <f>IF($W835="","",SUMIFS(상세표[07~18시],상세표[사번키],INDEX(합계표[사번키],$W835),상세표[반영월],대상월키,상세표[반영 기관],"서울병원"))</f>
        <v/>
      </c>
      <c r="O835">
        <f>IF($W835="","",SUMIFS(상세표[18~22시],상세표[사번키],INDEX(합계표[사번키],$W835),상세표[반영월],대상월키,상세표[반영 기관],"서울병원"))</f>
        <v/>
      </c>
      <c r="P835">
        <f>IF($W835="","",SUMIFS(상세표[22~06시],상세표[사번키],INDEX(합계표[사번키],$W835),상세표[반영월],대상월키,상세표[반영 기관],"서울병원"))</f>
        <v/>
      </c>
      <c r="Q835">
        <f>IF($W835="","",SUM($M835:$P835))</f>
        <v/>
      </c>
      <c r="R835">
        <f>IF($W835="","",COUNTIFS(상세표[사번키],INDEX(합계표[사번키],$W835),상세표[반영월],대상월키,상세표[야간당직],1,상세표[야간 구분],"평일"))</f>
        <v/>
      </c>
      <c r="S835" s="4">
        <f>IF($W835="","",COUNTIFS(상세표[사번키],INDEX(합계표[사번키],$W835),상세표[반영월],대상월키,상세표[야간당직],1,상세표[야간 구분],"휴일"))</f>
        <v/>
      </c>
      <c r="T835">
        <f>IF($W835="","",COUNTIFS(상세표[사번키],INDEX(합계표[사번키],$W835),상세표[반영월],대상월키,상세표[야간당직],1,상세표[야간 구분],"평일",상세표[반영 기관],"서울병원"))</f>
        <v/>
      </c>
      <c r="U835">
        <f>IF($W835="","",COUNTIFS(상세표[사번키],INDEX(합계표[사번키],$W835),상세표[반영월],대상월키,상세표[야간당직],1,상세표[야간 구분],"휴일",상세표[반영 기관],"서울병원"))</f>
        <v/>
      </c>
      <c r="V835">
        <f>IF($W835="","",IF(ISNUMBER(MATCH(INDEX(합계표[사번키],$W835)&amp;"|"&amp;대상월키,월별근무지표[키],0)),"직접 입력",IF($K835="—","—","기관명단")))</f>
        <v/>
      </c>
      <c r="W835">
        <f>IFERROR(MATCH(830,합계표[판정순번],0),"")</f>
        <v/>
      </c>
    </row>
    <row r="836">
      <c r="A836">
        <f>IF($W836="","",INDEX(합계표[사번],$W836)&amp;"")</f>
        <v/>
      </c>
      <c r="B836">
        <f>IF($W836="","",INDEX(합계표[성명],$W836)&amp;"")</f>
        <v/>
      </c>
      <c r="C836">
        <f>IF($W836="","",INDEX(합계표[부서],$W836)&amp;"")</f>
        <v/>
      </c>
      <c r="D836">
        <f>IF($W836="","",INDEX(합계표[직위(통합)],$W836)&amp;"")</f>
        <v/>
      </c>
      <c r="E836">
        <f>IF($W836="","",SUMIFS(합계표[시스템 합계],합계표[사번키],INDEX(합계표[사번키],$W836)))</f>
        <v/>
      </c>
      <c r="F836">
        <f>IF($W836="","",SUMIFS(상세표[기록 시간외],상세표[사번키],INDEX(합계표[사번키],$W836),상세표[기록월],대상월키))</f>
        <v/>
      </c>
      <c r="G836">
        <f>IF($W836="","",IF(ABS($E836-$F836)&lt;0.01,"일치","불일치(차이 "&amp;TEXT($F836-$E836,"0.00")&amp;")"))</f>
        <v/>
      </c>
      <c r="H836">
        <f>IF($W836="","",SUMIFS(상세표[기록 시간외],상세표[사번키],INDEX(합계표[사번키],$W836),상세표[기록월],대상월키,상세표[반영월],"&lt;&gt;"&amp;대상월키))</f>
        <v/>
      </c>
      <c r="I836">
        <f>IF($W836="","",SUMIFS(상세표[기록 시간외],상세표[사번키],INDEX(합계표[사번키],$W836),상세표[기록월],"&lt;&gt;"&amp;대상월키,상세표[반영월],대상월키))</f>
        <v/>
      </c>
      <c r="J836">
        <f>IF($W836="","",SUMIFS(상세표[기록 시간외],상세표[사번키],INDEX(합계표[사번키],$W836),상세표[반영월],대상월키))</f>
        <v/>
      </c>
      <c r="K836">
        <f>IF($W836="","",IFERROR(INDEX(월별근무지표[적용 급여병원],MATCH(INDEX(합계표[사번키],$W836)&amp;"|"&amp;대상월키,월별근무지표[키],0))&amp;"",IF(COUNTIF(기관표[사번키],INDEX(합계표[사번키],$W836))+COUNTIF(월별근무지표[사번키],INDEX(합계표[사번키],$W836))&gt;0,IFERROR(INDEX(기관표[급여지급병원(기준월)],MATCH(INDEX(합계표[사번키],$W836)&amp;"|"&amp;대상월키,기관표[키],0))&amp;"","—"),"—")))</f>
        <v/>
      </c>
      <c r="L836">
        <f>IF($W836="","",IF(NOT(COUNTIF(기관표[사번키],INDEX(합계표[사번키],$W836))+COUNTIF(월별근무지표[사번키],INDEX(합계표[사번키],$W836))&gt;0),"기관명단에 없음(다른 병원으로 발송)",IF($K836="—","대상월 기관명단 없음(추가 필요)",IF($K836="서울병원","해당","비해당"))))</f>
        <v/>
      </c>
      <c r="M836">
        <f>IF($W836="","",SUMIFS(상세표[06~07시],상세표[사번키],INDEX(합계표[사번키],$W836),상세표[반영월],대상월키,상세표[반영 기관],"서울병원"))</f>
        <v/>
      </c>
      <c r="N836">
        <f>IF($W836="","",SUMIFS(상세표[07~18시],상세표[사번키],INDEX(합계표[사번키],$W836),상세표[반영월],대상월키,상세표[반영 기관],"서울병원"))</f>
        <v/>
      </c>
      <c r="O836">
        <f>IF($W836="","",SUMIFS(상세표[18~22시],상세표[사번키],INDEX(합계표[사번키],$W836),상세표[반영월],대상월키,상세표[반영 기관],"서울병원"))</f>
        <v/>
      </c>
      <c r="P836">
        <f>IF($W836="","",SUMIFS(상세표[22~06시],상세표[사번키],INDEX(합계표[사번키],$W836),상세표[반영월],대상월키,상세표[반영 기관],"서울병원"))</f>
        <v/>
      </c>
      <c r="Q836">
        <f>IF($W836="","",SUM($M836:$P836))</f>
        <v/>
      </c>
      <c r="R836">
        <f>IF($W836="","",COUNTIFS(상세표[사번키],INDEX(합계표[사번키],$W836),상세표[반영월],대상월키,상세표[야간당직],1,상세표[야간 구분],"평일"))</f>
        <v/>
      </c>
      <c r="S836" s="4">
        <f>IF($W836="","",COUNTIFS(상세표[사번키],INDEX(합계표[사번키],$W836),상세표[반영월],대상월키,상세표[야간당직],1,상세표[야간 구분],"휴일"))</f>
        <v/>
      </c>
      <c r="T836">
        <f>IF($W836="","",COUNTIFS(상세표[사번키],INDEX(합계표[사번키],$W836),상세표[반영월],대상월키,상세표[야간당직],1,상세표[야간 구분],"평일",상세표[반영 기관],"서울병원"))</f>
        <v/>
      </c>
      <c r="U836">
        <f>IF($W836="","",COUNTIFS(상세표[사번키],INDEX(합계표[사번키],$W836),상세표[반영월],대상월키,상세표[야간당직],1,상세표[야간 구분],"휴일",상세표[반영 기관],"서울병원"))</f>
        <v/>
      </c>
      <c r="V836">
        <f>IF($W836="","",IF(ISNUMBER(MATCH(INDEX(합계표[사번키],$W836)&amp;"|"&amp;대상월키,월별근무지표[키],0)),"직접 입력",IF($K836="—","—","기관명단")))</f>
        <v/>
      </c>
      <c r="W836">
        <f>IFERROR(MATCH(831,합계표[판정순번],0),"")</f>
        <v/>
      </c>
    </row>
    <row r="837">
      <c r="A837">
        <f>IF($W837="","",INDEX(합계표[사번],$W837)&amp;"")</f>
        <v/>
      </c>
      <c r="B837">
        <f>IF($W837="","",INDEX(합계표[성명],$W837)&amp;"")</f>
        <v/>
      </c>
      <c r="C837">
        <f>IF($W837="","",INDEX(합계표[부서],$W837)&amp;"")</f>
        <v/>
      </c>
      <c r="D837">
        <f>IF($W837="","",INDEX(합계표[직위(통합)],$W837)&amp;"")</f>
        <v/>
      </c>
      <c r="E837">
        <f>IF($W837="","",SUMIFS(합계표[시스템 합계],합계표[사번키],INDEX(합계표[사번키],$W837)))</f>
        <v/>
      </c>
      <c r="F837">
        <f>IF($W837="","",SUMIFS(상세표[기록 시간외],상세표[사번키],INDEX(합계표[사번키],$W837),상세표[기록월],대상월키))</f>
        <v/>
      </c>
      <c r="G837">
        <f>IF($W837="","",IF(ABS($E837-$F837)&lt;0.01,"일치","불일치(차이 "&amp;TEXT($F837-$E837,"0.00")&amp;")"))</f>
        <v/>
      </c>
      <c r="H837">
        <f>IF($W837="","",SUMIFS(상세표[기록 시간외],상세표[사번키],INDEX(합계표[사번키],$W837),상세표[기록월],대상월키,상세표[반영월],"&lt;&gt;"&amp;대상월키))</f>
        <v/>
      </c>
      <c r="I837">
        <f>IF($W837="","",SUMIFS(상세표[기록 시간외],상세표[사번키],INDEX(합계표[사번키],$W837),상세표[기록월],"&lt;&gt;"&amp;대상월키,상세표[반영월],대상월키))</f>
        <v/>
      </c>
      <c r="J837">
        <f>IF($W837="","",SUMIFS(상세표[기록 시간외],상세표[사번키],INDEX(합계표[사번키],$W837),상세표[반영월],대상월키))</f>
        <v/>
      </c>
      <c r="K837">
        <f>IF($W837="","",IFERROR(INDEX(월별근무지표[적용 급여병원],MATCH(INDEX(합계표[사번키],$W837)&amp;"|"&amp;대상월키,월별근무지표[키],0))&amp;"",IF(COUNTIF(기관표[사번키],INDEX(합계표[사번키],$W837))+COUNTIF(월별근무지표[사번키],INDEX(합계표[사번키],$W837))&gt;0,IFERROR(INDEX(기관표[급여지급병원(기준월)],MATCH(INDEX(합계표[사번키],$W837)&amp;"|"&amp;대상월키,기관표[키],0))&amp;"","—"),"—")))</f>
        <v/>
      </c>
      <c r="L837">
        <f>IF($W837="","",IF(NOT(COUNTIF(기관표[사번키],INDEX(합계표[사번키],$W837))+COUNTIF(월별근무지표[사번키],INDEX(합계표[사번키],$W837))&gt;0),"기관명단에 없음(다른 병원으로 발송)",IF($K837="—","대상월 기관명단 없음(추가 필요)",IF($K837="서울병원","해당","비해당"))))</f>
        <v/>
      </c>
      <c r="M837">
        <f>IF($W837="","",SUMIFS(상세표[06~07시],상세표[사번키],INDEX(합계표[사번키],$W837),상세표[반영월],대상월키,상세표[반영 기관],"서울병원"))</f>
        <v/>
      </c>
      <c r="N837">
        <f>IF($W837="","",SUMIFS(상세표[07~18시],상세표[사번키],INDEX(합계표[사번키],$W837),상세표[반영월],대상월키,상세표[반영 기관],"서울병원"))</f>
        <v/>
      </c>
      <c r="O837">
        <f>IF($W837="","",SUMIFS(상세표[18~22시],상세표[사번키],INDEX(합계표[사번키],$W837),상세표[반영월],대상월키,상세표[반영 기관],"서울병원"))</f>
        <v/>
      </c>
      <c r="P837">
        <f>IF($W837="","",SUMIFS(상세표[22~06시],상세표[사번키],INDEX(합계표[사번키],$W837),상세표[반영월],대상월키,상세표[반영 기관],"서울병원"))</f>
        <v/>
      </c>
      <c r="Q837">
        <f>IF($W837="","",SUM($M837:$P837))</f>
        <v/>
      </c>
      <c r="R837">
        <f>IF($W837="","",COUNTIFS(상세표[사번키],INDEX(합계표[사번키],$W837),상세표[반영월],대상월키,상세표[야간당직],1,상세표[야간 구분],"평일"))</f>
        <v/>
      </c>
      <c r="S837" s="4">
        <f>IF($W837="","",COUNTIFS(상세표[사번키],INDEX(합계표[사번키],$W837),상세표[반영월],대상월키,상세표[야간당직],1,상세표[야간 구분],"휴일"))</f>
        <v/>
      </c>
      <c r="T837">
        <f>IF($W837="","",COUNTIFS(상세표[사번키],INDEX(합계표[사번키],$W837),상세표[반영월],대상월키,상세표[야간당직],1,상세표[야간 구분],"평일",상세표[반영 기관],"서울병원"))</f>
        <v/>
      </c>
      <c r="U837">
        <f>IF($W837="","",COUNTIFS(상세표[사번키],INDEX(합계표[사번키],$W837),상세표[반영월],대상월키,상세표[야간당직],1,상세표[야간 구분],"휴일",상세표[반영 기관],"서울병원"))</f>
        <v/>
      </c>
      <c r="V837">
        <f>IF($W837="","",IF(ISNUMBER(MATCH(INDEX(합계표[사번키],$W837)&amp;"|"&amp;대상월키,월별근무지표[키],0)),"직접 입력",IF($K837="—","—","기관명단")))</f>
        <v/>
      </c>
      <c r="W837">
        <f>IFERROR(MATCH(832,합계표[판정순번],0),"")</f>
        <v/>
      </c>
    </row>
    <row r="838">
      <c r="A838">
        <f>IF($W838="","",INDEX(합계표[사번],$W838)&amp;"")</f>
        <v/>
      </c>
      <c r="B838">
        <f>IF($W838="","",INDEX(합계표[성명],$W838)&amp;"")</f>
        <v/>
      </c>
      <c r="C838">
        <f>IF($W838="","",INDEX(합계표[부서],$W838)&amp;"")</f>
        <v/>
      </c>
      <c r="D838">
        <f>IF($W838="","",INDEX(합계표[직위(통합)],$W838)&amp;"")</f>
        <v/>
      </c>
      <c r="E838">
        <f>IF($W838="","",SUMIFS(합계표[시스템 합계],합계표[사번키],INDEX(합계표[사번키],$W838)))</f>
        <v/>
      </c>
      <c r="F838">
        <f>IF($W838="","",SUMIFS(상세표[기록 시간외],상세표[사번키],INDEX(합계표[사번키],$W838),상세표[기록월],대상월키))</f>
        <v/>
      </c>
      <c r="G838">
        <f>IF($W838="","",IF(ABS($E838-$F838)&lt;0.01,"일치","불일치(차이 "&amp;TEXT($F838-$E838,"0.00")&amp;")"))</f>
        <v/>
      </c>
      <c r="H838">
        <f>IF($W838="","",SUMIFS(상세표[기록 시간외],상세표[사번키],INDEX(합계표[사번키],$W838),상세표[기록월],대상월키,상세표[반영월],"&lt;&gt;"&amp;대상월키))</f>
        <v/>
      </c>
      <c r="I838">
        <f>IF($W838="","",SUMIFS(상세표[기록 시간외],상세표[사번키],INDEX(합계표[사번키],$W838),상세표[기록월],"&lt;&gt;"&amp;대상월키,상세표[반영월],대상월키))</f>
        <v/>
      </c>
      <c r="J838">
        <f>IF($W838="","",SUMIFS(상세표[기록 시간외],상세표[사번키],INDEX(합계표[사번키],$W838),상세표[반영월],대상월키))</f>
        <v/>
      </c>
      <c r="K838">
        <f>IF($W838="","",IFERROR(INDEX(월별근무지표[적용 급여병원],MATCH(INDEX(합계표[사번키],$W838)&amp;"|"&amp;대상월키,월별근무지표[키],0))&amp;"",IF(COUNTIF(기관표[사번키],INDEX(합계표[사번키],$W838))+COUNTIF(월별근무지표[사번키],INDEX(합계표[사번키],$W838))&gt;0,IFERROR(INDEX(기관표[급여지급병원(기준월)],MATCH(INDEX(합계표[사번키],$W838)&amp;"|"&amp;대상월키,기관표[키],0))&amp;"","—"),"—")))</f>
        <v/>
      </c>
      <c r="L838">
        <f>IF($W838="","",IF(NOT(COUNTIF(기관표[사번키],INDEX(합계표[사번키],$W838))+COUNTIF(월별근무지표[사번키],INDEX(합계표[사번키],$W838))&gt;0),"기관명단에 없음(다른 병원으로 발송)",IF($K838="—","대상월 기관명단 없음(추가 필요)",IF($K838="서울병원","해당","비해당"))))</f>
        <v/>
      </c>
      <c r="M838">
        <f>IF($W838="","",SUMIFS(상세표[06~07시],상세표[사번키],INDEX(합계표[사번키],$W838),상세표[반영월],대상월키,상세표[반영 기관],"서울병원"))</f>
        <v/>
      </c>
      <c r="N838">
        <f>IF($W838="","",SUMIFS(상세표[07~18시],상세표[사번키],INDEX(합계표[사번키],$W838),상세표[반영월],대상월키,상세표[반영 기관],"서울병원"))</f>
        <v/>
      </c>
      <c r="O838">
        <f>IF($W838="","",SUMIFS(상세표[18~22시],상세표[사번키],INDEX(합계표[사번키],$W838),상세표[반영월],대상월키,상세표[반영 기관],"서울병원"))</f>
        <v/>
      </c>
      <c r="P838">
        <f>IF($W838="","",SUMIFS(상세표[22~06시],상세표[사번키],INDEX(합계표[사번키],$W838),상세표[반영월],대상월키,상세표[반영 기관],"서울병원"))</f>
        <v/>
      </c>
      <c r="Q838">
        <f>IF($W838="","",SUM($M838:$P838))</f>
        <v/>
      </c>
      <c r="R838">
        <f>IF($W838="","",COUNTIFS(상세표[사번키],INDEX(합계표[사번키],$W838),상세표[반영월],대상월키,상세표[야간당직],1,상세표[야간 구분],"평일"))</f>
        <v/>
      </c>
      <c r="S838" s="4">
        <f>IF($W838="","",COUNTIFS(상세표[사번키],INDEX(합계표[사번키],$W838),상세표[반영월],대상월키,상세표[야간당직],1,상세표[야간 구분],"휴일"))</f>
        <v/>
      </c>
      <c r="T838">
        <f>IF($W838="","",COUNTIFS(상세표[사번키],INDEX(합계표[사번키],$W838),상세표[반영월],대상월키,상세표[야간당직],1,상세표[야간 구분],"평일",상세표[반영 기관],"서울병원"))</f>
        <v/>
      </c>
      <c r="U838">
        <f>IF($W838="","",COUNTIFS(상세표[사번키],INDEX(합계표[사번키],$W838),상세표[반영월],대상월키,상세표[야간당직],1,상세표[야간 구분],"휴일",상세표[반영 기관],"서울병원"))</f>
        <v/>
      </c>
      <c r="V838">
        <f>IF($W838="","",IF(ISNUMBER(MATCH(INDEX(합계표[사번키],$W838)&amp;"|"&amp;대상월키,월별근무지표[키],0)),"직접 입력",IF($K838="—","—","기관명단")))</f>
        <v/>
      </c>
      <c r="W838">
        <f>IFERROR(MATCH(833,합계표[판정순번],0),"")</f>
        <v/>
      </c>
    </row>
    <row r="839">
      <c r="A839">
        <f>IF($W839="","",INDEX(합계표[사번],$W839)&amp;"")</f>
        <v/>
      </c>
      <c r="B839">
        <f>IF($W839="","",INDEX(합계표[성명],$W839)&amp;"")</f>
        <v/>
      </c>
      <c r="C839">
        <f>IF($W839="","",INDEX(합계표[부서],$W839)&amp;"")</f>
        <v/>
      </c>
      <c r="D839">
        <f>IF($W839="","",INDEX(합계표[직위(통합)],$W839)&amp;"")</f>
        <v/>
      </c>
      <c r="E839">
        <f>IF($W839="","",SUMIFS(합계표[시스템 합계],합계표[사번키],INDEX(합계표[사번키],$W839)))</f>
        <v/>
      </c>
      <c r="F839">
        <f>IF($W839="","",SUMIFS(상세표[기록 시간외],상세표[사번키],INDEX(합계표[사번키],$W839),상세표[기록월],대상월키))</f>
        <v/>
      </c>
      <c r="G839">
        <f>IF($W839="","",IF(ABS($E839-$F839)&lt;0.01,"일치","불일치(차이 "&amp;TEXT($F839-$E839,"0.00")&amp;")"))</f>
        <v/>
      </c>
      <c r="H839">
        <f>IF($W839="","",SUMIFS(상세표[기록 시간외],상세표[사번키],INDEX(합계표[사번키],$W839),상세표[기록월],대상월키,상세표[반영월],"&lt;&gt;"&amp;대상월키))</f>
        <v/>
      </c>
      <c r="I839">
        <f>IF($W839="","",SUMIFS(상세표[기록 시간외],상세표[사번키],INDEX(합계표[사번키],$W839),상세표[기록월],"&lt;&gt;"&amp;대상월키,상세표[반영월],대상월키))</f>
        <v/>
      </c>
      <c r="J839">
        <f>IF($W839="","",SUMIFS(상세표[기록 시간외],상세표[사번키],INDEX(합계표[사번키],$W839),상세표[반영월],대상월키))</f>
        <v/>
      </c>
      <c r="K839">
        <f>IF($W839="","",IFERROR(INDEX(월별근무지표[적용 급여병원],MATCH(INDEX(합계표[사번키],$W839)&amp;"|"&amp;대상월키,월별근무지표[키],0))&amp;"",IF(COUNTIF(기관표[사번키],INDEX(합계표[사번키],$W839))+COUNTIF(월별근무지표[사번키],INDEX(합계표[사번키],$W839))&gt;0,IFERROR(INDEX(기관표[급여지급병원(기준월)],MATCH(INDEX(합계표[사번키],$W839)&amp;"|"&amp;대상월키,기관표[키],0))&amp;"","—"),"—")))</f>
        <v/>
      </c>
      <c r="L839">
        <f>IF($W839="","",IF(NOT(COUNTIF(기관표[사번키],INDEX(합계표[사번키],$W839))+COUNTIF(월별근무지표[사번키],INDEX(합계표[사번키],$W839))&gt;0),"기관명단에 없음(다른 병원으로 발송)",IF($K839="—","대상월 기관명단 없음(추가 필요)",IF($K839="서울병원","해당","비해당"))))</f>
        <v/>
      </c>
      <c r="M839">
        <f>IF($W839="","",SUMIFS(상세표[06~07시],상세표[사번키],INDEX(합계표[사번키],$W839),상세표[반영월],대상월키,상세표[반영 기관],"서울병원"))</f>
        <v/>
      </c>
      <c r="N839">
        <f>IF($W839="","",SUMIFS(상세표[07~18시],상세표[사번키],INDEX(합계표[사번키],$W839),상세표[반영월],대상월키,상세표[반영 기관],"서울병원"))</f>
        <v/>
      </c>
      <c r="O839">
        <f>IF($W839="","",SUMIFS(상세표[18~22시],상세표[사번키],INDEX(합계표[사번키],$W839),상세표[반영월],대상월키,상세표[반영 기관],"서울병원"))</f>
        <v/>
      </c>
      <c r="P839">
        <f>IF($W839="","",SUMIFS(상세표[22~06시],상세표[사번키],INDEX(합계표[사번키],$W839),상세표[반영월],대상월키,상세표[반영 기관],"서울병원"))</f>
        <v/>
      </c>
      <c r="Q839">
        <f>IF($W839="","",SUM($M839:$P839))</f>
        <v/>
      </c>
      <c r="R839">
        <f>IF($W839="","",COUNTIFS(상세표[사번키],INDEX(합계표[사번키],$W839),상세표[반영월],대상월키,상세표[야간당직],1,상세표[야간 구분],"평일"))</f>
        <v/>
      </c>
      <c r="S839" s="4">
        <f>IF($W839="","",COUNTIFS(상세표[사번키],INDEX(합계표[사번키],$W839),상세표[반영월],대상월키,상세표[야간당직],1,상세표[야간 구분],"휴일"))</f>
        <v/>
      </c>
      <c r="T839">
        <f>IF($W839="","",COUNTIFS(상세표[사번키],INDEX(합계표[사번키],$W839),상세표[반영월],대상월키,상세표[야간당직],1,상세표[야간 구분],"평일",상세표[반영 기관],"서울병원"))</f>
        <v/>
      </c>
      <c r="U839">
        <f>IF($W839="","",COUNTIFS(상세표[사번키],INDEX(합계표[사번키],$W839),상세표[반영월],대상월키,상세표[야간당직],1,상세표[야간 구분],"휴일",상세표[반영 기관],"서울병원"))</f>
        <v/>
      </c>
      <c r="V839">
        <f>IF($W839="","",IF(ISNUMBER(MATCH(INDEX(합계표[사번키],$W839)&amp;"|"&amp;대상월키,월별근무지표[키],0)),"직접 입력",IF($K839="—","—","기관명단")))</f>
        <v/>
      </c>
      <c r="W839">
        <f>IFERROR(MATCH(834,합계표[판정순번],0),"")</f>
        <v/>
      </c>
    </row>
    <row r="840">
      <c r="A840">
        <f>IF($W840="","",INDEX(합계표[사번],$W840)&amp;"")</f>
        <v/>
      </c>
      <c r="B840">
        <f>IF($W840="","",INDEX(합계표[성명],$W840)&amp;"")</f>
        <v/>
      </c>
      <c r="C840">
        <f>IF($W840="","",INDEX(합계표[부서],$W840)&amp;"")</f>
        <v/>
      </c>
      <c r="D840">
        <f>IF($W840="","",INDEX(합계표[직위(통합)],$W840)&amp;"")</f>
        <v/>
      </c>
      <c r="E840">
        <f>IF($W840="","",SUMIFS(합계표[시스템 합계],합계표[사번키],INDEX(합계표[사번키],$W840)))</f>
        <v/>
      </c>
      <c r="F840">
        <f>IF($W840="","",SUMIFS(상세표[기록 시간외],상세표[사번키],INDEX(합계표[사번키],$W840),상세표[기록월],대상월키))</f>
        <v/>
      </c>
      <c r="G840">
        <f>IF($W840="","",IF(ABS($E840-$F840)&lt;0.01,"일치","불일치(차이 "&amp;TEXT($F840-$E840,"0.00")&amp;")"))</f>
        <v/>
      </c>
      <c r="H840">
        <f>IF($W840="","",SUMIFS(상세표[기록 시간외],상세표[사번키],INDEX(합계표[사번키],$W840),상세표[기록월],대상월키,상세표[반영월],"&lt;&gt;"&amp;대상월키))</f>
        <v/>
      </c>
      <c r="I840">
        <f>IF($W840="","",SUMIFS(상세표[기록 시간외],상세표[사번키],INDEX(합계표[사번키],$W840),상세표[기록월],"&lt;&gt;"&amp;대상월키,상세표[반영월],대상월키))</f>
        <v/>
      </c>
      <c r="J840">
        <f>IF($W840="","",SUMIFS(상세표[기록 시간외],상세표[사번키],INDEX(합계표[사번키],$W840),상세표[반영월],대상월키))</f>
        <v/>
      </c>
      <c r="K840">
        <f>IF($W840="","",IFERROR(INDEX(월별근무지표[적용 급여병원],MATCH(INDEX(합계표[사번키],$W840)&amp;"|"&amp;대상월키,월별근무지표[키],0))&amp;"",IF(COUNTIF(기관표[사번키],INDEX(합계표[사번키],$W840))+COUNTIF(월별근무지표[사번키],INDEX(합계표[사번키],$W840))&gt;0,IFERROR(INDEX(기관표[급여지급병원(기준월)],MATCH(INDEX(합계표[사번키],$W840)&amp;"|"&amp;대상월키,기관표[키],0))&amp;"","—"),"—")))</f>
        <v/>
      </c>
      <c r="L840">
        <f>IF($W840="","",IF(NOT(COUNTIF(기관표[사번키],INDEX(합계표[사번키],$W840))+COUNTIF(월별근무지표[사번키],INDEX(합계표[사번키],$W840))&gt;0),"기관명단에 없음(다른 병원으로 발송)",IF($K840="—","대상월 기관명단 없음(추가 필요)",IF($K840="서울병원","해당","비해당"))))</f>
        <v/>
      </c>
      <c r="M840">
        <f>IF($W840="","",SUMIFS(상세표[06~07시],상세표[사번키],INDEX(합계표[사번키],$W840),상세표[반영월],대상월키,상세표[반영 기관],"서울병원"))</f>
        <v/>
      </c>
      <c r="N840">
        <f>IF($W840="","",SUMIFS(상세표[07~18시],상세표[사번키],INDEX(합계표[사번키],$W840),상세표[반영월],대상월키,상세표[반영 기관],"서울병원"))</f>
        <v/>
      </c>
      <c r="O840">
        <f>IF($W840="","",SUMIFS(상세표[18~22시],상세표[사번키],INDEX(합계표[사번키],$W840),상세표[반영월],대상월키,상세표[반영 기관],"서울병원"))</f>
        <v/>
      </c>
      <c r="P840">
        <f>IF($W840="","",SUMIFS(상세표[22~06시],상세표[사번키],INDEX(합계표[사번키],$W840),상세표[반영월],대상월키,상세표[반영 기관],"서울병원"))</f>
        <v/>
      </c>
      <c r="Q840">
        <f>IF($W840="","",SUM($M840:$P840))</f>
        <v/>
      </c>
      <c r="R840">
        <f>IF($W840="","",COUNTIFS(상세표[사번키],INDEX(합계표[사번키],$W840),상세표[반영월],대상월키,상세표[야간당직],1,상세표[야간 구분],"평일"))</f>
        <v/>
      </c>
      <c r="S840" s="4">
        <f>IF($W840="","",COUNTIFS(상세표[사번키],INDEX(합계표[사번키],$W840),상세표[반영월],대상월키,상세표[야간당직],1,상세표[야간 구분],"휴일"))</f>
        <v/>
      </c>
      <c r="T840">
        <f>IF($W840="","",COUNTIFS(상세표[사번키],INDEX(합계표[사번키],$W840),상세표[반영월],대상월키,상세표[야간당직],1,상세표[야간 구분],"평일",상세표[반영 기관],"서울병원"))</f>
        <v/>
      </c>
      <c r="U840">
        <f>IF($W840="","",COUNTIFS(상세표[사번키],INDEX(합계표[사번키],$W840),상세표[반영월],대상월키,상세표[야간당직],1,상세표[야간 구분],"휴일",상세표[반영 기관],"서울병원"))</f>
        <v/>
      </c>
      <c r="V840">
        <f>IF($W840="","",IF(ISNUMBER(MATCH(INDEX(합계표[사번키],$W840)&amp;"|"&amp;대상월키,월별근무지표[키],0)),"직접 입력",IF($K840="—","—","기관명단")))</f>
        <v/>
      </c>
      <c r="W840">
        <f>IFERROR(MATCH(835,합계표[판정순번],0),"")</f>
        <v/>
      </c>
    </row>
    <row r="841">
      <c r="A841">
        <f>IF($W841="","",INDEX(합계표[사번],$W841)&amp;"")</f>
        <v/>
      </c>
      <c r="B841">
        <f>IF($W841="","",INDEX(합계표[성명],$W841)&amp;"")</f>
        <v/>
      </c>
      <c r="C841">
        <f>IF($W841="","",INDEX(합계표[부서],$W841)&amp;"")</f>
        <v/>
      </c>
      <c r="D841">
        <f>IF($W841="","",INDEX(합계표[직위(통합)],$W841)&amp;"")</f>
        <v/>
      </c>
      <c r="E841">
        <f>IF($W841="","",SUMIFS(합계표[시스템 합계],합계표[사번키],INDEX(합계표[사번키],$W841)))</f>
        <v/>
      </c>
      <c r="F841">
        <f>IF($W841="","",SUMIFS(상세표[기록 시간외],상세표[사번키],INDEX(합계표[사번키],$W841),상세표[기록월],대상월키))</f>
        <v/>
      </c>
      <c r="G841">
        <f>IF($W841="","",IF(ABS($E841-$F841)&lt;0.01,"일치","불일치(차이 "&amp;TEXT($F841-$E841,"0.00")&amp;")"))</f>
        <v/>
      </c>
      <c r="H841">
        <f>IF($W841="","",SUMIFS(상세표[기록 시간외],상세표[사번키],INDEX(합계표[사번키],$W841),상세표[기록월],대상월키,상세표[반영월],"&lt;&gt;"&amp;대상월키))</f>
        <v/>
      </c>
      <c r="I841">
        <f>IF($W841="","",SUMIFS(상세표[기록 시간외],상세표[사번키],INDEX(합계표[사번키],$W841),상세표[기록월],"&lt;&gt;"&amp;대상월키,상세표[반영월],대상월키))</f>
        <v/>
      </c>
      <c r="J841">
        <f>IF($W841="","",SUMIFS(상세표[기록 시간외],상세표[사번키],INDEX(합계표[사번키],$W841),상세표[반영월],대상월키))</f>
        <v/>
      </c>
      <c r="K841">
        <f>IF($W841="","",IFERROR(INDEX(월별근무지표[적용 급여병원],MATCH(INDEX(합계표[사번키],$W841)&amp;"|"&amp;대상월키,월별근무지표[키],0))&amp;"",IF(COUNTIF(기관표[사번키],INDEX(합계표[사번키],$W841))+COUNTIF(월별근무지표[사번키],INDEX(합계표[사번키],$W841))&gt;0,IFERROR(INDEX(기관표[급여지급병원(기준월)],MATCH(INDEX(합계표[사번키],$W841)&amp;"|"&amp;대상월키,기관표[키],0))&amp;"","—"),"—")))</f>
        <v/>
      </c>
      <c r="L841">
        <f>IF($W841="","",IF(NOT(COUNTIF(기관표[사번키],INDEX(합계표[사번키],$W841))+COUNTIF(월별근무지표[사번키],INDEX(합계표[사번키],$W841))&gt;0),"기관명단에 없음(다른 병원으로 발송)",IF($K841="—","대상월 기관명단 없음(추가 필요)",IF($K841="서울병원","해당","비해당"))))</f>
        <v/>
      </c>
      <c r="M841">
        <f>IF($W841="","",SUMIFS(상세표[06~07시],상세표[사번키],INDEX(합계표[사번키],$W841),상세표[반영월],대상월키,상세표[반영 기관],"서울병원"))</f>
        <v/>
      </c>
      <c r="N841">
        <f>IF($W841="","",SUMIFS(상세표[07~18시],상세표[사번키],INDEX(합계표[사번키],$W841),상세표[반영월],대상월키,상세표[반영 기관],"서울병원"))</f>
        <v/>
      </c>
      <c r="O841">
        <f>IF($W841="","",SUMIFS(상세표[18~22시],상세표[사번키],INDEX(합계표[사번키],$W841),상세표[반영월],대상월키,상세표[반영 기관],"서울병원"))</f>
        <v/>
      </c>
      <c r="P841">
        <f>IF($W841="","",SUMIFS(상세표[22~06시],상세표[사번키],INDEX(합계표[사번키],$W841),상세표[반영월],대상월키,상세표[반영 기관],"서울병원"))</f>
        <v/>
      </c>
      <c r="Q841">
        <f>IF($W841="","",SUM($M841:$P841))</f>
        <v/>
      </c>
      <c r="R841">
        <f>IF($W841="","",COUNTIFS(상세표[사번키],INDEX(합계표[사번키],$W841),상세표[반영월],대상월키,상세표[야간당직],1,상세표[야간 구분],"평일"))</f>
        <v/>
      </c>
      <c r="S841" s="4">
        <f>IF($W841="","",COUNTIFS(상세표[사번키],INDEX(합계표[사번키],$W841),상세표[반영월],대상월키,상세표[야간당직],1,상세표[야간 구분],"휴일"))</f>
        <v/>
      </c>
      <c r="T841">
        <f>IF($W841="","",COUNTIFS(상세표[사번키],INDEX(합계표[사번키],$W841),상세표[반영월],대상월키,상세표[야간당직],1,상세표[야간 구분],"평일",상세표[반영 기관],"서울병원"))</f>
        <v/>
      </c>
      <c r="U841">
        <f>IF($W841="","",COUNTIFS(상세표[사번키],INDEX(합계표[사번키],$W841),상세표[반영월],대상월키,상세표[야간당직],1,상세표[야간 구분],"휴일",상세표[반영 기관],"서울병원"))</f>
        <v/>
      </c>
      <c r="V841">
        <f>IF($W841="","",IF(ISNUMBER(MATCH(INDEX(합계표[사번키],$W841)&amp;"|"&amp;대상월키,월별근무지표[키],0)),"직접 입력",IF($K841="—","—","기관명단")))</f>
        <v/>
      </c>
      <c r="W841">
        <f>IFERROR(MATCH(836,합계표[판정순번],0),"")</f>
        <v/>
      </c>
    </row>
    <row r="842">
      <c r="A842">
        <f>IF($W842="","",INDEX(합계표[사번],$W842)&amp;"")</f>
        <v/>
      </c>
      <c r="B842">
        <f>IF($W842="","",INDEX(합계표[성명],$W842)&amp;"")</f>
        <v/>
      </c>
      <c r="C842">
        <f>IF($W842="","",INDEX(합계표[부서],$W842)&amp;"")</f>
        <v/>
      </c>
      <c r="D842">
        <f>IF($W842="","",INDEX(합계표[직위(통합)],$W842)&amp;"")</f>
        <v/>
      </c>
      <c r="E842">
        <f>IF($W842="","",SUMIFS(합계표[시스템 합계],합계표[사번키],INDEX(합계표[사번키],$W842)))</f>
        <v/>
      </c>
      <c r="F842">
        <f>IF($W842="","",SUMIFS(상세표[기록 시간외],상세표[사번키],INDEX(합계표[사번키],$W842),상세표[기록월],대상월키))</f>
        <v/>
      </c>
      <c r="G842">
        <f>IF($W842="","",IF(ABS($E842-$F842)&lt;0.01,"일치","불일치(차이 "&amp;TEXT($F842-$E842,"0.00")&amp;")"))</f>
        <v/>
      </c>
      <c r="H842">
        <f>IF($W842="","",SUMIFS(상세표[기록 시간외],상세표[사번키],INDEX(합계표[사번키],$W842),상세표[기록월],대상월키,상세표[반영월],"&lt;&gt;"&amp;대상월키))</f>
        <v/>
      </c>
      <c r="I842">
        <f>IF($W842="","",SUMIFS(상세표[기록 시간외],상세표[사번키],INDEX(합계표[사번키],$W842),상세표[기록월],"&lt;&gt;"&amp;대상월키,상세표[반영월],대상월키))</f>
        <v/>
      </c>
      <c r="J842">
        <f>IF($W842="","",SUMIFS(상세표[기록 시간외],상세표[사번키],INDEX(합계표[사번키],$W842),상세표[반영월],대상월키))</f>
        <v/>
      </c>
      <c r="K842">
        <f>IF($W842="","",IFERROR(INDEX(월별근무지표[적용 급여병원],MATCH(INDEX(합계표[사번키],$W842)&amp;"|"&amp;대상월키,월별근무지표[키],0))&amp;"",IF(COUNTIF(기관표[사번키],INDEX(합계표[사번키],$W842))+COUNTIF(월별근무지표[사번키],INDEX(합계표[사번키],$W842))&gt;0,IFERROR(INDEX(기관표[급여지급병원(기준월)],MATCH(INDEX(합계표[사번키],$W842)&amp;"|"&amp;대상월키,기관표[키],0))&amp;"","—"),"—")))</f>
        <v/>
      </c>
      <c r="L842">
        <f>IF($W842="","",IF(NOT(COUNTIF(기관표[사번키],INDEX(합계표[사번키],$W842))+COUNTIF(월별근무지표[사번키],INDEX(합계표[사번키],$W842))&gt;0),"기관명단에 없음(다른 병원으로 발송)",IF($K842="—","대상월 기관명단 없음(추가 필요)",IF($K842="서울병원","해당","비해당"))))</f>
        <v/>
      </c>
      <c r="M842">
        <f>IF($W842="","",SUMIFS(상세표[06~07시],상세표[사번키],INDEX(합계표[사번키],$W842),상세표[반영월],대상월키,상세표[반영 기관],"서울병원"))</f>
        <v/>
      </c>
      <c r="N842">
        <f>IF($W842="","",SUMIFS(상세표[07~18시],상세표[사번키],INDEX(합계표[사번키],$W842),상세표[반영월],대상월키,상세표[반영 기관],"서울병원"))</f>
        <v/>
      </c>
      <c r="O842">
        <f>IF($W842="","",SUMIFS(상세표[18~22시],상세표[사번키],INDEX(합계표[사번키],$W842),상세표[반영월],대상월키,상세표[반영 기관],"서울병원"))</f>
        <v/>
      </c>
      <c r="P842">
        <f>IF($W842="","",SUMIFS(상세표[22~06시],상세표[사번키],INDEX(합계표[사번키],$W842),상세표[반영월],대상월키,상세표[반영 기관],"서울병원"))</f>
        <v/>
      </c>
      <c r="Q842">
        <f>IF($W842="","",SUM($M842:$P842))</f>
        <v/>
      </c>
      <c r="R842">
        <f>IF($W842="","",COUNTIFS(상세표[사번키],INDEX(합계표[사번키],$W842),상세표[반영월],대상월키,상세표[야간당직],1,상세표[야간 구분],"평일"))</f>
        <v/>
      </c>
      <c r="S842" s="4">
        <f>IF($W842="","",COUNTIFS(상세표[사번키],INDEX(합계표[사번키],$W842),상세표[반영월],대상월키,상세표[야간당직],1,상세표[야간 구분],"휴일"))</f>
        <v/>
      </c>
      <c r="T842">
        <f>IF($W842="","",COUNTIFS(상세표[사번키],INDEX(합계표[사번키],$W842),상세표[반영월],대상월키,상세표[야간당직],1,상세표[야간 구분],"평일",상세표[반영 기관],"서울병원"))</f>
        <v/>
      </c>
      <c r="U842">
        <f>IF($W842="","",COUNTIFS(상세표[사번키],INDEX(합계표[사번키],$W842),상세표[반영월],대상월키,상세표[야간당직],1,상세표[야간 구분],"휴일",상세표[반영 기관],"서울병원"))</f>
        <v/>
      </c>
      <c r="V842">
        <f>IF($W842="","",IF(ISNUMBER(MATCH(INDEX(합계표[사번키],$W842)&amp;"|"&amp;대상월키,월별근무지표[키],0)),"직접 입력",IF($K842="—","—","기관명단")))</f>
        <v/>
      </c>
      <c r="W842">
        <f>IFERROR(MATCH(837,합계표[판정순번],0),"")</f>
        <v/>
      </c>
    </row>
    <row r="843">
      <c r="A843">
        <f>IF($W843="","",INDEX(합계표[사번],$W843)&amp;"")</f>
        <v/>
      </c>
      <c r="B843">
        <f>IF($W843="","",INDEX(합계표[성명],$W843)&amp;"")</f>
        <v/>
      </c>
      <c r="C843">
        <f>IF($W843="","",INDEX(합계표[부서],$W843)&amp;"")</f>
        <v/>
      </c>
      <c r="D843">
        <f>IF($W843="","",INDEX(합계표[직위(통합)],$W843)&amp;"")</f>
        <v/>
      </c>
      <c r="E843">
        <f>IF($W843="","",SUMIFS(합계표[시스템 합계],합계표[사번키],INDEX(합계표[사번키],$W843)))</f>
        <v/>
      </c>
      <c r="F843">
        <f>IF($W843="","",SUMIFS(상세표[기록 시간외],상세표[사번키],INDEX(합계표[사번키],$W843),상세표[기록월],대상월키))</f>
        <v/>
      </c>
      <c r="G843">
        <f>IF($W843="","",IF(ABS($E843-$F843)&lt;0.01,"일치","불일치(차이 "&amp;TEXT($F843-$E843,"0.00")&amp;")"))</f>
        <v/>
      </c>
      <c r="H843">
        <f>IF($W843="","",SUMIFS(상세표[기록 시간외],상세표[사번키],INDEX(합계표[사번키],$W843),상세표[기록월],대상월키,상세표[반영월],"&lt;&gt;"&amp;대상월키))</f>
        <v/>
      </c>
      <c r="I843">
        <f>IF($W843="","",SUMIFS(상세표[기록 시간외],상세표[사번키],INDEX(합계표[사번키],$W843),상세표[기록월],"&lt;&gt;"&amp;대상월키,상세표[반영월],대상월키))</f>
        <v/>
      </c>
      <c r="J843">
        <f>IF($W843="","",SUMIFS(상세표[기록 시간외],상세표[사번키],INDEX(합계표[사번키],$W843),상세표[반영월],대상월키))</f>
        <v/>
      </c>
      <c r="K843">
        <f>IF($W843="","",IFERROR(INDEX(월별근무지표[적용 급여병원],MATCH(INDEX(합계표[사번키],$W843)&amp;"|"&amp;대상월키,월별근무지표[키],0))&amp;"",IF(COUNTIF(기관표[사번키],INDEX(합계표[사번키],$W843))+COUNTIF(월별근무지표[사번키],INDEX(합계표[사번키],$W843))&gt;0,IFERROR(INDEX(기관표[급여지급병원(기준월)],MATCH(INDEX(합계표[사번키],$W843)&amp;"|"&amp;대상월키,기관표[키],0))&amp;"","—"),"—")))</f>
        <v/>
      </c>
      <c r="L843">
        <f>IF($W843="","",IF(NOT(COUNTIF(기관표[사번키],INDEX(합계표[사번키],$W843))+COUNTIF(월별근무지표[사번키],INDEX(합계표[사번키],$W843))&gt;0),"기관명단에 없음(다른 병원으로 발송)",IF($K843="—","대상월 기관명단 없음(추가 필요)",IF($K843="서울병원","해당","비해당"))))</f>
        <v/>
      </c>
      <c r="M843">
        <f>IF($W843="","",SUMIFS(상세표[06~07시],상세표[사번키],INDEX(합계표[사번키],$W843),상세표[반영월],대상월키,상세표[반영 기관],"서울병원"))</f>
        <v/>
      </c>
      <c r="N843">
        <f>IF($W843="","",SUMIFS(상세표[07~18시],상세표[사번키],INDEX(합계표[사번키],$W843),상세표[반영월],대상월키,상세표[반영 기관],"서울병원"))</f>
        <v/>
      </c>
      <c r="O843">
        <f>IF($W843="","",SUMIFS(상세표[18~22시],상세표[사번키],INDEX(합계표[사번키],$W843),상세표[반영월],대상월키,상세표[반영 기관],"서울병원"))</f>
        <v/>
      </c>
      <c r="P843">
        <f>IF($W843="","",SUMIFS(상세표[22~06시],상세표[사번키],INDEX(합계표[사번키],$W843),상세표[반영월],대상월키,상세표[반영 기관],"서울병원"))</f>
        <v/>
      </c>
      <c r="Q843">
        <f>IF($W843="","",SUM($M843:$P843))</f>
        <v/>
      </c>
      <c r="R843">
        <f>IF($W843="","",COUNTIFS(상세표[사번키],INDEX(합계표[사번키],$W843),상세표[반영월],대상월키,상세표[야간당직],1,상세표[야간 구분],"평일"))</f>
        <v/>
      </c>
      <c r="S843" s="4">
        <f>IF($W843="","",COUNTIFS(상세표[사번키],INDEX(합계표[사번키],$W843),상세표[반영월],대상월키,상세표[야간당직],1,상세표[야간 구분],"휴일"))</f>
        <v/>
      </c>
      <c r="T843">
        <f>IF($W843="","",COUNTIFS(상세표[사번키],INDEX(합계표[사번키],$W843),상세표[반영월],대상월키,상세표[야간당직],1,상세표[야간 구분],"평일",상세표[반영 기관],"서울병원"))</f>
        <v/>
      </c>
      <c r="U843">
        <f>IF($W843="","",COUNTIFS(상세표[사번키],INDEX(합계표[사번키],$W843),상세표[반영월],대상월키,상세표[야간당직],1,상세표[야간 구분],"휴일",상세표[반영 기관],"서울병원"))</f>
        <v/>
      </c>
      <c r="V843">
        <f>IF($W843="","",IF(ISNUMBER(MATCH(INDEX(합계표[사번키],$W843)&amp;"|"&amp;대상월키,월별근무지표[키],0)),"직접 입력",IF($K843="—","—","기관명단")))</f>
        <v/>
      </c>
      <c r="W843">
        <f>IFERROR(MATCH(838,합계표[판정순번],0),"")</f>
        <v/>
      </c>
    </row>
    <row r="844">
      <c r="A844">
        <f>IF($W844="","",INDEX(합계표[사번],$W844)&amp;"")</f>
        <v/>
      </c>
      <c r="B844">
        <f>IF($W844="","",INDEX(합계표[성명],$W844)&amp;"")</f>
        <v/>
      </c>
      <c r="C844">
        <f>IF($W844="","",INDEX(합계표[부서],$W844)&amp;"")</f>
        <v/>
      </c>
      <c r="D844">
        <f>IF($W844="","",INDEX(합계표[직위(통합)],$W844)&amp;"")</f>
        <v/>
      </c>
      <c r="E844">
        <f>IF($W844="","",SUMIFS(합계표[시스템 합계],합계표[사번키],INDEX(합계표[사번키],$W844)))</f>
        <v/>
      </c>
      <c r="F844">
        <f>IF($W844="","",SUMIFS(상세표[기록 시간외],상세표[사번키],INDEX(합계표[사번키],$W844),상세표[기록월],대상월키))</f>
        <v/>
      </c>
      <c r="G844">
        <f>IF($W844="","",IF(ABS($E844-$F844)&lt;0.01,"일치","불일치(차이 "&amp;TEXT($F844-$E844,"0.00")&amp;")"))</f>
        <v/>
      </c>
      <c r="H844">
        <f>IF($W844="","",SUMIFS(상세표[기록 시간외],상세표[사번키],INDEX(합계표[사번키],$W844),상세표[기록월],대상월키,상세표[반영월],"&lt;&gt;"&amp;대상월키))</f>
        <v/>
      </c>
      <c r="I844">
        <f>IF($W844="","",SUMIFS(상세표[기록 시간외],상세표[사번키],INDEX(합계표[사번키],$W844),상세표[기록월],"&lt;&gt;"&amp;대상월키,상세표[반영월],대상월키))</f>
        <v/>
      </c>
      <c r="J844">
        <f>IF($W844="","",SUMIFS(상세표[기록 시간외],상세표[사번키],INDEX(합계표[사번키],$W844),상세표[반영월],대상월키))</f>
        <v/>
      </c>
      <c r="K844">
        <f>IF($W844="","",IFERROR(INDEX(월별근무지표[적용 급여병원],MATCH(INDEX(합계표[사번키],$W844)&amp;"|"&amp;대상월키,월별근무지표[키],0))&amp;"",IF(COUNTIF(기관표[사번키],INDEX(합계표[사번키],$W844))+COUNTIF(월별근무지표[사번키],INDEX(합계표[사번키],$W844))&gt;0,IFERROR(INDEX(기관표[급여지급병원(기준월)],MATCH(INDEX(합계표[사번키],$W844)&amp;"|"&amp;대상월키,기관표[키],0))&amp;"","—"),"—")))</f>
        <v/>
      </c>
      <c r="L844">
        <f>IF($W844="","",IF(NOT(COUNTIF(기관표[사번키],INDEX(합계표[사번키],$W844))+COUNTIF(월별근무지표[사번키],INDEX(합계표[사번키],$W844))&gt;0),"기관명단에 없음(다른 병원으로 발송)",IF($K844="—","대상월 기관명단 없음(추가 필요)",IF($K844="서울병원","해당","비해당"))))</f>
        <v/>
      </c>
      <c r="M844">
        <f>IF($W844="","",SUMIFS(상세표[06~07시],상세표[사번키],INDEX(합계표[사번키],$W844),상세표[반영월],대상월키,상세표[반영 기관],"서울병원"))</f>
        <v/>
      </c>
      <c r="N844">
        <f>IF($W844="","",SUMIFS(상세표[07~18시],상세표[사번키],INDEX(합계표[사번키],$W844),상세표[반영월],대상월키,상세표[반영 기관],"서울병원"))</f>
        <v/>
      </c>
      <c r="O844">
        <f>IF($W844="","",SUMIFS(상세표[18~22시],상세표[사번키],INDEX(합계표[사번키],$W844),상세표[반영월],대상월키,상세표[반영 기관],"서울병원"))</f>
        <v/>
      </c>
      <c r="P844">
        <f>IF($W844="","",SUMIFS(상세표[22~06시],상세표[사번키],INDEX(합계표[사번키],$W844),상세표[반영월],대상월키,상세표[반영 기관],"서울병원"))</f>
        <v/>
      </c>
      <c r="Q844">
        <f>IF($W844="","",SUM($M844:$P844))</f>
        <v/>
      </c>
      <c r="R844">
        <f>IF($W844="","",COUNTIFS(상세표[사번키],INDEX(합계표[사번키],$W844),상세표[반영월],대상월키,상세표[야간당직],1,상세표[야간 구분],"평일"))</f>
        <v/>
      </c>
      <c r="S844" s="4">
        <f>IF($W844="","",COUNTIFS(상세표[사번키],INDEX(합계표[사번키],$W844),상세표[반영월],대상월키,상세표[야간당직],1,상세표[야간 구분],"휴일"))</f>
        <v/>
      </c>
      <c r="T844">
        <f>IF($W844="","",COUNTIFS(상세표[사번키],INDEX(합계표[사번키],$W844),상세표[반영월],대상월키,상세표[야간당직],1,상세표[야간 구분],"평일",상세표[반영 기관],"서울병원"))</f>
        <v/>
      </c>
      <c r="U844">
        <f>IF($W844="","",COUNTIFS(상세표[사번키],INDEX(합계표[사번키],$W844),상세표[반영월],대상월키,상세표[야간당직],1,상세표[야간 구분],"휴일",상세표[반영 기관],"서울병원"))</f>
        <v/>
      </c>
      <c r="V844">
        <f>IF($W844="","",IF(ISNUMBER(MATCH(INDEX(합계표[사번키],$W844)&amp;"|"&amp;대상월키,월별근무지표[키],0)),"직접 입력",IF($K844="—","—","기관명단")))</f>
        <v/>
      </c>
      <c r="W844">
        <f>IFERROR(MATCH(839,합계표[판정순번],0),"")</f>
        <v/>
      </c>
    </row>
    <row r="845">
      <c r="A845">
        <f>IF($W845="","",INDEX(합계표[사번],$W845)&amp;"")</f>
        <v/>
      </c>
      <c r="B845">
        <f>IF($W845="","",INDEX(합계표[성명],$W845)&amp;"")</f>
        <v/>
      </c>
      <c r="C845">
        <f>IF($W845="","",INDEX(합계표[부서],$W845)&amp;"")</f>
        <v/>
      </c>
      <c r="D845">
        <f>IF($W845="","",INDEX(합계표[직위(통합)],$W845)&amp;"")</f>
        <v/>
      </c>
      <c r="E845">
        <f>IF($W845="","",SUMIFS(합계표[시스템 합계],합계표[사번키],INDEX(합계표[사번키],$W845)))</f>
        <v/>
      </c>
      <c r="F845">
        <f>IF($W845="","",SUMIFS(상세표[기록 시간외],상세표[사번키],INDEX(합계표[사번키],$W845),상세표[기록월],대상월키))</f>
        <v/>
      </c>
      <c r="G845">
        <f>IF($W845="","",IF(ABS($E845-$F845)&lt;0.01,"일치","불일치(차이 "&amp;TEXT($F845-$E845,"0.00")&amp;")"))</f>
        <v/>
      </c>
      <c r="H845">
        <f>IF($W845="","",SUMIFS(상세표[기록 시간외],상세표[사번키],INDEX(합계표[사번키],$W845),상세표[기록월],대상월키,상세표[반영월],"&lt;&gt;"&amp;대상월키))</f>
        <v/>
      </c>
      <c r="I845">
        <f>IF($W845="","",SUMIFS(상세표[기록 시간외],상세표[사번키],INDEX(합계표[사번키],$W845),상세표[기록월],"&lt;&gt;"&amp;대상월키,상세표[반영월],대상월키))</f>
        <v/>
      </c>
      <c r="J845">
        <f>IF($W845="","",SUMIFS(상세표[기록 시간외],상세표[사번키],INDEX(합계표[사번키],$W845),상세표[반영월],대상월키))</f>
        <v/>
      </c>
      <c r="K845">
        <f>IF($W845="","",IFERROR(INDEX(월별근무지표[적용 급여병원],MATCH(INDEX(합계표[사번키],$W845)&amp;"|"&amp;대상월키,월별근무지표[키],0))&amp;"",IF(COUNTIF(기관표[사번키],INDEX(합계표[사번키],$W845))+COUNTIF(월별근무지표[사번키],INDEX(합계표[사번키],$W845))&gt;0,IFERROR(INDEX(기관표[급여지급병원(기준월)],MATCH(INDEX(합계표[사번키],$W845)&amp;"|"&amp;대상월키,기관표[키],0))&amp;"","—"),"—")))</f>
        <v/>
      </c>
      <c r="L845">
        <f>IF($W845="","",IF(NOT(COUNTIF(기관표[사번키],INDEX(합계표[사번키],$W845))+COUNTIF(월별근무지표[사번키],INDEX(합계표[사번키],$W845))&gt;0),"기관명단에 없음(다른 병원으로 발송)",IF($K845="—","대상월 기관명단 없음(추가 필요)",IF($K845="서울병원","해당","비해당"))))</f>
        <v/>
      </c>
      <c r="M845">
        <f>IF($W845="","",SUMIFS(상세표[06~07시],상세표[사번키],INDEX(합계표[사번키],$W845),상세표[반영월],대상월키,상세표[반영 기관],"서울병원"))</f>
        <v/>
      </c>
      <c r="N845">
        <f>IF($W845="","",SUMIFS(상세표[07~18시],상세표[사번키],INDEX(합계표[사번키],$W845),상세표[반영월],대상월키,상세표[반영 기관],"서울병원"))</f>
        <v/>
      </c>
      <c r="O845">
        <f>IF($W845="","",SUMIFS(상세표[18~22시],상세표[사번키],INDEX(합계표[사번키],$W845),상세표[반영월],대상월키,상세표[반영 기관],"서울병원"))</f>
        <v/>
      </c>
      <c r="P845">
        <f>IF($W845="","",SUMIFS(상세표[22~06시],상세표[사번키],INDEX(합계표[사번키],$W845),상세표[반영월],대상월키,상세표[반영 기관],"서울병원"))</f>
        <v/>
      </c>
      <c r="Q845">
        <f>IF($W845="","",SUM($M845:$P845))</f>
        <v/>
      </c>
      <c r="R845">
        <f>IF($W845="","",COUNTIFS(상세표[사번키],INDEX(합계표[사번키],$W845),상세표[반영월],대상월키,상세표[야간당직],1,상세표[야간 구분],"평일"))</f>
        <v/>
      </c>
      <c r="S845" s="4">
        <f>IF($W845="","",COUNTIFS(상세표[사번키],INDEX(합계표[사번키],$W845),상세표[반영월],대상월키,상세표[야간당직],1,상세표[야간 구분],"휴일"))</f>
        <v/>
      </c>
      <c r="T845">
        <f>IF($W845="","",COUNTIFS(상세표[사번키],INDEX(합계표[사번키],$W845),상세표[반영월],대상월키,상세표[야간당직],1,상세표[야간 구분],"평일",상세표[반영 기관],"서울병원"))</f>
        <v/>
      </c>
      <c r="U845">
        <f>IF($W845="","",COUNTIFS(상세표[사번키],INDEX(합계표[사번키],$W845),상세표[반영월],대상월키,상세표[야간당직],1,상세표[야간 구분],"휴일",상세표[반영 기관],"서울병원"))</f>
        <v/>
      </c>
      <c r="V845">
        <f>IF($W845="","",IF(ISNUMBER(MATCH(INDEX(합계표[사번키],$W845)&amp;"|"&amp;대상월키,월별근무지표[키],0)),"직접 입력",IF($K845="—","—","기관명단")))</f>
        <v/>
      </c>
      <c r="W845">
        <f>IFERROR(MATCH(840,합계표[판정순번],0),"")</f>
        <v/>
      </c>
    </row>
    <row r="846">
      <c r="A846">
        <f>IF($W846="","",INDEX(합계표[사번],$W846)&amp;"")</f>
        <v/>
      </c>
      <c r="B846">
        <f>IF($W846="","",INDEX(합계표[성명],$W846)&amp;"")</f>
        <v/>
      </c>
      <c r="C846">
        <f>IF($W846="","",INDEX(합계표[부서],$W846)&amp;"")</f>
        <v/>
      </c>
      <c r="D846">
        <f>IF($W846="","",INDEX(합계표[직위(통합)],$W846)&amp;"")</f>
        <v/>
      </c>
      <c r="E846">
        <f>IF($W846="","",SUMIFS(합계표[시스템 합계],합계표[사번키],INDEX(합계표[사번키],$W846)))</f>
        <v/>
      </c>
      <c r="F846">
        <f>IF($W846="","",SUMIFS(상세표[기록 시간외],상세표[사번키],INDEX(합계표[사번키],$W846),상세표[기록월],대상월키))</f>
        <v/>
      </c>
      <c r="G846">
        <f>IF($W846="","",IF(ABS($E846-$F846)&lt;0.01,"일치","불일치(차이 "&amp;TEXT($F846-$E846,"0.00")&amp;")"))</f>
        <v/>
      </c>
      <c r="H846">
        <f>IF($W846="","",SUMIFS(상세표[기록 시간외],상세표[사번키],INDEX(합계표[사번키],$W846),상세표[기록월],대상월키,상세표[반영월],"&lt;&gt;"&amp;대상월키))</f>
        <v/>
      </c>
      <c r="I846">
        <f>IF($W846="","",SUMIFS(상세표[기록 시간외],상세표[사번키],INDEX(합계표[사번키],$W846),상세표[기록월],"&lt;&gt;"&amp;대상월키,상세표[반영월],대상월키))</f>
        <v/>
      </c>
      <c r="J846">
        <f>IF($W846="","",SUMIFS(상세표[기록 시간외],상세표[사번키],INDEX(합계표[사번키],$W846),상세표[반영월],대상월키))</f>
        <v/>
      </c>
      <c r="K846">
        <f>IF($W846="","",IFERROR(INDEX(월별근무지표[적용 급여병원],MATCH(INDEX(합계표[사번키],$W846)&amp;"|"&amp;대상월키,월별근무지표[키],0))&amp;"",IF(COUNTIF(기관표[사번키],INDEX(합계표[사번키],$W846))+COUNTIF(월별근무지표[사번키],INDEX(합계표[사번키],$W846))&gt;0,IFERROR(INDEX(기관표[급여지급병원(기준월)],MATCH(INDEX(합계표[사번키],$W846)&amp;"|"&amp;대상월키,기관표[키],0))&amp;"","—"),"—")))</f>
        <v/>
      </c>
      <c r="L846">
        <f>IF($W846="","",IF(NOT(COUNTIF(기관표[사번키],INDEX(합계표[사번키],$W846))+COUNTIF(월별근무지표[사번키],INDEX(합계표[사번키],$W846))&gt;0),"기관명단에 없음(다른 병원으로 발송)",IF($K846="—","대상월 기관명단 없음(추가 필요)",IF($K846="서울병원","해당","비해당"))))</f>
        <v/>
      </c>
      <c r="M846">
        <f>IF($W846="","",SUMIFS(상세표[06~07시],상세표[사번키],INDEX(합계표[사번키],$W846),상세표[반영월],대상월키,상세표[반영 기관],"서울병원"))</f>
        <v/>
      </c>
      <c r="N846">
        <f>IF($W846="","",SUMIFS(상세표[07~18시],상세표[사번키],INDEX(합계표[사번키],$W846),상세표[반영월],대상월키,상세표[반영 기관],"서울병원"))</f>
        <v/>
      </c>
      <c r="O846">
        <f>IF($W846="","",SUMIFS(상세표[18~22시],상세표[사번키],INDEX(합계표[사번키],$W846),상세표[반영월],대상월키,상세표[반영 기관],"서울병원"))</f>
        <v/>
      </c>
      <c r="P846">
        <f>IF($W846="","",SUMIFS(상세표[22~06시],상세표[사번키],INDEX(합계표[사번키],$W846),상세표[반영월],대상월키,상세표[반영 기관],"서울병원"))</f>
        <v/>
      </c>
      <c r="Q846">
        <f>IF($W846="","",SUM($M846:$P846))</f>
        <v/>
      </c>
      <c r="R846">
        <f>IF($W846="","",COUNTIFS(상세표[사번키],INDEX(합계표[사번키],$W846),상세표[반영월],대상월키,상세표[야간당직],1,상세표[야간 구분],"평일"))</f>
        <v/>
      </c>
      <c r="S846" s="4">
        <f>IF($W846="","",COUNTIFS(상세표[사번키],INDEX(합계표[사번키],$W846),상세표[반영월],대상월키,상세표[야간당직],1,상세표[야간 구분],"휴일"))</f>
        <v/>
      </c>
      <c r="T846">
        <f>IF($W846="","",COUNTIFS(상세표[사번키],INDEX(합계표[사번키],$W846),상세표[반영월],대상월키,상세표[야간당직],1,상세표[야간 구분],"평일",상세표[반영 기관],"서울병원"))</f>
        <v/>
      </c>
      <c r="U846">
        <f>IF($W846="","",COUNTIFS(상세표[사번키],INDEX(합계표[사번키],$W846),상세표[반영월],대상월키,상세표[야간당직],1,상세표[야간 구분],"휴일",상세표[반영 기관],"서울병원"))</f>
        <v/>
      </c>
      <c r="V846">
        <f>IF($W846="","",IF(ISNUMBER(MATCH(INDEX(합계표[사번키],$W846)&amp;"|"&amp;대상월키,월별근무지표[키],0)),"직접 입력",IF($K846="—","—","기관명단")))</f>
        <v/>
      </c>
      <c r="W846">
        <f>IFERROR(MATCH(841,합계표[판정순번],0),"")</f>
        <v/>
      </c>
    </row>
    <row r="847">
      <c r="A847">
        <f>IF($W847="","",INDEX(합계표[사번],$W847)&amp;"")</f>
        <v/>
      </c>
      <c r="B847">
        <f>IF($W847="","",INDEX(합계표[성명],$W847)&amp;"")</f>
        <v/>
      </c>
      <c r="C847">
        <f>IF($W847="","",INDEX(합계표[부서],$W847)&amp;"")</f>
        <v/>
      </c>
      <c r="D847">
        <f>IF($W847="","",INDEX(합계표[직위(통합)],$W847)&amp;"")</f>
        <v/>
      </c>
      <c r="E847">
        <f>IF($W847="","",SUMIFS(합계표[시스템 합계],합계표[사번키],INDEX(합계표[사번키],$W847)))</f>
        <v/>
      </c>
      <c r="F847">
        <f>IF($W847="","",SUMIFS(상세표[기록 시간외],상세표[사번키],INDEX(합계표[사번키],$W847),상세표[기록월],대상월키))</f>
        <v/>
      </c>
      <c r="G847">
        <f>IF($W847="","",IF(ABS($E847-$F847)&lt;0.01,"일치","불일치(차이 "&amp;TEXT($F847-$E847,"0.00")&amp;")"))</f>
        <v/>
      </c>
      <c r="H847">
        <f>IF($W847="","",SUMIFS(상세표[기록 시간외],상세표[사번키],INDEX(합계표[사번키],$W847),상세표[기록월],대상월키,상세표[반영월],"&lt;&gt;"&amp;대상월키))</f>
        <v/>
      </c>
      <c r="I847">
        <f>IF($W847="","",SUMIFS(상세표[기록 시간외],상세표[사번키],INDEX(합계표[사번키],$W847),상세표[기록월],"&lt;&gt;"&amp;대상월키,상세표[반영월],대상월키))</f>
        <v/>
      </c>
      <c r="J847">
        <f>IF($W847="","",SUMIFS(상세표[기록 시간외],상세표[사번키],INDEX(합계표[사번키],$W847),상세표[반영월],대상월키))</f>
        <v/>
      </c>
      <c r="K847">
        <f>IF($W847="","",IFERROR(INDEX(월별근무지표[적용 급여병원],MATCH(INDEX(합계표[사번키],$W847)&amp;"|"&amp;대상월키,월별근무지표[키],0))&amp;"",IF(COUNTIF(기관표[사번키],INDEX(합계표[사번키],$W847))+COUNTIF(월별근무지표[사번키],INDEX(합계표[사번키],$W847))&gt;0,IFERROR(INDEX(기관표[급여지급병원(기준월)],MATCH(INDEX(합계표[사번키],$W847)&amp;"|"&amp;대상월키,기관표[키],0))&amp;"","—"),"—")))</f>
        <v/>
      </c>
      <c r="L847">
        <f>IF($W847="","",IF(NOT(COUNTIF(기관표[사번키],INDEX(합계표[사번키],$W847))+COUNTIF(월별근무지표[사번키],INDEX(합계표[사번키],$W847))&gt;0),"기관명단에 없음(다른 병원으로 발송)",IF($K847="—","대상월 기관명단 없음(추가 필요)",IF($K847="서울병원","해당","비해당"))))</f>
        <v/>
      </c>
      <c r="M847">
        <f>IF($W847="","",SUMIFS(상세표[06~07시],상세표[사번키],INDEX(합계표[사번키],$W847),상세표[반영월],대상월키,상세표[반영 기관],"서울병원"))</f>
        <v/>
      </c>
      <c r="N847">
        <f>IF($W847="","",SUMIFS(상세표[07~18시],상세표[사번키],INDEX(합계표[사번키],$W847),상세표[반영월],대상월키,상세표[반영 기관],"서울병원"))</f>
        <v/>
      </c>
      <c r="O847">
        <f>IF($W847="","",SUMIFS(상세표[18~22시],상세표[사번키],INDEX(합계표[사번키],$W847),상세표[반영월],대상월키,상세표[반영 기관],"서울병원"))</f>
        <v/>
      </c>
      <c r="P847">
        <f>IF($W847="","",SUMIFS(상세표[22~06시],상세표[사번키],INDEX(합계표[사번키],$W847),상세표[반영월],대상월키,상세표[반영 기관],"서울병원"))</f>
        <v/>
      </c>
      <c r="Q847">
        <f>IF($W847="","",SUM($M847:$P847))</f>
        <v/>
      </c>
      <c r="R847">
        <f>IF($W847="","",COUNTIFS(상세표[사번키],INDEX(합계표[사번키],$W847),상세표[반영월],대상월키,상세표[야간당직],1,상세표[야간 구분],"평일"))</f>
        <v/>
      </c>
      <c r="S847" s="4">
        <f>IF($W847="","",COUNTIFS(상세표[사번키],INDEX(합계표[사번키],$W847),상세표[반영월],대상월키,상세표[야간당직],1,상세표[야간 구분],"휴일"))</f>
        <v/>
      </c>
      <c r="T847">
        <f>IF($W847="","",COUNTIFS(상세표[사번키],INDEX(합계표[사번키],$W847),상세표[반영월],대상월키,상세표[야간당직],1,상세표[야간 구분],"평일",상세표[반영 기관],"서울병원"))</f>
        <v/>
      </c>
      <c r="U847">
        <f>IF($W847="","",COUNTIFS(상세표[사번키],INDEX(합계표[사번키],$W847),상세표[반영월],대상월키,상세표[야간당직],1,상세표[야간 구분],"휴일",상세표[반영 기관],"서울병원"))</f>
        <v/>
      </c>
      <c r="V847">
        <f>IF($W847="","",IF(ISNUMBER(MATCH(INDEX(합계표[사번키],$W847)&amp;"|"&amp;대상월키,월별근무지표[키],0)),"직접 입력",IF($K847="—","—","기관명단")))</f>
        <v/>
      </c>
      <c r="W847">
        <f>IFERROR(MATCH(842,합계표[판정순번],0),"")</f>
        <v/>
      </c>
    </row>
    <row r="848">
      <c r="A848">
        <f>IF($W848="","",INDEX(합계표[사번],$W848)&amp;"")</f>
        <v/>
      </c>
      <c r="B848">
        <f>IF($W848="","",INDEX(합계표[성명],$W848)&amp;"")</f>
        <v/>
      </c>
      <c r="C848">
        <f>IF($W848="","",INDEX(합계표[부서],$W848)&amp;"")</f>
        <v/>
      </c>
      <c r="D848">
        <f>IF($W848="","",INDEX(합계표[직위(통합)],$W848)&amp;"")</f>
        <v/>
      </c>
      <c r="E848">
        <f>IF($W848="","",SUMIFS(합계표[시스템 합계],합계표[사번키],INDEX(합계표[사번키],$W848)))</f>
        <v/>
      </c>
      <c r="F848">
        <f>IF($W848="","",SUMIFS(상세표[기록 시간외],상세표[사번키],INDEX(합계표[사번키],$W848),상세표[기록월],대상월키))</f>
        <v/>
      </c>
      <c r="G848">
        <f>IF($W848="","",IF(ABS($E848-$F848)&lt;0.01,"일치","불일치(차이 "&amp;TEXT($F848-$E848,"0.00")&amp;")"))</f>
        <v/>
      </c>
      <c r="H848">
        <f>IF($W848="","",SUMIFS(상세표[기록 시간외],상세표[사번키],INDEX(합계표[사번키],$W848),상세표[기록월],대상월키,상세표[반영월],"&lt;&gt;"&amp;대상월키))</f>
        <v/>
      </c>
      <c r="I848">
        <f>IF($W848="","",SUMIFS(상세표[기록 시간외],상세표[사번키],INDEX(합계표[사번키],$W848),상세표[기록월],"&lt;&gt;"&amp;대상월키,상세표[반영월],대상월키))</f>
        <v/>
      </c>
      <c r="J848">
        <f>IF($W848="","",SUMIFS(상세표[기록 시간외],상세표[사번키],INDEX(합계표[사번키],$W848),상세표[반영월],대상월키))</f>
        <v/>
      </c>
      <c r="K848">
        <f>IF($W848="","",IFERROR(INDEX(월별근무지표[적용 급여병원],MATCH(INDEX(합계표[사번키],$W848)&amp;"|"&amp;대상월키,월별근무지표[키],0))&amp;"",IF(COUNTIF(기관표[사번키],INDEX(합계표[사번키],$W848))+COUNTIF(월별근무지표[사번키],INDEX(합계표[사번키],$W848))&gt;0,IFERROR(INDEX(기관표[급여지급병원(기준월)],MATCH(INDEX(합계표[사번키],$W848)&amp;"|"&amp;대상월키,기관표[키],0))&amp;"","—"),"—")))</f>
        <v/>
      </c>
      <c r="L848">
        <f>IF($W848="","",IF(NOT(COUNTIF(기관표[사번키],INDEX(합계표[사번키],$W848))+COUNTIF(월별근무지표[사번키],INDEX(합계표[사번키],$W848))&gt;0),"기관명단에 없음(다른 병원으로 발송)",IF($K848="—","대상월 기관명단 없음(추가 필요)",IF($K848="서울병원","해당","비해당"))))</f>
        <v/>
      </c>
      <c r="M848">
        <f>IF($W848="","",SUMIFS(상세표[06~07시],상세표[사번키],INDEX(합계표[사번키],$W848),상세표[반영월],대상월키,상세표[반영 기관],"서울병원"))</f>
        <v/>
      </c>
      <c r="N848">
        <f>IF($W848="","",SUMIFS(상세표[07~18시],상세표[사번키],INDEX(합계표[사번키],$W848),상세표[반영월],대상월키,상세표[반영 기관],"서울병원"))</f>
        <v/>
      </c>
      <c r="O848">
        <f>IF($W848="","",SUMIFS(상세표[18~22시],상세표[사번키],INDEX(합계표[사번키],$W848),상세표[반영월],대상월키,상세표[반영 기관],"서울병원"))</f>
        <v/>
      </c>
      <c r="P848">
        <f>IF($W848="","",SUMIFS(상세표[22~06시],상세표[사번키],INDEX(합계표[사번키],$W848),상세표[반영월],대상월키,상세표[반영 기관],"서울병원"))</f>
        <v/>
      </c>
      <c r="Q848">
        <f>IF($W848="","",SUM($M848:$P848))</f>
        <v/>
      </c>
      <c r="R848">
        <f>IF($W848="","",COUNTIFS(상세표[사번키],INDEX(합계표[사번키],$W848),상세표[반영월],대상월키,상세표[야간당직],1,상세표[야간 구분],"평일"))</f>
        <v/>
      </c>
      <c r="S848" s="4">
        <f>IF($W848="","",COUNTIFS(상세표[사번키],INDEX(합계표[사번키],$W848),상세표[반영월],대상월키,상세표[야간당직],1,상세표[야간 구분],"휴일"))</f>
        <v/>
      </c>
      <c r="T848">
        <f>IF($W848="","",COUNTIFS(상세표[사번키],INDEX(합계표[사번키],$W848),상세표[반영월],대상월키,상세표[야간당직],1,상세표[야간 구분],"평일",상세표[반영 기관],"서울병원"))</f>
        <v/>
      </c>
      <c r="U848">
        <f>IF($W848="","",COUNTIFS(상세표[사번키],INDEX(합계표[사번키],$W848),상세표[반영월],대상월키,상세표[야간당직],1,상세표[야간 구분],"휴일",상세표[반영 기관],"서울병원"))</f>
        <v/>
      </c>
      <c r="V848">
        <f>IF($W848="","",IF(ISNUMBER(MATCH(INDEX(합계표[사번키],$W848)&amp;"|"&amp;대상월키,월별근무지표[키],0)),"직접 입력",IF($K848="—","—","기관명단")))</f>
        <v/>
      </c>
      <c r="W848">
        <f>IFERROR(MATCH(843,합계표[판정순번],0),"")</f>
        <v/>
      </c>
    </row>
    <row r="849">
      <c r="A849">
        <f>IF($W849="","",INDEX(합계표[사번],$W849)&amp;"")</f>
        <v/>
      </c>
      <c r="B849">
        <f>IF($W849="","",INDEX(합계표[성명],$W849)&amp;"")</f>
        <v/>
      </c>
      <c r="C849">
        <f>IF($W849="","",INDEX(합계표[부서],$W849)&amp;"")</f>
        <v/>
      </c>
      <c r="D849">
        <f>IF($W849="","",INDEX(합계표[직위(통합)],$W849)&amp;"")</f>
        <v/>
      </c>
      <c r="E849">
        <f>IF($W849="","",SUMIFS(합계표[시스템 합계],합계표[사번키],INDEX(합계표[사번키],$W849)))</f>
        <v/>
      </c>
      <c r="F849">
        <f>IF($W849="","",SUMIFS(상세표[기록 시간외],상세표[사번키],INDEX(합계표[사번키],$W849),상세표[기록월],대상월키))</f>
        <v/>
      </c>
      <c r="G849">
        <f>IF($W849="","",IF(ABS($E849-$F849)&lt;0.01,"일치","불일치(차이 "&amp;TEXT($F849-$E849,"0.00")&amp;")"))</f>
        <v/>
      </c>
      <c r="H849">
        <f>IF($W849="","",SUMIFS(상세표[기록 시간외],상세표[사번키],INDEX(합계표[사번키],$W849),상세표[기록월],대상월키,상세표[반영월],"&lt;&gt;"&amp;대상월키))</f>
        <v/>
      </c>
      <c r="I849">
        <f>IF($W849="","",SUMIFS(상세표[기록 시간외],상세표[사번키],INDEX(합계표[사번키],$W849),상세표[기록월],"&lt;&gt;"&amp;대상월키,상세표[반영월],대상월키))</f>
        <v/>
      </c>
      <c r="J849">
        <f>IF($W849="","",SUMIFS(상세표[기록 시간외],상세표[사번키],INDEX(합계표[사번키],$W849),상세표[반영월],대상월키))</f>
        <v/>
      </c>
      <c r="K849">
        <f>IF($W849="","",IFERROR(INDEX(월별근무지표[적용 급여병원],MATCH(INDEX(합계표[사번키],$W849)&amp;"|"&amp;대상월키,월별근무지표[키],0))&amp;"",IF(COUNTIF(기관표[사번키],INDEX(합계표[사번키],$W849))+COUNTIF(월별근무지표[사번키],INDEX(합계표[사번키],$W849))&gt;0,IFERROR(INDEX(기관표[급여지급병원(기준월)],MATCH(INDEX(합계표[사번키],$W849)&amp;"|"&amp;대상월키,기관표[키],0))&amp;"","—"),"—")))</f>
        <v/>
      </c>
      <c r="L849">
        <f>IF($W849="","",IF(NOT(COUNTIF(기관표[사번키],INDEX(합계표[사번키],$W849))+COUNTIF(월별근무지표[사번키],INDEX(합계표[사번키],$W849))&gt;0),"기관명단에 없음(다른 병원으로 발송)",IF($K849="—","대상월 기관명단 없음(추가 필요)",IF($K849="서울병원","해당","비해당"))))</f>
        <v/>
      </c>
      <c r="M849">
        <f>IF($W849="","",SUMIFS(상세표[06~07시],상세표[사번키],INDEX(합계표[사번키],$W849),상세표[반영월],대상월키,상세표[반영 기관],"서울병원"))</f>
        <v/>
      </c>
      <c r="N849">
        <f>IF($W849="","",SUMIFS(상세표[07~18시],상세표[사번키],INDEX(합계표[사번키],$W849),상세표[반영월],대상월키,상세표[반영 기관],"서울병원"))</f>
        <v/>
      </c>
      <c r="O849">
        <f>IF($W849="","",SUMIFS(상세표[18~22시],상세표[사번키],INDEX(합계표[사번키],$W849),상세표[반영월],대상월키,상세표[반영 기관],"서울병원"))</f>
        <v/>
      </c>
      <c r="P849">
        <f>IF($W849="","",SUMIFS(상세표[22~06시],상세표[사번키],INDEX(합계표[사번키],$W849),상세표[반영월],대상월키,상세표[반영 기관],"서울병원"))</f>
        <v/>
      </c>
      <c r="Q849">
        <f>IF($W849="","",SUM($M849:$P849))</f>
        <v/>
      </c>
      <c r="R849">
        <f>IF($W849="","",COUNTIFS(상세표[사번키],INDEX(합계표[사번키],$W849),상세표[반영월],대상월키,상세표[야간당직],1,상세표[야간 구분],"평일"))</f>
        <v/>
      </c>
      <c r="S849" s="4">
        <f>IF($W849="","",COUNTIFS(상세표[사번키],INDEX(합계표[사번키],$W849),상세표[반영월],대상월키,상세표[야간당직],1,상세표[야간 구분],"휴일"))</f>
        <v/>
      </c>
      <c r="T849">
        <f>IF($W849="","",COUNTIFS(상세표[사번키],INDEX(합계표[사번키],$W849),상세표[반영월],대상월키,상세표[야간당직],1,상세표[야간 구분],"평일",상세표[반영 기관],"서울병원"))</f>
        <v/>
      </c>
      <c r="U849">
        <f>IF($W849="","",COUNTIFS(상세표[사번키],INDEX(합계표[사번키],$W849),상세표[반영월],대상월키,상세표[야간당직],1,상세표[야간 구분],"휴일",상세표[반영 기관],"서울병원"))</f>
        <v/>
      </c>
      <c r="V849">
        <f>IF($W849="","",IF(ISNUMBER(MATCH(INDEX(합계표[사번키],$W849)&amp;"|"&amp;대상월키,월별근무지표[키],0)),"직접 입력",IF($K849="—","—","기관명단")))</f>
        <v/>
      </c>
      <c r="W849">
        <f>IFERROR(MATCH(844,합계표[판정순번],0),"")</f>
        <v/>
      </c>
    </row>
    <row r="850">
      <c r="A850">
        <f>IF($W850="","",INDEX(합계표[사번],$W850)&amp;"")</f>
        <v/>
      </c>
      <c r="B850">
        <f>IF($W850="","",INDEX(합계표[성명],$W850)&amp;"")</f>
        <v/>
      </c>
      <c r="C850">
        <f>IF($W850="","",INDEX(합계표[부서],$W850)&amp;"")</f>
        <v/>
      </c>
      <c r="D850">
        <f>IF($W850="","",INDEX(합계표[직위(통합)],$W850)&amp;"")</f>
        <v/>
      </c>
      <c r="E850">
        <f>IF($W850="","",SUMIFS(합계표[시스템 합계],합계표[사번키],INDEX(합계표[사번키],$W850)))</f>
        <v/>
      </c>
      <c r="F850">
        <f>IF($W850="","",SUMIFS(상세표[기록 시간외],상세표[사번키],INDEX(합계표[사번키],$W850),상세표[기록월],대상월키))</f>
        <v/>
      </c>
      <c r="G850">
        <f>IF($W850="","",IF(ABS($E850-$F850)&lt;0.01,"일치","불일치(차이 "&amp;TEXT($F850-$E850,"0.00")&amp;")"))</f>
        <v/>
      </c>
      <c r="H850">
        <f>IF($W850="","",SUMIFS(상세표[기록 시간외],상세표[사번키],INDEX(합계표[사번키],$W850),상세표[기록월],대상월키,상세표[반영월],"&lt;&gt;"&amp;대상월키))</f>
        <v/>
      </c>
      <c r="I850">
        <f>IF($W850="","",SUMIFS(상세표[기록 시간외],상세표[사번키],INDEX(합계표[사번키],$W850),상세표[기록월],"&lt;&gt;"&amp;대상월키,상세표[반영월],대상월키))</f>
        <v/>
      </c>
      <c r="J850">
        <f>IF($W850="","",SUMIFS(상세표[기록 시간외],상세표[사번키],INDEX(합계표[사번키],$W850),상세표[반영월],대상월키))</f>
        <v/>
      </c>
      <c r="K850">
        <f>IF($W850="","",IFERROR(INDEX(월별근무지표[적용 급여병원],MATCH(INDEX(합계표[사번키],$W850)&amp;"|"&amp;대상월키,월별근무지표[키],0))&amp;"",IF(COUNTIF(기관표[사번키],INDEX(합계표[사번키],$W850))+COUNTIF(월별근무지표[사번키],INDEX(합계표[사번키],$W850))&gt;0,IFERROR(INDEX(기관표[급여지급병원(기준월)],MATCH(INDEX(합계표[사번키],$W850)&amp;"|"&amp;대상월키,기관표[키],0))&amp;"","—"),"—")))</f>
        <v/>
      </c>
      <c r="L850">
        <f>IF($W850="","",IF(NOT(COUNTIF(기관표[사번키],INDEX(합계표[사번키],$W850))+COUNTIF(월별근무지표[사번키],INDEX(합계표[사번키],$W850))&gt;0),"기관명단에 없음(다른 병원으로 발송)",IF($K850="—","대상월 기관명단 없음(추가 필요)",IF($K850="서울병원","해당","비해당"))))</f>
        <v/>
      </c>
      <c r="M850">
        <f>IF($W850="","",SUMIFS(상세표[06~07시],상세표[사번키],INDEX(합계표[사번키],$W850),상세표[반영월],대상월키,상세표[반영 기관],"서울병원"))</f>
        <v/>
      </c>
      <c r="N850">
        <f>IF($W850="","",SUMIFS(상세표[07~18시],상세표[사번키],INDEX(합계표[사번키],$W850),상세표[반영월],대상월키,상세표[반영 기관],"서울병원"))</f>
        <v/>
      </c>
      <c r="O850">
        <f>IF($W850="","",SUMIFS(상세표[18~22시],상세표[사번키],INDEX(합계표[사번키],$W850),상세표[반영월],대상월키,상세표[반영 기관],"서울병원"))</f>
        <v/>
      </c>
      <c r="P850">
        <f>IF($W850="","",SUMIFS(상세표[22~06시],상세표[사번키],INDEX(합계표[사번키],$W850),상세표[반영월],대상월키,상세표[반영 기관],"서울병원"))</f>
        <v/>
      </c>
      <c r="Q850">
        <f>IF($W850="","",SUM($M850:$P850))</f>
        <v/>
      </c>
      <c r="R850">
        <f>IF($W850="","",COUNTIFS(상세표[사번키],INDEX(합계표[사번키],$W850),상세표[반영월],대상월키,상세표[야간당직],1,상세표[야간 구분],"평일"))</f>
        <v/>
      </c>
      <c r="S850" s="4">
        <f>IF($W850="","",COUNTIFS(상세표[사번키],INDEX(합계표[사번키],$W850),상세표[반영월],대상월키,상세표[야간당직],1,상세표[야간 구분],"휴일"))</f>
        <v/>
      </c>
      <c r="T850">
        <f>IF($W850="","",COUNTIFS(상세표[사번키],INDEX(합계표[사번키],$W850),상세표[반영월],대상월키,상세표[야간당직],1,상세표[야간 구분],"평일",상세표[반영 기관],"서울병원"))</f>
        <v/>
      </c>
      <c r="U850">
        <f>IF($W850="","",COUNTIFS(상세표[사번키],INDEX(합계표[사번키],$W850),상세표[반영월],대상월키,상세표[야간당직],1,상세표[야간 구분],"휴일",상세표[반영 기관],"서울병원"))</f>
        <v/>
      </c>
      <c r="V850">
        <f>IF($W850="","",IF(ISNUMBER(MATCH(INDEX(합계표[사번키],$W850)&amp;"|"&amp;대상월키,월별근무지표[키],0)),"직접 입력",IF($K850="—","—","기관명단")))</f>
        <v/>
      </c>
      <c r="W850">
        <f>IFERROR(MATCH(845,합계표[판정순번],0),"")</f>
        <v/>
      </c>
    </row>
    <row r="851">
      <c r="A851">
        <f>IF($W851="","",INDEX(합계표[사번],$W851)&amp;"")</f>
        <v/>
      </c>
      <c r="B851">
        <f>IF($W851="","",INDEX(합계표[성명],$W851)&amp;"")</f>
        <v/>
      </c>
      <c r="C851">
        <f>IF($W851="","",INDEX(합계표[부서],$W851)&amp;"")</f>
        <v/>
      </c>
      <c r="D851">
        <f>IF($W851="","",INDEX(합계표[직위(통합)],$W851)&amp;"")</f>
        <v/>
      </c>
      <c r="E851">
        <f>IF($W851="","",SUMIFS(합계표[시스템 합계],합계표[사번키],INDEX(합계표[사번키],$W851)))</f>
        <v/>
      </c>
      <c r="F851">
        <f>IF($W851="","",SUMIFS(상세표[기록 시간외],상세표[사번키],INDEX(합계표[사번키],$W851),상세표[기록월],대상월키))</f>
        <v/>
      </c>
      <c r="G851">
        <f>IF($W851="","",IF(ABS($E851-$F851)&lt;0.01,"일치","불일치(차이 "&amp;TEXT($F851-$E851,"0.00")&amp;")"))</f>
        <v/>
      </c>
      <c r="H851">
        <f>IF($W851="","",SUMIFS(상세표[기록 시간외],상세표[사번키],INDEX(합계표[사번키],$W851),상세표[기록월],대상월키,상세표[반영월],"&lt;&gt;"&amp;대상월키))</f>
        <v/>
      </c>
      <c r="I851">
        <f>IF($W851="","",SUMIFS(상세표[기록 시간외],상세표[사번키],INDEX(합계표[사번키],$W851),상세표[기록월],"&lt;&gt;"&amp;대상월키,상세표[반영월],대상월키))</f>
        <v/>
      </c>
      <c r="J851">
        <f>IF($W851="","",SUMIFS(상세표[기록 시간외],상세표[사번키],INDEX(합계표[사번키],$W851),상세표[반영월],대상월키))</f>
        <v/>
      </c>
      <c r="K851">
        <f>IF($W851="","",IFERROR(INDEX(월별근무지표[적용 급여병원],MATCH(INDEX(합계표[사번키],$W851)&amp;"|"&amp;대상월키,월별근무지표[키],0))&amp;"",IF(COUNTIF(기관표[사번키],INDEX(합계표[사번키],$W851))+COUNTIF(월별근무지표[사번키],INDEX(합계표[사번키],$W851))&gt;0,IFERROR(INDEX(기관표[급여지급병원(기준월)],MATCH(INDEX(합계표[사번키],$W851)&amp;"|"&amp;대상월키,기관표[키],0))&amp;"","—"),"—")))</f>
        <v/>
      </c>
      <c r="L851">
        <f>IF($W851="","",IF(NOT(COUNTIF(기관표[사번키],INDEX(합계표[사번키],$W851))+COUNTIF(월별근무지표[사번키],INDEX(합계표[사번키],$W851))&gt;0),"기관명단에 없음(다른 병원으로 발송)",IF($K851="—","대상월 기관명단 없음(추가 필요)",IF($K851="서울병원","해당","비해당"))))</f>
        <v/>
      </c>
      <c r="M851">
        <f>IF($W851="","",SUMIFS(상세표[06~07시],상세표[사번키],INDEX(합계표[사번키],$W851),상세표[반영월],대상월키,상세표[반영 기관],"서울병원"))</f>
        <v/>
      </c>
      <c r="N851">
        <f>IF($W851="","",SUMIFS(상세표[07~18시],상세표[사번키],INDEX(합계표[사번키],$W851),상세표[반영월],대상월키,상세표[반영 기관],"서울병원"))</f>
        <v/>
      </c>
      <c r="O851">
        <f>IF($W851="","",SUMIFS(상세표[18~22시],상세표[사번키],INDEX(합계표[사번키],$W851),상세표[반영월],대상월키,상세표[반영 기관],"서울병원"))</f>
        <v/>
      </c>
      <c r="P851">
        <f>IF($W851="","",SUMIFS(상세표[22~06시],상세표[사번키],INDEX(합계표[사번키],$W851),상세표[반영월],대상월키,상세표[반영 기관],"서울병원"))</f>
        <v/>
      </c>
      <c r="Q851">
        <f>IF($W851="","",SUM($M851:$P851))</f>
        <v/>
      </c>
      <c r="R851">
        <f>IF($W851="","",COUNTIFS(상세표[사번키],INDEX(합계표[사번키],$W851),상세표[반영월],대상월키,상세표[야간당직],1,상세표[야간 구분],"평일"))</f>
        <v/>
      </c>
      <c r="S851" s="4">
        <f>IF($W851="","",COUNTIFS(상세표[사번키],INDEX(합계표[사번키],$W851),상세표[반영월],대상월키,상세표[야간당직],1,상세표[야간 구분],"휴일"))</f>
        <v/>
      </c>
      <c r="T851">
        <f>IF($W851="","",COUNTIFS(상세표[사번키],INDEX(합계표[사번키],$W851),상세표[반영월],대상월키,상세표[야간당직],1,상세표[야간 구분],"평일",상세표[반영 기관],"서울병원"))</f>
        <v/>
      </c>
      <c r="U851">
        <f>IF($W851="","",COUNTIFS(상세표[사번키],INDEX(합계표[사번키],$W851),상세표[반영월],대상월키,상세표[야간당직],1,상세표[야간 구분],"휴일",상세표[반영 기관],"서울병원"))</f>
        <v/>
      </c>
      <c r="V851">
        <f>IF($W851="","",IF(ISNUMBER(MATCH(INDEX(합계표[사번키],$W851)&amp;"|"&amp;대상월키,월별근무지표[키],0)),"직접 입력",IF($K851="—","—","기관명단")))</f>
        <v/>
      </c>
      <c r="W851">
        <f>IFERROR(MATCH(846,합계표[판정순번],0),"")</f>
        <v/>
      </c>
    </row>
    <row r="852">
      <c r="A852">
        <f>IF($W852="","",INDEX(합계표[사번],$W852)&amp;"")</f>
        <v/>
      </c>
      <c r="B852">
        <f>IF($W852="","",INDEX(합계표[성명],$W852)&amp;"")</f>
        <v/>
      </c>
      <c r="C852">
        <f>IF($W852="","",INDEX(합계표[부서],$W852)&amp;"")</f>
        <v/>
      </c>
      <c r="D852">
        <f>IF($W852="","",INDEX(합계표[직위(통합)],$W852)&amp;"")</f>
        <v/>
      </c>
      <c r="E852">
        <f>IF($W852="","",SUMIFS(합계표[시스템 합계],합계표[사번키],INDEX(합계표[사번키],$W852)))</f>
        <v/>
      </c>
      <c r="F852">
        <f>IF($W852="","",SUMIFS(상세표[기록 시간외],상세표[사번키],INDEX(합계표[사번키],$W852),상세표[기록월],대상월키))</f>
        <v/>
      </c>
      <c r="G852">
        <f>IF($W852="","",IF(ABS($E852-$F852)&lt;0.01,"일치","불일치(차이 "&amp;TEXT($F852-$E852,"0.00")&amp;")"))</f>
        <v/>
      </c>
      <c r="H852">
        <f>IF($W852="","",SUMIFS(상세표[기록 시간외],상세표[사번키],INDEX(합계표[사번키],$W852),상세표[기록월],대상월키,상세표[반영월],"&lt;&gt;"&amp;대상월키))</f>
        <v/>
      </c>
      <c r="I852">
        <f>IF($W852="","",SUMIFS(상세표[기록 시간외],상세표[사번키],INDEX(합계표[사번키],$W852),상세표[기록월],"&lt;&gt;"&amp;대상월키,상세표[반영월],대상월키))</f>
        <v/>
      </c>
      <c r="J852">
        <f>IF($W852="","",SUMIFS(상세표[기록 시간외],상세표[사번키],INDEX(합계표[사번키],$W852),상세표[반영월],대상월키))</f>
        <v/>
      </c>
      <c r="K852">
        <f>IF($W852="","",IFERROR(INDEX(월별근무지표[적용 급여병원],MATCH(INDEX(합계표[사번키],$W852)&amp;"|"&amp;대상월키,월별근무지표[키],0))&amp;"",IF(COUNTIF(기관표[사번키],INDEX(합계표[사번키],$W852))+COUNTIF(월별근무지표[사번키],INDEX(합계표[사번키],$W852))&gt;0,IFERROR(INDEX(기관표[급여지급병원(기준월)],MATCH(INDEX(합계표[사번키],$W852)&amp;"|"&amp;대상월키,기관표[키],0))&amp;"","—"),"—")))</f>
        <v/>
      </c>
      <c r="L852">
        <f>IF($W852="","",IF(NOT(COUNTIF(기관표[사번키],INDEX(합계표[사번키],$W852))+COUNTIF(월별근무지표[사번키],INDEX(합계표[사번키],$W852))&gt;0),"기관명단에 없음(다른 병원으로 발송)",IF($K852="—","대상월 기관명단 없음(추가 필요)",IF($K852="서울병원","해당","비해당"))))</f>
        <v/>
      </c>
      <c r="M852">
        <f>IF($W852="","",SUMIFS(상세표[06~07시],상세표[사번키],INDEX(합계표[사번키],$W852),상세표[반영월],대상월키,상세표[반영 기관],"서울병원"))</f>
        <v/>
      </c>
      <c r="N852">
        <f>IF($W852="","",SUMIFS(상세표[07~18시],상세표[사번키],INDEX(합계표[사번키],$W852),상세표[반영월],대상월키,상세표[반영 기관],"서울병원"))</f>
        <v/>
      </c>
      <c r="O852">
        <f>IF($W852="","",SUMIFS(상세표[18~22시],상세표[사번키],INDEX(합계표[사번키],$W852),상세표[반영월],대상월키,상세표[반영 기관],"서울병원"))</f>
        <v/>
      </c>
      <c r="P852">
        <f>IF($W852="","",SUMIFS(상세표[22~06시],상세표[사번키],INDEX(합계표[사번키],$W852),상세표[반영월],대상월키,상세표[반영 기관],"서울병원"))</f>
        <v/>
      </c>
      <c r="Q852">
        <f>IF($W852="","",SUM($M852:$P852))</f>
        <v/>
      </c>
      <c r="R852">
        <f>IF($W852="","",COUNTIFS(상세표[사번키],INDEX(합계표[사번키],$W852),상세표[반영월],대상월키,상세표[야간당직],1,상세표[야간 구분],"평일"))</f>
        <v/>
      </c>
      <c r="S852" s="4">
        <f>IF($W852="","",COUNTIFS(상세표[사번키],INDEX(합계표[사번키],$W852),상세표[반영월],대상월키,상세표[야간당직],1,상세표[야간 구분],"휴일"))</f>
        <v/>
      </c>
      <c r="T852">
        <f>IF($W852="","",COUNTIFS(상세표[사번키],INDEX(합계표[사번키],$W852),상세표[반영월],대상월키,상세표[야간당직],1,상세표[야간 구분],"평일",상세표[반영 기관],"서울병원"))</f>
        <v/>
      </c>
      <c r="U852">
        <f>IF($W852="","",COUNTIFS(상세표[사번키],INDEX(합계표[사번키],$W852),상세표[반영월],대상월키,상세표[야간당직],1,상세표[야간 구분],"휴일",상세표[반영 기관],"서울병원"))</f>
        <v/>
      </c>
      <c r="V852">
        <f>IF($W852="","",IF(ISNUMBER(MATCH(INDEX(합계표[사번키],$W852)&amp;"|"&amp;대상월키,월별근무지표[키],0)),"직접 입력",IF($K852="—","—","기관명단")))</f>
        <v/>
      </c>
      <c r="W852">
        <f>IFERROR(MATCH(847,합계표[판정순번],0),"")</f>
        <v/>
      </c>
    </row>
    <row r="853">
      <c r="A853">
        <f>IF($W853="","",INDEX(합계표[사번],$W853)&amp;"")</f>
        <v/>
      </c>
      <c r="B853">
        <f>IF($W853="","",INDEX(합계표[성명],$W853)&amp;"")</f>
        <v/>
      </c>
      <c r="C853">
        <f>IF($W853="","",INDEX(합계표[부서],$W853)&amp;"")</f>
        <v/>
      </c>
      <c r="D853">
        <f>IF($W853="","",INDEX(합계표[직위(통합)],$W853)&amp;"")</f>
        <v/>
      </c>
      <c r="E853">
        <f>IF($W853="","",SUMIFS(합계표[시스템 합계],합계표[사번키],INDEX(합계표[사번키],$W853)))</f>
        <v/>
      </c>
      <c r="F853">
        <f>IF($W853="","",SUMIFS(상세표[기록 시간외],상세표[사번키],INDEX(합계표[사번키],$W853),상세표[기록월],대상월키))</f>
        <v/>
      </c>
      <c r="G853">
        <f>IF($W853="","",IF(ABS($E853-$F853)&lt;0.01,"일치","불일치(차이 "&amp;TEXT($F853-$E853,"0.00")&amp;")"))</f>
        <v/>
      </c>
      <c r="H853">
        <f>IF($W853="","",SUMIFS(상세표[기록 시간외],상세표[사번키],INDEX(합계표[사번키],$W853),상세표[기록월],대상월키,상세표[반영월],"&lt;&gt;"&amp;대상월키))</f>
        <v/>
      </c>
      <c r="I853">
        <f>IF($W853="","",SUMIFS(상세표[기록 시간외],상세표[사번키],INDEX(합계표[사번키],$W853),상세표[기록월],"&lt;&gt;"&amp;대상월키,상세표[반영월],대상월키))</f>
        <v/>
      </c>
      <c r="J853">
        <f>IF($W853="","",SUMIFS(상세표[기록 시간외],상세표[사번키],INDEX(합계표[사번키],$W853),상세표[반영월],대상월키))</f>
        <v/>
      </c>
      <c r="K853">
        <f>IF($W853="","",IFERROR(INDEX(월별근무지표[적용 급여병원],MATCH(INDEX(합계표[사번키],$W853)&amp;"|"&amp;대상월키,월별근무지표[키],0))&amp;"",IF(COUNTIF(기관표[사번키],INDEX(합계표[사번키],$W853))+COUNTIF(월별근무지표[사번키],INDEX(합계표[사번키],$W853))&gt;0,IFERROR(INDEX(기관표[급여지급병원(기준월)],MATCH(INDEX(합계표[사번키],$W853)&amp;"|"&amp;대상월키,기관표[키],0))&amp;"","—"),"—")))</f>
        <v/>
      </c>
      <c r="L853">
        <f>IF($W853="","",IF(NOT(COUNTIF(기관표[사번키],INDEX(합계표[사번키],$W853))+COUNTIF(월별근무지표[사번키],INDEX(합계표[사번키],$W853))&gt;0),"기관명단에 없음(다른 병원으로 발송)",IF($K853="—","대상월 기관명단 없음(추가 필요)",IF($K853="서울병원","해당","비해당"))))</f>
        <v/>
      </c>
      <c r="M853">
        <f>IF($W853="","",SUMIFS(상세표[06~07시],상세표[사번키],INDEX(합계표[사번키],$W853),상세표[반영월],대상월키,상세표[반영 기관],"서울병원"))</f>
        <v/>
      </c>
      <c r="N853">
        <f>IF($W853="","",SUMIFS(상세표[07~18시],상세표[사번키],INDEX(합계표[사번키],$W853),상세표[반영월],대상월키,상세표[반영 기관],"서울병원"))</f>
        <v/>
      </c>
      <c r="O853">
        <f>IF($W853="","",SUMIFS(상세표[18~22시],상세표[사번키],INDEX(합계표[사번키],$W853),상세표[반영월],대상월키,상세표[반영 기관],"서울병원"))</f>
        <v/>
      </c>
      <c r="P853">
        <f>IF($W853="","",SUMIFS(상세표[22~06시],상세표[사번키],INDEX(합계표[사번키],$W853),상세표[반영월],대상월키,상세표[반영 기관],"서울병원"))</f>
        <v/>
      </c>
      <c r="Q853">
        <f>IF($W853="","",SUM($M853:$P853))</f>
        <v/>
      </c>
      <c r="R853">
        <f>IF($W853="","",COUNTIFS(상세표[사번키],INDEX(합계표[사번키],$W853),상세표[반영월],대상월키,상세표[야간당직],1,상세표[야간 구분],"평일"))</f>
        <v/>
      </c>
      <c r="S853" s="4">
        <f>IF($W853="","",COUNTIFS(상세표[사번키],INDEX(합계표[사번키],$W853),상세표[반영월],대상월키,상세표[야간당직],1,상세표[야간 구분],"휴일"))</f>
        <v/>
      </c>
      <c r="T853">
        <f>IF($W853="","",COUNTIFS(상세표[사번키],INDEX(합계표[사번키],$W853),상세표[반영월],대상월키,상세표[야간당직],1,상세표[야간 구분],"평일",상세표[반영 기관],"서울병원"))</f>
        <v/>
      </c>
      <c r="U853">
        <f>IF($W853="","",COUNTIFS(상세표[사번키],INDEX(합계표[사번키],$W853),상세표[반영월],대상월키,상세표[야간당직],1,상세표[야간 구분],"휴일",상세표[반영 기관],"서울병원"))</f>
        <v/>
      </c>
      <c r="V853">
        <f>IF($W853="","",IF(ISNUMBER(MATCH(INDEX(합계표[사번키],$W853)&amp;"|"&amp;대상월키,월별근무지표[키],0)),"직접 입력",IF($K853="—","—","기관명단")))</f>
        <v/>
      </c>
      <c r="W853">
        <f>IFERROR(MATCH(848,합계표[판정순번],0),"")</f>
        <v/>
      </c>
    </row>
    <row r="854">
      <c r="A854">
        <f>IF($W854="","",INDEX(합계표[사번],$W854)&amp;"")</f>
        <v/>
      </c>
      <c r="B854">
        <f>IF($W854="","",INDEX(합계표[성명],$W854)&amp;"")</f>
        <v/>
      </c>
      <c r="C854">
        <f>IF($W854="","",INDEX(합계표[부서],$W854)&amp;"")</f>
        <v/>
      </c>
      <c r="D854">
        <f>IF($W854="","",INDEX(합계표[직위(통합)],$W854)&amp;"")</f>
        <v/>
      </c>
      <c r="E854">
        <f>IF($W854="","",SUMIFS(합계표[시스템 합계],합계표[사번키],INDEX(합계표[사번키],$W854)))</f>
        <v/>
      </c>
      <c r="F854">
        <f>IF($W854="","",SUMIFS(상세표[기록 시간외],상세표[사번키],INDEX(합계표[사번키],$W854),상세표[기록월],대상월키))</f>
        <v/>
      </c>
      <c r="G854">
        <f>IF($W854="","",IF(ABS($E854-$F854)&lt;0.01,"일치","불일치(차이 "&amp;TEXT($F854-$E854,"0.00")&amp;")"))</f>
        <v/>
      </c>
      <c r="H854">
        <f>IF($W854="","",SUMIFS(상세표[기록 시간외],상세표[사번키],INDEX(합계표[사번키],$W854),상세표[기록월],대상월키,상세표[반영월],"&lt;&gt;"&amp;대상월키))</f>
        <v/>
      </c>
      <c r="I854">
        <f>IF($W854="","",SUMIFS(상세표[기록 시간외],상세표[사번키],INDEX(합계표[사번키],$W854),상세표[기록월],"&lt;&gt;"&amp;대상월키,상세표[반영월],대상월키))</f>
        <v/>
      </c>
      <c r="J854">
        <f>IF($W854="","",SUMIFS(상세표[기록 시간외],상세표[사번키],INDEX(합계표[사번키],$W854),상세표[반영월],대상월키))</f>
        <v/>
      </c>
      <c r="K854">
        <f>IF($W854="","",IFERROR(INDEX(월별근무지표[적용 급여병원],MATCH(INDEX(합계표[사번키],$W854)&amp;"|"&amp;대상월키,월별근무지표[키],0))&amp;"",IF(COUNTIF(기관표[사번키],INDEX(합계표[사번키],$W854))+COUNTIF(월별근무지표[사번키],INDEX(합계표[사번키],$W854))&gt;0,IFERROR(INDEX(기관표[급여지급병원(기준월)],MATCH(INDEX(합계표[사번키],$W854)&amp;"|"&amp;대상월키,기관표[키],0))&amp;"","—"),"—")))</f>
        <v/>
      </c>
      <c r="L854">
        <f>IF($W854="","",IF(NOT(COUNTIF(기관표[사번키],INDEX(합계표[사번키],$W854))+COUNTIF(월별근무지표[사번키],INDEX(합계표[사번키],$W854))&gt;0),"기관명단에 없음(다른 병원으로 발송)",IF($K854="—","대상월 기관명단 없음(추가 필요)",IF($K854="서울병원","해당","비해당"))))</f>
        <v/>
      </c>
      <c r="M854">
        <f>IF($W854="","",SUMIFS(상세표[06~07시],상세표[사번키],INDEX(합계표[사번키],$W854),상세표[반영월],대상월키,상세표[반영 기관],"서울병원"))</f>
        <v/>
      </c>
      <c r="N854">
        <f>IF($W854="","",SUMIFS(상세표[07~18시],상세표[사번키],INDEX(합계표[사번키],$W854),상세표[반영월],대상월키,상세표[반영 기관],"서울병원"))</f>
        <v/>
      </c>
      <c r="O854">
        <f>IF($W854="","",SUMIFS(상세표[18~22시],상세표[사번키],INDEX(합계표[사번키],$W854),상세표[반영월],대상월키,상세표[반영 기관],"서울병원"))</f>
        <v/>
      </c>
      <c r="P854">
        <f>IF($W854="","",SUMIFS(상세표[22~06시],상세표[사번키],INDEX(합계표[사번키],$W854),상세표[반영월],대상월키,상세표[반영 기관],"서울병원"))</f>
        <v/>
      </c>
      <c r="Q854">
        <f>IF($W854="","",SUM($M854:$P854))</f>
        <v/>
      </c>
      <c r="R854">
        <f>IF($W854="","",COUNTIFS(상세표[사번키],INDEX(합계표[사번키],$W854),상세표[반영월],대상월키,상세표[야간당직],1,상세표[야간 구분],"평일"))</f>
        <v/>
      </c>
      <c r="S854" s="4">
        <f>IF($W854="","",COUNTIFS(상세표[사번키],INDEX(합계표[사번키],$W854),상세표[반영월],대상월키,상세표[야간당직],1,상세표[야간 구분],"휴일"))</f>
        <v/>
      </c>
      <c r="T854">
        <f>IF($W854="","",COUNTIFS(상세표[사번키],INDEX(합계표[사번키],$W854),상세표[반영월],대상월키,상세표[야간당직],1,상세표[야간 구분],"평일",상세표[반영 기관],"서울병원"))</f>
        <v/>
      </c>
      <c r="U854">
        <f>IF($W854="","",COUNTIFS(상세표[사번키],INDEX(합계표[사번키],$W854),상세표[반영월],대상월키,상세표[야간당직],1,상세표[야간 구분],"휴일",상세표[반영 기관],"서울병원"))</f>
        <v/>
      </c>
      <c r="V854">
        <f>IF($W854="","",IF(ISNUMBER(MATCH(INDEX(합계표[사번키],$W854)&amp;"|"&amp;대상월키,월별근무지표[키],0)),"직접 입력",IF($K854="—","—","기관명단")))</f>
        <v/>
      </c>
      <c r="W854">
        <f>IFERROR(MATCH(849,합계표[판정순번],0),"")</f>
        <v/>
      </c>
    </row>
    <row r="855">
      <c r="A855">
        <f>IF($W855="","",INDEX(합계표[사번],$W855)&amp;"")</f>
        <v/>
      </c>
      <c r="B855">
        <f>IF($W855="","",INDEX(합계표[성명],$W855)&amp;"")</f>
        <v/>
      </c>
      <c r="C855">
        <f>IF($W855="","",INDEX(합계표[부서],$W855)&amp;"")</f>
        <v/>
      </c>
      <c r="D855">
        <f>IF($W855="","",INDEX(합계표[직위(통합)],$W855)&amp;"")</f>
        <v/>
      </c>
      <c r="E855">
        <f>IF($W855="","",SUMIFS(합계표[시스템 합계],합계표[사번키],INDEX(합계표[사번키],$W855)))</f>
        <v/>
      </c>
      <c r="F855">
        <f>IF($W855="","",SUMIFS(상세표[기록 시간외],상세표[사번키],INDEX(합계표[사번키],$W855),상세표[기록월],대상월키))</f>
        <v/>
      </c>
      <c r="G855">
        <f>IF($W855="","",IF(ABS($E855-$F855)&lt;0.01,"일치","불일치(차이 "&amp;TEXT($F855-$E855,"0.00")&amp;")"))</f>
        <v/>
      </c>
      <c r="H855">
        <f>IF($W855="","",SUMIFS(상세표[기록 시간외],상세표[사번키],INDEX(합계표[사번키],$W855),상세표[기록월],대상월키,상세표[반영월],"&lt;&gt;"&amp;대상월키))</f>
        <v/>
      </c>
      <c r="I855">
        <f>IF($W855="","",SUMIFS(상세표[기록 시간외],상세표[사번키],INDEX(합계표[사번키],$W855),상세표[기록월],"&lt;&gt;"&amp;대상월키,상세표[반영월],대상월키))</f>
        <v/>
      </c>
      <c r="J855">
        <f>IF($W855="","",SUMIFS(상세표[기록 시간외],상세표[사번키],INDEX(합계표[사번키],$W855),상세표[반영월],대상월키))</f>
        <v/>
      </c>
      <c r="K855">
        <f>IF($W855="","",IFERROR(INDEX(월별근무지표[적용 급여병원],MATCH(INDEX(합계표[사번키],$W855)&amp;"|"&amp;대상월키,월별근무지표[키],0))&amp;"",IF(COUNTIF(기관표[사번키],INDEX(합계표[사번키],$W855))+COUNTIF(월별근무지표[사번키],INDEX(합계표[사번키],$W855))&gt;0,IFERROR(INDEX(기관표[급여지급병원(기준월)],MATCH(INDEX(합계표[사번키],$W855)&amp;"|"&amp;대상월키,기관표[키],0))&amp;"","—"),"—")))</f>
        <v/>
      </c>
      <c r="L855">
        <f>IF($W855="","",IF(NOT(COUNTIF(기관표[사번키],INDEX(합계표[사번키],$W855))+COUNTIF(월별근무지표[사번키],INDEX(합계표[사번키],$W855))&gt;0),"기관명단에 없음(다른 병원으로 발송)",IF($K855="—","대상월 기관명단 없음(추가 필요)",IF($K855="서울병원","해당","비해당"))))</f>
        <v/>
      </c>
      <c r="M855">
        <f>IF($W855="","",SUMIFS(상세표[06~07시],상세표[사번키],INDEX(합계표[사번키],$W855),상세표[반영월],대상월키,상세표[반영 기관],"서울병원"))</f>
        <v/>
      </c>
      <c r="N855">
        <f>IF($W855="","",SUMIFS(상세표[07~18시],상세표[사번키],INDEX(합계표[사번키],$W855),상세표[반영월],대상월키,상세표[반영 기관],"서울병원"))</f>
        <v/>
      </c>
      <c r="O855">
        <f>IF($W855="","",SUMIFS(상세표[18~22시],상세표[사번키],INDEX(합계표[사번키],$W855),상세표[반영월],대상월키,상세표[반영 기관],"서울병원"))</f>
        <v/>
      </c>
      <c r="P855">
        <f>IF($W855="","",SUMIFS(상세표[22~06시],상세표[사번키],INDEX(합계표[사번키],$W855),상세표[반영월],대상월키,상세표[반영 기관],"서울병원"))</f>
        <v/>
      </c>
      <c r="Q855">
        <f>IF($W855="","",SUM($M855:$P855))</f>
        <v/>
      </c>
      <c r="R855">
        <f>IF($W855="","",COUNTIFS(상세표[사번키],INDEX(합계표[사번키],$W855),상세표[반영월],대상월키,상세표[야간당직],1,상세표[야간 구분],"평일"))</f>
        <v/>
      </c>
      <c r="S855" s="4">
        <f>IF($W855="","",COUNTIFS(상세표[사번키],INDEX(합계표[사번키],$W855),상세표[반영월],대상월키,상세표[야간당직],1,상세표[야간 구분],"휴일"))</f>
        <v/>
      </c>
      <c r="T855">
        <f>IF($W855="","",COUNTIFS(상세표[사번키],INDEX(합계표[사번키],$W855),상세표[반영월],대상월키,상세표[야간당직],1,상세표[야간 구분],"평일",상세표[반영 기관],"서울병원"))</f>
        <v/>
      </c>
      <c r="U855">
        <f>IF($W855="","",COUNTIFS(상세표[사번키],INDEX(합계표[사번키],$W855),상세표[반영월],대상월키,상세표[야간당직],1,상세표[야간 구분],"휴일",상세표[반영 기관],"서울병원"))</f>
        <v/>
      </c>
      <c r="V855">
        <f>IF($W855="","",IF(ISNUMBER(MATCH(INDEX(합계표[사번키],$W855)&amp;"|"&amp;대상월키,월별근무지표[키],0)),"직접 입력",IF($K855="—","—","기관명단")))</f>
        <v/>
      </c>
      <c r="W855">
        <f>IFERROR(MATCH(850,합계표[판정순번],0),"")</f>
        <v/>
      </c>
    </row>
    <row r="856">
      <c r="A856">
        <f>IF($W856="","",INDEX(합계표[사번],$W856)&amp;"")</f>
        <v/>
      </c>
      <c r="B856">
        <f>IF($W856="","",INDEX(합계표[성명],$W856)&amp;"")</f>
        <v/>
      </c>
      <c r="C856">
        <f>IF($W856="","",INDEX(합계표[부서],$W856)&amp;"")</f>
        <v/>
      </c>
      <c r="D856">
        <f>IF($W856="","",INDEX(합계표[직위(통합)],$W856)&amp;"")</f>
        <v/>
      </c>
      <c r="E856">
        <f>IF($W856="","",SUMIFS(합계표[시스템 합계],합계표[사번키],INDEX(합계표[사번키],$W856)))</f>
        <v/>
      </c>
      <c r="F856">
        <f>IF($W856="","",SUMIFS(상세표[기록 시간외],상세표[사번키],INDEX(합계표[사번키],$W856),상세표[기록월],대상월키))</f>
        <v/>
      </c>
      <c r="G856">
        <f>IF($W856="","",IF(ABS($E856-$F856)&lt;0.01,"일치","불일치(차이 "&amp;TEXT($F856-$E856,"0.00")&amp;")"))</f>
        <v/>
      </c>
      <c r="H856">
        <f>IF($W856="","",SUMIFS(상세표[기록 시간외],상세표[사번키],INDEX(합계표[사번키],$W856),상세표[기록월],대상월키,상세표[반영월],"&lt;&gt;"&amp;대상월키))</f>
        <v/>
      </c>
      <c r="I856">
        <f>IF($W856="","",SUMIFS(상세표[기록 시간외],상세표[사번키],INDEX(합계표[사번키],$W856),상세표[기록월],"&lt;&gt;"&amp;대상월키,상세표[반영월],대상월키))</f>
        <v/>
      </c>
      <c r="J856">
        <f>IF($W856="","",SUMIFS(상세표[기록 시간외],상세표[사번키],INDEX(합계표[사번키],$W856),상세표[반영월],대상월키))</f>
        <v/>
      </c>
      <c r="K856">
        <f>IF($W856="","",IFERROR(INDEX(월별근무지표[적용 급여병원],MATCH(INDEX(합계표[사번키],$W856)&amp;"|"&amp;대상월키,월별근무지표[키],0))&amp;"",IF(COUNTIF(기관표[사번키],INDEX(합계표[사번키],$W856))+COUNTIF(월별근무지표[사번키],INDEX(합계표[사번키],$W856))&gt;0,IFERROR(INDEX(기관표[급여지급병원(기준월)],MATCH(INDEX(합계표[사번키],$W856)&amp;"|"&amp;대상월키,기관표[키],0))&amp;"","—"),"—")))</f>
        <v/>
      </c>
      <c r="L856">
        <f>IF($W856="","",IF(NOT(COUNTIF(기관표[사번키],INDEX(합계표[사번키],$W856))+COUNTIF(월별근무지표[사번키],INDEX(합계표[사번키],$W856))&gt;0),"기관명단에 없음(다른 병원으로 발송)",IF($K856="—","대상월 기관명단 없음(추가 필요)",IF($K856="서울병원","해당","비해당"))))</f>
        <v/>
      </c>
      <c r="M856">
        <f>IF($W856="","",SUMIFS(상세표[06~07시],상세표[사번키],INDEX(합계표[사번키],$W856),상세표[반영월],대상월키,상세표[반영 기관],"서울병원"))</f>
        <v/>
      </c>
      <c r="N856">
        <f>IF($W856="","",SUMIFS(상세표[07~18시],상세표[사번키],INDEX(합계표[사번키],$W856),상세표[반영월],대상월키,상세표[반영 기관],"서울병원"))</f>
        <v/>
      </c>
      <c r="O856">
        <f>IF($W856="","",SUMIFS(상세표[18~22시],상세표[사번키],INDEX(합계표[사번키],$W856),상세표[반영월],대상월키,상세표[반영 기관],"서울병원"))</f>
        <v/>
      </c>
      <c r="P856">
        <f>IF($W856="","",SUMIFS(상세표[22~06시],상세표[사번키],INDEX(합계표[사번키],$W856),상세표[반영월],대상월키,상세표[반영 기관],"서울병원"))</f>
        <v/>
      </c>
      <c r="Q856">
        <f>IF($W856="","",SUM($M856:$P856))</f>
        <v/>
      </c>
      <c r="R856">
        <f>IF($W856="","",COUNTIFS(상세표[사번키],INDEX(합계표[사번키],$W856),상세표[반영월],대상월키,상세표[야간당직],1,상세표[야간 구분],"평일"))</f>
        <v/>
      </c>
      <c r="S856" s="4">
        <f>IF($W856="","",COUNTIFS(상세표[사번키],INDEX(합계표[사번키],$W856),상세표[반영월],대상월키,상세표[야간당직],1,상세표[야간 구분],"휴일"))</f>
        <v/>
      </c>
      <c r="T856">
        <f>IF($W856="","",COUNTIFS(상세표[사번키],INDEX(합계표[사번키],$W856),상세표[반영월],대상월키,상세표[야간당직],1,상세표[야간 구분],"평일",상세표[반영 기관],"서울병원"))</f>
        <v/>
      </c>
      <c r="U856">
        <f>IF($W856="","",COUNTIFS(상세표[사번키],INDEX(합계표[사번키],$W856),상세표[반영월],대상월키,상세표[야간당직],1,상세표[야간 구분],"휴일",상세표[반영 기관],"서울병원"))</f>
        <v/>
      </c>
      <c r="V856">
        <f>IF($W856="","",IF(ISNUMBER(MATCH(INDEX(합계표[사번키],$W856)&amp;"|"&amp;대상월키,월별근무지표[키],0)),"직접 입력",IF($K856="—","—","기관명단")))</f>
        <v/>
      </c>
      <c r="W856">
        <f>IFERROR(MATCH(851,합계표[판정순번],0),"")</f>
        <v/>
      </c>
    </row>
    <row r="857">
      <c r="A857">
        <f>IF($W857="","",INDEX(합계표[사번],$W857)&amp;"")</f>
        <v/>
      </c>
      <c r="B857">
        <f>IF($W857="","",INDEX(합계표[성명],$W857)&amp;"")</f>
        <v/>
      </c>
      <c r="C857">
        <f>IF($W857="","",INDEX(합계표[부서],$W857)&amp;"")</f>
        <v/>
      </c>
      <c r="D857">
        <f>IF($W857="","",INDEX(합계표[직위(통합)],$W857)&amp;"")</f>
        <v/>
      </c>
      <c r="E857">
        <f>IF($W857="","",SUMIFS(합계표[시스템 합계],합계표[사번키],INDEX(합계표[사번키],$W857)))</f>
        <v/>
      </c>
      <c r="F857">
        <f>IF($W857="","",SUMIFS(상세표[기록 시간외],상세표[사번키],INDEX(합계표[사번키],$W857),상세표[기록월],대상월키))</f>
        <v/>
      </c>
      <c r="G857">
        <f>IF($W857="","",IF(ABS($E857-$F857)&lt;0.01,"일치","불일치(차이 "&amp;TEXT($F857-$E857,"0.00")&amp;")"))</f>
        <v/>
      </c>
      <c r="H857">
        <f>IF($W857="","",SUMIFS(상세표[기록 시간외],상세표[사번키],INDEX(합계표[사번키],$W857),상세표[기록월],대상월키,상세표[반영월],"&lt;&gt;"&amp;대상월키))</f>
        <v/>
      </c>
      <c r="I857">
        <f>IF($W857="","",SUMIFS(상세표[기록 시간외],상세표[사번키],INDEX(합계표[사번키],$W857),상세표[기록월],"&lt;&gt;"&amp;대상월키,상세표[반영월],대상월키))</f>
        <v/>
      </c>
      <c r="J857">
        <f>IF($W857="","",SUMIFS(상세표[기록 시간외],상세표[사번키],INDEX(합계표[사번키],$W857),상세표[반영월],대상월키))</f>
        <v/>
      </c>
      <c r="K857">
        <f>IF($W857="","",IFERROR(INDEX(월별근무지표[적용 급여병원],MATCH(INDEX(합계표[사번키],$W857)&amp;"|"&amp;대상월키,월별근무지표[키],0))&amp;"",IF(COUNTIF(기관표[사번키],INDEX(합계표[사번키],$W857))+COUNTIF(월별근무지표[사번키],INDEX(합계표[사번키],$W857))&gt;0,IFERROR(INDEX(기관표[급여지급병원(기준월)],MATCH(INDEX(합계표[사번키],$W857)&amp;"|"&amp;대상월키,기관표[키],0))&amp;"","—"),"—")))</f>
        <v/>
      </c>
      <c r="L857">
        <f>IF($W857="","",IF(NOT(COUNTIF(기관표[사번키],INDEX(합계표[사번키],$W857))+COUNTIF(월별근무지표[사번키],INDEX(합계표[사번키],$W857))&gt;0),"기관명단에 없음(다른 병원으로 발송)",IF($K857="—","대상월 기관명단 없음(추가 필요)",IF($K857="서울병원","해당","비해당"))))</f>
        <v/>
      </c>
      <c r="M857">
        <f>IF($W857="","",SUMIFS(상세표[06~07시],상세표[사번키],INDEX(합계표[사번키],$W857),상세표[반영월],대상월키,상세표[반영 기관],"서울병원"))</f>
        <v/>
      </c>
      <c r="N857">
        <f>IF($W857="","",SUMIFS(상세표[07~18시],상세표[사번키],INDEX(합계표[사번키],$W857),상세표[반영월],대상월키,상세표[반영 기관],"서울병원"))</f>
        <v/>
      </c>
      <c r="O857">
        <f>IF($W857="","",SUMIFS(상세표[18~22시],상세표[사번키],INDEX(합계표[사번키],$W857),상세표[반영월],대상월키,상세표[반영 기관],"서울병원"))</f>
        <v/>
      </c>
      <c r="P857">
        <f>IF($W857="","",SUMIFS(상세표[22~06시],상세표[사번키],INDEX(합계표[사번키],$W857),상세표[반영월],대상월키,상세표[반영 기관],"서울병원"))</f>
        <v/>
      </c>
      <c r="Q857">
        <f>IF($W857="","",SUM($M857:$P857))</f>
        <v/>
      </c>
      <c r="R857">
        <f>IF($W857="","",COUNTIFS(상세표[사번키],INDEX(합계표[사번키],$W857),상세표[반영월],대상월키,상세표[야간당직],1,상세표[야간 구분],"평일"))</f>
        <v/>
      </c>
      <c r="S857" s="4">
        <f>IF($W857="","",COUNTIFS(상세표[사번키],INDEX(합계표[사번키],$W857),상세표[반영월],대상월키,상세표[야간당직],1,상세표[야간 구분],"휴일"))</f>
        <v/>
      </c>
      <c r="T857">
        <f>IF($W857="","",COUNTIFS(상세표[사번키],INDEX(합계표[사번키],$W857),상세표[반영월],대상월키,상세표[야간당직],1,상세표[야간 구분],"평일",상세표[반영 기관],"서울병원"))</f>
        <v/>
      </c>
      <c r="U857">
        <f>IF($W857="","",COUNTIFS(상세표[사번키],INDEX(합계표[사번키],$W857),상세표[반영월],대상월키,상세표[야간당직],1,상세표[야간 구분],"휴일",상세표[반영 기관],"서울병원"))</f>
        <v/>
      </c>
      <c r="V857">
        <f>IF($W857="","",IF(ISNUMBER(MATCH(INDEX(합계표[사번키],$W857)&amp;"|"&amp;대상월키,월별근무지표[키],0)),"직접 입력",IF($K857="—","—","기관명단")))</f>
        <v/>
      </c>
      <c r="W857">
        <f>IFERROR(MATCH(852,합계표[판정순번],0),"")</f>
        <v/>
      </c>
    </row>
    <row r="858">
      <c r="A858">
        <f>IF($W858="","",INDEX(합계표[사번],$W858)&amp;"")</f>
        <v/>
      </c>
      <c r="B858">
        <f>IF($W858="","",INDEX(합계표[성명],$W858)&amp;"")</f>
        <v/>
      </c>
      <c r="C858">
        <f>IF($W858="","",INDEX(합계표[부서],$W858)&amp;"")</f>
        <v/>
      </c>
      <c r="D858">
        <f>IF($W858="","",INDEX(합계표[직위(통합)],$W858)&amp;"")</f>
        <v/>
      </c>
      <c r="E858">
        <f>IF($W858="","",SUMIFS(합계표[시스템 합계],합계표[사번키],INDEX(합계표[사번키],$W858)))</f>
        <v/>
      </c>
      <c r="F858">
        <f>IF($W858="","",SUMIFS(상세표[기록 시간외],상세표[사번키],INDEX(합계표[사번키],$W858),상세표[기록월],대상월키))</f>
        <v/>
      </c>
      <c r="G858">
        <f>IF($W858="","",IF(ABS($E858-$F858)&lt;0.01,"일치","불일치(차이 "&amp;TEXT($F858-$E858,"0.00")&amp;")"))</f>
        <v/>
      </c>
      <c r="H858">
        <f>IF($W858="","",SUMIFS(상세표[기록 시간외],상세표[사번키],INDEX(합계표[사번키],$W858),상세표[기록월],대상월키,상세표[반영월],"&lt;&gt;"&amp;대상월키))</f>
        <v/>
      </c>
      <c r="I858">
        <f>IF($W858="","",SUMIFS(상세표[기록 시간외],상세표[사번키],INDEX(합계표[사번키],$W858),상세표[기록월],"&lt;&gt;"&amp;대상월키,상세표[반영월],대상월키))</f>
        <v/>
      </c>
      <c r="J858">
        <f>IF($W858="","",SUMIFS(상세표[기록 시간외],상세표[사번키],INDEX(합계표[사번키],$W858),상세표[반영월],대상월키))</f>
        <v/>
      </c>
      <c r="K858">
        <f>IF($W858="","",IFERROR(INDEX(월별근무지표[적용 급여병원],MATCH(INDEX(합계표[사번키],$W858)&amp;"|"&amp;대상월키,월별근무지표[키],0))&amp;"",IF(COUNTIF(기관표[사번키],INDEX(합계표[사번키],$W858))+COUNTIF(월별근무지표[사번키],INDEX(합계표[사번키],$W858))&gt;0,IFERROR(INDEX(기관표[급여지급병원(기준월)],MATCH(INDEX(합계표[사번키],$W858)&amp;"|"&amp;대상월키,기관표[키],0))&amp;"","—"),"—")))</f>
        <v/>
      </c>
      <c r="L858">
        <f>IF($W858="","",IF(NOT(COUNTIF(기관표[사번키],INDEX(합계표[사번키],$W858))+COUNTIF(월별근무지표[사번키],INDEX(합계표[사번키],$W858))&gt;0),"기관명단에 없음(다른 병원으로 발송)",IF($K858="—","대상월 기관명단 없음(추가 필요)",IF($K858="서울병원","해당","비해당"))))</f>
        <v/>
      </c>
      <c r="M858">
        <f>IF($W858="","",SUMIFS(상세표[06~07시],상세표[사번키],INDEX(합계표[사번키],$W858),상세표[반영월],대상월키,상세표[반영 기관],"서울병원"))</f>
        <v/>
      </c>
      <c r="N858">
        <f>IF($W858="","",SUMIFS(상세표[07~18시],상세표[사번키],INDEX(합계표[사번키],$W858),상세표[반영월],대상월키,상세표[반영 기관],"서울병원"))</f>
        <v/>
      </c>
      <c r="O858">
        <f>IF($W858="","",SUMIFS(상세표[18~22시],상세표[사번키],INDEX(합계표[사번키],$W858),상세표[반영월],대상월키,상세표[반영 기관],"서울병원"))</f>
        <v/>
      </c>
      <c r="P858">
        <f>IF($W858="","",SUMIFS(상세표[22~06시],상세표[사번키],INDEX(합계표[사번키],$W858),상세표[반영월],대상월키,상세표[반영 기관],"서울병원"))</f>
        <v/>
      </c>
      <c r="Q858">
        <f>IF($W858="","",SUM($M858:$P858))</f>
        <v/>
      </c>
      <c r="R858">
        <f>IF($W858="","",COUNTIFS(상세표[사번키],INDEX(합계표[사번키],$W858),상세표[반영월],대상월키,상세표[야간당직],1,상세표[야간 구분],"평일"))</f>
        <v/>
      </c>
      <c r="S858" s="4">
        <f>IF($W858="","",COUNTIFS(상세표[사번키],INDEX(합계표[사번키],$W858),상세표[반영월],대상월키,상세표[야간당직],1,상세표[야간 구분],"휴일"))</f>
        <v/>
      </c>
      <c r="T858">
        <f>IF($W858="","",COUNTIFS(상세표[사번키],INDEX(합계표[사번키],$W858),상세표[반영월],대상월키,상세표[야간당직],1,상세표[야간 구분],"평일",상세표[반영 기관],"서울병원"))</f>
        <v/>
      </c>
      <c r="U858">
        <f>IF($W858="","",COUNTIFS(상세표[사번키],INDEX(합계표[사번키],$W858),상세표[반영월],대상월키,상세표[야간당직],1,상세표[야간 구분],"휴일",상세표[반영 기관],"서울병원"))</f>
        <v/>
      </c>
      <c r="V858">
        <f>IF($W858="","",IF(ISNUMBER(MATCH(INDEX(합계표[사번키],$W858)&amp;"|"&amp;대상월키,월별근무지표[키],0)),"직접 입력",IF($K858="—","—","기관명단")))</f>
        <v/>
      </c>
      <c r="W858">
        <f>IFERROR(MATCH(853,합계표[판정순번],0),"")</f>
        <v/>
      </c>
    </row>
    <row r="859">
      <c r="A859">
        <f>IF($W859="","",INDEX(합계표[사번],$W859)&amp;"")</f>
        <v/>
      </c>
      <c r="B859">
        <f>IF($W859="","",INDEX(합계표[성명],$W859)&amp;"")</f>
        <v/>
      </c>
      <c r="C859">
        <f>IF($W859="","",INDEX(합계표[부서],$W859)&amp;"")</f>
        <v/>
      </c>
      <c r="D859">
        <f>IF($W859="","",INDEX(합계표[직위(통합)],$W859)&amp;"")</f>
        <v/>
      </c>
      <c r="E859">
        <f>IF($W859="","",SUMIFS(합계표[시스템 합계],합계표[사번키],INDEX(합계표[사번키],$W859)))</f>
        <v/>
      </c>
      <c r="F859">
        <f>IF($W859="","",SUMIFS(상세표[기록 시간외],상세표[사번키],INDEX(합계표[사번키],$W859),상세표[기록월],대상월키))</f>
        <v/>
      </c>
      <c r="G859">
        <f>IF($W859="","",IF(ABS($E859-$F859)&lt;0.01,"일치","불일치(차이 "&amp;TEXT($F859-$E859,"0.00")&amp;")"))</f>
        <v/>
      </c>
      <c r="H859">
        <f>IF($W859="","",SUMIFS(상세표[기록 시간외],상세표[사번키],INDEX(합계표[사번키],$W859),상세표[기록월],대상월키,상세표[반영월],"&lt;&gt;"&amp;대상월키))</f>
        <v/>
      </c>
      <c r="I859">
        <f>IF($W859="","",SUMIFS(상세표[기록 시간외],상세표[사번키],INDEX(합계표[사번키],$W859),상세표[기록월],"&lt;&gt;"&amp;대상월키,상세표[반영월],대상월키))</f>
        <v/>
      </c>
      <c r="J859">
        <f>IF($W859="","",SUMIFS(상세표[기록 시간외],상세표[사번키],INDEX(합계표[사번키],$W859),상세표[반영월],대상월키))</f>
        <v/>
      </c>
      <c r="K859">
        <f>IF($W859="","",IFERROR(INDEX(월별근무지표[적용 급여병원],MATCH(INDEX(합계표[사번키],$W859)&amp;"|"&amp;대상월키,월별근무지표[키],0))&amp;"",IF(COUNTIF(기관표[사번키],INDEX(합계표[사번키],$W859))+COUNTIF(월별근무지표[사번키],INDEX(합계표[사번키],$W859))&gt;0,IFERROR(INDEX(기관표[급여지급병원(기준월)],MATCH(INDEX(합계표[사번키],$W859)&amp;"|"&amp;대상월키,기관표[키],0))&amp;"","—"),"—")))</f>
        <v/>
      </c>
      <c r="L859">
        <f>IF($W859="","",IF(NOT(COUNTIF(기관표[사번키],INDEX(합계표[사번키],$W859))+COUNTIF(월별근무지표[사번키],INDEX(합계표[사번키],$W859))&gt;0),"기관명단에 없음(다른 병원으로 발송)",IF($K859="—","대상월 기관명단 없음(추가 필요)",IF($K859="서울병원","해당","비해당"))))</f>
        <v/>
      </c>
      <c r="M859">
        <f>IF($W859="","",SUMIFS(상세표[06~07시],상세표[사번키],INDEX(합계표[사번키],$W859),상세표[반영월],대상월키,상세표[반영 기관],"서울병원"))</f>
        <v/>
      </c>
      <c r="N859">
        <f>IF($W859="","",SUMIFS(상세표[07~18시],상세표[사번키],INDEX(합계표[사번키],$W859),상세표[반영월],대상월키,상세표[반영 기관],"서울병원"))</f>
        <v/>
      </c>
      <c r="O859">
        <f>IF($W859="","",SUMIFS(상세표[18~22시],상세표[사번키],INDEX(합계표[사번키],$W859),상세표[반영월],대상월키,상세표[반영 기관],"서울병원"))</f>
        <v/>
      </c>
      <c r="P859">
        <f>IF($W859="","",SUMIFS(상세표[22~06시],상세표[사번키],INDEX(합계표[사번키],$W859),상세표[반영월],대상월키,상세표[반영 기관],"서울병원"))</f>
        <v/>
      </c>
      <c r="Q859">
        <f>IF($W859="","",SUM($M859:$P859))</f>
        <v/>
      </c>
      <c r="R859">
        <f>IF($W859="","",COUNTIFS(상세표[사번키],INDEX(합계표[사번키],$W859),상세표[반영월],대상월키,상세표[야간당직],1,상세표[야간 구분],"평일"))</f>
        <v/>
      </c>
      <c r="S859" s="4">
        <f>IF($W859="","",COUNTIFS(상세표[사번키],INDEX(합계표[사번키],$W859),상세표[반영월],대상월키,상세표[야간당직],1,상세표[야간 구분],"휴일"))</f>
        <v/>
      </c>
      <c r="T859">
        <f>IF($W859="","",COUNTIFS(상세표[사번키],INDEX(합계표[사번키],$W859),상세표[반영월],대상월키,상세표[야간당직],1,상세표[야간 구분],"평일",상세표[반영 기관],"서울병원"))</f>
        <v/>
      </c>
      <c r="U859">
        <f>IF($W859="","",COUNTIFS(상세표[사번키],INDEX(합계표[사번키],$W859),상세표[반영월],대상월키,상세표[야간당직],1,상세표[야간 구분],"휴일",상세표[반영 기관],"서울병원"))</f>
        <v/>
      </c>
      <c r="V859">
        <f>IF($W859="","",IF(ISNUMBER(MATCH(INDEX(합계표[사번키],$W859)&amp;"|"&amp;대상월키,월별근무지표[키],0)),"직접 입력",IF($K859="—","—","기관명단")))</f>
        <v/>
      </c>
      <c r="W859">
        <f>IFERROR(MATCH(854,합계표[판정순번],0),"")</f>
        <v/>
      </c>
    </row>
    <row r="860">
      <c r="A860">
        <f>IF($W860="","",INDEX(합계표[사번],$W860)&amp;"")</f>
        <v/>
      </c>
      <c r="B860">
        <f>IF($W860="","",INDEX(합계표[성명],$W860)&amp;"")</f>
        <v/>
      </c>
      <c r="C860">
        <f>IF($W860="","",INDEX(합계표[부서],$W860)&amp;"")</f>
        <v/>
      </c>
      <c r="D860">
        <f>IF($W860="","",INDEX(합계표[직위(통합)],$W860)&amp;"")</f>
        <v/>
      </c>
      <c r="E860">
        <f>IF($W860="","",SUMIFS(합계표[시스템 합계],합계표[사번키],INDEX(합계표[사번키],$W860)))</f>
        <v/>
      </c>
      <c r="F860">
        <f>IF($W860="","",SUMIFS(상세표[기록 시간외],상세표[사번키],INDEX(합계표[사번키],$W860),상세표[기록월],대상월키))</f>
        <v/>
      </c>
      <c r="G860">
        <f>IF($W860="","",IF(ABS($E860-$F860)&lt;0.01,"일치","불일치(차이 "&amp;TEXT($F860-$E860,"0.00")&amp;")"))</f>
        <v/>
      </c>
      <c r="H860">
        <f>IF($W860="","",SUMIFS(상세표[기록 시간외],상세표[사번키],INDEX(합계표[사번키],$W860),상세표[기록월],대상월키,상세표[반영월],"&lt;&gt;"&amp;대상월키))</f>
        <v/>
      </c>
      <c r="I860">
        <f>IF($W860="","",SUMIFS(상세표[기록 시간외],상세표[사번키],INDEX(합계표[사번키],$W860),상세표[기록월],"&lt;&gt;"&amp;대상월키,상세표[반영월],대상월키))</f>
        <v/>
      </c>
      <c r="J860">
        <f>IF($W860="","",SUMIFS(상세표[기록 시간외],상세표[사번키],INDEX(합계표[사번키],$W860),상세표[반영월],대상월키))</f>
        <v/>
      </c>
      <c r="K860">
        <f>IF($W860="","",IFERROR(INDEX(월별근무지표[적용 급여병원],MATCH(INDEX(합계표[사번키],$W860)&amp;"|"&amp;대상월키,월별근무지표[키],0))&amp;"",IF(COUNTIF(기관표[사번키],INDEX(합계표[사번키],$W860))+COUNTIF(월별근무지표[사번키],INDEX(합계표[사번키],$W860))&gt;0,IFERROR(INDEX(기관표[급여지급병원(기준월)],MATCH(INDEX(합계표[사번키],$W860)&amp;"|"&amp;대상월키,기관표[키],0))&amp;"","—"),"—")))</f>
        <v/>
      </c>
      <c r="L860">
        <f>IF($W860="","",IF(NOT(COUNTIF(기관표[사번키],INDEX(합계표[사번키],$W860))+COUNTIF(월별근무지표[사번키],INDEX(합계표[사번키],$W860))&gt;0),"기관명단에 없음(다른 병원으로 발송)",IF($K860="—","대상월 기관명단 없음(추가 필요)",IF($K860="서울병원","해당","비해당"))))</f>
        <v/>
      </c>
      <c r="M860">
        <f>IF($W860="","",SUMIFS(상세표[06~07시],상세표[사번키],INDEX(합계표[사번키],$W860),상세표[반영월],대상월키,상세표[반영 기관],"서울병원"))</f>
        <v/>
      </c>
      <c r="N860">
        <f>IF($W860="","",SUMIFS(상세표[07~18시],상세표[사번키],INDEX(합계표[사번키],$W860),상세표[반영월],대상월키,상세표[반영 기관],"서울병원"))</f>
        <v/>
      </c>
      <c r="O860">
        <f>IF($W860="","",SUMIFS(상세표[18~22시],상세표[사번키],INDEX(합계표[사번키],$W860),상세표[반영월],대상월키,상세표[반영 기관],"서울병원"))</f>
        <v/>
      </c>
      <c r="P860">
        <f>IF($W860="","",SUMIFS(상세표[22~06시],상세표[사번키],INDEX(합계표[사번키],$W860),상세표[반영월],대상월키,상세표[반영 기관],"서울병원"))</f>
        <v/>
      </c>
      <c r="Q860">
        <f>IF($W860="","",SUM($M860:$P860))</f>
        <v/>
      </c>
      <c r="R860">
        <f>IF($W860="","",COUNTIFS(상세표[사번키],INDEX(합계표[사번키],$W860),상세표[반영월],대상월키,상세표[야간당직],1,상세표[야간 구분],"평일"))</f>
        <v/>
      </c>
      <c r="S860" s="4">
        <f>IF($W860="","",COUNTIFS(상세표[사번키],INDEX(합계표[사번키],$W860),상세표[반영월],대상월키,상세표[야간당직],1,상세표[야간 구분],"휴일"))</f>
        <v/>
      </c>
      <c r="T860">
        <f>IF($W860="","",COUNTIFS(상세표[사번키],INDEX(합계표[사번키],$W860),상세표[반영월],대상월키,상세표[야간당직],1,상세표[야간 구분],"평일",상세표[반영 기관],"서울병원"))</f>
        <v/>
      </c>
      <c r="U860">
        <f>IF($W860="","",COUNTIFS(상세표[사번키],INDEX(합계표[사번키],$W860),상세표[반영월],대상월키,상세표[야간당직],1,상세표[야간 구분],"휴일",상세표[반영 기관],"서울병원"))</f>
        <v/>
      </c>
      <c r="V860">
        <f>IF($W860="","",IF(ISNUMBER(MATCH(INDEX(합계표[사번키],$W860)&amp;"|"&amp;대상월키,월별근무지표[키],0)),"직접 입력",IF($K860="—","—","기관명단")))</f>
        <v/>
      </c>
      <c r="W860">
        <f>IFERROR(MATCH(855,합계표[판정순번],0),"")</f>
        <v/>
      </c>
    </row>
    <row r="861">
      <c r="A861">
        <f>IF($W861="","",INDEX(합계표[사번],$W861)&amp;"")</f>
        <v/>
      </c>
      <c r="B861">
        <f>IF($W861="","",INDEX(합계표[성명],$W861)&amp;"")</f>
        <v/>
      </c>
      <c r="C861">
        <f>IF($W861="","",INDEX(합계표[부서],$W861)&amp;"")</f>
        <v/>
      </c>
      <c r="D861">
        <f>IF($W861="","",INDEX(합계표[직위(통합)],$W861)&amp;"")</f>
        <v/>
      </c>
      <c r="E861">
        <f>IF($W861="","",SUMIFS(합계표[시스템 합계],합계표[사번키],INDEX(합계표[사번키],$W861)))</f>
        <v/>
      </c>
      <c r="F861">
        <f>IF($W861="","",SUMIFS(상세표[기록 시간외],상세표[사번키],INDEX(합계표[사번키],$W861),상세표[기록월],대상월키))</f>
        <v/>
      </c>
      <c r="G861">
        <f>IF($W861="","",IF(ABS($E861-$F861)&lt;0.01,"일치","불일치(차이 "&amp;TEXT($F861-$E861,"0.00")&amp;")"))</f>
        <v/>
      </c>
      <c r="H861">
        <f>IF($W861="","",SUMIFS(상세표[기록 시간외],상세표[사번키],INDEX(합계표[사번키],$W861),상세표[기록월],대상월키,상세표[반영월],"&lt;&gt;"&amp;대상월키))</f>
        <v/>
      </c>
      <c r="I861">
        <f>IF($W861="","",SUMIFS(상세표[기록 시간외],상세표[사번키],INDEX(합계표[사번키],$W861),상세표[기록월],"&lt;&gt;"&amp;대상월키,상세표[반영월],대상월키))</f>
        <v/>
      </c>
      <c r="J861">
        <f>IF($W861="","",SUMIFS(상세표[기록 시간외],상세표[사번키],INDEX(합계표[사번키],$W861),상세표[반영월],대상월키))</f>
        <v/>
      </c>
      <c r="K861">
        <f>IF($W861="","",IFERROR(INDEX(월별근무지표[적용 급여병원],MATCH(INDEX(합계표[사번키],$W861)&amp;"|"&amp;대상월키,월별근무지표[키],0))&amp;"",IF(COUNTIF(기관표[사번키],INDEX(합계표[사번키],$W861))+COUNTIF(월별근무지표[사번키],INDEX(합계표[사번키],$W861))&gt;0,IFERROR(INDEX(기관표[급여지급병원(기준월)],MATCH(INDEX(합계표[사번키],$W861)&amp;"|"&amp;대상월키,기관표[키],0))&amp;"","—"),"—")))</f>
        <v/>
      </c>
      <c r="L861">
        <f>IF($W861="","",IF(NOT(COUNTIF(기관표[사번키],INDEX(합계표[사번키],$W861))+COUNTIF(월별근무지표[사번키],INDEX(합계표[사번키],$W861))&gt;0),"기관명단에 없음(다른 병원으로 발송)",IF($K861="—","대상월 기관명단 없음(추가 필요)",IF($K861="서울병원","해당","비해당"))))</f>
        <v/>
      </c>
      <c r="M861">
        <f>IF($W861="","",SUMIFS(상세표[06~07시],상세표[사번키],INDEX(합계표[사번키],$W861),상세표[반영월],대상월키,상세표[반영 기관],"서울병원"))</f>
        <v/>
      </c>
      <c r="N861">
        <f>IF($W861="","",SUMIFS(상세표[07~18시],상세표[사번키],INDEX(합계표[사번키],$W861),상세표[반영월],대상월키,상세표[반영 기관],"서울병원"))</f>
        <v/>
      </c>
      <c r="O861">
        <f>IF($W861="","",SUMIFS(상세표[18~22시],상세표[사번키],INDEX(합계표[사번키],$W861),상세표[반영월],대상월키,상세표[반영 기관],"서울병원"))</f>
        <v/>
      </c>
      <c r="P861">
        <f>IF($W861="","",SUMIFS(상세표[22~06시],상세표[사번키],INDEX(합계표[사번키],$W861),상세표[반영월],대상월키,상세표[반영 기관],"서울병원"))</f>
        <v/>
      </c>
      <c r="Q861">
        <f>IF($W861="","",SUM($M861:$P861))</f>
        <v/>
      </c>
      <c r="R861">
        <f>IF($W861="","",COUNTIFS(상세표[사번키],INDEX(합계표[사번키],$W861),상세표[반영월],대상월키,상세표[야간당직],1,상세표[야간 구분],"평일"))</f>
        <v/>
      </c>
      <c r="S861" s="4">
        <f>IF($W861="","",COUNTIFS(상세표[사번키],INDEX(합계표[사번키],$W861),상세표[반영월],대상월키,상세표[야간당직],1,상세표[야간 구분],"휴일"))</f>
        <v/>
      </c>
      <c r="T861">
        <f>IF($W861="","",COUNTIFS(상세표[사번키],INDEX(합계표[사번키],$W861),상세표[반영월],대상월키,상세표[야간당직],1,상세표[야간 구분],"평일",상세표[반영 기관],"서울병원"))</f>
        <v/>
      </c>
      <c r="U861">
        <f>IF($W861="","",COUNTIFS(상세표[사번키],INDEX(합계표[사번키],$W861),상세표[반영월],대상월키,상세표[야간당직],1,상세표[야간 구분],"휴일",상세표[반영 기관],"서울병원"))</f>
        <v/>
      </c>
      <c r="V861">
        <f>IF($W861="","",IF(ISNUMBER(MATCH(INDEX(합계표[사번키],$W861)&amp;"|"&amp;대상월키,월별근무지표[키],0)),"직접 입력",IF($K861="—","—","기관명단")))</f>
        <v/>
      </c>
      <c r="W861">
        <f>IFERROR(MATCH(856,합계표[판정순번],0),"")</f>
        <v/>
      </c>
    </row>
    <row r="862">
      <c r="A862">
        <f>IF($W862="","",INDEX(합계표[사번],$W862)&amp;"")</f>
        <v/>
      </c>
      <c r="B862">
        <f>IF($W862="","",INDEX(합계표[성명],$W862)&amp;"")</f>
        <v/>
      </c>
      <c r="C862">
        <f>IF($W862="","",INDEX(합계표[부서],$W862)&amp;"")</f>
        <v/>
      </c>
      <c r="D862">
        <f>IF($W862="","",INDEX(합계표[직위(통합)],$W862)&amp;"")</f>
        <v/>
      </c>
      <c r="E862">
        <f>IF($W862="","",SUMIFS(합계표[시스템 합계],합계표[사번키],INDEX(합계표[사번키],$W862)))</f>
        <v/>
      </c>
      <c r="F862">
        <f>IF($W862="","",SUMIFS(상세표[기록 시간외],상세표[사번키],INDEX(합계표[사번키],$W862),상세표[기록월],대상월키))</f>
        <v/>
      </c>
      <c r="G862">
        <f>IF($W862="","",IF(ABS($E862-$F862)&lt;0.01,"일치","불일치(차이 "&amp;TEXT($F862-$E862,"0.00")&amp;")"))</f>
        <v/>
      </c>
      <c r="H862">
        <f>IF($W862="","",SUMIFS(상세표[기록 시간외],상세표[사번키],INDEX(합계표[사번키],$W862),상세표[기록월],대상월키,상세표[반영월],"&lt;&gt;"&amp;대상월키))</f>
        <v/>
      </c>
      <c r="I862">
        <f>IF($W862="","",SUMIFS(상세표[기록 시간외],상세표[사번키],INDEX(합계표[사번키],$W862),상세표[기록월],"&lt;&gt;"&amp;대상월키,상세표[반영월],대상월키))</f>
        <v/>
      </c>
      <c r="J862">
        <f>IF($W862="","",SUMIFS(상세표[기록 시간외],상세표[사번키],INDEX(합계표[사번키],$W862),상세표[반영월],대상월키))</f>
        <v/>
      </c>
      <c r="K862">
        <f>IF($W862="","",IFERROR(INDEX(월별근무지표[적용 급여병원],MATCH(INDEX(합계표[사번키],$W862)&amp;"|"&amp;대상월키,월별근무지표[키],0))&amp;"",IF(COUNTIF(기관표[사번키],INDEX(합계표[사번키],$W862))+COUNTIF(월별근무지표[사번키],INDEX(합계표[사번키],$W862))&gt;0,IFERROR(INDEX(기관표[급여지급병원(기준월)],MATCH(INDEX(합계표[사번키],$W862)&amp;"|"&amp;대상월키,기관표[키],0))&amp;"","—"),"—")))</f>
        <v/>
      </c>
      <c r="L862">
        <f>IF($W862="","",IF(NOT(COUNTIF(기관표[사번키],INDEX(합계표[사번키],$W862))+COUNTIF(월별근무지표[사번키],INDEX(합계표[사번키],$W862))&gt;0),"기관명단에 없음(다른 병원으로 발송)",IF($K862="—","대상월 기관명단 없음(추가 필요)",IF($K862="서울병원","해당","비해당"))))</f>
        <v/>
      </c>
      <c r="M862">
        <f>IF($W862="","",SUMIFS(상세표[06~07시],상세표[사번키],INDEX(합계표[사번키],$W862),상세표[반영월],대상월키,상세표[반영 기관],"서울병원"))</f>
        <v/>
      </c>
      <c r="N862">
        <f>IF($W862="","",SUMIFS(상세표[07~18시],상세표[사번키],INDEX(합계표[사번키],$W862),상세표[반영월],대상월키,상세표[반영 기관],"서울병원"))</f>
        <v/>
      </c>
      <c r="O862">
        <f>IF($W862="","",SUMIFS(상세표[18~22시],상세표[사번키],INDEX(합계표[사번키],$W862),상세표[반영월],대상월키,상세표[반영 기관],"서울병원"))</f>
        <v/>
      </c>
      <c r="P862">
        <f>IF($W862="","",SUMIFS(상세표[22~06시],상세표[사번키],INDEX(합계표[사번키],$W862),상세표[반영월],대상월키,상세표[반영 기관],"서울병원"))</f>
        <v/>
      </c>
      <c r="Q862">
        <f>IF($W862="","",SUM($M862:$P862))</f>
        <v/>
      </c>
      <c r="R862">
        <f>IF($W862="","",COUNTIFS(상세표[사번키],INDEX(합계표[사번키],$W862),상세표[반영월],대상월키,상세표[야간당직],1,상세표[야간 구분],"평일"))</f>
        <v/>
      </c>
      <c r="S862" s="4">
        <f>IF($W862="","",COUNTIFS(상세표[사번키],INDEX(합계표[사번키],$W862),상세표[반영월],대상월키,상세표[야간당직],1,상세표[야간 구분],"휴일"))</f>
        <v/>
      </c>
      <c r="T862">
        <f>IF($W862="","",COUNTIFS(상세표[사번키],INDEX(합계표[사번키],$W862),상세표[반영월],대상월키,상세표[야간당직],1,상세표[야간 구분],"평일",상세표[반영 기관],"서울병원"))</f>
        <v/>
      </c>
      <c r="U862">
        <f>IF($W862="","",COUNTIFS(상세표[사번키],INDEX(합계표[사번키],$W862),상세표[반영월],대상월키,상세표[야간당직],1,상세표[야간 구분],"휴일",상세표[반영 기관],"서울병원"))</f>
        <v/>
      </c>
      <c r="V862">
        <f>IF($W862="","",IF(ISNUMBER(MATCH(INDEX(합계표[사번키],$W862)&amp;"|"&amp;대상월키,월별근무지표[키],0)),"직접 입력",IF($K862="—","—","기관명단")))</f>
        <v/>
      </c>
      <c r="W862">
        <f>IFERROR(MATCH(857,합계표[판정순번],0),"")</f>
        <v/>
      </c>
    </row>
    <row r="863">
      <c r="A863">
        <f>IF($W863="","",INDEX(합계표[사번],$W863)&amp;"")</f>
        <v/>
      </c>
      <c r="B863">
        <f>IF($W863="","",INDEX(합계표[성명],$W863)&amp;"")</f>
        <v/>
      </c>
      <c r="C863">
        <f>IF($W863="","",INDEX(합계표[부서],$W863)&amp;"")</f>
        <v/>
      </c>
      <c r="D863">
        <f>IF($W863="","",INDEX(합계표[직위(통합)],$W863)&amp;"")</f>
        <v/>
      </c>
      <c r="E863">
        <f>IF($W863="","",SUMIFS(합계표[시스템 합계],합계표[사번키],INDEX(합계표[사번키],$W863)))</f>
        <v/>
      </c>
      <c r="F863">
        <f>IF($W863="","",SUMIFS(상세표[기록 시간외],상세표[사번키],INDEX(합계표[사번키],$W863),상세표[기록월],대상월키))</f>
        <v/>
      </c>
      <c r="G863">
        <f>IF($W863="","",IF(ABS($E863-$F863)&lt;0.01,"일치","불일치(차이 "&amp;TEXT($F863-$E863,"0.00")&amp;")"))</f>
        <v/>
      </c>
      <c r="H863">
        <f>IF($W863="","",SUMIFS(상세표[기록 시간외],상세표[사번키],INDEX(합계표[사번키],$W863),상세표[기록월],대상월키,상세표[반영월],"&lt;&gt;"&amp;대상월키))</f>
        <v/>
      </c>
      <c r="I863">
        <f>IF($W863="","",SUMIFS(상세표[기록 시간외],상세표[사번키],INDEX(합계표[사번키],$W863),상세표[기록월],"&lt;&gt;"&amp;대상월키,상세표[반영월],대상월키))</f>
        <v/>
      </c>
      <c r="J863">
        <f>IF($W863="","",SUMIFS(상세표[기록 시간외],상세표[사번키],INDEX(합계표[사번키],$W863),상세표[반영월],대상월키))</f>
        <v/>
      </c>
      <c r="K863">
        <f>IF($W863="","",IFERROR(INDEX(월별근무지표[적용 급여병원],MATCH(INDEX(합계표[사번키],$W863)&amp;"|"&amp;대상월키,월별근무지표[키],0))&amp;"",IF(COUNTIF(기관표[사번키],INDEX(합계표[사번키],$W863))+COUNTIF(월별근무지표[사번키],INDEX(합계표[사번키],$W863))&gt;0,IFERROR(INDEX(기관표[급여지급병원(기준월)],MATCH(INDEX(합계표[사번키],$W863)&amp;"|"&amp;대상월키,기관표[키],0))&amp;"","—"),"—")))</f>
        <v/>
      </c>
      <c r="L863">
        <f>IF($W863="","",IF(NOT(COUNTIF(기관표[사번키],INDEX(합계표[사번키],$W863))+COUNTIF(월별근무지표[사번키],INDEX(합계표[사번키],$W863))&gt;0),"기관명단에 없음(다른 병원으로 발송)",IF($K863="—","대상월 기관명단 없음(추가 필요)",IF($K863="서울병원","해당","비해당"))))</f>
        <v/>
      </c>
      <c r="M863">
        <f>IF($W863="","",SUMIFS(상세표[06~07시],상세표[사번키],INDEX(합계표[사번키],$W863),상세표[반영월],대상월키,상세표[반영 기관],"서울병원"))</f>
        <v/>
      </c>
      <c r="N863">
        <f>IF($W863="","",SUMIFS(상세표[07~18시],상세표[사번키],INDEX(합계표[사번키],$W863),상세표[반영월],대상월키,상세표[반영 기관],"서울병원"))</f>
        <v/>
      </c>
      <c r="O863">
        <f>IF($W863="","",SUMIFS(상세표[18~22시],상세표[사번키],INDEX(합계표[사번키],$W863),상세표[반영월],대상월키,상세표[반영 기관],"서울병원"))</f>
        <v/>
      </c>
      <c r="P863">
        <f>IF($W863="","",SUMIFS(상세표[22~06시],상세표[사번키],INDEX(합계표[사번키],$W863),상세표[반영월],대상월키,상세표[반영 기관],"서울병원"))</f>
        <v/>
      </c>
      <c r="Q863">
        <f>IF($W863="","",SUM($M863:$P863))</f>
        <v/>
      </c>
      <c r="R863">
        <f>IF($W863="","",COUNTIFS(상세표[사번키],INDEX(합계표[사번키],$W863),상세표[반영월],대상월키,상세표[야간당직],1,상세표[야간 구분],"평일"))</f>
        <v/>
      </c>
      <c r="S863" s="4">
        <f>IF($W863="","",COUNTIFS(상세표[사번키],INDEX(합계표[사번키],$W863),상세표[반영월],대상월키,상세표[야간당직],1,상세표[야간 구분],"휴일"))</f>
        <v/>
      </c>
      <c r="T863">
        <f>IF($W863="","",COUNTIFS(상세표[사번키],INDEX(합계표[사번키],$W863),상세표[반영월],대상월키,상세표[야간당직],1,상세표[야간 구분],"평일",상세표[반영 기관],"서울병원"))</f>
        <v/>
      </c>
      <c r="U863">
        <f>IF($W863="","",COUNTIFS(상세표[사번키],INDEX(합계표[사번키],$W863),상세표[반영월],대상월키,상세표[야간당직],1,상세표[야간 구분],"휴일",상세표[반영 기관],"서울병원"))</f>
        <v/>
      </c>
      <c r="V863">
        <f>IF($W863="","",IF(ISNUMBER(MATCH(INDEX(합계표[사번키],$W863)&amp;"|"&amp;대상월키,월별근무지표[키],0)),"직접 입력",IF($K863="—","—","기관명단")))</f>
        <v/>
      </c>
      <c r="W863">
        <f>IFERROR(MATCH(858,합계표[판정순번],0),"")</f>
        <v/>
      </c>
    </row>
    <row r="864">
      <c r="A864">
        <f>IF($W864="","",INDEX(합계표[사번],$W864)&amp;"")</f>
        <v/>
      </c>
      <c r="B864">
        <f>IF($W864="","",INDEX(합계표[성명],$W864)&amp;"")</f>
        <v/>
      </c>
      <c r="C864">
        <f>IF($W864="","",INDEX(합계표[부서],$W864)&amp;"")</f>
        <v/>
      </c>
      <c r="D864">
        <f>IF($W864="","",INDEX(합계표[직위(통합)],$W864)&amp;"")</f>
        <v/>
      </c>
      <c r="E864">
        <f>IF($W864="","",SUMIFS(합계표[시스템 합계],합계표[사번키],INDEX(합계표[사번키],$W864)))</f>
        <v/>
      </c>
      <c r="F864">
        <f>IF($W864="","",SUMIFS(상세표[기록 시간외],상세표[사번키],INDEX(합계표[사번키],$W864),상세표[기록월],대상월키))</f>
        <v/>
      </c>
      <c r="G864">
        <f>IF($W864="","",IF(ABS($E864-$F864)&lt;0.01,"일치","불일치(차이 "&amp;TEXT($F864-$E864,"0.00")&amp;")"))</f>
        <v/>
      </c>
      <c r="H864">
        <f>IF($W864="","",SUMIFS(상세표[기록 시간외],상세표[사번키],INDEX(합계표[사번키],$W864),상세표[기록월],대상월키,상세표[반영월],"&lt;&gt;"&amp;대상월키))</f>
        <v/>
      </c>
      <c r="I864">
        <f>IF($W864="","",SUMIFS(상세표[기록 시간외],상세표[사번키],INDEX(합계표[사번키],$W864),상세표[기록월],"&lt;&gt;"&amp;대상월키,상세표[반영월],대상월키))</f>
        <v/>
      </c>
      <c r="J864">
        <f>IF($W864="","",SUMIFS(상세표[기록 시간외],상세표[사번키],INDEX(합계표[사번키],$W864),상세표[반영월],대상월키))</f>
        <v/>
      </c>
      <c r="K864">
        <f>IF($W864="","",IFERROR(INDEX(월별근무지표[적용 급여병원],MATCH(INDEX(합계표[사번키],$W864)&amp;"|"&amp;대상월키,월별근무지표[키],0))&amp;"",IF(COUNTIF(기관표[사번키],INDEX(합계표[사번키],$W864))+COUNTIF(월별근무지표[사번키],INDEX(합계표[사번키],$W864))&gt;0,IFERROR(INDEX(기관표[급여지급병원(기준월)],MATCH(INDEX(합계표[사번키],$W864)&amp;"|"&amp;대상월키,기관표[키],0))&amp;"","—"),"—")))</f>
        <v/>
      </c>
      <c r="L864">
        <f>IF($W864="","",IF(NOT(COUNTIF(기관표[사번키],INDEX(합계표[사번키],$W864))+COUNTIF(월별근무지표[사번키],INDEX(합계표[사번키],$W864))&gt;0),"기관명단에 없음(다른 병원으로 발송)",IF($K864="—","대상월 기관명단 없음(추가 필요)",IF($K864="서울병원","해당","비해당"))))</f>
        <v/>
      </c>
      <c r="M864">
        <f>IF($W864="","",SUMIFS(상세표[06~07시],상세표[사번키],INDEX(합계표[사번키],$W864),상세표[반영월],대상월키,상세표[반영 기관],"서울병원"))</f>
        <v/>
      </c>
      <c r="N864">
        <f>IF($W864="","",SUMIFS(상세표[07~18시],상세표[사번키],INDEX(합계표[사번키],$W864),상세표[반영월],대상월키,상세표[반영 기관],"서울병원"))</f>
        <v/>
      </c>
      <c r="O864">
        <f>IF($W864="","",SUMIFS(상세표[18~22시],상세표[사번키],INDEX(합계표[사번키],$W864),상세표[반영월],대상월키,상세표[반영 기관],"서울병원"))</f>
        <v/>
      </c>
      <c r="P864">
        <f>IF($W864="","",SUMIFS(상세표[22~06시],상세표[사번키],INDEX(합계표[사번키],$W864),상세표[반영월],대상월키,상세표[반영 기관],"서울병원"))</f>
        <v/>
      </c>
      <c r="Q864">
        <f>IF($W864="","",SUM($M864:$P864))</f>
        <v/>
      </c>
      <c r="R864">
        <f>IF($W864="","",COUNTIFS(상세표[사번키],INDEX(합계표[사번키],$W864),상세표[반영월],대상월키,상세표[야간당직],1,상세표[야간 구분],"평일"))</f>
        <v/>
      </c>
      <c r="S864" s="4">
        <f>IF($W864="","",COUNTIFS(상세표[사번키],INDEX(합계표[사번키],$W864),상세표[반영월],대상월키,상세표[야간당직],1,상세표[야간 구분],"휴일"))</f>
        <v/>
      </c>
      <c r="T864">
        <f>IF($W864="","",COUNTIFS(상세표[사번키],INDEX(합계표[사번키],$W864),상세표[반영월],대상월키,상세표[야간당직],1,상세표[야간 구분],"평일",상세표[반영 기관],"서울병원"))</f>
        <v/>
      </c>
      <c r="U864">
        <f>IF($W864="","",COUNTIFS(상세표[사번키],INDEX(합계표[사번키],$W864),상세표[반영월],대상월키,상세표[야간당직],1,상세표[야간 구분],"휴일",상세표[반영 기관],"서울병원"))</f>
        <v/>
      </c>
      <c r="V864">
        <f>IF($W864="","",IF(ISNUMBER(MATCH(INDEX(합계표[사번키],$W864)&amp;"|"&amp;대상월키,월별근무지표[키],0)),"직접 입력",IF($K864="—","—","기관명단")))</f>
        <v/>
      </c>
      <c r="W864">
        <f>IFERROR(MATCH(859,합계표[판정순번],0),"")</f>
        <v/>
      </c>
    </row>
    <row r="865">
      <c r="A865">
        <f>IF($W865="","",INDEX(합계표[사번],$W865)&amp;"")</f>
        <v/>
      </c>
      <c r="B865">
        <f>IF($W865="","",INDEX(합계표[성명],$W865)&amp;"")</f>
        <v/>
      </c>
      <c r="C865">
        <f>IF($W865="","",INDEX(합계표[부서],$W865)&amp;"")</f>
        <v/>
      </c>
      <c r="D865">
        <f>IF($W865="","",INDEX(합계표[직위(통합)],$W865)&amp;"")</f>
        <v/>
      </c>
      <c r="E865">
        <f>IF($W865="","",SUMIFS(합계표[시스템 합계],합계표[사번키],INDEX(합계표[사번키],$W865)))</f>
        <v/>
      </c>
      <c r="F865">
        <f>IF($W865="","",SUMIFS(상세표[기록 시간외],상세표[사번키],INDEX(합계표[사번키],$W865),상세표[기록월],대상월키))</f>
        <v/>
      </c>
      <c r="G865">
        <f>IF($W865="","",IF(ABS($E865-$F865)&lt;0.01,"일치","불일치(차이 "&amp;TEXT($F865-$E865,"0.00")&amp;")"))</f>
        <v/>
      </c>
      <c r="H865">
        <f>IF($W865="","",SUMIFS(상세표[기록 시간외],상세표[사번키],INDEX(합계표[사번키],$W865),상세표[기록월],대상월키,상세표[반영월],"&lt;&gt;"&amp;대상월키))</f>
        <v/>
      </c>
      <c r="I865">
        <f>IF($W865="","",SUMIFS(상세표[기록 시간외],상세표[사번키],INDEX(합계표[사번키],$W865),상세표[기록월],"&lt;&gt;"&amp;대상월키,상세표[반영월],대상월키))</f>
        <v/>
      </c>
      <c r="J865">
        <f>IF($W865="","",SUMIFS(상세표[기록 시간외],상세표[사번키],INDEX(합계표[사번키],$W865),상세표[반영월],대상월키))</f>
        <v/>
      </c>
      <c r="K865">
        <f>IF($W865="","",IFERROR(INDEX(월별근무지표[적용 급여병원],MATCH(INDEX(합계표[사번키],$W865)&amp;"|"&amp;대상월키,월별근무지표[키],0))&amp;"",IF(COUNTIF(기관표[사번키],INDEX(합계표[사번키],$W865))+COUNTIF(월별근무지표[사번키],INDEX(합계표[사번키],$W865))&gt;0,IFERROR(INDEX(기관표[급여지급병원(기준월)],MATCH(INDEX(합계표[사번키],$W865)&amp;"|"&amp;대상월키,기관표[키],0))&amp;"","—"),"—")))</f>
        <v/>
      </c>
      <c r="L865">
        <f>IF($W865="","",IF(NOT(COUNTIF(기관표[사번키],INDEX(합계표[사번키],$W865))+COUNTIF(월별근무지표[사번키],INDEX(합계표[사번키],$W865))&gt;0),"기관명단에 없음(다른 병원으로 발송)",IF($K865="—","대상월 기관명단 없음(추가 필요)",IF($K865="서울병원","해당","비해당"))))</f>
        <v/>
      </c>
      <c r="M865">
        <f>IF($W865="","",SUMIFS(상세표[06~07시],상세표[사번키],INDEX(합계표[사번키],$W865),상세표[반영월],대상월키,상세표[반영 기관],"서울병원"))</f>
        <v/>
      </c>
      <c r="N865">
        <f>IF($W865="","",SUMIFS(상세표[07~18시],상세표[사번키],INDEX(합계표[사번키],$W865),상세표[반영월],대상월키,상세표[반영 기관],"서울병원"))</f>
        <v/>
      </c>
      <c r="O865">
        <f>IF($W865="","",SUMIFS(상세표[18~22시],상세표[사번키],INDEX(합계표[사번키],$W865),상세표[반영월],대상월키,상세표[반영 기관],"서울병원"))</f>
        <v/>
      </c>
      <c r="P865">
        <f>IF($W865="","",SUMIFS(상세표[22~06시],상세표[사번키],INDEX(합계표[사번키],$W865),상세표[반영월],대상월키,상세표[반영 기관],"서울병원"))</f>
        <v/>
      </c>
      <c r="Q865">
        <f>IF($W865="","",SUM($M865:$P865))</f>
        <v/>
      </c>
      <c r="R865">
        <f>IF($W865="","",COUNTIFS(상세표[사번키],INDEX(합계표[사번키],$W865),상세표[반영월],대상월키,상세표[야간당직],1,상세표[야간 구분],"평일"))</f>
        <v/>
      </c>
      <c r="S865" s="4">
        <f>IF($W865="","",COUNTIFS(상세표[사번키],INDEX(합계표[사번키],$W865),상세표[반영월],대상월키,상세표[야간당직],1,상세표[야간 구분],"휴일"))</f>
        <v/>
      </c>
      <c r="T865">
        <f>IF($W865="","",COUNTIFS(상세표[사번키],INDEX(합계표[사번키],$W865),상세표[반영월],대상월키,상세표[야간당직],1,상세표[야간 구분],"평일",상세표[반영 기관],"서울병원"))</f>
        <v/>
      </c>
      <c r="U865">
        <f>IF($W865="","",COUNTIFS(상세표[사번키],INDEX(합계표[사번키],$W865),상세표[반영월],대상월키,상세표[야간당직],1,상세표[야간 구분],"휴일",상세표[반영 기관],"서울병원"))</f>
        <v/>
      </c>
      <c r="V865">
        <f>IF($W865="","",IF(ISNUMBER(MATCH(INDEX(합계표[사번키],$W865)&amp;"|"&amp;대상월키,월별근무지표[키],0)),"직접 입력",IF($K865="—","—","기관명단")))</f>
        <v/>
      </c>
      <c r="W865">
        <f>IFERROR(MATCH(860,합계표[판정순번],0),"")</f>
        <v/>
      </c>
    </row>
    <row r="866">
      <c r="A866">
        <f>IF($W866="","",INDEX(합계표[사번],$W866)&amp;"")</f>
        <v/>
      </c>
      <c r="B866">
        <f>IF($W866="","",INDEX(합계표[성명],$W866)&amp;"")</f>
        <v/>
      </c>
      <c r="C866">
        <f>IF($W866="","",INDEX(합계표[부서],$W866)&amp;"")</f>
        <v/>
      </c>
      <c r="D866">
        <f>IF($W866="","",INDEX(합계표[직위(통합)],$W866)&amp;"")</f>
        <v/>
      </c>
      <c r="E866">
        <f>IF($W866="","",SUMIFS(합계표[시스템 합계],합계표[사번키],INDEX(합계표[사번키],$W866)))</f>
        <v/>
      </c>
      <c r="F866">
        <f>IF($W866="","",SUMIFS(상세표[기록 시간외],상세표[사번키],INDEX(합계표[사번키],$W866),상세표[기록월],대상월키))</f>
        <v/>
      </c>
      <c r="G866">
        <f>IF($W866="","",IF(ABS($E866-$F866)&lt;0.01,"일치","불일치(차이 "&amp;TEXT($F866-$E866,"0.00")&amp;")"))</f>
        <v/>
      </c>
      <c r="H866">
        <f>IF($W866="","",SUMIFS(상세표[기록 시간외],상세표[사번키],INDEX(합계표[사번키],$W866),상세표[기록월],대상월키,상세표[반영월],"&lt;&gt;"&amp;대상월키))</f>
        <v/>
      </c>
      <c r="I866">
        <f>IF($W866="","",SUMIFS(상세표[기록 시간외],상세표[사번키],INDEX(합계표[사번키],$W866),상세표[기록월],"&lt;&gt;"&amp;대상월키,상세표[반영월],대상월키))</f>
        <v/>
      </c>
      <c r="J866">
        <f>IF($W866="","",SUMIFS(상세표[기록 시간외],상세표[사번키],INDEX(합계표[사번키],$W866),상세표[반영월],대상월키))</f>
        <v/>
      </c>
      <c r="K866">
        <f>IF($W866="","",IFERROR(INDEX(월별근무지표[적용 급여병원],MATCH(INDEX(합계표[사번키],$W866)&amp;"|"&amp;대상월키,월별근무지표[키],0))&amp;"",IF(COUNTIF(기관표[사번키],INDEX(합계표[사번키],$W866))+COUNTIF(월별근무지표[사번키],INDEX(합계표[사번키],$W866))&gt;0,IFERROR(INDEX(기관표[급여지급병원(기준월)],MATCH(INDEX(합계표[사번키],$W866)&amp;"|"&amp;대상월키,기관표[키],0))&amp;"","—"),"—")))</f>
        <v/>
      </c>
      <c r="L866">
        <f>IF($W866="","",IF(NOT(COUNTIF(기관표[사번키],INDEX(합계표[사번키],$W866))+COUNTIF(월별근무지표[사번키],INDEX(합계표[사번키],$W866))&gt;0),"기관명단에 없음(다른 병원으로 발송)",IF($K866="—","대상월 기관명단 없음(추가 필요)",IF($K866="서울병원","해당","비해당"))))</f>
        <v/>
      </c>
      <c r="M866">
        <f>IF($W866="","",SUMIFS(상세표[06~07시],상세표[사번키],INDEX(합계표[사번키],$W866),상세표[반영월],대상월키,상세표[반영 기관],"서울병원"))</f>
        <v/>
      </c>
      <c r="N866">
        <f>IF($W866="","",SUMIFS(상세표[07~18시],상세표[사번키],INDEX(합계표[사번키],$W866),상세표[반영월],대상월키,상세표[반영 기관],"서울병원"))</f>
        <v/>
      </c>
      <c r="O866">
        <f>IF($W866="","",SUMIFS(상세표[18~22시],상세표[사번키],INDEX(합계표[사번키],$W866),상세표[반영월],대상월키,상세표[반영 기관],"서울병원"))</f>
        <v/>
      </c>
      <c r="P866">
        <f>IF($W866="","",SUMIFS(상세표[22~06시],상세표[사번키],INDEX(합계표[사번키],$W866),상세표[반영월],대상월키,상세표[반영 기관],"서울병원"))</f>
        <v/>
      </c>
      <c r="Q866">
        <f>IF($W866="","",SUM($M866:$P866))</f>
        <v/>
      </c>
      <c r="R866">
        <f>IF($W866="","",COUNTIFS(상세표[사번키],INDEX(합계표[사번키],$W866),상세표[반영월],대상월키,상세표[야간당직],1,상세표[야간 구분],"평일"))</f>
        <v/>
      </c>
      <c r="S866" s="4">
        <f>IF($W866="","",COUNTIFS(상세표[사번키],INDEX(합계표[사번키],$W866),상세표[반영월],대상월키,상세표[야간당직],1,상세표[야간 구분],"휴일"))</f>
        <v/>
      </c>
      <c r="T866">
        <f>IF($W866="","",COUNTIFS(상세표[사번키],INDEX(합계표[사번키],$W866),상세표[반영월],대상월키,상세표[야간당직],1,상세표[야간 구분],"평일",상세표[반영 기관],"서울병원"))</f>
        <v/>
      </c>
      <c r="U866">
        <f>IF($W866="","",COUNTIFS(상세표[사번키],INDEX(합계표[사번키],$W866),상세표[반영월],대상월키,상세표[야간당직],1,상세표[야간 구분],"휴일",상세표[반영 기관],"서울병원"))</f>
        <v/>
      </c>
      <c r="V866">
        <f>IF($W866="","",IF(ISNUMBER(MATCH(INDEX(합계표[사번키],$W866)&amp;"|"&amp;대상월키,월별근무지표[키],0)),"직접 입력",IF($K866="—","—","기관명단")))</f>
        <v/>
      </c>
      <c r="W866">
        <f>IFERROR(MATCH(861,합계표[판정순번],0),"")</f>
        <v/>
      </c>
    </row>
    <row r="867">
      <c r="A867">
        <f>IF($W867="","",INDEX(합계표[사번],$W867)&amp;"")</f>
        <v/>
      </c>
      <c r="B867">
        <f>IF($W867="","",INDEX(합계표[성명],$W867)&amp;"")</f>
        <v/>
      </c>
      <c r="C867">
        <f>IF($W867="","",INDEX(합계표[부서],$W867)&amp;"")</f>
        <v/>
      </c>
      <c r="D867">
        <f>IF($W867="","",INDEX(합계표[직위(통합)],$W867)&amp;"")</f>
        <v/>
      </c>
      <c r="E867">
        <f>IF($W867="","",SUMIFS(합계표[시스템 합계],합계표[사번키],INDEX(합계표[사번키],$W867)))</f>
        <v/>
      </c>
      <c r="F867">
        <f>IF($W867="","",SUMIFS(상세표[기록 시간외],상세표[사번키],INDEX(합계표[사번키],$W867),상세표[기록월],대상월키))</f>
        <v/>
      </c>
      <c r="G867">
        <f>IF($W867="","",IF(ABS($E867-$F867)&lt;0.01,"일치","불일치(차이 "&amp;TEXT($F867-$E867,"0.00")&amp;")"))</f>
        <v/>
      </c>
      <c r="H867">
        <f>IF($W867="","",SUMIFS(상세표[기록 시간외],상세표[사번키],INDEX(합계표[사번키],$W867),상세표[기록월],대상월키,상세표[반영월],"&lt;&gt;"&amp;대상월키))</f>
        <v/>
      </c>
      <c r="I867">
        <f>IF($W867="","",SUMIFS(상세표[기록 시간외],상세표[사번키],INDEX(합계표[사번키],$W867),상세표[기록월],"&lt;&gt;"&amp;대상월키,상세표[반영월],대상월키))</f>
        <v/>
      </c>
      <c r="J867">
        <f>IF($W867="","",SUMIFS(상세표[기록 시간외],상세표[사번키],INDEX(합계표[사번키],$W867),상세표[반영월],대상월키))</f>
        <v/>
      </c>
      <c r="K867">
        <f>IF($W867="","",IFERROR(INDEX(월별근무지표[적용 급여병원],MATCH(INDEX(합계표[사번키],$W867)&amp;"|"&amp;대상월키,월별근무지표[키],0))&amp;"",IF(COUNTIF(기관표[사번키],INDEX(합계표[사번키],$W867))+COUNTIF(월별근무지표[사번키],INDEX(합계표[사번키],$W867))&gt;0,IFERROR(INDEX(기관표[급여지급병원(기준월)],MATCH(INDEX(합계표[사번키],$W867)&amp;"|"&amp;대상월키,기관표[키],0))&amp;"","—"),"—")))</f>
        <v/>
      </c>
      <c r="L867">
        <f>IF($W867="","",IF(NOT(COUNTIF(기관표[사번키],INDEX(합계표[사번키],$W867))+COUNTIF(월별근무지표[사번키],INDEX(합계표[사번키],$W867))&gt;0),"기관명단에 없음(다른 병원으로 발송)",IF($K867="—","대상월 기관명단 없음(추가 필요)",IF($K867="서울병원","해당","비해당"))))</f>
        <v/>
      </c>
      <c r="M867">
        <f>IF($W867="","",SUMIFS(상세표[06~07시],상세표[사번키],INDEX(합계표[사번키],$W867),상세표[반영월],대상월키,상세표[반영 기관],"서울병원"))</f>
        <v/>
      </c>
      <c r="N867">
        <f>IF($W867="","",SUMIFS(상세표[07~18시],상세표[사번키],INDEX(합계표[사번키],$W867),상세표[반영월],대상월키,상세표[반영 기관],"서울병원"))</f>
        <v/>
      </c>
      <c r="O867">
        <f>IF($W867="","",SUMIFS(상세표[18~22시],상세표[사번키],INDEX(합계표[사번키],$W867),상세표[반영월],대상월키,상세표[반영 기관],"서울병원"))</f>
        <v/>
      </c>
      <c r="P867">
        <f>IF($W867="","",SUMIFS(상세표[22~06시],상세표[사번키],INDEX(합계표[사번키],$W867),상세표[반영월],대상월키,상세표[반영 기관],"서울병원"))</f>
        <v/>
      </c>
      <c r="Q867">
        <f>IF($W867="","",SUM($M867:$P867))</f>
        <v/>
      </c>
      <c r="R867">
        <f>IF($W867="","",COUNTIFS(상세표[사번키],INDEX(합계표[사번키],$W867),상세표[반영월],대상월키,상세표[야간당직],1,상세표[야간 구분],"평일"))</f>
        <v/>
      </c>
      <c r="S867" s="4">
        <f>IF($W867="","",COUNTIFS(상세표[사번키],INDEX(합계표[사번키],$W867),상세표[반영월],대상월키,상세표[야간당직],1,상세표[야간 구분],"휴일"))</f>
        <v/>
      </c>
      <c r="T867">
        <f>IF($W867="","",COUNTIFS(상세표[사번키],INDEX(합계표[사번키],$W867),상세표[반영월],대상월키,상세표[야간당직],1,상세표[야간 구분],"평일",상세표[반영 기관],"서울병원"))</f>
        <v/>
      </c>
      <c r="U867">
        <f>IF($W867="","",COUNTIFS(상세표[사번키],INDEX(합계표[사번키],$W867),상세표[반영월],대상월키,상세표[야간당직],1,상세표[야간 구분],"휴일",상세표[반영 기관],"서울병원"))</f>
        <v/>
      </c>
      <c r="V867">
        <f>IF($W867="","",IF(ISNUMBER(MATCH(INDEX(합계표[사번키],$W867)&amp;"|"&amp;대상월키,월별근무지표[키],0)),"직접 입력",IF($K867="—","—","기관명단")))</f>
        <v/>
      </c>
      <c r="W867">
        <f>IFERROR(MATCH(862,합계표[판정순번],0),"")</f>
        <v/>
      </c>
    </row>
    <row r="868">
      <c r="A868">
        <f>IF($W868="","",INDEX(합계표[사번],$W868)&amp;"")</f>
        <v/>
      </c>
      <c r="B868">
        <f>IF($W868="","",INDEX(합계표[성명],$W868)&amp;"")</f>
        <v/>
      </c>
      <c r="C868">
        <f>IF($W868="","",INDEX(합계표[부서],$W868)&amp;"")</f>
        <v/>
      </c>
      <c r="D868">
        <f>IF($W868="","",INDEX(합계표[직위(통합)],$W868)&amp;"")</f>
        <v/>
      </c>
      <c r="E868">
        <f>IF($W868="","",SUMIFS(합계표[시스템 합계],합계표[사번키],INDEX(합계표[사번키],$W868)))</f>
        <v/>
      </c>
      <c r="F868">
        <f>IF($W868="","",SUMIFS(상세표[기록 시간외],상세표[사번키],INDEX(합계표[사번키],$W868),상세표[기록월],대상월키))</f>
        <v/>
      </c>
      <c r="G868">
        <f>IF($W868="","",IF(ABS($E868-$F868)&lt;0.01,"일치","불일치(차이 "&amp;TEXT($F868-$E868,"0.00")&amp;")"))</f>
        <v/>
      </c>
      <c r="H868">
        <f>IF($W868="","",SUMIFS(상세표[기록 시간외],상세표[사번키],INDEX(합계표[사번키],$W868),상세표[기록월],대상월키,상세표[반영월],"&lt;&gt;"&amp;대상월키))</f>
        <v/>
      </c>
      <c r="I868">
        <f>IF($W868="","",SUMIFS(상세표[기록 시간외],상세표[사번키],INDEX(합계표[사번키],$W868),상세표[기록월],"&lt;&gt;"&amp;대상월키,상세표[반영월],대상월키))</f>
        <v/>
      </c>
      <c r="J868">
        <f>IF($W868="","",SUMIFS(상세표[기록 시간외],상세표[사번키],INDEX(합계표[사번키],$W868),상세표[반영월],대상월키))</f>
        <v/>
      </c>
      <c r="K868">
        <f>IF($W868="","",IFERROR(INDEX(월별근무지표[적용 급여병원],MATCH(INDEX(합계표[사번키],$W868)&amp;"|"&amp;대상월키,월별근무지표[키],0))&amp;"",IF(COUNTIF(기관표[사번키],INDEX(합계표[사번키],$W868))+COUNTIF(월별근무지표[사번키],INDEX(합계표[사번키],$W868))&gt;0,IFERROR(INDEX(기관표[급여지급병원(기준월)],MATCH(INDEX(합계표[사번키],$W868)&amp;"|"&amp;대상월키,기관표[키],0))&amp;"","—"),"—")))</f>
        <v/>
      </c>
      <c r="L868">
        <f>IF($W868="","",IF(NOT(COUNTIF(기관표[사번키],INDEX(합계표[사번키],$W868))+COUNTIF(월별근무지표[사번키],INDEX(합계표[사번키],$W868))&gt;0),"기관명단에 없음(다른 병원으로 발송)",IF($K868="—","대상월 기관명단 없음(추가 필요)",IF($K868="서울병원","해당","비해당"))))</f>
        <v/>
      </c>
      <c r="M868">
        <f>IF($W868="","",SUMIFS(상세표[06~07시],상세표[사번키],INDEX(합계표[사번키],$W868),상세표[반영월],대상월키,상세표[반영 기관],"서울병원"))</f>
        <v/>
      </c>
      <c r="N868">
        <f>IF($W868="","",SUMIFS(상세표[07~18시],상세표[사번키],INDEX(합계표[사번키],$W868),상세표[반영월],대상월키,상세표[반영 기관],"서울병원"))</f>
        <v/>
      </c>
      <c r="O868">
        <f>IF($W868="","",SUMIFS(상세표[18~22시],상세표[사번키],INDEX(합계표[사번키],$W868),상세표[반영월],대상월키,상세표[반영 기관],"서울병원"))</f>
        <v/>
      </c>
      <c r="P868">
        <f>IF($W868="","",SUMIFS(상세표[22~06시],상세표[사번키],INDEX(합계표[사번키],$W868),상세표[반영월],대상월키,상세표[반영 기관],"서울병원"))</f>
        <v/>
      </c>
      <c r="Q868">
        <f>IF($W868="","",SUM($M868:$P868))</f>
        <v/>
      </c>
      <c r="R868">
        <f>IF($W868="","",COUNTIFS(상세표[사번키],INDEX(합계표[사번키],$W868),상세표[반영월],대상월키,상세표[야간당직],1,상세표[야간 구분],"평일"))</f>
        <v/>
      </c>
      <c r="S868" s="4">
        <f>IF($W868="","",COUNTIFS(상세표[사번키],INDEX(합계표[사번키],$W868),상세표[반영월],대상월키,상세표[야간당직],1,상세표[야간 구분],"휴일"))</f>
        <v/>
      </c>
      <c r="T868">
        <f>IF($W868="","",COUNTIFS(상세표[사번키],INDEX(합계표[사번키],$W868),상세표[반영월],대상월키,상세표[야간당직],1,상세표[야간 구분],"평일",상세표[반영 기관],"서울병원"))</f>
        <v/>
      </c>
      <c r="U868">
        <f>IF($W868="","",COUNTIFS(상세표[사번키],INDEX(합계표[사번키],$W868),상세표[반영월],대상월키,상세표[야간당직],1,상세표[야간 구분],"휴일",상세표[반영 기관],"서울병원"))</f>
        <v/>
      </c>
      <c r="V868">
        <f>IF($W868="","",IF(ISNUMBER(MATCH(INDEX(합계표[사번키],$W868)&amp;"|"&amp;대상월키,월별근무지표[키],0)),"직접 입력",IF($K868="—","—","기관명단")))</f>
        <v/>
      </c>
      <c r="W868">
        <f>IFERROR(MATCH(863,합계표[판정순번],0),"")</f>
        <v/>
      </c>
    </row>
    <row r="869">
      <c r="A869">
        <f>IF($W869="","",INDEX(합계표[사번],$W869)&amp;"")</f>
        <v/>
      </c>
      <c r="B869">
        <f>IF($W869="","",INDEX(합계표[성명],$W869)&amp;"")</f>
        <v/>
      </c>
      <c r="C869">
        <f>IF($W869="","",INDEX(합계표[부서],$W869)&amp;"")</f>
        <v/>
      </c>
      <c r="D869">
        <f>IF($W869="","",INDEX(합계표[직위(통합)],$W869)&amp;"")</f>
        <v/>
      </c>
      <c r="E869">
        <f>IF($W869="","",SUMIFS(합계표[시스템 합계],합계표[사번키],INDEX(합계표[사번키],$W869)))</f>
        <v/>
      </c>
      <c r="F869">
        <f>IF($W869="","",SUMIFS(상세표[기록 시간외],상세표[사번키],INDEX(합계표[사번키],$W869),상세표[기록월],대상월키))</f>
        <v/>
      </c>
      <c r="G869">
        <f>IF($W869="","",IF(ABS($E869-$F869)&lt;0.01,"일치","불일치(차이 "&amp;TEXT($F869-$E869,"0.00")&amp;")"))</f>
        <v/>
      </c>
      <c r="H869">
        <f>IF($W869="","",SUMIFS(상세표[기록 시간외],상세표[사번키],INDEX(합계표[사번키],$W869),상세표[기록월],대상월키,상세표[반영월],"&lt;&gt;"&amp;대상월키))</f>
        <v/>
      </c>
      <c r="I869">
        <f>IF($W869="","",SUMIFS(상세표[기록 시간외],상세표[사번키],INDEX(합계표[사번키],$W869),상세표[기록월],"&lt;&gt;"&amp;대상월키,상세표[반영월],대상월키))</f>
        <v/>
      </c>
      <c r="J869">
        <f>IF($W869="","",SUMIFS(상세표[기록 시간외],상세표[사번키],INDEX(합계표[사번키],$W869),상세표[반영월],대상월키))</f>
        <v/>
      </c>
      <c r="K869">
        <f>IF($W869="","",IFERROR(INDEX(월별근무지표[적용 급여병원],MATCH(INDEX(합계표[사번키],$W869)&amp;"|"&amp;대상월키,월별근무지표[키],0))&amp;"",IF(COUNTIF(기관표[사번키],INDEX(합계표[사번키],$W869))+COUNTIF(월별근무지표[사번키],INDEX(합계표[사번키],$W869))&gt;0,IFERROR(INDEX(기관표[급여지급병원(기준월)],MATCH(INDEX(합계표[사번키],$W869)&amp;"|"&amp;대상월키,기관표[키],0))&amp;"","—"),"—")))</f>
        <v/>
      </c>
      <c r="L869">
        <f>IF($W869="","",IF(NOT(COUNTIF(기관표[사번키],INDEX(합계표[사번키],$W869))+COUNTIF(월별근무지표[사번키],INDEX(합계표[사번키],$W869))&gt;0),"기관명단에 없음(다른 병원으로 발송)",IF($K869="—","대상월 기관명단 없음(추가 필요)",IF($K869="서울병원","해당","비해당"))))</f>
        <v/>
      </c>
      <c r="M869">
        <f>IF($W869="","",SUMIFS(상세표[06~07시],상세표[사번키],INDEX(합계표[사번키],$W869),상세표[반영월],대상월키,상세표[반영 기관],"서울병원"))</f>
        <v/>
      </c>
      <c r="N869">
        <f>IF($W869="","",SUMIFS(상세표[07~18시],상세표[사번키],INDEX(합계표[사번키],$W869),상세표[반영월],대상월키,상세표[반영 기관],"서울병원"))</f>
        <v/>
      </c>
      <c r="O869">
        <f>IF($W869="","",SUMIFS(상세표[18~22시],상세표[사번키],INDEX(합계표[사번키],$W869),상세표[반영월],대상월키,상세표[반영 기관],"서울병원"))</f>
        <v/>
      </c>
      <c r="P869">
        <f>IF($W869="","",SUMIFS(상세표[22~06시],상세표[사번키],INDEX(합계표[사번키],$W869),상세표[반영월],대상월키,상세표[반영 기관],"서울병원"))</f>
        <v/>
      </c>
      <c r="Q869">
        <f>IF($W869="","",SUM($M869:$P869))</f>
        <v/>
      </c>
      <c r="R869">
        <f>IF($W869="","",COUNTIFS(상세표[사번키],INDEX(합계표[사번키],$W869),상세표[반영월],대상월키,상세표[야간당직],1,상세표[야간 구분],"평일"))</f>
        <v/>
      </c>
      <c r="S869" s="4">
        <f>IF($W869="","",COUNTIFS(상세표[사번키],INDEX(합계표[사번키],$W869),상세표[반영월],대상월키,상세표[야간당직],1,상세표[야간 구분],"휴일"))</f>
        <v/>
      </c>
      <c r="T869">
        <f>IF($W869="","",COUNTIFS(상세표[사번키],INDEX(합계표[사번키],$W869),상세표[반영월],대상월키,상세표[야간당직],1,상세표[야간 구분],"평일",상세표[반영 기관],"서울병원"))</f>
        <v/>
      </c>
      <c r="U869">
        <f>IF($W869="","",COUNTIFS(상세표[사번키],INDEX(합계표[사번키],$W869),상세표[반영월],대상월키,상세표[야간당직],1,상세표[야간 구분],"휴일",상세표[반영 기관],"서울병원"))</f>
        <v/>
      </c>
      <c r="V869">
        <f>IF($W869="","",IF(ISNUMBER(MATCH(INDEX(합계표[사번키],$W869)&amp;"|"&amp;대상월키,월별근무지표[키],0)),"직접 입력",IF($K869="—","—","기관명단")))</f>
        <v/>
      </c>
      <c r="W869">
        <f>IFERROR(MATCH(864,합계표[판정순번],0),"")</f>
        <v/>
      </c>
    </row>
    <row r="870">
      <c r="A870">
        <f>IF($W870="","",INDEX(합계표[사번],$W870)&amp;"")</f>
        <v/>
      </c>
      <c r="B870">
        <f>IF($W870="","",INDEX(합계표[성명],$W870)&amp;"")</f>
        <v/>
      </c>
      <c r="C870">
        <f>IF($W870="","",INDEX(합계표[부서],$W870)&amp;"")</f>
        <v/>
      </c>
      <c r="D870">
        <f>IF($W870="","",INDEX(합계표[직위(통합)],$W870)&amp;"")</f>
        <v/>
      </c>
      <c r="E870">
        <f>IF($W870="","",SUMIFS(합계표[시스템 합계],합계표[사번키],INDEX(합계표[사번키],$W870)))</f>
        <v/>
      </c>
      <c r="F870">
        <f>IF($W870="","",SUMIFS(상세표[기록 시간외],상세표[사번키],INDEX(합계표[사번키],$W870),상세표[기록월],대상월키))</f>
        <v/>
      </c>
      <c r="G870">
        <f>IF($W870="","",IF(ABS($E870-$F870)&lt;0.01,"일치","불일치(차이 "&amp;TEXT($F870-$E870,"0.00")&amp;")"))</f>
        <v/>
      </c>
      <c r="H870">
        <f>IF($W870="","",SUMIFS(상세표[기록 시간외],상세표[사번키],INDEX(합계표[사번키],$W870),상세표[기록월],대상월키,상세표[반영월],"&lt;&gt;"&amp;대상월키))</f>
        <v/>
      </c>
      <c r="I870">
        <f>IF($W870="","",SUMIFS(상세표[기록 시간외],상세표[사번키],INDEX(합계표[사번키],$W870),상세표[기록월],"&lt;&gt;"&amp;대상월키,상세표[반영월],대상월키))</f>
        <v/>
      </c>
      <c r="J870">
        <f>IF($W870="","",SUMIFS(상세표[기록 시간외],상세표[사번키],INDEX(합계표[사번키],$W870),상세표[반영월],대상월키))</f>
        <v/>
      </c>
      <c r="K870">
        <f>IF($W870="","",IFERROR(INDEX(월별근무지표[적용 급여병원],MATCH(INDEX(합계표[사번키],$W870)&amp;"|"&amp;대상월키,월별근무지표[키],0))&amp;"",IF(COUNTIF(기관표[사번키],INDEX(합계표[사번키],$W870))+COUNTIF(월별근무지표[사번키],INDEX(합계표[사번키],$W870))&gt;0,IFERROR(INDEX(기관표[급여지급병원(기준월)],MATCH(INDEX(합계표[사번키],$W870)&amp;"|"&amp;대상월키,기관표[키],0))&amp;"","—"),"—")))</f>
        <v/>
      </c>
      <c r="L870">
        <f>IF($W870="","",IF(NOT(COUNTIF(기관표[사번키],INDEX(합계표[사번키],$W870))+COUNTIF(월별근무지표[사번키],INDEX(합계표[사번키],$W870))&gt;0),"기관명단에 없음(다른 병원으로 발송)",IF($K870="—","대상월 기관명단 없음(추가 필요)",IF($K870="서울병원","해당","비해당"))))</f>
        <v/>
      </c>
      <c r="M870">
        <f>IF($W870="","",SUMIFS(상세표[06~07시],상세표[사번키],INDEX(합계표[사번키],$W870),상세표[반영월],대상월키,상세표[반영 기관],"서울병원"))</f>
        <v/>
      </c>
      <c r="N870">
        <f>IF($W870="","",SUMIFS(상세표[07~18시],상세표[사번키],INDEX(합계표[사번키],$W870),상세표[반영월],대상월키,상세표[반영 기관],"서울병원"))</f>
        <v/>
      </c>
      <c r="O870">
        <f>IF($W870="","",SUMIFS(상세표[18~22시],상세표[사번키],INDEX(합계표[사번키],$W870),상세표[반영월],대상월키,상세표[반영 기관],"서울병원"))</f>
        <v/>
      </c>
      <c r="P870">
        <f>IF($W870="","",SUMIFS(상세표[22~06시],상세표[사번키],INDEX(합계표[사번키],$W870),상세표[반영월],대상월키,상세표[반영 기관],"서울병원"))</f>
        <v/>
      </c>
      <c r="Q870">
        <f>IF($W870="","",SUM($M870:$P870))</f>
        <v/>
      </c>
      <c r="R870">
        <f>IF($W870="","",COUNTIFS(상세표[사번키],INDEX(합계표[사번키],$W870),상세표[반영월],대상월키,상세표[야간당직],1,상세표[야간 구분],"평일"))</f>
        <v/>
      </c>
      <c r="S870" s="4">
        <f>IF($W870="","",COUNTIFS(상세표[사번키],INDEX(합계표[사번키],$W870),상세표[반영월],대상월키,상세표[야간당직],1,상세표[야간 구분],"휴일"))</f>
        <v/>
      </c>
      <c r="T870">
        <f>IF($W870="","",COUNTIFS(상세표[사번키],INDEX(합계표[사번키],$W870),상세표[반영월],대상월키,상세표[야간당직],1,상세표[야간 구분],"평일",상세표[반영 기관],"서울병원"))</f>
        <v/>
      </c>
      <c r="U870">
        <f>IF($W870="","",COUNTIFS(상세표[사번키],INDEX(합계표[사번키],$W870),상세표[반영월],대상월키,상세표[야간당직],1,상세표[야간 구분],"휴일",상세표[반영 기관],"서울병원"))</f>
        <v/>
      </c>
      <c r="V870">
        <f>IF($W870="","",IF(ISNUMBER(MATCH(INDEX(합계표[사번키],$W870)&amp;"|"&amp;대상월키,월별근무지표[키],0)),"직접 입력",IF($K870="—","—","기관명단")))</f>
        <v/>
      </c>
      <c r="W870">
        <f>IFERROR(MATCH(865,합계표[판정순번],0),"")</f>
        <v/>
      </c>
    </row>
    <row r="871">
      <c r="A871">
        <f>IF($W871="","",INDEX(합계표[사번],$W871)&amp;"")</f>
        <v/>
      </c>
      <c r="B871">
        <f>IF($W871="","",INDEX(합계표[성명],$W871)&amp;"")</f>
        <v/>
      </c>
      <c r="C871">
        <f>IF($W871="","",INDEX(합계표[부서],$W871)&amp;"")</f>
        <v/>
      </c>
      <c r="D871">
        <f>IF($W871="","",INDEX(합계표[직위(통합)],$W871)&amp;"")</f>
        <v/>
      </c>
      <c r="E871">
        <f>IF($W871="","",SUMIFS(합계표[시스템 합계],합계표[사번키],INDEX(합계표[사번키],$W871)))</f>
        <v/>
      </c>
      <c r="F871">
        <f>IF($W871="","",SUMIFS(상세표[기록 시간외],상세표[사번키],INDEX(합계표[사번키],$W871),상세표[기록월],대상월키))</f>
        <v/>
      </c>
      <c r="G871">
        <f>IF($W871="","",IF(ABS($E871-$F871)&lt;0.01,"일치","불일치(차이 "&amp;TEXT($F871-$E871,"0.00")&amp;")"))</f>
        <v/>
      </c>
      <c r="H871">
        <f>IF($W871="","",SUMIFS(상세표[기록 시간외],상세표[사번키],INDEX(합계표[사번키],$W871),상세표[기록월],대상월키,상세표[반영월],"&lt;&gt;"&amp;대상월키))</f>
        <v/>
      </c>
      <c r="I871">
        <f>IF($W871="","",SUMIFS(상세표[기록 시간외],상세표[사번키],INDEX(합계표[사번키],$W871),상세표[기록월],"&lt;&gt;"&amp;대상월키,상세표[반영월],대상월키))</f>
        <v/>
      </c>
      <c r="J871">
        <f>IF($W871="","",SUMIFS(상세표[기록 시간외],상세표[사번키],INDEX(합계표[사번키],$W871),상세표[반영월],대상월키))</f>
        <v/>
      </c>
      <c r="K871">
        <f>IF($W871="","",IFERROR(INDEX(월별근무지표[적용 급여병원],MATCH(INDEX(합계표[사번키],$W871)&amp;"|"&amp;대상월키,월별근무지표[키],0))&amp;"",IF(COUNTIF(기관표[사번키],INDEX(합계표[사번키],$W871))+COUNTIF(월별근무지표[사번키],INDEX(합계표[사번키],$W871))&gt;0,IFERROR(INDEX(기관표[급여지급병원(기준월)],MATCH(INDEX(합계표[사번키],$W871)&amp;"|"&amp;대상월키,기관표[키],0))&amp;"","—"),"—")))</f>
        <v/>
      </c>
      <c r="L871">
        <f>IF($W871="","",IF(NOT(COUNTIF(기관표[사번키],INDEX(합계표[사번키],$W871))+COUNTIF(월별근무지표[사번키],INDEX(합계표[사번키],$W871))&gt;0),"기관명단에 없음(다른 병원으로 발송)",IF($K871="—","대상월 기관명단 없음(추가 필요)",IF($K871="서울병원","해당","비해당"))))</f>
        <v/>
      </c>
      <c r="M871">
        <f>IF($W871="","",SUMIFS(상세표[06~07시],상세표[사번키],INDEX(합계표[사번키],$W871),상세표[반영월],대상월키,상세표[반영 기관],"서울병원"))</f>
        <v/>
      </c>
      <c r="N871">
        <f>IF($W871="","",SUMIFS(상세표[07~18시],상세표[사번키],INDEX(합계표[사번키],$W871),상세표[반영월],대상월키,상세표[반영 기관],"서울병원"))</f>
        <v/>
      </c>
      <c r="O871">
        <f>IF($W871="","",SUMIFS(상세표[18~22시],상세표[사번키],INDEX(합계표[사번키],$W871),상세표[반영월],대상월키,상세표[반영 기관],"서울병원"))</f>
        <v/>
      </c>
      <c r="P871">
        <f>IF($W871="","",SUMIFS(상세표[22~06시],상세표[사번키],INDEX(합계표[사번키],$W871),상세표[반영월],대상월키,상세표[반영 기관],"서울병원"))</f>
        <v/>
      </c>
      <c r="Q871">
        <f>IF($W871="","",SUM($M871:$P871))</f>
        <v/>
      </c>
      <c r="R871">
        <f>IF($W871="","",COUNTIFS(상세표[사번키],INDEX(합계표[사번키],$W871),상세표[반영월],대상월키,상세표[야간당직],1,상세표[야간 구분],"평일"))</f>
        <v/>
      </c>
      <c r="S871" s="4">
        <f>IF($W871="","",COUNTIFS(상세표[사번키],INDEX(합계표[사번키],$W871),상세표[반영월],대상월키,상세표[야간당직],1,상세표[야간 구분],"휴일"))</f>
        <v/>
      </c>
      <c r="T871">
        <f>IF($W871="","",COUNTIFS(상세표[사번키],INDEX(합계표[사번키],$W871),상세표[반영월],대상월키,상세표[야간당직],1,상세표[야간 구분],"평일",상세표[반영 기관],"서울병원"))</f>
        <v/>
      </c>
      <c r="U871">
        <f>IF($W871="","",COUNTIFS(상세표[사번키],INDEX(합계표[사번키],$W871),상세표[반영월],대상월키,상세표[야간당직],1,상세표[야간 구분],"휴일",상세표[반영 기관],"서울병원"))</f>
        <v/>
      </c>
      <c r="V871">
        <f>IF($W871="","",IF(ISNUMBER(MATCH(INDEX(합계표[사번키],$W871)&amp;"|"&amp;대상월키,월별근무지표[키],0)),"직접 입력",IF($K871="—","—","기관명단")))</f>
        <v/>
      </c>
      <c r="W871">
        <f>IFERROR(MATCH(866,합계표[판정순번],0),"")</f>
        <v/>
      </c>
    </row>
    <row r="872">
      <c r="A872">
        <f>IF($W872="","",INDEX(합계표[사번],$W872)&amp;"")</f>
        <v/>
      </c>
      <c r="B872">
        <f>IF($W872="","",INDEX(합계표[성명],$W872)&amp;"")</f>
        <v/>
      </c>
      <c r="C872">
        <f>IF($W872="","",INDEX(합계표[부서],$W872)&amp;"")</f>
        <v/>
      </c>
      <c r="D872">
        <f>IF($W872="","",INDEX(합계표[직위(통합)],$W872)&amp;"")</f>
        <v/>
      </c>
      <c r="E872">
        <f>IF($W872="","",SUMIFS(합계표[시스템 합계],합계표[사번키],INDEX(합계표[사번키],$W872)))</f>
        <v/>
      </c>
      <c r="F872">
        <f>IF($W872="","",SUMIFS(상세표[기록 시간외],상세표[사번키],INDEX(합계표[사번키],$W872),상세표[기록월],대상월키))</f>
        <v/>
      </c>
      <c r="G872">
        <f>IF($W872="","",IF(ABS($E872-$F872)&lt;0.01,"일치","불일치(차이 "&amp;TEXT($F872-$E872,"0.00")&amp;")"))</f>
        <v/>
      </c>
      <c r="H872">
        <f>IF($W872="","",SUMIFS(상세표[기록 시간외],상세표[사번키],INDEX(합계표[사번키],$W872),상세표[기록월],대상월키,상세표[반영월],"&lt;&gt;"&amp;대상월키))</f>
        <v/>
      </c>
      <c r="I872">
        <f>IF($W872="","",SUMIFS(상세표[기록 시간외],상세표[사번키],INDEX(합계표[사번키],$W872),상세표[기록월],"&lt;&gt;"&amp;대상월키,상세표[반영월],대상월키))</f>
        <v/>
      </c>
      <c r="J872">
        <f>IF($W872="","",SUMIFS(상세표[기록 시간외],상세표[사번키],INDEX(합계표[사번키],$W872),상세표[반영월],대상월키))</f>
        <v/>
      </c>
      <c r="K872">
        <f>IF($W872="","",IFERROR(INDEX(월별근무지표[적용 급여병원],MATCH(INDEX(합계표[사번키],$W872)&amp;"|"&amp;대상월키,월별근무지표[키],0))&amp;"",IF(COUNTIF(기관표[사번키],INDEX(합계표[사번키],$W872))+COUNTIF(월별근무지표[사번키],INDEX(합계표[사번키],$W872))&gt;0,IFERROR(INDEX(기관표[급여지급병원(기준월)],MATCH(INDEX(합계표[사번키],$W872)&amp;"|"&amp;대상월키,기관표[키],0))&amp;"","—"),"—")))</f>
        <v/>
      </c>
      <c r="L872">
        <f>IF($W872="","",IF(NOT(COUNTIF(기관표[사번키],INDEX(합계표[사번키],$W872))+COUNTIF(월별근무지표[사번키],INDEX(합계표[사번키],$W872))&gt;0),"기관명단에 없음(다른 병원으로 발송)",IF($K872="—","대상월 기관명단 없음(추가 필요)",IF($K872="서울병원","해당","비해당"))))</f>
        <v/>
      </c>
      <c r="M872">
        <f>IF($W872="","",SUMIFS(상세표[06~07시],상세표[사번키],INDEX(합계표[사번키],$W872),상세표[반영월],대상월키,상세표[반영 기관],"서울병원"))</f>
        <v/>
      </c>
      <c r="N872">
        <f>IF($W872="","",SUMIFS(상세표[07~18시],상세표[사번키],INDEX(합계표[사번키],$W872),상세표[반영월],대상월키,상세표[반영 기관],"서울병원"))</f>
        <v/>
      </c>
      <c r="O872">
        <f>IF($W872="","",SUMIFS(상세표[18~22시],상세표[사번키],INDEX(합계표[사번키],$W872),상세표[반영월],대상월키,상세표[반영 기관],"서울병원"))</f>
        <v/>
      </c>
      <c r="P872">
        <f>IF($W872="","",SUMIFS(상세표[22~06시],상세표[사번키],INDEX(합계표[사번키],$W872),상세표[반영월],대상월키,상세표[반영 기관],"서울병원"))</f>
        <v/>
      </c>
      <c r="Q872">
        <f>IF($W872="","",SUM($M872:$P872))</f>
        <v/>
      </c>
      <c r="R872">
        <f>IF($W872="","",COUNTIFS(상세표[사번키],INDEX(합계표[사번키],$W872),상세표[반영월],대상월키,상세표[야간당직],1,상세표[야간 구분],"평일"))</f>
        <v/>
      </c>
      <c r="S872" s="4">
        <f>IF($W872="","",COUNTIFS(상세표[사번키],INDEX(합계표[사번키],$W872),상세표[반영월],대상월키,상세표[야간당직],1,상세표[야간 구분],"휴일"))</f>
        <v/>
      </c>
      <c r="T872">
        <f>IF($W872="","",COUNTIFS(상세표[사번키],INDEX(합계표[사번키],$W872),상세표[반영월],대상월키,상세표[야간당직],1,상세표[야간 구분],"평일",상세표[반영 기관],"서울병원"))</f>
        <v/>
      </c>
      <c r="U872">
        <f>IF($W872="","",COUNTIFS(상세표[사번키],INDEX(합계표[사번키],$W872),상세표[반영월],대상월키,상세표[야간당직],1,상세표[야간 구분],"휴일",상세표[반영 기관],"서울병원"))</f>
        <v/>
      </c>
      <c r="V872">
        <f>IF($W872="","",IF(ISNUMBER(MATCH(INDEX(합계표[사번키],$W872)&amp;"|"&amp;대상월키,월별근무지표[키],0)),"직접 입력",IF($K872="—","—","기관명단")))</f>
        <v/>
      </c>
      <c r="W872">
        <f>IFERROR(MATCH(867,합계표[판정순번],0),"")</f>
        <v/>
      </c>
    </row>
    <row r="873">
      <c r="A873">
        <f>IF($W873="","",INDEX(합계표[사번],$W873)&amp;"")</f>
        <v/>
      </c>
      <c r="B873">
        <f>IF($W873="","",INDEX(합계표[성명],$W873)&amp;"")</f>
        <v/>
      </c>
      <c r="C873">
        <f>IF($W873="","",INDEX(합계표[부서],$W873)&amp;"")</f>
        <v/>
      </c>
      <c r="D873">
        <f>IF($W873="","",INDEX(합계표[직위(통합)],$W873)&amp;"")</f>
        <v/>
      </c>
      <c r="E873">
        <f>IF($W873="","",SUMIFS(합계표[시스템 합계],합계표[사번키],INDEX(합계표[사번키],$W873)))</f>
        <v/>
      </c>
      <c r="F873">
        <f>IF($W873="","",SUMIFS(상세표[기록 시간외],상세표[사번키],INDEX(합계표[사번키],$W873),상세표[기록월],대상월키))</f>
        <v/>
      </c>
      <c r="G873">
        <f>IF($W873="","",IF(ABS($E873-$F873)&lt;0.01,"일치","불일치(차이 "&amp;TEXT($F873-$E873,"0.00")&amp;")"))</f>
        <v/>
      </c>
      <c r="H873">
        <f>IF($W873="","",SUMIFS(상세표[기록 시간외],상세표[사번키],INDEX(합계표[사번키],$W873),상세표[기록월],대상월키,상세표[반영월],"&lt;&gt;"&amp;대상월키))</f>
        <v/>
      </c>
      <c r="I873">
        <f>IF($W873="","",SUMIFS(상세표[기록 시간외],상세표[사번키],INDEX(합계표[사번키],$W873),상세표[기록월],"&lt;&gt;"&amp;대상월키,상세표[반영월],대상월키))</f>
        <v/>
      </c>
      <c r="J873">
        <f>IF($W873="","",SUMIFS(상세표[기록 시간외],상세표[사번키],INDEX(합계표[사번키],$W873),상세표[반영월],대상월키))</f>
        <v/>
      </c>
      <c r="K873">
        <f>IF($W873="","",IFERROR(INDEX(월별근무지표[적용 급여병원],MATCH(INDEX(합계표[사번키],$W873)&amp;"|"&amp;대상월키,월별근무지표[키],0))&amp;"",IF(COUNTIF(기관표[사번키],INDEX(합계표[사번키],$W873))+COUNTIF(월별근무지표[사번키],INDEX(합계표[사번키],$W873))&gt;0,IFERROR(INDEX(기관표[급여지급병원(기준월)],MATCH(INDEX(합계표[사번키],$W873)&amp;"|"&amp;대상월키,기관표[키],0))&amp;"","—"),"—")))</f>
        <v/>
      </c>
      <c r="L873">
        <f>IF($W873="","",IF(NOT(COUNTIF(기관표[사번키],INDEX(합계표[사번키],$W873))+COUNTIF(월별근무지표[사번키],INDEX(합계표[사번키],$W873))&gt;0),"기관명단에 없음(다른 병원으로 발송)",IF($K873="—","대상월 기관명단 없음(추가 필요)",IF($K873="서울병원","해당","비해당"))))</f>
        <v/>
      </c>
      <c r="M873">
        <f>IF($W873="","",SUMIFS(상세표[06~07시],상세표[사번키],INDEX(합계표[사번키],$W873),상세표[반영월],대상월키,상세표[반영 기관],"서울병원"))</f>
        <v/>
      </c>
      <c r="N873">
        <f>IF($W873="","",SUMIFS(상세표[07~18시],상세표[사번키],INDEX(합계표[사번키],$W873),상세표[반영월],대상월키,상세표[반영 기관],"서울병원"))</f>
        <v/>
      </c>
      <c r="O873">
        <f>IF($W873="","",SUMIFS(상세표[18~22시],상세표[사번키],INDEX(합계표[사번키],$W873),상세표[반영월],대상월키,상세표[반영 기관],"서울병원"))</f>
        <v/>
      </c>
      <c r="P873">
        <f>IF($W873="","",SUMIFS(상세표[22~06시],상세표[사번키],INDEX(합계표[사번키],$W873),상세표[반영월],대상월키,상세표[반영 기관],"서울병원"))</f>
        <v/>
      </c>
      <c r="Q873">
        <f>IF($W873="","",SUM($M873:$P873))</f>
        <v/>
      </c>
      <c r="R873">
        <f>IF($W873="","",COUNTIFS(상세표[사번키],INDEX(합계표[사번키],$W873),상세표[반영월],대상월키,상세표[야간당직],1,상세표[야간 구분],"평일"))</f>
        <v/>
      </c>
      <c r="S873" s="4">
        <f>IF($W873="","",COUNTIFS(상세표[사번키],INDEX(합계표[사번키],$W873),상세표[반영월],대상월키,상세표[야간당직],1,상세표[야간 구분],"휴일"))</f>
        <v/>
      </c>
      <c r="T873">
        <f>IF($W873="","",COUNTIFS(상세표[사번키],INDEX(합계표[사번키],$W873),상세표[반영월],대상월키,상세표[야간당직],1,상세표[야간 구분],"평일",상세표[반영 기관],"서울병원"))</f>
        <v/>
      </c>
      <c r="U873">
        <f>IF($W873="","",COUNTIFS(상세표[사번키],INDEX(합계표[사번키],$W873),상세표[반영월],대상월키,상세표[야간당직],1,상세표[야간 구분],"휴일",상세표[반영 기관],"서울병원"))</f>
        <v/>
      </c>
      <c r="V873">
        <f>IF($W873="","",IF(ISNUMBER(MATCH(INDEX(합계표[사번키],$W873)&amp;"|"&amp;대상월키,월별근무지표[키],0)),"직접 입력",IF($K873="—","—","기관명단")))</f>
        <v/>
      </c>
      <c r="W873">
        <f>IFERROR(MATCH(868,합계표[판정순번],0),"")</f>
        <v/>
      </c>
    </row>
    <row r="874">
      <c r="A874">
        <f>IF($W874="","",INDEX(합계표[사번],$W874)&amp;"")</f>
        <v/>
      </c>
      <c r="B874">
        <f>IF($W874="","",INDEX(합계표[성명],$W874)&amp;"")</f>
        <v/>
      </c>
      <c r="C874">
        <f>IF($W874="","",INDEX(합계표[부서],$W874)&amp;"")</f>
        <v/>
      </c>
      <c r="D874">
        <f>IF($W874="","",INDEX(합계표[직위(통합)],$W874)&amp;"")</f>
        <v/>
      </c>
      <c r="E874">
        <f>IF($W874="","",SUMIFS(합계표[시스템 합계],합계표[사번키],INDEX(합계표[사번키],$W874)))</f>
        <v/>
      </c>
      <c r="F874">
        <f>IF($W874="","",SUMIFS(상세표[기록 시간외],상세표[사번키],INDEX(합계표[사번키],$W874),상세표[기록월],대상월키))</f>
        <v/>
      </c>
      <c r="G874">
        <f>IF($W874="","",IF(ABS($E874-$F874)&lt;0.01,"일치","불일치(차이 "&amp;TEXT($F874-$E874,"0.00")&amp;")"))</f>
        <v/>
      </c>
      <c r="H874">
        <f>IF($W874="","",SUMIFS(상세표[기록 시간외],상세표[사번키],INDEX(합계표[사번키],$W874),상세표[기록월],대상월키,상세표[반영월],"&lt;&gt;"&amp;대상월키))</f>
        <v/>
      </c>
      <c r="I874">
        <f>IF($W874="","",SUMIFS(상세표[기록 시간외],상세표[사번키],INDEX(합계표[사번키],$W874),상세표[기록월],"&lt;&gt;"&amp;대상월키,상세표[반영월],대상월키))</f>
        <v/>
      </c>
      <c r="J874">
        <f>IF($W874="","",SUMIFS(상세표[기록 시간외],상세표[사번키],INDEX(합계표[사번키],$W874),상세표[반영월],대상월키))</f>
        <v/>
      </c>
      <c r="K874">
        <f>IF($W874="","",IFERROR(INDEX(월별근무지표[적용 급여병원],MATCH(INDEX(합계표[사번키],$W874)&amp;"|"&amp;대상월키,월별근무지표[키],0))&amp;"",IF(COUNTIF(기관표[사번키],INDEX(합계표[사번키],$W874))+COUNTIF(월별근무지표[사번키],INDEX(합계표[사번키],$W874))&gt;0,IFERROR(INDEX(기관표[급여지급병원(기준월)],MATCH(INDEX(합계표[사번키],$W874)&amp;"|"&amp;대상월키,기관표[키],0))&amp;"","—"),"—")))</f>
        <v/>
      </c>
      <c r="L874">
        <f>IF($W874="","",IF(NOT(COUNTIF(기관표[사번키],INDEX(합계표[사번키],$W874))+COUNTIF(월별근무지표[사번키],INDEX(합계표[사번키],$W874))&gt;0),"기관명단에 없음(다른 병원으로 발송)",IF($K874="—","대상월 기관명단 없음(추가 필요)",IF($K874="서울병원","해당","비해당"))))</f>
        <v/>
      </c>
      <c r="M874">
        <f>IF($W874="","",SUMIFS(상세표[06~07시],상세표[사번키],INDEX(합계표[사번키],$W874),상세표[반영월],대상월키,상세표[반영 기관],"서울병원"))</f>
        <v/>
      </c>
      <c r="N874">
        <f>IF($W874="","",SUMIFS(상세표[07~18시],상세표[사번키],INDEX(합계표[사번키],$W874),상세표[반영월],대상월키,상세표[반영 기관],"서울병원"))</f>
        <v/>
      </c>
      <c r="O874">
        <f>IF($W874="","",SUMIFS(상세표[18~22시],상세표[사번키],INDEX(합계표[사번키],$W874),상세표[반영월],대상월키,상세표[반영 기관],"서울병원"))</f>
        <v/>
      </c>
      <c r="P874">
        <f>IF($W874="","",SUMIFS(상세표[22~06시],상세표[사번키],INDEX(합계표[사번키],$W874),상세표[반영월],대상월키,상세표[반영 기관],"서울병원"))</f>
        <v/>
      </c>
      <c r="Q874">
        <f>IF($W874="","",SUM($M874:$P874))</f>
        <v/>
      </c>
      <c r="R874">
        <f>IF($W874="","",COUNTIFS(상세표[사번키],INDEX(합계표[사번키],$W874),상세표[반영월],대상월키,상세표[야간당직],1,상세표[야간 구분],"평일"))</f>
        <v/>
      </c>
      <c r="S874" s="4">
        <f>IF($W874="","",COUNTIFS(상세표[사번키],INDEX(합계표[사번키],$W874),상세표[반영월],대상월키,상세표[야간당직],1,상세표[야간 구분],"휴일"))</f>
        <v/>
      </c>
      <c r="T874">
        <f>IF($W874="","",COUNTIFS(상세표[사번키],INDEX(합계표[사번키],$W874),상세표[반영월],대상월키,상세표[야간당직],1,상세표[야간 구분],"평일",상세표[반영 기관],"서울병원"))</f>
        <v/>
      </c>
      <c r="U874">
        <f>IF($W874="","",COUNTIFS(상세표[사번키],INDEX(합계표[사번키],$W874),상세표[반영월],대상월키,상세표[야간당직],1,상세표[야간 구분],"휴일",상세표[반영 기관],"서울병원"))</f>
        <v/>
      </c>
      <c r="V874">
        <f>IF($W874="","",IF(ISNUMBER(MATCH(INDEX(합계표[사번키],$W874)&amp;"|"&amp;대상월키,월별근무지표[키],0)),"직접 입력",IF($K874="—","—","기관명단")))</f>
        <v/>
      </c>
      <c r="W874">
        <f>IFERROR(MATCH(869,합계표[판정순번],0),"")</f>
        <v/>
      </c>
    </row>
    <row r="875">
      <c r="A875">
        <f>IF($W875="","",INDEX(합계표[사번],$W875)&amp;"")</f>
        <v/>
      </c>
      <c r="B875">
        <f>IF($W875="","",INDEX(합계표[성명],$W875)&amp;"")</f>
        <v/>
      </c>
      <c r="C875">
        <f>IF($W875="","",INDEX(합계표[부서],$W875)&amp;"")</f>
        <v/>
      </c>
      <c r="D875">
        <f>IF($W875="","",INDEX(합계표[직위(통합)],$W875)&amp;"")</f>
        <v/>
      </c>
      <c r="E875">
        <f>IF($W875="","",SUMIFS(합계표[시스템 합계],합계표[사번키],INDEX(합계표[사번키],$W875)))</f>
        <v/>
      </c>
      <c r="F875">
        <f>IF($W875="","",SUMIFS(상세표[기록 시간외],상세표[사번키],INDEX(합계표[사번키],$W875),상세표[기록월],대상월키))</f>
        <v/>
      </c>
      <c r="G875">
        <f>IF($W875="","",IF(ABS($E875-$F875)&lt;0.01,"일치","불일치(차이 "&amp;TEXT($F875-$E875,"0.00")&amp;")"))</f>
        <v/>
      </c>
      <c r="H875">
        <f>IF($W875="","",SUMIFS(상세표[기록 시간외],상세표[사번키],INDEX(합계표[사번키],$W875),상세표[기록월],대상월키,상세표[반영월],"&lt;&gt;"&amp;대상월키))</f>
        <v/>
      </c>
      <c r="I875">
        <f>IF($W875="","",SUMIFS(상세표[기록 시간외],상세표[사번키],INDEX(합계표[사번키],$W875),상세표[기록월],"&lt;&gt;"&amp;대상월키,상세표[반영월],대상월키))</f>
        <v/>
      </c>
      <c r="J875">
        <f>IF($W875="","",SUMIFS(상세표[기록 시간외],상세표[사번키],INDEX(합계표[사번키],$W875),상세표[반영월],대상월키))</f>
        <v/>
      </c>
      <c r="K875">
        <f>IF($W875="","",IFERROR(INDEX(월별근무지표[적용 급여병원],MATCH(INDEX(합계표[사번키],$W875)&amp;"|"&amp;대상월키,월별근무지표[키],0))&amp;"",IF(COUNTIF(기관표[사번키],INDEX(합계표[사번키],$W875))+COUNTIF(월별근무지표[사번키],INDEX(합계표[사번키],$W875))&gt;0,IFERROR(INDEX(기관표[급여지급병원(기준월)],MATCH(INDEX(합계표[사번키],$W875)&amp;"|"&amp;대상월키,기관표[키],0))&amp;"","—"),"—")))</f>
        <v/>
      </c>
      <c r="L875">
        <f>IF($W875="","",IF(NOT(COUNTIF(기관표[사번키],INDEX(합계표[사번키],$W875))+COUNTIF(월별근무지표[사번키],INDEX(합계표[사번키],$W875))&gt;0),"기관명단에 없음(다른 병원으로 발송)",IF($K875="—","대상월 기관명단 없음(추가 필요)",IF($K875="서울병원","해당","비해당"))))</f>
        <v/>
      </c>
      <c r="M875">
        <f>IF($W875="","",SUMIFS(상세표[06~07시],상세표[사번키],INDEX(합계표[사번키],$W875),상세표[반영월],대상월키,상세표[반영 기관],"서울병원"))</f>
        <v/>
      </c>
      <c r="N875">
        <f>IF($W875="","",SUMIFS(상세표[07~18시],상세표[사번키],INDEX(합계표[사번키],$W875),상세표[반영월],대상월키,상세표[반영 기관],"서울병원"))</f>
        <v/>
      </c>
      <c r="O875">
        <f>IF($W875="","",SUMIFS(상세표[18~22시],상세표[사번키],INDEX(합계표[사번키],$W875),상세표[반영월],대상월키,상세표[반영 기관],"서울병원"))</f>
        <v/>
      </c>
      <c r="P875">
        <f>IF($W875="","",SUMIFS(상세표[22~06시],상세표[사번키],INDEX(합계표[사번키],$W875),상세표[반영월],대상월키,상세표[반영 기관],"서울병원"))</f>
        <v/>
      </c>
      <c r="Q875">
        <f>IF($W875="","",SUM($M875:$P875))</f>
        <v/>
      </c>
      <c r="R875">
        <f>IF($W875="","",COUNTIFS(상세표[사번키],INDEX(합계표[사번키],$W875),상세표[반영월],대상월키,상세표[야간당직],1,상세표[야간 구분],"평일"))</f>
        <v/>
      </c>
      <c r="S875" s="4">
        <f>IF($W875="","",COUNTIFS(상세표[사번키],INDEX(합계표[사번키],$W875),상세표[반영월],대상월키,상세표[야간당직],1,상세표[야간 구분],"휴일"))</f>
        <v/>
      </c>
      <c r="T875">
        <f>IF($W875="","",COUNTIFS(상세표[사번키],INDEX(합계표[사번키],$W875),상세표[반영월],대상월키,상세표[야간당직],1,상세표[야간 구분],"평일",상세표[반영 기관],"서울병원"))</f>
        <v/>
      </c>
      <c r="U875">
        <f>IF($W875="","",COUNTIFS(상세표[사번키],INDEX(합계표[사번키],$W875),상세표[반영월],대상월키,상세표[야간당직],1,상세표[야간 구분],"휴일",상세표[반영 기관],"서울병원"))</f>
        <v/>
      </c>
      <c r="V875">
        <f>IF($W875="","",IF(ISNUMBER(MATCH(INDEX(합계표[사번키],$W875)&amp;"|"&amp;대상월키,월별근무지표[키],0)),"직접 입력",IF($K875="—","—","기관명단")))</f>
        <v/>
      </c>
      <c r="W875">
        <f>IFERROR(MATCH(870,합계표[판정순번],0),"")</f>
        <v/>
      </c>
    </row>
    <row r="876">
      <c r="A876">
        <f>IF($W876="","",INDEX(합계표[사번],$W876)&amp;"")</f>
        <v/>
      </c>
      <c r="B876">
        <f>IF($W876="","",INDEX(합계표[성명],$W876)&amp;"")</f>
        <v/>
      </c>
      <c r="C876">
        <f>IF($W876="","",INDEX(합계표[부서],$W876)&amp;"")</f>
        <v/>
      </c>
      <c r="D876">
        <f>IF($W876="","",INDEX(합계표[직위(통합)],$W876)&amp;"")</f>
        <v/>
      </c>
      <c r="E876">
        <f>IF($W876="","",SUMIFS(합계표[시스템 합계],합계표[사번키],INDEX(합계표[사번키],$W876)))</f>
        <v/>
      </c>
      <c r="F876">
        <f>IF($W876="","",SUMIFS(상세표[기록 시간외],상세표[사번키],INDEX(합계표[사번키],$W876),상세표[기록월],대상월키))</f>
        <v/>
      </c>
      <c r="G876">
        <f>IF($W876="","",IF(ABS($E876-$F876)&lt;0.01,"일치","불일치(차이 "&amp;TEXT($F876-$E876,"0.00")&amp;")"))</f>
        <v/>
      </c>
      <c r="H876">
        <f>IF($W876="","",SUMIFS(상세표[기록 시간외],상세표[사번키],INDEX(합계표[사번키],$W876),상세표[기록월],대상월키,상세표[반영월],"&lt;&gt;"&amp;대상월키))</f>
        <v/>
      </c>
      <c r="I876">
        <f>IF($W876="","",SUMIFS(상세표[기록 시간외],상세표[사번키],INDEX(합계표[사번키],$W876),상세표[기록월],"&lt;&gt;"&amp;대상월키,상세표[반영월],대상월키))</f>
        <v/>
      </c>
      <c r="J876">
        <f>IF($W876="","",SUMIFS(상세표[기록 시간외],상세표[사번키],INDEX(합계표[사번키],$W876),상세표[반영월],대상월키))</f>
        <v/>
      </c>
      <c r="K876">
        <f>IF($W876="","",IFERROR(INDEX(월별근무지표[적용 급여병원],MATCH(INDEX(합계표[사번키],$W876)&amp;"|"&amp;대상월키,월별근무지표[키],0))&amp;"",IF(COUNTIF(기관표[사번키],INDEX(합계표[사번키],$W876))+COUNTIF(월별근무지표[사번키],INDEX(합계표[사번키],$W876))&gt;0,IFERROR(INDEX(기관표[급여지급병원(기준월)],MATCH(INDEX(합계표[사번키],$W876)&amp;"|"&amp;대상월키,기관표[키],0))&amp;"","—"),"—")))</f>
        <v/>
      </c>
      <c r="L876">
        <f>IF($W876="","",IF(NOT(COUNTIF(기관표[사번키],INDEX(합계표[사번키],$W876))+COUNTIF(월별근무지표[사번키],INDEX(합계표[사번키],$W876))&gt;0),"기관명단에 없음(다른 병원으로 발송)",IF($K876="—","대상월 기관명단 없음(추가 필요)",IF($K876="서울병원","해당","비해당"))))</f>
        <v/>
      </c>
      <c r="M876">
        <f>IF($W876="","",SUMIFS(상세표[06~07시],상세표[사번키],INDEX(합계표[사번키],$W876),상세표[반영월],대상월키,상세표[반영 기관],"서울병원"))</f>
        <v/>
      </c>
      <c r="N876">
        <f>IF($W876="","",SUMIFS(상세표[07~18시],상세표[사번키],INDEX(합계표[사번키],$W876),상세표[반영월],대상월키,상세표[반영 기관],"서울병원"))</f>
        <v/>
      </c>
      <c r="O876">
        <f>IF($W876="","",SUMIFS(상세표[18~22시],상세표[사번키],INDEX(합계표[사번키],$W876),상세표[반영월],대상월키,상세표[반영 기관],"서울병원"))</f>
        <v/>
      </c>
      <c r="P876">
        <f>IF($W876="","",SUMIFS(상세표[22~06시],상세표[사번키],INDEX(합계표[사번키],$W876),상세표[반영월],대상월키,상세표[반영 기관],"서울병원"))</f>
        <v/>
      </c>
      <c r="Q876">
        <f>IF($W876="","",SUM($M876:$P876))</f>
        <v/>
      </c>
      <c r="R876">
        <f>IF($W876="","",COUNTIFS(상세표[사번키],INDEX(합계표[사번키],$W876),상세표[반영월],대상월키,상세표[야간당직],1,상세표[야간 구분],"평일"))</f>
        <v/>
      </c>
      <c r="S876" s="4">
        <f>IF($W876="","",COUNTIFS(상세표[사번키],INDEX(합계표[사번키],$W876),상세표[반영월],대상월키,상세표[야간당직],1,상세표[야간 구분],"휴일"))</f>
        <v/>
      </c>
      <c r="T876">
        <f>IF($W876="","",COUNTIFS(상세표[사번키],INDEX(합계표[사번키],$W876),상세표[반영월],대상월키,상세표[야간당직],1,상세표[야간 구분],"평일",상세표[반영 기관],"서울병원"))</f>
        <v/>
      </c>
      <c r="U876">
        <f>IF($W876="","",COUNTIFS(상세표[사번키],INDEX(합계표[사번키],$W876),상세표[반영월],대상월키,상세표[야간당직],1,상세표[야간 구분],"휴일",상세표[반영 기관],"서울병원"))</f>
        <v/>
      </c>
      <c r="V876">
        <f>IF($W876="","",IF(ISNUMBER(MATCH(INDEX(합계표[사번키],$W876)&amp;"|"&amp;대상월키,월별근무지표[키],0)),"직접 입력",IF($K876="—","—","기관명단")))</f>
        <v/>
      </c>
      <c r="W876">
        <f>IFERROR(MATCH(871,합계표[판정순번],0),"")</f>
        <v/>
      </c>
    </row>
    <row r="877">
      <c r="A877">
        <f>IF($W877="","",INDEX(합계표[사번],$W877)&amp;"")</f>
        <v/>
      </c>
      <c r="B877">
        <f>IF($W877="","",INDEX(합계표[성명],$W877)&amp;"")</f>
        <v/>
      </c>
      <c r="C877">
        <f>IF($W877="","",INDEX(합계표[부서],$W877)&amp;"")</f>
        <v/>
      </c>
      <c r="D877">
        <f>IF($W877="","",INDEX(합계표[직위(통합)],$W877)&amp;"")</f>
        <v/>
      </c>
      <c r="E877">
        <f>IF($W877="","",SUMIFS(합계표[시스템 합계],합계표[사번키],INDEX(합계표[사번키],$W877)))</f>
        <v/>
      </c>
      <c r="F877">
        <f>IF($W877="","",SUMIFS(상세표[기록 시간외],상세표[사번키],INDEX(합계표[사번키],$W877),상세표[기록월],대상월키))</f>
        <v/>
      </c>
      <c r="G877">
        <f>IF($W877="","",IF(ABS($E877-$F877)&lt;0.01,"일치","불일치(차이 "&amp;TEXT($F877-$E877,"0.00")&amp;")"))</f>
        <v/>
      </c>
      <c r="H877">
        <f>IF($W877="","",SUMIFS(상세표[기록 시간외],상세표[사번키],INDEX(합계표[사번키],$W877),상세표[기록월],대상월키,상세표[반영월],"&lt;&gt;"&amp;대상월키))</f>
        <v/>
      </c>
      <c r="I877">
        <f>IF($W877="","",SUMIFS(상세표[기록 시간외],상세표[사번키],INDEX(합계표[사번키],$W877),상세표[기록월],"&lt;&gt;"&amp;대상월키,상세표[반영월],대상월키))</f>
        <v/>
      </c>
      <c r="J877">
        <f>IF($W877="","",SUMIFS(상세표[기록 시간외],상세표[사번키],INDEX(합계표[사번키],$W877),상세표[반영월],대상월키))</f>
        <v/>
      </c>
      <c r="K877">
        <f>IF($W877="","",IFERROR(INDEX(월별근무지표[적용 급여병원],MATCH(INDEX(합계표[사번키],$W877)&amp;"|"&amp;대상월키,월별근무지표[키],0))&amp;"",IF(COUNTIF(기관표[사번키],INDEX(합계표[사번키],$W877))+COUNTIF(월별근무지표[사번키],INDEX(합계표[사번키],$W877))&gt;0,IFERROR(INDEX(기관표[급여지급병원(기준월)],MATCH(INDEX(합계표[사번키],$W877)&amp;"|"&amp;대상월키,기관표[키],0))&amp;"","—"),"—")))</f>
        <v/>
      </c>
      <c r="L877">
        <f>IF($W877="","",IF(NOT(COUNTIF(기관표[사번키],INDEX(합계표[사번키],$W877))+COUNTIF(월별근무지표[사번키],INDEX(합계표[사번키],$W877))&gt;0),"기관명단에 없음(다른 병원으로 발송)",IF($K877="—","대상월 기관명단 없음(추가 필요)",IF($K877="서울병원","해당","비해당"))))</f>
        <v/>
      </c>
      <c r="M877">
        <f>IF($W877="","",SUMIFS(상세표[06~07시],상세표[사번키],INDEX(합계표[사번키],$W877),상세표[반영월],대상월키,상세표[반영 기관],"서울병원"))</f>
        <v/>
      </c>
      <c r="N877">
        <f>IF($W877="","",SUMIFS(상세표[07~18시],상세표[사번키],INDEX(합계표[사번키],$W877),상세표[반영월],대상월키,상세표[반영 기관],"서울병원"))</f>
        <v/>
      </c>
      <c r="O877">
        <f>IF($W877="","",SUMIFS(상세표[18~22시],상세표[사번키],INDEX(합계표[사번키],$W877),상세표[반영월],대상월키,상세표[반영 기관],"서울병원"))</f>
        <v/>
      </c>
      <c r="P877">
        <f>IF($W877="","",SUMIFS(상세표[22~06시],상세표[사번키],INDEX(합계표[사번키],$W877),상세표[반영월],대상월키,상세표[반영 기관],"서울병원"))</f>
        <v/>
      </c>
      <c r="Q877">
        <f>IF($W877="","",SUM($M877:$P877))</f>
        <v/>
      </c>
      <c r="R877">
        <f>IF($W877="","",COUNTIFS(상세표[사번키],INDEX(합계표[사번키],$W877),상세표[반영월],대상월키,상세표[야간당직],1,상세표[야간 구분],"평일"))</f>
        <v/>
      </c>
      <c r="S877" s="4">
        <f>IF($W877="","",COUNTIFS(상세표[사번키],INDEX(합계표[사번키],$W877),상세표[반영월],대상월키,상세표[야간당직],1,상세표[야간 구분],"휴일"))</f>
        <v/>
      </c>
      <c r="T877">
        <f>IF($W877="","",COUNTIFS(상세표[사번키],INDEX(합계표[사번키],$W877),상세표[반영월],대상월키,상세표[야간당직],1,상세표[야간 구분],"평일",상세표[반영 기관],"서울병원"))</f>
        <v/>
      </c>
      <c r="U877">
        <f>IF($W877="","",COUNTIFS(상세표[사번키],INDEX(합계표[사번키],$W877),상세표[반영월],대상월키,상세표[야간당직],1,상세표[야간 구분],"휴일",상세표[반영 기관],"서울병원"))</f>
        <v/>
      </c>
      <c r="V877">
        <f>IF($W877="","",IF(ISNUMBER(MATCH(INDEX(합계표[사번키],$W877)&amp;"|"&amp;대상월키,월별근무지표[키],0)),"직접 입력",IF($K877="—","—","기관명단")))</f>
        <v/>
      </c>
      <c r="W877">
        <f>IFERROR(MATCH(872,합계표[판정순번],0),"")</f>
        <v/>
      </c>
    </row>
    <row r="878">
      <c r="A878">
        <f>IF($W878="","",INDEX(합계표[사번],$W878)&amp;"")</f>
        <v/>
      </c>
      <c r="B878">
        <f>IF($W878="","",INDEX(합계표[성명],$W878)&amp;"")</f>
        <v/>
      </c>
      <c r="C878">
        <f>IF($W878="","",INDEX(합계표[부서],$W878)&amp;"")</f>
        <v/>
      </c>
      <c r="D878">
        <f>IF($W878="","",INDEX(합계표[직위(통합)],$W878)&amp;"")</f>
        <v/>
      </c>
      <c r="E878">
        <f>IF($W878="","",SUMIFS(합계표[시스템 합계],합계표[사번키],INDEX(합계표[사번키],$W878)))</f>
        <v/>
      </c>
      <c r="F878">
        <f>IF($W878="","",SUMIFS(상세표[기록 시간외],상세표[사번키],INDEX(합계표[사번키],$W878),상세표[기록월],대상월키))</f>
        <v/>
      </c>
      <c r="G878">
        <f>IF($W878="","",IF(ABS($E878-$F878)&lt;0.01,"일치","불일치(차이 "&amp;TEXT($F878-$E878,"0.00")&amp;")"))</f>
        <v/>
      </c>
      <c r="H878">
        <f>IF($W878="","",SUMIFS(상세표[기록 시간외],상세표[사번키],INDEX(합계표[사번키],$W878),상세표[기록월],대상월키,상세표[반영월],"&lt;&gt;"&amp;대상월키))</f>
        <v/>
      </c>
      <c r="I878">
        <f>IF($W878="","",SUMIFS(상세표[기록 시간외],상세표[사번키],INDEX(합계표[사번키],$W878),상세표[기록월],"&lt;&gt;"&amp;대상월키,상세표[반영월],대상월키))</f>
        <v/>
      </c>
      <c r="J878">
        <f>IF($W878="","",SUMIFS(상세표[기록 시간외],상세표[사번키],INDEX(합계표[사번키],$W878),상세표[반영월],대상월키))</f>
        <v/>
      </c>
      <c r="K878">
        <f>IF($W878="","",IFERROR(INDEX(월별근무지표[적용 급여병원],MATCH(INDEX(합계표[사번키],$W878)&amp;"|"&amp;대상월키,월별근무지표[키],0))&amp;"",IF(COUNTIF(기관표[사번키],INDEX(합계표[사번키],$W878))+COUNTIF(월별근무지표[사번키],INDEX(합계표[사번키],$W878))&gt;0,IFERROR(INDEX(기관표[급여지급병원(기준월)],MATCH(INDEX(합계표[사번키],$W878)&amp;"|"&amp;대상월키,기관표[키],0))&amp;"","—"),"—")))</f>
        <v/>
      </c>
      <c r="L878">
        <f>IF($W878="","",IF(NOT(COUNTIF(기관표[사번키],INDEX(합계표[사번키],$W878))+COUNTIF(월별근무지표[사번키],INDEX(합계표[사번키],$W878))&gt;0),"기관명단에 없음(다른 병원으로 발송)",IF($K878="—","대상월 기관명단 없음(추가 필요)",IF($K878="서울병원","해당","비해당"))))</f>
        <v/>
      </c>
      <c r="M878">
        <f>IF($W878="","",SUMIFS(상세표[06~07시],상세표[사번키],INDEX(합계표[사번키],$W878),상세표[반영월],대상월키,상세표[반영 기관],"서울병원"))</f>
        <v/>
      </c>
      <c r="N878">
        <f>IF($W878="","",SUMIFS(상세표[07~18시],상세표[사번키],INDEX(합계표[사번키],$W878),상세표[반영월],대상월키,상세표[반영 기관],"서울병원"))</f>
        <v/>
      </c>
      <c r="O878">
        <f>IF($W878="","",SUMIFS(상세표[18~22시],상세표[사번키],INDEX(합계표[사번키],$W878),상세표[반영월],대상월키,상세표[반영 기관],"서울병원"))</f>
        <v/>
      </c>
      <c r="P878">
        <f>IF($W878="","",SUMIFS(상세표[22~06시],상세표[사번키],INDEX(합계표[사번키],$W878),상세표[반영월],대상월키,상세표[반영 기관],"서울병원"))</f>
        <v/>
      </c>
      <c r="Q878">
        <f>IF($W878="","",SUM($M878:$P878))</f>
        <v/>
      </c>
      <c r="R878">
        <f>IF($W878="","",COUNTIFS(상세표[사번키],INDEX(합계표[사번키],$W878),상세표[반영월],대상월키,상세표[야간당직],1,상세표[야간 구분],"평일"))</f>
        <v/>
      </c>
      <c r="S878" s="4">
        <f>IF($W878="","",COUNTIFS(상세표[사번키],INDEX(합계표[사번키],$W878),상세표[반영월],대상월키,상세표[야간당직],1,상세표[야간 구분],"휴일"))</f>
        <v/>
      </c>
      <c r="T878">
        <f>IF($W878="","",COUNTIFS(상세표[사번키],INDEX(합계표[사번키],$W878),상세표[반영월],대상월키,상세표[야간당직],1,상세표[야간 구분],"평일",상세표[반영 기관],"서울병원"))</f>
        <v/>
      </c>
      <c r="U878">
        <f>IF($W878="","",COUNTIFS(상세표[사번키],INDEX(합계표[사번키],$W878),상세표[반영월],대상월키,상세표[야간당직],1,상세표[야간 구분],"휴일",상세표[반영 기관],"서울병원"))</f>
        <v/>
      </c>
      <c r="V878">
        <f>IF($W878="","",IF(ISNUMBER(MATCH(INDEX(합계표[사번키],$W878)&amp;"|"&amp;대상월키,월별근무지표[키],0)),"직접 입력",IF($K878="—","—","기관명단")))</f>
        <v/>
      </c>
      <c r="W878">
        <f>IFERROR(MATCH(873,합계표[판정순번],0),"")</f>
        <v/>
      </c>
    </row>
    <row r="879">
      <c r="A879">
        <f>IF($W879="","",INDEX(합계표[사번],$W879)&amp;"")</f>
        <v/>
      </c>
      <c r="B879">
        <f>IF($W879="","",INDEX(합계표[성명],$W879)&amp;"")</f>
        <v/>
      </c>
      <c r="C879">
        <f>IF($W879="","",INDEX(합계표[부서],$W879)&amp;"")</f>
        <v/>
      </c>
      <c r="D879">
        <f>IF($W879="","",INDEX(합계표[직위(통합)],$W879)&amp;"")</f>
        <v/>
      </c>
      <c r="E879">
        <f>IF($W879="","",SUMIFS(합계표[시스템 합계],합계표[사번키],INDEX(합계표[사번키],$W879)))</f>
        <v/>
      </c>
      <c r="F879">
        <f>IF($W879="","",SUMIFS(상세표[기록 시간외],상세표[사번키],INDEX(합계표[사번키],$W879),상세표[기록월],대상월키))</f>
        <v/>
      </c>
      <c r="G879">
        <f>IF($W879="","",IF(ABS($E879-$F879)&lt;0.01,"일치","불일치(차이 "&amp;TEXT($F879-$E879,"0.00")&amp;")"))</f>
        <v/>
      </c>
      <c r="H879">
        <f>IF($W879="","",SUMIFS(상세표[기록 시간외],상세표[사번키],INDEX(합계표[사번키],$W879),상세표[기록월],대상월키,상세표[반영월],"&lt;&gt;"&amp;대상월키))</f>
        <v/>
      </c>
      <c r="I879">
        <f>IF($W879="","",SUMIFS(상세표[기록 시간외],상세표[사번키],INDEX(합계표[사번키],$W879),상세표[기록월],"&lt;&gt;"&amp;대상월키,상세표[반영월],대상월키))</f>
        <v/>
      </c>
      <c r="J879">
        <f>IF($W879="","",SUMIFS(상세표[기록 시간외],상세표[사번키],INDEX(합계표[사번키],$W879),상세표[반영월],대상월키))</f>
        <v/>
      </c>
      <c r="K879">
        <f>IF($W879="","",IFERROR(INDEX(월별근무지표[적용 급여병원],MATCH(INDEX(합계표[사번키],$W879)&amp;"|"&amp;대상월키,월별근무지표[키],0))&amp;"",IF(COUNTIF(기관표[사번키],INDEX(합계표[사번키],$W879))+COUNTIF(월별근무지표[사번키],INDEX(합계표[사번키],$W879))&gt;0,IFERROR(INDEX(기관표[급여지급병원(기준월)],MATCH(INDEX(합계표[사번키],$W879)&amp;"|"&amp;대상월키,기관표[키],0))&amp;"","—"),"—")))</f>
        <v/>
      </c>
      <c r="L879">
        <f>IF($W879="","",IF(NOT(COUNTIF(기관표[사번키],INDEX(합계표[사번키],$W879))+COUNTIF(월별근무지표[사번키],INDEX(합계표[사번키],$W879))&gt;0),"기관명단에 없음(다른 병원으로 발송)",IF($K879="—","대상월 기관명단 없음(추가 필요)",IF($K879="서울병원","해당","비해당"))))</f>
        <v/>
      </c>
      <c r="M879">
        <f>IF($W879="","",SUMIFS(상세표[06~07시],상세표[사번키],INDEX(합계표[사번키],$W879),상세표[반영월],대상월키,상세표[반영 기관],"서울병원"))</f>
        <v/>
      </c>
      <c r="N879">
        <f>IF($W879="","",SUMIFS(상세표[07~18시],상세표[사번키],INDEX(합계표[사번키],$W879),상세표[반영월],대상월키,상세표[반영 기관],"서울병원"))</f>
        <v/>
      </c>
      <c r="O879">
        <f>IF($W879="","",SUMIFS(상세표[18~22시],상세표[사번키],INDEX(합계표[사번키],$W879),상세표[반영월],대상월키,상세표[반영 기관],"서울병원"))</f>
        <v/>
      </c>
      <c r="P879">
        <f>IF($W879="","",SUMIFS(상세표[22~06시],상세표[사번키],INDEX(합계표[사번키],$W879),상세표[반영월],대상월키,상세표[반영 기관],"서울병원"))</f>
        <v/>
      </c>
      <c r="Q879">
        <f>IF($W879="","",SUM($M879:$P879))</f>
        <v/>
      </c>
      <c r="R879">
        <f>IF($W879="","",COUNTIFS(상세표[사번키],INDEX(합계표[사번키],$W879),상세표[반영월],대상월키,상세표[야간당직],1,상세표[야간 구분],"평일"))</f>
        <v/>
      </c>
      <c r="S879" s="4">
        <f>IF($W879="","",COUNTIFS(상세표[사번키],INDEX(합계표[사번키],$W879),상세표[반영월],대상월키,상세표[야간당직],1,상세표[야간 구분],"휴일"))</f>
        <v/>
      </c>
      <c r="T879">
        <f>IF($W879="","",COUNTIFS(상세표[사번키],INDEX(합계표[사번키],$W879),상세표[반영월],대상월키,상세표[야간당직],1,상세표[야간 구분],"평일",상세표[반영 기관],"서울병원"))</f>
        <v/>
      </c>
      <c r="U879">
        <f>IF($W879="","",COUNTIFS(상세표[사번키],INDEX(합계표[사번키],$W879),상세표[반영월],대상월키,상세표[야간당직],1,상세표[야간 구분],"휴일",상세표[반영 기관],"서울병원"))</f>
        <v/>
      </c>
      <c r="V879">
        <f>IF($W879="","",IF(ISNUMBER(MATCH(INDEX(합계표[사번키],$W879)&amp;"|"&amp;대상월키,월별근무지표[키],0)),"직접 입력",IF($K879="—","—","기관명단")))</f>
        <v/>
      </c>
      <c r="W879">
        <f>IFERROR(MATCH(874,합계표[판정순번],0),"")</f>
        <v/>
      </c>
    </row>
    <row r="880">
      <c r="A880">
        <f>IF($W880="","",INDEX(합계표[사번],$W880)&amp;"")</f>
        <v/>
      </c>
      <c r="B880">
        <f>IF($W880="","",INDEX(합계표[성명],$W880)&amp;"")</f>
        <v/>
      </c>
      <c r="C880">
        <f>IF($W880="","",INDEX(합계표[부서],$W880)&amp;"")</f>
        <v/>
      </c>
      <c r="D880">
        <f>IF($W880="","",INDEX(합계표[직위(통합)],$W880)&amp;"")</f>
        <v/>
      </c>
      <c r="E880">
        <f>IF($W880="","",SUMIFS(합계표[시스템 합계],합계표[사번키],INDEX(합계표[사번키],$W880)))</f>
        <v/>
      </c>
      <c r="F880">
        <f>IF($W880="","",SUMIFS(상세표[기록 시간외],상세표[사번키],INDEX(합계표[사번키],$W880),상세표[기록월],대상월키))</f>
        <v/>
      </c>
      <c r="G880">
        <f>IF($W880="","",IF(ABS($E880-$F880)&lt;0.01,"일치","불일치(차이 "&amp;TEXT($F880-$E880,"0.00")&amp;")"))</f>
        <v/>
      </c>
      <c r="H880">
        <f>IF($W880="","",SUMIFS(상세표[기록 시간외],상세표[사번키],INDEX(합계표[사번키],$W880),상세표[기록월],대상월키,상세표[반영월],"&lt;&gt;"&amp;대상월키))</f>
        <v/>
      </c>
      <c r="I880">
        <f>IF($W880="","",SUMIFS(상세표[기록 시간외],상세표[사번키],INDEX(합계표[사번키],$W880),상세표[기록월],"&lt;&gt;"&amp;대상월키,상세표[반영월],대상월키))</f>
        <v/>
      </c>
      <c r="J880">
        <f>IF($W880="","",SUMIFS(상세표[기록 시간외],상세표[사번키],INDEX(합계표[사번키],$W880),상세표[반영월],대상월키))</f>
        <v/>
      </c>
      <c r="K880">
        <f>IF($W880="","",IFERROR(INDEX(월별근무지표[적용 급여병원],MATCH(INDEX(합계표[사번키],$W880)&amp;"|"&amp;대상월키,월별근무지표[키],0))&amp;"",IF(COUNTIF(기관표[사번키],INDEX(합계표[사번키],$W880))+COUNTIF(월별근무지표[사번키],INDEX(합계표[사번키],$W880))&gt;0,IFERROR(INDEX(기관표[급여지급병원(기준월)],MATCH(INDEX(합계표[사번키],$W880)&amp;"|"&amp;대상월키,기관표[키],0))&amp;"","—"),"—")))</f>
        <v/>
      </c>
      <c r="L880">
        <f>IF($W880="","",IF(NOT(COUNTIF(기관표[사번키],INDEX(합계표[사번키],$W880))+COUNTIF(월별근무지표[사번키],INDEX(합계표[사번키],$W880))&gt;0),"기관명단에 없음(다른 병원으로 발송)",IF($K880="—","대상월 기관명단 없음(추가 필요)",IF($K880="서울병원","해당","비해당"))))</f>
        <v/>
      </c>
      <c r="M880">
        <f>IF($W880="","",SUMIFS(상세표[06~07시],상세표[사번키],INDEX(합계표[사번키],$W880),상세표[반영월],대상월키,상세표[반영 기관],"서울병원"))</f>
        <v/>
      </c>
      <c r="N880">
        <f>IF($W880="","",SUMIFS(상세표[07~18시],상세표[사번키],INDEX(합계표[사번키],$W880),상세표[반영월],대상월키,상세표[반영 기관],"서울병원"))</f>
        <v/>
      </c>
      <c r="O880">
        <f>IF($W880="","",SUMIFS(상세표[18~22시],상세표[사번키],INDEX(합계표[사번키],$W880),상세표[반영월],대상월키,상세표[반영 기관],"서울병원"))</f>
        <v/>
      </c>
      <c r="P880">
        <f>IF($W880="","",SUMIFS(상세표[22~06시],상세표[사번키],INDEX(합계표[사번키],$W880),상세표[반영월],대상월키,상세표[반영 기관],"서울병원"))</f>
        <v/>
      </c>
      <c r="Q880">
        <f>IF($W880="","",SUM($M880:$P880))</f>
        <v/>
      </c>
      <c r="R880">
        <f>IF($W880="","",COUNTIFS(상세표[사번키],INDEX(합계표[사번키],$W880),상세표[반영월],대상월키,상세표[야간당직],1,상세표[야간 구분],"평일"))</f>
        <v/>
      </c>
      <c r="S880" s="4">
        <f>IF($W880="","",COUNTIFS(상세표[사번키],INDEX(합계표[사번키],$W880),상세표[반영월],대상월키,상세표[야간당직],1,상세표[야간 구분],"휴일"))</f>
        <v/>
      </c>
      <c r="T880">
        <f>IF($W880="","",COUNTIFS(상세표[사번키],INDEX(합계표[사번키],$W880),상세표[반영월],대상월키,상세표[야간당직],1,상세표[야간 구분],"평일",상세표[반영 기관],"서울병원"))</f>
        <v/>
      </c>
      <c r="U880">
        <f>IF($W880="","",COUNTIFS(상세표[사번키],INDEX(합계표[사번키],$W880),상세표[반영월],대상월키,상세표[야간당직],1,상세표[야간 구분],"휴일",상세표[반영 기관],"서울병원"))</f>
        <v/>
      </c>
      <c r="V880">
        <f>IF($W880="","",IF(ISNUMBER(MATCH(INDEX(합계표[사번키],$W880)&amp;"|"&amp;대상월키,월별근무지표[키],0)),"직접 입력",IF($K880="—","—","기관명단")))</f>
        <v/>
      </c>
      <c r="W880">
        <f>IFERROR(MATCH(875,합계표[판정순번],0),"")</f>
        <v/>
      </c>
    </row>
    <row r="881">
      <c r="A881">
        <f>IF($W881="","",INDEX(합계표[사번],$W881)&amp;"")</f>
        <v/>
      </c>
      <c r="B881">
        <f>IF($W881="","",INDEX(합계표[성명],$W881)&amp;"")</f>
        <v/>
      </c>
      <c r="C881">
        <f>IF($W881="","",INDEX(합계표[부서],$W881)&amp;"")</f>
        <v/>
      </c>
      <c r="D881">
        <f>IF($W881="","",INDEX(합계표[직위(통합)],$W881)&amp;"")</f>
        <v/>
      </c>
      <c r="E881">
        <f>IF($W881="","",SUMIFS(합계표[시스템 합계],합계표[사번키],INDEX(합계표[사번키],$W881)))</f>
        <v/>
      </c>
      <c r="F881">
        <f>IF($W881="","",SUMIFS(상세표[기록 시간외],상세표[사번키],INDEX(합계표[사번키],$W881),상세표[기록월],대상월키))</f>
        <v/>
      </c>
      <c r="G881">
        <f>IF($W881="","",IF(ABS($E881-$F881)&lt;0.01,"일치","불일치(차이 "&amp;TEXT($F881-$E881,"0.00")&amp;")"))</f>
        <v/>
      </c>
      <c r="H881">
        <f>IF($W881="","",SUMIFS(상세표[기록 시간외],상세표[사번키],INDEX(합계표[사번키],$W881),상세표[기록월],대상월키,상세표[반영월],"&lt;&gt;"&amp;대상월키))</f>
        <v/>
      </c>
      <c r="I881">
        <f>IF($W881="","",SUMIFS(상세표[기록 시간외],상세표[사번키],INDEX(합계표[사번키],$W881),상세표[기록월],"&lt;&gt;"&amp;대상월키,상세표[반영월],대상월키))</f>
        <v/>
      </c>
      <c r="J881">
        <f>IF($W881="","",SUMIFS(상세표[기록 시간외],상세표[사번키],INDEX(합계표[사번키],$W881),상세표[반영월],대상월키))</f>
        <v/>
      </c>
      <c r="K881">
        <f>IF($W881="","",IFERROR(INDEX(월별근무지표[적용 급여병원],MATCH(INDEX(합계표[사번키],$W881)&amp;"|"&amp;대상월키,월별근무지표[키],0))&amp;"",IF(COUNTIF(기관표[사번키],INDEX(합계표[사번키],$W881))+COUNTIF(월별근무지표[사번키],INDEX(합계표[사번키],$W881))&gt;0,IFERROR(INDEX(기관표[급여지급병원(기준월)],MATCH(INDEX(합계표[사번키],$W881)&amp;"|"&amp;대상월키,기관표[키],0))&amp;"","—"),"—")))</f>
        <v/>
      </c>
      <c r="L881">
        <f>IF($W881="","",IF(NOT(COUNTIF(기관표[사번키],INDEX(합계표[사번키],$W881))+COUNTIF(월별근무지표[사번키],INDEX(합계표[사번키],$W881))&gt;0),"기관명단에 없음(다른 병원으로 발송)",IF($K881="—","대상월 기관명단 없음(추가 필요)",IF($K881="서울병원","해당","비해당"))))</f>
        <v/>
      </c>
      <c r="M881">
        <f>IF($W881="","",SUMIFS(상세표[06~07시],상세표[사번키],INDEX(합계표[사번키],$W881),상세표[반영월],대상월키,상세표[반영 기관],"서울병원"))</f>
        <v/>
      </c>
      <c r="N881">
        <f>IF($W881="","",SUMIFS(상세표[07~18시],상세표[사번키],INDEX(합계표[사번키],$W881),상세표[반영월],대상월키,상세표[반영 기관],"서울병원"))</f>
        <v/>
      </c>
      <c r="O881">
        <f>IF($W881="","",SUMIFS(상세표[18~22시],상세표[사번키],INDEX(합계표[사번키],$W881),상세표[반영월],대상월키,상세표[반영 기관],"서울병원"))</f>
        <v/>
      </c>
      <c r="P881">
        <f>IF($W881="","",SUMIFS(상세표[22~06시],상세표[사번키],INDEX(합계표[사번키],$W881),상세표[반영월],대상월키,상세표[반영 기관],"서울병원"))</f>
        <v/>
      </c>
      <c r="Q881">
        <f>IF($W881="","",SUM($M881:$P881))</f>
        <v/>
      </c>
      <c r="R881">
        <f>IF($W881="","",COUNTIFS(상세표[사번키],INDEX(합계표[사번키],$W881),상세표[반영월],대상월키,상세표[야간당직],1,상세표[야간 구분],"평일"))</f>
        <v/>
      </c>
      <c r="S881" s="4">
        <f>IF($W881="","",COUNTIFS(상세표[사번키],INDEX(합계표[사번키],$W881),상세표[반영월],대상월키,상세표[야간당직],1,상세표[야간 구분],"휴일"))</f>
        <v/>
      </c>
      <c r="T881">
        <f>IF($W881="","",COUNTIFS(상세표[사번키],INDEX(합계표[사번키],$W881),상세표[반영월],대상월키,상세표[야간당직],1,상세표[야간 구분],"평일",상세표[반영 기관],"서울병원"))</f>
        <v/>
      </c>
      <c r="U881">
        <f>IF($W881="","",COUNTIFS(상세표[사번키],INDEX(합계표[사번키],$W881),상세표[반영월],대상월키,상세표[야간당직],1,상세표[야간 구분],"휴일",상세표[반영 기관],"서울병원"))</f>
        <v/>
      </c>
      <c r="V881">
        <f>IF($W881="","",IF(ISNUMBER(MATCH(INDEX(합계표[사번키],$W881)&amp;"|"&amp;대상월키,월별근무지표[키],0)),"직접 입력",IF($K881="—","—","기관명단")))</f>
        <v/>
      </c>
      <c r="W881">
        <f>IFERROR(MATCH(876,합계표[판정순번],0),"")</f>
        <v/>
      </c>
    </row>
    <row r="882">
      <c r="A882">
        <f>IF($W882="","",INDEX(합계표[사번],$W882)&amp;"")</f>
        <v/>
      </c>
      <c r="B882">
        <f>IF($W882="","",INDEX(합계표[성명],$W882)&amp;"")</f>
        <v/>
      </c>
      <c r="C882">
        <f>IF($W882="","",INDEX(합계표[부서],$W882)&amp;"")</f>
        <v/>
      </c>
      <c r="D882">
        <f>IF($W882="","",INDEX(합계표[직위(통합)],$W882)&amp;"")</f>
        <v/>
      </c>
      <c r="E882">
        <f>IF($W882="","",SUMIFS(합계표[시스템 합계],합계표[사번키],INDEX(합계표[사번키],$W882)))</f>
        <v/>
      </c>
      <c r="F882">
        <f>IF($W882="","",SUMIFS(상세표[기록 시간외],상세표[사번키],INDEX(합계표[사번키],$W882),상세표[기록월],대상월키))</f>
        <v/>
      </c>
      <c r="G882">
        <f>IF($W882="","",IF(ABS($E882-$F882)&lt;0.01,"일치","불일치(차이 "&amp;TEXT($F882-$E882,"0.00")&amp;")"))</f>
        <v/>
      </c>
      <c r="H882">
        <f>IF($W882="","",SUMIFS(상세표[기록 시간외],상세표[사번키],INDEX(합계표[사번키],$W882),상세표[기록월],대상월키,상세표[반영월],"&lt;&gt;"&amp;대상월키))</f>
        <v/>
      </c>
      <c r="I882">
        <f>IF($W882="","",SUMIFS(상세표[기록 시간외],상세표[사번키],INDEX(합계표[사번키],$W882),상세표[기록월],"&lt;&gt;"&amp;대상월키,상세표[반영월],대상월키))</f>
        <v/>
      </c>
      <c r="J882">
        <f>IF($W882="","",SUMIFS(상세표[기록 시간외],상세표[사번키],INDEX(합계표[사번키],$W882),상세표[반영월],대상월키))</f>
        <v/>
      </c>
      <c r="K882">
        <f>IF($W882="","",IFERROR(INDEX(월별근무지표[적용 급여병원],MATCH(INDEX(합계표[사번키],$W882)&amp;"|"&amp;대상월키,월별근무지표[키],0))&amp;"",IF(COUNTIF(기관표[사번키],INDEX(합계표[사번키],$W882))+COUNTIF(월별근무지표[사번키],INDEX(합계표[사번키],$W882))&gt;0,IFERROR(INDEX(기관표[급여지급병원(기준월)],MATCH(INDEX(합계표[사번키],$W882)&amp;"|"&amp;대상월키,기관표[키],0))&amp;"","—"),"—")))</f>
        <v/>
      </c>
      <c r="L882">
        <f>IF($W882="","",IF(NOT(COUNTIF(기관표[사번키],INDEX(합계표[사번키],$W882))+COUNTIF(월별근무지표[사번키],INDEX(합계표[사번키],$W882))&gt;0),"기관명단에 없음(다른 병원으로 발송)",IF($K882="—","대상월 기관명단 없음(추가 필요)",IF($K882="서울병원","해당","비해당"))))</f>
        <v/>
      </c>
      <c r="M882">
        <f>IF($W882="","",SUMIFS(상세표[06~07시],상세표[사번키],INDEX(합계표[사번키],$W882),상세표[반영월],대상월키,상세표[반영 기관],"서울병원"))</f>
        <v/>
      </c>
      <c r="N882">
        <f>IF($W882="","",SUMIFS(상세표[07~18시],상세표[사번키],INDEX(합계표[사번키],$W882),상세표[반영월],대상월키,상세표[반영 기관],"서울병원"))</f>
        <v/>
      </c>
      <c r="O882">
        <f>IF($W882="","",SUMIFS(상세표[18~22시],상세표[사번키],INDEX(합계표[사번키],$W882),상세표[반영월],대상월키,상세표[반영 기관],"서울병원"))</f>
        <v/>
      </c>
      <c r="P882">
        <f>IF($W882="","",SUMIFS(상세표[22~06시],상세표[사번키],INDEX(합계표[사번키],$W882),상세표[반영월],대상월키,상세표[반영 기관],"서울병원"))</f>
        <v/>
      </c>
      <c r="Q882">
        <f>IF($W882="","",SUM($M882:$P882))</f>
        <v/>
      </c>
      <c r="R882">
        <f>IF($W882="","",COUNTIFS(상세표[사번키],INDEX(합계표[사번키],$W882),상세표[반영월],대상월키,상세표[야간당직],1,상세표[야간 구분],"평일"))</f>
        <v/>
      </c>
      <c r="S882" s="4">
        <f>IF($W882="","",COUNTIFS(상세표[사번키],INDEX(합계표[사번키],$W882),상세표[반영월],대상월키,상세표[야간당직],1,상세표[야간 구분],"휴일"))</f>
        <v/>
      </c>
      <c r="T882">
        <f>IF($W882="","",COUNTIFS(상세표[사번키],INDEX(합계표[사번키],$W882),상세표[반영월],대상월키,상세표[야간당직],1,상세표[야간 구분],"평일",상세표[반영 기관],"서울병원"))</f>
        <v/>
      </c>
      <c r="U882">
        <f>IF($W882="","",COUNTIFS(상세표[사번키],INDEX(합계표[사번키],$W882),상세표[반영월],대상월키,상세표[야간당직],1,상세표[야간 구분],"휴일",상세표[반영 기관],"서울병원"))</f>
        <v/>
      </c>
      <c r="V882">
        <f>IF($W882="","",IF(ISNUMBER(MATCH(INDEX(합계표[사번키],$W882)&amp;"|"&amp;대상월키,월별근무지표[키],0)),"직접 입력",IF($K882="—","—","기관명단")))</f>
        <v/>
      </c>
      <c r="W882">
        <f>IFERROR(MATCH(877,합계표[판정순번],0),"")</f>
        <v/>
      </c>
    </row>
    <row r="883">
      <c r="A883">
        <f>IF($W883="","",INDEX(합계표[사번],$W883)&amp;"")</f>
        <v/>
      </c>
      <c r="B883">
        <f>IF($W883="","",INDEX(합계표[성명],$W883)&amp;"")</f>
        <v/>
      </c>
      <c r="C883">
        <f>IF($W883="","",INDEX(합계표[부서],$W883)&amp;"")</f>
        <v/>
      </c>
      <c r="D883">
        <f>IF($W883="","",INDEX(합계표[직위(통합)],$W883)&amp;"")</f>
        <v/>
      </c>
      <c r="E883">
        <f>IF($W883="","",SUMIFS(합계표[시스템 합계],합계표[사번키],INDEX(합계표[사번키],$W883)))</f>
        <v/>
      </c>
      <c r="F883">
        <f>IF($W883="","",SUMIFS(상세표[기록 시간외],상세표[사번키],INDEX(합계표[사번키],$W883),상세표[기록월],대상월키))</f>
        <v/>
      </c>
      <c r="G883">
        <f>IF($W883="","",IF(ABS($E883-$F883)&lt;0.01,"일치","불일치(차이 "&amp;TEXT($F883-$E883,"0.00")&amp;")"))</f>
        <v/>
      </c>
      <c r="H883">
        <f>IF($W883="","",SUMIFS(상세표[기록 시간외],상세표[사번키],INDEX(합계표[사번키],$W883),상세표[기록월],대상월키,상세표[반영월],"&lt;&gt;"&amp;대상월키))</f>
        <v/>
      </c>
      <c r="I883">
        <f>IF($W883="","",SUMIFS(상세표[기록 시간외],상세표[사번키],INDEX(합계표[사번키],$W883),상세표[기록월],"&lt;&gt;"&amp;대상월키,상세표[반영월],대상월키))</f>
        <v/>
      </c>
      <c r="J883">
        <f>IF($W883="","",SUMIFS(상세표[기록 시간외],상세표[사번키],INDEX(합계표[사번키],$W883),상세표[반영월],대상월키))</f>
        <v/>
      </c>
      <c r="K883">
        <f>IF($W883="","",IFERROR(INDEX(월별근무지표[적용 급여병원],MATCH(INDEX(합계표[사번키],$W883)&amp;"|"&amp;대상월키,월별근무지표[키],0))&amp;"",IF(COUNTIF(기관표[사번키],INDEX(합계표[사번키],$W883))+COUNTIF(월별근무지표[사번키],INDEX(합계표[사번키],$W883))&gt;0,IFERROR(INDEX(기관표[급여지급병원(기준월)],MATCH(INDEX(합계표[사번키],$W883)&amp;"|"&amp;대상월키,기관표[키],0))&amp;"","—"),"—")))</f>
        <v/>
      </c>
      <c r="L883">
        <f>IF($W883="","",IF(NOT(COUNTIF(기관표[사번키],INDEX(합계표[사번키],$W883))+COUNTIF(월별근무지표[사번키],INDEX(합계표[사번키],$W883))&gt;0),"기관명단에 없음(다른 병원으로 발송)",IF($K883="—","대상월 기관명단 없음(추가 필요)",IF($K883="서울병원","해당","비해당"))))</f>
        <v/>
      </c>
      <c r="M883">
        <f>IF($W883="","",SUMIFS(상세표[06~07시],상세표[사번키],INDEX(합계표[사번키],$W883),상세표[반영월],대상월키,상세표[반영 기관],"서울병원"))</f>
        <v/>
      </c>
      <c r="N883">
        <f>IF($W883="","",SUMIFS(상세표[07~18시],상세표[사번키],INDEX(합계표[사번키],$W883),상세표[반영월],대상월키,상세표[반영 기관],"서울병원"))</f>
        <v/>
      </c>
      <c r="O883">
        <f>IF($W883="","",SUMIFS(상세표[18~22시],상세표[사번키],INDEX(합계표[사번키],$W883),상세표[반영월],대상월키,상세표[반영 기관],"서울병원"))</f>
        <v/>
      </c>
      <c r="P883">
        <f>IF($W883="","",SUMIFS(상세표[22~06시],상세표[사번키],INDEX(합계표[사번키],$W883),상세표[반영월],대상월키,상세표[반영 기관],"서울병원"))</f>
        <v/>
      </c>
      <c r="Q883">
        <f>IF($W883="","",SUM($M883:$P883))</f>
        <v/>
      </c>
      <c r="R883">
        <f>IF($W883="","",COUNTIFS(상세표[사번키],INDEX(합계표[사번키],$W883),상세표[반영월],대상월키,상세표[야간당직],1,상세표[야간 구분],"평일"))</f>
        <v/>
      </c>
      <c r="S883" s="4">
        <f>IF($W883="","",COUNTIFS(상세표[사번키],INDEX(합계표[사번키],$W883),상세표[반영월],대상월키,상세표[야간당직],1,상세표[야간 구분],"휴일"))</f>
        <v/>
      </c>
      <c r="T883">
        <f>IF($W883="","",COUNTIFS(상세표[사번키],INDEX(합계표[사번키],$W883),상세표[반영월],대상월키,상세표[야간당직],1,상세표[야간 구분],"평일",상세표[반영 기관],"서울병원"))</f>
        <v/>
      </c>
      <c r="U883">
        <f>IF($W883="","",COUNTIFS(상세표[사번키],INDEX(합계표[사번키],$W883),상세표[반영월],대상월키,상세표[야간당직],1,상세표[야간 구분],"휴일",상세표[반영 기관],"서울병원"))</f>
        <v/>
      </c>
      <c r="V883">
        <f>IF($W883="","",IF(ISNUMBER(MATCH(INDEX(합계표[사번키],$W883)&amp;"|"&amp;대상월키,월별근무지표[키],0)),"직접 입력",IF($K883="—","—","기관명단")))</f>
        <v/>
      </c>
      <c r="W883">
        <f>IFERROR(MATCH(878,합계표[판정순번],0),"")</f>
        <v/>
      </c>
    </row>
    <row r="884">
      <c r="A884">
        <f>IF($W884="","",INDEX(합계표[사번],$W884)&amp;"")</f>
        <v/>
      </c>
      <c r="B884">
        <f>IF($W884="","",INDEX(합계표[성명],$W884)&amp;"")</f>
        <v/>
      </c>
      <c r="C884">
        <f>IF($W884="","",INDEX(합계표[부서],$W884)&amp;"")</f>
        <v/>
      </c>
      <c r="D884">
        <f>IF($W884="","",INDEX(합계표[직위(통합)],$W884)&amp;"")</f>
        <v/>
      </c>
      <c r="E884">
        <f>IF($W884="","",SUMIFS(합계표[시스템 합계],합계표[사번키],INDEX(합계표[사번키],$W884)))</f>
        <v/>
      </c>
      <c r="F884">
        <f>IF($W884="","",SUMIFS(상세표[기록 시간외],상세표[사번키],INDEX(합계표[사번키],$W884),상세표[기록월],대상월키))</f>
        <v/>
      </c>
      <c r="G884">
        <f>IF($W884="","",IF(ABS($E884-$F884)&lt;0.01,"일치","불일치(차이 "&amp;TEXT($F884-$E884,"0.00")&amp;")"))</f>
        <v/>
      </c>
      <c r="H884">
        <f>IF($W884="","",SUMIFS(상세표[기록 시간외],상세표[사번키],INDEX(합계표[사번키],$W884),상세표[기록월],대상월키,상세표[반영월],"&lt;&gt;"&amp;대상월키))</f>
        <v/>
      </c>
      <c r="I884">
        <f>IF($W884="","",SUMIFS(상세표[기록 시간외],상세표[사번키],INDEX(합계표[사번키],$W884),상세표[기록월],"&lt;&gt;"&amp;대상월키,상세표[반영월],대상월키))</f>
        <v/>
      </c>
      <c r="J884">
        <f>IF($W884="","",SUMIFS(상세표[기록 시간외],상세표[사번키],INDEX(합계표[사번키],$W884),상세표[반영월],대상월키))</f>
        <v/>
      </c>
      <c r="K884">
        <f>IF($W884="","",IFERROR(INDEX(월별근무지표[적용 급여병원],MATCH(INDEX(합계표[사번키],$W884)&amp;"|"&amp;대상월키,월별근무지표[키],0))&amp;"",IF(COUNTIF(기관표[사번키],INDEX(합계표[사번키],$W884))+COUNTIF(월별근무지표[사번키],INDEX(합계표[사번키],$W884))&gt;0,IFERROR(INDEX(기관표[급여지급병원(기준월)],MATCH(INDEX(합계표[사번키],$W884)&amp;"|"&amp;대상월키,기관표[키],0))&amp;"","—"),"—")))</f>
        <v/>
      </c>
      <c r="L884">
        <f>IF($W884="","",IF(NOT(COUNTIF(기관표[사번키],INDEX(합계표[사번키],$W884))+COUNTIF(월별근무지표[사번키],INDEX(합계표[사번키],$W884))&gt;0),"기관명단에 없음(다른 병원으로 발송)",IF($K884="—","대상월 기관명단 없음(추가 필요)",IF($K884="서울병원","해당","비해당"))))</f>
        <v/>
      </c>
      <c r="M884">
        <f>IF($W884="","",SUMIFS(상세표[06~07시],상세표[사번키],INDEX(합계표[사번키],$W884),상세표[반영월],대상월키,상세표[반영 기관],"서울병원"))</f>
        <v/>
      </c>
      <c r="N884">
        <f>IF($W884="","",SUMIFS(상세표[07~18시],상세표[사번키],INDEX(합계표[사번키],$W884),상세표[반영월],대상월키,상세표[반영 기관],"서울병원"))</f>
        <v/>
      </c>
      <c r="O884">
        <f>IF($W884="","",SUMIFS(상세표[18~22시],상세표[사번키],INDEX(합계표[사번키],$W884),상세표[반영월],대상월키,상세표[반영 기관],"서울병원"))</f>
        <v/>
      </c>
      <c r="P884">
        <f>IF($W884="","",SUMIFS(상세표[22~06시],상세표[사번키],INDEX(합계표[사번키],$W884),상세표[반영월],대상월키,상세표[반영 기관],"서울병원"))</f>
        <v/>
      </c>
      <c r="Q884">
        <f>IF($W884="","",SUM($M884:$P884))</f>
        <v/>
      </c>
      <c r="R884">
        <f>IF($W884="","",COUNTIFS(상세표[사번키],INDEX(합계표[사번키],$W884),상세표[반영월],대상월키,상세표[야간당직],1,상세표[야간 구분],"평일"))</f>
        <v/>
      </c>
      <c r="S884" s="4">
        <f>IF($W884="","",COUNTIFS(상세표[사번키],INDEX(합계표[사번키],$W884),상세표[반영월],대상월키,상세표[야간당직],1,상세표[야간 구분],"휴일"))</f>
        <v/>
      </c>
      <c r="T884">
        <f>IF($W884="","",COUNTIFS(상세표[사번키],INDEX(합계표[사번키],$W884),상세표[반영월],대상월키,상세표[야간당직],1,상세표[야간 구분],"평일",상세표[반영 기관],"서울병원"))</f>
        <v/>
      </c>
      <c r="U884">
        <f>IF($W884="","",COUNTIFS(상세표[사번키],INDEX(합계표[사번키],$W884),상세표[반영월],대상월키,상세표[야간당직],1,상세표[야간 구분],"휴일",상세표[반영 기관],"서울병원"))</f>
        <v/>
      </c>
      <c r="V884">
        <f>IF($W884="","",IF(ISNUMBER(MATCH(INDEX(합계표[사번키],$W884)&amp;"|"&amp;대상월키,월별근무지표[키],0)),"직접 입력",IF($K884="—","—","기관명단")))</f>
        <v/>
      </c>
      <c r="W884">
        <f>IFERROR(MATCH(879,합계표[판정순번],0),"")</f>
        <v/>
      </c>
    </row>
    <row r="885">
      <c r="A885">
        <f>IF($W885="","",INDEX(합계표[사번],$W885)&amp;"")</f>
        <v/>
      </c>
      <c r="B885">
        <f>IF($W885="","",INDEX(합계표[성명],$W885)&amp;"")</f>
        <v/>
      </c>
      <c r="C885">
        <f>IF($W885="","",INDEX(합계표[부서],$W885)&amp;"")</f>
        <v/>
      </c>
      <c r="D885">
        <f>IF($W885="","",INDEX(합계표[직위(통합)],$W885)&amp;"")</f>
        <v/>
      </c>
      <c r="E885">
        <f>IF($W885="","",SUMIFS(합계표[시스템 합계],합계표[사번키],INDEX(합계표[사번키],$W885)))</f>
        <v/>
      </c>
      <c r="F885">
        <f>IF($W885="","",SUMIFS(상세표[기록 시간외],상세표[사번키],INDEX(합계표[사번키],$W885),상세표[기록월],대상월키))</f>
        <v/>
      </c>
      <c r="G885">
        <f>IF($W885="","",IF(ABS($E885-$F885)&lt;0.01,"일치","불일치(차이 "&amp;TEXT($F885-$E885,"0.00")&amp;")"))</f>
        <v/>
      </c>
      <c r="H885">
        <f>IF($W885="","",SUMIFS(상세표[기록 시간외],상세표[사번키],INDEX(합계표[사번키],$W885),상세표[기록월],대상월키,상세표[반영월],"&lt;&gt;"&amp;대상월키))</f>
        <v/>
      </c>
      <c r="I885">
        <f>IF($W885="","",SUMIFS(상세표[기록 시간외],상세표[사번키],INDEX(합계표[사번키],$W885),상세표[기록월],"&lt;&gt;"&amp;대상월키,상세표[반영월],대상월키))</f>
        <v/>
      </c>
      <c r="J885">
        <f>IF($W885="","",SUMIFS(상세표[기록 시간외],상세표[사번키],INDEX(합계표[사번키],$W885),상세표[반영월],대상월키))</f>
        <v/>
      </c>
      <c r="K885">
        <f>IF($W885="","",IFERROR(INDEX(월별근무지표[적용 급여병원],MATCH(INDEX(합계표[사번키],$W885)&amp;"|"&amp;대상월키,월별근무지표[키],0))&amp;"",IF(COUNTIF(기관표[사번키],INDEX(합계표[사번키],$W885))+COUNTIF(월별근무지표[사번키],INDEX(합계표[사번키],$W885))&gt;0,IFERROR(INDEX(기관표[급여지급병원(기준월)],MATCH(INDEX(합계표[사번키],$W885)&amp;"|"&amp;대상월키,기관표[키],0))&amp;"","—"),"—")))</f>
        <v/>
      </c>
      <c r="L885">
        <f>IF($W885="","",IF(NOT(COUNTIF(기관표[사번키],INDEX(합계표[사번키],$W885))+COUNTIF(월별근무지표[사번키],INDEX(합계표[사번키],$W885))&gt;0),"기관명단에 없음(다른 병원으로 발송)",IF($K885="—","대상월 기관명단 없음(추가 필요)",IF($K885="서울병원","해당","비해당"))))</f>
        <v/>
      </c>
      <c r="M885">
        <f>IF($W885="","",SUMIFS(상세표[06~07시],상세표[사번키],INDEX(합계표[사번키],$W885),상세표[반영월],대상월키,상세표[반영 기관],"서울병원"))</f>
        <v/>
      </c>
      <c r="N885">
        <f>IF($W885="","",SUMIFS(상세표[07~18시],상세표[사번키],INDEX(합계표[사번키],$W885),상세표[반영월],대상월키,상세표[반영 기관],"서울병원"))</f>
        <v/>
      </c>
      <c r="O885">
        <f>IF($W885="","",SUMIFS(상세표[18~22시],상세표[사번키],INDEX(합계표[사번키],$W885),상세표[반영월],대상월키,상세표[반영 기관],"서울병원"))</f>
        <v/>
      </c>
      <c r="P885">
        <f>IF($W885="","",SUMIFS(상세표[22~06시],상세표[사번키],INDEX(합계표[사번키],$W885),상세표[반영월],대상월키,상세표[반영 기관],"서울병원"))</f>
        <v/>
      </c>
      <c r="Q885">
        <f>IF($W885="","",SUM($M885:$P885))</f>
        <v/>
      </c>
      <c r="R885">
        <f>IF($W885="","",COUNTIFS(상세표[사번키],INDEX(합계표[사번키],$W885),상세표[반영월],대상월키,상세표[야간당직],1,상세표[야간 구분],"평일"))</f>
        <v/>
      </c>
      <c r="S885" s="4">
        <f>IF($W885="","",COUNTIFS(상세표[사번키],INDEX(합계표[사번키],$W885),상세표[반영월],대상월키,상세표[야간당직],1,상세표[야간 구분],"휴일"))</f>
        <v/>
      </c>
      <c r="T885">
        <f>IF($W885="","",COUNTIFS(상세표[사번키],INDEX(합계표[사번키],$W885),상세표[반영월],대상월키,상세표[야간당직],1,상세표[야간 구분],"평일",상세표[반영 기관],"서울병원"))</f>
        <v/>
      </c>
      <c r="U885">
        <f>IF($W885="","",COUNTIFS(상세표[사번키],INDEX(합계표[사번키],$W885),상세표[반영월],대상월키,상세표[야간당직],1,상세표[야간 구분],"휴일",상세표[반영 기관],"서울병원"))</f>
        <v/>
      </c>
      <c r="V885">
        <f>IF($W885="","",IF(ISNUMBER(MATCH(INDEX(합계표[사번키],$W885)&amp;"|"&amp;대상월키,월별근무지표[키],0)),"직접 입력",IF($K885="—","—","기관명단")))</f>
        <v/>
      </c>
      <c r="W885">
        <f>IFERROR(MATCH(880,합계표[판정순번],0),"")</f>
        <v/>
      </c>
    </row>
    <row r="886">
      <c r="A886">
        <f>IF($W886="","",INDEX(합계표[사번],$W886)&amp;"")</f>
        <v/>
      </c>
      <c r="B886">
        <f>IF($W886="","",INDEX(합계표[성명],$W886)&amp;"")</f>
        <v/>
      </c>
      <c r="C886">
        <f>IF($W886="","",INDEX(합계표[부서],$W886)&amp;"")</f>
        <v/>
      </c>
      <c r="D886">
        <f>IF($W886="","",INDEX(합계표[직위(통합)],$W886)&amp;"")</f>
        <v/>
      </c>
      <c r="E886">
        <f>IF($W886="","",SUMIFS(합계표[시스템 합계],합계표[사번키],INDEX(합계표[사번키],$W886)))</f>
        <v/>
      </c>
      <c r="F886">
        <f>IF($W886="","",SUMIFS(상세표[기록 시간외],상세표[사번키],INDEX(합계표[사번키],$W886),상세표[기록월],대상월키))</f>
        <v/>
      </c>
      <c r="G886">
        <f>IF($W886="","",IF(ABS($E886-$F886)&lt;0.01,"일치","불일치(차이 "&amp;TEXT($F886-$E886,"0.00")&amp;")"))</f>
        <v/>
      </c>
      <c r="H886">
        <f>IF($W886="","",SUMIFS(상세표[기록 시간외],상세표[사번키],INDEX(합계표[사번키],$W886),상세표[기록월],대상월키,상세표[반영월],"&lt;&gt;"&amp;대상월키))</f>
        <v/>
      </c>
      <c r="I886">
        <f>IF($W886="","",SUMIFS(상세표[기록 시간외],상세표[사번키],INDEX(합계표[사번키],$W886),상세표[기록월],"&lt;&gt;"&amp;대상월키,상세표[반영월],대상월키))</f>
        <v/>
      </c>
      <c r="J886">
        <f>IF($W886="","",SUMIFS(상세표[기록 시간외],상세표[사번키],INDEX(합계표[사번키],$W886),상세표[반영월],대상월키))</f>
        <v/>
      </c>
      <c r="K886">
        <f>IF($W886="","",IFERROR(INDEX(월별근무지표[적용 급여병원],MATCH(INDEX(합계표[사번키],$W886)&amp;"|"&amp;대상월키,월별근무지표[키],0))&amp;"",IF(COUNTIF(기관표[사번키],INDEX(합계표[사번키],$W886))+COUNTIF(월별근무지표[사번키],INDEX(합계표[사번키],$W886))&gt;0,IFERROR(INDEX(기관표[급여지급병원(기준월)],MATCH(INDEX(합계표[사번키],$W886)&amp;"|"&amp;대상월키,기관표[키],0))&amp;"","—"),"—")))</f>
        <v/>
      </c>
      <c r="L886">
        <f>IF($W886="","",IF(NOT(COUNTIF(기관표[사번키],INDEX(합계표[사번키],$W886))+COUNTIF(월별근무지표[사번키],INDEX(합계표[사번키],$W886))&gt;0),"기관명단에 없음(다른 병원으로 발송)",IF($K886="—","대상월 기관명단 없음(추가 필요)",IF($K886="서울병원","해당","비해당"))))</f>
        <v/>
      </c>
      <c r="M886">
        <f>IF($W886="","",SUMIFS(상세표[06~07시],상세표[사번키],INDEX(합계표[사번키],$W886),상세표[반영월],대상월키,상세표[반영 기관],"서울병원"))</f>
        <v/>
      </c>
      <c r="N886">
        <f>IF($W886="","",SUMIFS(상세표[07~18시],상세표[사번키],INDEX(합계표[사번키],$W886),상세표[반영월],대상월키,상세표[반영 기관],"서울병원"))</f>
        <v/>
      </c>
      <c r="O886">
        <f>IF($W886="","",SUMIFS(상세표[18~22시],상세표[사번키],INDEX(합계표[사번키],$W886),상세표[반영월],대상월키,상세표[반영 기관],"서울병원"))</f>
        <v/>
      </c>
      <c r="P886">
        <f>IF($W886="","",SUMIFS(상세표[22~06시],상세표[사번키],INDEX(합계표[사번키],$W886),상세표[반영월],대상월키,상세표[반영 기관],"서울병원"))</f>
        <v/>
      </c>
      <c r="Q886">
        <f>IF($W886="","",SUM($M886:$P886))</f>
        <v/>
      </c>
      <c r="R886">
        <f>IF($W886="","",COUNTIFS(상세표[사번키],INDEX(합계표[사번키],$W886),상세표[반영월],대상월키,상세표[야간당직],1,상세표[야간 구분],"평일"))</f>
        <v/>
      </c>
      <c r="S886" s="4">
        <f>IF($W886="","",COUNTIFS(상세표[사번키],INDEX(합계표[사번키],$W886),상세표[반영월],대상월키,상세표[야간당직],1,상세표[야간 구분],"휴일"))</f>
        <v/>
      </c>
      <c r="T886">
        <f>IF($W886="","",COUNTIFS(상세표[사번키],INDEX(합계표[사번키],$W886),상세표[반영월],대상월키,상세표[야간당직],1,상세표[야간 구분],"평일",상세표[반영 기관],"서울병원"))</f>
        <v/>
      </c>
      <c r="U886">
        <f>IF($W886="","",COUNTIFS(상세표[사번키],INDEX(합계표[사번키],$W886),상세표[반영월],대상월키,상세표[야간당직],1,상세표[야간 구분],"휴일",상세표[반영 기관],"서울병원"))</f>
        <v/>
      </c>
      <c r="V886">
        <f>IF($W886="","",IF(ISNUMBER(MATCH(INDEX(합계표[사번키],$W886)&amp;"|"&amp;대상월키,월별근무지표[키],0)),"직접 입력",IF($K886="—","—","기관명단")))</f>
        <v/>
      </c>
      <c r="W886">
        <f>IFERROR(MATCH(881,합계표[판정순번],0),"")</f>
        <v/>
      </c>
    </row>
    <row r="887">
      <c r="A887">
        <f>IF($W887="","",INDEX(합계표[사번],$W887)&amp;"")</f>
        <v/>
      </c>
      <c r="B887">
        <f>IF($W887="","",INDEX(합계표[성명],$W887)&amp;"")</f>
        <v/>
      </c>
      <c r="C887">
        <f>IF($W887="","",INDEX(합계표[부서],$W887)&amp;"")</f>
        <v/>
      </c>
      <c r="D887">
        <f>IF($W887="","",INDEX(합계표[직위(통합)],$W887)&amp;"")</f>
        <v/>
      </c>
      <c r="E887">
        <f>IF($W887="","",SUMIFS(합계표[시스템 합계],합계표[사번키],INDEX(합계표[사번키],$W887)))</f>
        <v/>
      </c>
      <c r="F887">
        <f>IF($W887="","",SUMIFS(상세표[기록 시간외],상세표[사번키],INDEX(합계표[사번키],$W887),상세표[기록월],대상월키))</f>
        <v/>
      </c>
      <c r="G887">
        <f>IF($W887="","",IF(ABS($E887-$F887)&lt;0.01,"일치","불일치(차이 "&amp;TEXT($F887-$E887,"0.00")&amp;")"))</f>
        <v/>
      </c>
      <c r="H887">
        <f>IF($W887="","",SUMIFS(상세표[기록 시간외],상세표[사번키],INDEX(합계표[사번키],$W887),상세표[기록월],대상월키,상세표[반영월],"&lt;&gt;"&amp;대상월키))</f>
        <v/>
      </c>
      <c r="I887">
        <f>IF($W887="","",SUMIFS(상세표[기록 시간외],상세표[사번키],INDEX(합계표[사번키],$W887),상세표[기록월],"&lt;&gt;"&amp;대상월키,상세표[반영월],대상월키))</f>
        <v/>
      </c>
      <c r="J887">
        <f>IF($W887="","",SUMIFS(상세표[기록 시간외],상세표[사번키],INDEX(합계표[사번키],$W887),상세표[반영월],대상월키))</f>
        <v/>
      </c>
      <c r="K887">
        <f>IF($W887="","",IFERROR(INDEX(월별근무지표[적용 급여병원],MATCH(INDEX(합계표[사번키],$W887)&amp;"|"&amp;대상월키,월별근무지표[키],0))&amp;"",IF(COUNTIF(기관표[사번키],INDEX(합계표[사번키],$W887))+COUNTIF(월별근무지표[사번키],INDEX(합계표[사번키],$W887))&gt;0,IFERROR(INDEX(기관표[급여지급병원(기준월)],MATCH(INDEX(합계표[사번키],$W887)&amp;"|"&amp;대상월키,기관표[키],0))&amp;"","—"),"—")))</f>
        <v/>
      </c>
      <c r="L887">
        <f>IF($W887="","",IF(NOT(COUNTIF(기관표[사번키],INDEX(합계표[사번키],$W887))+COUNTIF(월별근무지표[사번키],INDEX(합계표[사번키],$W887))&gt;0),"기관명단에 없음(다른 병원으로 발송)",IF($K887="—","대상월 기관명단 없음(추가 필요)",IF($K887="서울병원","해당","비해당"))))</f>
        <v/>
      </c>
      <c r="M887">
        <f>IF($W887="","",SUMIFS(상세표[06~07시],상세표[사번키],INDEX(합계표[사번키],$W887),상세표[반영월],대상월키,상세표[반영 기관],"서울병원"))</f>
        <v/>
      </c>
      <c r="N887">
        <f>IF($W887="","",SUMIFS(상세표[07~18시],상세표[사번키],INDEX(합계표[사번키],$W887),상세표[반영월],대상월키,상세표[반영 기관],"서울병원"))</f>
        <v/>
      </c>
      <c r="O887">
        <f>IF($W887="","",SUMIFS(상세표[18~22시],상세표[사번키],INDEX(합계표[사번키],$W887),상세표[반영월],대상월키,상세표[반영 기관],"서울병원"))</f>
        <v/>
      </c>
      <c r="P887">
        <f>IF($W887="","",SUMIFS(상세표[22~06시],상세표[사번키],INDEX(합계표[사번키],$W887),상세표[반영월],대상월키,상세표[반영 기관],"서울병원"))</f>
        <v/>
      </c>
      <c r="Q887">
        <f>IF($W887="","",SUM($M887:$P887))</f>
        <v/>
      </c>
      <c r="R887">
        <f>IF($W887="","",COUNTIFS(상세표[사번키],INDEX(합계표[사번키],$W887),상세표[반영월],대상월키,상세표[야간당직],1,상세표[야간 구분],"평일"))</f>
        <v/>
      </c>
      <c r="S887" s="4">
        <f>IF($W887="","",COUNTIFS(상세표[사번키],INDEX(합계표[사번키],$W887),상세표[반영월],대상월키,상세표[야간당직],1,상세표[야간 구분],"휴일"))</f>
        <v/>
      </c>
      <c r="T887">
        <f>IF($W887="","",COUNTIFS(상세표[사번키],INDEX(합계표[사번키],$W887),상세표[반영월],대상월키,상세표[야간당직],1,상세표[야간 구분],"평일",상세표[반영 기관],"서울병원"))</f>
        <v/>
      </c>
      <c r="U887">
        <f>IF($W887="","",COUNTIFS(상세표[사번키],INDEX(합계표[사번키],$W887),상세표[반영월],대상월키,상세표[야간당직],1,상세표[야간 구분],"휴일",상세표[반영 기관],"서울병원"))</f>
        <v/>
      </c>
      <c r="V887">
        <f>IF($W887="","",IF(ISNUMBER(MATCH(INDEX(합계표[사번키],$W887)&amp;"|"&amp;대상월키,월별근무지표[키],0)),"직접 입력",IF($K887="—","—","기관명단")))</f>
        <v/>
      </c>
      <c r="W887">
        <f>IFERROR(MATCH(882,합계표[판정순번],0),"")</f>
        <v/>
      </c>
    </row>
    <row r="888">
      <c r="A888">
        <f>IF($W888="","",INDEX(합계표[사번],$W888)&amp;"")</f>
        <v/>
      </c>
      <c r="B888">
        <f>IF($W888="","",INDEX(합계표[성명],$W888)&amp;"")</f>
        <v/>
      </c>
      <c r="C888">
        <f>IF($W888="","",INDEX(합계표[부서],$W888)&amp;"")</f>
        <v/>
      </c>
      <c r="D888">
        <f>IF($W888="","",INDEX(합계표[직위(통합)],$W888)&amp;"")</f>
        <v/>
      </c>
      <c r="E888">
        <f>IF($W888="","",SUMIFS(합계표[시스템 합계],합계표[사번키],INDEX(합계표[사번키],$W888)))</f>
        <v/>
      </c>
      <c r="F888">
        <f>IF($W888="","",SUMIFS(상세표[기록 시간외],상세표[사번키],INDEX(합계표[사번키],$W888),상세표[기록월],대상월키))</f>
        <v/>
      </c>
      <c r="G888">
        <f>IF($W888="","",IF(ABS($E888-$F888)&lt;0.01,"일치","불일치(차이 "&amp;TEXT($F888-$E888,"0.00")&amp;")"))</f>
        <v/>
      </c>
      <c r="H888">
        <f>IF($W888="","",SUMIFS(상세표[기록 시간외],상세표[사번키],INDEX(합계표[사번키],$W888),상세표[기록월],대상월키,상세표[반영월],"&lt;&gt;"&amp;대상월키))</f>
        <v/>
      </c>
      <c r="I888">
        <f>IF($W888="","",SUMIFS(상세표[기록 시간외],상세표[사번키],INDEX(합계표[사번키],$W888),상세표[기록월],"&lt;&gt;"&amp;대상월키,상세표[반영월],대상월키))</f>
        <v/>
      </c>
      <c r="J888">
        <f>IF($W888="","",SUMIFS(상세표[기록 시간외],상세표[사번키],INDEX(합계표[사번키],$W888),상세표[반영월],대상월키))</f>
        <v/>
      </c>
      <c r="K888">
        <f>IF($W888="","",IFERROR(INDEX(월별근무지표[적용 급여병원],MATCH(INDEX(합계표[사번키],$W888)&amp;"|"&amp;대상월키,월별근무지표[키],0))&amp;"",IF(COUNTIF(기관표[사번키],INDEX(합계표[사번키],$W888))+COUNTIF(월별근무지표[사번키],INDEX(합계표[사번키],$W888))&gt;0,IFERROR(INDEX(기관표[급여지급병원(기준월)],MATCH(INDEX(합계표[사번키],$W888)&amp;"|"&amp;대상월키,기관표[키],0))&amp;"","—"),"—")))</f>
        <v/>
      </c>
      <c r="L888">
        <f>IF($W888="","",IF(NOT(COUNTIF(기관표[사번키],INDEX(합계표[사번키],$W888))+COUNTIF(월별근무지표[사번키],INDEX(합계표[사번키],$W888))&gt;0),"기관명단에 없음(다른 병원으로 발송)",IF($K888="—","대상월 기관명단 없음(추가 필요)",IF($K888="서울병원","해당","비해당"))))</f>
        <v/>
      </c>
      <c r="M888">
        <f>IF($W888="","",SUMIFS(상세표[06~07시],상세표[사번키],INDEX(합계표[사번키],$W888),상세표[반영월],대상월키,상세표[반영 기관],"서울병원"))</f>
        <v/>
      </c>
      <c r="N888">
        <f>IF($W888="","",SUMIFS(상세표[07~18시],상세표[사번키],INDEX(합계표[사번키],$W888),상세표[반영월],대상월키,상세표[반영 기관],"서울병원"))</f>
        <v/>
      </c>
      <c r="O888">
        <f>IF($W888="","",SUMIFS(상세표[18~22시],상세표[사번키],INDEX(합계표[사번키],$W888),상세표[반영월],대상월키,상세표[반영 기관],"서울병원"))</f>
        <v/>
      </c>
      <c r="P888">
        <f>IF($W888="","",SUMIFS(상세표[22~06시],상세표[사번키],INDEX(합계표[사번키],$W888),상세표[반영월],대상월키,상세표[반영 기관],"서울병원"))</f>
        <v/>
      </c>
      <c r="Q888">
        <f>IF($W888="","",SUM($M888:$P888))</f>
        <v/>
      </c>
      <c r="R888">
        <f>IF($W888="","",COUNTIFS(상세표[사번키],INDEX(합계표[사번키],$W888),상세표[반영월],대상월키,상세표[야간당직],1,상세표[야간 구분],"평일"))</f>
        <v/>
      </c>
      <c r="S888" s="4">
        <f>IF($W888="","",COUNTIFS(상세표[사번키],INDEX(합계표[사번키],$W888),상세표[반영월],대상월키,상세표[야간당직],1,상세표[야간 구분],"휴일"))</f>
        <v/>
      </c>
      <c r="T888">
        <f>IF($W888="","",COUNTIFS(상세표[사번키],INDEX(합계표[사번키],$W888),상세표[반영월],대상월키,상세표[야간당직],1,상세표[야간 구분],"평일",상세표[반영 기관],"서울병원"))</f>
        <v/>
      </c>
      <c r="U888">
        <f>IF($W888="","",COUNTIFS(상세표[사번키],INDEX(합계표[사번키],$W888),상세표[반영월],대상월키,상세표[야간당직],1,상세표[야간 구분],"휴일",상세표[반영 기관],"서울병원"))</f>
        <v/>
      </c>
      <c r="V888">
        <f>IF($W888="","",IF(ISNUMBER(MATCH(INDEX(합계표[사번키],$W888)&amp;"|"&amp;대상월키,월별근무지표[키],0)),"직접 입력",IF($K888="—","—","기관명단")))</f>
        <v/>
      </c>
      <c r="W888">
        <f>IFERROR(MATCH(883,합계표[판정순번],0),"")</f>
        <v/>
      </c>
    </row>
    <row r="889">
      <c r="A889">
        <f>IF($W889="","",INDEX(합계표[사번],$W889)&amp;"")</f>
        <v/>
      </c>
      <c r="B889">
        <f>IF($W889="","",INDEX(합계표[성명],$W889)&amp;"")</f>
        <v/>
      </c>
      <c r="C889">
        <f>IF($W889="","",INDEX(합계표[부서],$W889)&amp;"")</f>
        <v/>
      </c>
      <c r="D889">
        <f>IF($W889="","",INDEX(합계표[직위(통합)],$W889)&amp;"")</f>
        <v/>
      </c>
      <c r="E889">
        <f>IF($W889="","",SUMIFS(합계표[시스템 합계],합계표[사번키],INDEX(합계표[사번키],$W889)))</f>
        <v/>
      </c>
      <c r="F889">
        <f>IF($W889="","",SUMIFS(상세표[기록 시간외],상세표[사번키],INDEX(합계표[사번키],$W889),상세표[기록월],대상월키))</f>
        <v/>
      </c>
      <c r="G889">
        <f>IF($W889="","",IF(ABS($E889-$F889)&lt;0.01,"일치","불일치(차이 "&amp;TEXT($F889-$E889,"0.00")&amp;")"))</f>
        <v/>
      </c>
      <c r="H889">
        <f>IF($W889="","",SUMIFS(상세표[기록 시간외],상세표[사번키],INDEX(합계표[사번키],$W889),상세표[기록월],대상월키,상세표[반영월],"&lt;&gt;"&amp;대상월키))</f>
        <v/>
      </c>
      <c r="I889">
        <f>IF($W889="","",SUMIFS(상세표[기록 시간외],상세표[사번키],INDEX(합계표[사번키],$W889),상세표[기록월],"&lt;&gt;"&amp;대상월키,상세표[반영월],대상월키))</f>
        <v/>
      </c>
      <c r="J889">
        <f>IF($W889="","",SUMIFS(상세표[기록 시간외],상세표[사번키],INDEX(합계표[사번키],$W889),상세표[반영월],대상월키))</f>
        <v/>
      </c>
      <c r="K889">
        <f>IF($W889="","",IFERROR(INDEX(월별근무지표[적용 급여병원],MATCH(INDEX(합계표[사번키],$W889)&amp;"|"&amp;대상월키,월별근무지표[키],0))&amp;"",IF(COUNTIF(기관표[사번키],INDEX(합계표[사번키],$W889))+COUNTIF(월별근무지표[사번키],INDEX(합계표[사번키],$W889))&gt;0,IFERROR(INDEX(기관표[급여지급병원(기준월)],MATCH(INDEX(합계표[사번키],$W889)&amp;"|"&amp;대상월키,기관표[키],0))&amp;"","—"),"—")))</f>
        <v/>
      </c>
      <c r="L889">
        <f>IF($W889="","",IF(NOT(COUNTIF(기관표[사번키],INDEX(합계표[사번키],$W889))+COUNTIF(월별근무지표[사번키],INDEX(합계표[사번키],$W889))&gt;0),"기관명단에 없음(다른 병원으로 발송)",IF($K889="—","대상월 기관명단 없음(추가 필요)",IF($K889="서울병원","해당","비해당"))))</f>
        <v/>
      </c>
      <c r="M889">
        <f>IF($W889="","",SUMIFS(상세표[06~07시],상세표[사번키],INDEX(합계표[사번키],$W889),상세표[반영월],대상월키,상세표[반영 기관],"서울병원"))</f>
        <v/>
      </c>
      <c r="N889">
        <f>IF($W889="","",SUMIFS(상세표[07~18시],상세표[사번키],INDEX(합계표[사번키],$W889),상세표[반영월],대상월키,상세표[반영 기관],"서울병원"))</f>
        <v/>
      </c>
      <c r="O889">
        <f>IF($W889="","",SUMIFS(상세표[18~22시],상세표[사번키],INDEX(합계표[사번키],$W889),상세표[반영월],대상월키,상세표[반영 기관],"서울병원"))</f>
        <v/>
      </c>
      <c r="P889">
        <f>IF($W889="","",SUMIFS(상세표[22~06시],상세표[사번키],INDEX(합계표[사번키],$W889),상세표[반영월],대상월키,상세표[반영 기관],"서울병원"))</f>
        <v/>
      </c>
      <c r="Q889">
        <f>IF($W889="","",SUM($M889:$P889))</f>
        <v/>
      </c>
      <c r="R889">
        <f>IF($W889="","",COUNTIFS(상세표[사번키],INDEX(합계표[사번키],$W889),상세표[반영월],대상월키,상세표[야간당직],1,상세표[야간 구분],"평일"))</f>
        <v/>
      </c>
      <c r="S889" s="4">
        <f>IF($W889="","",COUNTIFS(상세표[사번키],INDEX(합계표[사번키],$W889),상세표[반영월],대상월키,상세표[야간당직],1,상세표[야간 구분],"휴일"))</f>
        <v/>
      </c>
      <c r="T889">
        <f>IF($W889="","",COUNTIFS(상세표[사번키],INDEX(합계표[사번키],$W889),상세표[반영월],대상월키,상세표[야간당직],1,상세표[야간 구분],"평일",상세표[반영 기관],"서울병원"))</f>
        <v/>
      </c>
      <c r="U889">
        <f>IF($W889="","",COUNTIFS(상세표[사번키],INDEX(합계표[사번키],$W889),상세표[반영월],대상월키,상세표[야간당직],1,상세표[야간 구분],"휴일",상세표[반영 기관],"서울병원"))</f>
        <v/>
      </c>
      <c r="V889">
        <f>IF($W889="","",IF(ISNUMBER(MATCH(INDEX(합계표[사번키],$W889)&amp;"|"&amp;대상월키,월별근무지표[키],0)),"직접 입력",IF($K889="—","—","기관명단")))</f>
        <v/>
      </c>
      <c r="W889">
        <f>IFERROR(MATCH(884,합계표[판정순번],0),"")</f>
        <v/>
      </c>
    </row>
    <row r="890">
      <c r="A890">
        <f>IF($W890="","",INDEX(합계표[사번],$W890)&amp;"")</f>
        <v/>
      </c>
      <c r="B890">
        <f>IF($W890="","",INDEX(합계표[성명],$W890)&amp;"")</f>
        <v/>
      </c>
      <c r="C890">
        <f>IF($W890="","",INDEX(합계표[부서],$W890)&amp;"")</f>
        <v/>
      </c>
      <c r="D890">
        <f>IF($W890="","",INDEX(합계표[직위(통합)],$W890)&amp;"")</f>
        <v/>
      </c>
      <c r="E890">
        <f>IF($W890="","",SUMIFS(합계표[시스템 합계],합계표[사번키],INDEX(합계표[사번키],$W890)))</f>
        <v/>
      </c>
      <c r="F890">
        <f>IF($W890="","",SUMIFS(상세표[기록 시간외],상세표[사번키],INDEX(합계표[사번키],$W890),상세표[기록월],대상월키))</f>
        <v/>
      </c>
      <c r="G890">
        <f>IF($W890="","",IF(ABS($E890-$F890)&lt;0.01,"일치","불일치(차이 "&amp;TEXT($F890-$E890,"0.00")&amp;")"))</f>
        <v/>
      </c>
      <c r="H890">
        <f>IF($W890="","",SUMIFS(상세표[기록 시간외],상세표[사번키],INDEX(합계표[사번키],$W890),상세표[기록월],대상월키,상세표[반영월],"&lt;&gt;"&amp;대상월키))</f>
        <v/>
      </c>
      <c r="I890">
        <f>IF($W890="","",SUMIFS(상세표[기록 시간외],상세표[사번키],INDEX(합계표[사번키],$W890),상세표[기록월],"&lt;&gt;"&amp;대상월키,상세표[반영월],대상월키))</f>
        <v/>
      </c>
      <c r="J890">
        <f>IF($W890="","",SUMIFS(상세표[기록 시간외],상세표[사번키],INDEX(합계표[사번키],$W890),상세표[반영월],대상월키))</f>
        <v/>
      </c>
      <c r="K890">
        <f>IF($W890="","",IFERROR(INDEX(월별근무지표[적용 급여병원],MATCH(INDEX(합계표[사번키],$W890)&amp;"|"&amp;대상월키,월별근무지표[키],0))&amp;"",IF(COUNTIF(기관표[사번키],INDEX(합계표[사번키],$W890))+COUNTIF(월별근무지표[사번키],INDEX(합계표[사번키],$W890))&gt;0,IFERROR(INDEX(기관표[급여지급병원(기준월)],MATCH(INDEX(합계표[사번키],$W890)&amp;"|"&amp;대상월키,기관표[키],0))&amp;"","—"),"—")))</f>
        <v/>
      </c>
      <c r="L890">
        <f>IF($W890="","",IF(NOT(COUNTIF(기관표[사번키],INDEX(합계표[사번키],$W890))+COUNTIF(월별근무지표[사번키],INDEX(합계표[사번키],$W890))&gt;0),"기관명단에 없음(다른 병원으로 발송)",IF($K890="—","대상월 기관명단 없음(추가 필요)",IF($K890="서울병원","해당","비해당"))))</f>
        <v/>
      </c>
      <c r="M890">
        <f>IF($W890="","",SUMIFS(상세표[06~07시],상세표[사번키],INDEX(합계표[사번키],$W890),상세표[반영월],대상월키,상세표[반영 기관],"서울병원"))</f>
        <v/>
      </c>
      <c r="N890">
        <f>IF($W890="","",SUMIFS(상세표[07~18시],상세표[사번키],INDEX(합계표[사번키],$W890),상세표[반영월],대상월키,상세표[반영 기관],"서울병원"))</f>
        <v/>
      </c>
      <c r="O890">
        <f>IF($W890="","",SUMIFS(상세표[18~22시],상세표[사번키],INDEX(합계표[사번키],$W890),상세표[반영월],대상월키,상세표[반영 기관],"서울병원"))</f>
        <v/>
      </c>
      <c r="P890">
        <f>IF($W890="","",SUMIFS(상세표[22~06시],상세표[사번키],INDEX(합계표[사번키],$W890),상세표[반영월],대상월키,상세표[반영 기관],"서울병원"))</f>
        <v/>
      </c>
      <c r="Q890">
        <f>IF($W890="","",SUM($M890:$P890))</f>
        <v/>
      </c>
      <c r="R890">
        <f>IF($W890="","",COUNTIFS(상세표[사번키],INDEX(합계표[사번키],$W890),상세표[반영월],대상월키,상세표[야간당직],1,상세표[야간 구분],"평일"))</f>
        <v/>
      </c>
      <c r="S890" s="4">
        <f>IF($W890="","",COUNTIFS(상세표[사번키],INDEX(합계표[사번키],$W890),상세표[반영월],대상월키,상세표[야간당직],1,상세표[야간 구분],"휴일"))</f>
        <v/>
      </c>
      <c r="T890">
        <f>IF($W890="","",COUNTIFS(상세표[사번키],INDEX(합계표[사번키],$W890),상세표[반영월],대상월키,상세표[야간당직],1,상세표[야간 구분],"평일",상세표[반영 기관],"서울병원"))</f>
        <v/>
      </c>
      <c r="U890">
        <f>IF($W890="","",COUNTIFS(상세표[사번키],INDEX(합계표[사번키],$W890),상세표[반영월],대상월키,상세표[야간당직],1,상세표[야간 구분],"휴일",상세표[반영 기관],"서울병원"))</f>
        <v/>
      </c>
      <c r="V890">
        <f>IF($W890="","",IF(ISNUMBER(MATCH(INDEX(합계표[사번키],$W890)&amp;"|"&amp;대상월키,월별근무지표[키],0)),"직접 입력",IF($K890="—","—","기관명단")))</f>
        <v/>
      </c>
      <c r="W890">
        <f>IFERROR(MATCH(885,합계표[판정순번],0),"")</f>
        <v/>
      </c>
    </row>
    <row r="891">
      <c r="A891">
        <f>IF($W891="","",INDEX(합계표[사번],$W891)&amp;"")</f>
        <v/>
      </c>
      <c r="B891">
        <f>IF($W891="","",INDEX(합계표[성명],$W891)&amp;"")</f>
        <v/>
      </c>
      <c r="C891">
        <f>IF($W891="","",INDEX(합계표[부서],$W891)&amp;"")</f>
        <v/>
      </c>
      <c r="D891">
        <f>IF($W891="","",INDEX(합계표[직위(통합)],$W891)&amp;"")</f>
        <v/>
      </c>
      <c r="E891">
        <f>IF($W891="","",SUMIFS(합계표[시스템 합계],합계표[사번키],INDEX(합계표[사번키],$W891)))</f>
        <v/>
      </c>
      <c r="F891">
        <f>IF($W891="","",SUMIFS(상세표[기록 시간외],상세표[사번키],INDEX(합계표[사번키],$W891),상세표[기록월],대상월키))</f>
        <v/>
      </c>
      <c r="G891">
        <f>IF($W891="","",IF(ABS($E891-$F891)&lt;0.01,"일치","불일치(차이 "&amp;TEXT($F891-$E891,"0.00")&amp;")"))</f>
        <v/>
      </c>
      <c r="H891">
        <f>IF($W891="","",SUMIFS(상세표[기록 시간외],상세표[사번키],INDEX(합계표[사번키],$W891),상세표[기록월],대상월키,상세표[반영월],"&lt;&gt;"&amp;대상월키))</f>
        <v/>
      </c>
      <c r="I891">
        <f>IF($W891="","",SUMIFS(상세표[기록 시간외],상세표[사번키],INDEX(합계표[사번키],$W891),상세표[기록월],"&lt;&gt;"&amp;대상월키,상세표[반영월],대상월키))</f>
        <v/>
      </c>
      <c r="J891">
        <f>IF($W891="","",SUMIFS(상세표[기록 시간외],상세표[사번키],INDEX(합계표[사번키],$W891),상세표[반영월],대상월키))</f>
        <v/>
      </c>
      <c r="K891">
        <f>IF($W891="","",IFERROR(INDEX(월별근무지표[적용 급여병원],MATCH(INDEX(합계표[사번키],$W891)&amp;"|"&amp;대상월키,월별근무지표[키],0))&amp;"",IF(COUNTIF(기관표[사번키],INDEX(합계표[사번키],$W891))+COUNTIF(월별근무지표[사번키],INDEX(합계표[사번키],$W891))&gt;0,IFERROR(INDEX(기관표[급여지급병원(기준월)],MATCH(INDEX(합계표[사번키],$W891)&amp;"|"&amp;대상월키,기관표[키],0))&amp;"","—"),"—")))</f>
        <v/>
      </c>
      <c r="L891">
        <f>IF($W891="","",IF(NOT(COUNTIF(기관표[사번키],INDEX(합계표[사번키],$W891))+COUNTIF(월별근무지표[사번키],INDEX(합계표[사번키],$W891))&gt;0),"기관명단에 없음(다른 병원으로 발송)",IF($K891="—","대상월 기관명단 없음(추가 필요)",IF($K891="서울병원","해당","비해당"))))</f>
        <v/>
      </c>
      <c r="M891">
        <f>IF($W891="","",SUMIFS(상세표[06~07시],상세표[사번키],INDEX(합계표[사번키],$W891),상세표[반영월],대상월키,상세표[반영 기관],"서울병원"))</f>
        <v/>
      </c>
      <c r="N891">
        <f>IF($W891="","",SUMIFS(상세표[07~18시],상세표[사번키],INDEX(합계표[사번키],$W891),상세표[반영월],대상월키,상세표[반영 기관],"서울병원"))</f>
        <v/>
      </c>
      <c r="O891">
        <f>IF($W891="","",SUMIFS(상세표[18~22시],상세표[사번키],INDEX(합계표[사번키],$W891),상세표[반영월],대상월키,상세표[반영 기관],"서울병원"))</f>
        <v/>
      </c>
      <c r="P891">
        <f>IF($W891="","",SUMIFS(상세표[22~06시],상세표[사번키],INDEX(합계표[사번키],$W891),상세표[반영월],대상월키,상세표[반영 기관],"서울병원"))</f>
        <v/>
      </c>
      <c r="Q891">
        <f>IF($W891="","",SUM($M891:$P891))</f>
        <v/>
      </c>
      <c r="R891">
        <f>IF($W891="","",COUNTIFS(상세표[사번키],INDEX(합계표[사번키],$W891),상세표[반영월],대상월키,상세표[야간당직],1,상세표[야간 구분],"평일"))</f>
        <v/>
      </c>
      <c r="S891" s="4">
        <f>IF($W891="","",COUNTIFS(상세표[사번키],INDEX(합계표[사번키],$W891),상세표[반영월],대상월키,상세표[야간당직],1,상세표[야간 구분],"휴일"))</f>
        <v/>
      </c>
      <c r="T891">
        <f>IF($W891="","",COUNTIFS(상세표[사번키],INDEX(합계표[사번키],$W891),상세표[반영월],대상월키,상세표[야간당직],1,상세표[야간 구분],"평일",상세표[반영 기관],"서울병원"))</f>
        <v/>
      </c>
      <c r="U891">
        <f>IF($W891="","",COUNTIFS(상세표[사번키],INDEX(합계표[사번키],$W891),상세표[반영월],대상월키,상세표[야간당직],1,상세표[야간 구분],"휴일",상세표[반영 기관],"서울병원"))</f>
        <v/>
      </c>
      <c r="V891">
        <f>IF($W891="","",IF(ISNUMBER(MATCH(INDEX(합계표[사번키],$W891)&amp;"|"&amp;대상월키,월별근무지표[키],0)),"직접 입력",IF($K891="—","—","기관명단")))</f>
        <v/>
      </c>
      <c r="W891">
        <f>IFERROR(MATCH(886,합계표[판정순번],0),"")</f>
        <v/>
      </c>
    </row>
    <row r="892">
      <c r="A892">
        <f>IF($W892="","",INDEX(합계표[사번],$W892)&amp;"")</f>
        <v/>
      </c>
      <c r="B892">
        <f>IF($W892="","",INDEX(합계표[성명],$W892)&amp;"")</f>
        <v/>
      </c>
      <c r="C892">
        <f>IF($W892="","",INDEX(합계표[부서],$W892)&amp;"")</f>
        <v/>
      </c>
      <c r="D892">
        <f>IF($W892="","",INDEX(합계표[직위(통합)],$W892)&amp;"")</f>
        <v/>
      </c>
      <c r="E892">
        <f>IF($W892="","",SUMIFS(합계표[시스템 합계],합계표[사번키],INDEX(합계표[사번키],$W892)))</f>
        <v/>
      </c>
      <c r="F892">
        <f>IF($W892="","",SUMIFS(상세표[기록 시간외],상세표[사번키],INDEX(합계표[사번키],$W892),상세표[기록월],대상월키))</f>
        <v/>
      </c>
      <c r="G892">
        <f>IF($W892="","",IF(ABS($E892-$F892)&lt;0.01,"일치","불일치(차이 "&amp;TEXT($F892-$E892,"0.00")&amp;")"))</f>
        <v/>
      </c>
      <c r="H892">
        <f>IF($W892="","",SUMIFS(상세표[기록 시간외],상세표[사번키],INDEX(합계표[사번키],$W892),상세표[기록월],대상월키,상세표[반영월],"&lt;&gt;"&amp;대상월키))</f>
        <v/>
      </c>
      <c r="I892">
        <f>IF($W892="","",SUMIFS(상세표[기록 시간외],상세표[사번키],INDEX(합계표[사번키],$W892),상세표[기록월],"&lt;&gt;"&amp;대상월키,상세표[반영월],대상월키))</f>
        <v/>
      </c>
      <c r="J892">
        <f>IF($W892="","",SUMIFS(상세표[기록 시간외],상세표[사번키],INDEX(합계표[사번키],$W892),상세표[반영월],대상월키))</f>
        <v/>
      </c>
      <c r="K892">
        <f>IF($W892="","",IFERROR(INDEX(월별근무지표[적용 급여병원],MATCH(INDEX(합계표[사번키],$W892)&amp;"|"&amp;대상월키,월별근무지표[키],0))&amp;"",IF(COUNTIF(기관표[사번키],INDEX(합계표[사번키],$W892))+COUNTIF(월별근무지표[사번키],INDEX(합계표[사번키],$W892))&gt;0,IFERROR(INDEX(기관표[급여지급병원(기준월)],MATCH(INDEX(합계표[사번키],$W892)&amp;"|"&amp;대상월키,기관표[키],0))&amp;"","—"),"—")))</f>
        <v/>
      </c>
      <c r="L892">
        <f>IF($W892="","",IF(NOT(COUNTIF(기관표[사번키],INDEX(합계표[사번키],$W892))+COUNTIF(월별근무지표[사번키],INDEX(합계표[사번키],$W892))&gt;0),"기관명단에 없음(다른 병원으로 발송)",IF($K892="—","대상월 기관명단 없음(추가 필요)",IF($K892="서울병원","해당","비해당"))))</f>
        <v/>
      </c>
      <c r="M892">
        <f>IF($W892="","",SUMIFS(상세표[06~07시],상세표[사번키],INDEX(합계표[사번키],$W892),상세표[반영월],대상월키,상세표[반영 기관],"서울병원"))</f>
        <v/>
      </c>
      <c r="N892">
        <f>IF($W892="","",SUMIFS(상세표[07~18시],상세표[사번키],INDEX(합계표[사번키],$W892),상세표[반영월],대상월키,상세표[반영 기관],"서울병원"))</f>
        <v/>
      </c>
      <c r="O892">
        <f>IF($W892="","",SUMIFS(상세표[18~22시],상세표[사번키],INDEX(합계표[사번키],$W892),상세표[반영월],대상월키,상세표[반영 기관],"서울병원"))</f>
        <v/>
      </c>
      <c r="P892">
        <f>IF($W892="","",SUMIFS(상세표[22~06시],상세표[사번키],INDEX(합계표[사번키],$W892),상세표[반영월],대상월키,상세표[반영 기관],"서울병원"))</f>
        <v/>
      </c>
      <c r="Q892">
        <f>IF($W892="","",SUM($M892:$P892))</f>
        <v/>
      </c>
      <c r="R892">
        <f>IF($W892="","",COUNTIFS(상세표[사번키],INDEX(합계표[사번키],$W892),상세표[반영월],대상월키,상세표[야간당직],1,상세표[야간 구분],"평일"))</f>
        <v/>
      </c>
      <c r="S892" s="4">
        <f>IF($W892="","",COUNTIFS(상세표[사번키],INDEX(합계표[사번키],$W892),상세표[반영월],대상월키,상세표[야간당직],1,상세표[야간 구분],"휴일"))</f>
        <v/>
      </c>
      <c r="T892">
        <f>IF($W892="","",COUNTIFS(상세표[사번키],INDEX(합계표[사번키],$W892),상세표[반영월],대상월키,상세표[야간당직],1,상세표[야간 구분],"평일",상세표[반영 기관],"서울병원"))</f>
        <v/>
      </c>
      <c r="U892">
        <f>IF($W892="","",COUNTIFS(상세표[사번키],INDEX(합계표[사번키],$W892),상세표[반영월],대상월키,상세표[야간당직],1,상세표[야간 구분],"휴일",상세표[반영 기관],"서울병원"))</f>
        <v/>
      </c>
      <c r="V892">
        <f>IF($W892="","",IF(ISNUMBER(MATCH(INDEX(합계표[사번키],$W892)&amp;"|"&amp;대상월키,월별근무지표[키],0)),"직접 입력",IF($K892="—","—","기관명단")))</f>
        <v/>
      </c>
      <c r="W892">
        <f>IFERROR(MATCH(887,합계표[판정순번],0),"")</f>
        <v/>
      </c>
    </row>
    <row r="893">
      <c r="A893">
        <f>IF($W893="","",INDEX(합계표[사번],$W893)&amp;"")</f>
        <v/>
      </c>
      <c r="B893">
        <f>IF($W893="","",INDEX(합계표[성명],$W893)&amp;"")</f>
        <v/>
      </c>
      <c r="C893">
        <f>IF($W893="","",INDEX(합계표[부서],$W893)&amp;"")</f>
        <v/>
      </c>
      <c r="D893">
        <f>IF($W893="","",INDEX(합계표[직위(통합)],$W893)&amp;"")</f>
        <v/>
      </c>
      <c r="E893">
        <f>IF($W893="","",SUMIFS(합계표[시스템 합계],합계표[사번키],INDEX(합계표[사번키],$W893)))</f>
        <v/>
      </c>
      <c r="F893">
        <f>IF($W893="","",SUMIFS(상세표[기록 시간외],상세표[사번키],INDEX(합계표[사번키],$W893),상세표[기록월],대상월키))</f>
        <v/>
      </c>
      <c r="G893">
        <f>IF($W893="","",IF(ABS($E893-$F893)&lt;0.01,"일치","불일치(차이 "&amp;TEXT($F893-$E893,"0.00")&amp;")"))</f>
        <v/>
      </c>
      <c r="H893">
        <f>IF($W893="","",SUMIFS(상세표[기록 시간외],상세표[사번키],INDEX(합계표[사번키],$W893),상세표[기록월],대상월키,상세표[반영월],"&lt;&gt;"&amp;대상월키))</f>
        <v/>
      </c>
      <c r="I893">
        <f>IF($W893="","",SUMIFS(상세표[기록 시간외],상세표[사번키],INDEX(합계표[사번키],$W893),상세표[기록월],"&lt;&gt;"&amp;대상월키,상세표[반영월],대상월키))</f>
        <v/>
      </c>
      <c r="J893">
        <f>IF($W893="","",SUMIFS(상세표[기록 시간외],상세표[사번키],INDEX(합계표[사번키],$W893),상세표[반영월],대상월키))</f>
        <v/>
      </c>
      <c r="K893">
        <f>IF($W893="","",IFERROR(INDEX(월별근무지표[적용 급여병원],MATCH(INDEX(합계표[사번키],$W893)&amp;"|"&amp;대상월키,월별근무지표[키],0))&amp;"",IF(COUNTIF(기관표[사번키],INDEX(합계표[사번키],$W893))+COUNTIF(월별근무지표[사번키],INDEX(합계표[사번키],$W893))&gt;0,IFERROR(INDEX(기관표[급여지급병원(기준월)],MATCH(INDEX(합계표[사번키],$W893)&amp;"|"&amp;대상월키,기관표[키],0))&amp;"","—"),"—")))</f>
        <v/>
      </c>
      <c r="L893">
        <f>IF($W893="","",IF(NOT(COUNTIF(기관표[사번키],INDEX(합계표[사번키],$W893))+COUNTIF(월별근무지표[사번키],INDEX(합계표[사번키],$W893))&gt;0),"기관명단에 없음(다른 병원으로 발송)",IF($K893="—","대상월 기관명단 없음(추가 필요)",IF($K893="서울병원","해당","비해당"))))</f>
        <v/>
      </c>
      <c r="M893">
        <f>IF($W893="","",SUMIFS(상세표[06~07시],상세표[사번키],INDEX(합계표[사번키],$W893),상세표[반영월],대상월키,상세표[반영 기관],"서울병원"))</f>
        <v/>
      </c>
      <c r="N893">
        <f>IF($W893="","",SUMIFS(상세표[07~18시],상세표[사번키],INDEX(합계표[사번키],$W893),상세표[반영월],대상월키,상세표[반영 기관],"서울병원"))</f>
        <v/>
      </c>
      <c r="O893">
        <f>IF($W893="","",SUMIFS(상세표[18~22시],상세표[사번키],INDEX(합계표[사번키],$W893),상세표[반영월],대상월키,상세표[반영 기관],"서울병원"))</f>
        <v/>
      </c>
      <c r="P893">
        <f>IF($W893="","",SUMIFS(상세표[22~06시],상세표[사번키],INDEX(합계표[사번키],$W893),상세표[반영월],대상월키,상세표[반영 기관],"서울병원"))</f>
        <v/>
      </c>
      <c r="Q893">
        <f>IF($W893="","",SUM($M893:$P893))</f>
        <v/>
      </c>
      <c r="R893">
        <f>IF($W893="","",COUNTIFS(상세표[사번키],INDEX(합계표[사번키],$W893),상세표[반영월],대상월키,상세표[야간당직],1,상세표[야간 구분],"평일"))</f>
        <v/>
      </c>
      <c r="S893" s="4">
        <f>IF($W893="","",COUNTIFS(상세표[사번키],INDEX(합계표[사번키],$W893),상세표[반영월],대상월키,상세표[야간당직],1,상세표[야간 구분],"휴일"))</f>
        <v/>
      </c>
      <c r="T893">
        <f>IF($W893="","",COUNTIFS(상세표[사번키],INDEX(합계표[사번키],$W893),상세표[반영월],대상월키,상세표[야간당직],1,상세표[야간 구분],"평일",상세표[반영 기관],"서울병원"))</f>
        <v/>
      </c>
      <c r="U893">
        <f>IF($W893="","",COUNTIFS(상세표[사번키],INDEX(합계표[사번키],$W893),상세표[반영월],대상월키,상세표[야간당직],1,상세표[야간 구분],"휴일",상세표[반영 기관],"서울병원"))</f>
        <v/>
      </c>
      <c r="V893">
        <f>IF($W893="","",IF(ISNUMBER(MATCH(INDEX(합계표[사번키],$W893)&amp;"|"&amp;대상월키,월별근무지표[키],0)),"직접 입력",IF($K893="—","—","기관명단")))</f>
        <v/>
      </c>
      <c r="W893">
        <f>IFERROR(MATCH(888,합계표[판정순번],0),"")</f>
        <v/>
      </c>
    </row>
    <row r="894">
      <c r="A894">
        <f>IF($W894="","",INDEX(합계표[사번],$W894)&amp;"")</f>
        <v/>
      </c>
      <c r="B894">
        <f>IF($W894="","",INDEX(합계표[성명],$W894)&amp;"")</f>
        <v/>
      </c>
      <c r="C894">
        <f>IF($W894="","",INDEX(합계표[부서],$W894)&amp;"")</f>
        <v/>
      </c>
      <c r="D894">
        <f>IF($W894="","",INDEX(합계표[직위(통합)],$W894)&amp;"")</f>
        <v/>
      </c>
      <c r="E894">
        <f>IF($W894="","",SUMIFS(합계표[시스템 합계],합계표[사번키],INDEX(합계표[사번키],$W894)))</f>
        <v/>
      </c>
      <c r="F894">
        <f>IF($W894="","",SUMIFS(상세표[기록 시간외],상세표[사번키],INDEX(합계표[사번키],$W894),상세표[기록월],대상월키))</f>
        <v/>
      </c>
      <c r="G894">
        <f>IF($W894="","",IF(ABS($E894-$F894)&lt;0.01,"일치","불일치(차이 "&amp;TEXT($F894-$E894,"0.00")&amp;")"))</f>
        <v/>
      </c>
      <c r="H894">
        <f>IF($W894="","",SUMIFS(상세표[기록 시간외],상세표[사번키],INDEX(합계표[사번키],$W894),상세표[기록월],대상월키,상세표[반영월],"&lt;&gt;"&amp;대상월키))</f>
        <v/>
      </c>
      <c r="I894">
        <f>IF($W894="","",SUMIFS(상세표[기록 시간외],상세표[사번키],INDEX(합계표[사번키],$W894),상세표[기록월],"&lt;&gt;"&amp;대상월키,상세표[반영월],대상월키))</f>
        <v/>
      </c>
      <c r="J894">
        <f>IF($W894="","",SUMIFS(상세표[기록 시간외],상세표[사번키],INDEX(합계표[사번키],$W894),상세표[반영월],대상월키))</f>
        <v/>
      </c>
      <c r="K894">
        <f>IF($W894="","",IFERROR(INDEX(월별근무지표[적용 급여병원],MATCH(INDEX(합계표[사번키],$W894)&amp;"|"&amp;대상월키,월별근무지표[키],0))&amp;"",IF(COUNTIF(기관표[사번키],INDEX(합계표[사번키],$W894))+COUNTIF(월별근무지표[사번키],INDEX(합계표[사번키],$W894))&gt;0,IFERROR(INDEX(기관표[급여지급병원(기준월)],MATCH(INDEX(합계표[사번키],$W894)&amp;"|"&amp;대상월키,기관표[키],0))&amp;"","—"),"—")))</f>
        <v/>
      </c>
      <c r="L894">
        <f>IF($W894="","",IF(NOT(COUNTIF(기관표[사번키],INDEX(합계표[사번키],$W894))+COUNTIF(월별근무지표[사번키],INDEX(합계표[사번키],$W894))&gt;0),"기관명단에 없음(다른 병원으로 발송)",IF($K894="—","대상월 기관명단 없음(추가 필요)",IF($K894="서울병원","해당","비해당"))))</f>
        <v/>
      </c>
      <c r="M894">
        <f>IF($W894="","",SUMIFS(상세표[06~07시],상세표[사번키],INDEX(합계표[사번키],$W894),상세표[반영월],대상월키,상세표[반영 기관],"서울병원"))</f>
        <v/>
      </c>
      <c r="N894">
        <f>IF($W894="","",SUMIFS(상세표[07~18시],상세표[사번키],INDEX(합계표[사번키],$W894),상세표[반영월],대상월키,상세표[반영 기관],"서울병원"))</f>
        <v/>
      </c>
      <c r="O894">
        <f>IF($W894="","",SUMIFS(상세표[18~22시],상세표[사번키],INDEX(합계표[사번키],$W894),상세표[반영월],대상월키,상세표[반영 기관],"서울병원"))</f>
        <v/>
      </c>
      <c r="P894">
        <f>IF($W894="","",SUMIFS(상세표[22~06시],상세표[사번키],INDEX(합계표[사번키],$W894),상세표[반영월],대상월키,상세표[반영 기관],"서울병원"))</f>
        <v/>
      </c>
      <c r="Q894">
        <f>IF($W894="","",SUM($M894:$P894))</f>
        <v/>
      </c>
      <c r="R894">
        <f>IF($W894="","",COUNTIFS(상세표[사번키],INDEX(합계표[사번키],$W894),상세표[반영월],대상월키,상세표[야간당직],1,상세표[야간 구분],"평일"))</f>
        <v/>
      </c>
      <c r="S894" s="4">
        <f>IF($W894="","",COUNTIFS(상세표[사번키],INDEX(합계표[사번키],$W894),상세표[반영월],대상월키,상세표[야간당직],1,상세표[야간 구분],"휴일"))</f>
        <v/>
      </c>
      <c r="T894">
        <f>IF($W894="","",COUNTIFS(상세표[사번키],INDEX(합계표[사번키],$W894),상세표[반영월],대상월키,상세표[야간당직],1,상세표[야간 구분],"평일",상세표[반영 기관],"서울병원"))</f>
        <v/>
      </c>
      <c r="U894">
        <f>IF($W894="","",COUNTIFS(상세표[사번키],INDEX(합계표[사번키],$W894),상세표[반영월],대상월키,상세표[야간당직],1,상세표[야간 구분],"휴일",상세표[반영 기관],"서울병원"))</f>
        <v/>
      </c>
      <c r="V894">
        <f>IF($W894="","",IF(ISNUMBER(MATCH(INDEX(합계표[사번키],$W894)&amp;"|"&amp;대상월키,월별근무지표[키],0)),"직접 입력",IF($K894="—","—","기관명단")))</f>
        <v/>
      </c>
      <c r="W894">
        <f>IFERROR(MATCH(889,합계표[판정순번],0),"")</f>
        <v/>
      </c>
    </row>
    <row r="895">
      <c r="A895">
        <f>IF($W895="","",INDEX(합계표[사번],$W895)&amp;"")</f>
        <v/>
      </c>
      <c r="B895">
        <f>IF($W895="","",INDEX(합계표[성명],$W895)&amp;"")</f>
        <v/>
      </c>
      <c r="C895">
        <f>IF($W895="","",INDEX(합계표[부서],$W895)&amp;"")</f>
        <v/>
      </c>
      <c r="D895">
        <f>IF($W895="","",INDEX(합계표[직위(통합)],$W895)&amp;"")</f>
        <v/>
      </c>
      <c r="E895">
        <f>IF($W895="","",SUMIFS(합계표[시스템 합계],합계표[사번키],INDEX(합계표[사번키],$W895)))</f>
        <v/>
      </c>
      <c r="F895">
        <f>IF($W895="","",SUMIFS(상세표[기록 시간외],상세표[사번키],INDEX(합계표[사번키],$W895),상세표[기록월],대상월키))</f>
        <v/>
      </c>
      <c r="G895">
        <f>IF($W895="","",IF(ABS($E895-$F895)&lt;0.01,"일치","불일치(차이 "&amp;TEXT($F895-$E895,"0.00")&amp;")"))</f>
        <v/>
      </c>
      <c r="H895">
        <f>IF($W895="","",SUMIFS(상세표[기록 시간외],상세표[사번키],INDEX(합계표[사번키],$W895),상세표[기록월],대상월키,상세표[반영월],"&lt;&gt;"&amp;대상월키))</f>
        <v/>
      </c>
      <c r="I895">
        <f>IF($W895="","",SUMIFS(상세표[기록 시간외],상세표[사번키],INDEX(합계표[사번키],$W895),상세표[기록월],"&lt;&gt;"&amp;대상월키,상세표[반영월],대상월키))</f>
        <v/>
      </c>
      <c r="J895">
        <f>IF($W895="","",SUMIFS(상세표[기록 시간외],상세표[사번키],INDEX(합계표[사번키],$W895),상세표[반영월],대상월키))</f>
        <v/>
      </c>
      <c r="K895">
        <f>IF($W895="","",IFERROR(INDEX(월별근무지표[적용 급여병원],MATCH(INDEX(합계표[사번키],$W895)&amp;"|"&amp;대상월키,월별근무지표[키],0))&amp;"",IF(COUNTIF(기관표[사번키],INDEX(합계표[사번키],$W895))+COUNTIF(월별근무지표[사번키],INDEX(합계표[사번키],$W895))&gt;0,IFERROR(INDEX(기관표[급여지급병원(기준월)],MATCH(INDEX(합계표[사번키],$W895)&amp;"|"&amp;대상월키,기관표[키],0))&amp;"","—"),"—")))</f>
        <v/>
      </c>
      <c r="L895">
        <f>IF($W895="","",IF(NOT(COUNTIF(기관표[사번키],INDEX(합계표[사번키],$W895))+COUNTIF(월별근무지표[사번키],INDEX(합계표[사번키],$W895))&gt;0),"기관명단에 없음(다른 병원으로 발송)",IF($K895="—","대상월 기관명단 없음(추가 필요)",IF($K895="서울병원","해당","비해당"))))</f>
        <v/>
      </c>
      <c r="M895">
        <f>IF($W895="","",SUMIFS(상세표[06~07시],상세표[사번키],INDEX(합계표[사번키],$W895),상세표[반영월],대상월키,상세표[반영 기관],"서울병원"))</f>
        <v/>
      </c>
      <c r="N895">
        <f>IF($W895="","",SUMIFS(상세표[07~18시],상세표[사번키],INDEX(합계표[사번키],$W895),상세표[반영월],대상월키,상세표[반영 기관],"서울병원"))</f>
        <v/>
      </c>
      <c r="O895">
        <f>IF($W895="","",SUMIFS(상세표[18~22시],상세표[사번키],INDEX(합계표[사번키],$W895),상세표[반영월],대상월키,상세표[반영 기관],"서울병원"))</f>
        <v/>
      </c>
      <c r="P895">
        <f>IF($W895="","",SUMIFS(상세표[22~06시],상세표[사번키],INDEX(합계표[사번키],$W895),상세표[반영월],대상월키,상세표[반영 기관],"서울병원"))</f>
        <v/>
      </c>
      <c r="Q895">
        <f>IF($W895="","",SUM($M895:$P895))</f>
        <v/>
      </c>
      <c r="R895">
        <f>IF($W895="","",COUNTIFS(상세표[사번키],INDEX(합계표[사번키],$W895),상세표[반영월],대상월키,상세표[야간당직],1,상세표[야간 구분],"평일"))</f>
        <v/>
      </c>
      <c r="S895" s="4">
        <f>IF($W895="","",COUNTIFS(상세표[사번키],INDEX(합계표[사번키],$W895),상세표[반영월],대상월키,상세표[야간당직],1,상세표[야간 구분],"휴일"))</f>
        <v/>
      </c>
      <c r="T895">
        <f>IF($W895="","",COUNTIFS(상세표[사번키],INDEX(합계표[사번키],$W895),상세표[반영월],대상월키,상세표[야간당직],1,상세표[야간 구분],"평일",상세표[반영 기관],"서울병원"))</f>
        <v/>
      </c>
      <c r="U895">
        <f>IF($W895="","",COUNTIFS(상세표[사번키],INDEX(합계표[사번키],$W895),상세표[반영월],대상월키,상세표[야간당직],1,상세표[야간 구분],"휴일",상세표[반영 기관],"서울병원"))</f>
        <v/>
      </c>
      <c r="V895">
        <f>IF($W895="","",IF(ISNUMBER(MATCH(INDEX(합계표[사번키],$W895)&amp;"|"&amp;대상월키,월별근무지표[키],0)),"직접 입력",IF($K895="—","—","기관명단")))</f>
        <v/>
      </c>
      <c r="W895">
        <f>IFERROR(MATCH(890,합계표[판정순번],0),"")</f>
        <v/>
      </c>
    </row>
    <row r="896">
      <c r="A896">
        <f>IF($W896="","",INDEX(합계표[사번],$W896)&amp;"")</f>
        <v/>
      </c>
      <c r="B896">
        <f>IF($W896="","",INDEX(합계표[성명],$W896)&amp;"")</f>
        <v/>
      </c>
      <c r="C896">
        <f>IF($W896="","",INDEX(합계표[부서],$W896)&amp;"")</f>
        <v/>
      </c>
      <c r="D896">
        <f>IF($W896="","",INDEX(합계표[직위(통합)],$W896)&amp;"")</f>
        <v/>
      </c>
      <c r="E896">
        <f>IF($W896="","",SUMIFS(합계표[시스템 합계],합계표[사번키],INDEX(합계표[사번키],$W896)))</f>
        <v/>
      </c>
      <c r="F896">
        <f>IF($W896="","",SUMIFS(상세표[기록 시간외],상세표[사번키],INDEX(합계표[사번키],$W896),상세표[기록월],대상월키))</f>
        <v/>
      </c>
      <c r="G896">
        <f>IF($W896="","",IF(ABS($E896-$F896)&lt;0.01,"일치","불일치(차이 "&amp;TEXT($F896-$E896,"0.00")&amp;")"))</f>
        <v/>
      </c>
      <c r="H896">
        <f>IF($W896="","",SUMIFS(상세표[기록 시간외],상세표[사번키],INDEX(합계표[사번키],$W896),상세표[기록월],대상월키,상세표[반영월],"&lt;&gt;"&amp;대상월키))</f>
        <v/>
      </c>
      <c r="I896">
        <f>IF($W896="","",SUMIFS(상세표[기록 시간외],상세표[사번키],INDEX(합계표[사번키],$W896),상세표[기록월],"&lt;&gt;"&amp;대상월키,상세표[반영월],대상월키))</f>
        <v/>
      </c>
      <c r="J896">
        <f>IF($W896="","",SUMIFS(상세표[기록 시간외],상세표[사번키],INDEX(합계표[사번키],$W896),상세표[반영월],대상월키))</f>
        <v/>
      </c>
      <c r="K896">
        <f>IF($W896="","",IFERROR(INDEX(월별근무지표[적용 급여병원],MATCH(INDEX(합계표[사번키],$W896)&amp;"|"&amp;대상월키,월별근무지표[키],0))&amp;"",IF(COUNTIF(기관표[사번키],INDEX(합계표[사번키],$W896))+COUNTIF(월별근무지표[사번키],INDEX(합계표[사번키],$W896))&gt;0,IFERROR(INDEX(기관표[급여지급병원(기준월)],MATCH(INDEX(합계표[사번키],$W896)&amp;"|"&amp;대상월키,기관표[키],0))&amp;"","—"),"—")))</f>
        <v/>
      </c>
      <c r="L896">
        <f>IF($W896="","",IF(NOT(COUNTIF(기관표[사번키],INDEX(합계표[사번키],$W896))+COUNTIF(월별근무지표[사번키],INDEX(합계표[사번키],$W896))&gt;0),"기관명단에 없음(다른 병원으로 발송)",IF($K896="—","대상월 기관명단 없음(추가 필요)",IF($K896="서울병원","해당","비해당"))))</f>
        <v/>
      </c>
      <c r="M896">
        <f>IF($W896="","",SUMIFS(상세표[06~07시],상세표[사번키],INDEX(합계표[사번키],$W896),상세표[반영월],대상월키,상세표[반영 기관],"서울병원"))</f>
        <v/>
      </c>
      <c r="N896">
        <f>IF($W896="","",SUMIFS(상세표[07~18시],상세표[사번키],INDEX(합계표[사번키],$W896),상세표[반영월],대상월키,상세표[반영 기관],"서울병원"))</f>
        <v/>
      </c>
      <c r="O896">
        <f>IF($W896="","",SUMIFS(상세표[18~22시],상세표[사번키],INDEX(합계표[사번키],$W896),상세표[반영월],대상월키,상세표[반영 기관],"서울병원"))</f>
        <v/>
      </c>
      <c r="P896">
        <f>IF($W896="","",SUMIFS(상세표[22~06시],상세표[사번키],INDEX(합계표[사번키],$W896),상세표[반영월],대상월키,상세표[반영 기관],"서울병원"))</f>
        <v/>
      </c>
      <c r="Q896">
        <f>IF($W896="","",SUM($M896:$P896))</f>
        <v/>
      </c>
      <c r="R896">
        <f>IF($W896="","",COUNTIFS(상세표[사번키],INDEX(합계표[사번키],$W896),상세표[반영월],대상월키,상세표[야간당직],1,상세표[야간 구분],"평일"))</f>
        <v/>
      </c>
      <c r="S896" s="4">
        <f>IF($W896="","",COUNTIFS(상세표[사번키],INDEX(합계표[사번키],$W896),상세표[반영월],대상월키,상세표[야간당직],1,상세표[야간 구분],"휴일"))</f>
        <v/>
      </c>
      <c r="T896">
        <f>IF($W896="","",COUNTIFS(상세표[사번키],INDEX(합계표[사번키],$W896),상세표[반영월],대상월키,상세표[야간당직],1,상세표[야간 구분],"평일",상세표[반영 기관],"서울병원"))</f>
        <v/>
      </c>
      <c r="U896">
        <f>IF($W896="","",COUNTIFS(상세표[사번키],INDEX(합계표[사번키],$W896),상세표[반영월],대상월키,상세표[야간당직],1,상세표[야간 구분],"휴일",상세표[반영 기관],"서울병원"))</f>
        <v/>
      </c>
      <c r="V896">
        <f>IF($W896="","",IF(ISNUMBER(MATCH(INDEX(합계표[사번키],$W896)&amp;"|"&amp;대상월키,월별근무지표[키],0)),"직접 입력",IF($K896="—","—","기관명단")))</f>
        <v/>
      </c>
      <c r="W896">
        <f>IFERROR(MATCH(891,합계표[판정순번],0),"")</f>
        <v/>
      </c>
    </row>
    <row r="897">
      <c r="A897">
        <f>IF($W897="","",INDEX(합계표[사번],$W897)&amp;"")</f>
        <v/>
      </c>
      <c r="B897">
        <f>IF($W897="","",INDEX(합계표[성명],$W897)&amp;"")</f>
        <v/>
      </c>
      <c r="C897">
        <f>IF($W897="","",INDEX(합계표[부서],$W897)&amp;"")</f>
        <v/>
      </c>
      <c r="D897">
        <f>IF($W897="","",INDEX(합계표[직위(통합)],$W897)&amp;"")</f>
        <v/>
      </c>
      <c r="E897">
        <f>IF($W897="","",SUMIFS(합계표[시스템 합계],합계표[사번키],INDEX(합계표[사번키],$W897)))</f>
        <v/>
      </c>
      <c r="F897">
        <f>IF($W897="","",SUMIFS(상세표[기록 시간외],상세표[사번키],INDEX(합계표[사번키],$W897),상세표[기록월],대상월키))</f>
        <v/>
      </c>
      <c r="G897">
        <f>IF($W897="","",IF(ABS($E897-$F897)&lt;0.01,"일치","불일치(차이 "&amp;TEXT($F897-$E897,"0.00")&amp;")"))</f>
        <v/>
      </c>
      <c r="H897">
        <f>IF($W897="","",SUMIFS(상세표[기록 시간외],상세표[사번키],INDEX(합계표[사번키],$W897),상세표[기록월],대상월키,상세표[반영월],"&lt;&gt;"&amp;대상월키))</f>
        <v/>
      </c>
      <c r="I897">
        <f>IF($W897="","",SUMIFS(상세표[기록 시간외],상세표[사번키],INDEX(합계표[사번키],$W897),상세표[기록월],"&lt;&gt;"&amp;대상월키,상세표[반영월],대상월키))</f>
        <v/>
      </c>
      <c r="J897">
        <f>IF($W897="","",SUMIFS(상세표[기록 시간외],상세표[사번키],INDEX(합계표[사번키],$W897),상세표[반영월],대상월키))</f>
        <v/>
      </c>
      <c r="K897">
        <f>IF($W897="","",IFERROR(INDEX(월별근무지표[적용 급여병원],MATCH(INDEX(합계표[사번키],$W897)&amp;"|"&amp;대상월키,월별근무지표[키],0))&amp;"",IF(COUNTIF(기관표[사번키],INDEX(합계표[사번키],$W897))+COUNTIF(월별근무지표[사번키],INDEX(합계표[사번키],$W897))&gt;0,IFERROR(INDEX(기관표[급여지급병원(기준월)],MATCH(INDEX(합계표[사번키],$W897)&amp;"|"&amp;대상월키,기관표[키],0))&amp;"","—"),"—")))</f>
        <v/>
      </c>
      <c r="L897">
        <f>IF($W897="","",IF(NOT(COUNTIF(기관표[사번키],INDEX(합계표[사번키],$W897))+COUNTIF(월별근무지표[사번키],INDEX(합계표[사번키],$W897))&gt;0),"기관명단에 없음(다른 병원으로 발송)",IF($K897="—","대상월 기관명단 없음(추가 필요)",IF($K897="서울병원","해당","비해당"))))</f>
        <v/>
      </c>
      <c r="M897">
        <f>IF($W897="","",SUMIFS(상세표[06~07시],상세표[사번키],INDEX(합계표[사번키],$W897),상세표[반영월],대상월키,상세표[반영 기관],"서울병원"))</f>
        <v/>
      </c>
      <c r="N897">
        <f>IF($W897="","",SUMIFS(상세표[07~18시],상세표[사번키],INDEX(합계표[사번키],$W897),상세표[반영월],대상월키,상세표[반영 기관],"서울병원"))</f>
        <v/>
      </c>
      <c r="O897">
        <f>IF($W897="","",SUMIFS(상세표[18~22시],상세표[사번키],INDEX(합계표[사번키],$W897),상세표[반영월],대상월키,상세표[반영 기관],"서울병원"))</f>
        <v/>
      </c>
      <c r="P897">
        <f>IF($W897="","",SUMIFS(상세표[22~06시],상세표[사번키],INDEX(합계표[사번키],$W897),상세표[반영월],대상월키,상세표[반영 기관],"서울병원"))</f>
        <v/>
      </c>
      <c r="Q897">
        <f>IF($W897="","",SUM($M897:$P897))</f>
        <v/>
      </c>
      <c r="R897">
        <f>IF($W897="","",COUNTIFS(상세표[사번키],INDEX(합계표[사번키],$W897),상세표[반영월],대상월키,상세표[야간당직],1,상세표[야간 구분],"평일"))</f>
        <v/>
      </c>
      <c r="S897" s="4">
        <f>IF($W897="","",COUNTIFS(상세표[사번키],INDEX(합계표[사번키],$W897),상세표[반영월],대상월키,상세표[야간당직],1,상세표[야간 구분],"휴일"))</f>
        <v/>
      </c>
      <c r="T897">
        <f>IF($W897="","",COUNTIFS(상세표[사번키],INDEX(합계표[사번키],$W897),상세표[반영월],대상월키,상세표[야간당직],1,상세표[야간 구분],"평일",상세표[반영 기관],"서울병원"))</f>
        <v/>
      </c>
      <c r="U897">
        <f>IF($W897="","",COUNTIFS(상세표[사번키],INDEX(합계표[사번키],$W897),상세표[반영월],대상월키,상세표[야간당직],1,상세표[야간 구분],"휴일",상세표[반영 기관],"서울병원"))</f>
        <v/>
      </c>
      <c r="V897">
        <f>IF($W897="","",IF(ISNUMBER(MATCH(INDEX(합계표[사번키],$W897)&amp;"|"&amp;대상월키,월별근무지표[키],0)),"직접 입력",IF($K897="—","—","기관명단")))</f>
        <v/>
      </c>
      <c r="W897">
        <f>IFERROR(MATCH(892,합계표[판정순번],0),"")</f>
        <v/>
      </c>
    </row>
    <row r="898">
      <c r="A898">
        <f>IF($W898="","",INDEX(합계표[사번],$W898)&amp;"")</f>
        <v/>
      </c>
      <c r="B898">
        <f>IF($W898="","",INDEX(합계표[성명],$W898)&amp;"")</f>
        <v/>
      </c>
      <c r="C898">
        <f>IF($W898="","",INDEX(합계표[부서],$W898)&amp;"")</f>
        <v/>
      </c>
      <c r="D898">
        <f>IF($W898="","",INDEX(합계표[직위(통합)],$W898)&amp;"")</f>
        <v/>
      </c>
      <c r="E898">
        <f>IF($W898="","",SUMIFS(합계표[시스템 합계],합계표[사번키],INDEX(합계표[사번키],$W898)))</f>
        <v/>
      </c>
      <c r="F898">
        <f>IF($W898="","",SUMIFS(상세표[기록 시간외],상세표[사번키],INDEX(합계표[사번키],$W898),상세표[기록월],대상월키))</f>
        <v/>
      </c>
      <c r="G898">
        <f>IF($W898="","",IF(ABS($E898-$F898)&lt;0.01,"일치","불일치(차이 "&amp;TEXT($F898-$E898,"0.00")&amp;")"))</f>
        <v/>
      </c>
      <c r="H898">
        <f>IF($W898="","",SUMIFS(상세표[기록 시간외],상세표[사번키],INDEX(합계표[사번키],$W898),상세표[기록월],대상월키,상세표[반영월],"&lt;&gt;"&amp;대상월키))</f>
        <v/>
      </c>
      <c r="I898">
        <f>IF($W898="","",SUMIFS(상세표[기록 시간외],상세표[사번키],INDEX(합계표[사번키],$W898),상세표[기록월],"&lt;&gt;"&amp;대상월키,상세표[반영월],대상월키))</f>
        <v/>
      </c>
      <c r="J898">
        <f>IF($W898="","",SUMIFS(상세표[기록 시간외],상세표[사번키],INDEX(합계표[사번키],$W898),상세표[반영월],대상월키))</f>
        <v/>
      </c>
      <c r="K898">
        <f>IF($W898="","",IFERROR(INDEX(월별근무지표[적용 급여병원],MATCH(INDEX(합계표[사번키],$W898)&amp;"|"&amp;대상월키,월별근무지표[키],0))&amp;"",IF(COUNTIF(기관표[사번키],INDEX(합계표[사번키],$W898))+COUNTIF(월별근무지표[사번키],INDEX(합계표[사번키],$W898))&gt;0,IFERROR(INDEX(기관표[급여지급병원(기준월)],MATCH(INDEX(합계표[사번키],$W898)&amp;"|"&amp;대상월키,기관표[키],0))&amp;"","—"),"—")))</f>
        <v/>
      </c>
      <c r="L898">
        <f>IF($W898="","",IF(NOT(COUNTIF(기관표[사번키],INDEX(합계표[사번키],$W898))+COUNTIF(월별근무지표[사번키],INDEX(합계표[사번키],$W898))&gt;0),"기관명단에 없음(다른 병원으로 발송)",IF($K898="—","대상월 기관명단 없음(추가 필요)",IF($K898="서울병원","해당","비해당"))))</f>
        <v/>
      </c>
      <c r="M898">
        <f>IF($W898="","",SUMIFS(상세표[06~07시],상세표[사번키],INDEX(합계표[사번키],$W898),상세표[반영월],대상월키,상세표[반영 기관],"서울병원"))</f>
        <v/>
      </c>
      <c r="N898">
        <f>IF($W898="","",SUMIFS(상세표[07~18시],상세표[사번키],INDEX(합계표[사번키],$W898),상세표[반영월],대상월키,상세표[반영 기관],"서울병원"))</f>
        <v/>
      </c>
      <c r="O898">
        <f>IF($W898="","",SUMIFS(상세표[18~22시],상세표[사번키],INDEX(합계표[사번키],$W898),상세표[반영월],대상월키,상세표[반영 기관],"서울병원"))</f>
        <v/>
      </c>
      <c r="P898">
        <f>IF($W898="","",SUMIFS(상세표[22~06시],상세표[사번키],INDEX(합계표[사번키],$W898),상세표[반영월],대상월키,상세표[반영 기관],"서울병원"))</f>
        <v/>
      </c>
      <c r="Q898">
        <f>IF($W898="","",SUM($M898:$P898))</f>
        <v/>
      </c>
      <c r="R898">
        <f>IF($W898="","",COUNTIFS(상세표[사번키],INDEX(합계표[사번키],$W898),상세표[반영월],대상월키,상세표[야간당직],1,상세표[야간 구분],"평일"))</f>
        <v/>
      </c>
      <c r="S898" s="4">
        <f>IF($W898="","",COUNTIFS(상세표[사번키],INDEX(합계표[사번키],$W898),상세표[반영월],대상월키,상세표[야간당직],1,상세표[야간 구분],"휴일"))</f>
        <v/>
      </c>
      <c r="T898">
        <f>IF($W898="","",COUNTIFS(상세표[사번키],INDEX(합계표[사번키],$W898),상세표[반영월],대상월키,상세표[야간당직],1,상세표[야간 구분],"평일",상세표[반영 기관],"서울병원"))</f>
        <v/>
      </c>
      <c r="U898">
        <f>IF($W898="","",COUNTIFS(상세표[사번키],INDEX(합계표[사번키],$W898),상세표[반영월],대상월키,상세표[야간당직],1,상세표[야간 구분],"휴일",상세표[반영 기관],"서울병원"))</f>
        <v/>
      </c>
      <c r="V898">
        <f>IF($W898="","",IF(ISNUMBER(MATCH(INDEX(합계표[사번키],$W898)&amp;"|"&amp;대상월키,월별근무지표[키],0)),"직접 입력",IF($K898="—","—","기관명단")))</f>
        <v/>
      </c>
      <c r="W898">
        <f>IFERROR(MATCH(893,합계표[판정순번],0),"")</f>
        <v/>
      </c>
    </row>
    <row r="899">
      <c r="A899">
        <f>IF($W899="","",INDEX(합계표[사번],$W899)&amp;"")</f>
        <v/>
      </c>
      <c r="B899">
        <f>IF($W899="","",INDEX(합계표[성명],$W899)&amp;"")</f>
        <v/>
      </c>
      <c r="C899">
        <f>IF($W899="","",INDEX(합계표[부서],$W899)&amp;"")</f>
        <v/>
      </c>
      <c r="D899">
        <f>IF($W899="","",INDEX(합계표[직위(통합)],$W899)&amp;"")</f>
        <v/>
      </c>
      <c r="E899">
        <f>IF($W899="","",SUMIFS(합계표[시스템 합계],합계표[사번키],INDEX(합계표[사번키],$W899)))</f>
        <v/>
      </c>
      <c r="F899">
        <f>IF($W899="","",SUMIFS(상세표[기록 시간외],상세표[사번키],INDEX(합계표[사번키],$W899),상세표[기록월],대상월키))</f>
        <v/>
      </c>
      <c r="G899">
        <f>IF($W899="","",IF(ABS($E899-$F899)&lt;0.01,"일치","불일치(차이 "&amp;TEXT($F899-$E899,"0.00")&amp;")"))</f>
        <v/>
      </c>
      <c r="H899">
        <f>IF($W899="","",SUMIFS(상세표[기록 시간외],상세표[사번키],INDEX(합계표[사번키],$W899),상세표[기록월],대상월키,상세표[반영월],"&lt;&gt;"&amp;대상월키))</f>
        <v/>
      </c>
      <c r="I899">
        <f>IF($W899="","",SUMIFS(상세표[기록 시간외],상세표[사번키],INDEX(합계표[사번키],$W899),상세표[기록월],"&lt;&gt;"&amp;대상월키,상세표[반영월],대상월키))</f>
        <v/>
      </c>
      <c r="J899">
        <f>IF($W899="","",SUMIFS(상세표[기록 시간외],상세표[사번키],INDEX(합계표[사번키],$W899),상세표[반영월],대상월키))</f>
        <v/>
      </c>
      <c r="K899">
        <f>IF($W899="","",IFERROR(INDEX(월별근무지표[적용 급여병원],MATCH(INDEX(합계표[사번키],$W899)&amp;"|"&amp;대상월키,월별근무지표[키],0))&amp;"",IF(COUNTIF(기관표[사번키],INDEX(합계표[사번키],$W899))+COUNTIF(월별근무지표[사번키],INDEX(합계표[사번키],$W899))&gt;0,IFERROR(INDEX(기관표[급여지급병원(기준월)],MATCH(INDEX(합계표[사번키],$W899)&amp;"|"&amp;대상월키,기관표[키],0))&amp;"","—"),"—")))</f>
        <v/>
      </c>
      <c r="L899">
        <f>IF($W899="","",IF(NOT(COUNTIF(기관표[사번키],INDEX(합계표[사번키],$W899))+COUNTIF(월별근무지표[사번키],INDEX(합계표[사번키],$W899))&gt;0),"기관명단에 없음(다른 병원으로 발송)",IF($K899="—","대상월 기관명단 없음(추가 필요)",IF($K899="서울병원","해당","비해당"))))</f>
        <v/>
      </c>
      <c r="M899">
        <f>IF($W899="","",SUMIFS(상세표[06~07시],상세표[사번키],INDEX(합계표[사번키],$W899),상세표[반영월],대상월키,상세표[반영 기관],"서울병원"))</f>
        <v/>
      </c>
      <c r="N899">
        <f>IF($W899="","",SUMIFS(상세표[07~18시],상세표[사번키],INDEX(합계표[사번키],$W899),상세표[반영월],대상월키,상세표[반영 기관],"서울병원"))</f>
        <v/>
      </c>
      <c r="O899">
        <f>IF($W899="","",SUMIFS(상세표[18~22시],상세표[사번키],INDEX(합계표[사번키],$W899),상세표[반영월],대상월키,상세표[반영 기관],"서울병원"))</f>
        <v/>
      </c>
      <c r="P899">
        <f>IF($W899="","",SUMIFS(상세표[22~06시],상세표[사번키],INDEX(합계표[사번키],$W899),상세표[반영월],대상월키,상세표[반영 기관],"서울병원"))</f>
        <v/>
      </c>
      <c r="Q899">
        <f>IF($W899="","",SUM($M899:$P899))</f>
        <v/>
      </c>
      <c r="R899">
        <f>IF($W899="","",COUNTIFS(상세표[사번키],INDEX(합계표[사번키],$W899),상세표[반영월],대상월키,상세표[야간당직],1,상세표[야간 구분],"평일"))</f>
        <v/>
      </c>
      <c r="S899" s="4">
        <f>IF($W899="","",COUNTIFS(상세표[사번키],INDEX(합계표[사번키],$W899),상세표[반영월],대상월키,상세표[야간당직],1,상세표[야간 구분],"휴일"))</f>
        <v/>
      </c>
      <c r="T899">
        <f>IF($W899="","",COUNTIFS(상세표[사번키],INDEX(합계표[사번키],$W899),상세표[반영월],대상월키,상세표[야간당직],1,상세표[야간 구분],"평일",상세표[반영 기관],"서울병원"))</f>
        <v/>
      </c>
      <c r="U899">
        <f>IF($W899="","",COUNTIFS(상세표[사번키],INDEX(합계표[사번키],$W899),상세표[반영월],대상월키,상세표[야간당직],1,상세표[야간 구분],"휴일",상세표[반영 기관],"서울병원"))</f>
        <v/>
      </c>
      <c r="V899">
        <f>IF($W899="","",IF(ISNUMBER(MATCH(INDEX(합계표[사번키],$W899)&amp;"|"&amp;대상월키,월별근무지표[키],0)),"직접 입력",IF($K899="—","—","기관명단")))</f>
        <v/>
      </c>
      <c r="W899">
        <f>IFERROR(MATCH(894,합계표[판정순번],0),"")</f>
        <v/>
      </c>
    </row>
    <row r="900">
      <c r="A900">
        <f>IF($W900="","",INDEX(합계표[사번],$W900)&amp;"")</f>
        <v/>
      </c>
      <c r="B900">
        <f>IF($W900="","",INDEX(합계표[성명],$W900)&amp;"")</f>
        <v/>
      </c>
      <c r="C900">
        <f>IF($W900="","",INDEX(합계표[부서],$W900)&amp;"")</f>
        <v/>
      </c>
      <c r="D900">
        <f>IF($W900="","",INDEX(합계표[직위(통합)],$W900)&amp;"")</f>
        <v/>
      </c>
      <c r="E900">
        <f>IF($W900="","",SUMIFS(합계표[시스템 합계],합계표[사번키],INDEX(합계표[사번키],$W900)))</f>
        <v/>
      </c>
      <c r="F900">
        <f>IF($W900="","",SUMIFS(상세표[기록 시간외],상세표[사번키],INDEX(합계표[사번키],$W900),상세표[기록월],대상월키))</f>
        <v/>
      </c>
      <c r="G900">
        <f>IF($W900="","",IF(ABS($E900-$F900)&lt;0.01,"일치","불일치(차이 "&amp;TEXT($F900-$E900,"0.00")&amp;")"))</f>
        <v/>
      </c>
      <c r="H900">
        <f>IF($W900="","",SUMIFS(상세표[기록 시간외],상세표[사번키],INDEX(합계표[사번키],$W900),상세표[기록월],대상월키,상세표[반영월],"&lt;&gt;"&amp;대상월키))</f>
        <v/>
      </c>
      <c r="I900">
        <f>IF($W900="","",SUMIFS(상세표[기록 시간외],상세표[사번키],INDEX(합계표[사번키],$W900),상세표[기록월],"&lt;&gt;"&amp;대상월키,상세표[반영월],대상월키))</f>
        <v/>
      </c>
      <c r="J900">
        <f>IF($W900="","",SUMIFS(상세표[기록 시간외],상세표[사번키],INDEX(합계표[사번키],$W900),상세표[반영월],대상월키))</f>
        <v/>
      </c>
      <c r="K900">
        <f>IF($W900="","",IFERROR(INDEX(월별근무지표[적용 급여병원],MATCH(INDEX(합계표[사번키],$W900)&amp;"|"&amp;대상월키,월별근무지표[키],0))&amp;"",IF(COUNTIF(기관표[사번키],INDEX(합계표[사번키],$W900))+COUNTIF(월별근무지표[사번키],INDEX(합계표[사번키],$W900))&gt;0,IFERROR(INDEX(기관표[급여지급병원(기준월)],MATCH(INDEX(합계표[사번키],$W900)&amp;"|"&amp;대상월키,기관표[키],0))&amp;"","—"),"—")))</f>
        <v/>
      </c>
      <c r="L900">
        <f>IF($W900="","",IF(NOT(COUNTIF(기관표[사번키],INDEX(합계표[사번키],$W900))+COUNTIF(월별근무지표[사번키],INDEX(합계표[사번키],$W900))&gt;0),"기관명단에 없음(다른 병원으로 발송)",IF($K900="—","대상월 기관명단 없음(추가 필요)",IF($K900="서울병원","해당","비해당"))))</f>
        <v/>
      </c>
      <c r="M900">
        <f>IF($W900="","",SUMIFS(상세표[06~07시],상세표[사번키],INDEX(합계표[사번키],$W900),상세표[반영월],대상월키,상세표[반영 기관],"서울병원"))</f>
        <v/>
      </c>
      <c r="N900">
        <f>IF($W900="","",SUMIFS(상세표[07~18시],상세표[사번키],INDEX(합계표[사번키],$W900),상세표[반영월],대상월키,상세표[반영 기관],"서울병원"))</f>
        <v/>
      </c>
      <c r="O900">
        <f>IF($W900="","",SUMIFS(상세표[18~22시],상세표[사번키],INDEX(합계표[사번키],$W900),상세표[반영월],대상월키,상세표[반영 기관],"서울병원"))</f>
        <v/>
      </c>
      <c r="P900">
        <f>IF($W900="","",SUMIFS(상세표[22~06시],상세표[사번키],INDEX(합계표[사번키],$W900),상세표[반영월],대상월키,상세표[반영 기관],"서울병원"))</f>
        <v/>
      </c>
      <c r="Q900">
        <f>IF($W900="","",SUM($M900:$P900))</f>
        <v/>
      </c>
      <c r="R900">
        <f>IF($W900="","",COUNTIFS(상세표[사번키],INDEX(합계표[사번키],$W900),상세표[반영월],대상월키,상세표[야간당직],1,상세표[야간 구분],"평일"))</f>
        <v/>
      </c>
      <c r="S900" s="4">
        <f>IF($W900="","",COUNTIFS(상세표[사번키],INDEX(합계표[사번키],$W900),상세표[반영월],대상월키,상세표[야간당직],1,상세표[야간 구분],"휴일"))</f>
        <v/>
      </c>
      <c r="T900">
        <f>IF($W900="","",COUNTIFS(상세표[사번키],INDEX(합계표[사번키],$W900),상세표[반영월],대상월키,상세표[야간당직],1,상세표[야간 구분],"평일",상세표[반영 기관],"서울병원"))</f>
        <v/>
      </c>
      <c r="U900">
        <f>IF($W900="","",COUNTIFS(상세표[사번키],INDEX(합계표[사번키],$W900),상세표[반영월],대상월키,상세표[야간당직],1,상세표[야간 구분],"휴일",상세표[반영 기관],"서울병원"))</f>
        <v/>
      </c>
      <c r="V900">
        <f>IF($W900="","",IF(ISNUMBER(MATCH(INDEX(합계표[사번키],$W900)&amp;"|"&amp;대상월키,월별근무지표[키],0)),"직접 입력",IF($K900="—","—","기관명단")))</f>
        <v/>
      </c>
      <c r="W900">
        <f>IFERROR(MATCH(895,합계표[판정순번],0),"")</f>
        <v/>
      </c>
    </row>
    <row r="901">
      <c r="A901">
        <f>IF($W901="","",INDEX(합계표[사번],$W901)&amp;"")</f>
        <v/>
      </c>
      <c r="B901">
        <f>IF($W901="","",INDEX(합계표[성명],$W901)&amp;"")</f>
        <v/>
      </c>
      <c r="C901">
        <f>IF($W901="","",INDEX(합계표[부서],$W901)&amp;"")</f>
        <v/>
      </c>
      <c r="D901">
        <f>IF($W901="","",INDEX(합계표[직위(통합)],$W901)&amp;"")</f>
        <v/>
      </c>
      <c r="E901">
        <f>IF($W901="","",SUMIFS(합계표[시스템 합계],합계표[사번키],INDEX(합계표[사번키],$W901)))</f>
        <v/>
      </c>
      <c r="F901">
        <f>IF($W901="","",SUMIFS(상세표[기록 시간외],상세표[사번키],INDEX(합계표[사번키],$W901),상세표[기록월],대상월키))</f>
        <v/>
      </c>
      <c r="G901">
        <f>IF($W901="","",IF(ABS($E901-$F901)&lt;0.01,"일치","불일치(차이 "&amp;TEXT($F901-$E901,"0.00")&amp;")"))</f>
        <v/>
      </c>
      <c r="H901">
        <f>IF($W901="","",SUMIFS(상세표[기록 시간외],상세표[사번키],INDEX(합계표[사번키],$W901),상세표[기록월],대상월키,상세표[반영월],"&lt;&gt;"&amp;대상월키))</f>
        <v/>
      </c>
      <c r="I901">
        <f>IF($W901="","",SUMIFS(상세표[기록 시간외],상세표[사번키],INDEX(합계표[사번키],$W901),상세표[기록월],"&lt;&gt;"&amp;대상월키,상세표[반영월],대상월키))</f>
        <v/>
      </c>
      <c r="J901">
        <f>IF($W901="","",SUMIFS(상세표[기록 시간외],상세표[사번키],INDEX(합계표[사번키],$W901),상세표[반영월],대상월키))</f>
        <v/>
      </c>
      <c r="K901">
        <f>IF($W901="","",IFERROR(INDEX(월별근무지표[적용 급여병원],MATCH(INDEX(합계표[사번키],$W901)&amp;"|"&amp;대상월키,월별근무지표[키],0))&amp;"",IF(COUNTIF(기관표[사번키],INDEX(합계표[사번키],$W901))+COUNTIF(월별근무지표[사번키],INDEX(합계표[사번키],$W901))&gt;0,IFERROR(INDEX(기관표[급여지급병원(기준월)],MATCH(INDEX(합계표[사번키],$W901)&amp;"|"&amp;대상월키,기관표[키],0))&amp;"","—"),"—")))</f>
        <v/>
      </c>
      <c r="L901">
        <f>IF($W901="","",IF(NOT(COUNTIF(기관표[사번키],INDEX(합계표[사번키],$W901))+COUNTIF(월별근무지표[사번키],INDEX(합계표[사번키],$W901))&gt;0),"기관명단에 없음(다른 병원으로 발송)",IF($K901="—","대상월 기관명단 없음(추가 필요)",IF($K901="서울병원","해당","비해당"))))</f>
        <v/>
      </c>
      <c r="M901">
        <f>IF($W901="","",SUMIFS(상세표[06~07시],상세표[사번키],INDEX(합계표[사번키],$W901),상세표[반영월],대상월키,상세표[반영 기관],"서울병원"))</f>
        <v/>
      </c>
      <c r="N901">
        <f>IF($W901="","",SUMIFS(상세표[07~18시],상세표[사번키],INDEX(합계표[사번키],$W901),상세표[반영월],대상월키,상세표[반영 기관],"서울병원"))</f>
        <v/>
      </c>
      <c r="O901">
        <f>IF($W901="","",SUMIFS(상세표[18~22시],상세표[사번키],INDEX(합계표[사번키],$W901),상세표[반영월],대상월키,상세표[반영 기관],"서울병원"))</f>
        <v/>
      </c>
      <c r="P901">
        <f>IF($W901="","",SUMIFS(상세표[22~06시],상세표[사번키],INDEX(합계표[사번키],$W901),상세표[반영월],대상월키,상세표[반영 기관],"서울병원"))</f>
        <v/>
      </c>
      <c r="Q901">
        <f>IF($W901="","",SUM($M901:$P901))</f>
        <v/>
      </c>
      <c r="R901">
        <f>IF($W901="","",COUNTIFS(상세표[사번키],INDEX(합계표[사번키],$W901),상세표[반영월],대상월키,상세표[야간당직],1,상세표[야간 구분],"평일"))</f>
        <v/>
      </c>
      <c r="S901" s="4">
        <f>IF($W901="","",COUNTIFS(상세표[사번키],INDEX(합계표[사번키],$W901),상세표[반영월],대상월키,상세표[야간당직],1,상세표[야간 구분],"휴일"))</f>
        <v/>
      </c>
      <c r="T901">
        <f>IF($W901="","",COUNTIFS(상세표[사번키],INDEX(합계표[사번키],$W901),상세표[반영월],대상월키,상세표[야간당직],1,상세표[야간 구분],"평일",상세표[반영 기관],"서울병원"))</f>
        <v/>
      </c>
      <c r="U901">
        <f>IF($W901="","",COUNTIFS(상세표[사번키],INDEX(합계표[사번키],$W901),상세표[반영월],대상월키,상세표[야간당직],1,상세표[야간 구분],"휴일",상세표[반영 기관],"서울병원"))</f>
        <v/>
      </c>
      <c r="V901">
        <f>IF($W901="","",IF(ISNUMBER(MATCH(INDEX(합계표[사번키],$W901)&amp;"|"&amp;대상월키,월별근무지표[키],0)),"직접 입력",IF($K901="—","—","기관명단")))</f>
        <v/>
      </c>
      <c r="W901">
        <f>IFERROR(MATCH(896,합계표[판정순번],0),"")</f>
        <v/>
      </c>
    </row>
    <row r="902">
      <c r="A902">
        <f>IF($W902="","",INDEX(합계표[사번],$W902)&amp;"")</f>
        <v/>
      </c>
      <c r="B902">
        <f>IF($W902="","",INDEX(합계표[성명],$W902)&amp;"")</f>
        <v/>
      </c>
      <c r="C902">
        <f>IF($W902="","",INDEX(합계표[부서],$W902)&amp;"")</f>
        <v/>
      </c>
      <c r="D902">
        <f>IF($W902="","",INDEX(합계표[직위(통합)],$W902)&amp;"")</f>
        <v/>
      </c>
      <c r="E902">
        <f>IF($W902="","",SUMIFS(합계표[시스템 합계],합계표[사번키],INDEX(합계표[사번키],$W902)))</f>
        <v/>
      </c>
      <c r="F902">
        <f>IF($W902="","",SUMIFS(상세표[기록 시간외],상세표[사번키],INDEX(합계표[사번키],$W902),상세표[기록월],대상월키))</f>
        <v/>
      </c>
      <c r="G902">
        <f>IF($W902="","",IF(ABS($E902-$F902)&lt;0.01,"일치","불일치(차이 "&amp;TEXT($F902-$E902,"0.00")&amp;")"))</f>
        <v/>
      </c>
      <c r="H902">
        <f>IF($W902="","",SUMIFS(상세표[기록 시간외],상세표[사번키],INDEX(합계표[사번키],$W902),상세표[기록월],대상월키,상세표[반영월],"&lt;&gt;"&amp;대상월키))</f>
        <v/>
      </c>
      <c r="I902">
        <f>IF($W902="","",SUMIFS(상세표[기록 시간외],상세표[사번키],INDEX(합계표[사번키],$W902),상세표[기록월],"&lt;&gt;"&amp;대상월키,상세표[반영월],대상월키))</f>
        <v/>
      </c>
      <c r="J902">
        <f>IF($W902="","",SUMIFS(상세표[기록 시간외],상세표[사번키],INDEX(합계표[사번키],$W902),상세표[반영월],대상월키))</f>
        <v/>
      </c>
      <c r="K902">
        <f>IF($W902="","",IFERROR(INDEX(월별근무지표[적용 급여병원],MATCH(INDEX(합계표[사번키],$W902)&amp;"|"&amp;대상월키,월별근무지표[키],0))&amp;"",IF(COUNTIF(기관표[사번키],INDEX(합계표[사번키],$W902))+COUNTIF(월별근무지표[사번키],INDEX(합계표[사번키],$W902))&gt;0,IFERROR(INDEX(기관표[급여지급병원(기준월)],MATCH(INDEX(합계표[사번키],$W902)&amp;"|"&amp;대상월키,기관표[키],0))&amp;"","—"),"—")))</f>
        <v/>
      </c>
      <c r="L902">
        <f>IF($W902="","",IF(NOT(COUNTIF(기관표[사번키],INDEX(합계표[사번키],$W902))+COUNTIF(월별근무지표[사번키],INDEX(합계표[사번키],$W902))&gt;0),"기관명단에 없음(다른 병원으로 발송)",IF($K902="—","대상월 기관명단 없음(추가 필요)",IF($K902="서울병원","해당","비해당"))))</f>
        <v/>
      </c>
      <c r="M902">
        <f>IF($W902="","",SUMIFS(상세표[06~07시],상세표[사번키],INDEX(합계표[사번키],$W902),상세표[반영월],대상월키,상세표[반영 기관],"서울병원"))</f>
        <v/>
      </c>
      <c r="N902">
        <f>IF($W902="","",SUMIFS(상세표[07~18시],상세표[사번키],INDEX(합계표[사번키],$W902),상세표[반영월],대상월키,상세표[반영 기관],"서울병원"))</f>
        <v/>
      </c>
      <c r="O902">
        <f>IF($W902="","",SUMIFS(상세표[18~22시],상세표[사번키],INDEX(합계표[사번키],$W902),상세표[반영월],대상월키,상세표[반영 기관],"서울병원"))</f>
        <v/>
      </c>
      <c r="P902">
        <f>IF($W902="","",SUMIFS(상세표[22~06시],상세표[사번키],INDEX(합계표[사번키],$W902),상세표[반영월],대상월키,상세표[반영 기관],"서울병원"))</f>
        <v/>
      </c>
      <c r="Q902">
        <f>IF($W902="","",SUM($M902:$P902))</f>
        <v/>
      </c>
      <c r="R902">
        <f>IF($W902="","",COUNTIFS(상세표[사번키],INDEX(합계표[사번키],$W902),상세표[반영월],대상월키,상세표[야간당직],1,상세표[야간 구분],"평일"))</f>
        <v/>
      </c>
      <c r="S902" s="4">
        <f>IF($W902="","",COUNTIFS(상세표[사번키],INDEX(합계표[사번키],$W902),상세표[반영월],대상월키,상세표[야간당직],1,상세표[야간 구분],"휴일"))</f>
        <v/>
      </c>
      <c r="T902">
        <f>IF($W902="","",COUNTIFS(상세표[사번키],INDEX(합계표[사번키],$W902),상세표[반영월],대상월키,상세표[야간당직],1,상세표[야간 구분],"평일",상세표[반영 기관],"서울병원"))</f>
        <v/>
      </c>
      <c r="U902">
        <f>IF($W902="","",COUNTIFS(상세표[사번키],INDEX(합계표[사번키],$W902),상세표[반영월],대상월키,상세표[야간당직],1,상세표[야간 구분],"휴일",상세표[반영 기관],"서울병원"))</f>
        <v/>
      </c>
      <c r="V902">
        <f>IF($W902="","",IF(ISNUMBER(MATCH(INDEX(합계표[사번키],$W902)&amp;"|"&amp;대상월키,월별근무지표[키],0)),"직접 입력",IF($K902="—","—","기관명단")))</f>
        <v/>
      </c>
      <c r="W902">
        <f>IFERROR(MATCH(897,합계표[판정순번],0),"")</f>
        <v/>
      </c>
    </row>
    <row r="903">
      <c r="A903">
        <f>IF($W903="","",INDEX(합계표[사번],$W903)&amp;"")</f>
        <v/>
      </c>
      <c r="B903">
        <f>IF($W903="","",INDEX(합계표[성명],$W903)&amp;"")</f>
        <v/>
      </c>
      <c r="C903">
        <f>IF($W903="","",INDEX(합계표[부서],$W903)&amp;"")</f>
        <v/>
      </c>
      <c r="D903">
        <f>IF($W903="","",INDEX(합계표[직위(통합)],$W903)&amp;"")</f>
        <v/>
      </c>
      <c r="E903">
        <f>IF($W903="","",SUMIFS(합계표[시스템 합계],합계표[사번키],INDEX(합계표[사번키],$W903)))</f>
        <v/>
      </c>
      <c r="F903">
        <f>IF($W903="","",SUMIFS(상세표[기록 시간외],상세표[사번키],INDEX(합계표[사번키],$W903),상세표[기록월],대상월키))</f>
        <v/>
      </c>
      <c r="G903">
        <f>IF($W903="","",IF(ABS($E903-$F903)&lt;0.01,"일치","불일치(차이 "&amp;TEXT($F903-$E903,"0.00")&amp;")"))</f>
        <v/>
      </c>
      <c r="H903">
        <f>IF($W903="","",SUMIFS(상세표[기록 시간외],상세표[사번키],INDEX(합계표[사번키],$W903),상세표[기록월],대상월키,상세표[반영월],"&lt;&gt;"&amp;대상월키))</f>
        <v/>
      </c>
      <c r="I903">
        <f>IF($W903="","",SUMIFS(상세표[기록 시간외],상세표[사번키],INDEX(합계표[사번키],$W903),상세표[기록월],"&lt;&gt;"&amp;대상월키,상세표[반영월],대상월키))</f>
        <v/>
      </c>
      <c r="J903">
        <f>IF($W903="","",SUMIFS(상세표[기록 시간외],상세표[사번키],INDEX(합계표[사번키],$W903),상세표[반영월],대상월키))</f>
        <v/>
      </c>
      <c r="K903">
        <f>IF($W903="","",IFERROR(INDEX(월별근무지표[적용 급여병원],MATCH(INDEX(합계표[사번키],$W903)&amp;"|"&amp;대상월키,월별근무지표[키],0))&amp;"",IF(COUNTIF(기관표[사번키],INDEX(합계표[사번키],$W903))+COUNTIF(월별근무지표[사번키],INDEX(합계표[사번키],$W903))&gt;0,IFERROR(INDEX(기관표[급여지급병원(기준월)],MATCH(INDEX(합계표[사번키],$W903)&amp;"|"&amp;대상월키,기관표[키],0))&amp;"","—"),"—")))</f>
        <v/>
      </c>
      <c r="L903">
        <f>IF($W903="","",IF(NOT(COUNTIF(기관표[사번키],INDEX(합계표[사번키],$W903))+COUNTIF(월별근무지표[사번키],INDEX(합계표[사번키],$W903))&gt;0),"기관명단에 없음(다른 병원으로 발송)",IF($K903="—","대상월 기관명단 없음(추가 필요)",IF($K903="서울병원","해당","비해당"))))</f>
        <v/>
      </c>
      <c r="M903">
        <f>IF($W903="","",SUMIFS(상세표[06~07시],상세표[사번키],INDEX(합계표[사번키],$W903),상세표[반영월],대상월키,상세표[반영 기관],"서울병원"))</f>
        <v/>
      </c>
      <c r="N903">
        <f>IF($W903="","",SUMIFS(상세표[07~18시],상세표[사번키],INDEX(합계표[사번키],$W903),상세표[반영월],대상월키,상세표[반영 기관],"서울병원"))</f>
        <v/>
      </c>
      <c r="O903">
        <f>IF($W903="","",SUMIFS(상세표[18~22시],상세표[사번키],INDEX(합계표[사번키],$W903),상세표[반영월],대상월키,상세표[반영 기관],"서울병원"))</f>
        <v/>
      </c>
      <c r="P903">
        <f>IF($W903="","",SUMIFS(상세표[22~06시],상세표[사번키],INDEX(합계표[사번키],$W903),상세표[반영월],대상월키,상세표[반영 기관],"서울병원"))</f>
        <v/>
      </c>
      <c r="Q903">
        <f>IF($W903="","",SUM($M903:$P903))</f>
        <v/>
      </c>
      <c r="R903">
        <f>IF($W903="","",COUNTIFS(상세표[사번키],INDEX(합계표[사번키],$W903),상세표[반영월],대상월키,상세표[야간당직],1,상세표[야간 구분],"평일"))</f>
        <v/>
      </c>
      <c r="S903" s="4">
        <f>IF($W903="","",COUNTIFS(상세표[사번키],INDEX(합계표[사번키],$W903),상세표[반영월],대상월키,상세표[야간당직],1,상세표[야간 구분],"휴일"))</f>
        <v/>
      </c>
      <c r="T903">
        <f>IF($W903="","",COUNTIFS(상세표[사번키],INDEX(합계표[사번키],$W903),상세표[반영월],대상월키,상세표[야간당직],1,상세표[야간 구분],"평일",상세표[반영 기관],"서울병원"))</f>
        <v/>
      </c>
      <c r="U903">
        <f>IF($W903="","",COUNTIFS(상세표[사번키],INDEX(합계표[사번키],$W903),상세표[반영월],대상월키,상세표[야간당직],1,상세표[야간 구분],"휴일",상세표[반영 기관],"서울병원"))</f>
        <v/>
      </c>
      <c r="V903">
        <f>IF($W903="","",IF(ISNUMBER(MATCH(INDEX(합계표[사번키],$W903)&amp;"|"&amp;대상월키,월별근무지표[키],0)),"직접 입력",IF($K903="—","—","기관명단")))</f>
        <v/>
      </c>
      <c r="W903">
        <f>IFERROR(MATCH(898,합계표[판정순번],0),"")</f>
        <v/>
      </c>
    </row>
    <row r="904">
      <c r="A904">
        <f>IF($W904="","",INDEX(합계표[사번],$W904)&amp;"")</f>
        <v/>
      </c>
      <c r="B904">
        <f>IF($W904="","",INDEX(합계표[성명],$W904)&amp;"")</f>
        <v/>
      </c>
      <c r="C904">
        <f>IF($W904="","",INDEX(합계표[부서],$W904)&amp;"")</f>
        <v/>
      </c>
      <c r="D904">
        <f>IF($W904="","",INDEX(합계표[직위(통합)],$W904)&amp;"")</f>
        <v/>
      </c>
      <c r="E904">
        <f>IF($W904="","",SUMIFS(합계표[시스템 합계],합계표[사번키],INDEX(합계표[사번키],$W904)))</f>
        <v/>
      </c>
      <c r="F904">
        <f>IF($W904="","",SUMIFS(상세표[기록 시간외],상세표[사번키],INDEX(합계표[사번키],$W904),상세표[기록월],대상월키))</f>
        <v/>
      </c>
      <c r="G904">
        <f>IF($W904="","",IF(ABS($E904-$F904)&lt;0.01,"일치","불일치(차이 "&amp;TEXT($F904-$E904,"0.00")&amp;")"))</f>
        <v/>
      </c>
      <c r="H904">
        <f>IF($W904="","",SUMIFS(상세표[기록 시간외],상세표[사번키],INDEX(합계표[사번키],$W904),상세표[기록월],대상월키,상세표[반영월],"&lt;&gt;"&amp;대상월키))</f>
        <v/>
      </c>
      <c r="I904">
        <f>IF($W904="","",SUMIFS(상세표[기록 시간외],상세표[사번키],INDEX(합계표[사번키],$W904),상세표[기록월],"&lt;&gt;"&amp;대상월키,상세표[반영월],대상월키))</f>
        <v/>
      </c>
      <c r="J904">
        <f>IF($W904="","",SUMIFS(상세표[기록 시간외],상세표[사번키],INDEX(합계표[사번키],$W904),상세표[반영월],대상월키))</f>
        <v/>
      </c>
      <c r="K904">
        <f>IF($W904="","",IFERROR(INDEX(월별근무지표[적용 급여병원],MATCH(INDEX(합계표[사번키],$W904)&amp;"|"&amp;대상월키,월별근무지표[키],0))&amp;"",IF(COUNTIF(기관표[사번키],INDEX(합계표[사번키],$W904))+COUNTIF(월별근무지표[사번키],INDEX(합계표[사번키],$W904))&gt;0,IFERROR(INDEX(기관표[급여지급병원(기준월)],MATCH(INDEX(합계표[사번키],$W904)&amp;"|"&amp;대상월키,기관표[키],0))&amp;"","—"),"—")))</f>
        <v/>
      </c>
      <c r="L904">
        <f>IF($W904="","",IF(NOT(COUNTIF(기관표[사번키],INDEX(합계표[사번키],$W904))+COUNTIF(월별근무지표[사번키],INDEX(합계표[사번키],$W904))&gt;0),"기관명단에 없음(다른 병원으로 발송)",IF($K904="—","대상월 기관명단 없음(추가 필요)",IF($K904="서울병원","해당","비해당"))))</f>
        <v/>
      </c>
      <c r="M904">
        <f>IF($W904="","",SUMIFS(상세표[06~07시],상세표[사번키],INDEX(합계표[사번키],$W904),상세표[반영월],대상월키,상세표[반영 기관],"서울병원"))</f>
        <v/>
      </c>
      <c r="N904">
        <f>IF($W904="","",SUMIFS(상세표[07~18시],상세표[사번키],INDEX(합계표[사번키],$W904),상세표[반영월],대상월키,상세표[반영 기관],"서울병원"))</f>
        <v/>
      </c>
      <c r="O904">
        <f>IF($W904="","",SUMIFS(상세표[18~22시],상세표[사번키],INDEX(합계표[사번키],$W904),상세표[반영월],대상월키,상세표[반영 기관],"서울병원"))</f>
        <v/>
      </c>
      <c r="P904">
        <f>IF($W904="","",SUMIFS(상세표[22~06시],상세표[사번키],INDEX(합계표[사번키],$W904),상세표[반영월],대상월키,상세표[반영 기관],"서울병원"))</f>
        <v/>
      </c>
      <c r="Q904">
        <f>IF($W904="","",SUM($M904:$P904))</f>
        <v/>
      </c>
      <c r="R904">
        <f>IF($W904="","",COUNTIFS(상세표[사번키],INDEX(합계표[사번키],$W904),상세표[반영월],대상월키,상세표[야간당직],1,상세표[야간 구분],"평일"))</f>
        <v/>
      </c>
      <c r="S904" s="4">
        <f>IF($W904="","",COUNTIFS(상세표[사번키],INDEX(합계표[사번키],$W904),상세표[반영월],대상월키,상세표[야간당직],1,상세표[야간 구분],"휴일"))</f>
        <v/>
      </c>
      <c r="T904">
        <f>IF($W904="","",COUNTIFS(상세표[사번키],INDEX(합계표[사번키],$W904),상세표[반영월],대상월키,상세표[야간당직],1,상세표[야간 구분],"평일",상세표[반영 기관],"서울병원"))</f>
        <v/>
      </c>
      <c r="U904">
        <f>IF($W904="","",COUNTIFS(상세표[사번키],INDEX(합계표[사번키],$W904),상세표[반영월],대상월키,상세표[야간당직],1,상세표[야간 구분],"휴일",상세표[반영 기관],"서울병원"))</f>
        <v/>
      </c>
      <c r="V904">
        <f>IF($W904="","",IF(ISNUMBER(MATCH(INDEX(합계표[사번키],$W904)&amp;"|"&amp;대상월키,월별근무지표[키],0)),"직접 입력",IF($K904="—","—","기관명단")))</f>
        <v/>
      </c>
      <c r="W904">
        <f>IFERROR(MATCH(899,합계표[판정순번],0),"")</f>
        <v/>
      </c>
    </row>
    <row r="905">
      <c r="A905">
        <f>IF($W905="","",INDEX(합계표[사번],$W905)&amp;"")</f>
        <v/>
      </c>
      <c r="B905">
        <f>IF($W905="","",INDEX(합계표[성명],$W905)&amp;"")</f>
        <v/>
      </c>
      <c r="C905">
        <f>IF($W905="","",INDEX(합계표[부서],$W905)&amp;"")</f>
        <v/>
      </c>
      <c r="D905">
        <f>IF($W905="","",INDEX(합계표[직위(통합)],$W905)&amp;"")</f>
        <v/>
      </c>
      <c r="E905">
        <f>IF($W905="","",SUMIFS(합계표[시스템 합계],합계표[사번키],INDEX(합계표[사번키],$W905)))</f>
        <v/>
      </c>
      <c r="F905">
        <f>IF($W905="","",SUMIFS(상세표[기록 시간외],상세표[사번키],INDEX(합계표[사번키],$W905),상세표[기록월],대상월키))</f>
        <v/>
      </c>
      <c r="G905">
        <f>IF($W905="","",IF(ABS($E905-$F905)&lt;0.01,"일치","불일치(차이 "&amp;TEXT($F905-$E905,"0.00")&amp;")"))</f>
        <v/>
      </c>
      <c r="H905">
        <f>IF($W905="","",SUMIFS(상세표[기록 시간외],상세표[사번키],INDEX(합계표[사번키],$W905),상세표[기록월],대상월키,상세표[반영월],"&lt;&gt;"&amp;대상월키))</f>
        <v/>
      </c>
      <c r="I905">
        <f>IF($W905="","",SUMIFS(상세표[기록 시간외],상세표[사번키],INDEX(합계표[사번키],$W905),상세표[기록월],"&lt;&gt;"&amp;대상월키,상세표[반영월],대상월키))</f>
        <v/>
      </c>
      <c r="J905">
        <f>IF($W905="","",SUMIFS(상세표[기록 시간외],상세표[사번키],INDEX(합계표[사번키],$W905),상세표[반영월],대상월키))</f>
        <v/>
      </c>
      <c r="K905">
        <f>IF($W905="","",IFERROR(INDEX(월별근무지표[적용 급여병원],MATCH(INDEX(합계표[사번키],$W905)&amp;"|"&amp;대상월키,월별근무지표[키],0))&amp;"",IF(COUNTIF(기관표[사번키],INDEX(합계표[사번키],$W905))+COUNTIF(월별근무지표[사번키],INDEX(합계표[사번키],$W905))&gt;0,IFERROR(INDEX(기관표[급여지급병원(기준월)],MATCH(INDEX(합계표[사번키],$W905)&amp;"|"&amp;대상월키,기관표[키],0))&amp;"","—"),"—")))</f>
        <v/>
      </c>
      <c r="L905">
        <f>IF($W905="","",IF(NOT(COUNTIF(기관표[사번키],INDEX(합계표[사번키],$W905))+COUNTIF(월별근무지표[사번키],INDEX(합계표[사번키],$W905))&gt;0),"기관명단에 없음(다른 병원으로 발송)",IF($K905="—","대상월 기관명단 없음(추가 필요)",IF($K905="서울병원","해당","비해당"))))</f>
        <v/>
      </c>
      <c r="M905">
        <f>IF($W905="","",SUMIFS(상세표[06~07시],상세표[사번키],INDEX(합계표[사번키],$W905),상세표[반영월],대상월키,상세표[반영 기관],"서울병원"))</f>
        <v/>
      </c>
      <c r="N905">
        <f>IF($W905="","",SUMIFS(상세표[07~18시],상세표[사번키],INDEX(합계표[사번키],$W905),상세표[반영월],대상월키,상세표[반영 기관],"서울병원"))</f>
        <v/>
      </c>
      <c r="O905">
        <f>IF($W905="","",SUMIFS(상세표[18~22시],상세표[사번키],INDEX(합계표[사번키],$W905),상세표[반영월],대상월키,상세표[반영 기관],"서울병원"))</f>
        <v/>
      </c>
      <c r="P905">
        <f>IF($W905="","",SUMIFS(상세표[22~06시],상세표[사번키],INDEX(합계표[사번키],$W905),상세표[반영월],대상월키,상세표[반영 기관],"서울병원"))</f>
        <v/>
      </c>
      <c r="Q905">
        <f>IF($W905="","",SUM($M905:$P905))</f>
        <v/>
      </c>
      <c r="R905">
        <f>IF($W905="","",COUNTIFS(상세표[사번키],INDEX(합계표[사번키],$W905),상세표[반영월],대상월키,상세표[야간당직],1,상세표[야간 구분],"평일"))</f>
        <v/>
      </c>
      <c r="S905" s="4">
        <f>IF($W905="","",COUNTIFS(상세표[사번키],INDEX(합계표[사번키],$W905),상세표[반영월],대상월키,상세표[야간당직],1,상세표[야간 구분],"휴일"))</f>
        <v/>
      </c>
      <c r="T905">
        <f>IF($W905="","",COUNTIFS(상세표[사번키],INDEX(합계표[사번키],$W905),상세표[반영월],대상월키,상세표[야간당직],1,상세표[야간 구분],"평일",상세표[반영 기관],"서울병원"))</f>
        <v/>
      </c>
      <c r="U905">
        <f>IF($W905="","",COUNTIFS(상세표[사번키],INDEX(합계표[사번키],$W905),상세표[반영월],대상월키,상세표[야간당직],1,상세표[야간 구분],"휴일",상세표[반영 기관],"서울병원"))</f>
        <v/>
      </c>
      <c r="V905">
        <f>IF($W905="","",IF(ISNUMBER(MATCH(INDEX(합계표[사번키],$W905)&amp;"|"&amp;대상월키,월별근무지표[키],0)),"직접 입력",IF($K905="—","—","기관명단")))</f>
        <v/>
      </c>
      <c r="W905">
        <f>IFERROR(MATCH(900,합계표[판정순번],0),"")</f>
        <v/>
      </c>
    </row>
    <row r="906">
      <c r="A906">
        <f>IF($W906="","",INDEX(합계표[사번],$W906)&amp;"")</f>
        <v/>
      </c>
      <c r="B906">
        <f>IF($W906="","",INDEX(합계표[성명],$W906)&amp;"")</f>
        <v/>
      </c>
      <c r="C906">
        <f>IF($W906="","",INDEX(합계표[부서],$W906)&amp;"")</f>
        <v/>
      </c>
      <c r="D906">
        <f>IF($W906="","",INDEX(합계표[직위(통합)],$W906)&amp;"")</f>
        <v/>
      </c>
      <c r="E906">
        <f>IF($W906="","",SUMIFS(합계표[시스템 합계],합계표[사번키],INDEX(합계표[사번키],$W906)))</f>
        <v/>
      </c>
      <c r="F906">
        <f>IF($W906="","",SUMIFS(상세표[기록 시간외],상세표[사번키],INDEX(합계표[사번키],$W906),상세표[기록월],대상월키))</f>
        <v/>
      </c>
      <c r="G906">
        <f>IF($W906="","",IF(ABS($E906-$F906)&lt;0.01,"일치","불일치(차이 "&amp;TEXT($F906-$E906,"0.00")&amp;")"))</f>
        <v/>
      </c>
      <c r="H906">
        <f>IF($W906="","",SUMIFS(상세표[기록 시간외],상세표[사번키],INDEX(합계표[사번키],$W906),상세표[기록월],대상월키,상세표[반영월],"&lt;&gt;"&amp;대상월키))</f>
        <v/>
      </c>
      <c r="I906">
        <f>IF($W906="","",SUMIFS(상세표[기록 시간외],상세표[사번키],INDEX(합계표[사번키],$W906),상세표[기록월],"&lt;&gt;"&amp;대상월키,상세표[반영월],대상월키))</f>
        <v/>
      </c>
      <c r="J906">
        <f>IF($W906="","",SUMIFS(상세표[기록 시간외],상세표[사번키],INDEX(합계표[사번키],$W906),상세표[반영월],대상월키))</f>
        <v/>
      </c>
      <c r="K906">
        <f>IF($W906="","",IFERROR(INDEX(월별근무지표[적용 급여병원],MATCH(INDEX(합계표[사번키],$W906)&amp;"|"&amp;대상월키,월별근무지표[키],0))&amp;"",IF(COUNTIF(기관표[사번키],INDEX(합계표[사번키],$W906))+COUNTIF(월별근무지표[사번키],INDEX(합계표[사번키],$W906))&gt;0,IFERROR(INDEX(기관표[급여지급병원(기준월)],MATCH(INDEX(합계표[사번키],$W906)&amp;"|"&amp;대상월키,기관표[키],0))&amp;"","—"),"—")))</f>
        <v/>
      </c>
      <c r="L906">
        <f>IF($W906="","",IF(NOT(COUNTIF(기관표[사번키],INDEX(합계표[사번키],$W906))+COUNTIF(월별근무지표[사번키],INDEX(합계표[사번키],$W906))&gt;0),"기관명단에 없음(다른 병원으로 발송)",IF($K906="—","대상월 기관명단 없음(추가 필요)",IF($K906="서울병원","해당","비해당"))))</f>
        <v/>
      </c>
      <c r="M906">
        <f>IF($W906="","",SUMIFS(상세표[06~07시],상세표[사번키],INDEX(합계표[사번키],$W906),상세표[반영월],대상월키,상세표[반영 기관],"서울병원"))</f>
        <v/>
      </c>
      <c r="N906">
        <f>IF($W906="","",SUMIFS(상세표[07~18시],상세표[사번키],INDEX(합계표[사번키],$W906),상세표[반영월],대상월키,상세표[반영 기관],"서울병원"))</f>
        <v/>
      </c>
      <c r="O906">
        <f>IF($W906="","",SUMIFS(상세표[18~22시],상세표[사번키],INDEX(합계표[사번키],$W906),상세표[반영월],대상월키,상세표[반영 기관],"서울병원"))</f>
        <v/>
      </c>
      <c r="P906">
        <f>IF($W906="","",SUMIFS(상세표[22~06시],상세표[사번키],INDEX(합계표[사번키],$W906),상세표[반영월],대상월키,상세표[반영 기관],"서울병원"))</f>
        <v/>
      </c>
      <c r="Q906">
        <f>IF($W906="","",SUM($M906:$P906))</f>
        <v/>
      </c>
      <c r="R906">
        <f>IF($W906="","",COUNTIFS(상세표[사번키],INDEX(합계표[사번키],$W906),상세표[반영월],대상월키,상세표[야간당직],1,상세표[야간 구분],"평일"))</f>
        <v/>
      </c>
      <c r="S906" s="4">
        <f>IF($W906="","",COUNTIFS(상세표[사번키],INDEX(합계표[사번키],$W906),상세표[반영월],대상월키,상세표[야간당직],1,상세표[야간 구분],"휴일"))</f>
        <v/>
      </c>
      <c r="T906">
        <f>IF($W906="","",COUNTIFS(상세표[사번키],INDEX(합계표[사번키],$W906),상세표[반영월],대상월키,상세표[야간당직],1,상세표[야간 구분],"평일",상세표[반영 기관],"서울병원"))</f>
        <v/>
      </c>
      <c r="U906">
        <f>IF($W906="","",COUNTIFS(상세표[사번키],INDEX(합계표[사번키],$W906),상세표[반영월],대상월키,상세표[야간당직],1,상세표[야간 구분],"휴일",상세표[반영 기관],"서울병원"))</f>
        <v/>
      </c>
      <c r="V906">
        <f>IF($W906="","",IF(ISNUMBER(MATCH(INDEX(합계표[사번키],$W906)&amp;"|"&amp;대상월키,월별근무지표[키],0)),"직접 입력",IF($K906="—","—","기관명단")))</f>
        <v/>
      </c>
      <c r="W906">
        <f>IFERROR(MATCH(901,합계표[판정순번],0),"")</f>
        <v/>
      </c>
    </row>
    <row r="907">
      <c r="A907">
        <f>IF($W907="","",INDEX(합계표[사번],$W907)&amp;"")</f>
        <v/>
      </c>
      <c r="B907">
        <f>IF($W907="","",INDEX(합계표[성명],$W907)&amp;"")</f>
        <v/>
      </c>
      <c r="C907">
        <f>IF($W907="","",INDEX(합계표[부서],$W907)&amp;"")</f>
        <v/>
      </c>
      <c r="D907">
        <f>IF($W907="","",INDEX(합계표[직위(통합)],$W907)&amp;"")</f>
        <v/>
      </c>
      <c r="E907">
        <f>IF($W907="","",SUMIFS(합계표[시스템 합계],합계표[사번키],INDEX(합계표[사번키],$W907)))</f>
        <v/>
      </c>
      <c r="F907">
        <f>IF($W907="","",SUMIFS(상세표[기록 시간외],상세표[사번키],INDEX(합계표[사번키],$W907),상세표[기록월],대상월키))</f>
        <v/>
      </c>
      <c r="G907">
        <f>IF($W907="","",IF(ABS($E907-$F907)&lt;0.01,"일치","불일치(차이 "&amp;TEXT($F907-$E907,"0.00")&amp;")"))</f>
        <v/>
      </c>
      <c r="H907">
        <f>IF($W907="","",SUMIFS(상세표[기록 시간외],상세표[사번키],INDEX(합계표[사번키],$W907),상세표[기록월],대상월키,상세표[반영월],"&lt;&gt;"&amp;대상월키))</f>
        <v/>
      </c>
      <c r="I907">
        <f>IF($W907="","",SUMIFS(상세표[기록 시간외],상세표[사번키],INDEX(합계표[사번키],$W907),상세표[기록월],"&lt;&gt;"&amp;대상월키,상세표[반영월],대상월키))</f>
        <v/>
      </c>
      <c r="J907">
        <f>IF($W907="","",SUMIFS(상세표[기록 시간외],상세표[사번키],INDEX(합계표[사번키],$W907),상세표[반영월],대상월키))</f>
        <v/>
      </c>
      <c r="K907">
        <f>IF($W907="","",IFERROR(INDEX(월별근무지표[적용 급여병원],MATCH(INDEX(합계표[사번키],$W907)&amp;"|"&amp;대상월키,월별근무지표[키],0))&amp;"",IF(COUNTIF(기관표[사번키],INDEX(합계표[사번키],$W907))+COUNTIF(월별근무지표[사번키],INDEX(합계표[사번키],$W907))&gt;0,IFERROR(INDEX(기관표[급여지급병원(기준월)],MATCH(INDEX(합계표[사번키],$W907)&amp;"|"&amp;대상월키,기관표[키],0))&amp;"","—"),"—")))</f>
        <v/>
      </c>
      <c r="L907">
        <f>IF($W907="","",IF(NOT(COUNTIF(기관표[사번키],INDEX(합계표[사번키],$W907))+COUNTIF(월별근무지표[사번키],INDEX(합계표[사번키],$W907))&gt;0),"기관명단에 없음(다른 병원으로 발송)",IF($K907="—","대상월 기관명단 없음(추가 필요)",IF($K907="서울병원","해당","비해당"))))</f>
        <v/>
      </c>
      <c r="M907">
        <f>IF($W907="","",SUMIFS(상세표[06~07시],상세표[사번키],INDEX(합계표[사번키],$W907),상세표[반영월],대상월키,상세표[반영 기관],"서울병원"))</f>
        <v/>
      </c>
      <c r="N907">
        <f>IF($W907="","",SUMIFS(상세표[07~18시],상세표[사번키],INDEX(합계표[사번키],$W907),상세표[반영월],대상월키,상세표[반영 기관],"서울병원"))</f>
        <v/>
      </c>
      <c r="O907">
        <f>IF($W907="","",SUMIFS(상세표[18~22시],상세표[사번키],INDEX(합계표[사번키],$W907),상세표[반영월],대상월키,상세표[반영 기관],"서울병원"))</f>
        <v/>
      </c>
      <c r="P907">
        <f>IF($W907="","",SUMIFS(상세표[22~06시],상세표[사번키],INDEX(합계표[사번키],$W907),상세표[반영월],대상월키,상세표[반영 기관],"서울병원"))</f>
        <v/>
      </c>
      <c r="Q907">
        <f>IF($W907="","",SUM($M907:$P907))</f>
        <v/>
      </c>
      <c r="R907">
        <f>IF($W907="","",COUNTIFS(상세표[사번키],INDEX(합계표[사번키],$W907),상세표[반영월],대상월키,상세표[야간당직],1,상세표[야간 구분],"평일"))</f>
        <v/>
      </c>
      <c r="S907" s="4">
        <f>IF($W907="","",COUNTIFS(상세표[사번키],INDEX(합계표[사번키],$W907),상세표[반영월],대상월키,상세표[야간당직],1,상세표[야간 구분],"휴일"))</f>
        <v/>
      </c>
      <c r="T907">
        <f>IF($W907="","",COUNTIFS(상세표[사번키],INDEX(합계표[사번키],$W907),상세표[반영월],대상월키,상세표[야간당직],1,상세표[야간 구분],"평일",상세표[반영 기관],"서울병원"))</f>
        <v/>
      </c>
      <c r="U907">
        <f>IF($W907="","",COUNTIFS(상세표[사번키],INDEX(합계표[사번키],$W907),상세표[반영월],대상월키,상세표[야간당직],1,상세표[야간 구분],"휴일",상세표[반영 기관],"서울병원"))</f>
        <v/>
      </c>
      <c r="V907">
        <f>IF($W907="","",IF(ISNUMBER(MATCH(INDEX(합계표[사번키],$W907)&amp;"|"&amp;대상월키,월별근무지표[키],0)),"직접 입력",IF($K907="—","—","기관명단")))</f>
        <v/>
      </c>
      <c r="W907">
        <f>IFERROR(MATCH(902,합계표[판정순번],0),"")</f>
        <v/>
      </c>
    </row>
    <row r="908">
      <c r="A908">
        <f>IF($W908="","",INDEX(합계표[사번],$W908)&amp;"")</f>
        <v/>
      </c>
      <c r="B908">
        <f>IF($W908="","",INDEX(합계표[성명],$W908)&amp;"")</f>
        <v/>
      </c>
      <c r="C908">
        <f>IF($W908="","",INDEX(합계표[부서],$W908)&amp;"")</f>
        <v/>
      </c>
      <c r="D908">
        <f>IF($W908="","",INDEX(합계표[직위(통합)],$W908)&amp;"")</f>
        <v/>
      </c>
      <c r="E908">
        <f>IF($W908="","",SUMIFS(합계표[시스템 합계],합계표[사번키],INDEX(합계표[사번키],$W908)))</f>
        <v/>
      </c>
      <c r="F908">
        <f>IF($W908="","",SUMIFS(상세표[기록 시간외],상세표[사번키],INDEX(합계표[사번키],$W908),상세표[기록월],대상월키))</f>
        <v/>
      </c>
      <c r="G908">
        <f>IF($W908="","",IF(ABS($E908-$F908)&lt;0.01,"일치","불일치(차이 "&amp;TEXT($F908-$E908,"0.00")&amp;")"))</f>
        <v/>
      </c>
      <c r="H908">
        <f>IF($W908="","",SUMIFS(상세표[기록 시간외],상세표[사번키],INDEX(합계표[사번키],$W908),상세표[기록월],대상월키,상세표[반영월],"&lt;&gt;"&amp;대상월키))</f>
        <v/>
      </c>
      <c r="I908">
        <f>IF($W908="","",SUMIFS(상세표[기록 시간외],상세표[사번키],INDEX(합계표[사번키],$W908),상세표[기록월],"&lt;&gt;"&amp;대상월키,상세표[반영월],대상월키))</f>
        <v/>
      </c>
      <c r="J908">
        <f>IF($W908="","",SUMIFS(상세표[기록 시간외],상세표[사번키],INDEX(합계표[사번키],$W908),상세표[반영월],대상월키))</f>
        <v/>
      </c>
      <c r="K908">
        <f>IF($W908="","",IFERROR(INDEX(월별근무지표[적용 급여병원],MATCH(INDEX(합계표[사번키],$W908)&amp;"|"&amp;대상월키,월별근무지표[키],0))&amp;"",IF(COUNTIF(기관표[사번키],INDEX(합계표[사번키],$W908))+COUNTIF(월별근무지표[사번키],INDEX(합계표[사번키],$W908))&gt;0,IFERROR(INDEX(기관표[급여지급병원(기준월)],MATCH(INDEX(합계표[사번키],$W908)&amp;"|"&amp;대상월키,기관표[키],0))&amp;"","—"),"—")))</f>
        <v/>
      </c>
      <c r="L908">
        <f>IF($W908="","",IF(NOT(COUNTIF(기관표[사번키],INDEX(합계표[사번키],$W908))+COUNTIF(월별근무지표[사번키],INDEX(합계표[사번키],$W908))&gt;0),"기관명단에 없음(다른 병원으로 발송)",IF($K908="—","대상월 기관명단 없음(추가 필요)",IF($K908="서울병원","해당","비해당"))))</f>
        <v/>
      </c>
      <c r="M908">
        <f>IF($W908="","",SUMIFS(상세표[06~07시],상세표[사번키],INDEX(합계표[사번키],$W908),상세표[반영월],대상월키,상세표[반영 기관],"서울병원"))</f>
        <v/>
      </c>
      <c r="N908">
        <f>IF($W908="","",SUMIFS(상세표[07~18시],상세표[사번키],INDEX(합계표[사번키],$W908),상세표[반영월],대상월키,상세표[반영 기관],"서울병원"))</f>
        <v/>
      </c>
      <c r="O908">
        <f>IF($W908="","",SUMIFS(상세표[18~22시],상세표[사번키],INDEX(합계표[사번키],$W908),상세표[반영월],대상월키,상세표[반영 기관],"서울병원"))</f>
        <v/>
      </c>
      <c r="P908">
        <f>IF($W908="","",SUMIFS(상세표[22~06시],상세표[사번키],INDEX(합계표[사번키],$W908),상세표[반영월],대상월키,상세표[반영 기관],"서울병원"))</f>
        <v/>
      </c>
      <c r="Q908">
        <f>IF($W908="","",SUM($M908:$P908))</f>
        <v/>
      </c>
      <c r="R908">
        <f>IF($W908="","",COUNTIFS(상세표[사번키],INDEX(합계표[사번키],$W908),상세표[반영월],대상월키,상세표[야간당직],1,상세표[야간 구분],"평일"))</f>
        <v/>
      </c>
      <c r="S908" s="4">
        <f>IF($W908="","",COUNTIFS(상세표[사번키],INDEX(합계표[사번키],$W908),상세표[반영월],대상월키,상세표[야간당직],1,상세표[야간 구분],"휴일"))</f>
        <v/>
      </c>
      <c r="T908">
        <f>IF($W908="","",COUNTIFS(상세표[사번키],INDEX(합계표[사번키],$W908),상세표[반영월],대상월키,상세표[야간당직],1,상세표[야간 구분],"평일",상세표[반영 기관],"서울병원"))</f>
        <v/>
      </c>
      <c r="U908">
        <f>IF($W908="","",COUNTIFS(상세표[사번키],INDEX(합계표[사번키],$W908),상세표[반영월],대상월키,상세표[야간당직],1,상세표[야간 구분],"휴일",상세표[반영 기관],"서울병원"))</f>
        <v/>
      </c>
      <c r="V908">
        <f>IF($W908="","",IF(ISNUMBER(MATCH(INDEX(합계표[사번키],$W908)&amp;"|"&amp;대상월키,월별근무지표[키],0)),"직접 입력",IF($K908="—","—","기관명단")))</f>
        <v/>
      </c>
      <c r="W908">
        <f>IFERROR(MATCH(903,합계표[판정순번],0),"")</f>
        <v/>
      </c>
    </row>
    <row r="909">
      <c r="A909">
        <f>IF($W909="","",INDEX(합계표[사번],$W909)&amp;"")</f>
        <v/>
      </c>
      <c r="B909">
        <f>IF($W909="","",INDEX(합계표[성명],$W909)&amp;"")</f>
        <v/>
      </c>
      <c r="C909">
        <f>IF($W909="","",INDEX(합계표[부서],$W909)&amp;"")</f>
        <v/>
      </c>
      <c r="D909">
        <f>IF($W909="","",INDEX(합계표[직위(통합)],$W909)&amp;"")</f>
        <v/>
      </c>
      <c r="E909">
        <f>IF($W909="","",SUMIFS(합계표[시스템 합계],합계표[사번키],INDEX(합계표[사번키],$W909)))</f>
        <v/>
      </c>
      <c r="F909">
        <f>IF($W909="","",SUMIFS(상세표[기록 시간외],상세표[사번키],INDEX(합계표[사번키],$W909),상세표[기록월],대상월키))</f>
        <v/>
      </c>
      <c r="G909">
        <f>IF($W909="","",IF(ABS($E909-$F909)&lt;0.01,"일치","불일치(차이 "&amp;TEXT($F909-$E909,"0.00")&amp;")"))</f>
        <v/>
      </c>
      <c r="H909">
        <f>IF($W909="","",SUMIFS(상세표[기록 시간외],상세표[사번키],INDEX(합계표[사번키],$W909),상세표[기록월],대상월키,상세표[반영월],"&lt;&gt;"&amp;대상월키))</f>
        <v/>
      </c>
      <c r="I909">
        <f>IF($W909="","",SUMIFS(상세표[기록 시간외],상세표[사번키],INDEX(합계표[사번키],$W909),상세표[기록월],"&lt;&gt;"&amp;대상월키,상세표[반영월],대상월키))</f>
        <v/>
      </c>
      <c r="J909">
        <f>IF($W909="","",SUMIFS(상세표[기록 시간외],상세표[사번키],INDEX(합계표[사번키],$W909),상세표[반영월],대상월키))</f>
        <v/>
      </c>
      <c r="K909">
        <f>IF($W909="","",IFERROR(INDEX(월별근무지표[적용 급여병원],MATCH(INDEX(합계표[사번키],$W909)&amp;"|"&amp;대상월키,월별근무지표[키],0))&amp;"",IF(COUNTIF(기관표[사번키],INDEX(합계표[사번키],$W909))+COUNTIF(월별근무지표[사번키],INDEX(합계표[사번키],$W909))&gt;0,IFERROR(INDEX(기관표[급여지급병원(기준월)],MATCH(INDEX(합계표[사번키],$W909)&amp;"|"&amp;대상월키,기관표[키],0))&amp;"","—"),"—")))</f>
        <v/>
      </c>
      <c r="L909">
        <f>IF($W909="","",IF(NOT(COUNTIF(기관표[사번키],INDEX(합계표[사번키],$W909))+COUNTIF(월별근무지표[사번키],INDEX(합계표[사번키],$W909))&gt;0),"기관명단에 없음(다른 병원으로 발송)",IF($K909="—","대상월 기관명단 없음(추가 필요)",IF($K909="서울병원","해당","비해당"))))</f>
        <v/>
      </c>
      <c r="M909">
        <f>IF($W909="","",SUMIFS(상세표[06~07시],상세표[사번키],INDEX(합계표[사번키],$W909),상세표[반영월],대상월키,상세표[반영 기관],"서울병원"))</f>
        <v/>
      </c>
      <c r="N909">
        <f>IF($W909="","",SUMIFS(상세표[07~18시],상세표[사번키],INDEX(합계표[사번키],$W909),상세표[반영월],대상월키,상세표[반영 기관],"서울병원"))</f>
        <v/>
      </c>
      <c r="O909">
        <f>IF($W909="","",SUMIFS(상세표[18~22시],상세표[사번키],INDEX(합계표[사번키],$W909),상세표[반영월],대상월키,상세표[반영 기관],"서울병원"))</f>
        <v/>
      </c>
      <c r="P909">
        <f>IF($W909="","",SUMIFS(상세표[22~06시],상세표[사번키],INDEX(합계표[사번키],$W909),상세표[반영월],대상월키,상세표[반영 기관],"서울병원"))</f>
        <v/>
      </c>
      <c r="Q909">
        <f>IF($W909="","",SUM($M909:$P909))</f>
        <v/>
      </c>
      <c r="R909">
        <f>IF($W909="","",COUNTIFS(상세표[사번키],INDEX(합계표[사번키],$W909),상세표[반영월],대상월키,상세표[야간당직],1,상세표[야간 구분],"평일"))</f>
        <v/>
      </c>
      <c r="S909" s="4">
        <f>IF($W909="","",COUNTIFS(상세표[사번키],INDEX(합계표[사번키],$W909),상세표[반영월],대상월키,상세표[야간당직],1,상세표[야간 구분],"휴일"))</f>
        <v/>
      </c>
      <c r="T909">
        <f>IF($W909="","",COUNTIFS(상세표[사번키],INDEX(합계표[사번키],$W909),상세표[반영월],대상월키,상세표[야간당직],1,상세표[야간 구분],"평일",상세표[반영 기관],"서울병원"))</f>
        <v/>
      </c>
      <c r="U909">
        <f>IF($W909="","",COUNTIFS(상세표[사번키],INDEX(합계표[사번키],$W909),상세표[반영월],대상월키,상세표[야간당직],1,상세표[야간 구분],"휴일",상세표[반영 기관],"서울병원"))</f>
        <v/>
      </c>
      <c r="V909">
        <f>IF($W909="","",IF(ISNUMBER(MATCH(INDEX(합계표[사번키],$W909)&amp;"|"&amp;대상월키,월별근무지표[키],0)),"직접 입력",IF($K909="—","—","기관명단")))</f>
        <v/>
      </c>
      <c r="W909">
        <f>IFERROR(MATCH(904,합계표[판정순번],0),"")</f>
        <v/>
      </c>
    </row>
    <row r="910">
      <c r="A910">
        <f>IF($W910="","",INDEX(합계표[사번],$W910)&amp;"")</f>
        <v/>
      </c>
      <c r="B910">
        <f>IF($W910="","",INDEX(합계표[성명],$W910)&amp;"")</f>
        <v/>
      </c>
      <c r="C910">
        <f>IF($W910="","",INDEX(합계표[부서],$W910)&amp;"")</f>
        <v/>
      </c>
      <c r="D910">
        <f>IF($W910="","",INDEX(합계표[직위(통합)],$W910)&amp;"")</f>
        <v/>
      </c>
      <c r="E910">
        <f>IF($W910="","",SUMIFS(합계표[시스템 합계],합계표[사번키],INDEX(합계표[사번키],$W910)))</f>
        <v/>
      </c>
      <c r="F910">
        <f>IF($W910="","",SUMIFS(상세표[기록 시간외],상세표[사번키],INDEX(합계표[사번키],$W910),상세표[기록월],대상월키))</f>
        <v/>
      </c>
      <c r="G910">
        <f>IF($W910="","",IF(ABS($E910-$F910)&lt;0.01,"일치","불일치(차이 "&amp;TEXT($F910-$E910,"0.00")&amp;")"))</f>
        <v/>
      </c>
      <c r="H910">
        <f>IF($W910="","",SUMIFS(상세표[기록 시간외],상세표[사번키],INDEX(합계표[사번키],$W910),상세표[기록월],대상월키,상세표[반영월],"&lt;&gt;"&amp;대상월키))</f>
        <v/>
      </c>
      <c r="I910">
        <f>IF($W910="","",SUMIFS(상세표[기록 시간외],상세표[사번키],INDEX(합계표[사번키],$W910),상세표[기록월],"&lt;&gt;"&amp;대상월키,상세표[반영월],대상월키))</f>
        <v/>
      </c>
      <c r="J910">
        <f>IF($W910="","",SUMIFS(상세표[기록 시간외],상세표[사번키],INDEX(합계표[사번키],$W910),상세표[반영월],대상월키))</f>
        <v/>
      </c>
      <c r="K910">
        <f>IF($W910="","",IFERROR(INDEX(월별근무지표[적용 급여병원],MATCH(INDEX(합계표[사번키],$W910)&amp;"|"&amp;대상월키,월별근무지표[키],0))&amp;"",IF(COUNTIF(기관표[사번키],INDEX(합계표[사번키],$W910))+COUNTIF(월별근무지표[사번키],INDEX(합계표[사번키],$W910))&gt;0,IFERROR(INDEX(기관표[급여지급병원(기준월)],MATCH(INDEX(합계표[사번키],$W910)&amp;"|"&amp;대상월키,기관표[키],0))&amp;"","—"),"—")))</f>
        <v/>
      </c>
      <c r="L910">
        <f>IF($W910="","",IF(NOT(COUNTIF(기관표[사번키],INDEX(합계표[사번키],$W910))+COUNTIF(월별근무지표[사번키],INDEX(합계표[사번키],$W910))&gt;0),"기관명단에 없음(다른 병원으로 발송)",IF($K910="—","대상월 기관명단 없음(추가 필요)",IF($K910="서울병원","해당","비해당"))))</f>
        <v/>
      </c>
      <c r="M910">
        <f>IF($W910="","",SUMIFS(상세표[06~07시],상세표[사번키],INDEX(합계표[사번키],$W910),상세표[반영월],대상월키,상세표[반영 기관],"서울병원"))</f>
        <v/>
      </c>
      <c r="N910">
        <f>IF($W910="","",SUMIFS(상세표[07~18시],상세표[사번키],INDEX(합계표[사번키],$W910),상세표[반영월],대상월키,상세표[반영 기관],"서울병원"))</f>
        <v/>
      </c>
      <c r="O910">
        <f>IF($W910="","",SUMIFS(상세표[18~22시],상세표[사번키],INDEX(합계표[사번키],$W910),상세표[반영월],대상월키,상세표[반영 기관],"서울병원"))</f>
        <v/>
      </c>
      <c r="P910">
        <f>IF($W910="","",SUMIFS(상세표[22~06시],상세표[사번키],INDEX(합계표[사번키],$W910),상세표[반영월],대상월키,상세표[반영 기관],"서울병원"))</f>
        <v/>
      </c>
      <c r="Q910">
        <f>IF($W910="","",SUM($M910:$P910))</f>
        <v/>
      </c>
      <c r="R910">
        <f>IF($W910="","",COUNTIFS(상세표[사번키],INDEX(합계표[사번키],$W910),상세표[반영월],대상월키,상세표[야간당직],1,상세표[야간 구분],"평일"))</f>
        <v/>
      </c>
      <c r="S910" s="4">
        <f>IF($W910="","",COUNTIFS(상세표[사번키],INDEX(합계표[사번키],$W910),상세표[반영월],대상월키,상세표[야간당직],1,상세표[야간 구분],"휴일"))</f>
        <v/>
      </c>
      <c r="T910">
        <f>IF($W910="","",COUNTIFS(상세표[사번키],INDEX(합계표[사번키],$W910),상세표[반영월],대상월키,상세표[야간당직],1,상세표[야간 구분],"평일",상세표[반영 기관],"서울병원"))</f>
        <v/>
      </c>
      <c r="U910">
        <f>IF($W910="","",COUNTIFS(상세표[사번키],INDEX(합계표[사번키],$W910),상세표[반영월],대상월키,상세표[야간당직],1,상세표[야간 구분],"휴일",상세표[반영 기관],"서울병원"))</f>
        <v/>
      </c>
      <c r="V910">
        <f>IF($W910="","",IF(ISNUMBER(MATCH(INDEX(합계표[사번키],$W910)&amp;"|"&amp;대상월키,월별근무지표[키],0)),"직접 입력",IF($K910="—","—","기관명단")))</f>
        <v/>
      </c>
      <c r="W910">
        <f>IFERROR(MATCH(905,합계표[판정순번],0),"")</f>
        <v/>
      </c>
    </row>
    <row r="911">
      <c r="A911">
        <f>IF($W911="","",INDEX(합계표[사번],$W911)&amp;"")</f>
        <v/>
      </c>
      <c r="B911">
        <f>IF($W911="","",INDEX(합계표[성명],$W911)&amp;"")</f>
        <v/>
      </c>
      <c r="C911">
        <f>IF($W911="","",INDEX(합계표[부서],$W911)&amp;"")</f>
        <v/>
      </c>
      <c r="D911">
        <f>IF($W911="","",INDEX(합계표[직위(통합)],$W911)&amp;"")</f>
        <v/>
      </c>
      <c r="E911">
        <f>IF($W911="","",SUMIFS(합계표[시스템 합계],합계표[사번키],INDEX(합계표[사번키],$W911)))</f>
        <v/>
      </c>
      <c r="F911">
        <f>IF($W911="","",SUMIFS(상세표[기록 시간외],상세표[사번키],INDEX(합계표[사번키],$W911),상세표[기록월],대상월키))</f>
        <v/>
      </c>
      <c r="G911">
        <f>IF($W911="","",IF(ABS($E911-$F911)&lt;0.01,"일치","불일치(차이 "&amp;TEXT($F911-$E911,"0.00")&amp;")"))</f>
        <v/>
      </c>
      <c r="H911">
        <f>IF($W911="","",SUMIFS(상세표[기록 시간외],상세표[사번키],INDEX(합계표[사번키],$W911),상세표[기록월],대상월키,상세표[반영월],"&lt;&gt;"&amp;대상월키))</f>
        <v/>
      </c>
      <c r="I911">
        <f>IF($W911="","",SUMIFS(상세표[기록 시간외],상세표[사번키],INDEX(합계표[사번키],$W911),상세표[기록월],"&lt;&gt;"&amp;대상월키,상세표[반영월],대상월키))</f>
        <v/>
      </c>
      <c r="J911">
        <f>IF($W911="","",SUMIFS(상세표[기록 시간외],상세표[사번키],INDEX(합계표[사번키],$W911),상세표[반영월],대상월키))</f>
        <v/>
      </c>
      <c r="K911">
        <f>IF($W911="","",IFERROR(INDEX(월별근무지표[적용 급여병원],MATCH(INDEX(합계표[사번키],$W911)&amp;"|"&amp;대상월키,월별근무지표[키],0))&amp;"",IF(COUNTIF(기관표[사번키],INDEX(합계표[사번키],$W911))+COUNTIF(월별근무지표[사번키],INDEX(합계표[사번키],$W911))&gt;0,IFERROR(INDEX(기관표[급여지급병원(기준월)],MATCH(INDEX(합계표[사번키],$W911)&amp;"|"&amp;대상월키,기관표[키],0))&amp;"","—"),"—")))</f>
        <v/>
      </c>
      <c r="L911">
        <f>IF($W911="","",IF(NOT(COUNTIF(기관표[사번키],INDEX(합계표[사번키],$W911))+COUNTIF(월별근무지표[사번키],INDEX(합계표[사번키],$W911))&gt;0),"기관명단에 없음(다른 병원으로 발송)",IF($K911="—","대상월 기관명단 없음(추가 필요)",IF($K911="서울병원","해당","비해당"))))</f>
        <v/>
      </c>
      <c r="M911">
        <f>IF($W911="","",SUMIFS(상세표[06~07시],상세표[사번키],INDEX(합계표[사번키],$W911),상세표[반영월],대상월키,상세표[반영 기관],"서울병원"))</f>
        <v/>
      </c>
      <c r="N911">
        <f>IF($W911="","",SUMIFS(상세표[07~18시],상세표[사번키],INDEX(합계표[사번키],$W911),상세표[반영월],대상월키,상세표[반영 기관],"서울병원"))</f>
        <v/>
      </c>
      <c r="O911">
        <f>IF($W911="","",SUMIFS(상세표[18~22시],상세표[사번키],INDEX(합계표[사번키],$W911),상세표[반영월],대상월키,상세표[반영 기관],"서울병원"))</f>
        <v/>
      </c>
      <c r="P911">
        <f>IF($W911="","",SUMIFS(상세표[22~06시],상세표[사번키],INDEX(합계표[사번키],$W911),상세표[반영월],대상월키,상세표[반영 기관],"서울병원"))</f>
        <v/>
      </c>
      <c r="Q911">
        <f>IF($W911="","",SUM($M911:$P911))</f>
        <v/>
      </c>
      <c r="R911">
        <f>IF($W911="","",COUNTIFS(상세표[사번키],INDEX(합계표[사번키],$W911),상세표[반영월],대상월키,상세표[야간당직],1,상세표[야간 구분],"평일"))</f>
        <v/>
      </c>
      <c r="S911" s="4">
        <f>IF($W911="","",COUNTIFS(상세표[사번키],INDEX(합계표[사번키],$W911),상세표[반영월],대상월키,상세표[야간당직],1,상세표[야간 구분],"휴일"))</f>
        <v/>
      </c>
      <c r="T911">
        <f>IF($W911="","",COUNTIFS(상세표[사번키],INDEX(합계표[사번키],$W911),상세표[반영월],대상월키,상세표[야간당직],1,상세표[야간 구분],"평일",상세표[반영 기관],"서울병원"))</f>
        <v/>
      </c>
      <c r="U911">
        <f>IF($W911="","",COUNTIFS(상세표[사번키],INDEX(합계표[사번키],$W911),상세표[반영월],대상월키,상세표[야간당직],1,상세표[야간 구분],"휴일",상세표[반영 기관],"서울병원"))</f>
        <v/>
      </c>
      <c r="V911">
        <f>IF($W911="","",IF(ISNUMBER(MATCH(INDEX(합계표[사번키],$W911)&amp;"|"&amp;대상월키,월별근무지표[키],0)),"직접 입력",IF($K911="—","—","기관명단")))</f>
        <v/>
      </c>
      <c r="W911">
        <f>IFERROR(MATCH(906,합계표[판정순번],0),"")</f>
        <v/>
      </c>
    </row>
    <row r="912">
      <c r="A912">
        <f>IF($W912="","",INDEX(합계표[사번],$W912)&amp;"")</f>
        <v/>
      </c>
      <c r="B912">
        <f>IF($W912="","",INDEX(합계표[성명],$W912)&amp;"")</f>
        <v/>
      </c>
      <c r="C912">
        <f>IF($W912="","",INDEX(합계표[부서],$W912)&amp;"")</f>
        <v/>
      </c>
      <c r="D912">
        <f>IF($W912="","",INDEX(합계표[직위(통합)],$W912)&amp;"")</f>
        <v/>
      </c>
      <c r="E912">
        <f>IF($W912="","",SUMIFS(합계표[시스템 합계],합계표[사번키],INDEX(합계표[사번키],$W912)))</f>
        <v/>
      </c>
      <c r="F912">
        <f>IF($W912="","",SUMIFS(상세표[기록 시간외],상세표[사번키],INDEX(합계표[사번키],$W912),상세표[기록월],대상월키))</f>
        <v/>
      </c>
      <c r="G912">
        <f>IF($W912="","",IF(ABS($E912-$F912)&lt;0.01,"일치","불일치(차이 "&amp;TEXT($F912-$E912,"0.00")&amp;")"))</f>
        <v/>
      </c>
      <c r="H912">
        <f>IF($W912="","",SUMIFS(상세표[기록 시간외],상세표[사번키],INDEX(합계표[사번키],$W912),상세표[기록월],대상월키,상세표[반영월],"&lt;&gt;"&amp;대상월키))</f>
        <v/>
      </c>
      <c r="I912">
        <f>IF($W912="","",SUMIFS(상세표[기록 시간외],상세표[사번키],INDEX(합계표[사번키],$W912),상세표[기록월],"&lt;&gt;"&amp;대상월키,상세표[반영월],대상월키))</f>
        <v/>
      </c>
      <c r="J912">
        <f>IF($W912="","",SUMIFS(상세표[기록 시간외],상세표[사번키],INDEX(합계표[사번키],$W912),상세표[반영월],대상월키))</f>
        <v/>
      </c>
      <c r="K912">
        <f>IF($W912="","",IFERROR(INDEX(월별근무지표[적용 급여병원],MATCH(INDEX(합계표[사번키],$W912)&amp;"|"&amp;대상월키,월별근무지표[키],0))&amp;"",IF(COUNTIF(기관표[사번키],INDEX(합계표[사번키],$W912))+COUNTIF(월별근무지표[사번키],INDEX(합계표[사번키],$W912))&gt;0,IFERROR(INDEX(기관표[급여지급병원(기준월)],MATCH(INDEX(합계표[사번키],$W912)&amp;"|"&amp;대상월키,기관표[키],0))&amp;"","—"),"—")))</f>
        <v/>
      </c>
      <c r="L912">
        <f>IF($W912="","",IF(NOT(COUNTIF(기관표[사번키],INDEX(합계표[사번키],$W912))+COUNTIF(월별근무지표[사번키],INDEX(합계표[사번키],$W912))&gt;0),"기관명단에 없음(다른 병원으로 발송)",IF($K912="—","대상월 기관명단 없음(추가 필요)",IF($K912="서울병원","해당","비해당"))))</f>
        <v/>
      </c>
      <c r="M912">
        <f>IF($W912="","",SUMIFS(상세표[06~07시],상세표[사번키],INDEX(합계표[사번키],$W912),상세표[반영월],대상월키,상세표[반영 기관],"서울병원"))</f>
        <v/>
      </c>
      <c r="N912">
        <f>IF($W912="","",SUMIFS(상세표[07~18시],상세표[사번키],INDEX(합계표[사번키],$W912),상세표[반영월],대상월키,상세표[반영 기관],"서울병원"))</f>
        <v/>
      </c>
      <c r="O912">
        <f>IF($W912="","",SUMIFS(상세표[18~22시],상세표[사번키],INDEX(합계표[사번키],$W912),상세표[반영월],대상월키,상세표[반영 기관],"서울병원"))</f>
        <v/>
      </c>
      <c r="P912">
        <f>IF($W912="","",SUMIFS(상세표[22~06시],상세표[사번키],INDEX(합계표[사번키],$W912),상세표[반영월],대상월키,상세표[반영 기관],"서울병원"))</f>
        <v/>
      </c>
      <c r="Q912">
        <f>IF($W912="","",SUM($M912:$P912))</f>
        <v/>
      </c>
      <c r="R912">
        <f>IF($W912="","",COUNTIFS(상세표[사번키],INDEX(합계표[사번키],$W912),상세표[반영월],대상월키,상세표[야간당직],1,상세표[야간 구분],"평일"))</f>
        <v/>
      </c>
      <c r="S912" s="4">
        <f>IF($W912="","",COUNTIFS(상세표[사번키],INDEX(합계표[사번키],$W912),상세표[반영월],대상월키,상세표[야간당직],1,상세표[야간 구분],"휴일"))</f>
        <v/>
      </c>
      <c r="T912">
        <f>IF($W912="","",COUNTIFS(상세표[사번키],INDEX(합계표[사번키],$W912),상세표[반영월],대상월키,상세표[야간당직],1,상세표[야간 구분],"평일",상세표[반영 기관],"서울병원"))</f>
        <v/>
      </c>
      <c r="U912">
        <f>IF($W912="","",COUNTIFS(상세표[사번키],INDEX(합계표[사번키],$W912),상세표[반영월],대상월키,상세표[야간당직],1,상세표[야간 구분],"휴일",상세표[반영 기관],"서울병원"))</f>
        <v/>
      </c>
      <c r="V912">
        <f>IF($W912="","",IF(ISNUMBER(MATCH(INDEX(합계표[사번키],$W912)&amp;"|"&amp;대상월키,월별근무지표[키],0)),"직접 입력",IF($K912="—","—","기관명단")))</f>
        <v/>
      </c>
      <c r="W912">
        <f>IFERROR(MATCH(907,합계표[판정순번],0),"")</f>
        <v/>
      </c>
    </row>
    <row r="913">
      <c r="A913">
        <f>IF($W913="","",INDEX(합계표[사번],$W913)&amp;"")</f>
        <v/>
      </c>
      <c r="B913">
        <f>IF($W913="","",INDEX(합계표[성명],$W913)&amp;"")</f>
        <v/>
      </c>
      <c r="C913">
        <f>IF($W913="","",INDEX(합계표[부서],$W913)&amp;"")</f>
        <v/>
      </c>
      <c r="D913">
        <f>IF($W913="","",INDEX(합계표[직위(통합)],$W913)&amp;"")</f>
        <v/>
      </c>
      <c r="E913">
        <f>IF($W913="","",SUMIFS(합계표[시스템 합계],합계표[사번키],INDEX(합계표[사번키],$W913)))</f>
        <v/>
      </c>
      <c r="F913">
        <f>IF($W913="","",SUMIFS(상세표[기록 시간외],상세표[사번키],INDEX(합계표[사번키],$W913),상세표[기록월],대상월키))</f>
        <v/>
      </c>
      <c r="G913">
        <f>IF($W913="","",IF(ABS($E913-$F913)&lt;0.01,"일치","불일치(차이 "&amp;TEXT($F913-$E913,"0.00")&amp;")"))</f>
        <v/>
      </c>
      <c r="H913">
        <f>IF($W913="","",SUMIFS(상세표[기록 시간외],상세표[사번키],INDEX(합계표[사번키],$W913),상세표[기록월],대상월키,상세표[반영월],"&lt;&gt;"&amp;대상월키))</f>
        <v/>
      </c>
      <c r="I913">
        <f>IF($W913="","",SUMIFS(상세표[기록 시간외],상세표[사번키],INDEX(합계표[사번키],$W913),상세표[기록월],"&lt;&gt;"&amp;대상월키,상세표[반영월],대상월키))</f>
        <v/>
      </c>
      <c r="J913">
        <f>IF($W913="","",SUMIFS(상세표[기록 시간외],상세표[사번키],INDEX(합계표[사번키],$W913),상세표[반영월],대상월키))</f>
        <v/>
      </c>
      <c r="K913">
        <f>IF($W913="","",IFERROR(INDEX(월별근무지표[적용 급여병원],MATCH(INDEX(합계표[사번키],$W913)&amp;"|"&amp;대상월키,월별근무지표[키],0))&amp;"",IF(COUNTIF(기관표[사번키],INDEX(합계표[사번키],$W913))+COUNTIF(월별근무지표[사번키],INDEX(합계표[사번키],$W913))&gt;0,IFERROR(INDEX(기관표[급여지급병원(기준월)],MATCH(INDEX(합계표[사번키],$W913)&amp;"|"&amp;대상월키,기관표[키],0))&amp;"","—"),"—")))</f>
        <v/>
      </c>
      <c r="L913">
        <f>IF($W913="","",IF(NOT(COUNTIF(기관표[사번키],INDEX(합계표[사번키],$W913))+COUNTIF(월별근무지표[사번키],INDEX(합계표[사번키],$W913))&gt;0),"기관명단에 없음(다른 병원으로 발송)",IF($K913="—","대상월 기관명단 없음(추가 필요)",IF($K913="서울병원","해당","비해당"))))</f>
        <v/>
      </c>
      <c r="M913">
        <f>IF($W913="","",SUMIFS(상세표[06~07시],상세표[사번키],INDEX(합계표[사번키],$W913),상세표[반영월],대상월키,상세표[반영 기관],"서울병원"))</f>
        <v/>
      </c>
      <c r="N913">
        <f>IF($W913="","",SUMIFS(상세표[07~18시],상세표[사번키],INDEX(합계표[사번키],$W913),상세표[반영월],대상월키,상세표[반영 기관],"서울병원"))</f>
        <v/>
      </c>
      <c r="O913">
        <f>IF($W913="","",SUMIFS(상세표[18~22시],상세표[사번키],INDEX(합계표[사번키],$W913),상세표[반영월],대상월키,상세표[반영 기관],"서울병원"))</f>
        <v/>
      </c>
      <c r="P913">
        <f>IF($W913="","",SUMIFS(상세표[22~06시],상세표[사번키],INDEX(합계표[사번키],$W913),상세표[반영월],대상월키,상세표[반영 기관],"서울병원"))</f>
        <v/>
      </c>
      <c r="Q913">
        <f>IF($W913="","",SUM($M913:$P913))</f>
        <v/>
      </c>
      <c r="R913">
        <f>IF($W913="","",COUNTIFS(상세표[사번키],INDEX(합계표[사번키],$W913),상세표[반영월],대상월키,상세표[야간당직],1,상세표[야간 구분],"평일"))</f>
        <v/>
      </c>
      <c r="S913" s="4">
        <f>IF($W913="","",COUNTIFS(상세표[사번키],INDEX(합계표[사번키],$W913),상세표[반영월],대상월키,상세표[야간당직],1,상세표[야간 구분],"휴일"))</f>
        <v/>
      </c>
      <c r="T913">
        <f>IF($W913="","",COUNTIFS(상세표[사번키],INDEX(합계표[사번키],$W913),상세표[반영월],대상월키,상세표[야간당직],1,상세표[야간 구분],"평일",상세표[반영 기관],"서울병원"))</f>
        <v/>
      </c>
      <c r="U913">
        <f>IF($W913="","",COUNTIFS(상세표[사번키],INDEX(합계표[사번키],$W913),상세표[반영월],대상월키,상세표[야간당직],1,상세표[야간 구분],"휴일",상세표[반영 기관],"서울병원"))</f>
        <v/>
      </c>
      <c r="V913">
        <f>IF($W913="","",IF(ISNUMBER(MATCH(INDEX(합계표[사번키],$W913)&amp;"|"&amp;대상월키,월별근무지표[키],0)),"직접 입력",IF($K913="—","—","기관명단")))</f>
        <v/>
      </c>
      <c r="W913">
        <f>IFERROR(MATCH(908,합계표[판정순번],0),"")</f>
        <v/>
      </c>
    </row>
    <row r="914">
      <c r="A914">
        <f>IF($W914="","",INDEX(합계표[사번],$W914)&amp;"")</f>
        <v/>
      </c>
      <c r="B914">
        <f>IF($W914="","",INDEX(합계표[성명],$W914)&amp;"")</f>
        <v/>
      </c>
      <c r="C914">
        <f>IF($W914="","",INDEX(합계표[부서],$W914)&amp;"")</f>
        <v/>
      </c>
      <c r="D914">
        <f>IF($W914="","",INDEX(합계표[직위(통합)],$W914)&amp;"")</f>
        <v/>
      </c>
      <c r="E914">
        <f>IF($W914="","",SUMIFS(합계표[시스템 합계],합계표[사번키],INDEX(합계표[사번키],$W914)))</f>
        <v/>
      </c>
      <c r="F914">
        <f>IF($W914="","",SUMIFS(상세표[기록 시간외],상세표[사번키],INDEX(합계표[사번키],$W914),상세표[기록월],대상월키))</f>
        <v/>
      </c>
      <c r="G914">
        <f>IF($W914="","",IF(ABS($E914-$F914)&lt;0.01,"일치","불일치(차이 "&amp;TEXT($F914-$E914,"0.00")&amp;")"))</f>
        <v/>
      </c>
      <c r="H914">
        <f>IF($W914="","",SUMIFS(상세표[기록 시간외],상세표[사번키],INDEX(합계표[사번키],$W914),상세표[기록월],대상월키,상세표[반영월],"&lt;&gt;"&amp;대상월키))</f>
        <v/>
      </c>
      <c r="I914">
        <f>IF($W914="","",SUMIFS(상세표[기록 시간외],상세표[사번키],INDEX(합계표[사번키],$W914),상세표[기록월],"&lt;&gt;"&amp;대상월키,상세표[반영월],대상월키))</f>
        <v/>
      </c>
      <c r="J914">
        <f>IF($W914="","",SUMIFS(상세표[기록 시간외],상세표[사번키],INDEX(합계표[사번키],$W914),상세표[반영월],대상월키))</f>
        <v/>
      </c>
      <c r="K914">
        <f>IF($W914="","",IFERROR(INDEX(월별근무지표[적용 급여병원],MATCH(INDEX(합계표[사번키],$W914)&amp;"|"&amp;대상월키,월별근무지표[키],0))&amp;"",IF(COUNTIF(기관표[사번키],INDEX(합계표[사번키],$W914))+COUNTIF(월별근무지표[사번키],INDEX(합계표[사번키],$W914))&gt;0,IFERROR(INDEX(기관표[급여지급병원(기준월)],MATCH(INDEX(합계표[사번키],$W914)&amp;"|"&amp;대상월키,기관표[키],0))&amp;"","—"),"—")))</f>
        <v/>
      </c>
      <c r="L914">
        <f>IF($W914="","",IF(NOT(COUNTIF(기관표[사번키],INDEX(합계표[사번키],$W914))+COUNTIF(월별근무지표[사번키],INDEX(합계표[사번키],$W914))&gt;0),"기관명단에 없음(다른 병원으로 발송)",IF($K914="—","대상월 기관명단 없음(추가 필요)",IF($K914="서울병원","해당","비해당"))))</f>
        <v/>
      </c>
      <c r="M914">
        <f>IF($W914="","",SUMIFS(상세표[06~07시],상세표[사번키],INDEX(합계표[사번키],$W914),상세표[반영월],대상월키,상세표[반영 기관],"서울병원"))</f>
        <v/>
      </c>
      <c r="N914">
        <f>IF($W914="","",SUMIFS(상세표[07~18시],상세표[사번키],INDEX(합계표[사번키],$W914),상세표[반영월],대상월키,상세표[반영 기관],"서울병원"))</f>
        <v/>
      </c>
      <c r="O914">
        <f>IF($W914="","",SUMIFS(상세표[18~22시],상세표[사번키],INDEX(합계표[사번키],$W914),상세표[반영월],대상월키,상세표[반영 기관],"서울병원"))</f>
        <v/>
      </c>
      <c r="P914">
        <f>IF($W914="","",SUMIFS(상세표[22~06시],상세표[사번키],INDEX(합계표[사번키],$W914),상세표[반영월],대상월키,상세표[반영 기관],"서울병원"))</f>
        <v/>
      </c>
      <c r="Q914">
        <f>IF($W914="","",SUM($M914:$P914))</f>
        <v/>
      </c>
      <c r="R914">
        <f>IF($W914="","",COUNTIFS(상세표[사번키],INDEX(합계표[사번키],$W914),상세표[반영월],대상월키,상세표[야간당직],1,상세표[야간 구분],"평일"))</f>
        <v/>
      </c>
      <c r="S914" s="4">
        <f>IF($W914="","",COUNTIFS(상세표[사번키],INDEX(합계표[사번키],$W914),상세표[반영월],대상월키,상세표[야간당직],1,상세표[야간 구분],"휴일"))</f>
        <v/>
      </c>
      <c r="T914">
        <f>IF($W914="","",COUNTIFS(상세표[사번키],INDEX(합계표[사번키],$W914),상세표[반영월],대상월키,상세표[야간당직],1,상세표[야간 구분],"평일",상세표[반영 기관],"서울병원"))</f>
        <v/>
      </c>
      <c r="U914">
        <f>IF($W914="","",COUNTIFS(상세표[사번키],INDEX(합계표[사번키],$W914),상세표[반영월],대상월키,상세표[야간당직],1,상세표[야간 구분],"휴일",상세표[반영 기관],"서울병원"))</f>
        <v/>
      </c>
      <c r="V914">
        <f>IF($W914="","",IF(ISNUMBER(MATCH(INDEX(합계표[사번키],$W914)&amp;"|"&amp;대상월키,월별근무지표[키],0)),"직접 입력",IF($K914="—","—","기관명단")))</f>
        <v/>
      </c>
      <c r="W914">
        <f>IFERROR(MATCH(909,합계표[판정순번],0),"")</f>
        <v/>
      </c>
    </row>
    <row r="915">
      <c r="A915">
        <f>IF($W915="","",INDEX(합계표[사번],$W915)&amp;"")</f>
        <v/>
      </c>
      <c r="B915">
        <f>IF($W915="","",INDEX(합계표[성명],$W915)&amp;"")</f>
        <v/>
      </c>
      <c r="C915">
        <f>IF($W915="","",INDEX(합계표[부서],$W915)&amp;"")</f>
        <v/>
      </c>
      <c r="D915">
        <f>IF($W915="","",INDEX(합계표[직위(통합)],$W915)&amp;"")</f>
        <v/>
      </c>
      <c r="E915">
        <f>IF($W915="","",SUMIFS(합계표[시스템 합계],합계표[사번키],INDEX(합계표[사번키],$W915)))</f>
        <v/>
      </c>
      <c r="F915">
        <f>IF($W915="","",SUMIFS(상세표[기록 시간외],상세표[사번키],INDEX(합계표[사번키],$W915),상세표[기록월],대상월키))</f>
        <v/>
      </c>
      <c r="G915">
        <f>IF($W915="","",IF(ABS($E915-$F915)&lt;0.01,"일치","불일치(차이 "&amp;TEXT($F915-$E915,"0.00")&amp;")"))</f>
        <v/>
      </c>
      <c r="H915">
        <f>IF($W915="","",SUMIFS(상세표[기록 시간외],상세표[사번키],INDEX(합계표[사번키],$W915),상세표[기록월],대상월키,상세표[반영월],"&lt;&gt;"&amp;대상월키))</f>
        <v/>
      </c>
      <c r="I915">
        <f>IF($W915="","",SUMIFS(상세표[기록 시간외],상세표[사번키],INDEX(합계표[사번키],$W915),상세표[기록월],"&lt;&gt;"&amp;대상월키,상세표[반영월],대상월키))</f>
        <v/>
      </c>
      <c r="J915">
        <f>IF($W915="","",SUMIFS(상세표[기록 시간외],상세표[사번키],INDEX(합계표[사번키],$W915),상세표[반영월],대상월키))</f>
        <v/>
      </c>
      <c r="K915">
        <f>IF($W915="","",IFERROR(INDEX(월별근무지표[적용 급여병원],MATCH(INDEX(합계표[사번키],$W915)&amp;"|"&amp;대상월키,월별근무지표[키],0))&amp;"",IF(COUNTIF(기관표[사번키],INDEX(합계표[사번키],$W915))+COUNTIF(월별근무지표[사번키],INDEX(합계표[사번키],$W915))&gt;0,IFERROR(INDEX(기관표[급여지급병원(기준월)],MATCH(INDEX(합계표[사번키],$W915)&amp;"|"&amp;대상월키,기관표[키],0))&amp;"","—"),"—")))</f>
        <v/>
      </c>
      <c r="L915">
        <f>IF($W915="","",IF(NOT(COUNTIF(기관표[사번키],INDEX(합계표[사번키],$W915))+COUNTIF(월별근무지표[사번키],INDEX(합계표[사번키],$W915))&gt;0),"기관명단에 없음(다른 병원으로 발송)",IF($K915="—","대상월 기관명단 없음(추가 필요)",IF($K915="서울병원","해당","비해당"))))</f>
        <v/>
      </c>
      <c r="M915">
        <f>IF($W915="","",SUMIFS(상세표[06~07시],상세표[사번키],INDEX(합계표[사번키],$W915),상세표[반영월],대상월키,상세표[반영 기관],"서울병원"))</f>
        <v/>
      </c>
      <c r="N915">
        <f>IF($W915="","",SUMIFS(상세표[07~18시],상세표[사번키],INDEX(합계표[사번키],$W915),상세표[반영월],대상월키,상세표[반영 기관],"서울병원"))</f>
        <v/>
      </c>
      <c r="O915">
        <f>IF($W915="","",SUMIFS(상세표[18~22시],상세표[사번키],INDEX(합계표[사번키],$W915),상세표[반영월],대상월키,상세표[반영 기관],"서울병원"))</f>
        <v/>
      </c>
      <c r="P915">
        <f>IF($W915="","",SUMIFS(상세표[22~06시],상세표[사번키],INDEX(합계표[사번키],$W915),상세표[반영월],대상월키,상세표[반영 기관],"서울병원"))</f>
        <v/>
      </c>
      <c r="Q915">
        <f>IF($W915="","",SUM($M915:$P915))</f>
        <v/>
      </c>
      <c r="R915">
        <f>IF($W915="","",COUNTIFS(상세표[사번키],INDEX(합계표[사번키],$W915),상세표[반영월],대상월키,상세표[야간당직],1,상세표[야간 구분],"평일"))</f>
        <v/>
      </c>
      <c r="S915" s="4">
        <f>IF($W915="","",COUNTIFS(상세표[사번키],INDEX(합계표[사번키],$W915),상세표[반영월],대상월키,상세표[야간당직],1,상세표[야간 구분],"휴일"))</f>
        <v/>
      </c>
      <c r="T915">
        <f>IF($W915="","",COUNTIFS(상세표[사번키],INDEX(합계표[사번키],$W915),상세표[반영월],대상월키,상세표[야간당직],1,상세표[야간 구분],"평일",상세표[반영 기관],"서울병원"))</f>
        <v/>
      </c>
      <c r="U915">
        <f>IF($W915="","",COUNTIFS(상세표[사번키],INDEX(합계표[사번키],$W915),상세표[반영월],대상월키,상세표[야간당직],1,상세표[야간 구분],"휴일",상세표[반영 기관],"서울병원"))</f>
        <v/>
      </c>
      <c r="V915">
        <f>IF($W915="","",IF(ISNUMBER(MATCH(INDEX(합계표[사번키],$W915)&amp;"|"&amp;대상월키,월별근무지표[키],0)),"직접 입력",IF($K915="—","—","기관명단")))</f>
        <v/>
      </c>
      <c r="W915">
        <f>IFERROR(MATCH(910,합계표[판정순번],0),"")</f>
        <v/>
      </c>
    </row>
    <row r="916">
      <c r="A916">
        <f>IF($W916="","",INDEX(합계표[사번],$W916)&amp;"")</f>
        <v/>
      </c>
      <c r="B916">
        <f>IF($W916="","",INDEX(합계표[성명],$W916)&amp;"")</f>
        <v/>
      </c>
      <c r="C916">
        <f>IF($W916="","",INDEX(합계표[부서],$W916)&amp;"")</f>
        <v/>
      </c>
      <c r="D916">
        <f>IF($W916="","",INDEX(합계표[직위(통합)],$W916)&amp;"")</f>
        <v/>
      </c>
      <c r="E916">
        <f>IF($W916="","",SUMIFS(합계표[시스템 합계],합계표[사번키],INDEX(합계표[사번키],$W916)))</f>
        <v/>
      </c>
      <c r="F916">
        <f>IF($W916="","",SUMIFS(상세표[기록 시간외],상세표[사번키],INDEX(합계표[사번키],$W916),상세표[기록월],대상월키))</f>
        <v/>
      </c>
      <c r="G916">
        <f>IF($W916="","",IF(ABS($E916-$F916)&lt;0.01,"일치","불일치(차이 "&amp;TEXT($F916-$E916,"0.00")&amp;")"))</f>
        <v/>
      </c>
      <c r="H916">
        <f>IF($W916="","",SUMIFS(상세표[기록 시간외],상세표[사번키],INDEX(합계표[사번키],$W916),상세표[기록월],대상월키,상세표[반영월],"&lt;&gt;"&amp;대상월키))</f>
        <v/>
      </c>
      <c r="I916">
        <f>IF($W916="","",SUMIFS(상세표[기록 시간외],상세표[사번키],INDEX(합계표[사번키],$W916),상세표[기록월],"&lt;&gt;"&amp;대상월키,상세표[반영월],대상월키))</f>
        <v/>
      </c>
      <c r="J916">
        <f>IF($W916="","",SUMIFS(상세표[기록 시간외],상세표[사번키],INDEX(합계표[사번키],$W916),상세표[반영월],대상월키))</f>
        <v/>
      </c>
      <c r="K916">
        <f>IF($W916="","",IFERROR(INDEX(월별근무지표[적용 급여병원],MATCH(INDEX(합계표[사번키],$W916)&amp;"|"&amp;대상월키,월별근무지표[키],0))&amp;"",IF(COUNTIF(기관표[사번키],INDEX(합계표[사번키],$W916))+COUNTIF(월별근무지표[사번키],INDEX(합계표[사번키],$W916))&gt;0,IFERROR(INDEX(기관표[급여지급병원(기준월)],MATCH(INDEX(합계표[사번키],$W916)&amp;"|"&amp;대상월키,기관표[키],0))&amp;"","—"),"—")))</f>
        <v/>
      </c>
      <c r="L916">
        <f>IF($W916="","",IF(NOT(COUNTIF(기관표[사번키],INDEX(합계표[사번키],$W916))+COUNTIF(월별근무지표[사번키],INDEX(합계표[사번키],$W916))&gt;0),"기관명단에 없음(다른 병원으로 발송)",IF($K916="—","대상월 기관명단 없음(추가 필요)",IF($K916="서울병원","해당","비해당"))))</f>
        <v/>
      </c>
      <c r="M916">
        <f>IF($W916="","",SUMIFS(상세표[06~07시],상세표[사번키],INDEX(합계표[사번키],$W916),상세표[반영월],대상월키,상세표[반영 기관],"서울병원"))</f>
        <v/>
      </c>
      <c r="N916">
        <f>IF($W916="","",SUMIFS(상세표[07~18시],상세표[사번키],INDEX(합계표[사번키],$W916),상세표[반영월],대상월키,상세표[반영 기관],"서울병원"))</f>
        <v/>
      </c>
      <c r="O916">
        <f>IF($W916="","",SUMIFS(상세표[18~22시],상세표[사번키],INDEX(합계표[사번키],$W916),상세표[반영월],대상월키,상세표[반영 기관],"서울병원"))</f>
        <v/>
      </c>
      <c r="P916">
        <f>IF($W916="","",SUMIFS(상세표[22~06시],상세표[사번키],INDEX(합계표[사번키],$W916),상세표[반영월],대상월키,상세표[반영 기관],"서울병원"))</f>
        <v/>
      </c>
      <c r="Q916">
        <f>IF($W916="","",SUM($M916:$P916))</f>
        <v/>
      </c>
      <c r="R916">
        <f>IF($W916="","",COUNTIFS(상세표[사번키],INDEX(합계표[사번키],$W916),상세표[반영월],대상월키,상세표[야간당직],1,상세표[야간 구분],"평일"))</f>
        <v/>
      </c>
      <c r="S916" s="4">
        <f>IF($W916="","",COUNTIFS(상세표[사번키],INDEX(합계표[사번키],$W916),상세표[반영월],대상월키,상세표[야간당직],1,상세표[야간 구분],"휴일"))</f>
        <v/>
      </c>
      <c r="T916">
        <f>IF($W916="","",COUNTIFS(상세표[사번키],INDEX(합계표[사번키],$W916),상세표[반영월],대상월키,상세표[야간당직],1,상세표[야간 구분],"평일",상세표[반영 기관],"서울병원"))</f>
        <v/>
      </c>
      <c r="U916">
        <f>IF($W916="","",COUNTIFS(상세표[사번키],INDEX(합계표[사번키],$W916),상세표[반영월],대상월키,상세표[야간당직],1,상세표[야간 구분],"휴일",상세표[반영 기관],"서울병원"))</f>
        <v/>
      </c>
      <c r="V916">
        <f>IF($W916="","",IF(ISNUMBER(MATCH(INDEX(합계표[사번키],$W916)&amp;"|"&amp;대상월키,월별근무지표[키],0)),"직접 입력",IF($K916="—","—","기관명단")))</f>
        <v/>
      </c>
      <c r="W916">
        <f>IFERROR(MATCH(911,합계표[판정순번],0),"")</f>
        <v/>
      </c>
    </row>
    <row r="917">
      <c r="A917">
        <f>IF($W917="","",INDEX(합계표[사번],$W917)&amp;"")</f>
        <v/>
      </c>
      <c r="B917">
        <f>IF($W917="","",INDEX(합계표[성명],$W917)&amp;"")</f>
        <v/>
      </c>
      <c r="C917">
        <f>IF($W917="","",INDEX(합계표[부서],$W917)&amp;"")</f>
        <v/>
      </c>
      <c r="D917">
        <f>IF($W917="","",INDEX(합계표[직위(통합)],$W917)&amp;"")</f>
        <v/>
      </c>
      <c r="E917">
        <f>IF($W917="","",SUMIFS(합계표[시스템 합계],합계표[사번키],INDEX(합계표[사번키],$W917)))</f>
        <v/>
      </c>
      <c r="F917">
        <f>IF($W917="","",SUMIFS(상세표[기록 시간외],상세표[사번키],INDEX(합계표[사번키],$W917),상세표[기록월],대상월키))</f>
        <v/>
      </c>
      <c r="G917">
        <f>IF($W917="","",IF(ABS($E917-$F917)&lt;0.01,"일치","불일치(차이 "&amp;TEXT($F917-$E917,"0.00")&amp;")"))</f>
        <v/>
      </c>
      <c r="H917">
        <f>IF($W917="","",SUMIFS(상세표[기록 시간외],상세표[사번키],INDEX(합계표[사번키],$W917),상세표[기록월],대상월키,상세표[반영월],"&lt;&gt;"&amp;대상월키))</f>
        <v/>
      </c>
      <c r="I917">
        <f>IF($W917="","",SUMIFS(상세표[기록 시간외],상세표[사번키],INDEX(합계표[사번키],$W917),상세표[기록월],"&lt;&gt;"&amp;대상월키,상세표[반영월],대상월키))</f>
        <v/>
      </c>
      <c r="J917">
        <f>IF($W917="","",SUMIFS(상세표[기록 시간외],상세표[사번키],INDEX(합계표[사번키],$W917),상세표[반영월],대상월키))</f>
        <v/>
      </c>
      <c r="K917">
        <f>IF($W917="","",IFERROR(INDEX(월별근무지표[적용 급여병원],MATCH(INDEX(합계표[사번키],$W917)&amp;"|"&amp;대상월키,월별근무지표[키],0))&amp;"",IF(COUNTIF(기관표[사번키],INDEX(합계표[사번키],$W917))+COUNTIF(월별근무지표[사번키],INDEX(합계표[사번키],$W917))&gt;0,IFERROR(INDEX(기관표[급여지급병원(기준월)],MATCH(INDEX(합계표[사번키],$W917)&amp;"|"&amp;대상월키,기관표[키],0))&amp;"","—"),"—")))</f>
        <v/>
      </c>
      <c r="L917">
        <f>IF($W917="","",IF(NOT(COUNTIF(기관표[사번키],INDEX(합계표[사번키],$W917))+COUNTIF(월별근무지표[사번키],INDEX(합계표[사번키],$W917))&gt;0),"기관명단에 없음(다른 병원으로 발송)",IF($K917="—","대상월 기관명단 없음(추가 필요)",IF($K917="서울병원","해당","비해당"))))</f>
        <v/>
      </c>
      <c r="M917">
        <f>IF($W917="","",SUMIFS(상세표[06~07시],상세표[사번키],INDEX(합계표[사번키],$W917),상세표[반영월],대상월키,상세표[반영 기관],"서울병원"))</f>
        <v/>
      </c>
      <c r="N917">
        <f>IF($W917="","",SUMIFS(상세표[07~18시],상세표[사번키],INDEX(합계표[사번키],$W917),상세표[반영월],대상월키,상세표[반영 기관],"서울병원"))</f>
        <v/>
      </c>
      <c r="O917">
        <f>IF($W917="","",SUMIFS(상세표[18~22시],상세표[사번키],INDEX(합계표[사번키],$W917),상세표[반영월],대상월키,상세표[반영 기관],"서울병원"))</f>
        <v/>
      </c>
      <c r="P917">
        <f>IF($W917="","",SUMIFS(상세표[22~06시],상세표[사번키],INDEX(합계표[사번키],$W917),상세표[반영월],대상월키,상세표[반영 기관],"서울병원"))</f>
        <v/>
      </c>
      <c r="Q917">
        <f>IF($W917="","",SUM($M917:$P917))</f>
        <v/>
      </c>
      <c r="R917">
        <f>IF($W917="","",COUNTIFS(상세표[사번키],INDEX(합계표[사번키],$W917),상세표[반영월],대상월키,상세표[야간당직],1,상세표[야간 구분],"평일"))</f>
        <v/>
      </c>
      <c r="S917" s="4">
        <f>IF($W917="","",COUNTIFS(상세표[사번키],INDEX(합계표[사번키],$W917),상세표[반영월],대상월키,상세표[야간당직],1,상세표[야간 구분],"휴일"))</f>
        <v/>
      </c>
      <c r="T917">
        <f>IF($W917="","",COUNTIFS(상세표[사번키],INDEX(합계표[사번키],$W917),상세표[반영월],대상월키,상세표[야간당직],1,상세표[야간 구분],"평일",상세표[반영 기관],"서울병원"))</f>
        <v/>
      </c>
      <c r="U917">
        <f>IF($W917="","",COUNTIFS(상세표[사번키],INDEX(합계표[사번키],$W917),상세표[반영월],대상월키,상세표[야간당직],1,상세표[야간 구분],"휴일",상세표[반영 기관],"서울병원"))</f>
        <v/>
      </c>
      <c r="V917">
        <f>IF($W917="","",IF(ISNUMBER(MATCH(INDEX(합계표[사번키],$W917)&amp;"|"&amp;대상월키,월별근무지표[키],0)),"직접 입력",IF($K917="—","—","기관명단")))</f>
        <v/>
      </c>
      <c r="W917">
        <f>IFERROR(MATCH(912,합계표[판정순번],0),"")</f>
        <v/>
      </c>
    </row>
    <row r="918">
      <c r="A918">
        <f>IF($W918="","",INDEX(합계표[사번],$W918)&amp;"")</f>
        <v/>
      </c>
      <c r="B918">
        <f>IF($W918="","",INDEX(합계표[성명],$W918)&amp;"")</f>
        <v/>
      </c>
      <c r="C918">
        <f>IF($W918="","",INDEX(합계표[부서],$W918)&amp;"")</f>
        <v/>
      </c>
      <c r="D918">
        <f>IF($W918="","",INDEX(합계표[직위(통합)],$W918)&amp;"")</f>
        <v/>
      </c>
      <c r="E918">
        <f>IF($W918="","",SUMIFS(합계표[시스템 합계],합계표[사번키],INDEX(합계표[사번키],$W918)))</f>
        <v/>
      </c>
      <c r="F918">
        <f>IF($W918="","",SUMIFS(상세표[기록 시간외],상세표[사번키],INDEX(합계표[사번키],$W918),상세표[기록월],대상월키))</f>
        <v/>
      </c>
      <c r="G918">
        <f>IF($W918="","",IF(ABS($E918-$F918)&lt;0.01,"일치","불일치(차이 "&amp;TEXT($F918-$E918,"0.00")&amp;")"))</f>
        <v/>
      </c>
      <c r="H918">
        <f>IF($W918="","",SUMIFS(상세표[기록 시간외],상세표[사번키],INDEX(합계표[사번키],$W918),상세표[기록월],대상월키,상세표[반영월],"&lt;&gt;"&amp;대상월키))</f>
        <v/>
      </c>
      <c r="I918">
        <f>IF($W918="","",SUMIFS(상세표[기록 시간외],상세표[사번키],INDEX(합계표[사번키],$W918),상세표[기록월],"&lt;&gt;"&amp;대상월키,상세표[반영월],대상월키))</f>
        <v/>
      </c>
      <c r="J918">
        <f>IF($W918="","",SUMIFS(상세표[기록 시간외],상세표[사번키],INDEX(합계표[사번키],$W918),상세표[반영월],대상월키))</f>
        <v/>
      </c>
      <c r="K918">
        <f>IF($W918="","",IFERROR(INDEX(월별근무지표[적용 급여병원],MATCH(INDEX(합계표[사번키],$W918)&amp;"|"&amp;대상월키,월별근무지표[키],0))&amp;"",IF(COUNTIF(기관표[사번키],INDEX(합계표[사번키],$W918))+COUNTIF(월별근무지표[사번키],INDEX(합계표[사번키],$W918))&gt;0,IFERROR(INDEX(기관표[급여지급병원(기준월)],MATCH(INDEX(합계표[사번키],$W918)&amp;"|"&amp;대상월키,기관표[키],0))&amp;"","—"),"—")))</f>
        <v/>
      </c>
      <c r="L918">
        <f>IF($W918="","",IF(NOT(COUNTIF(기관표[사번키],INDEX(합계표[사번키],$W918))+COUNTIF(월별근무지표[사번키],INDEX(합계표[사번키],$W918))&gt;0),"기관명단에 없음(다른 병원으로 발송)",IF($K918="—","대상월 기관명단 없음(추가 필요)",IF($K918="서울병원","해당","비해당"))))</f>
        <v/>
      </c>
      <c r="M918">
        <f>IF($W918="","",SUMIFS(상세표[06~07시],상세표[사번키],INDEX(합계표[사번키],$W918),상세표[반영월],대상월키,상세표[반영 기관],"서울병원"))</f>
        <v/>
      </c>
      <c r="N918">
        <f>IF($W918="","",SUMIFS(상세표[07~18시],상세표[사번키],INDEX(합계표[사번키],$W918),상세표[반영월],대상월키,상세표[반영 기관],"서울병원"))</f>
        <v/>
      </c>
      <c r="O918">
        <f>IF($W918="","",SUMIFS(상세표[18~22시],상세표[사번키],INDEX(합계표[사번키],$W918),상세표[반영월],대상월키,상세표[반영 기관],"서울병원"))</f>
        <v/>
      </c>
      <c r="P918">
        <f>IF($W918="","",SUMIFS(상세표[22~06시],상세표[사번키],INDEX(합계표[사번키],$W918),상세표[반영월],대상월키,상세표[반영 기관],"서울병원"))</f>
        <v/>
      </c>
      <c r="Q918">
        <f>IF($W918="","",SUM($M918:$P918))</f>
        <v/>
      </c>
      <c r="R918">
        <f>IF($W918="","",COUNTIFS(상세표[사번키],INDEX(합계표[사번키],$W918),상세표[반영월],대상월키,상세표[야간당직],1,상세표[야간 구분],"평일"))</f>
        <v/>
      </c>
      <c r="S918" s="4">
        <f>IF($W918="","",COUNTIFS(상세표[사번키],INDEX(합계표[사번키],$W918),상세표[반영월],대상월키,상세표[야간당직],1,상세표[야간 구분],"휴일"))</f>
        <v/>
      </c>
      <c r="T918">
        <f>IF($W918="","",COUNTIFS(상세표[사번키],INDEX(합계표[사번키],$W918),상세표[반영월],대상월키,상세표[야간당직],1,상세표[야간 구분],"평일",상세표[반영 기관],"서울병원"))</f>
        <v/>
      </c>
      <c r="U918">
        <f>IF($W918="","",COUNTIFS(상세표[사번키],INDEX(합계표[사번키],$W918),상세표[반영월],대상월키,상세표[야간당직],1,상세표[야간 구분],"휴일",상세표[반영 기관],"서울병원"))</f>
        <v/>
      </c>
      <c r="V918">
        <f>IF($W918="","",IF(ISNUMBER(MATCH(INDEX(합계표[사번키],$W918)&amp;"|"&amp;대상월키,월별근무지표[키],0)),"직접 입력",IF($K918="—","—","기관명단")))</f>
        <v/>
      </c>
      <c r="W918">
        <f>IFERROR(MATCH(913,합계표[판정순번],0),"")</f>
        <v/>
      </c>
    </row>
    <row r="919">
      <c r="A919">
        <f>IF($W919="","",INDEX(합계표[사번],$W919)&amp;"")</f>
        <v/>
      </c>
      <c r="B919">
        <f>IF($W919="","",INDEX(합계표[성명],$W919)&amp;"")</f>
        <v/>
      </c>
      <c r="C919">
        <f>IF($W919="","",INDEX(합계표[부서],$W919)&amp;"")</f>
        <v/>
      </c>
      <c r="D919">
        <f>IF($W919="","",INDEX(합계표[직위(통합)],$W919)&amp;"")</f>
        <v/>
      </c>
      <c r="E919">
        <f>IF($W919="","",SUMIFS(합계표[시스템 합계],합계표[사번키],INDEX(합계표[사번키],$W919)))</f>
        <v/>
      </c>
      <c r="F919">
        <f>IF($W919="","",SUMIFS(상세표[기록 시간외],상세표[사번키],INDEX(합계표[사번키],$W919),상세표[기록월],대상월키))</f>
        <v/>
      </c>
      <c r="G919">
        <f>IF($W919="","",IF(ABS($E919-$F919)&lt;0.01,"일치","불일치(차이 "&amp;TEXT($F919-$E919,"0.00")&amp;")"))</f>
        <v/>
      </c>
      <c r="H919">
        <f>IF($W919="","",SUMIFS(상세표[기록 시간외],상세표[사번키],INDEX(합계표[사번키],$W919),상세표[기록월],대상월키,상세표[반영월],"&lt;&gt;"&amp;대상월키))</f>
        <v/>
      </c>
      <c r="I919">
        <f>IF($W919="","",SUMIFS(상세표[기록 시간외],상세표[사번키],INDEX(합계표[사번키],$W919),상세표[기록월],"&lt;&gt;"&amp;대상월키,상세표[반영월],대상월키))</f>
        <v/>
      </c>
      <c r="J919">
        <f>IF($W919="","",SUMIFS(상세표[기록 시간외],상세표[사번키],INDEX(합계표[사번키],$W919),상세표[반영월],대상월키))</f>
        <v/>
      </c>
      <c r="K919">
        <f>IF($W919="","",IFERROR(INDEX(월별근무지표[적용 급여병원],MATCH(INDEX(합계표[사번키],$W919)&amp;"|"&amp;대상월키,월별근무지표[키],0))&amp;"",IF(COUNTIF(기관표[사번키],INDEX(합계표[사번키],$W919))+COUNTIF(월별근무지표[사번키],INDEX(합계표[사번키],$W919))&gt;0,IFERROR(INDEX(기관표[급여지급병원(기준월)],MATCH(INDEX(합계표[사번키],$W919)&amp;"|"&amp;대상월키,기관표[키],0))&amp;"","—"),"—")))</f>
        <v/>
      </c>
      <c r="L919">
        <f>IF($W919="","",IF(NOT(COUNTIF(기관표[사번키],INDEX(합계표[사번키],$W919))+COUNTIF(월별근무지표[사번키],INDEX(합계표[사번키],$W919))&gt;0),"기관명단에 없음(다른 병원으로 발송)",IF($K919="—","대상월 기관명단 없음(추가 필요)",IF($K919="서울병원","해당","비해당"))))</f>
        <v/>
      </c>
      <c r="M919">
        <f>IF($W919="","",SUMIFS(상세표[06~07시],상세표[사번키],INDEX(합계표[사번키],$W919),상세표[반영월],대상월키,상세표[반영 기관],"서울병원"))</f>
        <v/>
      </c>
      <c r="N919">
        <f>IF($W919="","",SUMIFS(상세표[07~18시],상세표[사번키],INDEX(합계표[사번키],$W919),상세표[반영월],대상월키,상세표[반영 기관],"서울병원"))</f>
        <v/>
      </c>
      <c r="O919">
        <f>IF($W919="","",SUMIFS(상세표[18~22시],상세표[사번키],INDEX(합계표[사번키],$W919),상세표[반영월],대상월키,상세표[반영 기관],"서울병원"))</f>
        <v/>
      </c>
      <c r="P919">
        <f>IF($W919="","",SUMIFS(상세표[22~06시],상세표[사번키],INDEX(합계표[사번키],$W919),상세표[반영월],대상월키,상세표[반영 기관],"서울병원"))</f>
        <v/>
      </c>
      <c r="Q919">
        <f>IF($W919="","",SUM($M919:$P919))</f>
        <v/>
      </c>
      <c r="R919">
        <f>IF($W919="","",COUNTIFS(상세표[사번키],INDEX(합계표[사번키],$W919),상세표[반영월],대상월키,상세표[야간당직],1,상세표[야간 구분],"평일"))</f>
        <v/>
      </c>
      <c r="S919" s="4">
        <f>IF($W919="","",COUNTIFS(상세표[사번키],INDEX(합계표[사번키],$W919),상세표[반영월],대상월키,상세표[야간당직],1,상세표[야간 구분],"휴일"))</f>
        <v/>
      </c>
      <c r="T919">
        <f>IF($W919="","",COUNTIFS(상세표[사번키],INDEX(합계표[사번키],$W919),상세표[반영월],대상월키,상세표[야간당직],1,상세표[야간 구분],"평일",상세표[반영 기관],"서울병원"))</f>
        <v/>
      </c>
      <c r="U919">
        <f>IF($W919="","",COUNTIFS(상세표[사번키],INDEX(합계표[사번키],$W919),상세표[반영월],대상월키,상세표[야간당직],1,상세표[야간 구분],"휴일",상세표[반영 기관],"서울병원"))</f>
        <v/>
      </c>
      <c r="V919">
        <f>IF($W919="","",IF(ISNUMBER(MATCH(INDEX(합계표[사번키],$W919)&amp;"|"&amp;대상월키,월별근무지표[키],0)),"직접 입력",IF($K919="—","—","기관명단")))</f>
        <v/>
      </c>
      <c r="W919">
        <f>IFERROR(MATCH(914,합계표[판정순번],0),"")</f>
        <v/>
      </c>
    </row>
    <row r="920">
      <c r="A920">
        <f>IF($W920="","",INDEX(합계표[사번],$W920)&amp;"")</f>
        <v/>
      </c>
      <c r="B920">
        <f>IF($W920="","",INDEX(합계표[성명],$W920)&amp;"")</f>
        <v/>
      </c>
      <c r="C920">
        <f>IF($W920="","",INDEX(합계표[부서],$W920)&amp;"")</f>
        <v/>
      </c>
      <c r="D920">
        <f>IF($W920="","",INDEX(합계표[직위(통합)],$W920)&amp;"")</f>
        <v/>
      </c>
      <c r="E920">
        <f>IF($W920="","",SUMIFS(합계표[시스템 합계],합계표[사번키],INDEX(합계표[사번키],$W920)))</f>
        <v/>
      </c>
      <c r="F920">
        <f>IF($W920="","",SUMIFS(상세표[기록 시간외],상세표[사번키],INDEX(합계표[사번키],$W920),상세표[기록월],대상월키))</f>
        <v/>
      </c>
      <c r="G920">
        <f>IF($W920="","",IF(ABS($E920-$F920)&lt;0.01,"일치","불일치(차이 "&amp;TEXT($F920-$E920,"0.00")&amp;")"))</f>
        <v/>
      </c>
      <c r="H920">
        <f>IF($W920="","",SUMIFS(상세표[기록 시간외],상세표[사번키],INDEX(합계표[사번키],$W920),상세표[기록월],대상월키,상세표[반영월],"&lt;&gt;"&amp;대상월키))</f>
        <v/>
      </c>
      <c r="I920">
        <f>IF($W920="","",SUMIFS(상세표[기록 시간외],상세표[사번키],INDEX(합계표[사번키],$W920),상세표[기록월],"&lt;&gt;"&amp;대상월키,상세표[반영월],대상월키))</f>
        <v/>
      </c>
      <c r="J920">
        <f>IF($W920="","",SUMIFS(상세표[기록 시간외],상세표[사번키],INDEX(합계표[사번키],$W920),상세표[반영월],대상월키))</f>
        <v/>
      </c>
      <c r="K920">
        <f>IF($W920="","",IFERROR(INDEX(월별근무지표[적용 급여병원],MATCH(INDEX(합계표[사번키],$W920)&amp;"|"&amp;대상월키,월별근무지표[키],0))&amp;"",IF(COUNTIF(기관표[사번키],INDEX(합계표[사번키],$W920))+COUNTIF(월별근무지표[사번키],INDEX(합계표[사번키],$W920))&gt;0,IFERROR(INDEX(기관표[급여지급병원(기준월)],MATCH(INDEX(합계표[사번키],$W920)&amp;"|"&amp;대상월키,기관표[키],0))&amp;"","—"),"—")))</f>
        <v/>
      </c>
      <c r="L920">
        <f>IF($W920="","",IF(NOT(COUNTIF(기관표[사번키],INDEX(합계표[사번키],$W920))+COUNTIF(월별근무지표[사번키],INDEX(합계표[사번키],$W920))&gt;0),"기관명단에 없음(다른 병원으로 발송)",IF($K920="—","대상월 기관명단 없음(추가 필요)",IF($K920="서울병원","해당","비해당"))))</f>
        <v/>
      </c>
      <c r="M920">
        <f>IF($W920="","",SUMIFS(상세표[06~07시],상세표[사번키],INDEX(합계표[사번키],$W920),상세표[반영월],대상월키,상세표[반영 기관],"서울병원"))</f>
        <v/>
      </c>
      <c r="N920">
        <f>IF($W920="","",SUMIFS(상세표[07~18시],상세표[사번키],INDEX(합계표[사번키],$W920),상세표[반영월],대상월키,상세표[반영 기관],"서울병원"))</f>
        <v/>
      </c>
      <c r="O920">
        <f>IF($W920="","",SUMIFS(상세표[18~22시],상세표[사번키],INDEX(합계표[사번키],$W920),상세표[반영월],대상월키,상세표[반영 기관],"서울병원"))</f>
        <v/>
      </c>
      <c r="P920">
        <f>IF($W920="","",SUMIFS(상세표[22~06시],상세표[사번키],INDEX(합계표[사번키],$W920),상세표[반영월],대상월키,상세표[반영 기관],"서울병원"))</f>
        <v/>
      </c>
      <c r="Q920">
        <f>IF($W920="","",SUM($M920:$P920))</f>
        <v/>
      </c>
      <c r="R920">
        <f>IF($W920="","",COUNTIFS(상세표[사번키],INDEX(합계표[사번키],$W920),상세표[반영월],대상월키,상세표[야간당직],1,상세표[야간 구분],"평일"))</f>
        <v/>
      </c>
      <c r="S920" s="4">
        <f>IF($W920="","",COUNTIFS(상세표[사번키],INDEX(합계표[사번키],$W920),상세표[반영월],대상월키,상세표[야간당직],1,상세표[야간 구분],"휴일"))</f>
        <v/>
      </c>
      <c r="T920">
        <f>IF($W920="","",COUNTIFS(상세표[사번키],INDEX(합계표[사번키],$W920),상세표[반영월],대상월키,상세표[야간당직],1,상세표[야간 구분],"평일",상세표[반영 기관],"서울병원"))</f>
        <v/>
      </c>
      <c r="U920">
        <f>IF($W920="","",COUNTIFS(상세표[사번키],INDEX(합계표[사번키],$W920),상세표[반영월],대상월키,상세표[야간당직],1,상세표[야간 구분],"휴일",상세표[반영 기관],"서울병원"))</f>
        <v/>
      </c>
      <c r="V920">
        <f>IF($W920="","",IF(ISNUMBER(MATCH(INDEX(합계표[사번키],$W920)&amp;"|"&amp;대상월키,월별근무지표[키],0)),"직접 입력",IF($K920="—","—","기관명단")))</f>
        <v/>
      </c>
      <c r="W920">
        <f>IFERROR(MATCH(915,합계표[판정순번],0),"")</f>
        <v/>
      </c>
    </row>
    <row r="921">
      <c r="A921">
        <f>IF($W921="","",INDEX(합계표[사번],$W921)&amp;"")</f>
        <v/>
      </c>
      <c r="B921">
        <f>IF($W921="","",INDEX(합계표[성명],$W921)&amp;"")</f>
        <v/>
      </c>
      <c r="C921">
        <f>IF($W921="","",INDEX(합계표[부서],$W921)&amp;"")</f>
        <v/>
      </c>
      <c r="D921">
        <f>IF($W921="","",INDEX(합계표[직위(통합)],$W921)&amp;"")</f>
        <v/>
      </c>
      <c r="E921">
        <f>IF($W921="","",SUMIFS(합계표[시스템 합계],합계표[사번키],INDEX(합계표[사번키],$W921)))</f>
        <v/>
      </c>
      <c r="F921">
        <f>IF($W921="","",SUMIFS(상세표[기록 시간외],상세표[사번키],INDEX(합계표[사번키],$W921),상세표[기록월],대상월키))</f>
        <v/>
      </c>
      <c r="G921">
        <f>IF($W921="","",IF(ABS($E921-$F921)&lt;0.01,"일치","불일치(차이 "&amp;TEXT($F921-$E921,"0.00")&amp;")"))</f>
        <v/>
      </c>
      <c r="H921">
        <f>IF($W921="","",SUMIFS(상세표[기록 시간외],상세표[사번키],INDEX(합계표[사번키],$W921),상세표[기록월],대상월키,상세표[반영월],"&lt;&gt;"&amp;대상월키))</f>
        <v/>
      </c>
      <c r="I921">
        <f>IF($W921="","",SUMIFS(상세표[기록 시간외],상세표[사번키],INDEX(합계표[사번키],$W921),상세표[기록월],"&lt;&gt;"&amp;대상월키,상세표[반영월],대상월키))</f>
        <v/>
      </c>
      <c r="J921">
        <f>IF($W921="","",SUMIFS(상세표[기록 시간외],상세표[사번키],INDEX(합계표[사번키],$W921),상세표[반영월],대상월키))</f>
        <v/>
      </c>
      <c r="K921">
        <f>IF($W921="","",IFERROR(INDEX(월별근무지표[적용 급여병원],MATCH(INDEX(합계표[사번키],$W921)&amp;"|"&amp;대상월키,월별근무지표[키],0))&amp;"",IF(COUNTIF(기관표[사번키],INDEX(합계표[사번키],$W921))+COUNTIF(월별근무지표[사번키],INDEX(합계표[사번키],$W921))&gt;0,IFERROR(INDEX(기관표[급여지급병원(기준월)],MATCH(INDEX(합계표[사번키],$W921)&amp;"|"&amp;대상월키,기관표[키],0))&amp;"","—"),"—")))</f>
        <v/>
      </c>
      <c r="L921">
        <f>IF($W921="","",IF(NOT(COUNTIF(기관표[사번키],INDEX(합계표[사번키],$W921))+COUNTIF(월별근무지표[사번키],INDEX(합계표[사번키],$W921))&gt;0),"기관명단에 없음(다른 병원으로 발송)",IF($K921="—","대상월 기관명단 없음(추가 필요)",IF($K921="서울병원","해당","비해당"))))</f>
        <v/>
      </c>
      <c r="M921">
        <f>IF($W921="","",SUMIFS(상세표[06~07시],상세표[사번키],INDEX(합계표[사번키],$W921),상세표[반영월],대상월키,상세표[반영 기관],"서울병원"))</f>
        <v/>
      </c>
      <c r="N921">
        <f>IF($W921="","",SUMIFS(상세표[07~18시],상세표[사번키],INDEX(합계표[사번키],$W921),상세표[반영월],대상월키,상세표[반영 기관],"서울병원"))</f>
        <v/>
      </c>
      <c r="O921">
        <f>IF($W921="","",SUMIFS(상세표[18~22시],상세표[사번키],INDEX(합계표[사번키],$W921),상세표[반영월],대상월키,상세표[반영 기관],"서울병원"))</f>
        <v/>
      </c>
      <c r="P921">
        <f>IF($W921="","",SUMIFS(상세표[22~06시],상세표[사번키],INDEX(합계표[사번키],$W921),상세표[반영월],대상월키,상세표[반영 기관],"서울병원"))</f>
        <v/>
      </c>
      <c r="Q921">
        <f>IF($W921="","",SUM($M921:$P921))</f>
        <v/>
      </c>
      <c r="R921">
        <f>IF($W921="","",COUNTIFS(상세표[사번키],INDEX(합계표[사번키],$W921),상세표[반영월],대상월키,상세표[야간당직],1,상세표[야간 구분],"평일"))</f>
        <v/>
      </c>
      <c r="S921" s="4">
        <f>IF($W921="","",COUNTIFS(상세표[사번키],INDEX(합계표[사번키],$W921),상세표[반영월],대상월키,상세표[야간당직],1,상세표[야간 구분],"휴일"))</f>
        <v/>
      </c>
      <c r="T921">
        <f>IF($W921="","",COUNTIFS(상세표[사번키],INDEX(합계표[사번키],$W921),상세표[반영월],대상월키,상세표[야간당직],1,상세표[야간 구분],"평일",상세표[반영 기관],"서울병원"))</f>
        <v/>
      </c>
      <c r="U921">
        <f>IF($W921="","",COUNTIFS(상세표[사번키],INDEX(합계표[사번키],$W921),상세표[반영월],대상월키,상세표[야간당직],1,상세표[야간 구분],"휴일",상세표[반영 기관],"서울병원"))</f>
        <v/>
      </c>
      <c r="V921">
        <f>IF($W921="","",IF(ISNUMBER(MATCH(INDEX(합계표[사번키],$W921)&amp;"|"&amp;대상월키,월별근무지표[키],0)),"직접 입력",IF($K921="—","—","기관명단")))</f>
        <v/>
      </c>
      <c r="W921">
        <f>IFERROR(MATCH(916,합계표[판정순번],0),"")</f>
        <v/>
      </c>
    </row>
    <row r="922">
      <c r="A922">
        <f>IF($W922="","",INDEX(합계표[사번],$W922)&amp;"")</f>
        <v/>
      </c>
      <c r="B922">
        <f>IF($W922="","",INDEX(합계표[성명],$W922)&amp;"")</f>
        <v/>
      </c>
      <c r="C922">
        <f>IF($W922="","",INDEX(합계표[부서],$W922)&amp;"")</f>
        <v/>
      </c>
      <c r="D922">
        <f>IF($W922="","",INDEX(합계표[직위(통합)],$W922)&amp;"")</f>
        <v/>
      </c>
      <c r="E922">
        <f>IF($W922="","",SUMIFS(합계표[시스템 합계],합계표[사번키],INDEX(합계표[사번키],$W922)))</f>
        <v/>
      </c>
      <c r="F922">
        <f>IF($W922="","",SUMIFS(상세표[기록 시간외],상세표[사번키],INDEX(합계표[사번키],$W922),상세표[기록월],대상월키))</f>
        <v/>
      </c>
      <c r="G922">
        <f>IF($W922="","",IF(ABS($E922-$F922)&lt;0.01,"일치","불일치(차이 "&amp;TEXT($F922-$E922,"0.00")&amp;")"))</f>
        <v/>
      </c>
      <c r="H922">
        <f>IF($W922="","",SUMIFS(상세표[기록 시간외],상세표[사번키],INDEX(합계표[사번키],$W922),상세표[기록월],대상월키,상세표[반영월],"&lt;&gt;"&amp;대상월키))</f>
        <v/>
      </c>
      <c r="I922">
        <f>IF($W922="","",SUMIFS(상세표[기록 시간외],상세표[사번키],INDEX(합계표[사번키],$W922),상세표[기록월],"&lt;&gt;"&amp;대상월키,상세표[반영월],대상월키))</f>
        <v/>
      </c>
      <c r="J922">
        <f>IF($W922="","",SUMIFS(상세표[기록 시간외],상세표[사번키],INDEX(합계표[사번키],$W922),상세표[반영월],대상월키))</f>
        <v/>
      </c>
      <c r="K922">
        <f>IF($W922="","",IFERROR(INDEX(월별근무지표[적용 급여병원],MATCH(INDEX(합계표[사번키],$W922)&amp;"|"&amp;대상월키,월별근무지표[키],0))&amp;"",IF(COUNTIF(기관표[사번키],INDEX(합계표[사번키],$W922))+COUNTIF(월별근무지표[사번키],INDEX(합계표[사번키],$W922))&gt;0,IFERROR(INDEX(기관표[급여지급병원(기준월)],MATCH(INDEX(합계표[사번키],$W922)&amp;"|"&amp;대상월키,기관표[키],0))&amp;"","—"),"—")))</f>
        <v/>
      </c>
      <c r="L922">
        <f>IF($W922="","",IF(NOT(COUNTIF(기관표[사번키],INDEX(합계표[사번키],$W922))+COUNTIF(월별근무지표[사번키],INDEX(합계표[사번키],$W922))&gt;0),"기관명단에 없음(다른 병원으로 발송)",IF($K922="—","대상월 기관명단 없음(추가 필요)",IF($K922="서울병원","해당","비해당"))))</f>
        <v/>
      </c>
      <c r="M922">
        <f>IF($W922="","",SUMIFS(상세표[06~07시],상세표[사번키],INDEX(합계표[사번키],$W922),상세표[반영월],대상월키,상세표[반영 기관],"서울병원"))</f>
        <v/>
      </c>
      <c r="N922">
        <f>IF($W922="","",SUMIFS(상세표[07~18시],상세표[사번키],INDEX(합계표[사번키],$W922),상세표[반영월],대상월키,상세표[반영 기관],"서울병원"))</f>
        <v/>
      </c>
      <c r="O922">
        <f>IF($W922="","",SUMIFS(상세표[18~22시],상세표[사번키],INDEX(합계표[사번키],$W922),상세표[반영월],대상월키,상세표[반영 기관],"서울병원"))</f>
        <v/>
      </c>
      <c r="P922">
        <f>IF($W922="","",SUMIFS(상세표[22~06시],상세표[사번키],INDEX(합계표[사번키],$W922),상세표[반영월],대상월키,상세표[반영 기관],"서울병원"))</f>
        <v/>
      </c>
      <c r="Q922">
        <f>IF($W922="","",SUM($M922:$P922))</f>
        <v/>
      </c>
      <c r="R922">
        <f>IF($W922="","",COUNTIFS(상세표[사번키],INDEX(합계표[사번키],$W922),상세표[반영월],대상월키,상세표[야간당직],1,상세표[야간 구분],"평일"))</f>
        <v/>
      </c>
      <c r="S922" s="4">
        <f>IF($W922="","",COUNTIFS(상세표[사번키],INDEX(합계표[사번키],$W922),상세표[반영월],대상월키,상세표[야간당직],1,상세표[야간 구분],"휴일"))</f>
        <v/>
      </c>
      <c r="T922">
        <f>IF($W922="","",COUNTIFS(상세표[사번키],INDEX(합계표[사번키],$W922),상세표[반영월],대상월키,상세표[야간당직],1,상세표[야간 구분],"평일",상세표[반영 기관],"서울병원"))</f>
        <v/>
      </c>
      <c r="U922">
        <f>IF($W922="","",COUNTIFS(상세표[사번키],INDEX(합계표[사번키],$W922),상세표[반영월],대상월키,상세표[야간당직],1,상세표[야간 구분],"휴일",상세표[반영 기관],"서울병원"))</f>
        <v/>
      </c>
      <c r="V922">
        <f>IF($W922="","",IF(ISNUMBER(MATCH(INDEX(합계표[사번키],$W922)&amp;"|"&amp;대상월키,월별근무지표[키],0)),"직접 입력",IF($K922="—","—","기관명단")))</f>
        <v/>
      </c>
      <c r="W922">
        <f>IFERROR(MATCH(917,합계표[판정순번],0),"")</f>
        <v/>
      </c>
    </row>
    <row r="923">
      <c r="A923">
        <f>IF($W923="","",INDEX(합계표[사번],$W923)&amp;"")</f>
        <v/>
      </c>
      <c r="B923">
        <f>IF($W923="","",INDEX(합계표[성명],$W923)&amp;"")</f>
        <v/>
      </c>
      <c r="C923">
        <f>IF($W923="","",INDEX(합계표[부서],$W923)&amp;"")</f>
        <v/>
      </c>
      <c r="D923">
        <f>IF($W923="","",INDEX(합계표[직위(통합)],$W923)&amp;"")</f>
        <v/>
      </c>
      <c r="E923">
        <f>IF($W923="","",SUMIFS(합계표[시스템 합계],합계표[사번키],INDEX(합계표[사번키],$W923)))</f>
        <v/>
      </c>
      <c r="F923">
        <f>IF($W923="","",SUMIFS(상세표[기록 시간외],상세표[사번키],INDEX(합계표[사번키],$W923),상세표[기록월],대상월키))</f>
        <v/>
      </c>
      <c r="G923">
        <f>IF($W923="","",IF(ABS($E923-$F923)&lt;0.01,"일치","불일치(차이 "&amp;TEXT($F923-$E923,"0.00")&amp;")"))</f>
        <v/>
      </c>
      <c r="H923">
        <f>IF($W923="","",SUMIFS(상세표[기록 시간외],상세표[사번키],INDEX(합계표[사번키],$W923),상세표[기록월],대상월키,상세표[반영월],"&lt;&gt;"&amp;대상월키))</f>
        <v/>
      </c>
      <c r="I923">
        <f>IF($W923="","",SUMIFS(상세표[기록 시간외],상세표[사번키],INDEX(합계표[사번키],$W923),상세표[기록월],"&lt;&gt;"&amp;대상월키,상세표[반영월],대상월키))</f>
        <v/>
      </c>
      <c r="J923">
        <f>IF($W923="","",SUMIFS(상세표[기록 시간외],상세표[사번키],INDEX(합계표[사번키],$W923),상세표[반영월],대상월키))</f>
        <v/>
      </c>
      <c r="K923">
        <f>IF($W923="","",IFERROR(INDEX(월별근무지표[적용 급여병원],MATCH(INDEX(합계표[사번키],$W923)&amp;"|"&amp;대상월키,월별근무지표[키],0))&amp;"",IF(COUNTIF(기관표[사번키],INDEX(합계표[사번키],$W923))+COUNTIF(월별근무지표[사번키],INDEX(합계표[사번키],$W923))&gt;0,IFERROR(INDEX(기관표[급여지급병원(기준월)],MATCH(INDEX(합계표[사번키],$W923)&amp;"|"&amp;대상월키,기관표[키],0))&amp;"","—"),"—")))</f>
        <v/>
      </c>
      <c r="L923">
        <f>IF($W923="","",IF(NOT(COUNTIF(기관표[사번키],INDEX(합계표[사번키],$W923))+COUNTIF(월별근무지표[사번키],INDEX(합계표[사번키],$W923))&gt;0),"기관명단에 없음(다른 병원으로 발송)",IF($K923="—","대상월 기관명단 없음(추가 필요)",IF($K923="서울병원","해당","비해당"))))</f>
        <v/>
      </c>
      <c r="M923">
        <f>IF($W923="","",SUMIFS(상세표[06~07시],상세표[사번키],INDEX(합계표[사번키],$W923),상세표[반영월],대상월키,상세표[반영 기관],"서울병원"))</f>
        <v/>
      </c>
      <c r="N923">
        <f>IF($W923="","",SUMIFS(상세표[07~18시],상세표[사번키],INDEX(합계표[사번키],$W923),상세표[반영월],대상월키,상세표[반영 기관],"서울병원"))</f>
        <v/>
      </c>
      <c r="O923">
        <f>IF($W923="","",SUMIFS(상세표[18~22시],상세표[사번키],INDEX(합계표[사번키],$W923),상세표[반영월],대상월키,상세표[반영 기관],"서울병원"))</f>
        <v/>
      </c>
      <c r="P923">
        <f>IF($W923="","",SUMIFS(상세표[22~06시],상세표[사번키],INDEX(합계표[사번키],$W923),상세표[반영월],대상월키,상세표[반영 기관],"서울병원"))</f>
        <v/>
      </c>
      <c r="Q923">
        <f>IF($W923="","",SUM($M923:$P923))</f>
        <v/>
      </c>
      <c r="R923">
        <f>IF($W923="","",COUNTIFS(상세표[사번키],INDEX(합계표[사번키],$W923),상세표[반영월],대상월키,상세표[야간당직],1,상세표[야간 구분],"평일"))</f>
        <v/>
      </c>
      <c r="S923" s="4">
        <f>IF($W923="","",COUNTIFS(상세표[사번키],INDEX(합계표[사번키],$W923),상세표[반영월],대상월키,상세표[야간당직],1,상세표[야간 구분],"휴일"))</f>
        <v/>
      </c>
      <c r="T923">
        <f>IF($W923="","",COUNTIFS(상세표[사번키],INDEX(합계표[사번키],$W923),상세표[반영월],대상월키,상세표[야간당직],1,상세표[야간 구분],"평일",상세표[반영 기관],"서울병원"))</f>
        <v/>
      </c>
      <c r="U923">
        <f>IF($W923="","",COUNTIFS(상세표[사번키],INDEX(합계표[사번키],$W923),상세표[반영월],대상월키,상세표[야간당직],1,상세표[야간 구분],"휴일",상세표[반영 기관],"서울병원"))</f>
        <v/>
      </c>
      <c r="V923">
        <f>IF($W923="","",IF(ISNUMBER(MATCH(INDEX(합계표[사번키],$W923)&amp;"|"&amp;대상월키,월별근무지표[키],0)),"직접 입력",IF($K923="—","—","기관명단")))</f>
        <v/>
      </c>
      <c r="W923">
        <f>IFERROR(MATCH(918,합계표[판정순번],0),"")</f>
        <v/>
      </c>
    </row>
    <row r="924">
      <c r="A924">
        <f>IF($W924="","",INDEX(합계표[사번],$W924)&amp;"")</f>
        <v/>
      </c>
      <c r="B924">
        <f>IF($W924="","",INDEX(합계표[성명],$W924)&amp;"")</f>
        <v/>
      </c>
      <c r="C924">
        <f>IF($W924="","",INDEX(합계표[부서],$W924)&amp;"")</f>
        <v/>
      </c>
      <c r="D924">
        <f>IF($W924="","",INDEX(합계표[직위(통합)],$W924)&amp;"")</f>
        <v/>
      </c>
      <c r="E924">
        <f>IF($W924="","",SUMIFS(합계표[시스템 합계],합계표[사번키],INDEX(합계표[사번키],$W924)))</f>
        <v/>
      </c>
      <c r="F924">
        <f>IF($W924="","",SUMIFS(상세표[기록 시간외],상세표[사번키],INDEX(합계표[사번키],$W924),상세표[기록월],대상월키))</f>
        <v/>
      </c>
      <c r="G924">
        <f>IF($W924="","",IF(ABS($E924-$F924)&lt;0.01,"일치","불일치(차이 "&amp;TEXT($F924-$E924,"0.00")&amp;")"))</f>
        <v/>
      </c>
      <c r="H924">
        <f>IF($W924="","",SUMIFS(상세표[기록 시간외],상세표[사번키],INDEX(합계표[사번키],$W924),상세표[기록월],대상월키,상세표[반영월],"&lt;&gt;"&amp;대상월키))</f>
        <v/>
      </c>
      <c r="I924">
        <f>IF($W924="","",SUMIFS(상세표[기록 시간외],상세표[사번키],INDEX(합계표[사번키],$W924),상세표[기록월],"&lt;&gt;"&amp;대상월키,상세표[반영월],대상월키))</f>
        <v/>
      </c>
      <c r="J924">
        <f>IF($W924="","",SUMIFS(상세표[기록 시간외],상세표[사번키],INDEX(합계표[사번키],$W924),상세표[반영월],대상월키))</f>
        <v/>
      </c>
      <c r="K924">
        <f>IF($W924="","",IFERROR(INDEX(월별근무지표[적용 급여병원],MATCH(INDEX(합계표[사번키],$W924)&amp;"|"&amp;대상월키,월별근무지표[키],0))&amp;"",IF(COUNTIF(기관표[사번키],INDEX(합계표[사번키],$W924))+COUNTIF(월별근무지표[사번키],INDEX(합계표[사번키],$W924))&gt;0,IFERROR(INDEX(기관표[급여지급병원(기준월)],MATCH(INDEX(합계표[사번키],$W924)&amp;"|"&amp;대상월키,기관표[키],0))&amp;"","—"),"—")))</f>
        <v/>
      </c>
      <c r="L924">
        <f>IF($W924="","",IF(NOT(COUNTIF(기관표[사번키],INDEX(합계표[사번키],$W924))+COUNTIF(월별근무지표[사번키],INDEX(합계표[사번키],$W924))&gt;0),"기관명단에 없음(다른 병원으로 발송)",IF($K924="—","대상월 기관명단 없음(추가 필요)",IF($K924="서울병원","해당","비해당"))))</f>
        <v/>
      </c>
      <c r="M924">
        <f>IF($W924="","",SUMIFS(상세표[06~07시],상세표[사번키],INDEX(합계표[사번키],$W924),상세표[반영월],대상월키,상세표[반영 기관],"서울병원"))</f>
        <v/>
      </c>
      <c r="N924">
        <f>IF($W924="","",SUMIFS(상세표[07~18시],상세표[사번키],INDEX(합계표[사번키],$W924),상세표[반영월],대상월키,상세표[반영 기관],"서울병원"))</f>
        <v/>
      </c>
      <c r="O924">
        <f>IF($W924="","",SUMIFS(상세표[18~22시],상세표[사번키],INDEX(합계표[사번키],$W924),상세표[반영월],대상월키,상세표[반영 기관],"서울병원"))</f>
        <v/>
      </c>
      <c r="P924">
        <f>IF($W924="","",SUMIFS(상세표[22~06시],상세표[사번키],INDEX(합계표[사번키],$W924),상세표[반영월],대상월키,상세표[반영 기관],"서울병원"))</f>
        <v/>
      </c>
      <c r="Q924">
        <f>IF($W924="","",SUM($M924:$P924))</f>
        <v/>
      </c>
      <c r="R924">
        <f>IF($W924="","",COUNTIFS(상세표[사번키],INDEX(합계표[사번키],$W924),상세표[반영월],대상월키,상세표[야간당직],1,상세표[야간 구분],"평일"))</f>
        <v/>
      </c>
      <c r="S924" s="4">
        <f>IF($W924="","",COUNTIFS(상세표[사번키],INDEX(합계표[사번키],$W924),상세표[반영월],대상월키,상세표[야간당직],1,상세표[야간 구분],"휴일"))</f>
        <v/>
      </c>
      <c r="T924">
        <f>IF($W924="","",COUNTIFS(상세표[사번키],INDEX(합계표[사번키],$W924),상세표[반영월],대상월키,상세표[야간당직],1,상세표[야간 구분],"평일",상세표[반영 기관],"서울병원"))</f>
        <v/>
      </c>
      <c r="U924">
        <f>IF($W924="","",COUNTIFS(상세표[사번키],INDEX(합계표[사번키],$W924),상세표[반영월],대상월키,상세표[야간당직],1,상세표[야간 구분],"휴일",상세표[반영 기관],"서울병원"))</f>
        <v/>
      </c>
      <c r="V924">
        <f>IF($W924="","",IF(ISNUMBER(MATCH(INDEX(합계표[사번키],$W924)&amp;"|"&amp;대상월키,월별근무지표[키],0)),"직접 입력",IF($K924="—","—","기관명단")))</f>
        <v/>
      </c>
      <c r="W924">
        <f>IFERROR(MATCH(919,합계표[판정순번],0),"")</f>
        <v/>
      </c>
    </row>
    <row r="925">
      <c r="A925">
        <f>IF($W925="","",INDEX(합계표[사번],$W925)&amp;"")</f>
        <v/>
      </c>
      <c r="B925">
        <f>IF($W925="","",INDEX(합계표[성명],$W925)&amp;"")</f>
        <v/>
      </c>
      <c r="C925">
        <f>IF($W925="","",INDEX(합계표[부서],$W925)&amp;"")</f>
        <v/>
      </c>
      <c r="D925">
        <f>IF($W925="","",INDEX(합계표[직위(통합)],$W925)&amp;"")</f>
        <v/>
      </c>
      <c r="E925">
        <f>IF($W925="","",SUMIFS(합계표[시스템 합계],합계표[사번키],INDEX(합계표[사번키],$W925)))</f>
        <v/>
      </c>
      <c r="F925">
        <f>IF($W925="","",SUMIFS(상세표[기록 시간외],상세표[사번키],INDEX(합계표[사번키],$W925),상세표[기록월],대상월키))</f>
        <v/>
      </c>
      <c r="G925">
        <f>IF($W925="","",IF(ABS($E925-$F925)&lt;0.01,"일치","불일치(차이 "&amp;TEXT($F925-$E925,"0.00")&amp;")"))</f>
        <v/>
      </c>
      <c r="H925">
        <f>IF($W925="","",SUMIFS(상세표[기록 시간외],상세표[사번키],INDEX(합계표[사번키],$W925),상세표[기록월],대상월키,상세표[반영월],"&lt;&gt;"&amp;대상월키))</f>
        <v/>
      </c>
      <c r="I925">
        <f>IF($W925="","",SUMIFS(상세표[기록 시간외],상세표[사번키],INDEX(합계표[사번키],$W925),상세표[기록월],"&lt;&gt;"&amp;대상월키,상세표[반영월],대상월키))</f>
        <v/>
      </c>
      <c r="J925">
        <f>IF($W925="","",SUMIFS(상세표[기록 시간외],상세표[사번키],INDEX(합계표[사번키],$W925),상세표[반영월],대상월키))</f>
        <v/>
      </c>
      <c r="K925">
        <f>IF($W925="","",IFERROR(INDEX(월별근무지표[적용 급여병원],MATCH(INDEX(합계표[사번키],$W925)&amp;"|"&amp;대상월키,월별근무지표[키],0))&amp;"",IF(COUNTIF(기관표[사번키],INDEX(합계표[사번키],$W925))+COUNTIF(월별근무지표[사번키],INDEX(합계표[사번키],$W925))&gt;0,IFERROR(INDEX(기관표[급여지급병원(기준월)],MATCH(INDEX(합계표[사번키],$W925)&amp;"|"&amp;대상월키,기관표[키],0))&amp;"","—"),"—")))</f>
        <v/>
      </c>
      <c r="L925">
        <f>IF($W925="","",IF(NOT(COUNTIF(기관표[사번키],INDEX(합계표[사번키],$W925))+COUNTIF(월별근무지표[사번키],INDEX(합계표[사번키],$W925))&gt;0),"기관명단에 없음(다른 병원으로 발송)",IF($K925="—","대상월 기관명단 없음(추가 필요)",IF($K925="서울병원","해당","비해당"))))</f>
        <v/>
      </c>
      <c r="M925">
        <f>IF($W925="","",SUMIFS(상세표[06~07시],상세표[사번키],INDEX(합계표[사번키],$W925),상세표[반영월],대상월키,상세표[반영 기관],"서울병원"))</f>
        <v/>
      </c>
      <c r="N925">
        <f>IF($W925="","",SUMIFS(상세표[07~18시],상세표[사번키],INDEX(합계표[사번키],$W925),상세표[반영월],대상월키,상세표[반영 기관],"서울병원"))</f>
        <v/>
      </c>
      <c r="O925">
        <f>IF($W925="","",SUMIFS(상세표[18~22시],상세표[사번키],INDEX(합계표[사번키],$W925),상세표[반영월],대상월키,상세표[반영 기관],"서울병원"))</f>
        <v/>
      </c>
      <c r="P925">
        <f>IF($W925="","",SUMIFS(상세표[22~06시],상세표[사번키],INDEX(합계표[사번키],$W925),상세표[반영월],대상월키,상세표[반영 기관],"서울병원"))</f>
        <v/>
      </c>
      <c r="Q925">
        <f>IF($W925="","",SUM($M925:$P925))</f>
        <v/>
      </c>
      <c r="R925">
        <f>IF($W925="","",COUNTIFS(상세표[사번키],INDEX(합계표[사번키],$W925),상세표[반영월],대상월키,상세표[야간당직],1,상세표[야간 구분],"평일"))</f>
        <v/>
      </c>
      <c r="S925" s="4">
        <f>IF($W925="","",COUNTIFS(상세표[사번키],INDEX(합계표[사번키],$W925),상세표[반영월],대상월키,상세표[야간당직],1,상세표[야간 구분],"휴일"))</f>
        <v/>
      </c>
      <c r="T925">
        <f>IF($W925="","",COUNTIFS(상세표[사번키],INDEX(합계표[사번키],$W925),상세표[반영월],대상월키,상세표[야간당직],1,상세표[야간 구분],"평일",상세표[반영 기관],"서울병원"))</f>
        <v/>
      </c>
      <c r="U925">
        <f>IF($W925="","",COUNTIFS(상세표[사번키],INDEX(합계표[사번키],$W925),상세표[반영월],대상월키,상세표[야간당직],1,상세표[야간 구분],"휴일",상세표[반영 기관],"서울병원"))</f>
        <v/>
      </c>
      <c r="V925">
        <f>IF($W925="","",IF(ISNUMBER(MATCH(INDEX(합계표[사번키],$W925)&amp;"|"&amp;대상월키,월별근무지표[키],0)),"직접 입력",IF($K925="—","—","기관명단")))</f>
        <v/>
      </c>
      <c r="W925">
        <f>IFERROR(MATCH(920,합계표[판정순번],0),"")</f>
        <v/>
      </c>
    </row>
    <row r="926">
      <c r="A926">
        <f>IF($W926="","",INDEX(합계표[사번],$W926)&amp;"")</f>
        <v/>
      </c>
      <c r="B926">
        <f>IF($W926="","",INDEX(합계표[성명],$W926)&amp;"")</f>
        <v/>
      </c>
      <c r="C926">
        <f>IF($W926="","",INDEX(합계표[부서],$W926)&amp;"")</f>
        <v/>
      </c>
      <c r="D926">
        <f>IF($W926="","",INDEX(합계표[직위(통합)],$W926)&amp;"")</f>
        <v/>
      </c>
      <c r="E926">
        <f>IF($W926="","",SUMIFS(합계표[시스템 합계],합계표[사번키],INDEX(합계표[사번키],$W926)))</f>
        <v/>
      </c>
      <c r="F926">
        <f>IF($W926="","",SUMIFS(상세표[기록 시간외],상세표[사번키],INDEX(합계표[사번키],$W926),상세표[기록월],대상월키))</f>
        <v/>
      </c>
      <c r="G926">
        <f>IF($W926="","",IF(ABS($E926-$F926)&lt;0.01,"일치","불일치(차이 "&amp;TEXT($F926-$E926,"0.00")&amp;")"))</f>
        <v/>
      </c>
      <c r="H926">
        <f>IF($W926="","",SUMIFS(상세표[기록 시간외],상세표[사번키],INDEX(합계표[사번키],$W926),상세표[기록월],대상월키,상세표[반영월],"&lt;&gt;"&amp;대상월키))</f>
        <v/>
      </c>
      <c r="I926">
        <f>IF($W926="","",SUMIFS(상세표[기록 시간외],상세표[사번키],INDEX(합계표[사번키],$W926),상세표[기록월],"&lt;&gt;"&amp;대상월키,상세표[반영월],대상월키))</f>
        <v/>
      </c>
      <c r="J926">
        <f>IF($W926="","",SUMIFS(상세표[기록 시간외],상세표[사번키],INDEX(합계표[사번키],$W926),상세표[반영월],대상월키))</f>
        <v/>
      </c>
      <c r="K926">
        <f>IF($W926="","",IFERROR(INDEX(월별근무지표[적용 급여병원],MATCH(INDEX(합계표[사번키],$W926)&amp;"|"&amp;대상월키,월별근무지표[키],0))&amp;"",IF(COUNTIF(기관표[사번키],INDEX(합계표[사번키],$W926))+COUNTIF(월별근무지표[사번키],INDEX(합계표[사번키],$W926))&gt;0,IFERROR(INDEX(기관표[급여지급병원(기준월)],MATCH(INDEX(합계표[사번키],$W926)&amp;"|"&amp;대상월키,기관표[키],0))&amp;"","—"),"—")))</f>
        <v/>
      </c>
      <c r="L926">
        <f>IF($W926="","",IF(NOT(COUNTIF(기관표[사번키],INDEX(합계표[사번키],$W926))+COUNTIF(월별근무지표[사번키],INDEX(합계표[사번키],$W926))&gt;0),"기관명단에 없음(다른 병원으로 발송)",IF($K926="—","대상월 기관명단 없음(추가 필요)",IF($K926="서울병원","해당","비해당"))))</f>
        <v/>
      </c>
      <c r="M926">
        <f>IF($W926="","",SUMIFS(상세표[06~07시],상세표[사번키],INDEX(합계표[사번키],$W926),상세표[반영월],대상월키,상세표[반영 기관],"서울병원"))</f>
        <v/>
      </c>
      <c r="N926">
        <f>IF($W926="","",SUMIFS(상세표[07~18시],상세표[사번키],INDEX(합계표[사번키],$W926),상세표[반영월],대상월키,상세표[반영 기관],"서울병원"))</f>
        <v/>
      </c>
      <c r="O926">
        <f>IF($W926="","",SUMIFS(상세표[18~22시],상세표[사번키],INDEX(합계표[사번키],$W926),상세표[반영월],대상월키,상세표[반영 기관],"서울병원"))</f>
        <v/>
      </c>
      <c r="P926">
        <f>IF($W926="","",SUMIFS(상세표[22~06시],상세표[사번키],INDEX(합계표[사번키],$W926),상세표[반영월],대상월키,상세표[반영 기관],"서울병원"))</f>
        <v/>
      </c>
      <c r="Q926">
        <f>IF($W926="","",SUM($M926:$P926))</f>
        <v/>
      </c>
      <c r="R926">
        <f>IF($W926="","",COUNTIFS(상세표[사번키],INDEX(합계표[사번키],$W926),상세표[반영월],대상월키,상세표[야간당직],1,상세표[야간 구분],"평일"))</f>
        <v/>
      </c>
      <c r="S926" s="4">
        <f>IF($W926="","",COUNTIFS(상세표[사번키],INDEX(합계표[사번키],$W926),상세표[반영월],대상월키,상세표[야간당직],1,상세표[야간 구분],"휴일"))</f>
        <v/>
      </c>
      <c r="T926">
        <f>IF($W926="","",COUNTIFS(상세표[사번키],INDEX(합계표[사번키],$W926),상세표[반영월],대상월키,상세표[야간당직],1,상세표[야간 구분],"평일",상세표[반영 기관],"서울병원"))</f>
        <v/>
      </c>
      <c r="U926">
        <f>IF($W926="","",COUNTIFS(상세표[사번키],INDEX(합계표[사번키],$W926),상세표[반영월],대상월키,상세표[야간당직],1,상세표[야간 구분],"휴일",상세표[반영 기관],"서울병원"))</f>
        <v/>
      </c>
      <c r="V926">
        <f>IF($W926="","",IF(ISNUMBER(MATCH(INDEX(합계표[사번키],$W926)&amp;"|"&amp;대상월키,월별근무지표[키],0)),"직접 입력",IF($K926="—","—","기관명단")))</f>
        <v/>
      </c>
      <c r="W926">
        <f>IFERROR(MATCH(921,합계표[판정순번],0),"")</f>
        <v/>
      </c>
    </row>
    <row r="927">
      <c r="A927">
        <f>IF($W927="","",INDEX(합계표[사번],$W927)&amp;"")</f>
        <v/>
      </c>
      <c r="B927">
        <f>IF($W927="","",INDEX(합계표[성명],$W927)&amp;"")</f>
        <v/>
      </c>
      <c r="C927">
        <f>IF($W927="","",INDEX(합계표[부서],$W927)&amp;"")</f>
        <v/>
      </c>
      <c r="D927">
        <f>IF($W927="","",INDEX(합계표[직위(통합)],$W927)&amp;"")</f>
        <v/>
      </c>
      <c r="E927">
        <f>IF($W927="","",SUMIFS(합계표[시스템 합계],합계표[사번키],INDEX(합계표[사번키],$W927)))</f>
        <v/>
      </c>
      <c r="F927">
        <f>IF($W927="","",SUMIFS(상세표[기록 시간외],상세표[사번키],INDEX(합계표[사번키],$W927),상세표[기록월],대상월키))</f>
        <v/>
      </c>
      <c r="G927">
        <f>IF($W927="","",IF(ABS($E927-$F927)&lt;0.01,"일치","불일치(차이 "&amp;TEXT($F927-$E927,"0.00")&amp;")"))</f>
        <v/>
      </c>
      <c r="H927">
        <f>IF($W927="","",SUMIFS(상세표[기록 시간외],상세표[사번키],INDEX(합계표[사번키],$W927),상세표[기록월],대상월키,상세표[반영월],"&lt;&gt;"&amp;대상월키))</f>
        <v/>
      </c>
      <c r="I927">
        <f>IF($W927="","",SUMIFS(상세표[기록 시간외],상세표[사번키],INDEX(합계표[사번키],$W927),상세표[기록월],"&lt;&gt;"&amp;대상월키,상세표[반영월],대상월키))</f>
        <v/>
      </c>
      <c r="J927">
        <f>IF($W927="","",SUMIFS(상세표[기록 시간외],상세표[사번키],INDEX(합계표[사번키],$W927),상세표[반영월],대상월키))</f>
        <v/>
      </c>
      <c r="K927">
        <f>IF($W927="","",IFERROR(INDEX(월별근무지표[적용 급여병원],MATCH(INDEX(합계표[사번키],$W927)&amp;"|"&amp;대상월키,월별근무지표[키],0))&amp;"",IF(COUNTIF(기관표[사번키],INDEX(합계표[사번키],$W927))+COUNTIF(월별근무지표[사번키],INDEX(합계표[사번키],$W927))&gt;0,IFERROR(INDEX(기관표[급여지급병원(기준월)],MATCH(INDEX(합계표[사번키],$W927)&amp;"|"&amp;대상월키,기관표[키],0))&amp;"","—"),"—")))</f>
        <v/>
      </c>
      <c r="L927">
        <f>IF($W927="","",IF(NOT(COUNTIF(기관표[사번키],INDEX(합계표[사번키],$W927))+COUNTIF(월별근무지표[사번키],INDEX(합계표[사번키],$W927))&gt;0),"기관명단에 없음(다른 병원으로 발송)",IF($K927="—","대상월 기관명단 없음(추가 필요)",IF($K927="서울병원","해당","비해당"))))</f>
        <v/>
      </c>
      <c r="M927">
        <f>IF($W927="","",SUMIFS(상세표[06~07시],상세표[사번키],INDEX(합계표[사번키],$W927),상세표[반영월],대상월키,상세표[반영 기관],"서울병원"))</f>
        <v/>
      </c>
      <c r="N927">
        <f>IF($W927="","",SUMIFS(상세표[07~18시],상세표[사번키],INDEX(합계표[사번키],$W927),상세표[반영월],대상월키,상세표[반영 기관],"서울병원"))</f>
        <v/>
      </c>
      <c r="O927">
        <f>IF($W927="","",SUMIFS(상세표[18~22시],상세표[사번키],INDEX(합계표[사번키],$W927),상세표[반영월],대상월키,상세표[반영 기관],"서울병원"))</f>
        <v/>
      </c>
      <c r="P927">
        <f>IF($W927="","",SUMIFS(상세표[22~06시],상세표[사번키],INDEX(합계표[사번키],$W927),상세표[반영월],대상월키,상세표[반영 기관],"서울병원"))</f>
        <v/>
      </c>
      <c r="Q927">
        <f>IF($W927="","",SUM($M927:$P927))</f>
        <v/>
      </c>
      <c r="R927">
        <f>IF($W927="","",COUNTIFS(상세표[사번키],INDEX(합계표[사번키],$W927),상세표[반영월],대상월키,상세표[야간당직],1,상세표[야간 구분],"평일"))</f>
        <v/>
      </c>
      <c r="S927" s="4">
        <f>IF($W927="","",COUNTIFS(상세표[사번키],INDEX(합계표[사번키],$W927),상세표[반영월],대상월키,상세표[야간당직],1,상세표[야간 구분],"휴일"))</f>
        <v/>
      </c>
      <c r="T927">
        <f>IF($W927="","",COUNTIFS(상세표[사번키],INDEX(합계표[사번키],$W927),상세표[반영월],대상월키,상세표[야간당직],1,상세표[야간 구분],"평일",상세표[반영 기관],"서울병원"))</f>
        <v/>
      </c>
      <c r="U927">
        <f>IF($W927="","",COUNTIFS(상세표[사번키],INDEX(합계표[사번키],$W927),상세표[반영월],대상월키,상세표[야간당직],1,상세표[야간 구분],"휴일",상세표[반영 기관],"서울병원"))</f>
        <v/>
      </c>
      <c r="V927">
        <f>IF($W927="","",IF(ISNUMBER(MATCH(INDEX(합계표[사번키],$W927)&amp;"|"&amp;대상월키,월별근무지표[키],0)),"직접 입력",IF($K927="—","—","기관명단")))</f>
        <v/>
      </c>
      <c r="W927">
        <f>IFERROR(MATCH(922,합계표[판정순번],0),"")</f>
        <v/>
      </c>
    </row>
    <row r="928">
      <c r="A928">
        <f>IF($W928="","",INDEX(합계표[사번],$W928)&amp;"")</f>
        <v/>
      </c>
      <c r="B928">
        <f>IF($W928="","",INDEX(합계표[성명],$W928)&amp;"")</f>
        <v/>
      </c>
      <c r="C928">
        <f>IF($W928="","",INDEX(합계표[부서],$W928)&amp;"")</f>
        <v/>
      </c>
      <c r="D928">
        <f>IF($W928="","",INDEX(합계표[직위(통합)],$W928)&amp;"")</f>
        <v/>
      </c>
      <c r="E928">
        <f>IF($W928="","",SUMIFS(합계표[시스템 합계],합계표[사번키],INDEX(합계표[사번키],$W928)))</f>
        <v/>
      </c>
      <c r="F928">
        <f>IF($W928="","",SUMIFS(상세표[기록 시간외],상세표[사번키],INDEX(합계표[사번키],$W928),상세표[기록월],대상월키))</f>
        <v/>
      </c>
      <c r="G928">
        <f>IF($W928="","",IF(ABS($E928-$F928)&lt;0.01,"일치","불일치(차이 "&amp;TEXT($F928-$E928,"0.00")&amp;")"))</f>
        <v/>
      </c>
      <c r="H928">
        <f>IF($W928="","",SUMIFS(상세표[기록 시간외],상세표[사번키],INDEX(합계표[사번키],$W928),상세표[기록월],대상월키,상세표[반영월],"&lt;&gt;"&amp;대상월키))</f>
        <v/>
      </c>
      <c r="I928">
        <f>IF($W928="","",SUMIFS(상세표[기록 시간외],상세표[사번키],INDEX(합계표[사번키],$W928),상세표[기록월],"&lt;&gt;"&amp;대상월키,상세표[반영월],대상월키))</f>
        <v/>
      </c>
      <c r="J928">
        <f>IF($W928="","",SUMIFS(상세표[기록 시간외],상세표[사번키],INDEX(합계표[사번키],$W928),상세표[반영월],대상월키))</f>
        <v/>
      </c>
      <c r="K928">
        <f>IF($W928="","",IFERROR(INDEX(월별근무지표[적용 급여병원],MATCH(INDEX(합계표[사번키],$W928)&amp;"|"&amp;대상월키,월별근무지표[키],0))&amp;"",IF(COUNTIF(기관표[사번키],INDEX(합계표[사번키],$W928))+COUNTIF(월별근무지표[사번키],INDEX(합계표[사번키],$W928))&gt;0,IFERROR(INDEX(기관표[급여지급병원(기준월)],MATCH(INDEX(합계표[사번키],$W928)&amp;"|"&amp;대상월키,기관표[키],0))&amp;"","—"),"—")))</f>
        <v/>
      </c>
      <c r="L928">
        <f>IF($W928="","",IF(NOT(COUNTIF(기관표[사번키],INDEX(합계표[사번키],$W928))+COUNTIF(월별근무지표[사번키],INDEX(합계표[사번키],$W928))&gt;0),"기관명단에 없음(다른 병원으로 발송)",IF($K928="—","대상월 기관명단 없음(추가 필요)",IF($K928="서울병원","해당","비해당"))))</f>
        <v/>
      </c>
      <c r="M928">
        <f>IF($W928="","",SUMIFS(상세표[06~07시],상세표[사번키],INDEX(합계표[사번키],$W928),상세표[반영월],대상월키,상세표[반영 기관],"서울병원"))</f>
        <v/>
      </c>
      <c r="N928">
        <f>IF($W928="","",SUMIFS(상세표[07~18시],상세표[사번키],INDEX(합계표[사번키],$W928),상세표[반영월],대상월키,상세표[반영 기관],"서울병원"))</f>
        <v/>
      </c>
      <c r="O928">
        <f>IF($W928="","",SUMIFS(상세표[18~22시],상세표[사번키],INDEX(합계표[사번키],$W928),상세표[반영월],대상월키,상세표[반영 기관],"서울병원"))</f>
        <v/>
      </c>
      <c r="P928">
        <f>IF($W928="","",SUMIFS(상세표[22~06시],상세표[사번키],INDEX(합계표[사번키],$W928),상세표[반영월],대상월키,상세표[반영 기관],"서울병원"))</f>
        <v/>
      </c>
      <c r="Q928">
        <f>IF($W928="","",SUM($M928:$P928))</f>
        <v/>
      </c>
      <c r="R928">
        <f>IF($W928="","",COUNTIFS(상세표[사번키],INDEX(합계표[사번키],$W928),상세표[반영월],대상월키,상세표[야간당직],1,상세표[야간 구분],"평일"))</f>
        <v/>
      </c>
      <c r="S928" s="4">
        <f>IF($W928="","",COUNTIFS(상세표[사번키],INDEX(합계표[사번키],$W928),상세표[반영월],대상월키,상세표[야간당직],1,상세표[야간 구분],"휴일"))</f>
        <v/>
      </c>
      <c r="T928">
        <f>IF($W928="","",COUNTIFS(상세표[사번키],INDEX(합계표[사번키],$W928),상세표[반영월],대상월키,상세표[야간당직],1,상세표[야간 구분],"평일",상세표[반영 기관],"서울병원"))</f>
        <v/>
      </c>
      <c r="U928">
        <f>IF($W928="","",COUNTIFS(상세표[사번키],INDEX(합계표[사번키],$W928),상세표[반영월],대상월키,상세표[야간당직],1,상세표[야간 구분],"휴일",상세표[반영 기관],"서울병원"))</f>
        <v/>
      </c>
      <c r="V928">
        <f>IF($W928="","",IF(ISNUMBER(MATCH(INDEX(합계표[사번키],$W928)&amp;"|"&amp;대상월키,월별근무지표[키],0)),"직접 입력",IF($K928="—","—","기관명단")))</f>
        <v/>
      </c>
      <c r="W928">
        <f>IFERROR(MATCH(923,합계표[판정순번],0),"")</f>
        <v/>
      </c>
    </row>
    <row r="929">
      <c r="A929">
        <f>IF($W929="","",INDEX(합계표[사번],$W929)&amp;"")</f>
        <v/>
      </c>
      <c r="B929">
        <f>IF($W929="","",INDEX(합계표[성명],$W929)&amp;"")</f>
        <v/>
      </c>
      <c r="C929">
        <f>IF($W929="","",INDEX(합계표[부서],$W929)&amp;"")</f>
        <v/>
      </c>
      <c r="D929">
        <f>IF($W929="","",INDEX(합계표[직위(통합)],$W929)&amp;"")</f>
        <v/>
      </c>
      <c r="E929">
        <f>IF($W929="","",SUMIFS(합계표[시스템 합계],합계표[사번키],INDEX(합계표[사번키],$W929)))</f>
        <v/>
      </c>
      <c r="F929">
        <f>IF($W929="","",SUMIFS(상세표[기록 시간외],상세표[사번키],INDEX(합계표[사번키],$W929),상세표[기록월],대상월키))</f>
        <v/>
      </c>
      <c r="G929">
        <f>IF($W929="","",IF(ABS($E929-$F929)&lt;0.01,"일치","불일치(차이 "&amp;TEXT($F929-$E929,"0.00")&amp;")"))</f>
        <v/>
      </c>
      <c r="H929">
        <f>IF($W929="","",SUMIFS(상세표[기록 시간외],상세표[사번키],INDEX(합계표[사번키],$W929),상세표[기록월],대상월키,상세표[반영월],"&lt;&gt;"&amp;대상월키))</f>
        <v/>
      </c>
      <c r="I929">
        <f>IF($W929="","",SUMIFS(상세표[기록 시간외],상세표[사번키],INDEX(합계표[사번키],$W929),상세표[기록월],"&lt;&gt;"&amp;대상월키,상세표[반영월],대상월키))</f>
        <v/>
      </c>
      <c r="J929">
        <f>IF($W929="","",SUMIFS(상세표[기록 시간외],상세표[사번키],INDEX(합계표[사번키],$W929),상세표[반영월],대상월키))</f>
        <v/>
      </c>
      <c r="K929">
        <f>IF($W929="","",IFERROR(INDEX(월별근무지표[적용 급여병원],MATCH(INDEX(합계표[사번키],$W929)&amp;"|"&amp;대상월키,월별근무지표[키],0))&amp;"",IF(COUNTIF(기관표[사번키],INDEX(합계표[사번키],$W929))+COUNTIF(월별근무지표[사번키],INDEX(합계표[사번키],$W929))&gt;0,IFERROR(INDEX(기관표[급여지급병원(기준월)],MATCH(INDEX(합계표[사번키],$W929)&amp;"|"&amp;대상월키,기관표[키],0))&amp;"","—"),"—")))</f>
        <v/>
      </c>
      <c r="L929">
        <f>IF($W929="","",IF(NOT(COUNTIF(기관표[사번키],INDEX(합계표[사번키],$W929))+COUNTIF(월별근무지표[사번키],INDEX(합계표[사번키],$W929))&gt;0),"기관명단에 없음(다른 병원으로 발송)",IF($K929="—","대상월 기관명단 없음(추가 필요)",IF($K929="서울병원","해당","비해당"))))</f>
        <v/>
      </c>
      <c r="M929">
        <f>IF($W929="","",SUMIFS(상세표[06~07시],상세표[사번키],INDEX(합계표[사번키],$W929),상세표[반영월],대상월키,상세표[반영 기관],"서울병원"))</f>
        <v/>
      </c>
      <c r="N929">
        <f>IF($W929="","",SUMIFS(상세표[07~18시],상세표[사번키],INDEX(합계표[사번키],$W929),상세표[반영월],대상월키,상세표[반영 기관],"서울병원"))</f>
        <v/>
      </c>
      <c r="O929">
        <f>IF($W929="","",SUMIFS(상세표[18~22시],상세표[사번키],INDEX(합계표[사번키],$W929),상세표[반영월],대상월키,상세표[반영 기관],"서울병원"))</f>
        <v/>
      </c>
      <c r="P929">
        <f>IF($W929="","",SUMIFS(상세표[22~06시],상세표[사번키],INDEX(합계표[사번키],$W929),상세표[반영월],대상월키,상세표[반영 기관],"서울병원"))</f>
        <v/>
      </c>
      <c r="Q929">
        <f>IF($W929="","",SUM($M929:$P929))</f>
        <v/>
      </c>
      <c r="R929">
        <f>IF($W929="","",COUNTIFS(상세표[사번키],INDEX(합계표[사번키],$W929),상세표[반영월],대상월키,상세표[야간당직],1,상세표[야간 구분],"평일"))</f>
        <v/>
      </c>
      <c r="S929" s="4">
        <f>IF($W929="","",COUNTIFS(상세표[사번키],INDEX(합계표[사번키],$W929),상세표[반영월],대상월키,상세표[야간당직],1,상세표[야간 구분],"휴일"))</f>
        <v/>
      </c>
      <c r="T929">
        <f>IF($W929="","",COUNTIFS(상세표[사번키],INDEX(합계표[사번키],$W929),상세표[반영월],대상월키,상세표[야간당직],1,상세표[야간 구분],"평일",상세표[반영 기관],"서울병원"))</f>
        <v/>
      </c>
      <c r="U929">
        <f>IF($W929="","",COUNTIFS(상세표[사번키],INDEX(합계표[사번키],$W929),상세표[반영월],대상월키,상세표[야간당직],1,상세표[야간 구분],"휴일",상세표[반영 기관],"서울병원"))</f>
        <v/>
      </c>
      <c r="V929">
        <f>IF($W929="","",IF(ISNUMBER(MATCH(INDEX(합계표[사번키],$W929)&amp;"|"&amp;대상월키,월별근무지표[키],0)),"직접 입력",IF($K929="—","—","기관명단")))</f>
        <v/>
      </c>
      <c r="W929">
        <f>IFERROR(MATCH(924,합계표[판정순번],0),"")</f>
        <v/>
      </c>
    </row>
    <row r="930">
      <c r="A930">
        <f>IF($W930="","",INDEX(합계표[사번],$W930)&amp;"")</f>
        <v/>
      </c>
      <c r="B930">
        <f>IF($W930="","",INDEX(합계표[성명],$W930)&amp;"")</f>
        <v/>
      </c>
      <c r="C930">
        <f>IF($W930="","",INDEX(합계표[부서],$W930)&amp;"")</f>
        <v/>
      </c>
      <c r="D930">
        <f>IF($W930="","",INDEX(합계표[직위(통합)],$W930)&amp;"")</f>
        <v/>
      </c>
      <c r="E930">
        <f>IF($W930="","",SUMIFS(합계표[시스템 합계],합계표[사번키],INDEX(합계표[사번키],$W930)))</f>
        <v/>
      </c>
      <c r="F930">
        <f>IF($W930="","",SUMIFS(상세표[기록 시간외],상세표[사번키],INDEX(합계표[사번키],$W930),상세표[기록월],대상월키))</f>
        <v/>
      </c>
      <c r="G930">
        <f>IF($W930="","",IF(ABS($E930-$F930)&lt;0.01,"일치","불일치(차이 "&amp;TEXT($F930-$E930,"0.00")&amp;")"))</f>
        <v/>
      </c>
      <c r="H930">
        <f>IF($W930="","",SUMIFS(상세표[기록 시간외],상세표[사번키],INDEX(합계표[사번키],$W930),상세표[기록월],대상월키,상세표[반영월],"&lt;&gt;"&amp;대상월키))</f>
        <v/>
      </c>
      <c r="I930">
        <f>IF($W930="","",SUMIFS(상세표[기록 시간외],상세표[사번키],INDEX(합계표[사번키],$W930),상세표[기록월],"&lt;&gt;"&amp;대상월키,상세표[반영월],대상월키))</f>
        <v/>
      </c>
      <c r="J930">
        <f>IF($W930="","",SUMIFS(상세표[기록 시간외],상세표[사번키],INDEX(합계표[사번키],$W930),상세표[반영월],대상월키))</f>
        <v/>
      </c>
      <c r="K930">
        <f>IF($W930="","",IFERROR(INDEX(월별근무지표[적용 급여병원],MATCH(INDEX(합계표[사번키],$W930)&amp;"|"&amp;대상월키,월별근무지표[키],0))&amp;"",IF(COUNTIF(기관표[사번키],INDEX(합계표[사번키],$W930))+COUNTIF(월별근무지표[사번키],INDEX(합계표[사번키],$W930))&gt;0,IFERROR(INDEX(기관표[급여지급병원(기준월)],MATCH(INDEX(합계표[사번키],$W930)&amp;"|"&amp;대상월키,기관표[키],0))&amp;"","—"),"—")))</f>
        <v/>
      </c>
      <c r="L930">
        <f>IF($W930="","",IF(NOT(COUNTIF(기관표[사번키],INDEX(합계표[사번키],$W930))+COUNTIF(월별근무지표[사번키],INDEX(합계표[사번키],$W930))&gt;0),"기관명단에 없음(다른 병원으로 발송)",IF($K930="—","대상월 기관명단 없음(추가 필요)",IF($K930="서울병원","해당","비해당"))))</f>
        <v/>
      </c>
      <c r="M930">
        <f>IF($W930="","",SUMIFS(상세표[06~07시],상세표[사번키],INDEX(합계표[사번키],$W930),상세표[반영월],대상월키,상세표[반영 기관],"서울병원"))</f>
        <v/>
      </c>
      <c r="N930">
        <f>IF($W930="","",SUMIFS(상세표[07~18시],상세표[사번키],INDEX(합계표[사번키],$W930),상세표[반영월],대상월키,상세표[반영 기관],"서울병원"))</f>
        <v/>
      </c>
      <c r="O930">
        <f>IF($W930="","",SUMIFS(상세표[18~22시],상세표[사번키],INDEX(합계표[사번키],$W930),상세표[반영월],대상월키,상세표[반영 기관],"서울병원"))</f>
        <v/>
      </c>
      <c r="P930">
        <f>IF($W930="","",SUMIFS(상세표[22~06시],상세표[사번키],INDEX(합계표[사번키],$W930),상세표[반영월],대상월키,상세표[반영 기관],"서울병원"))</f>
        <v/>
      </c>
      <c r="Q930">
        <f>IF($W930="","",SUM($M930:$P930))</f>
        <v/>
      </c>
      <c r="R930">
        <f>IF($W930="","",COUNTIFS(상세표[사번키],INDEX(합계표[사번키],$W930),상세표[반영월],대상월키,상세표[야간당직],1,상세표[야간 구분],"평일"))</f>
        <v/>
      </c>
      <c r="S930" s="4">
        <f>IF($W930="","",COUNTIFS(상세표[사번키],INDEX(합계표[사번키],$W930),상세표[반영월],대상월키,상세표[야간당직],1,상세표[야간 구분],"휴일"))</f>
        <v/>
      </c>
      <c r="T930">
        <f>IF($W930="","",COUNTIFS(상세표[사번키],INDEX(합계표[사번키],$W930),상세표[반영월],대상월키,상세표[야간당직],1,상세표[야간 구분],"평일",상세표[반영 기관],"서울병원"))</f>
        <v/>
      </c>
      <c r="U930">
        <f>IF($W930="","",COUNTIFS(상세표[사번키],INDEX(합계표[사번키],$W930),상세표[반영월],대상월키,상세표[야간당직],1,상세표[야간 구분],"휴일",상세표[반영 기관],"서울병원"))</f>
        <v/>
      </c>
      <c r="V930">
        <f>IF($W930="","",IF(ISNUMBER(MATCH(INDEX(합계표[사번키],$W930)&amp;"|"&amp;대상월키,월별근무지표[키],0)),"직접 입력",IF($K930="—","—","기관명단")))</f>
        <v/>
      </c>
      <c r="W930">
        <f>IFERROR(MATCH(925,합계표[판정순번],0),"")</f>
        <v/>
      </c>
    </row>
    <row r="931">
      <c r="A931">
        <f>IF($W931="","",INDEX(합계표[사번],$W931)&amp;"")</f>
        <v/>
      </c>
      <c r="B931">
        <f>IF($W931="","",INDEX(합계표[성명],$W931)&amp;"")</f>
        <v/>
      </c>
      <c r="C931">
        <f>IF($W931="","",INDEX(합계표[부서],$W931)&amp;"")</f>
        <v/>
      </c>
      <c r="D931">
        <f>IF($W931="","",INDEX(합계표[직위(통합)],$W931)&amp;"")</f>
        <v/>
      </c>
      <c r="E931">
        <f>IF($W931="","",SUMIFS(합계표[시스템 합계],합계표[사번키],INDEX(합계표[사번키],$W931)))</f>
        <v/>
      </c>
      <c r="F931">
        <f>IF($W931="","",SUMIFS(상세표[기록 시간외],상세표[사번키],INDEX(합계표[사번키],$W931),상세표[기록월],대상월키))</f>
        <v/>
      </c>
      <c r="G931">
        <f>IF($W931="","",IF(ABS($E931-$F931)&lt;0.01,"일치","불일치(차이 "&amp;TEXT($F931-$E931,"0.00")&amp;")"))</f>
        <v/>
      </c>
      <c r="H931">
        <f>IF($W931="","",SUMIFS(상세표[기록 시간외],상세표[사번키],INDEX(합계표[사번키],$W931),상세표[기록월],대상월키,상세표[반영월],"&lt;&gt;"&amp;대상월키))</f>
        <v/>
      </c>
      <c r="I931">
        <f>IF($W931="","",SUMIFS(상세표[기록 시간외],상세표[사번키],INDEX(합계표[사번키],$W931),상세표[기록월],"&lt;&gt;"&amp;대상월키,상세표[반영월],대상월키))</f>
        <v/>
      </c>
      <c r="J931">
        <f>IF($W931="","",SUMIFS(상세표[기록 시간외],상세표[사번키],INDEX(합계표[사번키],$W931),상세표[반영월],대상월키))</f>
        <v/>
      </c>
      <c r="K931">
        <f>IF($W931="","",IFERROR(INDEX(월별근무지표[적용 급여병원],MATCH(INDEX(합계표[사번키],$W931)&amp;"|"&amp;대상월키,월별근무지표[키],0))&amp;"",IF(COUNTIF(기관표[사번키],INDEX(합계표[사번키],$W931))+COUNTIF(월별근무지표[사번키],INDEX(합계표[사번키],$W931))&gt;0,IFERROR(INDEX(기관표[급여지급병원(기준월)],MATCH(INDEX(합계표[사번키],$W931)&amp;"|"&amp;대상월키,기관표[키],0))&amp;"","—"),"—")))</f>
        <v/>
      </c>
      <c r="L931">
        <f>IF($W931="","",IF(NOT(COUNTIF(기관표[사번키],INDEX(합계표[사번키],$W931))+COUNTIF(월별근무지표[사번키],INDEX(합계표[사번키],$W931))&gt;0),"기관명단에 없음(다른 병원으로 발송)",IF($K931="—","대상월 기관명단 없음(추가 필요)",IF($K931="서울병원","해당","비해당"))))</f>
        <v/>
      </c>
      <c r="M931">
        <f>IF($W931="","",SUMIFS(상세표[06~07시],상세표[사번키],INDEX(합계표[사번키],$W931),상세표[반영월],대상월키,상세표[반영 기관],"서울병원"))</f>
        <v/>
      </c>
      <c r="N931">
        <f>IF($W931="","",SUMIFS(상세표[07~18시],상세표[사번키],INDEX(합계표[사번키],$W931),상세표[반영월],대상월키,상세표[반영 기관],"서울병원"))</f>
        <v/>
      </c>
      <c r="O931">
        <f>IF($W931="","",SUMIFS(상세표[18~22시],상세표[사번키],INDEX(합계표[사번키],$W931),상세표[반영월],대상월키,상세표[반영 기관],"서울병원"))</f>
        <v/>
      </c>
      <c r="P931">
        <f>IF($W931="","",SUMIFS(상세표[22~06시],상세표[사번키],INDEX(합계표[사번키],$W931),상세표[반영월],대상월키,상세표[반영 기관],"서울병원"))</f>
        <v/>
      </c>
      <c r="Q931">
        <f>IF($W931="","",SUM($M931:$P931))</f>
        <v/>
      </c>
      <c r="R931">
        <f>IF($W931="","",COUNTIFS(상세표[사번키],INDEX(합계표[사번키],$W931),상세표[반영월],대상월키,상세표[야간당직],1,상세표[야간 구분],"평일"))</f>
        <v/>
      </c>
      <c r="S931" s="4">
        <f>IF($W931="","",COUNTIFS(상세표[사번키],INDEX(합계표[사번키],$W931),상세표[반영월],대상월키,상세표[야간당직],1,상세표[야간 구분],"휴일"))</f>
        <v/>
      </c>
      <c r="T931">
        <f>IF($W931="","",COUNTIFS(상세표[사번키],INDEX(합계표[사번키],$W931),상세표[반영월],대상월키,상세표[야간당직],1,상세표[야간 구분],"평일",상세표[반영 기관],"서울병원"))</f>
        <v/>
      </c>
      <c r="U931">
        <f>IF($W931="","",COUNTIFS(상세표[사번키],INDEX(합계표[사번키],$W931),상세표[반영월],대상월키,상세표[야간당직],1,상세표[야간 구분],"휴일",상세표[반영 기관],"서울병원"))</f>
        <v/>
      </c>
      <c r="V931">
        <f>IF($W931="","",IF(ISNUMBER(MATCH(INDEX(합계표[사번키],$W931)&amp;"|"&amp;대상월키,월별근무지표[키],0)),"직접 입력",IF($K931="—","—","기관명단")))</f>
        <v/>
      </c>
      <c r="W931">
        <f>IFERROR(MATCH(926,합계표[판정순번],0),"")</f>
        <v/>
      </c>
    </row>
    <row r="932">
      <c r="A932">
        <f>IF($W932="","",INDEX(합계표[사번],$W932)&amp;"")</f>
        <v/>
      </c>
      <c r="B932">
        <f>IF($W932="","",INDEX(합계표[성명],$W932)&amp;"")</f>
        <v/>
      </c>
      <c r="C932">
        <f>IF($W932="","",INDEX(합계표[부서],$W932)&amp;"")</f>
        <v/>
      </c>
      <c r="D932">
        <f>IF($W932="","",INDEX(합계표[직위(통합)],$W932)&amp;"")</f>
        <v/>
      </c>
      <c r="E932">
        <f>IF($W932="","",SUMIFS(합계표[시스템 합계],합계표[사번키],INDEX(합계표[사번키],$W932)))</f>
        <v/>
      </c>
      <c r="F932">
        <f>IF($W932="","",SUMIFS(상세표[기록 시간외],상세표[사번키],INDEX(합계표[사번키],$W932),상세표[기록월],대상월키))</f>
        <v/>
      </c>
      <c r="G932">
        <f>IF($W932="","",IF(ABS($E932-$F932)&lt;0.01,"일치","불일치(차이 "&amp;TEXT($F932-$E932,"0.00")&amp;")"))</f>
        <v/>
      </c>
      <c r="H932">
        <f>IF($W932="","",SUMIFS(상세표[기록 시간외],상세표[사번키],INDEX(합계표[사번키],$W932),상세표[기록월],대상월키,상세표[반영월],"&lt;&gt;"&amp;대상월키))</f>
        <v/>
      </c>
      <c r="I932">
        <f>IF($W932="","",SUMIFS(상세표[기록 시간외],상세표[사번키],INDEX(합계표[사번키],$W932),상세표[기록월],"&lt;&gt;"&amp;대상월키,상세표[반영월],대상월키))</f>
        <v/>
      </c>
      <c r="J932">
        <f>IF($W932="","",SUMIFS(상세표[기록 시간외],상세표[사번키],INDEX(합계표[사번키],$W932),상세표[반영월],대상월키))</f>
        <v/>
      </c>
      <c r="K932">
        <f>IF($W932="","",IFERROR(INDEX(월별근무지표[적용 급여병원],MATCH(INDEX(합계표[사번키],$W932)&amp;"|"&amp;대상월키,월별근무지표[키],0))&amp;"",IF(COUNTIF(기관표[사번키],INDEX(합계표[사번키],$W932))+COUNTIF(월별근무지표[사번키],INDEX(합계표[사번키],$W932))&gt;0,IFERROR(INDEX(기관표[급여지급병원(기준월)],MATCH(INDEX(합계표[사번키],$W932)&amp;"|"&amp;대상월키,기관표[키],0))&amp;"","—"),"—")))</f>
        <v/>
      </c>
      <c r="L932">
        <f>IF($W932="","",IF(NOT(COUNTIF(기관표[사번키],INDEX(합계표[사번키],$W932))+COUNTIF(월별근무지표[사번키],INDEX(합계표[사번키],$W932))&gt;0),"기관명단에 없음(다른 병원으로 발송)",IF($K932="—","대상월 기관명단 없음(추가 필요)",IF($K932="서울병원","해당","비해당"))))</f>
        <v/>
      </c>
      <c r="M932">
        <f>IF($W932="","",SUMIFS(상세표[06~07시],상세표[사번키],INDEX(합계표[사번키],$W932),상세표[반영월],대상월키,상세표[반영 기관],"서울병원"))</f>
        <v/>
      </c>
      <c r="N932">
        <f>IF($W932="","",SUMIFS(상세표[07~18시],상세표[사번키],INDEX(합계표[사번키],$W932),상세표[반영월],대상월키,상세표[반영 기관],"서울병원"))</f>
        <v/>
      </c>
      <c r="O932">
        <f>IF($W932="","",SUMIFS(상세표[18~22시],상세표[사번키],INDEX(합계표[사번키],$W932),상세표[반영월],대상월키,상세표[반영 기관],"서울병원"))</f>
        <v/>
      </c>
      <c r="P932">
        <f>IF($W932="","",SUMIFS(상세표[22~06시],상세표[사번키],INDEX(합계표[사번키],$W932),상세표[반영월],대상월키,상세표[반영 기관],"서울병원"))</f>
        <v/>
      </c>
      <c r="Q932">
        <f>IF($W932="","",SUM($M932:$P932))</f>
        <v/>
      </c>
      <c r="R932">
        <f>IF($W932="","",COUNTIFS(상세표[사번키],INDEX(합계표[사번키],$W932),상세표[반영월],대상월키,상세표[야간당직],1,상세표[야간 구분],"평일"))</f>
        <v/>
      </c>
      <c r="S932" s="4">
        <f>IF($W932="","",COUNTIFS(상세표[사번키],INDEX(합계표[사번키],$W932),상세표[반영월],대상월키,상세표[야간당직],1,상세표[야간 구분],"휴일"))</f>
        <v/>
      </c>
      <c r="T932">
        <f>IF($W932="","",COUNTIFS(상세표[사번키],INDEX(합계표[사번키],$W932),상세표[반영월],대상월키,상세표[야간당직],1,상세표[야간 구분],"평일",상세표[반영 기관],"서울병원"))</f>
        <v/>
      </c>
      <c r="U932">
        <f>IF($W932="","",COUNTIFS(상세표[사번키],INDEX(합계표[사번키],$W932),상세표[반영월],대상월키,상세표[야간당직],1,상세표[야간 구분],"휴일",상세표[반영 기관],"서울병원"))</f>
        <v/>
      </c>
      <c r="V932">
        <f>IF($W932="","",IF(ISNUMBER(MATCH(INDEX(합계표[사번키],$W932)&amp;"|"&amp;대상월키,월별근무지표[키],0)),"직접 입력",IF($K932="—","—","기관명단")))</f>
        <v/>
      </c>
      <c r="W932">
        <f>IFERROR(MATCH(927,합계표[판정순번],0),"")</f>
        <v/>
      </c>
    </row>
    <row r="933">
      <c r="A933">
        <f>IF($W933="","",INDEX(합계표[사번],$W933)&amp;"")</f>
        <v/>
      </c>
      <c r="B933">
        <f>IF($W933="","",INDEX(합계표[성명],$W933)&amp;"")</f>
        <v/>
      </c>
      <c r="C933">
        <f>IF($W933="","",INDEX(합계표[부서],$W933)&amp;"")</f>
        <v/>
      </c>
      <c r="D933">
        <f>IF($W933="","",INDEX(합계표[직위(통합)],$W933)&amp;"")</f>
        <v/>
      </c>
      <c r="E933">
        <f>IF($W933="","",SUMIFS(합계표[시스템 합계],합계표[사번키],INDEX(합계표[사번키],$W933)))</f>
        <v/>
      </c>
      <c r="F933">
        <f>IF($W933="","",SUMIFS(상세표[기록 시간외],상세표[사번키],INDEX(합계표[사번키],$W933),상세표[기록월],대상월키))</f>
        <v/>
      </c>
      <c r="G933">
        <f>IF($W933="","",IF(ABS($E933-$F933)&lt;0.01,"일치","불일치(차이 "&amp;TEXT($F933-$E933,"0.00")&amp;")"))</f>
        <v/>
      </c>
      <c r="H933">
        <f>IF($W933="","",SUMIFS(상세표[기록 시간외],상세표[사번키],INDEX(합계표[사번키],$W933),상세표[기록월],대상월키,상세표[반영월],"&lt;&gt;"&amp;대상월키))</f>
        <v/>
      </c>
      <c r="I933">
        <f>IF($W933="","",SUMIFS(상세표[기록 시간외],상세표[사번키],INDEX(합계표[사번키],$W933),상세표[기록월],"&lt;&gt;"&amp;대상월키,상세표[반영월],대상월키))</f>
        <v/>
      </c>
      <c r="J933">
        <f>IF($W933="","",SUMIFS(상세표[기록 시간외],상세표[사번키],INDEX(합계표[사번키],$W933),상세표[반영월],대상월키))</f>
        <v/>
      </c>
      <c r="K933">
        <f>IF($W933="","",IFERROR(INDEX(월별근무지표[적용 급여병원],MATCH(INDEX(합계표[사번키],$W933)&amp;"|"&amp;대상월키,월별근무지표[키],0))&amp;"",IF(COUNTIF(기관표[사번키],INDEX(합계표[사번키],$W933))+COUNTIF(월별근무지표[사번키],INDEX(합계표[사번키],$W933))&gt;0,IFERROR(INDEX(기관표[급여지급병원(기준월)],MATCH(INDEX(합계표[사번키],$W933)&amp;"|"&amp;대상월키,기관표[키],0))&amp;"","—"),"—")))</f>
        <v/>
      </c>
      <c r="L933">
        <f>IF($W933="","",IF(NOT(COUNTIF(기관표[사번키],INDEX(합계표[사번키],$W933))+COUNTIF(월별근무지표[사번키],INDEX(합계표[사번키],$W933))&gt;0),"기관명단에 없음(다른 병원으로 발송)",IF($K933="—","대상월 기관명단 없음(추가 필요)",IF($K933="서울병원","해당","비해당"))))</f>
        <v/>
      </c>
      <c r="M933">
        <f>IF($W933="","",SUMIFS(상세표[06~07시],상세표[사번키],INDEX(합계표[사번키],$W933),상세표[반영월],대상월키,상세표[반영 기관],"서울병원"))</f>
        <v/>
      </c>
      <c r="N933">
        <f>IF($W933="","",SUMIFS(상세표[07~18시],상세표[사번키],INDEX(합계표[사번키],$W933),상세표[반영월],대상월키,상세표[반영 기관],"서울병원"))</f>
        <v/>
      </c>
      <c r="O933">
        <f>IF($W933="","",SUMIFS(상세표[18~22시],상세표[사번키],INDEX(합계표[사번키],$W933),상세표[반영월],대상월키,상세표[반영 기관],"서울병원"))</f>
        <v/>
      </c>
      <c r="P933">
        <f>IF($W933="","",SUMIFS(상세표[22~06시],상세표[사번키],INDEX(합계표[사번키],$W933),상세표[반영월],대상월키,상세표[반영 기관],"서울병원"))</f>
        <v/>
      </c>
      <c r="Q933">
        <f>IF($W933="","",SUM($M933:$P933))</f>
        <v/>
      </c>
      <c r="R933">
        <f>IF($W933="","",COUNTIFS(상세표[사번키],INDEX(합계표[사번키],$W933),상세표[반영월],대상월키,상세표[야간당직],1,상세표[야간 구분],"평일"))</f>
        <v/>
      </c>
      <c r="S933" s="4">
        <f>IF($W933="","",COUNTIFS(상세표[사번키],INDEX(합계표[사번키],$W933),상세표[반영월],대상월키,상세표[야간당직],1,상세표[야간 구분],"휴일"))</f>
        <v/>
      </c>
      <c r="T933">
        <f>IF($W933="","",COUNTIFS(상세표[사번키],INDEX(합계표[사번키],$W933),상세표[반영월],대상월키,상세표[야간당직],1,상세표[야간 구분],"평일",상세표[반영 기관],"서울병원"))</f>
        <v/>
      </c>
      <c r="U933">
        <f>IF($W933="","",COUNTIFS(상세표[사번키],INDEX(합계표[사번키],$W933),상세표[반영월],대상월키,상세표[야간당직],1,상세표[야간 구분],"휴일",상세표[반영 기관],"서울병원"))</f>
        <v/>
      </c>
      <c r="V933">
        <f>IF($W933="","",IF(ISNUMBER(MATCH(INDEX(합계표[사번키],$W933)&amp;"|"&amp;대상월키,월별근무지표[키],0)),"직접 입력",IF($K933="—","—","기관명단")))</f>
        <v/>
      </c>
      <c r="W933">
        <f>IFERROR(MATCH(928,합계표[판정순번],0),"")</f>
        <v/>
      </c>
    </row>
    <row r="934">
      <c r="A934">
        <f>IF($W934="","",INDEX(합계표[사번],$W934)&amp;"")</f>
        <v/>
      </c>
      <c r="B934">
        <f>IF($W934="","",INDEX(합계표[성명],$W934)&amp;"")</f>
        <v/>
      </c>
      <c r="C934">
        <f>IF($W934="","",INDEX(합계표[부서],$W934)&amp;"")</f>
        <v/>
      </c>
      <c r="D934">
        <f>IF($W934="","",INDEX(합계표[직위(통합)],$W934)&amp;"")</f>
        <v/>
      </c>
      <c r="E934">
        <f>IF($W934="","",SUMIFS(합계표[시스템 합계],합계표[사번키],INDEX(합계표[사번키],$W934)))</f>
        <v/>
      </c>
      <c r="F934">
        <f>IF($W934="","",SUMIFS(상세표[기록 시간외],상세표[사번키],INDEX(합계표[사번키],$W934),상세표[기록월],대상월키))</f>
        <v/>
      </c>
      <c r="G934">
        <f>IF($W934="","",IF(ABS($E934-$F934)&lt;0.01,"일치","불일치(차이 "&amp;TEXT($F934-$E934,"0.00")&amp;")"))</f>
        <v/>
      </c>
      <c r="H934">
        <f>IF($W934="","",SUMIFS(상세표[기록 시간외],상세표[사번키],INDEX(합계표[사번키],$W934),상세표[기록월],대상월키,상세표[반영월],"&lt;&gt;"&amp;대상월키))</f>
        <v/>
      </c>
      <c r="I934">
        <f>IF($W934="","",SUMIFS(상세표[기록 시간외],상세표[사번키],INDEX(합계표[사번키],$W934),상세표[기록월],"&lt;&gt;"&amp;대상월키,상세표[반영월],대상월키))</f>
        <v/>
      </c>
      <c r="J934">
        <f>IF($W934="","",SUMIFS(상세표[기록 시간외],상세표[사번키],INDEX(합계표[사번키],$W934),상세표[반영월],대상월키))</f>
        <v/>
      </c>
      <c r="K934">
        <f>IF($W934="","",IFERROR(INDEX(월별근무지표[적용 급여병원],MATCH(INDEX(합계표[사번키],$W934)&amp;"|"&amp;대상월키,월별근무지표[키],0))&amp;"",IF(COUNTIF(기관표[사번키],INDEX(합계표[사번키],$W934))+COUNTIF(월별근무지표[사번키],INDEX(합계표[사번키],$W934))&gt;0,IFERROR(INDEX(기관표[급여지급병원(기준월)],MATCH(INDEX(합계표[사번키],$W934)&amp;"|"&amp;대상월키,기관표[키],0))&amp;"","—"),"—")))</f>
        <v/>
      </c>
      <c r="L934">
        <f>IF($W934="","",IF(NOT(COUNTIF(기관표[사번키],INDEX(합계표[사번키],$W934))+COUNTIF(월별근무지표[사번키],INDEX(합계표[사번키],$W934))&gt;0),"기관명단에 없음(다른 병원으로 발송)",IF($K934="—","대상월 기관명단 없음(추가 필요)",IF($K934="서울병원","해당","비해당"))))</f>
        <v/>
      </c>
      <c r="M934">
        <f>IF($W934="","",SUMIFS(상세표[06~07시],상세표[사번키],INDEX(합계표[사번키],$W934),상세표[반영월],대상월키,상세표[반영 기관],"서울병원"))</f>
        <v/>
      </c>
      <c r="N934">
        <f>IF($W934="","",SUMIFS(상세표[07~18시],상세표[사번키],INDEX(합계표[사번키],$W934),상세표[반영월],대상월키,상세표[반영 기관],"서울병원"))</f>
        <v/>
      </c>
      <c r="O934">
        <f>IF($W934="","",SUMIFS(상세표[18~22시],상세표[사번키],INDEX(합계표[사번키],$W934),상세표[반영월],대상월키,상세표[반영 기관],"서울병원"))</f>
        <v/>
      </c>
      <c r="P934">
        <f>IF($W934="","",SUMIFS(상세표[22~06시],상세표[사번키],INDEX(합계표[사번키],$W934),상세표[반영월],대상월키,상세표[반영 기관],"서울병원"))</f>
        <v/>
      </c>
      <c r="Q934">
        <f>IF($W934="","",SUM($M934:$P934))</f>
        <v/>
      </c>
      <c r="R934">
        <f>IF($W934="","",COUNTIFS(상세표[사번키],INDEX(합계표[사번키],$W934),상세표[반영월],대상월키,상세표[야간당직],1,상세표[야간 구분],"평일"))</f>
        <v/>
      </c>
      <c r="S934" s="4">
        <f>IF($W934="","",COUNTIFS(상세표[사번키],INDEX(합계표[사번키],$W934),상세표[반영월],대상월키,상세표[야간당직],1,상세표[야간 구분],"휴일"))</f>
        <v/>
      </c>
      <c r="T934">
        <f>IF($W934="","",COUNTIFS(상세표[사번키],INDEX(합계표[사번키],$W934),상세표[반영월],대상월키,상세표[야간당직],1,상세표[야간 구분],"평일",상세표[반영 기관],"서울병원"))</f>
        <v/>
      </c>
      <c r="U934">
        <f>IF($W934="","",COUNTIFS(상세표[사번키],INDEX(합계표[사번키],$W934),상세표[반영월],대상월키,상세표[야간당직],1,상세표[야간 구분],"휴일",상세표[반영 기관],"서울병원"))</f>
        <v/>
      </c>
      <c r="V934">
        <f>IF($W934="","",IF(ISNUMBER(MATCH(INDEX(합계표[사번키],$W934)&amp;"|"&amp;대상월키,월별근무지표[키],0)),"직접 입력",IF($K934="—","—","기관명단")))</f>
        <v/>
      </c>
      <c r="W934">
        <f>IFERROR(MATCH(929,합계표[판정순번],0),"")</f>
        <v/>
      </c>
    </row>
    <row r="935">
      <c r="A935">
        <f>IF($W935="","",INDEX(합계표[사번],$W935)&amp;"")</f>
        <v/>
      </c>
      <c r="B935">
        <f>IF($W935="","",INDEX(합계표[성명],$W935)&amp;"")</f>
        <v/>
      </c>
      <c r="C935">
        <f>IF($W935="","",INDEX(합계표[부서],$W935)&amp;"")</f>
        <v/>
      </c>
      <c r="D935">
        <f>IF($W935="","",INDEX(합계표[직위(통합)],$W935)&amp;"")</f>
        <v/>
      </c>
      <c r="E935">
        <f>IF($W935="","",SUMIFS(합계표[시스템 합계],합계표[사번키],INDEX(합계표[사번키],$W935)))</f>
        <v/>
      </c>
      <c r="F935">
        <f>IF($W935="","",SUMIFS(상세표[기록 시간외],상세표[사번키],INDEX(합계표[사번키],$W935),상세표[기록월],대상월키))</f>
        <v/>
      </c>
      <c r="G935">
        <f>IF($W935="","",IF(ABS($E935-$F935)&lt;0.01,"일치","불일치(차이 "&amp;TEXT($F935-$E935,"0.00")&amp;")"))</f>
        <v/>
      </c>
      <c r="H935">
        <f>IF($W935="","",SUMIFS(상세표[기록 시간외],상세표[사번키],INDEX(합계표[사번키],$W935),상세표[기록월],대상월키,상세표[반영월],"&lt;&gt;"&amp;대상월키))</f>
        <v/>
      </c>
      <c r="I935">
        <f>IF($W935="","",SUMIFS(상세표[기록 시간외],상세표[사번키],INDEX(합계표[사번키],$W935),상세표[기록월],"&lt;&gt;"&amp;대상월키,상세표[반영월],대상월키))</f>
        <v/>
      </c>
      <c r="J935">
        <f>IF($W935="","",SUMIFS(상세표[기록 시간외],상세표[사번키],INDEX(합계표[사번키],$W935),상세표[반영월],대상월키))</f>
        <v/>
      </c>
      <c r="K935">
        <f>IF($W935="","",IFERROR(INDEX(월별근무지표[적용 급여병원],MATCH(INDEX(합계표[사번키],$W935)&amp;"|"&amp;대상월키,월별근무지표[키],0))&amp;"",IF(COUNTIF(기관표[사번키],INDEX(합계표[사번키],$W935))+COUNTIF(월별근무지표[사번키],INDEX(합계표[사번키],$W935))&gt;0,IFERROR(INDEX(기관표[급여지급병원(기준월)],MATCH(INDEX(합계표[사번키],$W935)&amp;"|"&amp;대상월키,기관표[키],0))&amp;"","—"),"—")))</f>
        <v/>
      </c>
      <c r="L935">
        <f>IF($W935="","",IF(NOT(COUNTIF(기관표[사번키],INDEX(합계표[사번키],$W935))+COUNTIF(월별근무지표[사번키],INDEX(합계표[사번키],$W935))&gt;0),"기관명단에 없음(다른 병원으로 발송)",IF($K935="—","대상월 기관명단 없음(추가 필요)",IF($K935="서울병원","해당","비해당"))))</f>
        <v/>
      </c>
      <c r="M935">
        <f>IF($W935="","",SUMIFS(상세표[06~07시],상세표[사번키],INDEX(합계표[사번키],$W935),상세표[반영월],대상월키,상세표[반영 기관],"서울병원"))</f>
        <v/>
      </c>
      <c r="N935">
        <f>IF($W935="","",SUMIFS(상세표[07~18시],상세표[사번키],INDEX(합계표[사번키],$W935),상세표[반영월],대상월키,상세표[반영 기관],"서울병원"))</f>
        <v/>
      </c>
      <c r="O935">
        <f>IF($W935="","",SUMIFS(상세표[18~22시],상세표[사번키],INDEX(합계표[사번키],$W935),상세표[반영월],대상월키,상세표[반영 기관],"서울병원"))</f>
        <v/>
      </c>
      <c r="P935">
        <f>IF($W935="","",SUMIFS(상세표[22~06시],상세표[사번키],INDEX(합계표[사번키],$W935),상세표[반영월],대상월키,상세표[반영 기관],"서울병원"))</f>
        <v/>
      </c>
      <c r="Q935">
        <f>IF($W935="","",SUM($M935:$P935))</f>
        <v/>
      </c>
      <c r="R935">
        <f>IF($W935="","",COUNTIFS(상세표[사번키],INDEX(합계표[사번키],$W935),상세표[반영월],대상월키,상세표[야간당직],1,상세표[야간 구분],"평일"))</f>
        <v/>
      </c>
      <c r="S935" s="4">
        <f>IF($W935="","",COUNTIFS(상세표[사번키],INDEX(합계표[사번키],$W935),상세표[반영월],대상월키,상세표[야간당직],1,상세표[야간 구분],"휴일"))</f>
        <v/>
      </c>
      <c r="T935">
        <f>IF($W935="","",COUNTIFS(상세표[사번키],INDEX(합계표[사번키],$W935),상세표[반영월],대상월키,상세표[야간당직],1,상세표[야간 구분],"평일",상세표[반영 기관],"서울병원"))</f>
        <v/>
      </c>
      <c r="U935">
        <f>IF($W935="","",COUNTIFS(상세표[사번키],INDEX(합계표[사번키],$W935),상세표[반영월],대상월키,상세표[야간당직],1,상세표[야간 구분],"휴일",상세표[반영 기관],"서울병원"))</f>
        <v/>
      </c>
      <c r="V935">
        <f>IF($W935="","",IF(ISNUMBER(MATCH(INDEX(합계표[사번키],$W935)&amp;"|"&amp;대상월키,월별근무지표[키],0)),"직접 입력",IF($K935="—","—","기관명단")))</f>
        <v/>
      </c>
      <c r="W935">
        <f>IFERROR(MATCH(930,합계표[판정순번],0),"")</f>
        <v/>
      </c>
    </row>
    <row r="936">
      <c r="A936">
        <f>IF($W936="","",INDEX(합계표[사번],$W936)&amp;"")</f>
        <v/>
      </c>
      <c r="B936">
        <f>IF($W936="","",INDEX(합계표[성명],$W936)&amp;"")</f>
        <v/>
      </c>
      <c r="C936">
        <f>IF($W936="","",INDEX(합계표[부서],$W936)&amp;"")</f>
        <v/>
      </c>
      <c r="D936">
        <f>IF($W936="","",INDEX(합계표[직위(통합)],$W936)&amp;"")</f>
        <v/>
      </c>
      <c r="E936">
        <f>IF($W936="","",SUMIFS(합계표[시스템 합계],합계표[사번키],INDEX(합계표[사번키],$W936)))</f>
        <v/>
      </c>
      <c r="F936">
        <f>IF($W936="","",SUMIFS(상세표[기록 시간외],상세표[사번키],INDEX(합계표[사번키],$W936),상세표[기록월],대상월키))</f>
        <v/>
      </c>
      <c r="G936">
        <f>IF($W936="","",IF(ABS($E936-$F936)&lt;0.01,"일치","불일치(차이 "&amp;TEXT($F936-$E936,"0.00")&amp;")"))</f>
        <v/>
      </c>
      <c r="H936">
        <f>IF($W936="","",SUMIFS(상세표[기록 시간외],상세표[사번키],INDEX(합계표[사번키],$W936),상세표[기록월],대상월키,상세표[반영월],"&lt;&gt;"&amp;대상월키))</f>
        <v/>
      </c>
      <c r="I936">
        <f>IF($W936="","",SUMIFS(상세표[기록 시간외],상세표[사번키],INDEX(합계표[사번키],$W936),상세표[기록월],"&lt;&gt;"&amp;대상월키,상세표[반영월],대상월키))</f>
        <v/>
      </c>
      <c r="J936">
        <f>IF($W936="","",SUMIFS(상세표[기록 시간외],상세표[사번키],INDEX(합계표[사번키],$W936),상세표[반영월],대상월키))</f>
        <v/>
      </c>
      <c r="K936">
        <f>IF($W936="","",IFERROR(INDEX(월별근무지표[적용 급여병원],MATCH(INDEX(합계표[사번키],$W936)&amp;"|"&amp;대상월키,월별근무지표[키],0))&amp;"",IF(COUNTIF(기관표[사번키],INDEX(합계표[사번키],$W936))+COUNTIF(월별근무지표[사번키],INDEX(합계표[사번키],$W936))&gt;0,IFERROR(INDEX(기관표[급여지급병원(기준월)],MATCH(INDEX(합계표[사번키],$W936)&amp;"|"&amp;대상월키,기관표[키],0))&amp;"","—"),"—")))</f>
        <v/>
      </c>
      <c r="L936">
        <f>IF($W936="","",IF(NOT(COUNTIF(기관표[사번키],INDEX(합계표[사번키],$W936))+COUNTIF(월별근무지표[사번키],INDEX(합계표[사번키],$W936))&gt;0),"기관명단에 없음(다른 병원으로 발송)",IF($K936="—","대상월 기관명단 없음(추가 필요)",IF($K936="서울병원","해당","비해당"))))</f>
        <v/>
      </c>
      <c r="M936">
        <f>IF($W936="","",SUMIFS(상세표[06~07시],상세표[사번키],INDEX(합계표[사번키],$W936),상세표[반영월],대상월키,상세표[반영 기관],"서울병원"))</f>
        <v/>
      </c>
      <c r="N936">
        <f>IF($W936="","",SUMIFS(상세표[07~18시],상세표[사번키],INDEX(합계표[사번키],$W936),상세표[반영월],대상월키,상세표[반영 기관],"서울병원"))</f>
        <v/>
      </c>
      <c r="O936">
        <f>IF($W936="","",SUMIFS(상세표[18~22시],상세표[사번키],INDEX(합계표[사번키],$W936),상세표[반영월],대상월키,상세표[반영 기관],"서울병원"))</f>
        <v/>
      </c>
      <c r="P936">
        <f>IF($W936="","",SUMIFS(상세표[22~06시],상세표[사번키],INDEX(합계표[사번키],$W936),상세표[반영월],대상월키,상세표[반영 기관],"서울병원"))</f>
        <v/>
      </c>
      <c r="Q936">
        <f>IF($W936="","",SUM($M936:$P936))</f>
        <v/>
      </c>
      <c r="R936">
        <f>IF($W936="","",COUNTIFS(상세표[사번키],INDEX(합계표[사번키],$W936),상세표[반영월],대상월키,상세표[야간당직],1,상세표[야간 구분],"평일"))</f>
        <v/>
      </c>
      <c r="S936" s="4">
        <f>IF($W936="","",COUNTIFS(상세표[사번키],INDEX(합계표[사번키],$W936),상세표[반영월],대상월키,상세표[야간당직],1,상세표[야간 구분],"휴일"))</f>
        <v/>
      </c>
      <c r="T936">
        <f>IF($W936="","",COUNTIFS(상세표[사번키],INDEX(합계표[사번키],$W936),상세표[반영월],대상월키,상세표[야간당직],1,상세표[야간 구분],"평일",상세표[반영 기관],"서울병원"))</f>
        <v/>
      </c>
      <c r="U936">
        <f>IF($W936="","",COUNTIFS(상세표[사번키],INDEX(합계표[사번키],$W936),상세표[반영월],대상월키,상세표[야간당직],1,상세표[야간 구분],"휴일",상세표[반영 기관],"서울병원"))</f>
        <v/>
      </c>
      <c r="V936">
        <f>IF($W936="","",IF(ISNUMBER(MATCH(INDEX(합계표[사번키],$W936)&amp;"|"&amp;대상월키,월별근무지표[키],0)),"직접 입력",IF($K936="—","—","기관명단")))</f>
        <v/>
      </c>
      <c r="W936">
        <f>IFERROR(MATCH(931,합계표[판정순번],0),"")</f>
        <v/>
      </c>
    </row>
    <row r="937">
      <c r="A937">
        <f>IF($W937="","",INDEX(합계표[사번],$W937)&amp;"")</f>
        <v/>
      </c>
      <c r="B937">
        <f>IF($W937="","",INDEX(합계표[성명],$W937)&amp;"")</f>
        <v/>
      </c>
      <c r="C937">
        <f>IF($W937="","",INDEX(합계표[부서],$W937)&amp;"")</f>
        <v/>
      </c>
      <c r="D937">
        <f>IF($W937="","",INDEX(합계표[직위(통합)],$W937)&amp;"")</f>
        <v/>
      </c>
      <c r="E937">
        <f>IF($W937="","",SUMIFS(합계표[시스템 합계],합계표[사번키],INDEX(합계표[사번키],$W937)))</f>
        <v/>
      </c>
      <c r="F937">
        <f>IF($W937="","",SUMIFS(상세표[기록 시간외],상세표[사번키],INDEX(합계표[사번키],$W937),상세표[기록월],대상월키))</f>
        <v/>
      </c>
      <c r="G937">
        <f>IF($W937="","",IF(ABS($E937-$F937)&lt;0.01,"일치","불일치(차이 "&amp;TEXT($F937-$E937,"0.00")&amp;")"))</f>
        <v/>
      </c>
      <c r="H937">
        <f>IF($W937="","",SUMIFS(상세표[기록 시간외],상세표[사번키],INDEX(합계표[사번키],$W937),상세표[기록월],대상월키,상세표[반영월],"&lt;&gt;"&amp;대상월키))</f>
        <v/>
      </c>
      <c r="I937">
        <f>IF($W937="","",SUMIFS(상세표[기록 시간외],상세표[사번키],INDEX(합계표[사번키],$W937),상세표[기록월],"&lt;&gt;"&amp;대상월키,상세표[반영월],대상월키))</f>
        <v/>
      </c>
      <c r="J937">
        <f>IF($W937="","",SUMIFS(상세표[기록 시간외],상세표[사번키],INDEX(합계표[사번키],$W937),상세표[반영월],대상월키))</f>
        <v/>
      </c>
      <c r="K937">
        <f>IF($W937="","",IFERROR(INDEX(월별근무지표[적용 급여병원],MATCH(INDEX(합계표[사번키],$W937)&amp;"|"&amp;대상월키,월별근무지표[키],0))&amp;"",IF(COUNTIF(기관표[사번키],INDEX(합계표[사번키],$W937))+COUNTIF(월별근무지표[사번키],INDEX(합계표[사번키],$W937))&gt;0,IFERROR(INDEX(기관표[급여지급병원(기준월)],MATCH(INDEX(합계표[사번키],$W937)&amp;"|"&amp;대상월키,기관표[키],0))&amp;"","—"),"—")))</f>
        <v/>
      </c>
      <c r="L937">
        <f>IF($W937="","",IF(NOT(COUNTIF(기관표[사번키],INDEX(합계표[사번키],$W937))+COUNTIF(월별근무지표[사번키],INDEX(합계표[사번키],$W937))&gt;0),"기관명단에 없음(다른 병원으로 발송)",IF($K937="—","대상월 기관명단 없음(추가 필요)",IF($K937="서울병원","해당","비해당"))))</f>
        <v/>
      </c>
      <c r="M937">
        <f>IF($W937="","",SUMIFS(상세표[06~07시],상세표[사번키],INDEX(합계표[사번키],$W937),상세표[반영월],대상월키,상세표[반영 기관],"서울병원"))</f>
        <v/>
      </c>
      <c r="N937">
        <f>IF($W937="","",SUMIFS(상세표[07~18시],상세표[사번키],INDEX(합계표[사번키],$W937),상세표[반영월],대상월키,상세표[반영 기관],"서울병원"))</f>
        <v/>
      </c>
      <c r="O937">
        <f>IF($W937="","",SUMIFS(상세표[18~22시],상세표[사번키],INDEX(합계표[사번키],$W937),상세표[반영월],대상월키,상세표[반영 기관],"서울병원"))</f>
        <v/>
      </c>
      <c r="P937">
        <f>IF($W937="","",SUMIFS(상세표[22~06시],상세표[사번키],INDEX(합계표[사번키],$W937),상세표[반영월],대상월키,상세표[반영 기관],"서울병원"))</f>
        <v/>
      </c>
      <c r="Q937">
        <f>IF($W937="","",SUM($M937:$P937))</f>
        <v/>
      </c>
      <c r="R937">
        <f>IF($W937="","",COUNTIFS(상세표[사번키],INDEX(합계표[사번키],$W937),상세표[반영월],대상월키,상세표[야간당직],1,상세표[야간 구분],"평일"))</f>
        <v/>
      </c>
      <c r="S937" s="4">
        <f>IF($W937="","",COUNTIFS(상세표[사번키],INDEX(합계표[사번키],$W937),상세표[반영월],대상월키,상세표[야간당직],1,상세표[야간 구분],"휴일"))</f>
        <v/>
      </c>
      <c r="T937">
        <f>IF($W937="","",COUNTIFS(상세표[사번키],INDEX(합계표[사번키],$W937),상세표[반영월],대상월키,상세표[야간당직],1,상세표[야간 구분],"평일",상세표[반영 기관],"서울병원"))</f>
        <v/>
      </c>
      <c r="U937">
        <f>IF($W937="","",COUNTIFS(상세표[사번키],INDEX(합계표[사번키],$W937),상세표[반영월],대상월키,상세표[야간당직],1,상세표[야간 구분],"휴일",상세표[반영 기관],"서울병원"))</f>
        <v/>
      </c>
      <c r="V937">
        <f>IF($W937="","",IF(ISNUMBER(MATCH(INDEX(합계표[사번키],$W937)&amp;"|"&amp;대상월키,월별근무지표[키],0)),"직접 입력",IF($K937="—","—","기관명단")))</f>
        <v/>
      </c>
      <c r="W937">
        <f>IFERROR(MATCH(932,합계표[판정순번],0),"")</f>
        <v/>
      </c>
    </row>
    <row r="938">
      <c r="A938">
        <f>IF($W938="","",INDEX(합계표[사번],$W938)&amp;"")</f>
        <v/>
      </c>
      <c r="B938">
        <f>IF($W938="","",INDEX(합계표[성명],$W938)&amp;"")</f>
        <v/>
      </c>
      <c r="C938">
        <f>IF($W938="","",INDEX(합계표[부서],$W938)&amp;"")</f>
        <v/>
      </c>
      <c r="D938">
        <f>IF($W938="","",INDEX(합계표[직위(통합)],$W938)&amp;"")</f>
        <v/>
      </c>
      <c r="E938">
        <f>IF($W938="","",SUMIFS(합계표[시스템 합계],합계표[사번키],INDEX(합계표[사번키],$W938)))</f>
        <v/>
      </c>
      <c r="F938">
        <f>IF($W938="","",SUMIFS(상세표[기록 시간외],상세표[사번키],INDEX(합계표[사번키],$W938),상세표[기록월],대상월키))</f>
        <v/>
      </c>
      <c r="G938">
        <f>IF($W938="","",IF(ABS($E938-$F938)&lt;0.01,"일치","불일치(차이 "&amp;TEXT($F938-$E938,"0.00")&amp;")"))</f>
        <v/>
      </c>
      <c r="H938">
        <f>IF($W938="","",SUMIFS(상세표[기록 시간외],상세표[사번키],INDEX(합계표[사번키],$W938),상세표[기록월],대상월키,상세표[반영월],"&lt;&gt;"&amp;대상월키))</f>
        <v/>
      </c>
      <c r="I938">
        <f>IF($W938="","",SUMIFS(상세표[기록 시간외],상세표[사번키],INDEX(합계표[사번키],$W938),상세표[기록월],"&lt;&gt;"&amp;대상월키,상세표[반영월],대상월키))</f>
        <v/>
      </c>
      <c r="J938">
        <f>IF($W938="","",SUMIFS(상세표[기록 시간외],상세표[사번키],INDEX(합계표[사번키],$W938),상세표[반영월],대상월키))</f>
        <v/>
      </c>
      <c r="K938">
        <f>IF($W938="","",IFERROR(INDEX(월별근무지표[적용 급여병원],MATCH(INDEX(합계표[사번키],$W938)&amp;"|"&amp;대상월키,월별근무지표[키],0))&amp;"",IF(COUNTIF(기관표[사번키],INDEX(합계표[사번키],$W938))+COUNTIF(월별근무지표[사번키],INDEX(합계표[사번키],$W938))&gt;0,IFERROR(INDEX(기관표[급여지급병원(기준월)],MATCH(INDEX(합계표[사번키],$W938)&amp;"|"&amp;대상월키,기관표[키],0))&amp;"","—"),"—")))</f>
        <v/>
      </c>
      <c r="L938">
        <f>IF($W938="","",IF(NOT(COUNTIF(기관표[사번키],INDEX(합계표[사번키],$W938))+COUNTIF(월별근무지표[사번키],INDEX(합계표[사번키],$W938))&gt;0),"기관명단에 없음(다른 병원으로 발송)",IF($K938="—","대상월 기관명단 없음(추가 필요)",IF($K938="서울병원","해당","비해당"))))</f>
        <v/>
      </c>
      <c r="M938">
        <f>IF($W938="","",SUMIFS(상세표[06~07시],상세표[사번키],INDEX(합계표[사번키],$W938),상세표[반영월],대상월키,상세표[반영 기관],"서울병원"))</f>
        <v/>
      </c>
      <c r="N938">
        <f>IF($W938="","",SUMIFS(상세표[07~18시],상세표[사번키],INDEX(합계표[사번키],$W938),상세표[반영월],대상월키,상세표[반영 기관],"서울병원"))</f>
        <v/>
      </c>
      <c r="O938">
        <f>IF($W938="","",SUMIFS(상세표[18~22시],상세표[사번키],INDEX(합계표[사번키],$W938),상세표[반영월],대상월키,상세표[반영 기관],"서울병원"))</f>
        <v/>
      </c>
      <c r="P938">
        <f>IF($W938="","",SUMIFS(상세표[22~06시],상세표[사번키],INDEX(합계표[사번키],$W938),상세표[반영월],대상월키,상세표[반영 기관],"서울병원"))</f>
        <v/>
      </c>
      <c r="Q938">
        <f>IF($W938="","",SUM($M938:$P938))</f>
        <v/>
      </c>
      <c r="R938">
        <f>IF($W938="","",COUNTIFS(상세표[사번키],INDEX(합계표[사번키],$W938),상세표[반영월],대상월키,상세표[야간당직],1,상세표[야간 구분],"평일"))</f>
        <v/>
      </c>
      <c r="S938" s="4">
        <f>IF($W938="","",COUNTIFS(상세표[사번키],INDEX(합계표[사번키],$W938),상세표[반영월],대상월키,상세표[야간당직],1,상세표[야간 구분],"휴일"))</f>
        <v/>
      </c>
      <c r="T938">
        <f>IF($W938="","",COUNTIFS(상세표[사번키],INDEX(합계표[사번키],$W938),상세표[반영월],대상월키,상세표[야간당직],1,상세표[야간 구분],"평일",상세표[반영 기관],"서울병원"))</f>
        <v/>
      </c>
      <c r="U938">
        <f>IF($W938="","",COUNTIFS(상세표[사번키],INDEX(합계표[사번키],$W938),상세표[반영월],대상월키,상세표[야간당직],1,상세표[야간 구분],"휴일",상세표[반영 기관],"서울병원"))</f>
        <v/>
      </c>
      <c r="V938">
        <f>IF($W938="","",IF(ISNUMBER(MATCH(INDEX(합계표[사번키],$W938)&amp;"|"&amp;대상월키,월별근무지표[키],0)),"직접 입력",IF($K938="—","—","기관명단")))</f>
        <v/>
      </c>
      <c r="W938">
        <f>IFERROR(MATCH(933,합계표[판정순번],0),"")</f>
        <v/>
      </c>
    </row>
    <row r="939">
      <c r="A939">
        <f>IF($W939="","",INDEX(합계표[사번],$W939)&amp;"")</f>
        <v/>
      </c>
      <c r="B939">
        <f>IF($W939="","",INDEX(합계표[성명],$W939)&amp;"")</f>
        <v/>
      </c>
      <c r="C939">
        <f>IF($W939="","",INDEX(합계표[부서],$W939)&amp;"")</f>
        <v/>
      </c>
      <c r="D939">
        <f>IF($W939="","",INDEX(합계표[직위(통합)],$W939)&amp;"")</f>
        <v/>
      </c>
      <c r="E939">
        <f>IF($W939="","",SUMIFS(합계표[시스템 합계],합계표[사번키],INDEX(합계표[사번키],$W939)))</f>
        <v/>
      </c>
      <c r="F939">
        <f>IF($W939="","",SUMIFS(상세표[기록 시간외],상세표[사번키],INDEX(합계표[사번키],$W939),상세표[기록월],대상월키))</f>
        <v/>
      </c>
      <c r="G939">
        <f>IF($W939="","",IF(ABS($E939-$F939)&lt;0.01,"일치","불일치(차이 "&amp;TEXT($F939-$E939,"0.00")&amp;")"))</f>
        <v/>
      </c>
      <c r="H939">
        <f>IF($W939="","",SUMIFS(상세표[기록 시간외],상세표[사번키],INDEX(합계표[사번키],$W939),상세표[기록월],대상월키,상세표[반영월],"&lt;&gt;"&amp;대상월키))</f>
        <v/>
      </c>
      <c r="I939">
        <f>IF($W939="","",SUMIFS(상세표[기록 시간외],상세표[사번키],INDEX(합계표[사번키],$W939),상세표[기록월],"&lt;&gt;"&amp;대상월키,상세표[반영월],대상월키))</f>
        <v/>
      </c>
      <c r="J939">
        <f>IF($W939="","",SUMIFS(상세표[기록 시간외],상세표[사번키],INDEX(합계표[사번키],$W939),상세표[반영월],대상월키))</f>
        <v/>
      </c>
      <c r="K939">
        <f>IF($W939="","",IFERROR(INDEX(월별근무지표[적용 급여병원],MATCH(INDEX(합계표[사번키],$W939)&amp;"|"&amp;대상월키,월별근무지표[키],0))&amp;"",IF(COUNTIF(기관표[사번키],INDEX(합계표[사번키],$W939))+COUNTIF(월별근무지표[사번키],INDEX(합계표[사번키],$W939))&gt;0,IFERROR(INDEX(기관표[급여지급병원(기준월)],MATCH(INDEX(합계표[사번키],$W939)&amp;"|"&amp;대상월키,기관표[키],0))&amp;"","—"),"—")))</f>
        <v/>
      </c>
      <c r="L939">
        <f>IF($W939="","",IF(NOT(COUNTIF(기관표[사번키],INDEX(합계표[사번키],$W939))+COUNTIF(월별근무지표[사번키],INDEX(합계표[사번키],$W939))&gt;0),"기관명단에 없음(다른 병원으로 발송)",IF($K939="—","대상월 기관명단 없음(추가 필요)",IF($K939="서울병원","해당","비해당"))))</f>
        <v/>
      </c>
      <c r="M939">
        <f>IF($W939="","",SUMIFS(상세표[06~07시],상세표[사번키],INDEX(합계표[사번키],$W939),상세표[반영월],대상월키,상세표[반영 기관],"서울병원"))</f>
        <v/>
      </c>
      <c r="N939">
        <f>IF($W939="","",SUMIFS(상세표[07~18시],상세표[사번키],INDEX(합계표[사번키],$W939),상세표[반영월],대상월키,상세표[반영 기관],"서울병원"))</f>
        <v/>
      </c>
      <c r="O939">
        <f>IF($W939="","",SUMIFS(상세표[18~22시],상세표[사번키],INDEX(합계표[사번키],$W939),상세표[반영월],대상월키,상세표[반영 기관],"서울병원"))</f>
        <v/>
      </c>
      <c r="P939">
        <f>IF($W939="","",SUMIFS(상세표[22~06시],상세표[사번키],INDEX(합계표[사번키],$W939),상세표[반영월],대상월키,상세표[반영 기관],"서울병원"))</f>
        <v/>
      </c>
      <c r="Q939">
        <f>IF($W939="","",SUM($M939:$P939))</f>
        <v/>
      </c>
      <c r="R939">
        <f>IF($W939="","",COUNTIFS(상세표[사번키],INDEX(합계표[사번키],$W939),상세표[반영월],대상월키,상세표[야간당직],1,상세표[야간 구분],"평일"))</f>
        <v/>
      </c>
      <c r="S939" s="4">
        <f>IF($W939="","",COUNTIFS(상세표[사번키],INDEX(합계표[사번키],$W939),상세표[반영월],대상월키,상세표[야간당직],1,상세표[야간 구분],"휴일"))</f>
        <v/>
      </c>
      <c r="T939">
        <f>IF($W939="","",COUNTIFS(상세표[사번키],INDEX(합계표[사번키],$W939),상세표[반영월],대상월키,상세표[야간당직],1,상세표[야간 구분],"평일",상세표[반영 기관],"서울병원"))</f>
        <v/>
      </c>
      <c r="U939">
        <f>IF($W939="","",COUNTIFS(상세표[사번키],INDEX(합계표[사번키],$W939),상세표[반영월],대상월키,상세표[야간당직],1,상세표[야간 구분],"휴일",상세표[반영 기관],"서울병원"))</f>
        <v/>
      </c>
      <c r="V939">
        <f>IF($W939="","",IF(ISNUMBER(MATCH(INDEX(합계표[사번키],$W939)&amp;"|"&amp;대상월키,월별근무지표[키],0)),"직접 입력",IF($K939="—","—","기관명단")))</f>
        <v/>
      </c>
      <c r="W939">
        <f>IFERROR(MATCH(934,합계표[판정순번],0),"")</f>
        <v/>
      </c>
    </row>
    <row r="940">
      <c r="A940">
        <f>IF($W940="","",INDEX(합계표[사번],$W940)&amp;"")</f>
        <v/>
      </c>
      <c r="B940">
        <f>IF($W940="","",INDEX(합계표[성명],$W940)&amp;"")</f>
        <v/>
      </c>
      <c r="C940">
        <f>IF($W940="","",INDEX(합계표[부서],$W940)&amp;"")</f>
        <v/>
      </c>
      <c r="D940">
        <f>IF($W940="","",INDEX(합계표[직위(통합)],$W940)&amp;"")</f>
        <v/>
      </c>
      <c r="E940">
        <f>IF($W940="","",SUMIFS(합계표[시스템 합계],합계표[사번키],INDEX(합계표[사번키],$W940)))</f>
        <v/>
      </c>
      <c r="F940">
        <f>IF($W940="","",SUMIFS(상세표[기록 시간외],상세표[사번키],INDEX(합계표[사번키],$W940),상세표[기록월],대상월키))</f>
        <v/>
      </c>
      <c r="G940">
        <f>IF($W940="","",IF(ABS($E940-$F940)&lt;0.01,"일치","불일치(차이 "&amp;TEXT($F940-$E940,"0.00")&amp;")"))</f>
        <v/>
      </c>
      <c r="H940">
        <f>IF($W940="","",SUMIFS(상세표[기록 시간외],상세표[사번키],INDEX(합계표[사번키],$W940),상세표[기록월],대상월키,상세표[반영월],"&lt;&gt;"&amp;대상월키))</f>
        <v/>
      </c>
      <c r="I940">
        <f>IF($W940="","",SUMIFS(상세표[기록 시간외],상세표[사번키],INDEX(합계표[사번키],$W940),상세표[기록월],"&lt;&gt;"&amp;대상월키,상세표[반영월],대상월키))</f>
        <v/>
      </c>
      <c r="J940">
        <f>IF($W940="","",SUMIFS(상세표[기록 시간외],상세표[사번키],INDEX(합계표[사번키],$W940),상세표[반영월],대상월키))</f>
        <v/>
      </c>
      <c r="K940">
        <f>IF($W940="","",IFERROR(INDEX(월별근무지표[적용 급여병원],MATCH(INDEX(합계표[사번키],$W940)&amp;"|"&amp;대상월키,월별근무지표[키],0))&amp;"",IF(COUNTIF(기관표[사번키],INDEX(합계표[사번키],$W940))+COUNTIF(월별근무지표[사번키],INDEX(합계표[사번키],$W940))&gt;0,IFERROR(INDEX(기관표[급여지급병원(기준월)],MATCH(INDEX(합계표[사번키],$W940)&amp;"|"&amp;대상월키,기관표[키],0))&amp;"","—"),"—")))</f>
        <v/>
      </c>
      <c r="L940">
        <f>IF($W940="","",IF(NOT(COUNTIF(기관표[사번키],INDEX(합계표[사번키],$W940))+COUNTIF(월별근무지표[사번키],INDEX(합계표[사번키],$W940))&gt;0),"기관명단에 없음(다른 병원으로 발송)",IF($K940="—","대상월 기관명단 없음(추가 필요)",IF($K940="서울병원","해당","비해당"))))</f>
        <v/>
      </c>
      <c r="M940">
        <f>IF($W940="","",SUMIFS(상세표[06~07시],상세표[사번키],INDEX(합계표[사번키],$W940),상세표[반영월],대상월키,상세표[반영 기관],"서울병원"))</f>
        <v/>
      </c>
      <c r="N940">
        <f>IF($W940="","",SUMIFS(상세표[07~18시],상세표[사번키],INDEX(합계표[사번키],$W940),상세표[반영월],대상월키,상세표[반영 기관],"서울병원"))</f>
        <v/>
      </c>
      <c r="O940">
        <f>IF($W940="","",SUMIFS(상세표[18~22시],상세표[사번키],INDEX(합계표[사번키],$W940),상세표[반영월],대상월키,상세표[반영 기관],"서울병원"))</f>
        <v/>
      </c>
      <c r="P940">
        <f>IF($W940="","",SUMIFS(상세표[22~06시],상세표[사번키],INDEX(합계표[사번키],$W940),상세표[반영월],대상월키,상세표[반영 기관],"서울병원"))</f>
        <v/>
      </c>
      <c r="Q940">
        <f>IF($W940="","",SUM($M940:$P940))</f>
        <v/>
      </c>
      <c r="R940">
        <f>IF($W940="","",COUNTIFS(상세표[사번키],INDEX(합계표[사번키],$W940),상세표[반영월],대상월키,상세표[야간당직],1,상세표[야간 구분],"평일"))</f>
        <v/>
      </c>
      <c r="S940" s="4">
        <f>IF($W940="","",COUNTIFS(상세표[사번키],INDEX(합계표[사번키],$W940),상세표[반영월],대상월키,상세표[야간당직],1,상세표[야간 구분],"휴일"))</f>
        <v/>
      </c>
      <c r="T940">
        <f>IF($W940="","",COUNTIFS(상세표[사번키],INDEX(합계표[사번키],$W940),상세표[반영월],대상월키,상세표[야간당직],1,상세표[야간 구분],"평일",상세표[반영 기관],"서울병원"))</f>
        <v/>
      </c>
      <c r="U940">
        <f>IF($W940="","",COUNTIFS(상세표[사번키],INDEX(합계표[사번키],$W940),상세표[반영월],대상월키,상세표[야간당직],1,상세표[야간 구분],"휴일",상세표[반영 기관],"서울병원"))</f>
        <v/>
      </c>
      <c r="V940">
        <f>IF($W940="","",IF(ISNUMBER(MATCH(INDEX(합계표[사번키],$W940)&amp;"|"&amp;대상월키,월별근무지표[키],0)),"직접 입력",IF($K940="—","—","기관명단")))</f>
        <v/>
      </c>
      <c r="W940">
        <f>IFERROR(MATCH(935,합계표[판정순번],0),"")</f>
        <v/>
      </c>
    </row>
    <row r="941">
      <c r="A941">
        <f>IF($W941="","",INDEX(합계표[사번],$W941)&amp;"")</f>
        <v/>
      </c>
      <c r="B941">
        <f>IF($W941="","",INDEX(합계표[성명],$W941)&amp;"")</f>
        <v/>
      </c>
      <c r="C941">
        <f>IF($W941="","",INDEX(합계표[부서],$W941)&amp;"")</f>
        <v/>
      </c>
      <c r="D941">
        <f>IF($W941="","",INDEX(합계표[직위(통합)],$W941)&amp;"")</f>
        <v/>
      </c>
      <c r="E941">
        <f>IF($W941="","",SUMIFS(합계표[시스템 합계],합계표[사번키],INDEX(합계표[사번키],$W941)))</f>
        <v/>
      </c>
      <c r="F941">
        <f>IF($W941="","",SUMIFS(상세표[기록 시간외],상세표[사번키],INDEX(합계표[사번키],$W941),상세표[기록월],대상월키))</f>
        <v/>
      </c>
      <c r="G941">
        <f>IF($W941="","",IF(ABS($E941-$F941)&lt;0.01,"일치","불일치(차이 "&amp;TEXT($F941-$E941,"0.00")&amp;")"))</f>
        <v/>
      </c>
      <c r="H941">
        <f>IF($W941="","",SUMIFS(상세표[기록 시간외],상세표[사번키],INDEX(합계표[사번키],$W941),상세표[기록월],대상월키,상세표[반영월],"&lt;&gt;"&amp;대상월키))</f>
        <v/>
      </c>
      <c r="I941">
        <f>IF($W941="","",SUMIFS(상세표[기록 시간외],상세표[사번키],INDEX(합계표[사번키],$W941),상세표[기록월],"&lt;&gt;"&amp;대상월키,상세표[반영월],대상월키))</f>
        <v/>
      </c>
      <c r="J941">
        <f>IF($W941="","",SUMIFS(상세표[기록 시간외],상세표[사번키],INDEX(합계표[사번키],$W941),상세표[반영월],대상월키))</f>
        <v/>
      </c>
      <c r="K941">
        <f>IF($W941="","",IFERROR(INDEX(월별근무지표[적용 급여병원],MATCH(INDEX(합계표[사번키],$W941)&amp;"|"&amp;대상월키,월별근무지표[키],0))&amp;"",IF(COUNTIF(기관표[사번키],INDEX(합계표[사번키],$W941))+COUNTIF(월별근무지표[사번키],INDEX(합계표[사번키],$W941))&gt;0,IFERROR(INDEX(기관표[급여지급병원(기준월)],MATCH(INDEX(합계표[사번키],$W941)&amp;"|"&amp;대상월키,기관표[키],0))&amp;"","—"),"—")))</f>
        <v/>
      </c>
      <c r="L941">
        <f>IF($W941="","",IF(NOT(COUNTIF(기관표[사번키],INDEX(합계표[사번키],$W941))+COUNTIF(월별근무지표[사번키],INDEX(합계표[사번키],$W941))&gt;0),"기관명단에 없음(다른 병원으로 발송)",IF($K941="—","대상월 기관명단 없음(추가 필요)",IF($K941="서울병원","해당","비해당"))))</f>
        <v/>
      </c>
      <c r="M941">
        <f>IF($W941="","",SUMIFS(상세표[06~07시],상세표[사번키],INDEX(합계표[사번키],$W941),상세표[반영월],대상월키,상세표[반영 기관],"서울병원"))</f>
        <v/>
      </c>
      <c r="N941">
        <f>IF($W941="","",SUMIFS(상세표[07~18시],상세표[사번키],INDEX(합계표[사번키],$W941),상세표[반영월],대상월키,상세표[반영 기관],"서울병원"))</f>
        <v/>
      </c>
      <c r="O941">
        <f>IF($W941="","",SUMIFS(상세표[18~22시],상세표[사번키],INDEX(합계표[사번키],$W941),상세표[반영월],대상월키,상세표[반영 기관],"서울병원"))</f>
        <v/>
      </c>
      <c r="P941">
        <f>IF($W941="","",SUMIFS(상세표[22~06시],상세표[사번키],INDEX(합계표[사번키],$W941),상세표[반영월],대상월키,상세표[반영 기관],"서울병원"))</f>
        <v/>
      </c>
      <c r="Q941">
        <f>IF($W941="","",SUM($M941:$P941))</f>
        <v/>
      </c>
      <c r="R941">
        <f>IF($W941="","",COUNTIFS(상세표[사번키],INDEX(합계표[사번키],$W941),상세표[반영월],대상월키,상세표[야간당직],1,상세표[야간 구분],"평일"))</f>
        <v/>
      </c>
      <c r="S941" s="4">
        <f>IF($W941="","",COUNTIFS(상세표[사번키],INDEX(합계표[사번키],$W941),상세표[반영월],대상월키,상세표[야간당직],1,상세표[야간 구분],"휴일"))</f>
        <v/>
      </c>
      <c r="T941">
        <f>IF($W941="","",COUNTIFS(상세표[사번키],INDEX(합계표[사번키],$W941),상세표[반영월],대상월키,상세표[야간당직],1,상세표[야간 구분],"평일",상세표[반영 기관],"서울병원"))</f>
        <v/>
      </c>
      <c r="U941">
        <f>IF($W941="","",COUNTIFS(상세표[사번키],INDEX(합계표[사번키],$W941),상세표[반영월],대상월키,상세표[야간당직],1,상세표[야간 구분],"휴일",상세표[반영 기관],"서울병원"))</f>
        <v/>
      </c>
      <c r="V941">
        <f>IF($W941="","",IF(ISNUMBER(MATCH(INDEX(합계표[사번키],$W941)&amp;"|"&amp;대상월키,월별근무지표[키],0)),"직접 입력",IF($K941="—","—","기관명단")))</f>
        <v/>
      </c>
      <c r="W941">
        <f>IFERROR(MATCH(936,합계표[판정순번],0),"")</f>
        <v/>
      </c>
    </row>
    <row r="942">
      <c r="A942">
        <f>IF($W942="","",INDEX(합계표[사번],$W942)&amp;"")</f>
        <v/>
      </c>
      <c r="B942">
        <f>IF($W942="","",INDEX(합계표[성명],$W942)&amp;"")</f>
        <v/>
      </c>
      <c r="C942">
        <f>IF($W942="","",INDEX(합계표[부서],$W942)&amp;"")</f>
        <v/>
      </c>
      <c r="D942">
        <f>IF($W942="","",INDEX(합계표[직위(통합)],$W942)&amp;"")</f>
        <v/>
      </c>
      <c r="E942">
        <f>IF($W942="","",SUMIFS(합계표[시스템 합계],합계표[사번키],INDEX(합계표[사번키],$W942)))</f>
        <v/>
      </c>
      <c r="F942">
        <f>IF($W942="","",SUMIFS(상세표[기록 시간외],상세표[사번키],INDEX(합계표[사번키],$W942),상세표[기록월],대상월키))</f>
        <v/>
      </c>
      <c r="G942">
        <f>IF($W942="","",IF(ABS($E942-$F942)&lt;0.01,"일치","불일치(차이 "&amp;TEXT($F942-$E942,"0.00")&amp;")"))</f>
        <v/>
      </c>
      <c r="H942">
        <f>IF($W942="","",SUMIFS(상세표[기록 시간외],상세표[사번키],INDEX(합계표[사번키],$W942),상세표[기록월],대상월키,상세표[반영월],"&lt;&gt;"&amp;대상월키))</f>
        <v/>
      </c>
      <c r="I942">
        <f>IF($W942="","",SUMIFS(상세표[기록 시간외],상세표[사번키],INDEX(합계표[사번키],$W942),상세표[기록월],"&lt;&gt;"&amp;대상월키,상세표[반영월],대상월키))</f>
        <v/>
      </c>
      <c r="J942">
        <f>IF($W942="","",SUMIFS(상세표[기록 시간외],상세표[사번키],INDEX(합계표[사번키],$W942),상세표[반영월],대상월키))</f>
        <v/>
      </c>
      <c r="K942">
        <f>IF($W942="","",IFERROR(INDEX(월별근무지표[적용 급여병원],MATCH(INDEX(합계표[사번키],$W942)&amp;"|"&amp;대상월키,월별근무지표[키],0))&amp;"",IF(COUNTIF(기관표[사번키],INDEX(합계표[사번키],$W942))+COUNTIF(월별근무지표[사번키],INDEX(합계표[사번키],$W942))&gt;0,IFERROR(INDEX(기관표[급여지급병원(기준월)],MATCH(INDEX(합계표[사번키],$W942)&amp;"|"&amp;대상월키,기관표[키],0))&amp;"","—"),"—")))</f>
        <v/>
      </c>
      <c r="L942">
        <f>IF($W942="","",IF(NOT(COUNTIF(기관표[사번키],INDEX(합계표[사번키],$W942))+COUNTIF(월별근무지표[사번키],INDEX(합계표[사번키],$W942))&gt;0),"기관명단에 없음(다른 병원으로 발송)",IF($K942="—","대상월 기관명단 없음(추가 필요)",IF($K942="서울병원","해당","비해당"))))</f>
        <v/>
      </c>
      <c r="M942">
        <f>IF($W942="","",SUMIFS(상세표[06~07시],상세표[사번키],INDEX(합계표[사번키],$W942),상세표[반영월],대상월키,상세표[반영 기관],"서울병원"))</f>
        <v/>
      </c>
      <c r="N942">
        <f>IF($W942="","",SUMIFS(상세표[07~18시],상세표[사번키],INDEX(합계표[사번키],$W942),상세표[반영월],대상월키,상세표[반영 기관],"서울병원"))</f>
        <v/>
      </c>
      <c r="O942">
        <f>IF($W942="","",SUMIFS(상세표[18~22시],상세표[사번키],INDEX(합계표[사번키],$W942),상세표[반영월],대상월키,상세표[반영 기관],"서울병원"))</f>
        <v/>
      </c>
      <c r="P942">
        <f>IF($W942="","",SUMIFS(상세표[22~06시],상세표[사번키],INDEX(합계표[사번키],$W942),상세표[반영월],대상월키,상세표[반영 기관],"서울병원"))</f>
        <v/>
      </c>
      <c r="Q942">
        <f>IF($W942="","",SUM($M942:$P942))</f>
        <v/>
      </c>
      <c r="R942">
        <f>IF($W942="","",COUNTIFS(상세표[사번키],INDEX(합계표[사번키],$W942),상세표[반영월],대상월키,상세표[야간당직],1,상세표[야간 구분],"평일"))</f>
        <v/>
      </c>
      <c r="S942" s="4">
        <f>IF($W942="","",COUNTIFS(상세표[사번키],INDEX(합계표[사번키],$W942),상세표[반영월],대상월키,상세표[야간당직],1,상세표[야간 구분],"휴일"))</f>
        <v/>
      </c>
      <c r="T942">
        <f>IF($W942="","",COUNTIFS(상세표[사번키],INDEX(합계표[사번키],$W942),상세표[반영월],대상월키,상세표[야간당직],1,상세표[야간 구분],"평일",상세표[반영 기관],"서울병원"))</f>
        <v/>
      </c>
      <c r="U942">
        <f>IF($W942="","",COUNTIFS(상세표[사번키],INDEX(합계표[사번키],$W942),상세표[반영월],대상월키,상세표[야간당직],1,상세표[야간 구분],"휴일",상세표[반영 기관],"서울병원"))</f>
        <v/>
      </c>
      <c r="V942">
        <f>IF($W942="","",IF(ISNUMBER(MATCH(INDEX(합계표[사번키],$W942)&amp;"|"&amp;대상월키,월별근무지표[키],0)),"직접 입력",IF($K942="—","—","기관명단")))</f>
        <v/>
      </c>
      <c r="W942">
        <f>IFERROR(MATCH(937,합계표[판정순번],0),"")</f>
        <v/>
      </c>
    </row>
    <row r="943">
      <c r="A943">
        <f>IF($W943="","",INDEX(합계표[사번],$W943)&amp;"")</f>
        <v/>
      </c>
      <c r="B943">
        <f>IF($W943="","",INDEX(합계표[성명],$W943)&amp;"")</f>
        <v/>
      </c>
      <c r="C943">
        <f>IF($W943="","",INDEX(합계표[부서],$W943)&amp;"")</f>
        <v/>
      </c>
      <c r="D943">
        <f>IF($W943="","",INDEX(합계표[직위(통합)],$W943)&amp;"")</f>
        <v/>
      </c>
      <c r="E943">
        <f>IF($W943="","",SUMIFS(합계표[시스템 합계],합계표[사번키],INDEX(합계표[사번키],$W943)))</f>
        <v/>
      </c>
      <c r="F943">
        <f>IF($W943="","",SUMIFS(상세표[기록 시간외],상세표[사번키],INDEX(합계표[사번키],$W943),상세표[기록월],대상월키))</f>
        <v/>
      </c>
      <c r="G943">
        <f>IF($W943="","",IF(ABS($E943-$F943)&lt;0.01,"일치","불일치(차이 "&amp;TEXT($F943-$E943,"0.00")&amp;")"))</f>
        <v/>
      </c>
      <c r="H943">
        <f>IF($W943="","",SUMIFS(상세표[기록 시간외],상세표[사번키],INDEX(합계표[사번키],$W943),상세표[기록월],대상월키,상세표[반영월],"&lt;&gt;"&amp;대상월키))</f>
        <v/>
      </c>
      <c r="I943">
        <f>IF($W943="","",SUMIFS(상세표[기록 시간외],상세표[사번키],INDEX(합계표[사번키],$W943),상세표[기록월],"&lt;&gt;"&amp;대상월키,상세표[반영월],대상월키))</f>
        <v/>
      </c>
      <c r="J943">
        <f>IF($W943="","",SUMIFS(상세표[기록 시간외],상세표[사번키],INDEX(합계표[사번키],$W943),상세표[반영월],대상월키))</f>
        <v/>
      </c>
      <c r="K943">
        <f>IF($W943="","",IFERROR(INDEX(월별근무지표[적용 급여병원],MATCH(INDEX(합계표[사번키],$W943)&amp;"|"&amp;대상월키,월별근무지표[키],0))&amp;"",IF(COUNTIF(기관표[사번키],INDEX(합계표[사번키],$W943))+COUNTIF(월별근무지표[사번키],INDEX(합계표[사번키],$W943))&gt;0,IFERROR(INDEX(기관표[급여지급병원(기준월)],MATCH(INDEX(합계표[사번키],$W943)&amp;"|"&amp;대상월키,기관표[키],0))&amp;"","—"),"—")))</f>
        <v/>
      </c>
      <c r="L943">
        <f>IF($W943="","",IF(NOT(COUNTIF(기관표[사번키],INDEX(합계표[사번키],$W943))+COUNTIF(월별근무지표[사번키],INDEX(합계표[사번키],$W943))&gt;0),"기관명단에 없음(다른 병원으로 발송)",IF($K943="—","대상월 기관명단 없음(추가 필요)",IF($K943="서울병원","해당","비해당"))))</f>
        <v/>
      </c>
      <c r="M943">
        <f>IF($W943="","",SUMIFS(상세표[06~07시],상세표[사번키],INDEX(합계표[사번키],$W943),상세표[반영월],대상월키,상세표[반영 기관],"서울병원"))</f>
        <v/>
      </c>
      <c r="N943">
        <f>IF($W943="","",SUMIFS(상세표[07~18시],상세표[사번키],INDEX(합계표[사번키],$W943),상세표[반영월],대상월키,상세표[반영 기관],"서울병원"))</f>
        <v/>
      </c>
      <c r="O943">
        <f>IF($W943="","",SUMIFS(상세표[18~22시],상세표[사번키],INDEX(합계표[사번키],$W943),상세표[반영월],대상월키,상세표[반영 기관],"서울병원"))</f>
        <v/>
      </c>
      <c r="P943">
        <f>IF($W943="","",SUMIFS(상세표[22~06시],상세표[사번키],INDEX(합계표[사번키],$W943),상세표[반영월],대상월키,상세표[반영 기관],"서울병원"))</f>
        <v/>
      </c>
      <c r="Q943">
        <f>IF($W943="","",SUM($M943:$P943))</f>
        <v/>
      </c>
      <c r="R943">
        <f>IF($W943="","",COUNTIFS(상세표[사번키],INDEX(합계표[사번키],$W943),상세표[반영월],대상월키,상세표[야간당직],1,상세표[야간 구분],"평일"))</f>
        <v/>
      </c>
      <c r="S943" s="4">
        <f>IF($W943="","",COUNTIFS(상세표[사번키],INDEX(합계표[사번키],$W943),상세표[반영월],대상월키,상세표[야간당직],1,상세표[야간 구분],"휴일"))</f>
        <v/>
      </c>
      <c r="T943">
        <f>IF($W943="","",COUNTIFS(상세표[사번키],INDEX(합계표[사번키],$W943),상세표[반영월],대상월키,상세표[야간당직],1,상세표[야간 구분],"평일",상세표[반영 기관],"서울병원"))</f>
        <v/>
      </c>
      <c r="U943">
        <f>IF($W943="","",COUNTIFS(상세표[사번키],INDEX(합계표[사번키],$W943),상세표[반영월],대상월키,상세표[야간당직],1,상세표[야간 구분],"휴일",상세표[반영 기관],"서울병원"))</f>
        <v/>
      </c>
      <c r="V943">
        <f>IF($W943="","",IF(ISNUMBER(MATCH(INDEX(합계표[사번키],$W943)&amp;"|"&amp;대상월키,월별근무지표[키],0)),"직접 입력",IF($K943="—","—","기관명단")))</f>
        <v/>
      </c>
      <c r="W943">
        <f>IFERROR(MATCH(938,합계표[판정순번],0),"")</f>
        <v/>
      </c>
    </row>
    <row r="944">
      <c r="A944">
        <f>IF($W944="","",INDEX(합계표[사번],$W944)&amp;"")</f>
        <v/>
      </c>
      <c r="B944">
        <f>IF($W944="","",INDEX(합계표[성명],$W944)&amp;"")</f>
        <v/>
      </c>
      <c r="C944">
        <f>IF($W944="","",INDEX(합계표[부서],$W944)&amp;"")</f>
        <v/>
      </c>
      <c r="D944">
        <f>IF($W944="","",INDEX(합계표[직위(통합)],$W944)&amp;"")</f>
        <v/>
      </c>
      <c r="E944">
        <f>IF($W944="","",SUMIFS(합계표[시스템 합계],합계표[사번키],INDEX(합계표[사번키],$W944)))</f>
        <v/>
      </c>
      <c r="F944">
        <f>IF($W944="","",SUMIFS(상세표[기록 시간외],상세표[사번키],INDEX(합계표[사번키],$W944),상세표[기록월],대상월키))</f>
        <v/>
      </c>
      <c r="G944">
        <f>IF($W944="","",IF(ABS($E944-$F944)&lt;0.01,"일치","불일치(차이 "&amp;TEXT($F944-$E944,"0.00")&amp;")"))</f>
        <v/>
      </c>
      <c r="H944">
        <f>IF($W944="","",SUMIFS(상세표[기록 시간외],상세표[사번키],INDEX(합계표[사번키],$W944),상세표[기록월],대상월키,상세표[반영월],"&lt;&gt;"&amp;대상월키))</f>
        <v/>
      </c>
      <c r="I944">
        <f>IF($W944="","",SUMIFS(상세표[기록 시간외],상세표[사번키],INDEX(합계표[사번키],$W944),상세표[기록월],"&lt;&gt;"&amp;대상월키,상세표[반영월],대상월키))</f>
        <v/>
      </c>
      <c r="J944">
        <f>IF($W944="","",SUMIFS(상세표[기록 시간외],상세표[사번키],INDEX(합계표[사번키],$W944),상세표[반영월],대상월키))</f>
        <v/>
      </c>
      <c r="K944">
        <f>IF($W944="","",IFERROR(INDEX(월별근무지표[적용 급여병원],MATCH(INDEX(합계표[사번키],$W944)&amp;"|"&amp;대상월키,월별근무지표[키],0))&amp;"",IF(COUNTIF(기관표[사번키],INDEX(합계표[사번키],$W944))+COUNTIF(월별근무지표[사번키],INDEX(합계표[사번키],$W944))&gt;0,IFERROR(INDEX(기관표[급여지급병원(기준월)],MATCH(INDEX(합계표[사번키],$W944)&amp;"|"&amp;대상월키,기관표[키],0))&amp;"","—"),"—")))</f>
        <v/>
      </c>
      <c r="L944">
        <f>IF($W944="","",IF(NOT(COUNTIF(기관표[사번키],INDEX(합계표[사번키],$W944))+COUNTIF(월별근무지표[사번키],INDEX(합계표[사번키],$W944))&gt;0),"기관명단에 없음(다른 병원으로 발송)",IF($K944="—","대상월 기관명단 없음(추가 필요)",IF($K944="서울병원","해당","비해당"))))</f>
        <v/>
      </c>
      <c r="M944">
        <f>IF($W944="","",SUMIFS(상세표[06~07시],상세표[사번키],INDEX(합계표[사번키],$W944),상세표[반영월],대상월키,상세표[반영 기관],"서울병원"))</f>
        <v/>
      </c>
      <c r="N944">
        <f>IF($W944="","",SUMIFS(상세표[07~18시],상세표[사번키],INDEX(합계표[사번키],$W944),상세표[반영월],대상월키,상세표[반영 기관],"서울병원"))</f>
        <v/>
      </c>
      <c r="O944">
        <f>IF($W944="","",SUMIFS(상세표[18~22시],상세표[사번키],INDEX(합계표[사번키],$W944),상세표[반영월],대상월키,상세표[반영 기관],"서울병원"))</f>
        <v/>
      </c>
      <c r="P944">
        <f>IF($W944="","",SUMIFS(상세표[22~06시],상세표[사번키],INDEX(합계표[사번키],$W944),상세표[반영월],대상월키,상세표[반영 기관],"서울병원"))</f>
        <v/>
      </c>
      <c r="Q944">
        <f>IF($W944="","",SUM($M944:$P944))</f>
        <v/>
      </c>
      <c r="R944">
        <f>IF($W944="","",COUNTIFS(상세표[사번키],INDEX(합계표[사번키],$W944),상세표[반영월],대상월키,상세표[야간당직],1,상세표[야간 구분],"평일"))</f>
        <v/>
      </c>
      <c r="S944" s="4">
        <f>IF($W944="","",COUNTIFS(상세표[사번키],INDEX(합계표[사번키],$W944),상세표[반영월],대상월키,상세표[야간당직],1,상세표[야간 구분],"휴일"))</f>
        <v/>
      </c>
      <c r="T944">
        <f>IF($W944="","",COUNTIFS(상세표[사번키],INDEX(합계표[사번키],$W944),상세표[반영월],대상월키,상세표[야간당직],1,상세표[야간 구분],"평일",상세표[반영 기관],"서울병원"))</f>
        <v/>
      </c>
      <c r="U944">
        <f>IF($W944="","",COUNTIFS(상세표[사번키],INDEX(합계표[사번키],$W944),상세표[반영월],대상월키,상세표[야간당직],1,상세표[야간 구분],"휴일",상세표[반영 기관],"서울병원"))</f>
        <v/>
      </c>
      <c r="V944">
        <f>IF($W944="","",IF(ISNUMBER(MATCH(INDEX(합계표[사번키],$W944)&amp;"|"&amp;대상월키,월별근무지표[키],0)),"직접 입력",IF($K944="—","—","기관명단")))</f>
        <v/>
      </c>
      <c r="W944">
        <f>IFERROR(MATCH(939,합계표[판정순번],0),"")</f>
        <v/>
      </c>
    </row>
    <row r="945">
      <c r="A945">
        <f>IF($W945="","",INDEX(합계표[사번],$W945)&amp;"")</f>
        <v/>
      </c>
      <c r="B945">
        <f>IF($W945="","",INDEX(합계표[성명],$W945)&amp;"")</f>
        <v/>
      </c>
      <c r="C945">
        <f>IF($W945="","",INDEX(합계표[부서],$W945)&amp;"")</f>
        <v/>
      </c>
      <c r="D945">
        <f>IF($W945="","",INDEX(합계표[직위(통합)],$W945)&amp;"")</f>
        <v/>
      </c>
      <c r="E945">
        <f>IF($W945="","",SUMIFS(합계표[시스템 합계],합계표[사번키],INDEX(합계표[사번키],$W945)))</f>
        <v/>
      </c>
      <c r="F945">
        <f>IF($W945="","",SUMIFS(상세표[기록 시간외],상세표[사번키],INDEX(합계표[사번키],$W945),상세표[기록월],대상월키))</f>
        <v/>
      </c>
      <c r="G945">
        <f>IF($W945="","",IF(ABS($E945-$F945)&lt;0.01,"일치","불일치(차이 "&amp;TEXT($F945-$E945,"0.00")&amp;")"))</f>
        <v/>
      </c>
      <c r="H945">
        <f>IF($W945="","",SUMIFS(상세표[기록 시간외],상세표[사번키],INDEX(합계표[사번키],$W945),상세표[기록월],대상월키,상세표[반영월],"&lt;&gt;"&amp;대상월키))</f>
        <v/>
      </c>
      <c r="I945">
        <f>IF($W945="","",SUMIFS(상세표[기록 시간외],상세표[사번키],INDEX(합계표[사번키],$W945),상세표[기록월],"&lt;&gt;"&amp;대상월키,상세표[반영월],대상월키))</f>
        <v/>
      </c>
      <c r="J945">
        <f>IF($W945="","",SUMIFS(상세표[기록 시간외],상세표[사번키],INDEX(합계표[사번키],$W945),상세표[반영월],대상월키))</f>
        <v/>
      </c>
      <c r="K945">
        <f>IF($W945="","",IFERROR(INDEX(월별근무지표[적용 급여병원],MATCH(INDEX(합계표[사번키],$W945)&amp;"|"&amp;대상월키,월별근무지표[키],0))&amp;"",IF(COUNTIF(기관표[사번키],INDEX(합계표[사번키],$W945))+COUNTIF(월별근무지표[사번키],INDEX(합계표[사번키],$W945))&gt;0,IFERROR(INDEX(기관표[급여지급병원(기준월)],MATCH(INDEX(합계표[사번키],$W945)&amp;"|"&amp;대상월키,기관표[키],0))&amp;"","—"),"—")))</f>
        <v/>
      </c>
      <c r="L945">
        <f>IF($W945="","",IF(NOT(COUNTIF(기관표[사번키],INDEX(합계표[사번키],$W945))+COUNTIF(월별근무지표[사번키],INDEX(합계표[사번키],$W945))&gt;0),"기관명단에 없음(다른 병원으로 발송)",IF($K945="—","대상월 기관명단 없음(추가 필요)",IF($K945="서울병원","해당","비해당"))))</f>
        <v/>
      </c>
      <c r="M945">
        <f>IF($W945="","",SUMIFS(상세표[06~07시],상세표[사번키],INDEX(합계표[사번키],$W945),상세표[반영월],대상월키,상세표[반영 기관],"서울병원"))</f>
        <v/>
      </c>
      <c r="N945">
        <f>IF($W945="","",SUMIFS(상세표[07~18시],상세표[사번키],INDEX(합계표[사번키],$W945),상세표[반영월],대상월키,상세표[반영 기관],"서울병원"))</f>
        <v/>
      </c>
      <c r="O945">
        <f>IF($W945="","",SUMIFS(상세표[18~22시],상세표[사번키],INDEX(합계표[사번키],$W945),상세표[반영월],대상월키,상세표[반영 기관],"서울병원"))</f>
        <v/>
      </c>
      <c r="P945">
        <f>IF($W945="","",SUMIFS(상세표[22~06시],상세표[사번키],INDEX(합계표[사번키],$W945),상세표[반영월],대상월키,상세표[반영 기관],"서울병원"))</f>
        <v/>
      </c>
      <c r="Q945">
        <f>IF($W945="","",SUM($M945:$P945))</f>
        <v/>
      </c>
      <c r="R945">
        <f>IF($W945="","",COUNTIFS(상세표[사번키],INDEX(합계표[사번키],$W945),상세표[반영월],대상월키,상세표[야간당직],1,상세표[야간 구분],"평일"))</f>
        <v/>
      </c>
      <c r="S945" s="4">
        <f>IF($W945="","",COUNTIFS(상세표[사번키],INDEX(합계표[사번키],$W945),상세표[반영월],대상월키,상세표[야간당직],1,상세표[야간 구분],"휴일"))</f>
        <v/>
      </c>
      <c r="T945">
        <f>IF($W945="","",COUNTIFS(상세표[사번키],INDEX(합계표[사번키],$W945),상세표[반영월],대상월키,상세표[야간당직],1,상세표[야간 구분],"평일",상세표[반영 기관],"서울병원"))</f>
        <v/>
      </c>
      <c r="U945">
        <f>IF($W945="","",COUNTIFS(상세표[사번키],INDEX(합계표[사번키],$W945),상세표[반영월],대상월키,상세표[야간당직],1,상세표[야간 구분],"휴일",상세표[반영 기관],"서울병원"))</f>
        <v/>
      </c>
      <c r="V945">
        <f>IF($W945="","",IF(ISNUMBER(MATCH(INDEX(합계표[사번키],$W945)&amp;"|"&amp;대상월키,월별근무지표[키],0)),"직접 입력",IF($K945="—","—","기관명단")))</f>
        <v/>
      </c>
      <c r="W945">
        <f>IFERROR(MATCH(940,합계표[판정순번],0),"")</f>
        <v/>
      </c>
    </row>
    <row r="946">
      <c r="A946">
        <f>IF($W946="","",INDEX(합계표[사번],$W946)&amp;"")</f>
        <v/>
      </c>
      <c r="B946">
        <f>IF($W946="","",INDEX(합계표[성명],$W946)&amp;"")</f>
        <v/>
      </c>
      <c r="C946">
        <f>IF($W946="","",INDEX(합계표[부서],$W946)&amp;"")</f>
        <v/>
      </c>
      <c r="D946">
        <f>IF($W946="","",INDEX(합계표[직위(통합)],$W946)&amp;"")</f>
        <v/>
      </c>
      <c r="E946">
        <f>IF($W946="","",SUMIFS(합계표[시스템 합계],합계표[사번키],INDEX(합계표[사번키],$W946)))</f>
        <v/>
      </c>
      <c r="F946">
        <f>IF($W946="","",SUMIFS(상세표[기록 시간외],상세표[사번키],INDEX(합계표[사번키],$W946),상세표[기록월],대상월키))</f>
        <v/>
      </c>
      <c r="G946">
        <f>IF($W946="","",IF(ABS($E946-$F946)&lt;0.01,"일치","불일치(차이 "&amp;TEXT($F946-$E946,"0.00")&amp;")"))</f>
        <v/>
      </c>
      <c r="H946">
        <f>IF($W946="","",SUMIFS(상세표[기록 시간외],상세표[사번키],INDEX(합계표[사번키],$W946),상세표[기록월],대상월키,상세표[반영월],"&lt;&gt;"&amp;대상월키))</f>
        <v/>
      </c>
      <c r="I946">
        <f>IF($W946="","",SUMIFS(상세표[기록 시간외],상세표[사번키],INDEX(합계표[사번키],$W946),상세표[기록월],"&lt;&gt;"&amp;대상월키,상세표[반영월],대상월키))</f>
        <v/>
      </c>
      <c r="J946">
        <f>IF($W946="","",SUMIFS(상세표[기록 시간외],상세표[사번키],INDEX(합계표[사번키],$W946),상세표[반영월],대상월키))</f>
        <v/>
      </c>
      <c r="K946">
        <f>IF($W946="","",IFERROR(INDEX(월별근무지표[적용 급여병원],MATCH(INDEX(합계표[사번키],$W946)&amp;"|"&amp;대상월키,월별근무지표[키],0))&amp;"",IF(COUNTIF(기관표[사번키],INDEX(합계표[사번키],$W946))+COUNTIF(월별근무지표[사번키],INDEX(합계표[사번키],$W946))&gt;0,IFERROR(INDEX(기관표[급여지급병원(기준월)],MATCH(INDEX(합계표[사번키],$W946)&amp;"|"&amp;대상월키,기관표[키],0))&amp;"","—"),"—")))</f>
        <v/>
      </c>
      <c r="L946">
        <f>IF($W946="","",IF(NOT(COUNTIF(기관표[사번키],INDEX(합계표[사번키],$W946))+COUNTIF(월별근무지표[사번키],INDEX(합계표[사번키],$W946))&gt;0),"기관명단에 없음(다른 병원으로 발송)",IF($K946="—","대상월 기관명단 없음(추가 필요)",IF($K946="서울병원","해당","비해당"))))</f>
        <v/>
      </c>
      <c r="M946">
        <f>IF($W946="","",SUMIFS(상세표[06~07시],상세표[사번키],INDEX(합계표[사번키],$W946),상세표[반영월],대상월키,상세표[반영 기관],"서울병원"))</f>
        <v/>
      </c>
      <c r="N946">
        <f>IF($W946="","",SUMIFS(상세표[07~18시],상세표[사번키],INDEX(합계표[사번키],$W946),상세표[반영월],대상월키,상세표[반영 기관],"서울병원"))</f>
        <v/>
      </c>
      <c r="O946">
        <f>IF($W946="","",SUMIFS(상세표[18~22시],상세표[사번키],INDEX(합계표[사번키],$W946),상세표[반영월],대상월키,상세표[반영 기관],"서울병원"))</f>
        <v/>
      </c>
      <c r="P946">
        <f>IF($W946="","",SUMIFS(상세표[22~06시],상세표[사번키],INDEX(합계표[사번키],$W946),상세표[반영월],대상월키,상세표[반영 기관],"서울병원"))</f>
        <v/>
      </c>
      <c r="Q946">
        <f>IF($W946="","",SUM($M946:$P946))</f>
        <v/>
      </c>
      <c r="R946">
        <f>IF($W946="","",COUNTIFS(상세표[사번키],INDEX(합계표[사번키],$W946),상세표[반영월],대상월키,상세표[야간당직],1,상세표[야간 구분],"평일"))</f>
        <v/>
      </c>
      <c r="S946" s="4">
        <f>IF($W946="","",COUNTIFS(상세표[사번키],INDEX(합계표[사번키],$W946),상세표[반영월],대상월키,상세표[야간당직],1,상세표[야간 구분],"휴일"))</f>
        <v/>
      </c>
      <c r="T946">
        <f>IF($W946="","",COUNTIFS(상세표[사번키],INDEX(합계표[사번키],$W946),상세표[반영월],대상월키,상세표[야간당직],1,상세표[야간 구분],"평일",상세표[반영 기관],"서울병원"))</f>
        <v/>
      </c>
      <c r="U946">
        <f>IF($W946="","",COUNTIFS(상세표[사번키],INDEX(합계표[사번키],$W946),상세표[반영월],대상월키,상세표[야간당직],1,상세표[야간 구분],"휴일",상세표[반영 기관],"서울병원"))</f>
        <v/>
      </c>
      <c r="V946">
        <f>IF($W946="","",IF(ISNUMBER(MATCH(INDEX(합계표[사번키],$W946)&amp;"|"&amp;대상월키,월별근무지표[키],0)),"직접 입력",IF($K946="—","—","기관명단")))</f>
        <v/>
      </c>
      <c r="W946">
        <f>IFERROR(MATCH(941,합계표[판정순번],0),"")</f>
        <v/>
      </c>
    </row>
    <row r="947">
      <c r="A947">
        <f>IF($W947="","",INDEX(합계표[사번],$W947)&amp;"")</f>
        <v/>
      </c>
      <c r="B947">
        <f>IF($W947="","",INDEX(합계표[성명],$W947)&amp;"")</f>
        <v/>
      </c>
      <c r="C947">
        <f>IF($W947="","",INDEX(합계표[부서],$W947)&amp;"")</f>
        <v/>
      </c>
      <c r="D947">
        <f>IF($W947="","",INDEX(합계표[직위(통합)],$W947)&amp;"")</f>
        <v/>
      </c>
      <c r="E947">
        <f>IF($W947="","",SUMIFS(합계표[시스템 합계],합계표[사번키],INDEX(합계표[사번키],$W947)))</f>
        <v/>
      </c>
      <c r="F947">
        <f>IF($W947="","",SUMIFS(상세표[기록 시간외],상세표[사번키],INDEX(합계표[사번키],$W947),상세표[기록월],대상월키))</f>
        <v/>
      </c>
      <c r="G947">
        <f>IF($W947="","",IF(ABS($E947-$F947)&lt;0.01,"일치","불일치(차이 "&amp;TEXT($F947-$E947,"0.00")&amp;")"))</f>
        <v/>
      </c>
      <c r="H947">
        <f>IF($W947="","",SUMIFS(상세표[기록 시간외],상세표[사번키],INDEX(합계표[사번키],$W947),상세표[기록월],대상월키,상세표[반영월],"&lt;&gt;"&amp;대상월키))</f>
        <v/>
      </c>
      <c r="I947">
        <f>IF($W947="","",SUMIFS(상세표[기록 시간외],상세표[사번키],INDEX(합계표[사번키],$W947),상세표[기록월],"&lt;&gt;"&amp;대상월키,상세표[반영월],대상월키))</f>
        <v/>
      </c>
      <c r="J947">
        <f>IF($W947="","",SUMIFS(상세표[기록 시간외],상세표[사번키],INDEX(합계표[사번키],$W947),상세표[반영월],대상월키))</f>
        <v/>
      </c>
      <c r="K947">
        <f>IF($W947="","",IFERROR(INDEX(월별근무지표[적용 급여병원],MATCH(INDEX(합계표[사번키],$W947)&amp;"|"&amp;대상월키,월별근무지표[키],0))&amp;"",IF(COUNTIF(기관표[사번키],INDEX(합계표[사번키],$W947))+COUNTIF(월별근무지표[사번키],INDEX(합계표[사번키],$W947))&gt;0,IFERROR(INDEX(기관표[급여지급병원(기준월)],MATCH(INDEX(합계표[사번키],$W947)&amp;"|"&amp;대상월키,기관표[키],0))&amp;"","—"),"—")))</f>
        <v/>
      </c>
      <c r="L947">
        <f>IF($W947="","",IF(NOT(COUNTIF(기관표[사번키],INDEX(합계표[사번키],$W947))+COUNTIF(월별근무지표[사번키],INDEX(합계표[사번키],$W947))&gt;0),"기관명단에 없음(다른 병원으로 발송)",IF($K947="—","대상월 기관명단 없음(추가 필요)",IF($K947="서울병원","해당","비해당"))))</f>
        <v/>
      </c>
      <c r="M947">
        <f>IF($W947="","",SUMIFS(상세표[06~07시],상세표[사번키],INDEX(합계표[사번키],$W947),상세표[반영월],대상월키,상세표[반영 기관],"서울병원"))</f>
        <v/>
      </c>
      <c r="N947">
        <f>IF($W947="","",SUMIFS(상세표[07~18시],상세표[사번키],INDEX(합계표[사번키],$W947),상세표[반영월],대상월키,상세표[반영 기관],"서울병원"))</f>
        <v/>
      </c>
      <c r="O947">
        <f>IF($W947="","",SUMIFS(상세표[18~22시],상세표[사번키],INDEX(합계표[사번키],$W947),상세표[반영월],대상월키,상세표[반영 기관],"서울병원"))</f>
        <v/>
      </c>
      <c r="P947">
        <f>IF($W947="","",SUMIFS(상세표[22~06시],상세표[사번키],INDEX(합계표[사번키],$W947),상세표[반영월],대상월키,상세표[반영 기관],"서울병원"))</f>
        <v/>
      </c>
      <c r="Q947">
        <f>IF($W947="","",SUM($M947:$P947))</f>
        <v/>
      </c>
      <c r="R947">
        <f>IF($W947="","",COUNTIFS(상세표[사번키],INDEX(합계표[사번키],$W947),상세표[반영월],대상월키,상세표[야간당직],1,상세표[야간 구분],"평일"))</f>
        <v/>
      </c>
      <c r="S947" s="4">
        <f>IF($W947="","",COUNTIFS(상세표[사번키],INDEX(합계표[사번키],$W947),상세표[반영월],대상월키,상세표[야간당직],1,상세표[야간 구분],"휴일"))</f>
        <v/>
      </c>
      <c r="T947">
        <f>IF($W947="","",COUNTIFS(상세표[사번키],INDEX(합계표[사번키],$W947),상세표[반영월],대상월키,상세표[야간당직],1,상세표[야간 구분],"평일",상세표[반영 기관],"서울병원"))</f>
        <v/>
      </c>
      <c r="U947">
        <f>IF($W947="","",COUNTIFS(상세표[사번키],INDEX(합계표[사번키],$W947),상세표[반영월],대상월키,상세표[야간당직],1,상세표[야간 구분],"휴일",상세표[반영 기관],"서울병원"))</f>
        <v/>
      </c>
      <c r="V947">
        <f>IF($W947="","",IF(ISNUMBER(MATCH(INDEX(합계표[사번키],$W947)&amp;"|"&amp;대상월키,월별근무지표[키],0)),"직접 입력",IF($K947="—","—","기관명단")))</f>
        <v/>
      </c>
      <c r="W947">
        <f>IFERROR(MATCH(942,합계표[판정순번],0),"")</f>
        <v/>
      </c>
    </row>
    <row r="948">
      <c r="A948">
        <f>IF($W948="","",INDEX(합계표[사번],$W948)&amp;"")</f>
        <v/>
      </c>
      <c r="B948">
        <f>IF($W948="","",INDEX(합계표[성명],$W948)&amp;"")</f>
        <v/>
      </c>
      <c r="C948">
        <f>IF($W948="","",INDEX(합계표[부서],$W948)&amp;"")</f>
        <v/>
      </c>
      <c r="D948">
        <f>IF($W948="","",INDEX(합계표[직위(통합)],$W948)&amp;"")</f>
        <v/>
      </c>
      <c r="E948">
        <f>IF($W948="","",SUMIFS(합계표[시스템 합계],합계표[사번키],INDEX(합계표[사번키],$W948)))</f>
        <v/>
      </c>
      <c r="F948">
        <f>IF($W948="","",SUMIFS(상세표[기록 시간외],상세표[사번키],INDEX(합계표[사번키],$W948),상세표[기록월],대상월키))</f>
        <v/>
      </c>
      <c r="G948">
        <f>IF($W948="","",IF(ABS($E948-$F948)&lt;0.01,"일치","불일치(차이 "&amp;TEXT($F948-$E948,"0.00")&amp;")"))</f>
        <v/>
      </c>
      <c r="H948">
        <f>IF($W948="","",SUMIFS(상세표[기록 시간외],상세표[사번키],INDEX(합계표[사번키],$W948),상세표[기록월],대상월키,상세표[반영월],"&lt;&gt;"&amp;대상월키))</f>
        <v/>
      </c>
      <c r="I948">
        <f>IF($W948="","",SUMIFS(상세표[기록 시간외],상세표[사번키],INDEX(합계표[사번키],$W948),상세표[기록월],"&lt;&gt;"&amp;대상월키,상세표[반영월],대상월키))</f>
        <v/>
      </c>
      <c r="J948">
        <f>IF($W948="","",SUMIFS(상세표[기록 시간외],상세표[사번키],INDEX(합계표[사번키],$W948),상세표[반영월],대상월키))</f>
        <v/>
      </c>
      <c r="K948">
        <f>IF($W948="","",IFERROR(INDEX(월별근무지표[적용 급여병원],MATCH(INDEX(합계표[사번키],$W948)&amp;"|"&amp;대상월키,월별근무지표[키],0))&amp;"",IF(COUNTIF(기관표[사번키],INDEX(합계표[사번키],$W948))+COUNTIF(월별근무지표[사번키],INDEX(합계표[사번키],$W948))&gt;0,IFERROR(INDEX(기관표[급여지급병원(기준월)],MATCH(INDEX(합계표[사번키],$W948)&amp;"|"&amp;대상월키,기관표[키],0))&amp;"","—"),"—")))</f>
        <v/>
      </c>
      <c r="L948">
        <f>IF($W948="","",IF(NOT(COUNTIF(기관표[사번키],INDEX(합계표[사번키],$W948))+COUNTIF(월별근무지표[사번키],INDEX(합계표[사번키],$W948))&gt;0),"기관명단에 없음(다른 병원으로 발송)",IF($K948="—","대상월 기관명단 없음(추가 필요)",IF($K948="서울병원","해당","비해당"))))</f>
        <v/>
      </c>
      <c r="M948">
        <f>IF($W948="","",SUMIFS(상세표[06~07시],상세표[사번키],INDEX(합계표[사번키],$W948),상세표[반영월],대상월키,상세표[반영 기관],"서울병원"))</f>
        <v/>
      </c>
      <c r="N948">
        <f>IF($W948="","",SUMIFS(상세표[07~18시],상세표[사번키],INDEX(합계표[사번키],$W948),상세표[반영월],대상월키,상세표[반영 기관],"서울병원"))</f>
        <v/>
      </c>
      <c r="O948">
        <f>IF($W948="","",SUMIFS(상세표[18~22시],상세표[사번키],INDEX(합계표[사번키],$W948),상세표[반영월],대상월키,상세표[반영 기관],"서울병원"))</f>
        <v/>
      </c>
      <c r="P948">
        <f>IF($W948="","",SUMIFS(상세표[22~06시],상세표[사번키],INDEX(합계표[사번키],$W948),상세표[반영월],대상월키,상세표[반영 기관],"서울병원"))</f>
        <v/>
      </c>
      <c r="Q948">
        <f>IF($W948="","",SUM($M948:$P948))</f>
        <v/>
      </c>
      <c r="R948">
        <f>IF($W948="","",COUNTIFS(상세표[사번키],INDEX(합계표[사번키],$W948),상세표[반영월],대상월키,상세표[야간당직],1,상세표[야간 구분],"평일"))</f>
        <v/>
      </c>
      <c r="S948" s="4">
        <f>IF($W948="","",COUNTIFS(상세표[사번키],INDEX(합계표[사번키],$W948),상세표[반영월],대상월키,상세표[야간당직],1,상세표[야간 구분],"휴일"))</f>
        <v/>
      </c>
      <c r="T948">
        <f>IF($W948="","",COUNTIFS(상세표[사번키],INDEX(합계표[사번키],$W948),상세표[반영월],대상월키,상세표[야간당직],1,상세표[야간 구분],"평일",상세표[반영 기관],"서울병원"))</f>
        <v/>
      </c>
      <c r="U948">
        <f>IF($W948="","",COUNTIFS(상세표[사번키],INDEX(합계표[사번키],$W948),상세표[반영월],대상월키,상세표[야간당직],1,상세표[야간 구분],"휴일",상세표[반영 기관],"서울병원"))</f>
        <v/>
      </c>
      <c r="V948">
        <f>IF($W948="","",IF(ISNUMBER(MATCH(INDEX(합계표[사번키],$W948)&amp;"|"&amp;대상월키,월별근무지표[키],0)),"직접 입력",IF($K948="—","—","기관명단")))</f>
        <v/>
      </c>
      <c r="W948">
        <f>IFERROR(MATCH(943,합계표[판정순번],0),"")</f>
        <v/>
      </c>
    </row>
    <row r="949">
      <c r="A949">
        <f>IF($W949="","",INDEX(합계표[사번],$W949)&amp;"")</f>
        <v/>
      </c>
      <c r="B949">
        <f>IF($W949="","",INDEX(합계표[성명],$W949)&amp;"")</f>
        <v/>
      </c>
      <c r="C949">
        <f>IF($W949="","",INDEX(합계표[부서],$W949)&amp;"")</f>
        <v/>
      </c>
      <c r="D949">
        <f>IF($W949="","",INDEX(합계표[직위(통합)],$W949)&amp;"")</f>
        <v/>
      </c>
      <c r="E949">
        <f>IF($W949="","",SUMIFS(합계표[시스템 합계],합계표[사번키],INDEX(합계표[사번키],$W949)))</f>
        <v/>
      </c>
      <c r="F949">
        <f>IF($W949="","",SUMIFS(상세표[기록 시간외],상세표[사번키],INDEX(합계표[사번키],$W949),상세표[기록월],대상월키))</f>
        <v/>
      </c>
      <c r="G949">
        <f>IF($W949="","",IF(ABS($E949-$F949)&lt;0.01,"일치","불일치(차이 "&amp;TEXT($F949-$E949,"0.00")&amp;")"))</f>
        <v/>
      </c>
      <c r="H949">
        <f>IF($W949="","",SUMIFS(상세표[기록 시간외],상세표[사번키],INDEX(합계표[사번키],$W949),상세표[기록월],대상월키,상세표[반영월],"&lt;&gt;"&amp;대상월키))</f>
        <v/>
      </c>
      <c r="I949">
        <f>IF($W949="","",SUMIFS(상세표[기록 시간외],상세표[사번키],INDEX(합계표[사번키],$W949),상세표[기록월],"&lt;&gt;"&amp;대상월키,상세표[반영월],대상월키))</f>
        <v/>
      </c>
      <c r="J949">
        <f>IF($W949="","",SUMIFS(상세표[기록 시간외],상세표[사번키],INDEX(합계표[사번키],$W949),상세표[반영월],대상월키))</f>
        <v/>
      </c>
      <c r="K949">
        <f>IF($W949="","",IFERROR(INDEX(월별근무지표[적용 급여병원],MATCH(INDEX(합계표[사번키],$W949)&amp;"|"&amp;대상월키,월별근무지표[키],0))&amp;"",IF(COUNTIF(기관표[사번키],INDEX(합계표[사번키],$W949))+COUNTIF(월별근무지표[사번키],INDEX(합계표[사번키],$W949))&gt;0,IFERROR(INDEX(기관표[급여지급병원(기준월)],MATCH(INDEX(합계표[사번키],$W949)&amp;"|"&amp;대상월키,기관표[키],0))&amp;"","—"),"—")))</f>
        <v/>
      </c>
      <c r="L949">
        <f>IF($W949="","",IF(NOT(COUNTIF(기관표[사번키],INDEX(합계표[사번키],$W949))+COUNTIF(월별근무지표[사번키],INDEX(합계표[사번키],$W949))&gt;0),"기관명단에 없음(다른 병원으로 발송)",IF($K949="—","대상월 기관명단 없음(추가 필요)",IF($K949="서울병원","해당","비해당"))))</f>
        <v/>
      </c>
      <c r="M949">
        <f>IF($W949="","",SUMIFS(상세표[06~07시],상세표[사번키],INDEX(합계표[사번키],$W949),상세표[반영월],대상월키,상세표[반영 기관],"서울병원"))</f>
        <v/>
      </c>
      <c r="N949">
        <f>IF($W949="","",SUMIFS(상세표[07~18시],상세표[사번키],INDEX(합계표[사번키],$W949),상세표[반영월],대상월키,상세표[반영 기관],"서울병원"))</f>
        <v/>
      </c>
      <c r="O949">
        <f>IF($W949="","",SUMIFS(상세표[18~22시],상세표[사번키],INDEX(합계표[사번키],$W949),상세표[반영월],대상월키,상세표[반영 기관],"서울병원"))</f>
        <v/>
      </c>
      <c r="P949">
        <f>IF($W949="","",SUMIFS(상세표[22~06시],상세표[사번키],INDEX(합계표[사번키],$W949),상세표[반영월],대상월키,상세표[반영 기관],"서울병원"))</f>
        <v/>
      </c>
      <c r="Q949">
        <f>IF($W949="","",SUM($M949:$P949))</f>
        <v/>
      </c>
      <c r="R949">
        <f>IF($W949="","",COUNTIFS(상세표[사번키],INDEX(합계표[사번키],$W949),상세표[반영월],대상월키,상세표[야간당직],1,상세표[야간 구분],"평일"))</f>
        <v/>
      </c>
      <c r="S949" s="4">
        <f>IF($W949="","",COUNTIFS(상세표[사번키],INDEX(합계표[사번키],$W949),상세표[반영월],대상월키,상세표[야간당직],1,상세표[야간 구분],"휴일"))</f>
        <v/>
      </c>
      <c r="T949">
        <f>IF($W949="","",COUNTIFS(상세표[사번키],INDEX(합계표[사번키],$W949),상세표[반영월],대상월키,상세표[야간당직],1,상세표[야간 구분],"평일",상세표[반영 기관],"서울병원"))</f>
        <v/>
      </c>
      <c r="U949">
        <f>IF($W949="","",COUNTIFS(상세표[사번키],INDEX(합계표[사번키],$W949),상세표[반영월],대상월키,상세표[야간당직],1,상세표[야간 구분],"휴일",상세표[반영 기관],"서울병원"))</f>
        <v/>
      </c>
      <c r="V949">
        <f>IF($W949="","",IF(ISNUMBER(MATCH(INDEX(합계표[사번키],$W949)&amp;"|"&amp;대상월키,월별근무지표[키],0)),"직접 입력",IF($K949="—","—","기관명단")))</f>
        <v/>
      </c>
      <c r="W949">
        <f>IFERROR(MATCH(944,합계표[판정순번],0),"")</f>
        <v/>
      </c>
    </row>
    <row r="950">
      <c r="A950">
        <f>IF($W950="","",INDEX(합계표[사번],$W950)&amp;"")</f>
        <v/>
      </c>
      <c r="B950">
        <f>IF($W950="","",INDEX(합계표[성명],$W950)&amp;"")</f>
        <v/>
      </c>
      <c r="C950">
        <f>IF($W950="","",INDEX(합계표[부서],$W950)&amp;"")</f>
        <v/>
      </c>
      <c r="D950">
        <f>IF($W950="","",INDEX(합계표[직위(통합)],$W950)&amp;"")</f>
        <v/>
      </c>
      <c r="E950">
        <f>IF($W950="","",SUMIFS(합계표[시스템 합계],합계표[사번키],INDEX(합계표[사번키],$W950)))</f>
        <v/>
      </c>
      <c r="F950">
        <f>IF($W950="","",SUMIFS(상세표[기록 시간외],상세표[사번키],INDEX(합계표[사번키],$W950),상세표[기록월],대상월키))</f>
        <v/>
      </c>
      <c r="G950">
        <f>IF($W950="","",IF(ABS($E950-$F950)&lt;0.01,"일치","불일치(차이 "&amp;TEXT($F950-$E950,"0.00")&amp;")"))</f>
        <v/>
      </c>
      <c r="H950">
        <f>IF($W950="","",SUMIFS(상세표[기록 시간외],상세표[사번키],INDEX(합계표[사번키],$W950),상세표[기록월],대상월키,상세표[반영월],"&lt;&gt;"&amp;대상월키))</f>
        <v/>
      </c>
      <c r="I950">
        <f>IF($W950="","",SUMIFS(상세표[기록 시간외],상세표[사번키],INDEX(합계표[사번키],$W950),상세표[기록월],"&lt;&gt;"&amp;대상월키,상세표[반영월],대상월키))</f>
        <v/>
      </c>
      <c r="J950">
        <f>IF($W950="","",SUMIFS(상세표[기록 시간외],상세표[사번키],INDEX(합계표[사번키],$W950),상세표[반영월],대상월키))</f>
        <v/>
      </c>
      <c r="K950">
        <f>IF($W950="","",IFERROR(INDEX(월별근무지표[적용 급여병원],MATCH(INDEX(합계표[사번키],$W950)&amp;"|"&amp;대상월키,월별근무지표[키],0))&amp;"",IF(COUNTIF(기관표[사번키],INDEX(합계표[사번키],$W950))+COUNTIF(월별근무지표[사번키],INDEX(합계표[사번키],$W950))&gt;0,IFERROR(INDEX(기관표[급여지급병원(기준월)],MATCH(INDEX(합계표[사번키],$W950)&amp;"|"&amp;대상월키,기관표[키],0))&amp;"","—"),"—")))</f>
        <v/>
      </c>
      <c r="L950">
        <f>IF($W950="","",IF(NOT(COUNTIF(기관표[사번키],INDEX(합계표[사번키],$W950))+COUNTIF(월별근무지표[사번키],INDEX(합계표[사번키],$W950))&gt;0),"기관명단에 없음(다른 병원으로 발송)",IF($K950="—","대상월 기관명단 없음(추가 필요)",IF($K950="서울병원","해당","비해당"))))</f>
        <v/>
      </c>
      <c r="M950">
        <f>IF($W950="","",SUMIFS(상세표[06~07시],상세표[사번키],INDEX(합계표[사번키],$W950),상세표[반영월],대상월키,상세표[반영 기관],"서울병원"))</f>
        <v/>
      </c>
      <c r="N950">
        <f>IF($W950="","",SUMIFS(상세표[07~18시],상세표[사번키],INDEX(합계표[사번키],$W950),상세표[반영월],대상월키,상세표[반영 기관],"서울병원"))</f>
        <v/>
      </c>
      <c r="O950">
        <f>IF($W950="","",SUMIFS(상세표[18~22시],상세표[사번키],INDEX(합계표[사번키],$W950),상세표[반영월],대상월키,상세표[반영 기관],"서울병원"))</f>
        <v/>
      </c>
      <c r="P950">
        <f>IF($W950="","",SUMIFS(상세표[22~06시],상세표[사번키],INDEX(합계표[사번키],$W950),상세표[반영월],대상월키,상세표[반영 기관],"서울병원"))</f>
        <v/>
      </c>
      <c r="Q950">
        <f>IF($W950="","",SUM($M950:$P950))</f>
        <v/>
      </c>
      <c r="R950">
        <f>IF($W950="","",COUNTIFS(상세표[사번키],INDEX(합계표[사번키],$W950),상세표[반영월],대상월키,상세표[야간당직],1,상세표[야간 구분],"평일"))</f>
        <v/>
      </c>
      <c r="S950" s="4">
        <f>IF($W950="","",COUNTIFS(상세표[사번키],INDEX(합계표[사번키],$W950),상세표[반영월],대상월키,상세표[야간당직],1,상세표[야간 구분],"휴일"))</f>
        <v/>
      </c>
      <c r="T950">
        <f>IF($W950="","",COUNTIFS(상세표[사번키],INDEX(합계표[사번키],$W950),상세표[반영월],대상월키,상세표[야간당직],1,상세표[야간 구분],"평일",상세표[반영 기관],"서울병원"))</f>
        <v/>
      </c>
      <c r="U950">
        <f>IF($W950="","",COUNTIFS(상세표[사번키],INDEX(합계표[사번키],$W950),상세표[반영월],대상월키,상세표[야간당직],1,상세표[야간 구분],"휴일",상세표[반영 기관],"서울병원"))</f>
        <v/>
      </c>
      <c r="V950">
        <f>IF($W950="","",IF(ISNUMBER(MATCH(INDEX(합계표[사번키],$W950)&amp;"|"&amp;대상월키,월별근무지표[키],0)),"직접 입력",IF($K950="—","—","기관명단")))</f>
        <v/>
      </c>
      <c r="W950">
        <f>IFERROR(MATCH(945,합계표[판정순번],0),"")</f>
        <v/>
      </c>
    </row>
    <row r="951">
      <c r="A951">
        <f>IF($W951="","",INDEX(합계표[사번],$W951)&amp;"")</f>
        <v/>
      </c>
      <c r="B951">
        <f>IF($W951="","",INDEX(합계표[성명],$W951)&amp;"")</f>
        <v/>
      </c>
      <c r="C951">
        <f>IF($W951="","",INDEX(합계표[부서],$W951)&amp;"")</f>
        <v/>
      </c>
      <c r="D951">
        <f>IF($W951="","",INDEX(합계표[직위(통합)],$W951)&amp;"")</f>
        <v/>
      </c>
      <c r="E951">
        <f>IF($W951="","",SUMIFS(합계표[시스템 합계],합계표[사번키],INDEX(합계표[사번키],$W951)))</f>
        <v/>
      </c>
      <c r="F951">
        <f>IF($W951="","",SUMIFS(상세표[기록 시간외],상세표[사번키],INDEX(합계표[사번키],$W951),상세표[기록월],대상월키))</f>
        <v/>
      </c>
      <c r="G951">
        <f>IF($W951="","",IF(ABS($E951-$F951)&lt;0.01,"일치","불일치(차이 "&amp;TEXT($F951-$E951,"0.00")&amp;")"))</f>
        <v/>
      </c>
      <c r="H951">
        <f>IF($W951="","",SUMIFS(상세표[기록 시간외],상세표[사번키],INDEX(합계표[사번키],$W951),상세표[기록월],대상월키,상세표[반영월],"&lt;&gt;"&amp;대상월키))</f>
        <v/>
      </c>
      <c r="I951">
        <f>IF($W951="","",SUMIFS(상세표[기록 시간외],상세표[사번키],INDEX(합계표[사번키],$W951),상세표[기록월],"&lt;&gt;"&amp;대상월키,상세표[반영월],대상월키))</f>
        <v/>
      </c>
      <c r="J951">
        <f>IF($W951="","",SUMIFS(상세표[기록 시간외],상세표[사번키],INDEX(합계표[사번키],$W951),상세표[반영월],대상월키))</f>
        <v/>
      </c>
      <c r="K951">
        <f>IF($W951="","",IFERROR(INDEX(월별근무지표[적용 급여병원],MATCH(INDEX(합계표[사번키],$W951)&amp;"|"&amp;대상월키,월별근무지표[키],0))&amp;"",IF(COUNTIF(기관표[사번키],INDEX(합계표[사번키],$W951))+COUNTIF(월별근무지표[사번키],INDEX(합계표[사번키],$W951))&gt;0,IFERROR(INDEX(기관표[급여지급병원(기준월)],MATCH(INDEX(합계표[사번키],$W951)&amp;"|"&amp;대상월키,기관표[키],0))&amp;"","—"),"—")))</f>
        <v/>
      </c>
      <c r="L951">
        <f>IF($W951="","",IF(NOT(COUNTIF(기관표[사번키],INDEX(합계표[사번키],$W951))+COUNTIF(월별근무지표[사번키],INDEX(합계표[사번키],$W951))&gt;0),"기관명단에 없음(다른 병원으로 발송)",IF($K951="—","대상월 기관명단 없음(추가 필요)",IF($K951="서울병원","해당","비해당"))))</f>
        <v/>
      </c>
      <c r="M951">
        <f>IF($W951="","",SUMIFS(상세표[06~07시],상세표[사번키],INDEX(합계표[사번키],$W951),상세표[반영월],대상월키,상세표[반영 기관],"서울병원"))</f>
        <v/>
      </c>
      <c r="N951">
        <f>IF($W951="","",SUMIFS(상세표[07~18시],상세표[사번키],INDEX(합계표[사번키],$W951),상세표[반영월],대상월키,상세표[반영 기관],"서울병원"))</f>
        <v/>
      </c>
      <c r="O951">
        <f>IF($W951="","",SUMIFS(상세표[18~22시],상세표[사번키],INDEX(합계표[사번키],$W951),상세표[반영월],대상월키,상세표[반영 기관],"서울병원"))</f>
        <v/>
      </c>
      <c r="P951">
        <f>IF($W951="","",SUMIFS(상세표[22~06시],상세표[사번키],INDEX(합계표[사번키],$W951),상세표[반영월],대상월키,상세표[반영 기관],"서울병원"))</f>
        <v/>
      </c>
      <c r="Q951">
        <f>IF($W951="","",SUM($M951:$P951))</f>
        <v/>
      </c>
      <c r="R951">
        <f>IF($W951="","",COUNTIFS(상세표[사번키],INDEX(합계표[사번키],$W951),상세표[반영월],대상월키,상세표[야간당직],1,상세표[야간 구분],"평일"))</f>
        <v/>
      </c>
      <c r="S951" s="4">
        <f>IF($W951="","",COUNTIFS(상세표[사번키],INDEX(합계표[사번키],$W951),상세표[반영월],대상월키,상세표[야간당직],1,상세표[야간 구분],"휴일"))</f>
        <v/>
      </c>
      <c r="T951">
        <f>IF($W951="","",COUNTIFS(상세표[사번키],INDEX(합계표[사번키],$W951),상세표[반영월],대상월키,상세표[야간당직],1,상세표[야간 구분],"평일",상세표[반영 기관],"서울병원"))</f>
        <v/>
      </c>
      <c r="U951">
        <f>IF($W951="","",COUNTIFS(상세표[사번키],INDEX(합계표[사번키],$W951),상세표[반영월],대상월키,상세표[야간당직],1,상세표[야간 구분],"휴일",상세표[반영 기관],"서울병원"))</f>
        <v/>
      </c>
      <c r="V951">
        <f>IF($W951="","",IF(ISNUMBER(MATCH(INDEX(합계표[사번키],$W951)&amp;"|"&amp;대상월키,월별근무지표[키],0)),"직접 입력",IF($K951="—","—","기관명단")))</f>
        <v/>
      </c>
      <c r="W951">
        <f>IFERROR(MATCH(946,합계표[판정순번],0),"")</f>
        <v/>
      </c>
    </row>
    <row r="952">
      <c r="A952">
        <f>IF($W952="","",INDEX(합계표[사번],$W952)&amp;"")</f>
        <v/>
      </c>
      <c r="B952">
        <f>IF($W952="","",INDEX(합계표[성명],$W952)&amp;"")</f>
        <v/>
      </c>
      <c r="C952">
        <f>IF($W952="","",INDEX(합계표[부서],$W952)&amp;"")</f>
        <v/>
      </c>
      <c r="D952">
        <f>IF($W952="","",INDEX(합계표[직위(통합)],$W952)&amp;"")</f>
        <v/>
      </c>
      <c r="E952">
        <f>IF($W952="","",SUMIFS(합계표[시스템 합계],합계표[사번키],INDEX(합계표[사번키],$W952)))</f>
        <v/>
      </c>
      <c r="F952">
        <f>IF($W952="","",SUMIFS(상세표[기록 시간외],상세표[사번키],INDEX(합계표[사번키],$W952),상세표[기록월],대상월키))</f>
        <v/>
      </c>
      <c r="G952">
        <f>IF($W952="","",IF(ABS($E952-$F952)&lt;0.01,"일치","불일치(차이 "&amp;TEXT($F952-$E952,"0.00")&amp;")"))</f>
        <v/>
      </c>
      <c r="H952">
        <f>IF($W952="","",SUMIFS(상세표[기록 시간외],상세표[사번키],INDEX(합계표[사번키],$W952),상세표[기록월],대상월키,상세표[반영월],"&lt;&gt;"&amp;대상월키))</f>
        <v/>
      </c>
      <c r="I952">
        <f>IF($W952="","",SUMIFS(상세표[기록 시간외],상세표[사번키],INDEX(합계표[사번키],$W952),상세표[기록월],"&lt;&gt;"&amp;대상월키,상세표[반영월],대상월키))</f>
        <v/>
      </c>
      <c r="J952">
        <f>IF($W952="","",SUMIFS(상세표[기록 시간외],상세표[사번키],INDEX(합계표[사번키],$W952),상세표[반영월],대상월키))</f>
        <v/>
      </c>
      <c r="K952">
        <f>IF($W952="","",IFERROR(INDEX(월별근무지표[적용 급여병원],MATCH(INDEX(합계표[사번키],$W952)&amp;"|"&amp;대상월키,월별근무지표[키],0))&amp;"",IF(COUNTIF(기관표[사번키],INDEX(합계표[사번키],$W952))+COUNTIF(월별근무지표[사번키],INDEX(합계표[사번키],$W952))&gt;0,IFERROR(INDEX(기관표[급여지급병원(기준월)],MATCH(INDEX(합계표[사번키],$W952)&amp;"|"&amp;대상월키,기관표[키],0))&amp;"","—"),"—")))</f>
        <v/>
      </c>
      <c r="L952">
        <f>IF($W952="","",IF(NOT(COUNTIF(기관표[사번키],INDEX(합계표[사번키],$W952))+COUNTIF(월별근무지표[사번키],INDEX(합계표[사번키],$W952))&gt;0),"기관명단에 없음(다른 병원으로 발송)",IF($K952="—","대상월 기관명단 없음(추가 필요)",IF($K952="서울병원","해당","비해당"))))</f>
        <v/>
      </c>
      <c r="M952">
        <f>IF($W952="","",SUMIFS(상세표[06~07시],상세표[사번키],INDEX(합계표[사번키],$W952),상세표[반영월],대상월키,상세표[반영 기관],"서울병원"))</f>
        <v/>
      </c>
      <c r="N952">
        <f>IF($W952="","",SUMIFS(상세표[07~18시],상세표[사번키],INDEX(합계표[사번키],$W952),상세표[반영월],대상월키,상세표[반영 기관],"서울병원"))</f>
        <v/>
      </c>
      <c r="O952">
        <f>IF($W952="","",SUMIFS(상세표[18~22시],상세표[사번키],INDEX(합계표[사번키],$W952),상세표[반영월],대상월키,상세표[반영 기관],"서울병원"))</f>
        <v/>
      </c>
      <c r="P952">
        <f>IF($W952="","",SUMIFS(상세표[22~06시],상세표[사번키],INDEX(합계표[사번키],$W952),상세표[반영월],대상월키,상세표[반영 기관],"서울병원"))</f>
        <v/>
      </c>
      <c r="Q952">
        <f>IF($W952="","",SUM($M952:$P952))</f>
        <v/>
      </c>
      <c r="R952">
        <f>IF($W952="","",COUNTIFS(상세표[사번키],INDEX(합계표[사번키],$W952),상세표[반영월],대상월키,상세표[야간당직],1,상세표[야간 구분],"평일"))</f>
        <v/>
      </c>
      <c r="S952" s="4">
        <f>IF($W952="","",COUNTIFS(상세표[사번키],INDEX(합계표[사번키],$W952),상세표[반영월],대상월키,상세표[야간당직],1,상세표[야간 구분],"휴일"))</f>
        <v/>
      </c>
      <c r="T952">
        <f>IF($W952="","",COUNTIFS(상세표[사번키],INDEX(합계표[사번키],$W952),상세표[반영월],대상월키,상세표[야간당직],1,상세표[야간 구분],"평일",상세표[반영 기관],"서울병원"))</f>
        <v/>
      </c>
      <c r="U952">
        <f>IF($W952="","",COUNTIFS(상세표[사번키],INDEX(합계표[사번키],$W952),상세표[반영월],대상월키,상세표[야간당직],1,상세표[야간 구분],"휴일",상세표[반영 기관],"서울병원"))</f>
        <v/>
      </c>
      <c r="V952">
        <f>IF($W952="","",IF(ISNUMBER(MATCH(INDEX(합계표[사번키],$W952)&amp;"|"&amp;대상월키,월별근무지표[키],0)),"직접 입력",IF($K952="—","—","기관명단")))</f>
        <v/>
      </c>
      <c r="W952">
        <f>IFERROR(MATCH(947,합계표[판정순번],0),"")</f>
        <v/>
      </c>
    </row>
    <row r="953">
      <c r="A953">
        <f>IF($W953="","",INDEX(합계표[사번],$W953)&amp;"")</f>
        <v/>
      </c>
      <c r="B953">
        <f>IF($W953="","",INDEX(합계표[성명],$W953)&amp;"")</f>
        <v/>
      </c>
      <c r="C953">
        <f>IF($W953="","",INDEX(합계표[부서],$W953)&amp;"")</f>
        <v/>
      </c>
      <c r="D953">
        <f>IF($W953="","",INDEX(합계표[직위(통합)],$W953)&amp;"")</f>
        <v/>
      </c>
      <c r="E953">
        <f>IF($W953="","",SUMIFS(합계표[시스템 합계],합계표[사번키],INDEX(합계표[사번키],$W953)))</f>
        <v/>
      </c>
      <c r="F953">
        <f>IF($W953="","",SUMIFS(상세표[기록 시간외],상세표[사번키],INDEX(합계표[사번키],$W953),상세표[기록월],대상월키))</f>
        <v/>
      </c>
      <c r="G953">
        <f>IF($W953="","",IF(ABS($E953-$F953)&lt;0.01,"일치","불일치(차이 "&amp;TEXT($F953-$E953,"0.00")&amp;")"))</f>
        <v/>
      </c>
      <c r="H953">
        <f>IF($W953="","",SUMIFS(상세표[기록 시간외],상세표[사번키],INDEX(합계표[사번키],$W953),상세표[기록월],대상월키,상세표[반영월],"&lt;&gt;"&amp;대상월키))</f>
        <v/>
      </c>
      <c r="I953">
        <f>IF($W953="","",SUMIFS(상세표[기록 시간외],상세표[사번키],INDEX(합계표[사번키],$W953),상세표[기록월],"&lt;&gt;"&amp;대상월키,상세표[반영월],대상월키))</f>
        <v/>
      </c>
      <c r="J953">
        <f>IF($W953="","",SUMIFS(상세표[기록 시간외],상세표[사번키],INDEX(합계표[사번키],$W953),상세표[반영월],대상월키))</f>
        <v/>
      </c>
      <c r="K953">
        <f>IF($W953="","",IFERROR(INDEX(월별근무지표[적용 급여병원],MATCH(INDEX(합계표[사번키],$W953)&amp;"|"&amp;대상월키,월별근무지표[키],0))&amp;"",IF(COUNTIF(기관표[사번키],INDEX(합계표[사번키],$W953))+COUNTIF(월별근무지표[사번키],INDEX(합계표[사번키],$W953))&gt;0,IFERROR(INDEX(기관표[급여지급병원(기준월)],MATCH(INDEX(합계표[사번키],$W953)&amp;"|"&amp;대상월키,기관표[키],0))&amp;"","—"),"—")))</f>
        <v/>
      </c>
      <c r="L953">
        <f>IF($W953="","",IF(NOT(COUNTIF(기관표[사번키],INDEX(합계표[사번키],$W953))+COUNTIF(월별근무지표[사번키],INDEX(합계표[사번키],$W953))&gt;0),"기관명단에 없음(다른 병원으로 발송)",IF($K953="—","대상월 기관명단 없음(추가 필요)",IF($K953="서울병원","해당","비해당"))))</f>
        <v/>
      </c>
      <c r="M953">
        <f>IF($W953="","",SUMIFS(상세표[06~07시],상세표[사번키],INDEX(합계표[사번키],$W953),상세표[반영월],대상월키,상세표[반영 기관],"서울병원"))</f>
        <v/>
      </c>
      <c r="N953">
        <f>IF($W953="","",SUMIFS(상세표[07~18시],상세표[사번키],INDEX(합계표[사번키],$W953),상세표[반영월],대상월키,상세표[반영 기관],"서울병원"))</f>
        <v/>
      </c>
      <c r="O953">
        <f>IF($W953="","",SUMIFS(상세표[18~22시],상세표[사번키],INDEX(합계표[사번키],$W953),상세표[반영월],대상월키,상세표[반영 기관],"서울병원"))</f>
        <v/>
      </c>
      <c r="P953">
        <f>IF($W953="","",SUMIFS(상세표[22~06시],상세표[사번키],INDEX(합계표[사번키],$W953),상세표[반영월],대상월키,상세표[반영 기관],"서울병원"))</f>
        <v/>
      </c>
      <c r="Q953">
        <f>IF($W953="","",SUM($M953:$P953))</f>
        <v/>
      </c>
      <c r="R953">
        <f>IF($W953="","",COUNTIFS(상세표[사번키],INDEX(합계표[사번키],$W953),상세표[반영월],대상월키,상세표[야간당직],1,상세표[야간 구분],"평일"))</f>
        <v/>
      </c>
      <c r="S953" s="4">
        <f>IF($W953="","",COUNTIFS(상세표[사번키],INDEX(합계표[사번키],$W953),상세표[반영월],대상월키,상세표[야간당직],1,상세표[야간 구분],"휴일"))</f>
        <v/>
      </c>
      <c r="T953">
        <f>IF($W953="","",COUNTIFS(상세표[사번키],INDEX(합계표[사번키],$W953),상세표[반영월],대상월키,상세표[야간당직],1,상세표[야간 구분],"평일",상세표[반영 기관],"서울병원"))</f>
        <v/>
      </c>
      <c r="U953">
        <f>IF($W953="","",COUNTIFS(상세표[사번키],INDEX(합계표[사번키],$W953),상세표[반영월],대상월키,상세표[야간당직],1,상세표[야간 구분],"휴일",상세표[반영 기관],"서울병원"))</f>
        <v/>
      </c>
      <c r="V953">
        <f>IF($W953="","",IF(ISNUMBER(MATCH(INDEX(합계표[사번키],$W953)&amp;"|"&amp;대상월키,월별근무지표[키],0)),"직접 입력",IF($K953="—","—","기관명단")))</f>
        <v/>
      </c>
      <c r="W953">
        <f>IFERROR(MATCH(948,합계표[판정순번],0),"")</f>
        <v/>
      </c>
    </row>
    <row r="954">
      <c r="A954">
        <f>IF($W954="","",INDEX(합계표[사번],$W954)&amp;"")</f>
        <v/>
      </c>
      <c r="B954">
        <f>IF($W954="","",INDEX(합계표[성명],$W954)&amp;"")</f>
        <v/>
      </c>
      <c r="C954">
        <f>IF($W954="","",INDEX(합계표[부서],$W954)&amp;"")</f>
        <v/>
      </c>
      <c r="D954">
        <f>IF($W954="","",INDEX(합계표[직위(통합)],$W954)&amp;"")</f>
        <v/>
      </c>
      <c r="E954">
        <f>IF($W954="","",SUMIFS(합계표[시스템 합계],합계표[사번키],INDEX(합계표[사번키],$W954)))</f>
        <v/>
      </c>
      <c r="F954">
        <f>IF($W954="","",SUMIFS(상세표[기록 시간외],상세표[사번키],INDEX(합계표[사번키],$W954),상세표[기록월],대상월키))</f>
        <v/>
      </c>
      <c r="G954">
        <f>IF($W954="","",IF(ABS($E954-$F954)&lt;0.01,"일치","불일치(차이 "&amp;TEXT($F954-$E954,"0.00")&amp;")"))</f>
        <v/>
      </c>
      <c r="H954">
        <f>IF($W954="","",SUMIFS(상세표[기록 시간외],상세표[사번키],INDEX(합계표[사번키],$W954),상세표[기록월],대상월키,상세표[반영월],"&lt;&gt;"&amp;대상월키))</f>
        <v/>
      </c>
      <c r="I954">
        <f>IF($W954="","",SUMIFS(상세표[기록 시간외],상세표[사번키],INDEX(합계표[사번키],$W954),상세표[기록월],"&lt;&gt;"&amp;대상월키,상세표[반영월],대상월키))</f>
        <v/>
      </c>
      <c r="J954">
        <f>IF($W954="","",SUMIFS(상세표[기록 시간외],상세표[사번키],INDEX(합계표[사번키],$W954),상세표[반영월],대상월키))</f>
        <v/>
      </c>
      <c r="K954">
        <f>IF($W954="","",IFERROR(INDEX(월별근무지표[적용 급여병원],MATCH(INDEX(합계표[사번키],$W954)&amp;"|"&amp;대상월키,월별근무지표[키],0))&amp;"",IF(COUNTIF(기관표[사번키],INDEX(합계표[사번키],$W954))+COUNTIF(월별근무지표[사번키],INDEX(합계표[사번키],$W954))&gt;0,IFERROR(INDEX(기관표[급여지급병원(기준월)],MATCH(INDEX(합계표[사번키],$W954)&amp;"|"&amp;대상월키,기관표[키],0))&amp;"","—"),"—")))</f>
        <v/>
      </c>
      <c r="L954">
        <f>IF($W954="","",IF(NOT(COUNTIF(기관표[사번키],INDEX(합계표[사번키],$W954))+COUNTIF(월별근무지표[사번키],INDEX(합계표[사번키],$W954))&gt;0),"기관명단에 없음(다른 병원으로 발송)",IF($K954="—","대상월 기관명단 없음(추가 필요)",IF($K954="서울병원","해당","비해당"))))</f>
        <v/>
      </c>
      <c r="M954">
        <f>IF($W954="","",SUMIFS(상세표[06~07시],상세표[사번키],INDEX(합계표[사번키],$W954),상세표[반영월],대상월키,상세표[반영 기관],"서울병원"))</f>
        <v/>
      </c>
      <c r="N954">
        <f>IF($W954="","",SUMIFS(상세표[07~18시],상세표[사번키],INDEX(합계표[사번키],$W954),상세표[반영월],대상월키,상세표[반영 기관],"서울병원"))</f>
        <v/>
      </c>
      <c r="O954">
        <f>IF($W954="","",SUMIFS(상세표[18~22시],상세표[사번키],INDEX(합계표[사번키],$W954),상세표[반영월],대상월키,상세표[반영 기관],"서울병원"))</f>
        <v/>
      </c>
      <c r="P954">
        <f>IF($W954="","",SUMIFS(상세표[22~06시],상세표[사번키],INDEX(합계표[사번키],$W954),상세표[반영월],대상월키,상세표[반영 기관],"서울병원"))</f>
        <v/>
      </c>
      <c r="Q954">
        <f>IF($W954="","",SUM($M954:$P954))</f>
        <v/>
      </c>
      <c r="R954">
        <f>IF($W954="","",COUNTIFS(상세표[사번키],INDEX(합계표[사번키],$W954),상세표[반영월],대상월키,상세표[야간당직],1,상세표[야간 구분],"평일"))</f>
        <v/>
      </c>
      <c r="S954" s="4">
        <f>IF($W954="","",COUNTIFS(상세표[사번키],INDEX(합계표[사번키],$W954),상세표[반영월],대상월키,상세표[야간당직],1,상세표[야간 구분],"휴일"))</f>
        <v/>
      </c>
      <c r="T954">
        <f>IF($W954="","",COUNTIFS(상세표[사번키],INDEX(합계표[사번키],$W954),상세표[반영월],대상월키,상세표[야간당직],1,상세표[야간 구분],"평일",상세표[반영 기관],"서울병원"))</f>
        <v/>
      </c>
      <c r="U954">
        <f>IF($W954="","",COUNTIFS(상세표[사번키],INDEX(합계표[사번키],$W954),상세표[반영월],대상월키,상세표[야간당직],1,상세표[야간 구분],"휴일",상세표[반영 기관],"서울병원"))</f>
        <v/>
      </c>
      <c r="V954">
        <f>IF($W954="","",IF(ISNUMBER(MATCH(INDEX(합계표[사번키],$W954)&amp;"|"&amp;대상월키,월별근무지표[키],0)),"직접 입력",IF($K954="—","—","기관명단")))</f>
        <v/>
      </c>
      <c r="W954">
        <f>IFERROR(MATCH(949,합계표[판정순번],0),"")</f>
        <v/>
      </c>
    </row>
    <row r="955">
      <c r="A955">
        <f>IF($W955="","",INDEX(합계표[사번],$W955)&amp;"")</f>
        <v/>
      </c>
      <c r="B955">
        <f>IF($W955="","",INDEX(합계표[성명],$W955)&amp;"")</f>
        <v/>
      </c>
      <c r="C955">
        <f>IF($W955="","",INDEX(합계표[부서],$W955)&amp;"")</f>
        <v/>
      </c>
      <c r="D955">
        <f>IF($W955="","",INDEX(합계표[직위(통합)],$W955)&amp;"")</f>
        <v/>
      </c>
      <c r="E955">
        <f>IF($W955="","",SUMIFS(합계표[시스템 합계],합계표[사번키],INDEX(합계표[사번키],$W955)))</f>
        <v/>
      </c>
      <c r="F955">
        <f>IF($W955="","",SUMIFS(상세표[기록 시간외],상세표[사번키],INDEX(합계표[사번키],$W955),상세표[기록월],대상월키))</f>
        <v/>
      </c>
      <c r="G955">
        <f>IF($W955="","",IF(ABS($E955-$F955)&lt;0.01,"일치","불일치(차이 "&amp;TEXT($F955-$E955,"0.00")&amp;")"))</f>
        <v/>
      </c>
      <c r="H955">
        <f>IF($W955="","",SUMIFS(상세표[기록 시간외],상세표[사번키],INDEX(합계표[사번키],$W955),상세표[기록월],대상월키,상세표[반영월],"&lt;&gt;"&amp;대상월키))</f>
        <v/>
      </c>
      <c r="I955">
        <f>IF($W955="","",SUMIFS(상세표[기록 시간외],상세표[사번키],INDEX(합계표[사번키],$W955),상세표[기록월],"&lt;&gt;"&amp;대상월키,상세표[반영월],대상월키))</f>
        <v/>
      </c>
      <c r="J955">
        <f>IF($W955="","",SUMIFS(상세표[기록 시간외],상세표[사번키],INDEX(합계표[사번키],$W955),상세표[반영월],대상월키))</f>
        <v/>
      </c>
      <c r="K955">
        <f>IF($W955="","",IFERROR(INDEX(월별근무지표[적용 급여병원],MATCH(INDEX(합계표[사번키],$W955)&amp;"|"&amp;대상월키,월별근무지표[키],0))&amp;"",IF(COUNTIF(기관표[사번키],INDEX(합계표[사번키],$W955))+COUNTIF(월별근무지표[사번키],INDEX(합계표[사번키],$W955))&gt;0,IFERROR(INDEX(기관표[급여지급병원(기준월)],MATCH(INDEX(합계표[사번키],$W955)&amp;"|"&amp;대상월키,기관표[키],0))&amp;"","—"),"—")))</f>
        <v/>
      </c>
      <c r="L955">
        <f>IF($W955="","",IF(NOT(COUNTIF(기관표[사번키],INDEX(합계표[사번키],$W955))+COUNTIF(월별근무지표[사번키],INDEX(합계표[사번키],$W955))&gt;0),"기관명단에 없음(다른 병원으로 발송)",IF($K955="—","대상월 기관명단 없음(추가 필요)",IF($K955="서울병원","해당","비해당"))))</f>
        <v/>
      </c>
      <c r="M955">
        <f>IF($W955="","",SUMIFS(상세표[06~07시],상세표[사번키],INDEX(합계표[사번키],$W955),상세표[반영월],대상월키,상세표[반영 기관],"서울병원"))</f>
        <v/>
      </c>
      <c r="N955">
        <f>IF($W955="","",SUMIFS(상세표[07~18시],상세표[사번키],INDEX(합계표[사번키],$W955),상세표[반영월],대상월키,상세표[반영 기관],"서울병원"))</f>
        <v/>
      </c>
      <c r="O955">
        <f>IF($W955="","",SUMIFS(상세표[18~22시],상세표[사번키],INDEX(합계표[사번키],$W955),상세표[반영월],대상월키,상세표[반영 기관],"서울병원"))</f>
        <v/>
      </c>
      <c r="P955">
        <f>IF($W955="","",SUMIFS(상세표[22~06시],상세표[사번키],INDEX(합계표[사번키],$W955),상세표[반영월],대상월키,상세표[반영 기관],"서울병원"))</f>
        <v/>
      </c>
      <c r="Q955">
        <f>IF($W955="","",SUM($M955:$P955))</f>
        <v/>
      </c>
      <c r="R955">
        <f>IF($W955="","",COUNTIFS(상세표[사번키],INDEX(합계표[사번키],$W955),상세표[반영월],대상월키,상세표[야간당직],1,상세표[야간 구분],"평일"))</f>
        <v/>
      </c>
      <c r="S955" s="4">
        <f>IF($W955="","",COUNTIFS(상세표[사번키],INDEX(합계표[사번키],$W955),상세표[반영월],대상월키,상세표[야간당직],1,상세표[야간 구분],"휴일"))</f>
        <v/>
      </c>
      <c r="T955">
        <f>IF($W955="","",COUNTIFS(상세표[사번키],INDEX(합계표[사번키],$W955),상세표[반영월],대상월키,상세표[야간당직],1,상세표[야간 구분],"평일",상세표[반영 기관],"서울병원"))</f>
        <v/>
      </c>
      <c r="U955">
        <f>IF($W955="","",COUNTIFS(상세표[사번키],INDEX(합계표[사번키],$W955),상세표[반영월],대상월키,상세표[야간당직],1,상세표[야간 구분],"휴일",상세표[반영 기관],"서울병원"))</f>
        <v/>
      </c>
      <c r="V955">
        <f>IF($W955="","",IF(ISNUMBER(MATCH(INDEX(합계표[사번키],$W955)&amp;"|"&amp;대상월키,월별근무지표[키],0)),"직접 입력",IF($K955="—","—","기관명단")))</f>
        <v/>
      </c>
      <c r="W955">
        <f>IFERROR(MATCH(950,합계표[판정순번],0),"")</f>
        <v/>
      </c>
    </row>
    <row r="956">
      <c r="A956">
        <f>IF($W956="","",INDEX(합계표[사번],$W956)&amp;"")</f>
        <v/>
      </c>
      <c r="B956">
        <f>IF($W956="","",INDEX(합계표[성명],$W956)&amp;"")</f>
        <v/>
      </c>
      <c r="C956">
        <f>IF($W956="","",INDEX(합계표[부서],$W956)&amp;"")</f>
        <v/>
      </c>
      <c r="D956">
        <f>IF($W956="","",INDEX(합계표[직위(통합)],$W956)&amp;"")</f>
        <v/>
      </c>
      <c r="E956">
        <f>IF($W956="","",SUMIFS(합계표[시스템 합계],합계표[사번키],INDEX(합계표[사번키],$W956)))</f>
        <v/>
      </c>
      <c r="F956">
        <f>IF($W956="","",SUMIFS(상세표[기록 시간외],상세표[사번키],INDEX(합계표[사번키],$W956),상세표[기록월],대상월키))</f>
        <v/>
      </c>
      <c r="G956">
        <f>IF($W956="","",IF(ABS($E956-$F956)&lt;0.01,"일치","불일치(차이 "&amp;TEXT($F956-$E956,"0.00")&amp;")"))</f>
        <v/>
      </c>
      <c r="H956">
        <f>IF($W956="","",SUMIFS(상세표[기록 시간외],상세표[사번키],INDEX(합계표[사번키],$W956),상세표[기록월],대상월키,상세표[반영월],"&lt;&gt;"&amp;대상월키))</f>
        <v/>
      </c>
      <c r="I956">
        <f>IF($W956="","",SUMIFS(상세표[기록 시간외],상세표[사번키],INDEX(합계표[사번키],$W956),상세표[기록월],"&lt;&gt;"&amp;대상월키,상세표[반영월],대상월키))</f>
        <v/>
      </c>
      <c r="J956">
        <f>IF($W956="","",SUMIFS(상세표[기록 시간외],상세표[사번키],INDEX(합계표[사번키],$W956),상세표[반영월],대상월키))</f>
        <v/>
      </c>
      <c r="K956">
        <f>IF($W956="","",IFERROR(INDEX(월별근무지표[적용 급여병원],MATCH(INDEX(합계표[사번키],$W956)&amp;"|"&amp;대상월키,월별근무지표[키],0))&amp;"",IF(COUNTIF(기관표[사번키],INDEX(합계표[사번키],$W956))+COUNTIF(월별근무지표[사번키],INDEX(합계표[사번키],$W956))&gt;0,IFERROR(INDEX(기관표[급여지급병원(기준월)],MATCH(INDEX(합계표[사번키],$W956)&amp;"|"&amp;대상월키,기관표[키],0))&amp;"","—"),"—")))</f>
        <v/>
      </c>
      <c r="L956">
        <f>IF($W956="","",IF(NOT(COUNTIF(기관표[사번키],INDEX(합계표[사번키],$W956))+COUNTIF(월별근무지표[사번키],INDEX(합계표[사번키],$W956))&gt;0),"기관명단에 없음(다른 병원으로 발송)",IF($K956="—","대상월 기관명단 없음(추가 필요)",IF($K956="서울병원","해당","비해당"))))</f>
        <v/>
      </c>
      <c r="M956">
        <f>IF($W956="","",SUMIFS(상세표[06~07시],상세표[사번키],INDEX(합계표[사번키],$W956),상세표[반영월],대상월키,상세표[반영 기관],"서울병원"))</f>
        <v/>
      </c>
      <c r="N956">
        <f>IF($W956="","",SUMIFS(상세표[07~18시],상세표[사번키],INDEX(합계표[사번키],$W956),상세표[반영월],대상월키,상세표[반영 기관],"서울병원"))</f>
        <v/>
      </c>
      <c r="O956">
        <f>IF($W956="","",SUMIFS(상세표[18~22시],상세표[사번키],INDEX(합계표[사번키],$W956),상세표[반영월],대상월키,상세표[반영 기관],"서울병원"))</f>
        <v/>
      </c>
      <c r="P956">
        <f>IF($W956="","",SUMIFS(상세표[22~06시],상세표[사번키],INDEX(합계표[사번키],$W956),상세표[반영월],대상월키,상세표[반영 기관],"서울병원"))</f>
        <v/>
      </c>
      <c r="Q956">
        <f>IF($W956="","",SUM($M956:$P956))</f>
        <v/>
      </c>
      <c r="R956">
        <f>IF($W956="","",COUNTIFS(상세표[사번키],INDEX(합계표[사번키],$W956),상세표[반영월],대상월키,상세표[야간당직],1,상세표[야간 구분],"평일"))</f>
        <v/>
      </c>
      <c r="S956" s="4">
        <f>IF($W956="","",COUNTIFS(상세표[사번키],INDEX(합계표[사번키],$W956),상세표[반영월],대상월키,상세표[야간당직],1,상세표[야간 구분],"휴일"))</f>
        <v/>
      </c>
      <c r="T956">
        <f>IF($W956="","",COUNTIFS(상세표[사번키],INDEX(합계표[사번키],$W956),상세표[반영월],대상월키,상세표[야간당직],1,상세표[야간 구분],"평일",상세표[반영 기관],"서울병원"))</f>
        <v/>
      </c>
      <c r="U956">
        <f>IF($W956="","",COUNTIFS(상세표[사번키],INDEX(합계표[사번키],$W956),상세표[반영월],대상월키,상세표[야간당직],1,상세표[야간 구분],"휴일",상세표[반영 기관],"서울병원"))</f>
        <v/>
      </c>
      <c r="V956">
        <f>IF($W956="","",IF(ISNUMBER(MATCH(INDEX(합계표[사번키],$W956)&amp;"|"&amp;대상월키,월별근무지표[키],0)),"직접 입력",IF($K956="—","—","기관명단")))</f>
        <v/>
      </c>
      <c r="W956">
        <f>IFERROR(MATCH(951,합계표[판정순번],0),"")</f>
        <v/>
      </c>
    </row>
    <row r="957">
      <c r="A957">
        <f>IF($W957="","",INDEX(합계표[사번],$W957)&amp;"")</f>
        <v/>
      </c>
      <c r="B957">
        <f>IF($W957="","",INDEX(합계표[성명],$W957)&amp;"")</f>
        <v/>
      </c>
      <c r="C957">
        <f>IF($W957="","",INDEX(합계표[부서],$W957)&amp;"")</f>
        <v/>
      </c>
      <c r="D957">
        <f>IF($W957="","",INDEX(합계표[직위(통합)],$W957)&amp;"")</f>
        <v/>
      </c>
      <c r="E957">
        <f>IF($W957="","",SUMIFS(합계표[시스템 합계],합계표[사번키],INDEX(합계표[사번키],$W957)))</f>
        <v/>
      </c>
      <c r="F957">
        <f>IF($W957="","",SUMIFS(상세표[기록 시간외],상세표[사번키],INDEX(합계표[사번키],$W957),상세표[기록월],대상월키))</f>
        <v/>
      </c>
      <c r="G957">
        <f>IF($W957="","",IF(ABS($E957-$F957)&lt;0.01,"일치","불일치(차이 "&amp;TEXT($F957-$E957,"0.00")&amp;")"))</f>
        <v/>
      </c>
      <c r="H957">
        <f>IF($W957="","",SUMIFS(상세표[기록 시간외],상세표[사번키],INDEX(합계표[사번키],$W957),상세표[기록월],대상월키,상세표[반영월],"&lt;&gt;"&amp;대상월키))</f>
        <v/>
      </c>
      <c r="I957">
        <f>IF($W957="","",SUMIFS(상세표[기록 시간외],상세표[사번키],INDEX(합계표[사번키],$W957),상세표[기록월],"&lt;&gt;"&amp;대상월키,상세표[반영월],대상월키))</f>
        <v/>
      </c>
      <c r="J957">
        <f>IF($W957="","",SUMIFS(상세표[기록 시간외],상세표[사번키],INDEX(합계표[사번키],$W957),상세표[반영월],대상월키))</f>
        <v/>
      </c>
      <c r="K957">
        <f>IF($W957="","",IFERROR(INDEX(월별근무지표[적용 급여병원],MATCH(INDEX(합계표[사번키],$W957)&amp;"|"&amp;대상월키,월별근무지표[키],0))&amp;"",IF(COUNTIF(기관표[사번키],INDEX(합계표[사번키],$W957))+COUNTIF(월별근무지표[사번키],INDEX(합계표[사번키],$W957))&gt;0,IFERROR(INDEX(기관표[급여지급병원(기준월)],MATCH(INDEX(합계표[사번키],$W957)&amp;"|"&amp;대상월키,기관표[키],0))&amp;"","—"),"—")))</f>
        <v/>
      </c>
      <c r="L957">
        <f>IF($W957="","",IF(NOT(COUNTIF(기관표[사번키],INDEX(합계표[사번키],$W957))+COUNTIF(월별근무지표[사번키],INDEX(합계표[사번키],$W957))&gt;0),"기관명단에 없음(다른 병원으로 발송)",IF($K957="—","대상월 기관명단 없음(추가 필요)",IF($K957="서울병원","해당","비해당"))))</f>
        <v/>
      </c>
      <c r="M957">
        <f>IF($W957="","",SUMIFS(상세표[06~07시],상세표[사번키],INDEX(합계표[사번키],$W957),상세표[반영월],대상월키,상세표[반영 기관],"서울병원"))</f>
        <v/>
      </c>
      <c r="N957">
        <f>IF($W957="","",SUMIFS(상세표[07~18시],상세표[사번키],INDEX(합계표[사번키],$W957),상세표[반영월],대상월키,상세표[반영 기관],"서울병원"))</f>
        <v/>
      </c>
      <c r="O957">
        <f>IF($W957="","",SUMIFS(상세표[18~22시],상세표[사번키],INDEX(합계표[사번키],$W957),상세표[반영월],대상월키,상세표[반영 기관],"서울병원"))</f>
        <v/>
      </c>
      <c r="P957">
        <f>IF($W957="","",SUMIFS(상세표[22~06시],상세표[사번키],INDEX(합계표[사번키],$W957),상세표[반영월],대상월키,상세표[반영 기관],"서울병원"))</f>
        <v/>
      </c>
      <c r="Q957">
        <f>IF($W957="","",SUM($M957:$P957))</f>
        <v/>
      </c>
      <c r="R957">
        <f>IF($W957="","",COUNTIFS(상세표[사번키],INDEX(합계표[사번키],$W957),상세표[반영월],대상월키,상세표[야간당직],1,상세표[야간 구분],"평일"))</f>
        <v/>
      </c>
      <c r="S957" s="4">
        <f>IF($W957="","",COUNTIFS(상세표[사번키],INDEX(합계표[사번키],$W957),상세표[반영월],대상월키,상세표[야간당직],1,상세표[야간 구분],"휴일"))</f>
        <v/>
      </c>
      <c r="T957">
        <f>IF($W957="","",COUNTIFS(상세표[사번키],INDEX(합계표[사번키],$W957),상세표[반영월],대상월키,상세표[야간당직],1,상세표[야간 구분],"평일",상세표[반영 기관],"서울병원"))</f>
        <v/>
      </c>
      <c r="U957">
        <f>IF($W957="","",COUNTIFS(상세표[사번키],INDEX(합계표[사번키],$W957),상세표[반영월],대상월키,상세표[야간당직],1,상세표[야간 구분],"휴일",상세표[반영 기관],"서울병원"))</f>
        <v/>
      </c>
      <c r="V957">
        <f>IF($W957="","",IF(ISNUMBER(MATCH(INDEX(합계표[사번키],$W957)&amp;"|"&amp;대상월키,월별근무지표[키],0)),"직접 입력",IF($K957="—","—","기관명단")))</f>
        <v/>
      </c>
      <c r="W957">
        <f>IFERROR(MATCH(952,합계표[판정순번],0),"")</f>
        <v/>
      </c>
    </row>
    <row r="958">
      <c r="A958">
        <f>IF($W958="","",INDEX(합계표[사번],$W958)&amp;"")</f>
        <v/>
      </c>
      <c r="B958">
        <f>IF($W958="","",INDEX(합계표[성명],$W958)&amp;"")</f>
        <v/>
      </c>
      <c r="C958">
        <f>IF($W958="","",INDEX(합계표[부서],$W958)&amp;"")</f>
        <v/>
      </c>
      <c r="D958">
        <f>IF($W958="","",INDEX(합계표[직위(통합)],$W958)&amp;"")</f>
        <v/>
      </c>
      <c r="E958">
        <f>IF($W958="","",SUMIFS(합계표[시스템 합계],합계표[사번키],INDEX(합계표[사번키],$W958)))</f>
        <v/>
      </c>
      <c r="F958">
        <f>IF($W958="","",SUMIFS(상세표[기록 시간외],상세표[사번키],INDEX(합계표[사번키],$W958),상세표[기록월],대상월키))</f>
        <v/>
      </c>
      <c r="G958">
        <f>IF($W958="","",IF(ABS($E958-$F958)&lt;0.01,"일치","불일치(차이 "&amp;TEXT($F958-$E958,"0.00")&amp;")"))</f>
        <v/>
      </c>
      <c r="H958">
        <f>IF($W958="","",SUMIFS(상세표[기록 시간외],상세표[사번키],INDEX(합계표[사번키],$W958),상세표[기록월],대상월키,상세표[반영월],"&lt;&gt;"&amp;대상월키))</f>
        <v/>
      </c>
      <c r="I958">
        <f>IF($W958="","",SUMIFS(상세표[기록 시간외],상세표[사번키],INDEX(합계표[사번키],$W958),상세표[기록월],"&lt;&gt;"&amp;대상월키,상세표[반영월],대상월키))</f>
        <v/>
      </c>
      <c r="J958">
        <f>IF($W958="","",SUMIFS(상세표[기록 시간외],상세표[사번키],INDEX(합계표[사번키],$W958),상세표[반영월],대상월키))</f>
        <v/>
      </c>
      <c r="K958">
        <f>IF($W958="","",IFERROR(INDEX(월별근무지표[적용 급여병원],MATCH(INDEX(합계표[사번키],$W958)&amp;"|"&amp;대상월키,월별근무지표[키],0))&amp;"",IF(COUNTIF(기관표[사번키],INDEX(합계표[사번키],$W958))+COUNTIF(월별근무지표[사번키],INDEX(합계표[사번키],$W958))&gt;0,IFERROR(INDEX(기관표[급여지급병원(기준월)],MATCH(INDEX(합계표[사번키],$W958)&amp;"|"&amp;대상월키,기관표[키],0))&amp;"","—"),"—")))</f>
        <v/>
      </c>
      <c r="L958">
        <f>IF($W958="","",IF(NOT(COUNTIF(기관표[사번키],INDEX(합계표[사번키],$W958))+COUNTIF(월별근무지표[사번키],INDEX(합계표[사번키],$W958))&gt;0),"기관명단에 없음(다른 병원으로 발송)",IF($K958="—","대상월 기관명단 없음(추가 필요)",IF($K958="서울병원","해당","비해당"))))</f>
        <v/>
      </c>
      <c r="M958">
        <f>IF($W958="","",SUMIFS(상세표[06~07시],상세표[사번키],INDEX(합계표[사번키],$W958),상세표[반영월],대상월키,상세표[반영 기관],"서울병원"))</f>
        <v/>
      </c>
      <c r="N958">
        <f>IF($W958="","",SUMIFS(상세표[07~18시],상세표[사번키],INDEX(합계표[사번키],$W958),상세표[반영월],대상월키,상세표[반영 기관],"서울병원"))</f>
        <v/>
      </c>
      <c r="O958">
        <f>IF($W958="","",SUMIFS(상세표[18~22시],상세표[사번키],INDEX(합계표[사번키],$W958),상세표[반영월],대상월키,상세표[반영 기관],"서울병원"))</f>
        <v/>
      </c>
      <c r="P958">
        <f>IF($W958="","",SUMIFS(상세표[22~06시],상세표[사번키],INDEX(합계표[사번키],$W958),상세표[반영월],대상월키,상세표[반영 기관],"서울병원"))</f>
        <v/>
      </c>
      <c r="Q958">
        <f>IF($W958="","",SUM($M958:$P958))</f>
        <v/>
      </c>
      <c r="R958">
        <f>IF($W958="","",COUNTIFS(상세표[사번키],INDEX(합계표[사번키],$W958),상세표[반영월],대상월키,상세표[야간당직],1,상세표[야간 구분],"평일"))</f>
        <v/>
      </c>
      <c r="S958" s="4">
        <f>IF($W958="","",COUNTIFS(상세표[사번키],INDEX(합계표[사번키],$W958),상세표[반영월],대상월키,상세표[야간당직],1,상세표[야간 구분],"휴일"))</f>
        <v/>
      </c>
      <c r="T958">
        <f>IF($W958="","",COUNTIFS(상세표[사번키],INDEX(합계표[사번키],$W958),상세표[반영월],대상월키,상세표[야간당직],1,상세표[야간 구분],"평일",상세표[반영 기관],"서울병원"))</f>
        <v/>
      </c>
      <c r="U958">
        <f>IF($W958="","",COUNTIFS(상세표[사번키],INDEX(합계표[사번키],$W958),상세표[반영월],대상월키,상세표[야간당직],1,상세표[야간 구분],"휴일",상세표[반영 기관],"서울병원"))</f>
        <v/>
      </c>
      <c r="V958">
        <f>IF($W958="","",IF(ISNUMBER(MATCH(INDEX(합계표[사번키],$W958)&amp;"|"&amp;대상월키,월별근무지표[키],0)),"직접 입력",IF($K958="—","—","기관명단")))</f>
        <v/>
      </c>
      <c r="W958">
        <f>IFERROR(MATCH(953,합계표[판정순번],0),"")</f>
        <v/>
      </c>
    </row>
    <row r="959">
      <c r="A959">
        <f>IF($W959="","",INDEX(합계표[사번],$W959)&amp;"")</f>
        <v/>
      </c>
      <c r="B959">
        <f>IF($W959="","",INDEX(합계표[성명],$W959)&amp;"")</f>
        <v/>
      </c>
      <c r="C959">
        <f>IF($W959="","",INDEX(합계표[부서],$W959)&amp;"")</f>
        <v/>
      </c>
      <c r="D959">
        <f>IF($W959="","",INDEX(합계표[직위(통합)],$W959)&amp;"")</f>
        <v/>
      </c>
      <c r="E959">
        <f>IF($W959="","",SUMIFS(합계표[시스템 합계],합계표[사번키],INDEX(합계표[사번키],$W959)))</f>
        <v/>
      </c>
      <c r="F959">
        <f>IF($W959="","",SUMIFS(상세표[기록 시간외],상세표[사번키],INDEX(합계표[사번키],$W959),상세표[기록월],대상월키))</f>
        <v/>
      </c>
      <c r="G959">
        <f>IF($W959="","",IF(ABS($E959-$F959)&lt;0.01,"일치","불일치(차이 "&amp;TEXT($F959-$E959,"0.00")&amp;")"))</f>
        <v/>
      </c>
      <c r="H959">
        <f>IF($W959="","",SUMIFS(상세표[기록 시간외],상세표[사번키],INDEX(합계표[사번키],$W959),상세표[기록월],대상월키,상세표[반영월],"&lt;&gt;"&amp;대상월키))</f>
        <v/>
      </c>
      <c r="I959">
        <f>IF($W959="","",SUMIFS(상세표[기록 시간외],상세표[사번키],INDEX(합계표[사번키],$W959),상세표[기록월],"&lt;&gt;"&amp;대상월키,상세표[반영월],대상월키))</f>
        <v/>
      </c>
      <c r="J959">
        <f>IF($W959="","",SUMIFS(상세표[기록 시간외],상세표[사번키],INDEX(합계표[사번키],$W959),상세표[반영월],대상월키))</f>
        <v/>
      </c>
      <c r="K959">
        <f>IF($W959="","",IFERROR(INDEX(월별근무지표[적용 급여병원],MATCH(INDEX(합계표[사번키],$W959)&amp;"|"&amp;대상월키,월별근무지표[키],0))&amp;"",IF(COUNTIF(기관표[사번키],INDEX(합계표[사번키],$W959))+COUNTIF(월별근무지표[사번키],INDEX(합계표[사번키],$W959))&gt;0,IFERROR(INDEX(기관표[급여지급병원(기준월)],MATCH(INDEX(합계표[사번키],$W959)&amp;"|"&amp;대상월키,기관표[키],0))&amp;"","—"),"—")))</f>
        <v/>
      </c>
      <c r="L959">
        <f>IF($W959="","",IF(NOT(COUNTIF(기관표[사번키],INDEX(합계표[사번키],$W959))+COUNTIF(월별근무지표[사번키],INDEX(합계표[사번키],$W959))&gt;0),"기관명단에 없음(다른 병원으로 발송)",IF($K959="—","대상월 기관명단 없음(추가 필요)",IF($K959="서울병원","해당","비해당"))))</f>
        <v/>
      </c>
      <c r="M959">
        <f>IF($W959="","",SUMIFS(상세표[06~07시],상세표[사번키],INDEX(합계표[사번키],$W959),상세표[반영월],대상월키,상세표[반영 기관],"서울병원"))</f>
        <v/>
      </c>
      <c r="N959">
        <f>IF($W959="","",SUMIFS(상세표[07~18시],상세표[사번키],INDEX(합계표[사번키],$W959),상세표[반영월],대상월키,상세표[반영 기관],"서울병원"))</f>
        <v/>
      </c>
      <c r="O959">
        <f>IF($W959="","",SUMIFS(상세표[18~22시],상세표[사번키],INDEX(합계표[사번키],$W959),상세표[반영월],대상월키,상세표[반영 기관],"서울병원"))</f>
        <v/>
      </c>
      <c r="P959">
        <f>IF($W959="","",SUMIFS(상세표[22~06시],상세표[사번키],INDEX(합계표[사번키],$W959),상세표[반영월],대상월키,상세표[반영 기관],"서울병원"))</f>
        <v/>
      </c>
      <c r="Q959">
        <f>IF($W959="","",SUM($M959:$P959))</f>
        <v/>
      </c>
      <c r="R959">
        <f>IF($W959="","",COUNTIFS(상세표[사번키],INDEX(합계표[사번키],$W959),상세표[반영월],대상월키,상세표[야간당직],1,상세표[야간 구분],"평일"))</f>
        <v/>
      </c>
      <c r="S959" s="4">
        <f>IF($W959="","",COUNTIFS(상세표[사번키],INDEX(합계표[사번키],$W959),상세표[반영월],대상월키,상세표[야간당직],1,상세표[야간 구분],"휴일"))</f>
        <v/>
      </c>
      <c r="T959">
        <f>IF($W959="","",COUNTIFS(상세표[사번키],INDEX(합계표[사번키],$W959),상세표[반영월],대상월키,상세표[야간당직],1,상세표[야간 구분],"평일",상세표[반영 기관],"서울병원"))</f>
        <v/>
      </c>
      <c r="U959">
        <f>IF($W959="","",COUNTIFS(상세표[사번키],INDEX(합계표[사번키],$W959),상세표[반영월],대상월키,상세표[야간당직],1,상세표[야간 구분],"휴일",상세표[반영 기관],"서울병원"))</f>
        <v/>
      </c>
      <c r="V959">
        <f>IF($W959="","",IF(ISNUMBER(MATCH(INDEX(합계표[사번키],$W959)&amp;"|"&amp;대상월키,월별근무지표[키],0)),"직접 입력",IF($K959="—","—","기관명단")))</f>
        <v/>
      </c>
      <c r="W959">
        <f>IFERROR(MATCH(954,합계표[판정순번],0),"")</f>
        <v/>
      </c>
    </row>
    <row r="960">
      <c r="A960">
        <f>IF($W960="","",INDEX(합계표[사번],$W960)&amp;"")</f>
        <v/>
      </c>
      <c r="B960">
        <f>IF($W960="","",INDEX(합계표[성명],$W960)&amp;"")</f>
        <v/>
      </c>
      <c r="C960">
        <f>IF($W960="","",INDEX(합계표[부서],$W960)&amp;"")</f>
        <v/>
      </c>
      <c r="D960">
        <f>IF($W960="","",INDEX(합계표[직위(통합)],$W960)&amp;"")</f>
        <v/>
      </c>
      <c r="E960">
        <f>IF($W960="","",SUMIFS(합계표[시스템 합계],합계표[사번키],INDEX(합계표[사번키],$W960)))</f>
        <v/>
      </c>
      <c r="F960">
        <f>IF($W960="","",SUMIFS(상세표[기록 시간외],상세표[사번키],INDEX(합계표[사번키],$W960),상세표[기록월],대상월키))</f>
        <v/>
      </c>
      <c r="G960">
        <f>IF($W960="","",IF(ABS($E960-$F960)&lt;0.01,"일치","불일치(차이 "&amp;TEXT($F960-$E960,"0.00")&amp;")"))</f>
        <v/>
      </c>
      <c r="H960">
        <f>IF($W960="","",SUMIFS(상세표[기록 시간외],상세표[사번키],INDEX(합계표[사번키],$W960),상세표[기록월],대상월키,상세표[반영월],"&lt;&gt;"&amp;대상월키))</f>
        <v/>
      </c>
      <c r="I960">
        <f>IF($W960="","",SUMIFS(상세표[기록 시간외],상세표[사번키],INDEX(합계표[사번키],$W960),상세표[기록월],"&lt;&gt;"&amp;대상월키,상세표[반영월],대상월키))</f>
        <v/>
      </c>
      <c r="J960">
        <f>IF($W960="","",SUMIFS(상세표[기록 시간외],상세표[사번키],INDEX(합계표[사번키],$W960),상세표[반영월],대상월키))</f>
        <v/>
      </c>
      <c r="K960">
        <f>IF($W960="","",IFERROR(INDEX(월별근무지표[적용 급여병원],MATCH(INDEX(합계표[사번키],$W960)&amp;"|"&amp;대상월키,월별근무지표[키],0))&amp;"",IF(COUNTIF(기관표[사번키],INDEX(합계표[사번키],$W960))+COUNTIF(월별근무지표[사번키],INDEX(합계표[사번키],$W960))&gt;0,IFERROR(INDEX(기관표[급여지급병원(기준월)],MATCH(INDEX(합계표[사번키],$W960)&amp;"|"&amp;대상월키,기관표[키],0))&amp;"","—"),"—")))</f>
        <v/>
      </c>
      <c r="L960">
        <f>IF($W960="","",IF(NOT(COUNTIF(기관표[사번키],INDEX(합계표[사번키],$W960))+COUNTIF(월별근무지표[사번키],INDEX(합계표[사번키],$W960))&gt;0),"기관명단에 없음(다른 병원으로 발송)",IF($K960="—","대상월 기관명단 없음(추가 필요)",IF($K960="서울병원","해당","비해당"))))</f>
        <v/>
      </c>
      <c r="M960">
        <f>IF($W960="","",SUMIFS(상세표[06~07시],상세표[사번키],INDEX(합계표[사번키],$W960),상세표[반영월],대상월키,상세표[반영 기관],"서울병원"))</f>
        <v/>
      </c>
      <c r="N960">
        <f>IF($W960="","",SUMIFS(상세표[07~18시],상세표[사번키],INDEX(합계표[사번키],$W960),상세표[반영월],대상월키,상세표[반영 기관],"서울병원"))</f>
        <v/>
      </c>
      <c r="O960">
        <f>IF($W960="","",SUMIFS(상세표[18~22시],상세표[사번키],INDEX(합계표[사번키],$W960),상세표[반영월],대상월키,상세표[반영 기관],"서울병원"))</f>
        <v/>
      </c>
      <c r="P960">
        <f>IF($W960="","",SUMIFS(상세표[22~06시],상세표[사번키],INDEX(합계표[사번키],$W960),상세표[반영월],대상월키,상세표[반영 기관],"서울병원"))</f>
        <v/>
      </c>
      <c r="Q960">
        <f>IF($W960="","",SUM($M960:$P960))</f>
        <v/>
      </c>
      <c r="R960">
        <f>IF($W960="","",COUNTIFS(상세표[사번키],INDEX(합계표[사번키],$W960),상세표[반영월],대상월키,상세표[야간당직],1,상세표[야간 구분],"평일"))</f>
        <v/>
      </c>
      <c r="S960" s="4">
        <f>IF($W960="","",COUNTIFS(상세표[사번키],INDEX(합계표[사번키],$W960),상세표[반영월],대상월키,상세표[야간당직],1,상세표[야간 구분],"휴일"))</f>
        <v/>
      </c>
      <c r="T960">
        <f>IF($W960="","",COUNTIFS(상세표[사번키],INDEX(합계표[사번키],$W960),상세표[반영월],대상월키,상세표[야간당직],1,상세표[야간 구분],"평일",상세표[반영 기관],"서울병원"))</f>
        <v/>
      </c>
      <c r="U960">
        <f>IF($W960="","",COUNTIFS(상세표[사번키],INDEX(합계표[사번키],$W960),상세표[반영월],대상월키,상세표[야간당직],1,상세표[야간 구분],"휴일",상세표[반영 기관],"서울병원"))</f>
        <v/>
      </c>
      <c r="V960">
        <f>IF($W960="","",IF(ISNUMBER(MATCH(INDEX(합계표[사번키],$W960)&amp;"|"&amp;대상월키,월별근무지표[키],0)),"직접 입력",IF($K960="—","—","기관명단")))</f>
        <v/>
      </c>
      <c r="W960">
        <f>IFERROR(MATCH(955,합계표[판정순번],0),"")</f>
        <v/>
      </c>
    </row>
    <row r="961">
      <c r="A961">
        <f>IF($W961="","",INDEX(합계표[사번],$W961)&amp;"")</f>
        <v/>
      </c>
      <c r="B961">
        <f>IF($W961="","",INDEX(합계표[성명],$W961)&amp;"")</f>
        <v/>
      </c>
      <c r="C961">
        <f>IF($W961="","",INDEX(합계표[부서],$W961)&amp;"")</f>
        <v/>
      </c>
      <c r="D961">
        <f>IF($W961="","",INDEX(합계표[직위(통합)],$W961)&amp;"")</f>
        <v/>
      </c>
      <c r="E961">
        <f>IF($W961="","",SUMIFS(합계표[시스템 합계],합계표[사번키],INDEX(합계표[사번키],$W961)))</f>
        <v/>
      </c>
      <c r="F961">
        <f>IF($W961="","",SUMIFS(상세표[기록 시간외],상세표[사번키],INDEX(합계표[사번키],$W961),상세표[기록월],대상월키))</f>
        <v/>
      </c>
      <c r="G961">
        <f>IF($W961="","",IF(ABS($E961-$F961)&lt;0.01,"일치","불일치(차이 "&amp;TEXT($F961-$E961,"0.00")&amp;")"))</f>
        <v/>
      </c>
      <c r="H961">
        <f>IF($W961="","",SUMIFS(상세표[기록 시간외],상세표[사번키],INDEX(합계표[사번키],$W961),상세표[기록월],대상월키,상세표[반영월],"&lt;&gt;"&amp;대상월키))</f>
        <v/>
      </c>
      <c r="I961">
        <f>IF($W961="","",SUMIFS(상세표[기록 시간외],상세표[사번키],INDEX(합계표[사번키],$W961),상세표[기록월],"&lt;&gt;"&amp;대상월키,상세표[반영월],대상월키))</f>
        <v/>
      </c>
      <c r="J961">
        <f>IF($W961="","",SUMIFS(상세표[기록 시간외],상세표[사번키],INDEX(합계표[사번키],$W961),상세표[반영월],대상월키))</f>
        <v/>
      </c>
      <c r="K961">
        <f>IF($W961="","",IFERROR(INDEX(월별근무지표[적용 급여병원],MATCH(INDEX(합계표[사번키],$W961)&amp;"|"&amp;대상월키,월별근무지표[키],0))&amp;"",IF(COUNTIF(기관표[사번키],INDEX(합계표[사번키],$W961))+COUNTIF(월별근무지표[사번키],INDEX(합계표[사번키],$W961))&gt;0,IFERROR(INDEX(기관표[급여지급병원(기준월)],MATCH(INDEX(합계표[사번키],$W961)&amp;"|"&amp;대상월키,기관표[키],0))&amp;"","—"),"—")))</f>
        <v/>
      </c>
      <c r="L961">
        <f>IF($W961="","",IF(NOT(COUNTIF(기관표[사번키],INDEX(합계표[사번키],$W961))+COUNTIF(월별근무지표[사번키],INDEX(합계표[사번키],$W961))&gt;0),"기관명단에 없음(다른 병원으로 발송)",IF($K961="—","대상월 기관명단 없음(추가 필요)",IF($K961="서울병원","해당","비해당"))))</f>
        <v/>
      </c>
      <c r="M961">
        <f>IF($W961="","",SUMIFS(상세표[06~07시],상세표[사번키],INDEX(합계표[사번키],$W961),상세표[반영월],대상월키,상세표[반영 기관],"서울병원"))</f>
        <v/>
      </c>
      <c r="N961">
        <f>IF($W961="","",SUMIFS(상세표[07~18시],상세표[사번키],INDEX(합계표[사번키],$W961),상세표[반영월],대상월키,상세표[반영 기관],"서울병원"))</f>
        <v/>
      </c>
      <c r="O961">
        <f>IF($W961="","",SUMIFS(상세표[18~22시],상세표[사번키],INDEX(합계표[사번키],$W961),상세표[반영월],대상월키,상세표[반영 기관],"서울병원"))</f>
        <v/>
      </c>
      <c r="P961">
        <f>IF($W961="","",SUMIFS(상세표[22~06시],상세표[사번키],INDEX(합계표[사번키],$W961),상세표[반영월],대상월키,상세표[반영 기관],"서울병원"))</f>
        <v/>
      </c>
      <c r="Q961">
        <f>IF($W961="","",SUM($M961:$P961))</f>
        <v/>
      </c>
      <c r="R961">
        <f>IF($W961="","",COUNTIFS(상세표[사번키],INDEX(합계표[사번키],$W961),상세표[반영월],대상월키,상세표[야간당직],1,상세표[야간 구분],"평일"))</f>
        <v/>
      </c>
      <c r="S961" s="4">
        <f>IF($W961="","",COUNTIFS(상세표[사번키],INDEX(합계표[사번키],$W961),상세표[반영월],대상월키,상세표[야간당직],1,상세표[야간 구분],"휴일"))</f>
        <v/>
      </c>
      <c r="T961">
        <f>IF($W961="","",COUNTIFS(상세표[사번키],INDEX(합계표[사번키],$W961),상세표[반영월],대상월키,상세표[야간당직],1,상세표[야간 구분],"평일",상세표[반영 기관],"서울병원"))</f>
        <v/>
      </c>
      <c r="U961">
        <f>IF($W961="","",COUNTIFS(상세표[사번키],INDEX(합계표[사번키],$W961),상세표[반영월],대상월키,상세표[야간당직],1,상세표[야간 구분],"휴일",상세표[반영 기관],"서울병원"))</f>
        <v/>
      </c>
      <c r="V961">
        <f>IF($W961="","",IF(ISNUMBER(MATCH(INDEX(합계표[사번키],$W961)&amp;"|"&amp;대상월키,월별근무지표[키],0)),"직접 입력",IF($K961="—","—","기관명단")))</f>
        <v/>
      </c>
      <c r="W961">
        <f>IFERROR(MATCH(956,합계표[판정순번],0),"")</f>
        <v/>
      </c>
    </row>
    <row r="962">
      <c r="A962">
        <f>IF($W962="","",INDEX(합계표[사번],$W962)&amp;"")</f>
        <v/>
      </c>
      <c r="B962">
        <f>IF($W962="","",INDEX(합계표[성명],$W962)&amp;"")</f>
        <v/>
      </c>
      <c r="C962">
        <f>IF($W962="","",INDEX(합계표[부서],$W962)&amp;"")</f>
        <v/>
      </c>
      <c r="D962">
        <f>IF($W962="","",INDEX(합계표[직위(통합)],$W962)&amp;"")</f>
        <v/>
      </c>
      <c r="E962">
        <f>IF($W962="","",SUMIFS(합계표[시스템 합계],합계표[사번키],INDEX(합계표[사번키],$W962)))</f>
        <v/>
      </c>
      <c r="F962">
        <f>IF($W962="","",SUMIFS(상세표[기록 시간외],상세표[사번키],INDEX(합계표[사번키],$W962),상세표[기록월],대상월키))</f>
        <v/>
      </c>
      <c r="G962">
        <f>IF($W962="","",IF(ABS($E962-$F962)&lt;0.01,"일치","불일치(차이 "&amp;TEXT($F962-$E962,"0.00")&amp;")"))</f>
        <v/>
      </c>
      <c r="H962">
        <f>IF($W962="","",SUMIFS(상세표[기록 시간외],상세표[사번키],INDEX(합계표[사번키],$W962),상세표[기록월],대상월키,상세표[반영월],"&lt;&gt;"&amp;대상월키))</f>
        <v/>
      </c>
      <c r="I962">
        <f>IF($W962="","",SUMIFS(상세표[기록 시간외],상세표[사번키],INDEX(합계표[사번키],$W962),상세표[기록월],"&lt;&gt;"&amp;대상월키,상세표[반영월],대상월키))</f>
        <v/>
      </c>
      <c r="J962">
        <f>IF($W962="","",SUMIFS(상세표[기록 시간외],상세표[사번키],INDEX(합계표[사번키],$W962),상세표[반영월],대상월키))</f>
        <v/>
      </c>
      <c r="K962">
        <f>IF($W962="","",IFERROR(INDEX(월별근무지표[적용 급여병원],MATCH(INDEX(합계표[사번키],$W962)&amp;"|"&amp;대상월키,월별근무지표[키],0))&amp;"",IF(COUNTIF(기관표[사번키],INDEX(합계표[사번키],$W962))+COUNTIF(월별근무지표[사번키],INDEX(합계표[사번키],$W962))&gt;0,IFERROR(INDEX(기관표[급여지급병원(기준월)],MATCH(INDEX(합계표[사번키],$W962)&amp;"|"&amp;대상월키,기관표[키],0))&amp;"","—"),"—")))</f>
        <v/>
      </c>
      <c r="L962">
        <f>IF($W962="","",IF(NOT(COUNTIF(기관표[사번키],INDEX(합계표[사번키],$W962))+COUNTIF(월별근무지표[사번키],INDEX(합계표[사번키],$W962))&gt;0),"기관명단에 없음(다른 병원으로 발송)",IF($K962="—","대상월 기관명단 없음(추가 필요)",IF($K962="서울병원","해당","비해당"))))</f>
        <v/>
      </c>
      <c r="M962">
        <f>IF($W962="","",SUMIFS(상세표[06~07시],상세표[사번키],INDEX(합계표[사번키],$W962),상세표[반영월],대상월키,상세표[반영 기관],"서울병원"))</f>
        <v/>
      </c>
      <c r="N962">
        <f>IF($W962="","",SUMIFS(상세표[07~18시],상세표[사번키],INDEX(합계표[사번키],$W962),상세표[반영월],대상월키,상세표[반영 기관],"서울병원"))</f>
        <v/>
      </c>
      <c r="O962">
        <f>IF($W962="","",SUMIFS(상세표[18~22시],상세표[사번키],INDEX(합계표[사번키],$W962),상세표[반영월],대상월키,상세표[반영 기관],"서울병원"))</f>
        <v/>
      </c>
      <c r="P962">
        <f>IF($W962="","",SUMIFS(상세표[22~06시],상세표[사번키],INDEX(합계표[사번키],$W962),상세표[반영월],대상월키,상세표[반영 기관],"서울병원"))</f>
        <v/>
      </c>
      <c r="Q962">
        <f>IF($W962="","",SUM($M962:$P962))</f>
        <v/>
      </c>
      <c r="R962">
        <f>IF($W962="","",COUNTIFS(상세표[사번키],INDEX(합계표[사번키],$W962),상세표[반영월],대상월키,상세표[야간당직],1,상세표[야간 구분],"평일"))</f>
        <v/>
      </c>
      <c r="S962" s="4">
        <f>IF($W962="","",COUNTIFS(상세표[사번키],INDEX(합계표[사번키],$W962),상세표[반영월],대상월키,상세표[야간당직],1,상세표[야간 구분],"휴일"))</f>
        <v/>
      </c>
      <c r="T962">
        <f>IF($W962="","",COUNTIFS(상세표[사번키],INDEX(합계표[사번키],$W962),상세표[반영월],대상월키,상세표[야간당직],1,상세표[야간 구분],"평일",상세표[반영 기관],"서울병원"))</f>
        <v/>
      </c>
      <c r="U962">
        <f>IF($W962="","",COUNTIFS(상세표[사번키],INDEX(합계표[사번키],$W962),상세표[반영월],대상월키,상세표[야간당직],1,상세표[야간 구분],"휴일",상세표[반영 기관],"서울병원"))</f>
        <v/>
      </c>
      <c r="V962">
        <f>IF($W962="","",IF(ISNUMBER(MATCH(INDEX(합계표[사번키],$W962)&amp;"|"&amp;대상월키,월별근무지표[키],0)),"직접 입력",IF($K962="—","—","기관명단")))</f>
        <v/>
      </c>
      <c r="W962">
        <f>IFERROR(MATCH(957,합계표[판정순번],0),"")</f>
        <v/>
      </c>
    </row>
    <row r="963">
      <c r="A963">
        <f>IF($W963="","",INDEX(합계표[사번],$W963)&amp;"")</f>
        <v/>
      </c>
      <c r="B963">
        <f>IF($W963="","",INDEX(합계표[성명],$W963)&amp;"")</f>
        <v/>
      </c>
      <c r="C963">
        <f>IF($W963="","",INDEX(합계표[부서],$W963)&amp;"")</f>
        <v/>
      </c>
      <c r="D963">
        <f>IF($W963="","",INDEX(합계표[직위(통합)],$W963)&amp;"")</f>
        <v/>
      </c>
      <c r="E963">
        <f>IF($W963="","",SUMIFS(합계표[시스템 합계],합계표[사번키],INDEX(합계표[사번키],$W963)))</f>
        <v/>
      </c>
      <c r="F963">
        <f>IF($W963="","",SUMIFS(상세표[기록 시간외],상세표[사번키],INDEX(합계표[사번키],$W963),상세표[기록월],대상월키))</f>
        <v/>
      </c>
      <c r="G963">
        <f>IF($W963="","",IF(ABS($E963-$F963)&lt;0.01,"일치","불일치(차이 "&amp;TEXT($F963-$E963,"0.00")&amp;")"))</f>
        <v/>
      </c>
      <c r="H963">
        <f>IF($W963="","",SUMIFS(상세표[기록 시간외],상세표[사번키],INDEX(합계표[사번키],$W963),상세표[기록월],대상월키,상세표[반영월],"&lt;&gt;"&amp;대상월키))</f>
        <v/>
      </c>
      <c r="I963">
        <f>IF($W963="","",SUMIFS(상세표[기록 시간외],상세표[사번키],INDEX(합계표[사번키],$W963),상세표[기록월],"&lt;&gt;"&amp;대상월키,상세표[반영월],대상월키))</f>
        <v/>
      </c>
      <c r="J963">
        <f>IF($W963="","",SUMIFS(상세표[기록 시간외],상세표[사번키],INDEX(합계표[사번키],$W963),상세표[반영월],대상월키))</f>
        <v/>
      </c>
      <c r="K963">
        <f>IF($W963="","",IFERROR(INDEX(월별근무지표[적용 급여병원],MATCH(INDEX(합계표[사번키],$W963)&amp;"|"&amp;대상월키,월별근무지표[키],0))&amp;"",IF(COUNTIF(기관표[사번키],INDEX(합계표[사번키],$W963))+COUNTIF(월별근무지표[사번키],INDEX(합계표[사번키],$W963))&gt;0,IFERROR(INDEX(기관표[급여지급병원(기준월)],MATCH(INDEX(합계표[사번키],$W963)&amp;"|"&amp;대상월키,기관표[키],0))&amp;"","—"),"—")))</f>
        <v/>
      </c>
      <c r="L963">
        <f>IF($W963="","",IF(NOT(COUNTIF(기관표[사번키],INDEX(합계표[사번키],$W963))+COUNTIF(월별근무지표[사번키],INDEX(합계표[사번키],$W963))&gt;0),"기관명단에 없음(다른 병원으로 발송)",IF($K963="—","대상월 기관명단 없음(추가 필요)",IF($K963="서울병원","해당","비해당"))))</f>
        <v/>
      </c>
      <c r="M963">
        <f>IF($W963="","",SUMIFS(상세표[06~07시],상세표[사번키],INDEX(합계표[사번키],$W963),상세표[반영월],대상월키,상세표[반영 기관],"서울병원"))</f>
        <v/>
      </c>
      <c r="N963">
        <f>IF($W963="","",SUMIFS(상세표[07~18시],상세표[사번키],INDEX(합계표[사번키],$W963),상세표[반영월],대상월키,상세표[반영 기관],"서울병원"))</f>
        <v/>
      </c>
      <c r="O963">
        <f>IF($W963="","",SUMIFS(상세표[18~22시],상세표[사번키],INDEX(합계표[사번키],$W963),상세표[반영월],대상월키,상세표[반영 기관],"서울병원"))</f>
        <v/>
      </c>
      <c r="P963">
        <f>IF($W963="","",SUMIFS(상세표[22~06시],상세표[사번키],INDEX(합계표[사번키],$W963),상세표[반영월],대상월키,상세표[반영 기관],"서울병원"))</f>
        <v/>
      </c>
      <c r="Q963">
        <f>IF($W963="","",SUM($M963:$P963))</f>
        <v/>
      </c>
      <c r="R963">
        <f>IF($W963="","",COUNTIFS(상세표[사번키],INDEX(합계표[사번키],$W963),상세표[반영월],대상월키,상세표[야간당직],1,상세표[야간 구분],"평일"))</f>
        <v/>
      </c>
      <c r="S963" s="4">
        <f>IF($W963="","",COUNTIFS(상세표[사번키],INDEX(합계표[사번키],$W963),상세표[반영월],대상월키,상세표[야간당직],1,상세표[야간 구분],"휴일"))</f>
        <v/>
      </c>
      <c r="T963">
        <f>IF($W963="","",COUNTIFS(상세표[사번키],INDEX(합계표[사번키],$W963),상세표[반영월],대상월키,상세표[야간당직],1,상세표[야간 구분],"평일",상세표[반영 기관],"서울병원"))</f>
        <v/>
      </c>
      <c r="U963">
        <f>IF($W963="","",COUNTIFS(상세표[사번키],INDEX(합계표[사번키],$W963),상세표[반영월],대상월키,상세표[야간당직],1,상세표[야간 구분],"휴일",상세표[반영 기관],"서울병원"))</f>
        <v/>
      </c>
      <c r="V963">
        <f>IF($W963="","",IF(ISNUMBER(MATCH(INDEX(합계표[사번키],$W963)&amp;"|"&amp;대상월키,월별근무지표[키],0)),"직접 입력",IF($K963="—","—","기관명단")))</f>
        <v/>
      </c>
      <c r="W963">
        <f>IFERROR(MATCH(958,합계표[판정순번],0),"")</f>
        <v/>
      </c>
    </row>
    <row r="964">
      <c r="A964">
        <f>IF($W964="","",INDEX(합계표[사번],$W964)&amp;"")</f>
        <v/>
      </c>
      <c r="B964">
        <f>IF($W964="","",INDEX(합계표[성명],$W964)&amp;"")</f>
        <v/>
      </c>
      <c r="C964">
        <f>IF($W964="","",INDEX(합계표[부서],$W964)&amp;"")</f>
        <v/>
      </c>
      <c r="D964">
        <f>IF($W964="","",INDEX(합계표[직위(통합)],$W964)&amp;"")</f>
        <v/>
      </c>
      <c r="E964">
        <f>IF($W964="","",SUMIFS(합계표[시스템 합계],합계표[사번키],INDEX(합계표[사번키],$W964)))</f>
        <v/>
      </c>
      <c r="F964">
        <f>IF($W964="","",SUMIFS(상세표[기록 시간외],상세표[사번키],INDEX(합계표[사번키],$W964),상세표[기록월],대상월키))</f>
        <v/>
      </c>
      <c r="G964">
        <f>IF($W964="","",IF(ABS($E964-$F964)&lt;0.01,"일치","불일치(차이 "&amp;TEXT($F964-$E964,"0.00")&amp;")"))</f>
        <v/>
      </c>
      <c r="H964">
        <f>IF($W964="","",SUMIFS(상세표[기록 시간외],상세표[사번키],INDEX(합계표[사번키],$W964),상세표[기록월],대상월키,상세표[반영월],"&lt;&gt;"&amp;대상월키))</f>
        <v/>
      </c>
      <c r="I964">
        <f>IF($W964="","",SUMIFS(상세표[기록 시간외],상세표[사번키],INDEX(합계표[사번키],$W964),상세표[기록월],"&lt;&gt;"&amp;대상월키,상세표[반영월],대상월키))</f>
        <v/>
      </c>
      <c r="J964">
        <f>IF($W964="","",SUMIFS(상세표[기록 시간외],상세표[사번키],INDEX(합계표[사번키],$W964),상세표[반영월],대상월키))</f>
        <v/>
      </c>
      <c r="K964">
        <f>IF($W964="","",IFERROR(INDEX(월별근무지표[적용 급여병원],MATCH(INDEX(합계표[사번키],$W964)&amp;"|"&amp;대상월키,월별근무지표[키],0))&amp;"",IF(COUNTIF(기관표[사번키],INDEX(합계표[사번키],$W964))+COUNTIF(월별근무지표[사번키],INDEX(합계표[사번키],$W964))&gt;0,IFERROR(INDEX(기관표[급여지급병원(기준월)],MATCH(INDEX(합계표[사번키],$W964)&amp;"|"&amp;대상월키,기관표[키],0))&amp;"","—"),"—")))</f>
        <v/>
      </c>
      <c r="L964">
        <f>IF($W964="","",IF(NOT(COUNTIF(기관표[사번키],INDEX(합계표[사번키],$W964))+COUNTIF(월별근무지표[사번키],INDEX(합계표[사번키],$W964))&gt;0),"기관명단에 없음(다른 병원으로 발송)",IF($K964="—","대상월 기관명단 없음(추가 필요)",IF($K964="서울병원","해당","비해당"))))</f>
        <v/>
      </c>
      <c r="M964">
        <f>IF($W964="","",SUMIFS(상세표[06~07시],상세표[사번키],INDEX(합계표[사번키],$W964),상세표[반영월],대상월키,상세표[반영 기관],"서울병원"))</f>
        <v/>
      </c>
      <c r="N964">
        <f>IF($W964="","",SUMIFS(상세표[07~18시],상세표[사번키],INDEX(합계표[사번키],$W964),상세표[반영월],대상월키,상세표[반영 기관],"서울병원"))</f>
        <v/>
      </c>
      <c r="O964">
        <f>IF($W964="","",SUMIFS(상세표[18~22시],상세표[사번키],INDEX(합계표[사번키],$W964),상세표[반영월],대상월키,상세표[반영 기관],"서울병원"))</f>
        <v/>
      </c>
      <c r="P964">
        <f>IF($W964="","",SUMIFS(상세표[22~06시],상세표[사번키],INDEX(합계표[사번키],$W964),상세표[반영월],대상월키,상세표[반영 기관],"서울병원"))</f>
        <v/>
      </c>
      <c r="Q964">
        <f>IF($W964="","",SUM($M964:$P964))</f>
        <v/>
      </c>
      <c r="R964">
        <f>IF($W964="","",COUNTIFS(상세표[사번키],INDEX(합계표[사번키],$W964),상세표[반영월],대상월키,상세표[야간당직],1,상세표[야간 구분],"평일"))</f>
        <v/>
      </c>
      <c r="S964" s="4">
        <f>IF($W964="","",COUNTIFS(상세표[사번키],INDEX(합계표[사번키],$W964),상세표[반영월],대상월키,상세표[야간당직],1,상세표[야간 구분],"휴일"))</f>
        <v/>
      </c>
      <c r="T964">
        <f>IF($W964="","",COUNTIFS(상세표[사번키],INDEX(합계표[사번키],$W964),상세표[반영월],대상월키,상세표[야간당직],1,상세표[야간 구분],"평일",상세표[반영 기관],"서울병원"))</f>
        <v/>
      </c>
      <c r="U964">
        <f>IF($W964="","",COUNTIFS(상세표[사번키],INDEX(합계표[사번키],$W964),상세표[반영월],대상월키,상세표[야간당직],1,상세표[야간 구분],"휴일",상세표[반영 기관],"서울병원"))</f>
        <v/>
      </c>
      <c r="V964">
        <f>IF($W964="","",IF(ISNUMBER(MATCH(INDEX(합계표[사번키],$W964)&amp;"|"&amp;대상월키,월별근무지표[키],0)),"직접 입력",IF($K964="—","—","기관명단")))</f>
        <v/>
      </c>
      <c r="W964">
        <f>IFERROR(MATCH(959,합계표[판정순번],0),"")</f>
        <v/>
      </c>
    </row>
    <row r="965">
      <c r="A965">
        <f>IF($W965="","",INDEX(합계표[사번],$W965)&amp;"")</f>
        <v/>
      </c>
      <c r="B965">
        <f>IF($W965="","",INDEX(합계표[성명],$W965)&amp;"")</f>
        <v/>
      </c>
      <c r="C965">
        <f>IF($W965="","",INDEX(합계표[부서],$W965)&amp;"")</f>
        <v/>
      </c>
      <c r="D965">
        <f>IF($W965="","",INDEX(합계표[직위(통합)],$W965)&amp;"")</f>
        <v/>
      </c>
      <c r="E965">
        <f>IF($W965="","",SUMIFS(합계표[시스템 합계],합계표[사번키],INDEX(합계표[사번키],$W965)))</f>
        <v/>
      </c>
      <c r="F965">
        <f>IF($W965="","",SUMIFS(상세표[기록 시간외],상세표[사번키],INDEX(합계표[사번키],$W965),상세표[기록월],대상월키))</f>
        <v/>
      </c>
      <c r="G965">
        <f>IF($W965="","",IF(ABS($E965-$F965)&lt;0.01,"일치","불일치(차이 "&amp;TEXT($F965-$E965,"0.00")&amp;")"))</f>
        <v/>
      </c>
      <c r="H965">
        <f>IF($W965="","",SUMIFS(상세표[기록 시간외],상세표[사번키],INDEX(합계표[사번키],$W965),상세표[기록월],대상월키,상세표[반영월],"&lt;&gt;"&amp;대상월키))</f>
        <v/>
      </c>
      <c r="I965">
        <f>IF($W965="","",SUMIFS(상세표[기록 시간외],상세표[사번키],INDEX(합계표[사번키],$W965),상세표[기록월],"&lt;&gt;"&amp;대상월키,상세표[반영월],대상월키))</f>
        <v/>
      </c>
      <c r="J965">
        <f>IF($W965="","",SUMIFS(상세표[기록 시간외],상세표[사번키],INDEX(합계표[사번키],$W965),상세표[반영월],대상월키))</f>
        <v/>
      </c>
      <c r="K965">
        <f>IF($W965="","",IFERROR(INDEX(월별근무지표[적용 급여병원],MATCH(INDEX(합계표[사번키],$W965)&amp;"|"&amp;대상월키,월별근무지표[키],0))&amp;"",IF(COUNTIF(기관표[사번키],INDEX(합계표[사번키],$W965))+COUNTIF(월별근무지표[사번키],INDEX(합계표[사번키],$W965))&gt;0,IFERROR(INDEX(기관표[급여지급병원(기준월)],MATCH(INDEX(합계표[사번키],$W965)&amp;"|"&amp;대상월키,기관표[키],0))&amp;"","—"),"—")))</f>
        <v/>
      </c>
      <c r="L965">
        <f>IF($W965="","",IF(NOT(COUNTIF(기관표[사번키],INDEX(합계표[사번키],$W965))+COUNTIF(월별근무지표[사번키],INDEX(합계표[사번키],$W965))&gt;0),"기관명단에 없음(다른 병원으로 발송)",IF($K965="—","대상월 기관명단 없음(추가 필요)",IF($K965="서울병원","해당","비해당"))))</f>
        <v/>
      </c>
      <c r="M965">
        <f>IF($W965="","",SUMIFS(상세표[06~07시],상세표[사번키],INDEX(합계표[사번키],$W965),상세표[반영월],대상월키,상세표[반영 기관],"서울병원"))</f>
        <v/>
      </c>
      <c r="N965">
        <f>IF($W965="","",SUMIFS(상세표[07~18시],상세표[사번키],INDEX(합계표[사번키],$W965),상세표[반영월],대상월키,상세표[반영 기관],"서울병원"))</f>
        <v/>
      </c>
      <c r="O965">
        <f>IF($W965="","",SUMIFS(상세표[18~22시],상세표[사번키],INDEX(합계표[사번키],$W965),상세표[반영월],대상월키,상세표[반영 기관],"서울병원"))</f>
        <v/>
      </c>
      <c r="P965">
        <f>IF($W965="","",SUMIFS(상세표[22~06시],상세표[사번키],INDEX(합계표[사번키],$W965),상세표[반영월],대상월키,상세표[반영 기관],"서울병원"))</f>
        <v/>
      </c>
      <c r="Q965">
        <f>IF($W965="","",SUM($M965:$P965))</f>
        <v/>
      </c>
      <c r="R965">
        <f>IF($W965="","",COUNTIFS(상세표[사번키],INDEX(합계표[사번키],$W965),상세표[반영월],대상월키,상세표[야간당직],1,상세표[야간 구분],"평일"))</f>
        <v/>
      </c>
      <c r="S965" s="4">
        <f>IF($W965="","",COUNTIFS(상세표[사번키],INDEX(합계표[사번키],$W965),상세표[반영월],대상월키,상세표[야간당직],1,상세표[야간 구분],"휴일"))</f>
        <v/>
      </c>
      <c r="T965">
        <f>IF($W965="","",COUNTIFS(상세표[사번키],INDEX(합계표[사번키],$W965),상세표[반영월],대상월키,상세표[야간당직],1,상세표[야간 구분],"평일",상세표[반영 기관],"서울병원"))</f>
        <v/>
      </c>
      <c r="U965">
        <f>IF($W965="","",COUNTIFS(상세표[사번키],INDEX(합계표[사번키],$W965),상세표[반영월],대상월키,상세표[야간당직],1,상세표[야간 구분],"휴일",상세표[반영 기관],"서울병원"))</f>
        <v/>
      </c>
      <c r="V965">
        <f>IF($W965="","",IF(ISNUMBER(MATCH(INDEX(합계표[사번키],$W965)&amp;"|"&amp;대상월키,월별근무지표[키],0)),"직접 입력",IF($K965="—","—","기관명단")))</f>
        <v/>
      </c>
      <c r="W965">
        <f>IFERROR(MATCH(960,합계표[판정순번],0),"")</f>
        <v/>
      </c>
    </row>
    <row r="966">
      <c r="A966">
        <f>IF($W966="","",INDEX(합계표[사번],$W966)&amp;"")</f>
        <v/>
      </c>
      <c r="B966">
        <f>IF($W966="","",INDEX(합계표[성명],$W966)&amp;"")</f>
        <v/>
      </c>
      <c r="C966">
        <f>IF($W966="","",INDEX(합계표[부서],$W966)&amp;"")</f>
        <v/>
      </c>
      <c r="D966">
        <f>IF($W966="","",INDEX(합계표[직위(통합)],$W966)&amp;"")</f>
        <v/>
      </c>
      <c r="E966">
        <f>IF($W966="","",SUMIFS(합계표[시스템 합계],합계표[사번키],INDEX(합계표[사번키],$W966)))</f>
        <v/>
      </c>
      <c r="F966">
        <f>IF($W966="","",SUMIFS(상세표[기록 시간외],상세표[사번키],INDEX(합계표[사번키],$W966),상세표[기록월],대상월키))</f>
        <v/>
      </c>
      <c r="G966">
        <f>IF($W966="","",IF(ABS($E966-$F966)&lt;0.01,"일치","불일치(차이 "&amp;TEXT($F966-$E966,"0.00")&amp;")"))</f>
        <v/>
      </c>
      <c r="H966">
        <f>IF($W966="","",SUMIFS(상세표[기록 시간외],상세표[사번키],INDEX(합계표[사번키],$W966),상세표[기록월],대상월키,상세표[반영월],"&lt;&gt;"&amp;대상월키))</f>
        <v/>
      </c>
      <c r="I966">
        <f>IF($W966="","",SUMIFS(상세표[기록 시간외],상세표[사번키],INDEX(합계표[사번키],$W966),상세표[기록월],"&lt;&gt;"&amp;대상월키,상세표[반영월],대상월키))</f>
        <v/>
      </c>
      <c r="J966">
        <f>IF($W966="","",SUMIFS(상세표[기록 시간외],상세표[사번키],INDEX(합계표[사번키],$W966),상세표[반영월],대상월키))</f>
        <v/>
      </c>
      <c r="K966">
        <f>IF($W966="","",IFERROR(INDEX(월별근무지표[적용 급여병원],MATCH(INDEX(합계표[사번키],$W966)&amp;"|"&amp;대상월키,월별근무지표[키],0))&amp;"",IF(COUNTIF(기관표[사번키],INDEX(합계표[사번키],$W966))+COUNTIF(월별근무지표[사번키],INDEX(합계표[사번키],$W966))&gt;0,IFERROR(INDEX(기관표[급여지급병원(기준월)],MATCH(INDEX(합계표[사번키],$W966)&amp;"|"&amp;대상월키,기관표[키],0))&amp;"","—"),"—")))</f>
        <v/>
      </c>
      <c r="L966">
        <f>IF($W966="","",IF(NOT(COUNTIF(기관표[사번키],INDEX(합계표[사번키],$W966))+COUNTIF(월별근무지표[사번키],INDEX(합계표[사번키],$W966))&gt;0),"기관명단에 없음(다른 병원으로 발송)",IF($K966="—","대상월 기관명단 없음(추가 필요)",IF($K966="서울병원","해당","비해당"))))</f>
        <v/>
      </c>
      <c r="M966">
        <f>IF($W966="","",SUMIFS(상세표[06~07시],상세표[사번키],INDEX(합계표[사번키],$W966),상세표[반영월],대상월키,상세표[반영 기관],"서울병원"))</f>
        <v/>
      </c>
      <c r="N966">
        <f>IF($W966="","",SUMIFS(상세표[07~18시],상세표[사번키],INDEX(합계표[사번키],$W966),상세표[반영월],대상월키,상세표[반영 기관],"서울병원"))</f>
        <v/>
      </c>
      <c r="O966">
        <f>IF($W966="","",SUMIFS(상세표[18~22시],상세표[사번키],INDEX(합계표[사번키],$W966),상세표[반영월],대상월키,상세표[반영 기관],"서울병원"))</f>
        <v/>
      </c>
      <c r="P966">
        <f>IF($W966="","",SUMIFS(상세표[22~06시],상세표[사번키],INDEX(합계표[사번키],$W966),상세표[반영월],대상월키,상세표[반영 기관],"서울병원"))</f>
        <v/>
      </c>
      <c r="Q966">
        <f>IF($W966="","",SUM($M966:$P966))</f>
        <v/>
      </c>
      <c r="R966">
        <f>IF($W966="","",COUNTIFS(상세표[사번키],INDEX(합계표[사번키],$W966),상세표[반영월],대상월키,상세표[야간당직],1,상세표[야간 구분],"평일"))</f>
        <v/>
      </c>
      <c r="S966" s="4">
        <f>IF($W966="","",COUNTIFS(상세표[사번키],INDEX(합계표[사번키],$W966),상세표[반영월],대상월키,상세표[야간당직],1,상세표[야간 구분],"휴일"))</f>
        <v/>
      </c>
      <c r="T966">
        <f>IF($W966="","",COUNTIFS(상세표[사번키],INDEX(합계표[사번키],$W966),상세표[반영월],대상월키,상세표[야간당직],1,상세표[야간 구분],"평일",상세표[반영 기관],"서울병원"))</f>
        <v/>
      </c>
      <c r="U966">
        <f>IF($W966="","",COUNTIFS(상세표[사번키],INDEX(합계표[사번키],$W966),상세표[반영월],대상월키,상세표[야간당직],1,상세표[야간 구분],"휴일",상세표[반영 기관],"서울병원"))</f>
        <v/>
      </c>
      <c r="V966">
        <f>IF($W966="","",IF(ISNUMBER(MATCH(INDEX(합계표[사번키],$W966)&amp;"|"&amp;대상월키,월별근무지표[키],0)),"직접 입력",IF($K966="—","—","기관명단")))</f>
        <v/>
      </c>
      <c r="W966">
        <f>IFERROR(MATCH(961,합계표[판정순번],0),"")</f>
        <v/>
      </c>
    </row>
    <row r="967">
      <c r="A967">
        <f>IF($W967="","",INDEX(합계표[사번],$W967)&amp;"")</f>
        <v/>
      </c>
      <c r="B967">
        <f>IF($W967="","",INDEX(합계표[성명],$W967)&amp;"")</f>
        <v/>
      </c>
      <c r="C967">
        <f>IF($W967="","",INDEX(합계표[부서],$W967)&amp;"")</f>
        <v/>
      </c>
      <c r="D967">
        <f>IF($W967="","",INDEX(합계표[직위(통합)],$W967)&amp;"")</f>
        <v/>
      </c>
      <c r="E967">
        <f>IF($W967="","",SUMIFS(합계표[시스템 합계],합계표[사번키],INDEX(합계표[사번키],$W967)))</f>
        <v/>
      </c>
      <c r="F967">
        <f>IF($W967="","",SUMIFS(상세표[기록 시간외],상세표[사번키],INDEX(합계표[사번키],$W967),상세표[기록월],대상월키))</f>
        <v/>
      </c>
      <c r="G967">
        <f>IF($W967="","",IF(ABS($E967-$F967)&lt;0.01,"일치","불일치(차이 "&amp;TEXT($F967-$E967,"0.00")&amp;")"))</f>
        <v/>
      </c>
      <c r="H967">
        <f>IF($W967="","",SUMIFS(상세표[기록 시간외],상세표[사번키],INDEX(합계표[사번키],$W967),상세표[기록월],대상월키,상세표[반영월],"&lt;&gt;"&amp;대상월키))</f>
        <v/>
      </c>
      <c r="I967">
        <f>IF($W967="","",SUMIFS(상세표[기록 시간외],상세표[사번키],INDEX(합계표[사번키],$W967),상세표[기록월],"&lt;&gt;"&amp;대상월키,상세표[반영월],대상월키))</f>
        <v/>
      </c>
      <c r="J967">
        <f>IF($W967="","",SUMIFS(상세표[기록 시간외],상세표[사번키],INDEX(합계표[사번키],$W967),상세표[반영월],대상월키))</f>
        <v/>
      </c>
      <c r="K967">
        <f>IF($W967="","",IFERROR(INDEX(월별근무지표[적용 급여병원],MATCH(INDEX(합계표[사번키],$W967)&amp;"|"&amp;대상월키,월별근무지표[키],0))&amp;"",IF(COUNTIF(기관표[사번키],INDEX(합계표[사번키],$W967))+COUNTIF(월별근무지표[사번키],INDEX(합계표[사번키],$W967))&gt;0,IFERROR(INDEX(기관표[급여지급병원(기준월)],MATCH(INDEX(합계표[사번키],$W967)&amp;"|"&amp;대상월키,기관표[키],0))&amp;"","—"),"—")))</f>
        <v/>
      </c>
      <c r="L967">
        <f>IF($W967="","",IF(NOT(COUNTIF(기관표[사번키],INDEX(합계표[사번키],$W967))+COUNTIF(월별근무지표[사번키],INDEX(합계표[사번키],$W967))&gt;0),"기관명단에 없음(다른 병원으로 발송)",IF($K967="—","대상월 기관명단 없음(추가 필요)",IF($K967="서울병원","해당","비해당"))))</f>
        <v/>
      </c>
      <c r="M967">
        <f>IF($W967="","",SUMIFS(상세표[06~07시],상세표[사번키],INDEX(합계표[사번키],$W967),상세표[반영월],대상월키,상세표[반영 기관],"서울병원"))</f>
        <v/>
      </c>
      <c r="N967">
        <f>IF($W967="","",SUMIFS(상세표[07~18시],상세표[사번키],INDEX(합계표[사번키],$W967),상세표[반영월],대상월키,상세표[반영 기관],"서울병원"))</f>
        <v/>
      </c>
      <c r="O967">
        <f>IF($W967="","",SUMIFS(상세표[18~22시],상세표[사번키],INDEX(합계표[사번키],$W967),상세표[반영월],대상월키,상세표[반영 기관],"서울병원"))</f>
        <v/>
      </c>
      <c r="P967">
        <f>IF($W967="","",SUMIFS(상세표[22~06시],상세표[사번키],INDEX(합계표[사번키],$W967),상세표[반영월],대상월키,상세표[반영 기관],"서울병원"))</f>
        <v/>
      </c>
      <c r="Q967">
        <f>IF($W967="","",SUM($M967:$P967))</f>
        <v/>
      </c>
      <c r="R967">
        <f>IF($W967="","",COUNTIFS(상세표[사번키],INDEX(합계표[사번키],$W967),상세표[반영월],대상월키,상세표[야간당직],1,상세표[야간 구분],"평일"))</f>
        <v/>
      </c>
      <c r="S967" s="4">
        <f>IF($W967="","",COUNTIFS(상세표[사번키],INDEX(합계표[사번키],$W967),상세표[반영월],대상월키,상세표[야간당직],1,상세표[야간 구분],"휴일"))</f>
        <v/>
      </c>
      <c r="T967">
        <f>IF($W967="","",COUNTIFS(상세표[사번키],INDEX(합계표[사번키],$W967),상세표[반영월],대상월키,상세표[야간당직],1,상세표[야간 구분],"평일",상세표[반영 기관],"서울병원"))</f>
        <v/>
      </c>
      <c r="U967">
        <f>IF($W967="","",COUNTIFS(상세표[사번키],INDEX(합계표[사번키],$W967),상세표[반영월],대상월키,상세표[야간당직],1,상세표[야간 구분],"휴일",상세표[반영 기관],"서울병원"))</f>
        <v/>
      </c>
      <c r="V967">
        <f>IF($W967="","",IF(ISNUMBER(MATCH(INDEX(합계표[사번키],$W967)&amp;"|"&amp;대상월키,월별근무지표[키],0)),"직접 입력",IF($K967="—","—","기관명단")))</f>
        <v/>
      </c>
      <c r="W967">
        <f>IFERROR(MATCH(962,합계표[판정순번],0),"")</f>
        <v/>
      </c>
    </row>
    <row r="968">
      <c r="A968">
        <f>IF($W968="","",INDEX(합계표[사번],$W968)&amp;"")</f>
        <v/>
      </c>
      <c r="B968">
        <f>IF($W968="","",INDEX(합계표[성명],$W968)&amp;"")</f>
        <v/>
      </c>
      <c r="C968">
        <f>IF($W968="","",INDEX(합계표[부서],$W968)&amp;"")</f>
        <v/>
      </c>
      <c r="D968">
        <f>IF($W968="","",INDEX(합계표[직위(통합)],$W968)&amp;"")</f>
        <v/>
      </c>
      <c r="E968">
        <f>IF($W968="","",SUMIFS(합계표[시스템 합계],합계표[사번키],INDEX(합계표[사번키],$W968)))</f>
        <v/>
      </c>
      <c r="F968">
        <f>IF($W968="","",SUMIFS(상세표[기록 시간외],상세표[사번키],INDEX(합계표[사번키],$W968),상세표[기록월],대상월키))</f>
        <v/>
      </c>
      <c r="G968">
        <f>IF($W968="","",IF(ABS($E968-$F968)&lt;0.01,"일치","불일치(차이 "&amp;TEXT($F968-$E968,"0.00")&amp;")"))</f>
        <v/>
      </c>
      <c r="H968">
        <f>IF($W968="","",SUMIFS(상세표[기록 시간외],상세표[사번키],INDEX(합계표[사번키],$W968),상세표[기록월],대상월키,상세표[반영월],"&lt;&gt;"&amp;대상월키))</f>
        <v/>
      </c>
      <c r="I968">
        <f>IF($W968="","",SUMIFS(상세표[기록 시간외],상세표[사번키],INDEX(합계표[사번키],$W968),상세표[기록월],"&lt;&gt;"&amp;대상월키,상세표[반영월],대상월키))</f>
        <v/>
      </c>
      <c r="J968">
        <f>IF($W968="","",SUMIFS(상세표[기록 시간외],상세표[사번키],INDEX(합계표[사번키],$W968),상세표[반영월],대상월키))</f>
        <v/>
      </c>
      <c r="K968">
        <f>IF($W968="","",IFERROR(INDEX(월별근무지표[적용 급여병원],MATCH(INDEX(합계표[사번키],$W968)&amp;"|"&amp;대상월키,월별근무지표[키],0))&amp;"",IF(COUNTIF(기관표[사번키],INDEX(합계표[사번키],$W968))+COUNTIF(월별근무지표[사번키],INDEX(합계표[사번키],$W968))&gt;0,IFERROR(INDEX(기관표[급여지급병원(기준월)],MATCH(INDEX(합계표[사번키],$W968)&amp;"|"&amp;대상월키,기관표[키],0))&amp;"","—"),"—")))</f>
        <v/>
      </c>
      <c r="L968">
        <f>IF($W968="","",IF(NOT(COUNTIF(기관표[사번키],INDEX(합계표[사번키],$W968))+COUNTIF(월별근무지표[사번키],INDEX(합계표[사번키],$W968))&gt;0),"기관명단에 없음(다른 병원으로 발송)",IF($K968="—","대상월 기관명단 없음(추가 필요)",IF($K968="서울병원","해당","비해당"))))</f>
        <v/>
      </c>
      <c r="M968">
        <f>IF($W968="","",SUMIFS(상세표[06~07시],상세표[사번키],INDEX(합계표[사번키],$W968),상세표[반영월],대상월키,상세표[반영 기관],"서울병원"))</f>
        <v/>
      </c>
      <c r="N968">
        <f>IF($W968="","",SUMIFS(상세표[07~18시],상세표[사번키],INDEX(합계표[사번키],$W968),상세표[반영월],대상월키,상세표[반영 기관],"서울병원"))</f>
        <v/>
      </c>
      <c r="O968">
        <f>IF($W968="","",SUMIFS(상세표[18~22시],상세표[사번키],INDEX(합계표[사번키],$W968),상세표[반영월],대상월키,상세표[반영 기관],"서울병원"))</f>
        <v/>
      </c>
      <c r="P968">
        <f>IF($W968="","",SUMIFS(상세표[22~06시],상세표[사번키],INDEX(합계표[사번키],$W968),상세표[반영월],대상월키,상세표[반영 기관],"서울병원"))</f>
        <v/>
      </c>
      <c r="Q968">
        <f>IF($W968="","",SUM($M968:$P968))</f>
        <v/>
      </c>
      <c r="R968">
        <f>IF($W968="","",COUNTIFS(상세표[사번키],INDEX(합계표[사번키],$W968),상세표[반영월],대상월키,상세표[야간당직],1,상세표[야간 구분],"평일"))</f>
        <v/>
      </c>
      <c r="S968" s="4">
        <f>IF($W968="","",COUNTIFS(상세표[사번키],INDEX(합계표[사번키],$W968),상세표[반영월],대상월키,상세표[야간당직],1,상세표[야간 구분],"휴일"))</f>
        <v/>
      </c>
      <c r="T968">
        <f>IF($W968="","",COUNTIFS(상세표[사번키],INDEX(합계표[사번키],$W968),상세표[반영월],대상월키,상세표[야간당직],1,상세표[야간 구분],"평일",상세표[반영 기관],"서울병원"))</f>
        <v/>
      </c>
      <c r="U968">
        <f>IF($W968="","",COUNTIFS(상세표[사번키],INDEX(합계표[사번키],$W968),상세표[반영월],대상월키,상세표[야간당직],1,상세표[야간 구분],"휴일",상세표[반영 기관],"서울병원"))</f>
        <v/>
      </c>
      <c r="V968">
        <f>IF($W968="","",IF(ISNUMBER(MATCH(INDEX(합계표[사번키],$W968)&amp;"|"&amp;대상월키,월별근무지표[키],0)),"직접 입력",IF($K968="—","—","기관명단")))</f>
        <v/>
      </c>
      <c r="W968">
        <f>IFERROR(MATCH(963,합계표[판정순번],0),"")</f>
        <v/>
      </c>
    </row>
    <row r="969">
      <c r="A969">
        <f>IF($W969="","",INDEX(합계표[사번],$W969)&amp;"")</f>
        <v/>
      </c>
      <c r="B969">
        <f>IF($W969="","",INDEX(합계표[성명],$W969)&amp;"")</f>
        <v/>
      </c>
      <c r="C969">
        <f>IF($W969="","",INDEX(합계표[부서],$W969)&amp;"")</f>
        <v/>
      </c>
      <c r="D969">
        <f>IF($W969="","",INDEX(합계표[직위(통합)],$W969)&amp;"")</f>
        <v/>
      </c>
      <c r="E969">
        <f>IF($W969="","",SUMIFS(합계표[시스템 합계],합계표[사번키],INDEX(합계표[사번키],$W969)))</f>
        <v/>
      </c>
      <c r="F969">
        <f>IF($W969="","",SUMIFS(상세표[기록 시간외],상세표[사번키],INDEX(합계표[사번키],$W969),상세표[기록월],대상월키))</f>
        <v/>
      </c>
      <c r="G969">
        <f>IF($W969="","",IF(ABS($E969-$F969)&lt;0.01,"일치","불일치(차이 "&amp;TEXT($F969-$E969,"0.00")&amp;")"))</f>
        <v/>
      </c>
      <c r="H969">
        <f>IF($W969="","",SUMIFS(상세표[기록 시간외],상세표[사번키],INDEX(합계표[사번키],$W969),상세표[기록월],대상월키,상세표[반영월],"&lt;&gt;"&amp;대상월키))</f>
        <v/>
      </c>
      <c r="I969">
        <f>IF($W969="","",SUMIFS(상세표[기록 시간외],상세표[사번키],INDEX(합계표[사번키],$W969),상세표[기록월],"&lt;&gt;"&amp;대상월키,상세표[반영월],대상월키))</f>
        <v/>
      </c>
      <c r="J969">
        <f>IF($W969="","",SUMIFS(상세표[기록 시간외],상세표[사번키],INDEX(합계표[사번키],$W969),상세표[반영월],대상월키))</f>
        <v/>
      </c>
      <c r="K969">
        <f>IF($W969="","",IFERROR(INDEX(월별근무지표[적용 급여병원],MATCH(INDEX(합계표[사번키],$W969)&amp;"|"&amp;대상월키,월별근무지표[키],0))&amp;"",IF(COUNTIF(기관표[사번키],INDEX(합계표[사번키],$W969))+COUNTIF(월별근무지표[사번키],INDEX(합계표[사번키],$W969))&gt;0,IFERROR(INDEX(기관표[급여지급병원(기준월)],MATCH(INDEX(합계표[사번키],$W969)&amp;"|"&amp;대상월키,기관표[키],0))&amp;"","—"),"—")))</f>
        <v/>
      </c>
      <c r="L969">
        <f>IF($W969="","",IF(NOT(COUNTIF(기관표[사번키],INDEX(합계표[사번키],$W969))+COUNTIF(월별근무지표[사번키],INDEX(합계표[사번키],$W969))&gt;0),"기관명단에 없음(다른 병원으로 발송)",IF($K969="—","대상월 기관명단 없음(추가 필요)",IF($K969="서울병원","해당","비해당"))))</f>
        <v/>
      </c>
      <c r="M969">
        <f>IF($W969="","",SUMIFS(상세표[06~07시],상세표[사번키],INDEX(합계표[사번키],$W969),상세표[반영월],대상월키,상세표[반영 기관],"서울병원"))</f>
        <v/>
      </c>
      <c r="N969">
        <f>IF($W969="","",SUMIFS(상세표[07~18시],상세표[사번키],INDEX(합계표[사번키],$W969),상세표[반영월],대상월키,상세표[반영 기관],"서울병원"))</f>
        <v/>
      </c>
      <c r="O969">
        <f>IF($W969="","",SUMIFS(상세표[18~22시],상세표[사번키],INDEX(합계표[사번키],$W969),상세표[반영월],대상월키,상세표[반영 기관],"서울병원"))</f>
        <v/>
      </c>
      <c r="P969">
        <f>IF($W969="","",SUMIFS(상세표[22~06시],상세표[사번키],INDEX(합계표[사번키],$W969),상세표[반영월],대상월키,상세표[반영 기관],"서울병원"))</f>
        <v/>
      </c>
      <c r="Q969">
        <f>IF($W969="","",SUM($M969:$P969))</f>
        <v/>
      </c>
      <c r="R969">
        <f>IF($W969="","",COUNTIFS(상세표[사번키],INDEX(합계표[사번키],$W969),상세표[반영월],대상월키,상세표[야간당직],1,상세표[야간 구분],"평일"))</f>
        <v/>
      </c>
      <c r="S969" s="4">
        <f>IF($W969="","",COUNTIFS(상세표[사번키],INDEX(합계표[사번키],$W969),상세표[반영월],대상월키,상세표[야간당직],1,상세표[야간 구분],"휴일"))</f>
        <v/>
      </c>
      <c r="T969">
        <f>IF($W969="","",COUNTIFS(상세표[사번키],INDEX(합계표[사번키],$W969),상세표[반영월],대상월키,상세표[야간당직],1,상세표[야간 구분],"평일",상세표[반영 기관],"서울병원"))</f>
        <v/>
      </c>
      <c r="U969">
        <f>IF($W969="","",COUNTIFS(상세표[사번키],INDEX(합계표[사번키],$W969),상세표[반영월],대상월키,상세표[야간당직],1,상세표[야간 구분],"휴일",상세표[반영 기관],"서울병원"))</f>
        <v/>
      </c>
      <c r="V969">
        <f>IF($W969="","",IF(ISNUMBER(MATCH(INDEX(합계표[사번키],$W969)&amp;"|"&amp;대상월키,월별근무지표[키],0)),"직접 입력",IF($K969="—","—","기관명단")))</f>
        <v/>
      </c>
      <c r="W969">
        <f>IFERROR(MATCH(964,합계표[판정순번],0),"")</f>
        <v/>
      </c>
    </row>
    <row r="970">
      <c r="A970">
        <f>IF($W970="","",INDEX(합계표[사번],$W970)&amp;"")</f>
        <v/>
      </c>
      <c r="B970">
        <f>IF($W970="","",INDEX(합계표[성명],$W970)&amp;"")</f>
        <v/>
      </c>
      <c r="C970">
        <f>IF($W970="","",INDEX(합계표[부서],$W970)&amp;"")</f>
        <v/>
      </c>
      <c r="D970">
        <f>IF($W970="","",INDEX(합계표[직위(통합)],$W970)&amp;"")</f>
        <v/>
      </c>
      <c r="E970">
        <f>IF($W970="","",SUMIFS(합계표[시스템 합계],합계표[사번키],INDEX(합계표[사번키],$W970)))</f>
        <v/>
      </c>
      <c r="F970">
        <f>IF($W970="","",SUMIFS(상세표[기록 시간외],상세표[사번키],INDEX(합계표[사번키],$W970),상세표[기록월],대상월키))</f>
        <v/>
      </c>
      <c r="G970">
        <f>IF($W970="","",IF(ABS($E970-$F970)&lt;0.01,"일치","불일치(차이 "&amp;TEXT($F970-$E970,"0.00")&amp;")"))</f>
        <v/>
      </c>
      <c r="H970">
        <f>IF($W970="","",SUMIFS(상세표[기록 시간외],상세표[사번키],INDEX(합계표[사번키],$W970),상세표[기록월],대상월키,상세표[반영월],"&lt;&gt;"&amp;대상월키))</f>
        <v/>
      </c>
      <c r="I970">
        <f>IF($W970="","",SUMIFS(상세표[기록 시간외],상세표[사번키],INDEX(합계표[사번키],$W970),상세표[기록월],"&lt;&gt;"&amp;대상월키,상세표[반영월],대상월키))</f>
        <v/>
      </c>
      <c r="J970">
        <f>IF($W970="","",SUMIFS(상세표[기록 시간외],상세표[사번키],INDEX(합계표[사번키],$W970),상세표[반영월],대상월키))</f>
        <v/>
      </c>
      <c r="K970">
        <f>IF($W970="","",IFERROR(INDEX(월별근무지표[적용 급여병원],MATCH(INDEX(합계표[사번키],$W970)&amp;"|"&amp;대상월키,월별근무지표[키],0))&amp;"",IF(COUNTIF(기관표[사번키],INDEX(합계표[사번키],$W970))+COUNTIF(월별근무지표[사번키],INDEX(합계표[사번키],$W970))&gt;0,IFERROR(INDEX(기관표[급여지급병원(기준월)],MATCH(INDEX(합계표[사번키],$W970)&amp;"|"&amp;대상월키,기관표[키],0))&amp;"","—"),"—")))</f>
        <v/>
      </c>
      <c r="L970">
        <f>IF($W970="","",IF(NOT(COUNTIF(기관표[사번키],INDEX(합계표[사번키],$W970))+COUNTIF(월별근무지표[사번키],INDEX(합계표[사번키],$W970))&gt;0),"기관명단에 없음(다른 병원으로 발송)",IF($K970="—","대상월 기관명단 없음(추가 필요)",IF($K970="서울병원","해당","비해당"))))</f>
        <v/>
      </c>
      <c r="M970">
        <f>IF($W970="","",SUMIFS(상세표[06~07시],상세표[사번키],INDEX(합계표[사번키],$W970),상세표[반영월],대상월키,상세표[반영 기관],"서울병원"))</f>
        <v/>
      </c>
      <c r="N970">
        <f>IF($W970="","",SUMIFS(상세표[07~18시],상세표[사번키],INDEX(합계표[사번키],$W970),상세표[반영월],대상월키,상세표[반영 기관],"서울병원"))</f>
        <v/>
      </c>
      <c r="O970">
        <f>IF($W970="","",SUMIFS(상세표[18~22시],상세표[사번키],INDEX(합계표[사번키],$W970),상세표[반영월],대상월키,상세표[반영 기관],"서울병원"))</f>
        <v/>
      </c>
      <c r="P970">
        <f>IF($W970="","",SUMIFS(상세표[22~06시],상세표[사번키],INDEX(합계표[사번키],$W970),상세표[반영월],대상월키,상세표[반영 기관],"서울병원"))</f>
        <v/>
      </c>
      <c r="Q970">
        <f>IF($W970="","",SUM($M970:$P970))</f>
        <v/>
      </c>
      <c r="R970">
        <f>IF($W970="","",COUNTIFS(상세표[사번키],INDEX(합계표[사번키],$W970),상세표[반영월],대상월키,상세표[야간당직],1,상세표[야간 구분],"평일"))</f>
        <v/>
      </c>
      <c r="S970" s="4">
        <f>IF($W970="","",COUNTIFS(상세표[사번키],INDEX(합계표[사번키],$W970),상세표[반영월],대상월키,상세표[야간당직],1,상세표[야간 구분],"휴일"))</f>
        <v/>
      </c>
      <c r="T970">
        <f>IF($W970="","",COUNTIFS(상세표[사번키],INDEX(합계표[사번키],$W970),상세표[반영월],대상월키,상세표[야간당직],1,상세표[야간 구분],"평일",상세표[반영 기관],"서울병원"))</f>
        <v/>
      </c>
      <c r="U970">
        <f>IF($W970="","",COUNTIFS(상세표[사번키],INDEX(합계표[사번키],$W970),상세표[반영월],대상월키,상세표[야간당직],1,상세표[야간 구분],"휴일",상세표[반영 기관],"서울병원"))</f>
        <v/>
      </c>
      <c r="V970">
        <f>IF($W970="","",IF(ISNUMBER(MATCH(INDEX(합계표[사번키],$W970)&amp;"|"&amp;대상월키,월별근무지표[키],0)),"직접 입력",IF($K970="—","—","기관명단")))</f>
        <v/>
      </c>
      <c r="W970">
        <f>IFERROR(MATCH(965,합계표[판정순번],0),"")</f>
        <v/>
      </c>
    </row>
    <row r="971">
      <c r="A971">
        <f>IF($W971="","",INDEX(합계표[사번],$W971)&amp;"")</f>
        <v/>
      </c>
      <c r="B971">
        <f>IF($W971="","",INDEX(합계표[성명],$W971)&amp;"")</f>
        <v/>
      </c>
      <c r="C971">
        <f>IF($W971="","",INDEX(합계표[부서],$W971)&amp;"")</f>
        <v/>
      </c>
      <c r="D971">
        <f>IF($W971="","",INDEX(합계표[직위(통합)],$W971)&amp;"")</f>
        <v/>
      </c>
      <c r="E971">
        <f>IF($W971="","",SUMIFS(합계표[시스템 합계],합계표[사번키],INDEX(합계표[사번키],$W971)))</f>
        <v/>
      </c>
      <c r="F971">
        <f>IF($W971="","",SUMIFS(상세표[기록 시간외],상세표[사번키],INDEX(합계표[사번키],$W971),상세표[기록월],대상월키))</f>
        <v/>
      </c>
      <c r="G971">
        <f>IF($W971="","",IF(ABS($E971-$F971)&lt;0.01,"일치","불일치(차이 "&amp;TEXT($F971-$E971,"0.00")&amp;")"))</f>
        <v/>
      </c>
      <c r="H971">
        <f>IF($W971="","",SUMIFS(상세표[기록 시간외],상세표[사번키],INDEX(합계표[사번키],$W971),상세표[기록월],대상월키,상세표[반영월],"&lt;&gt;"&amp;대상월키))</f>
        <v/>
      </c>
      <c r="I971">
        <f>IF($W971="","",SUMIFS(상세표[기록 시간외],상세표[사번키],INDEX(합계표[사번키],$W971),상세표[기록월],"&lt;&gt;"&amp;대상월키,상세표[반영월],대상월키))</f>
        <v/>
      </c>
      <c r="J971">
        <f>IF($W971="","",SUMIFS(상세표[기록 시간외],상세표[사번키],INDEX(합계표[사번키],$W971),상세표[반영월],대상월키))</f>
        <v/>
      </c>
      <c r="K971">
        <f>IF($W971="","",IFERROR(INDEX(월별근무지표[적용 급여병원],MATCH(INDEX(합계표[사번키],$W971)&amp;"|"&amp;대상월키,월별근무지표[키],0))&amp;"",IF(COUNTIF(기관표[사번키],INDEX(합계표[사번키],$W971))+COUNTIF(월별근무지표[사번키],INDEX(합계표[사번키],$W971))&gt;0,IFERROR(INDEX(기관표[급여지급병원(기준월)],MATCH(INDEX(합계표[사번키],$W971)&amp;"|"&amp;대상월키,기관표[키],0))&amp;"","—"),"—")))</f>
        <v/>
      </c>
      <c r="L971">
        <f>IF($W971="","",IF(NOT(COUNTIF(기관표[사번키],INDEX(합계표[사번키],$W971))+COUNTIF(월별근무지표[사번키],INDEX(합계표[사번키],$W971))&gt;0),"기관명단에 없음(다른 병원으로 발송)",IF($K971="—","대상월 기관명단 없음(추가 필요)",IF($K971="서울병원","해당","비해당"))))</f>
        <v/>
      </c>
      <c r="M971">
        <f>IF($W971="","",SUMIFS(상세표[06~07시],상세표[사번키],INDEX(합계표[사번키],$W971),상세표[반영월],대상월키,상세표[반영 기관],"서울병원"))</f>
        <v/>
      </c>
      <c r="N971">
        <f>IF($W971="","",SUMIFS(상세표[07~18시],상세표[사번키],INDEX(합계표[사번키],$W971),상세표[반영월],대상월키,상세표[반영 기관],"서울병원"))</f>
        <v/>
      </c>
      <c r="O971">
        <f>IF($W971="","",SUMIFS(상세표[18~22시],상세표[사번키],INDEX(합계표[사번키],$W971),상세표[반영월],대상월키,상세표[반영 기관],"서울병원"))</f>
        <v/>
      </c>
      <c r="P971">
        <f>IF($W971="","",SUMIFS(상세표[22~06시],상세표[사번키],INDEX(합계표[사번키],$W971),상세표[반영월],대상월키,상세표[반영 기관],"서울병원"))</f>
        <v/>
      </c>
      <c r="Q971">
        <f>IF($W971="","",SUM($M971:$P971))</f>
        <v/>
      </c>
      <c r="R971">
        <f>IF($W971="","",COUNTIFS(상세표[사번키],INDEX(합계표[사번키],$W971),상세표[반영월],대상월키,상세표[야간당직],1,상세표[야간 구분],"평일"))</f>
        <v/>
      </c>
      <c r="S971" s="4">
        <f>IF($W971="","",COUNTIFS(상세표[사번키],INDEX(합계표[사번키],$W971),상세표[반영월],대상월키,상세표[야간당직],1,상세표[야간 구분],"휴일"))</f>
        <v/>
      </c>
      <c r="T971">
        <f>IF($W971="","",COUNTIFS(상세표[사번키],INDEX(합계표[사번키],$W971),상세표[반영월],대상월키,상세표[야간당직],1,상세표[야간 구분],"평일",상세표[반영 기관],"서울병원"))</f>
        <v/>
      </c>
      <c r="U971">
        <f>IF($W971="","",COUNTIFS(상세표[사번키],INDEX(합계표[사번키],$W971),상세표[반영월],대상월키,상세표[야간당직],1,상세표[야간 구분],"휴일",상세표[반영 기관],"서울병원"))</f>
        <v/>
      </c>
      <c r="V971">
        <f>IF($W971="","",IF(ISNUMBER(MATCH(INDEX(합계표[사번키],$W971)&amp;"|"&amp;대상월키,월별근무지표[키],0)),"직접 입력",IF($K971="—","—","기관명단")))</f>
        <v/>
      </c>
      <c r="W971">
        <f>IFERROR(MATCH(966,합계표[판정순번],0),"")</f>
        <v/>
      </c>
    </row>
    <row r="972">
      <c r="A972">
        <f>IF($W972="","",INDEX(합계표[사번],$W972)&amp;"")</f>
        <v/>
      </c>
      <c r="B972">
        <f>IF($W972="","",INDEX(합계표[성명],$W972)&amp;"")</f>
        <v/>
      </c>
      <c r="C972">
        <f>IF($W972="","",INDEX(합계표[부서],$W972)&amp;"")</f>
        <v/>
      </c>
      <c r="D972">
        <f>IF($W972="","",INDEX(합계표[직위(통합)],$W972)&amp;"")</f>
        <v/>
      </c>
      <c r="E972">
        <f>IF($W972="","",SUMIFS(합계표[시스템 합계],합계표[사번키],INDEX(합계표[사번키],$W972)))</f>
        <v/>
      </c>
      <c r="F972">
        <f>IF($W972="","",SUMIFS(상세표[기록 시간외],상세표[사번키],INDEX(합계표[사번키],$W972),상세표[기록월],대상월키))</f>
        <v/>
      </c>
      <c r="G972">
        <f>IF($W972="","",IF(ABS($E972-$F972)&lt;0.01,"일치","불일치(차이 "&amp;TEXT($F972-$E972,"0.00")&amp;")"))</f>
        <v/>
      </c>
      <c r="H972">
        <f>IF($W972="","",SUMIFS(상세표[기록 시간외],상세표[사번키],INDEX(합계표[사번키],$W972),상세표[기록월],대상월키,상세표[반영월],"&lt;&gt;"&amp;대상월키))</f>
        <v/>
      </c>
      <c r="I972">
        <f>IF($W972="","",SUMIFS(상세표[기록 시간외],상세표[사번키],INDEX(합계표[사번키],$W972),상세표[기록월],"&lt;&gt;"&amp;대상월키,상세표[반영월],대상월키))</f>
        <v/>
      </c>
      <c r="J972">
        <f>IF($W972="","",SUMIFS(상세표[기록 시간외],상세표[사번키],INDEX(합계표[사번키],$W972),상세표[반영월],대상월키))</f>
        <v/>
      </c>
      <c r="K972">
        <f>IF($W972="","",IFERROR(INDEX(월별근무지표[적용 급여병원],MATCH(INDEX(합계표[사번키],$W972)&amp;"|"&amp;대상월키,월별근무지표[키],0))&amp;"",IF(COUNTIF(기관표[사번키],INDEX(합계표[사번키],$W972))+COUNTIF(월별근무지표[사번키],INDEX(합계표[사번키],$W972))&gt;0,IFERROR(INDEX(기관표[급여지급병원(기준월)],MATCH(INDEX(합계표[사번키],$W972)&amp;"|"&amp;대상월키,기관표[키],0))&amp;"","—"),"—")))</f>
        <v/>
      </c>
      <c r="L972">
        <f>IF($W972="","",IF(NOT(COUNTIF(기관표[사번키],INDEX(합계표[사번키],$W972))+COUNTIF(월별근무지표[사번키],INDEX(합계표[사번키],$W972))&gt;0),"기관명단에 없음(다른 병원으로 발송)",IF($K972="—","대상월 기관명단 없음(추가 필요)",IF($K972="서울병원","해당","비해당"))))</f>
        <v/>
      </c>
      <c r="M972">
        <f>IF($W972="","",SUMIFS(상세표[06~07시],상세표[사번키],INDEX(합계표[사번키],$W972),상세표[반영월],대상월키,상세표[반영 기관],"서울병원"))</f>
        <v/>
      </c>
      <c r="N972">
        <f>IF($W972="","",SUMIFS(상세표[07~18시],상세표[사번키],INDEX(합계표[사번키],$W972),상세표[반영월],대상월키,상세표[반영 기관],"서울병원"))</f>
        <v/>
      </c>
      <c r="O972">
        <f>IF($W972="","",SUMIFS(상세표[18~22시],상세표[사번키],INDEX(합계표[사번키],$W972),상세표[반영월],대상월키,상세표[반영 기관],"서울병원"))</f>
        <v/>
      </c>
      <c r="P972">
        <f>IF($W972="","",SUMIFS(상세표[22~06시],상세표[사번키],INDEX(합계표[사번키],$W972),상세표[반영월],대상월키,상세표[반영 기관],"서울병원"))</f>
        <v/>
      </c>
      <c r="Q972">
        <f>IF($W972="","",SUM($M972:$P972))</f>
        <v/>
      </c>
      <c r="R972">
        <f>IF($W972="","",COUNTIFS(상세표[사번키],INDEX(합계표[사번키],$W972),상세표[반영월],대상월키,상세표[야간당직],1,상세표[야간 구분],"평일"))</f>
        <v/>
      </c>
      <c r="S972" s="4">
        <f>IF($W972="","",COUNTIFS(상세표[사번키],INDEX(합계표[사번키],$W972),상세표[반영월],대상월키,상세표[야간당직],1,상세표[야간 구분],"휴일"))</f>
        <v/>
      </c>
      <c r="T972">
        <f>IF($W972="","",COUNTIFS(상세표[사번키],INDEX(합계표[사번키],$W972),상세표[반영월],대상월키,상세표[야간당직],1,상세표[야간 구분],"평일",상세표[반영 기관],"서울병원"))</f>
        <v/>
      </c>
      <c r="U972">
        <f>IF($W972="","",COUNTIFS(상세표[사번키],INDEX(합계표[사번키],$W972),상세표[반영월],대상월키,상세표[야간당직],1,상세표[야간 구분],"휴일",상세표[반영 기관],"서울병원"))</f>
        <v/>
      </c>
      <c r="V972">
        <f>IF($W972="","",IF(ISNUMBER(MATCH(INDEX(합계표[사번키],$W972)&amp;"|"&amp;대상월키,월별근무지표[키],0)),"직접 입력",IF($K972="—","—","기관명단")))</f>
        <v/>
      </c>
      <c r="W972">
        <f>IFERROR(MATCH(967,합계표[판정순번],0),"")</f>
        <v/>
      </c>
    </row>
    <row r="973">
      <c r="A973">
        <f>IF($W973="","",INDEX(합계표[사번],$W973)&amp;"")</f>
        <v/>
      </c>
      <c r="B973">
        <f>IF($W973="","",INDEX(합계표[성명],$W973)&amp;"")</f>
        <v/>
      </c>
      <c r="C973">
        <f>IF($W973="","",INDEX(합계표[부서],$W973)&amp;"")</f>
        <v/>
      </c>
      <c r="D973">
        <f>IF($W973="","",INDEX(합계표[직위(통합)],$W973)&amp;"")</f>
        <v/>
      </c>
      <c r="E973">
        <f>IF($W973="","",SUMIFS(합계표[시스템 합계],합계표[사번키],INDEX(합계표[사번키],$W973)))</f>
        <v/>
      </c>
      <c r="F973">
        <f>IF($W973="","",SUMIFS(상세표[기록 시간외],상세표[사번키],INDEX(합계표[사번키],$W973),상세표[기록월],대상월키))</f>
        <v/>
      </c>
      <c r="G973">
        <f>IF($W973="","",IF(ABS($E973-$F973)&lt;0.01,"일치","불일치(차이 "&amp;TEXT($F973-$E973,"0.00")&amp;")"))</f>
        <v/>
      </c>
      <c r="H973">
        <f>IF($W973="","",SUMIFS(상세표[기록 시간외],상세표[사번키],INDEX(합계표[사번키],$W973),상세표[기록월],대상월키,상세표[반영월],"&lt;&gt;"&amp;대상월키))</f>
        <v/>
      </c>
      <c r="I973">
        <f>IF($W973="","",SUMIFS(상세표[기록 시간외],상세표[사번키],INDEX(합계표[사번키],$W973),상세표[기록월],"&lt;&gt;"&amp;대상월키,상세표[반영월],대상월키))</f>
        <v/>
      </c>
      <c r="J973">
        <f>IF($W973="","",SUMIFS(상세표[기록 시간외],상세표[사번키],INDEX(합계표[사번키],$W973),상세표[반영월],대상월키))</f>
        <v/>
      </c>
      <c r="K973">
        <f>IF($W973="","",IFERROR(INDEX(월별근무지표[적용 급여병원],MATCH(INDEX(합계표[사번키],$W973)&amp;"|"&amp;대상월키,월별근무지표[키],0))&amp;"",IF(COUNTIF(기관표[사번키],INDEX(합계표[사번키],$W973))+COUNTIF(월별근무지표[사번키],INDEX(합계표[사번키],$W973))&gt;0,IFERROR(INDEX(기관표[급여지급병원(기준월)],MATCH(INDEX(합계표[사번키],$W973)&amp;"|"&amp;대상월키,기관표[키],0))&amp;"","—"),"—")))</f>
        <v/>
      </c>
      <c r="L973">
        <f>IF($W973="","",IF(NOT(COUNTIF(기관표[사번키],INDEX(합계표[사번키],$W973))+COUNTIF(월별근무지표[사번키],INDEX(합계표[사번키],$W973))&gt;0),"기관명단에 없음(다른 병원으로 발송)",IF($K973="—","대상월 기관명단 없음(추가 필요)",IF($K973="서울병원","해당","비해당"))))</f>
        <v/>
      </c>
      <c r="M973">
        <f>IF($W973="","",SUMIFS(상세표[06~07시],상세표[사번키],INDEX(합계표[사번키],$W973),상세표[반영월],대상월키,상세표[반영 기관],"서울병원"))</f>
        <v/>
      </c>
      <c r="N973">
        <f>IF($W973="","",SUMIFS(상세표[07~18시],상세표[사번키],INDEX(합계표[사번키],$W973),상세표[반영월],대상월키,상세표[반영 기관],"서울병원"))</f>
        <v/>
      </c>
      <c r="O973">
        <f>IF($W973="","",SUMIFS(상세표[18~22시],상세표[사번키],INDEX(합계표[사번키],$W973),상세표[반영월],대상월키,상세표[반영 기관],"서울병원"))</f>
        <v/>
      </c>
      <c r="P973">
        <f>IF($W973="","",SUMIFS(상세표[22~06시],상세표[사번키],INDEX(합계표[사번키],$W973),상세표[반영월],대상월키,상세표[반영 기관],"서울병원"))</f>
        <v/>
      </c>
      <c r="Q973">
        <f>IF($W973="","",SUM($M973:$P973))</f>
        <v/>
      </c>
      <c r="R973">
        <f>IF($W973="","",COUNTIFS(상세표[사번키],INDEX(합계표[사번키],$W973),상세표[반영월],대상월키,상세표[야간당직],1,상세표[야간 구분],"평일"))</f>
        <v/>
      </c>
      <c r="S973" s="4">
        <f>IF($W973="","",COUNTIFS(상세표[사번키],INDEX(합계표[사번키],$W973),상세표[반영월],대상월키,상세표[야간당직],1,상세표[야간 구분],"휴일"))</f>
        <v/>
      </c>
      <c r="T973">
        <f>IF($W973="","",COUNTIFS(상세표[사번키],INDEX(합계표[사번키],$W973),상세표[반영월],대상월키,상세표[야간당직],1,상세표[야간 구분],"평일",상세표[반영 기관],"서울병원"))</f>
        <v/>
      </c>
      <c r="U973">
        <f>IF($W973="","",COUNTIFS(상세표[사번키],INDEX(합계표[사번키],$W973),상세표[반영월],대상월키,상세표[야간당직],1,상세표[야간 구분],"휴일",상세표[반영 기관],"서울병원"))</f>
        <v/>
      </c>
      <c r="V973">
        <f>IF($W973="","",IF(ISNUMBER(MATCH(INDEX(합계표[사번키],$W973)&amp;"|"&amp;대상월키,월별근무지표[키],0)),"직접 입력",IF($K973="—","—","기관명단")))</f>
        <v/>
      </c>
      <c r="W973">
        <f>IFERROR(MATCH(968,합계표[판정순번],0),"")</f>
        <v/>
      </c>
    </row>
    <row r="974">
      <c r="A974">
        <f>IF($W974="","",INDEX(합계표[사번],$W974)&amp;"")</f>
        <v/>
      </c>
      <c r="B974">
        <f>IF($W974="","",INDEX(합계표[성명],$W974)&amp;"")</f>
        <v/>
      </c>
      <c r="C974">
        <f>IF($W974="","",INDEX(합계표[부서],$W974)&amp;"")</f>
        <v/>
      </c>
      <c r="D974">
        <f>IF($W974="","",INDEX(합계표[직위(통합)],$W974)&amp;"")</f>
        <v/>
      </c>
      <c r="E974">
        <f>IF($W974="","",SUMIFS(합계표[시스템 합계],합계표[사번키],INDEX(합계표[사번키],$W974)))</f>
        <v/>
      </c>
      <c r="F974">
        <f>IF($W974="","",SUMIFS(상세표[기록 시간외],상세표[사번키],INDEX(합계표[사번키],$W974),상세표[기록월],대상월키))</f>
        <v/>
      </c>
      <c r="G974">
        <f>IF($W974="","",IF(ABS($E974-$F974)&lt;0.01,"일치","불일치(차이 "&amp;TEXT($F974-$E974,"0.00")&amp;")"))</f>
        <v/>
      </c>
      <c r="H974">
        <f>IF($W974="","",SUMIFS(상세표[기록 시간외],상세표[사번키],INDEX(합계표[사번키],$W974),상세표[기록월],대상월키,상세표[반영월],"&lt;&gt;"&amp;대상월키))</f>
        <v/>
      </c>
      <c r="I974">
        <f>IF($W974="","",SUMIFS(상세표[기록 시간외],상세표[사번키],INDEX(합계표[사번키],$W974),상세표[기록월],"&lt;&gt;"&amp;대상월키,상세표[반영월],대상월키))</f>
        <v/>
      </c>
      <c r="J974">
        <f>IF($W974="","",SUMIFS(상세표[기록 시간외],상세표[사번키],INDEX(합계표[사번키],$W974),상세표[반영월],대상월키))</f>
        <v/>
      </c>
      <c r="K974">
        <f>IF($W974="","",IFERROR(INDEX(월별근무지표[적용 급여병원],MATCH(INDEX(합계표[사번키],$W974)&amp;"|"&amp;대상월키,월별근무지표[키],0))&amp;"",IF(COUNTIF(기관표[사번키],INDEX(합계표[사번키],$W974))+COUNTIF(월별근무지표[사번키],INDEX(합계표[사번키],$W974))&gt;0,IFERROR(INDEX(기관표[급여지급병원(기준월)],MATCH(INDEX(합계표[사번키],$W974)&amp;"|"&amp;대상월키,기관표[키],0))&amp;"","—"),"—")))</f>
        <v/>
      </c>
      <c r="L974">
        <f>IF($W974="","",IF(NOT(COUNTIF(기관표[사번키],INDEX(합계표[사번키],$W974))+COUNTIF(월별근무지표[사번키],INDEX(합계표[사번키],$W974))&gt;0),"기관명단에 없음(다른 병원으로 발송)",IF($K974="—","대상월 기관명단 없음(추가 필요)",IF($K974="서울병원","해당","비해당"))))</f>
        <v/>
      </c>
      <c r="M974">
        <f>IF($W974="","",SUMIFS(상세표[06~07시],상세표[사번키],INDEX(합계표[사번키],$W974),상세표[반영월],대상월키,상세표[반영 기관],"서울병원"))</f>
        <v/>
      </c>
      <c r="N974">
        <f>IF($W974="","",SUMIFS(상세표[07~18시],상세표[사번키],INDEX(합계표[사번키],$W974),상세표[반영월],대상월키,상세표[반영 기관],"서울병원"))</f>
        <v/>
      </c>
      <c r="O974">
        <f>IF($W974="","",SUMIFS(상세표[18~22시],상세표[사번키],INDEX(합계표[사번키],$W974),상세표[반영월],대상월키,상세표[반영 기관],"서울병원"))</f>
        <v/>
      </c>
      <c r="P974">
        <f>IF($W974="","",SUMIFS(상세표[22~06시],상세표[사번키],INDEX(합계표[사번키],$W974),상세표[반영월],대상월키,상세표[반영 기관],"서울병원"))</f>
        <v/>
      </c>
      <c r="Q974">
        <f>IF($W974="","",SUM($M974:$P974))</f>
        <v/>
      </c>
      <c r="R974">
        <f>IF($W974="","",COUNTIFS(상세표[사번키],INDEX(합계표[사번키],$W974),상세표[반영월],대상월키,상세표[야간당직],1,상세표[야간 구분],"평일"))</f>
        <v/>
      </c>
      <c r="S974" s="4">
        <f>IF($W974="","",COUNTIFS(상세표[사번키],INDEX(합계표[사번키],$W974),상세표[반영월],대상월키,상세표[야간당직],1,상세표[야간 구분],"휴일"))</f>
        <v/>
      </c>
      <c r="T974">
        <f>IF($W974="","",COUNTIFS(상세표[사번키],INDEX(합계표[사번키],$W974),상세표[반영월],대상월키,상세표[야간당직],1,상세표[야간 구분],"평일",상세표[반영 기관],"서울병원"))</f>
        <v/>
      </c>
      <c r="U974">
        <f>IF($W974="","",COUNTIFS(상세표[사번키],INDEX(합계표[사번키],$W974),상세표[반영월],대상월키,상세표[야간당직],1,상세표[야간 구분],"휴일",상세표[반영 기관],"서울병원"))</f>
        <v/>
      </c>
      <c r="V974">
        <f>IF($W974="","",IF(ISNUMBER(MATCH(INDEX(합계표[사번키],$W974)&amp;"|"&amp;대상월키,월별근무지표[키],0)),"직접 입력",IF($K974="—","—","기관명단")))</f>
        <v/>
      </c>
      <c r="W974">
        <f>IFERROR(MATCH(969,합계표[판정순번],0),"")</f>
        <v/>
      </c>
    </row>
    <row r="975">
      <c r="A975">
        <f>IF($W975="","",INDEX(합계표[사번],$W975)&amp;"")</f>
        <v/>
      </c>
      <c r="B975">
        <f>IF($W975="","",INDEX(합계표[성명],$W975)&amp;"")</f>
        <v/>
      </c>
      <c r="C975">
        <f>IF($W975="","",INDEX(합계표[부서],$W975)&amp;"")</f>
        <v/>
      </c>
      <c r="D975">
        <f>IF($W975="","",INDEX(합계표[직위(통합)],$W975)&amp;"")</f>
        <v/>
      </c>
      <c r="E975">
        <f>IF($W975="","",SUMIFS(합계표[시스템 합계],합계표[사번키],INDEX(합계표[사번키],$W975)))</f>
        <v/>
      </c>
      <c r="F975">
        <f>IF($W975="","",SUMIFS(상세표[기록 시간외],상세표[사번키],INDEX(합계표[사번키],$W975),상세표[기록월],대상월키))</f>
        <v/>
      </c>
      <c r="G975">
        <f>IF($W975="","",IF(ABS($E975-$F975)&lt;0.01,"일치","불일치(차이 "&amp;TEXT($F975-$E975,"0.00")&amp;")"))</f>
        <v/>
      </c>
      <c r="H975">
        <f>IF($W975="","",SUMIFS(상세표[기록 시간외],상세표[사번키],INDEX(합계표[사번키],$W975),상세표[기록월],대상월키,상세표[반영월],"&lt;&gt;"&amp;대상월키))</f>
        <v/>
      </c>
      <c r="I975">
        <f>IF($W975="","",SUMIFS(상세표[기록 시간외],상세표[사번키],INDEX(합계표[사번키],$W975),상세표[기록월],"&lt;&gt;"&amp;대상월키,상세표[반영월],대상월키))</f>
        <v/>
      </c>
      <c r="J975">
        <f>IF($W975="","",SUMIFS(상세표[기록 시간외],상세표[사번키],INDEX(합계표[사번키],$W975),상세표[반영월],대상월키))</f>
        <v/>
      </c>
      <c r="K975">
        <f>IF($W975="","",IFERROR(INDEX(월별근무지표[적용 급여병원],MATCH(INDEX(합계표[사번키],$W975)&amp;"|"&amp;대상월키,월별근무지표[키],0))&amp;"",IF(COUNTIF(기관표[사번키],INDEX(합계표[사번키],$W975))+COUNTIF(월별근무지표[사번키],INDEX(합계표[사번키],$W975))&gt;0,IFERROR(INDEX(기관표[급여지급병원(기준월)],MATCH(INDEX(합계표[사번키],$W975)&amp;"|"&amp;대상월키,기관표[키],0))&amp;"","—"),"—")))</f>
        <v/>
      </c>
      <c r="L975">
        <f>IF($W975="","",IF(NOT(COUNTIF(기관표[사번키],INDEX(합계표[사번키],$W975))+COUNTIF(월별근무지표[사번키],INDEX(합계표[사번키],$W975))&gt;0),"기관명단에 없음(다른 병원으로 발송)",IF($K975="—","대상월 기관명단 없음(추가 필요)",IF($K975="서울병원","해당","비해당"))))</f>
        <v/>
      </c>
      <c r="M975">
        <f>IF($W975="","",SUMIFS(상세표[06~07시],상세표[사번키],INDEX(합계표[사번키],$W975),상세표[반영월],대상월키,상세표[반영 기관],"서울병원"))</f>
        <v/>
      </c>
      <c r="N975">
        <f>IF($W975="","",SUMIFS(상세표[07~18시],상세표[사번키],INDEX(합계표[사번키],$W975),상세표[반영월],대상월키,상세표[반영 기관],"서울병원"))</f>
        <v/>
      </c>
      <c r="O975">
        <f>IF($W975="","",SUMIFS(상세표[18~22시],상세표[사번키],INDEX(합계표[사번키],$W975),상세표[반영월],대상월키,상세표[반영 기관],"서울병원"))</f>
        <v/>
      </c>
      <c r="P975">
        <f>IF($W975="","",SUMIFS(상세표[22~06시],상세표[사번키],INDEX(합계표[사번키],$W975),상세표[반영월],대상월키,상세표[반영 기관],"서울병원"))</f>
        <v/>
      </c>
      <c r="Q975">
        <f>IF($W975="","",SUM($M975:$P975))</f>
        <v/>
      </c>
      <c r="R975">
        <f>IF($W975="","",COUNTIFS(상세표[사번키],INDEX(합계표[사번키],$W975),상세표[반영월],대상월키,상세표[야간당직],1,상세표[야간 구분],"평일"))</f>
        <v/>
      </c>
      <c r="S975" s="4">
        <f>IF($W975="","",COUNTIFS(상세표[사번키],INDEX(합계표[사번키],$W975),상세표[반영월],대상월키,상세표[야간당직],1,상세표[야간 구분],"휴일"))</f>
        <v/>
      </c>
      <c r="T975">
        <f>IF($W975="","",COUNTIFS(상세표[사번키],INDEX(합계표[사번키],$W975),상세표[반영월],대상월키,상세표[야간당직],1,상세표[야간 구분],"평일",상세표[반영 기관],"서울병원"))</f>
        <v/>
      </c>
      <c r="U975">
        <f>IF($W975="","",COUNTIFS(상세표[사번키],INDEX(합계표[사번키],$W975),상세표[반영월],대상월키,상세표[야간당직],1,상세표[야간 구분],"휴일",상세표[반영 기관],"서울병원"))</f>
        <v/>
      </c>
      <c r="V975">
        <f>IF($W975="","",IF(ISNUMBER(MATCH(INDEX(합계표[사번키],$W975)&amp;"|"&amp;대상월키,월별근무지표[키],0)),"직접 입력",IF($K975="—","—","기관명단")))</f>
        <v/>
      </c>
      <c r="W975">
        <f>IFERROR(MATCH(970,합계표[판정순번],0),"")</f>
        <v/>
      </c>
    </row>
    <row r="976">
      <c r="A976">
        <f>IF($W976="","",INDEX(합계표[사번],$W976)&amp;"")</f>
        <v/>
      </c>
      <c r="B976">
        <f>IF($W976="","",INDEX(합계표[성명],$W976)&amp;"")</f>
        <v/>
      </c>
      <c r="C976">
        <f>IF($W976="","",INDEX(합계표[부서],$W976)&amp;"")</f>
        <v/>
      </c>
      <c r="D976">
        <f>IF($W976="","",INDEX(합계표[직위(통합)],$W976)&amp;"")</f>
        <v/>
      </c>
      <c r="E976">
        <f>IF($W976="","",SUMIFS(합계표[시스템 합계],합계표[사번키],INDEX(합계표[사번키],$W976)))</f>
        <v/>
      </c>
      <c r="F976">
        <f>IF($W976="","",SUMIFS(상세표[기록 시간외],상세표[사번키],INDEX(합계표[사번키],$W976),상세표[기록월],대상월키))</f>
        <v/>
      </c>
      <c r="G976">
        <f>IF($W976="","",IF(ABS($E976-$F976)&lt;0.01,"일치","불일치(차이 "&amp;TEXT($F976-$E976,"0.00")&amp;")"))</f>
        <v/>
      </c>
      <c r="H976">
        <f>IF($W976="","",SUMIFS(상세표[기록 시간외],상세표[사번키],INDEX(합계표[사번키],$W976),상세표[기록월],대상월키,상세표[반영월],"&lt;&gt;"&amp;대상월키))</f>
        <v/>
      </c>
      <c r="I976">
        <f>IF($W976="","",SUMIFS(상세표[기록 시간외],상세표[사번키],INDEX(합계표[사번키],$W976),상세표[기록월],"&lt;&gt;"&amp;대상월키,상세표[반영월],대상월키))</f>
        <v/>
      </c>
      <c r="J976">
        <f>IF($W976="","",SUMIFS(상세표[기록 시간외],상세표[사번키],INDEX(합계표[사번키],$W976),상세표[반영월],대상월키))</f>
        <v/>
      </c>
      <c r="K976">
        <f>IF($W976="","",IFERROR(INDEX(월별근무지표[적용 급여병원],MATCH(INDEX(합계표[사번키],$W976)&amp;"|"&amp;대상월키,월별근무지표[키],0))&amp;"",IF(COUNTIF(기관표[사번키],INDEX(합계표[사번키],$W976))+COUNTIF(월별근무지표[사번키],INDEX(합계표[사번키],$W976))&gt;0,IFERROR(INDEX(기관표[급여지급병원(기준월)],MATCH(INDEX(합계표[사번키],$W976)&amp;"|"&amp;대상월키,기관표[키],0))&amp;"","—"),"—")))</f>
        <v/>
      </c>
      <c r="L976">
        <f>IF($W976="","",IF(NOT(COUNTIF(기관표[사번키],INDEX(합계표[사번키],$W976))+COUNTIF(월별근무지표[사번키],INDEX(합계표[사번키],$W976))&gt;0),"기관명단에 없음(다른 병원으로 발송)",IF($K976="—","대상월 기관명단 없음(추가 필요)",IF($K976="서울병원","해당","비해당"))))</f>
        <v/>
      </c>
      <c r="M976">
        <f>IF($W976="","",SUMIFS(상세표[06~07시],상세표[사번키],INDEX(합계표[사번키],$W976),상세표[반영월],대상월키,상세표[반영 기관],"서울병원"))</f>
        <v/>
      </c>
      <c r="N976">
        <f>IF($W976="","",SUMIFS(상세표[07~18시],상세표[사번키],INDEX(합계표[사번키],$W976),상세표[반영월],대상월키,상세표[반영 기관],"서울병원"))</f>
        <v/>
      </c>
      <c r="O976">
        <f>IF($W976="","",SUMIFS(상세표[18~22시],상세표[사번키],INDEX(합계표[사번키],$W976),상세표[반영월],대상월키,상세표[반영 기관],"서울병원"))</f>
        <v/>
      </c>
      <c r="P976">
        <f>IF($W976="","",SUMIFS(상세표[22~06시],상세표[사번키],INDEX(합계표[사번키],$W976),상세표[반영월],대상월키,상세표[반영 기관],"서울병원"))</f>
        <v/>
      </c>
      <c r="Q976">
        <f>IF($W976="","",SUM($M976:$P976))</f>
        <v/>
      </c>
      <c r="R976">
        <f>IF($W976="","",COUNTIFS(상세표[사번키],INDEX(합계표[사번키],$W976),상세표[반영월],대상월키,상세표[야간당직],1,상세표[야간 구분],"평일"))</f>
        <v/>
      </c>
      <c r="S976" s="4">
        <f>IF($W976="","",COUNTIFS(상세표[사번키],INDEX(합계표[사번키],$W976),상세표[반영월],대상월키,상세표[야간당직],1,상세표[야간 구분],"휴일"))</f>
        <v/>
      </c>
      <c r="T976">
        <f>IF($W976="","",COUNTIFS(상세표[사번키],INDEX(합계표[사번키],$W976),상세표[반영월],대상월키,상세표[야간당직],1,상세표[야간 구분],"평일",상세표[반영 기관],"서울병원"))</f>
        <v/>
      </c>
      <c r="U976">
        <f>IF($W976="","",COUNTIFS(상세표[사번키],INDEX(합계표[사번키],$W976),상세표[반영월],대상월키,상세표[야간당직],1,상세표[야간 구분],"휴일",상세표[반영 기관],"서울병원"))</f>
        <v/>
      </c>
      <c r="V976">
        <f>IF($W976="","",IF(ISNUMBER(MATCH(INDEX(합계표[사번키],$W976)&amp;"|"&amp;대상월키,월별근무지표[키],0)),"직접 입력",IF($K976="—","—","기관명단")))</f>
        <v/>
      </c>
      <c r="W976">
        <f>IFERROR(MATCH(971,합계표[판정순번],0),"")</f>
        <v/>
      </c>
    </row>
    <row r="977">
      <c r="A977">
        <f>IF($W977="","",INDEX(합계표[사번],$W977)&amp;"")</f>
        <v/>
      </c>
      <c r="B977">
        <f>IF($W977="","",INDEX(합계표[성명],$W977)&amp;"")</f>
        <v/>
      </c>
      <c r="C977">
        <f>IF($W977="","",INDEX(합계표[부서],$W977)&amp;"")</f>
        <v/>
      </c>
      <c r="D977">
        <f>IF($W977="","",INDEX(합계표[직위(통합)],$W977)&amp;"")</f>
        <v/>
      </c>
      <c r="E977">
        <f>IF($W977="","",SUMIFS(합계표[시스템 합계],합계표[사번키],INDEX(합계표[사번키],$W977)))</f>
        <v/>
      </c>
      <c r="F977">
        <f>IF($W977="","",SUMIFS(상세표[기록 시간외],상세표[사번키],INDEX(합계표[사번키],$W977),상세표[기록월],대상월키))</f>
        <v/>
      </c>
      <c r="G977">
        <f>IF($W977="","",IF(ABS($E977-$F977)&lt;0.01,"일치","불일치(차이 "&amp;TEXT($F977-$E977,"0.00")&amp;")"))</f>
        <v/>
      </c>
      <c r="H977">
        <f>IF($W977="","",SUMIFS(상세표[기록 시간외],상세표[사번키],INDEX(합계표[사번키],$W977),상세표[기록월],대상월키,상세표[반영월],"&lt;&gt;"&amp;대상월키))</f>
        <v/>
      </c>
      <c r="I977">
        <f>IF($W977="","",SUMIFS(상세표[기록 시간외],상세표[사번키],INDEX(합계표[사번키],$W977),상세표[기록월],"&lt;&gt;"&amp;대상월키,상세표[반영월],대상월키))</f>
        <v/>
      </c>
      <c r="J977">
        <f>IF($W977="","",SUMIFS(상세표[기록 시간외],상세표[사번키],INDEX(합계표[사번키],$W977),상세표[반영월],대상월키))</f>
        <v/>
      </c>
      <c r="K977">
        <f>IF($W977="","",IFERROR(INDEX(월별근무지표[적용 급여병원],MATCH(INDEX(합계표[사번키],$W977)&amp;"|"&amp;대상월키,월별근무지표[키],0))&amp;"",IF(COUNTIF(기관표[사번키],INDEX(합계표[사번키],$W977))+COUNTIF(월별근무지표[사번키],INDEX(합계표[사번키],$W977))&gt;0,IFERROR(INDEX(기관표[급여지급병원(기준월)],MATCH(INDEX(합계표[사번키],$W977)&amp;"|"&amp;대상월키,기관표[키],0))&amp;"","—"),"—")))</f>
        <v/>
      </c>
      <c r="L977">
        <f>IF($W977="","",IF(NOT(COUNTIF(기관표[사번키],INDEX(합계표[사번키],$W977))+COUNTIF(월별근무지표[사번키],INDEX(합계표[사번키],$W977))&gt;0),"기관명단에 없음(다른 병원으로 발송)",IF($K977="—","대상월 기관명단 없음(추가 필요)",IF($K977="서울병원","해당","비해당"))))</f>
        <v/>
      </c>
      <c r="M977">
        <f>IF($W977="","",SUMIFS(상세표[06~07시],상세표[사번키],INDEX(합계표[사번키],$W977),상세표[반영월],대상월키,상세표[반영 기관],"서울병원"))</f>
        <v/>
      </c>
      <c r="N977">
        <f>IF($W977="","",SUMIFS(상세표[07~18시],상세표[사번키],INDEX(합계표[사번키],$W977),상세표[반영월],대상월키,상세표[반영 기관],"서울병원"))</f>
        <v/>
      </c>
      <c r="O977">
        <f>IF($W977="","",SUMIFS(상세표[18~22시],상세표[사번키],INDEX(합계표[사번키],$W977),상세표[반영월],대상월키,상세표[반영 기관],"서울병원"))</f>
        <v/>
      </c>
      <c r="P977">
        <f>IF($W977="","",SUMIFS(상세표[22~06시],상세표[사번키],INDEX(합계표[사번키],$W977),상세표[반영월],대상월키,상세표[반영 기관],"서울병원"))</f>
        <v/>
      </c>
      <c r="Q977">
        <f>IF($W977="","",SUM($M977:$P977))</f>
        <v/>
      </c>
      <c r="R977">
        <f>IF($W977="","",COUNTIFS(상세표[사번키],INDEX(합계표[사번키],$W977),상세표[반영월],대상월키,상세표[야간당직],1,상세표[야간 구분],"평일"))</f>
        <v/>
      </c>
      <c r="S977" s="4">
        <f>IF($W977="","",COUNTIFS(상세표[사번키],INDEX(합계표[사번키],$W977),상세표[반영월],대상월키,상세표[야간당직],1,상세표[야간 구분],"휴일"))</f>
        <v/>
      </c>
      <c r="T977">
        <f>IF($W977="","",COUNTIFS(상세표[사번키],INDEX(합계표[사번키],$W977),상세표[반영월],대상월키,상세표[야간당직],1,상세표[야간 구분],"평일",상세표[반영 기관],"서울병원"))</f>
        <v/>
      </c>
      <c r="U977">
        <f>IF($W977="","",COUNTIFS(상세표[사번키],INDEX(합계표[사번키],$W977),상세표[반영월],대상월키,상세표[야간당직],1,상세표[야간 구분],"휴일",상세표[반영 기관],"서울병원"))</f>
        <v/>
      </c>
      <c r="V977">
        <f>IF($W977="","",IF(ISNUMBER(MATCH(INDEX(합계표[사번키],$W977)&amp;"|"&amp;대상월키,월별근무지표[키],0)),"직접 입력",IF($K977="—","—","기관명단")))</f>
        <v/>
      </c>
      <c r="W977">
        <f>IFERROR(MATCH(972,합계표[판정순번],0),"")</f>
        <v/>
      </c>
    </row>
    <row r="978">
      <c r="A978">
        <f>IF($W978="","",INDEX(합계표[사번],$W978)&amp;"")</f>
        <v/>
      </c>
      <c r="B978">
        <f>IF($W978="","",INDEX(합계표[성명],$W978)&amp;"")</f>
        <v/>
      </c>
      <c r="C978">
        <f>IF($W978="","",INDEX(합계표[부서],$W978)&amp;"")</f>
        <v/>
      </c>
      <c r="D978">
        <f>IF($W978="","",INDEX(합계표[직위(통합)],$W978)&amp;"")</f>
        <v/>
      </c>
      <c r="E978">
        <f>IF($W978="","",SUMIFS(합계표[시스템 합계],합계표[사번키],INDEX(합계표[사번키],$W978)))</f>
        <v/>
      </c>
      <c r="F978">
        <f>IF($W978="","",SUMIFS(상세표[기록 시간외],상세표[사번키],INDEX(합계표[사번키],$W978),상세표[기록월],대상월키))</f>
        <v/>
      </c>
      <c r="G978">
        <f>IF($W978="","",IF(ABS($E978-$F978)&lt;0.01,"일치","불일치(차이 "&amp;TEXT($F978-$E978,"0.00")&amp;")"))</f>
        <v/>
      </c>
      <c r="H978">
        <f>IF($W978="","",SUMIFS(상세표[기록 시간외],상세표[사번키],INDEX(합계표[사번키],$W978),상세표[기록월],대상월키,상세표[반영월],"&lt;&gt;"&amp;대상월키))</f>
        <v/>
      </c>
      <c r="I978">
        <f>IF($W978="","",SUMIFS(상세표[기록 시간외],상세표[사번키],INDEX(합계표[사번키],$W978),상세표[기록월],"&lt;&gt;"&amp;대상월키,상세표[반영월],대상월키))</f>
        <v/>
      </c>
      <c r="J978">
        <f>IF($W978="","",SUMIFS(상세표[기록 시간외],상세표[사번키],INDEX(합계표[사번키],$W978),상세표[반영월],대상월키))</f>
        <v/>
      </c>
      <c r="K978">
        <f>IF($W978="","",IFERROR(INDEX(월별근무지표[적용 급여병원],MATCH(INDEX(합계표[사번키],$W978)&amp;"|"&amp;대상월키,월별근무지표[키],0))&amp;"",IF(COUNTIF(기관표[사번키],INDEX(합계표[사번키],$W978))+COUNTIF(월별근무지표[사번키],INDEX(합계표[사번키],$W978))&gt;0,IFERROR(INDEX(기관표[급여지급병원(기준월)],MATCH(INDEX(합계표[사번키],$W978)&amp;"|"&amp;대상월키,기관표[키],0))&amp;"","—"),"—")))</f>
        <v/>
      </c>
      <c r="L978">
        <f>IF($W978="","",IF(NOT(COUNTIF(기관표[사번키],INDEX(합계표[사번키],$W978))+COUNTIF(월별근무지표[사번키],INDEX(합계표[사번키],$W978))&gt;0),"기관명단에 없음(다른 병원으로 발송)",IF($K978="—","대상월 기관명단 없음(추가 필요)",IF($K978="서울병원","해당","비해당"))))</f>
        <v/>
      </c>
      <c r="M978">
        <f>IF($W978="","",SUMIFS(상세표[06~07시],상세표[사번키],INDEX(합계표[사번키],$W978),상세표[반영월],대상월키,상세표[반영 기관],"서울병원"))</f>
        <v/>
      </c>
      <c r="N978">
        <f>IF($W978="","",SUMIFS(상세표[07~18시],상세표[사번키],INDEX(합계표[사번키],$W978),상세표[반영월],대상월키,상세표[반영 기관],"서울병원"))</f>
        <v/>
      </c>
      <c r="O978">
        <f>IF($W978="","",SUMIFS(상세표[18~22시],상세표[사번키],INDEX(합계표[사번키],$W978),상세표[반영월],대상월키,상세표[반영 기관],"서울병원"))</f>
        <v/>
      </c>
      <c r="P978">
        <f>IF($W978="","",SUMIFS(상세표[22~06시],상세표[사번키],INDEX(합계표[사번키],$W978),상세표[반영월],대상월키,상세표[반영 기관],"서울병원"))</f>
        <v/>
      </c>
      <c r="Q978">
        <f>IF($W978="","",SUM($M978:$P978))</f>
        <v/>
      </c>
      <c r="R978">
        <f>IF($W978="","",COUNTIFS(상세표[사번키],INDEX(합계표[사번키],$W978),상세표[반영월],대상월키,상세표[야간당직],1,상세표[야간 구분],"평일"))</f>
        <v/>
      </c>
      <c r="S978" s="4">
        <f>IF($W978="","",COUNTIFS(상세표[사번키],INDEX(합계표[사번키],$W978),상세표[반영월],대상월키,상세표[야간당직],1,상세표[야간 구분],"휴일"))</f>
        <v/>
      </c>
      <c r="T978">
        <f>IF($W978="","",COUNTIFS(상세표[사번키],INDEX(합계표[사번키],$W978),상세표[반영월],대상월키,상세표[야간당직],1,상세표[야간 구분],"평일",상세표[반영 기관],"서울병원"))</f>
        <v/>
      </c>
      <c r="U978">
        <f>IF($W978="","",COUNTIFS(상세표[사번키],INDEX(합계표[사번키],$W978),상세표[반영월],대상월키,상세표[야간당직],1,상세표[야간 구분],"휴일",상세표[반영 기관],"서울병원"))</f>
        <v/>
      </c>
      <c r="V978">
        <f>IF($W978="","",IF(ISNUMBER(MATCH(INDEX(합계표[사번키],$W978)&amp;"|"&amp;대상월키,월별근무지표[키],0)),"직접 입력",IF($K978="—","—","기관명단")))</f>
        <v/>
      </c>
      <c r="W978">
        <f>IFERROR(MATCH(973,합계표[판정순번],0),"")</f>
        <v/>
      </c>
    </row>
    <row r="979">
      <c r="A979">
        <f>IF($W979="","",INDEX(합계표[사번],$W979)&amp;"")</f>
        <v/>
      </c>
      <c r="B979">
        <f>IF($W979="","",INDEX(합계표[성명],$W979)&amp;"")</f>
        <v/>
      </c>
      <c r="C979">
        <f>IF($W979="","",INDEX(합계표[부서],$W979)&amp;"")</f>
        <v/>
      </c>
      <c r="D979">
        <f>IF($W979="","",INDEX(합계표[직위(통합)],$W979)&amp;"")</f>
        <v/>
      </c>
      <c r="E979">
        <f>IF($W979="","",SUMIFS(합계표[시스템 합계],합계표[사번키],INDEX(합계표[사번키],$W979)))</f>
        <v/>
      </c>
      <c r="F979">
        <f>IF($W979="","",SUMIFS(상세표[기록 시간외],상세표[사번키],INDEX(합계표[사번키],$W979),상세표[기록월],대상월키))</f>
        <v/>
      </c>
      <c r="G979">
        <f>IF($W979="","",IF(ABS($E979-$F979)&lt;0.01,"일치","불일치(차이 "&amp;TEXT($F979-$E979,"0.00")&amp;")"))</f>
        <v/>
      </c>
      <c r="H979">
        <f>IF($W979="","",SUMIFS(상세표[기록 시간외],상세표[사번키],INDEX(합계표[사번키],$W979),상세표[기록월],대상월키,상세표[반영월],"&lt;&gt;"&amp;대상월키))</f>
        <v/>
      </c>
      <c r="I979">
        <f>IF($W979="","",SUMIFS(상세표[기록 시간외],상세표[사번키],INDEX(합계표[사번키],$W979),상세표[기록월],"&lt;&gt;"&amp;대상월키,상세표[반영월],대상월키))</f>
        <v/>
      </c>
      <c r="J979">
        <f>IF($W979="","",SUMIFS(상세표[기록 시간외],상세표[사번키],INDEX(합계표[사번키],$W979),상세표[반영월],대상월키))</f>
        <v/>
      </c>
      <c r="K979">
        <f>IF($W979="","",IFERROR(INDEX(월별근무지표[적용 급여병원],MATCH(INDEX(합계표[사번키],$W979)&amp;"|"&amp;대상월키,월별근무지표[키],0))&amp;"",IF(COUNTIF(기관표[사번키],INDEX(합계표[사번키],$W979))+COUNTIF(월별근무지표[사번키],INDEX(합계표[사번키],$W979))&gt;0,IFERROR(INDEX(기관표[급여지급병원(기준월)],MATCH(INDEX(합계표[사번키],$W979)&amp;"|"&amp;대상월키,기관표[키],0))&amp;"","—"),"—")))</f>
        <v/>
      </c>
      <c r="L979">
        <f>IF($W979="","",IF(NOT(COUNTIF(기관표[사번키],INDEX(합계표[사번키],$W979))+COUNTIF(월별근무지표[사번키],INDEX(합계표[사번키],$W979))&gt;0),"기관명단에 없음(다른 병원으로 발송)",IF($K979="—","대상월 기관명단 없음(추가 필요)",IF($K979="서울병원","해당","비해당"))))</f>
        <v/>
      </c>
      <c r="M979">
        <f>IF($W979="","",SUMIFS(상세표[06~07시],상세표[사번키],INDEX(합계표[사번키],$W979),상세표[반영월],대상월키,상세표[반영 기관],"서울병원"))</f>
        <v/>
      </c>
      <c r="N979">
        <f>IF($W979="","",SUMIFS(상세표[07~18시],상세표[사번키],INDEX(합계표[사번키],$W979),상세표[반영월],대상월키,상세표[반영 기관],"서울병원"))</f>
        <v/>
      </c>
      <c r="O979">
        <f>IF($W979="","",SUMIFS(상세표[18~22시],상세표[사번키],INDEX(합계표[사번키],$W979),상세표[반영월],대상월키,상세표[반영 기관],"서울병원"))</f>
        <v/>
      </c>
      <c r="P979">
        <f>IF($W979="","",SUMIFS(상세표[22~06시],상세표[사번키],INDEX(합계표[사번키],$W979),상세표[반영월],대상월키,상세표[반영 기관],"서울병원"))</f>
        <v/>
      </c>
      <c r="Q979">
        <f>IF($W979="","",SUM($M979:$P979))</f>
        <v/>
      </c>
      <c r="R979">
        <f>IF($W979="","",COUNTIFS(상세표[사번키],INDEX(합계표[사번키],$W979),상세표[반영월],대상월키,상세표[야간당직],1,상세표[야간 구분],"평일"))</f>
        <v/>
      </c>
      <c r="S979" s="4">
        <f>IF($W979="","",COUNTIFS(상세표[사번키],INDEX(합계표[사번키],$W979),상세표[반영월],대상월키,상세표[야간당직],1,상세표[야간 구분],"휴일"))</f>
        <v/>
      </c>
      <c r="T979">
        <f>IF($W979="","",COUNTIFS(상세표[사번키],INDEX(합계표[사번키],$W979),상세표[반영월],대상월키,상세표[야간당직],1,상세표[야간 구분],"평일",상세표[반영 기관],"서울병원"))</f>
        <v/>
      </c>
      <c r="U979">
        <f>IF($W979="","",COUNTIFS(상세표[사번키],INDEX(합계표[사번키],$W979),상세표[반영월],대상월키,상세표[야간당직],1,상세표[야간 구분],"휴일",상세표[반영 기관],"서울병원"))</f>
        <v/>
      </c>
      <c r="V979">
        <f>IF($W979="","",IF(ISNUMBER(MATCH(INDEX(합계표[사번키],$W979)&amp;"|"&amp;대상월키,월별근무지표[키],0)),"직접 입력",IF($K979="—","—","기관명단")))</f>
        <v/>
      </c>
      <c r="W979">
        <f>IFERROR(MATCH(974,합계표[판정순번],0),"")</f>
        <v/>
      </c>
    </row>
    <row r="980">
      <c r="A980">
        <f>IF($W980="","",INDEX(합계표[사번],$W980)&amp;"")</f>
        <v/>
      </c>
      <c r="B980">
        <f>IF($W980="","",INDEX(합계표[성명],$W980)&amp;"")</f>
        <v/>
      </c>
      <c r="C980">
        <f>IF($W980="","",INDEX(합계표[부서],$W980)&amp;"")</f>
        <v/>
      </c>
      <c r="D980">
        <f>IF($W980="","",INDEX(합계표[직위(통합)],$W980)&amp;"")</f>
        <v/>
      </c>
      <c r="E980">
        <f>IF($W980="","",SUMIFS(합계표[시스템 합계],합계표[사번키],INDEX(합계표[사번키],$W980)))</f>
        <v/>
      </c>
      <c r="F980">
        <f>IF($W980="","",SUMIFS(상세표[기록 시간외],상세표[사번키],INDEX(합계표[사번키],$W980),상세표[기록월],대상월키))</f>
        <v/>
      </c>
      <c r="G980">
        <f>IF($W980="","",IF(ABS($E980-$F980)&lt;0.01,"일치","불일치(차이 "&amp;TEXT($F980-$E980,"0.00")&amp;")"))</f>
        <v/>
      </c>
      <c r="H980">
        <f>IF($W980="","",SUMIFS(상세표[기록 시간외],상세표[사번키],INDEX(합계표[사번키],$W980),상세표[기록월],대상월키,상세표[반영월],"&lt;&gt;"&amp;대상월키))</f>
        <v/>
      </c>
      <c r="I980">
        <f>IF($W980="","",SUMIFS(상세표[기록 시간외],상세표[사번키],INDEX(합계표[사번키],$W980),상세표[기록월],"&lt;&gt;"&amp;대상월키,상세표[반영월],대상월키))</f>
        <v/>
      </c>
      <c r="J980">
        <f>IF($W980="","",SUMIFS(상세표[기록 시간외],상세표[사번키],INDEX(합계표[사번키],$W980),상세표[반영월],대상월키))</f>
        <v/>
      </c>
      <c r="K980">
        <f>IF($W980="","",IFERROR(INDEX(월별근무지표[적용 급여병원],MATCH(INDEX(합계표[사번키],$W980)&amp;"|"&amp;대상월키,월별근무지표[키],0))&amp;"",IF(COUNTIF(기관표[사번키],INDEX(합계표[사번키],$W980))+COUNTIF(월별근무지표[사번키],INDEX(합계표[사번키],$W980))&gt;0,IFERROR(INDEX(기관표[급여지급병원(기준월)],MATCH(INDEX(합계표[사번키],$W980)&amp;"|"&amp;대상월키,기관표[키],0))&amp;"","—"),"—")))</f>
        <v/>
      </c>
      <c r="L980">
        <f>IF($W980="","",IF(NOT(COUNTIF(기관표[사번키],INDEX(합계표[사번키],$W980))+COUNTIF(월별근무지표[사번키],INDEX(합계표[사번키],$W980))&gt;0),"기관명단에 없음(다른 병원으로 발송)",IF($K980="—","대상월 기관명단 없음(추가 필요)",IF($K980="서울병원","해당","비해당"))))</f>
        <v/>
      </c>
      <c r="M980">
        <f>IF($W980="","",SUMIFS(상세표[06~07시],상세표[사번키],INDEX(합계표[사번키],$W980),상세표[반영월],대상월키,상세표[반영 기관],"서울병원"))</f>
        <v/>
      </c>
      <c r="N980">
        <f>IF($W980="","",SUMIFS(상세표[07~18시],상세표[사번키],INDEX(합계표[사번키],$W980),상세표[반영월],대상월키,상세표[반영 기관],"서울병원"))</f>
        <v/>
      </c>
      <c r="O980">
        <f>IF($W980="","",SUMIFS(상세표[18~22시],상세표[사번키],INDEX(합계표[사번키],$W980),상세표[반영월],대상월키,상세표[반영 기관],"서울병원"))</f>
        <v/>
      </c>
      <c r="P980">
        <f>IF($W980="","",SUMIFS(상세표[22~06시],상세표[사번키],INDEX(합계표[사번키],$W980),상세표[반영월],대상월키,상세표[반영 기관],"서울병원"))</f>
        <v/>
      </c>
      <c r="Q980">
        <f>IF($W980="","",SUM($M980:$P980))</f>
        <v/>
      </c>
      <c r="R980">
        <f>IF($W980="","",COUNTIFS(상세표[사번키],INDEX(합계표[사번키],$W980),상세표[반영월],대상월키,상세표[야간당직],1,상세표[야간 구분],"평일"))</f>
        <v/>
      </c>
      <c r="S980" s="4">
        <f>IF($W980="","",COUNTIFS(상세표[사번키],INDEX(합계표[사번키],$W980),상세표[반영월],대상월키,상세표[야간당직],1,상세표[야간 구분],"휴일"))</f>
        <v/>
      </c>
      <c r="T980">
        <f>IF($W980="","",COUNTIFS(상세표[사번키],INDEX(합계표[사번키],$W980),상세표[반영월],대상월키,상세표[야간당직],1,상세표[야간 구분],"평일",상세표[반영 기관],"서울병원"))</f>
        <v/>
      </c>
      <c r="U980">
        <f>IF($W980="","",COUNTIFS(상세표[사번키],INDEX(합계표[사번키],$W980),상세표[반영월],대상월키,상세표[야간당직],1,상세표[야간 구분],"휴일",상세표[반영 기관],"서울병원"))</f>
        <v/>
      </c>
      <c r="V980">
        <f>IF($W980="","",IF(ISNUMBER(MATCH(INDEX(합계표[사번키],$W980)&amp;"|"&amp;대상월키,월별근무지표[키],0)),"직접 입력",IF($K980="—","—","기관명단")))</f>
        <v/>
      </c>
      <c r="W980">
        <f>IFERROR(MATCH(975,합계표[판정순번],0),"")</f>
        <v/>
      </c>
    </row>
    <row r="981">
      <c r="A981">
        <f>IF($W981="","",INDEX(합계표[사번],$W981)&amp;"")</f>
        <v/>
      </c>
      <c r="B981">
        <f>IF($W981="","",INDEX(합계표[성명],$W981)&amp;"")</f>
        <v/>
      </c>
      <c r="C981">
        <f>IF($W981="","",INDEX(합계표[부서],$W981)&amp;"")</f>
        <v/>
      </c>
      <c r="D981">
        <f>IF($W981="","",INDEX(합계표[직위(통합)],$W981)&amp;"")</f>
        <v/>
      </c>
      <c r="E981">
        <f>IF($W981="","",SUMIFS(합계표[시스템 합계],합계표[사번키],INDEX(합계표[사번키],$W981)))</f>
        <v/>
      </c>
      <c r="F981">
        <f>IF($W981="","",SUMIFS(상세표[기록 시간외],상세표[사번키],INDEX(합계표[사번키],$W981),상세표[기록월],대상월키))</f>
        <v/>
      </c>
      <c r="G981">
        <f>IF($W981="","",IF(ABS($E981-$F981)&lt;0.01,"일치","불일치(차이 "&amp;TEXT($F981-$E981,"0.00")&amp;")"))</f>
        <v/>
      </c>
      <c r="H981">
        <f>IF($W981="","",SUMIFS(상세표[기록 시간외],상세표[사번키],INDEX(합계표[사번키],$W981),상세표[기록월],대상월키,상세표[반영월],"&lt;&gt;"&amp;대상월키))</f>
        <v/>
      </c>
      <c r="I981">
        <f>IF($W981="","",SUMIFS(상세표[기록 시간외],상세표[사번키],INDEX(합계표[사번키],$W981),상세표[기록월],"&lt;&gt;"&amp;대상월키,상세표[반영월],대상월키))</f>
        <v/>
      </c>
      <c r="J981">
        <f>IF($W981="","",SUMIFS(상세표[기록 시간외],상세표[사번키],INDEX(합계표[사번키],$W981),상세표[반영월],대상월키))</f>
        <v/>
      </c>
      <c r="K981">
        <f>IF($W981="","",IFERROR(INDEX(월별근무지표[적용 급여병원],MATCH(INDEX(합계표[사번키],$W981)&amp;"|"&amp;대상월키,월별근무지표[키],0))&amp;"",IF(COUNTIF(기관표[사번키],INDEX(합계표[사번키],$W981))+COUNTIF(월별근무지표[사번키],INDEX(합계표[사번키],$W981))&gt;0,IFERROR(INDEX(기관표[급여지급병원(기준월)],MATCH(INDEX(합계표[사번키],$W981)&amp;"|"&amp;대상월키,기관표[키],0))&amp;"","—"),"—")))</f>
        <v/>
      </c>
      <c r="L981">
        <f>IF($W981="","",IF(NOT(COUNTIF(기관표[사번키],INDEX(합계표[사번키],$W981))+COUNTIF(월별근무지표[사번키],INDEX(합계표[사번키],$W981))&gt;0),"기관명단에 없음(다른 병원으로 발송)",IF($K981="—","대상월 기관명단 없음(추가 필요)",IF($K981="서울병원","해당","비해당"))))</f>
        <v/>
      </c>
      <c r="M981">
        <f>IF($W981="","",SUMIFS(상세표[06~07시],상세표[사번키],INDEX(합계표[사번키],$W981),상세표[반영월],대상월키,상세표[반영 기관],"서울병원"))</f>
        <v/>
      </c>
      <c r="N981">
        <f>IF($W981="","",SUMIFS(상세표[07~18시],상세표[사번키],INDEX(합계표[사번키],$W981),상세표[반영월],대상월키,상세표[반영 기관],"서울병원"))</f>
        <v/>
      </c>
      <c r="O981">
        <f>IF($W981="","",SUMIFS(상세표[18~22시],상세표[사번키],INDEX(합계표[사번키],$W981),상세표[반영월],대상월키,상세표[반영 기관],"서울병원"))</f>
        <v/>
      </c>
      <c r="P981">
        <f>IF($W981="","",SUMIFS(상세표[22~06시],상세표[사번키],INDEX(합계표[사번키],$W981),상세표[반영월],대상월키,상세표[반영 기관],"서울병원"))</f>
        <v/>
      </c>
      <c r="Q981">
        <f>IF($W981="","",SUM($M981:$P981))</f>
        <v/>
      </c>
      <c r="R981">
        <f>IF($W981="","",COUNTIFS(상세표[사번키],INDEX(합계표[사번키],$W981),상세표[반영월],대상월키,상세표[야간당직],1,상세표[야간 구분],"평일"))</f>
        <v/>
      </c>
      <c r="S981" s="4">
        <f>IF($W981="","",COUNTIFS(상세표[사번키],INDEX(합계표[사번키],$W981),상세표[반영월],대상월키,상세표[야간당직],1,상세표[야간 구분],"휴일"))</f>
        <v/>
      </c>
      <c r="T981">
        <f>IF($W981="","",COUNTIFS(상세표[사번키],INDEX(합계표[사번키],$W981),상세표[반영월],대상월키,상세표[야간당직],1,상세표[야간 구분],"평일",상세표[반영 기관],"서울병원"))</f>
        <v/>
      </c>
      <c r="U981">
        <f>IF($W981="","",COUNTIFS(상세표[사번키],INDEX(합계표[사번키],$W981),상세표[반영월],대상월키,상세표[야간당직],1,상세표[야간 구분],"휴일",상세표[반영 기관],"서울병원"))</f>
        <v/>
      </c>
      <c r="V981">
        <f>IF($W981="","",IF(ISNUMBER(MATCH(INDEX(합계표[사번키],$W981)&amp;"|"&amp;대상월키,월별근무지표[키],0)),"직접 입력",IF($K981="—","—","기관명단")))</f>
        <v/>
      </c>
      <c r="W981">
        <f>IFERROR(MATCH(976,합계표[판정순번],0),"")</f>
        <v/>
      </c>
    </row>
    <row r="982">
      <c r="A982">
        <f>IF($W982="","",INDEX(합계표[사번],$W982)&amp;"")</f>
        <v/>
      </c>
      <c r="B982">
        <f>IF($W982="","",INDEX(합계표[성명],$W982)&amp;"")</f>
        <v/>
      </c>
      <c r="C982">
        <f>IF($W982="","",INDEX(합계표[부서],$W982)&amp;"")</f>
        <v/>
      </c>
      <c r="D982">
        <f>IF($W982="","",INDEX(합계표[직위(통합)],$W982)&amp;"")</f>
        <v/>
      </c>
      <c r="E982">
        <f>IF($W982="","",SUMIFS(합계표[시스템 합계],합계표[사번키],INDEX(합계표[사번키],$W982)))</f>
        <v/>
      </c>
      <c r="F982">
        <f>IF($W982="","",SUMIFS(상세표[기록 시간외],상세표[사번키],INDEX(합계표[사번키],$W982),상세표[기록월],대상월키))</f>
        <v/>
      </c>
      <c r="G982">
        <f>IF($W982="","",IF(ABS($E982-$F982)&lt;0.01,"일치","불일치(차이 "&amp;TEXT($F982-$E982,"0.00")&amp;")"))</f>
        <v/>
      </c>
      <c r="H982">
        <f>IF($W982="","",SUMIFS(상세표[기록 시간외],상세표[사번키],INDEX(합계표[사번키],$W982),상세표[기록월],대상월키,상세표[반영월],"&lt;&gt;"&amp;대상월키))</f>
        <v/>
      </c>
      <c r="I982">
        <f>IF($W982="","",SUMIFS(상세표[기록 시간외],상세표[사번키],INDEX(합계표[사번키],$W982),상세표[기록월],"&lt;&gt;"&amp;대상월키,상세표[반영월],대상월키))</f>
        <v/>
      </c>
      <c r="J982">
        <f>IF($W982="","",SUMIFS(상세표[기록 시간외],상세표[사번키],INDEX(합계표[사번키],$W982),상세표[반영월],대상월키))</f>
        <v/>
      </c>
      <c r="K982">
        <f>IF($W982="","",IFERROR(INDEX(월별근무지표[적용 급여병원],MATCH(INDEX(합계표[사번키],$W982)&amp;"|"&amp;대상월키,월별근무지표[키],0))&amp;"",IF(COUNTIF(기관표[사번키],INDEX(합계표[사번키],$W982))+COUNTIF(월별근무지표[사번키],INDEX(합계표[사번키],$W982))&gt;0,IFERROR(INDEX(기관표[급여지급병원(기준월)],MATCH(INDEX(합계표[사번키],$W982)&amp;"|"&amp;대상월키,기관표[키],0))&amp;"","—"),"—")))</f>
        <v/>
      </c>
      <c r="L982">
        <f>IF($W982="","",IF(NOT(COUNTIF(기관표[사번키],INDEX(합계표[사번키],$W982))+COUNTIF(월별근무지표[사번키],INDEX(합계표[사번키],$W982))&gt;0),"기관명단에 없음(다른 병원으로 발송)",IF($K982="—","대상월 기관명단 없음(추가 필요)",IF($K982="서울병원","해당","비해당"))))</f>
        <v/>
      </c>
      <c r="M982">
        <f>IF($W982="","",SUMIFS(상세표[06~07시],상세표[사번키],INDEX(합계표[사번키],$W982),상세표[반영월],대상월키,상세표[반영 기관],"서울병원"))</f>
        <v/>
      </c>
      <c r="N982">
        <f>IF($W982="","",SUMIFS(상세표[07~18시],상세표[사번키],INDEX(합계표[사번키],$W982),상세표[반영월],대상월키,상세표[반영 기관],"서울병원"))</f>
        <v/>
      </c>
      <c r="O982">
        <f>IF($W982="","",SUMIFS(상세표[18~22시],상세표[사번키],INDEX(합계표[사번키],$W982),상세표[반영월],대상월키,상세표[반영 기관],"서울병원"))</f>
        <v/>
      </c>
      <c r="P982">
        <f>IF($W982="","",SUMIFS(상세표[22~06시],상세표[사번키],INDEX(합계표[사번키],$W982),상세표[반영월],대상월키,상세표[반영 기관],"서울병원"))</f>
        <v/>
      </c>
      <c r="Q982">
        <f>IF($W982="","",SUM($M982:$P982))</f>
        <v/>
      </c>
      <c r="R982">
        <f>IF($W982="","",COUNTIFS(상세표[사번키],INDEX(합계표[사번키],$W982),상세표[반영월],대상월키,상세표[야간당직],1,상세표[야간 구분],"평일"))</f>
        <v/>
      </c>
      <c r="S982" s="4">
        <f>IF($W982="","",COUNTIFS(상세표[사번키],INDEX(합계표[사번키],$W982),상세표[반영월],대상월키,상세표[야간당직],1,상세표[야간 구분],"휴일"))</f>
        <v/>
      </c>
      <c r="T982">
        <f>IF($W982="","",COUNTIFS(상세표[사번키],INDEX(합계표[사번키],$W982),상세표[반영월],대상월키,상세표[야간당직],1,상세표[야간 구분],"평일",상세표[반영 기관],"서울병원"))</f>
        <v/>
      </c>
      <c r="U982">
        <f>IF($W982="","",COUNTIFS(상세표[사번키],INDEX(합계표[사번키],$W982),상세표[반영월],대상월키,상세표[야간당직],1,상세표[야간 구분],"휴일",상세표[반영 기관],"서울병원"))</f>
        <v/>
      </c>
      <c r="V982">
        <f>IF($W982="","",IF(ISNUMBER(MATCH(INDEX(합계표[사번키],$W982)&amp;"|"&amp;대상월키,월별근무지표[키],0)),"직접 입력",IF($K982="—","—","기관명단")))</f>
        <v/>
      </c>
      <c r="W982">
        <f>IFERROR(MATCH(977,합계표[판정순번],0),"")</f>
        <v/>
      </c>
    </row>
    <row r="983">
      <c r="A983">
        <f>IF($W983="","",INDEX(합계표[사번],$W983)&amp;"")</f>
        <v/>
      </c>
      <c r="B983">
        <f>IF($W983="","",INDEX(합계표[성명],$W983)&amp;"")</f>
        <v/>
      </c>
      <c r="C983">
        <f>IF($W983="","",INDEX(합계표[부서],$W983)&amp;"")</f>
        <v/>
      </c>
      <c r="D983">
        <f>IF($W983="","",INDEX(합계표[직위(통합)],$W983)&amp;"")</f>
        <v/>
      </c>
      <c r="E983">
        <f>IF($W983="","",SUMIFS(합계표[시스템 합계],합계표[사번키],INDEX(합계표[사번키],$W983)))</f>
        <v/>
      </c>
      <c r="F983">
        <f>IF($W983="","",SUMIFS(상세표[기록 시간외],상세표[사번키],INDEX(합계표[사번키],$W983),상세표[기록월],대상월키))</f>
        <v/>
      </c>
      <c r="G983">
        <f>IF($W983="","",IF(ABS($E983-$F983)&lt;0.01,"일치","불일치(차이 "&amp;TEXT($F983-$E983,"0.00")&amp;")"))</f>
        <v/>
      </c>
      <c r="H983">
        <f>IF($W983="","",SUMIFS(상세표[기록 시간외],상세표[사번키],INDEX(합계표[사번키],$W983),상세표[기록월],대상월키,상세표[반영월],"&lt;&gt;"&amp;대상월키))</f>
        <v/>
      </c>
      <c r="I983">
        <f>IF($W983="","",SUMIFS(상세표[기록 시간외],상세표[사번키],INDEX(합계표[사번키],$W983),상세표[기록월],"&lt;&gt;"&amp;대상월키,상세표[반영월],대상월키))</f>
        <v/>
      </c>
      <c r="J983">
        <f>IF($W983="","",SUMIFS(상세표[기록 시간외],상세표[사번키],INDEX(합계표[사번키],$W983),상세표[반영월],대상월키))</f>
        <v/>
      </c>
      <c r="K983">
        <f>IF($W983="","",IFERROR(INDEX(월별근무지표[적용 급여병원],MATCH(INDEX(합계표[사번키],$W983)&amp;"|"&amp;대상월키,월별근무지표[키],0))&amp;"",IF(COUNTIF(기관표[사번키],INDEX(합계표[사번키],$W983))+COUNTIF(월별근무지표[사번키],INDEX(합계표[사번키],$W983))&gt;0,IFERROR(INDEX(기관표[급여지급병원(기준월)],MATCH(INDEX(합계표[사번키],$W983)&amp;"|"&amp;대상월키,기관표[키],0))&amp;"","—"),"—")))</f>
        <v/>
      </c>
      <c r="L983">
        <f>IF($W983="","",IF(NOT(COUNTIF(기관표[사번키],INDEX(합계표[사번키],$W983))+COUNTIF(월별근무지표[사번키],INDEX(합계표[사번키],$W983))&gt;0),"기관명단에 없음(다른 병원으로 발송)",IF($K983="—","대상월 기관명단 없음(추가 필요)",IF($K983="서울병원","해당","비해당"))))</f>
        <v/>
      </c>
      <c r="M983">
        <f>IF($W983="","",SUMIFS(상세표[06~07시],상세표[사번키],INDEX(합계표[사번키],$W983),상세표[반영월],대상월키,상세표[반영 기관],"서울병원"))</f>
        <v/>
      </c>
      <c r="N983">
        <f>IF($W983="","",SUMIFS(상세표[07~18시],상세표[사번키],INDEX(합계표[사번키],$W983),상세표[반영월],대상월키,상세표[반영 기관],"서울병원"))</f>
        <v/>
      </c>
      <c r="O983">
        <f>IF($W983="","",SUMIFS(상세표[18~22시],상세표[사번키],INDEX(합계표[사번키],$W983),상세표[반영월],대상월키,상세표[반영 기관],"서울병원"))</f>
        <v/>
      </c>
      <c r="P983">
        <f>IF($W983="","",SUMIFS(상세표[22~06시],상세표[사번키],INDEX(합계표[사번키],$W983),상세표[반영월],대상월키,상세표[반영 기관],"서울병원"))</f>
        <v/>
      </c>
      <c r="Q983">
        <f>IF($W983="","",SUM($M983:$P983))</f>
        <v/>
      </c>
      <c r="R983">
        <f>IF($W983="","",COUNTIFS(상세표[사번키],INDEX(합계표[사번키],$W983),상세표[반영월],대상월키,상세표[야간당직],1,상세표[야간 구분],"평일"))</f>
        <v/>
      </c>
      <c r="S983" s="4">
        <f>IF($W983="","",COUNTIFS(상세표[사번키],INDEX(합계표[사번키],$W983),상세표[반영월],대상월키,상세표[야간당직],1,상세표[야간 구분],"휴일"))</f>
        <v/>
      </c>
      <c r="T983">
        <f>IF($W983="","",COUNTIFS(상세표[사번키],INDEX(합계표[사번키],$W983),상세표[반영월],대상월키,상세표[야간당직],1,상세표[야간 구분],"평일",상세표[반영 기관],"서울병원"))</f>
        <v/>
      </c>
      <c r="U983">
        <f>IF($W983="","",COUNTIFS(상세표[사번키],INDEX(합계표[사번키],$W983),상세표[반영월],대상월키,상세표[야간당직],1,상세표[야간 구분],"휴일",상세표[반영 기관],"서울병원"))</f>
        <v/>
      </c>
      <c r="V983">
        <f>IF($W983="","",IF(ISNUMBER(MATCH(INDEX(합계표[사번키],$W983)&amp;"|"&amp;대상월키,월별근무지표[키],0)),"직접 입력",IF($K983="—","—","기관명단")))</f>
        <v/>
      </c>
      <c r="W983">
        <f>IFERROR(MATCH(978,합계표[판정순번],0),"")</f>
        <v/>
      </c>
    </row>
    <row r="984">
      <c r="A984">
        <f>IF($W984="","",INDEX(합계표[사번],$W984)&amp;"")</f>
        <v/>
      </c>
      <c r="B984">
        <f>IF($W984="","",INDEX(합계표[성명],$W984)&amp;"")</f>
        <v/>
      </c>
      <c r="C984">
        <f>IF($W984="","",INDEX(합계표[부서],$W984)&amp;"")</f>
        <v/>
      </c>
      <c r="D984">
        <f>IF($W984="","",INDEX(합계표[직위(통합)],$W984)&amp;"")</f>
        <v/>
      </c>
      <c r="E984">
        <f>IF($W984="","",SUMIFS(합계표[시스템 합계],합계표[사번키],INDEX(합계표[사번키],$W984)))</f>
        <v/>
      </c>
      <c r="F984">
        <f>IF($W984="","",SUMIFS(상세표[기록 시간외],상세표[사번키],INDEX(합계표[사번키],$W984),상세표[기록월],대상월키))</f>
        <v/>
      </c>
      <c r="G984">
        <f>IF($W984="","",IF(ABS($E984-$F984)&lt;0.01,"일치","불일치(차이 "&amp;TEXT($F984-$E984,"0.00")&amp;")"))</f>
        <v/>
      </c>
      <c r="H984">
        <f>IF($W984="","",SUMIFS(상세표[기록 시간외],상세표[사번키],INDEX(합계표[사번키],$W984),상세표[기록월],대상월키,상세표[반영월],"&lt;&gt;"&amp;대상월키))</f>
        <v/>
      </c>
      <c r="I984">
        <f>IF($W984="","",SUMIFS(상세표[기록 시간외],상세표[사번키],INDEX(합계표[사번키],$W984),상세표[기록월],"&lt;&gt;"&amp;대상월키,상세표[반영월],대상월키))</f>
        <v/>
      </c>
      <c r="J984">
        <f>IF($W984="","",SUMIFS(상세표[기록 시간외],상세표[사번키],INDEX(합계표[사번키],$W984),상세표[반영월],대상월키))</f>
        <v/>
      </c>
      <c r="K984">
        <f>IF($W984="","",IFERROR(INDEX(월별근무지표[적용 급여병원],MATCH(INDEX(합계표[사번키],$W984)&amp;"|"&amp;대상월키,월별근무지표[키],0))&amp;"",IF(COUNTIF(기관표[사번키],INDEX(합계표[사번키],$W984))+COUNTIF(월별근무지표[사번키],INDEX(합계표[사번키],$W984))&gt;0,IFERROR(INDEX(기관표[급여지급병원(기준월)],MATCH(INDEX(합계표[사번키],$W984)&amp;"|"&amp;대상월키,기관표[키],0))&amp;"","—"),"—")))</f>
        <v/>
      </c>
      <c r="L984">
        <f>IF($W984="","",IF(NOT(COUNTIF(기관표[사번키],INDEX(합계표[사번키],$W984))+COUNTIF(월별근무지표[사번키],INDEX(합계표[사번키],$W984))&gt;0),"기관명단에 없음(다른 병원으로 발송)",IF($K984="—","대상월 기관명단 없음(추가 필요)",IF($K984="서울병원","해당","비해당"))))</f>
        <v/>
      </c>
      <c r="M984">
        <f>IF($W984="","",SUMIFS(상세표[06~07시],상세표[사번키],INDEX(합계표[사번키],$W984),상세표[반영월],대상월키,상세표[반영 기관],"서울병원"))</f>
        <v/>
      </c>
      <c r="N984">
        <f>IF($W984="","",SUMIFS(상세표[07~18시],상세표[사번키],INDEX(합계표[사번키],$W984),상세표[반영월],대상월키,상세표[반영 기관],"서울병원"))</f>
        <v/>
      </c>
      <c r="O984">
        <f>IF($W984="","",SUMIFS(상세표[18~22시],상세표[사번키],INDEX(합계표[사번키],$W984),상세표[반영월],대상월키,상세표[반영 기관],"서울병원"))</f>
        <v/>
      </c>
      <c r="P984">
        <f>IF($W984="","",SUMIFS(상세표[22~06시],상세표[사번키],INDEX(합계표[사번키],$W984),상세표[반영월],대상월키,상세표[반영 기관],"서울병원"))</f>
        <v/>
      </c>
      <c r="Q984">
        <f>IF($W984="","",SUM($M984:$P984))</f>
        <v/>
      </c>
      <c r="R984">
        <f>IF($W984="","",COUNTIFS(상세표[사번키],INDEX(합계표[사번키],$W984),상세표[반영월],대상월키,상세표[야간당직],1,상세표[야간 구분],"평일"))</f>
        <v/>
      </c>
      <c r="S984" s="4">
        <f>IF($W984="","",COUNTIFS(상세표[사번키],INDEX(합계표[사번키],$W984),상세표[반영월],대상월키,상세표[야간당직],1,상세표[야간 구분],"휴일"))</f>
        <v/>
      </c>
      <c r="T984">
        <f>IF($W984="","",COUNTIFS(상세표[사번키],INDEX(합계표[사번키],$W984),상세표[반영월],대상월키,상세표[야간당직],1,상세표[야간 구분],"평일",상세표[반영 기관],"서울병원"))</f>
        <v/>
      </c>
      <c r="U984">
        <f>IF($W984="","",COUNTIFS(상세표[사번키],INDEX(합계표[사번키],$W984),상세표[반영월],대상월키,상세표[야간당직],1,상세표[야간 구분],"휴일",상세표[반영 기관],"서울병원"))</f>
        <v/>
      </c>
      <c r="V984">
        <f>IF($W984="","",IF(ISNUMBER(MATCH(INDEX(합계표[사번키],$W984)&amp;"|"&amp;대상월키,월별근무지표[키],0)),"직접 입력",IF($K984="—","—","기관명단")))</f>
        <v/>
      </c>
      <c r="W984">
        <f>IFERROR(MATCH(979,합계표[판정순번],0),"")</f>
        <v/>
      </c>
    </row>
    <row r="985">
      <c r="A985">
        <f>IF($W985="","",INDEX(합계표[사번],$W985)&amp;"")</f>
        <v/>
      </c>
      <c r="B985">
        <f>IF($W985="","",INDEX(합계표[성명],$W985)&amp;"")</f>
        <v/>
      </c>
      <c r="C985">
        <f>IF($W985="","",INDEX(합계표[부서],$W985)&amp;"")</f>
        <v/>
      </c>
      <c r="D985">
        <f>IF($W985="","",INDEX(합계표[직위(통합)],$W985)&amp;"")</f>
        <v/>
      </c>
      <c r="E985">
        <f>IF($W985="","",SUMIFS(합계표[시스템 합계],합계표[사번키],INDEX(합계표[사번키],$W985)))</f>
        <v/>
      </c>
      <c r="F985">
        <f>IF($W985="","",SUMIFS(상세표[기록 시간외],상세표[사번키],INDEX(합계표[사번키],$W985),상세표[기록월],대상월키))</f>
        <v/>
      </c>
      <c r="G985">
        <f>IF($W985="","",IF(ABS($E985-$F985)&lt;0.01,"일치","불일치(차이 "&amp;TEXT($F985-$E985,"0.00")&amp;")"))</f>
        <v/>
      </c>
      <c r="H985">
        <f>IF($W985="","",SUMIFS(상세표[기록 시간외],상세표[사번키],INDEX(합계표[사번키],$W985),상세표[기록월],대상월키,상세표[반영월],"&lt;&gt;"&amp;대상월키))</f>
        <v/>
      </c>
      <c r="I985">
        <f>IF($W985="","",SUMIFS(상세표[기록 시간외],상세표[사번키],INDEX(합계표[사번키],$W985),상세표[기록월],"&lt;&gt;"&amp;대상월키,상세표[반영월],대상월키))</f>
        <v/>
      </c>
      <c r="J985">
        <f>IF($W985="","",SUMIFS(상세표[기록 시간외],상세표[사번키],INDEX(합계표[사번키],$W985),상세표[반영월],대상월키))</f>
        <v/>
      </c>
      <c r="K985">
        <f>IF($W985="","",IFERROR(INDEX(월별근무지표[적용 급여병원],MATCH(INDEX(합계표[사번키],$W985)&amp;"|"&amp;대상월키,월별근무지표[키],0))&amp;"",IF(COUNTIF(기관표[사번키],INDEX(합계표[사번키],$W985))+COUNTIF(월별근무지표[사번키],INDEX(합계표[사번키],$W985))&gt;0,IFERROR(INDEX(기관표[급여지급병원(기준월)],MATCH(INDEX(합계표[사번키],$W985)&amp;"|"&amp;대상월키,기관표[키],0))&amp;"","—"),"—")))</f>
        <v/>
      </c>
      <c r="L985">
        <f>IF($W985="","",IF(NOT(COUNTIF(기관표[사번키],INDEX(합계표[사번키],$W985))+COUNTIF(월별근무지표[사번키],INDEX(합계표[사번키],$W985))&gt;0),"기관명단에 없음(다른 병원으로 발송)",IF($K985="—","대상월 기관명단 없음(추가 필요)",IF($K985="서울병원","해당","비해당"))))</f>
        <v/>
      </c>
      <c r="M985">
        <f>IF($W985="","",SUMIFS(상세표[06~07시],상세표[사번키],INDEX(합계표[사번키],$W985),상세표[반영월],대상월키,상세표[반영 기관],"서울병원"))</f>
        <v/>
      </c>
      <c r="N985">
        <f>IF($W985="","",SUMIFS(상세표[07~18시],상세표[사번키],INDEX(합계표[사번키],$W985),상세표[반영월],대상월키,상세표[반영 기관],"서울병원"))</f>
        <v/>
      </c>
      <c r="O985">
        <f>IF($W985="","",SUMIFS(상세표[18~22시],상세표[사번키],INDEX(합계표[사번키],$W985),상세표[반영월],대상월키,상세표[반영 기관],"서울병원"))</f>
        <v/>
      </c>
      <c r="P985">
        <f>IF($W985="","",SUMIFS(상세표[22~06시],상세표[사번키],INDEX(합계표[사번키],$W985),상세표[반영월],대상월키,상세표[반영 기관],"서울병원"))</f>
        <v/>
      </c>
      <c r="Q985">
        <f>IF($W985="","",SUM($M985:$P985))</f>
        <v/>
      </c>
      <c r="R985">
        <f>IF($W985="","",COUNTIFS(상세표[사번키],INDEX(합계표[사번키],$W985),상세표[반영월],대상월키,상세표[야간당직],1,상세표[야간 구분],"평일"))</f>
        <v/>
      </c>
      <c r="S985" s="4">
        <f>IF($W985="","",COUNTIFS(상세표[사번키],INDEX(합계표[사번키],$W985),상세표[반영월],대상월키,상세표[야간당직],1,상세표[야간 구분],"휴일"))</f>
        <v/>
      </c>
      <c r="T985">
        <f>IF($W985="","",COUNTIFS(상세표[사번키],INDEX(합계표[사번키],$W985),상세표[반영월],대상월키,상세표[야간당직],1,상세표[야간 구분],"평일",상세표[반영 기관],"서울병원"))</f>
        <v/>
      </c>
      <c r="U985">
        <f>IF($W985="","",COUNTIFS(상세표[사번키],INDEX(합계표[사번키],$W985),상세표[반영월],대상월키,상세표[야간당직],1,상세표[야간 구분],"휴일",상세표[반영 기관],"서울병원"))</f>
        <v/>
      </c>
      <c r="V985">
        <f>IF($W985="","",IF(ISNUMBER(MATCH(INDEX(합계표[사번키],$W985)&amp;"|"&amp;대상월키,월별근무지표[키],0)),"직접 입력",IF($K985="—","—","기관명단")))</f>
        <v/>
      </c>
      <c r="W985">
        <f>IFERROR(MATCH(980,합계표[판정순번],0),"")</f>
        <v/>
      </c>
    </row>
    <row r="986">
      <c r="A986">
        <f>IF($W986="","",INDEX(합계표[사번],$W986)&amp;"")</f>
        <v/>
      </c>
      <c r="B986">
        <f>IF($W986="","",INDEX(합계표[성명],$W986)&amp;"")</f>
        <v/>
      </c>
      <c r="C986">
        <f>IF($W986="","",INDEX(합계표[부서],$W986)&amp;"")</f>
        <v/>
      </c>
      <c r="D986">
        <f>IF($W986="","",INDEX(합계표[직위(통합)],$W986)&amp;"")</f>
        <v/>
      </c>
      <c r="E986">
        <f>IF($W986="","",SUMIFS(합계표[시스템 합계],합계표[사번키],INDEX(합계표[사번키],$W986)))</f>
        <v/>
      </c>
      <c r="F986">
        <f>IF($W986="","",SUMIFS(상세표[기록 시간외],상세표[사번키],INDEX(합계표[사번키],$W986),상세표[기록월],대상월키))</f>
        <v/>
      </c>
      <c r="G986">
        <f>IF($W986="","",IF(ABS($E986-$F986)&lt;0.01,"일치","불일치(차이 "&amp;TEXT($F986-$E986,"0.00")&amp;")"))</f>
        <v/>
      </c>
      <c r="H986">
        <f>IF($W986="","",SUMIFS(상세표[기록 시간외],상세표[사번키],INDEX(합계표[사번키],$W986),상세표[기록월],대상월키,상세표[반영월],"&lt;&gt;"&amp;대상월키))</f>
        <v/>
      </c>
      <c r="I986">
        <f>IF($W986="","",SUMIFS(상세표[기록 시간외],상세표[사번키],INDEX(합계표[사번키],$W986),상세표[기록월],"&lt;&gt;"&amp;대상월키,상세표[반영월],대상월키))</f>
        <v/>
      </c>
      <c r="J986">
        <f>IF($W986="","",SUMIFS(상세표[기록 시간외],상세표[사번키],INDEX(합계표[사번키],$W986),상세표[반영월],대상월키))</f>
        <v/>
      </c>
      <c r="K986">
        <f>IF($W986="","",IFERROR(INDEX(월별근무지표[적용 급여병원],MATCH(INDEX(합계표[사번키],$W986)&amp;"|"&amp;대상월키,월별근무지표[키],0))&amp;"",IF(COUNTIF(기관표[사번키],INDEX(합계표[사번키],$W986))+COUNTIF(월별근무지표[사번키],INDEX(합계표[사번키],$W986))&gt;0,IFERROR(INDEX(기관표[급여지급병원(기준월)],MATCH(INDEX(합계표[사번키],$W986)&amp;"|"&amp;대상월키,기관표[키],0))&amp;"","—"),"—")))</f>
        <v/>
      </c>
      <c r="L986">
        <f>IF($W986="","",IF(NOT(COUNTIF(기관표[사번키],INDEX(합계표[사번키],$W986))+COUNTIF(월별근무지표[사번키],INDEX(합계표[사번키],$W986))&gt;0),"기관명단에 없음(다른 병원으로 발송)",IF($K986="—","대상월 기관명단 없음(추가 필요)",IF($K986="서울병원","해당","비해당"))))</f>
        <v/>
      </c>
      <c r="M986">
        <f>IF($W986="","",SUMIFS(상세표[06~07시],상세표[사번키],INDEX(합계표[사번키],$W986),상세표[반영월],대상월키,상세표[반영 기관],"서울병원"))</f>
        <v/>
      </c>
      <c r="N986">
        <f>IF($W986="","",SUMIFS(상세표[07~18시],상세표[사번키],INDEX(합계표[사번키],$W986),상세표[반영월],대상월키,상세표[반영 기관],"서울병원"))</f>
        <v/>
      </c>
      <c r="O986">
        <f>IF($W986="","",SUMIFS(상세표[18~22시],상세표[사번키],INDEX(합계표[사번키],$W986),상세표[반영월],대상월키,상세표[반영 기관],"서울병원"))</f>
        <v/>
      </c>
      <c r="P986">
        <f>IF($W986="","",SUMIFS(상세표[22~06시],상세표[사번키],INDEX(합계표[사번키],$W986),상세표[반영월],대상월키,상세표[반영 기관],"서울병원"))</f>
        <v/>
      </c>
      <c r="Q986">
        <f>IF($W986="","",SUM($M986:$P986))</f>
        <v/>
      </c>
      <c r="R986">
        <f>IF($W986="","",COUNTIFS(상세표[사번키],INDEX(합계표[사번키],$W986),상세표[반영월],대상월키,상세표[야간당직],1,상세표[야간 구분],"평일"))</f>
        <v/>
      </c>
      <c r="S986" s="4">
        <f>IF($W986="","",COUNTIFS(상세표[사번키],INDEX(합계표[사번키],$W986),상세표[반영월],대상월키,상세표[야간당직],1,상세표[야간 구분],"휴일"))</f>
        <v/>
      </c>
      <c r="T986">
        <f>IF($W986="","",COUNTIFS(상세표[사번키],INDEX(합계표[사번키],$W986),상세표[반영월],대상월키,상세표[야간당직],1,상세표[야간 구분],"평일",상세표[반영 기관],"서울병원"))</f>
        <v/>
      </c>
      <c r="U986">
        <f>IF($W986="","",COUNTIFS(상세표[사번키],INDEX(합계표[사번키],$W986),상세표[반영월],대상월키,상세표[야간당직],1,상세표[야간 구분],"휴일",상세표[반영 기관],"서울병원"))</f>
        <v/>
      </c>
      <c r="V986">
        <f>IF($W986="","",IF(ISNUMBER(MATCH(INDEX(합계표[사번키],$W986)&amp;"|"&amp;대상월키,월별근무지표[키],0)),"직접 입력",IF($K986="—","—","기관명단")))</f>
        <v/>
      </c>
      <c r="W986">
        <f>IFERROR(MATCH(981,합계표[판정순번],0),"")</f>
        <v/>
      </c>
    </row>
    <row r="987">
      <c r="A987">
        <f>IF($W987="","",INDEX(합계표[사번],$W987)&amp;"")</f>
        <v/>
      </c>
      <c r="B987">
        <f>IF($W987="","",INDEX(합계표[성명],$W987)&amp;"")</f>
        <v/>
      </c>
      <c r="C987">
        <f>IF($W987="","",INDEX(합계표[부서],$W987)&amp;"")</f>
        <v/>
      </c>
      <c r="D987">
        <f>IF($W987="","",INDEX(합계표[직위(통합)],$W987)&amp;"")</f>
        <v/>
      </c>
      <c r="E987">
        <f>IF($W987="","",SUMIFS(합계표[시스템 합계],합계표[사번키],INDEX(합계표[사번키],$W987)))</f>
        <v/>
      </c>
      <c r="F987">
        <f>IF($W987="","",SUMIFS(상세표[기록 시간외],상세표[사번키],INDEX(합계표[사번키],$W987),상세표[기록월],대상월키))</f>
        <v/>
      </c>
      <c r="G987">
        <f>IF($W987="","",IF(ABS($E987-$F987)&lt;0.01,"일치","불일치(차이 "&amp;TEXT($F987-$E987,"0.00")&amp;")"))</f>
        <v/>
      </c>
      <c r="H987">
        <f>IF($W987="","",SUMIFS(상세표[기록 시간외],상세표[사번키],INDEX(합계표[사번키],$W987),상세표[기록월],대상월키,상세표[반영월],"&lt;&gt;"&amp;대상월키))</f>
        <v/>
      </c>
      <c r="I987">
        <f>IF($W987="","",SUMIFS(상세표[기록 시간외],상세표[사번키],INDEX(합계표[사번키],$W987),상세표[기록월],"&lt;&gt;"&amp;대상월키,상세표[반영월],대상월키))</f>
        <v/>
      </c>
      <c r="J987">
        <f>IF($W987="","",SUMIFS(상세표[기록 시간외],상세표[사번키],INDEX(합계표[사번키],$W987),상세표[반영월],대상월키))</f>
        <v/>
      </c>
      <c r="K987">
        <f>IF($W987="","",IFERROR(INDEX(월별근무지표[적용 급여병원],MATCH(INDEX(합계표[사번키],$W987)&amp;"|"&amp;대상월키,월별근무지표[키],0))&amp;"",IF(COUNTIF(기관표[사번키],INDEX(합계표[사번키],$W987))+COUNTIF(월별근무지표[사번키],INDEX(합계표[사번키],$W987))&gt;0,IFERROR(INDEX(기관표[급여지급병원(기준월)],MATCH(INDEX(합계표[사번키],$W987)&amp;"|"&amp;대상월키,기관표[키],0))&amp;"","—"),"—")))</f>
        <v/>
      </c>
      <c r="L987">
        <f>IF($W987="","",IF(NOT(COUNTIF(기관표[사번키],INDEX(합계표[사번키],$W987))+COUNTIF(월별근무지표[사번키],INDEX(합계표[사번키],$W987))&gt;0),"기관명단에 없음(다른 병원으로 발송)",IF($K987="—","대상월 기관명단 없음(추가 필요)",IF($K987="서울병원","해당","비해당"))))</f>
        <v/>
      </c>
      <c r="M987">
        <f>IF($W987="","",SUMIFS(상세표[06~07시],상세표[사번키],INDEX(합계표[사번키],$W987),상세표[반영월],대상월키,상세표[반영 기관],"서울병원"))</f>
        <v/>
      </c>
      <c r="N987">
        <f>IF($W987="","",SUMIFS(상세표[07~18시],상세표[사번키],INDEX(합계표[사번키],$W987),상세표[반영월],대상월키,상세표[반영 기관],"서울병원"))</f>
        <v/>
      </c>
      <c r="O987">
        <f>IF($W987="","",SUMIFS(상세표[18~22시],상세표[사번키],INDEX(합계표[사번키],$W987),상세표[반영월],대상월키,상세표[반영 기관],"서울병원"))</f>
        <v/>
      </c>
      <c r="P987">
        <f>IF($W987="","",SUMIFS(상세표[22~06시],상세표[사번키],INDEX(합계표[사번키],$W987),상세표[반영월],대상월키,상세표[반영 기관],"서울병원"))</f>
        <v/>
      </c>
      <c r="Q987">
        <f>IF($W987="","",SUM($M987:$P987))</f>
        <v/>
      </c>
      <c r="R987">
        <f>IF($W987="","",COUNTIFS(상세표[사번키],INDEX(합계표[사번키],$W987),상세표[반영월],대상월키,상세표[야간당직],1,상세표[야간 구분],"평일"))</f>
        <v/>
      </c>
      <c r="S987" s="4">
        <f>IF($W987="","",COUNTIFS(상세표[사번키],INDEX(합계표[사번키],$W987),상세표[반영월],대상월키,상세표[야간당직],1,상세표[야간 구분],"휴일"))</f>
        <v/>
      </c>
      <c r="T987">
        <f>IF($W987="","",COUNTIFS(상세표[사번키],INDEX(합계표[사번키],$W987),상세표[반영월],대상월키,상세표[야간당직],1,상세표[야간 구분],"평일",상세표[반영 기관],"서울병원"))</f>
        <v/>
      </c>
      <c r="U987">
        <f>IF($W987="","",COUNTIFS(상세표[사번키],INDEX(합계표[사번키],$W987),상세표[반영월],대상월키,상세표[야간당직],1,상세표[야간 구분],"휴일",상세표[반영 기관],"서울병원"))</f>
        <v/>
      </c>
      <c r="V987">
        <f>IF($W987="","",IF(ISNUMBER(MATCH(INDEX(합계표[사번키],$W987)&amp;"|"&amp;대상월키,월별근무지표[키],0)),"직접 입력",IF($K987="—","—","기관명단")))</f>
        <v/>
      </c>
      <c r="W987">
        <f>IFERROR(MATCH(982,합계표[판정순번],0),"")</f>
        <v/>
      </c>
    </row>
    <row r="988">
      <c r="A988">
        <f>IF($W988="","",INDEX(합계표[사번],$W988)&amp;"")</f>
        <v/>
      </c>
      <c r="B988">
        <f>IF($W988="","",INDEX(합계표[성명],$W988)&amp;"")</f>
        <v/>
      </c>
      <c r="C988">
        <f>IF($W988="","",INDEX(합계표[부서],$W988)&amp;"")</f>
        <v/>
      </c>
      <c r="D988">
        <f>IF($W988="","",INDEX(합계표[직위(통합)],$W988)&amp;"")</f>
        <v/>
      </c>
      <c r="E988">
        <f>IF($W988="","",SUMIFS(합계표[시스템 합계],합계표[사번키],INDEX(합계표[사번키],$W988)))</f>
        <v/>
      </c>
      <c r="F988">
        <f>IF($W988="","",SUMIFS(상세표[기록 시간외],상세표[사번키],INDEX(합계표[사번키],$W988),상세표[기록월],대상월키))</f>
        <v/>
      </c>
      <c r="G988">
        <f>IF($W988="","",IF(ABS($E988-$F988)&lt;0.01,"일치","불일치(차이 "&amp;TEXT($F988-$E988,"0.00")&amp;")"))</f>
        <v/>
      </c>
      <c r="H988">
        <f>IF($W988="","",SUMIFS(상세표[기록 시간외],상세표[사번키],INDEX(합계표[사번키],$W988),상세표[기록월],대상월키,상세표[반영월],"&lt;&gt;"&amp;대상월키))</f>
        <v/>
      </c>
      <c r="I988">
        <f>IF($W988="","",SUMIFS(상세표[기록 시간외],상세표[사번키],INDEX(합계표[사번키],$W988),상세표[기록월],"&lt;&gt;"&amp;대상월키,상세표[반영월],대상월키))</f>
        <v/>
      </c>
      <c r="J988">
        <f>IF($W988="","",SUMIFS(상세표[기록 시간외],상세표[사번키],INDEX(합계표[사번키],$W988),상세표[반영월],대상월키))</f>
        <v/>
      </c>
      <c r="K988">
        <f>IF($W988="","",IFERROR(INDEX(월별근무지표[적용 급여병원],MATCH(INDEX(합계표[사번키],$W988)&amp;"|"&amp;대상월키,월별근무지표[키],0))&amp;"",IF(COUNTIF(기관표[사번키],INDEX(합계표[사번키],$W988))+COUNTIF(월별근무지표[사번키],INDEX(합계표[사번키],$W988))&gt;0,IFERROR(INDEX(기관표[급여지급병원(기준월)],MATCH(INDEX(합계표[사번키],$W988)&amp;"|"&amp;대상월키,기관표[키],0))&amp;"","—"),"—")))</f>
        <v/>
      </c>
      <c r="L988">
        <f>IF($W988="","",IF(NOT(COUNTIF(기관표[사번키],INDEX(합계표[사번키],$W988))+COUNTIF(월별근무지표[사번키],INDEX(합계표[사번키],$W988))&gt;0),"기관명단에 없음(다른 병원으로 발송)",IF($K988="—","대상월 기관명단 없음(추가 필요)",IF($K988="서울병원","해당","비해당"))))</f>
        <v/>
      </c>
      <c r="M988">
        <f>IF($W988="","",SUMIFS(상세표[06~07시],상세표[사번키],INDEX(합계표[사번키],$W988),상세표[반영월],대상월키,상세표[반영 기관],"서울병원"))</f>
        <v/>
      </c>
      <c r="N988">
        <f>IF($W988="","",SUMIFS(상세표[07~18시],상세표[사번키],INDEX(합계표[사번키],$W988),상세표[반영월],대상월키,상세표[반영 기관],"서울병원"))</f>
        <v/>
      </c>
      <c r="O988">
        <f>IF($W988="","",SUMIFS(상세표[18~22시],상세표[사번키],INDEX(합계표[사번키],$W988),상세표[반영월],대상월키,상세표[반영 기관],"서울병원"))</f>
        <v/>
      </c>
      <c r="P988">
        <f>IF($W988="","",SUMIFS(상세표[22~06시],상세표[사번키],INDEX(합계표[사번키],$W988),상세표[반영월],대상월키,상세표[반영 기관],"서울병원"))</f>
        <v/>
      </c>
      <c r="Q988">
        <f>IF($W988="","",SUM($M988:$P988))</f>
        <v/>
      </c>
      <c r="R988">
        <f>IF($W988="","",COUNTIFS(상세표[사번키],INDEX(합계표[사번키],$W988),상세표[반영월],대상월키,상세표[야간당직],1,상세표[야간 구분],"평일"))</f>
        <v/>
      </c>
      <c r="S988" s="4">
        <f>IF($W988="","",COUNTIFS(상세표[사번키],INDEX(합계표[사번키],$W988),상세표[반영월],대상월키,상세표[야간당직],1,상세표[야간 구분],"휴일"))</f>
        <v/>
      </c>
      <c r="T988">
        <f>IF($W988="","",COUNTIFS(상세표[사번키],INDEX(합계표[사번키],$W988),상세표[반영월],대상월키,상세표[야간당직],1,상세표[야간 구분],"평일",상세표[반영 기관],"서울병원"))</f>
        <v/>
      </c>
      <c r="U988">
        <f>IF($W988="","",COUNTIFS(상세표[사번키],INDEX(합계표[사번키],$W988),상세표[반영월],대상월키,상세표[야간당직],1,상세표[야간 구분],"휴일",상세표[반영 기관],"서울병원"))</f>
        <v/>
      </c>
      <c r="V988">
        <f>IF($W988="","",IF(ISNUMBER(MATCH(INDEX(합계표[사번키],$W988)&amp;"|"&amp;대상월키,월별근무지표[키],0)),"직접 입력",IF($K988="—","—","기관명단")))</f>
        <v/>
      </c>
      <c r="W988">
        <f>IFERROR(MATCH(983,합계표[판정순번],0),"")</f>
        <v/>
      </c>
    </row>
    <row r="989">
      <c r="A989">
        <f>IF($W989="","",INDEX(합계표[사번],$W989)&amp;"")</f>
        <v/>
      </c>
      <c r="B989">
        <f>IF($W989="","",INDEX(합계표[성명],$W989)&amp;"")</f>
        <v/>
      </c>
      <c r="C989">
        <f>IF($W989="","",INDEX(합계표[부서],$W989)&amp;"")</f>
        <v/>
      </c>
      <c r="D989">
        <f>IF($W989="","",INDEX(합계표[직위(통합)],$W989)&amp;"")</f>
        <v/>
      </c>
      <c r="E989">
        <f>IF($W989="","",SUMIFS(합계표[시스템 합계],합계표[사번키],INDEX(합계표[사번키],$W989)))</f>
        <v/>
      </c>
      <c r="F989">
        <f>IF($W989="","",SUMIFS(상세표[기록 시간외],상세표[사번키],INDEX(합계표[사번키],$W989),상세표[기록월],대상월키))</f>
        <v/>
      </c>
      <c r="G989">
        <f>IF($W989="","",IF(ABS($E989-$F989)&lt;0.01,"일치","불일치(차이 "&amp;TEXT($F989-$E989,"0.00")&amp;")"))</f>
        <v/>
      </c>
      <c r="H989">
        <f>IF($W989="","",SUMIFS(상세표[기록 시간외],상세표[사번키],INDEX(합계표[사번키],$W989),상세표[기록월],대상월키,상세표[반영월],"&lt;&gt;"&amp;대상월키))</f>
        <v/>
      </c>
      <c r="I989">
        <f>IF($W989="","",SUMIFS(상세표[기록 시간외],상세표[사번키],INDEX(합계표[사번키],$W989),상세표[기록월],"&lt;&gt;"&amp;대상월키,상세표[반영월],대상월키))</f>
        <v/>
      </c>
      <c r="J989">
        <f>IF($W989="","",SUMIFS(상세표[기록 시간외],상세표[사번키],INDEX(합계표[사번키],$W989),상세표[반영월],대상월키))</f>
        <v/>
      </c>
      <c r="K989">
        <f>IF($W989="","",IFERROR(INDEX(월별근무지표[적용 급여병원],MATCH(INDEX(합계표[사번키],$W989)&amp;"|"&amp;대상월키,월별근무지표[키],0))&amp;"",IF(COUNTIF(기관표[사번키],INDEX(합계표[사번키],$W989))+COUNTIF(월별근무지표[사번키],INDEX(합계표[사번키],$W989))&gt;0,IFERROR(INDEX(기관표[급여지급병원(기준월)],MATCH(INDEX(합계표[사번키],$W989)&amp;"|"&amp;대상월키,기관표[키],0))&amp;"","—"),"—")))</f>
        <v/>
      </c>
      <c r="L989">
        <f>IF($W989="","",IF(NOT(COUNTIF(기관표[사번키],INDEX(합계표[사번키],$W989))+COUNTIF(월별근무지표[사번키],INDEX(합계표[사번키],$W989))&gt;0),"기관명단에 없음(다른 병원으로 발송)",IF($K989="—","대상월 기관명단 없음(추가 필요)",IF($K989="서울병원","해당","비해당"))))</f>
        <v/>
      </c>
      <c r="M989">
        <f>IF($W989="","",SUMIFS(상세표[06~07시],상세표[사번키],INDEX(합계표[사번키],$W989),상세표[반영월],대상월키,상세표[반영 기관],"서울병원"))</f>
        <v/>
      </c>
      <c r="N989">
        <f>IF($W989="","",SUMIFS(상세표[07~18시],상세표[사번키],INDEX(합계표[사번키],$W989),상세표[반영월],대상월키,상세표[반영 기관],"서울병원"))</f>
        <v/>
      </c>
      <c r="O989">
        <f>IF($W989="","",SUMIFS(상세표[18~22시],상세표[사번키],INDEX(합계표[사번키],$W989),상세표[반영월],대상월키,상세표[반영 기관],"서울병원"))</f>
        <v/>
      </c>
      <c r="P989">
        <f>IF($W989="","",SUMIFS(상세표[22~06시],상세표[사번키],INDEX(합계표[사번키],$W989),상세표[반영월],대상월키,상세표[반영 기관],"서울병원"))</f>
        <v/>
      </c>
      <c r="Q989">
        <f>IF($W989="","",SUM($M989:$P989))</f>
        <v/>
      </c>
      <c r="R989">
        <f>IF($W989="","",COUNTIFS(상세표[사번키],INDEX(합계표[사번키],$W989),상세표[반영월],대상월키,상세표[야간당직],1,상세표[야간 구분],"평일"))</f>
        <v/>
      </c>
      <c r="S989" s="4">
        <f>IF($W989="","",COUNTIFS(상세표[사번키],INDEX(합계표[사번키],$W989),상세표[반영월],대상월키,상세표[야간당직],1,상세표[야간 구분],"휴일"))</f>
        <v/>
      </c>
      <c r="T989">
        <f>IF($W989="","",COUNTIFS(상세표[사번키],INDEX(합계표[사번키],$W989),상세표[반영월],대상월키,상세표[야간당직],1,상세표[야간 구분],"평일",상세표[반영 기관],"서울병원"))</f>
        <v/>
      </c>
      <c r="U989">
        <f>IF($W989="","",COUNTIFS(상세표[사번키],INDEX(합계표[사번키],$W989),상세표[반영월],대상월키,상세표[야간당직],1,상세표[야간 구분],"휴일",상세표[반영 기관],"서울병원"))</f>
        <v/>
      </c>
      <c r="V989">
        <f>IF($W989="","",IF(ISNUMBER(MATCH(INDEX(합계표[사번키],$W989)&amp;"|"&amp;대상월키,월별근무지표[키],0)),"직접 입력",IF($K989="—","—","기관명단")))</f>
        <v/>
      </c>
      <c r="W989">
        <f>IFERROR(MATCH(984,합계표[판정순번],0),"")</f>
        <v/>
      </c>
    </row>
    <row r="990">
      <c r="A990">
        <f>IF($W990="","",INDEX(합계표[사번],$W990)&amp;"")</f>
        <v/>
      </c>
      <c r="B990">
        <f>IF($W990="","",INDEX(합계표[성명],$W990)&amp;"")</f>
        <v/>
      </c>
      <c r="C990">
        <f>IF($W990="","",INDEX(합계표[부서],$W990)&amp;"")</f>
        <v/>
      </c>
      <c r="D990">
        <f>IF($W990="","",INDEX(합계표[직위(통합)],$W990)&amp;"")</f>
        <v/>
      </c>
      <c r="E990">
        <f>IF($W990="","",SUMIFS(합계표[시스템 합계],합계표[사번키],INDEX(합계표[사번키],$W990)))</f>
        <v/>
      </c>
      <c r="F990">
        <f>IF($W990="","",SUMIFS(상세표[기록 시간외],상세표[사번키],INDEX(합계표[사번키],$W990),상세표[기록월],대상월키))</f>
        <v/>
      </c>
      <c r="G990">
        <f>IF($W990="","",IF(ABS($E990-$F990)&lt;0.01,"일치","불일치(차이 "&amp;TEXT($F990-$E990,"0.00")&amp;")"))</f>
        <v/>
      </c>
      <c r="H990">
        <f>IF($W990="","",SUMIFS(상세표[기록 시간외],상세표[사번키],INDEX(합계표[사번키],$W990),상세표[기록월],대상월키,상세표[반영월],"&lt;&gt;"&amp;대상월키))</f>
        <v/>
      </c>
      <c r="I990">
        <f>IF($W990="","",SUMIFS(상세표[기록 시간외],상세표[사번키],INDEX(합계표[사번키],$W990),상세표[기록월],"&lt;&gt;"&amp;대상월키,상세표[반영월],대상월키))</f>
        <v/>
      </c>
      <c r="J990">
        <f>IF($W990="","",SUMIFS(상세표[기록 시간외],상세표[사번키],INDEX(합계표[사번키],$W990),상세표[반영월],대상월키))</f>
        <v/>
      </c>
      <c r="K990">
        <f>IF($W990="","",IFERROR(INDEX(월별근무지표[적용 급여병원],MATCH(INDEX(합계표[사번키],$W990)&amp;"|"&amp;대상월키,월별근무지표[키],0))&amp;"",IF(COUNTIF(기관표[사번키],INDEX(합계표[사번키],$W990))+COUNTIF(월별근무지표[사번키],INDEX(합계표[사번키],$W990))&gt;0,IFERROR(INDEX(기관표[급여지급병원(기준월)],MATCH(INDEX(합계표[사번키],$W990)&amp;"|"&amp;대상월키,기관표[키],0))&amp;"","—"),"—")))</f>
        <v/>
      </c>
      <c r="L990">
        <f>IF($W990="","",IF(NOT(COUNTIF(기관표[사번키],INDEX(합계표[사번키],$W990))+COUNTIF(월별근무지표[사번키],INDEX(합계표[사번키],$W990))&gt;0),"기관명단에 없음(다른 병원으로 발송)",IF($K990="—","대상월 기관명단 없음(추가 필요)",IF($K990="서울병원","해당","비해당"))))</f>
        <v/>
      </c>
      <c r="M990">
        <f>IF($W990="","",SUMIFS(상세표[06~07시],상세표[사번키],INDEX(합계표[사번키],$W990),상세표[반영월],대상월키,상세표[반영 기관],"서울병원"))</f>
        <v/>
      </c>
      <c r="N990">
        <f>IF($W990="","",SUMIFS(상세표[07~18시],상세표[사번키],INDEX(합계표[사번키],$W990),상세표[반영월],대상월키,상세표[반영 기관],"서울병원"))</f>
        <v/>
      </c>
      <c r="O990">
        <f>IF($W990="","",SUMIFS(상세표[18~22시],상세표[사번키],INDEX(합계표[사번키],$W990),상세표[반영월],대상월키,상세표[반영 기관],"서울병원"))</f>
        <v/>
      </c>
      <c r="P990">
        <f>IF($W990="","",SUMIFS(상세표[22~06시],상세표[사번키],INDEX(합계표[사번키],$W990),상세표[반영월],대상월키,상세표[반영 기관],"서울병원"))</f>
        <v/>
      </c>
      <c r="Q990">
        <f>IF($W990="","",SUM($M990:$P990))</f>
        <v/>
      </c>
      <c r="R990">
        <f>IF($W990="","",COUNTIFS(상세표[사번키],INDEX(합계표[사번키],$W990),상세표[반영월],대상월키,상세표[야간당직],1,상세표[야간 구분],"평일"))</f>
        <v/>
      </c>
      <c r="S990" s="4">
        <f>IF($W990="","",COUNTIFS(상세표[사번키],INDEX(합계표[사번키],$W990),상세표[반영월],대상월키,상세표[야간당직],1,상세표[야간 구분],"휴일"))</f>
        <v/>
      </c>
      <c r="T990">
        <f>IF($W990="","",COUNTIFS(상세표[사번키],INDEX(합계표[사번키],$W990),상세표[반영월],대상월키,상세표[야간당직],1,상세표[야간 구분],"평일",상세표[반영 기관],"서울병원"))</f>
        <v/>
      </c>
      <c r="U990">
        <f>IF($W990="","",COUNTIFS(상세표[사번키],INDEX(합계표[사번키],$W990),상세표[반영월],대상월키,상세표[야간당직],1,상세표[야간 구분],"휴일",상세표[반영 기관],"서울병원"))</f>
        <v/>
      </c>
      <c r="V990">
        <f>IF($W990="","",IF(ISNUMBER(MATCH(INDEX(합계표[사번키],$W990)&amp;"|"&amp;대상월키,월별근무지표[키],0)),"직접 입력",IF($K990="—","—","기관명단")))</f>
        <v/>
      </c>
      <c r="W990">
        <f>IFERROR(MATCH(985,합계표[판정순번],0),"")</f>
        <v/>
      </c>
    </row>
    <row r="991">
      <c r="A991">
        <f>IF($W991="","",INDEX(합계표[사번],$W991)&amp;"")</f>
        <v/>
      </c>
      <c r="B991">
        <f>IF($W991="","",INDEX(합계표[성명],$W991)&amp;"")</f>
        <v/>
      </c>
      <c r="C991">
        <f>IF($W991="","",INDEX(합계표[부서],$W991)&amp;"")</f>
        <v/>
      </c>
      <c r="D991">
        <f>IF($W991="","",INDEX(합계표[직위(통합)],$W991)&amp;"")</f>
        <v/>
      </c>
      <c r="E991">
        <f>IF($W991="","",SUMIFS(합계표[시스템 합계],합계표[사번키],INDEX(합계표[사번키],$W991)))</f>
        <v/>
      </c>
      <c r="F991">
        <f>IF($W991="","",SUMIFS(상세표[기록 시간외],상세표[사번키],INDEX(합계표[사번키],$W991),상세표[기록월],대상월키))</f>
        <v/>
      </c>
      <c r="G991">
        <f>IF($W991="","",IF(ABS($E991-$F991)&lt;0.01,"일치","불일치(차이 "&amp;TEXT($F991-$E991,"0.00")&amp;")"))</f>
        <v/>
      </c>
      <c r="H991">
        <f>IF($W991="","",SUMIFS(상세표[기록 시간외],상세표[사번키],INDEX(합계표[사번키],$W991),상세표[기록월],대상월키,상세표[반영월],"&lt;&gt;"&amp;대상월키))</f>
        <v/>
      </c>
      <c r="I991">
        <f>IF($W991="","",SUMIFS(상세표[기록 시간외],상세표[사번키],INDEX(합계표[사번키],$W991),상세표[기록월],"&lt;&gt;"&amp;대상월키,상세표[반영월],대상월키))</f>
        <v/>
      </c>
      <c r="J991">
        <f>IF($W991="","",SUMIFS(상세표[기록 시간외],상세표[사번키],INDEX(합계표[사번키],$W991),상세표[반영월],대상월키))</f>
        <v/>
      </c>
      <c r="K991">
        <f>IF($W991="","",IFERROR(INDEX(월별근무지표[적용 급여병원],MATCH(INDEX(합계표[사번키],$W991)&amp;"|"&amp;대상월키,월별근무지표[키],0))&amp;"",IF(COUNTIF(기관표[사번키],INDEX(합계표[사번키],$W991))+COUNTIF(월별근무지표[사번키],INDEX(합계표[사번키],$W991))&gt;0,IFERROR(INDEX(기관표[급여지급병원(기준월)],MATCH(INDEX(합계표[사번키],$W991)&amp;"|"&amp;대상월키,기관표[키],0))&amp;"","—"),"—")))</f>
        <v/>
      </c>
      <c r="L991">
        <f>IF($W991="","",IF(NOT(COUNTIF(기관표[사번키],INDEX(합계표[사번키],$W991))+COUNTIF(월별근무지표[사번키],INDEX(합계표[사번키],$W991))&gt;0),"기관명단에 없음(다른 병원으로 발송)",IF($K991="—","대상월 기관명단 없음(추가 필요)",IF($K991="서울병원","해당","비해당"))))</f>
        <v/>
      </c>
      <c r="M991">
        <f>IF($W991="","",SUMIFS(상세표[06~07시],상세표[사번키],INDEX(합계표[사번키],$W991),상세표[반영월],대상월키,상세표[반영 기관],"서울병원"))</f>
        <v/>
      </c>
      <c r="N991">
        <f>IF($W991="","",SUMIFS(상세표[07~18시],상세표[사번키],INDEX(합계표[사번키],$W991),상세표[반영월],대상월키,상세표[반영 기관],"서울병원"))</f>
        <v/>
      </c>
      <c r="O991">
        <f>IF($W991="","",SUMIFS(상세표[18~22시],상세표[사번키],INDEX(합계표[사번키],$W991),상세표[반영월],대상월키,상세표[반영 기관],"서울병원"))</f>
        <v/>
      </c>
      <c r="P991">
        <f>IF($W991="","",SUMIFS(상세표[22~06시],상세표[사번키],INDEX(합계표[사번키],$W991),상세표[반영월],대상월키,상세표[반영 기관],"서울병원"))</f>
        <v/>
      </c>
      <c r="Q991">
        <f>IF($W991="","",SUM($M991:$P991))</f>
        <v/>
      </c>
      <c r="R991">
        <f>IF($W991="","",COUNTIFS(상세표[사번키],INDEX(합계표[사번키],$W991),상세표[반영월],대상월키,상세표[야간당직],1,상세표[야간 구분],"평일"))</f>
        <v/>
      </c>
      <c r="S991" s="4">
        <f>IF($W991="","",COUNTIFS(상세표[사번키],INDEX(합계표[사번키],$W991),상세표[반영월],대상월키,상세표[야간당직],1,상세표[야간 구분],"휴일"))</f>
        <v/>
      </c>
      <c r="T991">
        <f>IF($W991="","",COUNTIFS(상세표[사번키],INDEX(합계표[사번키],$W991),상세표[반영월],대상월키,상세표[야간당직],1,상세표[야간 구분],"평일",상세표[반영 기관],"서울병원"))</f>
        <v/>
      </c>
      <c r="U991">
        <f>IF($W991="","",COUNTIFS(상세표[사번키],INDEX(합계표[사번키],$W991),상세표[반영월],대상월키,상세표[야간당직],1,상세표[야간 구분],"휴일",상세표[반영 기관],"서울병원"))</f>
        <v/>
      </c>
      <c r="V991">
        <f>IF($W991="","",IF(ISNUMBER(MATCH(INDEX(합계표[사번키],$W991)&amp;"|"&amp;대상월키,월별근무지표[키],0)),"직접 입력",IF($K991="—","—","기관명단")))</f>
        <v/>
      </c>
      <c r="W991">
        <f>IFERROR(MATCH(986,합계표[판정순번],0),"")</f>
        <v/>
      </c>
    </row>
    <row r="992">
      <c r="A992">
        <f>IF($W992="","",INDEX(합계표[사번],$W992)&amp;"")</f>
        <v/>
      </c>
      <c r="B992">
        <f>IF($W992="","",INDEX(합계표[성명],$W992)&amp;"")</f>
        <v/>
      </c>
      <c r="C992">
        <f>IF($W992="","",INDEX(합계표[부서],$W992)&amp;"")</f>
        <v/>
      </c>
      <c r="D992">
        <f>IF($W992="","",INDEX(합계표[직위(통합)],$W992)&amp;"")</f>
        <v/>
      </c>
      <c r="E992">
        <f>IF($W992="","",SUMIFS(합계표[시스템 합계],합계표[사번키],INDEX(합계표[사번키],$W992)))</f>
        <v/>
      </c>
      <c r="F992">
        <f>IF($W992="","",SUMIFS(상세표[기록 시간외],상세표[사번키],INDEX(합계표[사번키],$W992),상세표[기록월],대상월키))</f>
        <v/>
      </c>
      <c r="G992">
        <f>IF($W992="","",IF(ABS($E992-$F992)&lt;0.01,"일치","불일치(차이 "&amp;TEXT($F992-$E992,"0.00")&amp;")"))</f>
        <v/>
      </c>
      <c r="H992">
        <f>IF($W992="","",SUMIFS(상세표[기록 시간외],상세표[사번키],INDEX(합계표[사번키],$W992),상세표[기록월],대상월키,상세표[반영월],"&lt;&gt;"&amp;대상월키))</f>
        <v/>
      </c>
      <c r="I992">
        <f>IF($W992="","",SUMIFS(상세표[기록 시간외],상세표[사번키],INDEX(합계표[사번키],$W992),상세표[기록월],"&lt;&gt;"&amp;대상월키,상세표[반영월],대상월키))</f>
        <v/>
      </c>
      <c r="J992">
        <f>IF($W992="","",SUMIFS(상세표[기록 시간외],상세표[사번키],INDEX(합계표[사번키],$W992),상세표[반영월],대상월키))</f>
        <v/>
      </c>
      <c r="K992">
        <f>IF($W992="","",IFERROR(INDEX(월별근무지표[적용 급여병원],MATCH(INDEX(합계표[사번키],$W992)&amp;"|"&amp;대상월키,월별근무지표[키],0))&amp;"",IF(COUNTIF(기관표[사번키],INDEX(합계표[사번키],$W992))+COUNTIF(월별근무지표[사번키],INDEX(합계표[사번키],$W992))&gt;0,IFERROR(INDEX(기관표[급여지급병원(기준월)],MATCH(INDEX(합계표[사번키],$W992)&amp;"|"&amp;대상월키,기관표[키],0))&amp;"","—"),"—")))</f>
        <v/>
      </c>
      <c r="L992">
        <f>IF($W992="","",IF(NOT(COUNTIF(기관표[사번키],INDEX(합계표[사번키],$W992))+COUNTIF(월별근무지표[사번키],INDEX(합계표[사번키],$W992))&gt;0),"기관명단에 없음(다른 병원으로 발송)",IF($K992="—","대상월 기관명단 없음(추가 필요)",IF($K992="서울병원","해당","비해당"))))</f>
        <v/>
      </c>
      <c r="M992">
        <f>IF($W992="","",SUMIFS(상세표[06~07시],상세표[사번키],INDEX(합계표[사번키],$W992),상세표[반영월],대상월키,상세표[반영 기관],"서울병원"))</f>
        <v/>
      </c>
      <c r="N992">
        <f>IF($W992="","",SUMIFS(상세표[07~18시],상세표[사번키],INDEX(합계표[사번키],$W992),상세표[반영월],대상월키,상세표[반영 기관],"서울병원"))</f>
        <v/>
      </c>
      <c r="O992">
        <f>IF($W992="","",SUMIFS(상세표[18~22시],상세표[사번키],INDEX(합계표[사번키],$W992),상세표[반영월],대상월키,상세표[반영 기관],"서울병원"))</f>
        <v/>
      </c>
      <c r="P992">
        <f>IF($W992="","",SUMIFS(상세표[22~06시],상세표[사번키],INDEX(합계표[사번키],$W992),상세표[반영월],대상월키,상세표[반영 기관],"서울병원"))</f>
        <v/>
      </c>
      <c r="Q992">
        <f>IF($W992="","",SUM($M992:$P992))</f>
        <v/>
      </c>
      <c r="R992">
        <f>IF($W992="","",COUNTIFS(상세표[사번키],INDEX(합계표[사번키],$W992),상세표[반영월],대상월키,상세표[야간당직],1,상세표[야간 구분],"평일"))</f>
        <v/>
      </c>
      <c r="S992" s="4">
        <f>IF($W992="","",COUNTIFS(상세표[사번키],INDEX(합계표[사번키],$W992),상세표[반영월],대상월키,상세표[야간당직],1,상세표[야간 구분],"휴일"))</f>
        <v/>
      </c>
      <c r="T992">
        <f>IF($W992="","",COUNTIFS(상세표[사번키],INDEX(합계표[사번키],$W992),상세표[반영월],대상월키,상세표[야간당직],1,상세표[야간 구분],"평일",상세표[반영 기관],"서울병원"))</f>
        <v/>
      </c>
      <c r="U992">
        <f>IF($W992="","",COUNTIFS(상세표[사번키],INDEX(합계표[사번키],$W992),상세표[반영월],대상월키,상세표[야간당직],1,상세표[야간 구분],"휴일",상세표[반영 기관],"서울병원"))</f>
        <v/>
      </c>
      <c r="V992">
        <f>IF($W992="","",IF(ISNUMBER(MATCH(INDEX(합계표[사번키],$W992)&amp;"|"&amp;대상월키,월별근무지표[키],0)),"직접 입력",IF($K992="—","—","기관명단")))</f>
        <v/>
      </c>
      <c r="W992">
        <f>IFERROR(MATCH(987,합계표[판정순번],0),"")</f>
        <v/>
      </c>
    </row>
    <row r="993">
      <c r="A993">
        <f>IF($W993="","",INDEX(합계표[사번],$W993)&amp;"")</f>
        <v/>
      </c>
      <c r="B993">
        <f>IF($W993="","",INDEX(합계표[성명],$W993)&amp;"")</f>
        <v/>
      </c>
      <c r="C993">
        <f>IF($W993="","",INDEX(합계표[부서],$W993)&amp;"")</f>
        <v/>
      </c>
      <c r="D993">
        <f>IF($W993="","",INDEX(합계표[직위(통합)],$W993)&amp;"")</f>
        <v/>
      </c>
      <c r="E993">
        <f>IF($W993="","",SUMIFS(합계표[시스템 합계],합계표[사번키],INDEX(합계표[사번키],$W993)))</f>
        <v/>
      </c>
      <c r="F993">
        <f>IF($W993="","",SUMIFS(상세표[기록 시간외],상세표[사번키],INDEX(합계표[사번키],$W993),상세표[기록월],대상월키))</f>
        <v/>
      </c>
      <c r="G993">
        <f>IF($W993="","",IF(ABS($E993-$F993)&lt;0.01,"일치","불일치(차이 "&amp;TEXT($F993-$E993,"0.00")&amp;")"))</f>
        <v/>
      </c>
      <c r="H993">
        <f>IF($W993="","",SUMIFS(상세표[기록 시간외],상세표[사번키],INDEX(합계표[사번키],$W993),상세표[기록월],대상월키,상세표[반영월],"&lt;&gt;"&amp;대상월키))</f>
        <v/>
      </c>
      <c r="I993">
        <f>IF($W993="","",SUMIFS(상세표[기록 시간외],상세표[사번키],INDEX(합계표[사번키],$W993),상세표[기록월],"&lt;&gt;"&amp;대상월키,상세표[반영월],대상월키))</f>
        <v/>
      </c>
      <c r="J993">
        <f>IF($W993="","",SUMIFS(상세표[기록 시간외],상세표[사번키],INDEX(합계표[사번키],$W993),상세표[반영월],대상월키))</f>
        <v/>
      </c>
      <c r="K993">
        <f>IF($W993="","",IFERROR(INDEX(월별근무지표[적용 급여병원],MATCH(INDEX(합계표[사번키],$W993)&amp;"|"&amp;대상월키,월별근무지표[키],0))&amp;"",IF(COUNTIF(기관표[사번키],INDEX(합계표[사번키],$W993))+COUNTIF(월별근무지표[사번키],INDEX(합계표[사번키],$W993))&gt;0,IFERROR(INDEX(기관표[급여지급병원(기준월)],MATCH(INDEX(합계표[사번키],$W993)&amp;"|"&amp;대상월키,기관표[키],0))&amp;"","—"),"—")))</f>
        <v/>
      </c>
      <c r="L993">
        <f>IF($W993="","",IF(NOT(COUNTIF(기관표[사번키],INDEX(합계표[사번키],$W993))+COUNTIF(월별근무지표[사번키],INDEX(합계표[사번키],$W993))&gt;0),"기관명단에 없음(다른 병원으로 발송)",IF($K993="—","대상월 기관명단 없음(추가 필요)",IF($K993="서울병원","해당","비해당"))))</f>
        <v/>
      </c>
      <c r="M993">
        <f>IF($W993="","",SUMIFS(상세표[06~07시],상세표[사번키],INDEX(합계표[사번키],$W993),상세표[반영월],대상월키,상세표[반영 기관],"서울병원"))</f>
        <v/>
      </c>
      <c r="N993">
        <f>IF($W993="","",SUMIFS(상세표[07~18시],상세표[사번키],INDEX(합계표[사번키],$W993),상세표[반영월],대상월키,상세표[반영 기관],"서울병원"))</f>
        <v/>
      </c>
      <c r="O993">
        <f>IF($W993="","",SUMIFS(상세표[18~22시],상세표[사번키],INDEX(합계표[사번키],$W993),상세표[반영월],대상월키,상세표[반영 기관],"서울병원"))</f>
        <v/>
      </c>
      <c r="P993">
        <f>IF($W993="","",SUMIFS(상세표[22~06시],상세표[사번키],INDEX(합계표[사번키],$W993),상세표[반영월],대상월키,상세표[반영 기관],"서울병원"))</f>
        <v/>
      </c>
      <c r="Q993">
        <f>IF($W993="","",SUM($M993:$P993))</f>
        <v/>
      </c>
      <c r="R993">
        <f>IF($W993="","",COUNTIFS(상세표[사번키],INDEX(합계표[사번키],$W993),상세표[반영월],대상월키,상세표[야간당직],1,상세표[야간 구분],"평일"))</f>
        <v/>
      </c>
      <c r="S993" s="4">
        <f>IF($W993="","",COUNTIFS(상세표[사번키],INDEX(합계표[사번키],$W993),상세표[반영월],대상월키,상세표[야간당직],1,상세표[야간 구분],"휴일"))</f>
        <v/>
      </c>
      <c r="T993">
        <f>IF($W993="","",COUNTIFS(상세표[사번키],INDEX(합계표[사번키],$W993),상세표[반영월],대상월키,상세표[야간당직],1,상세표[야간 구분],"평일",상세표[반영 기관],"서울병원"))</f>
        <v/>
      </c>
      <c r="U993">
        <f>IF($W993="","",COUNTIFS(상세표[사번키],INDEX(합계표[사번키],$W993),상세표[반영월],대상월키,상세표[야간당직],1,상세표[야간 구분],"휴일",상세표[반영 기관],"서울병원"))</f>
        <v/>
      </c>
      <c r="V993">
        <f>IF($W993="","",IF(ISNUMBER(MATCH(INDEX(합계표[사번키],$W993)&amp;"|"&amp;대상월키,월별근무지표[키],0)),"직접 입력",IF($K993="—","—","기관명단")))</f>
        <v/>
      </c>
      <c r="W993">
        <f>IFERROR(MATCH(988,합계표[판정순번],0),"")</f>
        <v/>
      </c>
    </row>
    <row r="994">
      <c r="A994">
        <f>IF($W994="","",INDEX(합계표[사번],$W994)&amp;"")</f>
        <v/>
      </c>
      <c r="B994">
        <f>IF($W994="","",INDEX(합계표[성명],$W994)&amp;"")</f>
        <v/>
      </c>
      <c r="C994">
        <f>IF($W994="","",INDEX(합계표[부서],$W994)&amp;"")</f>
        <v/>
      </c>
      <c r="D994">
        <f>IF($W994="","",INDEX(합계표[직위(통합)],$W994)&amp;"")</f>
        <v/>
      </c>
      <c r="E994">
        <f>IF($W994="","",SUMIFS(합계표[시스템 합계],합계표[사번키],INDEX(합계표[사번키],$W994)))</f>
        <v/>
      </c>
      <c r="F994">
        <f>IF($W994="","",SUMIFS(상세표[기록 시간외],상세표[사번키],INDEX(합계표[사번키],$W994),상세표[기록월],대상월키))</f>
        <v/>
      </c>
      <c r="G994">
        <f>IF($W994="","",IF(ABS($E994-$F994)&lt;0.01,"일치","불일치(차이 "&amp;TEXT($F994-$E994,"0.00")&amp;")"))</f>
        <v/>
      </c>
      <c r="H994">
        <f>IF($W994="","",SUMIFS(상세표[기록 시간외],상세표[사번키],INDEX(합계표[사번키],$W994),상세표[기록월],대상월키,상세표[반영월],"&lt;&gt;"&amp;대상월키))</f>
        <v/>
      </c>
      <c r="I994">
        <f>IF($W994="","",SUMIFS(상세표[기록 시간외],상세표[사번키],INDEX(합계표[사번키],$W994),상세표[기록월],"&lt;&gt;"&amp;대상월키,상세표[반영월],대상월키))</f>
        <v/>
      </c>
      <c r="J994">
        <f>IF($W994="","",SUMIFS(상세표[기록 시간외],상세표[사번키],INDEX(합계표[사번키],$W994),상세표[반영월],대상월키))</f>
        <v/>
      </c>
      <c r="K994">
        <f>IF($W994="","",IFERROR(INDEX(월별근무지표[적용 급여병원],MATCH(INDEX(합계표[사번키],$W994)&amp;"|"&amp;대상월키,월별근무지표[키],0))&amp;"",IF(COUNTIF(기관표[사번키],INDEX(합계표[사번키],$W994))+COUNTIF(월별근무지표[사번키],INDEX(합계표[사번키],$W994))&gt;0,IFERROR(INDEX(기관표[급여지급병원(기준월)],MATCH(INDEX(합계표[사번키],$W994)&amp;"|"&amp;대상월키,기관표[키],0))&amp;"","—"),"—")))</f>
        <v/>
      </c>
      <c r="L994">
        <f>IF($W994="","",IF(NOT(COUNTIF(기관표[사번키],INDEX(합계표[사번키],$W994))+COUNTIF(월별근무지표[사번키],INDEX(합계표[사번키],$W994))&gt;0),"기관명단에 없음(다른 병원으로 발송)",IF($K994="—","대상월 기관명단 없음(추가 필요)",IF($K994="서울병원","해당","비해당"))))</f>
        <v/>
      </c>
      <c r="M994">
        <f>IF($W994="","",SUMIFS(상세표[06~07시],상세표[사번키],INDEX(합계표[사번키],$W994),상세표[반영월],대상월키,상세표[반영 기관],"서울병원"))</f>
        <v/>
      </c>
      <c r="N994">
        <f>IF($W994="","",SUMIFS(상세표[07~18시],상세표[사번키],INDEX(합계표[사번키],$W994),상세표[반영월],대상월키,상세표[반영 기관],"서울병원"))</f>
        <v/>
      </c>
      <c r="O994">
        <f>IF($W994="","",SUMIFS(상세표[18~22시],상세표[사번키],INDEX(합계표[사번키],$W994),상세표[반영월],대상월키,상세표[반영 기관],"서울병원"))</f>
        <v/>
      </c>
      <c r="P994">
        <f>IF($W994="","",SUMIFS(상세표[22~06시],상세표[사번키],INDEX(합계표[사번키],$W994),상세표[반영월],대상월키,상세표[반영 기관],"서울병원"))</f>
        <v/>
      </c>
      <c r="Q994">
        <f>IF($W994="","",SUM($M994:$P994))</f>
        <v/>
      </c>
      <c r="R994">
        <f>IF($W994="","",COUNTIFS(상세표[사번키],INDEX(합계표[사번키],$W994),상세표[반영월],대상월키,상세표[야간당직],1,상세표[야간 구분],"평일"))</f>
        <v/>
      </c>
      <c r="S994" s="4">
        <f>IF($W994="","",COUNTIFS(상세표[사번키],INDEX(합계표[사번키],$W994),상세표[반영월],대상월키,상세표[야간당직],1,상세표[야간 구분],"휴일"))</f>
        <v/>
      </c>
      <c r="T994">
        <f>IF($W994="","",COUNTIFS(상세표[사번키],INDEX(합계표[사번키],$W994),상세표[반영월],대상월키,상세표[야간당직],1,상세표[야간 구분],"평일",상세표[반영 기관],"서울병원"))</f>
        <v/>
      </c>
      <c r="U994">
        <f>IF($W994="","",COUNTIFS(상세표[사번키],INDEX(합계표[사번키],$W994),상세표[반영월],대상월키,상세표[야간당직],1,상세표[야간 구분],"휴일",상세표[반영 기관],"서울병원"))</f>
        <v/>
      </c>
      <c r="V994">
        <f>IF($W994="","",IF(ISNUMBER(MATCH(INDEX(합계표[사번키],$W994)&amp;"|"&amp;대상월키,월별근무지표[키],0)),"직접 입력",IF($K994="—","—","기관명단")))</f>
        <v/>
      </c>
      <c r="W994">
        <f>IFERROR(MATCH(989,합계표[판정순번],0),"")</f>
        <v/>
      </c>
    </row>
    <row r="995">
      <c r="A995">
        <f>IF($W995="","",INDEX(합계표[사번],$W995)&amp;"")</f>
        <v/>
      </c>
      <c r="B995">
        <f>IF($W995="","",INDEX(합계표[성명],$W995)&amp;"")</f>
        <v/>
      </c>
      <c r="C995">
        <f>IF($W995="","",INDEX(합계표[부서],$W995)&amp;"")</f>
        <v/>
      </c>
      <c r="D995">
        <f>IF($W995="","",INDEX(합계표[직위(통합)],$W995)&amp;"")</f>
        <v/>
      </c>
      <c r="E995">
        <f>IF($W995="","",SUMIFS(합계표[시스템 합계],합계표[사번키],INDEX(합계표[사번키],$W995)))</f>
        <v/>
      </c>
      <c r="F995">
        <f>IF($W995="","",SUMIFS(상세표[기록 시간외],상세표[사번키],INDEX(합계표[사번키],$W995),상세표[기록월],대상월키))</f>
        <v/>
      </c>
      <c r="G995">
        <f>IF($W995="","",IF(ABS($E995-$F995)&lt;0.01,"일치","불일치(차이 "&amp;TEXT($F995-$E995,"0.00")&amp;")"))</f>
        <v/>
      </c>
      <c r="H995">
        <f>IF($W995="","",SUMIFS(상세표[기록 시간외],상세표[사번키],INDEX(합계표[사번키],$W995),상세표[기록월],대상월키,상세표[반영월],"&lt;&gt;"&amp;대상월키))</f>
        <v/>
      </c>
      <c r="I995">
        <f>IF($W995="","",SUMIFS(상세표[기록 시간외],상세표[사번키],INDEX(합계표[사번키],$W995),상세표[기록월],"&lt;&gt;"&amp;대상월키,상세표[반영월],대상월키))</f>
        <v/>
      </c>
      <c r="J995">
        <f>IF($W995="","",SUMIFS(상세표[기록 시간외],상세표[사번키],INDEX(합계표[사번키],$W995),상세표[반영월],대상월키))</f>
        <v/>
      </c>
      <c r="K995">
        <f>IF($W995="","",IFERROR(INDEX(월별근무지표[적용 급여병원],MATCH(INDEX(합계표[사번키],$W995)&amp;"|"&amp;대상월키,월별근무지표[키],0))&amp;"",IF(COUNTIF(기관표[사번키],INDEX(합계표[사번키],$W995))+COUNTIF(월별근무지표[사번키],INDEX(합계표[사번키],$W995))&gt;0,IFERROR(INDEX(기관표[급여지급병원(기준월)],MATCH(INDEX(합계표[사번키],$W995)&amp;"|"&amp;대상월키,기관표[키],0))&amp;"","—"),"—")))</f>
        <v/>
      </c>
      <c r="L995">
        <f>IF($W995="","",IF(NOT(COUNTIF(기관표[사번키],INDEX(합계표[사번키],$W995))+COUNTIF(월별근무지표[사번키],INDEX(합계표[사번키],$W995))&gt;0),"기관명단에 없음(다른 병원으로 발송)",IF($K995="—","대상월 기관명단 없음(추가 필요)",IF($K995="서울병원","해당","비해당"))))</f>
        <v/>
      </c>
      <c r="M995">
        <f>IF($W995="","",SUMIFS(상세표[06~07시],상세표[사번키],INDEX(합계표[사번키],$W995),상세표[반영월],대상월키,상세표[반영 기관],"서울병원"))</f>
        <v/>
      </c>
      <c r="N995">
        <f>IF($W995="","",SUMIFS(상세표[07~18시],상세표[사번키],INDEX(합계표[사번키],$W995),상세표[반영월],대상월키,상세표[반영 기관],"서울병원"))</f>
        <v/>
      </c>
      <c r="O995">
        <f>IF($W995="","",SUMIFS(상세표[18~22시],상세표[사번키],INDEX(합계표[사번키],$W995),상세표[반영월],대상월키,상세표[반영 기관],"서울병원"))</f>
        <v/>
      </c>
      <c r="P995">
        <f>IF($W995="","",SUMIFS(상세표[22~06시],상세표[사번키],INDEX(합계표[사번키],$W995),상세표[반영월],대상월키,상세표[반영 기관],"서울병원"))</f>
        <v/>
      </c>
      <c r="Q995">
        <f>IF($W995="","",SUM($M995:$P995))</f>
        <v/>
      </c>
      <c r="R995">
        <f>IF($W995="","",COUNTIFS(상세표[사번키],INDEX(합계표[사번키],$W995),상세표[반영월],대상월키,상세표[야간당직],1,상세표[야간 구분],"평일"))</f>
        <v/>
      </c>
      <c r="S995" s="4">
        <f>IF($W995="","",COUNTIFS(상세표[사번키],INDEX(합계표[사번키],$W995),상세표[반영월],대상월키,상세표[야간당직],1,상세표[야간 구분],"휴일"))</f>
        <v/>
      </c>
      <c r="T995">
        <f>IF($W995="","",COUNTIFS(상세표[사번키],INDEX(합계표[사번키],$W995),상세표[반영월],대상월키,상세표[야간당직],1,상세표[야간 구분],"평일",상세표[반영 기관],"서울병원"))</f>
        <v/>
      </c>
      <c r="U995">
        <f>IF($W995="","",COUNTIFS(상세표[사번키],INDEX(합계표[사번키],$W995),상세표[반영월],대상월키,상세표[야간당직],1,상세표[야간 구분],"휴일",상세표[반영 기관],"서울병원"))</f>
        <v/>
      </c>
      <c r="V995">
        <f>IF($W995="","",IF(ISNUMBER(MATCH(INDEX(합계표[사번키],$W995)&amp;"|"&amp;대상월키,월별근무지표[키],0)),"직접 입력",IF($K995="—","—","기관명단")))</f>
        <v/>
      </c>
      <c r="W995">
        <f>IFERROR(MATCH(990,합계표[판정순번],0),"")</f>
        <v/>
      </c>
    </row>
    <row r="996">
      <c r="A996">
        <f>IF($W996="","",INDEX(합계표[사번],$W996)&amp;"")</f>
        <v/>
      </c>
      <c r="B996">
        <f>IF($W996="","",INDEX(합계표[성명],$W996)&amp;"")</f>
        <v/>
      </c>
      <c r="C996">
        <f>IF($W996="","",INDEX(합계표[부서],$W996)&amp;"")</f>
        <v/>
      </c>
      <c r="D996">
        <f>IF($W996="","",INDEX(합계표[직위(통합)],$W996)&amp;"")</f>
        <v/>
      </c>
      <c r="E996">
        <f>IF($W996="","",SUMIFS(합계표[시스템 합계],합계표[사번키],INDEX(합계표[사번키],$W996)))</f>
        <v/>
      </c>
      <c r="F996">
        <f>IF($W996="","",SUMIFS(상세표[기록 시간외],상세표[사번키],INDEX(합계표[사번키],$W996),상세표[기록월],대상월키))</f>
        <v/>
      </c>
      <c r="G996">
        <f>IF($W996="","",IF(ABS($E996-$F996)&lt;0.01,"일치","불일치(차이 "&amp;TEXT($F996-$E996,"0.00")&amp;")"))</f>
        <v/>
      </c>
      <c r="H996">
        <f>IF($W996="","",SUMIFS(상세표[기록 시간외],상세표[사번키],INDEX(합계표[사번키],$W996),상세표[기록월],대상월키,상세표[반영월],"&lt;&gt;"&amp;대상월키))</f>
        <v/>
      </c>
      <c r="I996">
        <f>IF($W996="","",SUMIFS(상세표[기록 시간외],상세표[사번키],INDEX(합계표[사번키],$W996),상세표[기록월],"&lt;&gt;"&amp;대상월키,상세표[반영월],대상월키))</f>
        <v/>
      </c>
      <c r="J996">
        <f>IF($W996="","",SUMIFS(상세표[기록 시간외],상세표[사번키],INDEX(합계표[사번키],$W996),상세표[반영월],대상월키))</f>
        <v/>
      </c>
      <c r="K996">
        <f>IF($W996="","",IFERROR(INDEX(월별근무지표[적용 급여병원],MATCH(INDEX(합계표[사번키],$W996)&amp;"|"&amp;대상월키,월별근무지표[키],0))&amp;"",IF(COUNTIF(기관표[사번키],INDEX(합계표[사번키],$W996))+COUNTIF(월별근무지표[사번키],INDEX(합계표[사번키],$W996))&gt;0,IFERROR(INDEX(기관표[급여지급병원(기준월)],MATCH(INDEX(합계표[사번키],$W996)&amp;"|"&amp;대상월키,기관표[키],0))&amp;"","—"),"—")))</f>
        <v/>
      </c>
      <c r="L996">
        <f>IF($W996="","",IF(NOT(COUNTIF(기관표[사번키],INDEX(합계표[사번키],$W996))+COUNTIF(월별근무지표[사번키],INDEX(합계표[사번키],$W996))&gt;0),"기관명단에 없음(다른 병원으로 발송)",IF($K996="—","대상월 기관명단 없음(추가 필요)",IF($K996="서울병원","해당","비해당"))))</f>
        <v/>
      </c>
      <c r="M996">
        <f>IF($W996="","",SUMIFS(상세표[06~07시],상세표[사번키],INDEX(합계표[사번키],$W996),상세표[반영월],대상월키,상세표[반영 기관],"서울병원"))</f>
        <v/>
      </c>
      <c r="N996">
        <f>IF($W996="","",SUMIFS(상세표[07~18시],상세표[사번키],INDEX(합계표[사번키],$W996),상세표[반영월],대상월키,상세표[반영 기관],"서울병원"))</f>
        <v/>
      </c>
      <c r="O996">
        <f>IF($W996="","",SUMIFS(상세표[18~22시],상세표[사번키],INDEX(합계표[사번키],$W996),상세표[반영월],대상월키,상세표[반영 기관],"서울병원"))</f>
        <v/>
      </c>
      <c r="P996">
        <f>IF($W996="","",SUMIFS(상세표[22~06시],상세표[사번키],INDEX(합계표[사번키],$W996),상세표[반영월],대상월키,상세표[반영 기관],"서울병원"))</f>
        <v/>
      </c>
      <c r="Q996">
        <f>IF($W996="","",SUM($M996:$P996))</f>
        <v/>
      </c>
      <c r="R996">
        <f>IF($W996="","",COUNTIFS(상세표[사번키],INDEX(합계표[사번키],$W996),상세표[반영월],대상월키,상세표[야간당직],1,상세표[야간 구분],"평일"))</f>
        <v/>
      </c>
      <c r="S996" s="4">
        <f>IF($W996="","",COUNTIFS(상세표[사번키],INDEX(합계표[사번키],$W996),상세표[반영월],대상월키,상세표[야간당직],1,상세표[야간 구분],"휴일"))</f>
        <v/>
      </c>
      <c r="T996">
        <f>IF($W996="","",COUNTIFS(상세표[사번키],INDEX(합계표[사번키],$W996),상세표[반영월],대상월키,상세표[야간당직],1,상세표[야간 구분],"평일",상세표[반영 기관],"서울병원"))</f>
        <v/>
      </c>
      <c r="U996">
        <f>IF($W996="","",COUNTIFS(상세표[사번키],INDEX(합계표[사번키],$W996),상세표[반영월],대상월키,상세표[야간당직],1,상세표[야간 구분],"휴일",상세표[반영 기관],"서울병원"))</f>
        <v/>
      </c>
      <c r="V996">
        <f>IF($W996="","",IF(ISNUMBER(MATCH(INDEX(합계표[사번키],$W996)&amp;"|"&amp;대상월키,월별근무지표[키],0)),"직접 입력",IF($K996="—","—","기관명단")))</f>
        <v/>
      </c>
      <c r="W996">
        <f>IFERROR(MATCH(991,합계표[판정순번],0),"")</f>
        <v/>
      </c>
    </row>
    <row r="997">
      <c r="A997">
        <f>IF($W997="","",INDEX(합계표[사번],$W997)&amp;"")</f>
        <v/>
      </c>
      <c r="B997">
        <f>IF($W997="","",INDEX(합계표[성명],$W997)&amp;"")</f>
        <v/>
      </c>
      <c r="C997">
        <f>IF($W997="","",INDEX(합계표[부서],$W997)&amp;"")</f>
        <v/>
      </c>
      <c r="D997">
        <f>IF($W997="","",INDEX(합계표[직위(통합)],$W997)&amp;"")</f>
        <v/>
      </c>
      <c r="E997">
        <f>IF($W997="","",SUMIFS(합계표[시스템 합계],합계표[사번키],INDEX(합계표[사번키],$W997)))</f>
        <v/>
      </c>
      <c r="F997">
        <f>IF($W997="","",SUMIFS(상세표[기록 시간외],상세표[사번키],INDEX(합계표[사번키],$W997),상세표[기록월],대상월키))</f>
        <v/>
      </c>
      <c r="G997">
        <f>IF($W997="","",IF(ABS($E997-$F997)&lt;0.01,"일치","불일치(차이 "&amp;TEXT($F997-$E997,"0.00")&amp;")"))</f>
        <v/>
      </c>
      <c r="H997">
        <f>IF($W997="","",SUMIFS(상세표[기록 시간외],상세표[사번키],INDEX(합계표[사번키],$W997),상세표[기록월],대상월키,상세표[반영월],"&lt;&gt;"&amp;대상월키))</f>
        <v/>
      </c>
      <c r="I997">
        <f>IF($W997="","",SUMIFS(상세표[기록 시간외],상세표[사번키],INDEX(합계표[사번키],$W997),상세표[기록월],"&lt;&gt;"&amp;대상월키,상세표[반영월],대상월키))</f>
        <v/>
      </c>
      <c r="J997">
        <f>IF($W997="","",SUMIFS(상세표[기록 시간외],상세표[사번키],INDEX(합계표[사번키],$W997),상세표[반영월],대상월키))</f>
        <v/>
      </c>
      <c r="K997">
        <f>IF($W997="","",IFERROR(INDEX(월별근무지표[적용 급여병원],MATCH(INDEX(합계표[사번키],$W997)&amp;"|"&amp;대상월키,월별근무지표[키],0))&amp;"",IF(COUNTIF(기관표[사번키],INDEX(합계표[사번키],$W997))+COUNTIF(월별근무지표[사번키],INDEX(합계표[사번키],$W997))&gt;0,IFERROR(INDEX(기관표[급여지급병원(기준월)],MATCH(INDEX(합계표[사번키],$W997)&amp;"|"&amp;대상월키,기관표[키],0))&amp;"","—"),"—")))</f>
        <v/>
      </c>
      <c r="L997">
        <f>IF($W997="","",IF(NOT(COUNTIF(기관표[사번키],INDEX(합계표[사번키],$W997))+COUNTIF(월별근무지표[사번키],INDEX(합계표[사번키],$W997))&gt;0),"기관명단에 없음(다른 병원으로 발송)",IF($K997="—","대상월 기관명단 없음(추가 필요)",IF($K997="서울병원","해당","비해당"))))</f>
        <v/>
      </c>
      <c r="M997">
        <f>IF($W997="","",SUMIFS(상세표[06~07시],상세표[사번키],INDEX(합계표[사번키],$W997),상세표[반영월],대상월키,상세표[반영 기관],"서울병원"))</f>
        <v/>
      </c>
      <c r="N997">
        <f>IF($W997="","",SUMIFS(상세표[07~18시],상세표[사번키],INDEX(합계표[사번키],$W997),상세표[반영월],대상월키,상세표[반영 기관],"서울병원"))</f>
        <v/>
      </c>
      <c r="O997">
        <f>IF($W997="","",SUMIFS(상세표[18~22시],상세표[사번키],INDEX(합계표[사번키],$W997),상세표[반영월],대상월키,상세표[반영 기관],"서울병원"))</f>
        <v/>
      </c>
      <c r="P997">
        <f>IF($W997="","",SUMIFS(상세표[22~06시],상세표[사번키],INDEX(합계표[사번키],$W997),상세표[반영월],대상월키,상세표[반영 기관],"서울병원"))</f>
        <v/>
      </c>
      <c r="Q997">
        <f>IF($W997="","",SUM($M997:$P997))</f>
        <v/>
      </c>
      <c r="R997">
        <f>IF($W997="","",COUNTIFS(상세표[사번키],INDEX(합계표[사번키],$W997),상세표[반영월],대상월키,상세표[야간당직],1,상세표[야간 구분],"평일"))</f>
        <v/>
      </c>
      <c r="S997" s="4">
        <f>IF($W997="","",COUNTIFS(상세표[사번키],INDEX(합계표[사번키],$W997),상세표[반영월],대상월키,상세표[야간당직],1,상세표[야간 구분],"휴일"))</f>
        <v/>
      </c>
      <c r="T997">
        <f>IF($W997="","",COUNTIFS(상세표[사번키],INDEX(합계표[사번키],$W997),상세표[반영월],대상월키,상세표[야간당직],1,상세표[야간 구분],"평일",상세표[반영 기관],"서울병원"))</f>
        <v/>
      </c>
      <c r="U997">
        <f>IF($W997="","",COUNTIFS(상세표[사번키],INDEX(합계표[사번키],$W997),상세표[반영월],대상월키,상세표[야간당직],1,상세표[야간 구분],"휴일",상세표[반영 기관],"서울병원"))</f>
        <v/>
      </c>
      <c r="V997">
        <f>IF($W997="","",IF(ISNUMBER(MATCH(INDEX(합계표[사번키],$W997)&amp;"|"&amp;대상월키,월별근무지표[키],0)),"직접 입력",IF($K997="—","—","기관명단")))</f>
        <v/>
      </c>
      <c r="W997">
        <f>IFERROR(MATCH(992,합계표[판정순번],0),"")</f>
        <v/>
      </c>
    </row>
    <row r="998">
      <c r="A998">
        <f>IF($W998="","",INDEX(합계표[사번],$W998)&amp;"")</f>
        <v/>
      </c>
      <c r="B998">
        <f>IF($W998="","",INDEX(합계표[성명],$W998)&amp;"")</f>
        <v/>
      </c>
      <c r="C998">
        <f>IF($W998="","",INDEX(합계표[부서],$W998)&amp;"")</f>
        <v/>
      </c>
      <c r="D998">
        <f>IF($W998="","",INDEX(합계표[직위(통합)],$W998)&amp;"")</f>
        <v/>
      </c>
      <c r="E998">
        <f>IF($W998="","",SUMIFS(합계표[시스템 합계],합계표[사번키],INDEX(합계표[사번키],$W998)))</f>
        <v/>
      </c>
      <c r="F998">
        <f>IF($W998="","",SUMIFS(상세표[기록 시간외],상세표[사번키],INDEX(합계표[사번키],$W998),상세표[기록월],대상월키))</f>
        <v/>
      </c>
      <c r="G998">
        <f>IF($W998="","",IF(ABS($E998-$F998)&lt;0.01,"일치","불일치(차이 "&amp;TEXT($F998-$E998,"0.00")&amp;")"))</f>
        <v/>
      </c>
      <c r="H998">
        <f>IF($W998="","",SUMIFS(상세표[기록 시간외],상세표[사번키],INDEX(합계표[사번키],$W998),상세표[기록월],대상월키,상세표[반영월],"&lt;&gt;"&amp;대상월키))</f>
        <v/>
      </c>
      <c r="I998">
        <f>IF($W998="","",SUMIFS(상세표[기록 시간외],상세표[사번키],INDEX(합계표[사번키],$W998),상세표[기록월],"&lt;&gt;"&amp;대상월키,상세표[반영월],대상월키))</f>
        <v/>
      </c>
      <c r="J998">
        <f>IF($W998="","",SUMIFS(상세표[기록 시간외],상세표[사번키],INDEX(합계표[사번키],$W998),상세표[반영월],대상월키))</f>
        <v/>
      </c>
      <c r="K998">
        <f>IF($W998="","",IFERROR(INDEX(월별근무지표[적용 급여병원],MATCH(INDEX(합계표[사번키],$W998)&amp;"|"&amp;대상월키,월별근무지표[키],0))&amp;"",IF(COUNTIF(기관표[사번키],INDEX(합계표[사번키],$W998))+COUNTIF(월별근무지표[사번키],INDEX(합계표[사번키],$W998))&gt;0,IFERROR(INDEX(기관표[급여지급병원(기준월)],MATCH(INDEX(합계표[사번키],$W998)&amp;"|"&amp;대상월키,기관표[키],0))&amp;"","—"),"—")))</f>
        <v/>
      </c>
      <c r="L998">
        <f>IF($W998="","",IF(NOT(COUNTIF(기관표[사번키],INDEX(합계표[사번키],$W998))+COUNTIF(월별근무지표[사번키],INDEX(합계표[사번키],$W998))&gt;0),"기관명단에 없음(다른 병원으로 발송)",IF($K998="—","대상월 기관명단 없음(추가 필요)",IF($K998="서울병원","해당","비해당"))))</f>
        <v/>
      </c>
      <c r="M998">
        <f>IF($W998="","",SUMIFS(상세표[06~07시],상세표[사번키],INDEX(합계표[사번키],$W998),상세표[반영월],대상월키,상세표[반영 기관],"서울병원"))</f>
        <v/>
      </c>
      <c r="N998">
        <f>IF($W998="","",SUMIFS(상세표[07~18시],상세표[사번키],INDEX(합계표[사번키],$W998),상세표[반영월],대상월키,상세표[반영 기관],"서울병원"))</f>
        <v/>
      </c>
      <c r="O998">
        <f>IF($W998="","",SUMIFS(상세표[18~22시],상세표[사번키],INDEX(합계표[사번키],$W998),상세표[반영월],대상월키,상세표[반영 기관],"서울병원"))</f>
        <v/>
      </c>
      <c r="P998">
        <f>IF($W998="","",SUMIFS(상세표[22~06시],상세표[사번키],INDEX(합계표[사번키],$W998),상세표[반영월],대상월키,상세표[반영 기관],"서울병원"))</f>
        <v/>
      </c>
      <c r="Q998">
        <f>IF($W998="","",SUM($M998:$P998))</f>
        <v/>
      </c>
      <c r="R998">
        <f>IF($W998="","",COUNTIFS(상세표[사번키],INDEX(합계표[사번키],$W998),상세표[반영월],대상월키,상세표[야간당직],1,상세표[야간 구분],"평일"))</f>
        <v/>
      </c>
      <c r="S998" s="4">
        <f>IF($W998="","",COUNTIFS(상세표[사번키],INDEX(합계표[사번키],$W998),상세표[반영월],대상월키,상세표[야간당직],1,상세표[야간 구분],"휴일"))</f>
        <v/>
      </c>
      <c r="T998">
        <f>IF($W998="","",COUNTIFS(상세표[사번키],INDEX(합계표[사번키],$W998),상세표[반영월],대상월키,상세표[야간당직],1,상세표[야간 구분],"평일",상세표[반영 기관],"서울병원"))</f>
        <v/>
      </c>
      <c r="U998">
        <f>IF($W998="","",COUNTIFS(상세표[사번키],INDEX(합계표[사번키],$W998),상세표[반영월],대상월키,상세표[야간당직],1,상세표[야간 구분],"휴일",상세표[반영 기관],"서울병원"))</f>
        <v/>
      </c>
      <c r="V998">
        <f>IF($W998="","",IF(ISNUMBER(MATCH(INDEX(합계표[사번키],$W998)&amp;"|"&amp;대상월키,월별근무지표[키],0)),"직접 입력",IF($K998="—","—","기관명단")))</f>
        <v/>
      </c>
      <c r="W998">
        <f>IFERROR(MATCH(993,합계표[판정순번],0),"")</f>
        <v/>
      </c>
    </row>
    <row r="999">
      <c r="A999">
        <f>IF($W999="","",INDEX(합계표[사번],$W999)&amp;"")</f>
        <v/>
      </c>
      <c r="B999">
        <f>IF($W999="","",INDEX(합계표[성명],$W999)&amp;"")</f>
        <v/>
      </c>
      <c r="C999">
        <f>IF($W999="","",INDEX(합계표[부서],$W999)&amp;"")</f>
        <v/>
      </c>
      <c r="D999">
        <f>IF($W999="","",INDEX(합계표[직위(통합)],$W999)&amp;"")</f>
        <v/>
      </c>
      <c r="E999">
        <f>IF($W999="","",SUMIFS(합계표[시스템 합계],합계표[사번키],INDEX(합계표[사번키],$W999)))</f>
        <v/>
      </c>
      <c r="F999">
        <f>IF($W999="","",SUMIFS(상세표[기록 시간외],상세표[사번키],INDEX(합계표[사번키],$W999),상세표[기록월],대상월키))</f>
        <v/>
      </c>
      <c r="G999">
        <f>IF($W999="","",IF(ABS($E999-$F999)&lt;0.01,"일치","불일치(차이 "&amp;TEXT($F999-$E999,"0.00")&amp;")"))</f>
        <v/>
      </c>
      <c r="H999">
        <f>IF($W999="","",SUMIFS(상세표[기록 시간외],상세표[사번키],INDEX(합계표[사번키],$W999),상세표[기록월],대상월키,상세표[반영월],"&lt;&gt;"&amp;대상월키))</f>
        <v/>
      </c>
      <c r="I999">
        <f>IF($W999="","",SUMIFS(상세표[기록 시간외],상세표[사번키],INDEX(합계표[사번키],$W999),상세표[기록월],"&lt;&gt;"&amp;대상월키,상세표[반영월],대상월키))</f>
        <v/>
      </c>
      <c r="J999">
        <f>IF($W999="","",SUMIFS(상세표[기록 시간외],상세표[사번키],INDEX(합계표[사번키],$W999),상세표[반영월],대상월키))</f>
        <v/>
      </c>
      <c r="K999">
        <f>IF($W999="","",IFERROR(INDEX(월별근무지표[적용 급여병원],MATCH(INDEX(합계표[사번키],$W999)&amp;"|"&amp;대상월키,월별근무지표[키],0))&amp;"",IF(COUNTIF(기관표[사번키],INDEX(합계표[사번키],$W999))+COUNTIF(월별근무지표[사번키],INDEX(합계표[사번키],$W999))&gt;0,IFERROR(INDEX(기관표[급여지급병원(기준월)],MATCH(INDEX(합계표[사번키],$W999)&amp;"|"&amp;대상월키,기관표[키],0))&amp;"","—"),"—")))</f>
        <v/>
      </c>
      <c r="L999">
        <f>IF($W999="","",IF(NOT(COUNTIF(기관표[사번키],INDEX(합계표[사번키],$W999))+COUNTIF(월별근무지표[사번키],INDEX(합계표[사번키],$W999))&gt;0),"기관명단에 없음(다른 병원으로 발송)",IF($K999="—","대상월 기관명단 없음(추가 필요)",IF($K999="서울병원","해당","비해당"))))</f>
        <v/>
      </c>
      <c r="M999">
        <f>IF($W999="","",SUMIFS(상세표[06~07시],상세표[사번키],INDEX(합계표[사번키],$W999),상세표[반영월],대상월키,상세표[반영 기관],"서울병원"))</f>
        <v/>
      </c>
      <c r="N999">
        <f>IF($W999="","",SUMIFS(상세표[07~18시],상세표[사번키],INDEX(합계표[사번키],$W999),상세표[반영월],대상월키,상세표[반영 기관],"서울병원"))</f>
        <v/>
      </c>
      <c r="O999">
        <f>IF($W999="","",SUMIFS(상세표[18~22시],상세표[사번키],INDEX(합계표[사번키],$W999),상세표[반영월],대상월키,상세표[반영 기관],"서울병원"))</f>
        <v/>
      </c>
      <c r="P999">
        <f>IF($W999="","",SUMIFS(상세표[22~06시],상세표[사번키],INDEX(합계표[사번키],$W999),상세표[반영월],대상월키,상세표[반영 기관],"서울병원"))</f>
        <v/>
      </c>
      <c r="Q999">
        <f>IF($W999="","",SUM($M999:$P999))</f>
        <v/>
      </c>
      <c r="R999">
        <f>IF($W999="","",COUNTIFS(상세표[사번키],INDEX(합계표[사번키],$W999),상세표[반영월],대상월키,상세표[야간당직],1,상세표[야간 구분],"평일"))</f>
        <v/>
      </c>
      <c r="S999" s="4">
        <f>IF($W999="","",COUNTIFS(상세표[사번키],INDEX(합계표[사번키],$W999),상세표[반영월],대상월키,상세표[야간당직],1,상세표[야간 구분],"휴일"))</f>
        <v/>
      </c>
      <c r="T999">
        <f>IF($W999="","",COUNTIFS(상세표[사번키],INDEX(합계표[사번키],$W999),상세표[반영월],대상월키,상세표[야간당직],1,상세표[야간 구분],"평일",상세표[반영 기관],"서울병원"))</f>
        <v/>
      </c>
      <c r="U999">
        <f>IF($W999="","",COUNTIFS(상세표[사번키],INDEX(합계표[사번키],$W999),상세표[반영월],대상월키,상세표[야간당직],1,상세표[야간 구분],"휴일",상세표[반영 기관],"서울병원"))</f>
        <v/>
      </c>
      <c r="V999">
        <f>IF($W999="","",IF(ISNUMBER(MATCH(INDEX(합계표[사번키],$W999)&amp;"|"&amp;대상월키,월별근무지표[키],0)),"직접 입력",IF($K999="—","—","기관명단")))</f>
        <v/>
      </c>
      <c r="W999">
        <f>IFERROR(MATCH(994,합계표[판정순번],0),"")</f>
        <v/>
      </c>
    </row>
    <row r="1000">
      <c r="A1000">
        <f>IF($W1000="","",INDEX(합계표[사번],$W1000)&amp;"")</f>
        <v/>
      </c>
      <c r="B1000">
        <f>IF($W1000="","",INDEX(합계표[성명],$W1000)&amp;"")</f>
        <v/>
      </c>
      <c r="C1000">
        <f>IF($W1000="","",INDEX(합계표[부서],$W1000)&amp;"")</f>
        <v/>
      </c>
      <c r="D1000">
        <f>IF($W1000="","",INDEX(합계표[직위(통합)],$W1000)&amp;"")</f>
        <v/>
      </c>
      <c r="E1000">
        <f>IF($W1000="","",SUMIFS(합계표[시스템 합계],합계표[사번키],INDEX(합계표[사번키],$W1000)))</f>
        <v/>
      </c>
      <c r="F1000">
        <f>IF($W1000="","",SUMIFS(상세표[기록 시간외],상세표[사번키],INDEX(합계표[사번키],$W1000),상세표[기록월],대상월키))</f>
        <v/>
      </c>
      <c r="G1000">
        <f>IF($W1000="","",IF(ABS($E1000-$F1000)&lt;0.01,"일치","불일치(차이 "&amp;TEXT($F1000-$E1000,"0.00")&amp;")"))</f>
        <v/>
      </c>
      <c r="H1000">
        <f>IF($W1000="","",SUMIFS(상세표[기록 시간외],상세표[사번키],INDEX(합계표[사번키],$W1000),상세표[기록월],대상월키,상세표[반영월],"&lt;&gt;"&amp;대상월키))</f>
        <v/>
      </c>
      <c r="I1000">
        <f>IF($W1000="","",SUMIFS(상세표[기록 시간외],상세표[사번키],INDEX(합계표[사번키],$W1000),상세표[기록월],"&lt;&gt;"&amp;대상월키,상세표[반영월],대상월키))</f>
        <v/>
      </c>
      <c r="J1000">
        <f>IF($W1000="","",SUMIFS(상세표[기록 시간외],상세표[사번키],INDEX(합계표[사번키],$W1000),상세표[반영월],대상월키))</f>
        <v/>
      </c>
      <c r="K1000">
        <f>IF($W1000="","",IFERROR(INDEX(월별근무지표[적용 급여병원],MATCH(INDEX(합계표[사번키],$W1000)&amp;"|"&amp;대상월키,월별근무지표[키],0))&amp;"",IF(COUNTIF(기관표[사번키],INDEX(합계표[사번키],$W1000))+COUNTIF(월별근무지표[사번키],INDEX(합계표[사번키],$W1000))&gt;0,IFERROR(INDEX(기관표[급여지급병원(기준월)],MATCH(INDEX(합계표[사번키],$W1000)&amp;"|"&amp;대상월키,기관표[키],0))&amp;"","—"),"—")))</f>
        <v/>
      </c>
      <c r="L1000">
        <f>IF($W1000="","",IF(NOT(COUNTIF(기관표[사번키],INDEX(합계표[사번키],$W1000))+COUNTIF(월별근무지표[사번키],INDEX(합계표[사번키],$W1000))&gt;0),"기관명단에 없음(다른 병원으로 발송)",IF($K1000="—","대상월 기관명단 없음(추가 필요)",IF($K1000="서울병원","해당","비해당"))))</f>
        <v/>
      </c>
      <c r="M1000">
        <f>IF($W1000="","",SUMIFS(상세표[06~07시],상세표[사번키],INDEX(합계표[사번키],$W1000),상세표[반영월],대상월키,상세표[반영 기관],"서울병원"))</f>
        <v/>
      </c>
      <c r="N1000">
        <f>IF($W1000="","",SUMIFS(상세표[07~18시],상세표[사번키],INDEX(합계표[사번키],$W1000),상세표[반영월],대상월키,상세표[반영 기관],"서울병원"))</f>
        <v/>
      </c>
      <c r="O1000">
        <f>IF($W1000="","",SUMIFS(상세표[18~22시],상세표[사번키],INDEX(합계표[사번키],$W1000),상세표[반영월],대상월키,상세표[반영 기관],"서울병원"))</f>
        <v/>
      </c>
      <c r="P1000">
        <f>IF($W1000="","",SUMIFS(상세표[22~06시],상세표[사번키],INDEX(합계표[사번키],$W1000),상세표[반영월],대상월키,상세표[반영 기관],"서울병원"))</f>
        <v/>
      </c>
      <c r="Q1000">
        <f>IF($W1000="","",SUM($M1000:$P1000))</f>
        <v/>
      </c>
      <c r="R1000">
        <f>IF($W1000="","",COUNTIFS(상세표[사번키],INDEX(합계표[사번키],$W1000),상세표[반영월],대상월키,상세표[야간당직],1,상세표[야간 구분],"평일"))</f>
        <v/>
      </c>
      <c r="S1000" s="4">
        <f>IF($W1000="","",COUNTIFS(상세표[사번키],INDEX(합계표[사번키],$W1000),상세표[반영월],대상월키,상세표[야간당직],1,상세표[야간 구분],"휴일"))</f>
        <v/>
      </c>
      <c r="T1000">
        <f>IF($W1000="","",COUNTIFS(상세표[사번키],INDEX(합계표[사번키],$W1000),상세표[반영월],대상월키,상세표[야간당직],1,상세표[야간 구분],"평일",상세표[반영 기관],"서울병원"))</f>
        <v/>
      </c>
      <c r="U1000">
        <f>IF($W1000="","",COUNTIFS(상세표[사번키],INDEX(합계표[사번키],$W1000),상세표[반영월],대상월키,상세표[야간당직],1,상세표[야간 구분],"휴일",상세표[반영 기관],"서울병원"))</f>
        <v/>
      </c>
      <c r="V1000">
        <f>IF($W1000="","",IF(ISNUMBER(MATCH(INDEX(합계표[사번키],$W1000)&amp;"|"&amp;대상월키,월별근무지표[키],0)),"직접 입력",IF($K1000="—","—","기관명단")))</f>
        <v/>
      </c>
      <c r="W1000">
        <f>IFERROR(MATCH(995,합계표[판정순번],0),"")</f>
        <v/>
      </c>
    </row>
    <row r="1001">
      <c r="A1001">
        <f>IF($W1001="","",INDEX(합계표[사번],$W1001)&amp;"")</f>
        <v/>
      </c>
      <c r="B1001">
        <f>IF($W1001="","",INDEX(합계표[성명],$W1001)&amp;"")</f>
        <v/>
      </c>
      <c r="C1001">
        <f>IF($W1001="","",INDEX(합계표[부서],$W1001)&amp;"")</f>
        <v/>
      </c>
      <c r="D1001">
        <f>IF($W1001="","",INDEX(합계표[직위(통합)],$W1001)&amp;"")</f>
        <v/>
      </c>
      <c r="E1001">
        <f>IF($W1001="","",SUMIFS(합계표[시스템 합계],합계표[사번키],INDEX(합계표[사번키],$W1001)))</f>
        <v/>
      </c>
      <c r="F1001">
        <f>IF($W1001="","",SUMIFS(상세표[기록 시간외],상세표[사번키],INDEX(합계표[사번키],$W1001),상세표[기록월],대상월키))</f>
        <v/>
      </c>
      <c r="G1001">
        <f>IF($W1001="","",IF(ABS($E1001-$F1001)&lt;0.01,"일치","불일치(차이 "&amp;TEXT($F1001-$E1001,"0.00")&amp;")"))</f>
        <v/>
      </c>
      <c r="H1001">
        <f>IF($W1001="","",SUMIFS(상세표[기록 시간외],상세표[사번키],INDEX(합계표[사번키],$W1001),상세표[기록월],대상월키,상세표[반영월],"&lt;&gt;"&amp;대상월키))</f>
        <v/>
      </c>
      <c r="I1001">
        <f>IF($W1001="","",SUMIFS(상세표[기록 시간외],상세표[사번키],INDEX(합계표[사번키],$W1001),상세표[기록월],"&lt;&gt;"&amp;대상월키,상세표[반영월],대상월키))</f>
        <v/>
      </c>
      <c r="J1001">
        <f>IF($W1001="","",SUMIFS(상세표[기록 시간외],상세표[사번키],INDEX(합계표[사번키],$W1001),상세표[반영월],대상월키))</f>
        <v/>
      </c>
      <c r="K1001">
        <f>IF($W1001="","",IFERROR(INDEX(월별근무지표[적용 급여병원],MATCH(INDEX(합계표[사번키],$W1001)&amp;"|"&amp;대상월키,월별근무지표[키],0))&amp;"",IF(COUNTIF(기관표[사번키],INDEX(합계표[사번키],$W1001))+COUNTIF(월별근무지표[사번키],INDEX(합계표[사번키],$W1001))&gt;0,IFERROR(INDEX(기관표[급여지급병원(기준월)],MATCH(INDEX(합계표[사번키],$W1001)&amp;"|"&amp;대상월키,기관표[키],0))&amp;"","—"),"—")))</f>
        <v/>
      </c>
      <c r="L1001">
        <f>IF($W1001="","",IF(NOT(COUNTIF(기관표[사번키],INDEX(합계표[사번키],$W1001))+COUNTIF(월별근무지표[사번키],INDEX(합계표[사번키],$W1001))&gt;0),"기관명단에 없음(다른 병원으로 발송)",IF($K1001="—","대상월 기관명단 없음(추가 필요)",IF($K1001="서울병원","해당","비해당"))))</f>
        <v/>
      </c>
      <c r="M1001">
        <f>IF($W1001="","",SUMIFS(상세표[06~07시],상세표[사번키],INDEX(합계표[사번키],$W1001),상세표[반영월],대상월키,상세표[반영 기관],"서울병원"))</f>
        <v/>
      </c>
      <c r="N1001">
        <f>IF($W1001="","",SUMIFS(상세표[07~18시],상세표[사번키],INDEX(합계표[사번키],$W1001),상세표[반영월],대상월키,상세표[반영 기관],"서울병원"))</f>
        <v/>
      </c>
      <c r="O1001">
        <f>IF($W1001="","",SUMIFS(상세표[18~22시],상세표[사번키],INDEX(합계표[사번키],$W1001),상세표[반영월],대상월키,상세표[반영 기관],"서울병원"))</f>
        <v/>
      </c>
      <c r="P1001">
        <f>IF($W1001="","",SUMIFS(상세표[22~06시],상세표[사번키],INDEX(합계표[사번키],$W1001),상세표[반영월],대상월키,상세표[반영 기관],"서울병원"))</f>
        <v/>
      </c>
      <c r="Q1001">
        <f>IF($W1001="","",SUM($M1001:$P1001))</f>
        <v/>
      </c>
      <c r="R1001">
        <f>IF($W1001="","",COUNTIFS(상세표[사번키],INDEX(합계표[사번키],$W1001),상세표[반영월],대상월키,상세표[야간당직],1,상세표[야간 구분],"평일"))</f>
        <v/>
      </c>
      <c r="S1001" s="4">
        <f>IF($W1001="","",COUNTIFS(상세표[사번키],INDEX(합계표[사번키],$W1001),상세표[반영월],대상월키,상세표[야간당직],1,상세표[야간 구분],"휴일"))</f>
        <v/>
      </c>
      <c r="T1001">
        <f>IF($W1001="","",COUNTIFS(상세표[사번키],INDEX(합계표[사번키],$W1001),상세표[반영월],대상월키,상세표[야간당직],1,상세표[야간 구분],"평일",상세표[반영 기관],"서울병원"))</f>
        <v/>
      </c>
      <c r="U1001">
        <f>IF($W1001="","",COUNTIFS(상세표[사번키],INDEX(합계표[사번키],$W1001),상세표[반영월],대상월키,상세표[야간당직],1,상세표[야간 구분],"휴일",상세표[반영 기관],"서울병원"))</f>
        <v/>
      </c>
      <c r="V1001">
        <f>IF($W1001="","",IF(ISNUMBER(MATCH(INDEX(합계표[사번키],$W1001)&amp;"|"&amp;대상월키,월별근무지표[키],0)),"직접 입력",IF($K1001="—","—","기관명단")))</f>
        <v/>
      </c>
      <c r="W1001">
        <f>IFERROR(MATCH(996,합계표[판정순번],0),"")</f>
        <v/>
      </c>
    </row>
    <row r="1002">
      <c r="A1002">
        <f>IF($W1002="","",INDEX(합계표[사번],$W1002)&amp;"")</f>
        <v/>
      </c>
      <c r="B1002">
        <f>IF($W1002="","",INDEX(합계표[성명],$W1002)&amp;"")</f>
        <v/>
      </c>
      <c r="C1002">
        <f>IF($W1002="","",INDEX(합계표[부서],$W1002)&amp;"")</f>
        <v/>
      </c>
      <c r="D1002">
        <f>IF($W1002="","",INDEX(합계표[직위(통합)],$W1002)&amp;"")</f>
        <v/>
      </c>
      <c r="E1002">
        <f>IF($W1002="","",SUMIFS(합계표[시스템 합계],합계표[사번키],INDEX(합계표[사번키],$W1002)))</f>
        <v/>
      </c>
      <c r="F1002">
        <f>IF($W1002="","",SUMIFS(상세표[기록 시간외],상세표[사번키],INDEX(합계표[사번키],$W1002),상세표[기록월],대상월키))</f>
        <v/>
      </c>
      <c r="G1002">
        <f>IF($W1002="","",IF(ABS($E1002-$F1002)&lt;0.01,"일치","불일치(차이 "&amp;TEXT($F1002-$E1002,"0.00")&amp;")"))</f>
        <v/>
      </c>
      <c r="H1002">
        <f>IF($W1002="","",SUMIFS(상세표[기록 시간외],상세표[사번키],INDEX(합계표[사번키],$W1002),상세표[기록월],대상월키,상세표[반영월],"&lt;&gt;"&amp;대상월키))</f>
        <v/>
      </c>
      <c r="I1002">
        <f>IF($W1002="","",SUMIFS(상세표[기록 시간외],상세표[사번키],INDEX(합계표[사번키],$W1002),상세표[기록월],"&lt;&gt;"&amp;대상월키,상세표[반영월],대상월키))</f>
        <v/>
      </c>
      <c r="J1002">
        <f>IF($W1002="","",SUMIFS(상세표[기록 시간외],상세표[사번키],INDEX(합계표[사번키],$W1002),상세표[반영월],대상월키))</f>
        <v/>
      </c>
      <c r="K1002">
        <f>IF($W1002="","",IFERROR(INDEX(월별근무지표[적용 급여병원],MATCH(INDEX(합계표[사번키],$W1002)&amp;"|"&amp;대상월키,월별근무지표[키],0))&amp;"",IF(COUNTIF(기관표[사번키],INDEX(합계표[사번키],$W1002))+COUNTIF(월별근무지표[사번키],INDEX(합계표[사번키],$W1002))&gt;0,IFERROR(INDEX(기관표[급여지급병원(기준월)],MATCH(INDEX(합계표[사번키],$W1002)&amp;"|"&amp;대상월키,기관표[키],0))&amp;"","—"),"—")))</f>
        <v/>
      </c>
      <c r="L1002">
        <f>IF($W1002="","",IF(NOT(COUNTIF(기관표[사번키],INDEX(합계표[사번키],$W1002))+COUNTIF(월별근무지표[사번키],INDEX(합계표[사번키],$W1002))&gt;0),"기관명단에 없음(다른 병원으로 발송)",IF($K1002="—","대상월 기관명단 없음(추가 필요)",IF($K1002="서울병원","해당","비해당"))))</f>
        <v/>
      </c>
      <c r="M1002">
        <f>IF($W1002="","",SUMIFS(상세표[06~07시],상세표[사번키],INDEX(합계표[사번키],$W1002),상세표[반영월],대상월키,상세표[반영 기관],"서울병원"))</f>
        <v/>
      </c>
      <c r="N1002">
        <f>IF($W1002="","",SUMIFS(상세표[07~18시],상세표[사번키],INDEX(합계표[사번키],$W1002),상세표[반영월],대상월키,상세표[반영 기관],"서울병원"))</f>
        <v/>
      </c>
      <c r="O1002">
        <f>IF($W1002="","",SUMIFS(상세표[18~22시],상세표[사번키],INDEX(합계표[사번키],$W1002),상세표[반영월],대상월키,상세표[반영 기관],"서울병원"))</f>
        <v/>
      </c>
      <c r="P1002">
        <f>IF($W1002="","",SUMIFS(상세표[22~06시],상세표[사번키],INDEX(합계표[사번키],$W1002),상세표[반영월],대상월키,상세표[반영 기관],"서울병원"))</f>
        <v/>
      </c>
      <c r="Q1002">
        <f>IF($W1002="","",SUM($M1002:$P1002))</f>
        <v/>
      </c>
      <c r="R1002">
        <f>IF($W1002="","",COUNTIFS(상세표[사번키],INDEX(합계표[사번키],$W1002),상세표[반영월],대상월키,상세표[야간당직],1,상세표[야간 구분],"평일"))</f>
        <v/>
      </c>
      <c r="S1002" s="4">
        <f>IF($W1002="","",COUNTIFS(상세표[사번키],INDEX(합계표[사번키],$W1002),상세표[반영월],대상월키,상세표[야간당직],1,상세표[야간 구분],"휴일"))</f>
        <v/>
      </c>
      <c r="T1002">
        <f>IF($W1002="","",COUNTIFS(상세표[사번키],INDEX(합계표[사번키],$W1002),상세표[반영월],대상월키,상세표[야간당직],1,상세표[야간 구분],"평일",상세표[반영 기관],"서울병원"))</f>
        <v/>
      </c>
      <c r="U1002">
        <f>IF($W1002="","",COUNTIFS(상세표[사번키],INDEX(합계표[사번키],$W1002),상세표[반영월],대상월키,상세표[야간당직],1,상세표[야간 구분],"휴일",상세표[반영 기관],"서울병원"))</f>
        <v/>
      </c>
      <c r="V1002">
        <f>IF($W1002="","",IF(ISNUMBER(MATCH(INDEX(합계표[사번키],$W1002)&amp;"|"&amp;대상월키,월별근무지표[키],0)),"직접 입력",IF($K1002="—","—","기관명단")))</f>
        <v/>
      </c>
      <c r="W1002">
        <f>IFERROR(MATCH(997,합계표[판정순번],0),"")</f>
        <v/>
      </c>
    </row>
    <row r="1003">
      <c r="A1003">
        <f>IF($W1003="","",INDEX(합계표[사번],$W1003)&amp;"")</f>
        <v/>
      </c>
      <c r="B1003">
        <f>IF($W1003="","",INDEX(합계표[성명],$W1003)&amp;"")</f>
        <v/>
      </c>
      <c r="C1003">
        <f>IF($W1003="","",INDEX(합계표[부서],$W1003)&amp;"")</f>
        <v/>
      </c>
      <c r="D1003">
        <f>IF($W1003="","",INDEX(합계표[직위(통합)],$W1003)&amp;"")</f>
        <v/>
      </c>
      <c r="E1003">
        <f>IF($W1003="","",SUMIFS(합계표[시스템 합계],합계표[사번키],INDEX(합계표[사번키],$W1003)))</f>
        <v/>
      </c>
      <c r="F1003">
        <f>IF($W1003="","",SUMIFS(상세표[기록 시간외],상세표[사번키],INDEX(합계표[사번키],$W1003),상세표[기록월],대상월키))</f>
        <v/>
      </c>
      <c r="G1003">
        <f>IF($W1003="","",IF(ABS($E1003-$F1003)&lt;0.01,"일치","불일치(차이 "&amp;TEXT($F1003-$E1003,"0.00")&amp;")"))</f>
        <v/>
      </c>
      <c r="H1003">
        <f>IF($W1003="","",SUMIFS(상세표[기록 시간외],상세표[사번키],INDEX(합계표[사번키],$W1003),상세표[기록월],대상월키,상세표[반영월],"&lt;&gt;"&amp;대상월키))</f>
        <v/>
      </c>
      <c r="I1003">
        <f>IF($W1003="","",SUMIFS(상세표[기록 시간외],상세표[사번키],INDEX(합계표[사번키],$W1003),상세표[기록월],"&lt;&gt;"&amp;대상월키,상세표[반영월],대상월키))</f>
        <v/>
      </c>
      <c r="J1003">
        <f>IF($W1003="","",SUMIFS(상세표[기록 시간외],상세표[사번키],INDEX(합계표[사번키],$W1003),상세표[반영월],대상월키))</f>
        <v/>
      </c>
      <c r="K1003">
        <f>IF($W1003="","",IFERROR(INDEX(월별근무지표[적용 급여병원],MATCH(INDEX(합계표[사번키],$W1003)&amp;"|"&amp;대상월키,월별근무지표[키],0))&amp;"",IF(COUNTIF(기관표[사번키],INDEX(합계표[사번키],$W1003))+COUNTIF(월별근무지표[사번키],INDEX(합계표[사번키],$W1003))&gt;0,IFERROR(INDEX(기관표[급여지급병원(기준월)],MATCH(INDEX(합계표[사번키],$W1003)&amp;"|"&amp;대상월키,기관표[키],0))&amp;"","—"),"—")))</f>
        <v/>
      </c>
      <c r="L1003">
        <f>IF($W1003="","",IF(NOT(COUNTIF(기관표[사번키],INDEX(합계표[사번키],$W1003))+COUNTIF(월별근무지표[사번키],INDEX(합계표[사번키],$W1003))&gt;0),"기관명단에 없음(다른 병원으로 발송)",IF($K1003="—","대상월 기관명단 없음(추가 필요)",IF($K1003="서울병원","해당","비해당"))))</f>
        <v/>
      </c>
      <c r="M1003">
        <f>IF($W1003="","",SUMIFS(상세표[06~07시],상세표[사번키],INDEX(합계표[사번키],$W1003),상세표[반영월],대상월키,상세표[반영 기관],"서울병원"))</f>
        <v/>
      </c>
      <c r="N1003">
        <f>IF($W1003="","",SUMIFS(상세표[07~18시],상세표[사번키],INDEX(합계표[사번키],$W1003),상세표[반영월],대상월키,상세표[반영 기관],"서울병원"))</f>
        <v/>
      </c>
      <c r="O1003">
        <f>IF($W1003="","",SUMIFS(상세표[18~22시],상세표[사번키],INDEX(합계표[사번키],$W1003),상세표[반영월],대상월키,상세표[반영 기관],"서울병원"))</f>
        <v/>
      </c>
      <c r="P1003">
        <f>IF($W1003="","",SUMIFS(상세표[22~06시],상세표[사번키],INDEX(합계표[사번키],$W1003),상세표[반영월],대상월키,상세표[반영 기관],"서울병원"))</f>
        <v/>
      </c>
      <c r="Q1003">
        <f>IF($W1003="","",SUM($M1003:$P1003))</f>
        <v/>
      </c>
      <c r="R1003">
        <f>IF($W1003="","",COUNTIFS(상세표[사번키],INDEX(합계표[사번키],$W1003),상세표[반영월],대상월키,상세표[야간당직],1,상세표[야간 구분],"평일"))</f>
        <v/>
      </c>
      <c r="S1003" s="4">
        <f>IF($W1003="","",COUNTIFS(상세표[사번키],INDEX(합계표[사번키],$W1003),상세표[반영월],대상월키,상세표[야간당직],1,상세표[야간 구분],"휴일"))</f>
        <v/>
      </c>
      <c r="T1003">
        <f>IF($W1003="","",COUNTIFS(상세표[사번키],INDEX(합계표[사번키],$W1003),상세표[반영월],대상월키,상세표[야간당직],1,상세표[야간 구분],"평일",상세표[반영 기관],"서울병원"))</f>
        <v/>
      </c>
      <c r="U1003">
        <f>IF($W1003="","",COUNTIFS(상세표[사번키],INDEX(합계표[사번키],$W1003),상세표[반영월],대상월키,상세표[야간당직],1,상세표[야간 구분],"휴일",상세표[반영 기관],"서울병원"))</f>
        <v/>
      </c>
      <c r="V1003">
        <f>IF($W1003="","",IF(ISNUMBER(MATCH(INDEX(합계표[사번키],$W1003)&amp;"|"&amp;대상월키,월별근무지표[키],0)),"직접 입력",IF($K1003="—","—","기관명단")))</f>
        <v/>
      </c>
      <c r="W1003">
        <f>IFERROR(MATCH(998,합계표[판정순번],0),"")</f>
        <v/>
      </c>
    </row>
    <row r="1004">
      <c r="A1004">
        <f>IF($W1004="","",INDEX(합계표[사번],$W1004)&amp;"")</f>
        <v/>
      </c>
      <c r="B1004">
        <f>IF($W1004="","",INDEX(합계표[성명],$W1004)&amp;"")</f>
        <v/>
      </c>
      <c r="C1004">
        <f>IF($W1004="","",INDEX(합계표[부서],$W1004)&amp;"")</f>
        <v/>
      </c>
      <c r="D1004">
        <f>IF($W1004="","",INDEX(합계표[직위(통합)],$W1004)&amp;"")</f>
        <v/>
      </c>
      <c r="E1004">
        <f>IF($W1004="","",SUMIFS(합계표[시스템 합계],합계표[사번키],INDEX(합계표[사번키],$W1004)))</f>
        <v/>
      </c>
      <c r="F1004">
        <f>IF($W1004="","",SUMIFS(상세표[기록 시간외],상세표[사번키],INDEX(합계표[사번키],$W1004),상세표[기록월],대상월키))</f>
        <v/>
      </c>
      <c r="G1004">
        <f>IF($W1004="","",IF(ABS($E1004-$F1004)&lt;0.01,"일치","불일치(차이 "&amp;TEXT($F1004-$E1004,"0.00")&amp;")"))</f>
        <v/>
      </c>
      <c r="H1004">
        <f>IF($W1004="","",SUMIFS(상세표[기록 시간외],상세표[사번키],INDEX(합계표[사번키],$W1004),상세표[기록월],대상월키,상세표[반영월],"&lt;&gt;"&amp;대상월키))</f>
        <v/>
      </c>
      <c r="I1004">
        <f>IF($W1004="","",SUMIFS(상세표[기록 시간외],상세표[사번키],INDEX(합계표[사번키],$W1004),상세표[기록월],"&lt;&gt;"&amp;대상월키,상세표[반영월],대상월키))</f>
        <v/>
      </c>
      <c r="J1004">
        <f>IF($W1004="","",SUMIFS(상세표[기록 시간외],상세표[사번키],INDEX(합계표[사번키],$W1004),상세표[반영월],대상월키))</f>
        <v/>
      </c>
      <c r="K1004">
        <f>IF($W1004="","",IFERROR(INDEX(월별근무지표[적용 급여병원],MATCH(INDEX(합계표[사번키],$W1004)&amp;"|"&amp;대상월키,월별근무지표[키],0))&amp;"",IF(COUNTIF(기관표[사번키],INDEX(합계표[사번키],$W1004))+COUNTIF(월별근무지표[사번키],INDEX(합계표[사번키],$W1004))&gt;0,IFERROR(INDEX(기관표[급여지급병원(기준월)],MATCH(INDEX(합계표[사번키],$W1004)&amp;"|"&amp;대상월키,기관표[키],0))&amp;"","—"),"—")))</f>
        <v/>
      </c>
      <c r="L1004">
        <f>IF($W1004="","",IF(NOT(COUNTIF(기관표[사번키],INDEX(합계표[사번키],$W1004))+COUNTIF(월별근무지표[사번키],INDEX(합계표[사번키],$W1004))&gt;0),"기관명단에 없음(다른 병원으로 발송)",IF($K1004="—","대상월 기관명단 없음(추가 필요)",IF($K1004="서울병원","해당","비해당"))))</f>
        <v/>
      </c>
      <c r="M1004">
        <f>IF($W1004="","",SUMIFS(상세표[06~07시],상세표[사번키],INDEX(합계표[사번키],$W1004),상세표[반영월],대상월키,상세표[반영 기관],"서울병원"))</f>
        <v/>
      </c>
      <c r="N1004">
        <f>IF($W1004="","",SUMIFS(상세표[07~18시],상세표[사번키],INDEX(합계표[사번키],$W1004),상세표[반영월],대상월키,상세표[반영 기관],"서울병원"))</f>
        <v/>
      </c>
      <c r="O1004">
        <f>IF($W1004="","",SUMIFS(상세표[18~22시],상세표[사번키],INDEX(합계표[사번키],$W1004),상세표[반영월],대상월키,상세표[반영 기관],"서울병원"))</f>
        <v/>
      </c>
      <c r="P1004">
        <f>IF($W1004="","",SUMIFS(상세표[22~06시],상세표[사번키],INDEX(합계표[사번키],$W1004),상세표[반영월],대상월키,상세표[반영 기관],"서울병원"))</f>
        <v/>
      </c>
      <c r="Q1004">
        <f>IF($W1004="","",SUM($M1004:$P1004))</f>
        <v/>
      </c>
      <c r="R1004">
        <f>IF($W1004="","",COUNTIFS(상세표[사번키],INDEX(합계표[사번키],$W1004),상세표[반영월],대상월키,상세표[야간당직],1,상세표[야간 구분],"평일"))</f>
        <v/>
      </c>
      <c r="S1004" s="4">
        <f>IF($W1004="","",COUNTIFS(상세표[사번키],INDEX(합계표[사번키],$W1004),상세표[반영월],대상월키,상세표[야간당직],1,상세표[야간 구분],"휴일"))</f>
        <v/>
      </c>
      <c r="T1004">
        <f>IF($W1004="","",COUNTIFS(상세표[사번키],INDEX(합계표[사번키],$W1004),상세표[반영월],대상월키,상세표[야간당직],1,상세표[야간 구분],"평일",상세표[반영 기관],"서울병원"))</f>
        <v/>
      </c>
      <c r="U1004">
        <f>IF($W1004="","",COUNTIFS(상세표[사번키],INDEX(합계표[사번키],$W1004),상세표[반영월],대상월키,상세표[야간당직],1,상세표[야간 구분],"휴일",상세표[반영 기관],"서울병원"))</f>
        <v/>
      </c>
      <c r="V1004">
        <f>IF($W1004="","",IF(ISNUMBER(MATCH(INDEX(합계표[사번키],$W1004)&amp;"|"&amp;대상월키,월별근무지표[키],0)),"직접 입력",IF($K1004="—","—","기관명단")))</f>
        <v/>
      </c>
      <c r="W1004">
        <f>IFERROR(MATCH(999,합계표[판정순번],0),"")</f>
        <v/>
      </c>
    </row>
    <row r="1005">
      <c r="A1005">
        <f>IF($W1005="","",INDEX(합계표[사번],$W1005)&amp;"")</f>
        <v/>
      </c>
      <c r="B1005">
        <f>IF($W1005="","",INDEX(합계표[성명],$W1005)&amp;"")</f>
        <v/>
      </c>
      <c r="C1005">
        <f>IF($W1005="","",INDEX(합계표[부서],$W1005)&amp;"")</f>
        <v/>
      </c>
      <c r="D1005">
        <f>IF($W1005="","",INDEX(합계표[직위(통합)],$W1005)&amp;"")</f>
        <v/>
      </c>
      <c r="E1005">
        <f>IF($W1005="","",SUMIFS(합계표[시스템 합계],합계표[사번키],INDEX(합계표[사번키],$W1005)))</f>
        <v/>
      </c>
      <c r="F1005">
        <f>IF($W1005="","",SUMIFS(상세표[기록 시간외],상세표[사번키],INDEX(합계표[사번키],$W1005),상세표[기록월],대상월키))</f>
        <v/>
      </c>
      <c r="G1005">
        <f>IF($W1005="","",IF(ABS($E1005-$F1005)&lt;0.01,"일치","불일치(차이 "&amp;TEXT($F1005-$E1005,"0.00")&amp;")"))</f>
        <v/>
      </c>
      <c r="H1005">
        <f>IF($W1005="","",SUMIFS(상세표[기록 시간외],상세표[사번키],INDEX(합계표[사번키],$W1005),상세표[기록월],대상월키,상세표[반영월],"&lt;&gt;"&amp;대상월키))</f>
        <v/>
      </c>
      <c r="I1005">
        <f>IF($W1005="","",SUMIFS(상세표[기록 시간외],상세표[사번키],INDEX(합계표[사번키],$W1005),상세표[기록월],"&lt;&gt;"&amp;대상월키,상세표[반영월],대상월키))</f>
        <v/>
      </c>
      <c r="J1005">
        <f>IF($W1005="","",SUMIFS(상세표[기록 시간외],상세표[사번키],INDEX(합계표[사번키],$W1005),상세표[반영월],대상월키))</f>
        <v/>
      </c>
      <c r="K1005">
        <f>IF($W1005="","",IFERROR(INDEX(월별근무지표[적용 급여병원],MATCH(INDEX(합계표[사번키],$W1005)&amp;"|"&amp;대상월키,월별근무지표[키],0))&amp;"",IF(COUNTIF(기관표[사번키],INDEX(합계표[사번키],$W1005))+COUNTIF(월별근무지표[사번키],INDEX(합계표[사번키],$W1005))&gt;0,IFERROR(INDEX(기관표[급여지급병원(기준월)],MATCH(INDEX(합계표[사번키],$W1005)&amp;"|"&amp;대상월키,기관표[키],0))&amp;"","—"),"—")))</f>
        <v/>
      </c>
      <c r="L1005">
        <f>IF($W1005="","",IF(NOT(COUNTIF(기관표[사번키],INDEX(합계표[사번키],$W1005))+COUNTIF(월별근무지표[사번키],INDEX(합계표[사번키],$W1005))&gt;0),"기관명단에 없음(다른 병원으로 발송)",IF($K1005="—","대상월 기관명단 없음(추가 필요)",IF($K1005="서울병원","해당","비해당"))))</f>
        <v/>
      </c>
      <c r="M1005">
        <f>IF($W1005="","",SUMIFS(상세표[06~07시],상세표[사번키],INDEX(합계표[사번키],$W1005),상세표[반영월],대상월키,상세표[반영 기관],"서울병원"))</f>
        <v/>
      </c>
      <c r="N1005">
        <f>IF($W1005="","",SUMIFS(상세표[07~18시],상세표[사번키],INDEX(합계표[사번키],$W1005),상세표[반영월],대상월키,상세표[반영 기관],"서울병원"))</f>
        <v/>
      </c>
      <c r="O1005">
        <f>IF($W1005="","",SUMIFS(상세표[18~22시],상세표[사번키],INDEX(합계표[사번키],$W1005),상세표[반영월],대상월키,상세표[반영 기관],"서울병원"))</f>
        <v/>
      </c>
      <c r="P1005">
        <f>IF($W1005="","",SUMIFS(상세표[22~06시],상세표[사번키],INDEX(합계표[사번키],$W1005),상세표[반영월],대상월키,상세표[반영 기관],"서울병원"))</f>
        <v/>
      </c>
      <c r="Q1005">
        <f>IF($W1005="","",SUM($M1005:$P1005))</f>
        <v/>
      </c>
      <c r="R1005">
        <f>IF($W1005="","",COUNTIFS(상세표[사번키],INDEX(합계표[사번키],$W1005),상세표[반영월],대상월키,상세표[야간당직],1,상세표[야간 구분],"평일"))</f>
        <v/>
      </c>
      <c r="S1005" s="4">
        <f>IF($W1005="","",COUNTIFS(상세표[사번키],INDEX(합계표[사번키],$W1005),상세표[반영월],대상월키,상세표[야간당직],1,상세표[야간 구분],"휴일"))</f>
        <v/>
      </c>
      <c r="T1005">
        <f>IF($W1005="","",COUNTIFS(상세표[사번키],INDEX(합계표[사번키],$W1005),상세표[반영월],대상월키,상세표[야간당직],1,상세표[야간 구분],"평일",상세표[반영 기관],"서울병원"))</f>
        <v/>
      </c>
      <c r="U1005">
        <f>IF($W1005="","",COUNTIFS(상세표[사번키],INDEX(합계표[사번키],$W1005),상세표[반영월],대상월키,상세표[야간당직],1,상세표[야간 구분],"휴일",상세표[반영 기관],"서울병원"))</f>
        <v/>
      </c>
      <c r="V1005">
        <f>IF($W1005="","",IF(ISNUMBER(MATCH(INDEX(합계표[사번키],$W1005)&amp;"|"&amp;대상월키,월별근무지표[키],0)),"직접 입력",IF($K1005="—","—","기관명단")))</f>
        <v/>
      </c>
      <c r="W1005">
        <f>IFERROR(MATCH(1000,합계표[판정순번],0),"")</f>
        <v/>
      </c>
    </row>
  </sheetData>
  <conditionalFormatting sqref="R3">
    <cfRule type="expression" priority="1" dxfId="4">
      <formula>R3&gt;0</formula>
    </cfRule>
  </conditionalFormatting>
  <conditionalFormatting sqref="H3">
    <cfRule type="expression" priority="2" dxfId="1">
      <formula>H3&gt;0</formula>
    </cfRule>
  </conditionalFormatting>
  <conditionalFormatting sqref="L3">
    <cfRule type="expression" priority="3" dxfId="1">
      <formula>L3&gt;0</formula>
    </cfRule>
  </conditionalFormatting>
  <conditionalFormatting sqref="J3">
    <cfRule type="expression" priority="4" dxfId="6">
      <formula>J3&gt;0</formula>
    </cfRule>
  </conditionalFormatting>
  <conditionalFormatting sqref="A6:V1005">
    <cfRule type="expression" priority="5" dxfId="7">
      <formula>$L6="비해당"</formula>
    </cfRule>
    <cfRule type="expression" priority="6" dxfId="8">
      <formula>LEFT($L6,7)="기관명단에 없"</formula>
    </cfRule>
  </conditionalFormatting>
  <conditionalFormatting sqref="L6:L1005">
    <cfRule type="expression" priority="7" dxfId="1">
      <formula>LEFT($L6,6)="대상월 기관"</formula>
    </cfRule>
    <cfRule type="expression" priority="10" dxfId="9">
      <formula>$L6="해당"</formula>
    </cfRule>
  </conditionalFormatting>
  <conditionalFormatting sqref="G6:G1005">
    <cfRule type="expression" priority="8" dxfId="0">
      <formula>LEFT($G6,3)="불일치"</formula>
    </cfRule>
  </conditionalFormatting>
  <conditionalFormatting sqref="H6:I1005">
    <cfRule type="expression" priority="9" dxfId="10">
      <formula>AND(ISNUMBER(H6),H6&lt;&gt;0)</formula>
    </cfRule>
  </conditionalFormatting>
  <conditionalFormatting sqref="V6:V1005">
    <cfRule type="expression" priority="11" dxfId="5">
      <formula>$V6="직접 입력"</formula>
    </cfRule>
  </conditionalFormatting>
  <conditionalFormatting sqref="S6:S1005">
    <cfRule type="expression" priority="12" dxfId="3">
      <formula>AND(ISNUMBER($S6),$S6&gt;0)</formula>
    </cfRule>
  </conditionalFormatting>
  <conditionalFormatting sqref="U6:U1005">
    <cfRule type="expression" priority="13" dxfId="3">
      <formula>AND(ISNUMBER($U6),$U6&gt;0)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/>
  </sheetPr>
  <dimension ref="A1:U2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6" customWidth="1" min="4" max="4"/>
    <col width="8" customWidth="1" min="5" max="5"/>
    <col width="9" customWidth="1" min="6" max="6"/>
    <col width="9" customWidth="1" min="7" max="7"/>
    <col width="6" customWidth="1" min="8" max="8"/>
    <col width="3" customWidth="1" min="9" max="9"/>
    <col width="10" customWidth="1" min="10" max="10"/>
    <col width="8" customWidth="1" min="11" max="11"/>
    <col width="10" customWidth="1" min="12" max="12"/>
    <col width="11" customWidth="1" min="13" max="13"/>
    <col width="16" customWidth="1" min="14" max="14"/>
    <col width="16" customWidth="1" min="15" max="15"/>
    <col width="7" customWidth="1" min="16" max="16"/>
    <col width="7" customWidth="1" min="17" max="17"/>
    <col width="7" customWidth="1" min="18" max="18"/>
    <col width="7" customWidth="1" min="19" max="19"/>
    <col width="8" customWidth="1" min="20" max="20"/>
  </cols>
  <sheetData>
    <row r="1">
      <c r="A1" s="1" t="inlineStr">
        <is>
          <t>기관명단에 없는 시간외 근무자 — 다른 병원으로 발송</t>
        </is>
      </c>
    </row>
    <row r="2">
      <c r="A2" s="4" t="inlineStr">
        <is>
          <t>※ 자동 목록(입력 금지). 대상월에 기록(또는 반영)이 있는데 입력_기관명단에 사번이 한 번도 없는 사람입니다(같은 사번은 직위가 달라도 한 사람). 왼쪽은 사람별 합계(최대 300명), 오른쪽은 발송할 상세 기록(최대 2000건)입니다. 우리 기관 사람인데 여기 나오면 기관명단을 확인하세요.</t>
        </is>
      </c>
    </row>
    <row r="3">
      <c r="A3" s="16" t="inlineStr">
        <is>
          <t>발송 대상 인원</t>
        </is>
      </c>
      <c r="B3" s="17">
        <f>SUM(상세표[발송첫행])</f>
        <v/>
      </c>
      <c r="C3" s="16" t="inlineStr">
        <is>
          <t>발송 기록 수</t>
        </is>
      </c>
      <c r="D3" s="17">
        <f>SUM(상세표[발송표시])</f>
        <v/>
      </c>
      <c r="E3" s="18">
        <f>IF(OR(B3&gt;300,D3&gt;2000),"⚠ 표시 한도 초과","")</f>
        <v/>
      </c>
    </row>
    <row r="4"/>
    <row r="5" ht="30" customHeight="1">
      <c r="A5" s="20" t="inlineStr">
        <is>
          <t>사번</t>
        </is>
      </c>
      <c r="B5" s="20" t="inlineStr">
        <is>
          <t>성명</t>
        </is>
      </c>
      <c r="C5" s="20" t="inlineStr">
        <is>
          <t>부서</t>
        </is>
      </c>
      <c r="D5" s="20" t="inlineStr">
        <is>
          <t>직위</t>
        </is>
      </c>
      <c r="E5" s="20" t="inlineStr">
        <is>
          <t>대상월 기록 수</t>
        </is>
      </c>
      <c r="F5" s="20" t="inlineStr">
        <is>
          <t>대상월 상세 시간</t>
        </is>
      </c>
      <c r="G5" s="20" t="inlineStr">
        <is>
          <t>시스템 합계</t>
        </is>
      </c>
      <c r="H5" s="19" t="inlineStr">
        <is>
          <t>(행)</t>
        </is>
      </c>
      <c r="J5" s="20" t="inlineStr">
        <is>
          <t>사번</t>
        </is>
      </c>
      <c r="K5" s="20" t="inlineStr">
        <is>
          <t>성명</t>
        </is>
      </c>
      <c r="L5" s="20" t="inlineStr">
        <is>
          <t>직위</t>
        </is>
      </c>
      <c r="M5" s="20" t="inlineStr">
        <is>
          <t>근무일자</t>
        </is>
      </c>
      <c r="N5" s="20" t="inlineStr">
        <is>
          <t>시작</t>
        </is>
      </c>
      <c r="O5" s="20" t="inlineStr">
        <is>
          <t>종료</t>
        </is>
      </c>
      <c r="P5" s="20" t="inlineStr">
        <is>
          <t>06~07시</t>
        </is>
      </c>
      <c r="Q5" s="20" t="inlineStr">
        <is>
          <t>07~18시</t>
        </is>
      </c>
      <c r="R5" s="20" t="inlineStr">
        <is>
          <t>18~22시</t>
        </is>
      </c>
      <c r="S5" s="20" t="inlineStr">
        <is>
          <t>22~06시</t>
        </is>
      </c>
      <c r="T5" s="20" t="inlineStr">
        <is>
          <t>시간외 합계</t>
        </is>
      </c>
      <c r="U5" s="19" t="inlineStr">
        <is>
          <t>(행)</t>
        </is>
      </c>
    </row>
    <row r="6">
      <c r="A6">
        <f>IF($H6="",IF(SUM(상세표[발송첫행])=0,"발송 대상 없음",""),INDEX(상세표[사번],$H6)&amp;"")</f>
        <v/>
      </c>
      <c r="B6">
        <f>IF($H6="","",INDEX(상세표[성명],$H6)&amp;"")</f>
        <v/>
      </c>
      <c r="C6">
        <f>IF($H6="","",INDEX(상세표[부서],$H6)&amp;"")</f>
        <v/>
      </c>
      <c r="D6">
        <f>IF($H6="","",IF(IFERROR(INDEX(합계표[직위(통합)],MATCH(INDEX(상세표[사번키],$H6),합계표[사번키],0))&amp;"","")="",INDEX(상세표[직위],$H6)&amp;"",IFERROR(INDEX(합계표[직위(통합)],MATCH(INDEX(상세표[사번키],$H6),합계표[사번키],0))&amp;"","")))</f>
        <v/>
      </c>
      <c r="E6">
        <f>IF($H6="","",COUNTIFS(상세표[사번키],INDEX(상세표[사번키],$H6),상세표[기록월],대상월키))</f>
        <v/>
      </c>
      <c r="F6">
        <f>IF($H6="","",SUMIFS(상세표[기록 시간외],상세표[사번키],INDEX(상세표[사번키],$H6),상세표[기록월],대상월키))</f>
        <v/>
      </c>
      <c r="G6">
        <f>IF($H6="","",SUMIFS(합계표[시스템 합계],합계표[사번키],INDEX(상세표[사번키],$H6)))</f>
        <v/>
      </c>
      <c r="H6" s="4">
        <f>IFERROR(MATCH(1,상세표[발송인원순번],0),"")</f>
        <v/>
      </c>
      <c r="J6">
        <f>IF($U6="","",INDEX(상세표[사번],$U6)&amp;"")</f>
        <v/>
      </c>
      <c r="K6">
        <f>IF($U6="","",INDEX(상세표[성명],$U6)&amp;"")</f>
        <v/>
      </c>
      <c r="L6">
        <f>IF($U6="","",INDEX(상세표[직위],$U6)&amp;"")</f>
        <v/>
      </c>
      <c r="M6">
        <f>IF($U6="","",IF(ISNUMBER(INDEX(상세표[근무일자],$U6)),TEXT(INDEX(상세표[근무일자],$U6),"yyyy-mm-dd"),INDEX(상세표[근무일자],$U6)&amp;""))</f>
        <v/>
      </c>
      <c r="N6">
        <f>IF($U6="","",IF(ISNUMBER(INDEX(상세표[시작],$U6)),TEXT(INDEX(상세표[시작],$U6),"yyyy-mm-dd hh:mm"),INDEX(상세표[시작],$U6)&amp;""))</f>
        <v/>
      </c>
      <c r="O6">
        <f>IF($U6="","",IF(ISNUMBER(INDEX(상세표[종료],$U6)),TEXT(INDEX(상세표[종료],$U6),"yyyy-mm-dd hh:mm"),INDEX(상세표[종료],$U6)&amp;""))</f>
        <v/>
      </c>
      <c r="P6">
        <f>IF($U6="","",INDEX(상세표[06~07시],$U6))</f>
        <v/>
      </c>
      <c r="Q6">
        <f>IF($U6="","",INDEX(상세표[07~18시],$U6))</f>
        <v/>
      </c>
      <c r="R6">
        <f>IF($U6="","",INDEX(상세표[18~22시],$U6))</f>
        <v/>
      </c>
      <c r="S6">
        <f>IF($U6="","",INDEX(상세표[22~06시],$U6))</f>
        <v/>
      </c>
      <c r="T6">
        <f>IF($U6="","",INDEX(상세표[기록 시간외],$U6))</f>
        <v/>
      </c>
      <c r="U6" s="4">
        <f>IFERROR(MATCH(1,상세표[발송순번],0),"")</f>
        <v/>
      </c>
    </row>
    <row r="7">
      <c r="A7">
        <f>IF($H7="","",INDEX(상세표[사번],$H7)&amp;"")</f>
        <v/>
      </c>
      <c r="B7">
        <f>IF($H7="","",INDEX(상세표[성명],$H7)&amp;"")</f>
        <v/>
      </c>
      <c r="C7">
        <f>IF($H7="","",INDEX(상세표[부서],$H7)&amp;"")</f>
        <v/>
      </c>
      <c r="D7">
        <f>IF($H7="","",IF(IFERROR(INDEX(합계표[직위(통합)],MATCH(INDEX(상세표[사번키],$H7),합계표[사번키],0))&amp;"","")="",INDEX(상세표[직위],$H7)&amp;"",IFERROR(INDEX(합계표[직위(통합)],MATCH(INDEX(상세표[사번키],$H7),합계표[사번키],0))&amp;"","")))</f>
        <v/>
      </c>
      <c r="E7">
        <f>IF($H7="","",COUNTIFS(상세표[사번키],INDEX(상세표[사번키],$H7),상세표[기록월],대상월키))</f>
        <v/>
      </c>
      <c r="F7">
        <f>IF($H7="","",SUMIFS(상세표[기록 시간외],상세표[사번키],INDEX(상세표[사번키],$H7),상세표[기록월],대상월키))</f>
        <v/>
      </c>
      <c r="G7">
        <f>IF($H7="","",SUMIFS(합계표[시스템 합계],합계표[사번키],INDEX(상세표[사번키],$H7)))</f>
        <v/>
      </c>
      <c r="H7" s="4">
        <f>IFERROR(MATCH(2,상세표[발송인원순번],0),"")</f>
        <v/>
      </c>
      <c r="J7">
        <f>IF($U7="","",INDEX(상세표[사번],$U7)&amp;"")</f>
        <v/>
      </c>
      <c r="K7">
        <f>IF($U7="","",INDEX(상세표[성명],$U7)&amp;"")</f>
        <v/>
      </c>
      <c r="L7">
        <f>IF($U7="","",INDEX(상세표[직위],$U7)&amp;"")</f>
        <v/>
      </c>
      <c r="M7">
        <f>IF($U7="","",IF(ISNUMBER(INDEX(상세표[근무일자],$U7)),TEXT(INDEX(상세표[근무일자],$U7),"yyyy-mm-dd"),INDEX(상세표[근무일자],$U7)&amp;""))</f>
        <v/>
      </c>
      <c r="N7">
        <f>IF($U7="","",IF(ISNUMBER(INDEX(상세표[시작],$U7)),TEXT(INDEX(상세표[시작],$U7),"yyyy-mm-dd hh:mm"),INDEX(상세표[시작],$U7)&amp;""))</f>
        <v/>
      </c>
      <c r="O7">
        <f>IF($U7="","",IF(ISNUMBER(INDEX(상세표[종료],$U7)),TEXT(INDEX(상세표[종료],$U7),"yyyy-mm-dd hh:mm"),INDEX(상세표[종료],$U7)&amp;""))</f>
        <v/>
      </c>
      <c r="P7">
        <f>IF($U7="","",INDEX(상세표[06~07시],$U7))</f>
        <v/>
      </c>
      <c r="Q7">
        <f>IF($U7="","",INDEX(상세표[07~18시],$U7))</f>
        <v/>
      </c>
      <c r="R7">
        <f>IF($U7="","",INDEX(상세표[18~22시],$U7))</f>
        <v/>
      </c>
      <c r="S7">
        <f>IF($U7="","",INDEX(상세표[22~06시],$U7))</f>
        <v/>
      </c>
      <c r="T7">
        <f>IF($U7="","",INDEX(상세표[기록 시간외],$U7))</f>
        <v/>
      </c>
      <c r="U7" s="4">
        <f>IFERROR(MATCH(2,상세표[발송순번],0),"")</f>
        <v/>
      </c>
    </row>
    <row r="8">
      <c r="A8">
        <f>IF($H8="","",INDEX(상세표[사번],$H8)&amp;"")</f>
        <v/>
      </c>
      <c r="B8">
        <f>IF($H8="","",INDEX(상세표[성명],$H8)&amp;"")</f>
        <v/>
      </c>
      <c r="C8">
        <f>IF($H8="","",INDEX(상세표[부서],$H8)&amp;"")</f>
        <v/>
      </c>
      <c r="D8">
        <f>IF($H8="","",IF(IFERROR(INDEX(합계표[직위(통합)],MATCH(INDEX(상세표[사번키],$H8),합계표[사번키],0))&amp;"","")="",INDEX(상세표[직위],$H8)&amp;"",IFERROR(INDEX(합계표[직위(통합)],MATCH(INDEX(상세표[사번키],$H8),합계표[사번키],0))&amp;"","")))</f>
        <v/>
      </c>
      <c r="E8">
        <f>IF($H8="","",COUNTIFS(상세표[사번키],INDEX(상세표[사번키],$H8),상세표[기록월],대상월키))</f>
        <v/>
      </c>
      <c r="F8">
        <f>IF($H8="","",SUMIFS(상세표[기록 시간외],상세표[사번키],INDEX(상세표[사번키],$H8),상세표[기록월],대상월키))</f>
        <v/>
      </c>
      <c r="G8">
        <f>IF($H8="","",SUMIFS(합계표[시스템 합계],합계표[사번키],INDEX(상세표[사번키],$H8)))</f>
        <v/>
      </c>
      <c r="H8" s="4">
        <f>IFERROR(MATCH(3,상세표[발송인원순번],0),"")</f>
        <v/>
      </c>
      <c r="J8">
        <f>IF($U8="","",INDEX(상세표[사번],$U8)&amp;"")</f>
        <v/>
      </c>
      <c r="K8">
        <f>IF($U8="","",INDEX(상세표[성명],$U8)&amp;"")</f>
        <v/>
      </c>
      <c r="L8">
        <f>IF($U8="","",INDEX(상세표[직위],$U8)&amp;"")</f>
        <v/>
      </c>
      <c r="M8">
        <f>IF($U8="","",IF(ISNUMBER(INDEX(상세표[근무일자],$U8)),TEXT(INDEX(상세표[근무일자],$U8),"yyyy-mm-dd"),INDEX(상세표[근무일자],$U8)&amp;""))</f>
        <v/>
      </c>
      <c r="N8">
        <f>IF($U8="","",IF(ISNUMBER(INDEX(상세표[시작],$U8)),TEXT(INDEX(상세표[시작],$U8),"yyyy-mm-dd hh:mm"),INDEX(상세표[시작],$U8)&amp;""))</f>
        <v/>
      </c>
      <c r="O8">
        <f>IF($U8="","",IF(ISNUMBER(INDEX(상세표[종료],$U8)),TEXT(INDEX(상세표[종료],$U8),"yyyy-mm-dd hh:mm"),INDEX(상세표[종료],$U8)&amp;""))</f>
        <v/>
      </c>
      <c r="P8">
        <f>IF($U8="","",INDEX(상세표[06~07시],$U8))</f>
        <v/>
      </c>
      <c r="Q8">
        <f>IF($U8="","",INDEX(상세표[07~18시],$U8))</f>
        <v/>
      </c>
      <c r="R8">
        <f>IF($U8="","",INDEX(상세표[18~22시],$U8))</f>
        <v/>
      </c>
      <c r="S8">
        <f>IF($U8="","",INDEX(상세표[22~06시],$U8))</f>
        <v/>
      </c>
      <c r="T8">
        <f>IF($U8="","",INDEX(상세표[기록 시간외],$U8))</f>
        <v/>
      </c>
      <c r="U8" s="4">
        <f>IFERROR(MATCH(3,상세표[발송순번],0),"")</f>
        <v/>
      </c>
    </row>
    <row r="9">
      <c r="A9">
        <f>IF($H9="","",INDEX(상세표[사번],$H9)&amp;"")</f>
        <v/>
      </c>
      <c r="B9">
        <f>IF($H9="","",INDEX(상세표[성명],$H9)&amp;"")</f>
        <v/>
      </c>
      <c r="C9">
        <f>IF($H9="","",INDEX(상세표[부서],$H9)&amp;"")</f>
        <v/>
      </c>
      <c r="D9">
        <f>IF($H9="","",IF(IFERROR(INDEX(합계표[직위(통합)],MATCH(INDEX(상세표[사번키],$H9),합계표[사번키],0))&amp;"","")="",INDEX(상세표[직위],$H9)&amp;"",IFERROR(INDEX(합계표[직위(통합)],MATCH(INDEX(상세표[사번키],$H9),합계표[사번키],0))&amp;"","")))</f>
        <v/>
      </c>
      <c r="E9">
        <f>IF($H9="","",COUNTIFS(상세표[사번키],INDEX(상세표[사번키],$H9),상세표[기록월],대상월키))</f>
        <v/>
      </c>
      <c r="F9">
        <f>IF($H9="","",SUMIFS(상세표[기록 시간외],상세표[사번키],INDEX(상세표[사번키],$H9),상세표[기록월],대상월키))</f>
        <v/>
      </c>
      <c r="G9">
        <f>IF($H9="","",SUMIFS(합계표[시스템 합계],합계표[사번키],INDEX(상세표[사번키],$H9)))</f>
        <v/>
      </c>
      <c r="H9" s="4">
        <f>IFERROR(MATCH(4,상세표[발송인원순번],0),"")</f>
        <v/>
      </c>
      <c r="J9">
        <f>IF($U9="","",INDEX(상세표[사번],$U9)&amp;"")</f>
        <v/>
      </c>
      <c r="K9">
        <f>IF($U9="","",INDEX(상세표[성명],$U9)&amp;"")</f>
        <v/>
      </c>
      <c r="L9">
        <f>IF($U9="","",INDEX(상세표[직위],$U9)&amp;"")</f>
        <v/>
      </c>
      <c r="M9">
        <f>IF($U9="","",IF(ISNUMBER(INDEX(상세표[근무일자],$U9)),TEXT(INDEX(상세표[근무일자],$U9),"yyyy-mm-dd"),INDEX(상세표[근무일자],$U9)&amp;""))</f>
        <v/>
      </c>
      <c r="N9">
        <f>IF($U9="","",IF(ISNUMBER(INDEX(상세표[시작],$U9)),TEXT(INDEX(상세표[시작],$U9),"yyyy-mm-dd hh:mm"),INDEX(상세표[시작],$U9)&amp;""))</f>
        <v/>
      </c>
      <c r="O9">
        <f>IF($U9="","",IF(ISNUMBER(INDEX(상세표[종료],$U9)),TEXT(INDEX(상세표[종료],$U9),"yyyy-mm-dd hh:mm"),INDEX(상세표[종료],$U9)&amp;""))</f>
        <v/>
      </c>
      <c r="P9">
        <f>IF($U9="","",INDEX(상세표[06~07시],$U9))</f>
        <v/>
      </c>
      <c r="Q9">
        <f>IF($U9="","",INDEX(상세표[07~18시],$U9))</f>
        <v/>
      </c>
      <c r="R9">
        <f>IF($U9="","",INDEX(상세표[18~22시],$U9))</f>
        <v/>
      </c>
      <c r="S9">
        <f>IF($U9="","",INDEX(상세표[22~06시],$U9))</f>
        <v/>
      </c>
      <c r="T9">
        <f>IF($U9="","",INDEX(상세표[기록 시간외],$U9))</f>
        <v/>
      </c>
      <c r="U9" s="4">
        <f>IFERROR(MATCH(4,상세표[발송순번],0),"")</f>
        <v/>
      </c>
    </row>
    <row r="10">
      <c r="A10">
        <f>IF($H10="","",INDEX(상세표[사번],$H10)&amp;"")</f>
        <v/>
      </c>
      <c r="B10">
        <f>IF($H10="","",INDEX(상세표[성명],$H10)&amp;"")</f>
        <v/>
      </c>
      <c r="C10">
        <f>IF($H10="","",INDEX(상세표[부서],$H10)&amp;"")</f>
        <v/>
      </c>
      <c r="D10">
        <f>IF($H10="","",IF(IFERROR(INDEX(합계표[직위(통합)],MATCH(INDEX(상세표[사번키],$H10),합계표[사번키],0))&amp;"","")="",INDEX(상세표[직위],$H10)&amp;"",IFERROR(INDEX(합계표[직위(통합)],MATCH(INDEX(상세표[사번키],$H10),합계표[사번키],0))&amp;"","")))</f>
        <v/>
      </c>
      <c r="E10">
        <f>IF($H10="","",COUNTIFS(상세표[사번키],INDEX(상세표[사번키],$H10),상세표[기록월],대상월키))</f>
        <v/>
      </c>
      <c r="F10">
        <f>IF($H10="","",SUMIFS(상세표[기록 시간외],상세표[사번키],INDEX(상세표[사번키],$H10),상세표[기록월],대상월키))</f>
        <v/>
      </c>
      <c r="G10">
        <f>IF($H10="","",SUMIFS(합계표[시스템 합계],합계표[사번키],INDEX(상세표[사번키],$H10)))</f>
        <v/>
      </c>
      <c r="H10" s="4">
        <f>IFERROR(MATCH(5,상세표[발송인원순번],0),"")</f>
        <v/>
      </c>
      <c r="J10">
        <f>IF($U10="","",INDEX(상세표[사번],$U10)&amp;"")</f>
        <v/>
      </c>
      <c r="K10">
        <f>IF($U10="","",INDEX(상세표[성명],$U10)&amp;"")</f>
        <v/>
      </c>
      <c r="L10">
        <f>IF($U10="","",INDEX(상세표[직위],$U10)&amp;"")</f>
        <v/>
      </c>
      <c r="M10">
        <f>IF($U10="","",IF(ISNUMBER(INDEX(상세표[근무일자],$U10)),TEXT(INDEX(상세표[근무일자],$U10),"yyyy-mm-dd"),INDEX(상세표[근무일자],$U10)&amp;""))</f>
        <v/>
      </c>
      <c r="N10">
        <f>IF($U10="","",IF(ISNUMBER(INDEX(상세표[시작],$U10)),TEXT(INDEX(상세표[시작],$U10),"yyyy-mm-dd hh:mm"),INDEX(상세표[시작],$U10)&amp;""))</f>
        <v/>
      </c>
      <c r="O10">
        <f>IF($U10="","",IF(ISNUMBER(INDEX(상세표[종료],$U10)),TEXT(INDEX(상세표[종료],$U10),"yyyy-mm-dd hh:mm"),INDEX(상세표[종료],$U10)&amp;""))</f>
        <v/>
      </c>
      <c r="P10">
        <f>IF($U10="","",INDEX(상세표[06~07시],$U10))</f>
        <v/>
      </c>
      <c r="Q10">
        <f>IF($U10="","",INDEX(상세표[07~18시],$U10))</f>
        <v/>
      </c>
      <c r="R10">
        <f>IF($U10="","",INDEX(상세표[18~22시],$U10))</f>
        <v/>
      </c>
      <c r="S10">
        <f>IF($U10="","",INDEX(상세표[22~06시],$U10))</f>
        <v/>
      </c>
      <c r="T10">
        <f>IF($U10="","",INDEX(상세표[기록 시간외],$U10))</f>
        <v/>
      </c>
      <c r="U10" s="4">
        <f>IFERROR(MATCH(5,상세표[발송순번],0),"")</f>
        <v/>
      </c>
    </row>
    <row r="11">
      <c r="A11">
        <f>IF($H11="","",INDEX(상세표[사번],$H11)&amp;"")</f>
        <v/>
      </c>
      <c r="B11">
        <f>IF($H11="","",INDEX(상세표[성명],$H11)&amp;"")</f>
        <v/>
      </c>
      <c r="C11">
        <f>IF($H11="","",INDEX(상세표[부서],$H11)&amp;"")</f>
        <v/>
      </c>
      <c r="D11">
        <f>IF($H11="","",IF(IFERROR(INDEX(합계표[직위(통합)],MATCH(INDEX(상세표[사번키],$H11),합계표[사번키],0))&amp;"","")="",INDEX(상세표[직위],$H11)&amp;"",IFERROR(INDEX(합계표[직위(통합)],MATCH(INDEX(상세표[사번키],$H11),합계표[사번키],0))&amp;"","")))</f>
        <v/>
      </c>
      <c r="E11">
        <f>IF($H11="","",COUNTIFS(상세표[사번키],INDEX(상세표[사번키],$H11),상세표[기록월],대상월키))</f>
        <v/>
      </c>
      <c r="F11">
        <f>IF($H11="","",SUMIFS(상세표[기록 시간외],상세표[사번키],INDEX(상세표[사번키],$H11),상세표[기록월],대상월키))</f>
        <v/>
      </c>
      <c r="G11">
        <f>IF($H11="","",SUMIFS(합계표[시스템 합계],합계표[사번키],INDEX(상세표[사번키],$H11)))</f>
        <v/>
      </c>
      <c r="H11" s="4">
        <f>IFERROR(MATCH(6,상세표[발송인원순번],0),"")</f>
        <v/>
      </c>
      <c r="J11">
        <f>IF($U11="","",INDEX(상세표[사번],$U11)&amp;"")</f>
        <v/>
      </c>
      <c r="K11">
        <f>IF($U11="","",INDEX(상세표[성명],$U11)&amp;"")</f>
        <v/>
      </c>
      <c r="L11">
        <f>IF($U11="","",INDEX(상세표[직위],$U11)&amp;"")</f>
        <v/>
      </c>
      <c r="M11">
        <f>IF($U11="","",IF(ISNUMBER(INDEX(상세표[근무일자],$U11)),TEXT(INDEX(상세표[근무일자],$U11),"yyyy-mm-dd"),INDEX(상세표[근무일자],$U11)&amp;""))</f>
        <v/>
      </c>
      <c r="N11">
        <f>IF($U11="","",IF(ISNUMBER(INDEX(상세표[시작],$U11)),TEXT(INDEX(상세표[시작],$U11),"yyyy-mm-dd hh:mm"),INDEX(상세표[시작],$U11)&amp;""))</f>
        <v/>
      </c>
      <c r="O11">
        <f>IF($U11="","",IF(ISNUMBER(INDEX(상세표[종료],$U11)),TEXT(INDEX(상세표[종료],$U11),"yyyy-mm-dd hh:mm"),INDEX(상세표[종료],$U11)&amp;""))</f>
        <v/>
      </c>
      <c r="P11">
        <f>IF($U11="","",INDEX(상세표[06~07시],$U11))</f>
        <v/>
      </c>
      <c r="Q11">
        <f>IF($U11="","",INDEX(상세표[07~18시],$U11))</f>
        <v/>
      </c>
      <c r="R11">
        <f>IF($U11="","",INDEX(상세표[18~22시],$U11))</f>
        <v/>
      </c>
      <c r="S11">
        <f>IF($U11="","",INDEX(상세표[22~06시],$U11))</f>
        <v/>
      </c>
      <c r="T11">
        <f>IF($U11="","",INDEX(상세표[기록 시간외],$U11))</f>
        <v/>
      </c>
      <c r="U11" s="4">
        <f>IFERROR(MATCH(6,상세표[발송순번],0),"")</f>
        <v/>
      </c>
    </row>
    <row r="12">
      <c r="A12">
        <f>IF($H12="","",INDEX(상세표[사번],$H12)&amp;"")</f>
        <v/>
      </c>
      <c r="B12">
        <f>IF($H12="","",INDEX(상세표[성명],$H12)&amp;"")</f>
        <v/>
      </c>
      <c r="C12">
        <f>IF($H12="","",INDEX(상세표[부서],$H12)&amp;"")</f>
        <v/>
      </c>
      <c r="D12">
        <f>IF($H12="","",IF(IFERROR(INDEX(합계표[직위(통합)],MATCH(INDEX(상세표[사번키],$H12),합계표[사번키],0))&amp;"","")="",INDEX(상세표[직위],$H12)&amp;"",IFERROR(INDEX(합계표[직위(통합)],MATCH(INDEX(상세표[사번키],$H12),합계표[사번키],0))&amp;"","")))</f>
        <v/>
      </c>
      <c r="E12">
        <f>IF($H12="","",COUNTIFS(상세표[사번키],INDEX(상세표[사번키],$H12),상세표[기록월],대상월키))</f>
        <v/>
      </c>
      <c r="F12">
        <f>IF($H12="","",SUMIFS(상세표[기록 시간외],상세표[사번키],INDEX(상세표[사번키],$H12),상세표[기록월],대상월키))</f>
        <v/>
      </c>
      <c r="G12">
        <f>IF($H12="","",SUMIFS(합계표[시스템 합계],합계표[사번키],INDEX(상세표[사번키],$H12)))</f>
        <v/>
      </c>
      <c r="H12" s="4">
        <f>IFERROR(MATCH(7,상세표[발송인원순번],0),"")</f>
        <v/>
      </c>
      <c r="J12">
        <f>IF($U12="","",INDEX(상세표[사번],$U12)&amp;"")</f>
        <v/>
      </c>
      <c r="K12">
        <f>IF($U12="","",INDEX(상세표[성명],$U12)&amp;"")</f>
        <v/>
      </c>
      <c r="L12">
        <f>IF($U12="","",INDEX(상세표[직위],$U12)&amp;"")</f>
        <v/>
      </c>
      <c r="M12">
        <f>IF($U12="","",IF(ISNUMBER(INDEX(상세표[근무일자],$U12)),TEXT(INDEX(상세표[근무일자],$U12),"yyyy-mm-dd"),INDEX(상세표[근무일자],$U12)&amp;""))</f>
        <v/>
      </c>
      <c r="N12">
        <f>IF($U12="","",IF(ISNUMBER(INDEX(상세표[시작],$U12)),TEXT(INDEX(상세표[시작],$U12),"yyyy-mm-dd hh:mm"),INDEX(상세표[시작],$U12)&amp;""))</f>
        <v/>
      </c>
      <c r="O12">
        <f>IF($U12="","",IF(ISNUMBER(INDEX(상세표[종료],$U12)),TEXT(INDEX(상세표[종료],$U12),"yyyy-mm-dd hh:mm"),INDEX(상세표[종료],$U12)&amp;""))</f>
        <v/>
      </c>
      <c r="P12">
        <f>IF($U12="","",INDEX(상세표[06~07시],$U12))</f>
        <v/>
      </c>
      <c r="Q12">
        <f>IF($U12="","",INDEX(상세표[07~18시],$U12))</f>
        <v/>
      </c>
      <c r="R12">
        <f>IF($U12="","",INDEX(상세표[18~22시],$U12))</f>
        <v/>
      </c>
      <c r="S12">
        <f>IF($U12="","",INDEX(상세표[22~06시],$U12))</f>
        <v/>
      </c>
      <c r="T12">
        <f>IF($U12="","",INDEX(상세표[기록 시간외],$U12))</f>
        <v/>
      </c>
      <c r="U12" s="4">
        <f>IFERROR(MATCH(7,상세표[발송순번],0),"")</f>
        <v/>
      </c>
    </row>
    <row r="13">
      <c r="A13">
        <f>IF($H13="","",INDEX(상세표[사번],$H13)&amp;"")</f>
        <v/>
      </c>
      <c r="B13">
        <f>IF($H13="","",INDEX(상세표[성명],$H13)&amp;"")</f>
        <v/>
      </c>
      <c r="C13">
        <f>IF($H13="","",INDEX(상세표[부서],$H13)&amp;"")</f>
        <v/>
      </c>
      <c r="D13">
        <f>IF($H13="","",IF(IFERROR(INDEX(합계표[직위(통합)],MATCH(INDEX(상세표[사번키],$H13),합계표[사번키],0))&amp;"","")="",INDEX(상세표[직위],$H13)&amp;"",IFERROR(INDEX(합계표[직위(통합)],MATCH(INDEX(상세표[사번키],$H13),합계표[사번키],0))&amp;"","")))</f>
        <v/>
      </c>
      <c r="E13">
        <f>IF($H13="","",COUNTIFS(상세표[사번키],INDEX(상세표[사번키],$H13),상세표[기록월],대상월키))</f>
        <v/>
      </c>
      <c r="F13">
        <f>IF($H13="","",SUMIFS(상세표[기록 시간외],상세표[사번키],INDEX(상세표[사번키],$H13),상세표[기록월],대상월키))</f>
        <v/>
      </c>
      <c r="G13">
        <f>IF($H13="","",SUMIFS(합계표[시스템 합계],합계표[사번키],INDEX(상세표[사번키],$H13)))</f>
        <v/>
      </c>
      <c r="H13" s="4">
        <f>IFERROR(MATCH(8,상세표[발송인원순번],0),"")</f>
        <v/>
      </c>
      <c r="J13">
        <f>IF($U13="","",INDEX(상세표[사번],$U13)&amp;"")</f>
        <v/>
      </c>
      <c r="K13">
        <f>IF($U13="","",INDEX(상세표[성명],$U13)&amp;"")</f>
        <v/>
      </c>
      <c r="L13">
        <f>IF($U13="","",INDEX(상세표[직위],$U13)&amp;"")</f>
        <v/>
      </c>
      <c r="M13">
        <f>IF($U13="","",IF(ISNUMBER(INDEX(상세표[근무일자],$U13)),TEXT(INDEX(상세표[근무일자],$U13),"yyyy-mm-dd"),INDEX(상세표[근무일자],$U13)&amp;""))</f>
        <v/>
      </c>
      <c r="N13">
        <f>IF($U13="","",IF(ISNUMBER(INDEX(상세표[시작],$U13)),TEXT(INDEX(상세표[시작],$U13),"yyyy-mm-dd hh:mm"),INDEX(상세표[시작],$U13)&amp;""))</f>
        <v/>
      </c>
      <c r="O13">
        <f>IF($U13="","",IF(ISNUMBER(INDEX(상세표[종료],$U13)),TEXT(INDEX(상세표[종료],$U13),"yyyy-mm-dd hh:mm"),INDEX(상세표[종료],$U13)&amp;""))</f>
        <v/>
      </c>
      <c r="P13">
        <f>IF($U13="","",INDEX(상세표[06~07시],$U13))</f>
        <v/>
      </c>
      <c r="Q13">
        <f>IF($U13="","",INDEX(상세표[07~18시],$U13))</f>
        <v/>
      </c>
      <c r="R13">
        <f>IF($U13="","",INDEX(상세표[18~22시],$U13))</f>
        <v/>
      </c>
      <c r="S13">
        <f>IF($U13="","",INDEX(상세표[22~06시],$U13))</f>
        <v/>
      </c>
      <c r="T13">
        <f>IF($U13="","",INDEX(상세표[기록 시간외],$U13))</f>
        <v/>
      </c>
      <c r="U13" s="4">
        <f>IFERROR(MATCH(8,상세표[발송순번],0),"")</f>
        <v/>
      </c>
    </row>
    <row r="14">
      <c r="A14">
        <f>IF($H14="","",INDEX(상세표[사번],$H14)&amp;"")</f>
        <v/>
      </c>
      <c r="B14">
        <f>IF($H14="","",INDEX(상세표[성명],$H14)&amp;"")</f>
        <v/>
      </c>
      <c r="C14">
        <f>IF($H14="","",INDEX(상세표[부서],$H14)&amp;"")</f>
        <v/>
      </c>
      <c r="D14">
        <f>IF($H14="","",IF(IFERROR(INDEX(합계표[직위(통합)],MATCH(INDEX(상세표[사번키],$H14),합계표[사번키],0))&amp;"","")="",INDEX(상세표[직위],$H14)&amp;"",IFERROR(INDEX(합계표[직위(통합)],MATCH(INDEX(상세표[사번키],$H14),합계표[사번키],0))&amp;"","")))</f>
        <v/>
      </c>
      <c r="E14">
        <f>IF($H14="","",COUNTIFS(상세표[사번키],INDEX(상세표[사번키],$H14),상세표[기록월],대상월키))</f>
        <v/>
      </c>
      <c r="F14">
        <f>IF($H14="","",SUMIFS(상세표[기록 시간외],상세표[사번키],INDEX(상세표[사번키],$H14),상세표[기록월],대상월키))</f>
        <v/>
      </c>
      <c r="G14">
        <f>IF($H14="","",SUMIFS(합계표[시스템 합계],합계표[사번키],INDEX(상세표[사번키],$H14)))</f>
        <v/>
      </c>
      <c r="H14" s="4">
        <f>IFERROR(MATCH(9,상세표[발송인원순번],0),"")</f>
        <v/>
      </c>
      <c r="J14">
        <f>IF($U14="","",INDEX(상세표[사번],$U14)&amp;"")</f>
        <v/>
      </c>
      <c r="K14">
        <f>IF($U14="","",INDEX(상세표[성명],$U14)&amp;"")</f>
        <v/>
      </c>
      <c r="L14">
        <f>IF($U14="","",INDEX(상세표[직위],$U14)&amp;"")</f>
        <v/>
      </c>
      <c r="M14">
        <f>IF($U14="","",IF(ISNUMBER(INDEX(상세표[근무일자],$U14)),TEXT(INDEX(상세표[근무일자],$U14),"yyyy-mm-dd"),INDEX(상세표[근무일자],$U14)&amp;""))</f>
        <v/>
      </c>
      <c r="N14">
        <f>IF($U14="","",IF(ISNUMBER(INDEX(상세표[시작],$U14)),TEXT(INDEX(상세표[시작],$U14),"yyyy-mm-dd hh:mm"),INDEX(상세표[시작],$U14)&amp;""))</f>
        <v/>
      </c>
      <c r="O14">
        <f>IF($U14="","",IF(ISNUMBER(INDEX(상세표[종료],$U14)),TEXT(INDEX(상세표[종료],$U14),"yyyy-mm-dd hh:mm"),INDEX(상세표[종료],$U14)&amp;""))</f>
        <v/>
      </c>
      <c r="P14">
        <f>IF($U14="","",INDEX(상세표[06~07시],$U14))</f>
        <v/>
      </c>
      <c r="Q14">
        <f>IF($U14="","",INDEX(상세표[07~18시],$U14))</f>
        <v/>
      </c>
      <c r="R14">
        <f>IF($U14="","",INDEX(상세표[18~22시],$U14))</f>
        <v/>
      </c>
      <c r="S14">
        <f>IF($U14="","",INDEX(상세표[22~06시],$U14))</f>
        <v/>
      </c>
      <c r="T14">
        <f>IF($U14="","",INDEX(상세표[기록 시간외],$U14))</f>
        <v/>
      </c>
      <c r="U14" s="4">
        <f>IFERROR(MATCH(9,상세표[발송순번],0),"")</f>
        <v/>
      </c>
    </row>
    <row r="15">
      <c r="A15">
        <f>IF($H15="","",INDEX(상세표[사번],$H15)&amp;"")</f>
        <v/>
      </c>
      <c r="B15">
        <f>IF($H15="","",INDEX(상세표[성명],$H15)&amp;"")</f>
        <v/>
      </c>
      <c r="C15">
        <f>IF($H15="","",INDEX(상세표[부서],$H15)&amp;"")</f>
        <v/>
      </c>
      <c r="D15">
        <f>IF($H15="","",IF(IFERROR(INDEX(합계표[직위(통합)],MATCH(INDEX(상세표[사번키],$H15),합계표[사번키],0))&amp;"","")="",INDEX(상세표[직위],$H15)&amp;"",IFERROR(INDEX(합계표[직위(통합)],MATCH(INDEX(상세표[사번키],$H15),합계표[사번키],0))&amp;"","")))</f>
        <v/>
      </c>
      <c r="E15">
        <f>IF($H15="","",COUNTIFS(상세표[사번키],INDEX(상세표[사번키],$H15),상세표[기록월],대상월키))</f>
        <v/>
      </c>
      <c r="F15">
        <f>IF($H15="","",SUMIFS(상세표[기록 시간외],상세표[사번키],INDEX(상세표[사번키],$H15),상세표[기록월],대상월키))</f>
        <v/>
      </c>
      <c r="G15">
        <f>IF($H15="","",SUMIFS(합계표[시스템 합계],합계표[사번키],INDEX(상세표[사번키],$H15)))</f>
        <v/>
      </c>
      <c r="H15" s="4">
        <f>IFERROR(MATCH(10,상세표[발송인원순번],0),"")</f>
        <v/>
      </c>
      <c r="J15">
        <f>IF($U15="","",INDEX(상세표[사번],$U15)&amp;"")</f>
        <v/>
      </c>
      <c r="K15">
        <f>IF($U15="","",INDEX(상세표[성명],$U15)&amp;"")</f>
        <v/>
      </c>
      <c r="L15">
        <f>IF($U15="","",INDEX(상세표[직위],$U15)&amp;"")</f>
        <v/>
      </c>
      <c r="M15">
        <f>IF($U15="","",IF(ISNUMBER(INDEX(상세표[근무일자],$U15)),TEXT(INDEX(상세표[근무일자],$U15),"yyyy-mm-dd"),INDEX(상세표[근무일자],$U15)&amp;""))</f>
        <v/>
      </c>
      <c r="N15">
        <f>IF($U15="","",IF(ISNUMBER(INDEX(상세표[시작],$U15)),TEXT(INDEX(상세표[시작],$U15),"yyyy-mm-dd hh:mm"),INDEX(상세표[시작],$U15)&amp;""))</f>
        <v/>
      </c>
      <c r="O15">
        <f>IF($U15="","",IF(ISNUMBER(INDEX(상세표[종료],$U15)),TEXT(INDEX(상세표[종료],$U15),"yyyy-mm-dd hh:mm"),INDEX(상세표[종료],$U15)&amp;""))</f>
        <v/>
      </c>
      <c r="P15">
        <f>IF($U15="","",INDEX(상세표[06~07시],$U15))</f>
        <v/>
      </c>
      <c r="Q15">
        <f>IF($U15="","",INDEX(상세표[07~18시],$U15))</f>
        <v/>
      </c>
      <c r="R15">
        <f>IF($U15="","",INDEX(상세표[18~22시],$U15))</f>
        <v/>
      </c>
      <c r="S15">
        <f>IF($U15="","",INDEX(상세표[22~06시],$U15))</f>
        <v/>
      </c>
      <c r="T15">
        <f>IF($U15="","",INDEX(상세표[기록 시간외],$U15))</f>
        <v/>
      </c>
      <c r="U15" s="4">
        <f>IFERROR(MATCH(10,상세표[발송순번],0),"")</f>
        <v/>
      </c>
    </row>
    <row r="16">
      <c r="A16">
        <f>IF($H16="","",INDEX(상세표[사번],$H16)&amp;"")</f>
        <v/>
      </c>
      <c r="B16">
        <f>IF($H16="","",INDEX(상세표[성명],$H16)&amp;"")</f>
        <v/>
      </c>
      <c r="C16">
        <f>IF($H16="","",INDEX(상세표[부서],$H16)&amp;"")</f>
        <v/>
      </c>
      <c r="D16">
        <f>IF($H16="","",IF(IFERROR(INDEX(합계표[직위(통합)],MATCH(INDEX(상세표[사번키],$H16),합계표[사번키],0))&amp;"","")="",INDEX(상세표[직위],$H16)&amp;"",IFERROR(INDEX(합계표[직위(통합)],MATCH(INDEX(상세표[사번키],$H16),합계표[사번키],0))&amp;"","")))</f>
        <v/>
      </c>
      <c r="E16">
        <f>IF($H16="","",COUNTIFS(상세표[사번키],INDEX(상세표[사번키],$H16),상세표[기록월],대상월키))</f>
        <v/>
      </c>
      <c r="F16">
        <f>IF($H16="","",SUMIFS(상세표[기록 시간외],상세표[사번키],INDEX(상세표[사번키],$H16),상세표[기록월],대상월키))</f>
        <v/>
      </c>
      <c r="G16">
        <f>IF($H16="","",SUMIFS(합계표[시스템 합계],합계표[사번키],INDEX(상세표[사번키],$H16)))</f>
        <v/>
      </c>
      <c r="H16" s="4">
        <f>IFERROR(MATCH(11,상세표[발송인원순번],0),"")</f>
        <v/>
      </c>
      <c r="J16">
        <f>IF($U16="","",INDEX(상세표[사번],$U16)&amp;"")</f>
        <v/>
      </c>
      <c r="K16">
        <f>IF($U16="","",INDEX(상세표[성명],$U16)&amp;"")</f>
        <v/>
      </c>
      <c r="L16">
        <f>IF($U16="","",INDEX(상세표[직위],$U16)&amp;"")</f>
        <v/>
      </c>
      <c r="M16">
        <f>IF($U16="","",IF(ISNUMBER(INDEX(상세표[근무일자],$U16)),TEXT(INDEX(상세표[근무일자],$U16),"yyyy-mm-dd"),INDEX(상세표[근무일자],$U16)&amp;""))</f>
        <v/>
      </c>
      <c r="N16">
        <f>IF($U16="","",IF(ISNUMBER(INDEX(상세표[시작],$U16)),TEXT(INDEX(상세표[시작],$U16),"yyyy-mm-dd hh:mm"),INDEX(상세표[시작],$U16)&amp;""))</f>
        <v/>
      </c>
      <c r="O16">
        <f>IF($U16="","",IF(ISNUMBER(INDEX(상세표[종료],$U16)),TEXT(INDEX(상세표[종료],$U16),"yyyy-mm-dd hh:mm"),INDEX(상세표[종료],$U16)&amp;""))</f>
        <v/>
      </c>
      <c r="P16">
        <f>IF($U16="","",INDEX(상세표[06~07시],$U16))</f>
        <v/>
      </c>
      <c r="Q16">
        <f>IF($U16="","",INDEX(상세표[07~18시],$U16))</f>
        <v/>
      </c>
      <c r="R16">
        <f>IF($U16="","",INDEX(상세표[18~22시],$U16))</f>
        <v/>
      </c>
      <c r="S16">
        <f>IF($U16="","",INDEX(상세표[22~06시],$U16))</f>
        <v/>
      </c>
      <c r="T16">
        <f>IF($U16="","",INDEX(상세표[기록 시간외],$U16))</f>
        <v/>
      </c>
      <c r="U16" s="4">
        <f>IFERROR(MATCH(11,상세표[발송순번],0),"")</f>
        <v/>
      </c>
    </row>
    <row r="17">
      <c r="A17">
        <f>IF($H17="","",INDEX(상세표[사번],$H17)&amp;"")</f>
        <v/>
      </c>
      <c r="B17">
        <f>IF($H17="","",INDEX(상세표[성명],$H17)&amp;"")</f>
        <v/>
      </c>
      <c r="C17">
        <f>IF($H17="","",INDEX(상세표[부서],$H17)&amp;"")</f>
        <v/>
      </c>
      <c r="D17">
        <f>IF($H17="","",IF(IFERROR(INDEX(합계표[직위(통합)],MATCH(INDEX(상세표[사번키],$H17),합계표[사번키],0))&amp;"","")="",INDEX(상세표[직위],$H17)&amp;"",IFERROR(INDEX(합계표[직위(통합)],MATCH(INDEX(상세표[사번키],$H17),합계표[사번키],0))&amp;"","")))</f>
        <v/>
      </c>
      <c r="E17">
        <f>IF($H17="","",COUNTIFS(상세표[사번키],INDEX(상세표[사번키],$H17),상세표[기록월],대상월키))</f>
        <v/>
      </c>
      <c r="F17">
        <f>IF($H17="","",SUMIFS(상세표[기록 시간외],상세표[사번키],INDEX(상세표[사번키],$H17),상세표[기록월],대상월키))</f>
        <v/>
      </c>
      <c r="G17">
        <f>IF($H17="","",SUMIFS(합계표[시스템 합계],합계표[사번키],INDEX(상세표[사번키],$H17)))</f>
        <v/>
      </c>
      <c r="H17" s="4">
        <f>IFERROR(MATCH(12,상세표[발송인원순번],0),"")</f>
        <v/>
      </c>
      <c r="J17">
        <f>IF($U17="","",INDEX(상세표[사번],$U17)&amp;"")</f>
        <v/>
      </c>
      <c r="K17">
        <f>IF($U17="","",INDEX(상세표[성명],$U17)&amp;"")</f>
        <v/>
      </c>
      <c r="L17">
        <f>IF($U17="","",INDEX(상세표[직위],$U17)&amp;"")</f>
        <v/>
      </c>
      <c r="M17">
        <f>IF($U17="","",IF(ISNUMBER(INDEX(상세표[근무일자],$U17)),TEXT(INDEX(상세표[근무일자],$U17),"yyyy-mm-dd"),INDEX(상세표[근무일자],$U17)&amp;""))</f>
        <v/>
      </c>
      <c r="N17">
        <f>IF($U17="","",IF(ISNUMBER(INDEX(상세표[시작],$U17)),TEXT(INDEX(상세표[시작],$U17),"yyyy-mm-dd hh:mm"),INDEX(상세표[시작],$U17)&amp;""))</f>
        <v/>
      </c>
      <c r="O17">
        <f>IF($U17="","",IF(ISNUMBER(INDEX(상세표[종료],$U17)),TEXT(INDEX(상세표[종료],$U17),"yyyy-mm-dd hh:mm"),INDEX(상세표[종료],$U17)&amp;""))</f>
        <v/>
      </c>
      <c r="P17">
        <f>IF($U17="","",INDEX(상세표[06~07시],$U17))</f>
        <v/>
      </c>
      <c r="Q17">
        <f>IF($U17="","",INDEX(상세표[07~18시],$U17))</f>
        <v/>
      </c>
      <c r="R17">
        <f>IF($U17="","",INDEX(상세표[18~22시],$U17))</f>
        <v/>
      </c>
      <c r="S17">
        <f>IF($U17="","",INDEX(상세표[22~06시],$U17))</f>
        <v/>
      </c>
      <c r="T17">
        <f>IF($U17="","",INDEX(상세표[기록 시간외],$U17))</f>
        <v/>
      </c>
      <c r="U17" s="4">
        <f>IFERROR(MATCH(12,상세표[발송순번],0),"")</f>
        <v/>
      </c>
    </row>
    <row r="18">
      <c r="A18">
        <f>IF($H18="","",INDEX(상세표[사번],$H18)&amp;"")</f>
        <v/>
      </c>
      <c r="B18">
        <f>IF($H18="","",INDEX(상세표[성명],$H18)&amp;"")</f>
        <v/>
      </c>
      <c r="C18">
        <f>IF($H18="","",INDEX(상세표[부서],$H18)&amp;"")</f>
        <v/>
      </c>
      <c r="D18">
        <f>IF($H18="","",IF(IFERROR(INDEX(합계표[직위(통합)],MATCH(INDEX(상세표[사번키],$H18),합계표[사번키],0))&amp;"","")="",INDEX(상세표[직위],$H18)&amp;"",IFERROR(INDEX(합계표[직위(통합)],MATCH(INDEX(상세표[사번키],$H18),합계표[사번키],0))&amp;"","")))</f>
        <v/>
      </c>
      <c r="E18">
        <f>IF($H18="","",COUNTIFS(상세표[사번키],INDEX(상세표[사번키],$H18),상세표[기록월],대상월키))</f>
        <v/>
      </c>
      <c r="F18">
        <f>IF($H18="","",SUMIFS(상세표[기록 시간외],상세표[사번키],INDEX(상세표[사번키],$H18),상세표[기록월],대상월키))</f>
        <v/>
      </c>
      <c r="G18">
        <f>IF($H18="","",SUMIFS(합계표[시스템 합계],합계표[사번키],INDEX(상세표[사번키],$H18)))</f>
        <v/>
      </c>
      <c r="H18" s="4">
        <f>IFERROR(MATCH(13,상세표[발송인원순번],0),"")</f>
        <v/>
      </c>
      <c r="J18">
        <f>IF($U18="","",INDEX(상세표[사번],$U18)&amp;"")</f>
        <v/>
      </c>
      <c r="K18">
        <f>IF($U18="","",INDEX(상세표[성명],$U18)&amp;"")</f>
        <v/>
      </c>
      <c r="L18">
        <f>IF($U18="","",INDEX(상세표[직위],$U18)&amp;"")</f>
        <v/>
      </c>
      <c r="M18">
        <f>IF($U18="","",IF(ISNUMBER(INDEX(상세표[근무일자],$U18)),TEXT(INDEX(상세표[근무일자],$U18),"yyyy-mm-dd"),INDEX(상세표[근무일자],$U18)&amp;""))</f>
        <v/>
      </c>
      <c r="N18">
        <f>IF($U18="","",IF(ISNUMBER(INDEX(상세표[시작],$U18)),TEXT(INDEX(상세표[시작],$U18),"yyyy-mm-dd hh:mm"),INDEX(상세표[시작],$U18)&amp;""))</f>
        <v/>
      </c>
      <c r="O18">
        <f>IF($U18="","",IF(ISNUMBER(INDEX(상세표[종료],$U18)),TEXT(INDEX(상세표[종료],$U18),"yyyy-mm-dd hh:mm"),INDEX(상세표[종료],$U18)&amp;""))</f>
        <v/>
      </c>
      <c r="P18">
        <f>IF($U18="","",INDEX(상세표[06~07시],$U18))</f>
        <v/>
      </c>
      <c r="Q18">
        <f>IF($U18="","",INDEX(상세표[07~18시],$U18))</f>
        <v/>
      </c>
      <c r="R18">
        <f>IF($U18="","",INDEX(상세표[18~22시],$U18))</f>
        <v/>
      </c>
      <c r="S18">
        <f>IF($U18="","",INDEX(상세표[22~06시],$U18))</f>
        <v/>
      </c>
      <c r="T18">
        <f>IF($U18="","",INDEX(상세표[기록 시간외],$U18))</f>
        <v/>
      </c>
      <c r="U18" s="4">
        <f>IFERROR(MATCH(13,상세표[발송순번],0),"")</f>
        <v/>
      </c>
    </row>
    <row r="19">
      <c r="A19">
        <f>IF($H19="","",INDEX(상세표[사번],$H19)&amp;"")</f>
        <v/>
      </c>
      <c r="B19">
        <f>IF($H19="","",INDEX(상세표[성명],$H19)&amp;"")</f>
        <v/>
      </c>
      <c r="C19">
        <f>IF($H19="","",INDEX(상세표[부서],$H19)&amp;"")</f>
        <v/>
      </c>
      <c r="D19">
        <f>IF($H19="","",IF(IFERROR(INDEX(합계표[직위(통합)],MATCH(INDEX(상세표[사번키],$H19),합계표[사번키],0))&amp;"","")="",INDEX(상세표[직위],$H19)&amp;"",IFERROR(INDEX(합계표[직위(통합)],MATCH(INDEX(상세표[사번키],$H19),합계표[사번키],0))&amp;"","")))</f>
        <v/>
      </c>
      <c r="E19">
        <f>IF($H19="","",COUNTIFS(상세표[사번키],INDEX(상세표[사번키],$H19),상세표[기록월],대상월키))</f>
        <v/>
      </c>
      <c r="F19">
        <f>IF($H19="","",SUMIFS(상세표[기록 시간외],상세표[사번키],INDEX(상세표[사번키],$H19),상세표[기록월],대상월키))</f>
        <v/>
      </c>
      <c r="G19">
        <f>IF($H19="","",SUMIFS(합계표[시스템 합계],합계표[사번키],INDEX(상세표[사번키],$H19)))</f>
        <v/>
      </c>
      <c r="H19" s="4">
        <f>IFERROR(MATCH(14,상세표[발송인원순번],0),"")</f>
        <v/>
      </c>
      <c r="J19">
        <f>IF($U19="","",INDEX(상세표[사번],$U19)&amp;"")</f>
        <v/>
      </c>
      <c r="K19">
        <f>IF($U19="","",INDEX(상세표[성명],$U19)&amp;"")</f>
        <v/>
      </c>
      <c r="L19">
        <f>IF($U19="","",INDEX(상세표[직위],$U19)&amp;"")</f>
        <v/>
      </c>
      <c r="M19">
        <f>IF($U19="","",IF(ISNUMBER(INDEX(상세표[근무일자],$U19)),TEXT(INDEX(상세표[근무일자],$U19),"yyyy-mm-dd"),INDEX(상세표[근무일자],$U19)&amp;""))</f>
        <v/>
      </c>
      <c r="N19">
        <f>IF($U19="","",IF(ISNUMBER(INDEX(상세표[시작],$U19)),TEXT(INDEX(상세표[시작],$U19),"yyyy-mm-dd hh:mm"),INDEX(상세표[시작],$U19)&amp;""))</f>
        <v/>
      </c>
      <c r="O19">
        <f>IF($U19="","",IF(ISNUMBER(INDEX(상세표[종료],$U19)),TEXT(INDEX(상세표[종료],$U19),"yyyy-mm-dd hh:mm"),INDEX(상세표[종료],$U19)&amp;""))</f>
        <v/>
      </c>
      <c r="P19">
        <f>IF($U19="","",INDEX(상세표[06~07시],$U19))</f>
        <v/>
      </c>
      <c r="Q19">
        <f>IF($U19="","",INDEX(상세표[07~18시],$U19))</f>
        <v/>
      </c>
      <c r="R19">
        <f>IF($U19="","",INDEX(상세표[18~22시],$U19))</f>
        <v/>
      </c>
      <c r="S19">
        <f>IF($U19="","",INDEX(상세표[22~06시],$U19))</f>
        <v/>
      </c>
      <c r="T19">
        <f>IF($U19="","",INDEX(상세표[기록 시간외],$U19))</f>
        <v/>
      </c>
      <c r="U19" s="4">
        <f>IFERROR(MATCH(14,상세표[발송순번],0),"")</f>
        <v/>
      </c>
    </row>
    <row r="20">
      <c r="A20">
        <f>IF($H20="","",INDEX(상세표[사번],$H20)&amp;"")</f>
        <v/>
      </c>
      <c r="B20">
        <f>IF($H20="","",INDEX(상세표[성명],$H20)&amp;"")</f>
        <v/>
      </c>
      <c r="C20">
        <f>IF($H20="","",INDEX(상세표[부서],$H20)&amp;"")</f>
        <v/>
      </c>
      <c r="D20">
        <f>IF($H20="","",IF(IFERROR(INDEX(합계표[직위(통합)],MATCH(INDEX(상세표[사번키],$H20),합계표[사번키],0))&amp;"","")="",INDEX(상세표[직위],$H20)&amp;"",IFERROR(INDEX(합계표[직위(통합)],MATCH(INDEX(상세표[사번키],$H20),합계표[사번키],0))&amp;"","")))</f>
        <v/>
      </c>
      <c r="E20">
        <f>IF($H20="","",COUNTIFS(상세표[사번키],INDEX(상세표[사번키],$H20),상세표[기록월],대상월키))</f>
        <v/>
      </c>
      <c r="F20">
        <f>IF($H20="","",SUMIFS(상세표[기록 시간외],상세표[사번키],INDEX(상세표[사번키],$H20),상세표[기록월],대상월키))</f>
        <v/>
      </c>
      <c r="G20">
        <f>IF($H20="","",SUMIFS(합계표[시스템 합계],합계표[사번키],INDEX(상세표[사번키],$H20)))</f>
        <v/>
      </c>
      <c r="H20" s="4">
        <f>IFERROR(MATCH(15,상세표[발송인원순번],0),"")</f>
        <v/>
      </c>
      <c r="J20">
        <f>IF($U20="","",INDEX(상세표[사번],$U20)&amp;"")</f>
        <v/>
      </c>
      <c r="K20">
        <f>IF($U20="","",INDEX(상세표[성명],$U20)&amp;"")</f>
        <v/>
      </c>
      <c r="L20">
        <f>IF($U20="","",INDEX(상세표[직위],$U20)&amp;"")</f>
        <v/>
      </c>
      <c r="M20">
        <f>IF($U20="","",IF(ISNUMBER(INDEX(상세표[근무일자],$U20)),TEXT(INDEX(상세표[근무일자],$U20),"yyyy-mm-dd"),INDEX(상세표[근무일자],$U20)&amp;""))</f>
        <v/>
      </c>
      <c r="N20">
        <f>IF($U20="","",IF(ISNUMBER(INDEX(상세표[시작],$U20)),TEXT(INDEX(상세표[시작],$U20),"yyyy-mm-dd hh:mm"),INDEX(상세표[시작],$U20)&amp;""))</f>
        <v/>
      </c>
      <c r="O20">
        <f>IF($U20="","",IF(ISNUMBER(INDEX(상세표[종료],$U20)),TEXT(INDEX(상세표[종료],$U20),"yyyy-mm-dd hh:mm"),INDEX(상세표[종료],$U20)&amp;""))</f>
        <v/>
      </c>
      <c r="P20">
        <f>IF($U20="","",INDEX(상세표[06~07시],$U20))</f>
        <v/>
      </c>
      <c r="Q20">
        <f>IF($U20="","",INDEX(상세표[07~18시],$U20))</f>
        <v/>
      </c>
      <c r="R20">
        <f>IF($U20="","",INDEX(상세표[18~22시],$U20))</f>
        <v/>
      </c>
      <c r="S20">
        <f>IF($U20="","",INDEX(상세표[22~06시],$U20))</f>
        <v/>
      </c>
      <c r="T20">
        <f>IF($U20="","",INDEX(상세표[기록 시간외],$U20))</f>
        <v/>
      </c>
      <c r="U20" s="4">
        <f>IFERROR(MATCH(15,상세표[발송순번],0),"")</f>
        <v/>
      </c>
    </row>
    <row r="21">
      <c r="A21">
        <f>IF($H21="","",INDEX(상세표[사번],$H21)&amp;"")</f>
        <v/>
      </c>
      <c r="B21">
        <f>IF($H21="","",INDEX(상세표[성명],$H21)&amp;"")</f>
        <v/>
      </c>
      <c r="C21">
        <f>IF($H21="","",INDEX(상세표[부서],$H21)&amp;"")</f>
        <v/>
      </c>
      <c r="D21">
        <f>IF($H21="","",IF(IFERROR(INDEX(합계표[직위(통합)],MATCH(INDEX(상세표[사번키],$H21),합계표[사번키],0))&amp;"","")="",INDEX(상세표[직위],$H21)&amp;"",IFERROR(INDEX(합계표[직위(통합)],MATCH(INDEX(상세표[사번키],$H21),합계표[사번키],0))&amp;"","")))</f>
        <v/>
      </c>
      <c r="E21">
        <f>IF($H21="","",COUNTIFS(상세표[사번키],INDEX(상세표[사번키],$H21),상세표[기록월],대상월키))</f>
        <v/>
      </c>
      <c r="F21">
        <f>IF($H21="","",SUMIFS(상세표[기록 시간외],상세표[사번키],INDEX(상세표[사번키],$H21),상세표[기록월],대상월키))</f>
        <v/>
      </c>
      <c r="G21">
        <f>IF($H21="","",SUMIFS(합계표[시스템 합계],합계표[사번키],INDEX(상세표[사번키],$H21)))</f>
        <v/>
      </c>
      <c r="H21" s="4">
        <f>IFERROR(MATCH(16,상세표[발송인원순번],0),"")</f>
        <v/>
      </c>
      <c r="J21">
        <f>IF($U21="","",INDEX(상세표[사번],$U21)&amp;"")</f>
        <v/>
      </c>
      <c r="K21">
        <f>IF($U21="","",INDEX(상세표[성명],$U21)&amp;"")</f>
        <v/>
      </c>
      <c r="L21">
        <f>IF($U21="","",INDEX(상세표[직위],$U21)&amp;"")</f>
        <v/>
      </c>
      <c r="M21">
        <f>IF($U21="","",IF(ISNUMBER(INDEX(상세표[근무일자],$U21)),TEXT(INDEX(상세표[근무일자],$U21),"yyyy-mm-dd"),INDEX(상세표[근무일자],$U21)&amp;""))</f>
        <v/>
      </c>
      <c r="N21">
        <f>IF($U21="","",IF(ISNUMBER(INDEX(상세표[시작],$U21)),TEXT(INDEX(상세표[시작],$U21),"yyyy-mm-dd hh:mm"),INDEX(상세표[시작],$U21)&amp;""))</f>
        <v/>
      </c>
      <c r="O21">
        <f>IF($U21="","",IF(ISNUMBER(INDEX(상세표[종료],$U21)),TEXT(INDEX(상세표[종료],$U21),"yyyy-mm-dd hh:mm"),INDEX(상세표[종료],$U21)&amp;""))</f>
        <v/>
      </c>
      <c r="P21">
        <f>IF($U21="","",INDEX(상세표[06~07시],$U21))</f>
        <v/>
      </c>
      <c r="Q21">
        <f>IF($U21="","",INDEX(상세표[07~18시],$U21))</f>
        <v/>
      </c>
      <c r="R21">
        <f>IF($U21="","",INDEX(상세표[18~22시],$U21))</f>
        <v/>
      </c>
      <c r="S21">
        <f>IF($U21="","",INDEX(상세표[22~06시],$U21))</f>
        <v/>
      </c>
      <c r="T21">
        <f>IF($U21="","",INDEX(상세표[기록 시간외],$U21))</f>
        <v/>
      </c>
      <c r="U21" s="4">
        <f>IFERROR(MATCH(16,상세표[발송순번],0),"")</f>
        <v/>
      </c>
    </row>
    <row r="22">
      <c r="A22">
        <f>IF($H22="","",INDEX(상세표[사번],$H22)&amp;"")</f>
        <v/>
      </c>
      <c r="B22">
        <f>IF($H22="","",INDEX(상세표[성명],$H22)&amp;"")</f>
        <v/>
      </c>
      <c r="C22">
        <f>IF($H22="","",INDEX(상세표[부서],$H22)&amp;"")</f>
        <v/>
      </c>
      <c r="D22">
        <f>IF($H22="","",IF(IFERROR(INDEX(합계표[직위(통합)],MATCH(INDEX(상세표[사번키],$H22),합계표[사번키],0))&amp;"","")="",INDEX(상세표[직위],$H22)&amp;"",IFERROR(INDEX(합계표[직위(통합)],MATCH(INDEX(상세표[사번키],$H22),합계표[사번키],0))&amp;"","")))</f>
        <v/>
      </c>
      <c r="E22">
        <f>IF($H22="","",COUNTIFS(상세표[사번키],INDEX(상세표[사번키],$H22),상세표[기록월],대상월키))</f>
        <v/>
      </c>
      <c r="F22">
        <f>IF($H22="","",SUMIFS(상세표[기록 시간외],상세표[사번키],INDEX(상세표[사번키],$H22),상세표[기록월],대상월키))</f>
        <v/>
      </c>
      <c r="G22">
        <f>IF($H22="","",SUMIFS(합계표[시스템 합계],합계표[사번키],INDEX(상세표[사번키],$H22)))</f>
        <v/>
      </c>
      <c r="H22" s="4">
        <f>IFERROR(MATCH(17,상세표[발송인원순번],0),"")</f>
        <v/>
      </c>
      <c r="J22">
        <f>IF($U22="","",INDEX(상세표[사번],$U22)&amp;"")</f>
        <v/>
      </c>
      <c r="K22">
        <f>IF($U22="","",INDEX(상세표[성명],$U22)&amp;"")</f>
        <v/>
      </c>
      <c r="L22">
        <f>IF($U22="","",INDEX(상세표[직위],$U22)&amp;"")</f>
        <v/>
      </c>
      <c r="M22">
        <f>IF($U22="","",IF(ISNUMBER(INDEX(상세표[근무일자],$U22)),TEXT(INDEX(상세표[근무일자],$U22),"yyyy-mm-dd"),INDEX(상세표[근무일자],$U22)&amp;""))</f>
        <v/>
      </c>
      <c r="N22">
        <f>IF($U22="","",IF(ISNUMBER(INDEX(상세표[시작],$U22)),TEXT(INDEX(상세표[시작],$U22),"yyyy-mm-dd hh:mm"),INDEX(상세표[시작],$U22)&amp;""))</f>
        <v/>
      </c>
      <c r="O22">
        <f>IF($U22="","",IF(ISNUMBER(INDEX(상세표[종료],$U22)),TEXT(INDEX(상세표[종료],$U22),"yyyy-mm-dd hh:mm"),INDEX(상세표[종료],$U22)&amp;""))</f>
        <v/>
      </c>
      <c r="P22">
        <f>IF($U22="","",INDEX(상세표[06~07시],$U22))</f>
        <v/>
      </c>
      <c r="Q22">
        <f>IF($U22="","",INDEX(상세표[07~18시],$U22))</f>
        <v/>
      </c>
      <c r="R22">
        <f>IF($U22="","",INDEX(상세표[18~22시],$U22))</f>
        <v/>
      </c>
      <c r="S22">
        <f>IF($U22="","",INDEX(상세표[22~06시],$U22))</f>
        <v/>
      </c>
      <c r="T22">
        <f>IF($U22="","",INDEX(상세표[기록 시간외],$U22))</f>
        <v/>
      </c>
      <c r="U22" s="4">
        <f>IFERROR(MATCH(17,상세표[발송순번],0),"")</f>
        <v/>
      </c>
    </row>
    <row r="23">
      <c r="A23">
        <f>IF($H23="","",INDEX(상세표[사번],$H23)&amp;"")</f>
        <v/>
      </c>
      <c r="B23">
        <f>IF($H23="","",INDEX(상세표[성명],$H23)&amp;"")</f>
        <v/>
      </c>
      <c r="C23">
        <f>IF($H23="","",INDEX(상세표[부서],$H23)&amp;"")</f>
        <v/>
      </c>
      <c r="D23">
        <f>IF($H23="","",IF(IFERROR(INDEX(합계표[직위(통합)],MATCH(INDEX(상세표[사번키],$H23),합계표[사번키],0))&amp;"","")="",INDEX(상세표[직위],$H23)&amp;"",IFERROR(INDEX(합계표[직위(통합)],MATCH(INDEX(상세표[사번키],$H23),합계표[사번키],0))&amp;"","")))</f>
        <v/>
      </c>
      <c r="E23">
        <f>IF($H23="","",COUNTIFS(상세표[사번키],INDEX(상세표[사번키],$H23),상세표[기록월],대상월키))</f>
        <v/>
      </c>
      <c r="F23">
        <f>IF($H23="","",SUMIFS(상세표[기록 시간외],상세표[사번키],INDEX(상세표[사번키],$H23),상세표[기록월],대상월키))</f>
        <v/>
      </c>
      <c r="G23">
        <f>IF($H23="","",SUMIFS(합계표[시스템 합계],합계표[사번키],INDEX(상세표[사번키],$H23)))</f>
        <v/>
      </c>
      <c r="H23" s="4">
        <f>IFERROR(MATCH(18,상세표[발송인원순번],0),"")</f>
        <v/>
      </c>
      <c r="J23">
        <f>IF($U23="","",INDEX(상세표[사번],$U23)&amp;"")</f>
        <v/>
      </c>
      <c r="K23">
        <f>IF($U23="","",INDEX(상세표[성명],$U23)&amp;"")</f>
        <v/>
      </c>
      <c r="L23">
        <f>IF($U23="","",INDEX(상세표[직위],$U23)&amp;"")</f>
        <v/>
      </c>
      <c r="M23">
        <f>IF($U23="","",IF(ISNUMBER(INDEX(상세표[근무일자],$U23)),TEXT(INDEX(상세표[근무일자],$U23),"yyyy-mm-dd"),INDEX(상세표[근무일자],$U23)&amp;""))</f>
        <v/>
      </c>
      <c r="N23">
        <f>IF($U23="","",IF(ISNUMBER(INDEX(상세표[시작],$U23)),TEXT(INDEX(상세표[시작],$U23),"yyyy-mm-dd hh:mm"),INDEX(상세표[시작],$U23)&amp;""))</f>
        <v/>
      </c>
      <c r="O23">
        <f>IF($U23="","",IF(ISNUMBER(INDEX(상세표[종료],$U23)),TEXT(INDEX(상세표[종료],$U23),"yyyy-mm-dd hh:mm"),INDEX(상세표[종료],$U23)&amp;""))</f>
        <v/>
      </c>
      <c r="P23">
        <f>IF($U23="","",INDEX(상세표[06~07시],$U23))</f>
        <v/>
      </c>
      <c r="Q23">
        <f>IF($U23="","",INDEX(상세표[07~18시],$U23))</f>
        <v/>
      </c>
      <c r="R23">
        <f>IF($U23="","",INDEX(상세표[18~22시],$U23))</f>
        <v/>
      </c>
      <c r="S23">
        <f>IF($U23="","",INDEX(상세표[22~06시],$U23))</f>
        <v/>
      </c>
      <c r="T23">
        <f>IF($U23="","",INDEX(상세표[기록 시간외],$U23))</f>
        <v/>
      </c>
      <c r="U23" s="4">
        <f>IFERROR(MATCH(18,상세표[발송순번],0),"")</f>
        <v/>
      </c>
    </row>
    <row r="24">
      <c r="A24">
        <f>IF($H24="","",INDEX(상세표[사번],$H24)&amp;"")</f>
        <v/>
      </c>
      <c r="B24">
        <f>IF($H24="","",INDEX(상세표[성명],$H24)&amp;"")</f>
        <v/>
      </c>
      <c r="C24">
        <f>IF($H24="","",INDEX(상세표[부서],$H24)&amp;"")</f>
        <v/>
      </c>
      <c r="D24">
        <f>IF($H24="","",IF(IFERROR(INDEX(합계표[직위(통합)],MATCH(INDEX(상세표[사번키],$H24),합계표[사번키],0))&amp;"","")="",INDEX(상세표[직위],$H24)&amp;"",IFERROR(INDEX(합계표[직위(통합)],MATCH(INDEX(상세표[사번키],$H24),합계표[사번키],0))&amp;"","")))</f>
        <v/>
      </c>
      <c r="E24">
        <f>IF($H24="","",COUNTIFS(상세표[사번키],INDEX(상세표[사번키],$H24),상세표[기록월],대상월키))</f>
        <v/>
      </c>
      <c r="F24">
        <f>IF($H24="","",SUMIFS(상세표[기록 시간외],상세표[사번키],INDEX(상세표[사번키],$H24),상세표[기록월],대상월키))</f>
        <v/>
      </c>
      <c r="G24">
        <f>IF($H24="","",SUMIFS(합계표[시스템 합계],합계표[사번키],INDEX(상세표[사번키],$H24)))</f>
        <v/>
      </c>
      <c r="H24" s="4">
        <f>IFERROR(MATCH(19,상세표[발송인원순번],0),"")</f>
        <v/>
      </c>
      <c r="J24">
        <f>IF($U24="","",INDEX(상세표[사번],$U24)&amp;"")</f>
        <v/>
      </c>
      <c r="K24">
        <f>IF($U24="","",INDEX(상세표[성명],$U24)&amp;"")</f>
        <v/>
      </c>
      <c r="L24">
        <f>IF($U24="","",INDEX(상세표[직위],$U24)&amp;"")</f>
        <v/>
      </c>
      <c r="M24">
        <f>IF($U24="","",IF(ISNUMBER(INDEX(상세표[근무일자],$U24)),TEXT(INDEX(상세표[근무일자],$U24),"yyyy-mm-dd"),INDEX(상세표[근무일자],$U24)&amp;""))</f>
        <v/>
      </c>
      <c r="N24">
        <f>IF($U24="","",IF(ISNUMBER(INDEX(상세표[시작],$U24)),TEXT(INDEX(상세표[시작],$U24),"yyyy-mm-dd hh:mm"),INDEX(상세표[시작],$U24)&amp;""))</f>
        <v/>
      </c>
      <c r="O24">
        <f>IF($U24="","",IF(ISNUMBER(INDEX(상세표[종료],$U24)),TEXT(INDEX(상세표[종료],$U24),"yyyy-mm-dd hh:mm"),INDEX(상세표[종료],$U24)&amp;""))</f>
        <v/>
      </c>
      <c r="P24">
        <f>IF($U24="","",INDEX(상세표[06~07시],$U24))</f>
        <v/>
      </c>
      <c r="Q24">
        <f>IF($U24="","",INDEX(상세표[07~18시],$U24))</f>
        <v/>
      </c>
      <c r="R24">
        <f>IF($U24="","",INDEX(상세표[18~22시],$U24))</f>
        <v/>
      </c>
      <c r="S24">
        <f>IF($U24="","",INDEX(상세표[22~06시],$U24))</f>
        <v/>
      </c>
      <c r="T24">
        <f>IF($U24="","",INDEX(상세표[기록 시간외],$U24))</f>
        <v/>
      </c>
      <c r="U24" s="4">
        <f>IFERROR(MATCH(19,상세표[발송순번],0),"")</f>
        <v/>
      </c>
    </row>
    <row r="25">
      <c r="A25">
        <f>IF($H25="","",INDEX(상세표[사번],$H25)&amp;"")</f>
        <v/>
      </c>
      <c r="B25">
        <f>IF($H25="","",INDEX(상세표[성명],$H25)&amp;"")</f>
        <v/>
      </c>
      <c r="C25">
        <f>IF($H25="","",INDEX(상세표[부서],$H25)&amp;"")</f>
        <v/>
      </c>
      <c r="D25">
        <f>IF($H25="","",IF(IFERROR(INDEX(합계표[직위(통합)],MATCH(INDEX(상세표[사번키],$H25),합계표[사번키],0))&amp;"","")="",INDEX(상세표[직위],$H25)&amp;"",IFERROR(INDEX(합계표[직위(통합)],MATCH(INDEX(상세표[사번키],$H25),합계표[사번키],0))&amp;"","")))</f>
        <v/>
      </c>
      <c r="E25">
        <f>IF($H25="","",COUNTIFS(상세표[사번키],INDEX(상세표[사번키],$H25),상세표[기록월],대상월키))</f>
        <v/>
      </c>
      <c r="F25">
        <f>IF($H25="","",SUMIFS(상세표[기록 시간외],상세표[사번키],INDEX(상세표[사번키],$H25),상세표[기록월],대상월키))</f>
        <v/>
      </c>
      <c r="G25">
        <f>IF($H25="","",SUMIFS(합계표[시스템 합계],합계표[사번키],INDEX(상세표[사번키],$H25)))</f>
        <v/>
      </c>
      <c r="H25" s="4">
        <f>IFERROR(MATCH(20,상세표[발송인원순번],0),"")</f>
        <v/>
      </c>
      <c r="J25">
        <f>IF($U25="","",INDEX(상세표[사번],$U25)&amp;"")</f>
        <v/>
      </c>
      <c r="K25">
        <f>IF($U25="","",INDEX(상세표[성명],$U25)&amp;"")</f>
        <v/>
      </c>
      <c r="L25">
        <f>IF($U25="","",INDEX(상세표[직위],$U25)&amp;"")</f>
        <v/>
      </c>
      <c r="M25">
        <f>IF($U25="","",IF(ISNUMBER(INDEX(상세표[근무일자],$U25)),TEXT(INDEX(상세표[근무일자],$U25),"yyyy-mm-dd"),INDEX(상세표[근무일자],$U25)&amp;""))</f>
        <v/>
      </c>
      <c r="N25">
        <f>IF($U25="","",IF(ISNUMBER(INDEX(상세표[시작],$U25)),TEXT(INDEX(상세표[시작],$U25),"yyyy-mm-dd hh:mm"),INDEX(상세표[시작],$U25)&amp;""))</f>
        <v/>
      </c>
      <c r="O25">
        <f>IF($U25="","",IF(ISNUMBER(INDEX(상세표[종료],$U25)),TEXT(INDEX(상세표[종료],$U25),"yyyy-mm-dd hh:mm"),INDEX(상세표[종료],$U25)&amp;""))</f>
        <v/>
      </c>
      <c r="P25">
        <f>IF($U25="","",INDEX(상세표[06~07시],$U25))</f>
        <v/>
      </c>
      <c r="Q25">
        <f>IF($U25="","",INDEX(상세표[07~18시],$U25))</f>
        <v/>
      </c>
      <c r="R25">
        <f>IF($U25="","",INDEX(상세표[18~22시],$U25))</f>
        <v/>
      </c>
      <c r="S25">
        <f>IF($U25="","",INDEX(상세표[22~06시],$U25))</f>
        <v/>
      </c>
      <c r="T25">
        <f>IF($U25="","",INDEX(상세표[기록 시간외],$U25))</f>
        <v/>
      </c>
      <c r="U25" s="4">
        <f>IFERROR(MATCH(20,상세표[발송순번],0),"")</f>
        <v/>
      </c>
    </row>
    <row r="26">
      <c r="A26">
        <f>IF($H26="","",INDEX(상세표[사번],$H26)&amp;"")</f>
        <v/>
      </c>
      <c r="B26">
        <f>IF($H26="","",INDEX(상세표[성명],$H26)&amp;"")</f>
        <v/>
      </c>
      <c r="C26">
        <f>IF($H26="","",INDEX(상세표[부서],$H26)&amp;"")</f>
        <v/>
      </c>
      <c r="D26">
        <f>IF($H26="","",IF(IFERROR(INDEX(합계표[직위(통합)],MATCH(INDEX(상세표[사번키],$H26),합계표[사번키],0))&amp;"","")="",INDEX(상세표[직위],$H26)&amp;"",IFERROR(INDEX(합계표[직위(통합)],MATCH(INDEX(상세표[사번키],$H26),합계표[사번키],0))&amp;"","")))</f>
        <v/>
      </c>
      <c r="E26">
        <f>IF($H26="","",COUNTIFS(상세표[사번키],INDEX(상세표[사번키],$H26),상세표[기록월],대상월키))</f>
        <v/>
      </c>
      <c r="F26">
        <f>IF($H26="","",SUMIFS(상세표[기록 시간외],상세표[사번키],INDEX(상세표[사번키],$H26),상세표[기록월],대상월키))</f>
        <v/>
      </c>
      <c r="G26">
        <f>IF($H26="","",SUMIFS(합계표[시스템 합계],합계표[사번키],INDEX(상세표[사번키],$H26)))</f>
        <v/>
      </c>
      <c r="H26" s="4">
        <f>IFERROR(MATCH(21,상세표[발송인원순번],0),"")</f>
        <v/>
      </c>
      <c r="J26">
        <f>IF($U26="","",INDEX(상세표[사번],$U26)&amp;"")</f>
        <v/>
      </c>
      <c r="K26">
        <f>IF($U26="","",INDEX(상세표[성명],$U26)&amp;"")</f>
        <v/>
      </c>
      <c r="L26">
        <f>IF($U26="","",INDEX(상세표[직위],$U26)&amp;"")</f>
        <v/>
      </c>
      <c r="M26">
        <f>IF($U26="","",IF(ISNUMBER(INDEX(상세표[근무일자],$U26)),TEXT(INDEX(상세표[근무일자],$U26),"yyyy-mm-dd"),INDEX(상세표[근무일자],$U26)&amp;""))</f>
        <v/>
      </c>
      <c r="N26">
        <f>IF($U26="","",IF(ISNUMBER(INDEX(상세표[시작],$U26)),TEXT(INDEX(상세표[시작],$U26),"yyyy-mm-dd hh:mm"),INDEX(상세표[시작],$U26)&amp;""))</f>
        <v/>
      </c>
      <c r="O26">
        <f>IF($U26="","",IF(ISNUMBER(INDEX(상세표[종료],$U26)),TEXT(INDEX(상세표[종료],$U26),"yyyy-mm-dd hh:mm"),INDEX(상세표[종료],$U26)&amp;""))</f>
        <v/>
      </c>
      <c r="P26">
        <f>IF($U26="","",INDEX(상세표[06~07시],$U26))</f>
        <v/>
      </c>
      <c r="Q26">
        <f>IF($U26="","",INDEX(상세표[07~18시],$U26))</f>
        <v/>
      </c>
      <c r="R26">
        <f>IF($U26="","",INDEX(상세표[18~22시],$U26))</f>
        <v/>
      </c>
      <c r="S26">
        <f>IF($U26="","",INDEX(상세표[22~06시],$U26))</f>
        <v/>
      </c>
      <c r="T26">
        <f>IF($U26="","",INDEX(상세표[기록 시간외],$U26))</f>
        <v/>
      </c>
      <c r="U26" s="4">
        <f>IFERROR(MATCH(21,상세표[발송순번],0),"")</f>
        <v/>
      </c>
    </row>
    <row r="27">
      <c r="A27">
        <f>IF($H27="","",INDEX(상세표[사번],$H27)&amp;"")</f>
        <v/>
      </c>
      <c r="B27">
        <f>IF($H27="","",INDEX(상세표[성명],$H27)&amp;"")</f>
        <v/>
      </c>
      <c r="C27">
        <f>IF($H27="","",INDEX(상세표[부서],$H27)&amp;"")</f>
        <v/>
      </c>
      <c r="D27">
        <f>IF($H27="","",IF(IFERROR(INDEX(합계표[직위(통합)],MATCH(INDEX(상세표[사번키],$H27),합계표[사번키],0))&amp;"","")="",INDEX(상세표[직위],$H27)&amp;"",IFERROR(INDEX(합계표[직위(통합)],MATCH(INDEX(상세표[사번키],$H27),합계표[사번키],0))&amp;"","")))</f>
        <v/>
      </c>
      <c r="E27">
        <f>IF($H27="","",COUNTIFS(상세표[사번키],INDEX(상세표[사번키],$H27),상세표[기록월],대상월키))</f>
        <v/>
      </c>
      <c r="F27">
        <f>IF($H27="","",SUMIFS(상세표[기록 시간외],상세표[사번키],INDEX(상세표[사번키],$H27),상세표[기록월],대상월키))</f>
        <v/>
      </c>
      <c r="G27">
        <f>IF($H27="","",SUMIFS(합계표[시스템 합계],합계표[사번키],INDEX(상세표[사번키],$H27)))</f>
        <v/>
      </c>
      <c r="H27" s="4">
        <f>IFERROR(MATCH(22,상세표[발송인원순번],0),"")</f>
        <v/>
      </c>
      <c r="J27">
        <f>IF($U27="","",INDEX(상세표[사번],$U27)&amp;"")</f>
        <v/>
      </c>
      <c r="K27">
        <f>IF($U27="","",INDEX(상세표[성명],$U27)&amp;"")</f>
        <v/>
      </c>
      <c r="L27">
        <f>IF($U27="","",INDEX(상세표[직위],$U27)&amp;"")</f>
        <v/>
      </c>
      <c r="M27">
        <f>IF($U27="","",IF(ISNUMBER(INDEX(상세표[근무일자],$U27)),TEXT(INDEX(상세표[근무일자],$U27),"yyyy-mm-dd"),INDEX(상세표[근무일자],$U27)&amp;""))</f>
        <v/>
      </c>
      <c r="N27">
        <f>IF($U27="","",IF(ISNUMBER(INDEX(상세표[시작],$U27)),TEXT(INDEX(상세표[시작],$U27),"yyyy-mm-dd hh:mm"),INDEX(상세표[시작],$U27)&amp;""))</f>
        <v/>
      </c>
      <c r="O27">
        <f>IF($U27="","",IF(ISNUMBER(INDEX(상세표[종료],$U27)),TEXT(INDEX(상세표[종료],$U27),"yyyy-mm-dd hh:mm"),INDEX(상세표[종료],$U27)&amp;""))</f>
        <v/>
      </c>
      <c r="P27">
        <f>IF($U27="","",INDEX(상세표[06~07시],$U27))</f>
        <v/>
      </c>
      <c r="Q27">
        <f>IF($U27="","",INDEX(상세표[07~18시],$U27))</f>
        <v/>
      </c>
      <c r="R27">
        <f>IF($U27="","",INDEX(상세표[18~22시],$U27))</f>
        <v/>
      </c>
      <c r="S27">
        <f>IF($U27="","",INDEX(상세표[22~06시],$U27))</f>
        <v/>
      </c>
      <c r="T27">
        <f>IF($U27="","",INDEX(상세표[기록 시간외],$U27))</f>
        <v/>
      </c>
      <c r="U27" s="4">
        <f>IFERROR(MATCH(22,상세표[발송순번],0),"")</f>
        <v/>
      </c>
    </row>
    <row r="28">
      <c r="A28">
        <f>IF($H28="","",INDEX(상세표[사번],$H28)&amp;"")</f>
        <v/>
      </c>
      <c r="B28">
        <f>IF($H28="","",INDEX(상세표[성명],$H28)&amp;"")</f>
        <v/>
      </c>
      <c r="C28">
        <f>IF($H28="","",INDEX(상세표[부서],$H28)&amp;"")</f>
        <v/>
      </c>
      <c r="D28">
        <f>IF($H28="","",IF(IFERROR(INDEX(합계표[직위(통합)],MATCH(INDEX(상세표[사번키],$H28),합계표[사번키],0))&amp;"","")="",INDEX(상세표[직위],$H28)&amp;"",IFERROR(INDEX(합계표[직위(통합)],MATCH(INDEX(상세표[사번키],$H28),합계표[사번키],0))&amp;"","")))</f>
        <v/>
      </c>
      <c r="E28">
        <f>IF($H28="","",COUNTIFS(상세표[사번키],INDEX(상세표[사번키],$H28),상세표[기록월],대상월키))</f>
        <v/>
      </c>
      <c r="F28">
        <f>IF($H28="","",SUMIFS(상세표[기록 시간외],상세표[사번키],INDEX(상세표[사번키],$H28),상세표[기록월],대상월키))</f>
        <v/>
      </c>
      <c r="G28">
        <f>IF($H28="","",SUMIFS(합계표[시스템 합계],합계표[사번키],INDEX(상세표[사번키],$H28)))</f>
        <v/>
      </c>
      <c r="H28" s="4">
        <f>IFERROR(MATCH(23,상세표[발송인원순번],0),"")</f>
        <v/>
      </c>
      <c r="J28">
        <f>IF($U28="","",INDEX(상세표[사번],$U28)&amp;"")</f>
        <v/>
      </c>
      <c r="K28">
        <f>IF($U28="","",INDEX(상세표[성명],$U28)&amp;"")</f>
        <v/>
      </c>
      <c r="L28">
        <f>IF($U28="","",INDEX(상세표[직위],$U28)&amp;"")</f>
        <v/>
      </c>
      <c r="M28">
        <f>IF($U28="","",IF(ISNUMBER(INDEX(상세표[근무일자],$U28)),TEXT(INDEX(상세표[근무일자],$U28),"yyyy-mm-dd"),INDEX(상세표[근무일자],$U28)&amp;""))</f>
        <v/>
      </c>
      <c r="N28">
        <f>IF($U28="","",IF(ISNUMBER(INDEX(상세표[시작],$U28)),TEXT(INDEX(상세표[시작],$U28),"yyyy-mm-dd hh:mm"),INDEX(상세표[시작],$U28)&amp;""))</f>
        <v/>
      </c>
      <c r="O28">
        <f>IF($U28="","",IF(ISNUMBER(INDEX(상세표[종료],$U28)),TEXT(INDEX(상세표[종료],$U28),"yyyy-mm-dd hh:mm"),INDEX(상세표[종료],$U28)&amp;""))</f>
        <v/>
      </c>
      <c r="P28">
        <f>IF($U28="","",INDEX(상세표[06~07시],$U28))</f>
        <v/>
      </c>
      <c r="Q28">
        <f>IF($U28="","",INDEX(상세표[07~18시],$U28))</f>
        <v/>
      </c>
      <c r="R28">
        <f>IF($U28="","",INDEX(상세표[18~22시],$U28))</f>
        <v/>
      </c>
      <c r="S28">
        <f>IF($U28="","",INDEX(상세표[22~06시],$U28))</f>
        <v/>
      </c>
      <c r="T28">
        <f>IF($U28="","",INDEX(상세표[기록 시간외],$U28))</f>
        <v/>
      </c>
      <c r="U28" s="4">
        <f>IFERROR(MATCH(23,상세표[발송순번],0),"")</f>
        <v/>
      </c>
    </row>
    <row r="29">
      <c r="A29">
        <f>IF($H29="","",INDEX(상세표[사번],$H29)&amp;"")</f>
        <v/>
      </c>
      <c r="B29">
        <f>IF($H29="","",INDEX(상세표[성명],$H29)&amp;"")</f>
        <v/>
      </c>
      <c r="C29">
        <f>IF($H29="","",INDEX(상세표[부서],$H29)&amp;"")</f>
        <v/>
      </c>
      <c r="D29">
        <f>IF($H29="","",IF(IFERROR(INDEX(합계표[직위(통합)],MATCH(INDEX(상세표[사번키],$H29),합계표[사번키],0))&amp;"","")="",INDEX(상세표[직위],$H29)&amp;"",IFERROR(INDEX(합계표[직위(통합)],MATCH(INDEX(상세표[사번키],$H29),합계표[사번키],0))&amp;"","")))</f>
        <v/>
      </c>
      <c r="E29">
        <f>IF($H29="","",COUNTIFS(상세표[사번키],INDEX(상세표[사번키],$H29),상세표[기록월],대상월키))</f>
        <v/>
      </c>
      <c r="F29">
        <f>IF($H29="","",SUMIFS(상세표[기록 시간외],상세표[사번키],INDEX(상세표[사번키],$H29),상세표[기록월],대상월키))</f>
        <v/>
      </c>
      <c r="G29">
        <f>IF($H29="","",SUMIFS(합계표[시스템 합계],합계표[사번키],INDEX(상세표[사번키],$H29)))</f>
        <v/>
      </c>
      <c r="H29" s="4">
        <f>IFERROR(MATCH(24,상세표[발송인원순번],0),"")</f>
        <v/>
      </c>
      <c r="J29">
        <f>IF($U29="","",INDEX(상세표[사번],$U29)&amp;"")</f>
        <v/>
      </c>
      <c r="K29">
        <f>IF($U29="","",INDEX(상세표[성명],$U29)&amp;"")</f>
        <v/>
      </c>
      <c r="L29">
        <f>IF($U29="","",INDEX(상세표[직위],$U29)&amp;"")</f>
        <v/>
      </c>
      <c r="M29">
        <f>IF($U29="","",IF(ISNUMBER(INDEX(상세표[근무일자],$U29)),TEXT(INDEX(상세표[근무일자],$U29),"yyyy-mm-dd"),INDEX(상세표[근무일자],$U29)&amp;""))</f>
        <v/>
      </c>
      <c r="N29">
        <f>IF($U29="","",IF(ISNUMBER(INDEX(상세표[시작],$U29)),TEXT(INDEX(상세표[시작],$U29),"yyyy-mm-dd hh:mm"),INDEX(상세표[시작],$U29)&amp;""))</f>
        <v/>
      </c>
      <c r="O29">
        <f>IF($U29="","",IF(ISNUMBER(INDEX(상세표[종료],$U29)),TEXT(INDEX(상세표[종료],$U29),"yyyy-mm-dd hh:mm"),INDEX(상세표[종료],$U29)&amp;""))</f>
        <v/>
      </c>
      <c r="P29">
        <f>IF($U29="","",INDEX(상세표[06~07시],$U29))</f>
        <v/>
      </c>
      <c r="Q29">
        <f>IF($U29="","",INDEX(상세표[07~18시],$U29))</f>
        <v/>
      </c>
      <c r="R29">
        <f>IF($U29="","",INDEX(상세표[18~22시],$U29))</f>
        <v/>
      </c>
      <c r="S29">
        <f>IF($U29="","",INDEX(상세표[22~06시],$U29))</f>
        <v/>
      </c>
      <c r="T29">
        <f>IF($U29="","",INDEX(상세표[기록 시간외],$U29))</f>
        <v/>
      </c>
      <c r="U29" s="4">
        <f>IFERROR(MATCH(24,상세표[발송순번],0),"")</f>
        <v/>
      </c>
    </row>
    <row r="30">
      <c r="A30">
        <f>IF($H30="","",INDEX(상세표[사번],$H30)&amp;"")</f>
        <v/>
      </c>
      <c r="B30">
        <f>IF($H30="","",INDEX(상세표[성명],$H30)&amp;"")</f>
        <v/>
      </c>
      <c r="C30">
        <f>IF($H30="","",INDEX(상세표[부서],$H30)&amp;"")</f>
        <v/>
      </c>
      <c r="D30">
        <f>IF($H30="","",IF(IFERROR(INDEX(합계표[직위(통합)],MATCH(INDEX(상세표[사번키],$H30),합계표[사번키],0))&amp;"","")="",INDEX(상세표[직위],$H30)&amp;"",IFERROR(INDEX(합계표[직위(통합)],MATCH(INDEX(상세표[사번키],$H30),합계표[사번키],0))&amp;"","")))</f>
        <v/>
      </c>
      <c r="E30">
        <f>IF($H30="","",COUNTIFS(상세표[사번키],INDEX(상세표[사번키],$H30),상세표[기록월],대상월키))</f>
        <v/>
      </c>
      <c r="F30">
        <f>IF($H30="","",SUMIFS(상세표[기록 시간외],상세표[사번키],INDEX(상세표[사번키],$H30),상세표[기록월],대상월키))</f>
        <v/>
      </c>
      <c r="G30">
        <f>IF($H30="","",SUMIFS(합계표[시스템 합계],합계표[사번키],INDEX(상세표[사번키],$H30)))</f>
        <v/>
      </c>
      <c r="H30" s="4">
        <f>IFERROR(MATCH(25,상세표[발송인원순번],0),"")</f>
        <v/>
      </c>
      <c r="J30">
        <f>IF($U30="","",INDEX(상세표[사번],$U30)&amp;"")</f>
        <v/>
      </c>
      <c r="K30">
        <f>IF($U30="","",INDEX(상세표[성명],$U30)&amp;"")</f>
        <v/>
      </c>
      <c r="L30">
        <f>IF($U30="","",INDEX(상세표[직위],$U30)&amp;"")</f>
        <v/>
      </c>
      <c r="M30">
        <f>IF($U30="","",IF(ISNUMBER(INDEX(상세표[근무일자],$U30)),TEXT(INDEX(상세표[근무일자],$U30),"yyyy-mm-dd"),INDEX(상세표[근무일자],$U30)&amp;""))</f>
        <v/>
      </c>
      <c r="N30">
        <f>IF($U30="","",IF(ISNUMBER(INDEX(상세표[시작],$U30)),TEXT(INDEX(상세표[시작],$U30),"yyyy-mm-dd hh:mm"),INDEX(상세표[시작],$U30)&amp;""))</f>
        <v/>
      </c>
      <c r="O30">
        <f>IF($U30="","",IF(ISNUMBER(INDEX(상세표[종료],$U30)),TEXT(INDEX(상세표[종료],$U30),"yyyy-mm-dd hh:mm"),INDEX(상세표[종료],$U30)&amp;""))</f>
        <v/>
      </c>
      <c r="P30">
        <f>IF($U30="","",INDEX(상세표[06~07시],$U30))</f>
        <v/>
      </c>
      <c r="Q30">
        <f>IF($U30="","",INDEX(상세표[07~18시],$U30))</f>
        <v/>
      </c>
      <c r="R30">
        <f>IF($U30="","",INDEX(상세표[18~22시],$U30))</f>
        <v/>
      </c>
      <c r="S30">
        <f>IF($U30="","",INDEX(상세표[22~06시],$U30))</f>
        <v/>
      </c>
      <c r="T30">
        <f>IF($U30="","",INDEX(상세표[기록 시간외],$U30))</f>
        <v/>
      </c>
      <c r="U30" s="4">
        <f>IFERROR(MATCH(25,상세표[발송순번],0),"")</f>
        <v/>
      </c>
    </row>
    <row r="31">
      <c r="A31">
        <f>IF($H31="","",INDEX(상세표[사번],$H31)&amp;"")</f>
        <v/>
      </c>
      <c r="B31">
        <f>IF($H31="","",INDEX(상세표[성명],$H31)&amp;"")</f>
        <v/>
      </c>
      <c r="C31">
        <f>IF($H31="","",INDEX(상세표[부서],$H31)&amp;"")</f>
        <v/>
      </c>
      <c r="D31">
        <f>IF($H31="","",IF(IFERROR(INDEX(합계표[직위(통합)],MATCH(INDEX(상세표[사번키],$H31),합계표[사번키],0))&amp;"","")="",INDEX(상세표[직위],$H31)&amp;"",IFERROR(INDEX(합계표[직위(통합)],MATCH(INDEX(상세표[사번키],$H31),합계표[사번키],0))&amp;"","")))</f>
        <v/>
      </c>
      <c r="E31">
        <f>IF($H31="","",COUNTIFS(상세표[사번키],INDEX(상세표[사번키],$H31),상세표[기록월],대상월키))</f>
        <v/>
      </c>
      <c r="F31">
        <f>IF($H31="","",SUMIFS(상세표[기록 시간외],상세표[사번키],INDEX(상세표[사번키],$H31),상세표[기록월],대상월키))</f>
        <v/>
      </c>
      <c r="G31">
        <f>IF($H31="","",SUMIFS(합계표[시스템 합계],합계표[사번키],INDEX(상세표[사번키],$H31)))</f>
        <v/>
      </c>
      <c r="H31" s="4">
        <f>IFERROR(MATCH(26,상세표[발송인원순번],0),"")</f>
        <v/>
      </c>
      <c r="J31">
        <f>IF($U31="","",INDEX(상세표[사번],$U31)&amp;"")</f>
        <v/>
      </c>
      <c r="K31">
        <f>IF($U31="","",INDEX(상세표[성명],$U31)&amp;"")</f>
        <v/>
      </c>
      <c r="L31">
        <f>IF($U31="","",INDEX(상세표[직위],$U31)&amp;"")</f>
        <v/>
      </c>
      <c r="M31">
        <f>IF($U31="","",IF(ISNUMBER(INDEX(상세표[근무일자],$U31)),TEXT(INDEX(상세표[근무일자],$U31),"yyyy-mm-dd"),INDEX(상세표[근무일자],$U31)&amp;""))</f>
        <v/>
      </c>
      <c r="N31">
        <f>IF($U31="","",IF(ISNUMBER(INDEX(상세표[시작],$U31)),TEXT(INDEX(상세표[시작],$U31),"yyyy-mm-dd hh:mm"),INDEX(상세표[시작],$U31)&amp;""))</f>
        <v/>
      </c>
      <c r="O31">
        <f>IF($U31="","",IF(ISNUMBER(INDEX(상세표[종료],$U31)),TEXT(INDEX(상세표[종료],$U31),"yyyy-mm-dd hh:mm"),INDEX(상세표[종료],$U31)&amp;""))</f>
        <v/>
      </c>
      <c r="P31">
        <f>IF($U31="","",INDEX(상세표[06~07시],$U31))</f>
        <v/>
      </c>
      <c r="Q31">
        <f>IF($U31="","",INDEX(상세표[07~18시],$U31))</f>
        <v/>
      </c>
      <c r="R31">
        <f>IF($U31="","",INDEX(상세표[18~22시],$U31))</f>
        <v/>
      </c>
      <c r="S31">
        <f>IF($U31="","",INDEX(상세표[22~06시],$U31))</f>
        <v/>
      </c>
      <c r="T31">
        <f>IF($U31="","",INDEX(상세표[기록 시간외],$U31))</f>
        <v/>
      </c>
      <c r="U31" s="4">
        <f>IFERROR(MATCH(26,상세표[발송순번],0),"")</f>
        <v/>
      </c>
    </row>
    <row r="32">
      <c r="A32">
        <f>IF($H32="","",INDEX(상세표[사번],$H32)&amp;"")</f>
        <v/>
      </c>
      <c r="B32">
        <f>IF($H32="","",INDEX(상세표[성명],$H32)&amp;"")</f>
        <v/>
      </c>
      <c r="C32">
        <f>IF($H32="","",INDEX(상세표[부서],$H32)&amp;"")</f>
        <v/>
      </c>
      <c r="D32">
        <f>IF($H32="","",IF(IFERROR(INDEX(합계표[직위(통합)],MATCH(INDEX(상세표[사번키],$H32),합계표[사번키],0))&amp;"","")="",INDEX(상세표[직위],$H32)&amp;"",IFERROR(INDEX(합계표[직위(통합)],MATCH(INDEX(상세표[사번키],$H32),합계표[사번키],0))&amp;"","")))</f>
        <v/>
      </c>
      <c r="E32">
        <f>IF($H32="","",COUNTIFS(상세표[사번키],INDEX(상세표[사번키],$H32),상세표[기록월],대상월키))</f>
        <v/>
      </c>
      <c r="F32">
        <f>IF($H32="","",SUMIFS(상세표[기록 시간외],상세표[사번키],INDEX(상세표[사번키],$H32),상세표[기록월],대상월키))</f>
        <v/>
      </c>
      <c r="G32">
        <f>IF($H32="","",SUMIFS(합계표[시스템 합계],합계표[사번키],INDEX(상세표[사번키],$H32)))</f>
        <v/>
      </c>
      <c r="H32" s="4">
        <f>IFERROR(MATCH(27,상세표[발송인원순번],0),"")</f>
        <v/>
      </c>
      <c r="J32">
        <f>IF($U32="","",INDEX(상세표[사번],$U32)&amp;"")</f>
        <v/>
      </c>
      <c r="K32">
        <f>IF($U32="","",INDEX(상세표[성명],$U32)&amp;"")</f>
        <v/>
      </c>
      <c r="L32">
        <f>IF($U32="","",INDEX(상세표[직위],$U32)&amp;"")</f>
        <v/>
      </c>
      <c r="M32">
        <f>IF($U32="","",IF(ISNUMBER(INDEX(상세표[근무일자],$U32)),TEXT(INDEX(상세표[근무일자],$U32),"yyyy-mm-dd"),INDEX(상세표[근무일자],$U32)&amp;""))</f>
        <v/>
      </c>
      <c r="N32">
        <f>IF($U32="","",IF(ISNUMBER(INDEX(상세표[시작],$U32)),TEXT(INDEX(상세표[시작],$U32),"yyyy-mm-dd hh:mm"),INDEX(상세표[시작],$U32)&amp;""))</f>
        <v/>
      </c>
      <c r="O32">
        <f>IF($U32="","",IF(ISNUMBER(INDEX(상세표[종료],$U32)),TEXT(INDEX(상세표[종료],$U32),"yyyy-mm-dd hh:mm"),INDEX(상세표[종료],$U32)&amp;""))</f>
        <v/>
      </c>
      <c r="P32">
        <f>IF($U32="","",INDEX(상세표[06~07시],$U32))</f>
        <v/>
      </c>
      <c r="Q32">
        <f>IF($U32="","",INDEX(상세표[07~18시],$U32))</f>
        <v/>
      </c>
      <c r="R32">
        <f>IF($U32="","",INDEX(상세표[18~22시],$U32))</f>
        <v/>
      </c>
      <c r="S32">
        <f>IF($U32="","",INDEX(상세표[22~06시],$U32))</f>
        <v/>
      </c>
      <c r="T32">
        <f>IF($U32="","",INDEX(상세표[기록 시간외],$U32))</f>
        <v/>
      </c>
      <c r="U32" s="4">
        <f>IFERROR(MATCH(27,상세표[발송순번],0),"")</f>
        <v/>
      </c>
    </row>
    <row r="33">
      <c r="A33">
        <f>IF($H33="","",INDEX(상세표[사번],$H33)&amp;"")</f>
        <v/>
      </c>
      <c r="B33">
        <f>IF($H33="","",INDEX(상세표[성명],$H33)&amp;"")</f>
        <v/>
      </c>
      <c r="C33">
        <f>IF($H33="","",INDEX(상세표[부서],$H33)&amp;"")</f>
        <v/>
      </c>
      <c r="D33">
        <f>IF($H33="","",IF(IFERROR(INDEX(합계표[직위(통합)],MATCH(INDEX(상세표[사번키],$H33),합계표[사번키],0))&amp;"","")="",INDEX(상세표[직위],$H33)&amp;"",IFERROR(INDEX(합계표[직위(통합)],MATCH(INDEX(상세표[사번키],$H33),합계표[사번키],0))&amp;"","")))</f>
        <v/>
      </c>
      <c r="E33">
        <f>IF($H33="","",COUNTIFS(상세표[사번키],INDEX(상세표[사번키],$H33),상세표[기록월],대상월키))</f>
        <v/>
      </c>
      <c r="F33">
        <f>IF($H33="","",SUMIFS(상세표[기록 시간외],상세표[사번키],INDEX(상세표[사번키],$H33),상세표[기록월],대상월키))</f>
        <v/>
      </c>
      <c r="G33">
        <f>IF($H33="","",SUMIFS(합계표[시스템 합계],합계표[사번키],INDEX(상세표[사번키],$H33)))</f>
        <v/>
      </c>
      <c r="H33" s="4">
        <f>IFERROR(MATCH(28,상세표[발송인원순번],0),"")</f>
        <v/>
      </c>
      <c r="J33">
        <f>IF($U33="","",INDEX(상세표[사번],$U33)&amp;"")</f>
        <v/>
      </c>
      <c r="K33">
        <f>IF($U33="","",INDEX(상세표[성명],$U33)&amp;"")</f>
        <v/>
      </c>
      <c r="L33">
        <f>IF($U33="","",INDEX(상세표[직위],$U33)&amp;"")</f>
        <v/>
      </c>
      <c r="M33">
        <f>IF($U33="","",IF(ISNUMBER(INDEX(상세표[근무일자],$U33)),TEXT(INDEX(상세표[근무일자],$U33),"yyyy-mm-dd"),INDEX(상세표[근무일자],$U33)&amp;""))</f>
        <v/>
      </c>
      <c r="N33">
        <f>IF($U33="","",IF(ISNUMBER(INDEX(상세표[시작],$U33)),TEXT(INDEX(상세표[시작],$U33),"yyyy-mm-dd hh:mm"),INDEX(상세표[시작],$U33)&amp;""))</f>
        <v/>
      </c>
      <c r="O33">
        <f>IF($U33="","",IF(ISNUMBER(INDEX(상세표[종료],$U33)),TEXT(INDEX(상세표[종료],$U33),"yyyy-mm-dd hh:mm"),INDEX(상세표[종료],$U33)&amp;""))</f>
        <v/>
      </c>
      <c r="P33">
        <f>IF($U33="","",INDEX(상세표[06~07시],$U33))</f>
        <v/>
      </c>
      <c r="Q33">
        <f>IF($U33="","",INDEX(상세표[07~18시],$U33))</f>
        <v/>
      </c>
      <c r="R33">
        <f>IF($U33="","",INDEX(상세표[18~22시],$U33))</f>
        <v/>
      </c>
      <c r="S33">
        <f>IF($U33="","",INDEX(상세표[22~06시],$U33))</f>
        <v/>
      </c>
      <c r="T33">
        <f>IF($U33="","",INDEX(상세표[기록 시간외],$U33))</f>
        <v/>
      </c>
      <c r="U33" s="4">
        <f>IFERROR(MATCH(28,상세표[발송순번],0),"")</f>
        <v/>
      </c>
    </row>
    <row r="34">
      <c r="A34">
        <f>IF($H34="","",INDEX(상세표[사번],$H34)&amp;"")</f>
        <v/>
      </c>
      <c r="B34">
        <f>IF($H34="","",INDEX(상세표[성명],$H34)&amp;"")</f>
        <v/>
      </c>
      <c r="C34">
        <f>IF($H34="","",INDEX(상세표[부서],$H34)&amp;"")</f>
        <v/>
      </c>
      <c r="D34">
        <f>IF($H34="","",IF(IFERROR(INDEX(합계표[직위(통합)],MATCH(INDEX(상세표[사번키],$H34),합계표[사번키],0))&amp;"","")="",INDEX(상세표[직위],$H34)&amp;"",IFERROR(INDEX(합계표[직위(통합)],MATCH(INDEX(상세표[사번키],$H34),합계표[사번키],0))&amp;"","")))</f>
        <v/>
      </c>
      <c r="E34">
        <f>IF($H34="","",COUNTIFS(상세표[사번키],INDEX(상세표[사번키],$H34),상세표[기록월],대상월키))</f>
        <v/>
      </c>
      <c r="F34">
        <f>IF($H34="","",SUMIFS(상세표[기록 시간외],상세표[사번키],INDEX(상세표[사번키],$H34),상세표[기록월],대상월키))</f>
        <v/>
      </c>
      <c r="G34">
        <f>IF($H34="","",SUMIFS(합계표[시스템 합계],합계표[사번키],INDEX(상세표[사번키],$H34)))</f>
        <v/>
      </c>
      <c r="H34" s="4">
        <f>IFERROR(MATCH(29,상세표[발송인원순번],0),"")</f>
        <v/>
      </c>
      <c r="J34">
        <f>IF($U34="","",INDEX(상세표[사번],$U34)&amp;"")</f>
        <v/>
      </c>
      <c r="K34">
        <f>IF($U34="","",INDEX(상세표[성명],$U34)&amp;"")</f>
        <v/>
      </c>
      <c r="L34">
        <f>IF($U34="","",INDEX(상세표[직위],$U34)&amp;"")</f>
        <v/>
      </c>
      <c r="M34">
        <f>IF($U34="","",IF(ISNUMBER(INDEX(상세표[근무일자],$U34)),TEXT(INDEX(상세표[근무일자],$U34),"yyyy-mm-dd"),INDEX(상세표[근무일자],$U34)&amp;""))</f>
        <v/>
      </c>
      <c r="N34">
        <f>IF($U34="","",IF(ISNUMBER(INDEX(상세표[시작],$U34)),TEXT(INDEX(상세표[시작],$U34),"yyyy-mm-dd hh:mm"),INDEX(상세표[시작],$U34)&amp;""))</f>
        <v/>
      </c>
      <c r="O34">
        <f>IF($U34="","",IF(ISNUMBER(INDEX(상세표[종료],$U34)),TEXT(INDEX(상세표[종료],$U34),"yyyy-mm-dd hh:mm"),INDEX(상세표[종료],$U34)&amp;""))</f>
        <v/>
      </c>
      <c r="P34">
        <f>IF($U34="","",INDEX(상세표[06~07시],$U34))</f>
        <v/>
      </c>
      <c r="Q34">
        <f>IF($U34="","",INDEX(상세표[07~18시],$U34))</f>
        <v/>
      </c>
      <c r="R34">
        <f>IF($U34="","",INDEX(상세표[18~22시],$U34))</f>
        <v/>
      </c>
      <c r="S34">
        <f>IF($U34="","",INDEX(상세표[22~06시],$U34))</f>
        <v/>
      </c>
      <c r="T34">
        <f>IF($U34="","",INDEX(상세표[기록 시간외],$U34))</f>
        <v/>
      </c>
      <c r="U34" s="4">
        <f>IFERROR(MATCH(29,상세표[발송순번],0),"")</f>
        <v/>
      </c>
    </row>
    <row r="35">
      <c r="A35">
        <f>IF($H35="","",INDEX(상세표[사번],$H35)&amp;"")</f>
        <v/>
      </c>
      <c r="B35">
        <f>IF($H35="","",INDEX(상세표[성명],$H35)&amp;"")</f>
        <v/>
      </c>
      <c r="C35">
        <f>IF($H35="","",INDEX(상세표[부서],$H35)&amp;"")</f>
        <v/>
      </c>
      <c r="D35">
        <f>IF($H35="","",IF(IFERROR(INDEX(합계표[직위(통합)],MATCH(INDEX(상세표[사번키],$H35),합계표[사번키],0))&amp;"","")="",INDEX(상세표[직위],$H35)&amp;"",IFERROR(INDEX(합계표[직위(통합)],MATCH(INDEX(상세표[사번키],$H35),합계표[사번키],0))&amp;"","")))</f>
        <v/>
      </c>
      <c r="E35">
        <f>IF($H35="","",COUNTIFS(상세표[사번키],INDEX(상세표[사번키],$H35),상세표[기록월],대상월키))</f>
        <v/>
      </c>
      <c r="F35">
        <f>IF($H35="","",SUMIFS(상세표[기록 시간외],상세표[사번키],INDEX(상세표[사번키],$H35),상세표[기록월],대상월키))</f>
        <v/>
      </c>
      <c r="G35">
        <f>IF($H35="","",SUMIFS(합계표[시스템 합계],합계표[사번키],INDEX(상세표[사번키],$H35)))</f>
        <v/>
      </c>
      <c r="H35" s="4">
        <f>IFERROR(MATCH(30,상세표[발송인원순번],0),"")</f>
        <v/>
      </c>
      <c r="J35">
        <f>IF($U35="","",INDEX(상세표[사번],$U35)&amp;"")</f>
        <v/>
      </c>
      <c r="K35">
        <f>IF($U35="","",INDEX(상세표[성명],$U35)&amp;"")</f>
        <v/>
      </c>
      <c r="L35">
        <f>IF($U35="","",INDEX(상세표[직위],$U35)&amp;"")</f>
        <v/>
      </c>
      <c r="M35">
        <f>IF($U35="","",IF(ISNUMBER(INDEX(상세표[근무일자],$U35)),TEXT(INDEX(상세표[근무일자],$U35),"yyyy-mm-dd"),INDEX(상세표[근무일자],$U35)&amp;""))</f>
        <v/>
      </c>
      <c r="N35">
        <f>IF($U35="","",IF(ISNUMBER(INDEX(상세표[시작],$U35)),TEXT(INDEX(상세표[시작],$U35),"yyyy-mm-dd hh:mm"),INDEX(상세표[시작],$U35)&amp;""))</f>
        <v/>
      </c>
      <c r="O35">
        <f>IF($U35="","",IF(ISNUMBER(INDEX(상세표[종료],$U35)),TEXT(INDEX(상세표[종료],$U35),"yyyy-mm-dd hh:mm"),INDEX(상세표[종료],$U35)&amp;""))</f>
        <v/>
      </c>
      <c r="P35">
        <f>IF($U35="","",INDEX(상세표[06~07시],$U35))</f>
        <v/>
      </c>
      <c r="Q35">
        <f>IF($U35="","",INDEX(상세표[07~18시],$U35))</f>
        <v/>
      </c>
      <c r="R35">
        <f>IF($U35="","",INDEX(상세표[18~22시],$U35))</f>
        <v/>
      </c>
      <c r="S35">
        <f>IF($U35="","",INDEX(상세표[22~06시],$U35))</f>
        <v/>
      </c>
      <c r="T35">
        <f>IF($U35="","",INDEX(상세표[기록 시간외],$U35))</f>
        <v/>
      </c>
      <c r="U35" s="4">
        <f>IFERROR(MATCH(30,상세표[발송순번],0),"")</f>
        <v/>
      </c>
    </row>
    <row r="36">
      <c r="A36">
        <f>IF($H36="","",INDEX(상세표[사번],$H36)&amp;"")</f>
        <v/>
      </c>
      <c r="B36">
        <f>IF($H36="","",INDEX(상세표[성명],$H36)&amp;"")</f>
        <v/>
      </c>
      <c r="C36">
        <f>IF($H36="","",INDEX(상세표[부서],$H36)&amp;"")</f>
        <v/>
      </c>
      <c r="D36">
        <f>IF($H36="","",IF(IFERROR(INDEX(합계표[직위(통합)],MATCH(INDEX(상세표[사번키],$H36),합계표[사번키],0))&amp;"","")="",INDEX(상세표[직위],$H36)&amp;"",IFERROR(INDEX(합계표[직위(통합)],MATCH(INDEX(상세표[사번키],$H36),합계표[사번키],0))&amp;"","")))</f>
        <v/>
      </c>
      <c r="E36">
        <f>IF($H36="","",COUNTIFS(상세표[사번키],INDEX(상세표[사번키],$H36),상세표[기록월],대상월키))</f>
        <v/>
      </c>
      <c r="F36">
        <f>IF($H36="","",SUMIFS(상세표[기록 시간외],상세표[사번키],INDEX(상세표[사번키],$H36),상세표[기록월],대상월키))</f>
        <v/>
      </c>
      <c r="G36">
        <f>IF($H36="","",SUMIFS(합계표[시스템 합계],합계표[사번키],INDEX(상세표[사번키],$H36)))</f>
        <v/>
      </c>
      <c r="H36" s="4">
        <f>IFERROR(MATCH(31,상세표[발송인원순번],0),"")</f>
        <v/>
      </c>
      <c r="J36">
        <f>IF($U36="","",INDEX(상세표[사번],$U36)&amp;"")</f>
        <v/>
      </c>
      <c r="K36">
        <f>IF($U36="","",INDEX(상세표[성명],$U36)&amp;"")</f>
        <v/>
      </c>
      <c r="L36">
        <f>IF($U36="","",INDEX(상세표[직위],$U36)&amp;"")</f>
        <v/>
      </c>
      <c r="M36">
        <f>IF($U36="","",IF(ISNUMBER(INDEX(상세표[근무일자],$U36)),TEXT(INDEX(상세표[근무일자],$U36),"yyyy-mm-dd"),INDEX(상세표[근무일자],$U36)&amp;""))</f>
        <v/>
      </c>
      <c r="N36">
        <f>IF($U36="","",IF(ISNUMBER(INDEX(상세표[시작],$U36)),TEXT(INDEX(상세표[시작],$U36),"yyyy-mm-dd hh:mm"),INDEX(상세표[시작],$U36)&amp;""))</f>
        <v/>
      </c>
      <c r="O36">
        <f>IF($U36="","",IF(ISNUMBER(INDEX(상세표[종료],$U36)),TEXT(INDEX(상세표[종료],$U36),"yyyy-mm-dd hh:mm"),INDEX(상세표[종료],$U36)&amp;""))</f>
        <v/>
      </c>
      <c r="P36">
        <f>IF($U36="","",INDEX(상세표[06~07시],$U36))</f>
        <v/>
      </c>
      <c r="Q36">
        <f>IF($U36="","",INDEX(상세표[07~18시],$U36))</f>
        <v/>
      </c>
      <c r="R36">
        <f>IF($U36="","",INDEX(상세표[18~22시],$U36))</f>
        <v/>
      </c>
      <c r="S36">
        <f>IF($U36="","",INDEX(상세표[22~06시],$U36))</f>
        <v/>
      </c>
      <c r="T36">
        <f>IF($U36="","",INDEX(상세표[기록 시간외],$U36))</f>
        <v/>
      </c>
      <c r="U36" s="4">
        <f>IFERROR(MATCH(31,상세표[발송순번],0),"")</f>
        <v/>
      </c>
    </row>
    <row r="37">
      <c r="A37">
        <f>IF($H37="","",INDEX(상세표[사번],$H37)&amp;"")</f>
        <v/>
      </c>
      <c r="B37">
        <f>IF($H37="","",INDEX(상세표[성명],$H37)&amp;"")</f>
        <v/>
      </c>
      <c r="C37">
        <f>IF($H37="","",INDEX(상세표[부서],$H37)&amp;"")</f>
        <v/>
      </c>
      <c r="D37">
        <f>IF($H37="","",IF(IFERROR(INDEX(합계표[직위(통합)],MATCH(INDEX(상세표[사번키],$H37),합계표[사번키],0))&amp;"","")="",INDEX(상세표[직위],$H37)&amp;"",IFERROR(INDEX(합계표[직위(통합)],MATCH(INDEX(상세표[사번키],$H37),합계표[사번키],0))&amp;"","")))</f>
        <v/>
      </c>
      <c r="E37">
        <f>IF($H37="","",COUNTIFS(상세표[사번키],INDEX(상세표[사번키],$H37),상세표[기록월],대상월키))</f>
        <v/>
      </c>
      <c r="F37">
        <f>IF($H37="","",SUMIFS(상세표[기록 시간외],상세표[사번키],INDEX(상세표[사번키],$H37),상세표[기록월],대상월키))</f>
        <v/>
      </c>
      <c r="G37">
        <f>IF($H37="","",SUMIFS(합계표[시스템 합계],합계표[사번키],INDEX(상세표[사번키],$H37)))</f>
        <v/>
      </c>
      <c r="H37" s="4">
        <f>IFERROR(MATCH(32,상세표[발송인원순번],0),"")</f>
        <v/>
      </c>
      <c r="J37">
        <f>IF($U37="","",INDEX(상세표[사번],$U37)&amp;"")</f>
        <v/>
      </c>
      <c r="K37">
        <f>IF($U37="","",INDEX(상세표[성명],$U37)&amp;"")</f>
        <v/>
      </c>
      <c r="L37">
        <f>IF($U37="","",INDEX(상세표[직위],$U37)&amp;"")</f>
        <v/>
      </c>
      <c r="M37">
        <f>IF($U37="","",IF(ISNUMBER(INDEX(상세표[근무일자],$U37)),TEXT(INDEX(상세표[근무일자],$U37),"yyyy-mm-dd"),INDEX(상세표[근무일자],$U37)&amp;""))</f>
        <v/>
      </c>
      <c r="N37">
        <f>IF($U37="","",IF(ISNUMBER(INDEX(상세표[시작],$U37)),TEXT(INDEX(상세표[시작],$U37),"yyyy-mm-dd hh:mm"),INDEX(상세표[시작],$U37)&amp;""))</f>
        <v/>
      </c>
      <c r="O37">
        <f>IF($U37="","",IF(ISNUMBER(INDEX(상세표[종료],$U37)),TEXT(INDEX(상세표[종료],$U37),"yyyy-mm-dd hh:mm"),INDEX(상세표[종료],$U37)&amp;""))</f>
        <v/>
      </c>
      <c r="P37">
        <f>IF($U37="","",INDEX(상세표[06~07시],$U37))</f>
        <v/>
      </c>
      <c r="Q37">
        <f>IF($U37="","",INDEX(상세표[07~18시],$U37))</f>
        <v/>
      </c>
      <c r="R37">
        <f>IF($U37="","",INDEX(상세표[18~22시],$U37))</f>
        <v/>
      </c>
      <c r="S37">
        <f>IF($U37="","",INDEX(상세표[22~06시],$U37))</f>
        <v/>
      </c>
      <c r="T37">
        <f>IF($U37="","",INDEX(상세표[기록 시간외],$U37))</f>
        <v/>
      </c>
      <c r="U37" s="4">
        <f>IFERROR(MATCH(32,상세표[발송순번],0),"")</f>
        <v/>
      </c>
    </row>
    <row r="38">
      <c r="A38">
        <f>IF($H38="","",INDEX(상세표[사번],$H38)&amp;"")</f>
        <v/>
      </c>
      <c r="B38">
        <f>IF($H38="","",INDEX(상세표[성명],$H38)&amp;"")</f>
        <v/>
      </c>
      <c r="C38">
        <f>IF($H38="","",INDEX(상세표[부서],$H38)&amp;"")</f>
        <v/>
      </c>
      <c r="D38">
        <f>IF($H38="","",IF(IFERROR(INDEX(합계표[직위(통합)],MATCH(INDEX(상세표[사번키],$H38),합계표[사번키],0))&amp;"","")="",INDEX(상세표[직위],$H38)&amp;"",IFERROR(INDEX(합계표[직위(통합)],MATCH(INDEX(상세표[사번키],$H38),합계표[사번키],0))&amp;"","")))</f>
        <v/>
      </c>
      <c r="E38">
        <f>IF($H38="","",COUNTIFS(상세표[사번키],INDEX(상세표[사번키],$H38),상세표[기록월],대상월키))</f>
        <v/>
      </c>
      <c r="F38">
        <f>IF($H38="","",SUMIFS(상세표[기록 시간외],상세표[사번키],INDEX(상세표[사번키],$H38),상세표[기록월],대상월키))</f>
        <v/>
      </c>
      <c r="G38">
        <f>IF($H38="","",SUMIFS(합계표[시스템 합계],합계표[사번키],INDEX(상세표[사번키],$H38)))</f>
        <v/>
      </c>
      <c r="H38" s="4">
        <f>IFERROR(MATCH(33,상세표[발송인원순번],0),"")</f>
        <v/>
      </c>
      <c r="J38">
        <f>IF($U38="","",INDEX(상세표[사번],$U38)&amp;"")</f>
        <v/>
      </c>
      <c r="K38">
        <f>IF($U38="","",INDEX(상세표[성명],$U38)&amp;"")</f>
        <v/>
      </c>
      <c r="L38">
        <f>IF($U38="","",INDEX(상세표[직위],$U38)&amp;"")</f>
        <v/>
      </c>
      <c r="M38">
        <f>IF($U38="","",IF(ISNUMBER(INDEX(상세표[근무일자],$U38)),TEXT(INDEX(상세표[근무일자],$U38),"yyyy-mm-dd"),INDEX(상세표[근무일자],$U38)&amp;""))</f>
        <v/>
      </c>
      <c r="N38">
        <f>IF($U38="","",IF(ISNUMBER(INDEX(상세표[시작],$U38)),TEXT(INDEX(상세표[시작],$U38),"yyyy-mm-dd hh:mm"),INDEX(상세표[시작],$U38)&amp;""))</f>
        <v/>
      </c>
      <c r="O38">
        <f>IF($U38="","",IF(ISNUMBER(INDEX(상세표[종료],$U38)),TEXT(INDEX(상세표[종료],$U38),"yyyy-mm-dd hh:mm"),INDEX(상세표[종료],$U38)&amp;""))</f>
        <v/>
      </c>
      <c r="P38">
        <f>IF($U38="","",INDEX(상세표[06~07시],$U38))</f>
        <v/>
      </c>
      <c r="Q38">
        <f>IF($U38="","",INDEX(상세표[07~18시],$U38))</f>
        <v/>
      </c>
      <c r="R38">
        <f>IF($U38="","",INDEX(상세표[18~22시],$U38))</f>
        <v/>
      </c>
      <c r="S38">
        <f>IF($U38="","",INDEX(상세표[22~06시],$U38))</f>
        <v/>
      </c>
      <c r="T38">
        <f>IF($U38="","",INDEX(상세표[기록 시간외],$U38))</f>
        <v/>
      </c>
      <c r="U38" s="4">
        <f>IFERROR(MATCH(33,상세표[발송순번],0),"")</f>
        <v/>
      </c>
    </row>
    <row r="39">
      <c r="A39">
        <f>IF($H39="","",INDEX(상세표[사번],$H39)&amp;"")</f>
        <v/>
      </c>
      <c r="B39">
        <f>IF($H39="","",INDEX(상세표[성명],$H39)&amp;"")</f>
        <v/>
      </c>
      <c r="C39">
        <f>IF($H39="","",INDEX(상세표[부서],$H39)&amp;"")</f>
        <v/>
      </c>
      <c r="D39">
        <f>IF($H39="","",IF(IFERROR(INDEX(합계표[직위(통합)],MATCH(INDEX(상세표[사번키],$H39),합계표[사번키],0))&amp;"","")="",INDEX(상세표[직위],$H39)&amp;"",IFERROR(INDEX(합계표[직위(통합)],MATCH(INDEX(상세표[사번키],$H39),합계표[사번키],0))&amp;"","")))</f>
        <v/>
      </c>
      <c r="E39">
        <f>IF($H39="","",COUNTIFS(상세표[사번키],INDEX(상세표[사번키],$H39),상세표[기록월],대상월키))</f>
        <v/>
      </c>
      <c r="F39">
        <f>IF($H39="","",SUMIFS(상세표[기록 시간외],상세표[사번키],INDEX(상세표[사번키],$H39),상세표[기록월],대상월키))</f>
        <v/>
      </c>
      <c r="G39">
        <f>IF($H39="","",SUMIFS(합계표[시스템 합계],합계표[사번키],INDEX(상세표[사번키],$H39)))</f>
        <v/>
      </c>
      <c r="H39" s="4">
        <f>IFERROR(MATCH(34,상세표[발송인원순번],0),"")</f>
        <v/>
      </c>
      <c r="J39">
        <f>IF($U39="","",INDEX(상세표[사번],$U39)&amp;"")</f>
        <v/>
      </c>
      <c r="K39">
        <f>IF($U39="","",INDEX(상세표[성명],$U39)&amp;"")</f>
        <v/>
      </c>
      <c r="L39">
        <f>IF($U39="","",INDEX(상세표[직위],$U39)&amp;"")</f>
        <v/>
      </c>
      <c r="M39">
        <f>IF($U39="","",IF(ISNUMBER(INDEX(상세표[근무일자],$U39)),TEXT(INDEX(상세표[근무일자],$U39),"yyyy-mm-dd"),INDEX(상세표[근무일자],$U39)&amp;""))</f>
        <v/>
      </c>
      <c r="N39">
        <f>IF($U39="","",IF(ISNUMBER(INDEX(상세표[시작],$U39)),TEXT(INDEX(상세표[시작],$U39),"yyyy-mm-dd hh:mm"),INDEX(상세표[시작],$U39)&amp;""))</f>
        <v/>
      </c>
      <c r="O39">
        <f>IF($U39="","",IF(ISNUMBER(INDEX(상세표[종료],$U39)),TEXT(INDEX(상세표[종료],$U39),"yyyy-mm-dd hh:mm"),INDEX(상세표[종료],$U39)&amp;""))</f>
        <v/>
      </c>
      <c r="P39">
        <f>IF($U39="","",INDEX(상세표[06~07시],$U39))</f>
        <v/>
      </c>
      <c r="Q39">
        <f>IF($U39="","",INDEX(상세표[07~18시],$U39))</f>
        <v/>
      </c>
      <c r="R39">
        <f>IF($U39="","",INDEX(상세표[18~22시],$U39))</f>
        <v/>
      </c>
      <c r="S39">
        <f>IF($U39="","",INDEX(상세표[22~06시],$U39))</f>
        <v/>
      </c>
      <c r="T39">
        <f>IF($U39="","",INDEX(상세표[기록 시간외],$U39))</f>
        <v/>
      </c>
      <c r="U39" s="4">
        <f>IFERROR(MATCH(34,상세표[발송순번],0),"")</f>
        <v/>
      </c>
    </row>
    <row r="40">
      <c r="A40">
        <f>IF($H40="","",INDEX(상세표[사번],$H40)&amp;"")</f>
        <v/>
      </c>
      <c r="B40">
        <f>IF($H40="","",INDEX(상세표[성명],$H40)&amp;"")</f>
        <v/>
      </c>
      <c r="C40">
        <f>IF($H40="","",INDEX(상세표[부서],$H40)&amp;"")</f>
        <v/>
      </c>
      <c r="D40">
        <f>IF($H40="","",IF(IFERROR(INDEX(합계표[직위(통합)],MATCH(INDEX(상세표[사번키],$H40),합계표[사번키],0))&amp;"","")="",INDEX(상세표[직위],$H40)&amp;"",IFERROR(INDEX(합계표[직위(통합)],MATCH(INDEX(상세표[사번키],$H40),합계표[사번키],0))&amp;"","")))</f>
        <v/>
      </c>
      <c r="E40">
        <f>IF($H40="","",COUNTIFS(상세표[사번키],INDEX(상세표[사번키],$H40),상세표[기록월],대상월키))</f>
        <v/>
      </c>
      <c r="F40">
        <f>IF($H40="","",SUMIFS(상세표[기록 시간외],상세표[사번키],INDEX(상세표[사번키],$H40),상세표[기록월],대상월키))</f>
        <v/>
      </c>
      <c r="G40">
        <f>IF($H40="","",SUMIFS(합계표[시스템 합계],합계표[사번키],INDEX(상세표[사번키],$H40)))</f>
        <v/>
      </c>
      <c r="H40" s="4">
        <f>IFERROR(MATCH(35,상세표[발송인원순번],0),"")</f>
        <v/>
      </c>
      <c r="J40">
        <f>IF($U40="","",INDEX(상세표[사번],$U40)&amp;"")</f>
        <v/>
      </c>
      <c r="K40">
        <f>IF($U40="","",INDEX(상세표[성명],$U40)&amp;"")</f>
        <v/>
      </c>
      <c r="L40">
        <f>IF($U40="","",INDEX(상세표[직위],$U40)&amp;"")</f>
        <v/>
      </c>
      <c r="M40">
        <f>IF($U40="","",IF(ISNUMBER(INDEX(상세표[근무일자],$U40)),TEXT(INDEX(상세표[근무일자],$U40),"yyyy-mm-dd"),INDEX(상세표[근무일자],$U40)&amp;""))</f>
        <v/>
      </c>
      <c r="N40">
        <f>IF($U40="","",IF(ISNUMBER(INDEX(상세표[시작],$U40)),TEXT(INDEX(상세표[시작],$U40),"yyyy-mm-dd hh:mm"),INDEX(상세표[시작],$U40)&amp;""))</f>
        <v/>
      </c>
      <c r="O40">
        <f>IF($U40="","",IF(ISNUMBER(INDEX(상세표[종료],$U40)),TEXT(INDEX(상세표[종료],$U40),"yyyy-mm-dd hh:mm"),INDEX(상세표[종료],$U40)&amp;""))</f>
        <v/>
      </c>
      <c r="P40">
        <f>IF($U40="","",INDEX(상세표[06~07시],$U40))</f>
        <v/>
      </c>
      <c r="Q40">
        <f>IF($U40="","",INDEX(상세표[07~18시],$U40))</f>
        <v/>
      </c>
      <c r="R40">
        <f>IF($U40="","",INDEX(상세표[18~22시],$U40))</f>
        <v/>
      </c>
      <c r="S40">
        <f>IF($U40="","",INDEX(상세표[22~06시],$U40))</f>
        <v/>
      </c>
      <c r="T40">
        <f>IF($U40="","",INDEX(상세표[기록 시간외],$U40))</f>
        <v/>
      </c>
      <c r="U40" s="4">
        <f>IFERROR(MATCH(35,상세표[발송순번],0),"")</f>
        <v/>
      </c>
    </row>
    <row r="41">
      <c r="A41">
        <f>IF($H41="","",INDEX(상세표[사번],$H41)&amp;"")</f>
        <v/>
      </c>
      <c r="B41">
        <f>IF($H41="","",INDEX(상세표[성명],$H41)&amp;"")</f>
        <v/>
      </c>
      <c r="C41">
        <f>IF($H41="","",INDEX(상세표[부서],$H41)&amp;"")</f>
        <v/>
      </c>
      <c r="D41">
        <f>IF($H41="","",IF(IFERROR(INDEX(합계표[직위(통합)],MATCH(INDEX(상세표[사번키],$H41),합계표[사번키],0))&amp;"","")="",INDEX(상세표[직위],$H41)&amp;"",IFERROR(INDEX(합계표[직위(통합)],MATCH(INDEX(상세표[사번키],$H41),합계표[사번키],0))&amp;"","")))</f>
        <v/>
      </c>
      <c r="E41">
        <f>IF($H41="","",COUNTIFS(상세표[사번키],INDEX(상세표[사번키],$H41),상세표[기록월],대상월키))</f>
        <v/>
      </c>
      <c r="F41">
        <f>IF($H41="","",SUMIFS(상세표[기록 시간외],상세표[사번키],INDEX(상세표[사번키],$H41),상세표[기록월],대상월키))</f>
        <v/>
      </c>
      <c r="G41">
        <f>IF($H41="","",SUMIFS(합계표[시스템 합계],합계표[사번키],INDEX(상세표[사번키],$H41)))</f>
        <v/>
      </c>
      <c r="H41" s="4">
        <f>IFERROR(MATCH(36,상세표[발송인원순번],0),"")</f>
        <v/>
      </c>
      <c r="J41">
        <f>IF($U41="","",INDEX(상세표[사번],$U41)&amp;"")</f>
        <v/>
      </c>
      <c r="K41">
        <f>IF($U41="","",INDEX(상세표[성명],$U41)&amp;"")</f>
        <v/>
      </c>
      <c r="L41">
        <f>IF($U41="","",INDEX(상세표[직위],$U41)&amp;"")</f>
        <v/>
      </c>
      <c r="M41">
        <f>IF($U41="","",IF(ISNUMBER(INDEX(상세표[근무일자],$U41)),TEXT(INDEX(상세표[근무일자],$U41),"yyyy-mm-dd"),INDEX(상세표[근무일자],$U41)&amp;""))</f>
        <v/>
      </c>
      <c r="N41">
        <f>IF($U41="","",IF(ISNUMBER(INDEX(상세표[시작],$U41)),TEXT(INDEX(상세표[시작],$U41),"yyyy-mm-dd hh:mm"),INDEX(상세표[시작],$U41)&amp;""))</f>
        <v/>
      </c>
      <c r="O41">
        <f>IF($U41="","",IF(ISNUMBER(INDEX(상세표[종료],$U41)),TEXT(INDEX(상세표[종료],$U41),"yyyy-mm-dd hh:mm"),INDEX(상세표[종료],$U41)&amp;""))</f>
        <v/>
      </c>
      <c r="P41">
        <f>IF($U41="","",INDEX(상세표[06~07시],$U41))</f>
        <v/>
      </c>
      <c r="Q41">
        <f>IF($U41="","",INDEX(상세표[07~18시],$U41))</f>
        <v/>
      </c>
      <c r="R41">
        <f>IF($U41="","",INDEX(상세표[18~22시],$U41))</f>
        <v/>
      </c>
      <c r="S41">
        <f>IF($U41="","",INDEX(상세표[22~06시],$U41))</f>
        <v/>
      </c>
      <c r="T41">
        <f>IF($U41="","",INDEX(상세표[기록 시간외],$U41))</f>
        <v/>
      </c>
      <c r="U41" s="4">
        <f>IFERROR(MATCH(36,상세표[발송순번],0),"")</f>
        <v/>
      </c>
    </row>
    <row r="42">
      <c r="A42">
        <f>IF($H42="","",INDEX(상세표[사번],$H42)&amp;"")</f>
        <v/>
      </c>
      <c r="B42">
        <f>IF($H42="","",INDEX(상세표[성명],$H42)&amp;"")</f>
        <v/>
      </c>
      <c r="C42">
        <f>IF($H42="","",INDEX(상세표[부서],$H42)&amp;"")</f>
        <v/>
      </c>
      <c r="D42">
        <f>IF($H42="","",IF(IFERROR(INDEX(합계표[직위(통합)],MATCH(INDEX(상세표[사번키],$H42),합계표[사번키],0))&amp;"","")="",INDEX(상세표[직위],$H42)&amp;"",IFERROR(INDEX(합계표[직위(통합)],MATCH(INDEX(상세표[사번키],$H42),합계표[사번키],0))&amp;"","")))</f>
        <v/>
      </c>
      <c r="E42">
        <f>IF($H42="","",COUNTIFS(상세표[사번키],INDEX(상세표[사번키],$H42),상세표[기록월],대상월키))</f>
        <v/>
      </c>
      <c r="F42">
        <f>IF($H42="","",SUMIFS(상세표[기록 시간외],상세표[사번키],INDEX(상세표[사번키],$H42),상세표[기록월],대상월키))</f>
        <v/>
      </c>
      <c r="G42">
        <f>IF($H42="","",SUMIFS(합계표[시스템 합계],합계표[사번키],INDEX(상세표[사번키],$H42)))</f>
        <v/>
      </c>
      <c r="H42" s="4">
        <f>IFERROR(MATCH(37,상세표[발송인원순번],0),"")</f>
        <v/>
      </c>
      <c r="J42">
        <f>IF($U42="","",INDEX(상세표[사번],$U42)&amp;"")</f>
        <v/>
      </c>
      <c r="K42">
        <f>IF($U42="","",INDEX(상세표[성명],$U42)&amp;"")</f>
        <v/>
      </c>
      <c r="L42">
        <f>IF($U42="","",INDEX(상세표[직위],$U42)&amp;"")</f>
        <v/>
      </c>
      <c r="M42">
        <f>IF($U42="","",IF(ISNUMBER(INDEX(상세표[근무일자],$U42)),TEXT(INDEX(상세표[근무일자],$U42),"yyyy-mm-dd"),INDEX(상세표[근무일자],$U42)&amp;""))</f>
        <v/>
      </c>
      <c r="N42">
        <f>IF($U42="","",IF(ISNUMBER(INDEX(상세표[시작],$U42)),TEXT(INDEX(상세표[시작],$U42),"yyyy-mm-dd hh:mm"),INDEX(상세표[시작],$U42)&amp;""))</f>
        <v/>
      </c>
      <c r="O42">
        <f>IF($U42="","",IF(ISNUMBER(INDEX(상세표[종료],$U42)),TEXT(INDEX(상세표[종료],$U42),"yyyy-mm-dd hh:mm"),INDEX(상세표[종료],$U42)&amp;""))</f>
        <v/>
      </c>
      <c r="P42">
        <f>IF($U42="","",INDEX(상세표[06~07시],$U42))</f>
        <v/>
      </c>
      <c r="Q42">
        <f>IF($U42="","",INDEX(상세표[07~18시],$U42))</f>
        <v/>
      </c>
      <c r="R42">
        <f>IF($U42="","",INDEX(상세표[18~22시],$U42))</f>
        <v/>
      </c>
      <c r="S42">
        <f>IF($U42="","",INDEX(상세표[22~06시],$U42))</f>
        <v/>
      </c>
      <c r="T42">
        <f>IF($U42="","",INDEX(상세표[기록 시간외],$U42))</f>
        <v/>
      </c>
      <c r="U42" s="4">
        <f>IFERROR(MATCH(37,상세표[발송순번],0),"")</f>
        <v/>
      </c>
    </row>
    <row r="43">
      <c r="A43">
        <f>IF($H43="","",INDEX(상세표[사번],$H43)&amp;"")</f>
        <v/>
      </c>
      <c r="B43">
        <f>IF($H43="","",INDEX(상세표[성명],$H43)&amp;"")</f>
        <v/>
      </c>
      <c r="C43">
        <f>IF($H43="","",INDEX(상세표[부서],$H43)&amp;"")</f>
        <v/>
      </c>
      <c r="D43">
        <f>IF($H43="","",IF(IFERROR(INDEX(합계표[직위(통합)],MATCH(INDEX(상세표[사번키],$H43),합계표[사번키],0))&amp;"","")="",INDEX(상세표[직위],$H43)&amp;"",IFERROR(INDEX(합계표[직위(통합)],MATCH(INDEX(상세표[사번키],$H43),합계표[사번키],0))&amp;"","")))</f>
        <v/>
      </c>
      <c r="E43">
        <f>IF($H43="","",COUNTIFS(상세표[사번키],INDEX(상세표[사번키],$H43),상세표[기록월],대상월키))</f>
        <v/>
      </c>
      <c r="F43">
        <f>IF($H43="","",SUMIFS(상세표[기록 시간외],상세표[사번키],INDEX(상세표[사번키],$H43),상세표[기록월],대상월키))</f>
        <v/>
      </c>
      <c r="G43">
        <f>IF($H43="","",SUMIFS(합계표[시스템 합계],합계표[사번키],INDEX(상세표[사번키],$H43)))</f>
        <v/>
      </c>
      <c r="H43" s="4">
        <f>IFERROR(MATCH(38,상세표[발송인원순번],0),"")</f>
        <v/>
      </c>
      <c r="J43">
        <f>IF($U43="","",INDEX(상세표[사번],$U43)&amp;"")</f>
        <v/>
      </c>
      <c r="K43">
        <f>IF($U43="","",INDEX(상세표[성명],$U43)&amp;"")</f>
        <v/>
      </c>
      <c r="L43">
        <f>IF($U43="","",INDEX(상세표[직위],$U43)&amp;"")</f>
        <v/>
      </c>
      <c r="M43">
        <f>IF($U43="","",IF(ISNUMBER(INDEX(상세표[근무일자],$U43)),TEXT(INDEX(상세표[근무일자],$U43),"yyyy-mm-dd"),INDEX(상세표[근무일자],$U43)&amp;""))</f>
        <v/>
      </c>
      <c r="N43">
        <f>IF($U43="","",IF(ISNUMBER(INDEX(상세표[시작],$U43)),TEXT(INDEX(상세표[시작],$U43),"yyyy-mm-dd hh:mm"),INDEX(상세표[시작],$U43)&amp;""))</f>
        <v/>
      </c>
      <c r="O43">
        <f>IF($U43="","",IF(ISNUMBER(INDEX(상세표[종료],$U43)),TEXT(INDEX(상세표[종료],$U43),"yyyy-mm-dd hh:mm"),INDEX(상세표[종료],$U43)&amp;""))</f>
        <v/>
      </c>
      <c r="P43">
        <f>IF($U43="","",INDEX(상세표[06~07시],$U43))</f>
        <v/>
      </c>
      <c r="Q43">
        <f>IF($U43="","",INDEX(상세표[07~18시],$U43))</f>
        <v/>
      </c>
      <c r="R43">
        <f>IF($U43="","",INDEX(상세표[18~22시],$U43))</f>
        <v/>
      </c>
      <c r="S43">
        <f>IF($U43="","",INDEX(상세표[22~06시],$U43))</f>
        <v/>
      </c>
      <c r="T43">
        <f>IF($U43="","",INDEX(상세표[기록 시간외],$U43))</f>
        <v/>
      </c>
      <c r="U43" s="4">
        <f>IFERROR(MATCH(38,상세표[발송순번],0),"")</f>
        <v/>
      </c>
    </row>
    <row r="44">
      <c r="A44">
        <f>IF($H44="","",INDEX(상세표[사번],$H44)&amp;"")</f>
        <v/>
      </c>
      <c r="B44">
        <f>IF($H44="","",INDEX(상세표[성명],$H44)&amp;"")</f>
        <v/>
      </c>
      <c r="C44">
        <f>IF($H44="","",INDEX(상세표[부서],$H44)&amp;"")</f>
        <v/>
      </c>
      <c r="D44">
        <f>IF($H44="","",IF(IFERROR(INDEX(합계표[직위(통합)],MATCH(INDEX(상세표[사번키],$H44),합계표[사번키],0))&amp;"","")="",INDEX(상세표[직위],$H44)&amp;"",IFERROR(INDEX(합계표[직위(통합)],MATCH(INDEX(상세표[사번키],$H44),합계표[사번키],0))&amp;"","")))</f>
        <v/>
      </c>
      <c r="E44">
        <f>IF($H44="","",COUNTIFS(상세표[사번키],INDEX(상세표[사번키],$H44),상세표[기록월],대상월키))</f>
        <v/>
      </c>
      <c r="F44">
        <f>IF($H44="","",SUMIFS(상세표[기록 시간외],상세표[사번키],INDEX(상세표[사번키],$H44),상세표[기록월],대상월키))</f>
        <v/>
      </c>
      <c r="G44">
        <f>IF($H44="","",SUMIFS(합계표[시스템 합계],합계표[사번키],INDEX(상세표[사번키],$H44)))</f>
        <v/>
      </c>
      <c r="H44" s="4">
        <f>IFERROR(MATCH(39,상세표[발송인원순번],0),"")</f>
        <v/>
      </c>
      <c r="J44">
        <f>IF($U44="","",INDEX(상세표[사번],$U44)&amp;"")</f>
        <v/>
      </c>
      <c r="K44">
        <f>IF($U44="","",INDEX(상세표[성명],$U44)&amp;"")</f>
        <v/>
      </c>
      <c r="L44">
        <f>IF($U44="","",INDEX(상세표[직위],$U44)&amp;"")</f>
        <v/>
      </c>
      <c r="M44">
        <f>IF($U44="","",IF(ISNUMBER(INDEX(상세표[근무일자],$U44)),TEXT(INDEX(상세표[근무일자],$U44),"yyyy-mm-dd"),INDEX(상세표[근무일자],$U44)&amp;""))</f>
        <v/>
      </c>
      <c r="N44">
        <f>IF($U44="","",IF(ISNUMBER(INDEX(상세표[시작],$U44)),TEXT(INDEX(상세표[시작],$U44),"yyyy-mm-dd hh:mm"),INDEX(상세표[시작],$U44)&amp;""))</f>
        <v/>
      </c>
      <c r="O44">
        <f>IF($U44="","",IF(ISNUMBER(INDEX(상세표[종료],$U44)),TEXT(INDEX(상세표[종료],$U44),"yyyy-mm-dd hh:mm"),INDEX(상세표[종료],$U44)&amp;""))</f>
        <v/>
      </c>
      <c r="P44">
        <f>IF($U44="","",INDEX(상세표[06~07시],$U44))</f>
        <v/>
      </c>
      <c r="Q44">
        <f>IF($U44="","",INDEX(상세표[07~18시],$U44))</f>
        <v/>
      </c>
      <c r="R44">
        <f>IF($U44="","",INDEX(상세표[18~22시],$U44))</f>
        <v/>
      </c>
      <c r="S44">
        <f>IF($U44="","",INDEX(상세표[22~06시],$U44))</f>
        <v/>
      </c>
      <c r="T44">
        <f>IF($U44="","",INDEX(상세표[기록 시간외],$U44))</f>
        <v/>
      </c>
      <c r="U44" s="4">
        <f>IFERROR(MATCH(39,상세표[발송순번],0),"")</f>
        <v/>
      </c>
    </row>
    <row r="45">
      <c r="A45">
        <f>IF($H45="","",INDEX(상세표[사번],$H45)&amp;"")</f>
        <v/>
      </c>
      <c r="B45">
        <f>IF($H45="","",INDEX(상세표[성명],$H45)&amp;"")</f>
        <v/>
      </c>
      <c r="C45">
        <f>IF($H45="","",INDEX(상세표[부서],$H45)&amp;"")</f>
        <v/>
      </c>
      <c r="D45">
        <f>IF($H45="","",IF(IFERROR(INDEX(합계표[직위(통합)],MATCH(INDEX(상세표[사번키],$H45),합계표[사번키],0))&amp;"","")="",INDEX(상세표[직위],$H45)&amp;"",IFERROR(INDEX(합계표[직위(통합)],MATCH(INDEX(상세표[사번키],$H45),합계표[사번키],0))&amp;"","")))</f>
        <v/>
      </c>
      <c r="E45">
        <f>IF($H45="","",COUNTIFS(상세표[사번키],INDEX(상세표[사번키],$H45),상세표[기록월],대상월키))</f>
        <v/>
      </c>
      <c r="F45">
        <f>IF($H45="","",SUMIFS(상세표[기록 시간외],상세표[사번키],INDEX(상세표[사번키],$H45),상세표[기록월],대상월키))</f>
        <v/>
      </c>
      <c r="G45">
        <f>IF($H45="","",SUMIFS(합계표[시스템 합계],합계표[사번키],INDEX(상세표[사번키],$H45)))</f>
        <v/>
      </c>
      <c r="H45" s="4">
        <f>IFERROR(MATCH(40,상세표[발송인원순번],0),"")</f>
        <v/>
      </c>
      <c r="J45">
        <f>IF($U45="","",INDEX(상세표[사번],$U45)&amp;"")</f>
        <v/>
      </c>
      <c r="K45">
        <f>IF($U45="","",INDEX(상세표[성명],$U45)&amp;"")</f>
        <v/>
      </c>
      <c r="L45">
        <f>IF($U45="","",INDEX(상세표[직위],$U45)&amp;"")</f>
        <v/>
      </c>
      <c r="M45">
        <f>IF($U45="","",IF(ISNUMBER(INDEX(상세표[근무일자],$U45)),TEXT(INDEX(상세표[근무일자],$U45),"yyyy-mm-dd"),INDEX(상세표[근무일자],$U45)&amp;""))</f>
        <v/>
      </c>
      <c r="N45">
        <f>IF($U45="","",IF(ISNUMBER(INDEX(상세표[시작],$U45)),TEXT(INDEX(상세표[시작],$U45),"yyyy-mm-dd hh:mm"),INDEX(상세표[시작],$U45)&amp;""))</f>
        <v/>
      </c>
      <c r="O45">
        <f>IF($U45="","",IF(ISNUMBER(INDEX(상세표[종료],$U45)),TEXT(INDEX(상세표[종료],$U45),"yyyy-mm-dd hh:mm"),INDEX(상세표[종료],$U45)&amp;""))</f>
        <v/>
      </c>
      <c r="P45">
        <f>IF($U45="","",INDEX(상세표[06~07시],$U45))</f>
        <v/>
      </c>
      <c r="Q45">
        <f>IF($U45="","",INDEX(상세표[07~18시],$U45))</f>
        <v/>
      </c>
      <c r="R45">
        <f>IF($U45="","",INDEX(상세표[18~22시],$U45))</f>
        <v/>
      </c>
      <c r="S45">
        <f>IF($U45="","",INDEX(상세표[22~06시],$U45))</f>
        <v/>
      </c>
      <c r="T45">
        <f>IF($U45="","",INDEX(상세표[기록 시간외],$U45))</f>
        <v/>
      </c>
      <c r="U45" s="4">
        <f>IFERROR(MATCH(40,상세표[발송순번],0),"")</f>
        <v/>
      </c>
    </row>
    <row r="46">
      <c r="A46">
        <f>IF($H46="","",INDEX(상세표[사번],$H46)&amp;"")</f>
        <v/>
      </c>
      <c r="B46">
        <f>IF($H46="","",INDEX(상세표[성명],$H46)&amp;"")</f>
        <v/>
      </c>
      <c r="C46">
        <f>IF($H46="","",INDEX(상세표[부서],$H46)&amp;"")</f>
        <v/>
      </c>
      <c r="D46">
        <f>IF($H46="","",IF(IFERROR(INDEX(합계표[직위(통합)],MATCH(INDEX(상세표[사번키],$H46),합계표[사번키],0))&amp;"","")="",INDEX(상세표[직위],$H46)&amp;"",IFERROR(INDEX(합계표[직위(통합)],MATCH(INDEX(상세표[사번키],$H46),합계표[사번키],0))&amp;"","")))</f>
        <v/>
      </c>
      <c r="E46">
        <f>IF($H46="","",COUNTIFS(상세표[사번키],INDEX(상세표[사번키],$H46),상세표[기록월],대상월키))</f>
        <v/>
      </c>
      <c r="F46">
        <f>IF($H46="","",SUMIFS(상세표[기록 시간외],상세표[사번키],INDEX(상세표[사번키],$H46),상세표[기록월],대상월키))</f>
        <v/>
      </c>
      <c r="G46">
        <f>IF($H46="","",SUMIFS(합계표[시스템 합계],합계표[사번키],INDEX(상세표[사번키],$H46)))</f>
        <v/>
      </c>
      <c r="H46" s="4">
        <f>IFERROR(MATCH(41,상세표[발송인원순번],0),"")</f>
        <v/>
      </c>
      <c r="J46">
        <f>IF($U46="","",INDEX(상세표[사번],$U46)&amp;"")</f>
        <v/>
      </c>
      <c r="K46">
        <f>IF($U46="","",INDEX(상세표[성명],$U46)&amp;"")</f>
        <v/>
      </c>
      <c r="L46">
        <f>IF($U46="","",INDEX(상세표[직위],$U46)&amp;"")</f>
        <v/>
      </c>
      <c r="M46">
        <f>IF($U46="","",IF(ISNUMBER(INDEX(상세표[근무일자],$U46)),TEXT(INDEX(상세표[근무일자],$U46),"yyyy-mm-dd"),INDEX(상세표[근무일자],$U46)&amp;""))</f>
        <v/>
      </c>
      <c r="N46">
        <f>IF($U46="","",IF(ISNUMBER(INDEX(상세표[시작],$U46)),TEXT(INDEX(상세표[시작],$U46),"yyyy-mm-dd hh:mm"),INDEX(상세표[시작],$U46)&amp;""))</f>
        <v/>
      </c>
      <c r="O46">
        <f>IF($U46="","",IF(ISNUMBER(INDEX(상세표[종료],$U46)),TEXT(INDEX(상세표[종료],$U46),"yyyy-mm-dd hh:mm"),INDEX(상세표[종료],$U46)&amp;""))</f>
        <v/>
      </c>
      <c r="P46">
        <f>IF($U46="","",INDEX(상세표[06~07시],$U46))</f>
        <v/>
      </c>
      <c r="Q46">
        <f>IF($U46="","",INDEX(상세표[07~18시],$U46))</f>
        <v/>
      </c>
      <c r="R46">
        <f>IF($U46="","",INDEX(상세표[18~22시],$U46))</f>
        <v/>
      </c>
      <c r="S46">
        <f>IF($U46="","",INDEX(상세표[22~06시],$U46))</f>
        <v/>
      </c>
      <c r="T46">
        <f>IF($U46="","",INDEX(상세표[기록 시간외],$U46))</f>
        <v/>
      </c>
      <c r="U46" s="4">
        <f>IFERROR(MATCH(41,상세표[발송순번],0),"")</f>
        <v/>
      </c>
    </row>
    <row r="47">
      <c r="A47">
        <f>IF($H47="","",INDEX(상세표[사번],$H47)&amp;"")</f>
        <v/>
      </c>
      <c r="B47">
        <f>IF($H47="","",INDEX(상세표[성명],$H47)&amp;"")</f>
        <v/>
      </c>
      <c r="C47">
        <f>IF($H47="","",INDEX(상세표[부서],$H47)&amp;"")</f>
        <v/>
      </c>
      <c r="D47">
        <f>IF($H47="","",IF(IFERROR(INDEX(합계표[직위(통합)],MATCH(INDEX(상세표[사번키],$H47),합계표[사번키],0))&amp;"","")="",INDEX(상세표[직위],$H47)&amp;"",IFERROR(INDEX(합계표[직위(통합)],MATCH(INDEX(상세표[사번키],$H47),합계표[사번키],0))&amp;"","")))</f>
        <v/>
      </c>
      <c r="E47">
        <f>IF($H47="","",COUNTIFS(상세표[사번키],INDEX(상세표[사번키],$H47),상세표[기록월],대상월키))</f>
        <v/>
      </c>
      <c r="F47">
        <f>IF($H47="","",SUMIFS(상세표[기록 시간외],상세표[사번키],INDEX(상세표[사번키],$H47),상세표[기록월],대상월키))</f>
        <v/>
      </c>
      <c r="G47">
        <f>IF($H47="","",SUMIFS(합계표[시스템 합계],합계표[사번키],INDEX(상세표[사번키],$H47)))</f>
        <v/>
      </c>
      <c r="H47" s="4">
        <f>IFERROR(MATCH(42,상세표[발송인원순번],0),"")</f>
        <v/>
      </c>
      <c r="J47">
        <f>IF($U47="","",INDEX(상세표[사번],$U47)&amp;"")</f>
        <v/>
      </c>
      <c r="K47">
        <f>IF($U47="","",INDEX(상세표[성명],$U47)&amp;"")</f>
        <v/>
      </c>
      <c r="L47">
        <f>IF($U47="","",INDEX(상세표[직위],$U47)&amp;"")</f>
        <v/>
      </c>
      <c r="M47">
        <f>IF($U47="","",IF(ISNUMBER(INDEX(상세표[근무일자],$U47)),TEXT(INDEX(상세표[근무일자],$U47),"yyyy-mm-dd"),INDEX(상세표[근무일자],$U47)&amp;""))</f>
        <v/>
      </c>
      <c r="N47">
        <f>IF($U47="","",IF(ISNUMBER(INDEX(상세표[시작],$U47)),TEXT(INDEX(상세표[시작],$U47),"yyyy-mm-dd hh:mm"),INDEX(상세표[시작],$U47)&amp;""))</f>
        <v/>
      </c>
      <c r="O47">
        <f>IF($U47="","",IF(ISNUMBER(INDEX(상세표[종료],$U47)),TEXT(INDEX(상세표[종료],$U47),"yyyy-mm-dd hh:mm"),INDEX(상세표[종료],$U47)&amp;""))</f>
        <v/>
      </c>
      <c r="P47">
        <f>IF($U47="","",INDEX(상세표[06~07시],$U47))</f>
        <v/>
      </c>
      <c r="Q47">
        <f>IF($U47="","",INDEX(상세표[07~18시],$U47))</f>
        <v/>
      </c>
      <c r="R47">
        <f>IF($U47="","",INDEX(상세표[18~22시],$U47))</f>
        <v/>
      </c>
      <c r="S47">
        <f>IF($U47="","",INDEX(상세표[22~06시],$U47))</f>
        <v/>
      </c>
      <c r="T47">
        <f>IF($U47="","",INDEX(상세표[기록 시간외],$U47))</f>
        <v/>
      </c>
      <c r="U47" s="4">
        <f>IFERROR(MATCH(42,상세표[발송순번],0),"")</f>
        <v/>
      </c>
    </row>
    <row r="48">
      <c r="A48">
        <f>IF($H48="","",INDEX(상세표[사번],$H48)&amp;"")</f>
        <v/>
      </c>
      <c r="B48">
        <f>IF($H48="","",INDEX(상세표[성명],$H48)&amp;"")</f>
        <v/>
      </c>
      <c r="C48">
        <f>IF($H48="","",INDEX(상세표[부서],$H48)&amp;"")</f>
        <v/>
      </c>
      <c r="D48">
        <f>IF($H48="","",IF(IFERROR(INDEX(합계표[직위(통합)],MATCH(INDEX(상세표[사번키],$H48),합계표[사번키],0))&amp;"","")="",INDEX(상세표[직위],$H48)&amp;"",IFERROR(INDEX(합계표[직위(통합)],MATCH(INDEX(상세표[사번키],$H48),합계표[사번키],0))&amp;"","")))</f>
        <v/>
      </c>
      <c r="E48">
        <f>IF($H48="","",COUNTIFS(상세표[사번키],INDEX(상세표[사번키],$H48),상세표[기록월],대상월키))</f>
        <v/>
      </c>
      <c r="F48">
        <f>IF($H48="","",SUMIFS(상세표[기록 시간외],상세표[사번키],INDEX(상세표[사번키],$H48),상세표[기록월],대상월키))</f>
        <v/>
      </c>
      <c r="G48">
        <f>IF($H48="","",SUMIFS(합계표[시스템 합계],합계표[사번키],INDEX(상세표[사번키],$H48)))</f>
        <v/>
      </c>
      <c r="H48" s="4">
        <f>IFERROR(MATCH(43,상세표[발송인원순번],0),"")</f>
        <v/>
      </c>
      <c r="J48">
        <f>IF($U48="","",INDEX(상세표[사번],$U48)&amp;"")</f>
        <v/>
      </c>
      <c r="K48">
        <f>IF($U48="","",INDEX(상세표[성명],$U48)&amp;"")</f>
        <v/>
      </c>
      <c r="L48">
        <f>IF($U48="","",INDEX(상세표[직위],$U48)&amp;"")</f>
        <v/>
      </c>
      <c r="M48">
        <f>IF($U48="","",IF(ISNUMBER(INDEX(상세표[근무일자],$U48)),TEXT(INDEX(상세표[근무일자],$U48),"yyyy-mm-dd"),INDEX(상세표[근무일자],$U48)&amp;""))</f>
        <v/>
      </c>
      <c r="N48">
        <f>IF($U48="","",IF(ISNUMBER(INDEX(상세표[시작],$U48)),TEXT(INDEX(상세표[시작],$U48),"yyyy-mm-dd hh:mm"),INDEX(상세표[시작],$U48)&amp;""))</f>
        <v/>
      </c>
      <c r="O48">
        <f>IF($U48="","",IF(ISNUMBER(INDEX(상세표[종료],$U48)),TEXT(INDEX(상세표[종료],$U48),"yyyy-mm-dd hh:mm"),INDEX(상세표[종료],$U48)&amp;""))</f>
        <v/>
      </c>
      <c r="P48">
        <f>IF($U48="","",INDEX(상세표[06~07시],$U48))</f>
        <v/>
      </c>
      <c r="Q48">
        <f>IF($U48="","",INDEX(상세표[07~18시],$U48))</f>
        <v/>
      </c>
      <c r="R48">
        <f>IF($U48="","",INDEX(상세표[18~22시],$U48))</f>
        <v/>
      </c>
      <c r="S48">
        <f>IF($U48="","",INDEX(상세표[22~06시],$U48))</f>
        <v/>
      </c>
      <c r="T48">
        <f>IF($U48="","",INDEX(상세표[기록 시간외],$U48))</f>
        <v/>
      </c>
      <c r="U48" s="4">
        <f>IFERROR(MATCH(43,상세표[발송순번],0),"")</f>
        <v/>
      </c>
    </row>
    <row r="49">
      <c r="A49">
        <f>IF($H49="","",INDEX(상세표[사번],$H49)&amp;"")</f>
        <v/>
      </c>
      <c r="B49">
        <f>IF($H49="","",INDEX(상세표[성명],$H49)&amp;"")</f>
        <v/>
      </c>
      <c r="C49">
        <f>IF($H49="","",INDEX(상세표[부서],$H49)&amp;"")</f>
        <v/>
      </c>
      <c r="D49">
        <f>IF($H49="","",IF(IFERROR(INDEX(합계표[직위(통합)],MATCH(INDEX(상세표[사번키],$H49),합계표[사번키],0))&amp;"","")="",INDEX(상세표[직위],$H49)&amp;"",IFERROR(INDEX(합계표[직위(통합)],MATCH(INDEX(상세표[사번키],$H49),합계표[사번키],0))&amp;"","")))</f>
        <v/>
      </c>
      <c r="E49">
        <f>IF($H49="","",COUNTIFS(상세표[사번키],INDEX(상세표[사번키],$H49),상세표[기록월],대상월키))</f>
        <v/>
      </c>
      <c r="F49">
        <f>IF($H49="","",SUMIFS(상세표[기록 시간외],상세표[사번키],INDEX(상세표[사번키],$H49),상세표[기록월],대상월키))</f>
        <v/>
      </c>
      <c r="G49">
        <f>IF($H49="","",SUMIFS(합계표[시스템 합계],합계표[사번키],INDEX(상세표[사번키],$H49)))</f>
        <v/>
      </c>
      <c r="H49" s="4">
        <f>IFERROR(MATCH(44,상세표[발송인원순번],0),"")</f>
        <v/>
      </c>
      <c r="J49">
        <f>IF($U49="","",INDEX(상세표[사번],$U49)&amp;"")</f>
        <v/>
      </c>
      <c r="K49">
        <f>IF($U49="","",INDEX(상세표[성명],$U49)&amp;"")</f>
        <v/>
      </c>
      <c r="L49">
        <f>IF($U49="","",INDEX(상세표[직위],$U49)&amp;"")</f>
        <v/>
      </c>
      <c r="M49">
        <f>IF($U49="","",IF(ISNUMBER(INDEX(상세표[근무일자],$U49)),TEXT(INDEX(상세표[근무일자],$U49),"yyyy-mm-dd"),INDEX(상세표[근무일자],$U49)&amp;""))</f>
        <v/>
      </c>
      <c r="N49">
        <f>IF($U49="","",IF(ISNUMBER(INDEX(상세표[시작],$U49)),TEXT(INDEX(상세표[시작],$U49),"yyyy-mm-dd hh:mm"),INDEX(상세표[시작],$U49)&amp;""))</f>
        <v/>
      </c>
      <c r="O49">
        <f>IF($U49="","",IF(ISNUMBER(INDEX(상세표[종료],$U49)),TEXT(INDEX(상세표[종료],$U49),"yyyy-mm-dd hh:mm"),INDEX(상세표[종료],$U49)&amp;""))</f>
        <v/>
      </c>
      <c r="P49">
        <f>IF($U49="","",INDEX(상세표[06~07시],$U49))</f>
        <v/>
      </c>
      <c r="Q49">
        <f>IF($U49="","",INDEX(상세표[07~18시],$U49))</f>
        <v/>
      </c>
      <c r="R49">
        <f>IF($U49="","",INDEX(상세표[18~22시],$U49))</f>
        <v/>
      </c>
      <c r="S49">
        <f>IF($U49="","",INDEX(상세표[22~06시],$U49))</f>
        <v/>
      </c>
      <c r="T49">
        <f>IF($U49="","",INDEX(상세표[기록 시간외],$U49))</f>
        <v/>
      </c>
      <c r="U49" s="4">
        <f>IFERROR(MATCH(44,상세표[발송순번],0),"")</f>
        <v/>
      </c>
    </row>
    <row r="50">
      <c r="A50">
        <f>IF($H50="","",INDEX(상세표[사번],$H50)&amp;"")</f>
        <v/>
      </c>
      <c r="B50">
        <f>IF($H50="","",INDEX(상세표[성명],$H50)&amp;"")</f>
        <v/>
      </c>
      <c r="C50">
        <f>IF($H50="","",INDEX(상세표[부서],$H50)&amp;"")</f>
        <v/>
      </c>
      <c r="D50">
        <f>IF($H50="","",IF(IFERROR(INDEX(합계표[직위(통합)],MATCH(INDEX(상세표[사번키],$H50),합계표[사번키],0))&amp;"","")="",INDEX(상세표[직위],$H50)&amp;"",IFERROR(INDEX(합계표[직위(통합)],MATCH(INDEX(상세표[사번키],$H50),합계표[사번키],0))&amp;"","")))</f>
        <v/>
      </c>
      <c r="E50">
        <f>IF($H50="","",COUNTIFS(상세표[사번키],INDEX(상세표[사번키],$H50),상세표[기록월],대상월키))</f>
        <v/>
      </c>
      <c r="F50">
        <f>IF($H50="","",SUMIFS(상세표[기록 시간외],상세표[사번키],INDEX(상세표[사번키],$H50),상세표[기록월],대상월키))</f>
        <v/>
      </c>
      <c r="G50">
        <f>IF($H50="","",SUMIFS(합계표[시스템 합계],합계표[사번키],INDEX(상세표[사번키],$H50)))</f>
        <v/>
      </c>
      <c r="H50" s="4">
        <f>IFERROR(MATCH(45,상세표[발송인원순번],0),"")</f>
        <v/>
      </c>
      <c r="J50">
        <f>IF($U50="","",INDEX(상세표[사번],$U50)&amp;"")</f>
        <v/>
      </c>
      <c r="K50">
        <f>IF($U50="","",INDEX(상세표[성명],$U50)&amp;"")</f>
        <v/>
      </c>
      <c r="L50">
        <f>IF($U50="","",INDEX(상세표[직위],$U50)&amp;"")</f>
        <v/>
      </c>
      <c r="M50">
        <f>IF($U50="","",IF(ISNUMBER(INDEX(상세표[근무일자],$U50)),TEXT(INDEX(상세표[근무일자],$U50),"yyyy-mm-dd"),INDEX(상세표[근무일자],$U50)&amp;""))</f>
        <v/>
      </c>
      <c r="N50">
        <f>IF($U50="","",IF(ISNUMBER(INDEX(상세표[시작],$U50)),TEXT(INDEX(상세표[시작],$U50),"yyyy-mm-dd hh:mm"),INDEX(상세표[시작],$U50)&amp;""))</f>
        <v/>
      </c>
      <c r="O50">
        <f>IF($U50="","",IF(ISNUMBER(INDEX(상세표[종료],$U50)),TEXT(INDEX(상세표[종료],$U50),"yyyy-mm-dd hh:mm"),INDEX(상세표[종료],$U50)&amp;""))</f>
        <v/>
      </c>
      <c r="P50">
        <f>IF($U50="","",INDEX(상세표[06~07시],$U50))</f>
        <v/>
      </c>
      <c r="Q50">
        <f>IF($U50="","",INDEX(상세표[07~18시],$U50))</f>
        <v/>
      </c>
      <c r="R50">
        <f>IF($U50="","",INDEX(상세표[18~22시],$U50))</f>
        <v/>
      </c>
      <c r="S50">
        <f>IF($U50="","",INDEX(상세표[22~06시],$U50))</f>
        <v/>
      </c>
      <c r="T50">
        <f>IF($U50="","",INDEX(상세표[기록 시간외],$U50))</f>
        <v/>
      </c>
      <c r="U50" s="4">
        <f>IFERROR(MATCH(45,상세표[발송순번],0),"")</f>
        <v/>
      </c>
    </row>
    <row r="51">
      <c r="A51">
        <f>IF($H51="","",INDEX(상세표[사번],$H51)&amp;"")</f>
        <v/>
      </c>
      <c r="B51">
        <f>IF($H51="","",INDEX(상세표[성명],$H51)&amp;"")</f>
        <v/>
      </c>
      <c r="C51">
        <f>IF($H51="","",INDEX(상세표[부서],$H51)&amp;"")</f>
        <v/>
      </c>
      <c r="D51">
        <f>IF($H51="","",IF(IFERROR(INDEX(합계표[직위(통합)],MATCH(INDEX(상세표[사번키],$H51),합계표[사번키],0))&amp;"","")="",INDEX(상세표[직위],$H51)&amp;"",IFERROR(INDEX(합계표[직위(통합)],MATCH(INDEX(상세표[사번키],$H51),합계표[사번키],0))&amp;"","")))</f>
        <v/>
      </c>
      <c r="E51">
        <f>IF($H51="","",COUNTIFS(상세표[사번키],INDEX(상세표[사번키],$H51),상세표[기록월],대상월키))</f>
        <v/>
      </c>
      <c r="F51">
        <f>IF($H51="","",SUMIFS(상세표[기록 시간외],상세표[사번키],INDEX(상세표[사번키],$H51),상세표[기록월],대상월키))</f>
        <v/>
      </c>
      <c r="G51">
        <f>IF($H51="","",SUMIFS(합계표[시스템 합계],합계표[사번키],INDEX(상세표[사번키],$H51)))</f>
        <v/>
      </c>
      <c r="H51" s="4">
        <f>IFERROR(MATCH(46,상세표[발송인원순번],0),"")</f>
        <v/>
      </c>
      <c r="J51">
        <f>IF($U51="","",INDEX(상세표[사번],$U51)&amp;"")</f>
        <v/>
      </c>
      <c r="K51">
        <f>IF($U51="","",INDEX(상세표[성명],$U51)&amp;"")</f>
        <v/>
      </c>
      <c r="L51">
        <f>IF($U51="","",INDEX(상세표[직위],$U51)&amp;"")</f>
        <v/>
      </c>
      <c r="M51">
        <f>IF($U51="","",IF(ISNUMBER(INDEX(상세표[근무일자],$U51)),TEXT(INDEX(상세표[근무일자],$U51),"yyyy-mm-dd"),INDEX(상세표[근무일자],$U51)&amp;""))</f>
        <v/>
      </c>
      <c r="N51">
        <f>IF($U51="","",IF(ISNUMBER(INDEX(상세표[시작],$U51)),TEXT(INDEX(상세표[시작],$U51),"yyyy-mm-dd hh:mm"),INDEX(상세표[시작],$U51)&amp;""))</f>
        <v/>
      </c>
      <c r="O51">
        <f>IF($U51="","",IF(ISNUMBER(INDEX(상세표[종료],$U51)),TEXT(INDEX(상세표[종료],$U51),"yyyy-mm-dd hh:mm"),INDEX(상세표[종료],$U51)&amp;""))</f>
        <v/>
      </c>
      <c r="P51">
        <f>IF($U51="","",INDEX(상세표[06~07시],$U51))</f>
        <v/>
      </c>
      <c r="Q51">
        <f>IF($U51="","",INDEX(상세표[07~18시],$U51))</f>
        <v/>
      </c>
      <c r="R51">
        <f>IF($U51="","",INDEX(상세표[18~22시],$U51))</f>
        <v/>
      </c>
      <c r="S51">
        <f>IF($U51="","",INDEX(상세표[22~06시],$U51))</f>
        <v/>
      </c>
      <c r="T51">
        <f>IF($U51="","",INDEX(상세표[기록 시간외],$U51))</f>
        <v/>
      </c>
      <c r="U51" s="4">
        <f>IFERROR(MATCH(46,상세표[발송순번],0),"")</f>
        <v/>
      </c>
    </row>
    <row r="52">
      <c r="A52">
        <f>IF($H52="","",INDEX(상세표[사번],$H52)&amp;"")</f>
        <v/>
      </c>
      <c r="B52">
        <f>IF($H52="","",INDEX(상세표[성명],$H52)&amp;"")</f>
        <v/>
      </c>
      <c r="C52">
        <f>IF($H52="","",INDEX(상세표[부서],$H52)&amp;"")</f>
        <v/>
      </c>
      <c r="D52">
        <f>IF($H52="","",IF(IFERROR(INDEX(합계표[직위(통합)],MATCH(INDEX(상세표[사번키],$H52),합계표[사번키],0))&amp;"","")="",INDEX(상세표[직위],$H52)&amp;"",IFERROR(INDEX(합계표[직위(통합)],MATCH(INDEX(상세표[사번키],$H52),합계표[사번키],0))&amp;"","")))</f>
        <v/>
      </c>
      <c r="E52">
        <f>IF($H52="","",COUNTIFS(상세표[사번키],INDEX(상세표[사번키],$H52),상세표[기록월],대상월키))</f>
        <v/>
      </c>
      <c r="F52">
        <f>IF($H52="","",SUMIFS(상세표[기록 시간외],상세표[사번키],INDEX(상세표[사번키],$H52),상세표[기록월],대상월키))</f>
        <v/>
      </c>
      <c r="G52">
        <f>IF($H52="","",SUMIFS(합계표[시스템 합계],합계표[사번키],INDEX(상세표[사번키],$H52)))</f>
        <v/>
      </c>
      <c r="H52" s="4">
        <f>IFERROR(MATCH(47,상세표[발송인원순번],0),"")</f>
        <v/>
      </c>
      <c r="J52">
        <f>IF($U52="","",INDEX(상세표[사번],$U52)&amp;"")</f>
        <v/>
      </c>
      <c r="K52">
        <f>IF($U52="","",INDEX(상세표[성명],$U52)&amp;"")</f>
        <v/>
      </c>
      <c r="L52">
        <f>IF($U52="","",INDEX(상세표[직위],$U52)&amp;"")</f>
        <v/>
      </c>
      <c r="M52">
        <f>IF($U52="","",IF(ISNUMBER(INDEX(상세표[근무일자],$U52)),TEXT(INDEX(상세표[근무일자],$U52),"yyyy-mm-dd"),INDEX(상세표[근무일자],$U52)&amp;""))</f>
        <v/>
      </c>
      <c r="N52">
        <f>IF($U52="","",IF(ISNUMBER(INDEX(상세표[시작],$U52)),TEXT(INDEX(상세표[시작],$U52),"yyyy-mm-dd hh:mm"),INDEX(상세표[시작],$U52)&amp;""))</f>
        <v/>
      </c>
      <c r="O52">
        <f>IF($U52="","",IF(ISNUMBER(INDEX(상세표[종료],$U52)),TEXT(INDEX(상세표[종료],$U52),"yyyy-mm-dd hh:mm"),INDEX(상세표[종료],$U52)&amp;""))</f>
        <v/>
      </c>
      <c r="P52">
        <f>IF($U52="","",INDEX(상세표[06~07시],$U52))</f>
        <v/>
      </c>
      <c r="Q52">
        <f>IF($U52="","",INDEX(상세표[07~18시],$U52))</f>
        <v/>
      </c>
      <c r="R52">
        <f>IF($U52="","",INDEX(상세표[18~22시],$U52))</f>
        <v/>
      </c>
      <c r="S52">
        <f>IF($U52="","",INDEX(상세표[22~06시],$U52))</f>
        <v/>
      </c>
      <c r="T52">
        <f>IF($U52="","",INDEX(상세표[기록 시간외],$U52))</f>
        <v/>
      </c>
      <c r="U52" s="4">
        <f>IFERROR(MATCH(47,상세표[발송순번],0),"")</f>
        <v/>
      </c>
    </row>
    <row r="53">
      <c r="A53">
        <f>IF($H53="","",INDEX(상세표[사번],$H53)&amp;"")</f>
        <v/>
      </c>
      <c r="B53">
        <f>IF($H53="","",INDEX(상세표[성명],$H53)&amp;"")</f>
        <v/>
      </c>
      <c r="C53">
        <f>IF($H53="","",INDEX(상세표[부서],$H53)&amp;"")</f>
        <v/>
      </c>
      <c r="D53">
        <f>IF($H53="","",IF(IFERROR(INDEX(합계표[직위(통합)],MATCH(INDEX(상세표[사번키],$H53),합계표[사번키],0))&amp;"","")="",INDEX(상세표[직위],$H53)&amp;"",IFERROR(INDEX(합계표[직위(통합)],MATCH(INDEX(상세표[사번키],$H53),합계표[사번키],0))&amp;"","")))</f>
        <v/>
      </c>
      <c r="E53">
        <f>IF($H53="","",COUNTIFS(상세표[사번키],INDEX(상세표[사번키],$H53),상세표[기록월],대상월키))</f>
        <v/>
      </c>
      <c r="F53">
        <f>IF($H53="","",SUMIFS(상세표[기록 시간외],상세표[사번키],INDEX(상세표[사번키],$H53),상세표[기록월],대상월키))</f>
        <v/>
      </c>
      <c r="G53">
        <f>IF($H53="","",SUMIFS(합계표[시스템 합계],합계표[사번키],INDEX(상세표[사번키],$H53)))</f>
        <v/>
      </c>
      <c r="H53" s="4">
        <f>IFERROR(MATCH(48,상세표[발송인원순번],0),"")</f>
        <v/>
      </c>
      <c r="J53">
        <f>IF($U53="","",INDEX(상세표[사번],$U53)&amp;"")</f>
        <v/>
      </c>
      <c r="K53">
        <f>IF($U53="","",INDEX(상세표[성명],$U53)&amp;"")</f>
        <v/>
      </c>
      <c r="L53">
        <f>IF($U53="","",INDEX(상세표[직위],$U53)&amp;"")</f>
        <v/>
      </c>
      <c r="M53">
        <f>IF($U53="","",IF(ISNUMBER(INDEX(상세표[근무일자],$U53)),TEXT(INDEX(상세표[근무일자],$U53),"yyyy-mm-dd"),INDEX(상세표[근무일자],$U53)&amp;""))</f>
        <v/>
      </c>
      <c r="N53">
        <f>IF($U53="","",IF(ISNUMBER(INDEX(상세표[시작],$U53)),TEXT(INDEX(상세표[시작],$U53),"yyyy-mm-dd hh:mm"),INDEX(상세표[시작],$U53)&amp;""))</f>
        <v/>
      </c>
      <c r="O53">
        <f>IF($U53="","",IF(ISNUMBER(INDEX(상세표[종료],$U53)),TEXT(INDEX(상세표[종료],$U53),"yyyy-mm-dd hh:mm"),INDEX(상세표[종료],$U53)&amp;""))</f>
        <v/>
      </c>
      <c r="P53">
        <f>IF($U53="","",INDEX(상세표[06~07시],$U53))</f>
        <v/>
      </c>
      <c r="Q53">
        <f>IF($U53="","",INDEX(상세표[07~18시],$U53))</f>
        <v/>
      </c>
      <c r="R53">
        <f>IF($U53="","",INDEX(상세표[18~22시],$U53))</f>
        <v/>
      </c>
      <c r="S53">
        <f>IF($U53="","",INDEX(상세표[22~06시],$U53))</f>
        <v/>
      </c>
      <c r="T53">
        <f>IF($U53="","",INDEX(상세표[기록 시간외],$U53))</f>
        <v/>
      </c>
      <c r="U53" s="4">
        <f>IFERROR(MATCH(48,상세표[발송순번],0),"")</f>
        <v/>
      </c>
    </row>
    <row r="54">
      <c r="A54">
        <f>IF($H54="","",INDEX(상세표[사번],$H54)&amp;"")</f>
        <v/>
      </c>
      <c r="B54">
        <f>IF($H54="","",INDEX(상세표[성명],$H54)&amp;"")</f>
        <v/>
      </c>
      <c r="C54">
        <f>IF($H54="","",INDEX(상세표[부서],$H54)&amp;"")</f>
        <v/>
      </c>
      <c r="D54">
        <f>IF($H54="","",IF(IFERROR(INDEX(합계표[직위(통합)],MATCH(INDEX(상세표[사번키],$H54),합계표[사번키],0))&amp;"","")="",INDEX(상세표[직위],$H54)&amp;"",IFERROR(INDEX(합계표[직위(통합)],MATCH(INDEX(상세표[사번키],$H54),합계표[사번키],0))&amp;"","")))</f>
        <v/>
      </c>
      <c r="E54">
        <f>IF($H54="","",COUNTIFS(상세표[사번키],INDEX(상세표[사번키],$H54),상세표[기록월],대상월키))</f>
        <v/>
      </c>
      <c r="F54">
        <f>IF($H54="","",SUMIFS(상세표[기록 시간외],상세표[사번키],INDEX(상세표[사번키],$H54),상세표[기록월],대상월키))</f>
        <v/>
      </c>
      <c r="G54">
        <f>IF($H54="","",SUMIFS(합계표[시스템 합계],합계표[사번키],INDEX(상세표[사번키],$H54)))</f>
        <v/>
      </c>
      <c r="H54" s="4">
        <f>IFERROR(MATCH(49,상세표[발송인원순번],0),"")</f>
        <v/>
      </c>
      <c r="J54">
        <f>IF($U54="","",INDEX(상세표[사번],$U54)&amp;"")</f>
        <v/>
      </c>
      <c r="K54">
        <f>IF($U54="","",INDEX(상세표[성명],$U54)&amp;"")</f>
        <v/>
      </c>
      <c r="L54">
        <f>IF($U54="","",INDEX(상세표[직위],$U54)&amp;"")</f>
        <v/>
      </c>
      <c r="M54">
        <f>IF($U54="","",IF(ISNUMBER(INDEX(상세표[근무일자],$U54)),TEXT(INDEX(상세표[근무일자],$U54),"yyyy-mm-dd"),INDEX(상세표[근무일자],$U54)&amp;""))</f>
        <v/>
      </c>
      <c r="N54">
        <f>IF($U54="","",IF(ISNUMBER(INDEX(상세표[시작],$U54)),TEXT(INDEX(상세표[시작],$U54),"yyyy-mm-dd hh:mm"),INDEX(상세표[시작],$U54)&amp;""))</f>
        <v/>
      </c>
      <c r="O54">
        <f>IF($U54="","",IF(ISNUMBER(INDEX(상세표[종료],$U54)),TEXT(INDEX(상세표[종료],$U54),"yyyy-mm-dd hh:mm"),INDEX(상세표[종료],$U54)&amp;""))</f>
        <v/>
      </c>
      <c r="P54">
        <f>IF($U54="","",INDEX(상세표[06~07시],$U54))</f>
        <v/>
      </c>
      <c r="Q54">
        <f>IF($U54="","",INDEX(상세표[07~18시],$U54))</f>
        <v/>
      </c>
      <c r="R54">
        <f>IF($U54="","",INDEX(상세표[18~22시],$U54))</f>
        <v/>
      </c>
      <c r="S54">
        <f>IF($U54="","",INDEX(상세표[22~06시],$U54))</f>
        <v/>
      </c>
      <c r="T54">
        <f>IF($U54="","",INDEX(상세표[기록 시간외],$U54))</f>
        <v/>
      </c>
      <c r="U54" s="4">
        <f>IFERROR(MATCH(49,상세표[발송순번],0),"")</f>
        <v/>
      </c>
    </row>
    <row r="55">
      <c r="A55">
        <f>IF($H55="","",INDEX(상세표[사번],$H55)&amp;"")</f>
        <v/>
      </c>
      <c r="B55">
        <f>IF($H55="","",INDEX(상세표[성명],$H55)&amp;"")</f>
        <v/>
      </c>
      <c r="C55">
        <f>IF($H55="","",INDEX(상세표[부서],$H55)&amp;"")</f>
        <v/>
      </c>
      <c r="D55">
        <f>IF($H55="","",IF(IFERROR(INDEX(합계표[직위(통합)],MATCH(INDEX(상세표[사번키],$H55),합계표[사번키],0))&amp;"","")="",INDEX(상세표[직위],$H55)&amp;"",IFERROR(INDEX(합계표[직위(통합)],MATCH(INDEX(상세표[사번키],$H55),합계표[사번키],0))&amp;"","")))</f>
        <v/>
      </c>
      <c r="E55">
        <f>IF($H55="","",COUNTIFS(상세표[사번키],INDEX(상세표[사번키],$H55),상세표[기록월],대상월키))</f>
        <v/>
      </c>
      <c r="F55">
        <f>IF($H55="","",SUMIFS(상세표[기록 시간외],상세표[사번키],INDEX(상세표[사번키],$H55),상세표[기록월],대상월키))</f>
        <v/>
      </c>
      <c r="G55">
        <f>IF($H55="","",SUMIFS(합계표[시스템 합계],합계표[사번키],INDEX(상세표[사번키],$H55)))</f>
        <v/>
      </c>
      <c r="H55" s="4">
        <f>IFERROR(MATCH(50,상세표[발송인원순번],0),"")</f>
        <v/>
      </c>
      <c r="J55">
        <f>IF($U55="","",INDEX(상세표[사번],$U55)&amp;"")</f>
        <v/>
      </c>
      <c r="K55">
        <f>IF($U55="","",INDEX(상세표[성명],$U55)&amp;"")</f>
        <v/>
      </c>
      <c r="L55">
        <f>IF($U55="","",INDEX(상세표[직위],$U55)&amp;"")</f>
        <v/>
      </c>
      <c r="M55">
        <f>IF($U55="","",IF(ISNUMBER(INDEX(상세표[근무일자],$U55)),TEXT(INDEX(상세표[근무일자],$U55),"yyyy-mm-dd"),INDEX(상세표[근무일자],$U55)&amp;""))</f>
        <v/>
      </c>
      <c r="N55">
        <f>IF($U55="","",IF(ISNUMBER(INDEX(상세표[시작],$U55)),TEXT(INDEX(상세표[시작],$U55),"yyyy-mm-dd hh:mm"),INDEX(상세표[시작],$U55)&amp;""))</f>
        <v/>
      </c>
      <c r="O55">
        <f>IF($U55="","",IF(ISNUMBER(INDEX(상세표[종료],$U55)),TEXT(INDEX(상세표[종료],$U55),"yyyy-mm-dd hh:mm"),INDEX(상세표[종료],$U55)&amp;""))</f>
        <v/>
      </c>
      <c r="P55">
        <f>IF($U55="","",INDEX(상세표[06~07시],$U55))</f>
        <v/>
      </c>
      <c r="Q55">
        <f>IF($U55="","",INDEX(상세표[07~18시],$U55))</f>
        <v/>
      </c>
      <c r="R55">
        <f>IF($U55="","",INDEX(상세표[18~22시],$U55))</f>
        <v/>
      </c>
      <c r="S55">
        <f>IF($U55="","",INDEX(상세표[22~06시],$U55))</f>
        <v/>
      </c>
      <c r="T55">
        <f>IF($U55="","",INDEX(상세표[기록 시간외],$U55))</f>
        <v/>
      </c>
      <c r="U55" s="4">
        <f>IFERROR(MATCH(50,상세표[발송순번],0),"")</f>
        <v/>
      </c>
    </row>
    <row r="56">
      <c r="A56">
        <f>IF($H56="","",INDEX(상세표[사번],$H56)&amp;"")</f>
        <v/>
      </c>
      <c r="B56">
        <f>IF($H56="","",INDEX(상세표[성명],$H56)&amp;"")</f>
        <v/>
      </c>
      <c r="C56">
        <f>IF($H56="","",INDEX(상세표[부서],$H56)&amp;"")</f>
        <v/>
      </c>
      <c r="D56">
        <f>IF($H56="","",IF(IFERROR(INDEX(합계표[직위(통합)],MATCH(INDEX(상세표[사번키],$H56),합계표[사번키],0))&amp;"","")="",INDEX(상세표[직위],$H56)&amp;"",IFERROR(INDEX(합계표[직위(통합)],MATCH(INDEX(상세표[사번키],$H56),합계표[사번키],0))&amp;"","")))</f>
        <v/>
      </c>
      <c r="E56">
        <f>IF($H56="","",COUNTIFS(상세표[사번키],INDEX(상세표[사번키],$H56),상세표[기록월],대상월키))</f>
        <v/>
      </c>
      <c r="F56">
        <f>IF($H56="","",SUMIFS(상세표[기록 시간외],상세표[사번키],INDEX(상세표[사번키],$H56),상세표[기록월],대상월키))</f>
        <v/>
      </c>
      <c r="G56">
        <f>IF($H56="","",SUMIFS(합계표[시스템 합계],합계표[사번키],INDEX(상세표[사번키],$H56)))</f>
        <v/>
      </c>
      <c r="H56" s="4">
        <f>IFERROR(MATCH(51,상세표[발송인원순번],0),"")</f>
        <v/>
      </c>
      <c r="J56">
        <f>IF($U56="","",INDEX(상세표[사번],$U56)&amp;"")</f>
        <v/>
      </c>
      <c r="K56">
        <f>IF($U56="","",INDEX(상세표[성명],$U56)&amp;"")</f>
        <v/>
      </c>
      <c r="L56">
        <f>IF($U56="","",INDEX(상세표[직위],$U56)&amp;"")</f>
        <v/>
      </c>
      <c r="M56">
        <f>IF($U56="","",IF(ISNUMBER(INDEX(상세표[근무일자],$U56)),TEXT(INDEX(상세표[근무일자],$U56),"yyyy-mm-dd"),INDEX(상세표[근무일자],$U56)&amp;""))</f>
        <v/>
      </c>
      <c r="N56">
        <f>IF($U56="","",IF(ISNUMBER(INDEX(상세표[시작],$U56)),TEXT(INDEX(상세표[시작],$U56),"yyyy-mm-dd hh:mm"),INDEX(상세표[시작],$U56)&amp;""))</f>
        <v/>
      </c>
      <c r="O56">
        <f>IF($U56="","",IF(ISNUMBER(INDEX(상세표[종료],$U56)),TEXT(INDEX(상세표[종료],$U56),"yyyy-mm-dd hh:mm"),INDEX(상세표[종료],$U56)&amp;""))</f>
        <v/>
      </c>
      <c r="P56">
        <f>IF($U56="","",INDEX(상세표[06~07시],$U56))</f>
        <v/>
      </c>
      <c r="Q56">
        <f>IF($U56="","",INDEX(상세표[07~18시],$U56))</f>
        <v/>
      </c>
      <c r="R56">
        <f>IF($U56="","",INDEX(상세표[18~22시],$U56))</f>
        <v/>
      </c>
      <c r="S56">
        <f>IF($U56="","",INDEX(상세표[22~06시],$U56))</f>
        <v/>
      </c>
      <c r="T56">
        <f>IF($U56="","",INDEX(상세표[기록 시간외],$U56))</f>
        <v/>
      </c>
      <c r="U56" s="4">
        <f>IFERROR(MATCH(51,상세표[발송순번],0),"")</f>
        <v/>
      </c>
    </row>
    <row r="57">
      <c r="A57">
        <f>IF($H57="","",INDEX(상세표[사번],$H57)&amp;"")</f>
        <v/>
      </c>
      <c r="B57">
        <f>IF($H57="","",INDEX(상세표[성명],$H57)&amp;"")</f>
        <v/>
      </c>
      <c r="C57">
        <f>IF($H57="","",INDEX(상세표[부서],$H57)&amp;"")</f>
        <v/>
      </c>
      <c r="D57">
        <f>IF($H57="","",IF(IFERROR(INDEX(합계표[직위(통합)],MATCH(INDEX(상세표[사번키],$H57),합계표[사번키],0))&amp;"","")="",INDEX(상세표[직위],$H57)&amp;"",IFERROR(INDEX(합계표[직위(통합)],MATCH(INDEX(상세표[사번키],$H57),합계표[사번키],0))&amp;"","")))</f>
        <v/>
      </c>
      <c r="E57">
        <f>IF($H57="","",COUNTIFS(상세표[사번키],INDEX(상세표[사번키],$H57),상세표[기록월],대상월키))</f>
        <v/>
      </c>
      <c r="F57">
        <f>IF($H57="","",SUMIFS(상세표[기록 시간외],상세표[사번키],INDEX(상세표[사번키],$H57),상세표[기록월],대상월키))</f>
        <v/>
      </c>
      <c r="G57">
        <f>IF($H57="","",SUMIFS(합계표[시스템 합계],합계표[사번키],INDEX(상세표[사번키],$H57)))</f>
        <v/>
      </c>
      <c r="H57" s="4">
        <f>IFERROR(MATCH(52,상세표[발송인원순번],0),"")</f>
        <v/>
      </c>
      <c r="J57">
        <f>IF($U57="","",INDEX(상세표[사번],$U57)&amp;"")</f>
        <v/>
      </c>
      <c r="K57">
        <f>IF($U57="","",INDEX(상세표[성명],$U57)&amp;"")</f>
        <v/>
      </c>
      <c r="L57">
        <f>IF($U57="","",INDEX(상세표[직위],$U57)&amp;"")</f>
        <v/>
      </c>
      <c r="M57">
        <f>IF($U57="","",IF(ISNUMBER(INDEX(상세표[근무일자],$U57)),TEXT(INDEX(상세표[근무일자],$U57),"yyyy-mm-dd"),INDEX(상세표[근무일자],$U57)&amp;""))</f>
        <v/>
      </c>
      <c r="N57">
        <f>IF($U57="","",IF(ISNUMBER(INDEX(상세표[시작],$U57)),TEXT(INDEX(상세표[시작],$U57),"yyyy-mm-dd hh:mm"),INDEX(상세표[시작],$U57)&amp;""))</f>
        <v/>
      </c>
      <c r="O57">
        <f>IF($U57="","",IF(ISNUMBER(INDEX(상세표[종료],$U57)),TEXT(INDEX(상세표[종료],$U57),"yyyy-mm-dd hh:mm"),INDEX(상세표[종료],$U57)&amp;""))</f>
        <v/>
      </c>
      <c r="P57">
        <f>IF($U57="","",INDEX(상세표[06~07시],$U57))</f>
        <v/>
      </c>
      <c r="Q57">
        <f>IF($U57="","",INDEX(상세표[07~18시],$U57))</f>
        <v/>
      </c>
      <c r="R57">
        <f>IF($U57="","",INDEX(상세표[18~22시],$U57))</f>
        <v/>
      </c>
      <c r="S57">
        <f>IF($U57="","",INDEX(상세표[22~06시],$U57))</f>
        <v/>
      </c>
      <c r="T57">
        <f>IF($U57="","",INDEX(상세표[기록 시간외],$U57))</f>
        <v/>
      </c>
      <c r="U57" s="4">
        <f>IFERROR(MATCH(52,상세표[발송순번],0),"")</f>
        <v/>
      </c>
    </row>
    <row r="58">
      <c r="A58">
        <f>IF($H58="","",INDEX(상세표[사번],$H58)&amp;"")</f>
        <v/>
      </c>
      <c r="B58">
        <f>IF($H58="","",INDEX(상세표[성명],$H58)&amp;"")</f>
        <v/>
      </c>
      <c r="C58">
        <f>IF($H58="","",INDEX(상세표[부서],$H58)&amp;"")</f>
        <v/>
      </c>
      <c r="D58">
        <f>IF($H58="","",IF(IFERROR(INDEX(합계표[직위(통합)],MATCH(INDEX(상세표[사번키],$H58),합계표[사번키],0))&amp;"","")="",INDEX(상세표[직위],$H58)&amp;"",IFERROR(INDEX(합계표[직위(통합)],MATCH(INDEX(상세표[사번키],$H58),합계표[사번키],0))&amp;"","")))</f>
        <v/>
      </c>
      <c r="E58">
        <f>IF($H58="","",COUNTIFS(상세표[사번키],INDEX(상세표[사번키],$H58),상세표[기록월],대상월키))</f>
        <v/>
      </c>
      <c r="F58">
        <f>IF($H58="","",SUMIFS(상세표[기록 시간외],상세표[사번키],INDEX(상세표[사번키],$H58),상세표[기록월],대상월키))</f>
        <v/>
      </c>
      <c r="G58">
        <f>IF($H58="","",SUMIFS(합계표[시스템 합계],합계표[사번키],INDEX(상세표[사번키],$H58)))</f>
        <v/>
      </c>
      <c r="H58" s="4">
        <f>IFERROR(MATCH(53,상세표[발송인원순번],0),"")</f>
        <v/>
      </c>
      <c r="J58">
        <f>IF($U58="","",INDEX(상세표[사번],$U58)&amp;"")</f>
        <v/>
      </c>
      <c r="K58">
        <f>IF($U58="","",INDEX(상세표[성명],$U58)&amp;"")</f>
        <v/>
      </c>
      <c r="L58">
        <f>IF($U58="","",INDEX(상세표[직위],$U58)&amp;"")</f>
        <v/>
      </c>
      <c r="M58">
        <f>IF($U58="","",IF(ISNUMBER(INDEX(상세표[근무일자],$U58)),TEXT(INDEX(상세표[근무일자],$U58),"yyyy-mm-dd"),INDEX(상세표[근무일자],$U58)&amp;""))</f>
        <v/>
      </c>
      <c r="N58">
        <f>IF($U58="","",IF(ISNUMBER(INDEX(상세표[시작],$U58)),TEXT(INDEX(상세표[시작],$U58),"yyyy-mm-dd hh:mm"),INDEX(상세표[시작],$U58)&amp;""))</f>
        <v/>
      </c>
      <c r="O58">
        <f>IF($U58="","",IF(ISNUMBER(INDEX(상세표[종료],$U58)),TEXT(INDEX(상세표[종료],$U58),"yyyy-mm-dd hh:mm"),INDEX(상세표[종료],$U58)&amp;""))</f>
        <v/>
      </c>
      <c r="P58">
        <f>IF($U58="","",INDEX(상세표[06~07시],$U58))</f>
        <v/>
      </c>
      <c r="Q58">
        <f>IF($U58="","",INDEX(상세표[07~18시],$U58))</f>
        <v/>
      </c>
      <c r="R58">
        <f>IF($U58="","",INDEX(상세표[18~22시],$U58))</f>
        <v/>
      </c>
      <c r="S58">
        <f>IF($U58="","",INDEX(상세표[22~06시],$U58))</f>
        <v/>
      </c>
      <c r="T58">
        <f>IF($U58="","",INDEX(상세표[기록 시간외],$U58))</f>
        <v/>
      </c>
      <c r="U58" s="4">
        <f>IFERROR(MATCH(53,상세표[발송순번],0),"")</f>
        <v/>
      </c>
    </row>
    <row r="59">
      <c r="A59">
        <f>IF($H59="","",INDEX(상세표[사번],$H59)&amp;"")</f>
        <v/>
      </c>
      <c r="B59">
        <f>IF($H59="","",INDEX(상세표[성명],$H59)&amp;"")</f>
        <v/>
      </c>
      <c r="C59">
        <f>IF($H59="","",INDEX(상세표[부서],$H59)&amp;"")</f>
        <v/>
      </c>
      <c r="D59">
        <f>IF($H59="","",IF(IFERROR(INDEX(합계표[직위(통합)],MATCH(INDEX(상세표[사번키],$H59),합계표[사번키],0))&amp;"","")="",INDEX(상세표[직위],$H59)&amp;"",IFERROR(INDEX(합계표[직위(통합)],MATCH(INDEX(상세표[사번키],$H59),합계표[사번키],0))&amp;"","")))</f>
        <v/>
      </c>
      <c r="E59">
        <f>IF($H59="","",COUNTIFS(상세표[사번키],INDEX(상세표[사번키],$H59),상세표[기록월],대상월키))</f>
        <v/>
      </c>
      <c r="F59">
        <f>IF($H59="","",SUMIFS(상세표[기록 시간외],상세표[사번키],INDEX(상세표[사번키],$H59),상세표[기록월],대상월키))</f>
        <v/>
      </c>
      <c r="G59">
        <f>IF($H59="","",SUMIFS(합계표[시스템 합계],합계표[사번키],INDEX(상세표[사번키],$H59)))</f>
        <v/>
      </c>
      <c r="H59" s="4">
        <f>IFERROR(MATCH(54,상세표[발송인원순번],0),"")</f>
        <v/>
      </c>
      <c r="J59">
        <f>IF($U59="","",INDEX(상세표[사번],$U59)&amp;"")</f>
        <v/>
      </c>
      <c r="K59">
        <f>IF($U59="","",INDEX(상세표[성명],$U59)&amp;"")</f>
        <v/>
      </c>
      <c r="L59">
        <f>IF($U59="","",INDEX(상세표[직위],$U59)&amp;"")</f>
        <v/>
      </c>
      <c r="M59">
        <f>IF($U59="","",IF(ISNUMBER(INDEX(상세표[근무일자],$U59)),TEXT(INDEX(상세표[근무일자],$U59),"yyyy-mm-dd"),INDEX(상세표[근무일자],$U59)&amp;""))</f>
        <v/>
      </c>
      <c r="N59">
        <f>IF($U59="","",IF(ISNUMBER(INDEX(상세표[시작],$U59)),TEXT(INDEX(상세표[시작],$U59),"yyyy-mm-dd hh:mm"),INDEX(상세표[시작],$U59)&amp;""))</f>
        <v/>
      </c>
      <c r="O59">
        <f>IF($U59="","",IF(ISNUMBER(INDEX(상세표[종료],$U59)),TEXT(INDEX(상세표[종료],$U59),"yyyy-mm-dd hh:mm"),INDEX(상세표[종료],$U59)&amp;""))</f>
        <v/>
      </c>
      <c r="P59">
        <f>IF($U59="","",INDEX(상세표[06~07시],$U59))</f>
        <v/>
      </c>
      <c r="Q59">
        <f>IF($U59="","",INDEX(상세표[07~18시],$U59))</f>
        <v/>
      </c>
      <c r="R59">
        <f>IF($U59="","",INDEX(상세표[18~22시],$U59))</f>
        <v/>
      </c>
      <c r="S59">
        <f>IF($U59="","",INDEX(상세표[22~06시],$U59))</f>
        <v/>
      </c>
      <c r="T59">
        <f>IF($U59="","",INDEX(상세표[기록 시간외],$U59))</f>
        <v/>
      </c>
      <c r="U59" s="4">
        <f>IFERROR(MATCH(54,상세표[발송순번],0),"")</f>
        <v/>
      </c>
    </row>
    <row r="60">
      <c r="A60">
        <f>IF($H60="","",INDEX(상세표[사번],$H60)&amp;"")</f>
        <v/>
      </c>
      <c r="B60">
        <f>IF($H60="","",INDEX(상세표[성명],$H60)&amp;"")</f>
        <v/>
      </c>
      <c r="C60">
        <f>IF($H60="","",INDEX(상세표[부서],$H60)&amp;"")</f>
        <v/>
      </c>
      <c r="D60">
        <f>IF($H60="","",IF(IFERROR(INDEX(합계표[직위(통합)],MATCH(INDEX(상세표[사번키],$H60),합계표[사번키],0))&amp;"","")="",INDEX(상세표[직위],$H60)&amp;"",IFERROR(INDEX(합계표[직위(통합)],MATCH(INDEX(상세표[사번키],$H60),합계표[사번키],0))&amp;"","")))</f>
        <v/>
      </c>
      <c r="E60">
        <f>IF($H60="","",COUNTIFS(상세표[사번키],INDEX(상세표[사번키],$H60),상세표[기록월],대상월키))</f>
        <v/>
      </c>
      <c r="F60">
        <f>IF($H60="","",SUMIFS(상세표[기록 시간외],상세표[사번키],INDEX(상세표[사번키],$H60),상세표[기록월],대상월키))</f>
        <v/>
      </c>
      <c r="G60">
        <f>IF($H60="","",SUMIFS(합계표[시스템 합계],합계표[사번키],INDEX(상세표[사번키],$H60)))</f>
        <v/>
      </c>
      <c r="H60" s="4">
        <f>IFERROR(MATCH(55,상세표[발송인원순번],0),"")</f>
        <v/>
      </c>
      <c r="J60">
        <f>IF($U60="","",INDEX(상세표[사번],$U60)&amp;"")</f>
        <v/>
      </c>
      <c r="K60">
        <f>IF($U60="","",INDEX(상세표[성명],$U60)&amp;"")</f>
        <v/>
      </c>
      <c r="L60">
        <f>IF($U60="","",INDEX(상세표[직위],$U60)&amp;"")</f>
        <v/>
      </c>
      <c r="M60">
        <f>IF($U60="","",IF(ISNUMBER(INDEX(상세표[근무일자],$U60)),TEXT(INDEX(상세표[근무일자],$U60),"yyyy-mm-dd"),INDEX(상세표[근무일자],$U60)&amp;""))</f>
        <v/>
      </c>
      <c r="N60">
        <f>IF($U60="","",IF(ISNUMBER(INDEX(상세표[시작],$U60)),TEXT(INDEX(상세표[시작],$U60),"yyyy-mm-dd hh:mm"),INDEX(상세표[시작],$U60)&amp;""))</f>
        <v/>
      </c>
      <c r="O60">
        <f>IF($U60="","",IF(ISNUMBER(INDEX(상세표[종료],$U60)),TEXT(INDEX(상세표[종료],$U60),"yyyy-mm-dd hh:mm"),INDEX(상세표[종료],$U60)&amp;""))</f>
        <v/>
      </c>
      <c r="P60">
        <f>IF($U60="","",INDEX(상세표[06~07시],$U60))</f>
        <v/>
      </c>
      <c r="Q60">
        <f>IF($U60="","",INDEX(상세표[07~18시],$U60))</f>
        <v/>
      </c>
      <c r="R60">
        <f>IF($U60="","",INDEX(상세표[18~22시],$U60))</f>
        <v/>
      </c>
      <c r="S60">
        <f>IF($U60="","",INDEX(상세표[22~06시],$U60))</f>
        <v/>
      </c>
      <c r="T60">
        <f>IF($U60="","",INDEX(상세표[기록 시간외],$U60))</f>
        <v/>
      </c>
      <c r="U60" s="4">
        <f>IFERROR(MATCH(55,상세표[발송순번],0),"")</f>
        <v/>
      </c>
    </row>
    <row r="61">
      <c r="A61">
        <f>IF($H61="","",INDEX(상세표[사번],$H61)&amp;"")</f>
        <v/>
      </c>
      <c r="B61">
        <f>IF($H61="","",INDEX(상세표[성명],$H61)&amp;"")</f>
        <v/>
      </c>
      <c r="C61">
        <f>IF($H61="","",INDEX(상세표[부서],$H61)&amp;"")</f>
        <v/>
      </c>
      <c r="D61">
        <f>IF($H61="","",IF(IFERROR(INDEX(합계표[직위(통합)],MATCH(INDEX(상세표[사번키],$H61),합계표[사번키],0))&amp;"","")="",INDEX(상세표[직위],$H61)&amp;"",IFERROR(INDEX(합계표[직위(통합)],MATCH(INDEX(상세표[사번키],$H61),합계표[사번키],0))&amp;"","")))</f>
        <v/>
      </c>
      <c r="E61">
        <f>IF($H61="","",COUNTIFS(상세표[사번키],INDEX(상세표[사번키],$H61),상세표[기록월],대상월키))</f>
        <v/>
      </c>
      <c r="F61">
        <f>IF($H61="","",SUMIFS(상세표[기록 시간외],상세표[사번키],INDEX(상세표[사번키],$H61),상세표[기록월],대상월키))</f>
        <v/>
      </c>
      <c r="G61">
        <f>IF($H61="","",SUMIFS(합계표[시스템 합계],합계표[사번키],INDEX(상세표[사번키],$H61)))</f>
        <v/>
      </c>
      <c r="H61" s="4">
        <f>IFERROR(MATCH(56,상세표[발송인원순번],0),"")</f>
        <v/>
      </c>
      <c r="J61">
        <f>IF($U61="","",INDEX(상세표[사번],$U61)&amp;"")</f>
        <v/>
      </c>
      <c r="K61">
        <f>IF($U61="","",INDEX(상세표[성명],$U61)&amp;"")</f>
        <v/>
      </c>
      <c r="L61">
        <f>IF($U61="","",INDEX(상세표[직위],$U61)&amp;"")</f>
        <v/>
      </c>
      <c r="M61">
        <f>IF($U61="","",IF(ISNUMBER(INDEX(상세표[근무일자],$U61)),TEXT(INDEX(상세표[근무일자],$U61),"yyyy-mm-dd"),INDEX(상세표[근무일자],$U61)&amp;""))</f>
        <v/>
      </c>
      <c r="N61">
        <f>IF($U61="","",IF(ISNUMBER(INDEX(상세표[시작],$U61)),TEXT(INDEX(상세표[시작],$U61),"yyyy-mm-dd hh:mm"),INDEX(상세표[시작],$U61)&amp;""))</f>
        <v/>
      </c>
      <c r="O61">
        <f>IF($U61="","",IF(ISNUMBER(INDEX(상세표[종료],$U61)),TEXT(INDEX(상세표[종료],$U61),"yyyy-mm-dd hh:mm"),INDEX(상세표[종료],$U61)&amp;""))</f>
        <v/>
      </c>
      <c r="P61">
        <f>IF($U61="","",INDEX(상세표[06~07시],$U61))</f>
        <v/>
      </c>
      <c r="Q61">
        <f>IF($U61="","",INDEX(상세표[07~18시],$U61))</f>
        <v/>
      </c>
      <c r="R61">
        <f>IF($U61="","",INDEX(상세표[18~22시],$U61))</f>
        <v/>
      </c>
      <c r="S61">
        <f>IF($U61="","",INDEX(상세표[22~06시],$U61))</f>
        <v/>
      </c>
      <c r="T61">
        <f>IF($U61="","",INDEX(상세표[기록 시간외],$U61))</f>
        <v/>
      </c>
      <c r="U61" s="4">
        <f>IFERROR(MATCH(56,상세표[발송순번],0),"")</f>
        <v/>
      </c>
    </row>
    <row r="62">
      <c r="A62">
        <f>IF($H62="","",INDEX(상세표[사번],$H62)&amp;"")</f>
        <v/>
      </c>
      <c r="B62">
        <f>IF($H62="","",INDEX(상세표[성명],$H62)&amp;"")</f>
        <v/>
      </c>
      <c r="C62">
        <f>IF($H62="","",INDEX(상세표[부서],$H62)&amp;"")</f>
        <v/>
      </c>
      <c r="D62">
        <f>IF($H62="","",IF(IFERROR(INDEX(합계표[직위(통합)],MATCH(INDEX(상세표[사번키],$H62),합계표[사번키],0))&amp;"","")="",INDEX(상세표[직위],$H62)&amp;"",IFERROR(INDEX(합계표[직위(통합)],MATCH(INDEX(상세표[사번키],$H62),합계표[사번키],0))&amp;"","")))</f>
        <v/>
      </c>
      <c r="E62">
        <f>IF($H62="","",COUNTIFS(상세표[사번키],INDEX(상세표[사번키],$H62),상세표[기록월],대상월키))</f>
        <v/>
      </c>
      <c r="F62">
        <f>IF($H62="","",SUMIFS(상세표[기록 시간외],상세표[사번키],INDEX(상세표[사번키],$H62),상세표[기록월],대상월키))</f>
        <v/>
      </c>
      <c r="G62">
        <f>IF($H62="","",SUMIFS(합계표[시스템 합계],합계표[사번키],INDEX(상세표[사번키],$H62)))</f>
        <v/>
      </c>
      <c r="H62" s="4">
        <f>IFERROR(MATCH(57,상세표[발송인원순번],0),"")</f>
        <v/>
      </c>
      <c r="J62">
        <f>IF($U62="","",INDEX(상세표[사번],$U62)&amp;"")</f>
        <v/>
      </c>
      <c r="K62">
        <f>IF($U62="","",INDEX(상세표[성명],$U62)&amp;"")</f>
        <v/>
      </c>
      <c r="L62">
        <f>IF($U62="","",INDEX(상세표[직위],$U62)&amp;"")</f>
        <v/>
      </c>
      <c r="M62">
        <f>IF($U62="","",IF(ISNUMBER(INDEX(상세표[근무일자],$U62)),TEXT(INDEX(상세표[근무일자],$U62),"yyyy-mm-dd"),INDEX(상세표[근무일자],$U62)&amp;""))</f>
        <v/>
      </c>
      <c r="N62">
        <f>IF($U62="","",IF(ISNUMBER(INDEX(상세표[시작],$U62)),TEXT(INDEX(상세표[시작],$U62),"yyyy-mm-dd hh:mm"),INDEX(상세표[시작],$U62)&amp;""))</f>
        <v/>
      </c>
      <c r="O62">
        <f>IF($U62="","",IF(ISNUMBER(INDEX(상세표[종료],$U62)),TEXT(INDEX(상세표[종료],$U62),"yyyy-mm-dd hh:mm"),INDEX(상세표[종료],$U62)&amp;""))</f>
        <v/>
      </c>
      <c r="P62">
        <f>IF($U62="","",INDEX(상세표[06~07시],$U62))</f>
        <v/>
      </c>
      <c r="Q62">
        <f>IF($U62="","",INDEX(상세표[07~18시],$U62))</f>
        <v/>
      </c>
      <c r="R62">
        <f>IF($U62="","",INDEX(상세표[18~22시],$U62))</f>
        <v/>
      </c>
      <c r="S62">
        <f>IF($U62="","",INDEX(상세표[22~06시],$U62))</f>
        <v/>
      </c>
      <c r="T62">
        <f>IF($U62="","",INDEX(상세표[기록 시간외],$U62))</f>
        <v/>
      </c>
      <c r="U62" s="4">
        <f>IFERROR(MATCH(57,상세표[발송순번],0),"")</f>
        <v/>
      </c>
    </row>
    <row r="63">
      <c r="A63">
        <f>IF($H63="","",INDEX(상세표[사번],$H63)&amp;"")</f>
        <v/>
      </c>
      <c r="B63">
        <f>IF($H63="","",INDEX(상세표[성명],$H63)&amp;"")</f>
        <v/>
      </c>
      <c r="C63">
        <f>IF($H63="","",INDEX(상세표[부서],$H63)&amp;"")</f>
        <v/>
      </c>
      <c r="D63">
        <f>IF($H63="","",IF(IFERROR(INDEX(합계표[직위(통합)],MATCH(INDEX(상세표[사번키],$H63),합계표[사번키],0))&amp;"","")="",INDEX(상세표[직위],$H63)&amp;"",IFERROR(INDEX(합계표[직위(통합)],MATCH(INDEX(상세표[사번키],$H63),합계표[사번키],0))&amp;"","")))</f>
        <v/>
      </c>
      <c r="E63">
        <f>IF($H63="","",COUNTIFS(상세표[사번키],INDEX(상세표[사번키],$H63),상세표[기록월],대상월키))</f>
        <v/>
      </c>
      <c r="F63">
        <f>IF($H63="","",SUMIFS(상세표[기록 시간외],상세표[사번키],INDEX(상세표[사번키],$H63),상세표[기록월],대상월키))</f>
        <v/>
      </c>
      <c r="G63">
        <f>IF($H63="","",SUMIFS(합계표[시스템 합계],합계표[사번키],INDEX(상세표[사번키],$H63)))</f>
        <v/>
      </c>
      <c r="H63" s="4">
        <f>IFERROR(MATCH(58,상세표[발송인원순번],0),"")</f>
        <v/>
      </c>
      <c r="J63">
        <f>IF($U63="","",INDEX(상세표[사번],$U63)&amp;"")</f>
        <v/>
      </c>
      <c r="K63">
        <f>IF($U63="","",INDEX(상세표[성명],$U63)&amp;"")</f>
        <v/>
      </c>
      <c r="L63">
        <f>IF($U63="","",INDEX(상세표[직위],$U63)&amp;"")</f>
        <v/>
      </c>
      <c r="M63">
        <f>IF($U63="","",IF(ISNUMBER(INDEX(상세표[근무일자],$U63)),TEXT(INDEX(상세표[근무일자],$U63),"yyyy-mm-dd"),INDEX(상세표[근무일자],$U63)&amp;""))</f>
        <v/>
      </c>
      <c r="N63">
        <f>IF($U63="","",IF(ISNUMBER(INDEX(상세표[시작],$U63)),TEXT(INDEX(상세표[시작],$U63),"yyyy-mm-dd hh:mm"),INDEX(상세표[시작],$U63)&amp;""))</f>
        <v/>
      </c>
      <c r="O63">
        <f>IF($U63="","",IF(ISNUMBER(INDEX(상세표[종료],$U63)),TEXT(INDEX(상세표[종료],$U63),"yyyy-mm-dd hh:mm"),INDEX(상세표[종료],$U63)&amp;""))</f>
        <v/>
      </c>
      <c r="P63">
        <f>IF($U63="","",INDEX(상세표[06~07시],$U63))</f>
        <v/>
      </c>
      <c r="Q63">
        <f>IF($U63="","",INDEX(상세표[07~18시],$U63))</f>
        <v/>
      </c>
      <c r="R63">
        <f>IF($U63="","",INDEX(상세표[18~22시],$U63))</f>
        <v/>
      </c>
      <c r="S63">
        <f>IF($U63="","",INDEX(상세표[22~06시],$U63))</f>
        <v/>
      </c>
      <c r="T63">
        <f>IF($U63="","",INDEX(상세표[기록 시간외],$U63))</f>
        <v/>
      </c>
      <c r="U63" s="4">
        <f>IFERROR(MATCH(58,상세표[발송순번],0),"")</f>
        <v/>
      </c>
    </row>
    <row r="64">
      <c r="A64">
        <f>IF($H64="","",INDEX(상세표[사번],$H64)&amp;"")</f>
        <v/>
      </c>
      <c r="B64">
        <f>IF($H64="","",INDEX(상세표[성명],$H64)&amp;"")</f>
        <v/>
      </c>
      <c r="C64">
        <f>IF($H64="","",INDEX(상세표[부서],$H64)&amp;"")</f>
        <v/>
      </c>
      <c r="D64">
        <f>IF($H64="","",IF(IFERROR(INDEX(합계표[직위(통합)],MATCH(INDEX(상세표[사번키],$H64),합계표[사번키],0))&amp;"","")="",INDEX(상세표[직위],$H64)&amp;"",IFERROR(INDEX(합계표[직위(통합)],MATCH(INDEX(상세표[사번키],$H64),합계표[사번키],0))&amp;"","")))</f>
        <v/>
      </c>
      <c r="E64">
        <f>IF($H64="","",COUNTIFS(상세표[사번키],INDEX(상세표[사번키],$H64),상세표[기록월],대상월키))</f>
        <v/>
      </c>
      <c r="F64">
        <f>IF($H64="","",SUMIFS(상세표[기록 시간외],상세표[사번키],INDEX(상세표[사번키],$H64),상세표[기록월],대상월키))</f>
        <v/>
      </c>
      <c r="G64">
        <f>IF($H64="","",SUMIFS(합계표[시스템 합계],합계표[사번키],INDEX(상세표[사번키],$H64)))</f>
        <v/>
      </c>
      <c r="H64" s="4">
        <f>IFERROR(MATCH(59,상세표[발송인원순번],0),"")</f>
        <v/>
      </c>
      <c r="J64">
        <f>IF($U64="","",INDEX(상세표[사번],$U64)&amp;"")</f>
        <v/>
      </c>
      <c r="K64">
        <f>IF($U64="","",INDEX(상세표[성명],$U64)&amp;"")</f>
        <v/>
      </c>
      <c r="L64">
        <f>IF($U64="","",INDEX(상세표[직위],$U64)&amp;"")</f>
        <v/>
      </c>
      <c r="M64">
        <f>IF($U64="","",IF(ISNUMBER(INDEX(상세표[근무일자],$U64)),TEXT(INDEX(상세표[근무일자],$U64),"yyyy-mm-dd"),INDEX(상세표[근무일자],$U64)&amp;""))</f>
        <v/>
      </c>
      <c r="N64">
        <f>IF($U64="","",IF(ISNUMBER(INDEX(상세표[시작],$U64)),TEXT(INDEX(상세표[시작],$U64),"yyyy-mm-dd hh:mm"),INDEX(상세표[시작],$U64)&amp;""))</f>
        <v/>
      </c>
      <c r="O64">
        <f>IF($U64="","",IF(ISNUMBER(INDEX(상세표[종료],$U64)),TEXT(INDEX(상세표[종료],$U64),"yyyy-mm-dd hh:mm"),INDEX(상세표[종료],$U64)&amp;""))</f>
        <v/>
      </c>
      <c r="P64">
        <f>IF($U64="","",INDEX(상세표[06~07시],$U64))</f>
        <v/>
      </c>
      <c r="Q64">
        <f>IF($U64="","",INDEX(상세표[07~18시],$U64))</f>
        <v/>
      </c>
      <c r="R64">
        <f>IF($U64="","",INDEX(상세표[18~22시],$U64))</f>
        <v/>
      </c>
      <c r="S64">
        <f>IF($U64="","",INDEX(상세표[22~06시],$U64))</f>
        <v/>
      </c>
      <c r="T64">
        <f>IF($U64="","",INDEX(상세표[기록 시간외],$U64))</f>
        <v/>
      </c>
      <c r="U64" s="4">
        <f>IFERROR(MATCH(59,상세표[발송순번],0),"")</f>
        <v/>
      </c>
    </row>
    <row r="65">
      <c r="A65">
        <f>IF($H65="","",INDEX(상세표[사번],$H65)&amp;"")</f>
        <v/>
      </c>
      <c r="B65">
        <f>IF($H65="","",INDEX(상세표[성명],$H65)&amp;"")</f>
        <v/>
      </c>
      <c r="C65">
        <f>IF($H65="","",INDEX(상세표[부서],$H65)&amp;"")</f>
        <v/>
      </c>
      <c r="D65">
        <f>IF($H65="","",IF(IFERROR(INDEX(합계표[직위(통합)],MATCH(INDEX(상세표[사번키],$H65),합계표[사번키],0))&amp;"","")="",INDEX(상세표[직위],$H65)&amp;"",IFERROR(INDEX(합계표[직위(통합)],MATCH(INDEX(상세표[사번키],$H65),합계표[사번키],0))&amp;"","")))</f>
        <v/>
      </c>
      <c r="E65">
        <f>IF($H65="","",COUNTIFS(상세표[사번키],INDEX(상세표[사번키],$H65),상세표[기록월],대상월키))</f>
        <v/>
      </c>
      <c r="F65">
        <f>IF($H65="","",SUMIFS(상세표[기록 시간외],상세표[사번키],INDEX(상세표[사번키],$H65),상세표[기록월],대상월키))</f>
        <v/>
      </c>
      <c r="G65">
        <f>IF($H65="","",SUMIFS(합계표[시스템 합계],합계표[사번키],INDEX(상세표[사번키],$H65)))</f>
        <v/>
      </c>
      <c r="H65" s="4">
        <f>IFERROR(MATCH(60,상세표[발송인원순번],0),"")</f>
        <v/>
      </c>
      <c r="J65">
        <f>IF($U65="","",INDEX(상세표[사번],$U65)&amp;"")</f>
        <v/>
      </c>
      <c r="K65">
        <f>IF($U65="","",INDEX(상세표[성명],$U65)&amp;"")</f>
        <v/>
      </c>
      <c r="L65">
        <f>IF($U65="","",INDEX(상세표[직위],$U65)&amp;"")</f>
        <v/>
      </c>
      <c r="M65">
        <f>IF($U65="","",IF(ISNUMBER(INDEX(상세표[근무일자],$U65)),TEXT(INDEX(상세표[근무일자],$U65),"yyyy-mm-dd"),INDEX(상세표[근무일자],$U65)&amp;""))</f>
        <v/>
      </c>
      <c r="N65">
        <f>IF($U65="","",IF(ISNUMBER(INDEX(상세표[시작],$U65)),TEXT(INDEX(상세표[시작],$U65),"yyyy-mm-dd hh:mm"),INDEX(상세표[시작],$U65)&amp;""))</f>
        <v/>
      </c>
      <c r="O65">
        <f>IF($U65="","",IF(ISNUMBER(INDEX(상세표[종료],$U65)),TEXT(INDEX(상세표[종료],$U65),"yyyy-mm-dd hh:mm"),INDEX(상세표[종료],$U65)&amp;""))</f>
        <v/>
      </c>
      <c r="P65">
        <f>IF($U65="","",INDEX(상세표[06~07시],$U65))</f>
        <v/>
      </c>
      <c r="Q65">
        <f>IF($U65="","",INDEX(상세표[07~18시],$U65))</f>
        <v/>
      </c>
      <c r="R65">
        <f>IF($U65="","",INDEX(상세표[18~22시],$U65))</f>
        <v/>
      </c>
      <c r="S65">
        <f>IF($U65="","",INDEX(상세표[22~06시],$U65))</f>
        <v/>
      </c>
      <c r="T65">
        <f>IF($U65="","",INDEX(상세표[기록 시간외],$U65))</f>
        <v/>
      </c>
      <c r="U65" s="4">
        <f>IFERROR(MATCH(60,상세표[발송순번],0),"")</f>
        <v/>
      </c>
    </row>
    <row r="66">
      <c r="A66">
        <f>IF($H66="","",INDEX(상세표[사번],$H66)&amp;"")</f>
        <v/>
      </c>
      <c r="B66">
        <f>IF($H66="","",INDEX(상세표[성명],$H66)&amp;"")</f>
        <v/>
      </c>
      <c r="C66">
        <f>IF($H66="","",INDEX(상세표[부서],$H66)&amp;"")</f>
        <v/>
      </c>
      <c r="D66">
        <f>IF($H66="","",IF(IFERROR(INDEX(합계표[직위(통합)],MATCH(INDEX(상세표[사번키],$H66),합계표[사번키],0))&amp;"","")="",INDEX(상세표[직위],$H66)&amp;"",IFERROR(INDEX(합계표[직위(통합)],MATCH(INDEX(상세표[사번키],$H66),합계표[사번키],0))&amp;"","")))</f>
        <v/>
      </c>
      <c r="E66">
        <f>IF($H66="","",COUNTIFS(상세표[사번키],INDEX(상세표[사번키],$H66),상세표[기록월],대상월키))</f>
        <v/>
      </c>
      <c r="F66">
        <f>IF($H66="","",SUMIFS(상세표[기록 시간외],상세표[사번키],INDEX(상세표[사번키],$H66),상세표[기록월],대상월키))</f>
        <v/>
      </c>
      <c r="G66">
        <f>IF($H66="","",SUMIFS(합계표[시스템 합계],합계표[사번키],INDEX(상세표[사번키],$H66)))</f>
        <v/>
      </c>
      <c r="H66" s="4">
        <f>IFERROR(MATCH(61,상세표[발송인원순번],0),"")</f>
        <v/>
      </c>
      <c r="J66">
        <f>IF($U66="","",INDEX(상세표[사번],$U66)&amp;"")</f>
        <v/>
      </c>
      <c r="K66">
        <f>IF($U66="","",INDEX(상세표[성명],$U66)&amp;"")</f>
        <v/>
      </c>
      <c r="L66">
        <f>IF($U66="","",INDEX(상세표[직위],$U66)&amp;"")</f>
        <v/>
      </c>
      <c r="M66">
        <f>IF($U66="","",IF(ISNUMBER(INDEX(상세표[근무일자],$U66)),TEXT(INDEX(상세표[근무일자],$U66),"yyyy-mm-dd"),INDEX(상세표[근무일자],$U66)&amp;""))</f>
        <v/>
      </c>
      <c r="N66">
        <f>IF($U66="","",IF(ISNUMBER(INDEX(상세표[시작],$U66)),TEXT(INDEX(상세표[시작],$U66),"yyyy-mm-dd hh:mm"),INDEX(상세표[시작],$U66)&amp;""))</f>
        <v/>
      </c>
      <c r="O66">
        <f>IF($U66="","",IF(ISNUMBER(INDEX(상세표[종료],$U66)),TEXT(INDEX(상세표[종료],$U66),"yyyy-mm-dd hh:mm"),INDEX(상세표[종료],$U66)&amp;""))</f>
        <v/>
      </c>
      <c r="P66">
        <f>IF($U66="","",INDEX(상세표[06~07시],$U66))</f>
        <v/>
      </c>
      <c r="Q66">
        <f>IF($U66="","",INDEX(상세표[07~18시],$U66))</f>
        <v/>
      </c>
      <c r="R66">
        <f>IF($U66="","",INDEX(상세표[18~22시],$U66))</f>
        <v/>
      </c>
      <c r="S66">
        <f>IF($U66="","",INDEX(상세표[22~06시],$U66))</f>
        <v/>
      </c>
      <c r="T66">
        <f>IF($U66="","",INDEX(상세표[기록 시간외],$U66))</f>
        <v/>
      </c>
      <c r="U66" s="4">
        <f>IFERROR(MATCH(61,상세표[발송순번],0),"")</f>
        <v/>
      </c>
    </row>
    <row r="67">
      <c r="A67">
        <f>IF($H67="","",INDEX(상세표[사번],$H67)&amp;"")</f>
        <v/>
      </c>
      <c r="B67">
        <f>IF($H67="","",INDEX(상세표[성명],$H67)&amp;"")</f>
        <v/>
      </c>
      <c r="C67">
        <f>IF($H67="","",INDEX(상세표[부서],$H67)&amp;"")</f>
        <v/>
      </c>
      <c r="D67">
        <f>IF($H67="","",IF(IFERROR(INDEX(합계표[직위(통합)],MATCH(INDEX(상세표[사번키],$H67),합계표[사번키],0))&amp;"","")="",INDEX(상세표[직위],$H67)&amp;"",IFERROR(INDEX(합계표[직위(통합)],MATCH(INDEX(상세표[사번키],$H67),합계표[사번키],0))&amp;"","")))</f>
        <v/>
      </c>
      <c r="E67">
        <f>IF($H67="","",COUNTIFS(상세표[사번키],INDEX(상세표[사번키],$H67),상세표[기록월],대상월키))</f>
        <v/>
      </c>
      <c r="F67">
        <f>IF($H67="","",SUMIFS(상세표[기록 시간외],상세표[사번키],INDEX(상세표[사번키],$H67),상세표[기록월],대상월키))</f>
        <v/>
      </c>
      <c r="G67">
        <f>IF($H67="","",SUMIFS(합계표[시스템 합계],합계표[사번키],INDEX(상세표[사번키],$H67)))</f>
        <v/>
      </c>
      <c r="H67" s="4">
        <f>IFERROR(MATCH(62,상세표[발송인원순번],0),"")</f>
        <v/>
      </c>
      <c r="J67">
        <f>IF($U67="","",INDEX(상세표[사번],$U67)&amp;"")</f>
        <v/>
      </c>
      <c r="K67">
        <f>IF($U67="","",INDEX(상세표[성명],$U67)&amp;"")</f>
        <v/>
      </c>
      <c r="L67">
        <f>IF($U67="","",INDEX(상세표[직위],$U67)&amp;"")</f>
        <v/>
      </c>
      <c r="M67">
        <f>IF($U67="","",IF(ISNUMBER(INDEX(상세표[근무일자],$U67)),TEXT(INDEX(상세표[근무일자],$U67),"yyyy-mm-dd"),INDEX(상세표[근무일자],$U67)&amp;""))</f>
        <v/>
      </c>
      <c r="N67">
        <f>IF($U67="","",IF(ISNUMBER(INDEX(상세표[시작],$U67)),TEXT(INDEX(상세표[시작],$U67),"yyyy-mm-dd hh:mm"),INDEX(상세표[시작],$U67)&amp;""))</f>
        <v/>
      </c>
      <c r="O67">
        <f>IF($U67="","",IF(ISNUMBER(INDEX(상세표[종료],$U67)),TEXT(INDEX(상세표[종료],$U67),"yyyy-mm-dd hh:mm"),INDEX(상세표[종료],$U67)&amp;""))</f>
        <v/>
      </c>
      <c r="P67">
        <f>IF($U67="","",INDEX(상세표[06~07시],$U67))</f>
        <v/>
      </c>
      <c r="Q67">
        <f>IF($U67="","",INDEX(상세표[07~18시],$U67))</f>
        <v/>
      </c>
      <c r="R67">
        <f>IF($U67="","",INDEX(상세표[18~22시],$U67))</f>
        <v/>
      </c>
      <c r="S67">
        <f>IF($U67="","",INDEX(상세표[22~06시],$U67))</f>
        <v/>
      </c>
      <c r="T67">
        <f>IF($U67="","",INDEX(상세표[기록 시간외],$U67))</f>
        <v/>
      </c>
      <c r="U67" s="4">
        <f>IFERROR(MATCH(62,상세표[발송순번],0),"")</f>
        <v/>
      </c>
    </row>
    <row r="68">
      <c r="A68">
        <f>IF($H68="","",INDEX(상세표[사번],$H68)&amp;"")</f>
        <v/>
      </c>
      <c r="B68">
        <f>IF($H68="","",INDEX(상세표[성명],$H68)&amp;"")</f>
        <v/>
      </c>
      <c r="C68">
        <f>IF($H68="","",INDEX(상세표[부서],$H68)&amp;"")</f>
        <v/>
      </c>
      <c r="D68">
        <f>IF($H68="","",IF(IFERROR(INDEX(합계표[직위(통합)],MATCH(INDEX(상세표[사번키],$H68),합계표[사번키],0))&amp;"","")="",INDEX(상세표[직위],$H68)&amp;"",IFERROR(INDEX(합계표[직위(통합)],MATCH(INDEX(상세표[사번키],$H68),합계표[사번키],0))&amp;"","")))</f>
        <v/>
      </c>
      <c r="E68">
        <f>IF($H68="","",COUNTIFS(상세표[사번키],INDEX(상세표[사번키],$H68),상세표[기록월],대상월키))</f>
        <v/>
      </c>
      <c r="F68">
        <f>IF($H68="","",SUMIFS(상세표[기록 시간외],상세표[사번키],INDEX(상세표[사번키],$H68),상세표[기록월],대상월키))</f>
        <v/>
      </c>
      <c r="G68">
        <f>IF($H68="","",SUMIFS(합계표[시스템 합계],합계표[사번키],INDEX(상세표[사번키],$H68)))</f>
        <v/>
      </c>
      <c r="H68" s="4">
        <f>IFERROR(MATCH(63,상세표[발송인원순번],0),"")</f>
        <v/>
      </c>
      <c r="J68">
        <f>IF($U68="","",INDEX(상세표[사번],$U68)&amp;"")</f>
        <v/>
      </c>
      <c r="K68">
        <f>IF($U68="","",INDEX(상세표[성명],$U68)&amp;"")</f>
        <v/>
      </c>
      <c r="L68">
        <f>IF($U68="","",INDEX(상세표[직위],$U68)&amp;"")</f>
        <v/>
      </c>
      <c r="M68">
        <f>IF($U68="","",IF(ISNUMBER(INDEX(상세표[근무일자],$U68)),TEXT(INDEX(상세표[근무일자],$U68),"yyyy-mm-dd"),INDEX(상세표[근무일자],$U68)&amp;""))</f>
        <v/>
      </c>
      <c r="N68">
        <f>IF($U68="","",IF(ISNUMBER(INDEX(상세표[시작],$U68)),TEXT(INDEX(상세표[시작],$U68),"yyyy-mm-dd hh:mm"),INDEX(상세표[시작],$U68)&amp;""))</f>
        <v/>
      </c>
      <c r="O68">
        <f>IF($U68="","",IF(ISNUMBER(INDEX(상세표[종료],$U68)),TEXT(INDEX(상세표[종료],$U68),"yyyy-mm-dd hh:mm"),INDEX(상세표[종료],$U68)&amp;""))</f>
        <v/>
      </c>
      <c r="P68">
        <f>IF($U68="","",INDEX(상세표[06~07시],$U68))</f>
        <v/>
      </c>
      <c r="Q68">
        <f>IF($U68="","",INDEX(상세표[07~18시],$U68))</f>
        <v/>
      </c>
      <c r="R68">
        <f>IF($U68="","",INDEX(상세표[18~22시],$U68))</f>
        <v/>
      </c>
      <c r="S68">
        <f>IF($U68="","",INDEX(상세표[22~06시],$U68))</f>
        <v/>
      </c>
      <c r="T68">
        <f>IF($U68="","",INDEX(상세표[기록 시간외],$U68))</f>
        <v/>
      </c>
      <c r="U68" s="4">
        <f>IFERROR(MATCH(63,상세표[발송순번],0),"")</f>
        <v/>
      </c>
    </row>
    <row r="69">
      <c r="A69">
        <f>IF($H69="","",INDEX(상세표[사번],$H69)&amp;"")</f>
        <v/>
      </c>
      <c r="B69">
        <f>IF($H69="","",INDEX(상세표[성명],$H69)&amp;"")</f>
        <v/>
      </c>
      <c r="C69">
        <f>IF($H69="","",INDEX(상세표[부서],$H69)&amp;"")</f>
        <v/>
      </c>
      <c r="D69">
        <f>IF($H69="","",IF(IFERROR(INDEX(합계표[직위(통합)],MATCH(INDEX(상세표[사번키],$H69),합계표[사번키],0))&amp;"","")="",INDEX(상세표[직위],$H69)&amp;"",IFERROR(INDEX(합계표[직위(통합)],MATCH(INDEX(상세표[사번키],$H69),합계표[사번키],0))&amp;"","")))</f>
        <v/>
      </c>
      <c r="E69">
        <f>IF($H69="","",COUNTIFS(상세표[사번키],INDEX(상세표[사번키],$H69),상세표[기록월],대상월키))</f>
        <v/>
      </c>
      <c r="F69">
        <f>IF($H69="","",SUMIFS(상세표[기록 시간외],상세표[사번키],INDEX(상세표[사번키],$H69),상세표[기록월],대상월키))</f>
        <v/>
      </c>
      <c r="G69">
        <f>IF($H69="","",SUMIFS(합계표[시스템 합계],합계표[사번키],INDEX(상세표[사번키],$H69)))</f>
        <v/>
      </c>
      <c r="H69" s="4">
        <f>IFERROR(MATCH(64,상세표[발송인원순번],0),"")</f>
        <v/>
      </c>
      <c r="J69">
        <f>IF($U69="","",INDEX(상세표[사번],$U69)&amp;"")</f>
        <v/>
      </c>
      <c r="K69">
        <f>IF($U69="","",INDEX(상세표[성명],$U69)&amp;"")</f>
        <v/>
      </c>
      <c r="L69">
        <f>IF($U69="","",INDEX(상세표[직위],$U69)&amp;"")</f>
        <v/>
      </c>
      <c r="M69">
        <f>IF($U69="","",IF(ISNUMBER(INDEX(상세표[근무일자],$U69)),TEXT(INDEX(상세표[근무일자],$U69),"yyyy-mm-dd"),INDEX(상세표[근무일자],$U69)&amp;""))</f>
        <v/>
      </c>
      <c r="N69">
        <f>IF($U69="","",IF(ISNUMBER(INDEX(상세표[시작],$U69)),TEXT(INDEX(상세표[시작],$U69),"yyyy-mm-dd hh:mm"),INDEX(상세표[시작],$U69)&amp;""))</f>
        <v/>
      </c>
      <c r="O69">
        <f>IF($U69="","",IF(ISNUMBER(INDEX(상세표[종료],$U69)),TEXT(INDEX(상세표[종료],$U69),"yyyy-mm-dd hh:mm"),INDEX(상세표[종료],$U69)&amp;""))</f>
        <v/>
      </c>
      <c r="P69">
        <f>IF($U69="","",INDEX(상세표[06~07시],$U69))</f>
        <v/>
      </c>
      <c r="Q69">
        <f>IF($U69="","",INDEX(상세표[07~18시],$U69))</f>
        <v/>
      </c>
      <c r="R69">
        <f>IF($U69="","",INDEX(상세표[18~22시],$U69))</f>
        <v/>
      </c>
      <c r="S69">
        <f>IF($U69="","",INDEX(상세표[22~06시],$U69))</f>
        <v/>
      </c>
      <c r="T69">
        <f>IF($U69="","",INDEX(상세표[기록 시간외],$U69))</f>
        <v/>
      </c>
      <c r="U69" s="4">
        <f>IFERROR(MATCH(64,상세표[발송순번],0),"")</f>
        <v/>
      </c>
    </row>
    <row r="70">
      <c r="A70">
        <f>IF($H70="","",INDEX(상세표[사번],$H70)&amp;"")</f>
        <v/>
      </c>
      <c r="B70">
        <f>IF($H70="","",INDEX(상세표[성명],$H70)&amp;"")</f>
        <v/>
      </c>
      <c r="C70">
        <f>IF($H70="","",INDEX(상세표[부서],$H70)&amp;"")</f>
        <v/>
      </c>
      <c r="D70">
        <f>IF($H70="","",IF(IFERROR(INDEX(합계표[직위(통합)],MATCH(INDEX(상세표[사번키],$H70),합계표[사번키],0))&amp;"","")="",INDEX(상세표[직위],$H70)&amp;"",IFERROR(INDEX(합계표[직위(통합)],MATCH(INDEX(상세표[사번키],$H70),합계표[사번키],0))&amp;"","")))</f>
        <v/>
      </c>
      <c r="E70">
        <f>IF($H70="","",COUNTIFS(상세표[사번키],INDEX(상세표[사번키],$H70),상세표[기록월],대상월키))</f>
        <v/>
      </c>
      <c r="F70">
        <f>IF($H70="","",SUMIFS(상세표[기록 시간외],상세표[사번키],INDEX(상세표[사번키],$H70),상세표[기록월],대상월키))</f>
        <v/>
      </c>
      <c r="G70">
        <f>IF($H70="","",SUMIFS(합계표[시스템 합계],합계표[사번키],INDEX(상세표[사번키],$H70)))</f>
        <v/>
      </c>
      <c r="H70" s="4">
        <f>IFERROR(MATCH(65,상세표[발송인원순번],0),"")</f>
        <v/>
      </c>
      <c r="J70">
        <f>IF($U70="","",INDEX(상세표[사번],$U70)&amp;"")</f>
        <v/>
      </c>
      <c r="K70">
        <f>IF($U70="","",INDEX(상세표[성명],$U70)&amp;"")</f>
        <v/>
      </c>
      <c r="L70">
        <f>IF($U70="","",INDEX(상세표[직위],$U70)&amp;"")</f>
        <v/>
      </c>
      <c r="M70">
        <f>IF($U70="","",IF(ISNUMBER(INDEX(상세표[근무일자],$U70)),TEXT(INDEX(상세표[근무일자],$U70),"yyyy-mm-dd"),INDEX(상세표[근무일자],$U70)&amp;""))</f>
        <v/>
      </c>
      <c r="N70">
        <f>IF($U70="","",IF(ISNUMBER(INDEX(상세표[시작],$U70)),TEXT(INDEX(상세표[시작],$U70),"yyyy-mm-dd hh:mm"),INDEX(상세표[시작],$U70)&amp;""))</f>
        <v/>
      </c>
      <c r="O70">
        <f>IF($U70="","",IF(ISNUMBER(INDEX(상세표[종료],$U70)),TEXT(INDEX(상세표[종료],$U70),"yyyy-mm-dd hh:mm"),INDEX(상세표[종료],$U70)&amp;""))</f>
        <v/>
      </c>
      <c r="P70">
        <f>IF($U70="","",INDEX(상세표[06~07시],$U70))</f>
        <v/>
      </c>
      <c r="Q70">
        <f>IF($U70="","",INDEX(상세표[07~18시],$U70))</f>
        <v/>
      </c>
      <c r="R70">
        <f>IF($U70="","",INDEX(상세표[18~22시],$U70))</f>
        <v/>
      </c>
      <c r="S70">
        <f>IF($U70="","",INDEX(상세표[22~06시],$U70))</f>
        <v/>
      </c>
      <c r="T70">
        <f>IF($U70="","",INDEX(상세표[기록 시간외],$U70))</f>
        <v/>
      </c>
      <c r="U70" s="4">
        <f>IFERROR(MATCH(65,상세표[발송순번],0),"")</f>
        <v/>
      </c>
    </row>
    <row r="71">
      <c r="A71">
        <f>IF($H71="","",INDEX(상세표[사번],$H71)&amp;"")</f>
        <v/>
      </c>
      <c r="B71">
        <f>IF($H71="","",INDEX(상세표[성명],$H71)&amp;"")</f>
        <v/>
      </c>
      <c r="C71">
        <f>IF($H71="","",INDEX(상세표[부서],$H71)&amp;"")</f>
        <v/>
      </c>
      <c r="D71">
        <f>IF($H71="","",IF(IFERROR(INDEX(합계표[직위(통합)],MATCH(INDEX(상세표[사번키],$H71),합계표[사번키],0))&amp;"","")="",INDEX(상세표[직위],$H71)&amp;"",IFERROR(INDEX(합계표[직위(통합)],MATCH(INDEX(상세표[사번키],$H71),합계표[사번키],0))&amp;"","")))</f>
        <v/>
      </c>
      <c r="E71">
        <f>IF($H71="","",COUNTIFS(상세표[사번키],INDEX(상세표[사번키],$H71),상세표[기록월],대상월키))</f>
        <v/>
      </c>
      <c r="F71">
        <f>IF($H71="","",SUMIFS(상세표[기록 시간외],상세표[사번키],INDEX(상세표[사번키],$H71),상세표[기록월],대상월키))</f>
        <v/>
      </c>
      <c r="G71">
        <f>IF($H71="","",SUMIFS(합계표[시스템 합계],합계표[사번키],INDEX(상세표[사번키],$H71)))</f>
        <v/>
      </c>
      <c r="H71" s="4">
        <f>IFERROR(MATCH(66,상세표[발송인원순번],0),"")</f>
        <v/>
      </c>
      <c r="J71">
        <f>IF($U71="","",INDEX(상세표[사번],$U71)&amp;"")</f>
        <v/>
      </c>
      <c r="K71">
        <f>IF($U71="","",INDEX(상세표[성명],$U71)&amp;"")</f>
        <v/>
      </c>
      <c r="L71">
        <f>IF($U71="","",INDEX(상세표[직위],$U71)&amp;"")</f>
        <v/>
      </c>
      <c r="M71">
        <f>IF($U71="","",IF(ISNUMBER(INDEX(상세표[근무일자],$U71)),TEXT(INDEX(상세표[근무일자],$U71),"yyyy-mm-dd"),INDEX(상세표[근무일자],$U71)&amp;""))</f>
        <v/>
      </c>
      <c r="N71">
        <f>IF($U71="","",IF(ISNUMBER(INDEX(상세표[시작],$U71)),TEXT(INDEX(상세표[시작],$U71),"yyyy-mm-dd hh:mm"),INDEX(상세표[시작],$U71)&amp;""))</f>
        <v/>
      </c>
      <c r="O71">
        <f>IF($U71="","",IF(ISNUMBER(INDEX(상세표[종료],$U71)),TEXT(INDEX(상세표[종료],$U71),"yyyy-mm-dd hh:mm"),INDEX(상세표[종료],$U71)&amp;""))</f>
        <v/>
      </c>
      <c r="P71">
        <f>IF($U71="","",INDEX(상세표[06~07시],$U71))</f>
        <v/>
      </c>
      <c r="Q71">
        <f>IF($U71="","",INDEX(상세표[07~18시],$U71))</f>
        <v/>
      </c>
      <c r="R71">
        <f>IF($U71="","",INDEX(상세표[18~22시],$U71))</f>
        <v/>
      </c>
      <c r="S71">
        <f>IF($U71="","",INDEX(상세표[22~06시],$U71))</f>
        <v/>
      </c>
      <c r="T71">
        <f>IF($U71="","",INDEX(상세표[기록 시간외],$U71))</f>
        <v/>
      </c>
      <c r="U71" s="4">
        <f>IFERROR(MATCH(66,상세표[발송순번],0),"")</f>
        <v/>
      </c>
    </row>
    <row r="72">
      <c r="A72">
        <f>IF($H72="","",INDEX(상세표[사번],$H72)&amp;"")</f>
        <v/>
      </c>
      <c r="B72">
        <f>IF($H72="","",INDEX(상세표[성명],$H72)&amp;"")</f>
        <v/>
      </c>
      <c r="C72">
        <f>IF($H72="","",INDEX(상세표[부서],$H72)&amp;"")</f>
        <v/>
      </c>
      <c r="D72">
        <f>IF($H72="","",IF(IFERROR(INDEX(합계표[직위(통합)],MATCH(INDEX(상세표[사번키],$H72),합계표[사번키],0))&amp;"","")="",INDEX(상세표[직위],$H72)&amp;"",IFERROR(INDEX(합계표[직위(통합)],MATCH(INDEX(상세표[사번키],$H72),합계표[사번키],0))&amp;"","")))</f>
        <v/>
      </c>
      <c r="E72">
        <f>IF($H72="","",COUNTIFS(상세표[사번키],INDEX(상세표[사번키],$H72),상세표[기록월],대상월키))</f>
        <v/>
      </c>
      <c r="F72">
        <f>IF($H72="","",SUMIFS(상세표[기록 시간외],상세표[사번키],INDEX(상세표[사번키],$H72),상세표[기록월],대상월키))</f>
        <v/>
      </c>
      <c r="G72">
        <f>IF($H72="","",SUMIFS(합계표[시스템 합계],합계표[사번키],INDEX(상세표[사번키],$H72)))</f>
        <v/>
      </c>
      <c r="H72" s="4">
        <f>IFERROR(MATCH(67,상세표[발송인원순번],0),"")</f>
        <v/>
      </c>
      <c r="J72">
        <f>IF($U72="","",INDEX(상세표[사번],$U72)&amp;"")</f>
        <v/>
      </c>
      <c r="K72">
        <f>IF($U72="","",INDEX(상세표[성명],$U72)&amp;"")</f>
        <v/>
      </c>
      <c r="L72">
        <f>IF($U72="","",INDEX(상세표[직위],$U72)&amp;"")</f>
        <v/>
      </c>
      <c r="M72">
        <f>IF($U72="","",IF(ISNUMBER(INDEX(상세표[근무일자],$U72)),TEXT(INDEX(상세표[근무일자],$U72),"yyyy-mm-dd"),INDEX(상세표[근무일자],$U72)&amp;""))</f>
        <v/>
      </c>
      <c r="N72">
        <f>IF($U72="","",IF(ISNUMBER(INDEX(상세표[시작],$U72)),TEXT(INDEX(상세표[시작],$U72),"yyyy-mm-dd hh:mm"),INDEX(상세표[시작],$U72)&amp;""))</f>
        <v/>
      </c>
      <c r="O72">
        <f>IF($U72="","",IF(ISNUMBER(INDEX(상세표[종료],$U72)),TEXT(INDEX(상세표[종료],$U72),"yyyy-mm-dd hh:mm"),INDEX(상세표[종료],$U72)&amp;""))</f>
        <v/>
      </c>
      <c r="P72">
        <f>IF($U72="","",INDEX(상세표[06~07시],$U72))</f>
        <v/>
      </c>
      <c r="Q72">
        <f>IF($U72="","",INDEX(상세표[07~18시],$U72))</f>
        <v/>
      </c>
      <c r="R72">
        <f>IF($U72="","",INDEX(상세표[18~22시],$U72))</f>
        <v/>
      </c>
      <c r="S72">
        <f>IF($U72="","",INDEX(상세표[22~06시],$U72))</f>
        <v/>
      </c>
      <c r="T72">
        <f>IF($U72="","",INDEX(상세표[기록 시간외],$U72))</f>
        <v/>
      </c>
      <c r="U72" s="4">
        <f>IFERROR(MATCH(67,상세표[발송순번],0),"")</f>
        <v/>
      </c>
    </row>
    <row r="73">
      <c r="A73">
        <f>IF($H73="","",INDEX(상세표[사번],$H73)&amp;"")</f>
        <v/>
      </c>
      <c r="B73">
        <f>IF($H73="","",INDEX(상세표[성명],$H73)&amp;"")</f>
        <v/>
      </c>
      <c r="C73">
        <f>IF($H73="","",INDEX(상세표[부서],$H73)&amp;"")</f>
        <v/>
      </c>
      <c r="D73">
        <f>IF($H73="","",IF(IFERROR(INDEX(합계표[직위(통합)],MATCH(INDEX(상세표[사번키],$H73),합계표[사번키],0))&amp;"","")="",INDEX(상세표[직위],$H73)&amp;"",IFERROR(INDEX(합계표[직위(통합)],MATCH(INDEX(상세표[사번키],$H73),합계표[사번키],0))&amp;"","")))</f>
        <v/>
      </c>
      <c r="E73">
        <f>IF($H73="","",COUNTIFS(상세표[사번키],INDEX(상세표[사번키],$H73),상세표[기록월],대상월키))</f>
        <v/>
      </c>
      <c r="F73">
        <f>IF($H73="","",SUMIFS(상세표[기록 시간외],상세표[사번키],INDEX(상세표[사번키],$H73),상세표[기록월],대상월키))</f>
        <v/>
      </c>
      <c r="G73">
        <f>IF($H73="","",SUMIFS(합계표[시스템 합계],합계표[사번키],INDEX(상세표[사번키],$H73)))</f>
        <v/>
      </c>
      <c r="H73" s="4">
        <f>IFERROR(MATCH(68,상세표[발송인원순번],0),"")</f>
        <v/>
      </c>
      <c r="J73">
        <f>IF($U73="","",INDEX(상세표[사번],$U73)&amp;"")</f>
        <v/>
      </c>
      <c r="K73">
        <f>IF($U73="","",INDEX(상세표[성명],$U73)&amp;"")</f>
        <v/>
      </c>
      <c r="L73">
        <f>IF($U73="","",INDEX(상세표[직위],$U73)&amp;"")</f>
        <v/>
      </c>
      <c r="M73">
        <f>IF($U73="","",IF(ISNUMBER(INDEX(상세표[근무일자],$U73)),TEXT(INDEX(상세표[근무일자],$U73),"yyyy-mm-dd"),INDEX(상세표[근무일자],$U73)&amp;""))</f>
        <v/>
      </c>
      <c r="N73">
        <f>IF($U73="","",IF(ISNUMBER(INDEX(상세표[시작],$U73)),TEXT(INDEX(상세표[시작],$U73),"yyyy-mm-dd hh:mm"),INDEX(상세표[시작],$U73)&amp;""))</f>
        <v/>
      </c>
      <c r="O73">
        <f>IF($U73="","",IF(ISNUMBER(INDEX(상세표[종료],$U73)),TEXT(INDEX(상세표[종료],$U73),"yyyy-mm-dd hh:mm"),INDEX(상세표[종료],$U73)&amp;""))</f>
        <v/>
      </c>
      <c r="P73">
        <f>IF($U73="","",INDEX(상세표[06~07시],$U73))</f>
        <v/>
      </c>
      <c r="Q73">
        <f>IF($U73="","",INDEX(상세표[07~18시],$U73))</f>
        <v/>
      </c>
      <c r="R73">
        <f>IF($U73="","",INDEX(상세표[18~22시],$U73))</f>
        <v/>
      </c>
      <c r="S73">
        <f>IF($U73="","",INDEX(상세표[22~06시],$U73))</f>
        <v/>
      </c>
      <c r="T73">
        <f>IF($U73="","",INDEX(상세표[기록 시간외],$U73))</f>
        <v/>
      </c>
      <c r="U73" s="4">
        <f>IFERROR(MATCH(68,상세표[발송순번],0),"")</f>
        <v/>
      </c>
    </row>
    <row r="74">
      <c r="A74">
        <f>IF($H74="","",INDEX(상세표[사번],$H74)&amp;"")</f>
        <v/>
      </c>
      <c r="B74">
        <f>IF($H74="","",INDEX(상세표[성명],$H74)&amp;"")</f>
        <v/>
      </c>
      <c r="C74">
        <f>IF($H74="","",INDEX(상세표[부서],$H74)&amp;"")</f>
        <v/>
      </c>
      <c r="D74">
        <f>IF($H74="","",IF(IFERROR(INDEX(합계표[직위(통합)],MATCH(INDEX(상세표[사번키],$H74),합계표[사번키],0))&amp;"","")="",INDEX(상세표[직위],$H74)&amp;"",IFERROR(INDEX(합계표[직위(통합)],MATCH(INDEX(상세표[사번키],$H74),합계표[사번키],0))&amp;"","")))</f>
        <v/>
      </c>
      <c r="E74">
        <f>IF($H74="","",COUNTIFS(상세표[사번키],INDEX(상세표[사번키],$H74),상세표[기록월],대상월키))</f>
        <v/>
      </c>
      <c r="F74">
        <f>IF($H74="","",SUMIFS(상세표[기록 시간외],상세표[사번키],INDEX(상세표[사번키],$H74),상세표[기록월],대상월키))</f>
        <v/>
      </c>
      <c r="G74">
        <f>IF($H74="","",SUMIFS(합계표[시스템 합계],합계표[사번키],INDEX(상세표[사번키],$H74)))</f>
        <v/>
      </c>
      <c r="H74" s="4">
        <f>IFERROR(MATCH(69,상세표[발송인원순번],0),"")</f>
        <v/>
      </c>
      <c r="J74">
        <f>IF($U74="","",INDEX(상세표[사번],$U74)&amp;"")</f>
        <v/>
      </c>
      <c r="K74">
        <f>IF($U74="","",INDEX(상세표[성명],$U74)&amp;"")</f>
        <v/>
      </c>
      <c r="L74">
        <f>IF($U74="","",INDEX(상세표[직위],$U74)&amp;"")</f>
        <v/>
      </c>
      <c r="M74">
        <f>IF($U74="","",IF(ISNUMBER(INDEX(상세표[근무일자],$U74)),TEXT(INDEX(상세표[근무일자],$U74),"yyyy-mm-dd"),INDEX(상세표[근무일자],$U74)&amp;""))</f>
        <v/>
      </c>
      <c r="N74">
        <f>IF($U74="","",IF(ISNUMBER(INDEX(상세표[시작],$U74)),TEXT(INDEX(상세표[시작],$U74),"yyyy-mm-dd hh:mm"),INDEX(상세표[시작],$U74)&amp;""))</f>
        <v/>
      </c>
      <c r="O74">
        <f>IF($U74="","",IF(ISNUMBER(INDEX(상세표[종료],$U74)),TEXT(INDEX(상세표[종료],$U74),"yyyy-mm-dd hh:mm"),INDEX(상세표[종료],$U74)&amp;""))</f>
        <v/>
      </c>
      <c r="P74">
        <f>IF($U74="","",INDEX(상세표[06~07시],$U74))</f>
        <v/>
      </c>
      <c r="Q74">
        <f>IF($U74="","",INDEX(상세표[07~18시],$U74))</f>
        <v/>
      </c>
      <c r="R74">
        <f>IF($U74="","",INDEX(상세표[18~22시],$U74))</f>
        <v/>
      </c>
      <c r="S74">
        <f>IF($U74="","",INDEX(상세표[22~06시],$U74))</f>
        <v/>
      </c>
      <c r="T74">
        <f>IF($U74="","",INDEX(상세표[기록 시간외],$U74))</f>
        <v/>
      </c>
      <c r="U74" s="4">
        <f>IFERROR(MATCH(69,상세표[발송순번],0),"")</f>
        <v/>
      </c>
    </row>
    <row r="75">
      <c r="A75">
        <f>IF($H75="","",INDEX(상세표[사번],$H75)&amp;"")</f>
        <v/>
      </c>
      <c r="B75">
        <f>IF($H75="","",INDEX(상세표[성명],$H75)&amp;"")</f>
        <v/>
      </c>
      <c r="C75">
        <f>IF($H75="","",INDEX(상세표[부서],$H75)&amp;"")</f>
        <v/>
      </c>
      <c r="D75">
        <f>IF($H75="","",IF(IFERROR(INDEX(합계표[직위(통합)],MATCH(INDEX(상세표[사번키],$H75),합계표[사번키],0))&amp;"","")="",INDEX(상세표[직위],$H75)&amp;"",IFERROR(INDEX(합계표[직위(통합)],MATCH(INDEX(상세표[사번키],$H75),합계표[사번키],0))&amp;"","")))</f>
        <v/>
      </c>
      <c r="E75">
        <f>IF($H75="","",COUNTIFS(상세표[사번키],INDEX(상세표[사번키],$H75),상세표[기록월],대상월키))</f>
        <v/>
      </c>
      <c r="F75">
        <f>IF($H75="","",SUMIFS(상세표[기록 시간외],상세표[사번키],INDEX(상세표[사번키],$H75),상세표[기록월],대상월키))</f>
        <v/>
      </c>
      <c r="G75">
        <f>IF($H75="","",SUMIFS(합계표[시스템 합계],합계표[사번키],INDEX(상세표[사번키],$H75)))</f>
        <v/>
      </c>
      <c r="H75" s="4">
        <f>IFERROR(MATCH(70,상세표[발송인원순번],0),"")</f>
        <v/>
      </c>
      <c r="J75">
        <f>IF($U75="","",INDEX(상세표[사번],$U75)&amp;"")</f>
        <v/>
      </c>
      <c r="K75">
        <f>IF($U75="","",INDEX(상세표[성명],$U75)&amp;"")</f>
        <v/>
      </c>
      <c r="L75">
        <f>IF($U75="","",INDEX(상세표[직위],$U75)&amp;"")</f>
        <v/>
      </c>
      <c r="M75">
        <f>IF($U75="","",IF(ISNUMBER(INDEX(상세표[근무일자],$U75)),TEXT(INDEX(상세표[근무일자],$U75),"yyyy-mm-dd"),INDEX(상세표[근무일자],$U75)&amp;""))</f>
        <v/>
      </c>
      <c r="N75">
        <f>IF($U75="","",IF(ISNUMBER(INDEX(상세표[시작],$U75)),TEXT(INDEX(상세표[시작],$U75),"yyyy-mm-dd hh:mm"),INDEX(상세표[시작],$U75)&amp;""))</f>
        <v/>
      </c>
      <c r="O75">
        <f>IF($U75="","",IF(ISNUMBER(INDEX(상세표[종료],$U75)),TEXT(INDEX(상세표[종료],$U75),"yyyy-mm-dd hh:mm"),INDEX(상세표[종료],$U75)&amp;""))</f>
        <v/>
      </c>
      <c r="P75">
        <f>IF($U75="","",INDEX(상세표[06~07시],$U75))</f>
        <v/>
      </c>
      <c r="Q75">
        <f>IF($U75="","",INDEX(상세표[07~18시],$U75))</f>
        <v/>
      </c>
      <c r="R75">
        <f>IF($U75="","",INDEX(상세표[18~22시],$U75))</f>
        <v/>
      </c>
      <c r="S75">
        <f>IF($U75="","",INDEX(상세표[22~06시],$U75))</f>
        <v/>
      </c>
      <c r="T75">
        <f>IF($U75="","",INDEX(상세표[기록 시간외],$U75))</f>
        <v/>
      </c>
      <c r="U75" s="4">
        <f>IFERROR(MATCH(70,상세표[발송순번],0),"")</f>
        <v/>
      </c>
    </row>
    <row r="76">
      <c r="A76">
        <f>IF($H76="","",INDEX(상세표[사번],$H76)&amp;"")</f>
        <v/>
      </c>
      <c r="B76">
        <f>IF($H76="","",INDEX(상세표[성명],$H76)&amp;"")</f>
        <v/>
      </c>
      <c r="C76">
        <f>IF($H76="","",INDEX(상세표[부서],$H76)&amp;"")</f>
        <v/>
      </c>
      <c r="D76">
        <f>IF($H76="","",IF(IFERROR(INDEX(합계표[직위(통합)],MATCH(INDEX(상세표[사번키],$H76),합계표[사번키],0))&amp;"","")="",INDEX(상세표[직위],$H76)&amp;"",IFERROR(INDEX(합계표[직위(통합)],MATCH(INDEX(상세표[사번키],$H76),합계표[사번키],0))&amp;"","")))</f>
        <v/>
      </c>
      <c r="E76">
        <f>IF($H76="","",COUNTIFS(상세표[사번키],INDEX(상세표[사번키],$H76),상세표[기록월],대상월키))</f>
        <v/>
      </c>
      <c r="F76">
        <f>IF($H76="","",SUMIFS(상세표[기록 시간외],상세표[사번키],INDEX(상세표[사번키],$H76),상세표[기록월],대상월키))</f>
        <v/>
      </c>
      <c r="G76">
        <f>IF($H76="","",SUMIFS(합계표[시스템 합계],합계표[사번키],INDEX(상세표[사번키],$H76)))</f>
        <v/>
      </c>
      <c r="H76" s="4">
        <f>IFERROR(MATCH(71,상세표[발송인원순번],0),"")</f>
        <v/>
      </c>
      <c r="J76">
        <f>IF($U76="","",INDEX(상세표[사번],$U76)&amp;"")</f>
        <v/>
      </c>
      <c r="K76">
        <f>IF($U76="","",INDEX(상세표[성명],$U76)&amp;"")</f>
        <v/>
      </c>
      <c r="L76">
        <f>IF($U76="","",INDEX(상세표[직위],$U76)&amp;"")</f>
        <v/>
      </c>
      <c r="M76">
        <f>IF($U76="","",IF(ISNUMBER(INDEX(상세표[근무일자],$U76)),TEXT(INDEX(상세표[근무일자],$U76),"yyyy-mm-dd"),INDEX(상세표[근무일자],$U76)&amp;""))</f>
        <v/>
      </c>
      <c r="N76">
        <f>IF($U76="","",IF(ISNUMBER(INDEX(상세표[시작],$U76)),TEXT(INDEX(상세표[시작],$U76),"yyyy-mm-dd hh:mm"),INDEX(상세표[시작],$U76)&amp;""))</f>
        <v/>
      </c>
      <c r="O76">
        <f>IF($U76="","",IF(ISNUMBER(INDEX(상세표[종료],$U76)),TEXT(INDEX(상세표[종료],$U76),"yyyy-mm-dd hh:mm"),INDEX(상세표[종료],$U76)&amp;""))</f>
        <v/>
      </c>
      <c r="P76">
        <f>IF($U76="","",INDEX(상세표[06~07시],$U76))</f>
        <v/>
      </c>
      <c r="Q76">
        <f>IF($U76="","",INDEX(상세표[07~18시],$U76))</f>
        <v/>
      </c>
      <c r="R76">
        <f>IF($U76="","",INDEX(상세표[18~22시],$U76))</f>
        <v/>
      </c>
      <c r="S76">
        <f>IF($U76="","",INDEX(상세표[22~06시],$U76))</f>
        <v/>
      </c>
      <c r="T76">
        <f>IF($U76="","",INDEX(상세표[기록 시간외],$U76))</f>
        <v/>
      </c>
      <c r="U76" s="4">
        <f>IFERROR(MATCH(71,상세표[발송순번],0),"")</f>
        <v/>
      </c>
    </row>
    <row r="77">
      <c r="A77">
        <f>IF($H77="","",INDEX(상세표[사번],$H77)&amp;"")</f>
        <v/>
      </c>
      <c r="B77">
        <f>IF($H77="","",INDEX(상세표[성명],$H77)&amp;"")</f>
        <v/>
      </c>
      <c r="C77">
        <f>IF($H77="","",INDEX(상세표[부서],$H77)&amp;"")</f>
        <v/>
      </c>
      <c r="D77">
        <f>IF($H77="","",IF(IFERROR(INDEX(합계표[직위(통합)],MATCH(INDEX(상세표[사번키],$H77),합계표[사번키],0))&amp;"","")="",INDEX(상세표[직위],$H77)&amp;"",IFERROR(INDEX(합계표[직위(통합)],MATCH(INDEX(상세표[사번키],$H77),합계표[사번키],0))&amp;"","")))</f>
        <v/>
      </c>
      <c r="E77">
        <f>IF($H77="","",COUNTIFS(상세표[사번키],INDEX(상세표[사번키],$H77),상세표[기록월],대상월키))</f>
        <v/>
      </c>
      <c r="F77">
        <f>IF($H77="","",SUMIFS(상세표[기록 시간외],상세표[사번키],INDEX(상세표[사번키],$H77),상세표[기록월],대상월키))</f>
        <v/>
      </c>
      <c r="G77">
        <f>IF($H77="","",SUMIFS(합계표[시스템 합계],합계표[사번키],INDEX(상세표[사번키],$H77)))</f>
        <v/>
      </c>
      <c r="H77" s="4">
        <f>IFERROR(MATCH(72,상세표[발송인원순번],0),"")</f>
        <v/>
      </c>
      <c r="J77">
        <f>IF($U77="","",INDEX(상세표[사번],$U77)&amp;"")</f>
        <v/>
      </c>
      <c r="K77">
        <f>IF($U77="","",INDEX(상세표[성명],$U77)&amp;"")</f>
        <v/>
      </c>
      <c r="L77">
        <f>IF($U77="","",INDEX(상세표[직위],$U77)&amp;"")</f>
        <v/>
      </c>
      <c r="M77">
        <f>IF($U77="","",IF(ISNUMBER(INDEX(상세표[근무일자],$U77)),TEXT(INDEX(상세표[근무일자],$U77),"yyyy-mm-dd"),INDEX(상세표[근무일자],$U77)&amp;""))</f>
        <v/>
      </c>
      <c r="N77">
        <f>IF($U77="","",IF(ISNUMBER(INDEX(상세표[시작],$U77)),TEXT(INDEX(상세표[시작],$U77),"yyyy-mm-dd hh:mm"),INDEX(상세표[시작],$U77)&amp;""))</f>
        <v/>
      </c>
      <c r="O77">
        <f>IF($U77="","",IF(ISNUMBER(INDEX(상세표[종료],$U77)),TEXT(INDEX(상세표[종료],$U77),"yyyy-mm-dd hh:mm"),INDEX(상세표[종료],$U77)&amp;""))</f>
        <v/>
      </c>
      <c r="P77">
        <f>IF($U77="","",INDEX(상세표[06~07시],$U77))</f>
        <v/>
      </c>
      <c r="Q77">
        <f>IF($U77="","",INDEX(상세표[07~18시],$U77))</f>
        <v/>
      </c>
      <c r="R77">
        <f>IF($U77="","",INDEX(상세표[18~22시],$U77))</f>
        <v/>
      </c>
      <c r="S77">
        <f>IF($U77="","",INDEX(상세표[22~06시],$U77))</f>
        <v/>
      </c>
      <c r="T77">
        <f>IF($U77="","",INDEX(상세표[기록 시간외],$U77))</f>
        <v/>
      </c>
      <c r="U77" s="4">
        <f>IFERROR(MATCH(72,상세표[발송순번],0),"")</f>
        <v/>
      </c>
    </row>
    <row r="78">
      <c r="A78">
        <f>IF($H78="","",INDEX(상세표[사번],$H78)&amp;"")</f>
        <v/>
      </c>
      <c r="B78">
        <f>IF($H78="","",INDEX(상세표[성명],$H78)&amp;"")</f>
        <v/>
      </c>
      <c r="C78">
        <f>IF($H78="","",INDEX(상세표[부서],$H78)&amp;"")</f>
        <v/>
      </c>
      <c r="D78">
        <f>IF($H78="","",IF(IFERROR(INDEX(합계표[직위(통합)],MATCH(INDEX(상세표[사번키],$H78),합계표[사번키],0))&amp;"","")="",INDEX(상세표[직위],$H78)&amp;"",IFERROR(INDEX(합계표[직위(통합)],MATCH(INDEX(상세표[사번키],$H78),합계표[사번키],0))&amp;"","")))</f>
        <v/>
      </c>
      <c r="E78">
        <f>IF($H78="","",COUNTIFS(상세표[사번키],INDEX(상세표[사번키],$H78),상세표[기록월],대상월키))</f>
        <v/>
      </c>
      <c r="F78">
        <f>IF($H78="","",SUMIFS(상세표[기록 시간외],상세표[사번키],INDEX(상세표[사번키],$H78),상세표[기록월],대상월키))</f>
        <v/>
      </c>
      <c r="G78">
        <f>IF($H78="","",SUMIFS(합계표[시스템 합계],합계표[사번키],INDEX(상세표[사번키],$H78)))</f>
        <v/>
      </c>
      <c r="H78" s="4">
        <f>IFERROR(MATCH(73,상세표[발송인원순번],0),"")</f>
        <v/>
      </c>
      <c r="J78">
        <f>IF($U78="","",INDEX(상세표[사번],$U78)&amp;"")</f>
        <v/>
      </c>
      <c r="K78">
        <f>IF($U78="","",INDEX(상세표[성명],$U78)&amp;"")</f>
        <v/>
      </c>
      <c r="L78">
        <f>IF($U78="","",INDEX(상세표[직위],$U78)&amp;"")</f>
        <v/>
      </c>
      <c r="M78">
        <f>IF($U78="","",IF(ISNUMBER(INDEX(상세표[근무일자],$U78)),TEXT(INDEX(상세표[근무일자],$U78),"yyyy-mm-dd"),INDEX(상세표[근무일자],$U78)&amp;""))</f>
        <v/>
      </c>
      <c r="N78">
        <f>IF($U78="","",IF(ISNUMBER(INDEX(상세표[시작],$U78)),TEXT(INDEX(상세표[시작],$U78),"yyyy-mm-dd hh:mm"),INDEX(상세표[시작],$U78)&amp;""))</f>
        <v/>
      </c>
      <c r="O78">
        <f>IF($U78="","",IF(ISNUMBER(INDEX(상세표[종료],$U78)),TEXT(INDEX(상세표[종료],$U78),"yyyy-mm-dd hh:mm"),INDEX(상세표[종료],$U78)&amp;""))</f>
        <v/>
      </c>
      <c r="P78">
        <f>IF($U78="","",INDEX(상세표[06~07시],$U78))</f>
        <v/>
      </c>
      <c r="Q78">
        <f>IF($U78="","",INDEX(상세표[07~18시],$U78))</f>
        <v/>
      </c>
      <c r="R78">
        <f>IF($U78="","",INDEX(상세표[18~22시],$U78))</f>
        <v/>
      </c>
      <c r="S78">
        <f>IF($U78="","",INDEX(상세표[22~06시],$U78))</f>
        <v/>
      </c>
      <c r="T78">
        <f>IF($U78="","",INDEX(상세표[기록 시간외],$U78))</f>
        <v/>
      </c>
      <c r="U78" s="4">
        <f>IFERROR(MATCH(73,상세표[발송순번],0),"")</f>
        <v/>
      </c>
    </row>
    <row r="79">
      <c r="A79">
        <f>IF($H79="","",INDEX(상세표[사번],$H79)&amp;"")</f>
        <v/>
      </c>
      <c r="B79">
        <f>IF($H79="","",INDEX(상세표[성명],$H79)&amp;"")</f>
        <v/>
      </c>
      <c r="C79">
        <f>IF($H79="","",INDEX(상세표[부서],$H79)&amp;"")</f>
        <v/>
      </c>
      <c r="D79">
        <f>IF($H79="","",IF(IFERROR(INDEX(합계표[직위(통합)],MATCH(INDEX(상세표[사번키],$H79),합계표[사번키],0))&amp;"","")="",INDEX(상세표[직위],$H79)&amp;"",IFERROR(INDEX(합계표[직위(통합)],MATCH(INDEX(상세표[사번키],$H79),합계표[사번키],0))&amp;"","")))</f>
        <v/>
      </c>
      <c r="E79">
        <f>IF($H79="","",COUNTIFS(상세표[사번키],INDEX(상세표[사번키],$H79),상세표[기록월],대상월키))</f>
        <v/>
      </c>
      <c r="F79">
        <f>IF($H79="","",SUMIFS(상세표[기록 시간외],상세표[사번키],INDEX(상세표[사번키],$H79),상세표[기록월],대상월키))</f>
        <v/>
      </c>
      <c r="G79">
        <f>IF($H79="","",SUMIFS(합계표[시스템 합계],합계표[사번키],INDEX(상세표[사번키],$H79)))</f>
        <v/>
      </c>
      <c r="H79" s="4">
        <f>IFERROR(MATCH(74,상세표[발송인원순번],0),"")</f>
        <v/>
      </c>
      <c r="J79">
        <f>IF($U79="","",INDEX(상세표[사번],$U79)&amp;"")</f>
        <v/>
      </c>
      <c r="K79">
        <f>IF($U79="","",INDEX(상세표[성명],$U79)&amp;"")</f>
        <v/>
      </c>
      <c r="L79">
        <f>IF($U79="","",INDEX(상세표[직위],$U79)&amp;"")</f>
        <v/>
      </c>
      <c r="M79">
        <f>IF($U79="","",IF(ISNUMBER(INDEX(상세표[근무일자],$U79)),TEXT(INDEX(상세표[근무일자],$U79),"yyyy-mm-dd"),INDEX(상세표[근무일자],$U79)&amp;""))</f>
        <v/>
      </c>
      <c r="N79">
        <f>IF($U79="","",IF(ISNUMBER(INDEX(상세표[시작],$U79)),TEXT(INDEX(상세표[시작],$U79),"yyyy-mm-dd hh:mm"),INDEX(상세표[시작],$U79)&amp;""))</f>
        <v/>
      </c>
      <c r="O79">
        <f>IF($U79="","",IF(ISNUMBER(INDEX(상세표[종료],$U79)),TEXT(INDEX(상세표[종료],$U79),"yyyy-mm-dd hh:mm"),INDEX(상세표[종료],$U79)&amp;""))</f>
        <v/>
      </c>
      <c r="P79">
        <f>IF($U79="","",INDEX(상세표[06~07시],$U79))</f>
        <v/>
      </c>
      <c r="Q79">
        <f>IF($U79="","",INDEX(상세표[07~18시],$U79))</f>
        <v/>
      </c>
      <c r="R79">
        <f>IF($U79="","",INDEX(상세표[18~22시],$U79))</f>
        <v/>
      </c>
      <c r="S79">
        <f>IF($U79="","",INDEX(상세표[22~06시],$U79))</f>
        <v/>
      </c>
      <c r="T79">
        <f>IF($U79="","",INDEX(상세표[기록 시간외],$U79))</f>
        <v/>
      </c>
      <c r="U79" s="4">
        <f>IFERROR(MATCH(74,상세표[발송순번],0),"")</f>
        <v/>
      </c>
    </row>
    <row r="80">
      <c r="A80">
        <f>IF($H80="","",INDEX(상세표[사번],$H80)&amp;"")</f>
        <v/>
      </c>
      <c r="B80">
        <f>IF($H80="","",INDEX(상세표[성명],$H80)&amp;"")</f>
        <v/>
      </c>
      <c r="C80">
        <f>IF($H80="","",INDEX(상세표[부서],$H80)&amp;"")</f>
        <v/>
      </c>
      <c r="D80">
        <f>IF($H80="","",IF(IFERROR(INDEX(합계표[직위(통합)],MATCH(INDEX(상세표[사번키],$H80),합계표[사번키],0))&amp;"","")="",INDEX(상세표[직위],$H80)&amp;"",IFERROR(INDEX(합계표[직위(통합)],MATCH(INDEX(상세표[사번키],$H80),합계표[사번키],0))&amp;"","")))</f>
        <v/>
      </c>
      <c r="E80">
        <f>IF($H80="","",COUNTIFS(상세표[사번키],INDEX(상세표[사번키],$H80),상세표[기록월],대상월키))</f>
        <v/>
      </c>
      <c r="F80">
        <f>IF($H80="","",SUMIFS(상세표[기록 시간외],상세표[사번키],INDEX(상세표[사번키],$H80),상세표[기록월],대상월키))</f>
        <v/>
      </c>
      <c r="G80">
        <f>IF($H80="","",SUMIFS(합계표[시스템 합계],합계표[사번키],INDEX(상세표[사번키],$H80)))</f>
        <v/>
      </c>
      <c r="H80" s="4">
        <f>IFERROR(MATCH(75,상세표[발송인원순번],0),"")</f>
        <v/>
      </c>
      <c r="J80">
        <f>IF($U80="","",INDEX(상세표[사번],$U80)&amp;"")</f>
        <v/>
      </c>
      <c r="K80">
        <f>IF($U80="","",INDEX(상세표[성명],$U80)&amp;"")</f>
        <v/>
      </c>
      <c r="L80">
        <f>IF($U80="","",INDEX(상세표[직위],$U80)&amp;"")</f>
        <v/>
      </c>
      <c r="M80">
        <f>IF($U80="","",IF(ISNUMBER(INDEX(상세표[근무일자],$U80)),TEXT(INDEX(상세표[근무일자],$U80),"yyyy-mm-dd"),INDEX(상세표[근무일자],$U80)&amp;""))</f>
        <v/>
      </c>
      <c r="N80">
        <f>IF($U80="","",IF(ISNUMBER(INDEX(상세표[시작],$U80)),TEXT(INDEX(상세표[시작],$U80),"yyyy-mm-dd hh:mm"),INDEX(상세표[시작],$U80)&amp;""))</f>
        <v/>
      </c>
      <c r="O80">
        <f>IF($U80="","",IF(ISNUMBER(INDEX(상세표[종료],$U80)),TEXT(INDEX(상세표[종료],$U80),"yyyy-mm-dd hh:mm"),INDEX(상세표[종료],$U80)&amp;""))</f>
        <v/>
      </c>
      <c r="P80">
        <f>IF($U80="","",INDEX(상세표[06~07시],$U80))</f>
        <v/>
      </c>
      <c r="Q80">
        <f>IF($U80="","",INDEX(상세표[07~18시],$U80))</f>
        <v/>
      </c>
      <c r="R80">
        <f>IF($U80="","",INDEX(상세표[18~22시],$U80))</f>
        <v/>
      </c>
      <c r="S80">
        <f>IF($U80="","",INDEX(상세표[22~06시],$U80))</f>
        <v/>
      </c>
      <c r="T80">
        <f>IF($U80="","",INDEX(상세표[기록 시간외],$U80))</f>
        <v/>
      </c>
      <c r="U80" s="4">
        <f>IFERROR(MATCH(75,상세표[발송순번],0),"")</f>
        <v/>
      </c>
    </row>
    <row r="81">
      <c r="A81">
        <f>IF($H81="","",INDEX(상세표[사번],$H81)&amp;"")</f>
        <v/>
      </c>
      <c r="B81">
        <f>IF($H81="","",INDEX(상세표[성명],$H81)&amp;"")</f>
        <v/>
      </c>
      <c r="C81">
        <f>IF($H81="","",INDEX(상세표[부서],$H81)&amp;"")</f>
        <v/>
      </c>
      <c r="D81">
        <f>IF($H81="","",IF(IFERROR(INDEX(합계표[직위(통합)],MATCH(INDEX(상세표[사번키],$H81),합계표[사번키],0))&amp;"","")="",INDEX(상세표[직위],$H81)&amp;"",IFERROR(INDEX(합계표[직위(통합)],MATCH(INDEX(상세표[사번키],$H81),합계표[사번키],0))&amp;"","")))</f>
        <v/>
      </c>
      <c r="E81">
        <f>IF($H81="","",COUNTIFS(상세표[사번키],INDEX(상세표[사번키],$H81),상세표[기록월],대상월키))</f>
        <v/>
      </c>
      <c r="F81">
        <f>IF($H81="","",SUMIFS(상세표[기록 시간외],상세표[사번키],INDEX(상세표[사번키],$H81),상세표[기록월],대상월키))</f>
        <v/>
      </c>
      <c r="G81">
        <f>IF($H81="","",SUMIFS(합계표[시스템 합계],합계표[사번키],INDEX(상세표[사번키],$H81)))</f>
        <v/>
      </c>
      <c r="H81" s="4">
        <f>IFERROR(MATCH(76,상세표[발송인원순번],0),"")</f>
        <v/>
      </c>
      <c r="J81">
        <f>IF($U81="","",INDEX(상세표[사번],$U81)&amp;"")</f>
        <v/>
      </c>
      <c r="K81">
        <f>IF($U81="","",INDEX(상세표[성명],$U81)&amp;"")</f>
        <v/>
      </c>
      <c r="L81">
        <f>IF($U81="","",INDEX(상세표[직위],$U81)&amp;"")</f>
        <v/>
      </c>
      <c r="M81">
        <f>IF($U81="","",IF(ISNUMBER(INDEX(상세표[근무일자],$U81)),TEXT(INDEX(상세표[근무일자],$U81),"yyyy-mm-dd"),INDEX(상세표[근무일자],$U81)&amp;""))</f>
        <v/>
      </c>
      <c r="N81">
        <f>IF($U81="","",IF(ISNUMBER(INDEX(상세표[시작],$U81)),TEXT(INDEX(상세표[시작],$U81),"yyyy-mm-dd hh:mm"),INDEX(상세표[시작],$U81)&amp;""))</f>
        <v/>
      </c>
      <c r="O81">
        <f>IF($U81="","",IF(ISNUMBER(INDEX(상세표[종료],$U81)),TEXT(INDEX(상세표[종료],$U81),"yyyy-mm-dd hh:mm"),INDEX(상세표[종료],$U81)&amp;""))</f>
        <v/>
      </c>
      <c r="P81">
        <f>IF($U81="","",INDEX(상세표[06~07시],$U81))</f>
        <v/>
      </c>
      <c r="Q81">
        <f>IF($U81="","",INDEX(상세표[07~18시],$U81))</f>
        <v/>
      </c>
      <c r="R81">
        <f>IF($U81="","",INDEX(상세표[18~22시],$U81))</f>
        <v/>
      </c>
      <c r="S81">
        <f>IF($U81="","",INDEX(상세표[22~06시],$U81))</f>
        <v/>
      </c>
      <c r="T81">
        <f>IF($U81="","",INDEX(상세표[기록 시간외],$U81))</f>
        <v/>
      </c>
      <c r="U81" s="4">
        <f>IFERROR(MATCH(76,상세표[발송순번],0),"")</f>
        <v/>
      </c>
    </row>
    <row r="82">
      <c r="A82">
        <f>IF($H82="","",INDEX(상세표[사번],$H82)&amp;"")</f>
        <v/>
      </c>
      <c r="B82">
        <f>IF($H82="","",INDEX(상세표[성명],$H82)&amp;"")</f>
        <v/>
      </c>
      <c r="C82">
        <f>IF($H82="","",INDEX(상세표[부서],$H82)&amp;"")</f>
        <v/>
      </c>
      <c r="D82">
        <f>IF($H82="","",IF(IFERROR(INDEX(합계표[직위(통합)],MATCH(INDEX(상세표[사번키],$H82),합계표[사번키],0))&amp;"","")="",INDEX(상세표[직위],$H82)&amp;"",IFERROR(INDEX(합계표[직위(통합)],MATCH(INDEX(상세표[사번키],$H82),합계표[사번키],0))&amp;"","")))</f>
        <v/>
      </c>
      <c r="E82">
        <f>IF($H82="","",COUNTIFS(상세표[사번키],INDEX(상세표[사번키],$H82),상세표[기록월],대상월키))</f>
        <v/>
      </c>
      <c r="F82">
        <f>IF($H82="","",SUMIFS(상세표[기록 시간외],상세표[사번키],INDEX(상세표[사번키],$H82),상세표[기록월],대상월키))</f>
        <v/>
      </c>
      <c r="G82">
        <f>IF($H82="","",SUMIFS(합계표[시스템 합계],합계표[사번키],INDEX(상세표[사번키],$H82)))</f>
        <v/>
      </c>
      <c r="H82" s="4">
        <f>IFERROR(MATCH(77,상세표[발송인원순번],0),"")</f>
        <v/>
      </c>
      <c r="J82">
        <f>IF($U82="","",INDEX(상세표[사번],$U82)&amp;"")</f>
        <v/>
      </c>
      <c r="K82">
        <f>IF($U82="","",INDEX(상세표[성명],$U82)&amp;"")</f>
        <v/>
      </c>
      <c r="L82">
        <f>IF($U82="","",INDEX(상세표[직위],$U82)&amp;"")</f>
        <v/>
      </c>
      <c r="M82">
        <f>IF($U82="","",IF(ISNUMBER(INDEX(상세표[근무일자],$U82)),TEXT(INDEX(상세표[근무일자],$U82),"yyyy-mm-dd"),INDEX(상세표[근무일자],$U82)&amp;""))</f>
        <v/>
      </c>
      <c r="N82">
        <f>IF($U82="","",IF(ISNUMBER(INDEX(상세표[시작],$U82)),TEXT(INDEX(상세표[시작],$U82),"yyyy-mm-dd hh:mm"),INDEX(상세표[시작],$U82)&amp;""))</f>
        <v/>
      </c>
      <c r="O82">
        <f>IF($U82="","",IF(ISNUMBER(INDEX(상세표[종료],$U82)),TEXT(INDEX(상세표[종료],$U82),"yyyy-mm-dd hh:mm"),INDEX(상세표[종료],$U82)&amp;""))</f>
        <v/>
      </c>
      <c r="P82">
        <f>IF($U82="","",INDEX(상세표[06~07시],$U82))</f>
        <v/>
      </c>
      <c r="Q82">
        <f>IF($U82="","",INDEX(상세표[07~18시],$U82))</f>
        <v/>
      </c>
      <c r="R82">
        <f>IF($U82="","",INDEX(상세표[18~22시],$U82))</f>
        <v/>
      </c>
      <c r="S82">
        <f>IF($U82="","",INDEX(상세표[22~06시],$U82))</f>
        <v/>
      </c>
      <c r="T82">
        <f>IF($U82="","",INDEX(상세표[기록 시간외],$U82))</f>
        <v/>
      </c>
      <c r="U82" s="4">
        <f>IFERROR(MATCH(77,상세표[발송순번],0),"")</f>
        <v/>
      </c>
    </row>
    <row r="83">
      <c r="A83">
        <f>IF($H83="","",INDEX(상세표[사번],$H83)&amp;"")</f>
        <v/>
      </c>
      <c r="B83">
        <f>IF($H83="","",INDEX(상세표[성명],$H83)&amp;"")</f>
        <v/>
      </c>
      <c r="C83">
        <f>IF($H83="","",INDEX(상세표[부서],$H83)&amp;"")</f>
        <v/>
      </c>
      <c r="D83">
        <f>IF($H83="","",IF(IFERROR(INDEX(합계표[직위(통합)],MATCH(INDEX(상세표[사번키],$H83),합계표[사번키],0))&amp;"","")="",INDEX(상세표[직위],$H83)&amp;"",IFERROR(INDEX(합계표[직위(통합)],MATCH(INDEX(상세표[사번키],$H83),합계표[사번키],0))&amp;"","")))</f>
        <v/>
      </c>
      <c r="E83">
        <f>IF($H83="","",COUNTIFS(상세표[사번키],INDEX(상세표[사번키],$H83),상세표[기록월],대상월키))</f>
        <v/>
      </c>
      <c r="F83">
        <f>IF($H83="","",SUMIFS(상세표[기록 시간외],상세표[사번키],INDEX(상세표[사번키],$H83),상세표[기록월],대상월키))</f>
        <v/>
      </c>
      <c r="G83">
        <f>IF($H83="","",SUMIFS(합계표[시스템 합계],합계표[사번키],INDEX(상세표[사번키],$H83)))</f>
        <v/>
      </c>
      <c r="H83" s="4">
        <f>IFERROR(MATCH(78,상세표[발송인원순번],0),"")</f>
        <v/>
      </c>
      <c r="J83">
        <f>IF($U83="","",INDEX(상세표[사번],$U83)&amp;"")</f>
        <v/>
      </c>
      <c r="K83">
        <f>IF($U83="","",INDEX(상세표[성명],$U83)&amp;"")</f>
        <v/>
      </c>
      <c r="L83">
        <f>IF($U83="","",INDEX(상세표[직위],$U83)&amp;"")</f>
        <v/>
      </c>
      <c r="M83">
        <f>IF($U83="","",IF(ISNUMBER(INDEX(상세표[근무일자],$U83)),TEXT(INDEX(상세표[근무일자],$U83),"yyyy-mm-dd"),INDEX(상세표[근무일자],$U83)&amp;""))</f>
        <v/>
      </c>
      <c r="N83">
        <f>IF($U83="","",IF(ISNUMBER(INDEX(상세표[시작],$U83)),TEXT(INDEX(상세표[시작],$U83),"yyyy-mm-dd hh:mm"),INDEX(상세표[시작],$U83)&amp;""))</f>
        <v/>
      </c>
      <c r="O83">
        <f>IF($U83="","",IF(ISNUMBER(INDEX(상세표[종료],$U83)),TEXT(INDEX(상세표[종료],$U83),"yyyy-mm-dd hh:mm"),INDEX(상세표[종료],$U83)&amp;""))</f>
        <v/>
      </c>
      <c r="P83">
        <f>IF($U83="","",INDEX(상세표[06~07시],$U83))</f>
        <v/>
      </c>
      <c r="Q83">
        <f>IF($U83="","",INDEX(상세표[07~18시],$U83))</f>
        <v/>
      </c>
      <c r="R83">
        <f>IF($U83="","",INDEX(상세표[18~22시],$U83))</f>
        <v/>
      </c>
      <c r="S83">
        <f>IF($U83="","",INDEX(상세표[22~06시],$U83))</f>
        <v/>
      </c>
      <c r="T83">
        <f>IF($U83="","",INDEX(상세표[기록 시간외],$U83))</f>
        <v/>
      </c>
      <c r="U83" s="4">
        <f>IFERROR(MATCH(78,상세표[발송순번],0),"")</f>
        <v/>
      </c>
    </row>
    <row r="84">
      <c r="A84">
        <f>IF($H84="","",INDEX(상세표[사번],$H84)&amp;"")</f>
        <v/>
      </c>
      <c r="B84">
        <f>IF($H84="","",INDEX(상세표[성명],$H84)&amp;"")</f>
        <v/>
      </c>
      <c r="C84">
        <f>IF($H84="","",INDEX(상세표[부서],$H84)&amp;"")</f>
        <v/>
      </c>
      <c r="D84">
        <f>IF($H84="","",IF(IFERROR(INDEX(합계표[직위(통합)],MATCH(INDEX(상세표[사번키],$H84),합계표[사번키],0))&amp;"","")="",INDEX(상세표[직위],$H84)&amp;"",IFERROR(INDEX(합계표[직위(통합)],MATCH(INDEX(상세표[사번키],$H84),합계표[사번키],0))&amp;"","")))</f>
        <v/>
      </c>
      <c r="E84">
        <f>IF($H84="","",COUNTIFS(상세표[사번키],INDEX(상세표[사번키],$H84),상세표[기록월],대상월키))</f>
        <v/>
      </c>
      <c r="F84">
        <f>IF($H84="","",SUMIFS(상세표[기록 시간외],상세표[사번키],INDEX(상세표[사번키],$H84),상세표[기록월],대상월키))</f>
        <v/>
      </c>
      <c r="G84">
        <f>IF($H84="","",SUMIFS(합계표[시스템 합계],합계표[사번키],INDEX(상세표[사번키],$H84)))</f>
        <v/>
      </c>
      <c r="H84" s="4">
        <f>IFERROR(MATCH(79,상세표[발송인원순번],0),"")</f>
        <v/>
      </c>
      <c r="J84">
        <f>IF($U84="","",INDEX(상세표[사번],$U84)&amp;"")</f>
        <v/>
      </c>
      <c r="K84">
        <f>IF($U84="","",INDEX(상세표[성명],$U84)&amp;"")</f>
        <v/>
      </c>
      <c r="L84">
        <f>IF($U84="","",INDEX(상세표[직위],$U84)&amp;"")</f>
        <v/>
      </c>
      <c r="M84">
        <f>IF($U84="","",IF(ISNUMBER(INDEX(상세표[근무일자],$U84)),TEXT(INDEX(상세표[근무일자],$U84),"yyyy-mm-dd"),INDEX(상세표[근무일자],$U84)&amp;""))</f>
        <v/>
      </c>
      <c r="N84">
        <f>IF($U84="","",IF(ISNUMBER(INDEX(상세표[시작],$U84)),TEXT(INDEX(상세표[시작],$U84),"yyyy-mm-dd hh:mm"),INDEX(상세표[시작],$U84)&amp;""))</f>
        <v/>
      </c>
      <c r="O84">
        <f>IF($U84="","",IF(ISNUMBER(INDEX(상세표[종료],$U84)),TEXT(INDEX(상세표[종료],$U84),"yyyy-mm-dd hh:mm"),INDEX(상세표[종료],$U84)&amp;""))</f>
        <v/>
      </c>
      <c r="P84">
        <f>IF($U84="","",INDEX(상세표[06~07시],$U84))</f>
        <v/>
      </c>
      <c r="Q84">
        <f>IF($U84="","",INDEX(상세표[07~18시],$U84))</f>
        <v/>
      </c>
      <c r="R84">
        <f>IF($U84="","",INDEX(상세표[18~22시],$U84))</f>
        <v/>
      </c>
      <c r="S84">
        <f>IF($U84="","",INDEX(상세표[22~06시],$U84))</f>
        <v/>
      </c>
      <c r="T84">
        <f>IF($U84="","",INDEX(상세표[기록 시간외],$U84))</f>
        <v/>
      </c>
      <c r="U84" s="4">
        <f>IFERROR(MATCH(79,상세표[발송순번],0),"")</f>
        <v/>
      </c>
    </row>
    <row r="85">
      <c r="A85">
        <f>IF($H85="","",INDEX(상세표[사번],$H85)&amp;"")</f>
        <v/>
      </c>
      <c r="B85">
        <f>IF($H85="","",INDEX(상세표[성명],$H85)&amp;"")</f>
        <v/>
      </c>
      <c r="C85">
        <f>IF($H85="","",INDEX(상세표[부서],$H85)&amp;"")</f>
        <v/>
      </c>
      <c r="D85">
        <f>IF($H85="","",IF(IFERROR(INDEX(합계표[직위(통합)],MATCH(INDEX(상세표[사번키],$H85),합계표[사번키],0))&amp;"","")="",INDEX(상세표[직위],$H85)&amp;"",IFERROR(INDEX(합계표[직위(통합)],MATCH(INDEX(상세표[사번키],$H85),합계표[사번키],0))&amp;"","")))</f>
        <v/>
      </c>
      <c r="E85">
        <f>IF($H85="","",COUNTIFS(상세표[사번키],INDEX(상세표[사번키],$H85),상세표[기록월],대상월키))</f>
        <v/>
      </c>
      <c r="F85">
        <f>IF($H85="","",SUMIFS(상세표[기록 시간외],상세표[사번키],INDEX(상세표[사번키],$H85),상세표[기록월],대상월키))</f>
        <v/>
      </c>
      <c r="G85">
        <f>IF($H85="","",SUMIFS(합계표[시스템 합계],합계표[사번키],INDEX(상세표[사번키],$H85)))</f>
        <v/>
      </c>
      <c r="H85" s="4">
        <f>IFERROR(MATCH(80,상세표[발송인원순번],0),"")</f>
        <v/>
      </c>
      <c r="J85">
        <f>IF($U85="","",INDEX(상세표[사번],$U85)&amp;"")</f>
        <v/>
      </c>
      <c r="K85">
        <f>IF($U85="","",INDEX(상세표[성명],$U85)&amp;"")</f>
        <v/>
      </c>
      <c r="L85">
        <f>IF($U85="","",INDEX(상세표[직위],$U85)&amp;"")</f>
        <v/>
      </c>
      <c r="M85">
        <f>IF($U85="","",IF(ISNUMBER(INDEX(상세표[근무일자],$U85)),TEXT(INDEX(상세표[근무일자],$U85),"yyyy-mm-dd"),INDEX(상세표[근무일자],$U85)&amp;""))</f>
        <v/>
      </c>
      <c r="N85">
        <f>IF($U85="","",IF(ISNUMBER(INDEX(상세표[시작],$U85)),TEXT(INDEX(상세표[시작],$U85),"yyyy-mm-dd hh:mm"),INDEX(상세표[시작],$U85)&amp;""))</f>
        <v/>
      </c>
      <c r="O85">
        <f>IF($U85="","",IF(ISNUMBER(INDEX(상세표[종료],$U85)),TEXT(INDEX(상세표[종료],$U85),"yyyy-mm-dd hh:mm"),INDEX(상세표[종료],$U85)&amp;""))</f>
        <v/>
      </c>
      <c r="P85">
        <f>IF($U85="","",INDEX(상세표[06~07시],$U85))</f>
        <v/>
      </c>
      <c r="Q85">
        <f>IF($U85="","",INDEX(상세표[07~18시],$U85))</f>
        <v/>
      </c>
      <c r="R85">
        <f>IF($U85="","",INDEX(상세표[18~22시],$U85))</f>
        <v/>
      </c>
      <c r="S85">
        <f>IF($U85="","",INDEX(상세표[22~06시],$U85))</f>
        <v/>
      </c>
      <c r="T85">
        <f>IF($U85="","",INDEX(상세표[기록 시간외],$U85))</f>
        <v/>
      </c>
      <c r="U85" s="4">
        <f>IFERROR(MATCH(80,상세표[발송순번],0),"")</f>
        <v/>
      </c>
    </row>
    <row r="86">
      <c r="A86">
        <f>IF($H86="","",INDEX(상세표[사번],$H86)&amp;"")</f>
        <v/>
      </c>
      <c r="B86">
        <f>IF($H86="","",INDEX(상세표[성명],$H86)&amp;"")</f>
        <v/>
      </c>
      <c r="C86">
        <f>IF($H86="","",INDEX(상세표[부서],$H86)&amp;"")</f>
        <v/>
      </c>
      <c r="D86">
        <f>IF($H86="","",IF(IFERROR(INDEX(합계표[직위(통합)],MATCH(INDEX(상세표[사번키],$H86),합계표[사번키],0))&amp;"","")="",INDEX(상세표[직위],$H86)&amp;"",IFERROR(INDEX(합계표[직위(통합)],MATCH(INDEX(상세표[사번키],$H86),합계표[사번키],0))&amp;"","")))</f>
        <v/>
      </c>
      <c r="E86">
        <f>IF($H86="","",COUNTIFS(상세표[사번키],INDEX(상세표[사번키],$H86),상세표[기록월],대상월키))</f>
        <v/>
      </c>
      <c r="F86">
        <f>IF($H86="","",SUMIFS(상세표[기록 시간외],상세표[사번키],INDEX(상세표[사번키],$H86),상세표[기록월],대상월키))</f>
        <v/>
      </c>
      <c r="G86">
        <f>IF($H86="","",SUMIFS(합계표[시스템 합계],합계표[사번키],INDEX(상세표[사번키],$H86)))</f>
        <v/>
      </c>
      <c r="H86" s="4">
        <f>IFERROR(MATCH(81,상세표[발송인원순번],0),"")</f>
        <v/>
      </c>
      <c r="J86">
        <f>IF($U86="","",INDEX(상세표[사번],$U86)&amp;"")</f>
        <v/>
      </c>
      <c r="K86">
        <f>IF($U86="","",INDEX(상세표[성명],$U86)&amp;"")</f>
        <v/>
      </c>
      <c r="L86">
        <f>IF($U86="","",INDEX(상세표[직위],$U86)&amp;"")</f>
        <v/>
      </c>
      <c r="M86">
        <f>IF($U86="","",IF(ISNUMBER(INDEX(상세표[근무일자],$U86)),TEXT(INDEX(상세표[근무일자],$U86),"yyyy-mm-dd"),INDEX(상세표[근무일자],$U86)&amp;""))</f>
        <v/>
      </c>
      <c r="N86">
        <f>IF($U86="","",IF(ISNUMBER(INDEX(상세표[시작],$U86)),TEXT(INDEX(상세표[시작],$U86),"yyyy-mm-dd hh:mm"),INDEX(상세표[시작],$U86)&amp;""))</f>
        <v/>
      </c>
      <c r="O86">
        <f>IF($U86="","",IF(ISNUMBER(INDEX(상세표[종료],$U86)),TEXT(INDEX(상세표[종료],$U86),"yyyy-mm-dd hh:mm"),INDEX(상세표[종료],$U86)&amp;""))</f>
        <v/>
      </c>
      <c r="P86">
        <f>IF($U86="","",INDEX(상세표[06~07시],$U86))</f>
        <v/>
      </c>
      <c r="Q86">
        <f>IF($U86="","",INDEX(상세표[07~18시],$U86))</f>
        <v/>
      </c>
      <c r="R86">
        <f>IF($U86="","",INDEX(상세표[18~22시],$U86))</f>
        <v/>
      </c>
      <c r="S86">
        <f>IF($U86="","",INDEX(상세표[22~06시],$U86))</f>
        <v/>
      </c>
      <c r="T86">
        <f>IF($U86="","",INDEX(상세표[기록 시간외],$U86))</f>
        <v/>
      </c>
      <c r="U86" s="4">
        <f>IFERROR(MATCH(81,상세표[발송순번],0),"")</f>
        <v/>
      </c>
    </row>
    <row r="87">
      <c r="A87">
        <f>IF($H87="","",INDEX(상세표[사번],$H87)&amp;"")</f>
        <v/>
      </c>
      <c r="B87">
        <f>IF($H87="","",INDEX(상세표[성명],$H87)&amp;"")</f>
        <v/>
      </c>
      <c r="C87">
        <f>IF($H87="","",INDEX(상세표[부서],$H87)&amp;"")</f>
        <v/>
      </c>
      <c r="D87">
        <f>IF($H87="","",IF(IFERROR(INDEX(합계표[직위(통합)],MATCH(INDEX(상세표[사번키],$H87),합계표[사번키],0))&amp;"","")="",INDEX(상세표[직위],$H87)&amp;"",IFERROR(INDEX(합계표[직위(통합)],MATCH(INDEX(상세표[사번키],$H87),합계표[사번키],0))&amp;"","")))</f>
        <v/>
      </c>
      <c r="E87">
        <f>IF($H87="","",COUNTIFS(상세표[사번키],INDEX(상세표[사번키],$H87),상세표[기록월],대상월키))</f>
        <v/>
      </c>
      <c r="F87">
        <f>IF($H87="","",SUMIFS(상세표[기록 시간외],상세표[사번키],INDEX(상세표[사번키],$H87),상세표[기록월],대상월키))</f>
        <v/>
      </c>
      <c r="G87">
        <f>IF($H87="","",SUMIFS(합계표[시스템 합계],합계표[사번키],INDEX(상세표[사번키],$H87)))</f>
        <v/>
      </c>
      <c r="H87" s="4">
        <f>IFERROR(MATCH(82,상세표[발송인원순번],0),"")</f>
        <v/>
      </c>
      <c r="J87">
        <f>IF($U87="","",INDEX(상세표[사번],$U87)&amp;"")</f>
        <v/>
      </c>
      <c r="K87">
        <f>IF($U87="","",INDEX(상세표[성명],$U87)&amp;"")</f>
        <v/>
      </c>
      <c r="L87">
        <f>IF($U87="","",INDEX(상세표[직위],$U87)&amp;"")</f>
        <v/>
      </c>
      <c r="M87">
        <f>IF($U87="","",IF(ISNUMBER(INDEX(상세표[근무일자],$U87)),TEXT(INDEX(상세표[근무일자],$U87),"yyyy-mm-dd"),INDEX(상세표[근무일자],$U87)&amp;""))</f>
        <v/>
      </c>
      <c r="N87">
        <f>IF($U87="","",IF(ISNUMBER(INDEX(상세표[시작],$U87)),TEXT(INDEX(상세표[시작],$U87),"yyyy-mm-dd hh:mm"),INDEX(상세표[시작],$U87)&amp;""))</f>
        <v/>
      </c>
      <c r="O87">
        <f>IF($U87="","",IF(ISNUMBER(INDEX(상세표[종료],$U87)),TEXT(INDEX(상세표[종료],$U87),"yyyy-mm-dd hh:mm"),INDEX(상세표[종료],$U87)&amp;""))</f>
        <v/>
      </c>
      <c r="P87">
        <f>IF($U87="","",INDEX(상세표[06~07시],$U87))</f>
        <v/>
      </c>
      <c r="Q87">
        <f>IF($U87="","",INDEX(상세표[07~18시],$U87))</f>
        <v/>
      </c>
      <c r="R87">
        <f>IF($U87="","",INDEX(상세표[18~22시],$U87))</f>
        <v/>
      </c>
      <c r="S87">
        <f>IF($U87="","",INDEX(상세표[22~06시],$U87))</f>
        <v/>
      </c>
      <c r="T87">
        <f>IF($U87="","",INDEX(상세표[기록 시간외],$U87))</f>
        <v/>
      </c>
      <c r="U87" s="4">
        <f>IFERROR(MATCH(82,상세표[발송순번],0),"")</f>
        <v/>
      </c>
    </row>
    <row r="88">
      <c r="A88">
        <f>IF($H88="","",INDEX(상세표[사번],$H88)&amp;"")</f>
        <v/>
      </c>
      <c r="B88">
        <f>IF($H88="","",INDEX(상세표[성명],$H88)&amp;"")</f>
        <v/>
      </c>
      <c r="C88">
        <f>IF($H88="","",INDEX(상세표[부서],$H88)&amp;"")</f>
        <v/>
      </c>
      <c r="D88">
        <f>IF($H88="","",IF(IFERROR(INDEX(합계표[직위(통합)],MATCH(INDEX(상세표[사번키],$H88),합계표[사번키],0))&amp;"","")="",INDEX(상세표[직위],$H88)&amp;"",IFERROR(INDEX(합계표[직위(통합)],MATCH(INDEX(상세표[사번키],$H88),합계표[사번키],0))&amp;"","")))</f>
        <v/>
      </c>
      <c r="E88">
        <f>IF($H88="","",COUNTIFS(상세표[사번키],INDEX(상세표[사번키],$H88),상세표[기록월],대상월키))</f>
        <v/>
      </c>
      <c r="F88">
        <f>IF($H88="","",SUMIFS(상세표[기록 시간외],상세표[사번키],INDEX(상세표[사번키],$H88),상세표[기록월],대상월키))</f>
        <v/>
      </c>
      <c r="G88">
        <f>IF($H88="","",SUMIFS(합계표[시스템 합계],합계표[사번키],INDEX(상세표[사번키],$H88)))</f>
        <v/>
      </c>
      <c r="H88" s="4">
        <f>IFERROR(MATCH(83,상세표[발송인원순번],0),"")</f>
        <v/>
      </c>
      <c r="J88">
        <f>IF($U88="","",INDEX(상세표[사번],$U88)&amp;"")</f>
        <v/>
      </c>
      <c r="K88">
        <f>IF($U88="","",INDEX(상세표[성명],$U88)&amp;"")</f>
        <v/>
      </c>
      <c r="L88">
        <f>IF($U88="","",INDEX(상세표[직위],$U88)&amp;"")</f>
        <v/>
      </c>
      <c r="M88">
        <f>IF($U88="","",IF(ISNUMBER(INDEX(상세표[근무일자],$U88)),TEXT(INDEX(상세표[근무일자],$U88),"yyyy-mm-dd"),INDEX(상세표[근무일자],$U88)&amp;""))</f>
        <v/>
      </c>
      <c r="N88">
        <f>IF($U88="","",IF(ISNUMBER(INDEX(상세표[시작],$U88)),TEXT(INDEX(상세표[시작],$U88),"yyyy-mm-dd hh:mm"),INDEX(상세표[시작],$U88)&amp;""))</f>
        <v/>
      </c>
      <c r="O88">
        <f>IF($U88="","",IF(ISNUMBER(INDEX(상세표[종료],$U88)),TEXT(INDEX(상세표[종료],$U88),"yyyy-mm-dd hh:mm"),INDEX(상세표[종료],$U88)&amp;""))</f>
        <v/>
      </c>
      <c r="P88">
        <f>IF($U88="","",INDEX(상세표[06~07시],$U88))</f>
        <v/>
      </c>
      <c r="Q88">
        <f>IF($U88="","",INDEX(상세표[07~18시],$U88))</f>
        <v/>
      </c>
      <c r="R88">
        <f>IF($U88="","",INDEX(상세표[18~22시],$U88))</f>
        <v/>
      </c>
      <c r="S88">
        <f>IF($U88="","",INDEX(상세표[22~06시],$U88))</f>
        <v/>
      </c>
      <c r="T88">
        <f>IF($U88="","",INDEX(상세표[기록 시간외],$U88))</f>
        <v/>
      </c>
      <c r="U88" s="4">
        <f>IFERROR(MATCH(83,상세표[발송순번],0),"")</f>
        <v/>
      </c>
    </row>
    <row r="89">
      <c r="A89">
        <f>IF($H89="","",INDEX(상세표[사번],$H89)&amp;"")</f>
        <v/>
      </c>
      <c r="B89">
        <f>IF($H89="","",INDEX(상세표[성명],$H89)&amp;"")</f>
        <v/>
      </c>
      <c r="C89">
        <f>IF($H89="","",INDEX(상세표[부서],$H89)&amp;"")</f>
        <v/>
      </c>
      <c r="D89">
        <f>IF($H89="","",IF(IFERROR(INDEX(합계표[직위(통합)],MATCH(INDEX(상세표[사번키],$H89),합계표[사번키],0))&amp;"","")="",INDEX(상세표[직위],$H89)&amp;"",IFERROR(INDEX(합계표[직위(통합)],MATCH(INDEX(상세표[사번키],$H89),합계표[사번키],0))&amp;"","")))</f>
        <v/>
      </c>
      <c r="E89">
        <f>IF($H89="","",COUNTIFS(상세표[사번키],INDEX(상세표[사번키],$H89),상세표[기록월],대상월키))</f>
        <v/>
      </c>
      <c r="F89">
        <f>IF($H89="","",SUMIFS(상세표[기록 시간외],상세표[사번키],INDEX(상세표[사번키],$H89),상세표[기록월],대상월키))</f>
        <v/>
      </c>
      <c r="G89">
        <f>IF($H89="","",SUMIFS(합계표[시스템 합계],합계표[사번키],INDEX(상세표[사번키],$H89)))</f>
        <v/>
      </c>
      <c r="H89" s="4">
        <f>IFERROR(MATCH(84,상세표[발송인원순번],0),"")</f>
        <v/>
      </c>
      <c r="J89">
        <f>IF($U89="","",INDEX(상세표[사번],$U89)&amp;"")</f>
        <v/>
      </c>
      <c r="K89">
        <f>IF($U89="","",INDEX(상세표[성명],$U89)&amp;"")</f>
        <v/>
      </c>
      <c r="L89">
        <f>IF($U89="","",INDEX(상세표[직위],$U89)&amp;"")</f>
        <v/>
      </c>
      <c r="M89">
        <f>IF($U89="","",IF(ISNUMBER(INDEX(상세표[근무일자],$U89)),TEXT(INDEX(상세표[근무일자],$U89),"yyyy-mm-dd"),INDEX(상세표[근무일자],$U89)&amp;""))</f>
        <v/>
      </c>
      <c r="N89">
        <f>IF($U89="","",IF(ISNUMBER(INDEX(상세표[시작],$U89)),TEXT(INDEX(상세표[시작],$U89),"yyyy-mm-dd hh:mm"),INDEX(상세표[시작],$U89)&amp;""))</f>
        <v/>
      </c>
      <c r="O89">
        <f>IF($U89="","",IF(ISNUMBER(INDEX(상세표[종료],$U89)),TEXT(INDEX(상세표[종료],$U89),"yyyy-mm-dd hh:mm"),INDEX(상세표[종료],$U89)&amp;""))</f>
        <v/>
      </c>
      <c r="P89">
        <f>IF($U89="","",INDEX(상세표[06~07시],$U89))</f>
        <v/>
      </c>
      <c r="Q89">
        <f>IF($U89="","",INDEX(상세표[07~18시],$U89))</f>
        <v/>
      </c>
      <c r="R89">
        <f>IF($U89="","",INDEX(상세표[18~22시],$U89))</f>
        <v/>
      </c>
      <c r="S89">
        <f>IF($U89="","",INDEX(상세표[22~06시],$U89))</f>
        <v/>
      </c>
      <c r="T89">
        <f>IF($U89="","",INDEX(상세표[기록 시간외],$U89))</f>
        <v/>
      </c>
      <c r="U89" s="4">
        <f>IFERROR(MATCH(84,상세표[발송순번],0),"")</f>
        <v/>
      </c>
    </row>
    <row r="90">
      <c r="A90">
        <f>IF($H90="","",INDEX(상세표[사번],$H90)&amp;"")</f>
        <v/>
      </c>
      <c r="B90">
        <f>IF($H90="","",INDEX(상세표[성명],$H90)&amp;"")</f>
        <v/>
      </c>
      <c r="C90">
        <f>IF($H90="","",INDEX(상세표[부서],$H90)&amp;"")</f>
        <v/>
      </c>
      <c r="D90">
        <f>IF($H90="","",IF(IFERROR(INDEX(합계표[직위(통합)],MATCH(INDEX(상세표[사번키],$H90),합계표[사번키],0))&amp;"","")="",INDEX(상세표[직위],$H90)&amp;"",IFERROR(INDEX(합계표[직위(통합)],MATCH(INDEX(상세표[사번키],$H90),합계표[사번키],0))&amp;"","")))</f>
        <v/>
      </c>
      <c r="E90">
        <f>IF($H90="","",COUNTIFS(상세표[사번키],INDEX(상세표[사번키],$H90),상세표[기록월],대상월키))</f>
        <v/>
      </c>
      <c r="F90">
        <f>IF($H90="","",SUMIFS(상세표[기록 시간외],상세표[사번키],INDEX(상세표[사번키],$H90),상세표[기록월],대상월키))</f>
        <v/>
      </c>
      <c r="G90">
        <f>IF($H90="","",SUMIFS(합계표[시스템 합계],합계표[사번키],INDEX(상세표[사번키],$H90)))</f>
        <v/>
      </c>
      <c r="H90" s="4">
        <f>IFERROR(MATCH(85,상세표[발송인원순번],0),"")</f>
        <v/>
      </c>
      <c r="J90">
        <f>IF($U90="","",INDEX(상세표[사번],$U90)&amp;"")</f>
        <v/>
      </c>
      <c r="K90">
        <f>IF($U90="","",INDEX(상세표[성명],$U90)&amp;"")</f>
        <v/>
      </c>
      <c r="L90">
        <f>IF($U90="","",INDEX(상세표[직위],$U90)&amp;"")</f>
        <v/>
      </c>
      <c r="M90">
        <f>IF($U90="","",IF(ISNUMBER(INDEX(상세표[근무일자],$U90)),TEXT(INDEX(상세표[근무일자],$U90),"yyyy-mm-dd"),INDEX(상세표[근무일자],$U90)&amp;""))</f>
        <v/>
      </c>
      <c r="N90">
        <f>IF($U90="","",IF(ISNUMBER(INDEX(상세표[시작],$U90)),TEXT(INDEX(상세표[시작],$U90),"yyyy-mm-dd hh:mm"),INDEX(상세표[시작],$U90)&amp;""))</f>
        <v/>
      </c>
      <c r="O90">
        <f>IF($U90="","",IF(ISNUMBER(INDEX(상세표[종료],$U90)),TEXT(INDEX(상세표[종료],$U90),"yyyy-mm-dd hh:mm"),INDEX(상세표[종료],$U90)&amp;""))</f>
        <v/>
      </c>
      <c r="P90">
        <f>IF($U90="","",INDEX(상세표[06~07시],$U90))</f>
        <v/>
      </c>
      <c r="Q90">
        <f>IF($U90="","",INDEX(상세표[07~18시],$U90))</f>
        <v/>
      </c>
      <c r="R90">
        <f>IF($U90="","",INDEX(상세표[18~22시],$U90))</f>
        <v/>
      </c>
      <c r="S90">
        <f>IF($U90="","",INDEX(상세표[22~06시],$U90))</f>
        <v/>
      </c>
      <c r="T90">
        <f>IF($U90="","",INDEX(상세표[기록 시간외],$U90))</f>
        <v/>
      </c>
      <c r="U90" s="4">
        <f>IFERROR(MATCH(85,상세표[발송순번],0),"")</f>
        <v/>
      </c>
    </row>
    <row r="91">
      <c r="A91">
        <f>IF($H91="","",INDEX(상세표[사번],$H91)&amp;"")</f>
        <v/>
      </c>
      <c r="B91">
        <f>IF($H91="","",INDEX(상세표[성명],$H91)&amp;"")</f>
        <v/>
      </c>
      <c r="C91">
        <f>IF($H91="","",INDEX(상세표[부서],$H91)&amp;"")</f>
        <v/>
      </c>
      <c r="D91">
        <f>IF($H91="","",IF(IFERROR(INDEX(합계표[직위(통합)],MATCH(INDEX(상세표[사번키],$H91),합계표[사번키],0))&amp;"","")="",INDEX(상세표[직위],$H91)&amp;"",IFERROR(INDEX(합계표[직위(통합)],MATCH(INDEX(상세표[사번키],$H91),합계표[사번키],0))&amp;"","")))</f>
        <v/>
      </c>
      <c r="E91">
        <f>IF($H91="","",COUNTIFS(상세표[사번키],INDEX(상세표[사번키],$H91),상세표[기록월],대상월키))</f>
        <v/>
      </c>
      <c r="F91">
        <f>IF($H91="","",SUMIFS(상세표[기록 시간외],상세표[사번키],INDEX(상세표[사번키],$H91),상세표[기록월],대상월키))</f>
        <v/>
      </c>
      <c r="G91">
        <f>IF($H91="","",SUMIFS(합계표[시스템 합계],합계표[사번키],INDEX(상세표[사번키],$H91)))</f>
        <v/>
      </c>
      <c r="H91" s="4">
        <f>IFERROR(MATCH(86,상세표[발송인원순번],0),"")</f>
        <v/>
      </c>
      <c r="J91">
        <f>IF($U91="","",INDEX(상세표[사번],$U91)&amp;"")</f>
        <v/>
      </c>
      <c r="K91">
        <f>IF($U91="","",INDEX(상세표[성명],$U91)&amp;"")</f>
        <v/>
      </c>
      <c r="L91">
        <f>IF($U91="","",INDEX(상세표[직위],$U91)&amp;"")</f>
        <v/>
      </c>
      <c r="M91">
        <f>IF($U91="","",IF(ISNUMBER(INDEX(상세표[근무일자],$U91)),TEXT(INDEX(상세표[근무일자],$U91),"yyyy-mm-dd"),INDEX(상세표[근무일자],$U91)&amp;""))</f>
        <v/>
      </c>
      <c r="N91">
        <f>IF($U91="","",IF(ISNUMBER(INDEX(상세표[시작],$U91)),TEXT(INDEX(상세표[시작],$U91),"yyyy-mm-dd hh:mm"),INDEX(상세표[시작],$U91)&amp;""))</f>
        <v/>
      </c>
      <c r="O91">
        <f>IF($U91="","",IF(ISNUMBER(INDEX(상세표[종료],$U91)),TEXT(INDEX(상세표[종료],$U91),"yyyy-mm-dd hh:mm"),INDEX(상세표[종료],$U91)&amp;""))</f>
        <v/>
      </c>
      <c r="P91">
        <f>IF($U91="","",INDEX(상세표[06~07시],$U91))</f>
        <v/>
      </c>
      <c r="Q91">
        <f>IF($U91="","",INDEX(상세표[07~18시],$U91))</f>
        <v/>
      </c>
      <c r="R91">
        <f>IF($U91="","",INDEX(상세표[18~22시],$U91))</f>
        <v/>
      </c>
      <c r="S91">
        <f>IF($U91="","",INDEX(상세표[22~06시],$U91))</f>
        <v/>
      </c>
      <c r="T91">
        <f>IF($U91="","",INDEX(상세표[기록 시간외],$U91))</f>
        <v/>
      </c>
      <c r="U91" s="4">
        <f>IFERROR(MATCH(86,상세표[발송순번],0),"")</f>
        <v/>
      </c>
    </row>
    <row r="92">
      <c r="A92">
        <f>IF($H92="","",INDEX(상세표[사번],$H92)&amp;"")</f>
        <v/>
      </c>
      <c r="B92">
        <f>IF($H92="","",INDEX(상세표[성명],$H92)&amp;"")</f>
        <v/>
      </c>
      <c r="C92">
        <f>IF($H92="","",INDEX(상세표[부서],$H92)&amp;"")</f>
        <v/>
      </c>
      <c r="D92">
        <f>IF($H92="","",IF(IFERROR(INDEX(합계표[직위(통합)],MATCH(INDEX(상세표[사번키],$H92),합계표[사번키],0))&amp;"","")="",INDEX(상세표[직위],$H92)&amp;"",IFERROR(INDEX(합계표[직위(통합)],MATCH(INDEX(상세표[사번키],$H92),합계표[사번키],0))&amp;"","")))</f>
        <v/>
      </c>
      <c r="E92">
        <f>IF($H92="","",COUNTIFS(상세표[사번키],INDEX(상세표[사번키],$H92),상세표[기록월],대상월키))</f>
        <v/>
      </c>
      <c r="F92">
        <f>IF($H92="","",SUMIFS(상세표[기록 시간외],상세표[사번키],INDEX(상세표[사번키],$H92),상세표[기록월],대상월키))</f>
        <v/>
      </c>
      <c r="G92">
        <f>IF($H92="","",SUMIFS(합계표[시스템 합계],합계표[사번키],INDEX(상세표[사번키],$H92)))</f>
        <v/>
      </c>
      <c r="H92" s="4">
        <f>IFERROR(MATCH(87,상세표[발송인원순번],0),"")</f>
        <v/>
      </c>
      <c r="J92">
        <f>IF($U92="","",INDEX(상세표[사번],$U92)&amp;"")</f>
        <v/>
      </c>
      <c r="K92">
        <f>IF($U92="","",INDEX(상세표[성명],$U92)&amp;"")</f>
        <v/>
      </c>
      <c r="L92">
        <f>IF($U92="","",INDEX(상세표[직위],$U92)&amp;"")</f>
        <v/>
      </c>
      <c r="M92">
        <f>IF($U92="","",IF(ISNUMBER(INDEX(상세표[근무일자],$U92)),TEXT(INDEX(상세표[근무일자],$U92),"yyyy-mm-dd"),INDEX(상세표[근무일자],$U92)&amp;""))</f>
        <v/>
      </c>
      <c r="N92">
        <f>IF($U92="","",IF(ISNUMBER(INDEX(상세표[시작],$U92)),TEXT(INDEX(상세표[시작],$U92),"yyyy-mm-dd hh:mm"),INDEX(상세표[시작],$U92)&amp;""))</f>
        <v/>
      </c>
      <c r="O92">
        <f>IF($U92="","",IF(ISNUMBER(INDEX(상세표[종료],$U92)),TEXT(INDEX(상세표[종료],$U92),"yyyy-mm-dd hh:mm"),INDEX(상세표[종료],$U92)&amp;""))</f>
        <v/>
      </c>
      <c r="P92">
        <f>IF($U92="","",INDEX(상세표[06~07시],$U92))</f>
        <v/>
      </c>
      <c r="Q92">
        <f>IF($U92="","",INDEX(상세표[07~18시],$U92))</f>
        <v/>
      </c>
      <c r="R92">
        <f>IF($U92="","",INDEX(상세표[18~22시],$U92))</f>
        <v/>
      </c>
      <c r="S92">
        <f>IF($U92="","",INDEX(상세표[22~06시],$U92))</f>
        <v/>
      </c>
      <c r="T92">
        <f>IF($U92="","",INDEX(상세표[기록 시간외],$U92))</f>
        <v/>
      </c>
      <c r="U92" s="4">
        <f>IFERROR(MATCH(87,상세표[발송순번],0),"")</f>
        <v/>
      </c>
    </row>
    <row r="93">
      <c r="A93">
        <f>IF($H93="","",INDEX(상세표[사번],$H93)&amp;"")</f>
        <v/>
      </c>
      <c r="B93">
        <f>IF($H93="","",INDEX(상세표[성명],$H93)&amp;"")</f>
        <v/>
      </c>
      <c r="C93">
        <f>IF($H93="","",INDEX(상세표[부서],$H93)&amp;"")</f>
        <v/>
      </c>
      <c r="D93">
        <f>IF($H93="","",IF(IFERROR(INDEX(합계표[직위(통합)],MATCH(INDEX(상세표[사번키],$H93),합계표[사번키],0))&amp;"","")="",INDEX(상세표[직위],$H93)&amp;"",IFERROR(INDEX(합계표[직위(통합)],MATCH(INDEX(상세표[사번키],$H93),합계표[사번키],0))&amp;"","")))</f>
        <v/>
      </c>
      <c r="E93">
        <f>IF($H93="","",COUNTIFS(상세표[사번키],INDEX(상세표[사번키],$H93),상세표[기록월],대상월키))</f>
        <v/>
      </c>
      <c r="F93">
        <f>IF($H93="","",SUMIFS(상세표[기록 시간외],상세표[사번키],INDEX(상세표[사번키],$H93),상세표[기록월],대상월키))</f>
        <v/>
      </c>
      <c r="G93">
        <f>IF($H93="","",SUMIFS(합계표[시스템 합계],합계표[사번키],INDEX(상세표[사번키],$H93)))</f>
        <v/>
      </c>
      <c r="H93" s="4">
        <f>IFERROR(MATCH(88,상세표[발송인원순번],0),"")</f>
        <v/>
      </c>
      <c r="J93">
        <f>IF($U93="","",INDEX(상세표[사번],$U93)&amp;"")</f>
        <v/>
      </c>
      <c r="K93">
        <f>IF($U93="","",INDEX(상세표[성명],$U93)&amp;"")</f>
        <v/>
      </c>
      <c r="L93">
        <f>IF($U93="","",INDEX(상세표[직위],$U93)&amp;"")</f>
        <v/>
      </c>
      <c r="M93">
        <f>IF($U93="","",IF(ISNUMBER(INDEX(상세표[근무일자],$U93)),TEXT(INDEX(상세표[근무일자],$U93),"yyyy-mm-dd"),INDEX(상세표[근무일자],$U93)&amp;""))</f>
        <v/>
      </c>
      <c r="N93">
        <f>IF($U93="","",IF(ISNUMBER(INDEX(상세표[시작],$U93)),TEXT(INDEX(상세표[시작],$U93),"yyyy-mm-dd hh:mm"),INDEX(상세표[시작],$U93)&amp;""))</f>
        <v/>
      </c>
      <c r="O93">
        <f>IF($U93="","",IF(ISNUMBER(INDEX(상세표[종료],$U93)),TEXT(INDEX(상세표[종료],$U93),"yyyy-mm-dd hh:mm"),INDEX(상세표[종료],$U93)&amp;""))</f>
        <v/>
      </c>
      <c r="P93">
        <f>IF($U93="","",INDEX(상세표[06~07시],$U93))</f>
        <v/>
      </c>
      <c r="Q93">
        <f>IF($U93="","",INDEX(상세표[07~18시],$U93))</f>
        <v/>
      </c>
      <c r="R93">
        <f>IF($U93="","",INDEX(상세표[18~22시],$U93))</f>
        <v/>
      </c>
      <c r="S93">
        <f>IF($U93="","",INDEX(상세표[22~06시],$U93))</f>
        <v/>
      </c>
      <c r="T93">
        <f>IF($U93="","",INDEX(상세표[기록 시간외],$U93))</f>
        <v/>
      </c>
      <c r="U93" s="4">
        <f>IFERROR(MATCH(88,상세표[발송순번],0),"")</f>
        <v/>
      </c>
    </row>
    <row r="94">
      <c r="A94">
        <f>IF($H94="","",INDEX(상세표[사번],$H94)&amp;"")</f>
        <v/>
      </c>
      <c r="B94">
        <f>IF($H94="","",INDEX(상세표[성명],$H94)&amp;"")</f>
        <v/>
      </c>
      <c r="C94">
        <f>IF($H94="","",INDEX(상세표[부서],$H94)&amp;"")</f>
        <v/>
      </c>
      <c r="D94">
        <f>IF($H94="","",IF(IFERROR(INDEX(합계표[직위(통합)],MATCH(INDEX(상세표[사번키],$H94),합계표[사번키],0))&amp;"","")="",INDEX(상세표[직위],$H94)&amp;"",IFERROR(INDEX(합계표[직위(통합)],MATCH(INDEX(상세표[사번키],$H94),합계표[사번키],0))&amp;"","")))</f>
        <v/>
      </c>
      <c r="E94">
        <f>IF($H94="","",COUNTIFS(상세표[사번키],INDEX(상세표[사번키],$H94),상세표[기록월],대상월키))</f>
        <v/>
      </c>
      <c r="F94">
        <f>IF($H94="","",SUMIFS(상세표[기록 시간외],상세표[사번키],INDEX(상세표[사번키],$H94),상세표[기록월],대상월키))</f>
        <v/>
      </c>
      <c r="G94">
        <f>IF($H94="","",SUMIFS(합계표[시스템 합계],합계표[사번키],INDEX(상세표[사번키],$H94)))</f>
        <v/>
      </c>
      <c r="H94" s="4">
        <f>IFERROR(MATCH(89,상세표[발송인원순번],0),"")</f>
        <v/>
      </c>
      <c r="J94">
        <f>IF($U94="","",INDEX(상세표[사번],$U94)&amp;"")</f>
        <v/>
      </c>
      <c r="K94">
        <f>IF($U94="","",INDEX(상세표[성명],$U94)&amp;"")</f>
        <v/>
      </c>
      <c r="L94">
        <f>IF($U94="","",INDEX(상세표[직위],$U94)&amp;"")</f>
        <v/>
      </c>
      <c r="M94">
        <f>IF($U94="","",IF(ISNUMBER(INDEX(상세표[근무일자],$U94)),TEXT(INDEX(상세표[근무일자],$U94),"yyyy-mm-dd"),INDEX(상세표[근무일자],$U94)&amp;""))</f>
        <v/>
      </c>
      <c r="N94">
        <f>IF($U94="","",IF(ISNUMBER(INDEX(상세표[시작],$U94)),TEXT(INDEX(상세표[시작],$U94),"yyyy-mm-dd hh:mm"),INDEX(상세표[시작],$U94)&amp;""))</f>
        <v/>
      </c>
      <c r="O94">
        <f>IF($U94="","",IF(ISNUMBER(INDEX(상세표[종료],$U94)),TEXT(INDEX(상세표[종료],$U94),"yyyy-mm-dd hh:mm"),INDEX(상세표[종료],$U94)&amp;""))</f>
        <v/>
      </c>
      <c r="P94">
        <f>IF($U94="","",INDEX(상세표[06~07시],$U94))</f>
        <v/>
      </c>
      <c r="Q94">
        <f>IF($U94="","",INDEX(상세표[07~18시],$U94))</f>
        <v/>
      </c>
      <c r="R94">
        <f>IF($U94="","",INDEX(상세표[18~22시],$U94))</f>
        <v/>
      </c>
      <c r="S94">
        <f>IF($U94="","",INDEX(상세표[22~06시],$U94))</f>
        <v/>
      </c>
      <c r="T94">
        <f>IF($U94="","",INDEX(상세표[기록 시간외],$U94))</f>
        <v/>
      </c>
      <c r="U94" s="4">
        <f>IFERROR(MATCH(89,상세표[발송순번],0),"")</f>
        <v/>
      </c>
    </row>
    <row r="95">
      <c r="A95">
        <f>IF($H95="","",INDEX(상세표[사번],$H95)&amp;"")</f>
        <v/>
      </c>
      <c r="B95">
        <f>IF($H95="","",INDEX(상세표[성명],$H95)&amp;"")</f>
        <v/>
      </c>
      <c r="C95">
        <f>IF($H95="","",INDEX(상세표[부서],$H95)&amp;"")</f>
        <v/>
      </c>
      <c r="D95">
        <f>IF($H95="","",IF(IFERROR(INDEX(합계표[직위(통합)],MATCH(INDEX(상세표[사번키],$H95),합계표[사번키],0))&amp;"","")="",INDEX(상세표[직위],$H95)&amp;"",IFERROR(INDEX(합계표[직위(통합)],MATCH(INDEX(상세표[사번키],$H95),합계표[사번키],0))&amp;"","")))</f>
        <v/>
      </c>
      <c r="E95">
        <f>IF($H95="","",COUNTIFS(상세표[사번키],INDEX(상세표[사번키],$H95),상세표[기록월],대상월키))</f>
        <v/>
      </c>
      <c r="F95">
        <f>IF($H95="","",SUMIFS(상세표[기록 시간외],상세표[사번키],INDEX(상세표[사번키],$H95),상세표[기록월],대상월키))</f>
        <v/>
      </c>
      <c r="G95">
        <f>IF($H95="","",SUMIFS(합계표[시스템 합계],합계표[사번키],INDEX(상세표[사번키],$H95)))</f>
        <v/>
      </c>
      <c r="H95" s="4">
        <f>IFERROR(MATCH(90,상세표[발송인원순번],0),"")</f>
        <v/>
      </c>
      <c r="J95">
        <f>IF($U95="","",INDEX(상세표[사번],$U95)&amp;"")</f>
        <v/>
      </c>
      <c r="K95">
        <f>IF($U95="","",INDEX(상세표[성명],$U95)&amp;"")</f>
        <v/>
      </c>
      <c r="L95">
        <f>IF($U95="","",INDEX(상세표[직위],$U95)&amp;"")</f>
        <v/>
      </c>
      <c r="M95">
        <f>IF($U95="","",IF(ISNUMBER(INDEX(상세표[근무일자],$U95)),TEXT(INDEX(상세표[근무일자],$U95),"yyyy-mm-dd"),INDEX(상세표[근무일자],$U95)&amp;""))</f>
        <v/>
      </c>
      <c r="N95">
        <f>IF($U95="","",IF(ISNUMBER(INDEX(상세표[시작],$U95)),TEXT(INDEX(상세표[시작],$U95),"yyyy-mm-dd hh:mm"),INDEX(상세표[시작],$U95)&amp;""))</f>
        <v/>
      </c>
      <c r="O95">
        <f>IF($U95="","",IF(ISNUMBER(INDEX(상세표[종료],$U95)),TEXT(INDEX(상세표[종료],$U95),"yyyy-mm-dd hh:mm"),INDEX(상세표[종료],$U95)&amp;""))</f>
        <v/>
      </c>
      <c r="P95">
        <f>IF($U95="","",INDEX(상세표[06~07시],$U95))</f>
        <v/>
      </c>
      <c r="Q95">
        <f>IF($U95="","",INDEX(상세표[07~18시],$U95))</f>
        <v/>
      </c>
      <c r="R95">
        <f>IF($U95="","",INDEX(상세표[18~22시],$U95))</f>
        <v/>
      </c>
      <c r="S95">
        <f>IF($U95="","",INDEX(상세표[22~06시],$U95))</f>
        <v/>
      </c>
      <c r="T95">
        <f>IF($U95="","",INDEX(상세표[기록 시간외],$U95))</f>
        <v/>
      </c>
      <c r="U95" s="4">
        <f>IFERROR(MATCH(90,상세표[발송순번],0),"")</f>
        <v/>
      </c>
    </row>
    <row r="96">
      <c r="A96">
        <f>IF($H96="","",INDEX(상세표[사번],$H96)&amp;"")</f>
        <v/>
      </c>
      <c r="B96">
        <f>IF($H96="","",INDEX(상세표[성명],$H96)&amp;"")</f>
        <v/>
      </c>
      <c r="C96">
        <f>IF($H96="","",INDEX(상세표[부서],$H96)&amp;"")</f>
        <v/>
      </c>
      <c r="D96">
        <f>IF($H96="","",IF(IFERROR(INDEX(합계표[직위(통합)],MATCH(INDEX(상세표[사번키],$H96),합계표[사번키],0))&amp;"","")="",INDEX(상세표[직위],$H96)&amp;"",IFERROR(INDEX(합계표[직위(통합)],MATCH(INDEX(상세표[사번키],$H96),합계표[사번키],0))&amp;"","")))</f>
        <v/>
      </c>
      <c r="E96">
        <f>IF($H96="","",COUNTIFS(상세표[사번키],INDEX(상세표[사번키],$H96),상세표[기록월],대상월키))</f>
        <v/>
      </c>
      <c r="F96">
        <f>IF($H96="","",SUMIFS(상세표[기록 시간외],상세표[사번키],INDEX(상세표[사번키],$H96),상세표[기록월],대상월키))</f>
        <v/>
      </c>
      <c r="G96">
        <f>IF($H96="","",SUMIFS(합계표[시스템 합계],합계표[사번키],INDEX(상세표[사번키],$H96)))</f>
        <v/>
      </c>
      <c r="H96" s="4">
        <f>IFERROR(MATCH(91,상세표[발송인원순번],0),"")</f>
        <v/>
      </c>
      <c r="J96">
        <f>IF($U96="","",INDEX(상세표[사번],$U96)&amp;"")</f>
        <v/>
      </c>
      <c r="K96">
        <f>IF($U96="","",INDEX(상세표[성명],$U96)&amp;"")</f>
        <v/>
      </c>
      <c r="L96">
        <f>IF($U96="","",INDEX(상세표[직위],$U96)&amp;"")</f>
        <v/>
      </c>
      <c r="M96">
        <f>IF($U96="","",IF(ISNUMBER(INDEX(상세표[근무일자],$U96)),TEXT(INDEX(상세표[근무일자],$U96),"yyyy-mm-dd"),INDEX(상세표[근무일자],$U96)&amp;""))</f>
        <v/>
      </c>
      <c r="N96">
        <f>IF($U96="","",IF(ISNUMBER(INDEX(상세표[시작],$U96)),TEXT(INDEX(상세표[시작],$U96),"yyyy-mm-dd hh:mm"),INDEX(상세표[시작],$U96)&amp;""))</f>
        <v/>
      </c>
      <c r="O96">
        <f>IF($U96="","",IF(ISNUMBER(INDEX(상세표[종료],$U96)),TEXT(INDEX(상세표[종료],$U96),"yyyy-mm-dd hh:mm"),INDEX(상세표[종료],$U96)&amp;""))</f>
        <v/>
      </c>
      <c r="P96">
        <f>IF($U96="","",INDEX(상세표[06~07시],$U96))</f>
        <v/>
      </c>
      <c r="Q96">
        <f>IF($U96="","",INDEX(상세표[07~18시],$U96))</f>
        <v/>
      </c>
      <c r="R96">
        <f>IF($U96="","",INDEX(상세표[18~22시],$U96))</f>
        <v/>
      </c>
      <c r="S96">
        <f>IF($U96="","",INDEX(상세표[22~06시],$U96))</f>
        <v/>
      </c>
      <c r="T96">
        <f>IF($U96="","",INDEX(상세표[기록 시간외],$U96))</f>
        <v/>
      </c>
      <c r="U96" s="4">
        <f>IFERROR(MATCH(91,상세표[발송순번],0),"")</f>
        <v/>
      </c>
    </row>
    <row r="97">
      <c r="A97">
        <f>IF($H97="","",INDEX(상세표[사번],$H97)&amp;"")</f>
        <v/>
      </c>
      <c r="B97">
        <f>IF($H97="","",INDEX(상세표[성명],$H97)&amp;"")</f>
        <v/>
      </c>
      <c r="C97">
        <f>IF($H97="","",INDEX(상세표[부서],$H97)&amp;"")</f>
        <v/>
      </c>
      <c r="D97">
        <f>IF($H97="","",IF(IFERROR(INDEX(합계표[직위(통합)],MATCH(INDEX(상세표[사번키],$H97),합계표[사번키],0))&amp;"","")="",INDEX(상세표[직위],$H97)&amp;"",IFERROR(INDEX(합계표[직위(통합)],MATCH(INDEX(상세표[사번키],$H97),합계표[사번키],0))&amp;"","")))</f>
        <v/>
      </c>
      <c r="E97">
        <f>IF($H97="","",COUNTIFS(상세표[사번키],INDEX(상세표[사번키],$H97),상세표[기록월],대상월키))</f>
        <v/>
      </c>
      <c r="F97">
        <f>IF($H97="","",SUMIFS(상세표[기록 시간외],상세표[사번키],INDEX(상세표[사번키],$H97),상세표[기록월],대상월키))</f>
        <v/>
      </c>
      <c r="G97">
        <f>IF($H97="","",SUMIFS(합계표[시스템 합계],합계표[사번키],INDEX(상세표[사번키],$H97)))</f>
        <v/>
      </c>
      <c r="H97" s="4">
        <f>IFERROR(MATCH(92,상세표[발송인원순번],0),"")</f>
        <v/>
      </c>
      <c r="J97">
        <f>IF($U97="","",INDEX(상세표[사번],$U97)&amp;"")</f>
        <v/>
      </c>
      <c r="K97">
        <f>IF($U97="","",INDEX(상세표[성명],$U97)&amp;"")</f>
        <v/>
      </c>
      <c r="L97">
        <f>IF($U97="","",INDEX(상세표[직위],$U97)&amp;"")</f>
        <v/>
      </c>
      <c r="M97">
        <f>IF($U97="","",IF(ISNUMBER(INDEX(상세표[근무일자],$U97)),TEXT(INDEX(상세표[근무일자],$U97),"yyyy-mm-dd"),INDEX(상세표[근무일자],$U97)&amp;""))</f>
        <v/>
      </c>
      <c r="N97">
        <f>IF($U97="","",IF(ISNUMBER(INDEX(상세표[시작],$U97)),TEXT(INDEX(상세표[시작],$U97),"yyyy-mm-dd hh:mm"),INDEX(상세표[시작],$U97)&amp;""))</f>
        <v/>
      </c>
      <c r="O97">
        <f>IF($U97="","",IF(ISNUMBER(INDEX(상세표[종료],$U97)),TEXT(INDEX(상세표[종료],$U97),"yyyy-mm-dd hh:mm"),INDEX(상세표[종료],$U97)&amp;""))</f>
        <v/>
      </c>
      <c r="P97">
        <f>IF($U97="","",INDEX(상세표[06~07시],$U97))</f>
        <v/>
      </c>
      <c r="Q97">
        <f>IF($U97="","",INDEX(상세표[07~18시],$U97))</f>
        <v/>
      </c>
      <c r="R97">
        <f>IF($U97="","",INDEX(상세표[18~22시],$U97))</f>
        <v/>
      </c>
      <c r="S97">
        <f>IF($U97="","",INDEX(상세표[22~06시],$U97))</f>
        <v/>
      </c>
      <c r="T97">
        <f>IF($U97="","",INDEX(상세표[기록 시간외],$U97))</f>
        <v/>
      </c>
      <c r="U97" s="4">
        <f>IFERROR(MATCH(92,상세표[발송순번],0),"")</f>
        <v/>
      </c>
    </row>
    <row r="98">
      <c r="A98">
        <f>IF($H98="","",INDEX(상세표[사번],$H98)&amp;"")</f>
        <v/>
      </c>
      <c r="B98">
        <f>IF($H98="","",INDEX(상세표[성명],$H98)&amp;"")</f>
        <v/>
      </c>
      <c r="C98">
        <f>IF($H98="","",INDEX(상세표[부서],$H98)&amp;"")</f>
        <v/>
      </c>
      <c r="D98">
        <f>IF($H98="","",IF(IFERROR(INDEX(합계표[직위(통합)],MATCH(INDEX(상세표[사번키],$H98),합계표[사번키],0))&amp;"","")="",INDEX(상세표[직위],$H98)&amp;"",IFERROR(INDEX(합계표[직위(통합)],MATCH(INDEX(상세표[사번키],$H98),합계표[사번키],0))&amp;"","")))</f>
        <v/>
      </c>
      <c r="E98">
        <f>IF($H98="","",COUNTIFS(상세표[사번키],INDEX(상세표[사번키],$H98),상세표[기록월],대상월키))</f>
        <v/>
      </c>
      <c r="F98">
        <f>IF($H98="","",SUMIFS(상세표[기록 시간외],상세표[사번키],INDEX(상세표[사번키],$H98),상세표[기록월],대상월키))</f>
        <v/>
      </c>
      <c r="G98">
        <f>IF($H98="","",SUMIFS(합계표[시스템 합계],합계표[사번키],INDEX(상세표[사번키],$H98)))</f>
        <v/>
      </c>
      <c r="H98" s="4">
        <f>IFERROR(MATCH(93,상세표[발송인원순번],0),"")</f>
        <v/>
      </c>
      <c r="J98">
        <f>IF($U98="","",INDEX(상세표[사번],$U98)&amp;"")</f>
        <v/>
      </c>
      <c r="K98">
        <f>IF($U98="","",INDEX(상세표[성명],$U98)&amp;"")</f>
        <v/>
      </c>
      <c r="L98">
        <f>IF($U98="","",INDEX(상세표[직위],$U98)&amp;"")</f>
        <v/>
      </c>
      <c r="M98">
        <f>IF($U98="","",IF(ISNUMBER(INDEX(상세표[근무일자],$U98)),TEXT(INDEX(상세표[근무일자],$U98),"yyyy-mm-dd"),INDEX(상세표[근무일자],$U98)&amp;""))</f>
        <v/>
      </c>
      <c r="N98">
        <f>IF($U98="","",IF(ISNUMBER(INDEX(상세표[시작],$U98)),TEXT(INDEX(상세표[시작],$U98),"yyyy-mm-dd hh:mm"),INDEX(상세표[시작],$U98)&amp;""))</f>
        <v/>
      </c>
      <c r="O98">
        <f>IF($U98="","",IF(ISNUMBER(INDEX(상세표[종료],$U98)),TEXT(INDEX(상세표[종료],$U98),"yyyy-mm-dd hh:mm"),INDEX(상세표[종료],$U98)&amp;""))</f>
        <v/>
      </c>
      <c r="P98">
        <f>IF($U98="","",INDEX(상세표[06~07시],$U98))</f>
        <v/>
      </c>
      <c r="Q98">
        <f>IF($U98="","",INDEX(상세표[07~18시],$U98))</f>
        <v/>
      </c>
      <c r="R98">
        <f>IF($U98="","",INDEX(상세표[18~22시],$U98))</f>
        <v/>
      </c>
      <c r="S98">
        <f>IF($U98="","",INDEX(상세표[22~06시],$U98))</f>
        <v/>
      </c>
      <c r="T98">
        <f>IF($U98="","",INDEX(상세표[기록 시간외],$U98))</f>
        <v/>
      </c>
      <c r="U98" s="4">
        <f>IFERROR(MATCH(93,상세표[발송순번],0),"")</f>
        <v/>
      </c>
    </row>
    <row r="99">
      <c r="A99">
        <f>IF($H99="","",INDEX(상세표[사번],$H99)&amp;"")</f>
        <v/>
      </c>
      <c r="B99">
        <f>IF($H99="","",INDEX(상세표[성명],$H99)&amp;"")</f>
        <v/>
      </c>
      <c r="C99">
        <f>IF($H99="","",INDEX(상세표[부서],$H99)&amp;"")</f>
        <v/>
      </c>
      <c r="D99">
        <f>IF($H99="","",IF(IFERROR(INDEX(합계표[직위(통합)],MATCH(INDEX(상세표[사번키],$H99),합계표[사번키],0))&amp;"","")="",INDEX(상세표[직위],$H99)&amp;"",IFERROR(INDEX(합계표[직위(통합)],MATCH(INDEX(상세표[사번키],$H99),합계표[사번키],0))&amp;"","")))</f>
        <v/>
      </c>
      <c r="E99">
        <f>IF($H99="","",COUNTIFS(상세표[사번키],INDEX(상세표[사번키],$H99),상세표[기록월],대상월키))</f>
        <v/>
      </c>
      <c r="F99">
        <f>IF($H99="","",SUMIFS(상세표[기록 시간외],상세표[사번키],INDEX(상세표[사번키],$H99),상세표[기록월],대상월키))</f>
        <v/>
      </c>
      <c r="G99">
        <f>IF($H99="","",SUMIFS(합계표[시스템 합계],합계표[사번키],INDEX(상세표[사번키],$H99)))</f>
        <v/>
      </c>
      <c r="H99" s="4">
        <f>IFERROR(MATCH(94,상세표[발송인원순번],0),"")</f>
        <v/>
      </c>
      <c r="J99">
        <f>IF($U99="","",INDEX(상세표[사번],$U99)&amp;"")</f>
        <v/>
      </c>
      <c r="K99">
        <f>IF($U99="","",INDEX(상세표[성명],$U99)&amp;"")</f>
        <v/>
      </c>
      <c r="L99">
        <f>IF($U99="","",INDEX(상세표[직위],$U99)&amp;"")</f>
        <v/>
      </c>
      <c r="M99">
        <f>IF($U99="","",IF(ISNUMBER(INDEX(상세표[근무일자],$U99)),TEXT(INDEX(상세표[근무일자],$U99),"yyyy-mm-dd"),INDEX(상세표[근무일자],$U99)&amp;""))</f>
        <v/>
      </c>
      <c r="N99">
        <f>IF($U99="","",IF(ISNUMBER(INDEX(상세표[시작],$U99)),TEXT(INDEX(상세표[시작],$U99),"yyyy-mm-dd hh:mm"),INDEX(상세표[시작],$U99)&amp;""))</f>
        <v/>
      </c>
      <c r="O99">
        <f>IF($U99="","",IF(ISNUMBER(INDEX(상세표[종료],$U99)),TEXT(INDEX(상세표[종료],$U99),"yyyy-mm-dd hh:mm"),INDEX(상세표[종료],$U99)&amp;""))</f>
        <v/>
      </c>
      <c r="P99">
        <f>IF($U99="","",INDEX(상세표[06~07시],$U99))</f>
        <v/>
      </c>
      <c r="Q99">
        <f>IF($U99="","",INDEX(상세표[07~18시],$U99))</f>
        <v/>
      </c>
      <c r="R99">
        <f>IF($U99="","",INDEX(상세표[18~22시],$U99))</f>
        <v/>
      </c>
      <c r="S99">
        <f>IF($U99="","",INDEX(상세표[22~06시],$U99))</f>
        <v/>
      </c>
      <c r="T99">
        <f>IF($U99="","",INDEX(상세표[기록 시간외],$U99))</f>
        <v/>
      </c>
      <c r="U99" s="4">
        <f>IFERROR(MATCH(94,상세표[발송순번],0),"")</f>
        <v/>
      </c>
    </row>
    <row r="100">
      <c r="A100">
        <f>IF($H100="","",INDEX(상세표[사번],$H100)&amp;"")</f>
        <v/>
      </c>
      <c r="B100">
        <f>IF($H100="","",INDEX(상세표[성명],$H100)&amp;"")</f>
        <v/>
      </c>
      <c r="C100">
        <f>IF($H100="","",INDEX(상세표[부서],$H100)&amp;"")</f>
        <v/>
      </c>
      <c r="D100">
        <f>IF($H100="","",IF(IFERROR(INDEX(합계표[직위(통합)],MATCH(INDEX(상세표[사번키],$H100),합계표[사번키],0))&amp;"","")="",INDEX(상세표[직위],$H100)&amp;"",IFERROR(INDEX(합계표[직위(통합)],MATCH(INDEX(상세표[사번키],$H100),합계표[사번키],0))&amp;"","")))</f>
        <v/>
      </c>
      <c r="E100">
        <f>IF($H100="","",COUNTIFS(상세표[사번키],INDEX(상세표[사번키],$H100),상세표[기록월],대상월키))</f>
        <v/>
      </c>
      <c r="F100">
        <f>IF($H100="","",SUMIFS(상세표[기록 시간외],상세표[사번키],INDEX(상세표[사번키],$H100),상세표[기록월],대상월키))</f>
        <v/>
      </c>
      <c r="G100">
        <f>IF($H100="","",SUMIFS(합계표[시스템 합계],합계표[사번키],INDEX(상세표[사번키],$H100)))</f>
        <v/>
      </c>
      <c r="H100" s="4">
        <f>IFERROR(MATCH(95,상세표[발송인원순번],0),"")</f>
        <v/>
      </c>
      <c r="J100">
        <f>IF($U100="","",INDEX(상세표[사번],$U100)&amp;"")</f>
        <v/>
      </c>
      <c r="K100">
        <f>IF($U100="","",INDEX(상세표[성명],$U100)&amp;"")</f>
        <v/>
      </c>
      <c r="L100">
        <f>IF($U100="","",INDEX(상세표[직위],$U100)&amp;"")</f>
        <v/>
      </c>
      <c r="M100">
        <f>IF($U100="","",IF(ISNUMBER(INDEX(상세표[근무일자],$U100)),TEXT(INDEX(상세표[근무일자],$U100),"yyyy-mm-dd"),INDEX(상세표[근무일자],$U100)&amp;""))</f>
        <v/>
      </c>
      <c r="N100">
        <f>IF($U100="","",IF(ISNUMBER(INDEX(상세표[시작],$U100)),TEXT(INDEX(상세표[시작],$U100),"yyyy-mm-dd hh:mm"),INDEX(상세표[시작],$U100)&amp;""))</f>
        <v/>
      </c>
      <c r="O100">
        <f>IF($U100="","",IF(ISNUMBER(INDEX(상세표[종료],$U100)),TEXT(INDEX(상세표[종료],$U100),"yyyy-mm-dd hh:mm"),INDEX(상세표[종료],$U100)&amp;""))</f>
        <v/>
      </c>
      <c r="P100">
        <f>IF($U100="","",INDEX(상세표[06~07시],$U100))</f>
        <v/>
      </c>
      <c r="Q100">
        <f>IF($U100="","",INDEX(상세표[07~18시],$U100))</f>
        <v/>
      </c>
      <c r="R100">
        <f>IF($U100="","",INDEX(상세표[18~22시],$U100))</f>
        <v/>
      </c>
      <c r="S100">
        <f>IF($U100="","",INDEX(상세표[22~06시],$U100))</f>
        <v/>
      </c>
      <c r="T100">
        <f>IF($U100="","",INDEX(상세표[기록 시간외],$U100))</f>
        <v/>
      </c>
      <c r="U100" s="4">
        <f>IFERROR(MATCH(95,상세표[발송순번],0),"")</f>
        <v/>
      </c>
    </row>
    <row r="101">
      <c r="A101">
        <f>IF($H101="","",INDEX(상세표[사번],$H101)&amp;"")</f>
        <v/>
      </c>
      <c r="B101">
        <f>IF($H101="","",INDEX(상세표[성명],$H101)&amp;"")</f>
        <v/>
      </c>
      <c r="C101">
        <f>IF($H101="","",INDEX(상세표[부서],$H101)&amp;"")</f>
        <v/>
      </c>
      <c r="D101">
        <f>IF($H101="","",IF(IFERROR(INDEX(합계표[직위(통합)],MATCH(INDEX(상세표[사번키],$H101),합계표[사번키],0))&amp;"","")="",INDEX(상세표[직위],$H101)&amp;"",IFERROR(INDEX(합계표[직위(통합)],MATCH(INDEX(상세표[사번키],$H101),합계표[사번키],0))&amp;"","")))</f>
        <v/>
      </c>
      <c r="E101">
        <f>IF($H101="","",COUNTIFS(상세표[사번키],INDEX(상세표[사번키],$H101),상세표[기록월],대상월키))</f>
        <v/>
      </c>
      <c r="F101">
        <f>IF($H101="","",SUMIFS(상세표[기록 시간외],상세표[사번키],INDEX(상세표[사번키],$H101),상세표[기록월],대상월키))</f>
        <v/>
      </c>
      <c r="G101">
        <f>IF($H101="","",SUMIFS(합계표[시스템 합계],합계표[사번키],INDEX(상세표[사번키],$H101)))</f>
        <v/>
      </c>
      <c r="H101" s="4">
        <f>IFERROR(MATCH(96,상세표[발송인원순번],0),"")</f>
        <v/>
      </c>
      <c r="J101">
        <f>IF($U101="","",INDEX(상세표[사번],$U101)&amp;"")</f>
        <v/>
      </c>
      <c r="K101">
        <f>IF($U101="","",INDEX(상세표[성명],$U101)&amp;"")</f>
        <v/>
      </c>
      <c r="L101">
        <f>IF($U101="","",INDEX(상세표[직위],$U101)&amp;"")</f>
        <v/>
      </c>
      <c r="M101">
        <f>IF($U101="","",IF(ISNUMBER(INDEX(상세표[근무일자],$U101)),TEXT(INDEX(상세표[근무일자],$U101),"yyyy-mm-dd"),INDEX(상세표[근무일자],$U101)&amp;""))</f>
        <v/>
      </c>
      <c r="N101">
        <f>IF($U101="","",IF(ISNUMBER(INDEX(상세표[시작],$U101)),TEXT(INDEX(상세표[시작],$U101),"yyyy-mm-dd hh:mm"),INDEX(상세표[시작],$U101)&amp;""))</f>
        <v/>
      </c>
      <c r="O101">
        <f>IF($U101="","",IF(ISNUMBER(INDEX(상세표[종료],$U101)),TEXT(INDEX(상세표[종료],$U101),"yyyy-mm-dd hh:mm"),INDEX(상세표[종료],$U101)&amp;""))</f>
        <v/>
      </c>
      <c r="P101">
        <f>IF($U101="","",INDEX(상세표[06~07시],$U101))</f>
        <v/>
      </c>
      <c r="Q101">
        <f>IF($U101="","",INDEX(상세표[07~18시],$U101))</f>
        <v/>
      </c>
      <c r="R101">
        <f>IF($U101="","",INDEX(상세표[18~22시],$U101))</f>
        <v/>
      </c>
      <c r="S101">
        <f>IF($U101="","",INDEX(상세표[22~06시],$U101))</f>
        <v/>
      </c>
      <c r="T101">
        <f>IF($U101="","",INDEX(상세표[기록 시간외],$U101))</f>
        <v/>
      </c>
      <c r="U101" s="4">
        <f>IFERROR(MATCH(96,상세표[발송순번],0),"")</f>
        <v/>
      </c>
    </row>
    <row r="102">
      <c r="A102">
        <f>IF($H102="","",INDEX(상세표[사번],$H102)&amp;"")</f>
        <v/>
      </c>
      <c r="B102">
        <f>IF($H102="","",INDEX(상세표[성명],$H102)&amp;"")</f>
        <v/>
      </c>
      <c r="C102">
        <f>IF($H102="","",INDEX(상세표[부서],$H102)&amp;"")</f>
        <v/>
      </c>
      <c r="D102">
        <f>IF($H102="","",IF(IFERROR(INDEX(합계표[직위(통합)],MATCH(INDEX(상세표[사번키],$H102),합계표[사번키],0))&amp;"","")="",INDEX(상세표[직위],$H102)&amp;"",IFERROR(INDEX(합계표[직위(통합)],MATCH(INDEX(상세표[사번키],$H102),합계표[사번키],0))&amp;"","")))</f>
        <v/>
      </c>
      <c r="E102">
        <f>IF($H102="","",COUNTIFS(상세표[사번키],INDEX(상세표[사번키],$H102),상세표[기록월],대상월키))</f>
        <v/>
      </c>
      <c r="F102">
        <f>IF($H102="","",SUMIFS(상세표[기록 시간외],상세표[사번키],INDEX(상세표[사번키],$H102),상세표[기록월],대상월키))</f>
        <v/>
      </c>
      <c r="G102">
        <f>IF($H102="","",SUMIFS(합계표[시스템 합계],합계표[사번키],INDEX(상세표[사번키],$H102)))</f>
        <v/>
      </c>
      <c r="H102" s="4">
        <f>IFERROR(MATCH(97,상세표[발송인원순번],0),"")</f>
        <v/>
      </c>
      <c r="J102">
        <f>IF($U102="","",INDEX(상세표[사번],$U102)&amp;"")</f>
        <v/>
      </c>
      <c r="K102">
        <f>IF($U102="","",INDEX(상세표[성명],$U102)&amp;"")</f>
        <v/>
      </c>
      <c r="L102">
        <f>IF($U102="","",INDEX(상세표[직위],$U102)&amp;"")</f>
        <v/>
      </c>
      <c r="M102">
        <f>IF($U102="","",IF(ISNUMBER(INDEX(상세표[근무일자],$U102)),TEXT(INDEX(상세표[근무일자],$U102),"yyyy-mm-dd"),INDEX(상세표[근무일자],$U102)&amp;""))</f>
        <v/>
      </c>
      <c r="N102">
        <f>IF($U102="","",IF(ISNUMBER(INDEX(상세표[시작],$U102)),TEXT(INDEX(상세표[시작],$U102),"yyyy-mm-dd hh:mm"),INDEX(상세표[시작],$U102)&amp;""))</f>
        <v/>
      </c>
      <c r="O102">
        <f>IF($U102="","",IF(ISNUMBER(INDEX(상세표[종료],$U102)),TEXT(INDEX(상세표[종료],$U102),"yyyy-mm-dd hh:mm"),INDEX(상세표[종료],$U102)&amp;""))</f>
        <v/>
      </c>
      <c r="P102">
        <f>IF($U102="","",INDEX(상세표[06~07시],$U102))</f>
        <v/>
      </c>
      <c r="Q102">
        <f>IF($U102="","",INDEX(상세표[07~18시],$U102))</f>
        <v/>
      </c>
      <c r="R102">
        <f>IF($U102="","",INDEX(상세표[18~22시],$U102))</f>
        <v/>
      </c>
      <c r="S102">
        <f>IF($U102="","",INDEX(상세표[22~06시],$U102))</f>
        <v/>
      </c>
      <c r="T102">
        <f>IF($U102="","",INDEX(상세표[기록 시간외],$U102))</f>
        <v/>
      </c>
      <c r="U102" s="4">
        <f>IFERROR(MATCH(97,상세표[발송순번],0),"")</f>
        <v/>
      </c>
    </row>
    <row r="103">
      <c r="A103">
        <f>IF($H103="","",INDEX(상세표[사번],$H103)&amp;"")</f>
        <v/>
      </c>
      <c r="B103">
        <f>IF($H103="","",INDEX(상세표[성명],$H103)&amp;"")</f>
        <v/>
      </c>
      <c r="C103">
        <f>IF($H103="","",INDEX(상세표[부서],$H103)&amp;"")</f>
        <v/>
      </c>
      <c r="D103">
        <f>IF($H103="","",IF(IFERROR(INDEX(합계표[직위(통합)],MATCH(INDEX(상세표[사번키],$H103),합계표[사번키],0))&amp;"","")="",INDEX(상세표[직위],$H103)&amp;"",IFERROR(INDEX(합계표[직위(통합)],MATCH(INDEX(상세표[사번키],$H103),합계표[사번키],0))&amp;"","")))</f>
        <v/>
      </c>
      <c r="E103">
        <f>IF($H103="","",COUNTIFS(상세표[사번키],INDEX(상세표[사번키],$H103),상세표[기록월],대상월키))</f>
        <v/>
      </c>
      <c r="F103">
        <f>IF($H103="","",SUMIFS(상세표[기록 시간외],상세표[사번키],INDEX(상세표[사번키],$H103),상세표[기록월],대상월키))</f>
        <v/>
      </c>
      <c r="G103">
        <f>IF($H103="","",SUMIFS(합계표[시스템 합계],합계표[사번키],INDEX(상세표[사번키],$H103)))</f>
        <v/>
      </c>
      <c r="H103" s="4">
        <f>IFERROR(MATCH(98,상세표[발송인원순번],0),"")</f>
        <v/>
      </c>
      <c r="J103">
        <f>IF($U103="","",INDEX(상세표[사번],$U103)&amp;"")</f>
        <v/>
      </c>
      <c r="K103">
        <f>IF($U103="","",INDEX(상세표[성명],$U103)&amp;"")</f>
        <v/>
      </c>
      <c r="L103">
        <f>IF($U103="","",INDEX(상세표[직위],$U103)&amp;"")</f>
        <v/>
      </c>
      <c r="M103">
        <f>IF($U103="","",IF(ISNUMBER(INDEX(상세표[근무일자],$U103)),TEXT(INDEX(상세표[근무일자],$U103),"yyyy-mm-dd"),INDEX(상세표[근무일자],$U103)&amp;""))</f>
        <v/>
      </c>
      <c r="N103">
        <f>IF($U103="","",IF(ISNUMBER(INDEX(상세표[시작],$U103)),TEXT(INDEX(상세표[시작],$U103),"yyyy-mm-dd hh:mm"),INDEX(상세표[시작],$U103)&amp;""))</f>
        <v/>
      </c>
      <c r="O103">
        <f>IF($U103="","",IF(ISNUMBER(INDEX(상세표[종료],$U103)),TEXT(INDEX(상세표[종료],$U103),"yyyy-mm-dd hh:mm"),INDEX(상세표[종료],$U103)&amp;""))</f>
        <v/>
      </c>
      <c r="P103">
        <f>IF($U103="","",INDEX(상세표[06~07시],$U103))</f>
        <v/>
      </c>
      <c r="Q103">
        <f>IF($U103="","",INDEX(상세표[07~18시],$U103))</f>
        <v/>
      </c>
      <c r="R103">
        <f>IF($U103="","",INDEX(상세표[18~22시],$U103))</f>
        <v/>
      </c>
      <c r="S103">
        <f>IF($U103="","",INDEX(상세표[22~06시],$U103))</f>
        <v/>
      </c>
      <c r="T103">
        <f>IF($U103="","",INDEX(상세표[기록 시간외],$U103))</f>
        <v/>
      </c>
      <c r="U103" s="4">
        <f>IFERROR(MATCH(98,상세표[발송순번],0),"")</f>
        <v/>
      </c>
    </row>
    <row r="104">
      <c r="A104">
        <f>IF($H104="","",INDEX(상세표[사번],$H104)&amp;"")</f>
        <v/>
      </c>
      <c r="B104">
        <f>IF($H104="","",INDEX(상세표[성명],$H104)&amp;"")</f>
        <v/>
      </c>
      <c r="C104">
        <f>IF($H104="","",INDEX(상세표[부서],$H104)&amp;"")</f>
        <v/>
      </c>
      <c r="D104">
        <f>IF($H104="","",IF(IFERROR(INDEX(합계표[직위(통합)],MATCH(INDEX(상세표[사번키],$H104),합계표[사번키],0))&amp;"","")="",INDEX(상세표[직위],$H104)&amp;"",IFERROR(INDEX(합계표[직위(통합)],MATCH(INDEX(상세표[사번키],$H104),합계표[사번키],0))&amp;"","")))</f>
        <v/>
      </c>
      <c r="E104">
        <f>IF($H104="","",COUNTIFS(상세표[사번키],INDEX(상세표[사번키],$H104),상세표[기록월],대상월키))</f>
        <v/>
      </c>
      <c r="F104">
        <f>IF($H104="","",SUMIFS(상세표[기록 시간외],상세표[사번키],INDEX(상세표[사번키],$H104),상세표[기록월],대상월키))</f>
        <v/>
      </c>
      <c r="G104">
        <f>IF($H104="","",SUMIFS(합계표[시스템 합계],합계표[사번키],INDEX(상세표[사번키],$H104)))</f>
        <v/>
      </c>
      <c r="H104" s="4">
        <f>IFERROR(MATCH(99,상세표[발송인원순번],0),"")</f>
        <v/>
      </c>
      <c r="J104">
        <f>IF($U104="","",INDEX(상세표[사번],$U104)&amp;"")</f>
        <v/>
      </c>
      <c r="K104">
        <f>IF($U104="","",INDEX(상세표[성명],$U104)&amp;"")</f>
        <v/>
      </c>
      <c r="L104">
        <f>IF($U104="","",INDEX(상세표[직위],$U104)&amp;"")</f>
        <v/>
      </c>
      <c r="M104">
        <f>IF($U104="","",IF(ISNUMBER(INDEX(상세표[근무일자],$U104)),TEXT(INDEX(상세표[근무일자],$U104),"yyyy-mm-dd"),INDEX(상세표[근무일자],$U104)&amp;""))</f>
        <v/>
      </c>
      <c r="N104">
        <f>IF($U104="","",IF(ISNUMBER(INDEX(상세표[시작],$U104)),TEXT(INDEX(상세표[시작],$U104),"yyyy-mm-dd hh:mm"),INDEX(상세표[시작],$U104)&amp;""))</f>
        <v/>
      </c>
      <c r="O104">
        <f>IF($U104="","",IF(ISNUMBER(INDEX(상세표[종료],$U104)),TEXT(INDEX(상세표[종료],$U104),"yyyy-mm-dd hh:mm"),INDEX(상세표[종료],$U104)&amp;""))</f>
        <v/>
      </c>
      <c r="P104">
        <f>IF($U104="","",INDEX(상세표[06~07시],$U104))</f>
        <v/>
      </c>
      <c r="Q104">
        <f>IF($U104="","",INDEX(상세표[07~18시],$U104))</f>
        <v/>
      </c>
      <c r="R104">
        <f>IF($U104="","",INDEX(상세표[18~22시],$U104))</f>
        <v/>
      </c>
      <c r="S104">
        <f>IF($U104="","",INDEX(상세표[22~06시],$U104))</f>
        <v/>
      </c>
      <c r="T104">
        <f>IF($U104="","",INDEX(상세표[기록 시간외],$U104))</f>
        <v/>
      </c>
      <c r="U104" s="4">
        <f>IFERROR(MATCH(99,상세표[발송순번],0),"")</f>
        <v/>
      </c>
    </row>
    <row r="105">
      <c r="A105">
        <f>IF($H105="","",INDEX(상세표[사번],$H105)&amp;"")</f>
        <v/>
      </c>
      <c r="B105">
        <f>IF($H105="","",INDEX(상세표[성명],$H105)&amp;"")</f>
        <v/>
      </c>
      <c r="C105">
        <f>IF($H105="","",INDEX(상세표[부서],$H105)&amp;"")</f>
        <v/>
      </c>
      <c r="D105">
        <f>IF($H105="","",IF(IFERROR(INDEX(합계표[직위(통합)],MATCH(INDEX(상세표[사번키],$H105),합계표[사번키],0))&amp;"","")="",INDEX(상세표[직위],$H105)&amp;"",IFERROR(INDEX(합계표[직위(통합)],MATCH(INDEX(상세표[사번키],$H105),합계표[사번키],0))&amp;"","")))</f>
        <v/>
      </c>
      <c r="E105">
        <f>IF($H105="","",COUNTIFS(상세표[사번키],INDEX(상세표[사번키],$H105),상세표[기록월],대상월키))</f>
        <v/>
      </c>
      <c r="F105">
        <f>IF($H105="","",SUMIFS(상세표[기록 시간외],상세표[사번키],INDEX(상세표[사번키],$H105),상세표[기록월],대상월키))</f>
        <v/>
      </c>
      <c r="G105">
        <f>IF($H105="","",SUMIFS(합계표[시스템 합계],합계표[사번키],INDEX(상세표[사번키],$H105)))</f>
        <v/>
      </c>
      <c r="H105" s="4">
        <f>IFERROR(MATCH(100,상세표[발송인원순번],0),"")</f>
        <v/>
      </c>
      <c r="J105">
        <f>IF($U105="","",INDEX(상세표[사번],$U105)&amp;"")</f>
        <v/>
      </c>
      <c r="K105">
        <f>IF($U105="","",INDEX(상세표[성명],$U105)&amp;"")</f>
        <v/>
      </c>
      <c r="L105">
        <f>IF($U105="","",INDEX(상세표[직위],$U105)&amp;"")</f>
        <v/>
      </c>
      <c r="M105">
        <f>IF($U105="","",IF(ISNUMBER(INDEX(상세표[근무일자],$U105)),TEXT(INDEX(상세표[근무일자],$U105),"yyyy-mm-dd"),INDEX(상세표[근무일자],$U105)&amp;""))</f>
        <v/>
      </c>
      <c r="N105">
        <f>IF($U105="","",IF(ISNUMBER(INDEX(상세표[시작],$U105)),TEXT(INDEX(상세표[시작],$U105),"yyyy-mm-dd hh:mm"),INDEX(상세표[시작],$U105)&amp;""))</f>
        <v/>
      </c>
      <c r="O105">
        <f>IF($U105="","",IF(ISNUMBER(INDEX(상세표[종료],$U105)),TEXT(INDEX(상세표[종료],$U105),"yyyy-mm-dd hh:mm"),INDEX(상세표[종료],$U105)&amp;""))</f>
        <v/>
      </c>
      <c r="P105">
        <f>IF($U105="","",INDEX(상세표[06~07시],$U105))</f>
        <v/>
      </c>
      <c r="Q105">
        <f>IF($U105="","",INDEX(상세표[07~18시],$U105))</f>
        <v/>
      </c>
      <c r="R105">
        <f>IF($U105="","",INDEX(상세표[18~22시],$U105))</f>
        <v/>
      </c>
      <c r="S105">
        <f>IF($U105="","",INDEX(상세표[22~06시],$U105))</f>
        <v/>
      </c>
      <c r="T105">
        <f>IF($U105="","",INDEX(상세표[기록 시간외],$U105))</f>
        <v/>
      </c>
      <c r="U105" s="4">
        <f>IFERROR(MATCH(100,상세표[발송순번],0),"")</f>
        <v/>
      </c>
    </row>
    <row r="106">
      <c r="A106">
        <f>IF($H106="","",INDEX(상세표[사번],$H106)&amp;"")</f>
        <v/>
      </c>
      <c r="B106">
        <f>IF($H106="","",INDEX(상세표[성명],$H106)&amp;"")</f>
        <v/>
      </c>
      <c r="C106">
        <f>IF($H106="","",INDEX(상세표[부서],$H106)&amp;"")</f>
        <v/>
      </c>
      <c r="D106">
        <f>IF($H106="","",IF(IFERROR(INDEX(합계표[직위(통합)],MATCH(INDEX(상세표[사번키],$H106),합계표[사번키],0))&amp;"","")="",INDEX(상세표[직위],$H106)&amp;"",IFERROR(INDEX(합계표[직위(통합)],MATCH(INDEX(상세표[사번키],$H106),합계표[사번키],0))&amp;"","")))</f>
        <v/>
      </c>
      <c r="E106">
        <f>IF($H106="","",COUNTIFS(상세표[사번키],INDEX(상세표[사번키],$H106),상세표[기록월],대상월키))</f>
        <v/>
      </c>
      <c r="F106">
        <f>IF($H106="","",SUMIFS(상세표[기록 시간외],상세표[사번키],INDEX(상세표[사번키],$H106),상세표[기록월],대상월키))</f>
        <v/>
      </c>
      <c r="G106">
        <f>IF($H106="","",SUMIFS(합계표[시스템 합계],합계표[사번키],INDEX(상세표[사번키],$H106)))</f>
        <v/>
      </c>
      <c r="H106" s="4">
        <f>IFERROR(MATCH(101,상세표[발송인원순번],0),"")</f>
        <v/>
      </c>
      <c r="J106">
        <f>IF($U106="","",INDEX(상세표[사번],$U106)&amp;"")</f>
        <v/>
      </c>
      <c r="K106">
        <f>IF($U106="","",INDEX(상세표[성명],$U106)&amp;"")</f>
        <v/>
      </c>
      <c r="L106">
        <f>IF($U106="","",INDEX(상세표[직위],$U106)&amp;"")</f>
        <v/>
      </c>
      <c r="M106">
        <f>IF($U106="","",IF(ISNUMBER(INDEX(상세표[근무일자],$U106)),TEXT(INDEX(상세표[근무일자],$U106),"yyyy-mm-dd"),INDEX(상세표[근무일자],$U106)&amp;""))</f>
        <v/>
      </c>
      <c r="N106">
        <f>IF($U106="","",IF(ISNUMBER(INDEX(상세표[시작],$U106)),TEXT(INDEX(상세표[시작],$U106),"yyyy-mm-dd hh:mm"),INDEX(상세표[시작],$U106)&amp;""))</f>
        <v/>
      </c>
      <c r="O106">
        <f>IF($U106="","",IF(ISNUMBER(INDEX(상세표[종료],$U106)),TEXT(INDEX(상세표[종료],$U106),"yyyy-mm-dd hh:mm"),INDEX(상세표[종료],$U106)&amp;""))</f>
        <v/>
      </c>
      <c r="P106">
        <f>IF($U106="","",INDEX(상세표[06~07시],$U106))</f>
        <v/>
      </c>
      <c r="Q106">
        <f>IF($U106="","",INDEX(상세표[07~18시],$U106))</f>
        <v/>
      </c>
      <c r="R106">
        <f>IF($U106="","",INDEX(상세표[18~22시],$U106))</f>
        <v/>
      </c>
      <c r="S106">
        <f>IF($U106="","",INDEX(상세표[22~06시],$U106))</f>
        <v/>
      </c>
      <c r="T106">
        <f>IF($U106="","",INDEX(상세표[기록 시간외],$U106))</f>
        <v/>
      </c>
      <c r="U106" s="4">
        <f>IFERROR(MATCH(101,상세표[발송순번],0),"")</f>
        <v/>
      </c>
    </row>
    <row r="107">
      <c r="A107">
        <f>IF($H107="","",INDEX(상세표[사번],$H107)&amp;"")</f>
        <v/>
      </c>
      <c r="B107">
        <f>IF($H107="","",INDEX(상세표[성명],$H107)&amp;"")</f>
        <v/>
      </c>
      <c r="C107">
        <f>IF($H107="","",INDEX(상세표[부서],$H107)&amp;"")</f>
        <v/>
      </c>
      <c r="D107">
        <f>IF($H107="","",IF(IFERROR(INDEX(합계표[직위(통합)],MATCH(INDEX(상세표[사번키],$H107),합계표[사번키],0))&amp;"","")="",INDEX(상세표[직위],$H107)&amp;"",IFERROR(INDEX(합계표[직위(통합)],MATCH(INDEX(상세표[사번키],$H107),합계표[사번키],0))&amp;"","")))</f>
        <v/>
      </c>
      <c r="E107">
        <f>IF($H107="","",COUNTIFS(상세표[사번키],INDEX(상세표[사번키],$H107),상세표[기록월],대상월키))</f>
        <v/>
      </c>
      <c r="F107">
        <f>IF($H107="","",SUMIFS(상세표[기록 시간외],상세표[사번키],INDEX(상세표[사번키],$H107),상세표[기록월],대상월키))</f>
        <v/>
      </c>
      <c r="G107">
        <f>IF($H107="","",SUMIFS(합계표[시스템 합계],합계표[사번키],INDEX(상세표[사번키],$H107)))</f>
        <v/>
      </c>
      <c r="H107" s="4">
        <f>IFERROR(MATCH(102,상세표[발송인원순번],0),"")</f>
        <v/>
      </c>
      <c r="J107">
        <f>IF($U107="","",INDEX(상세표[사번],$U107)&amp;"")</f>
        <v/>
      </c>
      <c r="K107">
        <f>IF($U107="","",INDEX(상세표[성명],$U107)&amp;"")</f>
        <v/>
      </c>
      <c r="L107">
        <f>IF($U107="","",INDEX(상세표[직위],$U107)&amp;"")</f>
        <v/>
      </c>
      <c r="M107">
        <f>IF($U107="","",IF(ISNUMBER(INDEX(상세표[근무일자],$U107)),TEXT(INDEX(상세표[근무일자],$U107),"yyyy-mm-dd"),INDEX(상세표[근무일자],$U107)&amp;""))</f>
        <v/>
      </c>
      <c r="N107">
        <f>IF($U107="","",IF(ISNUMBER(INDEX(상세표[시작],$U107)),TEXT(INDEX(상세표[시작],$U107),"yyyy-mm-dd hh:mm"),INDEX(상세표[시작],$U107)&amp;""))</f>
        <v/>
      </c>
      <c r="O107">
        <f>IF($U107="","",IF(ISNUMBER(INDEX(상세표[종료],$U107)),TEXT(INDEX(상세표[종료],$U107),"yyyy-mm-dd hh:mm"),INDEX(상세표[종료],$U107)&amp;""))</f>
        <v/>
      </c>
      <c r="P107">
        <f>IF($U107="","",INDEX(상세표[06~07시],$U107))</f>
        <v/>
      </c>
      <c r="Q107">
        <f>IF($U107="","",INDEX(상세표[07~18시],$U107))</f>
        <v/>
      </c>
      <c r="R107">
        <f>IF($U107="","",INDEX(상세표[18~22시],$U107))</f>
        <v/>
      </c>
      <c r="S107">
        <f>IF($U107="","",INDEX(상세표[22~06시],$U107))</f>
        <v/>
      </c>
      <c r="T107">
        <f>IF($U107="","",INDEX(상세표[기록 시간외],$U107))</f>
        <v/>
      </c>
      <c r="U107" s="4">
        <f>IFERROR(MATCH(102,상세표[발송순번],0),"")</f>
        <v/>
      </c>
    </row>
    <row r="108">
      <c r="A108">
        <f>IF($H108="","",INDEX(상세표[사번],$H108)&amp;"")</f>
        <v/>
      </c>
      <c r="B108">
        <f>IF($H108="","",INDEX(상세표[성명],$H108)&amp;"")</f>
        <v/>
      </c>
      <c r="C108">
        <f>IF($H108="","",INDEX(상세표[부서],$H108)&amp;"")</f>
        <v/>
      </c>
      <c r="D108">
        <f>IF($H108="","",IF(IFERROR(INDEX(합계표[직위(통합)],MATCH(INDEX(상세표[사번키],$H108),합계표[사번키],0))&amp;"","")="",INDEX(상세표[직위],$H108)&amp;"",IFERROR(INDEX(합계표[직위(통합)],MATCH(INDEX(상세표[사번키],$H108),합계표[사번키],0))&amp;"","")))</f>
        <v/>
      </c>
      <c r="E108">
        <f>IF($H108="","",COUNTIFS(상세표[사번키],INDEX(상세표[사번키],$H108),상세표[기록월],대상월키))</f>
        <v/>
      </c>
      <c r="F108">
        <f>IF($H108="","",SUMIFS(상세표[기록 시간외],상세표[사번키],INDEX(상세표[사번키],$H108),상세표[기록월],대상월키))</f>
        <v/>
      </c>
      <c r="G108">
        <f>IF($H108="","",SUMIFS(합계표[시스템 합계],합계표[사번키],INDEX(상세표[사번키],$H108)))</f>
        <v/>
      </c>
      <c r="H108" s="4">
        <f>IFERROR(MATCH(103,상세표[발송인원순번],0),"")</f>
        <v/>
      </c>
      <c r="J108">
        <f>IF($U108="","",INDEX(상세표[사번],$U108)&amp;"")</f>
        <v/>
      </c>
      <c r="K108">
        <f>IF($U108="","",INDEX(상세표[성명],$U108)&amp;"")</f>
        <v/>
      </c>
      <c r="L108">
        <f>IF($U108="","",INDEX(상세표[직위],$U108)&amp;"")</f>
        <v/>
      </c>
      <c r="M108">
        <f>IF($U108="","",IF(ISNUMBER(INDEX(상세표[근무일자],$U108)),TEXT(INDEX(상세표[근무일자],$U108),"yyyy-mm-dd"),INDEX(상세표[근무일자],$U108)&amp;""))</f>
        <v/>
      </c>
      <c r="N108">
        <f>IF($U108="","",IF(ISNUMBER(INDEX(상세표[시작],$U108)),TEXT(INDEX(상세표[시작],$U108),"yyyy-mm-dd hh:mm"),INDEX(상세표[시작],$U108)&amp;""))</f>
        <v/>
      </c>
      <c r="O108">
        <f>IF($U108="","",IF(ISNUMBER(INDEX(상세표[종료],$U108)),TEXT(INDEX(상세표[종료],$U108),"yyyy-mm-dd hh:mm"),INDEX(상세표[종료],$U108)&amp;""))</f>
        <v/>
      </c>
      <c r="P108">
        <f>IF($U108="","",INDEX(상세표[06~07시],$U108))</f>
        <v/>
      </c>
      <c r="Q108">
        <f>IF($U108="","",INDEX(상세표[07~18시],$U108))</f>
        <v/>
      </c>
      <c r="R108">
        <f>IF($U108="","",INDEX(상세표[18~22시],$U108))</f>
        <v/>
      </c>
      <c r="S108">
        <f>IF($U108="","",INDEX(상세표[22~06시],$U108))</f>
        <v/>
      </c>
      <c r="T108">
        <f>IF($U108="","",INDEX(상세표[기록 시간외],$U108))</f>
        <v/>
      </c>
      <c r="U108" s="4">
        <f>IFERROR(MATCH(103,상세표[발송순번],0),"")</f>
        <v/>
      </c>
    </row>
    <row r="109">
      <c r="A109">
        <f>IF($H109="","",INDEX(상세표[사번],$H109)&amp;"")</f>
        <v/>
      </c>
      <c r="B109">
        <f>IF($H109="","",INDEX(상세표[성명],$H109)&amp;"")</f>
        <v/>
      </c>
      <c r="C109">
        <f>IF($H109="","",INDEX(상세표[부서],$H109)&amp;"")</f>
        <v/>
      </c>
      <c r="D109">
        <f>IF($H109="","",IF(IFERROR(INDEX(합계표[직위(통합)],MATCH(INDEX(상세표[사번키],$H109),합계표[사번키],0))&amp;"","")="",INDEX(상세표[직위],$H109)&amp;"",IFERROR(INDEX(합계표[직위(통합)],MATCH(INDEX(상세표[사번키],$H109),합계표[사번키],0))&amp;"","")))</f>
        <v/>
      </c>
      <c r="E109">
        <f>IF($H109="","",COUNTIFS(상세표[사번키],INDEX(상세표[사번키],$H109),상세표[기록월],대상월키))</f>
        <v/>
      </c>
      <c r="F109">
        <f>IF($H109="","",SUMIFS(상세표[기록 시간외],상세표[사번키],INDEX(상세표[사번키],$H109),상세표[기록월],대상월키))</f>
        <v/>
      </c>
      <c r="G109">
        <f>IF($H109="","",SUMIFS(합계표[시스템 합계],합계표[사번키],INDEX(상세표[사번키],$H109)))</f>
        <v/>
      </c>
      <c r="H109" s="4">
        <f>IFERROR(MATCH(104,상세표[발송인원순번],0),"")</f>
        <v/>
      </c>
      <c r="J109">
        <f>IF($U109="","",INDEX(상세표[사번],$U109)&amp;"")</f>
        <v/>
      </c>
      <c r="K109">
        <f>IF($U109="","",INDEX(상세표[성명],$U109)&amp;"")</f>
        <v/>
      </c>
      <c r="L109">
        <f>IF($U109="","",INDEX(상세표[직위],$U109)&amp;"")</f>
        <v/>
      </c>
      <c r="M109">
        <f>IF($U109="","",IF(ISNUMBER(INDEX(상세표[근무일자],$U109)),TEXT(INDEX(상세표[근무일자],$U109),"yyyy-mm-dd"),INDEX(상세표[근무일자],$U109)&amp;""))</f>
        <v/>
      </c>
      <c r="N109">
        <f>IF($U109="","",IF(ISNUMBER(INDEX(상세표[시작],$U109)),TEXT(INDEX(상세표[시작],$U109),"yyyy-mm-dd hh:mm"),INDEX(상세표[시작],$U109)&amp;""))</f>
        <v/>
      </c>
      <c r="O109">
        <f>IF($U109="","",IF(ISNUMBER(INDEX(상세표[종료],$U109)),TEXT(INDEX(상세표[종료],$U109),"yyyy-mm-dd hh:mm"),INDEX(상세표[종료],$U109)&amp;""))</f>
        <v/>
      </c>
      <c r="P109">
        <f>IF($U109="","",INDEX(상세표[06~07시],$U109))</f>
        <v/>
      </c>
      <c r="Q109">
        <f>IF($U109="","",INDEX(상세표[07~18시],$U109))</f>
        <v/>
      </c>
      <c r="R109">
        <f>IF($U109="","",INDEX(상세표[18~22시],$U109))</f>
        <v/>
      </c>
      <c r="S109">
        <f>IF($U109="","",INDEX(상세표[22~06시],$U109))</f>
        <v/>
      </c>
      <c r="T109">
        <f>IF($U109="","",INDEX(상세표[기록 시간외],$U109))</f>
        <v/>
      </c>
      <c r="U109" s="4">
        <f>IFERROR(MATCH(104,상세표[발송순번],0),"")</f>
        <v/>
      </c>
    </row>
    <row r="110">
      <c r="A110">
        <f>IF($H110="","",INDEX(상세표[사번],$H110)&amp;"")</f>
        <v/>
      </c>
      <c r="B110">
        <f>IF($H110="","",INDEX(상세표[성명],$H110)&amp;"")</f>
        <v/>
      </c>
      <c r="C110">
        <f>IF($H110="","",INDEX(상세표[부서],$H110)&amp;"")</f>
        <v/>
      </c>
      <c r="D110">
        <f>IF($H110="","",IF(IFERROR(INDEX(합계표[직위(통합)],MATCH(INDEX(상세표[사번키],$H110),합계표[사번키],0))&amp;"","")="",INDEX(상세표[직위],$H110)&amp;"",IFERROR(INDEX(합계표[직위(통합)],MATCH(INDEX(상세표[사번키],$H110),합계표[사번키],0))&amp;"","")))</f>
        <v/>
      </c>
      <c r="E110">
        <f>IF($H110="","",COUNTIFS(상세표[사번키],INDEX(상세표[사번키],$H110),상세표[기록월],대상월키))</f>
        <v/>
      </c>
      <c r="F110">
        <f>IF($H110="","",SUMIFS(상세표[기록 시간외],상세표[사번키],INDEX(상세표[사번키],$H110),상세표[기록월],대상월키))</f>
        <v/>
      </c>
      <c r="G110">
        <f>IF($H110="","",SUMIFS(합계표[시스템 합계],합계표[사번키],INDEX(상세표[사번키],$H110)))</f>
        <v/>
      </c>
      <c r="H110" s="4">
        <f>IFERROR(MATCH(105,상세표[발송인원순번],0),"")</f>
        <v/>
      </c>
      <c r="J110">
        <f>IF($U110="","",INDEX(상세표[사번],$U110)&amp;"")</f>
        <v/>
      </c>
      <c r="K110">
        <f>IF($U110="","",INDEX(상세표[성명],$U110)&amp;"")</f>
        <v/>
      </c>
      <c r="L110">
        <f>IF($U110="","",INDEX(상세표[직위],$U110)&amp;"")</f>
        <v/>
      </c>
      <c r="M110">
        <f>IF($U110="","",IF(ISNUMBER(INDEX(상세표[근무일자],$U110)),TEXT(INDEX(상세표[근무일자],$U110),"yyyy-mm-dd"),INDEX(상세표[근무일자],$U110)&amp;""))</f>
        <v/>
      </c>
      <c r="N110">
        <f>IF($U110="","",IF(ISNUMBER(INDEX(상세표[시작],$U110)),TEXT(INDEX(상세표[시작],$U110),"yyyy-mm-dd hh:mm"),INDEX(상세표[시작],$U110)&amp;""))</f>
        <v/>
      </c>
      <c r="O110">
        <f>IF($U110="","",IF(ISNUMBER(INDEX(상세표[종료],$U110)),TEXT(INDEX(상세표[종료],$U110),"yyyy-mm-dd hh:mm"),INDEX(상세표[종료],$U110)&amp;""))</f>
        <v/>
      </c>
      <c r="P110">
        <f>IF($U110="","",INDEX(상세표[06~07시],$U110))</f>
        <v/>
      </c>
      <c r="Q110">
        <f>IF($U110="","",INDEX(상세표[07~18시],$U110))</f>
        <v/>
      </c>
      <c r="R110">
        <f>IF($U110="","",INDEX(상세표[18~22시],$U110))</f>
        <v/>
      </c>
      <c r="S110">
        <f>IF($U110="","",INDEX(상세표[22~06시],$U110))</f>
        <v/>
      </c>
      <c r="T110">
        <f>IF($U110="","",INDEX(상세표[기록 시간외],$U110))</f>
        <v/>
      </c>
      <c r="U110" s="4">
        <f>IFERROR(MATCH(105,상세표[발송순번],0),"")</f>
        <v/>
      </c>
    </row>
    <row r="111">
      <c r="A111">
        <f>IF($H111="","",INDEX(상세표[사번],$H111)&amp;"")</f>
        <v/>
      </c>
      <c r="B111">
        <f>IF($H111="","",INDEX(상세표[성명],$H111)&amp;"")</f>
        <v/>
      </c>
      <c r="C111">
        <f>IF($H111="","",INDEX(상세표[부서],$H111)&amp;"")</f>
        <v/>
      </c>
      <c r="D111">
        <f>IF($H111="","",IF(IFERROR(INDEX(합계표[직위(통합)],MATCH(INDEX(상세표[사번키],$H111),합계표[사번키],0))&amp;"","")="",INDEX(상세표[직위],$H111)&amp;"",IFERROR(INDEX(합계표[직위(통합)],MATCH(INDEX(상세표[사번키],$H111),합계표[사번키],0))&amp;"","")))</f>
        <v/>
      </c>
      <c r="E111">
        <f>IF($H111="","",COUNTIFS(상세표[사번키],INDEX(상세표[사번키],$H111),상세표[기록월],대상월키))</f>
        <v/>
      </c>
      <c r="F111">
        <f>IF($H111="","",SUMIFS(상세표[기록 시간외],상세표[사번키],INDEX(상세표[사번키],$H111),상세표[기록월],대상월키))</f>
        <v/>
      </c>
      <c r="G111">
        <f>IF($H111="","",SUMIFS(합계표[시스템 합계],합계표[사번키],INDEX(상세표[사번키],$H111)))</f>
        <v/>
      </c>
      <c r="H111" s="4">
        <f>IFERROR(MATCH(106,상세표[발송인원순번],0),"")</f>
        <v/>
      </c>
      <c r="J111">
        <f>IF($U111="","",INDEX(상세표[사번],$U111)&amp;"")</f>
        <v/>
      </c>
      <c r="K111">
        <f>IF($U111="","",INDEX(상세표[성명],$U111)&amp;"")</f>
        <v/>
      </c>
      <c r="L111">
        <f>IF($U111="","",INDEX(상세표[직위],$U111)&amp;"")</f>
        <v/>
      </c>
      <c r="M111">
        <f>IF($U111="","",IF(ISNUMBER(INDEX(상세표[근무일자],$U111)),TEXT(INDEX(상세표[근무일자],$U111),"yyyy-mm-dd"),INDEX(상세표[근무일자],$U111)&amp;""))</f>
        <v/>
      </c>
      <c r="N111">
        <f>IF($U111="","",IF(ISNUMBER(INDEX(상세표[시작],$U111)),TEXT(INDEX(상세표[시작],$U111),"yyyy-mm-dd hh:mm"),INDEX(상세표[시작],$U111)&amp;""))</f>
        <v/>
      </c>
      <c r="O111">
        <f>IF($U111="","",IF(ISNUMBER(INDEX(상세표[종료],$U111)),TEXT(INDEX(상세표[종료],$U111),"yyyy-mm-dd hh:mm"),INDEX(상세표[종료],$U111)&amp;""))</f>
        <v/>
      </c>
      <c r="P111">
        <f>IF($U111="","",INDEX(상세표[06~07시],$U111))</f>
        <v/>
      </c>
      <c r="Q111">
        <f>IF($U111="","",INDEX(상세표[07~18시],$U111))</f>
        <v/>
      </c>
      <c r="R111">
        <f>IF($U111="","",INDEX(상세표[18~22시],$U111))</f>
        <v/>
      </c>
      <c r="S111">
        <f>IF($U111="","",INDEX(상세표[22~06시],$U111))</f>
        <v/>
      </c>
      <c r="T111">
        <f>IF($U111="","",INDEX(상세표[기록 시간외],$U111))</f>
        <v/>
      </c>
      <c r="U111" s="4">
        <f>IFERROR(MATCH(106,상세표[발송순번],0),"")</f>
        <v/>
      </c>
    </row>
    <row r="112">
      <c r="A112">
        <f>IF($H112="","",INDEX(상세표[사번],$H112)&amp;"")</f>
        <v/>
      </c>
      <c r="B112">
        <f>IF($H112="","",INDEX(상세표[성명],$H112)&amp;"")</f>
        <v/>
      </c>
      <c r="C112">
        <f>IF($H112="","",INDEX(상세표[부서],$H112)&amp;"")</f>
        <v/>
      </c>
      <c r="D112">
        <f>IF($H112="","",IF(IFERROR(INDEX(합계표[직위(통합)],MATCH(INDEX(상세표[사번키],$H112),합계표[사번키],0))&amp;"","")="",INDEX(상세표[직위],$H112)&amp;"",IFERROR(INDEX(합계표[직위(통합)],MATCH(INDEX(상세표[사번키],$H112),합계표[사번키],0))&amp;"","")))</f>
        <v/>
      </c>
      <c r="E112">
        <f>IF($H112="","",COUNTIFS(상세표[사번키],INDEX(상세표[사번키],$H112),상세표[기록월],대상월키))</f>
        <v/>
      </c>
      <c r="F112">
        <f>IF($H112="","",SUMIFS(상세표[기록 시간외],상세표[사번키],INDEX(상세표[사번키],$H112),상세표[기록월],대상월키))</f>
        <v/>
      </c>
      <c r="G112">
        <f>IF($H112="","",SUMIFS(합계표[시스템 합계],합계표[사번키],INDEX(상세표[사번키],$H112)))</f>
        <v/>
      </c>
      <c r="H112" s="4">
        <f>IFERROR(MATCH(107,상세표[발송인원순번],0),"")</f>
        <v/>
      </c>
      <c r="J112">
        <f>IF($U112="","",INDEX(상세표[사번],$U112)&amp;"")</f>
        <v/>
      </c>
      <c r="K112">
        <f>IF($U112="","",INDEX(상세표[성명],$U112)&amp;"")</f>
        <v/>
      </c>
      <c r="L112">
        <f>IF($U112="","",INDEX(상세표[직위],$U112)&amp;"")</f>
        <v/>
      </c>
      <c r="M112">
        <f>IF($U112="","",IF(ISNUMBER(INDEX(상세표[근무일자],$U112)),TEXT(INDEX(상세표[근무일자],$U112),"yyyy-mm-dd"),INDEX(상세표[근무일자],$U112)&amp;""))</f>
        <v/>
      </c>
      <c r="N112">
        <f>IF($U112="","",IF(ISNUMBER(INDEX(상세표[시작],$U112)),TEXT(INDEX(상세표[시작],$U112),"yyyy-mm-dd hh:mm"),INDEX(상세표[시작],$U112)&amp;""))</f>
        <v/>
      </c>
      <c r="O112">
        <f>IF($U112="","",IF(ISNUMBER(INDEX(상세표[종료],$U112)),TEXT(INDEX(상세표[종료],$U112),"yyyy-mm-dd hh:mm"),INDEX(상세표[종료],$U112)&amp;""))</f>
        <v/>
      </c>
      <c r="P112">
        <f>IF($U112="","",INDEX(상세표[06~07시],$U112))</f>
        <v/>
      </c>
      <c r="Q112">
        <f>IF($U112="","",INDEX(상세표[07~18시],$U112))</f>
        <v/>
      </c>
      <c r="R112">
        <f>IF($U112="","",INDEX(상세표[18~22시],$U112))</f>
        <v/>
      </c>
      <c r="S112">
        <f>IF($U112="","",INDEX(상세표[22~06시],$U112))</f>
        <v/>
      </c>
      <c r="T112">
        <f>IF($U112="","",INDEX(상세표[기록 시간외],$U112))</f>
        <v/>
      </c>
      <c r="U112" s="4">
        <f>IFERROR(MATCH(107,상세표[발송순번],0),"")</f>
        <v/>
      </c>
    </row>
    <row r="113">
      <c r="A113">
        <f>IF($H113="","",INDEX(상세표[사번],$H113)&amp;"")</f>
        <v/>
      </c>
      <c r="B113">
        <f>IF($H113="","",INDEX(상세표[성명],$H113)&amp;"")</f>
        <v/>
      </c>
      <c r="C113">
        <f>IF($H113="","",INDEX(상세표[부서],$H113)&amp;"")</f>
        <v/>
      </c>
      <c r="D113">
        <f>IF($H113="","",IF(IFERROR(INDEX(합계표[직위(통합)],MATCH(INDEX(상세표[사번키],$H113),합계표[사번키],0))&amp;"","")="",INDEX(상세표[직위],$H113)&amp;"",IFERROR(INDEX(합계표[직위(통합)],MATCH(INDEX(상세표[사번키],$H113),합계표[사번키],0))&amp;"","")))</f>
        <v/>
      </c>
      <c r="E113">
        <f>IF($H113="","",COUNTIFS(상세표[사번키],INDEX(상세표[사번키],$H113),상세표[기록월],대상월키))</f>
        <v/>
      </c>
      <c r="F113">
        <f>IF($H113="","",SUMIFS(상세표[기록 시간외],상세표[사번키],INDEX(상세표[사번키],$H113),상세표[기록월],대상월키))</f>
        <v/>
      </c>
      <c r="G113">
        <f>IF($H113="","",SUMIFS(합계표[시스템 합계],합계표[사번키],INDEX(상세표[사번키],$H113)))</f>
        <v/>
      </c>
      <c r="H113" s="4">
        <f>IFERROR(MATCH(108,상세표[발송인원순번],0),"")</f>
        <v/>
      </c>
      <c r="J113">
        <f>IF($U113="","",INDEX(상세표[사번],$U113)&amp;"")</f>
        <v/>
      </c>
      <c r="K113">
        <f>IF($U113="","",INDEX(상세표[성명],$U113)&amp;"")</f>
        <v/>
      </c>
      <c r="L113">
        <f>IF($U113="","",INDEX(상세표[직위],$U113)&amp;"")</f>
        <v/>
      </c>
      <c r="M113">
        <f>IF($U113="","",IF(ISNUMBER(INDEX(상세표[근무일자],$U113)),TEXT(INDEX(상세표[근무일자],$U113),"yyyy-mm-dd"),INDEX(상세표[근무일자],$U113)&amp;""))</f>
        <v/>
      </c>
      <c r="N113">
        <f>IF($U113="","",IF(ISNUMBER(INDEX(상세표[시작],$U113)),TEXT(INDEX(상세표[시작],$U113),"yyyy-mm-dd hh:mm"),INDEX(상세표[시작],$U113)&amp;""))</f>
        <v/>
      </c>
      <c r="O113">
        <f>IF($U113="","",IF(ISNUMBER(INDEX(상세표[종료],$U113)),TEXT(INDEX(상세표[종료],$U113),"yyyy-mm-dd hh:mm"),INDEX(상세표[종료],$U113)&amp;""))</f>
        <v/>
      </c>
      <c r="P113">
        <f>IF($U113="","",INDEX(상세표[06~07시],$U113))</f>
        <v/>
      </c>
      <c r="Q113">
        <f>IF($U113="","",INDEX(상세표[07~18시],$U113))</f>
        <v/>
      </c>
      <c r="R113">
        <f>IF($U113="","",INDEX(상세표[18~22시],$U113))</f>
        <v/>
      </c>
      <c r="S113">
        <f>IF($U113="","",INDEX(상세표[22~06시],$U113))</f>
        <v/>
      </c>
      <c r="T113">
        <f>IF($U113="","",INDEX(상세표[기록 시간외],$U113))</f>
        <v/>
      </c>
      <c r="U113" s="4">
        <f>IFERROR(MATCH(108,상세표[발송순번],0),"")</f>
        <v/>
      </c>
    </row>
    <row r="114">
      <c r="A114">
        <f>IF($H114="","",INDEX(상세표[사번],$H114)&amp;"")</f>
        <v/>
      </c>
      <c r="B114">
        <f>IF($H114="","",INDEX(상세표[성명],$H114)&amp;"")</f>
        <v/>
      </c>
      <c r="C114">
        <f>IF($H114="","",INDEX(상세표[부서],$H114)&amp;"")</f>
        <v/>
      </c>
      <c r="D114">
        <f>IF($H114="","",IF(IFERROR(INDEX(합계표[직위(통합)],MATCH(INDEX(상세표[사번키],$H114),합계표[사번키],0))&amp;"","")="",INDEX(상세표[직위],$H114)&amp;"",IFERROR(INDEX(합계표[직위(통합)],MATCH(INDEX(상세표[사번키],$H114),합계표[사번키],0))&amp;"","")))</f>
        <v/>
      </c>
      <c r="E114">
        <f>IF($H114="","",COUNTIFS(상세표[사번키],INDEX(상세표[사번키],$H114),상세표[기록월],대상월키))</f>
        <v/>
      </c>
      <c r="F114">
        <f>IF($H114="","",SUMIFS(상세표[기록 시간외],상세표[사번키],INDEX(상세표[사번키],$H114),상세표[기록월],대상월키))</f>
        <v/>
      </c>
      <c r="G114">
        <f>IF($H114="","",SUMIFS(합계표[시스템 합계],합계표[사번키],INDEX(상세표[사번키],$H114)))</f>
        <v/>
      </c>
      <c r="H114" s="4">
        <f>IFERROR(MATCH(109,상세표[발송인원순번],0),"")</f>
        <v/>
      </c>
      <c r="J114">
        <f>IF($U114="","",INDEX(상세표[사번],$U114)&amp;"")</f>
        <v/>
      </c>
      <c r="K114">
        <f>IF($U114="","",INDEX(상세표[성명],$U114)&amp;"")</f>
        <v/>
      </c>
      <c r="L114">
        <f>IF($U114="","",INDEX(상세표[직위],$U114)&amp;"")</f>
        <v/>
      </c>
      <c r="M114">
        <f>IF($U114="","",IF(ISNUMBER(INDEX(상세표[근무일자],$U114)),TEXT(INDEX(상세표[근무일자],$U114),"yyyy-mm-dd"),INDEX(상세표[근무일자],$U114)&amp;""))</f>
        <v/>
      </c>
      <c r="N114">
        <f>IF($U114="","",IF(ISNUMBER(INDEX(상세표[시작],$U114)),TEXT(INDEX(상세표[시작],$U114),"yyyy-mm-dd hh:mm"),INDEX(상세표[시작],$U114)&amp;""))</f>
        <v/>
      </c>
      <c r="O114">
        <f>IF($U114="","",IF(ISNUMBER(INDEX(상세표[종료],$U114)),TEXT(INDEX(상세표[종료],$U114),"yyyy-mm-dd hh:mm"),INDEX(상세표[종료],$U114)&amp;""))</f>
        <v/>
      </c>
      <c r="P114">
        <f>IF($U114="","",INDEX(상세표[06~07시],$U114))</f>
        <v/>
      </c>
      <c r="Q114">
        <f>IF($U114="","",INDEX(상세표[07~18시],$U114))</f>
        <v/>
      </c>
      <c r="R114">
        <f>IF($U114="","",INDEX(상세표[18~22시],$U114))</f>
        <v/>
      </c>
      <c r="S114">
        <f>IF($U114="","",INDEX(상세표[22~06시],$U114))</f>
        <v/>
      </c>
      <c r="T114">
        <f>IF($U114="","",INDEX(상세표[기록 시간외],$U114))</f>
        <v/>
      </c>
      <c r="U114" s="4">
        <f>IFERROR(MATCH(109,상세표[발송순번],0),"")</f>
        <v/>
      </c>
    </row>
    <row r="115">
      <c r="A115">
        <f>IF($H115="","",INDEX(상세표[사번],$H115)&amp;"")</f>
        <v/>
      </c>
      <c r="B115">
        <f>IF($H115="","",INDEX(상세표[성명],$H115)&amp;"")</f>
        <v/>
      </c>
      <c r="C115">
        <f>IF($H115="","",INDEX(상세표[부서],$H115)&amp;"")</f>
        <v/>
      </c>
      <c r="D115">
        <f>IF($H115="","",IF(IFERROR(INDEX(합계표[직위(통합)],MATCH(INDEX(상세표[사번키],$H115),합계표[사번키],0))&amp;"","")="",INDEX(상세표[직위],$H115)&amp;"",IFERROR(INDEX(합계표[직위(통합)],MATCH(INDEX(상세표[사번키],$H115),합계표[사번키],0))&amp;"","")))</f>
        <v/>
      </c>
      <c r="E115">
        <f>IF($H115="","",COUNTIFS(상세표[사번키],INDEX(상세표[사번키],$H115),상세표[기록월],대상월키))</f>
        <v/>
      </c>
      <c r="F115">
        <f>IF($H115="","",SUMIFS(상세표[기록 시간외],상세표[사번키],INDEX(상세표[사번키],$H115),상세표[기록월],대상월키))</f>
        <v/>
      </c>
      <c r="G115">
        <f>IF($H115="","",SUMIFS(합계표[시스템 합계],합계표[사번키],INDEX(상세표[사번키],$H115)))</f>
        <v/>
      </c>
      <c r="H115" s="4">
        <f>IFERROR(MATCH(110,상세표[발송인원순번],0),"")</f>
        <v/>
      </c>
      <c r="J115">
        <f>IF($U115="","",INDEX(상세표[사번],$U115)&amp;"")</f>
        <v/>
      </c>
      <c r="K115">
        <f>IF($U115="","",INDEX(상세표[성명],$U115)&amp;"")</f>
        <v/>
      </c>
      <c r="L115">
        <f>IF($U115="","",INDEX(상세표[직위],$U115)&amp;"")</f>
        <v/>
      </c>
      <c r="M115">
        <f>IF($U115="","",IF(ISNUMBER(INDEX(상세표[근무일자],$U115)),TEXT(INDEX(상세표[근무일자],$U115),"yyyy-mm-dd"),INDEX(상세표[근무일자],$U115)&amp;""))</f>
        <v/>
      </c>
      <c r="N115">
        <f>IF($U115="","",IF(ISNUMBER(INDEX(상세표[시작],$U115)),TEXT(INDEX(상세표[시작],$U115),"yyyy-mm-dd hh:mm"),INDEX(상세표[시작],$U115)&amp;""))</f>
        <v/>
      </c>
      <c r="O115">
        <f>IF($U115="","",IF(ISNUMBER(INDEX(상세표[종료],$U115)),TEXT(INDEX(상세표[종료],$U115),"yyyy-mm-dd hh:mm"),INDEX(상세표[종료],$U115)&amp;""))</f>
        <v/>
      </c>
      <c r="P115">
        <f>IF($U115="","",INDEX(상세표[06~07시],$U115))</f>
        <v/>
      </c>
      <c r="Q115">
        <f>IF($U115="","",INDEX(상세표[07~18시],$U115))</f>
        <v/>
      </c>
      <c r="R115">
        <f>IF($U115="","",INDEX(상세표[18~22시],$U115))</f>
        <v/>
      </c>
      <c r="S115">
        <f>IF($U115="","",INDEX(상세표[22~06시],$U115))</f>
        <v/>
      </c>
      <c r="T115">
        <f>IF($U115="","",INDEX(상세표[기록 시간외],$U115))</f>
        <v/>
      </c>
      <c r="U115" s="4">
        <f>IFERROR(MATCH(110,상세표[발송순번],0),"")</f>
        <v/>
      </c>
    </row>
    <row r="116">
      <c r="A116">
        <f>IF($H116="","",INDEX(상세표[사번],$H116)&amp;"")</f>
        <v/>
      </c>
      <c r="B116">
        <f>IF($H116="","",INDEX(상세표[성명],$H116)&amp;"")</f>
        <v/>
      </c>
      <c r="C116">
        <f>IF($H116="","",INDEX(상세표[부서],$H116)&amp;"")</f>
        <v/>
      </c>
      <c r="D116">
        <f>IF($H116="","",IF(IFERROR(INDEX(합계표[직위(통합)],MATCH(INDEX(상세표[사번키],$H116),합계표[사번키],0))&amp;"","")="",INDEX(상세표[직위],$H116)&amp;"",IFERROR(INDEX(합계표[직위(통합)],MATCH(INDEX(상세표[사번키],$H116),합계표[사번키],0))&amp;"","")))</f>
        <v/>
      </c>
      <c r="E116">
        <f>IF($H116="","",COUNTIFS(상세표[사번키],INDEX(상세표[사번키],$H116),상세표[기록월],대상월키))</f>
        <v/>
      </c>
      <c r="F116">
        <f>IF($H116="","",SUMIFS(상세표[기록 시간외],상세표[사번키],INDEX(상세표[사번키],$H116),상세표[기록월],대상월키))</f>
        <v/>
      </c>
      <c r="G116">
        <f>IF($H116="","",SUMIFS(합계표[시스템 합계],합계표[사번키],INDEX(상세표[사번키],$H116)))</f>
        <v/>
      </c>
      <c r="H116" s="4">
        <f>IFERROR(MATCH(111,상세표[발송인원순번],0),"")</f>
        <v/>
      </c>
      <c r="J116">
        <f>IF($U116="","",INDEX(상세표[사번],$U116)&amp;"")</f>
        <v/>
      </c>
      <c r="K116">
        <f>IF($U116="","",INDEX(상세표[성명],$U116)&amp;"")</f>
        <v/>
      </c>
      <c r="L116">
        <f>IF($U116="","",INDEX(상세표[직위],$U116)&amp;"")</f>
        <v/>
      </c>
      <c r="M116">
        <f>IF($U116="","",IF(ISNUMBER(INDEX(상세표[근무일자],$U116)),TEXT(INDEX(상세표[근무일자],$U116),"yyyy-mm-dd"),INDEX(상세표[근무일자],$U116)&amp;""))</f>
        <v/>
      </c>
      <c r="N116">
        <f>IF($U116="","",IF(ISNUMBER(INDEX(상세표[시작],$U116)),TEXT(INDEX(상세표[시작],$U116),"yyyy-mm-dd hh:mm"),INDEX(상세표[시작],$U116)&amp;""))</f>
        <v/>
      </c>
      <c r="O116">
        <f>IF($U116="","",IF(ISNUMBER(INDEX(상세표[종료],$U116)),TEXT(INDEX(상세표[종료],$U116),"yyyy-mm-dd hh:mm"),INDEX(상세표[종료],$U116)&amp;""))</f>
        <v/>
      </c>
      <c r="P116">
        <f>IF($U116="","",INDEX(상세표[06~07시],$U116))</f>
        <v/>
      </c>
      <c r="Q116">
        <f>IF($U116="","",INDEX(상세표[07~18시],$U116))</f>
        <v/>
      </c>
      <c r="R116">
        <f>IF($U116="","",INDEX(상세표[18~22시],$U116))</f>
        <v/>
      </c>
      <c r="S116">
        <f>IF($U116="","",INDEX(상세표[22~06시],$U116))</f>
        <v/>
      </c>
      <c r="T116">
        <f>IF($U116="","",INDEX(상세표[기록 시간외],$U116))</f>
        <v/>
      </c>
      <c r="U116" s="4">
        <f>IFERROR(MATCH(111,상세표[발송순번],0),"")</f>
        <v/>
      </c>
    </row>
    <row r="117">
      <c r="A117">
        <f>IF($H117="","",INDEX(상세표[사번],$H117)&amp;"")</f>
        <v/>
      </c>
      <c r="B117">
        <f>IF($H117="","",INDEX(상세표[성명],$H117)&amp;"")</f>
        <v/>
      </c>
      <c r="C117">
        <f>IF($H117="","",INDEX(상세표[부서],$H117)&amp;"")</f>
        <v/>
      </c>
      <c r="D117">
        <f>IF($H117="","",IF(IFERROR(INDEX(합계표[직위(통합)],MATCH(INDEX(상세표[사번키],$H117),합계표[사번키],0))&amp;"","")="",INDEX(상세표[직위],$H117)&amp;"",IFERROR(INDEX(합계표[직위(통합)],MATCH(INDEX(상세표[사번키],$H117),합계표[사번키],0))&amp;"","")))</f>
        <v/>
      </c>
      <c r="E117">
        <f>IF($H117="","",COUNTIFS(상세표[사번키],INDEX(상세표[사번키],$H117),상세표[기록월],대상월키))</f>
        <v/>
      </c>
      <c r="F117">
        <f>IF($H117="","",SUMIFS(상세표[기록 시간외],상세표[사번키],INDEX(상세표[사번키],$H117),상세표[기록월],대상월키))</f>
        <v/>
      </c>
      <c r="G117">
        <f>IF($H117="","",SUMIFS(합계표[시스템 합계],합계표[사번키],INDEX(상세표[사번키],$H117)))</f>
        <v/>
      </c>
      <c r="H117" s="4">
        <f>IFERROR(MATCH(112,상세표[발송인원순번],0),"")</f>
        <v/>
      </c>
      <c r="J117">
        <f>IF($U117="","",INDEX(상세표[사번],$U117)&amp;"")</f>
        <v/>
      </c>
      <c r="K117">
        <f>IF($U117="","",INDEX(상세표[성명],$U117)&amp;"")</f>
        <v/>
      </c>
      <c r="L117">
        <f>IF($U117="","",INDEX(상세표[직위],$U117)&amp;"")</f>
        <v/>
      </c>
      <c r="M117">
        <f>IF($U117="","",IF(ISNUMBER(INDEX(상세표[근무일자],$U117)),TEXT(INDEX(상세표[근무일자],$U117),"yyyy-mm-dd"),INDEX(상세표[근무일자],$U117)&amp;""))</f>
        <v/>
      </c>
      <c r="N117">
        <f>IF($U117="","",IF(ISNUMBER(INDEX(상세표[시작],$U117)),TEXT(INDEX(상세표[시작],$U117),"yyyy-mm-dd hh:mm"),INDEX(상세표[시작],$U117)&amp;""))</f>
        <v/>
      </c>
      <c r="O117">
        <f>IF($U117="","",IF(ISNUMBER(INDEX(상세표[종료],$U117)),TEXT(INDEX(상세표[종료],$U117),"yyyy-mm-dd hh:mm"),INDEX(상세표[종료],$U117)&amp;""))</f>
        <v/>
      </c>
      <c r="P117">
        <f>IF($U117="","",INDEX(상세표[06~07시],$U117))</f>
        <v/>
      </c>
      <c r="Q117">
        <f>IF($U117="","",INDEX(상세표[07~18시],$U117))</f>
        <v/>
      </c>
      <c r="R117">
        <f>IF($U117="","",INDEX(상세표[18~22시],$U117))</f>
        <v/>
      </c>
      <c r="S117">
        <f>IF($U117="","",INDEX(상세표[22~06시],$U117))</f>
        <v/>
      </c>
      <c r="T117">
        <f>IF($U117="","",INDEX(상세표[기록 시간외],$U117))</f>
        <v/>
      </c>
      <c r="U117" s="4">
        <f>IFERROR(MATCH(112,상세표[발송순번],0),"")</f>
        <v/>
      </c>
    </row>
    <row r="118">
      <c r="A118">
        <f>IF($H118="","",INDEX(상세표[사번],$H118)&amp;"")</f>
        <v/>
      </c>
      <c r="B118">
        <f>IF($H118="","",INDEX(상세표[성명],$H118)&amp;"")</f>
        <v/>
      </c>
      <c r="C118">
        <f>IF($H118="","",INDEX(상세표[부서],$H118)&amp;"")</f>
        <v/>
      </c>
      <c r="D118">
        <f>IF($H118="","",IF(IFERROR(INDEX(합계표[직위(통합)],MATCH(INDEX(상세표[사번키],$H118),합계표[사번키],0))&amp;"","")="",INDEX(상세표[직위],$H118)&amp;"",IFERROR(INDEX(합계표[직위(통합)],MATCH(INDEX(상세표[사번키],$H118),합계표[사번키],0))&amp;"","")))</f>
        <v/>
      </c>
      <c r="E118">
        <f>IF($H118="","",COUNTIFS(상세표[사번키],INDEX(상세표[사번키],$H118),상세표[기록월],대상월키))</f>
        <v/>
      </c>
      <c r="F118">
        <f>IF($H118="","",SUMIFS(상세표[기록 시간외],상세표[사번키],INDEX(상세표[사번키],$H118),상세표[기록월],대상월키))</f>
        <v/>
      </c>
      <c r="G118">
        <f>IF($H118="","",SUMIFS(합계표[시스템 합계],합계표[사번키],INDEX(상세표[사번키],$H118)))</f>
        <v/>
      </c>
      <c r="H118" s="4">
        <f>IFERROR(MATCH(113,상세표[발송인원순번],0),"")</f>
        <v/>
      </c>
      <c r="J118">
        <f>IF($U118="","",INDEX(상세표[사번],$U118)&amp;"")</f>
        <v/>
      </c>
      <c r="K118">
        <f>IF($U118="","",INDEX(상세표[성명],$U118)&amp;"")</f>
        <v/>
      </c>
      <c r="L118">
        <f>IF($U118="","",INDEX(상세표[직위],$U118)&amp;"")</f>
        <v/>
      </c>
      <c r="M118">
        <f>IF($U118="","",IF(ISNUMBER(INDEX(상세표[근무일자],$U118)),TEXT(INDEX(상세표[근무일자],$U118),"yyyy-mm-dd"),INDEX(상세표[근무일자],$U118)&amp;""))</f>
        <v/>
      </c>
      <c r="N118">
        <f>IF($U118="","",IF(ISNUMBER(INDEX(상세표[시작],$U118)),TEXT(INDEX(상세표[시작],$U118),"yyyy-mm-dd hh:mm"),INDEX(상세표[시작],$U118)&amp;""))</f>
        <v/>
      </c>
      <c r="O118">
        <f>IF($U118="","",IF(ISNUMBER(INDEX(상세표[종료],$U118)),TEXT(INDEX(상세표[종료],$U118),"yyyy-mm-dd hh:mm"),INDEX(상세표[종료],$U118)&amp;""))</f>
        <v/>
      </c>
      <c r="P118">
        <f>IF($U118="","",INDEX(상세표[06~07시],$U118))</f>
        <v/>
      </c>
      <c r="Q118">
        <f>IF($U118="","",INDEX(상세표[07~18시],$U118))</f>
        <v/>
      </c>
      <c r="R118">
        <f>IF($U118="","",INDEX(상세표[18~22시],$U118))</f>
        <v/>
      </c>
      <c r="S118">
        <f>IF($U118="","",INDEX(상세표[22~06시],$U118))</f>
        <v/>
      </c>
      <c r="T118">
        <f>IF($U118="","",INDEX(상세표[기록 시간외],$U118))</f>
        <v/>
      </c>
      <c r="U118" s="4">
        <f>IFERROR(MATCH(113,상세표[발송순번],0),"")</f>
        <v/>
      </c>
    </row>
    <row r="119">
      <c r="A119">
        <f>IF($H119="","",INDEX(상세표[사번],$H119)&amp;"")</f>
        <v/>
      </c>
      <c r="B119">
        <f>IF($H119="","",INDEX(상세표[성명],$H119)&amp;"")</f>
        <v/>
      </c>
      <c r="C119">
        <f>IF($H119="","",INDEX(상세표[부서],$H119)&amp;"")</f>
        <v/>
      </c>
      <c r="D119">
        <f>IF($H119="","",IF(IFERROR(INDEX(합계표[직위(통합)],MATCH(INDEX(상세표[사번키],$H119),합계표[사번키],0))&amp;"","")="",INDEX(상세표[직위],$H119)&amp;"",IFERROR(INDEX(합계표[직위(통합)],MATCH(INDEX(상세표[사번키],$H119),합계표[사번키],0))&amp;"","")))</f>
        <v/>
      </c>
      <c r="E119">
        <f>IF($H119="","",COUNTIFS(상세표[사번키],INDEX(상세표[사번키],$H119),상세표[기록월],대상월키))</f>
        <v/>
      </c>
      <c r="F119">
        <f>IF($H119="","",SUMIFS(상세표[기록 시간외],상세표[사번키],INDEX(상세표[사번키],$H119),상세표[기록월],대상월키))</f>
        <v/>
      </c>
      <c r="G119">
        <f>IF($H119="","",SUMIFS(합계표[시스템 합계],합계표[사번키],INDEX(상세표[사번키],$H119)))</f>
        <v/>
      </c>
      <c r="H119" s="4">
        <f>IFERROR(MATCH(114,상세표[발송인원순번],0),"")</f>
        <v/>
      </c>
      <c r="J119">
        <f>IF($U119="","",INDEX(상세표[사번],$U119)&amp;"")</f>
        <v/>
      </c>
      <c r="K119">
        <f>IF($U119="","",INDEX(상세표[성명],$U119)&amp;"")</f>
        <v/>
      </c>
      <c r="L119">
        <f>IF($U119="","",INDEX(상세표[직위],$U119)&amp;"")</f>
        <v/>
      </c>
      <c r="M119">
        <f>IF($U119="","",IF(ISNUMBER(INDEX(상세표[근무일자],$U119)),TEXT(INDEX(상세표[근무일자],$U119),"yyyy-mm-dd"),INDEX(상세표[근무일자],$U119)&amp;""))</f>
        <v/>
      </c>
      <c r="N119">
        <f>IF($U119="","",IF(ISNUMBER(INDEX(상세표[시작],$U119)),TEXT(INDEX(상세표[시작],$U119),"yyyy-mm-dd hh:mm"),INDEX(상세표[시작],$U119)&amp;""))</f>
        <v/>
      </c>
      <c r="O119">
        <f>IF($U119="","",IF(ISNUMBER(INDEX(상세표[종료],$U119)),TEXT(INDEX(상세표[종료],$U119),"yyyy-mm-dd hh:mm"),INDEX(상세표[종료],$U119)&amp;""))</f>
        <v/>
      </c>
      <c r="P119">
        <f>IF($U119="","",INDEX(상세표[06~07시],$U119))</f>
        <v/>
      </c>
      <c r="Q119">
        <f>IF($U119="","",INDEX(상세표[07~18시],$U119))</f>
        <v/>
      </c>
      <c r="R119">
        <f>IF($U119="","",INDEX(상세표[18~22시],$U119))</f>
        <v/>
      </c>
      <c r="S119">
        <f>IF($U119="","",INDEX(상세표[22~06시],$U119))</f>
        <v/>
      </c>
      <c r="T119">
        <f>IF($U119="","",INDEX(상세표[기록 시간외],$U119))</f>
        <v/>
      </c>
      <c r="U119" s="4">
        <f>IFERROR(MATCH(114,상세표[발송순번],0),"")</f>
        <v/>
      </c>
    </row>
    <row r="120">
      <c r="A120">
        <f>IF($H120="","",INDEX(상세표[사번],$H120)&amp;"")</f>
        <v/>
      </c>
      <c r="B120">
        <f>IF($H120="","",INDEX(상세표[성명],$H120)&amp;"")</f>
        <v/>
      </c>
      <c r="C120">
        <f>IF($H120="","",INDEX(상세표[부서],$H120)&amp;"")</f>
        <v/>
      </c>
      <c r="D120">
        <f>IF($H120="","",IF(IFERROR(INDEX(합계표[직위(통합)],MATCH(INDEX(상세표[사번키],$H120),합계표[사번키],0))&amp;"","")="",INDEX(상세표[직위],$H120)&amp;"",IFERROR(INDEX(합계표[직위(통합)],MATCH(INDEX(상세표[사번키],$H120),합계표[사번키],0))&amp;"","")))</f>
        <v/>
      </c>
      <c r="E120">
        <f>IF($H120="","",COUNTIFS(상세표[사번키],INDEX(상세표[사번키],$H120),상세표[기록월],대상월키))</f>
        <v/>
      </c>
      <c r="F120">
        <f>IF($H120="","",SUMIFS(상세표[기록 시간외],상세표[사번키],INDEX(상세표[사번키],$H120),상세표[기록월],대상월키))</f>
        <v/>
      </c>
      <c r="G120">
        <f>IF($H120="","",SUMIFS(합계표[시스템 합계],합계표[사번키],INDEX(상세표[사번키],$H120)))</f>
        <v/>
      </c>
      <c r="H120" s="4">
        <f>IFERROR(MATCH(115,상세표[발송인원순번],0),"")</f>
        <v/>
      </c>
      <c r="J120">
        <f>IF($U120="","",INDEX(상세표[사번],$U120)&amp;"")</f>
        <v/>
      </c>
      <c r="K120">
        <f>IF($U120="","",INDEX(상세표[성명],$U120)&amp;"")</f>
        <v/>
      </c>
      <c r="L120">
        <f>IF($U120="","",INDEX(상세표[직위],$U120)&amp;"")</f>
        <v/>
      </c>
      <c r="M120">
        <f>IF($U120="","",IF(ISNUMBER(INDEX(상세표[근무일자],$U120)),TEXT(INDEX(상세표[근무일자],$U120),"yyyy-mm-dd"),INDEX(상세표[근무일자],$U120)&amp;""))</f>
        <v/>
      </c>
      <c r="N120">
        <f>IF($U120="","",IF(ISNUMBER(INDEX(상세표[시작],$U120)),TEXT(INDEX(상세표[시작],$U120),"yyyy-mm-dd hh:mm"),INDEX(상세표[시작],$U120)&amp;""))</f>
        <v/>
      </c>
      <c r="O120">
        <f>IF($U120="","",IF(ISNUMBER(INDEX(상세표[종료],$U120)),TEXT(INDEX(상세표[종료],$U120),"yyyy-mm-dd hh:mm"),INDEX(상세표[종료],$U120)&amp;""))</f>
        <v/>
      </c>
      <c r="P120">
        <f>IF($U120="","",INDEX(상세표[06~07시],$U120))</f>
        <v/>
      </c>
      <c r="Q120">
        <f>IF($U120="","",INDEX(상세표[07~18시],$U120))</f>
        <v/>
      </c>
      <c r="R120">
        <f>IF($U120="","",INDEX(상세표[18~22시],$U120))</f>
        <v/>
      </c>
      <c r="S120">
        <f>IF($U120="","",INDEX(상세표[22~06시],$U120))</f>
        <v/>
      </c>
      <c r="T120">
        <f>IF($U120="","",INDEX(상세표[기록 시간외],$U120))</f>
        <v/>
      </c>
      <c r="U120" s="4">
        <f>IFERROR(MATCH(115,상세표[발송순번],0),"")</f>
        <v/>
      </c>
    </row>
    <row r="121">
      <c r="A121">
        <f>IF($H121="","",INDEX(상세표[사번],$H121)&amp;"")</f>
        <v/>
      </c>
      <c r="B121">
        <f>IF($H121="","",INDEX(상세표[성명],$H121)&amp;"")</f>
        <v/>
      </c>
      <c r="C121">
        <f>IF($H121="","",INDEX(상세표[부서],$H121)&amp;"")</f>
        <v/>
      </c>
      <c r="D121">
        <f>IF($H121="","",IF(IFERROR(INDEX(합계표[직위(통합)],MATCH(INDEX(상세표[사번키],$H121),합계표[사번키],0))&amp;"","")="",INDEX(상세표[직위],$H121)&amp;"",IFERROR(INDEX(합계표[직위(통합)],MATCH(INDEX(상세표[사번키],$H121),합계표[사번키],0))&amp;"","")))</f>
        <v/>
      </c>
      <c r="E121">
        <f>IF($H121="","",COUNTIFS(상세표[사번키],INDEX(상세표[사번키],$H121),상세표[기록월],대상월키))</f>
        <v/>
      </c>
      <c r="F121">
        <f>IF($H121="","",SUMIFS(상세표[기록 시간외],상세표[사번키],INDEX(상세표[사번키],$H121),상세표[기록월],대상월키))</f>
        <v/>
      </c>
      <c r="G121">
        <f>IF($H121="","",SUMIFS(합계표[시스템 합계],합계표[사번키],INDEX(상세표[사번키],$H121)))</f>
        <v/>
      </c>
      <c r="H121" s="4">
        <f>IFERROR(MATCH(116,상세표[발송인원순번],0),"")</f>
        <v/>
      </c>
      <c r="J121">
        <f>IF($U121="","",INDEX(상세표[사번],$U121)&amp;"")</f>
        <v/>
      </c>
      <c r="K121">
        <f>IF($U121="","",INDEX(상세표[성명],$U121)&amp;"")</f>
        <v/>
      </c>
      <c r="L121">
        <f>IF($U121="","",INDEX(상세표[직위],$U121)&amp;"")</f>
        <v/>
      </c>
      <c r="M121">
        <f>IF($U121="","",IF(ISNUMBER(INDEX(상세표[근무일자],$U121)),TEXT(INDEX(상세표[근무일자],$U121),"yyyy-mm-dd"),INDEX(상세표[근무일자],$U121)&amp;""))</f>
        <v/>
      </c>
      <c r="N121">
        <f>IF($U121="","",IF(ISNUMBER(INDEX(상세표[시작],$U121)),TEXT(INDEX(상세표[시작],$U121),"yyyy-mm-dd hh:mm"),INDEX(상세표[시작],$U121)&amp;""))</f>
        <v/>
      </c>
      <c r="O121">
        <f>IF($U121="","",IF(ISNUMBER(INDEX(상세표[종료],$U121)),TEXT(INDEX(상세표[종료],$U121),"yyyy-mm-dd hh:mm"),INDEX(상세표[종료],$U121)&amp;""))</f>
        <v/>
      </c>
      <c r="P121">
        <f>IF($U121="","",INDEX(상세표[06~07시],$U121))</f>
        <v/>
      </c>
      <c r="Q121">
        <f>IF($U121="","",INDEX(상세표[07~18시],$U121))</f>
        <v/>
      </c>
      <c r="R121">
        <f>IF($U121="","",INDEX(상세표[18~22시],$U121))</f>
        <v/>
      </c>
      <c r="S121">
        <f>IF($U121="","",INDEX(상세표[22~06시],$U121))</f>
        <v/>
      </c>
      <c r="T121">
        <f>IF($U121="","",INDEX(상세표[기록 시간외],$U121))</f>
        <v/>
      </c>
      <c r="U121" s="4">
        <f>IFERROR(MATCH(116,상세표[발송순번],0),"")</f>
        <v/>
      </c>
    </row>
    <row r="122">
      <c r="A122">
        <f>IF($H122="","",INDEX(상세표[사번],$H122)&amp;"")</f>
        <v/>
      </c>
      <c r="B122">
        <f>IF($H122="","",INDEX(상세표[성명],$H122)&amp;"")</f>
        <v/>
      </c>
      <c r="C122">
        <f>IF($H122="","",INDEX(상세표[부서],$H122)&amp;"")</f>
        <v/>
      </c>
      <c r="D122">
        <f>IF($H122="","",IF(IFERROR(INDEX(합계표[직위(통합)],MATCH(INDEX(상세표[사번키],$H122),합계표[사번키],0))&amp;"","")="",INDEX(상세표[직위],$H122)&amp;"",IFERROR(INDEX(합계표[직위(통합)],MATCH(INDEX(상세표[사번키],$H122),합계표[사번키],0))&amp;"","")))</f>
        <v/>
      </c>
      <c r="E122">
        <f>IF($H122="","",COUNTIFS(상세표[사번키],INDEX(상세표[사번키],$H122),상세표[기록월],대상월키))</f>
        <v/>
      </c>
      <c r="F122">
        <f>IF($H122="","",SUMIFS(상세표[기록 시간외],상세표[사번키],INDEX(상세표[사번키],$H122),상세표[기록월],대상월키))</f>
        <v/>
      </c>
      <c r="G122">
        <f>IF($H122="","",SUMIFS(합계표[시스템 합계],합계표[사번키],INDEX(상세표[사번키],$H122)))</f>
        <v/>
      </c>
      <c r="H122" s="4">
        <f>IFERROR(MATCH(117,상세표[발송인원순번],0),"")</f>
        <v/>
      </c>
      <c r="J122">
        <f>IF($U122="","",INDEX(상세표[사번],$U122)&amp;"")</f>
        <v/>
      </c>
      <c r="K122">
        <f>IF($U122="","",INDEX(상세표[성명],$U122)&amp;"")</f>
        <v/>
      </c>
      <c r="L122">
        <f>IF($U122="","",INDEX(상세표[직위],$U122)&amp;"")</f>
        <v/>
      </c>
      <c r="M122">
        <f>IF($U122="","",IF(ISNUMBER(INDEX(상세표[근무일자],$U122)),TEXT(INDEX(상세표[근무일자],$U122),"yyyy-mm-dd"),INDEX(상세표[근무일자],$U122)&amp;""))</f>
        <v/>
      </c>
      <c r="N122">
        <f>IF($U122="","",IF(ISNUMBER(INDEX(상세표[시작],$U122)),TEXT(INDEX(상세표[시작],$U122),"yyyy-mm-dd hh:mm"),INDEX(상세표[시작],$U122)&amp;""))</f>
        <v/>
      </c>
      <c r="O122">
        <f>IF($U122="","",IF(ISNUMBER(INDEX(상세표[종료],$U122)),TEXT(INDEX(상세표[종료],$U122),"yyyy-mm-dd hh:mm"),INDEX(상세표[종료],$U122)&amp;""))</f>
        <v/>
      </c>
      <c r="P122">
        <f>IF($U122="","",INDEX(상세표[06~07시],$U122))</f>
        <v/>
      </c>
      <c r="Q122">
        <f>IF($U122="","",INDEX(상세표[07~18시],$U122))</f>
        <v/>
      </c>
      <c r="R122">
        <f>IF($U122="","",INDEX(상세표[18~22시],$U122))</f>
        <v/>
      </c>
      <c r="S122">
        <f>IF($U122="","",INDEX(상세표[22~06시],$U122))</f>
        <v/>
      </c>
      <c r="T122">
        <f>IF($U122="","",INDEX(상세표[기록 시간외],$U122))</f>
        <v/>
      </c>
      <c r="U122" s="4">
        <f>IFERROR(MATCH(117,상세표[발송순번],0),"")</f>
        <v/>
      </c>
    </row>
    <row r="123">
      <c r="A123">
        <f>IF($H123="","",INDEX(상세표[사번],$H123)&amp;"")</f>
        <v/>
      </c>
      <c r="B123">
        <f>IF($H123="","",INDEX(상세표[성명],$H123)&amp;"")</f>
        <v/>
      </c>
      <c r="C123">
        <f>IF($H123="","",INDEX(상세표[부서],$H123)&amp;"")</f>
        <v/>
      </c>
      <c r="D123">
        <f>IF($H123="","",IF(IFERROR(INDEX(합계표[직위(통합)],MATCH(INDEX(상세표[사번키],$H123),합계표[사번키],0))&amp;"","")="",INDEX(상세표[직위],$H123)&amp;"",IFERROR(INDEX(합계표[직위(통합)],MATCH(INDEX(상세표[사번키],$H123),합계표[사번키],0))&amp;"","")))</f>
        <v/>
      </c>
      <c r="E123">
        <f>IF($H123="","",COUNTIFS(상세표[사번키],INDEX(상세표[사번키],$H123),상세표[기록월],대상월키))</f>
        <v/>
      </c>
      <c r="F123">
        <f>IF($H123="","",SUMIFS(상세표[기록 시간외],상세표[사번키],INDEX(상세표[사번키],$H123),상세표[기록월],대상월키))</f>
        <v/>
      </c>
      <c r="G123">
        <f>IF($H123="","",SUMIFS(합계표[시스템 합계],합계표[사번키],INDEX(상세표[사번키],$H123)))</f>
        <v/>
      </c>
      <c r="H123" s="4">
        <f>IFERROR(MATCH(118,상세표[발송인원순번],0),"")</f>
        <v/>
      </c>
      <c r="J123">
        <f>IF($U123="","",INDEX(상세표[사번],$U123)&amp;"")</f>
        <v/>
      </c>
      <c r="K123">
        <f>IF($U123="","",INDEX(상세표[성명],$U123)&amp;"")</f>
        <v/>
      </c>
      <c r="L123">
        <f>IF($U123="","",INDEX(상세표[직위],$U123)&amp;"")</f>
        <v/>
      </c>
      <c r="M123">
        <f>IF($U123="","",IF(ISNUMBER(INDEX(상세표[근무일자],$U123)),TEXT(INDEX(상세표[근무일자],$U123),"yyyy-mm-dd"),INDEX(상세표[근무일자],$U123)&amp;""))</f>
        <v/>
      </c>
      <c r="N123">
        <f>IF($U123="","",IF(ISNUMBER(INDEX(상세표[시작],$U123)),TEXT(INDEX(상세표[시작],$U123),"yyyy-mm-dd hh:mm"),INDEX(상세표[시작],$U123)&amp;""))</f>
        <v/>
      </c>
      <c r="O123">
        <f>IF($U123="","",IF(ISNUMBER(INDEX(상세표[종료],$U123)),TEXT(INDEX(상세표[종료],$U123),"yyyy-mm-dd hh:mm"),INDEX(상세표[종료],$U123)&amp;""))</f>
        <v/>
      </c>
      <c r="P123">
        <f>IF($U123="","",INDEX(상세표[06~07시],$U123))</f>
        <v/>
      </c>
      <c r="Q123">
        <f>IF($U123="","",INDEX(상세표[07~18시],$U123))</f>
        <v/>
      </c>
      <c r="R123">
        <f>IF($U123="","",INDEX(상세표[18~22시],$U123))</f>
        <v/>
      </c>
      <c r="S123">
        <f>IF($U123="","",INDEX(상세표[22~06시],$U123))</f>
        <v/>
      </c>
      <c r="T123">
        <f>IF($U123="","",INDEX(상세표[기록 시간외],$U123))</f>
        <v/>
      </c>
      <c r="U123" s="4">
        <f>IFERROR(MATCH(118,상세표[발송순번],0),"")</f>
        <v/>
      </c>
    </row>
    <row r="124">
      <c r="A124">
        <f>IF($H124="","",INDEX(상세표[사번],$H124)&amp;"")</f>
        <v/>
      </c>
      <c r="B124">
        <f>IF($H124="","",INDEX(상세표[성명],$H124)&amp;"")</f>
        <v/>
      </c>
      <c r="C124">
        <f>IF($H124="","",INDEX(상세표[부서],$H124)&amp;"")</f>
        <v/>
      </c>
      <c r="D124">
        <f>IF($H124="","",IF(IFERROR(INDEX(합계표[직위(통합)],MATCH(INDEX(상세표[사번키],$H124),합계표[사번키],0))&amp;"","")="",INDEX(상세표[직위],$H124)&amp;"",IFERROR(INDEX(합계표[직위(통합)],MATCH(INDEX(상세표[사번키],$H124),합계표[사번키],0))&amp;"","")))</f>
        <v/>
      </c>
      <c r="E124">
        <f>IF($H124="","",COUNTIFS(상세표[사번키],INDEX(상세표[사번키],$H124),상세표[기록월],대상월키))</f>
        <v/>
      </c>
      <c r="F124">
        <f>IF($H124="","",SUMIFS(상세표[기록 시간외],상세표[사번키],INDEX(상세표[사번키],$H124),상세표[기록월],대상월키))</f>
        <v/>
      </c>
      <c r="G124">
        <f>IF($H124="","",SUMIFS(합계표[시스템 합계],합계표[사번키],INDEX(상세표[사번키],$H124)))</f>
        <v/>
      </c>
      <c r="H124" s="4">
        <f>IFERROR(MATCH(119,상세표[발송인원순번],0),"")</f>
        <v/>
      </c>
      <c r="J124">
        <f>IF($U124="","",INDEX(상세표[사번],$U124)&amp;"")</f>
        <v/>
      </c>
      <c r="K124">
        <f>IF($U124="","",INDEX(상세표[성명],$U124)&amp;"")</f>
        <v/>
      </c>
      <c r="L124">
        <f>IF($U124="","",INDEX(상세표[직위],$U124)&amp;"")</f>
        <v/>
      </c>
      <c r="M124">
        <f>IF($U124="","",IF(ISNUMBER(INDEX(상세표[근무일자],$U124)),TEXT(INDEX(상세표[근무일자],$U124),"yyyy-mm-dd"),INDEX(상세표[근무일자],$U124)&amp;""))</f>
        <v/>
      </c>
      <c r="N124">
        <f>IF($U124="","",IF(ISNUMBER(INDEX(상세표[시작],$U124)),TEXT(INDEX(상세표[시작],$U124),"yyyy-mm-dd hh:mm"),INDEX(상세표[시작],$U124)&amp;""))</f>
        <v/>
      </c>
      <c r="O124">
        <f>IF($U124="","",IF(ISNUMBER(INDEX(상세표[종료],$U124)),TEXT(INDEX(상세표[종료],$U124),"yyyy-mm-dd hh:mm"),INDEX(상세표[종료],$U124)&amp;""))</f>
        <v/>
      </c>
      <c r="P124">
        <f>IF($U124="","",INDEX(상세표[06~07시],$U124))</f>
        <v/>
      </c>
      <c r="Q124">
        <f>IF($U124="","",INDEX(상세표[07~18시],$U124))</f>
        <v/>
      </c>
      <c r="R124">
        <f>IF($U124="","",INDEX(상세표[18~22시],$U124))</f>
        <v/>
      </c>
      <c r="S124">
        <f>IF($U124="","",INDEX(상세표[22~06시],$U124))</f>
        <v/>
      </c>
      <c r="T124">
        <f>IF($U124="","",INDEX(상세표[기록 시간외],$U124))</f>
        <v/>
      </c>
      <c r="U124" s="4">
        <f>IFERROR(MATCH(119,상세표[발송순번],0),"")</f>
        <v/>
      </c>
    </row>
    <row r="125">
      <c r="A125">
        <f>IF($H125="","",INDEX(상세표[사번],$H125)&amp;"")</f>
        <v/>
      </c>
      <c r="B125">
        <f>IF($H125="","",INDEX(상세표[성명],$H125)&amp;"")</f>
        <v/>
      </c>
      <c r="C125">
        <f>IF($H125="","",INDEX(상세표[부서],$H125)&amp;"")</f>
        <v/>
      </c>
      <c r="D125">
        <f>IF($H125="","",IF(IFERROR(INDEX(합계표[직위(통합)],MATCH(INDEX(상세표[사번키],$H125),합계표[사번키],0))&amp;"","")="",INDEX(상세표[직위],$H125)&amp;"",IFERROR(INDEX(합계표[직위(통합)],MATCH(INDEX(상세표[사번키],$H125),합계표[사번키],0))&amp;"","")))</f>
        <v/>
      </c>
      <c r="E125">
        <f>IF($H125="","",COUNTIFS(상세표[사번키],INDEX(상세표[사번키],$H125),상세표[기록월],대상월키))</f>
        <v/>
      </c>
      <c r="F125">
        <f>IF($H125="","",SUMIFS(상세표[기록 시간외],상세표[사번키],INDEX(상세표[사번키],$H125),상세표[기록월],대상월키))</f>
        <v/>
      </c>
      <c r="G125">
        <f>IF($H125="","",SUMIFS(합계표[시스템 합계],합계표[사번키],INDEX(상세표[사번키],$H125)))</f>
        <v/>
      </c>
      <c r="H125" s="4">
        <f>IFERROR(MATCH(120,상세표[발송인원순번],0),"")</f>
        <v/>
      </c>
      <c r="J125">
        <f>IF($U125="","",INDEX(상세표[사번],$U125)&amp;"")</f>
        <v/>
      </c>
      <c r="K125">
        <f>IF($U125="","",INDEX(상세표[성명],$U125)&amp;"")</f>
        <v/>
      </c>
      <c r="L125">
        <f>IF($U125="","",INDEX(상세표[직위],$U125)&amp;"")</f>
        <v/>
      </c>
      <c r="M125">
        <f>IF($U125="","",IF(ISNUMBER(INDEX(상세표[근무일자],$U125)),TEXT(INDEX(상세표[근무일자],$U125),"yyyy-mm-dd"),INDEX(상세표[근무일자],$U125)&amp;""))</f>
        <v/>
      </c>
      <c r="N125">
        <f>IF($U125="","",IF(ISNUMBER(INDEX(상세표[시작],$U125)),TEXT(INDEX(상세표[시작],$U125),"yyyy-mm-dd hh:mm"),INDEX(상세표[시작],$U125)&amp;""))</f>
        <v/>
      </c>
      <c r="O125">
        <f>IF($U125="","",IF(ISNUMBER(INDEX(상세표[종료],$U125)),TEXT(INDEX(상세표[종료],$U125),"yyyy-mm-dd hh:mm"),INDEX(상세표[종료],$U125)&amp;""))</f>
        <v/>
      </c>
      <c r="P125">
        <f>IF($U125="","",INDEX(상세표[06~07시],$U125))</f>
        <v/>
      </c>
      <c r="Q125">
        <f>IF($U125="","",INDEX(상세표[07~18시],$U125))</f>
        <v/>
      </c>
      <c r="R125">
        <f>IF($U125="","",INDEX(상세표[18~22시],$U125))</f>
        <v/>
      </c>
      <c r="S125">
        <f>IF($U125="","",INDEX(상세표[22~06시],$U125))</f>
        <v/>
      </c>
      <c r="T125">
        <f>IF($U125="","",INDEX(상세표[기록 시간외],$U125))</f>
        <v/>
      </c>
      <c r="U125" s="4">
        <f>IFERROR(MATCH(120,상세표[발송순번],0),"")</f>
        <v/>
      </c>
    </row>
    <row r="126">
      <c r="A126">
        <f>IF($H126="","",INDEX(상세표[사번],$H126)&amp;"")</f>
        <v/>
      </c>
      <c r="B126">
        <f>IF($H126="","",INDEX(상세표[성명],$H126)&amp;"")</f>
        <v/>
      </c>
      <c r="C126">
        <f>IF($H126="","",INDEX(상세표[부서],$H126)&amp;"")</f>
        <v/>
      </c>
      <c r="D126">
        <f>IF($H126="","",IF(IFERROR(INDEX(합계표[직위(통합)],MATCH(INDEX(상세표[사번키],$H126),합계표[사번키],0))&amp;"","")="",INDEX(상세표[직위],$H126)&amp;"",IFERROR(INDEX(합계표[직위(통합)],MATCH(INDEX(상세표[사번키],$H126),합계표[사번키],0))&amp;"","")))</f>
        <v/>
      </c>
      <c r="E126">
        <f>IF($H126="","",COUNTIFS(상세표[사번키],INDEX(상세표[사번키],$H126),상세표[기록월],대상월키))</f>
        <v/>
      </c>
      <c r="F126">
        <f>IF($H126="","",SUMIFS(상세표[기록 시간외],상세표[사번키],INDEX(상세표[사번키],$H126),상세표[기록월],대상월키))</f>
        <v/>
      </c>
      <c r="G126">
        <f>IF($H126="","",SUMIFS(합계표[시스템 합계],합계표[사번키],INDEX(상세표[사번키],$H126)))</f>
        <v/>
      </c>
      <c r="H126" s="4">
        <f>IFERROR(MATCH(121,상세표[발송인원순번],0),"")</f>
        <v/>
      </c>
      <c r="J126">
        <f>IF($U126="","",INDEX(상세표[사번],$U126)&amp;"")</f>
        <v/>
      </c>
      <c r="K126">
        <f>IF($U126="","",INDEX(상세표[성명],$U126)&amp;"")</f>
        <v/>
      </c>
      <c r="L126">
        <f>IF($U126="","",INDEX(상세표[직위],$U126)&amp;"")</f>
        <v/>
      </c>
      <c r="M126">
        <f>IF($U126="","",IF(ISNUMBER(INDEX(상세표[근무일자],$U126)),TEXT(INDEX(상세표[근무일자],$U126),"yyyy-mm-dd"),INDEX(상세표[근무일자],$U126)&amp;""))</f>
        <v/>
      </c>
      <c r="N126">
        <f>IF($U126="","",IF(ISNUMBER(INDEX(상세표[시작],$U126)),TEXT(INDEX(상세표[시작],$U126),"yyyy-mm-dd hh:mm"),INDEX(상세표[시작],$U126)&amp;""))</f>
        <v/>
      </c>
      <c r="O126">
        <f>IF($U126="","",IF(ISNUMBER(INDEX(상세표[종료],$U126)),TEXT(INDEX(상세표[종료],$U126),"yyyy-mm-dd hh:mm"),INDEX(상세표[종료],$U126)&amp;""))</f>
        <v/>
      </c>
      <c r="P126">
        <f>IF($U126="","",INDEX(상세표[06~07시],$U126))</f>
        <v/>
      </c>
      <c r="Q126">
        <f>IF($U126="","",INDEX(상세표[07~18시],$U126))</f>
        <v/>
      </c>
      <c r="R126">
        <f>IF($U126="","",INDEX(상세표[18~22시],$U126))</f>
        <v/>
      </c>
      <c r="S126">
        <f>IF($U126="","",INDEX(상세표[22~06시],$U126))</f>
        <v/>
      </c>
      <c r="T126">
        <f>IF($U126="","",INDEX(상세표[기록 시간외],$U126))</f>
        <v/>
      </c>
      <c r="U126" s="4">
        <f>IFERROR(MATCH(121,상세표[발송순번],0),"")</f>
        <v/>
      </c>
    </row>
    <row r="127">
      <c r="A127">
        <f>IF($H127="","",INDEX(상세표[사번],$H127)&amp;"")</f>
        <v/>
      </c>
      <c r="B127">
        <f>IF($H127="","",INDEX(상세표[성명],$H127)&amp;"")</f>
        <v/>
      </c>
      <c r="C127">
        <f>IF($H127="","",INDEX(상세표[부서],$H127)&amp;"")</f>
        <v/>
      </c>
      <c r="D127">
        <f>IF($H127="","",IF(IFERROR(INDEX(합계표[직위(통합)],MATCH(INDEX(상세표[사번키],$H127),합계표[사번키],0))&amp;"","")="",INDEX(상세표[직위],$H127)&amp;"",IFERROR(INDEX(합계표[직위(통합)],MATCH(INDEX(상세표[사번키],$H127),합계표[사번키],0))&amp;"","")))</f>
        <v/>
      </c>
      <c r="E127">
        <f>IF($H127="","",COUNTIFS(상세표[사번키],INDEX(상세표[사번키],$H127),상세표[기록월],대상월키))</f>
        <v/>
      </c>
      <c r="F127">
        <f>IF($H127="","",SUMIFS(상세표[기록 시간외],상세표[사번키],INDEX(상세표[사번키],$H127),상세표[기록월],대상월키))</f>
        <v/>
      </c>
      <c r="G127">
        <f>IF($H127="","",SUMIFS(합계표[시스템 합계],합계표[사번키],INDEX(상세표[사번키],$H127)))</f>
        <v/>
      </c>
      <c r="H127" s="4">
        <f>IFERROR(MATCH(122,상세표[발송인원순번],0),"")</f>
        <v/>
      </c>
      <c r="J127">
        <f>IF($U127="","",INDEX(상세표[사번],$U127)&amp;"")</f>
        <v/>
      </c>
      <c r="K127">
        <f>IF($U127="","",INDEX(상세표[성명],$U127)&amp;"")</f>
        <v/>
      </c>
      <c r="L127">
        <f>IF($U127="","",INDEX(상세표[직위],$U127)&amp;"")</f>
        <v/>
      </c>
      <c r="M127">
        <f>IF($U127="","",IF(ISNUMBER(INDEX(상세표[근무일자],$U127)),TEXT(INDEX(상세표[근무일자],$U127),"yyyy-mm-dd"),INDEX(상세표[근무일자],$U127)&amp;""))</f>
        <v/>
      </c>
      <c r="N127">
        <f>IF($U127="","",IF(ISNUMBER(INDEX(상세표[시작],$U127)),TEXT(INDEX(상세표[시작],$U127),"yyyy-mm-dd hh:mm"),INDEX(상세표[시작],$U127)&amp;""))</f>
        <v/>
      </c>
      <c r="O127">
        <f>IF($U127="","",IF(ISNUMBER(INDEX(상세표[종료],$U127)),TEXT(INDEX(상세표[종료],$U127),"yyyy-mm-dd hh:mm"),INDEX(상세표[종료],$U127)&amp;""))</f>
        <v/>
      </c>
      <c r="P127">
        <f>IF($U127="","",INDEX(상세표[06~07시],$U127))</f>
        <v/>
      </c>
      <c r="Q127">
        <f>IF($U127="","",INDEX(상세표[07~18시],$U127))</f>
        <v/>
      </c>
      <c r="R127">
        <f>IF($U127="","",INDEX(상세표[18~22시],$U127))</f>
        <v/>
      </c>
      <c r="S127">
        <f>IF($U127="","",INDEX(상세표[22~06시],$U127))</f>
        <v/>
      </c>
      <c r="T127">
        <f>IF($U127="","",INDEX(상세표[기록 시간외],$U127))</f>
        <v/>
      </c>
      <c r="U127" s="4">
        <f>IFERROR(MATCH(122,상세표[발송순번],0),"")</f>
        <v/>
      </c>
    </row>
    <row r="128">
      <c r="A128">
        <f>IF($H128="","",INDEX(상세표[사번],$H128)&amp;"")</f>
        <v/>
      </c>
      <c r="B128">
        <f>IF($H128="","",INDEX(상세표[성명],$H128)&amp;"")</f>
        <v/>
      </c>
      <c r="C128">
        <f>IF($H128="","",INDEX(상세표[부서],$H128)&amp;"")</f>
        <v/>
      </c>
      <c r="D128">
        <f>IF($H128="","",IF(IFERROR(INDEX(합계표[직위(통합)],MATCH(INDEX(상세표[사번키],$H128),합계표[사번키],0))&amp;"","")="",INDEX(상세표[직위],$H128)&amp;"",IFERROR(INDEX(합계표[직위(통합)],MATCH(INDEX(상세표[사번키],$H128),합계표[사번키],0))&amp;"","")))</f>
        <v/>
      </c>
      <c r="E128">
        <f>IF($H128="","",COUNTIFS(상세표[사번키],INDEX(상세표[사번키],$H128),상세표[기록월],대상월키))</f>
        <v/>
      </c>
      <c r="F128">
        <f>IF($H128="","",SUMIFS(상세표[기록 시간외],상세표[사번키],INDEX(상세표[사번키],$H128),상세표[기록월],대상월키))</f>
        <v/>
      </c>
      <c r="G128">
        <f>IF($H128="","",SUMIFS(합계표[시스템 합계],합계표[사번키],INDEX(상세표[사번키],$H128)))</f>
        <v/>
      </c>
      <c r="H128" s="4">
        <f>IFERROR(MATCH(123,상세표[발송인원순번],0),"")</f>
        <v/>
      </c>
      <c r="J128">
        <f>IF($U128="","",INDEX(상세표[사번],$U128)&amp;"")</f>
        <v/>
      </c>
      <c r="K128">
        <f>IF($U128="","",INDEX(상세표[성명],$U128)&amp;"")</f>
        <v/>
      </c>
      <c r="L128">
        <f>IF($U128="","",INDEX(상세표[직위],$U128)&amp;"")</f>
        <v/>
      </c>
      <c r="M128">
        <f>IF($U128="","",IF(ISNUMBER(INDEX(상세표[근무일자],$U128)),TEXT(INDEX(상세표[근무일자],$U128),"yyyy-mm-dd"),INDEX(상세표[근무일자],$U128)&amp;""))</f>
        <v/>
      </c>
      <c r="N128">
        <f>IF($U128="","",IF(ISNUMBER(INDEX(상세표[시작],$U128)),TEXT(INDEX(상세표[시작],$U128),"yyyy-mm-dd hh:mm"),INDEX(상세표[시작],$U128)&amp;""))</f>
        <v/>
      </c>
      <c r="O128">
        <f>IF($U128="","",IF(ISNUMBER(INDEX(상세표[종료],$U128)),TEXT(INDEX(상세표[종료],$U128),"yyyy-mm-dd hh:mm"),INDEX(상세표[종료],$U128)&amp;""))</f>
        <v/>
      </c>
      <c r="P128">
        <f>IF($U128="","",INDEX(상세표[06~07시],$U128))</f>
        <v/>
      </c>
      <c r="Q128">
        <f>IF($U128="","",INDEX(상세표[07~18시],$U128))</f>
        <v/>
      </c>
      <c r="R128">
        <f>IF($U128="","",INDEX(상세표[18~22시],$U128))</f>
        <v/>
      </c>
      <c r="S128">
        <f>IF($U128="","",INDEX(상세표[22~06시],$U128))</f>
        <v/>
      </c>
      <c r="T128">
        <f>IF($U128="","",INDEX(상세표[기록 시간외],$U128))</f>
        <v/>
      </c>
      <c r="U128" s="4">
        <f>IFERROR(MATCH(123,상세표[발송순번],0),"")</f>
        <v/>
      </c>
    </row>
    <row r="129">
      <c r="A129">
        <f>IF($H129="","",INDEX(상세표[사번],$H129)&amp;"")</f>
        <v/>
      </c>
      <c r="B129">
        <f>IF($H129="","",INDEX(상세표[성명],$H129)&amp;"")</f>
        <v/>
      </c>
      <c r="C129">
        <f>IF($H129="","",INDEX(상세표[부서],$H129)&amp;"")</f>
        <v/>
      </c>
      <c r="D129">
        <f>IF($H129="","",IF(IFERROR(INDEX(합계표[직위(통합)],MATCH(INDEX(상세표[사번키],$H129),합계표[사번키],0))&amp;"","")="",INDEX(상세표[직위],$H129)&amp;"",IFERROR(INDEX(합계표[직위(통합)],MATCH(INDEX(상세표[사번키],$H129),합계표[사번키],0))&amp;"","")))</f>
        <v/>
      </c>
      <c r="E129">
        <f>IF($H129="","",COUNTIFS(상세표[사번키],INDEX(상세표[사번키],$H129),상세표[기록월],대상월키))</f>
        <v/>
      </c>
      <c r="F129">
        <f>IF($H129="","",SUMIFS(상세표[기록 시간외],상세표[사번키],INDEX(상세표[사번키],$H129),상세표[기록월],대상월키))</f>
        <v/>
      </c>
      <c r="G129">
        <f>IF($H129="","",SUMIFS(합계표[시스템 합계],합계표[사번키],INDEX(상세표[사번키],$H129)))</f>
        <v/>
      </c>
      <c r="H129" s="4">
        <f>IFERROR(MATCH(124,상세표[발송인원순번],0),"")</f>
        <v/>
      </c>
      <c r="J129">
        <f>IF($U129="","",INDEX(상세표[사번],$U129)&amp;"")</f>
        <v/>
      </c>
      <c r="K129">
        <f>IF($U129="","",INDEX(상세표[성명],$U129)&amp;"")</f>
        <v/>
      </c>
      <c r="L129">
        <f>IF($U129="","",INDEX(상세표[직위],$U129)&amp;"")</f>
        <v/>
      </c>
      <c r="M129">
        <f>IF($U129="","",IF(ISNUMBER(INDEX(상세표[근무일자],$U129)),TEXT(INDEX(상세표[근무일자],$U129),"yyyy-mm-dd"),INDEX(상세표[근무일자],$U129)&amp;""))</f>
        <v/>
      </c>
      <c r="N129">
        <f>IF($U129="","",IF(ISNUMBER(INDEX(상세표[시작],$U129)),TEXT(INDEX(상세표[시작],$U129),"yyyy-mm-dd hh:mm"),INDEX(상세표[시작],$U129)&amp;""))</f>
        <v/>
      </c>
      <c r="O129">
        <f>IF($U129="","",IF(ISNUMBER(INDEX(상세표[종료],$U129)),TEXT(INDEX(상세표[종료],$U129),"yyyy-mm-dd hh:mm"),INDEX(상세표[종료],$U129)&amp;""))</f>
        <v/>
      </c>
      <c r="P129">
        <f>IF($U129="","",INDEX(상세표[06~07시],$U129))</f>
        <v/>
      </c>
      <c r="Q129">
        <f>IF($U129="","",INDEX(상세표[07~18시],$U129))</f>
        <v/>
      </c>
      <c r="R129">
        <f>IF($U129="","",INDEX(상세표[18~22시],$U129))</f>
        <v/>
      </c>
      <c r="S129">
        <f>IF($U129="","",INDEX(상세표[22~06시],$U129))</f>
        <v/>
      </c>
      <c r="T129">
        <f>IF($U129="","",INDEX(상세표[기록 시간외],$U129))</f>
        <v/>
      </c>
      <c r="U129" s="4">
        <f>IFERROR(MATCH(124,상세표[발송순번],0),"")</f>
        <v/>
      </c>
    </row>
    <row r="130">
      <c r="A130">
        <f>IF($H130="","",INDEX(상세표[사번],$H130)&amp;"")</f>
        <v/>
      </c>
      <c r="B130">
        <f>IF($H130="","",INDEX(상세표[성명],$H130)&amp;"")</f>
        <v/>
      </c>
      <c r="C130">
        <f>IF($H130="","",INDEX(상세표[부서],$H130)&amp;"")</f>
        <v/>
      </c>
      <c r="D130">
        <f>IF($H130="","",IF(IFERROR(INDEX(합계표[직위(통합)],MATCH(INDEX(상세표[사번키],$H130),합계표[사번키],0))&amp;"","")="",INDEX(상세표[직위],$H130)&amp;"",IFERROR(INDEX(합계표[직위(통합)],MATCH(INDEX(상세표[사번키],$H130),합계표[사번키],0))&amp;"","")))</f>
        <v/>
      </c>
      <c r="E130">
        <f>IF($H130="","",COUNTIFS(상세표[사번키],INDEX(상세표[사번키],$H130),상세표[기록월],대상월키))</f>
        <v/>
      </c>
      <c r="F130">
        <f>IF($H130="","",SUMIFS(상세표[기록 시간외],상세표[사번키],INDEX(상세표[사번키],$H130),상세표[기록월],대상월키))</f>
        <v/>
      </c>
      <c r="G130">
        <f>IF($H130="","",SUMIFS(합계표[시스템 합계],합계표[사번키],INDEX(상세표[사번키],$H130)))</f>
        <v/>
      </c>
      <c r="H130" s="4">
        <f>IFERROR(MATCH(125,상세표[발송인원순번],0),"")</f>
        <v/>
      </c>
      <c r="J130">
        <f>IF($U130="","",INDEX(상세표[사번],$U130)&amp;"")</f>
        <v/>
      </c>
      <c r="K130">
        <f>IF($U130="","",INDEX(상세표[성명],$U130)&amp;"")</f>
        <v/>
      </c>
      <c r="L130">
        <f>IF($U130="","",INDEX(상세표[직위],$U130)&amp;"")</f>
        <v/>
      </c>
      <c r="M130">
        <f>IF($U130="","",IF(ISNUMBER(INDEX(상세표[근무일자],$U130)),TEXT(INDEX(상세표[근무일자],$U130),"yyyy-mm-dd"),INDEX(상세표[근무일자],$U130)&amp;""))</f>
        <v/>
      </c>
      <c r="N130">
        <f>IF($U130="","",IF(ISNUMBER(INDEX(상세표[시작],$U130)),TEXT(INDEX(상세표[시작],$U130),"yyyy-mm-dd hh:mm"),INDEX(상세표[시작],$U130)&amp;""))</f>
        <v/>
      </c>
      <c r="O130">
        <f>IF($U130="","",IF(ISNUMBER(INDEX(상세표[종료],$U130)),TEXT(INDEX(상세표[종료],$U130),"yyyy-mm-dd hh:mm"),INDEX(상세표[종료],$U130)&amp;""))</f>
        <v/>
      </c>
      <c r="P130">
        <f>IF($U130="","",INDEX(상세표[06~07시],$U130))</f>
        <v/>
      </c>
      <c r="Q130">
        <f>IF($U130="","",INDEX(상세표[07~18시],$U130))</f>
        <v/>
      </c>
      <c r="R130">
        <f>IF($U130="","",INDEX(상세표[18~22시],$U130))</f>
        <v/>
      </c>
      <c r="S130">
        <f>IF($U130="","",INDEX(상세표[22~06시],$U130))</f>
        <v/>
      </c>
      <c r="T130">
        <f>IF($U130="","",INDEX(상세표[기록 시간외],$U130))</f>
        <v/>
      </c>
      <c r="U130" s="4">
        <f>IFERROR(MATCH(125,상세표[발송순번],0),"")</f>
        <v/>
      </c>
    </row>
    <row r="131">
      <c r="A131">
        <f>IF($H131="","",INDEX(상세표[사번],$H131)&amp;"")</f>
        <v/>
      </c>
      <c r="B131">
        <f>IF($H131="","",INDEX(상세표[성명],$H131)&amp;"")</f>
        <v/>
      </c>
      <c r="C131">
        <f>IF($H131="","",INDEX(상세표[부서],$H131)&amp;"")</f>
        <v/>
      </c>
      <c r="D131">
        <f>IF($H131="","",IF(IFERROR(INDEX(합계표[직위(통합)],MATCH(INDEX(상세표[사번키],$H131),합계표[사번키],0))&amp;"","")="",INDEX(상세표[직위],$H131)&amp;"",IFERROR(INDEX(합계표[직위(통합)],MATCH(INDEX(상세표[사번키],$H131),합계표[사번키],0))&amp;"","")))</f>
        <v/>
      </c>
      <c r="E131">
        <f>IF($H131="","",COUNTIFS(상세표[사번키],INDEX(상세표[사번키],$H131),상세표[기록월],대상월키))</f>
        <v/>
      </c>
      <c r="F131">
        <f>IF($H131="","",SUMIFS(상세표[기록 시간외],상세표[사번키],INDEX(상세표[사번키],$H131),상세표[기록월],대상월키))</f>
        <v/>
      </c>
      <c r="G131">
        <f>IF($H131="","",SUMIFS(합계표[시스템 합계],합계표[사번키],INDEX(상세표[사번키],$H131)))</f>
        <v/>
      </c>
      <c r="H131" s="4">
        <f>IFERROR(MATCH(126,상세표[발송인원순번],0),"")</f>
        <v/>
      </c>
      <c r="J131">
        <f>IF($U131="","",INDEX(상세표[사번],$U131)&amp;"")</f>
        <v/>
      </c>
      <c r="K131">
        <f>IF($U131="","",INDEX(상세표[성명],$U131)&amp;"")</f>
        <v/>
      </c>
      <c r="L131">
        <f>IF($U131="","",INDEX(상세표[직위],$U131)&amp;"")</f>
        <v/>
      </c>
      <c r="M131">
        <f>IF($U131="","",IF(ISNUMBER(INDEX(상세표[근무일자],$U131)),TEXT(INDEX(상세표[근무일자],$U131),"yyyy-mm-dd"),INDEX(상세표[근무일자],$U131)&amp;""))</f>
        <v/>
      </c>
      <c r="N131">
        <f>IF($U131="","",IF(ISNUMBER(INDEX(상세표[시작],$U131)),TEXT(INDEX(상세표[시작],$U131),"yyyy-mm-dd hh:mm"),INDEX(상세표[시작],$U131)&amp;""))</f>
        <v/>
      </c>
      <c r="O131">
        <f>IF($U131="","",IF(ISNUMBER(INDEX(상세표[종료],$U131)),TEXT(INDEX(상세표[종료],$U131),"yyyy-mm-dd hh:mm"),INDEX(상세표[종료],$U131)&amp;""))</f>
        <v/>
      </c>
      <c r="P131">
        <f>IF($U131="","",INDEX(상세표[06~07시],$U131))</f>
        <v/>
      </c>
      <c r="Q131">
        <f>IF($U131="","",INDEX(상세표[07~18시],$U131))</f>
        <v/>
      </c>
      <c r="R131">
        <f>IF($U131="","",INDEX(상세표[18~22시],$U131))</f>
        <v/>
      </c>
      <c r="S131">
        <f>IF($U131="","",INDEX(상세표[22~06시],$U131))</f>
        <v/>
      </c>
      <c r="T131">
        <f>IF($U131="","",INDEX(상세표[기록 시간외],$U131))</f>
        <v/>
      </c>
      <c r="U131" s="4">
        <f>IFERROR(MATCH(126,상세표[발송순번],0),"")</f>
        <v/>
      </c>
    </row>
    <row r="132">
      <c r="A132">
        <f>IF($H132="","",INDEX(상세표[사번],$H132)&amp;"")</f>
        <v/>
      </c>
      <c r="B132">
        <f>IF($H132="","",INDEX(상세표[성명],$H132)&amp;"")</f>
        <v/>
      </c>
      <c r="C132">
        <f>IF($H132="","",INDEX(상세표[부서],$H132)&amp;"")</f>
        <v/>
      </c>
      <c r="D132">
        <f>IF($H132="","",IF(IFERROR(INDEX(합계표[직위(통합)],MATCH(INDEX(상세표[사번키],$H132),합계표[사번키],0))&amp;"","")="",INDEX(상세표[직위],$H132)&amp;"",IFERROR(INDEX(합계표[직위(통합)],MATCH(INDEX(상세표[사번키],$H132),합계표[사번키],0))&amp;"","")))</f>
        <v/>
      </c>
      <c r="E132">
        <f>IF($H132="","",COUNTIFS(상세표[사번키],INDEX(상세표[사번키],$H132),상세표[기록월],대상월키))</f>
        <v/>
      </c>
      <c r="F132">
        <f>IF($H132="","",SUMIFS(상세표[기록 시간외],상세표[사번키],INDEX(상세표[사번키],$H132),상세표[기록월],대상월키))</f>
        <v/>
      </c>
      <c r="G132">
        <f>IF($H132="","",SUMIFS(합계표[시스템 합계],합계표[사번키],INDEX(상세표[사번키],$H132)))</f>
        <v/>
      </c>
      <c r="H132" s="4">
        <f>IFERROR(MATCH(127,상세표[발송인원순번],0),"")</f>
        <v/>
      </c>
      <c r="J132">
        <f>IF($U132="","",INDEX(상세표[사번],$U132)&amp;"")</f>
        <v/>
      </c>
      <c r="K132">
        <f>IF($U132="","",INDEX(상세표[성명],$U132)&amp;"")</f>
        <v/>
      </c>
      <c r="L132">
        <f>IF($U132="","",INDEX(상세표[직위],$U132)&amp;"")</f>
        <v/>
      </c>
      <c r="M132">
        <f>IF($U132="","",IF(ISNUMBER(INDEX(상세표[근무일자],$U132)),TEXT(INDEX(상세표[근무일자],$U132),"yyyy-mm-dd"),INDEX(상세표[근무일자],$U132)&amp;""))</f>
        <v/>
      </c>
      <c r="N132">
        <f>IF($U132="","",IF(ISNUMBER(INDEX(상세표[시작],$U132)),TEXT(INDEX(상세표[시작],$U132),"yyyy-mm-dd hh:mm"),INDEX(상세표[시작],$U132)&amp;""))</f>
        <v/>
      </c>
      <c r="O132">
        <f>IF($U132="","",IF(ISNUMBER(INDEX(상세표[종료],$U132)),TEXT(INDEX(상세표[종료],$U132),"yyyy-mm-dd hh:mm"),INDEX(상세표[종료],$U132)&amp;""))</f>
        <v/>
      </c>
      <c r="P132">
        <f>IF($U132="","",INDEX(상세표[06~07시],$U132))</f>
        <v/>
      </c>
      <c r="Q132">
        <f>IF($U132="","",INDEX(상세표[07~18시],$U132))</f>
        <v/>
      </c>
      <c r="R132">
        <f>IF($U132="","",INDEX(상세표[18~22시],$U132))</f>
        <v/>
      </c>
      <c r="S132">
        <f>IF($U132="","",INDEX(상세표[22~06시],$U132))</f>
        <v/>
      </c>
      <c r="T132">
        <f>IF($U132="","",INDEX(상세표[기록 시간외],$U132))</f>
        <v/>
      </c>
      <c r="U132" s="4">
        <f>IFERROR(MATCH(127,상세표[발송순번],0),"")</f>
        <v/>
      </c>
    </row>
    <row r="133">
      <c r="A133">
        <f>IF($H133="","",INDEX(상세표[사번],$H133)&amp;"")</f>
        <v/>
      </c>
      <c r="B133">
        <f>IF($H133="","",INDEX(상세표[성명],$H133)&amp;"")</f>
        <v/>
      </c>
      <c r="C133">
        <f>IF($H133="","",INDEX(상세표[부서],$H133)&amp;"")</f>
        <v/>
      </c>
      <c r="D133">
        <f>IF($H133="","",IF(IFERROR(INDEX(합계표[직위(통합)],MATCH(INDEX(상세표[사번키],$H133),합계표[사번키],0))&amp;"","")="",INDEX(상세표[직위],$H133)&amp;"",IFERROR(INDEX(합계표[직위(통합)],MATCH(INDEX(상세표[사번키],$H133),합계표[사번키],0))&amp;"","")))</f>
        <v/>
      </c>
      <c r="E133">
        <f>IF($H133="","",COUNTIFS(상세표[사번키],INDEX(상세표[사번키],$H133),상세표[기록월],대상월키))</f>
        <v/>
      </c>
      <c r="F133">
        <f>IF($H133="","",SUMIFS(상세표[기록 시간외],상세표[사번키],INDEX(상세표[사번키],$H133),상세표[기록월],대상월키))</f>
        <v/>
      </c>
      <c r="G133">
        <f>IF($H133="","",SUMIFS(합계표[시스템 합계],합계표[사번키],INDEX(상세표[사번키],$H133)))</f>
        <v/>
      </c>
      <c r="H133" s="4">
        <f>IFERROR(MATCH(128,상세표[발송인원순번],0),"")</f>
        <v/>
      </c>
      <c r="J133">
        <f>IF($U133="","",INDEX(상세표[사번],$U133)&amp;"")</f>
        <v/>
      </c>
      <c r="K133">
        <f>IF($U133="","",INDEX(상세표[성명],$U133)&amp;"")</f>
        <v/>
      </c>
      <c r="L133">
        <f>IF($U133="","",INDEX(상세표[직위],$U133)&amp;"")</f>
        <v/>
      </c>
      <c r="M133">
        <f>IF($U133="","",IF(ISNUMBER(INDEX(상세표[근무일자],$U133)),TEXT(INDEX(상세표[근무일자],$U133),"yyyy-mm-dd"),INDEX(상세표[근무일자],$U133)&amp;""))</f>
        <v/>
      </c>
      <c r="N133">
        <f>IF($U133="","",IF(ISNUMBER(INDEX(상세표[시작],$U133)),TEXT(INDEX(상세표[시작],$U133),"yyyy-mm-dd hh:mm"),INDEX(상세표[시작],$U133)&amp;""))</f>
        <v/>
      </c>
      <c r="O133">
        <f>IF($U133="","",IF(ISNUMBER(INDEX(상세표[종료],$U133)),TEXT(INDEX(상세표[종료],$U133),"yyyy-mm-dd hh:mm"),INDEX(상세표[종료],$U133)&amp;""))</f>
        <v/>
      </c>
      <c r="P133">
        <f>IF($U133="","",INDEX(상세표[06~07시],$U133))</f>
        <v/>
      </c>
      <c r="Q133">
        <f>IF($U133="","",INDEX(상세표[07~18시],$U133))</f>
        <v/>
      </c>
      <c r="R133">
        <f>IF($U133="","",INDEX(상세표[18~22시],$U133))</f>
        <v/>
      </c>
      <c r="S133">
        <f>IF($U133="","",INDEX(상세표[22~06시],$U133))</f>
        <v/>
      </c>
      <c r="T133">
        <f>IF($U133="","",INDEX(상세표[기록 시간외],$U133))</f>
        <v/>
      </c>
      <c r="U133" s="4">
        <f>IFERROR(MATCH(128,상세표[발송순번],0),"")</f>
        <v/>
      </c>
    </row>
    <row r="134">
      <c r="A134">
        <f>IF($H134="","",INDEX(상세표[사번],$H134)&amp;"")</f>
        <v/>
      </c>
      <c r="B134">
        <f>IF($H134="","",INDEX(상세표[성명],$H134)&amp;"")</f>
        <v/>
      </c>
      <c r="C134">
        <f>IF($H134="","",INDEX(상세표[부서],$H134)&amp;"")</f>
        <v/>
      </c>
      <c r="D134">
        <f>IF($H134="","",IF(IFERROR(INDEX(합계표[직위(통합)],MATCH(INDEX(상세표[사번키],$H134),합계표[사번키],0))&amp;"","")="",INDEX(상세표[직위],$H134)&amp;"",IFERROR(INDEX(합계표[직위(통합)],MATCH(INDEX(상세표[사번키],$H134),합계표[사번키],0))&amp;"","")))</f>
        <v/>
      </c>
      <c r="E134">
        <f>IF($H134="","",COUNTIFS(상세표[사번키],INDEX(상세표[사번키],$H134),상세표[기록월],대상월키))</f>
        <v/>
      </c>
      <c r="F134">
        <f>IF($H134="","",SUMIFS(상세표[기록 시간외],상세표[사번키],INDEX(상세표[사번키],$H134),상세표[기록월],대상월키))</f>
        <v/>
      </c>
      <c r="G134">
        <f>IF($H134="","",SUMIFS(합계표[시스템 합계],합계표[사번키],INDEX(상세표[사번키],$H134)))</f>
        <v/>
      </c>
      <c r="H134" s="4">
        <f>IFERROR(MATCH(129,상세표[발송인원순번],0),"")</f>
        <v/>
      </c>
      <c r="J134">
        <f>IF($U134="","",INDEX(상세표[사번],$U134)&amp;"")</f>
        <v/>
      </c>
      <c r="K134">
        <f>IF($U134="","",INDEX(상세표[성명],$U134)&amp;"")</f>
        <v/>
      </c>
      <c r="L134">
        <f>IF($U134="","",INDEX(상세표[직위],$U134)&amp;"")</f>
        <v/>
      </c>
      <c r="M134">
        <f>IF($U134="","",IF(ISNUMBER(INDEX(상세표[근무일자],$U134)),TEXT(INDEX(상세표[근무일자],$U134),"yyyy-mm-dd"),INDEX(상세표[근무일자],$U134)&amp;""))</f>
        <v/>
      </c>
      <c r="N134">
        <f>IF($U134="","",IF(ISNUMBER(INDEX(상세표[시작],$U134)),TEXT(INDEX(상세표[시작],$U134),"yyyy-mm-dd hh:mm"),INDEX(상세표[시작],$U134)&amp;""))</f>
        <v/>
      </c>
      <c r="O134">
        <f>IF($U134="","",IF(ISNUMBER(INDEX(상세표[종료],$U134)),TEXT(INDEX(상세표[종료],$U134),"yyyy-mm-dd hh:mm"),INDEX(상세표[종료],$U134)&amp;""))</f>
        <v/>
      </c>
      <c r="P134">
        <f>IF($U134="","",INDEX(상세표[06~07시],$U134))</f>
        <v/>
      </c>
      <c r="Q134">
        <f>IF($U134="","",INDEX(상세표[07~18시],$U134))</f>
        <v/>
      </c>
      <c r="R134">
        <f>IF($U134="","",INDEX(상세표[18~22시],$U134))</f>
        <v/>
      </c>
      <c r="S134">
        <f>IF($U134="","",INDEX(상세표[22~06시],$U134))</f>
        <v/>
      </c>
      <c r="T134">
        <f>IF($U134="","",INDEX(상세표[기록 시간외],$U134))</f>
        <v/>
      </c>
      <c r="U134" s="4">
        <f>IFERROR(MATCH(129,상세표[발송순번],0),"")</f>
        <v/>
      </c>
    </row>
    <row r="135">
      <c r="A135">
        <f>IF($H135="","",INDEX(상세표[사번],$H135)&amp;"")</f>
        <v/>
      </c>
      <c r="B135">
        <f>IF($H135="","",INDEX(상세표[성명],$H135)&amp;"")</f>
        <v/>
      </c>
      <c r="C135">
        <f>IF($H135="","",INDEX(상세표[부서],$H135)&amp;"")</f>
        <v/>
      </c>
      <c r="D135">
        <f>IF($H135="","",IF(IFERROR(INDEX(합계표[직위(통합)],MATCH(INDEX(상세표[사번키],$H135),합계표[사번키],0))&amp;"","")="",INDEX(상세표[직위],$H135)&amp;"",IFERROR(INDEX(합계표[직위(통합)],MATCH(INDEX(상세표[사번키],$H135),합계표[사번키],0))&amp;"","")))</f>
        <v/>
      </c>
      <c r="E135">
        <f>IF($H135="","",COUNTIFS(상세표[사번키],INDEX(상세표[사번키],$H135),상세표[기록월],대상월키))</f>
        <v/>
      </c>
      <c r="F135">
        <f>IF($H135="","",SUMIFS(상세표[기록 시간외],상세표[사번키],INDEX(상세표[사번키],$H135),상세표[기록월],대상월키))</f>
        <v/>
      </c>
      <c r="G135">
        <f>IF($H135="","",SUMIFS(합계표[시스템 합계],합계표[사번키],INDEX(상세표[사번키],$H135)))</f>
        <v/>
      </c>
      <c r="H135" s="4">
        <f>IFERROR(MATCH(130,상세표[발송인원순번],0),"")</f>
        <v/>
      </c>
      <c r="J135">
        <f>IF($U135="","",INDEX(상세표[사번],$U135)&amp;"")</f>
        <v/>
      </c>
      <c r="K135">
        <f>IF($U135="","",INDEX(상세표[성명],$U135)&amp;"")</f>
        <v/>
      </c>
      <c r="L135">
        <f>IF($U135="","",INDEX(상세표[직위],$U135)&amp;"")</f>
        <v/>
      </c>
      <c r="M135">
        <f>IF($U135="","",IF(ISNUMBER(INDEX(상세표[근무일자],$U135)),TEXT(INDEX(상세표[근무일자],$U135),"yyyy-mm-dd"),INDEX(상세표[근무일자],$U135)&amp;""))</f>
        <v/>
      </c>
      <c r="N135">
        <f>IF($U135="","",IF(ISNUMBER(INDEX(상세표[시작],$U135)),TEXT(INDEX(상세표[시작],$U135),"yyyy-mm-dd hh:mm"),INDEX(상세표[시작],$U135)&amp;""))</f>
        <v/>
      </c>
      <c r="O135">
        <f>IF($U135="","",IF(ISNUMBER(INDEX(상세표[종료],$U135)),TEXT(INDEX(상세표[종료],$U135),"yyyy-mm-dd hh:mm"),INDEX(상세표[종료],$U135)&amp;""))</f>
        <v/>
      </c>
      <c r="P135">
        <f>IF($U135="","",INDEX(상세표[06~07시],$U135))</f>
        <v/>
      </c>
      <c r="Q135">
        <f>IF($U135="","",INDEX(상세표[07~18시],$U135))</f>
        <v/>
      </c>
      <c r="R135">
        <f>IF($U135="","",INDEX(상세표[18~22시],$U135))</f>
        <v/>
      </c>
      <c r="S135">
        <f>IF($U135="","",INDEX(상세표[22~06시],$U135))</f>
        <v/>
      </c>
      <c r="T135">
        <f>IF($U135="","",INDEX(상세표[기록 시간외],$U135))</f>
        <v/>
      </c>
      <c r="U135" s="4">
        <f>IFERROR(MATCH(130,상세표[발송순번],0),"")</f>
        <v/>
      </c>
    </row>
    <row r="136">
      <c r="A136">
        <f>IF($H136="","",INDEX(상세표[사번],$H136)&amp;"")</f>
        <v/>
      </c>
      <c r="B136">
        <f>IF($H136="","",INDEX(상세표[성명],$H136)&amp;"")</f>
        <v/>
      </c>
      <c r="C136">
        <f>IF($H136="","",INDEX(상세표[부서],$H136)&amp;"")</f>
        <v/>
      </c>
      <c r="D136">
        <f>IF($H136="","",IF(IFERROR(INDEX(합계표[직위(통합)],MATCH(INDEX(상세표[사번키],$H136),합계표[사번키],0))&amp;"","")="",INDEX(상세표[직위],$H136)&amp;"",IFERROR(INDEX(합계표[직위(통합)],MATCH(INDEX(상세표[사번키],$H136),합계표[사번키],0))&amp;"","")))</f>
        <v/>
      </c>
      <c r="E136">
        <f>IF($H136="","",COUNTIFS(상세표[사번키],INDEX(상세표[사번키],$H136),상세표[기록월],대상월키))</f>
        <v/>
      </c>
      <c r="F136">
        <f>IF($H136="","",SUMIFS(상세표[기록 시간외],상세표[사번키],INDEX(상세표[사번키],$H136),상세표[기록월],대상월키))</f>
        <v/>
      </c>
      <c r="G136">
        <f>IF($H136="","",SUMIFS(합계표[시스템 합계],합계표[사번키],INDEX(상세표[사번키],$H136)))</f>
        <v/>
      </c>
      <c r="H136" s="4">
        <f>IFERROR(MATCH(131,상세표[발송인원순번],0),"")</f>
        <v/>
      </c>
      <c r="J136">
        <f>IF($U136="","",INDEX(상세표[사번],$U136)&amp;"")</f>
        <v/>
      </c>
      <c r="K136">
        <f>IF($U136="","",INDEX(상세표[성명],$U136)&amp;"")</f>
        <v/>
      </c>
      <c r="L136">
        <f>IF($U136="","",INDEX(상세표[직위],$U136)&amp;"")</f>
        <v/>
      </c>
      <c r="M136">
        <f>IF($U136="","",IF(ISNUMBER(INDEX(상세표[근무일자],$U136)),TEXT(INDEX(상세표[근무일자],$U136),"yyyy-mm-dd"),INDEX(상세표[근무일자],$U136)&amp;""))</f>
        <v/>
      </c>
      <c r="N136">
        <f>IF($U136="","",IF(ISNUMBER(INDEX(상세표[시작],$U136)),TEXT(INDEX(상세표[시작],$U136),"yyyy-mm-dd hh:mm"),INDEX(상세표[시작],$U136)&amp;""))</f>
        <v/>
      </c>
      <c r="O136">
        <f>IF($U136="","",IF(ISNUMBER(INDEX(상세표[종료],$U136)),TEXT(INDEX(상세표[종료],$U136),"yyyy-mm-dd hh:mm"),INDEX(상세표[종료],$U136)&amp;""))</f>
        <v/>
      </c>
      <c r="P136">
        <f>IF($U136="","",INDEX(상세표[06~07시],$U136))</f>
        <v/>
      </c>
      <c r="Q136">
        <f>IF($U136="","",INDEX(상세표[07~18시],$U136))</f>
        <v/>
      </c>
      <c r="R136">
        <f>IF($U136="","",INDEX(상세표[18~22시],$U136))</f>
        <v/>
      </c>
      <c r="S136">
        <f>IF($U136="","",INDEX(상세표[22~06시],$U136))</f>
        <v/>
      </c>
      <c r="T136">
        <f>IF($U136="","",INDEX(상세표[기록 시간외],$U136))</f>
        <v/>
      </c>
      <c r="U136" s="4">
        <f>IFERROR(MATCH(131,상세표[발송순번],0),"")</f>
        <v/>
      </c>
    </row>
    <row r="137">
      <c r="A137">
        <f>IF($H137="","",INDEX(상세표[사번],$H137)&amp;"")</f>
        <v/>
      </c>
      <c r="B137">
        <f>IF($H137="","",INDEX(상세표[성명],$H137)&amp;"")</f>
        <v/>
      </c>
      <c r="C137">
        <f>IF($H137="","",INDEX(상세표[부서],$H137)&amp;"")</f>
        <v/>
      </c>
      <c r="D137">
        <f>IF($H137="","",IF(IFERROR(INDEX(합계표[직위(통합)],MATCH(INDEX(상세표[사번키],$H137),합계표[사번키],0))&amp;"","")="",INDEX(상세표[직위],$H137)&amp;"",IFERROR(INDEX(합계표[직위(통합)],MATCH(INDEX(상세표[사번키],$H137),합계표[사번키],0))&amp;"","")))</f>
        <v/>
      </c>
      <c r="E137">
        <f>IF($H137="","",COUNTIFS(상세표[사번키],INDEX(상세표[사번키],$H137),상세표[기록월],대상월키))</f>
        <v/>
      </c>
      <c r="F137">
        <f>IF($H137="","",SUMIFS(상세표[기록 시간외],상세표[사번키],INDEX(상세표[사번키],$H137),상세표[기록월],대상월키))</f>
        <v/>
      </c>
      <c r="G137">
        <f>IF($H137="","",SUMIFS(합계표[시스템 합계],합계표[사번키],INDEX(상세표[사번키],$H137)))</f>
        <v/>
      </c>
      <c r="H137" s="4">
        <f>IFERROR(MATCH(132,상세표[발송인원순번],0),"")</f>
        <v/>
      </c>
      <c r="J137">
        <f>IF($U137="","",INDEX(상세표[사번],$U137)&amp;"")</f>
        <v/>
      </c>
      <c r="K137">
        <f>IF($U137="","",INDEX(상세표[성명],$U137)&amp;"")</f>
        <v/>
      </c>
      <c r="L137">
        <f>IF($U137="","",INDEX(상세표[직위],$U137)&amp;"")</f>
        <v/>
      </c>
      <c r="M137">
        <f>IF($U137="","",IF(ISNUMBER(INDEX(상세표[근무일자],$U137)),TEXT(INDEX(상세표[근무일자],$U137),"yyyy-mm-dd"),INDEX(상세표[근무일자],$U137)&amp;""))</f>
        <v/>
      </c>
      <c r="N137">
        <f>IF($U137="","",IF(ISNUMBER(INDEX(상세표[시작],$U137)),TEXT(INDEX(상세표[시작],$U137),"yyyy-mm-dd hh:mm"),INDEX(상세표[시작],$U137)&amp;""))</f>
        <v/>
      </c>
      <c r="O137">
        <f>IF($U137="","",IF(ISNUMBER(INDEX(상세표[종료],$U137)),TEXT(INDEX(상세표[종료],$U137),"yyyy-mm-dd hh:mm"),INDEX(상세표[종료],$U137)&amp;""))</f>
        <v/>
      </c>
      <c r="P137">
        <f>IF($U137="","",INDEX(상세표[06~07시],$U137))</f>
        <v/>
      </c>
      <c r="Q137">
        <f>IF($U137="","",INDEX(상세표[07~18시],$U137))</f>
        <v/>
      </c>
      <c r="R137">
        <f>IF($U137="","",INDEX(상세표[18~22시],$U137))</f>
        <v/>
      </c>
      <c r="S137">
        <f>IF($U137="","",INDEX(상세표[22~06시],$U137))</f>
        <v/>
      </c>
      <c r="T137">
        <f>IF($U137="","",INDEX(상세표[기록 시간외],$U137))</f>
        <v/>
      </c>
      <c r="U137" s="4">
        <f>IFERROR(MATCH(132,상세표[발송순번],0),"")</f>
        <v/>
      </c>
    </row>
    <row r="138">
      <c r="A138">
        <f>IF($H138="","",INDEX(상세표[사번],$H138)&amp;"")</f>
        <v/>
      </c>
      <c r="B138">
        <f>IF($H138="","",INDEX(상세표[성명],$H138)&amp;"")</f>
        <v/>
      </c>
      <c r="C138">
        <f>IF($H138="","",INDEX(상세표[부서],$H138)&amp;"")</f>
        <v/>
      </c>
      <c r="D138">
        <f>IF($H138="","",IF(IFERROR(INDEX(합계표[직위(통합)],MATCH(INDEX(상세표[사번키],$H138),합계표[사번키],0))&amp;"","")="",INDEX(상세표[직위],$H138)&amp;"",IFERROR(INDEX(합계표[직위(통합)],MATCH(INDEX(상세표[사번키],$H138),합계표[사번키],0))&amp;"","")))</f>
        <v/>
      </c>
      <c r="E138">
        <f>IF($H138="","",COUNTIFS(상세표[사번키],INDEX(상세표[사번키],$H138),상세표[기록월],대상월키))</f>
        <v/>
      </c>
      <c r="F138">
        <f>IF($H138="","",SUMIFS(상세표[기록 시간외],상세표[사번키],INDEX(상세표[사번키],$H138),상세표[기록월],대상월키))</f>
        <v/>
      </c>
      <c r="G138">
        <f>IF($H138="","",SUMIFS(합계표[시스템 합계],합계표[사번키],INDEX(상세표[사번키],$H138)))</f>
        <v/>
      </c>
      <c r="H138" s="4">
        <f>IFERROR(MATCH(133,상세표[발송인원순번],0),"")</f>
        <v/>
      </c>
      <c r="J138">
        <f>IF($U138="","",INDEX(상세표[사번],$U138)&amp;"")</f>
        <v/>
      </c>
      <c r="K138">
        <f>IF($U138="","",INDEX(상세표[성명],$U138)&amp;"")</f>
        <v/>
      </c>
      <c r="L138">
        <f>IF($U138="","",INDEX(상세표[직위],$U138)&amp;"")</f>
        <v/>
      </c>
      <c r="M138">
        <f>IF($U138="","",IF(ISNUMBER(INDEX(상세표[근무일자],$U138)),TEXT(INDEX(상세표[근무일자],$U138),"yyyy-mm-dd"),INDEX(상세표[근무일자],$U138)&amp;""))</f>
        <v/>
      </c>
      <c r="N138">
        <f>IF($U138="","",IF(ISNUMBER(INDEX(상세표[시작],$U138)),TEXT(INDEX(상세표[시작],$U138),"yyyy-mm-dd hh:mm"),INDEX(상세표[시작],$U138)&amp;""))</f>
        <v/>
      </c>
      <c r="O138">
        <f>IF($U138="","",IF(ISNUMBER(INDEX(상세표[종료],$U138)),TEXT(INDEX(상세표[종료],$U138),"yyyy-mm-dd hh:mm"),INDEX(상세표[종료],$U138)&amp;""))</f>
        <v/>
      </c>
      <c r="P138">
        <f>IF($U138="","",INDEX(상세표[06~07시],$U138))</f>
        <v/>
      </c>
      <c r="Q138">
        <f>IF($U138="","",INDEX(상세표[07~18시],$U138))</f>
        <v/>
      </c>
      <c r="R138">
        <f>IF($U138="","",INDEX(상세표[18~22시],$U138))</f>
        <v/>
      </c>
      <c r="S138">
        <f>IF($U138="","",INDEX(상세표[22~06시],$U138))</f>
        <v/>
      </c>
      <c r="T138">
        <f>IF($U138="","",INDEX(상세표[기록 시간외],$U138))</f>
        <v/>
      </c>
      <c r="U138" s="4">
        <f>IFERROR(MATCH(133,상세표[발송순번],0),"")</f>
        <v/>
      </c>
    </row>
    <row r="139">
      <c r="A139">
        <f>IF($H139="","",INDEX(상세표[사번],$H139)&amp;"")</f>
        <v/>
      </c>
      <c r="B139">
        <f>IF($H139="","",INDEX(상세표[성명],$H139)&amp;"")</f>
        <v/>
      </c>
      <c r="C139">
        <f>IF($H139="","",INDEX(상세표[부서],$H139)&amp;"")</f>
        <v/>
      </c>
      <c r="D139">
        <f>IF($H139="","",IF(IFERROR(INDEX(합계표[직위(통합)],MATCH(INDEX(상세표[사번키],$H139),합계표[사번키],0))&amp;"","")="",INDEX(상세표[직위],$H139)&amp;"",IFERROR(INDEX(합계표[직위(통합)],MATCH(INDEX(상세표[사번키],$H139),합계표[사번키],0))&amp;"","")))</f>
        <v/>
      </c>
      <c r="E139">
        <f>IF($H139="","",COUNTIFS(상세표[사번키],INDEX(상세표[사번키],$H139),상세표[기록월],대상월키))</f>
        <v/>
      </c>
      <c r="F139">
        <f>IF($H139="","",SUMIFS(상세표[기록 시간외],상세표[사번키],INDEX(상세표[사번키],$H139),상세표[기록월],대상월키))</f>
        <v/>
      </c>
      <c r="G139">
        <f>IF($H139="","",SUMIFS(합계표[시스템 합계],합계표[사번키],INDEX(상세표[사번키],$H139)))</f>
        <v/>
      </c>
      <c r="H139" s="4">
        <f>IFERROR(MATCH(134,상세표[발송인원순번],0),"")</f>
        <v/>
      </c>
      <c r="J139">
        <f>IF($U139="","",INDEX(상세표[사번],$U139)&amp;"")</f>
        <v/>
      </c>
      <c r="K139">
        <f>IF($U139="","",INDEX(상세표[성명],$U139)&amp;"")</f>
        <v/>
      </c>
      <c r="L139">
        <f>IF($U139="","",INDEX(상세표[직위],$U139)&amp;"")</f>
        <v/>
      </c>
      <c r="M139">
        <f>IF($U139="","",IF(ISNUMBER(INDEX(상세표[근무일자],$U139)),TEXT(INDEX(상세표[근무일자],$U139),"yyyy-mm-dd"),INDEX(상세표[근무일자],$U139)&amp;""))</f>
        <v/>
      </c>
      <c r="N139">
        <f>IF($U139="","",IF(ISNUMBER(INDEX(상세표[시작],$U139)),TEXT(INDEX(상세표[시작],$U139),"yyyy-mm-dd hh:mm"),INDEX(상세표[시작],$U139)&amp;""))</f>
        <v/>
      </c>
      <c r="O139">
        <f>IF($U139="","",IF(ISNUMBER(INDEX(상세표[종료],$U139)),TEXT(INDEX(상세표[종료],$U139),"yyyy-mm-dd hh:mm"),INDEX(상세표[종료],$U139)&amp;""))</f>
        <v/>
      </c>
      <c r="P139">
        <f>IF($U139="","",INDEX(상세표[06~07시],$U139))</f>
        <v/>
      </c>
      <c r="Q139">
        <f>IF($U139="","",INDEX(상세표[07~18시],$U139))</f>
        <v/>
      </c>
      <c r="R139">
        <f>IF($U139="","",INDEX(상세표[18~22시],$U139))</f>
        <v/>
      </c>
      <c r="S139">
        <f>IF($U139="","",INDEX(상세표[22~06시],$U139))</f>
        <v/>
      </c>
      <c r="T139">
        <f>IF($U139="","",INDEX(상세표[기록 시간외],$U139))</f>
        <v/>
      </c>
      <c r="U139" s="4">
        <f>IFERROR(MATCH(134,상세표[발송순번],0),"")</f>
        <v/>
      </c>
    </row>
    <row r="140">
      <c r="A140">
        <f>IF($H140="","",INDEX(상세표[사번],$H140)&amp;"")</f>
        <v/>
      </c>
      <c r="B140">
        <f>IF($H140="","",INDEX(상세표[성명],$H140)&amp;"")</f>
        <v/>
      </c>
      <c r="C140">
        <f>IF($H140="","",INDEX(상세표[부서],$H140)&amp;"")</f>
        <v/>
      </c>
      <c r="D140">
        <f>IF($H140="","",IF(IFERROR(INDEX(합계표[직위(통합)],MATCH(INDEX(상세표[사번키],$H140),합계표[사번키],0))&amp;"","")="",INDEX(상세표[직위],$H140)&amp;"",IFERROR(INDEX(합계표[직위(통합)],MATCH(INDEX(상세표[사번키],$H140),합계표[사번키],0))&amp;"","")))</f>
        <v/>
      </c>
      <c r="E140">
        <f>IF($H140="","",COUNTIFS(상세표[사번키],INDEX(상세표[사번키],$H140),상세표[기록월],대상월키))</f>
        <v/>
      </c>
      <c r="F140">
        <f>IF($H140="","",SUMIFS(상세표[기록 시간외],상세표[사번키],INDEX(상세표[사번키],$H140),상세표[기록월],대상월키))</f>
        <v/>
      </c>
      <c r="G140">
        <f>IF($H140="","",SUMIFS(합계표[시스템 합계],합계표[사번키],INDEX(상세표[사번키],$H140)))</f>
        <v/>
      </c>
      <c r="H140" s="4">
        <f>IFERROR(MATCH(135,상세표[발송인원순번],0),"")</f>
        <v/>
      </c>
      <c r="J140">
        <f>IF($U140="","",INDEX(상세표[사번],$U140)&amp;"")</f>
        <v/>
      </c>
      <c r="K140">
        <f>IF($U140="","",INDEX(상세표[성명],$U140)&amp;"")</f>
        <v/>
      </c>
      <c r="L140">
        <f>IF($U140="","",INDEX(상세표[직위],$U140)&amp;"")</f>
        <v/>
      </c>
      <c r="M140">
        <f>IF($U140="","",IF(ISNUMBER(INDEX(상세표[근무일자],$U140)),TEXT(INDEX(상세표[근무일자],$U140),"yyyy-mm-dd"),INDEX(상세표[근무일자],$U140)&amp;""))</f>
        <v/>
      </c>
      <c r="N140">
        <f>IF($U140="","",IF(ISNUMBER(INDEX(상세표[시작],$U140)),TEXT(INDEX(상세표[시작],$U140),"yyyy-mm-dd hh:mm"),INDEX(상세표[시작],$U140)&amp;""))</f>
        <v/>
      </c>
      <c r="O140">
        <f>IF($U140="","",IF(ISNUMBER(INDEX(상세표[종료],$U140)),TEXT(INDEX(상세표[종료],$U140),"yyyy-mm-dd hh:mm"),INDEX(상세표[종료],$U140)&amp;""))</f>
        <v/>
      </c>
      <c r="P140">
        <f>IF($U140="","",INDEX(상세표[06~07시],$U140))</f>
        <v/>
      </c>
      <c r="Q140">
        <f>IF($U140="","",INDEX(상세표[07~18시],$U140))</f>
        <v/>
      </c>
      <c r="R140">
        <f>IF($U140="","",INDEX(상세표[18~22시],$U140))</f>
        <v/>
      </c>
      <c r="S140">
        <f>IF($U140="","",INDEX(상세표[22~06시],$U140))</f>
        <v/>
      </c>
      <c r="T140">
        <f>IF($U140="","",INDEX(상세표[기록 시간외],$U140))</f>
        <v/>
      </c>
      <c r="U140" s="4">
        <f>IFERROR(MATCH(135,상세표[발송순번],0),"")</f>
        <v/>
      </c>
    </row>
    <row r="141">
      <c r="A141">
        <f>IF($H141="","",INDEX(상세표[사번],$H141)&amp;"")</f>
        <v/>
      </c>
      <c r="B141">
        <f>IF($H141="","",INDEX(상세표[성명],$H141)&amp;"")</f>
        <v/>
      </c>
      <c r="C141">
        <f>IF($H141="","",INDEX(상세표[부서],$H141)&amp;"")</f>
        <v/>
      </c>
      <c r="D141">
        <f>IF($H141="","",IF(IFERROR(INDEX(합계표[직위(통합)],MATCH(INDEX(상세표[사번키],$H141),합계표[사번키],0))&amp;"","")="",INDEX(상세표[직위],$H141)&amp;"",IFERROR(INDEX(합계표[직위(통합)],MATCH(INDEX(상세표[사번키],$H141),합계표[사번키],0))&amp;"","")))</f>
        <v/>
      </c>
      <c r="E141">
        <f>IF($H141="","",COUNTIFS(상세표[사번키],INDEX(상세표[사번키],$H141),상세표[기록월],대상월키))</f>
        <v/>
      </c>
      <c r="F141">
        <f>IF($H141="","",SUMIFS(상세표[기록 시간외],상세표[사번키],INDEX(상세표[사번키],$H141),상세표[기록월],대상월키))</f>
        <v/>
      </c>
      <c r="G141">
        <f>IF($H141="","",SUMIFS(합계표[시스템 합계],합계표[사번키],INDEX(상세표[사번키],$H141)))</f>
        <v/>
      </c>
      <c r="H141" s="4">
        <f>IFERROR(MATCH(136,상세표[발송인원순번],0),"")</f>
        <v/>
      </c>
      <c r="J141">
        <f>IF($U141="","",INDEX(상세표[사번],$U141)&amp;"")</f>
        <v/>
      </c>
      <c r="K141">
        <f>IF($U141="","",INDEX(상세표[성명],$U141)&amp;"")</f>
        <v/>
      </c>
      <c r="L141">
        <f>IF($U141="","",INDEX(상세표[직위],$U141)&amp;"")</f>
        <v/>
      </c>
      <c r="M141">
        <f>IF($U141="","",IF(ISNUMBER(INDEX(상세표[근무일자],$U141)),TEXT(INDEX(상세표[근무일자],$U141),"yyyy-mm-dd"),INDEX(상세표[근무일자],$U141)&amp;""))</f>
        <v/>
      </c>
      <c r="N141">
        <f>IF($U141="","",IF(ISNUMBER(INDEX(상세표[시작],$U141)),TEXT(INDEX(상세표[시작],$U141),"yyyy-mm-dd hh:mm"),INDEX(상세표[시작],$U141)&amp;""))</f>
        <v/>
      </c>
      <c r="O141">
        <f>IF($U141="","",IF(ISNUMBER(INDEX(상세표[종료],$U141)),TEXT(INDEX(상세표[종료],$U141),"yyyy-mm-dd hh:mm"),INDEX(상세표[종료],$U141)&amp;""))</f>
        <v/>
      </c>
      <c r="P141">
        <f>IF($U141="","",INDEX(상세표[06~07시],$U141))</f>
        <v/>
      </c>
      <c r="Q141">
        <f>IF($U141="","",INDEX(상세표[07~18시],$U141))</f>
        <v/>
      </c>
      <c r="R141">
        <f>IF($U141="","",INDEX(상세표[18~22시],$U141))</f>
        <v/>
      </c>
      <c r="S141">
        <f>IF($U141="","",INDEX(상세표[22~06시],$U141))</f>
        <v/>
      </c>
      <c r="T141">
        <f>IF($U141="","",INDEX(상세표[기록 시간외],$U141))</f>
        <v/>
      </c>
      <c r="U141" s="4">
        <f>IFERROR(MATCH(136,상세표[발송순번],0),"")</f>
        <v/>
      </c>
    </row>
    <row r="142">
      <c r="A142">
        <f>IF($H142="","",INDEX(상세표[사번],$H142)&amp;"")</f>
        <v/>
      </c>
      <c r="B142">
        <f>IF($H142="","",INDEX(상세표[성명],$H142)&amp;"")</f>
        <v/>
      </c>
      <c r="C142">
        <f>IF($H142="","",INDEX(상세표[부서],$H142)&amp;"")</f>
        <v/>
      </c>
      <c r="D142">
        <f>IF($H142="","",IF(IFERROR(INDEX(합계표[직위(통합)],MATCH(INDEX(상세표[사번키],$H142),합계표[사번키],0))&amp;"","")="",INDEX(상세표[직위],$H142)&amp;"",IFERROR(INDEX(합계표[직위(통합)],MATCH(INDEX(상세표[사번키],$H142),합계표[사번키],0))&amp;"","")))</f>
        <v/>
      </c>
      <c r="E142">
        <f>IF($H142="","",COUNTIFS(상세표[사번키],INDEX(상세표[사번키],$H142),상세표[기록월],대상월키))</f>
        <v/>
      </c>
      <c r="F142">
        <f>IF($H142="","",SUMIFS(상세표[기록 시간외],상세표[사번키],INDEX(상세표[사번키],$H142),상세표[기록월],대상월키))</f>
        <v/>
      </c>
      <c r="G142">
        <f>IF($H142="","",SUMIFS(합계표[시스템 합계],합계표[사번키],INDEX(상세표[사번키],$H142)))</f>
        <v/>
      </c>
      <c r="H142" s="4">
        <f>IFERROR(MATCH(137,상세표[발송인원순번],0),"")</f>
        <v/>
      </c>
      <c r="J142">
        <f>IF($U142="","",INDEX(상세표[사번],$U142)&amp;"")</f>
        <v/>
      </c>
      <c r="K142">
        <f>IF($U142="","",INDEX(상세표[성명],$U142)&amp;"")</f>
        <v/>
      </c>
      <c r="L142">
        <f>IF($U142="","",INDEX(상세표[직위],$U142)&amp;"")</f>
        <v/>
      </c>
      <c r="M142">
        <f>IF($U142="","",IF(ISNUMBER(INDEX(상세표[근무일자],$U142)),TEXT(INDEX(상세표[근무일자],$U142),"yyyy-mm-dd"),INDEX(상세표[근무일자],$U142)&amp;""))</f>
        <v/>
      </c>
      <c r="N142">
        <f>IF($U142="","",IF(ISNUMBER(INDEX(상세표[시작],$U142)),TEXT(INDEX(상세표[시작],$U142),"yyyy-mm-dd hh:mm"),INDEX(상세표[시작],$U142)&amp;""))</f>
        <v/>
      </c>
      <c r="O142">
        <f>IF($U142="","",IF(ISNUMBER(INDEX(상세표[종료],$U142)),TEXT(INDEX(상세표[종료],$U142),"yyyy-mm-dd hh:mm"),INDEX(상세표[종료],$U142)&amp;""))</f>
        <v/>
      </c>
      <c r="P142">
        <f>IF($U142="","",INDEX(상세표[06~07시],$U142))</f>
        <v/>
      </c>
      <c r="Q142">
        <f>IF($U142="","",INDEX(상세표[07~18시],$U142))</f>
        <v/>
      </c>
      <c r="R142">
        <f>IF($U142="","",INDEX(상세표[18~22시],$U142))</f>
        <v/>
      </c>
      <c r="S142">
        <f>IF($U142="","",INDEX(상세표[22~06시],$U142))</f>
        <v/>
      </c>
      <c r="T142">
        <f>IF($U142="","",INDEX(상세표[기록 시간외],$U142))</f>
        <v/>
      </c>
      <c r="U142" s="4">
        <f>IFERROR(MATCH(137,상세표[발송순번],0),"")</f>
        <v/>
      </c>
    </row>
    <row r="143">
      <c r="A143">
        <f>IF($H143="","",INDEX(상세표[사번],$H143)&amp;"")</f>
        <v/>
      </c>
      <c r="B143">
        <f>IF($H143="","",INDEX(상세표[성명],$H143)&amp;"")</f>
        <v/>
      </c>
      <c r="C143">
        <f>IF($H143="","",INDEX(상세표[부서],$H143)&amp;"")</f>
        <v/>
      </c>
      <c r="D143">
        <f>IF($H143="","",IF(IFERROR(INDEX(합계표[직위(통합)],MATCH(INDEX(상세표[사번키],$H143),합계표[사번키],0))&amp;"","")="",INDEX(상세표[직위],$H143)&amp;"",IFERROR(INDEX(합계표[직위(통합)],MATCH(INDEX(상세표[사번키],$H143),합계표[사번키],0))&amp;"","")))</f>
        <v/>
      </c>
      <c r="E143">
        <f>IF($H143="","",COUNTIFS(상세표[사번키],INDEX(상세표[사번키],$H143),상세표[기록월],대상월키))</f>
        <v/>
      </c>
      <c r="F143">
        <f>IF($H143="","",SUMIFS(상세표[기록 시간외],상세표[사번키],INDEX(상세표[사번키],$H143),상세표[기록월],대상월키))</f>
        <v/>
      </c>
      <c r="G143">
        <f>IF($H143="","",SUMIFS(합계표[시스템 합계],합계표[사번키],INDEX(상세표[사번키],$H143)))</f>
        <v/>
      </c>
      <c r="H143" s="4">
        <f>IFERROR(MATCH(138,상세표[발송인원순번],0),"")</f>
        <v/>
      </c>
      <c r="J143">
        <f>IF($U143="","",INDEX(상세표[사번],$U143)&amp;"")</f>
        <v/>
      </c>
      <c r="K143">
        <f>IF($U143="","",INDEX(상세표[성명],$U143)&amp;"")</f>
        <v/>
      </c>
      <c r="L143">
        <f>IF($U143="","",INDEX(상세표[직위],$U143)&amp;"")</f>
        <v/>
      </c>
      <c r="M143">
        <f>IF($U143="","",IF(ISNUMBER(INDEX(상세표[근무일자],$U143)),TEXT(INDEX(상세표[근무일자],$U143),"yyyy-mm-dd"),INDEX(상세표[근무일자],$U143)&amp;""))</f>
        <v/>
      </c>
      <c r="N143">
        <f>IF($U143="","",IF(ISNUMBER(INDEX(상세표[시작],$U143)),TEXT(INDEX(상세표[시작],$U143),"yyyy-mm-dd hh:mm"),INDEX(상세표[시작],$U143)&amp;""))</f>
        <v/>
      </c>
      <c r="O143">
        <f>IF($U143="","",IF(ISNUMBER(INDEX(상세표[종료],$U143)),TEXT(INDEX(상세표[종료],$U143),"yyyy-mm-dd hh:mm"),INDEX(상세표[종료],$U143)&amp;""))</f>
        <v/>
      </c>
      <c r="P143">
        <f>IF($U143="","",INDEX(상세표[06~07시],$U143))</f>
        <v/>
      </c>
      <c r="Q143">
        <f>IF($U143="","",INDEX(상세표[07~18시],$U143))</f>
        <v/>
      </c>
      <c r="R143">
        <f>IF($U143="","",INDEX(상세표[18~22시],$U143))</f>
        <v/>
      </c>
      <c r="S143">
        <f>IF($U143="","",INDEX(상세표[22~06시],$U143))</f>
        <v/>
      </c>
      <c r="T143">
        <f>IF($U143="","",INDEX(상세표[기록 시간외],$U143))</f>
        <v/>
      </c>
      <c r="U143" s="4">
        <f>IFERROR(MATCH(138,상세표[발송순번],0),"")</f>
        <v/>
      </c>
    </row>
    <row r="144">
      <c r="A144">
        <f>IF($H144="","",INDEX(상세표[사번],$H144)&amp;"")</f>
        <v/>
      </c>
      <c r="B144">
        <f>IF($H144="","",INDEX(상세표[성명],$H144)&amp;"")</f>
        <v/>
      </c>
      <c r="C144">
        <f>IF($H144="","",INDEX(상세표[부서],$H144)&amp;"")</f>
        <v/>
      </c>
      <c r="D144">
        <f>IF($H144="","",IF(IFERROR(INDEX(합계표[직위(통합)],MATCH(INDEX(상세표[사번키],$H144),합계표[사번키],0))&amp;"","")="",INDEX(상세표[직위],$H144)&amp;"",IFERROR(INDEX(합계표[직위(통합)],MATCH(INDEX(상세표[사번키],$H144),합계표[사번키],0))&amp;"","")))</f>
        <v/>
      </c>
      <c r="E144">
        <f>IF($H144="","",COUNTIFS(상세표[사번키],INDEX(상세표[사번키],$H144),상세표[기록월],대상월키))</f>
        <v/>
      </c>
      <c r="F144">
        <f>IF($H144="","",SUMIFS(상세표[기록 시간외],상세표[사번키],INDEX(상세표[사번키],$H144),상세표[기록월],대상월키))</f>
        <v/>
      </c>
      <c r="G144">
        <f>IF($H144="","",SUMIFS(합계표[시스템 합계],합계표[사번키],INDEX(상세표[사번키],$H144)))</f>
        <v/>
      </c>
      <c r="H144" s="4">
        <f>IFERROR(MATCH(139,상세표[발송인원순번],0),"")</f>
        <v/>
      </c>
      <c r="J144">
        <f>IF($U144="","",INDEX(상세표[사번],$U144)&amp;"")</f>
        <v/>
      </c>
      <c r="K144">
        <f>IF($U144="","",INDEX(상세표[성명],$U144)&amp;"")</f>
        <v/>
      </c>
      <c r="L144">
        <f>IF($U144="","",INDEX(상세표[직위],$U144)&amp;"")</f>
        <v/>
      </c>
      <c r="M144">
        <f>IF($U144="","",IF(ISNUMBER(INDEX(상세표[근무일자],$U144)),TEXT(INDEX(상세표[근무일자],$U144),"yyyy-mm-dd"),INDEX(상세표[근무일자],$U144)&amp;""))</f>
        <v/>
      </c>
      <c r="N144">
        <f>IF($U144="","",IF(ISNUMBER(INDEX(상세표[시작],$U144)),TEXT(INDEX(상세표[시작],$U144),"yyyy-mm-dd hh:mm"),INDEX(상세표[시작],$U144)&amp;""))</f>
        <v/>
      </c>
      <c r="O144">
        <f>IF($U144="","",IF(ISNUMBER(INDEX(상세표[종료],$U144)),TEXT(INDEX(상세표[종료],$U144),"yyyy-mm-dd hh:mm"),INDEX(상세표[종료],$U144)&amp;""))</f>
        <v/>
      </c>
      <c r="P144">
        <f>IF($U144="","",INDEX(상세표[06~07시],$U144))</f>
        <v/>
      </c>
      <c r="Q144">
        <f>IF($U144="","",INDEX(상세표[07~18시],$U144))</f>
        <v/>
      </c>
      <c r="R144">
        <f>IF($U144="","",INDEX(상세표[18~22시],$U144))</f>
        <v/>
      </c>
      <c r="S144">
        <f>IF($U144="","",INDEX(상세표[22~06시],$U144))</f>
        <v/>
      </c>
      <c r="T144">
        <f>IF($U144="","",INDEX(상세표[기록 시간외],$U144))</f>
        <v/>
      </c>
      <c r="U144" s="4">
        <f>IFERROR(MATCH(139,상세표[발송순번],0),"")</f>
        <v/>
      </c>
    </row>
    <row r="145">
      <c r="A145">
        <f>IF($H145="","",INDEX(상세표[사번],$H145)&amp;"")</f>
        <v/>
      </c>
      <c r="B145">
        <f>IF($H145="","",INDEX(상세표[성명],$H145)&amp;"")</f>
        <v/>
      </c>
      <c r="C145">
        <f>IF($H145="","",INDEX(상세표[부서],$H145)&amp;"")</f>
        <v/>
      </c>
      <c r="D145">
        <f>IF($H145="","",IF(IFERROR(INDEX(합계표[직위(통합)],MATCH(INDEX(상세표[사번키],$H145),합계표[사번키],0))&amp;"","")="",INDEX(상세표[직위],$H145)&amp;"",IFERROR(INDEX(합계표[직위(통합)],MATCH(INDEX(상세표[사번키],$H145),합계표[사번키],0))&amp;"","")))</f>
        <v/>
      </c>
      <c r="E145">
        <f>IF($H145="","",COUNTIFS(상세표[사번키],INDEX(상세표[사번키],$H145),상세표[기록월],대상월키))</f>
        <v/>
      </c>
      <c r="F145">
        <f>IF($H145="","",SUMIFS(상세표[기록 시간외],상세표[사번키],INDEX(상세표[사번키],$H145),상세표[기록월],대상월키))</f>
        <v/>
      </c>
      <c r="G145">
        <f>IF($H145="","",SUMIFS(합계표[시스템 합계],합계표[사번키],INDEX(상세표[사번키],$H145)))</f>
        <v/>
      </c>
      <c r="H145" s="4">
        <f>IFERROR(MATCH(140,상세표[발송인원순번],0),"")</f>
        <v/>
      </c>
      <c r="J145">
        <f>IF($U145="","",INDEX(상세표[사번],$U145)&amp;"")</f>
        <v/>
      </c>
      <c r="K145">
        <f>IF($U145="","",INDEX(상세표[성명],$U145)&amp;"")</f>
        <v/>
      </c>
      <c r="L145">
        <f>IF($U145="","",INDEX(상세표[직위],$U145)&amp;"")</f>
        <v/>
      </c>
      <c r="M145">
        <f>IF($U145="","",IF(ISNUMBER(INDEX(상세표[근무일자],$U145)),TEXT(INDEX(상세표[근무일자],$U145),"yyyy-mm-dd"),INDEX(상세표[근무일자],$U145)&amp;""))</f>
        <v/>
      </c>
      <c r="N145">
        <f>IF($U145="","",IF(ISNUMBER(INDEX(상세표[시작],$U145)),TEXT(INDEX(상세표[시작],$U145),"yyyy-mm-dd hh:mm"),INDEX(상세표[시작],$U145)&amp;""))</f>
        <v/>
      </c>
      <c r="O145">
        <f>IF($U145="","",IF(ISNUMBER(INDEX(상세표[종료],$U145)),TEXT(INDEX(상세표[종료],$U145),"yyyy-mm-dd hh:mm"),INDEX(상세표[종료],$U145)&amp;""))</f>
        <v/>
      </c>
      <c r="P145">
        <f>IF($U145="","",INDEX(상세표[06~07시],$U145))</f>
        <v/>
      </c>
      <c r="Q145">
        <f>IF($U145="","",INDEX(상세표[07~18시],$U145))</f>
        <v/>
      </c>
      <c r="R145">
        <f>IF($U145="","",INDEX(상세표[18~22시],$U145))</f>
        <v/>
      </c>
      <c r="S145">
        <f>IF($U145="","",INDEX(상세표[22~06시],$U145))</f>
        <v/>
      </c>
      <c r="T145">
        <f>IF($U145="","",INDEX(상세표[기록 시간외],$U145))</f>
        <v/>
      </c>
      <c r="U145" s="4">
        <f>IFERROR(MATCH(140,상세표[발송순번],0),"")</f>
        <v/>
      </c>
    </row>
    <row r="146">
      <c r="A146">
        <f>IF($H146="","",INDEX(상세표[사번],$H146)&amp;"")</f>
        <v/>
      </c>
      <c r="B146">
        <f>IF($H146="","",INDEX(상세표[성명],$H146)&amp;"")</f>
        <v/>
      </c>
      <c r="C146">
        <f>IF($H146="","",INDEX(상세표[부서],$H146)&amp;"")</f>
        <v/>
      </c>
      <c r="D146">
        <f>IF($H146="","",IF(IFERROR(INDEX(합계표[직위(통합)],MATCH(INDEX(상세표[사번키],$H146),합계표[사번키],0))&amp;"","")="",INDEX(상세표[직위],$H146)&amp;"",IFERROR(INDEX(합계표[직위(통합)],MATCH(INDEX(상세표[사번키],$H146),합계표[사번키],0))&amp;"","")))</f>
        <v/>
      </c>
      <c r="E146">
        <f>IF($H146="","",COUNTIFS(상세표[사번키],INDEX(상세표[사번키],$H146),상세표[기록월],대상월키))</f>
        <v/>
      </c>
      <c r="F146">
        <f>IF($H146="","",SUMIFS(상세표[기록 시간외],상세표[사번키],INDEX(상세표[사번키],$H146),상세표[기록월],대상월키))</f>
        <v/>
      </c>
      <c r="G146">
        <f>IF($H146="","",SUMIFS(합계표[시스템 합계],합계표[사번키],INDEX(상세표[사번키],$H146)))</f>
        <v/>
      </c>
      <c r="H146" s="4">
        <f>IFERROR(MATCH(141,상세표[발송인원순번],0),"")</f>
        <v/>
      </c>
      <c r="J146">
        <f>IF($U146="","",INDEX(상세표[사번],$U146)&amp;"")</f>
        <v/>
      </c>
      <c r="K146">
        <f>IF($U146="","",INDEX(상세표[성명],$U146)&amp;"")</f>
        <v/>
      </c>
      <c r="L146">
        <f>IF($U146="","",INDEX(상세표[직위],$U146)&amp;"")</f>
        <v/>
      </c>
      <c r="M146">
        <f>IF($U146="","",IF(ISNUMBER(INDEX(상세표[근무일자],$U146)),TEXT(INDEX(상세표[근무일자],$U146),"yyyy-mm-dd"),INDEX(상세표[근무일자],$U146)&amp;""))</f>
        <v/>
      </c>
      <c r="N146">
        <f>IF($U146="","",IF(ISNUMBER(INDEX(상세표[시작],$U146)),TEXT(INDEX(상세표[시작],$U146),"yyyy-mm-dd hh:mm"),INDEX(상세표[시작],$U146)&amp;""))</f>
        <v/>
      </c>
      <c r="O146">
        <f>IF($U146="","",IF(ISNUMBER(INDEX(상세표[종료],$U146)),TEXT(INDEX(상세표[종료],$U146),"yyyy-mm-dd hh:mm"),INDEX(상세표[종료],$U146)&amp;""))</f>
        <v/>
      </c>
      <c r="P146">
        <f>IF($U146="","",INDEX(상세표[06~07시],$U146))</f>
        <v/>
      </c>
      <c r="Q146">
        <f>IF($U146="","",INDEX(상세표[07~18시],$U146))</f>
        <v/>
      </c>
      <c r="R146">
        <f>IF($U146="","",INDEX(상세표[18~22시],$U146))</f>
        <v/>
      </c>
      <c r="S146">
        <f>IF($U146="","",INDEX(상세표[22~06시],$U146))</f>
        <v/>
      </c>
      <c r="T146">
        <f>IF($U146="","",INDEX(상세표[기록 시간외],$U146))</f>
        <v/>
      </c>
      <c r="U146" s="4">
        <f>IFERROR(MATCH(141,상세표[발송순번],0),"")</f>
        <v/>
      </c>
    </row>
    <row r="147">
      <c r="A147">
        <f>IF($H147="","",INDEX(상세표[사번],$H147)&amp;"")</f>
        <v/>
      </c>
      <c r="B147">
        <f>IF($H147="","",INDEX(상세표[성명],$H147)&amp;"")</f>
        <v/>
      </c>
      <c r="C147">
        <f>IF($H147="","",INDEX(상세표[부서],$H147)&amp;"")</f>
        <v/>
      </c>
      <c r="D147">
        <f>IF($H147="","",IF(IFERROR(INDEX(합계표[직위(통합)],MATCH(INDEX(상세표[사번키],$H147),합계표[사번키],0))&amp;"","")="",INDEX(상세표[직위],$H147)&amp;"",IFERROR(INDEX(합계표[직위(통합)],MATCH(INDEX(상세표[사번키],$H147),합계표[사번키],0))&amp;"","")))</f>
        <v/>
      </c>
      <c r="E147">
        <f>IF($H147="","",COUNTIFS(상세표[사번키],INDEX(상세표[사번키],$H147),상세표[기록월],대상월키))</f>
        <v/>
      </c>
      <c r="F147">
        <f>IF($H147="","",SUMIFS(상세표[기록 시간외],상세표[사번키],INDEX(상세표[사번키],$H147),상세표[기록월],대상월키))</f>
        <v/>
      </c>
      <c r="G147">
        <f>IF($H147="","",SUMIFS(합계표[시스템 합계],합계표[사번키],INDEX(상세표[사번키],$H147)))</f>
        <v/>
      </c>
      <c r="H147" s="4">
        <f>IFERROR(MATCH(142,상세표[발송인원순번],0),"")</f>
        <v/>
      </c>
      <c r="J147">
        <f>IF($U147="","",INDEX(상세표[사번],$U147)&amp;"")</f>
        <v/>
      </c>
      <c r="K147">
        <f>IF($U147="","",INDEX(상세표[성명],$U147)&amp;"")</f>
        <v/>
      </c>
      <c r="L147">
        <f>IF($U147="","",INDEX(상세표[직위],$U147)&amp;"")</f>
        <v/>
      </c>
      <c r="M147">
        <f>IF($U147="","",IF(ISNUMBER(INDEX(상세표[근무일자],$U147)),TEXT(INDEX(상세표[근무일자],$U147),"yyyy-mm-dd"),INDEX(상세표[근무일자],$U147)&amp;""))</f>
        <v/>
      </c>
      <c r="N147">
        <f>IF($U147="","",IF(ISNUMBER(INDEX(상세표[시작],$U147)),TEXT(INDEX(상세표[시작],$U147),"yyyy-mm-dd hh:mm"),INDEX(상세표[시작],$U147)&amp;""))</f>
        <v/>
      </c>
      <c r="O147">
        <f>IF($U147="","",IF(ISNUMBER(INDEX(상세표[종료],$U147)),TEXT(INDEX(상세표[종료],$U147),"yyyy-mm-dd hh:mm"),INDEX(상세표[종료],$U147)&amp;""))</f>
        <v/>
      </c>
      <c r="P147">
        <f>IF($U147="","",INDEX(상세표[06~07시],$U147))</f>
        <v/>
      </c>
      <c r="Q147">
        <f>IF($U147="","",INDEX(상세표[07~18시],$U147))</f>
        <v/>
      </c>
      <c r="R147">
        <f>IF($U147="","",INDEX(상세표[18~22시],$U147))</f>
        <v/>
      </c>
      <c r="S147">
        <f>IF($U147="","",INDEX(상세표[22~06시],$U147))</f>
        <v/>
      </c>
      <c r="T147">
        <f>IF($U147="","",INDEX(상세표[기록 시간외],$U147))</f>
        <v/>
      </c>
      <c r="U147" s="4">
        <f>IFERROR(MATCH(142,상세표[발송순번],0),"")</f>
        <v/>
      </c>
    </row>
    <row r="148">
      <c r="A148">
        <f>IF($H148="","",INDEX(상세표[사번],$H148)&amp;"")</f>
        <v/>
      </c>
      <c r="B148">
        <f>IF($H148="","",INDEX(상세표[성명],$H148)&amp;"")</f>
        <v/>
      </c>
      <c r="C148">
        <f>IF($H148="","",INDEX(상세표[부서],$H148)&amp;"")</f>
        <v/>
      </c>
      <c r="D148">
        <f>IF($H148="","",IF(IFERROR(INDEX(합계표[직위(통합)],MATCH(INDEX(상세표[사번키],$H148),합계표[사번키],0))&amp;"","")="",INDEX(상세표[직위],$H148)&amp;"",IFERROR(INDEX(합계표[직위(통합)],MATCH(INDEX(상세표[사번키],$H148),합계표[사번키],0))&amp;"","")))</f>
        <v/>
      </c>
      <c r="E148">
        <f>IF($H148="","",COUNTIFS(상세표[사번키],INDEX(상세표[사번키],$H148),상세표[기록월],대상월키))</f>
        <v/>
      </c>
      <c r="F148">
        <f>IF($H148="","",SUMIFS(상세표[기록 시간외],상세표[사번키],INDEX(상세표[사번키],$H148),상세표[기록월],대상월키))</f>
        <v/>
      </c>
      <c r="G148">
        <f>IF($H148="","",SUMIFS(합계표[시스템 합계],합계표[사번키],INDEX(상세표[사번키],$H148)))</f>
        <v/>
      </c>
      <c r="H148" s="4">
        <f>IFERROR(MATCH(143,상세표[발송인원순번],0),"")</f>
        <v/>
      </c>
      <c r="J148">
        <f>IF($U148="","",INDEX(상세표[사번],$U148)&amp;"")</f>
        <v/>
      </c>
      <c r="K148">
        <f>IF($U148="","",INDEX(상세표[성명],$U148)&amp;"")</f>
        <v/>
      </c>
      <c r="L148">
        <f>IF($U148="","",INDEX(상세표[직위],$U148)&amp;"")</f>
        <v/>
      </c>
      <c r="M148">
        <f>IF($U148="","",IF(ISNUMBER(INDEX(상세표[근무일자],$U148)),TEXT(INDEX(상세표[근무일자],$U148),"yyyy-mm-dd"),INDEX(상세표[근무일자],$U148)&amp;""))</f>
        <v/>
      </c>
      <c r="N148">
        <f>IF($U148="","",IF(ISNUMBER(INDEX(상세표[시작],$U148)),TEXT(INDEX(상세표[시작],$U148),"yyyy-mm-dd hh:mm"),INDEX(상세표[시작],$U148)&amp;""))</f>
        <v/>
      </c>
      <c r="O148">
        <f>IF($U148="","",IF(ISNUMBER(INDEX(상세표[종료],$U148)),TEXT(INDEX(상세표[종료],$U148),"yyyy-mm-dd hh:mm"),INDEX(상세표[종료],$U148)&amp;""))</f>
        <v/>
      </c>
      <c r="P148">
        <f>IF($U148="","",INDEX(상세표[06~07시],$U148))</f>
        <v/>
      </c>
      <c r="Q148">
        <f>IF($U148="","",INDEX(상세표[07~18시],$U148))</f>
        <v/>
      </c>
      <c r="R148">
        <f>IF($U148="","",INDEX(상세표[18~22시],$U148))</f>
        <v/>
      </c>
      <c r="S148">
        <f>IF($U148="","",INDEX(상세표[22~06시],$U148))</f>
        <v/>
      </c>
      <c r="T148">
        <f>IF($U148="","",INDEX(상세표[기록 시간외],$U148))</f>
        <v/>
      </c>
      <c r="U148" s="4">
        <f>IFERROR(MATCH(143,상세표[발송순번],0),"")</f>
        <v/>
      </c>
    </row>
    <row r="149">
      <c r="A149">
        <f>IF($H149="","",INDEX(상세표[사번],$H149)&amp;"")</f>
        <v/>
      </c>
      <c r="B149">
        <f>IF($H149="","",INDEX(상세표[성명],$H149)&amp;"")</f>
        <v/>
      </c>
      <c r="C149">
        <f>IF($H149="","",INDEX(상세표[부서],$H149)&amp;"")</f>
        <v/>
      </c>
      <c r="D149">
        <f>IF($H149="","",IF(IFERROR(INDEX(합계표[직위(통합)],MATCH(INDEX(상세표[사번키],$H149),합계표[사번키],0))&amp;"","")="",INDEX(상세표[직위],$H149)&amp;"",IFERROR(INDEX(합계표[직위(통합)],MATCH(INDEX(상세표[사번키],$H149),합계표[사번키],0))&amp;"","")))</f>
        <v/>
      </c>
      <c r="E149">
        <f>IF($H149="","",COUNTIFS(상세표[사번키],INDEX(상세표[사번키],$H149),상세표[기록월],대상월키))</f>
        <v/>
      </c>
      <c r="F149">
        <f>IF($H149="","",SUMIFS(상세표[기록 시간외],상세표[사번키],INDEX(상세표[사번키],$H149),상세표[기록월],대상월키))</f>
        <v/>
      </c>
      <c r="G149">
        <f>IF($H149="","",SUMIFS(합계표[시스템 합계],합계표[사번키],INDEX(상세표[사번키],$H149)))</f>
        <v/>
      </c>
      <c r="H149" s="4">
        <f>IFERROR(MATCH(144,상세표[발송인원순번],0),"")</f>
        <v/>
      </c>
      <c r="J149">
        <f>IF($U149="","",INDEX(상세표[사번],$U149)&amp;"")</f>
        <v/>
      </c>
      <c r="K149">
        <f>IF($U149="","",INDEX(상세표[성명],$U149)&amp;"")</f>
        <v/>
      </c>
      <c r="L149">
        <f>IF($U149="","",INDEX(상세표[직위],$U149)&amp;"")</f>
        <v/>
      </c>
      <c r="M149">
        <f>IF($U149="","",IF(ISNUMBER(INDEX(상세표[근무일자],$U149)),TEXT(INDEX(상세표[근무일자],$U149),"yyyy-mm-dd"),INDEX(상세표[근무일자],$U149)&amp;""))</f>
        <v/>
      </c>
      <c r="N149">
        <f>IF($U149="","",IF(ISNUMBER(INDEX(상세표[시작],$U149)),TEXT(INDEX(상세표[시작],$U149),"yyyy-mm-dd hh:mm"),INDEX(상세표[시작],$U149)&amp;""))</f>
        <v/>
      </c>
      <c r="O149">
        <f>IF($U149="","",IF(ISNUMBER(INDEX(상세표[종료],$U149)),TEXT(INDEX(상세표[종료],$U149),"yyyy-mm-dd hh:mm"),INDEX(상세표[종료],$U149)&amp;""))</f>
        <v/>
      </c>
      <c r="P149">
        <f>IF($U149="","",INDEX(상세표[06~07시],$U149))</f>
        <v/>
      </c>
      <c r="Q149">
        <f>IF($U149="","",INDEX(상세표[07~18시],$U149))</f>
        <v/>
      </c>
      <c r="R149">
        <f>IF($U149="","",INDEX(상세표[18~22시],$U149))</f>
        <v/>
      </c>
      <c r="S149">
        <f>IF($U149="","",INDEX(상세표[22~06시],$U149))</f>
        <v/>
      </c>
      <c r="T149">
        <f>IF($U149="","",INDEX(상세표[기록 시간외],$U149))</f>
        <v/>
      </c>
      <c r="U149" s="4">
        <f>IFERROR(MATCH(144,상세표[발송순번],0),"")</f>
        <v/>
      </c>
    </row>
    <row r="150">
      <c r="A150">
        <f>IF($H150="","",INDEX(상세표[사번],$H150)&amp;"")</f>
        <v/>
      </c>
      <c r="B150">
        <f>IF($H150="","",INDEX(상세표[성명],$H150)&amp;"")</f>
        <v/>
      </c>
      <c r="C150">
        <f>IF($H150="","",INDEX(상세표[부서],$H150)&amp;"")</f>
        <v/>
      </c>
      <c r="D150">
        <f>IF($H150="","",IF(IFERROR(INDEX(합계표[직위(통합)],MATCH(INDEX(상세표[사번키],$H150),합계표[사번키],0))&amp;"","")="",INDEX(상세표[직위],$H150)&amp;"",IFERROR(INDEX(합계표[직위(통합)],MATCH(INDEX(상세표[사번키],$H150),합계표[사번키],0))&amp;"","")))</f>
        <v/>
      </c>
      <c r="E150">
        <f>IF($H150="","",COUNTIFS(상세표[사번키],INDEX(상세표[사번키],$H150),상세표[기록월],대상월키))</f>
        <v/>
      </c>
      <c r="F150">
        <f>IF($H150="","",SUMIFS(상세표[기록 시간외],상세표[사번키],INDEX(상세표[사번키],$H150),상세표[기록월],대상월키))</f>
        <v/>
      </c>
      <c r="G150">
        <f>IF($H150="","",SUMIFS(합계표[시스템 합계],합계표[사번키],INDEX(상세표[사번키],$H150)))</f>
        <v/>
      </c>
      <c r="H150" s="4">
        <f>IFERROR(MATCH(145,상세표[발송인원순번],0),"")</f>
        <v/>
      </c>
      <c r="J150">
        <f>IF($U150="","",INDEX(상세표[사번],$U150)&amp;"")</f>
        <v/>
      </c>
      <c r="K150">
        <f>IF($U150="","",INDEX(상세표[성명],$U150)&amp;"")</f>
        <v/>
      </c>
      <c r="L150">
        <f>IF($U150="","",INDEX(상세표[직위],$U150)&amp;"")</f>
        <v/>
      </c>
      <c r="M150">
        <f>IF($U150="","",IF(ISNUMBER(INDEX(상세표[근무일자],$U150)),TEXT(INDEX(상세표[근무일자],$U150),"yyyy-mm-dd"),INDEX(상세표[근무일자],$U150)&amp;""))</f>
        <v/>
      </c>
      <c r="N150">
        <f>IF($U150="","",IF(ISNUMBER(INDEX(상세표[시작],$U150)),TEXT(INDEX(상세표[시작],$U150),"yyyy-mm-dd hh:mm"),INDEX(상세표[시작],$U150)&amp;""))</f>
        <v/>
      </c>
      <c r="O150">
        <f>IF($U150="","",IF(ISNUMBER(INDEX(상세표[종료],$U150)),TEXT(INDEX(상세표[종료],$U150),"yyyy-mm-dd hh:mm"),INDEX(상세표[종료],$U150)&amp;""))</f>
        <v/>
      </c>
      <c r="P150">
        <f>IF($U150="","",INDEX(상세표[06~07시],$U150))</f>
        <v/>
      </c>
      <c r="Q150">
        <f>IF($U150="","",INDEX(상세표[07~18시],$U150))</f>
        <v/>
      </c>
      <c r="R150">
        <f>IF($U150="","",INDEX(상세표[18~22시],$U150))</f>
        <v/>
      </c>
      <c r="S150">
        <f>IF($U150="","",INDEX(상세표[22~06시],$U150))</f>
        <v/>
      </c>
      <c r="T150">
        <f>IF($U150="","",INDEX(상세표[기록 시간외],$U150))</f>
        <v/>
      </c>
      <c r="U150" s="4">
        <f>IFERROR(MATCH(145,상세표[발송순번],0),"")</f>
        <v/>
      </c>
    </row>
    <row r="151">
      <c r="A151">
        <f>IF($H151="","",INDEX(상세표[사번],$H151)&amp;"")</f>
        <v/>
      </c>
      <c r="B151">
        <f>IF($H151="","",INDEX(상세표[성명],$H151)&amp;"")</f>
        <v/>
      </c>
      <c r="C151">
        <f>IF($H151="","",INDEX(상세표[부서],$H151)&amp;"")</f>
        <v/>
      </c>
      <c r="D151">
        <f>IF($H151="","",IF(IFERROR(INDEX(합계표[직위(통합)],MATCH(INDEX(상세표[사번키],$H151),합계표[사번키],0))&amp;"","")="",INDEX(상세표[직위],$H151)&amp;"",IFERROR(INDEX(합계표[직위(통합)],MATCH(INDEX(상세표[사번키],$H151),합계표[사번키],0))&amp;"","")))</f>
        <v/>
      </c>
      <c r="E151">
        <f>IF($H151="","",COUNTIFS(상세표[사번키],INDEX(상세표[사번키],$H151),상세표[기록월],대상월키))</f>
        <v/>
      </c>
      <c r="F151">
        <f>IF($H151="","",SUMIFS(상세표[기록 시간외],상세표[사번키],INDEX(상세표[사번키],$H151),상세표[기록월],대상월키))</f>
        <v/>
      </c>
      <c r="G151">
        <f>IF($H151="","",SUMIFS(합계표[시스템 합계],합계표[사번키],INDEX(상세표[사번키],$H151)))</f>
        <v/>
      </c>
      <c r="H151" s="4">
        <f>IFERROR(MATCH(146,상세표[발송인원순번],0),"")</f>
        <v/>
      </c>
      <c r="J151">
        <f>IF($U151="","",INDEX(상세표[사번],$U151)&amp;"")</f>
        <v/>
      </c>
      <c r="K151">
        <f>IF($U151="","",INDEX(상세표[성명],$U151)&amp;"")</f>
        <v/>
      </c>
      <c r="L151">
        <f>IF($U151="","",INDEX(상세표[직위],$U151)&amp;"")</f>
        <v/>
      </c>
      <c r="M151">
        <f>IF($U151="","",IF(ISNUMBER(INDEX(상세표[근무일자],$U151)),TEXT(INDEX(상세표[근무일자],$U151),"yyyy-mm-dd"),INDEX(상세표[근무일자],$U151)&amp;""))</f>
        <v/>
      </c>
      <c r="N151">
        <f>IF($U151="","",IF(ISNUMBER(INDEX(상세표[시작],$U151)),TEXT(INDEX(상세표[시작],$U151),"yyyy-mm-dd hh:mm"),INDEX(상세표[시작],$U151)&amp;""))</f>
        <v/>
      </c>
      <c r="O151">
        <f>IF($U151="","",IF(ISNUMBER(INDEX(상세표[종료],$U151)),TEXT(INDEX(상세표[종료],$U151),"yyyy-mm-dd hh:mm"),INDEX(상세표[종료],$U151)&amp;""))</f>
        <v/>
      </c>
      <c r="P151">
        <f>IF($U151="","",INDEX(상세표[06~07시],$U151))</f>
        <v/>
      </c>
      <c r="Q151">
        <f>IF($U151="","",INDEX(상세표[07~18시],$U151))</f>
        <v/>
      </c>
      <c r="R151">
        <f>IF($U151="","",INDEX(상세표[18~22시],$U151))</f>
        <v/>
      </c>
      <c r="S151">
        <f>IF($U151="","",INDEX(상세표[22~06시],$U151))</f>
        <v/>
      </c>
      <c r="T151">
        <f>IF($U151="","",INDEX(상세표[기록 시간외],$U151))</f>
        <v/>
      </c>
      <c r="U151" s="4">
        <f>IFERROR(MATCH(146,상세표[발송순번],0),"")</f>
        <v/>
      </c>
    </row>
    <row r="152">
      <c r="A152">
        <f>IF($H152="","",INDEX(상세표[사번],$H152)&amp;"")</f>
        <v/>
      </c>
      <c r="B152">
        <f>IF($H152="","",INDEX(상세표[성명],$H152)&amp;"")</f>
        <v/>
      </c>
      <c r="C152">
        <f>IF($H152="","",INDEX(상세표[부서],$H152)&amp;"")</f>
        <v/>
      </c>
      <c r="D152">
        <f>IF($H152="","",IF(IFERROR(INDEX(합계표[직위(통합)],MATCH(INDEX(상세표[사번키],$H152),합계표[사번키],0))&amp;"","")="",INDEX(상세표[직위],$H152)&amp;"",IFERROR(INDEX(합계표[직위(통합)],MATCH(INDEX(상세표[사번키],$H152),합계표[사번키],0))&amp;"","")))</f>
        <v/>
      </c>
      <c r="E152">
        <f>IF($H152="","",COUNTIFS(상세표[사번키],INDEX(상세표[사번키],$H152),상세표[기록월],대상월키))</f>
        <v/>
      </c>
      <c r="F152">
        <f>IF($H152="","",SUMIFS(상세표[기록 시간외],상세표[사번키],INDEX(상세표[사번키],$H152),상세표[기록월],대상월키))</f>
        <v/>
      </c>
      <c r="G152">
        <f>IF($H152="","",SUMIFS(합계표[시스템 합계],합계표[사번키],INDEX(상세표[사번키],$H152)))</f>
        <v/>
      </c>
      <c r="H152" s="4">
        <f>IFERROR(MATCH(147,상세표[발송인원순번],0),"")</f>
        <v/>
      </c>
      <c r="J152">
        <f>IF($U152="","",INDEX(상세표[사번],$U152)&amp;"")</f>
        <v/>
      </c>
      <c r="K152">
        <f>IF($U152="","",INDEX(상세표[성명],$U152)&amp;"")</f>
        <v/>
      </c>
      <c r="L152">
        <f>IF($U152="","",INDEX(상세표[직위],$U152)&amp;"")</f>
        <v/>
      </c>
      <c r="M152">
        <f>IF($U152="","",IF(ISNUMBER(INDEX(상세표[근무일자],$U152)),TEXT(INDEX(상세표[근무일자],$U152),"yyyy-mm-dd"),INDEX(상세표[근무일자],$U152)&amp;""))</f>
        <v/>
      </c>
      <c r="N152">
        <f>IF($U152="","",IF(ISNUMBER(INDEX(상세표[시작],$U152)),TEXT(INDEX(상세표[시작],$U152),"yyyy-mm-dd hh:mm"),INDEX(상세표[시작],$U152)&amp;""))</f>
        <v/>
      </c>
      <c r="O152">
        <f>IF($U152="","",IF(ISNUMBER(INDEX(상세표[종료],$U152)),TEXT(INDEX(상세표[종료],$U152),"yyyy-mm-dd hh:mm"),INDEX(상세표[종료],$U152)&amp;""))</f>
        <v/>
      </c>
      <c r="P152">
        <f>IF($U152="","",INDEX(상세표[06~07시],$U152))</f>
        <v/>
      </c>
      <c r="Q152">
        <f>IF($U152="","",INDEX(상세표[07~18시],$U152))</f>
        <v/>
      </c>
      <c r="R152">
        <f>IF($U152="","",INDEX(상세표[18~22시],$U152))</f>
        <v/>
      </c>
      <c r="S152">
        <f>IF($U152="","",INDEX(상세표[22~06시],$U152))</f>
        <v/>
      </c>
      <c r="T152">
        <f>IF($U152="","",INDEX(상세표[기록 시간외],$U152))</f>
        <v/>
      </c>
      <c r="U152" s="4">
        <f>IFERROR(MATCH(147,상세표[발송순번],0),"")</f>
        <v/>
      </c>
    </row>
    <row r="153">
      <c r="A153">
        <f>IF($H153="","",INDEX(상세표[사번],$H153)&amp;"")</f>
        <v/>
      </c>
      <c r="B153">
        <f>IF($H153="","",INDEX(상세표[성명],$H153)&amp;"")</f>
        <v/>
      </c>
      <c r="C153">
        <f>IF($H153="","",INDEX(상세표[부서],$H153)&amp;"")</f>
        <v/>
      </c>
      <c r="D153">
        <f>IF($H153="","",IF(IFERROR(INDEX(합계표[직위(통합)],MATCH(INDEX(상세표[사번키],$H153),합계표[사번키],0))&amp;"","")="",INDEX(상세표[직위],$H153)&amp;"",IFERROR(INDEX(합계표[직위(통합)],MATCH(INDEX(상세표[사번키],$H153),합계표[사번키],0))&amp;"","")))</f>
        <v/>
      </c>
      <c r="E153">
        <f>IF($H153="","",COUNTIFS(상세표[사번키],INDEX(상세표[사번키],$H153),상세표[기록월],대상월키))</f>
        <v/>
      </c>
      <c r="F153">
        <f>IF($H153="","",SUMIFS(상세표[기록 시간외],상세표[사번키],INDEX(상세표[사번키],$H153),상세표[기록월],대상월키))</f>
        <v/>
      </c>
      <c r="G153">
        <f>IF($H153="","",SUMIFS(합계표[시스템 합계],합계표[사번키],INDEX(상세표[사번키],$H153)))</f>
        <v/>
      </c>
      <c r="H153" s="4">
        <f>IFERROR(MATCH(148,상세표[발송인원순번],0),"")</f>
        <v/>
      </c>
      <c r="J153">
        <f>IF($U153="","",INDEX(상세표[사번],$U153)&amp;"")</f>
        <v/>
      </c>
      <c r="K153">
        <f>IF($U153="","",INDEX(상세표[성명],$U153)&amp;"")</f>
        <v/>
      </c>
      <c r="L153">
        <f>IF($U153="","",INDEX(상세표[직위],$U153)&amp;"")</f>
        <v/>
      </c>
      <c r="M153">
        <f>IF($U153="","",IF(ISNUMBER(INDEX(상세표[근무일자],$U153)),TEXT(INDEX(상세표[근무일자],$U153),"yyyy-mm-dd"),INDEX(상세표[근무일자],$U153)&amp;""))</f>
        <v/>
      </c>
      <c r="N153">
        <f>IF($U153="","",IF(ISNUMBER(INDEX(상세표[시작],$U153)),TEXT(INDEX(상세표[시작],$U153),"yyyy-mm-dd hh:mm"),INDEX(상세표[시작],$U153)&amp;""))</f>
        <v/>
      </c>
      <c r="O153">
        <f>IF($U153="","",IF(ISNUMBER(INDEX(상세표[종료],$U153)),TEXT(INDEX(상세표[종료],$U153),"yyyy-mm-dd hh:mm"),INDEX(상세표[종료],$U153)&amp;""))</f>
        <v/>
      </c>
      <c r="P153">
        <f>IF($U153="","",INDEX(상세표[06~07시],$U153))</f>
        <v/>
      </c>
      <c r="Q153">
        <f>IF($U153="","",INDEX(상세표[07~18시],$U153))</f>
        <v/>
      </c>
      <c r="R153">
        <f>IF($U153="","",INDEX(상세표[18~22시],$U153))</f>
        <v/>
      </c>
      <c r="S153">
        <f>IF($U153="","",INDEX(상세표[22~06시],$U153))</f>
        <v/>
      </c>
      <c r="T153">
        <f>IF($U153="","",INDEX(상세표[기록 시간외],$U153))</f>
        <v/>
      </c>
      <c r="U153" s="4">
        <f>IFERROR(MATCH(148,상세표[발송순번],0),"")</f>
        <v/>
      </c>
    </row>
    <row r="154">
      <c r="A154">
        <f>IF($H154="","",INDEX(상세표[사번],$H154)&amp;"")</f>
        <v/>
      </c>
      <c r="B154">
        <f>IF($H154="","",INDEX(상세표[성명],$H154)&amp;"")</f>
        <v/>
      </c>
      <c r="C154">
        <f>IF($H154="","",INDEX(상세표[부서],$H154)&amp;"")</f>
        <v/>
      </c>
      <c r="D154">
        <f>IF($H154="","",IF(IFERROR(INDEX(합계표[직위(통합)],MATCH(INDEX(상세표[사번키],$H154),합계표[사번키],0))&amp;"","")="",INDEX(상세표[직위],$H154)&amp;"",IFERROR(INDEX(합계표[직위(통합)],MATCH(INDEX(상세표[사번키],$H154),합계표[사번키],0))&amp;"","")))</f>
        <v/>
      </c>
      <c r="E154">
        <f>IF($H154="","",COUNTIFS(상세표[사번키],INDEX(상세표[사번키],$H154),상세표[기록월],대상월키))</f>
        <v/>
      </c>
      <c r="F154">
        <f>IF($H154="","",SUMIFS(상세표[기록 시간외],상세표[사번키],INDEX(상세표[사번키],$H154),상세표[기록월],대상월키))</f>
        <v/>
      </c>
      <c r="G154">
        <f>IF($H154="","",SUMIFS(합계표[시스템 합계],합계표[사번키],INDEX(상세표[사번키],$H154)))</f>
        <v/>
      </c>
      <c r="H154" s="4">
        <f>IFERROR(MATCH(149,상세표[발송인원순번],0),"")</f>
        <v/>
      </c>
      <c r="J154">
        <f>IF($U154="","",INDEX(상세표[사번],$U154)&amp;"")</f>
        <v/>
      </c>
      <c r="K154">
        <f>IF($U154="","",INDEX(상세표[성명],$U154)&amp;"")</f>
        <v/>
      </c>
      <c r="L154">
        <f>IF($U154="","",INDEX(상세표[직위],$U154)&amp;"")</f>
        <v/>
      </c>
      <c r="M154">
        <f>IF($U154="","",IF(ISNUMBER(INDEX(상세표[근무일자],$U154)),TEXT(INDEX(상세표[근무일자],$U154),"yyyy-mm-dd"),INDEX(상세표[근무일자],$U154)&amp;""))</f>
        <v/>
      </c>
      <c r="N154">
        <f>IF($U154="","",IF(ISNUMBER(INDEX(상세표[시작],$U154)),TEXT(INDEX(상세표[시작],$U154),"yyyy-mm-dd hh:mm"),INDEX(상세표[시작],$U154)&amp;""))</f>
        <v/>
      </c>
      <c r="O154">
        <f>IF($U154="","",IF(ISNUMBER(INDEX(상세표[종료],$U154)),TEXT(INDEX(상세표[종료],$U154),"yyyy-mm-dd hh:mm"),INDEX(상세표[종료],$U154)&amp;""))</f>
        <v/>
      </c>
      <c r="P154">
        <f>IF($U154="","",INDEX(상세표[06~07시],$U154))</f>
        <v/>
      </c>
      <c r="Q154">
        <f>IF($U154="","",INDEX(상세표[07~18시],$U154))</f>
        <v/>
      </c>
      <c r="R154">
        <f>IF($U154="","",INDEX(상세표[18~22시],$U154))</f>
        <v/>
      </c>
      <c r="S154">
        <f>IF($U154="","",INDEX(상세표[22~06시],$U154))</f>
        <v/>
      </c>
      <c r="T154">
        <f>IF($U154="","",INDEX(상세표[기록 시간외],$U154))</f>
        <v/>
      </c>
      <c r="U154" s="4">
        <f>IFERROR(MATCH(149,상세표[발송순번],0),"")</f>
        <v/>
      </c>
    </row>
    <row r="155">
      <c r="A155">
        <f>IF($H155="","",INDEX(상세표[사번],$H155)&amp;"")</f>
        <v/>
      </c>
      <c r="B155">
        <f>IF($H155="","",INDEX(상세표[성명],$H155)&amp;"")</f>
        <v/>
      </c>
      <c r="C155">
        <f>IF($H155="","",INDEX(상세표[부서],$H155)&amp;"")</f>
        <v/>
      </c>
      <c r="D155">
        <f>IF($H155="","",IF(IFERROR(INDEX(합계표[직위(통합)],MATCH(INDEX(상세표[사번키],$H155),합계표[사번키],0))&amp;"","")="",INDEX(상세표[직위],$H155)&amp;"",IFERROR(INDEX(합계표[직위(통합)],MATCH(INDEX(상세표[사번키],$H155),합계표[사번키],0))&amp;"","")))</f>
        <v/>
      </c>
      <c r="E155">
        <f>IF($H155="","",COUNTIFS(상세표[사번키],INDEX(상세표[사번키],$H155),상세표[기록월],대상월키))</f>
        <v/>
      </c>
      <c r="F155">
        <f>IF($H155="","",SUMIFS(상세표[기록 시간외],상세표[사번키],INDEX(상세표[사번키],$H155),상세표[기록월],대상월키))</f>
        <v/>
      </c>
      <c r="G155">
        <f>IF($H155="","",SUMIFS(합계표[시스템 합계],합계표[사번키],INDEX(상세표[사번키],$H155)))</f>
        <v/>
      </c>
      <c r="H155" s="4">
        <f>IFERROR(MATCH(150,상세표[발송인원순번],0),"")</f>
        <v/>
      </c>
      <c r="J155">
        <f>IF($U155="","",INDEX(상세표[사번],$U155)&amp;"")</f>
        <v/>
      </c>
      <c r="K155">
        <f>IF($U155="","",INDEX(상세표[성명],$U155)&amp;"")</f>
        <v/>
      </c>
      <c r="L155">
        <f>IF($U155="","",INDEX(상세표[직위],$U155)&amp;"")</f>
        <v/>
      </c>
      <c r="M155">
        <f>IF($U155="","",IF(ISNUMBER(INDEX(상세표[근무일자],$U155)),TEXT(INDEX(상세표[근무일자],$U155),"yyyy-mm-dd"),INDEX(상세표[근무일자],$U155)&amp;""))</f>
        <v/>
      </c>
      <c r="N155">
        <f>IF($U155="","",IF(ISNUMBER(INDEX(상세표[시작],$U155)),TEXT(INDEX(상세표[시작],$U155),"yyyy-mm-dd hh:mm"),INDEX(상세표[시작],$U155)&amp;""))</f>
        <v/>
      </c>
      <c r="O155">
        <f>IF($U155="","",IF(ISNUMBER(INDEX(상세표[종료],$U155)),TEXT(INDEX(상세표[종료],$U155),"yyyy-mm-dd hh:mm"),INDEX(상세표[종료],$U155)&amp;""))</f>
        <v/>
      </c>
      <c r="P155">
        <f>IF($U155="","",INDEX(상세표[06~07시],$U155))</f>
        <v/>
      </c>
      <c r="Q155">
        <f>IF($U155="","",INDEX(상세표[07~18시],$U155))</f>
        <v/>
      </c>
      <c r="R155">
        <f>IF($U155="","",INDEX(상세표[18~22시],$U155))</f>
        <v/>
      </c>
      <c r="S155">
        <f>IF($U155="","",INDEX(상세표[22~06시],$U155))</f>
        <v/>
      </c>
      <c r="T155">
        <f>IF($U155="","",INDEX(상세표[기록 시간외],$U155))</f>
        <v/>
      </c>
      <c r="U155" s="4">
        <f>IFERROR(MATCH(150,상세표[발송순번],0),"")</f>
        <v/>
      </c>
    </row>
    <row r="156">
      <c r="A156">
        <f>IF($H156="","",INDEX(상세표[사번],$H156)&amp;"")</f>
        <v/>
      </c>
      <c r="B156">
        <f>IF($H156="","",INDEX(상세표[성명],$H156)&amp;"")</f>
        <v/>
      </c>
      <c r="C156">
        <f>IF($H156="","",INDEX(상세표[부서],$H156)&amp;"")</f>
        <v/>
      </c>
      <c r="D156">
        <f>IF($H156="","",IF(IFERROR(INDEX(합계표[직위(통합)],MATCH(INDEX(상세표[사번키],$H156),합계표[사번키],0))&amp;"","")="",INDEX(상세표[직위],$H156)&amp;"",IFERROR(INDEX(합계표[직위(통합)],MATCH(INDEX(상세표[사번키],$H156),합계표[사번키],0))&amp;"","")))</f>
        <v/>
      </c>
      <c r="E156">
        <f>IF($H156="","",COUNTIFS(상세표[사번키],INDEX(상세표[사번키],$H156),상세표[기록월],대상월키))</f>
        <v/>
      </c>
      <c r="F156">
        <f>IF($H156="","",SUMIFS(상세표[기록 시간외],상세표[사번키],INDEX(상세표[사번키],$H156),상세표[기록월],대상월키))</f>
        <v/>
      </c>
      <c r="G156">
        <f>IF($H156="","",SUMIFS(합계표[시스템 합계],합계표[사번키],INDEX(상세표[사번키],$H156)))</f>
        <v/>
      </c>
      <c r="H156" s="4">
        <f>IFERROR(MATCH(151,상세표[발송인원순번],0),"")</f>
        <v/>
      </c>
      <c r="J156">
        <f>IF($U156="","",INDEX(상세표[사번],$U156)&amp;"")</f>
        <v/>
      </c>
      <c r="K156">
        <f>IF($U156="","",INDEX(상세표[성명],$U156)&amp;"")</f>
        <v/>
      </c>
      <c r="L156">
        <f>IF($U156="","",INDEX(상세표[직위],$U156)&amp;"")</f>
        <v/>
      </c>
      <c r="M156">
        <f>IF($U156="","",IF(ISNUMBER(INDEX(상세표[근무일자],$U156)),TEXT(INDEX(상세표[근무일자],$U156),"yyyy-mm-dd"),INDEX(상세표[근무일자],$U156)&amp;""))</f>
        <v/>
      </c>
      <c r="N156">
        <f>IF($U156="","",IF(ISNUMBER(INDEX(상세표[시작],$U156)),TEXT(INDEX(상세표[시작],$U156),"yyyy-mm-dd hh:mm"),INDEX(상세표[시작],$U156)&amp;""))</f>
        <v/>
      </c>
      <c r="O156">
        <f>IF($U156="","",IF(ISNUMBER(INDEX(상세표[종료],$U156)),TEXT(INDEX(상세표[종료],$U156),"yyyy-mm-dd hh:mm"),INDEX(상세표[종료],$U156)&amp;""))</f>
        <v/>
      </c>
      <c r="P156">
        <f>IF($U156="","",INDEX(상세표[06~07시],$U156))</f>
        <v/>
      </c>
      <c r="Q156">
        <f>IF($U156="","",INDEX(상세표[07~18시],$U156))</f>
        <v/>
      </c>
      <c r="R156">
        <f>IF($U156="","",INDEX(상세표[18~22시],$U156))</f>
        <v/>
      </c>
      <c r="S156">
        <f>IF($U156="","",INDEX(상세표[22~06시],$U156))</f>
        <v/>
      </c>
      <c r="T156">
        <f>IF($U156="","",INDEX(상세표[기록 시간외],$U156))</f>
        <v/>
      </c>
      <c r="U156" s="4">
        <f>IFERROR(MATCH(151,상세표[발송순번],0),"")</f>
        <v/>
      </c>
    </row>
    <row r="157">
      <c r="A157">
        <f>IF($H157="","",INDEX(상세표[사번],$H157)&amp;"")</f>
        <v/>
      </c>
      <c r="B157">
        <f>IF($H157="","",INDEX(상세표[성명],$H157)&amp;"")</f>
        <v/>
      </c>
      <c r="C157">
        <f>IF($H157="","",INDEX(상세표[부서],$H157)&amp;"")</f>
        <v/>
      </c>
      <c r="D157">
        <f>IF($H157="","",IF(IFERROR(INDEX(합계표[직위(통합)],MATCH(INDEX(상세표[사번키],$H157),합계표[사번키],0))&amp;"","")="",INDEX(상세표[직위],$H157)&amp;"",IFERROR(INDEX(합계표[직위(통합)],MATCH(INDEX(상세표[사번키],$H157),합계표[사번키],0))&amp;"","")))</f>
        <v/>
      </c>
      <c r="E157">
        <f>IF($H157="","",COUNTIFS(상세표[사번키],INDEX(상세표[사번키],$H157),상세표[기록월],대상월키))</f>
        <v/>
      </c>
      <c r="F157">
        <f>IF($H157="","",SUMIFS(상세표[기록 시간외],상세표[사번키],INDEX(상세표[사번키],$H157),상세표[기록월],대상월키))</f>
        <v/>
      </c>
      <c r="G157">
        <f>IF($H157="","",SUMIFS(합계표[시스템 합계],합계표[사번키],INDEX(상세표[사번키],$H157)))</f>
        <v/>
      </c>
      <c r="H157" s="4">
        <f>IFERROR(MATCH(152,상세표[발송인원순번],0),"")</f>
        <v/>
      </c>
      <c r="J157">
        <f>IF($U157="","",INDEX(상세표[사번],$U157)&amp;"")</f>
        <v/>
      </c>
      <c r="K157">
        <f>IF($U157="","",INDEX(상세표[성명],$U157)&amp;"")</f>
        <v/>
      </c>
      <c r="L157">
        <f>IF($U157="","",INDEX(상세표[직위],$U157)&amp;"")</f>
        <v/>
      </c>
      <c r="M157">
        <f>IF($U157="","",IF(ISNUMBER(INDEX(상세표[근무일자],$U157)),TEXT(INDEX(상세표[근무일자],$U157),"yyyy-mm-dd"),INDEX(상세표[근무일자],$U157)&amp;""))</f>
        <v/>
      </c>
      <c r="N157">
        <f>IF($U157="","",IF(ISNUMBER(INDEX(상세표[시작],$U157)),TEXT(INDEX(상세표[시작],$U157),"yyyy-mm-dd hh:mm"),INDEX(상세표[시작],$U157)&amp;""))</f>
        <v/>
      </c>
      <c r="O157">
        <f>IF($U157="","",IF(ISNUMBER(INDEX(상세표[종료],$U157)),TEXT(INDEX(상세표[종료],$U157),"yyyy-mm-dd hh:mm"),INDEX(상세표[종료],$U157)&amp;""))</f>
        <v/>
      </c>
      <c r="P157">
        <f>IF($U157="","",INDEX(상세표[06~07시],$U157))</f>
        <v/>
      </c>
      <c r="Q157">
        <f>IF($U157="","",INDEX(상세표[07~18시],$U157))</f>
        <v/>
      </c>
      <c r="R157">
        <f>IF($U157="","",INDEX(상세표[18~22시],$U157))</f>
        <v/>
      </c>
      <c r="S157">
        <f>IF($U157="","",INDEX(상세표[22~06시],$U157))</f>
        <v/>
      </c>
      <c r="T157">
        <f>IF($U157="","",INDEX(상세표[기록 시간외],$U157))</f>
        <v/>
      </c>
      <c r="U157" s="4">
        <f>IFERROR(MATCH(152,상세표[발송순번],0),"")</f>
        <v/>
      </c>
    </row>
    <row r="158">
      <c r="A158">
        <f>IF($H158="","",INDEX(상세표[사번],$H158)&amp;"")</f>
        <v/>
      </c>
      <c r="B158">
        <f>IF($H158="","",INDEX(상세표[성명],$H158)&amp;"")</f>
        <v/>
      </c>
      <c r="C158">
        <f>IF($H158="","",INDEX(상세표[부서],$H158)&amp;"")</f>
        <v/>
      </c>
      <c r="D158">
        <f>IF($H158="","",IF(IFERROR(INDEX(합계표[직위(통합)],MATCH(INDEX(상세표[사번키],$H158),합계표[사번키],0))&amp;"","")="",INDEX(상세표[직위],$H158)&amp;"",IFERROR(INDEX(합계표[직위(통합)],MATCH(INDEX(상세표[사번키],$H158),합계표[사번키],0))&amp;"","")))</f>
        <v/>
      </c>
      <c r="E158">
        <f>IF($H158="","",COUNTIFS(상세표[사번키],INDEX(상세표[사번키],$H158),상세표[기록월],대상월키))</f>
        <v/>
      </c>
      <c r="F158">
        <f>IF($H158="","",SUMIFS(상세표[기록 시간외],상세표[사번키],INDEX(상세표[사번키],$H158),상세표[기록월],대상월키))</f>
        <v/>
      </c>
      <c r="G158">
        <f>IF($H158="","",SUMIFS(합계표[시스템 합계],합계표[사번키],INDEX(상세표[사번키],$H158)))</f>
        <v/>
      </c>
      <c r="H158" s="4">
        <f>IFERROR(MATCH(153,상세표[발송인원순번],0),"")</f>
        <v/>
      </c>
      <c r="J158">
        <f>IF($U158="","",INDEX(상세표[사번],$U158)&amp;"")</f>
        <v/>
      </c>
      <c r="K158">
        <f>IF($U158="","",INDEX(상세표[성명],$U158)&amp;"")</f>
        <v/>
      </c>
      <c r="L158">
        <f>IF($U158="","",INDEX(상세표[직위],$U158)&amp;"")</f>
        <v/>
      </c>
      <c r="M158">
        <f>IF($U158="","",IF(ISNUMBER(INDEX(상세표[근무일자],$U158)),TEXT(INDEX(상세표[근무일자],$U158),"yyyy-mm-dd"),INDEX(상세표[근무일자],$U158)&amp;""))</f>
        <v/>
      </c>
      <c r="N158">
        <f>IF($U158="","",IF(ISNUMBER(INDEX(상세표[시작],$U158)),TEXT(INDEX(상세표[시작],$U158),"yyyy-mm-dd hh:mm"),INDEX(상세표[시작],$U158)&amp;""))</f>
        <v/>
      </c>
      <c r="O158">
        <f>IF($U158="","",IF(ISNUMBER(INDEX(상세표[종료],$U158)),TEXT(INDEX(상세표[종료],$U158),"yyyy-mm-dd hh:mm"),INDEX(상세표[종료],$U158)&amp;""))</f>
        <v/>
      </c>
      <c r="P158">
        <f>IF($U158="","",INDEX(상세표[06~07시],$U158))</f>
        <v/>
      </c>
      <c r="Q158">
        <f>IF($U158="","",INDEX(상세표[07~18시],$U158))</f>
        <v/>
      </c>
      <c r="R158">
        <f>IF($U158="","",INDEX(상세표[18~22시],$U158))</f>
        <v/>
      </c>
      <c r="S158">
        <f>IF($U158="","",INDEX(상세표[22~06시],$U158))</f>
        <v/>
      </c>
      <c r="T158">
        <f>IF($U158="","",INDEX(상세표[기록 시간외],$U158))</f>
        <v/>
      </c>
      <c r="U158" s="4">
        <f>IFERROR(MATCH(153,상세표[발송순번],0),"")</f>
        <v/>
      </c>
    </row>
    <row r="159">
      <c r="A159">
        <f>IF($H159="","",INDEX(상세표[사번],$H159)&amp;"")</f>
        <v/>
      </c>
      <c r="B159">
        <f>IF($H159="","",INDEX(상세표[성명],$H159)&amp;"")</f>
        <v/>
      </c>
      <c r="C159">
        <f>IF($H159="","",INDEX(상세표[부서],$H159)&amp;"")</f>
        <v/>
      </c>
      <c r="D159">
        <f>IF($H159="","",IF(IFERROR(INDEX(합계표[직위(통합)],MATCH(INDEX(상세표[사번키],$H159),합계표[사번키],0))&amp;"","")="",INDEX(상세표[직위],$H159)&amp;"",IFERROR(INDEX(합계표[직위(통합)],MATCH(INDEX(상세표[사번키],$H159),합계표[사번키],0))&amp;"","")))</f>
        <v/>
      </c>
      <c r="E159">
        <f>IF($H159="","",COUNTIFS(상세표[사번키],INDEX(상세표[사번키],$H159),상세표[기록월],대상월키))</f>
        <v/>
      </c>
      <c r="F159">
        <f>IF($H159="","",SUMIFS(상세표[기록 시간외],상세표[사번키],INDEX(상세표[사번키],$H159),상세표[기록월],대상월키))</f>
        <v/>
      </c>
      <c r="G159">
        <f>IF($H159="","",SUMIFS(합계표[시스템 합계],합계표[사번키],INDEX(상세표[사번키],$H159)))</f>
        <v/>
      </c>
      <c r="H159" s="4">
        <f>IFERROR(MATCH(154,상세표[발송인원순번],0),"")</f>
        <v/>
      </c>
      <c r="J159">
        <f>IF($U159="","",INDEX(상세표[사번],$U159)&amp;"")</f>
        <v/>
      </c>
      <c r="K159">
        <f>IF($U159="","",INDEX(상세표[성명],$U159)&amp;"")</f>
        <v/>
      </c>
      <c r="L159">
        <f>IF($U159="","",INDEX(상세표[직위],$U159)&amp;"")</f>
        <v/>
      </c>
      <c r="M159">
        <f>IF($U159="","",IF(ISNUMBER(INDEX(상세표[근무일자],$U159)),TEXT(INDEX(상세표[근무일자],$U159),"yyyy-mm-dd"),INDEX(상세표[근무일자],$U159)&amp;""))</f>
        <v/>
      </c>
      <c r="N159">
        <f>IF($U159="","",IF(ISNUMBER(INDEX(상세표[시작],$U159)),TEXT(INDEX(상세표[시작],$U159),"yyyy-mm-dd hh:mm"),INDEX(상세표[시작],$U159)&amp;""))</f>
        <v/>
      </c>
      <c r="O159">
        <f>IF($U159="","",IF(ISNUMBER(INDEX(상세표[종료],$U159)),TEXT(INDEX(상세표[종료],$U159),"yyyy-mm-dd hh:mm"),INDEX(상세표[종료],$U159)&amp;""))</f>
        <v/>
      </c>
      <c r="P159">
        <f>IF($U159="","",INDEX(상세표[06~07시],$U159))</f>
        <v/>
      </c>
      <c r="Q159">
        <f>IF($U159="","",INDEX(상세표[07~18시],$U159))</f>
        <v/>
      </c>
      <c r="R159">
        <f>IF($U159="","",INDEX(상세표[18~22시],$U159))</f>
        <v/>
      </c>
      <c r="S159">
        <f>IF($U159="","",INDEX(상세표[22~06시],$U159))</f>
        <v/>
      </c>
      <c r="T159">
        <f>IF($U159="","",INDEX(상세표[기록 시간외],$U159))</f>
        <v/>
      </c>
      <c r="U159" s="4">
        <f>IFERROR(MATCH(154,상세표[발송순번],0),"")</f>
        <v/>
      </c>
    </row>
    <row r="160">
      <c r="A160">
        <f>IF($H160="","",INDEX(상세표[사번],$H160)&amp;"")</f>
        <v/>
      </c>
      <c r="B160">
        <f>IF($H160="","",INDEX(상세표[성명],$H160)&amp;"")</f>
        <v/>
      </c>
      <c r="C160">
        <f>IF($H160="","",INDEX(상세표[부서],$H160)&amp;"")</f>
        <v/>
      </c>
      <c r="D160">
        <f>IF($H160="","",IF(IFERROR(INDEX(합계표[직위(통합)],MATCH(INDEX(상세표[사번키],$H160),합계표[사번키],0))&amp;"","")="",INDEX(상세표[직위],$H160)&amp;"",IFERROR(INDEX(합계표[직위(통합)],MATCH(INDEX(상세표[사번키],$H160),합계표[사번키],0))&amp;"","")))</f>
        <v/>
      </c>
      <c r="E160">
        <f>IF($H160="","",COUNTIFS(상세표[사번키],INDEX(상세표[사번키],$H160),상세표[기록월],대상월키))</f>
        <v/>
      </c>
      <c r="F160">
        <f>IF($H160="","",SUMIFS(상세표[기록 시간외],상세표[사번키],INDEX(상세표[사번키],$H160),상세표[기록월],대상월키))</f>
        <v/>
      </c>
      <c r="G160">
        <f>IF($H160="","",SUMIFS(합계표[시스템 합계],합계표[사번키],INDEX(상세표[사번키],$H160)))</f>
        <v/>
      </c>
      <c r="H160" s="4">
        <f>IFERROR(MATCH(155,상세표[발송인원순번],0),"")</f>
        <v/>
      </c>
      <c r="J160">
        <f>IF($U160="","",INDEX(상세표[사번],$U160)&amp;"")</f>
        <v/>
      </c>
      <c r="K160">
        <f>IF($U160="","",INDEX(상세표[성명],$U160)&amp;"")</f>
        <v/>
      </c>
      <c r="L160">
        <f>IF($U160="","",INDEX(상세표[직위],$U160)&amp;"")</f>
        <v/>
      </c>
      <c r="M160">
        <f>IF($U160="","",IF(ISNUMBER(INDEX(상세표[근무일자],$U160)),TEXT(INDEX(상세표[근무일자],$U160),"yyyy-mm-dd"),INDEX(상세표[근무일자],$U160)&amp;""))</f>
        <v/>
      </c>
      <c r="N160">
        <f>IF($U160="","",IF(ISNUMBER(INDEX(상세표[시작],$U160)),TEXT(INDEX(상세표[시작],$U160),"yyyy-mm-dd hh:mm"),INDEX(상세표[시작],$U160)&amp;""))</f>
        <v/>
      </c>
      <c r="O160">
        <f>IF($U160="","",IF(ISNUMBER(INDEX(상세표[종료],$U160)),TEXT(INDEX(상세표[종료],$U160),"yyyy-mm-dd hh:mm"),INDEX(상세표[종료],$U160)&amp;""))</f>
        <v/>
      </c>
      <c r="P160">
        <f>IF($U160="","",INDEX(상세표[06~07시],$U160))</f>
        <v/>
      </c>
      <c r="Q160">
        <f>IF($U160="","",INDEX(상세표[07~18시],$U160))</f>
        <v/>
      </c>
      <c r="R160">
        <f>IF($U160="","",INDEX(상세표[18~22시],$U160))</f>
        <v/>
      </c>
      <c r="S160">
        <f>IF($U160="","",INDEX(상세표[22~06시],$U160))</f>
        <v/>
      </c>
      <c r="T160">
        <f>IF($U160="","",INDEX(상세표[기록 시간외],$U160))</f>
        <v/>
      </c>
      <c r="U160" s="4">
        <f>IFERROR(MATCH(155,상세표[발송순번],0),"")</f>
        <v/>
      </c>
    </row>
    <row r="161">
      <c r="A161">
        <f>IF($H161="","",INDEX(상세표[사번],$H161)&amp;"")</f>
        <v/>
      </c>
      <c r="B161">
        <f>IF($H161="","",INDEX(상세표[성명],$H161)&amp;"")</f>
        <v/>
      </c>
      <c r="C161">
        <f>IF($H161="","",INDEX(상세표[부서],$H161)&amp;"")</f>
        <v/>
      </c>
      <c r="D161">
        <f>IF($H161="","",IF(IFERROR(INDEX(합계표[직위(통합)],MATCH(INDEX(상세표[사번키],$H161),합계표[사번키],0))&amp;"","")="",INDEX(상세표[직위],$H161)&amp;"",IFERROR(INDEX(합계표[직위(통합)],MATCH(INDEX(상세표[사번키],$H161),합계표[사번키],0))&amp;"","")))</f>
        <v/>
      </c>
      <c r="E161">
        <f>IF($H161="","",COUNTIFS(상세표[사번키],INDEX(상세표[사번키],$H161),상세표[기록월],대상월키))</f>
        <v/>
      </c>
      <c r="F161">
        <f>IF($H161="","",SUMIFS(상세표[기록 시간외],상세표[사번키],INDEX(상세표[사번키],$H161),상세표[기록월],대상월키))</f>
        <v/>
      </c>
      <c r="G161">
        <f>IF($H161="","",SUMIFS(합계표[시스템 합계],합계표[사번키],INDEX(상세표[사번키],$H161)))</f>
        <v/>
      </c>
      <c r="H161" s="4">
        <f>IFERROR(MATCH(156,상세표[발송인원순번],0),"")</f>
        <v/>
      </c>
      <c r="J161">
        <f>IF($U161="","",INDEX(상세표[사번],$U161)&amp;"")</f>
        <v/>
      </c>
      <c r="K161">
        <f>IF($U161="","",INDEX(상세표[성명],$U161)&amp;"")</f>
        <v/>
      </c>
      <c r="L161">
        <f>IF($U161="","",INDEX(상세표[직위],$U161)&amp;"")</f>
        <v/>
      </c>
      <c r="M161">
        <f>IF($U161="","",IF(ISNUMBER(INDEX(상세표[근무일자],$U161)),TEXT(INDEX(상세표[근무일자],$U161),"yyyy-mm-dd"),INDEX(상세표[근무일자],$U161)&amp;""))</f>
        <v/>
      </c>
      <c r="N161">
        <f>IF($U161="","",IF(ISNUMBER(INDEX(상세표[시작],$U161)),TEXT(INDEX(상세표[시작],$U161),"yyyy-mm-dd hh:mm"),INDEX(상세표[시작],$U161)&amp;""))</f>
        <v/>
      </c>
      <c r="O161">
        <f>IF($U161="","",IF(ISNUMBER(INDEX(상세표[종료],$U161)),TEXT(INDEX(상세표[종료],$U161),"yyyy-mm-dd hh:mm"),INDEX(상세표[종료],$U161)&amp;""))</f>
        <v/>
      </c>
      <c r="P161">
        <f>IF($U161="","",INDEX(상세표[06~07시],$U161))</f>
        <v/>
      </c>
      <c r="Q161">
        <f>IF($U161="","",INDEX(상세표[07~18시],$U161))</f>
        <v/>
      </c>
      <c r="R161">
        <f>IF($U161="","",INDEX(상세표[18~22시],$U161))</f>
        <v/>
      </c>
      <c r="S161">
        <f>IF($U161="","",INDEX(상세표[22~06시],$U161))</f>
        <v/>
      </c>
      <c r="T161">
        <f>IF($U161="","",INDEX(상세표[기록 시간외],$U161))</f>
        <v/>
      </c>
      <c r="U161" s="4">
        <f>IFERROR(MATCH(156,상세표[발송순번],0),"")</f>
        <v/>
      </c>
    </row>
    <row r="162">
      <c r="A162">
        <f>IF($H162="","",INDEX(상세표[사번],$H162)&amp;"")</f>
        <v/>
      </c>
      <c r="B162">
        <f>IF($H162="","",INDEX(상세표[성명],$H162)&amp;"")</f>
        <v/>
      </c>
      <c r="C162">
        <f>IF($H162="","",INDEX(상세표[부서],$H162)&amp;"")</f>
        <v/>
      </c>
      <c r="D162">
        <f>IF($H162="","",IF(IFERROR(INDEX(합계표[직위(통합)],MATCH(INDEX(상세표[사번키],$H162),합계표[사번키],0))&amp;"","")="",INDEX(상세표[직위],$H162)&amp;"",IFERROR(INDEX(합계표[직위(통합)],MATCH(INDEX(상세표[사번키],$H162),합계표[사번키],0))&amp;"","")))</f>
        <v/>
      </c>
      <c r="E162">
        <f>IF($H162="","",COUNTIFS(상세표[사번키],INDEX(상세표[사번키],$H162),상세표[기록월],대상월키))</f>
        <v/>
      </c>
      <c r="F162">
        <f>IF($H162="","",SUMIFS(상세표[기록 시간외],상세표[사번키],INDEX(상세표[사번키],$H162),상세표[기록월],대상월키))</f>
        <v/>
      </c>
      <c r="G162">
        <f>IF($H162="","",SUMIFS(합계표[시스템 합계],합계표[사번키],INDEX(상세표[사번키],$H162)))</f>
        <v/>
      </c>
      <c r="H162" s="4">
        <f>IFERROR(MATCH(157,상세표[발송인원순번],0),"")</f>
        <v/>
      </c>
      <c r="J162">
        <f>IF($U162="","",INDEX(상세표[사번],$U162)&amp;"")</f>
        <v/>
      </c>
      <c r="K162">
        <f>IF($U162="","",INDEX(상세표[성명],$U162)&amp;"")</f>
        <v/>
      </c>
      <c r="L162">
        <f>IF($U162="","",INDEX(상세표[직위],$U162)&amp;"")</f>
        <v/>
      </c>
      <c r="M162">
        <f>IF($U162="","",IF(ISNUMBER(INDEX(상세표[근무일자],$U162)),TEXT(INDEX(상세표[근무일자],$U162),"yyyy-mm-dd"),INDEX(상세표[근무일자],$U162)&amp;""))</f>
        <v/>
      </c>
      <c r="N162">
        <f>IF($U162="","",IF(ISNUMBER(INDEX(상세표[시작],$U162)),TEXT(INDEX(상세표[시작],$U162),"yyyy-mm-dd hh:mm"),INDEX(상세표[시작],$U162)&amp;""))</f>
        <v/>
      </c>
      <c r="O162">
        <f>IF($U162="","",IF(ISNUMBER(INDEX(상세표[종료],$U162)),TEXT(INDEX(상세표[종료],$U162),"yyyy-mm-dd hh:mm"),INDEX(상세표[종료],$U162)&amp;""))</f>
        <v/>
      </c>
      <c r="P162">
        <f>IF($U162="","",INDEX(상세표[06~07시],$U162))</f>
        <v/>
      </c>
      <c r="Q162">
        <f>IF($U162="","",INDEX(상세표[07~18시],$U162))</f>
        <v/>
      </c>
      <c r="R162">
        <f>IF($U162="","",INDEX(상세표[18~22시],$U162))</f>
        <v/>
      </c>
      <c r="S162">
        <f>IF($U162="","",INDEX(상세표[22~06시],$U162))</f>
        <v/>
      </c>
      <c r="T162">
        <f>IF($U162="","",INDEX(상세표[기록 시간외],$U162))</f>
        <v/>
      </c>
      <c r="U162" s="4">
        <f>IFERROR(MATCH(157,상세표[발송순번],0),"")</f>
        <v/>
      </c>
    </row>
    <row r="163">
      <c r="A163">
        <f>IF($H163="","",INDEX(상세표[사번],$H163)&amp;"")</f>
        <v/>
      </c>
      <c r="B163">
        <f>IF($H163="","",INDEX(상세표[성명],$H163)&amp;"")</f>
        <v/>
      </c>
      <c r="C163">
        <f>IF($H163="","",INDEX(상세표[부서],$H163)&amp;"")</f>
        <v/>
      </c>
      <c r="D163">
        <f>IF($H163="","",IF(IFERROR(INDEX(합계표[직위(통합)],MATCH(INDEX(상세표[사번키],$H163),합계표[사번키],0))&amp;"","")="",INDEX(상세표[직위],$H163)&amp;"",IFERROR(INDEX(합계표[직위(통합)],MATCH(INDEX(상세표[사번키],$H163),합계표[사번키],0))&amp;"","")))</f>
        <v/>
      </c>
      <c r="E163">
        <f>IF($H163="","",COUNTIFS(상세표[사번키],INDEX(상세표[사번키],$H163),상세표[기록월],대상월키))</f>
        <v/>
      </c>
      <c r="F163">
        <f>IF($H163="","",SUMIFS(상세표[기록 시간외],상세표[사번키],INDEX(상세표[사번키],$H163),상세표[기록월],대상월키))</f>
        <v/>
      </c>
      <c r="G163">
        <f>IF($H163="","",SUMIFS(합계표[시스템 합계],합계표[사번키],INDEX(상세표[사번키],$H163)))</f>
        <v/>
      </c>
      <c r="H163" s="4">
        <f>IFERROR(MATCH(158,상세표[발송인원순번],0),"")</f>
        <v/>
      </c>
      <c r="J163">
        <f>IF($U163="","",INDEX(상세표[사번],$U163)&amp;"")</f>
        <v/>
      </c>
      <c r="K163">
        <f>IF($U163="","",INDEX(상세표[성명],$U163)&amp;"")</f>
        <v/>
      </c>
      <c r="L163">
        <f>IF($U163="","",INDEX(상세표[직위],$U163)&amp;"")</f>
        <v/>
      </c>
      <c r="M163">
        <f>IF($U163="","",IF(ISNUMBER(INDEX(상세표[근무일자],$U163)),TEXT(INDEX(상세표[근무일자],$U163),"yyyy-mm-dd"),INDEX(상세표[근무일자],$U163)&amp;""))</f>
        <v/>
      </c>
      <c r="N163">
        <f>IF($U163="","",IF(ISNUMBER(INDEX(상세표[시작],$U163)),TEXT(INDEX(상세표[시작],$U163),"yyyy-mm-dd hh:mm"),INDEX(상세표[시작],$U163)&amp;""))</f>
        <v/>
      </c>
      <c r="O163">
        <f>IF($U163="","",IF(ISNUMBER(INDEX(상세표[종료],$U163)),TEXT(INDEX(상세표[종료],$U163),"yyyy-mm-dd hh:mm"),INDEX(상세표[종료],$U163)&amp;""))</f>
        <v/>
      </c>
      <c r="P163">
        <f>IF($U163="","",INDEX(상세표[06~07시],$U163))</f>
        <v/>
      </c>
      <c r="Q163">
        <f>IF($U163="","",INDEX(상세표[07~18시],$U163))</f>
        <v/>
      </c>
      <c r="R163">
        <f>IF($U163="","",INDEX(상세표[18~22시],$U163))</f>
        <v/>
      </c>
      <c r="S163">
        <f>IF($U163="","",INDEX(상세표[22~06시],$U163))</f>
        <v/>
      </c>
      <c r="T163">
        <f>IF($U163="","",INDEX(상세표[기록 시간외],$U163))</f>
        <v/>
      </c>
      <c r="U163" s="4">
        <f>IFERROR(MATCH(158,상세표[발송순번],0),"")</f>
        <v/>
      </c>
    </row>
    <row r="164">
      <c r="A164">
        <f>IF($H164="","",INDEX(상세표[사번],$H164)&amp;"")</f>
        <v/>
      </c>
      <c r="B164">
        <f>IF($H164="","",INDEX(상세표[성명],$H164)&amp;"")</f>
        <v/>
      </c>
      <c r="C164">
        <f>IF($H164="","",INDEX(상세표[부서],$H164)&amp;"")</f>
        <v/>
      </c>
      <c r="D164">
        <f>IF($H164="","",IF(IFERROR(INDEX(합계표[직위(통합)],MATCH(INDEX(상세표[사번키],$H164),합계표[사번키],0))&amp;"","")="",INDEX(상세표[직위],$H164)&amp;"",IFERROR(INDEX(합계표[직위(통합)],MATCH(INDEX(상세표[사번키],$H164),합계표[사번키],0))&amp;"","")))</f>
        <v/>
      </c>
      <c r="E164">
        <f>IF($H164="","",COUNTIFS(상세표[사번키],INDEX(상세표[사번키],$H164),상세표[기록월],대상월키))</f>
        <v/>
      </c>
      <c r="F164">
        <f>IF($H164="","",SUMIFS(상세표[기록 시간외],상세표[사번키],INDEX(상세표[사번키],$H164),상세표[기록월],대상월키))</f>
        <v/>
      </c>
      <c r="G164">
        <f>IF($H164="","",SUMIFS(합계표[시스템 합계],합계표[사번키],INDEX(상세표[사번키],$H164)))</f>
        <v/>
      </c>
      <c r="H164" s="4">
        <f>IFERROR(MATCH(159,상세표[발송인원순번],0),"")</f>
        <v/>
      </c>
      <c r="J164">
        <f>IF($U164="","",INDEX(상세표[사번],$U164)&amp;"")</f>
        <v/>
      </c>
      <c r="K164">
        <f>IF($U164="","",INDEX(상세표[성명],$U164)&amp;"")</f>
        <v/>
      </c>
      <c r="L164">
        <f>IF($U164="","",INDEX(상세표[직위],$U164)&amp;"")</f>
        <v/>
      </c>
      <c r="M164">
        <f>IF($U164="","",IF(ISNUMBER(INDEX(상세표[근무일자],$U164)),TEXT(INDEX(상세표[근무일자],$U164),"yyyy-mm-dd"),INDEX(상세표[근무일자],$U164)&amp;""))</f>
        <v/>
      </c>
      <c r="N164">
        <f>IF($U164="","",IF(ISNUMBER(INDEX(상세표[시작],$U164)),TEXT(INDEX(상세표[시작],$U164),"yyyy-mm-dd hh:mm"),INDEX(상세표[시작],$U164)&amp;""))</f>
        <v/>
      </c>
      <c r="O164">
        <f>IF($U164="","",IF(ISNUMBER(INDEX(상세표[종료],$U164)),TEXT(INDEX(상세표[종료],$U164),"yyyy-mm-dd hh:mm"),INDEX(상세표[종료],$U164)&amp;""))</f>
        <v/>
      </c>
      <c r="P164">
        <f>IF($U164="","",INDEX(상세표[06~07시],$U164))</f>
        <v/>
      </c>
      <c r="Q164">
        <f>IF($U164="","",INDEX(상세표[07~18시],$U164))</f>
        <v/>
      </c>
      <c r="R164">
        <f>IF($U164="","",INDEX(상세표[18~22시],$U164))</f>
        <v/>
      </c>
      <c r="S164">
        <f>IF($U164="","",INDEX(상세표[22~06시],$U164))</f>
        <v/>
      </c>
      <c r="T164">
        <f>IF($U164="","",INDEX(상세표[기록 시간외],$U164))</f>
        <v/>
      </c>
      <c r="U164" s="4">
        <f>IFERROR(MATCH(159,상세표[발송순번],0),"")</f>
        <v/>
      </c>
    </row>
    <row r="165">
      <c r="A165">
        <f>IF($H165="","",INDEX(상세표[사번],$H165)&amp;"")</f>
        <v/>
      </c>
      <c r="B165">
        <f>IF($H165="","",INDEX(상세표[성명],$H165)&amp;"")</f>
        <v/>
      </c>
      <c r="C165">
        <f>IF($H165="","",INDEX(상세표[부서],$H165)&amp;"")</f>
        <v/>
      </c>
      <c r="D165">
        <f>IF($H165="","",IF(IFERROR(INDEX(합계표[직위(통합)],MATCH(INDEX(상세표[사번키],$H165),합계표[사번키],0))&amp;"","")="",INDEX(상세표[직위],$H165)&amp;"",IFERROR(INDEX(합계표[직위(통합)],MATCH(INDEX(상세표[사번키],$H165),합계표[사번키],0))&amp;"","")))</f>
        <v/>
      </c>
      <c r="E165">
        <f>IF($H165="","",COUNTIFS(상세표[사번키],INDEX(상세표[사번키],$H165),상세표[기록월],대상월키))</f>
        <v/>
      </c>
      <c r="F165">
        <f>IF($H165="","",SUMIFS(상세표[기록 시간외],상세표[사번키],INDEX(상세표[사번키],$H165),상세표[기록월],대상월키))</f>
        <v/>
      </c>
      <c r="G165">
        <f>IF($H165="","",SUMIFS(합계표[시스템 합계],합계표[사번키],INDEX(상세표[사번키],$H165)))</f>
        <v/>
      </c>
      <c r="H165" s="4">
        <f>IFERROR(MATCH(160,상세표[발송인원순번],0),"")</f>
        <v/>
      </c>
      <c r="J165">
        <f>IF($U165="","",INDEX(상세표[사번],$U165)&amp;"")</f>
        <v/>
      </c>
      <c r="K165">
        <f>IF($U165="","",INDEX(상세표[성명],$U165)&amp;"")</f>
        <v/>
      </c>
      <c r="L165">
        <f>IF($U165="","",INDEX(상세표[직위],$U165)&amp;"")</f>
        <v/>
      </c>
      <c r="M165">
        <f>IF($U165="","",IF(ISNUMBER(INDEX(상세표[근무일자],$U165)),TEXT(INDEX(상세표[근무일자],$U165),"yyyy-mm-dd"),INDEX(상세표[근무일자],$U165)&amp;""))</f>
        <v/>
      </c>
      <c r="N165">
        <f>IF($U165="","",IF(ISNUMBER(INDEX(상세표[시작],$U165)),TEXT(INDEX(상세표[시작],$U165),"yyyy-mm-dd hh:mm"),INDEX(상세표[시작],$U165)&amp;""))</f>
        <v/>
      </c>
      <c r="O165">
        <f>IF($U165="","",IF(ISNUMBER(INDEX(상세표[종료],$U165)),TEXT(INDEX(상세표[종료],$U165),"yyyy-mm-dd hh:mm"),INDEX(상세표[종료],$U165)&amp;""))</f>
        <v/>
      </c>
      <c r="P165">
        <f>IF($U165="","",INDEX(상세표[06~07시],$U165))</f>
        <v/>
      </c>
      <c r="Q165">
        <f>IF($U165="","",INDEX(상세표[07~18시],$U165))</f>
        <v/>
      </c>
      <c r="R165">
        <f>IF($U165="","",INDEX(상세표[18~22시],$U165))</f>
        <v/>
      </c>
      <c r="S165">
        <f>IF($U165="","",INDEX(상세표[22~06시],$U165))</f>
        <v/>
      </c>
      <c r="T165">
        <f>IF($U165="","",INDEX(상세표[기록 시간외],$U165))</f>
        <v/>
      </c>
      <c r="U165" s="4">
        <f>IFERROR(MATCH(160,상세표[발송순번],0),"")</f>
        <v/>
      </c>
    </row>
    <row r="166">
      <c r="A166">
        <f>IF($H166="","",INDEX(상세표[사번],$H166)&amp;"")</f>
        <v/>
      </c>
      <c r="B166">
        <f>IF($H166="","",INDEX(상세표[성명],$H166)&amp;"")</f>
        <v/>
      </c>
      <c r="C166">
        <f>IF($H166="","",INDEX(상세표[부서],$H166)&amp;"")</f>
        <v/>
      </c>
      <c r="D166">
        <f>IF($H166="","",IF(IFERROR(INDEX(합계표[직위(통합)],MATCH(INDEX(상세표[사번키],$H166),합계표[사번키],0))&amp;"","")="",INDEX(상세표[직위],$H166)&amp;"",IFERROR(INDEX(합계표[직위(통합)],MATCH(INDEX(상세표[사번키],$H166),합계표[사번키],0))&amp;"","")))</f>
        <v/>
      </c>
      <c r="E166">
        <f>IF($H166="","",COUNTIFS(상세표[사번키],INDEX(상세표[사번키],$H166),상세표[기록월],대상월키))</f>
        <v/>
      </c>
      <c r="F166">
        <f>IF($H166="","",SUMIFS(상세표[기록 시간외],상세표[사번키],INDEX(상세표[사번키],$H166),상세표[기록월],대상월키))</f>
        <v/>
      </c>
      <c r="G166">
        <f>IF($H166="","",SUMIFS(합계표[시스템 합계],합계표[사번키],INDEX(상세표[사번키],$H166)))</f>
        <v/>
      </c>
      <c r="H166" s="4">
        <f>IFERROR(MATCH(161,상세표[발송인원순번],0),"")</f>
        <v/>
      </c>
      <c r="J166">
        <f>IF($U166="","",INDEX(상세표[사번],$U166)&amp;"")</f>
        <v/>
      </c>
      <c r="K166">
        <f>IF($U166="","",INDEX(상세표[성명],$U166)&amp;"")</f>
        <v/>
      </c>
      <c r="L166">
        <f>IF($U166="","",INDEX(상세표[직위],$U166)&amp;"")</f>
        <v/>
      </c>
      <c r="M166">
        <f>IF($U166="","",IF(ISNUMBER(INDEX(상세표[근무일자],$U166)),TEXT(INDEX(상세표[근무일자],$U166),"yyyy-mm-dd"),INDEX(상세표[근무일자],$U166)&amp;""))</f>
        <v/>
      </c>
      <c r="N166">
        <f>IF($U166="","",IF(ISNUMBER(INDEX(상세표[시작],$U166)),TEXT(INDEX(상세표[시작],$U166),"yyyy-mm-dd hh:mm"),INDEX(상세표[시작],$U166)&amp;""))</f>
        <v/>
      </c>
      <c r="O166">
        <f>IF($U166="","",IF(ISNUMBER(INDEX(상세표[종료],$U166)),TEXT(INDEX(상세표[종료],$U166),"yyyy-mm-dd hh:mm"),INDEX(상세표[종료],$U166)&amp;""))</f>
        <v/>
      </c>
      <c r="P166">
        <f>IF($U166="","",INDEX(상세표[06~07시],$U166))</f>
        <v/>
      </c>
      <c r="Q166">
        <f>IF($U166="","",INDEX(상세표[07~18시],$U166))</f>
        <v/>
      </c>
      <c r="R166">
        <f>IF($U166="","",INDEX(상세표[18~22시],$U166))</f>
        <v/>
      </c>
      <c r="S166">
        <f>IF($U166="","",INDEX(상세표[22~06시],$U166))</f>
        <v/>
      </c>
      <c r="T166">
        <f>IF($U166="","",INDEX(상세표[기록 시간외],$U166))</f>
        <v/>
      </c>
      <c r="U166" s="4">
        <f>IFERROR(MATCH(161,상세표[발송순번],0),"")</f>
        <v/>
      </c>
    </row>
    <row r="167">
      <c r="A167">
        <f>IF($H167="","",INDEX(상세표[사번],$H167)&amp;"")</f>
        <v/>
      </c>
      <c r="B167">
        <f>IF($H167="","",INDEX(상세표[성명],$H167)&amp;"")</f>
        <v/>
      </c>
      <c r="C167">
        <f>IF($H167="","",INDEX(상세표[부서],$H167)&amp;"")</f>
        <v/>
      </c>
      <c r="D167">
        <f>IF($H167="","",IF(IFERROR(INDEX(합계표[직위(통합)],MATCH(INDEX(상세표[사번키],$H167),합계표[사번키],0))&amp;"","")="",INDEX(상세표[직위],$H167)&amp;"",IFERROR(INDEX(합계표[직위(통합)],MATCH(INDEX(상세표[사번키],$H167),합계표[사번키],0))&amp;"","")))</f>
        <v/>
      </c>
      <c r="E167">
        <f>IF($H167="","",COUNTIFS(상세표[사번키],INDEX(상세표[사번키],$H167),상세표[기록월],대상월키))</f>
        <v/>
      </c>
      <c r="F167">
        <f>IF($H167="","",SUMIFS(상세표[기록 시간외],상세표[사번키],INDEX(상세표[사번키],$H167),상세표[기록월],대상월키))</f>
        <v/>
      </c>
      <c r="G167">
        <f>IF($H167="","",SUMIFS(합계표[시스템 합계],합계표[사번키],INDEX(상세표[사번키],$H167)))</f>
        <v/>
      </c>
      <c r="H167" s="4">
        <f>IFERROR(MATCH(162,상세표[발송인원순번],0),"")</f>
        <v/>
      </c>
      <c r="J167">
        <f>IF($U167="","",INDEX(상세표[사번],$U167)&amp;"")</f>
        <v/>
      </c>
      <c r="K167">
        <f>IF($U167="","",INDEX(상세표[성명],$U167)&amp;"")</f>
        <v/>
      </c>
      <c r="L167">
        <f>IF($U167="","",INDEX(상세표[직위],$U167)&amp;"")</f>
        <v/>
      </c>
      <c r="M167">
        <f>IF($U167="","",IF(ISNUMBER(INDEX(상세표[근무일자],$U167)),TEXT(INDEX(상세표[근무일자],$U167),"yyyy-mm-dd"),INDEX(상세표[근무일자],$U167)&amp;""))</f>
        <v/>
      </c>
      <c r="N167">
        <f>IF($U167="","",IF(ISNUMBER(INDEX(상세표[시작],$U167)),TEXT(INDEX(상세표[시작],$U167),"yyyy-mm-dd hh:mm"),INDEX(상세표[시작],$U167)&amp;""))</f>
        <v/>
      </c>
      <c r="O167">
        <f>IF($U167="","",IF(ISNUMBER(INDEX(상세표[종료],$U167)),TEXT(INDEX(상세표[종료],$U167),"yyyy-mm-dd hh:mm"),INDEX(상세표[종료],$U167)&amp;""))</f>
        <v/>
      </c>
      <c r="P167">
        <f>IF($U167="","",INDEX(상세표[06~07시],$U167))</f>
        <v/>
      </c>
      <c r="Q167">
        <f>IF($U167="","",INDEX(상세표[07~18시],$U167))</f>
        <v/>
      </c>
      <c r="R167">
        <f>IF($U167="","",INDEX(상세표[18~22시],$U167))</f>
        <v/>
      </c>
      <c r="S167">
        <f>IF($U167="","",INDEX(상세표[22~06시],$U167))</f>
        <v/>
      </c>
      <c r="T167">
        <f>IF($U167="","",INDEX(상세표[기록 시간외],$U167))</f>
        <v/>
      </c>
      <c r="U167" s="4">
        <f>IFERROR(MATCH(162,상세표[발송순번],0),"")</f>
        <v/>
      </c>
    </row>
    <row r="168">
      <c r="A168">
        <f>IF($H168="","",INDEX(상세표[사번],$H168)&amp;"")</f>
        <v/>
      </c>
      <c r="B168">
        <f>IF($H168="","",INDEX(상세표[성명],$H168)&amp;"")</f>
        <v/>
      </c>
      <c r="C168">
        <f>IF($H168="","",INDEX(상세표[부서],$H168)&amp;"")</f>
        <v/>
      </c>
      <c r="D168">
        <f>IF($H168="","",IF(IFERROR(INDEX(합계표[직위(통합)],MATCH(INDEX(상세표[사번키],$H168),합계표[사번키],0))&amp;"","")="",INDEX(상세표[직위],$H168)&amp;"",IFERROR(INDEX(합계표[직위(통합)],MATCH(INDEX(상세표[사번키],$H168),합계표[사번키],0))&amp;"","")))</f>
        <v/>
      </c>
      <c r="E168">
        <f>IF($H168="","",COUNTIFS(상세표[사번키],INDEX(상세표[사번키],$H168),상세표[기록월],대상월키))</f>
        <v/>
      </c>
      <c r="F168">
        <f>IF($H168="","",SUMIFS(상세표[기록 시간외],상세표[사번키],INDEX(상세표[사번키],$H168),상세표[기록월],대상월키))</f>
        <v/>
      </c>
      <c r="G168">
        <f>IF($H168="","",SUMIFS(합계표[시스템 합계],합계표[사번키],INDEX(상세표[사번키],$H168)))</f>
        <v/>
      </c>
      <c r="H168" s="4">
        <f>IFERROR(MATCH(163,상세표[발송인원순번],0),"")</f>
        <v/>
      </c>
      <c r="J168">
        <f>IF($U168="","",INDEX(상세표[사번],$U168)&amp;"")</f>
        <v/>
      </c>
      <c r="K168">
        <f>IF($U168="","",INDEX(상세표[성명],$U168)&amp;"")</f>
        <v/>
      </c>
      <c r="L168">
        <f>IF($U168="","",INDEX(상세표[직위],$U168)&amp;"")</f>
        <v/>
      </c>
      <c r="M168">
        <f>IF($U168="","",IF(ISNUMBER(INDEX(상세표[근무일자],$U168)),TEXT(INDEX(상세표[근무일자],$U168),"yyyy-mm-dd"),INDEX(상세표[근무일자],$U168)&amp;""))</f>
        <v/>
      </c>
      <c r="N168">
        <f>IF($U168="","",IF(ISNUMBER(INDEX(상세표[시작],$U168)),TEXT(INDEX(상세표[시작],$U168),"yyyy-mm-dd hh:mm"),INDEX(상세표[시작],$U168)&amp;""))</f>
        <v/>
      </c>
      <c r="O168">
        <f>IF($U168="","",IF(ISNUMBER(INDEX(상세표[종료],$U168)),TEXT(INDEX(상세표[종료],$U168),"yyyy-mm-dd hh:mm"),INDEX(상세표[종료],$U168)&amp;""))</f>
        <v/>
      </c>
      <c r="P168">
        <f>IF($U168="","",INDEX(상세표[06~07시],$U168))</f>
        <v/>
      </c>
      <c r="Q168">
        <f>IF($U168="","",INDEX(상세표[07~18시],$U168))</f>
        <v/>
      </c>
      <c r="R168">
        <f>IF($U168="","",INDEX(상세표[18~22시],$U168))</f>
        <v/>
      </c>
      <c r="S168">
        <f>IF($U168="","",INDEX(상세표[22~06시],$U168))</f>
        <v/>
      </c>
      <c r="T168">
        <f>IF($U168="","",INDEX(상세표[기록 시간외],$U168))</f>
        <v/>
      </c>
      <c r="U168" s="4">
        <f>IFERROR(MATCH(163,상세표[발송순번],0),"")</f>
        <v/>
      </c>
    </row>
    <row r="169">
      <c r="A169">
        <f>IF($H169="","",INDEX(상세표[사번],$H169)&amp;"")</f>
        <v/>
      </c>
      <c r="B169">
        <f>IF($H169="","",INDEX(상세표[성명],$H169)&amp;"")</f>
        <v/>
      </c>
      <c r="C169">
        <f>IF($H169="","",INDEX(상세표[부서],$H169)&amp;"")</f>
        <v/>
      </c>
      <c r="D169">
        <f>IF($H169="","",IF(IFERROR(INDEX(합계표[직위(통합)],MATCH(INDEX(상세표[사번키],$H169),합계표[사번키],0))&amp;"","")="",INDEX(상세표[직위],$H169)&amp;"",IFERROR(INDEX(합계표[직위(통합)],MATCH(INDEX(상세표[사번키],$H169),합계표[사번키],0))&amp;"","")))</f>
        <v/>
      </c>
      <c r="E169">
        <f>IF($H169="","",COUNTIFS(상세표[사번키],INDEX(상세표[사번키],$H169),상세표[기록월],대상월키))</f>
        <v/>
      </c>
      <c r="F169">
        <f>IF($H169="","",SUMIFS(상세표[기록 시간외],상세표[사번키],INDEX(상세표[사번키],$H169),상세표[기록월],대상월키))</f>
        <v/>
      </c>
      <c r="G169">
        <f>IF($H169="","",SUMIFS(합계표[시스템 합계],합계표[사번키],INDEX(상세표[사번키],$H169)))</f>
        <v/>
      </c>
      <c r="H169" s="4">
        <f>IFERROR(MATCH(164,상세표[발송인원순번],0),"")</f>
        <v/>
      </c>
      <c r="J169">
        <f>IF($U169="","",INDEX(상세표[사번],$U169)&amp;"")</f>
        <v/>
      </c>
      <c r="K169">
        <f>IF($U169="","",INDEX(상세표[성명],$U169)&amp;"")</f>
        <v/>
      </c>
      <c r="L169">
        <f>IF($U169="","",INDEX(상세표[직위],$U169)&amp;"")</f>
        <v/>
      </c>
      <c r="M169">
        <f>IF($U169="","",IF(ISNUMBER(INDEX(상세표[근무일자],$U169)),TEXT(INDEX(상세표[근무일자],$U169),"yyyy-mm-dd"),INDEX(상세표[근무일자],$U169)&amp;""))</f>
        <v/>
      </c>
      <c r="N169">
        <f>IF($U169="","",IF(ISNUMBER(INDEX(상세표[시작],$U169)),TEXT(INDEX(상세표[시작],$U169),"yyyy-mm-dd hh:mm"),INDEX(상세표[시작],$U169)&amp;""))</f>
        <v/>
      </c>
      <c r="O169">
        <f>IF($U169="","",IF(ISNUMBER(INDEX(상세표[종료],$U169)),TEXT(INDEX(상세표[종료],$U169),"yyyy-mm-dd hh:mm"),INDEX(상세표[종료],$U169)&amp;""))</f>
        <v/>
      </c>
      <c r="P169">
        <f>IF($U169="","",INDEX(상세표[06~07시],$U169))</f>
        <v/>
      </c>
      <c r="Q169">
        <f>IF($U169="","",INDEX(상세표[07~18시],$U169))</f>
        <v/>
      </c>
      <c r="R169">
        <f>IF($U169="","",INDEX(상세표[18~22시],$U169))</f>
        <v/>
      </c>
      <c r="S169">
        <f>IF($U169="","",INDEX(상세표[22~06시],$U169))</f>
        <v/>
      </c>
      <c r="T169">
        <f>IF($U169="","",INDEX(상세표[기록 시간외],$U169))</f>
        <v/>
      </c>
      <c r="U169" s="4">
        <f>IFERROR(MATCH(164,상세표[발송순번],0),"")</f>
        <v/>
      </c>
    </row>
    <row r="170">
      <c r="A170">
        <f>IF($H170="","",INDEX(상세표[사번],$H170)&amp;"")</f>
        <v/>
      </c>
      <c r="B170">
        <f>IF($H170="","",INDEX(상세표[성명],$H170)&amp;"")</f>
        <v/>
      </c>
      <c r="C170">
        <f>IF($H170="","",INDEX(상세표[부서],$H170)&amp;"")</f>
        <v/>
      </c>
      <c r="D170">
        <f>IF($H170="","",IF(IFERROR(INDEX(합계표[직위(통합)],MATCH(INDEX(상세표[사번키],$H170),합계표[사번키],0))&amp;"","")="",INDEX(상세표[직위],$H170)&amp;"",IFERROR(INDEX(합계표[직위(통합)],MATCH(INDEX(상세표[사번키],$H170),합계표[사번키],0))&amp;"","")))</f>
        <v/>
      </c>
      <c r="E170">
        <f>IF($H170="","",COUNTIFS(상세표[사번키],INDEX(상세표[사번키],$H170),상세표[기록월],대상월키))</f>
        <v/>
      </c>
      <c r="F170">
        <f>IF($H170="","",SUMIFS(상세표[기록 시간외],상세표[사번키],INDEX(상세표[사번키],$H170),상세표[기록월],대상월키))</f>
        <v/>
      </c>
      <c r="G170">
        <f>IF($H170="","",SUMIFS(합계표[시스템 합계],합계표[사번키],INDEX(상세표[사번키],$H170)))</f>
        <v/>
      </c>
      <c r="H170" s="4">
        <f>IFERROR(MATCH(165,상세표[발송인원순번],0),"")</f>
        <v/>
      </c>
      <c r="J170">
        <f>IF($U170="","",INDEX(상세표[사번],$U170)&amp;"")</f>
        <v/>
      </c>
      <c r="K170">
        <f>IF($U170="","",INDEX(상세표[성명],$U170)&amp;"")</f>
        <v/>
      </c>
      <c r="L170">
        <f>IF($U170="","",INDEX(상세표[직위],$U170)&amp;"")</f>
        <v/>
      </c>
      <c r="M170">
        <f>IF($U170="","",IF(ISNUMBER(INDEX(상세표[근무일자],$U170)),TEXT(INDEX(상세표[근무일자],$U170),"yyyy-mm-dd"),INDEX(상세표[근무일자],$U170)&amp;""))</f>
        <v/>
      </c>
      <c r="N170">
        <f>IF($U170="","",IF(ISNUMBER(INDEX(상세표[시작],$U170)),TEXT(INDEX(상세표[시작],$U170),"yyyy-mm-dd hh:mm"),INDEX(상세표[시작],$U170)&amp;""))</f>
        <v/>
      </c>
      <c r="O170">
        <f>IF($U170="","",IF(ISNUMBER(INDEX(상세표[종료],$U170)),TEXT(INDEX(상세표[종료],$U170),"yyyy-mm-dd hh:mm"),INDEX(상세표[종료],$U170)&amp;""))</f>
        <v/>
      </c>
      <c r="P170">
        <f>IF($U170="","",INDEX(상세표[06~07시],$U170))</f>
        <v/>
      </c>
      <c r="Q170">
        <f>IF($U170="","",INDEX(상세표[07~18시],$U170))</f>
        <v/>
      </c>
      <c r="R170">
        <f>IF($U170="","",INDEX(상세표[18~22시],$U170))</f>
        <v/>
      </c>
      <c r="S170">
        <f>IF($U170="","",INDEX(상세표[22~06시],$U170))</f>
        <v/>
      </c>
      <c r="T170">
        <f>IF($U170="","",INDEX(상세표[기록 시간외],$U170))</f>
        <v/>
      </c>
      <c r="U170" s="4">
        <f>IFERROR(MATCH(165,상세표[발송순번],0),"")</f>
        <v/>
      </c>
    </row>
    <row r="171">
      <c r="A171">
        <f>IF($H171="","",INDEX(상세표[사번],$H171)&amp;"")</f>
        <v/>
      </c>
      <c r="B171">
        <f>IF($H171="","",INDEX(상세표[성명],$H171)&amp;"")</f>
        <v/>
      </c>
      <c r="C171">
        <f>IF($H171="","",INDEX(상세표[부서],$H171)&amp;"")</f>
        <v/>
      </c>
      <c r="D171">
        <f>IF($H171="","",IF(IFERROR(INDEX(합계표[직위(통합)],MATCH(INDEX(상세표[사번키],$H171),합계표[사번키],0))&amp;"","")="",INDEX(상세표[직위],$H171)&amp;"",IFERROR(INDEX(합계표[직위(통합)],MATCH(INDEX(상세표[사번키],$H171),합계표[사번키],0))&amp;"","")))</f>
        <v/>
      </c>
      <c r="E171">
        <f>IF($H171="","",COUNTIFS(상세표[사번키],INDEX(상세표[사번키],$H171),상세표[기록월],대상월키))</f>
        <v/>
      </c>
      <c r="F171">
        <f>IF($H171="","",SUMIFS(상세표[기록 시간외],상세표[사번키],INDEX(상세표[사번키],$H171),상세표[기록월],대상월키))</f>
        <v/>
      </c>
      <c r="G171">
        <f>IF($H171="","",SUMIFS(합계표[시스템 합계],합계표[사번키],INDEX(상세표[사번키],$H171)))</f>
        <v/>
      </c>
      <c r="H171" s="4">
        <f>IFERROR(MATCH(166,상세표[발송인원순번],0),"")</f>
        <v/>
      </c>
      <c r="J171">
        <f>IF($U171="","",INDEX(상세표[사번],$U171)&amp;"")</f>
        <v/>
      </c>
      <c r="K171">
        <f>IF($U171="","",INDEX(상세표[성명],$U171)&amp;"")</f>
        <v/>
      </c>
      <c r="L171">
        <f>IF($U171="","",INDEX(상세표[직위],$U171)&amp;"")</f>
        <v/>
      </c>
      <c r="M171">
        <f>IF($U171="","",IF(ISNUMBER(INDEX(상세표[근무일자],$U171)),TEXT(INDEX(상세표[근무일자],$U171),"yyyy-mm-dd"),INDEX(상세표[근무일자],$U171)&amp;""))</f>
        <v/>
      </c>
      <c r="N171">
        <f>IF($U171="","",IF(ISNUMBER(INDEX(상세표[시작],$U171)),TEXT(INDEX(상세표[시작],$U171),"yyyy-mm-dd hh:mm"),INDEX(상세표[시작],$U171)&amp;""))</f>
        <v/>
      </c>
      <c r="O171">
        <f>IF($U171="","",IF(ISNUMBER(INDEX(상세표[종료],$U171)),TEXT(INDEX(상세표[종료],$U171),"yyyy-mm-dd hh:mm"),INDEX(상세표[종료],$U171)&amp;""))</f>
        <v/>
      </c>
      <c r="P171">
        <f>IF($U171="","",INDEX(상세표[06~07시],$U171))</f>
        <v/>
      </c>
      <c r="Q171">
        <f>IF($U171="","",INDEX(상세표[07~18시],$U171))</f>
        <v/>
      </c>
      <c r="R171">
        <f>IF($U171="","",INDEX(상세표[18~22시],$U171))</f>
        <v/>
      </c>
      <c r="S171">
        <f>IF($U171="","",INDEX(상세표[22~06시],$U171))</f>
        <v/>
      </c>
      <c r="T171">
        <f>IF($U171="","",INDEX(상세표[기록 시간외],$U171))</f>
        <v/>
      </c>
      <c r="U171" s="4">
        <f>IFERROR(MATCH(166,상세표[발송순번],0),"")</f>
        <v/>
      </c>
    </row>
    <row r="172">
      <c r="A172">
        <f>IF($H172="","",INDEX(상세표[사번],$H172)&amp;"")</f>
        <v/>
      </c>
      <c r="B172">
        <f>IF($H172="","",INDEX(상세표[성명],$H172)&amp;"")</f>
        <v/>
      </c>
      <c r="C172">
        <f>IF($H172="","",INDEX(상세표[부서],$H172)&amp;"")</f>
        <v/>
      </c>
      <c r="D172">
        <f>IF($H172="","",IF(IFERROR(INDEX(합계표[직위(통합)],MATCH(INDEX(상세표[사번키],$H172),합계표[사번키],0))&amp;"","")="",INDEX(상세표[직위],$H172)&amp;"",IFERROR(INDEX(합계표[직위(통합)],MATCH(INDEX(상세표[사번키],$H172),합계표[사번키],0))&amp;"","")))</f>
        <v/>
      </c>
      <c r="E172">
        <f>IF($H172="","",COUNTIFS(상세표[사번키],INDEX(상세표[사번키],$H172),상세표[기록월],대상월키))</f>
        <v/>
      </c>
      <c r="F172">
        <f>IF($H172="","",SUMIFS(상세표[기록 시간외],상세표[사번키],INDEX(상세표[사번키],$H172),상세표[기록월],대상월키))</f>
        <v/>
      </c>
      <c r="G172">
        <f>IF($H172="","",SUMIFS(합계표[시스템 합계],합계표[사번키],INDEX(상세표[사번키],$H172)))</f>
        <v/>
      </c>
      <c r="H172" s="4">
        <f>IFERROR(MATCH(167,상세표[발송인원순번],0),"")</f>
        <v/>
      </c>
      <c r="J172">
        <f>IF($U172="","",INDEX(상세표[사번],$U172)&amp;"")</f>
        <v/>
      </c>
      <c r="K172">
        <f>IF($U172="","",INDEX(상세표[성명],$U172)&amp;"")</f>
        <v/>
      </c>
      <c r="L172">
        <f>IF($U172="","",INDEX(상세표[직위],$U172)&amp;"")</f>
        <v/>
      </c>
      <c r="M172">
        <f>IF($U172="","",IF(ISNUMBER(INDEX(상세표[근무일자],$U172)),TEXT(INDEX(상세표[근무일자],$U172),"yyyy-mm-dd"),INDEX(상세표[근무일자],$U172)&amp;""))</f>
        <v/>
      </c>
      <c r="N172">
        <f>IF($U172="","",IF(ISNUMBER(INDEX(상세표[시작],$U172)),TEXT(INDEX(상세표[시작],$U172),"yyyy-mm-dd hh:mm"),INDEX(상세표[시작],$U172)&amp;""))</f>
        <v/>
      </c>
      <c r="O172">
        <f>IF($U172="","",IF(ISNUMBER(INDEX(상세표[종료],$U172)),TEXT(INDEX(상세표[종료],$U172),"yyyy-mm-dd hh:mm"),INDEX(상세표[종료],$U172)&amp;""))</f>
        <v/>
      </c>
      <c r="P172">
        <f>IF($U172="","",INDEX(상세표[06~07시],$U172))</f>
        <v/>
      </c>
      <c r="Q172">
        <f>IF($U172="","",INDEX(상세표[07~18시],$U172))</f>
        <v/>
      </c>
      <c r="R172">
        <f>IF($U172="","",INDEX(상세표[18~22시],$U172))</f>
        <v/>
      </c>
      <c r="S172">
        <f>IF($U172="","",INDEX(상세표[22~06시],$U172))</f>
        <v/>
      </c>
      <c r="T172">
        <f>IF($U172="","",INDEX(상세표[기록 시간외],$U172))</f>
        <v/>
      </c>
      <c r="U172" s="4">
        <f>IFERROR(MATCH(167,상세표[발송순번],0),"")</f>
        <v/>
      </c>
    </row>
    <row r="173">
      <c r="A173">
        <f>IF($H173="","",INDEX(상세표[사번],$H173)&amp;"")</f>
        <v/>
      </c>
      <c r="B173">
        <f>IF($H173="","",INDEX(상세표[성명],$H173)&amp;"")</f>
        <v/>
      </c>
      <c r="C173">
        <f>IF($H173="","",INDEX(상세표[부서],$H173)&amp;"")</f>
        <v/>
      </c>
      <c r="D173">
        <f>IF($H173="","",IF(IFERROR(INDEX(합계표[직위(통합)],MATCH(INDEX(상세표[사번키],$H173),합계표[사번키],0))&amp;"","")="",INDEX(상세표[직위],$H173)&amp;"",IFERROR(INDEX(합계표[직위(통합)],MATCH(INDEX(상세표[사번키],$H173),합계표[사번키],0))&amp;"","")))</f>
        <v/>
      </c>
      <c r="E173">
        <f>IF($H173="","",COUNTIFS(상세표[사번키],INDEX(상세표[사번키],$H173),상세표[기록월],대상월키))</f>
        <v/>
      </c>
      <c r="F173">
        <f>IF($H173="","",SUMIFS(상세표[기록 시간외],상세표[사번키],INDEX(상세표[사번키],$H173),상세표[기록월],대상월키))</f>
        <v/>
      </c>
      <c r="G173">
        <f>IF($H173="","",SUMIFS(합계표[시스템 합계],합계표[사번키],INDEX(상세표[사번키],$H173)))</f>
        <v/>
      </c>
      <c r="H173" s="4">
        <f>IFERROR(MATCH(168,상세표[발송인원순번],0),"")</f>
        <v/>
      </c>
      <c r="J173">
        <f>IF($U173="","",INDEX(상세표[사번],$U173)&amp;"")</f>
        <v/>
      </c>
      <c r="K173">
        <f>IF($U173="","",INDEX(상세표[성명],$U173)&amp;"")</f>
        <v/>
      </c>
      <c r="L173">
        <f>IF($U173="","",INDEX(상세표[직위],$U173)&amp;"")</f>
        <v/>
      </c>
      <c r="M173">
        <f>IF($U173="","",IF(ISNUMBER(INDEX(상세표[근무일자],$U173)),TEXT(INDEX(상세표[근무일자],$U173),"yyyy-mm-dd"),INDEX(상세표[근무일자],$U173)&amp;""))</f>
        <v/>
      </c>
      <c r="N173">
        <f>IF($U173="","",IF(ISNUMBER(INDEX(상세표[시작],$U173)),TEXT(INDEX(상세표[시작],$U173),"yyyy-mm-dd hh:mm"),INDEX(상세표[시작],$U173)&amp;""))</f>
        <v/>
      </c>
      <c r="O173">
        <f>IF($U173="","",IF(ISNUMBER(INDEX(상세표[종료],$U173)),TEXT(INDEX(상세표[종료],$U173),"yyyy-mm-dd hh:mm"),INDEX(상세표[종료],$U173)&amp;""))</f>
        <v/>
      </c>
      <c r="P173">
        <f>IF($U173="","",INDEX(상세표[06~07시],$U173))</f>
        <v/>
      </c>
      <c r="Q173">
        <f>IF($U173="","",INDEX(상세표[07~18시],$U173))</f>
        <v/>
      </c>
      <c r="R173">
        <f>IF($U173="","",INDEX(상세표[18~22시],$U173))</f>
        <v/>
      </c>
      <c r="S173">
        <f>IF($U173="","",INDEX(상세표[22~06시],$U173))</f>
        <v/>
      </c>
      <c r="T173">
        <f>IF($U173="","",INDEX(상세표[기록 시간외],$U173))</f>
        <v/>
      </c>
      <c r="U173" s="4">
        <f>IFERROR(MATCH(168,상세표[발송순번],0),"")</f>
        <v/>
      </c>
    </row>
    <row r="174">
      <c r="A174">
        <f>IF($H174="","",INDEX(상세표[사번],$H174)&amp;"")</f>
        <v/>
      </c>
      <c r="B174">
        <f>IF($H174="","",INDEX(상세표[성명],$H174)&amp;"")</f>
        <v/>
      </c>
      <c r="C174">
        <f>IF($H174="","",INDEX(상세표[부서],$H174)&amp;"")</f>
        <v/>
      </c>
      <c r="D174">
        <f>IF($H174="","",IF(IFERROR(INDEX(합계표[직위(통합)],MATCH(INDEX(상세표[사번키],$H174),합계표[사번키],0))&amp;"","")="",INDEX(상세표[직위],$H174)&amp;"",IFERROR(INDEX(합계표[직위(통합)],MATCH(INDEX(상세표[사번키],$H174),합계표[사번키],0))&amp;"","")))</f>
        <v/>
      </c>
      <c r="E174">
        <f>IF($H174="","",COUNTIFS(상세표[사번키],INDEX(상세표[사번키],$H174),상세표[기록월],대상월키))</f>
        <v/>
      </c>
      <c r="F174">
        <f>IF($H174="","",SUMIFS(상세표[기록 시간외],상세표[사번키],INDEX(상세표[사번키],$H174),상세표[기록월],대상월키))</f>
        <v/>
      </c>
      <c r="G174">
        <f>IF($H174="","",SUMIFS(합계표[시스템 합계],합계표[사번키],INDEX(상세표[사번키],$H174)))</f>
        <v/>
      </c>
      <c r="H174" s="4">
        <f>IFERROR(MATCH(169,상세표[발송인원순번],0),"")</f>
        <v/>
      </c>
      <c r="J174">
        <f>IF($U174="","",INDEX(상세표[사번],$U174)&amp;"")</f>
        <v/>
      </c>
      <c r="K174">
        <f>IF($U174="","",INDEX(상세표[성명],$U174)&amp;"")</f>
        <v/>
      </c>
      <c r="L174">
        <f>IF($U174="","",INDEX(상세표[직위],$U174)&amp;"")</f>
        <v/>
      </c>
      <c r="M174">
        <f>IF($U174="","",IF(ISNUMBER(INDEX(상세표[근무일자],$U174)),TEXT(INDEX(상세표[근무일자],$U174),"yyyy-mm-dd"),INDEX(상세표[근무일자],$U174)&amp;""))</f>
        <v/>
      </c>
      <c r="N174">
        <f>IF($U174="","",IF(ISNUMBER(INDEX(상세표[시작],$U174)),TEXT(INDEX(상세표[시작],$U174),"yyyy-mm-dd hh:mm"),INDEX(상세표[시작],$U174)&amp;""))</f>
        <v/>
      </c>
      <c r="O174">
        <f>IF($U174="","",IF(ISNUMBER(INDEX(상세표[종료],$U174)),TEXT(INDEX(상세표[종료],$U174),"yyyy-mm-dd hh:mm"),INDEX(상세표[종료],$U174)&amp;""))</f>
        <v/>
      </c>
      <c r="P174">
        <f>IF($U174="","",INDEX(상세표[06~07시],$U174))</f>
        <v/>
      </c>
      <c r="Q174">
        <f>IF($U174="","",INDEX(상세표[07~18시],$U174))</f>
        <v/>
      </c>
      <c r="R174">
        <f>IF($U174="","",INDEX(상세표[18~22시],$U174))</f>
        <v/>
      </c>
      <c r="S174">
        <f>IF($U174="","",INDEX(상세표[22~06시],$U174))</f>
        <v/>
      </c>
      <c r="T174">
        <f>IF($U174="","",INDEX(상세표[기록 시간외],$U174))</f>
        <v/>
      </c>
      <c r="U174" s="4">
        <f>IFERROR(MATCH(169,상세표[발송순번],0),"")</f>
        <v/>
      </c>
    </row>
    <row r="175">
      <c r="A175">
        <f>IF($H175="","",INDEX(상세표[사번],$H175)&amp;"")</f>
        <v/>
      </c>
      <c r="B175">
        <f>IF($H175="","",INDEX(상세표[성명],$H175)&amp;"")</f>
        <v/>
      </c>
      <c r="C175">
        <f>IF($H175="","",INDEX(상세표[부서],$H175)&amp;"")</f>
        <v/>
      </c>
      <c r="D175">
        <f>IF($H175="","",IF(IFERROR(INDEX(합계표[직위(통합)],MATCH(INDEX(상세표[사번키],$H175),합계표[사번키],0))&amp;"","")="",INDEX(상세표[직위],$H175)&amp;"",IFERROR(INDEX(합계표[직위(통합)],MATCH(INDEX(상세표[사번키],$H175),합계표[사번키],0))&amp;"","")))</f>
        <v/>
      </c>
      <c r="E175">
        <f>IF($H175="","",COUNTIFS(상세표[사번키],INDEX(상세표[사번키],$H175),상세표[기록월],대상월키))</f>
        <v/>
      </c>
      <c r="F175">
        <f>IF($H175="","",SUMIFS(상세표[기록 시간외],상세표[사번키],INDEX(상세표[사번키],$H175),상세표[기록월],대상월키))</f>
        <v/>
      </c>
      <c r="G175">
        <f>IF($H175="","",SUMIFS(합계표[시스템 합계],합계표[사번키],INDEX(상세표[사번키],$H175)))</f>
        <v/>
      </c>
      <c r="H175" s="4">
        <f>IFERROR(MATCH(170,상세표[발송인원순번],0),"")</f>
        <v/>
      </c>
      <c r="J175">
        <f>IF($U175="","",INDEX(상세표[사번],$U175)&amp;"")</f>
        <v/>
      </c>
      <c r="K175">
        <f>IF($U175="","",INDEX(상세표[성명],$U175)&amp;"")</f>
        <v/>
      </c>
      <c r="L175">
        <f>IF($U175="","",INDEX(상세표[직위],$U175)&amp;"")</f>
        <v/>
      </c>
      <c r="M175">
        <f>IF($U175="","",IF(ISNUMBER(INDEX(상세표[근무일자],$U175)),TEXT(INDEX(상세표[근무일자],$U175),"yyyy-mm-dd"),INDEX(상세표[근무일자],$U175)&amp;""))</f>
        <v/>
      </c>
      <c r="N175">
        <f>IF($U175="","",IF(ISNUMBER(INDEX(상세표[시작],$U175)),TEXT(INDEX(상세표[시작],$U175),"yyyy-mm-dd hh:mm"),INDEX(상세표[시작],$U175)&amp;""))</f>
        <v/>
      </c>
      <c r="O175">
        <f>IF($U175="","",IF(ISNUMBER(INDEX(상세표[종료],$U175)),TEXT(INDEX(상세표[종료],$U175),"yyyy-mm-dd hh:mm"),INDEX(상세표[종료],$U175)&amp;""))</f>
        <v/>
      </c>
      <c r="P175">
        <f>IF($U175="","",INDEX(상세표[06~07시],$U175))</f>
        <v/>
      </c>
      <c r="Q175">
        <f>IF($U175="","",INDEX(상세표[07~18시],$U175))</f>
        <v/>
      </c>
      <c r="R175">
        <f>IF($U175="","",INDEX(상세표[18~22시],$U175))</f>
        <v/>
      </c>
      <c r="S175">
        <f>IF($U175="","",INDEX(상세표[22~06시],$U175))</f>
        <v/>
      </c>
      <c r="T175">
        <f>IF($U175="","",INDEX(상세표[기록 시간외],$U175))</f>
        <v/>
      </c>
      <c r="U175" s="4">
        <f>IFERROR(MATCH(170,상세표[발송순번],0),"")</f>
        <v/>
      </c>
    </row>
    <row r="176">
      <c r="A176">
        <f>IF($H176="","",INDEX(상세표[사번],$H176)&amp;"")</f>
        <v/>
      </c>
      <c r="B176">
        <f>IF($H176="","",INDEX(상세표[성명],$H176)&amp;"")</f>
        <v/>
      </c>
      <c r="C176">
        <f>IF($H176="","",INDEX(상세표[부서],$H176)&amp;"")</f>
        <v/>
      </c>
      <c r="D176">
        <f>IF($H176="","",IF(IFERROR(INDEX(합계표[직위(통합)],MATCH(INDEX(상세표[사번키],$H176),합계표[사번키],0))&amp;"","")="",INDEX(상세표[직위],$H176)&amp;"",IFERROR(INDEX(합계표[직위(통합)],MATCH(INDEX(상세표[사번키],$H176),합계표[사번키],0))&amp;"","")))</f>
        <v/>
      </c>
      <c r="E176">
        <f>IF($H176="","",COUNTIFS(상세표[사번키],INDEX(상세표[사번키],$H176),상세표[기록월],대상월키))</f>
        <v/>
      </c>
      <c r="F176">
        <f>IF($H176="","",SUMIFS(상세표[기록 시간외],상세표[사번키],INDEX(상세표[사번키],$H176),상세표[기록월],대상월키))</f>
        <v/>
      </c>
      <c r="G176">
        <f>IF($H176="","",SUMIFS(합계표[시스템 합계],합계표[사번키],INDEX(상세표[사번키],$H176)))</f>
        <v/>
      </c>
      <c r="H176" s="4">
        <f>IFERROR(MATCH(171,상세표[발송인원순번],0),"")</f>
        <v/>
      </c>
      <c r="J176">
        <f>IF($U176="","",INDEX(상세표[사번],$U176)&amp;"")</f>
        <v/>
      </c>
      <c r="K176">
        <f>IF($U176="","",INDEX(상세표[성명],$U176)&amp;"")</f>
        <v/>
      </c>
      <c r="L176">
        <f>IF($U176="","",INDEX(상세표[직위],$U176)&amp;"")</f>
        <v/>
      </c>
      <c r="M176">
        <f>IF($U176="","",IF(ISNUMBER(INDEX(상세표[근무일자],$U176)),TEXT(INDEX(상세표[근무일자],$U176),"yyyy-mm-dd"),INDEX(상세표[근무일자],$U176)&amp;""))</f>
        <v/>
      </c>
      <c r="N176">
        <f>IF($U176="","",IF(ISNUMBER(INDEX(상세표[시작],$U176)),TEXT(INDEX(상세표[시작],$U176),"yyyy-mm-dd hh:mm"),INDEX(상세표[시작],$U176)&amp;""))</f>
        <v/>
      </c>
      <c r="O176">
        <f>IF($U176="","",IF(ISNUMBER(INDEX(상세표[종료],$U176)),TEXT(INDEX(상세표[종료],$U176),"yyyy-mm-dd hh:mm"),INDEX(상세표[종료],$U176)&amp;""))</f>
        <v/>
      </c>
      <c r="P176">
        <f>IF($U176="","",INDEX(상세표[06~07시],$U176))</f>
        <v/>
      </c>
      <c r="Q176">
        <f>IF($U176="","",INDEX(상세표[07~18시],$U176))</f>
        <v/>
      </c>
      <c r="R176">
        <f>IF($U176="","",INDEX(상세표[18~22시],$U176))</f>
        <v/>
      </c>
      <c r="S176">
        <f>IF($U176="","",INDEX(상세표[22~06시],$U176))</f>
        <v/>
      </c>
      <c r="T176">
        <f>IF($U176="","",INDEX(상세표[기록 시간외],$U176))</f>
        <v/>
      </c>
      <c r="U176" s="4">
        <f>IFERROR(MATCH(171,상세표[발송순번],0),"")</f>
        <v/>
      </c>
    </row>
    <row r="177">
      <c r="A177">
        <f>IF($H177="","",INDEX(상세표[사번],$H177)&amp;"")</f>
        <v/>
      </c>
      <c r="B177">
        <f>IF($H177="","",INDEX(상세표[성명],$H177)&amp;"")</f>
        <v/>
      </c>
      <c r="C177">
        <f>IF($H177="","",INDEX(상세표[부서],$H177)&amp;"")</f>
        <v/>
      </c>
      <c r="D177">
        <f>IF($H177="","",IF(IFERROR(INDEX(합계표[직위(통합)],MATCH(INDEX(상세표[사번키],$H177),합계표[사번키],0))&amp;"","")="",INDEX(상세표[직위],$H177)&amp;"",IFERROR(INDEX(합계표[직위(통합)],MATCH(INDEX(상세표[사번키],$H177),합계표[사번키],0))&amp;"","")))</f>
        <v/>
      </c>
      <c r="E177">
        <f>IF($H177="","",COUNTIFS(상세표[사번키],INDEX(상세표[사번키],$H177),상세표[기록월],대상월키))</f>
        <v/>
      </c>
      <c r="F177">
        <f>IF($H177="","",SUMIFS(상세표[기록 시간외],상세표[사번키],INDEX(상세표[사번키],$H177),상세표[기록월],대상월키))</f>
        <v/>
      </c>
      <c r="G177">
        <f>IF($H177="","",SUMIFS(합계표[시스템 합계],합계표[사번키],INDEX(상세표[사번키],$H177)))</f>
        <v/>
      </c>
      <c r="H177" s="4">
        <f>IFERROR(MATCH(172,상세표[발송인원순번],0),"")</f>
        <v/>
      </c>
      <c r="J177">
        <f>IF($U177="","",INDEX(상세표[사번],$U177)&amp;"")</f>
        <v/>
      </c>
      <c r="K177">
        <f>IF($U177="","",INDEX(상세표[성명],$U177)&amp;"")</f>
        <v/>
      </c>
      <c r="L177">
        <f>IF($U177="","",INDEX(상세표[직위],$U177)&amp;"")</f>
        <v/>
      </c>
      <c r="M177">
        <f>IF($U177="","",IF(ISNUMBER(INDEX(상세표[근무일자],$U177)),TEXT(INDEX(상세표[근무일자],$U177),"yyyy-mm-dd"),INDEX(상세표[근무일자],$U177)&amp;""))</f>
        <v/>
      </c>
      <c r="N177">
        <f>IF($U177="","",IF(ISNUMBER(INDEX(상세표[시작],$U177)),TEXT(INDEX(상세표[시작],$U177),"yyyy-mm-dd hh:mm"),INDEX(상세표[시작],$U177)&amp;""))</f>
        <v/>
      </c>
      <c r="O177">
        <f>IF($U177="","",IF(ISNUMBER(INDEX(상세표[종료],$U177)),TEXT(INDEX(상세표[종료],$U177),"yyyy-mm-dd hh:mm"),INDEX(상세표[종료],$U177)&amp;""))</f>
        <v/>
      </c>
      <c r="P177">
        <f>IF($U177="","",INDEX(상세표[06~07시],$U177))</f>
        <v/>
      </c>
      <c r="Q177">
        <f>IF($U177="","",INDEX(상세표[07~18시],$U177))</f>
        <v/>
      </c>
      <c r="R177">
        <f>IF($U177="","",INDEX(상세표[18~22시],$U177))</f>
        <v/>
      </c>
      <c r="S177">
        <f>IF($U177="","",INDEX(상세표[22~06시],$U177))</f>
        <v/>
      </c>
      <c r="T177">
        <f>IF($U177="","",INDEX(상세표[기록 시간외],$U177))</f>
        <v/>
      </c>
      <c r="U177" s="4">
        <f>IFERROR(MATCH(172,상세표[발송순번],0),"")</f>
        <v/>
      </c>
    </row>
    <row r="178">
      <c r="A178">
        <f>IF($H178="","",INDEX(상세표[사번],$H178)&amp;"")</f>
        <v/>
      </c>
      <c r="B178">
        <f>IF($H178="","",INDEX(상세표[성명],$H178)&amp;"")</f>
        <v/>
      </c>
      <c r="C178">
        <f>IF($H178="","",INDEX(상세표[부서],$H178)&amp;"")</f>
        <v/>
      </c>
      <c r="D178">
        <f>IF($H178="","",IF(IFERROR(INDEX(합계표[직위(통합)],MATCH(INDEX(상세표[사번키],$H178),합계표[사번키],0))&amp;"","")="",INDEX(상세표[직위],$H178)&amp;"",IFERROR(INDEX(합계표[직위(통합)],MATCH(INDEX(상세표[사번키],$H178),합계표[사번키],0))&amp;"","")))</f>
        <v/>
      </c>
      <c r="E178">
        <f>IF($H178="","",COUNTIFS(상세표[사번키],INDEX(상세표[사번키],$H178),상세표[기록월],대상월키))</f>
        <v/>
      </c>
      <c r="F178">
        <f>IF($H178="","",SUMIFS(상세표[기록 시간외],상세표[사번키],INDEX(상세표[사번키],$H178),상세표[기록월],대상월키))</f>
        <v/>
      </c>
      <c r="G178">
        <f>IF($H178="","",SUMIFS(합계표[시스템 합계],합계표[사번키],INDEX(상세표[사번키],$H178)))</f>
        <v/>
      </c>
      <c r="H178" s="4">
        <f>IFERROR(MATCH(173,상세표[발송인원순번],0),"")</f>
        <v/>
      </c>
      <c r="J178">
        <f>IF($U178="","",INDEX(상세표[사번],$U178)&amp;"")</f>
        <v/>
      </c>
      <c r="K178">
        <f>IF($U178="","",INDEX(상세표[성명],$U178)&amp;"")</f>
        <v/>
      </c>
      <c r="L178">
        <f>IF($U178="","",INDEX(상세표[직위],$U178)&amp;"")</f>
        <v/>
      </c>
      <c r="M178">
        <f>IF($U178="","",IF(ISNUMBER(INDEX(상세표[근무일자],$U178)),TEXT(INDEX(상세표[근무일자],$U178),"yyyy-mm-dd"),INDEX(상세표[근무일자],$U178)&amp;""))</f>
        <v/>
      </c>
      <c r="N178">
        <f>IF($U178="","",IF(ISNUMBER(INDEX(상세표[시작],$U178)),TEXT(INDEX(상세표[시작],$U178),"yyyy-mm-dd hh:mm"),INDEX(상세표[시작],$U178)&amp;""))</f>
        <v/>
      </c>
      <c r="O178">
        <f>IF($U178="","",IF(ISNUMBER(INDEX(상세표[종료],$U178)),TEXT(INDEX(상세표[종료],$U178),"yyyy-mm-dd hh:mm"),INDEX(상세표[종료],$U178)&amp;""))</f>
        <v/>
      </c>
      <c r="P178">
        <f>IF($U178="","",INDEX(상세표[06~07시],$U178))</f>
        <v/>
      </c>
      <c r="Q178">
        <f>IF($U178="","",INDEX(상세표[07~18시],$U178))</f>
        <v/>
      </c>
      <c r="R178">
        <f>IF($U178="","",INDEX(상세표[18~22시],$U178))</f>
        <v/>
      </c>
      <c r="S178">
        <f>IF($U178="","",INDEX(상세표[22~06시],$U178))</f>
        <v/>
      </c>
      <c r="T178">
        <f>IF($U178="","",INDEX(상세표[기록 시간외],$U178))</f>
        <v/>
      </c>
      <c r="U178" s="4">
        <f>IFERROR(MATCH(173,상세표[발송순번],0),"")</f>
        <v/>
      </c>
    </row>
    <row r="179">
      <c r="A179">
        <f>IF($H179="","",INDEX(상세표[사번],$H179)&amp;"")</f>
        <v/>
      </c>
      <c r="B179">
        <f>IF($H179="","",INDEX(상세표[성명],$H179)&amp;"")</f>
        <v/>
      </c>
      <c r="C179">
        <f>IF($H179="","",INDEX(상세표[부서],$H179)&amp;"")</f>
        <v/>
      </c>
      <c r="D179">
        <f>IF($H179="","",IF(IFERROR(INDEX(합계표[직위(통합)],MATCH(INDEX(상세표[사번키],$H179),합계표[사번키],0))&amp;"","")="",INDEX(상세표[직위],$H179)&amp;"",IFERROR(INDEX(합계표[직위(통합)],MATCH(INDEX(상세표[사번키],$H179),합계표[사번키],0))&amp;"","")))</f>
        <v/>
      </c>
      <c r="E179">
        <f>IF($H179="","",COUNTIFS(상세표[사번키],INDEX(상세표[사번키],$H179),상세표[기록월],대상월키))</f>
        <v/>
      </c>
      <c r="F179">
        <f>IF($H179="","",SUMIFS(상세표[기록 시간외],상세표[사번키],INDEX(상세표[사번키],$H179),상세표[기록월],대상월키))</f>
        <v/>
      </c>
      <c r="G179">
        <f>IF($H179="","",SUMIFS(합계표[시스템 합계],합계표[사번키],INDEX(상세표[사번키],$H179)))</f>
        <v/>
      </c>
      <c r="H179" s="4">
        <f>IFERROR(MATCH(174,상세표[발송인원순번],0),"")</f>
        <v/>
      </c>
      <c r="J179">
        <f>IF($U179="","",INDEX(상세표[사번],$U179)&amp;"")</f>
        <v/>
      </c>
      <c r="K179">
        <f>IF($U179="","",INDEX(상세표[성명],$U179)&amp;"")</f>
        <v/>
      </c>
      <c r="L179">
        <f>IF($U179="","",INDEX(상세표[직위],$U179)&amp;"")</f>
        <v/>
      </c>
      <c r="M179">
        <f>IF($U179="","",IF(ISNUMBER(INDEX(상세표[근무일자],$U179)),TEXT(INDEX(상세표[근무일자],$U179),"yyyy-mm-dd"),INDEX(상세표[근무일자],$U179)&amp;""))</f>
        <v/>
      </c>
      <c r="N179">
        <f>IF($U179="","",IF(ISNUMBER(INDEX(상세표[시작],$U179)),TEXT(INDEX(상세표[시작],$U179),"yyyy-mm-dd hh:mm"),INDEX(상세표[시작],$U179)&amp;""))</f>
        <v/>
      </c>
      <c r="O179">
        <f>IF($U179="","",IF(ISNUMBER(INDEX(상세표[종료],$U179)),TEXT(INDEX(상세표[종료],$U179),"yyyy-mm-dd hh:mm"),INDEX(상세표[종료],$U179)&amp;""))</f>
        <v/>
      </c>
      <c r="P179">
        <f>IF($U179="","",INDEX(상세표[06~07시],$U179))</f>
        <v/>
      </c>
      <c r="Q179">
        <f>IF($U179="","",INDEX(상세표[07~18시],$U179))</f>
        <v/>
      </c>
      <c r="R179">
        <f>IF($U179="","",INDEX(상세표[18~22시],$U179))</f>
        <v/>
      </c>
      <c r="S179">
        <f>IF($U179="","",INDEX(상세표[22~06시],$U179))</f>
        <v/>
      </c>
      <c r="T179">
        <f>IF($U179="","",INDEX(상세표[기록 시간외],$U179))</f>
        <v/>
      </c>
      <c r="U179" s="4">
        <f>IFERROR(MATCH(174,상세표[발송순번],0),"")</f>
        <v/>
      </c>
    </row>
    <row r="180">
      <c r="A180">
        <f>IF($H180="","",INDEX(상세표[사번],$H180)&amp;"")</f>
        <v/>
      </c>
      <c r="B180">
        <f>IF($H180="","",INDEX(상세표[성명],$H180)&amp;"")</f>
        <v/>
      </c>
      <c r="C180">
        <f>IF($H180="","",INDEX(상세표[부서],$H180)&amp;"")</f>
        <v/>
      </c>
      <c r="D180">
        <f>IF($H180="","",IF(IFERROR(INDEX(합계표[직위(통합)],MATCH(INDEX(상세표[사번키],$H180),합계표[사번키],0))&amp;"","")="",INDEX(상세표[직위],$H180)&amp;"",IFERROR(INDEX(합계표[직위(통합)],MATCH(INDEX(상세표[사번키],$H180),합계표[사번키],0))&amp;"","")))</f>
        <v/>
      </c>
      <c r="E180">
        <f>IF($H180="","",COUNTIFS(상세표[사번키],INDEX(상세표[사번키],$H180),상세표[기록월],대상월키))</f>
        <v/>
      </c>
      <c r="F180">
        <f>IF($H180="","",SUMIFS(상세표[기록 시간외],상세표[사번키],INDEX(상세표[사번키],$H180),상세표[기록월],대상월키))</f>
        <v/>
      </c>
      <c r="G180">
        <f>IF($H180="","",SUMIFS(합계표[시스템 합계],합계표[사번키],INDEX(상세표[사번키],$H180)))</f>
        <v/>
      </c>
      <c r="H180" s="4">
        <f>IFERROR(MATCH(175,상세표[발송인원순번],0),"")</f>
        <v/>
      </c>
      <c r="J180">
        <f>IF($U180="","",INDEX(상세표[사번],$U180)&amp;"")</f>
        <v/>
      </c>
      <c r="K180">
        <f>IF($U180="","",INDEX(상세표[성명],$U180)&amp;"")</f>
        <v/>
      </c>
      <c r="L180">
        <f>IF($U180="","",INDEX(상세표[직위],$U180)&amp;"")</f>
        <v/>
      </c>
      <c r="M180">
        <f>IF($U180="","",IF(ISNUMBER(INDEX(상세표[근무일자],$U180)),TEXT(INDEX(상세표[근무일자],$U180),"yyyy-mm-dd"),INDEX(상세표[근무일자],$U180)&amp;""))</f>
        <v/>
      </c>
      <c r="N180">
        <f>IF($U180="","",IF(ISNUMBER(INDEX(상세표[시작],$U180)),TEXT(INDEX(상세표[시작],$U180),"yyyy-mm-dd hh:mm"),INDEX(상세표[시작],$U180)&amp;""))</f>
        <v/>
      </c>
      <c r="O180">
        <f>IF($U180="","",IF(ISNUMBER(INDEX(상세표[종료],$U180)),TEXT(INDEX(상세표[종료],$U180),"yyyy-mm-dd hh:mm"),INDEX(상세표[종료],$U180)&amp;""))</f>
        <v/>
      </c>
      <c r="P180">
        <f>IF($U180="","",INDEX(상세표[06~07시],$U180))</f>
        <v/>
      </c>
      <c r="Q180">
        <f>IF($U180="","",INDEX(상세표[07~18시],$U180))</f>
        <v/>
      </c>
      <c r="R180">
        <f>IF($U180="","",INDEX(상세표[18~22시],$U180))</f>
        <v/>
      </c>
      <c r="S180">
        <f>IF($U180="","",INDEX(상세표[22~06시],$U180))</f>
        <v/>
      </c>
      <c r="T180">
        <f>IF($U180="","",INDEX(상세표[기록 시간외],$U180))</f>
        <v/>
      </c>
      <c r="U180" s="4">
        <f>IFERROR(MATCH(175,상세표[발송순번],0),"")</f>
        <v/>
      </c>
    </row>
    <row r="181">
      <c r="A181">
        <f>IF($H181="","",INDEX(상세표[사번],$H181)&amp;"")</f>
        <v/>
      </c>
      <c r="B181">
        <f>IF($H181="","",INDEX(상세표[성명],$H181)&amp;"")</f>
        <v/>
      </c>
      <c r="C181">
        <f>IF($H181="","",INDEX(상세표[부서],$H181)&amp;"")</f>
        <v/>
      </c>
      <c r="D181">
        <f>IF($H181="","",IF(IFERROR(INDEX(합계표[직위(통합)],MATCH(INDEX(상세표[사번키],$H181),합계표[사번키],0))&amp;"","")="",INDEX(상세표[직위],$H181)&amp;"",IFERROR(INDEX(합계표[직위(통합)],MATCH(INDEX(상세표[사번키],$H181),합계표[사번키],0))&amp;"","")))</f>
        <v/>
      </c>
      <c r="E181">
        <f>IF($H181="","",COUNTIFS(상세표[사번키],INDEX(상세표[사번키],$H181),상세표[기록월],대상월키))</f>
        <v/>
      </c>
      <c r="F181">
        <f>IF($H181="","",SUMIFS(상세표[기록 시간외],상세표[사번키],INDEX(상세표[사번키],$H181),상세표[기록월],대상월키))</f>
        <v/>
      </c>
      <c r="G181">
        <f>IF($H181="","",SUMIFS(합계표[시스템 합계],합계표[사번키],INDEX(상세표[사번키],$H181)))</f>
        <v/>
      </c>
      <c r="H181" s="4">
        <f>IFERROR(MATCH(176,상세표[발송인원순번],0),"")</f>
        <v/>
      </c>
      <c r="J181">
        <f>IF($U181="","",INDEX(상세표[사번],$U181)&amp;"")</f>
        <v/>
      </c>
      <c r="K181">
        <f>IF($U181="","",INDEX(상세표[성명],$U181)&amp;"")</f>
        <v/>
      </c>
      <c r="L181">
        <f>IF($U181="","",INDEX(상세표[직위],$U181)&amp;"")</f>
        <v/>
      </c>
      <c r="M181">
        <f>IF($U181="","",IF(ISNUMBER(INDEX(상세표[근무일자],$U181)),TEXT(INDEX(상세표[근무일자],$U181),"yyyy-mm-dd"),INDEX(상세표[근무일자],$U181)&amp;""))</f>
        <v/>
      </c>
      <c r="N181">
        <f>IF($U181="","",IF(ISNUMBER(INDEX(상세표[시작],$U181)),TEXT(INDEX(상세표[시작],$U181),"yyyy-mm-dd hh:mm"),INDEX(상세표[시작],$U181)&amp;""))</f>
        <v/>
      </c>
      <c r="O181">
        <f>IF($U181="","",IF(ISNUMBER(INDEX(상세표[종료],$U181)),TEXT(INDEX(상세표[종료],$U181),"yyyy-mm-dd hh:mm"),INDEX(상세표[종료],$U181)&amp;""))</f>
        <v/>
      </c>
      <c r="P181">
        <f>IF($U181="","",INDEX(상세표[06~07시],$U181))</f>
        <v/>
      </c>
      <c r="Q181">
        <f>IF($U181="","",INDEX(상세표[07~18시],$U181))</f>
        <v/>
      </c>
      <c r="R181">
        <f>IF($U181="","",INDEX(상세표[18~22시],$U181))</f>
        <v/>
      </c>
      <c r="S181">
        <f>IF($U181="","",INDEX(상세표[22~06시],$U181))</f>
        <v/>
      </c>
      <c r="T181">
        <f>IF($U181="","",INDEX(상세표[기록 시간외],$U181))</f>
        <v/>
      </c>
      <c r="U181" s="4">
        <f>IFERROR(MATCH(176,상세표[발송순번],0),"")</f>
        <v/>
      </c>
    </row>
    <row r="182">
      <c r="A182">
        <f>IF($H182="","",INDEX(상세표[사번],$H182)&amp;"")</f>
        <v/>
      </c>
      <c r="B182">
        <f>IF($H182="","",INDEX(상세표[성명],$H182)&amp;"")</f>
        <v/>
      </c>
      <c r="C182">
        <f>IF($H182="","",INDEX(상세표[부서],$H182)&amp;"")</f>
        <v/>
      </c>
      <c r="D182">
        <f>IF($H182="","",IF(IFERROR(INDEX(합계표[직위(통합)],MATCH(INDEX(상세표[사번키],$H182),합계표[사번키],0))&amp;"","")="",INDEX(상세표[직위],$H182)&amp;"",IFERROR(INDEX(합계표[직위(통합)],MATCH(INDEX(상세표[사번키],$H182),합계표[사번키],0))&amp;"","")))</f>
        <v/>
      </c>
      <c r="E182">
        <f>IF($H182="","",COUNTIFS(상세표[사번키],INDEX(상세표[사번키],$H182),상세표[기록월],대상월키))</f>
        <v/>
      </c>
      <c r="F182">
        <f>IF($H182="","",SUMIFS(상세표[기록 시간외],상세표[사번키],INDEX(상세표[사번키],$H182),상세표[기록월],대상월키))</f>
        <v/>
      </c>
      <c r="G182">
        <f>IF($H182="","",SUMIFS(합계표[시스템 합계],합계표[사번키],INDEX(상세표[사번키],$H182)))</f>
        <v/>
      </c>
      <c r="H182" s="4">
        <f>IFERROR(MATCH(177,상세표[발송인원순번],0),"")</f>
        <v/>
      </c>
      <c r="J182">
        <f>IF($U182="","",INDEX(상세표[사번],$U182)&amp;"")</f>
        <v/>
      </c>
      <c r="K182">
        <f>IF($U182="","",INDEX(상세표[성명],$U182)&amp;"")</f>
        <v/>
      </c>
      <c r="L182">
        <f>IF($U182="","",INDEX(상세표[직위],$U182)&amp;"")</f>
        <v/>
      </c>
      <c r="M182">
        <f>IF($U182="","",IF(ISNUMBER(INDEX(상세표[근무일자],$U182)),TEXT(INDEX(상세표[근무일자],$U182),"yyyy-mm-dd"),INDEX(상세표[근무일자],$U182)&amp;""))</f>
        <v/>
      </c>
      <c r="N182">
        <f>IF($U182="","",IF(ISNUMBER(INDEX(상세표[시작],$U182)),TEXT(INDEX(상세표[시작],$U182),"yyyy-mm-dd hh:mm"),INDEX(상세표[시작],$U182)&amp;""))</f>
        <v/>
      </c>
      <c r="O182">
        <f>IF($U182="","",IF(ISNUMBER(INDEX(상세표[종료],$U182)),TEXT(INDEX(상세표[종료],$U182),"yyyy-mm-dd hh:mm"),INDEX(상세표[종료],$U182)&amp;""))</f>
        <v/>
      </c>
      <c r="P182">
        <f>IF($U182="","",INDEX(상세표[06~07시],$U182))</f>
        <v/>
      </c>
      <c r="Q182">
        <f>IF($U182="","",INDEX(상세표[07~18시],$U182))</f>
        <v/>
      </c>
      <c r="R182">
        <f>IF($U182="","",INDEX(상세표[18~22시],$U182))</f>
        <v/>
      </c>
      <c r="S182">
        <f>IF($U182="","",INDEX(상세표[22~06시],$U182))</f>
        <v/>
      </c>
      <c r="T182">
        <f>IF($U182="","",INDEX(상세표[기록 시간외],$U182))</f>
        <v/>
      </c>
      <c r="U182" s="4">
        <f>IFERROR(MATCH(177,상세표[발송순번],0),"")</f>
        <v/>
      </c>
    </row>
    <row r="183">
      <c r="A183">
        <f>IF($H183="","",INDEX(상세표[사번],$H183)&amp;"")</f>
        <v/>
      </c>
      <c r="B183">
        <f>IF($H183="","",INDEX(상세표[성명],$H183)&amp;"")</f>
        <v/>
      </c>
      <c r="C183">
        <f>IF($H183="","",INDEX(상세표[부서],$H183)&amp;"")</f>
        <v/>
      </c>
      <c r="D183">
        <f>IF($H183="","",IF(IFERROR(INDEX(합계표[직위(통합)],MATCH(INDEX(상세표[사번키],$H183),합계표[사번키],0))&amp;"","")="",INDEX(상세표[직위],$H183)&amp;"",IFERROR(INDEX(합계표[직위(통합)],MATCH(INDEX(상세표[사번키],$H183),합계표[사번키],0))&amp;"","")))</f>
        <v/>
      </c>
      <c r="E183">
        <f>IF($H183="","",COUNTIFS(상세표[사번키],INDEX(상세표[사번키],$H183),상세표[기록월],대상월키))</f>
        <v/>
      </c>
      <c r="F183">
        <f>IF($H183="","",SUMIFS(상세표[기록 시간외],상세표[사번키],INDEX(상세표[사번키],$H183),상세표[기록월],대상월키))</f>
        <v/>
      </c>
      <c r="G183">
        <f>IF($H183="","",SUMIFS(합계표[시스템 합계],합계표[사번키],INDEX(상세표[사번키],$H183)))</f>
        <v/>
      </c>
      <c r="H183" s="4">
        <f>IFERROR(MATCH(178,상세표[발송인원순번],0),"")</f>
        <v/>
      </c>
      <c r="J183">
        <f>IF($U183="","",INDEX(상세표[사번],$U183)&amp;"")</f>
        <v/>
      </c>
      <c r="K183">
        <f>IF($U183="","",INDEX(상세표[성명],$U183)&amp;"")</f>
        <v/>
      </c>
      <c r="L183">
        <f>IF($U183="","",INDEX(상세표[직위],$U183)&amp;"")</f>
        <v/>
      </c>
      <c r="M183">
        <f>IF($U183="","",IF(ISNUMBER(INDEX(상세표[근무일자],$U183)),TEXT(INDEX(상세표[근무일자],$U183),"yyyy-mm-dd"),INDEX(상세표[근무일자],$U183)&amp;""))</f>
        <v/>
      </c>
      <c r="N183">
        <f>IF($U183="","",IF(ISNUMBER(INDEX(상세표[시작],$U183)),TEXT(INDEX(상세표[시작],$U183),"yyyy-mm-dd hh:mm"),INDEX(상세표[시작],$U183)&amp;""))</f>
        <v/>
      </c>
      <c r="O183">
        <f>IF($U183="","",IF(ISNUMBER(INDEX(상세표[종료],$U183)),TEXT(INDEX(상세표[종료],$U183),"yyyy-mm-dd hh:mm"),INDEX(상세표[종료],$U183)&amp;""))</f>
        <v/>
      </c>
      <c r="P183">
        <f>IF($U183="","",INDEX(상세표[06~07시],$U183))</f>
        <v/>
      </c>
      <c r="Q183">
        <f>IF($U183="","",INDEX(상세표[07~18시],$U183))</f>
        <v/>
      </c>
      <c r="R183">
        <f>IF($U183="","",INDEX(상세표[18~22시],$U183))</f>
        <v/>
      </c>
      <c r="S183">
        <f>IF($U183="","",INDEX(상세표[22~06시],$U183))</f>
        <v/>
      </c>
      <c r="T183">
        <f>IF($U183="","",INDEX(상세표[기록 시간외],$U183))</f>
        <v/>
      </c>
      <c r="U183" s="4">
        <f>IFERROR(MATCH(178,상세표[발송순번],0),"")</f>
        <v/>
      </c>
    </row>
    <row r="184">
      <c r="A184">
        <f>IF($H184="","",INDEX(상세표[사번],$H184)&amp;"")</f>
        <v/>
      </c>
      <c r="B184">
        <f>IF($H184="","",INDEX(상세표[성명],$H184)&amp;"")</f>
        <v/>
      </c>
      <c r="C184">
        <f>IF($H184="","",INDEX(상세표[부서],$H184)&amp;"")</f>
        <v/>
      </c>
      <c r="D184">
        <f>IF($H184="","",IF(IFERROR(INDEX(합계표[직위(통합)],MATCH(INDEX(상세표[사번키],$H184),합계표[사번키],0))&amp;"","")="",INDEX(상세표[직위],$H184)&amp;"",IFERROR(INDEX(합계표[직위(통합)],MATCH(INDEX(상세표[사번키],$H184),합계표[사번키],0))&amp;"","")))</f>
        <v/>
      </c>
      <c r="E184">
        <f>IF($H184="","",COUNTIFS(상세표[사번키],INDEX(상세표[사번키],$H184),상세표[기록월],대상월키))</f>
        <v/>
      </c>
      <c r="F184">
        <f>IF($H184="","",SUMIFS(상세표[기록 시간외],상세표[사번키],INDEX(상세표[사번키],$H184),상세표[기록월],대상월키))</f>
        <v/>
      </c>
      <c r="G184">
        <f>IF($H184="","",SUMIFS(합계표[시스템 합계],합계표[사번키],INDEX(상세표[사번키],$H184)))</f>
        <v/>
      </c>
      <c r="H184" s="4">
        <f>IFERROR(MATCH(179,상세표[발송인원순번],0),"")</f>
        <v/>
      </c>
      <c r="J184">
        <f>IF($U184="","",INDEX(상세표[사번],$U184)&amp;"")</f>
        <v/>
      </c>
      <c r="K184">
        <f>IF($U184="","",INDEX(상세표[성명],$U184)&amp;"")</f>
        <v/>
      </c>
      <c r="L184">
        <f>IF($U184="","",INDEX(상세표[직위],$U184)&amp;"")</f>
        <v/>
      </c>
      <c r="M184">
        <f>IF($U184="","",IF(ISNUMBER(INDEX(상세표[근무일자],$U184)),TEXT(INDEX(상세표[근무일자],$U184),"yyyy-mm-dd"),INDEX(상세표[근무일자],$U184)&amp;""))</f>
        <v/>
      </c>
      <c r="N184">
        <f>IF($U184="","",IF(ISNUMBER(INDEX(상세표[시작],$U184)),TEXT(INDEX(상세표[시작],$U184),"yyyy-mm-dd hh:mm"),INDEX(상세표[시작],$U184)&amp;""))</f>
        <v/>
      </c>
      <c r="O184">
        <f>IF($U184="","",IF(ISNUMBER(INDEX(상세표[종료],$U184)),TEXT(INDEX(상세표[종료],$U184),"yyyy-mm-dd hh:mm"),INDEX(상세표[종료],$U184)&amp;""))</f>
        <v/>
      </c>
      <c r="P184">
        <f>IF($U184="","",INDEX(상세표[06~07시],$U184))</f>
        <v/>
      </c>
      <c r="Q184">
        <f>IF($U184="","",INDEX(상세표[07~18시],$U184))</f>
        <v/>
      </c>
      <c r="R184">
        <f>IF($U184="","",INDEX(상세표[18~22시],$U184))</f>
        <v/>
      </c>
      <c r="S184">
        <f>IF($U184="","",INDEX(상세표[22~06시],$U184))</f>
        <v/>
      </c>
      <c r="T184">
        <f>IF($U184="","",INDEX(상세표[기록 시간외],$U184))</f>
        <v/>
      </c>
      <c r="U184" s="4">
        <f>IFERROR(MATCH(179,상세표[발송순번],0),"")</f>
        <v/>
      </c>
    </row>
    <row r="185">
      <c r="A185">
        <f>IF($H185="","",INDEX(상세표[사번],$H185)&amp;"")</f>
        <v/>
      </c>
      <c r="B185">
        <f>IF($H185="","",INDEX(상세표[성명],$H185)&amp;"")</f>
        <v/>
      </c>
      <c r="C185">
        <f>IF($H185="","",INDEX(상세표[부서],$H185)&amp;"")</f>
        <v/>
      </c>
      <c r="D185">
        <f>IF($H185="","",IF(IFERROR(INDEX(합계표[직위(통합)],MATCH(INDEX(상세표[사번키],$H185),합계표[사번키],0))&amp;"","")="",INDEX(상세표[직위],$H185)&amp;"",IFERROR(INDEX(합계표[직위(통합)],MATCH(INDEX(상세표[사번키],$H185),합계표[사번키],0))&amp;"","")))</f>
        <v/>
      </c>
      <c r="E185">
        <f>IF($H185="","",COUNTIFS(상세표[사번키],INDEX(상세표[사번키],$H185),상세표[기록월],대상월키))</f>
        <v/>
      </c>
      <c r="F185">
        <f>IF($H185="","",SUMIFS(상세표[기록 시간외],상세표[사번키],INDEX(상세표[사번키],$H185),상세표[기록월],대상월키))</f>
        <v/>
      </c>
      <c r="G185">
        <f>IF($H185="","",SUMIFS(합계표[시스템 합계],합계표[사번키],INDEX(상세표[사번키],$H185)))</f>
        <v/>
      </c>
      <c r="H185" s="4">
        <f>IFERROR(MATCH(180,상세표[발송인원순번],0),"")</f>
        <v/>
      </c>
      <c r="J185">
        <f>IF($U185="","",INDEX(상세표[사번],$U185)&amp;"")</f>
        <v/>
      </c>
      <c r="K185">
        <f>IF($U185="","",INDEX(상세표[성명],$U185)&amp;"")</f>
        <v/>
      </c>
      <c r="L185">
        <f>IF($U185="","",INDEX(상세표[직위],$U185)&amp;"")</f>
        <v/>
      </c>
      <c r="M185">
        <f>IF($U185="","",IF(ISNUMBER(INDEX(상세표[근무일자],$U185)),TEXT(INDEX(상세표[근무일자],$U185),"yyyy-mm-dd"),INDEX(상세표[근무일자],$U185)&amp;""))</f>
        <v/>
      </c>
      <c r="N185">
        <f>IF($U185="","",IF(ISNUMBER(INDEX(상세표[시작],$U185)),TEXT(INDEX(상세표[시작],$U185),"yyyy-mm-dd hh:mm"),INDEX(상세표[시작],$U185)&amp;""))</f>
        <v/>
      </c>
      <c r="O185">
        <f>IF($U185="","",IF(ISNUMBER(INDEX(상세표[종료],$U185)),TEXT(INDEX(상세표[종료],$U185),"yyyy-mm-dd hh:mm"),INDEX(상세표[종료],$U185)&amp;""))</f>
        <v/>
      </c>
      <c r="P185">
        <f>IF($U185="","",INDEX(상세표[06~07시],$U185))</f>
        <v/>
      </c>
      <c r="Q185">
        <f>IF($U185="","",INDEX(상세표[07~18시],$U185))</f>
        <v/>
      </c>
      <c r="R185">
        <f>IF($U185="","",INDEX(상세표[18~22시],$U185))</f>
        <v/>
      </c>
      <c r="S185">
        <f>IF($U185="","",INDEX(상세표[22~06시],$U185))</f>
        <v/>
      </c>
      <c r="T185">
        <f>IF($U185="","",INDEX(상세표[기록 시간외],$U185))</f>
        <v/>
      </c>
      <c r="U185" s="4">
        <f>IFERROR(MATCH(180,상세표[발송순번],0),"")</f>
        <v/>
      </c>
    </row>
    <row r="186">
      <c r="A186">
        <f>IF($H186="","",INDEX(상세표[사번],$H186)&amp;"")</f>
        <v/>
      </c>
      <c r="B186">
        <f>IF($H186="","",INDEX(상세표[성명],$H186)&amp;"")</f>
        <v/>
      </c>
      <c r="C186">
        <f>IF($H186="","",INDEX(상세표[부서],$H186)&amp;"")</f>
        <v/>
      </c>
      <c r="D186">
        <f>IF($H186="","",IF(IFERROR(INDEX(합계표[직위(통합)],MATCH(INDEX(상세표[사번키],$H186),합계표[사번키],0))&amp;"","")="",INDEX(상세표[직위],$H186)&amp;"",IFERROR(INDEX(합계표[직위(통합)],MATCH(INDEX(상세표[사번키],$H186),합계표[사번키],0))&amp;"","")))</f>
        <v/>
      </c>
      <c r="E186">
        <f>IF($H186="","",COUNTIFS(상세표[사번키],INDEX(상세표[사번키],$H186),상세표[기록월],대상월키))</f>
        <v/>
      </c>
      <c r="F186">
        <f>IF($H186="","",SUMIFS(상세표[기록 시간외],상세표[사번키],INDEX(상세표[사번키],$H186),상세표[기록월],대상월키))</f>
        <v/>
      </c>
      <c r="G186">
        <f>IF($H186="","",SUMIFS(합계표[시스템 합계],합계표[사번키],INDEX(상세표[사번키],$H186)))</f>
        <v/>
      </c>
      <c r="H186" s="4">
        <f>IFERROR(MATCH(181,상세표[발송인원순번],0),"")</f>
        <v/>
      </c>
      <c r="J186">
        <f>IF($U186="","",INDEX(상세표[사번],$U186)&amp;"")</f>
        <v/>
      </c>
      <c r="K186">
        <f>IF($U186="","",INDEX(상세표[성명],$U186)&amp;"")</f>
        <v/>
      </c>
      <c r="L186">
        <f>IF($U186="","",INDEX(상세표[직위],$U186)&amp;"")</f>
        <v/>
      </c>
      <c r="M186">
        <f>IF($U186="","",IF(ISNUMBER(INDEX(상세표[근무일자],$U186)),TEXT(INDEX(상세표[근무일자],$U186),"yyyy-mm-dd"),INDEX(상세표[근무일자],$U186)&amp;""))</f>
        <v/>
      </c>
      <c r="N186">
        <f>IF($U186="","",IF(ISNUMBER(INDEX(상세표[시작],$U186)),TEXT(INDEX(상세표[시작],$U186),"yyyy-mm-dd hh:mm"),INDEX(상세표[시작],$U186)&amp;""))</f>
        <v/>
      </c>
      <c r="O186">
        <f>IF($U186="","",IF(ISNUMBER(INDEX(상세표[종료],$U186)),TEXT(INDEX(상세표[종료],$U186),"yyyy-mm-dd hh:mm"),INDEX(상세표[종료],$U186)&amp;""))</f>
        <v/>
      </c>
      <c r="P186">
        <f>IF($U186="","",INDEX(상세표[06~07시],$U186))</f>
        <v/>
      </c>
      <c r="Q186">
        <f>IF($U186="","",INDEX(상세표[07~18시],$U186))</f>
        <v/>
      </c>
      <c r="R186">
        <f>IF($U186="","",INDEX(상세표[18~22시],$U186))</f>
        <v/>
      </c>
      <c r="S186">
        <f>IF($U186="","",INDEX(상세표[22~06시],$U186))</f>
        <v/>
      </c>
      <c r="T186">
        <f>IF($U186="","",INDEX(상세표[기록 시간외],$U186))</f>
        <v/>
      </c>
      <c r="U186" s="4">
        <f>IFERROR(MATCH(181,상세표[발송순번],0),"")</f>
        <v/>
      </c>
    </row>
    <row r="187">
      <c r="A187">
        <f>IF($H187="","",INDEX(상세표[사번],$H187)&amp;"")</f>
        <v/>
      </c>
      <c r="B187">
        <f>IF($H187="","",INDEX(상세표[성명],$H187)&amp;"")</f>
        <v/>
      </c>
      <c r="C187">
        <f>IF($H187="","",INDEX(상세표[부서],$H187)&amp;"")</f>
        <v/>
      </c>
      <c r="D187">
        <f>IF($H187="","",IF(IFERROR(INDEX(합계표[직위(통합)],MATCH(INDEX(상세표[사번키],$H187),합계표[사번키],0))&amp;"","")="",INDEX(상세표[직위],$H187)&amp;"",IFERROR(INDEX(합계표[직위(통합)],MATCH(INDEX(상세표[사번키],$H187),합계표[사번키],0))&amp;"","")))</f>
        <v/>
      </c>
      <c r="E187">
        <f>IF($H187="","",COUNTIFS(상세표[사번키],INDEX(상세표[사번키],$H187),상세표[기록월],대상월키))</f>
        <v/>
      </c>
      <c r="F187">
        <f>IF($H187="","",SUMIFS(상세표[기록 시간외],상세표[사번키],INDEX(상세표[사번키],$H187),상세표[기록월],대상월키))</f>
        <v/>
      </c>
      <c r="G187">
        <f>IF($H187="","",SUMIFS(합계표[시스템 합계],합계표[사번키],INDEX(상세표[사번키],$H187)))</f>
        <v/>
      </c>
      <c r="H187" s="4">
        <f>IFERROR(MATCH(182,상세표[발송인원순번],0),"")</f>
        <v/>
      </c>
      <c r="J187">
        <f>IF($U187="","",INDEX(상세표[사번],$U187)&amp;"")</f>
        <v/>
      </c>
      <c r="K187">
        <f>IF($U187="","",INDEX(상세표[성명],$U187)&amp;"")</f>
        <v/>
      </c>
      <c r="L187">
        <f>IF($U187="","",INDEX(상세표[직위],$U187)&amp;"")</f>
        <v/>
      </c>
      <c r="M187">
        <f>IF($U187="","",IF(ISNUMBER(INDEX(상세표[근무일자],$U187)),TEXT(INDEX(상세표[근무일자],$U187),"yyyy-mm-dd"),INDEX(상세표[근무일자],$U187)&amp;""))</f>
        <v/>
      </c>
      <c r="N187">
        <f>IF($U187="","",IF(ISNUMBER(INDEX(상세표[시작],$U187)),TEXT(INDEX(상세표[시작],$U187),"yyyy-mm-dd hh:mm"),INDEX(상세표[시작],$U187)&amp;""))</f>
        <v/>
      </c>
      <c r="O187">
        <f>IF($U187="","",IF(ISNUMBER(INDEX(상세표[종료],$U187)),TEXT(INDEX(상세표[종료],$U187),"yyyy-mm-dd hh:mm"),INDEX(상세표[종료],$U187)&amp;""))</f>
        <v/>
      </c>
      <c r="P187">
        <f>IF($U187="","",INDEX(상세표[06~07시],$U187))</f>
        <v/>
      </c>
      <c r="Q187">
        <f>IF($U187="","",INDEX(상세표[07~18시],$U187))</f>
        <v/>
      </c>
      <c r="R187">
        <f>IF($U187="","",INDEX(상세표[18~22시],$U187))</f>
        <v/>
      </c>
      <c r="S187">
        <f>IF($U187="","",INDEX(상세표[22~06시],$U187))</f>
        <v/>
      </c>
      <c r="T187">
        <f>IF($U187="","",INDEX(상세표[기록 시간외],$U187))</f>
        <v/>
      </c>
      <c r="U187" s="4">
        <f>IFERROR(MATCH(182,상세표[발송순번],0),"")</f>
        <v/>
      </c>
    </row>
    <row r="188">
      <c r="A188">
        <f>IF($H188="","",INDEX(상세표[사번],$H188)&amp;"")</f>
        <v/>
      </c>
      <c r="B188">
        <f>IF($H188="","",INDEX(상세표[성명],$H188)&amp;"")</f>
        <v/>
      </c>
      <c r="C188">
        <f>IF($H188="","",INDEX(상세표[부서],$H188)&amp;"")</f>
        <v/>
      </c>
      <c r="D188">
        <f>IF($H188="","",IF(IFERROR(INDEX(합계표[직위(통합)],MATCH(INDEX(상세표[사번키],$H188),합계표[사번키],0))&amp;"","")="",INDEX(상세표[직위],$H188)&amp;"",IFERROR(INDEX(합계표[직위(통합)],MATCH(INDEX(상세표[사번키],$H188),합계표[사번키],0))&amp;"","")))</f>
        <v/>
      </c>
      <c r="E188">
        <f>IF($H188="","",COUNTIFS(상세표[사번키],INDEX(상세표[사번키],$H188),상세표[기록월],대상월키))</f>
        <v/>
      </c>
      <c r="F188">
        <f>IF($H188="","",SUMIFS(상세표[기록 시간외],상세표[사번키],INDEX(상세표[사번키],$H188),상세표[기록월],대상월키))</f>
        <v/>
      </c>
      <c r="G188">
        <f>IF($H188="","",SUMIFS(합계표[시스템 합계],합계표[사번키],INDEX(상세표[사번키],$H188)))</f>
        <v/>
      </c>
      <c r="H188" s="4">
        <f>IFERROR(MATCH(183,상세표[발송인원순번],0),"")</f>
        <v/>
      </c>
      <c r="J188">
        <f>IF($U188="","",INDEX(상세표[사번],$U188)&amp;"")</f>
        <v/>
      </c>
      <c r="K188">
        <f>IF($U188="","",INDEX(상세표[성명],$U188)&amp;"")</f>
        <v/>
      </c>
      <c r="L188">
        <f>IF($U188="","",INDEX(상세표[직위],$U188)&amp;"")</f>
        <v/>
      </c>
      <c r="M188">
        <f>IF($U188="","",IF(ISNUMBER(INDEX(상세표[근무일자],$U188)),TEXT(INDEX(상세표[근무일자],$U188),"yyyy-mm-dd"),INDEX(상세표[근무일자],$U188)&amp;""))</f>
        <v/>
      </c>
      <c r="N188">
        <f>IF($U188="","",IF(ISNUMBER(INDEX(상세표[시작],$U188)),TEXT(INDEX(상세표[시작],$U188),"yyyy-mm-dd hh:mm"),INDEX(상세표[시작],$U188)&amp;""))</f>
        <v/>
      </c>
      <c r="O188">
        <f>IF($U188="","",IF(ISNUMBER(INDEX(상세표[종료],$U188)),TEXT(INDEX(상세표[종료],$U188),"yyyy-mm-dd hh:mm"),INDEX(상세표[종료],$U188)&amp;""))</f>
        <v/>
      </c>
      <c r="P188">
        <f>IF($U188="","",INDEX(상세표[06~07시],$U188))</f>
        <v/>
      </c>
      <c r="Q188">
        <f>IF($U188="","",INDEX(상세표[07~18시],$U188))</f>
        <v/>
      </c>
      <c r="R188">
        <f>IF($U188="","",INDEX(상세표[18~22시],$U188))</f>
        <v/>
      </c>
      <c r="S188">
        <f>IF($U188="","",INDEX(상세표[22~06시],$U188))</f>
        <v/>
      </c>
      <c r="T188">
        <f>IF($U188="","",INDEX(상세표[기록 시간외],$U188))</f>
        <v/>
      </c>
      <c r="U188" s="4">
        <f>IFERROR(MATCH(183,상세표[발송순번],0),"")</f>
        <v/>
      </c>
    </row>
    <row r="189">
      <c r="A189">
        <f>IF($H189="","",INDEX(상세표[사번],$H189)&amp;"")</f>
        <v/>
      </c>
      <c r="B189">
        <f>IF($H189="","",INDEX(상세표[성명],$H189)&amp;"")</f>
        <v/>
      </c>
      <c r="C189">
        <f>IF($H189="","",INDEX(상세표[부서],$H189)&amp;"")</f>
        <v/>
      </c>
      <c r="D189">
        <f>IF($H189="","",IF(IFERROR(INDEX(합계표[직위(통합)],MATCH(INDEX(상세표[사번키],$H189),합계표[사번키],0))&amp;"","")="",INDEX(상세표[직위],$H189)&amp;"",IFERROR(INDEX(합계표[직위(통합)],MATCH(INDEX(상세표[사번키],$H189),합계표[사번키],0))&amp;"","")))</f>
        <v/>
      </c>
      <c r="E189">
        <f>IF($H189="","",COUNTIFS(상세표[사번키],INDEX(상세표[사번키],$H189),상세표[기록월],대상월키))</f>
        <v/>
      </c>
      <c r="F189">
        <f>IF($H189="","",SUMIFS(상세표[기록 시간외],상세표[사번키],INDEX(상세표[사번키],$H189),상세표[기록월],대상월키))</f>
        <v/>
      </c>
      <c r="G189">
        <f>IF($H189="","",SUMIFS(합계표[시스템 합계],합계표[사번키],INDEX(상세표[사번키],$H189)))</f>
        <v/>
      </c>
      <c r="H189" s="4">
        <f>IFERROR(MATCH(184,상세표[발송인원순번],0),"")</f>
        <v/>
      </c>
      <c r="J189">
        <f>IF($U189="","",INDEX(상세표[사번],$U189)&amp;"")</f>
        <v/>
      </c>
      <c r="K189">
        <f>IF($U189="","",INDEX(상세표[성명],$U189)&amp;"")</f>
        <v/>
      </c>
      <c r="L189">
        <f>IF($U189="","",INDEX(상세표[직위],$U189)&amp;"")</f>
        <v/>
      </c>
      <c r="M189">
        <f>IF($U189="","",IF(ISNUMBER(INDEX(상세표[근무일자],$U189)),TEXT(INDEX(상세표[근무일자],$U189),"yyyy-mm-dd"),INDEX(상세표[근무일자],$U189)&amp;""))</f>
        <v/>
      </c>
      <c r="N189">
        <f>IF($U189="","",IF(ISNUMBER(INDEX(상세표[시작],$U189)),TEXT(INDEX(상세표[시작],$U189),"yyyy-mm-dd hh:mm"),INDEX(상세표[시작],$U189)&amp;""))</f>
        <v/>
      </c>
      <c r="O189">
        <f>IF($U189="","",IF(ISNUMBER(INDEX(상세표[종료],$U189)),TEXT(INDEX(상세표[종료],$U189),"yyyy-mm-dd hh:mm"),INDEX(상세표[종료],$U189)&amp;""))</f>
        <v/>
      </c>
      <c r="P189">
        <f>IF($U189="","",INDEX(상세표[06~07시],$U189))</f>
        <v/>
      </c>
      <c r="Q189">
        <f>IF($U189="","",INDEX(상세표[07~18시],$U189))</f>
        <v/>
      </c>
      <c r="R189">
        <f>IF($U189="","",INDEX(상세표[18~22시],$U189))</f>
        <v/>
      </c>
      <c r="S189">
        <f>IF($U189="","",INDEX(상세표[22~06시],$U189))</f>
        <v/>
      </c>
      <c r="T189">
        <f>IF($U189="","",INDEX(상세표[기록 시간외],$U189))</f>
        <v/>
      </c>
      <c r="U189" s="4">
        <f>IFERROR(MATCH(184,상세표[발송순번],0),"")</f>
        <v/>
      </c>
    </row>
    <row r="190">
      <c r="A190">
        <f>IF($H190="","",INDEX(상세표[사번],$H190)&amp;"")</f>
        <v/>
      </c>
      <c r="B190">
        <f>IF($H190="","",INDEX(상세표[성명],$H190)&amp;"")</f>
        <v/>
      </c>
      <c r="C190">
        <f>IF($H190="","",INDEX(상세표[부서],$H190)&amp;"")</f>
        <v/>
      </c>
      <c r="D190">
        <f>IF($H190="","",IF(IFERROR(INDEX(합계표[직위(통합)],MATCH(INDEX(상세표[사번키],$H190),합계표[사번키],0))&amp;"","")="",INDEX(상세표[직위],$H190)&amp;"",IFERROR(INDEX(합계표[직위(통합)],MATCH(INDEX(상세표[사번키],$H190),합계표[사번키],0))&amp;"","")))</f>
        <v/>
      </c>
      <c r="E190">
        <f>IF($H190="","",COUNTIFS(상세표[사번키],INDEX(상세표[사번키],$H190),상세표[기록월],대상월키))</f>
        <v/>
      </c>
      <c r="F190">
        <f>IF($H190="","",SUMIFS(상세표[기록 시간외],상세표[사번키],INDEX(상세표[사번키],$H190),상세표[기록월],대상월키))</f>
        <v/>
      </c>
      <c r="G190">
        <f>IF($H190="","",SUMIFS(합계표[시스템 합계],합계표[사번키],INDEX(상세표[사번키],$H190)))</f>
        <v/>
      </c>
      <c r="H190" s="4">
        <f>IFERROR(MATCH(185,상세표[발송인원순번],0),"")</f>
        <v/>
      </c>
      <c r="J190">
        <f>IF($U190="","",INDEX(상세표[사번],$U190)&amp;"")</f>
        <v/>
      </c>
      <c r="K190">
        <f>IF($U190="","",INDEX(상세표[성명],$U190)&amp;"")</f>
        <v/>
      </c>
      <c r="L190">
        <f>IF($U190="","",INDEX(상세표[직위],$U190)&amp;"")</f>
        <v/>
      </c>
      <c r="M190">
        <f>IF($U190="","",IF(ISNUMBER(INDEX(상세표[근무일자],$U190)),TEXT(INDEX(상세표[근무일자],$U190),"yyyy-mm-dd"),INDEX(상세표[근무일자],$U190)&amp;""))</f>
        <v/>
      </c>
      <c r="N190">
        <f>IF($U190="","",IF(ISNUMBER(INDEX(상세표[시작],$U190)),TEXT(INDEX(상세표[시작],$U190),"yyyy-mm-dd hh:mm"),INDEX(상세표[시작],$U190)&amp;""))</f>
        <v/>
      </c>
      <c r="O190">
        <f>IF($U190="","",IF(ISNUMBER(INDEX(상세표[종료],$U190)),TEXT(INDEX(상세표[종료],$U190),"yyyy-mm-dd hh:mm"),INDEX(상세표[종료],$U190)&amp;""))</f>
        <v/>
      </c>
      <c r="P190">
        <f>IF($U190="","",INDEX(상세표[06~07시],$U190))</f>
        <v/>
      </c>
      <c r="Q190">
        <f>IF($U190="","",INDEX(상세표[07~18시],$U190))</f>
        <v/>
      </c>
      <c r="R190">
        <f>IF($U190="","",INDEX(상세표[18~22시],$U190))</f>
        <v/>
      </c>
      <c r="S190">
        <f>IF($U190="","",INDEX(상세표[22~06시],$U190))</f>
        <v/>
      </c>
      <c r="T190">
        <f>IF($U190="","",INDEX(상세표[기록 시간외],$U190))</f>
        <v/>
      </c>
      <c r="U190" s="4">
        <f>IFERROR(MATCH(185,상세표[발송순번],0),"")</f>
        <v/>
      </c>
    </row>
    <row r="191">
      <c r="A191">
        <f>IF($H191="","",INDEX(상세표[사번],$H191)&amp;"")</f>
        <v/>
      </c>
      <c r="B191">
        <f>IF($H191="","",INDEX(상세표[성명],$H191)&amp;"")</f>
        <v/>
      </c>
      <c r="C191">
        <f>IF($H191="","",INDEX(상세표[부서],$H191)&amp;"")</f>
        <v/>
      </c>
      <c r="D191">
        <f>IF($H191="","",IF(IFERROR(INDEX(합계표[직위(통합)],MATCH(INDEX(상세표[사번키],$H191),합계표[사번키],0))&amp;"","")="",INDEX(상세표[직위],$H191)&amp;"",IFERROR(INDEX(합계표[직위(통합)],MATCH(INDEX(상세표[사번키],$H191),합계표[사번키],0))&amp;"","")))</f>
        <v/>
      </c>
      <c r="E191">
        <f>IF($H191="","",COUNTIFS(상세표[사번키],INDEX(상세표[사번키],$H191),상세표[기록월],대상월키))</f>
        <v/>
      </c>
      <c r="F191">
        <f>IF($H191="","",SUMIFS(상세표[기록 시간외],상세표[사번키],INDEX(상세표[사번키],$H191),상세표[기록월],대상월키))</f>
        <v/>
      </c>
      <c r="G191">
        <f>IF($H191="","",SUMIFS(합계표[시스템 합계],합계표[사번키],INDEX(상세표[사번키],$H191)))</f>
        <v/>
      </c>
      <c r="H191" s="4">
        <f>IFERROR(MATCH(186,상세표[발송인원순번],0),"")</f>
        <v/>
      </c>
      <c r="J191">
        <f>IF($U191="","",INDEX(상세표[사번],$U191)&amp;"")</f>
        <v/>
      </c>
      <c r="K191">
        <f>IF($U191="","",INDEX(상세표[성명],$U191)&amp;"")</f>
        <v/>
      </c>
      <c r="L191">
        <f>IF($U191="","",INDEX(상세표[직위],$U191)&amp;"")</f>
        <v/>
      </c>
      <c r="M191">
        <f>IF($U191="","",IF(ISNUMBER(INDEX(상세표[근무일자],$U191)),TEXT(INDEX(상세표[근무일자],$U191),"yyyy-mm-dd"),INDEX(상세표[근무일자],$U191)&amp;""))</f>
        <v/>
      </c>
      <c r="N191">
        <f>IF($U191="","",IF(ISNUMBER(INDEX(상세표[시작],$U191)),TEXT(INDEX(상세표[시작],$U191),"yyyy-mm-dd hh:mm"),INDEX(상세표[시작],$U191)&amp;""))</f>
        <v/>
      </c>
      <c r="O191">
        <f>IF($U191="","",IF(ISNUMBER(INDEX(상세표[종료],$U191)),TEXT(INDEX(상세표[종료],$U191),"yyyy-mm-dd hh:mm"),INDEX(상세표[종료],$U191)&amp;""))</f>
        <v/>
      </c>
      <c r="P191">
        <f>IF($U191="","",INDEX(상세표[06~07시],$U191))</f>
        <v/>
      </c>
      <c r="Q191">
        <f>IF($U191="","",INDEX(상세표[07~18시],$U191))</f>
        <v/>
      </c>
      <c r="R191">
        <f>IF($U191="","",INDEX(상세표[18~22시],$U191))</f>
        <v/>
      </c>
      <c r="S191">
        <f>IF($U191="","",INDEX(상세표[22~06시],$U191))</f>
        <v/>
      </c>
      <c r="T191">
        <f>IF($U191="","",INDEX(상세표[기록 시간외],$U191))</f>
        <v/>
      </c>
      <c r="U191" s="4">
        <f>IFERROR(MATCH(186,상세표[발송순번],0),"")</f>
        <v/>
      </c>
    </row>
    <row r="192">
      <c r="A192">
        <f>IF($H192="","",INDEX(상세표[사번],$H192)&amp;"")</f>
        <v/>
      </c>
      <c r="B192">
        <f>IF($H192="","",INDEX(상세표[성명],$H192)&amp;"")</f>
        <v/>
      </c>
      <c r="C192">
        <f>IF($H192="","",INDEX(상세표[부서],$H192)&amp;"")</f>
        <v/>
      </c>
      <c r="D192">
        <f>IF($H192="","",IF(IFERROR(INDEX(합계표[직위(통합)],MATCH(INDEX(상세표[사번키],$H192),합계표[사번키],0))&amp;"","")="",INDEX(상세표[직위],$H192)&amp;"",IFERROR(INDEX(합계표[직위(통합)],MATCH(INDEX(상세표[사번키],$H192),합계표[사번키],0))&amp;"","")))</f>
        <v/>
      </c>
      <c r="E192">
        <f>IF($H192="","",COUNTIFS(상세표[사번키],INDEX(상세표[사번키],$H192),상세표[기록월],대상월키))</f>
        <v/>
      </c>
      <c r="F192">
        <f>IF($H192="","",SUMIFS(상세표[기록 시간외],상세표[사번키],INDEX(상세표[사번키],$H192),상세표[기록월],대상월키))</f>
        <v/>
      </c>
      <c r="G192">
        <f>IF($H192="","",SUMIFS(합계표[시스템 합계],합계표[사번키],INDEX(상세표[사번키],$H192)))</f>
        <v/>
      </c>
      <c r="H192" s="4">
        <f>IFERROR(MATCH(187,상세표[발송인원순번],0),"")</f>
        <v/>
      </c>
      <c r="J192">
        <f>IF($U192="","",INDEX(상세표[사번],$U192)&amp;"")</f>
        <v/>
      </c>
      <c r="K192">
        <f>IF($U192="","",INDEX(상세표[성명],$U192)&amp;"")</f>
        <v/>
      </c>
      <c r="L192">
        <f>IF($U192="","",INDEX(상세표[직위],$U192)&amp;"")</f>
        <v/>
      </c>
      <c r="M192">
        <f>IF($U192="","",IF(ISNUMBER(INDEX(상세표[근무일자],$U192)),TEXT(INDEX(상세표[근무일자],$U192),"yyyy-mm-dd"),INDEX(상세표[근무일자],$U192)&amp;""))</f>
        <v/>
      </c>
      <c r="N192">
        <f>IF($U192="","",IF(ISNUMBER(INDEX(상세표[시작],$U192)),TEXT(INDEX(상세표[시작],$U192),"yyyy-mm-dd hh:mm"),INDEX(상세표[시작],$U192)&amp;""))</f>
        <v/>
      </c>
      <c r="O192">
        <f>IF($U192="","",IF(ISNUMBER(INDEX(상세표[종료],$U192)),TEXT(INDEX(상세표[종료],$U192),"yyyy-mm-dd hh:mm"),INDEX(상세표[종료],$U192)&amp;""))</f>
        <v/>
      </c>
      <c r="P192">
        <f>IF($U192="","",INDEX(상세표[06~07시],$U192))</f>
        <v/>
      </c>
      <c r="Q192">
        <f>IF($U192="","",INDEX(상세표[07~18시],$U192))</f>
        <v/>
      </c>
      <c r="R192">
        <f>IF($U192="","",INDEX(상세표[18~22시],$U192))</f>
        <v/>
      </c>
      <c r="S192">
        <f>IF($U192="","",INDEX(상세표[22~06시],$U192))</f>
        <v/>
      </c>
      <c r="T192">
        <f>IF($U192="","",INDEX(상세표[기록 시간외],$U192))</f>
        <v/>
      </c>
      <c r="U192" s="4">
        <f>IFERROR(MATCH(187,상세표[발송순번],0),"")</f>
        <v/>
      </c>
    </row>
    <row r="193">
      <c r="A193">
        <f>IF($H193="","",INDEX(상세표[사번],$H193)&amp;"")</f>
        <v/>
      </c>
      <c r="B193">
        <f>IF($H193="","",INDEX(상세표[성명],$H193)&amp;"")</f>
        <v/>
      </c>
      <c r="C193">
        <f>IF($H193="","",INDEX(상세표[부서],$H193)&amp;"")</f>
        <v/>
      </c>
      <c r="D193">
        <f>IF($H193="","",IF(IFERROR(INDEX(합계표[직위(통합)],MATCH(INDEX(상세표[사번키],$H193),합계표[사번키],0))&amp;"","")="",INDEX(상세표[직위],$H193)&amp;"",IFERROR(INDEX(합계표[직위(통합)],MATCH(INDEX(상세표[사번키],$H193),합계표[사번키],0))&amp;"","")))</f>
        <v/>
      </c>
      <c r="E193">
        <f>IF($H193="","",COUNTIFS(상세표[사번키],INDEX(상세표[사번키],$H193),상세표[기록월],대상월키))</f>
        <v/>
      </c>
      <c r="F193">
        <f>IF($H193="","",SUMIFS(상세표[기록 시간외],상세표[사번키],INDEX(상세표[사번키],$H193),상세표[기록월],대상월키))</f>
        <v/>
      </c>
      <c r="G193">
        <f>IF($H193="","",SUMIFS(합계표[시스템 합계],합계표[사번키],INDEX(상세표[사번키],$H193)))</f>
        <v/>
      </c>
      <c r="H193" s="4">
        <f>IFERROR(MATCH(188,상세표[발송인원순번],0),"")</f>
        <v/>
      </c>
      <c r="J193">
        <f>IF($U193="","",INDEX(상세표[사번],$U193)&amp;"")</f>
        <v/>
      </c>
      <c r="K193">
        <f>IF($U193="","",INDEX(상세표[성명],$U193)&amp;"")</f>
        <v/>
      </c>
      <c r="L193">
        <f>IF($U193="","",INDEX(상세표[직위],$U193)&amp;"")</f>
        <v/>
      </c>
      <c r="M193">
        <f>IF($U193="","",IF(ISNUMBER(INDEX(상세표[근무일자],$U193)),TEXT(INDEX(상세표[근무일자],$U193),"yyyy-mm-dd"),INDEX(상세표[근무일자],$U193)&amp;""))</f>
        <v/>
      </c>
      <c r="N193">
        <f>IF($U193="","",IF(ISNUMBER(INDEX(상세표[시작],$U193)),TEXT(INDEX(상세표[시작],$U193),"yyyy-mm-dd hh:mm"),INDEX(상세표[시작],$U193)&amp;""))</f>
        <v/>
      </c>
      <c r="O193">
        <f>IF($U193="","",IF(ISNUMBER(INDEX(상세표[종료],$U193)),TEXT(INDEX(상세표[종료],$U193),"yyyy-mm-dd hh:mm"),INDEX(상세표[종료],$U193)&amp;""))</f>
        <v/>
      </c>
      <c r="P193">
        <f>IF($U193="","",INDEX(상세표[06~07시],$U193))</f>
        <v/>
      </c>
      <c r="Q193">
        <f>IF($U193="","",INDEX(상세표[07~18시],$U193))</f>
        <v/>
      </c>
      <c r="R193">
        <f>IF($U193="","",INDEX(상세표[18~22시],$U193))</f>
        <v/>
      </c>
      <c r="S193">
        <f>IF($U193="","",INDEX(상세표[22~06시],$U193))</f>
        <v/>
      </c>
      <c r="T193">
        <f>IF($U193="","",INDEX(상세표[기록 시간외],$U193))</f>
        <v/>
      </c>
      <c r="U193" s="4">
        <f>IFERROR(MATCH(188,상세표[발송순번],0),"")</f>
        <v/>
      </c>
    </row>
    <row r="194">
      <c r="A194">
        <f>IF($H194="","",INDEX(상세표[사번],$H194)&amp;"")</f>
        <v/>
      </c>
      <c r="B194">
        <f>IF($H194="","",INDEX(상세표[성명],$H194)&amp;"")</f>
        <v/>
      </c>
      <c r="C194">
        <f>IF($H194="","",INDEX(상세표[부서],$H194)&amp;"")</f>
        <v/>
      </c>
      <c r="D194">
        <f>IF($H194="","",IF(IFERROR(INDEX(합계표[직위(통합)],MATCH(INDEX(상세표[사번키],$H194),합계표[사번키],0))&amp;"","")="",INDEX(상세표[직위],$H194)&amp;"",IFERROR(INDEX(합계표[직위(통합)],MATCH(INDEX(상세표[사번키],$H194),합계표[사번키],0))&amp;"","")))</f>
        <v/>
      </c>
      <c r="E194">
        <f>IF($H194="","",COUNTIFS(상세표[사번키],INDEX(상세표[사번키],$H194),상세표[기록월],대상월키))</f>
        <v/>
      </c>
      <c r="F194">
        <f>IF($H194="","",SUMIFS(상세표[기록 시간외],상세표[사번키],INDEX(상세표[사번키],$H194),상세표[기록월],대상월키))</f>
        <v/>
      </c>
      <c r="G194">
        <f>IF($H194="","",SUMIFS(합계표[시스템 합계],합계표[사번키],INDEX(상세표[사번키],$H194)))</f>
        <v/>
      </c>
      <c r="H194" s="4">
        <f>IFERROR(MATCH(189,상세표[발송인원순번],0),"")</f>
        <v/>
      </c>
      <c r="J194">
        <f>IF($U194="","",INDEX(상세표[사번],$U194)&amp;"")</f>
        <v/>
      </c>
      <c r="K194">
        <f>IF($U194="","",INDEX(상세표[성명],$U194)&amp;"")</f>
        <v/>
      </c>
      <c r="L194">
        <f>IF($U194="","",INDEX(상세표[직위],$U194)&amp;"")</f>
        <v/>
      </c>
      <c r="M194">
        <f>IF($U194="","",IF(ISNUMBER(INDEX(상세표[근무일자],$U194)),TEXT(INDEX(상세표[근무일자],$U194),"yyyy-mm-dd"),INDEX(상세표[근무일자],$U194)&amp;""))</f>
        <v/>
      </c>
      <c r="N194">
        <f>IF($U194="","",IF(ISNUMBER(INDEX(상세표[시작],$U194)),TEXT(INDEX(상세표[시작],$U194),"yyyy-mm-dd hh:mm"),INDEX(상세표[시작],$U194)&amp;""))</f>
        <v/>
      </c>
      <c r="O194">
        <f>IF($U194="","",IF(ISNUMBER(INDEX(상세표[종료],$U194)),TEXT(INDEX(상세표[종료],$U194),"yyyy-mm-dd hh:mm"),INDEX(상세표[종료],$U194)&amp;""))</f>
        <v/>
      </c>
      <c r="P194">
        <f>IF($U194="","",INDEX(상세표[06~07시],$U194))</f>
        <v/>
      </c>
      <c r="Q194">
        <f>IF($U194="","",INDEX(상세표[07~18시],$U194))</f>
        <v/>
      </c>
      <c r="R194">
        <f>IF($U194="","",INDEX(상세표[18~22시],$U194))</f>
        <v/>
      </c>
      <c r="S194">
        <f>IF($U194="","",INDEX(상세표[22~06시],$U194))</f>
        <v/>
      </c>
      <c r="T194">
        <f>IF($U194="","",INDEX(상세표[기록 시간외],$U194))</f>
        <v/>
      </c>
      <c r="U194" s="4">
        <f>IFERROR(MATCH(189,상세표[발송순번],0),"")</f>
        <v/>
      </c>
    </row>
    <row r="195">
      <c r="A195">
        <f>IF($H195="","",INDEX(상세표[사번],$H195)&amp;"")</f>
        <v/>
      </c>
      <c r="B195">
        <f>IF($H195="","",INDEX(상세표[성명],$H195)&amp;"")</f>
        <v/>
      </c>
      <c r="C195">
        <f>IF($H195="","",INDEX(상세표[부서],$H195)&amp;"")</f>
        <v/>
      </c>
      <c r="D195">
        <f>IF($H195="","",IF(IFERROR(INDEX(합계표[직위(통합)],MATCH(INDEX(상세표[사번키],$H195),합계표[사번키],0))&amp;"","")="",INDEX(상세표[직위],$H195)&amp;"",IFERROR(INDEX(합계표[직위(통합)],MATCH(INDEX(상세표[사번키],$H195),합계표[사번키],0))&amp;"","")))</f>
        <v/>
      </c>
      <c r="E195">
        <f>IF($H195="","",COUNTIFS(상세표[사번키],INDEX(상세표[사번키],$H195),상세표[기록월],대상월키))</f>
        <v/>
      </c>
      <c r="F195">
        <f>IF($H195="","",SUMIFS(상세표[기록 시간외],상세표[사번키],INDEX(상세표[사번키],$H195),상세표[기록월],대상월키))</f>
        <v/>
      </c>
      <c r="G195">
        <f>IF($H195="","",SUMIFS(합계표[시스템 합계],합계표[사번키],INDEX(상세표[사번키],$H195)))</f>
        <v/>
      </c>
      <c r="H195" s="4">
        <f>IFERROR(MATCH(190,상세표[발송인원순번],0),"")</f>
        <v/>
      </c>
      <c r="J195">
        <f>IF($U195="","",INDEX(상세표[사번],$U195)&amp;"")</f>
        <v/>
      </c>
      <c r="K195">
        <f>IF($U195="","",INDEX(상세표[성명],$U195)&amp;"")</f>
        <v/>
      </c>
      <c r="L195">
        <f>IF($U195="","",INDEX(상세표[직위],$U195)&amp;"")</f>
        <v/>
      </c>
      <c r="M195">
        <f>IF($U195="","",IF(ISNUMBER(INDEX(상세표[근무일자],$U195)),TEXT(INDEX(상세표[근무일자],$U195),"yyyy-mm-dd"),INDEX(상세표[근무일자],$U195)&amp;""))</f>
        <v/>
      </c>
      <c r="N195">
        <f>IF($U195="","",IF(ISNUMBER(INDEX(상세표[시작],$U195)),TEXT(INDEX(상세표[시작],$U195),"yyyy-mm-dd hh:mm"),INDEX(상세표[시작],$U195)&amp;""))</f>
        <v/>
      </c>
      <c r="O195">
        <f>IF($U195="","",IF(ISNUMBER(INDEX(상세표[종료],$U195)),TEXT(INDEX(상세표[종료],$U195),"yyyy-mm-dd hh:mm"),INDEX(상세표[종료],$U195)&amp;""))</f>
        <v/>
      </c>
      <c r="P195">
        <f>IF($U195="","",INDEX(상세표[06~07시],$U195))</f>
        <v/>
      </c>
      <c r="Q195">
        <f>IF($U195="","",INDEX(상세표[07~18시],$U195))</f>
        <v/>
      </c>
      <c r="R195">
        <f>IF($U195="","",INDEX(상세표[18~22시],$U195))</f>
        <v/>
      </c>
      <c r="S195">
        <f>IF($U195="","",INDEX(상세표[22~06시],$U195))</f>
        <v/>
      </c>
      <c r="T195">
        <f>IF($U195="","",INDEX(상세표[기록 시간외],$U195))</f>
        <v/>
      </c>
      <c r="U195" s="4">
        <f>IFERROR(MATCH(190,상세표[발송순번],0),"")</f>
        <v/>
      </c>
    </row>
    <row r="196">
      <c r="A196">
        <f>IF($H196="","",INDEX(상세표[사번],$H196)&amp;"")</f>
        <v/>
      </c>
      <c r="B196">
        <f>IF($H196="","",INDEX(상세표[성명],$H196)&amp;"")</f>
        <v/>
      </c>
      <c r="C196">
        <f>IF($H196="","",INDEX(상세표[부서],$H196)&amp;"")</f>
        <v/>
      </c>
      <c r="D196">
        <f>IF($H196="","",IF(IFERROR(INDEX(합계표[직위(통합)],MATCH(INDEX(상세표[사번키],$H196),합계표[사번키],0))&amp;"","")="",INDEX(상세표[직위],$H196)&amp;"",IFERROR(INDEX(합계표[직위(통합)],MATCH(INDEX(상세표[사번키],$H196),합계표[사번키],0))&amp;"","")))</f>
        <v/>
      </c>
      <c r="E196">
        <f>IF($H196="","",COUNTIFS(상세표[사번키],INDEX(상세표[사번키],$H196),상세표[기록월],대상월키))</f>
        <v/>
      </c>
      <c r="F196">
        <f>IF($H196="","",SUMIFS(상세표[기록 시간외],상세표[사번키],INDEX(상세표[사번키],$H196),상세표[기록월],대상월키))</f>
        <v/>
      </c>
      <c r="G196">
        <f>IF($H196="","",SUMIFS(합계표[시스템 합계],합계표[사번키],INDEX(상세표[사번키],$H196)))</f>
        <v/>
      </c>
      <c r="H196" s="4">
        <f>IFERROR(MATCH(191,상세표[발송인원순번],0),"")</f>
        <v/>
      </c>
      <c r="J196">
        <f>IF($U196="","",INDEX(상세표[사번],$U196)&amp;"")</f>
        <v/>
      </c>
      <c r="K196">
        <f>IF($U196="","",INDEX(상세표[성명],$U196)&amp;"")</f>
        <v/>
      </c>
      <c r="L196">
        <f>IF($U196="","",INDEX(상세표[직위],$U196)&amp;"")</f>
        <v/>
      </c>
      <c r="M196">
        <f>IF($U196="","",IF(ISNUMBER(INDEX(상세표[근무일자],$U196)),TEXT(INDEX(상세표[근무일자],$U196),"yyyy-mm-dd"),INDEX(상세표[근무일자],$U196)&amp;""))</f>
        <v/>
      </c>
      <c r="N196">
        <f>IF($U196="","",IF(ISNUMBER(INDEX(상세표[시작],$U196)),TEXT(INDEX(상세표[시작],$U196),"yyyy-mm-dd hh:mm"),INDEX(상세표[시작],$U196)&amp;""))</f>
        <v/>
      </c>
      <c r="O196">
        <f>IF($U196="","",IF(ISNUMBER(INDEX(상세표[종료],$U196)),TEXT(INDEX(상세표[종료],$U196),"yyyy-mm-dd hh:mm"),INDEX(상세표[종료],$U196)&amp;""))</f>
        <v/>
      </c>
      <c r="P196">
        <f>IF($U196="","",INDEX(상세표[06~07시],$U196))</f>
        <v/>
      </c>
      <c r="Q196">
        <f>IF($U196="","",INDEX(상세표[07~18시],$U196))</f>
        <v/>
      </c>
      <c r="R196">
        <f>IF($U196="","",INDEX(상세표[18~22시],$U196))</f>
        <v/>
      </c>
      <c r="S196">
        <f>IF($U196="","",INDEX(상세표[22~06시],$U196))</f>
        <v/>
      </c>
      <c r="T196">
        <f>IF($U196="","",INDEX(상세표[기록 시간외],$U196))</f>
        <v/>
      </c>
      <c r="U196" s="4">
        <f>IFERROR(MATCH(191,상세표[발송순번],0),"")</f>
        <v/>
      </c>
    </row>
    <row r="197">
      <c r="A197">
        <f>IF($H197="","",INDEX(상세표[사번],$H197)&amp;"")</f>
        <v/>
      </c>
      <c r="B197">
        <f>IF($H197="","",INDEX(상세표[성명],$H197)&amp;"")</f>
        <v/>
      </c>
      <c r="C197">
        <f>IF($H197="","",INDEX(상세표[부서],$H197)&amp;"")</f>
        <v/>
      </c>
      <c r="D197">
        <f>IF($H197="","",IF(IFERROR(INDEX(합계표[직위(통합)],MATCH(INDEX(상세표[사번키],$H197),합계표[사번키],0))&amp;"","")="",INDEX(상세표[직위],$H197)&amp;"",IFERROR(INDEX(합계표[직위(통합)],MATCH(INDEX(상세표[사번키],$H197),합계표[사번키],0))&amp;"","")))</f>
        <v/>
      </c>
      <c r="E197">
        <f>IF($H197="","",COUNTIFS(상세표[사번키],INDEX(상세표[사번키],$H197),상세표[기록월],대상월키))</f>
        <v/>
      </c>
      <c r="F197">
        <f>IF($H197="","",SUMIFS(상세표[기록 시간외],상세표[사번키],INDEX(상세표[사번키],$H197),상세표[기록월],대상월키))</f>
        <v/>
      </c>
      <c r="G197">
        <f>IF($H197="","",SUMIFS(합계표[시스템 합계],합계표[사번키],INDEX(상세표[사번키],$H197)))</f>
        <v/>
      </c>
      <c r="H197" s="4">
        <f>IFERROR(MATCH(192,상세표[발송인원순번],0),"")</f>
        <v/>
      </c>
      <c r="J197">
        <f>IF($U197="","",INDEX(상세표[사번],$U197)&amp;"")</f>
        <v/>
      </c>
      <c r="K197">
        <f>IF($U197="","",INDEX(상세표[성명],$U197)&amp;"")</f>
        <v/>
      </c>
      <c r="L197">
        <f>IF($U197="","",INDEX(상세표[직위],$U197)&amp;"")</f>
        <v/>
      </c>
      <c r="M197">
        <f>IF($U197="","",IF(ISNUMBER(INDEX(상세표[근무일자],$U197)),TEXT(INDEX(상세표[근무일자],$U197),"yyyy-mm-dd"),INDEX(상세표[근무일자],$U197)&amp;""))</f>
        <v/>
      </c>
      <c r="N197">
        <f>IF($U197="","",IF(ISNUMBER(INDEX(상세표[시작],$U197)),TEXT(INDEX(상세표[시작],$U197),"yyyy-mm-dd hh:mm"),INDEX(상세표[시작],$U197)&amp;""))</f>
        <v/>
      </c>
      <c r="O197">
        <f>IF($U197="","",IF(ISNUMBER(INDEX(상세표[종료],$U197)),TEXT(INDEX(상세표[종료],$U197),"yyyy-mm-dd hh:mm"),INDEX(상세표[종료],$U197)&amp;""))</f>
        <v/>
      </c>
      <c r="P197">
        <f>IF($U197="","",INDEX(상세표[06~07시],$U197))</f>
        <v/>
      </c>
      <c r="Q197">
        <f>IF($U197="","",INDEX(상세표[07~18시],$U197))</f>
        <v/>
      </c>
      <c r="R197">
        <f>IF($U197="","",INDEX(상세표[18~22시],$U197))</f>
        <v/>
      </c>
      <c r="S197">
        <f>IF($U197="","",INDEX(상세표[22~06시],$U197))</f>
        <v/>
      </c>
      <c r="T197">
        <f>IF($U197="","",INDEX(상세표[기록 시간외],$U197))</f>
        <v/>
      </c>
      <c r="U197" s="4">
        <f>IFERROR(MATCH(192,상세표[발송순번],0),"")</f>
        <v/>
      </c>
    </row>
    <row r="198">
      <c r="A198">
        <f>IF($H198="","",INDEX(상세표[사번],$H198)&amp;"")</f>
        <v/>
      </c>
      <c r="B198">
        <f>IF($H198="","",INDEX(상세표[성명],$H198)&amp;"")</f>
        <v/>
      </c>
      <c r="C198">
        <f>IF($H198="","",INDEX(상세표[부서],$H198)&amp;"")</f>
        <v/>
      </c>
      <c r="D198">
        <f>IF($H198="","",IF(IFERROR(INDEX(합계표[직위(통합)],MATCH(INDEX(상세표[사번키],$H198),합계표[사번키],0))&amp;"","")="",INDEX(상세표[직위],$H198)&amp;"",IFERROR(INDEX(합계표[직위(통합)],MATCH(INDEX(상세표[사번키],$H198),합계표[사번키],0))&amp;"","")))</f>
        <v/>
      </c>
      <c r="E198">
        <f>IF($H198="","",COUNTIFS(상세표[사번키],INDEX(상세표[사번키],$H198),상세표[기록월],대상월키))</f>
        <v/>
      </c>
      <c r="F198">
        <f>IF($H198="","",SUMIFS(상세표[기록 시간외],상세표[사번키],INDEX(상세표[사번키],$H198),상세표[기록월],대상월키))</f>
        <v/>
      </c>
      <c r="G198">
        <f>IF($H198="","",SUMIFS(합계표[시스템 합계],합계표[사번키],INDEX(상세표[사번키],$H198)))</f>
        <v/>
      </c>
      <c r="H198" s="4">
        <f>IFERROR(MATCH(193,상세표[발송인원순번],0),"")</f>
        <v/>
      </c>
      <c r="J198">
        <f>IF($U198="","",INDEX(상세표[사번],$U198)&amp;"")</f>
        <v/>
      </c>
      <c r="K198">
        <f>IF($U198="","",INDEX(상세표[성명],$U198)&amp;"")</f>
        <v/>
      </c>
      <c r="L198">
        <f>IF($U198="","",INDEX(상세표[직위],$U198)&amp;"")</f>
        <v/>
      </c>
      <c r="M198">
        <f>IF($U198="","",IF(ISNUMBER(INDEX(상세표[근무일자],$U198)),TEXT(INDEX(상세표[근무일자],$U198),"yyyy-mm-dd"),INDEX(상세표[근무일자],$U198)&amp;""))</f>
        <v/>
      </c>
      <c r="N198">
        <f>IF($U198="","",IF(ISNUMBER(INDEX(상세표[시작],$U198)),TEXT(INDEX(상세표[시작],$U198),"yyyy-mm-dd hh:mm"),INDEX(상세표[시작],$U198)&amp;""))</f>
        <v/>
      </c>
      <c r="O198">
        <f>IF($U198="","",IF(ISNUMBER(INDEX(상세표[종료],$U198)),TEXT(INDEX(상세표[종료],$U198),"yyyy-mm-dd hh:mm"),INDEX(상세표[종료],$U198)&amp;""))</f>
        <v/>
      </c>
      <c r="P198">
        <f>IF($U198="","",INDEX(상세표[06~07시],$U198))</f>
        <v/>
      </c>
      <c r="Q198">
        <f>IF($U198="","",INDEX(상세표[07~18시],$U198))</f>
        <v/>
      </c>
      <c r="R198">
        <f>IF($U198="","",INDEX(상세표[18~22시],$U198))</f>
        <v/>
      </c>
      <c r="S198">
        <f>IF($U198="","",INDEX(상세표[22~06시],$U198))</f>
        <v/>
      </c>
      <c r="T198">
        <f>IF($U198="","",INDEX(상세표[기록 시간외],$U198))</f>
        <v/>
      </c>
      <c r="U198" s="4">
        <f>IFERROR(MATCH(193,상세표[발송순번],0),"")</f>
        <v/>
      </c>
    </row>
    <row r="199">
      <c r="A199">
        <f>IF($H199="","",INDEX(상세표[사번],$H199)&amp;"")</f>
        <v/>
      </c>
      <c r="B199">
        <f>IF($H199="","",INDEX(상세표[성명],$H199)&amp;"")</f>
        <v/>
      </c>
      <c r="C199">
        <f>IF($H199="","",INDEX(상세표[부서],$H199)&amp;"")</f>
        <v/>
      </c>
      <c r="D199">
        <f>IF($H199="","",IF(IFERROR(INDEX(합계표[직위(통합)],MATCH(INDEX(상세표[사번키],$H199),합계표[사번키],0))&amp;"","")="",INDEX(상세표[직위],$H199)&amp;"",IFERROR(INDEX(합계표[직위(통합)],MATCH(INDEX(상세표[사번키],$H199),합계표[사번키],0))&amp;"","")))</f>
        <v/>
      </c>
      <c r="E199">
        <f>IF($H199="","",COUNTIFS(상세표[사번키],INDEX(상세표[사번키],$H199),상세표[기록월],대상월키))</f>
        <v/>
      </c>
      <c r="F199">
        <f>IF($H199="","",SUMIFS(상세표[기록 시간외],상세표[사번키],INDEX(상세표[사번키],$H199),상세표[기록월],대상월키))</f>
        <v/>
      </c>
      <c r="G199">
        <f>IF($H199="","",SUMIFS(합계표[시스템 합계],합계표[사번키],INDEX(상세표[사번키],$H199)))</f>
        <v/>
      </c>
      <c r="H199" s="4">
        <f>IFERROR(MATCH(194,상세표[발송인원순번],0),"")</f>
        <v/>
      </c>
      <c r="J199">
        <f>IF($U199="","",INDEX(상세표[사번],$U199)&amp;"")</f>
        <v/>
      </c>
      <c r="K199">
        <f>IF($U199="","",INDEX(상세표[성명],$U199)&amp;"")</f>
        <v/>
      </c>
      <c r="L199">
        <f>IF($U199="","",INDEX(상세표[직위],$U199)&amp;"")</f>
        <v/>
      </c>
      <c r="M199">
        <f>IF($U199="","",IF(ISNUMBER(INDEX(상세표[근무일자],$U199)),TEXT(INDEX(상세표[근무일자],$U199),"yyyy-mm-dd"),INDEX(상세표[근무일자],$U199)&amp;""))</f>
        <v/>
      </c>
      <c r="N199">
        <f>IF($U199="","",IF(ISNUMBER(INDEX(상세표[시작],$U199)),TEXT(INDEX(상세표[시작],$U199),"yyyy-mm-dd hh:mm"),INDEX(상세표[시작],$U199)&amp;""))</f>
        <v/>
      </c>
      <c r="O199">
        <f>IF($U199="","",IF(ISNUMBER(INDEX(상세표[종료],$U199)),TEXT(INDEX(상세표[종료],$U199),"yyyy-mm-dd hh:mm"),INDEX(상세표[종료],$U199)&amp;""))</f>
        <v/>
      </c>
      <c r="P199">
        <f>IF($U199="","",INDEX(상세표[06~07시],$U199))</f>
        <v/>
      </c>
      <c r="Q199">
        <f>IF($U199="","",INDEX(상세표[07~18시],$U199))</f>
        <v/>
      </c>
      <c r="R199">
        <f>IF($U199="","",INDEX(상세표[18~22시],$U199))</f>
        <v/>
      </c>
      <c r="S199">
        <f>IF($U199="","",INDEX(상세표[22~06시],$U199))</f>
        <v/>
      </c>
      <c r="T199">
        <f>IF($U199="","",INDEX(상세표[기록 시간외],$U199))</f>
        <v/>
      </c>
      <c r="U199" s="4">
        <f>IFERROR(MATCH(194,상세표[발송순번],0),"")</f>
        <v/>
      </c>
    </row>
    <row r="200">
      <c r="A200">
        <f>IF($H200="","",INDEX(상세표[사번],$H200)&amp;"")</f>
        <v/>
      </c>
      <c r="B200">
        <f>IF($H200="","",INDEX(상세표[성명],$H200)&amp;"")</f>
        <v/>
      </c>
      <c r="C200">
        <f>IF($H200="","",INDEX(상세표[부서],$H200)&amp;"")</f>
        <v/>
      </c>
      <c r="D200">
        <f>IF($H200="","",IF(IFERROR(INDEX(합계표[직위(통합)],MATCH(INDEX(상세표[사번키],$H200),합계표[사번키],0))&amp;"","")="",INDEX(상세표[직위],$H200)&amp;"",IFERROR(INDEX(합계표[직위(통합)],MATCH(INDEX(상세표[사번키],$H200),합계표[사번키],0))&amp;"","")))</f>
        <v/>
      </c>
      <c r="E200">
        <f>IF($H200="","",COUNTIFS(상세표[사번키],INDEX(상세표[사번키],$H200),상세표[기록월],대상월키))</f>
        <v/>
      </c>
      <c r="F200">
        <f>IF($H200="","",SUMIFS(상세표[기록 시간외],상세표[사번키],INDEX(상세표[사번키],$H200),상세표[기록월],대상월키))</f>
        <v/>
      </c>
      <c r="G200">
        <f>IF($H200="","",SUMIFS(합계표[시스템 합계],합계표[사번키],INDEX(상세표[사번키],$H200)))</f>
        <v/>
      </c>
      <c r="H200" s="4">
        <f>IFERROR(MATCH(195,상세표[발송인원순번],0),"")</f>
        <v/>
      </c>
      <c r="J200">
        <f>IF($U200="","",INDEX(상세표[사번],$U200)&amp;"")</f>
        <v/>
      </c>
      <c r="K200">
        <f>IF($U200="","",INDEX(상세표[성명],$U200)&amp;"")</f>
        <v/>
      </c>
      <c r="L200">
        <f>IF($U200="","",INDEX(상세표[직위],$U200)&amp;"")</f>
        <v/>
      </c>
      <c r="M200">
        <f>IF($U200="","",IF(ISNUMBER(INDEX(상세표[근무일자],$U200)),TEXT(INDEX(상세표[근무일자],$U200),"yyyy-mm-dd"),INDEX(상세표[근무일자],$U200)&amp;""))</f>
        <v/>
      </c>
      <c r="N200">
        <f>IF($U200="","",IF(ISNUMBER(INDEX(상세표[시작],$U200)),TEXT(INDEX(상세표[시작],$U200),"yyyy-mm-dd hh:mm"),INDEX(상세표[시작],$U200)&amp;""))</f>
        <v/>
      </c>
      <c r="O200">
        <f>IF($U200="","",IF(ISNUMBER(INDEX(상세표[종료],$U200)),TEXT(INDEX(상세표[종료],$U200),"yyyy-mm-dd hh:mm"),INDEX(상세표[종료],$U200)&amp;""))</f>
        <v/>
      </c>
      <c r="P200">
        <f>IF($U200="","",INDEX(상세표[06~07시],$U200))</f>
        <v/>
      </c>
      <c r="Q200">
        <f>IF($U200="","",INDEX(상세표[07~18시],$U200))</f>
        <v/>
      </c>
      <c r="R200">
        <f>IF($U200="","",INDEX(상세표[18~22시],$U200))</f>
        <v/>
      </c>
      <c r="S200">
        <f>IF($U200="","",INDEX(상세표[22~06시],$U200))</f>
        <v/>
      </c>
      <c r="T200">
        <f>IF($U200="","",INDEX(상세표[기록 시간외],$U200))</f>
        <v/>
      </c>
      <c r="U200" s="4">
        <f>IFERROR(MATCH(195,상세표[발송순번],0),"")</f>
        <v/>
      </c>
    </row>
    <row r="201">
      <c r="A201">
        <f>IF($H201="","",INDEX(상세표[사번],$H201)&amp;"")</f>
        <v/>
      </c>
      <c r="B201">
        <f>IF($H201="","",INDEX(상세표[성명],$H201)&amp;"")</f>
        <v/>
      </c>
      <c r="C201">
        <f>IF($H201="","",INDEX(상세표[부서],$H201)&amp;"")</f>
        <v/>
      </c>
      <c r="D201">
        <f>IF($H201="","",IF(IFERROR(INDEX(합계표[직위(통합)],MATCH(INDEX(상세표[사번키],$H201),합계표[사번키],0))&amp;"","")="",INDEX(상세표[직위],$H201)&amp;"",IFERROR(INDEX(합계표[직위(통합)],MATCH(INDEX(상세표[사번키],$H201),합계표[사번키],0))&amp;"","")))</f>
        <v/>
      </c>
      <c r="E201">
        <f>IF($H201="","",COUNTIFS(상세표[사번키],INDEX(상세표[사번키],$H201),상세표[기록월],대상월키))</f>
        <v/>
      </c>
      <c r="F201">
        <f>IF($H201="","",SUMIFS(상세표[기록 시간외],상세표[사번키],INDEX(상세표[사번키],$H201),상세표[기록월],대상월키))</f>
        <v/>
      </c>
      <c r="G201">
        <f>IF($H201="","",SUMIFS(합계표[시스템 합계],합계표[사번키],INDEX(상세표[사번키],$H201)))</f>
        <v/>
      </c>
      <c r="H201" s="4">
        <f>IFERROR(MATCH(196,상세표[발송인원순번],0),"")</f>
        <v/>
      </c>
      <c r="J201">
        <f>IF($U201="","",INDEX(상세표[사번],$U201)&amp;"")</f>
        <v/>
      </c>
      <c r="K201">
        <f>IF($U201="","",INDEX(상세표[성명],$U201)&amp;"")</f>
        <v/>
      </c>
      <c r="L201">
        <f>IF($U201="","",INDEX(상세표[직위],$U201)&amp;"")</f>
        <v/>
      </c>
      <c r="M201">
        <f>IF($U201="","",IF(ISNUMBER(INDEX(상세표[근무일자],$U201)),TEXT(INDEX(상세표[근무일자],$U201),"yyyy-mm-dd"),INDEX(상세표[근무일자],$U201)&amp;""))</f>
        <v/>
      </c>
      <c r="N201">
        <f>IF($U201="","",IF(ISNUMBER(INDEX(상세표[시작],$U201)),TEXT(INDEX(상세표[시작],$U201),"yyyy-mm-dd hh:mm"),INDEX(상세표[시작],$U201)&amp;""))</f>
        <v/>
      </c>
      <c r="O201">
        <f>IF($U201="","",IF(ISNUMBER(INDEX(상세표[종료],$U201)),TEXT(INDEX(상세표[종료],$U201),"yyyy-mm-dd hh:mm"),INDEX(상세표[종료],$U201)&amp;""))</f>
        <v/>
      </c>
      <c r="P201">
        <f>IF($U201="","",INDEX(상세표[06~07시],$U201))</f>
        <v/>
      </c>
      <c r="Q201">
        <f>IF($U201="","",INDEX(상세표[07~18시],$U201))</f>
        <v/>
      </c>
      <c r="R201">
        <f>IF($U201="","",INDEX(상세표[18~22시],$U201))</f>
        <v/>
      </c>
      <c r="S201">
        <f>IF($U201="","",INDEX(상세표[22~06시],$U201))</f>
        <v/>
      </c>
      <c r="T201">
        <f>IF($U201="","",INDEX(상세표[기록 시간외],$U201))</f>
        <v/>
      </c>
      <c r="U201" s="4">
        <f>IFERROR(MATCH(196,상세표[발송순번],0),"")</f>
        <v/>
      </c>
    </row>
    <row r="202">
      <c r="A202">
        <f>IF($H202="","",INDEX(상세표[사번],$H202)&amp;"")</f>
        <v/>
      </c>
      <c r="B202">
        <f>IF($H202="","",INDEX(상세표[성명],$H202)&amp;"")</f>
        <v/>
      </c>
      <c r="C202">
        <f>IF($H202="","",INDEX(상세표[부서],$H202)&amp;"")</f>
        <v/>
      </c>
      <c r="D202">
        <f>IF($H202="","",IF(IFERROR(INDEX(합계표[직위(통합)],MATCH(INDEX(상세표[사번키],$H202),합계표[사번키],0))&amp;"","")="",INDEX(상세표[직위],$H202)&amp;"",IFERROR(INDEX(합계표[직위(통합)],MATCH(INDEX(상세표[사번키],$H202),합계표[사번키],0))&amp;"","")))</f>
        <v/>
      </c>
      <c r="E202">
        <f>IF($H202="","",COUNTIFS(상세표[사번키],INDEX(상세표[사번키],$H202),상세표[기록월],대상월키))</f>
        <v/>
      </c>
      <c r="F202">
        <f>IF($H202="","",SUMIFS(상세표[기록 시간외],상세표[사번키],INDEX(상세표[사번키],$H202),상세표[기록월],대상월키))</f>
        <v/>
      </c>
      <c r="G202">
        <f>IF($H202="","",SUMIFS(합계표[시스템 합계],합계표[사번키],INDEX(상세표[사번키],$H202)))</f>
        <v/>
      </c>
      <c r="H202" s="4">
        <f>IFERROR(MATCH(197,상세표[발송인원순번],0),"")</f>
        <v/>
      </c>
      <c r="J202">
        <f>IF($U202="","",INDEX(상세표[사번],$U202)&amp;"")</f>
        <v/>
      </c>
      <c r="K202">
        <f>IF($U202="","",INDEX(상세표[성명],$U202)&amp;"")</f>
        <v/>
      </c>
      <c r="L202">
        <f>IF($U202="","",INDEX(상세표[직위],$U202)&amp;"")</f>
        <v/>
      </c>
      <c r="M202">
        <f>IF($U202="","",IF(ISNUMBER(INDEX(상세표[근무일자],$U202)),TEXT(INDEX(상세표[근무일자],$U202),"yyyy-mm-dd"),INDEX(상세표[근무일자],$U202)&amp;""))</f>
        <v/>
      </c>
      <c r="N202">
        <f>IF($U202="","",IF(ISNUMBER(INDEX(상세표[시작],$U202)),TEXT(INDEX(상세표[시작],$U202),"yyyy-mm-dd hh:mm"),INDEX(상세표[시작],$U202)&amp;""))</f>
        <v/>
      </c>
      <c r="O202">
        <f>IF($U202="","",IF(ISNUMBER(INDEX(상세표[종료],$U202)),TEXT(INDEX(상세표[종료],$U202),"yyyy-mm-dd hh:mm"),INDEX(상세표[종료],$U202)&amp;""))</f>
        <v/>
      </c>
      <c r="P202">
        <f>IF($U202="","",INDEX(상세표[06~07시],$U202))</f>
        <v/>
      </c>
      <c r="Q202">
        <f>IF($U202="","",INDEX(상세표[07~18시],$U202))</f>
        <v/>
      </c>
      <c r="R202">
        <f>IF($U202="","",INDEX(상세표[18~22시],$U202))</f>
        <v/>
      </c>
      <c r="S202">
        <f>IF($U202="","",INDEX(상세표[22~06시],$U202))</f>
        <v/>
      </c>
      <c r="T202">
        <f>IF($U202="","",INDEX(상세표[기록 시간외],$U202))</f>
        <v/>
      </c>
      <c r="U202" s="4">
        <f>IFERROR(MATCH(197,상세표[발송순번],0),"")</f>
        <v/>
      </c>
    </row>
    <row r="203">
      <c r="A203">
        <f>IF($H203="","",INDEX(상세표[사번],$H203)&amp;"")</f>
        <v/>
      </c>
      <c r="B203">
        <f>IF($H203="","",INDEX(상세표[성명],$H203)&amp;"")</f>
        <v/>
      </c>
      <c r="C203">
        <f>IF($H203="","",INDEX(상세표[부서],$H203)&amp;"")</f>
        <v/>
      </c>
      <c r="D203">
        <f>IF($H203="","",IF(IFERROR(INDEX(합계표[직위(통합)],MATCH(INDEX(상세표[사번키],$H203),합계표[사번키],0))&amp;"","")="",INDEX(상세표[직위],$H203)&amp;"",IFERROR(INDEX(합계표[직위(통합)],MATCH(INDEX(상세표[사번키],$H203),합계표[사번키],0))&amp;"","")))</f>
        <v/>
      </c>
      <c r="E203">
        <f>IF($H203="","",COUNTIFS(상세표[사번키],INDEX(상세표[사번키],$H203),상세표[기록월],대상월키))</f>
        <v/>
      </c>
      <c r="F203">
        <f>IF($H203="","",SUMIFS(상세표[기록 시간외],상세표[사번키],INDEX(상세표[사번키],$H203),상세표[기록월],대상월키))</f>
        <v/>
      </c>
      <c r="G203">
        <f>IF($H203="","",SUMIFS(합계표[시스템 합계],합계표[사번키],INDEX(상세표[사번키],$H203)))</f>
        <v/>
      </c>
      <c r="H203" s="4">
        <f>IFERROR(MATCH(198,상세표[발송인원순번],0),"")</f>
        <v/>
      </c>
      <c r="J203">
        <f>IF($U203="","",INDEX(상세표[사번],$U203)&amp;"")</f>
        <v/>
      </c>
      <c r="K203">
        <f>IF($U203="","",INDEX(상세표[성명],$U203)&amp;"")</f>
        <v/>
      </c>
      <c r="L203">
        <f>IF($U203="","",INDEX(상세표[직위],$U203)&amp;"")</f>
        <v/>
      </c>
      <c r="M203">
        <f>IF($U203="","",IF(ISNUMBER(INDEX(상세표[근무일자],$U203)),TEXT(INDEX(상세표[근무일자],$U203),"yyyy-mm-dd"),INDEX(상세표[근무일자],$U203)&amp;""))</f>
        <v/>
      </c>
      <c r="N203">
        <f>IF($U203="","",IF(ISNUMBER(INDEX(상세표[시작],$U203)),TEXT(INDEX(상세표[시작],$U203),"yyyy-mm-dd hh:mm"),INDEX(상세표[시작],$U203)&amp;""))</f>
        <v/>
      </c>
      <c r="O203">
        <f>IF($U203="","",IF(ISNUMBER(INDEX(상세표[종료],$U203)),TEXT(INDEX(상세표[종료],$U203),"yyyy-mm-dd hh:mm"),INDEX(상세표[종료],$U203)&amp;""))</f>
        <v/>
      </c>
      <c r="P203">
        <f>IF($U203="","",INDEX(상세표[06~07시],$U203))</f>
        <v/>
      </c>
      <c r="Q203">
        <f>IF($U203="","",INDEX(상세표[07~18시],$U203))</f>
        <v/>
      </c>
      <c r="R203">
        <f>IF($U203="","",INDEX(상세표[18~22시],$U203))</f>
        <v/>
      </c>
      <c r="S203">
        <f>IF($U203="","",INDEX(상세표[22~06시],$U203))</f>
        <v/>
      </c>
      <c r="T203">
        <f>IF($U203="","",INDEX(상세표[기록 시간외],$U203))</f>
        <v/>
      </c>
      <c r="U203" s="4">
        <f>IFERROR(MATCH(198,상세표[발송순번],0),"")</f>
        <v/>
      </c>
    </row>
    <row r="204">
      <c r="A204">
        <f>IF($H204="","",INDEX(상세표[사번],$H204)&amp;"")</f>
        <v/>
      </c>
      <c r="B204">
        <f>IF($H204="","",INDEX(상세표[성명],$H204)&amp;"")</f>
        <v/>
      </c>
      <c r="C204">
        <f>IF($H204="","",INDEX(상세표[부서],$H204)&amp;"")</f>
        <v/>
      </c>
      <c r="D204">
        <f>IF($H204="","",IF(IFERROR(INDEX(합계표[직위(통합)],MATCH(INDEX(상세표[사번키],$H204),합계표[사번키],0))&amp;"","")="",INDEX(상세표[직위],$H204)&amp;"",IFERROR(INDEX(합계표[직위(통합)],MATCH(INDEX(상세표[사번키],$H204),합계표[사번키],0))&amp;"","")))</f>
        <v/>
      </c>
      <c r="E204">
        <f>IF($H204="","",COUNTIFS(상세표[사번키],INDEX(상세표[사번키],$H204),상세표[기록월],대상월키))</f>
        <v/>
      </c>
      <c r="F204">
        <f>IF($H204="","",SUMIFS(상세표[기록 시간외],상세표[사번키],INDEX(상세표[사번키],$H204),상세표[기록월],대상월키))</f>
        <v/>
      </c>
      <c r="G204">
        <f>IF($H204="","",SUMIFS(합계표[시스템 합계],합계표[사번키],INDEX(상세표[사번키],$H204)))</f>
        <v/>
      </c>
      <c r="H204" s="4">
        <f>IFERROR(MATCH(199,상세표[발송인원순번],0),"")</f>
        <v/>
      </c>
      <c r="J204">
        <f>IF($U204="","",INDEX(상세표[사번],$U204)&amp;"")</f>
        <v/>
      </c>
      <c r="K204">
        <f>IF($U204="","",INDEX(상세표[성명],$U204)&amp;"")</f>
        <v/>
      </c>
      <c r="L204">
        <f>IF($U204="","",INDEX(상세표[직위],$U204)&amp;"")</f>
        <v/>
      </c>
      <c r="M204">
        <f>IF($U204="","",IF(ISNUMBER(INDEX(상세표[근무일자],$U204)),TEXT(INDEX(상세표[근무일자],$U204),"yyyy-mm-dd"),INDEX(상세표[근무일자],$U204)&amp;""))</f>
        <v/>
      </c>
      <c r="N204">
        <f>IF($U204="","",IF(ISNUMBER(INDEX(상세표[시작],$U204)),TEXT(INDEX(상세표[시작],$U204),"yyyy-mm-dd hh:mm"),INDEX(상세표[시작],$U204)&amp;""))</f>
        <v/>
      </c>
      <c r="O204">
        <f>IF($U204="","",IF(ISNUMBER(INDEX(상세표[종료],$U204)),TEXT(INDEX(상세표[종료],$U204),"yyyy-mm-dd hh:mm"),INDEX(상세표[종료],$U204)&amp;""))</f>
        <v/>
      </c>
      <c r="P204">
        <f>IF($U204="","",INDEX(상세표[06~07시],$U204))</f>
        <v/>
      </c>
      <c r="Q204">
        <f>IF($U204="","",INDEX(상세표[07~18시],$U204))</f>
        <v/>
      </c>
      <c r="R204">
        <f>IF($U204="","",INDEX(상세표[18~22시],$U204))</f>
        <v/>
      </c>
      <c r="S204">
        <f>IF($U204="","",INDEX(상세표[22~06시],$U204))</f>
        <v/>
      </c>
      <c r="T204">
        <f>IF($U204="","",INDEX(상세표[기록 시간외],$U204))</f>
        <v/>
      </c>
      <c r="U204" s="4">
        <f>IFERROR(MATCH(199,상세표[발송순번],0),"")</f>
        <v/>
      </c>
    </row>
    <row r="205">
      <c r="A205">
        <f>IF($H205="","",INDEX(상세표[사번],$H205)&amp;"")</f>
        <v/>
      </c>
      <c r="B205">
        <f>IF($H205="","",INDEX(상세표[성명],$H205)&amp;"")</f>
        <v/>
      </c>
      <c r="C205">
        <f>IF($H205="","",INDEX(상세표[부서],$H205)&amp;"")</f>
        <v/>
      </c>
      <c r="D205">
        <f>IF($H205="","",IF(IFERROR(INDEX(합계표[직위(통합)],MATCH(INDEX(상세표[사번키],$H205),합계표[사번키],0))&amp;"","")="",INDEX(상세표[직위],$H205)&amp;"",IFERROR(INDEX(합계표[직위(통합)],MATCH(INDEX(상세표[사번키],$H205),합계표[사번키],0))&amp;"","")))</f>
        <v/>
      </c>
      <c r="E205">
        <f>IF($H205="","",COUNTIFS(상세표[사번키],INDEX(상세표[사번키],$H205),상세표[기록월],대상월키))</f>
        <v/>
      </c>
      <c r="F205">
        <f>IF($H205="","",SUMIFS(상세표[기록 시간외],상세표[사번키],INDEX(상세표[사번키],$H205),상세표[기록월],대상월키))</f>
        <v/>
      </c>
      <c r="G205">
        <f>IF($H205="","",SUMIFS(합계표[시스템 합계],합계표[사번키],INDEX(상세표[사번키],$H205)))</f>
        <v/>
      </c>
      <c r="H205" s="4">
        <f>IFERROR(MATCH(200,상세표[발송인원순번],0),"")</f>
        <v/>
      </c>
      <c r="J205">
        <f>IF($U205="","",INDEX(상세표[사번],$U205)&amp;"")</f>
        <v/>
      </c>
      <c r="K205">
        <f>IF($U205="","",INDEX(상세표[성명],$U205)&amp;"")</f>
        <v/>
      </c>
      <c r="L205">
        <f>IF($U205="","",INDEX(상세표[직위],$U205)&amp;"")</f>
        <v/>
      </c>
      <c r="M205">
        <f>IF($U205="","",IF(ISNUMBER(INDEX(상세표[근무일자],$U205)),TEXT(INDEX(상세표[근무일자],$U205),"yyyy-mm-dd"),INDEX(상세표[근무일자],$U205)&amp;""))</f>
        <v/>
      </c>
      <c r="N205">
        <f>IF($U205="","",IF(ISNUMBER(INDEX(상세표[시작],$U205)),TEXT(INDEX(상세표[시작],$U205),"yyyy-mm-dd hh:mm"),INDEX(상세표[시작],$U205)&amp;""))</f>
        <v/>
      </c>
      <c r="O205">
        <f>IF($U205="","",IF(ISNUMBER(INDEX(상세표[종료],$U205)),TEXT(INDEX(상세표[종료],$U205),"yyyy-mm-dd hh:mm"),INDEX(상세표[종료],$U205)&amp;""))</f>
        <v/>
      </c>
      <c r="P205">
        <f>IF($U205="","",INDEX(상세표[06~07시],$U205))</f>
        <v/>
      </c>
      <c r="Q205">
        <f>IF($U205="","",INDEX(상세표[07~18시],$U205))</f>
        <v/>
      </c>
      <c r="R205">
        <f>IF($U205="","",INDEX(상세표[18~22시],$U205))</f>
        <v/>
      </c>
      <c r="S205">
        <f>IF($U205="","",INDEX(상세표[22~06시],$U205))</f>
        <v/>
      </c>
      <c r="T205">
        <f>IF($U205="","",INDEX(상세표[기록 시간외],$U205))</f>
        <v/>
      </c>
      <c r="U205" s="4">
        <f>IFERROR(MATCH(200,상세표[발송순번],0),"")</f>
        <v/>
      </c>
    </row>
    <row r="206">
      <c r="A206">
        <f>IF($H206="","",INDEX(상세표[사번],$H206)&amp;"")</f>
        <v/>
      </c>
      <c r="B206">
        <f>IF($H206="","",INDEX(상세표[성명],$H206)&amp;"")</f>
        <v/>
      </c>
      <c r="C206">
        <f>IF($H206="","",INDEX(상세표[부서],$H206)&amp;"")</f>
        <v/>
      </c>
      <c r="D206">
        <f>IF($H206="","",IF(IFERROR(INDEX(합계표[직위(통합)],MATCH(INDEX(상세표[사번키],$H206),합계표[사번키],0))&amp;"","")="",INDEX(상세표[직위],$H206)&amp;"",IFERROR(INDEX(합계표[직위(통합)],MATCH(INDEX(상세표[사번키],$H206),합계표[사번키],0))&amp;"","")))</f>
        <v/>
      </c>
      <c r="E206">
        <f>IF($H206="","",COUNTIFS(상세표[사번키],INDEX(상세표[사번키],$H206),상세표[기록월],대상월키))</f>
        <v/>
      </c>
      <c r="F206">
        <f>IF($H206="","",SUMIFS(상세표[기록 시간외],상세표[사번키],INDEX(상세표[사번키],$H206),상세표[기록월],대상월키))</f>
        <v/>
      </c>
      <c r="G206">
        <f>IF($H206="","",SUMIFS(합계표[시스템 합계],합계표[사번키],INDEX(상세표[사번키],$H206)))</f>
        <v/>
      </c>
      <c r="H206" s="4">
        <f>IFERROR(MATCH(201,상세표[발송인원순번],0),"")</f>
        <v/>
      </c>
      <c r="J206">
        <f>IF($U206="","",INDEX(상세표[사번],$U206)&amp;"")</f>
        <v/>
      </c>
      <c r="K206">
        <f>IF($U206="","",INDEX(상세표[성명],$U206)&amp;"")</f>
        <v/>
      </c>
      <c r="L206">
        <f>IF($U206="","",INDEX(상세표[직위],$U206)&amp;"")</f>
        <v/>
      </c>
      <c r="M206">
        <f>IF($U206="","",IF(ISNUMBER(INDEX(상세표[근무일자],$U206)),TEXT(INDEX(상세표[근무일자],$U206),"yyyy-mm-dd"),INDEX(상세표[근무일자],$U206)&amp;""))</f>
        <v/>
      </c>
      <c r="N206">
        <f>IF($U206="","",IF(ISNUMBER(INDEX(상세표[시작],$U206)),TEXT(INDEX(상세표[시작],$U206),"yyyy-mm-dd hh:mm"),INDEX(상세표[시작],$U206)&amp;""))</f>
        <v/>
      </c>
      <c r="O206">
        <f>IF($U206="","",IF(ISNUMBER(INDEX(상세표[종료],$U206)),TEXT(INDEX(상세표[종료],$U206),"yyyy-mm-dd hh:mm"),INDEX(상세표[종료],$U206)&amp;""))</f>
        <v/>
      </c>
      <c r="P206">
        <f>IF($U206="","",INDEX(상세표[06~07시],$U206))</f>
        <v/>
      </c>
      <c r="Q206">
        <f>IF($U206="","",INDEX(상세표[07~18시],$U206))</f>
        <v/>
      </c>
      <c r="R206">
        <f>IF($U206="","",INDEX(상세표[18~22시],$U206))</f>
        <v/>
      </c>
      <c r="S206">
        <f>IF($U206="","",INDEX(상세표[22~06시],$U206))</f>
        <v/>
      </c>
      <c r="T206">
        <f>IF($U206="","",INDEX(상세표[기록 시간외],$U206))</f>
        <v/>
      </c>
      <c r="U206" s="4">
        <f>IFERROR(MATCH(201,상세표[발송순번],0),"")</f>
        <v/>
      </c>
    </row>
    <row r="207">
      <c r="A207">
        <f>IF($H207="","",INDEX(상세표[사번],$H207)&amp;"")</f>
        <v/>
      </c>
      <c r="B207">
        <f>IF($H207="","",INDEX(상세표[성명],$H207)&amp;"")</f>
        <v/>
      </c>
      <c r="C207">
        <f>IF($H207="","",INDEX(상세표[부서],$H207)&amp;"")</f>
        <v/>
      </c>
      <c r="D207">
        <f>IF($H207="","",IF(IFERROR(INDEX(합계표[직위(통합)],MATCH(INDEX(상세표[사번키],$H207),합계표[사번키],0))&amp;"","")="",INDEX(상세표[직위],$H207)&amp;"",IFERROR(INDEX(합계표[직위(통합)],MATCH(INDEX(상세표[사번키],$H207),합계표[사번키],0))&amp;"","")))</f>
        <v/>
      </c>
      <c r="E207">
        <f>IF($H207="","",COUNTIFS(상세표[사번키],INDEX(상세표[사번키],$H207),상세표[기록월],대상월키))</f>
        <v/>
      </c>
      <c r="F207">
        <f>IF($H207="","",SUMIFS(상세표[기록 시간외],상세표[사번키],INDEX(상세표[사번키],$H207),상세표[기록월],대상월키))</f>
        <v/>
      </c>
      <c r="G207">
        <f>IF($H207="","",SUMIFS(합계표[시스템 합계],합계표[사번키],INDEX(상세표[사번키],$H207)))</f>
        <v/>
      </c>
      <c r="H207" s="4">
        <f>IFERROR(MATCH(202,상세표[발송인원순번],0),"")</f>
        <v/>
      </c>
      <c r="J207">
        <f>IF($U207="","",INDEX(상세표[사번],$U207)&amp;"")</f>
        <v/>
      </c>
      <c r="K207">
        <f>IF($U207="","",INDEX(상세표[성명],$U207)&amp;"")</f>
        <v/>
      </c>
      <c r="L207">
        <f>IF($U207="","",INDEX(상세표[직위],$U207)&amp;"")</f>
        <v/>
      </c>
      <c r="M207">
        <f>IF($U207="","",IF(ISNUMBER(INDEX(상세표[근무일자],$U207)),TEXT(INDEX(상세표[근무일자],$U207),"yyyy-mm-dd"),INDEX(상세표[근무일자],$U207)&amp;""))</f>
        <v/>
      </c>
      <c r="N207">
        <f>IF($U207="","",IF(ISNUMBER(INDEX(상세표[시작],$U207)),TEXT(INDEX(상세표[시작],$U207),"yyyy-mm-dd hh:mm"),INDEX(상세표[시작],$U207)&amp;""))</f>
        <v/>
      </c>
      <c r="O207">
        <f>IF($U207="","",IF(ISNUMBER(INDEX(상세표[종료],$U207)),TEXT(INDEX(상세표[종료],$U207),"yyyy-mm-dd hh:mm"),INDEX(상세표[종료],$U207)&amp;""))</f>
        <v/>
      </c>
      <c r="P207">
        <f>IF($U207="","",INDEX(상세표[06~07시],$U207))</f>
        <v/>
      </c>
      <c r="Q207">
        <f>IF($U207="","",INDEX(상세표[07~18시],$U207))</f>
        <v/>
      </c>
      <c r="R207">
        <f>IF($U207="","",INDEX(상세표[18~22시],$U207))</f>
        <v/>
      </c>
      <c r="S207">
        <f>IF($U207="","",INDEX(상세표[22~06시],$U207))</f>
        <v/>
      </c>
      <c r="T207">
        <f>IF($U207="","",INDEX(상세표[기록 시간외],$U207))</f>
        <v/>
      </c>
      <c r="U207" s="4">
        <f>IFERROR(MATCH(202,상세표[발송순번],0),"")</f>
        <v/>
      </c>
    </row>
    <row r="208">
      <c r="A208">
        <f>IF($H208="","",INDEX(상세표[사번],$H208)&amp;"")</f>
        <v/>
      </c>
      <c r="B208">
        <f>IF($H208="","",INDEX(상세표[성명],$H208)&amp;"")</f>
        <v/>
      </c>
      <c r="C208">
        <f>IF($H208="","",INDEX(상세표[부서],$H208)&amp;"")</f>
        <v/>
      </c>
      <c r="D208">
        <f>IF($H208="","",IF(IFERROR(INDEX(합계표[직위(통합)],MATCH(INDEX(상세표[사번키],$H208),합계표[사번키],0))&amp;"","")="",INDEX(상세표[직위],$H208)&amp;"",IFERROR(INDEX(합계표[직위(통합)],MATCH(INDEX(상세표[사번키],$H208),합계표[사번키],0))&amp;"","")))</f>
        <v/>
      </c>
      <c r="E208">
        <f>IF($H208="","",COUNTIFS(상세표[사번키],INDEX(상세표[사번키],$H208),상세표[기록월],대상월키))</f>
        <v/>
      </c>
      <c r="F208">
        <f>IF($H208="","",SUMIFS(상세표[기록 시간외],상세표[사번키],INDEX(상세표[사번키],$H208),상세표[기록월],대상월키))</f>
        <v/>
      </c>
      <c r="G208">
        <f>IF($H208="","",SUMIFS(합계표[시스템 합계],합계표[사번키],INDEX(상세표[사번키],$H208)))</f>
        <v/>
      </c>
      <c r="H208" s="4">
        <f>IFERROR(MATCH(203,상세표[발송인원순번],0),"")</f>
        <v/>
      </c>
      <c r="J208">
        <f>IF($U208="","",INDEX(상세표[사번],$U208)&amp;"")</f>
        <v/>
      </c>
      <c r="K208">
        <f>IF($U208="","",INDEX(상세표[성명],$U208)&amp;"")</f>
        <v/>
      </c>
      <c r="L208">
        <f>IF($U208="","",INDEX(상세표[직위],$U208)&amp;"")</f>
        <v/>
      </c>
      <c r="M208">
        <f>IF($U208="","",IF(ISNUMBER(INDEX(상세표[근무일자],$U208)),TEXT(INDEX(상세표[근무일자],$U208),"yyyy-mm-dd"),INDEX(상세표[근무일자],$U208)&amp;""))</f>
        <v/>
      </c>
      <c r="N208">
        <f>IF($U208="","",IF(ISNUMBER(INDEX(상세표[시작],$U208)),TEXT(INDEX(상세표[시작],$U208),"yyyy-mm-dd hh:mm"),INDEX(상세표[시작],$U208)&amp;""))</f>
        <v/>
      </c>
      <c r="O208">
        <f>IF($U208="","",IF(ISNUMBER(INDEX(상세표[종료],$U208)),TEXT(INDEX(상세표[종료],$U208),"yyyy-mm-dd hh:mm"),INDEX(상세표[종료],$U208)&amp;""))</f>
        <v/>
      </c>
      <c r="P208">
        <f>IF($U208="","",INDEX(상세표[06~07시],$U208))</f>
        <v/>
      </c>
      <c r="Q208">
        <f>IF($U208="","",INDEX(상세표[07~18시],$U208))</f>
        <v/>
      </c>
      <c r="R208">
        <f>IF($U208="","",INDEX(상세표[18~22시],$U208))</f>
        <v/>
      </c>
      <c r="S208">
        <f>IF($U208="","",INDEX(상세표[22~06시],$U208))</f>
        <v/>
      </c>
      <c r="T208">
        <f>IF($U208="","",INDEX(상세표[기록 시간외],$U208))</f>
        <v/>
      </c>
      <c r="U208" s="4">
        <f>IFERROR(MATCH(203,상세표[발송순번],0),"")</f>
        <v/>
      </c>
    </row>
    <row r="209">
      <c r="A209">
        <f>IF($H209="","",INDEX(상세표[사번],$H209)&amp;"")</f>
        <v/>
      </c>
      <c r="B209">
        <f>IF($H209="","",INDEX(상세표[성명],$H209)&amp;"")</f>
        <v/>
      </c>
      <c r="C209">
        <f>IF($H209="","",INDEX(상세표[부서],$H209)&amp;"")</f>
        <v/>
      </c>
      <c r="D209">
        <f>IF($H209="","",IF(IFERROR(INDEX(합계표[직위(통합)],MATCH(INDEX(상세표[사번키],$H209),합계표[사번키],0))&amp;"","")="",INDEX(상세표[직위],$H209)&amp;"",IFERROR(INDEX(합계표[직위(통합)],MATCH(INDEX(상세표[사번키],$H209),합계표[사번키],0))&amp;"","")))</f>
        <v/>
      </c>
      <c r="E209">
        <f>IF($H209="","",COUNTIFS(상세표[사번키],INDEX(상세표[사번키],$H209),상세표[기록월],대상월키))</f>
        <v/>
      </c>
      <c r="F209">
        <f>IF($H209="","",SUMIFS(상세표[기록 시간외],상세표[사번키],INDEX(상세표[사번키],$H209),상세표[기록월],대상월키))</f>
        <v/>
      </c>
      <c r="G209">
        <f>IF($H209="","",SUMIFS(합계표[시스템 합계],합계표[사번키],INDEX(상세표[사번키],$H209)))</f>
        <v/>
      </c>
      <c r="H209" s="4">
        <f>IFERROR(MATCH(204,상세표[발송인원순번],0),"")</f>
        <v/>
      </c>
      <c r="J209">
        <f>IF($U209="","",INDEX(상세표[사번],$U209)&amp;"")</f>
        <v/>
      </c>
      <c r="K209">
        <f>IF($U209="","",INDEX(상세표[성명],$U209)&amp;"")</f>
        <v/>
      </c>
      <c r="L209">
        <f>IF($U209="","",INDEX(상세표[직위],$U209)&amp;"")</f>
        <v/>
      </c>
      <c r="M209">
        <f>IF($U209="","",IF(ISNUMBER(INDEX(상세표[근무일자],$U209)),TEXT(INDEX(상세표[근무일자],$U209),"yyyy-mm-dd"),INDEX(상세표[근무일자],$U209)&amp;""))</f>
        <v/>
      </c>
      <c r="N209">
        <f>IF($U209="","",IF(ISNUMBER(INDEX(상세표[시작],$U209)),TEXT(INDEX(상세표[시작],$U209),"yyyy-mm-dd hh:mm"),INDEX(상세표[시작],$U209)&amp;""))</f>
        <v/>
      </c>
      <c r="O209">
        <f>IF($U209="","",IF(ISNUMBER(INDEX(상세표[종료],$U209)),TEXT(INDEX(상세표[종료],$U209),"yyyy-mm-dd hh:mm"),INDEX(상세표[종료],$U209)&amp;""))</f>
        <v/>
      </c>
      <c r="P209">
        <f>IF($U209="","",INDEX(상세표[06~07시],$U209))</f>
        <v/>
      </c>
      <c r="Q209">
        <f>IF($U209="","",INDEX(상세표[07~18시],$U209))</f>
        <v/>
      </c>
      <c r="R209">
        <f>IF($U209="","",INDEX(상세표[18~22시],$U209))</f>
        <v/>
      </c>
      <c r="S209">
        <f>IF($U209="","",INDEX(상세표[22~06시],$U209))</f>
        <v/>
      </c>
      <c r="T209">
        <f>IF($U209="","",INDEX(상세표[기록 시간외],$U209))</f>
        <v/>
      </c>
      <c r="U209" s="4">
        <f>IFERROR(MATCH(204,상세표[발송순번],0),"")</f>
        <v/>
      </c>
    </row>
    <row r="210">
      <c r="A210">
        <f>IF($H210="","",INDEX(상세표[사번],$H210)&amp;"")</f>
        <v/>
      </c>
      <c r="B210">
        <f>IF($H210="","",INDEX(상세표[성명],$H210)&amp;"")</f>
        <v/>
      </c>
      <c r="C210">
        <f>IF($H210="","",INDEX(상세표[부서],$H210)&amp;"")</f>
        <v/>
      </c>
      <c r="D210">
        <f>IF($H210="","",IF(IFERROR(INDEX(합계표[직위(통합)],MATCH(INDEX(상세표[사번키],$H210),합계표[사번키],0))&amp;"","")="",INDEX(상세표[직위],$H210)&amp;"",IFERROR(INDEX(합계표[직위(통합)],MATCH(INDEX(상세표[사번키],$H210),합계표[사번키],0))&amp;"","")))</f>
        <v/>
      </c>
      <c r="E210">
        <f>IF($H210="","",COUNTIFS(상세표[사번키],INDEX(상세표[사번키],$H210),상세표[기록월],대상월키))</f>
        <v/>
      </c>
      <c r="F210">
        <f>IF($H210="","",SUMIFS(상세표[기록 시간외],상세표[사번키],INDEX(상세표[사번키],$H210),상세표[기록월],대상월키))</f>
        <v/>
      </c>
      <c r="G210">
        <f>IF($H210="","",SUMIFS(합계표[시스템 합계],합계표[사번키],INDEX(상세표[사번키],$H210)))</f>
        <v/>
      </c>
      <c r="H210" s="4">
        <f>IFERROR(MATCH(205,상세표[발송인원순번],0),"")</f>
        <v/>
      </c>
      <c r="J210">
        <f>IF($U210="","",INDEX(상세표[사번],$U210)&amp;"")</f>
        <v/>
      </c>
      <c r="K210">
        <f>IF($U210="","",INDEX(상세표[성명],$U210)&amp;"")</f>
        <v/>
      </c>
      <c r="L210">
        <f>IF($U210="","",INDEX(상세표[직위],$U210)&amp;"")</f>
        <v/>
      </c>
      <c r="M210">
        <f>IF($U210="","",IF(ISNUMBER(INDEX(상세표[근무일자],$U210)),TEXT(INDEX(상세표[근무일자],$U210),"yyyy-mm-dd"),INDEX(상세표[근무일자],$U210)&amp;""))</f>
        <v/>
      </c>
      <c r="N210">
        <f>IF($U210="","",IF(ISNUMBER(INDEX(상세표[시작],$U210)),TEXT(INDEX(상세표[시작],$U210),"yyyy-mm-dd hh:mm"),INDEX(상세표[시작],$U210)&amp;""))</f>
        <v/>
      </c>
      <c r="O210">
        <f>IF($U210="","",IF(ISNUMBER(INDEX(상세표[종료],$U210)),TEXT(INDEX(상세표[종료],$U210),"yyyy-mm-dd hh:mm"),INDEX(상세표[종료],$U210)&amp;""))</f>
        <v/>
      </c>
      <c r="P210">
        <f>IF($U210="","",INDEX(상세표[06~07시],$U210))</f>
        <v/>
      </c>
      <c r="Q210">
        <f>IF($U210="","",INDEX(상세표[07~18시],$U210))</f>
        <v/>
      </c>
      <c r="R210">
        <f>IF($U210="","",INDEX(상세표[18~22시],$U210))</f>
        <v/>
      </c>
      <c r="S210">
        <f>IF($U210="","",INDEX(상세표[22~06시],$U210))</f>
        <v/>
      </c>
      <c r="T210">
        <f>IF($U210="","",INDEX(상세표[기록 시간외],$U210))</f>
        <v/>
      </c>
      <c r="U210" s="4">
        <f>IFERROR(MATCH(205,상세표[발송순번],0),"")</f>
        <v/>
      </c>
    </row>
    <row r="211">
      <c r="A211">
        <f>IF($H211="","",INDEX(상세표[사번],$H211)&amp;"")</f>
        <v/>
      </c>
      <c r="B211">
        <f>IF($H211="","",INDEX(상세표[성명],$H211)&amp;"")</f>
        <v/>
      </c>
      <c r="C211">
        <f>IF($H211="","",INDEX(상세표[부서],$H211)&amp;"")</f>
        <v/>
      </c>
      <c r="D211">
        <f>IF($H211="","",IF(IFERROR(INDEX(합계표[직위(통합)],MATCH(INDEX(상세표[사번키],$H211),합계표[사번키],0))&amp;"","")="",INDEX(상세표[직위],$H211)&amp;"",IFERROR(INDEX(합계표[직위(통합)],MATCH(INDEX(상세표[사번키],$H211),합계표[사번키],0))&amp;"","")))</f>
        <v/>
      </c>
      <c r="E211">
        <f>IF($H211="","",COUNTIFS(상세표[사번키],INDEX(상세표[사번키],$H211),상세표[기록월],대상월키))</f>
        <v/>
      </c>
      <c r="F211">
        <f>IF($H211="","",SUMIFS(상세표[기록 시간외],상세표[사번키],INDEX(상세표[사번키],$H211),상세표[기록월],대상월키))</f>
        <v/>
      </c>
      <c r="G211">
        <f>IF($H211="","",SUMIFS(합계표[시스템 합계],합계표[사번키],INDEX(상세표[사번키],$H211)))</f>
        <v/>
      </c>
      <c r="H211" s="4">
        <f>IFERROR(MATCH(206,상세표[발송인원순번],0),"")</f>
        <v/>
      </c>
      <c r="J211">
        <f>IF($U211="","",INDEX(상세표[사번],$U211)&amp;"")</f>
        <v/>
      </c>
      <c r="K211">
        <f>IF($U211="","",INDEX(상세표[성명],$U211)&amp;"")</f>
        <v/>
      </c>
      <c r="L211">
        <f>IF($U211="","",INDEX(상세표[직위],$U211)&amp;"")</f>
        <v/>
      </c>
      <c r="M211">
        <f>IF($U211="","",IF(ISNUMBER(INDEX(상세표[근무일자],$U211)),TEXT(INDEX(상세표[근무일자],$U211),"yyyy-mm-dd"),INDEX(상세표[근무일자],$U211)&amp;""))</f>
        <v/>
      </c>
      <c r="N211">
        <f>IF($U211="","",IF(ISNUMBER(INDEX(상세표[시작],$U211)),TEXT(INDEX(상세표[시작],$U211),"yyyy-mm-dd hh:mm"),INDEX(상세표[시작],$U211)&amp;""))</f>
        <v/>
      </c>
      <c r="O211">
        <f>IF($U211="","",IF(ISNUMBER(INDEX(상세표[종료],$U211)),TEXT(INDEX(상세표[종료],$U211),"yyyy-mm-dd hh:mm"),INDEX(상세표[종료],$U211)&amp;""))</f>
        <v/>
      </c>
      <c r="P211">
        <f>IF($U211="","",INDEX(상세표[06~07시],$U211))</f>
        <v/>
      </c>
      <c r="Q211">
        <f>IF($U211="","",INDEX(상세표[07~18시],$U211))</f>
        <v/>
      </c>
      <c r="R211">
        <f>IF($U211="","",INDEX(상세표[18~22시],$U211))</f>
        <v/>
      </c>
      <c r="S211">
        <f>IF($U211="","",INDEX(상세표[22~06시],$U211))</f>
        <v/>
      </c>
      <c r="T211">
        <f>IF($U211="","",INDEX(상세표[기록 시간외],$U211))</f>
        <v/>
      </c>
      <c r="U211" s="4">
        <f>IFERROR(MATCH(206,상세표[발송순번],0),"")</f>
        <v/>
      </c>
    </row>
    <row r="212">
      <c r="A212">
        <f>IF($H212="","",INDEX(상세표[사번],$H212)&amp;"")</f>
        <v/>
      </c>
      <c r="B212">
        <f>IF($H212="","",INDEX(상세표[성명],$H212)&amp;"")</f>
        <v/>
      </c>
      <c r="C212">
        <f>IF($H212="","",INDEX(상세표[부서],$H212)&amp;"")</f>
        <v/>
      </c>
      <c r="D212">
        <f>IF($H212="","",IF(IFERROR(INDEX(합계표[직위(통합)],MATCH(INDEX(상세표[사번키],$H212),합계표[사번키],0))&amp;"","")="",INDEX(상세표[직위],$H212)&amp;"",IFERROR(INDEX(합계표[직위(통합)],MATCH(INDEX(상세표[사번키],$H212),합계표[사번키],0))&amp;"","")))</f>
        <v/>
      </c>
      <c r="E212">
        <f>IF($H212="","",COUNTIFS(상세표[사번키],INDEX(상세표[사번키],$H212),상세표[기록월],대상월키))</f>
        <v/>
      </c>
      <c r="F212">
        <f>IF($H212="","",SUMIFS(상세표[기록 시간외],상세표[사번키],INDEX(상세표[사번키],$H212),상세표[기록월],대상월키))</f>
        <v/>
      </c>
      <c r="G212">
        <f>IF($H212="","",SUMIFS(합계표[시스템 합계],합계표[사번키],INDEX(상세표[사번키],$H212)))</f>
        <v/>
      </c>
      <c r="H212" s="4">
        <f>IFERROR(MATCH(207,상세표[발송인원순번],0),"")</f>
        <v/>
      </c>
      <c r="J212">
        <f>IF($U212="","",INDEX(상세표[사번],$U212)&amp;"")</f>
        <v/>
      </c>
      <c r="K212">
        <f>IF($U212="","",INDEX(상세표[성명],$U212)&amp;"")</f>
        <v/>
      </c>
      <c r="L212">
        <f>IF($U212="","",INDEX(상세표[직위],$U212)&amp;"")</f>
        <v/>
      </c>
      <c r="M212">
        <f>IF($U212="","",IF(ISNUMBER(INDEX(상세표[근무일자],$U212)),TEXT(INDEX(상세표[근무일자],$U212),"yyyy-mm-dd"),INDEX(상세표[근무일자],$U212)&amp;""))</f>
        <v/>
      </c>
      <c r="N212">
        <f>IF($U212="","",IF(ISNUMBER(INDEX(상세표[시작],$U212)),TEXT(INDEX(상세표[시작],$U212),"yyyy-mm-dd hh:mm"),INDEX(상세표[시작],$U212)&amp;""))</f>
        <v/>
      </c>
      <c r="O212">
        <f>IF($U212="","",IF(ISNUMBER(INDEX(상세표[종료],$U212)),TEXT(INDEX(상세표[종료],$U212),"yyyy-mm-dd hh:mm"),INDEX(상세표[종료],$U212)&amp;""))</f>
        <v/>
      </c>
      <c r="P212">
        <f>IF($U212="","",INDEX(상세표[06~07시],$U212))</f>
        <v/>
      </c>
      <c r="Q212">
        <f>IF($U212="","",INDEX(상세표[07~18시],$U212))</f>
        <v/>
      </c>
      <c r="R212">
        <f>IF($U212="","",INDEX(상세표[18~22시],$U212))</f>
        <v/>
      </c>
      <c r="S212">
        <f>IF($U212="","",INDEX(상세표[22~06시],$U212))</f>
        <v/>
      </c>
      <c r="T212">
        <f>IF($U212="","",INDEX(상세표[기록 시간외],$U212))</f>
        <v/>
      </c>
      <c r="U212" s="4">
        <f>IFERROR(MATCH(207,상세표[발송순번],0),"")</f>
        <v/>
      </c>
    </row>
    <row r="213">
      <c r="A213">
        <f>IF($H213="","",INDEX(상세표[사번],$H213)&amp;"")</f>
        <v/>
      </c>
      <c r="B213">
        <f>IF($H213="","",INDEX(상세표[성명],$H213)&amp;"")</f>
        <v/>
      </c>
      <c r="C213">
        <f>IF($H213="","",INDEX(상세표[부서],$H213)&amp;"")</f>
        <v/>
      </c>
      <c r="D213">
        <f>IF($H213="","",IF(IFERROR(INDEX(합계표[직위(통합)],MATCH(INDEX(상세표[사번키],$H213),합계표[사번키],0))&amp;"","")="",INDEX(상세표[직위],$H213)&amp;"",IFERROR(INDEX(합계표[직위(통합)],MATCH(INDEX(상세표[사번키],$H213),합계표[사번키],0))&amp;"","")))</f>
        <v/>
      </c>
      <c r="E213">
        <f>IF($H213="","",COUNTIFS(상세표[사번키],INDEX(상세표[사번키],$H213),상세표[기록월],대상월키))</f>
        <v/>
      </c>
      <c r="F213">
        <f>IF($H213="","",SUMIFS(상세표[기록 시간외],상세표[사번키],INDEX(상세표[사번키],$H213),상세표[기록월],대상월키))</f>
        <v/>
      </c>
      <c r="G213">
        <f>IF($H213="","",SUMIFS(합계표[시스템 합계],합계표[사번키],INDEX(상세표[사번키],$H213)))</f>
        <v/>
      </c>
      <c r="H213" s="4">
        <f>IFERROR(MATCH(208,상세표[발송인원순번],0),"")</f>
        <v/>
      </c>
      <c r="J213">
        <f>IF($U213="","",INDEX(상세표[사번],$U213)&amp;"")</f>
        <v/>
      </c>
      <c r="K213">
        <f>IF($U213="","",INDEX(상세표[성명],$U213)&amp;"")</f>
        <v/>
      </c>
      <c r="L213">
        <f>IF($U213="","",INDEX(상세표[직위],$U213)&amp;"")</f>
        <v/>
      </c>
      <c r="M213">
        <f>IF($U213="","",IF(ISNUMBER(INDEX(상세표[근무일자],$U213)),TEXT(INDEX(상세표[근무일자],$U213),"yyyy-mm-dd"),INDEX(상세표[근무일자],$U213)&amp;""))</f>
        <v/>
      </c>
      <c r="N213">
        <f>IF($U213="","",IF(ISNUMBER(INDEX(상세표[시작],$U213)),TEXT(INDEX(상세표[시작],$U213),"yyyy-mm-dd hh:mm"),INDEX(상세표[시작],$U213)&amp;""))</f>
        <v/>
      </c>
      <c r="O213">
        <f>IF($U213="","",IF(ISNUMBER(INDEX(상세표[종료],$U213)),TEXT(INDEX(상세표[종료],$U213),"yyyy-mm-dd hh:mm"),INDEX(상세표[종료],$U213)&amp;""))</f>
        <v/>
      </c>
      <c r="P213">
        <f>IF($U213="","",INDEX(상세표[06~07시],$U213))</f>
        <v/>
      </c>
      <c r="Q213">
        <f>IF($U213="","",INDEX(상세표[07~18시],$U213))</f>
        <v/>
      </c>
      <c r="R213">
        <f>IF($U213="","",INDEX(상세표[18~22시],$U213))</f>
        <v/>
      </c>
      <c r="S213">
        <f>IF($U213="","",INDEX(상세표[22~06시],$U213))</f>
        <v/>
      </c>
      <c r="T213">
        <f>IF($U213="","",INDEX(상세표[기록 시간외],$U213))</f>
        <v/>
      </c>
      <c r="U213" s="4">
        <f>IFERROR(MATCH(208,상세표[발송순번],0),"")</f>
        <v/>
      </c>
    </row>
    <row r="214">
      <c r="A214">
        <f>IF($H214="","",INDEX(상세표[사번],$H214)&amp;"")</f>
        <v/>
      </c>
      <c r="B214">
        <f>IF($H214="","",INDEX(상세표[성명],$H214)&amp;"")</f>
        <v/>
      </c>
      <c r="C214">
        <f>IF($H214="","",INDEX(상세표[부서],$H214)&amp;"")</f>
        <v/>
      </c>
      <c r="D214">
        <f>IF($H214="","",IF(IFERROR(INDEX(합계표[직위(통합)],MATCH(INDEX(상세표[사번키],$H214),합계표[사번키],0))&amp;"","")="",INDEX(상세표[직위],$H214)&amp;"",IFERROR(INDEX(합계표[직위(통합)],MATCH(INDEX(상세표[사번키],$H214),합계표[사번키],0))&amp;"","")))</f>
        <v/>
      </c>
      <c r="E214">
        <f>IF($H214="","",COUNTIFS(상세표[사번키],INDEX(상세표[사번키],$H214),상세표[기록월],대상월키))</f>
        <v/>
      </c>
      <c r="F214">
        <f>IF($H214="","",SUMIFS(상세표[기록 시간외],상세표[사번키],INDEX(상세표[사번키],$H214),상세표[기록월],대상월키))</f>
        <v/>
      </c>
      <c r="G214">
        <f>IF($H214="","",SUMIFS(합계표[시스템 합계],합계표[사번키],INDEX(상세표[사번키],$H214)))</f>
        <v/>
      </c>
      <c r="H214" s="4">
        <f>IFERROR(MATCH(209,상세표[발송인원순번],0),"")</f>
        <v/>
      </c>
      <c r="J214">
        <f>IF($U214="","",INDEX(상세표[사번],$U214)&amp;"")</f>
        <v/>
      </c>
      <c r="K214">
        <f>IF($U214="","",INDEX(상세표[성명],$U214)&amp;"")</f>
        <v/>
      </c>
      <c r="L214">
        <f>IF($U214="","",INDEX(상세표[직위],$U214)&amp;"")</f>
        <v/>
      </c>
      <c r="M214">
        <f>IF($U214="","",IF(ISNUMBER(INDEX(상세표[근무일자],$U214)),TEXT(INDEX(상세표[근무일자],$U214),"yyyy-mm-dd"),INDEX(상세표[근무일자],$U214)&amp;""))</f>
        <v/>
      </c>
      <c r="N214">
        <f>IF($U214="","",IF(ISNUMBER(INDEX(상세표[시작],$U214)),TEXT(INDEX(상세표[시작],$U214),"yyyy-mm-dd hh:mm"),INDEX(상세표[시작],$U214)&amp;""))</f>
        <v/>
      </c>
      <c r="O214">
        <f>IF($U214="","",IF(ISNUMBER(INDEX(상세표[종료],$U214)),TEXT(INDEX(상세표[종료],$U214),"yyyy-mm-dd hh:mm"),INDEX(상세표[종료],$U214)&amp;""))</f>
        <v/>
      </c>
      <c r="P214">
        <f>IF($U214="","",INDEX(상세표[06~07시],$U214))</f>
        <v/>
      </c>
      <c r="Q214">
        <f>IF($U214="","",INDEX(상세표[07~18시],$U214))</f>
        <v/>
      </c>
      <c r="R214">
        <f>IF($U214="","",INDEX(상세표[18~22시],$U214))</f>
        <v/>
      </c>
      <c r="S214">
        <f>IF($U214="","",INDEX(상세표[22~06시],$U214))</f>
        <v/>
      </c>
      <c r="T214">
        <f>IF($U214="","",INDEX(상세표[기록 시간외],$U214))</f>
        <v/>
      </c>
      <c r="U214" s="4">
        <f>IFERROR(MATCH(209,상세표[발송순번],0),"")</f>
        <v/>
      </c>
    </row>
    <row r="215">
      <c r="A215">
        <f>IF($H215="","",INDEX(상세표[사번],$H215)&amp;"")</f>
        <v/>
      </c>
      <c r="B215">
        <f>IF($H215="","",INDEX(상세표[성명],$H215)&amp;"")</f>
        <v/>
      </c>
      <c r="C215">
        <f>IF($H215="","",INDEX(상세표[부서],$H215)&amp;"")</f>
        <v/>
      </c>
      <c r="D215">
        <f>IF($H215="","",IF(IFERROR(INDEX(합계표[직위(통합)],MATCH(INDEX(상세표[사번키],$H215),합계표[사번키],0))&amp;"","")="",INDEX(상세표[직위],$H215)&amp;"",IFERROR(INDEX(합계표[직위(통합)],MATCH(INDEX(상세표[사번키],$H215),합계표[사번키],0))&amp;"","")))</f>
        <v/>
      </c>
      <c r="E215">
        <f>IF($H215="","",COUNTIFS(상세표[사번키],INDEX(상세표[사번키],$H215),상세표[기록월],대상월키))</f>
        <v/>
      </c>
      <c r="F215">
        <f>IF($H215="","",SUMIFS(상세표[기록 시간외],상세표[사번키],INDEX(상세표[사번키],$H215),상세표[기록월],대상월키))</f>
        <v/>
      </c>
      <c r="G215">
        <f>IF($H215="","",SUMIFS(합계표[시스템 합계],합계표[사번키],INDEX(상세표[사번키],$H215)))</f>
        <v/>
      </c>
      <c r="H215" s="4">
        <f>IFERROR(MATCH(210,상세표[발송인원순번],0),"")</f>
        <v/>
      </c>
      <c r="J215">
        <f>IF($U215="","",INDEX(상세표[사번],$U215)&amp;"")</f>
        <v/>
      </c>
      <c r="K215">
        <f>IF($U215="","",INDEX(상세표[성명],$U215)&amp;"")</f>
        <v/>
      </c>
      <c r="L215">
        <f>IF($U215="","",INDEX(상세표[직위],$U215)&amp;"")</f>
        <v/>
      </c>
      <c r="M215">
        <f>IF($U215="","",IF(ISNUMBER(INDEX(상세표[근무일자],$U215)),TEXT(INDEX(상세표[근무일자],$U215),"yyyy-mm-dd"),INDEX(상세표[근무일자],$U215)&amp;""))</f>
        <v/>
      </c>
      <c r="N215">
        <f>IF($U215="","",IF(ISNUMBER(INDEX(상세표[시작],$U215)),TEXT(INDEX(상세표[시작],$U215),"yyyy-mm-dd hh:mm"),INDEX(상세표[시작],$U215)&amp;""))</f>
        <v/>
      </c>
      <c r="O215">
        <f>IF($U215="","",IF(ISNUMBER(INDEX(상세표[종료],$U215)),TEXT(INDEX(상세표[종료],$U215),"yyyy-mm-dd hh:mm"),INDEX(상세표[종료],$U215)&amp;""))</f>
        <v/>
      </c>
      <c r="P215">
        <f>IF($U215="","",INDEX(상세표[06~07시],$U215))</f>
        <v/>
      </c>
      <c r="Q215">
        <f>IF($U215="","",INDEX(상세표[07~18시],$U215))</f>
        <v/>
      </c>
      <c r="R215">
        <f>IF($U215="","",INDEX(상세표[18~22시],$U215))</f>
        <v/>
      </c>
      <c r="S215">
        <f>IF($U215="","",INDEX(상세표[22~06시],$U215))</f>
        <v/>
      </c>
      <c r="T215">
        <f>IF($U215="","",INDEX(상세표[기록 시간외],$U215))</f>
        <v/>
      </c>
      <c r="U215" s="4">
        <f>IFERROR(MATCH(210,상세표[발송순번],0),"")</f>
        <v/>
      </c>
    </row>
    <row r="216">
      <c r="A216">
        <f>IF($H216="","",INDEX(상세표[사번],$H216)&amp;"")</f>
        <v/>
      </c>
      <c r="B216">
        <f>IF($H216="","",INDEX(상세표[성명],$H216)&amp;"")</f>
        <v/>
      </c>
      <c r="C216">
        <f>IF($H216="","",INDEX(상세표[부서],$H216)&amp;"")</f>
        <v/>
      </c>
      <c r="D216">
        <f>IF($H216="","",IF(IFERROR(INDEX(합계표[직위(통합)],MATCH(INDEX(상세표[사번키],$H216),합계표[사번키],0))&amp;"","")="",INDEX(상세표[직위],$H216)&amp;"",IFERROR(INDEX(합계표[직위(통합)],MATCH(INDEX(상세표[사번키],$H216),합계표[사번키],0))&amp;"","")))</f>
        <v/>
      </c>
      <c r="E216">
        <f>IF($H216="","",COUNTIFS(상세표[사번키],INDEX(상세표[사번키],$H216),상세표[기록월],대상월키))</f>
        <v/>
      </c>
      <c r="F216">
        <f>IF($H216="","",SUMIFS(상세표[기록 시간외],상세표[사번키],INDEX(상세표[사번키],$H216),상세표[기록월],대상월키))</f>
        <v/>
      </c>
      <c r="G216">
        <f>IF($H216="","",SUMIFS(합계표[시스템 합계],합계표[사번키],INDEX(상세표[사번키],$H216)))</f>
        <v/>
      </c>
      <c r="H216" s="4">
        <f>IFERROR(MATCH(211,상세표[발송인원순번],0),"")</f>
        <v/>
      </c>
      <c r="J216">
        <f>IF($U216="","",INDEX(상세표[사번],$U216)&amp;"")</f>
        <v/>
      </c>
      <c r="K216">
        <f>IF($U216="","",INDEX(상세표[성명],$U216)&amp;"")</f>
        <v/>
      </c>
      <c r="L216">
        <f>IF($U216="","",INDEX(상세표[직위],$U216)&amp;"")</f>
        <v/>
      </c>
      <c r="M216">
        <f>IF($U216="","",IF(ISNUMBER(INDEX(상세표[근무일자],$U216)),TEXT(INDEX(상세표[근무일자],$U216),"yyyy-mm-dd"),INDEX(상세표[근무일자],$U216)&amp;""))</f>
        <v/>
      </c>
      <c r="N216">
        <f>IF($U216="","",IF(ISNUMBER(INDEX(상세표[시작],$U216)),TEXT(INDEX(상세표[시작],$U216),"yyyy-mm-dd hh:mm"),INDEX(상세표[시작],$U216)&amp;""))</f>
        <v/>
      </c>
      <c r="O216">
        <f>IF($U216="","",IF(ISNUMBER(INDEX(상세표[종료],$U216)),TEXT(INDEX(상세표[종료],$U216),"yyyy-mm-dd hh:mm"),INDEX(상세표[종료],$U216)&amp;""))</f>
        <v/>
      </c>
      <c r="P216">
        <f>IF($U216="","",INDEX(상세표[06~07시],$U216))</f>
        <v/>
      </c>
      <c r="Q216">
        <f>IF($U216="","",INDEX(상세표[07~18시],$U216))</f>
        <v/>
      </c>
      <c r="R216">
        <f>IF($U216="","",INDEX(상세표[18~22시],$U216))</f>
        <v/>
      </c>
      <c r="S216">
        <f>IF($U216="","",INDEX(상세표[22~06시],$U216))</f>
        <v/>
      </c>
      <c r="T216">
        <f>IF($U216="","",INDEX(상세표[기록 시간외],$U216))</f>
        <v/>
      </c>
      <c r="U216" s="4">
        <f>IFERROR(MATCH(211,상세표[발송순번],0),"")</f>
        <v/>
      </c>
    </row>
    <row r="217">
      <c r="A217">
        <f>IF($H217="","",INDEX(상세표[사번],$H217)&amp;"")</f>
        <v/>
      </c>
      <c r="B217">
        <f>IF($H217="","",INDEX(상세표[성명],$H217)&amp;"")</f>
        <v/>
      </c>
      <c r="C217">
        <f>IF($H217="","",INDEX(상세표[부서],$H217)&amp;"")</f>
        <v/>
      </c>
      <c r="D217">
        <f>IF($H217="","",IF(IFERROR(INDEX(합계표[직위(통합)],MATCH(INDEX(상세표[사번키],$H217),합계표[사번키],0))&amp;"","")="",INDEX(상세표[직위],$H217)&amp;"",IFERROR(INDEX(합계표[직위(통합)],MATCH(INDEX(상세표[사번키],$H217),합계표[사번키],0))&amp;"","")))</f>
        <v/>
      </c>
      <c r="E217">
        <f>IF($H217="","",COUNTIFS(상세표[사번키],INDEX(상세표[사번키],$H217),상세표[기록월],대상월키))</f>
        <v/>
      </c>
      <c r="F217">
        <f>IF($H217="","",SUMIFS(상세표[기록 시간외],상세표[사번키],INDEX(상세표[사번키],$H217),상세표[기록월],대상월키))</f>
        <v/>
      </c>
      <c r="G217">
        <f>IF($H217="","",SUMIFS(합계표[시스템 합계],합계표[사번키],INDEX(상세표[사번키],$H217)))</f>
        <v/>
      </c>
      <c r="H217" s="4">
        <f>IFERROR(MATCH(212,상세표[발송인원순번],0),"")</f>
        <v/>
      </c>
      <c r="J217">
        <f>IF($U217="","",INDEX(상세표[사번],$U217)&amp;"")</f>
        <v/>
      </c>
      <c r="K217">
        <f>IF($U217="","",INDEX(상세표[성명],$U217)&amp;"")</f>
        <v/>
      </c>
      <c r="L217">
        <f>IF($U217="","",INDEX(상세표[직위],$U217)&amp;"")</f>
        <v/>
      </c>
      <c r="M217">
        <f>IF($U217="","",IF(ISNUMBER(INDEX(상세표[근무일자],$U217)),TEXT(INDEX(상세표[근무일자],$U217),"yyyy-mm-dd"),INDEX(상세표[근무일자],$U217)&amp;""))</f>
        <v/>
      </c>
      <c r="N217">
        <f>IF($U217="","",IF(ISNUMBER(INDEX(상세표[시작],$U217)),TEXT(INDEX(상세표[시작],$U217),"yyyy-mm-dd hh:mm"),INDEX(상세표[시작],$U217)&amp;""))</f>
        <v/>
      </c>
      <c r="O217">
        <f>IF($U217="","",IF(ISNUMBER(INDEX(상세표[종료],$U217)),TEXT(INDEX(상세표[종료],$U217),"yyyy-mm-dd hh:mm"),INDEX(상세표[종료],$U217)&amp;""))</f>
        <v/>
      </c>
      <c r="P217">
        <f>IF($U217="","",INDEX(상세표[06~07시],$U217))</f>
        <v/>
      </c>
      <c r="Q217">
        <f>IF($U217="","",INDEX(상세표[07~18시],$U217))</f>
        <v/>
      </c>
      <c r="R217">
        <f>IF($U217="","",INDEX(상세표[18~22시],$U217))</f>
        <v/>
      </c>
      <c r="S217">
        <f>IF($U217="","",INDEX(상세표[22~06시],$U217))</f>
        <v/>
      </c>
      <c r="T217">
        <f>IF($U217="","",INDEX(상세표[기록 시간외],$U217))</f>
        <v/>
      </c>
      <c r="U217" s="4">
        <f>IFERROR(MATCH(212,상세표[발송순번],0),"")</f>
        <v/>
      </c>
    </row>
    <row r="218">
      <c r="A218">
        <f>IF($H218="","",INDEX(상세표[사번],$H218)&amp;"")</f>
        <v/>
      </c>
      <c r="B218">
        <f>IF($H218="","",INDEX(상세표[성명],$H218)&amp;"")</f>
        <v/>
      </c>
      <c r="C218">
        <f>IF($H218="","",INDEX(상세표[부서],$H218)&amp;"")</f>
        <v/>
      </c>
      <c r="D218">
        <f>IF($H218="","",IF(IFERROR(INDEX(합계표[직위(통합)],MATCH(INDEX(상세표[사번키],$H218),합계표[사번키],0))&amp;"","")="",INDEX(상세표[직위],$H218)&amp;"",IFERROR(INDEX(합계표[직위(통합)],MATCH(INDEX(상세표[사번키],$H218),합계표[사번키],0))&amp;"","")))</f>
        <v/>
      </c>
      <c r="E218">
        <f>IF($H218="","",COUNTIFS(상세표[사번키],INDEX(상세표[사번키],$H218),상세표[기록월],대상월키))</f>
        <v/>
      </c>
      <c r="F218">
        <f>IF($H218="","",SUMIFS(상세표[기록 시간외],상세표[사번키],INDEX(상세표[사번키],$H218),상세표[기록월],대상월키))</f>
        <v/>
      </c>
      <c r="G218">
        <f>IF($H218="","",SUMIFS(합계표[시스템 합계],합계표[사번키],INDEX(상세표[사번키],$H218)))</f>
        <v/>
      </c>
      <c r="H218" s="4">
        <f>IFERROR(MATCH(213,상세표[발송인원순번],0),"")</f>
        <v/>
      </c>
      <c r="J218">
        <f>IF($U218="","",INDEX(상세표[사번],$U218)&amp;"")</f>
        <v/>
      </c>
      <c r="K218">
        <f>IF($U218="","",INDEX(상세표[성명],$U218)&amp;"")</f>
        <v/>
      </c>
      <c r="L218">
        <f>IF($U218="","",INDEX(상세표[직위],$U218)&amp;"")</f>
        <v/>
      </c>
      <c r="M218">
        <f>IF($U218="","",IF(ISNUMBER(INDEX(상세표[근무일자],$U218)),TEXT(INDEX(상세표[근무일자],$U218),"yyyy-mm-dd"),INDEX(상세표[근무일자],$U218)&amp;""))</f>
        <v/>
      </c>
      <c r="N218">
        <f>IF($U218="","",IF(ISNUMBER(INDEX(상세표[시작],$U218)),TEXT(INDEX(상세표[시작],$U218),"yyyy-mm-dd hh:mm"),INDEX(상세표[시작],$U218)&amp;""))</f>
        <v/>
      </c>
      <c r="O218">
        <f>IF($U218="","",IF(ISNUMBER(INDEX(상세표[종료],$U218)),TEXT(INDEX(상세표[종료],$U218),"yyyy-mm-dd hh:mm"),INDEX(상세표[종료],$U218)&amp;""))</f>
        <v/>
      </c>
      <c r="P218">
        <f>IF($U218="","",INDEX(상세표[06~07시],$U218))</f>
        <v/>
      </c>
      <c r="Q218">
        <f>IF($U218="","",INDEX(상세표[07~18시],$U218))</f>
        <v/>
      </c>
      <c r="R218">
        <f>IF($U218="","",INDEX(상세표[18~22시],$U218))</f>
        <v/>
      </c>
      <c r="S218">
        <f>IF($U218="","",INDEX(상세표[22~06시],$U218))</f>
        <v/>
      </c>
      <c r="T218">
        <f>IF($U218="","",INDEX(상세표[기록 시간외],$U218))</f>
        <v/>
      </c>
      <c r="U218" s="4">
        <f>IFERROR(MATCH(213,상세표[발송순번],0),"")</f>
        <v/>
      </c>
    </row>
    <row r="219">
      <c r="A219">
        <f>IF($H219="","",INDEX(상세표[사번],$H219)&amp;"")</f>
        <v/>
      </c>
      <c r="B219">
        <f>IF($H219="","",INDEX(상세표[성명],$H219)&amp;"")</f>
        <v/>
      </c>
      <c r="C219">
        <f>IF($H219="","",INDEX(상세표[부서],$H219)&amp;"")</f>
        <v/>
      </c>
      <c r="D219">
        <f>IF($H219="","",IF(IFERROR(INDEX(합계표[직위(통합)],MATCH(INDEX(상세표[사번키],$H219),합계표[사번키],0))&amp;"","")="",INDEX(상세표[직위],$H219)&amp;"",IFERROR(INDEX(합계표[직위(통합)],MATCH(INDEX(상세표[사번키],$H219),합계표[사번키],0))&amp;"","")))</f>
        <v/>
      </c>
      <c r="E219">
        <f>IF($H219="","",COUNTIFS(상세표[사번키],INDEX(상세표[사번키],$H219),상세표[기록월],대상월키))</f>
        <v/>
      </c>
      <c r="F219">
        <f>IF($H219="","",SUMIFS(상세표[기록 시간외],상세표[사번키],INDEX(상세표[사번키],$H219),상세표[기록월],대상월키))</f>
        <v/>
      </c>
      <c r="G219">
        <f>IF($H219="","",SUMIFS(합계표[시스템 합계],합계표[사번키],INDEX(상세표[사번키],$H219)))</f>
        <v/>
      </c>
      <c r="H219" s="4">
        <f>IFERROR(MATCH(214,상세표[발송인원순번],0),"")</f>
        <v/>
      </c>
      <c r="J219">
        <f>IF($U219="","",INDEX(상세표[사번],$U219)&amp;"")</f>
        <v/>
      </c>
      <c r="K219">
        <f>IF($U219="","",INDEX(상세표[성명],$U219)&amp;"")</f>
        <v/>
      </c>
      <c r="L219">
        <f>IF($U219="","",INDEX(상세표[직위],$U219)&amp;"")</f>
        <v/>
      </c>
      <c r="M219">
        <f>IF($U219="","",IF(ISNUMBER(INDEX(상세표[근무일자],$U219)),TEXT(INDEX(상세표[근무일자],$U219),"yyyy-mm-dd"),INDEX(상세표[근무일자],$U219)&amp;""))</f>
        <v/>
      </c>
      <c r="N219">
        <f>IF($U219="","",IF(ISNUMBER(INDEX(상세표[시작],$U219)),TEXT(INDEX(상세표[시작],$U219),"yyyy-mm-dd hh:mm"),INDEX(상세표[시작],$U219)&amp;""))</f>
        <v/>
      </c>
      <c r="O219">
        <f>IF($U219="","",IF(ISNUMBER(INDEX(상세표[종료],$U219)),TEXT(INDEX(상세표[종료],$U219),"yyyy-mm-dd hh:mm"),INDEX(상세표[종료],$U219)&amp;""))</f>
        <v/>
      </c>
      <c r="P219">
        <f>IF($U219="","",INDEX(상세표[06~07시],$U219))</f>
        <v/>
      </c>
      <c r="Q219">
        <f>IF($U219="","",INDEX(상세표[07~18시],$U219))</f>
        <v/>
      </c>
      <c r="R219">
        <f>IF($U219="","",INDEX(상세표[18~22시],$U219))</f>
        <v/>
      </c>
      <c r="S219">
        <f>IF($U219="","",INDEX(상세표[22~06시],$U219))</f>
        <v/>
      </c>
      <c r="T219">
        <f>IF($U219="","",INDEX(상세표[기록 시간외],$U219))</f>
        <v/>
      </c>
      <c r="U219" s="4">
        <f>IFERROR(MATCH(214,상세표[발송순번],0),"")</f>
        <v/>
      </c>
    </row>
    <row r="220">
      <c r="A220">
        <f>IF($H220="","",INDEX(상세표[사번],$H220)&amp;"")</f>
        <v/>
      </c>
      <c r="B220">
        <f>IF($H220="","",INDEX(상세표[성명],$H220)&amp;"")</f>
        <v/>
      </c>
      <c r="C220">
        <f>IF($H220="","",INDEX(상세표[부서],$H220)&amp;"")</f>
        <v/>
      </c>
      <c r="D220">
        <f>IF($H220="","",IF(IFERROR(INDEX(합계표[직위(통합)],MATCH(INDEX(상세표[사번키],$H220),합계표[사번키],0))&amp;"","")="",INDEX(상세표[직위],$H220)&amp;"",IFERROR(INDEX(합계표[직위(통합)],MATCH(INDEX(상세표[사번키],$H220),합계표[사번키],0))&amp;"","")))</f>
        <v/>
      </c>
      <c r="E220">
        <f>IF($H220="","",COUNTIFS(상세표[사번키],INDEX(상세표[사번키],$H220),상세표[기록월],대상월키))</f>
        <v/>
      </c>
      <c r="F220">
        <f>IF($H220="","",SUMIFS(상세표[기록 시간외],상세표[사번키],INDEX(상세표[사번키],$H220),상세표[기록월],대상월키))</f>
        <v/>
      </c>
      <c r="G220">
        <f>IF($H220="","",SUMIFS(합계표[시스템 합계],합계표[사번키],INDEX(상세표[사번키],$H220)))</f>
        <v/>
      </c>
      <c r="H220" s="4">
        <f>IFERROR(MATCH(215,상세표[발송인원순번],0),"")</f>
        <v/>
      </c>
      <c r="J220">
        <f>IF($U220="","",INDEX(상세표[사번],$U220)&amp;"")</f>
        <v/>
      </c>
      <c r="K220">
        <f>IF($U220="","",INDEX(상세표[성명],$U220)&amp;"")</f>
        <v/>
      </c>
      <c r="L220">
        <f>IF($U220="","",INDEX(상세표[직위],$U220)&amp;"")</f>
        <v/>
      </c>
      <c r="M220">
        <f>IF($U220="","",IF(ISNUMBER(INDEX(상세표[근무일자],$U220)),TEXT(INDEX(상세표[근무일자],$U220),"yyyy-mm-dd"),INDEX(상세표[근무일자],$U220)&amp;""))</f>
        <v/>
      </c>
      <c r="N220">
        <f>IF($U220="","",IF(ISNUMBER(INDEX(상세표[시작],$U220)),TEXT(INDEX(상세표[시작],$U220),"yyyy-mm-dd hh:mm"),INDEX(상세표[시작],$U220)&amp;""))</f>
        <v/>
      </c>
      <c r="O220">
        <f>IF($U220="","",IF(ISNUMBER(INDEX(상세표[종료],$U220)),TEXT(INDEX(상세표[종료],$U220),"yyyy-mm-dd hh:mm"),INDEX(상세표[종료],$U220)&amp;""))</f>
        <v/>
      </c>
      <c r="P220">
        <f>IF($U220="","",INDEX(상세표[06~07시],$U220))</f>
        <v/>
      </c>
      <c r="Q220">
        <f>IF($U220="","",INDEX(상세표[07~18시],$U220))</f>
        <v/>
      </c>
      <c r="R220">
        <f>IF($U220="","",INDEX(상세표[18~22시],$U220))</f>
        <v/>
      </c>
      <c r="S220">
        <f>IF($U220="","",INDEX(상세표[22~06시],$U220))</f>
        <v/>
      </c>
      <c r="T220">
        <f>IF($U220="","",INDEX(상세표[기록 시간외],$U220))</f>
        <v/>
      </c>
      <c r="U220" s="4">
        <f>IFERROR(MATCH(215,상세표[발송순번],0),"")</f>
        <v/>
      </c>
    </row>
    <row r="221">
      <c r="A221">
        <f>IF($H221="","",INDEX(상세표[사번],$H221)&amp;"")</f>
        <v/>
      </c>
      <c r="B221">
        <f>IF($H221="","",INDEX(상세표[성명],$H221)&amp;"")</f>
        <v/>
      </c>
      <c r="C221">
        <f>IF($H221="","",INDEX(상세표[부서],$H221)&amp;"")</f>
        <v/>
      </c>
      <c r="D221">
        <f>IF($H221="","",IF(IFERROR(INDEX(합계표[직위(통합)],MATCH(INDEX(상세표[사번키],$H221),합계표[사번키],0))&amp;"","")="",INDEX(상세표[직위],$H221)&amp;"",IFERROR(INDEX(합계표[직위(통합)],MATCH(INDEX(상세표[사번키],$H221),합계표[사번키],0))&amp;"","")))</f>
        <v/>
      </c>
      <c r="E221">
        <f>IF($H221="","",COUNTIFS(상세표[사번키],INDEX(상세표[사번키],$H221),상세표[기록월],대상월키))</f>
        <v/>
      </c>
      <c r="F221">
        <f>IF($H221="","",SUMIFS(상세표[기록 시간외],상세표[사번키],INDEX(상세표[사번키],$H221),상세표[기록월],대상월키))</f>
        <v/>
      </c>
      <c r="G221">
        <f>IF($H221="","",SUMIFS(합계표[시스템 합계],합계표[사번키],INDEX(상세표[사번키],$H221)))</f>
        <v/>
      </c>
      <c r="H221" s="4">
        <f>IFERROR(MATCH(216,상세표[발송인원순번],0),"")</f>
        <v/>
      </c>
      <c r="J221">
        <f>IF($U221="","",INDEX(상세표[사번],$U221)&amp;"")</f>
        <v/>
      </c>
      <c r="K221">
        <f>IF($U221="","",INDEX(상세표[성명],$U221)&amp;"")</f>
        <v/>
      </c>
      <c r="L221">
        <f>IF($U221="","",INDEX(상세표[직위],$U221)&amp;"")</f>
        <v/>
      </c>
      <c r="M221">
        <f>IF($U221="","",IF(ISNUMBER(INDEX(상세표[근무일자],$U221)),TEXT(INDEX(상세표[근무일자],$U221),"yyyy-mm-dd"),INDEX(상세표[근무일자],$U221)&amp;""))</f>
        <v/>
      </c>
      <c r="N221">
        <f>IF($U221="","",IF(ISNUMBER(INDEX(상세표[시작],$U221)),TEXT(INDEX(상세표[시작],$U221),"yyyy-mm-dd hh:mm"),INDEX(상세표[시작],$U221)&amp;""))</f>
        <v/>
      </c>
      <c r="O221">
        <f>IF($U221="","",IF(ISNUMBER(INDEX(상세표[종료],$U221)),TEXT(INDEX(상세표[종료],$U221),"yyyy-mm-dd hh:mm"),INDEX(상세표[종료],$U221)&amp;""))</f>
        <v/>
      </c>
      <c r="P221">
        <f>IF($U221="","",INDEX(상세표[06~07시],$U221))</f>
        <v/>
      </c>
      <c r="Q221">
        <f>IF($U221="","",INDEX(상세표[07~18시],$U221))</f>
        <v/>
      </c>
      <c r="R221">
        <f>IF($U221="","",INDEX(상세표[18~22시],$U221))</f>
        <v/>
      </c>
      <c r="S221">
        <f>IF($U221="","",INDEX(상세표[22~06시],$U221))</f>
        <v/>
      </c>
      <c r="T221">
        <f>IF($U221="","",INDEX(상세표[기록 시간외],$U221))</f>
        <v/>
      </c>
      <c r="U221" s="4">
        <f>IFERROR(MATCH(216,상세표[발송순번],0),"")</f>
        <v/>
      </c>
    </row>
    <row r="222">
      <c r="A222">
        <f>IF($H222="","",INDEX(상세표[사번],$H222)&amp;"")</f>
        <v/>
      </c>
      <c r="B222">
        <f>IF($H222="","",INDEX(상세표[성명],$H222)&amp;"")</f>
        <v/>
      </c>
      <c r="C222">
        <f>IF($H222="","",INDEX(상세표[부서],$H222)&amp;"")</f>
        <v/>
      </c>
      <c r="D222">
        <f>IF($H222="","",IF(IFERROR(INDEX(합계표[직위(통합)],MATCH(INDEX(상세표[사번키],$H222),합계표[사번키],0))&amp;"","")="",INDEX(상세표[직위],$H222)&amp;"",IFERROR(INDEX(합계표[직위(통합)],MATCH(INDEX(상세표[사번키],$H222),합계표[사번키],0))&amp;"","")))</f>
        <v/>
      </c>
      <c r="E222">
        <f>IF($H222="","",COUNTIFS(상세표[사번키],INDEX(상세표[사번키],$H222),상세표[기록월],대상월키))</f>
        <v/>
      </c>
      <c r="F222">
        <f>IF($H222="","",SUMIFS(상세표[기록 시간외],상세표[사번키],INDEX(상세표[사번키],$H222),상세표[기록월],대상월키))</f>
        <v/>
      </c>
      <c r="G222">
        <f>IF($H222="","",SUMIFS(합계표[시스템 합계],합계표[사번키],INDEX(상세표[사번키],$H222)))</f>
        <v/>
      </c>
      <c r="H222" s="4">
        <f>IFERROR(MATCH(217,상세표[발송인원순번],0),"")</f>
        <v/>
      </c>
      <c r="J222">
        <f>IF($U222="","",INDEX(상세표[사번],$U222)&amp;"")</f>
        <v/>
      </c>
      <c r="K222">
        <f>IF($U222="","",INDEX(상세표[성명],$U222)&amp;"")</f>
        <v/>
      </c>
      <c r="L222">
        <f>IF($U222="","",INDEX(상세표[직위],$U222)&amp;"")</f>
        <v/>
      </c>
      <c r="M222">
        <f>IF($U222="","",IF(ISNUMBER(INDEX(상세표[근무일자],$U222)),TEXT(INDEX(상세표[근무일자],$U222),"yyyy-mm-dd"),INDEX(상세표[근무일자],$U222)&amp;""))</f>
        <v/>
      </c>
      <c r="N222">
        <f>IF($U222="","",IF(ISNUMBER(INDEX(상세표[시작],$U222)),TEXT(INDEX(상세표[시작],$U222),"yyyy-mm-dd hh:mm"),INDEX(상세표[시작],$U222)&amp;""))</f>
        <v/>
      </c>
      <c r="O222">
        <f>IF($U222="","",IF(ISNUMBER(INDEX(상세표[종료],$U222)),TEXT(INDEX(상세표[종료],$U222),"yyyy-mm-dd hh:mm"),INDEX(상세표[종료],$U222)&amp;""))</f>
        <v/>
      </c>
      <c r="P222">
        <f>IF($U222="","",INDEX(상세표[06~07시],$U222))</f>
        <v/>
      </c>
      <c r="Q222">
        <f>IF($U222="","",INDEX(상세표[07~18시],$U222))</f>
        <v/>
      </c>
      <c r="R222">
        <f>IF($U222="","",INDEX(상세표[18~22시],$U222))</f>
        <v/>
      </c>
      <c r="S222">
        <f>IF($U222="","",INDEX(상세표[22~06시],$U222))</f>
        <v/>
      </c>
      <c r="T222">
        <f>IF($U222="","",INDEX(상세표[기록 시간외],$U222))</f>
        <v/>
      </c>
      <c r="U222" s="4">
        <f>IFERROR(MATCH(217,상세표[발송순번],0),"")</f>
        <v/>
      </c>
    </row>
    <row r="223">
      <c r="A223">
        <f>IF($H223="","",INDEX(상세표[사번],$H223)&amp;"")</f>
        <v/>
      </c>
      <c r="B223">
        <f>IF($H223="","",INDEX(상세표[성명],$H223)&amp;"")</f>
        <v/>
      </c>
      <c r="C223">
        <f>IF($H223="","",INDEX(상세표[부서],$H223)&amp;"")</f>
        <v/>
      </c>
      <c r="D223">
        <f>IF($H223="","",IF(IFERROR(INDEX(합계표[직위(통합)],MATCH(INDEX(상세표[사번키],$H223),합계표[사번키],0))&amp;"","")="",INDEX(상세표[직위],$H223)&amp;"",IFERROR(INDEX(합계표[직위(통합)],MATCH(INDEX(상세표[사번키],$H223),합계표[사번키],0))&amp;"","")))</f>
        <v/>
      </c>
      <c r="E223">
        <f>IF($H223="","",COUNTIFS(상세표[사번키],INDEX(상세표[사번키],$H223),상세표[기록월],대상월키))</f>
        <v/>
      </c>
      <c r="F223">
        <f>IF($H223="","",SUMIFS(상세표[기록 시간외],상세표[사번키],INDEX(상세표[사번키],$H223),상세표[기록월],대상월키))</f>
        <v/>
      </c>
      <c r="G223">
        <f>IF($H223="","",SUMIFS(합계표[시스템 합계],합계표[사번키],INDEX(상세표[사번키],$H223)))</f>
        <v/>
      </c>
      <c r="H223" s="4">
        <f>IFERROR(MATCH(218,상세표[발송인원순번],0),"")</f>
        <v/>
      </c>
      <c r="J223">
        <f>IF($U223="","",INDEX(상세표[사번],$U223)&amp;"")</f>
        <v/>
      </c>
      <c r="K223">
        <f>IF($U223="","",INDEX(상세표[성명],$U223)&amp;"")</f>
        <v/>
      </c>
      <c r="L223">
        <f>IF($U223="","",INDEX(상세표[직위],$U223)&amp;"")</f>
        <v/>
      </c>
      <c r="M223">
        <f>IF($U223="","",IF(ISNUMBER(INDEX(상세표[근무일자],$U223)),TEXT(INDEX(상세표[근무일자],$U223),"yyyy-mm-dd"),INDEX(상세표[근무일자],$U223)&amp;""))</f>
        <v/>
      </c>
      <c r="N223">
        <f>IF($U223="","",IF(ISNUMBER(INDEX(상세표[시작],$U223)),TEXT(INDEX(상세표[시작],$U223),"yyyy-mm-dd hh:mm"),INDEX(상세표[시작],$U223)&amp;""))</f>
        <v/>
      </c>
      <c r="O223">
        <f>IF($U223="","",IF(ISNUMBER(INDEX(상세표[종료],$U223)),TEXT(INDEX(상세표[종료],$U223),"yyyy-mm-dd hh:mm"),INDEX(상세표[종료],$U223)&amp;""))</f>
        <v/>
      </c>
      <c r="P223">
        <f>IF($U223="","",INDEX(상세표[06~07시],$U223))</f>
        <v/>
      </c>
      <c r="Q223">
        <f>IF($U223="","",INDEX(상세표[07~18시],$U223))</f>
        <v/>
      </c>
      <c r="R223">
        <f>IF($U223="","",INDEX(상세표[18~22시],$U223))</f>
        <v/>
      </c>
      <c r="S223">
        <f>IF($U223="","",INDEX(상세표[22~06시],$U223))</f>
        <v/>
      </c>
      <c r="T223">
        <f>IF($U223="","",INDEX(상세표[기록 시간외],$U223))</f>
        <v/>
      </c>
      <c r="U223" s="4">
        <f>IFERROR(MATCH(218,상세표[발송순번],0),"")</f>
        <v/>
      </c>
    </row>
    <row r="224">
      <c r="A224">
        <f>IF($H224="","",INDEX(상세표[사번],$H224)&amp;"")</f>
        <v/>
      </c>
      <c r="B224">
        <f>IF($H224="","",INDEX(상세표[성명],$H224)&amp;"")</f>
        <v/>
      </c>
      <c r="C224">
        <f>IF($H224="","",INDEX(상세표[부서],$H224)&amp;"")</f>
        <v/>
      </c>
      <c r="D224">
        <f>IF($H224="","",IF(IFERROR(INDEX(합계표[직위(통합)],MATCH(INDEX(상세표[사번키],$H224),합계표[사번키],0))&amp;"","")="",INDEX(상세표[직위],$H224)&amp;"",IFERROR(INDEX(합계표[직위(통합)],MATCH(INDEX(상세표[사번키],$H224),합계표[사번키],0))&amp;"","")))</f>
        <v/>
      </c>
      <c r="E224">
        <f>IF($H224="","",COUNTIFS(상세표[사번키],INDEX(상세표[사번키],$H224),상세표[기록월],대상월키))</f>
        <v/>
      </c>
      <c r="F224">
        <f>IF($H224="","",SUMIFS(상세표[기록 시간외],상세표[사번키],INDEX(상세표[사번키],$H224),상세표[기록월],대상월키))</f>
        <v/>
      </c>
      <c r="G224">
        <f>IF($H224="","",SUMIFS(합계표[시스템 합계],합계표[사번키],INDEX(상세표[사번키],$H224)))</f>
        <v/>
      </c>
      <c r="H224" s="4">
        <f>IFERROR(MATCH(219,상세표[발송인원순번],0),"")</f>
        <v/>
      </c>
      <c r="J224">
        <f>IF($U224="","",INDEX(상세표[사번],$U224)&amp;"")</f>
        <v/>
      </c>
      <c r="K224">
        <f>IF($U224="","",INDEX(상세표[성명],$U224)&amp;"")</f>
        <v/>
      </c>
      <c r="L224">
        <f>IF($U224="","",INDEX(상세표[직위],$U224)&amp;"")</f>
        <v/>
      </c>
      <c r="M224">
        <f>IF($U224="","",IF(ISNUMBER(INDEX(상세표[근무일자],$U224)),TEXT(INDEX(상세표[근무일자],$U224),"yyyy-mm-dd"),INDEX(상세표[근무일자],$U224)&amp;""))</f>
        <v/>
      </c>
      <c r="N224">
        <f>IF($U224="","",IF(ISNUMBER(INDEX(상세표[시작],$U224)),TEXT(INDEX(상세표[시작],$U224),"yyyy-mm-dd hh:mm"),INDEX(상세표[시작],$U224)&amp;""))</f>
        <v/>
      </c>
      <c r="O224">
        <f>IF($U224="","",IF(ISNUMBER(INDEX(상세표[종료],$U224)),TEXT(INDEX(상세표[종료],$U224),"yyyy-mm-dd hh:mm"),INDEX(상세표[종료],$U224)&amp;""))</f>
        <v/>
      </c>
      <c r="P224">
        <f>IF($U224="","",INDEX(상세표[06~07시],$U224))</f>
        <v/>
      </c>
      <c r="Q224">
        <f>IF($U224="","",INDEX(상세표[07~18시],$U224))</f>
        <v/>
      </c>
      <c r="R224">
        <f>IF($U224="","",INDEX(상세표[18~22시],$U224))</f>
        <v/>
      </c>
      <c r="S224">
        <f>IF($U224="","",INDEX(상세표[22~06시],$U224))</f>
        <v/>
      </c>
      <c r="T224">
        <f>IF($U224="","",INDEX(상세표[기록 시간외],$U224))</f>
        <v/>
      </c>
      <c r="U224" s="4">
        <f>IFERROR(MATCH(219,상세표[발송순번],0),"")</f>
        <v/>
      </c>
    </row>
    <row r="225">
      <c r="A225">
        <f>IF($H225="","",INDEX(상세표[사번],$H225)&amp;"")</f>
        <v/>
      </c>
      <c r="B225">
        <f>IF($H225="","",INDEX(상세표[성명],$H225)&amp;"")</f>
        <v/>
      </c>
      <c r="C225">
        <f>IF($H225="","",INDEX(상세표[부서],$H225)&amp;"")</f>
        <v/>
      </c>
      <c r="D225">
        <f>IF($H225="","",IF(IFERROR(INDEX(합계표[직위(통합)],MATCH(INDEX(상세표[사번키],$H225),합계표[사번키],0))&amp;"","")="",INDEX(상세표[직위],$H225)&amp;"",IFERROR(INDEX(합계표[직위(통합)],MATCH(INDEX(상세표[사번키],$H225),합계표[사번키],0))&amp;"","")))</f>
        <v/>
      </c>
      <c r="E225">
        <f>IF($H225="","",COUNTIFS(상세표[사번키],INDEX(상세표[사번키],$H225),상세표[기록월],대상월키))</f>
        <v/>
      </c>
      <c r="F225">
        <f>IF($H225="","",SUMIFS(상세표[기록 시간외],상세표[사번키],INDEX(상세표[사번키],$H225),상세표[기록월],대상월키))</f>
        <v/>
      </c>
      <c r="G225">
        <f>IF($H225="","",SUMIFS(합계표[시스템 합계],합계표[사번키],INDEX(상세표[사번키],$H225)))</f>
        <v/>
      </c>
      <c r="H225" s="4">
        <f>IFERROR(MATCH(220,상세표[발송인원순번],0),"")</f>
        <v/>
      </c>
      <c r="J225">
        <f>IF($U225="","",INDEX(상세표[사번],$U225)&amp;"")</f>
        <v/>
      </c>
      <c r="K225">
        <f>IF($U225="","",INDEX(상세표[성명],$U225)&amp;"")</f>
        <v/>
      </c>
      <c r="L225">
        <f>IF($U225="","",INDEX(상세표[직위],$U225)&amp;"")</f>
        <v/>
      </c>
      <c r="M225">
        <f>IF($U225="","",IF(ISNUMBER(INDEX(상세표[근무일자],$U225)),TEXT(INDEX(상세표[근무일자],$U225),"yyyy-mm-dd"),INDEX(상세표[근무일자],$U225)&amp;""))</f>
        <v/>
      </c>
      <c r="N225">
        <f>IF($U225="","",IF(ISNUMBER(INDEX(상세표[시작],$U225)),TEXT(INDEX(상세표[시작],$U225),"yyyy-mm-dd hh:mm"),INDEX(상세표[시작],$U225)&amp;""))</f>
        <v/>
      </c>
      <c r="O225">
        <f>IF($U225="","",IF(ISNUMBER(INDEX(상세표[종료],$U225)),TEXT(INDEX(상세표[종료],$U225),"yyyy-mm-dd hh:mm"),INDEX(상세표[종료],$U225)&amp;""))</f>
        <v/>
      </c>
      <c r="P225">
        <f>IF($U225="","",INDEX(상세표[06~07시],$U225))</f>
        <v/>
      </c>
      <c r="Q225">
        <f>IF($U225="","",INDEX(상세표[07~18시],$U225))</f>
        <v/>
      </c>
      <c r="R225">
        <f>IF($U225="","",INDEX(상세표[18~22시],$U225))</f>
        <v/>
      </c>
      <c r="S225">
        <f>IF($U225="","",INDEX(상세표[22~06시],$U225))</f>
        <v/>
      </c>
      <c r="T225">
        <f>IF($U225="","",INDEX(상세표[기록 시간외],$U225))</f>
        <v/>
      </c>
      <c r="U225" s="4">
        <f>IFERROR(MATCH(220,상세표[발송순번],0),"")</f>
        <v/>
      </c>
    </row>
    <row r="226">
      <c r="A226">
        <f>IF($H226="","",INDEX(상세표[사번],$H226)&amp;"")</f>
        <v/>
      </c>
      <c r="B226">
        <f>IF($H226="","",INDEX(상세표[성명],$H226)&amp;"")</f>
        <v/>
      </c>
      <c r="C226">
        <f>IF($H226="","",INDEX(상세표[부서],$H226)&amp;"")</f>
        <v/>
      </c>
      <c r="D226">
        <f>IF($H226="","",IF(IFERROR(INDEX(합계표[직위(통합)],MATCH(INDEX(상세표[사번키],$H226),합계표[사번키],0))&amp;"","")="",INDEX(상세표[직위],$H226)&amp;"",IFERROR(INDEX(합계표[직위(통합)],MATCH(INDEX(상세표[사번키],$H226),합계표[사번키],0))&amp;"","")))</f>
        <v/>
      </c>
      <c r="E226">
        <f>IF($H226="","",COUNTIFS(상세표[사번키],INDEX(상세표[사번키],$H226),상세표[기록월],대상월키))</f>
        <v/>
      </c>
      <c r="F226">
        <f>IF($H226="","",SUMIFS(상세표[기록 시간외],상세표[사번키],INDEX(상세표[사번키],$H226),상세표[기록월],대상월키))</f>
        <v/>
      </c>
      <c r="G226">
        <f>IF($H226="","",SUMIFS(합계표[시스템 합계],합계표[사번키],INDEX(상세표[사번키],$H226)))</f>
        <v/>
      </c>
      <c r="H226" s="4">
        <f>IFERROR(MATCH(221,상세표[발송인원순번],0),"")</f>
        <v/>
      </c>
      <c r="J226">
        <f>IF($U226="","",INDEX(상세표[사번],$U226)&amp;"")</f>
        <v/>
      </c>
      <c r="K226">
        <f>IF($U226="","",INDEX(상세표[성명],$U226)&amp;"")</f>
        <v/>
      </c>
      <c r="L226">
        <f>IF($U226="","",INDEX(상세표[직위],$U226)&amp;"")</f>
        <v/>
      </c>
      <c r="M226">
        <f>IF($U226="","",IF(ISNUMBER(INDEX(상세표[근무일자],$U226)),TEXT(INDEX(상세표[근무일자],$U226),"yyyy-mm-dd"),INDEX(상세표[근무일자],$U226)&amp;""))</f>
        <v/>
      </c>
      <c r="N226">
        <f>IF($U226="","",IF(ISNUMBER(INDEX(상세표[시작],$U226)),TEXT(INDEX(상세표[시작],$U226),"yyyy-mm-dd hh:mm"),INDEX(상세표[시작],$U226)&amp;""))</f>
        <v/>
      </c>
      <c r="O226">
        <f>IF($U226="","",IF(ISNUMBER(INDEX(상세표[종료],$U226)),TEXT(INDEX(상세표[종료],$U226),"yyyy-mm-dd hh:mm"),INDEX(상세표[종료],$U226)&amp;""))</f>
        <v/>
      </c>
      <c r="P226">
        <f>IF($U226="","",INDEX(상세표[06~07시],$U226))</f>
        <v/>
      </c>
      <c r="Q226">
        <f>IF($U226="","",INDEX(상세표[07~18시],$U226))</f>
        <v/>
      </c>
      <c r="R226">
        <f>IF($U226="","",INDEX(상세표[18~22시],$U226))</f>
        <v/>
      </c>
      <c r="S226">
        <f>IF($U226="","",INDEX(상세표[22~06시],$U226))</f>
        <v/>
      </c>
      <c r="T226">
        <f>IF($U226="","",INDEX(상세표[기록 시간외],$U226))</f>
        <v/>
      </c>
      <c r="U226" s="4">
        <f>IFERROR(MATCH(221,상세표[발송순번],0),"")</f>
        <v/>
      </c>
    </row>
    <row r="227">
      <c r="A227">
        <f>IF($H227="","",INDEX(상세표[사번],$H227)&amp;"")</f>
        <v/>
      </c>
      <c r="B227">
        <f>IF($H227="","",INDEX(상세표[성명],$H227)&amp;"")</f>
        <v/>
      </c>
      <c r="C227">
        <f>IF($H227="","",INDEX(상세표[부서],$H227)&amp;"")</f>
        <v/>
      </c>
      <c r="D227">
        <f>IF($H227="","",IF(IFERROR(INDEX(합계표[직위(통합)],MATCH(INDEX(상세표[사번키],$H227),합계표[사번키],0))&amp;"","")="",INDEX(상세표[직위],$H227)&amp;"",IFERROR(INDEX(합계표[직위(통합)],MATCH(INDEX(상세표[사번키],$H227),합계표[사번키],0))&amp;"","")))</f>
        <v/>
      </c>
      <c r="E227">
        <f>IF($H227="","",COUNTIFS(상세표[사번키],INDEX(상세표[사번키],$H227),상세표[기록월],대상월키))</f>
        <v/>
      </c>
      <c r="F227">
        <f>IF($H227="","",SUMIFS(상세표[기록 시간외],상세표[사번키],INDEX(상세표[사번키],$H227),상세표[기록월],대상월키))</f>
        <v/>
      </c>
      <c r="G227">
        <f>IF($H227="","",SUMIFS(합계표[시스템 합계],합계표[사번키],INDEX(상세표[사번키],$H227)))</f>
        <v/>
      </c>
      <c r="H227" s="4">
        <f>IFERROR(MATCH(222,상세표[발송인원순번],0),"")</f>
        <v/>
      </c>
      <c r="J227">
        <f>IF($U227="","",INDEX(상세표[사번],$U227)&amp;"")</f>
        <v/>
      </c>
      <c r="K227">
        <f>IF($U227="","",INDEX(상세표[성명],$U227)&amp;"")</f>
        <v/>
      </c>
      <c r="L227">
        <f>IF($U227="","",INDEX(상세표[직위],$U227)&amp;"")</f>
        <v/>
      </c>
      <c r="M227">
        <f>IF($U227="","",IF(ISNUMBER(INDEX(상세표[근무일자],$U227)),TEXT(INDEX(상세표[근무일자],$U227),"yyyy-mm-dd"),INDEX(상세표[근무일자],$U227)&amp;""))</f>
        <v/>
      </c>
      <c r="N227">
        <f>IF($U227="","",IF(ISNUMBER(INDEX(상세표[시작],$U227)),TEXT(INDEX(상세표[시작],$U227),"yyyy-mm-dd hh:mm"),INDEX(상세표[시작],$U227)&amp;""))</f>
        <v/>
      </c>
      <c r="O227">
        <f>IF($U227="","",IF(ISNUMBER(INDEX(상세표[종료],$U227)),TEXT(INDEX(상세표[종료],$U227),"yyyy-mm-dd hh:mm"),INDEX(상세표[종료],$U227)&amp;""))</f>
        <v/>
      </c>
      <c r="P227">
        <f>IF($U227="","",INDEX(상세표[06~07시],$U227))</f>
        <v/>
      </c>
      <c r="Q227">
        <f>IF($U227="","",INDEX(상세표[07~18시],$U227))</f>
        <v/>
      </c>
      <c r="R227">
        <f>IF($U227="","",INDEX(상세표[18~22시],$U227))</f>
        <v/>
      </c>
      <c r="S227">
        <f>IF($U227="","",INDEX(상세표[22~06시],$U227))</f>
        <v/>
      </c>
      <c r="T227">
        <f>IF($U227="","",INDEX(상세표[기록 시간외],$U227))</f>
        <v/>
      </c>
      <c r="U227" s="4">
        <f>IFERROR(MATCH(222,상세표[발송순번],0),"")</f>
        <v/>
      </c>
    </row>
    <row r="228">
      <c r="A228">
        <f>IF($H228="","",INDEX(상세표[사번],$H228)&amp;"")</f>
        <v/>
      </c>
      <c r="B228">
        <f>IF($H228="","",INDEX(상세표[성명],$H228)&amp;"")</f>
        <v/>
      </c>
      <c r="C228">
        <f>IF($H228="","",INDEX(상세표[부서],$H228)&amp;"")</f>
        <v/>
      </c>
      <c r="D228">
        <f>IF($H228="","",IF(IFERROR(INDEX(합계표[직위(통합)],MATCH(INDEX(상세표[사번키],$H228),합계표[사번키],0))&amp;"","")="",INDEX(상세표[직위],$H228)&amp;"",IFERROR(INDEX(합계표[직위(통합)],MATCH(INDEX(상세표[사번키],$H228),합계표[사번키],0))&amp;"","")))</f>
        <v/>
      </c>
      <c r="E228">
        <f>IF($H228="","",COUNTIFS(상세표[사번키],INDEX(상세표[사번키],$H228),상세표[기록월],대상월키))</f>
        <v/>
      </c>
      <c r="F228">
        <f>IF($H228="","",SUMIFS(상세표[기록 시간외],상세표[사번키],INDEX(상세표[사번키],$H228),상세표[기록월],대상월키))</f>
        <v/>
      </c>
      <c r="G228">
        <f>IF($H228="","",SUMIFS(합계표[시스템 합계],합계표[사번키],INDEX(상세표[사번키],$H228)))</f>
        <v/>
      </c>
      <c r="H228" s="4">
        <f>IFERROR(MATCH(223,상세표[발송인원순번],0),"")</f>
        <v/>
      </c>
      <c r="J228">
        <f>IF($U228="","",INDEX(상세표[사번],$U228)&amp;"")</f>
        <v/>
      </c>
      <c r="K228">
        <f>IF($U228="","",INDEX(상세표[성명],$U228)&amp;"")</f>
        <v/>
      </c>
      <c r="L228">
        <f>IF($U228="","",INDEX(상세표[직위],$U228)&amp;"")</f>
        <v/>
      </c>
      <c r="M228">
        <f>IF($U228="","",IF(ISNUMBER(INDEX(상세표[근무일자],$U228)),TEXT(INDEX(상세표[근무일자],$U228),"yyyy-mm-dd"),INDEX(상세표[근무일자],$U228)&amp;""))</f>
        <v/>
      </c>
      <c r="N228">
        <f>IF($U228="","",IF(ISNUMBER(INDEX(상세표[시작],$U228)),TEXT(INDEX(상세표[시작],$U228),"yyyy-mm-dd hh:mm"),INDEX(상세표[시작],$U228)&amp;""))</f>
        <v/>
      </c>
      <c r="O228">
        <f>IF($U228="","",IF(ISNUMBER(INDEX(상세표[종료],$U228)),TEXT(INDEX(상세표[종료],$U228),"yyyy-mm-dd hh:mm"),INDEX(상세표[종료],$U228)&amp;""))</f>
        <v/>
      </c>
      <c r="P228">
        <f>IF($U228="","",INDEX(상세표[06~07시],$U228))</f>
        <v/>
      </c>
      <c r="Q228">
        <f>IF($U228="","",INDEX(상세표[07~18시],$U228))</f>
        <v/>
      </c>
      <c r="R228">
        <f>IF($U228="","",INDEX(상세표[18~22시],$U228))</f>
        <v/>
      </c>
      <c r="S228">
        <f>IF($U228="","",INDEX(상세표[22~06시],$U228))</f>
        <v/>
      </c>
      <c r="T228">
        <f>IF($U228="","",INDEX(상세표[기록 시간외],$U228))</f>
        <v/>
      </c>
      <c r="U228" s="4">
        <f>IFERROR(MATCH(223,상세표[발송순번],0),"")</f>
        <v/>
      </c>
    </row>
    <row r="229">
      <c r="A229">
        <f>IF($H229="","",INDEX(상세표[사번],$H229)&amp;"")</f>
        <v/>
      </c>
      <c r="B229">
        <f>IF($H229="","",INDEX(상세표[성명],$H229)&amp;"")</f>
        <v/>
      </c>
      <c r="C229">
        <f>IF($H229="","",INDEX(상세표[부서],$H229)&amp;"")</f>
        <v/>
      </c>
      <c r="D229">
        <f>IF($H229="","",IF(IFERROR(INDEX(합계표[직위(통합)],MATCH(INDEX(상세표[사번키],$H229),합계표[사번키],0))&amp;"","")="",INDEX(상세표[직위],$H229)&amp;"",IFERROR(INDEX(합계표[직위(통합)],MATCH(INDEX(상세표[사번키],$H229),합계표[사번키],0))&amp;"","")))</f>
        <v/>
      </c>
      <c r="E229">
        <f>IF($H229="","",COUNTIFS(상세표[사번키],INDEX(상세표[사번키],$H229),상세표[기록월],대상월키))</f>
        <v/>
      </c>
      <c r="F229">
        <f>IF($H229="","",SUMIFS(상세표[기록 시간외],상세표[사번키],INDEX(상세표[사번키],$H229),상세표[기록월],대상월키))</f>
        <v/>
      </c>
      <c r="G229">
        <f>IF($H229="","",SUMIFS(합계표[시스템 합계],합계표[사번키],INDEX(상세표[사번키],$H229)))</f>
        <v/>
      </c>
      <c r="H229" s="4">
        <f>IFERROR(MATCH(224,상세표[발송인원순번],0),"")</f>
        <v/>
      </c>
      <c r="J229">
        <f>IF($U229="","",INDEX(상세표[사번],$U229)&amp;"")</f>
        <v/>
      </c>
      <c r="K229">
        <f>IF($U229="","",INDEX(상세표[성명],$U229)&amp;"")</f>
        <v/>
      </c>
      <c r="L229">
        <f>IF($U229="","",INDEX(상세표[직위],$U229)&amp;"")</f>
        <v/>
      </c>
      <c r="M229">
        <f>IF($U229="","",IF(ISNUMBER(INDEX(상세표[근무일자],$U229)),TEXT(INDEX(상세표[근무일자],$U229),"yyyy-mm-dd"),INDEX(상세표[근무일자],$U229)&amp;""))</f>
        <v/>
      </c>
      <c r="N229">
        <f>IF($U229="","",IF(ISNUMBER(INDEX(상세표[시작],$U229)),TEXT(INDEX(상세표[시작],$U229),"yyyy-mm-dd hh:mm"),INDEX(상세표[시작],$U229)&amp;""))</f>
        <v/>
      </c>
      <c r="O229">
        <f>IF($U229="","",IF(ISNUMBER(INDEX(상세표[종료],$U229)),TEXT(INDEX(상세표[종료],$U229),"yyyy-mm-dd hh:mm"),INDEX(상세표[종료],$U229)&amp;""))</f>
        <v/>
      </c>
      <c r="P229">
        <f>IF($U229="","",INDEX(상세표[06~07시],$U229))</f>
        <v/>
      </c>
      <c r="Q229">
        <f>IF($U229="","",INDEX(상세표[07~18시],$U229))</f>
        <v/>
      </c>
      <c r="R229">
        <f>IF($U229="","",INDEX(상세표[18~22시],$U229))</f>
        <v/>
      </c>
      <c r="S229">
        <f>IF($U229="","",INDEX(상세표[22~06시],$U229))</f>
        <v/>
      </c>
      <c r="T229">
        <f>IF($U229="","",INDEX(상세표[기록 시간외],$U229))</f>
        <v/>
      </c>
      <c r="U229" s="4">
        <f>IFERROR(MATCH(224,상세표[발송순번],0),"")</f>
        <v/>
      </c>
    </row>
    <row r="230">
      <c r="A230">
        <f>IF($H230="","",INDEX(상세표[사번],$H230)&amp;"")</f>
        <v/>
      </c>
      <c r="B230">
        <f>IF($H230="","",INDEX(상세표[성명],$H230)&amp;"")</f>
        <v/>
      </c>
      <c r="C230">
        <f>IF($H230="","",INDEX(상세표[부서],$H230)&amp;"")</f>
        <v/>
      </c>
      <c r="D230">
        <f>IF($H230="","",IF(IFERROR(INDEX(합계표[직위(통합)],MATCH(INDEX(상세표[사번키],$H230),합계표[사번키],0))&amp;"","")="",INDEX(상세표[직위],$H230)&amp;"",IFERROR(INDEX(합계표[직위(통합)],MATCH(INDEX(상세표[사번키],$H230),합계표[사번키],0))&amp;"","")))</f>
        <v/>
      </c>
      <c r="E230">
        <f>IF($H230="","",COUNTIFS(상세표[사번키],INDEX(상세표[사번키],$H230),상세표[기록월],대상월키))</f>
        <v/>
      </c>
      <c r="F230">
        <f>IF($H230="","",SUMIFS(상세표[기록 시간외],상세표[사번키],INDEX(상세표[사번키],$H230),상세표[기록월],대상월키))</f>
        <v/>
      </c>
      <c r="G230">
        <f>IF($H230="","",SUMIFS(합계표[시스템 합계],합계표[사번키],INDEX(상세표[사번키],$H230)))</f>
        <v/>
      </c>
      <c r="H230" s="4">
        <f>IFERROR(MATCH(225,상세표[발송인원순번],0),"")</f>
        <v/>
      </c>
      <c r="J230">
        <f>IF($U230="","",INDEX(상세표[사번],$U230)&amp;"")</f>
        <v/>
      </c>
      <c r="K230">
        <f>IF($U230="","",INDEX(상세표[성명],$U230)&amp;"")</f>
        <v/>
      </c>
      <c r="L230">
        <f>IF($U230="","",INDEX(상세표[직위],$U230)&amp;"")</f>
        <v/>
      </c>
      <c r="M230">
        <f>IF($U230="","",IF(ISNUMBER(INDEX(상세표[근무일자],$U230)),TEXT(INDEX(상세표[근무일자],$U230),"yyyy-mm-dd"),INDEX(상세표[근무일자],$U230)&amp;""))</f>
        <v/>
      </c>
      <c r="N230">
        <f>IF($U230="","",IF(ISNUMBER(INDEX(상세표[시작],$U230)),TEXT(INDEX(상세표[시작],$U230),"yyyy-mm-dd hh:mm"),INDEX(상세표[시작],$U230)&amp;""))</f>
        <v/>
      </c>
      <c r="O230">
        <f>IF($U230="","",IF(ISNUMBER(INDEX(상세표[종료],$U230)),TEXT(INDEX(상세표[종료],$U230),"yyyy-mm-dd hh:mm"),INDEX(상세표[종료],$U230)&amp;""))</f>
        <v/>
      </c>
      <c r="P230">
        <f>IF($U230="","",INDEX(상세표[06~07시],$U230))</f>
        <v/>
      </c>
      <c r="Q230">
        <f>IF($U230="","",INDEX(상세표[07~18시],$U230))</f>
        <v/>
      </c>
      <c r="R230">
        <f>IF($U230="","",INDEX(상세표[18~22시],$U230))</f>
        <v/>
      </c>
      <c r="S230">
        <f>IF($U230="","",INDEX(상세표[22~06시],$U230))</f>
        <v/>
      </c>
      <c r="T230">
        <f>IF($U230="","",INDEX(상세표[기록 시간외],$U230))</f>
        <v/>
      </c>
      <c r="U230" s="4">
        <f>IFERROR(MATCH(225,상세표[발송순번],0),"")</f>
        <v/>
      </c>
    </row>
    <row r="231">
      <c r="A231">
        <f>IF($H231="","",INDEX(상세표[사번],$H231)&amp;"")</f>
        <v/>
      </c>
      <c r="B231">
        <f>IF($H231="","",INDEX(상세표[성명],$H231)&amp;"")</f>
        <v/>
      </c>
      <c r="C231">
        <f>IF($H231="","",INDEX(상세표[부서],$H231)&amp;"")</f>
        <v/>
      </c>
      <c r="D231">
        <f>IF($H231="","",IF(IFERROR(INDEX(합계표[직위(통합)],MATCH(INDEX(상세표[사번키],$H231),합계표[사번키],0))&amp;"","")="",INDEX(상세표[직위],$H231)&amp;"",IFERROR(INDEX(합계표[직위(통합)],MATCH(INDEX(상세표[사번키],$H231),합계표[사번키],0))&amp;"","")))</f>
        <v/>
      </c>
      <c r="E231">
        <f>IF($H231="","",COUNTIFS(상세표[사번키],INDEX(상세표[사번키],$H231),상세표[기록월],대상월키))</f>
        <v/>
      </c>
      <c r="F231">
        <f>IF($H231="","",SUMIFS(상세표[기록 시간외],상세표[사번키],INDEX(상세표[사번키],$H231),상세표[기록월],대상월키))</f>
        <v/>
      </c>
      <c r="G231">
        <f>IF($H231="","",SUMIFS(합계표[시스템 합계],합계표[사번키],INDEX(상세표[사번키],$H231)))</f>
        <v/>
      </c>
      <c r="H231" s="4">
        <f>IFERROR(MATCH(226,상세표[발송인원순번],0),"")</f>
        <v/>
      </c>
      <c r="J231">
        <f>IF($U231="","",INDEX(상세표[사번],$U231)&amp;"")</f>
        <v/>
      </c>
      <c r="K231">
        <f>IF($U231="","",INDEX(상세표[성명],$U231)&amp;"")</f>
        <v/>
      </c>
      <c r="L231">
        <f>IF($U231="","",INDEX(상세표[직위],$U231)&amp;"")</f>
        <v/>
      </c>
      <c r="M231">
        <f>IF($U231="","",IF(ISNUMBER(INDEX(상세표[근무일자],$U231)),TEXT(INDEX(상세표[근무일자],$U231),"yyyy-mm-dd"),INDEX(상세표[근무일자],$U231)&amp;""))</f>
        <v/>
      </c>
      <c r="N231">
        <f>IF($U231="","",IF(ISNUMBER(INDEX(상세표[시작],$U231)),TEXT(INDEX(상세표[시작],$U231),"yyyy-mm-dd hh:mm"),INDEX(상세표[시작],$U231)&amp;""))</f>
        <v/>
      </c>
      <c r="O231">
        <f>IF($U231="","",IF(ISNUMBER(INDEX(상세표[종료],$U231)),TEXT(INDEX(상세표[종료],$U231),"yyyy-mm-dd hh:mm"),INDEX(상세표[종료],$U231)&amp;""))</f>
        <v/>
      </c>
      <c r="P231">
        <f>IF($U231="","",INDEX(상세표[06~07시],$U231))</f>
        <v/>
      </c>
      <c r="Q231">
        <f>IF($U231="","",INDEX(상세표[07~18시],$U231))</f>
        <v/>
      </c>
      <c r="R231">
        <f>IF($U231="","",INDEX(상세표[18~22시],$U231))</f>
        <v/>
      </c>
      <c r="S231">
        <f>IF($U231="","",INDEX(상세표[22~06시],$U231))</f>
        <v/>
      </c>
      <c r="T231">
        <f>IF($U231="","",INDEX(상세표[기록 시간외],$U231))</f>
        <v/>
      </c>
      <c r="U231" s="4">
        <f>IFERROR(MATCH(226,상세표[발송순번],0),"")</f>
        <v/>
      </c>
    </row>
    <row r="232">
      <c r="A232">
        <f>IF($H232="","",INDEX(상세표[사번],$H232)&amp;"")</f>
        <v/>
      </c>
      <c r="B232">
        <f>IF($H232="","",INDEX(상세표[성명],$H232)&amp;"")</f>
        <v/>
      </c>
      <c r="C232">
        <f>IF($H232="","",INDEX(상세표[부서],$H232)&amp;"")</f>
        <v/>
      </c>
      <c r="D232">
        <f>IF($H232="","",IF(IFERROR(INDEX(합계표[직위(통합)],MATCH(INDEX(상세표[사번키],$H232),합계표[사번키],0))&amp;"","")="",INDEX(상세표[직위],$H232)&amp;"",IFERROR(INDEX(합계표[직위(통합)],MATCH(INDEX(상세표[사번키],$H232),합계표[사번키],0))&amp;"","")))</f>
        <v/>
      </c>
      <c r="E232">
        <f>IF($H232="","",COUNTIFS(상세표[사번키],INDEX(상세표[사번키],$H232),상세표[기록월],대상월키))</f>
        <v/>
      </c>
      <c r="F232">
        <f>IF($H232="","",SUMIFS(상세표[기록 시간외],상세표[사번키],INDEX(상세표[사번키],$H232),상세표[기록월],대상월키))</f>
        <v/>
      </c>
      <c r="G232">
        <f>IF($H232="","",SUMIFS(합계표[시스템 합계],합계표[사번키],INDEX(상세표[사번키],$H232)))</f>
        <v/>
      </c>
      <c r="H232" s="4">
        <f>IFERROR(MATCH(227,상세표[발송인원순번],0),"")</f>
        <v/>
      </c>
      <c r="J232">
        <f>IF($U232="","",INDEX(상세표[사번],$U232)&amp;"")</f>
        <v/>
      </c>
      <c r="K232">
        <f>IF($U232="","",INDEX(상세표[성명],$U232)&amp;"")</f>
        <v/>
      </c>
      <c r="L232">
        <f>IF($U232="","",INDEX(상세표[직위],$U232)&amp;"")</f>
        <v/>
      </c>
      <c r="M232">
        <f>IF($U232="","",IF(ISNUMBER(INDEX(상세표[근무일자],$U232)),TEXT(INDEX(상세표[근무일자],$U232),"yyyy-mm-dd"),INDEX(상세표[근무일자],$U232)&amp;""))</f>
        <v/>
      </c>
      <c r="N232">
        <f>IF($U232="","",IF(ISNUMBER(INDEX(상세표[시작],$U232)),TEXT(INDEX(상세표[시작],$U232),"yyyy-mm-dd hh:mm"),INDEX(상세표[시작],$U232)&amp;""))</f>
        <v/>
      </c>
      <c r="O232">
        <f>IF($U232="","",IF(ISNUMBER(INDEX(상세표[종료],$U232)),TEXT(INDEX(상세표[종료],$U232),"yyyy-mm-dd hh:mm"),INDEX(상세표[종료],$U232)&amp;""))</f>
        <v/>
      </c>
      <c r="P232">
        <f>IF($U232="","",INDEX(상세표[06~07시],$U232))</f>
        <v/>
      </c>
      <c r="Q232">
        <f>IF($U232="","",INDEX(상세표[07~18시],$U232))</f>
        <v/>
      </c>
      <c r="R232">
        <f>IF($U232="","",INDEX(상세표[18~22시],$U232))</f>
        <v/>
      </c>
      <c r="S232">
        <f>IF($U232="","",INDEX(상세표[22~06시],$U232))</f>
        <v/>
      </c>
      <c r="T232">
        <f>IF($U232="","",INDEX(상세표[기록 시간외],$U232))</f>
        <v/>
      </c>
      <c r="U232" s="4">
        <f>IFERROR(MATCH(227,상세표[발송순번],0),"")</f>
        <v/>
      </c>
    </row>
    <row r="233">
      <c r="A233">
        <f>IF($H233="","",INDEX(상세표[사번],$H233)&amp;"")</f>
        <v/>
      </c>
      <c r="B233">
        <f>IF($H233="","",INDEX(상세표[성명],$H233)&amp;"")</f>
        <v/>
      </c>
      <c r="C233">
        <f>IF($H233="","",INDEX(상세표[부서],$H233)&amp;"")</f>
        <v/>
      </c>
      <c r="D233">
        <f>IF($H233="","",IF(IFERROR(INDEX(합계표[직위(통합)],MATCH(INDEX(상세표[사번키],$H233),합계표[사번키],0))&amp;"","")="",INDEX(상세표[직위],$H233)&amp;"",IFERROR(INDEX(합계표[직위(통합)],MATCH(INDEX(상세표[사번키],$H233),합계표[사번키],0))&amp;"","")))</f>
        <v/>
      </c>
      <c r="E233">
        <f>IF($H233="","",COUNTIFS(상세표[사번키],INDEX(상세표[사번키],$H233),상세표[기록월],대상월키))</f>
        <v/>
      </c>
      <c r="F233">
        <f>IF($H233="","",SUMIFS(상세표[기록 시간외],상세표[사번키],INDEX(상세표[사번키],$H233),상세표[기록월],대상월키))</f>
        <v/>
      </c>
      <c r="G233">
        <f>IF($H233="","",SUMIFS(합계표[시스템 합계],합계표[사번키],INDEX(상세표[사번키],$H233)))</f>
        <v/>
      </c>
      <c r="H233" s="4">
        <f>IFERROR(MATCH(228,상세표[발송인원순번],0),"")</f>
        <v/>
      </c>
      <c r="J233">
        <f>IF($U233="","",INDEX(상세표[사번],$U233)&amp;"")</f>
        <v/>
      </c>
      <c r="K233">
        <f>IF($U233="","",INDEX(상세표[성명],$U233)&amp;"")</f>
        <v/>
      </c>
      <c r="L233">
        <f>IF($U233="","",INDEX(상세표[직위],$U233)&amp;"")</f>
        <v/>
      </c>
      <c r="M233">
        <f>IF($U233="","",IF(ISNUMBER(INDEX(상세표[근무일자],$U233)),TEXT(INDEX(상세표[근무일자],$U233),"yyyy-mm-dd"),INDEX(상세표[근무일자],$U233)&amp;""))</f>
        <v/>
      </c>
      <c r="N233">
        <f>IF($U233="","",IF(ISNUMBER(INDEX(상세표[시작],$U233)),TEXT(INDEX(상세표[시작],$U233),"yyyy-mm-dd hh:mm"),INDEX(상세표[시작],$U233)&amp;""))</f>
        <v/>
      </c>
      <c r="O233">
        <f>IF($U233="","",IF(ISNUMBER(INDEX(상세표[종료],$U233)),TEXT(INDEX(상세표[종료],$U233),"yyyy-mm-dd hh:mm"),INDEX(상세표[종료],$U233)&amp;""))</f>
        <v/>
      </c>
      <c r="P233">
        <f>IF($U233="","",INDEX(상세표[06~07시],$U233))</f>
        <v/>
      </c>
      <c r="Q233">
        <f>IF($U233="","",INDEX(상세표[07~18시],$U233))</f>
        <v/>
      </c>
      <c r="R233">
        <f>IF($U233="","",INDEX(상세표[18~22시],$U233))</f>
        <v/>
      </c>
      <c r="S233">
        <f>IF($U233="","",INDEX(상세표[22~06시],$U233))</f>
        <v/>
      </c>
      <c r="T233">
        <f>IF($U233="","",INDEX(상세표[기록 시간외],$U233))</f>
        <v/>
      </c>
      <c r="U233" s="4">
        <f>IFERROR(MATCH(228,상세표[발송순번],0),"")</f>
        <v/>
      </c>
    </row>
    <row r="234">
      <c r="A234">
        <f>IF($H234="","",INDEX(상세표[사번],$H234)&amp;"")</f>
        <v/>
      </c>
      <c r="B234">
        <f>IF($H234="","",INDEX(상세표[성명],$H234)&amp;"")</f>
        <v/>
      </c>
      <c r="C234">
        <f>IF($H234="","",INDEX(상세표[부서],$H234)&amp;"")</f>
        <v/>
      </c>
      <c r="D234">
        <f>IF($H234="","",IF(IFERROR(INDEX(합계표[직위(통합)],MATCH(INDEX(상세표[사번키],$H234),합계표[사번키],0))&amp;"","")="",INDEX(상세표[직위],$H234)&amp;"",IFERROR(INDEX(합계표[직위(통합)],MATCH(INDEX(상세표[사번키],$H234),합계표[사번키],0))&amp;"","")))</f>
        <v/>
      </c>
      <c r="E234">
        <f>IF($H234="","",COUNTIFS(상세표[사번키],INDEX(상세표[사번키],$H234),상세표[기록월],대상월키))</f>
        <v/>
      </c>
      <c r="F234">
        <f>IF($H234="","",SUMIFS(상세표[기록 시간외],상세표[사번키],INDEX(상세표[사번키],$H234),상세표[기록월],대상월키))</f>
        <v/>
      </c>
      <c r="G234">
        <f>IF($H234="","",SUMIFS(합계표[시스템 합계],합계표[사번키],INDEX(상세표[사번키],$H234)))</f>
        <v/>
      </c>
      <c r="H234" s="4">
        <f>IFERROR(MATCH(229,상세표[발송인원순번],0),"")</f>
        <v/>
      </c>
      <c r="J234">
        <f>IF($U234="","",INDEX(상세표[사번],$U234)&amp;"")</f>
        <v/>
      </c>
      <c r="K234">
        <f>IF($U234="","",INDEX(상세표[성명],$U234)&amp;"")</f>
        <v/>
      </c>
      <c r="L234">
        <f>IF($U234="","",INDEX(상세표[직위],$U234)&amp;"")</f>
        <v/>
      </c>
      <c r="M234">
        <f>IF($U234="","",IF(ISNUMBER(INDEX(상세표[근무일자],$U234)),TEXT(INDEX(상세표[근무일자],$U234),"yyyy-mm-dd"),INDEX(상세표[근무일자],$U234)&amp;""))</f>
        <v/>
      </c>
      <c r="N234">
        <f>IF($U234="","",IF(ISNUMBER(INDEX(상세표[시작],$U234)),TEXT(INDEX(상세표[시작],$U234),"yyyy-mm-dd hh:mm"),INDEX(상세표[시작],$U234)&amp;""))</f>
        <v/>
      </c>
      <c r="O234">
        <f>IF($U234="","",IF(ISNUMBER(INDEX(상세표[종료],$U234)),TEXT(INDEX(상세표[종료],$U234),"yyyy-mm-dd hh:mm"),INDEX(상세표[종료],$U234)&amp;""))</f>
        <v/>
      </c>
      <c r="P234">
        <f>IF($U234="","",INDEX(상세표[06~07시],$U234))</f>
        <v/>
      </c>
      <c r="Q234">
        <f>IF($U234="","",INDEX(상세표[07~18시],$U234))</f>
        <v/>
      </c>
      <c r="R234">
        <f>IF($U234="","",INDEX(상세표[18~22시],$U234))</f>
        <v/>
      </c>
      <c r="S234">
        <f>IF($U234="","",INDEX(상세표[22~06시],$U234))</f>
        <v/>
      </c>
      <c r="T234">
        <f>IF($U234="","",INDEX(상세표[기록 시간외],$U234))</f>
        <v/>
      </c>
      <c r="U234" s="4">
        <f>IFERROR(MATCH(229,상세표[발송순번],0),"")</f>
        <v/>
      </c>
    </row>
    <row r="235">
      <c r="A235">
        <f>IF($H235="","",INDEX(상세표[사번],$H235)&amp;"")</f>
        <v/>
      </c>
      <c r="B235">
        <f>IF($H235="","",INDEX(상세표[성명],$H235)&amp;"")</f>
        <v/>
      </c>
      <c r="C235">
        <f>IF($H235="","",INDEX(상세표[부서],$H235)&amp;"")</f>
        <v/>
      </c>
      <c r="D235">
        <f>IF($H235="","",IF(IFERROR(INDEX(합계표[직위(통합)],MATCH(INDEX(상세표[사번키],$H235),합계표[사번키],0))&amp;"","")="",INDEX(상세표[직위],$H235)&amp;"",IFERROR(INDEX(합계표[직위(통합)],MATCH(INDEX(상세표[사번키],$H235),합계표[사번키],0))&amp;"","")))</f>
        <v/>
      </c>
      <c r="E235">
        <f>IF($H235="","",COUNTIFS(상세표[사번키],INDEX(상세표[사번키],$H235),상세표[기록월],대상월키))</f>
        <v/>
      </c>
      <c r="F235">
        <f>IF($H235="","",SUMIFS(상세표[기록 시간외],상세표[사번키],INDEX(상세표[사번키],$H235),상세표[기록월],대상월키))</f>
        <v/>
      </c>
      <c r="G235">
        <f>IF($H235="","",SUMIFS(합계표[시스템 합계],합계표[사번키],INDEX(상세표[사번키],$H235)))</f>
        <v/>
      </c>
      <c r="H235" s="4">
        <f>IFERROR(MATCH(230,상세표[발송인원순번],0),"")</f>
        <v/>
      </c>
      <c r="J235">
        <f>IF($U235="","",INDEX(상세표[사번],$U235)&amp;"")</f>
        <v/>
      </c>
      <c r="K235">
        <f>IF($U235="","",INDEX(상세표[성명],$U235)&amp;"")</f>
        <v/>
      </c>
      <c r="L235">
        <f>IF($U235="","",INDEX(상세표[직위],$U235)&amp;"")</f>
        <v/>
      </c>
      <c r="M235">
        <f>IF($U235="","",IF(ISNUMBER(INDEX(상세표[근무일자],$U235)),TEXT(INDEX(상세표[근무일자],$U235),"yyyy-mm-dd"),INDEX(상세표[근무일자],$U235)&amp;""))</f>
        <v/>
      </c>
      <c r="N235">
        <f>IF($U235="","",IF(ISNUMBER(INDEX(상세표[시작],$U235)),TEXT(INDEX(상세표[시작],$U235),"yyyy-mm-dd hh:mm"),INDEX(상세표[시작],$U235)&amp;""))</f>
        <v/>
      </c>
      <c r="O235">
        <f>IF($U235="","",IF(ISNUMBER(INDEX(상세표[종료],$U235)),TEXT(INDEX(상세표[종료],$U235),"yyyy-mm-dd hh:mm"),INDEX(상세표[종료],$U235)&amp;""))</f>
        <v/>
      </c>
      <c r="P235">
        <f>IF($U235="","",INDEX(상세표[06~07시],$U235))</f>
        <v/>
      </c>
      <c r="Q235">
        <f>IF($U235="","",INDEX(상세표[07~18시],$U235))</f>
        <v/>
      </c>
      <c r="R235">
        <f>IF($U235="","",INDEX(상세표[18~22시],$U235))</f>
        <v/>
      </c>
      <c r="S235">
        <f>IF($U235="","",INDEX(상세표[22~06시],$U235))</f>
        <v/>
      </c>
      <c r="T235">
        <f>IF($U235="","",INDEX(상세표[기록 시간외],$U235))</f>
        <v/>
      </c>
      <c r="U235" s="4">
        <f>IFERROR(MATCH(230,상세표[발송순번],0),"")</f>
        <v/>
      </c>
    </row>
    <row r="236">
      <c r="A236">
        <f>IF($H236="","",INDEX(상세표[사번],$H236)&amp;"")</f>
        <v/>
      </c>
      <c r="B236">
        <f>IF($H236="","",INDEX(상세표[성명],$H236)&amp;"")</f>
        <v/>
      </c>
      <c r="C236">
        <f>IF($H236="","",INDEX(상세표[부서],$H236)&amp;"")</f>
        <v/>
      </c>
      <c r="D236">
        <f>IF($H236="","",IF(IFERROR(INDEX(합계표[직위(통합)],MATCH(INDEX(상세표[사번키],$H236),합계표[사번키],0))&amp;"","")="",INDEX(상세표[직위],$H236)&amp;"",IFERROR(INDEX(합계표[직위(통합)],MATCH(INDEX(상세표[사번키],$H236),합계표[사번키],0))&amp;"","")))</f>
        <v/>
      </c>
      <c r="E236">
        <f>IF($H236="","",COUNTIFS(상세표[사번키],INDEX(상세표[사번키],$H236),상세표[기록월],대상월키))</f>
        <v/>
      </c>
      <c r="F236">
        <f>IF($H236="","",SUMIFS(상세표[기록 시간외],상세표[사번키],INDEX(상세표[사번키],$H236),상세표[기록월],대상월키))</f>
        <v/>
      </c>
      <c r="G236">
        <f>IF($H236="","",SUMIFS(합계표[시스템 합계],합계표[사번키],INDEX(상세표[사번키],$H236)))</f>
        <v/>
      </c>
      <c r="H236" s="4">
        <f>IFERROR(MATCH(231,상세표[발송인원순번],0),"")</f>
        <v/>
      </c>
      <c r="J236">
        <f>IF($U236="","",INDEX(상세표[사번],$U236)&amp;"")</f>
        <v/>
      </c>
      <c r="K236">
        <f>IF($U236="","",INDEX(상세표[성명],$U236)&amp;"")</f>
        <v/>
      </c>
      <c r="L236">
        <f>IF($U236="","",INDEX(상세표[직위],$U236)&amp;"")</f>
        <v/>
      </c>
      <c r="M236">
        <f>IF($U236="","",IF(ISNUMBER(INDEX(상세표[근무일자],$U236)),TEXT(INDEX(상세표[근무일자],$U236),"yyyy-mm-dd"),INDEX(상세표[근무일자],$U236)&amp;""))</f>
        <v/>
      </c>
      <c r="N236">
        <f>IF($U236="","",IF(ISNUMBER(INDEX(상세표[시작],$U236)),TEXT(INDEX(상세표[시작],$U236),"yyyy-mm-dd hh:mm"),INDEX(상세표[시작],$U236)&amp;""))</f>
        <v/>
      </c>
      <c r="O236">
        <f>IF($U236="","",IF(ISNUMBER(INDEX(상세표[종료],$U236)),TEXT(INDEX(상세표[종료],$U236),"yyyy-mm-dd hh:mm"),INDEX(상세표[종료],$U236)&amp;""))</f>
        <v/>
      </c>
      <c r="P236">
        <f>IF($U236="","",INDEX(상세표[06~07시],$U236))</f>
        <v/>
      </c>
      <c r="Q236">
        <f>IF($U236="","",INDEX(상세표[07~18시],$U236))</f>
        <v/>
      </c>
      <c r="R236">
        <f>IF($U236="","",INDEX(상세표[18~22시],$U236))</f>
        <v/>
      </c>
      <c r="S236">
        <f>IF($U236="","",INDEX(상세표[22~06시],$U236))</f>
        <v/>
      </c>
      <c r="T236">
        <f>IF($U236="","",INDEX(상세표[기록 시간외],$U236))</f>
        <v/>
      </c>
      <c r="U236" s="4">
        <f>IFERROR(MATCH(231,상세표[발송순번],0),"")</f>
        <v/>
      </c>
    </row>
    <row r="237">
      <c r="A237">
        <f>IF($H237="","",INDEX(상세표[사번],$H237)&amp;"")</f>
        <v/>
      </c>
      <c r="B237">
        <f>IF($H237="","",INDEX(상세표[성명],$H237)&amp;"")</f>
        <v/>
      </c>
      <c r="C237">
        <f>IF($H237="","",INDEX(상세표[부서],$H237)&amp;"")</f>
        <v/>
      </c>
      <c r="D237">
        <f>IF($H237="","",IF(IFERROR(INDEX(합계표[직위(통합)],MATCH(INDEX(상세표[사번키],$H237),합계표[사번키],0))&amp;"","")="",INDEX(상세표[직위],$H237)&amp;"",IFERROR(INDEX(합계표[직위(통합)],MATCH(INDEX(상세표[사번키],$H237),합계표[사번키],0))&amp;"","")))</f>
        <v/>
      </c>
      <c r="E237">
        <f>IF($H237="","",COUNTIFS(상세표[사번키],INDEX(상세표[사번키],$H237),상세표[기록월],대상월키))</f>
        <v/>
      </c>
      <c r="F237">
        <f>IF($H237="","",SUMIFS(상세표[기록 시간외],상세표[사번키],INDEX(상세표[사번키],$H237),상세표[기록월],대상월키))</f>
        <v/>
      </c>
      <c r="G237">
        <f>IF($H237="","",SUMIFS(합계표[시스템 합계],합계표[사번키],INDEX(상세표[사번키],$H237)))</f>
        <v/>
      </c>
      <c r="H237" s="4">
        <f>IFERROR(MATCH(232,상세표[발송인원순번],0),"")</f>
        <v/>
      </c>
      <c r="J237">
        <f>IF($U237="","",INDEX(상세표[사번],$U237)&amp;"")</f>
        <v/>
      </c>
      <c r="K237">
        <f>IF($U237="","",INDEX(상세표[성명],$U237)&amp;"")</f>
        <v/>
      </c>
      <c r="L237">
        <f>IF($U237="","",INDEX(상세표[직위],$U237)&amp;"")</f>
        <v/>
      </c>
      <c r="M237">
        <f>IF($U237="","",IF(ISNUMBER(INDEX(상세표[근무일자],$U237)),TEXT(INDEX(상세표[근무일자],$U237),"yyyy-mm-dd"),INDEX(상세표[근무일자],$U237)&amp;""))</f>
        <v/>
      </c>
      <c r="N237">
        <f>IF($U237="","",IF(ISNUMBER(INDEX(상세표[시작],$U237)),TEXT(INDEX(상세표[시작],$U237),"yyyy-mm-dd hh:mm"),INDEX(상세표[시작],$U237)&amp;""))</f>
        <v/>
      </c>
      <c r="O237">
        <f>IF($U237="","",IF(ISNUMBER(INDEX(상세표[종료],$U237)),TEXT(INDEX(상세표[종료],$U237),"yyyy-mm-dd hh:mm"),INDEX(상세표[종료],$U237)&amp;""))</f>
        <v/>
      </c>
      <c r="P237">
        <f>IF($U237="","",INDEX(상세표[06~07시],$U237))</f>
        <v/>
      </c>
      <c r="Q237">
        <f>IF($U237="","",INDEX(상세표[07~18시],$U237))</f>
        <v/>
      </c>
      <c r="R237">
        <f>IF($U237="","",INDEX(상세표[18~22시],$U237))</f>
        <v/>
      </c>
      <c r="S237">
        <f>IF($U237="","",INDEX(상세표[22~06시],$U237))</f>
        <v/>
      </c>
      <c r="T237">
        <f>IF($U237="","",INDEX(상세표[기록 시간외],$U237))</f>
        <v/>
      </c>
      <c r="U237" s="4">
        <f>IFERROR(MATCH(232,상세표[발송순번],0),"")</f>
        <v/>
      </c>
    </row>
    <row r="238">
      <c r="A238">
        <f>IF($H238="","",INDEX(상세표[사번],$H238)&amp;"")</f>
        <v/>
      </c>
      <c r="B238">
        <f>IF($H238="","",INDEX(상세표[성명],$H238)&amp;"")</f>
        <v/>
      </c>
      <c r="C238">
        <f>IF($H238="","",INDEX(상세표[부서],$H238)&amp;"")</f>
        <v/>
      </c>
      <c r="D238">
        <f>IF($H238="","",IF(IFERROR(INDEX(합계표[직위(통합)],MATCH(INDEX(상세표[사번키],$H238),합계표[사번키],0))&amp;"","")="",INDEX(상세표[직위],$H238)&amp;"",IFERROR(INDEX(합계표[직위(통합)],MATCH(INDEX(상세표[사번키],$H238),합계표[사번키],0))&amp;"","")))</f>
        <v/>
      </c>
      <c r="E238">
        <f>IF($H238="","",COUNTIFS(상세표[사번키],INDEX(상세표[사번키],$H238),상세표[기록월],대상월키))</f>
        <v/>
      </c>
      <c r="F238">
        <f>IF($H238="","",SUMIFS(상세표[기록 시간외],상세표[사번키],INDEX(상세표[사번키],$H238),상세표[기록월],대상월키))</f>
        <v/>
      </c>
      <c r="G238">
        <f>IF($H238="","",SUMIFS(합계표[시스템 합계],합계표[사번키],INDEX(상세표[사번키],$H238)))</f>
        <v/>
      </c>
      <c r="H238" s="4">
        <f>IFERROR(MATCH(233,상세표[발송인원순번],0),"")</f>
        <v/>
      </c>
      <c r="J238">
        <f>IF($U238="","",INDEX(상세표[사번],$U238)&amp;"")</f>
        <v/>
      </c>
      <c r="K238">
        <f>IF($U238="","",INDEX(상세표[성명],$U238)&amp;"")</f>
        <v/>
      </c>
      <c r="L238">
        <f>IF($U238="","",INDEX(상세표[직위],$U238)&amp;"")</f>
        <v/>
      </c>
      <c r="M238">
        <f>IF($U238="","",IF(ISNUMBER(INDEX(상세표[근무일자],$U238)),TEXT(INDEX(상세표[근무일자],$U238),"yyyy-mm-dd"),INDEX(상세표[근무일자],$U238)&amp;""))</f>
        <v/>
      </c>
      <c r="N238">
        <f>IF($U238="","",IF(ISNUMBER(INDEX(상세표[시작],$U238)),TEXT(INDEX(상세표[시작],$U238),"yyyy-mm-dd hh:mm"),INDEX(상세표[시작],$U238)&amp;""))</f>
        <v/>
      </c>
      <c r="O238">
        <f>IF($U238="","",IF(ISNUMBER(INDEX(상세표[종료],$U238)),TEXT(INDEX(상세표[종료],$U238),"yyyy-mm-dd hh:mm"),INDEX(상세표[종료],$U238)&amp;""))</f>
        <v/>
      </c>
      <c r="P238">
        <f>IF($U238="","",INDEX(상세표[06~07시],$U238))</f>
        <v/>
      </c>
      <c r="Q238">
        <f>IF($U238="","",INDEX(상세표[07~18시],$U238))</f>
        <v/>
      </c>
      <c r="R238">
        <f>IF($U238="","",INDEX(상세표[18~22시],$U238))</f>
        <v/>
      </c>
      <c r="S238">
        <f>IF($U238="","",INDEX(상세표[22~06시],$U238))</f>
        <v/>
      </c>
      <c r="T238">
        <f>IF($U238="","",INDEX(상세표[기록 시간외],$U238))</f>
        <v/>
      </c>
      <c r="U238" s="4">
        <f>IFERROR(MATCH(233,상세표[발송순번],0),"")</f>
        <v/>
      </c>
    </row>
    <row r="239">
      <c r="A239">
        <f>IF($H239="","",INDEX(상세표[사번],$H239)&amp;"")</f>
        <v/>
      </c>
      <c r="B239">
        <f>IF($H239="","",INDEX(상세표[성명],$H239)&amp;"")</f>
        <v/>
      </c>
      <c r="C239">
        <f>IF($H239="","",INDEX(상세표[부서],$H239)&amp;"")</f>
        <v/>
      </c>
      <c r="D239">
        <f>IF($H239="","",IF(IFERROR(INDEX(합계표[직위(통합)],MATCH(INDEX(상세표[사번키],$H239),합계표[사번키],0))&amp;"","")="",INDEX(상세표[직위],$H239)&amp;"",IFERROR(INDEX(합계표[직위(통합)],MATCH(INDEX(상세표[사번키],$H239),합계표[사번키],0))&amp;"","")))</f>
        <v/>
      </c>
      <c r="E239">
        <f>IF($H239="","",COUNTIFS(상세표[사번키],INDEX(상세표[사번키],$H239),상세표[기록월],대상월키))</f>
        <v/>
      </c>
      <c r="F239">
        <f>IF($H239="","",SUMIFS(상세표[기록 시간외],상세표[사번키],INDEX(상세표[사번키],$H239),상세표[기록월],대상월키))</f>
        <v/>
      </c>
      <c r="G239">
        <f>IF($H239="","",SUMIFS(합계표[시스템 합계],합계표[사번키],INDEX(상세표[사번키],$H239)))</f>
        <v/>
      </c>
      <c r="H239" s="4">
        <f>IFERROR(MATCH(234,상세표[발송인원순번],0),"")</f>
        <v/>
      </c>
      <c r="J239">
        <f>IF($U239="","",INDEX(상세표[사번],$U239)&amp;"")</f>
        <v/>
      </c>
      <c r="K239">
        <f>IF($U239="","",INDEX(상세표[성명],$U239)&amp;"")</f>
        <v/>
      </c>
      <c r="L239">
        <f>IF($U239="","",INDEX(상세표[직위],$U239)&amp;"")</f>
        <v/>
      </c>
      <c r="M239">
        <f>IF($U239="","",IF(ISNUMBER(INDEX(상세표[근무일자],$U239)),TEXT(INDEX(상세표[근무일자],$U239),"yyyy-mm-dd"),INDEX(상세표[근무일자],$U239)&amp;""))</f>
        <v/>
      </c>
      <c r="N239">
        <f>IF($U239="","",IF(ISNUMBER(INDEX(상세표[시작],$U239)),TEXT(INDEX(상세표[시작],$U239),"yyyy-mm-dd hh:mm"),INDEX(상세표[시작],$U239)&amp;""))</f>
        <v/>
      </c>
      <c r="O239">
        <f>IF($U239="","",IF(ISNUMBER(INDEX(상세표[종료],$U239)),TEXT(INDEX(상세표[종료],$U239),"yyyy-mm-dd hh:mm"),INDEX(상세표[종료],$U239)&amp;""))</f>
        <v/>
      </c>
      <c r="P239">
        <f>IF($U239="","",INDEX(상세표[06~07시],$U239))</f>
        <v/>
      </c>
      <c r="Q239">
        <f>IF($U239="","",INDEX(상세표[07~18시],$U239))</f>
        <v/>
      </c>
      <c r="R239">
        <f>IF($U239="","",INDEX(상세표[18~22시],$U239))</f>
        <v/>
      </c>
      <c r="S239">
        <f>IF($U239="","",INDEX(상세표[22~06시],$U239))</f>
        <v/>
      </c>
      <c r="T239">
        <f>IF($U239="","",INDEX(상세표[기록 시간외],$U239))</f>
        <v/>
      </c>
      <c r="U239" s="4">
        <f>IFERROR(MATCH(234,상세표[발송순번],0),"")</f>
        <v/>
      </c>
    </row>
    <row r="240">
      <c r="A240">
        <f>IF($H240="","",INDEX(상세표[사번],$H240)&amp;"")</f>
        <v/>
      </c>
      <c r="B240">
        <f>IF($H240="","",INDEX(상세표[성명],$H240)&amp;"")</f>
        <v/>
      </c>
      <c r="C240">
        <f>IF($H240="","",INDEX(상세표[부서],$H240)&amp;"")</f>
        <v/>
      </c>
      <c r="D240">
        <f>IF($H240="","",IF(IFERROR(INDEX(합계표[직위(통합)],MATCH(INDEX(상세표[사번키],$H240),합계표[사번키],0))&amp;"","")="",INDEX(상세표[직위],$H240)&amp;"",IFERROR(INDEX(합계표[직위(통합)],MATCH(INDEX(상세표[사번키],$H240),합계표[사번키],0))&amp;"","")))</f>
        <v/>
      </c>
      <c r="E240">
        <f>IF($H240="","",COUNTIFS(상세표[사번키],INDEX(상세표[사번키],$H240),상세표[기록월],대상월키))</f>
        <v/>
      </c>
      <c r="F240">
        <f>IF($H240="","",SUMIFS(상세표[기록 시간외],상세표[사번키],INDEX(상세표[사번키],$H240),상세표[기록월],대상월키))</f>
        <v/>
      </c>
      <c r="G240">
        <f>IF($H240="","",SUMIFS(합계표[시스템 합계],합계표[사번키],INDEX(상세표[사번키],$H240)))</f>
        <v/>
      </c>
      <c r="H240" s="4">
        <f>IFERROR(MATCH(235,상세표[발송인원순번],0),"")</f>
        <v/>
      </c>
      <c r="J240">
        <f>IF($U240="","",INDEX(상세표[사번],$U240)&amp;"")</f>
        <v/>
      </c>
      <c r="K240">
        <f>IF($U240="","",INDEX(상세표[성명],$U240)&amp;"")</f>
        <v/>
      </c>
      <c r="L240">
        <f>IF($U240="","",INDEX(상세표[직위],$U240)&amp;"")</f>
        <v/>
      </c>
      <c r="M240">
        <f>IF($U240="","",IF(ISNUMBER(INDEX(상세표[근무일자],$U240)),TEXT(INDEX(상세표[근무일자],$U240),"yyyy-mm-dd"),INDEX(상세표[근무일자],$U240)&amp;""))</f>
        <v/>
      </c>
      <c r="N240">
        <f>IF($U240="","",IF(ISNUMBER(INDEX(상세표[시작],$U240)),TEXT(INDEX(상세표[시작],$U240),"yyyy-mm-dd hh:mm"),INDEX(상세표[시작],$U240)&amp;""))</f>
        <v/>
      </c>
      <c r="O240">
        <f>IF($U240="","",IF(ISNUMBER(INDEX(상세표[종료],$U240)),TEXT(INDEX(상세표[종료],$U240),"yyyy-mm-dd hh:mm"),INDEX(상세표[종료],$U240)&amp;""))</f>
        <v/>
      </c>
      <c r="P240">
        <f>IF($U240="","",INDEX(상세표[06~07시],$U240))</f>
        <v/>
      </c>
      <c r="Q240">
        <f>IF($U240="","",INDEX(상세표[07~18시],$U240))</f>
        <v/>
      </c>
      <c r="R240">
        <f>IF($U240="","",INDEX(상세표[18~22시],$U240))</f>
        <v/>
      </c>
      <c r="S240">
        <f>IF($U240="","",INDEX(상세표[22~06시],$U240))</f>
        <v/>
      </c>
      <c r="T240">
        <f>IF($U240="","",INDEX(상세표[기록 시간외],$U240))</f>
        <v/>
      </c>
      <c r="U240" s="4">
        <f>IFERROR(MATCH(235,상세표[발송순번],0),"")</f>
        <v/>
      </c>
    </row>
    <row r="241">
      <c r="A241">
        <f>IF($H241="","",INDEX(상세표[사번],$H241)&amp;"")</f>
        <v/>
      </c>
      <c r="B241">
        <f>IF($H241="","",INDEX(상세표[성명],$H241)&amp;"")</f>
        <v/>
      </c>
      <c r="C241">
        <f>IF($H241="","",INDEX(상세표[부서],$H241)&amp;"")</f>
        <v/>
      </c>
      <c r="D241">
        <f>IF($H241="","",IF(IFERROR(INDEX(합계표[직위(통합)],MATCH(INDEX(상세표[사번키],$H241),합계표[사번키],0))&amp;"","")="",INDEX(상세표[직위],$H241)&amp;"",IFERROR(INDEX(합계표[직위(통합)],MATCH(INDEX(상세표[사번키],$H241),합계표[사번키],0))&amp;"","")))</f>
        <v/>
      </c>
      <c r="E241">
        <f>IF($H241="","",COUNTIFS(상세표[사번키],INDEX(상세표[사번키],$H241),상세표[기록월],대상월키))</f>
        <v/>
      </c>
      <c r="F241">
        <f>IF($H241="","",SUMIFS(상세표[기록 시간외],상세표[사번키],INDEX(상세표[사번키],$H241),상세표[기록월],대상월키))</f>
        <v/>
      </c>
      <c r="G241">
        <f>IF($H241="","",SUMIFS(합계표[시스템 합계],합계표[사번키],INDEX(상세표[사번키],$H241)))</f>
        <v/>
      </c>
      <c r="H241" s="4">
        <f>IFERROR(MATCH(236,상세표[발송인원순번],0),"")</f>
        <v/>
      </c>
      <c r="J241">
        <f>IF($U241="","",INDEX(상세표[사번],$U241)&amp;"")</f>
        <v/>
      </c>
      <c r="K241">
        <f>IF($U241="","",INDEX(상세표[성명],$U241)&amp;"")</f>
        <v/>
      </c>
      <c r="L241">
        <f>IF($U241="","",INDEX(상세표[직위],$U241)&amp;"")</f>
        <v/>
      </c>
      <c r="M241">
        <f>IF($U241="","",IF(ISNUMBER(INDEX(상세표[근무일자],$U241)),TEXT(INDEX(상세표[근무일자],$U241),"yyyy-mm-dd"),INDEX(상세표[근무일자],$U241)&amp;""))</f>
        <v/>
      </c>
      <c r="N241">
        <f>IF($U241="","",IF(ISNUMBER(INDEX(상세표[시작],$U241)),TEXT(INDEX(상세표[시작],$U241),"yyyy-mm-dd hh:mm"),INDEX(상세표[시작],$U241)&amp;""))</f>
        <v/>
      </c>
      <c r="O241">
        <f>IF($U241="","",IF(ISNUMBER(INDEX(상세표[종료],$U241)),TEXT(INDEX(상세표[종료],$U241),"yyyy-mm-dd hh:mm"),INDEX(상세표[종료],$U241)&amp;""))</f>
        <v/>
      </c>
      <c r="P241">
        <f>IF($U241="","",INDEX(상세표[06~07시],$U241))</f>
        <v/>
      </c>
      <c r="Q241">
        <f>IF($U241="","",INDEX(상세표[07~18시],$U241))</f>
        <v/>
      </c>
      <c r="R241">
        <f>IF($U241="","",INDEX(상세표[18~22시],$U241))</f>
        <v/>
      </c>
      <c r="S241">
        <f>IF($U241="","",INDEX(상세표[22~06시],$U241))</f>
        <v/>
      </c>
      <c r="T241">
        <f>IF($U241="","",INDEX(상세표[기록 시간외],$U241))</f>
        <v/>
      </c>
      <c r="U241" s="4">
        <f>IFERROR(MATCH(236,상세표[발송순번],0),"")</f>
        <v/>
      </c>
    </row>
    <row r="242">
      <c r="A242">
        <f>IF($H242="","",INDEX(상세표[사번],$H242)&amp;"")</f>
        <v/>
      </c>
      <c r="B242">
        <f>IF($H242="","",INDEX(상세표[성명],$H242)&amp;"")</f>
        <v/>
      </c>
      <c r="C242">
        <f>IF($H242="","",INDEX(상세표[부서],$H242)&amp;"")</f>
        <v/>
      </c>
      <c r="D242">
        <f>IF($H242="","",IF(IFERROR(INDEX(합계표[직위(통합)],MATCH(INDEX(상세표[사번키],$H242),합계표[사번키],0))&amp;"","")="",INDEX(상세표[직위],$H242)&amp;"",IFERROR(INDEX(합계표[직위(통합)],MATCH(INDEX(상세표[사번키],$H242),합계표[사번키],0))&amp;"","")))</f>
        <v/>
      </c>
      <c r="E242">
        <f>IF($H242="","",COUNTIFS(상세표[사번키],INDEX(상세표[사번키],$H242),상세표[기록월],대상월키))</f>
        <v/>
      </c>
      <c r="F242">
        <f>IF($H242="","",SUMIFS(상세표[기록 시간외],상세표[사번키],INDEX(상세표[사번키],$H242),상세표[기록월],대상월키))</f>
        <v/>
      </c>
      <c r="G242">
        <f>IF($H242="","",SUMIFS(합계표[시스템 합계],합계표[사번키],INDEX(상세표[사번키],$H242)))</f>
        <v/>
      </c>
      <c r="H242" s="4">
        <f>IFERROR(MATCH(237,상세표[발송인원순번],0),"")</f>
        <v/>
      </c>
      <c r="J242">
        <f>IF($U242="","",INDEX(상세표[사번],$U242)&amp;"")</f>
        <v/>
      </c>
      <c r="K242">
        <f>IF($U242="","",INDEX(상세표[성명],$U242)&amp;"")</f>
        <v/>
      </c>
      <c r="L242">
        <f>IF($U242="","",INDEX(상세표[직위],$U242)&amp;"")</f>
        <v/>
      </c>
      <c r="M242">
        <f>IF($U242="","",IF(ISNUMBER(INDEX(상세표[근무일자],$U242)),TEXT(INDEX(상세표[근무일자],$U242),"yyyy-mm-dd"),INDEX(상세표[근무일자],$U242)&amp;""))</f>
        <v/>
      </c>
      <c r="N242">
        <f>IF($U242="","",IF(ISNUMBER(INDEX(상세표[시작],$U242)),TEXT(INDEX(상세표[시작],$U242),"yyyy-mm-dd hh:mm"),INDEX(상세표[시작],$U242)&amp;""))</f>
        <v/>
      </c>
      <c r="O242">
        <f>IF($U242="","",IF(ISNUMBER(INDEX(상세표[종료],$U242)),TEXT(INDEX(상세표[종료],$U242),"yyyy-mm-dd hh:mm"),INDEX(상세표[종료],$U242)&amp;""))</f>
        <v/>
      </c>
      <c r="P242">
        <f>IF($U242="","",INDEX(상세표[06~07시],$U242))</f>
        <v/>
      </c>
      <c r="Q242">
        <f>IF($U242="","",INDEX(상세표[07~18시],$U242))</f>
        <v/>
      </c>
      <c r="R242">
        <f>IF($U242="","",INDEX(상세표[18~22시],$U242))</f>
        <v/>
      </c>
      <c r="S242">
        <f>IF($U242="","",INDEX(상세표[22~06시],$U242))</f>
        <v/>
      </c>
      <c r="T242">
        <f>IF($U242="","",INDEX(상세표[기록 시간외],$U242))</f>
        <v/>
      </c>
      <c r="U242" s="4">
        <f>IFERROR(MATCH(237,상세표[발송순번],0),"")</f>
        <v/>
      </c>
    </row>
    <row r="243">
      <c r="A243">
        <f>IF($H243="","",INDEX(상세표[사번],$H243)&amp;"")</f>
        <v/>
      </c>
      <c r="B243">
        <f>IF($H243="","",INDEX(상세표[성명],$H243)&amp;"")</f>
        <v/>
      </c>
      <c r="C243">
        <f>IF($H243="","",INDEX(상세표[부서],$H243)&amp;"")</f>
        <v/>
      </c>
      <c r="D243">
        <f>IF($H243="","",IF(IFERROR(INDEX(합계표[직위(통합)],MATCH(INDEX(상세표[사번키],$H243),합계표[사번키],0))&amp;"","")="",INDEX(상세표[직위],$H243)&amp;"",IFERROR(INDEX(합계표[직위(통합)],MATCH(INDEX(상세표[사번키],$H243),합계표[사번키],0))&amp;"","")))</f>
        <v/>
      </c>
      <c r="E243">
        <f>IF($H243="","",COUNTIFS(상세표[사번키],INDEX(상세표[사번키],$H243),상세표[기록월],대상월키))</f>
        <v/>
      </c>
      <c r="F243">
        <f>IF($H243="","",SUMIFS(상세표[기록 시간외],상세표[사번키],INDEX(상세표[사번키],$H243),상세표[기록월],대상월키))</f>
        <v/>
      </c>
      <c r="G243">
        <f>IF($H243="","",SUMIFS(합계표[시스템 합계],합계표[사번키],INDEX(상세표[사번키],$H243)))</f>
        <v/>
      </c>
      <c r="H243" s="4">
        <f>IFERROR(MATCH(238,상세표[발송인원순번],0),"")</f>
        <v/>
      </c>
      <c r="J243">
        <f>IF($U243="","",INDEX(상세표[사번],$U243)&amp;"")</f>
        <v/>
      </c>
      <c r="K243">
        <f>IF($U243="","",INDEX(상세표[성명],$U243)&amp;"")</f>
        <v/>
      </c>
      <c r="L243">
        <f>IF($U243="","",INDEX(상세표[직위],$U243)&amp;"")</f>
        <v/>
      </c>
      <c r="M243">
        <f>IF($U243="","",IF(ISNUMBER(INDEX(상세표[근무일자],$U243)),TEXT(INDEX(상세표[근무일자],$U243),"yyyy-mm-dd"),INDEX(상세표[근무일자],$U243)&amp;""))</f>
        <v/>
      </c>
      <c r="N243">
        <f>IF($U243="","",IF(ISNUMBER(INDEX(상세표[시작],$U243)),TEXT(INDEX(상세표[시작],$U243),"yyyy-mm-dd hh:mm"),INDEX(상세표[시작],$U243)&amp;""))</f>
        <v/>
      </c>
      <c r="O243">
        <f>IF($U243="","",IF(ISNUMBER(INDEX(상세표[종료],$U243)),TEXT(INDEX(상세표[종료],$U243),"yyyy-mm-dd hh:mm"),INDEX(상세표[종료],$U243)&amp;""))</f>
        <v/>
      </c>
      <c r="P243">
        <f>IF($U243="","",INDEX(상세표[06~07시],$U243))</f>
        <v/>
      </c>
      <c r="Q243">
        <f>IF($U243="","",INDEX(상세표[07~18시],$U243))</f>
        <v/>
      </c>
      <c r="R243">
        <f>IF($U243="","",INDEX(상세표[18~22시],$U243))</f>
        <v/>
      </c>
      <c r="S243">
        <f>IF($U243="","",INDEX(상세표[22~06시],$U243))</f>
        <v/>
      </c>
      <c r="T243">
        <f>IF($U243="","",INDEX(상세표[기록 시간외],$U243))</f>
        <v/>
      </c>
      <c r="U243" s="4">
        <f>IFERROR(MATCH(238,상세표[발송순번],0),"")</f>
        <v/>
      </c>
    </row>
    <row r="244">
      <c r="A244">
        <f>IF($H244="","",INDEX(상세표[사번],$H244)&amp;"")</f>
        <v/>
      </c>
      <c r="B244">
        <f>IF($H244="","",INDEX(상세표[성명],$H244)&amp;"")</f>
        <v/>
      </c>
      <c r="C244">
        <f>IF($H244="","",INDEX(상세표[부서],$H244)&amp;"")</f>
        <v/>
      </c>
      <c r="D244">
        <f>IF($H244="","",IF(IFERROR(INDEX(합계표[직위(통합)],MATCH(INDEX(상세표[사번키],$H244),합계표[사번키],0))&amp;"","")="",INDEX(상세표[직위],$H244)&amp;"",IFERROR(INDEX(합계표[직위(통합)],MATCH(INDEX(상세표[사번키],$H244),합계표[사번키],0))&amp;"","")))</f>
        <v/>
      </c>
      <c r="E244">
        <f>IF($H244="","",COUNTIFS(상세표[사번키],INDEX(상세표[사번키],$H244),상세표[기록월],대상월키))</f>
        <v/>
      </c>
      <c r="F244">
        <f>IF($H244="","",SUMIFS(상세표[기록 시간외],상세표[사번키],INDEX(상세표[사번키],$H244),상세표[기록월],대상월키))</f>
        <v/>
      </c>
      <c r="G244">
        <f>IF($H244="","",SUMIFS(합계표[시스템 합계],합계표[사번키],INDEX(상세표[사번키],$H244)))</f>
        <v/>
      </c>
      <c r="H244" s="4">
        <f>IFERROR(MATCH(239,상세표[발송인원순번],0),"")</f>
        <v/>
      </c>
      <c r="J244">
        <f>IF($U244="","",INDEX(상세표[사번],$U244)&amp;"")</f>
        <v/>
      </c>
      <c r="K244">
        <f>IF($U244="","",INDEX(상세표[성명],$U244)&amp;"")</f>
        <v/>
      </c>
      <c r="L244">
        <f>IF($U244="","",INDEX(상세표[직위],$U244)&amp;"")</f>
        <v/>
      </c>
      <c r="M244">
        <f>IF($U244="","",IF(ISNUMBER(INDEX(상세표[근무일자],$U244)),TEXT(INDEX(상세표[근무일자],$U244),"yyyy-mm-dd"),INDEX(상세표[근무일자],$U244)&amp;""))</f>
        <v/>
      </c>
      <c r="N244">
        <f>IF($U244="","",IF(ISNUMBER(INDEX(상세표[시작],$U244)),TEXT(INDEX(상세표[시작],$U244),"yyyy-mm-dd hh:mm"),INDEX(상세표[시작],$U244)&amp;""))</f>
        <v/>
      </c>
      <c r="O244">
        <f>IF($U244="","",IF(ISNUMBER(INDEX(상세표[종료],$U244)),TEXT(INDEX(상세표[종료],$U244),"yyyy-mm-dd hh:mm"),INDEX(상세표[종료],$U244)&amp;""))</f>
        <v/>
      </c>
      <c r="P244">
        <f>IF($U244="","",INDEX(상세표[06~07시],$U244))</f>
        <v/>
      </c>
      <c r="Q244">
        <f>IF($U244="","",INDEX(상세표[07~18시],$U244))</f>
        <v/>
      </c>
      <c r="R244">
        <f>IF($U244="","",INDEX(상세표[18~22시],$U244))</f>
        <v/>
      </c>
      <c r="S244">
        <f>IF($U244="","",INDEX(상세표[22~06시],$U244))</f>
        <v/>
      </c>
      <c r="T244">
        <f>IF($U244="","",INDEX(상세표[기록 시간외],$U244))</f>
        <v/>
      </c>
      <c r="U244" s="4">
        <f>IFERROR(MATCH(239,상세표[발송순번],0),"")</f>
        <v/>
      </c>
    </row>
    <row r="245">
      <c r="A245">
        <f>IF($H245="","",INDEX(상세표[사번],$H245)&amp;"")</f>
        <v/>
      </c>
      <c r="B245">
        <f>IF($H245="","",INDEX(상세표[성명],$H245)&amp;"")</f>
        <v/>
      </c>
      <c r="C245">
        <f>IF($H245="","",INDEX(상세표[부서],$H245)&amp;"")</f>
        <v/>
      </c>
      <c r="D245">
        <f>IF($H245="","",IF(IFERROR(INDEX(합계표[직위(통합)],MATCH(INDEX(상세표[사번키],$H245),합계표[사번키],0))&amp;"","")="",INDEX(상세표[직위],$H245)&amp;"",IFERROR(INDEX(합계표[직위(통합)],MATCH(INDEX(상세표[사번키],$H245),합계표[사번키],0))&amp;"","")))</f>
        <v/>
      </c>
      <c r="E245">
        <f>IF($H245="","",COUNTIFS(상세표[사번키],INDEX(상세표[사번키],$H245),상세표[기록월],대상월키))</f>
        <v/>
      </c>
      <c r="F245">
        <f>IF($H245="","",SUMIFS(상세표[기록 시간외],상세표[사번키],INDEX(상세표[사번키],$H245),상세표[기록월],대상월키))</f>
        <v/>
      </c>
      <c r="G245">
        <f>IF($H245="","",SUMIFS(합계표[시스템 합계],합계표[사번키],INDEX(상세표[사번키],$H245)))</f>
        <v/>
      </c>
      <c r="H245" s="4">
        <f>IFERROR(MATCH(240,상세표[발송인원순번],0),"")</f>
        <v/>
      </c>
      <c r="J245">
        <f>IF($U245="","",INDEX(상세표[사번],$U245)&amp;"")</f>
        <v/>
      </c>
      <c r="K245">
        <f>IF($U245="","",INDEX(상세표[성명],$U245)&amp;"")</f>
        <v/>
      </c>
      <c r="L245">
        <f>IF($U245="","",INDEX(상세표[직위],$U245)&amp;"")</f>
        <v/>
      </c>
      <c r="M245">
        <f>IF($U245="","",IF(ISNUMBER(INDEX(상세표[근무일자],$U245)),TEXT(INDEX(상세표[근무일자],$U245),"yyyy-mm-dd"),INDEX(상세표[근무일자],$U245)&amp;""))</f>
        <v/>
      </c>
      <c r="N245">
        <f>IF($U245="","",IF(ISNUMBER(INDEX(상세표[시작],$U245)),TEXT(INDEX(상세표[시작],$U245),"yyyy-mm-dd hh:mm"),INDEX(상세표[시작],$U245)&amp;""))</f>
        <v/>
      </c>
      <c r="O245">
        <f>IF($U245="","",IF(ISNUMBER(INDEX(상세표[종료],$U245)),TEXT(INDEX(상세표[종료],$U245),"yyyy-mm-dd hh:mm"),INDEX(상세표[종료],$U245)&amp;""))</f>
        <v/>
      </c>
      <c r="P245">
        <f>IF($U245="","",INDEX(상세표[06~07시],$U245))</f>
        <v/>
      </c>
      <c r="Q245">
        <f>IF($U245="","",INDEX(상세표[07~18시],$U245))</f>
        <v/>
      </c>
      <c r="R245">
        <f>IF($U245="","",INDEX(상세표[18~22시],$U245))</f>
        <v/>
      </c>
      <c r="S245">
        <f>IF($U245="","",INDEX(상세표[22~06시],$U245))</f>
        <v/>
      </c>
      <c r="T245">
        <f>IF($U245="","",INDEX(상세표[기록 시간외],$U245))</f>
        <v/>
      </c>
      <c r="U245" s="4">
        <f>IFERROR(MATCH(240,상세표[발송순번],0),"")</f>
        <v/>
      </c>
    </row>
    <row r="246">
      <c r="A246">
        <f>IF($H246="","",INDEX(상세표[사번],$H246)&amp;"")</f>
        <v/>
      </c>
      <c r="B246">
        <f>IF($H246="","",INDEX(상세표[성명],$H246)&amp;"")</f>
        <v/>
      </c>
      <c r="C246">
        <f>IF($H246="","",INDEX(상세표[부서],$H246)&amp;"")</f>
        <v/>
      </c>
      <c r="D246">
        <f>IF($H246="","",IF(IFERROR(INDEX(합계표[직위(통합)],MATCH(INDEX(상세표[사번키],$H246),합계표[사번키],0))&amp;"","")="",INDEX(상세표[직위],$H246)&amp;"",IFERROR(INDEX(합계표[직위(통합)],MATCH(INDEX(상세표[사번키],$H246),합계표[사번키],0))&amp;"","")))</f>
        <v/>
      </c>
      <c r="E246">
        <f>IF($H246="","",COUNTIFS(상세표[사번키],INDEX(상세표[사번키],$H246),상세표[기록월],대상월키))</f>
        <v/>
      </c>
      <c r="F246">
        <f>IF($H246="","",SUMIFS(상세표[기록 시간외],상세표[사번키],INDEX(상세표[사번키],$H246),상세표[기록월],대상월키))</f>
        <v/>
      </c>
      <c r="G246">
        <f>IF($H246="","",SUMIFS(합계표[시스템 합계],합계표[사번키],INDEX(상세표[사번키],$H246)))</f>
        <v/>
      </c>
      <c r="H246" s="4">
        <f>IFERROR(MATCH(241,상세표[발송인원순번],0),"")</f>
        <v/>
      </c>
      <c r="J246">
        <f>IF($U246="","",INDEX(상세표[사번],$U246)&amp;"")</f>
        <v/>
      </c>
      <c r="K246">
        <f>IF($U246="","",INDEX(상세표[성명],$U246)&amp;"")</f>
        <v/>
      </c>
      <c r="L246">
        <f>IF($U246="","",INDEX(상세표[직위],$U246)&amp;"")</f>
        <v/>
      </c>
      <c r="M246">
        <f>IF($U246="","",IF(ISNUMBER(INDEX(상세표[근무일자],$U246)),TEXT(INDEX(상세표[근무일자],$U246),"yyyy-mm-dd"),INDEX(상세표[근무일자],$U246)&amp;""))</f>
        <v/>
      </c>
      <c r="N246">
        <f>IF($U246="","",IF(ISNUMBER(INDEX(상세표[시작],$U246)),TEXT(INDEX(상세표[시작],$U246),"yyyy-mm-dd hh:mm"),INDEX(상세표[시작],$U246)&amp;""))</f>
        <v/>
      </c>
      <c r="O246">
        <f>IF($U246="","",IF(ISNUMBER(INDEX(상세표[종료],$U246)),TEXT(INDEX(상세표[종료],$U246),"yyyy-mm-dd hh:mm"),INDEX(상세표[종료],$U246)&amp;""))</f>
        <v/>
      </c>
      <c r="P246">
        <f>IF($U246="","",INDEX(상세표[06~07시],$U246))</f>
        <v/>
      </c>
      <c r="Q246">
        <f>IF($U246="","",INDEX(상세표[07~18시],$U246))</f>
        <v/>
      </c>
      <c r="R246">
        <f>IF($U246="","",INDEX(상세표[18~22시],$U246))</f>
        <v/>
      </c>
      <c r="S246">
        <f>IF($U246="","",INDEX(상세표[22~06시],$U246))</f>
        <v/>
      </c>
      <c r="T246">
        <f>IF($U246="","",INDEX(상세표[기록 시간외],$U246))</f>
        <v/>
      </c>
      <c r="U246" s="4">
        <f>IFERROR(MATCH(241,상세표[발송순번],0),"")</f>
        <v/>
      </c>
    </row>
    <row r="247">
      <c r="A247">
        <f>IF($H247="","",INDEX(상세표[사번],$H247)&amp;"")</f>
        <v/>
      </c>
      <c r="B247">
        <f>IF($H247="","",INDEX(상세표[성명],$H247)&amp;"")</f>
        <v/>
      </c>
      <c r="C247">
        <f>IF($H247="","",INDEX(상세표[부서],$H247)&amp;"")</f>
        <v/>
      </c>
      <c r="D247">
        <f>IF($H247="","",IF(IFERROR(INDEX(합계표[직위(통합)],MATCH(INDEX(상세표[사번키],$H247),합계표[사번키],0))&amp;"","")="",INDEX(상세표[직위],$H247)&amp;"",IFERROR(INDEX(합계표[직위(통합)],MATCH(INDEX(상세표[사번키],$H247),합계표[사번키],0))&amp;"","")))</f>
        <v/>
      </c>
      <c r="E247">
        <f>IF($H247="","",COUNTIFS(상세표[사번키],INDEX(상세표[사번키],$H247),상세표[기록월],대상월키))</f>
        <v/>
      </c>
      <c r="F247">
        <f>IF($H247="","",SUMIFS(상세표[기록 시간외],상세표[사번키],INDEX(상세표[사번키],$H247),상세표[기록월],대상월키))</f>
        <v/>
      </c>
      <c r="G247">
        <f>IF($H247="","",SUMIFS(합계표[시스템 합계],합계표[사번키],INDEX(상세표[사번키],$H247)))</f>
        <v/>
      </c>
      <c r="H247" s="4">
        <f>IFERROR(MATCH(242,상세표[발송인원순번],0),"")</f>
        <v/>
      </c>
      <c r="J247">
        <f>IF($U247="","",INDEX(상세표[사번],$U247)&amp;"")</f>
        <v/>
      </c>
      <c r="K247">
        <f>IF($U247="","",INDEX(상세표[성명],$U247)&amp;"")</f>
        <v/>
      </c>
      <c r="L247">
        <f>IF($U247="","",INDEX(상세표[직위],$U247)&amp;"")</f>
        <v/>
      </c>
      <c r="M247">
        <f>IF($U247="","",IF(ISNUMBER(INDEX(상세표[근무일자],$U247)),TEXT(INDEX(상세표[근무일자],$U247),"yyyy-mm-dd"),INDEX(상세표[근무일자],$U247)&amp;""))</f>
        <v/>
      </c>
      <c r="N247">
        <f>IF($U247="","",IF(ISNUMBER(INDEX(상세표[시작],$U247)),TEXT(INDEX(상세표[시작],$U247),"yyyy-mm-dd hh:mm"),INDEX(상세표[시작],$U247)&amp;""))</f>
        <v/>
      </c>
      <c r="O247">
        <f>IF($U247="","",IF(ISNUMBER(INDEX(상세표[종료],$U247)),TEXT(INDEX(상세표[종료],$U247),"yyyy-mm-dd hh:mm"),INDEX(상세표[종료],$U247)&amp;""))</f>
        <v/>
      </c>
      <c r="P247">
        <f>IF($U247="","",INDEX(상세표[06~07시],$U247))</f>
        <v/>
      </c>
      <c r="Q247">
        <f>IF($U247="","",INDEX(상세표[07~18시],$U247))</f>
        <v/>
      </c>
      <c r="R247">
        <f>IF($U247="","",INDEX(상세표[18~22시],$U247))</f>
        <v/>
      </c>
      <c r="S247">
        <f>IF($U247="","",INDEX(상세표[22~06시],$U247))</f>
        <v/>
      </c>
      <c r="T247">
        <f>IF($U247="","",INDEX(상세표[기록 시간외],$U247))</f>
        <v/>
      </c>
      <c r="U247" s="4">
        <f>IFERROR(MATCH(242,상세표[발송순번],0),"")</f>
        <v/>
      </c>
    </row>
    <row r="248">
      <c r="A248">
        <f>IF($H248="","",INDEX(상세표[사번],$H248)&amp;"")</f>
        <v/>
      </c>
      <c r="B248">
        <f>IF($H248="","",INDEX(상세표[성명],$H248)&amp;"")</f>
        <v/>
      </c>
      <c r="C248">
        <f>IF($H248="","",INDEX(상세표[부서],$H248)&amp;"")</f>
        <v/>
      </c>
      <c r="D248">
        <f>IF($H248="","",IF(IFERROR(INDEX(합계표[직위(통합)],MATCH(INDEX(상세표[사번키],$H248),합계표[사번키],0))&amp;"","")="",INDEX(상세표[직위],$H248)&amp;"",IFERROR(INDEX(합계표[직위(통합)],MATCH(INDEX(상세표[사번키],$H248),합계표[사번키],0))&amp;"","")))</f>
        <v/>
      </c>
      <c r="E248">
        <f>IF($H248="","",COUNTIFS(상세표[사번키],INDEX(상세표[사번키],$H248),상세표[기록월],대상월키))</f>
        <v/>
      </c>
      <c r="F248">
        <f>IF($H248="","",SUMIFS(상세표[기록 시간외],상세표[사번키],INDEX(상세표[사번키],$H248),상세표[기록월],대상월키))</f>
        <v/>
      </c>
      <c r="G248">
        <f>IF($H248="","",SUMIFS(합계표[시스템 합계],합계표[사번키],INDEX(상세표[사번키],$H248)))</f>
        <v/>
      </c>
      <c r="H248" s="4">
        <f>IFERROR(MATCH(243,상세표[발송인원순번],0),"")</f>
        <v/>
      </c>
      <c r="J248">
        <f>IF($U248="","",INDEX(상세표[사번],$U248)&amp;"")</f>
        <v/>
      </c>
      <c r="K248">
        <f>IF($U248="","",INDEX(상세표[성명],$U248)&amp;"")</f>
        <v/>
      </c>
      <c r="L248">
        <f>IF($U248="","",INDEX(상세표[직위],$U248)&amp;"")</f>
        <v/>
      </c>
      <c r="M248">
        <f>IF($U248="","",IF(ISNUMBER(INDEX(상세표[근무일자],$U248)),TEXT(INDEX(상세표[근무일자],$U248),"yyyy-mm-dd"),INDEX(상세표[근무일자],$U248)&amp;""))</f>
        <v/>
      </c>
      <c r="N248">
        <f>IF($U248="","",IF(ISNUMBER(INDEX(상세표[시작],$U248)),TEXT(INDEX(상세표[시작],$U248),"yyyy-mm-dd hh:mm"),INDEX(상세표[시작],$U248)&amp;""))</f>
        <v/>
      </c>
      <c r="O248">
        <f>IF($U248="","",IF(ISNUMBER(INDEX(상세표[종료],$U248)),TEXT(INDEX(상세표[종료],$U248),"yyyy-mm-dd hh:mm"),INDEX(상세표[종료],$U248)&amp;""))</f>
        <v/>
      </c>
      <c r="P248">
        <f>IF($U248="","",INDEX(상세표[06~07시],$U248))</f>
        <v/>
      </c>
      <c r="Q248">
        <f>IF($U248="","",INDEX(상세표[07~18시],$U248))</f>
        <v/>
      </c>
      <c r="R248">
        <f>IF($U248="","",INDEX(상세표[18~22시],$U248))</f>
        <v/>
      </c>
      <c r="S248">
        <f>IF($U248="","",INDEX(상세표[22~06시],$U248))</f>
        <v/>
      </c>
      <c r="T248">
        <f>IF($U248="","",INDEX(상세표[기록 시간외],$U248))</f>
        <v/>
      </c>
      <c r="U248" s="4">
        <f>IFERROR(MATCH(243,상세표[발송순번],0),"")</f>
        <v/>
      </c>
    </row>
    <row r="249">
      <c r="A249">
        <f>IF($H249="","",INDEX(상세표[사번],$H249)&amp;"")</f>
        <v/>
      </c>
      <c r="B249">
        <f>IF($H249="","",INDEX(상세표[성명],$H249)&amp;"")</f>
        <v/>
      </c>
      <c r="C249">
        <f>IF($H249="","",INDEX(상세표[부서],$H249)&amp;"")</f>
        <v/>
      </c>
      <c r="D249">
        <f>IF($H249="","",IF(IFERROR(INDEX(합계표[직위(통합)],MATCH(INDEX(상세표[사번키],$H249),합계표[사번키],0))&amp;"","")="",INDEX(상세표[직위],$H249)&amp;"",IFERROR(INDEX(합계표[직위(통합)],MATCH(INDEX(상세표[사번키],$H249),합계표[사번키],0))&amp;"","")))</f>
        <v/>
      </c>
      <c r="E249">
        <f>IF($H249="","",COUNTIFS(상세표[사번키],INDEX(상세표[사번키],$H249),상세표[기록월],대상월키))</f>
        <v/>
      </c>
      <c r="F249">
        <f>IF($H249="","",SUMIFS(상세표[기록 시간외],상세표[사번키],INDEX(상세표[사번키],$H249),상세표[기록월],대상월키))</f>
        <v/>
      </c>
      <c r="G249">
        <f>IF($H249="","",SUMIFS(합계표[시스템 합계],합계표[사번키],INDEX(상세표[사번키],$H249)))</f>
        <v/>
      </c>
      <c r="H249" s="4">
        <f>IFERROR(MATCH(244,상세표[발송인원순번],0),"")</f>
        <v/>
      </c>
      <c r="J249">
        <f>IF($U249="","",INDEX(상세표[사번],$U249)&amp;"")</f>
        <v/>
      </c>
      <c r="K249">
        <f>IF($U249="","",INDEX(상세표[성명],$U249)&amp;"")</f>
        <v/>
      </c>
      <c r="L249">
        <f>IF($U249="","",INDEX(상세표[직위],$U249)&amp;"")</f>
        <v/>
      </c>
      <c r="M249">
        <f>IF($U249="","",IF(ISNUMBER(INDEX(상세표[근무일자],$U249)),TEXT(INDEX(상세표[근무일자],$U249),"yyyy-mm-dd"),INDEX(상세표[근무일자],$U249)&amp;""))</f>
        <v/>
      </c>
      <c r="N249">
        <f>IF($U249="","",IF(ISNUMBER(INDEX(상세표[시작],$U249)),TEXT(INDEX(상세표[시작],$U249),"yyyy-mm-dd hh:mm"),INDEX(상세표[시작],$U249)&amp;""))</f>
        <v/>
      </c>
      <c r="O249">
        <f>IF($U249="","",IF(ISNUMBER(INDEX(상세표[종료],$U249)),TEXT(INDEX(상세표[종료],$U249),"yyyy-mm-dd hh:mm"),INDEX(상세표[종료],$U249)&amp;""))</f>
        <v/>
      </c>
      <c r="P249">
        <f>IF($U249="","",INDEX(상세표[06~07시],$U249))</f>
        <v/>
      </c>
      <c r="Q249">
        <f>IF($U249="","",INDEX(상세표[07~18시],$U249))</f>
        <v/>
      </c>
      <c r="R249">
        <f>IF($U249="","",INDEX(상세표[18~22시],$U249))</f>
        <v/>
      </c>
      <c r="S249">
        <f>IF($U249="","",INDEX(상세표[22~06시],$U249))</f>
        <v/>
      </c>
      <c r="T249">
        <f>IF($U249="","",INDEX(상세표[기록 시간외],$U249))</f>
        <v/>
      </c>
      <c r="U249" s="4">
        <f>IFERROR(MATCH(244,상세표[발송순번],0),"")</f>
        <v/>
      </c>
    </row>
    <row r="250">
      <c r="A250">
        <f>IF($H250="","",INDEX(상세표[사번],$H250)&amp;"")</f>
        <v/>
      </c>
      <c r="B250">
        <f>IF($H250="","",INDEX(상세표[성명],$H250)&amp;"")</f>
        <v/>
      </c>
      <c r="C250">
        <f>IF($H250="","",INDEX(상세표[부서],$H250)&amp;"")</f>
        <v/>
      </c>
      <c r="D250">
        <f>IF($H250="","",IF(IFERROR(INDEX(합계표[직위(통합)],MATCH(INDEX(상세표[사번키],$H250),합계표[사번키],0))&amp;"","")="",INDEX(상세표[직위],$H250)&amp;"",IFERROR(INDEX(합계표[직위(통합)],MATCH(INDEX(상세표[사번키],$H250),합계표[사번키],0))&amp;"","")))</f>
        <v/>
      </c>
      <c r="E250">
        <f>IF($H250="","",COUNTIFS(상세표[사번키],INDEX(상세표[사번키],$H250),상세표[기록월],대상월키))</f>
        <v/>
      </c>
      <c r="F250">
        <f>IF($H250="","",SUMIFS(상세표[기록 시간외],상세표[사번키],INDEX(상세표[사번키],$H250),상세표[기록월],대상월키))</f>
        <v/>
      </c>
      <c r="G250">
        <f>IF($H250="","",SUMIFS(합계표[시스템 합계],합계표[사번키],INDEX(상세표[사번키],$H250)))</f>
        <v/>
      </c>
      <c r="H250" s="4">
        <f>IFERROR(MATCH(245,상세표[발송인원순번],0),"")</f>
        <v/>
      </c>
      <c r="J250">
        <f>IF($U250="","",INDEX(상세표[사번],$U250)&amp;"")</f>
        <v/>
      </c>
      <c r="K250">
        <f>IF($U250="","",INDEX(상세표[성명],$U250)&amp;"")</f>
        <v/>
      </c>
      <c r="L250">
        <f>IF($U250="","",INDEX(상세표[직위],$U250)&amp;"")</f>
        <v/>
      </c>
      <c r="M250">
        <f>IF($U250="","",IF(ISNUMBER(INDEX(상세표[근무일자],$U250)),TEXT(INDEX(상세표[근무일자],$U250),"yyyy-mm-dd"),INDEX(상세표[근무일자],$U250)&amp;""))</f>
        <v/>
      </c>
      <c r="N250">
        <f>IF($U250="","",IF(ISNUMBER(INDEX(상세표[시작],$U250)),TEXT(INDEX(상세표[시작],$U250),"yyyy-mm-dd hh:mm"),INDEX(상세표[시작],$U250)&amp;""))</f>
        <v/>
      </c>
      <c r="O250">
        <f>IF($U250="","",IF(ISNUMBER(INDEX(상세표[종료],$U250)),TEXT(INDEX(상세표[종료],$U250),"yyyy-mm-dd hh:mm"),INDEX(상세표[종료],$U250)&amp;""))</f>
        <v/>
      </c>
      <c r="P250">
        <f>IF($U250="","",INDEX(상세표[06~07시],$U250))</f>
        <v/>
      </c>
      <c r="Q250">
        <f>IF($U250="","",INDEX(상세표[07~18시],$U250))</f>
        <v/>
      </c>
      <c r="R250">
        <f>IF($U250="","",INDEX(상세표[18~22시],$U250))</f>
        <v/>
      </c>
      <c r="S250">
        <f>IF($U250="","",INDEX(상세표[22~06시],$U250))</f>
        <v/>
      </c>
      <c r="T250">
        <f>IF($U250="","",INDEX(상세표[기록 시간외],$U250))</f>
        <v/>
      </c>
      <c r="U250" s="4">
        <f>IFERROR(MATCH(245,상세표[발송순번],0),"")</f>
        <v/>
      </c>
    </row>
    <row r="251">
      <c r="A251">
        <f>IF($H251="","",INDEX(상세표[사번],$H251)&amp;"")</f>
        <v/>
      </c>
      <c r="B251">
        <f>IF($H251="","",INDEX(상세표[성명],$H251)&amp;"")</f>
        <v/>
      </c>
      <c r="C251">
        <f>IF($H251="","",INDEX(상세표[부서],$H251)&amp;"")</f>
        <v/>
      </c>
      <c r="D251">
        <f>IF($H251="","",IF(IFERROR(INDEX(합계표[직위(통합)],MATCH(INDEX(상세표[사번키],$H251),합계표[사번키],0))&amp;"","")="",INDEX(상세표[직위],$H251)&amp;"",IFERROR(INDEX(합계표[직위(통합)],MATCH(INDEX(상세표[사번키],$H251),합계표[사번키],0))&amp;"","")))</f>
        <v/>
      </c>
      <c r="E251">
        <f>IF($H251="","",COUNTIFS(상세표[사번키],INDEX(상세표[사번키],$H251),상세표[기록월],대상월키))</f>
        <v/>
      </c>
      <c r="F251">
        <f>IF($H251="","",SUMIFS(상세표[기록 시간외],상세표[사번키],INDEX(상세표[사번키],$H251),상세표[기록월],대상월키))</f>
        <v/>
      </c>
      <c r="G251">
        <f>IF($H251="","",SUMIFS(합계표[시스템 합계],합계표[사번키],INDEX(상세표[사번키],$H251)))</f>
        <v/>
      </c>
      <c r="H251" s="4">
        <f>IFERROR(MATCH(246,상세표[발송인원순번],0),"")</f>
        <v/>
      </c>
      <c r="J251">
        <f>IF($U251="","",INDEX(상세표[사번],$U251)&amp;"")</f>
        <v/>
      </c>
      <c r="K251">
        <f>IF($U251="","",INDEX(상세표[성명],$U251)&amp;"")</f>
        <v/>
      </c>
      <c r="L251">
        <f>IF($U251="","",INDEX(상세표[직위],$U251)&amp;"")</f>
        <v/>
      </c>
      <c r="M251">
        <f>IF($U251="","",IF(ISNUMBER(INDEX(상세표[근무일자],$U251)),TEXT(INDEX(상세표[근무일자],$U251),"yyyy-mm-dd"),INDEX(상세표[근무일자],$U251)&amp;""))</f>
        <v/>
      </c>
      <c r="N251">
        <f>IF($U251="","",IF(ISNUMBER(INDEX(상세표[시작],$U251)),TEXT(INDEX(상세표[시작],$U251),"yyyy-mm-dd hh:mm"),INDEX(상세표[시작],$U251)&amp;""))</f>
        <v/>
      </c>
      <c r="O251">
        <f>IF($U251="","",IF(ISNUMBER(INDEX(상세표[종료],$U251)),TEXT(INDEX(상세표[종료],$U251),"yyyy-mm-dd hh:mm"),INDEX(상세표[종료],$U251)&amp;""))</f>
        <v/>
      </c>
      <c r="P251">
        <f>IF($U251="","",INDEX(상세표[06~07시],$U251))</f>
        <v/>
      </c>
      <c r="Q251">
        <f>IF($U251="","",INDEX(상세표[07~18시],$U251))</f>
        <v/>
      </c>
      <c r="R251">
        <f>IF($U251="","",INDEX(상세표[18~22시],$U251))</f>
        <v/>
      </c>
      <c r="S251">
        <f>IF($U251="","",INDEX(상세표[22~06시],$U251))</f>
        <v/>
      </c>
      <c r="T251">
        <f>IF($U251="","",INDEX(상세표[기록 시간외],$U251))</f>
        <v/>
      </c>
      <c r="U251" s="4">
        <f>IFERROR(MATCH(246,상세표[발송순번],0),"")</f>
        <v/>
      </c>
    </row>
    <row r="252">
      <c r="A252">
        <f>IF($H252="","",INDEX(상세표[사번],$H252)&amp;"")</f>
        <v/>
      </c>
      <c r="B252">
        <f>IF($H252="","",INDEX(상세표[성명],$H252)&amp;"")</f>
        <v/>
      </c>
      <c r="C252">
        <f>IF($H252="","",INDEX(상세표[부서],$H252)&amp;"")</f>
        <v/>
      </c>
      <c r="D252">
        <f>IF($H252="","",IF(IFERROR(INDEX(합계표[직위(통합)],MATCH(INDEX(상세표[사번키],$H252),합계표[사번키],0))&amp;"","")="",INDEX(상세표[직위],$H252)&amp;"",IFERROR(INDEX(합계표[직위(통합)],MATCH(INDEX(상세표[사번키],$H252),합계표[사번키],0))&amp;"","")))</f>
        <v/>
      </c>
      <c r="E252">
        <f>IF($H252="","",COUNTIFS(상세표[사번키],INDEX(상세표[사번키],$H252),상세표[기록월],대상월키))</f>
        <v/>
      </c>
      <c r="F252">
        <f>IF($H252="","",SUMIFS(상세표[기록 시간외],상세표[사번키],INDEX(상세표[사번키],$H252),상세표[기록월],대상월키))</f>
        <v/>
      </c>
      <c r="G252">
        <f>IF($H252="","",SUMIFS(합계표[시스템 합계],합계표[사번키],INDEX(상세표[사번키],$H252)))</f>
        <v/>
      </c>
      <c r="H252" s="4">
        <f>IFERROR(MATCH(247,상세표[발송인원순번],0),"")</f>
        <v/>
      </c>
      <c r="J252">
        <f>IF($U252="","",INDEX(상세표[사번],$U252)&amp;"")</f>
        <v/>
      </c>
      <c r="K252">
        <f>IF($U252="","",INDEX(상세표[성명],$U252)&amp;"")</f>
        <v/>
      </c>
      <c r="L252">
        <f>IF($U252="","",INDEX(상세표[직위],$U252)&amp;"")</f>
        <v/>
      </c>
      <c r="M252">
        <f>IF($U252="","",IF(ISNUMBER(INDEX(상세표[근무일자],$U252)),TEXT(INDEX(상세표[근무일자],$U252),"yyyy-mm-dd"),INDEX(상세표[근무일자],$U252)&amp;""))</f>
        <v/>
      </c>
      <c r="N252">
        <f>IF($U252="","",IF(ISNUMBER(INDEX(상세표[시작],$U252)),TEXT(INDEX(상세표[시작],$U252),"yyyy-mm-dd hh:mm"),INDEX(상세표[시작],$U252)&amp;""))</f>
        <v/>
      </c>
      <c r="O252">
        <f>IF($U252="","",IF(ISNUMBER(INDEX(상세표[종료],$U252)),TEXT(INDEX(상세표[종료],$U252),"yyyy-mm-dd hh:mm"),INDEX(상세표[종료],$U252)&amp;""))</f>
        <v/>
      </c>
      <c r="P252">
        <f>IF($U252="","",INDEX(상세표[06~07시],$U252))</f>
        <v/>
      </c>
      <c r="Q252">
        <f>IF($U252="","",INDEX(상세표[07~18시],$U252))</f>
        <v/>
      </c>
      <c r="R252">
        <f>IF($U252="","",INDEX(상세표[18~22시],$U252))</f>
        <v/>
      </c>
      <c r="S252">
        <f>IF($U252="","",INDEX(상세표[22~06시],$U252))</f>
        <v/>
      </c>
      <c r="T252">
        <f>IF($U252="","",INDEX(상세표[기록 시간외],$U252))</f>
        <v/>
      </c>
      <c r="U252" s="4">
        <f>IFERROR(MATCH(247,상세표[발송순번],0),"")</f>
        <v/>
      </c>
    </row>
    <row r="253">
      <c r="A253">
        <f>IF($H253="","",INDEX(상세표[사번],$H253)&amp;"")</f>
        <v/>
      </c>
      <c r="B253">
        <f>IF($H253="","",INDEX(상세표[성명],$H253)&amp;"")</f>
        <v/>
      </c>
      <c r="C253">
        <f>IF($H253="","",INDEX(상세표[부서],$H253)&amp;"")</f>
        <v/>
      </c>
      <c r="D253">
        <f>IF($H253="","",IF(IFERROR(INDEX(합계표[직위(통합)],MATCH(INDEX(상세표[사번키],$H253),합계표[사번키],0))&amp;"","")="",INDEX(상세표[직위],$H253)&amp;"",IFERROR(INDEX(합계표[직위(통합)],MATCH(INDEX(상세표[사번키],$H253),합계표[사번키],0))&amp;"","")))</f>
        <v/>
      </c>
      <c r="E253">
        <f>IF($H253="","",COUNTIFS(상세표[사번키],INDEX(상세표[사번키],$H253),상세표[기록월],대상월키))</f>
        <v/>
      </c>
      <c r="F253">
        <f>IF($H253="","",SUMIFS(상세표[기록 시간외],상세표[사번키],INDEX(상세표[사번키],$H253),상세표[기록월],대상월키))</f>
        <v/>
      </c>
      <c r="G253">
        <f>IF($H253="","",SUMIFS(합계표[시스템 합계],합계표[사번키],INDEX(상세표[사번키],$H253)))</f>
        <v/>
      </c>
      <c r="H253" s="4">
        <f>IFERROR(MATCH(248,상세표[발송인원순번],0),"")</f>
        <v/>
      </c>
      <c r="J253">
        <f>IF($U253="","",INDEX(상세표[사번],$U253)&amp;"")</f>
        <v/>
      </c>
      <c r="K253">
        <f>IF($U253="","",INDEX(상세표[성명],$U253)&amp;"")</f>
        <v/>
      </c>
      <c r="L253">
        <f>IF($U253="","",INDEX(상세표[직위],$U253)&amp;"")</f>
        <v/>
      </c>
      <c r="M253">
        <f>IF($U253="","",IF(ISNUMBER(INDEX(상세표[근무일자],$U253)),TEXT(INDEX(상세표[근무일자],$U253),"yyyy-mm-dd"),INDEX(상세표[근무일자],$U253)&amp;""))</f>
        <v/>
      </c>
      <c r="N253">
        <f>IF($U253="","",IF(ISNUMBER(INDEX(상세표[시작],$U253)),TEXT(INDEX(상세표[시작],$U253),"yyyy-mm-dd hh:mm"),INDEX(상세표[시작],$U253)&amp;""))</f>
        <v/>
      </c>
      <c r="O253">
        <f>IF($U253="","",IF(ISNUMBER(INDEX(상세표[종료],$U253)),TEXT(INDEX(상세표[종료],$U253),"yyyy-mm-dd hh:mm"),INDEX(상세표[종료],$U253)&amp;""))</f>
        <v/>
      </c>
      <c r="P253">
        <f>IF($U253="","",INDEX(상세표[06~07시],$U253))</f>
        <v/>
      </c>
      <c r="Q253">
        <f>IF($U253="","",INDEX(상세표[07~18시],$U253))</f>
        <v/>
      </c>
      <c r="R253">
        <f>IF($U253="","",INDEX(상세표[18~22시],$U253))</f>
        <v/>
      </c>
      <c r="S253">
        <f>IF($U253="","",INDEX(상세표[22~06시],$U253))</f>
        <v/>
      </c>
      <c r="T253">
        <f>IF($U253="","",INDEX(상세표[기록 시간외],$U253))</f>
        <v/>
      </c>
      <c r="U253" s="4">
        <f>IFERROR(MATCH(248,상세표[발송순번],0),"")</f>
        <v/>
      </c>
    </row>
    <row r="254">
      <c r="A254">
        <f>IF($H254="","",INDEX(상세표[사번],$H254)&amp;"")</f>
        <v/>
      </c>
      <c r="B254">
        <f>IF($H254="","",INDEX(상세표[성명],$H254)&amp;"")</f>
        <v/>
      </c>
      <c r="C254">
        <f>IF($H254="","",INDEX(상세표[부서],$H254)&amp;"")</f>
        <v/>
      </c>
      <c r="D254">
        <f>IF($H254="","",IF(IFERROR(INDEX(합계표[직위(통합)],MATCH(INDEX(상세표[사번키],$H254),합계표[사번키],0))&amp;"","")="",INDEX(상세표[직위],$H254)&amp;"",IFERROR(INDEX(합계표[직위(통합)],MATCH(INDEX(상세표[사번키],$H254),합계표[사번키],0))&amp;"","")))</f>
        <v/>
      </c>
      <c r="E254">
        <f>IF($H254="","",COUNTIFS(상세표[사번키],INDEX(상세표[사번키],$H254),상세표[기록월],대상월키))</f>
        <v/>
      </c>
      <c r="F254">
        <f>IF($H254="","",SUMIFS(상세표[기록 시간외],상세표[사번키],INDEX(상세표[사번키],$H254),상세표[기록월],대상월키))</f>
        <v/>
      </c>
      <c r="G254">
        <f>IF($H254="","",SUMIFS(합계표[시스템 합계],합계표[사번키],INDEX(상세표[사번키],$H254)))</f>
        <v/>
      </c>
      <c r="H254" s="4">
        <f>IFERROR(MATCH(249,상세표[발송인원순번],0),"")</f>
        <v/>
      </c>
      <c r="J254">
        <f>IF($U254="","",INDEX(상세표[사번],$U254)&amp;"")</f>
        <v/>
      </c>
      <c r="K254">
        <f>IF($U254="","",INDEX(상세표[성명],$U254)&amp;"")</f>
        <v/>
      </c>
      <c r="L254">
        <f>IF($U254="","",INDEX(상세표[직위],$U254)&amp;"")</f>
        <v/>
      </c>
      <c r="M254">
        <f>IF($U254="","",IF(ISNUMBER(INDEX(상세표[근무일자],$U254)),TEXT(INDEX(상세표[근무일자],$U254),"yyyy-mm-dd"),INDEX(상세표[근무일자],$U254)&amp;""))</f>
        <v/>
      </c>
      <c r="N254">
        <f>IF($U254="","",IF(ISNUMBER(INDEX(상세표[시작],$U254)),TEXT(INDEX(상세표[시작],$U254),"yyyy-mm-dd hh:mm"),INDEX(상세표[시작],$U254)&amp;""))</f>
        <v/>
      </c>
      <c r="O254">
        <f>IF($U254="","",IF(ISNUMBER(INDEX(상세표[종료],$U254)),TEXT(INDEX(상세표[종료],$U254),"yyyy-mm-dd hh:mm"),INDEX(상세표[종료],$U254)&amp;""))</f>
        <v/>
      </c>
      <c r="P254">
        <f>IF($U254="","",INDEX(상세표[06~07시],$U254))</f>
        <v/>
      </c>
      <c r="Q254">
        <f>IF($U254="","",INDEX(상세표[07~18시],$U254))</f>
        <v/>
      </c>
      <c r="R254">
        <f>IF($U254="","",INDEX(상세표[18~22시],$U254))</f>
        <v/>
      </c>
      <c r="S254">
        <f>IF($U254="","",INDEX(상세표[22~06시],$U254))</f>
        <v/>
      </c>
      <c r="T254">
        <f>IF($U254="","",INDEX(상세표[기록 시간외],$U254))</f>
        <v/>
      </c>
      <c r="U254" s="4">
        <f>IFERROR(MATCH(249,상세표[발송순번],0),"")</f>
        <v/>
      </c>
    </row>
    <row r="255">
      <c r="A255">
        <f>IF($H255="","",INDEX(상세표[사번],$H255)&amp;"")</f>
        <v/>
      </c>
      <c r="B255">
        <f>IF($H255="","",INDEX(상세표[성명],$H255)&amp;"")</f>
        <v/>
      </c>
      <c r="C255">
        <f>IF($H255="","",INDEX(상세표[부서],$H255)&amp;"")</f>
        <v/>
      </c>
      <c r="D255">
        <f>IF($H255="","",IF(IFERROR(INDEX(합계표[직위(통합)],MATCH(INDEX(상세표[사번키],$H255),합계표[사번키],0))&amp;"","")="",INDEX(상세표[직위],$H255)&amp;"",IFERROR(INDEX(합계표[직위(통합)],MATCH(INDEX(상세표[사번키],$H255),합계표[사번키],0))&amp;"","")))</f>
        <v/>
      </c>
      <c r="E255">
        <f>IF($H255="","",COUNTIFS(상세표[사번키],INDEX(상세표[사번키],$H255),상세표[기록월],대상월키))</f>
        <v/>
      </c>
      <c r="F255">
        <f>IF($H255="","",SUMIFS(상세표[기록 시간외],상세표[사번키],INDEX(상세표[사번키],$H255),상세표[기록월],대상월키))</f>
        <v/>
      </c>
      <c r="G255">
        <f>IF($H255="","",SUMIFS(합계표[시스템 합계],합계표[사번키],INDEX(상세표[사번키],$H255)))</f>
        <v/>
      </c>
      <c r="H255" s="4">
        <f>IFERROR(MATCH(250,상세표[발송인원순번],0),"")</f>
        <v/>
      </c>
      <c r="J255">
        <f>IF($U255="","",INDEX(상세표[사번],$U255)&amp;"")</f>
        <v/>
      </c>
      <c r="K255">
        <f>IF($U255="","",INDEX(상세표[성명],$U255)&amp;"")</f>
        <v/>
      </c>
      <c r="L255">
        <f>IF($U255="","",INDEX(상세표[직위],$U255)&amp;"")</f>
        <v/>
      </c>
      <c r="M255">
        <f>IF($U255="","",IF(ISNUMBER(INDEX(상세표[근무일자],$U255)),TEXT(INDEX(상세표[근무일자],$U255),"yyyy-mm-dd"),INDEX(상세표[근무일자],$U255)&amp;""))</f>
        <v/>
      </c>
      <c r="N255">
        <f>IF($U255="","",IF(ISNUMBER(INDEX(상세표[시작],$U255)),TEXT(INDEX(상세표[시작],$U255),"yyyy-mm-dd hh:mm"),INDEX(상세표[시작],$U255)&amp;""))</f>
        <v/>
      </c>
      <c r="O255">
        <f>IF($U255="","",IF(ISNUMBER(INDEX(상세표[종료],$U255)),TEXT(INDEX(상세표[종료],$U255),"yyyy-mm-dd hh:mm"),INDEX(상세표[종료],$U255)&amp;""))</f>
        <v/>
      </c>
      <c r="P255">
        <f>IF($U255="","",INDEX(상세표[06~07시],$U255))</f>
        <v/>
      </c>
      <c r="Q255">
        <f>IF($U255="","",INDEX(상세표[07~18시],$U255))</f>
        <v/>
      </c>
      <c r="R255">
        <f>IF($U255="","",INDEX(상세표[18~22시],$U255))</f>
        <v/>
      </c>
      <c r="S255">
        <f>IF($U255="","",INDEX(상세표[22~06시],$U255))</f>
        <v/>
      </c>
      <c r="T255">
        <f>IF($U255="","",INDEX(상세표[기록 시간외],$U255))</f>
        <v/>
      </c>
      <c r="U255" s="4">
        <f>IFERROR(MATCH(250,상세표[발송순번],0),"")</f>
        <v/>
      </c>
    </row>
    <row r="256">
      <c r="A256">
        <f>IF($H256="","",INDEX(상세표[사번],$H256)&amp;"")</f>
        <v/>
      </c>
      <c r="B256">
        <f>IF($H256="","",INDEX(상세표[성명],$H256)&amp;"")</f>
        <v/>
      </c>
      <c r="C256">
        <f>IF($H256="","",INDEX(상세표[부서],$H256)&amp;"")</f>
        <v/>
      </c>
      <c r="D256">
        <f>IF($H256="","",IF(IFERROR(INDEX(합계표[직위(통합)],MATCH(INDEX(상세표[사번키],$H256),합계표[사번키],0))&amp;"","")="",INDEX(상세표[직위],$H256)&amp;"",IFERROR(INDEX(합계표[직위(통합)],MATCH(INDEX(상세표[사번키],$H256),합계표[사번키],0))&amp;"","")))</f>
        <v/>
      </c>
      <c r="E256">
        <f>IF($H256="","",COUNTIFS(상세표[사번키],INDEX(상세표[사번키],$H256),상세표[기록월],대상월키))</f>
        <v/>
      </c>
      <c r="F256">
        <f>IF($H256="","",SUMIFS(상세표[기록 시간외],상세표[사번키],INDEX(상세표[사번키],$H256),상세표[기록월],대상월키))</f>
        <v/>
      </c>
      <c r="G256">
        <f>IF($H256="","",SUMIFS(합계표[시스템 합계],합계표[사번키],INDEX(상세표[사번키],$H256)))</f>
        <v/>
      </c>
      <c r="H256" s="4">
        <f>IFERROR(MATCH(251,상세표[발송인원순번],0),"")</f>
        <v/>
      </c>
      <c r="J256">
        <f>IF($U256="","",INDEX(상세표[사번],$U256)&amp;"")</f>
        <v/>
      </c>
      <c r="K256">
        <f>IF($U256="","",INDEX(상세표[성명],$U256)&amp;"")</f>
        <v/>
      </c>
      <c r="L256">
        <f>IF($U256="","",INDEX(상세표[직위],$U256)&amp;"")</f>
        <v/>
      </c>
      <c r="M256">
        <f>IF($U256="","",IF(ISNUMBER(INDEX(상세표[근무일자],$U256)),TEXT(INDEX(상세표[근무일자],$U256),"yyyy-mm-dd"),INDEX(상세표[근무일자],$U256)&amp;""))</f>
        <v/>
      </c>
      <c r="N256">
        <f>IF($U256="","",IF(ISNUMBER(INDEX(상세표[시작],$U256)),TEXT(INDEX(상세표[시작],$U256),"yyyy-mm-dd hh:mm"),INDEX(상세표[시작],$U256)&amp;""))</f>
        <v/>
      </c>
      <c r="O256">
        <f>IF($U256="","",IF(ISNUMBER(INDEX(상세표[종료],$U256)),TEXT(INDEX(상세표[종료],$U256),"yyyy-mm-dd hh:mm"),INDEX(상세표[종료],$U256)&amp;""))</f>
        <v/>
      </c>
      <c r="P256">
        <f>IF($U256="","",INDEX(상세표[06~07시],$U256))</f>
        <v/>
      </c>
      <c r="Q256">
        <f>IF($U256="","",INDEX(상세표[07~18시],$U256))</f>
        <v/>
      </c>
      <c r="R256">
        <f>IF($U256="","",INDEX(상세표[18~22시],$U256))</f>
        <v/>
      </c>
      <c r="S256">
        <f>IF($U256="","",INDEX(상세표[22~06시],$U256))</f>
        <v/>
      </c>
      <c r="T256">
        <f>IF($U256="","",INDEX(상세표[기록 시간외],$U256))</f>
        <v/>
      </c>
      <c r="U256" s="4">
        <f>IFERROR(MATCH(251,상세표[발송순번],0),"")</f>
        <v/>
      </c>
    </row>
    <row r="257">
      <c r="A257">
        <f>IF($H257="","",INDEX(상세표[사번],$H257)&amp;"")</f>
        <v/>
      </c>
      <c r="B257">
        <f>IF($H257="","",INDEX(상세표[성명],$H257)&amp;"")</f>
        <v/>
      </c>
      <c r="C257">
        <f>IF($H257="","",INDEX(상세표[부서],$H257)&amp;"")</f>
        <v/>
      </c>
      <c r="D257">
        <f>IF($H257="","",IF(IFERROR(INDEX(합계표[직위(통합)],MATCH(INDEX(상세표[사번키],$H257),합계표[사번키],0))&amp;"","")="",INDEX(상세표[직위],$H257)&amp;"",IFERROR(INDEX(합계표[직위(통합)],MATCH(INDEX(상세표[사번키],$H257),합계표[사번키],0))&amp;"","")))</f>
        <v/>
      </c>
      <c r="E257">
        <f>IF($H257="","",COUNTIFS(상세표[사번키],INDEX(상세표[사번키],$H257),상세표[기록월],대상월키))</f>
        <v/>
      </c>
      <c r="F257">
        <f>IF($H257="","",SUMIFS(상세표[기록 시간외],상세표[사번키],INDEX(상세표[사번키],$H257),상세표[기록월],대상월키))</f>
        <v/>
      </c>
      <c r="G257">
        <f>IF($H257="","",SUMIFS(합계표[시스템 합계],합계표[사번키],INDEX(상세표[사번키],$H257)))</f>
        <v/>
      </c>
      <c r="H257" s="4">
        <f>IFERROR(MATCH(252,상세표[발송인원순번],0),"")</f>
        <v/>
      </c>
      <c r="J257">
        <f>IF($U257="","",INDEX(상세표[사번],$U257)&amp;"")</f>
        <v/>
      </c>
      <c r="K257">
        <f>IF($U257="","",INDEX(상세표[성명],$U257)&amp;"")</f>
        <v/>
      </c>
      <c r="L257">
        <f>IF($U257="","",INDEX(상세표[직위],$U257)&amp;"")</f>
        <v/>
      </c>
      <c r="M257">
        <f>IF($U257="","",IF(ISNUMBER(INDEX(상세표[근무일자],$U257)),TEXT(INDEX(상세표[근무일자],$U257),"yyyy-mm-dd"),INDEX(상세표[근무일자],$U257)&amp;""))</f>
        <v/>
      </c>
      <c r="N257">
        <f>IF($U257="","",IF(ISNUMBER(INDEX(상세표[시작],$U257)),TEXT(INDEX(상세표[시작],$U257),"yyyy-mm-dd hh:mm"),INDEX(상세표[시작],$U257)&amp;""))</f>
        <v/>
      </c>
      <c r="O257">
        <f>IF($U257="","",IF(ISNUMBER(INDEX(상세표[종료],$U257)),TEXT(INDEX(상세표[종료],$U257),"yyyy-mm-dd hh:mm"),INDEX(상세표[종료],$U257)&amp;""))</f>
        <v/>
      </c>
      <c r="P257">
        <f>IF($U257="","",INDEX(상세표[06~07시],$U257))</f>
        <v/>
      </c>
      <c r="Q257">
        <f>IF($U257="","",INDEX(상세표[07~18시],$U257))</f>
        <v/>
      </c>
      <c r="R257">
        <f>IF($U257="","",INDEX(상세표[18~22시],$U257))</f>
        <v/>
      </c>
      <c r="S257">
        <f>IF($U257="","",INDEX(상세표[22~06시],$U257))</f>
        <v/>
      </c>
      <c r="T257">
        <f>IF($U257="","",INDEX(상세표[기록 시간외],$U257))</f>
        <v/>
      </c>
      <c r="U257" s="4">
        <f>IFERROR(MATCH(252,상세표[발송순번],0),"")</f>
        <v/>
      </c>
    </row>
    <row r="258">
      <c r="A258">
        <f>IF($H258="","",INDEX(상세표[사번],$H258)&amp;"")</f>
        <v/>
      </c>
      <c r="B258">
        <f>IF($H258="","",INDEX(상세표[성명],$H258)&amp;"")</f>
        <v/>
      </c>
      <c r="C258">
        <f>IF($H258="","",INDEX(상세표[부서],$H258)&amp;"")</f>
        <v/>
      </c>
      <c r="D258">
        <f>IF($H258="","",IF(IFERROR(INDEX(합계표[직위(통합)],MATCH(INDEX(상세표[사번키],$H258),합계표[사번키],0))&amp;"","")="",INDEX(상세표[직위],$H258)&amp;"",IFERROR(INDEX(합계표[직위(통합)],MATCH(INDEX(상세표[사번키],$H258),합계표[사번키],0))&amp;"","")))</f>
        <v/>
      </c>
      <c r="E258">
        <f>IF($H258="","",COUNTIFS(상세표[사번키],INDEX(상세표[사번키],$H258),상세표[기록월],대상월키))</f>
        <v/>
      </c>
      <c r="F258">
        <f>IF($H258="","",SUMIFS(상세표[기록 시간외],상세표[사번키],INDEX(상세표[사번키],$H258),상세표[기록월],대상월키))</f>
        <v/>
      </c>
      <c r="G258">
        <f>IF($H258="","",SUMIFS(합계표[시스템 합계],합계표[사번키],INDEX(상세표[사번키],$H258)))</f>
        <v/>
      </c>
      <c r="H258" s="4">
        <f>IFERROR(MATCH(253,상세표[발송인원순번],0),"")</f>
        <v/>
      </c>
      <c r="J258">
        <f>IF($U258="","",INDEX(상세표[사번],$U258)&amp;"")</f>
        <v/>
      </c>
      <c r="K258">
        <f>IF($U258="","",INDEX(상세표[성명],$U258)&amp;"")</f>
        <v/>
      </c>
      <c r="L258">
        <f>IF($U258="","",INDEX(상세표[직위],$U258)&amp;"")</f>
        <v/>
      </c>
      <c r="M258">
        <f>IF($U258="","",IF(ISNUMBER(INDEX(상세표[근무일자],$U258)),TEXT(INDEX(상세표[근무일자],$U258),"yyyy-mm-dd"),INDEX(상세표[근무일자],$U258)&amp;""))</f>
        <v/>
      </c>
      <c r="N258">
        <f>IF($U258="","",IF(ISNUMBER(INDEX(상세표[시작],$U258)),TEXT(INDEX(상세표[시작],$U258),"yyyy-mm-dd hh:mm"),INDEX(상세표[시작],$U258)&amp;""))</f>
        <v/>
      </c>
      <c r="O258">
        <f>IF($U258="","",IF(ISNUMBER(INDEX(상세표[종료],$U258)),TEXT(INDEX(상세표[종료],$U258),"yyyy-mm-dd hh:mm"),INDEX(상세표[종료],$U258)&amp;""))</f>
        <v/>
      </c>
      <c r="P258">
        <f>IF($U258="","",INDEX(상세표[06~07시],$U258))</f>
        <v/>
      </c>
      <c r="Q258">
        <f>IF($U258="","",INDEX(상세표[07~18시],$U258))</f>
        <v/>
      </c>
      <c r="R258">
        <f>IF($U258="","",INDEX(상세표[18~22시],$U258))</f>
        <v/>
      </c>
      <c r="S258">
        <f>IF($U258="","",INDEX(상세표[22~06시],$U258))</f>
        <v/>
      </c>
      <c r="T258">
        <f>IF($U258="","",INDEX(상세표[기록 시간외],$U258))</f>
        <v/>
      </c>
      <c r="U258" s="4">
        <f>IFERROR(MATCH(253,상세표[발송순번],0),"")</f>
        <v/>
      </c>
    </row>
    <row r="259">
      <c r="A259">
        <f>IF($H259="","",INDEX(상세표[사번],$H259)&amp;"")</f>
        <v/>
      </c>
      <c r="B259">
        <f>IF($H259="","",INDEX(상세표[성명],$H259)&amp;"")</f>
        <v/>
      </c>
      <c r="C259">
        <f>IF($H259="","",INDEX(상세표[부서],$H259)&amp;"")</f>
        <v/>
      </c>
      <c r="D259">
        <f>IF($H259="","",IF(IFERROR(INDEX(합계표[직위(통합)],MATCH(INDEX(상세표[사번키],$H259),합계표[사번키],0))&amp;"","")="",INDEX(상세표[직위],$H259)&amp;"",IFERROR(INDEX(합계표[직위(통합)],MATCH(INDEX(상세표[사번키],$H259),합계표[사번키],0))&amp;"","")))</f>
        <v/>
      </c>
      <c r="E259">
        <f>IF($H259="","",COUNTIFS(상세표[사번키],INDEX(상세표[사번키],$H259),상세표[기록월],대상월키))</f>
        <v/>
      </c>
      <c r="F259">
        <f>IF($H259="","",SUMIFS(상세표[기록 시간외],상세표[사번키],INDEX(상세표[사번키],$H259),상세표[기록월],대상월키))</f>
        <v/>
      </c>
      <c r="G259">
        <f>IF($H259="","",SUMIFS(합계표[시스템 합계],합계표[사번키],INDEX(상세표[사번키],$H259)))</f>
        <v/>
      </c>
      <c r="H259" s="4">
        <f>IFERROR(MATCH(254,상세표[발송인원순번],0),"")</f>
        <v/>
      </c>
      <c r="J259">
        <f>IF($U259="","",INDEX(상세표[사번],$U259)&amp;"")</f>
        <v/>
      </c>
      <c r="K259">
        <f>IF($U259="","",INDEX(상세표[성명],$U259)&amp;"")</f>
        <v/>
      </c>
      <c r="L259">
        <f>IF($U259="","",INDEX(상세표[직위],$U259)&amp;"")</f>
        <v/>
      </c>
      <c r="M259">
        <f>IF($U259="","",IF(ISNUMBER(INDEX(상세표[근무일자],$U259)),TEXT(INDEX(상세표[근무일자],$U259),"yyyy-mm-dd"),INDEX(상세표[근무일자],$U259)&amp;""))</f>
        <v/>
      </c>
      <c r="N259">
        <f>IF($U259="","",IF(ISNUMBER(INDEX(상세표[시작],$U259)),TEXT(INDEX(상세표[시작],$U259),"yyyy-mm-dd hh:mm"),INDEX(상세표[시작],$U259)&amp;""))</f>
        <v/>
      </c>
      <c r="O259">
        <f>IF($U259="","",IF(ISNUMBER(INDEX(상세표[종료],$U259)),TEXT(INDEX(상세표[종료],$U259),"yyyy-mm-dd hh:mm"),INDEX(상세표[종료],$U259)&amp;""))</f>
        <v/>
      </c>
      <c r="P259">
        <f>IF($U259="","",INDEX(상세표[06~07시],$U259))</f>
        <v/>
      </c>
      <c r="Q259">
        <f>IF($U259="","",INDEX(상세표[07~18시],$U259))</f>
        <v/>
      </c>
      <c r="R259">
        <f>IF($U259="","",INDEX(상세표[18~22시],$U259))</f>
        <v/>
      </c>
      <c r="S259">
        <f>IF($U259="","",INDEX(상세표[22~06시],$U259))</f>
        <v/>
      </c>
      <c r="T259">
        <f>IF($U259="","",INDEX(상세표[기록 시간외],$U259))</f>
        <v/>
      </c>
      <c r="U259" s="4">
        <f>IFERROR(MATCH(254,상세표[발송순번],0),"")</f>
        <v/>
      </c>
    </row>
    <row r="260">
      <c r="A260">
        <f>IF($H260="","",INDEX(상세표[사번],$H260)&amp;"")</f>
        <v/>
      </c>
      <c r="B260">
        <f>IF($H260="","",INDEX(상세표[성명],$H260)&amp;"")</f>
        <v/>
      </c>
      <c r="C260">
        <f>IF($H260="","",INDEX(상세표[부서],$H260)&amp;"")</f>
        <v/>
      </c>
      <c r="D260">
        <f>IF($H260="","",IF(IFERROR(INDEX(합계표[직위(통합)],MATCH(INDEX(상세표[사번키],$H260),합계표[사번키],0))&amp;"","")="",INDEX(상세표[직위],$H260)&amp;"",IFERROR(INDEX(합계표[직위(통합)],MATCH(INDEX(상세표[사번키],$H260),합계표[사번키],0))&amp;"","")))</f>
        <v/>
      </c>
      <c r="E260">
        <f>IF($H260="","",COUNTIFS(상세표[사번키],INDEX(상세표[사번키],$H260),상세표[기록월],대상월키))</f>
        <v/>
      </c>
      <c r="F260">
        <f>IF($H260="","",SUMIFS(상세표[기록 시간외],상세표[사번키],INDEX(상세표[사번키],$H260),상세표[기록월],대상월키))</f>
        <v/>
      </c>
      <c r="G260">
        <f>IF($H260="","",SUMIFS(합계표[시스템 합계],합계표[사번키],INDEX(상세표[사번키],$H260)))</f>
        <v/>
      </c>
      <c r="H260" s="4">
        <f>IFERROR(MATCH(255,상세표[발송인원순번],0),"")</f>
        <v/>
      </c>
      <c r="J260">
        <f>IF($U260="","",INDEX(상세표[사번],$U260)&amp;"")</f>
        <v/>
      </c>
      <c r="K260">
        <f>IF($U260="","",INDEX(상세표[성명],$U260)&amp;"")</f>
        <v/>
      </c>
      <c r="L260">
        <f>IF($U260="","",INDEX(상세표[직위],$U260)&amp;"")</f>
        <v/>
      </c>
      <c r="M260">
        <f>IF($U260="","",IF(ISNUMBER(INDEX(상세표[근무일자],$U260)),TEXT(INDEX(상세표[근무일자],$U260),"yyyy-mm-dd"),INDEX(상세표[근무일자],$U260)&amp;""))</f>
        <v/>
      </c>
      <c r="N260">
        <f>IF($U260="","",IF(ISNUMBER(INDEX(상세표[시작],$U260)),TEXT(INDEX(상세표[시작],$U260),"yyyy-mm-dd hh:mm"),INDEX(상세표[시작],$U260)&amp;""))</f>
        <v/>
      </c>
      <c r="O260">
        <f>IF($U260="","",IF(ISNUMBER(INDEX(상세표[종료],$U260)),TEXT(INDEX(상세표[종료],$U260),"yyyy-mm-dd hh:mm"),INDEX(상세표[종료],$U260)&amp;""))</f>
        <v/>
      </c>
      <c r="P260">
        <f>IF($U260="","",INDEX(상세표[06~07시],$U260))</f>
        <v/>
      </c>
      <c r="Q260">
        <f>IF($U260="","",INDEX(상세표[07~18시],$U260))</f>
        <v/>
      </c>
      <c r="R260">
        <f>IF($U260="","",INDEX(상세표[18~22시],$U260))</f>
        <v/>
      </c>
      <c r="S260">
        <f>IF($U260="","",INDEX(상세표[22~06시],$U260))</f>
        <v/>
      </c>
      <c r="T260">
        <f>IF($U260="","",INDEX(상세표[기록 시간외],$U260))</f>
        <v/>
      </c>
      <c r="U260" s="4">
        <f>IFERROR(MATCH(255,상세표[발송순번],0),"")</f>
        <v/>
      </c>
    </row>
    <row r="261">
      <c r="A261">
        <f>IF($H261="","",INDEX(상세표[사번],$H261)&amp;"")</f>
        <v/>
      </c>
      <c r="B261">
        <f>IF($H261="","",INDEX(상세표[성명],$H261)&amp;"")</f>
        <v/>
      </c>
      <c r="C261">
        <f>IF($H261="","",INDEX(상세표[부서],$H261)&amp;"")</f>
        <v/>
      </c>
      <c r="D261">
        <f>IF($H261="","",IF(IFERROR(INDEX(합계표[직위(통합)],MATCH(INDEX(상세표[사번키],$H261),합계표[사번키],0))&amp;"","")="",INDEX(상세표[직위],$H261)&amp;"",IFERROR(INDEX(합계표[직위(통합)],MATCH(INDEX(상세표[사번키],$H261),합계표[사번키],0))&amp;"","")))</f>
        <v/>
      </c>
      <c r="E261">
        <f>IF($H261="","",COUNTIFS(상세표[사번키],INDEX(상세표[사번키],$H261),상세표[기록월],대상월키))</f>
        <v/>
      </c>
      <c r="F261">
        <f>IF($H261="","",SUMIFS(상세표[기록 시간외],상세표[사번키],INDEX(상세표[사번키],$H261),상세표[기록월],대상월키))</f>
        <v/>
      </c>
      <c r="G261">
        <f>IF($H261="","",SUMIFS(합계표[시스템 합계],합계표[사번키],INDEX(상세표[사번키],$H261)))</f>
        <v/>
      </c>
      <c r="H261" s="4">
        <f>IFERROR(MATCH(256,상세표[발송인원순번],0),"")</f>
        <v/>
      </c>
      <c r="J261">
        <f>IF($U261="","",INDEX(상세표[사번],$U261)&amp;"")</f>
        <v/>
      </c>
      <c r="K261">
        <f>IF($U261="","",INDEX(상세표[성명],$U261)&amp;"")</f>
        <v/>
      </c>
      <c r="L261">
        <f>IF($U261="","",INDEX(상세표[직위],$U261)&amp;"")</f>
        <v/>
      </c>
      <c r="M261">
        <f>IF($U261="","",IF(ISNUMBER(INDEX(상세표[근무일자],$U261)),TEXT(INDEX(상세표[근무일자],$U261),"yyyy-mm-dd"),INDEX(상세표[근무일자],$U261)&amp;""))</f>
        <v/>
      </c>
      <c r="N261">
        <f>IF($U261="","",IF(ISNUMBER(INDEX(상세표[시작],$U261)),TEXT(INDEX(상세표[시작],$U261),"yyyy-mm-dd hh:mm"),INDEX(상세표[시작],$U261)&amp;""))</f>
        <v/>
      </c>
      <c r="O261">
        <f>IF($U261="","",IF(ISNUMBER(INDEX(상세표[종료],$U261)),TEXT(INDEX(상세표[종료],$U261),"yyyy-mm-dd hh:mm"),INDEX(상세표[종료],$U261)&amp;""))</f>
        <v/>
      </c>
      <c r="P261">
        <f>IF($U261="","",INDEX(상세표[06~07시],$U261))</f>
        <v/>
      </c>
      <c r="Q261">
        <f>IF($U261="","",INDEX(상세표[07~18시],$U261))</f>
        <v/>
      </c>
      <c r="R261">
        <f>IF($U261="","",INDEX(상세표[18~22시],$U261))</f>
        <v/>
      </c>
      <c r="S261">
        <f>IF($U261="","",INDEX(상세표[22~06시],$U261))</f>
        <v/>
      </c>
      <c r="T261">
        <f>IF($U261="","",INDEX(상세표[기록 시간외],$U261))</f>
        <v/>
      </c>
      <c r="U261" s="4">
        <f>IFERROR(MATCH(256,상세표[발송순번],0),"")</f>
        <v/>
      </c>
    </row>
    <row r="262">
      <c r="A262">
        <f>IF($H262="","",INDEX(상세표[사번],$H262)&amp;"")</f>
        <v/>
      </c>
      <c r="B262">
        <f>IF($H262="","",INDEX(상세표[성명],$H262)&amp;"")</f>
        <v/>
      </c>
      <c r="C262">
        <f>IF($H262="","",INDEX(상세표[부서],$H262)&amp;"")</f>
        <v/>
      </c>
      <c r="D262">
        <f>IF($H262="","",IF(IFERROR(INDEX(합계표[직위(통합)],MATCH(INDEX(상세표[사번키],$H262),합계표[사번키],0))&amp;"","")="",INDEX(상세표[직위],$H262)&amp;"",IFERROR(INDEX(합계표[직위(통합)],MATCH(INDEX(상세표[사번키],$H262),합계표[사번키],0))&amp;"","")))</f>
        <v/>
      </c>
      <c r="E262">
        <f>IF($H262="","",COUNTIFS(상세표[사번키],INDEX(상세표[사번키],$H262),상세표[기록월],대상월키))</f>
        <v/>
      </c>
      <c r="F262">
        <f>IF($H262="","",SUMIFS(상세표[기록 시간외],상세표[사번키],INDEX(상세표[사번키],$H262),상세표[기록월],대상월키))</f>
        <v/>
      </c>
      <c r="G262">
        <f>IF($H262="","",SUMIFS(합계표[시스템 합계],합계표[사번키],INDEX(상세표[사번키],$H262)))</f>
        <v/>
      </c>
      <c r="H262" s="4">
        <f>IFERROR(MATCH(257,상세표[발송인원순번],0),"")</f>
        <v/>
      </c>
      <c r="J262">
        <f>IF($U262="","",INDEX(상세표[사번],$U262)&amp;"")</f>
        <v/>
      </c>
      <c r="K262">
        <f>IF($U262="","",INDEX(상세표[성명],$U262)&amp;"")</f>
        <v/>
      </c>
      <c r="L262">
        <f>IF($U262="","",INDEX(상세표[직위],$U262)&amp;"")</f>
        <v/>
      </c>
      <c r="M262">
        <f>IF($U262="","",IF(ISNUMBER(INDEX(상세표[근무일자],$U262)),TEXT(INDEX(상세표[근무일자],$U262),"yyyy-mm-dd"),INDEX(상세표[근무일자],$U262)&amp;""))</f>
        <v/>
      </c>
      <c r="N262">
        <f>IF($U262="","",IF(ISNUMBER(INDEX(상세표[시작],$U262)),TEXT(INDEX(상세표[시작],$U262),"yyyy-mm-dd hh:mm"),INDEX(상세표[시작],$U262)&amp;""))</f>
        <v/>
      </c>
      <c r="O262">
        <f>IF($U262="","",IF(ISNUMBER(INDEX(상세표[종료],$U262)),TEXT(INDEX(상세표[종료],$U262),"yyyy-mm-dd hh:mm"),INDEX(상세표[종료],$U262)&amp;""))</f>
        <v/>
      </c>
      <c r="P262">
        <f>IF($U262="","",INDEX(상세표[06~07시],$U262))</f>
        <v/>
      </c>
      <c r="Q262">
        <f>IF($U262="","",INDEX(상세표[07~18시],$U262))</f>
        <v/>
      </c>
      <c r="R262">
        <f>IF($U262="","",INDEX(상세표[18~22시],$U262))</f>
        <v/>
      </c>
      <c r="S262">
        <f>IF($U262="","",INDEX(상세표[22~06시],$U262))</f>
        <v/>
      </c>
      <c r="T262">
        <f>IF($U262="","",INDEX(상세표[기록 시간외],$U262))</f>
        <v/>
      </c>
      <c r="U262" s="4">
        <f>IFERROR(MATCH(257,상세표[발송순번],0),"")</f>
        <v/>
      </c>
    </row>
    <row r="263">
      <c r="A263">
        <f>IF($H263="","",INDEX(상세표[사번],$H263)&amp;"")</f>
        <v/>
      </c>
      <c r="B263">
        <f>IF($H263="","",INDEX(상세표[성명],$H263)&amp;"")</f>
        <v/>
      </c>
      <c r="C263">
        <f>IF($H263="","",INDEX(상세표[부서],$H263)&amp;"")</f>
        <v/>
      </c>
      <c r="D263">
        <f>IF($H263="","",IF(IFERROR(INDEX(합계표[직위(통합)],MATCH(INDEX(상세표[사번키],$H263),합계표[사번키],0))&amp;"","")="",INDEX(상세표[직위],$H263)&amp;"",IFERROR(INDEX(합계표[직위(통합)],MATCH(INDEX(상세표[사번키],$H263),합계표[사번키],0))&amp;"","")))</f>
        <v/>
      </c>
      <c r="E263">
        <f>IF($H263="","",COUNTIFS(상세표[사번키],INDEX(상세표[사번키],$H263),상세표[기록월],대상월키))</f>
        <v/>
      </c>
      <c r="F263">
        <f>IF($H263="","",SUMIFS(상세표[기록 시간외],상세표[사번키],INDEX(상세표[사번키],$H263),상세표[기록월],대상월키))</f>
        <v/>
      </c>
      <c r="G263">
        <f>IF($H263="","",SUMIFS(합계표[시스템 합계],합계표[사번키],INDEX(상세표[사번키],$H263)))</f>
        <v/>
      </c>
      <c r="H263" s="4">
        <f>IFERROR(MATCH(258,상세표[발송인원순번],0),"")</f>
        <v/>
      </c>
      <c r="J263">
        <f>IF($U263="","",INDEX(상세표[사번],$U263)&amp;"")</f>
        <v/>
      </c>
      <c r="K263">
        <f>IF($U263="","",INDEX(상세표[성명],$U263)&amp;"")</f>
        <v/>
      </c>
      <c r="L263">
        <f>IF($U263="","",INDEX(상세표[직위],$U263)&amp;"")</f>
        <v/>
      </c>
      <c r="M263">
        <f>IF($U263="","",IF(ISNUMBER(INDEX(상세표[근무일자],$U263)),TEXT(INDEX(상세표[근무일자],$U263),"yyyy-mm-dd"),INDEX(상세표[근무일자],$U263)&amp;""))</f>
        <v/>
      </c>
      <c r="N263">
        <f>IF($U263="","",IF(ISNUMBER(INDEX(상세표[시작],$U263)),TEXT(INDEX(상세표[시작],$U263),"yyyy-mm-dd hh:mm"),INDEX(상세표[시작],$U263)&amp;""))</f>
        <v/>
      </c>
      <c r="O263">
        <f>IF($U263="","",IF(ISNUMBER(INDEX(상세표[종료],$U263)),TEXT(INDEX(상세표[종료],$U263),"yyyy-mm-dd hh:mm"),INDEX(상세표[종료],$U263)&amp;""))</f>
        <v/>
      </c>
      <c r="P263">
        <f>IF($U263="","",INDEX(상세표[06~07시],$U263))</f>
        <v/>
      </c>
      <c r="Q263">
        <f>IF($U263="","",INDEX(상세표[07~18시],$U263))</f>
        <v/>
      </c>
      <c r="R263">
        <f>IF($U263="","",INDEX(상세표[18~22시],$U263))</f>
        <v/>
      </c>
      <c r="S263">
        <f>IF($U263="","",INDEX(상세표[22~06시],$U263))</f>
        <v/>
      </c>
      <c r="T263">
        <f>IF($U263="","",INDEX(상세표[기록 시간외],$U263))</f>
        <v/>
      </c>
      <c r="U263" s="4">
        <f>IFERROR(MATCH(258,상세표[발송순번],0),"")</f>
        <v/>
      </c>
    </row>
    <row r="264">
      <c r="A264">
        <f>IF($H264="","",INDEX(상세표[사번],$H264)&amp;"")</f>
        <v/>
      </c>
      <c r="B264">
        <f>IF($H264="","",INDEX(상세표[성명],$H264)&amp;"")</f>
        <v/>
      </c>
      <c r="C264">
        <f>IF($H264="","",INDEX(상세표[부서],$H264)&amp;"")</f>
        <v/>
      </c>
      <c r="D264">
        <f>IF($H264="","",IF(IFERROR(INDEX(합계표[직위(통합)],MATCH(INDEX(상세표[사번키],$H264),합계표[사번키],0))&amp;"","")="",INDEX(상세표[직위],$H264)&amp;"",IFERROR(INDEX(합계표[직위(통합)],MATCH(INDEX(상세표[사번키],$H264),합계표[사번키],0))&amp;"","")))</f>
        <v/>
      </c>
      <c r="E264">
        <f>IF($H264="","",COUNTIFS(상세표[사번키],INDEX(상세표[사번키],$H264),상세표[기록월],대상월키))</f>
        <v/>
      </c>
      <c r="F264">
        <f>IF($H264="","",SUMIFS(상세표[기록 시간외],상세표[사번키],INDEX(상세표[사번키],$H264),상세표[기록월],대상월키))</f>
        <v/>
      </c>
      <c r="G264">
        <f>IF($H264="","",SUMIFS(합계표[시스템 합계],합계표[사번키],INDEX(상세표[사번키],$H264)))</f>
        <v/>
      </c>
      <c r="H264" s="4">
        <f>IFERROR(MATCH(259,상세표[발송인원순번],0),"")</f>
        <v/>
      </c>
      <c r="J264">
        <f>IF($U264="","",INDEX(상세표[사번],$U264)&amp;"")</f>
        <v/>
      </c>
      <c r="K264">
        <f>IF($U264="","",INDEX(상세표[성명],$U264)&amp;"")</f>
        <v/>
      </c>
      <c r="L264">
        <f>IF($U264="","",INDEX(상세표[직위],$U264)&amp;"")</f>
        <v/>
      </c>
      <c r="M264">
        <f>IF($U264="","",IF(ISNUMBER(INDEX(상세표[근무일자],$U264)),TEXT(INDEX(상세표[근무일자],$U264),"yyyy-mm-dd"),INDEX(상세표[근무일자],$U264)&amp;""))</f>
        <v/>
      </c>
      <c r="N264">
        <f>IF($U264="","",IF(ISNUMBER(INDEX(상세표[시작],$U264)),TEXT(INDEX(상세표[시작],$U264),"yyyy-mm-dd hh:mm"),INDEX(상세표[시작],$U264)&amp;""))</f>
        <v/>
      </c>
      <c r="O264">
        <f>IF($U264="","",IF(ISNUMBER(INDEX(상세표[종료],$U264)),TEXT(INDEX(상세표[종료],$U264),"yyyy-mm-dd hh:mm"),INDEX(상세표[종료],$U264)&amp;""))</f>
        <v/>
      </c>
      <c r="P264">
        <f>IF($U264="","",INDEX(상세표[06~07시],$U264))</f>
        <v/>
      </c>
      <c r="Q264">
        <f>IF($U264="","",INDEX(상세표[07~18시],$U264))</f>
        <v/>
      </c>
      <c r="R264">
        <f>IF($U264="","",INDEX(상세표[18~22시],$U264))</f>
        <v/>
      </c>
      <c r="S264">
        <f>IF($U264="","",INDEX(상세표[22~06시],$U264))</f>
        <v/>
      </c>
      <c r="T264">
        <f>IF($U264="","",INDEX(상세표[기록 시간외],$U264))</f>
        <v/>
      </c>
      <c r="U264" s="4">
        <f>IFERROR(MATCH(259,상세표[발송순번],0),"")</f>
        <v/>
      </c>
    </row>
    <row r="265">
      <c r="A265">
        <f>IF($H265="","",INDEX(상세표[사번],$H265)&amp;"")</f>
        <v/>
      </c>
      <c r="B265">
        <f>IF($H265="","",INDEX(상세표[성명],$H265)&amp;"")</f>
        <v/>
      </c>
      <c r="C265">
        <f>IF($H265="","",INDEX(상세표[부서],$H265)&amp;"")</f>
        <v/>
      </c>
      <c r="D265">
        <f>IF($H265="","",IF(IFERROR(INDEX(합계표[직위(통합)],MATCH(INDEX(상세표[사번키],$H265),합계표[사번키],0))&amp;"","")="",INDEX(상세표[직위],$H265)&amp;"",IFERROR(INDEX(합계표[직위(통합)],MATCH(INDEX(상세표[사번키],$H265),합계표[사번키],0))&amp;"","")))</f>
        <v/>
      </c>
      <c r="E265">
        <f>IF($H265="","",COUNTIFS(상세표[사번키],INDEX(상세표[사번키],$H265),상세표[기록월],대상월키))</f>
        <v/>
      </c>
      <c r="F265">
        <f>IF($H265="","",SUMIFS(상세표[기록 시간외],상세표[사번키],INDEX(상세표[사번키],$H265),상세표[기록월],대상월키))</f>
        <v/>
      </c>
      <c r="G265">
        <f>IF($H265="","",SUMIFS(합계표[시스템 합계],합계표[사번키],INDEX(상세표[사번키],$H265)))</f>
        <v/>
      </c>
      <c r="H265" s="4">
        <f>IFERROR(MATCH(260,상세표[발송인원순번],0),"")</f>
        <v/>
      </c>
      <c r="J265">
        <f>IF($U265="","",INDEX(상세표[사번],$U265)&amp;"")</f>
        <v/>
      </c>
      <c r="K265">
        <f>IF($U265="","",INDEX(상세표[성명],$U265)&amp;"")</f>
        <v/>
      </c>
      <c r="L265">
        <f>IF($U265="","",INDEX(상세표[직위],$U265)&amp;"")</f>
        <v/>
      </c>
      <c r="M265">
        <f>IF($U265="","",IF(ISNUMBER(INDEX(상세표[근무일자],$U265)),TEXT(INDEX(상세표[근무일자],$U265),"yyyy-mm-dd"),INDEX(상세표[근무일자],$U265)&amp;""))</f>
        <v/>
      </c>
      <c r="N265">
        <f>IF($U265="","",IF(ISNUMBER(INDEX(상세표[시작],$U265)),TEXT(INDEX(상세표[시작],$U265),"yyyy-mm-dd hh:mm"),INDEX(상세표[시작],$U265)&amp;""))</f>
        <v/>
      </c>
      <c r="O265">
        <f>IF($U265="","",IF(ISNUMBER(INDEX(상세표[종료],$U265)),TEXT(INDEX(상세표[종료],$U265),"yyyy-mm-dd hh:mm"),INDEX(상세표[종료],$U265)&amp;""))</f>
        <v/>
      </c>
      <c r="P265">
        <f>IF($U265="","",INDEX(상세표[06~07시],$U265))</f>
        <v/>
      </c>
      <c r="Q265">
        <f>IF($U265="","",INDEX(상세표[07~18시],$U265))</f>
        <v/>
      </c>
      <c r="R265">
        <f>IF($U265="","",INDEX(상세표[18~22시],$U265))</f>
        <v/>
      </c>
      <c r="S265">
        <f>IF($U265="","",INDEX(상세표[22~06시],$U265))</f>
        <v/>
      </c>
      <c r="T265">
        <f>IF($U265="","",INDEX(상세표[기록 시간외],$U265))</f>
        <v/>
      </c>
      <c r="U265" s="4">
        <f>IFERROR(MATCH(260,상세표[발송순번],0),"")</f>
        <v/>
      </c>
    </row>
    <row r="266">
      <c r="A266">
        <f>IF($H266="","",INDEX(상세표[사번],$H266)&amp;"")</f>
        <v/>
      </c>
      <c r="B266">
        <f>IF($H266="","",INDEX(상세표[성명],$H266)&amp;"")</f>
        <v/>
      </c>
      <c r="C266">
        <f>IF($H266="","",INDEX(상세표[부서],$H266)&amp;"")</f>
        <v/>
      </c>
      <c r="D266">
        <f>IF($H266="","",IF(IFERROR(INDEX(합계표[직위(통합)],MATCH(INDEX(상세표[사번키],$H266),합계표[사번키],0))&amp;"","")="",INDEX(상세표[직위],$H266)&amp;"",IFERROR(INDEX(합계표[직위(통합)],MATCH(INDEX(상세표[사번키],$H266),합계표[사번키],0))&amp;"","")))</f>
        <v/>
      </c>
      <c r="E266">
        <f>IF($H266="","",COUNTIFS(상세표[사번키],INDEX(상세표[사번키],$H266),상세표[기록월],대상월키))</f>
        <v/>
      </c>
      <c r="F266">
        <f>IF($H266="","",SUMIFS(상세표[기록 시간외],상세표[사번키],INDEX(상세표[사번키],$H266),상세표[기록월],대상월키))</f>
        <v/>
      </c>
      <c r="G266">
        <f>IF($H266="","",SUMIFS(합계표[시스템 합계],합계표[사번키],INDEX(상세표[사번키],$H266)))</f>
        <v/>
      </c>
      <c r="H266" s="4">
        <f>IFERROR(MATCH(261,상세표[발송인원순번],0),"")</f>
        <v/>
      </c>
      <c r="J266">
        <f>IF($U266="","",INDEX(상세표[사번],$U266)&amp;"")</f>
        <v/>
      </c>
      <c r="K266">
        <f>IF($U266="","",INDEX(상세표[성명],$U266)&amp;"")</f>
        <v/>
      </c>
      <c r="L266">
        <f>IF($U266="","",INDEX(상세표[직위],$U266)&amp;"")</f>
        <v/>
      </c>
      <c r="M266">
        <f>IF($U266="","",IF(ISNUMBER(INDEX(상세표[근무일자],$U266)),TEXT(INDEX(상세표[근무일자],$U266),"yyyy-mm-dd"),INDEX(상세표[근무일자],$U266)&amp;""))</f>
        <v/>
      </c>
      <c r="N266">
        <f>IF($U266="","",IF(ISNUMBER(INDEX(상세표[시작],$U266)),TEXT(INDEX(상세표[시작],$U266),"yyyy-mm-dd hh:mm"),INDEX(상세표[시작],$U266)&amp;""))</f>
        <v/>
      </c>
      <c r="O266">
        <f>IF($U266="","",IF(ISNUMBER(INDEX(상세표[종료],$U266)),TEXT(INDEX(상세표[종료],$U266),"yyyy-mm-dd hh:mm"),INDEX(상세표[종료],$U266)&amp;""))</f>
        <v/>
      </c>
      <c r="P266">
        <f>IF($U266="","",INDEX(상세표[06~07시],$U266))</f>
        <v/>
      </c>
      <c r="Q266">
        <f>IF($U266="","",INDEX(상세표[07~18시],$U266))</f>
        <v/>
      </c>
      <c r="R266">
        <f>IF($U266="","",INDEX(상세표[18~22시],$U266))</f>
        <v/>
      </c>
      <c r="S266">
        <f>IF($U266="","",INDEX(상세표[22~06시],$U266))</f>
        <v/>
      </c>
      <c r="T266">
        <f>IF($U266="","",INDEX(상세표[기록 시간외],$U266))</f>
        <v/>
      </c>
      <c r="U266" s="4">
        <f>IFERROR(MATCH(261,상세표[발송순번],0),"")</f>
        <v/>
      </c>
    </row>
    <row r="267">
      <c r="A267">
        <f>IF($H267="","",INDEX(상세표[사번],$H267)&amp;"")</f>
        <v/>
      </c>
      <c r="B267">
        <f>IF($H267="","",INDEX(상세표[성명],$H267)&amp;"")</f>
        <v/>
      </c>
      <c r="C267">
        <f>IF($H267="","",INDEX(상세표[부서],$H267)&amp;"")</f>
        <v/>
      </c>
      <c r="D267">
        <f>IF($H267="","",IF(IFERROR(INDEX(합계표[직위(통합)],MATCH(INDEX(상세표[사번키],$H267),합계표[사번키],0))&amp;"","")="",INDEX(상세표[직위],$H267)&amp;"",IFERROR(INDEX(합계표[직위(통합)],MATCH(INDEX(상세표[사번키],$H267),합계표[사번키],0))&amp;"","")))</f>
        <v/>
      </c>
      <c r="E267">
        <f>IF($H267="","",COUNTIFS(상세표[사번키],INDEX(상세표[사번키],$H267),상세표[기록월],대상월키))</f>
        <v/>
      </c>
      <c r="F267">
        <f>IF($H267="","",SUMIFS(상세표[기록 시간외],상세표[사번키],INDEX(상세표[사번키],$H267),상세표[기록월],대상월키))</f>
        <v/>
      </c>
      <c r="G267">
        <f>IF($H267="","",SUMIFS(합계표[시스템 합계],합계표[사번키],INDEX(상세표[사번키],$H267)))</f>
        <v/>
      </c>
      <c r="H267" s="4">
        <f>IFERROR(MATCH(262,상세표[발송인원순번],0),"")</f>
        <v/>
      </c>
      <c r="J267">
        <f>IF($U267="","",INDEX(상세표[사번],$U267)&amp;"")</f>
        <v/>
      </c>
      <c r="K267">
        <f>IF($U267="","",INDEX(상세표[성명],$U267)&amp;"")</f>
        <v/>
      </c>
      <c r="L267">
        <f>IF($U267="","",INDEX(상세표[직위],$U267)&amp;"")</f>
        <v/>
      </c>
      <c r="M267">
        <f>IF($U267="","",IF(ISNUMBER(INDEX(상세표[근무일자],$U267)),TEXT(INDEX(상세표[근무일자],$U267),"yyyy-mm-dd"),INDEX(상세표[근무일자],$U267)&amp;""))</f>
        <v/>
      </c>
      <c r="N267">
        <f>IF($U267="","",IF(ISNUMBER(INDEX(상세표[시작],$U267)),TEXT(INDEX(상세표[시작],$U267),"yyyy-mm-dd hh:mm"),INDEX(상세표[시작],$U267)&amp;""))</f>
        <v/>
      </c>
      <c r="O267">
        <f>IF($U267="","",IF(ISNUMBER(INDEX(상세표[종료],$U267)),TEXT(INDEX(상세표[종료],$U267),"yyyy-mm-dd hh:mm"),INDEX(상세표[종료],$U267)&amp;""))</f>
        <v/>
      </c>
      <c r="P267">
        <f>IF($U267="","",INDEX(상세표[06~07시],$U267))</f>
        <v/>
      </c>
      <c r="Q267">
        <f>IF($U267="","",INDEX(상세표[07~18시],$U267))</f>
        <v/>
      </c>
      <c r="R267">
        <f>IF($U267="","",INDEX(상세표[18~22시],$U267))</f>
        <v/>
      </c>
      <c r="S267">
        <f>IF($U267="","",INDEX(상세표[22~06시],$U267))</f>
        <v/>
      </c>
      <c r="T267">
        <f>IF($U267="","",INDEX(상세표[기록 시간외],$U267))</f>
        <v/>
      </c>
      <c r="U267" s="4">
        <f>IFERROR(MATCH(262,상세표[발송순번],0),"")</f>
        <v/>
      </c>
    </row>
    <row r="268">
      <c r="A268">
        <f>IF($H268="","",INDEX(상세표[사번],$H268)&amp;"")</f>
        <v/>
      </c>
      <c r="B268">
        <f>IF($H268="","",INDEX(상세표[성명],$H268)&amp;"")</f>
        <v/>
      </c>
      <c r="C268">
        <f>IF($H268="","",INDEX(상세표[부서],$H268)&amp;"")</f>
        <v/>
      </c>
      <c r="D268">
        <f>IF($H268="","",IF(IFERROR(INDEX(합계표[직위(통합)],MATCH(INDEX(상세표[사번키],$H268),합계표[사번키],0))&amp;"","")="",INDEX(상세표[직위],$H268)&amp;"",IFERROR(INDEX(합계표[직위(통합)],MATCH(INDEX(상세표[사번키],$H268),합계표[사번키],0))&amp;"","")))</f>
        <v/>
      </c>
      <c r="E268">
        <f>IF($H268="","",COUNTIFS(상세표[사번키],INDEX(상세표[사번키],$H268),상세표[기록월],대상월키))</f>
        <v/>
      </c>
      <c r="F268">
        <f>IF($H268="","",SUMIFS(상세표[기록 시간외],상세표[사번키],INDEX(상세표[사번키],$H268),상세표[기록월],대상월키))</f>
        <v/>
      </c>
      <c r="G268">
        <f>IF($H268="","",SUMIFS(합계표[시스템 합계],합계표[사번키],INDEX(상세표[사번키],$H268)))</f>
        <v/>
      </c>
      <c r="H268" s="4">
        <f>IFERROR(MATCH(263,상세표[발송인원순번],0),"")</f>
        <v/>
      </c>
      <c r="J268">
        <f>IF($U268="","",INDEX(상세표[사번],$U268)&amp;"")</f>
        <v/>
      </c>
      <c r="K268">
        <f>IF($U268="","",INDEX(상세표[성명],$U268)&amp;"")</f>
        <v/>
      </c>
      <c r="L268">
        <f>IF($U268="","",INDEX(상세표[직위],$U268)&amp;"")</f>
        <v/>
      </c>
      <c r="M268">
        <f>IF($U268="","",IF(ISNUMBER(INDEX(상세표[근무일자],$U268)),TEXT(INDEX(상세표[근무일자],$U268),"yyyy-mm-dd"),INDEX(상세표[근무일자],$U268)&amp;""))</f>
        <v/>
      </c>
      <c r="N268">
        <f>IF($U268="","",IF(ISNUMBER(INDEX(상세표[시작],$U268)),TEXT(INDEX(상세표[시작],$U268),"yyyy-mm-dd hh:mm"),INDEX(상세표[시작],$U268)&amp;""))</f>
        <v/>
      </c>
      <c r="O268">
        <f>IF($U268="","",IF(ISNUMBER(INDEX(상세표[종료],$U268)),TEXT(INDEX(상세표[종료],$U268),"yyyy-mm-dd hh:mm"),INDEX(상세표[종료],$U268)&amp;""))</f>
        <v/>
      </c>
      <c r="P268">
        <f>IF($U268="","",INDEX(상세표[06~07시],$U268))</f>
        <v/>
      </c>
      <c r="Q268">
        <f>IF($U268="","",INDEX(상세표[07~18시],$U268))</f>
        <v/>
      </c>
      <c r="R268">
        <f>IF($U268="","",INDEX(상세표[18~22시],$U268))</f>
        <v/>
      </c>
      <c r="S268">
        <f>IF($U268="","",INDEX(상세표[22~06시],$U268))</f>
        <v/>
      </c>
      <c r="T268">
        <f>IF($U268="","",INDEX(상세표[기록 시간외],$U268))</f>
        <v/>
      </c>
      <c r="U268" s="4">
        <f>IFERROR(MATCH(263,상세표[발송순번],0),"")</f>
        <v/>
      </c>
    </row>
    <row r="269">
      <c r="A269">
        <f>IF($H269="","",INDEX(상세표[사번],$H269)&amp;"")</f>
        <v/>
      </c>
      <c r="B269">
        <f>IF($H269="","",INDEX(상세표[성명],$H269)&amp;"")</f>
        <v/>
      </c>
      <c r="C269">
        <f>IF($H269="","",INDEX(상세표[부서],$H269)&amp;"")</f>
        <v/>
      </c>
      <c r="D269">
        <f>IF($H269="","",IF(IFERROR(INDEX(합계표[직위(통합)],MATCH(INDEX(상세표[사번키],$H269),합계표[사번키],0))&amp;"","")="",INDEX(상세표[직위],$H269)&amp;"",IFERROR(INDEX(합계표[직위(통합)],MATCH(INDEX(상세표[사번키],$H269),합계표[사번키],0))&amp;"","")))</f>
        <v/>
      </c>
      <c r="E269">
        <f>IF($H269="","",COUNTIFS(상세표[사번키],INDEX(상세표[사번키],$H269),상세표[기록월],대상월키))</f>
        <v/>
      </c>
      <c r="F269">
        <f>IF($H269="","",SUMIFS(상세표[기록 시간외],상세표[사번키],INDEX(상세표[사번키],$H269),상세표[기록월],대상월키))</f>
        <v/>
      </c>
      <c r="G269">
        <f>IF($H269="","",SUMIFS(합계표[시스템 합계],합계표[사번키],INDEX(상세표[사번키],$H269)))</f>
        <v/>
      </c>
      <c r="H269" s="4">
        <f>IFERROR(MATCH(264,상세표[발송인원순번],0),"")</f>
        <v/>
      </c>
      <c r="J269">
        <f>IF($U269="","",INDEX(상세표[사번],$U269)&amp;"")</f>
        <v/>
      </c>
      <c r="K269">
        <f>IF($U269="","",INDEX(상세표[성명],$U269)&amp;"")</f>
        <v/>
      </c>
      <c r="L269">
        <f>IF($U269="","",INDEX(상세표[직위],$U269)&amp;"")</f>
        <v/>
      </c>
      <c r="M269">
        <f>IF($U269="","",IF(ISNUMBER(INDEX(상세표[근무일자],$U269)),TEXT(INDEX(상세표[근무일자],$U269),"yyyy-mm-dd"),INDEX(상세표[근무일자],$U269)&amp;""))</f>
        <v/>
      </c>
      <c r="N269">
        <f>IF($U269="","",IF(ISNUMBER(INDEX(상세표[시작],$U269)),TEXT(INDEX(상세표[시작],$U269),"yyyy-mm-dd hh:mm"),INDEX(상세표[시작],$U269)&amp;""))</f>
        <v/>
      </c>
      <c r="O269">
        <f>IF($U269="","",IF(ISNUMBER(INDEX(상세표[종료],$U269)),TEXT(INDEX(상세표[종료],$U269),"yyyy-mm-dd hh:mm"),INDEX(상세표[종료],$U269)&amp;""))</f>
        <v/>
      </c>
      <c r="P269">
        <f>IF($U269="","",INDEX(상세표[06~07시],$U269))</f>
        <v/>
      </c>
      <c r="Q269">
        <f>IF($U269="","",INDEX(상세표[07~18시],$U269))</f>
        <v/>
      </c>
      <c r="R269">
        <f>IF($U269="","",INDEX(상세표[18~22시],$U269))</f>
        <v/>
      </c>
      <c r="S269">
        <f>IF($U269="","",INDEX(상세표[22~06시],$U269))</f>
        <v/>
      </c>
      <c r="T269">
        <f>IF($U269="","",INDEX(상세표[기록 시간외],$U269))</f>
        <v/>
      </c>
      <c r="U269" s="4">
        <f>IFERROR(MATCH(264,상세표[발송순번],0),"")</f>
        <v/>
      </c>
    </row>
    <row r="270">
      <c r="A270">
        <f>IF($H270="","",INDEX(상세표[사번],$H270)&amp;"")</f>
        <v/>
      </c>
      <c r="B270">
        <f>IF($H270="","",INDEX(상세표[성명],$H270)&amp;"")</f>
        <v/>
      </c>
      <c r="C270">
        <f>IF($H270="","",INDEX(상세표[부서],$H270)&amp;"")</f>
        <v/>
      </c>
      <c r="D270">
        <f>IF($H270="","",IF(IFERROR(INDEX(합계표[직위(통합)],MATCH(INDEX(상세표[사번키],$H270),합계표[사번키],0))&amp;"","")="",INDEX(상세표[직위],$H270)&amp;"",IFERROR(INDEX(합계표[직위(통합)],MATCH(INDEX(상세표[사번키],$H270),합계표[사번키],0))&amp;"","")))</f>
        <v/>
      </c>
      <c r="E270">
        <f>IF($H270="","",COUNTIFS(상세표[사번키],INDEX(상세표[사번키],$H270),상세표[기록월],대상월키))</f>
        <v/>
      </c>
      <c r="F270">
        <f>IF($H270="","",SUMIFS(상세표[기록 시간외],상세표[사번키],INDEX(상세표[사번키],$H270),상세표[기록월],대상월키))</f>
        <v/>
      </c>
      <c r="G270">
        <f>IF($H270="","",SUMIFS(합계표[시스템 합계],합계표[사번키],INDEX(상세표[사번키],$H270)))</f>
        <v/>
      </c>
      <c r="H270" s="4">
        <f>IFERROR(MATCH(265,상세표[발송인원순번],0),"")</f>
        <v/>
      </c>
      <c r="J270">
        <f>IF($U270="","",INDEX(상세표[사번],$U270)&amp;"")</f>
        <v/>
      </c>
      <c r="K270">
        <f>IF($U270="","",INDEX(상세표[성명],$U270)&amp;"")</f>
        <v/>
      </c>
      <c r="L270">
        <f>IF($U270="","",INDEX(상세표[직위],$U270)&amp;"")</f>
        <v/>
      </c>
      <c r="M270">
        <f>IF($U270="","",IF(ISNUMBER(INDEX(상세표[근무일자],$U270)),TEXT(INDEX(상세표[근무일자],$U270),"yyyy-mm-dd"),INDEX(상세표[근무일자],$U270)&amp;""))</f>
        <v/>
      </c>
      <c r="N270">
        <f>IF($U270="","",IF(ISNUMBER(INDEX(상세표[시작],$U270)),TEXT(INDEX(상세표[시작],$U270),"yyyy-mm-dd hh:mm"),INDEX(상세표[시작],$U270)&amp;""))</f>
        <v/>
      </c>
      <c r="O270">
        <f>IF($U270="","",IF(ISNUMBER(INDEX(상세표[종료],$U270)),TEXT(INDEX(상세표[종료],$U270),"yyyy-mm-dd hh:mm"),INDEX(상세표[종료],$U270)&amp;""))</f>
        <v/>
      </c>
      <c r="P270">
        <f>IF($U270="","",INDEX(상세표[06~07시],$U270))</f>
        <v/>
      </c>
      <c r="Q270">
        <f>IF($U270="","",INDEX(상세표[07~18시],$U270))</f>
        <v/>
      </c>
      <c r="R270">
        <f>IF($U270="","",INDEX(상세표[18~22시],$U270))</f>
        <v/>
      </c>
      <c r="S270">
        <f>IF($U270="","",INDEX(상세표[22~06시],$U270))</f>
        <v/>
      </c>
      <c r="T270">
        <f>IF($U270="","",INDEX(상세표[기록 시간외],$U270))</f>
        <v/>
      </c>
      <c r="U270" s="4">
        <f>IFERROR(MATCH(265,상세표[발송순번],0),"")</f>
        <v/>
      </c>
    </row>
    <row r="271">
      <c r="A271">
        <f>IF($H271="","",INDEX(상세표[사번],$H271)&amp;"")</f>
        <v/>
      </c>
      <c r="B271">
        <f>IF($H271="","",INDEX(상세표[성명],$H271)&amp;"")</f>
        <v/>
      </c>
      <c r="C271">
        <f>IF($H271="","",INDEX(상세표[부서],$H271)&amp;"")</f>
        <v/>
      </c>
      <c r="D271">
        <f>IF($H271="","",IF(IFERROR(INDEX(합계표[직위(통합)],MATCH(INDEX(상세표[사번키],$H271),합계표[사번키],0))&amp;"","")="",INDEX(상세표[직위],$H271)&amp;"",IFERROR(INDEX(합계표[직위(통합)],MATCH(INDEX(상세표[사번키],$H271),합계표[사번키],0))&amp;"","")))</f>
        <v/>
      </c>
      <c r="E271">
        <f>IF($H271="","",COUNTIFS(상세표[사번키],INDEX(상세표[사번키],$H271),상세표[기록월],대상월키))</f>
        <v/>
      </c>
      <c r="F271">
        <f>IF($H271="","",SUMIFS(상세표[기록 시간외],상세표[사번키],INDEX(상세표[사번키],$H271),상세표[기록월],대상월키))</f>
        <v/>
      </c>
      <c r="G271">
        <f>IF($H271="","",SUMIFS(합계표[시스템 합계],합계표[사번키],INDEX(상세표[사번키],$H271)))</f>
        <v/>
      </c>
      <c r="H271" s="4">
        <f>IFERROR(MATCH(266,상세표[발송인원순번],0),"")</f>
        <v/>
      </c>
      <c r="J271">
        <f>IF($U271="","",INDEX(상세표[사번],$U271)&amp;"")</f>
        <v/>
      </c>
      <c r="K271">
        <f>IF($U271="","",INDEX(상세표[성명],$U271)&amp;"")</f>
        <v/>
      </c>
      <c r="L271">
        <f>IF($U271="","",INDEX(상세표[직위],$U271)&amp;"")</f>
        <v/>
      </c>
      <c r="M271">
        <f>IF($U271="","",IF(ISNUMBER(INDEX(상세표[근무일자],$U271)),TEXT(INDEX(상세표[근무일자],$U271),"yyyy-mm-dd"),INDEX(상세표[근무일자],$U271)&amp;""))</f>
        <v/>
      </c>
      <c r="N271">
        <f>IF($U271="","",IF(ISNUMBER(INDEX(상세표[시작],$U271)),TEXT(INDEX(상세표[시작],$U271),"yyyy-mm-dd hh:mm"),INDEX(상세표[시작],$U271)&amp;""))</f>
        <v/>
      </c>
      <c r="O271">
        <f>IF($U271="","",IF(ISNUMBER(INDEX(상세표[종료],$U271)),TEXT(INDEX(상세표[종료],$U271),"yyyy-mm-dd hh:mm"),INDEX(상세표[종료],$U271)&amp;""))</f>
        <v/>
      </c>
      <c r="P271">
        <f>IF($U271="","",INDEX(상세표[06~07시],$U271))</f>
        <v/>
      </c>
      <c r="Q271">
        <f>IF($U271="","",INDEX(상세표[07~18시],$U271))</f>
        <v/>
      </c>
      <c r="R271">
        <f>IF($U271="","",INDEX(상세표[18~22시],$U271))</f>
        <v/>
      </c>
      <c r="S271">
        <f>IF($U271="","",INDEX(상세표[22~06시],$U271))</f>
        <v/>
      </c>
      <c r="T271">
        <f>IF($U271="","",INDEX(상세표[기록 시간외],$U271))</f>
        <v/>
      </c>
      <c r="U271" s="4">
        <f>IFERROR(MATCH(266,상세표[발송순번],0),"")</f>
        <v/>
      </c>
    </row>
    <row r="272">
      <c r="A272">
        <f>IF($H272="","",INDEX(상세표[사번],$H272)&amp;"")</f>
        <v/>
      </c>
      <c r="B272">
        <f>IF($H272="","",INDEX(상세표[성명],$H272)&amp;"")</f>
        <v/>
      </c>
      <c r="C272">
        <f>IF($H272="","",INDEX(상세표[부서],$H272)&amp;"")</f>
        <v/>
      </c>
      <c r="D272">
        <f>IF($H272="","",IF(IFERROR(INDEX(합계표[직위(통합)],MATCH(INDEX(상세표[사번키],$H272),합계표[사번키],0))&amp;"","")="",INDEX(상세표[직위],$H272)&amp;"",IFERROR(INDEX(합계표[직위(통합)],MATCH(INDEX(상세표[사번키],$H272),합계표[사번키],0))&amp;"","")))</f>
        <v/>
      </c>
      <c r="E272">
        <f>IF($H272="","",COUNTIFS(상세표[사번키],INDEX(상세표[사번키],$H272),상세표[기록월],대상월키))</f>
        <v/>
      </c>
      <c r="F272">
        <f>IF($H272="","",SUMIFS(상세표[기록 시간외],상세표[사번키],INDEX(상세표[사번키],$H272),상세표[기록월],대상월키))</f>
        <v/>
      </c>
      <c r="G272">
        <f>IF($H272="","",SUMIFS(합계표[시스템 합계],합계표[사번키],INDEX(상세표[사번키],$H272)))</f>
        <v/>
      </c>
      <c r="H272" s="4">
        <f>IFERROR(MATCH(267,상세표[발송인원순번],0),"")</f>
        <v/>
      </c>
      <c r="J272">
        <f>IF($U272="","",INDEX(상세표[사번],$U272)&amp;"")</f>
        <v/>
      </c>
      <c r="K272">
        <f>IF($U272="","",INDEX(상세표[성명],$U272)&amp;"")</f>
        <v/>
      </c>
      <c r="L272">
        <f>IF($U272="","",INDEX(상세표[직위],$U272)&amp;"")</f>
        <v/>
      </c>
      <c r="M272">
        <f>IF($U272="","",IF(ISNUMBER(INDEX(상세표[근무일자],$U272)),TEXT(INDEX(상세표[근무일자],$U272),"yyyy-mm-dd"),INDEX(상세표[근무일자],$U272)&amp;""))</f>
        <v/>
      </c>
      <c r="N272">
        <f>IF($U272="","",IF(ISNUMBER(INDEX(상세표[시작],$U272)),TEXT(INDEX(상세표[시작],$U272),"yyyy-mm-dd hh:mm"),INDEX(상세표[시작],$U272)&amp;""))</f>
        <v/>
      </c>
      <c r="O272">
        <f>IF($U272="","",IF(ISNUMBER(INDEX(상세표[종료],$U272)),TEXT(INDEX(상세표[종료],$U272),"yyyy-mm-dd hh:mm"),INDEX(상세표[종료],$U272)&amp;""))</f>
        <v/>
      </c>
      <c r="P272">
        <f>IF($U272="","",INDEX(상세표[06~07시],$U272))</f>
        <v/>
      </c>
      <c r="Q272">
        <f>IF($U272="","",INDEX(상세표[07~18시],$U272))</f>
        <v/>
      </c>
      <c r="R272">
        <f>IF($U272="","",INDEX(상세표[18~22시],$U272))</f>
        <v/>
      </c>
      <c r="S272">
        <f>IF($U272="","",INDEX(상세표[22~06시],$U272))</f>
        <v/>
      </c>
      <c r="T272">
        <f>IF($U272="","",INDEX(상세표[기록 시간외],$U272))</f>
        <v/>
      </c>
      <c r="U272" s="4">
        <f>IFERROR(MATCH(267,상세표[발송순번],0),"")</f>
        <v/>
      </c>
    </row>
    <row r="273">
      <c r="A273">
        <f>IF($H273="","",INDEX(상세표[사번],$H273)&amp;"")</f>
        <v/>
      </c>
      <c r="B273">
        <f>IF($H273="","",INDEX(상세표[성명],$H273)&amp;"")</f>
        <v/>
      </c>
      <c r="C273">
        <f>IF($H273="","",INDEX(상세표[부서],$H273)&amp;"")</f>
        <v/>
      </c>
      <c r="D273">
        <f>IF($H273="","",IF(IFERROR(INDEX(합계표[직위(통합)],MATCH(INDEX(상세표[사번키],$H273),합계표[사번키],0))&amp;"","")="",INDEX(상세표[직위],$H273)&amp;"",IFERROR(INDEX(합계표[직위(통합)],MATCH(INDEX(상세표[사번키],$H273),합계표[사번키],0))&amp;"","")))</f>
        <v/>
      </c>
      <c r="E273">
        <f>IF($H273="","",COUNTIFS(상세표[사번키],INDEX(상세표[사번키],$H273),상세표[기록월],대상월키))</f>
        <v/>
      </c>
      <c r="F273">
        <f>IF($H273="","",SUMIFS(상세표[기록 시간외],상세표[사번키],INDEX(상세표[사번키],$H273),상세표[기록월],대상월키))</f>
        <v/>
      </c>
      <c r="G273">
        <f>IF($H273="","",SUMIFS(합계표[시스템 합계],합계표[사번키],INDEX(상세표[사번키],$H273)))</f>
        <v/>
      </c>
      <c r="H273" s="4">
        <f>IFERROR(MATCH(268,상세표[발송인원순번],0),"")</f>
        <v/>
      </c>
      <c r="J273">
        <f>IF($U273="","",INDEX(상세표[사번],$U273)&amp;"")</f>
        <v/>
      </c>
      <c r="K273">
        <f>IF($U273="","",INDEX(상세표[성명],$U273)&amp;"")</f>
        <v/>
      </c>
      <c r="L273">
        <f>IF($U273="","",INDEX(상세표[직위],$U273)&amp;"")</f>
        <v/>
      </c>
      <c r="M273">
        <f>IF($U273="","",IF(ISNUMBER(INDEX(상세표[근무일자],$U273)),TEXT(INDEX(상세표[근무일자],$U273),"yyyy-mm-dd"),INDEX(상세표[근무일자],$U273)&amp;""))</f>
        <v/>
      </c>
      <c r="N273">
        <f>IF($U273="","",IF(ISNUMBER(INDEX(상세표[시작],$U273)),TEXT(INDEX(상세표[시작],$U273),"yyyy-mm-dd hh:mm"),INDEX(상세표[시작],$U273)&amp;""))</f>
        <v/>
      </c>
      <c r="O273">
        <f>IF($U273="","",IF(ISNUMBER(INDEX(상세표[종료],$U273)),TEXT(INDEX(상세표[종료],$U273),"yyyy-mm-dd hh:mm"),INDEX(상세표[종료],$U273)&amp;""))</f>
        <v/>
      </c>
      <c r="P273">
        <f>IF($U273="","",INDEX(상세표[06~07시],$U273))</f>
        <v/>
      </c>
      <c r="Q273">
        <f>IF($U273="","",INDEX(상세표[07~18시],$U273))</f>
        <v/>
      </c>
      <c r="R273">
        <f>IF($U273="","",INDEX(상세표[18~22시],$U273))</f>
        <v/>
      </c>
      <c r="S273">
        <f>IF($U273="","",INDEX(상세표[22~06시],$U273))</f>
        <v/>
      </c>
      <c r="T273">
        <f>IF($U273="","",INDEX(상세표[기록 시간외],$U273))</f>
        <v/>
      </c>
      <c r="U273" s="4">
        <f>IFERROR(MATCH(268,상세표[발송순번],0),"")</f>
        <v/>
      </c>
    </row>
    <row r="274">
      <c r="A274">
        <f>IF($H274="","",INDEX(상세표[사번],$H274)&amp;"")</f>
        <v/>
      </c>
      <c r="B274">
        <f>IF($H274="","",INDEX(상세표[성명],$H274)&amp;"")</f>
        <v/>
      </c>
      <c r="C274">
        <f>IF($H274="","",INDEX(상세표[부서],$H274)&amp;"")</f>
        <v/>
      </c>
      <c r="D274">
        <f>IF($H274="","",IF(IFERROR(INDEX(합계표[직위(통합)],MATCH(INDEX(상세표[사번키],$H274),합계표[사번키],0))&amp;"","")="",INDEX(상세표[직위],$H274)&amp;"",IFERROR(INDEX(합계표[직위(통합)],MATCH(INDEX(상세표[사번키],$H274),합계표[사번키],0))&amp;"","")))</f>
        <v/>
      </c>
      <c r="E274">
        <f>IF($H274="","",COUNTIFS(상세표[사번키],INDEX(상세표[사번키],$H274),상세표[기록월],대상월키))</f>
        <v/>
      </c>
      <c r="F274">
        <f>IF($H274="","",SUMIFS(상세표[기록 시간외],상세표[사번키],INDEX(상세표[사번키],$H274),상세표[기록월],대상월키))</f>
        <v/>
      </c>
      <c r="G274">
        <f>IF($H274="","",SUMIFS(합계표[시스템 합계],합계표[사번키],INDEX(상세표[사번키],$H274)))</f>
        <v/>
      </c>
      <c r="H274" s="4">
        <f>IFERROR(MATCH(269,상세표[발송인원순번],0),"")</f>
        <v/>
      </c>
      <c r="J274">
        <f>IF($U274="","",INDEX(상세표[사번],$U274)&amp;"")</f>
        <v/>
      </c>
      <c r="K274">
        <f>IF($U274="","",INDEX(상세표[성명],$U274)&amp;"")</f>
        <v/>
      </c>
      <c r="L274">
        <f>IF($U274="","",INDEX(상세표[직위],$U274)&amp;"")</f>
        <v/>
      </c>
      <c r="M274">
        <f>IF($U274="","",IF(ISNUMBER(INDEX(상세표[근무일자],$U274)),TEXT(INDEX(상세표[근무일자],$U274),"yyyy-mm-dd"),INDEX(상세표[근무일자],$U274)&amp;""))</f>
        <v/>
      </c>
      <c r="N274">
        <f>IF($U274="","",IF(ISNUMBER(INDEX(상세표[시작],$U274)),TEXT(INDEX(상세표[시작],$U274),"yyyy-mm-dd hh:mm"),INDEX(상세표[시작],$U274)&amp;""))</f>
        <v/>
      </c>
      <c r="O274">
        <f>IF($U274="","",IF(ISNUMBER(INDEX(상세표[종료],$U274)),TEXT(INDEX(상세표[종료],$U274),"yyyy-mm-dd hh:mm"),INDEX(상세표[종료],$U274)&amp;""))</f>
        <v/>
      </c>
      <c r="P274">
        <f>IF($U274="","",INDEX(상세표[06~07시],$U274))</f>
        <v/>
      </c>
      <c r="Q274">
        <f>IF($U274="","",INDEX(상세표[07~18시],$U274))</f>
        <v/>
      </c>
      <c r="R274">
        <f>IF($U274="","",INDEX(상세표[18~22시],$U274))</f>
        <v/>
      </c>
      <c r="S274">
        <f>IF($U274="","",INDEX(상세표[22~06시],$U274))</f>
        <v/>
      </c>
      <c r="T274">
        <f>IF($U274="","",INDEX(상세표[기록 시간외],$U274))</f>
        <v/>
      </c>
      <c r="U274" s="4">
        <f>IFERROR(MATCH(269,상세표[발송순번],0),"")</f>
        <v/>
      </c>
    </row>
    <row r="275">
      <c r="A275">
        <f>IF($H275="","",INDEX(상세표[사번],$H275)&amp;"")</f>
        <v/>
      </c>
      <c r="B275">
        <f>IF($H275="","",INDEX(상세표[성명],$H275)&amp;"")</f>
        <v/>
      </c>
      <c r="C275">
        <f>IF($H275="","",INDEX(상세표[부서],$H275)&amp;"")</f>
        <v/>
      </c>
      <c r="D275">
        <f>IF($H275="","",IF(IFERROR(INDEX(합계표[직위(통합)],MATCH(INDEX(상세표[사번키],$H275),합계표[사번키],0))&amp;"","")="",INDEX(상세표[직위],$H275)&amp;"",IFERROR(INDEX(합계표[직위(통합)],MATCH(INDEX(상세표[사번키],$H275),합계표[사번키],0))&amp;"","")))</f>
        <v/>
      </c>
      <c r="E275">
        <f>IF($H275="","",COUNTIFS(상세표[사번키],INDEX(상세표[사번키],$H275),상세표[기록월],대상월키))</f>
        <v/>
      </c>
      <c r="F275">
        <f>IF($H275="","",SUMIFS(상세표[기록 시간외],상세표[사번키],INDEX(상세표[사번키],$H275),상세표[기록월],대상월키))</f>
        <v/>
      </c>
      <c r="G275">
        <f>IF($H275="","",SUMIFS(합계표[시스템 합계],합계표[사번키],INDEX(상세표[사번키],$H275)))</f>
        <v/>
      </c>
      <c r="H275" s="4">
        <f>IFERROR(MATCH(270,상세표[발송인원순번],0),"")</f>
        <v/>
      </c>
      <c r="J275">
        <f>IF($U275="","",INDEX(상세표[사번],$U275)&amp;"")</f>
        <v/>
      </c>
      <c r="K275">
        <f>IF($U275="","",INDEX(상세표[성명],$U275)&amp;"")</f>
        <v/>
      </c>
      <c r="L275">
        <f>IF($U275="","",INDEX(상세표[직위],$U275)&amp;"")</f>
        <v/>
      </c>
      <c r="M275">
        <f>IF($U275="","",IF(ISNUMBER(INDEX(상세표[근무일자],$U275)),TEXT(INDEX(상세표[근무일자],$U275),"yyyy-mm-dd"),INDEX(상세표[근무일자],$U275)&amp;""))</f>
        <v/>
      </c>
      <c r="N275">
        <f>IF($U275="","",IF(ISNUMBER(INDEX(상세표[시작],$U275)),TEXT(INDEX(상세표[시작],$U275),"yyyy-mm-dd hh:mm"),INDEX(상세표[시작],$U275)&amp;""))</f>
        <v/>
      </c>
      <c r="O275">
        <f>IF($U275="","",IF(ISNUMBER(INDEX(상세표[종료],$U275)),TEXT(INDEX(상세표[종료],$U275),"yyyy-mm-dd hh:mm"),INDEX(상세표[종료],$U275)&amp;""))</f>
        <v/>
      </c>
      <c r="P275">
        <f>IF($U275="","",INDEX(상세표[06~07시],$U275))</f>
        <v/>
      </c>
      <c r="Q275">
        <f>IF($U275="","",INDEX(상세표[07~18시],$U275))</f>
        <v/>
      </c>
      <c r="R275">
        <f>IF($U275="","",INDEX(상세표[18~22시],$U275))</f>
        <v/>
      </c>
      <c r="S275">
        <f>IF($U275="","",INDEX(상세표[22~06시],$U275))</f>
        <v/>
      </c>
      <c r="T275">
        <f>IF($U275="","",INDEX(상세표[기록 시간외],$U275))</f>
        <v/>
      </c>
      <c r="U275" s="4">
        <f>IFERROR(MATCH(270,상세표[발송순번],0),"")</f>
        <v/>
      </c>
    </row>
    <row r="276">
      <c r="A276">
        <f>IF($H276="","",INDEX(상세표[사번],$H276)&amp;"")</f>
        <v/>
      </c>
      <c r="B276">
        <f>IF($H276="","",INDEX(상세표[성명],$H276)&amp;"")</f>
        <v/>
      </c>
      <c r="C276">
        <f>IF($H276="","",INDEX(상세표[부서],$H276)&amp;"")</f>
        <v/>
      </c>
      <c r="D276">
        <f>IF($H276="","",IF(IFERROR(INDEX(합계표[직위(통합)],MATCH(INDEX(상세표[사번키],$H276),합계표[사번키],0))&amp;"","")="",INDEX(상세표[직위],$H276)&amp;"",IFERROR(INDEX(합계표[직위(통합)],MATCH(INDEX(상세표[사번키],$H276),합계표[사번키],0))&amp;"","")))</f>
        <v/>
      </c>
      <c r="E276">
        <f>IF($H276="","",COUNTIFS(상세표[사번키],INDEX(상세표[사번키],$H276),상세표[기록월],대상월키))</f>
        <v/>
      </c>
      <c r="F276">
        <f>IF($H276="","",SUMIFS(상세표[기록 시간외],상세표[사번키],INDEX(상세표[사번키],$H276),상세표[기록월],대상월키))</f>
        <v/>
      </c>
      <c r="G276">
        <f>IF($H276="","",SUMIFS(합계표[시스템 합계],합계표[사번키],INDEX(상세표[사번키],$H276)))</f>
        <v/>
      </c>
      <c r="H276" s="4">
        <f>IFERROR(MATCH(271,상세표[발송인원순번],0),"")</f>
        <v/>
      </c>
      <c r="J276">
        <f>IF($U276="","",INDEX(상세표[사번],$U276)&amp;"")</f>
        <v/>
      </c>
      <c r="K276">
        <f>IF($U276="","",INDEX(상세표[성명],$U276)&amp;"")</f>
        <v/>
      </c>
      <c r="L276">
        <f>IF($U276="","",INDEX(상세표[직위],$U276)&amp;"")</f>
        <v/>
      </c>
      <c r="M276">
        <f>IF($U276="","",IF(ISNUMBER(INDEX(상세표[근무일자],$U276)),TEXT(INDEX(상세표[근무일자],$U276),"yyyy-mm-dd"),INDEX(상세표[근무일자],$U276)&amp;""))</f>
        <v/>
      </c>
      <c r="N276">
        <f>IF($U276="","",IF(ISNUMBER(INDEX(상세표[시작],$U276)),TEXT(INDEX(상세표[시작],$U276),"yyyy-mm-dd hh:mm"),INDEX(상세표[시작],$U276)&amp;""))</f>
        <v/>
      </c>
      <c r="O276">
        <f>IF($U276="","",IF(ISNUMBER(INDEX(상세표[종료],$U276)),TEXT(INDEX(상세표[종료],$U276),"yyyy-mm-dd hh:mm"),INDEX(상세표[종료],$U276)&amp;""))</f>
        <v/>
      </c>
      <c r="P276">
        <f>IF($U276="","",INDEX(상세표[06~07시],$U276))</f>
        <v/>
      </c>
      <c r="Q276">
        <f>IF($U276="","",INDEX(상세표[07~18시],$U276))</f>
        <v/>
      </c>
      <c r="R276">
        <f>IF($U276="","",INDEX(상세표[18~22시],$U276))</f>
        <v/>
      </c>
      <c r="S276">
        <f>IF($U276="","",INDEX(상세표[22~06시],$U276))</f>
        <v/>
      </c>
      <c r="T276">
        <f>IF($U276="","",INDEX(상세표[기록 시간외],$U276))</f>
        <v/>
      </c>
      <c r="U276" s="4">
        <f>IFERROR(MATCH(271,상세표[발송순번],0),"")</f>
        <v/>
      </c>
    </row>
    <row r="277">
      <c r="A277">
        <f>IF($H277="","",INDEX(상세표[사번],$H277)&amp;"")</f>
        <v/>
      </c>
      <c r="B277">
        <f>IF($H277="","",INDEX(상세표[성명],$H277)&amp;"")</f>
        <v/>
      </c>
      <c r="C277">
        <f>IF($H277="","",INDEX(상세표[부서],$H277)&amp;"")</f>
        <v/>
      </c>
      <c r="D277">
        <f>IF($H277="","",IF(IFERROR(INDEX(합계표[직위(통합)],MATCH(INDEX(상세표[사번키],$H277),합계표[사번키],0))&amp;"","")="",INDEX(상세표[직위],$H277)&amp;"",IFERROR(INDEX(합계표[직위(통합)],MATCH(INDEX(상세표[사번키],$H277),합계표[사번키],0))&amp;"","")))</f>
        <v/>
      </c>
      <c r="E277">
        <f>IF($H277="","",COUNTIFS(상세표[사번키],INDEX(상세표[사번키],$H277),상세표[기록월],대상월키))</f>
        <v/>
      </c>
      <c r="F277">
        <f>IF($H277="","",SUMIFS(상세표[기록 시간외],상세표[사번키],INDEX(상세표[사번키],$H277),상세표[기록월],대상월키))</f>
        <v/>
      </c>
      <c r="G277">
        <f>IF($H277="","",SUMIFS(합계표[시스템 합계],합계표[사번키],INDEX(상세표[사번키],$H277)))</f>
        <v/>
      </c>
      <c r="H277" s="4">
        <f>IFERROR(MATCH(272,상세표[발송인원순번],0),"")</f>
        <v/>
      </c>
      <c r="J277">
        <f>IF($U277="","",INDEX(상세표[사번],$U277)&amp;"")</f>
        <v/>
      </c>
      <c r="K277">
        <f>IF($U277="","",INDEX(상세표[성명],$U277)&amp;"")</f>
        <v/>
      </c>
      <c r="L277">
        <f>IF($U277="","",INDEX(상세표[직위],$U277)&amp;"")</f>
        <v/>
      </c>
      <c r="M277">
        <f>IF($U277="","",IF(ISNUMBER(INDEX(상세표[근무일자],$U277)),TEXT(INDEX(상세표[근무일자],$U277),"yyyy-mm-dd"),INDEX(상세표[근무일자],$U277)&amp;""))</f>
        <v/>
      </c>
      <c r="N277">
        <f>IF($U277="","",IF(ISNUMBER(INDEX(상세표[시작],$U277)),TEXT(INDEX(상세표[시작],$U277),"yyyy-mm-dd hh:mm"),INDEX(상세표[시작],$U277)&amp;""))</f>
        <v/>
      </c>
      <c r="O277">
        <f>IF($U277="","",IF(ISNUMBER(INDEX(상세표[종료],$U277)),TEXT(INDEX(상세표[종료],$U277),"yyyy-mm-dd hh:mm"),INDEX(상세표[종료],$U277)&amp;""))</f>
        <v/>
      </c>
      <c r="P277">
        <f>IF($U277="","",INDEX(상세표[06~07시],$U277))</f>
        <v/>
      </c>
      <c r="Q277">
        <f>IF($U277="","",INDEX(상세표[07~18시],$U277))</f>
        <v/>
      </c>
      <c r="R277">
        <f>IF($U277="","",INDEX(상세표[18~22시],$U277))</f>
        <v/>
      </c>
      <c r="S277">
        <f>IF($U277="","",INDEX(상세표[22~06시],$U277))</f>
        <v/>
      </c>
      <c r="T277">
        <f>IF($U277="","",INDEX(상세표[기록 시간외],$U277))</f>
        <v/>
      </c>
      <c r="U277" s="4">
        <f>IFERROR(MATCH(272,상세표[발송순번],0),"")</f>
        <v/>
      </c>
    </row>
    <row r="278">
      <c r="A278">
        <f>IF($H278="","",INDEX(상세표[사번],$H278)&amp;"")</f>
        <v/>
      </c>
      <c r="B278">
        <f>IF($H278="","",INDEX(상세표[성명],$H278)&amp;"")</f>
        <v/>
      </c>
      <c r="C278">
        <f>IF($H278="","",INDEX(상세표[부서],$H278)&amp;"")</f>
        <v/>
      </c>
      <c r="D278">
        <f>IF($H278="","",IF(IFERROR(INDEX(합계표[직위(통합)],MATCH(INDEX(상세표[사번키],$H278),합계표[사번키],0))&amp;"","")="",INDEX(상세표[직위],$H278)&amp;"",IFERROR(INDEX(합계표[직위(통합)],MATCH(INDEX(상세표[사번키],$H278),합계표[사번키],0))&amp;"","")))</f>
        <v/>
      </c>
      <c r="E278">
        <f>IF($H278="","",COUNTIFS(상세표[사번키],INDEX(상세표[사번키],$H278),상세표[기록월],대상월키))</f>
        <v/>
      </c>
      <c r="F278">
        <f>IF($H278="","",SUMIFS(상세표[기록 시간외],상세표[사번키],INDEX(상세표[사번키],$H278),상세표[기록월],대상월키))</f>
        <v/>
      </c>
      <c r="G278">
        <f>IF($H278="","",SUMIFS(합계표[시스템 합계],합계표[사번키],INDEX(상세표[사번키],$H278)))</f>
        <v/>
      </c>
      <c r="H278" s="4">
        <f>IFERROR(MATCH(273,상세표[발송인원순번],0),"")</f>
        <v/>
      </c>
      <c r="J278">
        <f>IF($U278="","",INDEX(상세표[사번],$U278)&amp;"")</f>
        <v/>
      </c>
      <c r="K278">
        <f>IF($U278="","",INDEX(상세표[성명],$U278)&amp;"")</f>
        <v/>
      </c>
      <c r="L278">
        <f>IF($U278="","",INDEX(상세표[직위],$U278)&amp;"")</f>
        <v/>
      </c>
      <c r="M278">
        <f>IF($U278="","",IF(ISNUMBER(INDEX(상세표[근무일자],$U278)),TEXT(INDEX(상세표[근무일자],$U278),"yyyy-mm-dd"),INDEX(상세표[근무일자],$U278)&amp;""))</f>
        <v/>
      </c>
      <c r="N278">
        <f>IF($U278="","",IF(ISNUMBER(INDEX(상세표[시작],$U278)),TEXT(INDEX(상세표[시작],$U278),"yyyy-mm-dd hh:mm"),INDEX(상세표[시작],$U278)&amp;""))</f>
        <v/>
      </c>
      <c r="O278">
        <f>IF($U278="","",IF(ISNUMBER(INDEX(상세표[종료],$U278)),TEXT(INDEX(상세표[종료],$U278),"yyyy-mm-dd hh:mm"),INDEX(상세표[종료],$U278)&amp;""))</f>
        <v/>
      </c>
      <c r="P278">
        <f>IF($U278="","",INDEX(상세표[06~07시],$U278))</f>
        <v/>
      </c>
      <c r="Q278">
        <f>IF($U278="","",INDEX(상세표[07~18시],$U278))</f>
        <v/>
      </c>
      <c r="R278">
        <f>IF($U278="","",INDEX(상세표[18~22시],$U278))</f>
        <v/>
      </c>
      <c r="S278">
        <f>IF($U278="","",INDEX(상세표[22~06시],$U278))</f>
        <v/>
      </c>
      <c r="T278">
        <f>IF($U278="","",INDEX(상세표[기록 시간외],$U278))</f>
        <v/>
      </c>
      <c r="U278" s="4">
        <f>IFERROR(MATCH(273,상세표[발송순번],0),"")</f>
        <v/>
      </c>
    </row>
    <row r="279">
      <c r="A279">
        <f>IF($H279="","",INDEX(상세표[사번],$H279)&amp;"")</f>
        <v/>
      </c>
      <c r="B279">
        <f>IF($H279="","",INDEX(상세표[성명],$H279)&amp;"")</f>
        <v/>
      </c>
      <c r="C279">
        <f>IF($H279="","",INDEX(상세표[부서],$H279)&amp;"")</f>
        <v/>
      </c>
      <c r="D279">
        <f>IF($H279="","",IF(IFERROR(INDEX(합계표[직위(통합)],MATCH(INDEX(상세표[사번키],$H279),합계표[사번키],0))&amp;"","")="",INDEX(상세표[직위],$H279)&amp;"",IFERROR(INDEX(합계표[직위(통합)],MATCH(INDEX(상세표[사번키],$H279),합계표[사번키],0))&amp;"","")))</f>
        <v/>
      </c>
      <c r="E279">
        <f>IF($H279="","",COUNTIFS(상세표[사번키],INDEX(상세표[사번키],$H279),상세표[기록월],대상월키))</f>
        <v/>
      </c>
      <c r="F279">
        <f>IF($H279="","",SUMIFS(상세표[기록 시간외],상세표[사번키],INDEX(상세표[사번키],$H279),상세표[기록월],대상월키))</f>
        <v/>
      </c>
      <c r="G279">
        <f>IF($H279="","",SUMIFS(합계표[시스템 합계],합계표[사번키],INDEX(상세표[사번키],$H279)))</f>
        <v/>
      </c>
      <c r="H279" s="4">
        <f>IFERROR(MATCH(274,상세표[발송인원순번],0),"")</f>
        <v/>
      </c>
      <c r="J279">
        <f>IF($U279="","",INDEX(상세표[사번],$U279)&amp;"")</f>
        <v/>
      </c>
      <c r="K279">
        <f>IF($U279="","",INDEX(상세표[성명],$U279)&amp;"")</f>
        <v/>
      </c>
      <c r="L279">
        <f>IF($U279="","",INDEX(상세표[직위],$U279)&amp;"")</f>
        <v/>
      </c>
      <c r="M279">
        <f>IF($U279="","",IF(ISNUMBER(INDEX(상세표[근무일자],$U279)),TEXT(INDEX(상세표[근무일자],$U279),"yyyy-mm-dd"),INDEX(상세표[근무일자],$U279)&amp;""))</f>
        <v/>
      </c>
      <c r="N279">
        <f>IF($U279="","",IF(ISNUMBER(INDEX(상세표[시작],$U279)),TEXT(INDEX(상세표[시작],$U279),"yyyy-mm-dd hh:mm"),INDEX(상세표[시작],$U279)&amp;""))</f>
        <v/>
      </c>
      <c r="O279">
        <f>IF($U279="","",IF(ISNUMBER(INDEX(상세표[종료],$U279)),TEXT(INDEX(상세표[종료],$U279),"yyyy-mm-dd hh:mm"),INDEX(상세표[종료],$U279)&amp;""))</f>
        <v/>
      </c>
      <c r="P279">
        <f>IF($U279="","",INDEX(상세표[06~07시],$U279))</f>
        <v/>
      </c>
      <c r="Q279">
        <f>IF($U279="","",INDEX(상세표[07~18시],$U279))</f>
        <v/>
      </c>
      <c r="R279">
        <f>IF($U279="","",INDEX(상세표[18~22시],$U279))</f>
        <v/>
      </c>
      <c r="S279">
        <f>IF($U279="","",INDEX(상세표[22~06시],$U279))</f>
        <v/>
      </c>
      <c r="T279">
        <f>IF($U279="","",INDEX(상세표[기록 시간외],$U279))</f>
        <v/>
      </c>
      <c r="U279" s="4">
        <f>IFERROR(MATCH(274,상세표[발송순번],0),"")</f>
        <v/>
      </c>
    </row>
    <row r="280">
      <c r="A280">
        <f>IF($H280="","",INDEX(상세표[사번],$H280)&amp;"")</f>
        <v/>
      </c>
      <c r="B280">
        <f>IF($H280="","",INDEX(상세표[성명],$H280)&amp;"")</f>
        <v/>
      </c>
      <c r="C280">
        <f>IF($H280="","",INDEX(상세표[부서],$H280)&amp;"")</f>
        <v/>
      </c>
      <c r="D280">
        <f>IF($H280="","",IF(IFERROR(INDEX(합계표[직위(통합)],MATCH(INDEX(상세표[사번키],$H280),합계표[사번키],0))&amp;"","")="",INDEX(상세표[직위],$H280)&amp;"",IFERROR(INDEX(합계표[직위(통합)],MATCH(INDEX(상세표[사번키],$H280),합계표[사번키],0))&amp;"","")))</f>
        <v/>
      </c>
      <c r="E280">
        <f>IF($H280="","",COUNTIFS(상세표[사번키],INDEX(상세표[사번키],$H280),상세표[기록월],대상월키))</f>
        <v/>
      </c>
      <c r="F280">
        <f>IF($H280="","",SUMIFS(상세표[기록 시간외],상세표[사번키],INDEX(상세표[사번키],$H280),상세표[기록월],대상월키))</f>
        <v/>
      </c>
      <c r="G280">
        <f>IF($H280="","",SUMIFS(합계표[시스템 합계],합계표[사번키],INDEX(상세표[사번키],$H280)))</f>
        <v/>
      </c>
      <c r="H280" s="4">
        <f>IFERROR(MATCH(275,상세표[발송인원순번],0),"")</f>
        <v/>
      </c>
      <c r="J280">
        <f>IF($U280="","",INDEX(상세표[사번],$U280)&amp;"")</f>
        <v/>
      </c>
      <c r="K280">
        <f>IF($U280="","",INDEX(상세표[성명],$U280)&amp;"")</f>
        <v/>
      </c>
      <c r="L280">
        <f>IF($U280="","",INDEX(상세표[직위],$U280)&amp;"")</f>
        <v/>
      </c>
      <c r="M280">
        <f>IF($U280="","",IF(ISNUMBER(INDEX(상세표[근무일자],$U280)),TEXT(INDEX(상세표[근무일자],$U280),"yyyy-mm-dd"),INDEX(상세표[근무일자],$U280)&amp;""))</f>
        <v/>
      </c>
      <c r="N280">
        <f>IF($U280="","",IF(ISNUMBER(INDEX(상세표[시작],$U280)),TEXT(INDEX(상세표[시작],$U280),"yyyy-mm-dd hh:mm"),INDEX(상세표[시작],$U280)&amp;""))</f>
        <v/>
      </c>
      <c r="O280">
        <f>IF($U280="","",IF(ISNUMBER(INDEX(상세표[종료],$U280)),TEXT(INDEX(상세표[종료],$U280),"yyyy-mm-dd hh:mm"),INDEX(상세표[종료],$U280)&amp;""))</f>
        <v/>
      </c>
      <c r="P280">
        <f>IF($U280="","",INDEX(상세표[06~07시],$U280))</f>
        <v/>
      </c>
      <c r="Q280">
        <f>IF($U280="","",INDEX(상세표[07~18시],$U280))</f>
        <v/>
      </c>
      <c r="R280">
        <f>IF($U280="","",INDEX(상세표[18~22시],$U280))</f>
        <v/>
      </c>
      <c r="S280">
        <f>IF($U280="","",INDEX(상세표[22~06시],$U280))</f>
        <v/>
      </c>
      <c r="T280">
        <f>IF($U280="","",INDEX(상세표[기록 시간외],$U280))</f>
        <v/>
      </c>
      <c r="U280" s="4">
        <f>IFERROR(MATCH(275,상세표[발송순번],0),"")</f>
        <v/>
      </c>
    </row>
    <row r="281">
      <c r="A281">
        <f>IF($H281="","",INDEX(상세표[사번],$H281)&amp;"")</f>
        <v/>
      </c>
      <c r="B281">
        <f>IF($H281="","",INDEX(상세표[성명],$H281)&amp;"")</f>
        <v/>
      </c>
      <c r="C281">
        <f>IF($H281="","",INDEX(상세표[부서],$H281)&amp;"")</f>
        <v/>
      </c>
      <c r="D281">
        <f>IF($H281="","",IF(IFERROR(INDEX(합계표[직위(통합)],MATCH(INDEX(상세표[사번키],$H281),합계표[사번키],0))&amp;"","")="",INDEX(상세표[직위],$H281)&amp;"",IFERROR(INDEX(합계표[직위(통합)],MATCH(INDEX(상세표[사번키],$H281),합계표[사번키],0))&amp;"","")))</f>
        <v/>
      </c>
      <c r="E281">
        <f>IF($H281="","",COUNTIFS(상세표[사번키],INDEX(상세표[사번키],$H281),상세표[기록월],대상월키))</f>
        <v/>
      </c>
      <c r="F281">
        <f>IF($H281="","",SUMIFS(상세표[기록 시간외],상세표[사번키],INDEX(상세표[사번키],$H281),상세표[기록월],대상월키))</f>
        <v/>
      </c>
      <c r="G281">
        <f>IF($H281="","",SUMIFS(합계표[시스템 합계],합계표[사번키],INDEX(상세표[사번키],$H281)))</f>
        <v/>
      </c>
      <c r="H281" s="4">
        <f>IFERROR(MATCH(276,상세표[발송인원순번],0),"")</f>
        <v/>
      </c>
      <c r="J281">
        <f>IF($U281="","",INDEX(상세표[사번],$U281)&amp;"")</f>
        <v/>
      </c>
      <c r="K281">
        <f>IF($U281="","",INDEX(상세표[성명],$U281)&amp;"")</f>
        <v/>
      </c>
      <c r="L281">
        <f>IF($U281="","",INDEX(상세표[직위],$U281)&amp;"")</f>
        <v/>
      </c>
      <c r="M281">
        <f>IF($U281="","",IF(ISNUMBER(INDEX(상세표[근무일자],$U281)),TEXT(INDEX(상세표[근무일자],$U281),"yyyy-mm-dd"),INDEX(상세표[근무일자],$U281)&amp;""))</f>
        <v/>
      </c>
      <c r="N281">
        <f>IF($U281="","",IF(ISNUMBER(INDEX(상세표[시작],$U281)),TEXT(INDEX(상세표[시작],$U281),"yyyy-mm-dd hh:mm"),INDEX(상세표[시작],$U281)&amp;""))</f>
        <v/>
      </c>
      <c r="O281">
        <f>IF($U281="","",IF(ISNUMBER(INDEX(상세표[종료],$U281)),TEXT(INDEX(상세표[종료],$U281),"yyyy-mm-dd hh:mm"),INDEX(상세표[종료],$U281)&amp;""))</f>
        <v/>
      </c>
      <c r="P281">
        <f>IF($U281="","",INDEX(상세표[06~07시],$U281))</f>
        <v/>
      </c>
      <c r="Q281">
        <f>IF($U281="","",INDEX(상세표[07~18시],$U281))</f>
        <v/>
      </c>
      <c r="R281">
        <f>IF($U281="","",INDEX(상세표[18~22시],$U281))</f>
        <v/>
      </c>
      <c r="S281">
        <f>IF($U281="","",INDEX(상세표[22~06시],$U281))</f>
        <v/>
      </c>
      <c r="T281">
        <f>IF($U281="","",INDEX(상세표[기록 시간외],$U281))</f>
        <v/>
      </c>
      <c r="U281" s="4">
        <f>IFERROR(MATCH(276,상세표[발송순번],0),"")</f>
        <v/>
      </c>
    </row>
    <row r="282">
      <c r="A282">
        <f>IF($H282="","",INDEX(상세표[사번],$H282)&amp;"")</f>
        <v/>
      </c>
      <c r="B282">
        <f>IF($H282="","",INDEX(상세표[성명],$H282)&amp;"")</f>
        <v/>
      </c>
      <c r="C282">
        <f>IF($H282="","",INDEX(상세표[부서],$H282)&amp;"")</f>
        <v/>
      </c>
      <c r="D282">
        <f>IF($H282="","",IF(IFERROR(INDEX(합계표[직위(통합)],MATCH(INDEX(상세표[사번키],$H282),합계표[사번키],0))&amp;"","")="",INDEX(상세표[직위],$H282)&amp;"",IFERROR(INDEX(합계표[직위(통합)],MATCH(INDEX(상세표[사번키],$H282),합계표[사번키],0))&amp;"","")))</f>
        <v/>
      </c>
      <c r="E282">
        <f>IF($H282="","",COUNTIFS(상세표[사번키],INDEX(상세표[사번키],$H282),상세표[기록월],대상월키))</f>
        <v/>
      </c>
      <c r="F282">
        <f>IF($H282="","",SUMIFS(상세표[기록 시간외],상세표[사번키],INDEX(상세표[사번키],$H282),상세표[기록월],대상월키))</f>
        <v/>
      </c>
      <c r="G282">
        <f>IF($H282="","",SUMIFS(합계표[시스템 합계],합계표[사번키],INDEX(상세표[사번키],$H282)))</f>
        <v/>
      </c>
      <c r="H282" s="4">
        <f>IFERROR(MATCH(277,상세표[발송인원순번],0),"")</f>
        <v/>
      </c>
      <c r="J282">
        <f>IF($U282="","",INDEX(상세표[사번],$U282)&amp;"")</f>
        <v/>
      </c>
      <c r="K282">
        <f>IF($U282="","",INDEX(상세표[성명],$U282)&amp;"")</f>
        <v/>
      </c>
      <c r="L282">
        <f>IF($U282="","",INDEX(상세표[직위],$U282)&amp;"")</f>
        <v/>
      </c>
      <c r="M282">
        <f>IF($U282="","",IF(ISNUMBER(INDEX(상세표[근무일자],$U282)),TEXT(INDEX(상세표[근무일자],$U282),"yyyy-mm-dd"),INDEX(상세표[근무일자],$U282)&amp;""))</f>
        <v/>
      </c>
      <c r="N282">
        <f>IF($U282="","",IF(ISNUMBER(INDEX(상세표[시작],$U282)),TEXT(INDEX(상세표[시작],$U282),"yyyy-mm-dd hh:mm"),INDEX(상세표[시작],$U282)&amp;""))</f>
        <v/>
      </c>
      <c r="O282">
        <f>IF($U282="","",IF(ISNUMBER(INDEX(상세표[종료],$U282)),TEXT(INDEX(상세표[종료],$U282),"yyyy-mm-dd hh:mm"),INDEX(상세표[종료],$U282)&amp;""))</f>
        <v/>
      </c>
      <c r="P282">
        <f>IF($U282="","",INDEX(상세표[06~07시],$U282))</f>
        <v/>
      </c>
      <c r="Q282">
        <f>IF($U282="","",INDEX(상세표[07~18시],$U282))</f>
        <v/>
      </c>
      <c r="R282">
        <f>IF($U282="","",INDEX(상세표[18~22시],$U282))</f>
        <v/>
      </c>
      <c r="S282">
        <f>IF($U282="","",INDEX(상세표[22~06시],$U282))</f>
        <v/>
      </c>
      <c r="T282">
        <f>IF($U282="","",INDEX(상세표[기록 시간외],$U282))</f>
        <v/>
      </c>
      <c r="U282" s="4">
        <f>IFERROR(MATCH(277,상세표[발송순번],0),"")</f>
        <v/>
      </c>
    </row>
    <row r="283">
      <c r="A283">
        <f>IF($H283="","",INDEX(상세표[사번],$H283)&amp;"")</f>
        <v/>
      </c>
      <c r="B283">
        <f>IF($H283="","",INDEX(상세표[성명],$H283)&amp;"")</f>
        <v/>
      </c>
      <c r="C283">
        <f>IF($H283="","",INDEX(상세표[부서],$H283)&amp;"")</f>
        <v/>
      </c>
      <c r="D283">
        <f>IF($H283="","",IF(IFERROR(INDEX(합계표[직위(통합)],MATCH(INDEX(상세표[사번키],$H283),합계표[사번키],0))&amp;"","")="",INDEX(상세표[직위],$H283)&amp;"",IFERROR(INDEX(합계표[직위(통합)],MATCH(INDEX(상세표[사번키],$H283),합계표[사번키],0))&amp;"","")))</f>
        <v/>
      </c>
      <c r="E283">
        <f>IF($H283="","",COUNTIFS(상세표[사번키],INDEX(상세표[사번키],$H283),상세표[기록월],대상월키))</f>
        <v/>
      </c>
      <c r="F283">
        <f>IF($H283="","",SUMIFS(상세표[기록 시간외],상세표[사번키],INDEX(상세표[사번키],$H283),상세표[기록월],대상월키))</f>
        <v/>
      </c>
      <c r="G283">
        <f>IF($H283="","",SUMIFS(합계표[시스템 합계],합계표[사번키],INDEX(상세표[사번키],$H283)))</f>
        <v/>
      </c>
      <c r="H283" s="4">
        <f>IFERROR(MATCH(278,상세표[발송인원순번],0),"")</f>
        <v/>
      </c>
      <c r="J283">
        <f>IF($U283="","",INDEX(상세표[사번],$U283)&amp;"")</f>
        <v/>
      </c>
      <c r="K283">
        <f>IF($U283="","",INDEX(상세표[성명],$U283)&amp;"")</f>
        <v/>
      </c>
      <c r="L283">
        <f>IF($U283="","",INDEX(상세표[직위],$U283)&amp;"")</f>
        <v/>
      </c>
      <c r="M283">
        <f>IF($U283="","",IF(ISNUMBER(INDEX(상세표[근무일자],$U283)),TEXT(INDEX(상세표[근무일자],$U283),"yyyy-mm-dd"),INDEX(상세표[근무일자],$U283)&amp;""))</f>
        <v/>
      </c>
      <c r="N283">
        <f>IF($U283="","",IF(ISNUMBER(INDEX(상세표[시작],$U283)),TEXT(INDEX(상세표[시작],$U283),"yyyy-mm-dd hh:mm"),INDEX(상세표[시작],$U283)&amp;""))</f>
        <v/>
      </c>
      <c r="O283">
        <f>IF($U283="","",IF(ISNUMBER(INDEX(상세표[종료],$U283)),TEXT(INDEX(상세표[종료],$U283),"yyyy-mm-dd hh:mm"),INDEX(상세표[종료],$U283)&amp;""))</f>
        <v/>
      </c>
      <c r="P283">
        <f>IF($U283="","",INDEX(상세표[06~07시],$U283))</f>
        <v/>
      </c>
      <c r="Q283">
        <f>IF($U283="","",INDEX(상세표[07~18시],$U283))</f>
        <v/>
      </c>
      <c r="R283">
        <f>IF($U283="","",INDEX(상세표[18~22시],$U283))</f>
        <v/>
      </c>
      <c r="S283">
        <f>IF($U283="","",INDEX(상세표[22~06시],$U283))</f>
        <v/>
      </c>
      <c r="T283">
        <f>IF($U283="","",INDEX(상세표[기록 시간외],$U283))</f>
        <v/>
      </c>
      <c r="U283" s="4">
        <f>IFERROR(MATCH(278,상세표[발송순번],0),"")</f>
        <v/>
      </c>
    </row>
    <row r="284">
      <c r="A284">
        <f>IF($H284="","",INDEX(상세표[사번],$H284)&amp;"")</f>
        <v/>
      </c>
      <c r="B284">
        <f>IF($H284="","",INDEX(상세표[성명],$H284)&amp;"")</f>
        <v/>
      </c>
      <c r="C284">
        <f>IF($H284="","",INDEX(상세표[부서],$H284)&amp;"")</f>
        <v/>
      </c>
      <c r="D284">
        <f>IF($H284="","",IF(IFERROR(INDEX(합계표[직위(통합)],MATCH(INDEX(상세표[사번키],$H284),합계표[사번키],0))&amp;"","")="",INDEX(상세표[직위],$H284)&amp;"",IFERROR(INDEX(합계표[직위(통합)],MATCH(INDEX(상세표[사번키],$H284),합계표[사번키],0))&amp;"","")))</f>
        <v/>
      </c>
      <c r="E284">
        <f>IF($H284="","",COUNTIFS(상세표[사번키],INDEX(상세표[사번키],$H284),상세표[기록월],대상월키))</f>
        <v/>
      </c>
      <c r="F284">
        <f>IF($H284="","",SUMIFS(상세표[기록 시간외],상세표[사번키],INDEX(상세표[사번키],$H284),상세표[기록월],대상월키))</f>
        <v/>
      </c>
      <c r="G284">
        <f>IF($H284="","",SUMIFS(합계표[시스템 합계],합계표[사번키],INDEX(상세표[사번키],$H284)))</f>
        <v/>
      </c>
      <c r="H284" s="4">
        <f>IFERROR(MATCH(279,상세표[발송인원순번],0),"")</f>
        <v/>
      </c>
      <c r="J284">
        <f>IF($U284="","",INDEX(상세표[사번],$U284)&amp;"")</f>
        <v/>
      </c>
      <c r="K284">
        <f>IF($U284="","",INDEX(상세표[성명],$U284)&amp;"")</f>
        <v/>
      </c>
      <c r="L284">
        <f>IF($U284="","",INDEX(상세표[직위],$U284)&amp;"")</f>
        <v/>
      </c>
      <c r="M284">
        <f>IF($U284="","",IF(ISNUMBER(INDEX(상세표[근무일자],$U284)),TEXT(INDEX(상세표[근무일자],$U284),"yyyy-mm-dd"),INDEX(상세표[근무일자],$U284)&amp;""))</f>
        <v/>
      </c>
      <c r="N284">
        <f>IF($U284="","",IF(ISNUMBER(INDEX(상세표[시작],$U284)),TEXT(INDEX(상세표[시작],$U284),"yyyy-mm-dd hh:mm"),INDEX(상세표[시작],$U284)&amp;""))</f>
        <v/>
      </c>
      <c r="O284">
        <f>IF($U284="","",IF(ISNUMBER(INDEX(상세표[종료],$U284)),TEXT(INDEX(상세표[종료],$U284),"yyyy-mm-dd hh:mm"),INDEX(상세표[종료],$U284)&amp;""))</f>
        <v/>
      </c>
      <c r="P284">
        <f>IF($U284="","",INDEX(상세표[06~07시],$U284))</f>
        <v/>
      </c>
      <c r="Q284">
        <f>IF($U284="","",INDEX(상세표[07~18시],$U284))</f>
        <v/>
      </c>
      <c r="R284">
        <f>IF($U284="","",INDEX(상세표[18~22시],$U284))</f>
        <v/>
      </c>
      <c r="S284">
        <f>IF($U284="","",INDEX(상세표[22~06시],$U284))</f>
        <v/>
      </c>
      <c r="T284">
        <f>IF($U284="","",INDEX(상세표[기록 시간외],$U284))</f>
        <v/>
      </c>
      <c r="U284" s="4">
        <f>IFERROR(MATCH(279,상세표[발송순번],0),"")</f>
        <v/>
      </c>
    </row>
    <row r="285">
      <c r="A285">
        <f>IF($H285="","",INDEX(상세표[사번],$H285)&amp;"")</f>
        <v/>
      </c>
      <c r="B285">
        <f>IF($H285="","",INDEX(상세표[성명],$H285)&amp;"")</f>
        <v/>
      </c>
      <c r="C285">
        <f>IF($H285="","",INDEX(상세표[부서],$H285)&amp;"")</f>
        <v/>
      </c>
      <c r="D285">
        <f>IF($H285="","",IF(IFERROR(INDEX(합계표[직위(통합)],MATCH(INDEX(상세표[사번키],$H285),합계표[사번키],0))&amp;"","")="",INDEX(상세표[직위],$H285)&amp;"",IFERROR(INDEX(합계표[직위(통합)],MATCH(INDEX(상세표[사번키],$H285),합계표[사번키],0))&amp;"","")))</f>
        <v/>
      </c>
      <c r="E285">
        <f>IF($H285="","",COUNTIFS(상세표[사번키],INDEX(상세표[사번키],$H285),상세표[기록월],대상월키))</f>
        <v/>
      </c>
      <c r="F285">
        <f>IF($H285="","",SUMIFS(상세표[기록 시간외],상세표[사번키],INDEX(상세표[사번키],$H285),상세표[기록월],대상월키))</f>
        <v/>
      </c>
      <c r="G285">
        <f>IF($H285="","",SUMIFS(합계표[시스템 합계],합계표[사번키],INDEX(상세표[사번키],$H285)))</f>
        <v/>
      </c>
      <c r="H285" s="4">
        <f>IFERROR(MATCH(280,상세표[발송인원순번],0),"")</f>
        <v/>
      </c>
      <c r="J285">
        <f>IF($U285="","",INDEX(상세표[사번],$U285)&amp;"")</f>
        <v/>
      </c>
      <c r="K285">
        <f>IF($U285="","",INDEX(상세표[성명],$U285)&amp;"")</f>
        <v/>
      </c>
      <c r="L285">
        <f>IF($U285="","",INDEX(상세표[직위],$U285)&amp;"")</f>
        <v/>
      </c>
      <c r="M285">
        <f>IF($U285="","",IF(ISNUMBER(INDEX(상세표[근무일자],$U285)),TEXT(INDEX(상세표[근무일자],$U285),"yyyy-mm-dd"),INDEX(상세표[근무일자],$U285)&amp;""))</f>
        <v/>
      </c>
      <c r="N285">
        <f>IF($U285="","",IF(ISNUMBER(INDEX(상세표[시작],$U285)),TEXT(INDEX(상세표[시작],$U285),"yyyy-mm-dd hh:mm"),INDEX(상세표[시작],$U285)&amp;""))</f>
        <v/>
      </c>
      <c r="O285">
        <f>IF($U285="","",IF(ISNUMBER(INDEX(상세표[종료],$U285)),TEXT(INDEX(상세표[종료],$U285),"yyyy-mm-dd hh:mm"),INDEX(상세표[종료],$U285)&amp;""))</f>
        <v/>
      </c>
      <c r="P285">
        <f>IF($U285="","",INDEX(상세표[06~07시],$U285))</f>
        <v/>
      </c>
      <c r="Q285">
        <f>IF($U285="","",INDEX(상세표[07~18시],$U285))</f>
        <v/>
      </c>
      <c r="R285">
        <f>IF($U285="","",INDEX(상세표[18~22시],$U285))</f>
        <v/>
      </c>
      <c r="S285">
        <f>IF($U285="","",INDEX(상세표[22~06시],$U285))</f>
        <v/>
      </c>
      <c r="T285">
        <f>IF($U285="","",INDEX(상세표[기록 시간외],$U285))</f>
        <v/>
      </c>
      <c r="U285" s="4">
        <f>IFERROR(MATCH(280,상세표[발송순번],0),"")</f>
        <v/>
      </c>
    </row>
    <row r="286">
      <c r="A286">
        <f>IF($H286="","",INDEX(상세표[사번],$H286)&amp;"")</f>
        <v/>
      </c>
      <c r="B286">
        <f>IF($H286="","",INDEX(상세표[성명],$H286)&amp;"")</f>
        <v/>
      </c>
      <c r="C286">
        <f>IF($H286="","",INDEX(상세표[부서],$H286)&amp;"")</f>
        <v/>
      </c>
      <c r="D286">
        <f>IF($H286="","",IF(IFERROR(INDEX(합계표[직위(통합)],MATCH(INDEX(상세표[사번키],$H286),합계표[사번키],0))&amp;"","")="",INDEX(상세표[직위],$H286)&amp;"",IFERROR(INDEX(합계표[직위(통합)],MATCH(INDEX(상세표[사번키],$H286),합계표[사번키],0))&amp;"","")))</f>
        <v/>
      </c>
      <c r="E286">
        <f>IF($H286="","",COUNTIFS(상세표[사번키],INDEX(상세표[사번키],$H286),상세표[기록월],대상월키))</f>
        <v/>
      </c>
      <c r="F286">
        <f>IF($H286="","",SUMIFS(상세표[기록 시간외],상세표[사번키],INDEX(상세표[사번키],$H286),상세표[기록월],대상월키))</f>
        <v/>
      </c>
      <c r="G286">
        <f>IF($H286="","",SUMIFS(합계표[시스템 합계],합계표[사번키],INDEX(상세표[사번키],$H286)))</f>
        <v/>
      </c>
      <c r="H286" s="4">
        <f>IFERROR(MATCH(281,상세표[발송인원순번],0),"")</f>
        <v/>
      </c>
      <c r="J286">
        <f>IF($U286="","",INDEX(상세표[사번],$U286)&amp;"")</f>
        <v/>
      </c>
      <c r="K286">
        <f>IF($U286="","",INDEX(상세표[성명],$U286)&amp;"")</f>
        <v/>
      </c>
      <c r="L286">
        <f>IF($U286="","",INDEX(상세표[직위],$U286)&amp;"")</f>
        <v/>
      </c>
      <c r="M286">
        <f>IF($U286="","",IF(ISNUMBER(INDEX(상세표[근무일자],$U286)),TEXT(INDEX(상세표[근무일자],$U286),"yyyy-mm-dd"),INDEX(상세표[근무일자],$U286)&amp;""))</f>
        <v/>
      </c>
      <c r="N286">
        <f>IF($U286="","",IF(ISNUMBER(INDEX(상세표[시작],$U286)),TEXT(INDEX(상세표[시작],$U286),"yyyy-mm-dd hh:mm"),INDEX(상세표[시작],$U286)&amp;""))</f>
        <v/>
      </c>
      <c r="O286">
        <f>IF($U286="","",IF(ISNUMBER(INDEX(상세표[종료],$U286)),TEXT(INDEX(상세표[종료],$U286),"yyyy-mm-dd hh:mm"),INDEX(상세표[종료],$U286)&amp;""))</f>
        <v/>
      </c>
      <c r="P286">
        <f>IF($U286="","",INDEX(상세표[06~07시],$U286))</f>
        <v/>
      </c>
      <c r="Q286">
        <f>IF($U286="","",INDEX(상세표[07~18시],$U286))</f>
        <v/>
      </c>
      <c r="R286">
        <f>IF($U286="","",INDEX(상세표[18~22시],$U286))</f>
        <v/>
      </c>
      <c r="S286">
        <f>IF($U286="","",INDEX(상세표[22~06시],$U286))</f>
        <v/>
      </c>
      <c r="T286">
        <f>IF($U286="","",INDEX(상세표[기록 시간외],$U286))</f>
        <v/>
      </c>
      <c r="U286" s="4">
        <f>IFERROR(MATCH(281,상세표[발송순번],0),"")</f>
        <v/>
      </c>
    </row>
    <row r="287">
      <c r="A287">
        <f>IF($H287="","",INDEX(상세표[사번],$H287)&amp;"")</f>
        <v/>
      </c>
      <c r="B287">
        <f>IF($H287="","",INDEX(상세표[성명],$H287)&amp;"")</f>
        <v/>
      </c>
      <c r="C287">
        <f>IF($H287="","",INDEX(상세표[부서],$H287)&amp;"")</f>
        <v/>
      </c>
      <c r="D287">
        <f>IF($H287="","",IF(IFERROR(INDEX(합계표[직위(통합)],MATCH(INDEX(상세표[사번키],$H287),합계표[사번키],0))&amp;"","")="",INDEX(상세표[직위],$H287)&amp;"",IFERROR(INDEX(합계표[직위(통합)],MATCH(INDEX(상세표[사번키],$H287),합계표[사번키],0))&amp;"","")))</f>
        <v/>
      </c>
      <c r="E287">
        <f>IF($H287="","",COUNTIFS(상세표[사번키],INDEX(상세표[사번키],$H287),상세표[기록월],대상월키))</f>
        <v/>
      </c>
      <c r="F287">
        <f>IF($H287="","",SUMIFS(상세표[기록 시간외],상세표[사번키],INDEX(상세표[사번키],$H287),상세표[기록월],대상월키))</f>
        <v/>
      </c>
      <c r="G287">
        <f>IF($H287="","",SUMIFS(합계표[시스템 합계],합계표[사번키],INDEX(상세표[사번키],$H287)))</f>
        <v/>
      </c>
      <c r="H287" s="4">
        <f>IFERROR(MATCH(282,상세표[발송인원순번],0),"")</f>
        <v/>
      </c>
      <c r="J287">
        <f>IF($U287="","",INDEX(상세표[사번],$U287)&amp;"")</f>
        <v/>
      </c>
      <c r="K287">
        <f>IF($U287="","",INDEX(상세표[성명],$U287)&amp;"")</f>
        <v/>
      </c>
      <c r="L287">
        <f>IF($U287="","",INDEX(상세표[직위],$U287)&amp;"")</f>
        <v/>
      </c>
      <c r="M287">
        <f>IF($U287="","",IF(ISNUMBER(INDEX(상세표[근무일자],$U287)),TEXT(INDEX(상세표[근무일자],$U287),"yyyy-mm-dd"),INDEX(상세표[근무일자],$U287)&amp;""))</f>
        <v/>
      </c>
      <c r="N287">
        <f>IF($U287="","",IF(ISNUMBER(INDEX(상세표[시작],$U287)),TEXT(INDEX(상세표[시작],$U287),"yyyy-mm-dd hh:mm"),INDEX(상세표[시작],$U287)&amp;""))</f>
        <v/>
      </c>
      <c r="O287">
        <f>IF($U287="","",IF(ISNUMBER(INDEX(상세표[종료],$U287)),TEXT(INDEX(상세표[종료],$U287),"yyyy-mm-dd hh:mm"),INDEX(상세표[종료],$U287)&amp;""))</f>
        <v/>
      </c>
      <c r="P287">
        <f>IF($U287="","",INDEX(상세표[06~07시],$U287))</f>
        <v/>
      </c>
      <c r="Q287">
        <f>IF($U287="","",INDEX(상세표[07~18시],$U287))</f>
        <v/>
      </c>
      <c r="R287">
        <f>IF($U287="","",INDEX(상세표[18~22시],$U287))</f>
        <v/>
      </c>
      <c r="S287">
        <f>IF($U287="","",INDEX(상세표[22~06시],$U287))</f>
        <v/>
      </c>
      <c r="T287">
        <f>IF($U287="","",INDEX(상세표[기록 시간외],$U287))</f>
        <v/>
      </c>
      <c r="U287" s="4">
        <f>IFERROR(MATCH(282,상세표[발송순번],0),"")</f>
        <v/>
      </c>
    </row>
    <row r="288">
      <c r="A288">
        <f>IF($H288="","",INDEX(상세표[사번],$H288)&amp;"")</f>
        <v/>
      </c>
      <c r="B288">
        <f>IF($H288="","",INDEX(상세표[성명],$H288)&amp;"")</f>
        <v/>
      </c>
      <c r="C288">
        <f>IF($H288="","",INDEX(상세표[부서],$H288)&amp;"")</f>
        <v/>
      </c>
      <c r="D288">
        <f>IF($H288="","",IF(IFERROR(INDEX(합계표[직위(통합)],MATCH(INDEX(상세표[사번키],$H288),합계표[사번키],0))&amp;"","")="",INDEX(상세표[직위],$H288)&amp;"",IFERROR(INDEX(합계표[직위(통합)],MATCH(INDEX(상세표[사번키],$H288),합계표[사번키],0))&amp;"","")))</f>
        <v/>
      </c>
      <c r="E288">
        <f>IF($H288="","",COUNTIFS(상세표[사번키],INDEX(상세표[사번키],$H288),상세표[기록월],대상월키))</f>
        <v/>
      </c>
      <c r="F288">
        <f>IF($H288="","",SUMIFS(상세표[기록 시간외],상세표[사번키],INDEX(상세표[사번키],$H288),상세표[기록월],대상월키))</f>
        <v/>
      </c>
      <c r="G288">
        <f>IF($H288="","",SUMIFS(합계표[시스템 합계],합계표[사번키],INDEX(상세표[사번키],$H288)))</f>
        <v/>
      </c>
      <c r="H288" s="4">
        <f>IFERROR(MATCH(283,상세표[발송인원순번],0),"")</f>
        <v/>
      </c>
      <c r="J288">
        <f>IF($U288="","",INDEX(상세표[사번],$U288)&amp;"")</f>
        <v/>
      </c>
      <c r="K288">
        <f>IF($U288="","",INDEX(상세표[성명],$U288)&amp;"")</f>
        <v/>
      </c>
      <c r="L288">
        <f>IF($U288="","",INDEX(상세표[직위],$U288)&amp;"")</f>
        <v/>
      </c>
      <c r="M288">
        <f>IF($U288="","",IF(ISNUMBER(INDEX(상세표[근무일자],$U288)),TEXT(INDEX(상세표[근무일자],$U288),"yyyy-mm-dd"),INDEX(상세표[근무일자],$U288)&amp;""))</f>
        <v/>
      </c>
      <c r="N288">
        <f>IF($U288="","",IF(ISNUMBER(INDEX(상세표[시작],$U288)),TEXT(INDEX(상세표[시작],$U288),"yyyy-mm-dd hh:mm"),INDEX(상세표[시작],$U288)&amp;""))</f>
        <v/>
      </c>
      <c r="O288">
        <f>IF($U288="","",IF(ISNUMBER(INDEX(상세표[종료],$U288)),TEXT(INDEX(상세표[종료],$U288),"yyyy-mm-dd hh:mm"),INDEX(상세표[종료],$U288)&amp;""))</f>
        <v/>
      </c>
      <c r="P288">
        <f>IF($U288="","",INDEX(상세표[06~07시],$U288))</f>
        <v/>
      </c>
      <c r="Q288">
        <f>IF($U288="","",INDEX(상세표[07~18시],$U288))</f>
        <v/>
      </c>
      <c r="R288">
        <f>IF($U288="","",INDEX(상세표[18~22시],$U288))</f>
        <v/>
      </c>
      <c r="S288">
        <f>IF($U288="","",INDEX(상세표[22~06시],$U288))</f>
        <v/>
      </c>
      <c r="T288">
        <f>IF($U288="","",INDEX(상세표[기록 시간외],$U288))</f>
        <v/>
      </c>
      <c r="U288" s="4">
        <f>IFERROR(MATCH(283,상세표[발송순번],0),"")</f>
        <v/>
      </c>
    </row>
    <row r="289">
      <c r="A289">
        <f>IF($H289="","",INDEX(상세표[사번],$H289)&amp;"")</f>
        <v/>
      </c>
      <c r="B289">
        <f>IF($H289="","",INDEX(상세표[성명],$H289)&amp;"")</f>
        <v/>
      </c>
      <c r="C289">
        <f>IF($H289="","",INDEX(상세표[부서],$H289)&amp;"")</f>
        <v/>
      </c>
      <c r="D289">
        <f>IF($H289="","",IF(IFERROR(INDEX(합계표[직위(통합)],MATCH(INDEX(상세표[사번키],$H289),합계표[사번키],0))&amp;"","")="",INDEX(상세표[직위],$H289)&amp;"",IFERROR(INDEX(합계표[직위(통합)],MATCH(INDEX(상세표[사번키],$H289),합계표[사번키],0))&amp;"","")))</f>
        <v/>
      </c>
      <c r="E289">
        <f>IF($H289="","",COUNTIFS(상세표[사번키],INDEX(상세표[사번키],$H289),상세표[기록월],대상월키))</f>
        <v/>
      </c>
      <c r="F289">
        <f>IF($H289="","",SUMIFS(상세표[기록 시간외],상세표[사번키],INDEX(상세표[사번키],$H289),상세표[기록월],대상월키))</f>
        <v/>
      </c>
      <c r="G289">
        <f>IF($H289="","",SUMIFS(합계표[시스템 합계],합계표[사번키],INDEX(상세표[사번키],$H289)))</f>
        <v/>
      </c>
      <c r="H289" s="4">
        <f>IFERROR(MATCH(284,상세표[발송인원순번],0),"")</f>
        <v/>
      </c>
      <c r="J289">
        <f>IF($U289="","",INDEX(상세표[사번],$U289)&amp;"")</f>
        <v/>
      </c>
      <c r="K289">
        <f>IF($U289="","",INDEX(상세표[성명],$U289)&amp;"")</f>
        <v/>
      </c>
      <c r="L289">
        <f>IF($U289="","",INDEX(상세표[직위],$U289)&amp;"")</f>
        <v/>
      </c>
      <c r="M289">
        <f>IF($U289="","",IF(ISNUMBER(INDEX(상세표[근무일자],$U289)),TEXT(INDEX(상세표[근무일자],$U289),"yyyy-mm-dd"),INDEX(상세표[근무일자],$U289)&amp;""))</f>
        <v/>
      </c>
      <c r="N289">
        <f>IF($U289="","",IF(ISNUMBER(INDEX(상세표[시작],$U289)),TEXT(INDEX(상세표[시작],$U289),"yyyy-mm-dd hh:mm"),INDEX(상세표[시작],$U289)&amp;""))</f>
        <v/>
      </c>
      <c r="O289">
        <f>IF($U289="","",IF(ISNUMBER(INDEX(상세표[종료],$U289)),TEXT(INDEX(상세표[종료],$U289),"yyyy-mm-dd hh:mm"),INDEX(상세표[종료],$U289)&amp;""))</f>
        <v/>
      </c>
      <c r="P289">
        <f>IF($U289="","",INDEX(상세표[06~07시],$U289))</f>
        <v/>
      </c>
      <c r="Q289">
        <f>IF($U289="","",INDEX(상세표[07~18시],$U289))</f>
        <v/>
      </c>
      <c r="R289">
        <f>IF($U289="","",INDEX(상세표[18~22시],$U289))</f>
        <v/>
      </c>
      <c r="S289">
        <f>IF($U289="","",INDEX(상세표[22~06시],$U289))</f>
        <v/>
      </c>
      <c r="T289">
        <f>IF($U289="","",INDEX(상세표[기록 시간외],$U289))</f>
        <v/>
      </c>
      <c r="U289" s="4">
        <f>IFERROR(MATCH(284,상세표[발송순번],0),"")</f>
        <v/>
      </c>
    </row>
    <row r="290">
      <c r="A290">
        <f>IF($H290="","",INDEX(상세표[사번],$H290)&amp;"")</f>
        <v/>
      </c>
      <c r="B290">
        <f>IF($H290="","",INDEX(상세표[성명],$H290)&amp;"")</f>
        <v/>
      </c>
      <c r="C290">
        <f>IF($H290="","",INDEX(상세표[부서],$H290)&amp;"")</f>
        <v/>
      </c>
      <c r="D290">
        <f>IF($H290="","",IF(IFERROR(INDEX(합계표[직위(통합)],MATCH(INDEX(상세표[사번키],$H290),합계표[사번키],0))&amp;"","")="",INDEX(상세표[직위],$H290)&amp;"",IFERROR(INDEX(합계표[직위(통합)],MATCH(INDEX(상세표[사번키],$H290),합계표[사번키],0))&amp;"","")))</f>
        <v/>
      </c>
      <c r="E290">
        <f>IF($H290="","",COUNTIFS(상세표[사번키],INDEX(상세표[사번키],$H290),상세표[기록월],대상월키))</f>
        <v/>
      </c>
      <c r="F290">
        <f>IF($H290="","",SUMIFS(상세표[기록 시간외],상세표[사번키],INDEX(상세표[사번키],$H290),상세표[기록월],대상월키))</f>
        <v/>
      </c>
      <c r="G290">
        <f>IF($H290="","",SUMIFS(합계표[시스템 합계],합계표[사번키],INDEX(상세표[사번키],$H290)))</f>
        <v/>
      </c>
      <c r="H290" s="4">
        <f>IFERROR(MATCH(285,상세표[발송인원순번],0),"")</f>
        <v/>
      </c>
      <c r="J290">
        <f>IF($U290="","",INDEX(상세표[사번],$U290)&amp;"")</f>
        <v/>
      </c>
      <c r="K290">
        <f>IF($U290="","",INDEX(상세표[성명],$U290)&amp;"")</f>
        <v/>
      </c>
      <c r="L290">
        <f>IF($U290="","",INDEX(상세표[직위],$U290)&amp;"")</f>
        <v/>
      </c>
      <c r="M290">
        <f>IF($U290="","",IF(ISNUMBER(INDEX(상세표[근무일자],$U290)),TEXT(INDEX(상세표[근무일자],$U290),"yyyy-mm-dd"),INDEX(상세표[근무일자],$U290)&amp;""))</f>
        <v/>
      </c>
      <c r="N290">
        <f>IF($U290="","",IF(ISNUMBER(INDEX(상세표[시작],$U290)),TEXT(INDEX(상세표[시작],$U290),"yyyy-mm-dd hh:mm"),INDEX(상세표[시작],$U290)&amp;""))</f>
        <v/>
      </c>
      <c r="O290">
        <f>IF($U290="","",IF(ISNUMBER(INDEX(상세표[종료],$U290)),TEXT(INDEX(상세표[종료],$U290),"yyyy-mm-dd hh:mm"),INDEX(상세표[종료],$U290)&amp;""))</f>
        <v/>
      </c>
      <c r="P290">
        <f>IF($U290="","",INDEX(상세표[06~07시],$U290))</f>
        <v/>
      </c>
      <c r="Q290">
        <f>IF($U290="","",INDEX(상세표[07~18시],$U290))</f>
        <v/>
      </c>
      <c r="R290">
        <f>IF($U290="","",INDEX(상세표[18~22시],$U290))</f>
        <v/>
      </c>
      <c r="S290">
        <f>IF($U290="","",INDEX(상세표[22~06시],$U290))</f>
        <v/>
      </c>
      <c r="T290">
        <f>IF($U290="","",INDEX(상세표[기록 시간외],$U290))</f>
        <v/>
      </c>
      <c r="U290" s="4">
        <f>IFERROR(MATCH(285,상세표[발송순번],0),"")</f>
        <v/>
      </c>
    </row>
    <row r="291">
      <c r="A291">
        <f>IF($H291="","",INDEX(상세표[사번],$H291)&amp;"")</f>
        <v/>
      </c>
      <c r="B291">
        <f>IF($H291="","",INDEX(상세표[성명],$H291)&amp;"")</f>
        <v/>
      </c>
      <c r="C291">
        <f>IF($H291="","",INDEX(상세표[부서],$H291)&amp;"")</f>
        <v/>
      </c>
      <c r="D291">
        <f>IF($H291="","",IF(IFERROR(INDEX(합계표[직위(통합)],MATCH(INDEX(상세표[사번키],$H291),합계표[사번키],0))&amp;"","")="",INDEX(상세표[직위],$H291)&amp;"",IFERROR(INDEX(합계표[직위(통합)],MATCH(INDEX(상세표[사번키],$H291),합계표[사번키],0))&amp;"","")))</f>
        <v/>
      </c>
      <c r="E291">
        <f>IF($H291="","",COUNTIFS(상세표[사번키],INDEX(상세표[사번키],$H291),상세표[기록월],대상월키))</f>
        <v/>
      </c>
      <c r="F291">
        <f>IF($H291="","",SUMIFS(상세표[기록 시간외],상세표[사번키],INDEX(상세표[사번키],$H291),상세표[기록월],대상월키))</f>
        <v/>
      </c>
      <c r="G291">
        <f>IF($H291="","",SUMIFS(합계표[시스템 합계],합계표[사번키],INDEX(상세표[사번키],$H291)))</f>
        <v/>
      </c>
      <c r="H291" s="4">
        <f>IFERROR(MATCH(286,상세표[발송인원순번],0),"")</f>
        <v/>
      </c>
      <c r="J291">
        <f>IF($U291="","",INDEX(상세표[사번],$U291)&amp;"")</f>
        <v/>
      </c>
      <c r="K291">
        <f>IF($U291="","",INDEX(상세표[성명],$U291)&amp;"")</f>
        <v/>
      </c>
      <c r="L291">
        <f>IF($U291="","",INDEX(상세표[직위],$U291)&amp;"")</f>
        <v/>
      </c>
      <c r="M291">
        <f>IF($U291="","",IF(ISNUMBER(INDEX(상세표[근무일자],$U291)),TEXT(INDEX(상세표[근무일자],$U291),"yyyy-mm-dd"),INDEX(상세표[근무일자],$U291)&amp;""))</f>
        <v/>
      </c>
      <c r="N291">
        <f>IF($U291="","",IF(ISNUMBER(INDEX(상세표[시작],$U291)),TEXT(INDEX(상세표[시작],$U291),"yyyy-mm-dd hh:mm"),INDEX(상세표[시작],$U291)&amp;""))</f>
        <v/>
      </c>
      <c r="O291">
        <f>IF($U291="","",IF(ISNUMBER(INDEX(상세표[종료],$U291)),TEXT(INDEX(상세표[종료],$U291),"yyyy-mm-dd hh:mm"),INDEX(상세표[종료],$U291)&amp;""))</f>
        <v/>
      </c>
      <c r="P291">
        <f>IF($U291="","",INDEX(상세표[06~07시],$U291))</f>
        <v/>
      </c>
      <c r="Q291">
        <f>IF($U291="","",INDEX(상세표[07~18시],$U291))</f>
        <v/>
      </c>
      <c r="R291">
        <f>IF($U291="","",INDEX(상세표[18~22시],$U291))</f>
        <v/>
      </c>
      <c r="S291">
        <f>IF($U291="","",INDEX(상세표[22~06시],$U291))</f>
        <v/>
      </c>
      <c r="T291">
        <f>IF($U291="","",INDEX(상세표[기록 시간외],$U291))</f>
        <v/>
      </c>
      <c r="U291" s="4">
        <f>IFERROR(MATCH(286,상세표[발송순번],0),"")</f>
        <v/>
      </c>
    </row>
    <row r="292">
      <c r="A292">
        <f>IF($H292="","",INDEX(상세표[사번],$H292)&amp;"")</f>
        <v/>
      </c>
      <c r="B292">
        <f>IF($H292="","",INDEX(상세표[성명],$H292)&amp;"")</f>
        <v/>
      </c>
      <c r="C292">
        <f>IF($H292="","",INDEX(상세표[부서],$H292)&amp;"")</f>
        <v/>
      </c>
      <c r="D292">
        <f>IF($H292="","",IF(IFERROR(INDEX(합계표[직위(통합)],MATCH(INDEX(상세표[사번키],$H292),합계표[사번키],0))&amp;"","")="",INDEX(상세표[직위],$H292)&amp;"",IFERROR(INDEX(합계표[직위(통합)],MATCH(INDEX(상세표[사번키],$H292),합계표[사번키],0))&amp;"","")))</f>
        <v/>
      </c>
      <c r="E292">
        <f>IF($H292="","",COUNTIFS(상세표[사번키],INDEX(상세표[사번키],$H292),상세표[기록월],대상월키))</f>
        <v/>
      </c>
      <c r="F292">
        <f>IF($H292="","",SUMIFS(상세표[기록 시간외],상세표[사번키],INDEX(상세표[사번키],$H292),상세표[기록월],대상월키))</f>
        <v/>
      </c>
      <c r="G292">
        <f>IF($H292="","",SUMIFS(합계표[시스템 합계],합계표[사번키],INDEX(상세표[사번키],$H292)))</f>
        <v/>
      </c>
      <c r="H292" s="4">
        <f>IFERROR(MATCH(287,상세표[발송인원순번],0),"")</f>
        <v/>
      </c>
      <c r="J292">
        <f>IF($U292="","",INDEX(상세표[사번],$U292)&amp;"")</f>
        <v/>
      </c>
      <c r="K292">
        <f>IF($U292="","",INDEX(상세표[성명],$U292)&amp;"")</f>
        <v/>
      </c>
      <c r="L292">
        <f>IF($U292="","",INDEX(상세표[직위],$U292)&amp;"")</f>
        <v/>
      </c>
      <c r="M292">
        <f>IF($U292="","",IF(ISNUMBER(INDEX(상세표[근무일자],$U292)),TEXT(INDEX(상세표[근무일자],$U292),"yyyy-mm-dd"),INDEX(상세표[근무일자],$U292)&amp;""))</f>
        <v/>
      </c>
      <c r="N292">
        <f>IF($U292="","",IF(ISNUMBER(INDEX(상세표[시작],$U292)),TEXT(INDEX(상세표[시작],$U292),"yyyy-mm-dd hh:mm"),INDEX(상세표[시작],$U292)&amp;""))</f>
        <v/>
      </c>
      <c r="O292">
        <f>IF($U292="","",IF(ISNUMBER(INDEX(상세표[종료],$U292)),TEXT(INDEX(상세표[종료],$U292),"yyyy-mm-dd hh:mm"),INDEX(상세표[종료],$U292)&amp;""))</f>
        <v/>
      </c>
      <c r="P292">
        <f>IF($U292="","",INDEX(상세표[06~07시],$U292))</f>
        <v/>
      </c>
      <c r="Q292">
        <f>IF($U292="","",INDEX(상세표[07~18시],$U292))</f>
        <v/>
      </c>
      <c r="R292">
        <f>IF($U292="","",INDEX(상세표[18~22시],$U292))</f>
        <v/>
      </c>
      <c r="S292">
        <f>IF($U292="","",INDEX(상세표[22~06시],$U292))</f>
        <v/>
      </c>
      <c r="T292">
        <f>IF($U292="","",INDEX(상세표[기록 시간외],$U292))</f>
        <v/>
      </c>
      <c r="U292" s="4">
        <f>IFERROR(MATCH(287,상세표[발송순번],0),"")</f>
        <v/>
      </c>
    </row>
    <row r="293">
      <c r="A293">
        <f>IF($H293="","",INDEX(상세표[사번],$H293)&amp;"")</f>
        <v/>
      </c>
      <c r="B293">
        <f>IF($H293="","",INDEX(상세표[성명],$H293)&amp;"")</f>
        <v/>
      </c>
      <c r="C293">
        <f>IF($H293="","",INDEX(상세표[부서],$H293)&amp;"")</f>
        <v/>
      </c>
      <c r="D293">
        <f>IF($H293="","",IF(IFERROR(INDEX(합계표[직위(통합)],MATCH(INDEX(상세표[사번키],$H293),합계표[사번키],0))&amp;"","")="",INDEX(상세표[직위],$H293)&amp;"",IFERROR(INDEX(합계표[직위(통합)],MATCH(INDEX(상세표[사번키],$H293),합계표[사번키],0))&amp;"","")))</f>
        <v/>
      </c>
      <c r="E293">
        <f>IF($H293="","",COUNTIFS(상세표[사번키],INDEX(상세표[사번키],$H293),상세표[기록월],대상월키))</f>
        <v/>
      </c>
      <c r="F293">
        <f>IF($H293="","",SUMIFS(상세표[기록 시간외],상세표[사번키],INDEX(상세표[사번키],$H293),상세표[기록월],대상월키))</f>
        <v/>
      </c>
      <c r="G293">
        <f>IF($H293="","",SUMIFS(합계표[시스템 합계],합계표[사번키],INDEX(상세표[사번키],$H293)))</f>
        <v/>
      </c>
      <c r="H293" s="4">
        <f>IFERROR(MATCH(288,상세표[발송인원순번],0),"")</f>
        <v/>
      </c>
      <c r="J293">
        <f>IF($U293="","",INDEX(상세표[사번],$U293)&amp;"")</f>
        <v/>
      </c>
      <c r="K293">
        <f>IF($U293="","",INDEX(상세표[성명],$U293)&amp;"")</f>
        <v/>
      </c>
      <c r="L293">
        <f>IF($U293="","",INDEX(상세표[직위],$U293)&amp;"")</f>
        <v/>
      </c>
      <c r="M293">
        <f>IF($U293="","",IF(ISNUMBER(INDEX(상세표[근무일자],$U293)),TEXT(INDEX(상세표[근무일자],$U293),"yyyy-mm-dd"),INDEX(상세표[근무일자],$U293)&amp;""))</f>
        <v/>
      </c>
      <c r="N293">
        <f>IF($U293="","",IF(ISNUMBER(INDEX(상세표[시작],$U293)),TEXT(INDEX(상세표[시작],$U293),"yyyy-mm-dd hh:mm"),INDEX(상세표[시작],$U293)&amp;""))</f>
        <v/>
      </c>
      <c r="O293">
        <f>IF($U293="","",IF(ISNUMBER(INDEX(상세표[종료],$U293)),TEXT(INDEX(상세표[종료],$U293),"yyyy-mm-dd hh:mm"),INDEX(상세표[종료],$U293)&amp;""))</f>
        <v/>
      </c>
      <c r="P293">
        <f>IF($U293="","",INDEX(상세표[06~07시],$U293))</f>
        <v/>
      </c>
      <c r="Q293">
        <f>IF($U293="","",INDEX(상세표[07~18시],$U293))</f>
        <v/>
      </c>
      <c r="R293">
        <f>IF($U293="","",INDEX(상세표[18~22시],$U293))</f>
        <v/>
      </c>
      <c r="S293">
        <f>IF($U293="","",INDEX(상세표[22~06시],$U293))</f>
        <v/>
      </c>
      <c r="T293">
        <f>IF($U293="","",INDEX(상세표[기록 시간외],$U293))</f>
        <v/>
      </c>
      <c r="U293" s="4">
        <f>IFERROR(MATCH(288,상세표[발송순번],0),"")</f>
        <v/>
      </c>
    </row>
    <row r="294">
      <c r="A294">
        <f>IF($H294="","",INDEX(상세표[사번],$H294)&amp;"")</f>
        <v/>
      </c>
      <c r="B294">
        <f>IF($H294="","",INDEX(상세표[성명],$H294)&amp;"")</f>
        <v/>
      </c>
      <c r="C294">
        <f>IF($H294="","",INDEX(상세표[부서],$H294)&amp;"")</f>
        <v/>
      </c>
      <c r="D294">
        <f>IF($H294="","",IF(IFERROR(INDEX(합계표[직위(통합)],MATCH(INDEX(상세표[사번키],$H294),합계표[사번키],0))&amp;"","")="",INDEX(상세표[직위],$H294)&amp;"",IFERROR(INDEX(합계표[직위(통합)],MATCH(INDEX(상세표[사번키],$H294),합계표[사번키],0))&amp;"","")))</f>
        <v/>
      </c>
      <c r="E294">
        <f>IF($H294="","",COUNTIFS(상세표[사번키],INDEX(상세표[사번키],$H294),상세표[기록월],대상월키))</f>
        <v/>
      </c>
      <c r="F294">
        <f>IF($H294="","",SUMIFS(상세표[기록 시간외],상세표[사번키],INDEX(상세표[사번키],$H294),상세표[기록월],대상월키))</f>
        <v/>
      </c>
      <c r="G294">
        <f>IF($H294="","",SUMIFS(합계표[시스템 합계],합계표[사번키],INDEX(상세표[사번키],$H294)))</f>
        <v/>
      </c>
      <c r="H294" s="4">
        <f>IFERROR(MATCH(289,상세표[발송인원순번],0),"")</f>
        <v/>
      </c>
      <c r="J294">
        <f>IF($U294="","",INDEX(상세표[사번],$U294)&amp;"")</f>
        <v/>
      </c>
      <c r="K294">
        <f>IF($U294="","",INDEX(상세표[성명],$U294)&amp;"")</f>
        <v/>
      </c>
      <c r="L294">
        <f>IF($U294="","",INDEX(상세표[직위],$U294)&amp;"")</f>
        <v/>
      </c>
      <c r="M294">
        <f>IF($U294="","",IF(ISNUMBER(INDEX(상세표[근무일자],$U294)),TEXT(INDEX(상세표[근무일자],$U294),"yyyy-mm-dd"),INDEX(상세표[근무일자],$U294)&amp;""))</f>
        <v/>
      </c>
      <c r="N294">
        <f>IF($U294="","",IF(ISNUMBER(INDEX(상세표[시작],$U294)),TEXT(INDEX(상세표[시작],$U294),"yyyy-mm-dd hh:mm"),INDEX(상세표[시작],$U294)&amp;""))</f>
        <v/>
      </c>
      <c r="O294">
        <f>IF($U294="","",IF(ISNUMBER(INDEX(상세표[종료],$U294)),TEXT(INDEX(상세표[종료],$U294),"yyyy-mm-dd hh:mm"),INDEX(상세표[종료],$U294)&amp;""))</f>
        <v/>
      </c>
      <c r="P294">
        <f>IF($U294="","",INDEX(상세표[06~07시],$U294))</f>
        <v/>
      </c>
      <c r="Q294">
        <f>IF($U294="","",INDEX(상세표[07~18시],$U294))</f>
        <v/>
      </c>
      <c r="R294">
        <f>IF($U294="","",INDEX(상세표[18~22시],$U294))</f>
        <v/>
      </c>
      <c r="S294">
        <f>IF($U294="","",INDEX(상세표[22~06시],$U294))</f>
        <v/>
      </c>
      <c r="T294">
        <f>IF($U294="","",INDEX(상세표[기록 시간외],$U294))</f>
        <v/>
      </c>
      <c r="U294" s="4">
        <f>IFERROR(MATCH(289,상세표[발송순번],0),"")</f>
        <v/>
      </c>
    </row>
    <row r="295">
      <c r="A295">
        <f>IF($H295="","",INDEX(상세표[사번],$H295)&amp;"")</f>
        <v/>
      </c>
      <c r="B295">
        <f>IF($H295="","",INDEX(상세표[성명],$H295)&amp;"")</f>
        <v/>
      </c>
      <c r="C295">
        <f>IF($H295="","",INDEX(상세표[부서],$H295)&amp;"")</f>
        <v/>
      </c>
      <c r="D295">
        <f>IF($H295="","",IF(IFERROR(INDEX(합계표[직위(통합)],MATCH(INDEX(상세표[사번키],$H295),합계표[사번키],0))&amp;"","")="",INDEX(상세표[직위],$H295)&amp;"",IFERROR(INDEX(합계표[직위(통합)],MATCH(INDEX(상세표[사번키],$H295),합계표[사번키],0))&amp;"","")))</f>
        <v/>
      </c>
      <c r="E295">
        <f>IF($H295="","",COUNTIFS(상세표[사번키],INDEX(상세표[사번키],$H295),상세표[기록월],대상월키))</f>
        <v/>
      </c>
      <c r="F295">
        <f>IF($H295="","",SUMIFS(상세표[기록 시간외],상세표[사번키],INDEX(상세표[사번키],$H295),상세표[기록월],대상월키))</f>
        <v/>
      </c>
      <c r="G295">
        <f>IF($H295="","",SUMIFS(합계표[시스템 합계],합계표[사번키],INDEX(상세표[사번키],$H295)))</f>
        <v/>
      </c>
      <c r="H295" s="4">
        <f>IFERROR(MATCH(290,상세표[발송인원순번],0),"")</f>
        <v/>
      </c>
      <c r="J295">
        <f>IF($U295="","",INDEX(상세표[사번],$U295)&amp;"")</f>
        <v/>
      </c>
      <c r="K295">
        <f>IF($U295="","",INDEX(상세표[성명],$U295)&amp;"")</f>
        <v/>
      </c>
      <c r="L295">
        <f>IF($U295="","",INDEX(상세표[직위],$U295)&amp;"")</f>
        <v/>
      </c>
      <c r="M295">
        <f>IF($U295="","",IF(ISNUMBER(INDEX(상세표[근무일자],$U295)),TEXT(INDEX(상세표[근무일자],$U295),"yyyy-mm-dd"),INDEX(상세표[근무일자],$U295)&amp;""))</f>
        <v/>
      </c>
      <c r="N295">
        <f>IF($U295="","",IF(ISNUMBER(INDEX(상세표[시작],$U295)),TEXT(INDEX(상세표[시작],$U295),"yyyy-mm-dd hh:mm"),INDEX(상세표[시작],$U295)&amp;""))</f>
        <v/>
      </c>
      <c r="O295">
        <f>IF($U295="","",IF(ISNUMBER(INDEX(상세표[종료],$U295)),TEXT(INDEX(상세표[종료],$U295),"yyyy-mm-dd hh:mm"),INDEX(상세표[종료],$U295)&amp;""))</f>
        <v/>
      </c>
      <c r="P295">
        <f>IF($U295="","",INDEX(상세표[06~07시],$U295))</f>
        <v/>
      </c>
      <c r="Q295">
        <f>IF($U295="","",INDEX(상세표[07~18시],$U295))</f>
        <v/>
      </c>
      <c r="R295">
        <f>IF($U295="","",INDEX(상세표[18~22시],$U295))</f>
        <v/>
      </c>
      <c r="S295">
        <f>IF($U295="","",INDEX(상세표[22~06시],$U295))</f>
        <v/>
      </c>
      <c r="T295">
        <f>IF($U295="","",INDEX(상세표[기록 시간외],$U295))</f>
        <v/>
      </c>
      <c r="U295" s="4">
        <f>IFERROR(MATCH(290,상세표[발송순번],0),"")</f>
        <v/>
      </c>
    </row>
    <row r="296">
      <c r="A296">
        <f>IF($H296="","",INDEX(상세표[사번],$H296)&amp;"")</f>
        <v/>
      </c>
      <c r="B296">
        <f>IF($H296="","",INDEX(상세표[성명],$H296)&amp;"")</f>
        <v/>
      </c>
      <c r="C296">
        <f>IF($H296="","",INDEX(상세표[부서],$H296)&amp;"")</f>
        <v/>
      </c>
      <c r="D296">
        <f>IF($H296="","",IF(IFERROR(INDEX(합계표[직위(통합)],MATCH(INDEX(상세표[사번키],$H296),합계표[사번키],0))&amp;"","")="",INDEX(상세표[직위],$H296)&amp;"",IFERROR(INDEX(합계표[직위(통합)],MATCH(INDEX(상세표[사번키],$H296),합계표[사번키],0))&amp;"","")))</f>
        <v/>
      </c>
      <c r="E296">
        <f>IF($H296="","",COUNTIFS(상세표[사번키],INDEX(상세표[사번키],$H296),상세표[기록월],대상월키))</f>
        <v/>
      </c>
      <c r="F296">
        <f>IF($H296="","",SUMIFS(상세표[기록 시간외],상세표[사번키],INDEX(상세표[사번키],$H296),상세표[기록월],대상월키))</f>
        <v/>
      </c>
      <c r="G296">
        <f>IF($H296="","",SUMIFS(합계표[시스템 합계],합계표[사번키],INDEX(상세표[사번키],$H296)))</f>
        <v/>
      </c>
      <c r="H296" s="4">
        <f>IFERROR(MATCH(291,상세표[발송인원순번],0),"")</f>
        <v/>
      </c>
      <c r="J296">
        <f>IF($U296="","",INDEX(상세표[사번],$U296)&amp;"")</f>
        <v/>
      </c>
      <c r="K296">
        <f>IF($U296="","",INDEX(상세표[성명],$U296)&amp;"")</f>
        <v/>
      </c>
      <c r="L296">
        <f>IF($U296="","",INDEX(상세표[직위],$U296)&amp;"")</f>
        <v/>
      </c>
      <c r="M296">
        <f>IF($U296="","",IF(ISNUMBER(INDEX(상세표[근무일자],$U296)),TEXT(INDEX(상세표[근무일자],$U296),"yyyy-mm-dd"),INDEX(상세표[근무일자],$U296)&amp;""))</f>
        <v/>
      </c>
      <c r="N296">
        <f>IF($U296="","",IF(ISNUMBER(INDEX(상세표[시작],$U296)),TEXT(INDEX(상세표[시작],$U296),"yyyy-mm-dd hh:mm"),INDEX(상세표[시작],$U296)&amp;""))</f>
        <v/>
      </c>
      <c r="O296">
        <f>IF($U296="","",IF(ISNUMBER(INDEX(상세표[종료],$U296)),TEXT(INDEX(상세표[종료],$U296),"yyyy-mm-dd hh:mm"),INDEX(상세표[종료],$U296)&amp;""))</f>
        <v/>
      </c>
      <c r="P296">
        <f>IF($U296="","",INDEX(상세표[06~07시],$U296))</f>
        <v/>
      </c>
      <c r="Q296">
        <f>IF($U296="","",INDEX(상세표[07~18시],$U296))</f>
        <v/>
      </c>
      <c r="R296">
        <f>IF($U296="","",INDEX(상세표[18~22시],$U296))</f>
        <v/>
      </c>
      <c r="S296">
        <f>IF($U296="","",INDEX(상세표[22~06시],$U296))</f>
        <v/>
      </c>
      <c r="T296">
        <f>IF($U296="","",INDEX(상세표[기록 시간외],$U296))</f>
        <v/>
      </c>
      <c r="U296" s="4">
        <f>IFERROR(MATCH(291,상세표[발송순번],0),"")</f>
        <v/>
      </c>
    </row>
    <row r="297">
      <c r="A297">
        <f>IF($H297="","",INDEX(상세표[사번],$H297)&amp;"")</f>
        <v/>
      </c>
      <c r="B297">
        <f>IF($H297="","",INDEX(상세표[성명],$H297)&amp;"")</f>
        <v/>
      </c>
      <c r="C297">
        <f>IF($H297="","",INDEX(상세표[부서],$H297)&amp;"")</f>
        <v/>
      </c>
      <c r="D297">
        <f>IF($H297="","",IF(IFERROR(INDEX(합계표[직위(통합)],MATCH(INDEX(상세표[사번키],$H297),합계표[사번키],0))&amp;"","")="",INDEX(상세표[직위],$H297)&amp;"",IFERROR(INDEX(합계표[직위(통합)],MATCH(INDEX(상세표[사번키],$H297),합계표[사번키],0))&amp;"","")))</f>
        <v/>
      </c>
      <c r="E297">
        <f>IF($H297="","",COUNTIFS(상세표[사번키],INDEX(상세표[사번키],$H297),상세표[기록월],대상월키))</f>
        <v/>
      </c>
      <c r="F297">
        <f>IF($H297="","",SUMIFS(상세표[기록 시간외],상세표[사번키],INDEX(상세표[사번키],$H297),상세표[기록월],대상월키))</f>
        <v/>
      </c>
      <c r="G297">
        <f>IF($H297="","",SUMIFS(합계표[시스템 합계],합계표[사번키],INDEX(상세표[사번키],$H297)))</f>
        <v/>
      </c>
      <c r="H297" s="4">
        <f>IFERROR(MATCH(292,상세표[발송인원순번],0),"")</f>
        <v/>
      </c>
      <c r="J297">
        <f>IF($U297="","",INDEX(상세표[사번],$U297)&amp;"")</f>
        <v/>
      </c>
      <c r="K297">
        <f>IF($U297="","",INDEX(상세표[성명],$U297)&amp;"")</f>
        <v/>
      </c>
      <c r="L297">
        <f>IF($U297="","",INDEX(상세표[직위],$U297)&amp;"")</f>
        <v/>
      </c>
      <c r="M297">
        <f>IF($U297="","",IF(ISNUMBER(INDEX(상세표[근무일자],$U297)),TEXT(INDEX(상세표[근무일자],$U297),"yyyy-mm-dd"),INDEX(상세표[근무일자],$U297)&amp;""))</f>
        <v/>
      </c>
      <c r="N297">
        <f>IF($U297="","",IF(ISNUMBER(INDEX(상세표[시작],$U297)),TEXT(INDEX(상세표[시작],$U297),"yyyy-mm-dd hh:mm"),INDEX(상세표[시작],$U297)&amp;""))</f>
        <v/>
      </c>
      <c r="O297">
        <f>IF($U297="","",IF(ISNUMBER(INDEX(상세표[종료],$U297)),TEXT(INDEX(상세표[종료],$U297),"yyyy-mm-dd hh:mm"),INDEX(상세표[종료],$U297)&amp;""))</f>
        <v/>
      </c>
      <c r="P297">
        <f>IF($U297="","",INDEX(상세표[06~07시],$U297))</f>
        <v/>
      </c>
      <c r="Q297">
        <f>IF($U297="","",INDEX(상세표[07~18시],$U297))</f>
        <v/>
      </c>
      <c r="R297">
        <f>IF($U297="","",INDEX(상세표[18~22시],$U297))</f>
        <v/>
      </c>
      <c r="S297">
        <f>IF($U297="","",INDEX(상세표[22~06시],$U297))</f>
        <v/>
      </c>
      <c r="T297">
        <f>IF($U297="","",INDEX(상세표[기록 시간외],$U297))</f>
        <v/>
      </c>
      <c r="U297" s="4">
        <f>IFERROR(MATCH(292,상세표[발송순번],0),"")</f>
        <v/>
      </c>
    </row>
    <row r="298">
      <c r="A298">
        <f>IF($H298="","",INDEX(상세표[사번],$H298)&amp;"")</f>
        <v/>
      </c>
      <c r="B298">
        <f>IF($H298="","",INDEX(상세표[성명],$H298)&amp;"")</f>
        <v/>
      </c>
      <c r="C298">
        <f>IF($H298="","",INDEX(상세표[부서],$H298)&amp;"")</f>
        <v/>
      </c>
      <c r="D298">
        <f>IF($H298="","",IF(IFERROR(INDEX(합계표[직위(통합)],MATCH(INDEX(상세표[사번키],$H298),합계표[사번키],0))&amp;"","")="",INDEX(상세표[직위],$H298)&amp;"",IFERROR(INDEX(합계표[직위(통합)],MATCH(INDEX(상세표[사번키],$H298),합계표[사번키],0))&amp;"","")))</f>
        <v/>
      </c>
      <c r="E298">
        <f>IF($H298="","",COUNTIFS(상세표[사번키],INDEX(상세표[사번키],$H298),상세표[기록월],대상월키))</f>
        <v/>
      </c>
      <c r="F298">
        <f>IF($H298="","",SUMIFS(상세표[기록 시간외],상세표[사번키],INDEX(상세표[사번키],$H298),상세표[기록월],대상월키))</f>
        <v/>
      </c>
      <c r="G298">
        <f>IF($H298="","",SUMIFS(합계표[시스템 합계],합계표[사번키],INDEX(상세표[사번키],$H298)))</f>
        <v/>
      </c>
      <c r="H298" s="4">
        <f>IFERROR(MATCH(293,상세표[발송인원순번],0),"")</f>
        <v/>
      </c>
      <c r="J298">
        <f>IF($U298="","",INDEX(상세표[사번],$U298)&amp;"")</f>
        <v/>
      </c>
      <c r="K298">
        <f>IF($U298="","",INDEX(상세표[성명],$U298)&amp;"")</f>
        <v/>
      </c>
      <c r="L298">
        <f>IF($U298="","",INDEX(상세표[직위],$U298)&amp;"")</f>
        <v/>
      </c>
      <c r="M298">
        <f>IF($U298="","",IF(ISNUMBER(INDEX(상세표[근무일자],$U298)),TEXT(INDEX(상세표[근무일자],$U298),"yyyy-mm-dd"),INDEX(상세표[근무일자],$U298)&amp;""))</f>
        <v/>
      </c>
      <c r="N298">
        <f>IF($U298="","",IF(ISNUMBER(INDEX(상세표[시작],$U298)),TEXT(INDEX(상세표[시작],$U298),"yyyy-mm-dd hh:mm"),INDEX(상세표[시작],$U298)&amp;""))</f>
        <v/>
      </c>
      <c r="O298">
        <f>IF($U298="","",IF(ISNUMBER(INDEX(상세표[종료],$U298)),TEXT(INDEX(상세표[종료],$U298),"yyyy-mm-dd hh:mm"),INDEX(상세표[종료],$U298)&amp;""))</f>
        <v/>
      </c>
      <c r="P298">
        <f>IF($U298="","",INDEX(상세표[06~07시],$U298))</f>
        <v/>
      </c>
      <c r="Q298">
        <f>IF($U298="","",INDEX(상세표[07~18시],$U298))</f>
        <v/>
      </c>
      <c r="R298">
        <f>IF($U298="","",INDEX(상세표[18~22시],$U298))</f>
        <v/>
      </c>
      <c r="S298">
        <f>IF($U298="","",INDEX(상세표[22~06시],$U298))</f>
        <v/>
      </c>
      <c r="T298">
        <f>IF($U298="","",INDEX(상세표[기록 시간외],$U298))</f>
        <v/>
      </c>
      <c r="U298" s="4">
        <f>IFERROR(MATCH(293,상세표[발송순번],0),"")</f>
        <v/>
      </c>
    </row>
    <row r="299">
      <c r="A299">
        <f>IF($H299="","",INDEX(상세표[사번],$H299)&amp;"")</f>
        <v/>
      </c>
      <c r="B299">
        <f>IF($H299="","",INDEX(상세표[성명],$H299)&amp;"")</f>
        <v/>
      </c>
      <c r="C299">
        <f>IF($H299="","",INDEX(상세표[부서],$H299)&amp;"")</f>
        <v/>
      </c>
      <c r="D299">
        <f>IF($H299="","",IF(IFERROR(INDEX(합계표[직위(통합)],MATCH(INDEX(상세표[사번키],$H299),합계표[사번키],0))&amp;"","")="",INDEX(상세표[직위],$H299)&amp;"",IFERROR(INDEX(합계표[직위(통합)],MATCH(INDEX(상세표[사번키],$H299),합계표[사번키],0))&amp;"","")))</f>
        <v/>
      </c>
      <c r="E299">
        <f>IF($H299="","",COUNTIFS(상세표[사번키],INDEX(상세표[사번키],$H299),상세표[기록월],대상월키))</f>
        <v/>
      </c>
      <c r="F299">
        <f>IF($H299="","",SUMIFS(상세표[기록 시간외],상세표[사번키],INDEX(상세표[사번키],$H299),상세표[기록월],대상월키))</f>
        <v/>
      </c>
      <c r="G299">
        <f>IF($H299="","",SUMIFS(합계표[시스템 합계],합계표[사번키],INDEX(상세표[사번키],$H299)))</f>
        <v/>
      </c>
      <c r="H299" s="4">
        <f>IFERROR(MATCH(294,상세표[발송인원순번],0),"")</f>
        <v/>
      </c>
      <c r="J299">
        <f>IF($U299="","",INDEX(상세표[사번],$U299)&amp;"")</f>
        <v/>
      </c>
      <c r="K299">
        <f>IF($U299="","",INDEX(상세표[성명],$U299)&amp;"")</f>
        <v/>
      </c>
      <c r="L299">
        <f>IF($U299="","",INDEX(상세표[직위],$U299)&amp;"")</f>
        <v/>
      </c>
      <c r="M299">
        <f>IF($U299="","",IF(ISNUMBER(INDEX(상세표[근무일자],$U299)),TEXT(INDEX(상세표[근무일자],$U299),"yyyy-mm-dd"),INDEX(상세표[근무일자],$U299)&amp;""))</f>
        <v/>
      </c>
      <c r="N299">
        <f>IF($U299="","",IF(ISNUMBER(INDEX(상세표[시작],$U299)),TEXT(INDEX(상세표[시작],$U299),"yyyy-mm-dd hh:mm"),INDEX(상세표[시작],$U299)&amp;""))</f>
        <v/>
      </c>
      <c r="O299">
        <f>IF($U299="","",IF(ISNUMBER(INDEX(상세표[종료],$U299)),TEXT(INDEX(상세표[종료],$U299),"yyyy-mm-dd hh:mm"),INDEX(상세표[종료],$U299)&amp;""))</f>
        <v/>
      </c>
      <c r="P299">
        <f>IF($U299="","",INDEX(상세표[06~07시],$U299))</f>
        <v/>
      </c>
      <c r="Q299">
        <f>IF($U299="","",INDEX(상세표[07~18시],$U299))</f>
        <v/>
      </c>
      <c r="R299">
        <f>IF($U299="","",INDEX(상세표[18~22시],$U299))</f>
        <v/>
      </c>
      <c r="S299">
        <f>IF($U299="","",INDEX(상세표[22~06시],$U299))</f>
        <v/>
      </c>
      <c r="T299">
        <f>IF($U299="","",INDEX(상세표[기록 시간외],$U299))</f>
        <v/>
      </c>
      <c r="U299" s="4">
        <f>IFERROR(MATCH(294,상세표[발송순번],0),"")</f>
        <v/>
      </c>
    </row>
    <row r="300">
      <c r="A300">
        <f>IF($H300="","",INDEX(상세표[사번],$H300)&amp;"")</f>
        <v/>
      </c>
      <c r="B300">
        <f>IF($H300="","",INDEX(상세표[성명],$H300)&amp;"")</f>
        <v/>
      </c>
      <c r="C300">
        <f>IF($H300="","",INDEX(상세표[부서],$H300)&amp;"")</f>
        <v/>
      </c>
      <c r="D300">
        <f>IF($H300="","",IF(IFERROR(INDEX(합계표[직위(통합)],MATCH(INDEX(상세표[사번키],$H300),합계표[사번키],0))&amp;"","")="",INDEX(상세표[직위],$H300)&amp;"",IFERROR(INDEX(합계표[직위(통합)],MATCH(INDEX(상세표[사번키],$H300),합계표[사번키],0))&amp;"","")))</f>
        <v/>
      </c>
      <c r="E300">
        <f>IF($H300="","",COUNTIFS(상세표[사번키],INDEX(상세표[사번키],$H300),상세표[기록월],대상월키))</f>
        <v/>
      </c>
      <c r="F300">
        <f>IF($H300="","",SUMIFS(상세표[기록 시간외],상세표[사번키],INDEX(상세표[사번키],$H300),상세표[기록월],대상월키))</f>
        <v/>
      </c>
      <c r="G300">
        <f>IF($H300="","",SUMIFS(합계표[시스템 합계],합계표[사번키],INDEX(상세표[사번키],$H300)))</f>
        <v/>
      </c>
      <c r="H300" s="4">
        <f>IFERROR(MATCH(295,상세표[발송인원순번],0),"")</f>
        <v/>
      </c>
      <c r="J300">
        <f>IF($U300="","",INDEX(상세표[사번],$U300)&amp;"")</f>
        <v/>
      </c>
      <c r="K300">
        <f>IF($U300="","",INDEX(상세표[성명],$U300)&amp;"")</f>
        <v/>
      </c>
      <c r="L300">
        <f>IF($U300="","",INDEX(상세표[직위],$U300)&amp;"")</f>
        <v/>
      </c>
      <c r="M300">
        <f>IF($U300="","",IF(ISNUMBER(INDEX(상세표[근무일자],$U300)),TEXT(INDEX(상세표[근무일자],$U300),"yyyy-mm-dd"),INDEX(상세표[근무일자],$U300)&amp;""))</f>
        <v/>
      </c>
      <c r="N300">
        <f>IF($U300="","",IF(ISNUMBER(INDEX(상세표[시작],$U300)),TEXT(INDEX(상세표[시작],$U300),"yyyy-mm-dd hh:mm"),INDEX(상세표[시작],$U300)&amp;""))</f>
        <v/>
      </c>
      <c r="O300">
        <f>IF($U300="","",IF(ISNUMBER(INDEX(상세표[종료],$U300)),TEXT(INDEX(상세표[종료],$U300),"yyyy-mm-dd hh:mm"),INDEX(상세표[종료],$U300)&amp;""))</f>
        <v/>
      </c>
      <c r="P300">
        <f>IF($U300="","",INDEX(상세표[06~07시],$U300))</f>
        <v/>
      </c>
      <c r="Q300">
        <f>IF($U300="","",INDEX(상세표[07~18시],$U300))</f>
        <v/>
      </c>
      <c r="R300">
        <f>IF($U300="","",INDEX(상세표[18~22시],$U300))</f>
        <v/>
      </c>
      <c r="S300">
        <f>IF($U300="","",INDEX(상세표[22~06시],$U300))</f>
        <v/>
      </c>
      <c r="T300">
        <f>IF($U300="","",INDEX(상세표[기록 시간외],$U300))</f>
        <v/>
      </c>
      <c r="U300" s="4">
        <f>IFERROR(MATCH(295,상세표[발송순번],0),"")</f>
        <v/>
      </c>
    </row>
    <row r="301">
      <c r="A301">
        <f>IF($H301="","",INDEX(상세표[사번],$H301)&amp;"")</f>
        <v/>
      </c>
      <c r="B301">
        <f>IF($H301="","",INDEX(상세표[성명],$H301)&amp;"")</f>
        <v/>
      </c>
      <c r="C301">
        <f>IF($H301="","",INDEX(상세표[부서],$H301)&amp;"")</f>
        <v/>
      </c>
      <c r="D301">
        <f>IF($H301="","",IF(IFERROR(INDEX(합계표[직위(통합)],MATCH(INDEX(상세표[사번키],$H301),합계표[사번키],0))&amp;"","")="",INDEX(상세표[직위],$H301)&amp;"",IFERROR(INDEX(합계표[직위(통합)],MATCH(INDEX(상세표[사번키],$H301),합계표[사번키],0))&amp;"","")))</f>
        <v/>
      </c>
      <c r="E301">
        <f>IF($H301="","",COUNTIFS(상세표[사번키],INDEX(상세표[사번키],$H301),상세표[기록월],대상월키))</f>
        <v/>
      </c>
      <c r="F301">
        <f>IF($H301="","",SUMIFS(상세표[기록 시간외],상세표[사번키],INDEX(상세표[사번키],$H301),상세표[기록월],대상월키))</f>
        <v/>
      </c>
      <c r="G301">
        <f>IF($H301="","",SUMIFS(합계표[시스템 합계],합계표[사번키],INDEX(상세표[사번키],$H301)))</f>
        <v/>
      </c>
      <c r="H301" s="4">
        <f>IFERROR(MATCH(296,상세표[발송인원순번],0),"")</f>
        <v/>
      </c>
      <c r="J301">
        <f>IF($U301="","",INDEX(상세표[사번],$U301)&amp;"")</f>
        <v/>
      </c>
      <c r="K301">
        <f>IF($U301="","",INDEX(상세표[성명],$U301)&amp;"")</f>
        <v/>
      </c>
      <c r="L301">
        <f>IF($U301="","",INDEX(상세표[직위],$U301)&amp;"")</f>
        <v/>
      </c>
      <c r="M301">
        <f>IF($U301="","",IF(ISNUMBER(INDEX(상세표[근무일자],$U301)),TEXT(INDEX(상세표[근무일자],$U301),"yyyy-mm-dd"),INDEX(상세표[근무일자],$U301)&amp;""))</f>
        <v/>
      </c>
      <c r="N301">
        <f>IF($U301="","",IF(ISNUMBER(INDEX(상세표[시작],$U301)),TEXT(INDEX(상세표[시작],$U301),"yyyy-mm-dd hh:mm"),INDEX(상세표[시작],$U301)&amp;""))</f>
        <v/>
      </c>
      <c r="O301">
        <f>IF($U301="","",IF(ISNUMBER(INDEX(상세표[종료],$U301)),TEXT(INDEX(상세표[종료],$U301),"yyyy-mm-dd hh:mm"),INDEX(상세표[종료],$U301)&amp;""))</f>
        <v/>
      </c>
      <c r="P301">
        <f>IF($U301="","",INDEX(상세표[06~07시],$U301))</f>
        <v/>
      </c>
      <c r="Q301">
        <f>IF($U301="","",INDEX(상세표[07~18시],$U301))</f>
        <v/>
      </c>
      <c r="R301">
        <f>IF($U301="","",INDEX(상세표[18~22시],$U301))</f>
        <v/>
      </c>
      <c r="S301">
        <f>IF($U301="","",INDEX(상세표[22~06시],$U301))</f>
        <v/>
      </c>
      <c r="T301">
        <f>IF($U301="","",INDEX(상세표[기록 시간외],$U301))</f>
        <v/>
      </c>
      <c r="U301" s="4">
        <f>IFERROR(MATCH(296,상세표[발송순번],0),"")</f>
        <v/>
      </c>
    </row>
    <row r="302">
      <c r="A302">
        <f>IF($H302="","",INDEX(상세표[사번],$H302)&amp;"")</f>
        <v/>
      </c>
      <c r="B302">
        <f>IF($H302="","",INDEX(상세표[성명],$H302)&amp;"")</f>
        <v/>
      </c>
      <c r="C302">
        <f>IF($H302="","",INDEX(상세표[부서],$H302)&amp;"")</f>
        <v/>
      </c>
      <c r="D302">
        <f>IF($H302="","",IF(IFERROR(INDEX(합계표[직위(통합)],MATCH(INDEX(상세표[사번키],$H302),합계표[사번키],0))&amp;"","")="",INDEX(상세표[직위],$H302)&amp;"",IFERROR(INDEX(합계표[직위(통합)],MATCH(INDEX(상세표[사번키],$H302),합계표[사번키],0))&amp;"","")))</f>
        <v/>
      </c>
      <c r="E302">
        <f>IF($H302="","",COUNTIFS(상세표[사번키],INDEX(상세표[사번키],$H302),상세표[기록월],대상월키))</f>
        <v/>
      </c>
      <c r="F302">
        <f>IF($H302="","",SUMIFS(상세표[기록 시간외],상세표[사번키],INDEX(상세표[사번키],$H302),상세표[기록월],대상월키))</f>
        <v/>
      </c>
      <c r="G302">
        <f>IF($H302="","",SUMIFS(합계표[시스템 합계],합계표[사번키],INDEX(상세표[사번키],$H302)))</f>
        <v/>
      </c>
      <c r="H302" s="4">
        <f>IFERROR(MATCH(297,상세표[발송인원순번],0),"")</f>
        <v/>
      </c>
      <c r="J302">
        <f>IF($U302="","",INDEX(상세표[사번],$U302)&amp;"")</f>
        <v/>
      </c>
      <c r="K302">
        <f>IF($U302="","",INDEX(상세표[성명],$U302)&amp;"")</f>
        <v/>
      </c>
      <c r="L302">
        <f>IF($U302="","",INDEX(상세표[직위],$U302)&amp;"")</f>
        <v/>
      </c>
      <c r="M302">
        <f>IF($U302="","",IF(ISNUMBER(INDEX(상세표[근무일자],$U302)),TEXT(INDEX(상세표[근무일자],$U302),"yyyy-mm-dd"),INDEX(상세표[근무일자],$U302)&amp;""))</f>
        <v/>
      </c>
      <c r="N302">
        <f>IF($U302="","",IF(ISNUMBER(INDEX(상세표[시작],$U302)),TEXT(INDEX(상세표[시작],$U302),"yyyy-mm-dd hh:mm"),INDEX(상세표[시작],$U302)&amp;""))</f>
        <v/>
      </c>
      <c r="O302">
        <f>IF($U302="","",IF(ISNUMBER(INDEX(상세표[종료],$U302)),TEXT(INDEX(상세표[종료],$U302),"yyyy-mm-dd hh:mm"),INDEX(상세표[종료],$U302)&amp;""))</f>
        <v/>
      </c>
      <c r="P302">
        <f>IF($U302="","",INDEX(상세표[06~07시],$U302))</f>
        <v/>
      </c>
      <c r="Q302">
        <f>IF($U302="","",INDEX(상세표[07~18시],$U302))</f>
        <v/>
      </c>
      <c r="R302">
        <f>IF($U302="","",INDEX(상세표[18~22시],$U302))</f>
        <v/>
      </c>
      <c r="S302">
        <f>IF($U302="","",INDEX(상세표[22~06시],$U302))</f>
        <v/>
      </c>
      <c r="T302">
        <f>IF($U302="","",INDEX(상세표[기록 시간외],$U302))</f>
        <v/>
      </c>
      <c r="U302" s="4">
        <f>IFERROR(MATCH(297,상세표[발송순번],0),"")</f>
        <v/>
      </c>
    </row>
    <row r="303">
      <c r="A303">
        <f>IF($H303="","",INDEX(상세표[사번],$H303)&amp;"")</f>
        <v/>
      </c>
      <c r="B303">
        <f>IF($H303="","",INDEX(상세표[성명],$H303)&amp;"")</f>
        <v/>
      </c>
      <c r="C303">
        <f>IF($H303="","",INDEX(상세표[부서],$H303)&amp;"")</f>
        <v/>
      </c>
      <c r="D303">
        <f>IF($H303="","",IF(IFERROR(INDEX(합계표[직위(통합)],MATCH(INDEX(상세표[사번키],$H303),합계표[사번키],0))&amp;"","")="",INDEX(상세표[직위],$H303)&amp;"",IFERROR(INDEX(합계표[직위(통합)],MATCH(INDEX(상세표[사번키],$H303),합계표[사번키],0))&amp;"","")))</f>
        <v/>
      </c>
      <c r="E303">
        <f>IF($H303="","",COUNTIFS(상세표[사번키],INDEX(상세표[사번키],$H303),상세표[기록월],대상월키))</f>
        <v/>
      </c>
      <c r="F303">
        <f>IF($H303="","",SUMIFS(상세표[기록 시간외],상세표[사번키],INDEX(상세표[사번키],$H303),상세표[기록월],대상월키))</f>
        <v/>
      </c>
      <c r="G303">
        <f>IF($H303="","",SUMIFS(합계표[시스템 합계],합계표[사번키],INDEX(상세표[사번키],$H303)))</f>
        <v/>
      </c>
      <c r="H303" s="4">
        <f>IFERROR(MATCH(298,상세표[발송인원순번],0),"")</f>
        <v/>
      </c>
      <c r="J303">
        <f>IF($U303="","",INDEX(상세표[사번],$U303)&amp;"")</f>
        <v/>
      </c>
      <c r="K303">
        <f>IF($U303="","",INDEX(상세표[성명],$U303)&amp;"")</f>
        <v/>
      </c>
      <c r="L303">
        <f>IF($U303="","",INDEX(상세표[직위],$U303)&amp;"")</f>
        <v/>
      </c>
      <c r="M303">
        <f>IF($U303="","",IF(ISNUMBER(INDEX(상세표[근무일자],$U303)),TEXT(INDEX(상세표[근무일자],$U303),"yyyy-mm-dd"),INDEX(상세표[근무일자],$U303)&amp;""))</f>
        <v/>
      </c>
      <c r="N303">
        <f>IF($U303="","",IF(ISNUMBER(INDEX(상세표[시작],$U303)),TEXT(INDEX(상세표[시작],$U303),"yyyy-mm-dd hh:mm"),INDEX(상세표[시작],$U303)&amp;""))</f>
        <v/>
      </c>
      <c r="O303">
        <f>IF($U303="","",IF(ISNUMBER(INDEX(상세표[종료],$U303)),TEXT(INDEX(상세표[종료],$U303),"yyyy-mm-dd hh:mm"),INDEX(상세표[종료],$U303)&amp;""))</f>
        <v/>
      </c>
      <c r="P303">
        <f>IF($U303="","",INDEX(상세표[06~07시],$U303))</f>
        <v/>
      </c>
      <c r="Q303">
        <f>IF($U303="","",INDEX(상세표[07~18시],$U303))</f>
        <v/>
      </c>
      <c r="R303">
        <f>IF($U303="","",INDEX(상세표[18~22시],$U303))</f>
        <v/>
      </c>
      <c r="S303">
        <f>IF($U303="","",INDEX(상세표[22~06시],$U303))</f>
        <v/>
      </c>
      <c r="T303">
        <f>IF($U303="","",INDEX(상세표[기록 시간외],$U303))</f>
        <v/>
      </c>
      <c r="U303" s="4">
        <f>IFERROR(MATCH(298,상세표[발송순번],0),"")</f>
        <v/>
      </c>
    </row>
    <row r="304">
      <c r="A304">
        <f>IF($H304="","",INDEX(상세표[사번],$H304)&amp;"")</f>
        <v/>
      </c>
      <c r="B304">
        <f>IF($H304="","",INDEX(상세표[성명],$H304)&amp;"")</f>
        <v/>
      </c>
      <c r="C304">
        <f>IF($H304="","",INDEX(상세표[부서],$H304)&amp;"")</f>
        <v/>
      </c>
      <c r="D304">
        <f>IF($H304="","",IF(IFERROR(INDEX(합계표[직위(통합)],MATCH(INDEX(상세표[사번키],$H304),합계표[사번키],0))&amp;"","")="",INDEX(상세표[직위],$H304)&amp;"",IFERROR(INDEX(합계표[직위(통합)],MATCH(INDEX(상세표[사번키],$H304),합계표[사번키],0))&amp;"","")))</f>
        <v/>
      </c>
      <c r="E304">
        <f>IF($H304="","",COUNTIFS(상세표[사번키],INDEX(상세표[사번키],$H304),상세표[기록월],대상월키))</f>
        <v/>
      </c>
      <c r="F304">
        <f>IF($H304="","",SUMIFS(상세표[기록 시간외],상세표[사번키],INDEX(상세표[사번키],$H304),상세표[기록월],대상월키))</f>
        <v/>
      </c>
      <c r="G304">
        <f>IF($H304="","",SUMIFS(합계표[시스템 합계],합계표[사번키],INDEX(상세표[사번키],$H304)))</f>
        <v/>
      </c>
      <c r="H304" s="4">
        <f>IFERROR(MATCH(299,상세표[발송인원순번],0),"")</f>
        <v/>
      </c>
      <c r="J304">
        <f>IF($U304="","",INDEX(상세표[사번],$U304)&amp;"")</f>
        <v/>
      </c>
      <c r="K304">
        <f>IF($U304="","",INDEX(상세표[성명],$U304)&amp;"")</f>
        <v/>
      </c>
      <c r="L304">
        <f>IF($U304="","",INDEX(상세표[직위],$U304)&amp;"")</f>
        <v/>
      </c>
      <c r="M304">
        <f>IF($U304="","",IF(ISNUMBER(INDEX(상세표[근무일자],$U304)),TEXT(INDEX(상세표[근무일자],$U304),"yyyy-mm-dd"),INDEX(상세표[근무일자],$U304)&amp;""))</f>
        <v/>
      </c>
      <c r="N304">
        <f>IF($U304="","",IF(ISNUMBER(INDEX(상세표[시작],$U304)),TEXT(INDEX(상세표[시작],$U304),"yyyy-mm-dd hh:mm"),INDEX(상세표[시작],$U304)&amp;""))</f>
        <v/>
      </c>
      <c r="O304">
        <f>IF($U304="","",IF(ISNUMBER(INDEX(상세표[종료],$U304)),TEXT(INDEX(상세표[종료],$U304),"yyyy-mm-dd hh:mm"),INDEX(상세표[종료],$U304)&amp;""))</f>
        <v/>
      </c>
      <c r="P304">
        <f>IF($U304="","",INDEX(상세표[06~07시],$U304))</f>
        <v/>
      </c>
      <c r="Q304">
        <f>IF($U304="","",INDEX(상세표[07~18시],$U304))</f>
        <v/>
      </c>
      <c r="R304">
        <f>IF($U304="","",INDEX(상세표[18~22시],$U304))</f>
        <v/>
      </c>
      <c r="S304">
        <f>IF($U304="","",INDEX(상세표[22~06시],$U304))</f>
        <v/>
      </c>
      <c r="T304">
        <f>IF($U304="","",INDEX(상세표[기록 시간외],$U304))</f>
        <v/>
      </c>
      <c r="U304" s="4">
        <f>IFERROR(MATCH(299,상세표[발송순번],0),"")</f>
        <v/>
      </c>
    </row>
    <row r="305">
      <c r="A305">
        <f>IF($H305="","",INDEX(상세표[사번],$H305)&amp;"")</f>
        <v/>
      </c>
      <c r="B305">
        <f>IF($H305="","",INDEX(상세표[성명],$H305)&amp;"")</f>
        <v/>
      </c>
      <c r="C305">
        <f>IF($H305="","",INDEX(상세표[부서],$H305)&amp;"")</f>
        <v/>
      </c>
      <c r="D305">
        <f>IF($H305="","",IF(IFERROR(INDEX(합계표[직위(통합)],MATCH(INDEX(상세표[사번키],$H305),합계표[사번키],0))&amp;"","")="",INDEX(상세표[직위],$H305)&amp;"",IFERROR(INDEX(합계표[직위(통합)],MATCH(INDEX(상세표[사번키],$H305),합계표[사번키],0))&amp;"","")))</f>
        <v/>
      </c>
      <c r="E305">
        <f>IF($H305="","",COUNTIFS(상세표[사번키],INDEX(상세표[사번키],$H305),상세표[기록월],대상월키))</f>
        <v/>
      </c>
      <c r="F305">
        <f>IF($H305="","",SUMIFS(상세표[기록 시간외],상세표[사번키],INDEX(상세표[사번키],$H305),상세표[기록월],대상월키))</f>
        <v/>
      </c>
      <c r="G305">
        <f>IF($H305="","",SUMIFS(합계표[시스템 합계],합계표[사번키],INDEX(상세표[사번키],$H305)))</f>
        <v/>
      </c>
      <c r="H305" s="4">
        <f>IFERROR(MATCH(300,상세표[발송인원순번],0),"")</f>
        <v/>
      </c>
      <c r="J305">
        <f>IF($U305="","",INDEX(상세표[사번],$U305)&amp;"")</f>
        <v/>
      </c>
      <c r="K305">
        <f>IF($U305="","",INDEX(상세표[성명],$U305)&amp;"")</f>
        <v/>
      </c>
      <c r="L305">
        <f>IF($U305="","",INDEX(상세표[직위],$U305)&amp;"")</f>
        <v/>
      </c>
      <c r="M305">
        <f>IF($U305="","",IF(ISNUMBER(INDEX(상세표[근무일자],$U305)),TEXT(INDEX(상세표[근무일자],$U305),"yyyy-mm-dd"),INDEX(상세표[근무일자],$U305)&amp;""))</f>
        <v/>
      </c>
      <c r="N305">
        <f>IF($U305="","",IF(ISNUMBER(INDEX(상세표[시작],$U305)),TEXT(INDEX(상세표[시작],$U305),"yyyy-mm-dd hh:mm"),INDEX(상세표[시작],$U305)&amp;""))</f>
        <v/>
      </c>
      <c r="O305">
        <f>IF($U305="","",IF(ISNUMBER(INDEX(상세표[종료],$U305)),TEXT(INDEX(상세표[종료],$U305),"yyyy-mm-dd hh:mm"),INDEX(상세표[종료],$U305)&amp;""))</f>
        <v/>
      </c>
      <c r="P305">
        <f>IF($U305="","",INDEX(상세표[06~07시],$U305))</f>
        <v/>
      </c>
      <c r="Q305">
        <f>IF($U305="","",INDEX(상세표[07~18시],$U305))</f>
        <v/>
      </c>
      <c r="R305">
        <f>IF($U305="","",INDEX(상세표[18~22시],$U305))</f>
        <v/>
      </c>
      <c r="S305">
        <f>IF($U305="","",INDEX(상세표[22~06시],$U305))</f>
        <v/>
      </c>
      <c r="T305">
        <f>IF($U305="","",INDEX(상세표[기록 시간외],$U305))</f>
        <v/>
      </c>
      <c r="U305" s="4">
        <f>IFERROR(MATCH(300,상세표[발송순번],0),"")</f>
        <v/>
      </c>
    </row>
    <row r="306">
      <c r="J306">
        <f>IF($U306="","",INDEX(상세표[사번],$U306)&amp;"")</f>
        <v/>
      </c>
      <c r="K306">
        <f>IF($U306="","",INDEX(상세표[성명],$U306)&amp;"")</f>
        <v/>
      </c>
      <c r="L306">
        <f>IF($U306="","",INDEX(상세표[직위],$U306)&amp;"")</f>
        <v/>
      </c>
      <c r="M306">
        <f>IF($U306="","",IF(ISNUMBER(INDEX(상세표[근무일자],$U306)),TEXT(INDEX(상세표[근무일자],$U306),"yyyy-mm-dd"),INDEX(상세표[근무일자],$U306)&amp;""))</f>
        <v/>
      </c>
      <c r="N306">
        <f>IF($U306="","",IF(ISNUMBER(INDEX(상세표[시작],$U306)),TEXT(INDEX(상세표[시작],$U306),"yyyy-mm-dd hh:mm"),INDEX(상세표[시작],$U306)&amp;""))</f>
        <v/>
      </c>
      <c r="O306">
        <f>IF($U306="","",IF(ISNUMBER(INDEX(상세표[종료],$U306)),TEXT(INDEX(상세표[종료],$U306),"yyyy-mm-dd hh:mm"),INDEX(상세표[종료],$U306)&amp;""))</f>
        <v/>
      </c>
      <c r="P306">
        <f>IF($U306="","",INDEX(상세표[06~07시],$U306))</f>
        <v/>
      </c>
      <c r="Q306">
        <f>IF($U306="","",INDEX(상세표[07~18시],$U306))</f>
        <v/>
      </c>
      <c r="R306">
        <f>IF($U306="","",INDEX(상세표[18~22시],$U306))</f>
        <v/>
      </c>
      <c r="S306">
        <f>IF($U306="","",INDEX(상세표[22~06시],$U306))</f>
        <v/>
      </c>
      <c r="T306">
        <f>IF($U306="","",INDEX(상세표[기록 시간외],$U306))</f>
        <v/>
      </c>
      <c r="U306" s="4">
        <f>IFERROR(MATCH(301,상세표[발송순번],0),"")</f>
        <v/>
      </c>
    </row>
    <row r="307">
      <c r="J307">
        <f>IF($U307="","",INDEX(상세표[사번],$U307)&amp;"")</f>
        <v/>
      </c>
      <c r="K307">
        <f>IF($U307="","",INDEX(상세표[성명],$U307)&amp;"")</f>
        <v/>
      </c>
      <c r="L307">
        <f>IF($U307="","",INDEX(상세표[직위],$U307)&amp;"")</f>
        <v/>
      </c>
      <c r="M307">
        <f>IF($U307="","",IF(ISNUMBER(INDEX(상세표[근무일자],$U307)),TEXT(INDEX(상세표[근무일자],$U307),"yyyy-mm-dd"),INDEX(상세표[근무일자],$U307)&amp;""))</f>
        <v/>
      </c>
      <c r="N307">
        <f>IF($U307="","",IF(ISNUMBER(INDEX(상세표[시작],$U307)),TEXT(INDEX(상세표[시작],$U307),"yyyy-mm-dd hh:mm"),INDEX(상세표[시작],$U307)&amp;""))</f>
        <v/>
      </c>
      <c r="O307">
        <f>IF($U307="","",IF(ISNUMBER(INDEX(상세표[종료],$U307)),TEXT(INDEX(상세표[종료],$U307),"yyyy-mm-dd hh:mm"),INDEX(상세표[종료],$U307)&amp;""))</f>
        <v/>
      </c>
      <c r="P307">
        <f>IF($U307="","",INDEX(상세표[06~07시],$U307))</f>
        <v/>
      </c>
      <c r="Q307">
        <f>IF($U307="","",INDEX(상세표[07~18시],$U307))</f>
        <v/>
      </c>
      <c r="R307">
        <f>IF($U307="","",INDEX(상세표[18~22시],$U307))</f>
        <v/>
      </c>
      <c r="S307">
        <f>IF($U307="","",INDEX(상세표[22~06시],$U307))</f>
        <v/>
      </c>
      <c r="T307">
        <f>IF($U307="","",INDEX(상세표[기록 시간외],$U307))</f>
        <v/>
      </c>
      <c r="U307" s="4">
        <f>IFERROR(MATCH(302,상세표[발송순번],0),"")</f>
        <v/>
      </c>
    </row>
    <row r="308">
      <c r="J308">
        <f>IF($U308="","",INDEX(상세표[사번],$U308)&amp;"")</f>
        <v/>
      </c>
      <c r="K308">
        <f>IF($U308="","",INDEX(상세표[성명],$U308)&amp;"")</f>
        <v/>
      </c>
      <c r="L308">
        <f>IF($U308="","",INDEX(상세표[직위],$U308)&amp;"")</f>
        <v/>
      </c>
      <c r="M308">
        <f>IF($U308="","",IF(ISNUMBER(INDEX(상세표[근무일자],$U308)),TEXT(INDEX(상세표[근무일자],$U308),"yyyy-mm-dd"),INDEX(상세표[근무일자],$U308)&amp;""))</f>
        <v/>
      </c>
      <c r="N308">
        <f>IF($U308="","",IF(ISNUMBER(INDEX(상세표[시작],$U308)),TEXT(INDEX(상세표[시작],$U308),"yyyy-mm-dd hh:mm"),INDEX(상세표[시작],$U308)&amp;""))</f>
        <v/>
      </c>
      <c r="O308">
        <f>IF($U308="","",IF(ISNUMBER(INDEX(상세표[종료],$U308)),TEXT(INDEX(상세표[종료],$U308),"yyyy-mm-dd hh:mm"),INDEX(상세표[종료],$U308)&amp;""))</f>
        <v/>
      </c>
      <c r="P308">
        <f>IF($U308="","",INDEX(상세표[06~07시],$U308))</f>
        <v/>
      </c>
      <c r="Q308">
        <f>IF($U308="","",INDEX(상세표[07~18시],$U308))</f>
        <v/>
      </c>
      <c r="R308">
        <f>IF($U308="","",INDEX(상세표[18~22시],$U308))</f>
        <v/>
      </c>
      <c r="S308">
        <f>IF($U308="","",INDEX(상세표[22~06시],$U308))</f>
        <v/>
      </c>
      <c r="T308">
        <f>IF($U308="","",INDEX(상세표[기록 시간외],$U308))</f>
        <v/>
      </c>
      <c r="U308" s="4">
        <f>IFERROR(MATCH(303,상세표[발송순번],0),"")</f>
        <v/>
      </c>
    </row>
    <row r="309">
      <c r="J309">
        <f>IF($U309="","",INDEX(상세표[사번],$U309)&amp;"")</f>
        <v/>
      </c>
      <c r="K309">
        <f>IF($U309="","",INDEX(상세표[성명],$U309)&amp;"")</f>
        <v/>
      </c>
      <c r="L309">
        <f>IF($U309="","",INDEX(상세표[직위],$U309)&amp;"")</f>
        <v/>
      </c>
      <c r="M309">
        <f>IF($U309="","",IF(ISNUMBER(INDEX(상세표[근무일자],$U309)),TEXT(INDEX(상세표[근무일자],$U309),"yyyy-mm-dd"),INDEX(상세표[근무일자],$U309)&amp;""))</f>
        <v/>
      </c>
      <c r="N309">
        <f>IF($U309="","",IF(ISNUMBER(INDEX(상세표[시작],$U309)),TEXT(INDEX(상세표[시작],$U309),"yyyy-mm-dd hh:mm"),INDEX(상세표[시작],$U309)&amp;""))</f>
        <v/>
      </c>
      <c r="O309">
        <f>IF($U309="","",IF(ISNUMBER(INDEX(상세표[종료],$U309)),TEXT(INDEX(상세표[종료],$U309),"yyyy-mm-dd hh:mm"),INDEX(상세표[종료],$U309)&amp;""))</f>
        <v/>
      </c>
      <c r="P309">
        <f>IF($U309="","",INDEX(상세표[06~07시],$U309))</f>
        <v/>
      </c>
      <c r="Q309">
        <f>IF($U309="","",INDEX(상세표[07~18시],$U309))</f>
        <v/>
      </c>
      <c r="R309">
        <f>IF($U309="","",INDEX(상세표[18~22시],$U309))</f>
        <v/>
      </c>
      <c r="S309">
        <f>IF($U309="","",INDEX(상세표[22~06시],$U309))</f>
        <v/>
      </c>
      <c r="T309">
        <f>IF($U309="","",INDEX(상세표[기록 시간외],$U309))</f>
        <v/>
      </c>
      <c r="U309" s="4">
        <f>IFERROR(MATCH(304,상세표[발송순번],0),"")</f>
        <v/>
      </c>
    </row>
    <row r="310">
      <c r="J310">
        <f>IF($U310="","",INDEX(상세표[사번],$U310)&amp;"")</f>
        <v/>
      </c>
      <c r="K310">
        <f>IF($U310="","",INDEX(상세표[성명],$U310)&amp;"")</f>
        <v/>
      </c>
      <c r="L310">
        <f>IF($U310="","",INDEX(상세표[직위],$U310)&amp;"")</f>
        <v/>
      </c>
      <c r="M310">
        <f>IF($U310="","",IF(ISNUMBER(INDEX(상세표[근무일자],$U310)),TEXT(INDEX(상세표[근무일자],$U310),"yyyy-mm-dd"),INDEX(상세표[근무일자],$U310)&amp;""))</f>
        <v/>
      </c>
      <c r="N310">
        <f>IF($U310="","",IF(ISNUMBER(INDEX(상세표[시작],$U310)),TEXT(INDEX(상세표[시작],$U310),"yyyy-mm-dd hh:mm"),INDEX(상세표[시작],$U310)&amp;""))</f>
        <v/>
      </c>
      <c r="O310">
        <f>IF($U310="","",IF(ISNUMBER(INDEX(상세표[종료],$U310)),TEXT(INDEX(상세표[종료],$U310),"yyyy-mm-dd hh:mm"),INDEX(상세표[종료],$U310)&amp;""))</f>
        <v/>
      </c>
      <c r="P310">
        <f>IF($U310="","",INDEX(상세표[06~07시],$U310))</f>
        <v/>
      </c>
      <c r="Q310">
        <f>IF($U310="","",INDEX(상세표[07~18시],$U310))</f>
        <v/>
      </c>
      <c r="R310">
        <f>IF($U310="","",INDEX(상세표[18~22시],$U310))</f>
        <v/>
      </c>
      <c r="S310">
        <f>IF($U310="","",INDEX(상세표[22~06시],$U310))</f>
        <v/>
      </c>
      <c r="T310">
        <f>IF($U310="","",INDEX(상세표[기록 시간외],$U310))</f>
        <v/>
      </c>
      <c r="U310" s="4">
        <f>IFERROR(MATCH(305,상세표[발송순번],0),"")</f>
        <v/>
      </c>
    </row>
    <row r="311">
      <c r="J311">
        <f>IF($U311="","",INDEX(상세표[사번],$U311)&amp;"")</f>
        <v/>
      </c>
      <c r="K311">
        <f>IF($U311="","",INDEX(상세표[성명],$U311)&amp;"")</f>
        <v/>
      </c>
      <c r="L311">
        <f>IF($U311="","",INDEX(상세표[직위],$U311)&amp;"")</f>
        <v/>
      </c>
      <c r="M311">
        <f>IF($U311="","",IF(ISNUMBER(INDEX(상세표[근무일자],$U311)),TEXT(INDEX(상세표[근무일자],$U311),"yyyy-mm-dd"),INDEX(상세표[근무일자],$U311)&amp;""))</f>
        <v/>
      </c>
      <c r="N311">
        <f>IF($U311="","",IF(ISNUMBER(INDEX(상세표[시작],$U311)),TEXT(INDEX(상세표[시작],$U311),"yyyy-mm-dd hh:mm"),INDEX(상세표[시작],$U311)&amp;""))</f>
        <v/>
      </c>
      <c r="O311">
        <f>IF($U311="","",IF(ISNUMBER(INDEX(상세표[종료],$U311)),TEXT(INDEX(상세표[종료],$U311),"yyyy-mm-dd hh:mm"),INDEX(상세표[종료],$U311)&amp;""))</f>
        <v/>
      </c>
      <c r="P311">
        <f>IF($U311="","",INDEX(상세표[06~07시],$U311))</f>
        <v/>
      </c>
      <c r="Q311">
        <f>IF($U311="","",INDEX(상세표[07~18시],$U311))</f>
        <v/>
      </c>
      <c r="R311">
        <f>IF($U311="","",INDEX(상세표[18~22시],$U311))</f>
        <v/>
      </c>
      <c r="S311">
        <f>IF($U311="","",INDEX(상세표[22~06시],$U311))</f>
        <v/>
      </c>
      <c r="T311">
        <f>IF($U311="","",INDEX(상세표[기록 시간외],$U311))</f>
        <v/>
      </c>
      <c r="U311" s="4">
        <f>IFERROR(MATCH(306,상세표[발송순번],0),"")</f>
        <v/>
      </c>
    </row>
    <row r="312">
      <c r="J312">
        <f>IF($U312="","",INDEX(상세표[사번],$U312)&amp;"")</f>
        <v/>
      </c>
      <c r="K312">
        <f>IF($U312="","",INDEX(상세표[성명],$U312)&amp;"")</f>
        <v/>
      </c>
      <c r="L312">
        <f>IF($U312="","",INDEX(상세표[직위],$U312)&amp;"")</f>
        <v/>
      </c>
      <c r="M312">
        <f>IF($U312="","",IF(ISNUMBER(INDEX(상세표[근무일자],$U312)),TEXT(INDEX(상세표[근무일자],$U312),"yyyy-mm-dd"),INDEX(상세표[근무일자],$U312)&amp;""))</f>
        <v/>
      </c>
      <c r="N312">
        <f>IF($U312="","",IF(ISNUMBER(INDEX(상세표[시작],$U312)),TEXT(INDEX(상세표[시작],$U312),"yyyy-mm-dd hh:mm"),INDEX(상세표[시작],$U312)&amp;""))</f>
        <v/>
      </c>
      <c r="O312">
        <f>IF($U312="","",IF(ISNUMBER(INDEX(상세표[종료],$U312)),TEXT(INDEX(상세표[종료],$U312),"yyyy-mm-dd hh:mm"),INDEX(상세표[종료],$U312)&amp;""))</f>
        <v/>
      </c>
      <c r="P312">
        <f>IF($U312="","",INDEX(상세표[06~07시],$U312))</f>
        <v/>
      </c>
      <c r="Q312">
        <f>IF($U312="","",INDEX(상세표[07~18시],$U312))</f>
        <v/>
      </c>
      <c r="R312">
        <f>IF($U312="","",INDEX(상세표[18~22시],$U312))</f>
        <v/>
      </c>
      <c r="S312">
        <f>IF($U312="","",INDEX(상세표[22~06시],$U312))</f>
        <v/>
      </c>
      <c r="T312">
        <f>IF($U312="","",INDEX(상세표[기록 시간외],$U312))</f>
        <v/>
      </c>
      <c r="U312" s="4">
        <f>IFERROR(MATCH(307,상세표[발송순번],0),"")</f>
        <v/>
      </c>
    </row>
    <row r="313">
      <c r="J313">
        <f>IF($U313="","",INDEX(상세표[사번],$U313)&amp;"")</f>
        <v/>
      </c>
      <c r="K313">
        <f>IF($U313="","",INDEX(상세표[성명],$U313)&amp;"")</f>
        <v/>
      </c>
      <c r="L313">
        <f>IF($U313="","",INDEX(상세표[직위],$U313)&amp;"")</f>
        <v/>
      </c>
      <c r="M313">
        <f>IF($U313="","",IF(ISNUMBER(INDEX(상세표[근무일자],$U313)),TEXT(INDEX(상세표[근무일자],$U313),"yyyy-mm-dd"),INDEX(상세표[근무일자],$U313)&amp;""))</f>
        <v/>
      </c>
      <c r="N313">
        <f>IF($U313="","",IF(ISNUMBER(INDEX(상세표[시작],$U313)),TEXT(INDEX(상세표[시작],$U313),"yyyy-mm-dd hh:mm"),INDEX(상세표[시작],$U313)&amp;""))</f>
        <v/>
      </c>
      <c r="O313">
        <f>IF($U313="","",IF(ISNUMBER(INDEX(상세표[종료],$U313)),TEXT(INDEX(상세표[종료],$U313),"yyyy-mm-dd hh:mm"),INDEX(상세표[종료],$U313)&amp;""))</f>
        <v/>
      </c>
      <c r="P313">
        <f>IF($U313="","",INDEX(상세표[06~07시],$U313))</f>
        <v/>
      </c>
      <c r="Q313">
        <f>IF($U313="","",INDEX(상세표[07~18시],$U313))</f>
        <v/>
      </c>
      <c r="R313">
        <f>IF($U313="","",INDEX(상세표[18~22시],$U313))</f>
        <v/>
      </c>
      <c r="S313">
        <f>IF($U313="","",INDEX(상세표[22~06시],$U313))</f>
        <v/>
      </c>
      <c r="T313">
        <f>IF($U313="","",INDEX(상세표[기록 시간외],$U313))</f>
        <v/>
      </c>
      <c r="U313" s="4">
        <f>IFERROR(MATCH(308,상세표[발송순번],0),"")</f>
        <v/>
      </c>
    </row>
    <row r="314">
      <c r="J314">
        <f>IF($U314="","",INDEX(상세표[사번],$U314)&amp;"")</f>
        <v/>
      </c>
      <c r="K314">
        <f>IF($U314="","",INDEX(상세표[성명],$U314)&amp;"")</f>
        <v/>
      </c>
      <c r="L314">
        <f>IF($U314="","",INDEX(상세표[직위],$U314)&amp;"")</f>
        <v/>
      </c>
      <c r="M314">
        <f>IF($U314="","",IF(ISNUMBER(INDEX(상세표[근무일자],$U314)),TEXT(INDEX(상세표[근무일자],$U314),"yyyy-mm-dd"),INDEX(상세표[근무일자],$U314)&amp;""))</f>
        <v/>
      </c>
      <c r="N314">
        <f>IF($U314="","",IF(ISNUMBER(INDEX(상세표[시작],$U314)),TEXT(INDEX(상세표[시작],$U314),"yyyy-mm-dd hh:mm"),INDEX(상세표[시작],$U314)&amp;""))</f>
        <v/>
      </c>
      <c r="O314">
        <f>IF($U314="","",IF(ISNUMBER(INDEX(상세표[종료],$U314)),TEXT(INDEX(상세표[종료],$U314),"yyyy-mm-dd hh:mm"),INDEX(상세표[종료],$U314)&amp;""))</f>
        <v/>
      </c>
      <c r="P314">
        <f>IF($U314="","",INDEX(상세표[06~07시],$U314))</f>
        <v/>
      </c>
      <c r="Q314">
        <f>IF($U314="","",INDEX(상세표[07~18시],$U314))</f>
        <v/>
      </c>
      <c r="R314">
        <f>IF($U314="","",INDEX(상세표[18~22시],$U314))</f>
        <v/>
      </c>
      <c r="S314">
        <f>IF($U314="","",INDEX(상세표[22~06시],$U314))</f>
        <v/>
      </c>
      <c r="T314">
        <f>IF($U314="","",INDEX(상세표[기록 시간외],$U314))</f>
        <v/>
      </c>
      <c r="U314" s="4">
        <f>IFERROR(MATCH(309,상세표[발송순번],0),"")</f>
        <v/>
      </c>
    </row>
    <row r="315">
      <c r="J315">
        <f>IF($U315="","",INDEX(상세표[사번],$U315)&amp;"")</f>
        <v/>
      </c>
      <c r="K315">
        <f>IF($U315="","",INDEX(상세표[성명],$U315)&amp;"")</f>
        <v/>
      </c>
      <c r="L315">
        <f>IF($U315="","",INDEX(상세표[직위],$U315)&amp;"")</f>
        <v/>
      </c>
      <c r="M315">
        <f>IF($U315="","",IF(ISNUMBER(INDEX(상세표[근무일자],$U315)),TEXT(INDEX(상세표[근무일자],$U315),"yyyy-mm-dd"),INDEX(상세표[근무일자],$U315)&amp;""))</f>
        <v/>
      </c>
      <c r="N315">
        <f>IF($U315="","",IF(ISNUMBER(INDEX(상세표[시작],$U315)),TEXT(INDEX(상세표[시작],$U315),"yyyy-mm-dd hh:mm"),INDEX(상세표[시작],$U315)&amp;""))</f>
        <v/>
      </c>
      <c r="O315">
        <f>IF($U315="","",IF(ISNUMBER(INDEX(상세표[종료],$U315)),TEXT(INDEX(상세표[종료],$U315),"yyyy-mm-dd hh:mm"),INDEX(상세표[종료],$U315)&amp;""))</f>
        <v/>
      </c>
      <c r="P315">
        <f>IF($U315="","",INDEX(상세표[06~07시],$U315))</f>
        <v/>
      </c>
      <c r="Q315">
        <f>IF($U315="","",INDEX(상세표[07~18시],$U315))</f>
        <v/>
      </c>
      <c r="R315">
        <f>IF($U315="","",INDEX(상세표[18~22시],$U315))</f>
        <v/>
      </c>
      <c r="S315">
        <f>IF($U315="","",INDEX(상세표[22~06시],$U315))</f>
        <v/>
      </c>
      <c r="T315">
        <f>IF($U315="","",INDEX(상세표[기록 시간외],$U315))</f>
        <v/>
      </c>
      <c r="U315" s="4">
        <f>IFERROR(MATCH(310,상세표[발송순번],0),"")</f>
        <v/>
      </c>
    </row>
    <row r="316">
      <c r="J316">
        <f>IF($U316="","",INDEX(상세표[사번],$U316)&amp;"")</f>
        <v/>
      </c>
      <c r="K316">
        <f>IF($U316="","",INDEX(상세표[성명],$U316)&amp;"")</f>
        <v/>
      </c>
      <c r="L316">
        <f>IF($U316="","",INDEX(상세표[직위],$U316)&amp;"")</f>
        <v/>
      </c>
      <c r="M316">
        <f>IF($U316="","",IF(ISNUMBER(INDEX(상세표[근무일자],$U316)),TEXT(INDEX(상세표[근무일자],$U316),"yyyy-mm-dd"),INDEX(상세표[근무일자],$U316)&amp;""))</f>
        <v/>
      </c>
      <c r="N316">
        <f>IF($U316="","",IF(ISNUMBER(INDEX(상세표[시작],$U316)),TEXT(INDEX(상세표[시작],$U316),"yyyy-mm-dd hh:mm"),INDEX(상세표[시작],$U316)&amp;""))</f>
        <v/>
      </c>
      <c r="O316">
        <f>IF($U316="","",IF(ISNUMBER(INDEX(상세표[종료],$U316)),TEXT(INDEX(상세표[종료],$U316),"yyyy-mm-dd hh:mm"),INDEX(상세표[종료],$U316)&amp;""))</f>
        <v/>
      </c>
      <c r="P316">
        <f>IF($U316="","",INDEX(상세표[06~07시],$U316))</f>
        <v/>
      </c>
      <c r="Q316">
        <f>IF($U316="","",INDEX(상세표[07~18시],$U316))</f>
        <v/>
      </c>
      <c r="R316">
        <f>IF($U316="","",INDEX(상세표[18~22시],$U316))</f>
        <v/>
      </c>
      <c r="S316">
        <f>IF($U316="","",INDEX(상세표[22~06시],$U316))</f>
        <v/>
      </c>
      <c r="T316">
        <f>IF($U316="","",INDEX(상세표[기록 시간외],$U316))</f>
        <v/>
      </c>
      <c r="U316" s="4">
        <f>IFERROR(MATCH(311,상세표[발송순번],0),"")</f>
        <v/>
      </c>
    </row>
    <row r="317">
      <c r="J317">
        <f>IF($U317="","",INDEX(상세표[사번],$U317)&amp;"")</f>
        <v/>
      </c>
      <c r="K317">
        <f>IF($U317="","",INDEX(상세표[성명],$U317)&amp;"")</f>
        <v/>
      </c>
      <c r="L317">
        <f>IF($U317="","",INDEX(상세표[직위],$U317)&amp;"")</f>
        <v/>
      </c>
      <c r="M317">
        <f>IF($U317="","",IF(ISNUMBER(INDEX(상세표[근무일자],$U317)),TEXT(INDEX(상세표[근무일자],$U317),"yyyy-mm-dd"),INDEX(상세표[근무일자],$U317)&amp;""))</f>
        <v/>
      </c>
      <c r="N317">
        <f>IF($U317="","",IF(ISNUMBER(INDEX(상세표[시작],$U317)),TEXT(INDEX(상세표[시작],$U317),"yyyy-mm-dd hh:mm"),INDEX(상세표[시작],$U317)&amp;""))</f>
        <v/>
      </c>
      <c r="O317">
        <f>IF($U317="","",IF(ISNUMBER(INDEX(상세표[종료],$U317)),TEXT(INDEX(상세표[종료],$U317),"yyyy-mm-dd hh:mm"),INDEX(상세표[종료],$U317)&amp;""))</f>
        <v/>
      </c>
      <c r="P317">
        <f>IF($U317="","",INDEX(상세표[06~07시],$U317))</f>
        <v/>
      </c>
      <c r="Q317">
        <f>IF($U317="","",INDEX(상세표[07~18시],$U317))</f>
        <v/>
      </c>
      <c r="R317">
        <f>IF($U317="","",INDEX(상세표[18~22시],$U317))</f>
        <v/>
      </c>
      <c r="S317">
        <f>IF($U317="","",INDEX(상세표[22~06시],$U317))</f>
        <v/>
      </c>
      <c r="T317">
        <f>IF($U317="","",INDEX(상세표[기록 시간외],$U317))</f>
        <v/>
      </c>
      <c r="U317" s="4">
        <f>IFERROR(MATCH(312,상세표[발송순번],0),"")</f>
        <v/>
      </c>
    </row>
    <row r="318">
      <c r="J318">
        <f>IF($U318="","",INDEX(상세표[사번],$U318)&amp;"")</f>
        <v/>
      </c>
      <c r="K318">
        <f>IF($U318="","",INDEX(상세표[성명],$U318)&amp;"")</f>
        <v/>
      </c>
      <c r="L318">
        <f>IF($U318="","",INDEX(상세표[직위],$U318)&amp;"")</f>
        <v/>
      </c>
      <c r="M318">
        <f>IF($U318="","",IF(ISNUMBER(INDEX(상세표[근무일자],$U318)),TEXT(INDEX(상세표[근무일자],$U318),"yyyy-mm-dd"),INDEX(상세표[근무일자],$U318)&amp;""))</f>
        <v/>
      </c>
      <c r="N318">
        <f>IF($U318="","",IF(ISNUMBER(INDEX(상세표[시작],$U318)),TEXT(INDEX(상세표[시작],$U318),"yyyy-mm-dd hh:mm"),INDEX(상세표[시작],$U318)&amp;""))</f>
        <v/>
      </c>
      <c r="O318">
        <f>IF($U318="","",IF(ISNUMBER(INDEX(상세표[종료],$U318)),TEXT(INDEX(상세표[종료],$U318),"yyyy-mm-dd hh:mm"),INDEX(상세표[종료],$U318)&amp;""))</f>
        <v/>
      </c>
      <c r="P318">
        <f>IF($U318="","",INDEX(상세표[06~07시],$U318))</f>
        <v/>
      </c>
      <c r="Q318">
        <f>IF($U318="","",INDEX(상세표[07~18시],$U318))</f>
        <v/>
      </c>
      <c r="R318">
        <f>IF($U318="","",INDEX(상세표[18~22시],$U318))</f>
        <v/>
      </c>
      <c r="S318">
        <f>IF($U318="","",INDEX(상세표[22~06시],$U318))</f>
        <v/>
      </c>
      <c r="T318">
        <f>IF($U318="","",INDEX(상세표[기록 시간외],$U318))</f>
        <v/>
      </c>
      <c r="U318" s="4">
        <f>IFERROR(MATCH(313,상세표[발송순번],0),"")</f>
        <v/>
      </c>
    </row>
    <row r="319">
      <c r="J319">
        <f>IF($U319="","",INDEX(상세표[사번],$U319)&amp;"")</f>
        <v/>
      </c>
      <c r="K319">
        <f>IF($U319="","",INDEX(상세표[성명],$U319)&amp;"")</f>
        <v/>
      </c>
      <c r="L319">
        <f>IF($U319="","",INDEX(상세표[직위],$U319)&amp;"")</f>
        <v/>
      </c>
      <c r="M319">
        <f>IF($U319="","",IF(ISNUMBER(INDEX(상세표[근무일자],$U319)),TEXT(INDEX(상세표[근무일자],$U319),"yyyy-mm-dd"),INDEX(상세표[근무일자],$U319)&amp;""))</f>
        <v/>
      </c>
      <c r="N319">
        <f>IF($U319="","",IF(ISNUMBER(INDEX(상세표[시작],$U319)),TEXT(INDEX(상세표[시작],$U319),"yyyy-mm-dd hh:mm"),INDEX(상세표[시작],$U319)&amp;""))</f>
        <v/>
      </c>
      <c r="O319">
        <f>IF($U319="","",IF(ISNUMBER(INDEX(상세표[종료],$U319)),TEXT(INDEX(상세표[종료],$U319),"yyyy-mm-dd hh:mm"),INDEX(상세표[종료],$U319)&amp;""))</f>
        <v/>
      </c>
      <c r="P319">
        <f>IF($U319="","",INDEX(상세표[06~07시],$U319))</f>
        <v/>
      </c>
      <c r="Q319">
        <f>IF($U319="","",INDEX(상세표[07~18시],$U319))</f>
        <v/>
      </c>
      <c r="R319">
        <f>IF($U319="","",INDEX(상세표[18~22시],$U319))</f>
        <v/>
      </c>
      <c r="S319">
        <f>IF($U319="","",INDEX(상세표[22~06시],$U319))</f>
        <v/>
      </c>
      <c r="T319">
        <f>IF($U319="","",INDEX(상세표[기록 시간외],$U319))</f>
        <v/>
      </c>
      <c r="U319" s="4">
        <f>IFERROR(MATCH(314,상세표[발송순번],0),"")</f>
        <v/>
      </c>
    </row>
    <row r="320">
      <c r="J320">
        <f>IF($U320="","",INDEX(상세표[사번],$U320)&amp;"")</f>
        <v/>
      </c>
      <c r="K320">
        <f>IF($U320="","",INDEX(상세표[성명],$U320)&amp;"")</f>
        <v/>
      </c>
      <c r="L320">
        <f>IF($U320="","",INDEX(상세표[직위],$U320)&amp;"")</f>
        <v/>
      </c>
      <c r="M320">
        <f>IF($U320="","",IF(ISNUMBER(INDEX(상세표[근무일자],$U320)),TEXT(INDEX(상세표[근무일자],$U320),"yyyy-mm-dd"),INDEX(상세표[근무일자],$U320)&amp;""))</f>
        <v/>
      </c>
      <c r="N320">
        <f>IF($U320="","",IF(ISNUMBER(INDEX(상세표[시작],$U320)),TEXT(INDEX(상세표[시작],$U320),"yyyy-mm-dd hh:mm"),INDEX(상세표[시작],$U320)&amp;""))</f>
        <v/>
      </c>
      <c r="O320">
        <f>IF($U320="","",IF(ISNUMBER(INDEX(상세표[종료],$U320)),TEXT(INDEX(상세표[종료],$U320),"yyyy-mm-dd hh:mm"),INDEX(상세표[종료],$U320)&amp;""))</f>
        <v/>
      </c>
      <c r="P320">
        <f>IF($U320="","",INDEX(상세표[06~07시],$U320))</f>
        <v/>
      </c>
      <c r="Q320">
        <f>IF($U320="","",INDEX(상세표[07~18시],$U320))</f>
        <v/>
      </c>
      <c r="R320">
        <f>IF($U320="","",INDEX(상세표[18~22시],$U320))</f>
        <v/>
      </c>
      <c r="S320">
        <f>IF($U320="","",INDEX(상세표[22~06시],$U320))</f>
        <v/>
      </c>
      <c r="T320">
        <f>IF($U320="","",INDEX(상세표[기록 시간외],$U320))</f>
        <v/>
      </c>
      <c r="U320" s="4">
        <f>IFERROR(MATCH(315,상세표[발송순번],0),"")</f>
        <v/>
      </c>
    </row>
    <row r="321">
      <c r="J321">
        <f>IF($U321="","",INDEX(상세표[사번],$U321)&amp;"")</f>
        <v/>
      </c>
      <c r="K321">
        <f>IF($U321="","",INDEX(상세표[성명],$U321)&amp;"")</f>
        <v/>
      </c>
      <c r="L321">
        <f>IF($U321="","",INDEX(상세표[직위],$U321)&amp;"")</f>
        <v/>
      </c>
      <c r="M321">
        <f>IF($U321="","",IF(ISNUMBER(INDEX(상세표[근무일자],$U321)),TEXT(INDEX(상세표[근무일자],$U321),"yyyy-mm-dd"),INDEX(상세표[근무일자],$U321)&amp;""))</f>
        <v/>
      </c>
      <c r="N321">
        <f>IF($U321="","",IF(ISNUMBER(INDEX(상세표[시작],$U321)),TEXT(INDEX(상세표[시작],$U321),"yyyy-mm-dd hh:mm"),INDEX(상세표[시작],$U321)&amp;""))</f>
        <v/>
      </c>
      <c r="O321">
        <f>IF($U321="","",IF(ISNUMBER(INDEX(상세표[종료],$U321)),TEXT(INDEX(상세표[종료],$U321),"yyyy-mm-dd hh:mm"),INDEX(상세표[종료],$U321)&amp;""))</f>
        <v/>
      </c>
      <c r="P321">
        <f>IF($U321="","",INDEX(상세표[06~07시],$U321))</f>
        <v/>
      </c>
      <c r="Q321">
        <f>IF($U321="","",INDEX(상세표[07~18시],$U321))</f>
        <v/>
      </c>
      <c r="R321">
        <f>IF($U321="","",INDEX(상세표[18~22시],$U321))</f>
        <v/>
      </c>
      <c r="S321">
        <f>IF($U321="","",INDEX(상세표[22~06시],$U321))</f>
        <v/>
      </c>
      <c r="T321">
        <f>IF($U321="","",INDEX(상세표[기록 시간외],$U321))</f>
        <v/>
      </c>
      <c r="U321" s="4">
        <f>IFERROR(MATCH(316,상세표[발송순번],0),"")</f>
        <v/>
      </c>
    </row>
    <row r="322">
      <c r="J322">
        <f>IF($U322="","",INDEX(상세표[사번],$U322)&amp;"")</f>
        <v/>
      </c>
      <c r="K322">
        <f>IF($U322="","",INDEX(상세표[성명],$U322)&amp;"")</f>
        <v/>
      </c>
      <c r="L322">
        <f>IF($U322="","",INDEX(상세표[직위],$U322)&amp;"")</f>
        <v/>
      </c>
      <c r="M322">
        <f>IF($U322="","",IF(ISNUMBER(INDEX(상세표[근무일자],$U322)),TEXT(INDEX(상세표[근무일자],$U322),"yyyy-mm-dd"),INDEX(상세표[근무일자],$U322)&amp;""))</f>
        <v/>
      </c>
      <c r="N322">
        <f>IF($U322="","",IF(ISNUMBER(INDEX(상세표[시작],$U322)),TEXT(INDEX(상세표[시작],$U322),"yyyy-mm-dd hh:mm"),INDEX(상세표[시작],$U322)&amp;""))</f>
        <v/>
      </c>
      <c r="O322">
        <f>IF($U322="","",IF(ISNUMBER(INDEX(상세표[종료],$U322)),TEXT(INDEX(상세표[종료],$U322),"yyyy-mm-dd hh:mm"),INDEX(상세표[종료],$U322)&amp;""))</f>
        <v/>
      </c>
      <c r="P322">
        <f>IF($U322="","",INDEX(상세표[06~07시],$U322))</f>
        <v/>
      </c>
      <c r="Q322">
        <f>IF($U322="","",INDEX(상세표[07~18시],$U322))</f>
        <v/>
      </c>
      <c r="R322">
        <f>IF($U322="","",INDEX(상세표[18~22시],$U322))</f>
        <v/>
      </c>
      <c r="S322">
        <f>IF($U322="","",INDEX(상세표[22~06시],$U322))</f>
        <v/>
      </c>
      <c r="T322">
        <f>IF($U322="","",INDEX(상세표[기록 시간외],$U322))</f>
        <v/>
      </c>
      <c r="U322" s="4">
        <f>IFERROR(MATCH(317,상세표[발송순번],0),"")</f>
        <v/>
      </c>
    </row>
    <row r="323">
      <c r="J323">
        <f>IF($U323="","",INDEX(상세표[사번],$U323)&amp;"")</f>
        <v/>
      </c>
      <c r="K323">
        <f>IF($U323="","",INDEX(상세표[성명],$U323)&amp;"")</f>
        <v/>
      </c>
      <c r="L323">
        <f>IF($U323="","",INDEX(상세표[직위],$U323)&amp;"")</f>
        <v/>
      </c>
      <c r="M323">
        <f>IF($U323="","",IF(ISNUMBER(INDEX(상세표[근무일자],$U323)),TEXT(INDEX(상세표[근무일자],$U323),"yyyy-mm-dd"),INDEX(상세표[근무일자],$U323)&amp;""))</f>
        <v/>
      </c>
      <c r="N323">
        <f>IF($U323="","",IF(ISNUMBER(INDEX(상세표[시작],$U323)),TEXT(INDEX(상세표[시작],$U323),"yyyy-mm-dd hh:mm"),INDEX(상세표[시작],$U323)&amp;""))</f>
        <v/>
      </c>
      <c r="O323">
        <f>IF($U323="","",IF(ISNUMBER(INDEX(상세표[종료],$U323)),TEXT(INDEX(상세표[종료],$U323),"yyyy-mm-dd hh:mm"),INDEX(상세표[종료],$U323)&amp;""))</f>
        <v/>
      </c>
      <c r="P323">
        <f>IF($U323="","",INDEX(상세표[06~07시],$U323))</f>
        <v/>
      </c>
      <c r="Q323">
        <f>IF($U323="","",INDEX(상세표[07~18시],$U323))</f>
        <v/>
      </c>
      <c r="R323">
        <f>IF($U323="","",INDEX(상세표[18~22시],$U323))</f>
        <v/>
      </c>
      <c r="S323">
        <f>IF($U323="","",INDEX(상세표[22~06시],$U323))</f>
        <v/>
      </c>
      <c r="T323">
        <f>IF($U323="","",INDEX(상세표[기록 시간외],$U323))</f>
        <v/>
      </c>
      <c r="U323" s="4">
        <f>IFERROR(MATCH(318,상세표[발송순번],0),"")</f>
        <v/>
      </c>
    </row>
    <row r="324">
      <c r="J324">
        <f>IF($U324="","",INDEX(상세표[사번],$U324)&amp;"")</f>
        <v/>
      </c>
      <c r="K324">
        <f>IF($U324="","",INDEX(상세표[성명],$U324)&amp;"")</f>
        <v/>
      </c>
      <c r="L324">
        <f>IF($U324="","",INDEX(상세표[직위],$U324)&amp;"")</f>
        <v/>
      </c>
      <c r="M324">
        <f>IF($U324="","",IF(ISNUMBER(INDEX(상세표[근무일자],$U324)),TEXT(INDEX(상세표[근무일자],$U324),"yyyy-mm-dd"),INDEX(상세표[근무일자],$U324)&amp;""))</f>
        <v/>
      </c>
      <c r="N324">
        <f>IF($U324="","",IF(ISNUMBER(INDEX(상세표[시작],$U324)),TEXT(INDEX(상세표[시작],$U324),"yyyy-mm-dd hh:mm"),INDEX(상세표[시작],$U324)&amp;""))</f>
        <v/>
      </c>
      <c r="O324">
        <f>IF($U324="","",IF(ISNUMBER(INDEX(상세표[종료],$U324)),TEXT(INDEX(상세표[종료],$U324),"yyyy-mm-dd hh:mm"),INDEX(상세표[종료],$U324)&amp;""))</f>
        <v/>
      </c>
      <c r="P324">
        <f>IF($U324="","",INDEX(상세표[06~07시],$U324))</f>
        <v/>
      </c>
      <c r="Q324">
        <f>IF($U324="","",INDEX(상세표[07~18시],$U324))</f>
        <v/>
      </c>
      <c r="R324">
        <f>IF($U324="","",INDEX(상세표[18~22시],$U324))</f>
        <v/>
      </c>
      <c r="S324">
        <f>IF($U324="","",INDEX(상세표[22~06시],$U324))</f>
        <v/>
      </c>
      <c r="T324">
        <f>IF($U324="","",INDEX(상세표[기록 시간외],$U324))</f>
        <v/>
      </c>
      <c r="U324" s="4">
        <f>IFERROR(MATCH(319,상세표[발송순번],0),"")</f>
        <v/>
      </c>
    </row>
    <row r="325">
      <c r="J325">
        <f>IF($U325="","",INDEX(상세표[사번],$U325)&amp;"")</f>
        <v/>
      </c>
      <c r="K325">
        <f>IF($U325="","",INDEX(상세표[성명],$U325)&amp;"")</f>
        <v/>
      </c>
      <c r="L325">
        <f>IF($U325="","",INDEX(상세표[직위],$U325)&amp;"")</f>
        <v/>
      </c>
      <c r="M325">
        <f>IF($U325="","",IF(ISNUMBER(INDEX(상세표[근무일자],$U325)),TEXT(INDEX(상세표[근무일자],$U325),"yyyy-mm-dd"),INDEX(상세표[근무일자],$U325)&amp;""))</f>
        <v/>
      </c>
      <c r="N325">
        <f>IF($U325="","",IF(ISNUMBER(INDEX(상세표[시작],$U325)),TEXT(INDEX(상세표[시작],$U325),"yyyy-mm-dd hh:mm"),INDEX(상세표[시작],$U325)&amp;""))</f>
        <v/>
      </c>
      <c r="O325">
        <f>IF($U325="","",IF(ISNUMBER(INDEX(상세표[종료],$U325)),TEXT(INDEX(상세표[종료],$U325),"yyyy-mm-dd hh:mm"),INDEX(상세표[종료],$U325)&amp;""))</f>
        <v/>
      </c>
      <c r="P325">
        <f>IF($U325="","",INDEX(상세표[06~07시],$U325))</f>
        <v/>
      </c>
      <c r="Q325">
        <f>IF($U325="","",INDEX(상세표[07~18시],$U325))</f>
        <v/>
      </c>
      <c r="R325">
        <f>IF($U325="","",INDEX(상세표[18~22시],$U325))</f>
        <v/>
      </c>
      <c r="S325">
        <f>IF($U325="","",INDEX(상세표[22~06시],$U325))</f>
        <v/>
      </c>
      <c r="T325">
        <f>IF($U325="","",INDEX(상세표[기록 시간외],$U325))</f>
        <v/>
      </c>
      <c r="U325" s="4">
        <f>IFERROR(MATCH(320,상세표[발송순번],0),"")</f>
        <v/>
      </c>
    </row>
    <row r="326">
      <c r="J326">
        <f>IF($U326="","",INDEX(상세표[사번],$U326)&amp;"")</f>
        <v/>
      </c>
      <c r="K326">
        <f>IF($U326="","",INDEX(상세표[성명],$U326)&amp;"")</f>
        <v/>
      </c>
      <c r="L326">
        <f>IF($U326="","",INDEX(상세표[직위],$U326)&amp;"")</f>
        <v/>
      </c>
      <c r="M326">
        <f>IF($U326="","",IF(ISNUMBER(INDEX(상세표[근무일자],$U326)),TEXT(INDEX(상세표[근무일자],$U326),"yyyy-mm-dd"),INDEX(상세표[근무일자],$U326)&amp;""))</f>
        <v/>
      </c>
      <c r="N326">
        <f>IF($U326="","",IF(ISNUMBER(INDEX(상세표[시작],$U326)),TEXT(INDEX(상세표[시작],$U326),"yyyy-mm-dd hh:mm"),INDEX(상세표[시작],$U326)&amp;""))</f>
        <v/>
      </c>
      <c r="O326">
        <f>IF($U326="","",IF(ISNUMBER(INDEX(상세표[종료],$U326)),TEXT(INDEX(상세표[종료],$U326),"yyyy-mm-dd hh:mm"),INDEX(상세표[종료],$U326)&amp;""))</f>
        <v/>
      </c>
      <c r="P326">
        <f>IF($U326="","",INDEX(상세표[06~07시],$U326))</f>
        <v/>
      </c>
      <c r="Q326">
        <f>IF($U326="","",INDEX(상세표[07~18시],$U326))</f>
        <v/>
      </c>
      <c r="R326">
        <f>IF($U326="","",INDEX(상세표[18~22시],$U326))</f>
        <v/>
      </c>
      <c r="S326">
        <f>IF($U326="","",INDEX(상세표[22~06시],$U326))</f>
        <v/>
      </c>
      <c r="T326">
        <f>IF($U326="","",INDEX(상세표[기록 시간외],$U326))</f>
        <v/>
      </c>
      <c r="U326" s="4">
        <f>IFERROR(MATCH(321,상세표[발송순번],0),"")</f>
        <v/>
      </c>
    </row>
    <row r="327">
      <c r="J327">
        <f>IF($U327="","",INDEX(상세표[사번],$U327)&amp;"")</f>
        <v/>
      </c>
      <c r="K327">
        <f>IF($U327="","",INDEX(상세표[성명],$U327)&amp;"")</f>
        <v/>
      </c>
      <c r="L327">
        <f>IF($U327="","",INDEX(상세표[직위],$U327)&amp;"")</f>
        <v/>
      </c>
      <c r="M327">
        <f>IF($U327="","",IF(ISNUMBER(INDEX(상세표[근무일자],$U327)),TEXT(INDEX(상세표[근무일자],$U327),"yyyy-mm-dd"),INDEX(상세표[근무일자],$U327)&amp;""))</f>
        <v/>
      </c>
      <c r="N327">
        <f>IF($U327="","",IF(ISNUMBER(INDEX(상세표[시작],$U327)),TEXT(INDEX(상세표[시작],$U327),"yyyy-mm-dd hh:mm"),INDEX(상세표[시작],$U327)&amp;""))</f>
        <v/>
      </c>
      <c r="O327">
        <f>IF($U327="","",IF(ISNUMBER(INDEX(상세표[종료],$U327)),TEXT(INDEX(상세표[종료],$U327),"yyyy-mm-dd hh:mm"),INDEX(상세표[종료],$U327)&amp;""))</f>
        <v/>
      </c>
      <c r="P327">
        <f>IF($U327="","",INDEX(상세표[06~07시],$U327))</f>
        <v/>
      </c>
      <c r="Q327">
        <f>IF($U327="","",INDEX(상세표[07~18시],$U327))</f>
        <v/>
      </c>
      <c r="R327">
        <f>IF($U327="","",INDEX(상세표[18~22시],$U327))</f>
        <v/>
      </c>
      <c r="S327">
        <f>IF($U327="","",INDEX(상세표[22~06시],$U327))</f>
        <v/>
      </c>
      <c r="T327">
        <f>IF($U327="","",INDEX(상세표[기록 시간외],$U327))</f>
        <v/>
      </c>
      <c r="U327" s="4">
        <f>IFERROR(MATCH(322,상세표[발송순번],0),"")</f>
        <v/>
      </c>
    </row>
    <row r="328">
      <c r="J328">
        <f>IF($U328="","",INDEX(상세표[사번],$U328)&amp;"")</f>
        <v/>
      </c>
      <c r="K328">
        <f>IF($U328="","",INDEX(상세표[성명],$U328)&amp;"")</f>
        <v/>
      </c>
      <c r="L328">
        <f>IF($U328="","",INDEX(상세표[직위],$U328)&amp;"")</f>
        <v/>
      </c>
      <c r="M328">
        <f>IF($U328="","",IF(ISNUMBER(INDEX(상세표[근무일자],$U328)),TEXT(INDEX(상세표[근무일자],$U328),"yyyy-mm-dd"),INDEX(상세표[근무일자],$U328)&amp;""))</f>
        <v/>
      </c>
      <c r="N328">
        <f>IF($U328="","",IF(ISNUMBER(INDEX(상세표[시작],$U328)),TEXT(INDEX(상세표[시작],$U328),"yyyy-mm-dd hh:mm"),INDEX(상세표[시작],$U328)&amp;""))</f>
        <v/>
      </c>
      <c r="O328">
        <f>IF($U328="","",IF(ISNUMBER(INDEX(상세표[종료],$U328)),TEXT(INDEX(상세표[종료],$U328),"yyyy-mm-dd hh:mm"),INDEX(상세표[종료],$U328)&amp;""))</f>
        <v/>
      </c>
      <c r="P328">
        <f>IF($U328="","",INDEX(상세표[06~07시],$U328))</f>
        <v/>
      </c>
      <c r="Q328">
        <f>IF($U328="","",INDEX(상세표[07~18시],$U328))</f>
        <v/>
      </c>
      <c r="R328">
        <f>IF($U328="","",INDEX(상세표[18~22시],$U328))</f>
        <v/>
      </c>
      <c r="S328">
        <f>IF($U328="","",INDEX(상세표[22~06시],$U328))</f>
        <v/>
      </c>
      <c r="T328">
        <f>IF($U328="","",INDEX(상세표[기록 시간외],$U328))</f>
        <v/>
      </c>
      <c r="U328" s="4">
        <f>IFERROR(MATCH(323,상세표[발송순번],0),"")</f>
        <v/>
      </c>
    </row>
    <row r="329">
      <c r="J329">
        <f>IF($U329="","",INDEX(상세표[사번],$U329)&amp;"")</f>
        <v/>
      </c>
      <c r="K329">
        <f>IF($U329="","",INDEX(상세표[성명],$U329)&amp;"")</f>
        <v/>
      </c>
      <c r="L329">
        <f>IF($U329="","",INDEX(상세표[직위],$U329)&amp;"")</f>
        <v/>
      </c>
      <c r="M329">
        <f>IF($U329="","",IF(ISNUMBER(INDEX(상세표[근무일자],$U329)),TEXT(INDEX(상세표[근무일자],$U329),"yyyy-mm-dd"),INDEX(상세표[근무일자],$U329)&amp;""))</f>
        <v/>
      </c>
      <c r="N329">
        <f>IF($U329="","",IF(ISNUMBER(INDEX(상세표[시작],$U329)),TEXT(INDEX(상세표[시작],$U329),"yyyy-mm-dd hh:mm"),INDEX(상세표[시작],$U329)&amp;""))</f>
        <v/>
      </c>
      <c r="O329">
        <f>IF($U329="","",IF(ISNUMBER(INDEX(상세표[종료],$U329)),TEXT(INDEX(상세표[종료],$U329),"yyyy-mm-dd hh:mm"),INDEX(상세표[종료],$U329)&amp;""))</f>
        <v/>
      </c>
      <c r="P329">
        <f>IF($U329="","",INDEX(상세표[06~07시],$U329))</f>
        <v/>
      </c>
      <c r="Q329">
        <f>IF($U329="","",INDEX(상세표[07~18시],$U329))</f>
        <v/>
      </c>
      <c r="R329">
        <f>IF($U329="","",INDEX(상세표[18~22시],$U329))</f>
        <v/>
      </c>
      <c r="S329">
        <f>IF($U329="","",INDEX(상세표[22~06시],$U329))</f>
        <v/>
      </c>
      <c r="T329">
        <f>IF($U329="","",INDEX(상세표[기록 시간외],$U329))</f>
        <v/>
      </c>
      <c r="U329" s="4">
        <f>IFERROR(MATCH(324,상세표[발송순번],0),"")</f>
        <v/>
      </c>
    </row>
    <row r="330">
      <c r="J330">
        <f>IF($U330="","",INDEX(상세표[사번],$U330)&amp;"")</f>
        <v/>
      </c>
      <c r="K330">
        <f>IF($U330="","",INDEX(상세표[성명],$U330)&amp;"")</f>
        <v/>
      </c>
      <c r="L330">
        <f>IF($U330="","",INDEX(상세표[직위],$U330)&amp;"")</f>
        <v/>
      </c>
      <c r="M330">
        <f>IF($U330="","",IF(ISNUMBER(INDEX(상세표[근무일자],$U330)),TEXT(INDEX(상세표[근무일자],$U330),"yyyy-mm-dd"),INDEX(상세표[근무일자],$U330)&amp;""))</f>
        <v/>
      </c>
      <c r="N330">
        <f>IF($U330="","",IF(ISNUMBER(INDEX(상세표[시작],$U330)),TEXT(INDEX(상세표[시작],$U330),"yyyy-mm-dd hh:mm"),INDEX(상세표[시작],$U330)&amp;""))</f>
        <v/>
      </c>
      <c r="O330">
        <f>IF($U330="","",IF(ISNUMBER(INDEX(상세표[종료],$U330)),TEXT(INDEX(상세표[종료],$U330),"yyyy-mm-dd hh:mm"),INDEX(상세표[종료],$U330)&amp;""))</f>
        <v/>
      </c>
      <c r="P330">
        <f>IF($U330="","",INDEX(상세표[06~07시],$U330))</f>
        <v/>
      </c>
      <c r="Q330">
        <f>IF($U330="","",INDEX(상세표[07~18시],$U330))</f>
        <v/>
      </c>
      <c r="R330">
        <f>IF($U330="","",INDEX(상세표[18~22시],$U330))</f>
        <v/>
      </c>
      <c r="S330">
        <f>IF($U330="","",INDEX(상세표[22~06시],$U330))</f>
        <v/>
      </c>
      <c r="T330">
        <f>IF($U330="","",INDEX(상세표[기록 시간외],$U330))</f>
        <v/>
      </c>
      <c r="U330" s="4">
        <f>IFERROR(MATCH(325,상세표[발송순번],0),"")</f>
        <v/>
      </c>
    </row>
    <row r="331">
      <c r="J331">
        <f>IF($U331="","",INDEX(상세표[사번],$U331)&amp;"")</f>
        <v/>
      </c>
      <c r="K331">
        <f>IF($U331="","",INDEX(상세표[성명],$U331)&amp;"")</f>
        <v/>
      </c>
      <c r="L331">
        <f>IF($U331="","",INDEX(상세표[직위],$U331)&amp;"")</f>
        <v/>
      </c>
      <c r="M331">
        <f>IF($U331="","",IF(ISNUMBER(INDEX(상세표[근무일자],$U331)),TEXT(INDEX(상세표[근무일자],$U331),"yyyy-mm-dd"),INDEX(상세표[근무일자],$U331)&amp;""))</f>
        <v/>
      </c>
      <c r="N331">
        <f>IF($U331="","",IF(ISNUMBER(INDEX(상세표[시작],$U331)),TEXT(INDEX(상세표[시작],$U331),"yyyy-mm-dd hh:mm"),INDEX(상세표[시작],$U331)&amp;""))</f>
        <v/>
      </c>
      <c r="O331">
        <f>IF($U331="","",IF(ISNUMBER(INDEX(상세표[종료],$U331)),TEXT(INDEX(상세표[종료],$U331),"yyyy-mm-dd hh:mm"),INDEX(상세표[종료],$U331)&amp;""))</f>
        <v/>
      </c>
      <c r="P331">
        <f>IF($U331="","",INDEX(상세표[06~07시],$U331))</f>
        <v/>
      </c>
      <c r="Q331">
        <f>IF($U331="","",INDEX(상세표[07~18시],$U331))</f>
        <v/>
      </c>
      <c r="R331">
        <f>IF($U331="","",INDEX(상세표[18~22시],$U331))</f>
        <v/>
      </c>
      <c r="S331">
        <f>IF($U331="","",INDEX(상세표[22~06시],$U331))</f>
        <v/>
      </c>
      <c r="T331">
        <f>IF($U331="","",INDEX(상세표[기록 시간외],$U331))</f>
        <v/>
      </c>
      <c r="U331" s="4">
        <f>IFERROR(MATCH(326,상세표[발송순번],0),"")</f>
        <v/>
      </c>
    </row>
    <row r="332">
      <c r="J332">
        <f>IF($U332="","",INDEX(상세표[사번],$U332)&amp;"")</f>
        <v/>
      </c>
      <c r="K332">
        <f>IF($U332="","",INDEX(상세표[성명],$U332)&amp;"")</f>
        <v/>
      </c>
      <c r="L332">
        <f>IF($U332="","",INDEX(상세표[직위],$U332)&amp;"")</f>
        <v/>
      </c>
      <c r="M332">
        <f>IF($U332="","",IF(ISNUMBER(INDEX(상세표[근무일자],$U332)),TEXT(INDEX(상세표[근무일자],$U332),"yyyy-mm-dd"),INDEX(상세표[근무일자],$U332)&amp;""))</f>
        <v/>
      </c>
      <c r="N332">
        <f>IF($U332="","",IF(ISNUMBER(INDEX(상세표[시작],$U332)),TEXT(INDEX(상세표[시작],$U332),"yyyy-mm-dd hh:mm"),INDEX(상세표[시작],$U332)&amp;""))</f>
        <v/>
      </c>
      <c r="O332">
        <f>IF($U332="","",IF(ISNUMBER(INDEX(상세표[종료],$U332)),TEXT(INDEX(상세표[종료],$U332),"yyyy-mm-dd hh:mm"),INDEX(상세표[종료],$U332)&amp;""))</f>
        <v/>
      </c>
      <c r="P332">
        <f>IF($U332="","",INDEX(상세표[06~07시],$U332))</f>
        <v/>
      </c>
      <c r="Q332">
        <f>IF($U332="","",INDEX(상세표[07~18시],$U332))</f>
        <v/>
      </c>
      <c r="R332">
        <f>IF($U332="","",INDEX(상세표[18~22시],$U332))</f>
        <v/>
      </c>
      <c r="S332">
        <f>IF($U332="","",INDEX(상세표[22~06시],$U332))</f>
        <v/>
      </c>
      <c r="T332">
        <f>IF($U332="","",INDEX(상세표[기록 시간외],$U332))</f>
        <v/>
      </c>
      <c r="U332" s="4">
        <f>IFERROR(MATCH(327,상세표[발송순번],0),"")</f>
        <v/>
      </c>
    </row>
    <row r="333">
      <c r="J333">
        <f>IF($U333="","",INDEX(상세표[사번],$U333)&amp;"")</f>
        <v/>
      </c>
      <c r="K333">
        <f>IF($U333="","",INDEX(상세표[성명],$U333)&amp;"")</f>
        <v/>
      </c>
      <c r="L333">
        <f>IF($U333="","",INDEX(상세표[직위],$U333)&amp;"")</f>
        <v/>
      </c>
      <c r="M333">
        <f>IF($U333="","",IF(ISNUMBER(INDEX(상세표[근무일자],$U333)),TEXT(INDEX(상세표[근무일자],$U333),"yyyy-mm-dd"),INDEX(상세표[근무일자],$U333)&amp;""))</f>
        <v/>
      </c>
      <c r="N333">
        <f>IF($U333="","",IF(ISNUMBER(INDEX(상세표[시작],$U333)),TEXT(INDEX(상세표[시작],$U333),"yyyy-mm-dd hh:mm"),INDEX(상세표[시작],$U333)&amp;""))</f>
        <v/>
      </c>
      <c r="O333">
        <f>IF($U333="","",IF(ISNUMBER(INDEX(상세표[종료],$U333)),TEXT(INDEX(상세표[종료],$U333),"yyyy-mm-dd hh:mm"),INDEX(상세표[종료],$U333)&amp;""))</f>
        <v/>
      </c>
      <c r="P333">
        <f>IF($U333="","",INDEX(상세표[06~07시],$U333))</f>
        <v/>
      </c>
      <c r="Q333">
        <f>IF($U333="","",INDEX(상세표[07~18시],$U333))</f>
        <v/>
      </c>
      <c r="R333">
        <f>IF($U333="","",INDEX(상세표[18~22시],$U333))</f>
        <v/>
      </c>
      <c r="S333">
        <f>IF($U333="","",INDEX(상세표[22~06시],$U333))</f>
        <v/>
      </c>
      <c r="T333">
        <f>IF($U333="","",INDEX(상세표[기록 시간외],$U333))</f>
        <v/>
      </c>
      <c r="U333" s="4">
        <f>IFERROR(MATCH(328,상세표[발송순번],0),"")</f>
        <v/>
      </c>
    </row>
    <row r="334">
      <c r="J334">
        <f>IF($U334="","",INDEX(상세표[사번],$U334)&amp;"")</f>
        <v/>
      </c>
      <c r="K334">
        <f>IF($U334="","",INDEX(상세표[성명],$U334)&amp;"")</f>
        <v/>
      </c>
      <c r="L334">
        <f>IF($U334="","",INDEX(상세표[직위],$U334)&amp;"")</f>
        <v/>
      </c>
      <c r="M334">
        <f>IF($U334="","",IF(ISNUMBER(INDEX(상세표[근무일자],$U334)),TEXT(INDEX(상세표[근무일자],$U334),"yyyy-mm-dd"),INDEX(상세표[근무일자],$U334)&amp;""))</f>
        <v/>
      </c>
      <c r="N334">
        <f>IF($U334="","",IF(ISNUMBER(INDEX(상세표[시작],$U334)),TEXT(INDEX(상세표[시작],$U334),"yyyy-mm-dd hh:mm"),INDEX(상세표[시작],$U334)&amp;""))</f>
        <v/>
      </c>
      <c r="O334">
        <f>IF($U334="","",IF(ISNUMBER(INDEX(상세표[종료],$U334)),TEXT(INDEX(상세표[종료],$U334),"yyyy-mm-dd hh:mm"),INDEX(상세표[종료],$U334)&amp;""))</f>
        <v/>
      </c>
      <c r="P334">
        <f>IF($U334="","",INDEX(상세표[06~07시],$U334))</f>
        <v/>
      </c>
      <c r="Q334">
        <f>IF($U334="","",INDEX(상세표[07~18시],$U334))</f>
        <v/>
      </c>
      <c r="R334">
        <f>IF($U334="","",INDEX(상세표[18~22시],$U334))</f>
        <v/>
      </c>
      <c r="S334">
        <f>IF($U334="","",INDEX(상세표[22~06시],$U334))</f>
        <v/>
      </c>
      <c r="T334">
        <f>IF($U334="","",INDEX(상세표[기록 시간외],$U334))</f>
        <v/>
      </c>
      <c r="U334" s="4">
        <f>IFERROR(MATCH(329,상세표[발송순번],0),"")</f>
        <v/>
      </c>
    </row>
    <row r="335">
      <c r="J335">
        <f>IF($U335="","",INDEX(상세표[사번],$U335)&amp;"")</f>
        <v/>
      </c>
      <c r="K335">
        <f>IF($U335="","",INDEX(상세표[성명],$U335)&amp;"")</f>
        <v/>
      </c>
      <c r="L335">
        <f>IF($U335="","",INDEX(상세표[직위],$U335)&amp;"")</f>
        <v/>
      </c>
      <c r="M335">
        <f>IF($U335="","",IF(ISNUMBER(INDEX(상세표[근무일자],$U335)),TEXT(INDEX(상세표[근무일자],$U335),"yyyy-mm-dd"),INDEX(상세표[근무일자],$U335)&amp;""))</f>
        <v/>
      </c>
      <c r="N335">
        <f>IF($U335="","",IF(ISNUMBER(INDEX(상세표[시작],$U335)),TEXT(INDEX(상세표[시작],$U335),"yyyy-mm-dd hh:mm"),INDEX(상세표[시작],$U335)&amp;""))</f>
        <v/>
      </c>
      <c r="O335">
        <f>IF($U335="","",IF(ISNUMBER(INDEX(상세표[종료],$U335)),TEXT(INDEX(상세표[종료],$U335),"yyyy-mm-dd hh:mm"),INDEX(상세표[종료],$U335)&amp;""))</f>
        <v/>
      </c>
      <c r="P335">
        <f>IF($U335="","",INDEX(상세표[06~07시],$U335))</f>
        <v/>
      </c>
      <c r="Q335">
        <f>IF($U335="","",INDEX(상세표[07~18시],$U335))</f>
        <v/>
      </c>
      <c r="R335">
        <f>IF($U335="","",INDEX(상세표[18~22시],$U335))</f>
        <v/>
      </c>
      <c r="S335">
        <f>IF($U335="","",INDEX(상세표[22~06시],$U335))</f>
        <v/>
      </c>
      <c r="T335">
        <f>IF($U335="","",INDEX(상세표[기록 시간외],$U335))</f>
        <v/>
      </c>
      <c r="U335" s="4">
        <f>IFERROR(MATCH(330,상세표[발송순번],0),"")</f>
        <v/>
      </c>
    </row>
    <row r="336">
      <c r="J336">
        <f>IF($U336="","",INDEX(상세표[사번],$U336)&amp;"")</f>
        <v/>
      </c>
      <c r="K336">
        <f>IF($U336="","",INDEX(상세표[성명],$U336)&amp;"")</f>
        <v/>
      </c>
      <c r="L336">
        <f>IF($U336="","",INDEX(상세표[직위],$U336)&amp;"")</f>
        <v/>
      </c>
      <c r="M336">
        <f>IF($U336="","",IF(ISNUMBER(INDEX(상세표[근무일자],$U336)),TEXT(INDEX(상세표[근무일자],$U336),"yyyy-mm-dd"),INDEX(상세표[근무일자],$U336)&amp;""))</f>
        <v/>
      </c>
      <c r="N336">
        <f>IF($U336="","",IF(ISNUMBER(INDEX(상세표[시작],$U336)),TEXT(INDEX(상세표[시작],$U336),"yyyy-mm-dd hh:mm"),INDEX(상세표[시작],$U336)&amp;""))</f>
        <v/>
      </c>
      <c r="O336">
        <f>IF($U336="","",IF(ISNUMBER(INDEX(상세표[종료],$U336)),TEXT(INDEX(상세표[종료],$U336),"yyyy-mm-dd hh:mm"),INDEX(상세표[종료],$U336)&amp;""))</f>
        <v/>
      </c>
      <c r="P336">
        <f>IF($U336="","",INDEX(상세표[06~07시],$U336))</f>
        <v/>
      </c>
      <c r="Q336">
        <f>IF($U336="","",INDEX(상세표[07~18시],$U336))</f>
        <v/>
      </c>
      <c r="R336">
        <f>IF($U336="","",INDEX(상세표[18~22시],$U336))</f>
        <v/>
      </c>
      <c r="S336">
        <f>IF($U336="","",INDEX(상세표[22~06시],$U336))</f>
        <v/>
      </c>
      <c r="T336">
        <f>IF($U336="","",INDEX(상세표[기록 시간외],$U336))</f>
        <v/>
      </c>
      <c r="U336" s="4">
        <f>IFERROR(MATCH(331,상세표[발송순번],0),"")</f>
        <v/>
      </c>
    </row>
    <row r="337">
      <c r="J337">
        <f>IF($U337="","",INDEX(상세표[사번],$U337)&amp;"")</f>
        <v/>
      </c>
      <c r="K337">
        <f>IF($U337="","",INDEX(상세표[성명],$U337)&amp;"")</f>
        <v/>
      </c>
      <c r="L337">
        <f>IF($U337="","",INDEX(상세표[직위],$U337)&amp;"")</f>
        <v/>
      </c>
      <c r="M337">
        <f>IF($U337="","",IF(ISNUMBER(INDEX(상세표[근무일자],$U337)),TEXT(INDEX(상세표[근무일자],$U337),"yyyy-mm-dd"),INDEX(상세표[근무일자],$U337)&amp;""))</f>
        <v/>
      </c>
      <c r="N337">
        <f>IF($U337="","",IF(ISNUMBER(INDEX(상세표[시작],$U337)),TEXT(INDEX(상세표[시작],$U337),"yyyy-mm-dd hh:mm"),INDEX(상세표[시작],$U337)&amp;""))</f>
        <v/>
      </c>
      <c r="O337">
        <f>IF($U337="","",IF(ISNUMBER(INDEX(상세표[종료],$U337)),TEXT(INDEX(상세표[종료],$U337),"yyyy-mm-dd hh:mm"),INDEX(상세표[종료],$U337)&amp;""))</f>
        <v/>
      </c>
      <c r="P337">
        <f>IF($U337="","",INDEX(상세표[06~07시],$U337))</f>
        <v/>
      </c>
      <c r="Q337">
        <f>IF($U337="","",INDEX(상세표[07~18시],$U337))</f>
        <v/>
      </c>
      <c r="R337">
        <f>IF($U337="","",INDEX(상세표[18~22시],$U337))</f>
        <v/>
      </c>
      <c r="S337">
        <f>IF($U337="","",INDEX(상세표[22~06시],$U337))</f>
        <v/>
      </c>
      <c r="T337">
        <f>IF($U337="","",INDEX(상세표[기록 시간외],$U337))</f>
        <v/>
      </c>
      <c r="U337" s="4">
        <f>IFERROR(MATCH(332,상세표[발송순번],0),"")</f>
        <v/>
      </c>
    </row>
    <row r="338">
      <c r="J338">
        <f>IF($U338="","",INDEX(상세표[사번],$U338)&amp;"")</f>
        <v/>
      </c>
      <c r="K338">
        <f>IF($U338="","",INDEX(상세표[성명],$U338)&amp;"")</f>
        <v/>
      </c>
      <c r="L338">
        <f>IF($U338="","",INDEX(상세표[직위],$U338)&amp;"")</f>
        <v/>
      </c>
      <c r="M338">
        <f>IF($U338="","",IF(ISNUMBER(INDEX(상세표[근무일자],$U338)),TEXT(INDEX(상세표[근무일자],$U338),"yyyy-mm-dd"),INDEX(상세표[근무일자],$U338)&amp;""))</f>
        <v/>
      </c>
      <c r="N338">
        <f>IF($U338="","",IF(ISNUMBER(INDEX(상세표[시작],$U338)),TEXT(INDEX(상세표[시작],$U338),"yyyy-mm-dd hh:mm"),INDEX(상세표[시작],$U338)&amp;""))</f>
        <v/>
      </c>
      <c r="O338">
        <f>IF($U338="","",IF(ISNUMBER(INDEX(상세표[종료],$U338)),TEXT(INDEX(상세표[종료],$U338),"yyyy-mm-dd hh:mm"),INDEX(상세표[종료],$U338)&amp;""))</f>
        <v/>
      </c>
      <c r="P338">
        <f>IF($U338="","",INDEX(상세표[06~07시],$U338))</f>
        <v/>
      </c>
      <c r="Q338">
        <f>IF($U338="","",INDEX(상세표[07~18시],$U338))</f>
        <v/>
      </c>
      <c r="R338">
        <f>IF($U338="","",INDEX(상세표[18~22시],$U338))</f>
        <v/>
      </c>
      <c r="S338">
        <f>IF($U338="","",INDEX(상세표[22~06시],$U338))</f>
        <v/>
      </c>
      <c r="T338">
        <f>IF($U338="","",INDEX(상세표[기록 시간외],$U338))</f>
        <v/>
      </c>
      <c r="U338" s="4">
        <f>IFERROR(MATCH(333,상세표[발송순번],0),"")</f>
        <v/>
      </c>
    </row>
    <row r="339">
      <c r="J339">
        <f>IF($U339="","",INDEX(상세표[사번],$U339)&amp;"")</f>
        <v/>
      </c>
      <c r="K339">
        <f>IF($U339="","",INDEX(상세표[성명],$U339)&amp;"")</f>
        <v/>
      </c>
      <c r="L339">
        <f>IF($U339="","",INDEX(상세표[직위],$U339)&amp;"")</f>
        <v/>
      </c>
      <c r="M339">
        <f>IF($U339="","",IF(ISNUMBER(INDEX(상세표[근무일자],$U339)),TEXT(INDEX(상세표[근무일자],$U339),"yyyy-mm-dd"),INDEX(상세표[근무일자],$U339)&amp;""))</f>
        <v/>
      </c>
      <c r="N339">
        <f>IF($U339="","",IF(ISNUMBER(INDEX(상세표[시작],$U339)),TEXT(INDEX(상세표[시작],$U339),"yyyy-mm-dd hh:mm"),INDEX(상세표[시작],$U339)&amp;""))</f>
        <v/>
      </c>
      <c r="O339">
        <f>IF($U339="","",IF(ISNUMBER(INDEX(상세표[종료],$U339)),TEXT(INDEX(상세표[종료],$U339),"yyyy-mm-dd hh:mm"),INDEX(상세표[종료],$U339)&amp;""))</f>
        <v/>
      </c>
      <c r="P339">
        <f>IF($U339="","",INDEX(상세표[06~07시],$U339))</f>
        <v/>
      </c>
      <c r="Q339">
        <f>IF($U339="","",INDEX(상세표[07~18시],$U339))</f>
        <v/>
      </c>
      <c r="R339">
        <f>IF($U339="","",INDEX(상세표[18~22시],$U339))</f>
        <v/>
      </c>
      <c r="S339">
        <f>IF($U339="","",INDEX(상세표[22~06시],$U339))</f>
        <v/>
      </c>
      <c r="T339">
        <f>IF($U339="","",INDEX(상세표[기록 시간외],$U339))</f>
        <v/>
      </c>
      <c r="U339" s="4">
        <f>IFERROR(MATCH(334,상세표[발송순번],0),"")</f>
        <v/>
      </c>
    </row>
    <row r="340">
      <c r="J340">
        <f>IF($U340="","",INDEX(상세표[사번],$U340)&amp;"")</f>
        <v/>
      </c>
      <c r="K340">
        <f>IF($U340="","",INDEX(상세표[성명],$U340)&amp;"")</f>
        <v/>
      </c>
      <c r="L340">
        <f>IF($U340="","",INDEX(상세표[직위],$U340)&amp;"")</f>
        <v/>
      </c>
      <c r="M340">
        <f>IF($U340="","",IF(ISNUMBER(INDEX(상세표[근무일자],$U340)),TEXT(INDEX(상세표[근무일자],$U340),"yyyy-mm-dd"),INDEX(상세표[근무일자],$U340)&amp;""))</f>
        <v/>
      </c>
      <c r="N340">
        <f>IF($U340="","",IF(ISNUMBER(INDEX(상세표[시작],$U340)),TEXT(INDEX(상세표[시작],$U340),"yyyy-mm-dd hh:mm"),INDEX(상세표[시작],$U340)&amp;""))</f>
        <v/>
      </c>
      <c r="O340">
        <f>IF($U340="","",IF(ISNUMBER(INDEX(상세표[종료],$U340)),TEXT(INDEX(상세표[종료],$U340),"yyyy-mm-dd hh:mm"),INDEX(상세표[종료],$U340)&amp;""))</f>
        <v/>
      </c>
      <c r="P340">
        <f>IF($U340="","",INDEX(상세표[06~07시],$U340))</f>
        <v/>
      </c>
      <c r="Q340">
        <f>IF($U340="","",INDEX(상세표[07~18시],$U340))</f>
        <v/>
      </c>
      <c r="R340">
        <f>IF($U340="","",INDEX(상세표[18~22시],$U340))</f>
        <v/>
      </c>
      <c r="S340">
        <f>IF($U340="","",INDEX(상세표[22~06시],$U340))</f>
        <v/>
      </c>
      <c r="T340">
        <f>IF($U340="","",INDEX(상세표[기록 시간외],$U340))</f>
        <v/>
      </c>
      <c r="U340" s="4">
        <f>IFERROR(MATCH(335,상세표[발송순번],0),"")</f>
        <v/>
      </c>
    </row>
    <row r="341">
      <c r="J341">
        <f>IF($U341="","",INDEX(상세표[사번],$U341)&amp;"")</f>
        <v/>
      </c>
      <c r="K341">
        <f>IF($U341="","",INDEX(상세표[성명],$U341)&amp;"")</f>
        <v/>
      </c>
      <c r="L341">
        <f>IF($U341="","",INDEX(상세표[직위],$U341)&amp;"")</f>
        <v/>
      </c>
      <c r="M341">
        <f>IF($U341="","",IF(ISNUMBER(INDEX(상세표[근무일자],$U341)),TEXT(INDEX(상세표[근무일자],$U341),"yyyy-mm-dd"),INDEX(상세표[근무일자],$U341)&amp;""))</f>
        <v/>
      </c>
      <c r="N341">
        <f>IF($U341="","",IF(ISNUMBER(INDEX(상세표[시작],$U341)),TEXT(INDEX(상세표[시작],$U341),"yyyy-mm-dd hh:mm"),INDEX(상세표[시작],$U341)&amp;""))</f>
        <v/>
      </c>
      <c r="O341">
        <f>IF($U341="","",IF(ISNUMBER(INDEX(상세표[종료],$U341)),TEXT(INDEX(상세표[종료],$U341),"yyyy-mm-dd hh:mm"),INDEX(상세표[종료],$U341)&amp;""))</f>
        <v/>
      </c>
      <c r="P341">
        <f>IF($U341="","",INDEX(상세표[06~07시],$U341))</f>
        <v/>
      </c>
      <c r="Q341">
        <f>IF($U341="","",INDEX(상세표[07~18시],$U341))</f>
        <v/>
      </c>
      <c r="R341">
        <f>IF($U341="","",INDEX(상세표[18~22시],$U341))</f>
        <v/>
      </c>
      <c r="S341">
        <f>IF($U341="","",INDEX(상세표[22~06시],$U341))</f>
        <v/>
      </c>
      <c r="T341">
        <f>IF($U341="","",INDEX(상세표[기록 시간외],$U341))</f>
        <v/>
      </c>
      <c r="U341" s="4">
        <f>IFERROR(MATCH(336,상세표[발송순번],0),"")</f>
        <v/>
      </c>
    </row>
    <row r="342">
      <c r="J342">
        <f>IF($U342="","",INDEX(상세표[사번],$U342)&amp;"")</f>
        <v/>
      </c>
      <c r="K342">
        <f>IF($U342="","",INDEX(상세표[성명],$U342)&amp;"")</f>
        <v/>
      </c>
      <c r="L342">
        <f>IF($U342="","",INDEX(상세표[직위],$U342)&amp;"")</f>
        <v/>
      </c>
      <c r="M342">
        <f>IF($U342="","",IF(ISNUMBER(INDEX(상세표[근무일자],$U342)),TEXT(INDEX(상세표[근무일자],$U342),"yyyy-mm-dd"),INDEX(상세표[근무일자],$U342)&amp;""))</f>
        <v/>
      </c>
      <c r="N342">
        <f>IF($U342="","",IF(ISNUMBER(INDEX(상세표[시작],$U342)),TEXT(INDEX(상세표[시작],$U342),"yyyy-mm-dd hh:mm"),INDEX(상세표[시작],$U342)&amp;""))</f>
        <v/>
      </c>
      <c r="O342">
        <f>IF($U342="","",IF(ISNUMBER(INDEX(상세표[종료],$U342)),TEXT(INDEX(상세표[종료],$U342),"yyyy-mm-dd hh:mm"),INDEX(상세표[종료],$U342)&amp;""))</f>
        <v/>
      </c>
      <c r="P342">
        <f>IF($U342="","",INDEX(상세표[06~07시],$U342))</f>
        <v/>
      </c>
      <c r="Q342">
        <f>IF($U342="","",INDEX(상세표[07~18시],$U342))</f>
        <v/>
      </c>
      <c r="R342">
        <f>IF($U342="","",INDEX(상세표[18~22시],$U342))</f>
        <v/>
      </c>
      <c r="S342">
        <f>IF($U342="","",INDEX(상세표[22~06시],$U342))</f>
        <v/>
      </c>
      <c r="T342">
        <f>IF($U342="","",INDEX(상세표[기록 시간외],$U342))</f>
        <v/>
      </c>
      <c r="U342" s="4">
        <f>IFERROR(MATCH(337,상세표[발송순번],0),"")</f>
        <v/>
      </c>
    </row>
    <row r="343">
      <c r="J343">
        <f>IF($U343="","",INDEX(상세표[사번],$U343)&amp;"")</f>
        <v/>
      </c>
      <c r="K343">
        <f>IF($U343="","",INDEX(상세표[성명],$U343)&amp;"")</f>
        <v/>
      </c>
      <c r="L343">
        <f>IF($U343="","",INDEX(상세표[직위],$U343)&amp;"")</f>
        <v/>
      </c>
      <c r="M343">
        <f>IF($U343="","",IF(ISNUMBER(INDEX(상세표[근무일자],$U343)),TEXT(INDEX(상세표[근무일자],$U343),"yyyy-mm-dd"),INDEX(상세표[근무일자],$U343)&amp;""))</f>
        <v/>
      </c>
      <c r="N343">
        <f>IF($U343="","",IF(ISNUMBER(INDEX(상세표[시작],$U343)),TEXT(INDEX(상세표[시작],$U343),"yyyy-mm-dd hh:mm"),INDEX(상세표[시작],$U343)&amp;""))</f>
        <v/>
      </c>
      <c r="O343">
        <f>IF($U343="","",IF(ISNUMBER(INDEX(상세표[종료],$U343)),TEXT(INDEX(상세표[종료],$U343),"yyyy-mm-dd hh:mm"),INDEX(상세표[종료],$U343)&amp;""))</f>
        <v/>
      </c>
      <c r="P343">
        <f>IF($U343="","",INDEX(상세표[06~07시],$U343))</f>
        <v/>
      </c>
      <c r="Q343">
        <f>IF($U343="","",INDEX(상세표[07~18시],$U343))</f>
        <v/>
      </c>
      <c r="R343">
        <f>IF($U343="","",INDEX(상세표[18~22시],$U343))</f>
        <v/>
      </c>
      <c r="S343">
        <f>IF($U343="","",INDEX(상세표[22~06시],$U343))</f>
        <v/>
      </c>
      <c r="T343">
        <f>IF($U343="","",INDEX(상세표[기록 시간외],$U343))</f>
        <v/>
      </c>
      <c r="U343" s="4">
        <f>IFERROR(MATCH(338,상세표[발송순번],0),"")</f>
        <v/>
      </c>
    </row>
    <row r="344">
      <c r="J344">
        <f>IF($U344="","",INDEX(상세표[사번],$U344)&amp;"")</f>
        <v/>
      </c>
      <c r="K344">
        <f>IF($U344="","",INDEX(상세표[성명],$U344)&amp;"")</f>
        <v/>
      </c>
      <c r="L344">
        <f>IF($U344="","",INDEX(상세표[직위],$U344)&amp;"")</f>
        <v/>
      </c>
      <c r="M344">
        <f>IF($U344="","",IF(ISNUMBER(INDEX(상세표[근무일자],$U344)),TEXT(INDEX(상세표[근무일자],$U344),"yyyy-mm-dd"),INDEX(상세표[근무일자],$U344)&amp;""))</f>
        <v/>
      </c>
      <c r="N344">
        <f>IF($U344="","",IF(ISNUMBER(INDEX(상세표[시작],$U344)),TEXT(INDEX(상세표[시작],$U344),"yyyy-mm-dd hh:mm"),INDEX(상세표[시작],$U344)&amp;""))</f>
        <v/>
      </c>
      <c r="O344">
        <f>IF($U344="","",IF(ISNUMBER(INDEX(상세표[종료],$U344)),TEXT(INDEX(상세표[종료],$U344),"yyyy-mm-dd hh:mm"),INDEX(상세표[종료],$U344)&amp;""))</f>
        <v/>
      </c>
      <c r="P344">
        <f>IF($U344="","",INDEX(상세표[06~07시],$U344))</f>
        <v/>
      </c>
      <c r="Q344">
        <f>IF($U344="","",INDEX(상세표[07~18시],$U344))</f>
        <v/>
      </c>
      <c r="R344">
        <f>IF($U344="","",INDEX(상세표[18~22시],$U344))</f>
        <v/>
      </c>
      <c r="S344">
        <f>IF($U344="","",INDEX(상세표[22~06시],$U344))</f>
        <v/>
      </c>
      <c r="T344">
        <f>IF($U344="","",INDEX(상세표[기록 시간외],$U344))</f>
        <v/>
      </c>
      <c r="U344" s="4">
        <f>IFERROR(MATCH(339,상세표[발송순번],0),"")</f>
        <v/>
      </c>
    </row>
    <row r="345">
      <c r="J345">
        <f>IF($U345="","",INDEX(상세표[사번],$U345)&amp;"")</f>
        <v/>
      </c>
      <c r="K345">
        <f>IF($U345="","",INDEX(상세표[성명],$U345)&amp;"")</f>
        <v/>
      </c>
      <c r="L345">
        <f>IF($U345="","",INDEX(상세표[직위],$U345)&amp;"")</f>
        <v/>
      </c>
      <c r="M345">
        <f>IF($U345="","",IF(ISNUMBER(INDEX(상세표[근무일자],$U345)),TEXT(INDEX(상세표[근무일자],$U345),"yyyy-mm-dd"),INDEX(상세표[근무일자],$U345)&amp;""))</f>
        <v/>
      </c>
      <c r="N345">
        <f>IF($U345="","",IF(ISNUMBER(INDEX(상세표[시작],$U345)),TEXT(INDEX(상세표[시작],$U345),"yyyy-mm-dd hh:mm"),INDEX(상세표[시작],$U345)&amp;""))</f>
        <v/>
      </c>
      <c r="O345">
        <f>IF($U345="","",IF(ISNUMBER(INDEX(상세표[종료],$U345)),TEXT(INDEX(상세표[종료],$U345),"yyyy-mm-dd hh:mm"),INDEX(상세표[종료],$U345)&amp;""))</f>
        <v/>
      </c>
      <c r="P345">
        <f>IF($U345="","",INDEX(상세표[06~07시],$U345))</f>
        <v/>
      </c>
      <c r="Q345">
        <f>IF($U345="","",INDEX(상세표[07~18시],$U345))</f>
        <v/>
      </c>
      <c r="R345">
        <f>IF($U345="","",INDEX(상세표[18~22시],$U345))</f>
        <v/>
      </c>
      <c r="S345">
        <f>IF($U345="","",INDEX(상세표[22~06시],$U345))</f>
        <v/>
      </c>
      <c r="T345">
        <f>IF($U345="","",INDEX(상세표[기록 시간외],$U345))</f>
        <v/>
      </c>
      <c r="U345" s="4">
        <f>IFERROR(MATCH(340,상세표[발송순번],0),"")</f>
        <v/>
      </c>
    </row>
    <row r="346">
      <c r="J346">
        <f>IF($U346="","",INDEX(상세표[사번],$U346)&amp;"")</f>
        <v/>
      </c>
      <c r="K346">
        <f>IF($U346="","",INDEX(상세표[성명],$U346)&amp;"")</f>
        <v/>
      </c>
      <c r="L346">
        <f>IF($U346="","",INDEX(상세표[직위],$U346)&amp;"")</f>
        <v/>
      </c>
      <c r="M346">
        <f>IF($U346="","",IF(ISNUMBER(INDEX(상세표[근무일자],$U346)),TEXT(INDEX(상세표[근무일자],$U346),"yyyy-mm-dd"),INDEX(상세표[근무일자],$U346)&amp;""))</f>
        <v/>
      </c>
      <c r="N346">
        <f>IF($U346="","",IF(ISNUMBER(INDEX(상세표[시작],$U346)),TEXT(INDEX(상세표[시작],$U346),"yyyy-mm-dd hh:mm"),INDEX(상세표[시작],$U346)&amp;""))</f>
        <v/>
      </c>
      <c r="O346">
        <f>IF($U346="","",IF(ISNUMBER(INDEX(상세표[종료],$U346)),TEXT(INDEX(상세표[종료],$U346),"yyyy-mm-dd hh:mm"),INDEX(상세표[종료],$U346)&amp;""))</f>
        <v/>
      </c>
      <c r="P346">
        <f>IF($U346="","",INDEX(상세표[06~07시],$U346))</f>
        <v/>
      </c>
      <c r="Q346">
        <f>IF($U346="","",INDEX(상세표[07~18시],$U346))</f>
        <v/>
      </c>
      <c r="R346">
        <f>IF($U346="","",INDEX(상세표[18~22시],$U346))</f>
        <v/>
      </c>
      <c r="S346">
        <f>IF($U346="","",INDEX(상세표[22~06시],$U346))</f>
        <v/>
      </c>
      <c r="T346">
        <f>IF($U346="","",INDEX(상세표[기록 시간외],$U346))</f>
        <v/>
      </c>
      <c r="U346" s="4">
        <f>IFERROR(MATCH(341,상세표[발송순번],0),"")</f>
        <v/>
      </c>
    </row>
    <row r="347">
      <c r="J347">
        <f>IF($U347="","",INDEX(상세표[사번],$U347)&amp;"")</f>
        <v/>
      </c>
      <c r="K347">
        <f>IF($U347="","",INDEX(상세표[성명],$U347)&amp;"")</f>
        <v/>
      </c>
      <c r="L347">
        <f>IF($U347="","",INDEX(상세표[직위],$U347)&amp;"")</f>
        <v/>
      </c>
      <c r="M347">
        <f>IF($U347="","",IF(ISNUMBER(INDEX(상세표[근무일자],$U347)),TEXT(INDEX(상세표[근무일자],$U347),"yyyy-mm-dd"),INDEX(상세표[근무일자],$U347)&amp;""))</f>
        <v/>
      </c>
      <c r="N347">
        <f>IF($U347="","",IF(ISNUMBER(INDEX(상세표[시작],$U347)),TEXT(INDEX(상세표[시작],$U347),"yyyy-mm-dd hh:mm"),INDEX(상세표[시작],$U347)&amp;""))</f>
        <v/>
      </c>
      <c r="O347">
        <f>IF($U347="","",IF(ISNUMBER(INDEX(상세표[종료],$U347)),TEXT(INDEX(상세표[종료],$U347),"yyyy-mm-dd hh:mm"),INDEX(상세표[종료],$U347)&amp;""))</f>
        <v/>
      </c>
      <c r="P347">
        <f>IF($U347="","",INDEX(상세표[06~07시],$U347))</f>
        <v/>
      </c>
      <c r="Q347">
        <f>IF($U347="","",INDEX(상세표[07~18시],$U347))</f>
        <v/>
      </c>
      <c r="R347">
        <f>IF($U347="","",INDEX(상세표[18~22시],$U347))</f>
        <v/>
      </c>
      <c r="S347">
        <f>IF($U347="","",INDEX(상세표[22~06시],$U347))</f>
        <v/>
      </c>
      <c r="T347">
        <f>IF($U347="","",INDEX(상세표[기록 시간외],$U347))</f>
        <v/>
      </c>
      <c r="U347" s="4">
        <f>IFERROR(MATCH(342,상세표[발송순번],0),"")</f>
        <v/>
      </c>
    </row>
    <row r="348">
      <c r="J348">
        <f>IF($U348="","",INDEX(상세표[사번],$U348)&amp;"")</f>
        <v/>
      </c>
      <c r="K348">
        <f>IF($U348="","",INDEX(상세표[성명],$U348)&amp;"")</f>
        <v/>
      </c>
      <c r="L348">
        <f>IF($U348="","",INDEX(상세표[직위],$U348)&amp;"")</f>
        <v/>
      </c>
      <c r="M348">
        <f>IF($U348="","",IF(ISNUMBER(INDEX(상세표[근무일자],$U348)),TEXT(INDEX(상세표[근무일자],$U348),"yyyy-mm-dd"),INDEX(상세표[근무일자],$U348)&amp;""))</f>
        <v/>
      </c>
      <c r="N348">
        <f>IF($U348="","",IF(ISNUMBER(INDEX(상세표[시작],$U348)),TEXT(INDEX(상세표[시작],$U348),"yyyy-mm-dd hh:mm"),INDEX(상세표[시작],$U348)&amp;""))</f>
        <v/>
      </c>
      <c r="O348">
        <f>IF($U348="","",IF(ISNUMBER(INDEX(상세표[종료],$U348)),TEXT(INDEX(상세표[종료],$U348),"yyyy-mm-dd hh:mm"),INDEX(상세표[종료],$U348)&amp;""))</f>
        <v/>
      </c>
      <c r="P348">
        <f>IF($U348="","",INDEX(상세표[06~07시],$U348))</f>
        <v/>
      </c>
      <c r="Q348">
        <f>IF($U348="","",INDEX(상세표[07~18시],$U348))</f>
        <v/>
      </c>
      <c r="R348">
        <f>IF($U348="","",INDEX(상세표[18~22시],$U348))</f>
        <v/>
      </c>
      <c r="S348">
        <f>IF($U348="","",INDEX(상세표[22~06시],$U348))</f>
        <v/>
      </c>
      <c r="T348">
        <f>IF($U348="","",INDEX(상세표[기록 시간외],$U348))</f>
        <v/>
      </c>
      <c r="U348" s="4">
        <f>IFERROR(MATCH(343,상세표[발송순번],0),"")</f>
        <v/>
      </c>
    </row>
    <row r="349">
      <c r="J349">
        <f>IF($U349="","",INDEX(상세표[사번],$U349)&amp;"")</f>
        <v/>
      </c>
      <c r="K349">
        <f>IF($U349="","",INDEX(상세표[성명],$U349)&amp;"")</f>
        <v/>
      </c>
      <c r="L349">
        <f>IF($U349="","",INDEX(상세표[직위],$U349)&amp;"")</f>
        <v/>
      </c>
      <c r="M349">
        <f>IF($U349="","",IF(ISNUMBER(INDEX(상세표[근무일자],$U349)),TEXT(INDEX(상세표[근무일자],$U349),"yyyy-mm-dd"),INDEX(상세표[근무일자],$U349)&amp;""))</f>
        <v/>
      </c>
      <c r="N349">
        <f>IF($U349="","",IF(ISNUMBER(INDEX(상세표[시작],$U349)),TEXT(INDEX(상세표[시작],$U349),"yyyy-mm-dd hh:mm"),INDEX(상세표[시작],$U349)&amp;""))</f>
        <v/>
      </c>
      <c r="O349">
        <f>IF($U349="","",IF(ISNUMBER(INDEX(상세표[종료],$U349)),TEXT(INDEX(상세표[종료],$U349),"yyyy-mm-dd hh:mm"),INDEX(상세표[종료],$U349)&amp;""))</f>
        <v/>
      </c>
      <c r="P349">
        <f>IF($U349="","",INDEX(상세표[06~07시],$U349))</f>
        <v/>
      </c>
      <c r="Q349">
        <f>IF($U349="","",INDEX(상세표[07~18시],$U349))</f>
        <v/>
      </c>
      <c r="R349">
        <f>IF($U349="","",INDEX(상세표[18~22시],$U349))</f>
        <v/>
      </c>
      <c r="S349">
        <f>IF($U349="","",INDEX(상세표[22~06시],$U349))</f>
        <v/>
      </c>
      <c r="T349">
        <f>IF($U349="","",INDEX(상세표[기록 시간외],$U349))</f>
        <v/>
      </c>
      <c r="U349" s="4">
        <f>IFERROR(MATCH(344,상세표[발송순번],0),"")</f>
        <v/>
      </c>
    </row>
    <row r="350">
      <c r="J350">
        <f>IF($U350="","",INDEX(상세표[사번],$U350)&amp;"")</f>
        <v/>
      </c>
      <c r="K350">
        <f>IF($U350="","",INDEX(상세표[성명],$U350)&amp;"")</f>
        <v/>
      </c>
      <c r="L350">
        <f>IF($U350="","",INDEX(상세표[직위],$U350)&amp;"")</f>
        <v/>
      </c>
      <c r="M350">
        <f>IF($U350="","",IF(ISNUMBER(INDEX(상세표[근무일자],$U350)),TEXT(INDEX(상세표[근무일자],$U350),"yyyy-mm-dd"),INDEX(상세표[근무일자],$U350)&amp;""))</f>
        <v/>
      </c>
      <c r="N350">
        <f>IF($U350="","",IF(ISNUMBER(INDEX(상세표[시작],$U350)),TEXT(INDEX(상세표[시작],$U350),"yyyy-mm-dd hh:mm"),INDEX(상세표[시작],$U350)&amp;""))</f>
        <v/>
      </c>
      <c r="O350">
        <f>IF($U350="","",IF(ISNUMBER(INDEX(상세표[종료],$U350)),TEXT(INDEX(상세표[종료],$U350),"yyyy-mm-dd hh:mm"),INDEX(상세표[종료],$U350)&amp;""))</f>
        <v/>
      </c>
      <c r="P350">
        <f>IF($U350="","",INDEX(상세표[06~07시],$U350))</f>
        <v/>
      </c>
      <c r="Q350">
        <f>IF($U350="","",INDEX(상세표[07~18시],$U350))</f>
        <v/>
      </c>
      <c r="R350">
        <f>IF($U350="","",INDEX(상세표[18~22시],$U350))</f>
        <v/>
      </c>
      <c r="S350">
        <f>IF($U350="","",INDEX(상세표[22~06시],$U350))</f>
        <v/>
      </c>
      <c r="T350">
        <f>IF($U350="","",INDEX(상세표[기록 시간외],$U350))</f>
        <v/>
      </c>
      <c r="U350" s="4">
        <f>IFERROR(MATCH(345,상세표[발송순번],0),"")</f>
        <v/>
      </c>
    </row>
    <row r="351">
      <c r="J351">
        <f>IF($U351="","",INDEX(상세표[사번],$U351)&amp;"")</f>
        <v/>
      </c>
      <c r="K351">
        <f>IF($U351="","",INDEX(상세표[성명],$U351)&amp;"")</f>
        <v/>
      </c>
      <c r="L351">
        <f>IF($U351="","",INDEX(상세표[직위],$U351)&amp;"")</f>
        <v/>
      </c>
      <c r="M351">
        <f>IF($U351="","",IF(ISNUMBER(INDEX(상세표[근무일자],$U351)),TEXT(INDEX(상세표[근무일자],$U351),"yyyy-mm-dd"),INDEX(상세표[근무일자],$U351)&amp;""))</f>
        <v/>
      </c>
      <c r="N351">
        <f>IF($U351="","",IF(ISNUMBER(INDEX(상세표[시작],$U351)),TEXT(INDEX(상세표[시작],$U351),"yyyy-mm-dd hh:mm"),INDEX(상세표[시작],$U351)&amp;""))</f>
        <v/>
      </c>
      <c r="O351">
        <f>IF($U351="","",IF(ISNUMBER(INDEX(상세표[종료],$U351)),TEXT(INDEX(상세표[종료],$U351),"yyyy-mm-dd hh:mm"),INDEX(상세표[종료],$U351)&amp;""))</f>
        <v/>
      </c>
      <c r="P351">
        <f>IF($U351="","",INDEX(상세표[06~07시],$U351))</f>
        <v/>
      </c>
      <c r="Q351">
        <f>IF($U351="","",INDEX(상세표[07~18시],$U351))</f>
        <v/>
      </c>
      <c r="R351">
        <f>IF($U351="","",INDEX(상세표[18~22시],$U351))</f>
        <v/>
      </c>
      <c r="S351">
        <f>IF($U351="","",INDEX(상세표[22~06시],$U351))</f>
        <v/>
      </c>
      <c r="T351">
        <f>IF($U351="","",INDEX(상세표[기록 시간외],$U351))</f>
        <v/>
      </c>
      <c r="U351" s="4">
        <f>IFERROR(MATCH(346,상세표[발송순번],0),"")</f>
        <v/>
      </c>
    </row>
    <row r="352">
      <c r="J352">
        <f>IF($U352="","",INDEX(상세표[사번],$U352)&amp;"")</f>
        <v/>
      </c>
      <c r="K352">
        <f>IF($U352="","",INDEX(상세표[성명],$U352)&amp;"")</f>
        <v/>
      </c>
      <c r="L352">
        <f>IF($U352="","",INDEX(상세표[직위],$U352)&amp;"")</f>
        <v/>
      </c>
      <c r="M352">
        <f>IF($U352="","",IF(ISNUMBER(INDEX(상세표[근무일자],$U352)),TEXT(INDEX(상세표[근무일자],$U352),"yyyy-mm-dd"),INDEX(상세표[근무일자],$U352)&amp;""))</f>
        <v/>
      </c>
      <c r="N352">
        <f>IF($U352="","",IF(ISNUMBER(INDEX(상세표[시작],$U352)),TEXT(INDEX(상세표[시작],$U352),"yyyy-mm-dd hh:mm"),INDEX(상세표[시작],$U352)&amp;""))</f>
        <v/>
      </c>
      <c r="O352">
        <f>IF($U352="","",IF(ISNUMBER(INDEX(상세표[종료],$U352)),TEXT(INDEX(상세표[종료],$U352),"yyyy-mm-dd hh:mm"),INDEX(상세표[종료],$U352)&amp;""))</f>
        <v/>
      </c>
      <c r="P352">
        <f>IF($U352="","",INDEX(상세표[06~07시],$U352))</f>
        <v/>
      </c>
      <c r="Q352">
        <f>IF($U352="","",INDEX(상세표[07~18시],$U352))</f>
        <v/>
      </c>
      <c r="R352">
        <f>IF($U352="","",INDEX(상세표[18~22시],$U352))</f>
        <v/>
      </c>
      <c r="S352">
        <f>IF($U352="","",INDEX(상세표[22~06시],$U352))</f>
        <v/>
      </c>
      <c r="T352">
        <f>IF($U352="","",INDEX(상세표[기록 시간외],$U352))</f>
        <v/>
      </c>
      <c r="U352" s="4">
        <f>IFERROR(MATCH(347,상세표[발송순번],0),"")</f>
        <v/>
      </c>
    </row>
    <row r="353">
      <c r="J353">
        <f>IF($U353="","",INDEX(상세표[사번],$U353)&amp;"")</f>
        <v/>
      </c>
      <c r="K353">
        <f>IF($U353="","",INDEX(상세표[성명],$U353)&amp;"")</f>
        <v/>
      </c>
      <c r="L353">
        <f>IF($U353="","",INDEX(상세표[직위],$U353)&amp;"")</f>
        <v/>
      </c>
      <c r="M353">
        <f>IF($U353="","",IF(ISNUMBER(INDEX(상세표[근무일자],$U353)),TEXT(INDEX(상세표[근무일자],$U353),"yyyy-mm-dd"),INDEX(상세표[근무일자],$U353)&amp;""))</f>
        <v/>
      </c>
      <c r="N353">
        <f>IF($U353="","",IF(ISNUMBER(INDEX(상세표[시작],$U353)),TEXT(INDEX(상세표[시작],$U353),"yyyy-mm-dd hh:mm"),INDEX(상세표[시작],$U353)&amp;""))</f>
        <v/>
      </c>
      <c r="O353">
        <f>IF($U353="","",IF(ISNUMBER(INDEX(상세표[종료],$U353)),TEXT(INDEX(상세표[종료],$U353),"yyyy-mm-dd hh:mm"),INDEX(상세표[종료],$U353)&amp;""))</f>
        <v/>
      </c>
      <c r="P353">
        <f>IF($U353="","",INDEX(상세표[06~07시],$U353))</f>
        <v/>
      </c>
      <c r="Q353">
        <f>IF($U353="","",INDEX(상세표[07~18시],$U353))</f>
        <v/>
      </c>
      <c r="R353">
        <f>IF($U353="","",INDEX(상세표[18~22시],$U353))</f>
        <v/>
      </c>
      <c r="S353">
        <f>IF($U353="","",INDEX(상세표[22~06시],$U353))</f>
        <v/>
      </c>
      <c r="T353">
        <f>IF($U353="","",INDEX(상세표[기록 시간외],$U353))</f>
        <v/>
      </c>
      <c r="U353" s="4">
        <f>IFERROR(MATCH(348,상세표[발송순번],0),"")</f>
        <v/>
      </c>
    </row>
    <row r="354">
      <c r="J354">
        <f>IF($U354="","",INDEX(상세표[사번],$U354)&amp;"")</f>
        <v/>
      </c>
      <c r="K354">
        <f>IF($U354="","",INDEX(상세표[성명],$U354)&amp;"")</f>
        <v/>
      </c>
      <c r="L354">
        <f>IF($U354="","",INDEX(상세표[직위],$U354)&amp;"")</f>
        <v/>
      </c>
      <c r="M354">
        <f>IF($U354="","",IF(ISNUMBER(INDEX(상세표[근무일자],$U354)),TEXT(INDEX(상세표[근무일자],$U354),"yyyy-mm-dd"),INDEX(상세표[근무일자],$U354)&amp;""))</f>
        <v/>
      </c>
      <c r="N354">
        <f>IF($U354="","",IF(ISNUMBER(INDEX(상세표[시작],$U354)),TEXT(INDEX(상세표[시작],$U354),"yyyy-mm-dd hh:mm"),INDEX(상세표[시작],$U354)&amp;""))</f>
        <v/>
      </c>
      <c r="O354">
        <f>IF($U354="","",IF(ISNUMBER(INDEX(상세표[종료],$U354)),TEXT(INDEX(상세표[종료],$U354),"yyyy-mm-dd hh:mm"),INDEX(상세표[종료],$U354)&amp;""))</f>
        <v/>
      </c>
      <c r="P354">
        <f>IF($U354="","",INDEX(상세표[06~07시],$U354))</f>
        <v/>
      </c>
      <c r="Q354">
        <f>IF($U354="","",INDEX(상세표[07~18시],$U354))</f>
        <v/>
      </c>
      <c r="R354">
        <f>IF($U354="","",INDEX(상세표[18~22시],$U354))</f>
        <v/>
      </c>
      <c r="S354">
        <f>IF($U354="","",INDEX(상세표[22~06시],$U354))</f>
        <v/>
      </c>
      <c r="T354">
        <f>IF($U354="","",INDEX(상세표[기록 시간외],$U354))</f>
        <v/>
      </c>
      <c r="U354" s="4">
        <f>IFERROR(MATCH(349,상세표[발송순번],0),"")</f>
        <v/>
      </c>
    </row>
    <row r="355">
      <c r="J355">
        <f>IF($U355="","",INDEX(상세표[사번],$U355)&amp;"")</f>
        <v/>
      </c>
      <c r="K355">
        <f>IF($U355="","",INDEX(상세표[성명],$U355)&amp;"")</f>
        <v/>
      </c>
      <c r="L355">
        <f>IF($U355="","",INDEX(상세표[직위],$U355)&amp;"")</f>
        <v/>
      </c>
      <c r="M355">
        <f>IF($U355="","",IF(ISNUMBER(INDEX(상세표[근무일자],$U355)),TEXT(INDEX(상세표[근무일자],$U355),"yyyy-mm-dd"),INDEX(상세표[근무일자],$U355)&amp;""))</f>
        <v/>
      </c>
      <c r="N355">
        <f>IF($U355="","",IF(ISNUMBER(INDEX(상세표[시작],$U355)),TEXT(INDEX(상세표[시작],$U355),"yyyy-mm-dd hh:mm"),INDEX(상세표[시작],$U355)&amp;""))</f>
        <v/>
      </c>
      <c r="O355">
        <f>IF($U355="","",IF(ISNUMBER(INDEX(상세표[종료],$U355)),TEXT(INDEX(상세표[종료],$U355),"yyyy-mm-dd hh:mm"),INDEX(상세표[종료],$U355)&amp;""))</f>
        <v/>
      </c>
      <c r="P355">
        <f>IF($U355="","",INDEX(상세표[06~07시],$U355))</f>
        <v/>
      </c>
      <c r="Q355">
        <f>IF($U355="","",INDEX(상세표[07~18시],$U355))</f>
        <v/>
      </c>
      <c r="R355">
        <f>IF($U355="","",INDEX(상세표[18~22시],$U355))</f>
        <v/>
      </c>
      <c r="S355">
        <f>IF($U355="","",INDEX(상세표[22~06시],$U355))</f>
        <v/>
      </c>
      <c r="T355">
        <f>IF($U355="","",INDEX(상세표[기록 시간외],$U355))</f>
        <v/>
      </c>
      <c r="U355" s="4">
        <f>IFERROR(MATCH(350,상세표[발송순번],0),"")</f>
        <v/>
      </c>
    </row>
    <row r="356">
      <c r="J356">
        <f>IF($U356="","",INDEX(상세표[사번],$U356)&amp;"")</f>
        <v/>
      </c>
      <c r="K356">
        <f>IF($U356="","",INDEX(상세표[성명],$U356)&amp;"")</f>
        <v/>
      </c>
      <c r="L356">
        <f>IF($U356="","",INDEX(상세표[직위],$U356)&amp;"")</f>
        <v/>
      </c>
      <c r="M356">
        <f>IF($U356="","",IF(ISNUMBER(INDEX(상세표[근무일자],$U356)),TEXT(INDEX(상세표[근무일자],$U356),"yyyy-mm-dd"),INDEX(상세표[근무일자],$U356)&amp;""))</f>
        <v/>
      </c>
      <c r="N356">
        <f>IF($U356="","",IF(ISNUMBER(INDEX(상세표[시작],$U356)),TEXT(INDEX(상세표[시작],$U356),"yyyy-mm-dd hh:mm"),INDEX(상세표[시작],$U356)&amp;""))</f>
        <v/>
      </c>
      <c r="O356">
        <f>IF($U356="","",IF(ISNUMBER(INDEX(상세표[종료],$U356)),TEXT(INDEX(상세표[종료],$U356),"yyyy-mm-dd hh:mm"),INDEX(상세표[종료],$U356)&amp;""))</f>
        <v/>
      </c>
      <c r="P356">
        <f>IF($U356="","",INDEX(상세표[06~07시],$U356))</f>
        <v/>
      </c>
      <c r="Q356">
        <f>IF($U356="","",INDEX(상세표[07~18시],$U356))</f>
        <v/>
      </c>
      <c r="R356">
        <f>IF($U356="","",INDEX(상세표[18~22시],$U356))</f>
        <v/>
      </c>
      <c r="S356">
        <f>IF($U356="","",INDEX(상세표[22~06시],$U356))</f>
        <v/>
      </c>
      <c r="T356">
        <f>IF($U356="","",INDEX(상세표[기록 시간외],$U356))</f>
        <v/>
      </c>
      <c r="U356" s="4">
        <f>IFERROR(MATCH(351,상세표[발송순번],0),"")</f>
        <v/>
      </c>
    </row>
    <row r="357">
      <c r="J357">
        <f>IF($U357="","",INDEX(상세표[사번],$U357)&amp;"")</f>
        <v/>
      </c>
      <c r="K357">
        <f>IF($U357="","",INDEX(상세표[성명],$U357)&amp;"")</f>
        <v/>
      </c>
      <c r="L357">
        <f>IF($U357="","",INDEX(상세표[직위],$U357)&amp;"")</f>
        <v/>
      </c>
      <c r="M357">
        <f>IF($U357="","",IF(ISNUMBER(INDEX(상세표[근무일자],$U357)),TEXT(INDEX(상세표[근무일자],$U357),"yyyy-mm-dd"),INDEX(상세표[근무일자],$U357)&amp;""))</f>
        <v/>
      </c>
      <c r="N357">
        <f>IF($U357="","",IF(ISNUMBER(INDEX(상세표[시작],$U357)),TEXT(INDEX(상세표[시작],$U357),"yyyy-mm-dd hh:mm"),INDEX(상세표[시작],$U357)&amp;""))</f>
        <v/>
      </c>
      <c r="O357">
        <f>IF($U357="","",IF(ISNUMBER(INDEX(상세표[종료],$U357)),TEXT(INDEX(상세표[종료],$U357),"yyyy-mm-dd hh:mm"),INDEX(상세표[종료],$U357)&amp;""))</f>
        <v/>
      </c>
      <c r="P357">
        <f>IF($U357="","",INDEX(상세표[06~07시],$U357))</f>
        <v/>
      </c>
      <c r="Q357">
        <f>IF($U357="","",INDEX(상세표[07~18시],$U357))</f>
        <v/>
      </c>
      <c r="R357">
        <f>IF($U357="","",INDEX(상세표[18~22시],$U357))</f>
        <v/>
      </c>
      <c r="S357">
        <f>IF($U357="","",INDEX(상세표[22~06시],$U357))</f>
        <v/>
      </c>
      <c r="T357">
        <f>IF($U357="","",INDEX(상세표[기록 시간외],$U357))</f>
        <v/>
      </c>
      <c r="U357" s="4">
        <f>IFERROR(MATCH(352,상세표[발송순번],0),"")</f>
        <v/>
      </c>
    </row>
    <row r="358">
      <c r="J358">
        <f>IF($U358="","",INDEX(상세표[사번],$U358)&amp;"")</f>
        <v/>
      </c>
      <c r="K358">
        <f>IF($U358="","",INDEX(상세표[성명],$U358)&amp;"")</f>
        <v/>
      </c>
      <c r="L358">
        <f>IF($U358="","",INDEX(상세표[직위],$U358)&amp;"")</f>
        <v/>
      </c>
      <c r="M358">
        <f>IF($U358="","",IF(ISNUMBER(INDEX(상세표[근무일자],$U358)),TEXT(INDEX(상세표[근무일자],$U358),"yyyy-mm-dd"),INDEX(상세표[근무일자],$U358)&amp;""))</f>
        <v/>
      </c>
      <c r="N358">
        <f>IF($U358="","",IF(ISNUMBER(INDEX(상세표[시작],$U358)),TEXT(INDEX(상세표[시작],$U358),"yyyy-mm-dd hh:mm"),INDEX(상세표[시작],$U358)&amp;""))</f>
        <v/>
      </c>
      <c r="O358">
        <f>IF($U358="","",IF(ISNUMBER(INDEX(상세표[종료],$U358)),TEXT(INDEX(상세표[종료],$U358),"yyyy-mm-dd hh:mm"),INDEX(상세표[종료],$U358)&amp;""))</f>
        <v/>
      </c>
      <c r="P358">
        <f>IF($U358="","",INDEX(상세표[06~07시],$U358))</f>
        <v/>
      </c>
      <c r="Q358">
        <f>IF($U358="","",INDEX(상세표[07~18시],$U358))</f>
        <v/>
      </c>
      <c r="R358">
        <f>IF($U358="","",INDEX(상세표[18~22시],$U358))</f>
        <v/>
      </c>
      <c r="S358">
        <f>IF($U358="","",INDEX(상세표[22~06시],$U358))</f>
        <v/>
      </c>
      <c r="T358">
        <f>IF($U358="","",INDEX(상세표[기록 시간외],$U358))</f>
        <v/>
      </c>
      <c r="U358" s="4">
        <f>IFERROR(MATCH(353,상세표[발송순번],0),"")</f>
        <v/>
      </c>
    </row>
    <row r="359">
      <c r="J359">
        <f>IF($U359="","",INDEX(상세표[사번],$U359)&amp;"")</f>
        <v/>
      </c>
      <c r="K359">
        <f>IF($U359="","",INDEX(상세표[성명],$U359)&amp;"")</f>
        <v/>
      </c>
      <c r="L359">
        <f>IF($U359="","",INDEX(상세표[직위],$U359)&amp;"")</f>
        <v/>
      </c>
      <c r="M359">
        <f>IF($U359="","",IF(ISNUMBER(INDEX(상세표[근무일자],$U359)),TEXT(INDEX(상세표[근무일자],$U359),"yyyy-mm-dd"),INDEX(상세표[근무일자],$U359)&amp;""))</f>
        <v/>
      </c>
      <c r="N359">
        <f>IF($U359="","",IF(ISNUMBER(INDEX(상세표[시작],$U359)),TEXT(INDEX(상세표[시작],$U359),"yyyy-mm-dd hh:mm"),INDEX(상세표[시작],$U359)&amp;""))</f>
        <v/>
      </c>
      <c r="O359">
        <f>IF($U359="","",IF(ISNUMBER(INDEX(상세표[종료],$U359)),TEXT(INDEX(상세표[종료],$U359),"yyyy-mm-dd hh:mm"),INDEX(상세표[종료],$U359)&amp;""))</f>
        <v/>
      </c>
      <c r="P359">
        <f>IF($U359="","",INDEX(상세표[06~07시],$U359))</f>
        <v/>
      </c>
      <c r="Q359">
        <f>IF($U359="","",INDEX(상세표[07~18시],$U359))</f>
        <v/>
      </c>
      <c r="R359">
        <f>IF($U359="","",INDEX(상세표[18~22시],$U359))</f>
        <v/>
      </c>
      <c r="S359">
        <f>IF($U359="","",INDEX(상세표[22~06시],$U359))</f>
        <v/>
      </c>
      <c r="T359">
        <f>IF($U359="","",INDEX(상세표[기록 시간외],$U359))</f>
        <v/>
      </c>
      <c r="U359" s="4">
        <f>IFERROR(MATCH(354,상세표[발송순번],0),"")</f>
        <v/>
      </c>
    </row>
    <row r="360">
      <c r="J360">
        <f>IF($U360="","",INDEX(상세표[사번],$U360)&amp;"")</f>
        <v/>
      </c>
      <c r="K360">
        <f>IF($U360="","",INDEX(상세표[성명],$U360)&amp;"")</f>
        <v/>
      </c>
      <c r="L360">
        <f>IF($U360="","",INDEX(상세표[직위],$U360)&amp;"")</f>
        <v/>
      </c>
      <c r="M360">
        <f>IF($U360="","",IF(ISNUMBER(INDEX(상세표[근무일자],$U360)),TEXT(INDEX(상세표[근무일자],$U360),"yyyy-mm-dd"),INDEX(상세표[근무일자],$U360)&amp;""))</f>
        <v/>
      </c>
      <c r="N360">
        <f>IF($U360="","",IF(ISNUMBER(INDEX(상세표[시작],$U360)),TEXT(INDEX(상세표[시작],$U360),"yyyy-mm-dd hh:mm"),INDEX(상세표[시작],$U360)&amp;""))</f>
        <v/>
      </c>
      <c r="O360">
        <f>IF($U360="","",IF(ISNUMBER(INDEX(상세표[종료],$U360)),TEXT(INDEX(상세표[종료],$U360),"yyyy-mm-dd hh:mm"),INDEX(상세표[종료],$U360)&amp;""))</f>
        <v/>
      </c>
      <c r="P360">
        <f>IF($U360="","",INDEX(상세표[06~07시],$U360))</f>
        <v/>
      </c>
      <c r="Q360">
        <f>IF($U360="","",INDEX(상세표[07~18시],$U360))</f>
        <v/>
      </c>
      <c r="R360">
        <f>IF($U360="","",INDEX(상세표[18~22시],$U360))</f>
        <v/>
      </c>
      <c r="S360">
        <f>IF($U360="","",INDEX(상세표[22~06시],$U360))</f>
        <v/>
      </c>
      <c r="T360">
        <f>IF($U360="","",INDEX(상세표[기록 시간외],$U360))</f>
        <v/>
      </c>
      <c r="U360" s="4">
        <f>IFERROR(MATCH(355,상세표[발송순번],0),"")</f>
        <v/>
      </c>
    </row>
    <row r="361">
      <c r="J361">
        <f>IF($U361="","",INDEX(상세표[사번],$U361)&amp;"")</f>
        <v/>
      </c>
      <c r="K361">
        <f>IF($U361="","",INDEX(상세표[성명],$U361)&amp;"")</f>
        <v/>
      </c>
      <c r="L361">
        <f>IF($U361="","",INDEX(상세표[직위],$U361)&amp;"")</f>
        <v/>
      </c>
      <c r="M361">
        <f>IF($U361="","",IF(ISNUMBER(INDEX(상세표[근무일자],$U361)),TEXT(INDEX(상세표[근무일자],$U361),"yyyy-mm-dd"),INDEX(상세표[근무일자],$U361)&amp;""))</f>
        <v/>
      </c>
      <c r="N361">
        <f>IF($U361="","",IF(ISNUMBER(INDEX(상세표[시작],$U361)),TEXT(INDEX(상세표[시작],$U361),"yyyy-mm-dd hh:mm"),INDEX(상세표[시작],$U361)&amp;""))</f>
        <v/>
      </c>
      <c r="O361">
        <f>IF($U361="","",IF(ISNUMBER(INDEX(상세표[종료],$U361)),TEXT(INDEX(상세표[종료],$U361),"yyyy-mm-dd hh:mm"),INDEX(상세표[종료],$U361)&amp;""))</f>
        <v/>
      </c>
      <c r="P361">
        <f>IF($U361="","",INDEX(상세표[06~07시],$U361))</f>
        <v/>
      </c>
      <c r="Q361">
        <f>IF($U361="","",INDEX(상세표[07~18시],$U361))</f>
        <v/>
      </c>
      <c r="R361">
        <f>IF($U361="","",INDEX(상세표[18~22시],$U361))</f>
        <v/>
      </c>
      <c r="S361">
        <f>IF($U361="","",INDEX(상세표[22~06시],$U361))</f>
        <v/>
      </c>
      <c r="T361">
        <f>IF($U361="","",INDEX(상세표[기록 시간외],$U361))</f>
        <v/>
      </c>
      <c r="U361" s="4">
        <f>IFERROR(MATCH(356,상세표[발송순번],0),"")</f>
        <v/>
      </c>
    </row>
    <row r="362">
      <c r="J362">
        <f>IF($U362="","",INDEX(상세표[사번],$U362)&amp;"")</f>
        <v/>
      </c>
      <c r="K362">
        <f>IF($U362="","",INDEX(상세표[성명],$U362)&amp;"")</f>
        <v/>
      </c>
      <c r="L362">
        <f>IF($U362="","",INDEX(상세표[직위],$U362)&amp;"")</f>
        <v/>
      </c>
      <c r="M362">
        <f>IF($U362="","",IF(ISNUMBER(INDEX(상세표[근무일자],$U362)),TEXT(INDEX(상세표[근무일자],$U362),"yyyy-mm-dd"),INDEX(상세표[근무일자],$U362)&amp;""))</f>
        <v/>
      </c>
      <c r="N362">
        <f>IF($U362="","",IF(ISNUMBER(INDEX(상세표[시작],$U362)),TEXT(INDEX(상세표[시작],$U362),"yyyy-mm-dd hh:mm"),INDEX(상세표[시작],$U362)&amp;""))</f>
        <v/>
      </c>
      <c r="O362">
        <f>IF($U362="","",IF(ISNUMBER(INDEX(상세표[종료],$U362)),TEXT(INDEX(상세표[종료],$U362),"yyyy-mm-dd hh:mm"),INDEX(상세표[종료],$U362)&amp;""))</f>
        <v/>
      </c>
      <c r="P362">
        <f>IF($U362="","",INDEX(상세표[06~07시],$U362))</f>
        <v/>
      </c>
      <c r="Q362">
        <f>IF($U362="","",INDEX(상세표[07~18시],$U362))</f>
        <v/>
      </c>
      <c r="R362">
        <f>IF($U362="","",INDEX(상세표[18~22시],$U362))</f>
        <v/>
      </c>
      <c r="S362">
        <f>IF($U362="","",INDEX(상세표[22~06시],$U362))</f>
        <v/>
      </c>
      <c r="T362">
        <f>IF($U362="","",INDEX(상세표[기록 시간외],$U362))</f>
        <v/>
      </c>
      <c r="U362" s="4">
        <f>IFERROR(MATCH(357,상세표[발송순번],0),"")</f>
        <v/>
      </c>
    </row>
    <row r="363">
      <c r="J363">
        <f>IF($U363="","",INDEX(상세표[사번],$U363)&amp;"")</f>
        <v/>
      </c>
      <c r="K363">
        <f>IF($U363="","",INDEX(상세표[성명],$U363)&amp;"")</f>
        <v/>
      </c>
      <c r="L363">
        <f>IF($U363="","",INDEX(상세표[직위],$U363)&amp;"")</f>
        <v/>
      </c>
      <c r="M363">
        <f>IF($U363="","",IF(ISNUMBER(INDEX(상세표[근무일자],$U363)),TEXT(INDEX(상세표[근무일자],$U363),"yyyy-mm-dd"),INDEX(상세표[근무일자],$U363)&amp;""))</f>
        <v/>
      </c>
      <c r="N363">
        <f>IF($U363="","",IF(ISNUMBER(INDEX(상세표[시작],$U363)),TEXT(INDEX(상세표[시작],$U363),"yyyy-mm-dd hh:mm"),INDEX(상세표[시작],$U363)&amp;""))</f>
        <v/>
      </c>
      <c r="O363">
        <f>IF($U363="","",IF(ISNUMBER(INDEX(상세표[종료],$U363)),TEXT(INDEX(상세표[종료],$U363),"yyyy-mm-dd hh:mm"),INDEX(상세표[종료],$U363)&amp;""))</f>
        <v/>
      </c>
      <c r="P363">
        <f>IF($U363="","",INDEX(상세표[06~07시],$U363))</f>
        <v/>
      </c>
      <c r="Q363">
        <f>IF($U363="","",INDEX(상세표[07~18시],$U363))</f>
        <v/>
      </c>
      <c r="R363">
        <f>IF($U363="","",INDEX(상세표[18~22시],$U363))</f>
        <v/>
      </c>
      <c r="S363">
        <f>IF($U363="","",INDEX(상세표[22~06시],$U363))</f>
        <v/>
      </c>
      <c r="T363">
        <f>IF($U363="","",INDEX(상세표[기록 시간외],$U363))</f>
        <v/>
      </c>
      <c r="U363" s="4">
        <f>IFERROR(MATCH(358,상세표[발송순번],0),"")</f>
        <v/>
      </c>
    </row>
    <row r="364">
      <c r="J364">
        <f>IF($U364="","",INDEX(상세표[사번],$U364)&amp;"")</f>
        <v/>
      </c>
      <c r="K364">
        <f>IF($U364="","",INDEX(상세표[성명],$U364)&amp;"")</f>
        <v/>
      </c>
      <c r="L364">
        <f>IF($U364="","",INDEX(상세표[직위],$U364)&amp;"")</f>
        <v/>
      </c>
      <c r="M364">
        <f>IF($U364="","",IF(ISNUMBER(INDEX(상세표[근무일자],$U364)),TEXT(INDEX(상세표[근무일자],$U364),"yyyy-mm-dd"),INDEX(상세표[근무일자],$U364)&amp;""))</f>
        <v/>
      </c>
      <c r="N364">
        <f>IF($U364="","",IF(ISNUMBER(INDEX(상세표[시작],$U364)),TEXT(INDEX(상세표[시작],$U364),"yyyy-mm-dd hh:mm"),INDEX(상세표[시작],$U364)&amp;""))</f>
        <v/>
      </c>
      <c r="O364">
        <f>IF($U364="","",IF(ISNUMBER(INDEX(상세표[종료],$U364)),TEXT(INDEX(상세표[종료],$U364),"yyyy-mm-dd hh:mm"),INDEX(상세표[종료],$U364)&amp;""))</f>
        <v/>
      </c>
      <c r="P364">
        <f>IF($U364="","",INDEX(상세표[06~07시],$U364))</f>
        <v/>
      </c>
      <c r="Q364">
        <f>IF($U364="","",INDEX(상세표[07~18시],$U364))</f>
        <v/>
      </c>
      <c r="R364">
        <f>IF($U364="","",INDEX(상세표[18~22시],$U364))</f>
        <v/>
      </c>
      <c r="S364">
        <f>IF($U364="","",INDEX(상세표[22~06시],$U364))</f>
        <v/>
      </c>
      <c r="T364">
        <f>IF($U364="","",INDEX(상세표[기록 시간외],$U364))</f>
        <v/>
      </c>
      <c r="U364" s="4">
        <f>IFERROR(MATCH(359,상세표[발송순번],0),"")</f>
        <v/>
      </c>
    </row>
    <row r="365">
      <c r="J365">
        <f>IF($U365="","",INDEX(상세표[사번],$U365)&amp;"")</f>
        <v/>
      </c>
      <c r="K365">
        <f>IF($U365="","",INDEX(상세표[성명],$U365)&amp;"")</f>
        <v/>
      </c>
      <c r="L365">
        <f>IF($U365="","",INDEX(상세표[직위],$U365)&amp;"")</f>
        <v/>
      </c>
      <c r="M365">
        <f>IF($U365="","",IF(ISNUMBER(INDEX(상세표[근무일자],$U365)),TEXT(INDEX(상세표[근무일자],$U365),"yyyy-mm-dd"),INDEX(상세표[근무일자],$U365)&amp;""))</f>
        <v/>
      </c>
      <c r="N365">
        <f>IF($U365="","",IF(ISNUMBER(INDEX(상세표[시작],$U365)),TEXT(INDEX(상세표[시작],$U365),"yyyy-mm-dd hh:mm"),INDEX(상세표[시작],$U365)&amp;""))</f>
        <v/>
      </c>
      <c r="O365">
        <f>IF($U365="","",IF(ISNUMBER(INDEX(상세표[종료],$U365)),TEXT(INDEX(상세표[종료],$U365),"yyyy-mm-dd hh:mm"),INDEX(상세표[종료],$U365)&amp;""))</f>
        <v/>
      </c>
      <c r="P365">
        <f>IF($U365="","",INDEX(상세표[06~07시],$U365))</f>
        <v/>
      </c>
      <c r="Q365">
        <f>IF($U365="","",INDEX(상세표[07~18시],$U365))</f>
        <v/>
      </c>
      <c r="R365">
        <f>IF($U365="","",INDEX(상세표[18~22시],$U365))</f>
        <v/>
      </c>
      <c r="S365">
        <f>IF($U365="","",INDEX(상세표[22~06시],$U365))</f>
        <v/>
      </c>
      <c r="T365">
        <f>IF($U365="","",INDEX(상세표[기록 시간외],$U365))</f>
        <v/>
      </c>
      <c r="U365" s="4">
        <f>IFERROR(MATCH(360,상세표[발송순번],0),"")</f>
        <v/>
      </c>
    </row>
    <row r="366">
      <c r="J366">
        <f>IF($U366="","",INDEX(상세표[사번],$U366)&amp;"")</f>
        <v/>
      </c>
      <c r="K366">
        <f>IF($U366="","",INDEX(상세표[성명],$U366)&amp;"")</f>
        <v/>
      </c>
      <c r="L366">
        <f>IF($U366="","",INDEX(상세표[직위],$U366)&amp;"")</f>
        <v/>
      </c>
      <c r="M366">
        <f>IF($U366="","",IF(ISNUMBER(INDEX(상세표[근무일자],$U366)),TEXT(INDEX(상세표[근무일자],$U366),"yyyy-mm-dd"),INDEX(상세표[근무일자],$U366)&amp;""))</f>
        <v/>
      </c>
      <c r="N366">
        <f>IF($U366="","",IF(ISNUMBER(INDEX(상세표[시작],$U366)),TEXT(INDEX(상세표[시작],$U366),"yyyy-mm-dd hh:mm"),INDEX(상세표[시작],$U366)&amp;""))</f>
        <v/>
      </c>
      <c r="O366">
        <f>IF($U366="","",IF(ISNUMBER(INDEX(상세표[종료],$U366)),TEXT(INDEX(상세표[종료],$U366),"yyyy-mm-dd hh:mm"),INDEX(상세표[종료],$U366)&amp;""))</f>
        <v/>
      </c>
      <c r="P366">
        <f>IF($U366="","",INDEX(상세표[06~07시],$U366))</f>
        <v/>
      </c>
      <c r="Q366">
        <f>IF($U366="","",INDEX(상세표[07~18시],$U366))</f>
        <v/>
      </c>
      <c r="R366">
        <f>IF($U366="","",INDEX(상세표[18~22시],$U366))</f>
        <v/>
      </c>
      <c r="S366">
        <f>IF($U366="","",INDEX(상세표[22~06시],$U366))</f>
        <v/>
      </c>
      <c r="T366">
        <f>IF($U366="","",INDEX(상세표[기록 시간외],$U366))</f>
        <v/>
      </c>
      <c r="U366" s="4">
        <f>IFERROR(MATCH(361,상세표[발송순번],0),"")</f>
        <v/>
      </c>
    </row>
    <row r="367">
      <c r="J367">
        <f>IF($U367="","",INDEX(상세표[사번],$U367)&amp;"")</f>
        <v/>
      </c>
      <c r="K367">
        <f>IF($U367="","",INDEX(상세표[성명],$U367)&amp;"")</f>
        <v/>
      </c>
      <c r="L367">
        <f>IF($U367="","",INDEX(상세표[직위],$U367)&amp;"")</f>
        <v/>
      </c>
      <c r="M367">
        <f>IF($U367="","",IF(ISNUMBER(INDEX(상세표[근무일자],$U367)),TEXT(INDEX(상세표[근무일자],$U367),"yyyy-mm-dd"),INDEX(상세표[근무일자],$U367)&amp;""))</f>
        <v/>
      </c>
      <c r="N367">
        <f>IF($U367="","",IF(ISNUMBER(INDEX(상세표[시작],$U367)),TEXT(INDEX(상세표[시작],$U367),"yyyy-mm-dd hh:mm"),INDEX(상세표[시작],$U367)&amp;""))</f>
        <v/>
      </c>
      <c r="O367">
        <f>IF($U367="","",IF(ISNUMBER(INDEX(상세표[종료],$U367)),TEXT(INDEX(상세표[종료],$U367),"yyyy-mm-dd hh:mm"),INDEX(상세표[종료],$U367)&amp;""))</f>
        <v/>
      </c>
      <c r="P367">
        <f>IF($U367="","",INDEX(상세표[06~07시],$U367))</f>
        <v/>
      </c>
      <c r="Q367">
        <f>IF($U367="","",INDEX(상세표[07~18시],$U367))</f>
        <v/>
      </c>
      <c r="R367">
        <f>IF($U367="","",INDEX(상세표[18~22시],$U367))</f>
        <v/>
      </c>
      <c r="S367">
        <f>IF($U367="","",INDEX(상세표[22~06시],$U367))</f>
        <v/>
      </c>
      <c r="T367">
        <f>IF($U367="","",INDEX(상세표[기록 시간외],$U367))</f>
        <v/>
      </c>
      <c r="U367" s="4">
        <f>IFERROR(MATCH(362,상세표[발송순번],0),"")</f>
        <v/>
      </c>
    </row>
    <row r="368">
      <c r="J368">
        <f>IF($U368="","",INDEX(상세표[사번],$U368)&amp;"")</f>
        <v/>
      </c>
      <c r="K368">
        <f>IF($U368="","",INDEX(상세표[성명],$U368)&amp;"")</f>
        <v/>
      </c>
      <c r="L368">
        <f>IF($U368="","",INDEX(상세표[직위],$U368)&amp;"")</f>
        <v/>
      </c>
      <c r="M368">
        <f>IF($U368="","",IF(ISNUMBER(INDEX(상세표[근무일자],$U368)),TEXT(INDEX(상세표[근무일자],$U368),"yyyy-mm-dd"),INDEX(상세표[근무일자],$U368)&amp;""))</f>
        <v/>
      </c>
      <c r="N368">
        <f>IF($U368="","",IF(ISNUMBER(INDEX(상세표[시작],$U368)),TEXT(INDEX(상세표[시작],$U368),"yyyy-mm-dd hh:mm"),INDEX(상세표[시작],$U368)&amp;""))</f>
        <v/>
      </c>
      <c r="O368">
        <f>IF($U368="","",IF(ISNUMBER(INDEX(상세표[종료],$U368)),TEXT(INDEX(상세표[종료],$U368),"yyyy-mm-dd hh:mm"),INDEX(상세표[종료],$U368)&amp;""))</f>
        <v/>
      </c>
      <c r="P368">
        <f>IF($U368="","",INDEX(상세표[06~07시],$U368))</f>
        <v/>
      </c>
      <c r="Q368">
        <f>IF($U368="","",INDEX(상세표[07~18시],$U368))</f>
        <v/>
      </c>
      <c r="R368">
        <f>IF($U368="","",INDEX(상세표[18~22시],$U368))</f>
        <v/>
      </c>
      <c r="S368">
        <f>IF($U368="","",INDEX(상세표[22~06시],$U368))</f>
        <v/>
      </c>
      <c r="T368">
        <f>IF($U368="","",INDEX(상세표[기록 시간외],$U368))</f>
        <v/>
      </c>
      <c r="U368" s="4">
        <f>IFERROR(MATCH(363,상세표[발송순번],0),"")</f>
        <v/>
      </c>
    </row>
    <row r="369">
      <c r="J369">
        <f>IF($U369="","",INDEX(상세표[사번],$U369)&amp;"")</f>
        <v/>
      </c>
      <c r="K369">
        <f>IF($U369="","",INDEX(상세표[성명],$U369)&amp;"")</f>
        <v/>
      </c>
      <c r="L369">
        <f>IF($U369="","",INDEX(상세표[직위],$U369)&amp;"")</f>
        <v/>
      </c>
      <c r="M369">
        <f>IF($U369="","",IF(ISNUMBER(INDEX(상세표[근무일자],$U369)),TEXT(INDEX(상세표[근무일자],$U369),"yyyy-mm-dd"),INDEX(상세표[근무일자],$U369)&amp;""))</f>
        <v/>
      </c>
      <c r="N369">
        <f>IF($U369="","",IF(ISNUMBER(INDEX(상세표[시작],$U369)),TEXT(INDEX(상세표[시작],$U369),"yyyy-mm-dd hh:mm"),INDEX(상세표[시작],$U369)&amp;""))</f>
        <v/>
      </c>
      <c r="O369">
        <f>IF($U369="","",IF(ISNUMBER(INDEX(상세표[종료],$U369)),TEXT(INDEX(상세표[종료],$U369),"yyyy-mm-dd hh:mm"),INDEX(상세표[종료],$U369)&amp;""))</f>
        <v/>
      </c>
      <c r="P369">
        <f>IF($U369="","",INDEX(상세표[06~07시],$U369))</f>
        <v/>
      </c>
      <c r="Q369">
        <f>IF($U369="","",INDEX(상세표[07~18시],$U369))</f>
        <v/>
      </c>
      <c r="R369">
        <f>IF($U369="","",INDEX(상세표[18~22시],$U369))</f>
        <v/>
      </c>
      <c r="S369">
        <f>IF($U369="","",INDEX(상세표[22~06시],$U369))</f>
        <v/>
      </c>
      <c r="T369">
        <f>IF($U369="","",INDEX(상세표[기록 시간외],$U369))</f>
        <v/>
      </c>
      <c r="U369" s="4">
        <f>IFERROR(MATCH(364,상세표[발송순번],0),"")</f>
        <v/>
      </c>
    </row>
    <row r="370">
      <c r="J370">
        <f>IF($U370="","",INDEX(상세표[사번],$U370)&amp;"")</f>
        <v/>
      </c>
      <c r="K370">
        <f>IF($U370="","",INDEX(상세표[성명],$U370)&amp;"")</f>
        <v/>
      </c>
      <c r="L370">
        <f>IF($U370="","",INDEX(상세표[직위],$U370)&amp;"")</f>
        <v/>
      </c>
      <c r="M370">
        <f>IF($U370="","",IF(ISNUMBER(INDEX(상세표[근무일자],$U370)),TEXT(INDEX(상세표[근무일자],$U370),"yyyy-mm-dd"),INDEX(상세표[근무일자],$U370)&amp;""))</f>
        <v/>
      </c>
      <c r="N370">
        <f>IF($U370="","",IF(ISNUMBER(INDEX(상세표[시작],$U370)),TEXT(INDEX(상세표[시작],$U370),"yyyy-mm-dd hh:mm"),INDEX(상세표[시작],$U370)&amp;""))</f>
        <v/>
      </c>
      <c r="O370">
        <f>IF($U370="","",IF(ISNUMBER(INDEX(상세표[종료],$U370)),TEXT(INDEX(상세표[종료],$U370),"yyyy-mm-dd hh:mm"),INDEX(상세표[종료],$U370)&amp;""))</f>
        <v/>
      </c>
      <c r="P370">
        <f>IF($U370="","",INDEX(상세표[06~07시],$U370))</f>
        <v/>
      </c>
      <c r="Q370">
        <f>IF($U370="","",INDEX(상세표[07~18시],$U370))</f>
        <v/>
      </c>
      <c r="R370">
        <f>IF($U370="","",INDEX(상세표[18~22시],$U370))</f>
        <v/>
      </c>
      <c r="S370">
        <f>IF($U370="","",INDEX(상세표[22~06시],$U370))</f>
        <v/>
      </c>
      <c r="T370">
        <f>IF($U370="","",INDEX(상세표[기록 시간외],$U370))</f>
        <v/>
      </c>
      <c r="U370" s="4">
        <f>IFERROR(MATCH(365,상세표[발송순번],0),"")</f>
        <v/>
      </c>
    </row>
    <row r="371">
      <c r="J371">
        <f>IF($U371="","",INDEX(상세표[사번],$U371)&amp;"")</f>
        <v/>
      </c>
      <c r="K371">
        <f>IF($U371="","",INDEX(상세표[성명],$U371)&amp;"")</f>
        <v/>
      </c>
      <c r="L371">
        <f>IF($U371="","",INDEX(상세표[직위],$U371)&amp;"")</f>
        <v/>
      </c>
      <c r="M371">
        <f>IF($U371="","",IF(ISNUMBER(INDEX(상세표[근무일자],$U371)),TEXT(INDEX(상세표[근무일자],$U371),"yyyy-mm-dd"),INDEX(상세표[근무일자],$U371)&amp;""))</f>
        <v/>
      </c>
      <c r="N371">
        <f>IF($U371="","",IF(ISNUMBER(INDEX(상세표[시작],$U371)),TEXT(INDEX(상세표[시작],$U371),"yyyy-mm-dd hh:mm"),INDEX(상세표[시작],$U371)&amp;""))</f>
        <v/>
      </c>
      <c r="O371">
        <f>IF($U371="","",IF(ISNUMBER(INDEX(상세표[종료],$U371)),TEXT(INDEX(상세표[종료],$U371),"yyyy-mm-dd hh:mm"),INDEX(상세표[종료],$U371)&amp;""))</f>
        <v/>
      </c>
      <c r="P371">
        <f>IF($U371="","",INDEX(상세표[06~07시],$U371))</f>
        <v/>
      </c>
      <c r="Q371">
        <f>IF($U371="","",INDEX(상세표[07~18시],$U371))</f>
        <v/>
      </c>
      <c r="R371">
        <f>IF($U371="","",INDEX(상세표[18~22시],$U371))</f>
        <v/>
      </c>
      <c r="S371">
        <f>IF($U371="","",INDEX(상세표[22~06시],$U371))</f>
        <v/>
      </c>
      <c r="T371">
        <f>IF($U371="","",INDEX(상세표[기록 시간외],$U371))</f>
        <v/>
      </c>
      <c r="U371" s="4">
        <f>IFERROR(MATCH(366,상세표[발송순번],0),"")</f>
        <v/>
      </c>
    </row>
    <row r="372">
      <c r="J372">
        <f>IF($U372="","",INDEX(상세표[사번],$U372)&amp;"")</f>
        <v/>
      </c>
      <c r="K372">
        <f>IF($U372="","",INDEX(상세표[성명],$U372)&amp;"")</f>
        <v/>
      </c>
      <c r="L372">
        <f>IF($U372="","",INDEX(상세표[직위],$U372)&amp;"")</f>
        <v/>
      </c>
      <c r="M372">
        <f>IF($U372="","",IF(ISNUMBER(INDEX(상세표[근무일자],$U372)),TEXT(INDEX(상세표[근무일자],$U372),"yyyy-mm-dd"),INDEX(상세표[근무일자],$U372)&amp;""))</f>
        <v/>
      </c>
      <c r="N372">
        <f>IF($U372="","",IF(ISNUMBER(INDEX(상세표[시작],$U372)),TEXT(INDEX(상세표[시작],$U372),"yyyy-mm-dd hh:mm"),INDEX(상세표[시작],$U372)&amp;""))</f>
        <v/>
      </c>
      <c r="O372">
        <f>IF($U372="","",IF(ISNUMBER(INDEX(상세표[종료],$U372)),TEXT(INDEX(상세표[종료],$U372),"yyyy-mm-dd hh:mm"),INDEX(상세표[종료],$U372)&amp;""))</f>
        <v/>
      </c>
      <c r="P372">
        <f>IF($U372="","",INDEX(상세표[06~07시],$U372))</f>
        <v/>
      </c>
      <c r="Q372">
        <f>IF($U372="","",INDEX(상세표[07~18시],$U372))</f>
        <v/>
      </c>
      <c r="R372">
        <f>IF($U372="","",INDEX(상세표[18~22시],$U372))</f>
        <v/>
      </c>
      <c r="S372">
        <f>IF($U372="","",INDEX(상세표[22~06시],$U372))</f>
        <v/>
      </c>
      <c r="T372">
        <f>IF($U372="","",INDEX(상세표[기록 시간외],$U372))</f>
        <v/>
      </c>
      <c r="U372" s="4">
        <f>IFERROR(MATCH(367,상세표[발송순번],0),"")</f>
        <v/>
      </c>
    </row>
    <row r="373">
      <c r="J373">
        <f>IF($U373="","",INDEX(상세표[사번],$U373)&amp;"")</f>
        <v/>
      </c>
      <c r="K373">
        <f>IF($U373="","",INDEX(상세표[성명],$U373)&amp;"")</f>
        <v/>
      </c>
      <c r="L373">
        <f>IF($U373="","",INDEX(상세표[직위],$U373)&amp;"")</f>
        <v/>
      </c>
      <c r="M373">
        <f>IF($U373="","",IF(ISNUMBER(INDEX(상세표[근무일자],$U373)),TEXT(INDEX(상세표[근무일자],$U373),"yyyy-mm-dd"),INDEX(상세표[근무일자],$U373)&amp;""))</f>
        <v/>
      </c>
      <c r="N373">
        <f>IF($U373="","",IF(ISNUMBER(INDEX(상세표[시작],$U373)),TEXT(INDEX(상세표[시작],$U373),"yyyy-mm-dd hh:mm"),INDEX(상세표[시작],$U373)&amp;""))</f>
        <v/>
      </c>
      <c r="O373">
        <f>IF($U373="","",IF(ISNUMBER(INDEX(상세표[종료],$U373)),TEXT(INDEX(상세표[종료],$U373),"yyyy-mm-dd hh:mm"),INDEX(상세표[종료],$U373)&amp;""))</f>
        <v/>
      </c>
      <c r="P373">
        <f>IF($U373="","",INDEX(상세표[06~07시],$U373))</f>
        <v/>
      </c>
      <c r="Q373">
        <f>IF($U373="","",INDEX(상세표[07~18시],$U373))</f>
        <v/>
      </c>
      <c r="R373">
        <f>IF($U373="","",INDEX(상세표[18~22시],$U373))</f>
        <v/>
      </c>
      <c r="S373">
        <f>IF($U373="","",INDEX(상세표[22~06시],$U373))</f>
        <v/>
      </c>
      <c r="T373">
        <f>IF($U373="","",INDEX(상세표[기록 시간외],$U373))</f>
        <v/>
      </c>
      <c r="U373" s="4">
        <f>IFERROR(MATCH(368,상세표[발송순번],0),"")</f>
        <v/>
      </c>
    </row>
    <row r="374">
      <c r="J374">
        <f>IF($U374="","",INDEX(상세표[사번],$U374)&amp;"")</f>
        <v/>
      </c>
      <c r="K374">
        <f>IF($U374="","",INDEX(상세표[성명],$U374)&amp;"")</f>
        <v/>
      </c>
      <c r="L374">
        <f>IF($U374="","",INDEX(상세표[직위],$U374)&amp;"")</f>
        <v/>
      </c>
      <c r="M374">
        <f>IF($U374="","",IF(ISNUMBER(INDEX(상세표[근무일자],$U374)),TEXT(INDEX(상세표[근무일자],$U374),"yyyy-mm-dd"),INDEX(상세표[근무일자],$U374)&amp;""))</f>
        <v/>
      </c>
      <c r="N374">
        <f>IF($U374="","",IF(ISNUMBER(INDEX(상세표[시작],$U374)),TEXT(INDEX(상세표[시작],$U374),"yyyy-mm-dd hh:mm"),INDEX(상세표[시작],$U374)&amp;""))</f>
        <v/>
      </c>
      <c r="O374">
        <f>IF($U374="","",IF(ISNUMBER(INDEX(상세표[종료],$U374)),TEXT(INDEX(상세표[종료],$U374),"yyyy-mm-dd hh:mm"),INDEX(상세표[종료],$U374)&amp;""))</f>
        <v/>
      </c>
      <c r="P374">
        <f>IF($U374="","",INDEX(상세표[06~07시],$U374))</f>
        <v/>
      </c>
      <c r="Q374">
        <f>IF($U374="","",INDEX(상세표[07~18시],$U374))</f>
        <v/>
      </c>
      <c r="R374">
        <f>IF($U374="","",INDEX(상세표[18~22시],$U374))</f>
        <v/>
      </c>
      <c r="S374">
        <f>IF($U374="","",INDEX(상세표[22~06시],$U374))</f>
        <v/>
      </c>
      <c r="T374">
        <f>IF($U374="","",INDEX(상세표[기록 시간외],$U374))</f>
        <v/>
      </c>
      <c r="U374" s="4">
        <f>IFERROR(MATCH(369,상세표[발송순번],0),"")</f>
        <v/>
      </c>
    </row>
    <row r="375">
      <c r="J375">
        <f>IF($U375="","",INDEX(상세표[사번],$U375)&amp;"")</f>
        <v/>
      </c>
      <c r="K375">
        <f>IF($U375="","",INDEX(상세표[성명],$U375)&amp;"")</f>
        <v/>
      </c>
      <c r="L375">
        <f>IF($U375="","",INDEX(상세표[직위],$U375)&amp;"")</f>
        <v/>
      </c>
      <c r="M375">
        <f>IF($U375="","",IF(ISNUMBER(INDEX(상세표[근무일자],$U375)),TEXT(INDEX(상세표[근무일자],$U375),"yyyy-mm-dd"),INDEX(상세표[근무일자],$U375)&amp;""))</f>
        <v/>
      </c>
      <c r="N375">
        <f>IF($U375="","",IF(ISNUMBER(INDEX(상세표[시작],$U375)),TEXT(INDEX(상세표[시작],$U375),"yyyy-mm-dd hh:mm"),INDEX(상세표[시작],$U375)&amp;""))</f>
        <v/>
      </c>
      <c r="O375">
        <f>IF($U375="","",IF(ISNUMBER(INDEX(상세표[종료],$U375)),TEXT(INDEX(상세표[종료],$U375),"yyyy-mm-dd hh:mm"),INDEX(상세표[종료],$U375)&amp;""))</f>
        <v/>
      </c>
      <c r="P375">
        <f>IF($U375="","",INDEX(상세표[06~07시],$U375))</f>
        <v/>
      </c>
      <c r="Q375">
        <f>IF($U375="","",INDEX(상세표[07~18시],$U375))</f>
        <v/>
      </c>
      <c r="R375">
        <f>IF($U375="","",INDEX(상세표[18~22시],$U375))</f>
        <v/>
      </c>
      <c r="S375">
        <f>IF($U375="","",INDEX(상세표[22~06시],$U375))</f>
        <v/>
      </c>
      <c r="T375">
        <f>IF($U375="","",INDEX(상세표[기록 시간외],$U375))</f>
        <v/>
      </c>
      <c r="U375" s="4">
        <f>IFERROR(MATCH(370,상세표[발송순번],0),"")</f>
        <v/>
      </c>
    </row>
    <row r="376">
      <c r="J376">
        <f>IF($U376="","",INDEX(상세표[사번],$U376)&amp;"")</f>
        <v/>
      </c>
      <c r="K376">
        <f>IF($U376="","",INDEX(상세표[성명],$U376)&amp;"")</f>
        <v/>
      </c>
      <c r="L376">
        <f>IF($U376="","",INDEX(상세표[직위],$U376)&amp;"")</f>
        <v/>
      </c>
      <c r="M376">
        <f>IF($U376="","",IF(ISNUMBER(INDEX(상세표[근무일자],$U376)),TEXT(INDEX(상세표[근무일자],$U376),"yyyy-mm-dd"),INDEX(상세표[근무일자],$U376)&amp;""))</f>
        <v/>
      </c>
      <c r="N376">
        <f>IF($U376="","",IF(ISNUMBER(INDEX(상세표[시작],$U376)),TEXT(INDEX(상세표[시작],$U376),"yyyy-mm-dd hh:mm"),INDEX(상세표[시작],$U376)&amp;""))</f>
        <v/>
      </c>
      <c r="O376">
        <f>IF($U376="","",IF(ISNUMBER(INDEX(상세표[종료],$U376)),TEXT(INDEX(상세표[종료],$U376),"yyyy-mm-dd hh:mm"),INDEX(상세표[종료],$U376)&amp;""))</f>
        <v/>
      </c>
      <c r="P376">
        <f>IF($U376="","",INDEX(상세표[06~07시],$U376))</f>
        <v/>
      </c>
      <c r="Q376">
        <f>IF($U376="","",INDEX(상세표[07~18시],$U376))</f>
        <v/>
      </c>
      <c r="R376">
        <f>IF($U376="","",INDEX(상세표[18~22시],$U376))</f>
        <v/>
      </c>
      <c r="S376">
        <f>IF($U376="","",INDEX(상세표[22~06시],$U376))</f>
        <v/>
      </c>
      <c r="T376">
        <f>IF($U376="","",INDEX(상세표[기록 시간외],$U376))</f>
        <v/>
      </c>
      <c r="U376" s="4">
        <f>IFERROR(MATCH(371,상세표[발송순번],0),"")</f>
        <v/>
      </c>
    </row>
    <row r="377">
      <c r="J377">
        <f>IF($U377="","",INDEX(상세표[사번],$U377)&amp;"")</f>
        <v/>
      </c>
      <c r="K377">
        <f>IF($U377="","",INDEX(상세표[성명],$U377)&amp;"")</f>
        <v/>
      </c>
      <c r="L377">
        <f>IF($U377="","",INDEX(상세표[직위],$U377)&amp;"")</f>
        <v/>
      </c>
      <c r="M377">
        <f>IF($U377="","",IF(ISNUMBER(INDEX(상세표[근무일자],$U377)),TEXT(INDEX(상세표[근무일자],$U377),"yyyy-mm-dd"),INDEX(상세표[근무일자],$U377)&amp;""))</f>
        <v/>
      </c>
      <c r="N377">
        <f>IF($U377="","",IF(ISNUMBER(INDEX(상세표[시작],$U377)),TEXT(INDEX(상세표[시작],$U377),"yyyy-mm-dd hh:mm"),INDEX(상세표[시작],$U377)&amp;""))</f>
        <v/>
      </c>
      <c r="O377">
        <f>IF($U377="","",IF(ISNUMBER(INDEX(상세표[종료],$U377)),TEXT(INDEX(상세표[종료],$U377),"yyyy-mm-dd hh:mm"),INDEX(상세표[종료],$U377)&amp;""))</f>
        <v/>
      </c>
      <c r="P377">
        <f>IF($U377="","",INDEX(상세표[06~07시],$U377))</f>
        <v/>
      </c>
      <c r="Q377">
        <f>IF($U377="","",INDEX(상세표[07~18시],$U377))</f>
        <v/>
      </c>
      <c r="R377">
        <f>IF($U377="","",INDEX(상세표[18~22시],$U377))</f>
        <v/>
      </c>
      <c r="S377">
        <f>IF($U377="","",INDEX(상세표[22~06시],$U377))</f>
        <v/>
      </c>
      <c r="T377">
        <f>IF($U377="","",INDEX(상세표[기록 시간외],$U377))</f>
        <v/>
      </c>
      <c r="U377" s="4">
        <f>IFERROR(MATCH(372,상세표[발송순번],0),"")</f>
        <v/>
      </c>
    </row>
    <row r="378">
      <c r="J378">
        <f>IF($U378="","",INDEX(상세표[사번],$U378)&amp;"")</f>
        <v/>
      </c>
      <c r="K378">
        <f>IF($U378="","",INDEX(상세표[성명],$U378)&amp;"")</f>
        <v/>
      </c>
      <c r="L378">
        <f>IF($U378="","",INDEX(상세표[직위],$U378)&amp;"")</f>
        <v/>
      </c>
      <c r="M378">
        <f>IF($U378="","",IF(ISNUMBER(INDEX(상세표[근무일자],$U378)),TEXT(INDEX(상세표[근무일자],$U378),"yyyy-mm-dd"),INDEX(상세표[근무일자],$U378)&amp;""))</f>
        <v/>
      </c>
      <c r="N378">
        <f>IF($U378="","",IF(ISNUMBER(INDEX(상세표[시작],$U378)),TEXT(INDEX(상세표[시작],$U378),"yyyy-mm-dd hh:mm"),INDEX(상세표[시작],$U378)&amp;""))</f>
        <v/>
      </c>
      <c r="O378">
        <f>IF($U378="","",IF(ISNUMBER(INDEX(상세표[종료],$U378)),TEXT(INDEX(상세표[종료],$U378),"yyyy-mm-dd hh:mm"),INDEX(상세표[종료],$U378)&amp;""))</f>
        <v/>
      </c>
      <c r="P378">
        <f>IF($U378="","",INDEX(상세표[06~07시],$U378))</f>
        <v/>
      </c>
      <c r="Q378">
        <f>IF($U378="","",INDEX(상세표[07~18시],$U378))</f>
        <v/>
      </c>
      <c r="R378">
        <f>IF($U378="","",INDEX(상세표[18~22시],$U378))</f>
        <v/>
      </c>
      <c r="S378">
        <f>IF($U378="","",INDEX(상세표[22~06시],$U378))</f>
        <v/>
      </c>
      <c r="T378">
        <f>IF($U378="","",INDEX(상세표[기록 시간외],$U378))</f>
        <v/>
      </c>
      <c r="U378" s="4">
        <f>IFERROR(MATCH(373,상세표[발송순번],0),"")</f>
        <v/>
      </c>
    </row>
    <row r="379">
      <c r="J379">
        <f>IF($U379="","",INDEX(상세표[사번],$U379)&amp;"")</f>
        <v/>
      </c>
      <c r="K379">
        <f>IF($U379="","",INDEX(상세표[성명],$U379)&amp;"")</f>
        <v/>
      </c>
      <c r="L379">
        <f>IF($U379="","",INDEX(상세표[직위],$U379)&amp;"")</f>
        <v/>
      </c>
      <c r="M379">
        <f>IF($U379="","",IF(ISNUMBER(INDEX(상세표[근무일자],$U379)),TEXT(INDEX(상세표[근무일자],$U379),"yyyy-mm-dd"),INDEX(상세표[근무일자],$U379)&amp;""))</f>
        <v/>
      </c>
      <c r="N379">
        <f>IF($U379="","",IF(ISNUMBER(INDEX(상세표[시작],$U379)),TEXT(INDEX(상세표[시작],$U379),"yyyy-mm-dd hh:mm"),INDEX(상세표[시작],$U379)&amp;""))</f>
        <v/>
      </c>
      <c r="O379">
        <f>IF($U379="","",IF(ISNUMBER(INDEX(상세표[종료],$U379)),TEXT(INDEX(상세표[종료],$U379),"yyyy-mm-dd hh:mm"),INDEX(상세표[종료],$U379)&amp;""))</f>
        <v/>
      </c>
      <c r="P379">
        <f>IF($U379="","",INDEX(상세표[06~07시],$U379))</f>
        <v/>
      </c>
      <c r="Q379">
        <f>IF($U379="","",INDEX(상세표[07~18시],$U379))</f>
        <v/>
      </c>
      <c r="R379">
        <f>IF($U379="","",INDEX(상세표[18~22시],$U379))</f>
        <v/>
      </c>
      <c r="S379">
        <f>IF($U379="","",INDEX(상세표[22~06시],$U379))</f>
        <v/>
      </c>
      <c r="T379">
        <f>IF($U379="","",INDEX(상세표[기록 시간외],$U379))</f>
        <v/>
      </c>
      <c r="U379" s="4">
        <f>IFERROR(MATCH(374,상세표[발송순번],0),"")</f>
        <v/>
      </c>
    </row>
    <row r="380">
      <c r="J380">
        <f>IF($U380="","",INDEX(상세표[사번],$U380)&amp;"")</f>
        <v/>
      </c>
      <c r="K380">
        <f>IF($U380="","",INDEX(상세표[성명],$U380)&amp;"")</f>
        <v/>
      </c>
      <c r="L380">
        <f>IF($U380="","",INDEX(상세표[직위],$U380)&amp;"")</f>
        <v/>
      </c>
      <c r="M380">
        <f>IF($U380="","",IF(ISNUMBER(INDEX(상세표[근무일자],$U380)),TEXT(INDEX(상세표[근무일자],$U380),"yyyy-mm-dd"),INDEX(상세표[근무일자],$U380)&amp;""))</f>
        <v/>
      </c>
      <c r="N380">
        <f>IF($U380="","",IF(ISNUMBER(INDEX(상세표[시작],$U380)),TEXT(INDEX(상세표[시작],$U380),"yyyy-mm-dd hh:mm"),INDEX(상세표[시작],$U380)&amp;""))</f>
        <v/>
      </c>
      <c r="O380">
        <f>IF($U380="","",IF(ISNUMBER(INDEX(상세표[종료],$U380)),TEXT(INDEX(상세표[종료],$U380),"yyyy-mm-dd hh:mm"),INDEX(상세표[종료],$U380)&amp;""))</f>
        <v/>
      </c>
      <c r="P380">
        <f>IF($U380="","",INDEX(상세표[06~07시],$U380))</f>
        <v/>
      </c>
      <c r="Q380">
        <f>IF($U380="","",INDEX(상세표[07~18시],$U380))</f>
        <v/>
      </c>
      <c r="R380">
        <f>IF($U380="","",INDEX(상세표[18~22시],$U380))</f>
        <v/>
      </c>
      <c r="S380">
        <f>IF($U380="","",INDEX(상세표[22~06시],$U380))</f>
        <v/>
      </c>
      <c r="T380">
        <f>IF($U380="","",INDEX(상세표[기록 시간외],$U380))</f>
        <v/>
      </c>
      <c r="U380" s="4">
        <f>IFERROR(MATCH(375,상세표[발송순번],0),"")</f>
        <v/>
      </c>
    </row>
    <row r="381">
      <c r="J381">
        <f>IF($U381="","",INDEX(상세표[사번],$U381)&amp;"")</f>
        <v/>
      </c>
      <c r="K381">
        <f>IF($U381="","",INDEX(상세표[성명],$U381)&amp;"")</f>
        <v/>
      </c>
      <c r="L381">
        <f>IF($U381="","",INDEX(상세표[직위],$U381)&amp;"")</f>
        <v/>
      </c>
      <c r="M381">
        <f>IF($U381="","",IF(ISNUMBER(INDEX(상세표[근무일자],$U381)),TEXT(INDEX(상세표[근무일자],$U381),"yyyy-mm-dd"),INDEX(상세표[근무일자],$U381)&amp;""))</f>
        <v/>
      </c>
      <c r="N381">
        <f>IF($U381="","",IF(ISNUMBER(INDEX(상세표[시작],$U381)),TEXT(INDEX(상세표[시작],$U381),"yyyy-mm-dd hh:mm"),INDEX(상세표[시작],$U381)&amp;""))</f>
        <v/>
      </c>
      <c r="O381">
        <f>IF($U381="","",IF(ISNUMBER(INDEX(상세표[종료],$U381)),TEXT(INDEX(상세표[종료],$U381),"yyyy-mm-dd hh:mm"),INDEX(상세표[종료],$U381)&amp;""))</f>
        <v/>
      </c>
      <c r="P381">
        <f>IF($U381="","",INDEX(상세표[06~07시],$U381))</f>
        <v/>
      </c>
      <c r="Q381">
        <f>IF($U381="","",INDEX(상세표[07~18시],$U381))</f>
        <v/>
      </c>
      <c r="R381">
        <f>IF($U381="","",INDEX(상세표[18~22시],$U381))</f>
        <v/>
      </c>
      <c r="S381">
        <f>IF($U381="","",INDEX(상세표[22~06시],$U381))</f>
        <v/>
      </c>
      <c r="T381">
        <f>IF($U381="","",INDEX(상세표[기록 시간외],$U381))</f>
        <v/>
      </c>
      <c r="U381" s="4">
        <f>IFERROR(MATCH(376,상세표[발송순번],0),"")</f>
        <v/>
      </c>
    </row>
    <row r="382">
      <c r="J382">
        <f>IF($U382="","",INDEX(상세표[사번],$U382)&amp;"")</f>
        <v/>
      </c>
      <c r="K382">
        <f>IF($U382="","",INDEX(상세표[성명],$U382)&amp;"")</f>
        <v/>
      </c>
      <c r="L382">
        <f>IF($U382="","",INDEX(상세표[직위],$U382)&amp;"")</f>
        <v/>
      </c>
      <c r="M382">
        <f>IF($U382="","",IF(ISNUMBER(INDEX(상세표[근무일자],$U382)),TEXT(INDEX(상세표[근무일자],$U382),"yyyy-mm-dd"),INDEX(상세표[근무일자],$U382)&amp;""))</f>
        <v/>
      </c>
      <c r="N382">
        <f>IF($U382="","",IF(ISNUMBER(INDEX(상세표[시작],$U382)),TEXT(INDEX(상세표[시작],$U382),"yyyy-mm-dd hh:mm"),INDEX(상세표[시작],$U382)&amp;""))</f>
        <v/>
      </c>
      <c r="O382">
        <f>IF($U382="","",IF(ISNUMBER(INDEX(상세표[종료],$U382)),TEXT(INDEX(상세표[종료],$U382),"yyyy-mm-dd hh:mm"),INDEX(상세표[종료],$U382)&amp;""))</f>
        <v/>
      </c>
      <c r="P382">
        <f>IF($U382="","",INDEX(상세표[06~07시],$U382))</f>
        <v/>
      </c>
      <c r="Q382">
        <f>IF($U382="","",INDEX(상세표[07~18시],$U382))</f>
        <v/>
      </c>
      <c r="R382">
        <f>IF($U382="","",INDEX(상세표[18~22시],$U382))</f>
        <v/>
      </c>
      <c r="S382">
        <f>IF($U382="","",INDEX(상세표[22~06시],$U382))</f>
        <v/>
      </c>
      <c r="T382">
        <f>IF($U382="","",INDEX(상세표[기록 시간외],$U382))</f>
        <v/>
      </c>
      <c r="U382" s="4">
        <f>IFERROR(MATCH(377,상세표[발송순번],0),"")</f>
        <v/>
      </c>
    </row>
    <row r="383">
      <c r="J383">
        <f>IF($U383="","",INDEX(상세표[사번],$U383)&amp;"")</f>
        <v/>
      </c>
      <c r="K383">
        <f>IF($U383="","",INDEX(상세표[성명],$U383)&amp;"")</f>
        <v/>
      </c>
      <c r="L383">
        <f>IF($U383="","",INDEX(상세표[직위],$U383)&amp;"")</f>
        <v/>
      </c>
      <c r="M383">
        <f>IF($U383="","",IF(ISNUMBER(INDEX(상세표[근무일자],$U383)),TEXT(INDEX(상세표[근무일자],$U383),"yyyy-mm-dd"),INDEX(상세표[근무일자],$U383)&amp;""))</f>
        <v/>
      </c>
      <c r="N383">
        <f>IF($U383="","",IF(ISNUMBER(INDEX(상세표[시작],$U383)),TEXT(INDEX(상세표[시작],$U383),"yyyy-mm-dd hh:mm"),INDEX(상세표[시작],$U383)&amp;""))</f>
        <v/>
      </c>
      <c r="O383">
        <f>IF($U383="","",IF(ISNUMBER(INDEX(상세표[종료],$U383)),TEXT(INDEX(상세표[종료],$U383),"yyyy-mm-dd hh:mm"),INDEX(상세표[종료],$U383)&amp;""))</f>
        <v/>
      </c>
      <c r="P383">
        <f>IF($U383="","",INDEX(상세표[06~07시],$U383))</f>
        <v/>
      </c>
      <c r="Q383">
        <f>IF($U383="","",INDEX(상세표[07~18시],$U383))</f>
        <v/>
      </c>
      <c r="R383">
        <f>IF($U383="","",INDEX(상세표[18~22시],$U383))</f>
        <v/>
      </c>
      <c r="S383">
        <f>IF($U383="","",INDEX(상세표[22~06시],$U383))</f>
        <v/>
      </c>
      <c r="T383">
        <f>IF($U383="","",INDEX(상세표[기록 시간외],$U383))</f>
        <v/>
      </c>
      <c r="U383" s="4">
        <f>IFERROR(MATCH(378,상세표[발송순번],0),"")</f>
        <v/>
      </c>
    </row>
    <row r="384">
      <c r="J384">
        <f>IF($U384="","",INDEX(상세표[사번],$U384)&amp;"")</f>
        <v/>
      </c>
      <c r="K384">
        <f>IF($U384="","",INDEX(상세표[성명],$U384)&amp;"")</f>
        <v/>
      </c>
      <c r="L384">
        <f>IF($U384="","",INDEX(상세표[직위],$U384)&amp;"")</f>
        <v/>
      </c>
      <c r="M384">
        <f>IF($U384="","",IF(ISNUMBER(INDEX(상세표[근무일자],$U384)),TEXT(INDEX(상세표[근무일자],$U384),"yyyy-mm-dd"),INDEX(상세표[근무일자],$U384)&amp;""))</f>
        <v/>
      </c>
      <c r="N384">
        <f>IF($U384="","",IF(ISNUMBER(INDEX(상세표[시작],$U384)),TEXT(INDEX(상세표[시작],$U384),"yyyy-mm-dd hh:mm"),INDEX(상세표[시작],$U384)&amp;""))</f>
        <v/>
      </c>
      <c r="O384">
        <f>IF($U384="","",IF(ISNUMBER(INDEX(상세표[종료],$U384)),TEXT(INDEX(상세표[종료],$U384),"yyyy-mm-dd hh:mm"),INDEX(상세표[종료],$U384)&amp;""))</f>
        <v/>
      </c>
      <c r="P384">
        <f>IF($U384="","",INDEX(상세표[06~07시],$U384))</f>
        <v/>
      </c>
      <c r="Q384">
        <f>IF($U384="","",INDEX(상세표[07~18시],$U384))</f>
        <v/>
      </c>
      <c r="R384">
        <f>IF($U384="","",INDEX(상세표[18~22시],$U384))</f>
        <v/>
      </c>
      <c r="S384">
        <f>IF($U384="","",INDEX(상세표[22~06시],$U384))</f>
        <v/>
      </c>
      <c r="T384">
        <f>IF($U384="","",INDEX(상세표[기록 시간외],$U384))</f>
        <v/>
      </c>
      <c r="U384" s="4">
        <f>IFERROR(MATCH(379,상세표[발송순번],0),"")</f>
        <v/>
      </c>
    </row>
    <row r="385">
      <c r="J385">
        <f>IF($U385="","",INDEX(상세표[사번],$U385)&amp;"")</f>
        <v/>
      </c>
      <c r="K385">
        <f>IF($U385="","",INDEX(상세표[성명],$U385)&amp;"")</f>
        <v/>
      </c>
      <c r="L385">
        <f>IF($U385="","",INDEX(상세표[직위],$U385)&amp;"")</f>
        <v/>
      </c>
      <c r="M385">
        <f>IF($U385="","",IF(ISNUMBER(INDEX(상세표[근무일자],$U385)),TEXT(INDEX(상세표[근무일자],$U385),"yyyy-mm-dd"),INDEX(상세표[근무일자],$U385)&amp;""))</f>
        <v/>
      </c>
      <c r="N385">
        <f>IF($U385="","",IF(ISNUMBER(INDEX(상세표[시작],$U385)),TEXT(INDEX(상세표[시작],$U385),"yyyy-mm-dd hh:mm"),INDEX(상세표[시작],$U385)&amp;""))</f>
        <v/>
      </c>
      <c r="O385">
        <f>IF($U385="","",IF(ISNUMBER(INDEX(상세표[종료],$U385)),TEXT(INDEX(상세표[종료],$U385),"yyyy-mm-dd hh:mm"),INDEX(상세표[종료],$U385)&amp;""))</f>
        <v/>
      </c>
      <c r="P385">
        <f>IF($U385="","",INDEX(상세표[06~07시],$U385))</f>
        <v/>
      </c>
      <c r="Q385">
        <f>IF($U385="","",INDEX(상세표[07~18시],$U385))</f>
        <v/>
      </c>
      <c r="R385">
        <f>IF($U385="","",INDEX(상세표[18~22시],$U385))</f>
        <v/>
      </c>
      <c r="S385">
        <f>IF($U385="","",INDEX(상세표[22~06시],$U385))</f>
        <v/>
      </c>
      <c r="T385">
        <f>IF($U385="","",INDEX(상세표[기록 시간외],$U385))</f>
        <v/>
      </c>
      <c r="U385" s="4">
        <f>IFERROR(MATCH(380,상세표[발송순번],0),"")</f>
        <v/>
      </c>
    </row>
    <row r="386">
      <c r="J386">
        <f>IF($U386="","",INDEX(상세표[사번],$U386)&amp;"")</f>
        <v/>
      </c>
      <c r="K386">
        <f>IF($U386="","",INDEX(상세표[성명],$U386)&amp;"")</f>
        <v/>
      </c>
      <c r="L386">
        <f>IF($U386="","",INDEX(상세표[직위],$U386)&amp;"")</f>
        <v/>
      </c>
      <c r="M386">
        <f>IF($U386="","",IF(ISNUMBER(INDEX(상세표[근무일자],$U386)),TEXT(INDEX(상세표[근무일자],$U386),"yyyy-mm-dd"),INDEX(상세표[근무일자],$U386)&amp;""))</f>
        <v/>
      </c>
      <c r="N386">
        <f>IF($U386="","",IF(ISNUMBER(INDEX(상세표[시작],$U386)),TEXT(INDEX(상세표[시작],$U386),"yyyy-mm-dd hh:mm"),INDEX(상세표[시작],$U386)&amp;""))</f>
        <v/>
      </c>
      <c r="O386">
        <f>IF($U386="","",IF(ISNUMBER(INDEX(상세표[종료],$U386)),TEXT(INDEX(상세표[종료],$U386),"yyyy-mm-dd hh:mm"),INDEX(상세표[종료],$U386)&amp;""))</f>
        <v/>
      </c>
      <c r="P386">
        <f>IF($U386="","",INDEX(상세표[06~07시],$U386))</f>
        <v/>
      </c>
      <c r="Q386">
        <f>IF($U386="","",INDEX(상세표[07~18시],$U386))</f>
        <v/>
      </c>
      <c r="R386">
        <f>IF($U386="","",INDEX(상세표[18~22시],$U386))</f>
        <v/>
      </c>
      <c r="S386">
        <f>IF($U386="","",INDEX(상세표[22~06시],$U386))</f>
        <v/>
      </c>
      <c r="T386">
        <f>IF($U386="","",INDEX(상세표[기록 시간외],$U386))</f>
        <v/>
      </c>
      <c r="U386" s="4">
        <f>IFERROR(MATCH(381,상세표[발송순번],0),"")</f>
        <v/>
      </c>
    </row>
    <row r="387">
      <c r="J387">
        <f>IF($U387="","",INDEX(상세표[사번],$U387)&amp;"")</f>
        <v/>
      </c>
      <c r="K387">
        <f>IF($U387="","",INDEX(상세표[성명],$U387)&amp;"")</f>
        <v/>
      </c>
      <c r="L387">
        <f>IF($U387="","",INDEX(상세표[직위],$U387)&amp;"")</f>
        <v/>
      </c>
      <c r="M387">
        <f>IF($U387="","",IF(ISNUMBER(INDEX(상세표[근무일자],$U387)),TEXT(INDEX(상세표[근무일자],$U387),"yyyy-mm-dd"),INDEX(상세표[근무일자],$U387)&amp;""))</f>
        <v/>
      </c>
      <c r="N387">
        <f>IF($U387="","",IF(ISNUMBER(INDEX(상세표[시작],$U387)),TEXT(INDEX(상세표[시작],$U387),"yyyy-mm-dd hh:mm"),INDEX(상세표[시작],$U387)&amp;""))</f>
        <v/>
      </c>
      <c r="O387">
        <f>IF($U387="","",IF(ISNUMBER(INDEX(상세표[종료],$U387)),TEXT(INDEX(상세표[종료],$U387),"yyyy-mm-dd hh:mm"),INDEX(상세표[종료],$U387)&amp;""))</f>
        <v/>
      </c>
      <c r="P387">
        <f>IF($U387="","",INDEX(상세표[06~07시],$U387))</f>
        <v/>
      </c>
      <c r="Q387">
        <f>IF($U387="","",INDEX(상세표[07~18시],$U387))</f>
        <v/>
      </c>
      <c r="R387">
        <f>IF($U387="","",INDEX(상세표[18~22시],$U387))</f>
        <v/>
      </c>
      <c r="S387">
        <f>IF($U387="","",INDEX(상세표[22~06시],$U387))</f>
        <v/>
      </c>
      <c r="T387">
        <f>IF($U387="","",INDEX(상세표[기록 시간외],$U387))</f>
        <v/>
      </c>
      <c r="U387" s="4">
        <f>IFERROR(MATCH(382,상세표[발송순번],0),"")</f>
        <v/>
      </c>
    </row>
    <row r="388">
      <c r="J388">
        <f>IF($U388="","",INDEX(상세표[사번],$U388)&amp;"")</f>
        <v/>
      </c>
      <c r="K388">
        <f>IF($U388="","",INDEX(상세표[성명],$U388)&amp;"")</f>
        <v/>
      </c>
      <c r="L388">
        <f>IF($U388="","",INDEX(상세표[직위],$U388)&amp;"")</f>
        <v/>
      </c>
      <c r="M388">
        <f>IF($U388="","",IF(ISNUMBER(INDEX(상세표[근무일자],$U388)),TEXT(INDEX(상세표[근무일자],$U388),"yyyy-mm-dd"),INDEX(상세표[근무일자],$U388)&amp;""))</f>
        <v/>
      </c>
      <c r="N388">
        <f>IF($U388="","",IF(ISNUMBER(INDEX(상세표[시작],$U388)),TEXT(INDEX(상세표[시작],$U388),"yyyy-mm-dd hh:mm"),INDEX(상세표[시작],$U388)&amp;""))</f>
        <v/>
      </c>
      <c r="O388">
        <f>IF($U388="","",IF(ISNUMBER(INDEX(상세표[종료],$U388)),TEXT(INDEX(상세표[종료],$U388),"yyyy-mm-dd hh:mm"),INDEX(상세표[종료],$U388)&amp;""))</f>
        <v/>
      </c>
      <c r="P388">
        <f>IF($U388="","",INDEX(상세표[06~07시],$U388))</f>
        <v/>
      </c>
      <c r="Q388">
        <f>IF($U388="","",INDEX(상세표[07~18시],$U388))</f>
        <v/>
      </c>
      <c r="R388">
        <f>IF($U388="","",INDEX(상세표[18~22시],$U388))</f>
        <v/>
      </c>
      <c r="S388">
        <f>IF($U388="","",INDEX(상세표[22~06시],$U388))</f>
        <v/>
      </c>
      <c r="T388">
        <f>IF($U388="","",INDEX(상세표[기록 시간외],$U388))</f>
        <v/>
      </c>
      <c r="U388" s="4">
        <f>IFERROR(MATCH(383,상세표[발송순번],0),"")</f>
        <v/>
      </c>
    </row>
    <row r="389">
      <c r="J389">
        <f>IF($U389="","",INDEX(상세표[사번],$U389)&amp;"")</f>
        <v/>
      </c>
      <c r="K389">
        <f>IF($U389="","",INDEX(상세표[성명],$U389)&amp;"")</f>
        <v/>
      </c>
      <c r="L389">
        <f>IF($U389="","",INDEX(상세표[직위],$U389)&amp;"")</f>
        <v/>
      </c>
      <c r="M389">
        <f>IF($U389="","",IF(ISNUMBER(INDEX(상세표[근무일자],$U389)),TEXT(INDEX(상세표[근무일자],$U389),"yyyy-mm-dd"),INDEX(상세표[근무일자],$U389)&amp;""))</f>
        <v/>
      </c>
      <c r="N389">
        <f>IF($U389="","",IF(ISNUMBER(INDEX(상세표[시작],$U389)),TEXT(INDEX(상세표[시작],$U389),"yyyy-mm-dd hh:mm"),INDEX(상세표[시작],$U389)&amp;""))</f>
        <v/>
      </c>
      <c r="O389">
        <f>IF($U389="","",IF(ISNUMBER(INDEX(상세표[종료],$U389)),TEXT(INDEX(상세표[종료],$U389),"yyyy-mm-dd hh:mm"),INDEX(상세표[종료],$U389)&amp;""))</f>
        <v/>
      </c>
      <c r="P389">
        <f>IF($U389="","",INDEX(상세표[06~07시],$U389))</f>
        <v/>
      </c>
      <c r="Q389">
        <f>IF($U389="","",INDEX(상세표[07~18시],$U389))</f>
        <v/>
      </c>
      <c r="R389">
        <f>IF($U389="","",INDEX(상세표[18~22시],$U389))</f>
        <v/>
      </c>
      <c r="S389">
        <f>IF($U389="","",INDEX(상세표[22~06시],$U389))</f>
        <v/>
      </c>
      <c r="T389">
        <f>IF($U389="","",INDEX(상세표[기록 시간외],$U389))</f>
        <v/>
      </c>
      <c r="U389" s="4">
        <f>IFERROR(MATCH(384,상세표[발송순번],0),"")</f>
        <v/>
      </c>
    </row>
    <row r="390">
      <c r="J390">
        <f>IF($U390="","",INDEX(상세표[사번],$U390)&amp;"")</f>
        <v/>
      </c>
      <c r="K390">
        <f>IF($U390="","",INDEX(상세표[성명],$U390)&amp;"")</f>
        <v/>
      </c>
      <c r="L390">
        <f>IF($U390="","",INDEX(상세표[직위],$U390)&amp;"")</f>
        <v/>
      </c>
      <c r="M390">
        <f>IF($U390="","",IF(ISNUMBER(INDEX(상세표[근무일자],$U390)),TEXT(INDEX(상세표[근무일자],$U390),"yyyy-mm-dd"),INDEX(상세표[근무일자],$U390)&amp;""))</f>
        <v/>
      </c>
      <c r="N390">
        <f>IF($U390="","",IF(ISNUMBER(INDEX(상세표[시작],$U390)),TEXT(INDEX(상세표[시작],$U390),"yyyy-mm-dd hh:mm"),INDEX(상세표[시작],$U390)&amp;""))</f>
        <v/>
      </c>
      <c r="O390">
        <f>IF($U390="","",IF(ISNUMBER(INDEX(상세표[종료],$U390)),TEXT(INDEX(상세표[종료],$U390),"yyyy-mm-dd hh:mm"),INDEX(상세표[종료],$U390)&amp;""))</f>
        <v/>
      </c>
      <c r="P390">
        <f>IF($U390="","",INDEX(상세표[06~07시],$U390))</f>
        <v/>
      </c>
      <c r="Q390">
        <f>IF($U390="","",INDEX(상세표[07~18시],$U390))</f>
        <v/>
      </c>
      <c r="R390">
        <f>IF($U390="","",INDEX(상세표[18~22시],$U390))</f>
        <v/>
      </c>
      <c r="S390">
        <f>IF($U390="","",INDEX(상세표[22~06시],$U390))</f>
        <v/>
      </c>
      <c r="T390">
        <f>IF($U390="","",INDEX(상세표[기록 시간외],$U390))</f>
        <v/>
      </c>
      <c r="U390" s="4">
        <f>IFERROR(MATCH(385,상세표[발송순번],0),"")</f>
        <v/>
      </c>
    </row>
    <row r="391">
      <c r="J391">
        <f>IF($U391="","",INDEX(상세표[사번],$U391)&amp;"")</f>
        <v/>
      </c>
      <c r="K391">
        <f>IF($U391="","",INDEX(상세표[성명],$U391)&amp;"")</f>
        <v/>
      </c>
      <c r="L391">
        <f>IF($U391="","",INDEX(상세표[직위],$U391)&amp;"")</f>
        <v/>
      </c>
      <c r="M391">
        <f>IF($U391="","",IF(ISNUMBER(INDEX(상세표[근무일자],$U391)),TEXT(INDEX(상세표[근무일자],$U391),"yyyy-mm-dd"),INDEX(상세표[근무일자],$U391)&amp;""))</f>
        <v/>
      </c>
      <c r="N391">
        <f>IF($U391="","",IF(ISNUMBER(INDEX(상세표[시작],$U391)),TEXT(INDEX(상세표[시작],$U391),"yyyy-mm-dd hh:mm"),INDEX(상세표[시작],$U391)&amp;""))</f>
        <v/>
      </c>
      <c r="O391">
        <f>IF($U391="","",IF(ISNUMBER(INDEX(상세표[종료],$U391)),TEXT(INDEX(상세표[종료],$U391),"yyyy-mm-dd hh:mm"),INDEX(상세표[종료],$U391)&amp;""))</f>
        <v/>
      </c>
      <c r="P391">
        <f>IF($U391="","",INDEX(상세표[06~07시],$U391))</f>
        <v/>
      </c>
      <c r="Q391">
        <f>IF($U391="","",INDEX(상세표[07~18시],$U391))</f>
        <v/>
      </c>
      <c r="R391">
        <f>IF($U391="","",INDEX(상세표[18~22시],$U391))</f>
        <v/>
      </c>
      <c r="S391">
        <f>IF($U391="","",INDEX(상세표[22~06시],$U391))</f>
        <v/>
      </c>
      <c r="T391">
        <f>IF($U391="","",INDEX(상세표[기록 시간외],$U391))</f>
        <v/>
      </c>
      <c r="U391" s="4">
        <f>IFERROR(MATCH(386,상세표[발송순번],0),"")</f>
        <v/>
      </c>
    </row>
    <row r="392">
      <c r="J392">
        <f>IF($U392="","",INDEX(상세표[사번],$U392)&amp;"")</f>
        <v/>
      </c>
      <c r="K392">
        <f>IF($U392="","",INDEX(상세표[성명],$U392)&amp;"")</f>
        <v/>
      </c>
      <c r="L392">
        <f>IF($U392="","",INDEX(상세표[직위],$U392)&amp;"")</f>
        <v/>
      </c>
      <c r="M392">
        <f>IF($U392="","",IF(ISNUMBER(INDEX(상세표[근무일자],$U392)),TEXT(INDEX(상세표[근무일자],$U392),"yyyy-mm-dd"),INDEX(상세표[근무일자],$U392)&amp;""))</f>
        <v/>
      </c>
      <c r="N392">
        <f>IF($U392="","",IF(ISNUMBER(INDEX(상세표[시작],$U392)),TEXT(INDEX(상세표[시작],$U392),"yyyy-mm-dd hh:mm"),INDEX(상세표[시작],$U392)&amp;""))</f>
        <v/>
      </c>
      <c r="O392">
        <f>IF($U392="","",IF(ISNUMBER(INDEX(상세표[종료],$U392)),TEXT(INDEX(상세표[종료],$U392),"yyyy-mm-dd hh:mm"),INDEX(상세표[종료],$U392)&amp;""))</f>
        <v/>
      </c>
      <c r="P392">
        <f>IF($U392="","",INDEX(상세표[06~07시],$U392))</f>
        <v/>
      </c>
      <c r="Q392">
        <f>IF($U392="","",INDEX(상세표[07~18시],$U392))</f>
        <v/>
      </c>
      <c r="R392">
        <f>IF($U392="","",INDEX(상세표[18~22시],$U392))</f>
        <v/>
      </c>
      <c r="S392">
        <f>IF($U392="","",INDEX(상세표[22~06시],$U392))</f>
        <v/>
      </c>
      <c r="T392">
        <f>IF($U392="","",INDEX(상세표[기록 시간외],$U392))</f>
        <v/>
      </c>
      <c r="U392" s="4">
        <f>IFERROR(MATCH(387,상세표[발송순번],0),"")</f>
        <v/>
      </c>
    </row>
    <row r="393">
      <c r="J393">
        <f>IF($U393="","",INDEX(상세표[사번],$U393)&amp;"")</f>
        <v/>
      </c>
      <c r="K393">
        <f>IF($U393="","",INDEX(상세표[성명],$U393)&amp;"")</f>
        <v/>
      </c>
      <c r="L393">
        <f>IF($U393="","",INDEX(상세표[직위],$U393)&amp;"")</f>
        <v/>
      </c>
      <c r="M393">
        <f>IF($U393="","",IF(ISNUMBER(INDEX(상세표[근무일자],$U393)),TEXT(INDEX(상세표[근무일자],$U393),"yyyy-mm-dd"),INDEX(상세표[근무일자],$U393)&amp;""))</f>
        <v/>
      </c>
      <c r="N393">
        <f>IF($U393="","",IF(ISNUMBER(INDEX(상세표[시작],$U393)),TEXT(INDEX(상세표[시작],$U393),"yyyy-mm-dd hh:mm"),INDEX(상세표[시작],$U393)&amp;""))</f>
        <v/>
      </c>
      <c r="O393">
        <f>IF($U393="","",IF(ISNUMBER(INDEX(상세표[종료],$U393)),TEXT(INDEX(상세표[종료],$U393),"yyyy-mm-dd hh:mm"),INDEX(상세표[종료],$U393)&amp;""))</f>
        <v/>
      </c>
      <c r="P393">
        <f>IF($U393="","",INDEX(상세표[06~07시],$U393))</f>
        <v/>
      </c>
      <c r="Q393">
        <f>IF($U393="","",INDEX(상세표[07~18시],$U393))</f>
        <v/>
      </c>
      <c r="R393">
        <f>IF($U393="","",INDEX(상세표[18~22시],$U393))</f>
        <v/>
      </c>
      <c r="S393">
        <f>IF($U393="","",INDEX(상세표[22~06시],$U393))</f>
        <v/>
      </c>
      <c r="T393">
        <f>IF($U393="","",INDEX(상세표[기록 시간외],$U393))</f>
        <v/>
      </c>
      <c r="U393" s="4">
        <f>IFERROR(MATCH(388,상세표[발송순번],0),"")</f>
        <v/>
      </c>
    </row>
    <row r="394">
      <c r="J394">
        <f>IF($U394="","",INDEX(상세표[사번],$U394)&amp;"")</f>
        <v/>
      </c>
      <c r="K394">
        <f>IF($U394="","",INDEX(상세표[성명],$U394)&amp;"")</f>
        <v/>
      </c>
      <c r="L394">
        <f>IF($U394="","",INDEX(상세표[직위],$U394)&amp;"")</f>
        <v/>
      </c>
      <c r="M394">
        <f>IF($U394="","",IF(ISNUMBER(INDEX(상세표[근무일자],$U394)),TEXT(INDEX(상세표[근무일자],$U394),"yyyy-mm-dd"),INDEX(상세표[근무일자],$U394)&amp;""))</f>
        <v/>
      </c>
      <c r="N394">
        <f>IF($U394="","",IF(ISNUMBER(INDEX(상세표[시작],$U394)),TEXT(INDEX(상세표[시작],$U394),"yyyy-mm-dd hh:mm"),INDEX(상세표[시작],$U394)&amp;""))</f>
        <v/>
      </c>
      <c r="O394">
        <f>IF($U394="","",IF(ISNUMBER(INDEX(상세표[종료],$U394)),TEXT(INDEX(상세표[종료],$U394),"yyyy-mm-dd hh:mm"),INDEX(상세표[종료],$U394)&amp;""))</f>
        <v/>
      </c>
      <c r="P394">
        <f>IF($U394="","",INDEX(상세표[06~07시],$U394))</f>
        <v/>
      </c>
      <c r="Q394">
        <f>IF($U394="","",INDEX(상세표[07~18시],$U394))</f>
        <v/>
      </c>
      <c r="R394">
        <f>IF($U394="","",INDEX(상세표[18~22시],$U394))</f>
        <v/>
      </c>
      <c r="S394">
        <f>IF($U394="","",INDEX(상세표[22~06시],$U394))</f>
        <v/>
      </c>
      <c r="T394">
        <f>IF($U394="","",INDEX(상세표[기록 시간외],$U394))</f>
        <v/>
      </c>
      <c r="U394" s="4">
        <f>IFERROR(MATCH(389,상세표[발송순번],0),"")</f>
        <v/>
      </c>
    </row>
    <row r="395">
      <c r="J395">
        <f>IF($U395="","",INDEX(상세표[사번],$U395)&amp;"")</f>
        <v/>
      </c>
      <c r="K395">
        <f>IF($U395="","",INDEX(상세표[성명],$U395)&amp;"")</f>
        <v/>
      </c>
      <c r="L395">
        <f>IF($U395="","",INDEX(상세표[직위],$U395)&amp;"")</f>
        <v/>
      </c>
      <c r="M395">
        <f>IF($U395="","",IF(ISNUMBER(INDEX(상세표[근무일자],$U395)),TEXT(INDEX(상세표[근무일자],$U395),"yyyy-mm-dd"),INDEX(상세표[근무일자],$U395)&amp;""))</f>
        <v/>
      </c>
      <c r="N395">
        <f>IF($U395="","",IF(ISNUMBER(INDEX(상세표[시작],$U395)),TEXT(INDEX(상세표[시작],$U395),"yyyy-mm-dd hh:mm"),INDEX(상세표[시작],$U395)&amp;""))</f>
        <v/>
      </c>
      <c r="O395">
        <f>IF($U395="","",IF(ISNUMBER(INDEX(상세표[종료],$U395)),TEXT(INDEX(상세표[종료],$U395),"yyyy-mm-dd hh:mm"),INDEX(상세표[종료],$U395)&amp;""))</f>
        <v/>
      </c>
      <c r="P395">
        <f>IF($U395="","",INDEX(상세표[06~07시],$U395))</f>
        <v/>
      </c>
      <c r="Q395">
        <f>IF($U395="","",INDEX(상세표[07~18시],$U395))</f>
        <v/>
      </c>
      <c r="R395">
        <f>IF($U395="","",INDEX(상세표[18~22시],$U395))</f>
        <v/>
      </c>
      <c r="S395">
        <f>IF($U395="","",INDEX(상세표[22~06시],$U395))</f>
        <v/>
      </c>
      <c r="T395">
        <f>IF($U395="","",INDEX(상세표[기록 시간외],$U395))</f>
        <v/>
      </c>
      <c r="U395" s="4">
        <f>IFERROR(MATCH(390,상세표[발송순번],0),"")</f>
        <v/>
      </c>
    </row>
    <row r="396">
      <c r="J396">
        <f>IF($U396="","",INDEX(상세표[사번],$U396)&amp;"")</f>
        <v/>
      </c>
      <c r="K396">
        <f>IF($U396="","",INDEX(상세표[성명],$U396)&amp;"")</f>
        <v/>
      </c>
      <c r="L396">
        <f>IF($U396="","",INDEX(상세표[직위],$U396)&amp;"")</f>
        <v/>
      </c>
      <c r="M396">
        <f>IF($U396="","",IF(ISNUMBER(INDEX(상세표[근무일자],$U396)),TEXT(INDEX(상세표[근무일자],$U396),"yyyy-mm-dd"),INDEX(상세표[근무일자],$U396)&amp;""))</f>
        <v/>
      </c>
      <c r="N396">
        <f>IF($U396="","",IF(ISNUMBER(INDEX(상세표[시작],$U396)),TEXT(INDEX(상세표[시작],$U396),"yyyy-mm-dd hh:mm"),INDEX(상세표[시작],$U396)&amp;""))</f>
        <v/>
      </c>
      <c r="O396">
        <f>IF($U396="","",IF(ISNUMBER(INDEX(상세표[종료],$U396)),TEXT(INDEX(상세표[종료],$U396),"yyyy-mm-dd hh:mm"),INDEX(상세표[종료],$U396)&amp;""))</f>
        <v/>
      </c>
      <c r="P396">
        <f>IF($U396="","",INDEX(상세표[06~07시],$U396))</f>
        <v/>
      </c>
      <c r="Q396">
        <f>IF($U396="","",INDEX(상세표[07~18시],$U396))</f>
        <v/>
      </c>
      <c r="R396">
        <f>IF($U396="","",INDEX(상세표[18~22시],$U396))</f>
        <v/>
      </c>
      <c r="S396">
        <f>IF($U396="","",INDEX(상세표[22~06시],$U396))</f>
        <v/>
      </c>
      <c r="T396">
        <f>IF($U396="","",INDEX(상세표[기록 시간외],$U396))</f>
        <v/>
      </c>
      <c r="U396" s="4">
        <f>IFERROR(MATCH(391,상세표[발송순번],0),"")</f>
        <v/>
      </c>
    </row>
    <row r="397">
      <c r="J397">
        <f>IF($U397="","",INDEX(상세표[사번],$U397)&amp;"")</f>
        <v/>
      </c>
      <c r="K397">
        <f>IF($U397="","",INDEX(상세표[성명],$U397)&amp;"")</f>
        <v/>
      </c>
      <c r="L397">
        <f>IF($U397="","",INDEX(상세표[직위],$U397)&amp;"")</f>
        <v/>
      </c>
      <c r="M397">
        <f>IF($U397="","",IF(ISNUMBER(INDEX(상세표[근무일자],$U397)),TEXT(INDEX(상세표[근무일자],$U397),"yyyy-mm-dd"),INDEX(상세표[근무일자],$U397)&amp;""))</f>
        <v/>
      </c>
      <c r="N397">
        <f>IF($U397="","",IF(ISNUMBER(INDEX(상세표[시작],$U397)),TEXT(INDEX(상세표[시작],$U397),"yyyy-mm-dd hh:mm"),INDEX(상세표[시작],$U397)&amp;""))</f>
        <v/>
      </c>
      <c r="O397">
        <f>IF($U397="","",IF(ISNUMBER(INDEX(상세표[종료],$U397)),TEXT(INDEX(상세표[종료],$U397),"yyyy-mm-dd hh:mm"),INDEX(상세표[종료],$U397)&amp;""))</f>
        <v/>
      </c>
      <c r="P397">
        <f>IF($U397="","",INDEX(상세표[06~07시],$U397))</f>
        <v/>
      </c>
      <c r="Q397">
        <f>IF($U397="","",INDEX(상세표[07~18시],$U397))</f>
        <v/>
      </c>
      <c r="R397">
        <f>IF($U397="","",INDEX(상세표[18~22시],$U397))</f>
        <v/>
      </c>
      <c r="S397">
        <f>IF($U397="","",INDEX(상세표[22~06시],$U397))</f>
        <v/>
      </c>
      <c r="T397">
        <f>IF($U397="","",INDEX(상세표[기록 시간외],$U397))</f>
        <v/>
      </c>
      <c r="U397" s="4">
        <f>IFERROR(MATCH(392,상세표[발송순번],0),"")</f>
        <v/>
      </c>
    </row>
    <row r="398">
      <c r="J398">
        <f>IF($U398="","",INDEX(상세표[사번],$U398)&amp;"")</f>
        <v/>
      </c>
      <c r="K398">
        <f>IF($U398="","",INDEX(상세표[성명],$U398)&amp;"")</f>
        <v/>
      </c>
      <c r="L398">
        <f>IF($U398="","",INDEX(상세표[직위],$U398)&amp;"")</f>
        <v/>
      </c>
      <c r="M398">
        <f>IF($U398="","",IF(ISNUMBER(INDEX(상세표[근무일자],$U398)),TEXT(INDEX(상세표[근무일자],$U398),"yyyy-mm-dd"),INDEX(상세표[근무일자],$U398)&amp;""))</f>
        <v/>
      </c>
      <c r="N398">
        <f>IF($U398="","",IF(ISNUMBER(INDEX(상세표[시작],$U398)),TEXT(INDEX(상세표[시작],$U398),"yyyy-mm-dd hh:mm"),INDEX(상세표[시작],$U398)&amp;""))</f>
        <v/>
      </c>
      <c r="O398">
        <f>IF($U398="","",IF(ISNUMBER(INDEX(상세표[종료],$U398)),TEXT(INDEX(상세표[종료],$U398),"yyyy-mm-dd hh:mm"),INDEX(상세표[종료],$U398)&amp;""))</f>
        <v/>
      </c>
      <c r="P398">
        <f>IF($U398="","",INDEX(상세표[06~07시],$U398))</f>
        <v/>
      </c>
      <c r="Q398">
        <f>IF($U398="","",INDEX(상세표[07~18시],$U398))</f>
        <v/>
      </c>
      <c r="R398">
        <f>IF($U398="","",INDEX(상세표[18~22시],$U398))</f>
        <v/>
      </c>
      <c r="S398">
        <f>IF($U398="","",INDEX(상세표[22~06시],$U398))</f>
        <v/>
      </c>
      <c r="T398">
        <f>IF($U398="","",INDEX(상세표[기록 시간외],$U398))</f>
        <v/>
      </c>
      <c r="U398" s="4">
        <f>IFERROR(MATCH(393,상세표[발송순번],0),"")</f>
        <v/>
      </c>
    </row>
    <row r="399">
      <c r="J399">
        <f>IF($U399="","",INDEX(상세표[사번],$U399)&amp;"")</f>
        <v/>
      </c>
      <c r="K399">
        <f>IF($U399="","",INDEX(상세표[성명],$U399)&amp;"")</f>
        <v/>
      </c>
      <c r="L399">
        <f>IF($U399="","",INDEX(상세표[직위],$U399)&amp;"")</f>
        <v/>
      </c>
      <c r="M399">
        <f>IF($U399="","",IF(ISNUMBER(INDEX(상세표[근무일자],$U399)),TEXT(INDEX(상세표[근무일자],$U399),"yyyy-mm-dd"),INDEX(상세표[근무일자],$U399)&amp;""))</f>
        <v/>
      </c>
      <c r="N399">
        <f>IF($U399="","",IF(ISNUMBER(INDEX(상세표[시작],$U399)),TEXT(INDEX(상세표[시작],$U399),"yyyy-mm-dd hh:mm"),INDEX(상세표[시작],$U399)&amp;""))</f>
        <v/>
      </c>
      <c r="O399">
        <f>IF($U399="","",IF(ISNUMBER(INDEX(상세표[종료],$U399)),TEXT(INDEX(상세표[종료],$U399),"yyyy-mm-dd hh:mm"),INDEX(상세표[종료],$U399)&amp;""))</f>
        <v/>
      </c>
      <c r="P399">
        <f>IF($U399="","",INDEX(상세표[06~07시],$U399))</f>
        <v/>
      </c>
      <c r="Q399">
        <f>IF($U399="","",INDEX(상세표[07~18시],$U399))</f>
        <v/>
      </c>
      <c r="R399">
        <f>IF($U399="","",INDEX(상세표[18~22시],$U399))</f>
        <v/>
      </c>
      <c r="S399">
        <f>IF($U399="","",INDEX(상세표[22~06시],$U399))</f>
        <v/>
      </c>
      <c r="T399">
        <f>IF($U399="","",INDEX(상세표[기록 시간외],$U399))</f>
        <v/>
      </c>
      <c r="U399" s="4">
        <f>IFERROR(MATCH(394,상세표[발송순번],0),"")</f>
        <v/>
      </c>
    </row>
    <row r="400">
      <c r="J400">
        <f>IF($U400="","",INDEX(상세표[사번],$U400)&amp;"")</f>
        <v/>
      </c>
      <c r="K400">
        <f>IF($U400="","",INDEX(상세표[성명],$U400)&amp;"")</f>
        <v/>
      </c>
      <c r="L400">
        <f>IF($U400="","",INDEX(상세표[직위],$U400)&amp;"")</f>
        <v/>
      </c>
      <c r="M400">
        <f>IF($U400="","",IF(ISNUMBER(INDEX(상세표[근무일자],$U400)),TEXT(INDEX(상세표[근무일자],$U400),"yyyy-mm-dd"),INDEX(상세표[근무일자],$U400)&amp;""))</f>
        <v/>
      </c>
      <c r="N400">
        <f>IF($U400="","",IF(ISNUMBER(INDEX(상세표[시작],$U400)),TEXT(INDEX(상세표[시작],$U400),"yyyy-mm-dd hh:mm"),INDEX(상세표[시작],$U400)&amp;""))</f>
        <v/>
      </c>
      <c r="O400">
        <f>IF($U400="","",IF(ISNUMBER(INDEX(상세표[종료],$U400)),TEXT(INDEX(상세표[종료],$U400),"yyyy-mm-dd hh:mm"),INDEX(상세표[종료],$U400)&amp;""))</f>
        <v/>
      </c>
      <c r="P400">
        <f>IF($U400="","",INDEX(상세표[06~07시],$U400))</f>
        <v/>
      </c>
      <c r="Q400">
        <f>IF($U400="","",INDEX(상세표[07~18시],$U400))</f>
        <v/>
      </c>
      <c r="R400">
        <f>IF($U400="","",INDEX(상세표[18~22시],$U400))</f>
        <v/>
      </c>
      <c r="S400">
        <f>IF($U400="","",INDEX(상세표[22~06시],$U400))</f>
        <v/>
      </c>
      <c r="T400">
        <f>IF($U400="","",INDEX(상세표[기록 시간외],$U400))</f>
        <v/>
      </c>
      <c r="U400" s="4">
        <f>IFERROR(MATCH(395,상세표[발송순번],0),"")</f>
        <v/>
      </c>
    </row>
    <row r="401">
      <c r="J401">
        <f>IF($U401="","",INDEX(상세표[사번],$U401)&amp;"")</f>
        <v/>
      </c>
      <c r="K401">
        <f>IF($U401="","",INDEX(상세표[성명],$U401)&amp;"")</f>
        <v/>
      </c>
      <c r="L401">
        <f>IF($U401="","",INDEX(상세표[직위],$U401)&amp;"")</f>
        <v/>
      </c>
      <c r="M401">
        <f>IF($U401="","",IF(ISNUMBER(INDEX(상세표[근무일자],$U401)),TEXT(INDEX(상세표[근무일자],$U401),"yyyy-mm-dd"),INDEX(상세표[근무일자],$U401)&amp;""))</f>
        <v/>
      </c>
      <c r="N401">
        <f>IF($U401="","",IF(ISNUMBER(INDEX(상세표[시작],$U401)),TEXT(INDEX(상세표[시작],$U401),"yyyy-mm-dd hh:mm"),INDEX(상세표[시작],$U401)&amp;""))</f>
        <v/>
      </c>
      <c r="O401">
        <f>IF($U401="","",IF(ISNUMBER(INDEX(상세표[종료],$U401)),TEXT(INDEX(상세표[종료],$U401),"yyyy-mm-dd hh:mm"),INDEX(상세표[종료],$U401)&amp;""))</f>
        <v/>
      </c>
      <c r="P401">
        <f>IF($U401="","",INDEX(상세표[06~07시],$U401))</f>
        <v/>
      </c>
      <c r="Q401">
        <f>IF($U401="","",INDEX(상세표[07~18시],$U401))</f>
        <v/>
      </c>
      <c r="R401">
        <f>IF($U401="","",INDEX(상세표[18~22시],$U401))</f>
        <v/>
      </c>
      <c r="S401">
        <f>IF($U401="","",INDEX(상세표[22~06시],$U401))</f>
        <v/>
      </c>
      <c r="T401">
        <f>IF($U401="","",INDEX(상세표[기록 시간외],$U401))</f>
        <v/>
      </c>
      <c r="U401" s="4">
        <f>IFERROR(MATCH(396,상세표[발송순번],0),"")</f>
        <v/>
      </c>
    </row>
    <row r="402">
      <c r="J402">
        <f>IF($U402="","",INDEX(상세표[사번],$U402)&amp;"")</f>
        <v/>
      </c>
      <c r="K402">
        <f>IF($U402="","",INDEX(상세표[성명],$U402)&amp;"")</f>
        <v/>
      </c>
      <c r="L402">
        <f>IF($U402="","",INDEX(상세표[직위],$U402)&amp;"")</f>
        <v/>
      </c>
      <c r="M402">
        <f>IF($U402="","",IF(ISNUMBER(INDEX(상세표[근무일자],$U402)),TEXT(INDEX(상세표[근무일자],$U402),"yyyy-mm-dd"),INDEX(상세표[근무일자],$U402)&amp;""))</f>
        <v/>
      </c>
      <c r="N402">
        <f>IF($U402="","",IF(ISNUMBER(INDEX(상세표[시작],$U402)),TEXT(INDEX(상세표[시작],$U402),"yyyy-mm-dd hh:mm"),INDEX(상세표[시작],$U402)&amp;""))</f>
        <v/>
      </c>
      <c r="O402">
        <f>IF($U402="","",IF(ISNUMBER(INDEX(상세표[종료],$U402)),TEXT(INDEX(상세표[종료],$U402),"yyyy-mm-dd hh:mm"),INDEX(상세표[종료],$U402)&amp;""))</f>
        <v/>
      </c>
      <c r="P402">
        <f>IF($U402="","",INDEX(상세표[06~07시],$U402))</f>
        <v/>
      </c>
      <c r="Q402">
        <f>IF($U402="","",INDEX(상세표[07~18시],$U402))</f>
        <v/>
      </c>
      <c r="R402">
        <f>IF($U402="","",INDEX(상세표[18~22시],$U402))</f>
        <v/>
      </c>
      <c r="S402">
        <f>IF($U402="","",INDEX(상세표[22~06시],$U402))</f>
        <v/>
      </c>
      <c r="T402">
        <f>IF($U402="","",INDEX(상세표[기록 시간외],$U402))</f>
        <v/>
      </c>
      <c r="U402" s="4">
        <f>IFERROR(MATCH(397,상세표[발송순번],0),"")</f>
        <v/>
      </c>
    </row>
    <row r="403">
      <c r="J403">
        <f>IF($U403="","",INDEX(상세표[사번],$U403)&amp;"")</f>
        <v/>
      </c>
      <c r="K403">
        <f>IF($U403="","",INDEX(상세표[성명],$U403)&amp;"")</f>
        <v/>
      </c>
      <c r="L403">
        <f>IF($U403="","",INDEX(상세표[직위],$U403)&amp;"")</f>
        <v/>
      </c>
      <c r="M403">
        <f>IF($U403="","",IF(ISNUMBER(INDEX(상세표[근무일자],$U403)),TEXT(INDEX(상세표[근무일자],$U403),"yyyy-mm-dd"),INDEX(상세표[근무일자],$U403)&amp;""))</f>
        <v/>
      </c>
      <c r="N403">
        <f>IF($U403="","",IF(ISNUMBER(INDEX(상세표[시작],$U403)),TEXT(INDEX(상세표[시작],$U403),"yyyy-mm-dd hh:mm"),INDEX(상세표[시작],$U403)&amp;""))</f>
        <v/>
      </c>
      <c r="O403">
        <f>IF($U403="","",IF(ISNUMBER(INDEX(상세표[종료],$U403)),TEXT(INDEX(상세표[종료],$U403),"yyyy-mm-dd hh:mm"),INDEX(상세표[종료],$U403)&amp;""))</f>
        <v/>
      </c>
      <c r="P403">
        <f>IF($U403="","",INDEX(상세표[06~07시],$U403))</f>
        <v/>
      </c>
      <c r="Q403">
        <f>IF($U403="","",INDEX(상세표[07~18시],$U403))</f>
        <v/>
      </c>
      <c r="R403">
        <f>IF($U403="","",INDEX(상세표[18~22시],$U403))</f>
        <v/>
      </c>
      <c r="S403">
        <f>IF($U403="","",INDEX(상세표[22~06시],$U403))</f>
        <v/>
      </c>
      <c r="T403">
        <f>IF($U403="","",INDEX(상세표[기록 시간외],$U403))</f>
        <v/>
      </c>
      <c r="U403" s="4">
        <f>IFERROR(MATCH(398,상세표[발송순번],0),"")</f>
        <v/>
      </c>
    </row>
    <row r="404">
      <c r="J404">
        <f>IF($U404="","",INDEX(상세표[사번],$U404)&amp;"")</f>
        <v/>
      </c>
      <c r="K404">
        <f>IF($U404="","",INDEX(상세표[성명],$U404)&amp;"")</f>
        <v/>
      </c>
      <c r="L404">
        <f>IF($U404="","",INDEX(상세표[직위],$U404)&amp;"")</f>
        <v/>
      </c>
      <c r="M404">
        <f>IF($U404="","",IF(ISNUMBER(INDEX(상세표[근무일자],$U404)),TEXT(INDEX(상세표[근무일자],$U404),"yyyy-mm-dd"),INDEX(상세표[근무일자],$U404)&amp;""))</f>
        <v/>
      </c>
      <c r="N404">
        <f>IF($U404="","",IF(ISNUMBER(INDEX(상세표[시작],$U404)),TEXT(INDEX(상세표[시작],$U404),"yyyy-mm-dd hh:mm"),INDEX(상세표[시작],$U404)&amp;""))</f>
        <v/>
      </c>
      <c r="O404">
        <f>IF($U404="","",IF(ISNUMBER(INDEX(상세표[종료],$U404)),TEXT(INDEX(상세표[종료],$U404),"yyyy-mm-dd hh:mm"),INDEX(상세표[종료],$U404)&amp;""))</f>
        <v/>
      </c>
      <c r="P404">
        <f>IF($U404="","",INDEX(상세표[06~07시],$U404))</f>
        <v/>
      </c>
      <c r="Q404">
        <f>IF($U404="","",INDEX(상세표[07~18시],$U404))</f>
        <v/>
      </c>
      <c r="R404">
        <f>IF($U404="","",INDEX(상세표[18~22시],$U404))</f>
        <v/>
      </c>
      <c r="S404">
        <f>IF($U404="","",INDEX(상세표[22~06시],$U404))</f>
        <v/>
      </c>
      <c r="T404">
        <f>IF($U404="","",INDEX(상세표[기록 시간외],$U404))</f>
        <v/>
      </c>
      <c r="U404" s="4">
        <f>IFERROR(MATCH(399,상세표[발송순번],0),"")</f>
        <v/>
      </c>
    </row>
    <row r="405">
      <c r="J405">
        <f>IF($U405="","",INDEX(상세표[사번],$U405)&amp;"")</f>
        <v/>
      </c>
      <c r="K405">
        <f>IF($U405="","",INDEX(상세표[성명],$U405)&amp;"")</f>
        <v/>
      </c>
      <c r="L405">
        <f>IF($U405="","",INDEX(상세표[직위],$U405)&amp;"")</f>
        <v/>
      </c>
      <c r="M405">
        <f>IF($U405="","",IF(ISNUMBER(INDEX(상세표[근무일자],$U405)),TEXT(INDEX(상세표[근무일자],$U405),"yyyy-mm-dd"),INDEX(상세표[근무일자],$U405)&amp;""))</f>
        <v/>
      </c>
      <c r="N405">
        <f>IF($U405="","",IF(ISNUMBER(INDEX(상세표[시작],$U405)),TEXT(INDEX(상세표[시작],$U405),"yyyy-mm-dd hh:mm"),INDEX(상세표[시작],$U405)&amp;""))</f>
        <v/>
      </c>
      <c r="O405">
        <f>IF($U405="","",IF(ISNUMBER(INDEX(상세표[종료],$U405)),TEXT(INDEX(상세표[종료],$U405),"yyyy-mm-dd hh:mm"),INDEX(상세표[종료],$U405)&amp;""))</f>
        <v/>
      </c>
      <c r="P405">
        <f>IF($U405="","",INDEX(상세표[06~07시],$U405))</f>
        <v/>
      </c>
      <c r="Q405">
        <f>IF($U405="","",INDEX(상세표[07~18시],$U405))</f>
        <v/>
      </c>
      <c r="R405">
        <f>IF($U405="","",INDEX(상세표[18~22시],$U405))</f>
        <v/>
      </c>
      <c r="S405">
        <f>IF($U405="","",INDEX(상세표[22~06시],$U405))</f>
        <v/>
      </c>
      <c r="T405">
        <f>IF($U405="","",INDEX(상세표[기록 시간외],$U405))</f>
        <v/>
      </c>
      <c r="U405" s="4">
        <f>IFERROR(MATCH(400,상세표[발송순번],0),"")</f>
        <v/>
      </c>
    </row>
    <row r="406">
      <c r="J406">
        <f>IF($U406="","",INDEX(상세표[사번],$U406)&amp;"")</f>
        <v/>
      </c>
      <c r="K406">
        <f>IF($U406="","",INDEX(상세표[성명],$U406)&amp;"")</f>
        <v/>
      </c>
      <c r="L406">
        <f>IF($U406="","",INDEX(상세표[직위],$U406)&amp;"")</f>
        <v/>
      </c>
      <c r="M406">
        <f>IF($U406="","",IF(ISNUMBER(INDEX(상세표[근무일자],$U406)),TEXT(INDEX(상세표[근무일자],$U406),"yyyy-mm-dd"),INDEX(상세표[근무일자],$U406)&amp;""))</f>
        <v/>
      </c>
      <c r="N406">
        <f>IF($U406="","",IF(ISNUMBER(INDEX(상세표[시작],$U406)),TEXT(INDEX(상세표[시작],$U406),"yyyy-mm-dd hh:mm"),INDEX(상세표[시작],$U406)&amp;""))</f>
        <v/>
      </c>
      <c r="O406">
        <f>IF($U406="","",IF(ISNUMBER(INDEX(상세표[종료],$U406)),TEXT(INDEX(상세표[종료],$U406),"yyyy-mm-dd hh:mm"),INDEX(상세표[종료],$U406)&amp;""))</f>
        <v/>
      </c>
      <c r="P406">
        <f>IF($U406="","",INDEX(상세표[06~07시],$U406))</f>
        <v/>
      </c>
      <c r="Q406">
        <f>IF($U406="","",INDEX(상세표[07~18시],$U406))</f>
        <v/>
      </c>
      <c r="R406">
        <f>IF($U406="","",INDEX(상세표[18~22시],$U406))</f>
        <v/>
      </c>
      <c r="S406">
        <f>IF($U406="","",INDEX(상세표[22~06시],$U406))</f>
        <v/>
      </c>
      <c r="T406">
        <f>IF($U406="","",INDEX(상세표[기록 시간외],$U406))</f>
        <v/>
      </c>
      <c r="U406" s="4">
        <f>IFERROR(MATCH(401,상세표[발송순번],0),"")</f>
        <v/>
      </c>
    </row>
    <row r="407">
      <c r="J407">
        <f>IF($U407="","",INDEX(상세표[사번],$U407)&amp;"")</f>
        <v/>
      </c>
      <c r="K407">
        <f>IF($U407="","",INDEX(상세표[성명],$U407)&amp;"")</f>
        <v/>
      </c>
      <c r="L407">
        <f>IF($U407="","",INDEX(상세표[직위],$U407)&amp;"")</f>
        <v/>
      </c>
      <c r="M407">
        <f>IF($U407="","",IF(ISNUMBER(INDEX(상세표[근무일자],$U407)),TEXT(INDEX(상세표[근무일자],$U407),"yyyy-mm-dd"),INDEX(상세표[근무일자],$U407)&amp;""))</f>
        <v/>
      </c>
      <c r="N407">
        <f>IF($U407="","",IF(ISNUMBER(INDEX(상세표[시작],$U407)),TEXT(INDEX(상세표[시작],$U407),"yyyy-mm-dd hh:mm"),INDEX(상세표[시작],$U407)&amp;""))</f>
        <v/>
      </c>
      <c r="O407">
        <f>IF($U407="","",IF(ISNUMBER(INDEX(상세표[종료],$U407)),TEXT(INDEX(상세표[종료],$U407),"yyyy-mm-dd hh:mm"),INDEX(상세표[종료],$U407)&amp;""))</f>
        <v/>
      </c>
      <c r="P407">
        <f>IF($U407="","",INDEX(상세표[06~07시],$U407))</f>
        <v/>
      </c>
      <c r="Q407">
        <f>IF($U407="","",INDEX(상세표[07~18시],$U407))</f>
        <v/>
      </c>
      <c r="R407">
        <f>IF($U407="","",INDEX(상세표[18~22시],$U407))</f>
        <v/>
      </c>
      <c r="S407">
        <f>IF($U407="","",INDEX(상세표[22~06시],$U407))</f>
        <v/>
      </c>
      <c r="T407">
        <f>IF($U407="","",INDEX(상세표[기록 시간외],$U407))</f>
        <v/>
      </c>
      <c r="U407" s="4">
        <f>IFERROR(MATCH(402,상세표[발송순번],0),"")</f>
        <v/>
      </c>
    </row>
    <row r="408">
      <c r="J408">
        <f>IF($U408="","",INDEX(상세표[사번],$U408)&amp;"")</f>
        <v/>
      </c>
      <c r="K408">
        <f>IF($U408="","",INDEX(상세표[성명],$U408)&amp;"")</f>
        <v/>
      </c>
      <c r="L408">
        <f>IF($U408="","",INDEX(상세표[직위],$U408)&amp;"")</f>
        <v/>
      </c>
      <c r="M408">
        <f>IF($U408="","",IF(ISNUMBER(INDEX(상세표[근무일자],$U408)),TEXT(INDEX(상세표[근무일자],$U408),"yyyy-mm-dd"),INDEX(상세표[근무일자],$U408)&amp;""))</f>
        <v/>
      </c>
      <c r="N408">
        <f>IF($U408="","",IF(ISNUMBER(INDEX(상세표[시작],$U408)),TEXT(INDEX(상세표[시작],$U408),"yyyy-mm-dd hh:mm"),INDEX(상세표[시작],$U408)&amp;""))</f>
        <v/>
      </c>
      <c r="O408">
        <f>IF($U408="","",IF(ISNUMBER(INDEX(상세표[종료],$U408)),TEXT(INDEX(상세표[종료],$U408),"yyyy-mm-dd hh:mm"),INDEX(상세표[종료],$U408)&amp;""))</f>
        <v/>
      </c>
      <c r="P408">
        <f>IF($U408="","",INDEX(상세표[06~07시],$U408))</f>
        <v/>
      </c>
      <c r="Q408">
        <f>IF($U408="","",INDEX(상세표[07~18시],$U408))</f>
        <v/>
      </c>
      <c r="R408">
        <f>IF($U408="","",INDEX(상세표[18~22시],$U408))</f>
        <v/>
      </c>
      <c r="S408">
        <f>IF($U408="","",INDEX(상세표[22~06시],$U408))</f>
        <v/>
      </c>
      <c r="T408">
        <f>IF($U408="","",INDEX(상세표[기록 시간외],$U408))</f>
        <v/>
      </c>
      <c r="U408" s="4">
        <f>IFERROR(MATCH(403,상세표[발송순번],0),"")</f>
        <v/>
      </c>
    </row>
    <row r="409">
      <c r="J409">
        <f>IF($U409="","",INDEX(상세표[사번],$U409)&amp;"")</f>
        <v/>
      </c>
      <c r="K409">
        <f>IF($U409="","",INDEX(상세표[성명],$U409)&amp;"")</f>
        <v/>
      </c>
      <c r="L409">
        <f>IF($U409="","",INDEX(상세표[직위],$U409)&amp;"")</f>
        <v/>
      </c>
      <c r="M409">
        <f>IF($U409="","",IF(ISNUMBER(INDEX(상세표[근무일자],$U409)),TEXT(INDEX(상세표[근무일자],$U409),"yyyy-mm-dd"),INDEX(상세표[근무일자],$U409)&amp;""))</f>
        <v/>
      </c>
      <c r="N409">
        <f>IF($U409="","",IF(ISNUMBER(INDEX(상세표[시작],$U409)),TEXT(INDEX(상세표[시작],$U409),"yyyy-mm-dd hh:mm"),INDEX(상세표[시작],$U409)&amp;""))</f>
        <v/>
      </c>
      <c r="O409">
        <f>IF($U409="","",IF(ISNUMBER(INDEX(상세표[종료],$U409)),TEXT(INDEX(상세표[종료],$U409),"yyyy-mm-dd hh:mm"),INDEX(상세표[종료],$U409)&amp;""))</f>
        <v/>
      </c>
      <c r="P409">
        <f>IF($U409="","",INDEX(상세표[06~07시],$U409))</f>
        <v/>
      </c>
      <c r="Q409">
        <f>IF($U409="","",INDEX(상세표[07~18시],$U409))</f>
        <v/>
      </c>
      <c r="R409">
        <f>IF($U409="","",INDEX(상세표[18~22시],$U409))</f>
        <v/>
      </c>
      <c r="S409">
        <f>IF($U409="","",INDEX(상세표[22~06시],$U409))</f>
        <v/>
      </c>
      <c r="T409">
        <f>IF($U409="","",INDEX(상세표[기록 시간외],$U409))</f>
        <v/>
      </c>
      <c r="U409" s="4">
        <f>IFERROR(MATCH(404,상세표[발송순번],0),"")</f>
        <v/>
      </c>
    </row>
    <row r="410">
      <c r="J410">
        <f>IF($U410="","",INDEX(상세표[사번],$U410)&amp;"")</f>
        <v/>
      </c>
      <c r="K410">
        <f>IF($U410="","",INDEX(상세표[성명],$U410)&amp;"")</f>
        <v/>
      </c>
      <c r="L410">
        <f>IF($U410="","",INDEX(상세표[직위],$U410)&amp;"")</f>
        <v/>
      </c>
      <c r="M410">
        <f>IF($U410="","",IF(ISNUMBER(INDEX(상세표[근무일자],$U410)),TEXT(INDEX(상세표[근무일자],$U410),"yyyy-mm-dd"),INDEX(상세표[근무일자],$U410)&amp;""))</f>
        <v/>
      </c>
      <c r="N410">
        <f>IF($U410="","",IF(ISNUMBER(INDEX(상세표[시작],$U410)),TEXT(INDEX(상세표[시작],$U410),"yyyy-mm-dd hh:mm"),INDEX(상세표[시작],$U410)&amp;""))</f>
        <v/>
      </c>
      <c r="O410">
        <f>IF($U410="","",IF(ISNUMBER(INDEX(상세표[종료],$U410)),TEXT(INDEX(상세표[종료],$U410),"yyyy-mm-dd hh:mm"),INDEX(상세표[종료],$U410)&amp;""))</f>
        <v/>
      </c>
      <c r="P410">
        <f>IF($U410="","",INDEX(상세표[06~07시],$U410))</f>
        <v/>
      </c>
      <c r="Q410">
        <f>IF($U410="","",INDEX(상세표[07~18시],$U410))</f>
        <v/>
      </c>
      <c r="R410">
        <f>IF($U410="","",INDEX(상세표[18~22시],$U410))</f>
        <v/>
      </c>
      <c r="S410">
        <f>IF($U410="","",INDEX(상세표[22~06시],$U410))</f>
        <v/>
      </c>
      <c r="T410">
        <f>IF($U410="","",INDEX(상세표[기록 시간외],$U410))</f>
        <v/>
      </c>
      <c r="U410" s="4">
        <f>IFERROR(MATCH(405,상세표[발송순번],0),"")</f>
        <v/>
      </c>
    </row>
    <row r="411">
      <c r="J411">
        <f>IF($U411="","",INDEX(상세표[사번],$U411)&amp;"")</f>
        <v/>
      </c>
      <c r="K411">
        <f>IF($U411="","",INDEX(상세표[성명],$U411)&amp;"")</f>
        <v/>
      </c>
      <c r="L411">
        <f>IF($U411="","",INDEX(상세표[직위],$U411)&amp;"")</f>
        <v/>
      </c>
      <c r="M411">
        <f>IF($U411="","",IF(ISNUMBER(INDEX(상세표[근무일자],$U411)),TEXT(INDEX(상세표[근무일자],$U411),"yyyy-mm-dd"),INDEX(상세표[근무일자],$U411)&amp;""))</f>
        <v/>
      </c>
      <c r="N411">
        <f>IF($U411="","",IF(ISNUMBER(INDEX(상세표[시작],$U411)),TEXT(INDEX(상세표[시작],$U411),"yyyy-mm-dd hh:mm"),INDEX(상세표[시작],$U411)&amp;""))</f>
        <v/>
      </c>
      <c r="O411">
        <f>IF($U411="","",IF(ISNUMBER(INDEX(상세표[종료],$U411)),TEXT(INDEX(상세표[종료],$U411),"yyyy-mm-dd hh:mm"),INDEX(상세표[종료],$U411)&amp;""))</f>
        <v/>
      </c>
      <c r="P411">
        <f>IF($U411="","",INDEX(상세표[06~07시],$U411))</f>
        <v/>
      </c>
      <c r="Q411">
        <f>IF($U411="","",INDEX(상세표[07~18시],$U411))</f>
        <v/>
      </c>
      <c r="R411">
        <f>IF($U411="","",INDEX(상세표[18~22시],$U411))</f>
        <v/>
      </c>
      <c r="S411">
        <f>IF($U411="","",INDEX(상세표[22~06시],$U411))</f>
        <v/>
      </c>
      <c r="T411">
        <f>IF($U411="","",INDEX(상세표[기록 시간외],$U411))</f>
        <v/>
      </c>
      <c r="U411" s="4">
        <f>IFERROR(MATCH(406,상세표[발송순번],0),"")</f>
        <v/>
      </c>
    </row>
    <row r="412">
      <c r="J412">
        <f>IF($U412="","",INDEX(상세표[사번],$U412)&amp;"")</f>
        <v/>
      </c>
      <c r="K412">
        <f>IF($U412="","",INDEX(상세표[성명],$U412)&amp;"")</f>
        <v/>
      </c>
      <c r="L412">
        <f>IF($U412="","",INDEX(상세표[직위],$U412)&amp;"")</f>
        <v/>
      </c>
      <c r="M412">
        <f>IF($U412="","",IF(ISNUMBER(INDEX(상세표[근무일자],$U412)),TEXT(INDEX(상세표[근무일자],$U412),"yyyy-mm-dd"),INDEX(상세표[근무일자],$U412)&amp;""))</f>
        <v/>
      </c>
      <c r="N412">
        <f>IF($U412="","",IF(ISNUMBER(INDEX(상세표[시작],$U412)),TEXT(INDEX(상세표[시작],$U412),"yyyy-mm-dd hh:mm"),INDEX(상세표[시작],$U412)&amp;""))</f>
        <v/>
      </c>
      <c r="O412">
        <f>IF($U412="","",IF(ISNUMBER(INDEX(상세표[종료],$U412)),TEXT(INDEX(상세표[종료],$U412),"yyyy-mm-dd hh:mm"),INDEX(상세표[종료],$U412)&amp;""))</f>
        <v/>
      </c>
      <c r="P412">
        <f>IF($U412="","",INDEX(상세표[06~07시],$U412))</f>
        <v/>
      </c>
      <c r="Q412">
        <f>IF($U412="","",INDEX(상세표[07~18시],$U412))</f>
        <v/>
      </c>
      <c r="R412">
        <f>IF($U412="","",INDEX(상세표[18~22시],$U412))</f>
        <v/>
      </c>
      <c r="S412">
        <f>IF($U412="","",INDEX(상세표[22~06시],$U412))</f>
        <v/>
      </c>
      <c r="T412">
        <f>IF($U412="","",INDEX(상세표[기록 시간외],$U412))</f>
        <v/>
      </c>
      <c r="U412" s="4">
        <f>IFERROR(MATCH(407,상세표[발송순번],0),"")</f>
        <v/>
      </c>
    </row>
    <row r="413">
      <c r="J413">
        <f>IF($U413="","",INDEX(상세표[사번],$U413)&amp;"")</f>
        <v/>
      </c>
      <c r="K413">
        <f>IF($U413="","",INDEX(상세표[성명],$U413)&amp;"")</f>
        <v/>
      </c>
      <c r="L413">
        <f>IF($U413="","",INDEX(상세표[직위],$U413)&amp;"")</f>
        <v/>
      </c>
      <c r="M413">
        <f>IF($U413="","",IF(ISNUMBER(INDEX(상세표[근무일자],$U413)),TEXT(INDEX(상세표[근무일자],$U413),"yyyy-mm-dd"),INDEX(상세표[근무일자],$U413)&amp;""))</f>
        <v/>
      </c>
      <c r="N413">
        <f>IF($U413="","",IF(ISNUMBER(INDEX(상세표[시작],$U413)),TEXT(INDEX(상세표[시작],$U413),"yyyy-mm-dd hh:mm"),INDEX(상세표[시작],$U413)&amp;""))</f>
        <v/>
      </c>
      <c r="O413">
        <f>IF($U413="","",IF(ISNUMBER(INDEX(상세표[종료],$U413)),TEXT(INDEX(상세표[종료],$U413),"yyyy-mm-dd hh:mm"),INDEX(상세표[종료],$U413)&amp;""))</f>
        <v/>
      </c>
      <c r="P413">
        <f>IF($U413="","",INDEX(상세표[06~07시],$U413))</f>
        <v/>
      </c>
      <c r="Q413">
        <f>IF($U413="","",INDEX(상세표[07~18시],$U413))</f>
        <v/>
      </c>
      <c r="R413">
        <f>IF($U413="","",INDEX(상세표[18~22시],$U413))</f>
        <v/>
      </c>
      <c r="S413">
        <f>IF($U413="","",INDEX(상세표[22~06시],$U413))</f>
        <v/>
      </c>
      <c r="T413">
        <f>IF($U413="","",INDEX(상세표[기록 시간외],$U413))</f>
        <v/>
      </c>
      <c r="U413" s="4">
        <f>IFERROR(MATCH(408,상세표[발송순번],0),"")</f>
        <v/>
      </c>
    </row>
    <row r="414">
      <c r="J414">
        <f>IF($U414="","",INDEX(상세표[사번],$U414)&amp;"")</f>
        <v/>
      </c>
      <c r="K414">
        <f>IF($U414="","",INDEX(상세표[성명],$U414)&amp;"")</f>
        <v/>
      </c>
      <c r="L414">
        <f>IF($U414="","",INDEX(상세표[직위],$U414)&amp;"")</f>
        <v/>
      </c>
      <c r="M414">
        <f>IF($U414="","",IF(ISNUMBER(INDEX(상세표[근무일자],$U414)),TEXT(INDEX(상세표[근무일자],$U414),"yyyy-mm-dd"),INDEX(상세표[근무일자],$U414)&amp;""))</f>
        <v/>
      </c>
      <c r="N414">
        <f>IF($U414="","",IF(ISNUMBER(INDEX(상세표[시작],$U414)),TEXT(INDEX(상세표[시작],$U414),"yyyy-mm-dd hh:mm"),INDEX(상세표[시작],$U414)&amp;""))</f>
        <v/>
      </c>
      <c r="O414">
        <f>IF($U414="","",IF(ISNUMBER(INDEX(상세표[종료],$U414)),TEXT(INDEX(상세표[종료],$U414),"yyyy-mm-dd hh:mm"),INDEX(상세표[종료],$U414)&amp;""))</f>
        <v/>
      </c>
      <c r="P414">
        <f>IF($U414="","",INDEX(상세표[06~07시],$U414))</f>
        <v/>
      </c>
      <c r="Q414">
        <f>IF($U414="","",INDEX(상세표[07~18시],$U414))</f>
        <v/>
      </c>
      <c r="R414">
        <f>IF($U414="","",INDEX(상세표[18~22시],$U414))</f>
        <v/>
      </c>
      <c r="S414">
        <f>IF($U414="","",INDEX(상세표[22~06시],$U414))</f>
        <v/>
      </c>
      <c r="T414">
        <f>IF($U414="","",INDEX(상세표[기록 시간외],$U414))</f>
        <v/>
      </c>
      <c r="U414" s="4">
        <f>IFERROR(MATCH(409,상세표[발송순번],0),"")</f>
        <v/>
      </c>
    </row>
    <row r="415">
      <c r="J415">
        <f>IF($U415="","",INDEX(상세표[사번],$U415)&amp;"")</f>
        <v/>
      </c>
      <c r="K415">
        <f>IF($U415="","",INDEX(상세표[성명],$U415)&amp;"")</f>
        <v/>
      </c>
      <c r="L415">
        <f>IF($U415="","",INDEX(상세표[직위],$U415)&amp;"")</f>
        <v/>
      </c>
      <c r="M415">
        <f>IF($U415="","",IF(ISNUMBER(INDEX(상세표[근무일자],$U415)),TEXT(INDEX(상세표[근무일자],$U415),"yyyy-mm-dd"),INDEX(상세표[근무일자],$U415)&amp;""))</f>
        <v/>
      </c>
      <c r="N415">
        <f>IF($U415="","",IF(ISNUMBER(INDEX(상세표[시작],$U415)),TEXT(INDEX(상세표[시작],$U415),"yyyy-mm-dd hh:mm"),INDEX(상세표[시작],$U415)&amp;""))</f>
        <v/>
      </c>
      <c r="O415">
        <f>IF($U415="","",IF(ISNUMBER(INDEX(상세표[종료],$U415)),TEXT(INDEX(상세표[종료],$U415),"yyyy-mm-dd hh:mm"),INDEX(상세표[종료],$U415)&amp;""))</f>
        <v/>
      </c>
      <c r="P415">
        <f>IF($U415="","",INDEX(상세표[06~07시],$U415))</f>
        <v/>
      </c>
      <c r="Q415">
        <f>IF($U415="","",INDEX(상세표[07~18시],$U415))</f>
        <v/>
      </c>
      <c r="R415">
        <f>IF($U415="","",INDEX(상세표[18~22시],$U415))</f>
        <v/>
      </c>
      <c r="S415">
        <f>IF($U415="","",INDEX(상세표[22~06시],$U415))</f>
        <v/>
      </c>
      <c r="T415">
        <f>IF($U415="","",INDEX(상세표[기록 시간외],$U415))</f>
        <v/>
      </c>
      <c r="U415" s="4">
        <f>IFERROR(MATCH(410,상세표[발송순번],0),"")</f>
        <v/>
      </c>
    </row>
    <row r="416">
      <c r="J416">
        <f>IF($U416="","",INDEX(상세표[사번],$U416)&amp;"")</f>
        <v/>
      </c>
      <c r="K416">
        <f>IF($U416="","",INDEX(상세표[성명],$U416)&amp;"")</f>
        <v/>
      </c>
      <c r="L416">
        <f>IF($U416="","",INDEX(상세표[직위],$U416)&amp;"")</f>
        <v/>
      </c>
      <c r="M416">
        <f>IF($U416="","",IF(ISNUMBER(INDEX(상세표[근무일자],$U416)),TEXT(INDEX(상세표[근무일자],$U416),"yyyy-mm-dd"),INDEX(상세표[근무일자],$U416)&amp;""))</f>
        <v/>
      </c>
      <c r="N416">
        <f>IF($U416="","",IF(ISNUMBER(INDEX(상세표[시작],$U416)),TEXT(INDEX(상세표[시작],$U416),"yyyy-mm-dd hh:mm"),INDEX(상세표[시작],$U416)&amp;""))</f>
        <v/>
      </c>
      <c r="O416">
        <f>IF($U416="","",IF(ISNUMBER(INDEX(상세표[종료],$U416)),TEXT(INDEX(상세표[종료],$U416),"yyyy-mm-dd hh:mm"),INDEX(상세표[종료],$U416)&amp;""))</f>
        <v/>
      </c>
      <c r="P416">
        <f>IF($U416="","",INDEX(상세표[06~07시],$U416))</f>
        <v/>
      </c>
      <c r="Q416">
        <f>IF($U416="","",INDEX(상세표[07~18시],$U416))</f>
        <v/>
      </c>
      <c r="R416">
        <f>IF($U416="","",INDEX(상세표[18~22시],$U416))</f>
        <v/>
      </c>
      <c r="S416">
        <f>IF($U416="","",INDEX(상세표[22~06시],$U416))</f>
        <v/>
      </c>
      <c r="T416">
        <f>IF($U416="","",INDEX(상세표[기록 시간외],$U416))</f>
        <v/>
      </c>
      <c r="U416" s="4">
        <f>IFERROR(MATCH(411,상세표[발송순번],0),"")</f>
        <v/>
      </c>
    </row>
    <row r="417">
      <c r="J417">
        <f>IF($U417="","",INDEX(상세표[사번],$U417)&amp;"")</f>
        <v/>
      </c>
      <c r="K417">
        <f>IF($U417="","",INDEX(상세표[성명],$U417)&amp;"")</f>
        <v/>
      </c>
      <c r="L417">
        <f>IF($U417="","",INDEX(상세표[직위],$U417)&amp;"")</f>
        <v/>
      </c>
      <c r="M417">
        <f>IF($U417="","",IF(ISNUMBER(INDEX(상세표[근무일자],$U417)),TEXT(INDEX(상세표[근무일자],$U417),"yyyy-mm-dd"),INDEX(상세표[근무일자],$U417)&amp;""))</f>
        <v/>
      </c>
      <c r="N417">
        <f>IF($U417="","",IF(ISNUMBER(INDEX(상세표[시작],$U417)),TEXT(INDEX(상세표[시작],$U417),"yyyy-mm-dd hh:mm"),INDEX(상세표[시작],$U417)&amp;""))</f>
        <v/>
      </c>
      <c r="O417">
        <f>IF($U417="","",IF(ISNUMBER(INDEX(상세표[종료],$U417)),TEXT(INDEX(상세표[종료],$U417),"yyyy-mm-dd hh:mm"),INDEX(상세표[종료],$U417)&amp;""))</f>
        <v/>
      </c>
      <c r="P417">
        <f>IF($U417="","",INDEX(상세표[06~07시],$U417))</f>
        <v/>
      </c>
      <c r="Q417">
        <f>IF($U417="","",INDEX(상세표[07~18시],$U417))</f>
        <v/>
      </c>
      <c r="R417">
        <f>IF($U417="","",INDEX(상세표[18~22시],$U417))</f>
        <v/>
      </c>
      <c r="S417">
        <f>IF($U417="","",INDEX(상세표[22~06시],$U417))</f>
        <v/>
      </c>
      <c r="T417">
        <f>IF($U417="","",INDEX(상세표[기록 시간외],$U417))</f>
        <v/>
      </c>
      <c r="U417" s="4">
        <f>IFERROR(MATCH(412,상세표[발송순번],0),"")</f>
        <v/>
      </c>
    </row>
    <row r="418">
      <c r="J418">
        <f>IF($U418="","",INDEX(상세표[사번],$U418)&amp;"")</f>
        <v/>
      </c>
      <c r="K418">
        <f>IF($U418="","",INDEX(상세표[성명],$U418)&amp;"")</f>
        <v/>
      </c>
      <c r="L418">
        <f>IF($U418="","",INDEX(상세표[직위],$U418)&amp;"")</f>
        <v/>
      </c>
      <c r="M418">
        <f>IF($U418="","",IF(ISNUMBER(INDEX(상세표[근무일자],$U418)),TEXT(INDEX(상세표[근무일자],$U418),"yyyy-mm-dd"),INDEX(상세표[근무일자],$U418)&amp;""))</f>
        <v/>
      </c>
      <c r="N418">
        <f>IF($U418="","",IF(ISNUMBER(INDEX(상세표[시작],$U418)),TEXT(INDEX(상세표[시작],$U418),"yyyy-mm-dd hh:mm"),INDEX(상세표[시작],$U418)&amp;""))</f>
        <v/>
      </c>
      <c r="O418">
        <f>IF($U418="","",IF(ISNUMBER(INDEX(상세표[종료],$U418)),TEXT(INDEX(상세표[종료],$U418),"yyyy-mm-dd hh:mm"),INDEX(상세표[종료],$U418)&amp;""))</f>
        <v/>
      </c>
      <c r="P418">
        <f>IF($U418="","",INDEX(상세표[06~07시],$U418))</f>
        <v/>
      </c>
      <c r="Q418">
        <f>IF($U418="","",INDEX(상세표[07~18시],$U418))</f>
        <v/>
      </c>
      <c r="R418">
        <f>IF($U418="","",INDEX(상세표[18~22시],$U418))</f>
        <v/>
      </c>
      <c r="S418">
        <f>IF($U418="","",INDEX(상세표[22~06시],$U418))</f>
        <v/>
      </c>
      <c r="T418">
        <f>IF($U418="","",INDEX(상세표[기록 시간외],$U418))</f>
        <v/>
      </c>
      <c r="U418" s="4">
        <f>IFERROR(MATCH(413,상세표[발송순번],0),"")</f>
        <v/>
      </c>
    </row>
    <row r="419">
      <c r="J419">
        <f>IF($U419="","",INDEX(상세표[사번],$U419)&amp;"")</f>
        <v/>
      </c>
      <c r="K419">
        <f>IF($U419="","",INDEX(상세표[성명],$U419)&amp;"")</f>
        <v/>
      </c>
      <c r="L419">
        <f>IF($U419="","",INDEX(상세표[직위],$U419)&amp;"")</f>
        <v/>
      </c>
      <c r="M419">
        <f>IF($U419="","",IF(ISNUMBER(INDEX(상세표[근무일자],$U419)),TEXT(INDEX(상세표[근무일자],$U419),"yyyy-mm-dd"),INDEX(상세표[근무일자],$U419)&amp;""))</f>
        <v/>
      </c>
      <c r="N419">
        <f>IF($U419="","",IF(ISNUMBER(INDEX(상세표[시작],$U419)),TEXT(INDEX(상세표[시작],$U419),"yyyy-mm-dd hh:mm"),INDEX(상세표[시작],$U419)&amp;""))</f>
        <v/>
      </c>
      <c r="O419">
        <f>IF($U419="","",IF(ISNUMBER(INDEX(상세표[종료],$U419)),TEXT(INDEX(상세표[종료],$U419),"yyyy-mm-dd hh:mm"),INDEX(상세표[종료],$U419)&amp;""))</f>
        <v/>
      </c>
      <c r="P419">
        <f>IF($U419="","",INDEX(상세표[06~07시],$U419))</f>
        <v/>
      </c>
      <c r="Q419">
        <f>IF($U419="","",INDEX(상세표[07~18시],$U419))</f>
        <v/>
      </c>
      <c r="R419">
        <f>IF($U419="","",INDEX(상세표[18~22시],$U419))</f>
        <v/>
      </c>
      <c r="S419">
        <f>IF($U419="","",INDEX(상세표[22~06시],$U419))</f>
        <v/>
      </c>
      <c r="T419">
        <f>IF($U419="","",INDEX(상세표[기록 시간외],$U419))</f>
        <v/>
      </c>
      <c r="U419" s="4">
        <f>IFERROR(MATCH(414,상세표[발송순번],0),"")</f>
        <v/>
      </c>
    </row>
    <row r="420">
      <c r="J420">
        <f>IF($U420="","",INDEX(상세표[사번],$U420)&amp;"")</f>
        <v/>
      </c>
      <c r="K420">
        <f>IF($U420="","",INDEX(상세표[성명],$U420)&amp;"")</f>
        <v/>
      </c>
      <c r="L420">
        <f>IF($U420="","",INDEX(상세표[직위],$U420)&amp;"")</f>
        <v/>
      </c>
      <c r="M420">
        <f>IF($U420="","",IF(ISNUMBER(INDEX(상세표[근무일자],$U420)),TEXT(INDEX(상세표[근무일자],$U420),"yyyy-mm-dd"),INDEX(상세표[근무일자],$U420)&amp;""))</f>
        <v/>
      </c>
      <c r="N420">
        <f>IF($U420="","",IF(ISNUMBER(INDEX(상세표[시작],$U420)),TEXT(INDEX(상세표[시작],$U420),"yyyy-mm-dd hh:mm"),INDEX(상세표[시작],$U420)&amp;""))</f>
        <v/>
      </c>
      <c r="O420">
        <f>IF($U420="","",IF(ISNUMBER(INDEX(상세표[종료],$U420)),TEXT(INDEX(상세표[종료],$U420),"yyyy-mm-dd hh:mm"),INDEX(상세표[종료],$U420)&amp;""))</f>
        <v/>
      </c>
      <c r="P420">
        <f>IF($U420="","",INDEX(상세표[06~07시],$U420))</f>
        <v/>
      </c>
      <c r="Q420">
        <f>IF($U420="","",INDEX(상세표[07~18시],$U420))</f>
        <v/>
      </c>
      <c r="R420">
        <f>IF($U420="","",INDEX(상세표[18~22시],$U420))</f>
        <v/>
      </c>
      <c r="S420">
        <f>IF($U420="","",INDEX(상세표[22~06시],$U420))</f>
        <v/>
      </c>
      <c r="T420">
        <f>IF($U420="","",INDEX(상세표[기록 시간외],$U420))</f>
        <v/>
      </c>
      <c r="U420" s="4">
        <f>IFERROR(MATCH(415,상세표[발송순번],0),"")</f>
        <v/>
      </c>
    </row>
    <row r="421">
      <c r="J421">
        <f>IF($U421="","",INDEX(상세표[사번],$U421)&amp;"")</f>
        <v/>
      </c>
      <c r="K421">
        <f>IF($U421="","",INDEX(상세표[성명],$U421)&amp;"")</f>
        <v/>
      </c>
      <c r="L421">
        <f>IF($U421="","",INDEX(상세표[직위],$U421)&amp;"")</f>
        <v/>
      </c>
      <c r="M421">
        <f>IF($U421="","",IF(ISNUMBER(INDEX(상세표[근무일자],$U421)),TEXT(INDEX(상세표[근무일자],$U421),"yyyy-mm-dd"),INDEX(상세표[근무일자],$U421)&amp;""))</f>
        <v/>
      </c>
      <c r="N421">
        <f>IF($U421="","",IF(ISNUMBER(INDEX(상세표[시작],$U421)),TEXT(INDEX(상세표[시작],$U421),"yyyy-mm-dd hh:mm"),INDEX(상세표[시작],$U421)&amp;""))</f>
        <v/>
      </c>
      <c r="O421">
        <f>IF($U421="","",IF(ISNUMBER(INDEX(상세표[종료],$U421)),TEXT(INDEX(상세표[종료],$U421),"yyyy-mm-dd hh:mm"),INDEX(상세표[종료],$U421)&amp;""))</f>
        <v/>
      </c>
      <c r="P421">
        <f>IF($U421="","",INDEX(상세표[06~07시],$U421))</f>
        <v/>
      </c>
      <c r="Q421">
        <f>IF($U421="","",INDEX(상세표[07~18시],$U421))</f>
        <v/>
      </c>
      <c r="R421">
        <f>IF($U421="","",INDEX(상세표[18~22시],$U421))</f>
        <v/>
      </c>
      <c r="S421">
        <f>IF($U421="","",INDEX(상세표[22~06시],$U421))</f>
        <v/>
      </c>
      <c r="T421">
        <f>IF($U421="","",INDEX(상세표[기록 시간외],$U421))</f>
        <v/>
      </c>
      <c r="U421" s="4">
        <f>IFERROR(MATCH(416,상세표[발송순번],0),"")</f>
        <v/>
      </c>
    </row>
    <row r="422">
      <c r="J422">
        <f>IF($U422="","",INDEX(상세표[사번],$U422)&amp;"")</f>
        <v/>
      </c>
      <c r="K422">
        <f>IF($U422="","",INDEX(상세표[성명],$U422)&amp;"")</f>
        <v/>
      </c>
      <c r="L422">
        <f>IF($U422="","",INDEX(상세표[직위],$U422)&amp;"")</f>
        <v/>
      </c>
      <c r="M422">
        <f>IF($U422="","",IF(ISNUMBER(INDEX(상세표[근무일자],$U422)),TEXT(INDEX(상세표[근무일자],$U422),"yyyy-mm-dd"),INDEX(상세표[근무일자],$U422)&amp;""))</f>
        <v/>
      </c>
      <c r="N422">
        <f>IF($U422="","",IF(ISNUMBER(INDEX(상세표[시작],$U422)),TEXT(INDEX(상세표[시작],$U422),"yyyy-mm-dd hh:mm"),INDEX(상세표[시작],$U422)&amp;""))</f>
        <v/>
      </c>
      <c r="O422">
        <f>IF($U422="","",IF(ISNUMBER(INDEX(상세표[종료],$U422)),TEXT(INDEX(상세표[종료],$U422),"yyyy-mm-dd hh:mm"),INDEX(상세표[종료],$U422)&amp;""))</f>
        <v/>
      </c>
      <c r="P422">
        <f>IF($U422="","",INDEX(상세표[06~07시],$U422))</f>
        <v/>
      </c>
      <c r="Q422">
        <f>IF($U422="","",INDEX(상세표[07~18시],$U422))</f>
        <v/>
      </c>
      <c r="R422">
        <f>IF($U422="","",INDEX(상세표[18~22시],$U422))</f>
        <v/>
      </c>
      <c r="S422">
        <f>IF($U422="","",INDEX(상세표[22~06시],$U422))</f>
        <v/>
      </c>
      <c r="T422">
        <f>IF($U422="","",INDEX(상세표[기록 시간외],$U422))</f>
        <v/>
      </c>
      <c r="U422" s="4">
        <f>IFERROR(MATCH(417,상세표[발송순번],0),"")</f>
        <v/>
      </c>
    </row>
    <row r="423">
      <c r="J423">
        <f>IF($U423="","",INDEX(상세표[사번],$U423)&amp;"")</f>
        <v/>
      </c>
      <c r="K423">
        <f>IF($U423="","",INDEX(상세표[성명],$U423)&amp;"")</f>
        <v/>
      </c>
      <c r="L423">
        <f>IF($U423="","",INDEX(상세표[직위],$U423)&amp;"")</f>
        <v/>
      </c>
      <c r="M423">
        <f>IF($U423="","",IF(ISNUMBER(INDEX(상세표[근무일자],$U423)),TEXT(INDEX(상세표[근무일자],$U423),"yyyy-mm-dd"),INDEX(상세표[근무일자],$U423)&amp;""))</f>
        <v/>
      </c>
      <c r="N423">
        <f>IF($U423="","",IF(ISNUMBER(INDEX(상세표[시작],$U423)),TEXT(INDEX(상세표[시작],$U423),"yyyy-mm-dd hh:mm"),INDEX(상세표[시작],$U423)&amp;""))</f>
        <v/>
      </c>
      <c r="O423">
        <f>IF($U423="","",IF(ISNUMBER(INDEX(상세표[종료],$U423)),TEXT(INDEX(상세표[종료],$U423),"yyyy-mm-dd hh:mm"),INDEX(상세표[종료],$U423)&amp;""))</f>
        <v/>
      </c>
      <c r="P423">
        <f>IF($U423="","",INDEX(상세표[06~07시],$U423))</f>
        <v/>
      </c>
      <c r="Q423">
        <f>IF($U423="","",INDEX(상세표[07~18시],$U423))</f>
        <v/>
      </c>
      <c r="R423">
        <f>IF($U423="","",INDEX(상세표[18~22시],$U423))</f>
        <v/>
      </c>
      <c r="S423">
        <f>IF($U423="","",INDEX(상세표[22~06시],$U423))</f>
        <v/>
      </c>
      <c r="T423">
        <f>IF($U423="","",INDEX(상세표[기록 시간외],$U423))</f>
        <v/>
      </c>
      <c r="U423" s="4">
        <f>IFERROR(MATCH(418,상세표[발송순번],0),"")</f>
        <v/>
      </c>
    </row>
    <row r="424">
      <c r="J424">
        <f>IF($U424="","",INDEX(상세표[사번],$U424)&amp;"")</f>
        <v/>
      </c>
      <c r="K424">
        <f>IF($U424="","",INDEX(상세표[성명],$U424)&amp;"")</f>
        <v/>
      </c>
      <c r="L424">
        <f>IF($U424="","",INDEX(상세표[직위],$U424)&amp;"")</f>
        <v/>
      </c>
      <c r="M424">
        <f>IF($U424="","",IF(ISNUMBER(INDEX(상세표[근무일자],$U424)),TEXT(INDEX(상세표[근무일자],$U424),"yyyy-mm-dd"),INDEX(상세표[근무일자],$U424)&amp;""))</f>
        <v/>
      </c>
      <c r="N424">
        <f>IF($U424="","",IF(ISNUMBER(INDEX(상세표[시작],$U424)),TEXT(INDEX(상세표[시작],$U424),"yyyy-mm-dd hh:mm"),INDEX(상세표[시작],$U424)&amp;""))</f>
        <v/>
      </c>
      <c r="O424">
        <f>IF($U424="","",IF(ISNUMBER(INDEX(상세표[종료],$U424)),TEXT(INDEX(상세표[종료],$U424),"yyyy-mm-dd hh:mm"),INDEX(상세표[종료],$U424)&amp;""))</f>
        <v/>
      </c>
      <c r="P424">
        <f>IF($U424="","",INDEX(상세표[06~07시],$U424))</f>
        <v/>
      </c>
      <c r="Q424">
        <f>IF($U424="","",INDEX(상세표[07~18시],$U424))</f>
        <v/>
      </c>
      <c r="R424">
        <f>IF($U424="","",INDEX(상세표[18~22시],$U424))</f>
        <v/>
      </c>
      <c r="S424">
        <f>IF($U424="","",INDEX(상세표[22~06시],$U424))</f>
        <v/>
      </c>
      <c r="T424">
        <f>IF($U424="","",INDEX(상세표[기록 시간외],$U424))</f>
        <v/>
      </c>
      <c r="U424" s="4">
        <f>IFERROR(MATCH(419,상세표[발송순번],0),"")</f>
        <v/>
      </c>
    </row>
    <row r="425">
      <c r="J425">
        <f>IF($U425="","",INDEX(상세표[사번],$U425)&amp;"")</f>
        <v/>
      </c>
      <c r="K425">
        <f>IF($U425="","",INDEX(상세표[성명],$U425)&amp;"")</f>
        <v/>
      </c>
      <c r="L425">
        <f>IF($U425="","",INDEX(상세표[직위],$U425)&amp;"")</f>
        <v/>
      </c>
      <c r="M425">
        <f>IF($U425="","",IF(ISNUMBER(INDEX(상세표[근무일자],$U425)),TEXT(INDEX(상세표[근무일자],$U425),"yyyy-mm-dd"),INDEX(상세표[근무일자],$U425)&amp;""))</f>
        <v/>
      </c>
      <c r="N425">
        <f>IF($U425="","",IF(ISNUMBER(INDEX(상세표[시작],$U425)),TEXT(INDEX(상세표[시작],$U425),"yyyy-mm-dd hh:mm"),INDEX(상세표[시작],$U425)&amp;""))</f>
        <v/>
      </c>
      <c r="O425">
        <f>IF($U425="","",IF(ISNUMBER(INDEX(상세표[종료],$U425)),TEXT(INDEX(상세표[종료],$U425),"yyyy-mm-dd hh:mm"),INDEX(상세표[종료],$U425)&amp;""))</f>
        <v/>
      </c>
      <c r="P425">
        <f>IF($U425="","",INDEX(상세표[06~07시],$U425))</f>
        <v/>
      </c>
      <c r="Q425">
        <f>IF($U425="","",INDEX(상세표[07~18시],$U425))</f>
        <v/>
      </c>
      <c r="R425">
        <f>IF($U425="","",INDEX(상세표[18~22시],$U425))</f>
        <v/>
      </c>
      <c r="S425">
        <f>IF($U425="","",INDEX(상세표[22~06시],$U425))</f>
        <v/>
      </c>
      <c r="T425">
        <f>IF($U425="","",INDEX(상세표[기록 시간외],$U425))</f>
        <v/>
      </c>
      <c r="U425" s="4">
        <f>IFERROR(MATCH(420,상세표[발송순번],0),"")</f>
        <v/>
      </c>
    </row>
    <row r="426">
      <c r="J426">
        <f>IF($U426="","",INDEX(상세표[사번],$U426)&amp;"")</f>
        <v/>
      </c>
      <c r="K426">
        <f>IF($U426="","",INDEX(상세표[성명],$U426)&amp;"")</f>
        <v/>
      </c>
      <c r="L426">
        <f>IF($U426="","",INDEX(상세표[직위],$U426)&amp;"")</f>
        <v/>
      </c>
      <c r="M426">
        <f>IF($U426="","",IF(ISNUMBER(INDEX(상세표[근무일자],$U426)),TEXT(INDEX(상세표[근무일자],$U426),"yyyy-mm-dd"),INDEX(상세표[근무일자],$U426)&amp;""))</f>
        <v/>
      </c>
      <c r="N426">
        <f>IF($U426="","",IF(ISNUMBER(INDEX(상세표[시작],$U426)),TEXT(INDEX(상세표[시작],$U426),"yyyy-mm-dd hh:mm"),INDEX(상세표[시작],$U426)&amp;""))</f>
        <v/>
      </c>
      <c r="O426">
        <f>IF($U426="","",IF(ISNUMBER(INDEX(상세표[종료],$U426)),TEXT(INDEX(상세표[종료],$U426),"yyyy-mm-dd hh:mm"),INDEX(상세표[종료],$U426)&amp;""))</f>
        <v/>
      </c>
      <c r="P426">
        <f>IF($U426="","",INDEX(상세표[06~07시],$U426))</f>
        <v/>
      </c>
      <c r="Q426">
        <f>IF($U426="","",INDEX(상세표[07~18시],$U426))</f>
        <v/>
      </c>
      <c r="R426">
        <f>IF($U426="","",INDEX(상세표[18~22시],$U426))</f>
        <v/>
      </c>
      <c r="S426">
        <f>IF($U426="","",INDEX(상세표[22~06시],$U426))</f>
        <v/>
      </c>
      <c r="T426">
        <f>IF($U426="","",INDEX(상세표[기록 시간외],$U426))</f>
        <v/>
      </c>
      <c r="U426" s="4">
        <f>IFERROR(MATCH(421,상세표[발송순번],0),"")</f>
        <v/>
      </c>
    </row>
    <row r="427">
      <c r="J427">
        <f>IF($U427="","",INDEX(상세표[사번],$U427)&amp;"")</f>
        <v/>
      </c>
      <c r="K427">
        <f>IF($U427="","",INDEX(상세표[성명],$U427)&amp;"")</f>
        <v/>
      </c>
      <c r="L427">
        <f>IF($U427="","",INDEX(상세표[직위],$U427)&amp;"")</f>
        <v/>
      </c>
      <c r="M427">
        <f>IF($U427="","",IF(ISNUMBER(INDEX(상세표[근무일자],$U427)),TEXT(INDEX(상세표[근무일자],$U427),"yyyy-mm-dd"),INDEX(상세표[근무일자],$U427)&amp;""))</f>
        <v/>
      </c>
      <c r="N427">
        <f>IF($U427="","",IF(ISNUMBER(INDEX(상세표[시작],$U427)),TEXT(INDEX(상세표[시작],$U427),"yyyy-mm-dd hh:mm"),INDEX(상세표[시작],$U427)&amp;""))</f>
        <v/>
      </c>
      <c r="O427">
        <f>IF($U427="","",IF(ISNUMBER(INDEX(상세표[종료],$U427)),TEXT(INDEX(상세표[종료],$U427),"yyyy-mm-dd hh:mm"),INDEX(상세표[종료],$U427)&amp;""))</f>
        <v/>
      </c>
      <c r="P427">
        <f>IF($U427="","",INDEX(상세표[06~07시],$U427))</f>
        <v/>
      </c>
      <c r="Q427">
        <f>IF($U427="","",INDEX(상세표[07~18시],$U427))</f>
        <v/>
      </c>
      <c r="R427">
        <f>IF($U427="","",INDEX(상세표[18~22시],$U427))</f>
        <v/>
      </c>
      <c r="S427">
        <f>IF($U427="","",INDEX(상세표[22~06시],$U427))</f>
        <v/>
      </c>
      <c r="T427">
        <f>IF($U427="","",INDEX(상세표[기록 시간외],$U427))</f>
        <v/>
      </c>
      <c r="U427" s="4">
        <f>IFERROR(MATCH(422,상세표[발송순번],0),"")</f>
        <v/>
      </c>
    </row>
    <row r="428">
      <c r="J428">
        <f>IF($U428="","",INDEX(상세표[사번],$U428)&amp;"")</f>
        <v/>
      </c>
      <c r="K428">
        <f>IF($U428="","",INDEX(상세표[성명],$U428)&amp;"")</f>
        <v/>
      </c>
      <c r="L428">
        <f>IF($U428="","",INDEX(상세표[직위],$U428)&amp;"")</f>
        <v/>
      </c>
      <c r="M428">
        <f>IF($U428="","",IF(ISNUMBER(INDEX(상세표[근무일자],$U428)),TEXT(INDEX(상세표[근무일자],$U428),"yyyy-mm-dd"),INDEX(상세표[근무일자],$U428)&amp;""))</f>
        <v/>
      </c>
      <c r="N428">
        <f>IF($U428="","",IF(ISNUMBER(INDEX(상세표[시작],$U428)),TEXT(INDEX(상세표[시작],$U428),"yyyy-mm-dd hh:mm"),INDEX(상세표[시작],$U428)&amp;""))</f>
        <v/>
      </c>
      <c r="O428">
        <f>IF($U428="","",IF(ISNUMBER(INDEX(상세표[종료],$U428)),TEXT(INDEX(상세표[종료],$U428),"yyyy-mm-dd hh:mm"),INDEX(상세표[종료],$U428)&amp;""))</f>
        <v/>
      </c>
      <c r="P428">
        <f>IF($U428="","",INDEX(상세표[06~07시],$U428))</f>
        <v/>
      </c>
      <c r="Q428">
        <f>IF($U428="","",INDEX(상세표[07~18시],$U428))</f>
        <v/>
      </c>
      <c r="R428">
        <f>IF($U428="","",INDEX(상세표[18~22시],$U428))</f>
        <v/>
      </c>
      <c r="S428">
        <f>IF($U428="","",INDEX(상세표[22~06시],$U428))</f>
        <v/>
      </c>
      <c r="T428">
        <f>IF($U428="","",INDEX(상세표[기록 시간외],$U428))</f>
        <v/>
      </c>
      <c r="U428" s="4">
        <f>IFERROR(MATCH(423,상세표[발송순번],0),"")</f>
        <v/>
      </c>
    </row>
    <row r="429">
      <c r="J429">
        <f>IF($U429="","",INDEX(상세표[사번],$U429)&amp;"")</f>
        <v/>
      </c>
      <c r="K429">
        <f>IF($U429="","",INDEX(상세표[성명],$U429)&amp;"")</f>
        <v/>
      </c>
      <c r="L429">
        <f>IF($U429="","",INDEX(상세표[직위],$U429)&amp;"")</f>
        <v/>
      </c>
      <c r="M429">
        <f>IF($U429="","",IF(ISNUMBER(INDEX(상세표[근무일자],$U429)),TEXT(INDEX(상세표[근무일자],$U429),"yyyy-mm-dd"),INDEX(상세표[근무일자],$U429)&amp;""))</f>
        <v/>
      </c>
      <c r="N429">
        <f>IF($U429="","",IF(ISNUMBER(INDEX(상세표[시작],$U429)),TEXT(INDEX(상세표[시작],$U429),"yyyy-mm-dd hh:mm"),INDEX(상세표[시작],$U429)&amp;""))</f>
        <v/>
      </c>
      <c r="O429">
        <f>IF($U429="","",IF(ISNUMBER(INDEX(상세표[종료],$U429)),TEXT(INDEX(상세표[종료],$U429),"yyyy-mm-dd hh:mm"),INDEX(상세표[종료],$U429)&amp;""))</f>
        <v/>
      </c>
      <c r="P429">
        <f>IF($U429="","",INDEX(상세표[06~07시],$U429))</f>
        <v/>
      </c>
      <c r="Q429">
        <f>IF($U429="","",INDEX(상세표[07~18시],$U429))</f>
        <v/>
      </c>
      <c r="R429">
        <f>IF($U429="","",INDEX(상세표[18~22시],$U429))</f>
        <v/>
      </c>
      <c r="S429">
        <f>IF($U429="","",INDEX(상세표[22~06시],$U429))</f>
        <v/>
      </c>
      <c r="T429">
        <f>IF($U429="","",INDEX(상세표[기록 시간외],$U429))</f>
        <v/>
      </c>
      <c r="U429" s="4">
        <f>IFERROR(MATCH(424,상세표[발송순번],0),"")</f>
        <v/>
      </c>
    </row>
    <row r="430">
      <c r="J430">
        <f>IF($U430="","",INDEX(상세표[사번],$U430)&amp;"")</f>
        <v/>
      </c>
      <c r="K430">
        <f>IF($U430="","",INDEX(상세표[성명],$U430)&amp;"")</f>
        <v/>
      </c>
      <c r="L430">
        <f>IF($U430="","",INDEX(상세표[직위],$U430)&amp;"")</f>
        <v/>
      </c>
      <c r="M430">
        <f>IF($U430="","",IF(ISNUMBER(INDEX(상세표[근무일자],$U430)),TEXT(INDEX(상세표[근무일자],$U430),"yyyy-mm-dd"),INDEX(상세표[근무일자],$U430)&amp;""))</f>
        <v/>
      </c>
      <c r="N430">
        <f>IF($U430="","",IF(ISNUMBER(INDEX(상세표[시작],$U430)),TEXT(INDEX(상세표[시작],$U430),"yyyy-mm-dd hh:mm"),INDEX(상세표[시작],$U430)&amp;""))</f>
        <v/>
      </c>
      <c r="O430">
        <f>IF($U430="","",IF(ISNUMBER(INDEX(상세표[종료],$U430)),TEXT(INDEX(상세표[종료],$U430),"yyyy-mm-dd hh:mm"),INDEX(상세표[종료],$U430)&amp;""))</f>
        <v/>
      </c>
      <c r="P430">
        <f>IF($U430="","",INDEX(상세표[06~07시],$U430))</f>
        <v/>
      </c>
      <c r="Q430">
        <f>IF($U430="","",INDEX(상세표[07~18시],$U430))</f>
        <v/>
      </c>
      <c r="R430">
        <f>IF($U430="","",INDEX(상세표[18~22시],$U430))</f>
        <v/>
      </c>
      <c r="S430">
        <f>IF($U430="","",INDEX(상세표[22~06시],$U430))</f>
        <v/>
      </c>
      <c r="T430">
        <f>IF($U430="","",INDEX(상세표[기록 시간외],$U430))</f>
        <v/>
      </c>
      <c r="U430" s="4">
        <f>IFERROR(MATCH(425,상세표[발송순번],0),"")</f>
        <v/>
      </c>
    </row>
    <row r="431">
      <c r="J431">
        <f>IF($U431="","",INDEX(상세표[사번],$U431)&amp;"")</f>
        <v/>
      </c>
      <c r="K431">
        <f>IF($U431="","",INDEX(상세표[성명],$U431)&amp;"")</f>
        <v/>
      </c>
      <c r="L431">
        <f>IF($U431="","",INDEX(상세표[직위],$U431)&amp;"")</f>
        <v/>
      </c>
      <c r="M431">
        <f>IF($U431="","",IF(ISNUMBER(INDEX(상세표[근무일자],$U431)),TEXT(INDEX(상세표[근무일자],$U431),"yyyy-mm-dd"),INDEX(상세표[근무일자],$U431)&amp;""))</f>
        <v/>
      </c>
      <c r="N431">
        <f>IF($U431="","",IF(ISNUMBER(INDEX(상세표[시작],$U431)),TEXT(INDEX(상세표[시작],$U431),"yyyy-mm-dd hh:mm"),INDEX(상세표[시작],$U431)&amp;""))</f>
        <v/>
      </c>
      <c r="O431">
        <f>IF($U431="","",IF(ISNUMBER(INDEX(상세표[종료],$U431)),TEXT(INDEX(상세표[종료],$U431),"yyyy-mm-dd hh:mm"),INDEX(상세표[종료],$U431)&amp;""))</f>
        <v/>
      </c>
      <c r="P431">
        <f>IF($U431="","",INDEX(상세표[06~07시],$U431))</f>
        <v/>
      </c>
      <c r="Q431">
        <f>IF($U431="","",INDEX(상세표[07~18시],$U431))</f>
        <v/>
      </c>
      <c r="R431">
        <f>IF($U431="","",INDEX(상세표[18~22시],$U431))</f>
        <v/>
      </c>
      <c r="S431">
        <f>IF($U431="","",INDEX(상세표[22~06시],$U431))</f>
        <v/>
      </c>
      <c r="T431">
        <f>IF($U431="","",INDEX(상세표[기록 시간외],$U431))</f>
        <v/>
      </c>
      <c r="U431" s="4">
        <f>IFERROR(MATCH(426,상세표[발송순번],0),"")</f>
        <v/>
      </c>
    </row>
    <row r="432">
      <c r="J432">
        <f>IF($U432="","",INDEX(상세표[사번],$U432)&amp;"")</f>
        <v/>
      </c>
      <c r="K432">
        <f>IF($U432="","",INDEX(상세표[성명],$U432)&amp;"")</f>
        <v/>
      </c>
      <c r="L432">
        <f>IF($U432="","",INDEX(상세표[직위],$U432)&amp;"")</f>
        <v/>
      </c>
      <c r="M432">
        <f>IF($U432="","",IF(ISNUMBER(INDEX(상세표[근무일자],$U432)),TEXT(INDEX(상세표[근무일자],$U432),"yyyy-mm-dd"),INDEX(상세표[근무일자],$U432)&amp;""))</f>
        <v/>
      </c>
      <c r="N432">
        <f>IF($U432="","",IF(ISNUMBER(INDEX(상세표[시작],$U432)),TEXT(INDEX(상세표[시작],$U432),"yyyy-mm-dd hh:mm"),INDEX(상세표[시작],$U432)&amp;""))</f>
        <v/>
      </c>
      <c r="O432">
        <f>IF($U432="","",IF(ISNUMBER(INDEX(상세표[종료],$U432)),TEXT(INDEX(상세표[종료],$U432),"yyyy-mm-dd hh:mm"),INDEX(상세표[종료],$U432)&amp;""))</f>
        <v/>
      </c>
      <c r="P432">
        <f>IF($U432="","",INDEX(상세표[06~07시],$U432))</f>
        <v/>
      </c>
      <c r="Q432">
        <f>IF($U432="","",INDEX(상세표[07~18시],$U432))</f>
        <v/>
      </c>
      <c r="R432">
        <f>IF($U432="","",INDEX(상세표[18~22시],$U432))</f>
        <v/>
      </c>
      <c r="S432">
        <f>IF($U432="","",INDEX(상세표[22~06시],$U432))</f>
        <v/>
      </c>
      <c r="T432">
        <f>IF($U432="","",INDEX(상세표[기록 시간외],$U432))</f>
        <v/>
      </c>
      <c r="U432" s="4">
        <f>IFERROR(MATCH(427,상세표[발송순번],0),"")</f>
        <v/>
      </c>
    </row>
    <row r="433">
      <c r="J433">
        <f>IF($U433="","",INDEX(상세표[사번],$U433)&amp;"")</f>
        <v/>
      </c>
      <c r="K433">
        <f>IF($U433="","",INDEX(상세표[성명],$U433)&amp;"")</f>
        <v/>
      </c>
      <c r="L433">
        <f>IF($U433="","",INDEX(상세표[직위],$U433)&amp;"")</f>
        <v/>
      </c>
      <c r="M433">
        <f>IF($U433="","",IF(ISNUMBER(INDEX(상세표[근무일자],$U433)),TEXT(INDEX(상세표[근무일자],$U433),"yyyy-mm-dd"),INDEX(상세표[근무일자],$U433)&amp;""))</f>
        <v/>
      </c>
      <c r="N433">
        <f>IF($U433="","",IF(ISNUMBER(INDEX(상세표[시작],$U433)),TEXT(INDEX(상세표[시작],$U433),"yyyy-mm-dd hh:mm"),INDEX(상세표[시작],$U433)&amp;""))</f>
        <v/>
      </c>
      <c r="O433">
        <f>IF($U433="","",IF(ISNUMBER(INDEX(상세표[종료],$U433)),TEXT(INDEX(상세표[종료],$U433),"yyyy-mm-dd hh:mm"),INDEX(상세표[종료],$U433)&amp;""))</f>
        <v/>
      </c>
      <c r="P433">
        <f>IF($U433="","",INDEX(상세표[06~07시],$U433))</f>
        <v/>
      </c>
      <c r="Q433">
        <f>IF($U433="","",INDEX(상세표[07~18시],$U433))</f>
        <v/>
      </c>
      <c r="R433">
        <f>IF($U433="","",INDEX(상세표[18~22시],$U433))</f>
        <v/>
      </c>
      <c r="S433">
        <f>IF($U433="","",INDEX(상세표[22~06시],$U433))</f>
        <v/>
      </c>
      <c r="T433">
        <f>IF($U433="","",INDEX(상세표[기록 시간외],$U433))</f>
        <v/>
      </c>
      <c r="U433" s="4">
        <f>IFERROR(MATCH(428,상세표[발송순번],0),"")</f>
        <v/>
      </c>
    </row>
    <row r="434">
      <c r="J434">
        <f>IF($U434="","",INDEX(상세표[사번],$U434)&amp;"")</f>
        <v/>
      </c>
      <c r="K434">
        <f>IF($U434="","",INDEX(상세표[성명],$U434)&amp;"")</f>
        <v/>
      </c>
      <c r="L434">
        <f>IF($U434="","",INDEX(상세표[직위],$U434)&amp;"")</f>
        <v/>
      </c>
      <c r="M434">
        <f>IF($U434="","",IF(ISNUMBER(INDEX(상세표[근무일자],$U434)),TEXT(INDEX(상세표[근무일자],$U434),"yyyy-mm-dd"),INDEX(상세표[근무일자],$U434)&amp;""))</f>
        <v/>
      </c>
      <c r="N434">
        <f>IF($U434="","",IF(ISNUMBER(INDEX(상세표[시작],$U434)),TEXT(INDEX(상세표[시작],$U434),"yyyy-mm-dd hh:mm"),INDEX(상세표[시작],$U434)&amp;""))</f>
        <v/>
      </c>
      <c r="O434">
        <f>IF($U434="","",IF(ISNUMBER(INDEX(상세표[종료],$U434)),TEXT(INDEX(상세표[종료],$U434),"yyyy-mm-dd hh:mm"),INDEX(상세표[종료],$U434)&amp;""))</f>
        <v/>
      </c>
      <c r="P434">
        <f>IF($U434="","",INDEX(상세표[06~07시],$U434))</f>
        <v/>
      </c>
      <c r="Q434">
        <f>IF($U434="","",INDEX(상세표[07~18시],$U434))</f>
        <v/>
      </c>
      <c r="R434">
        <f>IF($U434="","",INDEX(상세표[18~22시],$U434))</f>
        <v/>
      </c>
      <c r="S434">
        <f>IF($U434="","",INDEX(상세표[22~06시],$U434))</f>
        <v/>
      </c>
      <c r="T434">
        <f>IF($U434="","",INDEX(상세표[기록 시간외],$U434))</f>
        <v/>
      </c>
      <c r="U434" s="4">
        <f>IFERROR(MATCH(429,상세표[발송순번],0),"")</f>
        <v/>
      </c>
    </row>
    <row r="435">
      <c r="J435">
        <f>IF($U435="","",INDEX(상세표[사번],$U435)&amp;"")</f>
        <v/>
      </c>
      <c r="K435">
        <f>IF($U435="","",INDEX(상세표[성명],$U435)&amp;"")</f>
        <v/>
      </c>
      <c r="L435">
        <f>IF($U435="","",INDEX(상세표[직위],$U435)&amp;"")</f>
        <v/>
      </c>
      <c r="M435">
        <f>IF($U435="","",IF(ISNUMBER(INDEX(상세표[근무일자],$U435)),TEXT(INDEX(상세표[근무일자],$U435),"yyyy-mm-dd"),INDEX(상세표[근무일자],$U435)&amp;""))</f>
        <v/>
      </c>
      <c r="N435">
        <f>IF($U435="","",IF(ISNUMBER(INDEX(상세표[시작],$U435)),TEXT(INDEX(상세표[시작],$U435),"yyyy-mm-dd hh:mm"),INDEX(상세표[시작],$U435)&amp;""))</f>
        <v/>
      </c>
      <c r="O435">
        <f>IF($U435="","",IF(ISNUMBER(INDEX(상세표[종료],$U435)),TEXT(INDEX(상세표[종료],$U435),"yyyy-mm-dd hh:mm"),INDEX(상세표[종료],$U435)&amp;""))</f>
        <v/>
      </c>
      <c r="P435">
        <f>IF($U435="","",INDEX(상세표[06~07시],$U435))</f>
        <v/>
      </c>
      <c r="Q435">
        <f>IF($U435="","",INDEX(상세표[07~18시],$U435))</f>
        <v/>
      </c>
      <c r="R435">
        <f>IF($U435="","",INDEX(상세표[18~22시],$U435))</f>
        <v/>
      </c>
      <c r="S435">
        <f>IF($U435="","",INDEX(상세표[22~06시],$U435))</f>
        <v/>
      </c>
      <c r="T435">
        <f>IF($U435="","",INDEX(상세표[기록 시간외],$U435))</f>
        <v/>
      </c>
      <c r="U435" s="4">
        <f>IFERROR(MATCH(430,상세표[발송순번],0),"")</f>
        <v/>
      </c>
    </row>
    <row r="436">
      <c r="J436">
        <f>IF($U436="","",INDEX(상세표[사번],$U436)&amp;"")</f>
        <v/>
      </c>
      <c r="K436">
        <f>IF($U436="","",INDEX(상세표[성명],$U436)&amp;"")</f>
        <v/>
      </c>
      <c r="L436">
        <f>IF($U436="","",INDEX(상세표[직위],$U436)&amp;"")</f>
        <v/>
      </c>
      <c r="M436">
        <f>IF($U436="","",IF(ISNUMBER(INDEX(상세표[근무일자],$U436)),TEXT(INDEX(상세표[근무일자],$U436),"yyyy-mm-dd"),INDEX(상세표[근무일자],$U436)&amp;""))</f>
        <v/>
      </c>
      <c r="N436">
        <f>IF($U436="","",IF(ISNUMBER(INDEX(상세표[시작],$U436)),TEXT(INDEX(상세표[시작],$U436),"yyyy-mm-dd hh:mm"),INDEX(상세표[시작],$U436)&amp;""))</f>
        <v/>
      </c>
      <c r="O436">
        <f>IF($U436="","",IF(ISNUMBER(INDEX(상세표[종료],$U436)),TEXT(INDEX(상세표[종료],$U436),"yyyy-mm-dd hh:mm"),INDEX(상세표[종료],$U436)&amp;""))</f>
        <v/>
      </c>
      <c r="P436">
        <f>IF($U436="","",INDEX(상세표[06~07시],$U436))</f>
        <v/>
      </c>
      <c r="Q436">
        <f>IF($U436="","",INDEX(상세표[07~18시],$U436))</f>
        <v/>
      </c>
      <c r="R436">
        <f>IF($U436="","",INDEX(상세표[18~22시],$U436))</f>
        <v/>
      </c>
      <c r="S436">
        <f>IF($U436="","",INDEX(상세표[22~06시],$U436))</f>
        <v/>
      </c>
      <c r="T436">
        <f>IF($U436="","",INDEX(상세표[기록 시간외],$U436))</f>
        <v/>
      </c>
      <c r="U436" s="4">
        <f>IFERROR(MATCH(431,상세표[발송순번],0),"")</f>
        <v/>
      </c>
    </row>
    <row r="437">
      <c r="J437">
        <f>IF($U437="","",INDEX(상세표[사번],$U437)&amp;"")</f>
        <v/>
      </c>
      <c r="K437">
        <f>IF($U437="","",INDEX(상세표[성명],$U437)&amp;"")</f>
        <v/>
      </c>
      <c r="L437">
        <f>IF($U437="","",INDEX(상세표[직위],$U437)&amp;"")</f>
        <v/>
      </c>
      <c r="M437">
        <f>IF($U437="","",IF(ISNUMBER(INDEX(상세표[근무일자],$U437)),TEXT(INDEX(상세표[근무일자],$U437),"yyyy-mm-dd"),INDEX(상세표[근무일자],$U437)&amp;""))</f>
        <v/>
      </c>
      <c r="N437">
        <f>IF($U437="","",IF(ISNUMBER(INDEX(상세표[시작],$U437)),TEXT(INDEX(상세표[시작],$U437),"yyyy-mm-dd hh:mm"),INDEX(상세표[시작],$U437)&amp;""))</f>
        <v/>
      </c>
      <c r="O437">
        <f>IF($U437="","",IF(ISNUMBER(INDEX(상세표[종료],$U437)),TEXT(INDEX(상세표[종료],$U437),"yyyy-mm-dd hh:mm"),INDEX(상세표[종료],$U437)&amp;""))</f>
        <v/>
      </c>
      <c r="P437">
        <f>IF($U437="","",INDEX(상세표[06~07시],$U437))</f>
        <v/>
      </c>
      <c r="Q437">
        <f>IF($U437="","",INDEX(상세표[07~18시],$U437))</f>
        <v/>
      </c>
      <c r="R437">
        <f>IF($U437="","",INDEX(상세표[18~22시],$U437))</f>
        <v/>
      </c>
      <c r="S437">
        <f>IF($U437="","",INDEX(상세표[22~06시],$U437))</f>
        <v/>
      </c>
      <c r="T437">
        <f>IF($U437="","",INDEX(상세표[기록 시간외],$U437))</f>
        <v/>
      </c>
      <c r="U437" s="4">
        <f>IFERROR(MATCH(432,상세표[발송순번],0),"")</f>
        <v/>
      </c>
    </row>
    <row r="438">
      <c r="J438">
        <f>IF($U438="","",INDEX(상세표[사번],$U438)&amp;"")</f>
        <v/>
      </c>
      <c r="K438">
        <f>IF($U438="","",INDEX(상세표[성명],$U438)&amp;"")</f>
        <v/>
      </c>
      <c r="L438">
        <f>IF($U438="","",INDEX(상세표[직위],$U438)&amp;"")</f>
        <v/>
      </c>
      <c r="M438">
        <f>IF($U438="","",IF(ISNUMBER(INDEX(상세표[근무일자],$U438)),TEXT(INDEX(상세표[근무일자],$U438),"yyyy-mm-dd"),INDEX(상세표[근무일자],$U438)&amp;""))</f>
        <v/>
      </c>
      <c r="N438">
        <f>IF($U438="","",IF(ISNUMBER(INDEX(상세표[시작],$U438)),TEXT(INDEX(상세표[시작],$U438),"yyyy-mm-dd hh:mm"),INDEX(상세표[시작],$U438)&amp;""))</f>
        <v/>
      </c>
      <c r="O438">
        <f>IF($U438="","",IF(ISNUMBER(INDEX(상세표[종료],$U438)),TEXT(INDEX(상세표[종료],$U438),"yyyy-mm-dd hh:mm"),INDEX(상세표[종료],$U438)&amp;""))</f>
        <v/>
      </c>
      <c r="P438">
        <f>IF($U438="","",INDEX(상세표[06~07시],$U438))</f>
        <v/>
      </c>
      <c r="Q438">
        <f>IF($U438="","",INDEX(상세표[07~18시],$U438))</f>
        <v/>
      </c>
      <c r="R438">
        <f>IF($U438="","",INDEX(상세표[18~22시],$U438))</f>
        <v/>
      </c>
      <c r="S438">
        <f>IF($U438="","",INDEX(상세표[22~06시],$U438))</f>
        <v/>
      </c>
      <c r="T438">
        <f>IF($U438="","",INDEX(상세표[기록 시간외],$U438))</f>
        <v/>
      </c>
      <c r="U438" s="4">
        <f>IFERROR(MATCH(433,상세표[발송순번],0),"")</f>
        <v/>
      </c>
    </row>
    <row r="439">
      <c r="J439">
        <f>IF($U439="","",INDEX(상세표[사번],$U439)&amp;"")</f>
        <v/>
      </c>
      <c r="K439">
        <f>IF($U439="","",INDEX(상세표[성명],$U439)&amp;"")</f>
        <v/>
      </c>
      <c r="L439">
        <f>IF($U439="","",INDEX(상세표[직위],$U439)&amp;"")</f>
        <v/>
      </c>
      <c r="M439">
        <f>IF($U439="","",IF(ISNUMBER(INDEX(상세표[근무일자],$U439)),TEXT(INDEX(상세표[근무일자],$U439),"yyyy-mm-dd"),INDEX(상세표[근무일자],$U439)&amp;""))</f>
        <v/>
      </c>
      <c r="N439">
        <f>IF($U439="","",IF(ISNUMBER(INDEX(상세표[시작],$U439)),TEXT(INDEX(상세표[시작],$U439),"yyyy-mm-dd hh:mm"),INDEX(상세표[시작],$U439)&amp;""))</f>
        <v/>
      </c>
      <c r="O439">
        <f>IF($U439="","",IF(ISNUMBER(INDEX(상세표[종료],$U439)),TEXT(INDEX(상세표[종료],$U439),"yyyy-mm-dd hh:mm"),INDEX(상세표[종료],$U439)&amp;""))</f>
        <v/>
      </c>
      <c r="P439">
        <f>IF($U439="","",INDEX(상세표[06~07시],$U439))</f>
        <v/>
      </c>
      <c r="Q439">
        <f>IF($U439="","",INDEX(상세표[07~18시],$U439))</f>
        <v/>
      </c>
      <c r="R439">
        <f>IF($U439="","",INDEX(상세표[18~22시],$U439))</f>
        <v/>
      </c>
      <c r="S439">
        <f>IF($U439="","",INDEX(상세표[22~06시],$U439))</f>
        <v/>
      </c>
      <c r="T439">
        <f>IF($U439="","",INDEX(상세표[기록 시간외],$U439))</f>
        <v/>
      </c>
      <c r="U439" s="4">
        <f>IFERROR(MATCH(434,상세표[발송순번],0),"")</f>
        <v/>
      </c>
    </row>
    <row r="440">
      <c r="J440">
        <f>IF($U440="","",INDEX(상세표[사번],$U440)&amp;"")</f>
        <v/>
      </c>
      <c r="K440">
        <f>IF($U440="","",INDEX(상세표[성명],$U440)&amp;"")</f>
        <v/>
      </c>
      <c r="L440">
        <f>IF($U440="","",INDEX(상세표[직위],$U440)&amp;"")</f>
        <v/>
      </c>
      <c r="M440">
        <f>IF($U440="","",IF(ISNUMBER(INDEX(상세표[근무일자],$U440)),TEXT(INDEX(상세표[근무일자],$U440),"yyyy-mm-dd"),INDEX(상세표[근무일자],$U440)&amp;""))</f>
        <v/>
      </c>
      <c r="N440">
        <f>IF($U440="","",IF(ISNUMBER(INDEX(상세표[시작],$U440)),TEXT(INDEX(상세표[시작],$U440),"yyyy-mm-dd hh:mm"),INDEX(상세표[시작],$U440)&amp;""))</f>
        <v/>
      </c>
      <c r="O440">
        <f>IF($U440="","",IF(ISNUMBER(INDEX(상세표[종료],$U440)),TEXT(INDEX(상세표[종료],$U440),"yyyy-mm-dd hh:mm"),INDEX(상세표[종료],$U440)&amp;""))</f>
        <v/>
      </c>
      <c r="P440">
        <f>IF($U440="","",INDEX(상세표[06~07시],$U440))</f>
        <v/>
      </c>
      <c r="Q440">
        <f>IF($U440="","",INDEX(상세표[07~18시],$U440))</f>
        <v/>
      </c>
      <c r="R440">
        <f>IF($U440="","",INDEX(상세표[18~22시],$U440))</f>
        <v/>
      </c>
      <c r="S440">
        <f>IF($U440="","",INDEX(상세표[22~06시],$U440))</f>
        <v/>
      </c>
      <c r="T440">
        <f>IF($U440="","",INDEX(상세표[기록 시간외],$U440))</f>
        <v/>
      </c>
      <c r="U440" s="4">
        <f>IFERROR(MATCH(435,상세표[발송순번],0),"")</f>
        <v/>
      </c>
    </row>
    <row r="441">
      <c r="J441">
        <f>IF($U441="","",INDEX(상세표[사번],$U441)&amp;"")</f>
        <v/>
      </c>
      <c r="K441">
        <f>IF($U441="","",INDEX(상세표[성명],$U441)&amp;"")</f>
        <v/>
      </c>
      <c r="L441">
        <f>IF($U441="","",INDEX(상세표[직위],$U441)&amp;"")</f>
        <v/>
      </c>
      <c r="M441">
        <f>IF($U441="","",IF(ISNUMBER(INDEX(상세표[근무일자],$U441)),TEXT(INDEX(상세표[근무일자],$U441),"yyyy-mm-dd"),INDEX(상세표[근무일자],$U441)&amp;""))</f>
        <v/>
      </c>
      <c r="N441">
        <f>IF($U441="","",IF(ISNUMBER(INDEX(상세표[시작],$U441)),TEXT(INDEX(상세표[시작],$U441),"yyyy-mm-dd hh:mm"),INDEX(상세표[시작],$U441)&amp;""))</f>
        <v/>
      </c>
      <c r="O441">
        <f>IF($U441="","",IF(ISNUMBER(INDEX(상세표[종료],$U441)),TEXT(INDEX(상세표[종료],$U441),"yyyy-mm-dd hh:mm"),INDEX(상세표[종료],$U441)&amp;""))</f>
        <v/>
      </c>
      <c r="P441">
        <f>IF($U441="","",INDEX(상세표[06~07시],$U441))</f>
        <v/>
      </c>
      <c r="Q441">
        <f>IF($U441="","",INDEX(상세표[07~18시],$U441))</f>
        <v/>
      </c>
      <c r="R441">
        <f>IF($U441="","",INDEX(상세표[18~22시],$U441))</f>
        <v/>
      </c>
      <c r="S441">
        <f>IF($U441="","",INDEX(상세표[22~06시],$U441))</f>
        <v/>
      </c>
      <c r="T441">
        <f>IF($U441="","",INDEX(상세표[기록 시간외],$U441))</f>
        <v/>
      </c>
      <c r="U441" s="4">
        <f>IFERROR(MATCH(436,상세표[발송순번],0),"")</f>
        <v/>
      </c>
    </row>
    <row r="442">
      <c r="J442">
        <f>IF($U442="","",INDEX(상세표[사번],$U442)&amp;"")</f>
        <v/>
      </c>
      <c r="K442">
        <f>IF($U442="","",INDEX(상세표[성명],$U442)&amp;"")</f>
        <v/>
      </c>
      <c r="L442">
        <f>IF($U442="","",INDEX(상세표[직위],$U442)&amp;"")</f>
        <v/>
      </c>
      <c r="M442">
        <f>IF($U442="","",IF(ISNUMBER(INDEX(상세표[근무일자],$U442)),TEXT(INDEX(상세표[근무일자],$U442),"yyyy-mm-dd"),INDEX(상세표[근무일자],$U442)&amp;""))</f>
        <v/>
      </c>
      <c r="N442">
        <f>IF($U442="","",IF(ISNUMBER(INDEX(상세표[시작],$U442)),TEXT(INDEX(상세표[시작],$U442),"yyyy-mm-dd hh:mm"),INDEX(상세표[시작],$U442)&amp;""))</f>
        <v/>
      </c>
      <c r="O442">
        <f>IF($U442="","",IF(ISNUMBER(INDEX(상세표[종료],$U442)),TEXT(INDEX(상세표[종료],$U442),"yyyy-mm-dd hh:mm"),INDEX(상세표[종료],$U442)&amp;""))</f>
        <v/>
      </c>
      <c r="P442">
        <f>IF($U442="","",INDEX(상세표[06~07시],$U442))</f>
        <v/>
      </c>
      <c r="Q442">
        <f>IF($U442="","",INDEX(상세표[07~18시],$U442))</f>
        <v/>
      </c>
      <c r="R442">
        <f>IF($U442="","",INDEX(상세표[18~22시],$U442))</f>
        <v/>
      </c>
      <c r="S442">
        <f>IF($U442="","",INDEX(상세표[22~06시],$U442))</f>
        <v/>
      </c>
      <c r="T442">
        <f>IF($U442="","",INDEX(상세표[기록 시간외],$U442))</f>
        <v/>
      </c>
      <c r="U442" s="4">
        <f>IFERROR(MATCH(437,상세표[발송순번],0),"")</f>
        <v/>
      </c>
    </row>
    <row r="443">
      <c r="J443">
        <f>IF($U443="","",INDEX(상세표[사번],$U443)&amp;"")</f>
        <v/>
      </c>
      <c r="K443">
        <f>IF($U443="","",INDEX(상세표[성명],$U443)&amp;"")</f>
        <v/>
      </c>
      <c r="L443">
        <f>IF($U443="","",INDEX(상세표[직위],$U443)&amp;"")</f>
        <v/>
      </c>
      <c r="M443">
        <f>IF($U443="","",IF(ISNUMBER(INDEX(상세표[근무일자],$U443)),TEXT(INDEX(상세표[근무일자],$U443),"yyyy-mm-dd"),INDEX(상세표[근무일자],$U443)&amp;""))</f>
        <v/>
      </c>
      <c r="N443">
        <f>IF($U443="","",IF(ISNUMBER(INDEX(상세표[시작],$U443)),TEXT(INDEX(상세표[시작],$U443),"yyyy-mm-dd hh:mm"),INDEX(상세표[시작],$U443)&amp;""))</f>
        <v/>
      </c>
      <c r="O443">
        <f>IF($U443="","",IF(ISNUMBER(INDEX(상세표[종료],$U443)),TEXT(INDEX(상세표[종료],$U443),"yyyy-mm-dd hh:mm"),INDEX(상세표[종료],$U443)&amp;""))</f>
        <v/>
      </c>
      <c r="P443">
        <f>IF($U443="","",INDEX(상세표[06~07시],$U443))</f>
        <v/>
      </c>
      <c r="Q443">
        <f>IF($U443="","",INDEX(상세표[07~18시],$U443))</f>
        <v/>
      </c>
      <c r="R443">
        <f>IF($U443="","",INDEX(상세표[18~22시],$U443))</f>
        <v/>
      </c>
      <c r="S443">
        <f>IF($U443="","",INDEX(상세표[22~06시],$U443))</f>
        <v/>
      </c>
      <c r="T443">
        <f>IF($U443="","",INDEX(상세표[기록 시간외],$U443))</f>
        <v/>
      </c>
      <c r="U443" s="4">
        <f>IFERROR(MATCH(438,상세표[발송순번],0),"")</f>
        <v/>
      </c>
    </row>
    <row r="444">
      <c r="J444">
        <f>IF($U444="","",INDEX(상세표[사번],$U444)&amp;"")</f>
        <v/>
      </c>
      <c r="K444">
        <f>IF($U444="","",INDEX(상세표[성명],$U444)&amp;"")</f>
        <v/>
      </c>
      <c r="L444">
        <f>IF($U444="","",INDEX(상세표[직위],$U444)&amp;"")</f>
        <v/>
      </c>
      <c r="M444">
        <f>IF($U444="","",IF(ISNUMBER(INDEX(상세표[근무일자],$U444)),TEXT(INDEX(상세표[근무일자],$U444),"yyyy-mm-dd"),INDEX(상세표[근무일자],$U444)&amp;""))</f>
        <v/>
      </c>
      <c r="N444">
        <f>IF($U444="","",IF(ISNUMBER(INDEX(상세표[시작],$U444)),TEXT(INDEX(상세표[시작],$U444),"yyyy-mm-dd hh:mm"),INDEX(상세표[시작],$U444)&amp;""))</f>
        <v/>
      </c>
      <c r="O444">
        <f>IF($U444="","",IF(ISNUMBER(INDEX(상세표[종료],$U444)),TEXT(INDEX(상세표[종료],$U444),"yyyy-mm-dd hh:mm"),INDEX(상세표[종료],$U444)&amp;""))</f>
        <v/>
      </c>
      <c r="P444">
        <f>IF($U444="","",INDEX(상세표[06~07시],$U444))</f>
        <v/>
      </c>
      <c r="Q444">
        <f>IF($U444="","",INDEX(상세표[07~18시],$U444))</f>
        <v/>
      </c>
      <c r="R444">
        <f>IF($U444="","",INDEX(상세표[18~22시],$U444))</f>
        <v/>
      </c>
      <c r="S444">
        <f>IF($U444="","",INDEX(상세표[22~06시],$U444))</f>
        <v/>
      </c>
      <c r="T444">
        <f>IF($U444="","",INDEX(상세표[기록 시간외],$U444))</f>
        <v/>
      </c>
      <c r="U444" s="4">
        <f>IFERROR(MATCH(439,상세표[발송순번],0),"")</f>
        <v/>
      </c>
    </row>
    <row r="445">
      <c r="J445">
        <f>IF($U445="","",INDEX(상세표[사번],$U445)&amp;"")</f>
        <v/>
      </c>
      <c r="K445">
        <f>IF($U445="","",INDEX(상세표[성명],$U445)&amp;"")</f>
        <v/>
      </c>
      <c r="L445">
        <f>IF($U445="","",INDEX(상세표[직위],$U445)&amp;"")</f>
        <v/>
      </c>
      <c r="M445">
        <f>IF($U445="","",IF(ISNUMBER(INDEX(상세표[근무일자],$U445)),TEXT(INDEX(상세표[근무일자],$U445),"yyyy-mm-dd"),INDEX(상세표[근무일자],$U445)&amp;""))</f>
        <v/>
      </c>
      <c r="N445">
        <f>IF($U445="","",IF(ISNUMBER(INDEX(상세표[시작],$U445)),TEXT(INDEX(상세표[시작],$U445),"yyyy-mm-dd hh:mm"),INDEX(상세표[시작],$U445)&amp;""))</f>
        <v/>
      </c>
      <c r="O445">
        <f>IF($U445="","",IF(ISNUMBER(INDEX(상세표[종료],$U445)),TEXT(INDEX(상세표[종료],$U445),"yyyy-mm-dd hh:mm"),INDEX(상세표[종료],$U445)&amp;""))</f>
        <v/>
      </c>
      <c r="P445">
        <f>IF($U445="","",INDEX(상세표[06~07시],$U445))</f>
        <v/>
      </c>
      <c r="Q445">
        <f>IF($U445="","",INDEX(상세표[07~18시],$U445))</f>
        <v/>
      </c>
      <c r="R445">
        <f>IF($U445="","",INDEX(상세표[18~22시],$U445))</f>
        <v/>
      </c>
      <c r="S445">
        <f>IF($U445="","",INDEX(상세표[22~06시],$U445))</f>
        <v/>
      </c>
      <c r="T445">
        <f>IF($U445="","",INDEX(상세표[기록 시간외],$U445))</f>
        <v/>
      </c>
      <c r="U445" s="4">
        <f>IFERROR(MATCH(440,상세표[발송순번],0),"")</f>
        <v/>
      </c>
    </row>
    <row r="446">
      <c r="J446">
        <f>IF($U446="","",INDEX(상세표[사번],$U446)&amp;"")</f>
        <v/>
      </c>
      <c r="K446">
        <f>IF($U446="","",INDEX(상세표[성명],$U446)&amp;"")</f>
        <v/>
      </c>
      <c r="L446">
        <f>IF($U446="","",INDEX(상세표[직위],$U446)&amp;"")</f>
        <v/>
      </c>
      <c r="M446">
        <f>IF($U446="","",IF(ISNUMBER(INDEX(상세표[근무일자],$U446)),TEXT(INDEX(상세표[근무일자],$U446),"yyyy-mm-dd"),INDEX(상세표[근무일자],$U446)&amp;""))</f>
        <v/>
      </c>
      <c r="N446">
        <f>IF($U446="","",IF(ISNUMBER(INDEX(상세표[시작],$U446)),TEXT(INDEX(상세표[시작],$U446),"yyyy-mm-dd hh:mm"),INDEX(상세표[시작],$U446)&amp;""))</f>
        <v/>
      </c>
      <c r="O446">
        <f>IF($U446="","",IF(ISNUMBER(INDEX(상세표[종료],$U446)),TEXT(INDEX(상세표[종료],$U446),"yyyy-mm-dd hh:mm"),INDEX(상세표[종료],$U446)&amp;""))</f>
        <v/>
      </c>
      <c r="P446">
        <f>IF($U446="","",INDEX(상세표[06~07시],$U446))</f>
        <v/>
      </c>
      <c r="Q446">
        <f>IF($U446="","",INDEX(상세표[07~18시],$U446))</f>
        <v/>
      </c>
      <c r="R446">
        <f>IF($U446="","",INDEX(상세표[18~22시],$U446))</f>
        <v/>
      </c>
      <c r="S446">
        <f>IF($U446="","",INDEX(상세표[22~06시],$U446))</f>
        <v/>
      </c>
      <c r="T446">
        <f>IF($U446="","",INDEX(상세표[기록 시간외],$U446))</f>
        <v/>
      </c>
      <c r="U446" s="4">
        <f>IFERROR(MATCH(441,상세표[발송순번],0),"")</f>
        <v/>
      </c>
    </row>
    <row r="447">
      <c r="J447">
        <f>IF($U447="","",INDEX(상세표[사번],$U447)&amp;"")</f>
        <v/>
      </c>
      <c r="K447">
        <f>IF($U447="","",INDEX(상세표[성명],$U447)&amp;"")</f>
        <v/>
      </c>
      <c r="L447">
        <f>IF($U447="","",INDEX(상세표[직위],$U447)&amp;"")</f>
        <v/>
      </c>
      <c r="M447">
        <f>IF($U447="","",IF(ISNUMBER(INDEX(상세표[근무일자],$U447)),TEXT(INDEX(상세표[근무일자],$U447),"yyyy-mm-dd"),INDEX(상세표[근무일자],$U447)&amp;""))</f>
        <v/>
      </c>
      <c r="N447">
        <f>IF($U447="","",IF(ISNUMBER(INDEX(상세표[시작],$U447)),TEXT(INDEX(상세표[시작],$U447),"yyyy-mm-dd hh:mm"),INDEX(상세표[시작],$U447)&amp;""))</f>
        <v/>
      </c>
      <c r="O447">
        <f>IF($U447="","",IF(ISNUMBER(INDEX(상세표[종료],$U447)),TEXT(INDEX(상세표[종료],$U447),"yyyy-mm-dd hh:mm"),INDEX(상세표[종료],$U447)&amp;""))</f>
        <v/>
      </c>
      <c r="P447">
        <f>IF($U447="","",INDEX(상세표[06~07시],$U447))</f>
        <v/>
      </c>
      <c r="Q447">
        <f>IF($U447="","",INDEX(상세표[07~18시],$U447))</f>
        <v/>
      </c>
      <c r="R447">
        <f>IF($U447="","",INDEX(상세표[18~22시],$U447))</f>
        <v/>
      </c>
      <c r="S447">
        <f>IF($U447="","",INDEX(상세표[22~06시],$U447))</f>
        <v/>
      </c>
      <c r="T447">
        <f>IF($U447="","",INDEX(상세표[기록 시간외],$U447))</f>
        <v/>
      </c>
      <c r="U447" s="4">
        <f>IFERROR(MATCH(442,상세표[발송순번],0),"")</f>
        <v/>
      </c>
    </row>
    <row r="448">
      <c r="J448">
        <f>IF($U448="","",INDEX(상세표[사번],$U448)&amp;"")</f>
        <v/>
      </c>
      <c r="K448">
        <f>IF($U448="","",INDEX(상세표[성명],$U448)&amp;"")</f>
        <v/>
      </c>
      <c r="L448">
        <f>IF($U448="","",INDEX(상세표[직위],$U448)&amp;"")</f>
        <v/>
      </c>
      <c r="M448">
        <f>IF($U448="","",IF(ISNUMBER(INDEX(상세표[근무일자],$U448)),TEXT(INDEX(상세표[근무일자],$U448),"yyyy-mm-dd"),INDEX(상세표[근무일자],$U448)&amp;""))</f>
        <v/>
      </c>
      <c r="N448">
        <f>IF($U448="","",IF(ISNUMBER(INDEX(상세표[시작],$U448)),TEXT(INDEX(상세표[시작],$U448),"yyyy-mm-dd hh:mm"),INDEX(상세표[시작],$U448)&amp;""))</f>
        <v/>
      </c>
      <c r="O448">
        <f>IF($U448="","",IF(ISNUMBER(INDEX(상세표[종료],$U448)),TEXT(INDEX(상세표[종료],$U448),"yyyy-mm-dd hh:mm"),INDEX(상세표[종료],$U448)&amp;""))</f>
        <v/>
      </c>
      <c r="P448">
        <f>IF($U448="","",INDEX(상세표[06~07시],$U448))</f>
        <v/>
      </c>
      <c r="Q448">
        <f>IF($U448="","",INDEX(상세표[07~18시],$U448))</f>
        <v/>
      </c>
      <c r="R448">
        <f>IF($U448="","",INDEX(상세표[18~22시],$U448))</f>
        <v/>
      </c>
      <c r="S448">
        <f>IF($U448="","",INDEX(상세표[22~06시],$U448))</f>
        <v/>
      </c>
      <c r="T448">
        <f>IF($U448="","",INDEX(상세표[기록 시간외],$U448))</f>
        <v/>
      </c>
      <c r="U448" s="4">
        <f>IFERROR(MATCH(443,상세표[발송순번],0),"")</f>
        <v/>
      </c>
    </row>
    <row r="449">
      <c r="J449">
        <f>IF($U449="","",INDEX(상세표[사번],$U449)&amp;"")</f>
        <v/>
      </c>
      <c r="K449">
        <f>IF($U449="","",INDEX(상세표[성명],$U449)&amp;"")</f>
        <v/>
      </c>
      <c r="L449">
        <f>IF($U449="","",INDEX(상세표[직위],$U449)&amp;"")</f>
        <v/>
      </c>
      <c r="M449">
        <f>IF($U449="","",IF(ISNUMBER(INDEX(상세표[근무일자],$U449)),TEXT(INDEX(상세표[근무일자],$U449),"yyyy-mm-dd"),INDEX(상세표[근무일자],$U449)&amp;""))</f>
        <v/>
      </c>
      <c r="N449">
        <f>IF($U449="","",IF(ISNUMBER(INDEX(상세표[시작],$U449)),TEXT(INDEX(상세표[시작],$U449),"yyyy-mm-dd hh:mm"),INDEX(상세표[시작],$U449)&amp;""))</f>
        <v/>
      </c>
      <c r="O449">
        <f>IF($U449="","",IF(ISNUMBER(INDEX(상세표[종료],$U449)),TEXT(INDEX(상세표[종료],$U449),"yyyy-mm-dd hh:mm"),INDEX(상세표[종료],$U449)&amp;""))</f>
        <v/>
      </c>
      <c r="P449">
        <f>IF($U449="","",INDEX(상세표[06~07시],$U449))</f>
        <v/>
      </c>
      <c r="Q449">
        <f>IF($U449="","",INDEX(상세표[07~18시],$U449))</f>
        <v/>
      </c>
      <c r="R449">
        <f>IF($U449="","",INDEX(상세표[18~22시],$U449))</f>
        <v/>
      </c>
      <c r="S449">
        <f>IF($U449="","",INDEX(상세표[22~06시],$U449))</f>
        <v/>
      </c>
      <c r="T449">
        <f>IF($U449="","",INDEX(상세표[기록 시간외],$U449))</f>
        <v/>
      </c>
      <c r="U449" s="4">
        <f>IFERROR(MATCH(444,상세표[발송순번],0),"")</f>
        <v/>
      </c>
    </row>
    <row r="450">
      <c r="J450">
        <f>IF($U450="","",INDEX(상세표[사번],$U450)&amp;"")</f>
        <v/>
      </c>
      <c r="K450">
        <f>IF($U450="","",INDEX(상세표[성명],$U450)&amp;"")</f>
        <v/>
      </c>
      <c r="L450">
        <f>IF($U450="","",INDEX(상세표[직위],$U450)&amp;"")</f>
        <v/>
      </c>
      <c r="M450">
        <f>IF($U450="","",IF(ISNUMBER(INDEX(상세표[근무일자],$U450)),TEXT(INDEX(상세표[근무일자],$U450),"yyyy-mm-dd"),INDEX(상세표[근무일자],$U450)&amp;""))</f>
        <v/>
      </c>
      <c r="N450">
        <f>IF($U450="","",IF(ISNUMBER(INDEX(상세표[시작],$U450)),TEXT(INDEX(상세표[시작],$U450),"yyyy-mm-dd hh:mm"),INDEX(상세표[시작],$U450)&amp;""))</f>
        <v/>
      </c>
      <c r="O450">
        <f>IF($U450="","",IF(ISNUMBER(INDEX(상세표[종료],$U450)),TEXT(INDEX(상세표[종료],$U450),"yyyy-mm-dd hh:mm"),INDEX(상세표[종료],$U450)&amp;""))</f>
        <v/>
      </c>
      <c r="P450">
        <f>IF($U450="","",INDEX(상세표[06~07시],$U450))</f>
        <v/>
      </c>
      <c r="Q450">
        <f>IF($U450="","",INDEX(상세표[07~18시],$U450))</f>
        <v/>
      </c>
      <c r="R450">
        <f>IF($U450="","",INDEX(상세표[18~22시],$U450))</f>
        <v/>
      </c>
      <c r="S450">
        <f>IF($U450="","",INDEX(상세표[22~06시],$U450))</f>
        <v/>
      </c>
      <c r="T450">
        <f>IF($U450="","",INDEX(상세표[기록 시간외],$U450))</f>
        <v/>
      </c>
      <c r="U450" s="4">
        <f>IFERROR(MATCH(445,상세표[발송순번],0),"")</f>
        <v/>
      </c>
    </row>
    <row r="451">
      <c r="J451">
        <f>IF($U451="","",INDEX(상세표[사번],$U451)&amp;"")</f>
        <v/>
      </c>
      <c r="K451">
        <f>IF($U451="","",INDEX(상세표[성명],$U451)&amp;"")</f>
        <v/>
      </c>
      <c r="L451">
        <f>IF($U451="","",INDEX(상세표[직위],$U451)&amp;"")</f>
        <v/>
      </c>
      <c r="M451">
        <f>IF($U451="","",IF(ISNUMBER(INDEX(상세표[근무일자],$U451)),TEXT(INDEX(상세표[근무일자],$U451),"yyyy-mm-dd"),INDEX(상세표[근무일자],$U451)&amp;""))</f>
        <v/>
      </c>
      <c r="N451">
        <f>IF($U451="","",IF(ISNUMBER(INDEX(상세표[시작],$U451)),TEXT(INDEX(상세표[시작],$U451),"yyyy-mm-dd hh:mm"),INDEX(상세표[시작],$U451)&amp;""))</f>
        <v/>
      </c>
      <c r="O451">
        <f>IF($U451="","",IF(ISNUMBER(INDEX(상세표[종료],$U451)),TEXT(INDEX(상세표[종료],$U451),"yyyy-mm-dd hh:mm"),INDEX(상세표[종료],$U451)&amp;""))</f>
        <v/>
      </c>
      <c r="P451">
        <f>IF($U451="","",INDEX(상세표[06~07시],$U451))</f>
        <v/>
      </c>
      <c r="Q451">
        <f>IF($U451="","",INDEX(상세표[07~18시],$U451))</f>
        <v/>
      </c>
      <c r="R451">
        <f>IF($U451="","",INDEX(상세표[18~22시],$U451))</f>
        <v/>
      </c>
      <c r="S451">
        <f>IF($U451="","",INDEX(상세표[22~06시],$U451))</f>
        <v/>
      </c>
      <c r="T451">
        <f>IF($U451="","",INDEX(상세표[기록 시간외],$U451))</f>
        <v/>
      </c>
      <c r="U451" s="4">
        <f>IFERROR(MATCH(446,상세표[발송순번],0),"")</f>
        <v/>
      </c>
    </row>
    <row r="452">
      <c r="J452">
        <f>IF($U452="","",INDEX(상세표[사번],$U452)&amp;"")</f>
        <v/>
      </c>
      <c r="K452">
        <f>IF($U452="","",INDEX(상세표[성명],$U452)&amp;"")</f>
        <v/>
      </c>
      <c r="L452">
        <f>IF($U452="","",INDEX(상세표[직위],$U452)&amp;"")</f>
        <v/>
      </c>
      <c r="M452">
        <f>IF($U452="","",IF(ISNUMBER(INDEX(상세표[근무일자],$U452)),TEXT(INDEX(상세표[근무일자],$U452),"yyyy-mm-dd"),INDEX(상세표[근무일자],$U452)&amp;""))</f>
        <v/>
      </c>
      <c r="N452">
        <f>IF($U452="","",IF(ISNUMBER(INDEX(상세표[시작],$U452)),TEXT(INDEX(상세표[시작],$U452),"yyyy-mm-dd hh:mm"),INDEX(상세표[시작],$U452)&amp;""))</f>
        <v/>
      </c>
      <c r="O452">
        <f>IF($U452="","",IF(ISNUMBER(INDEX(상세표[종료],$U452)),TEXT(INDEX(상세표[종료],$U452),"yyyy-mm-dd hh:mm"),INDEX(상세표[종료],$U452)&amp;""))</f>
        <v/>
      </c>
      <c r="P452">
        <f>IF($U452="","",INDEX(상세표[06~07시],$U452))</f>
        <v/>
      </c>
      <c r="Q452">
        <f>IF($U452="","",INDEX(상세표[07~18시],$U452))</f>
        <v/>
      </c>
      <c r="R452">
        <f>IF($U452="","",INDEX(상세표[18~22시],$U452))</f>
        <v/>
      </c>
      <c r="S452">
        <f>IF($U452="","",INDEX(상세표[22~06시],$U452))</f>
        <v/>
      </c>
      <c r="T452">
        <f>IF($U452="","",INDEX(상세표[기록 시간외],$U452))</f>
        <v/>
      </c>
      <c r="U452" s="4">
        <f>IFERROR(MATCH(447,상세표[발송순번],0),"")</f>
        <v/>
      </c>
    </row>
    <row r="453">
      <c r="J453">
        <f>IF($U453="","",INDEX(상세표[사번],$U453)&amp;"")</f>
        <v/>
      </c>
      <c r="K453">
        <f>IF($U453="","",INDEX(상세표[성명],$U453)&amp;"")</f>
        <v/>
      </c>
      <c r="L453">
        <f>IF($U453="","",INDEX(상세표[직위],$U453)&amp;"")</f>
        <v/>
      </c>
      <c r="M453">
        <f>IF($U453="","",IF(ISNUMBER(INDEX(상세표[근무일자],$U453)),TEXT(INDEX(상세표[근무일자],$U453),"yyyy-mm-dd"),INDEX(상세표[근무일자],$U453)&amp;""))</f>
        <v/>
      </c>
      <c r="N453">
        <f>IF($U453="","",IF(ISNUMBER(INDEX(상세표[시작],$U453)),TEXT(INDEX(상세표[시작],$U453),"yyyy-mm-dd hh:mm"),INDEX(상세표[시작],$U453)&amp;""))</f>
        <v/>
      </c>
      <c r="O453">
        <f>IF($U453="","",IF(ISNUMBER(INDEX(상세표[종료],$U453)),TEXT(INDEX(상세표[종료],$U453),"yyyy-mm-dd hh:mm"),INDEX(상세표[종료],$U453)&amp;""))</f>
        <v/>
      </c>
      <c r="P453">
        <f>IF($U453="","",INDEX(상세표[06~07시],$U453))</f>
        <v/>
      </c>
      <c r="Q453">
        <f>IF($U453="","",INDEX(상세표[07~18시],$U453))</f>
        <v/>
      </c>
      <c r="R453">
        <f>IF($U453="","",INDEX(상세표[18~22시],$U453))</f>
        <v/>
      </c>
      <c r="S453">
        <f>IF($U453="","",INDEX(상세표[22~06시],$U453))</f>
        <v/>
      </c>
      <c r="T453">
        <f>IF($U453="","",INDEX(상세표[기록 시간외],$U453))</f>
        <v/>
      </c>
      <c r="U453" s="4">
        <f>IFERROR(MATCH(448,상세표[발송순번],0),"")</f>
        <v/>
      </c>
    </row>
    <row r="454">
      <c r="J454">
        <f>IF($U454="","",INDEX(상세표[사번],$U454)&amp;"")</f>
        <v/>
      </c>
      <c r="K454">
        <f>IF($U454="","",INDEX(상세표[성명],$U454)&amp;"")</f>
        <v/>
      </c>
      <c r="L454">
        <f>IF($U454="","",INDEX(상세표[직위],$U454)&amp;"")</f>
        <v/>
      </c>
      <c r="M454">
        <f>IF($U454="","",IF(ISNUMBER(INDEX(상세표[근무일자],$U454)),TEXT(INDEX(상세표[근무일자],$U454),"yyyy-mm-dd"),INDEX(상세표[근무일자],$U454)&amp;""))</f>
        <v/>
      </c>
      <c r="N454">
        <f>IF($U454="","",IF(ISNUMBER(INDEX(상세표[시작],$U454)),TEXT(INDEX(상세표[시작],$U454),"yyyy-mm-dd hh:mm"),INDEX(상세표[시작],$U454)&amp;""))</f>
        <v/>
      </c>
      <c r="O454">
        <f>IF($U454="","",IF(ISNUMBER(INDEX(상세표[종료],$U454)),TEXT(INDEX(상세표[종료],$U454),"yyyy-mm-dd hh:mm"),INDEX(상세표[종료],$U454)&amp;""))</f>
        <v/>
      </c>
      <c r="P454">
        <f>IF($U454="","",INDEX(상세표[06~07시],$U454))</f>
        <v/>
      </c>
      <c r="Q454">
        <f>IF($U454="","",INDEX(상세표[07~18시],$U454))</f>
        <v/>
      </c>
      <c r="R454">
        <f>IF($U454="","",INDEX(상세표[18~22시],$U454))</f>
        <v/>
      </c>
      <c r="S454">
        <f>IF($U454="","",INDEX(상세표[22~06시],$U454))</f>
        <v/>
      </c>
      <c r="T454">
        <f>IF($U454="","",INDEX(상세표[기록 시간외],$U454))</f>
        <v/>
      </c>
      <c r="U454" s="4">
        <f>IFERROR(MATCH(449,상세표[발송순번],0),"")</f>
        <v/>
      </c>
    </row>
    <row r="455">
      <c r="J455">
        <f>IF($U455="","",INDEX(상세표[사번],$U455)&amp;"")</f>
        <v/>
      </c>
      <c r="K455">
        <f>IF($U455="","",INDEX(상세표[성명],$U455)&amp;"")</f>
        <v/>
      </c>
      <c r="L455">
        <f>IF($U455="","",INDEX(상세표[직위],$U455)&amp;"")</f>
        <v/>
      </c>
      <c r="M455">
        <f>IF($U455="","",IF(ISNUMBER(INDEX(상세표[근무일자],$U455)),TEXT(INDEX(상세표[근무일자],$U455),"yyyy-mm-dd"),INDEX(상세표[근무일자],$U455)&amp;""))</f>
        <v/>
      </c>
      <c r="N455">
        <f>IF($U455="","",IF(ISNUMBER(INDEX(상세표[시작],$U455)),TEXT(INDEX(상세표[시작],$U455),"yyyy-mm-dd hh:mm"),INDEX(상세표[시작],$U455)&amp;""))</f>
        <v/>
      </c>
      <c r="O455">
        <f>IF($U455="","",IF(ISNUMBER(INDEX(상세표[종료],$U455)),TEXT(INDEX(상세표[종료],$U455),"yyyy-mm-dd hh:mm"),INDEX(상세표[종료],$U455)&amp;""))</f>
        <v/>
      </c>
      <c r="P455">
        <f>IF($U455="","",INDEX(상세표[06~07시],$U455))</f>
        <v/>
      </c>
      <c r="Q455">
        <f>IF($U455="","",INDEX(상세표[07~18시],$U455))</f>
        <v/>
      </c>
      <c r="R455">
        <f>IF($U455="","",INDEX(상세표[18~22시],$U455))</f>
        <v/>
      </c>
      <c r="S455">
        <f>IF($U455="","",INDEX(상세표[22~06시],$U455))</f>
        <v/>
      </c>
      <c r="T455">
        <f>IF($U455="","",INDEX(상세표[기록 시간외],$U455))</f>
        <v/>
      </c>
      <c r="U455" s="4">
        <f>IFERROR(MATCH(450,상세표[발송순번],0),"")</f>
        <v/>
      </c>
    </row>
    <row r="456">
      <c r="J456">
        <f>IF($U456="","",INDEX(상세표[사번],$U456)&amp;"")</f>
        <v/>
      </c>
      <c r="K456">
        <f>IF($U456="","",INDEX(상세표[성명],$U456)&amp;"")</f>
        <v/>
      </c>
      <c r="L456">
        <f>IF($U456="","",INDEX(상세표[직위],$U456)&amp;"")</f>
        <v/>
      </c>
      <c r="M456">
        <f>IF($U456="","",IF(ISNUMBER(INDEX(상세표[근무일자],$U456)),TEXT(INDEX(상세표[근무일자],$U456),"yyyy-mm-dd"),INDEX(상세표[근무일자],$U456)&amp;""))</f>
        <v/>
      </c>
      <c r="N456">
        <f>IF($U456="","",IF(ISNUMBER(INDEX(상세표[시작],$U456)),TEXT(INDEX(상세표[시작],$U456),"yyyy-mm-dd hh:mm"),INDEX(상세표[시작],$U456)&amp;""))</f>
        <v/>
      </c>
      <c r="O456">
        <f>IF($U456="","",IF(ISNUMBER(INDEX(상세표[종료],$U456)),TEXT(INDEX(상세표[종료],$U456),"yyyy-mm-dd hh:mm"),INDEX(상세표[종료],$U456)&amp;""))</f>
        <v/>
      </c>
      <c r="P456">
        <f>IF($U456="","",INDEX(상세표[06~07시],$U456))</f>
        <v/>
      </c>
      <c r="Q456">
        <f>IF($U456="","",INDEX(상세표[07~18시],$U456))</f>
        <v/>
      </c>
      <c r="R456">
        <f>IF($U456="","",INDEX(상세표[18~22시],$U456))</f>
        <v/>
      </c>
      <c r="S456">
        <f>IF($U456="","",INDEX(상세표[22~06시],$U456))</f>
        <v/>
      </c>
      <c r="T456">
        <f>IF($U456="","",INDEX(상세표[기록 시간외],$U456))</f>
        <v/>
      </c>
      <c r="U456" s="4">
        <f>IFERROR(MATCH(451,상세표[발송순번],0),"")</f>
        <v/>
      </c>
    </row>
    <row r="457">
      <c r="J457">
        <f>IF($U457="","",INDEX(상세표[사번],$U457)&amp;"")</f>
        <v/>
      </c>
      <c r="K457">
        <f>IF($U457="","",INDEX(상세표[성명],$U457)&amp;"")</f>
        <v/>
      </c>
      <c r="L457">
        <f>IF($U457="","",INDEX(상세표[직위],$U457)&amp;"")</f>
        <v/>
      </c>
      <c r="M457">
        <f>IF($U457="","",IF(ISNUMBER(INDEX(상세표[근무일자],$U457)),TEXT(INDEX(상세표[근무일자],$U457),"yyyy-mm-dd"),INDEX(상세표[근무일자],$U457)&amp;""))</f>
        <v/>
      </c>
      <c r="N457">
        <f>IF($U457="","",IF(ISNUMBER(INDEX(상세표[시작],$U457)),TEXT(INDEX(상세표[시작],$U457),"yyyy-mm-dd hh:mm"),INDEX(상세표[시작],$U457)&amp;""))</f>
        <v/>
      </c>
      <c r="O457">
        <f>IF($U457="","",IF(ISNUMBER(INDEX(상세표[종료],$U457)),TEXT(INDEX(상세표[종료],$U457),"yyyy-mm-dd hh:mm"),INDEX(상세표[종료],$U457)&amp;""))</f>
        <v/>
      </c>
      <c r="P457">
        <f>IF($U457="","",INDEX(상세표[06~07시],$U457))</f>
        <v/>
      </c>
      <c r="Q457">
        <f>IF($U457="","",INDEX(상세표[07~18시],$U457))</f>
        <v/>
      </c>
      <c r="R457">
        <f>IF($U457="","",INDEX(상세표[18~22시],$U457))</f>
        <v/>
      </c>
      <c r="S457">
        <f>IF($U457="","",INDEX(상세표[22~06시],$U457))</f>
        <v/>
      </c>
      <c r="T457">
        <f>IF($U457="","",INDEX(상세표[기록 시간외],$U457))</f>
        <v/>
      </c>
      <c r="U457" s="4">
        <f>IFERROR(MATCH(452,상세표[발송순번],0),"")</f>
        <v/>
      </c>
    </row>
    <row r="458">
      <c r="J458">
        <f>IF($U458="","",INDEX(상세표[사번],$U458)&amp;"")</f>
        <v/>
      </c>
      <c r="K458">
        <f>IF($U458="","",INDEX(상세표[성명],$U458)&amp;"")</f>
        <v/>
      </c>
      <c r="L458">
        <f>IF($U458="","",INDEX(상세표[직위],$U458)&amp;"")</f>
        <v/>
      </c>
      <c r="M458">
        <f>IF($U458="","",IF(ISNUMBER(INDEX(상세표[근무일자],$U458)),TEXT(INDEX(상세표[근무일자],$U458),"yyyy-mm-dd"),INDEX(상세표[근무일자],$U458)&amp;""))</f>
        <v/>
      </c>
      <c r="N458">
        <f>IF($U458="","",IF(ISNUMBER(INDEX(상세표[시작],$U458)),TEXT(INDEX(상세표[시작],$U458),"yyyy-mm-dd hh:mm"),INDEX(상세표[시작],$U458)&amp;""))</f>
        <v/>
      </c>
      <c r="O458">
        <f>IF($U458="","",IF(ISNUMBER(INDEX(상세표[종료],$U458)),TEXT(INDEX(상세표[종료],$U458),"yyyy-mm-dd hh:mm"),INDEX(상세표[종료],$U458)&amp;""))</f>
        <v/>
      </c>
      <c r="P458">
        <f>IF($U458="","",INDEX(상세표[06~07시],$U458))</f>
        <v/>
      </c>
      <c r="Q458">
        <f>IF($U458="","",INDEX(상세표[07~18시],$U458))</f>
        <v/>
      </c>
      <c r="R458">
        <f>IF($U458="","",INDEX(상세표[18~22시],$U458))</f>
        <v/>
      </c>
      <c r="S458">
        <f>IF($U458="","",INDEX(상세표[22~06시],$U458))</f>
        <v/>
      </c>
      <c r="T458">
        <f>IF($U458="","",INDEX(상세표[기록 시간외],$U458))</f>
        <v/>
      </c>
      <c r="U458" s="4">
        <f>IFERROR(MATCH(453,상세표[발송순번],0),"")</f>
        <v/>
      </c>
    </row>
    <row r="459">
      <c r="J459">
        <f>IF($U459="","",INDEX(상세표[사번],$U459)&amp;"")</f>
        <v/>
      </c>
      <c r="K459">
        <f>IF($U459="","",INDEX(상세표[성명],$U459)&amp;"")</f>
        <v/>
      </c>
      <c r="L459">
        <f>IF($U459="","",INDEX(상세표[직위],$U459)&amp;"")</f>
        <v/>
      </c>
      <c r="M459">
        <f>IF($U459="","",IF(ISNUMBER(INDEX(상세표[근무일자],$U459)),TEXT(INDEX(상세표[근무일자],$U459),"yyyy-mm-dd"),INDEX(상세표[근무일자],$U459)&amp;""))</f>
        <v/>
      </c>
      <c r="N459">
        <f>IF($U459="","",IF(ISNUMBER(INDEX(상세표[시작],$U459)),TEXT(INDEX(상세표[시작],$U459),"yyyy-mm-dd hh:mm"),INDEX(상세표[시작],$U459)&amp;""))</f>
        <v/>
      </c>
      <c r="O459">
        <f>IF($U459="","",IF(ISNUMBER(INDEX(상세표[종료],$U459)),TEXT(INDEX(상세표[종료],$U459),"yyyy-mm-dd hh:mm"),INDEX(상세표[종료],$U459)&amp;""))</f>
        <v/>
      </c>
      <c r="P459">
        <f>IF($U459="","",INDEX(상세표[06~07시],$U459))</f>
        <v/>
      </c>
      <c r="Q459">
        <f>IF($U459="","",INDEX(상세표[07~18시],$U459))</f>
        <v/>
      </c>
      <c r="R459">
        <f>IF($U459="","",INDEX(상세표[18~22시],$U459))</f>
        <v/>
      </c>
      <c r="S459">
        <f>IF($U459="","",INDEX(상세표[22~06시],$U459))</f>
        <v/>
      </c>
      <c r="T459">
        <f>IF($U459="","",INDEX(상세표[기록 시간외],$U459))</f>
        <v/>
      </c>
      <c r="U459" s="4">
        <f>IFERROR(MATCH(454,상세표[발송순번],0),"")</f>
        <v/>
      </c>
    </row>
    <row r="460">
      <c r="J460">
        <f>IF($U460="","",INDEX(상세표[사번],$U460)&amp;"")</f>
        <v/>
      </c>
      <c r="K460">
        <f>IF($U460="","",INDEX(상세표[성명],$U460)&amp;"")</f>
        <v/>
      </c>
      <c r="L460">
        <f>IF($U460="","",INDEX(상세표[직위],$U460)&amp;"")</f>
        <v/>
      </c>
      <c r="M460">
        <f>IF($U460="","",IF(ISNUMBER(INDEX(상세표[근무일자],$U460)),TEXT(INDEX(상세표[근무일자],$U460),"yyyy-mm-dd"),INDEX(상세표[근무일자],$U460)&amp;""))</f>
        <v/>
      </c>
      <c r="N460">
        <f>IF($U460="","",IF(ISNUMBER(INDEX(상세표[시작],$U460)),TEXT(INDEX(상세표[시작],$U460),"yyyy-mm-dd hh:mm"),INDEX(상세표[시작],$U460)&amp;""))</f>
        <v/>
      </c>
      <c r="O460">
        <f>IF($U460="","",IF(ISNUMBER(INDEX(상세표[종료],$U460)),TEXT(INDEX(상세표[종료],$U460),"yyyy-mm-dd hh:mm"),INDEX(상세표[종료],$U460)&amp;""))</f>
        <v/>
      </c>
      <c r="P460">
        <f>IF($U460="","",INDEX(상세표[06~07시],$U460))</f>
        <v/>
      </c>
      <c r="Q460">
        <f>IF($U460="","",INDEX(상세표[07~18시],$U460))</f>
        <v/>
      </c>
      <c r="R460">
        <f>IF($U460="","",INDEX(상세표[18~22시],$U460))</f>
        <v/>
      </c>
      <c r="S460">
        <f>IF($U460="","",INDEX(상세표[22~06시],$U460))</f>
        <v/>
      </c>
      <c r="T460">
        <f>IF($U460="","",INDEX(상세표[기록 시간외],$U460))</f>
        <v/>
      </c>
      <c r="U460" s="4">
        <f>IFERROR(MATCH(455,상세표[발송순번],0),"")</f>
        <v/>
      </c>
    </row>
    <row r="461">
      <c r="J461">
        <f>IF($U461="","",INDEX(상세표[사번],$U461)&amp;"")</f>
        <v/>
      </c>
      <c r="K461">
        <f>IF($U461="","",INDEX(상세표[성명],$U461)&amp;"")</f>
        <v/>
      </c>
      <c r="L461">
        <f>IF($U461="","",INDEX(상세표[직위],$U461)&amp;"")</f>
        <v/>
      </c>
      <c r="M461">
        <f>IF($U461="","",IF(ISNUMBER(INDEX(상세표[근무일자],$U461)),TEXT(INDEX(상세표[근무일자],$U461),"yyyy-mm-dd"),INDEX(상세표[근무일자],$U461)&amp;""))</f>
        <v/>
      </c>
      <c r="N461">
        <f>IF($U461="","",IF(ISNUMBER(INDEX(상세표[시작],$U461)),TEXT(INDEX(상세표[시작],$U461),"yyyy-mm-dd hh:mm"),INDEX(상세표[시작],$U461)&amp;""))</f>
        <v/>
      </c>
      <c r="O461">
        <f>IF($U461="","",IF(ISNUMBER(INDEX(상세표[종료],$U461)),TEXT(INDEX(상세표[종료],$U461),"yyyy-mm-dd hh:mm"),INDEX(상세표[종료],$U461)&amp;""))</f>
        <v/>
      </c>
      <c r="P461">
        <f>IF($U461="","",INDEX(상세표[06~07시],$U461))</f>
        <v/>
      </c>
      <c r="Q461">
        <f>IF($U461="","",INDEX(상세표[07~18시],$U461))</f>
        <v/>
      </c>
      <c r="R461">
        <f>IF($U461="","",INDEX(상세표[18~22시],$U461))</f>
        <v/>
      </c>
      <c r="S461">
        <f>IF($U461="","",INDEX(상세표[22~06시],$U461))</f>
        <v/>
      </c>
      <c r="T461">
        <f>IF($U461="","",INDEX(상세표[기록 시간외],$U461))</f>
        <v/>
      </c>
      <c r="U461" s="4">
        <f>IFERROR(MATCH(456,상세표[발송순번],0),"")</f>
        <v/>
      </c>
    </row>
    <row r="462">
      <c r="J462">
        <f>IF($U462="","",INDEX(상세표[사번],$U462)&amp;"")</f>
        <v/>
      </c>
      <c r="K462">
        <f>IF($U462="","",INDEX(상세표[성명],$U462)&amp;"")</f>
        <v/>
      </c>
      <c r="L462">
        <f>IF($U462="","",INDEX(상세표[직위],$U462)&amp;"")</f>
        <v/>
      </c>
      <c r="M462">
        <f>IF($U462="","",IF(ISNUMBER(INDEX(상세표[근무일자],$U462)),TEXT(INDEX(상세표[근무일자],$U462),"yyyy-mm-dd"),INDEX(상세표[근무일자],$U462)&amp;""))</f>
        <v/>
      </c>
      <c r="N462">
        <f>IF($U462="","",IF(ISNUMBER(INDEX(상세표[시작],$U462)),TEXT(INDEX(상세표[시작],$U462),"yyyy-mm-dd hh:mm"),INDEX(상세표[시작],$U462)&amp;""))</f>
        <v/>
      </c>
      <c r="O462">
        <f>IF($U462="","",IF(ISNUMBER(INDEX(상세표[종료],$U462)),TEXT(INDEX(상세표[종료],$U462),"yyyy-mm-dd hh:mm"),INDEX(상세표[종료],$U462)&amp;""))</f>
        <v/>
      </c>
      <c r="P462">
        <f>IF($U462="","",INDEX(상세표[06~07시],$U462))</f>
        <v/>
      </c>
      <c r="Q462">
        <f>IF($U462="","",INDEX(상세표[07~18시],$U462))</f>
        <v/>
      </c>
      <c r="R462">
        <f>IF($U462="","",INDEX(상세표[18~22시],$U462))</f>
        <v/>
      </c>
      <c r="S462">
        <f>IF($U462="","",INDEX(상세표[22~06시],$U462))</f>
        <v/>
      </c>
      <c r="T462">
        <f>IF($U462="","",INDEX(상세표[기록 시간외],$U462))</f>
        <v/>
      </c>
      <c r="U462" s="4">
        <f>IFERROR(MATCH(457,상세표[발송순번],0),"")</f>
        <v/>
      </c>
    </row>
    <row r="463">
      <c r="J463">
        <f>IF($U463="","",INDEX(상세표[사번],$U463)&amp;"")</f>
        <v/>
      </c>
      <c r="K463">
        <f>IF($U463="","",INDEX(상세표[성명],$U463)&amp;"")</f>
        <v/>
      </c>
      <c r="L463">
        <f>IF($U463="","",INDEX(상세표[직위],$U463)&amp;"")</f>
        <v/>
      </c>
      <c r="M463">
        <f>IF($U463="","",IF(ISNUMBER(INDEX(상세표[근무일자],$U463)),TEXT(INDEX(상세표[근무일자],$U463),"yyyy-mm-dd"),INDEX(상세표[근무일자],$U463)&amp;""))</f>
        <v/>
      </c>
      <c r="N463">
        <f>IF($U463="","",IF(ISNUMBER(INDEX(상세표[시작],$U463)),TEXT(INDEX(상세표[시작],$U463),"yyyy-mm-dd hh:mm"),INDEX(상세표[시작],$U463)&amp;""))</f>
        <v/>
      </c>
      <c r="O463">
        <f>IF($U463="","",IF(ISNUMBER(INDEX(상세표[종료],$U463)),TEXT(INDEX(상세표[종료],$U463),"yyyy-mm-dd hh:mm"),INDEX(상세표[종료],$U463)&amp;""))</f>
        <v/>
      </c>
      <c r="P463">
        <f>IF($U463="","",INDEX(상세표[06~07시],$U463))</f>
        <v/>
      </c>
      <c r="Q463">
        <f>IF($U463="","",INDEX(상세표[07~18시],$U463))</f>
        <v/>
      </c>
      <c r="R463">
        <f>IF($U463="","",INDEX(상세표[18~22시],$U463))</f>
        <v/>
      </c>
      <c r="S463">
        <f>IF($U463="","",INDEX(상세표[22~06시],$U463))</f>
        <v/>
      </c>
      <c r="T463">
        <f>IF($U463="","",INDEX(상세표[기록 시간외],$U463))</f>
        <v/>
      </c>
      <c r="U463" s="4">
        <f>IFERROR(MATCH(458,상세표[발송순번],0),"")</f>
        <v/>
      </c>
    </row>
    <row r="464">
      <c r="J464">
        <f>IF($U464="","",INDEX(상세표[사번],$U464)&amp;"")</f>
        <v/>
      </c>
      <c r="K464">
        <f>IF($U464="","",INDEX(상세표[성명],$U464)&amp;"")</f>
        <v/>
      </c>
      <c r="L464">
        <f>IF($U464="","",INDEX(상세표[직위],$U464)&amp;"")</f>
        <v/>
      </c>
      <c r="M464">
        <f>IF($U464="","",IF(ISNUMBER(INDEX(상세표[근무일자],$U464)),TEXT(INDEX(상세표[근무일자],$U464),"yyyy-mm-dd"),INDEX(상세표[근무일자],$U464)&amp;""))</f>
        <v/>
      </c>
      <c r="N464">
        <f>IF($U464="","",IF(ISNUMBER(INDEX(상세표[시작],$U464)),TEXT(INDEX(상세표[시작],$U464),"yyyy-mm-dd hh:mm"),INDEX(상세표[시작],$U464)&amp;""))</f>
        <v/>
      </c>
      <c r="O464">
        <f>IF($U464="","",IF(ISNUMBER(INDEX(상세표[종료],$U464)),TEXT(INDEX(상세표[종료],$U464),"yyyy-mm-dd hh:mm"),INDEX(상세표[종료],$U464)&amp;""))</f>
        <v/>
      </c>
      <c r="P464">
        <f>IF($U464="","",INDEX(상세표[06~07시],$U464))</f>
        <v/>
      </c>
      <c r="Q464">
        <f>IF($U464="","",INDEX(상세표[07~18시],$U464))</f>
        <v/>
      </c>
      <c r="R464">
        <f>IF($U464="","",INDEX(상세표[18~22시],$U464))</f>
        <v/>
      </c>
      <c r="S464">
        <f>IF($U464="","",INDEX(상세표[22~06시],$U464))</f>
        <v/>
      </c>
      <c r="T464">
        <f>IF($U464="","",INDEX(상세표[기록 시간외],$U464))</f>
        <v/>
      </c>
      <c r="U464" s="4">
        <f>IFERROR(MATCH(459,상세표[발송순번],0),"")</f>
        <v/>
      </c>
    </row>
    <row r="465">
      <c r="J465">
        <f>IF($U465="","",INDEX(상세표[사번],$U465)&amp;"")</f>
        <v/>
      </c>
      <c r="K465">
        <f>IF($U465="","",INDEX(상세표[성명],$U465)&amp;"")</f>
        <v/>
      </c>
      <c r="L465">
        <f>IF($U465="","",INDEX(상세표[직위],$U465)&amp;"")</f>
        <v/>
      </c>
      <c r="M465">
        <f>IF($U465="","",IF(ISNUMBER(INDEX(상세표[근무일자],$U465)),TEXT(INDEX(상세표[근무일자],$U465),"yyyy-mm-dd"),INDEX(상세표[근무일자],$U465)&amp;""))</f>
        <v/>
      </c>
      <c r="N465">
        <f>IF($U465="","",IF(ISNUMBER(INDEX(상세표[시작],$U465)),TEXT(INDEX(상세표[시작],$U465),"yyyy-mm-dd hh:mm"),INDEX(상세표[시작],$U465)&amp;""))</f>
        <v/>
      </c>
      <c r="O465">
        <f>IF($U465="","",IF(ISNUMBER(INDEX(상세표[종료],$U465)),TEXT(INDEX(상세표[종료],$U465),"yyyy-mm-dd hh:mm"),INDEX(상세표[종료],$U465)&amp;""))</f>
        <v/>
      </c>
      <c r="P465">
        <f>IF($U465="","",INDEX(상세표[06~07시],$U465))</f>
        <v/>
      </c>
      <c r="Q465">
        <f>IF($U465="","",INDEX(상세표[07~18시],$U465))</f>
        <v/>
      </c>
      <c r="R465">
        <f>IF($U465="","",INDEX(상세표[18~22시],$U465))</f>
        <v/>
      </c>
      <c r="S465">
        <f>IF($U465="","",INDEX(상세표[22~06시],$U465))</f>
        <v/>
      </c>
      <c r="T465">
        <f>IF($U465="","",INDEX(상세표[기록 시간외],$U465))</f>
        <v/>
      </c>
      <c r="U465" s="4">
        <f>IFERROR(MATCH(460,상세표[발송순번],0),"")</f>
        <v/>
      </c>
    </row>
    <row r="466">
      <c r="J466">
        <f>IF($U466="","",INDEX(상세표[사번],$U466)&amp;"")</f>
        <v/>
      </c>
      <c r="K466">
        <f>IF($U466="","",INDEX(상세표[성명],$U466)&amp;"")</f>
        <v/>
      </c>
      <c r="L466">
        <f>IF($U466="","",INDEX(상세표[직위],$U466)&amp;"")</f>
        <v/>
      </c>
      <c r="M466">
        <f>IF($U466="","",IF(ISNUMBER(INDEX(상세표[근무일자],$U466)),TEXT(INDEX(상세표[근무일자],$U466),"yyyy-mm-dd"),INDEX(상세표[근무일자],$U466)&amp;""))</f>
        <v/>
      </c>
      <c r="N466">
        <f>IF($U466="","",IF(ISNUMBER(INDEX(상세표[시작],$U466)),TEXT(INDEX(상세표[시작],$U466),"yyyy-mm-dd hh:mm"),INDEX(상세표[시작],$U466)&amp;""))</f>
        <v/>
      </c>
      <c r="O466">
        <f>IF($U466="","",IF(ISNUMBER(INDEX(상세표[종료],$U466)),TEXT(INDEX(상세표[종료],$U466),"yyyy-mm-dd hh:mm"),INDEX(상세표[종료],$U466)&amp;""))</f>
        <v/>
      </c>
      <c r="P466">
        <f>IF($U466="","",INDEX(상세표[06~07시],$U466))</f>
        <v/>
      </c>
      <c r="Q466">
        <f>IF($U466="","",INDEX(상세표[07~18시],$U466))</f>
        <v/>
      </c>
      <c r="R466">
        <f>IF($U466="","",INDEX(상세표[18~22시],$U466))</f>
        <v/>
      </c>
      <c r="S466">
        <f>IF($U466="","",INDEX(상세표[22~06시],$U466))</f>
        <v/>
      </c>
      <c r="T466">
        <f>IF($U466="","",INDEX(상세표[기록 시간외],$U466))</f>
        <v/>
      </c>
      <c r="U466" s="4">
        <f>IFERROR(MATCH(461,상세표[발송순번],0),"")</f>
        <v/>
      </c>
    </row>
    <row r="467">
      <c r="J467">
        <f>IF($U467="","",INDEX(상세표[사번],$U467)&amp;"")</f>
        <v/>
      </c>
      <c r="K467">
        <f>IF($U467="","",INDEX(상세표[성명],$U467)&amp;"")</f>
        <v/>
      </c>
      <c r="L467">
        <f>IF($U467="","",INDEX(상세표[직위],$U467)&amp;"")</f>
        <v/>
      </c>
      <c r="M467">
        <f>IF($U467="","",IF(ISNUMBER(INDEX(상세표[근무일자],$U467)),TEXT(INDEX(상세표[근무일자],$U467),"yyyy-mm-dd"),INDEX(상세표[근무일자],$U467)&amp;""))</f>
        <v/>
      </c>
      <c r="N467">
        <f>IF($U467="","",IF(ISNUMBER(INDEX(상세표[시작],$U467)),TEXT(INDEX(상세표[시작],$U467),"yyyy-mm-dd hh:mm"),INDEX(상세표[시작],$U467)&amp;""))</f>
        <v/>
      </c>
      <c r="O467">
        <f>IF($U467="","",IF(ISNUMBER(INDEX(상세표[종료],$U467)),TEXT(INDEX(상세표[종료],$U467),"yyyy-mm-dd hh:mm"),INDEX(상세표[종료],$U467)&amp;""))</f>
        <v/>
      </c>
      <c r="P467">
        <f>IF($U467="","",INDEX(상세표[06~07시],$U467))</f>
        <v/>
      </c>
      <c r="Q467">
        <f>IF($U467="","",INDEX(상세표[07~18시],$U467))</f>
        <v/>
      </c>
      <c r="R467">
        <f>IF($U467="","",INDEX(상세표[18~22시],$U467))</f>
        <v/>
      </c>
      <c r="S467">
        <f>IF($U467="","",INDEX(상세표[22~06시],$U467))</f>
        <v/>
      </c>
      <c r="T467">
        <f>IF($U467="","",INDEX(상세표[기록 시간외],$U467))</f>
        <v/>
      </c>
      <c r="U467" s="4">
        <f>IFERROR(MATCH(462,상세표[발송순번],0),"")</f>
        <v/>
      </c>
    </row>
    <row r="468">
      <c r="J468">
        <f>IF($U468="","",INDEX(상세표[사번],$U468)&amp;"")</f>
        <v/>
      </c>
      <c r="K468">
        <f>IF($U468="","",INDEX(상세표[성명],$U468)&amp;"")</f>
        <v/>
      </c>
      <c r="L468">
        <f>IF($U468="","",INDEX(상세표[직위],$U468)&amp;"")</f>
        <v/>
      </c>
      <c r="M468">
        <f>IF($U468="","",IF(ISNUMBER(INDEX(상세표[근무일자],$U468)),TEXT(INDEX(상세표[근무일자],$U468),"yyyy-mm-dd"),INDEX(상세표[근무일자],$U468)&amp;""))</f>
        <v/>
      </c>
      <c r="N468">
        <f>IF($U468="","",IF(ISNUMBER(INDEX(상세표[시작],$U468)),TEXT(INDEX(상세표[시작],$U468),"yyyy-mm-dd hh:mm"),INDEX(상세표[시작],$U468)&amp;""))</f>
        <v/>
      </c>
      <c r="O468">
        <f>IF($U468="","",IF(ISNUMBER(INDEX(상세표[종료],$U468)),TEXT(INDEX(상세표[종료],$U468),"yyyy-mm-dd hh:mm"),INDEX(상세표[종료],$U468)&amp;""))</f>
        <v/>
      </c>
      <c r="P468">
        <f>IF($U468="","",INDEX(상세표[06~07시],$U468))</f>
        <v/>
      </c>
      <c r="Q468">
        <f>IF($U468="","",INDEX(상세표[07~18시],$U468))</f>
        <v/>
      </c>
      <c r="R468">
        <f>IF($U468="","",INDEX(상세표[18~22시],$U468))</f>
        <v/>
      </c>
      <c r="S468">
        <f>IF($U468="","",INDEX(상세표[22~06시],$U468))</f>
        <v/>
      </c>
      <c r="T468">
        <f>IF($U468="","",INDEX(상세표[기록 시간외],$U468))</f>
        <v/>
      </c>
      <c r="U468" s="4">
        <f>IFERROR(MATCH(463,상세표[발송순번],0),"")</f>
        <v/>
      </c>
    </row>
    <row r="469">
      <c r="J469">
        <f>IF($U469="","",INDEX(상세표[사번],$U469)&amp;"")</f>
        <v/>
      </c>
      <c r="K469">
        <f>IF($U469="","",INDEX(상세표[성명],$U469)&amp;"")</f>
        <v/>
      </c>
      <c r="L469">
        <f>IF($U469="","",INDEX(상세표[직위],$U469)&amp;"")</f>
        <v/>
      </c>
      <c r="M469">
        <f>IF($U469="","",IF(ISNUMBER(INDEX(상세표[근무일자],$U469)),TEXT(INDEX(상세표[근무일자],$U469),"yyyy-mm-dd"),INDEX(상세표[근무일자],$U469)&amp;""))</f>
        <v/>
      </c>
      <c r="N469">
        <f>IF($U469="","",IF(ISNUMBER(INDEX(상세표[시작],$U469)),TEXT(INDEX(상세표[시작],$U469),"yyyy-mm-dd hh:mm"),INDEX(상세표[시작],$U469)&amp;""))</f>
        <v/>
      </c>
      <c r="O469">
        <f>IF($U469="","",IF(ISNUMBER(INDEX(상세표[종료],$U469)),TEXT(INDEX(상세표[종료],$U469),"yyyy-mm-dd hh:mm"),INDEX(상세표[종료],$U469)&amp;""))</f>
        <v/>
      </c>
      <c r="P469">
        <f>IF($U469="","",INDEX(상세표[06~07시],$U469))</f>
        <v/>
      </c>
      <c r="Q469">
        <f>IF($U469="","",INDEX(상세표[07~18시],$U469))</f>
        <v/>
      </c>
      <c r="R469">
        <f>IF($U469="","",INDEX(상세표[18~22시],$U469))</f>
        <v/>
      </c>
      <c r="S469">
        <f>IF($U469="","",INDEX(상세표[22~06시],$U469))</f>
        <v/>
      </c>
      <c r="T469">
        <f>IF($U469="","",INDEX(상세표[기록 시간외],$U469))</f>
        <v/>
      </c>
      <c r="U469" s="4">
        <f>IFERROR(MATCH(464,상세표[발송순번],0),"")</f>
        <v/>
      </c>
    </row>
    <row r="470">
      <c r="J470">
        <f>IF($U470="","",INDEX(상세표[사번],$U470)&amp;"")</f>
        <v/>
      </c>
      <c r="K470">
        <f>IF($U470="","",INDEX(상세표[성명],$U470)&amp;"")</f>
        <v/>
      </c>
      <c r="L470">
        <f>IF($U470="","",INDEX(상세표[직위],$U470)&amp;"")</f>
        <v/>
      </c>
      <c r="M470">
        <f>IF($U470="","",IF(ISNUMBER(INDEX(상세표[근무일자],$U470)),TEXT(INDEX(상세표[근무일자],$U470),"yyyy-mm-dd"),INDEX(상세표[근무일자],$U470)&amp;""))</f>
        <v/>
      </c>
      <c r="N470">
        <f>IF($U470="","",IF(ISNUMBER(INDEX(상세표[시작],$U470)),TEXT(INDEX(상세표[시작],$U470),"yyyy-mm-dd hh:mm"),INDEX(상세표[시작],$U470)&amp;""))</f>
        <v/>
      </c>
      <c r="O470">
        <f>IF($U470="","",IF(ISNUMBER(INDEX(상세표[종료],$U470)),TEXT(INDEX(상세표[종료],$U470),"yyyy-mm-dd hh:mm"),INDEX(상세표[종료],$U470)&amp;""))</f>
        <v/>
      </c>
      <c r="P470">
        <f>IF($U470="","",INDEX(상세표[06~07시],$U470))</f>
        <v/>
      </c>
      <c r="Q470">
        <f>IF($U470="","",INDEX(상세표[07~18시],$U470))</f>
        <v/>
      </c>
      <c r="R470">
        <f>IF($U470="","",INDEX(상세표[18~22시],$U470))</f>
        <v/>
      </c>
      <c r="S470">
        <f>IF($U470="","",INDEX(상세표[22~06시],$U470))</f>
        <v/>
      </c>
      <c r="T470">
        <f>IF($U470="","",INDEX(상세표[기록 시간외],$U470))</f>
        <v/>
      </c>
      <c r="U470" s="4">
        <f>IFERROR(MATCH(465,상세표[발송순번],0),"")</f>
        <v/>
      </c>
    </row>
    <row r="471">
      <c r="J471">
        <f>IF($U471="","",INDEX(상세표[사번],$U471)&amp;"")</f>
        <v/>
      </c>
      <c r="K471">
        <f>IF($U471="","",INDEX(상세표[성명],$U471)&amp;"")</f>
        <v/>
      </c>
      <c r="L471">
        <f>IF($U471="","",INDEX(상세표[직위],$U471)&amp;"")</f>
        <v/>
      </c>
      <c r="M471">
        <f>IF($U471="","",IF(ISNUMBER(INDEX(상세표[근무일자],$U471)),TEXT(INDEX(상세표[근무일자],$U471),"yyyy-mm-dd"),INDEX(상세표[근무일자],$U471)&amp;""))</f>
        <v/>
      </c>
      <c r="N471">
        <f>IF($U471="","",IF(ISNUMBER(INDEX(상세표[시작],$U471)),TEXT(INDEX(상세표[시작],$U471),"yyyy-mm-dd hh:mm"),INDEX(상세표[시작],$U471)&amp;""))</f>
        <v/>
      </c>
      <c r="O471">
        <f>IF($U471="","",IF(ISNUMBER(INDEX(상세표[종료],$U471)),TEXT(INDEX(상세표[종료],$U471),"yyyy-mm-dd hh:mm"),INDEX(상세표[종료],$U471)&amp;""))</f>
        <v/>
      </c>
      <c r="P471">
        <f>IF($U471="","",INDEX(상세표[06~07시],$U471))</f>
        <v/>
      </c>
      <c r="Q471">
        <f>IF($U471="","",INDEX(상세표[07~18시],$U471))</f>
        <v/>
      </c>
      <c r="R471">
        <f>IF($U471="","",INDEX(상세표[18~22시],$U471))</f>
        <v/>
      </c>
      <c r="S471">
        <f>IF($U471="","",INDEX(상세표[22~06시],$U471))</f>
        <v/>
      </c>
      <c r="T471">
        <f>IF($U471="","",INDEX(상세표[기록 시간외],$U471))</f>
        <v/>
      </c>
      <c r="U471" s="4">
        <f>IFERROR(MATCH(466,상세표[발송순번],0),"")</f>
        <v/>
      </c>
    </row>
    <row r="472">
      <c r="J472">
        <f>IF($U472="","",INDEX(상세표[사번],$U472)&amp;"")</f>
        <v/>
      </c>
      <c r="K472">
        <f>IF($U472="","",INDEX(상세표[성명],$U472)&amp;"")</f>
        <v/>
      </c>
      <c r="L472">
        <f>IF($U472="","",INDEX(상세표[직위],$U472)&amp;"")</f>
        <v/>
      </c>
      <c r="M472">
        <f>IF($U472="","",IF(ISNUMBER(INDEX(상세표[근무일자],$U472)),TEXT(INDEX(상세표[근무일자],$U472),"yyyy-mm-dd"),INDEX(상세표[근무일자],$U472)&amp;""))</f>
        <v/>
      </c>
      <c r="N472">
        <f>IF($U472="","",IF(ISNUMBER(INDEX(상세표[시작],$U472)),TEXT(INDEX(상세표[시작],$U472),"yyyy-mm-dd hh:mm"),INDEX(상세표[시작],$U472)&amp;""))</f>
        <v/>
      </c>
      <c r="O472">
        <f>IF($U472="","",IF(ISNUMBER(INDEX(상세표[종료],$U472)),TEXT(INDEX(상세표[종료],$U472),"yyyy-mm-dd hh:mm"),INDEX(상세표[종료],$U472)&amp;""))</f>
        <v/>
      </c>
      <c r="P472">
        <f>IF($U472="","",INDEX(상세표[06~07시],$U472))</f>
        <v/>
      </c>
      <c r="Q472">
        <f>IF($U472="","",INDEX(상세표[07~18시],$U472))</f>
        <v/>
      </c>
      <c r="R472">
        <f>IF($U472="","",INDEX(상세표[18~22시],$U472))</f>
        <v/>
      </c>
      <c r="S472">
        <f>IF($U472="","",INDEX(상세표[22~06시],$U472))</f>
        <v/>
      </c>
      <c r="T472">
        <f>IF($U472="","",INDEX(상세표[기록 시간외],$U472))</f>
        <v/>
      </c>
      <c r="U472" s="4">
        <f>IFERROR(MATCH(467,상세표[발송순번],0),"")</f>
        <v/>
      </c>
    </row>
    <row r="473">
      <c r="J473">
        <f>IF($U473="","",INDEX(상세표[사번],$U473)&amp;"")</f>
        <v/>
      </c>
      <c r="K473">
        <f>IF($U473="","",INDEX(상세표[성명],$U473)&amp;"")</f>
        <v/>
      </c>
      <c r="L473">
        <f>IF($U473="","",INDEX(상세표[직위],$U473)&amp;"")</f>
        <v/>
      </c>
      <c r="M473">
        <f>IF($U473="","",IF(ISNUMBER(INDEX(상세표[근무일자],$U473)),TEXT(INDEX(상세표[근무일자],$U473),"yyyy-mm-dd"),INDEX(상세표[근무일자],$U473)&amp;""))</f>
        <v/>
      </c>
      <c r="N473">
        <f>IF($U473="","",IF(ISNUMBER(INDEX(상세표[시작],$U473)),TEXT(INDEX(상세표[시작],$U473),"yyyy-mm-dd hh:mm"),INDEX(상세표[시작],$U473)&amp;""))</f>
        <v/>
      </c>
      <c r="O473">
        <f>IF($U473="","",IF(ISNUMBER(INDEX(상세표[종료],$U473)),TEXT(INDEX(상세표[종료],$U473),"yyyy-mm-dd hh:mm"),INDEX(상세표[종료],$U473)&amp;""))</f>
        <v/>
      </c>
      <c r="P473">
        <f>IF($U473="","",INDEX(상세표[06~07시],$U473))</f>
        <v/>
      </c>
      <c r="Q473">
        <f>IF($U473="","",INDEX(상세표[07~18시],$U473))</f>
        <v/>
      </c>
      <c r="R473">
        <f>IF($U473="","",INDEX(상세표[18~22시],$U473))</f>
        <v/>
      </c>
      <c r="S473">
        <f>IF($U473="","",INDEX(상세표[22~06시],$U473))</f>
        <v/>
      </c>
      <c r="T473">
        <f>IF($U473="","",INDEX(상세표[기록 시간외],$U473))</f>
        <v/>
      </c>
      <c r="U473" s="4">
        <f>IFERROR(MATCH(468,상세표[발송순번],0),"")</f>
        <v/>
      </c>
    </row>
    <row r="474">
      <c r="J474">
        <f>IF($U474="","",INDEX(상세표[사번],$U474)&amp;"")</f>
        <v/>
      </c>
      <c r="K474">
        <f>IF($U474="","",INDEX(상세표[성명],$U474)&amp;"")</f>
        <v/>
      </c>
      <c r="L474">
        <f>IF($U474="","",INDEX(상세표[직위],$U474)&amp;"")</f>
        <v/>
      </c>
      <c r="M474">
        <f>IF($U474="","",IF(ISNUMBER(INDEX(상세표[근무일자],$U474)),TEXT(INDEX(상세표[근무일자],$U474),"yyyy-mm-dd"),INDEX(상세표[근무일자],$U474)&amp;""))</f>
        <v/>
      </c>
      <c r="N474">
        <f>IF($U474="","",IF(ISNUMBER(INDEX(상세표[시작],$U474)),TEXT(INDEX(상세표[시작],$U474),"yyyy-mm-dd hh:mm"),INDEX(상세표[시작],$U474)&amp;""))</f>
        <v/>
      </c>
      <c r="O474">
        <f>IF($U474="","",IF(ISNUMBER(INDEX(상세표[종료],$U474)),TEXT(INDEX(상세표[종료],$U474),"yyyy-mm-dd hh:mm"),INDEX(상세표[종료],$U474)&amp;""))</f>
        <v/>
      </c>
      <c r="P474">
        <f>IF($U474="","",INDEX(상세표[06~07시],$U474))</f>
        <v/>
      </c>
      <c r="Q474">
        <f>IF($U474="","",INDEX(상세표[07~18시],$U474))</f>
        <v/>
      </c>
      <c r="R474">
        <f>IF($U474="","",INDEX(상세표[18~22시],$U474))</f>
        <v/>
      </c>
      <c r="S474">
        <f>IF($U474="","",INDEX(상세표[22~06시],$U474))</f>
        <v/>
      </c>
      <c r="T474">
        <f>IF($U474="","",INDEX(상세표[기록 시간외],$U474))</f>
        <v/>
      </c>
      <c r="U474" s="4">
        <f>IFERROR(MATCH(469,상세표[발송순번],0),"")</f>
        <v/>
      </c>
    </row>
    <row r="475">
      <c r="J475">
        <f>IF($U475="","",INDEX(상세표[사번],$U475)&amp;"")</f>
        <v/>
      </c>
      <c r="K475">
        <f>IF($U475="","",INDEX(상세표[성명],$U475)&amp;"")</f>
        <v/>
      </c>
      <c r="L475">
        <f>IF($U475="","",INDEX(상세표[직위],$U475)&amp;"")</f>
        <v/>
      </c>
      <c r="M475">
        <f>IF($U475="","",IF(ISNUMBER(INDEX(상세표[근무일자],$U475)),TEXT(INDEX(상세표[근무일자],$U475),"yyyy-mm-dd"),INDEX(상세표[근무일자],$U475)&amp;""))</f>
        <v/>
      </c>
      <c r="N475">
        <f>IF($U475="","",IF(ISNUMBER(INDEX(상세표[시작],$U475)),TEXT(INDEX(상세표[시작],$U475),"yyyy-mm-dd hh:mm"),INDEX(상세표[시작],$U475)&amp;""))</f>
        <v/>
      </c>
      <c r="O475">
        <f>IF($U475="","",IF(ISNUMBER(INDEX(상세표[종료],$U475)),TEXT(INDEX(상세표[종료],$U475),"yyyy-mm-dd hh:mm"),INDEX(상세표[종료],$U475)&amp;""))</f>
        <v/>
      </c>
      <c r="P475">
        <f>IF($U475="","",INDEX(상세표[06~07시],$U475))</f>
        <v/>
      </c>
      <c r="Q475">
        <f>IF($U475="","",INDEX(상세표[07~18시],$U475))</f>
        <v/>
      </c>
      <c r="R475">
        <f>IF($U475="","",INDEX(상세표[18~22시],$U475))</f>
        <v/>
      </c>
      <c r="S475">
        <f>IF($U475="","",INDEX(상세표[22~06시],$U475))</f>
        <v/>
      </c>
      <c r="T475">
        <f>IF($U475="","",INDEX(상세표[기록 시간외],$U475))</f>
        <v/>
      </c>
      <c r="U475" s="4">
        <f>IFERROR(MATCH(470,상세표[발송순번],0),"")</f>
        <v/>
      </c>
    </row>
    <row r="476">
      <c r="J476">
        <f>IF($U476="","",INDEX(상세표[사번],$U476)&amp;"")</f>
        <v/>
      </c>
      <c r="K476">
        <f>IF($U476="","",INDEX(상세표[성명],$U476)&amp;"")</f>
        <v/>
      </c>
      <c r="L476">
        <f>IF($U476="","",INDEX(상세표[직위],$U476)&amp;"")</f>
        <v/>
      </c>
      <c r="M476">
        <f>IF($U476="","",IF(ISNUMBER(INDEX(상세표[근무일자],$U476)),TEXT(INDEX(상세표[근무일자],$U476),"yyyy-mm-dd"),INDEX(상세표[근무일자],$U476)&amp;""))</f>
        <v/>
      </c>
      <c r="N476">
        <f>IF($U476="","",IF(ISNUMBER(INDEX(상세표[시작],$U476)),TEXT(INDEX(상세표[시작],$U476),"yyyy-mm-dd hh:mm"),INDEX(상세표[시작],$U476)&amp;""))</f>
        <v/>
      </c>
      <c r="O476">
        <f>IF($U476="","",IF(ISNUMBER(INDEX(상세표[종료],$U476)),TEXT(INDEX(상세표[종료],$U476),"yyyy-mm-dd hh:mm"),INDEX(상세표[종료],$U476)&amp;""))</f>
        <v/>
      </c>
      <c r="P476">
        <f>IF($U476="","",INDEX(상세표[06~07시],$U476))</f>
        <v/>
      </c>
      <c r="Q476">
        <f>IF($U476="","",INDEX(상세표[07~18시],$U476))</f>
        <v/>
      </c>
      <c r="R476">
        <f>IF($U476="","",INDEX(상세표[18~22시],$U476))</f>
        <v/>
      </c>
      <c r="S476">
        <f>IF($U476="","",INDEX(상세표[22~06시],$U476))</f>
        <v/>
      </c>
      <c r="T476">
        <f>IF($U476="","",INDEX(상세표[기록 시간외],$U476))</f>
        <v/>
      </c>
      <c r="U476" s="4">
        <f>IFERROR(MATCH(471,상세표[발송순번],0),"")</f>
        <v/>
      </c>
    </row>
    <row r="477">
      <c r="J477">
        <f>IF($U477="","",INDEX(상세표[사번],$U477)&amp;"")</f>
        <v/>
      </c>
      <c r="K477">
        <f>IF($U477="","",INDEX(상세표[성명],$U477)&amp;"")</f>
        <v/>
      </c>
      <c r="L477">
        <f>IF($U477="","",INDEX(상세표[직위],$U477)&amp;"")</f>
        <v/>
      </c>
      <c r="M477">
        <f>IF($U477="","",IF(ISNUMBER(INDEX(상세표[근무일자],$U477)),TEXT(INDEX(상세표[근무일자],$U477),"yyyy-mm-dd"),INDEX(상세표[근무일자],$U477)&amp;""))</f>
        <v/>
      </c>
      <c r="N477">
        <f>IF($U477="","",IF(ISNUMBER(INDEX(상세표[시작],$U477)),TEXT(INDEX(상세표[시작],$U477),"yyyy-mm-dd hh:mm"),INDEX(상세표[시작],$U477)&amp;""))</f>
        <v/>
      </c>
      <c r="O477">
        <f>IF($U477="","",IF(ISNUMBER(INDEX(상세표[종료],$U477)),TEXT(INDEX(상세표[종료],$U477),"yyyy-mm-dd hh:mm"),INDEX(상세표[종료],$U477)&amp;""))</f>
        <v/>
      </c>
      <c r="P477">
        <f>IF($U477="","",INDEX(상세표[06~07시],$U477))</f>
        <v/>
      </c>
      <c r="Q477">
        <f>IF($U477="","",INDEX(상세표[07~18시],$U477))</f>
        <v/>
      </c>
      <c r="R477">
        <f>IF($U477="","",INDEX(상세표[18~22시],$U477))</f>
        <v/>
      </c>
      <c r="S477">
        <f>IF($U477="","",INDEX(상세표[22~06시],$U477))</f>
        <v/>
      </c>
      <c r="T477">
        <f>IF($U477="","",INDEX(상세표[기록 시간외],$U477))</f>
        <v/>
      </c>
      <c r="U477" s="4">
        <f>IFERROR(MATCH(472,상세표[발송순번],0),"")</f>
        <v/>
      </c>
    </row>
    <row r="478">
      <c r="J478">
        <f>IF($U478="","",INDEX(상세표[사번],$U478)&amp;"")</f>
        <v/>
      </c>
      <c r="K478">
        <f>IF($U478="","",INDEX(상세표[성명],$U478)&amp;"")</f>
        <v/>
      </c>
      <c r="L478">
        <f>IF($U478="","",INDEX(상세표[직위],$U478)&amp;"")</f>
        <v/>
      </c>
      <c r="M478">
        <f>IF($U478="","",IF(ISNUMBER(INDEX(상세표[근무일자],$U478)),TEXT(INDEX(상세표[근무일자],$U478),"yyyy-mm-dd"),INDEX(상세표[근무일자],$U478)&amp;""))</f>
        <v/>
      </c>
      <c r="N478">
        <f>IF($U478="","",IF(ISNUMBER(INDEX(상세표[시작],$U478)),TEXT(INDEX(상세표[시작],$U478),"yyyy-mm-dd hh:mm"),INDEX(상세표[시작],$U478)&amp;""))</f>
        <v/>
      </c>
      <c r="O478">
        <f>IF($U478="","",IF(ISNUMBER(INDEX(상세표[종료],$U478)),TEXT(INDEX(상세표[종료],$U478),"yyyy-mm-dd hh:mm"),INDEX(상세표[종료],$U478)&amp;""))</f>
        <v/>
      </c>
      <c r="P478">
        <f>IF($U478="","",INDEX(상세표[06~07시],$U478))</f>
        <v/>
      </c>
      <c r="Q478">
        <f>IF($U478="","",INDEX(상세표[07~18시],$U478))</f>
        <v/>
      </c>
      <c r="R478">
        <f>IF($U478="","",INDEX(상세표[18~22시],$U478))</f>
        <v/>
      </c>
      <c r="S478">
        <f>IF($U478="","",INDEX(상세표[22~06시],$U478))</f>
        <v/>
      </c>
      <c r="T478">
        <f>IF($U478="","",INDEX(상세표[기록 시간외],$U478))</f>
        <v/>
      </c>
      <c r="U478" s="4">
        <f>IFERROR(MATCH(473,상세표[발송순번],0),"")</f>
        <v/>
      </c>
    </row>
    <row r="479">
      <c r="J479">
        <f>IF($U479="","",INDEX(상세표[사번],$U479)&amp;"")</f>
        <v/>
      </c>
      <c r="K479">
        <f>IF($U479="","",INDEX(상세표[성명],$U479)&amp;"")</f>
        <v/>
      </c>
      <c r="L479">
        <f>IF($U479="","",INDEX(상세표[직위],$U479)&amp;"")</f>
        <v/>
      </c>
      <c r="M479">
        <f>IF($U479="","",IF(ISNUMBER(INDEX(상세표[근무일자],$U479)),TEXT(INDEX(상세표[근무일자],$U479),"yyyy-mm-dd"),INDEX(상세표[근무일자],$U479)&amp;""))</f>
        <v/>
      </c>
      <c r="N479">
        <f>IF($U479="","",IF(ISNUMBER(INDEX(상세표[시작],$U479)),TEXT(INDEX(상세표[시작],$U479),"yyyy-mm-dd hh:mm"),INDEX(상세표[시작],$U479)&amp;""))</f>
        <v/>
      </c>
      <c r="O479">
        <f>IF($U479="","",IF(ISNUMBER(INDEX(상세표[종료],$U479)),TEXT(INDEX(상세표[종료],$U479),"yyyy-mm-dd hh:mm"),INDEX(상세표[종료],$U479)&amp;""))</f>
        <v/>
      </c>
      <c r="P479">
        <f>IF($U479="","",INDEX(상세표[06~07시],$U479))</f>
        <v/>
      </c>
      <c r="Q479">
        <f>IF($U479="","",INDEX(상세표[07~18시],$U479))</f>
        <v/>
      </c>
      <c r="R479">
        <f>IF($U479="","",INDEX(상세표[18~22시],$U479))</f>
        <v/>
      </c>
      <c r="S479">
        <f>IF($U479="","",INDEX(상세표[22~06시],$U479))</f>
        <v/>
      </c>
      <c r="T479">
        <f>IF($U479="","",INDEX(상세표[기록 시간외],$U479))</f>
        <v/>
      </c>
      <c r="U479" s="4">
        <f>IFERROR(MATCH(474,상세표[발송순번],0),"")</f>
        <v/>
      </c>
    </row>
    <row r="480">
      <c r="J480">
        <f>IF($U480="","",INDEX(상세표[사번],$U480)&amp;"")</f>
        <v/>
      </c>
      <c r="K480">
        <f>IF($U480="","",INDEX(상세표[성명],$U480)&amp;"")</f>
        <v/>
      </c>
      <c r="L480">
        <f>IF($U480="","",INDEX(상세표[직위],$U480)&amp;"")</f>
        <v/>
      </c>
      <c r="M480">
        <f>IF($U480="","",IF(ISNUMBER(INDEX(상세표[근무일자],$U480)),TEXT(INDEX(상세표[근무일자],$U480),"yyyy-mm-dd"),INDEX(상세표[근무일자],$U480)&amp;""))</f>
        <v/>
      </c>
      <c r="N480">
        <f>IF($U480="","",IF(ISNUMBER(INDEX(상세표[시작],$U480)),TEXT(INDEX(상세표[시작],$U480),"yyyy-mm-dd hh:mm"),INDEX(상세표[시작],$U480)&amp;""))</f>
        <v/>
      </c>
      <c r="O480">
        <f>IF($U480="","",IF(ISNUMBER(INDEX(상세표[종료],$U480)),TEXT(INDEX(상세표[종료],$U480),"yyyy-mm-dd hh:mm"),INDEX(상세표[종료],$U480)&amp;""))</f>
        <v/>
      </c>
      <c r="P480">
        <f>IF($U480="","",INDEX(상세표[06~07시],$U480))</f>
        <v/>
      </c>
      <c r="Q480">
        <f>IF($U480="","",INDEX(상세표[07~18시],$U480))</f>
        <v/>
      </c>
      <c r="R480">
        <f>IF($U480="","",INDEX(상세표[18~22시],$U480))</f>
        <v/>
      </c>
      <c r="S480">
        <f>IF($U480="","",INDEX(상세표[22~06시],$U480))</f>
        <v/>
      </c>
      <c r="T480">
        <f>IF($U480="","",INDEX(상세표[기록 시간외],$U480))</f>
        <v/>
      </c>
      <c r="U480" s="4">
        <f>IFERROR(MATCH(475,상세표[발송순번],0),"")</f>
        <v/>
      </c>
    </row>
    <row r="481">
      <c r="J481">
        <f>IF($U481="","",INDEX(상세표[사번],$U481)&amp;"")</f>
        <v/>
      </c>
      <c r="K481">
        <f>IF($U481="","",INDEX(상세표[성명],$U481)&amp;"")</f>
        <v/>
      </c>
      <c r="L481">
        <f>IF($U481="","",INDEX(상세표[직위],$U481)&amp;"")</f>
        <v/>
      </c>
      <c r="M481">
        <f>IF($U481="","",IF(ISNUMBER(INDEX(상세표[근무일자],$U481)),TEXT(INDEX(상세표[근무일자],$U481),"yyyy-mm-dd"),INDEX(상세표[근무일자],$U481)&amp;""))</f>
        <v/>
      </c>
      <c r="N481">
        <f>IF($U481="","",IF(ISNUMBER(INDEX(상세표[시작],$U481)),TEXT(INDEX(상세표[시작],$U481),"yyyy-mm-dd hh:mm"),INDEX(상세표[시작],$U481)&amp;""))</f>
        <v/>
      </c>
      <c r="O481">
        <f>IF($U481="","",IF(ISNUMBER(INDEX(상세표[종료],$U481)),TEXT(INDEX(상세표[종료],$U481),"yyyy-mm-dd hh:mm"),INDEX(상세표[종료],$U481)&amp;""))</f>
        <v/>
      </c>
      <c r="P481">
        <f>IF($U481="","",INDEX(상세표[06~07시],$U481))</f>
        <v/>
      </c>
      <c r="Q481">
        <f>IF($U481="","",INDEX(상세표[07~18시],$U481))</f>
        <v/>
      </c>
      <c r="R481">
        <f>IF($U481="","",INDEX(상세표[18~22시],$U481))</f>
        <v/>
      </c>
      <c r="S481">
        <f>IF($U481="","",INDEX(상세표[22~06시],$U481))</f>
        <v/>
      </c>
      <c r="T481">
        <f>IF($U481="","",INDEX(상세표[기록 시간외],$U481))</f>
        <v/>
      </c>
      <c r="U481" s="4">
        <f>IFERROR(MATCH(476,상세표[발송순번],0),"")</f>
        <v/>
      </c>
    </row>
    <row r="482">
      <c r="J482">
        <f>IF($U482="","",INDEX(상세표[사번],$U482)&amp;"")</f>
        <v/>
      </c>
      <c r="K482">
        <f>IF($U482="","",INDEX(상세표[성명],$U482)&amp;"")</f>
        <v/>
      </c>
      <c r="L482">
        <f>IF($U482="","",INDEX(상세표[직위],$U482)&amp;"")</f>
        <v/>
      </c>
      <c r="M482">
        <f>IF($U482="","",IF(ISNUMBER(INDEX(상세표[근무일자],$U482)),TEXT(INDEX(상세표[근무일자],$U482),"yyyy-mm-dd"),INDEX(상세표[근무일자],$U482)&amp;""))</f>
        <v/>
      </c>
      <c r="N482">
        <f>IF($U482="","",IF(ISNUMBER(INDEX(상세표[시작],$U482)),TEXT(INDEX(상세표[시작],$U482),"yyyy-mm-dd hh:mm"),INDEX(상세표[시작],$U482)&amp;""))</f>
        <v/>
      </c>
      <c r="O482">
        <f>IF($U482="","",IF(ISNUMBER(INDEX(상세표[종료],$U482)),TEXT(INDEX(상세표[종료],$U482),"yyyy-mm-dd hh:mm"),INDEX(상세표[종료],$U482)&amp;""))</f>
        <v/>
      </c>
      <c r="P482">
        <f>IF($U482="","",INDEX(상세표[06~07시],$U482))</f>
        <v/>
      </c>
      <c r="Q482">
        <f>IF($U482="","",INDEX(상세표[07~18시],$U482))</f>
        <v/>
      </c>
      <c r="R482">
        <f>IF($U482="","",INDEX(상세표[18~22시],$U482))</f>
        <v/>
      </c>
      <c r="S482">
        <f>IF($U482="","",INDEX(상세표[22~06시],$U482))</f>
        <v/>
      </c>
      <c r="T482">
        <f>IF($U482="","",INDEX(상세표[기록 시간외],$U482))</f>
        <v/>
      </c>
      <c r="U482" s="4">
        <f>IFERROR(MATCH(477,상세표[발송순번],0),"")</f>
        <v/>
      </c>
    </row>
    <row r="483">
      <c r="J483">
        <f>IF($U483="","",INDEX(상세표[사번],$U483)&amp;"")</f>
        <v/>
      </c>
      <c r="K483">
        <f>IF($U483="","",INDEX(상세표[성명],$U483)&amp;"")</f>
        <v/>
      </c>
      <c r="L483">
        <f>IF($U483="","",INDEX(상세표[직위],$U483)&amp;"")</f>
        <v/>
      </c>
      <c r="M483">
        <f>IF($U483="","",IF(ISNUMBER(INDEX(상세표[근무일자],$U483)),TEXT(INDEX(상세표[근무일자],$U483),"yyyy-mm-dd"),INDEX(상세표[근무일자],$U483)&amp;""))</f>
        <v/>
      </c>
      <c r="N483">
        <f>IF($U483="","",IF(ISNUMBER(INDEX(상세표[시작],$U483)),TEXT(INDEX(상세표[시작],$U483),"yyyy-mm-dd hh:mm"),INDEX(상세표[시작],$U483)&amp;""))</f>
        <v/>
      </c>
      <c r="O483">
        <f>IF($U483="","",IF(ISNUMBER(INDEX(상세표[종료],$U483)),TEXT(INDEX(상세표[종료],$U483),"yyyy-mm-dd hh:mm"),INDEX(상세표[종료],$U483)&amp;""))</f>
        <v/>
      </c>
      <c r="P483">
        <f>IF($U483="","",INDEX(상세표[06~07시],$U483))</f>
        <v/>
      </c>
      <c r="Q483">
        <f>IF($U483="","",INDEX(상세표[07~18시],$U483))</f>
        <v/>
      </c>
      <c r="R483">
        <f>IF($U483="","",INDEX(상세표[18~22시],$U483))</f>
        <v/>
      </c>
      <c r="S483">
        <f>IF($U483="","",INDEX(상세표[22~06시],$U483))</f>
        <v/>
      </c>
      <c r="T483">
        <f>IF($U483="","",INDEX(상세표[기록 시간외],$U483))</f>
        <v/>
      </c>
      <c r="U483" s="4">
        <f>IFERROR(MATCH(478,상세표[발송순번],0),"")</f>
        <v/>
      </c>
    </row>
    <row r="484">
      <c r="J484">
        <f>IF($U484="","",INDEX(상세표[사번],$U484)&amp;"")</f>
        <v/>
      </c>
      <c r="K484">
        <f>IF($U484="","",INDEX(상세표[성명],$U484)&amp;"")</f>
        <v/>
      </c>
      <c r="L484">
        <f>IF($U484="","",INDEX(상세표[직위],$U484)&amp;"")</f>
        <v/>
      </c>
      <c r="M484">
        <f>IF($U484="","",IF(ISNUMBER(INDEX(상세표[근무일자],$U484)),TEXT(INDEX(상세표[근무일자],$U484),"yyyy-mm-dd"),INDEX(상세표[근무일자],$U484)&amp;""))</f>
        <v/>
      </c>
      <c r="N484">
        <f>IF($U484="","",IF(ISNUMBER(INDEX(상세표[시작],$U484)),TEXT(INDEX(상세표[시작],$U484),"yyyy-mm-dd hh:mm"),INDEX(상세표[시작],$U484)&amp;""))</f>
        <v/>
      </c>
      <c r="O484">
        <f>IF($U484="","",IF(ISNUMBER(INDEX(상세표[종료],$U484)),TEXT(INDEX(상세표[종료],$U484),"yyyy-mm-dd hh:mm"),INDEX(상세표[종료],$U484)&amp;""))</f>
        <v/>
      </c>
      <c r="P484">
        <f>IF($U484="","",INDEX(상세표[06~07시],$U484))</f>
        <v/>
      </c>
      <c r="Q484">
        <f>IF($U484="","",INDEX(상세표[07~18시],$U484))</f>
        <v/>
      </c>
      <c r="R484">
        <f>IF($U484="","",INDEX(상세표[18~22시],$U484))</f>
        <v/>
      </c>
      <c r="S484">
        <f>IF($U484="","",INDEX(상세표[22~06시],$U484))</f>
        <v/>
      </c>
      <c r="T484">
        <f>IF($U484="","",INDEX(상세표[기록 시간외],$U484))</f>
        <v/>
      </c>
      <c r="U484" s="4">
        <f>IFERROR(MATCH(479,상세표[발송순번],0),"")</f>
        <v/>
      </c>
    </row>
    <row r="485">
      <c r="J485">
        <f>IF($U485="","",INDEX(상세표[사번],$U485)&amp;"")</f>
        <v/>
      </c>
      <c r="K485">
        <f>IF($U485="","",INDEX(상세표[성명],$U485)&amp;"")</f>
        <v/>
      </c>
      <c r="L485">
        <f>IF($U485="","",INDEX(상세표[직위],$U485)&amp;"")</f>
        <v/>
      </c>
      <c r="M485">
        <f>IF($U485="","",IF(ISNUMBER(INDEX(상세표[근무일자],$U485)),TEXT(INDEX(상세표[근무일자],$U485),"yyyy-mm-dd"),INDEX(상세표[근무일자],$U485)&amp;""))</f>
        <v/>
      </c>
      <c r="N485">
        <f>IF($U485="","",IF(ISNUMBER(INDEX(상세표[시작],$U485)),TEXT(INDEX(상세표[시작],$U485),"yyyy-mm-dd hh:mm"),INDEX(상세표[시작],$U485)&amp;""))</f>
        <v/>
      </c>
      <c r="O485">
        <f>IF($U485="","",IF(ISNUMBER(INDEX(상세표[종료],$U485)),TEXT(INDEX(상세표[종료],$U485),"yyyy-mm-dd hh:mm"),INDEX(상세표[종료],$U485)&amp;""))</f>
        <v/>
      </c>
      <c r="P485">
        <f>IF($U485="","",INDEX(상세표[06~07시],$U485))</f>
        <v/>
      </c>
      <c r="Q485">
        <f>IF($U485="","",INDEX(상세표[07~18시],$U485))</f>
        <v/>
      </c>
      <c r="R485">
        <f>IF($U485="","",INDEX(상세표[18~22시],$U485))</f>
        <v/>
      </c>
      <c r="S485">
        <f>IF($U485="","",INDEX(상세표[22~06시],$U485))</f>
        <v/>
      </c>
      <c r="T485">
        <f>IF($U485="","",INDEX(상세표[기록 시간외],$U485))</f>
        <v/>
      </c>
      <c r="U485" s="4">
        <f>IFERROR(MATCH(480,상세표[발송순번],0),"")</f>
        <v/>
      </c>
    </row>
    <row r="486">
      <c r="J486">
        <f>IF($U486="","",INDEX(상세표[사번],$U486)&amp;"")</f>
        <v/>
      </c>
      <c r="K486">
        <f>IF($U486="","",INDEX(상세표[성명],$U486)&amp;"")</f>
        <v/>
      </c>
      <c r="L486">
        <f>IF($U486="","",INDEX(상세표[직위],$U486)&amp;"")</f>
        <v/>
      </c>
      <c r="M486">
        <f>IF($U486="","",IF(ISNUMBER(INDEX(상세표[근무일자],$U486)),TEXT(INDEX(상세표[근무일자],$U486),"yyyy-mm-dd"),INDEX(상세표[근무일자],$U486)&amp;""))</f>
        <v/>
      </c>
      <c r="N486">
        <f>IF($U486="","",IF(ISNUMBER(INDEX(상세표[시작],$U486)),TEXT(INDEX(상세표[시작],$U486),"yyyy-mm-dd hh:mm"),INDEX(상세표[시작],$U486)&amp;""))</f>
        <v/>
      </c>
      <c r="O486">
        <f>IF($U486="","",IF(ISNUMBER(INDEX(상세표[종료],$U486)),TEXT(INDEX(상세표[종료],$U486),"yyyy-mm-dd hh:mm"),INDEX(상세표[종료],$U486)&amp;""))</f>
        <v/>
      </c>
      <c r="P486">
        <f>IF($U486="","",INDEX(상세표[06~07시],$U486))</f>
        <v/>
      </c>
      <c r="Q486">
        <f>IF($U486="","",INDEX(상세표[07~18시],$U486))</f>
        <v/>
      </c>
      <c r="R486">
        <f>IF($U486="","",INDEX(상세표[18~22시],$U486))</f>
        <v/>
      </c>
      <c r="S486">
        <f>IF($U486="","",INDEX(상세표[22~06시],$U486))</f>
        <v/>
      </c>
      <c r="T486">
        <f>IF($U486="","",INDEX(상세표[기록 시간외],$U486))</f>
        <v/>
      </c>
      <c r="U486" s="4">
        <f>IFERROR(MATCH(481,상세표[발송순번],0),"")</f>
        <v/>
      </c>
    </row>
    <row r="487">
      <c r="J487">
        <f>IF($U487="","",INDEX(상세표[사번],$U487)&amp;"")</f>
        <v/>
      </c>
      <c r="K487">
        <f>IF($U487="","",INDEX(상세표[성명],$U487)&amp;"")</f>
        <v/>
      </c>
      <c r="L487">
        <f>IF($U487="","",INDEX(상세표[직위],$U487)&amp;"")</f>
        <v/>
      </c>
      <c r="M487">
        <f>IF($U487="","",IF(ISNUMBER(INDEX(상세표[근무일자],$U487)),TEXT(INDEX(상세표[근무일자],$U487),"yyyy-mm-dd"),INDEX(상세표[근무일자],$U487)&amp;""))</f>
        <v/>
      </c>
      <c r="N487">
        <f>IF($U487="","",IF(ISNUMBER(INDEX(상세표[시작],$U487)),TEXT(INDEX(상세표[시작],$U487),"yyyy-mm-dd hh:mm"),INDEX(상세표[시작],$U487)&amp;""))</f>
        <v/>
      </c>
      <c r="O487">
        <f>IF($U487="","",IF(ISNUMBER(INDEX(상세표[종료],$U487)),TEXT(INDEX(상세표[종료],$U487),"yyyy-mm-dd hh:mm"),INDEX(상세표[종료],$U487)&amp;""))</f>
        <v/>
      </c>
      <c r="P487">
        <f>IF($U487="","",INDEX(상세표[06~07시],$U487))</f>
        <v/>
      </c>
      <c r="Q487">
        <f>IF($U487="","",INDEX(상세표[07~18시],$U487))</f>
        <v/>
      </c>
      <c r="R487">
        <f>IF($U487="","",INDEX(상세표[18~22시],$U487))</f>
        <v/>
      </c>
      <c r="S487">
        <f>IF($U487="","",INDEX(상세표[22~06시],$U487))</f>
        <v/>
      </c>
      <c r="T487">
        <f>IF($U487="","",INDEX(상세표[기록 시간외],$U487))</f>
        <v/>
      </c>
      <c r="U487" s="4">
        <f>IFERROR(MATCH(482,상세표[발송순번],0),"")</f>
        <v/>
      </c>
    </row>
    <row r="488">
      <c r="J488">
        <f>IF($U488="","",INDEX(상세표[사번],$U488)&amp;"")</f>
        <v/>
      </c>
      <c r="K488">
        <f>IF($U488="","",INDEX(상세표[성명],$U488)&amp;"")</f>
        <v/>
      </c>
      <c r="L488">
        <f>IF($U488="","",INDEX(상세표[직위],$U488)&amp;"")</f>
        <v/>
      </c>
      <c r="M488">
        <f>IF($U488="","",IF(ISNUMBER(INDEX(상세표[근무일자],$U488)),TEXT(INDEX(상세표[근무일자],$U488),"yyyy-mm-dd"),INDEX(상세표[근무일자],$U488)&amp;""))</f>
        <v/>
      </c>
      <c r="N488">
        <f>IF($U488="","",IF(ISNUMBER(INDEX(상세표[시작],$U488)),TEXT(INDEX(상세표[시작],$U488),"yyyy-mm-dd hh:mm"),INDEX(상세표[시작],$U488)&amp;""))</f>
        <v/>
      </c>
      <c r="O488">
        <f>IF($U488="","",IF(ISNUMBER(INDEX(상세표[종료],$U488)),TEXT(INDEX(상세표[종료],$U488),"yyyy-mm-dd hh:mm"),INDEX(상세표[종료],$U488)&amp;""))</f>
        <v/>
      </c>
      <c r="P488">
        <f>IF($U488="","",INDEX(상세표[06~07시],$U488))</f>
        <v/>
      </c>
      <c r="Q488">
        <f>IF($U488="","",INDEX(상세표[07~18시],$U488))</f>
        <v/>
      </c>
      <c r="R488">
        <f>IF($U488="","",INDEX(상세표[18~22시],$U488))</f>
        <v/>
      </c>
      <c r="S488">
        <f>IF($U488="","",INDEX(상세표[22~06시],$U488))</f>
        <v/>
      </c>
      <c r="T488">
        <f>IF($U488="","",INDEX(상세표[기록 시간외],$U488))</f>
        <v/>
      </c>
      <c r="U488" s="4">
        <f>IFERROR(MATCH(483,상세표[발송순번],0),"")</f>
        <v/>
      </c>
    </row>
    <row r="489">
      <c r="J489">
        <f>IF($U489="","",INDEX(상세표[사번],$U489)&amp;"")</f>
        <v/>
      </c>
      <c r="K489">
        <f>IF($U489="","",INDEX(상세표[성명],$U489)&amp;"")</f>
        <v/>
      </c>
      <c r="L489">
        <f>IF($U489="","",INDEX(상세표[직위],$U489)&amp;"")</f>
        <v/>
      </c>
      <c r="M489">
        <f>IF($U489="","",IF(ISNUMBER(INDEX(상세표[근무일자],$U489)),TEXT(INDEX(상세표[근무일자],$U489),"yyyy-mm-dd"),INDEX(상세표[근무일자],$U489)&amp;""))</f>
        <v/>
      </c>
      <c r="N489">
        <f>IF($U489="","",IF(ISNUMBER(INDEX(상세표[시작],$U489)),TEXT(INDEX(상세표[시작],$U489),"yyyy-mm-dd hh:mm"),INDEX(상세표[시작],$U489)&amp;""))</f>
        <v/>
      </c>
      <c r="O489">
        <f>IF($U489="","",IF(ISNUMBER(INDEX(상세표[종료],$U489)),TEXT(INDEX(상세표[종료],$U489),"yyyy-mm-dd hh:mm"),INDEX(상세표[종료],$U489)&amp;""))</f>
        <v/>
      </c>
      <c r="P489">
        <f>IF($U489="","",INDEX(상세표[06~07시],$U489))</f>
        <v/>
      </c>
      <c r="Q489">
        <f>IF($U489="","",INDEX(상세표[07~18시],$U489))</f>
        <v/>
      </c>
      <c r="R489">
        <f>IF($U489="","",INDEX(상세표[18~22시],$U489))</f>
        <v/>
      </c>
      <c r="S489">
        <f>IF($U489="","",INDEX(상세표[22~06시],$U489))</f>
        <v/>
      </c>
      <c r="T489">
        <f>IF($U489="","",INDEX(상세표[기록 시간외],$U489))</f>
        <v/>
      </c>
      <c r="U489" s="4">
        <f>IFERROR(MATCH(484,상세표[발송순번],0),"")</f>
        <v/>
      </c>
    </row>
    <row r="490">
      <c r="J490">
        <f>IF($U490="","",INDEX(상세표[사번],$U490)&amp;"")</f>
        <v/>
      </c>
      <c r="K490">
        <f>IF($U490="","",INDEX(상세표[성명],$U490)&amp;"")</f>
        <v/>
      </c>
      <c r="L490">
        <f>IF($U490="","",INDEX(상세표[직위],$U490)&amp;"")</f>
        <v/>
      </c>
      <c r="M490">
        <f>IF($U490="","",IF(ISNUMBER(INDEX(상세표[근무일자],$U490)),TEXT(INDEX(상세표[근무일자],$U490),"yyyy-mm-dd"),INDEX(상세표[근무일자],$U490)&amp;""))</f>
        <v/>
      </c>
      <c r="N490">
        <f>IF($U490="","",IF(ISNUMBER(INDEX(상세표[시작],$U490)),TEXT(INDEX(상세표[시작],$U490),"yyyy-mm-dd hh:mm"),INDEX(상세표[시작],$U490)&amp;""))</f>
        <v/>
      </c>
      <c r="O490">
        <f>IF($U490="","",IF(ISNUMBER(INDEX(상세표[종료],$U490)),TEXT(INDEX(상세표[종료],$U490),"yyyy-mm-dd hh:mm"),INDEX(상세표[종료],$U490)&amp;""))</f>
        <v/>
      </c>
      <c r="P490">
        <f>IF($U490="","",INDEX(상세표[06~07시],$U490))</f>
        <v/>
      </c>
      <c r="Q490">
        <f>IF($U490="","",INDEX(상세표[07~18시],$U490))</f>
        <v/>
      </c>
      <c r="R490">
        <f>IF($U490="","",INDEX(상세표[18~22시],$U490))</f>
        <v/>
      </c>
      <c r="S490">
        <f>IF($U490="","",INDEX(상세표[22~06시],$U490))</f>
        <v/>
      </c>
      <c r="T490">
        <f>IF($U490="","",INDEX(상세표[기록 시간외],$U490))</f>
        <v/>
      </c>
      <c r="U490" s="4">
        <f>IFERROR(MATCH(485,상세표[발송순번],0),"")</f>
        <v/>
      </c>
    </row>
    <row r="491">
      <c r="J491">
        <f>IF($U491="","",INDEX(상세표[사번],$U491)&amp;"")</f>
        <v/>
      </c>
      <c r="K491">
        <f>IF($U491="","",INDEX(상세표[성명],$U491)&amp;"")</f>
        <v/>
      </c>
      <c r="L491">
        <f>IF($U491="","",INDEX(상세표[직위],$U491)&amp;"")</f>
        <v/>
      </c>
      <c r="M491">
        <f>IF($U491="","",IF(ISNUMBER(INDEX(상세표[근무일자],$U491)),TEXT(INDEX(상세표[근무일자],$U491),"yyyy-mm-dd"),INDEX(상세표[근무일자],$U491)&amp;""))</f>
        <v/>
      </c>
      <c r="N491">
        <f>IF($U491="","",IF(ISNUMBER(INDEX(상세표[시작],$U491)),TEXT(INDEX(상세표[시작],$U491),"yyyy-mm-dd hh:mm"),INDEX(상세표[시작],$U491)&amp;""))</f>
        <v/>
      </c>
      <c r="O491">
        <f>IF($U491="","",IF(ISNUMBER(INDEX(상세표[종료],$U491)),TEXT(INDEX(상세표[종료],$U491),"yyyy-mm-dd hh:mm"),INDEX(상세표[종료],$U491)&amp;""))</f>
        <v/>
      </c>
      <c r="P491">
        <f>IF($U491="","",INDEX(상세표[06~07시],$U491))</f>
        <v/>
      </c>
      <c r="Q491">
        <f>IF($U491="","",INDEX(상세표[07~18시],$U491))</f>
        <v/>
      </c>
      <c r="R491">
        <f>IF($U491="","",INDEX(상세표[18~22시],$U491))</f>
        <v/>
      </c>
      <c r="S491">
        <f>IF($U491="","",INDEX(상세표[22~06시],$U491))</f>
        <v/>
      </c>
      <c r="T491">
        <f>IF($U491="","",INDEX(상세표[기록 시간외],$U491))</f>
        <v/>
      </c>
      <c r="U491" s="4">
        <f>IFERROR(MATCH(486,상세표[발송순번],0),"")</f>
        <v/>
      </c>
    </row>
    <row r="492">
      <c r="J492">
        <f>IF($U492="","",INDEX(상세표[사번],$U492)&amp;"")</f>
        <v/>
      </c>
      <c r="K492">
        <f>IF($U492="","",INDEX(상세표[성명],$U492)&amp;"")</f>
        <v/>
      </c>
      <c r="L492">
        <f>IF($U492="","",INDEX(상세표[직위],$U492)&amp;"")</f>
        <v/>
      </c>
      <c r="M492">
        <f>IF($U492="","",IF(ISNUMBER(INDEX(상세표[근무일자],$U492)),TEXT(INDEX(상세표[근무일자],$U492),"yyyy-mm-dd"),INDEX(상세표[근무일자],$U492)&amp;""))</f>
        <v/>
      </c>
      <c r="N492">
        <f>IF($U492="","",IF(ISNUMBER(INDEX(상세표[시작],$U492)),TEXT(INDEX(상세표[시작],$U492),"yyyy-mm-dd hh:mm"),INDEX(상세표[시작],$U492)&amp;""))</f>
        <v/>
      </c>
      <c r="O492">
        <f>IF($U492="","",IF(ISNUMBER(INDEX(상세표[종료],$U492)),TEXT(INDEX(상세표[종료],$U492),"yyyy-mm-dd hh:mm"),INDEX(상세표[종료],$U492)&amp;""))</f>
        <v/>
      </c>
      <c r="P492">
        <f>IF($U492="","",INDEX(상세표[06~07시],$U492))</f>
        <v/>
      </c>
      <c r="Q492">
        <f>IF($U492="","",INDEX(상세표[07~18시],$U492))</f>
        <v/>
      </c>
      <c r="R492">
        <f>IF($U492="","",INDEX(상세표[18~22시],$U492))</f>
        <v/>
      </c>
      <c r="S492">
        <f>IF($U492="","",INDEX(상세표[22~06시],$U492))</f>
        <v/>
      </c>
      <c r="T492">
        <f>IF($U492="","",INDEX(상세표[기록 시간외],$U492))</f>
        <v/>
      </c>
      <c r="U492" s="4">
        <f>IFERROR(MATCH(487,상세표[발송순번],0),"")</f>
        <v/>
      </c>
    </row>
    <row r="493">
      <c r="J493">
        <f>IF($U493="","",INDEX(상세표[사번],$U493)&amp;"")</f>
        <v/>
      </c>
      <c r="K493">
        <f>IF($U493="","",INDEX(상세표[성명],$U493)&amp;"")</f>
        <v/>
      </c>
      <c r="L493">
        <f>IF($U493="","",INDEX(상세표[직위],$U493)&amp;"")</f>
        <v/>
      </c>
      <c r="M493">
        <f>IF($U493="","",IF(ISNUMBER(INDEX(상세표[근무일자],$U493)),TEXT(INDEX(상세표[근무일자],$U493),"yyyy-mm-dd"),INDEX(상세표[근무일자],$U493)&amp;""))</f>
        <v/>
      </c>
      <c r="N493">
        <f>IF($U493="","",IF(ISNUMBER(INDEX(상세표[시작],$U493)),TEXT(INDEX(상세표[시작],$U493),"yyyy-mm-dd hh:mm"),INDEX(상세표[시작],$U493)&amp;""))</f>
        <v/>
      </c>
      <c r="O493">
        <f>IF($U493="","",IF(ISNUMBER(INDEX(상세표[종료],$U493)),TEXT(INDEX(상세표[종료],$U493),"yyyy-mm-dd hh:mm"),INDEX(상세표[종료],$U493)&amp;""))</f>
        <v/>
      </c>
      <c r="P493">
        <f>IF($U493="","",INDEX(상세표[06~07시],$U493))</f>
        <v/>
      </c>
      <c r="Q493">
        <f>IF($U493="","",INDEX(상세표[07~18시],$U493))</f>
        <v/>
      </c>
      <c r="R493">
        <f>IF($U493="","",INDEX(상세표[18~22시],$U493))</f>
        <v/>
      </c>
      <c r="S493">
        <f>IF($U493="","",INDEX(상세표[22~06시],$U493))</f>
        <v/>
      </c>
      <c r="T493">
        <f>IF($U493="","",INDEX(상세표[기록 시간외],$U493))</f>
        <v/>
      </c>
      <c r="U493" s="4">
        <f>IFERROR(MATCH(488,상세표[발송순번],0),"")</f>
        <v/>
      </c>
    </row>
    <row r="494">
      <c r="J494">
        <f>IF($U494="","",INDEX(상세표[사번],$U494)&amp;"")</f>
        <v/>
      </c>
      <c r="K494">
        <f>IF($U494="","",INDEX(상세표[성명],$U494)&amp;"")</f>
        <v/>
      </c>
      <c r="L494">
        <f>IF($U494="","",INDEX(상세표[직위],$U494)&amp;"")</f>
        <v/>
      </c>
      <c r="M494">
        <f>IF($U494="","",IF(ISNUMBER(INDEX(상세표[근무일자],$U494)),TEXT(INDEX(상세표[근무일자],$U494),"yyyy-mm-dd"),INDEX(상세표[근무일자],$U494)&amp;""))</f>
        <v/>
      </c>
      <c r="N494">
        <f>IF($U494="","",IF(ISNUMBER(INDEX(상세표[시작],$U494)),TEXT(INDEX(상세표[시작],$U494),"yyyy-mm-dd hh:mm"),INDEX(상세표[시작],$U494)&amp;""))</f>
        <v/>
      </c>
      <c r="O494">
        <f>IF($U494="","",IF(ISNUMBER(INDEX(상세표[종료],$U494)),TEXT(INDEX(상세표[종료],$U494),"yyyy-mm-dd hh:mm"),INDEX(상세표[종료],$U494)&amp;""))</f>
        <v/>
      </c>
      <c r="P494">
        <f>IF($U494="","",INDEX(상세표[06~07시],$U494))</f>
        <v/>
      </c>
      <c r="Q494">
        <f>IF($U494="","",INDEX(상세표[07~18시],$U494))</f>
        <v/>
      </c>
      <c r="R494">
        <f>IF($U494="","",INDEX(상세표[18~22시],$U494))</f>
        <v/>
      </c>
      <c r="S494">
        <f>IF($U494="","",INDEX(상세표[22~06시],$U494))</f>
        <v/>
      </c>
      <c r="T494">
        <f>IF($U494="","",INDEX(상세표[기록 시간외],$U494))</f>
        <v/>
      </c>
      <c r="U494" s="4">
        <f>IFERROR(MATCH(489,상세표[발송순번],0),"")</f>
        <v/>
      </c>
    </row>
    <row r="495">
      <c r="J495">
        <f>IF($U495="","",INDEX(상세표[사번],$U495)&amp;"")</f>
        <v/>
      </c>
      <c r="K495">
        <f>IF($U495="","",INDEX(상세표[성명],$U495)&amp;"")</f>
        <v/>
      </c>
      <c r="L495">
        <f>IF($U495="","",INDEX(상세표[직위],$U495)&amp;"")</f>
        <v/>
      </c>
      <c r="M495">
        <f>IF($U495="","",IF(ISNUMBER(INDEX(상세표[근무일자],$U495)),TEXT(INDEX(상세표[근무일자],$U495),"yyyy-mm-dd"),INDEX(상세표[근무일자],$U495)&amp;""))</f>
        <v/>
      </c>
      <c r="N495">
        <f>IF($U495="","",IF(ISNUMBER(INDEX(상세표[시작],$U495)),TEXT(INDEX(상세표[시작],$U495),"yyyy-mm-dd hh:mm"),INDEX(상세표[시작],$U495)&amp;""))</f>
        <v/>
      </c>
      <c r="O495">
        <f>IF($U495="","",IF(ISNUMBER(INDEX(상세표[종료],$U495)),TEXT(INDEX(상세표[종료],$U495),"yyyy-mm-dd hh:mm"),INDEX(상세표[종료],$U495)&amp;""))</f>
        <v/>
      </c>
      <c r="P495">
        <f>IF($U495="","",INDEX(상세표[06~07시],$U495))</f>
        <v/>
      </c>
      <c r="Q495">
        <f>IF($U495="","",INDEX(상세표[07~18시],$U495))</f>
        <v/>
      </c>
      <c r="R495">
        <f>IF($U495="","",INDEX(상세표[18~22시],$U495))</f>
        <v/>
      </c>
      <c r="S495">
        <f>IF($U495="","",INDEX(상세표[22~06시],$U495))</f>
        <v/>
      </c>
      <c r="T495">
        <f>IF($U495="","",INDEX(상세표[기록 시간외],$U495))</f>
        <v/>
      </c>
      <c r="U495" s="4">
        <f>IFERROR(MATCH(490,상세표[발송순번],0),"")</f>
        <v/>
      </c>
    </row>
    <row r="496">
      <c r="J496">
        <f>IF($U496="","",INDEX(상세표[사번],$U496)&amp;"")</f>
        <v/>
      </c>
      <c r="K496">
        <f>IF($U496="","",INDEX(상세표[성명],$U496)&amp;"")</f>
        <v/>
      </c>
      <c r="L496">
        <f>IF($U496="","",INDEX(상세표[직위],$U496)&amp;"")</f>
        <v/>
      </c>
      <c r="M496">
        <f>IF($U496="","",IF(ISNUMBER(INDEX(상세표[근무일자],$U496)),TEXT(INDEX(상세표[근무일자],$U496),"yyyy-mm-dd"),INDEX(상세표[근무일자],$U496)&amp;""))</f>
        <v/>
      </c>
      <c r="N496">
        <f>IF($U496="","",IF(ISNUMBER(INDEX(상세표[시작],$U496)),TEXT(INDEX(상세표[시작],$U496),"yyyy-mm-dd hh:mm"),INDEX(상세표[시작],$U496)&amp;""))</f>
        <v/>
      </c>
      <c r="O496">
        <f>IF($U496="","",IF(ISNUMBER(INDEX(상세표[종료],$U496)),TEXT(INDEX(상세표[종료],$U496),"yyyy-mm-dd hh:mm"),INDEX(상세표[종료],$U496)&amp;""))</f>
        <v/>
      </c>
      <c r="P496">
        <f>IF($U496="","",INDEX(상세표[06~07시],$U496))</f>
        <v/>
      </c>
      <c r="Q496">
        <f>IF($U496="","",INDEX(상세표[07~18시],$U496))</f>
        <v/>
      </c>
      <c r="R496">
        <f>IF($U496="","",INDEX(상세표[18~22시],$U496))</f>
        <v/>
      </c>
      <c r="S496">
        <f>IF($U496="","",INDEX(상세표[22~06시],$U496))</f>
        <v/>
      </c>
      <c r="T496">
        <f>IF($U496="","",INDEX(상세표[기록 시간외],$U496))</f>
        <v/>
      </c>
      <c r="U496" s="4">
        <f>IFERROR(MATCH(491,상세표[발송순번],0),"")</f>
        <v/>
      </c>
    </row>
    <row r="497">
      <c r="J497">
        <f>IF($U497="","",INDEX(상세표[사번],$U497)&amp;"")</f>
        <v/>
      </c>
      <c r="K497">
        <f>IF($U497="","",INDEX(상세표[성명],$U497)&amp;"")</f>
        <v/>
      </c>
      <c r="L497">
        <f>IF($U497="","",INDEX(상세표[직위],$U497)&amp;"")</f>
        <v/>
      </c>
      <c r="M497">
        <f>IF($U497="","",IF(ISNUMBER(INDEX(상세표[근무일자],$U497)),TEXT(INDEX(상세표[근무일자],$U497),"yyyy-mm-dd"),INDEX(상세표[근무일자],$U497)&amp;""))</f>
        <v/>
      </c>
      <c r="N497">
        <f>IF($U497="","",IF(ISNUMBER(INDEX(상세표[시작],$U497)),TEXT(INDEX(상세표[시작],$U497),"yyyy-mm-dd hh:mm"),INDEX(상세표[시작],$U497)&amp;""))</f>
        <v/>
      </c>
      <c r="O497">
        <f>IF($U497="","",IF(ISNUMBER(INDEX(상세표[종료],$U497)),TEXT(INDEX(상세표[종료],$U497),"yyyy-mm-dd hh:mm"),INDEX(상세표[종료],$U497)&amp;""))</f>
        <v/>
      </c>
      <c r="P497">
        <f>IF($U497="","",INDEX(상세표[06~07시],$U497))</f>
        <v/>
      </c>
      <c r="Q497">
        <f>IF($U497="","",INDEX(상세표[07~18시],$U497))</f>
        <v/>
      </c>
      <c r="R497">
        <f>IF($U497="","",INDEX(상세표[18~22시],$U497))</f>
        <v/>
      </c>
      <c r="S497">
        <f>IF($U497="","",INDEX(상세표[22~06시],$U497))</f>
        <v/>
      </c>
      <c r="T497">
        <f>IF($U497="","",INDEX(상세표[기록 시간외],$U497))</f>
        <v/>
      </c>
      <c r="U497" s="4">
        <f>IFERROR(MATCH(492,상세표[발송순번],0),"")</f>
        <v/>
      </c>
    </row>
    <row r="498">
      <c r="J498">
        <f>IF($U498="","",INDEX(상세표[사번],$U498)&amp;"")</f>
        <v/>
      </c>
      <c r="K498">
        <f>IF($U498="","",INDEX(상세표[성명],$U498)&amp;"")</f>
        <v/>
      </c>
      <c r="L498">
        <f>IF($U498="","",INDEX(상세표[직위],$U498)&amp;"")</f>
        <v/>
      </c>
      <c r="M498">
        <f>IF($U498="","",IF(ISNUMBER(INDEX(상세표[근무일자],$U498)),TEXT(INDEX(상세표[근무일자],$U498),"yyyy-mm-dd"),INDEX(상세표[근무일자],$U498)&amp;""))</f>
        <v/>
      </c>
      <c r="N498">
        <f>IF($U498="","",IF(ISNUMBER(INDEX(상세표[시작],$U498)),TEXT(INDEX(상세표[시작],$U498),"yyyy-mm-dd hh:mm"),INDEX(상세표[시작],$U498)&amp;""))</f>
        <v/>
      </c>
      <c r="O498">
        <f>IF($U498="","",IF(ISNUMBER(INDEX(상세표[종료],$U498)),TEXT(INDEX(상세표[종료],$U498),"yyyy-mm-dd hh:mm"),INDEX(상세표[종료],$U498)&amp;""))</f>
        <v/>
      </c>
      <c r="P498">
        <f>IF($U498="","",INDEX(상세표[06~07시],$U498))</f>
        <v/>
      </c>
      <c r="Q498">
        <f>IF($U498="","",INDEX(상세표[07~18시],$U498))</f>
        <v/>
      </c>
      <c r="R498">
        <f>IF($U498="","",INDEX(상세표[18~22시],$U498))</f>
        <v/>
      </c>
      <c r="S498">
        <f>IF($U498="","",INDEX(상세표[22~06시],$U498))</f>
        <v/>
      </c>
      <c r="T498">
        <f>IF($U498="","",INDEX(상세표[기록 시간외],$U498))</f>
        <v/>
      </c>
      <c r="U498" s="4">
        <f>IFERROR(MATCH(493,상세표[발송순번],0),"")</f>
        <v/>
      </c>
    </row>
    <row r="499">
      <c r="J499">
        <f>IF($U499="","",INDEX(상세표[사번],$U499)&amp;"")</f>
        <v/>
      </c>
      <c r="K499">
        <f>IF($U499="","",INDEX(상세표[성명],$U499)&amp;"")</f>
        <v/>
      </c>
      <c r="L499">
        <f>IF($U499="","",INDEX(상세표[직위],$U499)&amp;"")</f>
        <v/>
      </c>
      <c r="M499">
        <f>IF($U499="","",IF(ISNUMBER(INDEX(상세표[근무일자],$U499)),TEXT(INDEX(상세표[근무일자],$U499),"yyyy-mm-dd"),INDEX(상세표[근무일자],$U499)&amp;""))</f>
        <v/>
      </c>
      <c r="N499">
        <f>IF($U499="","",IF(ISNUMBER(INDEX(상세표[시작],$U499)),TEXT(INDEX(상세표[시작],$U499),"yyyy-mm-dd hh:mm"),INDEX(상세표[시작],$U499)&amp;""))</f>
        <v/>
      </c>
      <c r="O499">
        <f>IF($U499="","",IF(ISNUMBER(INDEX(상세표[종료],$U499)),TEXT(INDEX(상세표[종료],$U499),"yyyy-mm-dd hh:mm"),INDEX(상세표[종료],$U499)&amp;""))</f>
        <v/>
      </c>
      <c r="P499">
        <f>IF($U499="","",INDEX(상세표[06~07시],$U499))</f>
        <v/>
      </c>
      <c r="Q499">
        <f>IF($U499="","",INDEX(상세표[07~18시],$U499))</f>
        <v/>
      </c>
      <c r="R499">
        <f>IF($U499="","",INDEX(상세표[18~22시],$U499))</f>
        <v/>
      </c>
      <c r="S499">
        <f>IF($U499="","",INDEX(상세표[22~06시],$U499))</f>
        <v/>
      </c>
      <c r="T499">
        <f>IF($U499="","",INDEX(상세표[기록 시간외],$U499))</f>
        <v/>
      </c>
      <c r="U499" s="4">
        <f>IFERROR(MATCH(494,상세표[발송순번],0),"")</f>
        <v/>
      </c>
    </row>
    <row r="500">
      <c r="J500">
        <f>IF($U500="","",INDEX(상세표[사번],$U500)&amp;"")</f>
        <v/>
      </c>
      <c r="K500">
        <f>IF($U500="","",INDEX(상세표[성명],$U500)&amp;"")</f>
        <v/>
      </c>
      <c r="L500">
        <f>IF($U500="","",INDEX(상세표[직위],$U500)&amp;"")</f>
        <v/>
      </c>
      <c r="M500">
        <f>IF($U500="","",IF(ISNUMBER(INDEX(상세표[근무일자],$U500)),TEXT(INDEX(상세표[근무일자],$U500),"yyyy-mm-dd"),INDEX(상세표[근무일자],$U500)&amp;""))</f>
        <v/>
      </c>
      <c r="N500">
        <f>IF($U500="","",IF(ISNUMBER(INDEX(상세표[시작],$U500)),TEXT(INDEX(상세표[시작],$U500),"yyyy-mm-dd hh:mm"),INDEX(상세표[시작],$U500)&amp;""))</f>
        <v/>
      </c>
      <c r="O500">
        <f>IF($U500="","",IF(ISNUMBER(INDEX(상세표[종료],$U500)),TEXT(INDEX(상세표[종료],$U500),"yyyy-mm-dd hh:mm"),INDEX(상세표[종료],$U500)&amp;""))</f>
        <v/>
      </c>
      <c r="P500">
        <f>IF($U500="","",INDEX(상세표[06~07시],$U500))</f>
        <v/>
      </c>
      <c r="Q500">
        <f>IF($U500="","",INDEX(상세표[07~18시],$U500))</f>
        <v/>
      </c>
      <c r="R500">
        <f>IF($U500="","",INDEX(상세표[18~22시],$U500))</f>
        <v/>
      </c>
      <c r="S500">
        <f>IF($U500="","",INDEX(상세표[22~06시],$U500))</f>
        <v/>
      </c>
      <c r="T500">
        <f>IF($U500="","",INDEX(상세표[기록 시간외],$U500))</f>
        <v/>
      </c>
      <c r="U500" s="4">
        <f>IFERROR(MATCH(495,상세표[발송순번],0),"")</f>
        <v/>
      </c>
    </row>
    <row r="501">
      <c r="J501">
        <f>IF($U501="","",INDEX(상세표[사번],$U501)&amp;"")</f>
        <v/>
      </c>
      <c r="K501">
        <f>IF($U501="","",INDEX(상세표[성명],$U501)&amp;"")</f>
        <v/>
      </c>
      <c r="L501">
        <f>IF($U501="","",INDEX(상세표[직위],$U501)&amp;"")</f>
        <v/>
      </c>
      <c r="M501">
        <f>IF($U501="","",IF(ISNUMBER(INDEX(상세표[근무일자],$U501)),TEXT(INDEX(상세표[근무일자],$U501),"yyyy-mm-dd"),INDEX(상세표[근무일자],$U501)&amp;""))</f>
        <v/>
      </c>
      <c r="N501">
        <f>IF($U501="","",IF(ISNUMBER(INDEX(상세표[시작],$U501)),TEXT(INDEX(상세표[시작],$U501),"yyyy-mm-dd hh:mm"),INDEX(상세표[시작],$U501)&amp;""))</f>
        <v/>
      </c>
      <c r="O501">
        <f>IF($U501="","",IF(ISNUMBER(INDEX(상세표[종료],$U501)),TEXT(INDEX(상세표[종료],$U501),"yyyy-mm-dd hh:mm"),INDEX(상세표[종료],$U501)&amp;""))</f>
        <v/>
      </c>
      <c r="P501">
        <f>IF($U501="","",INDEX(상세표[06~07시],$U501))</f>
        <v/>
      </c>
      <c r="Q501">
        <f>IF($U501="","",INDEX(상세표[07~18시],$U501))</f>
        <v/>
      </c>
      <c r="R501">
        <f>IF($U501="","",INDEX(상세표[18~22시],$U501))</f>
        <v/>
      </c>
      <c r="S501">
        <f>IF($U501="","",INDEX(상세표[22~06시],$U501))</f>
        <v/>
      </c>
      <c r="T501">
        <f>IF($U501="","",INDEX(상세표[기록 시간외],$U501))</f>
        <v/>
      </c>
      <c r="U501" s="4">
        <f>IFERROR(MATCH(496,상세표[발송순번],0),"")</f>
        <v/>
      </c>
    </row>
    <row r="502">
      <c r="J502">
        <f>IF($U502="","",INDEX(상세표[사번],$U502)&amp;"")</f>
        <v/>
      </c>
      <c r="K502">
        <f>IF($U502="","",INDEX(상세표[성명],$U502)&amp;"")</f>
        <v/>
      </c>
      <c r="L502">
        <f>IF($U502="","",INDEX(상세표[직위],$U502)&amp;"")</f>
        <v/>
      </c>
      <c r="M502">
        <f>IF($U502="","",IF(ISNUMBER(INDEX(상세표[근무일자],$U502)),TEXT(INDEX(상세표[근무일자],$U502),"yyyy-mm-dd"),INDEX(상세표[근무일자],$U502)&amp;""))</f>
        <v/>
      </c>
      <c r="N502">
        <f>IF($U502="","",IF(ISNUMBER(INDEX(상세표[시작],$U502)),TEXT(INDEX(상세표[시작],$U502),"yyyy-mm-dd hh:mm"),INDEX(상세표[시작],$U502)&amp;""))</f>
        <v/>
      </c>
      <c r="O502">
        <f>IF($U502="","",IF(ISNUMBER(INDEX(상세표[종료],$U502)),TEXT(INDEX(상세표[종료],$U502),"yyyy-mm-dd hh:mm"),INDEX(상세표[종료],$U502)&amp;""))</f>
        <v/>
      </c>
      <c r="P502">
        <f>IF($U502="","",INDEX(상세표[06~07시],$U502))</f>
        <v/>
      </c>
      <c r="Q502">
        <f>IF($U502="","",INDEX(상세표[07~18시],$U502))</f>
        <v/>
      </c>
      <c r="R502">
        <f>IF($U502="","",INDEX(상세표[18~22시],$U502))</f>
        <v/>
      </c>
      <c r="S502">
        <f>IF($U502="","",INDEX(상세표[22~06시],$U502))</f>
        <v/>
      </c>
      <c r="T502">
        <f>IF($U502="","",INDEX(상세표[기록 시간외],$U502))</f>
        <v/>
      </c>
      <c r="U502" s="4">
        <f>IFERROR(MATCH(497,상세표[발송순번],0),"")</f>
        <v/>
      </c>
    </row>
    <row r="503">
      <c r="J503">
        <f>IF($U503="","",INDEX(상세표[사번],$U503)&amp;"")</f>
        <v/>
      </c>
      <c r="K503">
        <f>IF($U503="","",INDEX(상세표[성명],$U503)&amp;"")</f>
        <v/>
      </c>
      <c r="L503">
        <f>IF($U503="","",INDEX(상세표[직위],$U503)&amp;"")</f>
        <v/>
      </c>
      <c r="M503">
        <f>IF($U503="","",IF(ISNUMBER(INDEX(상세표[근무일자],$U503)),TEXT(INDEX(상세표[근무일자],$U503),"yyyy-mm-dd"),INDEX(상세표[근무일자],$U503)&amp;""))</f>
        <v/>
      </c>
      <c r="N503">
        <f>IF($U503="","",IF(ISNUMBER(INDEX(상세표[시작],$U503)),TEXT(INDEX(상세표[시작],$U503),"yyyy-mm-dd hh:mm"),INDEX(상세표[시작],$U503)&amp;""))</f>
        <v/>
      </c>
      <c r="O503">
        <f>IF($U503="","",IF(ISNUMBER(INDEX(상세표[종료],$U503)),TEXT(INDEX(상세표[종료],$U503),"yyyy-mm-dd hh:mm"),INDEX(상세표[종료],$U503)&amp;""))</f>
        <v/>
      </c>
      <c r="P503">
        <f>IF($U503="","",INDEX(상세표[06~07시],$U503))</f>
        <v/>
      </c>
      <c r="Q503">
        <f>IF($U503="","",INDEX(상세표[07~18시],$U503))</f>
        <v/>
      </c>
      <c r="R503">
        <f>IF($U503="","",INDEX(상세표[18~22시],$U503))</f>
        <v/>
      </c>
      <c r="S503">
        <f>IF($U503="","",INDEX(상세표[22~06시],$U503))</f>
        <v/>
      </c>
      <c r="T503">
        <f>IF($U503="","",INDEX(상세표[기록 시간외],$U503))</f>
        <v/>
      </c>
      <c r="U503" s="4">
        <f>IFERROR(MATCH(498,상세표[발송순번],0),"")</f>
        <v/>
      </c>
    </row>
    <row r="504">
      <c r="J504">
        <f>IF($U504="","",INDEX(상세표[사번],$U504)&amp;"")</f>
        <v/>
      </c>
      <c r="K504">
        <f>IF($U504="","",INDEX(상세표[성명],$U504)&amp;"")</f>
        <v/>
      </c>
      <c r="L504">
        <f>IF($U504="","",INDEX(상세표[직위],$U504)&amp;"")</f>
        <v/>
      </c>
      <c r="M504">
        <f>IF($U504="","",IF(ISNUMBER(INDEX(상세표[근무일자],$U504)),TEXT(INDEX(상세표[근무일자],$U504),"yyyy-mm-dd"),INDEX(상세표[근무일자],$U504)&amp;""))</f>
        <v/>
      </c>
      <c r="N504">
        <f>IF($U504="","",IF(ISNUMBER(INDEX(상세표[시작],$U504)),TEXT(INDEX(상세표[시작],$U504),"yyyy-mm-dd hh:mm"),INDEX(상세표[시작],$U504)&amp;""))</f>
        <v/>
      </c>
      <c r="O504">
        <f>IF($U504="","",IF(ISNUMBER(INDEX(상세표[종료],$U504)),TEXT(INDEX(상세표[종료],$U504),"yyyy-mm-dd hh:mm"),INDEX(상세표[종료],$U504)&amp;""))</f>
        <v/>
      </c>
      <c r="P504">
        <f>IF($U504="","",INDEX(상세표[06~07시],$U504))</f>
        <v/>
      </c>
      <c r="Q504">
        <f>IF($U504="","",INDEX(상세표[07~18시],$U504))</f>
        <v/>
      </c>
      <c r="R504">
        <f>IF($U504="","",INDEX(상세표[18~22시],$U504))</f>
        <v/>
      </c>
      <c r="S504">
        <f>IF($U504="","",INDEX(상세표[22~06시],$U504))</f>
        <v/>
      </c>
      <c r="T504">
        <f>IF($U504="","",INDEX(상세표[기록 시간외],$U504))</f>
        <v/>
      </c>
      <c r="U504" s="4">
        <f>IFERROR(MATCH(499,상세표[발송순번],0),"")</f>
        <v/>
      </c>
    </row>
    <row r="505">
      <c r="J505">
        <f>IF($U505="","",INDEX(상세표[사번],$U505)&amp;"")</f>
        <v/>
      </c>
      <c r="K505">
        <f>IF($U505="","",INDEX(상세표[성명],$U505)&amp;"")</f>
        <v/>
      </c>
      <c r="L505">
        <f>IF($U505="","",INDEX(상세표[직위],$U505)&amp;"")</f>
        <v/>
      </c>
      <c r="M505">
        <f>IF($U505="","",IF(ISNUMBER(INDEX(상세표[근무일자],$U505)),TEXT(INDEX(상세표[근무일자],$U505),"yyyy-mm-dd"),INDEX(상세표[근무일자],$U505)&amp;""))</f>
        <v/>
      </c>
      <c r="N505">
        <f>IF($U505="","",IF(ISNUMBER(INDEX(상세표[시작],$U505)),TEXT(INDEX(상세표[시작],$U505),"yyyy-mm-dd hh:mm"),INDEX(상세표[시작],$U505)&amp;""))</f>
        <v/>
      </c>
      <c r="O505">
        <f>IF($U505="","",IF(ISNUMBER(INDEX(상세표[종료],$U505)),TEXT(INDEX(상세표[종료],$U505),"yyyy-mm-dd hh:mm"),INDEX(상세표[종료],$U505)&amp;""))</f>
        <v/>
      </c>
      <c r="P505">
        <f>IF($U505="","",INDEX(상세표[06~07시],$U505))</f>
        <v/>
      </c>
      <c r="Q505">
        <f>IF($U505="","",INDEX(상세표[07~18시],$U505))</f>
        <v/>
      </c>
      <c r="R505">
        <f>IF($U505="","",INDEX(상세표[18~22시],$U505))</f>
        <v/>
      </c>
      <c r="S505">
        <f>IF($U505="","",INDEX(상세표[22~06시],$U505))</f>
        <v/>
      </c>
      <c r="T505">
        <f>IF($U505="","",INDEX(상세표[기록 시간외],$U505))</f>
        <v/>
      </c>
      <c r="U505" s="4">
        <f>IFERROR(MATCH(500,상세표[발송순번],0),"")</f>
        <v/>
      </c>
    </row>
    <row r="506">
      <c r="J506">
        <f>IF($U506="","",INDEX(상세표[사번],$U506)&amp;"")</f>
        <v/>
      </c>
      <c r="K506">
        <f>IF($U506="","",INDEX(상세표[성명],$U506)&amp;"")</f>
        <v/>
      </c>
      <c r="L506">
        <f>IF($U506="","",INDEX(상세표[직위],$U506)&amp;"")</f>
        <v/>
      </c>
      <c r="M506">
        <f>IF($U506="","",IF(ISNUMBER(INDEX(상세표[근무일자],$U506)),TEXT(INDEX(상세표[근무일자],$U506),"yyyy-mm-dd"),INDEX(상세표[근무일자],$U506)&amp;""))</f>
        <v/>
      </c>
      <c r="N506">
        <f>IF($U506="","",IF(ISNUMBER(INDEX(상세표[시작],$U506)),TEXT(INDEX(상세표[시작],$U506),"yyyy-mm-dd hh:mm"),INDEX(상세표[시작],$U506)&amp;""))</f>
        <v/>
      </c>
      <c r="O506">
        <f>IF($U506="","",IF(ISNUMBER(INDEX(상세표[종료],$U506)),TEXT(INDEX(상세표[종료],$U506),"yyyy-mm-dd hh:mm"),INDEX(상세표[종료],$U506)&amp;""))</f>
        <v/>
      </c>
      <c r="P506">
        <f>IF($U506="","",INDEX(상세표[06~07시],$U506))</f>
        <v/>
      </c>
      <c r="Q506">
        <f>IF($U506="","",INDEX(상세표[07~18시],$U506))</f>
        <v/>
      </c>
      <c r="R506">
        <f>IF($U506="","",INDEX(상세표[18~22시],$U506))</f>
        <v/>
      </c>
      <c r="S506">
        <f>IF($U506="","",INDEX(상세표[22~06시],$U506))</f>
        <v/>
      </c>
      <c r="T506">
        <f>IF($U506="","",INDEX(상세표[기록 시간외],$U506))</f>
        <v/>
      </c>
      <c r="U506" s="4">
        <f>IFERROR(MATCH(501,상세표[발송순번],0),"")</f>
        <v/>
      </c>
    </row>
    <row r="507">
      <c r="J507">
        <f>IF($U507="","",INDEX(상세표[사번],$U507)&amp;"")</f>
        <v/>
      </c>
      <c r="K507">
        <f>IF($U507="","",INDEX(상세표[성명],$U507)&amp;"")</f>
        <v/>
      </c>
      <c r="L507">
        <f>IF($U507="","",INDEX(상세표[직위],$U507)&amp;"")</f>
        <v/>
      </c>
      <c r="M507">
        <f>IF($U507="","",IF(ISNUMBER(INDEX(상세표[근무일자],$U507)),TEXT(INDEX(상세표[근무일자],$U507),"yyyy-mm-dd"),INDEX(상세표[근무일자],$U507)&amp;""))</f>
        <v/>
      </c>
      <c r="N507">
        <f>IF($U507="","",IF(ISNUMBER(INDEX(상세표[시작],$U507)),TEXT(INDEX(상세표[시작],$U507),"yyyy-mm-dd hh:mm"),INDEX(상세표[시작],$U507)&amp;""))</f>
        <v/>
      </c>
      <c r="O507">
        <f>IF($U507="","",IF(ISNUMBER(INDEX(상세표[종료],$U507)),TEXT(INDEX(상세표[종료],$U507),"yyyy-mm-dd hh:mm"),INDEX(상세표[종료],$U507)&amp;""))</f>
        <v/>
      </c>
      <c r="P507">
        <f>IF($U507="","",INDEX(상세표[06~07시],$U507))</f>
        <v/>
      </c>
      <c r="Q507">
        <f>IF($U507="","",INDEX(상세표[07~18시],$U507))</f>
        <v/>
      </c>
      <c r="R507">
        <f>IF($U507="","",INDEX(상세표[18~22시],$U507))</f>
        <v/>
      </c>
      <c r="S507">
        <f>IF($U507="","",INDEX(상세표[22~06시],$U507))</f>
        <v/>
      </c>
      <c r="T507">
        <f>IF($U507="","",INDEX(상세표[기록 시간외],$U507))</f>
        <v/>
      </c>
      <c r="U507" s="4">
        <f>IFERROR(MATCH(502,상세표[발송순번],0),"")</f>
        <v/>
      </c>
    </row>
    <row r="508">
      <c r="J508">
        <f>IF($U508="","",INDEX(상세표[사번],$U508)&amp;"")</f>
        <v/>
      </c>
      <c r="K508">
        <f>IF($U508="","",INDEX(상세표[성명],$U508)&amp;"")</f>
        <v/>
      </c>
      <c r="L508">
        <f>IF($U508="","",INDEX(상세표[직위],$U508)&amp;"")</f>
        <v/>
      </c>
      <c r="M508">
        <f>IF($U508="","",IF(ISNUMBER(INDEX(상세표[근무일자],$U508)),TEXT(INDEX(상세표[근무일자],$U508),"yyyy-mm-dd"),INDEX(상세표[근무일자],$U508)&amp;""))</f>
        <v/>
      </c>
      <c r="N508">
        <f>IF($U508="","",IF(ISNUMBER(INDEX(상세표[시작],$U508)),TEXT(INDEX(상세표[시작],$U508),"yyyy-mm-dd hh:mm"),INDEX(상세표[시작],$U508)&amp;""))</f>
        <v/>
      </c>
      <c r="O508">
        <f>IF($U508="","",IF(ISNUMBER(INDEX(상세표[종료],$U508)),TEXT(INDEX(상세표[종료],$U508),"yyyy-mm-dd hh:mm"),INDEX(상세표[종료],$U508)&amp;""))</f>
        <v/>
      </c>
      <c r="P508">
        <f>IF($U508="","",INDEX(상세표[06~07시],$U508))</f>
        <v/>
      </c>
      <c r="Q508">
        <f>IF($U508="","",INDEX(상세표[07~18시],$U508))</f>
        <v/>
      </c>
      <c r="R508">
        <f>IF($U508="","",INDEX(상세표[18~22시],$U508))</f>
        <v/>
      </c>
      <c r="S508">
        <f>IF($U508="","",INDEX(상세표[22~06시],$U508))</f>
        <v/>
      </c>
      <c r="T508">
        <f>IF($U508="","",INDEX(상세표[기록 시간외],$U508))</f>
        <v/>
      </c>
      <c r="U508" s="4">
        <f>IFERROR(MATCH(503,상세표[발송순번],0),"")</f>
        <v/>
      </c>
    </row>
    <row r="509">
      <c r="J509">
        <f>IF($U509="","",INDEX(상세표[사번],$U509)&amp;"")</f>
        <v/>
      </c>
      <c r="K509">
        <f>IF($U509="","",INDEX(상세표[성명],$U509)&amp;"")</f>
        <v/>
      </c>
      <c r="L509">
        <f>IF($U509="","",INDEX(상세표[직위],$U509)&amp;"")</f>
        <v/>
      </c>
      <c r="M509">
        <f>IF($U509="","",IF(ISNUMBER(INDEX(상세표[근무일자],$U509)),TEXT(INDEX(상세표[근무일자],$U509),"yyyy-mm-dd"),INDEX(상세표[근무일자],$U509)&amp;""))</f>
        <v/>
      </c>
      <c r="N509">
        <f>IF($U509="","",IF(ISNUMBER(INDEX(상세표[시작],$U509)),TEXT(INDEX(상세표[시작],$U509),"yyyy-mm-dd hh:mm"),INDEX(상세표[시작],$U509)&amp;""))</f>
        <v/>
      </c>
      <c r="O509">
        <f>IF($U509="","",IF(ISNUMBER(INDEX(상세표[종료],$U509)),TEXT(INDEX(상세표[종료],$U509),"yyyy-mm-dd hh:mm"),INDEX(상세표[종료],$U509)&amp;""))</f>
        <v/>
      </c>
      <c r="P509">
        <f>IF($U509="","",INDEX(상세표[06~07시],$U509))</f>
        <v/>
      </c>
      <c r="Q509">
        <f>IF($U509="","",INDEX(상세표[07~18시],$U509))</f>
        <v/>
      </c>
      <c r="R509">
        <f>IF($U509="","",INDEX(상세표[18~22시],$U509))</f>
        <v/>
      </c>
      <c r="S509">
        <f>IF($U509="","",INDEX(상세표[22~06시],$U509))</f>
        <v/>
      </c>
      <c r="T509">
        <f>IF($U509="","",INDEX(상세표[기록 시간외],$U509))</f>
        <v/>
      </c>
      <c r="U509" s="4">
        <f>IFERROR(MATCH(504,상세표[발송순번],0),"")</f>
        <v/>
      </c>
    </row>
    <row r="510">
      <c r="J510">
        <f>IF($U510="","",INDEX(상세표[사번],$U510)&amp;"")</f>
        <v/>
      </c>
      <c r="K510">
        <f>IF($U510="","",INDEX(상세표[성명],$U510)&amp;"")</f>
        <v/>
      </c>
      <c r="L510">
        <f>IF($U510="","",INDEX(상세표[직위],$U510)&amp;"")</f>
        <v/>
      </c>
      <c r="M510">
        <f>IF($U510="","",IF(ISNUMBER(INDEX(상세표[근무일자],$U510)),TEXT(INDEX(상세표[근무일자],$U510),"yyyy-mm-dd"),INDEX(상세표[근무일자],$U510)&amp;""))</f>
        <v/>
      </c>
      <c r="N510">
        <f>IF($U510="","",IF(ISNUMBER(INDEX(상세표[시작],$U510)),TEXT(INDEX(상세표[시작],$U510),"yyyy-mm-dd hh:mm"),INDEX(상세표[시작],$U510)&amp;""))</f>
        <v/>
      </c>
      <c r="O510">
        <f>IF($U510="","",IF(ISNUMBER(INDEX(상세표[종료],$U510)),TEXT(INDEX(상세표[종료],$U510),"yyyy-mm-dd hh:mm"),INDEX(상세표[종료],$U510)&amp;""))</f>
        <v/>
      </c>
      <c r="P510">
        <f>IF($U510="","",INDEX(상세표[06~07시],$U510))</f>
        <v/>
      </c>
      <c r="Q510">
        <f>IF($U510="","",INDEX(상세표[07~18시],$U510))</f>
        <v/>
      </c>
      <c r="R510">
        <f>IF($U510="","",INDEX(상세표[18~22시],$U510))</f>
        <v/>
      </c>
      <c r="S510">
        <f>IF($U510="","",INDEX(상세표[22~06시],$U510))</f>
        <v/>
      </c>
      <c r="T510">
        <f>IF($U510="","",INDEX(상세표[기록 시간외],$U510))</f>
        <v/>
      </c>
      <c r="U510" s="4">
        <f>IFERROR(MATCH(505,상세표[발송순번],0),"")</f>
        <v/>
      </c>
    </row>
    <row r="511">
      <c r="J511">
        <f>IF($U511="","",INDEX(상세표[사번],$U511)&amp;"")</f>
        <v/>
      </c>
      <c r="K511">
        <f>IF($U511="","",INDEX(상세표[성명],$U511)&amp;"")</f>
        <v/>
      </c>
      <c r="L511">
        <f>IF($U511="","",INDEX(상세표[직위],$U511)&amp;"")</f>
        <v/>
      </c>
      <c r="M511">
        <f>IF($U511="","",IF(ISNUMBER(INDEX(상세표[근무일자],$U511)),TEXT(INDEX(상세표[근무일자],$U511),"yyyy-mm-dd"),INDEX(상세표[근무일자],$U511)&amp;""))</f>
        <v/>
      </c>
      <c r="N511">
        <f>IF($U511="","",IF(ISNUMBER(INDEX(상세표[시작],$U511)),TEXT(INDEX(상세표[시작],$U511),"yyyy-mm-dd hh:mm"),INDEX(상세표[시작],$U511)&amp;""))</f>
        <v/>
      </c>
      <c r="O511">
        <f>IF($U511="","",IF(ISNUMBER(INDEX(상세표[종료],$U511)),TEXT(INDEX(상세표[종료],$U511),"yyyy-mm-dd hh:mm"),INDEX(상세표[종료],$U511)&amp;""))</f>
        <v/>
      </c>
      <c r="P511">
        <f>IF($U511="","",INDEX(상세표[06~07시],$U511))</f>
        <v/>
      </c>
      <c r="Q511">
        <f>IF($U511="","",INDEX(상세표[07~18시],$U511))</f>
        <v/>
      </c>
      <c r="R511">
        <f>IF($U511="","",INDEX(상세표[18~22시],$U511))</f>
        <v/>
      </c>
      <c r="S511">
        <f>IF($U511="","",INDEX(상세표[22~06시],$U511))</f>
        <v/>
      </c>
      <c r="T511">
        <f>IF($U511="","",INDEX(상세표[기록 시간외],$U511))</f>
        <v/>
      </c>
      <c r="U511" s="4">
        <f>IFERROR(MATCH(506,상세표[발송순번],0),"")</f>
        <v/>
      </c>
    </row>
    <row r="512">
      <c r="J512">
        <f>IF($U512="","",INDEX(상세표[사번],$U512)&amp;"")</f>
        <v/>
      </c>
      <c r="K512">
        <f>IF($U512="","",INDEX(상세표[성명],$U512)&amp;"")</f>
        <v/>
      </c>
      <c r="L512">
        <f>IF($U512="","",INDEX(상세표[직위],$U512)&amp;"")</f>
        <v/>
      </c>
      <c r="M512">
        <f>IF($U512="","",IF(ISNUMBER(INDEX(상세표[근무일자],$U512)),TEXT(INDEX(상세표[근무일자],$U512),"yyyy-mm-dd"),INDEX(상세표[근무일자],$U512)&amp;""))</f>
        <v/>
      </c>
      <c r="N512">
        <f>IF($U512="","",IF(ISNUMBER(INDEX(상세표[시작],$U512)),TEXT(INDEX(상세표[시작],$U512),"yyyy-mm-dd hh:mm"),INDEX(상세표[시작],$U512)&amp;""))</f>
        <v/>
      </c>
      <c r="O512">
        <f>IF($U512="","",IF(ISNUMBER(INDEX(상세표[종료],$U512)),TEXT(INDEX(상세표[종료],$U512),"yyyy-mm-dd hh:mm"),INDEX(상세표[종료],$U512)&amp;""))</f>
        <v/>
      </c>
      <c r="P512">
        <f>IF($U512="","",INDEX(상세표[06~07시],$U512))</f>
        <v/>
      </c>
      <c r="Q512">
        <f>IF($U512="","",INDEX(상세표[07~18시],$U512))</f>
        <v/>
      </c>
      <c r="R512">
        <f>IF($U512="","",INDEX(상세표[18~22시],$U512))</f>
        <v/>
      </c>
      <c r="S512">
        <f>IF($U512="","",INDEX(상세표[22~06시],$U512))</f>
        <v/>
      </c>
      <c r="T512">
        <f>IF($U512="","",INDEX(상세표[기록 시간외],$U512))</f>
        <v/>
      </c>
      <c r="U512" s="4">
        <f>IFERROR(MATCH(507,상세표[발송순번],0),"")</f>
        <v/>
      </c>
    </row>
    <row r="513">
      <c r="J513">
        <f>IF($U513="","",INDEX(상세표[사번],$U513)&amp;"")</f>
        <v/>
      </c>
      <c r="K513">
        <f>IF($U513="","",INDEX(상세표[성명],$U513)&amp;"")</f>
        <v/>
      </c>
      <c r="L513">
        <f>IF($U513="","",INDEX(상세표[직위],$U513)&amp;"")</f>
        <v/>
      </c>
      <c r="M513">
        <f>IF($U513="","",IF(ISNUMBER(INDEX(상세표[근무일자],$U513)),TEXT(INDEX(상세표[근무일자],$U513),"yyyy-mm-dd"),INDEX(상세표[근무일자],$U513)&amp;""))</f>
        <v/>
      </c>
      <c r="N513">
        <f>IF($U513="","",IF(ISNUMBER(INDEX(상세표[시작],$U513)),TEXT(INDEX(상세표[시작],$U513),"yyyy-mm-dd hh:mm"),INDEX(상세표[시작],$U513)&amp;""))</f>
        <v/>
      </c>
      <c r="O513">
        <f>IF($U513="","",IF(ISNUMBER(INDEX(상세표[종료],$U513)),TEXT(INDEX(상세표[종료],$U513),"yyyy-mm-dd hh:mm"),INDEX(상세표[종료],$U513)&amp;""))</f>
        <v/>
      </c>
      <c r="P513">
        <f>IF($U513="","",INDEX(상세표[06~07시],$U513))</f>
        <v/>
      </c>
      <c r="Q513">
        <f>IF($U513="","",INDEX(상세표[07~18시],$U513))</f>
        <v/>
      </c>
      <c r="R513">
        <f>IF($U513="","",INDEX(상세표[18~22시],$U513))</f>
        <v/>
      </c>
      <c r="S513">
        <f>IF($U513="","",INDEX(상세표[22~06시],$U513))</f>
        <v/>
      </c>
      <c r="T513">
        <f>IF($U513="","",INDEX(상세표[기록 시간외],$U513))</f>
        <v/>
      </c>
      <c r="U513" s="4">
        <f>IFERROR(MATCH(508,상세표[발송순번],0),"")</f>
        <v/>
      </c>
    </row>
    <row r="514">
      <c r="J514">
        <f>IF($U514="","",INDEX(상세표[사번],$U514)&amp;"")</f>
        <v/>
      </c>
      <c r="K514">
        <f>IF($U514="","",INDEX(상세표[성명],$U514)&amp;"")</f>
        <v/>
      </c>
      <c r="L514">
        <f>IF($U514="","",INDEX(상세표[직위],$U514)&amp;"")</f>
        <v/>
      </c>
      <c r="M514">
        <f>IF($U514="","",IF(ISNUMBER(INDEX(상세표[근무일자],$U514)),TEXT(INDEX(상세표[근무일자],$U514),"yyyy-mm-dd"),INDEX(상세표[근무일자],$U514)&amp;""))</f>
        <v/>
      </c>
      <c r="N514">
        <f>IF($U514="","",IF(ISNUMBER(INDEX(상세표[시작],$U514)),TEXT(INDEX(상세표[시작],$U514),"yyyy-mm-dd hh:mm"),INDEX(상세표[시작],$U514)&amp;""))</f>
        <v/>
      </c>
      <c r="O514">
        <f>IF($U514="","",IF(ISNUMBER(INDEX(상세표[종료],$U514)),TEXT(INDEX(상세표[종료],$U514),"yyyy-mm-dd hh:mm"),INDEX(상세표[종료],$U514)&amp;""))</f>
        <v/>
      </c>
      <c r="P514">
        <f>IF($U514="","",INDEX(상세표[06~07시],$U514))</f>
        <v/>
      </c>
      <c r="Q514">
        <f>IF($U514="","",INDEX(상세표[07~18시],$U514))</f>
        <v/>
      </c>
      <c r="R514">
        <f>IF($U514="","",INDEX(상세표[18~22시],$U514))</f>
        <v/>
      </c>
      <c r="S514">
        <f>IF($U514="","",INDEX(상세표[22~06시],$U514))</f>
        <v/>
      </c>
      <c r="T514">
        <f>IF($U514="","",INDEX(상세표[기록 시간외],$U514))</f>
        <v/>
      </c>
      <c r="U514" s="4">
        <f>IFERROR(MATCH(509,상세표[발송순번],0),"")</f>
        <v/>
      </c>
    </row>
    <row r="515">
      <c r="J515">
        <f>IF($U515="","",INDEX(상세표[사번],$U515)&amp;"")</f>
        <v/>
      </c>
      <c r="K515">
        <f>IF($U515="","",INDEX(상세표[성명],$U515)&amp;"")</f>
        <v/>
      </c>
      <c r="L515">
        <f>IF($U515="","",INDEX(상세표[직위],$U515)&amp;"")</f>
        <v/>
      </c>
      <c r="M515">
        <f>IF($U515="","",IF(ISNUMBER(INDEX(상세표[근무일자],$U515)),TEXT(INDEX(상세표[근무일자],$U515),"yyyy-mm-dd"),INDEX(상세표[근무일자],$U515)&amp;""))</f>
        <v/>
      </c>
      <c r="N515">
        <f>IF($U515="","",IF(ISNUMBER(INDEX(상세표[시작],$U515)),TEXT(INDEX(상세표[시작],$U515),"yyyy-mm-dd hh:mm"),INDEX(상세표[시작],$U515)&amp;""))</f>
        <v/>
      </c>
      <c r="O515">
        <f>IF($U515="","",IF(ISNUMBER(INDEX(상세표[종료],$U515)),TEXT(INDEX(상세표[종료],$U515),"yyyy-mm-dd hh:mm"),INDEX(상세표[종료],$U515)&amp;""))</f>
        <v/>
      </c>
      <c r="P515">
        <f>IF($U515="","",INDEX(상세표[06~07시],$U515))</f>
        <v/>
      </c>
      <c r="Q515">
        <f>IF($U515="","",INDEX(상세표[07~18시],$U515))</f>
        <v/>
      </c>
      <c r="R515">
        <f>IF($U515="","",INDEX(상세표[18~22시],$U515))</f>
        <v/>
      </c>
      <c r="S515">
        <f>IF($U515="","",INDEX(상세표[22~06시],$U515))</f>
        <v/>
      </c>
      <c r="T515">
        <f>IF($U515="","",INDEX(상세표[기록 시간외],$U515))</f>
        <v/>
      </c>
      <c r="U515" s="4">
        <f>IFERROR(MATCH(510,상세표[발송순번],0),"")</f>
        <v/>
      </c>
    </row>
    <row r="516">
      <c r="J516">
        <f>IF($U516="","",INDEX(상세표[사번],$U516)&amp;"")</f>
        <v/>
      </c>
      <c r="K516">
        <f>IF($U516="","",INDEX(상세표[성명],$U516)&amp;"")</f>
        <v/>
      </c>
      <c r="L516">
        <f>IF($U516="","",INDEX(상세표[직위],$U516)&amp;"")</f>
        <v/>
      </c>
      <c r="M516">
        <f>IF($U516="","",IF(ISNUMBER(INDEX(상세표[근무일자],$U516)),TEXT(INDEX(상세표[근무일자],$U516),"yyyy-mm-dd"),INDEX(상세표[근무일자],$U516)&amp;""))</f>
        <v/>
      </c>
      <c r="N516">
        <f>IF($U516="","",IF(ISNUMBER(INDEX(상세표[시작],$U516)),TEXT(INDEX(상세표[시작],$U516),"yyyy-mm-dd hh:mm"),INDEX(상세표[시작],$U516)&amp;""))</f>
        <v/>
      </c>
      <c r="O516">
        <f>IF($U516="","",IF(ISNUMBER(INDEX(상세표[종료],$U516)),TEXT(INDEX(상세표[종료],$U516),"yyyy-mm-dd hh:mm"),INDEX(상세표[종료],$U516)&amp;""))</f>
        <v/>
      </c>
      <c r="P516">
        <f>IF($U516="","",INDEX(상세표[06~07시],$U516))</f>
        <v/>
      </c>
      <c r="Q516">
        <f>IF($U516="","",INDEX(상세표[07~18시],$U516))</f>
        <v/>
      </c>
      <c r="R516">
        <f>IF($U516="","",INDEX(상세표[18~22시],$U516))</f>
        <v/>
      </c>
      <c r="S516">
        <f>IF($U516="","",INDEX(상세표[22~06시],$U516))</f>
        <v/>
      </c>
      <c r="T516">
        <f>IF($U516="","",INDEX(상세표[기록 시간외],$U516))</f>
        <v/>
      </c>
      <c r="U516" s="4">
        <f>IFERROR(MATCH(511,상세표[발송순번],0),"")</f>
        <v/>
      </c>
    </row>
    <row r="517">
      <c r="J517">
        <f>IF($U517="","",INDEX(상세표[사번],$U517)&amp;"")</f>
        <v/>
      </c>
      <c r="K517">
        <f>IF($U517="","",INDEX(상세표[성명],$U517)&amp;"")</f>
        <v/>
      </c>
      <c r="L517">
        <f>IF($U517="","",INDEX(상세표[직위],$U517)&amp;"")</f>
        <v/>
      </c>
      <c r="M517">
        <f>IF($U517="","",IF(ISNUMBER(INDEX(상세표[근무일자],$U517)),TEXT(INDEX(상세표[근무일자],$U517),"yyyy-mm-dd"),INDEX(상세표[근무일자],$U517)&amp;""))</f>
        <v/>
      </c>
      <c r="N517">
        <f>IF($U517="","",IF(ISNUMBER(INDEX(상세표[시작],$U517)),TEXT(INDEX(상세표[시작],$U517),"yyyy-mm-dd hh:mm"),INDEX(상세표[시작],$U517)&amp;""))</f>
        <v/>
      </c>
      <c r="O517">
        <f>IF($U517="","",IF(ISNUMBER(INDEX(상세표[종료],$U517)),TEXT(INDEX(상세표[종료],$U517),"yyyy-mm-dd hh:mm"),INDEX(상세표[종료],$U517)&amp;""))</f>
        <v/>
      </c>
      <c r="P517">
        <f>IF($U517="","",INDEX(상세표[06~07시],$U517))</f>
        <v/>
      </c>
      <c r="Q517">
        <f>IF($U517="","",INDEX(상세표[07~18시],$U517))</f>
        <v/>
      </c>
      <c r="R517">
        <f>IF($U517="","",INDEX(상세표[18~22시],$U517))</f>
        <v/>
      </c>
      <c r="S517">
        <f>IF($U517="","",INDEX(상세표[22~06시],$U517))</f>
        <v/>
      </c>
      <c r="T517">
        <f>IF($U517="","",INDEX(상세표[기록 시간외],$U517))</f>
        <v/>
      </c>
      <c r="U517" s="4">
        <f>IFERROR(MATCH(512,상세표[발송순번],0),"")</f>
        <v/>
      </c>
    </row>
    <row r="518">
      <c r="J518">
        <f>IF($U518="","",INDEX(상세표[사번],$U518)&amp;"")</f>
        <v/>
      </c>
      <c r="K518">
        <f>IF($U518="","",INDEX(상세표[성명],$U518)&amp;"")</f>
        <v/>
      </c>
      <c r="L518">
        <f>IF($U518="","",INDEX(상세표[직위],$U518)&amp;"")</f>
        <v/>
      </c>
      <c r="M518">
        <f>IF($U518="","",IF(ISNUMBER(INDEX(상세표[근무일자],$U518)),TEXT(INDEX(상세표[근무일자],$U518),"yyyy-mm-dd"),INDEX(상세표[근무일자],$U518)&amp;""))</f>
        <v/>
      </c>
      <c r="N518">
        <f>IF($U518="","",IF(ISNUMBER(INDEX(상세표[시작],$U518)),TEXT(INDEX(상세표[시작],$U518),"yyyy-mm-dd hh:mm"),INDEX(상세표[시작],$U518)&amp;""))</f>
        <v/>
      </c>
      <c r="O518">
        <f>IF($U518="","",IF(ISNUMBER(INDEX(상세표[종료],$U518)),TEXT(INDEX(상세표[종료],$U518),"yyyy-mm-dd hh:mm"),INDEX(상세표[종료],$U518)&amp;""))</f>
        <v/>
      </c>
      <c r="P518">
        <f>IF($U518="","",INDEX(상세표[06~07시],$U518))</f>
        <v/>
      </c>
      <c r="Q518">
        <f>IF($U518="","",INDEX(상세표[07~18시],$U518))</f>
        <v/>
      </c>
      <c r="R518">
        <f>IF($U518="","",INDEX(상세표[18~22시],$U518))</f>
        <v/>
      </c>
      <c r="S518">
        <f>IF($U518="","",INDEX(상세표[22~06시],$U518))</f>
        <v/>
      </c>
      <c r="T518">
        <f>IF($U518="","",INDEX(상세표[기록 시간외],$U518))</f>
        <v/>
      </c>
      <c r="U518" s="4">
        <f>IFERROR(MATCH(513,상세표[발송순번],0),"")</f>
        <v/>
      </c>
    </row>
    <row r="519">
      <c r="J519">
        <f>IF($U519="","",INDEX(상세표[사번],$U519)&amp;"")</f>
        <v/>
      </c>
      <c r="K519">
        <f>IF($U519="","",INDEX(상세표[성명],$U519)&amp;"")</f>
        <v/>
      </c>
      <c r="L519">
        <f>IF($U519="","",INDEX(상세표[직위],$U519)&amp;"")</f>
        <v/>
      </c>
      <c r="M519">
        <f>IF($U519="","",IF(ISNUMBER(INDEX(상세표[근무일자],$U519)),TEXT(INDEX(상세표[근무일자],$U519),"yyyy-mm-dd"),INDEX(상세표[근무일자],$U519)&amp;""))</f>
        <v/>
      </c>
      <c r="N519">
        <f>IF($U519="","",IF(ISNUMBER(INDEX(상세표[시작],$U519)),TEXT(INDEX(상세표[시작],$U519),"yyyy-mm-dd hh:mm"),INDEX(상세표[시작],$U519)&amp;""))</f>
        <v/>
      </c>
      <c r="O519">
        <f>IF($U519="","",IF(ISNUMBER(INDEX(상세표[종료],$U519)),TEXT(INDEX(상세표[종료],$U519),"yyyy-mm-dd hh:mm"),INDEX(상세표[종료],$U519)&amp;""))</f>
        <v/>
      </c>
      <c r="P519">
        <f>IF($U519="","",INDEX(상세표[06~07시],$U519))</f>
        <v/>
      </c>
      <c r="Q519">
        <f>IF($U519="","",INDEX(상세표[07~18시],$U519))</f>
        <v/>
      </c>
      <c r="R519">
        <f>IF($U519="","",INDEX(상세표[18~22시],$U519))</f>
        <v/>
      </c>
      <c r="S519">
        <f>IF($U519="","",INDEX(상세표[22~06시],$U519))</f>
        <v/>
      </c>
      <c r="T519">
        <f>IF($U519="","",INDEX(상세표[기록 시간외],$U519))</f>
        <v/>
      </c>
      <c r="U519" s="4">
        <f>IFERROR(MATCH(514,상세표[발송순번],0),"")</f>
        <v/>
      </c>
    </row>
    <row r="520">
      <c r="J520">
        <f>IF($U520="","",INDEX(상세표[사번],$U520)&amp;"")</f>
        <v/>
      </c>
      <c r="K520">
        <f>IF($U520="","",INDEX(상세표[성명],$U520)&amp;"")</f>
        <v/>
      </c>
      <c r="L520">
        <f>IF($U520="","",INDEX(상세표[직위],$U520)&amp;"")</f>
        <v/>
      </c>
      <c r="M520">
        <f>IF($U520="","",IF(ISNUMBER(INDEX(상세표[근무일자],$U520)),TEXT(INDEX(상세표[근무일자],$U520),"yyyy-mm-dd"),INDEX(상세표[근무일자],$U520)&amp;""))</f>
        <v/>
      </c>
      <c r="N520">
        <f>IF($U520="","",IF(ISNUMBER(INDEX(상세표[시작],$U520)),TEXT(INDEX(상세표[시작],$U520),"yyyy-mm-dd hh:mm"),INDEX(상세표[시작],$U520)&amp;""))</f>
        <v/>
      </c>
      <c r="O520">
        <f>IF($U520="","",IF(ISNUMBER(INDEX(상세표[종료],$U520)),TEXT(INDEX(상세표[종료],$U520),"yyyy-mm-dd hh:mm"),INDEX(상세표[종료],$U520)&amp;""))</f>
        <v/>
      </c>
      <c r="P520">
        <f>IF($U520="","",INDEX(상세표[06~07시],$U520))</f>
        <v/>
      </c>
      <c r="Q520">
        <f>IF($U520="","",INDEX(상세표[07~18시],$U520))</f>
        <v/>
      </c>
      <c r="R520">
        <f>IF($U520="","",INDEX(상세표[18~22시],$U520))</f>
        <v/>
      </c>
      <c r="S520">
        <f>IF($U520="","",INDEX(상세표[22~06시],$U520))</f>
        <v/>
      </c>
      <c r="T520">
        <f>IF($U520="","",INDEX(상세표[기록 시간외],$U520))</f>
        <v/>
      </c>
      <c r="U520" s="4">
        <f>IFERROR(MATCH(515,상세표[발송순번],0),"")</f>
        <v/>
      </c>
    </row>
    <row r="521">
      <c r="J521">
        <f>IF($U521="","",INDEX(상세표[사번],$U521)&amp;"")</f>
        <v/>
      </c>
      <c r="K521">
        <f>IF($U521="","",INDEX(상세표[성명],$U521)&amp;"")</f>
        <v/>
      </c>
      <c r="L521">
        <f>IF($U521="","",INDEX(상세표[직위],$U521)&amp;"")</f>
        <v/>
      </c>
      <c r="M521">
        <f>IF($U521="","",IF(ISNUMBER(INDEX(상세표[근무일자],$U521)),TEXT(INDEX(상세표[근무일자],$U521),"yyyy-mm-dd"),INDEX(상세표[근무일자],$U521)&amp;""))</f>
        <v/>
      </c>
      <c r="N521">
        <f>IF($U521="","",IF(ISNUMBER(INDEX(상세표[시작],$U521)),TEXT(INDEX(상세표[시작],$U521),"yyyy-mm-dd hh:mm"),INDEX(상세표[시작],$U521)&amp;""))</f>
        <v/>
      </c>
      <c r="O521">
        <f>IF($U521="","",IF(ISNUMBER(INDEX(상세표[종료],$U521)),TEXT(INDEX(상세표[종료],$U521),"yyyy-mm-dd hh:mm"),INDEX(상세표[종료],$U521)&amp;""))</f>
        <v/>
      </c>
      <c r="P521">
        <f>IF($U521="","",INDEX(상세표[06~07시],$U521))</f>
        <v/>
      </c>
      <c r="Q521">
        <f>IF($U521="","",INDEX(상세표[07~18시],$U521))</f>
        <v/>
      </c>
      <c r="R521">
        <f>IF($U521="","",INDEX(상세표[18~22시],$U521))</f>
        <v/>
      </c>
      <c r="S521">
        <f>IF($U521="","",INDEX(상세표[22~06시],$U521))</f>
        <v/>
      </c>
      <c r="T521">
        <f>IF($U521="","",INDEX(상세표[기록 시간외],$U521))</f>
        <v/>
      </c>
      <c r="U521" s="4">
        <f>IFERROR(MATCH(516,상세표[발송순번],0),"")</f>
        <v/>
      </c>
    </row>
    <row r="522">
      <c r="J522">
        <f>IF($U522="","",INDEX(상세표[사번],$U522)&amp;"")</f>
        <v/>
      </c>
      <c r="K522">
        <f>IF($U522="","",INDEX(상세표[성명],$U522)&amp;"")</f>
        <v/>
      </c>
      <c r="L522">
        <f>IF($U522="","",INDEX(상세표[직위],$U522)&amp;"")</f>
        <v/>
      </c>
      <c r="M522">
        <f>IF($U522="","",IF(ISNUMBER(INDEX(상세표[근무일자],$U522)),TEXT(INDEX(상세표[근무일자],$U522),"yyyy-mm-dd"),INDEX(상세표[근무일자],$U522)&amp;""))</f>
        <v/>
      </c>
      <c r="N522">
        <f>IF($U522="","",IF(ISNUMBER(INDEX(상세표[시작],$U522)),TEXT(INDEX(상세표[시작],$U522),"yyyy-mm-dd hh:mm"),INDEX(상세표[시작],$U522)&amp;""))</f>
        <v/>
      </c>
      <c r="O522">
        <f>IF($U522="","",IF(ISNUMBER(INDEX(상세표[종료],$U522)),TEXT(INDEX(상세표[종료],$U522),"yyyy-mm-dd hh:mm"),INDEX(상세표[종료],$U522)&amp;""))</f>
        <v/>
      </c>
      <c r="P522">
        <f>IF($U522="","",INDEX(상세표[06~07시],$U522))</f>
        <v/>
      </c>
      <c r="Q522">
        <f>IF($U522="","",INDEX(상세표[07~18시],$U522))</f>
        <v/>
      </c>
      <c r="R522">
        <f>IF($U522="","",INDEX(상세표[18~22시],$U522))</f>
        <v/>
      </c>
      <c r="S522">
        <f>IF($U522="","",INDEX(상세표[22~06시],$U522))</f>
        <v/>
      </c>
      <c r="T522">
        <f>IF($U522="","",INDEX(상세표[기록 시간외],$U522))</f>
        <v/>
      </c>
      <c r="U522" s="4">
        <f>IFERROR(MATCH(517,상세표[발송순번],0),"")</f>
        <v/>
      </c>
    </row>
    <row r="523">
      <c r="J523">
        <f>IF($U523="","",INDEX(상세표[사번],$U523)&amp;"")</f>
        <v/>
      </c>
      <c r="K523">
        <f>IF($U523="","",INDEX(상세표[성명],$U523)&amp;"")</f>
        <v/>
      </c>
      <c r="L523">
        <f>IF($U523="","",INDEX(상세표[직위],$U523)&amp;"")</f>
        <v/>
      </c>
      <c r="M523">
        <f>IF($U523="","",IF(ISNUMBER(INDEX(상세표[근무일자],$U523)),TEXT(INDEX(상세표[근무일자],$U523),"yyyy-mm-dd"),INDEX(상세표[근무일자],$U523)&amp;""))</f>
        <v/>
      </c>
      <c r="N523">
        <f>IF($U523="","",IF(ISNUMBER(INDEX(상세표[시작],$U523)),TEXT(INDEX(상세표[시작],$U523),"yyyy-mm-dd hh:mm"),INDEX(상세표[시작],$U523)&amp;""))</f>
        <v/>
      </c>
      <c r="O523">
        <f>IF($U523="","",IF(ISNUMBER(INDEX(상세표[종료],$U523)),TEXT(INDEX(상세표[종료],$U523),"yyyy-mm-dd hh:mm"),INDEX(상세표[종료],$U523)&amp;""))</f>
        <v/>
      </c>
      <c r="P523">
        <f>IF($U523="","",INDEX(상세표[06~07시],$U523))</f>
        <v/>
      </c>
      <c r="Q523">
        <f>IF($U523="","",INDEX(상세표[07~18시],$U523))</f>
        <v/>
      </c>
      <c r="R523">
        <f>IF($U523="","",INDEX(상세표[18~22시],$U523))</f>
        <v/>
      </c>
      <c r="S523">
        <f>IF($U523="","",INDEX(상세표[22~06시],$U523))</f>
        <v/>
      </c>
      <c r="T523">
        <f>IF($U523="","",INDEX(상세표[기록 시간외],$U523))</f>
        <v/>
      </c>
      <c r="U523" s="4">
        <f>IFERROR(MATCH(518,상세표[발송순번],0),"")</f>
        <v/>
      </c>
    </row>
    <row r="524">
      <c r="J524">
        <f>IF($U524="","",INDEX(상세표[사번],$U524)&amp;"")</f>
        <v/>
      </c>
      <c r="K524">
        <f>IF($U524="","",INDEX(상세표[성명],$U524)&amp;"")</f>
        <v/>
      </c>
      <c r="L524">
        <f>IF($U524="","",INDEX(상세표[직위],$U524)&amp;"")</f>
        <v/>
      </c>
      <c r="M524">
        <f>IF($U524="","",IF(ISNUMBER(INDEX(상세표[근무일자],$U524)),TEXT(INDEX(상세표[근무일자],$U524),"yyyy-mm-dd"),INDEX(상세표[근무일자],$U524)&amp;""))</f>
        <v/>
      </c>
      <c r="N524">
        <f>IF($U524="","",IF(ISNUMBER(INDEX(상세표[시작],$U524)),TEXT(INDEX(상세표[시작],$U524),"yyyy-mm-dd hh:mm"),INDEX(상세표[시작],$U524)&amp;""))</f>
        <v/>
      </c>
      <c r="O524">
        <f>IF($U524="","",IF(ISNUMBER(INDEX(상세표[종료],$U524)),TEXT(INDEX(상세표[종료],$U524),"yyyy-mm-dd hh:mm"),INDEX(상세표[종료],$U524)&amp;""))</f>
        <v/>
      </c>
      <c r="P524">
        <f>IF($U524="","",INDEX(상세표[06~07시],$U524))</f>
        <v/>
      </c>
      <c r="Q524">
        <f>IF($U524="","",INDEX(상세표[07~18시],$U524))</f>
        <v/>
      </c>
      <c r="R524">
        <f>IF($U524="","",INDEX(상세표[18~22시],$U524))</f>
        <v/>
      </c>
      <c r="S524">
        <f>IF($U524="","",INDEX(상세표[22~06시],$U524))</f>
        <v/>
      </c>
      <c r="T524">
        <f>IF($U524="","",INDEX(상세표[기록 시간외],$U524))</f>
        <v/>
      </c>
      <c r="U524" s="4">
        <f>IFERROR(MATCH(519,상세표[발송순번],0),"")</f>
        <v/>
      </c>
    </row>
    <row r="525">
      <c r="J525">
        <f>IF($U525="","",INDEX(상세표[사번],$U525)&amp;"")</f>
        <v/>
      </c>
      <c r="K525">
        <f>IF($U525="","",INDEX(상세표[성명],$U525)&amp;"")</f>
        <v/>
      </c>
      <c r="L525">
        <f>IF($U525="","",INDEX(상세표[직위],$U525)&amp;"")</f>
        <v/>
      </c>
      <c r="M525">
        <f>IF($U525="","",IF(ISNUMBER(INDEX(상세표[근무일자],$U525)),TEXT(INDEX(상세표[근무일자],$U525),"yyyy-mm-dd"),INDEX(상세표[근무일자],$U525)&amp;""))</f>
        <v/>
      </c>
      <c r="N525">
        <f>IF($U525="","",IF(ISNUMBER(INDEX(상세표[시작],$U525)),TEXT(INDEX(상세표[시작],$U525),"yyyy-mm-dd hh:mm"),INDEX(상세표[시작],$U525)&amp;""))</f>
        <v/>
      </c>
      <c r="O525">
        <f>IF($U525="","",IF(ISNUMBER(INDEX(상세표[종료],$U525)),TEXT(INDEX(상세표[종료],$U525),"yyyy-mm-dd hh:mm"),INDEX(상세표[종료],$U525)&amp;""))</f>
        <v/>
      </c>
      <c r="P525">
        <f>IF($U525="","",INDEX(상세표[06~07시],$U525))</f>
        <v/>
      </c>
      <c r="Q525">
        <f>IF($U525="","",INDEX(상세표[07~18시],$U525))</f>
        <v/>
      </c>
      <c r="R525">
        <f>IF($U525="","",INDEX(상세표[18~22시],$U525))</f>
        <v/>
      </c>
      <c r="S525">
        <f>IF($U525="","",INDEX(상세표[22~06시],$U525))</f>
        <v/>
      </c>
      <c r="T525">
        <f>IF($U525="","",INDEX(상세표[기록 시간외],$U525))</f>
        <v/>
      </c>
      <c r="U525" s="4">
        <f>IFERROR(MATCH(520,상세표[발송순번],0),"")</f>
        <v/>
      </c>
    </row>
    <row r="526">
      <c r="J526">
        <f>IF($U526="","",INDEX(상세표[사번],$U526)&amp;"")</f>
        <v/>
      </c>
      <c r="K526">
        <f>IF($U526="","",INDEX(상세표[성명],$U526)&amp;"")</f>
        <v/>
      </c>
      <c r="L526">
        <f>IF($U526="","",INDEX(상세표[직위],$U526)&amp;"")</f>
        <v/>
      </c>
      <c r="M526">
        <f>IF($U526="","",IF(ISNUMBER(INDEX(상세표[근무일자],$U526)),TEXT(INDEX(상세표[근무일자],$U526),"yyyy-mm-dd"),INDEX(상세표[근무일자],$U526)&amp;""))</f>
        <v/>
      </c>
      <c r="N526">
        <f>IF($U526="","",IF(ISNUMBER(INDEX(상세표[시작],$U526)),TEXT(INDEX(상세표[시작],$U526),"yyyy-mm-dd hh:mm"),INDEX(상세표[시작],$U526)&amp;""))</f>
        <v/>
      </c>
      <c r="O526">
        <f>IF($U526="","",IF(ISNUMBER(INDEX(상세표[종료],$U526)),TEXT(INDEX(상세표[종료],$U526),"yyyy-mm-dd hh:mm"),INDEX(상세표[종료],$U526)&amp;""))</f>
        <v/>
      </c>
      <c r="P526">
        <f>IF($U526="","",INDEX(상세표[06~07시],$U526))</f>
        <v/>
      </c>
      <c r="Q526">
        <f>IF($U526="","",INDEX(상세표[07~18시],$U526))</f>
        <v/>
      </c>
      <c r="R526">
        <f>IF($U526="","",INDEX(상세표[18~22시],$U526))</f>
        <v/>
      </c>
      <c r="S526">
        <f>IF($U526="","",INDEX(상세표[22~06시],$U526))</f>
        <v/>
      </c>
      <c r="T526">
        <f>IF($U526="","",INDEX(상세표[기록 시간외],$U526))</f>
        <v/>
      </c>
      <c r="U526" s="4">
        <f>IFERROR(MATCH(521,상세표[발송순번],0),"")</f>
        <v/>
      </c>
    </row>
    <row r="527">
      <c r="J527">
        <f>IF($U527="","",INDEX(상세표[사번],$U527)&amp;"")</f>
        <v/>
      </c>
      <c r="K527">
        <f>IF($U527="","",INDEX(상세표[성명],$U527)&amp;"")</f>
        <v/>
      </c>
      <c r="L527">
        <f>IF($U527="","",INDEX(상세표[직위],$U527)&amp;"")</f>
        <v/>
      </c>
      <c r="M527">
        <f>IF($U527="","",IF(ISNUMBER(INDEX(상세표[근무일자],$U527)),TEXT(INDEX(상세표[근무일자],$U527),"yyyy-mm-dd"),INDEX(상세표[근무일자],$U527)&amp;""))</f>
        <v/>
      </c>
      <c r="N527">
        <f>IF($U527="","",IF(ISNUMBER(INDEX(상세표[시작],$U527)),TEXT(INDEX(상세표[시작],$U527),"yyyy-mm-dd hh:mm"),INDEX(상세표[시작],$U527)&amp;""))</f>
        <v/>
      </c>
      <c r="O527">
        <f>IF($U527="","",IF(ISNUMBER(INDEX(상세표[종료],$U527)),TEXT(INDEX(상세표[종료],$U527),"yyyy-mm-dd hh:mm"),INDEX(상세표[종료],$U527)&amp;""))</f>
        <v/>
      </c>
      <c r="P527">
        <f>IF($U527="","",INDEX(상세표[06~07시],$U527))</f>
        <v/>
      </c>
      <c r="Q527">
        <f>IF($U527="","",INDEX(상세표[07~18시],$U527))</f>
        <v/>
      </c>
      <c r="R527">
        <f>IF($U527="","",INDEX(상세표[18~22시],$U527))</f>
        <v/>
      </c>
      <c r="S527">
        <f>IF($U527="","",INDEX(상세표[22~06시],$U527))</f>
        <v/>
      </c>
      <c r="T527">
        <f>IF($U527="","",INDEX(상세표[기록 시간외],$U527))</f>
        <v/>
      </c>
      <c r="U527" s="4">
        <f>IFERROR(MATCH(522,상세표[발송순번],0),"")</f>
        <v/>
      </c>
    </row>
    <row r="528">
      <c r="J528">
        <f>IF($U528="","",INDEX(상세표[사번],$U528)&amp;"")</f>
        <v/>
      </c>
      <c r="K528">
        <f>IF($U528="","",INDEX(상세표[성명],$U528)&amp;"")</f>
        <v/>
      </c>
      <c r="L528">
        <f>IF($U528="","",INDEX(상세표[직위],$U528)&amp;"")</f>
        <v/>
      </c>
      <c r="M528">
        <f>IF($U528="","",IF(ISNUMBER(INDEX(상세표[근무일자],$U528)),TEXT(INDEX(상세표[근무일자],$U528),"yyyy-mm-dd"),INDEX(상세표[근무일자],$U528)&amp;""))</f>
        <v/>
      </c>
      <c r="N528">
        <f>IF($U528="","",IF(ISNUMBER(INDEX(상세표[시작],$U528)),TEXT(INDEX(상세표[시작],$U528),"yyyy-mm-dd hh:mm"),INDEX(상세표[시작],$U528)&amp;""))</f>
        <v/>
      </c>
      <c r="O528">
        <f>IF($U528="","",IF(ISNUMBER(INDEX(상세표[종료],$U528)),TEXT(INDEX(상세표[종료],$U528),"yyyy-mm-dd hh:mm"),INDEX(상세표[종료],$U528)&amp;""))</f>
        <v/>
      </c>
      <c r="P528">
        <f>IF($U528="","",INDEX(상세표[06~07시],$U528))</f>
        <v/>
      </c>
      <c r="Q528">
        <f>IF($U528="","",INDEX(상세표[07~18시],$U528))</f>
        <v/>
      </c>
      <c r="R528">
        <f>IF($U528="","",INDEX(상세표[18~22시],$U528))</f>
        <v/>
      </c>
      <c r="S528">
        <f>IF($U528="","",INDEX(상세표[22~06시],$U528))</f>
        <v/>
      </c>
      <c r="T528">
        <f>IF($U528="","",INDEX(상세표[기록 시간외],$U528))</f>
        <v/>
      </c>
      <c r="U528" s="4">
        <f>IFERROR(MATCH(523,상세표[발송순번],0),"")</f>
        <v/>
      </c>
    </row>
    <row r="529">
      <c r="J529">
        <f>IF($U529="","",INDEX(상세표[사번],$U529)&amp;"")</f>
        <v/>
      </c>
      <c r="K529">
        <f>IF($U529="","",INDEX(상세표[성명],$U529)&amp;"")</f>
        <v/>
      </c>
      <c r="L529">
        <f>IF($U529="","",INDEX(상세표[직위],$U529)&amp;"")</f>
        <v/>
      </c>
      <c r="M529">
        <f>IF($U529="","",IF(ISNUMBER(INDEX(상세표[근무일자],$U529)),TEXT(INDEX(상세표[근무일자],$U529),"yyyy-mm-dd"),INDEX(상세표[근무일자],$U529)&amp;""))</f>
        <v/>
      </c>
      <c r="N529">
        <f>IF($U529="","",IF(ISNUMBER(INDEX(상세표[시작],$U529)),TEXT(INDEX(상세표[시작],$U529),"yyyy-mm-dd hh:mm"),INDEX(상세표[시작],$U529)&amp;""))</f>
        <v/>
      </c>
      <c r="O529">
        <f>IF($U529="","",IF(ISNUMBER(INDEX(상세표[종료],$U529)),TEXT(INDEX(상세표[종료],$U529),"yyyy-mm-dd hh:mm"),INDEX(상세표[종료],$U529)&amp;""))</f>
        <v/>
      </c>
      <c r="P529">
        <f>IF($U529="","",INDEX(상세표[06~07시],$U529))</f>
        <v/>
      </c>
      <c r="Q529">
        <f>IF($U529="","",INDEX(상세표[07~18시],$U529))</f>
        <v/>
      </c>
      <c r="R529">
        <f>IF($U529="","",INDEX(상세표[18~22시],$U529))</f>
        <v/>
      </c>
      <c r="S529">
        <f>IF($U529="","",INDEX(상세표[22~06시],$U529))</f>
        <v/>
      </c>
      <c r="T529">
        <f>IF($U529="","",INDEX(상세표[기록 시간외],$U529))</f>
        <v/>
      </c>
      <c r="U529" s="4">
        <f>IFERROR(MATCH(524,상세표[발송순번],0),"")</f>
        <v/>
      </c>
    </row>
    <row r="530">
      <c r="J530">
        <f>IF($U530="","",INDEX(상세표[사번],$U530)&amp;"")</f>
        <v/>
      </c>
      <c r="K530">
        <f>IF($U530="","",INDEX(상세표[성명],$U530)&amp;"")</f>
        <v/>
      </c>
      <c r="L530">
        <f>IF($U530="","",INDEX(상세표[직위],$U530)&amp;"")</f>
        <v/>
      </c>
      <c r="M530">
        <f>IF($U530="","",IF(ISNUMBER(INDEX(상세표[근무일자],$U530)),TEXT(INDEX(상세표[근무일자],$U530),"yyyy-mm-dd"),INDEX(상세표[근무일자],$U530)&amp;""))</f>
        <v/>
      </c>
      <c r="N530">
        <f>IF($U530="","",IF(ISNUMBER(INDEX(상세표[시작],$U530)),TEXT(INDEX(상세표[시작],$U530),"yyyy-mm-dd hh:mm"),INDEX(상세표[시작],$U530)&amp;""))</f>
        <v/>
      </c>
      <c r="O530">
        <f>IF($U530="","",IF(ISNUMBER(INDEX(상세표[종료],$U530)),TEXT(INDEX(상세표[종료],$U530),"yyyy-mm-dd hh:mm"),INDEX(상세표[종료],$U530)&amp;""))</f>
        <v/>
      </c>
      <c r="P530">
        <f>IF($U530="","",INDEX(상세표[06~07시],$U530))</f>
        <v/>
      </c>
      <c r="Q530">
        <f>IF($U530="","",INDEX(상세표[07~18시],$U530))</f>
        <v/>
      </c>
      <c r="R530">
        <f>IF($U530="","",INDEX(상세표[18~22시],$U530))</f>
        <v/>
      </c>
      <c r="S530">
        <f>IF($U530="","",INDEX(상세표[22~06시],$U530))</f>
        <v/>
      </c>
      <c r="T530">
        <f>IF($U530="","",INDEX(상세표[기록 시간외],$U530))</f>
        <v/>
      </c>
      <c r="U530" s="4">
        <f>IFERROR(MATCH(525,상세표[발송순번],0),"")</f>
        <v/>
      </c>
    </row>
    <row r="531">
      <c r="J531">
        <f>IF($U531="","",INDEX(상세표[사번],$U531)&amp;"")</f>
        <v/>
      </c>
      <c r="K531">
        <f>IF($U531="","",INDEX(상세표[성명],$U531)&amp;"")</f>
        <v/>
      </c>
      <c r="L531">
        <f>IF($U531="","",INDEX(상세표[직위],$U531)&amp;"")</f>
        <v/>
      </c>
      <c r="M531">
        <f>IF($U531="","",IF(ISNUMBER(INDEX(상세표[근무일자],$U531)),TEXT(INDEX(상세표[근무일자],$U531),"yyyy-mm-dd"),INDEX(상세표[근무일자],$U531)&amp;""))</f>
        <v/>
      </c>
      <c r="N531">
        <f>IF($U531="","",IF(ISNUMBER(INDEX(상세표[시작],$U531)),TEXT(INDEX(상세표[시작],$U531),"yyyy-mm-dd hh:mm"),INDEX(상세표[시작],$U531)&amp;""))</f>
        <v/>
      </c>
      <c r="O531">
        <f>IF($U531="","",IF(ISNUMBER(INDEX(상세표[종료],$U531)),TEXT(INDEX(상세표[종료],$U531),"yyyy-mm-dd hh:mm"),INDEX(상세표[종료],$U531)&amp;""))</f>
        <v/>
      </c>
      <c r="P531">
        <f>IF($U531="","",INDEX(상세표[06~07시],$U531))</f>
        <v/>
      </c>
      <c r="Q531">
        <f>IF($U531="","",INDEX(상세표[07~18시],$U531))</f>
        <v/>
      </c>
      <c r="R531">
        <f>IF($U531="","",INDEX(상세표[18~22시],$U531))</f>
        <v/>
      </c>
      <c r="S531">
        <f>IF($U531="","",INDEX(상세표[22~06시],$U531))</f>
        <v/>
      </c>
      <c r="T531">
        <f>IF($U531="","",INDEX(상세표[기록 시간외],$U531))</f>
        <v/>
      </c>
      <c r="U531" s="4">
        <f>IFERROR(MATCH(526,상세표[발송순번],0),"")</f>
        <v/>
      </c>
    </row>
    <row r="532">
      <c r="J532">
        <f>IF($U532="","",INDEX(상세표[사번],$U532)&amp;"")</f>
        <v/>
      </c>
      <c r="K532">
        <f>IF($U532="","",INDEX(상세표[성명],$U532)&amp;"")</f>
        <v/>
      </c>
      <c r="L532">
        <f>IF($U532="","",INDEX(상세표[직위],$U532)&amp;"")</f>
        <v/>
      </c>
      <c r="M532">
        <f>IF($U532="","",IF(ISNUMBER(INDEX(상세표[근무일자],$U532)),TEXT(INDEX(상세표[근무일자],$U532),"yyyy-mm-dd"),INDEX(상세표[근무일자],$U532)&amp;""))</f>
        <v/>
      </c>
      <c r="N532">
        <f>IF($U532="","",IF(ISNUMBER(INDEX(상세표[시작],$U532)),TEXT(INDEX(상세표[시작],$U532),"yyyy-mm-dd hh:mm"),INDEX(상세표[시작],$U532)&amp;""))</f>
        <v/>
      </c>
      <c r="O532">
        <f>IF($U532="","",IF(ISNUMBER(INDEX(상세표[종료],$U532)),TEXT(INDEX(상세표[종료],$U532),"yyyy-mm-dd hh:mm"),INDEX(상세표[종료],$U532)&amp;""))</f>
        <v/>
      </c>
      <c r="P532">
        <f>IF($U532="","",INDEX(상세표[06~07시],$U532))</f>
        <v/>
      </c>
      <c r="Q532">
        <f>IF($U532="","",INDEX(상세표[07~18시],$U532))</f>
        <v/>
      </c>
      <c r="R532">
        <f>IF($U532="","",INDEX(상세표[18~22시],$U532))</f>
        <v/>
      </c>
      <c r="S532">
        <f>IF($U532="","",INDEX(상세표[22~06시],$U532))</f>
        <v/>
      </c>
      <c r="T532">
        <f>IF($U532="","",INDEX(상세표[기록 시간외],$U532))</f>
        <v/>
      </c>
      <c r="U532" s="4">
        <f>IFERROR(MATCH(527,상세표[발송순번],0),"")</f>
        <v/>
      </c>
    </row>
    <row r="533">
      <c r="J533">
        <f>IF($U533="","",INDEX(상세표[사번],$U533)&amp;"")</f>
        <v/>
      </c>
      <c r="K533">
        <f>IF($U533="","",INDEX(상세표[성명],$U533)&amp;"")</f>
        <v/>
      </c>
      <c r="L533">
        <f>IF($U533="","",INDEX(상세표[직위],$U533)&amp;"")</f>
        <v/>
      </c>
      <c r="M533">
        <f>IF($U533="","",IF(ISNUMBER(INDEX(상세표[근무일자],$U533)),TEXT(INDEX(상세표[근무일자],$U533),"yyyy-mm-dd"),INDEX(상세표[근무일자],$U533)&amp;""))</f>
        <v/>
      </c>
      <c r="N533">
        <f>IF($U533="","",IF(ISNUMBER(INDEX(상세표[시작],$U533)),TEXT(INDEX(상세표[시작],$U533),"yyyy-mm-dd hh:mm"),INDEX(상세표[시작],$U533)&amp;""))</f>
        <v/>
      </c>
      <c r="O533">
        <f>IF($U533="","",IF(ISNUMBER(INDEX(상세표[종료],$U533)),TEXT(INDEX(상세표[종료],$U533),"yyyy-mm-dd hh:mm"),INDEX(상세표[종료],$U533)&amp;""))</f>
        <v/>
      </c>
      <c r="P533">
        <f>IF($U533="","",INDEX(상세표[06~07시],$U533))</f>
        <v/>
      </c>
      <c r="Q533">
        <f>IF($U533="","",INDEX(상세표[07~18시],$U533))</f>
        <v/>
      </c>
      <c r="R533">
        <f>IF($U533="","",INDEX(상세표[18~22시],$U533))</f>
        <v/>
      </c>
      <c r="S533">
        <f>IF($U533="","",INDEX(상세표[22~06시],$U533))</f>
        <v/>
      </c>
      <c r="T533">
        <f>IF($U533="","",INDEX(상세표[기록 시간외],$U533))</f>
        <v/>
      </c>
      <c r="U533" s="4">
        <f>IFERROR(MATCH(528,상세표[발송순번],0),"")</f>
        <v/>
      </c>
    </row>
    <row r="534">
      <c r="J534">
        <f>IF($U534="","",INDEX(상세표[사번],$U534)&amp;"")</f>
        <v/>
      </c>
      <c r="K534">
        <f>IF($U534="","",INDEX(상세표[성명],$U534)&amp;"")</f>
        <v/>
      </c>
      <c r="L534">
        <f>IF($U534="","",INDEX(상세표[직위],$U534)&amp;"")</f>
        <v/>
      </c>
      <c r="M534">
        <f>IF($U534="","",IF(ISNUMBER(INDEX(상세표[근무일자],$U534)),TEXT(INDEX(상세표[근무일자],$U534),"yyyy-mm-dd"),INDEX(상세표[근무일자],$U534)&amp;""))</f>
        <v/>
      </c>
      <c r="N534">
        <f>IF($U534="","",IF(ISNUMBER(INDEX(상세표[시작],$U534)),TEXT(INDEX(상세표[시작],$U534),"yyyy-mm-dd hh:mm"),INDEX(상세표[시작],$U534)&amp;""))</f>
        <v/>
      </c>
      <c r="O534">
        <f>IF($U534="","",IF(ISNUMBER(INDEX(상세표[종료],$U534)),TEXT(INDEX(상세표[종료],$U534),"yyyy-mm-dd hh:mm"),INDEX(상세표[종료],$U534)&amp;""))</f>
        <v/>
      </c>
      <c r="P534">
        <f>IF($U534="","",INDEX(상세표[06~07시],$U534))</f>
        <v/>
      </c>
      <c r="Q534">
        <f>IF($U534="","",INDEX(상세표[07~18시],$U534))</f>
        <v/>
      </c>
      <c r="R534">
        <f>IF($U534="","",INDEX(상세표[18~22시],$U534))</f>
        <v/>
      </c>
      <c r="S534">
        <f>IF($U534="","",INDEX(상세표[22~06시],$U534))</f>
        <v/>
      </c>
      <c r="T534">
        <f>IF($U534="","",INDEX(상세표[기록 시간외],$U534))</f>
        <v/>
      </c>
      <c r="U534" s="4">
        <f>IFERROR(MATCH(529,상세표[발송순번],0),"")</f>
        <v/>
      </c>
    </row>
    <row r="535">
      <c r="J535">
        <f>IF($U535="","",INDEX(상세표[사번],$U535)&amp;"")</f>
        <v/>
      </c>
      <c r="K535">
        <f>IF($U535="","",INDEX(상세표[성명],$U535)&amp;"")</f>
        <v/>
      </c>
      <c r="L535">
        <f>IF($U535="","",INDEX(상세표[직위],$U535)&amp;"")</f>
        <v/>
      </c>
      <c r="M535">
        <f>IF($U535="","",IF(ISNUMBER(INDEX(상세표[근무일자],$U535)),TEXT(INDEX(상세표[근무일자],$U535),"yyyy-mm-dd"),INDEX(상세표[근무일자],$U535)&amp;""))</f>
        <v/>
      </c>
      <c r="N535">
        <f>IF($U535="","",IF(ISNUMBER(INDEX(상세표[시작],$U535)),TEXT(INDEX(상세표[시작],$U535),"yyyy-mm-dd hh:mm"),INDEX(상세표[시작],$U535)&amp;""))</f>
        <v/>
      </c>
      <c r="O535">
        <f>IF($U535="","",IF(ISNUMBER(INDEX(상세표[종료],$U535)),TEXT(INDEX(상세표[종료],$U535),"yyyy-mm-dd hh:mm"),INDEX(상세표[종료],$U535)&amp;""))</f>
        <v/>
      </c>
      <c r="P535">
        <f>IF($U535="","",INDEX(상세표[06~07시],$U535))</f>
        <v/>
      </c>
      <c r="Q535">
        <f>IF($U535="","",INDEX(상세표[07~18시],$U535))</f>
        <v/>
      </c>
      <c r="R535">
        <f>IF($U535="","",INDEX(상세표[18~22시],$U535))</f>
        <v/>
      </c>
      <c r="S535">
        <f>IF($U535="","",INDEX(상세표[22~06시],$U535))</f>
        <v/>
      </c>
      <c r="T535">
        <f>IF($U535="","",INDEX(상세표[기록 시간외],$U535))</f>
        <v/>
      </c>
      <c r="U535" s="4">
        <f>IFERROR(MATCH(530,상세표[발송순번],0),"")</f>
        <v/>
      </c>
    </row>
    <row r="536">
      <c r="J536">
        <f>IF($U536="","",INDEX(상세표[사번],$U536)&amp;"")</f>
        <v/>
      </c>
      <c r="K536">
        <f>IF($U536="","",INDEX(상세표[성명],$U536)&amp;"")</f>
        <v/>
      </c>
      <c r="L536">
        <f>IF($U536="","",INDEX(상세표[직위],$U536)&amp;"")</f>
        <v/>
      </c>
      <c r="M536">
        <f>IF($U536="","",IF(ISNUMBER(INDEX(상세표[근무일자],$U536)),TEXT(INDEX(상세표[근무일자],$U536),"yyyy-mm-dd"),INDEX(상세표[근무일자],$U536)&amp;""))</f>
        <v/>
      </c>
      <c r="N536">
        <f>IF($U536="","",IF(ISNUMBER(INDEX(상세표[시작],$U536)),TEXT(INDEX(상세표[시작],$U536),"yyyy-mm-dd hh:mm"),INDEX(상세표[시작],$U536)&amp;""))</f>
        <v/>
      </c>
      <c r="O536">
        <f>IF($U536="","",IF(ISNUMBER(INDEX(상세표[종료],$U536)),TEXT(INDEX(상세표[종료],$U536),"yyyy-mm-dd hh:mm"),INDEX(상세표[종료],$U536)&amp;""))</f>
        <v/>
      </c>
      <c r="P536">
        <f>IF($U536="","",INDEX(상세표[06~07시],$U536))</f>
        <v/>
      </c>
      <c r="Q536">
        <f>IF($U536="","",INDEX(상세표[07~18시],$U536))</f>
        <v/>
      </c>
      <c r="R536">
        <f>IF($U536="","",INDEX(상세표[18~22시],$U536))</f>
        <v/>
      </c>
      <c r="S536">
        <f>IF($U536="","",INDEX(상세표[22~06시],$U536))</f>
        <v/>
      </c>
      <c r="T536">
        <f>IF($U536="","",INDEX(상세표[기록 시간외],$U536))</f>
        <v/>
      </c>
      <c r="U536" s="4">
        <f>IFERROR(MATCH(531,상세표[발송순번],0),"")</f>
        <v/>
      </c>
    </row>
    <row r="537">
      <c r="J537">
        <f>IF($U537="","",INDEX(상세표[사번],$U537)&amp;"")</f>
        <v/>
      </c>
      <c r="K537">
        <f>IF($U537="","",INDEX(상세표[성명],$U537)&amp;"")</f>
        <v/>
      </c>
      <c r="L537">
        <f>IF($U537="","",INDEX(상세표[직위],$U537)&amp;"")</f>
        <v/>
      </c>
      <c r="M537">
        <f>IF($U537="","",IF(ISNUMBER(INDEX(상세표[근무일자],$U537)),TEXT(INDEX(상세표[근무일자],$U537),"yyyy-mm-dd"),INDEX(상세표[근무일자],$U537)&amp;""))</f>
        <v/>
      </c>
      <c r="N537">
        <f>IF($U537="","",IF(ISNUMBER(INDEX(상세표[시작],$U537)),TEXT(INDEX(상세표[시작],$U537),"yyyy-mm-dd hh:mm"),INDEX(상세표[시작],$U537)&amp;""))</f>
        <v/>
      </c>
      <c r="O537">
        <f>IF($U537="","",IF(ISNUMBER(INDEX(상세표[종료],$U537)),TEXT(INDEX(상세표[종료],$U537),"yyyy-mm-dd hh:mm"),INDEX(상세표[종료],$U537)&amp;""))</f>
        <v/>
      </c>
      <c r="P537">
        <f>IF($U537="","",INDEX(상세표[06~07시],$U537))</f>
        <v/>
      </c>
      <c r="Q537">
        <f>IF($U537="","",INDEX(상세표[07~18시],$U537))</f>
        <v/>
      </c>
      <c r="R537">
        <f>IF($U537="","",INDEX(상세표[18~22시],$U537))</f>
        <v/>
      </c>
      <c r="S537">
        <f>IF($U537="","",INDEX(상세표[22~06시],$U537))</f>
        <v/>
      </c>
      <c r="T537">
        <f>IF($U537="","",INDEX(상세표[기록 시간외],$U537))</f>
        <v/>
      </c>
      <c r="U537" s="4">
        <f>IFERROR(MATCH(532,상세표[발송순번],0),"")</f>
        <v/>
      </c>
    </row>
    <row r="538">
      <c r="J538">
        <f>IF($U538="","",INDEX(상세표[사번],$U538)&amp;"")</f>
        <v/>
      </c>
      <c r="K538">
        <f>IF($U538="","",INDEX(상세표[성명],$U538)&amp;"")</f>
        <v/>
      </c>
      <c r="L538">
        <f>IF($U538="","",INDEX(상세표[직위],$U538)&amp;"")</f>
        <v/>
      </c>
      <c r="M538">
        <f>IF($U538="","",IF(ISNUMBER(INDEX(상세표[근무일자],$U538)),TEXT(INDEX(상세표[근무일자],$U538),"yyyy-mm-dd"),INDEX(상세표[근무일자],$U538)&amp;""))</f>
        <v/>
      </c>
      <c r="N538">
        <f>IF($U538="","",IF(ISNUMBER(INDEX(상세표[시작],$U538)),TEXT(INDEX(상세표[시작],$U538),"yyyy-mm-dd hh:mm"),INDEX(상세표[시작],$U538)&amp;""))</f>
        <v/>
      </c>
      <c r="O538">
        <f>IF($U538="","",IF(ISNUMBER(INDEX(상세표[종료],$U538)),TEXT(INDEX(상세표[종료],$U538),"yyyy-mm-dd hh:mm"),INDEX(상세표[종료],$U538)&amp;""))</f>
        <v/>
      </c>
      <c r="P538">
        <f>IF($U538="","",INDEX(상세표[06~07시],$U538))</f>
        <v/>
      </c>
      <c r="Q538">
        <f>IF($U538="","",INDEX(상세표[07~18시],$U538))</f>
        <v/>
      </c>
      <c r="R538">
        <f>IF($U538="","",INDEX(상세표[18~22시],$U538))</f>
        <v/>
      </c>
      <c r="S538">
        <f>IF($U538="","",INDEX(상세표[22~06시],$U538))</f>
        <v/>
      </c>
      <c r="T538">
        <f>IF($U538="","",INDEX(상세표[기록 시간외],$U538))</f>
        <v/>
      </c>
      <c r="U538" s="4">
        <f>IFERROR(MATCH(533,상세표[발송순번],0),"")</f>
        <v/>
      </c>
    </row>
    <row r="539">
      <c r="J539">
        <f>IF($U539="","",INDEX(상세표[사번],$U539)&amp;"")</f>
        <v/>
      </c>
      <c r="K539">
        <f>IF($U539="","",INDEX(상세표[성명],$U539)&amp;"")</f>
        <v/>
      </c>
      <c r="L539">
        <f>IF($U539="","",INDEX(상세표[직위],$U539)&amp;"")</f>
        <v/>
      </c>
      <c r="M539">
        <f>IF($U539="","",IF(ISNUMBER(INDEX(상세표[근무일자],$U539)),TEXT(INDEX(상세표[근무일자],$U539),"yyyy-mm-dd"),INDEX(상세표[근무일자],$U539)&amp;""))</f>
        <v/>
      </c>
      <c r="N539">
        <f>IF($U539="","",IF(ISNUMBER(INDEX(상세표[시작],$U539)),TEXT(INDEX(상세표[시작],$U539),"yyyy-mm-dd hh:mm"),INDEX(상세표[시작],$U539)&amp;""))</f>
        <v/>
      </c>
      <c r="O539">
        <f>IF($U539="","",IF(ISNUMBER(INDEX(상세표[종료],$U539)),TEXT(INDEX(상세표[종료],$U539),"yyyy-mm-dd hh:mm"),INDEX(상세표[종료],$U539)&amp;""))</f>
        <v/>
      </c>
      <c r="P539">
        <f>IF($U539="","",INDEX(상세표[06~07시],$U539))</f>
        <v/>
      </c>
      <c r="Q539">
        <f>IF($U539="","",INDEX(상세표[07~18시],$U539))</f>
        <v/>
      </c>
      <c r="R539">
        <f>IF($U539="","",INDEX(상세표[18~22시],$U539))</f>
        <v/>
      </c>
      <c r="S539">
        <f>IF($U539="","",INDEX(상세표[22~06시],$U539))</f>
        <v/>
      </c>
      <c r="T539">
        <f>IF($U539="","",INDEX(상세표[기록 시간외],$U539))</f>
        <v/>
      </c>
      <c r="U539" s="4">
        <f>IFERROR(MATCH(534,상세표[발송순번],0),"")</f>
        <v/>
      </c>
    </row>
    <row r="540">
      <c r="J540">
        <f>IF($U540="","",INDEX(상세표[사번],$U540)&amp;"")</f>
        <v/>
      </c>
      <c r="K540">
        <f>IF($U540="","",INDEX(상세표[성명],$U540)&amp;"")</f>
        <v/>
      </c>
      <c r="L540">
        <f>IF($U540="","",INDEX(상세표[직위],$U540)&amp;"")</f>
        <v/>
      </c>
      <c r="M540">
        <f>IF($U540="","",IF(ISNUMBER(INDEX(상세표[근무일자],$U540)),TEXT(INDEX(상세표[근무일자],$U540),"yyyy-mm-dd"),INDEX(상세표[근무일자],$U540)&amp;""))</f>
        <v/>
      </c>
      <c r="N540">
        <f>IF($U540="","",IF(ISNUMBER(INDEX(상세표[시작],$U540)),TEXT(INDEX(상세표[시작],$U540),"yyyy-mm-dd hh:mm"),INDEX(상세표[시작],$U540)&amp;""))</f>
        <v/>
      </c>
      <c r="O540">
        <f>IF($U540="","",IF(ISNUMBER(INDEX(상세표[종료],$U540)),TEXT(INDEX(상세표[종료],$U540),"yyyy-mm-dd hh:mm"),INDEX(상세표[종료],$U540)&amp;""))</f>
        <v/>
      </c>
      <c r="P540">
        <f>IF($U540="","",INDEX(상세표[06~07시],$U540))</f>
        <v/>
      </c>
      <c r="Q540">
        <f>IF($U540="","",INDEX(상세표[07~18시],$U540))</f>
        <v/>
      </c>
      <c r="R540">
        <f>IF($U540="","",INDEX(상세표[18~22시],$U540))</f>
        <v/>
      </c>
      <c r="S540">
        <f>IF($U540="","",INDEX(상세표[22~06시],$U540))</f>
        <v/>
      </c>
      <c r="T540">
        <f>IF($U540="","",INDEX(상세표[기록 시간외],$U540))</f>
        <v/>
      </c>
      <c r="U540" s="4">
        <f>IFERROR(MATCH(535,상세표[발송순번],0),"")</f>
        <v/>
      </c>
    </row>
    <row r="541">
      <c r="J541">
        <f>IF($U541="","",INDEX(상세표[사번],$U541)&amp;"")</f>
        <v/>
      </c>
      <c r="K541">
        <f>IF($U541="","",INDEX(상세표[성명],$U541)&amp;"")</f>
        <v/>
      </c>
      <c r="L541">
        <f>IF($U541="","",INDEX(상세표[직위],$U541)&amp;"")</f>
        <v/>
      </c>
      <c r="M541">
        <f>IF($U541="","",IF(ISNUMBER(INDEX(상세표[근무일자],$U541)),TEXT(INDEX(상세표[근무일자],$U541),"yyyy-mm-dd"),INDEX(상세표[근무일자],$U541)&amp;""))</f>
        <v/>
      </c>
      <c r="N541">
        <f>IF($U541="","",IF(ISNUMBER(INDEX(상세표[시작],$U541)),TEXT(INDEX(상세표[시작],$U541),"yyyy-mm-dd hh:mm"),INDEX(상세표[시작],$U541)&amp;""))</f>
        <v/>
      </c>
      <c r="O541">
        <f>IF($U541="","",IF(ISNUMBER(INDEX(상세표[종료],$U541)),TEXT(INDEX(상세표[종료],$U541),"yyyy-mm-dd hh:mm"),INDEX(상세표[종료],$U541)&amp;""))</f>
        <v/>
      </c>
      <c r="P541">
        <f>IF($U541="","",INDEX(상세표[06~07시],$U541))</f>
        <v/>
      </c>
      <c r="Q541">
        <f>IF($U541="","",INDEX(상세표[07~18시],$U541))</f>
        <v/>
      </c>
      <c r="R541">
        <f>IF($U541="","",INDEX(상세표[18~22시],$U541))</f>
        <v/>
      </c>
      <c r="S541">
        <f>IF($U541="","",INDEX(상세표[22~06시],$U541))</f>
        <v/>
      </c>
      <c r="T541">
        <f>IF($U541="","",INDEX(상세표[기록 시간외],$U541))</f>
        <v/>
      </c>
      <c r="U541" s="4">
        <f>IFERROR(MATCH(536,상세표[발송순번],0),"")</f>
        <v/>
      </c>
    </row>
    <row r="542">
      <c r="J542">
        <f>IF($U542="","",INDEX(상세표[사번],$U542)&amp;"")</f>
        <v/>
      </c>
      <c r="K542">
        <f>IF($U542="","",INDEX(상세표[성명],$U542)&amp;"")</f>
        <v/>
      </c>
      <c r="L542">
        <f>IF($U542="","",INDEX(상세표[직위],$U542)&amp;"")</f>
        <v/>
      </c>
      <c r="M542">
        <f>IF($U542="","",IF(ISNUMBER(INDEX(상세표[근무일자],$U542)),TEXT(INDEX(상세표[근무일자],$U542),"yyyy-mm-dd"),INDEX(상세표[근무일자],$U542)&amp;""))</f>
        <v/>
      </c>
      <c r="N542">
        <f>IF($U542="","",IF(ISNUMBER(INDEX(상세표[시작],$U542)),TEXT(INDEX(상세표[시작],$U542),"yyyy-mm-dd hh:mm"),INDEX(상세표[시작],$U542)&amp;""))</f>
        <v/>
      </c>
      <c r="O542">
        <f>IF($U542="","",IF(ISNUMBER(INDEX(상세표[종료],$U542)),TEXT(INDEX(상세표[종료],$U542),"yyyy-mm-dd hh:mm"),INDEX(상세표[종료],$U542)&amp;""))</f>
        <v/>
      </c>
      <c r="P542">
        <f>IF($U542="","",INDEX(상세표[06~07시],$U542))</f>
        <v/>
      </c>
      <c r="Q542">
        <f>IF($U542="","",INDEX(상세표[07~18시],$U542))</f>
        <v/>
      </c>
      <c r="R542">
        <f>IF($U542="","",INDEX(상세표[18~22시],$U542))</f>
        <v/>
      </c>
      <c r="S542">
        <f>IF($U542="","",INDEX(상세표[22~06시],$U542))</f>
        <v/>
      </c>
      <c r="T542">
        <f>IF($U542="","",INDEX(상세표[기록 시간외],$U542))</f>
        <v/>
      </c>
      <c r="U542" s="4">
        <f>IFERROR(MATCH(537,상세표[발송순번],0),"")</f>
        <v/>
      </c>
    </row>
    <row r="543">
      <c r="J543">
        <f>IF($U543="","",INDEX(상세표[사번],$U543)&amp;"")</f>
        <v/>
      </c>
      <c r="K543">
        <f>IF($U543="","",INDEX(상세표[성명],$U543)&amp;"")</f>
        <v/>
      </c>
      <c r="L543">
        <f>IF($U543="","",INDEX(상세표[직위],$U543)&amp;"")</f>
        <v/>
      </c>
      <c r="M543">
        <f>IF($U543="","",IF(ISNUMBER(INDEX(상세표[근무일자],$U543)),TEXT(INDEX(상세표[근무일자],$U543),"yyyy-mm-dd"),INDEX(상세표[근무일자],$U543)&amp;""))</f>
        <v/>
      </c>
      <c r="N543">
        <f>IF($U543="","",IF(ISNUMBER(INDEX(상세표[시작],$U543)),TEXT(INDEX(상세표[시작],$U543),"yyyy-mm-dd hh:mm"),INDEX(상세표[시작],$U543)&amp;""))</f>
        <v/>
      </c>
      <c r="O543">
        <f>IF($U543="","",IF(ISNUMBER(INDEX(상세표[종료],$U543)),TEXT(INDEX(상세표[종료],$U543),"yyyy-mm-dd hh:mm"),INDEX(상세표[종료],$U543)&amp;""))</f>
        <v/>
      </c>
      <c r="P543">
        <f>IF($U543="","",INDEX(상세표[06~07시],$U543))</f>
        <v/>
      </c>
      <c r="Q543">
        <f>IF($U543="","",INDEX(상세표[07~18시],$U543))</f>
        <v/>
      </c>
      <c r="R543">
        <f>IF($U543="","",INDEX(상세표[18~22시],$U543))</f>
        <v/>
      </c>
      <c r="S543">
        <f>IF($U543="","",INDEX(상세표[22~06시],$U543))</f>
        <v/>
      </c>
      <c r="T543">
        <f>IF($U543="","",INDEX(상세표[기록 시간외],$U543))</f>
        <v/>
      </c>
      <c r="U543" s="4">
        <f>IFERROR(MATCH(538,상세표[발송순번],0),"")</f>
        <v/>
      </c>
    </row>
    <row r="544">
      <c r="J544">
        <f>IF($U544="","",INDEX(상세표[사번],$U544)&amp;"")</f>
        <v/>
      </c>
      <c r="K544">
        <f>IF($U544="","",INDEX(상세표[성명],$U544)&amp;"")</f>
        <v/>
      </c>
      <c r="L544">
        <f>IF($U544="","",INDEX(상세표[직위],$U544)&amp;"")</f>
        <v/>
      </c>
      <c r="M544">
        <f>IF($U544="","",IF(ISNUMBER(INDEX(상세표[근무일자],$U544)),TEXT(INDEX(상세표[근무일자],$U544),"yyyy-mm-dd"),INDEX(상세표[근무일자],$U544)&amp;""))</f>
        <v/>
      </c>
      <c r="N544">
        <f>IF($U544="","",IF(ISNUMBER(INDEX(상세표[시작],$U544)),TEXT(INDEX(상세표[시작],$U544),"yyyy-mm-dd hh:mm"),INDEX(상세표[시작],$U544)&amp;""))</f>
        <v/>
      </c>
      <c r="O544">
        <f>IF($U544="","",IF(ISNUMBER(INDEX(상세표[종료],$U544)),TEXT(INDEX(상세표[종료],$U544),"yyyy-mm-dd hh:mm"),INDEX(상세표[종료],$U544)&amp;""))</f>
        <v/>
      </c>
      <c r="P544">
        <f>IF($U544="","",INDEX(상세표[06~07시],$U544))</f>
        <v/>
      </c>
      <c r="Q544">
        <f>IF($U544="","",INDEX(상세표[07~18시],$U544))</f>
        <v/>
      </c>
      <c r="R544">
        <f>IF($U544="","",INDEX(상세표[18~22시],$U544))</f>
        <v/>
      </c>
      <c r="S544">
        <f>IF($U544="","",INDEX(상세표[22~06시],$U544))</f>
        <v/>
      </c>
      <c r="T544">
        <f>IF($U544="","",INDEX(상세표[기록 시간외],$U544))</f>
        <v/>
      </c>
      <c r="U544" s="4">
        <f>IFERROR(MATCH(539,상세표[발송순번],0),"")</f>
        <v/>
      </c>
    </row>
    <row r="545">
      <c r="J545">
        <f>IF($U545="","",INDEX(상세표[사번],$U545)&amp;"")</f>
        <v/>
      </c>
      <c r="K545">
        <f>IF($U545="","",INDEX(상세표[성명],$U545)&amp;"")</f>
        <v/>
      </c>
      <c r="L545">
        <f>IF($U545="","",INDEX(상세표[직위],$U545)&amp;"")</f>
        <v/>
      </c>
      <c r="M545">
        <f>IF($U545="","",IF(ISNUMBER(INDEX(상세표[근무일자],$U545)),TEXT(INDEX(상세표[근무일자],$U545),"yyyy-mm-dd"),INDEX(상세표[근무일자],$U545)&amp;""))</f>
        <v/>
      </c>
      <c r="N545">
        <f>IF($U545="","",IF(ISNUMBER(INDEX(상세표[시작],$U545)),TEXT(INDEX(상세표[시작],$U545),"yyyy-mm-dd hh:mm"),INDEX(상세표[시작],$U545)&amp;""))</f>
        <v/>
      </c>
      <c r="O545">
        <f>IF($U545="","",IF(ISNUMBER(INDEX(상세표[종료],$U545)),TEXT(INDEX(상세표[종료],$U545),"yyyy-mm-dd hh:mm"),INDEX(상세표[종료],$U545)&amp;""))</f>
        <v/>
      </c>
      <c r="P545">
        <f>IF($U545="","",INDEX(상세표[06~07시],$U545))</f>
        <v/>
      </c>
      <c r="Q545">
        <f>IF($U545="","",INDEX(상세표[07~18시],$U545))</f>
        <v/>
      </c>
      <c r="R545">
        <f>IF($U545="","",INDEX(상세표[18~22시],$U545))</f>
        <v/>
      </c>
      <c r="S545">
        <f>IF($U545="","",INDEX(상세표[22~06시],$U545))</f>
        <v/>
      </c>
      <c r="T545">
        <f>IF($U545="","",INDEX(상세표[기록 시간외],$U545))</f>
        <v/>
      </c>
      <c r="U545" s="4">
        <f>IFERROR(MATCH(540,상세표[발송순번],0),"")</f>
        <v/>
      </c>
    </row>
    <row r="546">
      <c r="J546">
        <f>IF($U546="","",INDEX(상세표[사번],$U546)&amp;"")</f>
        <v/>
      </c>
      <c r="K546">
        <f>IF($U546="","",INDEX(상세표[성명],$U546)&amp;"")</f>
        <v/>
      </c>
      <c r="L546">
        <f>IF($U546="","",INDEX(상세표[직위],$U546)&amp;"")</f>
        <v/>
      </c>
      <c r="M546">
        <f>IF($U546="","",IF(ISNUMBER(INDEX(상세표[근무일자],$U546)),TEXT(INDEX(상세표[근무일자],$U546),"yyyy-mm-dd"),INDEX(상세표[근무일자],$U546)&amp;""))</f>
        <v/>
      </c>
      <c r="N546">
        <f>IF($U546="","",IF(ISNUMBER(INDEX(상세표[시작],$U546)),TEXT(INDEX(상세표[시작],$U546),"yyyy-mm-dd hh:mm"),INDEX(상세표[시작],$U546)&amp;""))</f>
        <v/>
      </c>
      <c r="O546">
        <f>IF($U546="","",IF(ISNUMBER(INDEX(상세표[종료],$U546)),TEXT(INDEX(상세표[종료],$U546),"yyyy-mm-dd hh:mm"),INDEX(상세표[종료],$U546)&amp;""))</f>
        <v/>
      </c>
      <c r="P546">
        <f>IF($U546="","",INDEX(상세표[06~07시],$U546))</f>
        <v/>
      </c>
      <c r="Q546">
        <f>IF($U546="","",INDEX(상세표[07~18시],$U546))</f>
        <v/>
      </c>
      <c r="R546">
        <f>IF($U546="","",INDEX(상세표[18~22시],$U546))</f>
        <v/>
      </c>
      <c r="S546">
        <f>IF($U546="","",INDEX(상세표[22~06시],$U546))</f>
        <v/>
      </c>
      <c r="T546">
        <f>IF($U546="","",INDEX(상세표[기록 시간외],$U546))</f>
        <v/>
      </c>
      <c r="U546" s="4">
        <f>IFERROR(MATCH(541,상세표[발송순번],0),"")</f>
        <v/>
      </c>
    </row>
    <row r="547">
      <c r="J547">
        <f>IF($U547="","",INDEX(상세표[사번],$U547)&amp;"")</f>
        <v/>
      </c>
      <c r="K547">
        <f>IF($U547="","",INDEX(상세표[성명],$U547)&amp;"")</f>
        <v/>
      </c>
      <c r="L547">
        <f>IF($U547="","",INDEX(상세표[직위],$U547)&amp;"")</f>
        <v/>
      </c>
      <c r="M547">
        <f>IF($U547="","",IF(ISNUMBER(INDEX(상세표[근무일자],$U547)),TEXT(INDEX(상세표[근무일자],$U547),"yyyy-mm-dd"),INDEX(상세표[근무일자],$U547)&amp;""))</f>
        <v/>
      </c>
      <c r="N547">
        <f>IF($U547="","",IF(ISNUMBER(INDEX(상세표[시작],$U547)),TEXT(INDEX(상세표[시작],$U547),"yyyy-mm-dd hh:mm"),INDEX(상세표[시작],$U547)&amp;""))</f>
        <v/>
      </c>
      <c r="O547">
        <f>IF($U547="","",IF(ISNUMBER(INDEX(상세표[종료],$U547)),TEXT(INDEX(상세표[종료],$U547),"yyyy-mm-dd hh:mm"),INDEX(상세표[종료],$U547)&amp;""))</f>
        <v/>
      </c>
      <c r="P547">
        <f>IF($U547="","",INDEX(상세표[06~07시],$U547))</f>
        <v/>
      </c>
      <c r="Q547">
        <f>IF($U547="","",INDEX(상세표[07~18시],$U547))</f>
        <v/>
      </c>
      <c r="R547">
        <f>IF($U547="","",INDEX(상세표[18~22시],$U547))</f>
        <v/>
      </c>
      <c r="S547">
        <f>IF($U547="","",INDEX(상세표[22~06시],$U547))</f>
        <v/>
      </c>
      <c r="T547">
        <f>IF($U547="","",INDEX(상세표[기록 시간외],$U547))</f>
        <v/>
      </c>
      <c r="U547" s="4">
        <f>IFERROR(MATCH(542,상세표[발송순번],0),"")</f>
        <v/>
      </c>
    </row>
    <row r="548">
      <c r="J548">
        <f>IF($U548="","",INDEX(상세표[사번],$U548)&amp;"")</f>
        <v/>
      </c>
      <c r="K548">
        <f>IF($U548="","",INDEX(상세표[성명],$U548)&amp;"")</f>
        <v/>
      </c>
      <c r="L548">
        <f>IF($U548="","",INDEX(상세표[직위],$U548)&amp;"")</f>
        <v/>
      </c>
      <c r="M548">
        <f>IF($U548="","",IF(ISNUMBER(INDEX(상세표[근무일자],$U548)),TEXT(INDEX(상세표[근무일자],$U548),"yyyy-mm-dd"),INDEX(상세표[근무일자],$U548)&amp;""))</f>
        <v/>
      </c>
      <c r="N548">
        <f>IF($U548="","",IF(ISNUMBER(INDEX(상세표[시작],$U548)),TEXT(INDEX(상세표[시작],$U548),"yyyy-mm-dd hh:mm"),INDEX(상세표[시작],$U548)&amp;""))</f>
        <v/>
      </c>
      <c r="O548">
        <f>IF($U548="","",IF(ISNUMBER(INDEX(상세표[종료],$U548)),TEXT(INDEX(상세표[종료],$U548),"yyyy-mm-dd hh:mm"),INDEX(상세표[종료],$U548)&amp;""))</f>
        <v/>
      </c>
      <c r="P548">
        <f>IF($U548="","",INDEX(상세표[06~07시],$U548))</f>
        <v/>
      </c>
      <c r="Q548">
        <f>IF($U548="","",INDEX(상세표[07~18시],$U548))</f>
        <v/>
      </c>
      <c r="R548">
        <f>IF($U548="","",INDEX(상세표[18~22시],$U548))</f>
        <v/>
      </c>
      <c r="S548">
        <f>IF($U548="","",INDEX(상세표[22~06시],$U548))</f>
        <v/>
      </c>
      <c r="T548">
        <f>IF($U548="","",INDEX(상세표[기록 시간외],$U548))</f>
        <v/>
      </c>
      <c r="U548" s="4">
        <f>IFERROR(MATCH(543,상세표[발송순번],0),"")</f>
        <v/>
      </c>
    </row>
    <row r="549">
      <c r="J549">
        <f>IF($U549="","",INDEX(상세표[사번],$U549)&amp;"")</f>
        <v/>
      </c>
      <c r="K549">
        <f>IF($U549="","",INDEX(상세표[성명],$U549)&amp;"")</f>
        <v/>
      </c>
      <c r="L549">
        <f>IF($U549="","",INDEX(상세표[직위],$U549)&amp;"")</f>
        <v/>
      </c>
      <c r="M549">
        <f>IF($U549="","",IF(ISNUMBER(INDEX(상세표[근무일자],$U549)),TEXT(INDEX(상세표[근무일자],$U549),"yyyy-mm-dd"),INDEX(상세표[근무일자],$U549)&amp;""))</f>
        <v/>
      </c>
      <c r="N549">
        <f>IF($U549="","",IF(ISNUMBER(INDEX(상세표[시작],$U549)),TEXT(INDEX(상세표[시작],$U549),"yyyy-mm-dd hh:mm"),INDEX(상세표[시작],$U549)&amp;""))</f>
        <v/>
      </c>
      <c r="O549">
        <f>IF($U549="","",IF(ISNUMBER(INDEX(상세표[종료],$U549)),TEXT(INDEX(상세표[종료],$U549),"yyyy-mm-dd hh:mm"),INDEX(상세표[종료],$U549)&amp;""))</f>
        <v/>
      </c>
      <c r="P549">
        <f>IF($U549="","",INDEX(상세표[06~07시],$U549))</f>
        <v/>
      </c>
      <c r="Q549">
        <f>IF($U549="","",INDEX(상세표[07~18시],$U549))</f>
        <v/>
      </c>
      <c r="R549">
        <f>IF($U549="","",INDEX(상세표[18~22시],$U549))</f>
        <v/>
      </c>
      <c r="S549">
        <f>IF($U549="","",INDEX(상세표[22~06시],$U549))</f>
        <v/>
      </c>
      <c r="T549">
        <f>IF($U549="","",INDEX(상세표[기록 시간외],$U549))</f>
        <v/>
      </c>
      <c r="U549" s="4">
        <f>IFERROR(MATCH(544,상세표[발송순번],0),"")</f>
        <v/>
      </c>
    </row>
    <row r="550">
      <c r="J550">
        <f>IF($U550="","",INDEX(상세표[사번],$U550)&amp;"")</f>
        <v/>
      </c>
      <c r="K550">
        <f>IF($U550="","",INDEX(상세표[성명],$U550)&amp;"")</f>
        <v/>
      </c>
      <c r="L550">
        <f>IF($U550="","",INDEX(상세표[직위],$U550)&amp;"")</f>
        <v/>
      </c>
      <c r="M550">
        <f>IF($U550="","",IF(ISNUMBER(INDEX(상세표[근무일자],$U550)),TEXT(INDEX(상세표[근무일자],$U550),"yyyy-mm-dd"),INDEX(상세표[근무일자],$U550)&amp;""))</f>
        <v/>
      </c>
      <c r="N550">
        <f>IF($U550="","",IF(ISNUMBER(INDEX(상세표[시작],$U550)),TEXT(INDEX(상세표[시작],$U550),"yyyy-mm-dd hh:mm"),INDEX(상세표[시작],$U550)&amp;""))</f>
        <v/>
      </c>
      <c r="O550">
        <f>IF($U550="","",IF(ISNUMBER(INDEX(상세표[종료],$U550)),TEXT(INDEX(상세표[종료],$U550),"yyyy-mm-dd hh:mm"),INDEX(상세표[종료],$U550)&amp;""))</f>
        <v/>
      </c>
      <c r="P550">
        <f>IF($U550="","",INDEX(상세표[06~07시],$U550))</f>
        <v/>
      </c>
      <c r="Q550">
        <f>IF($U550="","",INDEX(상세표[07~18시],$U550))</f>
        <v/>
      </c>
      <c r="R550">
        <f>IF($U550="","",INDEX(상세표[18~22시],$U550))</f>
        <v/>
      </c>
      <c r="S550">
        <f>IF($U550="","",INDEX(상세표[22~06시],$U550))</f>
        <v/>
      </c>
      <c r="T550">
        <f>IF($U550="","",INDEX(상세표[기록 시간외],$U550))</f>
        <v/>
      </c>
      <c r="U550" s="4">
        <f>IFERROR(MATCH(545,상세표[발송순번],0),"")</f>
        <v/>
      </c>
    </row>
    <row r="551">
      <c r="J551">
        <f>IF($U551="","",INDEX(상세표[사번],$U551)&amp;"")</f>
        <v/>
      </c>
      <c r="K551">
        <f>IF($U551="","",INDEX(상세표[성명],$U551)&amp;"")</f>
        <v/>
      </c>
      <c r="L551">
        <f>IF($U551="","",INDEX(상세표[직위],$U551)&amp;"")</f>
        <v/>
      </c>
      <c r="M551">
        <f>IF($U551="","",IF(ISNUMBER(INDEX(상세표[근무일자],$U551)),TEXT(INDEX(상세표[근무일자],$U551),"yyyy-mm-dd"),INDEX(상세표[근무일자],$U551)&amp;""))</f>
        <v/>
      </c>
      <c r="N551">
        <f>IF($U551="","",IF(ISNUMBER(INDEX(상세표[시작],$U551)),TEXT(INDEX(상세표[시작],$U551),"yyyy-mm-dd hh:mm"),INDEX(상세표[시작],$U551)&amp;""))</f>
        <v/>
      </c>
      <c r="O551">
        <f>IF($U551="","",IF(ISNUMBER(INDEX(상세표[종료],$U551)),TEXT(INDEX(상세표[종료],$U551),"yyyy-mm-dd hh:mm"),INDEX(상세표[종료],$U551)&amp;""))</f>
        <v/>
      </c>
      <c r="P551">
        <f>IF($U551="","",INDEX(상세표[06~07시],$U551))</f>
        <v/>
      </c>
      <c r="Q551">
        <f>IF($U551="","",INDEX(상세표[07~18시],$U551))</f>
        <v/>
      </c>
      <c r="R551">
        <f>IF($U551="","",INDEX(상세표[18~22시],$U551))</f>
        <v/>
      </c>
      <c r="S551">
        <f>IF($U551="","",INDEX(상세표[22~06시],$U551))</f>
        <v/>
      </c>
      <c r="T551">
        <f>IF($U551="","",INDEX(상세표[기록 시간외],$U551))</f>
        <v/>
      </c>
      <c r="U551" s="4">
        <f>IFERROR(MATCH(546,상세표[발송순번],0),"")</f>
        <v/>
      </c>
    </row>
    <row r="552">
      <c r="J552">
        <f>IF($U552="","",INDEX(상세표[사번],$U552)&amp;"")</f>
        <v/>
      </c>
      <c r="K552">
        <f>IF($U552="","",INDEX(상세표[성명],$U552)&amp;"")</f>
        <v/>
      </c>
      <c r="L552">
        <f>IF($U552="","",INDEX(상세표[직위],$U552)&amp;"")</f>
        <v/>
      </c>
      <c r="M552">
        <f>IF($U552="","",IF(ISNUMBER(INDEX(상세표[근무일자],$U552)),TEXT(INDEX(상세표[근무일자],$U552),"yyyy-mm-dd"),INDEX(상세표[근무일자],$U552)&amp;""))</f>
        <v/>
      </c>
      <c r="N552">
        <f>IF($U552="","",IF(ISNUMBER(INDEX(상세표[시작],$U552)),TEXT(INDEX(상세표[시작],$U552),"yyyy-mm-dd hh:mm"),INDEX(상세표[시작],$U552)&amp;""))</f>
        <v/>
      </c>
      <c r="O552">
        <f>IF($U552="","",IF(ISNUMBER(INDEX(상세표[종료],$U552)),TEXT(INDEX(상세표[종료],$U552),"yyyy-mm-dd hh:mm"),INDEX(상세표[종료],$U552)&amp;""))</f>
        <v/>
      </c>
      <c r="P552">
        <f>IF($U552="","",INDEX(상세표[06~07시],$U552))</f>
        <v/>
      </c>
      <c r="Q552">
        <f>IF($U552="","",INDEX(상세표[07~18시],$U552))</f>
        <v/>
      </c>
      <c r="R552">
        <f>IF($U552="","",INDEX(상세표[18~22시],$U552))</f>
        <v/>
      </c>
      <c r="S552">
        <f>IF($U552="","",INDEX(상세표[22~06시],$U552))</f>
        <v/>
      </c>
      <c r="T552">
        <f>IF($U552="","",INDEX(상세표[기록 시간외],$U552))</f>
        <v/>
      </c>
      <c r="U552" s="4">
        <f>IFERROR(MATCH(547,상세표[발송순번],0),"")</f>
        <v/>
      </c>
    </row>
    <row r="553">
      <c r="J553">
        <f>IF($U553="","",INDEX(상세표[사번],$U553)&amp;"")</f>
        <v/>
      </c>
      <c r="K553">
        <f>IF($U553="","",INDEX(상세표[성명],$U553)&amp;"")</f>
        <v/>
      </c>
      <c r="L553">
        <f>IF($U553="","",INDEX(상세표[직위],$U553)&amp;"")</f>
        <v/>
      </c>
      <c r="M553">
        <f>IF($U553="","",IF(ISNUMBER(INDEX(상세표[근무일자],$U553)),TEXT(INDEX(상세표[근무일자],$U553),"yyyy-mm-dd"),INDEX(상세표[근무일자],$U553)&amp;""))</f>
        <v/>
      </c>
      <c r="N553">
        <f>IF($U553="","",IF(ISNUMBER(INDEX(상세표[시작],$U553)),TEXT(INDEX(상세표[시작],$U553),"yyyy-mm-dd hh:mm"),INDEX(상세표[시작],$U553)&amp;""))</f>
        <v/>
      </c>
      <c r="O553">
        <f>IF($U553="","",IF(ISNUMBER(INDEX(상세표[종료],$U553)),TEXT(INDEX(상세표[종료],$U553),"yyyy-mm-dd hh:mm"),INDEX(상세표[종료],$U553)&amp;""))</f>
        <v/>
      </c>
      <c r="P553">
        <f>IF($U553="","",INDEX(상세표[06~07시],$U553))</f>
        <v/>
      </c>
      <c r="Q553">
        <f>IF($U553="","",INDEX(상세표[07~18시],$U553))</f>
        <v/>
      </c>
      <c r="R553">
        <f>IF($U553="","",INDEX(상세표[18~22시],$U553))</f>
        <v/>
      </c>
      <c r="S553">
        <f>IF($U553="","",INDEX(상세표[22~06시],$U553))</f>
        <v/>
      </c>
      <c r="T553">
        <f>IF($U553="","",INDEX(상세표[기록 시간외],$U553))</f>
        <v/>
      </c>
      <c r="U553" s="4">
        <f>IFERROR(MATCH(548,상세표[발송순번],0),"")</f>
        <v/>
      </c>
    </row>
    <row r="554">
      <c r="J554">
        <f>IF($U554="","",INDEX(상세표[사번],$U554)&amp;"")</f>
        <v/>
      </c>
      <c r="K554">
        <f>IF($U554="","",INDEX(상세표[성명],$U554)&amp;"")</f>
        <v/>
      </c>
      <c r="L554">
        <f>IF($U554="","",INDEX(상세표[직위],$U554)&amp;"")</f>
        <v/>
      </c>
      <c r="M554">
        <f>IF($U554="","",IF(ISNUMBER(INDEX(상세표[근무일자],$U554)),TEXT(INDEX(상세표[근무일자],$U554),"yyyy-mm-dd"),INDEX(상세표[근무일자],$U554)&amp;""))</f>
        <v/>
      </c>
      <c r="N554">
        <f>IF($U554="","",IF(ISNUMBER(INDEX(상세표[시작],$U554)),TEXT(INDEX(상세표[시작],$U554),"yyyy-mm-dd hh:mm"),INDEX(상세표[시작],$U554)&amp;""))</f>
        <v/>
      </c>
      <c r="O554">
        <f>IF($U554="","",IF(ISNUMBER(INDEX(상세표[종료],$U554)),TEXT(INDEX(상세표[종료],$U554),"yyyy-mm-dd hh:mm"),INDEX(상세표[종료],$U554)&amp;""))</f>
        <v/>
      </c>
      <c r="P554">
        <f>IF($U554="","",INDEX(상세표[06~07시],$U554))</f>
        <v/>
      </c>
      <c r="Q554">
        <f>IF($U554="","",INDEX(상세표[07~18시],$U554))</f>
        <v/>
      </c>
      <c r="R554">
        <f>IF($U554="","",INDEX(상세표[18~22시],$U554))</f>
        <v/>
      </c>
      <c r="S554">
        <f>IF($U554="","",INDEX(상세표[22~06시],$U554))</f>
        <v/>
      </c>
      <c r="T554">
        <f>IF($U554="","",INDEX(상세표[기록 시간외],$U554))</f>
        <v/>
      </c>
      <c r="U554" s="4">
        <f>IFERROR(MATCH(549,상세표[발송순번],0),"")</f>
        <v/>
      </c>
    </row>
    <row r="555">
      <c r="J555">
        <f>IF($U555="","",INDEX(상세표[사번],$U555)&amp;"")</f>
        <v/>
      </c>
      <c r="K555">
        <f>IF($U555="","",INDEX(상세표[성명],$U555)&amp;"")</f>
        <v/>
      </c>
      <c r="L555">
        <f>IF($U555="","",INDEX(상세표[직위],$U555)&amp;"")</f>
        <v/>
      </c>
      <c r="M555">
        <f>IF($U555="","",IF(ISNUMBER(INDEX(상세표[근무일자],$U555)),TEXT(INDEX(상세표[근무일자],$U555),"yyyy-mm-dd"),INDEX(상세표[근무일자],$U555)&amp;""))</f>
        <v/>
      </c>
      <c r="N555">
        <f>IF($U555="","",IF(ISNUMBER(INDEX(상세표[시작],$U555)),TEXT(INDEX(상세표[시작],$U555),"yyyy-mm-dd hh:mm"),INDEX(상세표[시작],$U555)&amp;""))</f>
        <v/>
      </c>
      <c r="O555">
        <f>IF($U555="","",IF(ISNUMBER(INDEX(상세표[종료],$U555)),TEXT(INDEX(상세표[종료],$U555),"yyyy-mm-dd hh:mm"),INDEX(상세표[종료],$U555)&amp;""))</f>
        <v/>
      </c>
      <c r="P555">
        <f>IF($U555="","",INDEX(상세표[06~07시],$U555))</f>
        <v/>
      </c>
      <c r="Q555">
        <f>IF($U555="","",INDEX(상세표[07~18시],$U555))</f>
        <v/>
      </c>
      <c r="R555">
        <f>IF($U555="","",INDEX(상세표[18~22시],$U555))</f>
        <v/>
      </c>
      <c r="S555">
        <f>IF($U555="","",INDEX(상세표[22~06시],$U555))</f>
        <v/>
      </c>
      <c r="T555">
        <f>IF($U555="","",INDEX(상세표[기록 시간외],$U555))</f>
        <v/>
      </c>
      <c r="U555" s="4">
        <f>IFERROR(MATCH(550,상세표[발송순번],0),"")</f>
        <v/>
      </c>
    </row>
    <row r="556">
      <c r="J556">
        <f>IF($U556="","",INDEX(상세표[사번],$U556)&amp;"")</f>
        <v/>
      </c>
      <c r="K556">
        <f>IF($U556="","",INDEX(상세표[성명],$U556)&amp;"")</f>
        <v/>
      </c>
      <c r="L556">
        <f>IF($U556="","",INDEX(상세표[직위],$U556)&amp;"")</f>
        <v/>
      </c>
      <c r="M556">
        <f>IF($U556="","",IF(ISNUMBER(INDEX(상세표[근무일자],$U556)),TEXT(INDEX(상세표[근무일자],$U556),"yyyy-mm-dd"),INDEX(상세표[근무일자],$U556)&amp;""))</f>
        <v/>
      </c>
      <c r="N556">
        <f>IF($U556="","",IF(ISNUMBER(INDEX(상세표[시작],$U556)),TEXT(INDEX(상세표[시작],$U556),"yyyy-mm-dd hh:mm"),INDEX(상세표[시작],$U556)&amp;""))</f>
        <v/>
      </c>
      <c r="O556">
        <f>IF($U556="","",IF(ISNUMBER(INDEX(상세표[종료],$U556)),TEXT(INDEX(상세표[종료],$U556),"yyyy-mm-dd hh:mm"),INDEX(상세표[종료],$U556)&amp;""))</f>
        <v/>
      </c>
      <c r="P556">
        <f>IF($U556="","",INDEX(상세표[06~07시],$U556))</f>
        <v/>
      </c>
      <c r="Q556">
        <f>IF($U556="","",INDEX(상세표[07~18시],$U556))</f>
        <v/>
      </c>
      <c r="R556">
        <f>IF($U556="","",INDEX(상세표[18~22시],$U556))</f>
        <v/>
      </c>
      <c r="S556">
        <f>IF($U556="","",INDEX(상세표[22~06시],$U556))</f>
        <v/>
      </c>
      <c r="T556">
        <f>IF($U556="","",INDEX(상세표[기록 시간외],$U556))</f>
        <v/>
      </c>
      <c r="U556" s="4">
        <f>IFERROR(MATCH(551,상세표[발송순번],0),"")</f>
        <v/>
      </c>
    </row>
    <row r="557">
      <c r="J557">
        <f>IF($U557="","",INDEX(상세표[사번],$U557)&amp;"")</f>
        <v/>
      </c>
      <c r="K557">
        <f>IF($U557="","",INDEX(상세표[성명],$U557)&amp;"")</f>
        <v/>
      </c>
      <c r="L557">
        <f>IF($U557="","",INDEX(상세표[직위],$U557)&amp;"")</f>
        <v/>
      </c>
      <c r="M557">
        <f>IF($U557="","",IF(ISNUMBER(INDEX(상세표[근무일자],$U557)),TEXT(INDEX(상세표[근무일자],$U557),"yyyy-mm-dd"),INDEX(상세표[근무일자],$U557)&amp;""))</f>
        <v/>
      </c>
      <c r="N557">
        <f>IF($U557="","",IF(ISNUMBER(INDEX(상세표[시작],$U557)),TEXT(INDEX(상세표[시작],$U557),"yyyy-mm-dd hh:mm"),INDEX(상세표[시작],$U557)&amp;""))</f>
        <v/>
      </c>
      <c r="O557">
        <f>IF($U557="","",IF(ISNUMBER(INDEX(상세표[종료],$U557)),TEXT(INDEX(상세표[종료],$U557),"yyyy-mm-dd hh:mm"),INDEX(상세표[종료],$U557)&amp;""))</f>
        <v/>
      </c>
      <c r="P557">
        <f>IF($U557="","",INDEX(상세표[06~07시],$U557))</f>
        <v/>
      </c>
      <c r="Q557">
        <f>IF($U557="","",INDEX(상세표[07~18시],$U557))</f>
        <v/>
      </c>
      <c r="R557">
        <f>IF($U557="","",INDEX(상세표[18~22시],$U557))</f>
        <v/>
      </c>
      <c r="S557">
        <f>IF($U557="","",INDEX(상세표[22~06시],$U557))</f>
        <v/>
      </c>
      <c r="T557">
        <f>IF($U557="","",INDEX(상세표[기록 시간외],$U557))</f>
        <v/>
      </c>
      <c r="U557" s="4">
        <f>IFERROR(MATCH(552,상세표[발송순번],0),"")</f>
        <v/>
      </c>
    </row>
    <row r="558">
      <c r="J558">
        <f>IF($U558="","",INDEX(상세표[사번],$U558)&amp;"")</f>
        <v/>
      </c>
      <c r="K558">
        <f>IF($U558="","",INDEX(상세표[성명],$U558)&amp;"")</f>
        <v/>
      </c>
      <c r="L558">
        <f>IF($U558="","",INDEX(상세표[직위],$U558)&amp;"")</f>
        <v/>
      </c>
      <c r="M558">
        <f>IF($U558="","",IF(ISNUMBER(INDEX(상세표[근무일자],$U558)),TEXT(INDEX(상세표[근무일자],$U558),"yyyy-mm-dd"),INDEX(상세표[근무일자],$U558)&amp;""))</f>
        <v/>
      </c>
      <c r="N558">
        <f>IF($U558="","",IF(ISNUMBER(INDEX(상세표[시작],$U558)),TEXT(INDEX(상세표[시작],$U558),"yyyy-mm-dd hh:mm"),INDEX(상세표[시작],$U558)&amp;""))</f>
        <v/>
      </c>
      <c r="O558">
        <f>IF($U558="","",IF(ISNUMBER(INDEX(상세표[종료],$U558)),TEXT(INDEX(상세표[종료],$U558),"yyyy-mm-dd hh:mm"),INDEX(상세표[종료],$U558)&amp;""))</f>
        <v/>
      </c>
      <c r="P558">
        <f>IF($U558="","",INDEX(상세표[06~07시],$U558))</f>
        <v/>
      </c>
      <c r="Q558">
        <f>IF($U558="","",INDEX(상세표[07~18시],$U558))</f>
        <v/>
      </c>
      <c r="R558">
        <f>IF($U558="","",INDEX(상세표[18~22시],$U558))</f>
        <v/>
      </c>
      <c r="S558">
        <f>IF($U558="","",INDEX(상세표[22~06시],$U558))</f>
        <v/>
      </c>
      <c r="T558">
        <f>IF($U558="","",INDEX(상세표[기록 시간외],$U558))</f>
        <v/>
      </c>
      <c r="U558" s="4">
        <f>IFERROR(MATCH(553,상세표[발송순번],0),"")</f>
        <v/>
      </c>
    </row>
    <row r="559">
      <c r="J559">
        <f>IF($U559="","",INDEX(상세표[사번],$U559)&amp;"")</f>
        <v/>
      </c>
      <c r="K559">
        <f>IF($U559="","",INDEX(상세표[성명],$U559)&amp;"")</f>
        <v/>
      </c>
      <c r="L559">
        <f>IF($U559="","",INDEX(상세표[직위],$U559)&amp;"")</f>
        <v/>
      </c>
      <c r="M559">
        <f>IF($U559="","",IF(ISNUMBER(INDEX(상세표[근무일자],$U559)),TEXT(INDEX(상세표[근무일자],$U559),"yyyy-mm-dd"),INDEX(상세표[근무일자],$U559)&amp;""))</f>
        <v/>
      </c>
      <c r="N559">
        <f>IF($U559="","",IF(ISNUMBER(INDEX(상세표[시작],$U559)),TEXT(INDEX(상세표[시작],$U559),"yyyy-mm-dd hh:mm"),INDEX(상세표[시작],$U559)&amp;""))</f>
        <v/>
      </c>
      <c r="O559">
        <f>IF($U559="","",IF(ISNUMBER(INDEX(상세표[종료],$U559)),TEXT(INDEX(상세표[종료],$U559),"yyyy-mm-dd hh:mm"),INDEX(상세표[종료],$U559)&amp;""))</f>
        <v/>
      </c>
      <c r="P559">
        <f>IF($U559="","",INDEX(상세표[06~07시],$U559))</f>
        <v/>
      </c>
      <c r="Q559">
        <f>IF($U559="","",INDEX(상세표[07~18시],$U559))</f>
        <v/>
      </c>
      <c r="R559">
        <f>IF($U559="","",INDEX(상세표[18~22시],$U559))</f>
        <v/>
      </c>
      <c r="S559">
        <f>IF($U559="","",INDEX(상세표[22~06시],$U559))</f>
        <v/>
      </c>
      <c r="T559">
        <f>IF($U559="","",INDEX(상세표[기록 시간외],$U559))</f>
        <v/>
      </c>
      <c r="U559" s="4">
        <f>IFERROR(MATCH(554,상세표[발송순번],0),"")</f>
        <v/>
      </c>
    </row>
    <row r="560">
      <c r="J560">
        <f>IF($U560="","",INDEX(상세표[사번],$U560)&amp;"")</f>
        <v/>
      </c>
      <c r="K560">
        <f>IF($U560="","",INDEX(상세표[성명],$U560)&amp;"")</f>
        <v/>
      </c>
      <c r="L560">
        <f>IF($U560="","",INDEX(상세표[직위],$U560)&amp;"")</f>
        <v/>
      </c>
      <c r="M560">
        <f>IF($U560="","",IF(ISNUMBER(INDEX(상세표[근무일자],$U560)),TEXT(INDEX(상세표[근무일자],$U560),"yyyy-mm-dd"),INDEX(상세표[근무일자],$U560)&amp;""))</f>
        <v/>
      </c>
      <c r="N560">
        <f>IF($U560="","",IF(ISNUMBER(INDEX(상세표[시작],$U560)),TEXT(INDEX(상세표[시작],$U560),"yyyy-mm-dd hh:mm"),INDEX(상세표[시작],$U560)&amp;""))</f>
        <v/>
      </c>
      <c r="O560">
        <f>IF($U560="","",IF(ISNUMBER(INDEX(상세표[종료],$U560)),TEXT(INDEX(상세표[종료],$U560),"yyyy-mm-dd hh:mm"),INDEX(상세표[종료],$U560)&amp;""))</f>
        <v/>
      </c>
      <c r="P560">
        <f>IF($U560="","",INDEX(상세표[06~07시],$U560))</f>
        <v/>
      </c>
      <c r="Q560">
        <f>IF($U560="","",INDEX(상세표[07~18시],$U560))</f>
        <v/>
      </c>
      <c r="R560">
        <f>IF($U560="","",INDEX(상세표[18~22시],$U560))</f>
        <v/>
      </c>
      <c r="S560">
        <f>IF($U560="","",INDEX(상세표[22~06시],$U560))</f>
        <v/>
      </c>
      <c r="T560">
        <f>IF($U560="","",INDEX(상세표[기록 시간외],$U560))</f>
        <v/>
      </c>
      <c r="U560" s="4">
        <f>IFERROR(MATCH(555,상세표[발송순번],0),"")</f>
        <v/>
      </c>
    </row>
    <row r="561">
      <c r="J561">
        <f>IF($U561="","",INDEX(상세표[사번],$U561)&amp;"")</f>
        <v/>
      </c>
      <c r="K561">
        <f>IF($U561="","",INDEX(상세표[성명],$U561)&amp;"")</f>
        <v/>
      </c>
      <c r="L561">
        <f>IF($U561="","",INDEX(상세표[직위],$U561)&amp;"")</f>
        <v/>
      </c>
      <c r="M561">
        <f>IF($U561="","",IF(ISNUMBER(INDEX(상세표[근무일자],$U561)),TEXT(INDEX(상세표[근무일자],$U561),"yyyy-mm-dd"),INDEX(상세표[근무일자],$U561)&amp;""))</f>
        <v/>
      </c>
      <c r="N561">
        <f>IF($U561="","",IF(ISNUMBER(INDEX(상세표[시작],$U561)),TEXT(INDEX(상세표[시작],$U561),"yyyy-mm-dd hh:mm"),INDEX(상세표[시작],$U561)&amp;""))</f>
        <v/>
      </c>
      <c r="O561">
        <f>IF($U561="","",IF(ISNUMBER(INDEX(상세표[종료],$U561)),TEXT(INDEX(상세표[종료],$U561),"yyyy-mm-dd hh:mm"),INDEX(상세표[종료],$U561)&amp;""))</f>
        <v/>
      </c>
      <c r="P561">
        <f>IF($U561="","",INDEX(상세표[06~07시],$U561))</f>
        <v/>
      </c>
      <c r="Q561">
        <f>IF($U561="","",INDEX(상세표[07~18시],$U561))</f>
        <v/>
      </c>
      <c r="R561">
        <f>IF($U561="","",INDEX(상세표[18~22시],$U561))</f>
        <v/>
      </c>
      <c r="S561">
        <f>IF($U561="","",INDEX(상세표[22~06시],$U561))</f>
        <v/>
      </c>
      <c r="T561">
        <f>IF($U561="","",INDEX(상세표[기록 시간외],$U561))</f>
        <v/>
      </c>
      <c r="U561" s="4">
        <f>IFERROR(MATCH(556,상세표[발송순번],0),"")</f>
        <v/>
      </c>
    </row>
    <row r="562">
      <c r="J562">
        <f>IF($U562="","",INDEX(상세표[사번],$U562)&amp;"")</f>
        <v/>
      </c>
      <c r="K562">
        <f>IF($U562="","",INDEX(상세표[성명],$U562)&amp;"")</f>
        <v/>
      </c>
      <c r="L562">
        <f>IF($U562="","",INDEX(상세표[직위],$U562)&amp;"")</f>
        <v/>
      </c>
      <c r="M562">
        <f>IF($U562="","",IF(ISNUMBER(INDEX(상세표[근무일자],$U562)),TEXT(INDEX(상세표[근무일자],$U562),"yyyy-mm-dd"),INDEX(상세표[근무일자],$U562)&amp;""))</f>
        <v/>
      </c>
      <c r="N562">
        <f>IF($U562="","",IF(ISNUMBER(INDEX(상세표[시작],$U562)),TEXT(INDEX(상세표[시작],$U562),"yyyy-mm-dd hh:mm"),INDEX(상세표[시작],$U562)&amp;""))</f>
        <v/>
      </c>
      <c r="O562">
        <f>IF($U562="","",IF(ISNUMBER(INDEX(상세표[종료],$U562)),TEXT(INDEX(상세표[종료],$U562),"yyyy-mm-dd hh:mm"),INDEX(상세표[종료],$U562)&amp;""))</f>
        <v/>
      </c>
      <c r="P562">
        <f>IF($U562="","",INDEX(상세표[06~07시],$U562))</f>
        <v/>
      </c>
      <c r="Q562">
        <f>IF($U562="","",INDEX(상세표[07~18시],$U562))</f>
        <v/>
      </c>
      <c r="R562">
        <f>IF($U562="","",INDEX(상세표[18~22시],$U562))</f>
        <v/>
      </c>
      <c r="S562">
        <f>IF($U562="","",INDEX(상세표[22~06시],$U562))</f>
        <v/>
      </c>
      <c r="T562">
        <f>IF($U562="","",INDEX(상세표[기록 시간외],$U562))</f>
        <v/>
      </c>
      <c r="U562" s="4">
        <f>IFERROR(MATCH(557,상세표[발송순번],0),"")</f>
        <v/>
      </c>
    </row>
    <row r="563">
      <c r="J563">
        <f>IF($U563="","",INDEX(상세표[사번],$U563)&amp;"")</f>
        <v/>
      </c>
      <c r="K563">
        <f>IF($U563="","",INDEX(상세표[성명],$U563)&amp;"")</f>
        <v/>
      </c>
      <c r="L563">
        <f>IF($U563="","",INDEX(상세표[직위],$U563)&amp;"")</f>
        <v/>
      </c>
      <c r="M563">
        <f>IF($U563="","",IF(ISNUMBER(INDEX(상세표[근무일자],$U563)),TEXT(INDEX(상세표[근무일자],$U563),"yyyy-mm-dd"),INDEX(상세표[근무일자],$U563)&amp;""))</f>
        <v/>
      </c>
      <c r="N563">
        <f>IF($U563="","",IF(ISNUMBER(INDEX(상세표[시작],$U563)),TEXT(INDEX(상세표[시작],$U563),"yyyy-mm-dd hh:mm"),INDEX(상세표[시작],$U563)&amp;""))</f>
        <v/>
      </c>
      <c r="O563">
        <f>IF($U563="","",IF(ISNUMBER(INDEX(상세표[종료],$U563)),TEXT(INDEX(상세표[종료],$U563),"yyyy-mm-dd hh:mm"),INDEX(상세표[종료],$U563)&amp;""))</f>
        <v/>
      </c>
      <c r="P563">
        <f>IF($U563="","",INDEX(상세표[06~07시],$U563))</f>
        <v/>
      </c>
      <c r="Q563">
        <f>IF($U563="","",INDEX(상세표[07~18시],$U563))</f>
        <v/>
      </c>
      <c r="R563">
        <f>IF($U563="","",INDEX(상세표[18~22시],$U563))</f>
        <v/>
      </c>
      <c r="S563">
        <f>IF($U563="","",INDEX(상세표[22~06시],$U563))</f>
        <v/>
      </c>
      <c r="T563">
        <f>IF($U563="","",INDEX(상세표[기록 시간외],$U563))</f>
        <v/>
      </c>
      <c r="U563" s="4">
        <f>IFERROR(MATCH(558,상세표[발송순번],0),"")</f>
        <v/>
      </c>
    </row>
    <row r="564">
      <c r="J564">
        <f>IF($U564="","",INDEX(상세표[사번],$U564)&amp;"")</f>
        <v/>
      </c>
      <c r="K564">
        <f>IF($U564="","",INDEX(상세표[성명],$U564)&amp;"")</f>
        <v/>
      </c>
      <c r="L564">
        <f>IF($U564="","",INDEX(상세표[직위],$U564)&amp;"")</f>
        <v/>
      </c>
      <c r="M564">
        <f>IF($U564="","",IF(ISNUMBER(INDEX(상세표[근무일자],$U564)),TEXT(INDEX(상세표[근무일자],$U564),"yyyy-mm-dd"),INDEX(상세표[근무일자],$U564)&amp;""))</f>
        <v/>
      </c>
      <c r="N564">
        <f>IF($U564="","",IF(ISNUMBER(INDEX(상세표[시작],$U564)),TEXT(INDEX(상세표[시작],$U564),"yyyy-mm-dd hh:mm"),INDEX(상세표[시작],$U564)&amp;""))</f>
        <v/>
      </c>
      <c r="O564">
        <f>IF($U564="","",IF(ISNUMBER(INDEX(상세표[종료],$U564)),TEXT(INDEX(상세표[종료],$U564),"yyyy-mm-dd hh:mm"),INDEX(상세표[종료],$U564)&amp;""))</f>
        <v/>
      </c>
      <c r="P564">
        <f>IF($U564="","",INDEX(상세표[06~07시],$U564))</f>
        <v/>
      </c>
      <c r="Q564">
        <f>IF($U564="","",INDEX(상세표[07~18시],$U564))</f>
        <v/>
      </c>
      <c r="R564">
        <f>IF($U564="","",INDEX(상세표[18~22시],$U564))</f>
        <v/>
      </c>
      <c r="S564">
        <f>IF($U564="","",INDEX(상세표[22~06시],$U564))</f>
        <v/>
      </c>
      <c r="T564">
        <f>IF($U564="","",INDEX(상세표[기록 시간외],$U564))</f>
        <v/>
      </c>
      <c r="U564" s="4">
        <f>IFERROR(MATCH(559,상세표[발송순번],0),"")</f>
        <v/>
      </c>
    </row>
    <row r="565">
      <c r="J565">
        <f>IF($U565="","",INDEX(상세표[사번],$U565)&amp;"")</f>
        <v/>
      </c>
      <c r="K565">
        <f>IF($U565="","",INDEX(상세표[성명],$U565)&amp;"")</f>
        <v/>
      </c>
      <c r="L565">
        <f>IF($U565="","",INDEX(상세표[직위],$U565)&amp;"")</f>
        <v/>
      </c>
      <c r="M565">
        <f>IF($U565="","",IF(ISNUMBER(INDEX(상세표[근무일자],$U565)),TEXT(INDEX(상세표[근무일자],$U565),"yyyy-mm-dd"),INDEX(상세표[근무일자],$U565)&amp;""))</f>
        <v/>
      </c>
      <c r="N565">
        <f>IF($U565="","",IF(ISNUMBER(INDEX(상세표[시작],$U565)),TEXT(INDEX(상세표[시작],$U565),"yyyy-mm-dd hh:mm"),INDEX(상세표[시작],$U565)&amp;""))</f>
        <v/>
      </c>
      <c r="O565">
        <f>IF($U565="","",IF(ISNUMBER(INDEX(상세표[종료],$U565)),TEXT(INDEX(상세표[종료],$U565),"yyyy-mm-dd hh:mm"),INDEX(상세표[종료],$U565)&amp;""))</f>
        <v/>
      </c>
      <c r="P565">
        <f>IF($U565="","",INDEX(상세표[06~07시],$U565))</f>
        <v/>
      </c>
      <c r="Q565">
        <f>IF($U565="","",INDEX(상세표[07~18시],$U565))</f>
        <v/>
      </c>
      <c r="R565">
        <f>IF($U565="","",INDEX(상세표[18~22시],$U565))</f>
        <v/>
      </c>
      <c r="S565">
        <f>IF($U565="","",INDEX(상세표[22~06시],$U565))</f>
        <v/>
      </c>
      <c r="T565">
        <f>IF($U565="","",INDEX(상세표[기록 시간외],$U565))</f>
        <v/>
      </c>
      <c r="U565" s="4">
        <f>IFERROR(MATCH(560,상세표[발송순번],0),"")</f>
        <v/>
      </c>
    </row>
    <row r="566">
      <c r="J566">
        <f>IF($U566="","",INDEX(상세표[사번],$U566)&amp;"")</f>
        <v/>
      </c>
      <c r="K566">
        <f>IF($U566="","",INDEX(상세표[성명],$U566)&amp;"")</f>
        <v/>
      </c>
      <c r="L566">
        <f>IF($U566="","",INDEX(상세표[직위],$U566)&amp;"")</f>
        <v/>
      </c>
      <c r="M566">
        <f>IF($U566="","",IF(ISNUMBER(INDEX(상세표[근무일자],$U566)),TEXT(INDEX(상세표[근무일자],$U566),"yyyy-mm-dd"),INDEX(상세표[근무일자],$U566)&amp;""))</f>
        <v/>
      </c>
      <c r="N566">
        <f>IF($U566="","",IF(ISNUMBER(INDEX(상세표[시작],$U566)),TEXT(INDEX(상세표[시작],$U566),"yyyy-mm-dd hh:mm"),INDEX(상세표[시작],$U566)&amp;""))</f>
        <v/>
      </c>
      <c r="O566">
        <f>IF($U566="","",IF(ISNUMBER(INDEX(상세표[종료],$U566)),TEXT(INDEX(상세표[종료],$U566),"yyyy-mm-dd hh:mm"),INDEX(상세표[종료],$U566)&amp;""))</f>
        <v/>
      </c>
      <c r="P566">
        <f>IF($U566="","",INDEX(상세표[06~07시],$U566))</f>
        <v/>
      </c>
      <c r="Q566">
        <f>IF($U566="","",INDEX(상세표[07~18시],$U566))</f>
        <v/>
      </c>
      <c r="R566">
        <f>IF($U566="","",INDEX(상세표[18~22시],$U566))</f>
        <v/>
      </c>
      <c r="S566">
        <f>IF($U566="","",INDEX(상세표[22~06시],$U566))</f>
        <v/>
      </c>
      <c r="T566">
        <f>IF($U566="","",INDEX(상세표[기록 시간외],$U566))</f>
        <v/>
      </c>
      <c r="U566" s="4">
        <f>IFERROR(MATCH(561,상세표[발송순번],0),"")</f>
        <v/>
      </c>
    </row>
    <row r="567">
      <c r="J567">
        <f>IF($U567="","",INDEX(상세표[사번],$U567)&amp;"")</f>
        <v/>
      </c>
      <c r="K567">
        <f>IF($U567="","",INDEX(상세표[성명],$U567)&amp;"")</f>
        <v/>
      </c>
      <c r="L567">
        <f>IF($U567="","",INDEX(상세표[직위],$U567)&amp;"")</f>
        <v/>
      </c>
      <c r="M567">
        <f>IF($U567="","",IF(ISNUMBER(INDEX(상세표[근무일자],$U567)),TEXT(INDEX(상세표[근무일자],$U567),"yyyy-mm-dd"),INDEX(상세표[근무일자],$U567)&amp;""))</f>
        <v/>
      </c>
      <c r="N567">
        <f>IF($U567="","",IF(ISNUMBER(INDEX(상세표[시작],$U567)),TEXT(INDEX(상세표[시작],$U567),"yyyy-mm-dd hh:mm"),INDEX(상세표[시작],$U567)&amp;""))</f>
        <v/>
      </c>
      <c r="O567">
        <f>IF($U567="","",IF(ISNUMBER(INDEX(상세표[종료],$U567)),TEXT(INDEX(상세표[종료],$U567),"yyyy-mm-dd hh:mm"),INDEX(상세표[종료],$U567)&amp;""))</f>
        <v/>
      </c>
      <c r="P567">
        <f>IF($U567="","",INDEX(상세표[06~07시],$U567))</f>
        <v/>
      </c>
      <c r="Q567">
        <f>IF($U567="","",INDEX(상세표[07~18시],$U567))</f>
        <v/>
      </c>
      <c r="R567">
        <f>IF($U567="","",INDEX(상세표[18~22시],$U567))</f>
        <v/>
      </c>
      <c r="S567">
        <f>IF($U567="","",INDEX(상세표[22~06시],$U567))</f>
        <v/>
      </c>
      <c r="T567">
        <f>IF($U567="","",INDEX(상세표[기록 시간외],$U567))</f>
        <v/>
      </c>
      <c r="U567" s="4">
        <f>IFERROR(MATCH(562,상세표[발송순번],0),"")</f>
        <v/>
      </c>
    </row>
    <row r="568">
      <c r="J568">
        <f>IF($U568="","",INDEX(상세표[사번],$U568)&amp;"")</f>
        <v/>
      </c>
      <c r="K568">
        <f>IF($U568="","",INDEX(상세표[성명],$U568)&amp;"")</f>
        <v/>
      </c>
      <c r="L568">
        <f>IF($U568="","",INDEX(상세표[직위],$U568)&amp;"")</f>
        <v/>
      </c>
      <c r="M568">
        <f>IF($U568="","",IF(ISNUMBER(INDEX(상세표[근무일자],$U568)),TEXT(INDEX(상세표[근무일자],$U568),"yyyy-mm-dd"),INDEX(상세표[근무일자],$U568)&amp;""))</f>
        <v/>
      </c>
      <c r="N568">
        <f>IF($U568="","",IF(ISNUMBER(INDEX(상세표[시작],$U568)),TEXT(INDEX(상세표[시작],$U568),"yyyy-mm-dd hh:mm"),INDEX(상세표[시작],$U568)&amp;""))</f>
        <v/>
      </c>
      <c r="O568">
        <f>IF($U568="","",IF(ISNUMBER(INDEX(상세표[종료],$U568)),TEXT(INDEX(상세표[종료],$U568),"yyyy-mm-dd hh:mm"),INDEX(상세표[종료],$U568)&amp;""))</f>
        <v/>
      </c>
      <c r="P568">
        <f>IF($U568="","",INDEX(상세표[06~07시],$U568))</f>
        <v/>
      </c>
      <c r="Q568">
        <f>IF($U568="","",INDEX(상세표[07~18시],$U568))</f>
        <v/>
      </c>
      <c r="R568">
        <f>IF($U568="","",INDEX(상세표[18~22시],$U568))</f>
        <v/>
      </c>
      <c r="S568">
        <f>IF($U568="","",INDEX(상세표[22~06시],$U568))</f>
        <v/>
      </c>
      <c r="T568">
        <f>IF($U568="","",INDEX(상세표[기록 시간외],$U568))</f>
        <v/>
      </c>
      <c r="U568" s="4">
        <f>IFERROR(MATCH(563,상세표[발송순번],0),"")</f>
        <v/>
      </c>
    </row>
    <row r="569">
      <c r="J569">
        <f>IF($U569="","",INDEX(상세표[사번],$U569)&amp;"")</f>
        <v/>
      </c>
      <c r="K569">
        <f>IF($U569="","",INDEX(상세표[성명],$U569)&amp;"")</f>
        <v/>
      </c>
      <c r="L569">
        <f>IF($U569="","",INDEX(상세표[직위],$U569)&amp;"")</f>
        <v/>
      </c>
      <c r="M569">
        <f>IF($U569="","",IF(ISNUMBER(INDEX(상세표[근무일자],$U569)),TEXT(INDEX(상세표[근무일자],$U569),"yyyy-mm-dd"),INDEX(상세표[근무일자],$U569)&amp;""))</f>
        <v/>
      </c>
      <c r="N569">
        <f>IF($U569="","",IF(ISNUMBER(INDEX(상세표[시작],$U569)),TEXT(INDEX(상세표[시작],$U569),"yyyy-mm-dd hh:mm"),INDEX(상세표[시작],$U569)&amp;""))</f>
        <v/>
      </c>
      <c r="O569">
        <f>IF($U569="","",IF(ISNUMBER(INDEX(상세표[종료],$U569)),TEXT(INDEX(상세표[종료],$U569),"yyyy-mm-dd hh:mm"),INDEX(상세표[종료],$U569)&amp;""))</f>
        <v/>
      </c>
      <c r="P569">
        <f>IF($U569="","",INDEX(상세표[06~07시],$U569))</f>
        <v/>
      </c>
      <c r="Q569">
        <f>IF($U569="","",INDEX(상세표[07~18시],$U569))</f>
        <v/>
      </c>
      <c r="R569">
        <f>IF($U569="","",INDEX(상세표[18~22시],$U569))</f>
        <v/>
      </c>
      <c r="S569">
        <f>IF($U569="","",INDEX(상세표[22~06시],$U569))</f>
        <v/>
      </c>
      <c r="T569">
        <f>IF($U569="","",INDEX(상세표[기록 시간외],$U569))</f>
        <v/>
      </c>
      <c r="U569" s="4">
        <f>IFERROR(MATCH(564,상세표[발송순번],0),"")</f>
        <v/>
      </c>
    </row>
    <row r="570">
      <c r="J570">
        <f>IF($U570="","",INDEX(상세표[사번],$U570)&amp;"")</f>
        <v/>
      </c>
      <c r="K570">
        <f>IF($U570="","",INDEX(상세표[성명],$U570)&amp;"")</f>
        <v/>
      </c>
      <c r="L570">
        <f>IF($U570="","",INDEX(상세표[직위],$U570)&amp;"")</f>
        <v/>
      </c>
      <c r="M570">
        <f>IF($U570="","",IF(ISNUMBER(INDEX(상세표[근무일자],$U570)),TEXT(INDEX(상세표[근무일자],$U570),"yyyy-mm-dd"),INDEX(상세표[근무일자],$U570)&amp;""))</f>
        <v/>
      </c>
      <c r="N570">
        <f>IF($U570="","",IF(ISNUMBER(INDEX(상세표[시작],$U570)),TEXT(INDEX(상세표[시작],$U570),"yyyy-mm-dd hh:mm"),INDEX(상세표[시작],$U570)&amp;""))</f>
        <v/>
      </c>
      <c r="O570">
        <f>IF($U570="","",IF(ISNUMBER(INDEX(상세표[종료],$U570)),TEXT(INDEX(상세표[종료],$U570),"yyyy-mm-dd hh:mm"),INDEX(상세표[종료],$U570)&amp;""))</f>
        <v/>
      </c>
      <c r="P570">
        <f>IF($U570="","",INDEX(상세표[06~07시],$U570))</f>
        <v/>
      </c>
      <c r="Q570">
        <f>IF($U570="","",INDEX(상세표[07~18시],$U570))</f>
        <v/>
      </c>
      <c r="R570">
        <f>IF($U570="","",INDEX(상세표[18~22시],$U570))</f>
        <v/>
      </c>
      <c r="S570">
        <f>IF($U570="","",INDEX(상세표[22~06시],$U570))</f>
        <v/>
      </c>
      <c r="T570">
        <f>IF($U570="","",INDEX(상세표[기록 시간외],$U570))</f>
        <v/>
      </c>
      <c r="U570" s="4">
        <f>IFERROR(MATCH(565,상세표[발송순번],0),"")</f>
        <v/>
      </c>
    </row>
    <row r="571">
      <c r="J571">
        <f>IF($U571="","",INDEX(상세표[사번],$U571)&amp;"")</f>
        <v/>
      </c>
      <c r="K571">
        <f>IF($U571="","",INDEX(상세표[성명],$U571)&amp;"")</f>
        <v/>
      </c>
      <c r="L571">
        <f>IF($U571="","",INDEX(상세표[직위],$U571)&amp;"")</f>
        <v/>
      </c>
      <c r="M571">
        <f>IF($U571="","",IF(ISNUMBER(INDEX(상세표[근무일자],$U571)),TEXT(INDEX(상세표[근무일자],$U571),"yyyy-mm-dd"),INDEX(상세표[근무일자],$U571)&amp;""))</f>
        <v/>
      </c>
      <c r="N571">
        <f>IF($U571="","",IF(ISNUMBER(INDEX(상세표[시작],$U571)),TEXT(INDEX(상세표[시작],$U571),"yyyy-mm-dd hh:mm"),INDEX(상세표[시작],$U571)&amp;""))</f>
        <v/>
      </c>
      <c r="O571">
        <f>IF($U571="","",IF(ISNUMBER(INDEX(상세표[종료],$U571)),TEXT(INDEX(상세표[종료],$U571),"yyyy-mm-dd hh:mm"),INDEX(상세표[종료],$U571)&amp;""))</f>
        <v/>
      </c>
      <c r="P571">
        <f>IF($U571="","",INDEX(상세표[06~07시],$U571))</f>
        <v/>
      </c>
      <c r="Q571">
        <f>IF($U571="","",INDEX(상세표[07~18시],$U571))</f>
        <v/>
      </c>
      <c r="R571">
        <f>IF($U571="","",INDEX(상세표[18~22시],$U571))</f>
        <v/>
      </c>
      <c r="S571">
        <f>IF($U571="","",INDEX(상세표[22~06시],$U571))</f>
        <v/>
      </c>
      <c r="T571">
        <f>IF($U571="","",INDEX(상세표[기록 시간외],$U571))</f>
        <v/>
      </c>
      <c r="U571" s="4">
        <f>IFERROR(MATCH(566,상세표[발송순번],0),"")</f>
        <v/>
      </c>
    </row>
    <row r="572">
      <c r="J572">
        <f>IF($U572="","",INDEX(상세표[사번],$U572)&amp;"")</f>
        <v/>
      </c>
      <c r="K572">
        <f>IF($U572="","",INDEX(상세표[성명],$U572)&amp;"")</f>
        <v/>
      </c>
      <c r="L572">
        <f>IF($U572="","",INDEX(상세표[직위],$U572)&amp;"")</f>
        <v/>
      </c>
      <c r="M572">
        <f>IF($U572="","",IF(ISNUMBER(INDEX(상세표[근무일자],$U572)),TEXT(INDEX(상세표[근무일자],$U572),"yyyy-mm-dd"),INDEX(상세표[근무일자],$U572)&amp;""))</f>
        <v/>
      </c>
      <c r="N572">
        <f>IF($U572="","",IF(ISNUMBER(INDEX(상세표[시작],$U572)),TEXT(INDEX(상세표[시작],$U572),"yyyy-mm-dd hh:mm"),INDEX(상세표[시작],$U572)&amp;""))</f>
        <v/>
      </c>
      <c r="O572">
        <f>IF($U572="","",IF(ISNUMBER(INDEX(상세표[종료],$U572)),TEXT(INDEX(상세표[종료],$U572),"yyyy-mm-dd hh:mm"),INDEX(상세표[종료],$U572)&amp;""))</f>
        <v/>
      </c>
      <c r="P572">
        <f>IF($U572="","",INDEX(상세표[06~07시],$U572))</f>
        <v/>
      </c>
      <c r="Q572">
        <f>IF($U572="","",INDEX(상세표[07~18시],$U572))</f>
        <v/>
      </c>
      <c r="R572">
        <f>IF($U572="","",INDEX(상세표[18~22시],$U572))</f>
        <v/>
      </c>
      <c r="S572">
        <f>IF($U572="","",INDEX(상세표[22~06시],$U572))</f>
        <v/>
      </c>
      <c r="T572">
        <f>IF($U572="","",INDEX(상세표[기록 시간외],$U572))</f>
        <v/>
      </c>
      <c r="U572" s="4">
        <f>IFERROR(MATCH(567,상세표[발송순번],0),"")</f>
        <v/>
      </c>
    </row>
    <row r="573">
      <c r="J573">
        <f>IF($U573="","",INDEX(상세표[사번],$U573)&amp;"")</f>
        <v/>
      </c>
      <c r="K573">
        <f>IF($U573="","",INDEX(상세표[성명],$U573)&amp;"")</f>
        <v/>
      </c>
      <c r="L573">
        <f>IF($U573="","",INDEX(상세표[직위],$U573)&amp;"")</f>
        <v/>
      </c>
      <c r="M573">
        <f>IF($U573="","",IF(ISNUMBER(INDEX(상세표[근무일자],$U573)),TEXT(INDEX(상세표[근무일자],$U573),"yyyy-mm-dd"),INDEX(상세표[근무일자],$U573)&amp;""))</f>
        <v/>
      </c>
      <c r="N573">
        <f>IF($U573="","",IF(ISNUMBER(INDEX(상세표[시작],$U573)),TEXT(INDEX(상세표[시작],$U573),"yyyy-mm-dd hh:mm"),INDEX(상세표[시작],$U573)&amp;""))</f>
        <v/>
      </c>
      <c r="O573">
        <f>IF($U573="","",IF(ISNUMBER(INDEX(상세표[종료],$U573)),TEXT(INDEX(상세표[종료],$U573),"yyyy-mm-dd hh:mm"),INDEX(상세표[종료],$U573)&amp;""))</f>
        <v/>
      </c>
      <c r="P573">
        <f>IF($U573="","",INDEX(상세표[06~07시],$U573))</f>
        <v/>
      </c>
      <c r="Q573">
        <f>IF($U573="","",INDEX(상세표[07~18시],$U573))</f>
        <v/>
      </c>
      <c r="R573">
        <f>IF($U573="","",INDEX(상세표[18~22시],$U573))</f>
        <v/>
      </c>
      <c r="S573">
        <f>IF($U573="","",INDEX(상세표[22~06시],$U573))</f>
        <v/>
      </c>
      <c r="T573">
        <f>IF($U573="","",INDEX(상세표[기록 시간외],$U573))</f>
        <v/>
      </c>
      <c r="U573" s="4">
        <f>IFERROR(MATCH(568,상세표[발송순번],0),"")</f>
        <v/>
      </c>
    </row>
    <row r="574">
      <c r="J574">
        <f>IF($U574="","",INDEX(상세표[사번],$U574)&amp;"")</f>
        <v/>
      </c>
      <c r="K574">
        <f>IF($U574="","",INDEX(상세표[성명],$U574)&amp;"")</f>
        <v/>
      </c>
      <c r="L574">
        <f>IF($U574="","",INDEX(상세표[직위],$U574)&amp;"")</f>
        <v/>
      </c>
      <c r="M574">
        <f>IF($U574="","",IF(ISNUMBER(INDEX(상세표[근무일자],$U574)),TEXT(INDEX(상세표[근무일자],$U574),"yyyy-mm-dd"),INDEX(상세표[근무일자],$U574)&amp;""))</f>
        <v/>
      </c>
      <c r="N574">
        <f>IF($U574="","",IF(ISNUMBER(INDEX(상세표[시작],$U574)),TEXT(INDEX(상세표[시작],$U574),"yyyy-mm-dd hh:mm"),INDEX(상세표[시작],$U574)&amp;""))</f>
        <v/>
      </c>
      <c r="O574">
        <f>IF($U574="","",IF(ISNUMBER(INDEX(상세표[종료],$U574)),TEXT(INDEX(상세표[종료],$U574),"yyyy-mm-dd hh:mm"),INDEX(상세표[종료],$U574)&amp;""))</f>
        <v/>
      </c>
      <c r="P574">
        <f>IF($U574="","",INDEX(상세표[06~07시],$U574))</f>
        <v/>
      </c>
      <c r="Q574">
        <f>IF($U574="","",INDEX(상세표[07~18시],$U574))</f>
        <v/>
      </c>
      <c r="R574">
        <f>IF($U574="","",INDEX(상세표[18~22시],$U574))</f>
        <v/>
      </c>
      <c r="S574">
        <f>IF($U574="","",INDEX(상세표[22~06시],$U574))</f>
        <v/>
      </c>
      <c r="T574">
        <f>IF($U574="","",INDEX(상세표[기록 시간외],$U574))</f>
        <v/>
      </c>
      <c r="U574" s="4">
        <f>IFERROR(MATCH(569,상세표[발송순번],0),"")</f>
        <v/>
      </c>
    </row>
    <row r="575">
      <c r="J575">
        <f>IF($U575="","",INDEX(상세표[사번],$U575)&amp;"")</f>
        <v/>
      </c>
      <c r="K575">
        <f>IF($U575="","",INDEX(상세표[성명],$U575)&amp;"")</f>
        <v/>
      </c>
      <c r="L575">
        <f>IF($U575="","",INDEX(상세표[직위],$U575)&amp;"")</f>
        <v/>
      </c>
      <c r="M575">
        <f>IF($U575="","",IF(ISNUMBER(INDEX(상세표[근무일자],$U575)),TEXT(INDEX(상세표[근무일자],$U575),"yyyy-mm-dd"),INDEX(상세표[근무일자],$U575)&amp;""))</f>
        <v/>
      </c>
      <c r="N575">
        <f>IF($U575="","",IF(ISNUMBER(INDEX(상세표[시작],$U575)),TEXT(INDEX(상세표[시작],$U575),"yyyy-mm-dd hh:mm"),INDEX(상세표[시작],$U575)&amp;""))</f>
        <v/>
      </c>
      <c r="O575">
        <f>IF($U575="","",IF(ISNUMBER(INDEX(상세표[종료],$U575)),TEXT(INDEX(상세표[종료],$U575),"yyyy-mm-dd hh:mm"),INDEX(상세표[종료],$U575)&amp;""))</f>
        <v/>
      </c>
      <c r="P575">
        <f>IF($U575="","",INDEX(상세표[06~07시],$U575))</f>
        <v/>
      </c>
      <c r="Q575">
        <f>IF($U575="","",INDEX(상세표[07~18시],$U575))</f>
        <v/>
      </c>
      <c r="R575">
        <f>IF($U575="","",INDEX(상세표[18~22시],$U575))</f>
        <v/>
      </c>
      <c r="S575">
        <f>IF($U575="","",INDEX(상세표[22~06시],$U575))</f>
        <v/>
      </c>
      <c r="T575">
        <f>IF($U575="","",INDEX(상세표[기록 시간외],$U575))</f>
        <v/>
      </c>
      <c r="U575" s="4">
        <f>IFERROR(MATCH(570,상세표[발송순번],0),"")</f>
        <v/>
      </c>
    </row>
    <row r="576">
      <c r="J576">
        <f>IF($U576="","",INDEX(상세표[사번],$U576)&amp;"")</f>
        <v/>
      </c>
      <c r="K576">
        <f>IF($U576="","",INDEX(상세표[성명],$U576)&amp;"")</f>
        <v/>
      </c>
      <c r="L576">
        <f>IF($U576="","",INDEX(상세표[직위],$U576)&amp;"")</f>
        <v/>
      </c>
      <c r="M576">
        <f>IF($U576="","",IF(ISNUMBER(INDEX(상세표[근무일자],$U576)),TEXT(INDEX(상세표[근무일자],$U576),"yyyy-mm-dd"),INDEX(상세표[근무일자],$U576)&amp;""))</f>
        <v/>
      </c>
      <c r="N576">
        <f>IF($U576="","",IF(ISNUMBER(INDEX(상세표[시작],$U576)),TEXT(INDEX(상세표[시작],$U576),"yyyy-mm-dd hh:mm"),INDEX(상세표[시작],$U576)&amp;""))</f>
        <v/>
      </c>
      <c r="O576">
        <f>IF($U576="","",IF(ISNUMBER(INDEX(상세표[종료],$U576)),TEXT(INDEX(상세표[종료],$U576),"yyyy-mm-dd hh:mm"),INDEX(상세표[종료],$U576)&amp;""))</f>
        <v/>
      </c>
      <c r="P576">
        <f>IF($U576="","",INDEX(상세표[06~07시],$U576))</f>
        <v/>
      </c>
      <c r="Q576">
        <f>IF($U576="","",INDEX(상세표[07~18시],$U576))</f>
        <v/>
      </c>
      <c r="R576">
        <f>IF($U576="","",INDEX(상세표[18~22시],$U576))</f>
        <v/>
      </c>
      <c r="S576">
        <f>IF($U576="","",INDEX(상세표[22~06시],$U576))</f>
        <v/>
      </c>
      <c r="T576">
        <f>IF($U576="","",INDEX(상세표[기록 시간외],$U576))</f>
        <v/>
      </c>
      <c r="U576" s="4">
        <f>IFERROR(MATCH(571,상세표[발송순번],0),"")</f>
        <v/>
      </c>
    </row>
    <row r="577">
      <c r="J577">
        <f>IF($U577="","",INDEX(상세표[사번],$U577)&amp;"")</f>
        <v/>
      </c>
      <c r="K577">
        <f>IF($U577="","",INDEX(상세표[성명],$U577)&amp;"")</f>
        <v/>
      </c>
      <c r="L577">
        <f>IF($U577="","",INDEX(상세표[직위],$U577)&amp;"")</f>
        <v/>
      </c>
      <c r="M577">
        <f>IF($U577="","",IF(ISNUMBER(INDEX(상세표[근무일자],$U577)),TEXT(INDEX(상세표[근무일자],$U577),"yyyy-mm-dd"),INDEX(상세표[근무일자],$U577)&amp;""))</f>
        <v/>
      </c>
      <c r="N577">
        <f>IF($U577="","",IF(ISNUMBER(INDEX(상세표[시작],$U577)),TEXT(INDEX(상세표[시작],$U577),"yyyy-mm-dd hh:mm"),INDEX(상세표[시작],$U577)&amp;""))</f>
        <v/>
      </c>
      <c r="O577">
        <f>IF($U577="","",IF(ISNUMBER(INDEX(상세표[종료],$U577)),TEXT(INDEX(상세표[종료],$U577),"yyyy-mm-dd hh:mm"),INDEX(상세표[종료],$U577)&amp;""))</f>
        <v/>
      </c>
      <c r="P577">
        <f>IF($U577="","",INDEX(상세표[06~07시],$U577))</f>
        <v/>
      </c>
      <c r="Q577">
        <f>IF($U577="","",INDEX(상세표[07~18시],$U577))</f>
        <v/>
      </c>
      <c r="R577">
        <f>IF($U577="","",INDEX(상세표[18~22시],$U577))</f>
        <v/>
      </c>
      <c r="S577">
        <f>IF($U577="","",INDEX(상세표[22~06시],$U577))</f>
        <v/>
      </c>
      <c r="T577">
        <f>IF($U577="","",INDEX(상세표[기록 시간외],$U577))</f>
        <v/>
      </c>
      <c r="U577" s="4">
        <f>IFERROR(MATCH(572,상세표[발송순번],0),"")</f>
        <v/>
      </c>
    </row>
    <row r="578">
      <c r="J578">
        <f>IF($U578="","",INDEX(상세표[사번],$U578)&amp;"")</f>
        <v/>
      </c>
      <c r="K578">
        <f>IF($U578="","",INDEX(상세표[성명],$U578)&amp;"")</f>
        <v/>
      </c>
      <c r="L578">
        <f>IF($U578="","",INDEX(상세표[직위],$U578)&amp;"")</f>
        <v/>
      </c>
      <c r="M578">
        <f>IF($U578="","",IF(ISNUMBER(INDEX(상세표[근무일자],$U578)),TEXT(INDEX(상세표[근무일자],$U578),"yyyy-mm-dd"),INDEX(상세표[근무일자],$U578)&amp;""))</f>
        <v/>
      </c>
      <c r="N578">
        <f>IF($U578="","",IF(ISNUMBER(INDEX(상세표[시작],$U578)),TEXT(INDEX(상세표[시작],$U578),"yyyy-mm-dd hh:mm"),INDEX(상세표[시작],$U578)&amp;""))</f>
        <v/>
      </c>
      <c r="O578">
        <f>IF($U578="","",IF(ISNUMBER(INDEX(상세표[종료],$U578)),TEXT(INDEX(상세표[종료],$U578),"yyyy-mm-dd hh:mm"),INDEX(상세표[종료],$U578)&amp;""))</f>
        <v/>
      </c>
      <c r="P578">
        <f>IF($U578="","",INDEX(상세표[06~07시],$U578))</f>
        <v/>
      </c>
      <c r="Q578">
        <f>IF($U578="","",INDEX(상세표[07~18시],$U578))</f>
        <v/>
      </c>
      <c r="R578">
        <f>IF($U578="","",INDEX(상세표[18~22시],$U578))</f>
        <v/>
      </c>
      <c r="S578">
        <f>IF($U578="","",INDEX(상세표[22~06시],$U578))</f>
        <v/>
      </c>
      <c r="T578">
        <f>IF($U578="","",INDEX(상세표[기록 시간외],$U578))</f>
        <v/>
      </c>
      <c r="U578" s="4">
        <f>IFERROR(MATCH(573,상세표[발송순번],0),"")</f>
        <v/>
      </c>
    </row>
    <row r="579">
      <c r="J579">
        <f>IF($U579="","",INDEX(상세표[사번],$U579)&amp;"")</f>
        <v/>
      </c>
      <c r="K579">
        <f>IF($U579="","",INDEX(상세표[성명],$U579)&amp;"")</f>
        <v/>
      </c>
      <c r="L579">
        <f>IF($U579="","",INDEX(상세표[직위],$U579)&amp;"")</f>
        <v/>
      </c>
      <c r="M579">
        <f>IF($U579="","",IF(ISNUMBER(INDEX(상세표[근무일자],$U579)),TEXT(INDEX(상세표[근무일자],$U579),"yyyy-mm-dd"),INDEX(상세표[근무일자],$U579)&amp;""))</f>
        <v/>
      </c>
      <c r="N579">
        <f>IF($U579="","",IF(ISNUMBER(INDEX(상세표[시작],$U579)),TEXT(INDEX(상세표[시작],$U579),"yyyy-mm-dd hh:mm"),INDEX(상세표[시작],$U579)&amp;""))</f>
        <v/>
      </c>
      <c r="O579">
        <f>IF($U579="","",IF(ISNUMBER(INDEX(상세표[종료],$U579)),TEXT(INDEX(상세표[종료],$U579),"yyyy-mm-dd hh:mm"),INDEX(상세표[종료],$U579)&amp;""))</f>
        <v/>
      </c>
      <c r="P579">
        <f>IF($U579="","",INDEX(상세표[06~07시],$U579))</f>
        <v/>
      </c>
      <c r="Q579">
        <f>IF($U579="","",INDEX(상세표[07~18시],$U579))</f>
        <v/>
      </c>
      <c r="R579">
        <f>IF($U579="","",INDEX(상세표[18~22시],$U579))</f>
        <v/>
      </c>
      <c r="S579">
        <f>IF($U579="","",INDEX(상세표[22~06시],$U579))</f>
        <v/>
      </c>
      <c r="T579">
        <f>IF($U579="","",INDEX(상세표[기록 시간외],$U579))</f>
        <v/>
      </c>
      <c r="U579" s="4">
        <f>IFERROR(MATCH(574,상세표[발송순번],0),"")</f>
        <v/>
      </c>
    </row>
    <row r="580">
      <c r="J580">
        <f>IF($U580="","",INDEX(상세표[사번],$U580)&amp;"")</f>
        <v/>
      </c>
      <c r="K580">
        <f>IF($U580="","",INDEX(상세표[성명],$U580)&amp;"")</f>
        <v/>
      </c>
      <c r="L580">
        <f>IF($U580="","",INDEX(상세표[직위],$U580)&amp;"")</f>
        <v/>
      </c>
      <c r="M580">
        <f>IF($U580="","",IF(ISNUMBER(INDEX(상세표[근무일자],$U580)),TEXT(INDEX(상세표[근무일자],$U580),"yyyy-mm-dd"),INDEX(상세표[근무일자],$U580)&amp;""))</f>
        <v/>
      </c>
      <c r="N580">
        <f>IF($U580="","",IF(ISNUMBER(INDEX(상세표[시작],$U580)),TEXT(INDEX(상세표[시작],$U580),"yyyy-mm-dd hh:mm"),INDEX(상세표[시작],$U580)&amp;""))</f>
        <v/>
      </c>
      <c r="O580">
        <f>IF($U580="","",IF(ISNUMBER(INDEX(상세표[종료],$U580)),TEXT(INDEX(상세표[종료],$U580),"yyyy-mm-dd hh:mm"),INDEX(상세표[종료],$U580)&amp;""))</f>
        <v/>
      </c>
      <c r="P580">
        <f>IF($U580="","",INDEX(상세표[06~07시],$U580))</f>
        <v/>
      </c>
      <c r="Q580">
        <f>IF($U580="","",INDEX(상세표[07~18시],$U580))</f>
        <v/>
      </c>
      <c r="R580">
        <f>IF($U580="","",INDEX(상세표[18~22시],$U580))</f>
        <v/>
      </c>
      <c r="S580">
        <f>IF($U580="","",INDEX(상세표[22~06시],$U580))</f>
        <v/>
      </c>
      <c r="T580">
        <f>IF($U580="","",INDEX(상세표[기록 시간외],$U580))</f>
        <v/>
      </c>
      <c r="U580" s="4">
        <f>IFERROR(MATCH(575,상세표[발송순번],0),"")</f>
        <v/>
      </c>
    </row>
    <row r="581">
      <c r="J581">
        <f>IF($U581="","",INDEX(상세표[사번],$U581)&amp;"")</f>
        <v/>
      </c>
      <c r="K581">
        <f>IF($U581="","",INDEX(상세표[성명],$U581)&amp;"")</f>
        <v/>
      </c>
      <c r="L581">
        <f>IF($U581="","",INDEX(상세표[직위],$U581)&amp;"")</f>
        <v/>
      </c>
      <c r="M581">
        <f>IF($U581="","",IF(ISNUMBER(INDEX(상세표[근무일자],$U581)),TEXT(INDEX(상세표[근무일자],$U581),"yyyy-mm-dd"),INDEX(상세표[근무일자],$U581)&amp;""))</f>
        <v/>
      </c>
      <c r="N581">
        <f>IF($U581="","",IF(ISNUMBER(INDEX(상세표[시작],$U581)),TEXT(INDEX(상세표[시작],$U581),"yyyy-mm-dd hh:mm"),INDEX(상세표[시작],$U581)&amp;""))</f>
        <v/>
      </c>
      <c r="O581">
        <f>IF($U581="","",IF(ISNUMBER(INDEX(상세표[종료],$U581)),TEXT(INDEX(상세표[종료],$U581),"yyyy-mm-dd hh:mm"),INDEX(상세표[종료],$U581)&amp;""))</f>
        <v/>
      </c>
      <c r="P581">
        <f>IF($U581="","",INDEX(상세표[06~07시],$U581))</f>
        <v/>
      </c>
      <c r="Q581">
        <f>IF($U581="","",INDEX(상세표[07~18시],$U581))</f>
        <v/>
      </c>
      <c r="R581">
        <f>IF($U581="","",INDEX(상세표[18~22시],$U581))</f>
        <v/>
      </c>
      <c r="S581">
        <f>IF($U581="","",INDEX(상세표[22~06시],$U581))</f>
        <v/>
      </c>
      <c r="T581">
        <f>IF($U581="","",INDEX(상세표[기록 시간외],$U581))</f>
        <v/>
      </c>
      <c r="U581" s="4">
        <f>IFERROR(MATCH(576,상세표[발송순번],0),"")</f>
        <v/>
      </c>
    </row>
    <row r="582">
      <c r="J582">
        <f>IF($U582="","",INDEX(상세표[사번],$U582)&amp;"")</f>
        <v/>
      </c>
      <c r="K582">
        <f>IF($U582="","",INDEX(상세표[성명],$U582)&amp;"")</f>
        <v/>
      </c>
      <c r="L582">
        <f>IF($U582="","",INDEX(상세표[직위],$U582)&amp;"")</f>
        <v/>
      </c>
      <c r="M582">
        <f>IF($U582="","",IF(ISNUMBER(INDEX(상세표[근무일자],$U582)),TEXT(INDEX(상세표[근무일자],$U582),"yyyy-mm-dd"),INDEX(상세표[근무일자],$U582)&amp;""))</f>
        <v/>
      </c>
      <c r="N582">
        <f>IF($U582="","",IF(ISNUMBER(INDEX(상세표[시작],$U582)),TEXT(INDEX(상세표[시작],$U582),"yyyy-mm-dd hh:mm"),INDEX(상세표[시작],$U582)&amp;""))</f>
        <v/>
      </c>
      <c r="O582">
        <f>IF($U582="","",IF(ISNUMBER(INDEX(상세표[종료],$U582)),TEXT(INDEX(상세표[종료],$U582),"yyyy-mm-dd hh:mm"),INDEX(상세표[종료],$U582)&amp;""))</f>
        <v/>
      </c>
      <c r="P582">
        <f>IF($U582="","",INDEX(상세표[06~07시],$U582))</f>
        <v/>
      </c>
      <c r="Q582">
        <f>IF($U582="","",INDEX(상세표[07~18시],$U582))</f>
        <v/>
      </c>
      <c r="R582">
        <f>IF($U582="","",INDEX(상세표[18~22시],$U582))</f>
        <v/>
      </c>
      <c r="S582">
        <f>IF($U582="","",INDEX(상세표[22~06시],$U582))</f>
        <v/>
      </c>
      <c r="T582">
        <f>IF($U582="","",INDEX(상세표[기록 시간외],$U582))</f>
        <v/>
      </c>
      <c r="U582" s="4">
        <f>IFERROR(MATCH(577,상세표[발송순번],0),"")</f>
        <v/>
      </c>
    </row>
    <row r="583">
      <c r="J583">
        <f>IF($U583="","",INDEX(상세표[사번],$U583)&amp;"")</f>
        <v/>
      </c>
      <c r="K583">
        <f>IF($U583="","",INDEX(상세표[성명],$U583)&amp;"")</f>
        <v/>
      </c>
      <c r="L583">
        <f>IF($U583="","",INDEX(상세표[직위],$U583)&amp;"")</f>
        <v/>
      </c>
      <c r="M583">
        <f>IF($U583="","",IF(ISNUMBER(INDEX(상세표[근무일자],$U583)),TEXT(INDEX(상세표[근무일자],$U583),"yyyy-mm-dd"),INDEX(상세표[근무일자],$U583)&amp;""))</f>
        <v/>
      </c>
      <c r="N583">
        <f>IF($U583="","",IF(ISNUMBER(INDEX(상세표[시작],$U583)),TEXT(INDEX(상세표[시작],$U583),"yyyy-mm-dd hh:mm"),INDEX(상세표[시작],$U583)&amp;""))</f>
        <v/>
      </c>
      <c r="O583">
        <f>IF($U583="","",IF(ISNUMBER(INDEX(상세표[종료],$U583)),TEXT(INDEX(상세표[종료],$U583),"yyyy-mm-dd hh:mm"),INDEX(상세표[종료],$U583)&amp;""))</f>
        <v/>
      </c>
      <c r="P583">
        <f>IF($U583="","",INDEX(상세표[06~07시],$U583))</f>
        <v/>
      </c>
      <c r="Q583">
        <f>IF($U583="","",INDEX(상세표[07~18시],$U583))</f>
        <v/>
      </c>
      <c r="R583">
        <f>IF($U583="","",INDEX(상세표[18~22시],$U583))</f>
        <v/>
      </c>
      <c r="S583">
        <f>IF($U583="","",INDEX(상세표[22~06시],$U583))</f>
        <v/>
      </c>
      <c r="T583">
        <f>IF($U583="","",INDEX(상세표[기록 시간외],$U583))</f>
        <v/>
      </c>
      <c r="U583" s="4">
        <f>IFERROR(MATCH(578,상세표[발송순번],0),"")</f>
        <v/>
      </c>
    </row>
    <row r="584">
      <c r="J584">
        <f>IF($U584="","",INDEX(상세표[사번],$U584)&amp;"")</f>
        <v/>
      </c>
      <c r="K584">
        <f>IF($U584="","",INDEX(상세표[성명],$U584)&amp;"")</f>
        <v/>
      </c>
      <c r="L584">
        <f>IF($U584="","",INDEX(상세표[직위],$U584)&amp;"")</f>
        <v/>
      </c>
      <c r="M584">
        <f>IF($U584="","",IF(ISNUMBER(INDEX(상세표[근무일자],$U584)),TEXT(INDEX(상세표[근무일자],$U584),"yyyy-mm-dd"),INDEX(상세표[근무일자],$U584)&amp;""))</f>
        <v/>
      </c>
      <c r="N584">
        <f>IF($U584="","",IF(ISNUMBER(INDEX(상세표[시작],$U584)),TEXT(INDEX(상세표[시작],$U584),"yyyy-mm-dd hh:mm"),INDEX(상세표[시작],$U584)&amp;""))</f>
        <v/>
      </c>
      <c r="O584">
        <f>IF($U584="","",IF(ISNUMBER(INDEX(상세표[종료],$U584)),TEXT(INDEX(상세표[종료],$U584),"yyyy-mm-dd hh:mm"),INDEX(상세표[종료],$U584)&amp;""))</f>
        <v/>
      </c>
      <c r="P584">
        <f>IF($U584="","",INDEX(상세표[06~07시],$U584))</f>
        <v/>
      </c>
      <c r="Q584">
        <f>IF($U584="","",INDEX(상세표[07~18시],$U584))</f>
        <v/>
      </c>
      <c r="R584">
        <f>IF($U584="","",INDEX(상세표[18~22시],$U584))</f>
        <v/>
      </c>
      <c r="S584">
        <f>IF($U584="","",INDEX(상세표[22~06시],$U584))</f>
        <v/>
      </c>
      <c r="T584">
        <f>IF($U584="","",INDEX(상세표[기록 시간외],$U584))</f>
        <v/>
      </c>
      <c r="U584" s="4">
        <f>IFERROR(MATCH(579,상세표[발송순번],0),"")</f>
        <v/>
      </c>
    </row>
    <row r="585">
      <c r="J585">
        <f>IF($U585="","",INDEX(상세표[사번],$U585)&amp;"")</f>
        <v/>
      </c>
      <c r="K585">
        <f>IF($U585="","",INDEX(상세표[성명],$U585)&amp;"")</f>
        <v/>
      </c>
      <c r="L585">
        <f>IF($U585="","",INDEX(상세표[직위],$U585)&amp;"")</f>
        <v/>
      </c>
      <c r="M585">
        <f>IF($U585="","",IF(ISNUMBER(INDEX(상세표[근무일자],$U585)),TEXT(INDEX(상세표[근무일자],$U585),"yyyy-mm-dd"),INDEX(상세표[근무일자],$U585)&amp;""))</f>
        <v/>
      </c>
      <c r="N585">
        <f>IF($U585="","",IF(ISNUMBER(INDEX(상세표[시작],$U585)),TEXT(INDEX(상세표[시작],$U585),"yyyy-mm-dd hh:mm"),INDEX(상세표[시작],$U585)&amp;""))</f>
        <v/>
      </c>
      <c r="O585">
        <f>IF($U585="","",IF(ISNUMBER(INDEX(상세표[종료],$U585)),TEXT(INDEX(상세표[종료],$U585),"yyyy-mm-dd hh:mm"),INDEX(상세표[종료],$U585)&amp;""))</f>
        <v/>
      </c>
      <c r="P585">
        <f>IF($U585="","",INDEX(상세표[06~07시],$U585))</f>
        <v/>
      </c>
      <c r="Q585">
        <f>IF($U585="","",INDEX(상세표[07~18시],$U585))</f>
        <v/>
      </c>
      <c r="R585">
        <f>IF($U585="","",INDEX(상세표[18~22시],$U585))</f>
        <v/>
      </c>
      <c r="S585">
        <f>IF($U585="","",INDEX(상세표[22~06시],$U585))</f>
        <v/>
      </c>
      <c r="T585">
        <f>IF($U585="","",INDEX(상세표[기록 시간외],$U585))</f>
        <v/>
      </c>
      <c r="U585" s="4">
        <f>IFERROR(MATCH(580,상세표[발송순번],0),"")</f>
        <v/>
      </c>
    </row>
    <row r="586">
      <c r="J586">
        <f>IF($U586="","",INDEX(상세표[사번],$U586)&amp;"")</f>
        <v/>
      </c>
      <c r="K586">
        <f>IF($U586="","",INDEX(상세표[성명],$U586)&amp;"")</f>
        <v/>
      </c>
      <c r="L586">
        <f>IF($U586="","",INDEX(상세표[직위],$U586)&amp;"")</f>
        <v/>
      </c>
      <c r="M586">
        <f>IF($U586="","",IF(ISNUMBER(INDEX(상세표[근무일자],$U586)),TEXT(INDEX(상세표[근무일자],$U586),"yyyy-mm-dd"),INDEX(상세표[근무일자],$U586)&amp;""))</f>
        <v/>
      </c>
      <c r="N586">
        <f>IF($U586="","",IF(ISNUMBER(INDEX(상세표[시작],$U586)),TEXT(INDEX(상세표[시작],$U586),"yyyy-mm-dd hh:mm"),INDEX(상세표[시작],$U586)&amp;""))</f>
        <v/>
      </c>
      <c r="O586">
        <f>IF($U586="","",IF(ISNUMBER(INDEX(상세표[종료],$U586)),TEXT(INDEX(상세표[종료],$U586),"yyyy-mm-dd hh:mm"),INDEX(상세표[종료],$U586)&amp;""))</f>
        <v/>
      </c>
      <c r="P586">
        <f>IF($U586="","",INDEX(상세표[06~07시],$U586))</f>
        <v/>
      </c>
      <c r="Q586">
        <f>IF($U586="","",INDEX(상세표[07~18시],$U586))</f>
        <v/>
      </c>
      <c r="R586">
        <f>IF($U586="","",INDEX(상세표[18~22시],$U586))</f>
        <v/>
      </c>
      <c r="S586">
        <f>IF($U586="","",INDEX(상세표[22~06시],$U586))</f>
        <v/>
      </c>
      <c r="T586">
        <f>IF($U586="","",INDEX(상세표[기록 시간외],$U586))</f>
        <v/>
      </c>
      <c r="U586" s="4">
        <f>IFERROR(MATCH(581,상세표[발송순번],0),"")</f>
        <v/>
      </c>
    </row>
    <row r="587">
      <c r="J587">
        <f>IF($U587="","",INDEX(상세표[사번],$U587)&amp;"")</f>
        <v/>
      </c>
      <c r="K587">
        <f>IF($U587="","",INDEX(상세표[성명],$U587)&amp;"")</f>
        <v/>
      </c>
      <c r="L587">
        <f>IF($U587="","",INDEX(상세표[직위],$U587)&amp;"")</f>
        <v/>
      </c>
      <c r="M587">
        <f>IF($U587="","",IF(ISNUMBER(INDEX(상세표[근무일자],$U587)),TEXT(INDEX(상세표[근무일자],$U587),"yyyy-mm-dd"),INDEX(상세표[근무일자],$U587)&amp;""))</f>
        <v/>
      </c>
      <c r="N587">
        <f>IF($U587="","",IF(ISNUMBER(INDEX(상세표[시작],$U587)),TEXT(INDEX(상세표[시작],$U587),"yyyy-mm-dd hh:mm"),INDEX(상세표[시작],$U587)&amp;""))</f>
        <v/>
      </c>
      <c r="O587">
        <f>IF($U587="","",IF(ISNUMBER(INDEX(상세표[종료],$U587)),TEXT(INDEX(상세표[종료],$U587),"yyyy-mm-dd hh:mm"),INDEX(상세표[종료],$U587)&amp;""))</f>
        <v/>
      </c>
      <c r="P587">
        <f>IF($U587="","",INDEX(상세표[06~07시],$U587))</f>
        <v/>
      </c>
      <c r="Q587">
        <f>IF($U587="","",INDEX(상세표[07~18시],$U587))</f>
        <v/>
      </c>
      <c r="R587">
        <f>IF($U587="","",INDEX(상세표[18~22시],$U587))</f>
        <v/>
      </c>
      <c r="S587">
        <f>IF($U587="","",INDEX(상세표[22~06시],$U587))</f>
        <v/>
      </c>
      <c r="T587">
        <f>IF($U587="","",INDEX(상세표[기록 시간외],$U587))</f>
        <v/>
      </c>
      <c r="U587" s="4">
        <f>IFERROR(MATCH(582,상세표[발송순번],0),"")</f>
        <v/>
      </c>
    </row>
    <row r="588">
      <c r="J588">
        <f>IF($U588="","",INDEX(상세표[사번],$U588)&amp;"")</f>
        <v/>
      </c>
      <c r="K588">
        <f>IF($U588="","",INDEX(상세표[성명],$U588)&amp;"")</f>
        <v/>
      </c>
      <c r="L588">
        <f>IF($U588="","",INDEX(상세표[직위],$U588)&amp;"")</f>
        <v/>
      </c>
      <c r="M588">
        <f>IF($U588="","",IF(ISNUMBER(INDEX(상세표[근무일자],$U588)),TEXT(INDEX(상세표[근무일자],$U588),"yyyy-mm-dd"),INDEX(상세표[근무일자],$U588)&amp;""))</f>
        <v/>
      </c>
      <c r="N588">
        <f>IF($U588="","",IF(ISNUMBER(INDEX(상세표[시작],$U588)),TEXT(INDEX(상세표[시작],$U588),"yyyy-mm-dd hh:mm"),INDEX(상세표[시작],$U588)&amp;""))</f>
        <v/>
      </c>
      <c r="O588">
        <f>IF($U588="","",IF(ISNUMBER(INDEX(상세표[종료],$U588)),TEXT(INDEX(상세표[종료],$U588),"yyyy-mm-dd hh:mm"),INDEX(상세표[종료],$U588)&amp;""))</f>
        <v/>
      </c>
      <c r="P588">
        <f>IF($U588="","",INDEX(상세표[06~07시],$U588))</f>
        <v/>
      </c>
      <c r="Q588">
        <f>IF($U588="","",INDEX(상세표[07~18시],$U588))</f>
        <v/>
      </c>
      <c r="R588">
        <f>IF($U588="","",INDEX(상세표[18~22시],$U588))</f>
        <v/>
      </c>
      <c r="S588">
        <f>IF($U588="","",INDEX(상세표[22~06시],$U588))</f>
        <v/>
      </c>
      <c r="T588">
        <f>IF($U588="","",INDEX(상세표[기록 시간외],$U588))</f>
        <v/>
      </c>
      <c r="U588" s="4">
        <f>IFERROR(MATCH(583,상세표[발송순번],0),"")</f>
        <v/>
      </c>
    </row>
    <row r="589">
      <c r="J589">
        <f>IF($U589="","",INDEX(상세표[사번],$U589)&amp;"")</f>
        <v/>
      </c>
      <c r="K589">
        <f>IF($U589="","",INDEX(상세표[성명],$U589)&amp;"")</f>
        <v/>
      </c>
      <c r="L589">
        <f>IF($U589="","",INDEX(상세표[직위],$U589)&amp;"")</f>
        <v/>
      </c>
      <c r="M589">
        <f>IF($U589="","",IF(ISNUMBER(INDEX(상세표[근무일자],$U589)),TEXT(INDEX(상세표[근무일자],$U589),"yyyy-mm-dd"),INDEX(상세표[근무일자],$U589)&amp;""))</f>
        <v/>
      </c>
      <c r="N589">
        <f>IF($U589="","",IF(ISNUMBER(INDEX(상세표[시작],$U589)),TEXT(INDEX(상세표[시작],$U589),"yyyy-mm-dd hh:mm"),INDEX(상세표[시작],$U589)&amp;""))</f>
        <v/>
      </c>
      <c r="O589">
        <f>IF($U589="","",IF(ISNUMBER(INDEX(상세표[종료],$U589)),TEXT(INDEX(상세표[종료],$U589),"yyyy-mm-dd hh:mm"),INDEX(상세표[종료],$U589)&amp;""))</f>
        <v/>
      </c>
      <c r="P589">
        <f>IF($U589="","",INDEX(상세표[06~07시],$U589))</f>
        <v/>
      </c>
      <c r="Q589">
        <f>IF($U589="","",INDEX(상세표[07~18시],$U589))</f>
        <v/>
      </c>
      <c r="R589">
        <f>IF($U589="","",INDEX(상세표[18~22시],$U589))</f>
        <v/>
      </c>
      <c r="S589">
        <f>IF($U589="","",INDEX(상세표[22~06시],$U589))</f>
        <v/>
      </c>
      <c r="T589">
        <f>IF($U589="","",INDEX(상세표[기록 시간외],$U589))</f>
        <v/>
      </c>
      <c r="U589" s="4">
        <f>IFERROR(MATCH(584,상세표[발송순번],0),"")</f>
        <v/>
      </c>
    </row>
    <row r="590">
      <c r="J590">
        <f>IF($U590="","",INDEX(상세표[사번],$U590)&amp;"")</f>
        <v/>
      </c>
      <c r="K590">
        <f>IF($U590="","",INDEX(상세표[성명],$U590)&amp;"")</f>
        <v/>
      </c>
      <c r="L590">
        <f>IF($U590="","",INDEX(상세표[직위],$U590)&amp;"")</f>
        <v/>
      </c>
      <c r="M590">
        <f>IF($U590="","",IF(ISNUMBER(INDEX(상세표[근무일자],$U590)),TEXT(INDEX(상세표[근무일자],$U590),"yyyy-mm-dd"),INDEX(상세표[근무일자],$U590)&amp;""))</f>
        <v/>
      </c>
      <c r="N590">
        <f>IF($U590="","",IF(ISNUMBER(INDEX(상세표[시작],$U590)),TEXT(INDEX(상세표[시작],$U590),"yyyy-mm-dd hh:mm"),INDEX(상세표[시작],$U590)&amp;""))</f>
        <v/>
      </c>
      <c r="O590">
        <f>IF($U590="","",IF(ISNUMBER(INDEX(상세표[종료],$U590)),TEXT(INDEX(상세표[종료],$U590),"yyyy-mm-dd hh:mm"),INDEX(상세표[종료],$U590)&amp;""))</f>
        <v/>
      </c>
      <c r="P590">
        <f>IF($U590="","",INDEX(상세표[06~07시],$U590))</f>
        <v/>
      </c>
      <c r="Q590">
        <f>IF($U590="","",INDEX(상세표[07~18시],$U590))</f>
        <v/>
      </c>
      <c r="R590">
        <f>IF($U590="","",INDEX(상세표[18~22시],$U590))</f>
        <v/>
      </c>
      <c r="S590">
        <f>IF($U590="","",INDEX(상세표[22~06시],$U590))</f>
        <v/>
      </c>
      <c r="T590">
        <f>IF($U590="","",INDEX(상세표[기록 시간외],$U590))</f>
        <v/>
      </c>
      <c r="U590" s="4">
        <f>IFERROR(MATCH(585,상세표[발송순번],0),"")</f>
        <v/>
      </c>
    </row>
    <row r="591">
      <c r="J591">
        <f>IF($U591="","",INDEX(상세표[사번],$U591)&amp;"")</f>
        <v/>
      </c>
      <c r="K591">
        <f>IF($U591="","",INDEX(상세표[성명],$U591)&amp;"")</f>
        <v/>
      </c>
      <c r="L591">
        <f>IF($U591="","",INDEX(상세표[직위],$U591)&amp;"")</f>
        <v/>
      </c>
      <c r="M591">
        <f>IF($U591="","",IF(ISNUMBER(INDEX(상세표[근무일자],$U591)),TEXT(INDEX(상세표[근무일자],$U591),"yyyy-mm-dd"),INDEX(상세표[근무일자],$U591)&amp;""))</f>
        <v/>
      </c>
      <c r="N591">
        <f>IF($U591="","",IF(ISNUMBER(INDEX(상세표[시작],$U591)),TEXT(INDEX(상세표[시작],$U591),"yyyy-mm-dd hh:mm"),INDEX(상세표[시작],$U591)&amp;""))</f>
        <v/>
      </c>
      <c r="O591">
        <f>IF($U591="","",IF(ISNUMBER(INDEX(상세표[종료],$U591)),TEXT(INDEX(상세표[종료],$U591),"yyyy-mm-dd hh:mm"),INDEX(상세표[종료],$U591)&amp;""))</f>
        <v/>
      </c>
      <c r="P591">
        <f>IF($U591="","",INDEX(상세표[06~07시],$U591))</f>
        <v/>
      </c>
      <c r="Q591">
        <f>IF($U591="","",INDEX(상세표[07~18시],$U591))</f>
        <v/>
      </c>
      <c r="R591">
        <f>IF($U591="","",INDEX(상세표[18~22시],$U591))</f>
        <v/>
      </c>
      <c r="S591">
        <f>IF($U591="","",INDEX(상세표[22~06시],$U591))</f>
        <v/>
      </c>
      <c r="T591">
        <f>IF($U591="","",INDEX(상세표[기록 시간외],$U591))</f>
        <v/>
      </c>
      <c r="U591" s="4">
        <f>IFERROR(MATCH(586,상세표[발송순번],0),"")</f>
        <v/>
      </c>
    </row>
    <row r="592">
      <c r="J592">
        <f>IF($U592="","",INDEX(상세표[사번],$U592)&amp;"")</f>
        <v/>
      </c>
      <c r="K592">
        <f>IF($U592="","",INDEX(상세표[성명],$U592)&amp;"")</f>
        <v/>
      </c>
      <c r="L592">
        <f>IF($U592="","",INDEX(상세표[직위],$U592)&amp;"")</f>
        <v/>
      </c>
      <c r="M592">
        <f>IF($U592="","",IF(ISNUMBER(INDEX(상세표[근무일자],$U592)),TEXT(INDEX(상세표[근무일자],$U592),"yyyy-mm-dd"),INDEX(상세표[근무일자],$U592)&amp;""))</f>
        <v/>
      </c>
      <c r="N592">
        <f>IF($U592="","",IF(ISNUMBER(INDEX(상세표[시작],$U592)),TEXT(INDEX(상세표[시작],$U592),"yyyy-mm-dd hh:mm"),INDEX(상세표[시작],$U592)&amp;""))</f>
        <v/>
      </c>
      <c r="O592">
        <f>IF($U592="","",IF(ISNUMBER(INDEX(상세표[종료],$U592)),TEXT(INDEX(상세표[종료],$U592),"yyyy-mm-dd hh:mm"),INDEX(상세표[종료],$U592)&amp;""))</f>
        <v/>
      </c>
      <c r="P592">
        <f>IF($U592="","",INDEX(상세표[06~07시],$U592))</f>
        <v/>
      </c>
      <c r="Q592">
        <f>IF($U592="","",INDEX(상세표[07~18시],$U592))</f>
        <v/>
      </c>
      <c r="R592">
        <f>IF($U592="","",INDEX(상세표[18~22시],$U592))</f>
        <v/>
      </c>
      <c r="S592">
        <f>IF($U592="","",INDEX(상세표[22~06시],$U592))</f>
        <v/>
      </c>
      <c r="T592">
        <f>IF($U592="","",INDEX(상세표[기록 시간외],$U592))</f>
        <v/>
      </c>
      <c r="U592" s="4">
        <f>IFERROR(MATCH(587,상세표[발송순번],0),"")</f>
        <v/>
      </c>
    </row>
    <row r="593">
      <c r="J593">
        <f>IF($U593="","",INDEX(상세표[사번],$U593)&amp;"")</f>
        <v/>
      </c>
      <c r="K593">
        <f>IF($U593="","",INDEX(상세표[성명],$U593)&amp;"")</f>
        <v/>
      </c>
      <c r="L593">
        <f>IF($U593="","",INDEX(상세표[직위],$U593)&amp;"")</f>
        <v/>
      </c>
      <c r="M593">
        <f>IF($U593="","",IF(ISNUMBER(INDEX(상세표[근무일자],$U593)),TEXT(INDEX(상세표[근무일자],$U593),"yyyy-mm-dd"),INDEX(상세표[근무일자],$U593)&amp;""))</f>
        <v/>
      </c>
      <c r="N593">
        <f>IF($U593="","",IF(ISNUMBER(INDEX(상세표[시작],$U593)),TEXT(INDEX(상세표[시작],$U593),"yyyy-mm-dd hh:mm"),INDEX(상세표[시작],$U593)&amp;""))</f>
        <v/>
      </c>
      <c r="O593">
        <f>IF($U593="","",IF(ISNUMBER(INDEX(상세표[종료],$U593)),TEXT(INDEX(상세표[종료],$U593),"yyyy-mm-dd hh:mm"),INDEX(상세표[종료],$U593)&amp;""))</f>
        <v/>
      </c>
      <c r="P593">
        <f>IF($U593="","",INDEX(상세표[06~07시],$U593))</f>
        <v/>
      </c>
      <c r="Q593">
        <f>IF($U593="","",INDEX(상세표[07~18시],$U593))</f>
        <v/>
      </c>
      <c r="R593">
        <f>IF($U593="","",INDEX(상세표[18~22시],$U593))</f>
        <v/>
      </c>
      <c r="S593">
        <f>IF($U593="","",INDEX(상세표[22~06시],$U593))</f>
        <v/>
      </c>
      <c r="T593">
        <f>IF($U593="","",INDEX(상세표[기록 시간외],$U593))</f>
        <v/>
      </c>
      <c r="U593" s="4">
        <f>IFERROR(MATCH(588,상세표[발송순번],0),"")</f>
        <v/>
      </c>
    </row>
    <row r="594">
      <c r="J594">
        <f>IF($U594="","",INDEX(상세표[사번],$U594)&amp;"")</f>
        <v/>
      </c>
      <c r="K594">
        <f>IF($U594="","",INDEX(상세표[성명],$U594)&amp;"")</f>
        <v/>
      </c>
      <c r="L594">
        <f>IF($U594="","",INDEX(상세표[직위],$U594)&amp;"")</f>
        <v/>
      </c>
      <c r="M594">
        <f>IF($U594="","",IF(ISNUMBER(INDEX(상세표[근무일자],$U594)),TEXT(INDEX(상세표[근무일자],$U594),"yyyy-mm-dd"),INDEX(상세표[근무일자],$U594)&amp;""))</f>
        <v/>
      </c>
      <c r="N594">
        <f>IF($U594="","",IF(ISNUMBER(INDEX(상세표[시작],$U594)),TEXT(INDEX(상세표[시작],$U594),"yyyy-mm-dd hh:mm"),INDEX(상세표[시작],$U594)&amp;""))</f>
        <v/>
      </c>
      <c r="O594">
        <f>IF($U594="","",IF(ISNUMBER(INDEX(상세표[종료],$U594)),TEXT(INDEX(상세표[종료],$U594),"yyyy-mm-dd hh:mm"),INDEX(상세표[종료],$U594)&amp;""))</f>
        <v/>
      </c>
      <c r="P594">
        <f>IF($U594="","",INDEX(상세표[06~07시],$U594))</f>
        <v/>
      </c>
      <c r="Q594">
        <f>IF($U594="","",INDEX(상세표[07~18시],$U594))</f>
        <v/>
      </c>
      <c r="R594">
        <f>IF($U594="","",INDEX(상세표[18~22시],$U594))</f>
        <v/>
      </c>
      <c r="S594">
        <f>IF($U594="","",INDEX(상세표[22~06시],$U594))</f>
        <v/>
      </c>
      <c r="T594">
        <f>IF($U594="","",INDEX(상세표[기록 시간외],$U594))</f>
        <v/>
      </c>
      <c r="U594" s="4">
        <f>IFERROR(MATCH(589,상세표[발송순번],0),"")</f>
        <v/>
      </c>
    </row>
    <row r="595">
      <c r="J595">
        <f>IF($U595="","",INDEX(상세표[사번],$U595)&amp;"")</f>
        <v/>
      </c>
      <c r="K595">
        <f>IF($U595="","",INDEX(상세표[성명],$U595)&amp;"")</f>
        <v/>
      </c>
      <c r="L595">
        <f>IF($U595="","",INDEX(상세표[직위],$U595)&amp;"")</f>
        <v/>
      </c>
      <c r="M595">
        <f>IF($U595="","",IF(ISNUMBER(INDEX(상세표[근무일자],$U595)),TEXT(INDEX(상세표[근무일자],$U595),"yyyy-mm-dd"),INDEX(상세표[근무일자],$U595)&amp;""))</f>
        <v/>
      </c>
      <c r="N595">
        <f>IF($U595="","",IF(ISNUMBER(INDEX(상세표[시작],$U595)),TEXT(INDEX(상세표[시작],$U595),"yyyy-mm-dd hh:mm"),INDEX(상세표[시작],$U595)&amp;""))</f>
        <v/>
      </c>
      <c r="O595">
        <f>IF($U595="","",IF(ISNUMBER(INDEX(상세표[종료],$U595)),TEXT(INDEX(상세표[종료],$U595),"yyyy-mm-dd hh:mm"),INDEX(상세표[종료],$U595)&amp;""))</f>
        <v/>
      </c>
      <c r="P595">
        <f>IF($U595="","",INDEX(상세표[06~07시],$U595))</f>
        <v/>
      </c>
      <c r="Q595">
        <f>IF($U595="","",INDEX(상세표[07~18시],$U595))</f>
        <v/>
      </c>
      <c r="R595">
        <f>IF($U595="","",INDEX(상세표[18~22시],$U595))</f>
        <v/>
      </c>
      <c r="S595">
        <f>IF($U595="","",INDEX(상세표[22~06시],$U595))</f>
        <v/>
      </c>
      <c r="T595">
        <f>IF($U595="","",INDEX(상세표[기록 시간외],$U595))</f>
        <v/>
      </c>
      <c r="U595" s="4">
        <f>IFERROR(MATCH(590,상세표[발송순번],0),"")</f>
        <v/>
      </c>
    </row>
    <row r="596">
      <c r="J596">
        <f>IF($U596="","",INDEX(상세표[사번],$U596)&amp;"")</f>
        <v/>
      </c>
      <c r="K596">
        <f>IF($U596="","",INDEX(상세표[성명],$U596)&amp;"")</f>
        <v/>
      </c>
      <c r="L596">
        <f>IF($U596="","",INDEX(상세표[직위],$U596)&amp;"")</f>
        <v/>
      </c>
      <c r="M596">
        <f>IF($U596="","",IF(ISNUMBER(INDEX(상세표[근무일자],$U596)),TEXT(INDEX(상세표[근무일자],$U596),"yyyy-mm-dd"),INDEX(상세표[근무일자],$U596)&amp;""))</f>
        <v/>
      </c>
      <c r="N596">
        <f>IF($U596="","",IF(ISNUMBER(INDEX(상세표[시작],$U596)),TEXT(INDEX(상세표[시작],$U596),"yyyy-mm-dd hh:mm"),INDEX(상세표[시작],$U596)&amp;""))</f>
        <v/>
      </c>
      <c r="O596">
        <f>IF($U596="","",IF(ISNUMBER(INDEX(상세표[종료],$U596)),TEXT(INDEX(상세표[종료],$U596),"yyyy-mm-dd hh:mm"),INDEX(상세표[종료],$U596)&amp;""))</f>
        <v/>
      </c>
      <c r="P596">
        <f>IF($U596="","",INDEX(상세표[06~07시],$U596))</f>
        <v/>
      </c>
      <c r="Q596">
        <f>IF($U596="","",INDEX(상세표[07~18시],$U596))</f>
        <v/>
      </c>
      <c r="R596">
        <f>IF($U596="","",INDEX(상세표[18~22시],$U596))</f>
        <v/>
      </c>
      <c r="S596">
        <f>IF($U596="","",INDEX(상세표[22~06시],$U596))</f>
        <v/>
      </c>
      <c r="T596">
        <f>IF($U596="","",INDEX(상세표[기록 시간외],$U596))</f>
        <v/>
      </c>
      <c r="U596" s="4">
        <f>IFERROR(MATCH(591,상세표[발송순번],0),"")</f>
        <v/>
      </c>
    </row>
    <row r="597">
      <c r="J597">
        <f>IF($U597="","",INDEX(상세표[사번],$U597)&amp;"")</f>
        <v/>
      </c>
      <c r="K597">
        <f>IF($U597="","",INDEX(상세표[성명],$U597)&amp;"")</f>
        <v/>
      </c>
      <c r="L597">
        <f>IF($U597="","",INDEX(상세표[직위],$U597)&amp;"")</f>
        <v/>
      </c>
      <c r="M597">
        <f>IF($U597="","",IF(ISNUMBER(INDEX(상세표[근무일자],$U597)),TEXT(INDEX(상세표[근무일자],$U597),"yyyy-mm-dd"),INDEX(상세표[근무일자],$U597)&amp;""))</f>
        <v/>
      </c>
      <c r="N597">
        <f>IF($U597="","",IF(ISNUMBER(INDEX(상세표[시작],$U597)),TEXT(INDEX(상세표[시작],$U597),"yyyy-mm-dd hh:mm"),INDEX(상세표[시작],$U597)&amp;""))</f>
        <v/>
      </c>
      <c r="O597">
        <f>IF($U597="","",IF(ISNUMBER(INDEX(상세표[종료],$U597)),TEXT(INDEX(상세표[종료],$U597),"yyyy-mm-dd hh:mm"),INDEX(상세표[종료],$U597)&amp;""))</f>
        <v/>
      </c>
      <c r="P597">
        <f>IF($U597="","",INDEX(상세표[06~07시],$U597))</f>
        <v/>
      </c>
      <c r="Q597">
        <f>IF($U597="","",INDEX(상세표[07~18시],$U597))</f>
        <v/>
      </c>
      <c r="R597">
        <f>IF($U597="","",INDEX(상세표[18~22시],$U597))</f>
        <v/>
      </c>
      <c r="S597">
        <f>IF($U597="","",INDEX(상세표[22~06시],$U597))</f>
        <v/>
      </c>
      <c r="T597">
        <f>IF($U597="","",INDEX(상세표[기록 시간외],$U597))</f>
        <v/>
      </c>
      <c r="U597" s="4">
        <f>IFERROR(MATCH(592,상세표[발송순번],0),"")</f>
        <v/>
      </c>
    </row>
    <row r="598">
      <c r="J598">
        <f>IF($U598="","",INDEX(상세표[사번],$U598)&amp;"")</f>
        <v/>
      </c>
      <c r="K598">
        <f>IF($U598="","",INDEX(상세표[성명],$U598)&amp;"")</f>
        <v/>
      </c>
      <c r="L598">
        <f>IF($U598="","",INDEX(상세표[직위],$U598)&amp;"")</f>
        <v/>
      </c>
      <c r="M598">
        <f>IF($U598="","",IF(ISNUMBER(INDEX(상세표[근무일자],$U598)),TEXT(INDEX(상세표[근무일자],$U598),"yyyy-mm-dd"),INDEX(상세표[근무일자],$U598)&amp;""))</f>
        <v/>
      </c>
      <c r="N598">
        <f>IF($U598="","",IF(ISNUMBER(INDEX(상세표[시작],$U598)),TEXT(INDEX(상세표[시작],$U598),"yyyy-mm-dd hh:mm"),INDEX(상세표[시작],$U598)&amp;""))</f>
        <v/>
      </c>
      <c r="O598">
        <f>IF($U598="","",IF(ISNUMBER(INDEX(상세표[종료],$U598)),TEXT(INDEX(상세표[종료],$U598),"yyyy-mm-dd hh:mm"),INDEX(상세표[종료],$U598)&amp;""))</f>
        <v/>
      </c>
      <c r="P598">
        <f>IF($U598="","",INDEX(상세표[06~07시],$U598))</f>
        <v/>
      </c>
      <c r="Q598">
        <f>IF($U598="","",INDEX(상세표[07~18시],$U598))</f>
        <v/>
      </c>
      <c r="R598">
        <f>IF($U598="","",INDEX(상세표[18~22시],$U598))</f>
        <v/>
      </c>
      <c r="S598">
        <f>IF($U598="","",INDEX(상세표[22~06시],$U598))</f>
        <v/>
      </c>
      <c r="T598">
        <f>IF($U598="","",INDEX(상세표[기록 시간외],$U598))</f>
        <v/>
      </c>
      <c r="U598" s="4">
        <f>IFERROR(MATCH(593,상세표[발송순번],0),"")</f>
        <v/>
      </c>
    </row>
    <row r="599">
      <c r="J599">
        <f>IF($U599="","",INDEX(상세표[사번],$U599)&amp;"")</f>
        <v/>
      </c>
      <c r="K599">
        <f>IF($U599="","",INDEX(상세표[성명],$U599)&amp;"")</f>
        <v/>
      </c>
      <c r="L599">
        <f>IF($U599="","",INDEX(상세표[직위],$U599)&amp;"")</f>
        <v/>
      </c>
      <c r="M599">
        <f>IF($U599="","",IF(ISNUMBER(INDEX(상세표[근무일자],$U599)),TEXT(INDEX(상세표[근무일자],$U599),"yyyy-mm-dd"),INDEX(상세표[근무일자],$U599)&amp;""))</f>
        <v/>
      </c>
      <c r="N599">
        <f>IF($U599="","",IF(ISNUMBER(INDEX(상세표[시작],$U599)),TEXT(INDEX(상세표[시작],$U599),"yyyy-mm-dd hh:mm"),INDEX(상세표[시작],$U599)&amp;""))</f>
        <v/>
      </c>
      <c r="O599">
        <f>IF($U599="","",IF(ISNUMBER(INDEX(상세표[종료],$U599)),TEXT(INDEX(상세표[종료],$U599),"yyyy-mm-dd hh:mm"),INDEX(상세표[종료],$U599)&amp;""))</f>
        <v/>
      </c>
      <c r="P599">
        <f>IF($U599="","",INDEX(상세표[06~07시],$U599))</f>
        <v/>
      </c>
      <c r="Q599">
        <f>IF($U599="","",INDEX(상세표[07~18시],$U599))</f>
        <v/>
      </c>
      <c r="R599">
        <f>IF($U599="","",INDEX(상세표[18~22시],$U599))</f>
        <v/>
      </c>
      <c r="S599">
        <f>IF($U599="","",INDEX(상세표[22~06시],$U599))</f>
        <v/>
      </c>
      <c r="T599">
        <f>IF($U599="","",INDEX(상세표[기록 시간외],$U599))</f>
        <v/>
      </c>
      <c r="U599" s="4">
        <f>IFERROR(MATCH(594,상세표[발송순번],0),"")</f>
        <v/>
      </c>
    </row>
    <row r="600">
      <c r="J600">
        <f>IF($U600="","",INDEX(상세표[사번],$U600)&amp;"")</f>
        <v/>
      </c>
      <c r="K600">
        <f>IF($U600="","",INDEX(상세표[성명],$U600)&amp;"")</f>
        <v/>
      </c>
      <c r="L600">
        <f>IF($U600="","",INDEX(상세표[직위],$U600)&amp;"")</f>
        <v/>
      </c>
      <c r="M600">
        <f>IF($U600="","",IF(ISNUMBER(INDEX(상세표[근무일자],$U600)),TEXT(INDEX(상세표[근무일자],$U600),"yyyy-mm-dd"),INDEX(상세표[근무일자],$U600)&amp;""))</f>
        <v/>
      </c>
      <c r="N600">
        <f>IF($U600="","",IF(ISNUMBER(INDEX(상세표[시작],$U600)),TEXT(INDEX(상세표[시작],$U600),"yyyy-mm-dd hh:mm"),INDEX(상세표[시작],$U600)&amp;""))</f>
        <v/>
      </c>
      <c r="O600">
        <f>IF($U600="","",IF(ISNUMBER(INDEX(상세표[종료],$U600)),TEXT(INDEX(상세표[종료],$U600),"yyyy-mm-dd hh:mm"),INDEX(상세표[종료],$U600)&amp;""))</f>
        <v/>
      </c>
      <c r="P600">
        <f>IF($U600="","",INDEX(상세표[06~07시],$U600))</f>
        <v/>
      </c>
      <c r="Q600">
        <f>IF($U600="","",INDEX(상세표[07~18시],$U600))</f>
        <v/>
      </c>
      <c r="R600">
        <f>IF($U600="","",INDEX(상세표[18~22시],$U600))</f>
        <v/>
      </c>
      <c r="S600">
        <f>IF($U600="","",INDEX(상세표[22~06시],$U600))</f>
        <v/>
      </c>
      <c r="T600">
        <f>IF($U600="","",INDEX(상세표[기록 시간외],$U600))</f>
        <v/>
      </c>
      <c r="U600" s="4">
        <f>IFERROR(MATCH(595,상세표[발송순번],0),"")</f>
        <v/>
      </c>
    </row>
    <row r="601">
      <c r="J601">
        <f>IF($U601="","",INDEX(상세표[사번],$U601)&amp;"")</f>
        <v/>
      </c>
      <c r="K601">
        <f>IF($U601="","",INDEX(상세표[성명],$U601)&amp;"")</f>
        <v/>
      </c>
      <c r="L601">
        <f>IF($U601="","",INDEX(상세표[직위],$U601)&amp;"")</f>
        <v/>
      </c>
      <c r="M601">
        <f>IF($U601="","",IF(ISNUMBER(INDEX(상세표[근무일자],$U601)),TEXT(INDEX(상세표[근무일자],$U601),"yyyy-mm-dd"),INDEX(상세표[근무일자],$U601)&amp;""))</f>
        <v/>
      </c>
      <c r="N601">
        <f>IF($U601="","",IF(ISNUMBER(INDEX(상세표[시작],$U601)),TEXT(INDEX(상세표[시작],$U601),"yyyy-mm-dd hh:mm"),INDEX(상세표[시작],$U601)&amp;""))</f>
        <v/>
      </c>
      <c r="O601">
        <f>IF($U601="","",IF(ISNUMBER(INDEX(상세표[종료],$U601)),TEXT(INDEX(상세표[종료],$U601),"yyyy-mm-dd hh:mm"),INDEX(상세표[종료],$U601)&amp;""))</f>
        <v/>
      </c>
      <c r="P601">
        <f>IF($U601="","",INDEX(상세표[06~07시],$U601))</f>
        <v/>
      </c>
      <c r="Q601">
        <f>IF($U601="","",INDEX(상세표[07~18시],$U601))</f>
        <v/>
      </c>
      <c r="R601">
        <f>IF($U601="","",INDEX(상세표[18~22시],$U601))</f>
        <v/>
      </c>
      <c r="S601">
        <f>IF($U601="","",INDEX(상세표[22~06시],$U601))</f>
        <v/>
      </c>
      <c r="T601">
        <f>IF($U601="","",INDEX(상세표[기록 시간외],$U601))</f>
        <v/>
      </c>
      <c r="U601" s="4">
        <f>IFERROR(MATCH(596,상세표[발송순번],0),"")</f>
        <v/>
      </c>
    </row>
    <row r="602">
      <c r="J602">
        <f>IF($U602="","",INDEX(상세표[사번],$U602)&amp;"")</f>
        <v/>
      </c>
      <c r="K602">
        <f>IF($U602="","",INDEX(상세표[성명],$U602)&amp;"")</f>
        <v/>
      </c>
      <c r="L602">
        <f>IF($U602="","",INDEX(상세표[직위],$U602)&amp;"")</f>
        <v/>
      </c>
      <c r="M602">
        <f>IF($U602="","",IF(ISNUMBER(INDEX(상세표[근무일자],$U602)),TEXT(INDEX(상세표[근무일자],$U602),"yyyy-mm-dd"),INDEX(상세표[근무일자],$U602)&amp;""))</f>
        <v/>
      </c>
      <c r="N602">
        <f>IF($U602="","",IF(ISNUMBER(INDEX(상세표[시작],$U602)),TEXT(INDEX(상세표[시작],$U602),"yyyy-mm-dd hh:mm"),INDEX(상세표[시작],$U602)&amp;""))</f>
        <v/>
      </c>
      <c r="O602">
        <f>IF($U602="","",IF(ISNUMBER(INDEX(상세표[종료],$U602)),TEXT(INDEX(상세표[종료],$U602),"yyyy-mm-dd hh:mm"),INDEX(상세표[종료],$U602)&amp;""))</f>
        <v/>
      </c>
      <c r="P602">
        <f>IF($U602="","",INDEX(상세표[06~07시],$U602))</f>
        <v/>
      </c>
      <c r="Q602">
        <f>IF($U602="","",INDEX(상세표[07~18시],$U602))</f>
        <v/>
      </c>
      <c r="R602">
        <f>IF($U602="","",INDEX(상세표[18~22시],$U602))</f>
        <v/>
      </c>
      <c r="S602">
        <f>IF($U602="","",INDEX(상세표[22~06시],$U602))</f>
        <v/>
      </c>
      <c r="T602">
        <f>IF($U602="","",INDEX(상세표[기록 시간외],$U602))</f>
        <v/>
      </c>
      <c r="U602" s="4">
        <f>IFERROR(MATCH(597,상세표[발송순번],0),"")</f>
        <v/>
      </c>
    </row>
    <row r="603">
      <c r="J603">
        <f>IF($U603="","",INDEX(상세표[사번],$U603)&amp;"")</f>
        <v/>
      </c>
      <c r="K603">
        <f>IF($U603="","",INDEX(상세표[성명],$U603)&amp;"")</f>
        <v/>
      </c>
      <c r="L603">
        <f>IF($U603="","",INDEX(상세표[직위],$U603)&amp;"")</f>
        <v/>
      </c>
      <c r="M603">
        <f>IF($U603="","",IF(ISNUMBER(INDEX(상세표[근무일자],$U603)),TEXT(INDEX(상세표[근무일자],$U603),"yyyy-mm-dd"),INDEX(상세표[근무일자],$U603)&amp;""))</f>
        <v/>
      </c>
      <c r="N603">
        <f>IF($U603="","",IF(ISNUMBER(INDEX(상세표[시작],$U603)),TEXT(INDEX(상세표[시작],$U603),"yyyy-mm-dd hh:mm"),INDEX(상세표[시작],$U603)&amp;""))</f>
        <v/>
      </c>
      <c r="O603">
        <f>IF($U603="","",IF(ISNUMBER(INDEX(상세표[종료],$U603)),TEXT(INDEX(상세표[종료],$U603),"yyyy-mm-dd hh:mm"),INDEX(상세표[종료],$U603)&amp;""))</f>
        <v/>
      </c>
      <c r="P603">
        <f>IF($U603="","",INDEX(상세표[06~07시],$U603))</f>
        <v/>
      </c>
      <c r="Q603">
        <f>IF($U603="","",INDEX(상세표[07~18시],$U603))</f>
        <v/>
      </c>
      <c r="R603">
        <f>IF($U603="","",INDEX(상세표[18~22시],$U603))</f>
        <v/>
      </c>
      <c r="S603">
        <f>IF($U603="","",INDEX(상세표[22~06시],$U603))</f>
        <v/>
      </c>
      <c r="T603">
        <f>IF($U603="","",INDEX(상세표[기록 시간외],$U603))</f>
        <v/>
      </c>
      <c r="U603" s="4">
        <f>IFERROR(MATCH(598,상세표[발송순번],0),"")</f>
        <v/>
      </c>
    </row>
    <row r="604">
      <c r="J604">
        <f>IF($U604="","",INDEX(상세표[사번],$U604)&amp;"")</f>
        <v/>
      </c>
      <c r="K604">
        <f>IF($U604="","",INDEX(상세표[성명],$U604)&amp;"")</f>
        <v/>
      </c>
      <c r="L604">
        <f>IF($U604="","",INDEX(상세표[직위],$U604)&amp;"")</f>
        <v/>
      </c>
      <c r="M604">
        <f>IF($U604="","",IF(ISNUMBER(INDEX(상세표[근무일자],$U604)),TEXT(INDEX(상세표[근무일자],$U604),"yyyy-mm-dd"),INDEX(상세표[근무일자],$U604)&amp;""))</f>
        <v/>
      </c>
      <c r="N604">
        <f>IF($U604="","",IF(ISNUMBER(INDEX(상세표[시작],$U604)),TEXT(INDEX(상세표[시작],$U604),"yyyy-mm-dd hh:mm"),INDEX(상세표[시작],$U604)&amp;""))</f>
        <v/>
      </c>
      <c r="O604">
        <f>IF($U604="","",IF(ISNUMBER(INDEX(상세표[종료],$U604)),TEXT(INDEX(상세표[종료],$U604),"yyyy-mm-dd hh:mm"),INDEX(상세표[종료],$U604)&amp;""))</f>
        <v/>
      </c>
      <c r="P604">
        <f>IF($U604="","",INDEX(상세표[06~07시],$U604))</f>
        <v/>
      </c>
      <c r="Q604">
        <f>IF($U604="","",INDEX(상세표[07~18시],$U604))</f>
        <v/>
      </c>
      <c r="R604">
        <f>IF($U604="","",INDEX(상세표[18~22시],$U604))</f>
        <v/>
      </c>
      <c r="S604">
        <f>IF($U604="","",INDEX(상세표[22~06시],$U604))</f>
        <v/>
      </c>
      <c r="T604">
        <f>IF($U604="","",INDEX(상세표[기록 시간외],$U604))</f>
        <v/>
      </c>
      <c r="U604" s="4">
        <f>IFERROR(MATCH(599,상세표[발송순번],0),"")</f>
        <v/>
      </c>
    </row>
    <row r="605">
      <c r="J605">
        <f>IF($U605="","",INDEX(상세표[사번],$U605)&amp;"")</f>
        <v/>
      </c>
      <c r="K605">
        <f>IF($U605="","",INDEX(상세표[성명],$U605)&amp;"")</f>
        <v/>
      </c>
      <c r="L605">
        <f>IF($U605="","",INDEX(상세표[직위],$U605)&amp;"")</f>
        <v/>
      </c>
      <c r="M605">
        <f>IF($U605="","",IF(ISNUMBER(INDEX(상세표[근무일자],$U605)),TEXT(INDEX(상세표[근무일자],$U605),"yyyy-mm-dd"),INDEX(상세표[근무일자],$U605)&amp;""))</f>
        <v/>
      </c>
      <c r="N605">
        <f>IF($U605="","",IF(ISNUMBER(INDEX(상세표[시작],$U605)),TEXT(INDEX(상세표[시작],$U605),"yyyy-mm-dd hh:mm"),INDEX(상세표[시작],$U605)&amp;""))</f>
        <v/>
      </c>
      <c r="O605">
        <f>IF($U605="","",IF(ISNUMBER(INDEX(상세표[종료],$U605)),TEXT(INDEX(상세표[종료],$U605),"yyyy-mm-dd hh:mm"),INDEX(상세표[종료],$U605)&amp;""))</f>
        <v/>
      </c>
      <c r="P605">
        <f>IF($U605="","",INDEX(상세표[06~07시],$U605))</f>
        <v/>
      </c>
      <c r="Q605">
        <f>IF($U605="","",INDEX(상세표[07~18시],$U605))</f>
        <v/>
      </c>
      <c r="R605">
        <f>IF($U605="","",INDEX(상세표[18~22시],$U605))</f>
        <v/>
      </c>
      <c r="S605">
        <f>IF($U605="","",INDEX(상세표[22~06시],$U605))</f>
        <v/>
      </c>
      <c r="T605">
        <f>IF($U605="","",INDEX(상세표[기록 시간외],$U605))</f>
        <v/>
      </c>
      <c r="U605" s="4">
        <f>IFERROR(MATCH(600,상세표[발송순번],0),"")</f>
        <v/>
      </c>
    </row>
    <row r="606">
      <c r="J606">
        <f>IF($U606="","",INDEX(상세표[사번],$U606)&amp;"")</f>
        <v/>
      </c>
      <c r="K606">
        <f>IF($U606="","",INDEX(상세표[성명],$U606)&amp;"")</f>
        <v/>
      </c>
      <c r="L606">
        <f>IF($U606="","",INDEX(상세표[직위],$U606)&amp;"")</f>
        <v/>
      </c>
      <c r="M606">
        <f>IF($U606="","",IF(ISNUMBER(INDEX(상세표[근무일자],$U606)),TEXT(INDEX(상세표[근무일자],$U606),"yyyy-mm-dd"),INDEX(상세표[근무일자],$U606)&amp;""))</f>
        <v/>
      </c>
      <c r="N606">
        <f>IF($U606="","",IF(ISNUMBER(INDEX(상세표[시작],$U606)),TEXT(INDEX(상세표[시작],$U606),"yyyy-mm-dd hh:mm"),INDEX(상세표[시작],$U606)&amp;""))</f>
        <v/>
      </c>
      <c r="O606">
        <f>IF($U606="","",IF(ISNUMBER(INDEX(상세표[종료],$U606)),TEXT(INDEX(상세표[종료],$U606),"yyyy-mm-dd hh:mm"),INDEX(상세표[종료],$U606)&amp;""))</f>
        <v/>
      </c>
      <c r="P606">
        <f>IF($U606="","",INDEX(상세표[06~07시],$U606))</f>
        <v/>
      </c>
      <c r="Q606">
        <f>IF($U606="","",INDEX(상세표[07~18시],$U606))</f>
        <v/>
      </c>
      <c r="R606">
        <f>IF($U606="","",INDEX(상세표[18~22시],$U606))</f>
        <v/>
      </c>
      <c r="S606">
        <f>IF($U606="","",INDEX(상세표[22~06시],$U606))</f>
        <v/>
      </c>
      <c r="T606">
        <f>IF($U606="","",INDEX(상세표[기록 시간외],$U606))</f>
        <v/>
      </c>
      <c r="U606" s="4">
        <f>IFERROR(MATCH(601,상세표[발송순번],0),"")</f>
        <v/>
      </c>
    </row>
    <row r="607">
      <c r="J607">
        <f>IF($U607="","",INDEX(상세표[사번],$U607)&amp;"")</f>
        <v/>
      </c>
      <c r="K607">
        <f>IF($U607="","",INDEX(상세표[성명],$U607)&amp;"")</f>
        <v/>
      </c>
      <c r="L607">
        <f>IF($U607="","",INDEX(상세표[직위],$U607)&amp;"")</f>
        <v/>
      </c>
      <c r="M607">
        <f>IF($U607="","",IF(ISNUMBER(INDEX(상세표[근무일자],$U607)),TEXT(INDEX(상세표[근무일자],$U607),"yyyy-mm-dd"),INDEX(상세표[근무일자],$U607)&amp;""))</f>
        <v/>
      </c>
      <c r="N607">
        <f>IF($U607="","",IF(ISNUMBER(INDEX(상세표[시작],$U607)),TEXT(INDEX(상세표[시작],$U607),"yyyy-mm-dd hh:mm"),INDEX(상세표[시작],$U607)&amp;""))</f>
        <v/>
      </c>
      <c r="O607">
        <f>IF($U607="","",IF(ISNUMBER(INDEX(상세표[종료],$U607)),TEXT(INDEX(상세표[종료],$U607),"yyyy-mm-dd hh:mm"),INDEX(상세표[종료],$U607)&amp;""))</f>
        <v/>
      </c>
      <c r="P607">
        <f>IF($U607="","",INDEX(상세표[06~07시],$U607))</f>
        <v/>
      </c>
      <c r="Q607">
        <f>IF($U607="","",INDEX(상세표[07~18시],$U607))</f>
        <v/>
      </c>
      <c r="R607">
        <f>IF($U607="","",INDEX(상세표[18~22시],$U607))</f>
        <v/>
      </c>
      <c r="S607">
        <f>IF($U607="","",INDEX(상세표[22~06시],$U607))</f>
        <v/>
      </c>
      <c r="T607">
        <f>IF($U607="","",INDEX(상세표[기록 시간외],$U607))</f>
        <v/>
      </c>
      <c r="U607" s="4">
        <f>IFERROR(MATCH(602,상세표[발송순번],0),"")</f>
        <v/>
      </c>
    </row>
    <row r="608">
      <c r="J608">
        <f>IF($U608="","",INDEX(상세표[사번],$U608)&amp;"")</f>
        <v/>
      </c>
      <c r="K608">
        <f>IF($U608="","",INDEX(상세표[성명],$U608)&amp;"")</f>
        <v/>
      </c>
      <c r="L608">
        <f>IF($U608="","",INDEX(상세표[직위],$U608)&amp;"")</f>
        <v/>
      </c>
      <c r="M608">
        <f>IF($U608="","",IF(ISNUMBER(INDEX(상세표[근무일자],$U608)),TEXT(INDEX(상세표[근무일자],$U608),"yyyy-mm-dd"),INDEX(상세표[근무일자],$U608)&amp;""))</f>
        <v/>
      </c>
      <c r="N608">
        <f>IF($U608="","",IF(ISNUMBER(INDEX(상세표[시작],$U608)),TEXT(INDEX(상세표[시작],$U608),"yyyy-mm-dd hh:mm"),INDEX(상세표[시작],$U608)&amp;""))</f>
        <v/>
      </c>
      <c r="O608">
        <f>IF($U608="","",IF(ISNUMBER(INDEX(상세표[종료],$U608)),TEXT(INDEX(상세표[종료],$U608),"yyyy-mm-dd hh:mm"),INDEX(상세표[종료],$U608)&amp;""))</f>
        <v/>
      </c>
      <c r="P608">
        <f>IF($U608="","",INDEX(상세표[06~07시],$U608))</f>
        <v/>
      </c>
      <c r="Q608">
        <f>IF($U608="","",INDEX(상세표[07~18시],$U608))</f>
        <v/>
      </c>
      <c r="R608">
        <f>IF($U608="","",INDEX(상세표[18~22시],$U608))</f>
        <v/>
      </c>
      <c r="S608">
        <f>IF($U608="","",INDEX(상세표[22~06시],$U608))</f>
        <v/>
      </c>
      <c r="T608">
        <f>IF($U608="","",INDEX(상세표[기록 시간외],$U608))</f>
        <v/>
      </c>
      <c r="U608" s="4">
        <f>IFERROR(MATCH(603,상세표[발송순번],0),"")</f>
        <v/>
      </c>
    </row>
    <row r="609">
      <c r="J609">
        <f>IF($U609="","",INDEX(상세표[사번],$U609)&amp;"")</f>
        <v/>
      </c>
      <c r="K609">
        <f>IF($U609="","",INDEX(상세표[성명],$U609)&amp;"")</f>
        <v/>
      </c>
      <c r="L609">
        <f>IF($U609="","",INDEX(상세표[직위],$U609)&amp;"")</f>
        <v/>
      </c>
      <c r="M609">
        <f>IF($U609="","",IF(ISNUMBER(INDEX(상세표[근무일자],$U609)),TEXT(INDEX(상세표[근무일자],$U609),"yyyy-mm-dd"),INDEX(상세표[근무일자],$U609)&amp;""))</f>
        <v/>
      </c>
      <c r="N609">
        <f>IF($U609="","",IF(ISNUMBER(INDEX(상세표[시작],$U609)),TEXT(INDEX(상세표[시작],$U609),"yyyy-mm-dd hh:mm"),INDEX(상세표[시작],$U609)&amp;""))</f>
        <v/>
      </c>
      <c r="O609">
        <f>IF($U609="","",IF(ISNUMBER(INDEX(상세표[종료],$U609)),TEXT(INDEX(상세표[종료],$U609),"yyyy-mm-dd hh:mm"),INDEX(상세표[종료],$U609)&amp;""))</f>
        <v/>
      </c>
      <c r="P609">
        <f>IF($U609="","",INDEX(상세표[06~07시],$U609))</f>
        <v/>
      </c>
      <c r="Q609">
        <f>IF($U609="","",INDEX(상세표[07~18시],$U609))</f>
        <v/>
      </c>
      <c r="R609">
        <f>IF($U609="","",INDEX(상세표[18~22시],$U609))</f>
        <v/>
      </c>
      <c r="S609">
        <f>IF($U609="","",INDEX(상세표[22~06시],$U609))</f>
        <v/>
      </c>
      <c r="T609">
        <f>IF($U609="","",INDEX(상세표[기록 시간외],$U609))</f>
        <v/>
      </c>
      <c r="U609" s="4">
        <f>IFERROR(MATCH(604,상세표[발송순번],0),"")</f>
        <v/>
      </c>
    </row>
    <row r="610">
      <c r="J610">
        <f>IF($U610="","",INDEX(상세표[사번],$U610)&amp;"")</f>
        <v/>
      </c>
      <c r="K610">
        <f>IF($U610="","",INDEX(상세표[성명],$U610)&amp;"")</f>
        <v/>
      </c>
      <c r="L610">
        <f>IF($U610="","",INDEX(상세표[직위],$U610)&amp;"")</f>
        <v/>
      </c>
      <c r="M610">
        <f>IF($U610="","",IF(ISNUMBER(INDEX(상세표[근무일자],$U610)),TEXT(INDEX(상세표[근무일자],$U610),"yyyy-mm-dd"),INDEX(상세표[근무일자],$U610)&amp;""))</f>
        <v/>
      </c>
      <c r="N610">
        <f>IF($U610="","",IF(ISNUMBER(INDEX(상세표[시작],$U610)),TEXT(INDEX(상세표[시작],$U610),"yyyy-mm-dd hh:mm"),INDEX(상세표[시작],$U610)&amp;""))</f>
        <v/>
      </c>
      <c r="O610">
        <f>IF($U610="","",IF(ISNUMBER(INDEX(상세표[종료],$U610)),TEXT(INDEX(상세표[종료],$U610),"yyyy-mm-dd hh:mm"),INDEX(상세표[종료],$U610)&amp;""))</f>
        <v/>
      </c>
      <c r="P610">
        <f>IF($U610="","",INDEX(상세표[06~07시],$U610))</f>
        <v/>
      </c>
      <c r="Q610">
        <f>IF($U610="","",INDEX(상세표[07~18시],$U610))</f>
        <v/>
      </c>
      <c r="R610">
        <f>IF($U610="","",INDEX(상세표[18~22시],$U610))</f>
        <v/>
      </c>
      <c r="S610">
        <f>IF($U610="","",INDEX(상세표[22~06시],$U610))</f>
        <v/>
      </c>
      <c r="T610">
        <f>IF($U610="","",INDEX(상세표[기록 시간외],$U610))</f>
        <v/>
      </c>
      <c r="U610" s="4">
        <f>IFERROR(MATCH(605,상세표[발송순번],0),"")</f>
        <v/>
      </c>
    </row>
    <row r="611">
      <c r="J611">
        <f>IF($U611="","",INDEX(상세표[사번],$U611)&amp;"")</f>
        <v/>
      </c>
      <c r="K611">
        <f>IF($U611="","",INDEX(상세표[성명],$U611)&amp;"")</f>
        <v/>
      </c>
      <c r="L611">
        <f>IF($U611="","",INDEX(상세표[직위],$U611)&amp;"")</f>
        <v/>
      </c>
      <c r="M611">
        <f>IF($U611="","",IF(ISNUMBER(INDEX(상세표[근무일자],$U611)),TEXT(INDEX(상세표[근무일자],$U611),"yyyy-mm-dd"),INDEX(상세표[근무일자],$U611)&amp;""))</f>
        <v/>
      </c>
      <c r="N611">
        <f>IF($U611="","",IF(ISNUMBER(INDEX(상세표[시작],$U611)),TEXT(INDEX(상세표[시작],$U611),"yyyy-mm-dd hh:mm"),INDEX(상세표[시작],$U611)&amp;""))</f>
        <v/>
      </c>
      <c r="O611">
        <f>IF($U611="","",IF(ISNUMBER(INDEX(상세표[종료],$U611)),TEXT(INDEX(상세표[종료],$U611),"yyyy-mm-dd hh:mm"),INDEX(상세표[종료],$U611)&amp;""))</f>
        <v/>
      </c>
      <c r="P611">
        <f>IF($U611="","",INDEX(상세표[06~07시],$U611))</f>
        <v/>
      </c>
      <c r="Q611">
        <f>IF($U611="","",INDEX(상세표[07~18시],$U611))</f>
        <v/>
      </c>
      <c r="R611">
        <f>IF($U611="","",INDEX(상세표[18~22시],$U611))</f>
        <v/>
      </c>
      <c r="S611">
        <f>IF($U611="","",INDEX(상세표[22~06시],$U611))</f>
        <v/>
      </c>
      <c r="T611">
        <f>IF($U611="","",INDEX(상세표[기록 시간외],$U611))</f>
        <v/>
      </c>
      <c r="U611" s="4">
        <f>IFERROR(MATCH(606,상세표[발송순번],0),"")</f>
        <v/>
      </c>
    </row>
    <row r="612">
      <c r="J612">
        <f>IF($U612="","",INDEX(상세표[사번],$U612)&amp;"")</f>
        <v/>
      </c>
      <c r="K612">
        <f>IF($U612="","",INDEX(상세표[성명],$U612)&amp;"")</f>
        <v/>
      </c>
      <c r="L612">
        <f>IF($U612="","",INDEX(상세표[직위],$U612)&amp;"")</f>
        <v/>
      </c>
      <c r="M612">
        <f>IF($U612="","",IF(ISNUMBER(INDEX(상세표[근무일자],$U612)),TEXT(INDEX(상세표[근무일자],$U612),"yyyy-mm-dd"),INDEX(상세표[근무일자],$U612)&amp;""))</f>
        <v/>
      </c>
      <c r="N612">
        <f>IF($U612="","",IF(ISNUMBER(INDEX(상세표[시작],$U612)),TEXT(INDEX(상세표[시작],$U612),"yyyy-mm-dd hh:mm"),INDEX(상세표[시작],$U612)&amp;""))</f>
        <v/>
      </c>
      <c r="O612">
        <f>IF($U612="","",IF(ISNUMBER(INDEX(상세표[종료],$U612)),TEXT(INDEX(상세표[종료],$U612),"yyyy-mm-dd hh:mm"),INDEX(상세표[종료],$U612)&amp;""))</f>
        <v/>
      </c>
      <c r="P612">
        <f>IF($U612="","",INDEX(상세표[06~07시],$U612))</f>
        <v/>
      </c>
      <c r="Q612">
        <f>IF($U612="","",INDEX(상세표[07~18시],$U612))</f>
        <v/>
      </c>
      <c r="R612">
        <f>IF($U612="","",INDEX(상세표[18~22시],$U612))</f>
        <v/>
      </c>
      <c r="S612">
        <f>IF($U612="","",INDEX(상세표[22~06시],$U612))</f>
        <v/>
      </c>
      <c r="T612">
        <f>IF($U612="","",INDEX(상세표[기록 시간외],$U612))</f>
        <v/>
      </c>
      <c r="U612" s="4">
        <f>IFERROR(MATCH(607,상세표[발송순번],0),"")</f>
        <v/>
      </c>
    </row>
    <row r="613">
      <c r="J613">
        <f>IF($U613="","",INDEX(상세표[사번],$U613)&amp;"")</f>
        <v/>
      </c>
      <c r="K613">
        <f>IF($U613="","",INDEX(상세표[성명],$U613)&amp;"")</f>
        <v/>
      </c>
      <c r="L613">
        <f>IF($U613="","",INDEX(상세표[직위],$U613)&amp;"")</f>
        <v/>
      </c>
      <c r="M613">
        <f>IF($U613="","",IF(ISNUMBER(INDEX(상세표[근무일자],$U613)),TEXT(INDEX(상세표[근무일자],$U613),"yyyy-mm-dd"),INDEX(상세표[근무일자],$U613)&amp;""))</f>
        <v/>
      </c>
      <c r="N613">
        <f>IF($U613="","",IF(ISNUMBER(INDEX(상세표[시작],$U613)),TEXT(INDEX(상세표[시작],$U613),"yyyy-mm-dd hh:mm"),INDEX(상세표[시작],$U613)&amp;""))</f>
        <v/>
      </c>
      <c r="O613">
        <f>IF($U613="","",IF(ISNUMBER(INDEX(상세표[종료],$U613)),TEXT(INDEX(상세표[종료],$U613),"yyyy-mm-dd hh:mm"),INDEX(상세표[종료],$U613)&amp;""))</f>
        <v/>
      </c>
      <c r="P613">
        <f>IF($U613="","",INDEX(상세표[06~07시],$U613))</f>
        <v/>
      </c>
      <c r="Q613">
        <f>IF($U613="","",INDEX(상세표[07~18시],$U613))</f>
        <v/>
      </c>
      <c r="R613">
        <f>IF($U613="","",INDEX(상세표[18~22시],$U613))</f>
        <v/>
      </c>
      <c r="S613">
        <f>IF($U613="","",INDEX(상세표[22~06시],$U613))</f>
        <v/>
      </c>
      <c r="T613">
        <f>IF($U613="","",INDEX(상세표[기록 시간외],$U613))</f>
        <v/>
      </c>
      <c r="U613" s="4">
        <f>IFERROR(MATCH(608,상세표[발송순번],0),"")</f>
        <v/>
      </c>
    </row>
    <row r="614">
      <c r="J614">
        <f>IF($U614="","",INDEX(상세표[사번],$U614)&amp;"")</f>
        <v/>
      </c>
      <c r="K614">
        <f>IF($U614="","",INDEX(상세표[성명],$U614)&amp;"")</f>
        <v/>
      </c>
      <c r="L614">
        <f>IF($U614="","",INDEX(상세표[직위],$U614)&amp;"")</f>
        <v/>
      </c>
      <c r="M614">
        <f>IF($U614="","",IF(ISNUMBER(INDEX(상세표[근무일자],$U614)),TEXT(INDEX(상세표[근무일자],$U614),"yyyy-mm-dd"),INDEX(상세표[근무일자],$U614)&amp;""))</f>
        <v/>
      </c>
      <c r="N614">
        <f>IF($U614="","",IF(ISNUMBER(INDEX(상세표[시작],$U614)),TEXT(INDEX(상세표[시작],$U614),"yyyy-mm-dd hh:mm"),INDEX(상세표[시작],$U614)&amp;""))</f>
        <v/>
      </c>
      <c r="O614">
        <f>IF($U614="","",IF(ISNUMBER(INDEX(상세표[종료],$U614)),TEXT(INDEX(상세표[종료],$U614),"yyyy-mm-dd hh:mm"),INDEX(상세표[종료],$U614)&amp;""))</f>
        <v/>
      </c>
      <c r="P614">
        <f>IF($U614="","",INDEX(상세표[06~07시],$U614))</f>
        <v/>
      </c>
      <c r="Q614">
        <f>IF($U614="","",INDEX(상세표[07~18시],$U614))</f>
        <v/>
      </c>
      <c r="R614">
        <f>IF($U614="","",INDEX(상세표[18~22시],$U614))</f>
        <v/>
      </c>
      <c r="S614">
        <f>IF($U614="","",INDEX(상세표[22~06시],$U614))</f>
        <v/>
      </c>
      <c r="T614">
        <f>IF($U614="","",INDEX(상세표[기록 시간외],$U614))</f>
        <v/>
      </c>
      <c r="U614" s="4">
        <f>IFERROR(MATCH(609,상세표[발송순번],0),"")</f>
        <v/>
      </c>
    </row>
    <row r="615">
      <c r="J615">
        <f>IF($U615="","",INDEX(상세표[사번],$U615)&amp;"")</f>
        <v/>
      </c>
      <c r="K615">
        <f>IF($U615="","",INDEX(상세표[성명],$U615)&amp;"")</f>
        <v/>
      </c>
      <c r="L615">
        <f>IF($U615="","",INDEX(상세표[직위],$U615)&amp;"")</f>
        <v/>
      </c>
      <c r="M615">
        <f>IF($U615="","",IF(ISNUMBER(INDEX(상세표[근무일자],$U615)),TEXT(INDEX(상세표[근무일자],$U615),"yyyy-mm-dd"),INDEX(상세표[근무일자],$U615)&amp;""))</f>
        <v/>
      </c>
      <c r="N615">
        <f>IF($U615="","",IF(ISNUMBER(INDEX(상세표[시작],$U615)),TEXT(INDEX(상세표[시작],$U615),"yyyy-mm-dd hh:mm"),INDEX(상세표[시작],$U615)&amp;""))</f>
        <v/>
      </c>
      <c r="O615">
        <f>IF($U615="","",IF(ISNUMBER(INDEX(상세표[종료],$U615)),TEXT(INDEX(상세표[종료],$U615),"yyyy-mm-dd hh:mm"),INDEX(상세표[종료],$U615)&amp;""))</f>
        <v/>
      </c>
      <c r="P615">
        <f>IF($U615="","",INDEX(상세표[06~07시],$U615))</f>
        <v/>
      </c>
      <c r="Q615">
        <f>IF($U615="","",INDEX(상세표[07~18시],$U615))</f>
        <v/>
      </c>
      <c r="R615">
        <f>IF($U615="","",INDEX(상세표[18~22시],$U615))</f>
        <v/>
      </c>
      <c r="S615">
        <f>IF($U615="","",INDEX(상세표[22~06시],$U615))</f>
        <v/>
      </c>
      <c r="T615">
        <f>IF($U615="","",INDEX(상세표[기록 시간외],$U615))</f>
        <v/>
      </c>
      <c r="U615" s="4">
        <f>IFERROR(MATCH(610,상세표[발송순번],0),"")</f>
        <v/>
      </c>
    </row>
    <row r="616">
      <c r="J616">
        <f>IF($U616="","",INDEX(상세표[사번],$U616)&amp;"")</f>
        <v/>
      </c>
      <c r="K616">
        <f>IF($U616="","",INDEX(상세표[성명],$U616)&amp;"")</f>
        <v/>
      </c>
      <c r="L616">
        <f>IF($U616="","",INDEX(상세표[직위],$U616)&amp;"")</f>
        <v/>
      </c>
      <c r="M616">
        <f>IF($U616="","",IF(ISNUMBER(INDEX(상세표[근무일자],$U616)),TEXT(INDEX(상세표[근무일자],$U616),"yyyy-mm-dd"),INDEX(상세표[근무일자],$U616)&amp;""))</f>
        <v/>
      </c>
      <c r="N616">
        <f>IF($U616="","",IF(ISNUMBER(INDEX(상세표[시작],$U616)),TEXT(INDEX(상세표[시작],$U616),"yyyy-mm-dd hh:mm"),INDEX(상세표[시작],$U616)&amp;""))</f>
        <v/>
      </c>
      <c r="O616">
        <f>IF($U616="","",IF(ISNUMBER(INDEX(상세표[종료],$U616)),TEXT(INDEX(상세표[종료],$U616),"yyyy-mm-dd hh:mm"),INDEX(상세표[종료],$U616)&amp;""))</f>
        <v/>
      </c>
      <c r="P616">
        <f>IF($U616="","",INDEX(상세표[06~07시],$U616))</f>
        <v/>
      </c>
      <c r="Q616">
        <f>IF($U616="","",INDEX(상세표[07~18시],$U616))</f>
        <v/>
      </c>
      <c r="R616">
        <f>IF($U616="","",INDEX(상세표[18~22시],$U616))</f>
        <v/>
      </c>
      <c r="S616">
        <f>IF($U616="","",INDEX(상세표[22~06시],$U616))</f>
        <v/>
      </c>
      <c r="T616">
        <f>IF($U616="","",INDEX(상세표[기록 시간외],$U616))</f>
        <v/>
      </c>
      <c r="U616" s="4">
        <f>IFERROR(MATCH(611,상세표[발송순번],0),"")</f>
        <v/>
      </c>
    </row>
    <row r="617">
      <c r="J617">
        <f>IF($U617="","",INDEX(상세표[사번],$U617)&amp;"")</f>
        <v/>
      </c>
      <c r="K617">
        <f>IF($U617="","",INDEX(상세표[성명],$U617)&amp;"")</f>
        <v/>
      </c>
      <c r="L617">
        <f>IF($U617="","",INDEX(상세표[직위],$U617)&amp;"")</f>
        <v/>
      </c>
      <c r="M617">
        <f>IF($U617="","",IF(ISNUMBER(INDEX(상세표[근무일자],$U617)),TEXT(INDEX(상세표[근무일자],$U617),"yyyy-mm-dd"),INDEX(상세표[근무일자],$U617)&amp;""))</f>
        <v/>
      </c>
      <c r="N617">
        <f>IF($U617="","",IF(ISNUMBER(INDEX(상세표[시작],$U617)),TEXT(INDEX(상세표[시작],$U617),"yyyy-mm-dd hh:mm"),INDEX(상세표[시작],$U617)&amp;""))</f>
        <v/>
      </c>
      <c r="O617">
        <f>IF($U617="","",IF(ISNUMBER(INDEX(상세표[종료],$U617)),TEXT(INDEX(상세표[종료],$U617),"yyyy-mm-dd hh:mm"),INDEX(상세표[종료],$U617)&amp;""))</f>
        <v/>
      </c>
      <c r="P617">
        <f>IF($U617="","",INDEX(상세표[06~07시],$U617))</f>
        <v/>
      </c>
      <c r="Q617">
        <f>IF($U617="","",INDEX(상세표[07~18시],$U617))</f>
        <v/>
      </c>
      <c r="R617">
        <f>IF($U617="","",INDEX(상세표[18~22시],$U617))</f>
        <v/>
      </c>
      <c r="S617">
        <f>IF($U617="","",INDEX(상세표[22~06시],$U617))</f>
        <v/>
      </c>
      <c r="T617">
        <f>IF($U617="","",INDEX(상세표[기록 시간외],$U617))</f>
        <v/>
      </c>
      <c r="U617" s="4">
        <f>IFERROR(MATCH(612,상세표[발송순번],0),"")</f>
        <v/>
      </c>
    </row>
    <row r="618">
      <c r="J618">
        <f>IF($U618="","",INDEX(상세표[사번],$U618)&amp;"")</f>
        <v/>
      </c>
      <c r="K618">
        <f>IF($U618="","",INDEX(상세표[성명],$U618)&amp;"")</f>
        <v/>
      </c>
      <c r="L618">
        <f>IF($U618="","",INDEX(상세표[직위],$U618)&amp;"")</f>
        <v/>
      </c>
      <c r="M618">
        <f>IF($U618="","",IF(ISNUMBER(INDEX(상세표[근무일자],$U618)),TEXT(INDEX(상세표[근무일자],$U618),"yyyy-mm-dd"),INDEX(상세표[근무일자],$U618)&amp;""))</f>
        <v/>
      </c>
      <c r="N618">
        <f>IF($U618="","",IF(ISNUMBER(INDEX(상세표[시작],$U618)),TEXT(INDEX(상세표[시작],$U618),"yyyy-mm-dd hh:mm"),INDEX(상세표[시작],$U618)&amp;""))</f>
        <v/>
      </c>
      <c r="O618">
        <f>IF($U618="","",IF(ISNUMBER(INDEX(상세표[종료],$U618)),TEXT(INDEX(상세표[종료],$U618),"yyyy-mm-dd hh:mm"),INDEX(상세표[종료],$U618)&amp;""))</f>
        <v/>
      </c>
      <c r="P618">
        <f>IF($U618="","",INDEX(상세표[06~07시],$U618))</f>
        <v/>
      </c>
      <c r="Q618">
        <f>IF($U618="","",INDEX(상세표[07~18시],$U618))</f>
        <v/>
      </c>
      <c r="R618">
        <f>IF($U618="","",INDEX(상세표[18~22시],$U618))</f>
        <v/>
      </c>
      <c r="S618">
        <f>IF($U618="","",INDEX(상세표[22~06시],$U618))</f>
        <v/>
      </c>
      <c r="T618">
        <f>IF($U618="","",INDEX(상세표[기록 시간외],$U618))</f>
        <v/>
      </c>
      <c r="U618" s="4">
        <f>IFERROR(MATCH(613,상세표[발송순번],0),"")</f>
        <v/>
      </c>
    </row>
    <row r="619">
      <c r="J619">
        <f>IF($U619="","",INDEX(상세표[사번],$U619)&amp;"")</f>
        <v/>
      </c>
      <c r="K619">
        <f>IF($U619="","",INDEX(상세표[성명],$U619)&amp;"")</f>
        <v/>
      </c>
      <c r="L619">
        <f>IF($U619="","",INDEX(상세표[직위],$U619)&amp;"")</f>
        <v/>
      </c>
      <c r="M619">
        <f>IF($U619="","",IF(ISNUMBER(INDEX(상세표[근무일자],$U619)),TEXT(INDEX(상세표[근무일자],$U619),"yyyy-mm-dd"),INDEX(상세표[근무일자],$U619)&amp;""))</f>
        <v/>
      </c>
      <c r="N619">
        <f>IF($U619="","",IF(ISNUMBER(INDEX(상세표[시작],$U619)),TEXT(INDEX(상세표[시작],$U619),"yyyy-mm-dd hh:mm"),INDEX(상세표[시작],$U619)&amp;""))</f>
        <v/>
      </c>
      <c r="O619">
        <f>IF($U619="","",IF(ISNUMBER(INDEX(상세표[종료],$U619)),TEXT(INDEX(상세표[종료],$U619),"yyyy-mm-dd hh:mm"),INDEX(상세표[종료],$U619)&amp;""))</f>
        <v/>
      </c>
      <c r="P619">
        <f>IF($U619="","",INDEX(상세표[06~07시],$U619))</f>
        <v/>
      </c>
      <c r="Q619">
        <f>IF($U619="","",INDEX(상세표[07~18시],$U619))</f>
        <v/>
      </c>
      <c r="R619">
        <f>IF($U619="","",INDEX(상세표[18~22시],$U619))</f>
        <v/>
      </c>
      <c r="S619">
        <f>IF($U619="","",INDEX(상세표[22~06시],$U619))</f>
        <v/>
      </c>
      <c r="T619">
        <f>IF($U619="","",INDEX(상세표[기록 시간외],$U619))</f>
        <v/>
      </c>
      <c r="U619" s="4">
        <f>IFERROR(MATCH(614,상세표[발송순번],0),"")</f>
        <v/>
      </c>
    </row>
    <row r="620">
      <c r="J620">
        <f>IF($U620="","",INDEX(상세표[사번],$U620)&amp;"")</f>
        <v/>
      </c>
      <c r="K620">
        <f>IF($U620="","",INDEX(상세표[성명],$U620)&amp;"")</f>
        <v/>
      </c>
      <c r="L620">
        <f>IF($U620="","",INDEX(상세표[직위],$U620)&amp;"")</f>
        <v/>
      </c>
      <c r="M620">
        <f>IF($U620="","",IF(ISNUMBER(INDEX(상세표[근무일자],$U620)),TEXT(INDEX(상세표[근무일자],$U620),"yyyy-mm-dd"),INDEX(상세표[근무일자],$U620)&amp;""))</f>
        <v/>
      </c>
      <c r="N620">
        <f>IF($U620="","",IF(ISNUMBER(INDEX(상세표[시작],$U620)),TEXT(INDEX(상세표[시작],$U620),"yyyy-mm-dd hh:mm"),INDEX(상세표[시작],$U620)&amp;""))</f>
        <v/>
      </c>
      <c r="O620">
        <f>IF($U620="","",IF(ISNUMBER(INDEX(상세표[종료],$U620)),TEXT(INDEX(상세표[종료],$U620),"yyyy-mm-dd hh:mm"),INDEX(상세표[종료],$U620)&amp;""))</f>
        <v/>
      </c>
      <c r="P620">
        <f>IF($U620="","",INDEX(상세표[06~07시],$U620))</f>
        <v/>
      </c>
      <c r="Q620">
        <f>IF($U620="","",INDEX(상세표[07~18시],$U620))</f>
        <v/>
      </c>
      <c r="R620">
        <f>IF($U620="","",INDEX(상세표[18~22시],$U620))</f>
        <v/>
      </c>
      <c r="S620">
        <f>IF($U620="","",INDEX(상세표[22~06시],$U620))</f>
        <v/>
      </c>
      <c r="T620">
        <f>IF($U620="","",INDEX(상세표[기록 시간외],$U620))</f>
        <v/>
      </c>
      <c r="U620" s="4">
        <f>IFERROR(MATCH(615,상세표[발송순번],0),"")</f>
        <v/>
      </c>
    </row>
    <row r="621">
      <c r="J621">
        <f>IF($U621="","",INDEX(상세표[사번],$U621)&amp;"")</f>
        <v/>
      </c>
      <c r="K621">
        <f>IF($U621="","",INDEX(상세표[성명],$U621)&amp;"")</f>
        <v/>
      </c>
      <c r="L621">
        <f>IF($U621="","",INDEX(상세표[직위],$U621)&amp;"")</f>
        <v/>
      </c>
      <c r="M621">
        <f>IF($U621="","",IF(ISNUMBER(INDEX(상세표[근무일자],$U621)),TEXT(INDEX(상세표[근무일자],$U621),"yyyy-mm-dd"),INDEX(상세표[근무일자],$U621)&amp;""))</f>
        <v/>
      </c>
      <c r="N621">
        <f>IF($U621="","",IF(ISNUMBER(INDEX(상세표[시작],$U621)),TEXT(INDEX(상세표[시작],$U621),"yyyy-mm-dd hh:mm"),INDEX(상세표[시작],$U621)&amp;""))</f>
        <v/>
      </c>
      <c r="O621">
        <f>IF($U621="","",IF(ISNUMBER(INDEX(상세표[종료],$U621)),TEXT(INDEX(상세표[종료],$U621),"yyyy-mm-dd hh:mm"),INDEX(상세표[종료],$U621)&amp;""))</f>
        <v/>
      </c>
      <c r="P621">
        <f>IF($U621="","",INDEX(상세표[06~07시],$U621))</f>
        <v/>
      </c>
      <c r="Q621">
        <f>IF($U621="","",INDEX(상세표[07~18시],$U621))</f>
        <v/>
      </c>
      <c r="R621">
        <f>IF($U621="","",INDEX(상세표[18~22시],$U621))</f>
        <v/>
      </c>
      <c r="S621">
        <f>IF($U621="","",INDEX(상세표[22~06시],$U621))</f>
        <v/>
      </c>
      <c r="T621">
        <f>IF($U621="","",INDEX(상세표[기록 시간외],$U621))</f>
        <v/>
      </c>
      <c r="U621" s="4">
        <f>IFERROR(MATCH(616,상세표[발송순번],0),"")</f>
        <v/>
      </c>
    </row>
    <row r="622">
      <c r="J622">
        <f>IF($U622="","",INDEX(상세표[사번],$U622)&amp;"")</f>
        <v/>
      </c>
      <c r="K622">
        <f>IF($U622="","",INDEX(상세표[성명],$U622)&amp;"")</f>
        <v/>
      </c>
      <c r="L622">
        <f>IF($U622="","",INDEX(상세표[직위],$U622)&amp;"")</f>
        <v/>
      </c>
      <c r="M622">
        <f>IF($U622="","",IF(ISNUMBER(INDEX(상세표[근무일자],$U622)),TEXT(INDEX(상세표[근무일자],$U622),"yyyy-mm-dd"),INDEX(상세표[근무일자],$U622)&amp;""))</f>
        <v/>
      </c>
      <c r="N622">
        <f>IF($U622="","",IF(ISNUMBER(INDEX(상세표[시작],$U622)),TEXT(INDEX(상세표[시작],$U622),"yyyy-mm-dd hh:mm"),INDEX(상세표[시작],$U622)&amp;""))</f>
        <v/>
      </c>
      <c r="O622">
        <f>IF($U622="","",IF(ISNUMBER(INDEX(상세표[종료],$U622)),TEXT(INDEX(상세표[종료],$U622),"yyyy-mm-dd hh:mm"),INDEX(상세표[종료],$U622)&amp;""))</f>
        <v/>
      </c>
      <c r="P622">
        <f>IF($U622="","",INDEX(상세표[06~07시],$U622))</f>
        <v/>
      </c>
      <c r="Q622">
        <f>IF($U622="","",INDEX(상세표[07~18시],$U622))</f>
        <v/>
      </c>
      <c r="R622">
        <f>IF($U622="","",INDEX(상세표[18~22시],$U622))</f>
        <v/>
      </c>
      <c r="S622">
        <f>IF($U622="","",INDEX(상세표[22~06시],$U622))</f>
        <v/>
      </c>
      <c r="T622">
        <f>IF($U622="","",INDEX(상세표[기록 시간외],$U622))</f>
        <v/>
      </c>
      <c r="U622" s="4">
        <f>IFERROR(MATCH(617,상세표[발송순번],0),"")</f>
        <v/>
      </c>
    </row>
    <row r="623">
      <c r="J623">
        <f>IF($U623="","",INDEX(상세표[사번],$U623)&amp;"")</f>
        <v/>
      </c>
      <c r="K623">
        <f>IF($U623="","",INDEX(상세표[성명],$U623)&amp;"")</f>
        <v/>
      </c>
      <c r="L623">
        <f>IF($U623="","",INDEX(상세표[직위],$U623)&amp;"")</f>
        <v/>
      </c>
      <c r="M623">
        <f>IF($U623="","",IF(ISNUMBER(INDEX(상세표[근무일자],$U623)),TEXT(INDEX(상세표[근무일자],$U623),"yyyy-mm-dd"),INDEX(상세표[근무일자],$U623)&amp;""))</f>
        <v/>
      </c>
      <c r="N623">
        <f>IF($U623="","",IF(ISNUMBER(INDEX(상세표[시작],$U623)),TEXT(INDEX(상세표[시작],$U623),"yyyy-mm-dd hh:mm"),INDEX(상세표[시작],$U623)&amp;""))</f>
        <v/>
      </c>
      <c r="O623">
        <f>IF($U623="","",IF(ISNUMBER(INDEX(상세표[종료],$U623)),TEXT(INDEX(상세표[종료],$U623),"yyyy-mm-dd hh:mm"),INDEX(상세표[종료],$U623)&amp;""))</f>
        <v/>
      </c>
      <c r="P623">
        <f>IF($U623="","",INDEX(상세표[06~07시],$U623))</f>
        <v/>
      </c>
      <c r="Q623">
        <f>IF($U623="","",INDEX(상세표[07~18시],$U623))</f>
        <v/>
      </c>
      <c r="R623">
        <f>IF($U623="","",INDEX(상세표[18~22시],$U623))</f>
        <v/>
      </c>
      <c r="S623">
        <f>IF($U623="","",INDEX(상세표[22~06시],$U623))</f>
        <v/>
      </c>
      <c r="T623">
        <f>IF($U623="","",INDEX(상세표[기록 시간외],$U623))</f>
        <v/>
      </c>
      <c r="U623" s="4">
        <f>IFERROR(MATCH(618,상세표[발송순번],0),"")</f>
        <v/>
      </c>
    </row>
    <row r="624">
      <c r="J624">
        <f>IF($U624="","",INDEX(상세표[사번],$U624)&amp;"")</f>
        <v/>
      </c>
      <c r="K624">
        <f>IF($U624="","",INDEX(상세표[성명],$U624)&amp;"")</f>
        <v/>
      </c>
      <c r="L624">
        <f>IF($U624="","",INDEX(상세표[직위],$U624)&amp;"")</f>
        <v/>
      </c>
      <c r="M624">
        <f>IF($U624="","",IF(ISNUMBER(INDEX(상세표[근무일자],$U624)),TEXT(INDEX(상세표[근무일자],$U624),"yyyy-mm-dd"),INDEX(상세표[근무일자],$U624)&amp;""))</f>
        <v/>
      </c>
      <c r="N624">
        <f>IF($U624="","",IF(ISNUMBER(INDEX(상세표[시작],$U624)),TEXT(INDEX(상세표[시작],$U624),"yyyy-mm-dd hh:mm"),INDEX(상세표[시작],$U624)&amp;""))</f>
        <v/>
      </c>
      <c r="O624">
        <f>IF($U624="","",IF(ISNUMBER(INDEX(상세표[종료],$U624)),TEXT(INDEX(상세표[종료],$U624),"yyyy-mm-dd hh:mm"),INDEX(상세표[종료],$U624)&amp;""))</f>
        <v/>
      </c>
      <c r="P624">
        <f>IF($U624="","",INDEX(상세표[06~07시],$U624))</f>
        <v/>
      </c>
      <c r="Q624">
        <f>IF($U624="","",INDEX(상세표[07~18시],$U624))</f>
        <v/>
      </c>
      <c r="R624">
        <f>IF($U624="","",INDEX(상세표[18~22시],$U624))</f>
        <v/>
      </c>
      <c r="S624">
        <f>IF($U624="","",INDEX(상세표[22~06시],$U624))</f>
        <v/>
      </c>
      <c r="T624">
        <f>IF($U624="","",INDEX(상세표[기록 시간외],$U624))</f>
        <v/>
      </c>
      <c r="U624" s="4">
        <f>IFERROR(MATCH(619,상세표[발송순번],0),"")</f>
        <v/>
      </c>
    </row>
    <row r="625">
      <c r="J625">
        <f>IF($U625="","",INDEX(상세표[사번],$U625)&amp;"")</f>
        <v/>
      </c>
      <c r="K625">
        <f>IF($U625="","",INDEX(상세표[성명],$U625)&amp;"")</f>
        <v/>
      </c>
      <c r="L625">
        <f>IF($U625="","",INDEX(상세표[직위],$U625)&amp;"")</f>
        <v/>
      </c>
      <c r="M625">
        <f>IF($U625="","",IF(ISNUMBER(INDEX(상세표[근무일자],$U625)),TEXT(INDEX(상세표[근무일자],$U625),"yyyy-mm-dd"),INDEX(상세표[근무일자],$U625)&amp;""))</f>
        <v/>
      </c>
      <c r="N625">
        <f>IF($U625="","",IF(ISNUMBER(INDEX(상세표[시작],$U625)),TEXT(INDEX(상세표[시작],$U625),"yyyy-mm-dd hh:mm"),INDEX(상세표[시작],$U625)&amp;""))</f>
        <v/>
      </c>
      <c r="O625">
        <f>IF($U625="","",IF(ISNUMBER(INDEX(상세표[종료],$U625)),TEXT(INDEX(상세표[종료],$U625),"yyyy-mm-dd hh:mm"),INDEX(상세표[종료],$U625)&amp;""))</f>
        <v/>
      </c>
      <c r="P625">
        <f>IF($U625="","",INDEX(상세표[06~07시],$U625))</f>
        <v/>
      </c>
      <c r="Q625">
        <f>IF($U625="","",INDEX(상세표[07~18시],$U625))</f>
        <v/>
      </c>
      <c r="R625">
        <f>IF($U625="","",INDEX(상세표[18~22시],$U625))</f>
        <v/>
      </c>
      <c r="S625">
        <f>IF($U625="","",INDEX(상세표[22~06시],$U625))</f>
        <v/>
      </c>
      <c r="T625">
        <f>IF($U625="","",INDEX(상세표[기록 시간외],$U625))</f>
        <v/>
      </c>
      <c r="U625" s="4">
        <f>IFERROR(MATCH(620,상세표[발송순번],0),"")</f>
        <v/>
      </c>
    </row>
    <row r="626">
      <c r="J626">
        <f>IF($U626="","",INDEX(상세표[사번],$U626)&amp;"")</f>
        <v/>
      </c>
      <c r="K626">
        <f>IF($U626="","",INDEX(상세표[성명],$U626)&amp;"")</f>
        <v/>
      </c>
      <c r="L626">
        <f>IF($U626="","",INDEX(상세표[직위],$U626)&amp;"")</f>
        <v/>
      </c>
      <c r="M626">
        <f>IF($U626="","",IF(ISNUMBER(INDEX(상세표[근무일자],$U626)),TEXT(INDEX(상세표[근무일자],$U626),"yyyy-mm-dd"),INDEX(상세표[근무일자],$U626)&amp;""))</f>
        <v/>
      </c>
      <c r="N626">
        <f>IF($U626="","",IF(ISNUMBER(INDEX(상세표[시작],$U626)),TEXT(INDEX(상세표[시작],$U626),"yyyy-mm-dd hh:mm"),INDEX(상세표[시작],$U626)&amp;""))</f>
        <v/>
      </c>
      <c r="O626">
        <f>IF($U626="","",IF(ISNUMBER(INDEX(상세표[종료],$U626)),TEXT(INDEX(상세표[종료],$U626),"yyyy-mm-dd hh:mm"),INDEX(상세표[종료],$U626)&amp;""))</f>
        <v/>
      </c>
      <c r="P626">
        <f>IF($U626="","",INDEX(상세표[06~07시],$U626))</f>
        <v/>
      </c>
      <c r="Q626">
        <f>IF($U626="","",INDEX(상세표[07~18시],$U626))</f>
        <v/>
      </c>
      <c r="R626">
        <f>IF($U626="","",INDEX(상세표[18~22시],$U626))</f>
        <v/>
      </c>
      <c r="S626">
        <f>IF($U626="","",INDEX(상세표[22~06시],$U626))</f>
        <v/>
      </c>
      <c r="T626">
        <f>IF($U626="","",INDEX(상세표[기록 시간외],$U626))</f>
        <v/>
      </c>
      <c r="U626" s="4">
        <f>IFERROR(MATCH(621,상세표[발송순번],0),"")</f>
        <v/>
      </c>
    </row>
    <row r="627">
      <c r="J627">
        <f>IF($U627="","",INDEX(상세표[사번],$U627)&amp;"")</f>
        <v/>
      </c>
      <c r="K627">
        <f>IF($U627="","",INDEX(상세표[성명],$U627)&amp;"")</f>
        <v/>
      </c>
      <c r="L627">
        <f>IF($U627="","",INDEX(상세표[직위],$U627)&amp;"")</f>
        <v/>
      </c>
      <c r="M627">
        <f>IF($U627="","",IF(ISNUMBER(INDEX(상세표[근무일자],$U627)),TEXT(INDEX(상세표[근무일자],$U627),"yyyy-mm-dd"),INDEX(상세표[근무일자],$U627)&amp;""))</f>
        <v/>
      </c>
      <c r="N627">
        <f>IF($U627="","",IF(ISNUMBER(INDEX(상세표[시작],$U627)),TEXT(INDEX(상세표[시작],$U627),"yyyy-mm-dd hh:mm"),INDEX(상세표[시작],$U627)&amp;""))</f>
        <v/>
      </c>
      <c r="O627">
        <f>IF($U627="","",IF(ISNUMBER(INDEX(상세표[종료],$U627)),TEXT(INDEX(상세표[종료],$U627),"yyyy-mm-dd hh:mm"),INDEX(상세표[종료],$U627)&amp;""))</f>
        <v/>
      </c>
      <c r="P627">
        <f>IF($U627="","",INDEX(상세표[06~07시],$U627))</f>
        <v/>
      </c>
      <c r="Q627">
        <f>IF($U627="","",INDEX(상세표[07~18시],$U627))</f>
        <v/>
      </c>
      <c r="R627">
        <f>IF($U627="","",INDEX(상세표[18~22시],$U627))</f>
        <v/>
      </c>
      <c r="S627">
        <f>IF($U627="","",INDEX(상세표[22~06시],$U627))</f>
        <v/>
      </c>
      <c r="T627">
        <f>IF($U627="","",INDEX(상세표[기록 시간외],$U627))</f>
        <v/>
      </c>
      <c r="U627" s="4">
        <f>IFERROR(MATCH(622,상세표[발송순번],0),"")</f>
        <v/>
      </c>
    </row>
    <row r="628">
      <c r="J628">
        <f>IF($U628="","",INDEX(상세표[사번],$U628)&amp;"")</f>
        <v/>
      </c>
      <c r="K628">
        <f>IF($U628="","",INDEX(상세표[성명],$U628)&amp;"")</f>
        <v/>
      </c>
      <c r="L628">
        <f>IF($U628="","",INDEX(상세표[직위],$U628)&amp;"")</f>
        <v/>
      </c>
      <c r="M628">
        <f>IF($U628="","",IF(ISNUMBER(INDEX(상세표[근무일자],$U628)),TEXT(INDEX(상세표[근무일자],$U628),"yyyy-mm-dd"),INDEX(상세표[근무일자],$U628)&amp;""))</f>
        <v/>
      </c>
      <c r="N628">
        <f>IF($U628="","",IF(ISNUMBER(INDEX(상세표[시작],$U628)),TEXT(INDEX(상세표[시작],$U628),"yyyy-mm-dd hh:mm"),INDEX(상세표[시작],$U628)&amp;""))</f>
        <v/>
      </c>
      <c r="O628">
        <f>IF($U628="","",IF(ISNUMBER(INDEX(상세표[종료],$U628)),TEXT(INDEX(상세표[종료],$U628),"yyyy-mm-dd hh:mm"),INDEX(상세표[종료],$U628)&amp;""))</f>
        <v/>
      </c>
      <c r="P628">
        <f>IF($U628="","",INDEX(상세표[06~07시],$U628))</f>
        <v/>
      </c>
      <c r="Q628">
        <f>IF($U628="","",INDEX(상세표[07~18시],$U628))</f>
        <v/>
      </c>
      <c r="R628">
        <f>IF($U628="","",INDEX(상세표[18~22시],$U628))</f>
        <v/>
      </c>
      <c r="S628">
        <f>IF($U628="","",INDEX(상세표[22~06시],$U628))</f>
        <v/>
      </c>
      <c r="T628">
        <f>IF($U628="","",INDEX(상세표[기록 시간외],$U628))</f>
        <v/>
      </c>
      <c r="U628" s="4">
        <f>IFERROR(MATCH(623,상세표[발송순번],0),"")</f>
        <v/>
      </c>
    </row>
    <row r="629">
      <c r="J629">
        <f>IF($U629="","",INDEX(상세표[사번],$U629)&amp;"")</f>
        <v/>
      </c>
      <c r="K629">
        <f>IF($U629="","",INDEX(상세표[성명],$U629)&amp;"")</f>
        <v/>
      </c>
      <c r="L629">
        <f>IF($U629="","",INDEX(상세표[직위],$U629)&amp;"")</f>
        <v/>
      </c>
      <c r="M629">
        <f>IF($U629="","",IF(ISNUMBER(INDEX(상세표[근무일자],$U629)),TEXT(INDEX(상세표[근무일자],$U629),"yyyy-mm-dd"),INDEX(상세표[근무일자],$U629)&amp;""))</f>
        <v/>
      </c>
      <c r="N629">
        <f>IF($U629="","",IF(ISNUMBER(INDEX(상세표[시작],$U629)),TEXT(INDEX(상세표[시작],$U629),"yyyy-mm-dd hh:mm"),INDEX(상세표[시작],$U629)&amp;""))</f>
        <v/>
      </c>
      <c r="O629">
        <f>IF($U629="","",IF(ISNUMBER(INDEX(상세표[종료],$U629)),TEXT(INDEX(상세표[종료],$U629),"yyyy-mm-dd hh:mm"),INDEX(상세표[종료],$U629)&amp;""))</f>
        <v/>
      </c>
      <c r="P629">
        <f>IF($U629="","",INDEX(상세표[06~07시],$U629))</f>
        <v/>
      </c>
      <c r="Q629">
        <f>IF($U629="","",INDEX(상세표[07~18시],$U629))</f>
        <v/>
      </c>
      <c r="R629">
        <f>IF($U629="","",INDEX(상세표[18~22시],$U629))</f>
        <v/>
      </c>
      <c r="S629">
        <f>IF($U629="","",INDEX(상세표[22~06시],$U629))</f>
        <v/>
      </c>
      <c r="T629">
        <f>IF($U629="","",INDEX(상세표[기록 시간외],$U629))</f>
        <v/>
      </c>
      <c r="U629" s="4">
        <f>IFERROR(MATCH(624,상세표[발송순번],0),"")</f>
        <v/>
      </c>
    </row>
    <row r="630">
      <c r="J630">
        <f>IF($U630="","",INDEX(상세표[사번],$U630)&amp;"")</f>
        <v/>
      </c>
      <c r="K630">
        <f>IF($U630="","",INDEX(상세표[성명],$U630)&amp;"")</f>
        <v/>
      </c>
      <c r="L630">
        <f>IF($U630="","",INDEX(상세표[직위],$U630)&amp;"")</f>
        <v/>
      </c>
      <c r="M630">
        <f>IF($U630="","",IF(ISNUMBER(INDEX(상세표[근무일자],$U630)),TEXT(INDEX(상세표[근무일자],$U630),"yyyy-mm-dd"),INDEX(상세표[근무일자],$U630)&amp;""))</f>
        <v/>
      </c>
      <c r="N630">
        <f>IF($U630="","",IF(ISNUMBER(INDEX(상세표[시작],$U630)),TEXT(INDEX(상세표[시작],$U630),"yyyy-mm-dd hh:mm"),INDEX(상세표[시작],$U630)&amp;""))</f>
        <v/>
      </c>
      <c r="O630">
        <f>IF($U630="","",IF(ISNUMBER(INDEX(상세표[종료],$U630)),TEXT(INDEX(상세표[종료],$U630),"yyyy-mm-dd hh:mm"),INDEX(상세표[종료],$U630)&amp;""))</f>
        <v/>
      </c>
      <c r="P630">
        <f>IF($U630="","",INDEX(상세표[06~07시],$U630))</f>
        <v/>
      </c>
      <c r="Q630">
        <f>IF($U630="","",INDEX(상세표[07~18시],$U630))</f>
        <v/>
      </c>
      <c r="R630">
        <f>IF($U630="","",INDEX(상세표[18~22시],$U630))</f>
        <v/>
      </c>
      <c r="S630">
        <f>IF($U630="","",INDEX(상세표[22~06시],$U630))</f>
        <v/>
      </c>
      <c r="T630">
        <f>IF($U630="","",INDEX(상세표[기록 시간외],$U630))</f>
        <v/>
      </c>
      <c r="U630" s="4">
        <f>IFERROR(MATCH(625,상세표[발송순번],0),"")</f>
        <v/>
      </c>
    </row>
    <row r="631">
      <c r="J631">
        <f>IF($U631="","",INDEX(상세표[사번],$U631)&amp;"")</f>
        <v/>
      </c>
      <c r="K631">
        <f>IF($U631="","",INDEX(상세표[성명],$U631)&amp;"")</f>
        <v/>
      </c>
      <c r="L631">
        <f>IF($U631="","",INDEX(상세표[직위],$U631)&amp;"")</f>
        <v/>
      </c>
      <c r="M631">
        <f>IF($U631="","",IF(ISNUMBER(INDEX(상세표[근무일자],$U631)),TEXT(INDEX(상세표[근무일자],$U631),"yyyy-mm-dd"),INDEX(상세표[근무일자],$U631)&amp;""))</f>
        <v/>
      </c>
      <c r="N631">
        <f>IF($U631="","",IF(ISNUMBER(INDEX(상세표[시작],$U631)),TEXT(INDEX(상세표[시작],$U631),"yyyy-mm-dd hh:mm"),INDEX(상세표[시작],$U631)&amp;""))</f>
        <v/>
      </c>
      <c r="O631">
        <f>IF($U631="","",IF(ISNUMBER(INDEX(상세표[종료],$U631)),TEXT(INDEX(상세표[종료],$U631),"yyyy-mm-dd hh:mm"),INDEX(상세표[종료],$U631)&amp;""))</f>
        <v/>
      </c>
      <c r="P631">
        <f>IF($U631="","",INDEX(상세표[06~07시],$U631))</f>
        <v/>
      </c>
      <c r="Q631">
        <f>IF($U631="","",INDEX(상세표[07~18시],$U631))</f>
        <v/>
      </c>
      <c r="R631">
        <f>IF($U631="","",INDEX(상세표[18~22시],$U631))</f>
        <v/>
      </c>
      <c r="S631">
        <f>IF($U631="","",INDEX(상세표[22~06시],$U631))</f>
        <v/>
      </c>
      <c r="T631">
        <f>IF($U631="","",INDEX(상세표[기록 시간외],$U631))</f>
        <v/>
      </c>
      <c r="U631" s="4">
        <f>IFERROR(MATCH(626,상세표[발송순번],0),"")</f>
        <v/>
      </c>
    </row>
    <row r="632">
      <c r="J632">
        <f>IF($U632="","",INDEX(상세표[사번],$U632)&amp;"")</f>
        <v/>
      </c>
      <c r="K632">
        <f>IF($U632="","",INDEX(상세표[성명],$U632)&amp;"")</f>
        <v/>
      </c>
      <c r="L632">
        <f>IF($U632="","",INDEX(상세표[직위],$U632)&amp;"")</f>
        <v/>
      </c>
      <c r="M632">
        <f>IF($U632="","",IF(ISNUMBER(INDEX(상세표[근무일자],$U632)),TEXT(INDEX(상세표[근무일자],$U632),"yyyy-mm-dd"),INDEX(상세표[근무일자],$U632)&amp;""))</f>
        <v/>
      </c>
      <c r="N632">
        <f>IF($U632="","",IF(ISNUMBER(INDEX(상세표[시작],$U632)),TEXT(INDEX(상세표[시작],$U632),"yyyy-mm-dd hh:mm"),INDEX(상세표[시작],$U632)&amp;""))</f>
        <v/>
      </c>
      <c r="O632">
        <f>IF($U632="","",IF(ISNUMBER(INDEX(상세표[종료],$U632)),TEXT(INDEX(상세표[종료],$U632),"yyyy-mm-dd hh:mm"),INDEX(상세표[종료],$U632)&amp;""))</f>
        <v/>
      </c>
      <c r="P632">
        <f>IF($U632="","",INDEX(상세표[06~07시],$U632))</f>
        <v/>
      </c>
      <c r="Q632">
        <f>IF($U632="","",INDEX(상세표[07~18시],$U632))</f>
        <v/>
      </c>
      <c r="R632">
        <f>IF($U632="","",INDEX(상세표[18~22시],$U632))</f>
        <v/>
      </c>
      <c r="S632">
        <f>IF($U632="","",INDEX(상세표[22~06시],$U632))</f>
        <v/>
      </c>
      <c r="T632">
        <f>IF($U632="","",INDEX(상세표[기록 시간외],$U632))</f>
        <v/>
      </c>
      <c r="U632" s="4">
        <f>IFERROR(MATCH(627,상세표[발송순번],0),"")</f>
        <v/>
      </c>
    </row>
    <row r="633">
      <c r="J633">
        <f>IF($U633="","",INDEX(상세표[사번],$U633)&amp;"")</f>
        <v/>
      </c>
      <c r="K633">
        <f>IF($U633="","",INDEX(상세표[성명],$U633)&amp;"")</f>
        <v/>
      </c>
      <c r="L633">
        <f>IF($U633="","",INDEX(상세표[직위],$U633)&amp;"")</f>
        <v/>
      </c>
      <c r="M633">
        <f>IF($U633="","",IF(ISNUMBER(INDEX(상세표[근무일자],$U633)),TEXT(INDEX(상세표[근무일자],$U633),"yyyy-mm-dd"),INDEX(상세표[근무일자],$U633)&amp;""))</f>
        <v/>
      </c>
      <c r="N633">
        <f>IF($U633="","",IF(ISNUMBER(INDEX(상세표[시작],$U633)),TEXT(INDEX(상세표[시작],$U633),"yyyy-mm-dd hh:mm"),INDEX(상세표[시작],$U633)&amp;""))</f>
        <v/>
      </c>
      <c r="O633">
        <f>IF($U633="","",IF(ISNUMBER(INDEX(상세표[종료],$U633)),TEXT(INDEX(상세표[종료],$U633),"yyyy-mm-dd hh:mm"),INDEX(상세표[종료],$U633)&amp;""))</f>
        <v/>
      </c>
      <c r="P633">
        <f>IF($U633="","",INDEX(상세표[06~07시],$U633))</f>
        <v/>
      </c>
      <c r="Q633">
        <f>IF($U633="","",INDEX(상세표[07~18시],$U633))</f>
        <v/>
      </c>
      <c r="R633">
        <f>IF($U633="","",INDEX(상세표[18~22시],$U633))</f>
        <v/>
      </c>
      <c r="S633">
        <f>IF($U633="","",INDEX(상세표[22~06시],$U633))</f>
        <v/>
      </c>
      <c r="T633">
        <f>IF($U633="","",INDEX(상세표[기록 시간외],$U633))</f>
        <v/>
      </c>
      <c r="U633" s="4">
        <f>IFERROR(MATCH(628,상세표[발송순번],0),"")</f>
        <v/>
      </c>
    </row>
    <row r="634">
      <c r="J634">
        <f>IF($U634="","",INDEX(상세표[사번],$U634)&amp;"")</f>
        <v/>
      </c>
      <c r="K634">
        <f>IF($U634="","",INDEX(상세표[성명],$U634)&amp;"")</f>
        <v/>
      </c>
      <c r="L634">
        <f>IF($U634="","",INDEX(상세표[직위],$U634)&amp;"")</f>
        <v/>
      </c>
      <c r="M634">
        <f>IF($U634="","",IF(ISNUMBER(INDEX(상세표[근무일자],$U634)),TEXT(INDEX(상세표[근무일자],$U634),"yyyy-mm-dd"),INDEX(상세표[근무일자],$U634)&amp;""))</f>
        <v/>
      </c>
      <c r="N634">
        <f>IF($U634="","",IF(ISNUMBER(INDEX(상세표[시작],$U634)),TEXT(INDEX(상세표[시작],$U634),"yyyy-mm-dd hh:mm"),INDEX(상세표[시작],$U634)&amp;""))</f>
        <v/>
      </c>
      <c r="O634">
        <f>IF($U634="","",IF(ISNUMBER(INDEX(상세표[종료],$U634)),TEXT(INDEX(상세표[종료],$U634),"yyyy-mm-dd hh:mm"),INDEX(상세표[종료],$U634)&amp;""))</f>
        <v/>
      </c>
      <c r="P634">
        <f>IF($U634="","",INDEX(상세표[06~07시],$U634))</f>
        <v/>
      </c>
      <c r="Q634">
        <f>IF($U634="","",INDEX(상세표[07~18시],$U634))</f>
        <v/>
      </c>
      <c r="R634">
        <f>IF($U634="","",INDEX(상세표[18~22시],$U634))</f>
        <v/>
      </c>
      <c r="S634">
        <f>IF($U634="","",INDEX(상세표[22~06시],$U634))</f>
        <v/>
      </c>
      <c r="T634">
        <f>IF($U634="","",INDEX(상세표[기록 시간외],$U634))</f>
        <v/>
      </c>
      <c r="U634" s="4">
        <f>IFERROR(MATCH(629,상세표[발송순번],0),"")</f>
        <v/>
      </c>
    </row>
    <row r="635">
      <c r="J635">
        <f>IF($U635="","",INDEX(상세표[사번],$U635)&amp;"")</f>
        <v/>
      </c>
      <c r="K635">
        <f>IF($U635="","",INDEX(상세표[성명],$U635)&amp;"")</f>
        <v/>
      </c>
      <c r="L635">
        <f>IF($U635="","",INDEX(상세표[직위],$U635)&amp;"")</f>
        <v/>
      </c>
      <c r="M635">
        <f>IF($U635="","",IF(ISNUMBER(INDEX(상세표[근무일자],$U635)),TEXT(INDEX(상세표[근무일자],$U635),"yyyy-mm-dd"),INDEX(상세표[근무일자],$U635)&amp;""))</f>
        <v/>
      </c>
      <c r="N635">
        <f>IF($U635="","",IF(ISNUMBER(INDEX(상세표[시작],$U635)),TEXT(INDEX(상세표[시작],$U635),"yyyy-mm-dd hh:mm"),INDEX(상세표[시작],$U635)&amp;""))</f>
        <v/>
      </c>
      <c r="O635">
        <f>IF($U635="","",IF(ISNUMBER(INDEX(상세표[종료],$U635)),TEXT(INDEX(상세표[종료],$U635),"yyyy-mm-dd hh:mm"),INDEX(상세표[종료],$U635)&amp;""))</f>
        <v/>
      </c>
      <c r="P635">
        <f>IF($U635="","",INDEX(상세표[06~07시],$U635))</f>
        <v/>
      </c>
      <c r="Q635">
        <f>IF($U635="","",INDEX(상세표[07~18시],$U635))</f>
        <v/>
      </c>
      <c r="R635">
        <f>IF($U635="","",INDEX(상세표[18~22시],$U635))</f>
        <v/>
      </c>
      <c r="S635">
        <f>IF($U635="","",INDEX(상세표[22~06시],$U635))</f>
        <v/>
      </c>
      <c r="T635">
        <f>IF($U635="","",INDEX(상세표[기록 시간외],$U635))</f>
        <v/>
      </c>
      <c r="U635" s="4">
        <f>IFERROR(MATCH(630,상세표[발송순번],0),"")</f>
        <v/>
      </c>
    </row>
    <row r="636">
      <c r="J636">
        <f>IF($U636="","",INDEX(상세표[사번],$U636)&amp;"")</f>
        <v/>
      </c>
      <c r="K636">
        <f>IF($U636="","",INDEX(상세표[성명],$U636)&amp;"")</f>
        <v/>
      </c>
      <c r="L636">
        <f>IF($U636="","",INDEX(상세표[직위],$U636)&amp;"")</f>
        <v/>
      </c>
      <c r="M636">
        <f>IF($U636="","",IF(ISNUMBER(INDEX(상세표[근무일자],$U636)),TEXT(INDEX(상세표[근무일자],$U636),"yyyy-mm-dd"),INDEX(상세표[근무일자],$U636)&amp;""))</f>
        <v/>
      </c>
      <c r="N636">
        <f>IF($U636="","",IF(ISNUMBER(INDEX(상세표[시작],$U636)),TEXT(INDEX(상세표[시작],$U636),"yyyy-mm-dd hh:mm"),INDEX(상세표[시작],$U636)&amp;""))</f>
        <v/>
      </c>
      <c r="O636">
        <f>IF($U636="","",IF(ISNUMBER(INDEX(상세표[종료],$U636)),TEXT(INDEX(상세표[종료],$U636),"yyyy-mm-dd hh:mm"),INDEX(상세표[종료],$U636)&amp;""))</f>
        <v/>
      </c>
      <c r="P636">
        <f>IF($U636="","",INDEX(상세표[06~07시],$U636))</f>
        <v/>
      </c>
      <c r="Q636">
        <f>IF($U636="","",INDEX(상세표[07~18시],$U636))</f>
        <v/>
      </c>
      <c r="R636">
        <f>IF($U636="","",INDEX(상세표[18~22시],$U636))</f>
        <v/>
      </c>
      <c r="S636">
        <f>IF($U636="","",INDEX(상세표[22~06시],$U636))</f>
        <v/>
      </c>
      <c r="T636">
        <f>IF($U636="","",INDEX(상세표[기록 시간외],$U636))</f>
        <v/>
      </c>
      <c r="U636" s="4">
        <f>IFERROR(MATCH(631,상세표[발송순번],0),"")</f>
        <v/>
      </c>
    </row>
    <row r="637">
      <c r="J637">
        <f>IF($U637="","",INDEX(상세표[사번],$U637)&amp;"")</f>
        <v/>
      </c>
      <c r="K637">
        <f>IF($U637="","",INDEX(상세표[성명],$U637)&amp;"")</f>
        <v/>
      </c>
      <c r="L637">
        <f>IF($U637="","",INDEX(상세표[직위],$U637)&amp;"")</f>
        <v/>
      </c>
      <c r="M637">
        <f>IF($U637="","",IF(ISNUMBER(INDEX(상세표[근무일자],$U637)),TEXT(INDEX(상세표[근무일자],$U637),"yyyy-mm-dd"),INDEX(상세표[근무일자],$U637)&amp;""))</f>
        <v/>
      </c>
      <c r="N637">
        <f>IF($U637="","",IF(ISNUMBER(INDEX(상세표[시작],$U637)),TEXT(INDEX(상세표[시작],$U637),"yyyy-mm-dd hh:mm"),INDEX(상세표[시작],$U637)&amp;""))</f>
        <v/>
      </c>
      <c r="O637">
        <f>IF($U637="","",IF(ISNUMBER(INDEX(상세표[종료],$U637)),TEXT(INDEX(상세표[종료],$U637),"yyyy-mm-dd hh:mm"),INDEX(상세표[종료],$U637)&amp;""))</f>
        <v/>
      </c>
      <c r="P637">
        <f>IF($U637="","",INDEX(상세표[06~07시],$U637))</f>
        <v/>
      </c>
      <c r="Q637">
        <f>IF($U637="","",INDEX(상세표[07~18시],$U637))</f>
        <v/>
      </c>
      <c r="R637">
        <f>IF($U637="","",INDEX(상세표[18~22시],$U637))</f>
        <v/>
      </c>
      <c r="S637">
        <f>IF($U637="","",INDEX(상세표[22~06시],$U637))</f>
        <v/>
      </c>
      <c r="T637">
        <f>IF($U637="","",INDEX(상세표[기록 시간외],$U637))</f>
        <v/>
      </c>
      <c r="U637" s="4">
        <f>IFERROR(MATCH(632,상세표[발송순번],0),"")</f>
        <v/>
      </c>
    </row>
    <row r="638">
      <c r="J638">
        <f>IF($U638="","",INDEX(상세표[사번],$U638)&amp;"")</f>
        <v/>
      </c>
      <c r="K638">
        <f>IF($U638="","",INDEX(상세표[성명],$U638)&amp;"")</f>
        <v/>
      </c>
      <c r="L638">
        <f>IF($U638="","",INDEX(상세표[직위],$U638)&amp;"")</f>
        <v/>
      </c>
      <c r="M638">
        <f>IF($U638="","",IF(ISNUMBER(INDEX(상세표[근무일자],$U638)),TEXT(INDEX(상세표[근무일자],$U638),"yyyy-mm-dd"),INDEX(상세표[근무일자],$U638)&amp;""))</f>
        <v/>
      </c>
      <c r="N638">
        <f>IF($U638="","",IF(ISNUMBER(INDEX(상세표[시작],$U638)),TEXT(INDEX(상세표[시작],$U638),"yyyy-mm-dd hh:mm"),INDEX(상세표[시작],$U638)&amp;""))</f>
        <v/>
      </c>
      <c r="O638">
        <f>IF($U638="","",IF(ISNUMBER(INDEX(상세표[종료],$U638)),TEXT(INDEX(상세표[종료],$U638),"yyyy-mm-dd hh:mm"),INDEX(상세표[종료],$U638)&amp;""))</f>
        <v/>
      </c>
      <c r="P638">
        <f>IF($U638="","",INDEX(상세표[06~07시],$U638))</f>
        <v/>
      </c>
      <c r="Q638">
        <f>IF($U638="","",INDEX(상세표[07~18시],$U638))</f>
        <v/>
      </c>
      <c r="R638">
        <f>IF($U638="","",INDEX(상세표[18~22시],$U638))</f>
        <v/>
      </c>
      <c r="S638">
        <f>IF($U638="","",INDEX(상세표[22~06시],$U638))</f>
        <v/>
      </c>
      <c r="T638">
        <f>IF($U638="","",INDEX(상세표[기록 시간외],$U638))</f>
        <v/>
      </c>
      <c r="U638" s="4">
        <f>IFERROR(MATCH(633,상세표[발송순번],0),"")</f>
        <v/>
      </c>
    </row>
    <row r="639">
      <c r="J639">
        <f>IF($U639="","",INDEX(상세표[사번],$U639)&amp;"")</f>
        <v/>
      </c>
      <c r="K639">
        <f>IF($U639="","",INDEX(상세표[성명],$U639)&amp;"")</f>
        <v/>
      </c>
      <c r="L639">
        <f>IF($U639="","",INDEX(상세표[직위],$U639)&amp;"")</f>
        <v/>
      </c>
      <c r="M639">
        <f>IF($U639="","",IF(ISNUMBER(INDEX(상세표[근무일자],$U639)),TEXT(INDEX(상세표[근무일자],$U639),"yyyy-mm-dd"),INDEX(상세표[근무일자],$U639)&amp;""))</f>
        <v/>
      </c>
      <c r="N639">
        <f>IF($U639="","",IF(ISNUMBER(INDEX(상세표[시작],$U639)),TEXT(INDEX(상세표[시작],$U639),"yyyy-mm-dd hh:mm"),INDEX(상세표[시작],$U639)&amp;""))</f>
        <v/>
      </c>
      <c r="O639">
        <f>IF($U639="","",IF(ISNUMBER(INDEX(상세표[종료],$U639)),TEXT(INDEX(상세표[종료],$U639),"yyyy-mm-dd hh:mm"),INDEX(상세표[종료],$U639)&amp;""))</f>
        <v/>
      </c>
      <c r="P639">
        <f>IF($U639="","",INDEX(상세표[06~07시],$U639))</f>
        <v/>
      </c>
      <c r="Q639">
        <f>IF($U639="","",INDEX(상세표[07~18시],$U639))</f>
        <v/>
      </c>
      <c r="R639">
        <f>IF($U639="","",INDEX(상세표[18~22시],$U639))</f>
        <v/>
      </c>
      <c r="S639">
        <f>IF($U639="","",INDEX(상세표[22~06시],$U639))</f>
        <v/>
      </c>
      <c r="T639">
        <f>IF($U639="","",INDEX(상세표[기록 시간외],$U639))</f>
        <v/>
      </c>
      <c r="U639" s="4">
        <f>IFERROR(MATCH(634,상세표[발송순번],0),"")</f>
        <v/>
      </c>
    </row>
    <row r="640">
      <c r="J640">
        <f>IF($U640="","",INDEX(상세표[사번],$U640)&amp;"")</f>
        <v/>
      </c>
      <c r="K640">
        <f>IF($U640="","",INDEX(상세표[성명],$U640)&amp;"")</f>
        <v/>
      </c>
      <c r="L640">
        <f>IF($U640="","",INDEX(상세표[직위],$U640)&amp;"")</f>
        <v/>
      </c>
      <c r="M640">
        <f>IF($U640="","",IF(ISNUMBER(INDEX(상세표[근무일자],$U640)),TEXT(INDEX(상세표[근무일자],$U640),"yyyy-mm-dd"),INDEX(상세표[근무일자],$U640)&amp;""))</f>
        <v/>
      </c>
      <c r="N640">
        <f>IF($U640="","",IF(ISNUMBER(INDEX(상세표[시작],$U640)),TEXT(INDEX(상세표[시작],$U640),"yyyy-mm-dd hh:mm"),INDEX(상세표[시작],$U640)&amp;""))</f>
        <v/>
      </c>
      <c r="O640">
        <f>IF($U640="","",IF(ISNUMBER(INDEX(상세표[종료],$U640)),TEXT(INDEX(상세표[종료],$U640),"yyyy-mm-dd hh:mm"),INDEX(상세표[종료],$U640)&amp;""))</f>
        <v/>
      </c>
      <c r="P640">
        <f>IF($U640="","",INDEX(상세표[06~07시],$U640))</f>
        <v/>
      </c>
      <c r="Q640">
        <f>IF($U640="","",INDEX(상세표[07~18시],$U640))</f>
        <v/>
      </c>
      <c r="R640">
        <f>IF($U640="","",INDEX(상세표[18~22시],$U640))</f>
        <v/>
      </c>
      <c r="S640">
        <f>IF($U640="","",INDEX(상세표[22~06시],$U640))</f>
        <v/>
      </c>
      <c r="T640">
        <f>IF($U640="","",INDEX(상세표[기록 시간외],$U640))</f>
        <v/>
      </c>
      <c r="U640" s="4">
        <f>IFERROR(MATCH(635,상세표[발송순번],0),"")</f>
        <v/>
      </c>
    </row>
    <row r="641">
      <c r="J641">
        <f>IF($U641="","",INDEX(상세표[사번],$U641)&amp;"")</f>
        <v/>
      </c>
      <c r="K641">
        <f>IF($U641="","",INDEX(상세표[성명],$U641)&amp;"")</f>
        <v/>
      </c>
      <c r="L641">
        <f>IF($U641="","",INDEX(상세표[직위],$U641)&amp;"")</f>
        <v/>
      </c>
      <c r="M641">
        <f>IF($U641="","",IF(ISNUMBER(INDEX(상세표[근무일자],$U641)),TEXT(INDEX(상세표[근무일자],$U641),"yyyy-mm-dd"),INDEX(상세표[근무일자],$U641)&amp;""))</f>
        <v/>
      </c>
      <c r="N641">
        <f>IF($U641="","",IF(ISNUMBER(INDEX(상세표[시작],$U641)),TEXT(INDEX(상세표[시작],$U641),"yyyy-mm-dd hh:mm"),INDEX(상세표[시작],$U641)&amp;""))</f>
        <v/>
      </c>
      <c r="O641">
        <f>IF($U641="","",IF(ISNUMBER(INDEX(상세표[종료],$U641)),TEXT(INDEX(상세표[종료],$U641),"yyyy-mm-dd hh:mm"),INDEX(상세표[종료],$U641)&amp;""))</f>
        <v/>
      </c>
      <c r="P641">
        <f>IF($U641="","",INDEX(상세표[06~07시],$U641))</f>
        <v/>
      </c>
      <c r="Q641">
        <f>IF($U641="","",INDEX(상세표[07~18시],$U641))</f>
        <v/>
      </c>
      <c r="R641">
        <f>IF($U641="","",INDEX(상세표[18~22시],$U641))</f>
        <v/>
      </c>
      <c r="S641">
        <f>IF($U641="","",INDEX(상세표[22~06시],$U641))</f>
        <v/>
      </c>
      <c r="T641">
        <f>IF($U641="","",INDEX(상세표[기록 시간외],$U641))</f>
        <v/>
      </c>
      <c r="U641" s="4">
        <f>IFERROR(MATCH(636,상세표[발송순번],0),"")</f>
        <v/>
      </c>
    </row>
    <row r="642">
      <c r="J642">
        <f>IF($U642="","",INDEX(상세표[사번],$U642)&amp;"")</f>
        <v/>
      </c>
      <c r="K642">
        <f>IF($U642="","",INDEX(상세표[성명],$U642)&amp;"")</f>
        <v/>
      </c>
      <c r="L642">
        <f>IF($U642="","",INDEX(상세표[직위],$U642)&amp;"")</f>
        <v/>
      </c>
      <c r="M642">
        <f>IF($U642="","",IF(ISNUMBER(INDEX(상세표[근무일자],$U642)),TEXT(INDEX(상세표[근무일자],$U642),"yyyy-mm-dd"),INDEX(상세표[근무일자],$U642)&amp;""))</f>
        <v/>
      </c>
      <c r="N642">
        <f>IF($U642="","",IF(ISNUMBER(INDEX(상세표[시작],$U642)),TEXT(INDEX(상세표[시작],$U642),"yyyy-mm-dd hh:mm"),INDEX(상세표[시작],$U642)&amp;""))</f>
        <v/>
      </c>
      <c r="O642">
        <f>IF($U642="","",IF(ISNUMBER(INDEX(상세표[종료],$U642)),TEXT(INDEX(상세표[종료],$U642),"yyyy-mm-dd hh:mm"),INDEX(상세표[종료],$U642)&amp;""))</f>
        <v/>
      </c>
      <c r="P642">
        <f>IF($U642="","",INDEX(상세표[06~07시],$U642))</f>
        <v/>
      </c>
      <c r="Q642">
        <f>IF($U642="","",INDEX(상세표[07~18시],$U642))</f>
        <v/>
      </c>
      <c r="R642">
        <f>IF($U642="","",INDEX(상세표[18~22시],$U642))</f>
        <v/>
      </c>
      <c r="S642">
        <f>IF($U642="","",INDEX(상세표[22~06시],$U642))</f>
        <v/>
      </c>
      <c r="T642">
        <f>IF($U642="","",INDEX(상세표[기록 시간외],$U642))</f>
        <v/>
      </c>
      <c r="U642" s="4">
        <f>IFERROR(MATCH(637,상세표[발송순번],0),"")</f>
        <v/>
      </c>
    </row>
    <row r="643">
      <c r="J643">
        <f>IF($U643="","",INDEX(상세표[사번],$U643)&amp;"")</f>
        <v/>
      </c>
      <c r="K643">
        <f>IF($U643="","",INDEX(상세표[성명],$U643)&amp;"")</f>
        <v/>
      </c>
      <c r="L643">
        <f>IF($U643="","",INDEX(상세표[직위],$U643)&amp;"")</f>
        <v/>
      </c>
      <c r="M643">
        <f>IF($U643="","",IF(ISNUMBER(INDEX(상세표[근무일자],$U643)),TEXT(INDEX(상세표[근무일자],$U643),"yyyy-mm-dd"),INDEX(상세표[근무일자],$U643)&amp;""))</f>
        <v/>
      </c>
      <c r="N643">
        <f>IF($U643="","",IF(ISNUMBER(INDEX(상세표[시작],$U643)),TEXT(INDEX(상세표[시작],$U643),"yyyy-mm-dd hh:mm"),INDEX(상세표[시작],$U643)&amp;""))</f>
        <v/>
      </c>
      <c r="O643">
        <f>IF($U643="","",IF(ISNUMBER(INDEX(상세표[종료],$U643)),TEXT(INDEX(상세표[종료],$U643),"yyyy-mm-dd hh:mm"),INDEX(상세표[종료],$U643)&amp;""))</f>
        <v/>
      </c>
      <c r="P643">
        <f>IF($U643="","",INDEX(상세표[06~07시],$U643))</f>
        <v/>
      </c>
      <c r="Q643">
        <f>IF($U643="","",INDEX(상세표[07~18시],$U643))</f>
        <v/>
      </c>
      <c r="R643">
        <f>IF($U643="","",INDEX(상세표[18~22시],$U643))</f>
        <v/>
      </c>
      <c r="S643">
        <f>IF($U643="","",INDEX(상세표[22~06시],$U643))</f>
        <v/>
      </c>
      <c r="T643">
        <f>IF($U643="","",INDEX(상세표[기록 시간외],$U643))</f>
        <v/>
      </c>
      <c r="U643" s="4">
        <f>IFERROR(MATCH(638,상세표[발송순번],0),"")</f>
        <v/>
      </c>
    </row>
    <row r="644">
      <c r="J644">
        <f>IF($U644="","",INDEX(상세표[사번],$U644)&amp;"")</f>
        <v/>
      </c>
      <c r="K644">
        <f>IF($U644="","",INDEX(상세표[성명],$U644)&amp;"")</f>
        <v/>
      </c>
      <c r="L644">
        <f>IF($U644="","",INDEX(상세표[직위],$U644)&amp;"")</f>
        <v/>
      </c>
      <c r="M644">
        <f>IF($U644="","",IF(ISNUMBER(INDEX(상세표[근무일자],$U644)),TEXT(INDEX(상세표[근무일자],$U644),"yyyy-mm-dd"),INDEX(상세표[근무일자],$U644)&amp;""))</f>
        <v/>
      </c>
      <c r="N644">
        <f>IF($U644="","",IF(ISNUMBER(INDEX(상세표[시작],$U644)),TEXT(INDEX(상세표[시작],$U644),"yyyy-mm-dd hh:mm"),INDEX(상세표[시작],$U644)&amp;""))</f>
        <v/>
      </c>
      <c r="O644">
        <f>IF($U644="","",IF(ISNUMBER(INDEX(상세표[종료],$U644)),TEXT(INDEX(상세표[종료],$U644),"yyyy-mm-dd hh:mm"),INDEX(상세표[종료],$U644)&amp;""))</f>
        <v/>
      </c>
      <c r="P644">
        <f>IF($U644="","",INDEX(상세표[06~07시],$U644))</f>
        <v/>
      </c>
      <c r="Q644">
        <f>IF($U644="","",INDEX(상세표[07~18시],$U644))</f>
        <v/>
      </c>
      <c r="R644">
        <f>IF($U644="","",INDEX(상세표[18~22시],$U644))</f>
        <v/>
      </c>
      <c r="S644">
        <f>IF($U644="","",INDEX(상세표[22~06시],$U644))</f>
        <v/>
      </c>
      <c r="T644">
        <f>IF($U644="","",INDEX(상세표[기록 시간외],$U644))</f>
        <v/>
      </c>
      <c r="U644" s="4">
        <f>IFERROR(MATCH(639,상세표[발송순번],0),"")</f>
        <v/>
      </c>
    </row>
    <row r="645">
      <c r="J645">
        <f>IF($U645="","",INDEX(상세표[사번],$U645)&amp;"")</f>
        <v/>
      </c>
      <c r="K645">
        <f>IF($U645="","",INDEX(상세표[성명],$U645)&amp;"")</f>
        <v/>
      </c>
      <c r="L645">
        <f>IF($U645="","",INDEX(상세표[직위],$U645)&amp;"")</f>
        <v/>
      </c>
      <c r="M645">
        <f>IF($U645="","",IF(ISNUMBER(INDEX(상세표[근무일자],$U645)),TEXT(INDEX(상세표[근무일자],$U645),"yyyy-mm-dd"),INDEX(상세표[근무일자],$U645)&amp;""))</f>
        <v/>
      </c>
      <c r="N645">
        <f>IF($U645="","",IF(ISNUMBER(INDEX(상세표[시작],$U645)),TEXT(INDEX(상세표[시작],$U645),"yyyy-mm-dd hh:mm"),INDEX(상세표[시작],$U645)&amp;""))</f>
        <v/>
      </c>
      <c r="O645">
        <f>IF($U645="","",IF(ISNUMBER(INDEX(상세표[종료],$U645)),TEXT(INDEX(상세표[종료],$U645),"yyyy-mm-dd hh:mm"),INDEX(상세표[종료],$U645)&amp;""))</f>
        <v/>
      </c>
      <c r="P645">
        <f>IF($U645="","",INDEX(상세표[06~07시],$U645))</f>
        <v/>
      </c>
      <c r="Q645">
        <f>IF($U645="","",INDEX(상세표[07~18시],$U645))</f>
        <v/>
      </c>
      <c r="R645">
        <f>IF($U645="","",INDEX(상세표[18~22시],$U645))</f>
        <v/>
      </c>
      <c r="S645">
        <f>IF($U645="","",INDEX(상세표[22~06시],$U645))</f>
        <v/>
      </c>
      <c r="T645">
        <f>IF($U645="","",INDEX(상세표[기록 시간외],$U645))</f>
        <v/>
      </c>
      <c r="U645" s="4">
        <f>IFERROR(MATCH(640,상세표[발송순번],0),"")</f>
        <v/>
      </c>
    </row>
    <row r="646">
      <c r="J646">
        <f>IF($U646="","",INDEX(상세표[사번],$U646)&amp;"")</f>
        <v/>
      </c>
      <c r="K646">
        <f>IF($U646="","",INDEX(상세표[성명],$U646)&amp;"")</f>
        <v/>
      </c>
      <c r="L646">
        <f>IF($U646="","",INDEX(상세표[직위],$U646)&amp;"")</f>
        <v/>
      </c>
      <c r="M646">
        <f>IF($U646="","",IF(ISNUMBER(INDEX(상세표[근무일자],$U646)),TEXT(INDEX(상세표[근무일자],$U646),"yyyy-mm-dd"),INDEX(상세표[근무일자],$U646)&amp;""))</f>
        <v/>
      </c>
      <c r="N646">
        <f>IF($U646="","",IF(ISNUMBER(INDEX(상세표[시작],$U646)),TEXT(INDEX(상세표[시작],$U646),"yyyy-mm-dd hh:mm"),INDEX(상세표[시작],$U646)&amp;""))</f>
        <v/>
      </c>
      <c r="O646">
        <f>IF($U646="","",IF(ISNUMBER(INDEX(상세표[종료],$U646)),TEXT(INDEX(상세표[종료],$U646),"yyyy-mm-dd hh:mm"),INDEX(상세표[종료],$U646)&amp;""))</f>
        <v/>
      </c>
      <c r="P646">
        <f>IF($U646="","",INDEX(상세표[06~07시],$U646))</f>
        <v/>
      </c>
      <c r="Q646">
        <f>IF($U646="","",INDEX(상세표[07~18시],$U646))</f>
        <v/>
      </c>
      <c r="R646">
        <f>IF($U646="","",INDEX(상세표[18~22시],$U646))</f>
        <v/>
      </c>
      <c r="S646">
        <f>IF($U646="","",INDEX(상세표[22~06시],$U646))</f>
        <v/>
      </c>
      <c r="T646">
        <f>IF($U646="","",INDEX(상세표[기록 시간외],$U646))</f>
        <v/>
      </c>
      <c r="U646" s="4">
        <f>IFERROR(MATCH(641,상세표[발송순번],0),"")</f>
        <v/>
      </c>
    </row>
    <row r="647">
      <c r="J647">
        <f>IF($U647="","",INDEX(상세표[사번],$U647)&amp;"")</f>
        <v/>
      </c>
      <c r="K647">
        <f>IF($U647="","",INDEX(상세표[성명],$U647)&amp;"")</f>
        <v/>
      </c>
      <c r="L647">
        <f>IF($U647="","",INDEX(상세표[직위],$U647)&amp;"")</f>
        <v/>
      </c>
      <c r="M647">
        <f>IF($U647="","",IF(ISNUMBER(INDEX(상세표[근무일자],$U647)),TEXT(INDEX(상세표[근무일자],$U647),"yyyy-mm-dd"),INDEX(상세표[근무일자],$U647)&amp;""))</f>
        <v/>
      </c>
      <c r="N647">
        <f>IF($U647="","",IF(ISNUMBER(INDEX(상세표[시작],$U647)),TEXT(INDEX(상세표[시작],$U647),"yyyy-mm-dd hh:mm"),INDEX(상세표[시작],$U647)&amp;""))</f>
        <v/>
      </c>
      <c r="O647">
        <f>IF($U647="","",IF(ISNUMBER(INDEX(상세표[종료],$U647)),TEXT(INDEX(상세표[종료],$U647),"yyyy-mm-dd hh:mm"),INDEX(상세표[종료],$U647)&amp;""))</f>
        <v/>
      </c>
      <c r="P647">
        <f>IF($U647="","",INDEX(상세표[06~07시],$U647))</f>
        <v/>
      </c>
      <c r="Q647">
        <f>IF($U647="","",INDEX(상세표[07~18시],$U647))</f>
        <v/>
      </c>
      <c r="R647">
        <f>IF($U647="","",INDEX(상세표[18~22시],$U647))</f>
        <v/>
      </c>
      <c r="S647">
        <f>IF($U647="","",INDEX(상세표[22~06시],$U647))</f>
        <v/>
      </c>
      <c r="T647">
        <f>IF($U647="","",INDEX(상세표[기록 시간외],$U647))</f>
        <v/>
      </c>
      <c r="U647" s="4">
        <f>IFERROR(MATCH(642,상세표[발송순번],0),"")</f>
        <v/>
      </c>
    </row>
    <row r="648">
      <c r="J648">
        <f>IF($U648="","",INDEX(상세표[사번],$U648)&amp;"")</f>
        <v/>
      </c>
      <c r="K648">
        <f>IF($U648="","",INDEX(상세표[성명],$U648)&amp;"")</f>
        <v/>
      </c>
      <c r="L648">
        <f>IF($U648="","",INDEX(상세표[직위],$U648)&amp;"")</f>
        <v/>
      </c>
      <c r="M648">
        <f>IF($U648="","",IF(ISNUMBER(INDEX(상세표[근무일자],$U648)),TEXT(INDEX(상세표[근무일자],$U648),"yyyy-mm-dd"),INDEX(상세표[근무일자],$U648)&amp;""))</f>
        <v/>
      </c>
      <c r="N648">
        <f>IF($U648="","",IF(ISNUMBER(INDEX(상세표[시작],$U648)),TEXT(INDEX(상세표[시작],$U648),"yyyy-mm-dd hh:mm"),INDEX(상세표[시작],$U648)&amp;""))</f>
        <v/>
      </c>
      <c r="O648">
        <f>IF($U648="","",IF(ISNUMBER(INDEX(상세표[종료],$U648)),TEXT(INDEX(상세표[종료],$U648),"yyyy-mm-dd hh:mm"),INDEX(상세표[종료],$U648)&amp;""))</f>
        <v/>
      </c>
      <c r="P648">
        <f>IF($U648="","",INDEX(상세표[06~07시],$U648))</f>
        <v/>
      </c>
      <c r="Q648">
        <f>IF($U648="","",INDEX(상세표[07~18시],$U648))</f>
        <v/>
      </c>
      <c r="R648">
        <f>IF($U648="","",INDEX(상세표[18~22시],$U648))</f>
        <v/>
      </c>
      <c r="S648">
        <f>IF($U648="","",INDEX(상세표[22~06시],$U648))</f>
        <v/>
      </c>
      <c r="T648">
        <f>IF($U648="","",INDEX(상세표[기록 시간외],$U648))</f>
        <v/>
      </c>
      <c r="U648" s="4">
        <f>IFERROR(MATCH(643,상세표[발송순번],0),"")</f>
        <v/>
      </c>
    </row>
    <row r="649">
      <c r="J649">
        <f>IF($U649="","",INDEX(상세표[사번],$U649)&amp;"")</f>
        <v/>
      </c>
      <c r="K649">
        <f>IF($U649="","",INDEX(상세표[성명],$U649)&amp;"")</f>
        <v/>
      </c>
      <c r="L649">
        <f>IF($U649="","",INDEX(상세표[직위],$U649)&amp;"")</f>
        <v/>
      </c>
      <c r="M649">
        <f>IF($U649="","",IF(ISNUMBER(INDEX(상세표[근무일자],$U649)),TEXT(INDEX(상세표[근무일자],$U649),"yyyy-mm-dd"),INDEX(상세표[근무일자],$U649)&amp;""))</f>
        <v/>
      </c>
      <c r="N649">
        <f>IF($U649="","",IF(ISNUMBER(INDEX(상세표[시작],$U649)),TEXT(INDEX(상세표[시작],$U649),"yyyy-mm-dd hh:mm"),INDEX(상세표[시작],$U649)&amp;""))</f>
        <v/>
      </c>
      <c r="O649">
        <f>IF($U649="","",IF(ISNUMBER(INDEX(상세표[종료],$U649)),TEXT(INDEX(상세표[종료],$U649),"yyyy-mm-dd hh:mm"),INDEX(상세표[종료],$U649)&amp;""))</f>
        <v/>
      </c>
      <c r="P649">
        <f>IF($U649="","",INDEX(상세표[06~07시],$U649))</f>
        <v/>
      </c>
      <c r="Q649">
        <f>IF($U649="","",INDEX(상세표[07~18시],$U649))</f>
        <v/>
      </c>
      <c r="R649">
        <f>IF($U649="","",INDEX(상세표[18~22시],$U649))</f>
        <v/>
      </c>
      <c r="S649">
        <f>IF($U649="","",INDEX(상세표[22~06시],$U649))</f>
        <v/>
      </c>
      <c r="T649">
        <f>IF($U649="","",INDEX(상세표[기록 시간외],$U649))</f>
        <v/>
      </c>
      <c r="U649" s="4">
        <f>IFERROR(MATCH(644,상세표[발송순번],0),"")</f>
        <v/>
      </c>
    </row>
    <row r="650">
      <c r="J650">
        <f>IF($U650="","",INDEX(상세표[사번],$U650)&amp;"")</f>
        <v/>
      </c>
      <c r="K650">
        <f>IF($U650="","",INDEX(상세표[성명],$U650)&amp;"")</f>
        <v/>
      </c>
      <c r="L650">
        <f>IF($U650="","",INDEX(상세표[직위],$U650)&amp;"")</f>
        <v/>
      </c>
      <c r="M650">
        <f>IF($U650="","",IF(ISNUMBER(INDEX(상세표[근무일자],$U650)),TEXT(INDEX(상세표[근무일자],$U650),"yyyy-mm-dd"),INDEX(상세표[근무일자],$U650)&amp;""))</f>
        <v/>
      </c>
      <c r="N650">
        <f>IF($U650="","",IF(ISNUMBER(INDEX(상세표[시작],$U650)),TEXT(INDEX(상세표[시작],$U650),"yyyy-mm-dd hh:mm"),INDEX(상세표[시작],$U650)&amp;""))</f>
        <v/>
      </c>
      <c r="O650">
        <f>IF($U650="","",IF(ISNUMBER(INDEX(상세표[종료],$U650)),TEXT(INDEX(상세표[종료],$U650),"yyyy-mm-dd hh:mm"),INDEX(상세표[종료],$U650)&amp;""))</f>
        <v/>
      </c>
      <c r="P650">
        <f>IF($U650="","",INDEX(상세표[06~07시],$U650))</f>
        <v/>
      </c>
      <c r="Q650">
        <f>IF($U650="","",INDEX(상세표[07~18시],$U650))</f>
        <v/>
      </c>
      <c r="R650">
        <f>IF($U650="","",INDEX(상세표[18~22시],$U650))</f>
        <v/>
      </c>
      <c r="S650">
        <f>IF($U650="","",INDEX(상세표[22~06시],$U650))</f>
        <v/>
      </c>
      <c r="T650">
        <f>IF($U650="","",INDEX(상세표[기록 시간외],$U650))</f>
        <v/>
      </c>
      <c r="U650" s="4">
        <f>IFERROR(MATCH(645,상세표[발송순번],0),"")</f>
        <v/>
      </c>
    </row>
    <row r="651">
      <c r="J651">
        <f>IF($U651="","",INDEX(상세표[사번],$U651)&amp;"")</f>
        <v/>
      </c>
      <c r="K651">
        <f>IF($U651="","",INDEX(상세표[성명],$U651)&amp;"")</f>
        <v/>
      </c>
      <c r="L651">
        <f>IF($U651="","",INDEX(상세표[직위],$U651)&amp;"")</f>
        <v/>
      </c>
      <c r="M651">
        <f>IF($U651="","",IF(ISNUMBER(INDEX(상세표[근무일자],$U651)),TEXT(INDEX(상세표[근무일자],$U651),"yyyy-mm-dd"),INDEX(상세표[근무일자],$U651)&amp;""))</f>
        <v/>
      </c>
      <c r="N651">
        <f>IF($U651="","",IF(ISNUMBER(INDEX(상세표[시작],$U651)),TEXT(INDEX(상세표[시작],$U651),"yyyy-mm-dd hh:mm"),INDEX(상세표[시작],$U651)&amp;""))</f>
        <v/>
      </c>
      <c r="O651">
        <f>IF($U651="","",IF(ISNUMBER(INDEX(상세표[종료],$U651)),TEXT(INDEX(상세표[종료],$U651),"yyyy-mm-dd hh:mm"),INDEX(상세표[종료],$U651)&amp;""))</f>
        <v/>
      </c>
      <c r="P651">
        <f>IF($U651="","",INDEX(상세표[06~07시],$U651))</f>
        <v/>
      </c>
      <c r="Q651">
        <f>IF($U651="","",INDEX(상세표[07~18시],$U651))</f>
        <v/>
      </c>
      <c r="R651">
        <f>IF($U651="","",INDEX(상세표[18~22시],$U651))</f>
        <v/>
      </c>
      <c r="S651">
        <f>IF($U651="","",INDEX(상세표[22~06시],$U651))</f>
        <v/>
      </c>
      <c r="T651">
        <f>IF($U651="","",INDEX(상세표[기록 시간외],$U651))</f>
        <v/>
      </c>
      <c r="U651" s="4">
        <f>IFERROR(MATCH(646,상세표[발송순번],0),"")</f>
        <v/>
      </c>
    </row>
    <row r="652">
      <c r="J652">
        <f>IF($U652="","",INDEX(상세표[사번],$U652)&amp;"")</f>
        <v/>
      </c>
      <c r="K652">
        <f>IF($U652="","",INDEX(상세표[성명],$U652)&amp;"")</f>
        <v/>
      </c>
      <c r="L652">
        <f>IF($U652="","",INDEX(상세표[직위],$U652)&amp;"")</f>
        <v/>
      </c>
      <c r="M652">
        <f>IF($U652="","",IF(ISNUMBER(INDEX(상세표[근무일자],$U652)),TEXT(INDEX(상세표[근무일자],$U652),"yyyy-mm-dd"),INDEX(상세표[근무일자],$U652)&amp;""))</f>
        <v/>
      </c>
      <c r="N652">
        <f>IF($U652="","",IF(ISNUMBER(INDEX(상세표[시작],$U652)),TEXT(INDEX(상세표[시작],$U652),"yyyy-mm-dd hh:mm"),INDEX(상세표[시작],$U652)&amp;""))</f>
        <v/>
      </c>
      <c r="O652">
        <f>IF($U652="","",IF(ISNUMBER(INDEX(상세표[종료],$U652)),TEXT(INDEX(상세표[종료],$U652),"yyyy-mm-dd hh:mm"),INDEX(상세표[종료],$U652)&amp;""))</f>
        <v/>
      </c>
      <c r="P652">
        <f>IF($U652="","",INDEX(상세표[06~07시],$U652))</f>
        <v/>
      </c>
      <c r="Q652">
        <f>IF($U652="","",INDEX(상세표[07~18시],$U652))</f>
        <v/>
      </c>
      <c r="R652">
        <f>IF($U652="","",INDEX(상세표[18~22시],$U652))</f>
        <v/>
      </c>
      <c r="S652">
        <f>IF($U652="","",INDEX(상세표[22~06시],$U652))</f>
        <v/>
      </c>
      <c r="T652">
        <f>IF($U652="","",INDEX(상세표[기록 시간외],$U652))</f>
        <v/>
      </c>
      <c r="U652" s="4">
        <f>IFERROR(MATCH(647,상세표[발송순번],0),"")</f>
        <v/>
      </c>
    </row>
    <row r="653">
      <c r="J653">
        <f>IF($U653="","",INDEX(상세표[사번],$U653)&amp;"")</f>
        <v/>
      </c>
      <c r="K653">
        <f>IF($U653="","",INDEX(상세표[성명],$U653)&amp;"")</f>
        <v/>
      </c>
      <c r="L653">
        <f>IF($U653="","",INDEX(상세표[직위],$U653)&amp;"")</f>
        <v/>
      </c>
      <c r="M653">
        <f>IF($U653="","",IF(ISNUMBER(INDEX(상세표[근무일자],$U653)),TEXT(INDEX(상세표[근무일자],$U653),"yyyy-mm-dd"),INDEX(상세표[근무일자],$U653)&amp;""))</f>
        <v/>
      </c>
      <c r="N653">
        <f>IF($U653="","",IF(ISNUMBER(INDEX(상세표[시작],$U653)),TEXT(INDEX(상세표[시작],$U653),"yyyy-mm-dd hh:mm"),INDEX(상세표[시작],$U653)&amp;""))</f>
        <v/>
      </c>
      <c r="O653">
        <f>IF($U653="","",IF(ISNUMBER(INDEX(상세표[종료],$U653)),TEXT(INDEX(상세표[종료],$U653),"yyyy-mm-dd hh:mm"),INDEX(상세표[종료],$U653)&amp;""))</f>
        <v/>
      </c>
      <c r="P653">
        <f>IF($U653="","",INDEX(상세표[06~07시],$U653))</f>
        <v/>
      </c>
      <c r="Q653">
        <f>IF($U653="","",INDEX(상세표[07~18시],$U653))</f>
        <v/>
      </c>
      <c r="R653">
        <f>IF($U653="","",INDEX(상세표[18~22시],$U653))</f>
        <v/>
      </c>
      <c r="S653">
        <f>IF($U653="","",INDEX(상세표[22~06시],$U653))</f>
        <v/>
      </c>
      <c r="T653">
        <f>IF($U653="","",INDEX(상세표[기록 시간외],$U653))</f>
        <v/>
      </c>
      <c r="U653" s="4">
        <f>IFERROR(MATCH(648,상세표[발송순번],0),"")</f>
        <v/>
      </c>
    </row>
    <row r="654">
      <c r="J654">
        <f>IF($U654="","",INDEX(상세표[사번],$U654)&amp;"")</f>
        <v/>
      </c>
      <c r="K654">
        <f>IF($U654="","",INDEX(상세표[성명],$U654)&amp;"")</f>
        <v/>
      </c>
      <c r="L654">
        <f>IF($U654="","",INDEX(상세표[직위],$U654)&amp;"")</f>
        <v/>
      </c>
      <c r="M654">
        <f>IF($U654="","",IF(ISNUMBER(INDEX(상세표[근무일자],$U654)),TEXT(INDEX(상세표[근무일자],$U654),"yyyy-mm-dd"),INDEX(상세표[근무일자],$U654)&amp;""))</f>
        <v/>
      </c>
      <c r="N654">
        <f>IF($U654="","",IF(ISNUMBER(INDEX(상세표[시작],$U654)),TEXT(INDEX(상세표[시작],$U654),"yyyy-mm-dd hh:mm"),INDEX(상세표[시작],$U654)&amp;""))</f>
        <v/>
      </c>
      <c r="O654">
        <f>IF($U654="","",IF(ISNUMBER(INDEX(상세표[종료],$U654)),TEXT(INDEX(상세표[종료],$U654),"yyyy-mm-dd hh:mm"),INDEX(상세표[종료],$U654)&amp;""))</f>
        <v/>
      </c>
      <c r="P654">
        <f>IF($U654="","",INDEX(상세표[06~07시],$U654))</f>
        <v/>
      </c>
      <c r="Q654">
        <f>IF($U654="","",INDEX(상세표[07~18시],$U654))</f>
        <v/>
      </c>
      <c r="R654">
        <f>IF($U654="","",INDEX(상세표[18~22시],$U654))</f>
        <v/>
      </c>
      <c r="S654">
        <f>IF($U654="","",INDEX(상세표[22~06시],$U654))</f>
        <v/>
      </c>
      <c r="T654">
        <f>IF($U654="","",INDEX(상세표[기록 시간외],$U654))</f>
        <v/>
      </c>
      <c r="U654" s="4">
        <f>IFERROR(MATCH(649,상세표[발송순번],0),"")</f>
        <v/>
      </c>
    </row>
    <row r="655">
      <c r="J655">
        <f>IF($U655="","",INDEX(상세표[사번],$U655)&amp;"")</f>
        <v/>
      </c>
      <c r="K655">
        <f>IF($U655="","",INDEX(상세표[성명],$U655)&amp;"")</f>
        <v/>
      </c>
      <c r="L655">
        <f>IF($U655="","",INDEX(상세표[직위],$U655)&amp;"")</f>
        <v/>
      </c>
      <c r="M655">
        <f>IF($U655="","",IF(ISNUMBER(INDEX(상세표[근무일자],$U655)),TEXT(INDEX(상세표[근무일자],$U655),"yyyy-mm-dd"),INDEX(상세표[근무일자],$U655)&amp;""))</f>
        <v/>
      </c>
      <c r="N655">
        <f>IF($U655="","",IF(ISNUMBER(INDEX(상세표[시작],$U655)),TEXT(INDEX(상세표[시작],$U655),"yyyy-mm-dd hh:mm"),INDEX(상세표[시작],$U655)&amp;""))</f>
        <v/>
      </c>
      <c r="O655">
        <f>IF($U655="","",IF(ISNUMBER(INDEX(상세표[종료],$U655)),TEXT(INDEX(상세표[종료],$U655),"yyyy-mm-dd hh:mm"),INDEX(상세표[종료],$U655)&amp;""))</f>
        <v/>
      </c>
      <c r="P655">
        <f>IF($U655="","",INDEX(상세표[06~07시],$U655))</f>
        <v/>
      </c>
      <c r="Q655">
        <f>IF($U655="","",INDEX(상세표[07~18시],$U655))</f>
        <v/>
      </c>
      <c r="R655">
        <f>IF($U655="","",INDEX(상세표[18~22시],$U655))</f>
        <v/>
      </c>
      <c r="S655">
        <f>IF($U655="","",INDEX(상세표[22~06시],$U655))</f>
        <v/>
      </c>
      <c r="T655">
        <f>IF($U655="","",INDEX(상세표[기록 시간외],$U655))</f>
        <v/>
      </c>
      <c r="U655" s="4">
        <f>IFERROR(MATCH(650,상세표[발송순번],0),"")</f>
        <v/>
      </c>
    </row>
    <row r="656">
      <c r="J656">
        <f>IF($U656="","",INDEX(상세표[사번],$U656)&amp;"")</f>
        <v/>
      </c>
      <c r="K656">
        <f>IF($U656="","",INDEX(상세표[성명],$U656)&amp;"")</f>
        <v/>
      </c>
      <c r="L656">
        <f>IF($U656="","",INDEX(상세표[직위],$U656)&amp;"")</f>
        <v/>
      </c>
      <c r="M656">
        <f>IF($U656="","",IF(ISNUMBER(INDEX(상세표[근무일자],$U656)),TEXT(INDEX(상세표[근무일자],$U656),"yyyy-mm-dd"),INDEX(상세표[근무일자],$U656)&amp;""))</f>
        <v/>
      </c>
      <c r="N656">
        <f>IF($U656="","",IF(ISNUMBER(INDEX(상세표[시작],$U656)),TEXT(INDEX(상세표[시작],$U656),"yyyy-mm-dd hh:mm"),INDEX(상세표[시작],$U656)&amp;""))</f>
        <v/>
      </c>
      <c r="O656">
        <f>IF($U656="","",IF(ISNUMBER(INDEX(상세표[종료],$U656)),TEXT(INDEX(상세표[종료],$U656),"yyyy-mm-dd hh:mm"),INDEX(상세표[종료],$U656)&amp;""))</f>
        <v/>
      </c>
      <c r="P656">
        <f>IF($U656="","",INDEX(상세표[06~07시],$U656))</f>
        <v/>
      </c>
      <c r="Q656">
        <f>IF($U656="","",INDEX(상세표[07~18시],$U656))</f>
        <v/>
      </c>
      <c r="R656">
        <f>IF($U656="","",INDEX(상세표[18~22시],$U656))</f>
        <v/>
      </c>
      <c r="S656">
        <f>IF($U656="","",INDEX(상세표[22~06시],$U656))</f>
        <v/>
      </c>
      <c r="T656">
        <f>IF($U656="","",INDEX(상세표[기록 시간외],$U656))</f>
        <v/>
      </c>
      <c r="U656" s="4">
        <f>IFERROR(MATCH(651,상세표[발송순번],0),"")</f>
        <v/>
      </c>
    </row>
    <row r="657">
      <c r="J657">
        <f>IF($U657="","",INDEX(상세표[사번],$U657)&amp;"")</f>
        <v/>
      </c>
      <c r="K657">
        <f>IF($U657="","",INDEX(상세표[성명],$U657)&amp;"")</f>
        <v/>
      </c>
      <c r="L657">
        <f>IF($U657="","",INDEX(상세표[직위],$U657)&amp;"")</f>
        <v/>
      </c>
      <c r="M657">
        <f>IF($U657="","",IF(ISNUMBER(INDEX(상세표[근무일자],$U657)),TEXT(INDEX(상세표[근무일자],$U657),"yyyy-mm-dd"),INDEX(상세표[근무일자],$U657)&amp;""))</f>
        <v/>
      </c>
      <c r="N657">
        <f>IF($U657="","",IF(ISNUMBER(INDEX(상세표[시작],$U657)),TEXT(INDEX(상세표[시작],$U657),"yyyy-mm-dd hh:mm"),INDEX(상세표[시작],$U657)&amp;""))</f>
        <v/>
      </c>
      <c r="O657">
        <f>IF($U657="","",IF(ISNUMBER(INDEX(상세표[종료],$U657)),TEXT(INDEX(상세표[종료],$U657),"yyyy-mm-dd hh:mm"),INDEX(상세표[종료],$U657)&amp;""))</f>
        <v/>
      </c>
      <c r="P657">
        <f>IF($U657="","",INDEX(상세표[06~07시],$U657))</f>
        <v/>
      </c>
      <c r="Q657">
        <f>IF($U657="","",INDEX(상세표[07~18시],$U657))</f>
        <v/>
      </c>
      <c r="R657">
        <f>IF($U657="","",INDEX(상세표[18~22시],$U657))</f>
        <v/>
      </c>
      <c r="S657">
        <f>IF($U657="","",INDEX(상세표[22~06시],$U657))</f>
        <v/>
      </c>
      <c r="T657">
        <f>IF($U657="","",INDEX(상세표[기록 시간외],$U657))</f>
        <v/>
      </c>
      <c r="U657" s="4">
        <f>IFERROR(MATCH(652,상세표[발송순번],0),"")</f>
        <v/>
      </c>
    </row>
    <row r="658">
      <c r="J658">
        <f>IF($U658="","",INDEX(상세표[사번],$U658)&amp;"")</f>
        <v/>
      </c>
      <c r="K658">
        <f>IF($U658="","",INDEX(상세표[성명],$U658)&amp;"")</f>
        <v/>
      </c>
      <c r="L658">
        <f>IF($U658="","",INDEX(상세표[직위],$U658)&amp;"")</f>
        <v/>
      </c>
      <c r="M658">
        <f>IF($U658="","",IF(ISNUMBER(INDEX(상세표[근무일자],$U658)),TEXT(INDEX(상세표[근무일자],$U658),"yyyy-mm-dd"),INDEX(상세표[근무일자],$U658)&amp;""))</f>
        <v/>
      </c>
      <c r="N658">
        <f>IF($U658="","",IF(ISNUMBER(INDEX(상세표[시작],$U658)),TEXT(INDEX(상세표[시작],$U658),"yyyy-mm-dd hh:mm"),INDEX(상세표[시작],$U658)&amp;""))</f>
        <v/>
      </c>
      <c r="O658">
        <f>IF($U658="","",IF(ISNUMBER(INDEX(상세표[종료],$U658)),TEXT(INDEX(상세표[종료],$U658),"yyyy-mm-dd hh:mm"),INDEX(상세표[종료],$U658)&amp;""))</f>
        <v/>
      </c>
      <c r="P658">
        <f>IF($U658="","",INDEX(상세표[06~07시],$U658))</f>
        <v/>
      </c>
      <c r="Q658">
        <f>IF($U658="","",INDEX(상세표[07~18시],$U658))</f>
        <v/>
      </c>
      <c r="R658">
        <f>IF($U658="","",INDEX(상세표[18~22시],$U658))</f>
        <v/>
      </c>
      <c r="S658">
        <f>IF($U658="","",INDEX(상세표[22~06시],$U658))</f>
        <v/>
      </c>
      <c r="T658">
        <f>IF($U658="","",INDEX(상세표[기록 시간외],$U658))</f>
        <v/>
      </c>
      <c r="U658" s="4">
        <f>IFERROR(MATCH(653,상세표[발송순번],0),"")</f>
        <v/>
      </c>
    </row>
    <row r="659">
      <c r="J659">
        <f>IF($U659="","",INDEX(상세표[사번],$U659)&amp;"")</f>
        <v/>
      </c>
      <c r="K659">
        <f>IF($U659="","",INDEX(상세표[성명],$U659)&amp;"")</f>
        <v/>
      </c>
      <c r="L659">
        <f>IF($U659="","",INDEX(상세표[직위],$U659)&amp;"")</f>
        <v/>
      </c>
      <c r="M659">
        <f>IF($U659="","",IF(ISNUMBER(INDEX(상세표[근무일자],$U659)),TEXT(INDEX(상세표[근무일자],$U659),"yyyy-mm-dd"),INDEX(상세표[근무일자],$U659)&amp;""))</f>
        <v/>
      </c>
      <c r="N659">
        <f>IF($U659="","",IF(ISNUMBER(INDEX(상세표[시작],$U659)),TEXT(INDEX(상세표[시작],$U659),"yyyy-mm-dd hh:mm"),INDEX(상세표[시작],$U659)&amp;""))</f>
        <v/>
      </c>
      <c r="O659">
        <f>IF($U659="","",IF(ISNUMBER(INDEX(상세표[종료],$U659)),TEXT(INDEX(상세표[종료],$U659),"yyyy-mm-dd hh:mm"),INDEX(상세표[종료],$U659)&amp;""))</f>
        <v/>
      </c>
      <c r="P659">
        <f>IF($U659="","",INDEX(상세표[06~07시],$U659))</f>
        <v/>
      </c>
      <c r="Q659">
        <f>IF($U659="","",INDEX(상세표[07~18시],$U659))</f>
        <v/>
      </c>
      <c r="R659">
        <f>IF($U659="","",INDEX(상세표[18~22시],$U659))</f>
        <v/>
      </c>
      <c r="S659">
        <f>IF($U659="","",INDEX(상세표[22~06시],$U659))</f>
        <v/>
      </c>
      <c r="T659">
        <f>IF($U659="","",INDEX(상세표[기록 시간외],$U659))</f>
        <v/>
      </c>
      <c r="U659" s="4">
        <f>IFERROR(MATCH(654,상세표[발송순번],0),"")</f>
        <v/>
      </c>
    </row>
    <row r="660">
      <c r="J660">
        <f>IF($U660="","",INDEX(상세표[사번],$U660)&amp;"")</f>
        <v/>
      </c>
      <c r="K660">
        <f>IF($U660="","",INDEX(상세표[성명],$U660)&amp;"")</f>
        <v/>
      </c>
      <c r="L660">
        <f>IF($U660="","",INDEX(상세표[직위],$U660)&amp;"")</f>
        <v/>
      </c>
      <c r="M660">
        <f>IF($U660="","",IF(ISNUMBER(INDEX(상세표[근무일자],$U660)),TEXT(INDEX(상세표[근무일자],$U660),"yyyy-mm-dd"),INDEX(상세표[근무일자],$U660)&amp;""))</f>
        <v/>
      </c>
      <c r="N660">
        <f>IF($U660="","",IF(ISNUMBER(INDEX(상세표[시작],$U660)),TEXT(INDEX(상세표[시작],$U660),"yyyy-mm-dd hh:mm"),INDEX(상세표[시작],$U660)&amp;""))</f>
        <v/>
      </c>
      <c r="O660">
        <f>IF($U660="","",IF(ISNUMBER(INDEX(상세표[종료],$U660)),TEXT(INDEX(상세표[종료],$U660),"yyyy-mm-dd hh:mm"),INDEX(상세표[종료],$U660)&amp;""))</f>
        <v/>
      </c>
      <c r="P660">
        <f>IF($U660="","",INDEX(상세표[06~07시],$U660))</f>
        <v/>
      </c>
      <c r="Q660">
        <f>IF($U660="","",INDEX(상세표[07~18시],$U660))</f>
        <v/>
      </c>
      <c r="R660">
        <f>IF($U660="","",INDEX(상세표[18~22시],$U660))</f>
        <v/>
      </c>
      <c r="S660">
        <f>IF($U660="","",INDEX(상세표[22~06시],$U660))</f>
        <v/>
      </c>
      <c r="T660">
        <f>IF($U660="","",INDEX(상세표[기록 시간외],$U660))</f>
        <v/>
      </c>
      <c r="U660" s="4">
        <f>IFERROR(MATCH(655,상세표[발송순번],0),"")</f>
        <v/>
      </c>
    </row>
    <row r="661">
      <c r="J661">
        <f>IF($U661="","",INDEX(상세표[사번],$U661)&amp;"")</f>
        <v/>
      </c>
      <c r="K661">
        <f>IF($U661="","",INDEX(상세표[성명],$U661)&amp;"")</f>
        <v/>
      </c>
      <c r="L661">
        <f>IF($U661="","",INDEX(상세표[직위],$U661)&amp;"")</f>
        <v/>
      </c>
      <c r="M661">
        <f>IF($U661="","",IF(ISNUMBER(INDEX(상세표[근무일자],$U661)),TEXT(INDEX(상세표[근무일자],$U661),"yyyy-mm-dd"),INDEX(상세표[근무일자],$U661)&amp;""))</f>
        <v/>
      </c>
      <c r="N661">
        <f>IF($U661="","",IF(ISNUMBER(INDEX(상세표[시작],$U661)),TEXT(INDEX(상세표[시작],$U661),"yyyy-mm-dd hh:mm"),INDEX(상세표[시작],$U661)&amp;""))</f>
        <v/>
      </c>
      <c r="O661">
        <f>IF($U661="","",IF(ISNUMBER(INDEX(상세표[종료],$U661)),TEXT(INDEX(상세표[종료],$U661),"yyyy-mm-dd hh:mm"),INDEX(상세표[종료],$U661)&amp;""))</f>
        <v/>
      </c>
      <c r="P661">
        <f>IF($U661="","",INDEX(상세표[06~07시],$U661))</f>
        <v/>
      </c>
      <c r="Q661">
        <f>IF($U661="","",INDEX(상세표[07~18시],$U661))</f>
        <v/>
      </c>
      <c r="R661">
        <f>IF($U661="","",INDEX(상세표[18~22시],$U661))</f>
        <v/>
      </c>
      <c r="S661">
        <f>IF($U661="","",INDEX(상세표[22~06시],$U661))</f>
        <v/>
      </c>
      <c r="T661">
        <f>IF($U661="","",INDEX(상세표[기록 시간외],$U661))</f>
        <v/>
      </c>
      <c r="U661" s="4">
        <f>IFERROR(MATCH(656,상세표[발송순번],0),"")</f>
        <v/>
      </c>
    </row>
    <row r="662">
      <c r="J662">
        <f>IF($U662="","",INDEX(상세표[사번],$U662)&amp;"")</f>
        <v/>
      </c>
      <c r="K662">
        <f>IF($U662="","",INDEX(상세표[성명],$U662)&amp;"")</f>
        <v/>
      </c>
      <c r="L662">
        <f>IF($U662="","",INDEX(상세표[직위],$U662)&amp;"")</f>
        <v/>
      </c>
      <c r="M662">
        <f>IF($U662="","",IF(ISNUMBER(INDEX(상세표[근무일자],$U662)),TEXT(INDEX(상세표[근무일자],$U662),"yyyy-mm-dd"),INDEX(상세표[근무일자],$U662)&amp;""))</f>
        <v/>
      </c>
      <c r="N662">
        <f>IF($U662="","",IF(ISNUMBER(INDEX(상세표[시작],$U662)),TEXT(INDEX(상세표[시작],$U662),"yyyy-mm-dd hh:mm"),INDEX(상세표[시작],$U662)&amp;""))</f>
        <v/>
      </c>
      <c r="O662">
        <f>IF($U662="","",IF(ISNUMBER(INDEX(상세표[종료],$U662)),TEXT(INDEX(상세표[종료],$U662),"yyyy-mm-dd hh:mm"),INDEX(상세표[종료],$U662)&amp;""))</f>
        <v/>
      </c>
      <c r="P662">
        <f>IF($U662="","",INDEX(상세표[06~07시],$U662))</f>
        <v/>
      </c>
      <c r="Q662">
        <f>IF($U662="","",INDEX(상세표[07~18시],$U662))</f>
        <v/>
      </c>
      <c r="R662">
        <f>IF($U662="","",INDEX(상세표[18~22시],$U662))</f>
        <v/>
      </c>
      <c r="S662">
        <f>IF($U662="","",INDEX(상세표[22~06시],$U662))</f>
        <v/>
      </c>
      <c r="T662">
        <f>IF($U662="","",INDEX(상세표[기록 시간외],$U662))</f>
        <v/>
      </c>
      <c r="U662" s="4">
        <f>IFERROR(MATCH(657,상세표[발송순번],0),"")</f>
        <v/>
      </c>
    </row>
    <row r="663">
      <c r="J663">
        <f>IF($U663="","",INDEX(상세표[사번],$U663)&amp;"")</f>
        <v/>
      </c>
      <c r="K663">
        <f>IF($U663="","",INDEX(상세표[성명],$U663)&amp;"")</f>
        <v/>
      </c>
      <c r="L663">
        <f>IF($U663="","",INDEX(상세표[직위],$U663)&amp;"")</f>
        <v/>
      </c>
      <c r="M663">
        <f>IF($U663="","",IF(ISNUMBER(INDEX(상세표[근무일자],$U663)),TEXT(INDEX(상세표[근무일자],$U663),"yyyy-mm-dd"),INDEX(상세표[근무일자],$U663)&amp;""))</f>
        <v/>
      </c>
      <c r="N663">
        <f>IF($U663="","",IF(ISNUMBER(INDEX(상세표[시작],$U663)),TEXT(INDEX(상세표[시작],$U663),"yyyy-mm-dd hh:mm"),INDEX(상세표[시작],$U663)&amp;""))</f>
        <v/>
      </c>
      <c r="O663">
        <f>IF($U663="","",IF(ISNUMBER(INDEX(상세표[종료],$U663)),TEXT(INDEX(상세표[종료],$U663),"yyyy-mm-dd hh:mm"),INDEX(상세표[종료],$U663)&amp;""))</f>
        <v/>
      </c>
      <c r="P663">
        <f>IF($U663="","",INDEX(상세표[06~07시],$U663))</f>
        <v/>
      </c>
      <c r="Q663">
        <f>IF($U663="","",INDEX(상세표[07~18시],$U663))</f>
        <v/>
      </c>
      <c r="R663">
        <f>IF($U663="","",INDEX(상세표[18~22시],$U663))</f>
        <v/>
      </c>
      <c r="S663">
        <f>IF($U663="","",INDEX(상세표[22~06시],$U663))</f>
        <v/>
      </c>
      <c r="T663">
        <f>IF($U663="","",INDEX(상세표[기록 시간외],$U663))</f>
        <v/>
      </c>
      <c r="U663" s="4">
        <f>IFERROR(MATCH(658,상세표[발송순번],0),"")</f>
        <v/>
      </c>
    </row>
    <row r="664">
      <c r="J664">
        <f>IF($U664="","",INDEX(상세표[사번],$U664)&amp;"")</f>
        <v/>
      </c>
      <c r="K664">
        <f>IF($U664="","",INDEX(상세표[성명],$U664)&amp;"")</f>
        <v/>
      </c>
      <c r="L664">
        <f>IF($U664="","",INDEX(상세표[직위],$U664)&amp;"")</f>
        <v/>
      </c>
      <c r="M664">
        <f>IF($U664="","",IF(ISNUMBER(INDEX(상세표[근무일자],$U664)),TEXT(INDEX(상세표[근무일자],$U664),"yyyy-mm-dd"),INDEX(상세표[근무일자],$U664)&amp;""))</f>
        <v/>
      </c>
      <c r="N664">
        <f>IF($U664="","",IF(ISNUMBER(INDEX(상세표[시작],$U664)),TEXT(INDEX(상세표[시작],$U664),"yyyy-mm-dd hh:mm"),INDEX(상세표[시작],$U664)&amp;""))</f>
        <v/>
      </c>
      <c r="O664">
        <f>IF($U664="","",IF(ISNUMBER(INDEX(상세표[종료],$U664)),TEXT(INDEX(상세표[종료],$U664),"yyyy-mm-dd hh:mm"),INDEX(상세표[종료],$U664)&amp;""))</f>
        <v/>
      </c>
      <c r="P664">
        <f>IF($U664="","",INDEX(상세표[06~07시],$U664))</f>
        <v/>
      </c>
      <c r="Q664">
        <f>IF($U664="","",INDEX(상세표[07~18시],$U664))</f>
        <v/>
      </c>
      <c r="R664">
        <f>IF($U664="","",INDEX(상세표[18~22시],$U664))</f>
        <v/>
      </c>
      <c r="S664">
        <f>IF($U664="","",INDEX(상세표[22~06시],$U664))</f>
        <v/>
      </c>
      <c r="T664">
        <f>IF($U664="","",INDEX(상세표[기록 시간외],$U664))</f>
        <v/>
      </c>
      <c r="U664" s="4">
        <f>IFERROR(MATCH(659,상세표[발송순번],0),"")</f>
        <v/>
      </c>
    </row>
    <row r="665">
      <c r="J665">
        <f>IF($U665="","",INDEX(상세표[사번],$U665)&amp;"")</f>
        <v/>
      </c>
      <c r="K665">
        <f>IF($U665="","",INDEX(상세표[성명],$U665)&amp;"")</f>
        <v/>
      </c>
      <c r="L665">
        <f>IF($U665="","",INDEX(상세표[직위],$U665)&amp;"")</f>
        <v/>
      </c>
      <c r="M665">
        <f>IF($U665="","",IF(ISNUMBER(INDEX(상세표[근무일자],$U665)),TEXT(INDEX(상세표[근무일자],$U665),"yyyy-mm-dd"),INDEX(상세표[근무일자],$U665)&amp;""))</f>
        <v/>
      </c>
      <c r="N665">
        <f>IF($U665="","",IF(ISNUMBER(INDEX(상세표[시작],$U665)),TEXT(INDEX(상세표[시작],$U665),"yyyy-mm-dd hh:mm"),INDEX(상세표[시작],$U665)&amp;""))</f>
        <v/>
      </c>
      <c r="O665">
        <f>IF($U665="","",IF(ISNUMBER(INDEX(상세표[종료],$U665)),TEXT(INDEX(상세표[종료],$U665),"yyyy-mm-dd hh:mm"),INDEX(상세표[종료],$U665)&amp;""))</f>
        <v/>
      </c>
      <c r="P665">
        <f>IF($U665="","",INDEX(상세표[06~07시],$U665))</f>
        <v/>
      </c>
      <c r="Q665">
        <f>IF($U665="","",INDEX(상세표[07~18시],$U665))</f>
        <v/>
      </c>
      <c r="R665">
        <f>IF($U665="","",INDEX(상세표[18~22시],$U665))</f>
        <v/>
      </c>
      <c r="S665">
        <f>IF($U665="","",INDEX(상세표[22~06시],$U665))</f>
        <v/>
      </c>
      <c r="T665">
        <f>IF($U665="","",INDEX(상세표[기록 시간외],$U665))</f>
        <v/>
      </c>
      <c r="U665" s="4">
        <f>IFERROR(MATCH(660,상세표[발송순번],0),"")</f>
        <v/>
      </c>
    </row>
    <row r="666">
      <c r="J666">
        <f>IF($U666="","",INDEX(상세표[사번],$U666)&amp;"")</f>
        <v/>
      </c>
      <c r="K666">
        <f>IF($U666="","",INDEX(상세표[성명],$U666)&amp;"")</f>
        <v/>
      </c>
      <c r="L666">
        <f>IF($U666="","",INDEX(상세표[직위],$U666)&amp;"")</f>
        <v/>
      </c>
      <c r="M666">
        <f>IF($U666="","",IF(ISNUMBER(INDEX(상세표[근무일자],$U666)),TEXT(INDEX(상세표[근무일자],$U666),"yyyy-mm-dd"),INDEX(상세표[근무일자],$U666)&amp;""))</f>
        <v/>
      </c>
      <c r="N666">
        <f>IF($U666="","",IF(ISNUMBER(INDEX(상세표[시작],$U666)),TEXT(INDEX(상세표[시작],$U666),"yyyy-mm-dd hh:mm"),INDEX(상세표[시작],$U666)&amp;""))</f>
        <v/>
      </c>
      <c r="O666">
        <f>IF($U666="","",IF(ISNUMBER(INDEX(상세표[종료],$U666)),TEXT(INDEX(상세표[종료],$U666),"yyyy-mm-dd hh:mm"),INDEX(상세표[종료],$U666)&amp;""))</f>
        <v/>
      </c>
      <c r="P666">
        <f>IF($U666="","",INDEX(상세표[06~07시],$U666))</f>
        <v/>
      </c>
      <c r="Q666">
        <f>IF($U666="","",INDEX(상세표[07~18시],$U666))</f>
        <v/>
      </c>
      <c r="R666">
        <f>IF($U666="","",INDEX(상세표[18~22시],$U666))</f>
        <v/>
      </c>
      <c r="S666">
        <f>IF($U666="","",INDEX(상세표[22~06시],$U666))</f>
        <v/>
      </c>
      <c r="T666">
        <f>IF($U666="","",INDEX(상세표[기록 시간외],$U666))</f>
        <v/>
      </c>
      <c r="U666" s="4">
        <f>IFERROR(MATCH(661,상세표[발송순번],0),"")</f>
        <v/>
      </c>
    </row>
    <row r="667">
      <c r="J667">
        <f>IF($U667="","",INDEX(상세표[사번],$U667)&amp;"")</f>
        <v/>
      </c>
      <c r="K667">
        <f>IF($U667="","",INDEX(상세표[성명],$U667)&amp;"")</f>
        <v/>
      </c>
      <c r="L667">
        <f>IF($U667="","",INDEX(상세표[직위],$U667)&amp;"")</f>
        <v/>
      </c>
      <c r="M667">
        <f>IF($U667="","",IF(ISNUMBER(INDEX(상세표[근무일자],$U667)),TEXT(INDEX(상세표[근무일자],$U667),"yyyy-mm-dd"),INDEX(상세표[근무일자],$U667)&amp;""))</f>
        <v/>
      </c>
      <c r="N667">
        <f>IF($U667="","",IF(ISNUMBER(INDEX(상세표[시작],$U667)),TEXT(INDEX(상세표[시작],$U667),"yyyy-mm-dd hh:mm"),INDEX(상세표[시작],$U667)&amp;""))</f>
        <v/>
      </c>
      <c r="O667">
        <f>IF($U667="","",IF(ISNUMBER(INDEX(상세표[종료],$U667)),TEXT(INDEX(상세표[종료],$U667),"yyyy-mm-dd hh:mm"),INDEX(상세표[종료],$U667)&amp;""))</f>
        <v/>
      </c>
      <c r="P667">
        <f>IF($U667="","",INDEX(상세표[06~07시],$U667))</f>
        <v/>
      </c>
      <c r="Q667">
        <f>IF($U667="","",INDEX(상세표[07~18시],$U667))</f>
        <v/>
      </c>
      <c r="R667">
        <f>IF($U667="","",INDEX(상세표[18~22시],$U667))</f>
        <v/>
      </c>
      <c r="S667">
        <f>IF($U667="","",INDEX(상세표[22~06시],$U667))</f>
        <v/>
      </c>
      <c r="T667">
        <f>IF($U667="","",INDEX(상세표[기록 시간외],$U667))</f>
        <v/>
      </c>
      <c r="U667" s="4">
        <f>IFERROR(MATCH(662,상세표[발송순번],0),"")</f>
        <v/>
      </c>
    </row>
    <row r="668">
      <c r="J668">
        <f>IF($U668="","",INDEX(상세표[사번],$U668)&amp;"")</f>
        <v/>
      </c>
      <c r="K668">
        <f>IF($U668="","",INDEX(상세표[성명],$U668)&amp;"")</f>
        <v/>
      </c>
      <c r="L668">
        <f>IF($U668="","",INDEX(상세표[직위],$U668)&amp;"")</f>
        <v/>
      </c>
      <c r="M668">
        <f>IF($U668="","",IF(ISNUMBER(INDEX(상세표[근무일자],$U668)),TEXT(INDEX(상세표[근무일자],$U668),"yyyy-mm-dd"),INDEX(상세표[근무일자],$U668)&amp;""))</f>
        <v/>
      </c>
      <c r="N668">
        <f>IF($U668="","",IF(ISNUMBER(INDEX(상세표[시작],$U668)),TEXT(INDEX(상세표[시작],$U668),"yyyy-mm-dd hh:mm"),INDEX(상세표[시작],$U668)&amp;""))</f>
        <v/>
      </c>
      <c r="O668">
        <f>IF($U668="","",IF(ISNUMBER(INDEX(상세표[종료],$U668)),TEXT(INDEX(상세표[종료],$U668),"yyyy-mm-dd hh:mm"),INDEX(상세표[종료],$U668)&amp;""))</f>
        <v/>
      </c>
      <c r="P668">
        <f>IF($U668="","",INDEX(상세표[06~07시],$U668))</f>
        <v/>
      </c>
      <c r="Q668">
        <f>IF($U668="","",INDEX(상세표[07~18시],$U668))</f>
        <v/>
      </c>
      <c r="R668">
        <f>IF($U668="","",INDEX(상세표[18~22시],$U668))</f>
        <v/>
      </c>
      <c r="S668">
        <f>IF($U668="","",INDEX(상세표[22~06시],$U668))</f>
        <v/>
      </c>
      <c r="T668">
        <f>IF($U668="","",INDEX(상세표[기록 시간외],$U668))</f>
        <v/>
      </c>
      <c r="U668" s="4">
        <f>IFERROR(MATCH(663,상세표[발송순번],0),"")</f>
        <v/>
      </c>
    </row>
    <row r="669">
      <c r="J669">
        <f>IF($U669="","",INDEX(상세표[사번],$U669)&amp;"")</f>
        <v/>
      </c>
      <c r="K669">
        <f>IF($U669="","",INDEX(상세표[성명],$U669)&amp;"")</f>
        <v/>
      </c>
      <c r="L669">
        <f>IF($U669="","",INDEX(상세표[직위],$U669)&amp;"")</f>
        <v/>
      </c>
      <c r="M669">
        <f>IF($U669="","",IF(ISNUMBER(INDEX(상세표[근무일자],$U669)),TEXT(INDEX(상세표[근무일자],$U669),"yyyy-mm-dd"),INDEX(상세표[근무일자],$U669)&amp;""))</f>
        <v/>
      </c>
      <c r="N669">
        <f>IF($U669="","",IF(ISNUMBER(INDEX(상세표[시작],$U669)),TEXT(INDEX(상세표[시작],$U669),"yyyy-mm-dd hh:mm"),INDEX(상세표[시작],$U669)&amp;""))</f>
        <v/>
      </c>
      <c r="O669">
        <f>IF($U669="","",IF(ISNUMBER(INDEX(상세표[종료],$U669)),TEXT(INDEX(상세표[종료],$U669),"yyyy-mm-dd hh:mm"),INDEX(상세표[종료],$U669)&amp;""))</f>
        <v/>
      </c>
      <c r="P669">
        <f>IF($U669="","",INDEX(상세표[06~07시],$U669))</f>
        <v/>
      </c>
      <c r="Q669">
        <f>IF($U669="","",INDEX(상세표[07~18시],$U669))</f>
        <v/>
      </c>
      <c r="R669">
        <f>IF($U669="","",INDEX(상세표[18~22시],$U669))</f>
        <v/>
      </c>
      <c r="S669">
        <f>IF($U669="","",INDEX(상세표[22~06시],$U669))</f>
        <v/>
      </c>
      <c r="T669">
        <f>IF($U669="","",INDEX(상세표[기록 시간외],$U669))</f>
        <v/>
      </c>
      <c r="U669" s="4">
        <f>IFERROR(MATCH(664,상세표[발송순번],0),"")</f>
        <v/>
      </c>
    </row>
    <row r="670">
      <c r="J670">
        <f>IF($U670="","",INDEX(상세표[사번],$U670)&amp;"")</f>
        <v/>
      </c>
      <c r="K670">
        <f>IF($U670="","",INDEX(상세표[성명],$U670)&amp;"")</f>
        <v/>
      </c>
      <c r="L670">
        <f>IF($U670="","",INDEX(상세표[직위],$U670)&amp;"")</f>
        <v/>
      </c>
      <c r="M670">
        <f>IF($U670="","",IF(ISNUMBER(INDEX(상세표[근무일자],$U670)),TEXT(INDEX(상세표[근무일자],$U670),"yyyy-mm-dd"),INDEX(상세표[근무일자],$U670)&amp;""))</f>
        <v/>
      </c>
      <c r="N670">
        <f>IF($U670="","",IF(ISNUMBER(INDEX(상세표[시작],$U670)),TEXT(INDEX(상세표[시작],$U670),"yyyy-mm-dd hh:mm"),INDEX(상세표[시작],$U670)&amp;""))</f>
        <v/>
      </c>
      <c r="O670">
        <f>IF($U670="","",IF(ISNUMBER(INDEX(상세표[종료],$U670)),TEXT(INDEX(상세표[종료],$U670),"yyyy-mm-dd hh:mm"),INDEX(상세표[종료],$U670)&amp;""))</f>
        <v/>
      </c>
      <c r="P670">
        <f>IF($U670="","",INDEX(상세표[06~07시],$U670))</f>
        <v/>
      </c>
      <c r="Q670">
        <f>IF($U670="","",INDEX(상세표[07~18시],$U670))</f>
        <v/>
      </c>
      <c r="R670">
        <f>IF($U670="","",INDEX(상세표[18~22시],$U670))</f>
        <v/>
      </c>
      <c r="S670">
        <f>IF($U670="","",INDEX(상세표[22~06시],$U670))</f>
        <v/>
      </c>
      <c r="T670">
        <f>IF($U670="","",INDEX(상세표[기록 시간외],$U670))</f>
        <v/>
      </c>
      <c r="U670" s="4">
        <f>IFERROR(MATCH(665,상세표[발송순번],0),"")</f>
        <v/>
      </c>
    </row>
    <row r="671">
      <c r="J671">
        <f>IF($U671="","",INDEX(상세표[사번],$U671)&amp;"")</f>
        <v/>
      </c>
      <c r="K671">
        <f>IF($U671="","",INDEX(상세표[성명],$U671)&amp;"")</f>
        <v/>
      </c>
      <c r="L671">
        <f>IF($U671="","",INDEX(상세표[직위],$U671)&amp;"")</f>
        <v/>
      </c>
      <c r="M671">
        <f>IF($U671="","",IF(ISNUMBER(INDEX(상세표[근무일자],$U671)),TEXT(INDEX(상세표[근무일자],$U671),"yyyy-mm-dd"),INDEX(상세표[근무일자],$U671)&amp;""))</f>
        <v/>
      </c>
      <c r="N671">
        <f>IF($U671="","",IF(ISNUMBER(INDEX(상세표[시작],$U671)),TEXT(INDEX(상세표[시작],$U671),"yyyy-mm-dd hh:mm"),INDEX(상세표[시작],$U671)&amp;""))</f>
        <v/>
      </c>
      <c r="O671">
        <f>IF($U671="","",IF(ISNUMBER(INDEX(상세표[종료],$U671)),TEXT(INDEX(상세표[종료],$U671),"yyyy-mm-dd hh:mm"),INDEX(상세표[종료],$U671)&amp;""))</f>
        <v/>
      </c>
      <c r="P671">
        <f>IF($U671="","",INDEX(상세표[06~07시],$U671))</f>
        <v/>
      </c>
      <c r="Q671">
        <f>IF($U671="","",INDEX(상세표[07~18시],$U671))</f>
        <v/>
      </c>
      <c r="R671">
        <f>IF($U671="","",INDEX(상세표[18~22시],$U671))</f>
        <v/>
      </c>
      <c r="S671">
        <f>IF($U671="","",INDEX(상세표[22~06시],$U671))</f>
        <v/>
      </c>
      <c r="T671">
        <f>IF($U671="","",INDEX(상세표[기록 시간외],$U671))</f>
        <v/>
      </c>
      <c r="U671" s="4">
        <f>IFERROR(MATCH(666,상세표[발송순번],0),"")</f>
        <v/>
      </c>
    </row>
    <row r="672">
      <c r="J672">
        <f>IF($U672="","",INDEX(상세표[사번],$U672)&amp;"")</f>
        <v/>
      </c>
      <c r="K672">
        <f>IF($U672="","",INDEX(상세표[성명],$U672)&amp;"")</f>
        <v/>
      </c>
      <c r="L672">
        <f>IF($U672="","",INDEX(상세표[직위],$U672)&amp;"")</f>
        <v/>
      </c>
      <c r="M672">
        <f>IF($U672="","",IF(ISNUMBER(INDEX(상세표[근무일자],$U672)),TEXT(INDEX(상세표[근무일자],$U672),"yyyy-mm-dd"),INDEX(상세표[근무일자],$U672)&amp;""))</f>
        <v/>
      </c>
      <c r="N672">
        <f>IF($U672="","",IF(ISNUMBER(INDEX(상세표[시작],$U672)),TEXT(INDEX(상세표[시작],$U672),"yyyy-mm-dd hh:mm"),INDEX(상세표[시작],$U672)&amp;""))</f>
        <v/>
      </c>
      <c r="O672">
        <f>IF($U672="","",IF(ISNUMBER(INDEX(상세표[종료],$U672)),TEXT(INDEX(상세표[종료],$U672),"yyyy-mm-dd hh:mm"),INDEX(상세표[종료],$U672)&amp;""))</f>
        <v/>
      </c>
      <c r="P672">
        <f>IF($U672="","",INDEX(상세표[06~07시],$U672))</f>
        <v/>
      </c>
      <c r="Q672">
        <f>IF($U672="","",INDEX(상세표[07~18시],$U672))</f>
        <v/>
      </c>
      <c r="R672">
        <f>IF($U672="","",INDEX(상세표[18~22시],$U672))</f>
        <v/>
      </c>
      <c r="S672">
        <f>IF($U672="","",INDEX(상세표[22~06시],$U672))</f>
        <v/>
      </c>
      <c r="T672">
        <f>IF($U672="","",INDEX(상세표[기록 시간외],$U672))</f>
        <v/>
      </c>
      <c r="U672" s="4">
        <f>IFERROR(MATCH(667,상세표[발송순번],0),"")</f>
        <v/>
      </c>
    </row>
    <row r="673">
      <c r="J673">
        <f>IF($U673="","",INDEX(상세표[사번],$U673)&amp;"")</f>
        <v/>
      </c>
      <c r="K673">
        <f>IF($U673="","",INDEX(상세표[성명],$U673)&amp;"")</f>
        <v/>
      </c>
      <c r="L673">
        <f>IF($U673="","",INDEX(상세표[직위],$U673)&amp;"")</f>
        <v/>
      </c>
      <c r="M673">
        <f>IF($U673="","",IF(ISNUMBER(INDEX(상세표[근무일자],$U673)),TEXT(INDEX(상세표[근무일자],$U673),"yyyy-mm-dd"),INDEX(상세표[근무일자],$U673)&amp;""))</f>
        <v/>
      </c>
      <c r="N673">
        <f>IF($U673="","",IF(ISNUMBER(INDEX(상세표[시작],$U673)),TEXT(INDEX(상세표[시작],$U673),"yyyy-mm-dd hh:mm"),INDEX(상세표[시작],$U673)&amp;""))</f>
        <v/>
      </c>
      <c r="O673">
        <f>IF($U673="","",IF(ISNUMBER(INDEX(상세표[종료],$U673)),TEXT(INDEX(상세표[종료],$U673),"yyyy-mm-dd hh:mm"),INDEX(상세표[종료],$U673)&amp;""))</f>
        <v/>
      </c>
      <c r="P673">
        <f>IF($U673="","",INDEX(상세표[06~07시],$U673))</f>
        <v/>
      </c>
      <c r="Q673">
        <f>IF($U673="","",INDEX(상세표[07~18시],$U673))</f>
        <v/>
      </c>
      <c r="R673">
        <f>IF($U673="","",INDEX(상세표[18~22시],$U673))</f>
        <v/>
      </c>
      <c r="S673">
        <f>IF($U673="","",INDEX(상세표[22~06시],$U673))</f>
        <v/>
      </c>
      <c r="T673">
        <f>IF($U673="","",INDEX(상세표[기록 시간외],$U673))</f>
        <v/>
      </c>
      <c r="U673" s="4">
        <f>IFERROR(MATCH(668,상세표[발송순번],0),"")</f>
        <v/>
      </c>
    </row>
    <row r="674">
      <c r="J674">
        <f>IF($U674="","",INDEX(상세표[사번],$U674)&amp;"")</f>
        <v/>
      </c>
      <c r="K674">
        <f>IF($U674="","",INDEX(상세표[성명],$U674)&amp;"")</f>
        <v/>
      </c>
      <c r="L674">
        <f>IF($U674="","",INDEX(상세표[직위],$U674)&amp;"")</f>
        <v/>
      </c>
      <c r="M674">
        <f>IF($U674="","",IF(ISNUMBER(INDEX(상세표[근무일자],$U674)),TEXT(INDEX(상세표[근무일자],$U674),"yyyy-mm-dd"),INDEX(상세표[근무일자],$U674)&amp;""))</f>
        <v/>
      </c>
      <c r="N674">
        <f>IF($U674="","",IF(ISNUMBER(INDEX(상세표[시작],$U674)),TEXT(INDEX(상세표[시작],$U674),"yyyy-mm-dd hh:mm"),INDEX(상세표[시작],$U674)&amp;""))</f>
        <v/>
      </c>
      <c r="O674">
        <f>IF($U674="","",IF(ISNUMBER(INDEX(상세표[종료],$U674)),TEXT(INDEX(상세표[종료],$U674),"yyyy-mm-dd hh:mm"),INDEX(상세표[종료],$U674)&amp;""))</f>
        <v/>
      </c>
      <c r="P674">
        <f>IF($U674="","",INDEX(상세표[06~07시],$U674))</f>
        <v/>
      </c>
      <c r="Q674">
        <f>IF($U674="","",INDEX(상세표[07~18시],$U674))</f>
        <v/>
      </c>
      <c r="R674">
        <f>IF($U674="","",INDEX(상세표[18~22시],$U674))</f>
        <v/>
      </c>
      <c r="S674">
        <f>IF($U674="","",INDEX(상세표[22~06시],$U674))</f>
        <v/>
      </c>
      <c r="T674">
        <f>IF($U674="","",INDEX(상세표[기록 시간외],$U674))</f>
        <v/>
      </c>
      <c r="U674" s="4">
        <f>IFERROR(MATCH(669,상세표[발송순번],0),"")</f>
        <v/>
      </c>
    </row>
    <row r="675">
      <c r="J675">
        <f>IF($U675="","",INDEX(상세표[사번],$U675)&amp;"")</f>
        <v/>
      </c>
      <c r="K675">
        <f>IF($U675="","",INDEX(상세표[성명],$U675)&amp;"")</f>
        <v/>
      </c>
      <c r="L675">
        <f>IF($U675="","",INDEX(상세표[직위],$U675)&amp;"")</f>
        <v/>
      </c>
      <c r="M675">
        <f>IF($U675="","",IF(ISNUMBER(INDEX(상세표[근무일자],$U675)),TEXT(INDEX(상세표[근무일자],$U675),"yyyy-mm-dd"),INDEX(상세표[근무일자],$U675)&amp;""))</f>
        <v/>
      </c>
      <c r="N675">
        <f>IF($U675="","",IF(ISNUMBER(INDEX(상세표[시작],$U675)),TEXT(INDEX(상세표[시작],$U675),"yyyy-mm-dd hh:mm"),INDEX(상세표[시작],$U675)&amp;""))</f>
        <v/>
      </c>
      <c r="O675">
        <f>IF($U675="","",IF(ISNUMBER(INDEX(상세표[종료],$U675)),TEXT(INDEX(상세표[종료],$U675),"yyyy-mm-dd hh:mm"),INDEX(상세표[종료],$U675)&amp;""))</f>
        <v/>
      </c>
      <c r="P675">
        <f>IF($U675="","",INDEX(상세표[06~07시],$U675))</f>
        <v/>
      </c>
      <c r="Q675">
        <f>IF($U675="","",INDEX(상세표[07~18시],$U675))</f>
        <v/>
      </c>
      <c r="R675">
        <f>IF($U675="","",INDEX(상세표[18~22시],$U675))</f>
        <v/>
      </c>
      <c r="S675">
        <f>IF($U675="","",INDEX(상세표[22~06시],$U675))</f>
        <v/>
      </c>
      <c r="T675">
        <f>IF($U675="","",INDEX(상세표[기록 시간외],$U675))</f>
        <v/>
      </c>
      <c r="U675" s="4">
        <f>IFERROR(MATCH(670,상세표[발송순번],0),"")</f>
        <v/>
      </c>
    </row>
    <row r="676">
      <c r="J676">
        <f>IF($U676="","",INDEX(상세표[사번],$U676)&amp;"")</f>
        <v/>
      </c>
      <c r="K676">
        <f>IF($U676="","",INDEX(상세표[성명],$U676)&amp;"")</f>
        <v/>
      </c>
      <c r="L676">
        <f>IF($U676="","",INDEX(상세표[직위],$U676)&amp;"")</f>
        <v/>
      </c>
      <c r="M676">
        <f>IF($U676="","",IF(ISNUMBER(INDEX(상세표[근무일자],$U676)),TEXT(INDEX(상세표[근무일자],$U676),"yyyy-mm-dd"),INDEX(상세표[근무일자],$U676)&amp;""))</f>
        <v/>
      </c>
      <c r="N676">
        <f>IF($U676="","",IF(ISNUMBER(INDEX(상세표[시작],$U676)),TEXT(INDEX(상세표[시작],$U676),"yyyy-mm-dd hh:mm"),INDEX(상세표[시작],$U676)&amp;""))</f>
        <v/>
      </c>
      <c r="O676">
        <f>IF($U676="","",IF(ISNUMBER(INDEX(상세표[종료],$U676)),TEXT(INDEX(상세표[종료],$U676),"yyyy-mm-dd hh:mm"),INDEX(상세표[종료],$U676)&amp;""))</f>
        <v/>
      </c>
      <c r="P676">
        <f>IF($U676="","",INDEX(상세표[06~07시],$U676))</f>
        <v/>
      </c>
      <c r="Q676">
        <f>IF($U676="","",INDEX(상세표[07~18시],$U676))</f>
        <v/>
      </c>
      <c r="R676">
        <f>IF($U676="","",INDEX(상세표[18~22시],$U676))</f>
        <v/>
      </c>
      <c r="S676">
        <f>IF($U676="","",INDEX(상세표[22~06시],$U676))</f>
        <v/>
      </c>
      <c r="T676">
        <f>IF($U676="","",INDEX(상세표[기록 시간외],$U676))</f>
        <v/>
      </c>
      <c r="U676" s="4">
        <f>IFERROR(MATCH(671,상세표[발송순번],0),"")</f>
        <v/>
      </c>
    </row>
    <row r="677">
      <c r="J677">
        <f>IF($U677="","",INDEX(상세표[사번],$U677)&amp;"")</f>
        <v/>
      </c>
      <c r="K677">
        <f>IF($U677="","",INDEX(상세표[성명],$U677)&amp;"")</f>
        <v/>
      </c>
      <c r="L677">
        <f>IF($U677="","",INDEX(상세표[직위],$U677)&amp;"")</f>
        <v/>
      </c>
      <c r="M677">
        <f>IF($U677="","",IF(ISNUMBER(INDEX(상세표[근무일자],$U677)),TEXT(INDEX(상세표[근무일자],$U677),"yyyy-mm-dd"),INDEX(상세표[근무일자],$U677)&amp;""))</f>
        <v/>
      </c>
      <c r="N677">
        <f>IF($U677="","",IF(ISNUMBER(INDEX(상세표[시작],$U677)),TEXT(INDEX(상세표[시작],$U677),"yyyy-mm-dd hh:mm"),INDEX(상세표[시작],$U677)&amp;""))</f>
        <v/>
      </c>
      <c r="O677">
        <f>IF($U677="","",IF(ISNUMBER(INDEX(상세표[종료],$U677)),TEXT(INDEX(상세표[종료],$U677),"yyyy-mm-dd hh:mm"),INDEX(상세표[종료],$U677)&amp;""))</f>
        <v/>
      </c>
      <c r="P677">
        <f>IF($U677="","",INDEX(상세표[06~07시],$U677))</f>
        <v/>
      </c>
      <c r="Q677">
        <f>IF($U677="","",INDEX(상세표[07~18시],$U677))</f>
        <v/>
      </c>
      <c r="R677">
        <f>IF($U677="","",INDEX(상세표[18~22시],$U677))</f>
        <v/>
      </c>
      <c r="S677">
        <f>IF($U677="","",INDEX(상세표[22~06시],$U677))</f>
        <v/>
      </c>
      <c r="T677">
        <f>IF($U677="","",INDEX(상세표[기록 시간외],$U677))</f>
        <v/>
      </c>
      <c r="U677" s="4">
        <f>IFERROR(MATCH(672,상세표[발송순번],0),"")</f>
        <v/>
      </c>
    </row>
    <row r="678">
      <c r="J678">
        <f>IF($U678="","",INDEX(상세표[사번],$U678)&amp;"")</f>
        <v/>
      </c>
      <c r="K678">
        <f>IF($U678="","",INDEX(상세표[성명],$U678)&amp;"")</f>
        <v/>
      </c>
      <c r="L678">
        <f>IF($U678="","",INDEX(상세표[직위],$U678)&amp;"")</f>
        <v/>
      </c>
      <c r="M678">
        <f>IF($U678="","",IF(ISNUMBER(INDEX(상세표[근무일자],$U678)),TEXT(INDEX(상세표[근무일자],$U678),"yyyy-mm-dd"),INDEX(상세표[근무일자],$U678)&amp;""))</f>
        <v/>
      </c>
      <c r="N678">
        <f>IF($U678="","",IF(ISNUMBER(INDEX(상세표[시작],$U678)),TEXT(INDEX(상세표[시작],$U678),"yyyy-mm-dd hh:mm"),INDEX(상세표[시작],$U678)&amp;""))</f>
        <v/>
      </c>
      <c r="O678">
        <f>IF($U678="","",IF(ISNUMBER(INDEX(상세표[종료],$U678)),TEXT(INDEX(상세표[종료],$U678),"yyyy-mm-dd hh:mm"),INDEX(상세표[종료],$U678)&amp;""))</f>
        <v/>
      </c>
      <c r="P678">
        <f>IF($U678="","",INDEX(상세표[06~07시],$U678))</f>
        <v/>
      </c>
      <c r="Q678">
        <f>IF($U678="","",INDEX(상세표[07~18시],$U678))</f>
        <v/>
      </c>
      <c r="R678">
        <f>IF($U678="","",INDEX(상세표[18~22시],$U678))</f>
        <v/>
      </c>
      <c r="S678">
        <f>IF($U678="","",INDEX(상세표[22~06시],$U678))</f>
        <v/>
      </c>
      <c r="T678">
        <f>IF($U678="","",INDEX(상세표[기록 시간외],$U678))</f>
        <v/>
      </c>
      <c r="U678" s="4">
        <f>IFERROR(MATCH(673,상세표[발송순번],0),"")</f>
        <v/>
      </c>
    </row>
    <row r="679">
      <c r="J679">
        <f>IF($U679="","",INDEX(상세표[사번],$U679)&amp;"")</f>
        <v/>
      </c>
      <c r="K679">
        <f>IF($U679="","",INDEX(상세표[성명],$U679)&amp;"")</f>
        <v/>
      </c>
      <c r="L679">
        <f>IF($U679="","",INDEX(상세표[직위],$U679)&amp;"")</f>
        <v/>
      </c>
      <c r="M679">
        <f>IF($U679="","",IF(ISNUMBER(INDEX(상세표[근무일자],$U679)),TEXT(INDEX(상세표[근무일자],$U679),"yyyy-mm-dd"),INDEX(상세표[근무일자],$U679)&amp;""))</f>
        <v/>
      </c>
      <c r="N679">
        <f>IF($U679="","",IF(ISNUMBER(INDEX(상세표[시작],$U679)),TEXT(INDEX(상세표[시작],$U679),"yyyy-mm-dd hh:mm"),INDEX(상세표[시작],$U679)&amp;""))</f>
        <v/>
      </c>
      <c r="O679">
        <f>IF($U679="","",IF(ISNUMBER(INDEX(상세표[종료],$U679)),TEXT(INDEX(상세표[종료],$U679),"yyyy-mm-dd hh:mm"),INDEX(상세표[종료],$U679)&amp;""))</f>
        <v/>
      </c>
      <c r="P679">
        <f>IF($U679="","",INDEX(상세표[06~07시],$U679))</f>
        <v/>
      </c>
      <c r="Q679">
        <f>IF($U679="","",INDEX(상세표[07~18시],$U679))</f>
        <v/>
      </c>
      <c r="R679">
        <f>IF($U679="","",INDEX(상세표[18~22시],$U679))</f>
        <v/>
      </c>
      <c r="S679">
        <f>IF($U679="","",INDEX(상세표[22~06시],$U679))</f>
        <v/>
      </c>
      <c r="T679">
        <f>IF($U679="","",INDEX(상세표[기록 시간외],$U679))</f>
        <v/>
      </c>
      <c r="U679" s="4">
        <f>IFERROR(MATCH(674,상세표[발송순번],0),"")</f>
        <v/>
      </c>
    </row>
    <row r="680">
      <c r="J680">
        <f>IF($U680="","",INDEX(상세표[사번],$U680)&amp;"")</f>
        <v/>
      </c>
      <c r="K680">
        <f>IF($U680="","",INDEX(상세표[성명],$U680)&amp;"")</f>
        <v/>
      </c>
      <c r="L680">
        <f>IF($U680="","",INDEX(상세표[직위],$U680)&amp;"")</f>
        <v/>
      </c>
      <c r="M680">
        <f>IF($U680="","",IF(ISNUMBER(INDEX(상세표[근무일자],$U680)),TEXT(INDEX(상세표[근무일자],$U680),"yyyy-mm-dd"),INDEX(상세표[근무일자],$U680)&amp;""))</f>
        <v/>
      </c>
      <c r="N680">
        <f>IF($U680="","",IF(ISNUMBER(INDEX(상세표[시작],$U680)),TEXT(INDEX(상세표[시작],$U680),"yyyy-mm-dd hh:mm"),INDEX(상세표[시작],$U680)&amp;""))</f>
        <v/>
      </c>
      <c r="O680">
        <f>IF($U680="","",IF(ISNUMBER(INDEX(상세표[종료],$U680)),TEXT(INDEX(상세표[종료],$U680),"yyyy-mm-dd hh:mm"),INDEX(상세표[종료],$U680)&amp;""))</f>
        <v/>
      </c>
      <c r="P680">
        <f>IF($U680="","",INDEX(상세표[06~07시],$U680))</f>
        <v/>
      </c>
      <c r="Q680">
        <f>IF($U680="","",INDEX(상세표[07~18시],$U680))</f>
        <v/>
      </c>
      <c r="R680">
        <f>IF($U680="","",INDEX(상세표[18~22시],$U680))</f>
        <v/>
      </c>
      <c r="S680">
        <f>IF($U680="","",INDEX(상세표[22~06시],$U680))</f>
        <v/>
      </c>
      <c r="T680">
        <f>IF($U680="","",INDEX(상세표[기록 시간외],$U680))</f>
        <v/>
      </c>
      <c r="U680" s="4">
        <f>IFERROR(MATCH(675,상세표[발송순번],0),"")</f>
        <v/>
      </c>
    </row>
    <row r="681">
      <c r="J681">
        <f>IF($U681="","",INDEX(상세표[사번],$U681)&amp;"")</f>
        <v/>
      </c>
      <c r="K681">
        <f>IF($U681="","",INDEX(상세표[성명],$U681)&amp;"")</f>
        <v/>
      </c>
      <c r="L681">
        <f>IF($U681="","",INDEX(상세표[직위],$U681)&amp;"")</f>
        <v/>
      </c>
      <c r="M681">
        <f>IF($U681="","",IF(ISNUMBER(INDEX(상세표[근무일자],$U681)),TEXT(INDEX(상세표[근무일자],$U681),"yyyy-mm-dd"),INDEX(상세표[근무일자],$U681)&amp;""))</f>
        <v/>
      </c>
      <c r="N681">
        <f>IF($U681="","",IF(ISNUMBER(INDEX(상세표[시작],$U681)),TEXT(INDEX(상세표[시작],$U681),"yyyy-mm-dd hh:mm"),INDEX(상세표[시작],$U681)&amp;""))</f>
        <v/>
      </c>
      <c r="O681">
        <f>IF($U681="","",IF(ISNUMBER(INDEX(상세표[종료],$U681)),TEXT(INDEX(상세표[종료],$U681),"yyyy-mm-dd hh:mm"),INDEX(상세표[종료],$U681)&amp;""))</f>
        <v/>
      </c>
      <c r="P681">
        <f>IF($U681="","",INDEX(상세표[06~07시],$U681))</f>
        <v/>
      </c>
      <c r="Q681">
        <f>IF($U681="","",INDEX(상세표[07~18시],$U681))</f>
        <v/>
      </c>
      <c r="R681">
        <f>IF($U681="","",INDEX(상세표[18~22시],$U681))</f>
        <v/>
      </c>
      <c r="S681">
        <f>IF($U681="","",INDEX(상세표[22~06시],$U681))</f>
        <v/>
      </c>
      <c r="T681">
        <f>IF($U681="","",INDEX(상세표[기록 시간외],$U681))</f>
        <v/>
      </c>
      <c r="U681" s="4">
        <f>IFERROR(MATCH(676,상세표[발송순번],0),"")</f>
        <v/>
      </c>
    </row>
    <row r="682">
      <c r="J682">
        <f>IF($U682="","",INDEX(상세표[사번],$U682)&amp;"")</f>
        <v/>
      </c>
      <c r="K682">
        <f>IF($U682="","",INDEX(상세표[성명],$U682)&amp;"")</f>
        <v/>
      </c>
      <c r="L682">
        <f>IF($U682="","",INDEX(상세표[직위],$U682)&amp;"")</f>
        <v/>
      </c>
      <c r="M682">
        <f>IF($U682="","",IF(ISNUMBER(INDEX(상세표[근무일자],$U682)),TEXT(INDEX(상세표[근무일자],$U682),"yyyy-mm-dd"),INDEX(상세표[근무일자],$U682)&amp;""))</f>
        <v/>
      </c>
      <c r="N682">
        <f>IF($U682="","",IF(ISNUMBER(INDEX(상세표[시작],$U682)),TEXT(INDEX(상세표[시작],$U682),"yyyy-mm-dd hh:mm"),INDEX(상세표[시작],$U682)&amp;""))</f>
        <v/>
      </c>
      <c r="O682">
        <f>IF($U682="","",IF(ISNUMBER(INDEX(상세표[종료],$U682)),TEXT(INDEX(상세표[종료],$U682),"yyyy-mm-dd hh:mm"),INDEX(상세표[종료],$U682)&amp;""))</f>
        <v/>
      </c>
      <c r="P682">
        <f>IF($U682="","",INDEX(상세표[06~07시],$U682))</f>
        <v/>
      </c>
      <c r="Q682">
        <f>IF($U682="","",INDEX(상세표[07~18시],$U682))</f>
        <v/>
      </c>
      <c r="R682">
        <f>IF($U682="","",INDEX(상세표[18~22시],$U682))</f>
        <v/>
      </c>
      <c r="S682">
        <f>IF($U682="","",INDEX(상세표[22~06시],$U682))</f>
        <v/>
      </c>
      <c r="T682">
        <f>IF($U682="","",INDEX(상세표[기록 시간외],$U682))</f>
        <v/>
      </c>
      <c r="U682" s="4">
        <f>IFERROR(MATCH(677,상세표[발송순번],0),"")</f>
        <v/>
      </c>
    </row>
    <row r="683">
      <c r="J683">
        <f>IF($U683="","",INDEX(상세표[사번],$U683)&amp;"")</f>
        <v/>
      </c>
      <c r="K683">
        <f>IF($U683="","",INDEX(상세표[성명],$U683)&amp;"")</f>
        <v/>
      </c>
      <c r="L683">
        <f>IF($U683="","",INDEX(상세표[직위],$U683)&amp;"")</f>
        <v/>
      </c>
      <c r="M683">
        <f>IF($U683="","",IF(ISNUMBER(INDEX(상세표[근무일자],$U683)),TEXT(INDEX(상세표[근무일자],$U683),"yyyy-mm-dd"),INDEX(상세표[근무일자],$U683)&amp;""))</f>
        <v/>
      </c>
      <c r="N683">
        <f>IF($U683="","",IF(ISNUMBER(INDEX(상세표[시작],$U683)),TEXT(INDEX(상세표[시작],$U683),"yyyy-mm-dd hh:mm"),INDEX(상세표[시작],$U683)&amp;""))</f>
        <v/>
      </c>
      <c r="O683">
        <f>IF($U683="","",IF(ISNUMBER(INDEX(상세표[종료],$U683)),TEXT(INDEX(상세표[종료],$U683),"yyyy-mm-dd hh:mm"),INDEX(상세표[종료],$U683)&amp;""))</f>
        <v/>
      </c>
      <c r="P683">
        <f>IF($U683="","",INDEX(상세표[06~07시],$U683))</f>
        <v/>
      </c>
      <c r="Q683">
        <f>IF($U683="","",INDEX(상세표[07~18시],$U683))</f>
        <v/>
      </c>
      <c r="R683">
        <f>IF($U683="","",INDEX(상세표[18~22시],$U683))</f>
        <v/>
      </c>
      <c r="S683">
        <f>IF($U683="","",INDEX(상세표[22~06시],$U683))</f>
        <v/>
      </c>
      <c r="T683">
        <f>IF($U683="","",INDEX(상세표[기록 시간외],$U683))</f>
        <v/>
      </c>
      <c r="U683" s="4">
        <f>IFERROR(MATCH(678,상세표[발송순번],0),"")</f>
        <v/>
      </c>
    </row>
    <row r="684">
      <c r="J684">
        <f>IF($U684="","",INDEX(상세표[사번],$U684)&amp;"")</f>
        <v/>
      </c>
      <c r="K684">
        <f>IF($U684="","",INDEX(상세표[성명],$U684)&amp;"")</f>
        <v/>
      </c>
      <c r="L684">
        <f>IF($U684="","",INDEX(상세표[직위],$U684)&amp;"")</f>
        <v/>
      </c>
      <c r="M684">
        <f>IF($U684="","",IF(ISNUMBER(INDEX(상세표[근무일자],$U684)),TEXT(INDEX(상세표[근무일자],$U684),"yyyy-mm-dd"),INDEX(상세표[근무일자],$U684)&amp;""))</f>
        <v/>
      </c>
      <c r="N684">
        <f>IF($U684="","",IF(ISNUMBER(INDEX(상세표[시작],$U684)),TEXT(INDEX(상세표[시작],$U684),"yyyy-mm-dd hh:mm"),INDEX(상세표[시작],$U684)&amp;""))</f>
        <v/>
      </c>
      <c r="O684">
        <f>IF($U684="","",IF(ISNUMBER(INDEX(상세표[종료],$U684)),TEXT(INDEX(상세표[종료],$U684),"yyyy-mm-dd hh:mm"),INDEX(상세표[종료],$U684)&amp;""))</f>
        <v/>
      </c>
      <c r="P684">
        <f>IF($U684="","",INDEX(상세표[06~07시],$U684))</f>
        <v/>
      </c>
      <c r="Q684">
        <f>IF($U684="","",INDEX(상세표[07~18시],$U684))</f>
        <v/>
      </c>
      <c r="R684">
        <f>IF($U684="","",INDEX(상세표[18~22시],$U684))</f>
        <v/>
      </c>
      <c r="S684">
        <f>IF($U684="","",INDEX(상세표[22~06시],$U684))</f>
        <v/>
      </c>
      <c r="T684">
        <f>IF($U684="","",INDEX(상세표[기록 시간외],$U684))</f>
        <v/>
      </c>
      <c r="U684" s="4">
        <f>IFERROR(MATCH(679,상세표[발송순번],0),"")</f>
        <v/>
      </c>
    </row>
    <row r="685">
      <c r="J685">
        <f>IF($U685="","",INDEX(상세표[사번],$U685)&amp;"")</f>
        <v/>
      </c>
      <c r="K685">
        <f>IF($U685="","",INDEX(상세표[성명],$U685)&amp;"")</f>
        <v/>
      </c>
      <c r="L685">
        <f>IF($U685="","",INDEX(상세표[직위],$U685)&amp;"")</f>
        <v/>
      </c>
      <c r="M685">
        <f>IF($U685="","",IF(ISNUMBER(INDEX(상세표[근무일자],$U685)),TEXT(INDEX(상세표[근무일자],$U685),"yyyy-mm-dd"),INDEX(상세표[근무일자],$U685)&amp;""))</f>
        <v/>
      </c>
      <c r="N685">
        <f>IF($U685="","",IF(ISNUMBER(INDEX(상세표[시작],$U685)),TEXT(INDEX(상세표[시작],$U685),"yyyy-mm-dd hh:mm"),INDEX(상세표[시작],$U685)&amp;""))</f>
        <v/>
      </c>
      <c r="O685">
        <f>IF($U685="","",IF(ISNUMBER(INDEX(상세표[종료],$U685)),TEXT(INDEX(상세표[종료],$U685),"yyyy-mm-dd hh:mm"),INDEX(상세표[종료],$U685)&amp;""))</f>
        <v/>
      </c>
      <c r="P685">
        <f>IF($U685="","",INDEX(상세표[06~07시],$U685))</f>
        <v/>
      </c>
      <c r="Q685">
        <f>IF($U685="","",INDEX(상세표[07~18시],$U685))</f>
        <v/>
      </c>
      <c r="R685">
        <f>IF($U685="","",INDEX(상세표[18~22시],$U685))</f>
        <v/>
      </c>
      <c r="S685">
        <f>IF($U685="","",INDEX(상세표[22~06시],$U685))</f>
        <v/>
      </c>
      <c r="T685">
        <f>IF($U685="","",INDEX(상세표[기록 시간외],$U685))</f>
        <v/>
      </c>
      <c r="U685" s="4">
        <f>IFERROR(MATCH(680,상세표[발송순번],0),"")</f>
        <v/>
      </c>
    </row>
    <row r="686">
      <c r="J686">
        <f>IF($U686="","",INDEX(상세표[사번],$U686)&amp;"")</f>
        <v/>
      </c>
      <c r="K686">
        <f>IF($U686="","",INDEX(상세표[성명],$U686)&amp;"")</f>
        <v/>
      </c>
      <c r="L686">
        <f>IF($U686="","",INDEX(상세표[직위],$U686)&amp;"")</f>
        <v/>
      </c>
      <c r="M686">
        <f>IF($U686="","",IF(ISNUMBER(INDEX(상세표[근무일자],$U686)),TEXT(INDEX(상세표[근무일자],$U686),"yyyy-mm-dd"),INDEX(상세표[근무일자],$U686)&amp;""))</f>
        <v/>
      </c>
      <c r="N686">
        <f>IF($U686="","",IF(ISNUMBER(INDEX(상세표[시작],$U686)),TEXT(INDEX(상세표[시작],$U686),"yyyy-mm-dd hh:mm"),INDEX(상세표[시작],$U686)&amp;""))</f>
        <v/>
      </c>
      <c r="O686">
        <f>IF($U686="","",IF(ISNUMBER(INDEX(상세표[종료],$U686)),TEXT(INDEX(상세표[종료],$U686),"yyyy-mm-dd hh:mm"),INDEX(상세표[종료],$U686)&amp;""))</f>
        <v/>
      </c>
      <c r="P686">
        <f>IF($U686="","",INDEX(상세표[06~07시],$U686))</f>
        <v/>
      </c>
      <c r="Q686">
        <f>IF($U686="","",INDEX(상세표[07~18시],$U686))</f>
        <v/>
      </c>
      <c r="R686">
        <f>IF($U686="","",INDEX(상세표[18~22시],$U686))</f>
        <v/>
      </c>
      <c r="S686">
        <f>IF($U686="","",INDEX(상세표[22~06시],$U686))</f>
        <v/>
      </c>
      <c r="T686">
        <f>IF($U686="","",INDEX(상세표[기록 시간외],$U686))</f>
        <v/>
      </c>
      <c r="U686" s="4">
        <f>IFERROR(MATCH(681,상세표[발송순번],0),"")</f>
        <v/>
      </c>
    </row>
    <row r="687">
      <c r="J687">
        <f>IF($U687="","",INDEX(상세표[사번],$U687)&amp;"")</f>
        <v/>
      </c>
      <c r="K687">
        <f>IF($U687="","",INDEX(상세표[성명],$U687)&amp;"")</f>
        <v/>
      </c>
      <c r="L687">
        <f>IF($U687="","",INDEX(상세표[직위],$U687)&amp;"")</f>
        <v/>
      </c>
      <c r="M687">
        <f>IF($U687="","",IF(ISNUMBER(INDEX(상세표[근무일자],$U687)),TEXT(INDEX(상세표[근무일자],$U687),"yyyy-mm-dd"),INDEX(상세표[근무일자],$U687)&amp;""))</f>
        <v/>
      </c>
      <c r="N687">
        <f>IF($U687="","",IF(ISNUMBER(INDEX(상세표[시작],$U687)),TEXT(INDEX(상세표[시작],$U687),"yyyy-mm-dd hh:mm"),INDEX(상세표[시작],$U687)&amp;""))</f>
        <v/>
      </c>
      <c r="O687">
        <f>IF($U687="","",IF(ISNUMBER(INDEX(상세표[종료],$U687)),TEXT(INDEX(상세표[종료],$U687),"yyyy-mm-dd hh:mm"),INDEX(상세표[종료],$U687)&amp;""))</f>
        <v/>
      </c>
      <c r="P687">
        <f>IF($U687="","",INDEX(상세표[06~07시],$U687))</f>
        <v/>
      </c>
      <c r="Q687">
        <f>IF($U687="","",INDEX(상세표[07~18시],$U687))</f>
        <v/>
      </c>
      <c r="R687">
        <f>IF($U687="","",INDEX(상세표[18~22시],$U687))</f>
        <v/>
      </c>
      <c r="S687">
        <f>IF($U687="","",INDEX(상세표[22~06시],$U687))</f>
        <v/>
      </c>
      <c r="T687">
        <f>IF($U687="","",INDEX(상세표[기록 시간외],$U687))</f>
        <v/>
      </c>
      <c r="U687" s="4">
        <f>IFERROR(MATCH(682,상세표[발송순번],0),"")</f>
        <v/>
      </c>
    </row>
    <row r="688">
      <c r="J688">
        <f>IF($U688="","",INDEX(상세표[사번],$U688)&amp;"")</f>
        <v/>
      </c>
      <c r="K688">
        <f>IF($U688="","",INDEX(상세표[성명],$U688)&amp;"")</f>
        <v/>
      </c>
      <c r="L688">
        <f>IF($U688="","",INDEX(상세표[직위],$U688)&amp;"")</f>
        <v/>
      </c>
      <c r="M688">
        <f>IF($U688="","",IF(ISNUMBER(INDEX(상세표[근무일자],$U688)),TEXT(INDEX(상세표[근무일자],$U688),"yyyy-mm-dd"),INDEX(상세표[근무일자],$U688)&amp;""))</f>
        <v/>
      </c>
      <c r="N688">
        <f>IF($U688="","",IF(ISNUMBER(INDEX(상세표[시작],$U688)),TEXT(INDEX(상세표[시작],$U688),"yyyy-mm-dd hh:mm"),INDEX(상세표[시작],$U688)&amp;""))</f>
        <v/>
      </c>
      <c r="O688">
        <f>IF($U688="","",IF(ISNUMBER(INDEX(상세표[종료],$U688)),TEXT(INDEX(상세표[종료],$U688),"yyyy-mm-dd hh:mm"),INDEX(상세표[종료],$U688)&amp;""))</f>
        <v/>
      </c>
      <c r="P688">
        <f>IF($U688="","",INDEX(상세표[06~07시],$U688))</f>
        <v/>
      </c>
      <c r="Q688">
        <f>IF($U688="","",INDEX(상세표[07~18시],$U688))</f>
        <v/>
      </c>
      <c r="R688">
        <f>IF($U688="","",INDEX(상세표[18~22시],$U688))</f>
        <v/>
      </c>
      <c r="S688">
        <f>IF($U688="","",INDEX(상세표[22~06시],$U688))</f>
        <v/>
      </c>
      <c r="T688">
        <f>IF($U688="","",INDEX(상세표[기록 시간외],$U688))</f>
        <v/>
      </c>
      <c r="U688" s="4">
        <f>IFERROR(MATCH(683,상세표[발송순번],0),"")</f>
        <v/>
      </c>
    </row>
    <row r="689">
      <c r="J689">
        <f>IF($U689="","",INDEX(상세표[사번],$U689)&amp;"")</f>
        <v/>
      </c>
      <c r="K689">
        <f>IF($U689="","",INDEX(상세표[성명],$U689)&amp;"")</f>
        <v/>
      </c>
      <c r="L689">
        <f>IF($U689="","",INDEX(상세표[직위],$U689)&amp;"")</f>
        <v/>
      </c>
      <c r="M689">
        <f>IF($U689="","",IF(ISNUMBER(INDEX(상세표[근무일자],$U689)),TEXT(INDEX(상세표[근무일자],$U689),"yyyy-mm-dd"),INDEX(상세표[근무일자],$U689)&amp;""))</f>
        <v/>
      </c>
      <c r="N689">
        <f>IF($U689="","",IF(ISNUMBER(INDEX(상세표[시작],$U689)),TEXT(INDEX(상세표[시작],$U689),"yyyy-mm-dd hh:mm"),INDEX(상세표[시작],$U689)&amp;""))</f>
        <v/>
      </c>
      <c r="O689">
        <f>IF($U689="","",IF(ISNUMBER(INDEX(상세표[종료],$U689)),TEXT(INDEX(상세표[종료],$U689),"yyyy-mm-dd hh:mm"),INDEX(상세표[종료],$U689)&amp;""))</f>
        <v/>
      </c>
      <c r="P689">
        <f>IF($U689="","",INDEX(상세표[06~07시],$U689))</f>
        <v/>
      </c>
      <c r="Q689">
        <f>IF($U689="","",INDEX(상세표[07~18시],$U689))</f>
        <v/>
      </c>
      <c r="R689">
        <f>IF($U689="","",INDEX(상세표[18~22시],$U689))</f>
        <v/>
      </c>
      <c r="S689">
        <f>IF($U689="","",INDEX(상세표[22~06시],$U689))</f>
        <v/>
      </c>
      <c r="T689">
        <f>IF($U689="","",INDEX(상세표[기록 시간외],$U689))</f>
        <v/>
      </c>
      <c r="U689" s="4">
        <f>IFERROR(MATCH(684,상세표[발송순번],0),"")</f>
        <v/>
      </c>
    </row>
    <row r="690">
      <c r="J690">
        <f>IF($U690="","",INDEX(상세표[사번],$U690)&amp;"")</f>
        <v/>
      </c>
      <c r="K690">
        <f>IF($U690="","",INDEX(상세표[성명],$U690)&amp;"")</f>
        <v/>
      </c>
      <c r="L690">
        <f>IF($U690="","",INDEX(상세표[직위],$U690)&amp;"")</f>
        <v/>
      </c>
      <c r="M690">
        <f>IF($U690="","",IF(ISNUMBER(INDEX(상세표[근무일자],$U690)),TEXT(INDEX(상세표[근무일자],$U690),"yyyy-mm-dd"),INDEX(상세표[근무일자],$U690)&amp;""))</f>
        <v/>
      </c>
      <c r="N690">
        <f>IF($U690="","",IF(ISNUMBER(INDEX(상세표[시작],$U690)),TEXT(INDEX(상세표[시작],$U690),"yyyy-mm-dd hh:mm"),INDEX(상세표[시작],$U690)&amp;""))</f>
        <v/>
      </c>
      <c r="O690">
        <f>IF($U690="","",IF(ISNUMBER(INDEX(상세표[종료],$U690)),TEXT(INDEX(상세표[종료],$U690),"yyyy-mm-dd hh:mm"),INDEX(상세표[종료],$U690)&amp;""))</f>
        <v/>
      </c>
      <c r="P690">
        <f>IF($U690="","",INDEX(상세표[06~07시],$U690))</f>
        <v/>
      </c>
      <c r="Q690">
        <f>IF($U690="","",INDEX(상세표[07~18시],$U690))</f>
        <v/>
      </c>
      <c r="R690">
        <f>IF($U690="","",INDEX(상세표[18~22시],$U690))</f>
        <v/>
      </c>
      <c r="S690">
        <f>IF($U690="","",INDEX(상세표[22~06시],$U690))</f>
        <v/>
      </c>
      <c r="T690">
        <f>IF($U690="","",INDEX(상세표[기록 시간외],$U690))</f>
        <v/>
      </c>
      <c r="U690" s="4">
        <f>IFERROR(MATCH(685,상세표[발송순번],0),"")</f>
        <v/>
      </c>
    </row>
    <row r="691">
      <c r="J691">
        <f>IF($U691="","",INDEX(상세표[사번],$U691)&amp;"")</f>
        <v/>
      </c>
      <c r="K691">
        <f>IF($U691="","",INDEX(상세표[성명],$U691)&amp;"")</f>
        <v/>
      </c>
      <c r="L691">
        <f>IF($U691="","",INDEX(상세표[직위],$U691)&amp;"")</f>
        <v/>
      </c>
      <c r="M691">
        <f>IF($U691="","",IF(ISNUMBER(INDEX(상세표[근무일자],$U691)),TEXT(INDEX(상세표[근무일자],$U691),"yyyy-mm-dd"),INDEX(상세표[근무일자],$U691)&amp;""))</f>
        <v/>
      </c>
      <c r="N691">
        <f>IF($U691="","",IF(ISNUMBER(INDEX(상세표[시작],$U691)),TEXT(INDEX(상세표[시작],$U691),"yyyy-mm-dd hh:mm"),INDEX(상세표[시작],$U691)&amp;""))</f>
        <v/>
      </c>
      <c r="O691">
        <f>IF($U691="","",IF(ISNUMBER(INDEX(상세표[종료],$U691)),TEXT(INDEX(상세표[종료],$U691),"yyyy-mm-dd hh:mm"),INDEX(상세표[종료],$U691)&amp;""))</f>
        <v/>
      </c>
      <c r="P691">
        <f>IF($U691="","",INDEX(상세표[06~07시],$U691))</f>
        <v/>
      </c>
      <c r="Q691">
        <f>IF($U691="","",INDEX(상세표[07~18시],$U691))</f>
        <v/>
      </c>
      <c r="R691">
        <f>IF($U691="","",INDEX(상세표[18~22시],$U691))</f>
        <v/>
      </c>
      <c r="S691">
        <f>IF($U691="","",INDEX(상세표[22~06시],$U691))</f>
        <v/>
      </c>
      <c r="T691">
        <f>IF($U691="","",INDEX(상세표[기록 시간외],$U691))</f>
        <v/>
      </c>
      <c r="U691" s="4">
        <f>IFERROR(MATCH(686,상세표[발송순번],0),"")</f>
        <v/>
      </c>
    </row>
    <row r="692">
      <c r="J692">
        <f>IF($U692="","",INDEX(상세표[사번],$U692)&amp;"")</f>
        <v/>
      </c>
      <c r="K692">
        <f>IF($U692="","",INDEX(상세표[성명],$U692)&amp;"")</f>
        <v/>
      </c>
      <c r="L692">
        <f>IF($U692="","",INDEX(상세표[직위],$U692)&amp;"")</f>
        <v/>
      </c>
      <c r="M692">
        <f>IF($U692="","",IF(ISNUMBER(INDEX(상세표[근무일자],$U692)),TEXT(INDEX(상세표[근무일자],$U692),"yyyy-mm-dd"),INDEX(상세표[근무일자],$U692)&amp;""))</f>
        <v/>
      </c>
      <c r="N692">
        <f>IF($U692="","",IF(ISNUMBER(INDEX(상세표[시작],$U692)),TEXT(INDEX(상세표[시작],$U692),"yyyy-mm-dd hh:mm"),INDEX(상세표[시작],$U692)&amp;""))</f>
        <v/>
      </c>
      <c r="O692">
        <f>IF($U692="","",IF(ISNUMBER(INDEX(상세표[종료],$U692)),TEXT(INDEX(상세표[종료],$U692),"yyyy-mm-dd hh:mm"),INDEX(상세표[종료],$U692)&amp;""))</f>
        <v/>
      </c>
      <c r="P692">
        <f>IF($U692="","",INDEX(상세표[06~07시],$U692))</f>
        <v/>
      </c>
      <c r="Q692">
        <f>IF($U692="","",INDEX(상세표[07~18시],$U692))</f>
        <v/>
      </c>
      <c r="R692">
        <f>IF($U692="","",INDEX(상세표[18~22시],$U692))</f>
        <v/>
      </c>
      <c r="S692">
        <f>IF($U692="","",INDEX(상세표[22~06시],$U692))</f>
        <v/>
      </c>
      <c r="T692">
        <f>IF($U692="","",INDEX(상세표[기록 시간외],$U692))</f>
        <v/>
      </c>
      <c r="U692" s="4">
        <f>IFERROR(MATCH(687,상세표[발송순번],0),"")</f>
        <v/>
      </c>
    </row>
    <row r="693">
      <c r="J693">
        <f>IF($U693="","",INDEX(상세표[사번],$U693)&amp;"")</f>
        <v/>
      </c>
      <c r="K693">
        <f>IF($U693="","",INDEX(상세표[성명],$U693)&amp;"")</f>
        <v/>
      </c>
      <c r="L693">
        <f>IF($U693="","",INDEX(상세표[직위],$U693)&amp;"")</f>
        <v/>
      </c>
      <c r="M693">
        <f>IF($U693="","",IF(ISNUMBER(INDEX(상세표[근무일자],$U693)),TEXT(INDEX(상세표[근무일자],$U693),"yyyy-mm-dd"),INDEX(상세표[근무일자],$U693)&amp;""))</f>
        <v/>
      </c>
      <c r="N693">
        <f>IF($U693="","",IF(ISNUMBER(INDEX(상세표[시작],$U693)),TEXT(INDEX(상세표[시작],$U693),"yyyy-mm-dd hh:mm"),INDEX(상세표[시작],$U693)&amp;""))</f>
        <v/>
      </c>
      <c r="O693">
        <f>IF($U693="","",IF(ISNUMBER(INDEX(상세표[종료],$U693)),TEXT(INDEX(상세표[종료],$U693),"yyyy-mm-dd hh:mm"),INDEX(상세표[종료],$U693)&amp;""))</f>
        <v/>
      </c>
      <c r="P693">
        <f>IF($U693="","",INDEX(상세표[06~07시],$U693))</f>
        <v/>
      </c>
      <c r="Q693">
        <f>IF($U693="","",INDEX(상세표[07~18시],$U693))</f>
        <v/>
      </c>
      <c r="R693">
        <f>IF($U693="","",INDEX(상세표[18~22시],$U693))</f>
        <v/>
      </c>
      <c r="S693">
        <f>IF($U693="","",INDEX(상세표[22~06시],$U693))</f>
        <v/>
      </c>
      <c r="T693">
        <f>IF($U693="","",INDEX(상세표[기록 시간외],$U693))</f>
        <v/>
      </c>
      <c r="U693" s="4">
        <f>IFERROR(MATCH(688,상세표[발송순번],0),"")</f>
        <v/>
      </c>
    </row>
    <row r="694">
      <c r="J694">
        <f>IF($U694="","",INDEX(상세표[사번],$U694)&amp;"")</f>
        <v/>
      </c>
      <c r="K694">
        <f>IF($U694="","",INDEX(상세표[성명],$U694)&amp;"")</f>
        <v/>
      </c>
      <c r="L694">
        <f>IF($U694="","",INDEX(상세표[직위],$U694)&amp;"")</f>
        <v/>
      </c>
      <c r="M694">
        <f>IF($U694="","",IF(ISNUMBER(INDEX(상세표[근무일자],$U694)),TEXT(INDEX(상세표[근무일자],$U694),"yyyy-mm-dd"),INDEX(상세표[근무일자],$U694)&amp;""))</f>
        <v/>
      </c>
      <c r="N694">
        <f>IF($U694="","",IF(ISNUMBER(INDEX(상세표[시작],$U694)),TEXT(INDEX(상세표[시작],$U694),"yyyy-mm-dd hh:mm"),INDEX(상세표[시작],$U694)&amp;""))</f>
        <v/>
      </c>
      <c r="O694">
        <f>IF($U694="","",IF(ISNUMBER(INDEX(상세표[종료],$U694)),TEXT(INDEX(상세표[종료],$U694),"yyyy-mm-dd hh:mm"),INDEX(상세표[종료],$U694)&amp;""))</f>
        <v/>
      </c>
      <c r="P694">
        <f>IF($U694="","",INDEX(상세표[06~07시],$U694))</f>
        <v/>
      </c>
      <c r="Q694">
        <f>IF($U694="","",INDEX(상세표[07~18시],$U694))</f>
        <v/>
      </c>
      <c r="R694">
        <f>IF($U694="","",INDEX(상세표[18~22시],$U694))</f>
        <v/>
      </c>
      <c r="S694">
        <f>IF($U694="","",INDEX(상세표[22~06시],$U694))</f>
        <v/>
      </c>
      <c r="T694">
        <f>IF($U694="","",INDEX(상세표[기록 시간외],$U694))</f>
        <v/>
      </c>
      <c r="U694" s="4">
        <f>IFERROR(MATCH(689,상세표[발송순번],0),"")</f>
        <v/>
      </c>
    </row>
    <row r="695">
      <c r="J695">
        <f>IF($U695="","",INDEX(상세표[사번],$U695)&amp;"")</f>
        <v/>
      </c>
      <c r="K695">
        <f>IF($U695="","",INDEX(상세표[성명],$U695)&amp;"")</f>
        <v/>
      </c>
      <c r="L695">
        <f>IF($U695="","",INDEX(상세표[직위],$U695)&amp;"")</f>
        <v/>
      </c>
      <c r="M695">
        <f>IF($U695="","",IF(ISNUMBER(INDEX(상세표[근무일자],$U695)),TEXT(INDEX(상세표[근무일자],$U695),"yyyy-mm-dd"),INDEX(상세표[근무일자],$U695)&amp;""))</f>
        <v/>
      </c>
      <c r="N695">
        <f>IF($U695="","",IF(ISNUMBER(INDEX(상세표[시작],$U695)),TEXT(INDEX(상세표[시작],$U695),"yyyy-mm-dd hh:mm"),INDEX(상세표[시작],$U695)&amp;""))</f>
        <v/>
      </c>
      <c r="O695">
        <f>IF($U695="","",IF(ISNUMBER(INDEX(상세표[종료],$U695)),TEXT(INDEX(상세표[종료],$U695),"yyyy-mm-dd hh:mm"),INDEX(상세표[종료],$U695)&amp;""))</f>
        <v/>
      </c>
      <c r="P695">
        <f>IF($U695="","",INDEX(상세표[06~07시],$U695))</f>
        <v/>
      </c>
      <c r="Q695">
        <f>IF($U695="","",INDEX(상세표[07~18시],$U695))</f>
        <v/>
      </c>
      <c r="R695">
        <f>IF($U695="","",INDEX(상세표[18~22시],$U695))</f>
        <v/>
      </c>
      <c r="S695">
        <f>IF($U695="","",INDEX(상세표[22~06시],$U695))</f>
        <v/>
      </c>
      <c r="T695">
        <f>IF($U695="","",INDEX(상세표[기록 시간외],$U695))</f>
        <v/>
      </c>
      <c r="U695" s="4">
        <f>IFERROR(MATCH(690,상세표[발송순번],0),"")</f>
        <v/>
      </c>
    </row>
    <row r="696">
      <c r="J696">
        <f>IF($U696="","",INDEX(상세표[사번],$U696)&amp;"")</f>
        <v/>
      </c>
      <c r="K696">
        <f>IF($U696="","",INDEX(상세표[성명],$U696)&amp;"")</f>
        <v/>
      </c>
      <c r="L696">
        <f>IF($U696="","",INDEX(상세표[직위],$U696)&amp;"")</f>
        <v/>
      </c>
      <c r="M696">
        <f>IF($U696="","",IF(ISNUMBER(INDEX(상세표[근무일자],$U696)),TEXT(INDEX(상세표[근무일자],$U696),"yyyy-mm-dd"),INDEX(상세표[근무일자],$U696)&amp;""))</f>
        <v/>
      </c>
      <c r="N696">
        <f>IF($U696="","",IF(ISNUMBER(INDEX(상세표[시작],$U696)),TEXT(INDEX(상세표[시작],$U696),"yyyy-mm-dd hh:mm"),INDEX(상세표[시작],$U696)&amp;""))</f>
        <v/>
      </c>
      <c r="O696">
        <f>IF($U696="","",IF(ISNUMBER(INDEX(상세표[종료],$U696)),TEXT(INDEX(상세표[종료],$U696),"yyyy-mm-dd hh:mm"),INDEX(상세표[종료],$U696)&amp;""))</f>
        <v/>
      </c>
      <c r="P696">
        <f>IF($U696="","",INDEX(상세표[06~07시],$U696))</f>
        <v/>
      </c>
      <c r="Q696">
        <f>IF($U696="","",INDEX(상세표[07~18시],$U696))</f>
        <v/>
      </c>
      <c r="R696">
        <f>IF($U696="","",INDEX(상세표[18~22시],$U696))</f>
        <v/>
      </c>
      <c r="S696">
        <f>IF($U696="","",INDEX(상세표[22~06시],$U696))</f>
        <v/>
      </c>
      <c r="T696">
        <f>IF($U696="","",INDEX(상세표[기록 시간외],$U696))</f>
        <v/>
      </c>
      <c r="U696" s="4">
        <f>IFERROR(MATCH(691,상세표[발송순번],0),"")</f>
        <v/>
      </c>
    </row>
    <row r="697">
      <c r="J697">
        <f>IF($U697="","",INDEX(상세표[사번],$U697)&amp;"")</f>
        <v/>
      </c>
      <c r="K697">
        <f>IF($U697="","",INDEX(상세표[성명],$U697)&amp;"")</f>
        <v/>
      </c>
      <c r="L697">
        <f>IF($U697="","",INDEX(상세표[직위],$U697)&amp;"")</f>
        <v/>
      </c>
      <c r="M697">
        <f>IF($U697="","",IF(ISNUMBER(INDEX(상세표[근무일자],$U697)),TEXT(INDEX(상세표[근무일자],$U697),"yyyy-mm-dd"),INDEX(상세표[근무일자],$U697)&amp;""))</f>
        <v/>
      </c>
      <c r="N697">
        <f>IF($U697="","",IF(ISNUMBER(INDEX(상세표[시작],$U697)),TEXT(INDEX(상세표[시작],$U697),"yyyy-mm-dd hh:mm"),INDEX(상세표[시작],$U697)&amp;""))</f>
        <v/>
      </c>
      <c r="O697">
        <f>IF($U697="","",IF(ISNUMBER(INDEX(상세표[종료],$U697)),TEXT(INDEX(상세표[종료],$U697),"yyyy-mm-dd hh:mm"),INDEX(상세표[종료],$U697)&amp;""))</f>
        <v/>
      </c>
      <c r="P697">
        <f>IF($U697="","",INDEX(상세표[06~07시],$U697))</f>
        <v/>
      </c>
      <c r="Q697">
        <f>IF($U697="","",INDEX(상세표[07~18시],$U697))</f>
        <v/>
      </c>
      <c r="R697">
        <f>IF($U697="","",INDEX(상세표[18~22시],$U697))</f>
        <v/>
      </c>
      <c r="S697">
        <f>IF($U697="","",INDEX(상세표[22~06시],$U697))</f>
        <v/>
      </c>
      <c r="T697">
        <f>IF($U697="","",INDEX(상세표[기록 시간외],$U697))</f>
        <v/>
      </c>
      <c r="U697" s="4">
        <f>IFERROR(MATCH(692,상세표[발송순번],0),"")</f>
        <v/>
      </c>
    </row>
    <row r="698">
      <c r="J698">
        <f>IF($U698="","",INDEX(상세표[사번],$U698)&amp;"")</f>
        <v/>
      </c>
      <c r="K698">
        <f>IF($U698="","",INDEX(상세표[성명],$U698)&amp;"")</f>
        <v/>
      </c>
      <c r="L698">
        <f>IF($U698="","",INDEX(상세표[직위],$U698)&amp;"")</f>
        <v/>
      </c>
      <c r="M698">
        <f>IF($U698="","",IF(ISNUMBER(INDEX(상세표[근무일자],$U698)),TEXT(INDEX(상세표[근무일자],$U698),"yyyy-mm-dd"),INDEX(상세표[근무일자],$U698)&amp;""))</f>
        <v/>
      </c>
      <c r="N698">
        <f>IF($U698="","",IF(ISNUMBER(INDEX(상세표[시작],$U698)),TEXT(INDEX(상세표[시작],$U698),"yyyy-mm-dd hh:mm"),INDEX(상세표[시작],$U698)&amp;""))</f>
        <v/>
      </c>
      <c r="O698">
        <f>IF($U698="","",IF(ISNUMBER(INDEX(상세표[종료],$U698)),TEXT(INDEX(상세표[종료],$U698),"yyyy-mm-dd hh:mm"),INDEX(상세표[종료],$U698)&amp;""))</f>
        <v/>
      </c>
      <c r="P698">
        <f>IF($U698="","",INDEX(상세표[06~07시],$U698))</f>
        <v/>
      </c>
      <c r="Q698">
        <f>IF($U698="","",INDEX(상세표[07~18시],$U698))</f>
        <v/>
      </c>
      <c r="R698">
        <f>IF($U698="","",INDEX(상세표[18~22시],$U698))</f>
        <v/>
      </c>
      <c r="S698">
        <f>IF($U698="","",INDEX(상세표[22~06시],$U698))</f>
        <v/>
      </c>
      <c r="T698">
        <f>IF($U698="","",INDEX(상세표[기록 시간외],$U698))</f>
        <v/>
      </c>
      <c r="U698" s="4">
        <f>IFERROR(MATCH(693,상세표[발송순번],0),"")</f>
        <v/>
      </c>
    </row>
    <row r="699">
      <c r="J699">
        <f>IF($U699="","",INDEX(상세표[사번],$U699)&amp;"")</f>
        <v/>
      </c>
      <c r="K699">
        <f>IF($U699="","",INDEX(상세표[성명],$U699)&amp;"")</f>
        <v/>
      </c>
      <c r="L699">
        <f>IF($U699="","",INDEX(상세표[직위],$U699)&amp;"")</f>
        <v/>
      </c>
      <c r="M699">
        <f>IF($U699="","",IF(ISNUMBER(INDEX(상세표[근무일자],$U699)),TEXT(INDEX(상세표[근무일자],$U699),"yyyy-mm-dd"),INDEX(상세표[근무일자],$U699)&amp;""))</f>
        <v/>
      </c>
      <c r="N699">
        <f>IF($U699="","",IF(ISNUMBER(INDEX(상세표[시작],$U699)),TEXT(INDEX(상세표[시작],$U699),"yyyy-mm-dd hh:mm"),INDEX(상세표[시작],$U699)&amp;""))</f>
        <v/>
      </c>
      <c r="O699">
        <f>IF($U699="","",IF(ISNUMBER(INDEX(상세표[종료],$U699)),TEXT(INDEX(상세표[종료],$U699),"yyyy-mm-dd hh:mm"),INDEX(상세표[종료],$U699)&amp;""))</f>
        <v/>
      </c>
      <c r="P699">
        <f>IF($U699="","",INDEX(상세표[06~07시],$U699))</f>
        <v/>
      </c>
      <c r="Q699">
        <f>IF($U699="","",INDEX(상세표[07~18시],$U699))</f>
        <v/>
      </c>
      <c r="R699">
        <f>IF($U699="","",INDEX(상세표[18~22시],$U699))</f>
        <v/>
      </c>
      <c r="S699">
        <f>IF($U699="","",INDEX(상세표[22~06시],$U699))</f>
        <v/>
      </c>
      <c r="T699">
        <f>IF($U699="","",INDEX(상세표[기록 시간외],$U699))</f>
        <v/>
      </c>
      <c r="U699" s="4">
        <f>IFERROR(MATCH(694,상세표[발송순번],0),"")</f>
        <v/>
      </c>
    </row>
    <row r="700">
      <c r="J700">
        <f>IF($U700="","",INDEX(상세표[사번],$U700)&amp;"")</f>
        <v/>
      </c>
      <c r="K700">
        <f>IF($U700="","",INDEX(상세표[성명],$U700)&amp;"")</f>
        <v/>
      </c>
      <c r="L700">
        <f>IF($U700="","",INDEX(상세표[직위],$U700)&amp;"")</f>
        <v/>
      </c>
      <c r="M700">
        <f>IF($U700="","",IF(ISNUMBER(INDEX(상세표[근무일자],$U700)),TEXT(INDEX(상세표[근무일자],$U700),"yyyy-mm-dd"),INDEX(상세표[근무일자],$U700)&amp;""))</f>
        <v/>
      </c>
      <c r="N700">
        <f>IF($U700="","",IF(ISNUMBER(INDEX(상세표[시작],$U700)),TEXT(INDEX(상세표[시작],$U700),"yyyy-mm-dd hh:mm"),INDEX(상세표[시작],$U700)&amp;""))</f>
        <v/>
      </c>
      <c r="O700">
        <f>IF($U700="","",IF(ISNUMBER(INDEX(상세표[종료],$U700)),TEXT(INDEX(상세표[종료],$U700),"yyyy-mm-dd hh:mm"),INDEX(상세표[종료],$U700)&amp;""))</f>
        <v/>
      </c>
      <c r="P700">
        <f>IF($U700="","",INDEX(상세표[06~07시],$U700))</f>
        <v/>
      </c>
      <c r="Q700">
        <f>IF($U700="","",INDEX(상세표[07~18시],$U700))</f>
        <v/>
      </c>
      <c r="R700">
        <f>IF($U700="","",INDEX(상세표[18~22시],$U700))</f>
        <v/>
      </c>
      <c r="S700">
        <f>IF($U700="","",INDEX(상세표[22~06시],$U700))</f>
        <v/>
      </c>
      <c r="T700">
        <f>IF($U700="","",INDEX(상세표[기록 시간외],$U700))</f>
        <v/>
      </c>
      <c r="U700" s="4">
        <f>IFERROR(MATCH(695,상세표[발송순번],0),"")</f>
        <v/>
      </c>
    </row>
    <row r="701">
      <c r="J701">
        <f>IF($U701="","",INDEX(상세표[사번],$U701)&amp;"")</f>
        <v/>
      </c>
      <c r="K701">
        <f>IF($U701="","",INDEX(상세표[성명],$U701)&amp;"")</f>
        <v/>
      </c>
      <c r="L701">
        <f>IF($U701="","",INDEX(상세표[직위],$U701)&amp;"")</f>
        <v/>
      </c>
      <c r="M701">
        <f>IF($U701="","",IF(ISNUMBER(INDEX(상세표[근무일자],$U701)),TEXT(INDEX(상세표[근무일자],$U701),"yyyy-mm-dd"),INDEX(상세표[근무일자],$U701)&amp;""))</f>
        <v/>
      </c>
      <c r="N701">
        <f>IF($U701="","",IF(ISNUMBER(INDEX(상세표[시작],$U701)),TEXT(INDEX(상세표[시작],$U701),"yyyy-mm-dd hh:mm"),INDEX(상세표[시작],$U701)&amp;""))</f>
        <v/>
      </c>
      <c r="O701">
        <f>IF($U701="","",IF(ISNUMBER(INDEX(상세표[종료],$U701)),TEXT(INDEX(상세표[종료],$U701),"yyyy-mm-dd hh:mm"),INDEX(상세표[종료],$U701)&amp;""))</f>
        <v/>
      </c>
      <c r="P701">
        <f>IF($U701="","",INDEX(상세표[06~07시],$U701))</f>
        <v/>
      </c>
      <c r="Q701">
        <f>IF($U701="","",INDEX(상세표[07~18시],$U701))</f>
        <v/>
      </c>
      <c r="R701">
        <f>IF($U701="","",INDEX(상세표[18~22시],$U701))</f>
        <v/>
      </c>
      <c r="S701">
        <f>IF($U701="","",INDEX(상세표[22~06시],$U701))</f>
        <v/>
      </c>
      <c r="T701">
        <f>IF($U701="","",INDEX(상세표[기록 시간외],$U701))</f>
        <v/>
      </c>
      <c r="U701" s="4">
        <f>IFERROR(MATCH(696,상세표[발송순번],0),"")</f>
        <v/>
      </c>
    </row>
    <row r="702">
      <c r="J702">
        <f>IF($U702="","",INDEX(상세표[사번],$U702)&amp;"")</f>
        <v/>
      </c>
      <c r="K702">
        <f>IF($U702="","",INDEX(상세표[성명],$U702)&amp;"")</f>
        <v/>
      </c>
      <c r="L702">
        <f>IF($U702="","",INDEX(상세표[직위],$U702)&amp;"")</f>
        <v/>
      </c>
      <c r="M702">
        <f>IF($U702="","",IF(ISNUMBER(INDEX(상세표[근무일자],$U702)),TEXT(INDEX(상세표[근무일자],$U702),"yyyy-mm-dd"),INDEX(상세표[근무일자],$U702)&amp;""))</f>
        <v/>
      </c>
      <c r="N702">
        <f>IF($U702="","",IF(ISNUMBER(INDEX(상세표[시작],$U702)),TEXT(INDEX(상세표[시작],$U702),"yyyy-mm-dd hh:mm"),INDEX(상세표[시작],$U702)&amp;""))</f>
        <v/>
      </c>
      <c r="O702">
        <f>IF($U702="","",IF(ISNUMBER(INDEX(상세표[종료],$U702)),TEXT(INDEX(상세표[종료],$U702),"yyyy-mm-dd hh:mm"),INDEX(상세표[종료],$U702)&amp;""))</f>
        <v/>
      </c>
      <c r="P702">
        <f>IF($U702="","",INDEX(상세표[06~07시],$U702))</f>
        <v/>
      </c>
      <c r="Q702">
        <f>IF($U702="","",INDEX(상세표[07~18시],$U702))</f>
        <v/>
      </c>
      <c r="R702">
        <f>IF($U702="","",INDEX(상세표[18~22시],$U702))</f>
        <v/>
      </c>
      <c r="S702">
        <f>IF($U702="","",INDEX(상세표[22~06시],$U702))</f>
        <v/>
      </c>
      <c r="T702">
        <f>IF($U702="","",INDEX(상세표[기록 시간외],$U702))</f>
        <v/>
      </c>
      <c r="U702" s="4">
        <f>IFERROR(MATCH(697,상세표[발송순번],0),"")</f>
        <v/>
      </c>
    </row>
    <row r="703">
      <c r="J703">
        <f>IF($U703="","",INDEX(상세표[사번],$U703)&amp;"")</f>
        <v/>
      </c>
      <c r="K703">
        <f>IF($U703="","",INDEX(상세표[성명],$U703)&amp;"")</f>
        <v/>
      </c>
      <c r="L703">
        <f>IF($U703="","",INDEX(상세표[직위],$U703)&amp;"")</f>
        <v/>
      </c>
      <c r="M703">
        <f>IF($U703="","",IF(ISNUMBER(INDEX(상세표[근무일자],$U703)),TEXT(INDEX(상세표[근무일자],$U703),"yyyy-mm-dd"),INDEX(상세표[근무일자],$U703)&amp;""))</f>
        <v/>
      </c>
      <c r="N703">
        <f>IF($U703="","",IF(ISNUMBER(INDEX(상세표[시작],$U703)),TEXT(INDEX(상세표[시작],$U703),"yyyy-mm-dd hh:mm"),INDEX(상세표[시작],$U703)&amp;""))</f>
        <v/>
      </c>
      <c r="O703">
        <f>IF($U703="","",IF(ISNUMBER(INDEX(상세표[종료],$U703)),TEXT(INDEX(상세표[종료],$U703),"yyyy-mm-dd hh:mm"),INDEX(상세표[종료],$U703)&amp;""))</f>
        <v/>
      </c>
      <c r="P703">
        <f>IF($U703="","",INDEX(상세표[06~07시],$U703))</f>
        <v/>
      </c>
      <c r="Q703">
        <f>IF($U703="","",INDEX(상세표[07~18시],$U703))</f>
        <v/>
      </c>
      <c r="R703">
        <f>IF($U703="","",INDEX(상세표[18~22시],$U703))</f>
        <v/>
      </c>
      <c r="S703">
        <f>IF($U703="","",INDEX(상세표[22~06시],$U703))</f>
        <v/>
      </c>
      <c r="T703">
        <f>IF($U703="","",INDEX(상세표[기록 시간외],$U703))</f>
        <v/>
      </c>
      <c r="U703" s="4">
        <f>IFERROR(MATCH(698,상세표[발송순번],0),"")</f>
        <v/>
      </c>
    </row>
    <row r="704">
      <c r="J704">
        <f>IF($U704="","",INDEX(상세표[사번],$U704)&amp;"")</f>
        <v/>
      </c>
      <c r="K704">
        <f>IF($U704="","",INDEX(상세표[성명],$U704)&amp;"")</f>
        <v/>
      </c>
      <c r="L704">
        <f>IF($U704="","",INDEX(상세표[직위],$U704)&amp;"")</f>
        <v/>
      </c>
      <c r="M704">
        <f>IF($U704="","",IF(ISNUMBER(INDEX(상세표[근무일자],$U704)),TEXT(INDEX(상세표[근무일자],$U704),"yyyy-mm-dd"),INDEX(상세표[근무일자],$U704)&amp;""))</f>
        <v/>
      </c>
      <c r="N704">
        <f>IF($U704="","",IF(ISNUMBER(INDEX(상세표[시작],$U704)),TEXT(INDEX(상세표[시작],$U704),"yyyy-mm-dd hh:mm"),INDEX(상세표[시작],$U704)&amp;""))</f>
        <v/>
      </c>
      <c r="O704">
        <f>IF($U704="","",IF(ISNUMBER(INDEX(상세표[종료],$U704)),TEXT(INDEX(상세표[종료],$U704),"yyyy-mm-dd hh:mm"),INDEX(상세표[종료],$U704)&amp;""))</f>
        <v/>
      </c>
      <c r="P704">
        <f>IF($U704="","",INDEX(상세표[06~07시],$U704))</f>
        <v/>
      </c>
      <c r="Q704">
        <f>IF($U704="","",INDEX(상세표[07~18시],$U704))</f>
        <v/>
      </c>
      <c r="R704">
        <f>IF($U704="","",INDEX(상세표[18~22시],$U704))</f>
        <v/>
      </c>
      <c r="S704">
        <f>IF($U704="","",INDEX(상세표[22~06시],$U704))</f>
        <v/>
      </c>
      <c r="T704">
        <f>IF($U704="","",INDEX(상세표[기록 시간외],$U704))</f>
        <v/>
      </c>
      <c r="U704" s="4">
        <f>IFERROR(MATCH(699,상세표[발송순번],0),"")</f>
        <v/>
      </c>
    </row>
    <row r="705">
      <c r="J705">
        <f>IF($U705="","",INDEX(상세표[사번],$U705)&amp;"")</f>
        <v/>
      </c>
      <c r="K705">
        <f>IF($U705="","",INDEX(상세표[성명],$U705)&amp;"")</f>
        <v/>
      </c>
      <c r="L705">
        <f>IF($U705="","",INDEX(상세표[직위],$U705)&amp;"")</f>
        <v/>
      </c>
      <c r="M705">
        <f>IF($U705="","",IF(ISNUMBER(INDEX(상세표[근무일자],$U705)),TEXT(INDEX(상세표[근무일자],$U705),"yyyy-mm-dd"),INDEX(상세표[근무일자],$U705)&amp;""))</f>
        <v/>
      </c>
      <c r="N705">
        <f>IF($U705="","",IF(ISNUMBER(INDEX(상세표[시작],$U705)),TEXT(INDEX(상세표[시작],$U705),"yyyy-mm-dd hh:mm"),INDEX(상세표[시작],$U705)&amp;""))</f>
        <v/>
      </c>
      <c r="O705">
        <f>IF($U705="","",IF(ISNUMBER(INDEX(상세표[종료],$U705)),TEXT(INDEX(상세표[종료],$U705),"yyyy-mm-dd hh:mm"),INDEX(상세표[종료],$U705)&amp;""))</f>
        <v/>
      </c>
      <c r="P705">
        <f>IF($U705="","",INDEX(상세표[06~07시],$U705))</f>
        <v/>
      </c>
      <c r="Q705">
        <f>IF($U705="","",INDEX(상세표[07~18시],$U705))</f>
        <v/>
      </c>
      <c r="R705">
        <f>IF($U705="","",INDEX(상세표[18~22시],$U705))</f>
        <v/>
      </c>
      <c r="S705">
        <f>IF($U705="","",INDEX(상세표[22~06시],$U705))</f>
        <v/>
      </c>
      <c r="T705">
        <f>IF($U705="","",INDEX(상세표[기록 시간외],$U705))</f>
        <v/>
      </c>
      <c r="U705" s="4">
        <f>IFERROR(MATCH(700,상세표[발송순번],0),"")</f>
        <v/>
      </c>
    </row>
    <row r="706">
      <c r="J706">
        <f>IF($U706="","",INDEX(상세표[사번],$U706)&amp;"")</f>
        <v/>
      </c>
      <c r="K706">
        <f>IF($U706="","",INDEX(상세표[성명],$U706)&amp;"")</f>
        <v/>
      </c>
      <c r="L706">
        <f>IF($U706="","",INDEX(상세표[직위],$U706)&amp;"")</f>
        <v/>
      </c>
      <c r="M706">
        <f>IF($U706="","",IF(ISNUMBER(INDEX(상세표[근무일자],$U706)),TEXT(INDEX(상세표[근무일자],$U706),"yyyy-mm-dd"),INDEX(상세표[근무일자],$U706)&amp;""))</f>
        <v/>
      </c>
      <c r="N706">
        <f>IF($U706="","",IF(ISNUMBER(INDEX(상세표[시작],$U706)),TEXT(INDEX(상세표[시작],$U706),"yyyy-mm-dd hh:mm"),INDEX(상세표[시작],$U706)&amp;""))</f>
        <v/>
      </c>
      <c r="O706">
        <f>IF($U706="","",IF(ISNUMBER(INDEX(상세표[종료],$U706)),TEXT(INDEX(상세표[종료],$U706),"yyyy-mm-dd hh:mm"),INDEX(상세표[종료],$U706)&amp;""))</f>
        <v/>
      </c>
      <c r="P706">
        <f>IF($U706="","",INDEX(상세표[06~07시],$U706))</f>
        <v/>
      </c>
      <c r="Q706">
        <f>IF($U706="","",INDEX(상세표[07~18시],$U706))</f>
        <v/>
      </c>
      <c r="R706">
        <f>IF($U706="","",INDEX(상세표[18~22시],$U706))</f>
        <v/>
      </c>
      <c r="S706">
        <f>IF($U706="","",INDEX(상세표[22~06시],$U706))</f>
        <v/>
      </c>
      <c r="T706">
        <f>IF($U706="","",INDEX(상세표[기록 시간외],$U706))</f>
        <v/>
      </c>
      <c r="U706" s="4">
        <f>IFERROR(MATCH(701,상세표[발송순번],0),"")</f>
        <v/>
      </c>
    </row>
    <row r="707">
      <c r="J707">
        <f>IF($U707="","",INDEX(상세표[사번],$U707)&amp;"")</f>
        <v/>
      </c>
      <c r="K707">
        <f>IF($U707="","",INDEX(상세표[성명],$U707)&amp;"")</f>
        <v/>
      </c>
      <c r="L707">
        <f>IF($U707="","",INDEX(상세표[직위],$U707)&amp;"")</f>
        <v/>
      </c>
      <c r="M707">
        <f>IF($U707="","",IF(ISNUMBER(INDEX(상세표[근무일자],$U707)),TEXT(INDEX(상세표[근무일자],$U707),"yyyy-mm-dd"),INDEX(상세표[근무일자],$U707)&amp;""))</f>
        <v/>
      </c>
      <c r="N707">
        <f>IF($U707="","",IF(ISNUMBER(INDEX(상세표[시작],$U707)),TEXT(INDEX(상세표[시작],$U707),"yyyy-mm-dd hh:mm"),INDEX(상세표[시작],$U707)&amp;""))</f>
        <v/>
      </c>
      <c r="O707">
        <f>IF($U707="","",IF(ISNUMBER(INDEX(상세표[종료],$U707)),TEXT(INDEX(상세표[종료],$U707),"yyyy-mm-dd hh:mm"),INDEX(상세표[종료],$U707)&amp;""))</f>
        <v/>
      </c>
      <c r="P707">
        <f>IF($U707="","",INDEX(상세표[06~07시],$U707))</f>
        <v/>
      </c>
      <c r="Q707">
        <f>IF($U707="","",INDEX(상세표[07~18시],$U707))</f>
        <v/>
      </c>
      <c r="R707">
        <f>IF($U707="","",INDEX(상세표[18~22시],$U707))</f>
        <v/>
      </c>
      <c r="S707">
        <f>IF($U707="","",INDEX(상세표[22~06시],$U707))</f>
        <v/>
      </c>
      <c r="T707">
        <f>IF($U707="","",INDEX(상세표[기록 시간외],$U707))</f>
        <v/>
      </c>
      <c r="U707" s="4">
        <f>IFERROR(MATCH(702,상세표[발송순번],0),"")</f>
        <v/>
      </c>
    </row>
    <row r="708">
      <c r="J708">
        <f>IF($U708="","",INDEX(상세표[사번],$U708)&amp;"")</f>
        <v/>
      </c>
      <c r="K708">
        <f>IF($U708="","",INDEX(상세표[성명],$U708)&amp;"")</f>
        <v/>
      </c>
      <c r="L708">
        <f>IF($U708="","",INDEX(상세표[직위],$U708)&amp;"")</f>
        <v/>
      </c>
      <c r="M708">
        <f>IF($U708="","",IF(ISNUMBER(INDEX(상세표[근무일자],$U708)),TEXT(INDEX(상세표[근무일자],$U708),"yyyy-mm-dd"),INDEX(상세표[근무일자],$U708)&amp;""))</f>
        <v/>
      </c>
      <c r="N708">
        <f>IF($U708="","",IF(ISNUMBER(INDEX(상세표[시작],$U708)),TEXT(INDEX(상세표[시작],$U708),"yyyy-mm-dd hh:mm"),INDEX(상세표[시작],$U708)&amp;""))</f>
        <v/>
      </c>
      <c r="O708">
        <f>IF($U708="","",IF(ISNUMBER(INDEX(상세표[종료],$U708)),TEXT(INDEX(상세표[종료],$U708),"yyyy-mm-dd hh:mm"),INDEX(상세표[종료],$U708)&amp;""))</f>
        <v/>
      </c>
      <c r="P708">
        <f>IF($U708="","",INDEX(상세표[06~07시],$U708))</f>
        <v/>
      </c>
      <c r="Q708">
        <f>IF($U708="","",INDEX(상세표[07~18시],$U708))</f>
        <v/>
      </c>
      <c r="R708">
        <f>IF($U708="","",INDEX(상세표[18~22시],$U708))</f>
        <v/>
      </c>
      <c r="S708">
        <f>IF($U708="","",INDEX(상세표[22~06시],$U708))</f>
        <v/>
      </c>
      <c r="T708">
        <f>IF($U708="","",INDEX(상세표[기록 시간외],$U708))</f>
        <v/>
      </c>
      <c r="U708" s="4">
        <f>IFERROR(MATCH(703,상세표[발송순번],0),"")</f>
        <v/>
      </c>
    </row>
    <row r="709">
      <c r="J709">
        <f>IF($U709="","",INDEX(상세표[사번],$U709)&amp;"")</f>
        <v/>
      </c>
      <c r="K709">
        <f>IF($U709="","",INDEX(상세표[성명],$U709)&amp;"")</f>
        <v/>
      </c>
      <c r="L709">
        <f>IF($U709="","",INDEX(상세표[직위],$U709)&amp;"")</f>
        <v/>
      </c>
      <c r="M709">
        <f>IF($U709="","",IF(ISNUMBER(INDEX(상세표[근무일자],$U709)),TEXT(INDEX(상세표[근무일자],$U709),"yyyy-mm-dd"),INDEX(상세표[근무일자],$U709)&amp;""))</f>
        <v/>
      </c>
      <c r="N709">
        <f>IF($U709="","",IF(ISNUMBER(INDEX(상세표[시작],$U709)),TEXT(INDEX(상세표[시작],$U709),"yyyy-mm-dd hh:mm"),INDEX(상세표[시작],$U709)&amp;""))</f>
        <v/>
      </c>
      <c r="O709">
        <f>IF($U709="","",IF(ISNUMBER(INDEX(상세표[종료],$U709)),TEXT(INDEX(상세표[종료],$U709),"yyyy-mm-dd hh:mm"),INDEX(상세표[종료],$U709)&amp;""))</f>
        <v/>
      </c>
      <c r="P709">
        <f>IF($U709="","",INDEX(상세표[06~07시],$U709))</f>
        <v/>
      </c>
      <c r="Q709">
        <f>IF($U709="","",INDEX(상세표[07~18시],$U709))</f>
        <v/>
      </c>
      <c r="R709">
        <f>IF($U709="","",INDEX(상세표[18~22시],$U709))</f>
        <v/>
      </c>
      <c r="S709">
        <f>IF($U709="","",INDEX(상세표[22~06시],$U709))</f>
        <v/>
      </c>
      <c r="T709">
        <f>IF($U709="","",INDEX(상세표[기록 시간외],$U709))</f>
        <v/>
      </c>
      <c r="U709" s="4">
        <f>IFERROR(MATCH(704,상세표[발송순번],0),"")</f>
        <v/>
      </c>
    </row>
    <row r="710">
      <c r="J710">
        <f>IF($U710="","",INDEX(상세표[사번],$U710)&amp;"")</f>
        <v/>
      </c>
      <c r="K710">
        <f>IF($U710="","",INDEX(상세표[성명],$U710)&amp;"")</f>
        <v/>
      </c>
      <c r="L710">
        <f>IF($U710="","",INDEX(상세표[직위],$U710)&amp;"")</f>
        <v/>
      </c>
      <c r="M710">
        <f>IF($U710="","",IF(ISNUMBER(INDEX(상세표[근무일자],$U710)),TEXT(INDEX(상세표[근무일자],$U710),"yyyy-mm-dd"),INDEX(상세표[근무일자],$U710)&amp;""))</f>
        <v/>
      </c>
      <c r="N710">
        <f>IF($U710="","",IF(ISNUMBER(INDEX(상세표[시작],$U710)),TEXT(INDEX(상세표[시작],$U710),"yyyy-mm-dd hh:mm"),INDEX(상세표[시작],$U710)&amp;""))</f>
        <v/>
      </c>
      <c r="O710">
        <f>IF($U710="","",IF(ISNUMBER(INDEX(상세표[종료],$U710)),TEXT(INDEX(상세표[종료],$U710),"yyyy-mm-dd hh:mm"),INDEX(상세표[종료],$U710)&amp;""))</f>
        <v/>
      </c>
      <c r="P710">
        <f>IF($U710="","",INDEX(상세표[06~07시],$U710))</f>
        <v/>
      </c>
      <c r="Q710">
        <f>IF($U710="","",INDEX(상세표[07~18시],$U710))</f>
        <v/>
      </c>
      <c r="R710">
        <f>IF($U710="","",INDEX(상세표[18~22시],$U710))</f>
        <v/>
      </c>
      <c r="S710">
        <f>IF($U710="","",INDEX(상세표[22~06시],$U710))</f>
        <v/>
      </c>
      <c r="T710">
        <f>IF($U710="","",INDEX(상세표[기록 시간외],$U710))</f>
        <v/>
      </c>
      <c r="U710" s="4">
        <f>IFERROR(MATCH(705,상세표[발송순번],0),"")</f>
        <v/>
      </c>
    </row>
    <row r="711">
      <c r="J711">
        <f>IF($U711="","",INDEX(상세표[사번],$U711)&amp;"")</f>
        <v/>
      </c>
      <c r="K711">
        <f>IF($U711="","",INDEX(상세표[성명],$U711)&amp;"")</f>
        <v/>
      </c>
      <c r="L711">
        <f>IF($U711="","",INDEX(상세표[직위],$U711)&amp;"")</f>
        <v/>
      </c>
      <c r="M711">
        <f>IF($U711="","",IF(ISNUMBER(INDEX(상세표[근무일자],$U711)),TEXT(INDEX(상세표[근무일자],$U711),"yyyy-mm-dd"),INDEX(상세표[근무일자],$U711)&amp;""))</f>
        <v/>
      </c>
      <c r="N711">
        <f>IF($U711="","",IF(ISNUMBER(INDEX(상세표[시작],$U711)),TEXT(INDEX(상세표[시작],$U711),"yyyy-mm-dd hh:mm"),INDEX(상세표[시작],$U711)&amp;""))</f>
        <v/>
      </c>
      <c r="O711">
        <f>IF($U711="","",IF(ISNUMBER(INDEX(상세표[종료],$U711)),TEXT(INDEX(상세표[종료],$U711),"yyyy-mm-dd hh:mm"),INDEX(상세표[종료],$U711)&amp;""))</f>
        <v/>
      </c>
      <c r="P711">
        <f>IF($U711="","",INDEX(상세표[06~07시],$U711))</f>
        <v/>
      </c>
      <c r="Q711">
        <f>IF($U711="","",INDEX(상세표[07~18시],$U711))</f>
        <v/>
      </c>
      <c r="R711">
        <f>IF($U711="","",INDEX(상세표[18~22시],$U711))</f>
        <v/>
      </c>
      <c r="S711">
        <f>IF($U711="","",INDEX(상세표[22~06시],$U711))</f>
        <v/>
      </c>
      <c r="T711">
        <f>IF($U711="","",INDEX(상세표[기록 시간외],$U711))</f>
        <v/>
      </c>
      <c r="U711" s="4">
        <f>IFERROR(MATCH(706,상세표[발송순번],0),"")</f>
        <v/>
      </c>
    </row>
    <row r="712">
      <c r="J712">
        <f>IF($U712="","",INDEX(상세표[사번],$U712)&amp;"")</f>
        <v/>
      </c>
      <c r="K712">
        <f>IF($U712="","",INDEX(상세표[성명],$U712)&amp;"")</f>
        <v/>
      </c>
      <c r="L712">
        <f>IF($U712="","",INDEX(상세표[직위],$U712)&amp;"")</f>
        <v/>
      </c>
      <c r="M712">
        <f>IF($U712="","",IF(ISNUMBER(INDEX(상세표[근무일자],$U712)),TEXT(INDEX(상세표[근무일자],$U712),"yyyy-mm-dd"),INDEX(상세표[근무일자],$U712)&amp;""))</f>
        <v/>
      </c>
      <c r="N712">
        <f>IF($U712="","",IF(ISNUMBER(INDEX(상세표[시작],$U712)),TEXT(INDEX(상세표[시작],$U712),"yyyy-mm-dd hh:mm"),INDEX(상세표[시작],$U712)&amp;""))</f>
        <v/>
      </c>
      <c r="O712">
        <f>IF($U712="","",IF(ISNUMBER(INDEX(상세표[종료],$U712)),TEXT(INDEX(상세표[종료],$U712),"yyyy-mm-dd hh:mm"),INDEX(상세표[종료],$U712)&amp;""))</f>
        <v/>
      </c>
      <c r="P712">
        <f>IF($U712="","",INDEX(상세표[06~07시],$U712))</f>
        <v/>
      </c>
      <c r="Q712">
        <f>IF($U712="","",INDEX(상세표[07~18시],$U712))</f>
        <v/>
      </c>
      <c r="R712">
        <f>IF($U712="","",INDEX(상세표[18~22시],$U712))</f>
        <v/>
      </c>
      <c r="S712">
        <f>IF($U712="","",INDEX(상세표[22~06시],$U712))</f>
        <v/>
      </c>
      <c r="T712">
        <f>IF($U712="","",INDEX(상세표[기록 시간외],$U712))</f>
        <v/>
      </c>
      <c r="U712" s="4">
        <f>IFERROR(MATCH(707,상세표[발송순번],0),"")</f>
        <v/>
      </c>
    </row>
    <row r="713">
      <c r="J713">
        <f>IF($U713="","",INDEX(상세표[사번],$U713)&amp;"")</f>
        <v/>
      </c>
      <c r="K713">
        <f>IF($U713="","",INDEX(상세표[성명],$U713)&amp;"")</f>
        <v/>
      </c>
      <c r="L713">
        <f>IF($U713="","",INDEX(상세표[직위],$U713)&amp;"")</f>
        <v/>
      </c>
      <c r="M713">
        <f>IF($U713="","",IF(ISNUMBER(INDEX(상세표[근무일자],$U713)),TEXT(INDEX(상세표[근무일자],$U713),"yyyy-mm-dd"),INDEX(상세표[근무일자],$U713)&amp;""))</f>
        <v/>
      </c>
      <c r="N713">
        <f>IF($U713="","",IF(ISNUMBER(INDEX(상세표[시작],$U713)),TEXT(INDEX(상세표[시작],$U713),"yyyy-mm-dd hh:mm"),INDEX(상세표[시작],$U713)&amp;""))</f>
        <v/>
      </c>
      <c r="O713">
        <f>IF($U713="","",IF(ISNUMBER(INDEX(상세표[종료],$U713)),TEXT(INDEX(상세표[종료],$U713),"yyyy-mm-dd hh:mm"),INDEX(상세표[종료],$U713)&amp;""))</f>
        <v/>
      </c>
      <c r="P713">
        <f>IF($U713="","",INDEX(상세표[06~07시],$U713))</f>
        <v/>
      </c>
      <c r="Q713">
        <f>IF($U713="","",INDEX(상세표[07~18시],$U713))</f>
        <v/>
      </c>
      <c r="R713">
        <f>IF($U713="","",INDEX(상세표[18~22시],$U713))</f>
        <v/>
      </c>
      <c r="S713">
        <f>IF($U713="","",INDEX(상세표[22~06시],$U713))</f>
        <v/>
      </c>
      <c r="T713">
        <f>IF($U713="","",INDEX(상세표[기록 시간외],$U713))</f>
        <v/>
      </c>
      <c r="U713" s="4">
        <f>IFERROR(MATCH(708,상세표[발송순번],0),"")</f>
        <v/>
      </c>
    </row>
    <row r="714">
      <c r="J714">
        <f>IF($U714="","",INDEX(상세표[사번],$U714)&amp;"")</f>
        <v/>
      </c>
      <c r="K714">
        <f>IF($U714="","",INDEX(상세표[성명],$U714)&amp;"")</f>
        <v/>
      </c>
      <c r="L714">
        <f>IF($U714="","",INDEX(상세표[직위],$U714)&amp;"")</f>
        <v/>
      </c>
      <c r="M714">
        <f>IF($U714="","",IF(ISNUMBER(INDEX(상세표[근무일자],$U714)),TEXT(INDEX(상세표[근무일자],$U714),"yyyy-mm-dd"),INDEX(상세표[근무일자],$U714)&amp;""))</f>
        <v/>
      </c>
      <c r="N714">
        <f>IF($U714="","",IF(ISNUMBER(INDEX(상세표[시작],$U714)),TEXT(INDEX(상세표[시작],$U714),"yyyy-mm-dd hh:mm"),INDEX(상세표[시작],$U714)&amp;""))</f>
        <v/>
      </c>
      <c r="O714">
        <f>IF($U714="","",IF(ISNUMBER(INDEX(상세표[종료],$U714)),TEXT(INDEX(상세표[종료],$U714),"yyyy-mm-dd hh:mm"),INDEX(상세표[종료],$U714)&amp;""))</f>
        <v/>
      </c>
      <c r="P714">
        <f>IF($U714="","",INDEX(상세표[06~07시],$U714))</f>
        <v/>
      </c>
      <c r="Q714">
        <f>IF($U714="","",INDEX(상세표[07~18시],$U714))</f>
        <v/>
      </c>
      <c r="R714">
        <f>IF($U714="","",INDEX(상세표[18~22시],$U714))</f>
        <v/>
      </c>
      <c r="S714">
        <f>IF($U714="","",INDEX(상세표[22~06시],$U714))</f>
        <v/>
      </c>
      <c r="T714">
        <f>IF($U714="","",INDEX(상세표[기록 시간외],$U714))</f>
        <v/>
      </c>
      <c r="U714" s="4">
        <f>IFERROR(MATCH(709,상세표[발송순번],0),"")</f>
        <v/>
      </c>
    </row>
    <row r="715">
      <c r="J715">
        <f>IF($U715="","",INDEX(상세표[사번],$U715)&amp;"")</f>
        <v/>
      </c>
      <c r="K715">
        <f>IF($U715="","",INDEX(상세표[성명],$U715)&amp;"")</f>
        <v/>
      </c>
      <c r="L715">
        <f>IF($U715="","",INDEX(상세표[직위],$U715)&amp;"")</f>
        <v/>
      </c>
      <c r="M715">
        <f>IF($U715="","",IF(ISNUMBER(INDEX(상세표[근무일자],$U715)),TEXT(INDEX(상세표[근무일자],$U715),"yyyy-mm-dd"),INDEX(상세표[근무일자],$U715)&amp;""))</f>
        <v/>
      </c>
      <c r="N715">
        <f>IF($U715="","",IF(ISNUMBER(INDEX(상세표[시작],$U715)),TEXT(INDEX(상세표[시작],$U715),"yyyy-mm-dd hh:mm"),INDEX(상세표[시작],$U715)&amp;""))</f>
        <v/>
      </c>
      <c r="O715">
        <f>IF($U715="","",IF(ISNUMBER(INDEX(상세표[종료],$U715)),TEXT(INDEX(상세표[종료],$U715),"yyyy-mm-dd hh:mm"),INDEX(상세표[종료],$U715)&amp;""))</f>
        <v/>
      </c>
      <c r="P715">
        <f>IF($U715="","",INDEX(상세표[06~07시],$U715))</f>
        <v/>
      </c>
      <c r="Q715">
        <f>IF($U715="","",INDEX(상세표[07~18시],$U715))</f>
        <v/>
      </c>
      <c r="R715">
        <f>IF($U715="","",INDEX(상세표[18~22시],$U715))</f>
        <v/>
      </c>
      <c r="S715">
        <f>IF($U715="","",INDEX(상세표[22~06시],$U715))</f>
        <v/>
      </c>
      <c r="T715">
        <f>IF($U715="","",INDEX(상세표[기록 시간외],$U715))</f>
        <v/>
      </c>
      <c r="U715" s="4">
        <f>IFERROR(MATCH(710,상세표[발송순번],0),"")</f>
        <v/>
      </c>
    </row>
    <row r="716">
      <c r="J716">
        <f>IF($U716="","",INDEX(상세표[사번],$U716)&amp;"")</f>
        <v/>
      </c>
      <c r="K716">
        <f>IF($U716="","",INDEX(상세표[성명],$U716)&amp;"")</f>
        <v/>
      </c>
      <c r="L716">
        <f>IF($U716="","",INDEX(상세표[직위],$U716)&amp;"")</f>
        <v/>
      </c>
      <c r="M716">
        <f>IF($U716="","",IF(ISNUMBER(INDEX(상세표[근무일자],$U716)),TEXT(INDEX(상세표[근무일자],$U716),"yyyy-mm-dd"),INDEX(상세표[근무일자],$U716)&amp;""))</f>
        <v/>
      </c>
      <c r="N716">
        <f>IF($U716="","",IF(ISNUMBER(INDEX(상세표[시작],$U716)),TEXT(INDEX(상세표[시작],$U716),"yyyy-mm-dd hh:mm"),INDEX(상세표[시작],$U716)&amp;""))</f>
        <v/>
      </c>
      <c r="O716">
        <f>IF($U716="","",IF(ISNUMBER(INDEX(상세표[종료],$U716)),TEXT(INDEX(상세표[종료],$U716),"yyyy-mm-dd hh:mm"),INDEX(상세표[종료],$U716)&amp;""))</f>
        <v/>
      </c>
      <c r="P716">
        <f>IF($U716="","",INDEX(상세표[06~07시],$U716))</f>
        <v/>
      </c>
      <c r="Q716">
        <f>IF($U716="","",INDEX(상세표[07~18시],$U716))</f>
        <v/>
      </c>
      <c r="R716">
        <f>IF($U716="","",INDEX(상세표[18~22시],$U716))</f>
        <v/>
      </c>
      <c r="S716">
        <f>IF($U716="","",INDEX(상세표[22~06시],$U716))</f>
        <v/>
      </c>
      <c r="T716">
        <f>IF($U716="","",INDEX(상세표[기록 시간외],$U716))</f>
        <v/>
      </c>
      <c r="U716" s="4">
        <f>IFERROR(MATCH(711,상세표[발송순번],0),"")</f>
        <v/>
      </c>
    </row>
    <row r="717">
      <c r="J717">
        <f>IF($U717="","",INDEX(상세표[사번],$U717)&amp;"")</f>
        <v/>
      </c>
      <c r="K717">
        <f>IF($U717="","",INDEX(상세표[성명],$U717)&amp;"")</f>
        <v/>
      </c>
      <c r="L717">
        <f>IF($U717="","",INDEX(상세표[직위],$U717)&amp;"")</f>
        <v/>
      </c>
      <c r="M717">
        <f>IF($U717="","",IF(ISNUMBER(INDEX(상세표[근무일자],$U717)),TEXT(INDEX(상세표[근무일자],$U717),"yyyy-mm-dd"),INDEX(상세표[근무일자],$U717)&amp;""))</f>
        <v/>
      </c>
      <c r="N717">
        <f>IF($U717="","",IF(ISNUMBER(INDEX(상세표[시작],$U717)),TEXT(INDEX(상세표[시작],$U717),"yyyy-mm-dd hh:mm"),INDEX(상세표[시작],$U717)&amp;""))</f>
        <v/>
      </c>
      <c r="O717">
        <f>IF($U717="","",IF(ISNUMBER(INDEX(상세표[종료],$U717)),TEXT(INDEX(상세표[종료],$U717),"yyyy-mm-dd hh:mm"),INDEX(상세표[종료],$U717)&amp;""))</f>
        <v/>
      </c>
      <c r="P717">
        <f>IF($U717="","",INDEX(상세표[06~07시],$U717))</f>
        <v/>
      </c>
      <c r="Q717">
        <f>IF($U717="","",INDEX(상세표[07~18시],$U717))</f>
        <v/>
      </c>
      <c r="R717">
        <f>IF($U717="","",INDEX(상세표[18~22시],$U717))</f>
        <v/>
      </c>
      <c r="S717">
        <f>IF($U717="","",INDEX(상세표[22~06시],$U717))</f>
        <v/>
      </c>
      <c r="T717">
        <f>IF($U717="","",INDEX(상세표[기록 시간외],$U717))</f>
        <v/>
      </c>
      <c r="U717" s="4">
        <f>IFERROR(MATCH(712,상세표[발송순번],0),"")</f>
        <v/>
      </c>
    </row>
    <row r="718">
      <c r="J718">
        <f>IF($U718="","",INDEX(상세표[사번],$U718)&amp;"")</f>
        <v/>
      </c>
      <c r="K718">
        <f>IF($U718="","",INDEX(상세표[성명],$U718)&amp;"")</f>
        <v/>
      </c>
      <c r="L718">
        <f>IF($U718="","",INDEX(상세표[직위],$U718)&amp;"")</f>
        <v/>
      </c>
      <c r="M718">
        <f>IF($U718="","",IF(ISNUMBER(INDEX(상세표[근무일자],$U718)),TEXT(INDEX(상세표[근무일자],$U718),"yyyy-mm-dd"),INDEX(상세표[근무일자],$U718)&amp;""))</f>
        <v/>
      </c>
      <c r="N718">
        <f>IF($U718="","",IF(ISNUMBER(INDEX(상세표[시작],$U718)),TEXT(INDEX(상세표[시작],$U718),"yyyy-mm-dd hh:mm"),INDEX(상세표[시작],$U718)&amp;""))</f>
        <v/>
      </c>
      <c r="O718">
        <f>IF($U718="","",IF(ISNUMBER(INDEX(상세표[종료],$U718)),TEXT(INDEX(상세표[종료],$U718),"yyyy-mm-dd hh:mm"),INDEX(상세표[종료],$U718)&amp;""))</f>
        <v/>
      </c>
      <c r="P718">
        <f>IF($U718="","",INDEX(상세표[06~07시],$U718))</f>
        <v/>
      </c>
      <c r="Q718">
        <f>IF($U718="","",INDEX(상세표[07~18시],$U718))</f>
        <v/>
      </c>
      <c r="R718">
        <f>IF($U718="","",INDEX(상세표[18~22시],$U718))</f>
        <v/>
      </c>
      <c r="S718">
        <f>IF($U718="","",INDEX(상세표[22~06시],$U718))</f>
        <v/>
      </c>
      <c r="T718">
        <f>IF($U718="","",INDEX(상세표[기록 시간외],$U718))</f>
        <v/>
      </c>
      <c r="U718" s="4">
        <f>IFERROR(MATCH(713,상세표[발송순번],0),"")</f>
        <v/>
      </c>
    </row>
    <row r="719">
      <c r="J719">
        <f>IF($U719="","",INDEX(상세표[사번],$U719)&amp;"")</f>
        <v/>
      </c>
      <c r="K719">
        <f>IF($U719="","",INDEX(상세표[성명],$U719)&amp;"")</f>
        <v/>
      </c>
      <c r="L719">
        <f>IF($U719="","",INDEX(상세표[직위],$U719)&amp;"")</f>
        <v/>
      </c>
      <c r="M719">
        <f>IF($U719="","",IF(ISNUMBER(INDEX(상세표[근무일자],$U719)),TEXT(INDEX(상세표[근무일자],$U719),"yyyy-mm-dd"),INDEX(상세표[근무일자],$U719)&amp;""))</f>
        <v/>
      </c>
      <c r="N719">
        <f>IF($U719="","",IF(ISNUMBER(INDEX(상세표[시작],$U719)),TEXT(INDEX(상세표[시작],$U719),"yyyy-mm-dd hh:mm"),INDEX(상세표[시작],$U719)&amp;""))</f>
        <v/>
      </c>
      <c r="O719">
        <f>IF($U719="","",IF(ISNUMBER(INDEX(상세표[종료],$U719)),TEXT(INDEX(상세표[종료],$U719),"yyyy-mm-dd hh:mm"),INDEX(상세표[종료],$U719)&amp;""))</f>
        <v/>
      </c>
      <c r="P719">
        <f>IF($U719="","",INDEX(상세표[06~07시],$U719))</f>
        <v/>
      </c>
      <c r="Q719">
        <f>IF($U719="","",INDEX(상세표[07~18시],$U719))</f>
        <v/>
      </c>
      <c r="R719">
        <f>IF($U719="","",INDEX(상세표[18~22시],$U719))</f>
        <v/>
      </c>
      <c r="S719">
        <f>IF($U719="","",INDEX(상세표[22~06시],$U719))</f>
        <v/>
      </c>
      <c r="T719">
        <f>IF($U719="","",INDEX(상세표[기록 시간외],$U719))</f>
        <v/>
      </c>
      <c r="U719" s="4">
        <f>IFERROR(MATCH(714,상세표[발송순번],0),"")</f>
        <v/>
      </c>
    </row>
    <row r="720">
      <c r="J720">
        <f>IF($U720="","",INDEX(상세표[사번],$U720)&amp;"")</f>
        <v/>
      </c>
      <c r="K720">
        <f>IF($U720="","",INDEX(상세표[성명],$U720)&amp;"")</f>
        <v/>
      </c>
      <c r="L720">
        <f>IF($U720="","",INDEX(상세표[직위],$U720)&amp;"")</f>
        <v/>
      </c>
      <c r="M720">
        <f>IF($U720="","",IF(ISNUMBER(INDEX(상세표[근무일자],$U720)),TEXT(INDEX(상세표[근무일자],$U720),"yyyy-mm-dd"),INDEX(상세표[근무일자],$U720)&amp;""))</f>
        <v/>
      </c>
      <c r="N720">
        <f>IF($U720="","",IF(ISNUMBER(INDEX(상세표[시작],$U720)),TEXT(INDEX(상세표[시작],$U720),"yyyy-mm-dd hh:mm"),INDEX(상세표[시작],$U720)&amp;""))</f>
        <v/>
      </c>
      <c r="O720">
        <f>IF($U720="","",IF(ISNUMBER(INDEX(상세표[종료],$U720)),TEXT(INDEX(상세표[종료],$U720),"yyyy-mm-dd hh:mm"),INDEX(상세표[종료],$U720)&amp;""))</f>
        <v/>
      </c>
      <c r="P720">
        <f>IF($U720="","",INDEX(상세표[06~07시],$U720))</f>
        <v/>
      </c>
      <c r="Q720">
        <f>IF($U720="","",INDEX(상세표[07~18시],$U720))</f>
        <v/>
      </c>
      <c r="R720">
        <f>IF($U720="","",INDEX(상세표[18~22시],$U720))</f>
        <v/>
      </c>
      <c r="S720">
        <f>IF($U720="","",INDEX(상세표[22~06시],$U720))</f>
        <v/>
      </c>
      <c r="T720">
        <f>IF($U720="","",INDEX(상세표[기록 시간외],$U720))</f>
        <v/>
      </c>
      <c r="U720" s="4">
        <f>IFERROR(MATCH(715,상세표[발송순번],0),"")</f>
        <v/>
      </c>
    </row>
    <row r="721">
      <c r="J721">
        <f>IF($U721="","",INDEX(상세표[사번],$U721)&amp;"")</f>
        <v/>
      </c>
      <c r="K721">
        <f>IF($U721="","",INDEX(상세표[성명],$U721)&amp;"")</f>
        <v/>
      </c>
      <c r="L721">
        <f>IF($U721="","",INDEX(상세표[직위],$U721)&amp;"")</f>
        <v/>
      </c>
      <c r="M721">
        <f>IF($U721="","",IF(ISNUMBER(INDEX(상세표[근무일자],$U721)),TEXT(INDEX(상세표[근무일자],$U721),"yyyy-mm-dd"),INDEX(상세표[근무일자],$U721)&amp;""))</f>
        <v/>
      </c>
      <c r="N721">
        <f>IF($U721="","",IF(ISNUMBER(INDEX(상세표[시작],$U721)),TEXT(INDEX(상세표[시작],$U721),"yyyy-mm-dd hh:mm"),INDEX(상세표[시작],$U721)&amp;""))</f>
        <v/>
      </c>
      <c r="O721">
        <f>IF($U721="","",IF(ISNUMBER(INDEX(상세표[종료],$U721)),TEXT(INDEX(상세표[종료],$U721),"yyyy-mm-dd hh:mm"),INDEX(상세표[종료],$U721)&amp;""))</f>
        <v/>
      </c>
      <c r="P721">
        <f>IF($U721="","",INDEX(상세표[06~07시],$U721))</f>
        <v/>
      </c>
      <c r="Q721">
        <f>IF($U721="","",INDEX(상세표[07~18시],$U721))</f>
        <v/>
      </c>
      <c r="R721">
        <f>IF($U721="","",INDEX(상세표[18~22시],$U721))</f>
        <v/>
      </c>
      <c r="S721">
        <f>IF($U721="","",INDEX(상세표[22~06시],$U721))</f>
        <v/>
      </c>
      <c r="T721">
        <f>IF($U721="","",INDEX(상세표[기록 시간외],$U721))</f>
        <v/>
      </c>
      <c r="U721" s="4">
        <f>IFERROR(MATCH(716,상세표[발송순번],0),"")</f>
        <v/>
      </c>
    </row>
    <row r="722">
      <c r="J722">
        <f>IF($U722="","",INDEX(상세표[사번],$U722)&amp;"")</f>
        <v/>
      </c>
      <c r="K722">
        <f>IF($U722="","",INDEX(상세표[성명],$U722)&amp;"")</f>
        <v/>
      </c>
      <c r="L722">
        <f>IF($U722="","",INDEX(상세표[직위],$U722)&amp;"")</f>
        <v/>
      </c>
      <c r="M722">
        <f>IF($U722="","",IF(ISNUMBER(INDEX(상세표[근무일자],$U722)),TEXT(INDEX(상세표[근무일자],$U722),"yyyy-mm-dd"),INDEX(상세표[근무일자],$U722)&amp;""))</f>
        <v/>
      </c>
      <c r="N722">
        <f>IF($U722="","",IF(ISNUMBER(INDEX(상세표[시작],$U722)),TEXT(INDEX(상세표[시작],$U722),"yyyy-mm-dd hh:mm"),INDEX(상세표[시작],$U722)&amp;""))</f>
        <v/>
      </c>
      <c r="O722">
        <f>IF($U722="","",IF(ISNUMBER(INDEX(상세표[종료],$U722)),TEXT(INDEX(상세표[종료],$U722),"yyyy-mm-dd hh:mm"),INDEX(상세표[종료],$U722)&amp;""))</f>
        <v/>
      </c>
      <c r="P722">
        <f>IF($U722="","",INDEX(상세표[06~07시],$U722))</f>
        <v/>
      </c>
      <c r="Q722">
        <f>IF($U722="","",INDEX(상세표[07~18시],$U722))</f>
        <v/>
      </c>
      <c r="R722">
        <f>IF($U722="","",INDEX(상세표[18~22시],$U722))</f>
        <v/>
      </c>
      <c r="S722">
        <f>IF($U722="","",INDEX(상세표[22~06시],$U722))</f>
        <v/>
      </c>
      <c r="T722">
        <f>IF($U722="","",INDEX(상세표[기록 시간외],$U722))</f>
        <v/>
      </c>
      <c r="U722" s="4">
        <f>IFERROR(MATCH(717,상세표[발송순번],0),"")</f>
        <v/>
      </c>
    </row>
    <row r="723">
      <c r="J723">
        <f>IF($U723="","",INDEX(상세표[사번],$U723)&amp;"")</f>
        <v/>
      </c>
      <c r="K723">
        <f>IF($U723="","",INDEX(상세표[성명],$U723)&amp;"")</f>
        <v/>
      </c>
      <c r="L723">
        <f>IF($U723="","",INDEX(상세표[직위],$U723)&amp;"")</f>
        <v/>
      </c>
      <c r="M723">
        <f>IF($U723="","",IF(ISNUMBER(INDEX(상세표[근무일자],$U723)),TEXT(INDEX(상세표[근무일자],$U723),"yyyy-mm-dd"),INDEX(상세표[근무일자],$U723)&amp;""))</f>
        <v/>
      </c>
      <c r="N723">
        <f>IF($U723="","",IF(ISNUMBER(INDEX(상세표[시작],$U723)),TEXT(INDEX(상세표[시작],$U723),"yyyy-mm-dd hh:mm"),INDEX(상세표[시작],$U723)&amp;""))</f>
        <v/>
      </c>
      <c r="O723">
        <f>IF($U723="","",IF(ISNUMBER(INDEX(상세표[종료],$U723)),TEXT(INDEX(상세표[종료],$U723),"yyyy-mm-dd hh:mm"),INDEX(상세표[종료],$U723)&amp;""))</f>
        <v/>
      </c>
      <c r="P723">
        <f>IF($U723="","",INDEX(상세표[06~07시],$U723))</f>
        <v/>
      </c>
      <c r="Q723">
        <f>IF($U723="","",INDEX(상세표[07~18시],$U723))</f>
        <v/>
      </c>
      <c r="R723">
        <f>IF($U723="","",INDEX(상세표[18~22시],$U723))</f>
        <v/>
      </c>
      <c r="S723">
        <f>IF($U723="","",INDEX(상세표[22~06시],$U723))</f>
        <v/>
      </c>
      <c r="T723">
        <f>IF($U723="","",INDEX(상세표[기록 시간외],$U723))</f>
        <v/>
      </c>
      <c r="U723" s="4">
        <f>IFERROR(MATCH(718,상세표[발송순번],0),"")</f>
        <v/>
      </c>
    </row>
    <row r="724">
      <c r="J724">
        <f>IF($U724="","",INDEX(상세표[사번],$U724)&amp;"")</f>
        <v/>
      </c>
      <c r="K724">
        <f>IF($U724="","",INDEX(상세표[성명],$U724)&amp;"")</f>
        <v/>
      </c>
      <c r="L724">
        <f>IF($U724="","",INDEX(상세표[직위],$U724)&amp;"")</f>
        <v/>
      </c>
      <c r="M724">
        <f>IF($U724="","",IF(ISNUMBER(INDEX(상세표[근무일자],$U724)),TEXT(INDEX(상세표[근무일자],$U724),"yyyy-mm-dd"),INDEX(상세표[근무일자],$U724)&amp;""))</f>
        <v/>
      </c>
      <c r="N724">
        <f>IF($U724="","",IF(ISNUMBER(INDEX(상세표[시작],$U724)),TEXT(INDEX(상세표[시작],$U724),"yyyy-mm-dd hh:mm"),INDEX(상세표[시작],$U724)&amp;""))</f>
        <v/>
      </c>
      <c r="O724">
        <f>IF($U724="","",IF(ISNUMBER(INDEX(상세표[종료],$U724)),TEXT(INDEX(상세표[종료],$U724),"yyyy-mm-dd hh:mm"),INDEX(상세표[종료],$U724)&amp;""))</f>
        <v/>
      </c>
      <c r="P724">
        <f>IF($U724="","",INDEX(상세표[06~07시],$U724))</f>
        <v/>
      </c>
      <c r="Q724">
        <f>IF($U724="","",INDEX(상세표[07~18시],$U724))</f>
        <v/>
      </c>
      <c r="R724">
        <f>IF($U724="","",INDEX(상세표[18~22시],$U724))</f>
        <v/>
      </c>
      <c r="S724">
        <f>IF($U724="","",INDEX(상세표[22~06시],$U724))</f>
        <v/>
      </c>
      <c r="T724">
        <f>IF($U724="","",INDEX(상세표[기록 시간외],$U724))</f>
        <v/>
      </c>
      <c r="U724" s="4">
        <f>IFERROR(MATCH(719,상세표[발송순번],0),"")</f>
        <v/>
      </c>
    </row>
    <row r="725">
      <c r="J725">
        <f>IF($U725="","",INDEX(상세표[사번],$U725)&amp;"")</f>
        <v/>
      </c>
      <c r="K725">
        <f>IF($U725="","",INDEX(상세표[성명],$U725)&amp;"")</f>
        <v/>
      </c>
      <c r="L725">
        <f>IF($U725="","",INDEX(상세표[직위],$U725)&amp;"")</f>
        <v/>
      </c>
      <c r="M725">
        <f>IF($U725="","",IF(ISNUMBER(INDEX(상세표[근무일자],$U725)),TEXT(INDEX(상세표[근무일자],$U725),"yyyy-mm-dd"),INDEX(상세표[근무일자],$U725)&amp;""))</f>
        <v/>
      </c>
      <c r="N725">
        <f>IF($U725="","",IF(ISNUMBER(INDEX(상세표[시작],$U725)),TEXT(INDEX(상세표[시작],$U725),"yyyy-mm-dd hh:mm"),INDEX(상세표[시작],$U725)&amp;""))</f>
        <v/>
      </c>
      <c r="O725">
        <f>IF($U725="","",IF(ISNUMBER(INDEX(상세표[종료],$U725)),TEXT(INDEX(상세표[종료],$U725),"yyyy-mm-dd hh:mm"),INDEX(상세표[종료],$U725)&amp;""))</f>
        <v/>
      </c>
      <c r="P725">
        <f>IF($U725="","",INDEX(상세표[06~07시],$U725))</f>
        <v/>
      </c>
      <c r="Q725">
        <f>IF($U725="","",INDEX(상세표[07~18시],$U725))</f>
        <v/>
      </c>
      <c r="R725">
        <f>IF($U725="","",INDEX(상세표[18~22시],$U725))</f>
        <v/>
      </c>
      <c r="S725">
        <f>IF($U725="","",INDEX(상세표[22~06시],$U725))</f>
        <v/>
      </c>
      <c r="T725">
        <f>IF($U725="","",INDEX(상세표[기록 시간외],$U725))</f>
        <v/>
      </c>
      <c r="U725" s="4">
        <f>IFERROR(MATCH(720,상세표[발송순번],0),"")</f>
        <v/>
      </c>
    </row>
    <row r="726">
      <c r="J726">
        <f>IF($U726="","",INDEX(상세표[사번],$U726)&amp;"")</f>
        <v/>
      </c>
      <c r="K726">
        <f>IF($U726="","",INDEX(상세표[성명],$U726)&amp;"")</f>
        <v/>
      </c>
      <c r="L726">
        <f>IF($U726="","",INDEX(상세표[직위],$U726)&amp;"")</f>
        <v/>
      </c>
      <c r="M726">
        <f>IF($U726="","",IF(ISNUMBER(INDEX(상세표[근무일자],$U726)),TEXT(INDEX(상세표[근무일자],$U726),"yyyy-mm-dd"),INDEX(상세표[근무일자],$U726)&amp;""))</f>
        <v/>
      </c>
      <c r="N726">
        <f>IF($U726="","",IF(ISNUMBER(INDEX(상세표[시작],$U726)),TEXT(INDEX(상세표[시작],$U726),"yyyy-mm-dd hh:mm"),INDEX(상세표[시작],$U726)&amp;""))</f>
        <v/>
      </c>
      <c r="O726">
        <f>IF($U726="","",IF(ISNUMBER(INDEX(상세표[종료],$U726)),TEXT(INDEX(상세표[종료],$U726),"yyyy-mm-dd hh:mm"),INDEX(상세표[종료],$U726)&amp;""))</f>
        <v/>
      </c>
      <c r="P726">
        <f>IF($U726="","",INDEX(상세표[06~07시],$U726))</f>
        <v/>
      </c>
      <c r="Q726">
        <f>IF($U726="","",INDEX(상세표[07~18시],$U726))</f>
        <v/>
      </c>
      <c r="R726">
        <f>IF($U726="","",INDEX(상세표[18~22시],$U726))</f>
        <v/>
      </c>
      <c r="S726">
        <f>IF($U726="","",INDEX(상세표[22~06시],$U726))</f>
        <v/>
      </c>
      <c r="T726">
        <f>IF($U726="","",INDEX(상세표[기록 시간외],$U726))</f>
        <v/>
      </c>
      <c r="U726" s="4">
        <f>IFERROR(MATCH(721,상세표[발송순번],0),"")</f>
        <v/>
      </c>
    </row>
    <row r="727">
      <c r="J727">
        <f>IF($U727="","",INDEX(상세표[사번],$U727)&amp;"")</f>
        <v/>
      </c>
      <c r="K727">
        <f>IF($U727="","",INDEX(상세표[성명],$U727)&amp;"")</f>
        <v/>
      </c>
      <c r="L727">
        <f>IF($U727="","",INDEX(상세표[직위],$U727)&amp;"")</f>
        <v/>
      </c>
      <c r="M727">
        <f>IF($U727="","",IF(ISNUMBER(INDEX(상세표[근무일자],$U727)),TEXT(INDEX(상세표[근무일자],$U727),"yyyy-mm-dd"),INDEX(상세표[근무일자],$U727)&amp;""))</f>
        <v/>
      </c>
      <c r="N727">
        <f>IF($U727="","",IF(ISNUMBER(INDEX(상세표[시작],$U727)),TEXT(INDEX(상세표[시작],$U727),"yyyy-mm-dd hh:mm"),INDEX(상세표[시작],$U727)&amp;""))</f>
        <v/>
      </c>
      <c r="O727">
        <f>IF($U727="","",IF(ISNUMBER(INDEX(상세표[종료],$U727)),TEXT(INDEX(상세표[종료],$U727),"yyyy-mm-dd hh:mm"),INDEX(상세표[종료],$U727)&amp;""))</f>
        <v/>
      </c>
      <c r="P727">
        <f>IF($U727="","",INDEX(상세표[06~07시],$U727))</f>
        <v/>
      </c>
      <c r="Q727">
        <f>IF($U727="","",INDEX(상세표[07~18시],$U727))</f>
        <v/>
      </c>
      <c r="R727">
        <f>IF($U727="","",INDEX(상세표[18~22시],$U727))</f>
        <v/>
      </c>
      <c r="S727">
        <f>IF($U727="","",INDEX(상세표[22~06시],$U727))</f>
        <v/>
      </c>
      <c r="T727">
        <f>IF($U727="","",INDEX(상세표[기록 시간외],$U727))</f>
        <v/>
      </c>
      <c r="U727" s="4">
        <f>IFERROR(MATCH(722,상세표[발송순번],0),"")</f>
        <v/>
      </c>
    </row>
    <row r="728">
      <c r="J728">
        <f>IF($U728="","",INDEX(상세표[사번],$U728)&amp;"")</f>
        <v/>
      </c>
      <c r="K728">
        <f>IF($U728="","",INDEX(상세표[성명],$U728)&amp;"")</f>
        <v/>
      </c>
      <c r="L728">
        <f>IF($U728="","",INDEX(상세표[직위],$U728)&amp;"")</f>
        <v/>
      </c>
      <c r="M728">
        <f>IF($U728="","",IF(ISNUMBER(INDEX(상세표[근무일자],$U728)),TEXT(INDEX(상세표[근무일자],$U728),"yyyy-mm-dd"),INDEX(상세표[근무일자],$U728)&amp;""))</f>
        <v/>
      </c>
      <c r="N728">
        <f>IF($U728="","",IF(ISNUMBER(INDEX(상세표[시작],$U728)),TEXT(INDEX(상세표[시작],$U728),"yyyy-mm-dd hh:mm"),INDEX(상세표[시작],$U728)&amp;""))</f>
        <v/>
      </c>
      <c r="O728">
        <f>IF($U728="","",IF(ISNUMBER(INDEX(상세표[종료],$U728)),TEXT(INDEX(상세표[종료],$U728),"yyyy-mm-dd hh:mm"),INDEX(상세표[종료],$U728)&amp;""))</f>
        <v/>
      </c>
      <c r="P728">
        <f>IF($U728="","",INDEX(상세표[06~07시],$U728))</f>
        <v/>
      </c>
      <c r="Q728">
        <f>IF($U728="","",INDEX(상세표[07~18시],$U728))</f>
        <v/>
      </c>
      <c r="R728">
        <f>IF($U728="","",INDEX(상세표[18~22시],$U728))</f>
        <v/>
      </c>
      <c r="S728">
        <f>IF($U728="","",INDEX(상세표[22~06시],$U728))</f>
        <v/>
      </c>
      <c r="T728">
        <f>IF($U728="","",INDEX(상세표[기록 시간외],$U728))</f>
        <v/>
      </c>
      <c r="U728" s="4">
        <f>IFERROR(MATCH(723,상세표[발송순번],0),"")</f>
        <v/>
      </c>
    </row>
    <row r="729">
      <c r="J729">
        <f>IF($U729="","",INDEX(상세표[사번],$U729)&amp;"")</f>
        <v/>
      </c>
      <c r="K729">
        <f>IF($U729="","",INDEX(상세표[성명],$U729)&amp;"")</f>
        <v/>
      </c>
      <c r="L729">
        <f>IF($U729="","",INDEX(상세표[직위],$U729)&amp;"")</f>
        <v/>
      </c>
      <c r="M729">
        <f>IF($U729="","",IF(ISNUMBER(INDEX(상세표[근무일자],$U729)),TEXT(INDEX(상세표[근무일자],$U729),"yyyy-mm-dd"),INDEX(상세표[근무일자],$U729)&amp;""))</f>
        <v/>
      </c>
      <c r="N729">
        <f>IF($U729="","",IF(ISNUMBER(INDEX(상세표[시작],$U729)),TEXT(INDEX(상세표[시작],$U729),"yyyy-mm-dd hh:mm"),INDEX(상세표[시작],$U729)&amp;""))</f>
        <v/>
      </c>
      <c r="O729">
        <f>IF($U729="","",IF(ISNUMBER(INDEX(상세표[종료],$U729)),TEXT(INDEX(상세표[종료],$U729),"yyyy-mm-dd hh:mm"),INDEX(상세표[종료],$U729)&amp;""))</f>
        <v/>
      </c>
      <c r="P729">
        <f>IF($U729="","",INDEX(상세표[06~07시],$U729))</f>
        <v/>
      </c>
      <c r="Q729">
        <f>IF($U729="","",INDEX(상세표[07~18시],$U729))</f>
        <v/>
      </c>
      <c r="R729">
        <f>IF($U729="","",INDEX(상세표[18~22시],$U729))</f>
        <v/>
      </c>
      <c r="S729">
        <f>IF($U729="","",INDEX(상세표[22~06시],$U729))</f>
        <v/>
      </c>
      <c r="T729">
        <f>IF($U729="","",INDEX(상세표[기록 시간외],$U729))</f>
        <v/>
      </c>
      <c r="U729" s="4">
        <f>IFERROR(MATCH(724,상세표[발송순번],0),"")</f>
        <v/>
      </c>
    </row>
    <row r="730">
      <c r="J730">
        <f>IF($U730="","",INDEX(상세표[사번],$U730)&amp;"")</f>
        <v/>
      </c>
      <c r="K730">
        <f>IF($U730="","",INDEX(상세표[성명],$U730)&amp;"")</f>
        <v/>
      </c>
      <c r="L730">
        <f>IF($U730="","",INDEX(상세표[직위],$U730)&amp;"")</f>
        <v/>
      </c>
      <c r="M730">
        <f>IF($U730="","",IF(ISNUMBER(INDEX(상세표[근무일자],$U730)),TEXT(INDEX(상세표[근무일자],$U730),"yyyy-mm-dd"),INDEX(상세표[근무일자],$U730)&amp;""))</f>
        <v/>
      </c>
      <c r="N730">
        <f>IF($U730="","",IF(ISNUMBER(INDEX(상세표[시작],$U730)),TEXT(INDEX(상세표[시작],$U730),"yyyy-mm-dd hh:mm"),INDEX(상세표[시작],$U730)&amp;""))</f>
        <v/>
      </c>
      <c r="O730">
        <f>IF($U730="","",IF(ISNUMBER(INDEX(상세표[종료],$U730)),TEXT(INDEX(상세표[종료],$U730),"yyyy-mm-dd hh:mm"),INDEX(상세표[종료],$U730)&amp;""))</f>
        <v/>
      </c>
      <c r="P730">
        <f>IF($U730="","",INDEX(상세표[06~07시],$U730))</f>
        <v/>
      </c>
      <c r="Q730">
        <f>IF($U730="","",INDEX(상세표[07~18시],$U730))</f>
        <v/>
      </c>
      <c r="R730">
        <f>IF($U730="","",INDEX(상세표[18~22시],$U730))</f>
        <v/>
      </c>
      <c r="S730">
        <f>IF($U730="","",INDEX(상세표[22~06시],$U730))</f>
        <v/>
      </c>
      <c r="T730">
        <f>IF($U730="","",INDEX(상세표[기록 시간외],$U730))</f>
        <v/>
      </c>
      <c r="U730" s="4">
        <f>IFERROR(MATCH(725,상세표[발송순번],0),"")</f>
        <v/>
      </c>
    </row>
    <row r="731">
      <c r="J731">
        <f>IF($U731="","",INDEX(상세표[사번],$U731)&amp;"")</f>
        <v/>
      </c>
      <c r="K731">
        <f>IF($U731="","",INDEX(상세표[성명],$U731)&amp;"")</f>
        <v/>
      </c>
      <c r="L731">
        <f>IF($U731="","",INDEX(상세표[직위],$U731)&amp;"")</f>
        <v/>
      </c>
      <c r="M731">
        <f>IF($U731="","",IF(ISNUMBER(INDEX(상세표[근무일자],$U731)),TEXT(INDEX(상세표[근무일자],$U731),"yyyy-mm-dd"),INDEX(상세표[근무일자],$U731)&amp;""))</f>
        <v/>
      </c>
      <c r="N731">
        <f>IF($U731="","",IF(ISNUMBER(INDEX(상세표[시작],$U731)),TEXT(INDEX(상세표[시작],$U731),"yyyy-mm-dd hh:mm"),INDEX(상세표[시작],$U731)&amp;""))</f>
        <v/>
      </c>
      <c r="O731">
        <f>IF($U731="","",IF(ISNUMBER(INDEX(상세표[종료],$U731)),TEXT(INDEX(상세표[종료],$U731),"yyyy-mm-dd hh:mm"),INDEX(상세표[종료],$U731)&amp;""))</f>
        <v/>
      </c>
      <c r="P731">
        <f>IF($U731="","",INDEX(상세표[06~07시],$U731))</f>
        <v/>
      </c>
      <c r="Q731">
        <f>IF($U731="","",INDEX(상세표[07~18시],$U731))</f>
        <v/>
      </c>
      <c r="R731">
        <f>IF($U731="","",INDEX(상세표[18~22시],$U731))</f>
        <v/>
      </c>
      <c r="S731">
        <f>IF($U731="","",INDEX(상세표[22~06시],$U731))</f>
        <v/>
      </c>
      <c r="T731">
        <f>IF($U731="","",INDEX(상세표[기록 시간외],$U731))</f>
        <v/>
      </c>
      <c r="U731" s="4">
        <f>IFERROR(MATCH(726,상세표[발송순번],0),"")</f>
        <v/>
      </c>
    </row>
    <row r="732">
      <c r="J732">
        <f>IF($U732="","",INDEX(상세표[사번],$U732)&amp;"")</f>
        <v/>
      </c>
      <c r="K732">
        <f>IF($U732="","",INDEX(상세표[성명],$U732)&amp;"")</f>
        <v/>
      </c>
      <c r="L732">
        <f>IF($U732="","",INDEX(상세표[직위],$U732)&amp;"")</f>
        <v/>
      </c>
      <c r="M732">
        <f>IF($U732="","",IF(ISNUMBER(INDEX(상세표[근무일자],$U732)),TEXT(INDEX(상세표[근무일자],$U732),"yyyy-mm-dd"),INDEX(상세표[근무일자],$U732)&amp;""))</f>
        <v/>
      </c>
      <c r="N732">
        <f>IF($U732="","",IF(ISNUMBER(INDEX(상세표[시작],$U732)),TEXT(INDEX(상세표[시작],$U732),"yyyy-mm-dd hh:mm"),INDEX(상세표[시작],$U732)&amp;""))</f>
        <v/>
      </c>
      <c r="O732">
        <f>IF($U732="","",IF(ISNUMBER(INDEX(상세표[종료],$U732)),TEXT(INDEX(상세표[종료],$U732),"yyyy-mm-dd hh:mm"),INDEX(상세표[종료],$U732)&amp;""))</f>
        <v/>
      </c>
      <c r="P732">
        <f>IF($U732="","",INDEX(상세표[06~07시],$U732))</f>
        <v/>
      </c>
      <c r="Q732">
        <f>IF($U732="","",INDEX(상세표[07~18시],$U732))</f>
        <v/>
      </c>
      <c r="R732">
        <f>IF($U732="","",INDEX(상세표[18~22시],$U732))</f>
        <v/>
      </c>
      <c r="S732">
        <f>IF($U732="","",INDEX(상세표[22~06시],$U732))</f>
        <v/>
      </c>
      <c r="T732">
        <f>IF($U732="","",INDEX(상세표[기록 시간외],$U732))</f>
        <v/>
      </c>
      <c r="U732" s="4">
        <f>IFERROR(MATCH(727,상세표[발송순번],0),"")</f>
        <v/>
      </c>
    </row>
    <row r="733">
      <c r="J733">
        <f>IF($U733="","",INDEX(상세표[사번],$U733)&amp;"")</f>
        <v/>
      </c>
      <c r="K733">
        <f>IF($U733="","",INDEX(상세표[성명],$U733)&amp;"")</f>
        <v/>
      </c>
      <c r="L733">
        <f>IF($U733="","",INDEX(상세표[직위],$U733)&amp;"")</f>
        <v/>
      </c>
      <c r="M733">
        <f>IF($U733="","",IF(ISNUMBER(INDEX(상세표[근무일자],$U733)),TEXT(INDEX(상세표[근무일자],$U733),"yyyy-mm-dd"),INDEX(상세표[근무일자],$U733)&amp;""))</f>
        <v/>
      </c>
      <c r="N733">
        <f>IF($U733="","",IF(ISNUMBER(INDEX(상세표[시작],$U733)),TEXT(INDEX(상세표[시작],$U733),"yyyy-mm-dd hh:mm"),INDEX(상세표[시작],$U733)&amp;""))</f>
        <v/>
      </c>
      <c r="O733">
        <f>IF($U733="","",IF(ISNUMBER(INDEX(상세표[종료],$U733)),TEXT(INDEX(상세표[종료],$U733),"yyyy-mm-dd hh:mm"),INDEX(상세표[종료],$U733)&amp;""))</f>
        <v/>
      </c>
      <c r="P733">
        <f>IF($U733="","",INDEX(상세표[06~07시],$U733))</f>
        <v/>
      </c>
      <c r="Q733">
        <f>IF($U733="","",INDEX(상세표[07~18시],$U733))</f>
        <v/>
      </c>
      <c r="R733">
        <f>IF($U733="","",INDEX(상세표[18~22시],$U733))</f>
        <v/>
      </c>
      <c r="S733">
        <f>IF($U733="","",INDEX(상세표[22~06시],$U733))</f>
        <v/>
      </c>
      <c r="T733">
        <f>IF($U733="","",INDEX(상세표[기록 시간외],$U733))</f>
        <v/>
      </c>
      <c r="U733" s="4">
        <f>IFERROR(MATCH(728,상세표[발송순번],0),"")</f>
        <v/>
      </c>
    </row>
    <row r="734">
      <c r="J734">
        <f>IF($U734="","",INDEX(상세표[사번],$U734)&amp;"")</f>
        <v/>
      </c>
      <c r="K734">
        <f>IF($U734="","",INDEX(상세표[성명],$U734)&amp;"")</f>
        <v/>
      </c>
      <c r="L734">
        <f>IF($U734="","",INDEX(상세표[직위],$U734)&amp;"")</f>
        <v/>
      </c>
      <c r="M734">
        <f>IF($U734="","",IF(ISNUMBER(INDEX(상세표[근무일자],$U734)),TEXT(INDEX(상세표[근무일자],$U734),"yyyy-mm-dd"),INDEX(상세표[근무일자],$U734)&amp;""))</f>
        <v/>
      </c>
      <c r="N734">
        <f>IF($U734="","",IF(ISNUMBER(INDEX(상세표[시작],$U734)),TEXT(INDEX(상세표[시작],$U734),"yyyy-mm-dd hh:mm"),INDEX(상세표[시작],$U734)&amp;""))</f>
        <v/>
      </c>
      <c r="O734">
        <f>IF($U734="","",IF(ISNUMBER(INDEX(상세표[종료],$U734)),TEXT(INDEX(상세표[종료],$U734),"yyyy-mm-dd hh:mm"),INDEX(상세표[종료],$U734)&amp;""))</f>
        <v/>
      </c>
      <c r="P734">
        <f>IF($U734="","",INDEX(상세표[06~07시],$U734))</f>
        <v/>
      </c>
      <c r="Q734">
        <f>IF($U734="","",INDEX(상세표[07~18시],$U734))</f>
        <v/>
      </c>
      <c r="R734">
        <f>IF($U734="","",INDEX(상세표[18~22시],$U734))</f>
        <v/>
      </c>
      <c r="S734">
        <f>IF($U734="","",INDEX(상세표[22~06시],$U734))</f>
        <v/>
      </c>
      <c r="T734">
        <f>IF($U734="","",INDEX(상세표[기록 시간외],$U734))</f>
        <v/>
      </c>
      <c r="U734" s="4">
        <f>IFERROR(MATCH(729,상세표[발송순번],0),"")</f>
        <v/>
      </c>
    </row>
    <row r="735">
      <c r="J735">
        <f>IF($U735="","",INDEX(상세표[사번],$U735)&amp;"")</f>
        <v/>
      </c>
      <c r="K735">
        <f>IF($U735="","",INDEX(상세표[성명],$U735)&amp;"")</f>
        <v/>
      </c>
      <c r="L735">
        <f>IF($U735="","",INDEX(상세표[직위],$U735)&amp;"")</f>
        <v/>
      </c>
      <c r="M735">
        <f>IF($U735="","",IF(ISNUMBER(INDEX(상세표[근무일자],$U735)),TEXT(INDEX(상세표[근무일자],$U735),"yyyy-mm-dd"),INDEX(상세표[근무일자],$U735)&amp;""))</f>
        <v/>
      </c>
      <c r="N735">
        <f>IF($U735="","",IF(ISNUMBER(INDEX(상세표[시작],$U735)),TEXT(INDEX(상세표[시작],$U735),"yyyy-mm-dd hh:mm"),INDEX(상세표[시작],$U735)&amp;""))</f>
        <v/>
      </c>
      <c r="O735">
        <f>IF($U735="","",IF(ISNUMBER(INDEX(상세표[종료],$U735)),TEXT(INDEX(상세표[종료],$U735),"yyyy-mm-dd hh:mm"),INDEX(상세표[종료],$U735)&amp;""))</f>
        <v/>
      </c>
      <c r="P735">
        <f>IF($U735="","",INDEX(상세표[06~07시],$U735))</f>
        <v/>
      </c>
      <c r="Q735">
        <f>IF($U735="","",INDEX(상세표[07~18시],$U735))</f>
        <v/>
      </c>
      <c r="R735">
        <f>IF($U735="","",INDEX(상세표[18~22시],$U735))</f>
        <v/>
      </c>
      <c r="S735">
        <f>IF($U735="","",INDEX(상세표[22~06시],$U735))</f>
        <v/>
      </c>
      <c r="T735">
        <f>IF($U735="","",INDEX(상세표[기록 시간외],$U735))</f>
        <v/>
      </c>
      <c r="U735" s="4">
        <f>IFERROR(MATCH(730,상세표[발송순번],0),"")</f>
        <v/>
      </c>
    </row>
    <row r="736">
      <c r="J736">
        <f>IF($U736="","",INDEX(상세표[사번],$U736)&amp;"")</f>
        <v/>
      </c>
      <c r="K736">
        <f>IF($U736="","",INDEX(상세표[성명],$U736)&amp;"")</f>
        <v/>
      </c>
      <c r="L736">
        <f>IF($U736="","",INDEX(상세표[직위],$U736)&amp;"")</f>
        <v/>
      </c>
      <c r="M736">
        <f>IF($U736="","",IF(ISNUMBER(INDEX(상세표[근무일자],$U736)),TEXT(INDEX(상세표[근무일자],$U736),"yyyy-mm-dd"),INDEX(상세표[근무일자],$U736)&amp;""))</f>
        <v/>
      </c>
      <c r="N736">
        <f>IF($U736="","",IF(ISNUMBER(INDEX(상세표[시작],$U736)),TEXT(INDEX(상세표[시작],$U736),"yyyy-mm-dd hh:mm"),INDEX(상세표[시작],$U736)&amp;""))</f>
        <v/>
      </c>
      <c r="O736">
        <f>IF($U736="","",IF(ISNUMBER(INDEX(상세표[종료],$U736)),TEXT(INDEX(상세표[종료],$U736),"yyyy-mm-dd hh:mm"),INDEX(상세표[종료],$U736)&amp;""))</f>
        <v/>
      </c>
      <c r="P736">
        <f>IF($U736="","",INDEX(상세표[06~07시],$U736))</f>
        <v/>
      </c>
      <c r="Q736">
        <f>IF($U736="","",INDEX(상세표[07~18시],$U736))</f>
        <v/>
      </c>
      <c r="R736">
        <f>IF($U736="","",INDEX(상세표[18~22시],$U736))</f>
        <v/>
      </c>
      <c r="S736">
        <f>IF($U736="","",INDEX(상세표[22~06시],$U736))</f>
        <v/>
      </c>
      <c r="T736">
        <f>IF($U736="","",INDEX(상세표[기록 시간외],$U736))</f>
        <v/>
      </c>
      <c r="U736" s="4">
        <f>IFERROR(MATCH(731,상세표[발송순번],0),"")</f>
        <v/>
      </c>
    </row>
    <row r="737">
      <c r="J737">
        <f>IF($U737="","",INDEX(상세표[사번],$U737)&amp;"")</f>
        <v/>
      </c>
      <c r="K737">
        <f>IF($U737="","",INDEX(상세표[성명],$U737)&amp;"")</f>
        <v/>
      </c>
      <c r="L737">
        <f>IF($U737="","",INDEX(상세표[직위],$U737)&amp;"")</f>
        <v/>
      </c>
      <c r="M737">
        <f>IF($U737="","",IF(ISNUMBER(INDEX(상세표[근무일자],$U737)),TEXT(INDEX(상세표[근무일자],$U737),"yyyy-mm-dd"),INDEX(상세표[근무일자],$U737)&amp;""))</f>
        <v/>
      </c>
      <c r="N737">
        <f>IF($U737="","",IF(ISNUMBER(INDEX(상세표[시작],$U737)),TEXT(INDEX(상세표[시작],$U737),"yyyy-mm-dd hh:mm"),INDEX(상세표[시작],$U737)&amp;""))</f>
        <v/>
      </c>
      <c r="O737">
        <f>IF($U737="","",IF(ISNUMBER(INDEX(상세표[종료],$U737)),TEXT(INDEX(상세표[종료],$U737),"yyyy-mm-dd hh:mm"),INDEX(상세표[종료],$U737)&amp;""))</f>
        <v/>
      </c>
      <c r="P737">
        <f>IF($U737="","",INDEX(상세표[06~07시],$U737))</f>
        <v/>
      </c>
      <c r="Q737">
        <f>IF($U737="","",INDEX(상세표[07~18시],$U737))</f>
        <v/>
      </c>
      <c r="R737">
        <f>IF($U737="","",INDEX(상세표[18~22시],$U737))</f>
        <v/>
      </c>
      <c r="S737">
        <f>IF($U737="","",INDEX(상세표[22~06시],$U737))</f>
        <v/>
      </c>
      <c r="T737">
        <f>IF($U737="","",INDEX(상세표[기록 시간외],$U737))</f>
        <v/>
      </c>
      <c r="U737" s="4">
        <f>IFERROR(MATCH(732,상세표[발송순번],0),"")</f>
        <v/>
      </c>
    </row>
    <row r="738">
      <c r="J738">
        <f>IF($U738="","",INDEX(상세표[사번],$U738)&amp;"")</f>
        <v/>
      </c>
      <c r="K738">
        <f>IF($U738="","",INDEX(상세표[성명],$U738)&amp;"")</f>
        <v/>
      </c>
      <c r="L738">
        <f>IF($U738="","",INDEX(상세표[직위],$U738)&amp;"")</f>
        <v/>
      </c>
      <c r="M738">
        <f>IF($U738="","",IF(ISNUMBER(INDEX(상세표[근무일자],$U738)),TEXT(INDEX(상세표[근무일자],$U738),"yyyy-mm-dd"),INDEX(상세표[근무일자],$U738)&amp;""))</f>
        <v/>
      </c>
      <c r="N738">
        <f>IF($U738="","",IF(ISNUMBER(INDEX(상세표[시작],$U738)),TEXT(INDEX(상세표[시작],$U738),"yyyy-mm-dd hh:mm"),INDEX(상세표[시작],$U738)&amp;""))</f>
        <v/>
      </c>
      <c r="O738">
        <f>IF($U738="","",IF(ISNUMBER(INDEX(상세표[종료],$U738)),TEXT(INDEX(상세표[종료],$U738),"yyyy-mm-dd hh:mm"),INDEX(상세표[종료],$U738)&amp;""))</f>
        <v/>
      </c>
      <c r="P738">
        <f>IF($U738="","",INDEX(상세표[06~07시],$U738))</f>
        <v/>
      </c>
      <c r="Q738">
        <f>IF($U738="","",INDEX(상세표[07~18시],$U738))</f>
        <v/>
      </c>
      <c r="R738">
        <f>IF($U738="","",INDEX(상세표[18~22시],$U738))</f>
        <v/>
      </c>
      <c r="S738">
        <f>IF($U738="","",INDEX(상세표[22~06시],$U738))</f>
        <v/>
      </c>
      <c r="T738">
        <f>IF($U738="","",INDEX(상세표[기록 시간외],$U738))</f>
        <v/>
      </c>
      <c r="U738" s="4">
        <f>IFERROR(MATCH(733,상세표[발송순번],0),"")</f>
        <v/>
      </c>
    </row>
    <row r="739">
      <c r="J739">
        <f>IF($U739="","",INDEX(상세표[사번],$U739)&amp;"")</f>
        <v/>
      </c>
      <c r="K739">
        <f>IF($U739="","",INDEX(상세표[성명],$U739)&amp;"")</f>
        <v/>
      </c>
      <c r="L739">
        <f>IF($U739="","",INDEX(상세표[직위],$U739)&amp;"")</f>
        <v/>
      </c>
      <c r="M739">
        <f>IF($U739="","",IF(ISNUMBER(INDEX(상세표[근무일자],$U739)),TEXT(INDEX(상세표[근무일자],$U739),"yyyy-mm-dd"),INDEX(상세표[근무일자],$U739)&amp;""))</f>
        <v/>
      </c>
      <c r="N739">
        <f>IF($U739="","",IF(ISNUMBER(INDEX(상세표[시작],$U739)),TEXT(INDEX(상세표[시작],$U739),"yyyy-mm-dd hh:mm"),INDEX(상세표[시작],$U739)&amp;""))</f>
        <v/>
      </c>
      <c r="O739">
        <f>IF($U739="","",IF(ISNUMBER(INDEX(상세표[종료],$U739)),TEXT(INDEX(상세표[종료],$U739),"yyyy-mm-dd hh:mm"),INDEX(상세표[종료],$U739)&amp;""))</f>
        <v/>
      </c>
      <c r="P739">
        <f>IF($U739="","",INDEX(상세표[06~07시],$U739))</f>
        <v/>
      </c>
      <c r="Q739">
        <f>IF($U739="","",INDEX(상세표[07~18시],$U739))</f>
        <v/>
      </c>
      <c r="R739">
        <f>IF($U739="","",INDEX(상세표[18~22시],$U739))</f>
        <v/>
      </c>
      <c r="S739">
        <f>IF($U739="","",INDEX(상세표[22~06시],$U739))</f>
        <v/>
      </c>
      <c r="T739">
        <f>IF($U739="","",INDEX(상세표[기록 시간외],$U739))</f>
        <v/>
      </c>
      <c r="U739" s="4">
        <f>IFERROR(MATCH(734,상세표[발송순번],0),"")</f>
        <v/>
      </c>
    </row>
    <row r="740">
      <c r="J740">
        <f>IF($U740="","",INDEX(상세표[사번],$U740)&amp;"")</f>
        <v/>
      </c>
      <c r="K740">
        <f>IF($U740="","",INDEX(상세표[성명],$U740)&amp;"")</f>
        <v/>
      </c>
      <c r="L740">
        <f>IF($U740="","",INDEX(상세표[직위],$U740)&amp;"")</f>
        <v/>
      </c>
      <c r="M740">
        <f>IF($U740="","",IF(ISNUMBER(INDEX(상세표[근무일자],$U740)),TEXT(INDEX(상세표[근무일자],$U740),"yyyy-mm-dd"),INDEX(상세표[근무일자],$U740)&amp;""))</f>
        <v/>
      </c>
      <c r="N740">
        <f>IF($U740="","",IF(ISNUMBER(INDEX(상세표[시작],$U740)),TEXT(INDEX(상세표[시작],$U740),"yyyy-mm-dd hh:mm"),INDEX(상세표[시작],$U740)&amp;""))</f>
        <v/>
      </c>
      <c r="O740">
        <f>IF($U740="","",IF(ISNUMBER(INDEX(상세표[종료],$U740)),TEXT(INDEX(상세표[종료],$U740),"yyyy-mm-dd hh:mm"),INDEX(상세표[종료],$U740)&amp;""))</f>
        <v/>
      </c>
      <c r="P740">
        <f>IF($U740="","",INDEX(상세표[06~07시],$U740))</f>
        <v/>
      </c>
      <c r="Q740">
        <f>IF($U740="","",INDEX(상세표[07~18시],$U740))</f>
        <v/>
      </c>
      <c r="R740">
        <f>IF($U740="","",INDEX(상세표[18~22시],$U740))</f>
        <v/>
      </c>
      <c r="S740">
        <f>IF($U740="","",INDEX(상세표[22~06시],$U740))</f>
        <v/>
      </c>
      <c r="T740">
        <f>IF($U740="","",INDEX(상세표[기록 시간외],$U740))</f>
        <v/>
      </c>
      <c r="U740" s="4">
        <f>IFERROR(MATCH(735,상세표[발송순번],0),"")</f>
        <v/>
      </c>
    </row>
    <row r="741">
      <c r="J741">
        <f>IF($U741="","",INDEX(상세표[사번],$U741)&amp;"")</f>
        <v/>
      </c>
      <c r="K741">
        <f>IF($U741="","",INDEX(상세표[성명],$U741)&amp;"")</f>
        <v/>
      </c>
      <c r="L741">
        <f>IF($U741="","",INDEX(상세표[직위],$U741)&amp;"")</f>
        <v/>
      </c>
      <c r="M741">
        <f>IF($U741="","",IF(ISNUMBER(INDEX(상세표[근무일자],$U741)),TEXT(INDEX(상세표[근무일자],$U741),"yyyy-mm-dd"),INDEX(상세표[근무일자],$U741)&amp;""))</f>
        <v/>
      </c>
      <c r="N741">
        <f>IF($U741="","",IF(ISNUMBER(INDEX(상세표[시작],$U741)),TEXT(INDEX(상세표[시작],$U741),"yyyy-mm-dd hh:mm"),INDEX(상세표[시작],$U741)&amp;""))</f>
        <v/>
      </c>
      <c r="O741">
        <f>IF($U741="","",IF(ISNUMBER(INDEX(상세표[종료],$U741)),TEXT(INDEX(상세표[종료],$U741),"yyyy-mm-dd hh:mm"),INDEX(상세표[종료],$U741)&amp;""))</f>
        <v/>
      </c>
      <c r="P741">
        <f>IF($U741="","",INDEX(상세표[06~07시],$U741))</f>
        <v/>
      </c>
      <c r="Q741">
        <f>IF($U741="","",INDEX(상세표[07~18시],$U741))</f>
        <v/>
      </c>
      <c r="R741">
        <f>IF($U741="","",INDEX(상세표[18~22시],$U741))</f>
        <v/>
      </c>
      <c r="S741">
        <f>IF($U741="","",INDEX(상세표[22~06시],$U741))</f>
        <v/>
      </c>
      <c r="T741">
        <f>IF($U741="","",INDEX(상세표[기록 시간외],$U741))</f>
        <v/>
      </c>
      <c r="U741" s="4">
        <f>IFERROR(MATCH(736,상세표[발송순번],0),"")</f>
        <v/>
      </c>
    </row>
    <row r="742">
      <c r="J742">
        <f>IF($U742="","",INDEX(상세표[사번],$U742)&amp;"")</f>
        <v/>
      </c>
      <c r="K742">
        <f>IF($U742="","",INDEX(상세표[성명],$U742)&amp;"")</f>
        <v/>
      </c>
      <c r="L742">
        <f>IF($U742="","",INDEX(상세표[직위],$U742)&amp;"")</f>
        <v/>
      </c>
      <c r="M742">
        <f>IF($U742="","",IF(ISNUMBER(INDEX(상세표[근무일자],$U742)),TEXT(INDEX(상세표[근무일자],$U742),"yyyy-mm-dd"),INDEX(상세표[근무일자],$U742)&amp;""))</f>
        <v/>
      </c>
      <c r="N742">
        <f>IF($U742="","",IF(ISNUMBER(INDEX(상세표[시작],$U742)),TEXT(INDEX(상세표[시작],$U742),"yyyy-mm-dd hh:mm"),INDEX(상세표[시작],$U742)&amp;""))</f>
        <v/>
      </c>
      <c r="O742">
        <f>IF($U742="","",IF(ISNUMBER(INDEX(상세표[종료],$U742)),TEXT(INDEX(상세표[종료],$U742),"yyyy-mm-dd hh:mm"),INDEX(상세표[종료],$U742)&amp;""))</f>
        <v/>
      </c>
      <c r="P742">
        <f>IF($U742="","",INDEX(상세표[06~07시],$U742))</f>
        <v/>
      </c>
      <c r="Q742">
        <f>IF($U742="","",INDEX(상세표[07~18시],$U742))</f>
        <v/>
      </c>
      <c r="R742">
        <f>IF($U742="","",INDEX(상세표[18~22시],$U742))</f>
        <v/>
      </c>
      <c r="S742">
        <f>IF($U742="","",INDEX(상세표[22~06시],$U742))</f>
        <v/>
      </c>
      <c r="T742">
        <f>IF($U742="","",INDEX(상세표[기록 시간외],$U742))</f>
        <v/>
      </c>
      <c r="U742" s="4">
        <f>IFERROR(MATCH(737,상세표[발송순번],0),"")</f>
        <v/>
      </c>
    </row>
    <row r="743">
      <c r="J743">
        <f>IF($U743="","",INDEX(상세표[사번],$U743)&amp;"")</f>
        <v/>
      </c>
      <c r="K743">
        <f>IF($U743="","",INDEX(상세표[성명],$U743)&amp;"")</f>
        <v/>
      </c>
      <c r="L743">
        <f>IF($U743="","",INDEX(상세표[직위],$U743)&amp;"")</f>
        <v/>
      </c>
      <c r="M743">
        <f>IF($U743="","",IF(ISNUMBER(INDEX(상세표[근무일자],$U743)),TEXT(INDEX(상세표[근무일자],$U743),"yyyy-mm-dd"),INDEX(상세표[근무일자],$U743)&amp;""))</f>
        <v/>
      </c>
      <c r="N743">
        <f>IF($U743="","",IF(ISNUMBER(INDEX(상세표[시작],$U743)),TEXT(INDEX(상세표[시작],$U743),"yyyy-mm-dd hh:mm"),INDEX(상세표[시작],$U743)&amp;""))</f>
        <v/>
      </c>
      <c r="O743">
        <f>IF($U743="","",IF(ISNUMBER(INDEX(상세표[종료],$U743)),TEXT(INDEX(상세표[종료],$U743),"yyyy-mm-dd hh:mm"),INDEX(상세표[종료],$U743)&amp;""))</f>
        <v/>
      </c>
      <c r="P743">
        <f>IF($U743="","",INDEX(상세표[06~07시],$U743))</f>
        <v/>
      </c>
      <c r="Q743">
        <f>IF($U743="","",INDEX(상세표[07~18시],$U743))</f>
        <v/>
      </c>
      <c r="R743">
        <f>IF($U743="","",INDEX(상세표[18~22시],$U743))</f>
        <v/>
      </c>
      <c r="S743">
        <f>IF($U743="","",INDEX(상세표[22~06시],$U743))</f>
        <v/>
      </c>
      <c r="T743">
        <f>IF($U743="","",INDEX(상세표[기록 시간외],$U743))</f>
        <v/>
      </c>
      <c r="U743" s="4">
        <f>IFERROR(MATCH(738,상세표[발송순번],0),"")</f>
        <v/>
      </c>
    </row>
    <row r="744">
      <c r="J744">
        <f>IF($U744="","",INDEX(상세표[사번],$U744)&amp;"")</f>
        <v/>
      </c>
      <c r="K744">
        <f>IF($U744="","",INDEX(상세표[성명],$U744)&amp;"")</f>
        <v/>
      </c>
      <c r="L744">
        <f>IF($U744="","",INDEX(상세표[직위],$U744)&amp;"")</f>
        <v/>
      </c>
      <c r="M744">
        <f>IF($U744="","",IF(ISNUMBER(INDEX(상세표[근무일자],$U744)),TEXT(INDEX(상세표[근무일자],$U744),"yyyy-mm-dd"),INDEX(상세표[근무일자],$U744)&amp;""))</f>
        <v/>
      </c>
      <c r="N744">
        <f>IF($U744="","",IF(ISNUMBER(INDEX(상세표[시작],$U744)),TEXT(INDEX(상세표[시작],$U744),"yyyy-mm-dd hh:mm"),INDEX(상세표[시작],$U744)&amp;""))</f>
        <v/>
      </c>
      <c r="O744">
        <f>IF($U744="","",IF(ISNUMBER(INDEX(상세표[종료],$U744)),TEXT(INDEX(상세표[종료],$U744),"yyyy-mm-dd hh:mm"),INDEX(상세표[종료],$U744)&amp;""))</f>
        <v/>
      </c>
      <c r="P744">
        <f>IF($U744="","",INDEX(상세표[06~07시],$U744))</f>
        <v/>
      </c>
      <c r="Q744">
        <f>IF($U744="","",INDEX(상세표[07~18시],$U744))</f>
        <v/>
      </c>
      <c r="R744">
        <f>IF($U744="","",INDEX(상세표[18~22시],$U744))</f>
        <v/>
      </c>
      <c r="S744">
        <f>IF($U744="","",INDEX(상세표[22~06시],$U744))</f>
        <v/>
      </c>
      <c r="T744">
        <f>IF($U744="","",INDEX(상세표[기록 시간외],$U744))</f>
        <v/>
      </c>
      <c r="U744" s="4">
        <f>IFERROR(MATCH(739,상세표[발송순번],0),"")</f>
        <v/>
      </c>
    </row>
    <row r="745">
      <c r="J745">
        <f>IF($U745="","",INDEX(상세표[사번],$U745)&amp;"")</f>
        <v/>
      </c>
      <c r="K745">
        <f>IF($U745="","",INDEX(상세표[성명],$U745)&amp;"")</f>
        <v/>
      </c>
      <c r="L745">
        <f>IF($U745="","",INDEX(상세표[직위],$U745)&amp;"")</f>
        <v/>
      </c>
      <c r="M745">
        <f>IF($U745="","",IF(ISNUMBER(INDEX(상세표[근무일자],$U745)),TEXT(INDEX(상세표[근무일자],$U745),"yyyy-mm-dd"),INDEX(상세표[근무일자],$U745)&amp;""))</f>
        <v/>
      </c>
      <c r="N745">
        <f>IF($U745="","",IF(ISNUMBER(INDEX(상세표[시작],$U745)),TEXT(INDEX(상세표[시작],$U745),"yyyy-mm-dd hh:mm"),INDEX(상세표[시작],$U745)&amp;""))</f>
        <v/>
      </c>
      <c r="O745">
        <f>IF($U745="","",IF(ISNUMBER(INDEX(상세표[종료],$U745)),TEXT(INDEX(상세표[종료],$U745),"yyyy-mm-dd hh:mm"),INDEX(상세표[종료],$U745)&amp;""))</f>
        <v/>
      </c>
      <c r="P745">
        <f>IF($U745="","",INDEX(상세표[06~07시],$U745))</f>
        <v/>
      </c>
      <c r="Q745">
        <f>IF($U745="","",INDEX(상세표[07~18시],$U745))</f>
        <v/>
      </c>
      <c r="R745">
        <f>IF($U745="","",INDEX(상세표[18~22시],$U745))</f>
        <v/>
      </c>
      <c r="S745">
        <f>IF($U745="","",INDEX(상세표[22~06시],$U745))</f>
        <v/>
      </c>
      <c r="T745">
        <f>IF($U745="","",INDEX(상세표[기록 시간외],$U745))</f>
        <v/>
      </c>
      <c r="U745" s="4">
        <f>IFERROR(MATCH(740,상세표[발송순번],0),"")</f>
        <v/>
      </c>
    </row>
    <row r="746">
      <c r="J746">
        <f>IF($U746="","",INDEX(상세표[사번],$U746)&amp;"")</f>
        <v/>
      </c>
      <c r="K746">
        <f>IF($U746="","",INDEX(상세표[성명],$U746)&amp;"")</f>
        <v/>
      </c>
      <c r="L746">
        <f>IF($U746="","",INDEX(상세표[직위],$U746)&amp;"")</f>
        <v/>
      </c>
      <c r="M746">
        <f>IF($U746="","",IF(ISNUMBER(INDEX(상세표[근무일자],$U746)),TEXT(INDEX(상세표[근무일자],$U746),"yyyy-mm-dd"),INDEX(상세표[근무일자],$U746)&amp;""))</f>
        <v/>
      </c>
      <c r="N746">
        <f>IF($U746="","",IF(ISNUMBER(INDEX(상세표[시작],$U746)),TEXT(INDEX(상세표[시작],$U746),"yyyy-mm-dd hh:mm"),INDEX(상세표[시작],$U746)&amp;""))</f>
        <v/>
      </c>
      <c r="O746">
        <f>IF($U746="","",IF(ISNUMBER(INDEX(상세표[종료],$U746)),TEXT(INDEX(상세표[종료],$U746),"yyyy-mm-dd hh:mm"),INDEX(상세표[종료],$U746)&amp;""))</f>
        <v/>
      </c>
      <c r="P746">
        <f>IF($U746="","",INDEX(상세표[06~07시],$U746))</f>
        <v/>
      </c>
      <c r="Q746">
        <f>IF($U746="","",INDEX(상세표[07~18시],$U746))</f>
        <v/>
      </c>
      <c r="R746">
        <f>IF($U746="","",INDEX(상세표[18~22시],$U746))</f>
        <v/>
      </c>
      <c r="S746">
        <f>IF($U746="","",INDEX(상세표[22~06시],$U746))</f>
        <v/>
      </c>
      <c r="T746">
        <f>IF($U746="","",INDEX(상세표[기록 시간외],$U746))</f>
        <v/>
      </c>
      <c r="U746" s="4">
        <f>IFERROR(MATCH(741,상세표[발송순번],0),"")</f>
        <v/>
      </c>
    </row>
    <row r="747">
      <c r="J747">
        <f>IF($U747="","",INDEX(상세표[사번],$U747)&amp;"")</f>
        <v/>
      </c>
      <c r="K747">
        <f>IF($U747="","",INDEX(상세표[성명],$U747)&amp;"")</f>
        <v/>
      </c>
      <c r="L747">
        <f>IF($U747="","",INDEX(상세표[직위],$U747)&amp;"")</f>
        <v/>
      </c>
      <c r="M747">
        <f>IF($U747="","",IF(ISNUMBER(INDEX(상세표[근무일자],$U747)),TEXT(INDEX(상세표[근무일자],$U747),"yyyy-mm-dd"),INDEX(상세표[근무일자],$U747)&amp;""))</f>
        <v/>
      </c>
      <c r="N747">
        <f>IF($U747="","",IF(ISNUMBER(INDEX(상세표[시작],$U747)),TEXT(INDEX(상세표[시작],$U747),"yyyy-mm-dd hh:mm"),INDEX(상세표[시작],$U747)&amp;""))</f>
        <v/>
      </c>
      <c r="O747">
        <f>IF($U747="","",IF(ISNUMBER(INDEX(상세표[종료],$U747)),TEXT(INDEX(상세표[종료],$U747),"yyyy-mm-dd hh:mm"),INDEX(상세표[종료],$U747)&amp;""))</f>
        <v/>
      </c>
      <c r="P747">
        <f>IF($U747="","",INDEX(상세표[06~07시],$U747))</f>
        <v/>
      </c>
      <c r="Q747">
        <f>IF($U747="","",INDEX(상세표[07~18시],$U747))</f>
        <v/>
      </c>
      <c r="R747">
        <f>IF($U747="","",INDEX(상세표[18~22시],$U747))</f>
        <v/>
      </c>
      <c r="S747">
        <f>IF($U747="","",INDEX(상세표[22~06시],$U747))</f>
        <v/>
      </c>
      <c r="T747">
        <f>IF($U747="","",INDEX(상세표[기록 시간외],$U747))</f>
        <v/>
      </c>
      <c r="U747" s="4">
        <f>IFERROR(MATCH(742,상세표[발송순번],0),"")</f>
        <v/>
      </c>
    </row>
    <row r="748">
      <c r="J748">
        <f>IF($U748="","",INDEX(상세표[사번],$U748)&amp;"")</f>
        <v/>
      </c>
      <c r="K748">
        <f>IF($U748="","",INDEX(상세표[성명],$U748)&amp;"")</f>
        <v/>
      </c>
      <c r="L748">
        <f>IF($U748="","",INDEX(상세표[직위],$U748)&amp;"")</f>
        <v/>
      </c>
      <c r="M748">
        <f>IF($U748="","",IF(ISNUMBER(INDEX(상세표[근무일자],$U748)),TEXT(INDEX(상세표[근무일자],$U748),"yyyy-mm-dd"),INDEX(상세표[근무일자],$U748)&amp;""))</f>
        <v/>
      </c>
      <c r="N748">
        <f>IF($U748="","",IF(ISNUMBER(INDEX(상세표[시작],$U748)),TEXT(INDEX(상세표[시작],$U748),"yyyy-mm-dd hh:mm"),INDEX(상세표[시작],$U748)&amp;""))</f>
        <v/>
      </c>
      <c r="O748">
        <f>IF($U748="","",IF(ISNUMBER(INDEX(상세표[종료],$U748)),TEXT(INDEX(상세표[종료],$U748),"yyyy-mm-dd hh:mm"),INDEX(상세표[종료],$U748)&amp;""))</f>
        <v/>
      </c>
      <c r="P748">
        <f>IF($U748="","",INDEX(상세표[06~07시],$U748))</f>
        <v/>
      </c>
      <c r="Q748">
        <f>IF($U748="","",INDEX(상세표[07~18시],$U748))</f>
        <v/>
      </c>
      <c r="R748">
        <f>IF($U748="","",INDEX(상세표[18~22시],$U748))</f>
        <v/>
      </c>
      <c r="S748">
        <f>IF($U748="","",INDEX(상세표[22~06시],$U748))</f>
        <v/>
      </c>
      <c r="T748">
        <f>IF($U748="","",INDEX(상세표[기록 시간외],$U748))</f>
        <v/>
      </c>
      <c r="U748" s="4">
        <f>IFERROR(MATCH(743,상세표[발송순번],0),"")</f>
        <v/>
      </c>
    </row>
    <row r="749">
      <c r="J749">
        <f>IF($U749="","",INDEX(상세표[사번],$U749)&amp;"")</f>
        <v/>
      </c>
      <c r="K749">
        <f>IF($U749="","",INDEX(상세표[성명],$U749)&amp;"")</f>
        <v/>
      </c>
      <c r="L749">
        <f>IF($U749="","",INDEX(상세표[직위],$U749)&amp;"")</f>
        <v/>
      </c>
      <c r="M749">
        <f>IF($U749="","",IF(ISNUMBER(INDEX(상세표[근무일자],$U749)),TEXT(INDEX(상세표[근무일자],$U749),"yyyy-mm-dd"),INDEX(상세표[근무일자],$U749)&amp;""))</f>
        <v/>
      </c>
      <c r="N749">
        <f>IF($U749="","",IF(ISNUMBER(INDEX(상세표[시작],$U749)),TEXT(INDEX(상세표[시작],$U749),"yyyy-mm-dd hh:mm"),INDEX(상세표[시작],$U749)&amp;""))</f>
        <v/>
      </c>
      <c r="O749">
        <f>IF($U749="","",IF(ISNUMBER(INDEX(상세표[종료],$U749)),TEXT(INDEX(상세표[종료],$U749),"yyyy-mm-dd hh:mm"),INDEX(상세표[종료],$U749)&amp;""))</f>
        <v/>
      </c>
      <c r="P749">
        <f>IF($U749="","",INDEX(상세표[06~07시],$U749))</f>
        <v/>
      </c>
      <c r="Q749">
        <f>IF($U749="","",INDEX(상세표[07~18시],$U749))</f>
        <v/>
      </c>
      <c r="R749">
        <f>IF($U749="","",INDEX(상세표[18~22시],$U749))</f>
        <v/>
      </c>
      <c r="S749">
        <f>IF($U749="","",INDEX(상세표[22~06시],$U749))</f>
        <v/>
      </c>
      <c r="T749">
        <f>IF($U749="","",INDEX(상세표[기록 시간외],$U749))</f>
        <v/>
      </c>
      <c r="U749" s="4">
        <f>IFERROR(MATCH(744,상세표[발송순번],0),"")</f>
        <v/>
      </c>
    </row>
    <row r="750">
      <c r="J750">
        <f>IF($U750="","",INDEX(상세표[사번],$U750)&amp;"")</f>
        <v/>
      </c>
      <c r="K750">
        <f>IF($U750="","",INDEX(상세표[성명],$U750)&amp;"")</f>
        <v/>
      </c>
      <c r="L750">
        <f>IF($U750="","",INDEX(상세표[직위],$U750)&amp;"")</f>
        <v/>
      </c>
      <c r="M750">
        <f>IF($U750="","",IF(ISNUMBER(INDEX(상세표[근무일자],$U750)),TEXT(INDEX(상세표[근무일자],$U750),"yyyy-mm-dd"),INDEX(상세표[근무일자],$U750)&amp;""))</f>
        <v/>
      </c>
      <c r="N750">
        <f>IF($U750="","",IF(ISNUMBER(INDEX(상세표[시작],$U750)),TEXT(INDEX(상세표[시작],$U750),"yyyy-mm-dd hh:mm"),INDEX(상세표[시작],$U750)&amp;""))</f>
        <v/>
      </c>
      <c r="O750">
        <f>IF($U750="","",IF(ISNUMBER(INDEX(상세표[종료],$U750)),TEXT(INDEX(상세표[종료],$U750),"yyyy-mm-dd hh:mm"),INDEX(상세표[종료],$U750)&amp;""))</f>
        <v/>
      </c>
      <c r="P750">
        <f>IF($U750="","",INDEX(상세표[06~07시],$U750))</f>
        <v/>
      </c>
      <c r="Q750">
        <f>IF($U750="","",INDEX(상세표[07~18시],$U750))</f>
        <v/>
      </c>
      <c r="R750">
        <f>IF($U750="","",INDEX(상세표[18~22시],$U750))</f>
        <v/>
      </c>
      <c r="S750">
        <f>IF($U750="","",INDEX(상세표[22~06시],$U750))</f>
        <v/>
      </c>
      <c r="T750">
        <f>IF($U750="","",INDEX(상세표[기록 시간외],$U750))</f>
        <v/>
      </c>
      <c r="U750" s="4">
        <f>IFERROR(MATCH(745,상세표[발송순번],0),"")</f>
        <v/>
      </c>
    </row>
    <row r="751">
      <c r="J751">
        <f>IF($U751="","",INDEX(상세표[사번],$U751)&amp;"")</f>
        <v/>
      </c>
      <c r="K751">
        <f>IF($U751="","",INDEX(상세표[성명],$U751)&amp;"")</f>
        <v/>
      </c>
      <c r="L751">
        <f>IF($U751="","",INDEX(상세표[직위],$U751)&amp;"")</f>
        <v/>
      </c>
      <c r="M751">
        <f>IF($U751="","",IF(ISNUMBER(INDEX(상세표[근무일자],$U751)),TEXT(INDEX(상세표[근무일자],$U751),"yyyy-mm-dd"),INDEX(상세표[근무일자],$U751)&amp;""))</f>
        <v/>
      </c>
      <c r="N751">
        <f>IF($U751="","",IF(ISNUMBER(INDEX(상세표[시작],$U751)),TEXT(INDEX(상세표[시작],$U751),"yyyy-mm-dd hh:mm"),INDEX(상세표[시작],$U751)&amp;""))</f>
        <v/>
      </c>
      <c r="O751">
        <f>IF($U751="","",IF(ISNUMBER(INDEX(상세표[종료],$U751)),TEXT(INDEX(상세표[종료],$U751),"yyyy-mm-dd hh:mm"),INDEX(상세표[종료],$U751)&amp;""))</f>
        <v/>
      </c>
      <c r="P751">
        <f>IF($U751="","",INDEX(상세표[06~07시],$U751))</f>
        <v/>
      </c>
      <c r="Q751">
        <f>IF($U751="","",INDEX(상세표[07~18시],$U751))</f>
        <v/>
      </c>
      <c r="R751">
        <f>IF($U751="","",INDEX(상세표[18~22시],$U751))</f>
        <v/>
      </c>
      <c r="S751">
        <f>IF($U751="","",INDEX(상세표[22~06시],$U751))</f>
        <v/>
      </c>
      <c r="T751">
        <f>IF($U751="","",INDEX(상세표[기록 시간외],$U751))</f>
        <v/>
      </c>
      <c r="U751" s="4">
        <f>IFERROR(MATCH(746,상세표[발송순번],0),"")</f>
        <v/>
      </c>
    </row>
    <row r="752">
      <c r="J752">
        <f>IF($U752="","",INDEX(상세표[사번],$U752)&amp;"")</f>
        <v/>
      </c>
      <c r="K752">
        <f>IF($U752="","",INDEX(상세표[성명],$U752)&amp;"")</f>
        <v/>
      </c>
      <c r="L752">
        <f>IF($U752="","",INDEX(상세표[직위],$U752)&amp;"")</f>
        <v/>
      </c>
      <c r="M752">
        <f>IF($U752="","",IF(ISNUMBER(INDEX(상세표[근무일자],$U752)),TEXT(INDEX(상세표[근무일자],$U752),"yyyy-mm-dd"),INDEX(상세표[근무일자],$U752)&amp;""))</f>
        <v/>
      </c>
      <c r="N752">
        <f>IF($U752="","",IF(ISNUMBER(INDEX(상세표[시작],$U752)),TEXT(INDEX(상세표[시작],$U752),"yyyy-mm-dd hh:mm"),INDEX(상세표[시작],$U752)&amp;""))</f>
        <v/>
      </c>
      <c r="O752">
        <f>IF($U752="","",IF(ISNUMBER(INDEX(상세표[종료],$U752)),TEXT(INDEX(상세표[종료],$U752),"yyyy-mm-dd hh:mm"),INDEX(상세표[종료],$U752)&amp;""))</f>
        <v/>
      </c>
      <c r="P752">
        <f>IF($U752="","",INDEX(상세표[06~07시],$U752))</f>
        <v/>
      </c>
      <c r="Q752">
        <f>IF($U752="","",INDEX(상세표[07~18시],$U752))</f>
        <v/>
      </c>
      <c r="R752">
        <f>IF($U752="","",INDEX(상세표[18~22시],$U752))</f>
        <v/>
      </c>
      <c r="S752">
        <f>IF($U752="","",INDEX(상세표[22~06시],$U752))</f>
        <v/>
      </c>
      <c r="T752">
        <f>IF($U752="","",INDEX(상세표[기록 시간외],$U752))</f>
        <v/>
      </c>
      <c r="U752" s="4">
        <f>IFERROR(MATCH(747,상세표[발송순번],0),"")</f>
        <v/>
      </c>
    </row>
    <row r="753">
      <c r="J753">
        <f>IF($U753="","",INDEX(상세표[사번],$U753)&amp;"")</f>
        <v/>
      </c>
      <c r="K753">
        <f>IF($U753="","",INDEX(상세표[성명],$U753)&amp;"")</f>
        <v/>
      </c>
      <c r="L753">
        <f>IF($U753="","",INDEX(상세표[직위],$U753)&amp;"")</f>
        <v/>
      </c>
      <c r="M753">
        <f>IF($U753="","",IF(ISNUMBER(INDEX(상세표[근무일자],$U753)),TEXT(INDEX(상세표[근무일자],$U753),"yyyy-mm-dd"),INDEX(상세표[근무일자],$U753)&amp;""))</f>
        <v/>
      </c>
      <c r="N753">
        <f>IF($U753="","",IF(ISNUMBER(INDEX(상세표[시작],$U753)),TEXT(INDEX(상세표[시작],$U753),"yyyy-mm-dd hh:mm"),INDEX(상세표[시작],$U753)&amp;""))</f>
        <v/>
      </c>
      <c r="O753">
        <f>IF($U753="","",IF(ISNUMBER(INDEX(상세표[종료],$U753)),TEXT(INDEX(상세표[종료],$U753),"yyyy-mm-dd hh:mm"),INDEX(상세표[종료],$U753)&amp;""))</f>
        <v/>
      </c>
      <c r="P753">
        <f>IF($U753="","",INDEX(상세표[06~07시],$U753))</f>
        <v/>
      </c>
      <c r="Q753">
        <f>IF($U753="","",INDEX(상세표[07~18시],$U753))</f>
        <v/>
      </c>
      <c r="R753">
        <f>IF($U753="","",INDEX(상세표[18~22시],$U753))</f>
        <v/>
      </c>
      <c r="S753">
        <f>IF($U753="","",INDEX(상세표[22~06시],$U753))</f>
        <v/>
      </c>
      <c r="T753">
        <f>IF($U753="","",INDEX(상세표[기록 시간외],$U753))</f>
        <v/>
      </c>
      <c r="U753" s="4">
        <f>IFERROR(MATCH(748,상세표[발송순번],0),"")</f>
        <v/>
      </c>
    </row>
    <row r="754">
      <c r="J754">
        <f>IF($U754="","",INDEX(상세표[사번],$U754)&amp;"")</f>
        <v/>
      </c>
      <c r="K754">
        <f>IF($U754="","",INDEX(상세표[성명],$U754)&amp;"")</f>
        <v/>
      </c>
      <c r="L754">
        <f>IF($U754="","",INDEX(상세표[직위],$U754)&amp;"")</f>
        <v/>
      </c>
      <c r="M754">
        <f>IF($U754="","",IF(ISNUMBER(INDEX(상세표[근무일자],$U754)),TEXT(INDEX(상세표[근무일자],$U754),"yyyy-mm-dd"),INDEX(상세표[근무일자],$U754)&amp;""))</f>
        <v/>
      </c>
      <c r="N754">
        <f>IF($U754="","",IF(ISNUMBER(INDEX(상세표[시작],$U754)),TEXT(INDEX(상세표[시작],$U754),"yyyy-mm-dd hh:mm"),INDEX(상세표[시작],$U754)&amp;""))</f>
        <v/>
      </c>
      <c r="O754">
        <f>IF($U754="","",IF(ISNUMBER(INDEX(상세표[종료],$U754)),TEXT(INDEX(상세표[종료],$U754),"yyyy-mm-dd hh:mm"),INDEX(상세표[종료],$U754)&amp;""))</f>
        <v/>
      </c>
      <c r="P754">
        <f>IF($U754="","",INDEX(상세표[06~07시],$U754))</f>
        <v/>
      </c>
      <c r="Q754">
        <f>IF($U754="","",INDEX(상세표[07~18시],$U754))</f>
        <v/>
      </c>
      <c r="R754">
        <f>IF($U754="","",INDEX(상세표[18~22시],$U754))</f>
        <v/>
      </c>
      <c r="S754">
        <f>IF($U754="","",INDEX(상세표[22~06시],$U754))</f>
        <v/>
      </c>
      <c r="T754">
        <f>IF($U754="","",INDEX(상세표[기록 시간외],$U754))</f>
        <v/>
      </c>
      <c r="U754" s="4">
        <f>IFERROR(MATCH(749,상세표[발송순번],0),"")</f>
        <v/>
      </c>
    </row>
    <row r="755">
      <c r="J755">
        <f>IF($U755="","",INDEX(상세표[사번],$U755)&amp;"")</f>
        <v/>
      </c>
      <c r="K755">
        <f>IF($U755="","",INDEX(상세표[성명],$U755)&amp;"")</f>
        <v/>
      </c>
      <c r="L755">
        <f>IF($U755="","",INDEX(상세표[직위],$U755)&amp;"")</f>
        <v/>
      </c>
      <c r="M755">
        <f>IF($U755="","",IF(ISNUMBER(INDEX(상세표[근무일자],$U755)),TEXT(INDEX(상세표[근무일자],$U755),"yyyy-mm-dd"),INDEX(상세표[근무일자],$U755)&amp;""))</f>
        <v/>
      </c>
      <c r="N755">
        <f>IF($U755="","",IF(ISNUMBER(INDEX(상세표[시작],$U755)),TEXT(INDEX(상세표[시작],$U755),"yyyy-mm-dd hh:mm"),INDEX(상세표[시작],$U755)&amp;""))</f>
        <v/>
      </c>
      <c r="O755">
        <f>IF($U755="","",IF(ISNUMBER(INDEX(상세표[종료],$U755)),TEXT(INDEX(상세표[종료],$U755),"yyyy-mm-dd hh:mm"),INDEX(상세표[종료],$U755)&amp;""))</f>
        <v/>
      </c>
      <c r="P755">
        <f>IF($U755="","",INDEX(상세표[06~07시],$U755))</f>
        <v/>
      </c>
      <c r="Q755">
        <f>IF($U755="","",INDEX(상세표[07~18시],$U755))</f>
        <v/>
      </c>
      <c r="R755">
        <f>IF($U755="","",INDEX(상세표[18~22시],$U755))</f>
        <v/>
      </c>
      <c r="S755">
        <f>IF($U755="","",INDEX(상세표[22~06시],$U755))</f>
        <v/>
      </c>
      <c r="T755">
        <f>IF($U755="","",INDEX(상세표[기록 시간외],$U755))</f>
        <v/>
      </c>
      <c r="U755" s="4">
        <f>IFERROR(MATCH(750,상세표[발송순번],0),"")</f>
        <v/>
      </c>
    </row>
    <row r="756">
      <c r="J756">
        <f>IF($U756="","",INDEX(상세표[사번],$U756)&amp;"")</f>
        <v/>
      </c>
      <c r="K756">
        <f>IF($U756="","",INDEX(상세표[성명],$U756)&amp;"")</f>
        <v/>
      </c>
      <c r="L756">
        <f>IF($U756="","",INDEX(상세표[직위],$U756)&amp;"")</f>
        <v/>
      </c>
      <c r="M756">
        <f>IF($U756="","",IF(ISNUMBER(INDEX(상세표[근무일자],$U756)),TEXT(INDEX(상세표[근무일자],$U756),"yyyy-mm-dd"),INDEX(상세표[근무일자],$U756)&amp;""))</f>
        <v/>
      </c>
      <c r="N756">
        <f>IF($U756="","",IF(ISNUMBER(INDEX(상세표[시작],$U756)),TEXT(INDEX(상세표[시작],$U756),"yyyy-mm-dd hh:mm"),INDEX(상세표[시작],$U756)&amp;""))</f>
        <v/>
      </c>
      <c r="O756">
        <f>IF($U756="","",IF(ISNUMBER(INDEX(상세표[종료],$U756)),TEXT(INDEX(상세표[종료],$U756),"yyyy-mm-dd hh:mm"),INDEX(상세표[종료],$U756)&amp;""))</f>
        <v/>
      </c>
      <c r="P756">
        <f>IF($U756="","",INDEX(상세표[06~07시],$U756))</f>
        <v/>
      </c>
      <c r="Q756">
        <f>IF($U756="","",INDEX(상세표[07~18시],$U756))</f>
        <v/>
      </c>
      <c r="R756">
        <f>IF($U756="","",INDEX(상세표[18~22시],$U756))</f>
        <v/>
      </c>
      <c r="S756">
        <f>IF($U756="","",INDEX(상세표[22~06시],$U756))</f>
        <v/>
      </c>
      <c r="T756">
        <f>IF($U756="","",INDEX(상세표[기록 시간외],$U756))</f>
        <v/>
      </c>
      <c r="U756" s="4">
        <f>IFERROR(MATCH(751,상세표[발송순번],0),"")</f>
        <v/>
      </c>
    </row>
    <row r="757">
      <c r="J757">
        <f>IF($U757="","",INDEX(상세표[사번],$U757)&amp;"")</f>
        <v/>
      </c>
      <c r="K757">
        <f>IF($U757="","",INDEX(상세표[성명],$U757)&amp;"")</f>
        <v/>
      </c>
      <c r="L757">
        <f>IF($U757="","",INDEX(상세표[직위],$U757)&amp;"")</f>
        <v/>
      </c>
      <c r="M757">
        <f>IF($U757="","",IF(ISNUMBER(INDEX(상세표[근무일자],$U757)),TEXT(INDEX(상세표[근무일자],$U757),"yyyy-mm-dd"),INDEX(상세표[근무일자],$U757)&amp;""))</f>
        <v/>
      </c>
      <c r="N757">
        <f>IF($U757="","",IF(ISNUMBER(INDEX(상세표[시작],$U757)),TEXT(INDEX(상세표[시작],$U757),"yyyy-mm-dd hh:mm"),INDEX(상세표[시작],$U757)&amp;""))</f>
        <v/>
      </c>
      <c r="O757">
        <f>IF($U757="","",IF(ISNUMBER(INDEX(상세표[종료],$U757)),TEXT(INDEX(상세표[종료],$U757),"yyyy-mm-dd hh:mm"),INDEX(상세표[종료],$U757)&amp;""))</f>
        <v/>
      </c>
      <c r="P757">
        <f>IF($U757="","",INDEX(상세표[06~07시],$U757))</f>
        <v/>
      </c>
      <c r="Q757">
        <f>IF($U757="","",INDEX(상세표[07~18시],$U757))</f>
        <v/>
      </c>
      <c r="R757">
        <f>IF($U757="","",INDEX(상세표[18~22시],$U757))</f>
        <v/>
      </c>
      <c r="S757">
        <f>IF($U757="","",INDEX(상세표[22~06시],$U757))</f>
        <v/>
      </c>
      <c r="T757">
        <f>IF($U757="","",INDEX(상세표[기록 시간외],$U757))</f>
        <v/>
      </c>
      <c r="U757" s="4">
        <f>IFERROR(MATCH(752,상세표[발송순번],0),"")</f>
        <v/>
      </c>
    </row>
    <row r="758">
      <c r="J758">
        <f>IF($U758="","",INDEX(상세표[사번],$U758)&amp;"")</f>
        <v/>
      </c>
      <c r="K758">
        <f>IF($U758="","",INDEX(상세표[성명],$U758)&amp;"")</f>
        <v/>
      </c>
      <c r="L758">
        <f>IF($U758="","",INDEX(상세표[직위],$U758)&amp;"")</f>
        <v/>
      </c>
      <c r="M758">
        <f>IF($U758="","",IF(ISNUMBER(INDEX(상세표[근무일자],$U758)),TEXT(INDEX(상세표[근무일자],$U758),"yyyy-mm-dd"),INDEX(상세표[근무일자],$U758)&amp;""))</f>
        <v/>
      </c>
      <c r="N758">
        <f>IF($U758="","",IF(ISNUMBER(INDEX(상세표[시작],$U758)),TEXT(INDEX(상세표[시작],$U758),"yyyy-mm-dd hh:mm"),INDEX(상세표[시작],$U758)&amp;""))</f>
        <v/>
      </c>
      <c r="O758">
        <f>IF($U758="","",IF(ISNUMBER(INDEX(상세표[종료],$U758)),TEXT(INDEX(상세표[종료],$U758),"yyyy-mm-dd hh:mm"),INDEX(상세표[종료],$U758)&amp;""))</f>
        <v/>
      </c>
      <c r="P758">
        <f>IF($U758="","",INDEX(상세표[06~07시],$U758))</f>
        <v/>
      </c>
      <c r="Q758">
        <f>IF($U758="","",INDEX(상세표[07~18시],$U758))</f>
        <v/>
      </c>
      <c r="R758">
        <f>IF($U758="","",INDEX(상세표[18~22시],$U758))</f>
        <v/>
      </c>
      <c r="S758">
        <f>IF($U758="","",INDEX(상세표[22~06시],$U758))</f>
        <v/>
      </c>
      <c r="T758">
        <f>IF($U758="","",INDEX(상세표[기록 시간외],$U758))</f>
        <v/>
      </c>
      <c r="U758" s="4">
        <f>IFERROR(MATCH(753,상세표[발송순번],0),"")</f>
        <v/>
      </c>
    </row>
    <row r="759">
      <c r="J759">
        <f>IF($U759="","",INDEX(상세표[사번],$U759)&amp;"")</f>
        <v/>
      </c>
      <c r="K759">
        <f>IF($U759="","",INDEX(상세표[성명],$U759)&amp;"")</f>
        <v/>
      </c>
      <c r="L759">
        <f>IF($U759="","",INDEX(상세표[직위],$U759)&amp;"")</f>
        <v/>
      </c>
      <c r="M759">
        <f>IF($U759="","",IF(ISNUMBER(INDEX(상세표[근무일자],$U759)),TEXT(INDEX(상세표[근무일자],$U759),"yyyy-mm-dd"),INDEX(상세표[근무일자],$U759)&amp;""))</f>
        <v/>
      </c>
      <c r="N759">
        <f>IF($U759="","",IF(ISNUMBER(INDEX(상세표[시작],$U759)),TEXT(INDEX(상세표[시작],$U759),"yyyy-mm-dd hh:mm"),INDEX(상세표[시작],$U759)&amp;""))</f>
        <v/>
      </c>
      <c r="O759">
        <f>IF($U759="","",IF(ISNUMBER(INDEX(상세표[종료],$U759)),TEXT(INDEX(상세표[종료],$U759),"yyyy-mm-dd hh:mm"),INDEX(상세표[종료],$U759)&amp;""))</f>
        <v/>
      </c>
      <c r="P759">
        <f>IF($U759="","",INDEX(상세표[06~07시],$U759))</f>
        <v/>
      </c>
      <c r="Q759">
        <f>IF($U759="","",INDEX(상세표[07~18시],$U759))</f>
        <v/>
      </c>
      <c r="R759">
        <f>IF($U759="","",INDEX(상세표[18~22시],$U759))</f>
        <v/>
      </c>
      <c r="S759">
        <f>IF($U759="","",INDEX(상세표[22~06시],$U759))</f>
        <v/>
      </c>
      <c r="T759">
        <f>IF($U759="","",INDEX(상세표[기록 시간외],$U759))</f>
        <v/>
      </c>
      <c r="U759" s="4">
        <f>IFERROR(MATCH(754,상세표[발송순번],0),"")</f>
        <v/>
      </c>
    </row>
    <row r="760">
      <c r="J760">
        <f>IF($U760="","",INDEX(상세표[사번],$U760)&amp;"")</f>
        <v/>
      </c>
      <c r="K760">
        <f>IF($U760="","",INDEX(상세표[성명],$U760)&amp;"")</f>
        <v/>
      </c>
      <c r="L760">
        <f>IF($U760="","",INDEX(상세표[직위],$U760)&amp;"")</f>
        <v/>
      </c>
      <c r="M760">
        <f>IF($U760="","",IF(ISNUMBER(INDEX(상세표[근무일자],$U760)),TEXT(INDEX(상세표[근무일자],$U760),"yyyy-mm-dd"),INDEX(상세표[근무일자],$U760)&amp;""))</f>
        <v/>
      </c>
      <c r="N760">
        <f>IF($U760="","",IF(ISNUMBER(INDEX(상세표[시작],$U760)),TEXT(INDEX(상세표[시작],$U760),"yyyy-mm-dd hh:mm"),INDEX(상세표[시작],$U760)&amp;""))</f>
        <v/>
      </c>
      <c r="O760">
        <f>IF($U760="","",IF(ISNUMBER(INDEX(상세표[종료],$U760)),TEXT(INDEX(상세표[종료],$U760),"yyyy-mm-dd hh:mm"),INDEX(상세표[종료],$U760)&amp;""))</f>
        <v/>
      </c>
      <c r="P760">
        <f>IF($U760="","",INDEX(상세표[06~07시],$U760))</f>
        <v/>
      </c>
      <c r="Q760">
        <f>IF($U760="","",INDEX(상세표[07~18시],$U760))</f>
        <v/>
      </c>
      <c r="R760">
        <f>IF($U760="","",INDEX(상세표[18~22시],$U760))</f>
        <v/>
      </c>
      <c r="S760">
        <f>IF($U760="","",INDEX(상세표[22~06시],$U760))</f>
        <v/>
      </c>
      <c r="T760">
        <f>IF($U760="","",INDEX(상세표[기록 시간외],$U760))</f>
        <v/>
      </c>
      <c r="U760" s="4">
        <f>IFERROR(MATCH(755,상세표[발송순번],0),"")</f>
        <v/>
      </c>
    </row>
    <row r="761">
      <c r="J761">
        <f>IF($U761="","",INDEX(상세표[사번],$U761)&amp;"")</f>
        <v/>
      </c>
      <c r="K761">
        <f>IF($U761="","",INDEX(상세표[성명],$U761)&amp;"")</f>
        <v/>
      </c>
      <c r="L761">
        <f>IF($U761="","",INDEX(상세표[직위],$U761)&amp;"")</f>
        <v/>
      </c>
      <c r="M761">
        <f>IF($U761="","",IF(ISNUMBER(INDEX(상세표[근무일자],$U761)),TEXT(INDEX(상세표[근무일자],$U761),"yyyy-mm-dd"),INDEX(상세표[근무일자],$U761)&amp;""))</f>
        <v/>
      </c>
      <c r="N761">
        <f>IF($U761="","",IF(ISNUMBER(INDEX(상세표[시작],$U761)),TEXT(INDEX(상세표[시작],$U761),"yyyy-mm-dd hh:mm"),INDEX(상세표[시작],$U761)&amp;""))</f>
        <v/>
      </c>
      <c r="O761">
        <f>IF($U761="","",IF(ISNUMBER(INDEX(상세표[종료],$U761)),TEXT(INDEX(상세표[종료],$U761),"yyyy-mm-dd hh:mm"),INDEX(상세표[종료],$U761)&amp;""))</f>
        <v/>
      </c>
      <c r="P761">
        <f>IF($U761="","",INDEX(상세표[06~07시],$U761))</f>
        <v/>
      </c>
      <c r="Q761">
        <f>IF($U761="","",INDEX(상세표[07~18시],$U761))</f>
        <v/>
      </c>
      <c r="R761">
        <f>IF($U761="","",INDEX(상세표[18~22시],$U761))</f>
        <v/>
      </c>
      <c r="S761">
        <f>IF($U761="","",INDEX(상세표[22~06시],$U761))</f>
        <v/>
      </c>
      <c r="T761">
        <f>IF($U761="","",INDEX(상세표[기록 시간외],$U761))</f>
        <v/>
      </c>
      <c r="U761" s="4">
        <f>IFERROR(MATCH(756,상세표[발송순번],0),"")</f>
        <v/>
      </c>
    </row>
    <row r="762">
      <c r="J762">
        <f>IF($U762="","",INDEX(상세표[사번],$U762)&amp;"")</f>
        <v/>
      </c>
      <c r="K762">
        <f>IF($U762="","",INDEX(상세표[성명],$U762)&amp;"")</f>
        <v/>
      </c>
      <c r="L762">
        <f>IF($U762="","",INDEX(상세표[직위],$U762)&amp;"")</f>
        <v/>
      </c>
      <c r="M762">
        <f>IF($U762="","",IF(ISNUMBER(INDEX(상세표[근무일자],$U762)),TEXT(INDEX(상세표[근무일자],$U762),"yyyy-mm-dd"),INDEX(상세표[근무일자],$U762)&amp;""))</f>
        <v/>
      </c>
      <c r="N762">
        <f>IF($U762="","",IF(ISNUMBER(INDEX(상세표[시작],$U762)),TEXT(INDEX(상세표[시작],$U762),"yyyy-mm-dd hh:mm"),INDEX(상세표[시작],$U762)&amp;""))</f>
        <v/>
      </c>
      <c r="O762">
        <f>IF($U762="","",IF(ISNUMBER(INDEX(상세표[종료],$U762)),TEXT(INDEX(상세표[종료],$U762),"yyyy-mm-dd hh:mm"),INDEX(상세표[종료],$U762)&amp;""))</f>
        <v/>
      </c>
      <c r="P762">
        <f>IF($U762="","",INDEX(상세표[06~07시],$U762))</f>
        <v/>
      </c>
      <c r="Q762">
        <f>IF($U762="","",INDEX(상세표[07~18시],$U762))</f>
        <v/>
      </c>
      <c r="R762">
        <f>IF($U762="","",INDEX(상세표[18~22시],$U762))</f>
        <v/>
      </c>
      <c r="S762">
        <f>IF($U762="","",INDEX(상세표[22~06시],$U762))</f>
        <v/>
      </c>
      <c r="T762">
        <f>IF($U762="","",INDEX(상세표[기록 시간외],$U762))</f>
        <v/>
      </c>
      <c r="U762" s="4">
        <f>IFERROR(MATCH(757,상세표[발송순번],0),"")</f>
        <v/>
      </c>
    </row>
    <row r="763">
      <c r="J763">
        <f>IF($U763="","",INDEX(상세표[사번],$U763)&amp;"")</f>
        <v/>
      </c>
      <c r="K763">
        <f>IF($U763="","",INDEX(상세표[성명],$U763)&amp;"")</f>
        <v/>
      </c>
      <c r="L763">
        <f>IF($U763="","",INDEX(상세표[직위],$U763)&amp;"")</f>
        <v/>
      </c>
      <c r="M763">
        <f>IF($U763="","",IF(ISNUMBER(INDEX(상세표[근무일자],$U763)),TEXT(INDEX(상세표[근무일자],$U763),"yyyy-mm-dd"),INDEX(상세표[근무일자],$U763)&amp;""))</f>
        <v/>
      </c>
      <c r="N763">
        <f>IF($U763="","",IF(ISNUMBER(INDEX(상세표[시작],$U763)),TEXT(INDEX(상세표[시작],$U763),"yyyy-mm-dd hh:mm"),INDEX(상세표[시작],$U763)&amp;""))</f>
        <v/>
      </c>
      <c r="O763">
        <f>IF($U763="","",IF(ISNUMBER(INDEX(상세표[종료],$U763)),TEXT(INDEX(상세표[종료],$U763),"yyyy-mm-dd hh:mm"),INDEX(상세표[종료],$U763)&amp;""))</f>
        <v/>
      </c>
      <c r="P763">
        <f>IF($U763="","",INDEX(상세표[06~07시],$U763))</f>
        <v/>
      </c>
      <c r="Q763">
        <f>IF($U763="","",INDEX(상세표[07~18시],$U763))</f>
        <v/>
      </c>
      <c r="R763">
        <f>IF($U763="","",INDEX(상세표[18~22시],$U763))</f>
        <v/>
      </c>
      <c r="S763">
        <f>IF($U763="","",INDEX(상세표[22~06시],$U763))</f>
        <v/>
      </c>
      <c r="T763">
        <f>IF($U763="","",INDEX(상세표[기록 시간외],$U763))</f>
        <v/>
      </c>
      <c r="U763" s="4">
        <f>IFERROR(MATCH(758,상세표[발송순번],0),"")</f>
        <v/>
      </c>
    </row>
    <row r="764">
      <c r="J764">
        <f>IF($U764="","",INDEX(상세표[사번],$U764)&amp;"")</f>
        <v/>
      </c>
      <c r="K764">
        <f>IF($U764="","",INDEX(상세표[성명],$U764)&amp;"")</f>
        <v/>
      </c>
      <c r="L764">
        <f>IF($U764="","",INDEX(상세표[직위],$U764)&amp;"")</f>
        <v/>
      </c>
      <c r="M764">
        <f>IF($U764="","",IF(ISNUMBER(INDEX(상세표[근무일자],$U764)),TEXT(INDEX(상세표[근무일자],$U764),"yyyy-mm-dd"),INDEX(상세표[근무일자],$U764)&amp;""))</f>
        <v/>
      </c>
      <c r="N764">
        <f>IF($U764="","",IF(ISNUMBER(INDEX(상세표[시작],$U764)),TEXT(INDEX(상세표[시작],$U764),"yyyy-mm-dd hh:mm"),INDEX(상세표[시작],$U764)&amp;""))</f>
        <v/>
      </c>
      <c r="O764">
        <f>IF($U764="","",IF(ISNUMBER(INDEX(상세표[종료],$U764)),TEXT(INDEX(상세표[종료],$U764),"yyyy-mm-dd hh:mm"),INDEX(상세표[종료],$U764)&amp;""))</f>
        <v/>
      </c>
      <c r="P764">
        <f>IF($U764="","",INDEX(상세표[06~07시],$U764))</f>
        <v/>
      </c>
      <c r="Q764">
        <f>IF($U764="","",INDEX(상세표[07~18시],$U764))</f>
        <v/>
      </c>
      <c r="R764">
        <f>IF($U764="","",INDEX(상세표[18~22시],$U764))</f>
        <v/>
      </c>
      <c r="S764">
        <f>IF($U764="","",INDEX(상세표[22~06시],$U764))</f>
        <v/>
      </c>
      <c r="T764">
        <f>IF($U764="","",INDEX(상세표[기록 시간외],$U764))</f>
        <v/>
      </c>
      <c r="U764" s="4">
        <f>IFERROR(MATCH(759,상세표[발송순번],0),"")</f>
        <v/>
      </c>
    </row>
    <row r="765">
      <c r="J765">
        <f>IF($U765="","",INDEX(상세표[사번],$U765)&amp;"")</f>
        <v/>
      </c>
      <c r="K765">
        <f>IF($U765="","",INDEX(상세표[성명],$U765)&amp;"")</f>
        <v/>
      </c>
      <c r="L765">
        <f>IF($U765="","",INDEX(상세표[직위],$U765)&amp;"")</f>
        <v/>
      </c>
      <c r="M765">
        <f>IF($U765="","",IF(ISNUMBER(INDEX(상세표[근무일자],$U765)),TEXT(INDEX(상세표[근무일자],$U765),"yyyy-mm-dd"),INDEX(상세표[근무일자],$U765)&amp;""))</f>
        <v/>
      </c>
      <c r="N765">
        <f>IF($U765="","",IF(ISNUMBER(INDEX(상세표[시작],$U765)),TEXT(INDEX(상세표[시작],$U765),"yyyy-mm-dd hh:mm"),INDEX(상세표[시작],$U765)&amp;""))</f>
        <v/>
      </c>
      <c r="O765">
        <f>IF($U765="","",IF(ISNUMBER(INDEX(상세표[종료],$U765)),TEXT(INDEX(상세표[종료],$U765),"yyyy-mm-dd hh:mm"),INDEX(상세표[종료],$U765)&amp;""))</f>
        <v/>
      </c>
      <c r="P765">
        <f>IF($U765="","",INDEX(상세표[06~07시],$U765))</f>
        <v/>
      </c>
      <c r="Q765">
        <f>IF($U765="","",INDEX(상세표[07~18시],$U765))</f>
        <v/>
      </c>
      <c r="R765">
        <f>IF($U765="","",INDEX(상세표[18~22시],$U765))</f>
        <v/>
      </c>
      <c r="S765">
        <f>IF($U765="","",INDEX(상세표[22~06시],$U765))</f>
        <v/>
      </c>
      <c r="T765">
        <f>IF($U765="","",INDEX(상세표[기록 시간외],$U765))</f>
        <v/>
      </c>
      <c r="U765" s="4">
        <f>IFERROR(MATCH(760,상세표[발송순번],0),"")</f>
        <v/>
      </c>
    </row>
    <row r="766">
      <c r="J766">
        <f>IF($U766="","",INDEX(상세표[사번],$U766)&amp;"")</f>
        <v/>
      </c>
      <c r="K766">
        <f>IF($U766="","",INDEX(상세표[성명],$U766)&amp;"")</f>
        <v/>
      </c>
      <c r="L766">
        <f>IF($U766="","",INDEX(상세표[직위],$U766)&amp;"")</f>
        <v/>
      </c>
      <c r="M766">
        <f>IF($U766="","",IF(ISNUMBER(INDEX(상세표[근무일자],$U766)),TEXT(INDEX(상세표[근무일자],$U766),"yyyy-mm-dd"),INDEX(상세표[근무일자],$U766)&amp;""))</f>
        <v/>
      </c>
      <c r="N766">
        <f>IF($U766="","",IF(ISNUMBER(INDEX(상세표[시작],$U766)),TEXT(INDEX(상세표[시작],$U766),"yyyy-mm-dd hh:mm"),INDEX(상세표[시작],$U766)&amp;""))</f>
        <v/>
      </c>
      <c r="O766">
        <f>IF($U766="","",IF(ISNUMBER(INDEX(상세표[종료],$U766)),TEXT(INDEX(상세표[종료],$U766),"yyyy-mm-dd hh:mm"),INDEX(상세표[종료],$U766)&amp;""))</f>
        <v/>
      </c>
      <c r="P766">
        <f>IF($U766="","",INDEX(상세표[06~07시],$U766))</f>
        <v/>
      </c>
      <c r="Q766">
        <f>IF($U766="","",INDEX(상세표[07~18시],$U766))</f>
        <v/>
      </c>
      <c r="R766">
        <f>IF($U766="","",INDEX(상세표[18~22시],$U766))</f>
        <v/>
      </c>
      <c r="S766">
        <f>IF($U766="","",INDEX(상세표[22~06시],$U766))</f>
        <v/>
      </c>
      <c r="T766">
        <f>IF($U766="","",INDEX(상세표[기록 시간외],$U766))</f>
        <v/>
      </c>
      <c r="U766" s="4">
        <f>IFERROR(MATCH(761,상세표[발송순번],0),"")</f>
        <v/>
      </c>
    </row>
    <row r="767">
      <c r="J767">
        <f>IF($U767="","",INDEX(상세표[사번],$U767)&amp;"")</f>
        <v/>
      </c>
      <c r="K767">
        <f>IF($U767="","",INDEX(상세표[성명],$U767)&amp;"")</f>
        <v/>
      </c>
      <c r="L767">
        <f>IF($U767="","",INDEX(상세표[직위],$U767)&amp;"")</f>
        <v/>
      </c>
      <c r="M767">
        <f>IF($U767="","",IF(ISNUMBER(INDEX(상세표[근무일자],$U767)),TEXT(INDEX(상세표[근무일자],$U767),"yyyy-mm-dd"),INDEX(상세표[근무일자],$U767)&amp;""))</f>
        <v/>
      </c>
      <c r="N767">
        <f>IF($U767="","",IF(ISNUMBER(INDEX(상세표[시작],$U767)),TEXT(INDEX(상세표[시작],$U767),"yyyy-mm-dd hh:mm"),INDEX(상세표[시작],$U767)&amp;""))</f>
        <v/>
      </c>
      <c r="O767">
        <f>IF($U767="","",IF(ISNUMBER(INDEX(상세표[종료],$U767)),TEXT(INDEX(상세표[종료],$U767),"yyyy-mm-dd hh:mm"),INDEX(상세표[종료],$U767)&amp;""))</f>
        <v/>
      </c>
      <c r="P767">
        <f>IF($U767="","",INDEX(상세표[06~07시],$U767))</f>
        <v/>
      </c>
      <c r="Q767">
        <f>IF($U767="","",INDEX(상세표[07~18시],$U767))</f>
        <v/>
      </c>
      <c r="R767">
        <f>IF($U767="","",INDEX(상세표[18~22시],$U767))</f>
        <v/>
      </c>
      <c r="S767">
        <f>IF($U767="","",INDEX(상세표[22~06시],$U767))</f>
        <v/>
      </c>
      <c r="T767">
        <f>IF($U767="","",INDEX(상세표[기록 시간외],$U767))</f>
        <v/>
      </c>
      <c r="U767" s="4">
        <f>IFERROR(MATCH(762,상세표[발송순번],0),"")</f>
        <v/>
      </c>
    </row>
    <row r="768">
      <c r="J768">
        <f>IF($U768="","",INDEX(상세표[사번],$U768)&amp;"")</f>
        <v/>
      </c>
      <c r="K768">
        <f>IF($U768="","",INDEX(상세표[성명],$U768)&amp;"")</f>
        <v/>
      </c>
      <c r="L768">
        <f>IF($U768="","",INDEX(상세표[직위],$U768)&amp;"")</f>
        <v/>
      </c>
      <c r="M768">
        <f>IF($U768="","",IF(ISNUMBER(INDEX(상세표[근무일자],$U768)),TEXT(INDEX(상세표[근무일자],$U768),"yyyy-mm-dd"),INDEX(상세표[근무일자],$U768)&amp;""))</f>
        <v/>
      </c>
      <c r="N768">
        <f>IF($U768="","",IF(ISNUMBER(INDEX(상세표[시작],$U768)),TEXT(INDEX(상세표[시작],$U768),"yyyy-mm-dd hh:mm"),INDEX(상세표[시작],$U768)&amp;""))</f>
        <v/>
      </c>
      <c r="O768">
        <f>IF($U768="","",IF(ISNUMBER(INDEX(상세표[종료],$U768)),TEXT(INDEX(상세표[종료],$U768),"yyyy-mm-dd hh:mm"),INDEX(상세표[종료],$U768)&amp;""))</f>
        <v/>
      </c>
      <c r="P768">
        <f>IF($U768="","",INDEX(상세표[06~07시],$U768))</f>
        <v/>
      </c>
      <c r="Q768">
        <f>IF($U768="","",INDEX(상세표[07~18시],$U768))</f>
        <v/>
      </c>
      <c r="R768">
        <f>IF($U768="","",INDEX(상세표[18~22시],$U768))</f>
        <v/>
      </c>
      <c r="S768">
        <f>IF($U768="","",INDEX(상세표[22~06시],$U768))</f>
        <v/>
      </c>
      <c r="T768">
        <f>IF($U768="","",INDEX(상세표[기록 시간외],$U768))</f>
        <v/>
      </c>
      <c r="U768" s="4">
        <f>IFERROR(MATCH(763,상세표[발송순번],0),"")</f>
        <v/>
      </c>
    </row>
    <row r="769">
      <c r="J769">
        <f>IF($U769="","",INDEX(상세표[사번],$U769)&amp;"")</f>
        <v/>
      </c>
      <c r="K769">
        <f>IF($U769="","",INDEX(상세표[성명],$U769)&amp;"")</f>
        <v/>
      </c>
      <c r="L769">
        <f>IF($U769="","",INDEX(상세표[직위],$U769)&amp;"")</f>
        <v/>
      </c>
      <c r="M769">
        <f>IF($U769="","",IF(ISNUMBER(INDEX(상세표[근무일자],$U769)),TEXT(INDEX(상세표[근무일자],$U769),"yyyy-mm-dd"),INDEX(상세표[근무일자],$U769)&amp;""))</f>
        <v/>
      </c>
      <c r="N769">
        <f>IF($U769="","",IF(ISNUMBER(INDEX(상세표[시작],$U769)),TEXT(INDEX(상세표[시작],$U769),"yyyy-mm-dd hh:mm"),INDEX(상세표[시작],$U769)&amp;""))</f>
        <v/>
      </c>
      <c r="O769">
        <f>IF($U769="","",IF(ISNUMBER(INDEX(상세표[종료],$U769)),TEXT(INDEX(상세표[종료],$U769),"yyyy-mm-dd hh:mm"),INDEX(상세표[종료],$U769)&amp;""))</f>
        <v/>
      </c>
      <c r="P769">
        <f>IF($U769="","",INDEX(상세표[06~07시],$U769))</f>
        <v/>
      </c>
      <c r="Q769">
        <f>IF($U769="","",INDEX(상세표[07~18시],$U769))</f>
        <v/>
      </c>
      <c r="R769">
        <f>IF($U769="","",INDEX(상세표[18~22시],$U769))</f>
        <v/>
      </c>
      <c r="S769">
        <f>IF($U769="","",INDEX(상세표[22~06시],$U769))</f>
        <v/>
      </c>
      <c r="T769">
        <f>IF($U769="","",INDEX(상세표[기록 시간외],$U769))</f>
        <v/>
      </c>
      <c r="U769" s="4">
        <f>IFERROR(MATCH(764,상세표[발송순번],0),"")</f>
        <v/>
      </c>
    </row>
    <row r="770">
      <c r="J770">
        <f>IF($U770="","",INDEX(상세표[사번],$U770)&amp;"")</f>
        <v/>
      </c>
      <c r="K770">
        <f>IF($U770="","",INDEX(상세표[성명],$U770)&amp;"")</f>
        <v/>
      </c>
      <c r="L770">
        <f>IF($U770="","",INDEX(상세표[직위],$U770)&amp;"")</f>
        <v/>
      </c>
      <c r="M770">
        <f>IF($U770="","",IF(ISNUMBER(INDEX(상세표[근무일자],$U770)),TEXT(INDEX(상세표[근무일자],$U770),"yyyy-mm-dd"),INDEX(상세표[근무일자],$U770)&amp;""))</f>
        <v/>
      </c>
      <c r="N770">
        <f>IF($U770="","",IF(ISNUMBER(INDEX(상세표[시작],$U770)),TEXT(INDEX(상세표[시작],$U770),"yyyy-mm-dd hh:mm"),INDEX(상세표[시작],$U770)&amp;""))</f>
        <v/>
      </c>
      <c r="O770">
        <f>IF($U770="","",IF(ISNUMBER(INDEX(상세표[종료],$U770)),TEXT(INDEX(상세표[종료],$U770),"yyyy-mm-dd hh:mm"),INDEX(상세표[종료],$U770)&amp;""))</f>
        <v/>
      </c>
      <c r="P770">
        <f>IF($U770="","",INDEX(상세표[06~07시],$U770))</f>
        <v/>
      </c>
      <c r="Q770">
        <f>IF($U770="","",INDEX(상세표[07~18시],$U770))</f>
        <v/>
      </c>
      <c r="R770">
        <f>IF($U770="","",INDEX(상세표[18~22시],$U770))</f>
        <v/>
      </c>
      <c r="S770">
        <f>IF($U770="","",INDEX(상세표[22~06시],$U770))</f>
        <v/>
      </c>
      <c r="T770">
        <f>IF($U770="","",INDEX(상세표[기록 시간외],$U770))</f>
        <v/>
      </c>
      <c r="U770" s="4">
        <f>IFERROR(MATCH(765,상세표[발송순번],0),"")</f>
        <v/>
      </c>
    </row>
    <row r="771">
      <c r="J771">
        <f>IF($U771="","",INDEX(상세표[사번],$U771)&amp;"")</f>
        <v/>
      </c>
      <c r="K771">
        <f>IF($U771="","",INDEX(상세표[성명],$U771)&amp;"")</f>
        <v/>
      </c>
      <c r="L771">
        <f>IF($U771="","",INDEX(상세표[직위],$U771)&amp;"")</f>
        <v/>
      </c>
      <c r="M771">
        <f>IF($U771="","",IF(ISNUMBER(INDEX(상세표[근무일자],$U771)),TEXT(INDEX(상세표[근무일자],$U771),"yyyy-mm-dd"),INDEX(상세표[근무일자],$U771)&amp;""))</f>
        <v/>
      </c>
      <c r="N771">
        <f>IF($U771="","",IF(ISNUMBER(INDEX(상세표[시작],$U771)),TEXT(INDEX(상세표[시작],$U771),"yyyy-mm-dd hh:mm"),INDEX(상세표[시작],$U771)&amp;""))</f>
        <v/>
      </c>
      <c r="O771">
        <f>IF($U771="","",IF(ISNUMBER(INDEX(상세표[종료],$U771)),TEXT(INDEX(상세표[종료],$U771),"yyyy-mm-dd hh:mm"),INDEX(상세표[종료],$U771)&amp;""))</f>
        <v/>
      </c>
      <c r="P771">
        <f>IF($U771="","",INDEX(상세표[06~07시],$U771))</f>
        <v/>
      </c>
      <c r="Q771">
        <f>IF($U771="","",INDEX(상세표[07~18시],$U771))</f>
        <v/>
      </c>
      <c r="R771">
        <f>IF($U771="","",INDEX(상세표[18~22시],$U771))</f>
        <v/>
      </c>
      <c r="S771">
        <f>IF($U771="","",INDEX(상세표[22~06시],$U771))</f>
        <v/>
      </c>
      <c r="T771">
        <f>IF($U771="","",INDEX(상세표[기록 시간외],$U771))</f>
        <v/>
      </c>
      <c r="U771" s="4">
        <f>IFERROR(MATCH(766,상세표[발송순번],0),"")</f>
        <v/>
      </c>
    </row>
    <row r="772">
      <c r="J772">
        <f>IF($U772="","",INDEX(상세표[사번],$U772)&amp;"")</f>
        <v/>
      </c>
      <c r="K772">
        <f>IF($U772="","",INDEX(상세표[성명],$U772)&amp;"")</f>
        <v/>
      </c>
      <c r="L772">
        <f>IF($U772="","",INDEX(상세표[직위],$U772)&amp;"")</f>
        <v/>
      </c>
      <c r="M772">
        <f>IF($U772="","",IF(ISNUMBER(INDEX(상세표[근무일자],$U772)),TEXT(INDEX(상세표[근무일자],$U772),"yyyy-mm-dd"),INDEX(상세표[근무일자],$U772)&amp;""))</f>
        <v/>
      </c>
      <c r="N772">
        <f>IF($U772="","",IF(ISNUMBER(INDEX(상세표[시작],$U772)),TEXT(INDEX(상세표[시작],$U772),"yyyy-mm-dd hh:mm"),INDEX(상세표[시작],$U772)&amp;""))</f>
        <v/>
      </c>
      <c r="O772">
        <f>IF($U772="","",IF(ISNUMBER(INDEX(상세표[종료],$U772)),TEXT(INDEX(상세표[종료],$U772),"yyyy-mm-dd hh:mm"),INDEX(상세표[종료],$U772)&amp;""))</f>
        <v/>
      </c>
      <c r="P772">
        <f>IF($U772="","",INDEX(상세표[06~07시],$U772))</f>
        <v/>
      </c>
      <c r="Q772">
        <f>IF($U772="","",INDEX(상세표[07~18시],$U772))</f>
        <v/>
      </c>
      <c r="R772">
        <f>IF($U772="","",INDEX(상세표[18~22시],$U772))</f>
        <v/>
      </c>
      <c r="S772">
        <f>IF($U772="","",INDEX(상세표[22~06시],$U772))</f>
        <v/>
      </c>
      <c r="T772">
        <f>IF($U772="","",INDEX(상세표[기록 시간외],$U772))</f>
        <v/>
      </c>
      <c r="U772" s="4">
        <f>IFERROR(MATCH(767,상세표[발송순번],0),"")</f>
        <v/>
      </c>
    </row>
    <row r="773">
      <c r="J773">
        <f>IF($U773="","",INDEX(상세표[사번],$U773)&amp;"")</f>
        <v/>
      </c>
      <c r="K773">
        <f>IF($U773="","",INDEX(상세표[성명],$U773)&amp;"")</f>
        <v/>
      </c>
      <c r="L773">
        <f>IF($U773="","",INDEX(상세표[직위],$U773)&amp;"")</f>
        <v/>
      </c>
      <c r="M773">
        <f>IF($U773="","",IF(ISNUMBER(INDEX(상세표[근무일자],$U773)),TEXT(INDEX(상세표[근무일자],$U773),"yyyy-mm-dd"),INDEX(상세표[근무일자],$U773)&amp;""))</f>
        <v/>
      </c>
      <c r="N773">
        <f>IF($U773="","",IF(ISNUMBER(INDEX(상세표[시작],$U773)),TEXT(INDEX(상세표[시작],$U773),"yyyy-mm-dd hh:mm"),INDEX(상세표[시작],$U773)&amp;""))</f>
        <v/>
      </c>
      <c r="O773">
        <f>IF($U773="","",IF(ISNUMBER(INDEX(상세표[종료],$U773)),TEXT(INDEX(상세표[종료],$U773),"yyyy-mm-dd hh:mm"),INDEX(상세표[종료],$U773)&amp;""))</f>
        <v/>
      </c>
      <c r="P773">
        <f>IF($U773="","",INDEX(상세표[06~07시],$U773))</f>
        <v/>
      </c>
      <c r="Q773">
        <f>IF($U773="","",INDEX(상세표[07~18시],$U773))</f>
        <v/>
      </c>
      <c r="R773">
        <f>IF($U773="","",INDEX(상세표[18~22시],$U773))</f>
        <v/>
      </c>
      <c r="S773">
        <f>IF($U773="","",INDEX(상세표[22~06시],$U773))</f>
        <v/>
      </c>
      <c r="T773">
        <f>IF($U773="","",INDEX(상세표[기록 시간외],$U773))</f>
        <v/>
      </c>
      <c r="U773" s="4">
        <f>IFERROR(MATCH(768,상세표[발송순번],0),"")</f>
        <v/>
      </c>
    </row>
    <row r="774">
      <c r="J774">
        <f>IF($U774="","",INDEX(상세표[사번],$U774)&amp;"")</f>
        <v/>
      </c>
      <c r="K774">
        <f>IF($U774="","",INDEX(상세표[성명],$U774)&amp;"")</f>
        <v/>
      </c>
      <c r="L774">
        <f>IF($U774="","",INDEX(상세표[직위],$U774)&amp;"")</f>
        <v/>
      </c>
      <c r="M774">
        <f>IF($U774="","",IF(ISNUMBER(INDEX(상세표[근무일자],$U774)),TEXT(INDEX(상세표[근무일자],$U774),"yyyy-mm-dd"),INDEX(상세표[근무일자],$U774)&amp;""))</f>
        <v/>
      </c>
      <c r="N774">
        <f>IF($U774="","",IF(ISNUMBER(INDEX(상세표[시작],$U774)),TEXT(INDEX(상세표[시작],$U774),"yyyy-mm-dd hh:mm"),INDEX(상세표[시작],$U774)&amp;""))</f>
        <v/>
      </c>
      <c r="O774">
        <f>IF($U774="","",IF(ISNUMBER(INDEX(상세표[종료],$U774)),TEXT(INDEX(상세표[종료],$U774),"yyyy-mm-dd hh:mm"),INDEX(상세표[종료],$U774)&amp;""))</f>
        <v/>
      </c>
      <c r="P774">
        <f>IF($U774="","",INDEX(상세표[06~07시],$U774))</f>
        <v/>
      </c>
      <c r="Q774">
        <f>IF($U774="","",INDEX(상세표[07~18시],$U774))</f>
        <v/>
      </c>
      <c r="R774">
        <f>IF($U774="","",INDEX(상세표[18~22시],$U774))</f>
        <v/>
      </c>
      <c r="S774">
        <f>IF($U774="","",INDEX(상세표[22~06시],$U774))</f>
        <v/>
      </c>
      <c r="T774">
        <f>IF($U774="","",INDEX(상세표[기록 시간외],$U774))</f>
        <v/>
      </c>
      <c r="U774" s="4">
        <f>IFERROR(MATCH(769,상세표[발송순번],0),"")</f>
        <v/>
      </c>
    </row>
    <row r="775">
      <c r="J775">
        <f>IF($U775="","",INDEX(상세표[사번],$U775)&amp;"")</f>
        <v/>
      </c>
      <c r="K775">
        <f>IF($U775="","",INDEX(상세표[성명],$U775)&amp;"")</f>
        <v/>
      </c>
      <c r="L775">
        <f>IF($U775="","",INDEX(상세표[직위],$U775)&amp;"")</f>
        <v/>
      </c>
      <c r="M775">
        <f>IF($U775="","",IF(ISNUMBER(INDEX(상세표[근무일자],$U775)),TEXT(INDEX(상세표[근무일자],$U775),"yyyy-mm-dd"),INDEX(상세표[근무일자],$U775)&amp;""))</f>
        <v/>
      </c>
      <c r="N775">
        <f>IF($U775="","",IF(ISNUMBER(INDEX(상세표[시작],$U775)),TEXT(INDEX(상세표[시작],$U775),"yyyy-mm-dd hh:mm"),INDEX(상세표[시작],$U775)&amp;""))</f>
        <v/>
      </c>
      <c r="O775">
        <f>IF($U775="","",IF(ISNUMBER(INDEX(상세표[종료],$U775)),TEXT(INDEX(상세표[종료],$U775),"yyyy-mm-dd hh:mm"),INDEX(상세표[종료],$U775)&amp;""))</f>
        <v/>
      </c>
      <c r="P775">
        <f>IF($U775="","",INDEX(상세표[06~07시],$U775))</f>
        <v/>
      </c>
      <c r="Q775">
        <f>IF($U775="","",INDEX(상세표[07~18시],$U775))</f>
        <v/>
      </c>
      <c r="R775">
        <f>IF($U775="","",INDEX(상세표[18~22시],$U775))</f>
        <v/>
      </c>
      <c r="S775">
        <f>IF($U775="","",INDEX(상세표[22~06시],$U775))</f>
        <v/>
      </c>
      <c r="T775">
        <f>IF($U775="","",INDEX(상세표[기록 시간외],$U775))</f>
        <v/>
      </c>
      <c r="U775" s="4">
        <f>IFERROR(MATCH(770,상세표[발송순번],0),"")</f>
        <v/>
      </c>
    </row>
    <row r="776">
      <c r="J776">
        <f>IF($U776="","",INDEX(상세표[사번],$U776)&amp;"")</f>
        <v/>
      </c>
      <c r="K776">
        <f>IF($U776="","",INDEX(상세표[성명],$U776)&amp;"")</f>
        <v/>
      </c>
      <c r="L776">
        <f>IF($U776="","",INDEX(상세표[직위],$U776)&amp;"")</f>
        <v/>
      </c>
      <c r="M776">
        <f>IF($U776="","",IF(ISNUMBER(INDEX(상세표[근무일자],$U776)),TEXT(INDEX(상세표[근무일자],$U776),"yyyy-mm-dd"),INDEX(상세표[근무일자],$U776)&amp;""))</f>
        <v/>
      </c>
      <c r="N776">
        <f>IF($U776="","",IF(ISNUMBER(INDEX(상세표[시작],$U776)),TEXT(INDEX(상세표[시작],$U776),"yyyy-mm-dd hh:mm"),INDEX(상세표[시작],$U776)&amp;""))</f>
        <v/>
      </c>
      <c r="O776">
        <f>IF($U776="","",IF(ISNUMBER(INDEX(상세표[종료],$U776)),TEXT(INDEX(상세표[종료],$U776),"yyyy-mm-dd hh:mm"),INDEX(상세표[종료],$U776)&amp;""))</f>
        <v/>
      </c>
      <c r="P776">
        <f>IF($U776="","",INDEX(상세표[06~07시],$U776))</f>
        <v/>
      </c>
      <c r="Q776">
        <f>IF($U776="","",INDEX(상세표[07~18시],$U776))</f>
        <v/>
      </c>
      <c r="R776">
        <f>IF($U776="","",INDEX(상세표[18~22시],$U776))</f>
        <v/>
      </c>
      <c r="S776">
        <f>IF($U776="","",INDEX(상세표[22~06시],$U776))</f>
        <v/>
      </c>
      <c r="T776">
        <f>IF($U776="","",INDEX(상세표[기록 시간외],$U776))</f>
        <v/>
      </c>
      <c r="U776" s="4">
        <f>IFERROR(MATCH(771,상세표[발송순번],0),"")</f>
        <v/>
      </c>
    </row>
    <row r="777">
      <c r="J777">
        <f>IF($U777="","",INDEX(상세표[사번],$U777)&amp;"")</f>
        <v/>
      </c>
      <c r="K777">
        <f>IF($U777="","",INDEX(상세표[성명],$U777)&amp;"")</f>
        <v/>
      </c>
      <c r="L777">
        <f>IF($U777="","",INDEX(상세표[직위],$U777)&amp;"")</f>
        <v/>
      </c>
      <c r="M777">
        <f>IF($U777="","",IF(ISNUMBER(INDEX(상세표[근무일자],$U777)),TEXT(INDEX(상세표[근무일자],$U777),"yyyy-mm-dd"),INDEX(상세표[근무일자],$U777)&amp;""))</f>
        <v/>
      </c>
      <c r="N777">
        <f>IF($U777="","",IF(ISNUMBER(INDEX(상세표[시작],$U777)),TEXT(INDEX(상세표[시작],$U777),"yyyy-mm-dd hh:mm"),INDEX(상세표[시작],$U777)&amp;""))</f>
        <v/>
      </c>
      <c r="O777">
        <f>IF($U777="","",IF(ISNUMBER(INDEX(상세표[종료],$U777)),TEXT(INDEX(상세표[종료],$U777),"yyyy-mm-dd hh:mm"),INDEX(상세표[종료],$U777)&amp;""))</f>
        <v/>
      </c>
      <c r="P777">
        <f>IF($U777="","",INDEX(상세표[06~07시],$U777))</f>
        <v/>
      </c>
      <c r="Q777">
        <f>IF($U777="","",INDEX(상세표[07~18시],$U777))</f>
        <v/>
      </c>
      <c r="R777">
        <f>IF($U777="","",INDEX(상세표[18~22시],$U777))</f>
        <v/>
      </c>
      <c r="S777">
        <f>IF($U777="","",INDEX(상세표[22~06시],$U777))</f>
        <v/>
      </c>
      <c r="T777">
        <f>IF($U777="","",INDEX(상세표[기록 시간외],$U777))</f>
        <v/>
      </c>
      <c r="U777" s="4">
        <f>IFERROR(MATCH(772,상세표[발송순번],0),"")</f>
        <v/>
      </c>
    </row>
    <row r="778">
      <c r="J778">
        <f>IF($U778="","",INDEX(상세표[사번],$U778)&amp;"")</f>
        <v/>
      </c>
      <c r="K778">
        <f>IF($U778="","",INDEX(상세표[성명],$U778)&amp;"")</f>
        <v/>
      </c>
      <c r="L778">
        <f>IF($U778="","",INDEX(상세표[직위],$U778)&amp;"")</f>
        <v/>
      </c>
      <c r="M778">
        <f>IF($U778="","",IF(ISNUMBER(INDEX(상세표[근무일자],$U778)),TEXT(INDEX(상세표[근무일자],$U778),"yyyy-mm-dd"),INDEX(상세표[근무일자],$U778)&amp;""))</f>
        <v/>
      </c>
      <c r="N778">
        <f>IF($U778="","",IF(ISNUMBER(INDEX(상세표[시작],$U778)),TEXT(INDEX(상세표[시작],$U778),"yyyy-mm-dd hh:mm"),INDEX(상세표[시작],$U778)&amp;""))</f>
        <v/>
      </c>
      <c r="O778">
        <f>IF($U778="","",IF(ISNUMBER(INDEX(상세표[종료],$U778)),TEXT(INDEX(상세표[종료],$U778),"yyyy-mm-dd hh:mm"),INDEX(상세표[종료],$U778)&amp;""))</f>
        <v/>
      </c>
      <c r="P778">
        <f>IF($U778="","",INDEX(상세표[06~07시],$U778))</f>
        <v/>
      </c>
      <c r="Q778">
        <f>IF($U778="","",INDEX(상세표[07~18시],$U778))</f>
        <v/>
      </c>
      <c r="R778">
        <f>IF($U778="","",INDEX(상세표[18~22시],$U778))</f>
        <v/>
      </c>
      <c r="S778">
        <f>IF($U778="","",INDEX(상세표[22~06시],$U778))</f>
        <v/>
      </c>
      <c r="T778">
        <f>IF($U778="","",INDEX(상세표[기록 시간외],$U778))</f>
        <v/>
      </c>
      <c r="U778" s="4">
        <f>IFERROR(MATCH(773,상세표[발송순번],0),"")</f>
        <v/>
      </c>
    </row>
    <row r="779">
      <c r="J779">
        <f>IF($U779="","",INDEX(상세표[사번],$U779)&amp;"")</f>
        <v/>
      </c>
      <c r="K779">
        <f>IF($U779="","",INDEX(상세표[성명],$U779)&amp;"")</f>
        <v/>
      </c>
      <c r="L779">
        <f>IF($U779="","",INDEX(상세표[직위],$U779)&amp;"")</f>
        <v/>
      </c>
      <c r="M779">
        <f>IF($U779="","",IF(ISNUMBER(INDEX(상세표[근무일자],$U779)),TEXT(INDEX(상세표[근무일자],$U779),"yyyy-mm-dd"),INDEX(상세표[근무일자],$U779)&amp;""))</f>
        <v/>
      </c>
      <c r="N779">
        <f>IF($U779="","",IF(ISNUMBER(INDEX(상세표[시작],$U779)),TEXT(INDEX(상세표[시작],$U779),"yyyy-mm-dd hh:mm"),INDEX(상세표[시작],$U779)&amp;""))</f>
        <v/>
      </c>
      <c r="O779">
        <f>IF($U779="","",IF(ISNUMBER(INDEX(상세표[종료],$U779)),TEXT(INDEX(상세표[종료],$U779),"yyyy-mm-dd hh:mm"),INDEX(상세표[종료],$U779)&amp;""))</f>
        <v/>
      </c>
      <c r="P779">
        <f>IF($U779="","",INDEX(상세표[06~07시],$U779))</f>
        <v/>
      </c>
      <c r="Q779">
        <f>IF($U779="","",INDEX(상세표[07~18시],$U779))</f>
        <v/>
      </c>
      <c r="R779">
        <f>IF($U779="","",INDEX(상세표[18~22시],$U779))</f>
        <v/>
      </c>
      <c r="S779">
        <f>IF($U779="","",INDEX(상세표[22~06시],$U779))</f>
        <v/>
      </c>
      <c r="T779">
        <f>IF($U779="","",INDEX(상세표[기록 시간외],$U779))</f>
        <v/>
      </c>
      <c r="U779" s="4">
        <f>IFERROR(MATCH(774,상세표[발송순번],0),"")</f>
        <v/>
      </c>
    </row>
    <row r="780">
      <c r="J780">
        <f>IF($U780="","",INDEX(상세표[사번],$U780)&amp;"")</f>
        <v/>
      </c>
      <c r="K780">
        <f>IF($U780="","",INDEX(상세표[성명],$U780)&amp;"")</f>
        <v/>
      </c>
      <c r="L780">
        <f>IF($U780="","",INDEX(상세표[직위],$U780)&amp;"")</f>
        <v/>
      </c>
      <c r="M780">
        <f>IF($U780="","",IF(ISNUMBER(INDEX(상세표[근무일자],$U780)),TEXT(INDEX(상세표[근무일자],$U780),"yyyy-mm-dd"),INDEX(상세표[근무일자],$U780)&amp;""))</f>
        <v/>
      </c>
      <c r="N780">
        <f>IF($U780="","",IF(ISNUMBER(INDEX(상세표[시작],$U780)),TEXT(INDEX(상세표[시작],$U780),"yyyy-mm-dd hh:mm"),INDEX(상세표[시작],$U780)&amp;""))</f>
        <v/>
      </c>
      <c r="O780">
        <f>IF($U780="","",IF(ISNUMBER(INDEX(상세표[종료],$U780)),TEXT(INDEX(상세표[종료],$U780),"yyyy-mm-dd hh:mm"),INDEX(상세표[종료],$U780)&amp;""))</f>
        <v/>
      </c>
      <c r="P780">
        <f>IF($U780="","",INDEX(상세표[06~07시],$U780))</f>
        <v/>
      </c>
      <c r="Q780">
        <f>IF($U780="","",INDEX(상세표[07~18시],$U780))</f>
        <v/>
      </c>
      <c r="R780">
        <f>IF($U780="","",INDEX(상세표[18~22시],$U780))</f>
        <v/>
      </c>
      <c r="S780">
        <f>IF($U780="","",INDEX(상세표[22~06시],$U780))</f>
        <v/>
      </c>
      <c r="T780">
        <f>IF($U780="","",INDEX(상세표[기록 시간외],$U780))</f>
        <v/>
      </c>
      <c r="U780" s="4">
        <f>IFERROR(MATCH(775,상세표[발송순번],0),"")</f>
        <v/>
      </c>
    </row>
    <row r="781">
      <c r="J781">
        <f>IF($U781="","",INDEX(상세표[사번],$U781)&amp;"")</f>
        <v/>
      </c>
      <c r="K781">
        <f>IF($U781="","",INDEX(상세표[성명],$U781)&amp;"")</f>
        <v/>
      </c>
      <c r="L781">
        <f>IF($U781="","",INDEX(상세표[직위],$U781)&amp;"")</f>
        <v/>
      </c>
      <c r="M781">
        <f>IF($U781="","",IF(ISNUMBER(INDEX(상세표[근무일자],$U781)),TEXT(INDEX(상세표[근무일자],$U781),"yyyy-mm-dd"),INDEX(상세표[근무일자],$U781)&amp;""))</f>
        <v/>
      </c>
      <c r="N781">
        <f>IF($U781="","",IF(ISNUMBER(INDEX(상세표[시작],$U781)),TEXT(INDEX(상세표[시작],$U781),"yyyy-mm-dd hh:mm"),INDEX(상세표[시작],$U781)&amp;""))</f>
        <v/>
      </c>
      <c r="O781">
        <f>IF($U781="","",IF(ISNUMBER(INDEX(상세표[종료],$U781)),TEXT(INDEX(상세표[종료],$U781),"yyyy-mm-dd hh:mm"),INDEX(상세표[종료],$U781)&amp;""))</f>
        <v/>
      </c>
      <c r="P781">
        <f>IF($U781="","",INDEX(상세표[06~07시],$U781))</f>
        <v/>
      </c>
      <c r="Q781">
        <f>IF($U781="","",INDEX(상세표[07~18시],$U781))</f>
        <v/>
      </c>
      <c r="R781">
        <f>IF($U781="","",INDEX(상세표[18~22시],$U781))</f>
        <v/>
      </c>
      <c r="S781">
        <f>IF($U781="","",INDEX(상세표[22~06시],$U781))</f>
        <v/>
      </c>
      <c r="T781">
        <f>IF($U781="","",INDEX(상세표[기록 시간외],$U781))</f>
        <v/>
      </c>
      <c r="U781" s="4">
        <f>IFERROR(MATCH(776,상세표[발송순번],0),"")</f>
        <v/>
      </c>
    </row>
    <row r="782">
      <c r="J782">
        <f>IF($U782="","",INDEX(상세표[사번],$U782)&amp;"")</f>
        <v/>
      </c>
      <c r="K782">
        <f>IF($U782="","",INDEX(상세표[성명],$U782)&amp;"")</f>
        <v/>
      </c>
      <c r="L782">
        <f>IF($U782="","",INDEX(상세표[직위],$U782)&amp;"")</f>
        <v/>
      </c>
      <c r="M782">
        <f>IF($U782="","",IF(ISNUMBER(INDEX(상세표[근무일자],$U782)),TEXT(INDEX(상세표[근무일자],$U782),"yyyy-mm-dd"),INDEX(상세표[근무일자],$U782)&amp;""))</f>
        <v/>
      </c>
      <c r="N782">
        <f>IF($U782="","",IF(ISNUMBER(INDEX(상세표[시작],$U782)),TEXT(INDEX(상세표[시작],$U782),"yyyy-mm-dd hh:mm"),INDEX(상세표[시작],$U782)&amp;""))</f>
        <v/>
      </c>
      <c r="O782">
        <f>IF($U782="","",IF(ISNUMBER(INDEX(상세표[종료],$U782)),TEXT(INDEX(상세표[종료],$U782),"yyyy-mm-dd hh:mm"),INDEX(상세표[종료],$U782)&amp;""))</f>
        <v/>
      </c>
      <c r="P782">
        <f>IF($U782="","",INDEX(상세표[06~07시],$U782))</f>
        <v/>
      </c>
      <c r="Q782">
        <f>IF($U782="","",INDEX(상세표[07~18시],$U782))</f>
        <v/>
      </c>
      <c r="R782">
        <f>IF($U782="","",INDEX(상세표[18~22시],$U782))</f>
        <v/>
      </c>
      <c r="S782">
        <f>IF($U782="","",INDEX(상세표[22~06시],$U782))</f>
        <v/>
      </c>
      <c r="T782">
        <f>IF($U782="","",INDEX(상세표[기록 시간외],$U782))</f>
        <v/>
      </c>
      <c r="U782" s="4">
        <f>IFERROR(MATCH(777,상세표[발송순번],0),"")</f>
        <v/>
      </c>
    </row>
    <row r="783">
      <c r="J783">
        <f>IF($U783="","",INDEX(상세표[사번],$U783)&amp;"")</f>
        <v/>
      </c>
      <c r="K783">
        <f>IF($U783="","",INDEX(상세표[성명],$U783)&amp;"")</f>
        <v/>
      </c>
      <c r="L783">
        <f>IF($U783="","",INDEX(상세표[직위],$U783)&amp;"")</f>
        <v/>
      </c>
      <c r="M783">
        <f>IF($U783="","",IF(ISNUMBER(INDEX(상세표[근무일자],$U783)),TEXT(INDEX(상세표[근무일자],$U783),"yyyy-mm-dd"),INDEX(상세표[근무일자],$U783)&amp;""))</f>
        <v/>
      </c>
      <c r="N783">
        <f>IF($U783="","",IF(ISNUMBER(INDEX(상세표[시작],$U783)),TEXT(INDEX(상세표[시작],$U783),"yyyy-mm-dd hh:mm"),INDEX(상세표[시작],$U783)&amp;""))</f>
        <v/>
      </c>
      <c r="O783">
        <f>IF($U783="","",IF(ISNUMBER(INDEX(상세표[종료],$U783)),TEXT(INDEX(상세표[종료],$U783),"yyyy-mm-dd hh:mm"),INDEX(상세표[종료],$U783)&amp;""))</f>
        <v/>
      </c>
      <c r="P783">
        <f>IF($U783="","",INDEX(상세표[06~07시],$U783))</f>
        <v/>
      </c>
      <c r="Q783">
        <f>IF($U783="","",INDEX(상세표[07~18시],$U783))</f>
        <v/>
      </c>
      <c r="R783">
        <f>IF($U783="","",INDEX(상세표[18~22시],$U783))</f>
        <v/>
      </c>
      <c r="S783">
        <f>IF($U783="","",INDEX(상세표[22~06시],$U783))</f>
        <v/>
      </c>
      <c r="T783">
        <f>IF($U783="","",INDEX(상세표[기록 시간외],$U783))</f>
        <v/>
      </c>
      <c r="U783" s="4">
        <f>IFERROR(MATCH(778,상세표[발송순번],0),"")</f>
        <v/>
      </c>
    </row>
    <row r="784">
      <c r="J784">
        <f>IF($U784="","",INDEX(상세표[사번],$U784)&amp;"")</f>
        <v/>
      </c>
      <c r="K784">
        <f>IF($U784="","",INDEX(상세표[성명],$U784)&amp;"")</f>
        <v/>
      </c>
      <c r="L784">
        <f>IF($U784="","",INDEX(상세표[직위],$U784)&amp;"")</f>
        <v/>
      </c>
      <c r="M784">
        <f>IF($U784="","",IF(ISNUMBER(INDEX(상세표[근무일자],$U784)),TEXT(INDEX(상세표[근무일자],$U784),"yyyy-mm-dd"),INDEX(상세표[근무일자],$U784)&amp;""))</f>
        <v/>
      </c>
      <c r="N784">
        <f>IF($U784="","",IF(ISNUMBER(INDEX(상세표[시작],$U784)),TEXT(INDEX(상세표[시작],$U784),"yyyy-mm-dd hh:mm"),INDEX(상세표[시작],$U784)&amp;""))</f>
        <v/>
      </c>
      <c r="O784">
        <f>IF($U784="","",IF(ISNUMBER(INDEX(상세표[종료],$U784)),TEXT(INDEX(상세표[종료],$U784),"yyyy-mm-dd hh:mm"),INDEX(상세표[종료],$U784)&amp;""))</f>
        <v/>
      </c>
      <c r="P784">
        <f>IF($U784="","",INDEX(상세표[06~07시],$U784))</f>
        <v/>
      </c>
      <c r="Q784">
        <f>IF($U784="","",INDEX(상세표[07~18시],$U784))</f>
        <v/>
      </c>
      <c r="R784">
        <f>IF($U784="","",INDEX(상세표[18~22시],$U784))</f>
        <v/>
      </c>
      <c r="S784">
        <f>IF($U784="","",INDEX(상세표[22~06시],$U784))</f>
        <v/>
      </c>
      <c r="T784">
        <f>IF($U784="","",INDEX(상세표[기록 시간외],$U784))</f>
        <v/>
      </c>
      <c r="U784" s="4">
        <f>IFERROR(MATCH(779,상세표[발송순번],0),"")</f>
        <v/>
      </c>
    </row>
    <row r="785">
      <c r="J785">
        <f>IF($U785="","",INDEX(상세표[사번],$U785)&amp;"")</f>
        <v/>
      </c>
      <c r="K785">
        <f>IF($U785="","",INDEX(상세표[성명],$U785)&amp;"")</f>
        <v/>
      </c>
      <c r="L785">
        <f>IF($U785="","",INDEX(상세표[직위],$U785)&amp;"")</f>
        <v/>
      </c>
      <c r="M785">
        <f>IF($U785="","",IF(ISNUMBER(INDEX(상세표[근무일자],$U785)),TEXT(INDEX(상세표[근무일자],$U785),"yyyy-mm-dd"),INDEX(상세표[근무일자],$U785)&amp;""))</f>
        <v/>
      </c>
      <c r="N785">
        <f>IF($U785="","",IF(ISNUMBER(INDEX(상세표[시작],$U785)),TEXT(INDEX(상세표[시작],$U785),"yyyy-mm-dd hh:mm"),INDEX(상세표[시작],$U785)&amp;""))</f>
        <v/>
      </c>
      <c r="O785">
        <f>IF($U785="","",IF(ISNUMBER(INDEX(상세표[종료],$U785)),TEXT(INDEX(상세표[종료],$U785),"yyyy-mm-dd hh:mm"),INDEX(상세표[종료],$U785)&amp;""))</f>
        <v/>
      </c>
      <c r="P785">
        <f>IF($U785="","",INDEX(상세표[06~07시],$U785))</f>
        <v/>
      </c>
      <c r="Q785">
        <f>IF($U785="","",INDEX(상세표[07~18시],$U785))</f>
        <v/>
      </c>
      <c r="R785">
        <f>IF($U785="","",INDEX(상세표[18~22시],$U785))</f>
        <v/>
      </c>
      <c r="S785">
        <f>IF($U785="","",INDEX(상세표[22~06시],$U785))</f>
        <v/>
      </c>
      <c r="T785">
        <f>IF($U785="","",INDEX(상세표[기록 시간외],$U785))</f>
        <v/>
      </c>
      <c r="U785" s="4">
        <f>IFERROR(MATCH(780,상세표[발송순번],0),"")</f>
        <v/>
      </c>
    </row>
    <row r="786">
      <c r="J786">
        <f>IF($U786="","",INDEX(상세표[사번],$U786)&amp;"")</f>
        <v/>
      </c>
      <c r="K786">
        <f>IF($U786="","",INDEX(상세표[성명],$U786)&amp;"")</f>
        <v/>
      </c>
      <c r="L786">
        <f>IF($U786="","",INDEX(상세표[직위],$U786)&amp;"")</f>
        <v/>
      </c>
      <c r="M786">
        <f>IF($U786="","",IF(ISNUMBER(INDEX(상세표[근무일자],$U786)),TEXT(INDEX(상세표[근무일자],$U786),"yyyy-mm-dd"),INDEX(상세표[근무일자],$U786)&amp;""))</f>
        <v/>
      </c>
      <c r="N786">
        <f>IF($U786="","",IF(ISNUMBER(INDEX(상세표[시작],$U786)),TEXT(INDEX(상세표[시작],$U786),"yyyy-mm-dd hh:mm"),INDEX(상세표[시작],$U786)&amp;""))</f>
        <v/>
      </c>
      <c r="O786">
        <f>IF($U786="","",IF(ISNUMBER(INDEX(상세표[종료],$U786)),TEXT(INDEX(상세표[종료],$U786),"yyyy-mm-dd hh:mm"),INDEX(상세표[종료],$U786)&amp;""))</f>
        <v/>
      </c>
      <c r="P786">
        <f>IF($U786="","",INDEX(상세표[06~07시],$U786))</f>
        <v/>
      </c>
      <c r="Q786">
        <f>IF($U786="","",INDEX(상세표[07~18시],$U786))</f>
        <v/>
      </c>
      <c r="R786">
        <f>IF($U786="","",INDEX(상세표[18~22시],$U786))</f>
        <v/>
      </c>
      <c r="S786">
        <f>IF($U786="","",INDEX(상세표[22~06시],$U786))</f>
        <v/>
      </c>
      <c r="T786">
        <f>IF($U786="","",INDEX(상세표[기록 시간외],$U786))</f>
        <v/>
      </c>
      <c r="U786" s="4">
        <f>IFERROR(MATCH(781,상세표[발송순번],0),"")</f>
        <v/>
      </c>
    </row>
    <row r="787">
      <c r="J787">
        <f>IF($U787="","",INDEX(상세표[사번],$U787)&amp;"")</f>
        <v/>
      </c>
      <c r="K787">
        <f>IF($U787="","",INDEX(상세표[성명],$U787)&amp;"")</f>
        <v/>
      </c>
      <c r="L787">
        <f>IF($U787="","",INDEX(상세표[직위],$U787)&amp;"")</f>
        <v/>
      </c>
      <c r="M787">
        <f>IF($U787="","",IF(ISNUMBER(INDEX(상세표[근무일자],$U787)),TEXT(INDEX(상세표[근무일자],$U787),"yyyy-mm-dd"),INDEX(상세표[근무일자],$U787)&amp;""))</f>
        <v/>
      </c>
      <c r="N787">
        <f>IF($U787="","",IF(ISNUMBER(INDEX(상세표[시작],$U787)),TEXT(INDEX(상세표[시작],$U787),"yyyy-mm-dd hh:mm"),INDEX(상세표[시작],$U787)&amp;""))</f>
        <v/>
      </c>
      <c r="O787">
        <f>IF($U787="","",IF(ISNUMBER(INDEX(상세표[종료],$U787)),TEXT(INDEX(상세표[종료],$U787),"yyyy-mm-dd hh:mm"),INDEX(상세표[종료],$U787)&amp;""))</f>
        <v/>
      </c>
      <c r="P787">
        <f>IF($U787="","",INDEX(상세표[06~07시],$U787))</f>
        <v/>
      </c>
      <c r="Q787">
        <f>IF($U787="","",INDEX(상세표[07~18시],$U787))</f>
        <v/>
      </c>
      <c r="R787">
        <f>IF($U787="","",INDEX(상세표[18~22시],$U787))</f>
        <v/>
      </c>
      <c r="S787">
        <f>IF($U787="","",INDEX(상세표[22~06시],$U787))</f>
        <v/>
      </c>
      <c r="T787">
        <f>IF($U787="","",INDEX(상세표[기록 시간외],$U787))</f>
        <v/>
      </c>
      <c r="U787" s="4">
        <f>IFERROR(MATCH(782,상세표[발송순번],0),"")</f>
        <v/>
      </c>
    </row>
    <row r="788">
      <c r="J788">
        <f>IF($U788="","",INDEX(상세표[사번],$U788)&amp;"")</f>
        <v/>
      </c>
      <c r="K788">
        <f>IF($U788="","",INDEX(상세표[성명],$U788)&amp;"")</f>
        <v/>
      </c>
      <c r="L788">
        <f>IF($U788="","",INDEX(상세표[직위],$U788)&amp;"")</f>
        <v/>
      </c>
      <c r="M788">
        <f>IF($U788="","",IF(ISNUMBER(INDEX(상세표[근무일자],$U788)),TEXT(INDEX(상세표[근무일자],$U788),"yyyy-mm-dd"),INDEX(상세표[근무일자],$U788)&amp;""))</f>
        <v/>
      </c>
      <c r="N788">
        <f>IF($U788="","",IF(ISNUMBER(INDEX(상세표[시작],$U788)),TEXT(INDEX(상세표[시작],$U788),"yyyy-mm-dd hh:mm"),INDEX(상세표[시작],$U788)&amp;""))</f>
        <v/>
      </c>
      <c r="O788">
        <f>IF($U788="","",IF(ISNUMBER(INDEX(상세표[종료],$U788)),TEXT(INDEX(상세표[종료],$U788),"yyyy-mm-dd hh:mm"),INDEX(상세표[종료],$U788)&amp;""))</f>
        <v/>
      </c>
      <c r="P788">
        <f>IF($U788="","",INDEX(상세표[06~07시],$U788))</f>
        <v/>
      </c>
      <c r="Q788">
        <f>IF($U788="","",INDEX(상세표[07~18시],$U788))</f>
        <v/>
      </c>
      <c r="R788">
        <f>IF($U788="","",INDEX(상세표[18~22시],$U788))</f>
        <v/>
      </c>
      <c r="S788">
        <f>IF($U788="","",INDEX(상세표[22~06시],$U788))</f>
        <v/>
      </c>
      <c r="T788">
        <f>IF($U788="","",INDEX(상세표[기록 시간외],$U788))</f>
        <v/>
      </c>
      <c r="U788" s="4">
        <f>IFERROR(MATCH(783,상세표[발송순번],0),"")</f>
        <v/>
      </c>
    </row>
    <row r="789">
      <c r="J789">
        <f>IF($U789="","",INDEX(상세표[사번],$U789)&amp;"")</f>
        <v/>
      </c>
      <c r="K789">
        <f>IF($U789="","",INDEX(상세표[성명],$U789)&amp;"")</f>
        <v/>
      </c>
      <c r="L789">
        <f>IF($U789="","",INDEX(상세표[직위],$U789)&amp;"")</f>
        <v/>
      </c>
      <c r="M789">
        <f>IF($U789="","",IF(ISNUMBER(INDEX(상세표[근무일자],$U789)),TEXT(INDEX(상세표[근무일자],$U789),"yyyy-mm-dd"),INDEX(상세표[근무일자],$U789)&amp;""))</f>
        <v/>
      </c>
      <c r="N789">
        <f>IF($U789="","",IF(ISNUMBER(INDEX(상세표[시작],$U789)),TEXT(INDEX(상세표[시작],$U789),"yyyy-mm-dd hh:mm"),INDEX(상세표[시작],$U789)&amp;""))</f>
        <v/>
      </c>
      <c r="O789">
        <f>IF($U789="","",IF(ISNUMBER(INDEX(상세표[종료],$U789)),TEXT(INDEX(상세표[종료],$U789),"yyyy-mm-dd hh:mm"),INDEX(상세표[종료],$U789)&amp;""))</f>
        <v/>
      </c>
      <c r="P789">
        <f>IF($U789="","",INDEX(상세표[06~07시],$U789))</f>
        <v/>
      </c>
      <c r="Q789">
        <f>IF($U789="","",INDEX(상세표[07~18시],$U789))</f>
        <v/>
      </c>
      <c r="R789">
        <f>IF($U789="","",INDEX(상세표[18~22시],$U789))</f>
        <v/>
      </c>
      <c r="S789">
        <f>IF($U789="","",INDEX(상세표[22~06시],$U789))</f>
        <v/>
      </c>
      <c r="T789">
        <f>IF($U789="","",INDEX(상세표[기록 시간외],$U789))</f>
        <v/>
      </c>
      <c r="U789" s="4">
        <f>IFERROR(MATCH(784,상세표[발송순번],0),"")</f>
        <v/>
      </c>
    </row>
    <row r="790">
      <c r="J790">
        <f>IF($U790="","",INDEX(상세표[사번],$U790)&amp;"")</f>
        <v/>
      </c>
      <c r="K790">
        <f>IF($U790="","",INDEX(상세표[성명],$U790)&amp;"")</f>
        <v/>
      </c>
      <c r="L790">
        <f>IF($U790="","",INDEX(상세표[직위],$U790)&amp;"")</f>
        <v/>
      </c>
      <c r="M790">
        <f>IF($U790="","",IF(ISNUMBER(INDEX(상세표[근무일자],$U790)),TEXT(INDEX(상세표[근무일자],$U790),"yyyy-mm-dd"),INDEX(상세표[근무일자],$U790)&amp;""))</f>
        <v/>
      </c>
      <c r="N790">
        <f>IF($U790="","",IF(ISNUMBER(INDEX(상세표[시작],$U790)),TEXT(INDEX(상세표[시작],$U790),"yyyy-mm-dd hh:mm"),INDEX(상세표[시작],$U790)&amp;""))</f>
        <v/>
      </c>
      <c r="O790">
        <f>IF($U790="","",IF(ISNUMBER(INDEX(상세표[종료],$U790)),TEXT(INDEX(상세표[종료],$U790),"yyyy-mm-dd hh:mm"),INDEX(상세표[종료],$U790)&amp;""))</f>
        <v/>
      </c>
      <c r="P790">
        <f>IF($U790="","",INDEX(상세표[06~07시],$U790))</f>
        <v/>
      </c>
      <c r="Q790">
        <f>IF($U790="","",INDEX(상세표[07~18시],$U790))</f>
        <v/>
      </c>
      <c r="R790">
        <f>IF($U790="","",INDEX(상세표[18~22시],$U790))</f>
        <v/>
      </c>
      <c r="S790">
        <f>IF($U790="","",INDEX(상세표[22~06시],$U790))</f>
        <v/>
      </c>
      <c r="T790">
        <f>IF($U790="","",INDEX(상세표[기록 시간외],$U790))</f>
        <v/>
      </c>
      <c r="U790" s="4">
        <f>IFERROR(MATCH(785,상세표[발송순번],0),"")</f>
        <v/>
      </c>
    </row>
    <row r="791">
      <c r="J791">
        <f>IF($U791="","",INDEX(상세표[사번],$U791)&amp;"")</f>
        <v/>
      </c>
      <c r="K791">
        <f>IF($U791="","",INDEX(상세표[성명],$U791)&amp;"")</f>
        <v/>
      </c>
      <c r="L791">
        <f>IF($U791="","",INDEX(상세표[직위],$U791)&amp;"")</f>
        <v/>
      </c>
      <c r="M791">
        <f>IF($U791="","",IF(ISNUMBER(INDEX(상세표[근무일자],$U791)),TEXT(INDEX(상세표[근무일자],$U791),"yyyy-mm-dd"),INDEX(상세표[근무일자],$U791)&amp;""))</f>
        <v/>
      </c>
      <c r="N791">
        <f>IF($U791="","",IF(ISNUMBER(INDEX(상세표[시작],$U791)),TEXT(INDEX(상세표[시작],$U791),"yyyy-mm-dd hh:mm"),INDEX(상세표[시작],$U791)&amp;""))</f>
        <v/>
      </c>
      <c r="O791">
        <f>IF($U791="","",IF(ISNUMBER(INDEX(상세표[종료],$U791)),TEXT(INDEX(상세표[종료],$U791),"yyyy-mm-dd hh:mm"),INDEX(상세표[종료],$U791)&amp;""))</f>
        <v/>
      </c>
      <c r="P791">
        <f>IF($U791="","",INDEX(상세표[06~07시],$U791))</f>
        <v/>
      </c>
      <c r="Q791">
        <f>IF($U791="","",INDEX(상세표[07~18시],$U791))</f>
        <v/>
      </c>
      <c r="R791">
        <f>IF($U791="","",INDEX(상세표[18~22시],$U791))</f>
        <v/>
      </c>
      <c r="S791">
        <f>IF($U791="","",INDEX(상세표[22~06시],$U791))</f>
        <v/>
      </c>
      <c r="T791">
        <f>IF($U791="","",INDEX(상세표[기록 시간외],$U791))</f>
        <v/>
      </c>
      <c r="U791" s="4">
        <f>IFERROR(MATCH(786,상세표[발송순번],0),"")</f>
        <v/>
      </c>
    </row>
    <row r="792">
      <c r="J792">
        <f>IF($U792="","",INDEX(상세표[사번],$U792)&amp;"")</f>
        <v/>
      </c>
      <c r="K792">
        <f>IF($U792="","",INDEX(상세표[성명],$U792)&amp;"")</f>
        <v/>
      </c>
      <c r="L792">
        <f>IF($U792="","",INDEX(상세표[직위],$U792)&amp;"")</f>
        <v/>
      </c>
      <c r="M792">
        <f>IF($U792="","",IF(ISNUMBER(INDEX(상세표[근무일자],$U792)),TEXT(INDEX(상세표[근무일자],$U792),"yyyy-mm-dd"),INDEX(상세표[근무일자],$U792)&amp;""))</f>
        <v/>
      </c>
      <c r="N792">
        <f>IF($U792="","",IF(ISNUMBER(INDEX(상세표[시작],$U792)),TEXT(INDEX(상세표[시작],$U792),"yyyy-mm-dd hh:mm"),INDEX(상세표[시작],$U792)&amp;""))</f>
        <v/>
      </c>
      <c r="O792">
        <f>IF($U792="","",IF(ISNUMBER(INDEX(상세표[종료],$U792)),TEXT(INDEX(상세표[종료],$U792),"yyyy-mm-dd hh:mm"),INDEX(상세표[종료],$U792)&amp;""))</f>
        <v/>
      </c>
      <c r="P792">
        <f>IF($U792="","",INDEX(상세표[06~07시],$U792))</f>
        <v/>
      </c>
      <c r="Q792">
        <f>IF($U792="","",INDEX(상세표[07~18시],$U792))</f>
        <v/>
      </c>
      <c r="R792">
        <f>IF($U792="","",INDEX(상세표[18~22시],$U792))</f>
        <v/>
      </c>
      <c r="S792">
        <f>IF($U792="","",INDEX(상세표[22~06시],$U792))</f>
        <v/>
      </c>
      <c r="T792">
        <f>IF($U792="","",INDEX(상세표[기록 시간외],$U792))</f>
        <v/>
      </c>
      <c r="U792" s="4">
        <f>IFERROR(MATCH(787,상세표[발송순번],0),"")</f>
        <v/>
      </c>
    </row>
    <row r="793">
      <c r="J793">
        <f>IF($U793="","",INDEX(상세표[사번],$U793)&amp;"")</f>
        <v/>
      </c>
      <c r="K793">
        <f>IF($U793="","",INDEX(상세표[성명],$U793)&amp;"")</f>
        <v/>
      </c>
      <c r="L793">
        <f>IF($U793="","",INDEX(상세표[직위],$U793)&amp;"")</f>
        <v/>
      </c>
      <c r="M793">
        <f>IF($U793="","",IF(ISNUMBER(INDEX(상세표[근무일자],$U793)),TEXT(INDEX(상세표[근무일자],$U793),"yyyy-mm-dd"),INDEX(상세표[근무일자],$U793)&amp;""))</f>
        <v/>
      </c>
      <c r="N793">
        <f>IF($U793="","",IF(ISNUMBER(INDEX(상세표[시작],$U793)),TEXT(INDEX(상세표[시작],$U793),"yyyy-mm-dd hh:mm"),INDEX(상세표[시작],$U793)&amp;""))</f>
        <v/>
      </c>
      <c r="O793">
        <f>IF($U793="","",IF(ISNUMBER(INDEX(상세표[종료],$U793)),TEXT(INDEX(상세표[종료],$U793),"yyyy-mm-dd hh:mm"),INDEX(상세표[종료],$U793)&amp;""))</f>
        <v/>
      </c>
      <c r="P793">
        <f>IF($U793="","",INDEX(상세표[06~07시],$U793))</f>
        <v/>
      </c>
      <c r="Q793">
        <f>IF($U793="","",INDEX(상세표[07~18시],$U793))</f>
        <v/>
      </c>
      <c r="R793">
        <f>IF($U793="","",INDEX(상세표[18~22시],$U793))</f>
        <v/>
      </c>
      <c r="S793">
        <f>IF($U793="","",INDEX(상세표[22~06시],$U793))</f>
        <v/>
      </c>
      <c r="T793">
        <f>IF($U793="","",INDEX(상세표[기록 시간외],$U793))</f>
        <v/>
      </c>
      <c r="U793" s="4">
        <f>IFERROR(MATCH(788,상세표[발송순번],0),"")</f>
        <v/>
      </c>
    </row>
    <row r="794">
      <c r="J794">
        <f>IF($U794="","",INDEX(상세표[사번],$U794)&amp;"")</f>
        <v/>
      </c>
      <c r="K794">
        <f>IF($U794="","",INDEX(상세표[성명],$U794)&amp;"")</f>
        <v/>
      </c>
      <c r="L794">
        <f>IF($U794="","",INDEX(상세표[직위],$U794)&amp;"")</f>
        <v/>
      </c>
      <c r="M794">
        <f>IF($U794="","",IF(ISNUMBER(INDEX(상세표[근무일자],$U794)),TEXT(INDEX(상세표[근무일자],$U794),"yyyy-mm-dd"),INDEX(상세표[근무일자],$U794)&amp;""))</f>
        <v/>
      </c>
      <c r="N794">
        <f>IF($U794="","",IF(ISNUMBER(INDEX(상세표[시작],$U794)),TEXT(INDEX(상세표[시작],$U794),"yyyy-mm-dd hh:mm"),INDEX(상세표[시작],$U794)&amp;""))</f>
        <v/>
      </c>
      <c r="O794">
        <f>IF($U794="","",IF(ISNUMBER(INDEX(상세표[종료],$U794)),TEXT(INDEX(상세표[종료],$U794),"yyyy-mm-dd hh:mm"),INDEX(상세표[종료],$U794)&amp;""))</f>
        <v/>
      </c>
      <c r="P794">
        <f>IF($U794="","",INDEX(상세표[06~07시],$U794))</f>
        <v/>
      </c>
      <c r="Q794">
        <f>IF($U794="","",INDEX(상세표[07~18시],$U794))</f>
        <v/>
      </c>
      <c r="R794">
        <f>IF($U794="","",INDEX(상세표[18~22시],$U794))</f>
        <v/>
      </c>
      <c r="S794">
        <f>IF($U794="","",INDEX(상세표[22~06시],$U794))</f>
        <v/>
      </c>
      <c r="T794">
        <f>IF($U794="","",INDEX(상세표[기록 시간외],$U794))</f>
        <v/>
      </c>
      <c r="U794" s="4">
        <f>IFERROR(MATCH(789,상세표[발송순번],0),"")</f>
        <v/>
      </c>
    </row>
    <row r="795">
      <c r="J795">
        <f>IF($U795="","",INDEX(상세표[사번],$U795)&amp;"")</f>
        <v/>
      </c>
      <c r="K795">
        <f>IF($U795="","",INDEX(상세표[성명],$U795)&amp;"")</f>
        <v/>
      </c>
      <c r="L795">
        <f>IF($U795="","",INDEX(상세표[직위],$U795)&amp;"")</f>
        <v/>
      </c>
      <c r="M795">
        <f>IF($U795="","",IF(ISNUMBER(INDEX(상세표[근무일자],$U795)),TEXT(INDEX(상세표[근무일자],$U795),"yyyy-mm-dd"),INDEX(상세표[근무일자],$U795)&amp;""))</f>
        <v/>
      </c>
      <c r="N795">
        <f>IF($U795="","",IF(ISNUMBER(INDEX(상세표[시작],$U795)),TEXT(INDEX(상세표[시작],$U795),"yyyy-mm-dd hh:mm"),INDEX(상세표[시작],$U795)&amp;""))</f>
        <v/>
      </c>
      <c r="O795">
        <f>IF($U795="","",IF(ISNUMBER(INDEX(상세표[종료],$U795)),TEXT(INDEX(상세표[종료],$U795),"yyyy-mm-dd hh:mm"),INDEX(상세표[종료],$U795)&amp;""))</f>
        <v/>
      </c>
      <c r="P795">
        <f>IF($U795="","",INDEX(상세표[06~07시],$U795))</f>
        <v/>
      </c>
      <c r="Q795">
        <f>IF($U795="","",INDEX(상세표[07~18시],$U795))</f>
        <v/>
      </c>
      <c r="R795">
        <f>IF($U795="","",INDEX(상세표[18~22시],$U795))</f>
        <v/>
      </c>
      <c r="S795">
        <f>IF($U795="","",INDEX(상세표[22~06시],$U795))</f>
        <v/>
      </c>
      <c r="T795">
        <f>IF($U795="","",INDEX(상세표[기록 시간외],$U795))</f>
        <v/>
      </c>
      <c r="U795" s="4">
        <f>IFERROR(MATCH(790,상세표[발송순번],0),"")</f>
        <v/>
      </c>
    </row>
    <row r="796">
      <c r="J796">
        <f>IF($U796="","",INDEX(상세표[사번],$U796)&amp;"")</f>
        <v/>
      </c>
      <c r="K796">
        <f>IF($U796="","",INDEX(상세표[성명],$U796)&amp;"")</f>
        <v/>
      </c>
      <c r="L796">
        <f>IF($U796="","",INDEX(상세표[직위],$U796)&amp;"")</f>
        <v/>
      </c>
      <c r="M796">
        <f>IF($U796="","",IF(ISNUMBER(INDEX(상세표[근무일자],$U796)),TEXT(INDEX(상세표[근무일자],$U796),"yyyy-mm-dd"),INDEX(상세표[근무일자],$U796)&amp;""))</f>
        <v/>
      </c>
      <c r="N796">
        <f>IF($U796="","",IF(ISNUMBER(INDEX(상세표[시작],$U796)),TEXT(INDEX(상세표[시작],$U796),"yyyy-mm-dd hh:mm"),INDEX(상세표[시작],$U796)&amp;""))</f>
        <v/>
      </c>
      <c r="O796">
        <f>IF($U796="","",IF(ISNUMBER(INDEX(상세표[종료],$U796)),TEXT(INDEX(상세표[종료],$U796),"yyyy-mm-dd hh:mm"),INDEX(상세표[종료],$U796)&amp;""))</f>
        <v/>
      </c>
      <c r="P796">
        <f>IF($U796="","",INDEX(상세표[06~07시],$U796))</f>
        <v/>
      </c>
      <c r="Q796">
        <f>IF($U796="","",INDEX(상세표[07~18시],$U796))</f>
        <v/>
      </c>
      <c r="R796">
        <f>IF($U796="","",INDEX(상세표[18~22시],$U796))</f>
        <v/>
      </c>
      <c r="S796">
        <f>IF($U796="","",INDEX(상세표[22~06시],$U796))</f>
        <v/>
      </c>
      <c r="T796">
        <f>IF($U796="","",INDEX(상세표[기록 시간외],$U796))</f>
        <v/>
      </c>
      <c r="U796" s="4">
        <f>IFERROR(MATCH(791,상세표[발송순번],0),"")</f>
        <v/>
      </c>
    </row>
    <row r="797">
      <c r="J797">
        <f>IF($U797="","",INDEX(상세표[사번],$U797)&amp;"")</f>
        <v/>
      </c>
      <c r="K797">
        <f>IF($U797="","",INDEX(상세표[성명],$U797)&amp;"")</f>
        <v/>
      </c>
      <c r="L797">
        <f>IF($U797="","",INDEX(상세표[직위],$U797)&amp;"")</f>
        <v/>
      </c>
      <c r="M797">
        <f>IF($U797="","",IF(ISNUMBER(INDEX(상세표[근무일자],$U797)),TEXT(INDEX(상세표[근무일자],$U797),"yyyy-mm-dd"),INDEX(상세표[근무일자],$U797)&amp;""))</f>
        <v/>
      </c>
      <c r="N797">
        <f>IF($U797="","",IF(ISNUMBER(INDEX(상세표[시작],$U797)),TEXT(INDEX(상세표[시작],$U797),"yyyy-mm-dd hh:mm"),INDEX(상세표[시작],$U797)&amp;""))</f>
        <v/>
      </c>
      <c r="O797">
        <f>IF($U797="","",IF(ISNUMBER(INDEX(상세표[종료],$U797)),TEXT(INDEX(상세표[종료],$U797),"yyyy-mm-dd hh:mm"),INDEX(상세표[종료],$U797)&amp;""))</f>
        <v/>
      </c>
      <c r="P797">
        <f>IF($U797="","",INDEX(상세표[06~07시],$U797))</f>
        <v/>
      </c>
      <c r="Q797">
        <f>IF($U797="","",INDEX(상세표[07~18시],$U797))</f>
        <v/>
      </c>
      <c r="R797">
        <f>IF($U797="","",INDEX(상세표[18~22시],$U797))</f>
        <v/>
      </c>
      <c r="S797">
        <f>IF($U797="","",INDEX(상세표[22~06시],$U797))</f>
        <v/>
      </c>
      <c r="T797">
        <f>IF($U797="","",INDEX(상세표[기록 시간외],$U797))</f>
        <v/>
      </c>
      <c r="U797" s="4">
        <f>IFERROR(MATCH(792,상세표[발송순번],0),"")</f>
        <v/>
      </c>
    </row>
    <row r="798">
      <c r="J798">
        <f>IF($U798="","",INDEX(상세표[사번],$U798)&amp;"")</f>
        <v/>
      </c>
      <c r="K798">
        <f>IF($U798="","",INDEX(상세표[성명],$U798)&amp;"")</f>
        <v/>
      </c>
      <c r="L798">
        <f>IF($U798="","",INDEX(상세표[직위],$U798)&amp;"")</f>
        <v/>
      </c>
      <c r="M798">
        <f>IF($U798="","",IF(ISNUMBER(INDEX(상세표[근무일자],$U798)),TEXT(INDEX(상세표[근무일자],$U798),"yyyy-mm-dd"),INDEX(상세표[근무일자],$U798)&amp;""))</f>
        <v/>
      </c>
      <c r="N798">
        <f>IF($U798="","",IF(ISNUMBER(INDEX(상세표[시작],$U798)),TEXT(INDEX(상세표[시작],$U798),"yyyy-mm-dd hh:mm"),INDEX(상세표[시작],$U798)&amp;""))</f>
        <v/>
      </c>
      <c r="O798">
        <f>IF($U798="","",IF(ISNUMBER(INDEX(상세표[종료],$U798)),TEXT(INDEX(상세표[종료],$U798),"yyyy-mm-dd hh:mm"),INDEX(상세표[종료],$U798)&amp;""))</f>
        <v/>
      </c>
      <c r="P798">
        <f>IF($U798="","",INDEX(상세표[06~07시],$U798))</f>
        <v/>
      </c>
      <c r="Q798">
        <f>IF($U798="","",INDEX(상세표[07~18시],$U798))</f>
        <v/>
      </c>
      <c r="R798">
        <f>IF($U798="","",INDEX(상세표[18~22시],$U798))</f>
        <v/>
      </c>
      <c r="S798">
        <f>IF($U798="","",INDEX(상세표[22~06시],$U798))</f>
        <v/>
      </c>
      <c r="T798">
        <f>IF($U798="","",INDEX(상세표[기록 시간외],$U798))</f>
        <v/>
      </c>
      <c r="U798" s="4">
        <f>IFERROR(MATCH(793,상세표[발송순번],0),"")</f>
        <v/>
      </c>
    </row>
    <row r="799">
      <c r="J799">
        <f>IF($U799="","",INDEX(상세표[사번],$U799)&amp;"")</f>
        <v/>
      </c>
      <c r="K799">
        <f>IF($U799="","",INDEX(상세표[성명],$U799)&amp;"")</f>
        <v/>
      </c>
      <c r="L799">
        <f>IF($U799="","",INDEX(상세표[직위],$U799)&amp;"")</f>
        <v/>
      </c>
      <c r="M799">
        <f>IF($U799="","",IF(ISNUMBER(INDEX(상세표[근무일자],$U799)),TEXT(INDEX(상세표[근무일자],$U799),"yyyy-mm-dd"),INDEX(상세표[근무일자],$U799)&amp;""))</f>
        <v/>
      </c>
      <c r="N799">
        <f>IF($U799="","",IF(ISNUMBER(INDEX(상세표[시작],$U799)),TEXT(INDEX(상세표[시작],$U799),"yyyy-mm-dd hh:mm"),INDEX(상세표[시작],$U799)&amp;""))</f>
        <v/>
      </c>
      <c r="O799">
        <f>IF($U799="","",IF(ISNUMBER(INDEX(상세표[종료],$U799)),TEXT(INDEX(상세표[종료],$U799),"yyyy-mm-dd hh:mm"),INDEX(상세표[종료],$U799)&amp;""))</f>
        <v/>
      </c>
      <c r="P799">
        <f>IF($U799="","",INDEX(상세표[06~07시],$U799))</f>
        <v/>
      </c>
      <c r="Q799">
        <f>IF($U799="","",INDEX(상세표[07~18시],$U799))</f>
        <v/>
      </c>
      <c r="R799">
        <f>IF($U799="","",INDEX(상세표[18~22시],$U799))</f>
        <v/>
      </c>
      <c r="S799">
        <f>IF($U799="","",INDEX(상세표[22~06시],$U799))</f>
        <v/>
      </c>
      <c r="T799">
        <f>IF($U799="","",INDEX(상세표[기록 시간외],$U799))</f>
        <v/>
      </c>
      <c r="U799" s="4">
        <f>IFERROR(MATCH(794,상세표[발송순번],0),"")</f>
        <v/>
      </c>
    </row>
    <row r="800">
      <c r="J800">
        <f>IF($U800="","",INDEX(상세표[사번],$U800)&amp;"")</f>
        <v/>
      </c>
      <c r="K800">
        <f>IF($U800="","",INDEX(상세표[성명],$U800)&amp;"")</f>
        <v/>
      </c>
      <c r="L800">
        <f>IF($U800="","",INDEX(상세표[직위],$U800)&amp;"")</f>
        <v/>
      </c>
      <c r="M800">
        <f>IF($U800="","",IF(ISNUMBER(INDEX(상세표[근무일자],$U800)),TEXT(INDEX(상세표[근무일자],$U800),"yyyy-mm-dd"),INDEX(상세표[근무일자],$U800)&amp;""))</f>
        <v/>
      </c>
      <c r="N800">
        <f>IF($U800="","",IF(ISNUMBER(INDEX(상세표[시작],$U800)),TEXT(INDEX(상세표[시작],$U800),"yyyy-mm-dd hh:mm"),INDEX(상세표[시작],$U800)&amp;""))</f>
        <v/>
      </c>
      <c r="O800">
        <f>IF($U800="","",IF(ISNUMBER(INDEX(상세표[종료],$U800)),TEXT(INDEX(상세표[종료],$U800),"yyyy-mm-dd hh:mm"),INDEX(상세표[종료],$U800)&amp;""))</f>
        <v/>
      </c>
      <c r="P800">
        <f>IF($U800="","",INDEX(상세표[06~07시],$U800))</f>
        <v/>
      </c>
      <c r="Q800">
        <f>IF($U800="","",INDEX(상세표[07~18시],$U800))</f>
        <v/>
      </c>
      <c r="R800">
        <f>IF($U800="","",INDEX(상세표[18~22시],$U800))</f>
        <v/>
      </c>
      <c r="S800">
        <f>IF($U800="","",INDEX(상세표[22~06시],$U800))</f>
        <v/>
      </c>
      <c r="T800">
        <f>IF($U800="","",INDEX(상세표[기록 시간외],$U800))</f>
        <v/>
      </c>
      <c r="U800" s="4">
        <f>IFERROR(MATCH(795,상세표[발송순번],0),"")</f>
        <v/>
      </c>
    </row>
    <row r="801">
      <c r="J801">
        <f>IF($U801="","",INDEX(상세표[사번],$U801)&amp;"")</f>
        <v/>
      </c>
      <c r="K801">
        <f>IF($U801="","",INDEX(상세표[성명],$U801)&amp;"")</f>
        <v/>
      </c>
      <c r="L801">
        <f>IF($U801="","",INDEX(상세표[직위],$U801)&amp;"")</f>
        <v/>
      </c>
      <c r="M801">
        <f>IF($U801="","",IF(ISNUMBER(INDEX(상세표[근무일자],$U801)),TEXT(INDEX(상세표[근무일자],$U801),"yyyy-mm-dd"),INDEX(상세표[근무일자],$U801)&amp;""))</f>
        <v/>
      </c>
      <c r="N801">
        <f>IF($U801="","",IF(ISNUMBER(INDEX(상세표[시작],$U801)),TEXT(INDEX(상세표[시작],$U801),"yyyy-mm-dd hh:mm"),INDEX(상세표[시작],$U801)&amp;""))</f>
        <v/>
      </c>
      <c r="O801">
        <f>IF($U801="","",IF(ISNUMBER(INDEX(상세표[종료],$U801)),TEXT(INDEX(상세표[종료],$U801),"yyyy-mm-dd hh:mm"),INDEX(상세표[종료],$U801)&amp;""))</f>
        <v/>
      </c>
      <c r="P801">
        <f>IF($U801="","",INDEX(상세표[06~07시],$U801))</f>
        <v/>
      </c>
      <c r="Q801">
        <f>IF($U801="","",INDEX(상세표[07~18시],$U801))</f>
        <v/>
      </c>
      <c r="R801">
        <f>IF($U801="","",INDEX(상세표[18~22시],$U801))</f>
        <v/>
      </c>
      <c r="S801">
        <f>IF($U801="","",INDEX(상세표[22~06시],$U801))</f>
        <v/>
      </c>
      <c r="T801">
        <f>IF($U801="","",INDEX(상세표[기록 시간외],$U801))</f>
        <v/>
      </c>
      <c r="U801" s="4">
        <f>IFERROR(MATCH(796,상세표[발송순번],0),"")</f>
        <v/>
      </c>
    </row>
    <row r="802">
      <c r="J802">
        <f>IF($U802="","",INDEX(상세표[사번],$U802)&amp;"")</f>
        <v/>
      </c>
      <c r="K802">
        <f>IF($U802="","",INDEX(상세표[성명],$U802)&amp;"")</f>
        <v/>
      </c>
      <c r="L802">
        <f>IF($U802="","",INDEX(상세표[직위],$U802)&amp;"")</f>
        <v/>
      </c>
      <c r="M802">
        <f>IF($U802="","",IF(ISNUMBER(INDEX(상세표[근무일자],$U802)),TEXT(INDEX(상세표[근무일자],$U802),"yyyy-mm-dd"),INDEX(상세표[근무일자],$U802)&amp;""))</f>
        <v/>
      </c>
      <c r="N802">
        <f>IF($U802="","",IF(ISNUMBER(INDEX(상세표[시작],$U802)),TEXT(INDEX(상세표[시작],$U802),"yyyy-mm-dd hh:mm"),INDEX(상세표[시작],$U802)&amp;""))</f>
        <v/>
      </c>
      <c r="O802">
        <f>IF($U802="","",IF(ISNUMBER(INDEX(상세표[종료],$U802)),TEXT(INDEX(상세표[종료],$U802),"yyyy-mm-dd hh:mm"),INDEX(상세표[종료],$U802)&amp;""))</f>
        <v/>
      </c>
      <c r="P802">
        <f>IF($U802="","",INDEX(상세표[06~07시],$U802))</f>
        <v/>
      </c>
      <c r="Q802">
        <f>IF($U802="","",INDEX(상세표[07~18시],$U802))</f>
        <v/>
      </c>
      <c r="R802">
        <f>IF($U802="","",INDEX(상세표[18~22시],$U802))</f>
        <v/>
      </c>
      <c r="S802">
        <f>IF($U802="","",INDEX(상세표[22~06시],$U802))</f>
        <v/>
      </c>
      <c r="T802">
        <f>IF($U802="","",INDEX(상세표[기록 시간외],$U802))</f>
        <v/>
      </c>
      <c r="U802" s="4">
        <f>IFERROR(MATCH(797,상세표[발송순번],0),"")</f>
        <v/>
      </c>
    </row>
    <row r="803">
      <c r="J803">
        <f>IF($U803="","",INDEX(상세표[사번],$U803)&amp;"")</f>
        <v/>
      </c>
      <c r="K803">
        <f>IF($U803="","",INDEX(상세표[성명],$U803)&amp;"")</f>
        <v/>
      </c>
      <c r="L803">
        <f>IF($U803="","",INDEX(상세표[직위],$U803)&amp;"")</f>
        <v/>
      </c>
      <c r="M803">
        <f>IF($U803="","",IF(ISNUMBER(INDEX(상세표[근무일자],$U803)),TEXT(INDEX(상세표[근무일자],$U803),"yyyy-mm-dd"),INDEX(상세표[근무일자],$U803)&amp;""))</f>
        <v/>
      </c>
      <c r="N803">
        <f>IF($U803="","",IF(ISNUMBER(INDEX(상세표[시작],$U803)),TEXT(INDEX(상세표[시작],$U803),"yyyy-mm-dd hh:mm"),INDEX(상세표[시작],$U803)&amp;""))</f>
        <v/>
      </c>
      <c r="O803">
        <f>IF($U803="","",IF(ISNUMBER(INDEX(상세표[종료],$U803)),TEXT(INDEX(상세표[종료],$U803),"yyyy-mm-dd hh:mm"),INDEX(상세표[종료],$U803)&amp;""))</f>
        <v/>
      </c>
      <c r="P803">
        <f>IF($U803="","",INDEX(상세표[06~07시],$U803))</f>
        <v/>
      </c>
      <c r="Q803">
        <f>IF($U803="","",INDEX(상세표[07~18시],$U803))</f>
        <v/>
      </c>
      <c r="R803">
        <f>IF($U803="","",INDEX(상세표[18~22시],$U803))</f>
        <v/>
      </c>
      <c r="S803">
        <f>IF($U803="","",INDEX(상세표[22~06시],$U803))</f>
        <v/>
      </c>
      <c r="T803">
        <f>IF($U803="","",INDEX(상세표[기록 시간외],$U803))</f>
        <v/>
      </c>
      <c r="U803" s="4">
        <f>IFERROR(MATCH(798,상세표[발송순번],0),"")</f>
        <v/>
      </c>
    </row>
    <row r="804">
      <c r="J804">
        <f>IF($U804="","",INDEX(상세표[사번],$U804)&amp;"")</f>
        <v/>
      </c>
      <c r="K804">
        <f>IF($U804="","",INDEX(상세표[성명],$U804)&amp;"")</f>
        <v/>
      </c>
      <c r="L804">
        <f>IF($U804="","",INDEX(상세표[직위],$U804)&amp;"")</f>
        <v/>
      </c>
      <c r="M804">
        <f>IF($U804="","",IF(ISNUMBER(INDEX(상세표[근무일자],$U804)),TEXT(INDEX(상세표[근무일자],$U804),"yyyy-mm-dd"),INDEX(상세표[근무일자],$U804)&amp;""))</f>
        <v/>
      </c>
      <c r="N804">
        <f>IF($U804="","",IF(ISNUMBER(INDEX(상세표[시작],$U804)),TEXT(INDEX(상세표[시작],$U804),"yyyy-mm-dd hh:mm"),INDEX(상세표[시작],$U804)&amp;""))</f>
        <v/>
      </c>
      <c r="O804">
        <f>IF($U804="","",IF(ISNUMBER(INDEX(상세표[종료],$U804)),TEXT(INDEX(상세표[종료],$U804),"yyyy-mm-dd hh:mm"),INDEX(상세표[종료],$U804)&amp;""))</f>
        <v/>
      </c>
      <c r="P804">
        <f>IF($U804="","",INDEX(상세표[06~07시],$U804))</f>
        <v/>
      </c>
      <c r="Q804">
        <f>IF($U804="","",INDEX(상세표[07~18시],$U804))</f>
        <v/>
      </c>
      <c r="R804">
        <f>IF($U804="","",INDEX(상세표[18~22시],$U804))</f>
        <v/>
      </c>
      <c r="S804">
        <f>IF($U804="","",INDEX(상세표[22~06시],$U804))</f>
        <v/>
      </c>
      <c r="T804">
        <f>IF($U804="","",INDEX(상세표[기록 시간외],$U804))</f>
        <v/>
      </c>
      <c r="U804" s="4">
        <f>IFERROR(MATCH(799,상세표[발송순번],0),"")</f>
        <v/>
      </c>
    </row>
    <row r="805">
      <c r="J805">
        <f>IF($U805="","",INDEX(상세표[사번],$U805)&amp;"")</f>
        <v/>
      </c>
      <c r="K805">
        <f>IF($U805="","",INDEX(상세표[성명],$U805)&amp;"")</f>
        <v/>
      </c>
      <c r="L805">
        <f>IF($U805="","",INDEX(상세표[직위],$U805)&amp;"")</f>
        <v/>
      </c>
      <c r="M805">
        <f>IF($U805="","",IF(ISNUMBER(INDEX(상세표[근무일자],$U805)),TEXT(INDEX(상세표[근무일자],$U805),"yyyy-mm-dd"),INDEX(상세표[근무일자],$U805)&amp;""))</f>
        <v/>
      </c>
      <c r="N805">
        <f>IF($U805="","",IF(ISNUMBER(INDEX(상세표[시작],$U805)),TEXT(INDEX(상세표[시작],$U805),"yyyy-mm-dd hh:mm"),INDEX(상세표[시작],$U805)&amp;""))</f>
        <v/>
      </c>
      <c r="O805">
        <f>IF($U805="","",IF(ISNUMBER(INDEX(상세표[종료],$U805)),TEXT(INDEX(상세표[종료],$U805),"yyyy-mm-dd hh:mm"),INDEX(상세표[종료],$U805)&amp;""))</f>
        <v/>
      </c>
      <c r="P805">
        <f>IF($U805="","",INDEX(상세표[06~07시],$U805))</f>
        <v/>
      </c>
      <c r="Q805">
        <f>IF($U805="","",INDEX(상세표[07~18시],$U805))</f>
        <v/>
      </c>
      <c r="R805">
        <f>IF($U805="","",INDEX(상세표[18~22시],$U805))</f>
        <v/>
      </c>
      <c r="S805">
        <f>IF($U805="","",INDEX(상세표[22~06시],$U805))</f>
        <v/>
      </c>
      <c r="T805">
        <f>IF($U805="","",INDEX(상세표[기록 시간외],$U805))</f>
        <v/>
      </c>
      <c r="U805" s="4">
        <f>IFERROR(MATCH(800,상세표[발송순번],0),"")</f>
        <v/>
      </c>
    </row>
    <row r="806">
      <c r="J806">
        <f>IF($U806="","",INDEX(상세표[사번],$U806)&amp;"")</f>
        <v/>
      </c>
      <c r="K806">
        <f>IF($U806="","",INDEX(상세표[성명],$U806)&amp;"")</f>
        <v/>
      </c>
      <c r="L806">
        <f>IF($U806="","",INDEX(상세표[직위],$U806)&amp;"")</f>
        <v/>
      </c>
      <c r="M806">
        <f>IF($U806="","",IF(ISNUMBER(INDEX(상세표[근무일자],$U806)),TEXT(INDEX(상세표[근무일자],$U806),"yyyy-mm-dd"),INDEX(상세표[근무일자],$U806)&amp;""))</f>
        <v/>
      </c>
      <c r="N806">
        <f>IF($U806="","",IF(ISNUMBER(INDEX(상세표[시작],$U806)),TEXT(INDEX(상세표[시작],$U806),"yyyy-mm-dd hh:mm"),INDEX(상세표[시작],$U806)&amp;""))</f>
        <v/>
      </c>
      <c r="O806">
        <f>IF($U806="","",IF(ISNUMBER(INDEX(상세표[종료],$U806)),TEXT(INDEX(상세표[종료],$U806),"yyyy-mm-dd hh:mm"),INDEX(상세표[종료],$U806)&amp;""))</f>
        <v/>
      </c>
      <c r="P806">
        <f>IF($U806="","",INDEX(상세표[06~07시],$U806))</f>
        <v/>
      </c>
      <c r="Q806">
        <f>IF($U806="","",INDEX(상세표[07~18시],$U806))</f>
        <v/>
      </c>
      <c r="R806">
        <f>IF($U806="","",INDEX(상세표[18~22시],$U806))</f>
        <v/>
      </c>
      <c r="S806">
        <f>IF($U806="","",INDEX(상세표[22~06시],$U806))</f>
        <v/>
      </c>
      <c r="T806">
        <f>IF($U806="","",INDEX(상세표[기록 시간외],$U806))</f>
        <v/>
      </c>
      <c r="U806" s="4">
        <f>IFERROR(MATCH(801,상세표[발송순번],0),"")</f>
        <v/>
      </c>
    </row>
    <row r="807">
      <c r="J807">
        <f>IF($U807="","",INDEX(상세표[사번],$U807)&amp;"")</f>
        <v/>
      </c>
      <c r="K807">
        <f>IF($U807="","",INDEX(상세표[성명],$U807)&amp;"")</f>
        <v/>
      </c>
      <c r="L807">
        <f>IF($U807="","",INDEX(상세표[직위],$U807)&amp;"")</f>
        <v/>
      </c>
      <c r="M807">
        <f>IF($U807="","",IF(ISNUMBER(INDEX(상세표[근무일자],$U807)),TEXT(INDEX(상세표[근무일자],$U807),"yyyy-mm-dd"),INDEX(상세표[근무일자],$U807)&amp;""))</f>
        <v/>
      </c>
      <c r="N807">
        <f>IF($U807="","",IF(ISNUMBER(INDEX(상세표[시작],$U807)),TEXT(INDEX(상세표[시작],$U807),"yyyy-mm-dd hh:mm"),INDEX(상세표[시작],$U807)&amp;""))</f>
        <v/>
      </c>
      <c r="O807">
        <f>IF($U807="","",IF(ISNUMBER(INDEX(상세표[종료],$U807)),TEXT(INDEX(상세표[종료],$U807),"yyyy-mm-dd hh:mm"),INDEX(상세표[종료],$U807)&amp;""))</f>
        <v/>
      </c>
      <c r="P807">
        <f>IF($U807="","",INDEX(상세표[06~07시],$U807))</f>
        <v/>
      </c>
      <c r="Q807">
        <f>IF($U807="","",INDEX(상세표[07~18시],$U807))</f>
        <v/>
      </c>
      <c r="R807">
        <f>IF($U807="","",INDEX(상세표[18~22시],$U807))</f>
        <v/>
      </c>
      <c r="S807">
        <f>IF($U807="","",INDEX(상세표[22~06시],$U807))</f>
        <v/>
      </c>
      <c r="T807">
        <f>IF($U807="","",INDEX(상세표[기록 시간외],$U807))</f>
        <v/>
      </c>
      <c r="U807" s="4">
        <f>IFERROR(MATCH(802,상세표[발송순번],0),"")</f>
        <v/>
      </c>
    </row>
    <row r="808">
      <c r="J808">
        <f>IF($U808="","",INDEX(상세표[사번],$U808)&amp;"")</f>
        <v/>
      </c>
      <c r="K808">
        <f>IF($U808="","",INDEX(상세표[성명],$U808)&amp;"")</f>
        <v/>
      </c>
      <c r="L808">
        <f>IF($U808="","",INDEX(상세표[직위],$U808)&amp;"")</f>
        <v/>
      </c>
      <c r="M808">
        <f>IF($U808="","",IF(ISNUMBER(INDEX(상세표[근무일자],$U808)),TEXT(INDEX(상세표[근무일자],$U808),"yyyy-mm-dd"),INDEX(상세표[근무일자],$U808)&amp;""))</f>
        <v/>
      </c>
      <c r="N808">
        <f>IF($U808="","",IF(ISNUMBER(INDEX(상세표[시작],$U808)),TEXT(INDEX(상세표[시작],$U808),"yyyy-mm-dd hh:mm"),INDEX(상세표[시작],$U808)&amp;""))</f>
        <v/>
      </c>
      <c r="O808">
        <f>IF($U808="","",IF(ISNUMBER(INDEX(상세표[종료],$U808)),TEXT(INDEX(상세표[종료],$U808),"yyyy-mm-dd hh:mm"),INDEX(상세표[종료],$U808)&amp;""))</f>
        <v/>
      </c>
      <c r="P808">
        <f>IF($U808="","",INDEX(상세표[06~07시],$U808))</f>
        <v/>
      </c>
      <c r="Q808">
        <f>IF($U808="","",INDEX(상세표[07~18시],$U808))</f>
        <v/>
      </c>
      <c r="R808">
        <f>IF($U808="","",INDEX(상세표[18~22시],$U808))</f>
        <v/>
      </c>
      <c r="S808">
        <f>IF($U808="","",INDEX(상세표[22~06시],$U808))</f>
        <v/>
      </c>
      <c r="T808">
        <f>IF($U808="","",INDEX(상세표[기록 시간외],$U808))</f>
        <v/>
      </c>
      <c r="U808" s="4">
        <f>IFERROR(MATCH(803,상세표[발송순번],0),"")</f>
        <v/>
      </c>
    </row>
    <row r="809">
      <c r="J809">
        <f>IF($U809="","",INDEX(상세표[사번],$U809)&amp;"")</f>
        <v/>
      </c>
      <c r="K809">
        <f>IF($U809="","",INDEX(상세표[성명],$U809)&amp;"")</f>
        <v/>
      </c>
      <c r="L809">
        <f>IF($U809="","",INDEX(상세표[직위],$U809)&amp;"")</f>
        <v/>
      </c>
      <c r="M809">
        <f>IF($U809="","",IF(ISNUMBER(INDEX(상세표[근무일자],$U809)),TEXT(INDEX(상세표[근무일자],$U809),"yyyy-mm-dd"),INDEX(상세표[근무일자],$U809)&amp;""))</f>
        <v/>
      </c>
      <c r="N809">
        <f>IF($U809="","",IF(ISNUMBER(INDEX(상세표[시작],$U809)),TEXT(INDEX(상세표[시작],$U809),"yyyy-mm-dd hh:mm"),INDEX(상세표[시작],$U809)&amp;""))</f>
        <v/>
      </c>
      <c r="O809">
        <f>IF($U809="","",IF(ISNUMBER(INDEX(상세표[종료],$U809)),TEXT(INDEX(상세표[종료],$U809),"yyyy-mm-dd hh:mm"),INDEX(상세표[종료],$U809)&amp;""))</f>
        <v/>
      </c>
      <c r="P809">
        <f>IF($U809="","",INDEX(상세표[06~07시],$U809))</f>
        <v/>
      </c>
      <c r="Q809">
        <f>IF($U809="","",INDEX(상세표[07~18시],$U809))</f>
        <v/>
      </c>
      <c r="R809">
        <f>IF($U809="","",INDEX(상세표[18~22시],$U809))</f>
        <v/>
      </c>
      <c r="S809">
        <f>IF($U809="","",INDEX(상세표[22~06시],$U809))</f>
        <v/>
      </c>
      <c r="T809">
        <f>IF($U809="","",INDEX(상세표[기록 시간외],$U809))</f>
        <v/>
      </c>
      <c r="U809" s="4">
        <f>IFERROR(MATCH(804,상세표[발송순번],0),"")</f>
        <v/>
      </c>
    </row>
    <row r="810">
      <c r="J810">
        <f>IF($U810="","",INDEX(상세표[사번],$U810)&amp;"")</f>
        <v/>
      </c>
      <c r="K810">
        <f>IF($U810="","",INDEX(상세표[성명],$U810)&amp;"")</f>
        <v/>
      </c>
      <c r="L810">
        <f>IF($U810="","",INDEX(상세표[직위],$U810)&amp;"")</f>
        <v/>
      </c>
      <c r="M810">
        <f>IF($U810="","",IF(ISNUMBER(INDEX(상세표[근무일자],$U810)),TEXT(INDEX(상세표[근무일자],$U810),"yyyy-mm-dd"),INDEX(상세표[근무일자],$U810)&amp;""))</f>
        <v/>
      </c>
      <c r="N810">
        <f>IF($U810="","",IF(ISNUMBER(INDEX(상세표[시작],$U810)),TEXT(INDEX(상세표[시작],$U810),"yyyy-mm-dd hh:mm"),INDEX(상세표[시작],$U810)&amp;""))</f>
        <v/>
      </c>
      <c r="O810">
        <f>IF($U810="","",IF(ISNUMBER(INDEX(상세표[종료],$U810)),TEXT(INDEX(상세표[종료],$U810),"yyyy-mm-dd hh:mm"),INDEX(상세표[종료],$U810)&amp;""))</f>
        <v/>
      </c>
      <c r="P810">
        <f>IF($U810="","",INDEX(상세표[06~07시],$U810))</f>
        <v/>
      </c>
      <c r="Q810">
        <f>IF($U810="","",INDEX(상세표[07~18시],$U810))</f>
        <v/>
      </c>
      <c r="R810">
        <f>IF($U810="","",INDEX(상세표[18~22시],$U810))</f>
        <v/>
      </c>
      <c r="S810">
        <f>IF($U810="","",INDEX(상세표[22~06시],$U810))</f>
        <v/>
      </c>
      <c r="T810">
        <f>IF($U810="","",INDEX(상세표[기록 시간외],$U810))</f>
        <v/>
      </c>
      <c r="U810" s="4">
        <f>IFERROR(MATCH(805,상세표[발송순번],0),"")</f>
        <v/>
      </c>
    </row>
    <row r="811">
      <c r="J811">
        <f>IF($U811="","",INDEX(상세표[사번],$U811)&amp;"")</f>
        <v/>
      </c>
      <c r="K811">
        <f>IF($U811="","",INDEX(상세표[성명],$U811)&amp;"")</f>
        <v/>
      </c>
      <c r="L811">
        <f>IF($U811="","",INDEX(상세표[직위],$U811)&amp;"")</f>
        <v/>
      </c>
      <c r="M811">
        <f>IF($U811="","",IF(ISNUMBER(INDEX(상세표[근무일자],$U811)),TEXT(INDEX(상세표[근무일자],$U811),"yyyy-mm-dd"),INDEX(상세표[근무일자],$U811)&amp;""))</f>
        <v/>
      </c>
      <c r="N811">
        <f>IF($U811="","",IF(ISNUMBER(INDEX(상세표[시작],$U811)),TEXT(INDEX(상세표[시작],$U811),"yyyy-mm-dd hh:mm"),INDEX(상세표[시작],$U811)&amp;""))</f>
        <v/>
      </c>
      <c r="O811">
        <f>IF($U811="","",IF(ISNUMBER(INDEX(상세표[종료],$U811)),TEXT(INDEX(상세표[종료],$U811),"yyyy-mm-dd hh:mm"),INDEX(상세표[종료],$U811)&amp;""))</f>
        <v/>
      </c>
      <c r="P811">
        <f>IF($U811="","",INDEX(상세표[06~07시],$U811))</f>
        <v/>
      </c>
      <c r="Q811">
        <f>IF($U811="","",INDEX(상세표[07~18시],$U811))</f>
        <v/>
      </c>
      <c r="R811">
        <f>IF($U811="","",INDEX(상세표[18~22시],$U811))</f>
        <v/>
      </c>
      <c r="S811">
        <f>IF($U811="","",INDEX(상세표[22~06시],$U811))</f>
        <v/>
      </c>
      <c r="T811">
        <f>IF($U811="","",INDEX(상세표[기록 시간외],$U811))</f>
        <v/>
      </c>
      <c r="U811" s="4">
        <f>IFERROR(MATCH(806,상세표[발송순번],0),"")</f>
        <v/>
      </c>
    </row>
    <row r="812">
      <c r="J812">
        <f>IF($U812="","",INDEX(상세표[사번],$U812)&amp;"")</f>
        <v/>
      </c>
      <c r="K812">
        <f>IF($U812="","",INDEX(상세표[성명],$U812)&amp;"")</f>
        <v/>
      </c>
      <c r="L812">
        <f>IF($U812="","",INDEX(상세표[직위],$U812)&amp;"")</f>
        <v/>
      </c>
      <c r="M812">
        <f>IF($U812="","",IF(ISNUMBER(INDEX(상세표[근무일자],$U812)),TEXT(INDEX(상세표[근무일자],$U812),"yyyy-mm-dd"),INDEX(상세표[근무일자],$U812)&amp;""))</f>
        <v/>
      </c>
      <c r="N812">
        <f>IF($U812="","",IF(ISNUMBER(INDEX(상세표[시작],$U812)),TEXT(INDEX(상세표[시작],$U812),"yyyy-mm-dd hh:mm"),INDEX(상세표[시작],$U812)&amp;""))</f>
        <v/>
      </c>
      <c r="O812">
        <f>IF($U812="","",IF(ISNUMBER(INDEX(상세표[종료],$U812)),TEXT(INDEX(상세표[종료],$U812),"yyyy-mm-dd hh:mm"),INDEX(상세표[종료],$U812)&amp;""))</f>
        <v/>
      </c>
      <c r="P812">
        <f>IF($U812="","",INDEX(상세표[06~07시],$U812))</f>
        <v/>
      </c>
      <c r="Q812">
        <f>IF($U812="","",INDEX(상세표[07~18시],$U812))</f>
        <v/>
      </c>
      <c r="R812">
        <f>IF($U812="","",INDEX(상세표[18~22시],$U812))</f>
        <v/>
      </c>
      <c r="S812">
        <f>IF($U812="","",INDEX(상세표[22~06시],$U812))</f>
        <v/>
      </c>
      <c r="T812">
        <f>IF($U812="","",INDEX(상세표[기록 시간외],$U812))</f>
        <v/>
      </c>
      <c r="U812" s="4">
        <f>IFERROR(MATCH(807,상세표[발송순번],0),"")</f>
        <v/>
      </c>
    </row>
    <row r="813">
      <c r="J813">
        <f>IF($U813="","",INDEX(상세표[사번],$U813)&amp;"")</f>
        <v/>
      </c>
      <c r="K813">
        <f>IF($U813="","",INDEX(상세표[성명],$U813)&amp;"")</f>
        <v/>
      </c>
      <c r="L813">
        <f>IF($U813="","",INDEX(상세표[직위],$U813)&amp;"")</f>
        <v/>
      </c>
      <c r="M813">
        <f>IF($U813="","",IF(ISNUMBER(INDEX(상세표[근무일자],$U813)),TEXT(INDEX(상세표[근무일자],$U813),"yyyy-mm-dd"),INDEX(상세표[근무일자],$U813)&amp;""))</f>
        <v/>
      </c>
      <c r="N813">
        <f>IF($U813="","",IF(ISNUMBER(INDEX(상세표[시작],$U813)),TEXT(INDEX(상세표[시작],$U813),"yyyy-mm-dd hh:mm"),INDEX(상세표[시작],$U813)&amp;""))</f>
        <v/>
      </c>
      <c r="O813">
        <f>IF($U813="","",IF(ISNUMBER(INDEX(상세표[종료],$U813)),TEXT(INDEX(상세표[종료],$U813),"yyyy-mm-dd hh:mm"),INDEX(상세표[종료],$U813)&amp;""))</f>
        <v/>
      </c>
      <c r="P813">
        <f>IF($U813="","",INDEX(상세표[06~07시],$U813))</f>
        <v/>
      </c>
      <c r="Q813">
        <f>IF($U813="","",INDEX(상세표[07~18시],$U813))</f>
        <v/>
      </c>
      <c r="R813">
        <f>IF($U813="","",INDEX(상세표[18~22시],$U813))</f>
        <v/>
      </c>
      <c r="S813">
        <f>IF($U813="","",INDEX(상세표[22~06시],$U813))</f>
        <v/>
      </c>
      <c r="T813">
        <f>IF($U813="","",INDEX(상세표[기록 시간외],$U813))</f>
        <v/>
      </c>
      <c r="U813" s="4">
        <f>IFERROR(MATCH(808,상세표[발송순번],0),"")</f>
        <v/>
      </c>
    </row>
    <row r="814">
      <c r="J814">
        <f>IF($U814="","",INDEX(상세표[사번],$U814)&amp;"")</f>
        <v/>
      </c>
      <c r="K814">
        <f>IF($U814="","",INDEX(상세표[성명],$U814)&amp;"")</f>
        <v/>
      </c>
      <c r="L814">
        <f>IF($U814="","",INDEX(상세표[직위],$U814)&amp;"")</f>
        <v/>
      </c>
      <c r="M814">
        <f>IF($U814="","",IF(ISNUMBER(INDEX(상세표[근무일자],$U814)),TEXT(INDEX(상세표[근무일자],$U814),"yyyy-mm-dd"),INDEX(상세표[근무일자],$U814)&amp;""))</f>
        <v/>
      </c>
      <c r="N814">
        <f>IF($U814="","",IF(ISNUMBER(INDEX(상세표[시작],$U814)),TEXT(INDEX(상세표[시작],$U814),"yyyy-mm-dd hh:mm"),INDEX(상세표[시작],$U814)&amp;""))</f>
        <v/>
      </c>
      <c r="O814">
        <f>IF($U814="","",IF(ISNUMBER(INDEX(상세표[종료],$U814)),TEXT(INDEX(상세표[종료],$U814),"yyyy-mm-dd hh:mm"),INDEX(상세표[종료],$U814)&amp;""))</f>
        <v/>
      </c>
      <c r="P814">
        <f>IF($U814="","",INDEX(상세표[06~07시],$U814))</f>
        <v/>
      </c>
      <c r="Q814">
        <f>IF($U814="","",INDEX(상세표[07~18시],$U814))</f>
        <v/>
      </c>
      <c r="R814">
        <f>IF($U814="","",INDEX(상세표[18~22시],$U814))</f>
        <v/>
      </c>
      <c r="S814">
        <f>IF($U814="","",INDEX(상세표[22~06시],$U814))</f>
        <v/>
      </c>
      <c r="T814">
        <f>IF($U814="","",INDEX(상세표[기록 시간외],$U814))</f>
        <v/>
      </c>
      <c r="U814" s="4">
        <f>IFERROR(MATCH(809,상세표[발송순번],0),"")</f>
        <v/>
      </c>
    </row>
    <row r="815">
      <c r="J815">
        <f>IF($U815="","",INDEX(상세표[사번],$U815)&amp;"")</f>
        <v/>
      </c>
      <c r="K815">
        <f>IF($U815="","",INDEX(상세표[성명],$U815)&amp;"")</f>
        <v/>
      </c>
      <c r="L815">
        <f>IF($U815="","",INDEX(상세표[직위],$U815)&amp;"")</f>
        <v/>
      </c>
      <c r="M815">
        <f>IF($U815="","",IF(ISNUMBER(INDEX(상세표[근무일자],$U815)),TEXT(INDEX(상세표[근무일자],$U815),"yyyy-mm-dd"),INDEX(상세표[근무일자],$U815)&amp;""))</f>
        <v/>
      </c>
      <c r="N815">
        <f>IF($U815="","",IF(ISNUMBER(INDEX(상세표[시작],$U815)),TEXT(INDEX(상세표[시작],$U815),"yyyy-mm-dd hh:mm"),INDEX(상세표[시작],$U815)&amp;""))</f>
        <v/>
      </c>
      <c r="O815">
        <f>IF($U815="","",IF(ISNUMBER(INDEX(상세표[종료],$U815)),TEXT(INDEX(상세표[종료],$U815),"yyyy-mm-dd hh:mm"),INDEX(상세표[종료],$U815)&amp;""))</f>
        <v/>
      </c>
      <c r="P815">
        <f>IF($U815="","",INDEX(상세표[06~07시],$U815))</f>
        <v/>
      </c>
      <c r="Q815">
        <f>IF($U815="","",INDEX(상세표[07~18시],$U815))</f>
        <v/>
      </c>
      <c r="R815">
        <f>IF($U815="","",INDEX(상세표[18~22시],$U815))</f>
        <v/>
      </c>
      <c r="S815">
        <f>IF($U815="","",INDEX(상세표[22~06시],$U815))</f>
        <v/>
      </c>
      <c r="T815">
        <f>IF($U815="","",INDEX(상세표[기록 시간외],$U815))</f>
        <v/>
      </c>
      <c r="U815" s="4">
        <f>IFERROR(MATCH(810,상세표[발송순번],0),"")</f>
        <v/>
      </c>
    </row>
    <row r="816">
      <c r="J816">
        <f>IF($U816="","",INDEX(상세표[사번],$U816)&amp;"")</f>
        <v/>
      </c>
      <c r="K816">
        <f>IF($U816="","",INDEX(상세표[성명],$U816)&amp;"")</f>
        <v/>
      </c>
      <c r="L816">
        <f>IF($U816="","",INDEX(상세표[직위],$U816)&amp;"")</f>
        <v/>
      </c>
      <c r="M816">
        <f>IF($U816="","",IF(ISNUMBER(INDEX(상세표[근무일자],$U816)),TEXT(INDEX(상세표[근무일자],$U816),"yyyy-mm-dd"),INDEX(상세표[근무일자],$U816)&amp;""))</f>
        <v/>
      </c>
      <c r="N816">
        <f>IF($U816="","",IF(ISNUMBER(INDEX(상세표[시작],$U816)),TEXT(INDEX(상세표[시작],$U816),"yyyy-mm-dd hh:mm"),INDEX(상세표[시작],$U816)&amp;""))</f>
        <v/>
      </c>
      <c r="O816">
        <f>IF($U816="","",IF(ISNUMBER(INDEX(상세표[종료],$U816)),TEXT(INDEX(상세표[종료],$U816),"yyyy-mm-dd hh:mm"),INDEX(상세표[종료],$U816)&amp;""))</f>
        <v/>
      </c>
      <c r="P816">
        <f>IF($U816="","",INDEX(상세표[06~07시],$U816))</f>
        <v/>
      </c>
      <c r="Q816">
        <f>IF($U816="","",INDEX(상세표[07~18시],$U816))</f>
        <v/>
      </c>
      <c r="R816">
        <f>IF($U816="","",INDEX(상세표[18~22시],$U816))</f>
        <v/>
      </c>
      <c r="S816">
        <f>IF($U816="","",INDEX(상세표[22~06시],$U816))</f>
        <v/>
      </c>
      <c r="T816">
        <f>IF($U816="","",INDEX(상세표[기록 시간외],$U816))</f>
        <v/>
      </c>
      <c r="U816" s="4">
        <f>IFERROR(MATCH(811,상세표[발송순번],0),"")</f>
        <v/>
      </c>
    </row>
    <row r="817">
      <c r="J817">
        <f>IF($U817="","",INDEX(상세표[사번],$U817)&amp;"")</f>
        <v/>
      </c>
      <c r="K817">
        <f>IF($U817="","",INDEX(상세표[성명],$U817)&amp;"")</f>
        <v/>
      </c>
      <c r="L817">
        <f>IF($U817="","",INDEX(상세표[직위],$U817)&amp;"")</f>
        <v/>
      </c>
      <c r="M817">
        <f>IF($U817="","",IF(ISNUMBER(INDEX(상세표[근무일자],$U817)),TEXT(INDEX(상세표[근무일자],$U817),"yyyy-mm-dd"),INDEX(상세표[근무일자],$U817)&amp;""))</f>
        <v/>
      </c>
      <c r="N817">
        <f>IF($U817="","",IF(ISNUMBER(INDEX(상세표[시작],$U817)),TEXT(INDEX(상세표[시작],$U817),"yyyy-mm-dd hh:mm"),INDEX(상세표[시작],$U817)&amp;""))</f>
        <v/>
      </c>
      <c r="O817">
        <f>IF($U817="","",IF(ISNUMBER(INDEX(상세표[종료],$U817)),TEXT(INDEX(상세표[종료],$U817),"yyyy-mm-dd hh:mm"),INDEX(상세표[종료],$U817)&amp;""))</f>
        <v/>
      </c>
      <c r="P817">
        <f>IF($U817="","",INDEX(상세표[06~07시],$U817))</f>
        <v/>
      </c>
      <c r="Q817">
        <f>IF($U817="","",INDEX(상세표[07~18시],$U817))</f>
        <v/>
      </c>
      <c r="R817">
        <f>IF($U817="","",INDEX(상세표[18~22시],$U817))</f>
        <v/>
      </c>
      <c r="S817">
        <f>IF($U817="","",INDEX(상세표[22~06시],$U817))</f>
        <v/>
      </c>
      <c r="T817">
        <f>IF($U817="","",INDEX(상세표[기록 시간외],$U817))</f>
        <v/>
      </c>
      <c r="U817" s="4">
        <f>IFERROR(MATCH(812,상세표[발송순번],0),"")</f>
        <v/>
      </c>
    </row>
    <row r="818">
      <c r="J818">
        <f>IF($U818="","",INDEX(상세표[사번],$U818)&amp;"")</f>
        <v/>
      </c>
      <c r="K818">
        <f>IF($U818="","",INDEX(상세표[성명],$U818)&amp;"")</f>
        <v/>
      </c>
      <c r="L818">
        <f>IF($U818="","",INDEX(상세표[직위],$U818)&amp;"")</f>
        <v/>
      </c>
      <c r="M818">
        <f>IF($U818="","",IF(ISNUMBER(INDEX(상세표[근무일자],$U818)),TEXT(INDEX(상세표[근무일자],$U818),"yyyy-mm-dd"),INDEX(상세표[근무일자],$U818)&amp;""))</f>
        <v/>
      </c>
      <c r="N818">
        <f>IF($U818="","",IF(ISNUMBER(INDEX(상세표[시작],$U818)),TEXT(INDEX(상세표[시작],$U818),"yyyy-mm-dd hh:mm"),INDEX(상세표[시작],$U818)&amp;""))</f>
        <v/>
      </c>
      <c r="O818">
        <f>IF($U818="","",IF(ISNUMBER(INDEX(상세표[종료],$U818)),TEXT(INDEX(상세표[종료],$U818),"yyyy-mm-dd hh:mm"),INDEX(상세표[종료],$U818)&amp;""))</f>
        <v/>
      </c>
      <c r="P818">
        <f>IF($U818="","",INDEX(상세표[06~07시],$U818))</f>
        <v/>
      </c>
      <c r="Q818">
        <f>IF($U818="","",INDEX(상세표[07~18시],$U818))</f>
        <v/>
      </c>
      <c r="R818">
        <f>IF($U818="","",INDEX(상세표[18~22시],$U818))</f>
        <v/>
      </c>
      <c r="S818">
        <f>IF($U818="","",INDEX(상세표[22~06시],$U818))</f>
        <v/>
      </c>
      <c r="T818">
        <f>IF($U818="","",INDEX(상세표[기록 시간외],$U818))</f>
        <v/>
      </c>
      <c r="U818" s="4">
        <f>IFERROR(MATCH(813,상세표[발송순번],0),"")</f>
        <v/>
      </c>
    </row>
    <row r="819">
      <c r="J819">
        <f>IF($U819="","",INDEX(상세표[사번],$U819)&amp;"")</f>
        <v/>
      </c>
      <c r="K819">
        <f>IF($U819="","",INDEX(상세표[성명],$U819)&amp;"")</f>
        <v/>
      </c>
      <c r="L819">
        <f>IF($U819="","",INDEX(상세표[직위],$U819)&amp;"")</f>
        <v/>
      </c>
      <c r="M819">
        <f>IF($U819="","",IF(ISNUMBER(INDEX(상세표[근무일자],$U819)),TEXT(INDEX(상세표[근무일자],$U819),"yyyy-mm-dd"),INDEX(상세표[근무일자],$U819)&amp;""))</f>
        <v/>
      </c>
      <c r="N819">
        <f>IF($U819="","",IF(ISNUMBER(INDEX(상세표[시작],$U819)),TEXT(INDEX(상세표[시작],$U819),"yyyy-mm-dd hh:mm"),INDEX(상세표[시작],$U819)&amp;""))</f>
        <v/>
      </c>
      <c r="O819">
        <f>IF($U819="","",IF(ISNUMBER(INDEX(상세표[종료],$U819)),TEXT(INDEX(상세표[종료],$U819),"yyyy-mm-dd hh:mm"),INDEX(상세표[종료],$U819)&amp;""))</f>
        <v/>
      </c>
      <c r="P819">
        <f>IF($U819="","",INDEX(상세표[06~07시],$U819))</f>
        <v/>
      </c>
      <c r="Q819">
        <f>IF($U819="","",INDEX(상세표[07~18시],$U819))</f>
        <v/>
      </c>
      <c r="R819">
        <f>IF($U819="","",INDEX(상세표[18~22시],$U819))</f>
        <v/>
      </c>
      <c r="S819">
        <f>IF($U819="","",INDEX(상세표[22~06시],$U819))</f>
        <v/>
      </c>
      <c r="T819">
        <f>IF($U819="","",INDEX(상세표[기록 시간외],$U819))</f>
        <v/>
      </c>
      <c r="U819" s="4">
        <f>IFERROR(MATCH(814,상세표[발송순번],0),"")</f>
        <v/>
      </c>
    </row>
    <row r="820">
      <c r="J820">
        <f>IF($U820="","",INDEX(상세표[사번],$U820)&amp;"")</f>
        <v/>
      </c>
      <c r="K820">
        <f>IF($U820="","",INDEX(상세표[성명],$U820)&amp;"")</f>
        <v/>
      </c>
      <c r="L820">
        <f>IF($U820="","",INDEX(상세표[직위],$U820)&amp;"")</f>
        <v/>
      </c>
      <c r="M820">
        <f>IF($U820="","",IF(ISNUMBER(INDEX(상세표[근무일자],$U820)),TEXT(INDEX(상세표[근무일자],$U820),"yyyy-mm-dd"),INDEX(상세표[근무일자],$U820)&amp;""))</f>
        <v/>
      </c>
      <c r="N820">
        <f>IF($U820="","",IF(ISNUMBER(INDEX(상세표[시작],$U820)),TEXT(INDEX(상세표[시작],$U820),"yyyy-mm-dd hh:mm"),INDEX(상세표[시작],$U820)&amp;""))</f>
        <v/>
      </c>
      <c r="O820">
        <f>IF($U820="","",IF(ISNUMBER(INDEX(상세표[종료],$U820)),TEXT(INDEX(상세표[종료],$U820),"yyyy-mm-dd hh:mm"),INDEX(상세표[종료],$U820)&amp;""))</f>
        <v/>
      </c>
      <c r="P820">
        <f>IF($U820="","",INDEX(상세표[06~07시],$U820))</f>
        <v/>
      </c>
      <c r="Q820">
        <f>IF($U820="","",INDEX(상세표[07~18시],$U820))</f>
        <v/>
      </c>
      <c r="R820">
        <f>IF($U820="","",INDEX(상세표[18~22시],$U820))</f>
        <v/>
      </c>
      <c r="S820">
        <f>IF($U820="","",INDEX(상세표[22~06시],$U820))</f>
        <v/>
      </c>
      <c r="T820">
        <f>IF($U820="","",INDEX(상세표[기록 시간외],$U820))</f>
        <v/>
      </c>
      <c r="U820" s="4">
        <f>IFERROR(MATCH(815,상세표[발송순번],0),"")</f>
        <v/>
      </c>
    </row>
    <row r="821">
      <c r="J821">
        <f>IF($U821="","",INDEX(상세표[사번],$U821)&amp;"")</f>
        <v/>
      </c>
      <c r="K821">
        <f>IF($U821="","",INDEX(상세표[성명],$U821)&amp;"")</f>
        <v/>
      </c>
      <c r="L821">
        <f>IF($U821="","",INDEX(상세표[직위],$U821)&amp;"")</f>
        <v/>
      </c>
      <c r="M821">
        <f>IF($U821="","",IF(ISNUMBER(INDEX(상세표[근무일자],$U821)),TEXT(INDEX(상세표[근무일자],$U821),"yyyy-mm-dd"),INDEX(상세표[근무일자],$U821)&amp;""))</f>
        <v/>
      </c>
      <c r="N821">
        <f>IF($U821="","",IF(ISNUMBER(INDEX(상세표[시작],$U821)),TEXT(INDEX(상세표[시작],$U821),"yyyy-mm-dd hh:mm"),INDEX(상세표[시작],$U821)&amp;""))</f>
        <v/>
      </c>
      <c r="O821">
        <f>IF($U821="","",IF(ISNUMBER(INDEX(상세표[종료],$U821)),TEXT(INDEX(상세표[종료],$U821),"yyyy-mm-dd hh:mm"),INDEX(상세표[종료],$U821)&amp;""))</f>
        <v/>
      </c>
      <c r="P821">
        <f>IF($U821="","",INDEX(상세표[06~07시],$U821))</f>
        <v/>
      </c>
      <c r="Q821">
        <f>IF($U821="","",INDEX(상세표[07~18시],$U821))</f>
        <v/>
      </c>
      <c r="R821">
        <f>IF($U821="","",INDEX(상세표[18~22시],$U821))</f>
        <v/>
      </c>
      <c r="S821">
        <f>IF($U821="","",INDEX(상세표[22~06시],$U821))</f>
        <v/>
      </c>
      <c r="T821">
        <f>IF($U821="","",INDEX(상세표[기록 시간외],$U821))</f>
        <v/>
      </c>
      <c r="U821" s="4">
        <f>IFERROR(MATCH(816,상세표[발송순번],0),"")</f>
        <v/>
      </c>
    </row>
    <row r="822">
      <c r="J822">
        <f>IF($U822="","",INDEX(상세표[사번],$U822)&amp;"")</f>
        <v/>
      </c>
      <c r="K822">
        <f>IF($U822="","",INDEX(상세표[성명],$U822)&amp;"")</f>
        <v/>
      </c>
      <c r="L822">
        <f>IF($U822="","",INDEX(상세표[직위],$U822)&amp;"")</f>
        <v/>
      </c>
      <c r="M822">
        <f>IF($U822="","",IF(ISNUMBER(INDEX(상세표[근무일자],$U822)),TEXT(INDEX(상세표[근무일자],$U822),"yyyy-mm-dd"),INDEX(상세표[근무일자],$U822)&amp;""))</f>
        <v/>
      </c>
      <c r="N822">
        <f>IF($U822="","",IF(ISNUMBER(INDEX(상세표[시작],$U822)),TEXT(INDEX(상세표[시작],$U822),"yyyy-mm-dd hh:mm"),INDEX(상세표[시작],$U822)&amp;""))</f>
        <v/>
      </c>
      <c r="O822">
        <f>IF($U822="","",IF(ISNUMBER(INDEX(상세표[종료],$U822)),TEXT(INDEX(상세표[종료],$U822),"yyyy-mm-dd hh:mm"),INDEX(상세표[종료],$U822)&amp;""))</f>
        <v/>
      </c>
      <c r="P822">
        <f>IF($U822="","",INDEX(상세표[06~07시],$U822))</f>
        <v/>
      </c>
      <c r="Q822">
        <f>IF($U822="","",INDEX(상세표[07~18시],$U822))</f>
        <v/>
      </c>
      <c r="R822">
        <f>IF($U822="","",INDEX(상세표[18~22시],$U822))</f>
        <v/>
      </c>
      <c r="S822">
        <f>IF($U822="","",INDEX(상세표[22~06시],$U822))</f>
        <v/>
      </c>
      <c r="T822">
        <f>IF($U822="","",INDEX(상세표[기록 시간외],$U822))</f>
        <v/>
      </c>
      <c r="U822" s="4">
        <f>IFERROR(MATCH(817,상세표[발송순번],0),"")</f>
        <v/>
      </c>
    </row>
    <row r="823">
      <c r="J823">
        <f>IF($U823="","",INDEX(상세표[사번],$U823)&amp;"")</f>
        <v/>
      </c>
      <c r="K823">
        <f>IF($U823="","",INDEX(상세표[성명],$U823)&amp;"")</f>
        <v/>
      </c>
      <c r="L823">
        <f>IF($U823="","",INDEX(상세표[직위],$U823)&amp;"")</f>
        <v/>
      </c>
      <c r="M823">
        <f>IF($U823="","",IF(ISNUMBER(INDEX(상세표[근무일자],$U823)),TEXT(INDEX(상세표[근무일자],$U823),"yyyy-mm-dd"),INDEX(상세표[근무일자],$U823)&amp;""))</f>
        <v/>
      </c>
      <c r="N823">
        <f>IF($U823="","",IF(ISNUMBER(INDEX(상세표[시작],$U823)),TEXT(INDEX(상세표[시작],$U823),"yyyy-mm-dd hh:mm"),INDEX(상세표[시작],$U823)&amp;""))</f>
        <v/>
      </c>
      <c r="O823">
        <f>IF($U823="","",IF(ISNUMBER(INDEX(상세표[종료],$U823)),TEXT(INDEX(상세표[종료],$U823),"yyyy-mm-dd hh:mm"),INDEX(상세표[종료],$U823)&amp;""))</f>
        <v/>
      </c>
      <c r="P823">
        <f>IF($U823="","",INDEX(상세표[06~07시],$U823))</f>
        <v/>
      </c>
      <c r="Q823">
        <f>IF($U823="","",INDEX(상세표[07~18시],$U823))</f>
        <v/>
      </c>
      <c r="R823">
        <f>IF($U823="","",INDEX(상세표[18~22시],$U823))</f>
        <v/>
      </c>
      <c r="S823">
        <f>IF($U823="","",INDEX(상세표[22~06시],$U823))</f>
        <v/>
      </c>
      <c r="T823">
        <f>IF($U823="","",INDEX(상세표[기록 시간외],$U823))</f>
        <v/>
      </c>
      <c r="U823" s="4">
        <f>IFERROR(MATCH(818,상세표[발송순번],0),"")</f>
        <v/>
      </c>
    </row>
    <row r="824">
      <c r="J824">
        <f>IF($U824="","",INDEX(상세표[사번],$U824)&amp;"")</f>
        <v/>
      </c>
      <c r="K824">
        <f>IF($U824="","",INDEX(상세표[성명],$U824)&amp;"")</f>
        <v/>
      </c>
      <c r="L824">
        <f>IF($U824="","",INDEX(상세표[직위],$U824)&amp;"")</f>
        <v/>
      </c>
      <c r="M824">
        <f>IF($U824="","",IF(ISNUMBER(INDEX(상세표[근무일자],$U824)),TEXT(INDEX(상세표[근무일자],$U824),"yyyy-mm-dd"),INDEX(상세표[근무일자],$U824)&amp;""))</f>
        <v/>
      </c>
      <c r="N824">
        <f>IF($U824="","",IF(ISNUMBER(INDEX(상세표[시작],$U824)),TEXT(INDEX(상세표[시작],$U824),"yyyy-mm-dd hh:mm"),INDEX(상세표[시작],$U824)&amp;""))</f>
        <v/>
      </c>
      <c r="O824">
        <f>IF($U824="","",IF(ISNUMBER(INDEX(상세표[종료],$U824)),TEXT(INDEX(상세표[종료],$U824),"yyyy-mm-dd hh:mm"),INDEX(상세표[종료],$U824)&amp;""))</f>
        <v/>
      </c>
      <c r="P824">
        <f>IF($U824="","",INDEX(상세표[06~07시],$U824))</f>
        <v/>
      </c>
      <c r="Q824">
        <f>IF($U824="","",INDEX(상세표[07~18시],$U824))</f>
        <v/>
      </c>
      <c r="R824">
        <f>IF($U824="","",INDEX(상세표[18~22시],$U824))</f>
        <v/>
      </c>
      <c r="S824">
        <f>IF($U824="","",INDEX(상세표[22~06시],$U824))</f>
        <v/>
      </c>
      <c r="T824">
        <f>IF($U824="","",INDEX(상세표[기록 시간외],$U824))</f>
        <v/>
      </c>
      <c r="U824" s="4">
        <f>IFERROR(MATCH(819,상세표[발송순번],0),"")</f>
        <v/>
      </c>
    </row>
    <row r="825">
      <c r="J825">
        <f>IF($U825="","",INDEX(상세표[사번],$U825)&amp;"")</f>
        <v/>
      </c>
      <c r="K825">
        <f>IF($U825="","",INDEX(상세표[성명],$U825)&amp;"")</f>
        <v/>
      </c>
      <c r="L825">
        <f>IF($U825="","",INDEX(상세표[직위],$U825)&amp;"")</f>
        <v/>
      </c>
      <c r="M825">
        <f>IF($U825="","",IF(ISNUMBER(INDEX(상세표[근무일자],$U825)),TEXT(INDEX(상세표[근무일자],$U825),"yyyy-mm-dd"),INDEX(상세표[근무일자],$U825)&amp;""))</f>
        <v/>
      </c>
      <c r="N825">
        <f>IF($U825="","",IF(ISNUMBER(INDEX(상세표[시작],$U825)),TEXT(INDEX(상세표[시작],$U825),"yyyy-mm-dd hh:mm"),INDEX(상세표[시작],$U825)&amp;""))</f>
        <v/>
      </c>
      <c r="O825">
        <f>IF($U825="","",IF(ISNUMBER(INDEX(상세표[종료],$U825)),TEXT(INDEX(상세표[종료],$U825),"yyyy-mm-dd hh:mm"),INDEX(상세표[종료],$U825)&amp;""))</f>
        <v/>
      </c>
      <c r="P825">
        <f>IF($U825="","",INDEX(상세표[06~07시],$U825))</f>
        <v/>
      </c>
      <c r="Q825">
        <f>IF($U825="","",INDEX(상세표[07~18시],$U825))</f>
        <v/>
      </c>
      <c r="R825">
        <f>IF($U825="","",INDEX(상세표[18~22시],$U825))</f>
        <v/>
      </c>
      <c r="S825">
        <f>IF($U825="","",INDEX(상세표[22~06시],$U825))</f>
        <v/>
      </c>
      <c r="T825">
        <f>IF($U825="","",INDEX(상세표[기록 시간외],$U825))</f>
        <v/>
      </c>
      <c r="U825" s="4">
        <f>IFERROR(MATCH(820,상세표[발송순번],0),"")</f>
        <v/>
      </c>
    </row>
    <row r="826">
      <c r="J826">
        <f>IF($U826="","",INDEX(상세표[사번],$U826)&amp;"")</f>
        <v/>
      </c>
      <c r="K826">
        <f>IF($U826="","",INDEX(상세표[성명],$U826)&amp;"")</f>
        <v/>
      </c>
      <c r="L826">
        <f>IF($U826="","",INDEX(상세표[직위],$U826)&amp;"")</f>
        <v/>
      </c>
      <c r="M826">
        <f>IF($U826="","",IF(ISNUMBER(INDEX(상세표[근무일자],$U826)),TEXT(INDEX(상세표[근무일자],$U826),"yyyy-mm-dd"),INDEX(상세표[근무일자],$U826)&amp;""))</f>
        <v/>
      </c>
      <c r="N826">
        <f>IF($U826="","",IF(ISNUMBER(INDEX(상세표[시작],$U826)),TEXT(INDEX(상세표[시작],$U826),"yyyy-mm-dd hh:mm"),INDEX(상세표[시작],$U826)&amp;""))</f>
        <v/>
      </c>
      <c r="O826">
        <f>IF($U826="","",IF(ISNUMBER(INDEX(상세표[종료],$U826)),TEXT(INDEX(상세표[종료],$U826),"yyyy-mm-dd hh:mm"),INDEX(상세표[종료],$U826)&amp;""))</f>
        <v/>
      </c>
      <c r="P826">
        <f>IF($U826="","",INDEX(상세표[06~07시],$U826))</f>
        <v/>
      </c>
      <c r="Q826">
        <f>IF($U826="","",INDEX(상세표[07~18시],$U826))</f>
        <v/>
      </c>
      <c r="R826">
        <f>IF($U826="","",INDEX(상세표[18~22시],$U826))</f>
        <v/>
      </c>
      <c r="S826">
        <f>IF($U826="","",INDEX(상세표[22~06시],$U826))</f>
        <v/>
      </c>
      <c r="T826">
        <f>IF($U826="","",INDEX(상세표[기록 시간외],$U826))</f>
        <v/>
      </c>
      <c r="U826" s="4">
        <f>IFERROR(MATCH(821,상세표[발송순번],0),"")</f>
        <v/>
      </c>
    </row>
    <row r="827">
      <c r="J827">
        <f>IF($U827="","",INDEX(상세표[사번],$U827)&amp;"")</f>
        <v/>
      </c>
      <c r="K827">
        <f>IF($U827="","",INDEX(상세표[성명],$U827)&amp;"")</f>
        <v/>
      </c>
      <c r="L827">
        <f>IF($U827="","",INDEX(상세표[직위],$U827)&amp;"")</f>
        <v/>
      </c>
      <c r="M827">
        <f>IF($U827="","",IF(ISNUMBER(INDEX(상세표[근무일자],$U827)),TEXT(INDEX(상세표[근무일자],$U827),"yyyy-mm-dd"),INDEX(상세표[근무일자],$U827)&amp;""))</f>
        <v/>
      </c>
      <c r="N827">
        <f>IF($U827="","",IF(ISNUMBER(INDEX(상세표[시작],$U827)),TEXT(INDEX(상세표[시작],$U827),"yyyy-mm-dd hh:mm"),INDEX(상세표[시작],$U827)&amp;""))</f>
        <v/>
      </c>
      <c r="O827">
        <f>IF($U827="","",IF(ISNUMBER(INDEX(상세표[종료],$U827)),TEXT(INDEX(상세표[종료],$U827),"yyyy-mm-dd hh:mm"),INDEX(상세표[종료],$U827)&amp;""))</f>
        <v/>
      </c>
      <c r="P827">
        <f>IF($U827="","",INDEX(상세표[06~07시],$U827))</f>
        <v/>
      </c>
      <c r="Q827">
        <f>IF($U827="","",INDEX(상세표[07~18시],$U827))</f>
        <v/>
      </c>
      <c r="R827">
        <f>IF($U827="","",INDEX(상세표[18~22시],$U827))</f>
        <v/>
      </c>
      <c r="S827">
        <f>IF($U827="","",INDEX(상세표[22~06시],$U827))</f>
        <v/>
      </c>
      <c r="T827">
        <f>IF($U827="","",INDEX(상세표[기록 시간외],$U827))</f>
        <v/>
      </c>
      <c r="U827" s="4">
        <f>IFERROR(MATCH(822,상세표[발송순번],0),"")</f>
        <v/>
      </c>
    </row>
    <row r="828">
      <c r="J828">
        <f>IF($U828="","",INDEX(상세표[사번],$U828)&amp;"")</f>
        <v/>
      </c>
      <c r="K828">
        <f>IF($U828="","",INDEX(상세표[성명],$U828)&amp;"")</f>
        <v/>
      </c>
      <c r="L828">
        <f>IF($U828="","",INDEX(상세표[직위],$U828)&amp;"")</f>
        <v/>
      </c>
      <c r="M828">
        <f>IF($U828="","",IF(ISNUMBER(INDEX(상세표[근무일자],$U828)),TEXT(INDEX(상세표[근무일자],$U828),"yyyy-mm-dd"),INDEX(상세표[근무일자],$U828)&amp;""))</f>
        <v/>
      </c>
      <c r="N828">
        <f>IF($U828="","",IF(ISNUMBER(INDEX(상세표[시작],$U828)),TEXT(INDEX(상세표[시작],$U828),"yyyy-mm-dd hh:mm"),INDEX(상세표[시작],$U828)&amp;""))</f>
        <v/>
      </c>
      <c r="O828">
        <f>IF($U828="","",IF(ISNUMBER(INDEX(상세표[종료],$U828)),TEXT(INDEX(상세표[종료],$U828),"yyyy-mm-dd hh:mm"),INDEX(상세표[종료],$U828)&amp;""))</f>
        <v/>
      </c>
      <c r="P828">
        <f>IF($U828="","",INDEX(상세표[06~07시],$U828))</f>
        <v/>
      </c>
      <c r="Q828">
        <f>IF($U828="","",INDEX(상세표[07~18시],$U828))</f>
        <v/>
      </c>
      <c r="R828">
        <f>IF($U828="","",INDEX(상세표[18~22시],$U828))</f>
        <v/>
      </c>
      <c r="S828">
        <f>IF($U828="","",INDEX(상세표[22~06시],$U828))</f>
        <v/>
      </c>
      <c r="T828">
        <f>IF($U828="","",INDEX(상세표[기록 시간외],$U828))</f>
        <v/>
      </c>
      <c r="U828" s="4">
        <f>IFERROR(MATCH(823,상세표[발송순번],0),"")</f>
        <v/>
      </c>
    </row>
    <row r="829">
      <c r="J829">
        <f>IF($U829="","",INDEX(상세표[사번],$U829)&amp;"")</f>
        <v/>
      </c>
      <c r="K829">
        <f>IF($U829="","",INDEX(상세표[성명],$U829)&amp;"")</f>
        <v/>
      </c>
      <c r="L829">
        <f>IF($U829="","",INDEX(상세표[직위],$U829)&amp;"")</f>
        <v/>
      </c>
      <c r="M829">
        <f>IF($U829="","",IF(ISNUMBER(INDEX(상세표[근무일자],$U829)),TEXT(INDEX(상세표[근무일자],$U829),"yyyy-mm-dd"),INDEX(상세표[근무일자],$U829)&amp;""))</f>
        <v/>
      </c>
      <c r="N829">
        <f>IF($U829="","",IF(ISNUMBER(INDEX(상세표[시작],$U829)),TEXT(INDEX(상세표[시작],$U829),"yyyy-mm-dd hh:mm"),INDEX(상세표[시작],$U829)&amp;""))</f>
        <v/>
      </c>
      <c r="O829">
        <f>IF($U829="","",IF(ISNUMBER(INDEX(상세표[종료],$U829)),TEXT(INDEX(상세표[종료],$U829),"yyyy-mm-dd hh:mm"),INDEX(상세표[종료],$U829)&amp;""))</f>
        <v/>
      </c>
      <c r="P829">
        <f>IF($U829="","",INDEX(상세표[06~07시],$U829))</f>
        <v/>
      </c>
      <c r="Q829">
        <f>IF($U829="","",INDEX(상세표[07~18시],$U829))</f>
        <v/>
      </c>
      <c r="R829">
        <f>IF($U829="","",INDEX(상세표[18~22시],$U829))</f>
        <v/>
      </c>
      <c r="S829">
        <f>IF($U829="","",INDEX(상세표[22~06시],$U829))</f>
        <v/>
      </c>
      <c r="T829">
        <f>IF($U829="","",INDEX(상세표[기록 시간외],$U829))</f>
        <v/>
      </c>
      <c r="U829" s="4">
        <f>IFERROR(MATCH(824,상세표[발송순번],0),"")</f>
        <v/>
      </c>
    </row>
    <row r="830">
      <c r="J830">
        <f>IF($U830="","",INDEX(상세표[사번],$U830)&amp;"")</f>
        <v/>
      </c>
      <c r="K830">
        <f>IF($U830="","",INDEX(상세표[성명],$U830)&amp;"")</f>
        <v/>
      </c>
      <c r="L830">
        <f>IF($U830="","",INDEX(상세표[직위],$U830)&amp;"")</f>
        <v/>
      </c>
      <c r="M830">
        <f>IF($U830="","",IF(ISNUMBER(INDEX(상세표[근무일자],$U830)),TEXT(INDEX(상세표[근무일자],$U830),"yyyy-mm-dd"),INDEX(상세표[근무일자],$U830)&amp;""))</f>
        <v/>
      </c>
      <c r="N830">
        <f>IF($U830="","",IF(ISNUMBER(INDEX(상세표[시작],$U830)),TEXT(INDEX(상세표[시작],$U830),"yyyy-mm-dd hh:mm"),INDEX(상세표[시작],$U830)&amp;""))</f>
        <v/>
      </c>
      <c r="O830">
        <f>IF($U830="","",IF(ISNUMBER(INDEX(상세표[종료],$U830)),TEXT(INDEX(상세표[종료],$U830),"yyyy-mm-dd hh:mm"),INDEX(상세표[종료],$U830)&amp;""))</f>
        <v/>
      </c>
      <c r="P830">
        <f>IF($U830="","",INDEX(상세표[06~07시],$U830))</f>
        <v/>
      </c>
      <c r="Q830">
        <f>IF($U830="","",INDEX(상세표[07~18시],$U830))</f>
        <v/>
      </c>
      <c r="R830">
        <f>IF($U830="","",INDEX(상세표[18~22시],$U830))</f>
        <v/>
      </c>
      <c r="S830">
        <f>IF($U830="","",INDEX(상세표[22~06시],$U830))</f>
        <v/>
      </c>
      <c r="T830">
        <f>IF($U830="","",INDEX(상세표[기록 시간외],$U830))</f>
        <v/>
      </c>
      <c r="U830" s="4">
        <f>IFERROR(MATCH(825,상세표[발송순번],0),"")</f>
        <v/>
      </c>
    </row>
    <row r="831">
      <c r="J831">
        <f>IF($U831="","",INDEX(상세표[사번],$U831)&amp;"")</f>
        <v/>
      </c>
      <c r="K831">
        <f>IF($U831="","",INDEX(상세표[성명],$U831)&amp;"")</f>
        <v/>
      </c>
      <c r="L831">
        <f>IF($U831="","",INDEX(상세표[직위],$U831)&amp;"")</f>
        <v/>
      </c>
      <c r="M831">
        <f>IF($U831="","",IF(ISNUMBER(INDEX(상세표[근무일자],$U831)),TEXT(INDEX(상세표[근무일자],$U831),"yyyy-mm-dd"),INDEX(상세표[근무일자],$U831)&amp;""))</f>
        <v/>
      </c>
      <c r="N831">
        <f>IF($U831="","",IF(ISNUMBER(INDEX(상세표[시작],$U831)),TEXT(INDEX(상세표[시작],$U831),"yyyy-mm-dd hh:mm"),INDEX(상세표[시작],$U831)&amp;""))</f>
        <v/>
      </c>
      <c r="O831">
        <f>IF($U831="","",IF(ISNUMBER(INDEX(상세표[종료],$U831)),TEXT(INDEX(상세표[종료],$U831),"yyyy-mm-dd hh:mm"),INDEX(상세표[종료],$U831)&amp;""))</f>
        <v/>
      </c>
      <c r="P831">
        <f>IF($U831="","",INDEX(상세표[06~07시],$U831))</f>
        <v/>
      </c>
      <c r="Q831">
        <f>IF($U831="","",INDEX(상세표[07~18시],$U831))</f>
        <v/>
      </c>
      <c r="R831">
        <f>IF($U831="","",INDEX(상세표[18~22시],$U831))</f>
        <v/>
      </c>
      <c r="S831">
        <f>IF($U831="","",INDEX(상세표[22~06시],$U831))</f>
        <v/>
      </c>
      <c r="T831">
        <f>IF($U831="","",INDEX(상세표[기록 시간외],$U831))</f>
        <v/>
      </c>
      <c r="U831" s="4">
        <f>IFERROR(MATCH(826,상세표[발송순번],0),"")</f>
        <v/>
      </c>
    </row>
    <row r="832">
      <c r="J832">
        <f>IF($U832="","",INDEX(상세표[사번],$U832)&amp;"")</f>
        <v/>
      </c>
      <c r="K832">
        <f>IF($U832="","",INDEX(상세표[성명],$U832)&amp;"")</f>
        <v/>
      </c>
      <c r="L832">
        <f>IF($U832="","",INDEX(상세표[직위],$U832)&amp;"")</f>
        <v/>
      </c>
      <c r="M832">
        <f>IF($U832="","",IF(ISNUMBER(INDEX(상세표[근무일자],$U832)),TEXT(INDEX(상세표[근무일자],$U832),"yyyy-mm-dd"),INDEX(상세표[근무일자],$U832)&amp;""))</f>
        <v/>
      </c>
      <c r="N832">
        <f>IF($U832="","",IF(ISNUMBER(INDEX(상세표[시작],$U832)),TEXT(INDEX(상세표[시작],$U832),"yyyy-mm-dd hh:mm"),INDEX(상세표[시작],$U832)&amp;""))</f>
        <v/>
      </c>
      <c r="O832">
        <f>IF($U832="","",IF(ISNUMBER(INDEX(상세표[종료],$U832)),TEXT(INDEX(상세표[종료],$U832),"yyyy-mm-dd hh:mm"),INDEX(상세표[종료],$U832)&amp;""))</f>
        <v/>
      </c>
      <c r="P832">
        <f>IF($U832="","",INDEX(상세표[06~07시],$U832))</f>
        <v/>
      </c>
      <c r="Q832">
        <f>IF($U832="","",INDEX(상세표[07~18시],$U832))</f>
        <v/>
      </c>
      <c r="R832">
        <f>IF($U832="","",INDEX(상세표[18~22시],$U832))</f>
        <v/>
      </c>
      <c r="S832">
        <f>IF($U832="","",INDEX(상세표[22~06시],$U832))</f>
        <v/>
      </c>
      <c r="T832">
        <f>IF($U832="","",INDEX(상세표[기록 시간외],$U832))</f>
        <v/>
      </c>
      <c r="U832" s="4">
        <f>IFERROR(MATCH(827,상세표[발송순번],0),"")</f>
        <v/>
      </c>
    </row>
    <row r="833">
      <c r="J833">
        <f>IF($U833="","",INDEX(상세표[사번],$U833)&amp;"")</f>
        <v/>
      </c>
      <c r="K833">
        <f>IF($U833="","",INDEX(상세표[성명],$U833)&amp;"")</f>
        <v/>
      </c>
      <c r="L833">
        <f>IF($U833="","",INDEX(상세표[직위],$U833)&amp;"")</f>
        <v/>
      </c>
      <c r="M833">
        <f>IF($U833="","",IF(ISNUMBER(INDEX(상세표[근무일자],$U833)),TEXT(INDEX(상세표[근무일자],$U833),"yyyy-mm-dd"),INDEX(상세표[근무일자],$U833)&amp;""))</f>
        <v/>
      </c>
      <c r="N833">
        <f>IF($U833="","",IF(ISNUMBER(INDEX(상세표[시작],$U833)),TEXT(INDEX(상세표[시작],$U833),"yyyy-mm-dd hh:mm"),INDEX(상세표[시작],$U833)&amp;""))</f>
        <v/>
      </c>
      <c r="O833">
        <f>IF($U833="","",IF(ISNUMBER(INDEX(상세표[종료],$U833)),TEXT(INDEX(상세표[종료],$U833),"yyyy-mm-dd hh:mm"),INDEX(상세표[종료],$U833)&amp;""))</f>
        <v/>
      </c>
      <c r="P833">
        <f>IF($U833="","",INDEX(상세표[06~07시],$U833))</f>
        <v/>
      </c>
      <c r="Q833">
        <f>IF($U833="","",INDEX(상세표[07~18시],$U833))</f>
        <v/>
      </c>
      <c r="R833">
        <f>IF($U833="","",INDEX(상세표[18~22시],$U833))</f>
        <v/>
      </c>
      <c r="S833">
        <f>IF($U833="","",INDEX(상세표[22~06시],$U833))</f>
        <v/>
      </c>
      <c r="T833">
        <f>IF($U833="","",INDEX(상세표[기록 시간외],$U833))</f>
        <v/>
      </c>
      <c r="U833" s="4">
        <f>IFERROR(MATCH(828,상세표[발송순번],0),"")</f>
        <v/>
      </c>
    </row>
    <row r="834">
      <c r="J834">
        <f>IF($U834="","",INDEX(상세표[사번],$U834)&amp;"")</f>
        <v/>
      </c>
      <c r="K834">
        <f>IF($U834="","",INDEX(상세표[성명],$U834)&amp;"")</f>
        <v/>
      </c>
      <c r="L834">
        <f>IF($U834="","",INDEX(상세표[직위],$U834)&amp;"")</f>
        <v/>
      </c>
      <c r="M834">
        <f>IF($U834="","",IF(ISNUMBER(INDEX(상세표[근무일자],$U834)),TEXT(INDEX(상세표[근무일자],$U834),"yyyy-mm-dd"),INDEX(상세표[근무일자],$U834)&amp;""))</f>
        <v/>
      </c>
      <c r="N834">
        <f>IF($U834="","",IF(ISNUMBER(INDEX(상세표[시작],$U834)),TEXT(INDEX(상세표[시작],$U834),"yyyy-mm-dd hh:mm"),INDEX(상세표[시작],$U834)&amp;""))</f>
        <v/>
      </c>
      <c r="O834">
        <f>IF($U834="","",IF(ISNUMBER(INDEX(상세표[종료],$U834)),TEXT(INDEX(상세표[종료],$U834),"yyyy-mm-dd hh:mm"),INDEX(상세표[종료],$U834)&amp;""))</f>
        <v/>
      </c>
      <c r="P834">
        <f>IF($U834="","",INDEX(상세표[06~07시],$U834))</f>
        <v/>
      </c>
      <c r="Q834">
        <f>IF($U834="","",INDEX(상세표[07~18시],$U834))</f>
        <v/>
      </c>
      <c r="R834">
        <f>IF($U834="","",INDEX(상세표[18~22시],$U834))</f>
        <v/>
      </c>
      <c r="S834">
        <f>IF($U834="","",INDEX(상세표[22~06시],$U834))</f>
        <v/>
      </c>
      <c r="T834">
        <f>IF($U834="","",INDEX(상세표[기록 시간외],$U834))</f>
        <v/>
      </c>
      <c r="U834" s="4">
        <f>IFERROR(MATCH(829,상세표[발송순번],0),"")</f>
        <v/>
      </c>
    </row>
    <row r="835">
      <c r="J835">
        <f>IF($U835="","",INDEX(상세표[사번],$U835)&amp;"")</f>
        <v/>
      </c>
      <c r="K835">
        <f>IF($U835="","",INDEX(상세표[성명],$U835)&amp;"")</f>
        <v/>
      </c>
      <c r="L835">
        <f>IF($U835="","",INDEX(상세표[직위],$U835)&amp;"")</f>
        <v/>
      </c>
      <c r="M835">
        <f>IF($U835="","",IF(ISNUMBER(INDEX(상세표[근무일자],$U835)),TEXT(INDEX(상세표[근무일자],$U835),"yyyy-mm-dd"),INDEX(상세표[근무일자],$U835)&amp;""))</f>
        <v/>
      </c>
      <c r="N835">
        <f>IF($U835="","",IF(ISNUMBER(INDEX(상세표[시작],$U835)),TEXT(INDEX(상세표[시작],$U835),"yyyy-mm-dd hh:mm"),INDEX(상세표[시작],$U835)&amp;""))</f>
        <v/>
      </c>
      <c r="O835">
        <f>IF($U835="","",IF(ISNUMBER(INDEX(상세표[종료],$U835)),TEXT(INDEX(상세표[종료],$U835),"yyyy-mm-dd hh:mm"),INDEX(상세표[종료],$U835)&amp;""))</f>
        <v/>
      </c>
      <c r="P835">
        <f>IF($U835="","",INDEX(상세표[06~07시],$U835))</f>
        <v/>
      </c>
      <c r="Q835">
        <f>IF($U835="","",INDEX(상세표[07~18시],$U835))</f>
        <v/>
      </c>
      <c r="R835">
        <f>IF($U835="","",INDEX(상세표[18~22시],$U835))</f>
        <v/>
      </c>
      <c r="S835">
        <f>IF($U835="","",INDEX(상세표[22~06시],$U835))</f>
        <v/>
      </c>
      <c r="T835">
        <f>IF($U835="","",INDEX(상세표[기록 시간외],$U835))</f>
        <v/>
      </c>
      <c r="U835" s="4">
        <f>IFERROR(MATCH(830,상세표[발송순번],0),"")</f>
        <v/>
      </c>
    </row>
    <row r="836">
      <c r="J836">
        <f>IF($U836="","",INDEX(상세표[사번],$U836)&amp;"")</f>
        <v/>
      </c>
      <c r="K836">
        <f>IF($U836="","",INDEX(상세표[성명],$U836)&amp;"")</f>
        <v/>
      </c>
      <c r="L836">
        <f>IF($U836="","",INDEX(상세표[직위],$U836)&amp;"")</f>
        <v/>
      </c>
      <c r="M836">
        <f>IF($U836="","",IF(ISNUMBER(INDEX(상세표[근무일자],$U836)),TEXT(INDEX(상세표[근무일자],$U836),"yyyy-mm-dd"),INDEX(상세표[근무일자],$U836)&amp;""))</f>
        <v/>
      </c>
      <c r="N836">
        <f>IF($U836="","",IF(ISNUMBER(INDEX(상세표[시작],$U836)),TEXT(INDEX(상세표[시작],$U836),"yyyy-mm-dd hh:mm"),INDEX(상세표[시작],$U836)&amp;""))</f>
        <v/>
      </c>
      <c r="O836">
        <f>IF($U836="","",IF(ISNUMBER(INDEX(상세표[종료],$U836)),TEXT(INDEX(상세표[종료],$U836),"yyyy-mm-dd hh:mm"),INDEX(상세표[종료],$U836)&amp;""))</f>
        <v/>
      </c>
      <c r="P836">
        <f>IF($U836="","",INDEX(상세표[06~07시],$U836))</f>
        <v/>
      </c>
      <c r="Q836">
        <f>IF($U836="","",INDEX(상세표[07~18시],$U836))</f>
        <v/>
      </c>
      <c r="R836">
        <f>IF($U836="","",INDEX(상세표[18~22시],$U836))</f>
        <v/>
      </c>
      <c r="S836">
        <f>IF($U836="","",INDEX(상세표[22~06시],$U836))</f>
        <v/>
      </c>
      <c r="T836">
        <f>IF($U836="","",INDEX(상세표[기록 시간외],$U836))</f>
        <v/>
      </c>
      <c r="U836" s="4">
        <f>IFERROR(MATCH(831,상세표[발송순번],0),"")</f>
        <v/>
      </c>
    </row>
    <row r="837">
      <c r="J837">
        <f>IF($U837="","",INDEX(상세표[사번],$U837)&amp;"")</f>
        <v/>
      </c>
      <c r="K837">
        <f>IF($U837="","",INDEX(상세표[성명],$U837)&amp;"")</f>
        <v/>
      </c>
      <c r="L837">
        <f>IF($U837="","",INDEX(상세표[직위],$U837)&amp;"")</f>
        <v/>
      </c>
      <c r="M837">
        <f>IF($U837="","",IF(ISNUMBER(INDEX(상세표[근무일자],$U837)),TEXT(INDEX(상세표[근무일자],$U837),"yyyy-mm-dd"),INDEX(상세표[근무일자],$U837)&amp;""))</f>
        <v/>
      </c>
      <c r="N837">
        <f>IF($U837="","",IF(ISNUMBER(INDEX(상세표[시작],$U837)),TEXT(INDEX(상세표[시작],$U837),"yyyy-mm-dd hh:mm"),INDEX(상세표[시작],$U837)&amp;""))</f>
        <v/>
      </c>
      <c r="O837">
        <f>IF($U837="","",IF(ISNUMBER(INDEX(상세표[종료],$U837)),TEXT(INDEX(상세표[종료],$U837),"yyyy-mm-dd hh:mm"),INDEX(상세표[종료],$U837)&amp;""))</f>
        <v/>
      </c>
      <c r="P837">
        <f>IF($U837="","",INDEX(상세표[06~07시],$U837))</f>
        <v/>
      </c>
      <c r="Q837">
        <f>IF($U837="","",INDEX(상세표[07~18시],$U837))</f>
        <v/>
      </c>
      <c r="R837">
        <f>IF($U837="","",INDEX(상세표[18~22시],$U837))</f>
        <v/>
      </c>
      <c r="S837">
        <f>IF($U837="","",INDEX(상세표[22~06시],$U837))</f>
        <v/>
      </c>
      <c r="T837">
        <f>IF($U837="","",INDEX(상세표[기록 시간외],$U837))</f>
        <v/>
      </c>
      <c r="U837" s="4">
        <f>IFERROR(MATCH(832,상세표[발송순번],0),"")</f>
        <v/>
      </c>
    </row>
    <row r="838">
      <c r="J838">
        <f>IF($U838="","",INDEX(상세표[사번],$U838)&amp;"")</f>
        <v/>
      </c>
      <c r="K838">
        <f>IF($U838="","",INDEX(상세표[성명],$U838)&amp;"")</f>
        <v/>
      </c>
      <c r="L838">
        <f>IF($U838="","",INDEX(상세표[직위],$U838)&amp;"")</f>
        <v/>
      </c>
      <c r="M838">
        <f>IF($U838="","",IF(ISNUMBER(INDEX(상세표[근무일자],$U838)),TEXT(INDEX(상세표[근무일자],$U838),"yyyy-mm-dd"),INDEX(상세표[근무일자],$U838)&amp;""))</f>
        <v/>
      </c>
      <c r="N838">
        <f>IF($U838="","",IF(ISNUMBER(INDEX(상세표[시작],$U838)),TEXT(INDEX(상세표[시작],$U838),"yyyy-mm-dd hh:mm"),INDEX(상세표[시작],$U838)&amp;""))</f>
        <v/>
      </c>
      <c r="O838">
        <f>IF($U838="","",IF(ISNUMBER(INDEX(상세표[종료],$U838)),TEXT(INDEX(상세표[종료],$U838),"yyyy-mm-dd hh:mm"),INDEX(상세표[종료],$U838)&amp;""))</f>
        <v/>
      </c>
      <c r="P838">
        <f>IF($U838="","",INDEX(상세표[06~07시],$U838))</f>
        <v/>
      </c>
      <c r="Q838">
        <f>IF($U838="","",INDEX(상세표[07~18시],$U838))</f>
        <v/>
      </c>
      <c r="R838">
        <f>IF($U838="","",INDEX(상세표[18~22시],$U838))</f>
        <v/>
      </c>
      <c r="S838">
        <f>IF($U838="","",INDEX(상세표[22~06시],$U838))</f>
        <v/>
      </c>
      <c r="T838">
        <f>IF($U838="","",INDEX(상세표[기록 시간외],$U838))</f>
        <v/>
      </c>
      <c r="U838" s="4">
        <f>IFERROR(MATCH(833,상세표[발송순번],0),"")</f>
        <v/>
      </c>
    </row>
    <row r="839">
      <c r="J839">
        <f>IF($U839="","",INDEX(상세표[사번],$U839)&amp;"")</f>
        <v/>
      </c>
      <c r="K839">
        <f>IF($U839="","",INDEX(상세표[성명],$U839)&amp;"")</f>
        <v/>
      </c>
      <c r="L839">
        <f>IF($U839="","",INDEX(상세표[직위],$U839)&amp;"")</f>
        <v/>
      </c>
      <c r="M839">
        <f>IF($U839="","",IF(ISNUMBER(INDEX(상세표[근무일자],$U839)),TEXT(INDEX(상세표[근무일자],$U839),"yyyy-mm-dd"),INDEX(상세표[근무일자],$U839)&amp;""))</f>
        <v/>
      </c>
      <c r="N839">
        <f>IF($U839="","",IF(ISNUMBER(INDEX(상세표[시작],$U839)),TEXT(INDEX(상세표[시작],$U839),"yyyy-mm-dd hh:mm"),INDEX(상세표[시작],$U839)&amp;""))</f>
        <v/>
      </c>
      <c r="O839">
        <f>IF($U839="","",IF(ISNUMBER(INDEX(상세표[종료],$U839)),TEXT(INDEX(상세표[종료],$U839),"yyyy-mm-dd hh:mm"),INDEX(상세표[종료],$U839)&amp;""))</f>
        <v/>
      </c>
      <c r="P839">
        <f>IF($U839="","",INDEX(상세표[06~07시],$U839))</f>
        <v/>
      </c>
      <c r="Q839">
        <f>IF($U839="","",INDEX(상세표[07~18시],$U839))</f>
        <v/>
      </c>
      <c r="R839">
        <f>IF($U839="","",INDEX(상세표[18~22시],$U839))</f>
        <v/>
      </c>
      <c r="S839">
        <f>IF($U839="","",INDEX(상세표[22~06시],$U839))</f>
        <v/>
      </c>
      <c r="T839">
        <f>IF($U839="","",INDEX(상세표[기록 시간외],$U839))</f>
        <v/>
      </c>
      <c r="U839" s="4">
        <f>IFERROR(MATCH(834,상세표[발송순번],0),"")</f>
        <v/>
      </c>
    </row>
    <row r="840">
      <c r="J840">
        <f>IF($U840="","",INDEX(상세표[사번],$U840)&amp;"")</f>
        <v/>
      </c>
      <c r="K840">
        <f>IF($U840="","",INDEX(상세표[성명],$U840)&amp;"")</f>
        <v/>
      </c>
      <c r="L840">
        <f>IF($U840="","",INDEX(상세표[직위],$U840)&amp;"")</f>
        <v/>
      </c>
      <c r="M840">
        <f>IF($U840="","",IF(ISNUMBER(INDEX(상세표[근무일자],$U840)),TEXT(INDEX(상세표[근무일자],$U840),"yyyy-mm-dd"),INDEX(상세표[근무일자],$U840)&amp;""))</f>
        <v/>
      </c>
      <c r="N840">
        <f>IF($U840="","",IF(ISNUMBER(INDEX(상세표[시작],$U840)),TEXT(INDEX(상세표[시작],$U840),"yyyy-mm-dd hh:mm"),INDEX(상세표[시작],$U840)&amp;""))</f>
        <v/>
      </c>
      <c r="O840">
        <f>IF($U840="","",IF(ISNUMBER(INDEX(상세표[종료],$U840)),TEXT(INDEX(상세표[종료],$U840),"yyyy-mm-dd hh:mm"),INDEX(상세표[종료],$U840)&amp;""))</f>
        <v/>
      </c>
      <c r="P840">
        <f>IF($U840="","",INDEX(상세표[06~07시],$U840))</f>
        <v/>
      </c>
      <c r="Q840">
        <f>IF($U840="","",INDEX(상세표[07~18시],$U840))</f>
        <v/>
      </c>
      <c r="R840">
        <f>IF($U840="","",INDEX(상세표[18~22시],$U840))</f>
        <v/>
      </c>
      <c r="S840">
        <f>IF($U840="","",INDEX(상세표[22~06시],$U840))</f>
        <v/>
      </c>
      <c r="T840">
        <f>IF($U840="","",INDEX(상세표[기록 시간외],$U840))</f>
        <v/>
      </c>
      <c r="U840" s="4">
        <f>IFERROR(MATCH(835,상세표[발송순번],0),"")</f>
        <v/>
      </c>
    </row>
    <row r="841">
      <c r="J841">
        <f>IF($U841="","",INDEX(상세표[사번],$U841)&amp;"")</f>
        <v/>
      </c>
      <c r="K841">
        <f>IF($U841="","",INDEX(상세표[성명],$U841)&amp;"")</f>
        <v/>
      </c>
      <c r="L841">
        <f>IF($U841="","",INDEX(상세표[직위],$U841)&amp;"")</f>
        <v/>
      </c>
      <c r="M841">
        <f>IF($U841="","",IF(ISNUMBER(INDEX(상세표[근무일자],$U841)),TEXT(INDEX(상세표[근무일자],$U841),"yyyy-mm-dd"),INDEX(상세표[근무일자],$U841)&amp;""))</f>
        <v/>
      </c>
      <c r="N841">
        <f>IF($U841="","",IF(ISNUMBER(INDEX(상세표[시작],$U841)),TEXT(INDEX(상세표[시작],$U841),"yyyy-mm-dd hh:mm"),INDEX(상세표[시작],$U841)&amp;""))</f>
        <v/>
      </c>
      <c r="O841">
        <f>IF($U841="","",IF(ISNUMBER(INDEX(상세표[종료],$U841)),TEXT(INDEX(상세표[종료],$U841),"yyyy-mm-dd hh:mm"),INDEX(상세표[종료],$U841)&amp;""))</f>
        <v/>
      </c>
      <c r="P841">
        <f>IF($U841="","",INDEX(상세표[06~07시],$U841))</f>
        <v/>
      </c>
      <c r="Q841">
        <f>IF($U841="","",INDEX(상세표[07~18시],$U841))</f>
        <v/>
      </c>
      <c r="R841">
        <f>IF($U841="","",INDEX(상세표[18~22시],$U841))</f>
        <v/>
      </c>
      <c r="S841">
        <f>IF($U841="","",INDEX(상세표[22~06시],$U841))</f>
        <v/>
      </c>
      <c r="T841">
        <f>IF($U841="","",INDEX(상세표[기록 시간외],$U841))</f>
        <v/>
      </c>
      <c r="U841" s="4">
        <f>IFERROR(MATCH(836,상세표[발송순번],0),"")</f>
        <v/>
      </c>
    </row>
    <row r="842">
      <c r="J842">
        <f>IF($U842="","",INDEX(상세표[사번],$U842)&amp;"")</f>
        <v/>
      </c>
      <c r="K842">
        <f>IF($U842="","",INDEX(상세표[성명],$U842)&amp;"")</f>
        <v/>
      </c>
      <c r="L842">
        <f>IF($U842="","",INDEX(상세표[직위],$U842)&amp;"")</f>
        <v/>
      </c>
      <c r="M842">
        <f>IF($U842="","",IF(ISNUMBER(INDEX(상세표[근무일자],$U842)),TEXT(INDEX(상세표[근무일자],$U842),"yyyy-mm-dd"),INDEX(상세표[근무일자],$U842)&amp;""))</f>
        <v/>
      </c>
      <c r="N842">
        <f>IF($U842="","",IF(ISNUMBER(INDEX(상세표[시작],$U842)),TEXT(INDEX(상세표[시작],$U842),"yyyy-mm-dd hh:mm"),INDEX(상세표[시작],$U842)&amp;""))</f>
        <v/>
      </c>
      <c r="O842">
        <f>IF($U842="","",IF(ISNUMBER(INDEX(상세표[종료],$U842)),TEXT(INDEX(상세표[종료],$U842),"yyyy-mm-dd hh:mm"),INDEX(상세표[종료],$U842)&amp;""))</f>
        <v/>
      </c>
      <c r="P842">
        <f>IF($U842="","",INDEX(상세표[06~07시],$U842))</f>
        <v/>
      </c>
      <c r="Q842">
        <f>IF($U842="","",INDEX(상세표[07~18시],$U842))</f>
        <v/>
      </c>
      <c r="R842">
        <f>IF($U842="","",INDEX(상세표[18~22시],$U842))</f>
        <v/>
      </c>
      <c r="S842">
        <f>IF($U842="","",INDEX(상세표[22~06시],$U842))</f>
        <v/>
      </c>
      <c r="T842">
        <f>IF($U842="","",INDEX(상세표[기록 시간외],$U842))</f>
        <v/>
      </c>
      <c r="U842" s="4">
        <f>IFERROR(MATCH(837,상세표[발송순번],0),"")</f>
        <v/>
      </c>
    </row>
    <row r="843">
      <c r="J843">
        <f>IF($U843="","",INDEX(상세표[사번],$U843)&amp;"")</f>
        <v/>
      </c>
      <c r="K843">
        <f>IF($U843="","",INDEX(상세표[성명],$U843)&amp;"")</f>
        <v/>
      </c>
      <c r="L843">
        <f>IF($U843="","",INDEX(상세표[직위],$U843)&amp;"")</f>
        <v/>
      </c>
      <c r="M843">
        <f>IF($U843="","",IF(ISNUMBER(INDEX(상세표[근무일자],$U843)),TEXT(INDEX(상세표[근무일자],$U843),"yyyy-mm-dd"),INDEX(상세표[근무일자],$U843)&amp;""))</f>
        <v/>
      </c>
      <c r="N843">
        <f>IF($U843="","",IF(ISNUMBER(INDEX(상세표[시작],$U843)),TEXT(INDEX(상세표[시작],$U843),"yyyy-mm-dd hh:mm"),INDEX(상세표[시작],$U843)&amp;""))</f>
        <v/>
      </c>
      <c r="O843">
        <f>IF($U843="","",IF(ISNUMBER(INDEX(상세표[종료],$U843)),TEXT(INDEX(상세표[종료],$U843),"yyyy-mm-dd hh:mm"),INDEX(상세표[종료],$U843)&amp;""))</f>
        <v/>
      </c>
      <c r="P843">
        <f>IF($U843="","",INDEX(상세표[06~07시],$U843))</f>
        <v/>
      </c>
      <c r="Q843">
        <f>IF($U843="","",INDEX(상세표[07~18시],$U843))</f>
        <v/>
      </c>
      <c r="R843">
        <f>IF($U843="","",INDEX(상세표[18~22시],$U843))</f>
        <v/>
      </c>
      <c r="S843">
        <f>IF($U843="","",INDEX(상세표[22~06시],$U843))</f>
        <v/>
      </c>
      <c r="T843">
        <f>IF($U843="","",INDEX(상세표[기록 시간외],$U843))</f>
        <v/>
      </c>
      <c r="U843" s="4">
        <f>IFERROR(MATCH(838,상세표[발송순번],0),"")</f>
        <v/>
      </c>
    </row>
    <row r="844">
      <c r="J844">
        <f>IF($U844="","",INDEX(상세표[사번],$U844)&amp;"")</f>
        <v/>
      </c>
      <c r="K844">
        <f>IF($U844="","",INDEX(상세표[성명],$U844)&amp;"")</f>
        <v/>
      </c>
      <c r="L844">
        <f>IF($U844="","",INDEX(상세표[직위],$U844)&amp;"")</f>
        <v/>
      </c>
      <c r="M844">
        <f>IF($U844="","",IF(ISNUMBER(INDEX(상세표[근무일자],$U844)),TEXT(INDEX(상세표[근무일자],$U844),"yyyy-mm-dd"),INDEX(상세표[근무일자],$U844)&amp;""))</f>
        <v/>
      </c>
      <c r="N844">
        <f>IF($U844="","",IF(ISNUMBER(INDEX(상세표[시작],$U844)),TEXT(INDEX(상세표[시작],$U844),"yyyy-mm-dd hh:mm"),INDEX(상세표[시작],$U844)&amp;""))</f>
        <v/>
      </c>
      <c r="O844">
        <f>IF($U844="","",IF(ISNUMBER(INDEX(상세표[종료],$U844)),TEXT(INDEX(상세표[종료],$U844),"yyyy-mm-dd hh:mm"),INDEX(상세표[종료],$U844)&amp;""))</f>
        <v/>
      </c>
      <c r="P844">
        <f>IF($U844="","",INDEX(상세표[06~07시],$U844))</f>
        <v/>
      </c>
      <c r="Q844">
        <f>IF($U844="","",INDEX(상세표[07~18시],$U844))</f>
        <v/>
      </c>
      <c r="R844">
        <f>IF($U844="","",INDEX(상세표[18~22시],$U844))</f>
        <v/>
      </c>
      <c r="S844">
        <f>IF($U844="","",INDEX(상세표[22~06시],$U844))</f>
        <v/>
      </c>
      <c r="T844">
        <f>IF($U844="","",INDEX(상세표[기록 시간외],$U844))</f>
        <v/>
      </c>
      <c r="U844" s="4">
        <f>IFERROR(MATCH(839,상세표[발송순번],0),"")</f>
        <v/>
      </c>
    </row>
    <row r="845">
      <c r="J845">
        <f>IF($U845="","",INDEX(상세표[사번],$U845)&amp;"")</f>
        <v/>
      </c>
      <c r="K845">
        <f>IF($U845="","",INDEX(상세표[성명],$U845)&amp;"")</f>
        <v/>
      </c>
      <c r="L845">
        <f>IF($U845="","",INDEX(상세표[직위],$U845)&amp;"")</f>
        <v/>
      </c>
      <c r="M845">
        <f>IF($U845="","",IF(ISNUMBER(INDEX(상세표[근무일자],$U845)),TEXT(INDEX(상세표[근무일자],$U845),"yyyy-mm-dd"),INDEX(상세표[근무일자],$U845)&amp;""))</f>
        <v/>
      </c>
      <c r="N845">
        <f>IF($U845="","",IF(ISNUMBER(INDEX(상세표[시작],$U845)),TEXT(INDEX(상세표[시작],$U845),"yyyy-mm-dd hh:mm"),INDEX(상세표[시작],$U845)&amp;""))</f>
        <v/>
      </c>
      <c r="O845">
        <f>IF($U845="","",IF(ISNUMBER(INDEX(상세표[종료],$U845)),TEXT(INDEX(상세표[종료],$U845),"yyyy-mm-dd hh:mm"),INDEX(상세표[종료],$U845)&amp;""))</f>
        <v/>
      </c>
      <c r="P845">
        <f>IF($U845="","",INDEX(상세표[06~07시],$U845))</f>
        <v/>
      </c>
      <c r="Q845">
        <f>IF($U845="","",INDEX(상세표[07~18시],$U845))</f>
        <v/>
      </c>
      <c r="R845">
        <f>IF($U845="","",INDEX(상세표[18~22시],$U845))</f>
        <v/>
      </c>
      <c r="S845">
        <f>IF($U845="","",INDEX(상세표[22~06시],$U845))</f>
        <v/>
      </c>
      <c r="T845">
        <f>IF($U845="","",INDEX(상세표[기록 시간외],$U845))</f>
        <v/>
      </c>
      <c r="U845" s="4">
        <f>IFERROR(MATCH(840,상세표[발송순번],0),"")</f>
        <v/>
      </c>
    </row>
    <row r="846">
      <c r="J846">
        <f>IF($U846="","",INDEX(상세표[사번],$U846)&amp;"")</f>
        <v/>
      </c>
      <c r="K846">
        <f>IF($U846="","",INDEX(상세표[성명],$U846)&amp;"")</f>
        <v/>
      </c>
      <c r="L846">
        <f>IF($U846="","",INDEX(상세표[직위],$U846)&amp;"")</f>
        <v/>
      </c>
      <c r="M846">
        <f>IF($U846="","",IF(ISNUMBER(INDEX(상세표[근무일자],$U846)),TEXT(INDEX(상세표[근무일자],$U846),"yyyy-mm-dd"),INDEX(상세표[근무일자],$U846)&amp;""))</f>
        <v/>
      </c>
      <c r="N846">
        <f>IF($U846="","",IF(ISNUMBER(INDEX(상세표[시작],$U846)),TEXT(INDEX(상세표[시작],$U846),"yyyy-mm-dd hh:mm"),INDEX(상세표[시작],$U846)&amp;""))</f>
        <v/>
      </c>
      <c r="O846">
        <f>IF($U846="","",IF(ISNUMBER(INDEX(상세표[종료],$U846)),TEXT(INDEX(상세표[종료],$U846),"yyyy-mm-dd hh:mm"),INDEX(상세표[종료],$U846)&amp;""))</f>
        <v/>
      </c>
      <c r="P846">
        <f>IF($U846="","",INDEX(상세표[06~07시],$U846))</f>
        <v/>
      </c>
      <c r="Q846">
        <f>IF($U846="","",INDEX(상세표[07~18시],$U846))</f>
        <v/>
      </c>
      <c r="R846">
        <f>IF($U846="","",INDEX(상세표[18~22시],$U846))</f>
        <v/>
      </c>
      <c r="S846">
        <f>IF($U846="","",INDEX(상세표[22~06시],$U846))</f>
        <v/>
      </c>
      <c r="T846">
        <f>IF($U846="","",INDEX(상세표[기록 시간외],$U846))</f>
        <v/>
      </c>
      <c r="U846" s="4">
        <f>IFERROR(MATCH(841,상세표[발송순번],0),"")</f>
        <v/>
      </c>
    </row>
    <row r="847">
      <c r="J847">
        <f>IF($U847="","",INDEX(상세표[사번],$U847)&amp;"")</f>
        <v/>
      </c>
      <c r="K847">
        <f>IF($U847="","",INDEX(상세표[성명],$U847)&amp;"")</f>
        <v/>
      </c>
      <c r="L847">
        <f>IF($U847="","",INDEX(상세표[직위],$U847)&amp;"")</f>
        <v/>
      </c>
      <c r="M847">
        <f>IF($U847="","",IF(ISNUMBER(INDEX(상세표[근무일자],$U847)),TEXT(INDEX(상세표[근무일자],$U847),"yyyy-mm-dd"),INDEX(상세표[근무일자],$U847)&amp;""))</f>
        <v/>
      </c>
      <c r="N847">
        <f>IF($U847="","",IF(ISNUMBER(INDEX(상세표[시작],$U847)),TEXT(INDEX(상세표[시작],$U847),"yyyy-mm-dd hh:mm"),INDEX(상세표[시작],$U847)&amp;""))</f>
        <v/>
      </c>
      <c r="O847">
        <f>IF($U847="","",IF(ISNUMBER(INDEX(상세표[종료],$U847)),TEXT(INDEX(상세표[종료],$U847),"yyyy-mm-dd hh:mm"),INDEX(상세표[종료],$U847)&amp;""))</f>
        <v/>
      </c>
      <c r="P847">
        <f>IF($U847="","",INDEX(상세표[06~07시],$U847))</f>
        <v/>
      </c>
      <c r="Q847">
        <f>IF($U847="","",INDEX(상세표[07~18시],$U847))</f>
        <v/>
      </c>
      <c r="R847">
        <f>IF($U847="","",INDEX(상세표[18~22시],$U847))</f>
        <v/>
      </c>
      <c r="S847">
        <f>IF($U847="","",INDEX(상세표[22~06시],$U847))</f>
        <v/>
      </c>
      <c r="T847">
        <f>IF($U847="","",INDEX(상세표[기록 시간외],$U847))</f>
        <v/>
      </c>
      <c r="U847" s="4">
        <f>IFERROR(MATCH(842,상세표[발송순번],0),"")</f>
        <v/>
      </c>
    </row>
    <row r="848">
      <c r="J848">
        <f>IF($U848="","",INDEX(상세표[사번],$U848)&amp;"")</f>
        <v/>
      </c>
      <c r="K848">
        <f>IF($U848="","",INDEX(상세표[성명],$U848)&amp;"")</f>
        <v/>
      </c>
      <c r="L848">
        <f>IF($U848="","",INDEX(상세표[직위],$U848)&amp;"")</f>
        <v/>
      </c>
      <c r="M848">
        <f>IF($U848="","",IF(ISNUMBER(INDEX(상세표[근무일자],$U848)),TEXT(INDEX(상세표[근무일자],$U848),"yyyy-mm-dd"),INDEX(상세표[근무일자],$U848)&amp;""))</f>
        <v/>
      </c>
      <c r="N848">
        <f>IF($U848="","",IF(ISNUMBER(INDEX(상세표[시작],$U848)),TEXT(INDEX(상세표[시작],$U848),"yyyy-mm-dd hh:mm"),INDEX(상세표[시작],$U848)&amp;""))</f>
        <v/>
      </c>
      <c r="O848">
        <f>IF($U848="","",IF(ISNUMBER(INDEX(상세표[종료],$U848)),TEXT(INDEX(상세표[종료],$U848),"yyyy-mm-dd hh:mm"),INDEX(상세표[종료],$U848)&amp;""))</f>
        <v/>
      </c>
      <c r="P848">
        <f>IF($U848="","",INDEX(상세표[06~07시],$U848))</f>
        <v/>
      </c>
      <c r="Q848">
        <f>IF($U848="","",INDEX(상세표[07~18시],$U848))</f>
        <v/>
      </c>
      <c r="R848">
        <f>IF($U848="","",INDEX(상세표[18~22시],$U848))</f>
        <v/>
      </c>
      <c r="S848">
        <f>IF($U848="","",INDEX(상세표[22~06시],$U848))</f>
        <v/>
      </c>
      <c r="T848">
        <f>IF($U848="","",INDEX(상세표[기록 시간외],$U848))</f>
        <v/>
      </c>
      <c r="U848" s="4">
        <f>IFERROR(MATCH(843,상세표[발송순번],0),"")</f>
        <v/>
      </c>
    </row>
    <row r="849">
      <c r="J849">
        <f>IF($U849="","",INDEX(상세표[사번],$U849)&amp;"")</f>
        <v/>
      </c>
      <c r="K849">
        <f>IF($U849="","",INDEX(상세표[성명],$U849)&amp;"")</f>
        <v/>
      </c>
      <c r="L849">
        <f>IF($U849="","",INDEX(상세표[직위],$U849)&amp;"")</f>
        <v/>
      </c>
      <c r="M849">
        <f>IF($U849="","",IF(ISNUMBER(INDEX(상세표[근무일자],$U849)),TEXT(INDEX(상세표[근무일자],$U849),"yyyy-mm-dd"),INDEX(상세표[근무일자],$U849)&amp;""))</f>
        <v/>
      </c>
      <c r="N849">
        <f>IF($U849="","",IF(ISNUMBER(INDEX(상세표[시작],$U849)),TEXT(INDEX(상세표[시작],$U849),"yyyy-mm-dd hh:mm"),INDEX(상세표[시작],$U849)&amp;""))</f>
        <v/>
      </c>
      <c r="O849">
        <f>IF($U849="","",IF(ISNUMBER(INDEX(상세표[종료],$U849)),TEXT(INDEX(상세표[종료],$U849),"yyyy-mm-dd hh:mm"),INDEX(상세표[종료],$U849)&amp;""))</f>
        <v/>
      </c>
      <c r="P849">
        <f>IF($U849="","",INDEX(상세표[06~07시],$U849))</f>
        <v/>
      </c>
      <c r="Q849">
        <f>IF($U849="","",INDEX(상세표[07~18시],$U849))</f>
        <v/>
      </c>
      <c r="R849">
        <f>IF($U849="","",INDEX(상세표[18~22시],$U849))</f>
        <v/>
      </c>
      <c r="S849">
        <f>IF($U849="","",INDEX(상세표[22~06시],$U849))</f>
        <v/>
      </c>
      <c r="T849">
        <f>IF($U849="","",INDEX(상세표[기록 시간외],$U849))</f>
        <v/>
      </c>
      <c r="U849" s="4">
        <f>IFERROR(MATCH(844,상세표[발송순번],0),"")</f>
        <v/>
      </c>
    </row>
    <row r="850">
      <c r="J850">
        <f>IF($U850="","",INDEX(상세표[사번],$U850)&amp;"")</f>
        <v/>
      </c>
      <c r="K850">
        <f>IF($U850="","",INDEX(상세표[성명],$U850)&amp;"")</f>
        <v/>
      </c>
      <c r="L850">
        <f>IF($U850="","",INDEX(상세표[직위],$U850)&amp;"")</f>
        <v/>
      </c>
      <c r="M850">
        <f>IF($U850="","",IF(ISNUMBER(INDEX(상세표[근무일자],$U850)),TEXT(INDEX(상세표[근무일자],$U850),"yyyy-mm-dd"),INDEX(상세표[근무일자],$U850)&amp;""))</f>
        <v/>
      </c>
      <c r="N850">
        <f>IF($U850="","",IF(ISNUMBER(INDEX(상세표[시작],$U850)),TEXT(INDEX(상세표[시작],$U850),"yyyy-mm-dd hh:mm"),INDEX(상세표[시작],$U850)&amp;""))</f>
        <v/>
      </c>
      <c r="O850">
        <f>IF($U850="","",IF(ISNUMBER(INDEX(상세표[종료],$U850)),TEXT(INDEX(상세표[종료],$U850),"yyyy-mm-dd hh:mm"),INDEX(상세표[종료],$U850)&amp;""))</f>
        <v/>
      </c>
      <c r="P850">
        <f>IF($U850="","",INDEX(상세표[06~07시],$U850))</f>
        <v/>
      </c>
      <c r="Q850">
        <f>IF($U850="","",INDEX(상세표[07~18시],$U850))</f>
        <v/>
      </c>
      <c r="R850">
        <f>IF($U850="","",INDEX(상세표[18~22시],$U850))</f>
        <v/>
      </c>
      <c r="S850">
        <f>IF($U850="","",INDEX(상세표[22~06시],$U850))</f>
        <v/>
      </c>
      <c r="T850">
        <f>IF($U850="","",INDEX(상세표[기록 시간외],$U850))</f>
        <v/>
      </c>
      <c r="U850" s="4">
        <f>IFERROR(MATCH(845,상세표[발송순번],0),"")</f>
        <v/>
      </c>
    </row>
    <row r="851">
      <c r="J851">
        <f>IF($U851="","",INDEX(상세표[사번],$U851)&amp;"")</f>
        <v/>
      </c>
      <c r="K851">
        <f>IF($U851="","",INDEX(상세표[성명],$U851)&amp;"")</f>
        <v/>
      </c>
      <c r="L851">
        <f>IF($U851="","",INDEX(상세표[직위],$U851)&amp;"")</f>
        <v/>
      </c>
      <c r="M851">
        <f>IF($U851="","",IF(ISNUMBER(INDEX(상세표[근무일자],$U851)),TEXT(INDEX(상세표[근무일자],$U851),"yyyy-mm-dd"),INDEX(상세표[근무일자],$U851)&amp;""))</f>
        <v/>
      </c>
      <c r="N851">
        <f>IF($U851="","",IF(ISNUMBER(INDEX(상세표[시작],$U851)),TEXT(INDEX(상세표[시작],$U851),"yyyy-mm-dd hh:mm"),INDEX(상세표[시작],$U851)&amp;""))</f>
        <v/>
      </c>
      <c r="O851">
        <f>IF($U851="","",IF(ISNUMBER(INDEX(상세표[종료],$U851)),TEXT(INDEX(상세표[종료],$U851),"yyyy-mm-dd hh:mm"),INDEX(상세표[종료],$U851)&amp;""))</f>
        <v/>
      </c>
      <c r="P851">
        <f>IF($U851="","",INDEX(상세표[06~07시],$U851))</f>
        <v/>
      </c>
      <c r="Q851">
        <f>IF($U851="","",INDEX(상세표[07~18시],$U851))</f>
        <v/>
      </c>
      <c r="R851">
        <f>IF($U851="","",INDEX(상세표[18~22시],$U851))</f>
        <v/>
      </c>
      <c r="S851">
        <f>IF($U851="","",INDEX(상세표[22~06시],$U851))</f>
        <v/>
      </c>
      <c r="T851">
        <f>IF($U851="","",INDEX(상세표[기록 시간외],$U851))</f>
        <v/>
      </c>
      <c r="U851" s="4">
        <f>IFERROR(MATCH(846,상세표[발송순번],0),"")</f>
        <v/>
      </c>
    </row>
    <row r="852">
      <c r="J852">
        <f>IF($U852="","",INDEX(상세표[사번],$U852)&amp;"")</f>
        <v/>
      </c>
      <c r="K852">
        <f>IF($U852="","",INDEX(상세표[성명],$U852)&amp;"")</f>
        <v/>
      </c>
      <c r="L852">
        <f>IF($U852="","",INDEX(상세표[직위],$U852)&amp;"")</f>
        <v/>
      </c>
      <c r="M852">
        <f>IF($U852="","",IF(ISNUMBER(INDEX(상세표[근무일자],$U852)),TEXT(INDEX(상세표[근무일자],$U852),"yyyy-mm-dd"),INDEX(상세표[근무일자],$U852)&amp;""))</f>
        <v/>
      </c>
      <c r="N852">
        <f>IF($U852="","",IF(ISNUMBER(INDEX(상세표[시작],$U852)),TEXT(INDEX(상세표[시작],$U852),"yyyy-mm-dd hh:mm"),INDEX(상세표[시작],$U852)&amp;""))</f>
        <v/>
      </c>
      <c r="O852">
        <f>IF($U852="","",IF(ISNUMBER(INDEX(상세표[종료],$U852)),TEXT(INDEX(상세표[종료],$U852),"yyyy-mm-dd hh:mm"),INDEX(상세표[종료],$U852)&amp;""))</f>
        <v/>
      </c>
      <c r="P852">
        <f>IF($U852="","",INDEX(상세표[06~07시],$U852))</f>
        <v/>
      </c>
      <c r="Q852">
        <f>IF($U852="","",INDEX(상세표[07~18시],$U852))</f>
        <v/>
      </c>
      <c r="R852">
        <f>IF($U852="","",INDEX(상세표[18~22시],$U852))</f>
        <v/>
      </c>
      <c r="S852">
        <f>IF($U852="","",INDEX(상세표[22~06시],$U852))</f>
        <v/>
      </c>
      <c r="T852">
        <f>IF($U852="","",INDEX(상세표[기록 시간외],$U852))</f>
        <v/>
      </c>
      <c r="U852" s="4">
        <f>IFERROR(MATCH(847,상세표[발송순번],0),"")</f>
        <v/>
      </c>
    </row>
    <row r="853">
      <c r="J853">
        <f>IF($U853="","",INDEX(상세표[사번],$U853)&amp;"")</f>
        <v/>
      </c>
      <c r="K853">
        <f>IF($U853="","",INDEX(상세표[성명],$U853)&amp;"")</f>
        <v/>
      </c>
      <c r="L853">
        <f>IF($U853="","",INDEX(상세표[직위],$U853)&amp;"")</f>
        <v/>
      </c>
      <c r="M853">
        <f>IF($U853="","",IF(ISNUMBER(INDEX(상세표[근무일자],$U853)),TEXT(INDEX(상세표[근무일자],$U853),"yyyy-mm-dd"),INDEX(상세표[근무일자],$U853)&amp;""))</f>
        <v/>
      </c>
      <c r="N853">
        <f>IF($U853="","",IF(ISNUMBER(INDEX(상세표[시작],$U853)),TEXT(INDEX(상세표[시작],$U853),"yyyy-mm-dd hh:mm"),INDEX(상세표[시작],$U853)&amp;""))</f>
        <v/>
      </c>
      <c r="O853">
        <f>IF($U853="","",IF(ISNUMBER(INDEX(상세표[종료],$U853)),TEXT(INDEX(상세표[종료],$U853),"yyyy-mm-dd hh:mm"),INDEX(상세표[종료],$U853)&amp;""))</f>
        <v/>
      </c>
      <c r="P853">
        <f>IF($U853="","",INDEX(상세표[06~07시],$U853))</f>
        <v/>
      </c>
      <c r="Q853">
        <f>IF($U853="","",INDEX(상세표[07~18시],$U853))</f>
        <v/>
      </c>
      <c r="R853">
        <f>IF($U853="","",INDEX(상세표[18~22시],$U853))</f>
        <v/>
      </c>
      <c r="S853">
        <f>IF($U853="","",INDEX(상세표[22~06시],$U853))</f>
        <v/>
      </c>
      <c r="T853">
        <f>IF($U853="","",INDEX(상세표[기록 시간외],$U853))</f>
        <v/>
      </c>
      <c r="U853" s="4">
        <f>IFERROR(MATCH(848,상세표[발송순번],0),"")</f>
        <v/>
      </c>
    </row>
    <row r="854">
      <c r="J854">
        <f>IF($U854="","",INDEX(상세표[사번],$U854)&amp;"")</f>
        <v/>
      </c>
      <c r="K854">
        <f>IF($U854="","",INDEX(상세표[성명],$U854)&amp;"")</f>
        <v/>
      </c>
      <c r="L854">
        <f>IF($U854="","",INDEX(상세표[직위],$U854)&amp;"")</f>
        <v/>
      </c>
      <c r="M854">
        <f>IF($U854="","",IF(ISNUMBER(INDEX(상세표[근무일자],$U854)),TEXT(INDEX(상세표[근무일자],$U854),"yyyy-mm-dd"),INDEX(상세표[근무일자],$U854)&amp;""))</f>
        <v/>
      </c>
      <c r="N854">
        <f>IF($U854="","",IF(ISNUMBER(INDEX(상세표[시작],$U854)),TEXT(INDEX(상세표[시작],$U854),"yyyy-mm-dd hh:mm"),INDEX(상세표[시작],$U854)&amp;""))</f>
        <v/>
      </c>
      <c r="O854">
        <f>IF($U854="","",IF(ISNUMBER(INDEX(상세표[종료],$U854)),TEXT(INDEX(상세표[종료],$U854),"yyyy-mm-dd hh:mm"),INDEX(상세표[종료],$U854)&amp;""))</f>
        <v/>
      </c>
      <c r="P854">
        <f>IF($U854="","",INDEX(상세표[06~07시],$U854))</f>
        <v/>
      </c>
      <c r="Q854">
        <f>IF($U854="","",INDEX(상세표[07~18시],$U854))</f>
        <v/>
      </c>
      <c r="R854">
        <f>IF($U854="","",INDEX(상세표[18~22시],$U854))</f>
        <v/>
      </c>
      <c r="S854">
        <f>IF($U854="","",INDEX(상세표[22~06시],$U854))</f>
        <v/>
      </c>
      <c r="T854">
        <f>IF($U854="","",INDEX(상세표[기록 시간외],$U854))</f>
        <v/>
      </c>
      <c r="U854" s="4">
        <f>IFERROR(MATCH(849,상세표[발송순번],0),"")</f>
        <v/>
      </c>
    </row>
    <row r="855">
      <c r="J855">
        <f>IF($U855="","",INDEX(상세표[사번],$U855)&amp;"")</f>
        <v/>
      </c>
      <c r="K855">
        <f>IF($U855="","",INDEX(상세표[성명],$U855)&amp;"")</f>
        <v/>
      </c>
      <c r="L855">
        <f>IF($U855="","",INDEX(상세표[직위],$U855)&amp;"")</f>
        <v/>
      </c>
      <c r="M855">
        <f>IF($U855="","",IF(ISNUMBER(INDEX(상세표[근무일자],$U855)),TEXT(INDEX(상세표[근무일자],$U855),"yyyy-mm-dd"),INDEX(상세표[근무일자],$U855)&amp;""))</f>
        <v/>
      </c>
      <c r="N855">
        <f>IF($U855="","",IF(ISNUMBER(INDEX(상세표[시작],$U855)),TEXT(INDEX(상세표[시작],$U855),"yyyy-mm-dd hh:mm"),INDEX(상세표[시작],$U855)&amp;""))</f>
        <v/>
      </c>
      <c r="O855">
        <f>IF($U855="","",IF(ISNUMBER(INDEX(상세표[종료],$U855)),TEXT(INDEX(상세표[종료],$U855),"yyyy-mm-dd hh:mm"),INDEX(상세표[종료],$U855)&amp;""))</f>
        <v/>
      </c>
      <c r="P855">
        <f>IF($U855="","",INDEX(상세표[06~07시],$U855))</f>
        <v/>
      </c>
      <c r="Q855">
        <f>IF($U855="","",INDEX(상세표[07~18시],$U855))</f>
        <v/>
      </c>
      <c r="R855">
        <f>IF($U855="","",INDEX(상세표[18~22시],$U855))</f>
        <v/>
      </c>
      <c r="S855">
        <f>IF($U855="","",INDEX(상세표[22~06시],$U855))</f>
        <v/>
      </c>
      <c r="T855">
        <f>IF($U855="","",INDEX(상세표[기록 시간외],$U855))</f>
        <v/>
      </c>
      <c r="U855" s="4">
        <f>IFERROR(MATCH(850,상세표[발송순번],0),"")</f>
        <v/>
      </c>
    </row>
    <row r="856">
      <c r="J856">
        <f>IF($U856="","",INDEX(상세표[사번],$U856)&amp;"")</f>
        <v/>
      </c>
      <c r="K856">
        <f>IF($U856="","",INDEX(상세표[성명],$U856)&amp;"")</f>
        <v/>
      </c>
      <c r="L856">
        <f>IF($U856="","",INDEX(상세표[직위],$U856)&amp;"")</f>
        <v/>
      </c>
      <c r="M856">
        <f>IF($U856="","",IF(ISNUMBER(INDEX(상세표[근무일자],$U856)),TEXT(INDEX(상세표[근무일자],$U856),"yyyy-mm-dd"),INDEX(상세표[근무일자],$U856)&amp;""))</f>
        <v/>
      </c>
      <c r="N856">
        <f>IF($U856="","",IF(ISNUMBER(INDEX(상세표[시작],$U856)),TEXT(INDEX(상세표[시작],$U856),"yyyy-mm-dd hh:mm"),INDEX(상세표[시작],$U856)&amp;""))</f>
        <v/>
      </c>
      <c r="O856">
        <f>IF($U856="","",IF(ISNUMBER(INDEX(상세표[종료],$U856)),TEXT(INDEX(상세표[종료],$U856),"yyyy-mm-dd hh:mm"),INDEX(상세표[종료],$U856)&amp;""))</f>
        <v/>
      </c>
      <c r="P856">
        <f>IF($U856="","",INDEX(상세표[06~07시],$U856))</f>
        <v/>
      </c>
      <c r="Q856">
        <f>IF($U856="","",INDEX(상세표[07~18시],$U856))</f>
        <v/>
      </c>
      <c r="R856">
        <f>IF($U856="","",INDEX(상세표[18~22시],$U856))</f>
        <v/>
      </c>
      <c r="S856">
        <f>IF($U856="","",INDEX(상세표[22~06시],$U856))</f>
        <v/>
      </c>
      <c r="T856">
        <f>IF($U856="","",INDEX(상세표[기록 시간외],$U856))</f>
        <v/>
      </c>
      <c r="U856" s="4">
        <f>IFERROR(MATCH(851,상세표[발송순번],0),"")</f>
        <v/>
      </c>
    </row>
    <row r="857">
      <c r="J857">
        <f>IF($U857="","",INDEX(상세표[사번],$U857)&amp;"")</f>
        <v/>
      </c>
      <c r="K857">
        <f>IF($U857="","",INDEX(상세표[성명],$U857)&amp;"")</f>
        <v/>
      </c>
      <c r="L857">
        <f>IF($U857="","",INDEX(상세표[직위],$U857)&amp;"")</f>
        <v/>
      </c>
      <c r="M857">
        <f>IF($U857="","",IF(ISNUMBER(INDEX(상세표[근무일자],$U857)),TEXT(INDEX(상세표[근무일자],$U857),"yyyy-mm-dd"),INDEX(상세표[근무일자],$U857)&amp;""))</f>
        <v/>
      </c>
      <c r="N857">
        <f>IF($U857="","",IF(ISNUMBER(INDEX(상세표[시작],$U857)),TEXT(INDEX(상세표[시작],$U857),"yyyy-mm-dd hh:mm"),INDEX(상세표[시작],$U857)&amp;""))</f>
        <v/>
      </c>
      <c r="O857">
        <f>IF($U857="","",IF(ISNUMBER(INDEX(상세표[종료],$U857)),TEXT(INDEX(상세표[종료],$U857),"yyyy-mm-dd hh:mm"),INDEX(상세표[종료],$U857)&amp;""))</f>
        <v/>
      </c>
      <c r="P857">
        <f>IF($U857="","",INDEX(상세표[06~07시],$U857))</f>
        <v/>
      </c>
      <c r="Q857">
        <f>IF($U857="","",INDEX(상세표[07~18시],$U857))</f>
        <v/>
      </c>
      <c r="R857">
        <f>IF($U857="","",INDEX(상세표[18~22시],$U857))</f>
        <v/>
      </c>
      <c r="S857">
        <f>IF($U857="","",INDEX(상세표[22~06시],$U857))</f>
        <v/>
      </c>
      <c r="T857">
        <f>IF($U857="","",INDEX(상세표[기록 시간외],$U857))</f>
        <v/>
      </c>
      <c r="U857" s="4">
        <f>IFERROR(MATCH(852,상세표[발송순번],0),"")</f>
        <v/>
      </c>
    </row>
    <row r="858">
      <c r="J858">
        <f>IF($U858="","",INDEX(상세표[사번],$U858)&amp;"")</f>
        <v/>
      </c>
      <c r="K858">
        <f>IF($U858="","",INDEX(상세표[성명],$U858)&amp;"")</f>
        <v/>
      </c>
      <c r="L858">
        <f>IF($U858="","",INDEX(상세표[직위],$U858)&amp;"")</f>
        <v/>
      </c>
      <c r="M858">
        <f>IF($U858="","",IF(ISNUMBER(INDEX(상세표[근무일자],$U858)),TEXT(INDEX(상세표[근무일자],$U858),"yyyy-mm-dd"),INDEX(상세표[근무일자],$U858)&amp;""))</f>
        <v/>
      </c>
      <c r="N858">
        <f>IF($U858="","",IF(ISNUMBER(INDEX(상세표[시작],$U858)),TEXT(INDEX(상세표[시작],$U858),"yyyy-mm-dd hh:mm"),INDEX(상세표[시작],$U858)&amp;""))</f>
        <v/>
      </c>
      <c r="O858">
        <f>IF($U858="","",IF(ISNUMBER(INDEX(상세표[종료],$U858)),TEXT(INDEX(상세표[종료],$U858),"yyyy-mm-dd hh:mm"),INDEX(상세표[종료],$U858)&amp;""))</f>
        <v/>
      </c>
      <c r="P858">
        <f>IF($U858="","",INDEX(상세표[06~07시],$U858))</f>
        <v/>
      </c>
      <c r="Q858">
        <f>IF($U858="","",INDEX(상세표[07~18시],$U858))</f>
        <v/>
      </c>
      <c r="R858">
        <f>IF($U858="","",INDEX(상세표[18~22시],$U858))</f>
        <v/>
      </c>
      <c r="S858">
        <f>IF($U858="","",INDEX(상세표[22~06시],$U858))</f>
        <v/>
      </c>
      <c r="T858">
        <f>IF($U858="","",INDEX(상세표[기록 시간외],$U858))</f>
        <v/>
      </c>
      <c r="U858" s="4">
        <f>IFERROR(MATCH(853,상세표[발송순번],0),"")</f>
        <v/>
      </c>
    </row>
    <row r="859">
      <c r="J859">
        <f>IF($U859="","",INDEX(상세표[사번],$U859)&amp;"")</f>
        <v/>
      </c>
      <c r="K859">
        <f>IF($U859="","",INDEX(상세표[성명],$U859)&amp;"")</f>
        <v/>
      </c>
      <c r="L859">
        <f>IF($U859="","",INDEX(상세표[직위],$U859)&amp;"")</f>
        <v/>
      </c>
      <c r="M859">
        <f>IF($U859="","",IF(ISNUMBER(INDEX(상세표[근무일자],$U859)),TEXT(INDEX(상세표[근무일자],$U859),"yyyy-mm-dd"),INDEX(상세표[근무일자],$U859)&amp;""))</f>
        <v/>
      </c>
      <c r="N859">
        <f>IF($U859="","",IF(ISNUMBER(INDEX(상세표[시작],$U859)),TEXT(INDEX(상세표[시작],$U859),"yyyy-mm-dd hh:mm"),INDEX(상세표[시작],$U859)&amp;""))</f>
        <v/>
      </c>
      <c r="O859">
        <f>IF($U859="","",IF(ISNUMBER(INDEX(상세표[종료],$U859)),TEXT(INDEX(상세표[종료],$U859),"yyyy-mm-dd hh:mm"),INDEX(상세표[종료],$U859)&amp;""))</f>
        <v/>
      </c>
      <c r="P859">
        <f>IF($U859="","",INDEX(상세표[06~07시],$U859))</f>
        <v/>
      </c>
      <c r="Q859">
        <f>IF($U859="","",INDEX(상세표[07~18시],$U859))</f>
        <v/>
      </c>
      <c r="R859">
        <f>IF($U859="","",INDEX(상세표[18~22시],$U859))</f>
        <v/>
      </c>
      <c r="S859">
        <f>IF($U859="","",INDEX(상세표[22~06시],$U859))</f>
        <v/>
      </c>
      <c r="T859">
        <f>IF($U859="","",INDEX(상세표[기록 시간외],$U859))</f>
        <v/>
      </c>
      <c r="U859" s="4">
        <f>IFERROR(MATCH(854,상세표[발송순번],0),"")</f>
        <v/>
      </c>
    </row>
    <row r="860">
      <c r="J860">
        <f>IF($U860="","",INDEX(상세표[사번],$U860)&amp;"")</f>
        <v/>
      </c>
      <c r="K860">
        <f>IF($U860="","",INDEX(상세표[성명],$U860)&amp;"")</f>
        <v/>
      </c>
      <c r="L860">
        <f>IF($U860="","",INDEX(상세표[직위],$U860)&amp;"")</f>
        <v/>
      </c>
      <c r="M860">
        <f>IF($U860="","",IF(ISNUMBER(INDEX(상세표[근무일자],$U860)),TEXT(INDEX(상세표[근무일자],$U860),"yyyy-mm-dd"),INDEX(상세표[근무일자],$U860)&amp;""))</f>
        <v/>
      </c>
      <c r="N860">
        <f>IF($U860="","",IF(ISNUMBER(INDEX(상세표[시작],$U860)),TEXT(INDEX(상세표[시작],$U860),"yyyy-mm-dd hh:mm"),INDEX(상세표[시작],$U860)&amp;""))</f>
        <v/>
      </c>
      <c r="O860">
        <f>IF($U860="","",IF(ISNUMBER(INDEX(상세표[종료],$U860)),TEXT(INDEX(상세표[종료],$U860),"yyyy-mm-dd hh:mm"),INDEX(상세표[종료],$U860)&amp;""))</f>
        <v/>
      </c>
      <c r="P860">
        <f>IF($U860="","",INDEX(상세표[06~07시],$U860))</f>
        <v/>
      </c>
      <c r="Q860">
        <f>IF($U860="","",INDEX(상세표[07~18시],$U860))</f>
        <v/>
      </c>
      <c r="R860">
        <f>IF($U860="","",INDEX(상세표[18~22시],$U860))</f>
        <v/>
      </c>
      <c r="S860">
        <f>IF($U860="","",INDEX(상세표[22~06시],$U860))</f>
        <v/>
      </c>
      <c r="T860">
        <f>IF($U860="","",INDEX(상세표[기록 시간외],$U860))</f>
        <v/>
      </c>
      <c r="U860" s="4">
        <f>IFERROR(MATCH(855,상세표[발송순번],0),"")</f>
        <v/>
      </c>
    </row>
    <row r="861">
      <c r="J861">
        <f>IF($U861="","",INDEX(상세표[사번],$U861)&amp;"")</f>
        <v/>
      </c>
      <c r="K861">
        <f>IF($U861="","",INDEX(상세표[성명],$U861)&amp;"")</f>
        <v/>
      </c>
      <c r="L861">
        <f>IF($U861="","",INDEX(상세표[직위],$U861)&amp;"")</f>
        <v/>
      </c>
      <c r="M861">
        <f>IF($U861="","",IF(ISNUMBER(INDEX(상세표[근무일자],$U861)),TEXT(INDEX(상세표[근무일자],$U861),"yyyy-mm-dd"),INDEX(상세표[근무일자],$U861)&amp;""))</f>
        <v/>
      </c>
      <c r="N861">
        <f>IF($U861="","",IF(ISNUMBER(INDEX(상세표[시작],$U861)),TEXT(INDEX(상세표[시작],$U861),"yyyy-mm-dd hh:mm"),INDEX(상세표[시작],$U861)&amp;""))</f>
        <v/>
      </c>
      <c r="O861">
        <f>IF($U861="","",IF(ISNUMBER(INDEX(상세표[종료],$U861)),TEXT(INDEX(상세표[종료],$U861),"yyyy-mm-dd hh:mm"),INDEX(상세표[종료],$U861)&amp;""))</f>
        <v/>
      </c>
      <c r="P861">
        <f>IF($U861="","",INDEX(상세표[06~07시],$U861))</f>
        <v/>
      </c>
      <c r="Q861">
        <f>IF($U861="","",INDEX(상세표[07~18시],$U861))</f>
        <v/>
      </c>
      <c r="R861">
        <f>IF($U861="","",INDEX(상세표[18~22시],$U861))</f>
        <v/>
      </c>
      <c r="S861">
        <f>IF($U861="","",INDEX(상세표[22~06시],$U861))</f>
        <v/>
      </c>
      <c r="T861">
        <f>IF($U861="","",INDEX(상세표[기록 시간외],$U861))</f>
        <v/>
      </c>
      <c r="U861" s="4">
        <f>IFERROR(MATCH(856,상세표[발송순번],0),"")</f>
        <v/>
      </c>
    </row>
    <row r="862">
      <c r="J862">
        <f>IF($U862="","",INDEX(상세표[사번],$U862)&amp;"")</f>
        <v/>
      </c>
      <c r="K862">
        <f>IF($U862="","",INDEX(상세표[성명],$U862)&amp;"")</f>
        <v/>
      </c>
      <c r="L862">
        <f>IF($U862="","",INDEX(상세표[직위],$U862)&amp;"")</f>
        <v/>
      </c>
      <c r="M862">
        <f>IF($U862="","",IF(ISNUMBER(INDEX(상세표[근무일자],$U862)),TEXT(INDEX(상세표[근무일자],$U862),"yyyy-mm-dd"),INDEX(상세표[근무일자],$U862)&amp;""))</f>
        <v/>
      </c>
      <c r="N862">
        <f>IF($U862="","",IF(ISNUMBER(INDEX(상세표[시작],$U862)),TEXT(INDEX(상세표[시작],$U862),"yyyy-mm-dd hh:mm"),INDEX(상세표[시작],$U862)&amp;""))</f>
        <v/>
      </c>
      <c r="O862">
        <f>IF($U862="","",IF(ISNUMBER(INDEX(상세표[종료],$U862)),TEXT(INDEX(상세표[종료],$U862),"yyyy-mm-dd hh:mm"),INDEX(상세표[종료],$U862)&amp;""))</f>
        <v/>
      </c>
      <c r="P862">
        <f>IF($U862="","",INDEX(상세표[06~07시],$U862))</f>
        <v/>
      </c>
      <c r="Q862">
        <f>IF($U862="","",INDEX(상세표[07~18시],$U862))</f>
        <v/>
      </c>
      <c r="R862">
        <f>IF($U862="","",INDEX(상세표[18~22시],$U862))</f>
        <v/>
      </c>
      <c r="S862">
        <f>IF($U862="","",INDEX(상세표[22~06시],$U862))</f>
        <v/>
      </c>
      <c r="T862">
        <f>IF($U862="","",INDEX(상세표[기록 시간외],$U862))</f>
        <v/>
      </c>
      <c r="U862" s="4">
        <f>IFERROR(MATCH(857,상세표[발송순번],0),"")</f>
        <v/>
      </c>
    </row>
    <row r="863">
      <c r="J863">
        <f>IF($U863="","",INDEX(상세표[사번],$U863)&amp;"")</f>
        <v/>
      </c>
      <c r="K863">
        <f>IF($U863="","",INDEX(상세표[성명],$U863)&amp;"")</f>
        <v/>
      </c>
      <c r="L863">
        <f>IF($U863="","",INDEX(상세표[직위],$U863)&amp;"")</f>
        <v/>
      </c>
      <c r="M863">
        <f>IF($U863="","",IF(ISNUMBER(INDEX(상세표[근무일자],$U863)),TEXT(INDEX(상세표[근무일자],$U863),"yyyy-mm-dd"),INDEX(상세표[근무일자],$U863)&amp;""))</f>
        <v/>
      </c>
      <c r="N863">
        <f>IF($U863="","",IF(ISNUMBER(INDEX(상세표[시작],$U863)),TEXT(INDEX(상세표[시작],$U863),"yyyy-mm-dd hh:mm"),INDEX(상세표[시작],$U863)&amp;""))</f>
        <v/>
      </c>
      <c r="O863">
        <f>IF($U863="","",IF(ISNUMBER(INDEX(상세표[종료],$U863)),TEXT(INDEX(상세표[종료],$U863),"yyyy-mm-dd hh:mm"),INDEX(상세표[종료],$U863)&amp;""))</f>
        <v/>
      </c>
      <c r="P863">
        <f>IF($U863="","",INDEX(상세표[06~07시],$U863))</f>
        <v/>
      </c>
      <c r="Q863">
        <f>IF($U863="","",INDEX(상세표[07~18시],$U863))</f>
        <v/>
      </c>
      <c r="R863">
        <f>IF($U863="","",INDEX(상세표[18~22시],$U863))</f>
        <v/>
      </c>
      <c r="S863">
        <f>IF($U863="","",INDEX(상세표[22~06시],$U863))</f>
        <v/>
      </c>
      <c r="T863">
        <f>IF($U863="","",INDEX(상세표[기록 시간외],$U863))</f>
        <v/>
      </c>
      <c r="U863" s="4">
        <f>IFERROR(MATCH(858,상세표[발송순번],0),"")</f>
        <v/>
      </c>
    </row>
    <row r="864">
      <c r="J864">
        <f>IF($U864="","",INDEX(상세표[사번],$U864)&amp;"")</f>
        <v/>
      </c>
      <c r="K864">
        <f>IF($U864="","",INDEX(상세표[성명],$U864)&amp;"")</f>
        <v/>
      </c>
      <c r="L864">
        <f>IF($U864="","",INDEX(상세표[직위],$U864)&amp;"")</f>
        <v/>
      </c>
      <c r="M864">
        <f>IF($U864="","",IF(ISNUMBER(INDEX(상세표[근무일자],$U864)),TEXT(INDEX(상세표[근무일자],$U864),"yyyy-mm-dd"),INDEX(상세표[근무일자],$U864)&amp;""))</f>
        <v/>
      </c>
      <c r="N864">
        <f>IF($U864="","",IF(ISNUMBER(INDEX(상세표[시작],$U864)),TEXT(INDEX(상세표[시작],$U864),"yyyy-mm-dd hh:mm"),INDEX(상세표[시작],$U864)&amp;""))</f>
        <v/>
      </c>
      <c r="O864">
        <f>IF($U864="","",IF(ISNUMBER(INDEX(상세표[종료],$U864)),TEXT(INDEX(상세표[종료],$U864),"yyyy-mm-dd hh:mm"),INDEX(상세표[종료],$U864)&amp;""))</f>
        <v/>
      </c>
      <c r="P864">
        <f>IF($U864="","",INDEX(상세표[06~07시],$U864))</f>
        <v/>
      </c>
      <c r="Q864">
        <f>IF($U864="","",INDEX(상세표[07~18시],$U864))</f>
        <v/>
      </c>
      <c r="R864">
        <f>IF($U864="","",INDEX(상세표[18~22시],$U864))</f>
        <v/>
      </c>
      <c r="S864">
        <f>IF($U864="","",INDEX(상세표[22~06시],$U864))</f>
        <v/>
      </c>
      <c r="T864">
        <f>IF($U864="","",INDEX(상세표[기록 시간외],$U864))</f>
        <v/>
      </c>
      <c r="U864" s="4">
        <f>IFERROR(MATCH(859,상세표[발송순번],0),"")</f>
        <v/>
      </c>
    </row>
    <row r="865">
      <c r="J865">
        <f>IF($U865="","",INDEX(상세표[사번],$U865)&amp;"")</f>
        <v/>
      </c>
      <c r="K865">
        <f>IF($U865="","",INDEX(상세표[성명],$U865)&amp;"")</f>
        <v/>
      </c>
      <c r="L865">
        <f>IF($U865="","",INDEX(상세표[직위],$U865)&amp;"")</f>
        <v/>
      </c>
      <c r="M865">
        <f>IF($U865="","",IF(ISNUMBER(INDEX(상세표[근무일자],$U865)),TEXT(INDEX(상세표[근무일자],$U865),"yyyy-mm-dd"),INDEX(상세표[근무일자],$U865)&amp;""))</f>
        <v/>
      </c>
      <c r="N865">
        <f>IF($U865="","",IF(ISNUMBER(INDEX(상세표[시작],$U865)),TEXT(INDEX(상세표[시작],$U865),"yyyy-mm-dd hh:mm"),INDEX(상세표[시작],$U865)&amp;""))</f>
        <v/>
      </c>
      <c r="O865">
        <f>IF($U865="","",IF(ISNUMBER(INDEX(상세표[종료],$U865)),TEXT(INDEX(상세표[종료],$U865),"yyyy-mm-dd hh:mm"),INDEX(상세표[종료],$U865)&amp;""))</f>
        <v/>
      </c>
      <c r="P865">
        <f>IF($U865="","",INDEX(상세표[06~07시],$U865))</f>
        <v/>
      </c>
      <c r="Q865">
        <f>IF($U865="","",INDEX(상세표[07~18시],$U865))</f>
        <v/>
      </c>
      <c r="R865">
        <f>IF($U865="","",INDEX(상세표[18~22시],$U865))</f>
        <v/>
      </c>
      <c r="S865">
        <f>IF($U865="","",INDEX(상세표[22~06시],$U865))</f>
        <v/>
      </c>
      <c r="T865">
        <f>IF($U865="","",INDEX(상세표[기록 시간외],$U865))</f>
        <v/>
      </c>
      <c r="U865" s="4">
        <f>IFERROR(MATCH(860,상세표[발송순번],0),"")</f>
        <v/>
      </c>
    </row>
    <row r="866">
      <c r="J866">
        <f>IF($U866="","",INDEX(상세표[사번],$U866)&amp;"")</f>
        <v/>
      </c>
      <c r="K866">
        <f>IF($U866="","",INDEX(상세표[성명],$U866)&amp;"")</f>
        <v/>
      </c>
      <c r="L866">
        <f>IF($U866="","",INDEX(상세표[직위],$U866)&amp;"")</f>
        <v/>
      </c>
      <c r="M866">
        <f>IF($U866="","",IF(ISNUMBER(INDEX(상세표[근무일자],$U866)),TEXT(INDEX(상세표[근무일자],$U866),"yyyy-mm-dd"),INDEX(상세표[근무일자],$U866)&amp;""))</f>
        <v/>
      </c>
      <c r="N866">
        <f>IF($U866="","",IF(ISNUMBER(INDEX(상세표[시작],$U866)),TEXT(INDEX(상세표[시작],$U866),"yyyy-mm-dd hh:mm"),INDEX(상세표[시작],$U866)&amp;""))</f>
        <v/>
      </c>
      <c r="O866">
        <f>IF($U866="","",IF(ISNUMBER(INDEX(상세표[종료],$U866)),TEXT(INDEX(상세표[종료],$U866),"yyyy-mm-dd hh:mm"),INDEX(상세표[종료],$U866)&amp;""))</f>
        <v/>
      </c>
      <c r="P866">
        <f>IF($U866="","",INDEX(상세표[06~07시],$U866))</f>
        <v/>
      </c>
      <c r="Q866">
        <f>IF($U866="","",INDEX(상세표[07~18시],$U866))</f>
        <v/>
      </c>
      <c r="R866">
        <f>IF($U866="","",INDEX(상세표[18~22시],$U866))</f>
        <v/>
      </c>
      <c r="S866">
        <f>IF($U866="","",INDEX(상세표[22~06시],$U866))</f>
        <v/>
      </c>
      <c r="T866">
        <f>IF($U866="","",INDEX(상세표[기록 시간외],$U866))</f>
        <v/>
      </c>
      <c r="U866" s="4">
        <f>IFERROR(MATCH(861,상세표[발송순번],0),"")</f>
        <v/>
      </c>
    </row>
    <row r="867">
      <c r="J867">
        <f>IF($U867="","",INDEX(상세표[사번],$U867)&amp;"")</f>
        <v/>
      </c>
      <c r="K867">
        <f>IF($U867="","",INDEX(상세표[성명],$U867)&amp;"")</f>
        <v/>
      </c>
      <c r="L867">
        <f>IF($U867="","",INDEX(상세표[직위],$U867)&amp;"")</f>
        <v/>
      </c>
      <c r="M867">
        <f>IF($U867="","",IF(ISNUMBER(INDEX(상세표[근무일자],$U867)),TEXT(INDEX(상세표[근무일자],$U867),"yyyy-mm-dd"),INDEX(상세표[근무일자],$U867)&amp;""))</f>
        <v/>
      </c>
      <c r="N867">
        <f>IF($U867="","",IF(ISNUMBER(INDEX(상세표[시작],$U867)),TEXT(INDEX(상세표[시작],$U867),"yyyy-mm-dd hh:mm"),INDEX(상세표[시작],$U867)&amp;""))</f>
        <v/>
      </c>
      <c r="O867">
        <f>IF($U867="","",IF(ISNUMBER(INDEX(상세표[종료],$U867)),TEXT(INDEX(상세표[종료],$U867),"yyyy-mm-dd hh:mm"),INDEX(상세표[종료],$U867)&amp;""))</f>
        <v/>
      </c>
      <c r="P867">
        <f>IF($U867="","",INDEX(상세표[06~07시],$U867))</f>
        <v/>
      </c>
      <c r="Q867">
        <f>IF($U867="","",INDEX(상세표[07~18시],$U867))</f>
        <v/>
      </c>
      <c r="R867">
        <f>IF($U867="","",INDEX(상세표[18~22시],$U867))</f>
        <v/>
      </c>
      <c r="S867">
        <f>IF($U867="","",INDEX(상세표[22~06시],$U867))</f>
        <v/>
      </c>
      <c r="T867">
        <f>IF($U867="","",INDEX(상세표[기록 시간외],$U867))</f>
        <v/>
      </c>
      <c r="U867" s="4">
        <f>IFERROR(MATCH(862,상세표[발송순번],0),"")</f>
        <v/>
      </c>
    </row>
    <row r="868">
      <c r="J868">
        <f>IF($U868="","",INDEX(상세표[사번],$U868)&amp;"")</f>
        <v/>
      </c>
      <c r="K868">
        <f>IF($U868="","",INDEX(상세표[성명],$U868)&amp;"")</f>
        <v/>
      </c>
      <c r="L868">
        <f>IF($U868="","",INDEX(상세표[직위],$U868)&amp;"")</f>
        <v/>
      </c>
      <c r="M868">
        <f>IF($U868="","",IF(ISNUMBER(INDEX(상세표[근무일자],$U868)),TEXT(INDEX(상세표[근무일자],$U868),"yyyy-mm-dd"),INDEX(상세표[근무일자],$U868)&amp;""))</f>
        <v/>
      </c>
      <c r="N868">
        <f>IF($U868="","",IF(ISNUMBER(INDEX(상세표[시작],$U868)),TEXT(INDEX(상세표[시작],$U868),"yyyy-mm-dd hh:mm"),INDEX(상세표[시작],$U868)&amp;""))</f>
        <v/>
      </c>
      <c r="O868">
        <f>IF($U868="","",IF(ISNUMBER(INDEX(상세표[종료],$U868)),TEXT(INDEX(상세표[종료],$U868),"yyyy-mm-dd hh:mm"),INDEX(상세표[종료],$U868)&amp;""))</f>
        <v/>
      </c>
      <c r="P868">
        <f>IF($U868="","",INDEX(상세표[06~07시],$U868))</f>
        <v/>
      </c>
      <c r="Q868">
        <f>IF($U868="","",INDEX(상세표[07~18시],$U868))</f>
        <v/>
      </c>
      <c r="R868">
        <f>IF($U868="","",INDEX(상세표[18~22시],$U868))</f>
        <v/>
      </c>
      <c r="S868">
        <f>IF($U868="","",INDEX(상세표[22~06시],$U868))</f>
        <v/>
      </c>
      <c r="T868">
        <f>IF($U868="","",INDEX(상세표[기록 시간외],$U868))</f>
        <v/>
      </c>
      <c r="U868" s="4">
        <f>IFERROR(MATCH(863,상세표[발송순번],0),"")</f>
        <v/>
      </c>
    </row>
    <row r="869">
      <c r="J869">
        <f>IF($U869="","",INDEX(상세표[사번],$U869)&amp;"")</f>
        <v/>
      </c>
      <c r="K869">
        <f>IF($U869="","",INDEX(상세표[성명],$U869)&amp;"")</f>
        <v/>
      </c>
      <c r="L869">
        <f>IF($U869="","",INDEX(상세표[직위],$U869)&amp;"")</f>
        <v/>
      </c>
      <c r="M869">
        <f>IF($U869="","",IF(ISNUMBER(INDEX(상세표[근무일자],$U869)),TEXT(INDEX(상세표[근무일자],$U869),"yyyy-mm-dd"),INDEX(상세표[근무일자],$U869)&amp;""))</f>
        <v/>
      </c>
      <c r="N869">
        <f>IF($U869="","",IF(ISNUMBER(INDEX(상세표[시작],$U869)),TEXT(INDEX(상세표[시작],$U869),"yyyy-mm-dd hh:mm"),INDEX(상세표[시작],$U869)&amp;""))</f>
        <v/>
      </c>
      <c r="O869">
        <f>IF($U869="","",IF(ISNUMBER(INDEX(상세표[종료],$U869)),TEXT(INDEX(상세표[종료],$U869),"yyyy-mm-dd hh:mm"),INDEX(상세표[종료],$U869)&amp;""))</f>
        <v/>
      </c>
      <c r="P869">
        <f>IF($U869="","",INDEX(상세표[06~07시],$U869))</f>
        <v/>
      </c>
      <c r="Q869">
        <f>IF($U869="","",INDEX(상세표[07~18시],$U869))</f>
        <v/>
      </c>
      <c r="R869">
        <f>IF($U869="","",INDEX(상세표[18~22시],$U869))</f>
        <v/>
      </c>
      <c r="S869">
        <f>IF($U869="","",INDEX(상세표[22~06시],$U869))</f>
        <v/>
      </c>
      <c r="T869">
        <f>IF($U869="","",INDEX(상세표[기록 시간외],$U869))</f>
        <v/>
      </c>
      <c r="U869" s="4">
        <f>IFERROR(MATCH(864,상세표[발송순번],0),"")</f>
        <v/>
      </c>
    </row>
    <row r="870">
      <c r="J870">
        <f>IF($U870="","",INDEX(상세표[사번],$U870)&amp;"")</f>
        <v/>
      </c>
      <c r="K870">
        <f>IF($U870="","",INDEX(상세표[성명],$U870)&amp;"")</f>
        <v/>
      </c>
      <c r="L870">
        <f>IF($U870="","",INDEX(상세표[직위],$U870)&amp;"")</f>
        <v/>
      </c>
      <c r="M870">
        <f>IF($U870="","",IF(ISNUMBER(INDEX(상세표[근무일자],$U870)),TEXT(INDEX(상세표[근무일자],$U870),"yyyy-mm-dd"),INDEX(상세표[근무일자],$U870)&amp;""))</f>
        <v/>
      </c>
      <c r="N870">
        <f>IF($U870="","",IF(ISNUMBER(INDEX(상세표[시작],$U870)),TEXT(INDEX(상세표[시작],$U870),"yyyy-mm-dd hh:mm"),INDEX(상세표[시작],$U870)&amp;""))</f>
        <v/>
      </c>
      <c r="O870">
        <f>IF($U870="","",IF(ISNUMBER(INDEX(상세표[종료],$U870)),TEXT(INDEX(상세표[종료],$U870),"yyyy-mm-dd hh:mm"),INDEX(상세표[종료],$U870)&amp;""))</f>
        <v/>
      </c>
      <c r="P870">
        <f>IF($U870="","",INDEX(상세표[06~07시],$U870))</f>
        <v/>
      </c>
      <c r="Q870">
        <f>IF($U870="","",INDEX(상세표[07~18시],$U870))</f>
        <v/>
      </c>
      <c r="R870">
        <f>IF($U870="","",INDEX(상세표[18~22시],$U870))</f>
        <v/>
      </c>
      <c r="S870">
        <f>IF($U870="","",INDEX(상세표[22~06시],$U870))</f>
        <v/>
      </c>
      <c r="T870">
        <f>IF($U870="","",INDEX(상세표[기록 시간외],$U870))</f>
        <v/>
      </c>
      <c r="U870" s="4">
        <f>IFERROR(MATCH(865,상세표[발송순번],0),"")</f>
        <v/>
      </c>
    </row>
    <row r="871">
      <c r="J871">
        <f>IF($U871="","",INDEX(상세표[사번],$U871)&amp;"")</f>
        <v/>
      </c>
      <c r="K871">
        <f>IF($U871="","",INDEX(상세표[성명],$U871)&amp;"")</f>
        <v/>
      </c>
      <c r="L871">
        <f>IF($U871="","",INDEX(상세표[직위],$U871)&amp;"")</f>
        <v/>
      </c>
      <c r="M871">
        <f>IF($U871="","",IF(ISNUMBER(INDEX(상세표[근무일자],$U871)),TEXT(INDEX(상세표[근무일자],$U871),"yyyy-mm-dd"),INDEX(상세표[근무일자],$U871)&amp;""))</f>
        <v/>
      </c>
      <c r="N871">
        <f>IF($U871="","",IF(ISNUMBER(INDEX(상세표[시작],$U871)),TEXT(INDEX(상세표[시작],$U871),"yyyy-mm-dd hh:mm"),INDEX(상세표[시작],$U871)&amp;""))</f>
        <v/>
      </c>
      <c r="O871">
        <f>IF($U871="","",IF(ISNUMBER(INDEX(상세표[종료],$U871)),TEXT(INDEX(상세표[종료],$U871),"yyyy-mm-dd hh:mm"),INDEX(상세표[종료],$U871)&amp;""))</f>
        <v/>
      </c>
      <c r="P871">
        <f>IF($U871="","",INDEX(상세표[06~07시],$U871))</f>
        <v/>
      </c>
      <c r="Q871">
        <f>IF($U871="","",INDEX(상세표[07~18시],$U871))</f>
        <v/>
      </c>
      <c r="R871">
        <f>IF($U871="","",INDEX(상세표[18~22시],$U871))</f>
        <v/>
      </c>
      <c r="S871">
        <f>IF($U871="","",INDEX(상세표[22~06시],$U871))</f>
        <v/>
      </c>
      <c r="T871">
        <f>IF($U871="","",INDEX(상세표[기록 시간외],$U871))</f>
        <v/>
      </c>
      <c r="U871" s="4">
        <f>IFERROR(MATCH(866,상세표[발송순번],0),"")</f>
        <v/>
      </c>
    </row>
    <row r="872">
      <c r="J872">
        <f>IF($U872="","",INDEX(상세표[사번],$U872)&amp;"")</f>
        <v/>
      </c>
      <c r="K872">
        <f>IF($U872="","",INDEX(상세표[성명],$U872)&amp;"")</f>
        <v/>
      </c>
      <c r="L872">
        <f>IF($U872="","",INDEX(상세표[직위],$U872)&amp;"")</f>
        <v/>
      </c>
      <c r="M872">
        <f>IF($U872="","",IF(ISNUMBER(INDEX(상세표[근무일자],$U872)),TEXT(INDEX(상세표[근무일자],$U872),"yyyy-mm-dd"),INDEX(상세표[근무일자],$U872)&amp;""))</f>
        <v/>
      </c>
      <c r="N872">
        <f>IF($U872="","",IF(ISNUMBER(INDEX(상세표[시작],$U872)),TEXT(INDEX(상세표[시작],$U872),"yyyy-mm-dd hh:mm"),INDEX(상세표[시작],$U872)&amp;""))</f>
        <v/>
      </c>
      <c r="O872">
        <f>IF($U872="","",IF(ISNUMBER(INDEX(상세표[종료],$U872)),TEXT(INDEX(상세표[종료],$U872),"yyyy-mm-dd hh:mm"),INDEX(상세표[종료],$U872)&amp;""))</f>
        <v/>
      </c>
      <c r="P872">
        <f>IF($U872="","",INDEX(상세표[06~07시],$U872))</f>
        <v/>
      </c>
      <c r="Q872">
        <f>IF($U872="","",INDEX(상세표[07~18시],$U872))</f>
        <v/>
      </c>
      <c r="R872">
        <f>IF($U872="","",INDEX(상세표[18~22시],$U872))</f>
        <v/>
      </c>
      <c r="S872">
        <f>IF($U872="","",INDEX(상세표[22~06시],$U872))</f>
        <v/>
      </c>
      <c r="T872">
        <f>IF($U872="","",INDEX(상세표[기록 시간외],$U872))</f>
        <v/>
      </c>
      <c r="U872" s="4">
        <f>IFERROR(MATCH(867,상세표[발송순번],0),"")</f>
        <v/>
      </c>
    </row>
    <row r="873">
      <c r="J873">
        <f>IF($U873="","",INDEX(상세표[사번],$U873)&amp;"")</f>
        <v/>
      </c>
      <c r="K873">
        <f>IF($U873="","",INDEX(상세표[성명],$U873)&amp;"")</f>
        <v/>
      </c>
      <c r="L873">
        <f>IF($U873="","",INDEX(상세표[직위],$U873)&amp;"")</f>
        <v/>
      </c>
      <c r="M873">
        <f>IF($U873="","",IF(ISNUMBER(INDEX(상세표[근무일자],$U873)),TEXT(INDEX(상세표[근무일자],$U873),"yyyy-mm-dd"),INDEX(상세표[근무일자],$U873)&amp;""))</f>
        <v/>
      </c>
      <c r="N873">
        <f>IF($U873="","",IF(ISNUMBER(INDEX(상세표[시작],$U873)),TEXT(INDEX(상세표[시작],$U873),"yyyy-mm-dd hh:mm"),INDEX(상세표[시작],$U873)&amp;""))</f>
        <v/>
      </c>
      <c r="O873">
        <f>IF($U873="","",IF(ISNUMBER(INDEX(상세표[종료],$U873)),TEXT(INDEX(상세표[종료],$U873),"yyyy-mm-dd hh:mm"),INDEX(상세표[종료],$U873)&amp;""))</f>
        <v/>
      </c>
      <c r="P873">
        <f>IF($U873="","",INDEX(상세표[06~07시],$U873))</f>
        <v/>
      </c>
      <c r="Q873">
        <f>IF($U873="","",INDEX(상세표[07~18시],$U873))</f>
        <v/>
      </c>
      <c r="R873">
        <f>IF($U873="","",INDEX(상세표[18~22시],$U873))</f>
        <v/>
      </c>
      <c r="S873">
        <f>IF($U873="","",INDEX(상세표[22~06시],$U873))</f>
        <v/>
      </c>
      <c r="T873">
        <f>IF($U873="","",INDEX(상세표[기록 시간외],$U873))</f>
        <v/>
      </c>
      <c r="U873" s="4">
        <f>IFERROR(MATCH(868,상세표[발송순번],0),"")</f>
        <v/>
      </c>
    </row>
    <row r="874">
      <c r="J874">
        <f>IF($U874="","",INDEX(상세표[사번],$U874)&amp;"")</f>
        <v/>
      </c>
      <c r="K874">
        <f>IF($U874="","",INDEX(상세표[성명],$U874)&amp;"")</f>
        <v/>
      </c>
      <c r="L874">
        <f>IF($U874="","",INDEX(상세표[직위],$U874)&amp;"")</f>
        <v/>
      </c>
      <c r="M874">
        <f>IF($U874="","",IF(ISNUMBER(INDEX(상세표[근무일자],$U874)),TEXT(INDEX(상세표[근무일자],$U874),"yyyy-mm-dd"),INDEX(상세표[근무일자],$U874)&amp;""))</f>
        <v/>
      </c>
      <c r="N874">
        <f>IF($U874="","",IF(ISNUMBER(INDEX(상세표[시작],$U874)),TEXT(INDEX(상세표[시작],$U874),"yyyy-mm-dd hh:mm"),INDEX(상세표[시작],$U874)&amp;""))</f>
        <v/>
      </c>
      <c r="O874">
        <f>IF($U874="","",IF(ISNUMBER(INDEX(상세표[종료],$U874)),TEXT(INDEX(상세표[종료],$U874),"yyyy-mm-dd hh:mm"),INDEX(상세표[종료],$U874)&amp;""))</f>
        <v/>
      </c>
      <c r="P874">
        <f>IF($U874="","",INDEX(상세표[06~07시],$U874))</f>
        <v/>
      </c>
      <c r="Q874">
        <f>IF($U874="","",INDEX(상세표[07~18시],$U874))</f>
        <v/>
      </c>
      <c r="R874">
        <f>IF($U874="","",INDEX(상세표[18~22시],$U874))</f>
        <v/>
      </c>
      <c r="S874">
        <f>IF($U874="","",INDEX(상세표[22~06시],$U874))</f>
        <v/>
      </c>
      <c r="T874">
        <f>IF($U874="","",INDEX(상세표[기록 시간외],$U874))</f>
        <v/>
      </c>
      <c r="U874" s="4">
        <f>IFERROR(MATCH(869,상세표[발송순번],0),"")</f>
        <v/>
      </c>
    </row>
    <row r="875">
      <c r="J875">
        <f>IF($U875="","",INDEX(상세표[사번],$U875)&amp;"")</f>
        <v/>
      </c>
      <c r="K875">
        <f>IF($U875="","",INDEX(상세표[성명],$U875)&amp;"")</f>
        <v/>
      </c>
      <c r="L875">
        <f>IF($U875="","",INDEX(상세표[직위],$U875)&amp;"")</f>
        <v/>
      </c>
      <c r="M875">
        <f>IF($U875="","",IF(ISNUMBER(INDEX(상세표[근무일자],$U875)),TEXT(INDEX(상세표[근무일자],$U875),"yyyy-mm-dd"),INDEX(상세표[근무일자],$U875)&amp;""))</f>
        <v/>
      </c>
      <c r="N875">
        <f>IF($U875="","",IF(ISNUMBER(INDEX(상세표[시작],$U875)),TEXT(INDEX(상세표[시작],$U875),"yyyy-mm-dd hh:mm"),INDEX(상세표[시작],$U875)&amp;""))</f>
        <v/>
      </c>
      <c r="O875">
        <f>IF($U875="","",IF(ISNUMBER(INDEX(상세표[종료],$U875)),TEXT(INDEX(상세표[종료],$U875),"yyyy-mm-dd hh:mm"),INDEX(상세표[종료],$U875)&amp;""))</f>
        <v/>
      </c>
      <c r="P875">
        <f>IF($U875="","",INDEX(상세표[06~07시],$U875))</f>
        <v/>
      </c>
      <c r="Q875">
        <f>IF($U875="","",INDEX(상세표[07~18시],$U875))</f>
        <v/>
      </c>
      <c r="R875">
        <f>IF($U875="","",INDEX(상세표[18~22시],$U875))</f>
        <v/>
      </c>
      <c r="S875">
        <f>IF($U875="","",INDEX(상세표[22~06시],$U875))</f>
        <v/>
      </c>
      <c r="T875">
        <f>IF($U875="","",INDEX(상세표[기록 시간외],$U875))</f>
        <v/>
      </c>
      <c r="U875" s="4">
        <f>IFERROR(MATCH(870,상세표[발송순번],0),"")</f>
        <v/>
      </c>
    </row>
    <row r="876">
      <c r="J876">
        <f>IF($U876="","",INDEX(상세표[사번],$U876)&amp;"")</f>
        <v/>
      </c>
      <c r="K876">
        <f>IF($U876="","",INDEX(상세표[성명],$U876)&amp;"")</f>
        <v/>
      </c>
      <c r="L876">
        <f>IF($U876="","",INDEX(상세표[직위],$U876)&amp;"")</f>
        <v/>
      </c>
      <c r="M876">
        <f>IF($U876="","",IF(ISNUMBER(INDEX(상세표[근무일자],$U876)),TEXT(INDEX(상세표[근무일자],$U876),"yyyy-mm-dd"),INDEX(상세표[근무일자],$U876)&amp;""))</f>
        <v/>
      </c>
      <c r="N876">
        <f>IF($U876="","",IF(ISNUMBER(INDEX(상세표[시작],$U876)),TEXT(INDEX(상세표[시작],$U876),"yyyy-mm-dd hh:mm"),INDEX(상세표[시작],$U876)&amp;""))</f>
        <v/>
      </c>
      <c r="O876">
        <f>IF($U876="","",IF(ISNUMBER(INDEX(상세표[종료],$U876)),TEXT(INDEX(상세표[종료],$U876),"yyyy-mm-dd hh:mm"),INDEX(상세표[종료],$U876)&amp;""))</f>
        <v/>
      </c>
      <c r="P876">
        <f>IF($U876="","",INDEX(상세표[06~07시],$U876))</f>
        <v/>
      </c>
      <c r="Q876">
        <f>IF($U876="","",INDEX(상세표[07~18시],$U876))</f>
        <v/>
      </c>
      <c r="R876">
        <f>IF($U876="","",INDEX(상세표[18~22시],$U876))</f>
        <v/>
      </c>
      <c r="S876">
        <f>IF($U876="","",INDEX(상세표[22~06시],$U876))</f>
        <v/>
      </c>
      <c r="T876">
        <f>IF($U876="","",INDEX(상세표[기록 시간외],$U876))</f>
        <v/>
      </c>
      <c r="U876" s="4">
        <f>IFERROR(MATCH(871,상세표[발송순번],0),"")</f>
        <v/>
      </c>
    </row>
    <row r="877">
      <c r="J877">
        <f>IF($U877="","",INDEX(상세표[사번],$U877)&amp;"")</f>
        <v/>
      </c>
      <c r="K877">
        <f>IF($U877="","",INDEX(상세표[성명],$U877)&amp;"")</f>
        <v/>
      </c>
      <c r="L877">
        <f>IF($U877="","",INDEX(상세표[직위],$U877)&amp;"")</f>
        <v/>
      </c>
      <c r="M877">
        <f>IF($U877="","",IF(ISNUMBER(INDEX(상세표[근무일자],$U877)),TEXT(INDEX(상세표[근무일자],$U877),"yyyy-mm-dd"),INDEX(상세표[근무일자],$U877)&amp;""))</f>
        <v/>
      </c>
      <c r="N877">
        <f>IF($U877="","",IF(ISNUMBER(INDEX(상세표[시작],$U877)),TEXT(INDEX(상세표[시작],$U877),"yyyy-mm-dd hh:mm"),INDEX(상세표[시작],$U877)&amp;""))</f>
        <v/>
      </c>
      <c r="O877">
        <f>IF($U877="","",IF(ISNUMBER(INDEX(상세표[종료],$U877)),TEXT(INDEX(상세표[종료],$U877),"yyyy-mm-dd hh:mm"),INDEX(상세표[종료],$U877)&amp;""))</f>
        <v/>
      </c>
      <c r="P877">
        <f>IF($U877="","",INDEX(상세표[06~07시],$U877))</f>
        <v/>
      </c>
      <c r="Q877">
        <f>IF($U877="","",INDEX(상세표[07~18시],$U877))</f>
        <v/>
      </c>
      <c r="R877">
        <f>IF($U877="","",INDEX(상세표[18~22시],$U877))</f>
        <v/>
      </c>
      <c r="S877">
        <f>IF($U877="","",INDEX(상세표[22~06시],$U877))</f>
        <v/>
      </c>
      <c r="T877">
        <f>IF($U877="","",INDEX(상세표[기록 시간외],$U877))</f>
        <v/>
      </c>
      <c r="U877" s="4">
        <f>IFERROR(MATCH(872,상세표[발송순번],0),"")</f>
        <v/>
      </c>
    </row>
    <row r="878">
      <c r="J878">
        <f>IF($U878="","",INDEX(상세표[사번],$U878)&amp;"")</f>
        <v/>
      </c>
      <c r="K878">
        <f>IF($U878="","",INDEX(상세표[성명],$U878)&amp;"")</f>
        <v/>
      </c>
      <c r="L878">
        <f>IF($U878="","",INDEX(상세표[직위],$U878)&amp;"")</f>
        <v/>
      </c>
      <c r="M878">
        <f>IF($U878="","",IF(ISNUMBER(INDEX(상세표[근무일자],$U878)),TEXT(INDEX(상세표[근무일자],$U878),"yyyy-mm-dd"),INDEX(상세표[근무일자],$U878)&amp;""))</f>
        <v/>
      </c>
      <c r="N878">
        <f>IF($U878="","",IF(ISNUMBER(INDEX(상세표[시작],$U878)),TEXT(INDEX(상세표[시작],$U878),"yyyy-mm-dd hh:mm"),INDEX(상세표[시작],$U878)&amp;""))</f>
        <v/>
      </c>
      <c r="O878">
        <f>IF($U878="","",IF(ISNUMBER(INDEX(상세표[종료],$U878)),TEXT(INDEX(상세표[종료],$U878),"yyyy-mm-dd hh:mm"),INDEX(상세표[종료],$U878)&amp;""))</f>
        <v/>
      </c>
      <c r="P878">
        <f>IF($U878="","",INDEX(상세표[06~07시],$U878))</f>
        <v/>
      </c>
      <c r="Q878">
        <f>IF($U878="","",INDEX(상세표[07~18시],$U878))</f>
        <v/>
      </c>
      <c r="R878">
        <f>IF($U878="","",INDEX(상세표[18~22시],$U878))</f>
        <v/>
      </c>
      <c r="S878">
        <f>IF($U878="","",INDEX(상세표[22~06시],$U878))</f>
        <v/>
      </c>
      <c r="T878">
        <f>IF($U878="","",INDEX(상세표[기록 시간외],$U878))</f>
        <v/>
      </c>
      <c r="U878" s="4">
        <f>IFERROR(MATCH(873,상세표[발송순번],0),"")</f>
        <v/>
      </c>
    </row>
    <row r="879">
      <c r="J879">
        <f>IF($U879="","",INDEX(상세표[사번],$U879)&amp;"")</f>
        <v/>
      </c>
      <c r="K879">
        <f>IF($U879="","",INDEX(상세표[성명],$U879)&amp;"")</f>
        <v/>
      </c>
      <c r="L879">
        <f>IF($U879="","",INDEX(상세표[직위],$U879)&amp;"")</f>
        <v/>
      </c>
      <c r="M879">
        <f>IF($U879="","",IF(ISNUMBER(INDEX(상세표[근무일자],$U879)),TEXT(INDEX(상세표[근무일자],$U879),"yyyy-mm-dd"),INDEX(상세표[근무일자],$U879)&amp;""))</f>
        <v/>
      </c>
      <c r="N879">
        <f>IF($U879="","",IF(ISNUMBER(INDEX(상세표[시작],$U879)),TEXT(INDEX(상세표[시작],$U879),"yyyy-mm-dd hh:mm"),INDEX(상세표[시작],$U879)&amp;""))</f>
        <v/>
      </c>
      <c r="O879">
        <f>IF($U879="","",IF(ISNUMBER(INDEX(상세표[종료],$U879)),TEXT(INDEX(상세표[종료],$U879),"yyyy-mm-dd hh:mm"),INDEX(상세표[종료],$U879)&amp;""))</f>
        <v/>
      </c>
      <c r="P879">
        <f>IF($U879="","",INDEX(상세표[06~07시],$U879))</f>
        <v/>
      </c>
      <c r="Q879">
        <f>IF($U879="","",INDEX(상세표[07~18시],$U879))</f>
        <v/>
      </c>
      <c r="R879">
        <f>IF($U879="","",INDEX(상세표[18~22시],$U879))</f>
        <v/>
      </c>
      <c r="S879">
        <f>IF($U879="","",INDEX(상세표[22~06시],$U879))</f>
        <v/>
      </c>
      <c r="T879">
        <f>IF($U879="","",INDEX(상세표[기록 시간외],$U879))</f>
        <v/>
      </c>
      <c r="U879" s="4">
        <f>IFERROR(MATCH(874,상세표[발송순번],0),"")</f>
        <v/>
      </c>
    </row>
    <row r="880">
      <c r="J880">
        <f>IF($U880="","",INDEX(상세표[사번],$U880)&amp;"")</f>
        <v/>
      </c>
      <c r="K880">
        <f>IF($U880="","",INDEX(상세표[성명],$U880)&amp;"")</f>
        <v/>
      </c>
      <c r="L880">
        <f>IF($U880="","",INDEX(상세표[직위],$U880)&amp;"")</f>
        <v/>
      </c>
      <c r="M880">
        <f>IF($U880="","",IF(ISNUMBER(INDEX(상세표[근무일자],$U880)),TEXT(INDEX(상세표[근무일자],$U880),"yyyy-mm-dd"),INDEX(상세표[근무일자],$U880)&amp;""))</f>
        <v/>
      </c>
      <c r="N880">
        <f>IF($U880="","",IF(ISNUMBER(INDEX(상세표[시작],$U880)),TEXT(INDEX(상세표[시작],$U880),"yyyy-mm-dd hh:mm"),INDEX(상세표[시작],$U880)&amp;""))</f>
        <v/>
      </c>
      <c r="O880">
        <f>IF($U880="","",IF(ISNUMBER(INDEX(상세표[종료],$U880)),TEXT(INDEX(상세표[종료],$U880),"yyyy-mm-dd hh:mm"),INDEX(상세표[종료],$U880)&amp;""))</f>
        <v/>
      </c>
      <c r="P880">
        <f>IF($U880="","",INDEX(상세표[06~07시],$U880))</f>
        <v/>
      </c>
      <c r="Q880">
        <f>IF($U880="","",INDEX(상세표[07~18시],$U880))</f>
        <v/>
      </c>
      <c r="R880">
        <f>IF($U880="","",INDEX(상세표[18~22시],$U880))</f>
        <v/>
      </c>
      <c r="S880">
        <f>IF($U880="","",INDEX(상세표[22~06시],$U880))</f>
        <v/>
      </c>
      <c r="T880">
        <f>IF($U880="","",INDEX(상세표[기록 시간외],$U880))</f>
        <v/>
      </c>
      <c r="U880" s="4">
        <f>IFERROR(MATCH(875,상세표[발송순번],0),"")</f>
        <v/>
      </c>
    </row>
    <row r="881">
      <c r="J881">
        <f>IF($U881="","",INDEX(상세표[사번],$U881)&amp;"")</f>
        <v/>
      </c>
      <c r="K881">
        <f>IF($U881="","",INDEX(상세표[성명],$U881)&amp;"")</f>
        <v/>
      </c>
      <c r="L881">
        <f>IF($U881="","",INDEX(상세표[직위],$U881)&amp;"")</f>
        <v/>
      </c>
      <c r="M881">
        <f>IF($U881="","",IF(ISNUMBER(INDEX(상세표[근무일자],$U881)),TEXT(INDEX(상세표[근무일자],$U881),"yyyy-mm-dd"),INDEX(상세표[근무일자],$U881)&amp;""))</f>
        <v/>
      </c>
      <c r="N881">
        <f>IF($U881="","",IF(ISNUMBER(INDEX(상세표[시작],$U881)),TEXT(INDEX(상세표[시작],$U881),"yyyy-mm-dd hh:mm"),INDEX(상세표[시작],$U881)&amp;""))</f>
        <v/>
      </c>
      <c r="O881">
        <f>IF($U881="","",IF(ISNUMBER(INDEX(상세표[종료],$U881)),TEXT(INDEX(상세표[종료],$U881),"yyyy-mm-dd hh:mm"),INDEX(상세표[종료],$U881)&amp;""))</f>
        <v/>
      </c>
      <c r="P881">
        <f>IF($U881="","",INDEX(상세표[06~07시],$U881))</f>
        <v/>
      </c>
      <c r="Q881">
        <f>IF($U881="","",INDEX(상세표[07~18시],$U881))</f>
        <v/>
      </c>
      <c r="R881">
        <f>IF($U881="","",INDEX(상세표[18~22시],$U881))</f>
        <v/>
      </c>
      <c r="S881">
        <f>IF($U881="","",INDEX(상세표[22~06시],$U881))</f>
        <v/>
      </c>
      <c r="T881">
        <f>IF($U881="","",INDEX(상세표[기록 시간외],$U881))</f>
        <v/>
      </c>
      <c r="U881" s="4">
        <f>IFERROR(MATCH(876,상세표[발송순번],0),"")</f>
        <v/>
      </c>
    </row>
    <row r="882">
      <c r="J882">
        <f>IF($U882="","",INDEX(상세표[사번],$U882)&amp;"")</f>
        <v/>
      </c>
      <c r="K882">
        <f>IF($U882="","",INDEX(상세표[성명],$U882)&amp;"")</f>
        <v/>
      </c>
      <c r="L882">
        <f>IF($U882="","",INDEX(상세표[직위],$U882)&amp;"")</f>
        <v/>
      </c>
      <c r="M882">
        <f>IF($U882="","",IF(ISNUMBER(INDEX(상세표[근무일자],$U882)),TEXT(INDEX(상세표[근무일자],$U882),"yyyy-mm-dd"),INDEX(상세표[근무일자],$U882)&amp;""))</f>
        <v/>
      </c>
      <c r="N882">
        <f>IF($U882="","",IF(ISNUMBER(INDEX(상세표[시작],$U882)),TEXT(INDEX(상세표[시작],$U882),"yyyy-mm-dd hh:mm"),INDEX(상세표[시작],$U882)&amp;""))</f>
        <v/>
      </c>
      <c r="O882">
        <f>IF($U882="","",IF(ISNUMBER(INDEX(상세표[종료],$U882)),TEXT(INDEX(상세표[종료],$U882),"yyyy-mm-dd hh:mm"),INDEX(상세표[종료],$U882)&amp;""))</f>
        <v/>
      </c>
      <c r="P882">
        <f>IF($U882="","",INDEX(상세표[06~07시],$U882))</f>
        <v/>
      </c>
      <c r="Q882">
        <f>IF($U882="","",INDEX(상세표[07~18시],$U882))</f>
        <v/>
      </c>
      <c r="R882">
        <f>IF($U882="","",INDEX(상세표[18~22시],$U882))</f>
        <v/>
      </c>
      <c r="S882">
        <f>IF($U882="","",INDEX(상세표[22~06시],$U882))</f>
        <v/>
      </c>
      <c r="T882">
        <f>IF($U882="","",INDEX(상세표[기록 시간외],$U882))</f>
        <v/>
      </c>
      <c r="U882" s="4">
        <f>IFERROR(MATCH(877,상세표[발송순번],0),"")</f>
        <v/>
      </c>
    </row>
    <row r="883">
      <c r="J883">
        <f>IF($U883="","",INDEX(상세표[사번],$U883)&amp;"")</f>
        <v/>
      </c>
      <c r="K883">
        <f>IF($U883="","",INDEX(상세표[성명],$U883)&amp;"")</f>
        <v/>
      </c>
      <c r="L883">
        <f>IF($U883="","",INDEX(상세표[직위],$U883)&amp;"")</f>
        <v/>
      </c>
      <c r="M883">
        <f>IF($U883="","",IF(ISNUMBER(INDEX(상세표[근무일자],$U883)),TEXT(INDEX(상세표[근무일자],$U883),"yyyy-mm-dd"),INDEX(상세표[근무일자],$U883)&amp;""))</f>
        <v/>
      </c>
      <c r="N883">
        <f>IF($U883="","",IF(ISNUMBER(INDEX(상세표[시작],$U883)),TEXT(INDEX(상세표[시작],$U883),"yyyy-mm-dd hh:mm"),INDEX(상세표[시작],$U883)&amp;""))</f>
        <v/>
      </c>
      <c r="O883">
        <f>IF($U883="","",IF(ISNUMBER(INDEX(상세표[종료],$U883)),TEXT(INDEX(상세표[종료],$U883),"yyyy-mm-dd hh:mm"),INDEX(상세표[종료],$U883)&amp;""))</f>
        <v/>
      </c>
      <c r="P883">
        <f>IF($U883="","",INDEX(상세표[06~07시],$U883))</f>
        <v/>
      </c>
      <c r="Q883">
        <f>IF($U883="","",INDEX(상세표[07~18시],$U883))</f>
        <v/>
      </c>
      <c r="R883">
        <f>IF($U883="","",INDEX(상세표[18~22시],$U883))</f>
        <v/>
      </c>
      <c r="S883">
        <f>IF($U883="","",INDEX(상세표[22~06시],$U883))</f>
        <v/>
      </c>
      <c r="T883">
        <f>IF($U883="","",INDEX(상세표[기록 시간외],$U883))</f>
        <v/>
      </c>
      <c r="U883" s="4">
        <f>IFERROR(MATCH(878,상세표[발송순번],0),"")</f>
        <v/>
      </c>
    </row>
    <row r="884">
      <c r="J884">
        <f>IF($U884="","",INDEX(상세표[사번],$U884)&amp;"")</f>
        <v/>
      </c>
      <c r="K884">
        <f>IF($U884="","",INDEX(상세표[성명],$U884)&amp;"")</f>
        <v/>
      </c>
      <c r="L884">
        <f>IF($U884="","",INDEX(상세표[직위],$U884)&amp;"")</f>
        <v/>
      </c>
      <c r="M884">
        <f>IF($U884="","",IF(ISNUMBER(INDEX(상세표[근무일자],$U884)),TEXT(INDEX(상세표[근무일자],$U884),"yyyy-mm-dd"),INDEX(상세표[근무일자],$U884)&amp;""))</f>
        <v/>
      </c>
      <c r="N884">
        <f>IF($U884="","",IF(ISNUMBER(INDEX(상세표[시작],$U884)),TEXT(INDEX(상세표[시작],$U884),"yyyy-mm-dd hh:mm"),INDEX(상세표[시작],$U884)&amp;""))</f>
        <v/>
      </c>
      <c r="O884">
        <f>IF($U884="","",IF(ISNUMBER(INDEX(상세표[종료],$U884)),TEXT(INDEX(상세표[종료],$U884),"yyyy-mm-dd hh:mm"),INDEX(상세표[종료],$U884)&amp;""))</f>
        <v/>
      </c>
      <c r="P884">
        <f>IF($U884="","",INDEX(상세표[06~07시],$U884))</f>
        <v/>
      </c>
      <c r="Q884">
        <f>IF($U884="","",INDEX(상세표[07~18시],$U884))</f>
        <v/>
      </c>
      <c r="R884">
        <f>IF($U884="","",INDEX(상세표[18~22시],$U884))</f>
        <v/>
      </c>
      <c r="S884">
        <f>IF($U884="","",INDEX(상세표[22~06시],$U884))</f>
        <v/>
      </c>
      <c r="T884">
        <f>IF($U884="","",INDEX(상세표[기록 시간외],$U884))</f>
        <v/>
      </c>
      <c r="U884" s="4">
        <f>IFERROR(MATCH(879,상세표[발송순번],0),"")</f>
        <v/>
      </c>
    </row>
    <row r="885">
      <c r="J885">
        <f>IF($U885="","",INDEX(상세표[사번],$U885)&amp;"")</f>
        <v/>
      </c>
      <c r="K885">
        <f>IF($U885="","",INDEX(상세표[성명],$U885)&amp;"")</f>
        <v/>
      </c>
      <c r="L885">
        <f>IF($U885="","",INDEX(상세표[직위],$U885)&amp;"")</f>
        <v/>
      </c>
      <c r="M885">
        <f>IF($U885="","",IF(ISNUMBER(INDEX(상세표[근무일자],$U885)),TEXT(INDEX(상세표[근무일자],$U885),"yyyy-mm-dd"),INDEX(상세표[근무일자],$U885)&amp;""))</f>
        <v/>
      </c>
      <c r="N885">
        <f>IF($U885="","",IF(ISNUMBER(INDEX(상세표[시작],$U885)),TEXT(INDEX(상세표[시작],$U885),"yyyy-mm-dd hh:mm"),INDEX(상세표[시작],$U885)&amp;""))</f>
        <v/>
      </c>
      <c r="O885">
        <f>IF($U885="","",IF(ISNUMBER(INDEX(상세표[종료],$U885)),TEXT(INDEX(상세표[종료],$U885),"yyyy-mm-dd hh:mm"),INDEX(상세표[종료],$U885)&amp;""))</f>
        <v/>
      </c>
      <c r="P885">
        <f>IF($U885="","",INDEX(상세표[06~07시],$U885))</f>
        <v/>
      </c>
      <c r="Q885">
        <f>IF($U885="","",INDEX(상세표[07~18시],$U885))</f>
        <v/>
      </c>
      <c r="R885">
        <f>IF($U885="","",INDEX(상세표[18~22시],$U885))</f>
        <v/>
      </c>
      <c r="S885">
        <f>IF($U885="","",INDEX(상세표[22~06시],$U885))</f>
        <v/>
      </c>
      <c r="T885">
        <f>IF($U885="","",INDEX(상세표[기록 시간외],$U885))</f>
        <v/>
      </c>
      <c r="U885" s="4">
        <f>IFERROR(MATCH(880,상세표[발송순번],0),"")</f>
        <v/>
      </c>
    </row>
    <row r="886">
      <c r="J886">
        <f>IF($U886="","",INDEX(상세표[사번],$U886)&amp;"")</f>
        <v/>
      </c>
      <c r="K886">
        <f>IF($U886="","",INDEX(상세표[성명],$U886)&amp;"")</f>
        <v/>
      </c>
      <c r="L886">
        <f>IF($U886="","",INDEX(상세표[직위],$U886)&amp;"")</f>
        <v/>
      </c>
      <c r="M886">
        <f>IF($U886="","",IF(ISNUMBER(INDEX(상세표[근무일자],$U886)),TEXT(INDEX(상세표[근무일자],$U886),"yyyy-mm-dd"),INDEX(상세표[근무일자],$U886)&amp;""))</f>
        <v/>
      </c>
      <c r="N886">
        <f>IF($U886="","",IF(ISNUMBER(INDEX(상세표[시작],$U886)),TEXT(INDEX(상세표[시작],$U886),"yyyy-mm-dd hh:mm"),INDEX(상세표[시작],$U886)&amp;""))</f>
        <v/>
      </c>
      <c r="O886">
        <f>IF($U886="","",IF(ISNUMBER(INDEX(상세표[종료],$U886)),TEXT(INDEX(상세표[종료],$U886),"yyyy-mm-dd hh:mm"),INDEX(상세표[종료],$U886)&amp;""))</f>
        <v/>
      </c>
      <c r="P886">
        <f>IF($U886="","",INDEX(상세표[06~07시],$U886))</f>
        <v/>
      </c>
      <c r="Q886">
        <f>IF($U886="","",INDEX(상세표[07~18시],$U886))</f>
        <v/>
      </c>
      <c r="R886">
        <f>IF($U886="","",INDEX(상세표[18~22시],$U886))</f>
        <v/>
      </c>
      <c r="S886">
        <f>IF($U886="","",INDEX(상세표[22~06시],$U886))</f>
        <v/>
      </c>
      <c r="T886">
        <f>IF($U886="","",INDEX(상세표[기록 시간외],$U886))</f>
        <v/>
      </c>
      <c r="U886" s="4">
        <f>IFERROR(MATCH(881,상세표[발송순번],0),"")</f>
        <v/>
      </c>
    </row>
    <row r="887">
      <c r="J887">
        <f>IF($U887="","",INDEX(상세표[사번],$U887)&amp;"")</f>
        <v/>
      </c>
      <c r="K887">
        <f>IF($U887="","",INDEX(상세표[성명],$U887)&amp;"")</f>
        <v/>
      </c>
      <c r="L887">
        <f>IF($U887="","",INDEX(상세표[직위],$U887)&amp;"")</f>
        <v/>
      </c>
      <c r="M887">
        <f>IF($U887="","",IF(ISNUMBER(INDEX(상세표[근무일자],$U887)),TEXT(INDEX(상세표[근무일자],$U887),"yyyy-mm-dd"),INDEX(상세표[근무일자],$U887)&amp;""))</f>
        <v/>
      </c>
      <c r="N887">
        <f>IF($U887="","",IF(ISNUMBER(INDEX(상세표[시작],$U887)),TEXT(INDEX(상세표[시작],$U887),"yyyy-mm-dd hh:mm"),INDEX(상세표[시작],$U887)&amp;""))</f>
        <v/>
      </c>
      <c r="O887">
        <f>IF($U887="","",IF(ISNUMBER(INDEX(상세표[종료],$U887)),TEXT(INDEX(상세표[종료],$U887),"yyyy-mm-dd hh:mm"),INDEX(상세표[종료],$U887)&amp;""))</f>
        <v/>
      </c>
      <c r="P887">
        <f>IF($U887="","",INDEX(상세표[06~07시],$U887))</f>
        <v/>
      </c>
      <c r="Q887">
        <f>IF($U887="","",INDEX(상세표[07~18시],$U887))</f>
        <v/>
      </c>
      <c r="R887">
        <f>IF($U887="","",INDEX(상세표[18~22시],$U887))</f>
        <v/>
      </c>
      <c r="S887">
        <f>IF($U887="","",INDEX(상세표[22~06시],$U887))</f>
        <v/>
      </c>
      <c r="T887">
        <f>IF($U887="","",INDEX(상세표[기록 시간외],$U887))</f>
        <v/>
      </c>
      <c r="U887" s="4">
        <f>IFERROR(MATCH(882,상세표[발송순번],0),"")</f>
        <v/>
      </c>
    </row>
    <row r="888">
      <c r="J888">
        <f>IF($U888="","",INDEX(상세표[사번],$U888)&amp;"")</f>
        <v/>
      </c>
      <c r="K888">
        <f>IF($U888="","",INDEX(상세표[성명],$U888)&amp;"")</f>
        <v/>
      </c>
      <c r="L888">
        <f>IF($U888="","",INDEX(상세표[직위],$U888)&amp;"")</f>
        <v/>
      </c>
      <c r="M888">
        <f>IF($U888="","",IF(ISNUMBER(INDEX(상세표[근무일자],$U888)),TEXT(INDEX(상세표[근무일자],$U888),"yyyy-mm-dd"),INDEX(상세표[근무일자],$U888)&amp;""))</f>
        <v/>
      </c>
      <c r="N888">
        <f>IF($U888="","",IF(ISNUMBER(INDEX(상세표[시작],$U888)),TEXT(INDEX(상세표[시작],$U888),"yyyy-mm-dd hh:mm"),INDEX(상세표[시작],$U888)&amp;""))</f>
        <v/>
      </c>
      <c r="O888">
        <f>IF($U888="","",IF(ISNUMBER(INDEX(상세표[종료],$U888)),TEXT(INDEX(상세표[종료],$U888),"yyyy-mm-dd hh:mm"),INDEX(상세표[종료],$U888)&amp;""))</f>
        <v/>
      </c>
      <c r="P888">
        <f>IF($U888="","",INDEX(상세표[06~07시],$U888))</f>
        <v/>
      </c>
      <c r="Q888">
        <f>IF($U888="","",INDEX(상세표[07~18시],$U888))</f>
        <v/>
      </c>
      <c r="R888">
        <f>IF($U888="","",INDEX(상세표[18~22시],$U888))</f>
        <v/>
      </c>
      <c r="S888">
        <f>IF($U888="","",INDEX(상세표[22~06시],$U888))</f>
        <v/>
      </c>
      <c r="T888">
        <f>IF($U888="","",INDEX(상세표[기록 시간외],$U888))</f>
        <v/>
      </c>
      <c r="U888" s="4">
        <f>IFERROR(MATCH(883,상세표[발송순번],0),"")</f>
        <v/>
      </c>
    </row>
    <row r="889">
      <c r="J889">
        <f>IF($U889="","",INDEX(상세표[사번],$U889)&amp;"")</f>
        <v/>
      </c>
      <c r="K889">
        <f>IF($U889="","",INDEX(상세표[성명],$U889)&amp;"")</f>
        <v/>
      </c>
      <c r="L889">
        <f>IF($U889="","",INDEX(상세표[직위],$U889)&amp;"")</f>
        <v/>
      </c>
      <c r="M889">
        <f>IF($U889="","",IF(ISNUMBER(INDEX(상세표[근무일자],$U889)),TEXT(INDEX(상세표[근무일자],$U889),"yyyy-mm-dd"),INDEX(상세표[근무일자],$U889)&amp;""))</f>
        <v/>
      </c>
      <c r="N889">
        <f>IF($U889="","",IF(ISNUMBER(INDEX(상세표[시작],$U889)),TEXT(INDEX(상세표[시작],$U889),"yyyy-mm-dd hh:mm"),INDEX(상세표[시작],$U889)&amp;""))</f>
        <v/>
      </c>
      <c r="O889">
        <f>IF($U889="","",IF(ISNUMBER(INDEX(상세표[종료],$U889)),TEXT(INDEX(상세표[종료],$U889),"yyyy-mm-dd hh:mm"),INDEX(상세표[종료],$U889)&amp;""))</f>
        <v/>
      </c>
      <c r="P889">
        <f>IF($U889="","",INDEX(상세표[06~07시],$U889))</f>
        <v/>
      </c>
      <c r="Q889">
        <f>IF($U889="","",INDEX(상세표[07~18시],$U889))</f>
        <v/>
      </c>
      <c r="R889">
        <f>IF($U889="","",INDEX(상세표[18~22시],$U889))</f>
        <v/>
      </c>
      <c r="S889">
        <f>IF($U889="","",INDEX(상세표[22~06시],$U889))</f>
        <v/>
      </c>
      <c r="T889">
        <f>IF($U889="","",INDEX(상세표[기록 시간외],$U889))</f>
        <v/>
      </c>
      <c r="U889" s="4">
        <f>IFERROR(MATCH(884,상세표[발송순번],0),"")</f>
        <v/>
      </c>
    </row>
    <row r="890">
      <c r="J890">
        <f>IF($U890="","",INDEX(상세표[사번],$U890)&amp;"")</f>
        <v/>
      </c>
      <c r="K890">
        <f>IF($U890="","",INDEX(상세표[성명],$U890)&amp;"")</f>
        <v/>
      </c>
      <c r="L890">
        <f>IF($U890="","",INDEX(상세표[직위],$U890)&amp;"")</f>
        <v/>
      </c>
      <c r="M890">
        <f>IF($U890="","",IF(ISNUMBER(INDEX(상세표[근무일자],$U890)),TEXT(INDEX(상세표[근무일자],$U890),"yyyy-mm-dd"),INDEX(상세표[근무일자],$U890)&amp;""))</f>
        <v/>
      </c>
      <c r="N890">
        <f>IF($U890="","",IF(ISNUMBER(INDEX(상세표[시작],$U890)),TEXT(INDEX(상세표[시작],$U890),"yyyy-mm-dd hh:mm"),INDEX(상세표[시작],$U890)&amp;""))</f>
        <v/>
      </c>
      <c r="O890">
        <f>IF($U890="","",IF(ISNUMBER(INDEX(상세표[종료],$U890)),TEXT(INDEX(상세표[종료],$U890),"yyyy-mm-dd hh:mm"),INDEX(상세표[종료],$U890)&amp;""))</f>
        <v/>
      </c>
      <c r="P890">
        <f>IF($U890="","",INDEX(상세표[06~07시],$U890))</f>
        <v/>
      </c>
      <c r="Q890">
        <f>IF($U890="","",INDEX(상세표[07~18시],$U890))</f>
        <v/>
      </c>
      <c r="R890">
        <f>IF($U890="","",INDEX(상세표[18~22시],$U890))</f>
        <v/>
      </c>
      <c r="S890">
        <f>IF($U890="","",INDEX(상세표[22~06시],$U890))</f>
        <v/>
      </c>
      <c r="T890">
        <f>IF($U890="","",INDEX(상세표[기록 시간외],$U890))</f>
        <v/>
      </c>
      <c r="U890" s="4">
        <f>IFERROR(MATCH(885,상세표[발송순번],0),"")</f>
        <v/>
      </c>
    </row>
    <row r="891">
      <c r="J891">
        <f>IF($U891="","",INDEX(상세표[사번],$U891)&amp;"")</f>
        <v/>
      </c>
      <c r="K891">
        <f>IF($U891="","",INDEX(상세표[성명],$U891)&amp;"")</f>
        <v/>
      </c>
      <c r="L891">
        <f>IF($U891="","",INDEX(상세표[직위],$U891)&amp;"")</f>
        <v/>
      </c>
      <c r="M891">
        <f>IF($U891="","",IF(ISNUMBER(INDEX(상세표[근무일자],$U891)),TEXT(INDEX(상세표[근무일자],$U891),"yyyy-mm-dd"),INDEX(상세표[근무일자],$U891)&amp;""))</f>
        <v/>
      </c>
      <c r="N891">
        <f>IF($U891="","",IF(ISNUMBER(INDEX(상세표[시작],$U891)),TEXT(INDEX(상세표[시작],$U891),"yyyy-mm-dd hh:mm"),INDEX(상세표[시작],$U891)&amp;""))</f>
        <v/>
      </c>
      <c r="O891">
        <f>IF($U891="","",IF(ISNUMBER(INDEX(상세표[종료],$U891)),TEXT(INDEX(상세표[종료],$U891),"yyyy-mm-dd hh:mm"),INDEX(상세표[종료],$U891)&amp;""))</f>
        <v/>
      </c>
      <c r="P891">
        <f>IF($U891="","",INDEX(상세표[06~07시],$U891))</f>
        <v/>
      </c>
      <c r="Q891">
        <f>IF($U891="","",INDEX(상세표[07~18시],$U891))</f>
        <v/>
      </c>
      <c r="R891">
        <f>IF($U891="","",INDEX(상세표[18~22시],$U891))</f>
        <v/>
      </c>
      <c r="S891">
        <f>IF($U891="","",INDEX(상세표[22~06시],$U891))</f>
        <v/>
      </c>
      <c r="T891">
        <f>IF($U891="","",INDEX(상세표[기록 시간외],$U891))</f>
        <v/>
      </c>
      <c r="U891" s="4">
        <f>IFERROR(MATCH(886,상세표[발송순번],0),"")</f>
        <v/>
      </c>
    </row>
    <row r="892">
      <c r="J892">
        <f>IF($U892="","",INDEX(상세표[사번],$U892)&amp;"")</f>
        <v/>
      </c>
      <c r="K892">
        <f>IF($U892="","",INDEX(상세표[성명],$U892)&amp;"")</f>
        <v/>
      </c>
      <c r="L892">
        <f>IF($U892="","",INDEX(상세표[직위],$U892)&amp;"")</f>
        <v/>
      </c>
      <c r="M892">
        <f>IF($U892="","",IF(ISNUMBER(INDEX(상세표[근무일자],$U892)),TEXT(INDEX(상세표[근무일자],$U892),"yyyy-mm-dd"),INDEX(상세표[근무일자],$U892)&amp;""))</f>
        <v/>
      </c>
      <c r="N892">
        <f>IF($U892="","",IF(ISNUMBER(INDEX(상세표[시작],$U892)),TEXT(INDEX(상세표[시작],$U892),"yyyy-mm-dd hh:mm"),INDEX(상세표[시작],$U892)&amp;""))</f>
        <v/>
      </c>
      <c r="O892">
        <f>IF($U892="","",IF(ISNUMBER(INDEX(상세표[종료],$U892)),TEXT(INDEX(상세표[종료],$U892),"yyyy-mm-dd hh:mm"),INDEX(상세표[종료],$U892)&amp;""))</f>
        <v/>
      </c>
      <c r="P892">
        <f>IF($U892="","",INDEX(상세표[06~07시],$U892))</f>
        <v/>
      </c>
      <c r="Q892">
        <f>IF($U892="","",INDEX(상세표[07~18시],$U892))</f>
        <v/>
      </c>
      <c r="R892">
        <f>IF($U892="","",INDEX(상세표[18~22시],$U892))</f>
        <v/>
      </c>
      <c r="S892">
        <f>IF($U892="","",INDEX(상세표[22~06시],$U892))</f>
        <v/>
      </c>
      <c r="T892">
        <f>IF($U892="","",INDEX(상세표[기록 시간외],$U892))</f>
        <v/>
      </c>
      <c r="U892" s="4">
        <f>IFERROR(MATCH(887,상세표[발송순번],0),"")</f>
        <v/>
      </c>
    </row>
    <row r="893">
      <c r="J893">
        <f>IF($U893="","",INDEX(상세표[사번],$U893)&amp;"")</f>
        <v/>
      </c>
      <c r="K893">
        <f>IF($U893="","",INDEX(상세표[성명],$U893)&amp;"")</f>
        <v/>
      </c>
      <c r="L893">
        <f>IF($U893="","",INDEX(상세표[직위],$U893)&amp;"")</f>
        <v/>
      </c>
      <c r="M893">
        <f>IF($U893="","",IF(ISNUMBER(INDEX(상세표[근무일자],$U893)),TEXT(INDEX(상세표[근무일자],$U893),"yyyy-mm-dd"),INDEX(상세표[근무일자],$U893)&amp;""))</f>
        <v/>
      </c>
      <c r="N893">
        <f>IF($U893="","",IF(ISNUMBER(INDEX(상세표[시작],$U893)),TEXT(INDEX(상세표[시작],$U893),"yyyy-mm-dd hh:mm"),INDEX(상세표[시작],$U893)&amp;""))</f>
        <v/>
      </c>
      <c r="O893">
        <f>IF($U893="","",IF(ISNUMBER(INDEX(상세표[종료],$U893)),TEXT(INDEX(상세표[종료],$U893),"yyyy-mm-dd hh:mm"),INDEX(상세표[종료],$U893)&amp;""))</f>
        <v/>
      </c>
      <c r="P893">
        <f>IF($U893="","",INDEX(상세표[06~07시],$U893))</f>
        <v/>
      </c>
      <c r="Q893">
        <f>IF($U893="","",INDEX(상세표[07~18시],$U893))</f>
        <v/>
      </c>
      <c r="R893">
        <f>IF($U893="","",INDEX(상세표[18~22시],$U893))</f>
        <v/>
      </c>
      <c r="S893">
        <f>IF($U893="","",INDEX(상세표[22~06시],$U893))</f>
        <v/>
      </c>
      <c r="T893">
        <f>IF($U893="","",INDEX(상세표[기록 시간외],$U893))</f>
        <v/>
      </c>
      <c r="U893" s="4">
        <f>IFERROR(MATCH(888,상세표[발송순번],0),"")</f>
        <v/>
      </c>
    </row>
    <row r="894">
      <c r="J894">
        <f>IF($U894="","",INDEX(상세표[사번],$U894)&amp;"")</f>
        <v/>
      </c>
      <c r="K894">
        <f>IF($U894="","",INDEX(상세표[성명],$U894)&amp;"")</f>
        <v/>
      </c>
      <c r="L894">
        <f>IF($U894="","",INDEX(상세표[직위],$U894)&amp;"")</f>
        <v/>
      </c>
      <c r="M894">
        <f>IF($U894="","",IF(ISNUMBER(INDEX(상세표[근무일자],$U894)),TEXT(INDEX(상세표[근무일자],$U894),"yyyy-mm-dd"),INDEX(상세표[근무일자],$U894)&amp;""))</f>
        <v/>
      </c>
      <c r="N894">
        <f>IF($U894="","",IF(ISNUMBER(INDEX(상세표[시작],$U894)),TEXT(INDEX(상세표[시작],$U894),"yyyy-mm-dd hh:mm"),INDEX(상세표[시작],$U894)&amp;""))</f>
        <v/>
      </c>
      <c r="O894">
        <f>IF($U894="","",IF(ISNUMBER(INDEX(상세표[종료],$U894)),TEXT(INDEX(상세표[종료],$U894),"yyyy-mm-dd hh:mm"),INDEX(상세표[종료],$U894)&amp;""))</f>
        <v/>
      </c>
      <c r="P894">
        <f>IF($U894="","",INDEX(상세표[06~07시],$U894))</f>
        <v/>
      </c>
      <c r="Q894">
        <f>IF($U894="","",INDEX(상세표[07~18시],$U894))</f>
        <v/>
      </c>
      <c r="R894">
        <f>IF($U894="","",INDEX(상세표[18~22시],$U894))</f>
        <v/>
      </c>
      <c r="S894">
        <f>IF($U894="","",INDEX(상세표[22~06시],$U894))</f>
        <v/>
      </c>
      <c r="T894">
        <f>IF($U894="","",INDEX(상세표[기록 시간외],$U894))</f>
        <v/>
      </c>
      <c r="U894" s="4">
        <f>IFERROR(MATCH(889,상세표[발송순번],0),"")</f>
        <v/>
      </c>
    </row>
    <row r="895">
      <c r="J895">
        <f>IF($U895="","",INDEX(상세표[사번],$U895)&amp;"")</f>
        <v/>
      </c>
      <c r="K895">
        <f>IF($U895="","",INDEX(상세표[성명],$U895)&amp;"")</f>
        <v/>
      </c>
      <c r="L895">
        <f>IF($U895="","",INDEX(상세표[직위],$U895)&amp;"")</f>
        <v/>
      </c>
      <c r="M895">
        <f>IF($U895="","",IF(ISNUMBER(INDEX(상세표[근무일자],$U895)),TEXT(INDEX(상세표[근무일자],$U895),"yyyy-mm-dd"),INDEX(상세표[근무일자],$U895)&amp;""))</f>
        <v/>
      </c>
      <c r="N895">
        <f>IF($U895="","",IF(ISNUMBER(INDEX(상세표[시작],$U895)),TEXT(INDEX(상세표[시작],$U895),"yyyy-mm-dd hh:mm"),INDEX(상세표[시작],$U895)&amp;""))</f>
        <v/>
      </c>
      <c r="O895">
        <f>IF($U895="","",IF(ISNUMBER(INDEX(상세표[종료],$U895)),TEXT(INDEX(상세표[종료],$U895),"yyyy-mm-dd hh:mm"),INDEX(상세표[종료],$U895)&amp;""))</f>
        <v/>
      </c>
      <c r="P895">
        <f>IF($U895="","",INDEX(상세표[06~07시],$U895))</f>
        <v/>
      </c>
      <c r="Q895">
        <f>IF($U895="","",INDEX(상세표[07~18시],$U895))</f>
        <v/>
      </c>
      <c r="R895">
        <f>IF($U895="","",INDEX(상세표[18~22시],$U895))</f>
        <v/>
      </c>
      <c r="S895">
        <f>IF($U895="","",INDEX(상세표[22~06시],$U895))</f>
        <v/>
      </c>
      <c r="T895">
        <f>IF($U895="","",INDEX(상세표[기록 시간외],$U895))</f>
        <v/>
      </c>
      <c r="U895" s="4">
        <f>IFERROR(MATCH(890,상세표[발송순번],0),"")</f>
        <v/>
      </c>
    </row>
    <row r="896">
      <c r="J896">
        <f>IF($U896="","",INDEX(상세표[사번],$U896)&amp;"")</f>
        <v/>
      </c>
      <c r="K896">
        <f>IF($U896="","",INDEX(상세표[성명],$U896)&amp;"")</f>
        <v/>
      </c>
      <c r="L896">
        <f>IF($U896="","",INDEX(상세표[직위],$U896)&amp;"")</f>
        <v/>
      </c>
      <c r="M896">
        <f>IF($U896="","",IF(ISNUMBER(INDEX(상세표[근무일자],$U896)),TEXT(INDEX(상세표[근무일자],$U896),"yyyy-mm-dd"),INDEX(상세표[근무일자],$U896)&amp;""))</f>
        <v/>
      </c>
      <c r="N896">
        <f>IF($U896="","",IF(ISNUMBER(INDEX(상세표[시작],$U896)),TEXT(INDEX(상세표[시작],$U896),"yyyy-mm-dd hh:mm"),INDEX(상세표[시작],$U896)&amp;""))</f>
        <v/>
      </c>
      <c r="O896">
        <f>IF($U896="","",IF(ISNUMBER(INDEX(상세표[종료],$U896)),TEXT(INDEX(상세표[종료],$U896),"yyyy-mm-dd hh:mm"),INDEX(상세표[종료],$U896)&amp;""))</f>
        <v/>
      </c>
      <c r="P896">
        <f>IF($U896="","",INDEX(상세표[06~07시],$U896))</f>
        <v/>
      </c>
      <c r="Q896">
        <f>IF($U896="","",INDEX(상세표[07~18시],$U896))</f>
        <v/>
      </c>
      <c r="R896">
        <f>IF($U896="","",INDEX(상세표[18~22시],$U896))</f>
        <v/>
      </c>
      <c r="S896">
        <f>IF($U896="","",INDEX(상세표[22~06시],$U896))</f>
        <v/>
      </c>
      <c r="T896">
        <f>IF($U896="","",INDEX(상세표[기록 시간외],$U896))</f>
        <v/>
      </c>
      <c r="U896" s="4">
        <f>IFERROR(MATCH(891,상세표[발송순번],0),"")</f>
        <v/>
      </c>
    </row>
    <row r="897">
      <c r="J897">
        <f>IF($U897="","",INDEX(상세표[사번],$U897)&amp;"")</f>
        <v/>
      </c>
      <c r="K897">
        <f>IF($U897="","",INDEX(상세표[성명],$U897)&amp;"")</f>
        <v/>
      </c>
      <c r="L897">
        <f>IF($U897="","",INDEX(상세표[직위],$U897)&amp;"")</f>
        <v/>
      </c>
      <c r="M897">
        <f>IF($U897="","",IF(ISNUMBER(INDEX(상세표[근무일자],$U897)),TEXT(INDEX(상세표[근무일자],$U897),"yyyy-mm-dd"),INDEX(상세표[근무일자],$U897)&amp;""))</f>
        <v/>
      </c>
      <c r="N897">
        <f>IF($U897="","",IF(ISNUMBER(INDEX(상세표[시작],$U897)),TEXT(INDEX(상세표[시작],$U897),"yyyy-mm-dd hh:mm"),INDEX(상세표[시작],$U897)&amp;""))</f>
        <v/>
      </c>
      <c r="O897">
        <f>IF($U897="","",IF(ISNUMBER(INDEX(상세표[종료],$U897)),TEXT(INDEX(상세표[종료],$U897),"yyyy-mm-dd hh:mm"),INDEX(상세표[종료],$U897)&amp;""))</f>
        <v/>
      </c>
      <c r="P897">
        <f>IF($U897="","",INDEX(상세표[06~07시],$U897))</f>
        <v/>
      </c>
      <c r="Q897">
        <f>IF($U897="","",INDEX(상세표[07~18시],$U897))</f>
        <v/>
      </c>
      <c r="R897">
        <f>IF($U897="","",INDEX(상세표[18~22시],$U897))</f>
        <v/>
      </c>
      <c r="S897">
        <f>IF($U897="","",INDEX(상세표[22~06시],$U897))</f>
        <v/>
      </c>
      <c r="T897">
        <f>IF($U897="","",INDEX(상세표[기록 시간외],$U897))</f>
        <v/>
      </c>
      <c r="U897" s="4">
        <f>IFERROR(MATCH(892,상세표[발송순번],0),"")</f>
        <v/>
      </c>
    </row>
    <row r="898">
      <c r="J898">
        <f>IF($U898="","",INDEX(상세표[사번],$U898)&amp;"")</f>
        <v/>
      </c>
      <c r="K898">
        <f>IF($U898="","",INDEX(상세표[성명],$U898)&amp;"")</f>
        <v/>
      </c>
      <c r="L898">
        <f>IF($U898="","",INDEX(상세표[직위],$U898)&amp;"")</f>
        <v/>
      </c>
      <c r="M898">
        <f>IF($U898="","",IF(ISNUMBER(INDEX(상세표[근무일자],$U898)),TEXT(INDEX(상세표[근무일자],$U898),"yyyy-mm-dd"),INDEX(상세표[근무일자],$U898)&amp;""))</f>
        <v/>
      </c>
      <c r="N898">
        <f>IF($U898="","",IF(ISNUMBER(INDEX(상세표[시작],$U898)),TEXT(INDEX(상세표[시작],$U898),"yyyy-mm-dd hh:mm"),INDEX(상세표[시작],$U898)&amp;""))</f>
        <v/>
      </c>
      <c r="O898">
        <f>IF($U898="","",IF(ISNUMBER(INDEX(상세표[종료],$U898)),TEXT(INDEX(상세표[종료],$U898),"yyyy-mm-dd hh:mm"),INDEX(상세표[종료],$U898)&amp;""))</f>
        <v/>
      </c>
      <c r="P898">
        <f>IF($U898="","",INDEX(상세표[06~07시],$U898))</f>
        <v/>
      </c>
      <c r="Q898">
        <f>IF($U898="","",INDEX(상세표[07~18시],$U898))</f>
        <v/>
      </c>
      <c r="R898">
        <f>IF($U898="","",INDEX(상세표[18~22시],$U898))</f>
        <v/>
      </c>
      <c r="S898">
        <f>IF($U898="","",INDEX(상세표[22~06시],$U898))</f>
        <v/>
      </c>
      <c r="T898">
        <f>IF($U898="","",INDEX(상세표[기록 시간외],$U898))</f>
        <v/>
      </c>
      <c r="U898" s="4">
        <f>IFERROR(MATCH(893,상세표[발송순번],0),"")</f>
        <v/>
      </c>
    </row>
    <row r="899">
      <c r="J899">
        <f>IF($U899="","",INDEX(상세표[사번],$U899)&amp;"")</f>
        <v/>
      </c>
      <c r="K899">
        <f>IF($U899="","",INDEX(상세표[성명],$U899)&amp;"")</f>
        <v/>
      </c>
      <c r="L899">
        <f>IF($U899="","",INDEX(상세표[직위],$U899)&amp;"")</f>
        <v/>
      </c>
      <c r="M899">
        <f>IF($U899="","",IF(ISNUMBER(INDEX(상세표[근무일자],$U899)),TEXT(INDEX(상세표[근무일자],$U899),"yyyy-mm-dd"),INDEX(상세표[근무일자],$U899)&amp;""))</f>
        <v/>
      </c>
      <c r="N899">
        <f>IF($U899="","",IF(ISNUMBER(INDEX(상세표[시작],$U899)),TEXT(INDEX(상세표[시작],$U899),"yyyy-mm-dd hh:mm"),INDEX(상세표[시작],$U899)&amp;""))</f>
        <v/>
      </c>
      <c r="O899">
        <f>IF($U899="","",IF(ISNUMBER(INDEX(상세표[종료],$U899)),TEXT(INDEX(상세표[종료],$U899),"yyyy-mm-dd hh:mm"),INDEX(상세표[종료],$U899)&amp;""))</f>
        <v/>
      </c>
      <c r="P899">
        <f>IF($U899="","",INDEX(상세표[06~07시],$U899))</f>
        <v/>
      </c>
      <c r="Q899">
        <f>IF($U899="","",INDEX(상세표[07~18시],$U899))</f>
        <v/>
      </c>
      <c r="R899">
        <f>IF($U899="","",INDEX(상세표[18~22시],$U899))</f>
        <v/>
      </c>
      <c r="S899">
        <f>IF($U899="","",INDEX(상세표[22~06시],$U899))</f>
        <v/>
      </c>
      <c r="T899">
        <f>IF($U899="","",INDEX(상세표[기록 시간외],$U899))</f>
        <v/>
      </c>
      <c r="U899" s="4">
        <f>IFERROR(MATCH(894,상세표[발송순번],0),"")</f>
        <v/>
      </c>
    </row>
    <row r="900">
      <c r="J900">
        <f>IF($U900="","",INDEX(상세표[사번],$U900)&amp;"")</f>
        <v/>
      </c>
      <c r="K900">
        <f>IF($U900="","",INDEX(상세표[성명],$U900)&amp;"")</f>
        <v/>
      </c>
      <c r="L900">
        <f>IF($U900="","",INDEX(상세표[직위],$U900)&amp;"")</f>
        <v/>
      </c>
      <c r="M900">
        <f>IF($U900="","",IF(ISNUMBER(INDEX(상세표[근무일자],$U900)),TEXT(INDEX(상세표[근무일자],$U900),"yyyy-mm-dd"),INDEX(상세표[근무일자],$U900)&amp;""))</f>
        <v/>
      </c>
      <c r="N900">
        <f>IF($U900="","",IF(ISNUMBER(INDEX(상세표[시작],$U900)),TEXT(INDEX(상세표[시작],$U900),"yyyy-mm-dd hh:mm"),INDEX(상세표[시작],$U900)&amp;""))</f>
        <v/>
      </c>
      <c r="O900">
        <f>IF($U900="","",IF(ISNUMBER(INDEX(상세표[종료],$U900)),TEXT(INDEX(상세표[종료],$U900),"yyyy-mm-dd hh:mm"),INDEX(상세표[종료],$U900)&amp;""))</f>
        <v/>
      </c>
      <c r="P900">
        <f>IF($U900="","",INDEX(상세표[06~07시],$U900))</f>
        <v/>
      </c>
      <c r="Q900">
        <f>IF($U900="","",INDEX(상세표[07~18시],$U900))</f>
        <v/>
      </c>
      <c r="R900">
        <f>IF($U900="","",INDEX(상세표[18~22시],$U900))</f>
        <v/>
      </c>
      <c r="S900">
        <f>IF($U900="","",INDEX(상세표[22~06시],$U900))</f>
        <v/>
      </c>
      <c r="T900">
        <f>IF($U900="","",INDEX(상세표[기록 시간외],$U900))</f>
        <v/>
      </c>
      <c r="U900" s="4">
        <f>IFERROR(MATCH(895,상세표[발송순번],0),"")</f>
        <v/>
      </c>
    </row>
    <row r="901">
      <c r="J901">
        <f>IF($U901="","",INDEX(상세표[사번],$U901)&amp;"")</f>
        <v/>
      </c>
      <c r="K901">
        <f>IF($U901="","",INDEX(상세표[성명],$U901)&amp;"")</f>
        <v/>
      </c>
      <c r="L901">
        <f>IF($U901="","",INDEX(상세표[직위],$U901)&amp;"")</f>
        <v/>
      </c>
      <c r="M901">
        <f>IF($U901="","",IF(ISNUMBER(INDEX(상세표[근무일자],$U901)),TEXT(INDEX(상세표[근무일자],$U901),"yyyy-mm-dd"),INDEX(상세표[근무일자],$U901)&amp;""))</f>
        <v/>
      </c>
      <c r="N901">
        <f>IF($U901="","",IF(ISNUMBER(INDEX(상세표[시작],$U901)),TEXT(INDEX(상세표[시작],$U901),"yyyy-mm-dd hh:mm"),INDEX(상세표[시작],$U901)&amp;""))</f>
        <v/>
      </c>
      <c r="O901">
        <f>IF($U901="","",IF(ISNUMBER(INDEX(상세표[종료],$U901)),TEXT(INDEX(상세표[종료],$U901),"yyyy-mm-dd hh:mm"),INDEX(상세표[종료],$U901)&amp;""))</f>
        <v/>
      </c>
      <c r="P901">
        <f>IF($U901="","",INDEX(상세표[06~07시],$U901))</f>
        <v/>
      </c>
      <c r="Q901">
        <f>IF($U901="","",INDEX(상세표[07~18시],$U901))</f>
        <v/>
      </c>
      <c r="R901">
        <f>IF($U901="","",INDEX(상세표[18~22시],$U901))</f>
        <v/>
      </c>
      <c r="S901">
        <f>IF($U901="","",INDEX(상세표[22~06시],$U901))</f>
        <v/>
      </c>
      <c r="T901">
        <f>IF($U901="","",INDEX(상세표[기록 시간외],$U901))</f>
        <v/>
      </c>
      <c r="U901" s="4">
        <f>IFERROR(MATCH(896,상세표[발송순번],0),"")</f>
        <v/>
      </c>
    </row>
    <row r="902">
      <c r="J902">
        <f>IF($U902="","",INDEX(상세표[사번],$U902)&amp;"")</f>
        <v/>
      </c>
      <c r="K902">
        <f>IF($U902="","",INDEX(상세표[성명],$U902)&amp;"")</f>
        <v/>
      </c>
      <c r="L902">
        <f>IF($U902="","",INDEX(상세표[직위],$U902)&amp;"")</f>
        <v/>
      </c>
      <c r="M902">
        <f>IF($U902="","",IF(ISNUMBER(INDEX(상세표[근무일자],$U902)),TEXT(INDEX(상세표[근무일자],$U902),"yyyy-mm-dd"),INDEX(상세표[근무일자],$U902)&amp;""))</f>
        <v/>
      </c>
      <c r="N902">
        <f>IF($U902="","",IF(ISNUMBER(INDEX(상세표[시작],$U902)),TEXT(INDEX(상세표[시작],$U902),"yyyy-mm-dd hh:mm"),INDEX(상세표[시작],$U902)&amp;""))</f>
        <v/>
      </c>
      <c r="O902">
        <f>IF($U902="","",IF(ISNUMBER(INDEX(상세표[종료],$U902)),TEXT(INDEX(상세표[종료],$U902),"yyyy-mm-dd hh:mm"),INDEX(상세표[종료],$U902)&amp;""))</f>
        <v/>
      </c>
      <c r="P902">
        <f>IF($U902="","",INDEX(상세표[06~07시],$U902))</f>
        <v/>
      </c>
      <c r="Q902">
        <f>IF($U902="","",INDEX(상세표[07~18시],$U902))</f>
        <v/>
      </c>
      <c r="R902">
        <f>IF($U902="","",INDEX(상세표[18~22시],$U902))</f>
        <v/>
      </c>
      <c r="S902">
        <f>IF($U902="","",INDEX(상세표[22~06시],$U902))</f>
        <v/>
      </c>
      <c r="T902">
        <f>IF($U902="","",INDEX(상세표[기록 시간외],$U902))</f>
        <v/>
      </c>
      <c r="U902" s="4">
        <f>IFERROR(MATCH(897,상세표[발송순번],0),"")</f>
        <v/>
      </c>
    </row>
    <row r="903">
      <c r="J903">
        <f>IF($U903="","",INDEX(상세표[사번],$U903)&amp;"")</f>
        <v/>
      </c>
      <c r="K903">
        <f>IF($U903="","",INDEX(상세표[성명],$U903)&amp;"")</f>
        <v/>
      </c>
      <c r="L903">
        <f>IF($U903="","",INDEX(상세표[직위],$U903)&amp;"")</f>
        <v/>
      </c>
      <c r="M903">
        <f>IF($U903="","",IF(ISNUMBER(INDEX(상세표[근무일자],$U903)),TEXT(INDEX(상세표[근무일자],$U903),"yyyy-mm-dd"),INDEX(상세표[근무일자],$U903)&amp;""))</f>
        <v/>
      </c>
      <c r="N903">
        <f>IF($U903="","",IF(ISNUMBER(INDEX(상세표[시작],$U903)),TEXT(INDEX(상세표[시작],$U903),"yyyy-mm-dd hh:mm"),INDEX(상세표[시작],$U903)&amp;""))</f>
        <v/>
      </c>
      <c r="O903">
        <f>IF($U903="","",IF(ISNUMBER(INDEX(상세표[종료],$U903)),TEXT(INDEX(상세표[종료],$U903),"yyyy-mm-dd hh:mm"),INDEX(상세표[종료],$U903)&amp;""))</f>
        <v/>
      </c>
      <c r="P903">
        <f>IF($U903="","",INDEX(상세표[06~07시],$U903))</f>
        <v/>
      </c>
      <c r="Q903">
        <f>IF($U903="","",INDEX(상세표[07~18시],$U903))</f>
        <v/>
      </c>
      <c r="R903">
        <f>IF($U903="","",INDEX(상세표[18~22시],$U903))</f>
        <v/>
      </c>
      <c r="S903">
        <f>IF($U903="","",INDEX(상세표[22~06시],$U903))</f>
        <v/>
      </c>
      <c r="T903">
        <f>IF($U903="","",INDEX(상세표[기록 시간외],$U903))</f>
        <v/>
      </c>
      <c r="U903" s="4">
        <f>IFERROR(MATCH(898,상세표[발송순번],0),"")</f>
        <v/>
      </c>
    </row>
    <row r="904">
      <c r="J904">
        <f>IF($U904="","",INDEX(상세표[사번],$U904)&amp;"")</f>
        <v/>
      </c>
      <c r="K904">
        <f>IF($U904="","",INDEX(상세표[성명],$U904)&amp;"")</f>
        <v/>
      </c>
      <c r="L904">
        <f>IF($U904="","",INDEX(상세표[직위],$U904)&amp;"")</f>
        <v/>
      </c>
      <c r="M904">
        <f>IF($U904="","",IF(ISNUMBER(INDEX(상세표[근무일자],$U904)),TEXT(INDEX(상세표[근무일자],$U904),"yyyy-mm-dd"),INDEX(상세표[근무일자],$U904)&amp;""))</f>
        <v/>
      </c>
      <c r="N904">
        <f>IF($U904="","",IF(ISNUMBER(INDEX(상세표[시작],$U904)),TEXT(INDEX(상세표[시작],$U904),"yyyy-mm-dd hh:mm"),INDEX(상세표[시작],$U904)&amp;""))</f>
        <v/>
      </c>
      <c r="O904">
        <f>IF($U904="","",IF(ISNUMBER(INDEX(상세표[종료],$U904)),TEXT(INDEX(상세표[종료],$U904),"yyyy-mm-dd hh:mm"),INDEX(상세표[종료],$U904)&amp;""))</f>
        <v/>
      </c>
      <c r="P904">
        <f>IF($U904="","",INDEX(상세표[06~07시],$U904))</f>
        <v/>
      </c>
      <c r="Q904">
        <f>IF($U904="","",INDEX(상세표[07~18시],$U904))</f>
        <v/>
      </c>
      <c r="R904">
        <f>IF($U904="","",INDEX(상세표[18~22시],$U904))</f>
        <v/>
      </c>
      <c r="S904">
        <f>IF($U904="","",INDEX(상세표[22~06시],$U904))</f>
        <v/>
      </c>
      <c r="T904">
        <f>IF($U904="","",INDEX(상세표[기록 시간외],$U904))</f>
        <v/>
      </c>
      <c r="U904" s="4">
        <f>IFERROR(MATCH(899,상세표[발송순번],0),"")</f>
        <v/>
      </c>
    </row>
    <row r="905">
      <c r="J905">
        <f>IF($U905="","",INDEX(상세표[사번],$U905)&amp;"")</f>
        <v/>
      </c>
      <c r="K905">
        <f>IF($U905="","",INDEX(상세표[성명],$U905)&amp;"")</f>
        <v/>
      </c>
      <c r="L905">
        <f>IF($U905="","",INDEX(상세표[직위],$U905)&amp;"")</f>
        <v/>
      </c>
      <c r="M905">
        <f>IF($U905="","",IF(ISNUMBER(INDEX(상세표[근무일자],$U905)),TEXT(INDEX(상세표[근무일자],$U905),"yyyy-mm-dd"),INDEX(상세표[근무일자],$U905)&amp;""))</f>
        <v/>
      </c>
      <c r="N905">
        <f>IF($U905="","",IF(ISNUMBER(INDEX(상세표[시작],$U905)),TEXT(INDEX(상세표[시작],$U905),"yyyy-mm-dd hh:mm"),INDEX(상세표[시작],$U905)&amp;""))</f>
        <v/>
      </c>
      <c r="O905">
        <f>IF($U905="","",IF(ISNUMBER(INDEX(상세표[종료],$U905)),TEXT(INDEX(상세표[종료],$U905),"yyyy-mm-dd hh:mm"),INDEX(상세표[종료],$U905)&amp;""))</f>
        <v/>
      </c>
      <c r="P905">
        <f>IF($U905="","",INDEX(상세표[06~07시],$U905))</f>
        <v/>
      </c>
      <c r="Q905">
        <f>IF($U905="","",INDEX(상세표[07~18시],$U905))</f>
        <v/>
      </c>
      <c r="R905">
        <f>IF($U905="","",INDEX(상세표[18~22시],$U905))</f>
        <v/>
      </c>
      <c r="S905">
        <f>IF($U905="","",INDEX(상세표[22~06시],$U905))</f>
        <v/>
      </c>
      <c r="T905">
        <f>IF($U905="","",INDEX(상세표[기록 시간외],$U905))</f>
        <v/>
      </c>
      <c r="U905" s="4">
        <f>IFERROR(MATCH(900,상세표[발송순번],0),"")</f>
        <v/>
      </c>
    </row>
    <row r="906">
      <c r="J906">
        <f>IF($U906="","",INDEX(상세표[사번],$U906)&amp;"")</f>
        <v/>
      </c>
      <c r="K906">
        <f>IF($U906="","",INDEX(상세표[성명],$U906)&amp;"")</f>
        <v/>
      </c>
      <c r="L906">
        <f>IF($U906="","",INDEX(상세표[직위],$U906)&amp;"")</f>
        <v/>
      </c>
      <c r="M906">
        <f>IF($U906="","",IF(ISNUMBER(INDEX(상세표[근무일자],$U906)),TEXT(INDEX(상세표[근무일자],$U906),"yyyy-mm-dd"),INDEX(상세표[근무일자],$U906)&amp;""))</f>
        <v/>
      </c>
      <c r="N906">
        <f>IF($U906="","",IF(ISNUMBER(INDEX(상세표[시작],$U906)),TEXT(INDEX(상세표[시작],$U906),"yyyy-mm-dd hh:mm"),INDEX(상세표[시작],$U906)&amp;""))</f>
        <v/>
      </c>
      <c r="O906">
        <f>IF($U906="","",IF(ISNUMBER(INDEX(상세표[종료],$U906)),TEXT(INDEX(상세표[종료],$U906),"yyyy-mm-dd hh:mm"),INDEX(상세표[종료],$U906)&amp;""))</f>
        <v/>
      </c>
      <c r="P906">
        <f>IF($U906="","",INDEX(상세표[06~07시],$U906))</f>
        <v/>
      </c>
      <c r="Q906">
        <f>IF($U906="","",INDEX(상세표[07~18시],$U906))</f>
        <v/>
      </c>
      <c r="R906">
        <f>IF($U906="","",INDEX(상세표[18~22시],$U906))</f>
        <v/>
      </c>
      <c r="S906">
        <f>IF($U906="","",INDEX(상세표[22~06시],$U906))</f>
        <v/>
      </c>
      <c r="T906">
        <f>IF($U906="","",INDEX(상세표[기록 시간외],$U906))</f>
        <v/>
      </c>
      <c r="U906" s="4">
        <f>IFERROR(MATCH(901,상세표[발송순번],0),"")</f>
        <v/>
      </c>
    </row>
    <row r="907">
      <c r="J907">
        <f>IF($U907="","",INDEX(상세표[사번],$U907)&amp;"")</f>
        <v/>
      </c>
      <c r="K907">
        <f>IF($U907="","",INDEX(상세표[성명],$U907)&amp;"")</f>
        <v/>
      </c>
      <c r="L907">
        <f>IF($U907="","",INDEX(상세표[직위],$U907)&amp;"")</f>
        <v/>
      </c>
      <c r="M907">
        <f>IF($U907="","",IF(ISNUMBER(INDEX(상세표[근무일자],$U907)),TEXT(INDEX(상세표[근무일자],$U907),"yyyy-mm-dd"),INDEX(상세표[근무일자],$U907)&amp;""))</f>
        <v/>
      </c>
      <c r="N907">
        <f>IF($U907="","",IF(ISNUMBER(INDEX(상세표[시작],$U907)),TEXT(INDEX(상세표[시작],$U907),"yyyy-mm-dd hh:mm"),INDEX(상세표[시작],$U907)&amp;""))</f>
        <v/>
      </c>
      <c r="O907">
        <f>IF($U907="","",IF(ISNUMBER(INDEX(상세표[종료],$U907)),TEXT(INDEX(상세표[종료],$U907),"yyyy-mm-dd hh:mm"),INDEX(상세표[종료],$U907)&amp;""))</f>
        <v/>
      </c>
      <c r="P907">
        <f>IF($U907="","",INDEX(상세표[06~07시],$U907))</f>
        <v/>
      </c>
      <c r="Q907">
        <f>IF($U907="","",INDEX(상세표[07~18시],$U907))</f>
        <v/>
      </c>
      <c r="R907">
        <f>IF($U907="","",INDEX(상세표[18~22시],$U907))</f>
        <v/>
      </c>
      <c r="S907">
        <f>IF($U907="","",INDEX(상세표[22~06시],$U907))</f>
        <v/>
      </c>
      <c r="T907">
        <f>IF($U907="","",INDEX(상세표[기록 시간외],$U907))</f>
        <v/>
      </c>
      <c r="U907" s="4">
        <f>IFERROR(MATCH(902,상세표[발송순번],0),"")</f>
        <v/>
      </c>
    </row>
    <row r="908">
      <c r="J908">
        <f>IF($U908="","",INDEX(상세표[사번],$U908)&amp;"")</f>
        <v/>
      </c>
      <c r="K908">
        <f>IF($U908="","",INDEX(상세표[성명],$U908)&amp;"")</f>
        <v/>
      </c>
      <c r="L908">
        <f>IF($U908="","",INDEX(상세표[직위],$U908)&amp;"")</f>
        <v/>
      </c>
      <c r="M908">
        <f>IF($U908="","",IF(ISNUMBER(INDEX(상세표[근무일자],$U908)),TEXT(INDEX(상세표[근무일자],$U908),"yyyy-mm-dd"),INDEX(상세표[근무일자],$U908)&amp;""))</f>
        <v/>
      </c>
      <c r="N908">
        <f>IF($U908="","",IF(ISNUMBER(INDEX(상세표[시작],$U908)),TEXT(INDEX(상세표[시작],$U908),"yyyy-mm-dd hh:mm"),INDEX(상세표[시작],$U908)&amp;""))</f>
        <v/>
      </c>
      <c r="O908">
        <f>IF($U908="","",IF(ISNUMBER(INDEX(상세표[종료],$U908)),TEXT(INDEX(상세표[종료],$U908),"yyyy-mm-dd hh:mm"),INDEX(상세표[종료],$U908)&amp;""))</f>
        <v/>
      </c>
      <c r="P908">
        <f>IF($U908="","",INDEX(상세표[06~07시],$U908))</f>
        <v/>
      </c>
      <c r="Q908">
        <f>IF($U908="","",INDEX(상세표[07~18시],$U908))</f>
        <v/>
      </c>
      <c r="R908">
        <f>IF($U908="","",INDEX(상세표[18~22시],$U908))</f>
        <v/>
      </c>
      <c r="S908">
        <f>IF($U908="","",INDEX(상세표[22~06시],$U908))</f>
        <v/>
      </c>
      <c r="T908">
        <f>IF($U908="","",INDEX(상세표[기록 시간외],$U908))</f>
        <v/>
      </c>
      <c r="U908" s="4">
        <f>IFERROR(MATCH(903,상세표[발송순번],0),"")</f>
        <v/>
      </c>
    </row>
    <row r="909">
      <c r="J909">
        <f>IF($U909="","",INDEX(상세표[사번],$U909)&amp;"")</f>
        <v/>
      </c>
      <c r="K909">
        <f>IF($U909="","",INDEX(상세표[성명],$U909)&amp;"")</f>
        <v/>
      </c>
      <c r="L909">
        <f>IF($U909="","",INDEX(상세표[직위],$U909)&amp;"")</f>
        <v/>
      </c>
      <c r="M909">
        <f>IF($U909="","",IF(ISNUMBER(INDEX(상세표[근무일자],$U909)),TEXT(INDEX(상세표[근무일자],$U909),"yyyy-mm-dd"),INDEX(상세표[근무일자],$U909)&amp;""))</f>
        <v/>
      </c>
      <c r="N909">
        <f>IF($U909="","",IF(ISNUMBER(INDEX(상세표[시작],$U909)),TEXT(INDEX(상세표[시작],$U909),"yyyy-mm-dd hh:mm"),INDEX(상세표[시작],$U909)&amp;""))</f>
        <v/>
      </c>
      <c r="O909">
        <f>IF($U909="","",IF(ISNUMBER(INDEX(상세표[종료],$U909)),TEXT(INDEX(상세표[종료],$U909),"yyyy-mm-dd hh:mm"),INDEX(상세표[종료],$U909)&amp;""))</f>
        <v/>
      </c>
      <c r="P909">
        <f>IF($U909="","",INDEX(상세표[06~07시],$U909))</f>
        <v/>
      </c>
      <c r="Q909">
        <f>IF($U909="","",INDEX(상세표[07~18시],$U909))</f>
        <v/>
      </c>
      <c r="R909">
        <f>IF($U909="","",INDEX(상세표[18~22시],$U909))</f>
        <v/>
      </c>
      <c r="S909">
        <f>IF($U909="","",INDEX(상세표[22~06시],$U909))</f>
        <v/>
      </c>
      <c r="T909">
        <f>IF($U909="","",INDEX(상세표[기록 시간외],$U909))</f>
        <v/>
      </c>
      <c r="U909" s="4">
        <f>IFERROR(MATCH(904,상세표[발송순번],0),"")</f>
        <v/>
      </c>
    </row>
    <row r="910">
      <c r="J910">
        <f>IF($U910="","",INDEX(상세표[사번],$U910)&amp;"")</f>
        <v/>
      </c>
      <c r="K910">
        <f>IF($U910="","",INDEX(상세표[성명],$U910)&amp;"")</f>
        <v/>
      </c>
      <c r="L910">
        <f>IF($U910="","",INDEX(상세표[직위],$U910)&amp;"")</f>
        <v/>
      </c>
      <c r="M910">
        <f>IF($U910="","",IF(ISNUMBER(INDEX(상세표[근무일자],$U910)),TEXT(INDEX(상세표[근무일자],$U910),"yyyy-mm-dd"),INDEX(상세표[근무일자],$U910)&amp;""))</f>
        <v/>
      </c>
      <c r="N910">
        <f>IF($U910="","",IF(ISNUMBER(INDEX(상세표[시작],$U910)),TEXT(INDEX(상세표[시작],$U910),"yyyy-mm-dd hh:mm"),INDEX(상세표[시작],$U910)&amp;""))</f>
        <v/>
      </c>
      <c r="O910">
        <f>IF($U910="","",IF(ISNUMBER(INDEX(상세표[종료],$U910)),TEXT(INDEX(상세표[종료],$U910),"yyyy-mm-dd hh:mm"),INDEX(상세표[종료],$U910)&amp;""))</f>
        <v/>
      </c>
      <c r="P910">
        <f>IF($U910="","",INDEX(상세표[06~07시],$U910))</f>
        <v/>
      </c>
      <c r="Q910">
        <f>IF($U910="","",INDEX(상세표[07~18시],$U910))</f>
        <v/>
      </c>
      <c r="R910">
        <f>IF($U910="","",INDEX(상세표[18~22시],$U910))</f>
        <v/>
      </c>
      <c r="S910">
        <f>IF($U910="","",INDEX(상세표[22~06시],$U910))</f>
        <v/>
      </c>
      <c r="T910">
        <f>IF($U910="","",INDEX(상세표[기록 시간외],$U910))</f>
        <v/>
      </c>
      <c r="U910" s="4">
        <f>IFERROR(MATCH(905,상세표[발송순번],0),"")</f>
        <v/>
      </c>
    </row>
    <row r="911">
      <c r="J911">
        <f>IF($U911="","",INDEX(상세표[사번],$U911)&amp;"")</f>
        <v/>
      </c>
      <c r="K911">
        <f>IF($U911="","",INDEX(상세표[성명],$U911)&amp;"")</f>
        <v/>
      </c>
      <c r="L911">
        <f>IF($U911="","",INDEX(상세표[직위],$U911)&amp;"")</f>
        <v/>
      </c>
      <c r="M911">
        <f>IF($U911="","",IF(ISNUMBER(INDEX(상세표[근무일자],$U911)),TEXT(INDEX(상세표[근무일자],$U911),"yyyy-mm-dd"),INDEX(상세표[근무일자],$U911)&amp;""))</f>
        <v/>
      </c>
      <c r="N911">
        <f>IF($U911="","",IF(ISNUMBER(INDEX(상세표[시작],$U911)),TEXT(INDEX(상세표[시작],$U911),"yyyy-mm-dd hh:mm"),INDEX(상세표[시작],$U911)&amp;""))</f>
        <v/>
      </c>
      <c r="O911">
        <f>IF($U911="","",IF(ISNUMBER(INDEX(상세표[종료],$U911)),TEXT(INDEX(상세표[종료],$U911),"yyyy-mm-dd hh:mm"),INDEX(상세표[종료],$U911)&amp;""))</f>
        <v/>
      </c>
      <c r="P911">
        <f>IF($U911="","",INDEX(상세표[06~07시],$U911))</f>
        <v/>
      </c>
      <c r="Q911">
        <f>IF($U911="","",INDEX(상세표[07~18시],$U911))</f>
        <v/>
      </c>
      <c r="R911">
        <f>IF($U911="","",INDEX(상세표[18~22시],$U911))</f>
        <v/>
      </c>
      <c r="S911">
        <f>IF($U911="","",INDEX(상세표[22~06시],$U911))</f>
        <v/>
      </c>
      <c r="T911">
        <f>IF($U911="","",INDEX(상세표[기록 시간외],$U911))</f>
        <v/>
      </c>
      <c r="U911" s="4">
        <f>IFERROR(MATCH(906,상세표[발송순번],0),"")</f>
        <v/>
      </c>
    </row>
    <row r="912">
      <c r="J912">
        <f>IF($U912="","",INDEX(상세표[사번],$U912)&amp;"")</f>
        <v/>
      </c>
      <c r="K912">
        <f>IF($U912="","",INDEX(상세표[성명],$U912)&amp;"")</f>
        <v/>
      </c>
      <c r="L912">
        <f>IF($U912="","",INDEX(상세표[직위],$U912)&amp;"")</f>
        <v/>
      </c>
      <c r="M912">
        <f>IF($U912="","",IF(ISNUMBER(INDEX(상세표[근무일자],$U912)),TEXT(INDEX(상세표[근무일자],$U912),"yyyy-mm-dd"),INDEX(상세표[근무일자],$U912)&amp;""))</f>
        <v/>
      </c>
      <c r="N912">
        <f>IF($U912="","",IF(ISNUMBER(INDEX(상세표[시작],$U912)),TEXT(INDEX(상세표[시작],$U912),"yyyy-mm-dd hh:mm"),INDEX(상세표[시작],$U912)&amp;""))</f>
        <v/>
      </c>
      <c r="O912">
        <f>IF($U912="","",IF(ISNUMBER(INDEX(상세표[종료],$U912)),TEXT(INDEX(상세표[종료],$U912),"yyyy-mm-dd hh:mm"),INDEX(상세표[종료],$U912)&amp;""))</f>
        <v/>
      </c>
      <c r="P912">
        <f>IF($U912="","",INDEX(상세표[06~07시],$U912))</f>
        <v/>
      </c>
      <c r="Q912">
        <f>IF($U912="","",INDEX(상세표[07~18시],$U912))</f>
        <v/>
      </c>
      <c r="R912">
        <f>IF($U912="","",INDEX(상세표[18~22시],$U912))</f>
        <v/>
      </c>
      <c r="S912">
        <f>IF($U912="","",INDEX(상세표[22~06시],$U912))</f>
        <v/>
      </c>
      <c r="T912">
        <f>IF($U912="","",INDEX(상세표[기록 시간외],$U912))</f>
        <v/>
      </c>
      <c r="U912" s="4">
        <f>IFERROR(MATCH(907,상세표[발송순번],0),"")</f>
        <v/>
      </c>
    </row>
    <row r="913">
      <c r="J913">
        <f>IF($U913="","",INDEX(상세표[사번],$U913)&amp;"")</f>
        <v/>
      </c>
      <c r="K913">
        <f>IF($U913="","",INDEX(상세표[성명],$U913)&amp;"")</f>
        <v/>
      </c>
      <c r="L913">
        <f>IF($U913="","",INDEX(상세표[직위],$U913)&amp;"")</f>
        <v/>
      </c>
      <c r="M913">
        <f>IF($U913="","",IF(ISNUMBER(INDEX(상세표[근무일자],$U913)),TEXT(INDEX(상세표[근무일자],$U913),"yyyy-mm-dd"),INDEX(상세표[근무일자],$U913)&amp;""))</f>
        <v/>
      </c>
      <c r="N913">
        <f>IF($U913="","",IF(ISNUMBER(INDEX(상세표[시작],$U913)),TEXT(INDEX(상세표[시작],$U913),"yyyy-mm-dd hh:mm"),INDEX(상세표[시작],$U913)&amp;""))</f>
        <v/>
      </c>
      <c r="O913">
        <f>IF($U913="","",IF(ISNUMBER(INDEX(상세표[종료],$U913)),TEXT(INDEX(상세표[종료],$U913),"yyyy-mm-dd hh:mm"),INDEX(상세표[종료],$U913)&amp;""))</f>
        <v/>
      </c>
      <c r="P913">
        <f>IF($U913="","",INDEX(상세표[06~07시],$U913))</f>
        <v/>
      </c>
      <c r="Q913">
        <f>IF($U913="","",INDEX(상세표[07~18시],$U913))</f>
        <v/>
      </c>
      <c r="R913">
        <f>IF($U913="","",INDEX(상세표[18~22시],$U913))</f>
        <v/>
      </c>
      <c r="S913">
        <f>IF($U913="","",INDEX(상세표[22~06시],$U913))</f>
        <v/>
      </c>
      <c r="T913">
        <f>IF($U913="","",INDEX(상세표[기록 시간외],$U913))</f>
        <v/>
      </c>
      <c r="U913" s="4">
        <f>IFERROR(MATCH(908,상세표[발송순번],0),"")</f>
        <v/>
      </c>
    </row>
    <row r="914">
      <c r="J914">
        <f>IF($U914="","",INDEX(상세표[사번],$U914)&amp;"")</f>
        <v/>
      </c>
      <c r="K914">
        <f>IF($U914="","",INDEX(상세표[성명],$U914)&amp;"")</f>
        <v/>
      </c>
      <c r="L914">
        <f>IF($U914="","",INDEX(상세표[직위],$U914)&amp;"")</f>
        <v/>
      </c>
      <c r="M914">
        <f>IF($U914="","",IF(ISNUMBER(INDEX(상세표[근무일자],$U914)),TEXT(INDEX(상세표[근무일자],$U914),"yyyy-mm-dd"),INDEX(상세표[근무일자],$U914)&amp;""))</f>
        <v/>
      </c>
      <c r="N914">
        <f>IF($U914="","",IF(ISNUMBER(INDEX(상세표[시작],$U914)),TEXT(INDEX(상세표[시작],$U914),"yyyy-mm-dd hh:mm"),INDEX(상세표[시작],$U914)&amp;""))</f>
        <v/>
      </c>
      <c r="O914">
        <f>IF($U914="","",IF(ISNUMBER(INDEX(상세표[종료],$U914)),TEXT(INDEX(상세표[종료],$U914),"yyyy-mm-dd hh:mm"),INDEX(상세표[종료],$U914)&amp;""))</f>
        <v/>
      </c>
      <c r="P914">
        <f>IF($U914="","",INDEX(상세표[06~07시],$U914))</f>
        <v/>
      </c>
      <c r="Q914">
        <f>IF($U914="","",INDEX(상세표[07~18시],$U914))</f>
        <v/>
      </c>
      <c r="R914">
        <f>IF($U914="","",INDEX(상세표[18~22시],$U914))</f>
        <v/>
      </c>
      <c r="S914">
        <f>IF($U914="","",INDEX(상세표[22~06시],$U914))</f>
        <v/>
      </c>
      <c r="T914">
        <f>IF($U914="","",INDEX(상세표[기록 시간외],$U914))</f>
        <v/>
      </c>
      <c r="U914" s="4">
        <f>IFERROR(MATCH(909,상세표[발송순번],0),"")</f>
        <v/>
      </c>
    </row>
    <row r="915">
      <c r="J915">
        <f>IF($U915="","",INDEX(상세표[사번],$U915)&amp;"")</f>
        <v/>
      </c>
      <c r="K915">
        <f>IF($U915="","",INDEX(상세표[성명],$U915)&amp;"")</f>
        <v/>
      </c>
      <c r="L915">
        <f>IF($U915="","",INDEX(상세표[직위],$U915)&amp;"")</f>
        <v/>
      </c>
      <c r="M915">
        <f>IF($U915="","",IF(ISNUMBER(INDEX(상세표[근무일자],$U915)),TEXT(INDEX(상세표[근무일자],$U915),"yyyy-mm-dd"),INDEX(상세표[근무일자],$U915)&amp;""))</f>
        <v/>
      </c>
      <c r="N915">
        <f>IF($U915="","",IF(ISNUMBER(INDEX(상세표[시작],$U915)),TEXT(INDEX(상세표[시작],$U915),"yyyy-mm-dd hh:mm"),INDEX(상세표[시작],$U915)&amp;""))</f>
        <v/>
      </c>
      <c r="O915">
        <f>IF($U915="","",IF(ISNUMBER(INDEX(상세표[종료],$U915)),TEXT(INDEX(상세표[종료],$U915),"yyyy-mm-dd hh:mm"),INDEX(상세표[종료],$U915)&amp;""))</f>
        <v/>
      </c>
      <c r="P915">
        <f>IF($U915="","",INDEX(상세표[06~07시],$U915))</f>
        <v/>
      </c>
      <c r="Q915">
        <f>IF($U915="","",INDEX(상세표[07~18시],$U915))</f>
        <v/>
      </c>
      <c r="R915">
        <f>IF($U915="","",INDEX(상세표[18~22시],$U915))</f>
        <v/>
      </c>
      <c r="S915">
        <f>IF($U915="","",INDEX(상세표[22~06시],$U915))</f>
        <v/>
      </c>
      <c r="T915">
        <f>IF($U915="","",INDEX(상세표[기록 시간외],$U915))</f>
        <v/>
      </c>
      <c r="U915" s="4">
        <f>IFERROR(MATCH(910,상세표[발송순번],0),"")</f>
        <v/>
      </c>
    </row>
    <row r="916">
      <c r="J916">
        <f>IF($U916="","",INDEX(상세표[사번],$U916)&amp;"")</f>
        <v/>
      </c>
      <c r="K916">
        <f>IF($U916="","",INDEX(상세표[성명],$U916)&amp;"")</f>
        <v/>
      </c>
      <c r="L916">
        <f>IF($U916="","",INDEX(상세표[직위],$U916)&amp;"")</f>
        <v/>
      </c>
      <c r="M916">
        <f>IF($U916="","",IF(ISNUMBER(INDEX(상세표[근무일자],$U916)),TEXT(INDEX(상세표[근무일자],$U916),"yyyy-mm-dd"),INDEX(상세표[근무일자],$U916)&amp;""))</f>
        <v/>
      </c>
      <c r="N916">
        <f>IF($U916="","",IF(ISNUMBER(INDEX(상세표[시작],$U916)),TEXT(INDEX(상세표[시작],$U916),"yyyy-mm-dd hh:mm"),INDEX(상세표[시작],$U916)&amp;""))</f>
        <v/>
      </c>
      <c r="O916">
        <f>IF($U916="","",IF(ISNUMBER(INDEX(상세표[종료],$U916)),TEXT(INDEX(상세표[종료],$U916),"yyyy-mm-dd hh:mm"),INDEX(상세표[종료],$U916)&amp;""))</f>
        <v/>
      </c>
      <c r="P916">
        <f>IF($U916="","",INDEX(상세표[06~07시],$U916))</f>
        <v/>
      </c>
      <c r="Q916">
        <f>IF($U916="","",INDEX(상세표[07~18시],$U916))</f>
        <v/>
      </c>
      <c r="R916">
        <f>IF($U916="","",INDEX(상세표[18~22시],$U916))</f>
        <v/>
      </c>
      <c r="S916">
        <f>IF($U916="","",INDEX(상세표[22~06시],$U916))</f>
        <v/>
      </c>
      <c r="T916">
        <f>IF($U916="","",INDEX(상세표[기록 시간외],$U916))</f>
        <v/>
      </c>
      <c r="U916" s="4">
        <f>IFERROR(MATCH(911,상세표[발송순번],0),"")</f>
        <v/>
      </c>
    </row>
    <row r="917">
      <c r="J917">
        <f>IF($U917="","",INDEX(상세표[사번],$U917)&amp;"")</f>
        <v/>
      </c>
      <c r="K917">
        <f>IF($U917="","",INDEX(상세표[성명],$U917)&amp;"")</f>
        <v/>
      </c>
      <c r="L917">
        <f>IF($U917="","",INDEX(상세표[직위],$U917)&amp;"")</f>
        <v/>
      </c>
      <c r="M917">
        <f>IF($U917="","",IF(ISNUMBER(INDEX(상세표[근무일자],$U917)),TEXT(INDEX(상세표[근무일자],$U917),"yyyy-mm-dd"),INDEX(상세표[근무일자],$U917)&amp;""))</f>
        <v/>
      </c>
      <c r="N917">
        <f>IF($U917="","",IF(ISNUMBER(INDEX(상세표[시작],$U917)),TEXT(INDEX(상세표[시작],$U917),"yyyy-mm-dd hh:mm"),INDEX(상세표[시작],$U917)&amp;""))</f>
        <v/>
      </c>
      <c r="O917">
        <f>IF($U917="","",IF(ISNUMBER(INDEX(상세표[종료],$U917)),TEXT(INDEX(상세표[종료],$U917),"yyyy-mm-dd hh:mm"),INDEX(상세표[종료],$U917)&amp;""))</f>
        <v/>
      </c>
      <c r="P917">
        <f>IF($U917="","",INDEX(상세표[06~07시],$U917))</f>
        <v/>
      </c>
      <c r="Q917">
        <f>IF($U917="","",INDEX(상세표[07~18시],$U917))</f>
        <v/>
      </c>
      <c r="R917">
        <f>IF($U917="","",INDEX(상세표[18~22시],$U917))</f>
        <v/>
      </c>
      <c r="S917">
        <f>IF($U917="","",INDEX(상세표[22~06시],$U917))</f>
        <v/>
      </c>
      <c r="T917">
        <f>IF($U917="","",INDEX(상세표[기록 시간외],$U917))</f>
        <v/>
      </c>
      <c r="U917" s="4">
        <f>IFERROR(MATCH(912,상세표[발송순번],0),"")</f>
        <v/>
      </c>
    </row>
    <row r="918">
      <c r="J918">
        <f>IF($U918="","",INDEX(상세표[사번],$U918)&amp;"")</f>
        <v/>
      </c>
      <c r="K918">
        <f>IF($U918="","",INDEX(상세표[성명],$U918)&amp;"")</f>
        <v/>
      </c>
      <c r="L918">
        <f>IF($U918="","",INDEX(상세표[직위],$U918)&amp;"")</f>
        <v/>
      </c>
      <c r="M918">
        <f>IF($U918="","",IF(ISNUMBER(INDEX(상세표[근무일자],$U918)),TEXT(INDEX(상세표[근무일자],$U918),"yyyy-mm-dd"),INDEX(상세표[근무일자],$U918)&amp;""))</f>
        <v/>
      </c>
      <c r="N918">
        <f>IF($U918="","",IF(ISNUMBER(INDEX(상세표[시작],$U918)),TEXT(INDEX(상세표[시작],$U918),"yyyy-mm-dd hh:mm"),INDEX(상세표[시작],$U918)&amp;""))</f>
        <v/>
      </c>
      <c r="O918">
        <f>IF($U918="","",IF(ISNUMBER(INDEX(상세표[종료],$U918)),TEXT(INDEX(상세표[종료],$U918),"yyyy-mm-dd hh:mm"),INDEX(상세표[종료],$U918)&amp;""))</f>
        <v/>
      </c>
      <c r="P918">
        <f>IF($U918="","",INDEX(상세표[06~07시],$U918))</f>
        <v/>
      </c>
      <c r="Q918">
        <f>IF($U918="","",INDEX(상세표[07~18시],$U918))</f>
        <v/>
      </c>
      <c r="R918">
        <f>IF($U918="","",INDEX(상세표[18~22시],$U918))</f>
        <v/>
      </c>
      <c r="S918">
        <f>IF($U918="","",INDEX(상세표[22~06시],$U918))</f>
        <v/>
      </c>
      <c r="T918">
        <f>IF($U918="","",INDEX(상세표[기록 시간외],$U918))</f>
        <v/>
      </c>
      <c r="U918" s="4">
        <f>IFERROR(MATCH(913,상세표[발송순번],0),"")</f>
        <v/>
      </c>
    </row>
    <row r="919">
      <c r="J919">
        <f>IF($U919="","",INDEX(상세표[사번],$U919)&amp;"")</f>
        <v/>
      </c>
      <c r="K919">
        <f>IF($U919="","",INDEX(상세표[성명],$U919)&amp;"")</f>
        <v/>
      </c>
      <c r="L919">
        <f>IF($U919="","",INDEX(상세표[직위],$U919)&amp;"")</f>
        <v/>
      </c>
      <c r="M919">
        <f>IF($U919="","",IF(ISNUMBER(INDEX(상세표[근무일자],$U919)),TEXT(INDEX(상세표[근무일자],$U919),"yyyy-mm-dd"),INDEX(상세표[근무일자],$U919)&amp;""))</f>
        <v/>
      </c>
      <c r="N919">
        <f>IF($U919="","",IF(ISNUMBER(INDEX(상세표[시작],$U919)),TEXT(INDEX(상세표[시작],$U919),"yyyy-mm-dd hh:mm"),INDEX(상세표[시작],$U919)&amp;""))</f>
        <v/>
      </c>
      <c r="O919">
        <f>IF($U919="","",IF(ISNUMBER(INDEX(상세표[종료],$U919)),TEXT(INDEX(상세표[종료],$U919),"yyyy-mm-dd hh:mm"),INDEX(상세표[종료],$U919)&amp;""))</f>
        <v/>
      </c>
      <c r="P919">
        <f>IF($U919="","",INDEX(상세표[06~07시],$U919))</f>
        <v/>
      </c>
      <c r="Q919">
        <f>IF($U919="","",INDEX(상세표[07~18시],$U919))</f>
        <v/>
      </c>
      <c r="R919">
        <f>IF($U919="","",INDEX(상세표[18~22시],$U919))</f>
        <v/>
      </c>
      <c r="S919">
        <f>IF($U919="","",INDEX(상세표[22~06시],$U919))</f>
        <v/>
      </c>
      <c r="T919">
        <f>IF($U919="","",INDEX(상세표[기록 시간외],$U919))</f>
        <v/>
      </c>
      <c r="U919" s="4">
        <f>IFERROR(MATCH(914,상세표[발송순번],0),"")</f>
        <v/>
      </c>
    </row>
    <row r="920">
      <c r="J920">
        <f>IF($U920="","",INDEX(상세표[사번],$U920)&amp;"")</f>
        <v/>
      </c>
      <c r="K920">
        <f>IF($U920="","",INDEX(상세표[성명],$U920)&amp;"")</f>
        <v/>
      </c>
      <c r="L920">
        <f>IF($U920="","",INDEX(상세표[직위],$U920)&amp;"")</f>
        <v/>
      </c>
      <c r="M920">
        <f>IF($U920="","",IF(ISNUMBER(INDEX(상세표[근무일자],$U920)),TEXT(INDEX(상세표[근무일자],$U920),"yyyy-mm-dd"),INDEX(상세표[근무일자],$U920)&amp;""))</f>
        <v/>
      </c>
      <c r="N920">
        <f>IF($U920="","",IF(ISNUMBER(INDEX(상세표[시작],$U920)),TEXT(INDEX(상세표[시작],$U920),"yyyy-mm-dd hh:mm"),INDEX(상세표[시작],$U920)&amp;""))</f>
        <v/>
      </c>
      <c r="O920">
        <f>IF($U920="","",IF(ISNUMBER(INDEX(상세표[종료],$U920)),TEXT(INDEX(상세표[종료],$U920),"yyyy-mm-dd hh:mm"),INDEX(상세표[종료],$U920)&amp;""))</f>
        <v/>
      </c>
      <c r="P920">
        <f>IF($U920="","",INDEX(상세표[06~07시],$U920))</f>
        <v/>
      </c>
      <c r="Q920">
        <f>IF($U920="","",INDEX(상세표[07~18시],$U920))</f>
        <v/>
      </c>
      <c r="R920">
        <f>IF($U920="","",INDEX(상세표[18~22시],$U920))</f>
        <v/>
      </c>
      <c r="S920">
        <f>IF($U920="","",INDEX(상세표[22~06시],$U920))</f>
        <v/>
      </c>
      <c r="T920">
        <f>IF($U920="","",INDEX(상세표[기록 시간외],$U920))</f>
        <v/>
      </c>
      <c r="U920" s="4">
        <f>IFERROR(MATCH(915,상세표[발송순번],0),"")</f>
        <v/>
      </c>
    </row>
    <row r="921">
      <c r="J921">
        <f>IF($U921="","",INDEX(상세표[사번],$U921)&amp;"")</f>
        <v/>
      </c>
      <c r="K921">
        <f>IF($U921="","",INDEX(상세표[성명],$U921)&amp;"")</f>
        <v/>
      </c>
      <c r="L921">
        <f>IF($U921="","",INDEX(상세표[직위],$U921)&amp;"")</f>
        <v/>
      </c>
      <c r="M921">
        <f>IF($U921="","",IF(ISNUMBER(INDEX(상세표[근무일자],$U921)),TEXT(INDEX(상세표[근무일자],$U921),"yyyy-mm-dd"),INDEX(상세표[근무일자],$U921)&amp;""))</f>
        <v/>
      </c>
      <c r="N921">
        <f>IF($U921="","",IF(ISNUMBER(INDEX(상세표[시작],$U921)),TEXT(INDEX(상세표[시작],$U921),"yyyy-mm-dd hh:mm"),INDEX(상세표[시작],$U921)&amp;""))</f>
        <v/>
      </c>
      <c r="O921">
        <f>IF($U921="","",IF(ISNUMBER(INDEX(상세표[종료],$U921)),TEXT(INDEX(상세표[종료],$U921),"yyyy-mm-dd hh:mm"),INDEX(상세표[종료],$U921)&amp;""))</f>
        <v/>
      </c>
      <c r="P921">
        <f>IF($U921="","",INDEX(상세표[06~07시],$U921))</f>
        <v/>
      </c>
      <c r="Q921">
        <f>IF($U921="","",INDEX(상세표[07~18시],$U921))</f>
        <v/>
      </c>
      <c r="R921">
        <f>IF($U921="","",INDEX(상세표[18~22시],$U921))</f>
        <v/>
      </c>
      <c r="S921">
        <f>IF($U921="","",INDEX(상세표[22~06시],$U921))</f>
        <v/>
      </c>
      <c r="T921">
        <f>IF($U921="","",INDEX(상세표[기록 시간외],$U921))</f>
        <v/>
      </c>
      <c r="U921" s="4">
        <f>IFERROR(MATCH(916,상세표[발송순번],0),"")</f>
        <v/>
      </c>
    </row>
    <row r="922">
      <c r="J922">
        <f>IF($U922="","",INDEX(상세표[사번],$U922)&amp;"")</f>
        <v/>
      </c>
      <c r="K922">
        <f>IF($U922="","",INDEX(상세표[성명],$U922)&amp;"")</f>
        <v/>
      </c>
      <c r="L922">
        <f>IF($U922="","",INDEX(상세표[직위],$U922)&amp;"")</f>
        <v/>
      </c>
      <c r="M922">
        <f>IF($U922="","",IF(ISNUMBER(INDEX(상세표[근무일자],$U922)),TEXT(INDEX(상세표[근무일자],$U922),"yyyy-mm-dd"),INDEX(상세표[근무일자],$U922)&amp;""))</f>
        <v/>
      </c>
      <c r="N922">
        <f>IF($U922="","",IF(ISNUMBER(INDEX(상세표[시작],$U922)),TEXT(INDEX(상세표[시작],$U922),"yyyy-mm-dd hh:mm"),INDEX(상세표[시작],$U922)&amp;""))</f>
        <v/>
      </c>
      <c r="O922">
        <f>IF($U922="","",IF(ISNUMBER(INDEX(상세표[종료],$U922)),TEXT(INDEX(상세표[종료],$U922),"yyyy-mm-dd hh:mm"),INDEX(상세표[종료],$U922)&amp;""))</f>
        <v/>
      </c>
      <c r="P922">
        <f>IF($U922="","",INDEX(상세표[06~07시],$U922))</f>
        <v/>
      </c>
      <c r="Q922">
        <f>IF($U922="","",INDEX(상세표[07~18시],$U922))</f>
        <v/>
      </c>
      <c r="R922">
        <f>IF($U922="","",INDEX(상세표[18~22시],$U922))</f>
        <v/>
      </c>
      <c r="S922">
        <f>IF($U922="","",INDEX(상세표[22~06시],$U922))</f>
        <v/>
      </c>
      <c r="T922">
        <f>IF($U922="","",INDEX(상세표[기록 시간외],$U922))</f>
        <v/>
      </c>
      <c r="U922" s="4">
        <f>IFERROR(MATCH(917,상세표[발송순번],0),"")</f>
        <v/>
      </c>
    </row>
    <row r="923">
      <c r="J923">
        <f>IF($U923="","",INDEX(상세표[사번],$U923)&amp;"")</f>
        <v/>
      </c>
      <c r="K923">
        <f>IF($U923="","",INDEX(상세표[성명],$U923)&amp;"")</f>
        <v/>
      </c>
      <c r="L923">
        <f>IF($U923="","",INDEX(상세표[직위],$U923)&amp;"")</f>
        <v/>
      </c>
      <c r="M923">
        <f>IF($U923="","",IF(ISNUMBER(INDEX(상세표[근무일자],$U923)),TEXT(INDEX(상세표[근무일자],$U923),"yyyy-mm-dd"),INDEX(상세표[근무일자],$U923)&amp;""))</f>
        <v/>
      </c>
      <c r="N923">
        <f>IF($U923="","",IF(ISNUMBER(INDEX(상세표[시작],$U923)),TEXT(INDEX(상세표[시작],$U923),"yyyy-mm-dd hh:mm"),INDEX(상세표[시작],$U923)&amp;""))</f>
        <v/>
      </c>
      <c r="O923">
        <f>IF($U923="","",IF(ISNUMBER(INDEX(상세표[종료],$U923)),TEXT(INDEX(상세표[종료],$U923),"yyyy-mm-dd hh:mm"),INDEX(상세표[종료],$U923)&amp;""))</f>
        <v/>
      </c>
      <c r="P923">
        <f>IF($U923="","",INDEX(상세표[06~07시],$U923))</f>
        <v/>
      </c>
      <c r="Q923">
        <f>IF($U923="","",INDEX(상세표[07~18시],$U923))</f>
        <v/>
      </c>
      <c r="R923">
        <f>IF($U923="","",INDEX(상세표[18~22시],$U923))</f>
        <v/>
      </c>
      <c r="S923">
        <f>IF($U923="","",INDEX(상세표[22~06시],$U923))</f>
        <v/>
      </c>
      <c r="T923">
        <f>IF($U923="","",INDEX(상세표[기록 시간외],$U923))</f>
        <v/>
      </c>
      <c r="U923" s="4">
        <f>IFERROR(MATCH(918,상세표[발송순번],0),"")</f>
        <v/>
      </c>
    </row>
    <row r="924">
      <c r="J924">
        <f>IF($U924="","",INDEX(상세표[사번],$U924)&amp;"")</f>
        <v/>
      </c>
      <c r="K924">
        <f>IF($U924="","",INDEX(상세표[성명],$U924)&amp;"")</f>
        <v/>
      </c>
      <c r="L924">
        <f>IF($U924="","",INDEX(상세표[직위],$U924)&amp;"")</f>
        <v/>
      </c>
      <c r="M924">
        <f>IF($U924="","",IF(ISNUMBER(INDEX(상세표[근무일자],$U924)),TEXT(INDEX(상세표[근무일자],$U924),"yyyy-mm-dd"),INDEX(상세표[근무일자],$U924)&amp;""))</f>
        <v/>
      </c>
      <c r="N924">
        <f>IF($U924="","",IF(ISNUMBER(INDEX(상세표[시작],$U924)),TEXT(INDEX(상세표[시작],$U924),"yyyy-mm-dd hh:mm"),INDEX(상세표[시작],$U924)&amp;""))</f>
        <v/>
      </c>
      <c r="O924">
        <f>IF($U924="","",IF(ISNUMBER(INDEX(상세표[종료],$U924)),TEXT(INDEX(상세표[종료],$U924),"yyyy-mm-dd hh:mm"),INDEX(상세표[종료],$U924)&amp;""))</f>
        <v/>
      </c>
      <c r="P924">
        <f>IF($U924="","",INDEX(상세표[06~07시],$U924))</f>
        <v/>
      </c>
      <c r="Q924">
        <f>IF($U924="","",INDEX(상세표[07~18시],$U924))</f>
        <v/>
      </c>
      <c r="R924">
        <f>IF($U924="","",INDEX(상세표[18~22시],$U924))</f>
        <v/>
      </c>
      <c r="S924">
        <f>IF($U924="","",INDEX(상세표[22~06시],$U924))</f>
        <v/>
      </c>
      <c r="T924">
        <f>IF($U924="","",INDEX(상세표[기록 시간외],$U924))</f>
        <v/>
      </c>
      <c r="U924" s="4">
        <f>IFERROR(MATCH(919,상세표[발송순번],0),"")</f>
        <v/>
      </c>
    </row>
    <row r="925">
      <c r="J925">
        <f>IF($U925="","",INDEX(상세표[사번],$U925)&amp;"")</f>
        <v/>
      </c>
      <c r="K925">
        <f>IF($U925="","",INDEX(상세표[성명],$U925)&amp;"")</f>
        <v/>
      </c>
      <c r="L925">
        <f>IF($U925="","",INDEX(상세표[직위],$U925)&amp;"")</f>
        <v/>
      </c>
      <c r="M925">
        <f>IF($U925="","",IF(ISNUMBER(INDEX(상세표[근무일자],$U925)),TEXT(INDEX(상세표[근무일자],$U925),"yyyy-mm-dd"),INDEX(상세표[근무일자],$U925)&amp;""))</f>
        <v/>
      </c>
      <c r="N925">
        <f>IF($U925="","",IF(ISNUMBER(INDEX(상세표[시작],$U925)),TEXT(INDEX(상세표[시작],$U925),"yyyy-mm-dd hh:mm"),INDEX(상세표[시작],$U925)&amp;""))</f>
        <v/>
      </c>
      <c r="O925">
        <f>IF($U925="","",IF(ISNUMBER(INDEX(상세표[종료],$U925)),TEXT(INDEX(상세표[종료],$U925),"yyyy-mm-dd hh:mm"),INDEX(상세표[종료],$U925)&amp;""))</f>
        <v/>
      </c>
      <c r="P925">
        <f>IF($U925="","",INDEX(상세표[06~07시],$U925))</f>
        <v/>
      </c>
      <c r="Q925">
        <f>IF($U925="","",INDEX(상세표[07~18시],$U925))</f>
        <v/>
      </c>
      <c r="R925">
        <f>IF($U925="","",INDEX(상세표[18~22시],$U925))</f>
        <v/>
      </c>
      <c r="S925">
        <f>IF($U925="","",INDEX(상세표[22~06시],$U925))</f>
        <v/>
      </c>
      <c r="T925">
        <f>IF($U925="","",INDEX(상세표[기록 시간외],$U925))</f>
        <v/>
      </c>
      <c r="U925" s="4">
        <f>IFERROR(MATCH(920,상세표[발송순번],0),"")</f>
        <v/>
      </c>
    </row>
    <row r="926">
      <c r="J926">
        <f>IF($U926="","",INDEX(상세표[사번],$U926)&amp;"")</f>
        <v/>
      </c>
      <c r="K926">
        <f>IF($U926="","",INDEX(상세표[성명],$U926)&amp;"")</f>
        <v/>
      </c>
      <c r="L926">
        <f>IF($U926="","",INDEX(상세표[직위],$U926)&amp;"")</f>
        <v/>
      </c>
      <c r="M926">
        <f>IF($U926="","",IF(ISNUMBER(INDEX(상세표[근무일자],$U926)),TEXT(INDEX(상세표[근무일자],$U926),"yyyy-mm-dd"),INDEX(상세표[근무일자],$U926)&amp;""))</f>
        <v/>
      </c>
      <c r="N926">
        <f>IF($U926="","",IF(ISNUMBER(INDEX(상세표[시작],$U926)),TEXT(INDEX(상세표[시작],$U926),"yyyy-mm-dd hh:mm"),INDEX(상세표[시작],$U926)&amp;""))</f>
        <v/>
      </c>
      <c r="O926">
        <f>IF($U926="","",IF(ISNUMBER(INDEX(상세표[종료],$U926)),TEXT(INDEX(상세표[종료],$U926),"yyyy-mm-dd hh:mm"),INDEX(상세표[종료],$U926)&amp;""))</f>
        <v/>
      </c>
      <c r="P926">
        <f>IF($U926="","",INDEX(상세표[06~07시],$U926))</f>
        <v/>
      </c>
      <c r="Q926">
        <f>IF($U926="","",INDEX(상세표[07~18시],$U926))</f>
        <v/>
      </c>
      <c r="R926">
        <f>IF($U926="","",INDEX(상세표[18~22시],$U926))</f>
        <v/>
      </c>
      <c r="S926">
        <f>IF($U926="","",INDEX(상세표[22~06시],$U926))</f>
        <v/>
      </c>
      <c r="T926">
        <f>IF($U926="","",INDEX(상세표[기록 시간외],$U926))</f>
        <v/>
      </c>
      <c r="U926" s="4">
        <f>IFERROR(MATCH(921,상세표[발송순번],0),"")</f>
        <v/>
      </c>
    </row>
    <row r="927">
      <c r="J927">
        <f>IF($U927="","",INDEX(상세표[사번],$U927)&amp;"")</f>
        <v/>
      </c>
      <c r="K927">
        <f>IF($U927="","",INDEX(상세표[성명],$U927)&amp;"")</f>
        <v/>
      </c>
      <c r="L927">
        <f>IF($U927="","",INDEX(상세표[직위],$U927)&amp;"")</f>
        <v/>
      </c>
      <c r="M927">
        <f>IF($U927="","",IF(ISNUMBER(INDEX(상세표[근무일자],$U927)),TEXT(INDEX(상세표[근무일자],$U927),"yyyy-mm-dd"),INDEX(상세표[근무일자],$U927)&amp;""))</f>
        <v/>
      </c>
      <c r="N927">
        <f>IF($U927="","",IF(ISNUMBER(INDEX(상세표[시작],$U927)),TEXT(INDEX(상세표[시작],$U927),"yyyy-mm-dd hh:mm"),INDEX(상세표[시작],$U927)&amp;""))</f>
        <v/>
      </c>
      <c r="O927">
        <f>IF($U927="","",IF(ISNUMBER(INDEX(상세표[종료],$U927)),TEXT(INDEX(상세표[종료],$U927),"yyyy-mm-dd hh:mm"),INDEX(상세표[종료],$U927)&amp;""))</f>
        <v/>
      </c>
      <c r="P927">
        <f>IF($U927="","",INDEX(상세표[06~07시],$U927))</f>
        <v/>
      </c>
      <c r="Q927">
        <f>IF($U927="","",INDEX(상세표[07~18시],$U927))</f>
        <v/>
      </c>
      <c r="R927">
        <f>IF($U927="","",INDEX(상세표[18~22시],$U927))</f>
        <v/>
      </c>
      <c r="S927">
        <f>IF($U927="","",INDEX(상세표[22~06시],$U927))</f>
        <v/>
      </c>
      <c r="T927">
        <f>IF($U927="","",INDEX(상세표[기록 시간외],$U927))</f>
        <v/>
      </c>
      <c r="U927" s="4">
        <f>IFERROR(MATCH(922,상세표[발송순번],0),"")</f>
        <v/>
      </c>
    </row>
    <row r="928">
      <c r="J928">
        <f>IF($U928="","",INDEX(상세표[사번],$U928)&amp;"")</f>
        <v/>
      </c>
      <c r="K928">
        <f>IF($U928="","",INDEX(상세표[성명],$U928)&amp;"")</f>
        <v/>
      </c>
      <c r="L928">
        <f>IF($U928="","",INDEX(상세표[직위],$U928)&amp;"")</f>
        <v/>
      </c>
      <c r="M928">
        <f>IF($U928="","",IF(ISNUMBER(INDEX(상세표[근무일자],$U928)),TEXT(INDEX(상세표[근무일자],$U928),"yyyy-mm-dd"),INDEX(상세표[근무일자],$U928)&amp;""))</f>
        <v/>
      </c>
      <c r="N928">
        <f>IF($U928="","",IF(ISNUMBER(INDEX(상세표[시작],$U928)),TEXT(INDEX(상세표[시작],$U928),"yyyy-mm-dd hh:mm"),INDEX(상세표[시작],$U928)&amp;""))</f>
        <v/>
      </c>
      <c r="O928">
        <f>IF($U928="","",IF(ISNUMBER(INDEX(상세표[종료],$U928)),TEXT(INDEX(상세표[종료],$U928),"yyyy-mm-dd hh:mm"),INDEX(상세표[종료],$U928)&amp;""))</f>
        <v/>
      </c>
      <c r="P928">
        <f>IF($U928="","",INDEX(상세표[06~07시],$U928))</f>
        <v/>
      </c>
      <c r="Q928">
        <f>IF($U928="","",INDEX(상세표[07~18시],$U928))</f>
        <v/>
      </c>
      <c r="R928">
        <f>IF($U928="","",INDEX(상세표[18~22시],$U928))</f>
        <v/>
      </c>
      <c r="S928">
        <f>IF($U928="","",INDEX(상세표[22~06시],$U928))</f>
        <v/>
      </c>
      <c r="T928">
        <f>IF($U928="","",INDEX(상세표[기록 시간외],$U928))</f>
        <v/>
      </c>
      <c r="U928" s="4">
        <f>IFERROR(MATCH(923,상세표[발송순번],0),"")</f>
        <v/>
      </c>
    </row>
    <row r="929">
      <c r="J929">
        <f>IF($U929="","",INDEX(상세표[사번],$U929)&amp;"")</f>
        <v/>
      </c>
      <c r="K929">
        <f>IF($U929="","",INDEX(상세표[성명],$U929)&amp;"")</f>
        <v/>
      </c>
      <c r="L929">
        <f>IF($U929="","",INDEX(상세표[직위],$U929)&amp;"")</f>
        <v/>
      </c>
      <c r="M929">
        <f>IF($U929="","",IF(ISNUMBER(INDEX(상세표[근무일자],$U929)),TEXT(INDEX(상세표[근무일자],$U929),"yyyy-mm-dd"),INDEX(상세표[근무일자],$U929)&amp;""))</f>
        <v/>
      </c>
      <c r="N929">
        <f>IF($U929="","",IF(ISNUMBER(INDEX(상세표[시작],$U929)),TEXT(INDEX(상세표[시작],$U929),"yyyy-mm-dd hh:mm"),INDEX(상세표[시작],$U929)&amp;""))</f>
        <v/>
      </c>
      <c r="O929">
        <f>IF($U929="","",IF(ISNUMBER(INDEX(상세표[종료],$U929)),TEXT(INDEX(상세표[종료],$U929),"yyyy-mm-dd hh:mm"),INDEX(상세표[종료],$U929)&amp;""))</f>
        <v/>
      </c>
      <c r="P929">
        <f>IF($U929="","",INDEX(상세표[06~07시],$U929))</f>
        <v/>
      </c>
      <c r="Q929">
        <f>IF($U929="","",INDEX(상세표[07~18시],$U929))</f>
        <v/>
      </c>
      <c r="R929">
        <f>IF($U929="","",INDEX(상세표[18~22시],$U929))</f>
        <v/>
      </c>
      <c r="S929">
        <f>IF($U929="","",INDEX(상세표[22~06시],$U929))</f>
        <v/>
      </c>
      <c r="T929">
        <f>IF($U929="","",INDEX(상세표[기록 시간외],$U929))</f>
        <v/>
      </c>
      <c r="U929" s="4">
        <f>IFERROR(MATCH(924,상세표[발송순번],0),"")</f>
        <v/>
      </c>
    </row>
    <row r="930">
      <c r="J930">
        <f>IF($U930="","",INDEX(상세표[사번],$U930)&amp;"")</f>
        <v/>
      </c>
      <c r="K930">
        <f>IF($U930="","",INDEX(상세표[성명],$U930)&amp;"")</f>
        <v/>
      </c>
      <c r="L930">
        <f>IF($U930="","",INDEX(상세표[직위],$U930)&amp;"")</f>
        <v/>
      </c>
      <c r="M930">
        <f>IF($U930="","",IF(ISNUMBER(INDEX(상세표[근무일자],$U930)),TEXT(INDEX(상세표[근무일자],$U930),"yyyy-mm-dd"),INDEX(상세표[근무일자],$U930)&amp;""))</f>
        <v/>
      </c>
      <c r="N930">
        <f>IF($U930="","",IF(ISNUMBER(INDEX(상세표[시작],$U930)),TEXT(INDEX(상세표[시작],$U930),"yyyy-mm-dd hh:mm"),INDEX(상세표[시작],$U930)&amp;""))</f>
        <v/>
      </c>
      <c r="O930">
        <f>IF($U930="","",IF(ISNUMBER(INDEX(상세표[종료],$U930)),TEXT(INDEX(상세표[종료],$U930),"yyyy-mm-dd hh:mm"),INDEX(상세표[종료],$U930)&amp;""))</f>
        <v/>
      </c>
      <c r="P930">
        <f>IF($U930="","",INDEX(상세표[06~07시],$U930))</f>
        <v/>
      </c>
      <c r="Q930">
        <f>IF($U930="","",INDEX(상세표[07~18시],$U930))</f>
        <v/>
      </c>
      <c r="R930">
        <f>IF($U930="","",INDEX(상세표[18~22시],$U930))</f>
        <v/>
      </c>
      <c r="S930">
        <f>IF($U930="","",INDEX(상세표[22~06시],$U930))</f>
        <v/>
      </c>
      <c r="T930">
        <f>IF($U930="","",INDEX(상세표[기록 시간외],$U930))</f>
        <v/>
      </c>
      <c r="U930" s="4">
        <f>IFERROR(MATCH(925,상세표[발송순번],0),"")</f>
        <v/>
      </c>
    </row>
    <row r="931">
      <c r="J931">
        <f>IF($U931="","",INDEX(상세표[사번],$U931)&amp;"")</f>
        <v/>
      </c>
      <c r="K931">
        <f>IF($U931="","",INDEX(상세표[성명],$U931)&amp;"")</f>
        <v/>
      </c>
      <c r="L931">
        <f>IF($U931="","",INDEX(상세표[직위],$U931)&amp;"")</f>
        <v/>
      </c>
      <c r="M931">
        <f>IF($U931="","",IF(ISNUMBER(INDEX(상세표[근무일자],$U931)),TEXT(INDEX(상세표[근무일자],$U931),"yyyy-mm-dd"),INDEX(상세표[근무일자],$U931)&amp;""))</f>
        <v/>
      </c>
      <c r="N931">
        <f>IF($U931="","",IF(ISNUMBER(INDEX(상세표[시작],$U931)),TEXT(INDEX(상세표[시작],$U931),"yyyy-mm-dd hh:mm"),INDEX(상세표[시작],$U931)&amp;""))</f>
        <v/>
      </c>
      <c r="O931">
        <f>IF($U931="","",IF(ISNUMBER(INDEX(상세표[종료],$U931)),TEXT(INDEX(상세표[종료],$U931),"yyyy-mm-dd hh:mm"),INDEX(상세표[종료],$U931)&amp;""))</f>
        <v/>
      </c>
      <c r="P931">
        <f>IF($U931="","",INDEX(상세표[06~07시],$U931))</f>
        <v/>
      </c>
      <c r="Q931">
        <f>IF($U931="","",INDEX(상세표[07~18시],$U931))</f>
        <v/>
      </c>
      <c r="R931">
        <f>IF($U931="","",INDEX(상세표[18~22시],$U931))</f>
        <v/>
      </c>
      <c r="S931">
        <f>IF($U931="","",INDEX(상세표[22~06시],$U931))</f>
        <v/>
      </c>
      <c r="T931">
        <f>IF($U931="","",INDEX(상세표[기록 시간외],$U931))</f>
        <v/>
      </c>
      <c r="U931" s="4">
        <f>IFERROR(MATCH(926,상세표[발송순번],0),"")</f>
        <v/>
      </c>
    </row>
    <row r="932">
      <c r="J932">
        <f>IF($U932="","",INDEX(상세표[사번],$U932)&amp;"")</f>
        <v/>
      </c>
      <c r="K932">
        <f>IF($U932="","",INDEX(상세표[성명],$U932)&amp;"")</f>
        <v/>
      </c>
      <c r="L932">
        <f>IF($U932="","",INDEX(상세표[직위],$U932)&amp;"")</f>
        <v/>
      </c>
      <c r="M932">
        <f>IF($U932="","",IF(ISNUMBER(INDEX(상세표[근무일자],$U932)),TEXT(INDEX(상세표[근무일자],$U932),"yyyy-mm-dd"),INDEX(상세표[근무일자],$U932)&amp;""))</f>
        <v/>
      </c>
      <c r="N932">
        <f>IF($U932="","",IF(ISNUMBER(INDEX(상세표[시작],$U932)),TEXT(INDEX(상세표[시작],$U932),"yyyy-mm-dd hh:mm"),INDEX(상세표[시작],$U932)&amp;""))</f>
        <v/>
      </c>
      <c r="O932">
        <f>IF($U932="","",IF(ISNUMBER(INDEX(상세표[종료],$U932)),TEXT(INDEX(상세표[종료],$U932),"yyyy-mm-dd hh:mm"),INDEX(상세표[종료],$U932)&amp;""))</f>
        <v/>
      </c>
      <c r="P932">
        <f>IF($U932="","",INDEX(상세표[06~07시],$U932))</f>
        <v/>
      </c>
      <c r="Q932">
        <f>IF($U932="","",INDEX(상세표[07~18시],$U932))</f>
        <v/>
      </c>
      <c r="R932">
        <f>IF($U932="","",INDEX(상세표[18~22시],$U932))</f>
        <v/>
      </c>
      <c r="S932">
        <f>IF($U932="","",INDEX(상세표[22~06시],$U932))</f>
        <v/>
      </c>
      <c r="T932">
        <f>IF($U932="","",INDEX(상세표[기록 시간외],$U932))</f>
        <v/>
      </c>
      <c r="U932" s="4">
        <f>IFERROR(MATCH(927,상세표[발송순번],0),"")</f>
        <v/>
      </c>
    </row>
    <row r="933">
      <c r="J933">
        <f>IF($U933="","",INDEX(상세표[사번],$U933)&amp;"")</f>
        <v/>
      </c>
      <c r="K933">
        <f>IF($U933="","",INDEX(상세표[성명],$U933)&amp;"")</f>
        <v/>
      </c>
      <c r="L933">
        <f>IF($U933="","",INDEX(상세표[직위],$U933)&amp;"")</f>
        <v/>
      </c>
      <c r="M933">
        <f>IF($U933="","",IF(ISNUMBER(INDEX(상세표[근무일자],$U933)),TEXT(INDEX(상세표[근무일자],$U933),"yyyy-mm-dd"),INDEX(상세표[근무일자],$U933)&amp;""))</f>
        <v/>
      </c>
      <c r="N933">
        <f>IF($U933="","",IF(ISNUMBER(INDEX(상세표[시작],$U933)),TEXT(INDEX(상세표[시작],$U933),"yyyy-mm-dd hh:mm"),INDEX(상세표[시작],$U933)&amp;""))</f>
        <v/>
      </c>
      <c r="O933">
        <f>IF($U933="","",IF(ISNUMBER(INDEX(상세표[종료],$U933)),TEXT(INDEX(상세표[종료],$U933),"yyyy-mm-dd hh:mm"),INDEX(상세표[종료],$U933)&amp;""))</f>
        <v/>
      </c>
      <c r="P933">
        <f>IF($U933="","",INDEX(상세표[06~07시],$U933))</f>
        <v/>
      </c>
      <c r="Q933">
        <f>IF($U933="","",INDEX(상세표[07~18시],$U933))</f>
        <v/>
      </c>
      <c r="R933">
        <f>IF($U933="","",INDEX(상세표[18~22시],$U933))</f>
        <v/>
      </c>
      <c r="S933">
        <f>IF($U933="","",INDEX(상세표[22~06시],$U933))</f>
        <v/>
      </c>
      <c r="T933">
        <f>IF($U933="","",INDEX(상세표[기록 시간외],$U933))</f>
        <v/>
      </c>
      <c r="U933" s="4">
        <f>IFERROR(MATCH(928,상세표[발송순번],0),"")</f>
        <v/>
      </c>
    </row>
    <row r="934">
      <c r="J934">
        <f>IF($U934="","",INDEX(상세표[사번],$U934)&amp;"")</f>
        <v/>
      </c>
      <c r="K934">
        <f>IF($U934="","",INDEX(상세표[성명],$U934)&amp;"")</f>
        <v/>
      </c>
      <c r="L934">
        <f>IF($U934="","",INDEX(상세표[직위],$U934)&amp;"")</f>
        <v/>
      </c>
      <c r="M934">
        <f>IF($U934="","",IF(ISNUMBER(INDEX(상세표[근무일자],$U934)),TEXT(INDEX(상세표[근무일자],$U934),"yyyy-mm-dd"),INDEX(상세표[근무일자],$U934)&amp;""))</f>
        <v/>
      </c>
      <c r="N934">
        <f>IF($U934="","",IF(ISNUMBER(INDEX(상세표[시작],$U934)),TEXT(INDEX(상세표[시작],$U934),"yyyy-mm-dd hh:mm"),INDEX(상세표[시작],$U934)&amp;""))</f>
        <v/>
      </c>
      <c r="O934">
        <f>IF($U934="","",IF(ISNUMBER(INDEX(상세표[종료],$U934)),TEXT(INDEX(상세표[종료],$U934),"yyyy-mm-dd hh:mm"),INDEX(상세표[종료],$U934)&amp;""))</f>
        <v/>
      </c>
      <c r="P934">
        <f>IF($U934="","",INDEX(상세표[06~07시],$U934))</f>
        <v/>
      </c>
      <c r="Q934">
        <f>IF($U934="","",INDEX(상세표[07~18시],$U934))</f>
        <v/>
      </c>
      <c r="R934">
        <f>IF($U934="","",INDEX(상세표[18~22시],$U934))</f>
        <v/>
      </c>
      <c r="S934">
        <f>IF($U934="","",INDEX(상세표[22~06시],$U934))</f>
        <v/>
      </c>
      <c r="T934">
        <f>IF($U934="","",INDEX(상세표[기록 시간외],$U934))</f>
        <v/>
      </c>
      <c r="U934" s="4">
        <f>IFERROR(MATCH(929,상세표[발송순번],0),"")</f>
        <v/>
      </c>
    </row>
    <row r="935">
      <c r="J935">
        <f>IF($U935="","",INDEX(상세표[사번],$U935)&amp;"")</f>
        <v/>
      </c>
      <c r="K935">
        <f>IF($U935="","",INDEX(상세표[성명],$U935)&amp;"")</f>
        <v/>
      </c>
      <c r="L935">
        <f>IF($U935="","",INDEX(상세표[직위],$U935)&amp;"")</f>
        <v/>
      </c>
      <c r="M935">
        <f>IF($U935="","",IF(ISNUMBER(INDEX(상세표[근무일자],$U935)),TEXT(INDEX(상세표[근무일자],$U935),"yyyy-mm-dd"),INDEX(상세표[근무일자],$U935)&amp;""))</f>
        <v/>
      </c>
      <c r="N935">
        <f>IF($U935="","",IF(ISNUMBER(INDEX(상세표[시작],$U935)),TEXT(INDEX(상세표[시작],$U935),"yyyy-mm-dd hh:mm"),INDEX(상세표[시작],$U935)&amp;""))</f>
        <v/>
      </c>
      <c r="O935">
        <f>IF($U935="","",IF(ISNUMBER(INDEX(상세표[종료],$U935)),TEXT(INDEX(상세표[종료],$U935),"yyyy-mm-dd hh:mm"),INDEX(상세표[종료],$U935)&amp;""))</f>
        <v/>
      </c>
      <c r="P935">
        <f>IF($U935="","",INDEX(상세표[06~07시],$U935))</f>
        <v/>
      </c>
      <c r="Q935">
        <f>IF($U935="","",INDEX(상세표[07~18시],$U935))</f>
        <v/>
      </c>
      <c r="R935">
        <f>IF($U935="","",INDEX(상세표[18~22시],$U935))</f>
        <v/>
      </c>
      <c r="S935">
        <f>IF($U935="","",INDEX(상세표[22~06시],$U935))</f>
        <v/>
      </c>
      <c r="T935">
        <f>IF($U935="","",INDEX(상세표[기록 시간외],$U935))</f>
        <v/>
      </c>
      <c r="U935" s="4">
        <f>IFERROR(MATCH(930,상세표[발송순번],0),"")</f>
        <v/>
      </c>
    </row>
    <row r="936">
      <c r="J936">
        <f>IF($U936="","",INDEX(상세표[사번],$U936)&amp;"")</f>
        <v/>
      </c>
      <c r="K936">
        <f>IF($U936="","",INDEX(상세표[성명],$U936)&amp;"")</f>
        <v/>
      </c>
      <c r="L936">
        <f>IF($U936="","",INDEX(상세표[직위],$U936)&amp;"")</f>
        <v/>
      </c>
      <c r="M936">
        <f>IF($U936="","",IF(ISNUMBER(INDEX(상세표[근무일자],$U936)),TEXT(INDEX(상세표[근무일자],$U936),"yyyy-mm-dd"),INDEX(상세표[근무일자],$U936)&amp;""))</f>
        <v/>
      </c>
      <c r="N936">
        <f>IF($U936="","",IF(ISNUMBER(INDEX(상세표[시작],$U936)),TEXT(INDEX(상세표[시작],$U936),"yyyy-mm-dd hh:mm"),INDEX(상세표[시작],$U936)&amp;""))</f>
        <v/>
      </c>
      <c r="O936">
        <f>IF($U936="","",IF(ISNUMBER(INDEX(상세표[종료],$U936)),TEXT(INDEX(상세표[종료],$U936),"yyyy-mm-dd hh:mm"),INDEX(상세표[종료],$U936)&amp;""))</f>
        <v/>
      </c>
      <c r="P936">
        <f>IF($U936="","",INDEX(상세표[06~07시],$U936))</f>
        <v/>
      </c>
      <c r="Q936">
        <f>IF($U936="","",INDEX(상세표[07~18시],$U936))</f>
        <v/>
      </c>
      <c r="R936">
        <f>IF($U936="","",INDEX(상세표[18~22시],$U936))</f>
        <v/>
      </c>
      <c r="S936">
        <f>IF($U936="","",INDEX(상세표[22~06시],$U936))</f>
        <v/>
      </c>
      <c r="T936">
        <f>IF($U936="","",INDEX(상세표[기록 시간외],$U936))</f>
        <v/>
      </c>
      <c r="U936" s="4">
        <f>IFERROR(MATCH(931,상세표[발송순번],0),"")</f>
        <v/>
      </c>
    </row>
    <row r="937">
      <c r="J937">
        <f>IF($U937="","",INDEX(상세표[사번],$U937)&amp;"")</f>
        <v/>
      </c>
      <c r="K937">
        <f>IF($U937="","",INDEX(상세표[성명],$U937)&amp;"")</f>
        <v/>
      </c>
      <c r="L937">
        <f>IF($U937="","",INDEX(상세표[직위],$U937)&amp;"")</f>
        <v/>
      </c>
      <c r="M937">
        <f>IF($U937="","",IF(ISNUMBER(INDEX(상세표[근무일자],$U937)),TEXT(INDEX(상세표[근무일자],$U937),"yyyy-mm-dd"),INDEX(상세표[근무일자],$U937)&amp;""))</f>
        <v/>
      </c>
      <c r="N937">
        <f>IF($U937="","",IF(ISNUMBER(INDEX(상세표[시작],$U937)),TEXT(INDEX(상세표[시작],$U937),"yyyy-mm-dd hh:mm"),INDEX(상세표[시작],$U937)&amp;""))</f>
        <v/>
      </c>
      <c r="O937">
        <f>IF($U937="","",IF(ISNUMBER(INDEX(상세표[종료],$U937)),TEXT(INDEX(상세표[종료],$U937),"yyyy-mm-dd hh:mm"),INDEX(상세표[종료],$U937)&amp;""))</f>
        <v/>
      </c>
      <c r="P937">
        <f>IF($U937="","",INDEX(상세표[06~07시],$U937))</f>
        <v/>
      </c>
      <c r="Q937">
        <f>IF($U937="","",INDEX(상세표[07~18시],$U937))</f>
        <v/>
      </c>
      <c r="R937">
        <f>IF($U937="","",INDEX(상세표[18~22시],$U937))</f>
        <v/>
      </c>
      <c r="S937">
        <f>IF($U937="","",INDEX(상세표[22~06시],$U937))</f>
        <v/>
      </c>
      <c r="T937">
        <f>IF($U937="","",INDEX(상세표[기록 시간외],$U937))</f>
        <v/>
      </c>
      <c r="U937" s="4">
        <f>IFERROR(MATCH(932,상세표[발송순번],0),"")</f>
        <v/>
      </c>
    </row>
    <row r="938">
      <c r="J938">
        <f>IF($U938="","",INDEX(상세표[사번],$U938)&amp;"")</f>
        <v/>
      </c>
      <c r="K938">
        <f>IF($U938="","",INDEX(상세표[성명],$U938)&amp;"")</f>
        <v/>
      </c>
      <c r="L938">
        <f>IF($U938="","",INDEX(상세표[직위],$U938)&amp;"")</f>
        <v/>
      </c>
      <c r="M938">
        <f>IF($U938="","",IF(ISNUMBER(INDEX(상세표[근무일자],$U938)),TEXT(INDEX(상세표[근무일자],$U938),"yyyy-mm-dd"),INDEX(상세표[근무일자],$U938)&amp;""))</f>
        <v/>
      </c>
      <c r="N938">
        <f>IF($U938="","",IF(ISNUMBER(INDEX(상세표[시작],$U938)),TEXT(INDEX(상세표[시작],$U938),"yyyy-mm-dd hh:mm"),INDEX(상세표[시작],$U938)&amp;""))</f>
        <v/>
      </c>
      <c r="O938">
        <f>IF($U938="","",IF(ISNUMBER(INDEX(상세표[종료],$U938)),TEXT(INDEX(상세표[종료],$U938),"yyyy-mm-dd hh:mm"),INDEX(상세표[종료],$U938)&amp;""))</f>
        <v/>
      </c>
      <c r="P938">
        <f>IF($U938="","",INDEX(상세표[06~07시],$U938))</f>
        <v/>
      </c>
      <c r="Q938">
        <f>IF($U938="","",INDEX(상세표[07~18시],$U938))</f>
        <v/>
      </c>
      <c r="R938">
        <f>IF($U938="","",INDEX(상세표[18~22시],$U938))</f>
        <v/>
      </c>
      <c r="S938">
        <f>IF($U938="","",INDEX(상세표[22~06시],$U938))</f>
        <v/>
      </c>
      <c r="T938">
        <f>IF($U938="","",INDEX(상세표[기록 시간외],$U938))</f>
        <v/>
      </c>
      <c r="U938" s="4">
        <f>IFERROR(MATCH(933,상세표[발송순번],0),"")</f>
        <v/>
      </c>
    </row>
    <row r="939">
      <c r="J939">
        <f>IF($U939="","",INDEX(상세표[사번],$U939)&amp;"")</f>
        <v/>
      </c>
      <c r="K939">
        <f>IF($U939="","",INDEX(상세표[성명],$U939)&amp;"")</f>
        <v/>
      </c>
      <c r="L939">
        <f>IF($U939="","",INDEX(상세표[직위],$U939)&amp;"")</f>
        <v/>
      </c>
      <c r="M939">
        <f>IF($U939="","",IF(ISNUMBER(INDEX(상세표[근무일자],$U939)),TEXT(INDEX(상세표[근무일자],$U939),"yyyy-mm-dd"),INDEX(상세표[근무일자],$U939)&amp;""))</f>
        <v/>
      </c>
      <c r="N939">
        <f>IF($U939="","",IF(ISNUMBER(INDEX(상세표[시작],$U939)),TEXT(INDEX(상세표[시작],$U939),"yyyy-mm-dd hh:mm"),INDEX(상세표[시작],$U939)&amp;""))</f>
        <v/>
      </c>
      <c r="O939">
        <f>IF($U939="","",IF(ISNUMBER(INDEX(상세표[종료],$U939)),TEXT(INDEX(상세표[종료],$U939),"yyyy-mm-dd hh:mm"),INDEX(상세표[종료],$U939)&amp;""))</f>
        <v/>
      </c>
      <c r="P939">
        <f>IF($U939="","",INDEX(상세표[06~07시],$U939))</f>
        <v/>
      </c>
      <c r="Q939">
        <f>IF($U939="","",INDEX(상세표[07~18시],$U939))</f>
        <v/>
      </c>
      <c r="R939">
        <f>IF($U939="","",INDEX(상세표[18~22시],$U939))</f>
        <v/>
      </c>
      <c r="S939">
        <f>IF($U939="","",INDEX(상세표[22~06시],$U939))</f>
        <v/>
      </c>
      <c r="T939">
        <f>IF($U939="","",INDEX(상세표[기록 시간외],$U939))</f>
        <v/>
      </c>
      <c r="U939" s="4">
        <f>IFERROR(MATCH(934,상세표[발송순번],0),"")</f>
        <v/>
      </c>
    </row>
    <row r="940">
      <c r="J940">
        <f>IF($U940="","",INDEX(상세표[사번],$U940)&amp;"")</f>
        <v/>
      </c>
      <c r="K940">
        <f>IF($U940="","",INDEX(상세표[성명],$U940)&amp;"")</f>
        <v/>
      </c>
      <c r="L940">
        <f>IF($U940="","",INDEX(상세표[직위],$U940)&amp;"")</f>
        <v/>
      </c>
      <c r="M940">
        <f>IF($U940="","",IF(ISNUMBER(INDEX(상세표[근무일자],$U940)),TEXT(INDEX(상세표[근무일자],$U940),"yyyy-mm-dd"),INDEX(상세표[근무일자],$U940)&amp;""))</f>
        <v/>
      </c>
      <c r="N940">
        <f>IF($U940="","",IF(ISNUMBER(INDEX(상세표[시작],$U940)),TEXT(INDEX(상세표[시작],$U940),"yyyy-mm-dd hh:mm"),INDEX(상세표[시작],$U940)&amp;""))</f>
        <v/>
      </c>
      <c r="O940">
        <f>IF($U940="","",IF(ISNUMBER(INDEX(상세표[종료],$U940)),TEXT(INDEX(상세표[종료],$U940),"yyyy-mm-dd hh:mm"),INDEX(상세표[종료],$U940)&amp;""))</f>
        <v/>
      </c>
      <c r="P940">
        <f>IF($U940="","",INDEX(상세표[06~07시],$U940))</f>
        <v/>
      </c>
      <c r="Q940">
        <f>IF($U940="","",INDEX(상세표[07~18시],$U940))</f>
        <v/>
      </c>
      <c r="R940">
        <f>IF($U940="","",INDEX(상세표[18~22시],$U940))</f>
        <v/>
      </c>
      <c r="S940">
        <f>IF($U940="","",INDEX(상세표[22~06시],$U940))</f>
        <v/>
      </c>
      <c r="T940">
        <f>IF($U940="","",INDEX(상세표[기록 시간외],$U940))</f>
        <v/>
      </c>
      <c r="U940" s="4">
        <f>IFERROR(MATCH(935,상세표[발송순번],0),"")</f>
        <v/>
      </c>
    </row>
    <row r="941">
      <c r="J941">
        <f>IF($U941="","",INDEX(상세표[사번],$U941)&amp;"")</f>
        <v/>
      </c>
      <c r="K941">
        <f>IF($U941="","",INDEX(상세표[성명],$U941)&amp;"")</f>
        <v/>
      </c>
      <c r="L941">
        <f>IF($U941="","",INDEX(상세표[직위],$U941)&amp;"")</f>
        <v/>
      </c>
      <c r="M941">
        <f>IF($U941="","",IF(ISNUMBER(INDEX(상세표[근무일자],$U941)),TEXT(INDEX(상세표[근무일자],$U941),"yyyy-mm-dd"),INDEX(상세표[근무일자],$U941)&amp;""))</f>
        <v/>
      </c>
      <c r="N941">
        <f>IF($U941="","",IF(ISNUMBER(INDEX(상세표[시작],$U941)),TEXT(INDEX(상세표[시작],$U941),"yyyy-mm-dd hh:mm"),INDEX(상세표[시작],$U941)&amp;""))</f>
        <v/>
      </c>
      <c r="O941">
        <f>IF($U941="","",IF(ISNUMBER(INDEX(상세표[종료],$U941)),TEXT(INDEX(상세표[종료],$U941),"yyyy-mm-dd hh:mm"),INDEX(상세표[종료],$U941)&amp;""))</f>
        <v/>
      </c>
      <c r="P941">
        <f>IF($U941="","",INDEX(상세표[06~07시],$U941))</f>
        <v/>
      </c>
      <c r="Q941">
        <f>IF($U941="","",INDEX(상세표[07~18시],$U941))</f>
        <v/>
      </c>
      <c r="R941">
        <f>IF($U941="","",INDEX(상세표[18~22시],$U941))</f>
        <v/>
      </c>
      <c r="S941">
        <f>IF($U941="","",INDEX(상세표[22~06시],$U941))</f>
        <v/>
      </c>
      <c r="T941">
        <f>IF($U941="","",INDEX(상세표[기록 시간외],$U941))</f>
        <v/>
      </c>
      <c r="U941" s="4">
        <f>IFERROR(MATCH(936,상세표[발송순번],0),"")</f>
        <v/>
      </c>
    </row>
    <row r="942">
      <c r="J942">
        <f>IF($U942="","",INDEX(상세표[사번],$U942)&amp;"")</f>
        <v/>
      </c>
      <c r="K942">
        <f>IF($U942="","",INDEX(상세표[성명],$U942)&amp;"")</f>
        <v/>
      </c>
      <c r="L942">
        <f>IF($U942="","",INDEX(상세표[직위],$U942)&amp;"")</f>
        <v/>
      </c>
      <c r="M942">
        <f>IF($U942="","",IF(ISNUMBER(INDEX(상세표[근무일자],$U942)),TEXT(INDEX(상세표[근무일자],$U942),"yyyy-mm-dd"),INDEX(상세표[근무일자],$U942)&amp;""))</f>
        <v/>
      </c>
      <c r="N942">
        <f>IF($U942="","",IF(ISNUMBER(INDEX(상세표[시작],$U942)),TEXT(INDEX(상세표[시작],$U942),"yyyy-mm-dd hh:mm"),INDEX(상세표[시작],$U942)&amp;""))</f>
        <v/>
      </c>
      <c r="O942">
        <f>IF($U942="","",IF(ISNUMBER(INDEX(상세표[종료],$U942)),TEXT(INDEX(상세표[종료],$U942),"yyyy-mm-dd hh:mm"),INDEX(상세표[종료],$U942)&amp;""))</f>
        <v/>
      </c>
      <c r="P942">
        <f>IF($U942="","",INDEX(상세표[06~07시],$U942))</f>
        <v/>
      </c>
      <c r="Q942">
        <f>IF($U942="","",INDEX(상세표[07~18시],$U942))</f>
        <v/>
      </c>
      <c r="R942">
        <f>IF($U942="","",INDEX(상세표[18~22시],$U942))</f>
        <v/>
      </c>
      <c r="S942">
        <f>IF($U942="","",INDEX(상세표[22~06시],$U942))</f>
        <v/>
      </c>
      <c r="T942">
        <f>IF($U942="","",INDEX(상세표[기록 시간외],$U942))</f>
        <v/>
      </c>
      <c r="U942" s="4">
        <f>IFERROR(MATCH(937,상세표[발송순번],0),"")</f>
        <v/>
      </c>
    </row>
    <row r="943">
      <c r="J943">
        <f>IF($U943="","",INDEX(상세표[사번],$U943)&amp;"")</f>
        <v/>
      </c>
      <c r="K943">
        <f>IF($U943="","",INDEX(상세표[성명],$U943)&amp;"")</f>
        <v/>
      </c>
      <c r="L943">
        <f>IF($U943="","",INDEX(상세표[직위],$U943)&amp;"")</f>
        <v/>
      </c>
      <c r="M943">
        <f>IF($U943="","",IF(ISNUMBER(INDEX(상세표[근무일자],$U943)),TEXT(INDEX(상세표[근무일자],$U943),"yyyy-mm-dd"),INDEX(상세표[근무일자],$U943)&amp;""))</f>
        <v/>
      </c>
      <c r="N943">
        <f>IF($U943="","",IF(ISNUMBER(INDEX(상세표[시작],$U943)),TEXT(INDEX(상세표[시작],$U943),"yyyy-mm-dd hh:mm"),INDEX(상세표[시작],$U943)&amp;""))</f>
        <v/>
      </c>
      <c r="O943">
        <f>IF($U943="","",IF(ISNUMBER(INDEX(상세표[종료],$U943)),TEXT(INDEX(상세표[종료],$U943),"yyyy-mm-dd hh:mm"),INDEX(상세표[종료],$U943)&amp;""))</f>
        <v/>
      </c>
      <c r="P943">
        <f>IF($U943="","",INDEX(상세표[06~07시],$U943))</f>
        <v/>
      </c>
      <c r="Q943">
        <f>IF($U943="","",INDEX(상세표[07~18시],$U943))</f>
        <v/>
      </c>
      <c r="R943">
        <f>IF($U943="","",INDEX(상세표[18~22시],$U943))</f>
        <v/>
      </c>
      <c r="S943">
        <f>IF($U943="","",INDEX(상세표[22~06시],$U943))</f>
        <v/>
      </c>
      <c r="T943">
        <f>IF($U943="","",INDEX(상세표[기록 시간외],$U943))</f>
        <v/>
      </c>
      <c r="U943" s="4">
        <f>IFERROR(MATCH(938,상세표[발송순번],0),"")</f>
        <v/>
      </c>
    </row>
    <row r="944">
      <c r="J944">
        <f>IF($U944="","",INDEX(상세표[사번],$U944)&amp;"")</f>
        <v/>
      </c>
      <c r="K944">
        <f>IF($U944="","",INDEX(상세표[성명],$U944)&amp;"")</f>
        <v/>
      </c>
      <c r="L944">
        <f>IF($U944="","",INDEX(상세표[직위],$U944)&amp;"")</f>
        <v/>
      </c>
      <c r="M944">
        <f>IF($U944="","",IF(ISNUMBER(INDEX(상세표[근무일자],$U944)),TEXT(INDEX(상세표[근무일자],$U944),"yyyy-mm-dd"),INDEX(상세표[근무일자],$U944)&amp;""))</f>
        <v/>
      </c>
      <c r="N944">
        <f>IF($U944="","",IF(ISNUMBER(INDEX(상세표[시작],$U944)),TEXT(INDEX(상세표[시작],$U944),"yyyy-mm-dd hh:mm"),INDEX(상세표[시작],$U944)&amp;""))</f>
        <v/>
      </c>
      <c r="O944">
        <f>IF($U944="","",IF(ISNUMBER(INDEX(상세표[종료],$U944)),TEXT(INDEX(상세표[종료],$U944),"yyyy-mm-dd hh:mm"),INDEX(상세표[종료],$U944)&amp;""))</f>
        <v/>
      </c>
      <c r="P944">
        <f>IF($U944="","",INDEX(상세표[06~07시],$U944))</f>
        <v/>
      </c>
      <c r="Q944">
        <f>IF($U944="","",INDEX(상세표[07~18시],$U944))</f>
        <v/>
      </c>
      <c r="R944">
        <f>IF($U944="","",INDEX(상세표[18~22시],$U944))</f>
        <v/>
      </c>
      <c r="S944">
        <f>IF($U944="","",INDEX(상세표[22~06시],$U944))</f>
        <v/>
      </c>
      <c r="T944">
        <f>IF($U944="","",INDEX(상세표[기록 시간외],$U944))</f>
        <v/>
      </c>
      <c r="U944" s="4">
        <f>IFERROR(MATCH(939,상세표[발송순번],0),"")</f>
        <v/>
      </c>
    </row>
    <row r="945">
      <c r="J945">
        <f>IF($U945="","",INDEX(상세표[사번],$U945)&amp;"")</f>
        <v/>
      </c>
      <c r="K945">
        <f>IF($U945="","",INDEX(상세표[성명],$U945)&amp;"")</f>
        <v/>
      </c>
      <c r="L945">
        <f>IF($U945="","",INDEX(상세표[직위],$U945)&amp;"")</f>
        <v/>
      </c>
      <c r="M945">
        <f>IF($U945="","",IF(ISNUMBER(INDEX(상세표[근무일자],$U945)),TEXT(INDEX(상세표[근무일자],$U945),"yyyy-mm-dd"),INDEX(상세표[근무일자],$U945)&amp;""))</f>
        <v/>
      </c>
      <c r="N945">
        <f>IF($U945="","",IF(ISNUMBER(INDEX(상세표[시작],$U945)),TEXT(INDEX(상세표[시작],$U945),"yyyy-mm-dd hh:mm"),INDEX(상세표[시작],$U945)&amp;""))</f>
        <v/>
      </c>
      <c r="O945">
        <f>IF($U945="","",IF(ISNUMBER(INDEX(상세표[종료],$U945)),TEXT(INDEX(상세표[종료],$U945),"yyyy-mm-dd hh:mm"),INDEX(상세표[종료],$U945)&amp;""))</f>
        <v/>
      </c>
      <c r="P945">
        <f>IF($U945="","",INDEX(상세표[06~07시],$U945))</f>
        <v/>
      </c>
      <c r="Q945">
        <f>IF($U945="","",INDEX(상세표[07~18시],$U945))</f>
        <v/>
      </c>
      <c r="R945">
        <f>IF($U945="","",INDEX(상세표[18~22시],$U945))</f>
        <v/>
      </c>
      <c r="S945">
        <f>IF($U945="","",INDEX(상세표[22~06시],$U945))</f>
        <v/>
      </c>
      <c r="T945">
        <f>IF($U945="","",INDEX(상세표[기록 시간외],$U945))</f>
        <v/>
      </c>
      <c r="U945" s="4">
        <f>IFERROR(MATCH(940,상세표[발송순번],0),"")</f>
        <v/>
      </c>
    </row>
    <row r="946">
      <c r="J946">
        <f>IF($U946="","",INDEX(상세표[사번],$U946)&amp;"")</f>
        <v/>
      </c>
      <c r="K946">
        <f>IF($U946="","",INDEX(상세표[성명],$U946)&amp;"")</f>
        <v/>
      </c>
      <c r="L946">
        <f>IF($U946="","",INDEX(상세표[직위],$U946)&amp;"")</f>
        <v/>
      </c>
      <c r="M946">
        <f>IF($U946="","",IF(ISNUMBER(INDEX(상세표[근무일자],$U946)),TEXT(INDEX(상세표[근무일자],$U946),"yyyy-mm-dd"),INDEX(상세표[근무일자],$U946)&amp;""))</f>
        <v/>
      </c>
      <c r="N946">
        <f>IF($U946="","",IF(ISNUMBER(INDEX(상세표[시작],$U946)),TEXT(INDEX(상세표[시작],$U946),"yyyy-mm-dd hh:mm"),INDEX(상세표[시작],$U946)&amp;""))</f>
        <v/>
      </c>
      <c r="O946">
        <f>IF($U946="","",IF(ISNUMBER(INDEX(상세표[종료],$U946)),TEXT(INDEX(상세표[종료],$U946),"yyyy-mm-dd hh:mm"),INDEX(상세표[종료],$U946)&amp;""))</f>
        <v/>
      </c>
      <c r="P946">
        <f>IF($U946="","",INDEX(상세표[06~07시],$U946))</f>
        <v/>
      </c>
      <c r="Q946">
        <f>IF($U946="","",INDEX(상세표[07~18시],$U946))</f>
        <v/>
      </c>
      <c r="R946">
        <f>IF($U946="","",INDEX(상세표[18~22시],$U946))</f>
        <v/>
      </c>
      <c r="S946">
        <f>IF($U946="","",INDEX(상세표[22~06시],$U946))</f>
        <v/>
      </c>
      <c r="T946">
        <f>IF($U946="","",INDEX(상세표[기록 시간외],$U946))</f>
        <v/>
      </c>
      <c r="U946" s="4">
        <f>IFERROR(MATCH(941,상세표[발송순번],0),"")</f>
        <v/>
      </c>
    </row>
    <row r="947">
      <c r="J947">
        <f>IF($U947="","",INDEX(상세표[사번],$U947)&amp;"")</f>
        <v/>
      </c>
      <c r="K947">
        <f>IF($U947="","",INDEX(상세표[성명],$U947)&amp;"")</f>
        <v/>
      </c>
      <c r="L947">
        <f>IF($U947="","",INDEX(상세표[직위],$U947)&amp;"")</f>
        <v/>
      </c>
      <c r="M947">
        <f>IF($U947="","",IF(ISNUMBER(INDEX(상세표[근무일자],$U947)),TEXT(INDEX(상세표[근무일자],$U947),"yyyy-mm-dd"),INDEX(상세표[근무일자],$U947)&amp;""))</f>
        <v/>
      </c>
      <c r="N947">
        <f>IF($U947="","",IF(ISNUMBER(INDEX(상세표[시작],$U947)),TEXT(INDEX(상세표[시작],$U947),"yyyy-mm-dd hh:mm"),INDEX(상세표[시작],$U947)&amp;""))</f>
        <v/>
      </c>
      <c r="O947">
        <f>IF($U947="","",IF(ISNUMBER(INDEX(상세표[종료],$U947)),TEXT(INDEX(상세표[종료],$U947),"yyyy-mm-dd hh:mm"),INDEX(상세표[종료],$U947)&amp;""))</f>
        <v/>
      </c>
      <c r="P947">
        <f>IF($U947="","",INDEX(상세표[06~07시],$U947))</f>
        <v/>
      </c>
      <c r="Q947">
        <f>IF($U947="","",INDEX(상세표[07~18시],$U947))</f>
        <v/>
      </c>
      <c r="R947">
        <f>IF($U947="","",INDEX(상세표[18~22시],$U947))</f>
        <v/>
      </c>
      <c r="S947">
        <f>IF($U947="","",INDEX(상세표[22~06시],$U947))</f>
        <v/>
      </c>
      <c r="T947">
        <f>IF($U947="","",INDEX(상세표[기록 시간외],$U947))</f>
        <v/>
      </c>
      <c r="U947" s="4">
        <f>IFERROR(MATCH(942,상세표[발송순번],0),"")</f>
        <v/>
      </c>
    </row>
    <row r="948">
      <c r="J948">
        <f>IF($U948="","",INDEX(상세표[사번],$U948)&amp;"")</f>
        <v/>
      </c>
      <c r="K948">
        <f>IF($U948="","",INDEX(상세표[성명],$U948)&amp;"")</f>
        <v/>
      </c>
      <c r="L948">
        <f>IF($U948="","",INDEX(상세표[직위],$U948)&amp;"")</f>
        <v/>
      </c>
      <c r="M948">
        <f>IF($U948="","",IF(ISNUMBER(INDEX(상세표[근무일자],$U948)),TEXT(INDEX(상세표[근무일자],$U948),"yyyy-mm-dd"),INDEX(상세표[근무일자],$U948)&amp;""))</f>
        <v/>
      </c>
      <c r="N948">
        <f>IF($U948="","",IF(ISNUMBER(INDEX(상세표[시작],$U948)),TEXT(INDEX(상세표[시작],$U948),"yyyy-mm-dd hh:mm"),INDEX(상세표[시작],$U948)&amp;""))</f>
        <v/>
      </c>
      <c r="O948">
        <f>IF($U948="","",IF(ISNUMBER(INDEX(상세표[종료],$U948)),TEXT(INDEX(상세표[종료],$U948),"yyyy-mm-dd hh:mm"),INDEX(상세표[종료],$U948)&amp;""))</f>
        <v/>
      </c>
      <c r="P948">
        <f>IF($U948="","",INDEX(상세표[06~07시],$U948))</f>
        <v/>
      </c>
      <c r="Q948">
        <f>IF($U948="","",INDEX(상세표[07~18시],$U948))</f>
        <v/>
      </c>
      <c r="R948">
        <f>IF($U948="","",INDEX(상세표[18~22시],$U948))</f>
        <v/>
      </c>
      <c r="S948">
        <f>IF($U948="","",INDEX(상세표[22~06시],$U948))</f>
        <v/>
      </c>
      <c r="T948">
        <f>IF($U948="","",INDEX(상세표[기록 시간외],$U948))</f>
        <v/>
      </c>
      <c r="U948" s="4">
        <f>IFERROR(MATCH(943,상세표[발송순번],0),"")</f>
        <v/>
      </c>
    </row>
    <row r="949">
      <c r="J949">
        <f>IF($U949="","",INDEX(상세표[사번],$U949)&amp;"")</f>
        <v/>
      </c>
      <c r="K949">
        <f>IF($U949="","",INDEX(상세표[성명],$U949)&amp;"")</f>
        <v/>
      </c>
      <c r="L949">
        <f>IF($U949="","",INDEX(상세표[직위],$U949)&amp;"")</f>
        <v/>
      </c>
      <c r="M949">
        <f>IF($U949="","",IF(ISNUMBER(INDEX(상세표[근무일자],$U949)),TEXT(INDEX(상세표[근무일자],$U949),"yyyy-mm-dd"),INDEX(상세표[근무일자],$U949)&amp;""))</f>
        <v/>
      </c>
      <c r="N949">
        <f>IF($U949="","",IF(ISNUMBER(INDEX(상세표[시작],$U949)),TEXT(INDEX(상세표[시작],$U949),"yyyy-mm-dd hh:mm"),INDEX(상세표[시작],$U949)&amp;""))</f>
        <v/>
      </c>
      <c r="O949">
        <f>IF($U949="","",IF(ISNUMBER(INDEX(상세표[종료],$U949)),TEXT(INDEX(상세표[종료],$U949),"yyyy-mm-dd hh:mm"),INDEX(상세표[종료],$U949)&amp;""))</f>
        <v/>
      </c>
      <c r="P949">
        <f>IF($U949="","",INDEX(상세표[06~07시],$U949))</f>
        <v/>
      </c>
      <c r="Q949">
        <f>IF($U949="","",INDEX(상세표[07~18시],$U949))</f>
        <v/>
      </c>
      <c r="R949">
        <f>IF($U949="","",INDEX(상세표[18~22시],$U949))</f>
        <v/>
      </c>
      <c r="S949">
        <f>IF($U949="","",INDEX(상세표[22~06시],$U949))</f>
        <v/>
      </c>
      <c r="T949">
        <f>IF($U949="","",INDEX(상세표[기록 시간외],$U949))</f>
        <v/>
      </c>
      <c r="U949" s="4">
        <f>IFERROR(MATCH(944,상세표[발송순번],0),"")</f>
        <v/>
      </c>
    </row>
    <row r="950">
      <c r="J950">
        <f>IF($U950="","",INDEX(상세표[사번],$U950)&amp;"")</f>
        <v/>
      </c>
      <c r="K950">
        <f>IF($U950="","",INDEX(상세표[성명],$U950)&amp;"")</f>
        <v/>
      </c>
      <c r="L950">
        <f>IF($U950="","",INDEX(상세표[직위],$U950)&amp;"")</f>
        <v/>
      </c>
      <c r="M950">
        <f>IF($U950="","",IF(ISNUMBER(INDEX(상세표[근무일자],$U950)),TEXT(INDEX(상세표[근무일자],$U950),"yyyy-mm-dd"),INDEX(상세표[근무일자],$U950)&amp;""))</f>
        <v/>
      </c>
      <c r="N950">
        <f>IF($U950="","",IF(ISNUMBER(INDEX(상세표[시작],$U950)),TEXT(INDEX(상세표[시작],$U950),"yyyy-mm-dd hh:mm"),INDEX(상세표[시작],$U950)&amp;""))</f>
        <v/>
      </c>
      <c r="O950">
        <f>IF($U950="","",IF(ISNUMBER(INDEX(상세표[종료],$U950)),TEXT(INDEX(상세표[종료],$U950),"yyyy-mm-dd hh:mm"),INDEX(상세표[종료],$U950)&amp;""))</f>
        <v/>
      </c>
      <c r="P950">
        <f>IF($U950="","",INDEX(상세표[06~07시],$U950))</f>
        <v/>
      </c>
      <c r="Q950">
        <f>IF($U950="","",INDEX(상세표[07~18시],$U950))</f>
        <v/>
      </c>
      <c r="R950">
        <f>IF($U950="","",INDEX(상세표[18~22시],$U950))</f>
        <v/>
      </c>
      <c r="S950">
        <f>IF($U950="","",INDEX(상세표[22~06시],$U950))</f>
        <v/>
      </c>
      <c r="T950">
        <f>IF($U950="","",INDEX(상세표[기록 시간외],$U950))</f>
        <v/>
      </c>
      <c r="U950" s="4">
        <f>IFERROR(MATCH(945,상세표[발송순번],0),"")</f>
        <v/>
      </c>
    </row>
    <row r="951">
      <c r="J951">
        <f>IF($U951="","",INDEX(상세표[사번],$U951)&amp;"")</f>
        <v/>
      </c>
      <c r="K951">
        <f>IF($U951="","",INDEX(상세표[성명],$U951)&amp;"")</f>
        <v/>
      </c>
      <c r="L951">
        <f>IF($U951="","",INDEX(상세표[직위],$U951)&amp;"")</f>
        <v/>
      </c>
      <c r="M951">
        <f>IF($U951="","",IF(ISNUMBER(INDEX(상세표[근무일자],$U951)),TEXT(INDEX(상세표[근무일자],$U951),"yyyy-mm-dd"),INDEX(상세표[근무일자],$U951)&amp;""))</f>
        <v/>
      </c>
      <c r="N951">
        <f>IF($U951="","",IF(ISNUMBER(INDEX(상세표[시작],$U951)),TEXT(INDEX(상세표[시작],$U951),"yyyy-mm-dd hh:mm"),INDEX(상세표[시작],$U951)&amp;""))</f>
        <v/>
      </c>
      <c r="O951">
        <f>IF($U951="","",IF(ISNUMBER(INDEX(상세표[종료],$U951)),TEXT(INDEX(상세표[종료],$U951),"yyyy-mm-dd hh:mm"),INDEX(상세표[종료],$U951)&amp;""))</f>
        <v/>
      </c>
      <c r="P951">
        <f>IF($U951="","",INDEX(상세표[06~07시],$U951))</f>
        <v/>
      </c>
      <c r="Q951">
        <f>IF($U951="","",INDEX(상세표[07~18시],$U951))</f>
        <v/>
      </c>
      <c r="R951">
        <f>IF($U951="","",INDEX(상세표[18~22시],$U951))</f>
        <v/>
      </c>
      <c r="S951">
        <f>IF($U951="","",INDEX(상세표[22~06시],$U951))</f>
        <v/>
      </c>
      <c r="T951">
        <f>IF($U951="","",INDEX(상세표[기록 시간외],$U951))</f>
        <v/>
      </c>
      <c r="U951" s="4">
        <f>IFERROR(MATCH(946,상세표[발송순번],0),"")</f>
        <v/>
      </c>
    </row>
    <row r="952">
      <c r="J952">
        <f>IF($U952="","",INDEX(상세표[사번],$U952)&amp;"")</f>
        <v/>
      </c>
      <c r="K952">
        <f>IF($U952="","",INDEX(상세표[성명],$U952)&amp;"")</f>
        <v/>
      </c>
      <c r="L952">
        <f>IF($U952="","",INDEX(상세표[직위],$U952)&amp;"")</f>
        <v/>
      </c>
      <c r="M952">
        <f>IF($U952="","",IF(ISNUMBER(INDEX(상세표[근무일자],$U952)),TEXT(INDEX(상세표[근무일자],$U952),"yyyy-mm-dd"),INDEX(상세표[근무일자],$U952)&amp;""))</f>
        <v/>
      </c>
      <c r="N952">
        <f>IF($U952="","",IF(ISNUMBER(INDEX(상세표[시작],$U952)),TEXT(INDEX(상세표[시작],$U952),"yyyy-mm-dd hh:mm"),INDEX(상세표[시작],$U952)&amp;""))</f>
        <v/>
      </c>
      <c r="O952">
        <f>IF($U952="","",IF(ISNUMBER(INDEX(상세표[종료],$U952)),TEXT(INDEX(상세표[종료],$U952),"yyyy-mm-dd hh:mm"),INDEX(상세표[종료],$U952)&amp;""))</f>
        <v/>
      </c>
      <c r="P952">
        <f>IF($U952="","",INDEX(상세표[06~07시],$U952))</f>
        <v/>
      </c>
      <c r="Q952">
        <f>IF($U952="","",INDEX(상세표[07~18시],$U952))</f>
        <v/>
      </c>
      <c r="R952">
        <f>IF($U952="","",INDEX(상세표[18~22시],$U952))</f>
        <v/>
      </c>
      <c r="S952">
        <f>IF($U952="","",INDEX(상세표[22~06시],$U952))</f>
        <v/>
      </c>
      <c r="T952">
        <f>IF($U952="","",INDEX(상세표[기록 시간외],$U952))</f>
        <v/>
      </c>
      <c r="U952" s="4">
        <f>IFERROR(MATCH(947,상세표[발송순번],0),"")</f>
        <v/>
      </c>
    </row>
    <row r="953">
      <c r="J953">
        <f>IF($U953="","",INDEX(상세표[사번],$U953)&amp;"")</f>
        <v/>
      </c>
      <c r="K953">
        <f>IF($U953="","",INDEX(상세표[성명],$U953)&amp;"")</f>
        <v/>
      </c>
      <c r="L953">
        <f>IF($U953="","",INDEX(상세표[직위],$U953)&amp;"")</f>
        <v/>
      </c>
      <c r="M953">
        <f>IF($U953="","",IF(ISNUMBER(INDEX(상세표[근무일자],$U953)),TEXT(INDEX(상세표[근무일자],$U953),"yyyy-mm-dd"),INDEX(상세표[근무일자],$U953)&amp;""))</f>
        <v/>
      </c>
      <c r="N953">
        <f>IF($U953="","",IF(ISNUMBER(INDEX(상세표[시작],$U953)),TEXT(INDEX(상세표[시작],$U953),"yyyy-mm-dd hh:mm"),INDEX(상세표[시작],$U953)&amp;""))</f>
        <v/>
      </c>
      <c r="O953">
        <f>IF($U953="","",IF(ISNUMBER(INDEX(상세표[종료],$U953)),TEXT(INDEX(상세표[종료],$U953),"yyyy-mm-dd hh:mm"),INDEX(상세표[종료],$U953)&amp;""))</f>
        <v/>
      </c>
      <c r="P953">
        <f>IF($U953="","",INDEX(상세표[06~07시],$U953))</f>
        <v/>
      </c>
      <c r="Q953">
        <f>IF($U953="","",INDEX(상세표[07~18시],$U953))</f>
        <v/>
      </c>
      <c r="R953">
        <f>IF($U953="","",INDEX(상세표[18~22시],$U953))</f>
        <v/>
      </c>
      <c r="S953">
        <f>IF($U953="","",INDEX(상세표[22~06시],$U953))</f>
        <v/>
      </c>
      <c r="T953">
        <f>IF($U953="","",INDEX(상세표[기록 시간외],$U953))</f>
        <v/>
      </c>
      <c r="U953" s="4">
        <f>IFERROR(MATCH(948,상세표[발송순번],0),"")</f>
        <v/>
      </c>
    </row>
    <row r="954">
      <c r="J954">
        <f>IF($U954="","",INDEX(상세표[사번],$U954)&amp;"")</f>
        <v/>
      </c>
      <c r="K954">
        <f>IF($U954="","",INDEX(상세표[성명],$U954)&amp;"")</f>
        <v/>
      </c>
      <c r="L954">
        <f>IF($U954="","",INDEX(상세표[직위],$U954)&amp;"")</f>
        <v/>
      </c>
      <c r="M954">
        <f>IF($U954="","",IF(ISNUMBER(INDEX(상세표[근무일자],$U954)),TEXT(INDEX(상세표[근무일자],$U954),"yyyy-mm-dd"),INDEX(상세표[근무일자],$U954)&amp;""))</f>
        <v/>
      </c>
      <c r="N954">
        <f>IF($U954="","",IF(ISNUMBER(INDEX(상세표[시작],$U954)),TEXT(INDEX(상세표[시작],$U954),"yyyy-mm-dd hh:mm"),INDEX(상세표[시작],$U954)&amp;""))</f>
        <v/>
      </c>
      <c r="O954">
        <f>IF($U954="","",IF(ISNUMBER(INDEX(상세표[종료],$U954)),TEXT(INDEX(상세표[종료],$U954),"yyyy-mm-dd hh:mm"),INDEX(상세표[종료],$U954)&amp;""))</f>
        <v/>
      </c>
      <c r="P954">
        <f>IF($U954="","",INDEX(상세표[06~07시],$U954))</f>
        <v/>
      </c>
      <c r="Q954">
        <f>IF($U954="","",INDEX(상세표[07~18시],$U954))</f>
        <v/>
      </c>
      <c r="R954">
        <f>IF($U954="","",INDEX(상세표[18~22시],$U954))</f>
        <v/>
      </c>
      <c r="S954">
        <f>IF($U954="","",INDEX(상세표[22~06시],$U954))</f>
        <v/>
      </c>
      <c r="T954">
        <f>IF($U954="","",INDEX(상세표[기록 시간외],$U954))</f>
        <v/>
      </c>
      <c r="U954" s="4">
        <f>IFERROR(MATCH(949,상세표[발송순번],0),"")</f>
        <v/>
      </c>
    </row>
    <row r="955">
      <c r="J955">
        <f>IF($U955="","",INDEX(상세표[사번],$U955)&amp;"")</f>
        <v/>
      </c>
      <c r="K955">
        <f>IF($U955="","",INDEX(상세표[성명],$U955)&amp;"")</f>
        <v/>
      </c>
      <c r="L955">
        <f>IF($U955="","",INDEX(상세표[직위],$U955)&amp;"")</f>
        <v/>
      </c>
      <c r="M955">
        <f>IF($U955="","",IF(ISNUMBER(INDEX(상세표[근무일자],$U955)),TEXT(INDEX(상세표[근무일자],$U955),"yyyy-mm-dd"),INDEX(상세표[근무일자],$U955)&amp;""))</f>
        <v/>
      </c>
      <c r="N955">
        <f>IF($U955="","",IF(ISNUMBER(INDEX(상세표[시작],$U955)),TEXT(INDEX(상세표[시작],$U955),"yyyy-mm-dd hh:mm"),INDEX(상세표[시작],$U955)&amp;""))</f>
        <v/>
      </c>
      <c r="O955">
        <f>IF($U955="","",IF(ISNUMBER(INDEX(상세표[종료],$U955)),TEXT(INDEX(상세표[종료],$U955),"yyyy-mm-dd hh:mm"),INDEX(상세표[종료],$U955)&amp;""))</f>
        <v/>
      </c>
      <c r="P955">
        <f>IF($U955="","",INDEX(상세표[06~07시],$U955))</f>
        <v/>
      </c>
      <c r="Q955">
        <f>IF($U955="","",INDEX(상세표[07~18시],$U955))</f>
        <v/>
      </c>
      <c r="R955">
        <f>IF($U955="","",INDEX(상세표[18~22시],$U955))</f>
        <v/>
      </c>
      <c r="S955">
        <f>IF($U955="","",INDEX(상세표[22~06시],$U955))</f>
        <v/>
      </c>
      <c r="T955">
        <f>IF($U955="","",INDEX(상세표[기록 시간외],$U955))</f>
        <v/>
      </c>
      <c r="U955" s="4">
        <f>IFERROR(MATCH(950,상세표[발송순번],0),"")</f>
        <v/>
      </c>
    </row>
    <row r="956">
      <c r="J956">
        <f>IF($U956="","",INDEX(상세표[사번],$U956)&amp;"")</f>
        <v/>
      </c>
      <c r="K956">
        <f>IF($U956="","",INDEX(상세표[성명],$U956)&amp;"")</f>
        <v/>
      </c>
      <c r="L956">
        <f>IF($U956="","",INDEX(상세표[직위],$U956)&amp;"")</f>
        <v/>
      </c>
      <c r="M956">
        <f>IF($U956="","",IF(ISNUMBER(INDEX(상세표[근무일자],$U956)),TEXT(INDEX(상세표[근무일자],$U956),"yyyy-mm-dd"),INDEX(상세표[근무일자],$U956)&amp;""))</f>
        <v/>
      </c>
      <c r="N956">
        <f>IF($U956="","",IF(ISNUMBER(INDEX(상세표[시작],$U956)),TEXT(INDEX(상세표[시작],$U956),"yyyy-mm-dd hh:mm"),INDEX(상세표[시작],$U956)&amp;""))</f>
        <v/>
      </c>
      <c r="O956">
        <f>IF($U956="","",IF(ISNUMBER(INDEX(상세표[종료],$U956)),TEXT(INDEX(상세표[종료],$U956),"yyyy-mm-dd hh:mm"),INDEX(상세표[종료],$U956)&amp;""))</f>
        <v/>
      </c>
      <c r="P956">
        <f>IF($U956="","",INDEX(상세표[06~07시],$U956))</f>
        <v/>
      </c>
      <c r="Q956">
        <f>IF($U956="","",INDEX(상세표[07~18시],$U956))</f>
        <v/>
      </c>
      <c r="R956">
        <f>IF($U956="","",INDEX(상세표[18~22시],$U956))</f>
        <v/>
      </c>
      <c r="S956">
        <f>IF($U956="","",INDEX(상세표[22~06시],$U956))</f>
        <v/>
      </c>
      <c r="T956">
        <f>IF($U956="","",INDEX(상세표[기록 시간외],$U956))</f>
        <v/>
      </c>
      <c r="U956" s="4">
        <f>IFERROR(MATCH(951,상세표[발송순번],0),"")</f>
        <v/>
      </c>
    </row>
    <row r="957">
      <c r="J957">
        <f>IF($U957="","",INDEX(상세표[사번],$U957)&amp;"")</f>
        <v/>
      </c>
      <c r="K957">
        <f>IF($U957="","",INDEX(상세표[성명],$U957)&amp;"")</f>
        <v/>
      </c>
      <c r="L957">
        <f>IF($U957="","",INDEX(상세표[직위],$U957)&amp;"")</f>
        <v/>
      </c>
      <c r="M957">
        <f>IF($U957="","",IF(ISNUMBER(INDEX(상세표[근무일자],$U957)),TEXT(INDEX(상세표[근무일자],$U957),"yyyy-mm-dd"),INDEX(상세표[근무일자],$U957)&amp;""))</f>
        <v/>
      </c>
      <c r="N957">
        <f>IF($U957="","",IF(ISNUMBER(INDEX(상세표[시작],$U957)),TEXT(INDEX(상세표[시작],$U957),"yyyy-mm-dd hh:mm"),INDEX(상세표[시작],$U957)&amp;""))</f>
        <v/>
      </c>
      <c r="O957">
        <f>IF($U957="","",IF(ISNUMBER(INDEX(상세표[종료],$U957)),TEXT(INDEX(상세표[종료],$U957),"yyyy-mm-dd hh:mm"),INDEX(상세표[종료],$U957)&amp;""))</f>
        <v/>
      </c>
      <c r="P957">
        <f>IF($U957="","",INDEX(상세표[06~07시],$U957))</f>
        <v/>
      </c>
      <c r="Q957">
        <f>IF($U957="","",INDEX(상세표[07~18시],$U957))</f>
        <v/>
      </c>
      <c r="R957">
        <f>IF($U957="","",INDEX(상세표[18~22시],$U957))</f>
        <v/>
      </c>
      <c r="S957">
        <f>IF($U957="","",INDEX(상세표[22~06시],$U957))</f>
        <v/>
      </c>
      <c r="T957">
        <f>IF($U957="","",INDEX(상세표[기록 시간외],$U957))</f>
        <v/>
      </c>
      <c r="U957" s="4">
        <f>IFERROR(MATCH(952,상세표[발송순번],0),"")</f>
        <v/>
      </c>
    </row>
    <row r="958">
      <c r="J958">
        <f>IF($U958="","",INDEX(상세표[사번],$U958)&amp;"")</f>
        <v/>
      </c>
      <c r="K958">
        <f>IF($U958="","",INDEX(상세표[성명],$U958)&amp;"")</f>
        <v/>
      </c>
      <c r="L958">
        <f>IF($U958="","",INDEX(상세표[직위],$U958)&amp;"")</f>
        <v/>
      </c>
      <c r="M958">
        <f>IF($U958="","",IF(ISNUMBER(INDEX(상세표[근무일자],$U958)),TEXT(INDEX(상세표[근무일자],$U958),"yyyy-mm-dd"),INDEX(상세표[근무일자],$U958)&amp;""))</f>
        <v/>
      </c>
      <c r="N958">
        <f>IF($U958="","",IF(ISNUMBER(INDEX(상세표[시작],$U958)),TEXT(INDEX(상세표[시작],$U958),"yyyy-mm-dd hh:mm"),INDEX(상세표[시작],$U958)&amp;""))</f>
        <v/>
      </c>
      <c r="O958">
        <f>IF($U958="","",IF(ISNUMBER(INDEX(상세표[종료],$U958)),TEXT(INDEX(상세표[종료],$U958),"yyyy-mm-dd hh:mm"),INDEX(상세표[종료],$U958)&amp;""))</f>
        <v/>
      </c>
      <c r="P958">
        <f>IF($U958="","",INDEX(상세표[06~07시],$U958))</f>
        <v/>
      </c>
      <c r="Q958">
        <f>IF($U958="","",INDEX(상세표[07~18시],$U958))</f>
        <v/>
      </c>
      <c r="R958">
        <f>IF($U958="","",INDEX(상세표[18~22시],$U958))</f>
        <v/>
      </c>
      <c r="S958">
        <f>IF($U958="","",INDEX(상세표[22~06시],$U958))</f>
        <v/>
      </c>
      <c r="T958">
        <f>IF($U958="","",INDEX(상세표[기록 시간외],$U958))</f>
        <v/>
      </c>
      <c r="U958" s="4">
        <f>IFERROR(MATCH(953,상세표[발송순번],0),"")</f>
        <v/>
      </c>
    </row>
    <row r="959">
      <c r="J959">
        <f>IF($U959="","",INDEX(상세표[사번],$U959)&amp;"")</f>
        <v/>
      </c>
      <c r="K959">
        <f>IF($U959="","",INDEX(상세표[성명],$U959)&amp;"")</f>
        <v/>
      </c>
      <c r="L959">
        <f>IF($U959="","",INDEX(상세표[직위],$U959)&amp;"")</f>
        <v/>
      </c>
      <c r="M959">
        <f>IF($U959="","",IF(ISNUMBER(INDEX(상세표[근무일자],$U959)),TEXT(INDEX(상세표[근무일자],$U959),"yyyy-mm-dd"),INDEX(상세표[근무일자],$U959)&amp;""))</f>
        <v/>
      </c>
      <c r="N959">
        <f>IF($U959="","",IF(ISNUMBER(INDEX(상세표[시작],$U959)),TEXT(INDEX(상세표[시작],$U959),"yyyy-mm-dd hh:mm"),INDEX(상세표[시작],$U959)&amp;""))</f>
        <v/>
      </c>
      <c r="O959">
        <f>IF($U959="","",IF(ISNUMBER(INDEX(상세표[종료],$U959)),TEXT(INDEX(상세표[종료],$U959),"yyyy-mm-dd hh:mm"),INDEX(상세표[종료],$U959)&amp;""))</f>
        <v/>
      </c>
      <c r="P959">
        <f>IF($U959="","",INDEX(상세표[06~07시],$U959))</f>
        <v/>
      </c>
      <c r="Q959">
        <f>IF($U959="","",INDEX(상세표[07~18시],$U959))</f>
        <v/>
      </c>
      <c r="R959">
        <f>IF($U959="","",INDEX(상세표[18~22시],$U959))</f>
        <v/>
      </c>
      <c r="S959">
        <f>IF($U959="","",INDEX(상세표[22~06시],$U959))</f>
        <v/>
      </c>
      <c r="T959">
        <f>IF($U959="","",INDEX(상세표[기록 시간외],$U959))</f>
        <v/>
      </c>
      <c r="U959" s="4">
        <f>IFERROR(MATCH(954,상세표[발송순번],0),"")</f>
        <v/>
      </c>
    </row>
    <row r="960">
      <c r="J960">
        <f>IF($U960="","",INDEX(상세표[사번],$U960)&amp;"")</f>
        <v/>
      </c>
      <c r="K960">
        <f>IF($U960="","",INDEX(상세표[성명],$U960)&amp;"")</f>
        <v/>
      </c>
      <c r="L960">
        <f>IF($U960="","",INDEX(상세표[직위],$U960)&amp;"")</f>
        <v/>
      </c>
      <c r="M960">
        <f>IF($U960="","",IF(ISNUMBER(INDEX(상세표[근무일자],$U960)),TEXT(INDEX(상세표[근무일자],$U960),"yyyy-mm-dd"),INDEX(상세표[근무일자],$U960)&amp;""))</f>
        <v/>
      </c>
      <c r="N960">
        <f>IF($U960="","",IF(ISNUMBER(INDEX(상세표[시작],$U960)),TEXT(INDEX(상세표[시작],$U960),"yyyy-mm-dd hh:mm"),INDEX(상세표[시작],$U960)&amp;""))</f>
        <v/>
      </c>
      <c r="O960">
        <f>IF($U960="","",IF(ISNUMBER(INDEX(상세표[종료],$U960)),TEXT(INDEX(상세표[종료],$U960),"yyyy-mm-dd hh:mm"),INDEX(상세표[종료],$U960)&amp;""))</f>
        <v/>
      </c>
      <c r="P960">
        <f>IF($U960="","",INDEX(상세표[06~07시],$U960))</f>
        <v/>
      </c>
      <c r="Q960">
        <f>IF($U960="","",INDEX(상세표[07~18시],$U960))</f>
        <v/>
      </c>
      <c r="R960">
        <f>IF($U960="","",INDEX(상세표[18~22시],$U960))</f>
        <v/>
      </c>
      <c r="S960">
        <f>IF($U960="","",INDEX(상세표[22~06시],$U960))</f>
        <v/>
      </c>
      <c r="T960">
        <f>IF($U960="","",INDEX(상세표[기록 시간외],$U960))</f>
        <v/>
      </c>
      <c r="U960" s="4">
        <f>IFERROR(MATCH(955,상세표[발송순번],0),"")</f>
        <v/>
      </c>
    </row>
    <row r="961">
      <c r="J961">
        <f>IF($U961="","",INDEX(상세표[사번],$U961)&amp;"")</f>
        <v/>
      </c>
      <c r="K961">
        <f>IF($U961="","",INDEX(상세표[성명],$U961)&amp;"")</f>
        <v/>
      </c>
      <c r="L961">
        <f>IF($U961="","",INDEX(상세표[직위],$U961)&amp;"")</f>
        <v/>
      </c>
      <c r="M961">
        <f>IF($U961="","",IF(ISNUMBER(INDEX(상세표[근무일자],$U961)),TEXT(INDEX(상세표[근무일자],$U961),"yyyy-mm-dd"),INDEX(상세표[근무일자],$U961)&amp;""))</f>
        <v/>
      </c>
      <c r="N961">
        <f>IF($U961="","",IF(ISNUMBER(INDEX(상세표[시작],$U961)),TEXT(INDEX(상세표[시작],$U961),"yyyy-mm-dd hh:mm"),INDEX(상세표[시작],$U961)&amp;""))</f>
        <v/>
      </c>
      <c r="O961">
        <f>IF($U961="","",IF(ISNUMBER(INDEX(상세표[종료],$U961)),TEXT(INDEX(상세표[종료],$U961),"yyyy-mm-dd hh:mm"),INDEX(상세표[종료],$U961)&amp;""))</f>
        <v/>
      </c>
      <c r="P961">
        <f>IF($U961="","",INDEX(상세표[06~07시],$U961))</f>
        <v/>
      </c>
      <c r="Q961">
        <f>IF($U961="","",INDEX(상세표[07~18시],$U961))</f>
        <v/>
      </c>
      <c r="R961">
        <f>IF($U961="","",INDEX(상세표[18~22시],$U961))</f>
        <v/>
      </c>
      <c r="S961">
        <f>IF($U961="","",INDEX(상세표[22~06시],$U961))</f>
        <v/>
      </c>
      <c r="T961">
        <f>IF($U961="","",INDEX(상세표[기록 시간외],$U961))</f>
        <v/>
      </c>
      <c r="U961" s="4">
        <f>IFERROR(MATCH(956,상세표[발송순번],0),"")</f>
        <v/>
      </c>
    </row>
    <row r="962">
      <c r="J962">
        <f>IF($U962="","",INDEX(상세표[사번],$U962)&amp;"")</f>
        <v/>
      </c>
      <c r="K962">
        <f>IF($U962="","",INDEX(상세표[성명],$U962)&amp;"")</f>
        <v/>
      </c>
      <c r="L962">
        <f>IF($U962="","",INDEX(상세표[직위],$U962)&amp;"")</f>
        <v/>
      </c>
      <c r="M962">
        <f>IF($U962="","",IF(ISNUMBER(INDEX(상세표[근무일자],$U962)),TEXT(INDEX(상세표[근무일자],$U962),"yyyy-mm-dd"),INDEX(상세표[근무일자],$U962)&amp;""))</f>
        <v/>
      </c>
      <c r="N962">
        <f>IF($U962="","",IF(ISNUMBER(INDEX(상세표[시작],$U962)),TEXT(INDEX(상세표[시작],$U962),"yyyy-mm-dd hh:mm"),INDEX(상세표[시작],$U962)&amp;""))</f>
        <v/>
      </c>
      <c r="O962">
        <f>IF($U962="","",IF(ISNUMBER(INDEX(상세표[종료],$U962)),TEXT(INDEX(상세표[종료],$U962),"yyyy-mm-dd hh:mm"),INDEX(상세표[종료],$U962)&amp;""))</f>
        <v/>
      </c>
      <c r="P962">
        <f>IF($U962="","",INDEX(상세표[06~07시],$U962))</f>
        <v/>
      </c>
      <c r="Q962">
        <f>IF($U962="","",INDEX(상세표[07~18시],$U962))</f>
        <v/>
      </c>
      <c r="R962">
        <f>IF($U962="","",INDEX(상세표[18~22시],$U962))</f>
        <v/>
      </c>
      <c r="S962">
        <f>IF($U962="","",INDEX(상세표[22~06시],$U962))</f>
        <v/>
      </c>
      <c r="T962">
        <f>IF($U962="","",INDEX(상세표[기록 시간외],$U962))</f>
        <v/>
      </c>
      <c r="U962" s="4">
        <f>IFERROR(MATCH(957,상세표[발송순번],0),"")</f>
        <v/>
      </c>
    </row>
    <row r="963">
      <c r="J963">
        <f>IF($U963="","",INDEX(상세표[사번],$U963)&amp;"")</f>
        <v/>
      </c>
      <c r="K963">
        <f>IF($U963="","",INDEX(상세표[성명],$U963)&amp;"")</f>
        <v/>
      </c>
      <c r="L963">
        <f>IF($U963="","",INDEX(상세표[직위],$U963)&amp;"")</f>
        <v/>
      </c>
      <c r="M963">
        <f>IF($U963="","",IF(ISNUMBER(INDEX(상세표[근무일자],$U963)),TEXT(INDEX(상세표[근무일자],$U963),"yyyy-mm-dd"),INDEX(상세표[근무일자],$U963)&amp;""))</f>
        <v/>
      </c>
      <c r="N963">
        <f>IF($U963="","",IF(ISNUMBER(INDEX(상세표[시작],$U963)),TEXT(INDEX(상세표[시작],$U963),"yyyy-mm-dd hh:mm"),INDEX(상세표[시작],$U963)&amp;""))</f>
        <v/>
      </c>
      <c r="O963">
        <f>IF($U963="","",IF(ISNUMBER(INDEX(상세표[종료],$U963)),TEXT(INDEX(상세표[종료],$U963),"yyyy-mm-dd hh:mm"),INDEX(상세표[종료],$U963)&amp;""))</f>
        <v/>
      </c>
      <c r="P963">
        <f>IF($U963="","",INDEX(상세표[06~07시],$U963))</f>
        <v/>
      </c>
      <c r="Q963">
        <f>IF($U963="","",INDEX(상세표[07~18시],$U963))</f>
        <v/>
      </c>
      <c r="R963">
        <f>IF($U963="","",INDEX(상세표[18~22시],$U963))</f>
        <v/>
      </c>
      <c r="S963">
        <f>IF($U963="","",INDEX(상세표[22~06시],$U963))</f>
        <v/>
      </c>
      <c r="T963">
        <f>IF($U963="","",INDEX(상세표[기록 시간외],$U963))</f>
        <v/>
      </c>
      <c r="U963" s="4">
        <f>IFERROR(MATCH(958,상세표[발송순번],0),"")</f>
        <v/>
      </c>
    </row>
    <row r="964">
      <c r="J964">
        <f>IF($U964="","",INDEX(상세표[사번],$U964)&amp;"")</f>
        <v/>
      </c>
      <c r="K964">
        <f>IF($U964="","",INDEX(상세표[성명],$U964)&amp;"")</f>
        <v/>
      </c>
      <c r="L964">
        <f>IF($U964="","",INDEX(상세표[직위],$U964)&amp;"")</f>
        <v/>
      </c>
      <c r="M964">
        <f>IF($U964="","",IF(ISNUMBER(INDEX(상세표[근무일자],$U964)),TEXT(INDEX(상세표[근무일자],$U964),"yyyy-mm-dd"),INDEX(상세표[근무일자],$U964)&amp;""))</f>
        <v/>
      </c>
      <c r="N964">
        <f>IF($U964="","",IF(ISNUMBER(INDEX(상세표[시작],$U964)),TEXT(INDEX(상세표[시작],$U964),"yyyy-mm-dd hh:mm"),INDEX(상세표[시작],$U964)&amp;""))</f>
        <v/>
      </c>
      <c r="O964">
        <f>IF($U964="","",IF(ISNUMBER(INDEX(상세표[종료],$U964)),TEXT(INDEX(상세표[종료],$U964),"yyyy-mm-dd hh:mm"),INDEX(상세표[종료],$U964)&amp;""))</f>
        <v/>
      </c>
      <c r="P964">
        <f>IF($U964="","",INDEX(상세표[06~07시],$U964))</f>
        <v/>
      </c>
      <c r="Q964">
        <f>IF($U964="","",INDEX(상세표[07~18시],$U964))</f>
        <v/>
      </c>
      <c r="R964">
        <f>IF($U964="","",INDEX(상세표[18~22시],$U964))</f>
        <v/>
      </c>
      <c r="S964">
        <f>IF($U964="","",INDEX(상세표[22~06시],$U964))</f>
        <v/>
      </c>
      <c r="T964">
        <f>IF($U964="","",INDEX(상세표[기록 시간외],$U964))</f>
        <v/>
      </c>
      <c r="U964" s="4">
        <f>IFERROR(MATCH(959,상세표[발송순번],0),"")</f>
        <v/>
      </c>
    </row>
    <row r="965">
      <c r="J965">
        <f>IF($U965="","",INDEX(상세표[사번],$U965)&amp;"")</f>
        <v/>
      </c>
      <c r="K965">
        <f>IF($U965="","",INDEX(상세표[성명],$U965)&amp;"")</f>
        <v/>
      </c>
      <c r="L965">
        <f>IF($U965="","",INDEX(상세표[직위],$U965)&amp;"")</f>
        <v/>
      </c>
      <c r="M965">
        <f>IF($U965="","",IF(ISNUMBER(INDEX(상세표[근무일자],$U965)),TEXT(INDEX(상세표[근무일자],$U965),"yyyy-mm-dd"),INDEX(상세표[근무일자],$U965)&amp;""))</f>
        <v/>
      </c>
      <c r="N965">
        <f>IF($U965="","",IF(ISNUMBER(INDEX(상세표[시작],$U965)),TEXT(INDEX(상세표[시작],$U965),"yyyy-mm-dd hh:mm"),INDEX(상세표[시작],$U965)&amp;""))</f>
        <v/>
      </c>
      <c r="O965">
        <f>IF($U965="","",IF(ISNUMBER(INDEX(상세표[종료],$U965)),TEXT(INDEX(상세표[종료],$U965),"yyyy-mm-dd hh:mm"),INDEX(상세표[종료],$U965)&amp;""))</f>
        <v/>
      </c>
      <c r="P965">
        <f>IF($U965="","",INDEX(상세표[06~07시],$U965))</f>
        <v/>
      </c>
      <c r="Q965">
        <f>IF($U965="","",INDEX(상세표[07~18시],$U965))</f>
        <v/>
      </c>
      <c r="R965">
        <f>IF($U965="","",INDEX(상세표[18~22시],$U965))</f>
        <v/>
      </c>
      <c r="S965">
        <f>IF($U965="","",INDEX(상세표[22~06시],$U965))</f>
        <v/>
      </c>
      <c r="T965">
        <f>IF($U965="","",INDEX(상세표[기록 시간외],$U965))</f>
        <v/>
      </c>
      <c r="U965" s="4">
        <f>IFERROR(MATCH(960,상세표[발송순번],0),"")</f>
        <v/>
      </c>
    </row>
    <row r="966">
      <c r="J966">
        <f>IF($U966="","",INDEX(상세표[사번],$U966)&amp;"")</f>
        <v/>
      </c>
      <c r="K966">
        <f>IF($U966="","",INDEX(상세표[성명],$U966)&amp;"")</f>
        <v/>
      </c>
      <c r="L966">
        <f>IF($U966="","",INDEX(상세표[직위],$U966)&amp;"")</f>
        <v/>
      </c>
      <c r="M966">
        <f>IF($U966="","",IF(ISNUMBER(INDEX(상세표[근무일자],$U966)),TEXT(INDEX(상세표[근무일자],$U966),"yyyy-mm-dd"),INDEX(상세표[근무일자],$U966)&amp;""))</f>
        <v/>
      </c>
      <c r="N966">
        <f>IF($U966="","",IF(ISNUMBER(INDEX(상세표[시작],$U966)),TEXT(INDEX(상세표[시작],$U966),"yyyy-mm-dd hh:mm"),INDEX(상세표[시작],$U966)&amp;""))</f>
        <v/>
      </c>
      <c r="O966">
        <f>IF($U966="","",IF(ISNUMBER(INDEX(상세표[종료],$U966)),TEXT(INDEX(상세표[종료],$U966),"yyyy-mm-dd hh:mm"),INDEX(상세표[종료],$U966)&amp;""))</f>
        <v/>
      </c>
      <c r="P966">
        <f>IF($U966="","",INDEX(상세표[06~07시],$U966))</f>
        <v/>
      </c>
      <c r="Q966">
        <f>IF($U966="","",INDEX(상세표[07~18시],$U966))</f>
        <v/>
      </c>
      <c r="R966">
        <f>IF($U966="","",INDEX(상세표[18~22시],$U966))</f>
        <v/>
      </c>
      <c r="S966">
        <f>IF($U966="","",INDEX(상세표[22~06시],$U966))</f>
        <v/>
      </c>
      <c r="T966">
        <f>IF($U966="","",INDEX(상세표[기록 시간외],$U966))</f>
        <v/>
      </c>
      <c r="U966" s="4">
        <f>IFERROR(MATCH(961,상세표[발송순번],0),"")</f>
        <v/>
      </c>
    </row>
    <row r="967">
      <c r="J967">
        <f>IF($U967="","",INDEX(상세표[사번],$U967)&amp;"")</f>
        <v/>
      </c>
      <c r="K967">
        <f>IF($U967="","",INDEX(상세표[성명],$U967)&amp;"")</f>
        <v/>
      </c>
      <c r="L967">
        <f>IF($U967="","",INDEX(상세표[직위],$U967)&amp;"")</f>
        <v/>
      </c>
      <c r="M967">
        <f>IF($U967="","",IF(ISNUMBER(INDEX(상세표[근무일자],$U967)),TEXT(INDEX(상세표[근무일자],$U967),"yyyy-mm-dd"),INDEX(상세표[근무일자],$U967)&amp;""))</f>
        <v/>
      </c>
      <c r="N967">
        <f>IF($U967="","",IF(ISNUMBER(INDEX(상세표[시작],$U967)),TEXT(INDEX(상세표[시작],$U967),"yyyy-mm-dd hh:mm"),INDEX(상세표[시작],$U967)&amp;""))</f>
        <v/>
      </c>
      <c r="O967">
        <f>IF($U967="","",IF(ISNUMBER(INDEX(상세표[종료],$U967)),TEXT(INDEX(상세표[종료],$U967),"yyyy-mm-dd hh:mm"),INDEX(상세표[종료],$U967)&amp;""))</f>
        <v/>
      </c>
      <c r="P967">
        <f>IF($U967="","",INDEX(상세표[06~07시],$U967))</f>
        <v/>
      </c>
      <c r="Q967">
        <f>IF($U967="","",INDEX(상세표[07~18시],$U967))</f>
        <v/>
      </c>
      <c r="R967">
        <f>IF($U967="","",INDEX(상세표[18~22시],$U967))</f>
        <v/>
      </c>
      <c r="S967">
        <f>IF($U967="","",INDEX(상세표[22~06시],$U967))</f>
        <v/>
      </c>
      <c r="T967">
        <f>IF($U967="","",INDEX(상세표[기록 시간외],$U967))</f>
        <v/>
      </c>
      <c r="U967" s="4">
        <f>IFERROR(MATCH(962,상세표[발송순번],0),"")</f>
        <v/>
      </c>
    </row>
    <row r="968">
      <c r="J968">
        <f>IF($U968="","",INDEX(상세표[사번],$U968)&amp;"")</f>
        <v/>
      </c>
      <c r="K968">
        <f>IF($U968="","",INDEX(상세표[성명],$U968)&amp;"")</f>
        <v/>
      </c>
      <c r="L968">
        <f>IF($U968="","",INDEX(상세표[직위],$U968)&amp;"")</f>
        <v/>
      </c>
      <c r="M968">
        <f>IF($U968="","",IF(ISNUMBER(INDEX(상세표[근무일자],$U968)),TEXT(INDEX(상세표[근무일자],$U968),"yyyy-mm-dd"),INDEX(상세표[근무일자],$U968)&amp;""))</f>
        <v/>
      </c>
      <c r="N968">
        <f>IF($U968="","",IF(ISNUMBER(INDEX(상세표[시작],$U968)),TEXT(INDEX(상세표[시작],$U968),"yyyy-mm-dd hh:mm"),INDEX(상세표[시작],$U968)&amp;""))</f>
        <v/>
      </c>
      <c r="O968">
        <f>IF($U968="","",IF(ISNUMBER(INDEX(상세표[종료],$U968)),TEXT(INDEX(상세표[종료],$U968),"yyyy-mm-dd hh:mm"),INDEX(상세표[종료],$U968)&amp;""))</f>
        <v/>
      </c>
      <c r="P968">
        <f>IF($U968="","",INDEX(상세표[06~07시],$U968))</f>
        <v/>
      </c>
      <c r="Q968">
        <f>IF($U968="","",INDEX(상세표[07~18시],$U968))</f>
        <v/>
      </c>
      <c r="R968">
        <f>IF($U968="","",INDEX(상세표[18~22시],$U968))</f>
        <v/>
      </c>
      <c r="S968">
        <f>IF($U968="","",INDEX(상세표[22~06시],$U968))</f>
        <v/>
      </c>
      <c r="T968">
        <f>IF($U968="","",INDEX(상세표[기록 시간외],$U968))</f>
        <v/>
      </c>
      <c r="U968" s="4">
        <f>IFERROR(MATCH(963,상세표[발송순번],0),"")</f>
        <v/>
      </c>
    </row>
    <row r="969">
      <c r="J969">
        <f>IF($U969="","",INDEX(상세표[사번],$U969)&amp;"")</f>
        <v/>
      </c>
      <c r="K969">
        <f>IF($U969="","",INDEX(상세표[성명],$U969)&amp;"")</f>
        <v/>
      </c>
      <c r="L969">
        <f>IF($U969="","",INDEX(상세표[직위],$U969)&amp;"")</f>
        <v/>
      </c>
      <c r="M969">
        <f>IF($U969="","",IF(ISNUMBER(INDEX(상세표[근무일자],$U969)),TEXT(INDEX(상세표[근무일자],$U969),"yyyy-mm-dd"),INDEX(상세표[근무일자],$U969)&amp;""))</f>
        <v/>
      </c>
      <c r="N969">
        <f>IF($U969="","",IF(ISNUMBER(INDEX(상세표[시작],$U969)),TEXT(INDEX(상세표[시작],$U969),"yyyy-mm-dd hh:mm"),INDEX(상세표[시작],$U969)&amp;""))</f>
        <v/>
      </c>
      <c r="O969">
        <f>IF($U969="","",IF(ISNUMBER(INDEX(상세표[종료],$U969)),TEXT(INDEX(상세표[종료],$U969),"yyyy-mm-dd hh:mm"),INDEX(상세표[종료],$U969)&amp;""))</f>
        <v/>
      </c>
      <c r="P969">
        <f>IF($U969="","",INDEX(상세표[06~07시],$U969))</f>
        <v/>
      </c>
      <c r="Q969">
        <f>IF($U969="","",INDEX(상세표[07~18시],$U969))</f>
        <v/>
      </c>
      <c r="R969">
        <f>IF($U969="","",INDEX(상세표[18~22시],$U969))</f>
        <v/>
      </c>
      <c r="S969">
        <f>IF($U969="","",INDEX(상세표[22~06시],$U969))</f>
        <v/>
      </c>
      <c r="T969">
        <f>IF($U969="","",INDEX(상세표[기록 시간외],$U969))</f>
        <v/>
      </c>
      <c r="U969" s="4">
        <f>IFERROR(MATCH(964,상세표[발송순번],0),"")</f>
        <v/>
      </c>
    </row>
    <row r="970">
      <c r="J970">
        <f>IF($U970="","",INDEX(상세표[사번],$U970)&amp;"")</f>
        <v/>
      </c>
      <c r="K970">
        <f>IF($U970="","",INDEX(상세표[성명],$U970)&amp;"")</f>
        <v/>
      </c>
      <c r="L970">
        <f>IF($U970="","",INDEX(상세표[직위],$U970)&amp;"")</f>
        <v/>
      </c>
      <c r="M970">
        <f>IF($U970="","",IF(ISNUMBER(INDEX(상세표[근무일자],$U970)),TEXT(INDEX(상세표[근무일자],$U970),"yyyy-mm-dd"),INDEX(상세표[근무일자],$U970)&amp;""))</f>
        <v/>
      </c>
      <c r="N970">
        <f>IF($U970="","",IF(ISNUMBER(INDEX(상세표[시작],$U970)),TEXT(INDEX(상세표[시작],$U970),"yyyy-mm-dd hh:mm"),INDEX(상세표[시작],$U970)&amp;""))</f>
        <v/>
      </c>
      <c r="O970">
        <f>IF($U970="","",IF(ISNUMBER(INDEX(상세표[종료],$U970)),TEXT(INDEX(상세표[종료],$U970),"yyyy-mm-dd hh:mm"),INDEX(상세표[종료],$U970)&amp;""))</f>
        <v/>
      </c>
      <c r="P970">
        <f>IF($U970="","",INDEX(상세표[06~07시],$U970))</f>
        <v/>
      </c>
      <c r="Q970">
        <f>IF($U970="","",INDEX(상세표[07~18시],$U970))</f>
        <v/>
      </c>
      <c r="R970">
        <f>IF($U970="","",INDEX(상세표[18~22시],$U970))</f>
        <v/>
      </c>
      <c r="S970">
        <f>IF($U970="","",INDEX(상세표[22~06시],$U970))</f>
        <v/>
      </c>
      <c r="T970">
        <f>IF($U970="","",INDEX(상세표[기록 시간외],$U970))</f>
        <v/>
      </c>
      <c r="U970" s="4">
        <f>IFERROR(MATCH(965,상세표[발송순번],0),"")</f>
        <v/>
      </c>
    </row>
    <row r="971">
      <c r="J971">
        <f>IF($U971="","",INDEX(상세표[사번],$U971)&amp;"")</f>
        <v/>
      </c>
      <c r="K971">
        <f>IF($U971="","",INDEX(상세표[성명],$U971)&amp;"")</f>
        <v/>
      </c>
      <c r="L971">
        <f>IF($U971="","",INDEX(상세표[직위],$U971)&amp;"")</f>
        <v/>
      </c>
      <c r="M971">
        <f>IF($U971="","",IF(ISNUMBER(INDEX(상세표[근무일자],$U971)),TEXT(INDEX(상세표[근무일자],$U971),"yyyy-mm-dd"),INDEX(상세표[근무일자],$U971)&amp;""))</f>
        <v/>
      </c>
      <c r="N971">
        <f>IF($U971="","",IF(ISNUMBER(INDEX(상세표[시작],$U971)),TEXT(INDEX(상세표[시작],$U971),"yyyy-mm-dd hh:mm"),INDEX(상세표[시작],$U971)&amp;""))</f>
        <v/>
      </c>
      <c r="O971">
        <f>IF($U971="","",IF(ISNUMBER(INDEX(상세표[종료],$U971)),TEXT(INDEX(상세표[종료],$U971),"yyyy-mm-dd hh:mm"),INDEX(상세표[종료],$U971)&amp;""))</f>
        <v/>
      </c>
      <c r="P971">
        <f>IF($U971="","",INDEX(상세표[06~07시],$U971))</f>
        <v/>
      </c>
      <c r="Q971">
        <f>IF($U971="","",INDEX(상세표[07~18시],$U971))</f>
        <v/>
      </c>
      <c r="R971">
        <f>IF($U971="","",INDEX(상세표[18~22시],$U971))</f>
        <v/>
      </c>
      <c r="S971">
        <f>IF($U971="","",INDEX(상세표[22~06시],$U971))</f>
        <v/>
      </c>
      <c r="T971">
        <f>IF($U971="","",INDEX(상세표[기록 시간외],$U971))</f>
        <v/>
      </c>
      <c r="U971" s="4">
        <f>IFERROR(MATCH(966,상세표[발송순번],0),"")</f>
        <v/>
      </c>
    </row>
    <row r="972">
      <c r="J972">
        <f>IF($U972="","",INDEX(상세표[사번],$U972)&amp;"")</f>
        <v/>
      </c>
      <c r="K972">
        <f>IF($U972="","",INDEX(상세표[성명],$U972)&amp;"")</f>
        <v/>
      </c>
      <c r="L972">
        <f>IF($U972="","",INDEX(상세표[직위],$U972)&amp;"")</f>
        <v/>
      </c>
      <c r="M972">
        <f>IF($U972="","",IF(ISNUMBER(INDEX(상세표[근무일자],$U972)),TEXT(INDEX(상세표[근무일자],$U972),"yyyy-mm-dd"),INDEX(상세표[근무일자],$U972)&amp;""))</f>
        <v/>
      </c>
      <c r="N972">
        <f>IF($U972="","",IF(ISNUMBER(INDEX(상세표[시작],$U972)),TEXT(INDEX(상세표[시작],$U972),"yyyy-mm-dd hh:mm"),INDEX(상세표[시작],$U972)&amp;""))</f>
        <v/>
      </c>
      <c r="O972">
        <f>IF($U972="","",IF(ISNUMBER(INDEX(상세표[종료],$U972)),TEXT(INDEX(상세표[종료],$U972),"yyyy-mm-dd hh:mm"),INDEX(상세표[종료],$U972)&amp;""))</f>
        <v/>
      </c>
      <c r="P972">
        <f>IF($U972="","",INDEX(상세표[06~07시],$U972))</f>
        <v/>
      </c>
      <c r="Q972">
        <f>IF($U972="","",INDEX(상세표[07~18시],$U972))</f>
        <v/>
      </c>
      <c r="R972">
        <f>IF($U972="","",INDEX(상세표[18~22시],$U972))</f>
        <v/>
      </c>
      <c r="S972">
        <f>IF($U972="","",INDEX(상세표[22~06시],$U972))</f>
        <v/>
      </c>
      <c r="T972">
        <f>IF($U972="","",INDEX(상세표[기록 시간외],$U972))</f>
        <v/>
      </c>
      <c r="U972" s="4">
        <f>IFERROR(MATCH(967,상세표[발송순번],0),"")</f>
        <v/>
      </c>
    </row>
    <row r="973">
      <c r="J973">
        <f>IF($U973="","",INDEX(상세표[사번],$U973)&amp;"")</f>
        <v/>
      </c>
      <c r="K973">
        <f>IF($U973="","",INDEX(상세표[성명],$U973)&amp;"")</f>
        <v/>
      </c>
      <c r="L973">
        <f>IF($U973="","",INDEX(상세표[직위],$U973)&amp;"")</f>
        <v/>
      </c>
      <c r="M973">
        <f>IF($U973="","",IF(ISNUMBER(INDEX(상세표[근무일자],$U973)),TEXT(INDEX(상세표[근무일자],$U973),"yyyy-mm-dd"),INDEX(상세표[근무일자],$U973)&amp;""))</f>
        <v/>
      </c>
      <c r="N973">
        <f>IF($U973="","",IF(ISNUMBER(INDEX(상세표[시작],$U973)),TEXT(INDEX(상세표[시작],$U973),"yyyy-mm-dd hh:mm"),INDEX(상세표[시작],$U973)&amp;""))</f>
        <v/>
      </c>
      <c r="O973">
        <f>IF($U973="","",IF(ISNUMBER(INDEX(상세표[종료],$U973)),TEXT(INDEX(상세표[종료],$U973),"yyyy-mm-dd hh:mm"),INDEX(상세표[종료],$U973)&amp;""))</f>
        <v/>
      </c>
      <c r="P973">
        <f>IF($U973="","",INDEX(상세표[06~07시],$U973))</f>
        <v/>
      </c>
      <c r="Q973">
        <f>IF($U973="","",INDEX(상세표[07~18시],$U973))</f>
        <v/>
      </c>
      <c r="R973">
        <f>IF($U973="","",INDEX(상세표[18~22시],$U973))</f>
        <v/>
      </c>
      <c r="S973">
        <f>IF($U973="","",INDEX(상세표[22~06시],$U973))</f>
        <v/>
      </c>
      <c r="T973">
        <f>IF($U973="","",INDEX(상세표[기록 시간외],$U973))</f>
        <v/>
      </c>
      <c r="U973" s="4">
        <f>IFERROR(MATCH(968,상세표[발송순번],0),"")</f>
        <v/>
      </c>
    </row>
    <row r="974">
      <c r="J974">
        <f>IF($U974="","",INDEX(상세표[사번],$U974)&amp;"")</f>
        <v/>
      </c>
      <c r="K974">
        <f>IF($U974="","",INDEX(상세표[성명],$U974)&amp;"")</f>
        <v/>
      </c>
      <c r="L974">
        <f>IF($U974="","",INDEX(상세표[직위],$U974)&amp;"")</f>
        <v/>
      </c>
      <c r="M974">
        <f>IF($U974="","",IF(ISNUMBER(INDEX(상세표[근무일자],$U974)),TEXT(INDEX(상세표[근무일자],$U974),"yyyy-mm-dd"),INDEX(상세표[근무일자],$U974)&amp;""))</f>
        <v/>
      </c>
      <c r="N974">
        <f>IF($U974="","",IF(ISNUMBER(INDEX(상세표[시작],$U974)),TEXT(INDEX(상세표[시작],$U974),"yyyy-mm-dd hh:mm"),INDEX(상세표[시작],$U974)&amp;""))</f>
        <v/>
      </c>
      <c r="O974">
        <f>IF($U974="","",IF(ISNUMBER(INDEX(상세표[종료],$U974)),TEXT(INDEX(상세표[종료],$U974),"yyyy-mm-dd hh:mm"),INDEX(상세표[종료],$U974)&amp;""))</f>
        <v/>
      </c>
      <c r="P974">
        <f>IF($U974="","",INDEX(상세표[06~07시],$U974))</f>
        <v/>
      </c>
      <c r="Q974">
        <f>IF($U974="","",INDEX(상세표[07~18시],$U974))</f>
        <v/>
      </c>
      <c r="R974">
        <f>IF($U974="","",INDEX(상세표[18~22시],$U974))</f>
        <v/>
      </c>
      <c r="S974">
        <f>IF($U974="","",INDEX(상세표[22~06시],$U974))</f>
        <v/>
      </c>
      <c r="T974">
        <f>IF($U974="","",INDEX(상세표[기록 시간외],$U974))</f>
        <v/>
      </c>
      <c r="U974" s="4">
        <f>IFERROR(MATCH(969,상세표[발송순번],0),"")</f>
        <v/>
      </c>
    </row>
    <row r="975">
      <c r="J975">
        <f>IF($U975="","",INDEX(상세표[사번],$U975)&amp;"")</f>
        <v/>
      </c>
      <c r="K975">
        <f>IF($U975="","",INDEX(상세표[성명],$U975)&amp;"")</f>
        <v/>
      </c>
      <c r="L975">
        <f>IF($U975="","",INDEX(상세표[직위],$U975)&amp;"")</f>
        <v/>
      </c>
      <c r="M975">
        <f>IF($U975="","",IF(ISNUMBER(INDEX(상세표[근무일자],$U975)),TEXT(INDEX(상세표[근무일자],$U975),"yyyy-mm-dd"),INDEX(상세표[근무일자],$U975)&amp;""))</f>
        <v/>
      </c>
      <c r="N975">
        <f>IF($U975="","",IF(ISNUMBER(INDEX(상세표[시작],$U975)),TEXT(INDEX(상세표[시작],$U975),"yyyy-mm-dd hh:mm"),INDEX(상세표[시작],$U975)&amp;""))</f>
        <v/>
      </c>
      <c r="O975">
        <f>IF($U975="","",IF(ISNUMBER(INDEX(상세표[종료],$U975)),TEXT(INDEX(상세표[종료],$U975),"yyyy-mm-dd hh:mm"),INDEX(상세표[종료],$U975)&amp;""))</f>
        <v/>
      </c>
      <c r="P975">
        <f>IF($U975="","",INDEX(상세표[06~07시],$U975))</f>
        <v/>
      </c>
      <c r="Q975">
        <f>IF($U975="","",INDEX(상세표[07~18시],$U975))</f>
        <v/>
      </c>
      <c r="R975">
        <f>IF($U975="","",INDEX(상세표[18~22시],$U975))</f>
        <v/>
      </c>
      <c r="S975">
        <f>IF($U975="","",INDEX(상세표[22~06시],$U975))</f>
        <v/>
      </c>
      <c r="T975">
        <f>IF($U975="","",INDEX(상세표[기록 시간외],$U975))</f>
        <v/>
      </c>
      <c r="U975" s="4">
        <f>IFERROR(MATCH(970,상세표[발송순번],0),"")</f>
        <v/>
      </c>
    </row>
    <row r="976">
      <c r="J976">
        <f>IF($U976="","",INDEX(상세표[사번],$U976)&amp;"")</f>
        <v/>
      </c>
      <c r="K976">
        <f>IF($U976="","",INDEX(상세표[성명],$U976)&amp;"")</f>
        <v/>
      </c>
      <c r="L976">
        <f>IF($U976="","",INDEX(상세표[직위],$U976)&amp;"")</f>
        <v/>
      </c>
      <c r="M976">
        <f>IF($U976="","",IF(ISNUMBER(INDEX(상세표[근무일자],$U976)),TEXT(INDEX(상세표[근무일자],$U976),"yyyy-mm-dd"),INDEX(상세표[근무일자],$U976)&amp;""))</f>
        <v/>
      </c>
      <c r="N976">
        <f>IF($U976="","",IF(ISNUMBER(INDEX(상세표[시작],$U976)),TEXT(INDEX(상세표[시작],$U976),"yyyy-mm-dd hh:mm"),INDEX(상세표[시작],$U976)&amp;""))</f>
        <v/>
      </c>
      <c r="O976">
        <f>IF($U976="","",IF(ISNUMBER(INDEX(상세표[종료],$U976)),TEXT(INDEX(상세표[종료],$U976),"yyyy-mm-dd hh:mm"),INDEX(상세표[종료],$U976)&amp;""))</f>
        <v/>
      </c>
      <c r="P976">
        <f>IF($U976="","",INDEX(상세표[06~07시],$U976))</f>
        <v/>
      </c>
      <c r="Q976">
        <f>IF($U976="","",INDEX(상세표[07~18시],$U976))</f>
        <v/>
      </c>
      <c r="R976">
        <f>IF($U976="","",INDEX(상세표[18~22시],$U976))</f>
        <v/>
      </c>
      <c r="S976">
        <f>IF($U976="","",INDEX(상세표[22~06시],$U976))</f>
        <v/>
      </c>
      <c r="T976">
        <f>IF($U976="","",INDEX(상세표[기록 시간외],$U976))</f>
        <v/>
      </c>
      <c r="U976" s="4">
        <f>IFERROR(MATCH(971,상세표[발송순번],0),"")</f>
        <v/>
      </c>
    </row>
    <row r="977">
      <c r="J977">
        <f>IF($U977="","",INDEX(상세표[사번],$U977)&amp;"")</f>
        <v/>
      </c>
      <c r="K977">
        <f>IF($U977="","",INDEX(상세표[성명],$U977)&amp;"")</f>
        <v/>
      </c>
      <c r="L977">
        <f>IF($U977="","",INDEX(상세표[직위],$U977)&amp;"")</f>
        <v/>
      </c>
      <c r="M977">
        <f>IF($U977="","",IF(ISNUMBER(INDEX(상세표[근무일자],$U977)),TEXT(INDEX(상세표[근무일자],$U977),"yyyy-mm-dd"),INDEX(상세표[근무일자],$U977)&amp;""))</f>
        <v/>
      </c>
      <c r="N977">
        <f>IF($U977="","",IF(ISNUMBER(INDEX(상세표[시작],$U977)),TEXT(INDEX(상세표[시작],$U977),"yyyy-mm-dd hh:mm"),INDEX(상세표[시작],$U977)&amp;""))</f>
        <v/>
      </c>
      <c r="O977">
        <f>IF($U977="","",IF(ISNUMBER(INDEX(상세표[종료],$U977)),TEXT(INDEX(상세표[종료],$U977),"yyyy-mm-dd hh:mm"),INDEX(상세표[종료],$U977)&amp;""))</f>
        <v/>
      </c>
      <c r="P977">
        <f>IF($U977="","",INDEX(상세표[06~07시],$U977))</f>
        <v/>
      </c>
      <c r="Q977">
        <f>IF($U977="","",INDEX(상세표[07~18시],$U977))</f>
        <v/>
      </c>
      <c r="R977">
        <f>IF($U977="","",INDEX(상세표[18~22시],$U977))</f>
        <v/>
      </c>
      <c r="S977">
        <f>IF($U977="","",INDEX(상세표[22~06시],$U977))</f>
        <v/>
      </c>
      <c r="T977">
        <f>IF($U977="","",INDEX(상세표[기록 시간외],$U977))</f>
        <v/>
      </c>
      <c r="U977" s="4">
        <f>IFERROR(MATCH(972,상세표[발송순번],0),"")</f>
        <v/>
      </c>
    </row>
    <row r="978">
      <c r="J978">
        <f>IF($U978="","",INDEX(상세표[사번],$U978)&amp;"")</f>
        <v/>
      </c>
      <c r="K978">
        <f>IF($U978="","",INDEX(상세표[성명],$U978)&amp;"")</f>
        <v/>
      </c>
      <c r="L978">
        <f>IF($U978="","",INDEX(상세표[직위],$U978)&amp;"")</f>
        <v/>
      </c>
      <c r="M978">
        <f>IF($U978="","",IF(ISNUMBER(INDEX(상세표[근무일자],$U978)),TEXT(INDEX(상세표[근무일자],$U978),"yyyy-mm-dd"),INDEX(상세표[근무일자],$U978)&amp;""))</f>
        <v/>
      </c>
      <c r="N978">
        <f>IF($U978="","",IF(ISNUMBER(INDEX(상세표[시작],$U978)),TEXT(INDEX(상세표[시작],$U978),"yyyy-mm-dd hh:mm"),INDEX(상세표[시작],$U978)&amp;""))</f>
        <v/>
      </c>
      <c r="O978">
        <f>IF($U978="","",IF(ISNUMBER(INDEX(상세표[종료],$U978)),TEXT(INDEX(상세표[종료],$U978),"yyyy-mm-dd hh:mm"),INDEX(상세표[종료],$U978)&amp;""))</f>
        <v/>
      </c>
      <c r="P978">
        <f>IF($U978="","",INDEX(상세표[06~07시],$U978))</f>
        <v/>
      </c>
      <c r="Q978">
        <f>IF($U978="","",INDEX(상세표[07~18시],$U978))</f>
        <v/>
      </c>
      <c r="R978">
        <f>IF($U978="","",INDEX(상세표[18~22시],$U978))</f>
        <v/>
      </c>
      <c r="S978">
        <f>IF($U978="","",INDEX(상세표[22~06시],$U978))</f>
        <v/>
      </c>
      <c r="T978">
        <f>IF($U978="","",INDEX(상세표[기록 시간외],$U978))</f>
        <v/>
      </c>
      <c r="U978" s="4">
        <f>IFERROR(MATCH(973,상세표[발송순번],0),"")</f>
        <v/>
      </c>
    </row>
    <row r="979">
      <c r="J979">
        <f>IF($U979="","",INDEX(상세표[사번],$U979)&amp;"")</f>
        <v/>
      </c>
      <c r="K979">
        <f>IF($U979="","",INDEX(상세표[성명],$U979)&amp;"")</f>
        <v/>
      </c>
      <c r="L979">
        <f>IF($U979="","",INDEX(상세표[직위],$U979)&amp;"")</f>
        <v/>
      </c>
      <c r="M979">
        <f>IF($U979="","",IF(ISNUMBER(INDEX(상세표[근무일자],$U979)),TEXT(INDEX(상세표[근무일자],$U979),"yyyy-mm-dd"),INDEX(상세표[근무일자],$U979)&amp;""))</f>
        <v/>
      </c>
      <c r="N979">
        <f>IF($U979="","",IF(ISNUMBER(INDEX(상세표[시작],$U979)),TEXT(INDEX(상세표[시작],$U979),"yyyy-mm-dd hh:mm"),INDEX(상세표[시작],$U979)&amp;""))</f>
        <v/>
      </c>
      <c r="O979">
        <f>IF($U979="","",IF(ISNUMBER(INDEX(상세표[종료],$U979)),TEXT(INDEX(상세표[종료],$U979),"yyyy-mm-dd hh:mm"),INDEX(상세표[종료],$U979)&amp;""))</f>
        <v/>
      </c>
      <c r="P979">
        <f>IF($U979="","",INDEX(상세표[06~07시],$U979))</f>
        <v/>
      </c>
      <c r="Q979">
        <f>IF($U979="","",INDEX(상세표[07~18시],$U979))</f>
        <v/>
      </c>
      <c r="R979">
        <f>IF($U979="","",INDEX(상세표[18~22시],$U979))</f>
        <v/>
      </c>
      <c r="S979">
        <f>IF($U979="","",INDEX(상세표[22~06시],$U979))</f>
        <v/>
      </c>
      <c r="T979">
        <f>IF($U979="","",INDEX(상세표[기록 시간외],$U979))</f>
        <v/>
      </c>
      <c r="U979" s="4">
        <f>IFERROR(MATCH(974,상세표[발송순번],0),"")</f>
        <v/>
      </c>
    </row>
    <row r="980">
      <c r="J980">
        <f>IF($U980="","",INDEX(상세표[사번],$U980)&amp;"")</f>
        <v/>
      </c>
      <c r="K980">
        <f>IF($U980="","",INDEX(상세표[성명],$U980)&amp;"")</f>
        <v/>
      </c>
      <c r="L980">
        <f>IF($U980="","",INDEX(상세표[직위],$U980)&amp;"")</f>
        <v/>
      </c>
      <c r="M980">
        <f>IF($U980="","",IF(ISNUMBER(INDEX(상세표[근무일자],$U980)),TEXT(INDEX(상세표[근무일자],$U980),"yyyy-mm-dd"),INDEX(상세표[근무일자],$U980)&amp;""))</f>
        <v/>
      </c>
      <c r="N980">
        <f>IF($U980="","",IF(ISNUMBER(INDEX(상세표[시작],$U980)),TEXT(INDEX(상세표[시작],$U980),"yyyy-mm-dd hh:mm"),INDEX(상세표[시작],$U980)&amp;""))</f>
        <v/>
      </c>
      <c r="O980">
        <f>IF($U980="","",IF(ISNUMBER(INDEX(상세표[종료],$U980)),TEXT(INDEX(상세표[종료],$U980),"yyyy-mm-dd hh:mm"),INDEX(상세표[종료],$U980)&amp;""))</f>
        <v/>
      </c>
      <c r="P980">
        <f>IF($U980="","",INDEX(상세표[06~07시],$U980))</f>
        <v/>
      </c>
      <c r="Q980">
        <f>IF($U980="","",INDEX(상세표[07~18시],$U980))</f>
        <v/>
      </c>
      <c r="R980">
        <f>IF($U980="","",INDEX(상세표[18~22시],$U980))</f>
        <v/>
      </c>
      <c r="S980">
        <f>IF($U980="","",INDEX(상세표[22~06시],$U980))</f>
        <v/>
      </c>
      <c r="T980">
        <f>IF($U980="","",INDEX(상세표[기록 시간외],$U980))</f>
        <v/>
      </c>
      <c r="U980" s="4">
        <f>IFERROR(MATCH(975,상세표[발송순번],0),"")</f>
        <v/>
      </c>
    </row>
    <row r="981">
      <c r="J981">
        <f>IF($U981="","",INDEX(상세표[사번],$U981)&amp;"")</f>
        <v/>
      </c>
      <c r="K981">
        <f>IF($U981="","",INDEX(상세표[성명],$U981)&amp;"")</f>
        <v/>
      </c>
      <c r="L981">
        <f>IF($U981="","",INDEX(상세표[직위],$U981)&amp;"")</f>
        <v/>
      </c>
      <c r="M981">
        <f>IF($U981="","",IF(ISNUMBER(INDEX(상세표[근무일자],$U981)),TEXT(INDEX(상세표[근무일자],$U981),"yyyy-mm-dd"),INDEX(상세표[근무일자],$U981)&amp;""))</f>
        <v/>
      </c>
      <c r="N981">
        <f>IF($U981="","",IF(ISNUMBER(INDEX(상세표[시작],$U981)),TEXT(INDEX(상세표[시작],$U981),"yyyy-mm-dd hh:mm"),INDEX(상세표[시작],$U981)&amp;""))</f>
        <v/>
      </c>
      <c r="O981">
        <f>IF($U981="","",IF(ISNUMBER(INDEX(상세표[종료],$U981)),TEXT(INDEX(상세표[종료],$U981),"yyyy-mm-dd hh:mm"),INDEX(상세표[종료],$U981)&amp;""))</f>
        <v/>
      </c>
      <c r="P981">
        <f>IF($U981="","",INDEX(상세표[06~07시],$U981))</f>
        <v/>
      </c>
      <c r="Q981">
        <f>IF($U981="","",INDEX(상세표[07~18시],$U981))</f>
        <v/>
      </c>
      <c r="R981">
        <f>IF($U981="","",INDEX(상세표[18~22시],$U981))</f>
        <v/>
      </c>
      <c r="S981">
        <f>IF($U981="","",INDEX(상세표[22~06시],$U981))</f>
        <v/>
      </c>
      <c r="T981">
        <f>IF($U981="","",INDEX(상세표[기록 시간외],$U981))</f>
        <v/>
      </c>
      <c r="U981" s="4">
        <f>IFERROR(MATCH(976,상세표[발송순번],0),"")</f>
        <v/>
      </c>
    </row>
    <row r="982">
      <c r="J982">
        <f>IF($U982="","",INDEX(상세표[사번],$U982)&amp;"")</f>
        <v/>
      </c>
      <c r="K982">
        <f>IF($U982="","",INDEX(상세표[성명],$U982)&amp;"")</f>
        <v/>
      </c>
      <c r="L982">
        <f>IF($U982="","",INDEX(상세표[직위],$U982)&amp;"")</f>
        <v/>
      </c>
      <c r="M982">
        <f>IF($U982="","",IF(ISNUMBER(INDEX(상세표[근무일자],$U982)),TEXT(INDEX(상세표[근무일자],$U982),"yyyy-mm-dd"),INDEX(상세표[근무일자],$U982)&amp;""))</f>
        <v/>
      </c>
      <c r="N982">
        <f>IF($U982="","",IF(ISNUMBER(INDEX(상세표[시작],$U982)),TEXT(INDEX(상세표[시작],$U982),"yyyy-mm-dd hh:mm"),INDEX(상세표[시작],$U982)&amp;""))</f>
        <v/>
      </c>
      <c r="O982">
        <f>IF($U982="","",IF(ISNUMBER(INDEX(상세표[종료],$U982)),TEXT(INDEX(상세표[종료],$U982),"yyyy-mm-dd hh:mm"),INDEX(상세표[종료],$U982)&amp;""))</f>
        <v/>
      </c>
      <c r="P982">
        <f>IF($U982="","",INDEX(상세표[06~07시],$U982))</f>
        <v/>
      </c>
      <c r="Q982">
        <f>IF($U982="","",INDEX(상세표[07~18시],$U982))</f>
        <v/>
      </c>
      <c r="R982">
        <f>IF($U982="","",INDEX(상세표[18~22시],$U982))</f>
        <v/>
      </c>
      <c r="S982">
        <f>IF($U982="","",INDEX(상세표[22~06시],$U982))</f>
        <v/>
      </c>
      <c r="T982">
        <f>IF($U982="","",INDEX(상세표[기록 시간외],$U982))</f>
        <v/>
      </c>
      <c r="U982" s="4">
        <f>IFERROR(MATCH(977,상세표[발송순번],0),"")</f>
        <v/>
      </c>
    </row>
    <row r="983">
      <c r="J983">
        <f>IF($U983="","",INDEX(상세표[사번],$U983)&amp;"")</f>
        <v/>
      </c>
      <c r="K983">
        <f>IF($U983="","",INDEX(상세표[성명],$U983)&amp;"")</f>
        <v/>
      </c>
      <c r="L983">
        <f>IF($U983="","",INDEX(상세표[직위],$U983)&amp;"")</f>
        <v/>
      </c>
      <c r="M983">
        <f>IF($U983="","",IF(ISNUMBER(INDEX(상세표[근무일자],$U983)),TEXT(INDEX(상세표[근무일자],$U983),"yyyy-mm-dd"),INDEX(상세표[근무일자],$U983)&amp;""))</f>
        <v/>
      </c>
      <c r="N983">
        <f>IF($U983="","",IF(ISNUMBER(INDEX(상세표[시작],$U983)),TEXT(INDEX(상세표[시작],$U983),"yyyy-mm-dd hh:mm"),INDEX(상세표[시작],$U983)&amp;""))</f>
        <v/>
      </c>
      <c r="O983">
        <f>IF($U983="","",IF(ISNUMBER(INDEX(상세표[종료],$U983)),TEXT(INDEX(상세표[종료],$U983),"yyyy-mm-dd hh:mm"),INDEX(상세표[종료],$U983)&amp;""))</f>
        <v/>
      </c>
      <c r="P983">
        <f>IF($U983="","",INDEX(상세표[06~07시],$U983))</f>
        <v/>
      </c>
      <c r="Q983">
        <f>IF($U983="","",INDEX(상세표[07~18시],$U983))</f>
        <v/>
      </c>
      <c r="R983">
        <f>IF($U983="","",INDEX(상세표[18~22시],$U983))</f>
        <v/>
      </c>
      <c r="S983">
        <f>IF($U983="","",INDEX(상세표[22~06시],$U983))</f>
        <v/>
      </c>
      <c r="T983">
        <f>IF($U983="","",INDEX(상세표[기록 시간외],$U983))</f>
        <v/>
      </c>
      <c r="U983" s="4">
        <f>IFERROR(MATCH(978,상세표[발송순번],0),"")</f>
        <v/>
      </c>
    </row>
    <row r="984">
      <c r="J984">
        <f>IF($U984="","",INDEX(상세표[사번],$U984)&amp;"")</f>
        <v/>
      </c>
      <c r="K984">
        <f>IF($U984="","",INDEX(상세표[성명],$U984)&amp;"")</f>
        <v/>
      </c>
      <c r="L984">
        <f>IF($U984="","",INDEX(상세표[직위],$U984)&amp;"")</f>
        <v/>
      </c>
      <c r="M984">
        <f>IF($U984="","",IF(ISNUMBER(INDEX(상세표[근무일자],$U984)),TEXT(INDEX(상세표[근무일자],$U984),"yyyy-mm-dd"),INDEX(상세표[근무일자],$U984)&amp;""))</f>
        <v/>
      </c>
      <c r="N984">
        <f>IF($U984="","",IF(ISNUMBER(INDEX(상세표[시작],$U984)),TEXT(INDEX(상세표[시작],$U984),"yyyy-mm-dd hh:mm"),INDEX(상세표[시작],$U984)&amp;""))</f>
        <v/>
      </c>
      <c r="O984">
        <f>IF($U984="","",IF(ISNUMBER(INDEX(상세표[종료],$U984)),TEXT(INDEX(상세표[종료],$U984),"yyyy-mm-dd hh:mm"),INDEX(상세표[종료],$U984)&amp;""))</f>
        <v/>
      </c>
      <c r="P984">
        <f>IF($U984="","",INDEX(상세표[06~07시],$U984))</f>
        <v/>
      </c>
      <c r="Q984">
        <f>IF($U984="","",INDEX(상세표[07~18시],$U984))</f>
        <v/>
      </c>
      <c r="R984">
        <f>IF($U984="","",INDEX(상세표[18~22시],$U984))</f>
        <v/>
      </c>
      <c r="S984">
        <f>IF($U984="","",INDEX(상세표[22~06시],$U984))</f>
        <v/>
      </c>
      <c r="T984">
        <f>IF($U984="","",INDEX(상세표[기록 시간외],$U984))</f>
        <v/>
      </c>
      <c r="U984" s="4">
        <f>IFERROR(MATCH(979,상세표[발송순번],0),"")</f>
        <v/>
      </c>
    </row>
    <row r="985">
      <c r="J985">
        <f>IF($U985="","",INDEX(상세표[사번],$U985)&amp;"")</f>
        <v/>
      </c>
      <c r="K985">
        <f>IF($U985="","",INDEX(상세표[성명],$U985)&amp;"")</f>
        <v/>
      </c>
      <c r="L985">
        <f>IF($U985="","",INDEX(상세표[직위],$U985)&amp;"")</f>
        <v/>
      </c>
      <c r="M985">
        <f>IF($U985="","",IF(ISNUMBER(INDEX(상세표[근무일자],$U985)),TEXT(INDEX(상세표[근무일자],$U985),"yyyy-mm-dd"),INDEX(상세표[근무일자],$U985)&amp;""))</f>
        <v/>
      </c>
      <c r="N985">
        <f>IF($U985="","",IF(ISNUMBER(INDEX(상세표[시작],$U985)),TEXT(INDEX(상세표[시작],$U985),"yyyy-mm-dd hh:mm"),INDEX(상세표[시작],$U985)&amp;""))</f>
        <v/>
      </c>
      <c r="O985">
        <f>IF($U985="","",IF(ISNUMBER(INDEX(상세표[종료],$U985)),TEXT(INDEX(상세표[종료],$U985),"yyyy-mm-dd hh:mm"),INDEX(상세표[종료],$U985)&amp;""))</f>
        <v/>
      </c>
      <c r="P985">
        <f>IF($U985="","",INDEX(상세표[06~07시],$U985))</f>
        <v/>
      </c>
      <c r="Q985">
        <f>IF($U985="","",INDEX(상세표[07~18시],$U985))</f>
        <v/>
      </c>
      <c r="R985">
        <f>IF($U985="","",INDEX(상세표[18~22시],$U985))</f>
        <v/>
      </c>
      <c r="S985">
        <f>IF($U985="","",INDEX(상세표[22~06시],$U985))</f>
        <v/>
      </c>
      <c r="T985">
        <f>IF($U985="","",INDEX(상세표[기록 시간외],$U985))</f>
        <v/>
      </c>
      <c r="U985" s="4">
        <f>IFERROR(MATCH(980,상세표[발송순번],0),"")</f>
        <v/>
      </c>
    </row>
    <row r="986">
      <c r="J986">
        <f>IF($U986="","",INDEX(상세표[사번],$U986)&amp;"")</f>
        <v/>
      </c>
      <c r="K986">
        <f>IF($U986="","",INDEX(상세표[성명],$U986)&amp;"")</f>
        <v/>
      </c>
      <c r="L986">
        <f>IF($U986="","",INDEX(상세표[직위],$U986)&amp;"")</f>
        <v/>
      </c>
      <c r="M986">
        <f>IF($U986="","",IF(ISNUMBER(INDEX(상세표[근무일자],$U986)),TEXT(INDEX(상세표[근무일자],$U986),"yyyy-mm-dd"),INDEX(상세표[근무일자],$U986)&amp;""))</f>
        <v/>
      </c>
      <c r="N986">
        <f>IF($U986="","",IF(ISNUMBER(INDEX(상세표[시작],$U986)),TEXT(INDEX(상세표[시작],$U986),"yyyy-mm-dd hh:mm"),INDEX(상세표[시작],$U986)&amp;""))</f>
        <v/>
      </c>
      <c r="O986">
        <f>IF($U986="","",IF(ISNUMBER(INDEX(상세표[종료],$U986)),TEXT(INDEX(상세표[종료],$U986),"yyyy-mm-dd hh:mm"),INDEX(상세표[종료],$U986)&amp;""))</f>
        <v/>
      </c>
      <c r="P986">
        <f>IF($U986="","",INDEX(상세표[06~07시],$U986))</f>
        <v/>
      </c>
      <c r="Q986">
        <f>IF($U986="","",INDEX(상세표[07~18시],$U986))</f>
        <v/>
      </c>
      <c r="R986">
        <f>IF($U986="","",INDEX(상세표[18~22시],$U986))</f>
        <v/>
      </c>
      <c r="S986">
        <f>IF($U986="","",INDEX(상세표[22~06시],$U986))</f>
        <v/>
      </c>
      <c r="T986">
        <f>IF($U986="","",INDEX(상세표[기록 시간외],$U986))</f>
        <v/>
      </c>
      <c r="U986" s="4">
        <f>IFERROR(MATCH(981,상세표[발송순번],0),"")</f>
        <v/>
      </c>
    </row>
    <row r="987">
      <c r="J987">
        <f>IF($U987="","",INDEX(상세표[사번],$U987)&amp;"")</f>
        <v/>
      </c>
      <c r="K987">
        <f>IF($U987="","",INDEX(상세표[성명],$U987)&amp;"")</f>
        <v/>
      </c>
      <c r="L987">
        <f>IF($U987="","",INDEX(상세표[직위],$U987)&amp;"")</f>
        <v/>
      </c>
      <c r="M987">
        <f>IF($U987="","",IF(ISNUMBER(INDEX(상세표[근무일자],$U987)),TEXT(INDEX(상세표[근무일자],$U987),"yyyy-mm-dd"),INDEX(상세표[근무일자],$U987)&amp;""))</f>
        <v/>
      </c>
      <c r="N987">
        <f>IF($U987="","",IF(ISNUMBER(INDEX(상세표[시작],$U987)),TEXT(INDEX(상세표[시작],$U987),"yyyy-mm-dd hh:mm"),INDEX(상세표[시작],$U987)&amp;""))</f>
        <v/>
      </c>
      <c r="O987">
        <f>IF($U987="","",IF(ISNUMBER(INDEX(상세표[종료],$U987)),TEXT(INDEX(상세표[종료],$U987),"yyyy-mm-dd hh:mm"),INDEX(상세표[종료],$U987)&amp;""))</f>
        <v/>
      </c>
      <c r="P987">
        <f>IF($U987="","",INDEX(상세표[06~07시],$U987))</f>
        <v/>
      </c>
      <c r="Q987">
        <f>IF($U987="","",INDEX(상세표[07~18시],$U987))</f>
        <v/>
      </c>
      <c r="R987">
        <f>IF($U987="","",INDEX(상세표[18~22시],$U987))</f>
        <v/>
      </c>
      <c r="S987">
        <f>IF($U987="","",INDEX(상세표[22~06시],$U987))</f>
        <v/>
      </c>
      <c r="T987">
        <f>IF($U987="","",INDEX(상세표[기록 시간외],$U987))</f>
        <v/>
      </c>
      <c r="U987" s="4">
        <f>IFERROR(MATCH(982,상세표[발송순번],0),"")</f>
        <v/>
      </c>
    </row>
    <row r="988">
      <c r="J988">
        <f>IF($U988="","",INDEX(상세표[사번],$U988)&amp;"")</f>
        <v/>
      </c>
      <c r="K988">
        <f>IF($U988="","",INDEX(상세표[성명],$U988)&amp;"")</f>
        <v/>
      </c>
      <c r="L988">
        <f>IF($U988="","",INDEX(상세표[직위],$U988)&amp;"")</f>
        <v/>
      </c>
      <c r="M988">
        <f>IF($U988="","",IF(ISNUMBER(INDEX(상세표[근무일자],$U988)),TEXT(INDEX(상세표[근무일자],$U988),"yyyy-mm-dd"),INDEX(상세표[근무일자],$U988)&amp;""))</f>
        <v/>
      </c>
      <c r="N988">
        <f>IF($U988="","",IF(ISNUMBER(INDEX(상세표[시작],$U988)),TEXT(INDEX(상세표[시작],$U988),"yyyy-mm-dd hh:mm"),INDEX(상세표[시작],$U988)&amp;""))</f>
        <v/>
      </c>
      <c r="O988">
        <f>IF($U988="","",IF(ISNUMBER(INDEX(상세표[종료],$U988)),TEXT(INDEX(상세표[종료],$U988),"yyyy-mm-dd hh:mm"),INDEX(상세표[종료],$U988)&amp;""))</f>
        <v/>
      </c>
      <c r="P988">
        <f>IF($U988="","",INDEX(상세표[06~07시],$U988))</f>
        <v/>
      </c>
      <c r="Q988">
        <f>IF($U988="","",INDEX(상세표[07~18시],$U988))</f>
        <v/>
      </c>
      <c r="R988">
        <f>IF($U988="","",INDEX(상세표[18~22시],$U988))</f>
        <v/>
      </c>
      <c r="S988">
        <f>IF($U988="","",INDEX(상세표[22~06시],$U988))</f>
        <v/>
      </c>
      <c r="T988">
        <f>IF($U988="","",INDEX(상세표[기록 시간외],$U988))</f>
        <v/>
      </c>
      <c r="U988" s="4">
        <f>IFERROR(MATCH(983,상세표[발송순번],0),"")</f>
        <v/>
      </c>
    </row>
    <row r="989">
      <c r="J989">
        <f>IF($U989="","",INDEX(상세표[사번],$U989)&amp;"")</f>
        <v/>
      </c>
      <c r="K989">
        <f>IF($U989="","",INDEX(상세표[성명],$U989)&amp;"")</f>
        <v/>
      </c>
      <c r="L989">
        <f>IF($U989="","",INDEX(상세표[직위],$U989)&amp;"")</f>
        <v/>
      </c>
      <c r="M989">
        <f>IF($U989="","",IF(ISNUMBER(INDEX(상세표[근무일자],$U989)),TEXT(INDEX(상세표[근무일자],$U989),"yyyy-mm-dd"),INDEX(상세표[근무일자],$U989)&amp;""))</f>
        <v/>
      </c>
      <c r="N989">
        <f>IF($U989="","",IF(ISNUMBER(INDEX(상세표[시작],$U989)),TEXT(INDEX(상세표[시작],$U989),"yyyy-mm-dd hh:mm"),INDEX(상세표[시작],$U989)&amp;""))</f>
        <v/>
      </c>
      <c r="O989">
        <f>IF($U989="","",IF(ISNUMBER(INDEX(상세표[종료],$U989)),TEXT(INDEX(상세표[종료],$U989),"yyyy-mm-dd hh:mm"),INDEX(상세표[종료],$U989)&amp;""))</f>
        <v/>
      </c>
      <c r="P989">
        <f>IF($U989="","",INDEX(상세표[06~07시],$U989))</f>
        <v/>
      </c>
      <c r="Q989">
        <f>IF($U989="","",INDEX(상세표[07~18시],$U989))</f>
        <v/>
      </c>
      <c r="R989">
        <f>IF($U989="","",INDEX(상세표[18~22시],$U989))</f>
        <v/>
      </c>
      <c r="S989">
        <f>IF($U989="","",INDEX(상세표[22~06시],$U989))</f>
        <v/>
      </c>
      <c r="T989">
        <f>IF($U989="","",INDEX(상세표[기록 시간외],$U989))</f>
        <v/>
      </c>
      <c r="U989" s="4">
        <f>IFERROR(MATCH(984,상세표[발송순번],0),"")</f>
        <v/>
      </c>
    </row>
    <row r="990">
      <c r="J990">
        <f>IF($U990="","",INDEX(상세표[사번],$U990)&amp;"")</f>
        <v/>
      </c>
      <c r="K990">
        <f>IF($U990="","",INDEX(상세표[성명],$U990)&amp;"")</f>
        <v/>
      </c>
      <c r="L990">
        <f>IF($U990="","",INDEX(상세표[직위],$U990)&amp;"")</f>
        <v/>
      </c>
      <c r="M990">
        <f>IF($U990="","",IF(ISNUMBER(INDEX(상세표[근무일자],$U990)),TEXT(INDEX(상세표[근무일자],$U990),"yyyy-mm-dd"),INDEX(상세표[근무일자],$U990)&amp;""))</f>
        <v/>
      </c>
      <c r="N990">
        <f>IF($U990="","",IF(ISNUMBER(INDEX(상세표[시작],$U990)),TEXT(INDEX(상세표[시작],$U990),"yyyy-mm-dd hh:mm"),INDEX(상세표[시작],$U990)&amp;""))</f>
        <v/>
      </c>
      <c r="O990">
        <f>IF($U990="","",IF(ISNUMBER(INDEX(상세표[종료],$U990)),TEXT(INDEX(상세표[종료],$U990),"yyyy-mm-dd hh:mm"),INDEX(상세표[종료],$U990)&amp;""))</f>
        <v/>
      </c>
      <c r="P990">
        <f>IF($U990="","",INDEX(상세표[06~07시],$U990))</f>
        <v/>
      </c>
      <c r="Q990">
        <f>IF($U990="","",INDEX(상세표[07~18시],$U990))</f>
        <v/>
      </c>
      <c r="R990">
        <f>IF($U990="","",INDEX(상세표[18~22시],$U990))</f>
        <v/>
      </c>
      <c r="S990">
        <f>IF($U990="","",INDEX(상세표[22~06시],$U990))</f>
        <v/>
      </c>
      <c r="T990">
        <f>IF($U990="","",INDEX(상세표[기록 시간외],$U990))</f>
        <v/>
      </c>
      <c r="U990" s="4">
        <f>IFERROR(MATCH(985,상세표[발송순번],0),"")</f>
        <v/>
      </c>
    </row>
    <row r="991">
      <c r="J991">
        <f>IF($U991="","",INDEX(상세표[사번],$U991)&amp;"")</f>
        <v/>
      </c>
      <c r="K991">
        <f>IF($U991="","",INDEX(상세표[성명],$U991)&amp;"")</f>
        <v/>
      </c>
      <c r="L991">
        <f>IF($U991="","",INDEX(상세표[직위],$U991)&amp;"")</f>
        <v/>
      </c>
      <c r="M991">
        <f>IF($U991="","",IF(ISNUMBER(INDEX(상세표[근무일자],$U991)),TEXT(INDEX(상세표[근무일자],$U991),"yyyy-mm-dd"),INDEX(상세표[근무일자],$U991)&amp;""))</f>
        <v/>
      </c>
      <c r="N991">
        <f>IF($U991="","",IF(ISNUMBER(INDEX(상세표[시작],$U991)),TEXT(INDEX(상세표[시작],$U991),"yyyy-mm-dd hh:mm"),INDEX(상세표[시작],$U991)&amp;""))</f>
        <v/>
      </c>
      <c r="O991">
        <f>IF($U991="","",IF(ISNUMBER(INDEX(상세표[종료],$U991)),TEXT(INDEX(상세표[종료],$U991),"yyyy-mm-dd hh:mm"),INDEX(상세표[종료],$U991)&amp;""))</f>
        <v/>
      </c>
      <c r="P991">
        <f>IF($U991="","",INDEX(상세표[06~07시],$U991))</f>
        <v/>
      </c>
      <c r="Q991">
        <f>IF($U991="","",INDEX(상세표[07~18시],$U991))</f>
        <v/>
      </c>
      <c r="R991">
        <f>IF($U991="","",INDEX(상세표[18~22시],$U991))</f>
        <v/>
      </c>
      <c r="S991">
        <f>IF($U991="","",INDEX(상세표[22~06시],$U991))</f>
        <v/>
      </c>
      <c r="T991">
        <f>IF($U991="","",INDEX(상세표[기록 시간외],$U991))</f>
        <v/>
      </c>
      <c r="U991" s="4">
        <f>IFERROR(MATCH(986,상세표[발송순번],0),"")</f>
        <v/>
      </c>
    </row>
    <row r="992">
      <c r="J992">
        <f>IF($U992="","",INDEX(상세표[사번],$U992)&amp;"")</f>
        <v/>
      </c>
      <c r="K992">
        <f>IF($U992="","",INDEX(상세표[성명],$U992)&amp;"")</f>
        <v/>
      </c>
      <c r="L992">
        <f>IF($U992="","",INDEX(상세표[직위],$U992)&amp;"")</f>
        <v/>
      </c>
      <c r="M992">
        <f>IF($U992="","",IF(ISNUMBER(INDEX(상세표[근무일자],$U992)),TEXT(INDEX(상세표[근무일자],$U992),"yyyy-mm-dd"),INDEX(상세표[근무일자],$U992)&amp;""))</f>
        <v/>
      </c>
      <c r="N992">
        <f>IF($U992="","",IF(ISNUMBER(INDEX(상세표[시작],$U992)),TEXT(INDEX(상세표[시작],$U992),"yyyy-mm-dd hh:mm"),INDEX(상세표[시작],$U992)&amp;""))</f>
        <v/>
      </c>
      <c r="O992">
        <f>IF($U992="","",IF(ISNUMBER(INDEX(상세표[종료],$U992)),TEXT(INDEX(상세표[종료],$U992),"yyyy-mm-dd hh:mm"),INDEX(상세표[종료],$U992)&amp;""))</f>
        <v/>
      </c>
      <c r="P992">
        <f>IF($U992="","",INDEX(상세표[06~07시],$U992))</f>
        <v/>
      </c>
      <c r="Q992">
        <f>IF($U992="","",INDEX(상세표[07~18시],$U992))</f>
        <v/>
      </c>
      <c r="R992">
        <f>IF($U992="","",INDEX(상세표[18~22시],$U992))</f>
        <v/>
      </c>
      <c r="S992">
        <f>IF($U992="","",INDEX(상세표[22~06시],$U992))</f>
        <v/>
      </c>
      <c r="T992">
        <f>IF($U992="","",INDEX(상세표[기록 시간외],$U992))</f>
        <v/>
      </c>
      <c r="U992" s="4">
        <f>IFERROR(MATCH(987,상세표[발송순번],0),"")</f>
        <v/>
      </c>
    </row>
    <row r="993">
      <c r="J993">
        <f>IF($U993="","",INDEX(상세표[사번],$U993)&amp;"")</f>
        <v/>
      </c>
      <c r="K993">
        <f>IF($U993="","",INDEX(상세표[성명],$U993)&amp;"")</f>
        <v/>
      </c>
      <c r="L993">
        <f>IF($U993="","",INDEX(상세표[직위],$U993)&amp;"")</f>
        <v/>
      </c>
      <c r="M993">
        <f>IF($U993="","",IF(ISNUMBER(INDEX(상세표[근무일자],$U993)),TEXT(INDEX(상세표[근무일자],$U993),"yyyy-mm-dd"),INDEX(상세표[근무일자],$U993)&amp;""))</f>
        <v/>
      </c>
      <c r="N993">
        <f>IF($U993="","",IF(ISNUMBER(INDEX(상세표[시작],$U993)),TEXT(INDEX(상세표[시작],$U993),"yyyy-mm-dd hh:mm"),INDEX(상세표[시작],$U993)&amp;""))</f>
        <v/>
      </c>
      <c r="O993">
        <f>IF($U993="","",IF(ISNUMBER(INDEX(상세표[종료],$U993)),TEXT(INDEX(상세표[종료],$U993),"yyyy-mm-dd hh:mm"),INDEX(상세표[종료],$U993)&amp;""))</f>
        <v/>
      </c>
      <c r="P993">
        <f>IF($U993="","",INDEX(상세표[06~07시],$U993))</f>
        <v/>
      </c>
      <c r="Q993">
        <f>IF($U993="","",INDEX(상세표[07~18시],$U993))</f>
        <v/>
      </c>
      <c r="R993">
        <f>IF($U993="","",INDEX(상세표[18~22시],$U993))</f>
        <v/>
      </c>
      <c r="S993">
        <f>IF($U993="","",INDEX(상세표[22~06시],$U993))</f>
        <v/>
      </c>
      <c r="T993">
        <f>IF($U993="","",INDEX(상세표[기록 시간외],$U993))</f>
        <v/>
      </c>
      <c r="U993" s="4">
        <f>IFERROR(MATCH(988,상세표[발송순번],0),"")</f>
        <v/>
      </c>
    </row>
    <row r="994">
      <c r="J994">
        <f>IF($U994="","",INDEX(상세표[사번],$U994)&amp;"")</f>
        <v/>
      </c>
      <c r="K994">
        <f>IF($U994="","",INDEX(상세표[성명],$U994)&amp;"")</f>
        <v/>
      </c>
      <c r="L994">
        <f>IF($U994="","",INDEX(상세표[직위],$U994)&amp;"")</f>
        <v/>
      </c>
      <c r="M994">
        <f>IF($U994="","",IF(ISNUMBER(INDEX(상세표[근무일자],$U994)),TEXT(INDEX(상세표[근무일자],$U994),"yyyy-mm-dd"),INDEX(상세표[근무일자],$U994)&amp;""))</f>
        <v/>
      </c>
      <c r="N994">
        <f>IF($U994="","",IF(ISNUMBER(INDEX(상세표[시작],$U994)),TEXT(INDEX(상세표[시작],$U994),"yyyy-mm-dd hh:mm"),INDEX(상세표[시작],$U994)&amp;""))</f>
        <v/>
      </c>
      <c r="O994">
        <f>IF($U994="","",IF(ISNUMBER(INDEX(상세표[종료],$U994)),TEXT(INDEX(상세표[종료],$U994),"yyyy-mm-dd hh:mm"),INDEX(상세표[종료],$U994)&amp;""))</f>
        <v/>
      </c>
      <c r="P994">
        <f>IF($U994="","",INDEX(상세표[06~07시],$U994))</f>
        <v/>
      </c>
      <c r="Q994">
        <f>IF($U994="","",INDEX(상세표[07~18시],$U994))</f>
        <v/>
      </c>
      <c r="R994">
        <f>IF($U994="","",INDEX(상세표[18~22시],$U994))</f>
        <v/>
      </c>
      <c r="S994">
        <f>IF($U994="","",INDEX(상세표[22~06시],$U994))</f>
        <v/>
      </c>
      <c r="T994">
        <f>IF($U994="","",INDEX(상세표[기록 시간외],$U994))</f>
        <v/>
      </c>
      <c r="U994" s="4">
        <f>IFERROR(MATCH(989,상세표[발송순번],0),"")</f>
        <v/>
      </c>
    </row>
    <row r="995">
      <c r="J995">
        <f>IF($U995="","",INDEX(상세표[사번],$U995)&amp;"")</f>
        <v/>
      </c>
      <c r="K995">
        <f>IF($U995="","",INDEX(상세표[성명],$U995)&amp;"")</f>
        <v/>
      </c>
      <c r="L995">
        <f>IF($U995="","",INDEX(상세표[직위],$U995)&amp;"")</f>
        <v/>
      </c>
      <c r="M995">
        <f>IF($U995="","",IF(ISNUMBER(INDEX(상세표[근무일자],$U995)),TEXT(INDEX(상세표[근무일자],$U995),"yyyy-mm-dd"),INDEX(상세표[근무일자],$U995)&amp;""))</f>
        <v/>
      </c>
      <c r="N995">
        <f>IF($U995="","",IF(ISNUMBER(INDEX(상세표[시작],$U995)),TEXT(INDEX(상세표[시작],$U995),"yyyy-mm-dd hh:mm"),INDEX(상세표[시작],$U995)&amp;""))</f>
        <v/>
      </c>
      <c r="O995">
        <f>IF($U995="","",IF(ISNUMBER(INDEX(상세표[종료],$U995)),TEXT(INDEX(상세표[종료],$U995),"yyyy-mm-dd hh:mm"),INDEX(상세표[종료],$U995)&amp;""))</f>
        <v/>
      </c>
      <c r="P995">
        <f>IF($U995="","",INDEX(상세표[06~07시],$U995))</f>
        <v/>
      </c>
      <c r="Q995">
        <f>IF($U995="","",INDEX(상세표[07~18시],$U995))</f>
        <v/>
      </c>
      <c r="R995">
        <f>IF($U995="","",INDEX(상세표[18~22시],$U995))</f>
        <v/>
      </c>
      <c r="S995">
        <f>IF($U995="","",INDEX(상세표[22~06시],$U995))</f>
        <v/>
      </c>
      <c r="T995">
        <f>IF($U995="","",INDEX(상세표[기록 시간외],$U995))</f>
        <v/>
      </c>
      <c r="U995" s="4">
        <f>IFERROR(MATCH(990,상세표[발송순번],0),"")</f>
        <v/>
      </c>
    </row>
    <row r="996">
      <c r="J996">
        <f>IF($U996="","",INDEX(상세표[사번],$U996)&amp;"")</f>
        <v/>
      </c>
      <c r="K996">
        <f>IF($U996="","",INDEX(상세표[성명],$U996)&amp;"")</f>
        <v/>
      </c>
      <c r="L996">
        <f>IF($U996="","",INDEX(상세표[직위],$U996)&amp;"")</f>
        <v/>
      </c>
      <c r="M996">
        <f>IF($U996="","",IF(ISNUMBER(INDEX(상세표[근무일자],$U996)),TEXT(INDEX(상세표[근무일자],$U996),"yyyy-mm-dd"),INDEX(상세표[근무일자],$U996)&amp;""))</f>
        <v/>
      </c>
      <c r="N996">
        <f>IF($U996="","",IF(ISNUMBER(INDEX(상세표[시작],$U996)),TEXT(INDEX(상세표[시작],$U996),"yyyy-mm-dd hh:mm"),INDEX(상세표[시작],$U996)&amp;""))</f>
        <v/>
      </c>
      <c r="O996">
        <f>IF($U996="","",IF(ISNUMBER(INDEX(상세표[종료],$U996)),TEXT(INDEX(상세표[종료],$U996),"yyyy-mm-dd hh:mm"),INDEX(상세표[종료],$U996)&amp;""))</f>
        <v/>
      </c>
      <c r="P996">
        <f>IF($U996="","",INDEX(상세표[06~07시],$U996))</f>
        <v/>
      </c>
      <c r="Q996">
        <f>IF($U996="","",INDEX(상세표[07~18시],$U996))</f>
        <v/>
      </c>
      <c r="R996">
        <f>IF($U996="","",INDEX(상세표[18~22시],$U996))</f>
        <v/>
      </c>
      <c r="S996">
        <f>IF($U996="","",INDEX(상세표[22~06시],$U996))</f>
        <v/>
      </c>
      <c r="T996">
        <f>IF($U996="","",INDEX(상세표[기록 시간외],$U996))</f>
        <v/>
      </c>
      <c r="U996" s="4">
        <f>IFERROR(MATCH(991,상세표[발송순번],0),"")</f>
        <v/>
      </c>
    </row>
    <row r="997">
      <c r="J997">
        <f>IF($U997="","",INDEX(상세표[사번],$U997)&amp;"")</f>
        <v/>
      </c>
      <c r="K997">
        <f>IF($U997="","",INDEX(상세표[성명],$U997)&amp;"")</f>
        <v/>
      </c>
      <c r="L997">
        <f>IF($U997="","",INDEX(상세표[직위],$U997)&amp;"")</f>
        <v/>
      </c>
      <c r="M997">
        <f>IF($U997="","",IF(ISNUMBER(INDEX(상세표[근무일자],$U997)),TEXT(INDEX(상세표[근무일자],$U997),"yyyy-mm-dd"),INDEX(상세표[근무일자],$U997)&amp;""))</f>
        <v/>
      </c>
      <c r="N997">
        <f>IF($U997="","",IF(ISNUMBER(INDEX(상세표[시작],$U997)),TEXT(INDEX(상세표[시작],$U997),"yyyy-mm-dd hh:mm"),INDEX(상세표[시작],$U997)&amp;""))</f>
        <v/>
      </c>
      <c r="O997">
        <f>IF($U997="","",IF(ISNUMBER(INDEX(상세표[종료],$U997)),TEXT(INDEX(상세표[종료],$U997),"yyyy-mm-dd hh:mm"),INDEX(상세표[종료],$U997)&amp;""))</f>
        <v/>
      </c>
      <c r="P997">
        <f>IF($U997="","",INDEX(상세표[06~07시],$U997))</f>
        <v/>
      </c>
      <c r="Q997">
        <f>IF($U997="","",INDEX(상세표[07~18시],$U997))</f>
        <v/>
      </c>
      <c r="R997">
        <f>IF($U997="","",INDEX(상세표[18~22시],$U997))</f>
        <v/>
      </c>
      <c r="S997">
        <f>IF($U997="","",INDEX(상세표[22~06시],$U997))</f>
        <v/>
      </c>
      <c r="T997">
        <f>IF($U997="","",INDEX(상세표[기록 시간외],$U997))</f>
        <v/>
      </c>
      <c r="U997" s="4">
        <f>IFERROR(MATCH(992,상세표[발송순번],0),"")</f>
        <v/>
      </c>
    </row>
    <row r="998">
      <c r="J998">
        <f>IF($U998="","",INDEX(상세표[사번],$U998)&amp;"")</f>
        <v/>
      </c>
      <c r="K998">
        <f>IF($U998="","",INDEX(상세표[성명],$U998)&amp;"")</f>
        <v/>
      </c>
      <c r="L998">
        <f>IF($U998="","",INDEX(상세표[직위],$U998)&amp;"")</f>
        <v/>
      </c>
      <c r="M998">
        <f>IF($U998="","",IF(ISNUMBER(INDEX(상세표[근무일자],$U998)),TEXT(INDEX(상세표[근무일자],$U998),"yyyy-mm-dd"),INDEX(상세표[근무일자],$U998)&amp;""))</f>
        <v/>
      </c>
      <c r="N998">
        <f>IF($U998="","",IF(ISNUMBER(INDEX(상세표[시작],$U998)),TEXT(INDEX(상세표[시작],$U998),"yyyy-mm-dd hh:mm"),INDEX(상세표[시작],$U998)&amp;""))</f>
        <v/>
      </c>
      <c r="O998">
        <f>IF($U998="","",IF(ISNUMBER(INDEX(상세표[종료],$U998)),TEXT(INDEX(상세표[종료],$U998),"yyyy-mm-dd hh:mm"),INDEX(상세표[종료],$U998)&amp;""))</f>
        <v/>
      </c>
      <c r="P998">
        <f>IF($U998="","",INDEX(상세표[06~07시],$U998))</f>
        <v/>
      </c>
      <c r="Q998">
        <f>IF($U998="","",INDEX(상세표[07~18시],$U998))</f>
        <v/>
      </c>
      <c r="R998">
        <f>IF($U998="","",INDEX(상세표[18~22시],$U998))</f>
        <v/>
      </c>
      <c r="S998">
        <f>IF($U998="","",INDEX(상세표[22~06시],$U998))</f>
        <v/>
      </c>
      <c r="T998">
        <f>IF($U998="","",INDEX(상세표[기록 시간외],$U998))</f>
        <v/>
      </c>
      <c r="U998" s="4">
        <f>IFERROR(MATCH(993,상세표[발송순번],0),"")</f>
        <v/>
      </c>
    </row>
    <row r="999">
      <c r="J999">
        <f>IF($U999="","",INDEX(상세표[사번],$U999)&amp;"")</f>
        <v/>
      </c>
      <c r="K999">
        <f>IF($U999="","",INDEX(상세표[성명],$U999)&amp;"")</f>
        <v/>
      </c>
      <c r="L999">
        <f>IF($U999="","",INDEX(상세표[직위],$U999)&amp;"")</f>
        <v/>
      </c>
      <c r="M999">
        <f>IF($U999="","",IF(ISNUMBER(INDEX(상세표[근무일자],$U999)),TEXT(INDEX(상세표[근무일자],$U999),"yyyy-mm-dd"),INDEX(상세표[근무일자],$U999)&amp;""))</f>
        <v/>
      </c>
      <c r="N999">
        <f>IF($U999="","",IF(ISNUMBER(INDEX(상세표[시작],$U999)),TEXT(INDEX(상세표[시작],$U999),"yyyy-mm-dd hh:mm"),INDEX(상세표[시작],$U999)&amp;""))</f>
        <v/>
      </c>
      <c r="O999">
        <f>IF($U999="","",IF(ISNUMBER(INDEX(상세표[종료],$U999)),TEXT(INDEX(상세표[종료],$U999),"yyyy-mm-dd hh:mm"),INDEX(상세표[종료],$U999)&amp;""))</f>
        <v/>
      </c>
      <c r="P999">
        <f>IF($U999="","",INDEX(상세표[06~07시],$U999))</f>
        <v/>
      </c>
      <c r="Q999">
        <f>IF($U999="","",INDEX(상세표[07~18시],$U999))</f>
        <v/>
      </c>
      <c r="R999">
        <f>IF($U999="","",INDEX(상세표[18~22시],$U999))</f>
        <v/>
      </c>
      <c r="S999">
        <f>IF($U999="","",INDEX(상세표[22~06시],$U999))</f>
        <v/>
      </c>
      <c r="T999">
        <f>IF($U999="","",INDEX(상세표[기록 시간외],$U999))</f>
        <v/>
      </c>
      <c r="U999" s="4">
        <f>IFERROR(MATCH(994,상세표[발송순번],0),"")</f>
        <v/>
      </c>
    </row>
    <row r="1000">
      <c r="J1000">
        <f>IF($U1000="","",INDEX(상세표[사번],$U1000)&amp;"")</f>
        <v/>
      </c>
      <c r="K1000">
        <f>IF($U1000="","",INDEX(상세표[성명],$U1000)&amp;"")</f>
        <v/>
      </c>
      <c r="L1000">
        <f>IF($U1000="","",INDEX(상세표[직위],$U1000)&amp;"")</f>
        <v/>
      </c>
      <c r="M1000">
        <f>IF($U1000="","",IF(ISNUMBER(INDEX(상세표[근무일자],$U1000)),TEXT(INDEX(상세표[근무일자],$U1000),"yyyy-mm-dd"),INDEX(상세표[근무일자],$U1000)&amp;""))</f>
        <v/>
      </c>
      <c r="N1000">
        <f>IF($U1000="","",IF(ISNUMBER(INDEX(상세표[시작],$U1000)),TEXT(INDEX(상세표[시작],$U1000),"yyyy-mm-dd hh:mm"),INDEX(상세표[시작],$U1000)&amp;""))</f>
        <v/>
      </c>
      <c r="O1000">
        <f>IF($U1000="","",IF(ISNUMBER(INDEX(상세표[종료],$U1000)),TEXT(INDEX(상세표[종료],$U1000),"yyyy-mm-dd hh:mm"),INDEX(상세표[종료],$U1000)&amp;""))</f>
        <v/>
      </c>
      <c r="P1000">
        <f>IF($U1000="","",INDEX(상세표[06~07시],$U1000))</f>
        <v/>
      </c>
      <c r="Q1000">
        <f>IF($U1000="","",INDEX(상세표[07~18시],$U1000))</f>
        <v/>
      </c>
      <c r="R1000">
        <f>IF($U1000="","",INDEX(상세표[18~22시],$U1000))</f>
        <v/>
      </c>
      <c r="S1000">
        <f>IF($U1000="","",INDEX(상세표[22~06시],$U1000))</f>
        <v/>
      </c>
      <c r="T1000">
        <f>IF($U1000="","",INDEX(상세표[기록 시간외],$U1000))</f>
        <v/>
      </c>
      <c r="U1000" s="4">
        <f>IFERROR(MATCH(995,상세표[발송순번],0),"")</f>
        <v/>
      </c>
    </row>
    <row r="1001">
      <c r="J1001">
        <f>IF($U1001="","",INDEX(상세표[사번],$U1001)&amp;"")</f>
        <v/>
      </c>
      <c r="K1001">
        <f>IF($U1001="","",INDEX(상세표[성명],$U1001)&amp;"")</f>
        <v/>
      </c>
      <c r="L1001">
        <f>IF($U1001="","",INDEX(상세표[직위],$U1001)&amp;"")</f>
        <v/>
      </c>
      <c r="M1001">
        <f>IF($U1001="","",IF(ISNUMBER(INDEX(상세표[근무일자],$U1001)),TEXT(INDEX(상세표[근무일자],$U1001),"yyyy-mm-dd"),INDEX(상세표[근무일자],$U1001)&amp;""))</f>
        <v/>
      </c>
      <c r="N1001">
        <f>IF($U1001="","",IF(ISNUMBER(INDEX(상세표[시작],$U1001)),TEXT(INDEX(상세표[시작],$U1001),"yyyy-mm-dd hh:mm"),INDEX(상세표[시작],$U1001)&amp;""))</f>
        <v/>
      </c>
      <c r="O1001">
        <f>IF($U1001="","",IF(ISNUMBER(INDEX(상세표[종료],$U1001)),TEXT(INDEX(상세표[종료],$U1001),"yyyy-mm-dd hh:mm"),INDEX(상세표[종료],$U1001)&amp;""))</f>
        <v/>
      </c>
      <c r="P1001">
        <f>IF($U1001="","",INDEX(상세표[06~07시],$U1001))</f>
        <v/>
      </c>
      <c r="Q1001">
        <f>IF($U1001="","",INDEX(상세표[07~18시],$U1001))</f>
        <v/>
      </c>
      <c r="R1001">
        <f>IF($U1001="","",INDEX(상세표[18~22시],$U1001))</f>
        <v/>
      </c>
      <c r="S1001">
        <f>IF($U1001="","",INDEX(상세표[22~06시],$U1001))</f>
        <v/>
      </c>
      <c r="T1001">
        <f>IF($U1001="","",INDEX(상세표[기록 시간외],$U1001))</f>
        <v/>
      </c>
      <c r="U1001" s="4">
        <f>IFERROR(MATCH(996,상세표[발송순번],0),"")</f>
        <v/>
      </c>
    </row>
    <row r="1002">
      <c r="J1002">
        <f>IF($U1002="","",INDEX(상세표[사번],$U1002)&amp;"")</f>
        <v/>
      </c>
      <c r="K1002">
        <f>IF($U1002="","",INDEX(상세표[성명],$U1002)&amp;"")</f>
        <v/>
      </c>
      <c r="L1002">
        <f>IF($U1002="","",INDEX(상세표[직위],$U1002)&amp;"")</f>
        <v/>
      </c>
      <c r="M1002">
        <f>IF($U1002="","",IF(ISNUMBER(INDEX(상세표[근무일자],$U1002)),TEXT(INDEX(상세표[근무일자],$U1002),"yyyy-mm-dd"),INDEX(상세표[근무일자],$U1002)&amp;""))</f>
        <v/>
      </c>
      <c r="N1002">
        <f>IF($U1002="","",IF(ISNUMBER(INDEX(상세표[시작],$U1002)),TEXT(INDEX(상세표[시작],$U1002),"yyyy-mm-dd hh:mm"),INDEX(상세표[시작],$U1002)&amp;""))</f>
        <v/>
      </c>
      <c r="O1002">
        <f>IF($U1002="","",IF(ISNUMBER(INDEX(상세표[종료],$U1002)),TEXT(INDEX(상세표[종료],$U1002),"yyyy-mm-dd hh:mm"),INDEX(상세표[종료],$U1002)&amp;""))</f>
        <v/>
      </c>
      <c r="P1002">
        <f>IF($U1002="","",INDEX(상세표[06~07시],$U1002))</f>
        <v/>
      </c>
      <c r="Q1002">
        <f>IF($U1002="","",INDEX(상세표[07~18시],$U1002))</f>
        <v/>
      </c>
      <c r="R1002">
        <f>IF($U1002="","",INDEX(상세표[18~22시],$U1002))</f>
        <v/>
      </c>
      <c r="S1002">
        <f>IF($U1002="","",INDEX(상세표[22~06시],$U1002))</f>
        <v/>
      </c>
      <c r="T1002">
        <f>IF($U1002="","",INDEX(상세표[기록 시간외],$U1002))</f>
        <v/>
      </c>
      <c r="U1002" s="4">
        <f>IFERROR(MATCH(997,상세표[발송순번],0),"")</f>
        <v/>
      </c>
    </row>
    <row r="1003">
      <c r="J1003">
        <f>IF($U1003="","",INDEX(상세표[사번],$U1003)&amp;"")</f>
        <v/>
      </c>
      <c r="K1003">
        <f>IF($U1003="","",INDEX(상세표[성명],$U1003)&amp;"")</f>
        <v/>
      </c>
      <c r="L1003">
        <f>IF($U1003="","",INDEX(상세표[직위],$U1003)&amp;"")</f>
        <v/>
      </c>
      <c r="M1003">
        <f>IF($U1003="","",IF(ISNUMBER(INDEX(상세표[근무일자],$U1003)),TEXT(INDEX(상세표[근무일자],$U1003),"yyyy-mm-dd"),INDEX(상세표[근무일자],$U1003)&amp;""))</f>
        <v/>
      </c>
      <c r="N1003">
        <f>IF($U1003="","",IF(ISNUMBER(INDEX(상세표[시작],$U1003)),TEXT(INDEX(상세표[시작],$U1003),"yyyy-mm-dd hh:mm"),INDEX(상세표[시작],$U1003)&amp;""))</f>
        <v/>
      </c>
      <c r="O1003">
        <f>IF($U1003="","",IF(ISNUMBER(INDEX(상세표[종료],$U1003)),TEXT(INDEX(상세표[종료],$U1003),"yyyy-mm-dd hh:mm"),INDEX(상세표[종료],$U1003)&amp;""))</f>
        <v/>
      </c>
      <c r="P1003">
        <f>IF($U1003="","",INDEX(상세표[06~07시],$U1003))</f>
        <v/>
      </c>
      <c r="Q1003">
        <f>IF($U1003="","",INDEX(상세표[07~18시],$U1003))</f>
        <v/>
      </c>
      <c r="R1003">
        <f>IF($U1003="","",INDEX(상세표[18~22시],$U1003))</f>
        <v/>
      </c>
      <c r="S1003">
        <f>IF($U1003="","",INDEX(상세표[22~06시],$U1003))</f>
        <v/>
      </c>
      <c r="T1003">
        <f>IF($U1003="","",INDEX(상세표[기록 시간외],$U1003))</f>
        <v/>
      </c>
      <c r="U1003" s="4">
        <f>IFERROR(MATCH(998,상세표[발송순번],0),"")</f>
        <v/>
      </c>
    </row>
    <row r="1004">
      <c r="J1004">
        <f>IF($U1004="","",INDEX(상세표[사번],$U1004)&amp;"")</f>
        <v/>
      </c>
      <c r="K1004">
        <f>IF($U1004="","",INDEX(상세표[성명],$U1004)&amp;"")</f>
        <v/>
      </c>
      <c r="L1004">
        <f>IF($U1004="","",INDEX(상세표[직위],$U1004)&amp;"")</f>
        <v/>
      </c>
      <c r="M1004">
        <f>IF($U1004="","",IF(ISNUMBER(INDEX(상세표[근무일자],$U1004)),TEXT(INDEX(상세표[근무일자],$U1004),"yyyy-mm-dd"),INDEX(상세표[근무일자],$U1004)&amp;""))</f>
        <v/>
      </c>
      <c r="N1004">
        <f>IF($U1004="","",IF(ISNUMBER(INDEX(상세표[시작],$U1004)),TEXT(INDEX(상세표[시작],$U1004),"yyyy-mm-dd hh:mm"),INDEX(상세표[시작],$U1004)&amp;""))</f>
        <v/>
      </c>
      <c r="O1004">
        <f>IF($U1004="","",IF(ISNUMBER(INDEX(상세표[종료],$U1004)),TEXT(INDEX(상세표[종료],$U1004),"yyyy-mm-dd hh:mm"),INDEX(상세표[종료],$U1004)&amp;""))</f>
        <v/>
      </c>
      <c r="P1004">
        <f>IF($U1004="","",INDEX(상세표[06~07시],$U1004))</f>
        <v/>
      </c>
      <c r="Q1004">
        <f>IF($U1004="","",INDEX(상세표[07~18시],$U1004))</f>
        <v/>
      </c>
      <c r="R1004">
        <f>IF($U1004="","",INDEX(상세표[18~22시],$U1004))</f>
        <v/>
      </c>
      <c r="S1004">
        <f>IF($U1004="","",INDEX(상세표[22~06시],$U1004))</f>
        <v/>
      </c>
      <c r="T1004">
        <f>IF($U1004="","",INDEX(상세표[기록 시간외],$U1004))</f>
        <v/>
      </c>
      <c r="U1004" s="4">
        <f>IFERROR(MATCH(999,상세표[발송순번],0),"")</f>
        <v/>
      </c>
    </row>
    <row r="1005">
      <c r="J1005">
        <f>IF($U1005="","",INDEX(상세표[사번],$U1005)&amp;"")</f>
        <v/>
      </c>
      <c r="K1005">
        <f>IF($U1005="","",INDEX(상세표[성명],$U1005)&amp;"")</f>
        <v/>
      </c>
      <c r="L1005">
        <f>IF($U1005="","",INDEX(상세표[직위],$U1005)&amp;"")</f>
        <v/>
      </c>
      <c r="M1005">
        <f>IF($U1005="","",IF(ISNUMBER(INDEX(상세표[근무일자],$U1005)),TEXT(INDEX(상세표[근무일자],$U1005),"yyyy-mm-dd"),INDEX(상세표[근무일자],$U1005)&amp;""))</f>
        <v/>
      </c>
      <c r="N1005">
        <f>IF($U1005="","",IF(ISNUMBER(INDEX(상세표[시작],$U1005)),TEXT(INDEX(상세표[시작],$U1005),"yyyy-mm-dd hh:mm"),INDEX(상세표[시작],$U1005)&amp;""))</f>
        <v/>
      </c>
      <c r="O1005">
        <f>IF($U1005="","",IF(ISNUMBER(INDEX(상세표[종료],$U1005)),TEXT(INDEX(상세표[종료],$U1005),"yyyy-mm-dd hh:mm"),INDEX(상세표[종료],$U1005)&amp;""))</f>
        <v/>
      </c>
      <c r="P1005">
        <f>IF($U1005="","",INDEX(상세표[06~07시],$U1005))</f>
        <v/>
      </c>
      <c r="Q1005">
        <f>IF($U1005="","",INDEX(상세표[07~18시],$U1005))</f>
        <v/>
      </c>
      <c r="R1005">
        <f>IF($U1005="","",INDEX(상세표[18~22시],$U1005))</f>
        <v/>
      </c>
      <c r="S1005">
        <f>IF($U1005="","",INDEX(상세표[22~06시],$U1005))</f>
        <v/>
      </c>
      <c r="T1005">
        <f>IF($U1005="","",INDEX(상세표[기록 시간외],$U1005))</f>
        <v/>
      </c>
      <c r="U1005" s="4">
        <f>IFERROR(MATCH(1000,상세표[발송순번],0),"")</f>
        <v/>
      </c>
    </row>
    <row r="1006">
      <c r="J1006">
        <f>IF($U1006="","",INDEX(상세표[사번],$U1006)&amp;"")</f>
        <v/>
      </c>
      <c r="K1006">
        <f>IF($U1006="","",INDEX(상세표[성명],$U1006)&amp;"")</f>
        <v/>
      </c>
      <c r="L1006">
        <f>IF($U1006="","",INDEX(상세표[직위],$U1006)&amp;"")</f>
        <v/>
      </c>
      <c r="M1006">
        <f>IF($U1006="","",IF(ISNUMBER(INDEX(상세표[근무일자],$U1006)),TEXT(INDEX(상세표[근무일자],$U1006),"yyyy-mm-dd"),INDEX(상세표[근무일자],$U1006)&amp;""))</f>
        <v/>
      </c>
      <c r="N1006">
        <f>IF($U1006="","",IF(ISNUMBER(INDEX(상세표[시작],$U1006)),TEXT(INDEX(상세표[시작],$U1006),"yyyy-mm-dd hh:mm"),INDEX(상세표[시작],$U1006)&amp;""))</f>
        <v/>
      </c>
      <c r="O1006">
        <f>IF($U1006="","",IF(ISNUMBER(INDEX(상세표[종료],$U1006)),TEXT(INDEX(상세표[종료],$U1006),"yyyy-mm-dd hh:mm"),INDEX(상세표[종료],$U1006)&amp;""))</f>
        <v/>
      </c>
      <c r="P1006">
        <f>IF($U1006="","",INDEX(상세표[06~07시],$U1006))</f>
        <v/>
      </c>
      <c r="Q1006">
        <f>IF($U1006="","",INDEX(상세표[07~18시],$U1006))</f>
        <v/>
      </c>
      <c r="R1006">
        <f>IF($U1006="","",INDEX(상세표[18~22시],$U1006))</f>
        <v/>
      </c>
      <c r="S1006">
        <f>IF($U1006="","",INDEX(상세표[22~06시],$U1006))</f>
        <v/>
      </c>
      <c r="T1006">
        <f>IF($U1006="","",INDEX(상세표[기록 시간외],$U1006))</f>
        <v/>
      </c>
      <c r="U1006" s="4">
        <f>IFERROR(MATCH(1001,상세표[발송순번],0),"")</f>
        <v/>
      </c>
    </row>
    <row r="1007">
      <c r="J1007">
        <f>IF($U1007="","",INDEX(상세표[사번],$U1007)&amp;"")</f>
        <v/>
      </c>
      <c r="K1007">
        <f>IF($U1007="","",INDEX(상세표[성명],$U1007)&amp;"")</f>
        <v/>
      </c>
      <c r="L1007">
        <f>IF($U1007="","",INDEX(상세표[직위],$U1007)&amp;"")</f>
        <v/>
      </c>
      <c r="M1007">
        <f>IF($U1007="","",IF(ISNUMBER(INDEX(상세표[근무일자],$U1007)),TEXT(INDEX(상세표[근무일자],$U1007),"yyyy-mm-dd"),INDEX(상세표[근무일자],$U1007)&amp;""))</f>
        <v/>
      </c>
      <c r="N1007">
        <f>IF($U1007="","",IF(ISNUMBER(INDEX(상세표[시작],$U1007)),TEXT(INDEX(상세표[시작],$U1007),"yyyy-mm-dd hh:mm"),INDEX(상세표[시작],$U1007)&amp;""))</f>
        <v/>
      </c>
      <c r="O1007">
        <f>IF($U1007="","",IF(ISNUMBER(INDEX(상세표[종료],$U1007)),TEXT(INDEX(상세표[종료],$U1007),"yyyy-mm-dd hh:mm"),INDEX(상세표[종료],$U1007)&amp;""))</f>
        <v/>
      </c>
      <c r="P1007">
        <f>IF($U1007="","",INDEX(상세표[06~07시],$U1007))</f>
        <v/>
      </c>
      <c r="Q1007">
        <f>IF($U1007="","",INDEX(상세표[07~18시],$U1007))</f>
        <v/>
      </c>
      <c r="R1007">
        <f>IF($U1007="","",INDEX(상세표[18~22시],$U1007))</f>
        <v/>
      </c>
      <c r="S1007">
        <f>IF($U1007="","",INDEX(상세표[22~06시],$U1007))</f>
        <v/>
      </c>
      <c r="T1007">
        <f>IF($U1007="","",INDEX(상세표[기록 시간외],$U1007))</f>
        <v/>
      </c>
      <c r="U1007" s="4">
        <f>IFERROR(MATCH(1002,상세표[발송순번],0),"")</f>
        <v/>
      </c>
    </row>
    <row r="1008">
      <c r="J1008">
        <f>IF($U1008="","",INDEX(상세표[사번],$U1008)&amp;"")</f>
        <v/>
      </c>
      <c r="K1008">
        <f>IF($U1008="","",INDEX(상세표[성명],$U1008)&amp;"")</f>
        <v/>
      </c>
      <c r="L1008">
        <f>IF($U1008="","",INDEX(상세표[직위],$U1008)&amp;"")</f>
        <v/>
      </c>
      <c r="M1008">
        <f>IF($U1008="","",IF(ISNUMBER(INDEX(상세표[근무일자],$U1008)),TEXT(INDEX(상세표[근무일자],$U1008),"yyyy-mm-dd"),INDEX(상세표[근무일자],$U1008)&amp;""))</f>
        <v/>
      </c>
      <c r="N1008">
        <f>IF($U1008="","",IF(ISNUMBER(INDEX(상세표[시작],$U1008)),TEXT(INDEX(상세표[시작],$U1008),"yyyy-mm-dd hh:mm"),INDEX(상세표[시작],$U1008)&amp;""))</f>
        <v/>
      </c>
      <c r="O1008">
        <f>IF($U1008="","",IF(ISNUMBER(INDEX(상세표[종료],$U1008)),TEXT(INDEX(상세표[종료],$U1008),"yyyy-mm-dd hh:mm"),INDEX(상세표[종료],$U1008)&amp;""))</f>
        <v/>
      </c>
      <c r="P1008">
        <f>IF($U1008="","",INDEX(상세표[06~07시],$U1008))</f>
        <v/>
      </c>
      <c r="Q1008">
        <f>IF($U1008="","",INDEX(상세표[07~18시],$U1008))</f>
        <v/>
      </c>
      <c r="R1008">
        <f>IF($U1008="","",INDEX(상세표[18~22시],$U1008))</f>
        <v/>
      </c>
      <c r="S1008">
        <f>IF($U1008="","",INDEX(상세표[22~06시],$U1008))</f>
        <v/>
      </c>
      <c r="T1008">
        <f>IF($U1008="","",INDEX(상세표[기록 시간외],$U1008))</f>
        <v/>
      </c>
      <c r="U1008" s="4">
        <f>IFERROR(MATCH(1003,상세표[발송순번],0),"")</f>
        <v/>
      </c>
    </row>
    <row r="1009">
      <c r="J1009">
        <f>IF($U1009="","",INDEX(상세표[사번],$U1009)&amp;"")</f>
        <v/>
      </c>
      <c r="K1009">
        <f>IF($U1009="","",INDEX(상세표[성명],$U1009)&amp;"")</f>
        <v/>
      </c>
      <c r="L1009">
        <f>IF($U1009="","",INDEX(상세표[직위],$U1009)&amp;"")</f>
        <v/>
      </c>
      <c r="M1009">
        <f>IF($U1009="","",IF(ISNUMBER(INDEX(상세표[근무일자],$U1009)),TEXT(INDEX(상세표[근무일자],$U1009),"yyyy-mm-dd"),INDEX(상세표[근무일자],$U1009)&amp;""))</f>
        <v/>
      </c>
      <c r="N1009">
        <f>IF($U1009="","",IF(ISNUMBER(INDEX(상세표[시작],$U1009)),TEXT(INDEX(상세표[시작],$U1009),"yyyy-mm-dd hh:mm"),INDEX(상세표[시작],$U1009)&amp;""))</f>
        <v/>
      </c>
      <c r="O1009">
        <f>IF($U1009="","",IF(ISNUMBER(INDEX(상세표[종료],$U1009)),TEXT(INDEX(상세표[종료],$U1009),"yyyy-mm-dd hh:mm"),INDEX(상세표[종료],$U1009)&amp;""))</f>
        <v/>
      </c>
      <c r="P1009">
        <f>IF($U1009="","",INDEX(상세표[06~07시],$U1009))</f>
        <v/>
      </c>
      <c r="Q1009">
        <f>IF($U1009="","",INDEX(상세표[07~18시],$U1009))</f>
        <v/>
      </c>
      <c r="R1009">
        <f>IF($U1009="","",INDEX(상세표[18~22시],$U1009))</f>
        <v/>
      </c>
      <c r="S1009">
        <f>IF($U1009="","",INDEX(상세표[22~06시],$U1009))</f>
        <v/>
      </c>
      <c r="T1009">
        <f>IF($U1009="","",INDEX(상세표[기록 시간외],$U1009))</f>
        <v/>
      </c>
      <c r="U1009" s="4">
        <f>IFERROR(MATCH(1004,상세표[발송순번],0),"")</f>
        <v/>
      </c>
    </row>
    <row r="1010">
      <c r="J1010">
        <f>IF($U1010="","",INDEX(상세표[사번],$U1010)&amp;"")</f>
        <v/>
      </c>
      <c r="K1010">
        <f>IF($U1010="","",INDEX(상세표[성명],$U1010)&amp;"")</f>
        <v/>
      </c>
      <c r="L1010">
        <f>IF($U1010="","",INDEX(상세표[직위],$U1010)&amp;"")</f>
        <v/>
      </c>
      <c r="M1010">
        <f>IF($U1010="","",IF(ISNUMBER(INDEX(상세표[근무일자],$U1010)),TEXT(INDEX(상세표[근무일자],$U1010),"yyyy-mm-dd"),INDEX(상세표[근무일자],$U1010)&amp;""))</f>
        <v/>
      </c>
      <c r="N1010">
        <f>IF($U1010="","",IF(ISNUMBER(INDEX(상세표[시작],$U1010)),TEXT(INDEX(상세표[시작],$U1010),"yyyy-mm-dd hh:mm"),INDEX(상세표[시작],$U1010)&amp;""))</f>
        <v/>
      </c>
      <c r="O1010">
        <f>IF($U1010="","",IF(ISNUMBER(INDEX(상세표[종료],$U1010)),TEXT(INDEX(상세표[종료],$U1010),"yyyy-mm-dd hh:mm"),INDEX(상세표[종료],$U1010)&amp;""))</f>
        <v/>
      </c>
      <c r="P1010">
        <f>IF($U1010="","",INDEX(상세표[06~07시],$U1010))</f>
        <v/>
      </c>
      <c r="Q1010">
        <f>IF($U1010="","",INDEX(상세표[07~18시],$U1010))</f>
        <v/>
      </c>
      <c r="R1010">
        <f>IF($U1010="","",INDEX(상세표[18~22시],$U1010))</f>
        <v/>
      </c>
      <c r="S1010">
        <f>IF($U1010="","",INDEX(상세표[22~06시],$U1010))</f>
        <v/>
      </c>
      <c r="T1010">
        <f>IF($U1010="","",INDEX(상세표[기록 시간외],$U1010))</f>
        <v/>
      </c>
      <c r="U1010" s="4">
        <f>IFERROR(MATCH(1005,상세표[발송순번],0),"")</f>
        <v/>
      </c>
    </row>
    <row r="1011">
      <c r="J1011">
        <f>IF($U1011="","",INDEX(상세표[사번],$U1011)&amp;"")</f>
        <v/>
      </c>
      <c r="K1011">
        <f>IF($U1011="","",INDEX(상세표[성명],$U1011)&amp;"")</f>
        <v/>
      </c>
      <c r="L1011">
        <f>IF($U1011="","",INDEX(상세표[직위],$U1011)&amp;"")</f>
        <v/>
      </c>
      <c r="M1011">
        <f>IF($U1011="","",IF(ISNUMBER(INDEX(상세표[근무일자],$U1011)),TEXT(INDEX(상세표[근무일자],$U1011),"yyyy-mm-dd"),INDEX(상세표[근무일자],$U1011)&amp;""))</f>
        <v/>
      </c>
      <c r="N1011">
        <f>IF($U1011="","",IF(ISNUMBER(INDEX(상세표[시작],$U1011)),TEXT(INDEX(상세표[시작],$U1011),"yyyy-mm-dd hh:mm"),INDEX(상세표[시작],$U1011)&amp;""))</f>
        <v/>
      </c>
      <c r="O1011">
        <f>IF($U1011="","",IF(ISNUMBER(INDEX(상세표[종료],$U1011)),TEXT(INDEX(상세표[종료],$U1011),"yyyy-mm-dd hh:mm"),INDEX(상세표[종료],$U1011)&amp;""))</f>
        <v/>
      </c>
      <c r="P1011">
        <f>IF($U1011="","",INDEX(상세표[06~07시],$U1011))</f>
        <v/>
      </c>
      <c r="Q1011">
        <f>IF($U1011="","",INDEX(상세표[07~18시],$U1011))</f>
        <v/>
      </c>
      <c r="R1011">
        <f>IF($U1011="","",INDEX(상세표[18~22시],$U1011))</f>
        <v/>
      </c>
      <c r="S1011">
        <f>IF($U1011="","",INDEX(상세표[22~06시],$U1011))</f>
        <v/>
      </c>
      <c r="T1011">
        <f>IF($U1011="","",INDEX(상세표[기록 시간외],$U1011))</f>
        <v/>
      </c>
      <c r="U1011" s="4">
        <f>IFERROR(MATCH(1006,상세표[발송순번],0),"")</f>
        <v/>
      </c>
    </row>
    <row r="1012">
      <c r="J1012">
        <f>IF($U1012="","",INDEX(상세표[사번],$U1012)&amp;"")</f>
        <v/>
      </c>
      <c r="K1012">
        <f>IF($U1012="","",INDEX(상세표[성명],$U1012)&amp;"")</f>
        <v/>
      </c>
      <c r="L1012">
        <f>IF($U1012="","",INDEX(상세표[직위],$U1012)&amp;"")</f>
        <v/>
      </c>
      <c r="M1012">
        <f>IF($U1012="","",IF(ISNUMBER(INDEX(상세표[근무일자],$U1012)),TEXT(INDEX(상세표[근무일자],$U1012),"yyyy-mm-dd"),INDEX(상세표[근무일자],$U1012)&amp;""))</f>
        <v/>
      </c>
      <c r="N1012">
        <f>IF($U1012="","",IF(ISNUMBER(INDEX(상세표[시작],$U1012)),TEXT(INDEX(상세표[시작],$U1012),"yyyy-mm-dd hh:mm"),INDEX(상세표[시작],$U1012)&amp;""))</f>
        <v/>
      </c>
      <c r="O1012">
        <f>IF($U1012="","",IF(ISNUMBER(INDEX(상세표[종료],$U1012)),TEXT(INDEX(상세표[종료],$U1012),"yyyy-mm-dd hh:mm"),INDEX(상세표[종료],$U1012)&amp;""))</f>
        <v/>
      </c>
      <c r="P1012">
        <f>IF($U1012="","",INDEX(상세표[06~07시],$U1012))</f>
        <v/>
      </c>
      <c r="Q1012">
        <f>IF($U1012="","",INDEX(상세표[07~18시],$U1012))</f>
        <v/>
      </c>
      <c r="R1012">
        <f>IF($U1012="","",INDEX(상세표[18~22시],$U1012))</f>
        <v/>
      </c>
      <c r="S1012">
        <f>IF($U1012="","",INDEX(상세표[22~06시],$U1012))</f>
        <v/>
      </c>
      <c r="T1012">
        <f>IF($U1012="","",INDEX(상세표[기록 시간외],$U1012))</f>
        <v/>
      </c>
      <c r="U1012" s="4">
        <f>IFERROR(MATCH(1007,상세표[발송순번],0),"")</f>
        <v/>
      </c>
    </row>
    <row r="1013">
      <c r="J1013">
        <f>IF($U1013="","",INDEX(상세표[사번],$U1013)&amp;"")</f>
        <v/>
      </c>
      <c r="K1013">
        <f>IF($U1013="","",INDEX(상세표[성명],$U1013)&amp;"")</f>
        <v/>
      </c>
      <c r="L1013">
        <f>IF($U1013="","",INDEX(상세표[직위],$U1013)&amp;"")</f>
        <v/>
      </c>
      <c r="M1013">
        <f>IF($U1013="","",IF(ISNUMBER(INDEX(상세표[근무일자],$U1013)),TEXT(INDEX(상세표[근무일자],$U1013),"yyyy-mm-dd"),INDEX(상세표[근무일자],$U1013)&amp;""))</f>
        <v/>
      </c>
      <c r="N1013">
        <f>IF($U1013="","",IF(ISNUMBER(INDEX(상세표[시작],$U1013)),TEXT(INDEX(상세표[시작],$U1013),"yyyy-mm-dd hh:mm"),INDEX(상세표[시작],$U1013)&amp;""))</f>
        <v/>
      </c>
      <c r="O1013">
        <f>IF($U1013="","",IF(ISNUMBER(INDEX(상세표[종료],$U1013)),TEXT(INDEX(상세표[종료],$U1013),"yyyy-mm-dd hh:mm"),INDEX(상세표[종료],$U1013)&amp;""))</f>
        <v/>
      </c>
      <c r="P1013">
        <f>IF($U1013="","",INDEX(상세표[06~07시],$U1013))</f>
        <v/>
      </c>
      <c r="Q1013">
        <f>IF($U1013="","",INDEX(상세표[07~18시],$U1013))</f>
        <v/>
      </c>
      <c r="R1013">
        <f>IF($U1013="","",INDEX(상세표[18~22시],$U1013))</f>
        <v/>
      </c>
      <c r="S1013">
        <f>IF($U1013="","",INDEX(상세표[22~06시],$U1013))</f>
        <v/>
      </c>
      <c r="T1013">
        <f>IF($U1013="","",INDEX(상세표[기록 시간외],$U1013))</f>
        <v/>
      </c>
      <c r="U1013" s="4">
        <f>IFERROR(MATCH(1008,상세표[발송순번],0),"")</f>
        <v/>
      </c>
    </row>
    <row r="1014">
      <c r="J1014">
        <f>IF($U1014="","",INDEX(상세표[사번],$U1014)&amp;"")</f>
        <v/>
      </c>
      <c r="K1014">
        <f>IF($U1014="","",INDEX(상세표[성명],$U1014)&amp;"")</f>
        <v/>
      </c>
      <c r="L1014">
        <f>IF($U1014="","",INDEX(상세표[직위],$U1014)&amp;"")</f>
        <v/>
      </c>
      <c r="M1014">
        <f>IF($U1014="","",IF(ISNUMBER(INDEX(상세표[근무일자],$U1014)),TEXT(INDEX(상세표[근무일자],$U1014),"yyyy-mm-dd"),INDEX(상세표[근무일자],$U1014)&amp;""))</f>
        <v/>
      </c>
      <c r="N1014">
        <f>IF($U1014="","",IF(ISNUMBER(INDEX(상세표[시작],$U1014)),TEXT(INDEX(상세표[시작],$U1014),"yyyy-mm-dd hh:mm"),INDEX(상세표[시작],$U1014)&amp;""))</f>
        <v/>
      </c>
      <c r="O1014">
        <f>IF($U1014="","",IF(ISNUMBER(INDEX(상세표[종료],$U1014)),TEXT(INDEX(상세표[종료],$U1014),"yyyy-mm-dd hh:mm"),INDEX(상세표[종료],$U1014)&amp;""))</f>
        <v/>
      </c>
      <c r="P1014">
        <f>IF($U1014="","",INDEX(상세표[06~07시],$U1014))</f>
        <v/>
      </c>
      <c r="Q1014">
        <f>IF($U1014="","",INDEX(상세표[07~18시],$U1014))</f>
        <v/>
      </c>
      <c r="R1014">
        <f>IF($U1014="","",INDEX(상세표[18~22시],$U1014))</f>
        <v/>
      </c>
      <c r="S1014">
        <f>IF($U1014="","",INDEX(상세표[22~06시],$U1014))</f>
        <v/>
      </c>
      <c r="T1014">
        <f>IF($U1014="","",INDEX(상세표[기록 시간외],$U1014))</f>
        <v/>
      </c>
      <c r="U1014" s="4">
        <f>IFERROR(MATCH(1009,상세표[발송순번],0),"")</f>
        <v/>
      </c>
    </row>
    <row r="1015">
      <c r="J1015">
        <f>IF($U1015="","",INDEX(상세표[사번],$U1015)&amp;"")</f>
        <v/>
      </c>
      <c r="K1015">
        <f>IF($U1015="","",INDEX(상세표[성명],$U1015)&amp;"")</f>
        <v/>
      </c>
      <c r="L1015">
        <f>IF($U1015="","",INDEX(상세표[직위],$U1015)&amp;"")</f>
        <v/>
      </c>
      <c r="M1015">
        <f>IF($U1015="","",IF(ISNUMBER(INDEX(상세표[근무일자],$U1015)),TEXT(INDEX(상세표[근무일자],$U1015),"yyyy-mm-dd"),INDEX(상세표[근무일자],$U1015)&amp;""))</f>
        <v/>
      </c>
      <c r="N1015">
        <f>IF($U1015="","",IF(ISNUMBER(INDEX(상세표[시작],$U1015)),TEXT(INDEX(상세표[시작],$U1015),"yyyy-mm-dd hh:mm"),INDEX(상세표[시작],$U1015)&amp;""))</f>
        <v/>
      </c>
      <c r="O1015">
        <f>IF($U1015="","",IF(ISNUMBER(INDEX(상세표[종료],$U1015)),TEXT(INDEX(상세표[종료],$U1015),"yyyy-mm-dd hh:mm"),INDEX(상세표[종료],$U1015)&amp;""))</f>
        <v/>
      </c>
      <c r="P1015">
        <f>IF($U1015="","",INDEX(상세표[06~07시],$U1015))</f>
        <v/>
      </c>
      <c r="Q1015">
        <f>IF($U1015="","",INDEX(상세표[07~18시],$U1015))</f>
        <v/>
      </c>
      <c r="R1015">
        <f>IF($U1015="","",INDEX(상세표[18~22시],$U1015))</f>
        <v/>
      </c>
      <c r="S1015">
        <f>IF($U1015="","",INDEX(상세표[22~06시],$U1015))</f>
        <v/>
      </c>
      <c r="T1015">
        <f>IF($U1015="","",INDEX(상세표[기록 시간외],$U1015))</f>
        <v/>
      </c>
      <c r="U1015" s="4">
        <f>IFERROR(MATCH(1010,상세표[발송순번],0),"")</f>
        <v/>
      </c>
    </row>
    <row r="1016">
      <c r="J1016">
        <f>IF($U1016="","",INDEX(상세표[사번],$U1016)&amp;"")</f>
        <v/>
      </c>
      <c r="K1016">
        <f>IF($U1016="","",INDEX(상세표[성명],$U1016)&amp;"")</f>
        <v/>
      </c>
      <c r="L1016">
        <f>IF($U1016="","",INDEX(상세표[직위],$U1016)&amp;"")</f>
        <v/>
      </c>
      <c r="M1016">
        <f>IF($U1016="","",IF(ISNUMBER(INDEX(상세표[근무일자],$U1016)),TEXT(INDEX(상세표[근무일자],$U1016),"yyyy-mm-dd"),INDEX(상세표[근무일자],$U1016)&amp;""))</f>
        <v/>
      </c>
      <c r="N1016">
        <f>IF($U1016="","",IF(ISNUMBER(INDEX(상세표[시작],$U1016)),TEXT(INDEX(상세표[시작],$U1016),"yyyy-mm-dd hh:mm"),INDEX(상세표[시작],$U1016)&amp;""))</f>
        <v/>
      </c>
      <c r="O1016">
        <f>IF($U1016="","",IF(ISNUMBER(INDEX(상세표[종료],$U1016)),TEXT(INDEX(상세표[종료],$U1016),"yyyy-mm-dd hh:mm"),INDEX(상세표[종료],$U1016)&amp;""))</f>
        <v/>
      </c>
      <c r="P1016">
        <f>IF($U1016="","",INDEX(상세표[06~07시],$U1016))</f>
        <v/>
      </c>
      <c r="Q1016">
        <f>IF($U1016="","",INDEX(상세표[07~18시],$U1016))</f>
        <v/>
      </c>
      <c r="R1016">
        <f>IF($U1016="","",INDEX(상세표[18~22시],$U1016))</f>
        <v/>
      </c>
      <c r="S1016">
        <f>IF($U1016="","",INDEX(상세표[22~06시],$U1016))</f>
        <v/>
      </c>
      <c r="T1016">
        <f>IF($U1016="","",INDEX(상세표[기록 시간외],$U1016))</f>
        <v/>
      </c>
      <c r="U1016" s="4">
        <f>IFERROR(MATCH(1011,상세표[발송순번],0),"")</f>
        <v/>
      </c>
    </row>
    <row r="1017">
      <c r="J1017">
        <f>IF($U1017="","",INDEX(상세표[사번],$U1017)&amp;"")</f>
        <v/>
      </c>
      <c r="K1017">
        <f>IF($U1017="","",INDEX(상세표[성명],$U1017)&amp;"")</f>
        <v/>
      </c>
      <c r="L1017">
        <f>IF($U1017="","",INDEX(상세표[직위],$U1017)&amp;"")</f>
        <v/>
      </c>
      <c r="M1017">
        <f>IF($U1017="","",IF(ISNUMBER(INDEX(상세표[근무일자],$U1017)),TEXT(INDEX(상세표[근무일자],$U1017),"yyyy-mm-dd"),INDEX(상세표[근무일자],$U1017)&amp;""))</f>
        <v/>
      </c>
      <c r="N1017">
        <f>IF($U1017="","",IF(ISNUMBER(INDEX(상세표[시작],$U1017)),TEXT(INDEX(상세표[시작],$U1017),"yyyy-mm-dd hh:mm"),INDEX(상세표[시작],$U1017)&amp;""))</f>
        <v/>
      </c>
      <c r="O1017">
        <f>IF($U1017="","",IF(ISNUMBER(INDEX(상세표[종료],$U1017)),TEXT(INDEX(상세표[종료],$U1017),"yyyy-mm-dd hh:mm"),INDEX(상세표[종료],$U1017)&amp;""))</f>
        <v/>
      </c>
      <c r="P1017">
        <f>IF($U1017="","",INDEX(상세표[06~07시],$U1017))</f>
        <v/>
      </c>
      <c r="Q1017">
        <f>IF($U1017="","",INDEX(상세표[07~18시],$U1017))</f>
        <v/>
      </c>
      <c r="R1017">
        <f>IF($U1017="","",INDEX(상세표[18~22시],$U1017))</f>
        <v/>
      </c>
      <c r="S1017">
        <f>IF($U1017="","",INDEX(상세표[22~06시],$U1017))</f>
        <v/>
      </c>
      <c r="T1017">
        <f>IF($U1017="","",INDEX(상세표[기록 시간외],$U1017))</f>
        <v/>
      </c>
      <c r="U1017" s="4">
        <f>IFERROR(MATCH(1012,상세표[발송순번],0),"")</f>
        <v/>
      </c>
    </row>
    <row r="1018">
      <c r="J1018">
        <f>IF($U1018="","",INDEX(상세표[사번],$U1018)&amp;"")</f>
        <v/>
      </c>
      <c r="K1018">
        <f>IF($U1018="","",INDEX(상세표[성명],$U1018)&amp;"")</f>
        <v/>
      </c>
      <c r="L1018">
        <f>IF($U1018="","",INDEX(상세표[직위],$U1018)&amp;"")</f>
        <v/>
      </c>
      <c r="M1018">
        <f>IF($U1018="","",IF(ISNUMBER(INDEX(상세표[근무일자],$U1018)),TEXT(INDEX(상세표[근무일자],$U1018),"yyyy-mm-dd"),INDEX(상세표[근무일자],$U1018)&amp;""))</f>
        <v/>
      </c>
      <c r="N1018">
        <f>IF($U1018="","",IF(ISNUMBER(INDEX(상세표[시작],$U1018)),TEXT(INDEX(상세표[시작],$U1018),"yyyy-mm-dd hh:mm"),INDEX(상세표[시작],$U1018)&amp;""))</f>
        <v/>
      </c>
      <c r="O1018">
        <f>IF($U1018="","",IF(ISNUMBER(INDEX(상세표[종료],$U1018)),TEXT(INDEX(상세표[종료],$U1018),"yyyy-mm-dd hh:mm"),INDEX(상세표[종료],$U1018)&amp;""))</f>
        <v/>
      </c>
      <c r="P1018">
        <f>IF($U1018="","",INDEX(상세표[06~07시],$U1018))</f>
        <v/>
      </c>
      <c r="Q1018">
        <f>IF($U1018="","",INDEX(상세표[07~18시],$U1018))</f>
        <v/>
      </c>
      <c r="R1018">
        <f>IF($U1018="","",INDEX(상세표[18~22시],$U1018))</f>
        <v/>
      </c>
      <c r="S1018">
        <f>IF($U1018="","",INDEX(상세표[22~06시],$U1018))</f>
        <v/>
      </c>
      <c r="T1018">
        <f>IF($U1018="","",INDEX(상세표[기록 시간외],$U1018))</f>
        <v/>
      </c>
      <c r="U1018" s="4">
        <f>IFERROR(MATCH(1013,상세표[발송순번],0),"")</f>
        <v/>
      </c>
    </row>
    <row r="1019">
      <c r="J1019">
        <f>IF($U1019="","",INDEX(상세표[사번],$U1019)&amp;"")</f>
        <v/>
      </c>
      <c r="K1019">
        <f>IF($U1019="","",INDEX(상세표[성명],$U1019)&amp;"")</f>
        <v/>
      </c>
      <c r="L1019">
        <f>IF($U1019="","",INDEX(상세표[직위],$U1019)&amp;"")</f>
        <v/>
      </c>
      <c r="M1019">
        <f>IF($U1019="","",IF(ISNUMBER(INDEX(상세표[근무일자],$U1019)),TEXT(INDEX(상세표[근무일자],$U1019),"yyyy-mm-dd"),INDEX(상세표[근무일자],$U1019)&amp;""))</f>
        <v/>
      </c>
      <c r="N1019">
        <f>IF($U1019="","",IF(ISNUMBER(INDEX(상세표[시작],$U1019)),TEXT(INDEX(상세표[시작],$U1019),"yyyy-mm-dd hh:mm"),INDEX(상세표[시작],$U1019)&amp;""))</f>
        <v/>
      </c>
      <c r="O1019">
        <f>IF($U1019="","",IF(ISNUMBER(INDEX(상세표[종료],$U1019)),TEXT(INDEX(상세표[종료],$U1019),"yyyy-mm-dd hh:mm"),INDEX(상세표[종료],$U1019)&amp;""))</f>
        <v/>
      </c>
      <c r="P1019">
        <f>IF($U1019="","",INDEX(상세표[06~07시],$U1019))</f>
        <v/>
      </c>
      <c r="Q1019">
        <f>IF($U1019="","",INDEX(상세표[07~18시],$U1019))</f>
        <v/>
      </c>
      <c r="R1019">
        <f>IF($U1019="","",INDEX(상세표[18~22시],$U1019))</f>
        <v/>
      </c>
      <c r="S1019">
        <f>IF($U1019="","",INDEX(상세표[22~06시],$U1019))</f>
        <v/>
      </c>
      <c r="T1019">
        <f>IF($U1019="","",INDEX(상세표[기록 시간외],$U1019))</f>
        <v/>
      </c>
      <c r="U1019" s="4">
        <f>IFERROR(MATCH(1014,상세표[발송순번],0),"")</f>
        <v/>
      </c>
    </row>
    <row r="1020">
      <c r="J1020">
        <f>IF($U1020="","",INDEX(상세표[사번],$U1020)&amp;"")</f>
        <v/>
      </c>
      <c r="K1020">
        <f>IF($U1020="","",INDEX(상세표[성명],$U1020)&amp;"")</f>
        <v/>
      </c>
      <c r="L1020">
        <f>IF($U1020="","",INDEX(상세표[직위],$U1020)&amp;"")</f>
        <v/>
      </c>
      <c r="M1020">
        <f>IF($U1020="","",IF(ISNUMBER(INDEX(상세표[근무일자],$U1020)),TEXT(INDEX(상세표[근무일자],$U1020),"yyyy-mm-dd"),INDEX(상세표[근무일자],$U1020)&amp;""))</f>
        <v/>
      </c>
      <c r="N1020">
        <f>IF($U1020="","",IF(ISNUMBER(INDEX(상세표[시작],$U1020)),TEXT(INDEX(상세표[시작],$U1020),"yyyy-mm-dd hh:mm"),INDEX(상세표[시작],$U1020)&amp;""))</f>
        <v/>
      </c>
      <c r="O1020">
        <f>IF($U1020="","",IF(ISNUMBER(INDEX(상세표[종료],$U1020)),TEXT(INDEX(상세표[종료],$U1020),"yyyy-mm-dd hh:mm"),INDEX(상세표[종료],$U1020)&amp;""))</f>
        <v/>
      </c>
      <c r="P1020">
        <f>IF($U1020="","",INDEX(상세표[06~07시],$U1020))</f>
        <v/>
      </c>
      <c r="Q1020">
        <f>IF($U1020="","",INDEX(상세표[07~18시],$U1020))</f>
        <v/>
      </c>
      <c r="R1020">
        <f>IF($U1020="","",INDEX(상세표[18~22시],$U1020))</f>
        <v/>
      </c>
      <c r="S1020">
        <f>IF($U1020="","",INDEX(상세표[22~06시],$U1020))</f>
        <v/>
      </c>
      <c r="T1020">
        <f>IF($U1020="","",INDEX(상세표[기록 시간외],$U1020))</f>
        <v/>
      </c>
      <c r="U1020" s="4">
        <f>IFERROR(MATCH(1015,상세표[발송순번],0),"")</f>
        <v/>
      </c>
    </row>
    <row r="1021">
      <c r="J1021">
        <f>IF($U1021="","",INDEX(상세표[사번],$U1021)&amp;"")</f>
        <v/>
      </c>
      <c r="K1021">
        <f>IF($U1021="","",INDEX(상세표[성명],$U1021)&amp;"")</f>
        <v/>
      </c>
      <c r="L1021">
        <f>IF($U1021="","",INDEX(상세표[직위],$U1021)&amp;"")</f>
        <v/>
      </c>
      <c r="M1021">
        <f>IF($U1021="","",IF(ISNUMBER(INDEX(상세표[근무일자],$U1021)),TEXT(INDEX(상세표[근무일자],$U1021),"yyyy-mm-dd"),INDEX(상세표[근무일자],$U1021)&amp;""))</f>
        <v/>
      </c>
      <c r="N1021">
        <f>IF($U1021="","",IF(ISNUMBER(INDEX(상세표[시작],$U1021)),TEXT(INDEX(상세표[시작],$U1021),"yyyy-mm-dd hh:mm"),INDEX(상세표[시작],$U1021)&amp;""))</f>
        <v/>
      </c>
      <c r="O1021">
        <f>IF($U1021="","",IF(ISNUMBER(INDEX(상세표[종료],$U1021)),TEXT(INDEX(상세표[종료],$U1021),"yyyy-mm-dd hh:mm"),INDEX(상세표[종료],$U1021)&amp;""))</f>
        <v/>
      </c>
      <c r="P1021">
        <f>IF($U1021="","",INDEX(상세표[06~07시],$U1021))</f>
        <v/>
      </c>
      <c r="Q1021">
        <f>IF($U1021="","",INDEX(상세표[07~18시],$U1021))</f>
        <v/>
      </c>
      <c r="R1021">
        <f>IF($U1021="","",INDEX(상세표[18~22시],$U1021))</f>
        <v/>
      </c>
      <c r="S1021">
        <f>IF($U1021="","",INDEX(상세표[22~06시],$U1021))</f>
        <v/>
      </c>
      <c r="T1021">
        <f>IF($U1021="","",INDEX(상세표[기록 시간외],$U1021))</f>
        <v/>
      </c>
      <c r="U1021" s="4">
        <f>IFERROR(MATCH(1016,상세표[발송순번],0),"")</f>
        <v/>
      </c>
    </row>
    <row r="1022">
      <c r="J1022">
        <f>IF($U1022="","",INDEX(상세표[사번],$U1022)&amp;"")</f>
        <v/>
      </c>
      <c r="K1022">
        <f>IF($U1022="","",INDEX(상세표[성명],$U1022)&amp;"")</f>
        <v/>
      </c>
      <c r="L1022">
        <f>IF($U1022="","",INDEX(상세표[직위],$U1022)&amp;"")</f>
        <v/>
      </c>
      <c r="M1022">
        <f>IF($U1022="","",IF(ISNUMBER(INDEX(상세표[근무일자],$U1022)),TEXT(INDEX(상세표[근무일자],$U1022),"yyyy-mm-dd"),INDEX(상세표[근무일자],$U1022)&amp;""))</f>
        <v/>
      </c>
      <c r="N1022">
        <f>IF($U1022="","",IF(ISNUMBER(INDEX(상세표[시작],$U1022)),TEXT(INDEX(상세표[시작],$U1022),"yyyy-mm-dd hh:mm"),INDEX(상세표[시작],$U1022)&amp;""))</f>
        <v/>
      </c>
      <c r="O1022">
        <f>IF($U1022="","",IF(ISNUMBER(INDEX(상세표[종료],$U1022)),TEXT(INDEX(상세표[종료],$U1022),"yyyy-mm-dd hh:mm"),INDEX(상세표[종료],$U1022)&amp;""))</f>
        <v/>
      </c>
      <c r="P1022">
        <f>IF($U1022="","",INDEX(상세표[06~07시],$U1022))</f>
        <v/>
      </c>
      <c r="Q1022">
        <f>IF($U1022="","",INDEX(상세표[07~18시],$U1022))</f>
        <v/>
      </c>
      <c r="R1022">
        <f>IF($U1022="","",INDEX(상세표[18~22시],$U1022))</f>
        <v/>
      </c>
      <c r="S1022">
        <f>IF($U1022="","",INDEX(상세표[22~06시],$U1022))</f>
        <v/>
      </c>
      <c r="T1022">
        <f>IF($U1022="","",INDEX(상세표[기록 시간외],$U1022))</f>
        <v/>
      </c>
      <c r="U1022" s="4">
        <f>IFERROR(MATCH(1017,상세표[발송순번],0),"")</f>
        <v/>
      </c>
    </row>
    <row r="1023">
      <c r="J1023">
        <f>IF($U1023="","",INDEX(상세표[사번],$U1023)&amp;"")</f>
        <v/>
      </c>
      <c r="K1023">
        <f>IF($U1023="","",INDEX(상세표[성명],$U1023)&amp;"")</f>
        <v/>
      </c>
      <c r="L1023">
        <f>IF($U1023="","",INDEX(상세표[직위],$U1023)&amp;"")</f>
        <v/>
      </c>
      <c r="M1023">
        <f>IF($U1023="","",IF(ISNUMBER(INDEX(상세표[근무일자],$U1023)),TEXT(INDEX(상세표[근무일자],$U1023),"yyyy-mm-dd"),INDEX(상세표[근무일자],$U1023)&amp;""))</f>
        <v/>
      </c>
      <c r="N1023">
        <f>IF($U1023="","",IF(ISNUMBER(INDEX(상세표[시작],$U1023)),TEXT(INDEX(상세표[시작],$U1023),"yyyy-mm-dd hh:mm"),INDEX(상세표[시작],$U1023)&amp;""))</f>
        <v/>
      </c>
      <c r="O1023">
        <f>IF($U1023="","",IF(ISNUMBER(INDEX(상세표[종료],$U1023)),TEXT(INDEX(상세표[종료],$U1023),"yyyy-mm-dd hh:mm"),INDEX(상세표[종료],$U1023)&amp;""))</f>
        <v/>
      </c>
      <c r="P1023">
        <f>IF($U1023="","",INDEX(상세표[06~07시],$U1023))</f>
        <v/>
      </c>
      <c r="Q1023">
        <f>IF($U1023="","",INDEX(상세표[07~18시],$U1023))</f>
        <v/>
      </c>
      <c r="R1023">
        <f>IF($U1023="","",INDEX(상세표[18~22시],$U1023))</f>
        <v/>
      </c>
      <c r="S1023">
        <f>IF($U1023="","",INDEX(상세표[22~06시],$U1023))</f>
        <v/>
      </c>
      <c r="T1023">
        <f>IF($U1023="","",INDEX(상세표[기록 시간외],$U1023))</f>
        <v/>
      </c>
      <c r="U1023" s="4">
        <f>IFERROR(MATCH(1018,상세표[발송순번],0),"")</f>
        <v/>
      </c>
    </row>
    <row r="1024">
      <c r="J1024">
        <f>IF($U1024="","",INDEX(상세표[사번],$U1024)&amp;"")</f>
        <v/>
      </c>
      <c r="K1024">
        <f>IF($U1024="","",INDEX(상세표[성명],$U1024)&amp;"")</f>
        <v/>
      </c>
      <c r="L1024">
        <f>IF($U1024="","",INDEX(상세표[직위],$U1024)&amp;"")</f>
        <v/>
      </c>
      <c r="M1024">
        <f>IF($U1024="","",IF(ISNUMBER(INDEX(상세표[근무일자],$U1024)),TEXT(INDEX(상세표[근무일자],$U1024),"yyyy-mm-dd"),INDEX(상세표[근무일자],$U1024)&amp;""))</f>
        <v/>
      </c>
      <c r="N1024">
        <f>IF($U1024="","",IF(ISNUMBER(INDEX(상세표[시작],$U1024)),TEXT(INDEX(상세표[시작],$U1024),"yyyy-mm-dd hh:mm"),INDEX(상세표[시작],$U1024)&amp;""))</f>
        <v/>
      </c>
      <c r="O1024">
        <f>IF($U1024="","",IF(ISNUMBER(INDEX(상세표[종료],$U1024)),TEXT(INDEX(상세표[종료],$U1024),"yyyy-mm-dd hh:mm"),INDEX(상세표[종료],$U1024)&amp;""))</f>
        <v/>
      </c>
      <c r="P1024">
        <f>IF($U1024="","",INDEX(상세표[06~07시],$U1024))</f>
        <v/>
      </c>
      <c r="Q1024">
        <f>IF($U1024="","",INDEX(상세표[07~18시],$U1024))</f>
        <v/>
      </c>
      <c r="R1024">
        <f>IF($U1024="","",INDEX(상세표[18~22시],$U1024))</f>
        <v/>
      </c>
      <c r="S1024">
        <f>IF($U1024="","",INDEX(상세표[22~06시],$U1024))</f>
        <v/>
      </c>
      <c r="T1024">
        <f>IF($U1024="","",INDEX(상세표[기록 시간외],$U1024))</f>
        <v/>
      </c>
      <c r="U1024" s="4">
        <f>IFERROR(MATCH(1019,상세표[발송순번],0),"")</f>
        <v/>
      </c>
    </row>
    <row r="1025">
      <c r="J1025">
        <f>IF($U1025="","",INDEX(상세표[사번],$U1025)&amp;"")</f>
        <v/>
      </c>
      <c r="K1025">
        <f>IF($U1025="","",INDEX(상세표[성명],$U1025)&amp;"")</f>
        <v/>
      </c>
      <c r="L1025">
        <f>IF($U1025="","",INDEX(상세표[직위],$U1025)&amp;"")</f>
        <v/>
      </c>
      <c r="M1025">
        <f>IF($U1025="","",IF(ISNUMBER(INDEX(상세표[근무일자],$U1025)),TEXT(INDEX(상세표[근무일자],$U1025),"yyyy-mm-dd"),INDEX(상세표[근무일자],$U1025)&amp;""))</f>
        <v/>
      </c>
      <c r="N1025">
        <f>IF($U1025="","",IF(ISNUMBER(INDEX(상세표[시작],$U1025)),TEXT(INDEX(상세표[시작],$U1025),"yyyy-mm-dd hh:mm"),INDEX(상세표[시작],$U1025)&amp;""))</f>
        <v/>
      </c>
      <c r="O1025">
        <f>IF($U1025="","",IF(ISNUMBER(INDEX(상세표[종료],$U1025)),TEXT(INDEX(상세표[종료],$U1025),"yyyy-mm-dd hh:mm"),INDEX(상세표[종료],$U1025)&amp;""))</f>
        <v/>
      </c>
      <c r="P1025">
        <f>IF($U1025="","",INDEX(상세표[06~07시],$U1025))</f>
        <v/>
      </c>
      <c r="Q1025">
        <f>IF($U1025="","",INDEX(상세표[07~18시],$U1025))</f>
        <v/>
      </c>
      <c r="R1025">
        <f>IF($U1025="","",INDEX(상세표[18~22시],$U1025))</f>
        <v/>
      </c>
      <c r="S1025">
        <f>IF($U1025="","",INDEX(상세표[22~06시],$U1025))</f>
        <v/>
      </c>
      <c r="T1025">
        <f>IF($U1025="","",INDEX(상세표[기록 시간외],$U1025))</f>
        <v/>
      </c>
      <c r="U1025" s="4">
        <f>IFERROR(MATCH(1020,상세표[발송순번],0),"")</f>
        <v/>
      </c>
    </row>
    <row r="1026">
      <c r="J1026">
        <f>IF($U1026="","",INDEX(상세표[사번],$U1026)&amp;"")</f>
        <v/>
      </c>
      <c r="K1026">
        <f>IF($U1026="","",INDEX(상세표[성명],$U1026)&amp;"")</f>
        <v/>
      </c>
      <c r="L1026">
        <f>IF($U1026="","",INDEX(상세표[직위],$U1026)&amp;"")</f>
        <v/>
      </c>
      <c r="M1026">
        <f>IF($U1026="","",IF(ISNUMBER(INDEX(상세표[근무일자],$U1026)),TEXT(INDEX(상세표[근무일자],$U1026),"yyyy-mm-dd"),INDEX(상세표[근무일자],$U1026)&amp;""))</f>
        <v/>
      </c>
      <c r="N1026">
        <f>IF($U1026="","",IF(ISNUMBER(INDEX(상세표[시작],$U1026)),TEXT(INDEX(상세표[시작],$U1026),"yyyy-mm-dd hh:mm"),INDEX(상세표[시작],$U1026)&amp;""))</f>
        <v/>
      </c>
      <c r="O1026">
        <f>IF($U1026="","",IF(ISNUMBER(INDEX(상세표[종료],$U1026)),TEXT(INDEX(상세표[종료],$U1026),"yyyy-mm-dd hh:mm"),INDEX(상세표[종료],$U1026)&amp;""))</f>
        <v/>
      </c>
      <c r="P1026">
        <f>IF($U1026="","",INDEX(상세표[06~07시],$U1026))</f>
        <v/>
      </c>
      <c r="Q1026">
        <f>IF($U1026="","",INDEX(상세표[07~18시],$U1026))</f>
        <v/>
      </c>
      <c r="R1026">
        <f>IF($U1026="","",INDEX(상세표[18~22시],$U1026))</f>
        <v/>
      </c>
      <c r="S1026">
        <f>IF($U1026="","",INDEX(상세표[22~06시],$U1026))</f>
        <v/>
      </c>
      <c r="T1026">
        <f>IF($U1026="","",INDEX(상세표[기록 시간외],$U1026))</f>
        <v/>
      </c>
      <c r="U1026" s="4">
        <f>IFERROR(MATCH(1021,상세표[발송순번],0),"")</f>
        <v/>
      </c>
    </row>
    <row r="1027">
      <c r="J1027">
        <f>IF($U1027="","",INDEX(상세표[사번],$U1027)&amp;"")</f>
        <v/>
      </c>
      <c r="K1027">
        <f>IF($U1027="","",INDEX(상세표[성명],$U1027)&amp;"")</f>
        <v/>
      </c>
      <c r="L1027">
        <f>IF($U1027="","",INDEX(상세표[직위],$U1027)&amp;"")</f>
        <v/>
      </c>
      <c r="M1027">
        <f>IF($U1027="","",IF(ISNUMBER(INDEX(상세표[근무일자],$U1027)),TEXT(INDEX(상세표[근무일자],$U1027),"yyyy-mm-dd"),INDEX(상세표[근무일자],$U1027)&amp;""))</f>
        <v/>
      </c>
      <c r="N1027">
        <f>IF($U1027="","",IF(ISNUMBER(INDEX(상세표[시작],$U1027)),TEXT(INDEX(상세표[시작],$U1027),"yyyy-mm-dd hh:mm"),INDEX(상세표[시작],$U1027)&amp;""))</f>
        <v/>
      </c>
      <c r="O1027">
        <f>IF($U1027="","",IF(ISNUMBER(INDEX(상세표[종료],$U1027)),TEXT(INDEX(상세표[종료],$U1027),"yyyy-mm-dd hh:mm"),INDEX(상세표[종료],$U1027)&amp;""))</f>
        <v/>
      </c>
      <c r="P1027">
        <f>IF($U1027="","",INDEX(상세표[06~07시],$U1027))</f>
        <v/>
      </c>
      <c r="Q1027">
        <f>IF($U1027="","",INDEX(상세표[07~18시],$U1027))</f>
        <v/>
      </c>
      <c r="R1027">
        <f>IF($U1027="","",INDEX(상세표[18~22시],$U1027))</f>
        <v/>
      </c>
      <c r="S1027">
        <f>IF($U1027="","",INDEX(상세표[22~06시],$U1027))</f>
        <v/>
      </c>
      <c r="T1027">
        <f>IF($U1027="","",INDEX(상세표[기록 시간외],$U1027))</f>
        <v/>
      </c>
      <c r="U1027" s="4">
        <f>IFERROR(MATCH(1022,상세표[발송순번],0),"")</f>
        <v/>
      </c>
    </row>
    <row r="1028">
      <c r="J1028">
        <f>IF($U1028="","",INDEX(상세표[사번],$U1028)&amp;"")</f>
        <v/>
      </c>
      <c r="K1028">
        <f>IF($U1028="","",INDEX(상세표[성명],$U1028)&amp;"")</f>
        <v/>
      </c>
      <c r="L1028">
        <f>IF($U1028="","",INDEX(상세표[직위],$U1028)&amp;"")</f>
        <v/>
      </c>
      <c r="M1028">
        <f>IF($U1028="","",IF(ISNUMBER(INDEX(상세표[근무일자],$U1028)),TEXT(INDEX(상세표[근무일자],$U1028),"yyyy-mm-dd"),INDEX(상세표[근무일자],$U1028)&amp;""))</f>
        <v/>
      </c>
      <c r="N1028">
        <f>IF($U1028="","",IF(ISNUMBER(INDEX(상세표[시작],$U1028)),TEXT(INDEX(상세표[시작],$U1028),"yyyy-mm-dd hh:mm"),INDEX(상세표[시작],$U1028)&amp;""))</f>
        <v/>
      </c>
      <c r="O1028">
        <f>IF($U1028="","",IF(ISNUMBER(INDEX(상세표[종료],$U1028)),TEXT(INDEX(상세표[종료],$U1028),"yyyy-mm-dd hh:mm"),INDEX(상세표[종료],$U1028)&amp;""))</f>
        <v/>
      </c>
      <c r="P1028">
        <f>IF($U1028="","",INDEX(상세표[06~07시],$U1028))</f>
        <v/>
      </c>
      <c r="Q1028">
        <f>IF($U1028="","",INDEX(상세표[07~18시],$U1028))</f>
        <v/>
      </c>
      <c r="R1028">
        <f>IF($U1028="","",INDEX(상세표[18~22시],$U1028))</f>
        <v/>
      </c>
      <c r="S1028">
        <f>IF($U1028="","",INDEX(상세표[22~06시],$U1028))</f>
        <v/>
      </c>
      <c r="T1028">
        <f>IF($U1028="","",INDEX(상세표[기록 시간외],$U1028))</f>
        <v/>
      </c>
      <c r="U1028" s="4">
        <f>IFERROR(MATCH(1023,상세표[발송순번],0),"")</f>
        <v/>
      </c>
    </row>
    <row r="1029">
      <c r="J1029">
        <f>IF($U1029="","",INDEX(상세표[사번],$U1029)&amp;"")</f>
        <v/>
      </c>
      <c r="K1029">
        <f>IF($U1029="","",INDEX(상세표[성명],$U1029)&amp;"")</f>
        <v/>
      </c>
      <c r="L1029">
        <f>IF($U1029="","",INDEX(상세표[직위],$U1029)&amp;"")</f>
        <v/>
      </c>
      <c r="M1029">
        <f>IF($U1029="","",IF(ISNUMBER(INDEX(상세표[근무일자],$U1029)),TEXT(INDEX(상세표[근무일자],$U1029),"yyyy-mm-dd"),INDEX(상세표[근무일자],$U1029)&amp;""))</f>
        <v/>
      </c>
      <c r="N1029">
        <f>IF($U1029="","",IF(ISNUMBER(INDEX(상세표[시작],$U1029)),TEXT(INDEX(상세표[시작],$U1029),"yyyy-mm-dd hh:mm"),INDEX(상세표[시작],$U1029)&amp;""))</f>
        <v/>
      </c>
      <c r="O1029">
        <f>IF($U1029="","",IF(ISNUMBER(INDEX(상세표[종료],$U1029)),TEXT(INDEX(상세표[종료],$U1029),"yyyy-mm-dd hh:mm"),INDEX(상세표[종료],$U1029)&amp;""))</f>
        <v/>
      </c>
      <c r="P1029">
        <f>IF($U1029="","",INDEX(상세표[06~07시],$U1029))</f>
        <v/>
      </c>
      <c r="Q1029">
        <f>IF($U1029="","",INDEX(상세표[07~18시],$U1029))</f>
        <v/>
      </c>
      <c r="R1029">
        <f>IF($U1029="","",INDEX(상세표[18~22시],$U1029))</f>
        <v/>
      </c>
      <c r="S1029">
        <f>IF($U1029="","",INDEX(상세표[22~06시],$U1029))</f>
        <v/>
      </c>
      <c r="T1029">
        <f>IF($U1029="","",INDEX(상세표[기록 시간외],$U1029))</f>
        <v/>
      </c>
      <c r="U1029" s="4">
        <f>IFERROR(MATCH(1024,상세표[발송순번],0),"")</f>
        <v/>
      </c>
    </row>
    <row r="1030">
      <c r="J1030">
        <f>IF($U1030="","",INDEX(상세표[사번],$U1030)&amp;"")</f>
        <v/>
      </c>
      <c r="K1030">
        <f>IF($U1030="","",INDEX(상세표[성명],$U1030)&amp;"")</f>
        <v/>
      </c>
      <c r="L1030">
        <f>IF($U1030="","",INDEX(상세표[직위],$U1030)&amp;"")</f>
        <v/>
      </c>
      <c r="M1030">
        <f>IF($U1030="","",IF(ISNUMBER(INDEX(상세표[근무일자],$U1030)),TEXT(INDEX(상세표[근무일자],$U1030),"yyyy-mm-dd"),INDEX(상세표[근무일자],$U1030)&amp;""))</f>
        <v/>
      </c>
      <c r="N1030">
        <f>IF($U1030="","",IF(ISNUMBER(INDEX(상세표[시작],$U1030)),TEXT(INDEX(상세표[시작],$U1030),"yyyy-mm-dd hh:mm"),INDEX(상세표[시작],$U1030)&amp;""))</f>
        <v/>
      </c>
      <c r="O1030">
        <f>IF($U1030="","",IF(ISNUMBER(INDEX(상세표[종료],$U1030)),TEXT(INDEX(상세표[종료],$U1030),"yyyy-mm-dd hh:mm"),INDEX(상세표[종료],$U1030)&amp;""))</f>
        <v/>
      </c>
      <c r="P1030">
        <f>IF($U1030="","",INDEX(상세표[06~07시],$U1030))</f>
        <v/>
      </c>
      <c r="Q1030">
        <f>IF($U1030="","",INDEX(상세표[07~18시],$U1030))</f>
        <v/>
      </c>
      <c r="R1030">
        <f>IF($U1030="","",INDEX(상세표[18~22시],$U1030))</f>
        <v/>
      </c>
      <c r="S1030">
        <f>IF($U1030="","",INDEX(상세표[22~06시],$U1030))</f>
        <v/>
      </c>
      <c r="T1030">
        <f>IF($U1030="","",INDEX(상세표[기록 시간외],$U1030))</f>
        <v/>
      </c>
      <c r="U1030" s="4">
        <f>IFERROR(MATCH(1025,상세표[발송순번],0),"")</f>
        <v/>
      </c>
    </row>
    <row r="1031">
      <c r="J1031">
        <f>IF($U1031="","",INDEX(상세표[사번],$U1031)&amp;"")</f>
        <v/>
      </c>
      <c r="K1031">
        <f>IF($U1031="","",INDEX(상세표[성명],$U1031)&amp;"")</f>
        <v/>
      </c>
      <c r="L1031">
        <f>IF($U1031="","",INDEX(상세표[직위],$U1031)&amp;"")</f>
        <v/>
      </c>
      <c r="M1031">
        <f>IF($U1031="","",IF(ISNUMBER(INDEX(상세표[근무일자],$U1031)),TEXT(INDEX(상세표[근무일자],$U1031),"yyyy-mm-dd"),INDEX(상세표[근무일자],$U1031)&amp;""))</f>
        <v/>
      </c>
      <c r="N1031">
        <f>IF($U1031="","",IF(ISNUMBER(INDEX(상세표[시작],$U1031)),TEXT(INDEX(상세표[시작],$U1031),"yyyy-mm-dd hh:mm"),INDEX(상세표[시작],$U1031)&amp;""))</f>
        <v/>
      </c>
      <c r="O1031">
        <f>IF($U1031="","",IF(ISNUMBER(INDEX(상세표[종료],$U1031)),TEXT(INDEX(상세표[종료],$U1031),"yyyy-mm-dd hh:mm"),INDEX(상세표[종료],$U1031)&amp;""))</f>
        <v/>
      </c>
      <c r="P1031">
        <f>IF($U1031="","",INDEX(상세표[06~07시],$U1031))</f>
        <v/>
      </c>
      <c r="Q1031">
        <f>IF($U1031="","",INDEX(상세표[07~18시],$U1031))</f>
        <v/>
      </c>
      <c r="R1031">
        <f>IF($U1031="","",INDEX(상세표[18~22시],$U1031))</f>
        <v/>
      </c>
      <c r="S1031">
        <f>IF($U1031="","",INDEX(상세표[22~06시],$U1031))</f>
        <v/>
      </c>
      <c r="T1031">
        <f>IF($U1031="","",INDEX(상세표[기록 시간외],$U1031))</f>
        <v/>
      </c>
      <c r="U1031" s="4">
        <f>IFERROR(MATCH(1026,상세표[발송순번],0),"")</f>
        <v/>
      </c>
    </row>
    <row r="1032">
      <c r="J1032">
        <f>IF($U1032="","",INDEX(상세표[사번],$U1032)&amp;"")</f>
        <v/>
      </c>
      <c r="K1032">
        <f>IF($U1032="","",INDEX(상세표[성명],$U1032)&amp;"")</f>
        <v/>
      </c>
      <c r="L1032">
        <f>IF($U1032="","",INDEX(상세표[직위],$U1032)&amp;"")</f>
        <v/>
      </c>
      <c r="M1032">
        <f>IF($U1032="","",IF(ISNUMBER(INDEX(상세표[근무일자],$U1032)),TEXT(INDEX(상세표[근무일자],$U1032),"yyyy-mm-dd"),INDEX(상세표[근무일자],$U1032)&amp;""))</f>
        <v/>
      </c>
      <c r="N1032">
        <f>IF($U1032="","",IF(ISNUMBER(INDEX(상세표[시작],$U1032)),TEXT(INDEX(상세표[시작],$U1032),"yyyy-mm-dd hh:mm"),INDEX(상세표[시작],$U1032)&amp;""))</f>
        <v/>
      </c>
      <c r="O1032">
        <f>IF($U1032="","",IF(ISNUMBER(INDEX(상세표[종료],$U1032)),TEXT(INDEX(상세표[종료],$U1032),"yyyy-mm-dd hh:mm"),INDEX(상세표[종료],$U1032)&amp;""))</f>
        <v/>
      </c>
      <c r="P1032">
        <f>IF($U1032="","",INDEX(상세표[06~07시],$U1032))</f>
        <v/>
      </c>
      <c r="Q1032">
        <f>IF($U1032="","",INDEX(상세표[07~18시],$U1032))</f>
        <v/>
      </c>
      <c r="R1032">
        <f>IF($U1032="","",INDEX(상세표[18~22시],$U1032))</f>
        <v/>
      </c>
      <c r="S1032">
        <f>IF($U1032="","",INDEX(상세표[22~06시],$U1032))</f>
        <v/>
      </c>
      <c r="T1032">
        <f>IF($U1032="","",INDEX(상세표[기록 시간외],$U1032))</f>
        <v/>
      </c>
      <c r="U1032" s="4">
        <f>IFERROR(MATCH(1027,상세표[발송순번],0),"")</f>
        <v/>
      </c>
    </row>
    <row r="1033">
      <c r="J1033">
        <f>IF($U1033="","",INDEX(상세표[사번],$U1033)&amp;"")</f>
        <v/>
      </c>
      <c r="K1033">
        <f>IF($U1033="","",INDEX(상세표[성명],$U1033)&amp;"")</f>
        <v/>
      </c>
      <c r="L1033">
        <f>IF($U1033="","",INDEX(상세표[직위],$U1033)&amp;"")</f>
        <v/>
      </c>
      <c r="M1033">
        <f>IF($U1033="","",IF(ISNUMBER(INDEX(상세표[근무일자],$U1033)),TEXT(INDEX(상세표[근무일자],$U1033),"yyyy-mm-dd"),INDEX(상세표[근무일자],$U1033)&amp;""))</f>
        <v/>
      </c>
      <c r="N1033">
        <f>IF($U1033="","",IF(ISNUMBER(INDEX(상세표[시작],$U1033)),TEXT(INDEX(상세표[시작],$U1033),"yyyy-mm-dd hh:mm"),INDEX(상세표[시작],$U1033)&amp;""))</f>
        <v/>
      </c>
      <c r="O1033">
        <f>IF($U1033="","",IF(ISNUMBER(INDEX(상세표[종료],$U1033)),TEXT(INDEX(상세표[종료],$U1033),"yyyy-mm-dd hh:mm"),INDEX(상세표[종료],$U1033)&amp;""))</f>
        <v/>
      </c>
      <c r="P1033">
        <f>IF($U1033="","",INDEX(상세표[06~07시],$U1033))</f>
        <v/>
      </c>
      <c r="Q1033">
        <f>IF($U1033="","",INDEX(상세표[07~18시],$U1033))</f>
        <v/>
      </c>
      <c r="R1033">
        <f>IF($U1033="","",INDEX(상세표[18~22시],$U1033))</f>
        <v/>
      </c>
      <c r="S1033">
        <f>IF($U1033="","",INDEX(상세표[22~06시],$U1033))</f>
        <v/>
      </c>
      <c r="T1033">
        <f>IF($U1033="","",INDEX(상세표[기록 시간외],$U1033))</f>
        <v/>
      </c>
      <c r="U1033" s="4">
        <f>IFERROR(MATCH(1028,상세표[발송순번],0),"")</f>
        <v/>
      </c>
    </row>
    <row r="1034">
      <c r="J1034">
        <f>IF($U1034="","",INDEX(상세표[사번],$U1034)&amp;"")</f>
        <v/>
      </c>
      <c r="K1034">
        <f>IF($U1034="","",INDEX(상세표[성명],$U1034)&amp;"")</f>
        <v/>
      </c>
      <c r="L1034">
        <f>IF($U1034="","",INDEX(상세표[직위],$U1034)&amp;"")</f>
        <v/>
      </c>
      <c r="M1034">
        <f>IF($U1034="","",IF(ISNUMBER(INDEX(상세표[근무일자],$U1034)),TEXT(INDEX(상세표[근무일자],$U1034),"yyyy-mm-dd"),INDEX(상세표[근무일자],$U1034)&amp;""))</f>
        <v/>
      </c>
      <c r="N1034">
        <f>IF($U1034="","",IF(ISNUMBER(INDEX(상세표[시작],$U1034)),TEXT(INDEX(상세표[시작],$U1034),"yyyy-mm-dd hh:mm"),INDEX(상세표[시작],$U1034)&amp;""))</f>
        <v/>
      </c>
      <c r="O1034">
        <f>IF($U1034="","",IF(ISNUMBER(INDEX(상세표[종료],$U1034)),TEXT(INDEX(상세표[종료],$U1034),"yyyy-mm-dd hh:mm"),INDEX(상세표[종료],$U1034)&amp;""))</f>
        <v/>
      </c>
      <c r="P1034">
        <f>IF($U1034="","",INDEX(상세표[06~07시],$U1034))</f>
        <v/>
      </c>
      <c r="Q1034">
        <f>IF($U1034="","",INDEX(상세표[07~18시],$U1034))</f>
        <v/>
      </c>
      <c r="R1034">
        <f>IF($U1034="","",INDEX(상세표[18~22시],$U1034))</f>
        <v/>
      </c>
      <c r="S1034">
        <f>IF($U1034="","",INDEX(상세표[22~06시],$U1034))</f>
        <v/>
      </c>
      <c r="T1034">
        <f>IF($U1034="","",INDEX(상세표[기록 시간외],$U1034))</f>
        <v/>
      </c>
      <c r="U1034" s="4">
        <f>IFERROR(MATCH(1029,상세표[발송순번],0),"")</f>
        <v/>
      </c>
    </row>
    <row r="1035">
      <c r="J1035">
        <f>IF($U1035="","",INDEX(상세표[사번],$U1035)&amp;"")</f>
        <v/>
      </c>
      <c r="K1035">
        <f>IF($U1035="","",INDEX(상세표[성명],$U1035)&amp;"")</f>
        <v/>
      </c>
      <c r="L1035">
        <f>IF($U1035="","",INDEX(상세표[직위],$U1035)&amp;"")</f>
        <v/>
      </c>
      <c r="M1035">
        <f>IF($U1035="","",IF(ISNUMBER(INDEX(상세표[근무일자],$U1035)),TEXT(INDEX(상세표[근무일자],$U1035),"yyyy-mm-dd"),INDEX(상세표[근무일자],$U1035)&amp;""))</f>
        <v/>
      </c>
      <c r="N1035">
        <f>IF($U1035="","",IF(ISNUMBER(INDEX(상세표[시작],$U1035)),TEXT(INDEX(상세표[시작],$U1035),"yyyy-mm-dd hh:mm"),INDEX(상세표[시작],$U1035)&amp;""))</f>
        <v/>
      </c>
      <c r="O1035">
        <f>IF($U1035="","",IF(ISNUMBER(INDEX(상세표[종료],$U1035)),TEXT(INDEX(상세표[종료],$U1035),"yyyy-mm-dd hh:mm"),INDEX(상세표[종료],$U1035)&amp;""))</f>
        <v/>
      </c>
      <c r="P1035">
        <f>IF($U1035="","",INDEX(상세표[06~07시],$U1035))</f>
        <v/>
      </c>
      <c r="Q1035">
        <f>IF($U1035="","",INDEX(상세표[07~18시],$U1035))</f>
        <v/>
      </c>
      <c r="R1035">
        <f>IF($U1035="","",INDEX(상세표[18~22시],$U1035))</f>
        <v/>
      </c>
      <c r="S1035">
        <f>IF($U1035="","",INDEX(상세표[22~06시],$U1035))</f>
        <v/>
      </c>
      <c r="T1035">
        <f>IF($U1035="","",INDEX(상세표[기록 시간외],$U1035))</f>
        <v/>
      </c>
      <c r="U1035" s="4">
        <f>IFERROR(MATCH(1030,상세표[발송순번],0),"")</f>
        <v/>
      </c>
    </row>
    <row r="1036">
      <c r="J1036">
        <f>IF($U1036="","",INDEX(상세표[사번],$U1036)&amp;"")</f>
        <v/>
      </c>
      <c r="K1036">
        <f>IF($U1036="","",INDEX(상세표[성명],$U1036)&amp;"")</f>
        <v/>
      </c>
      <c r="L1036">
        <f>IF($U1036="","",INDEX(상세표[직위],$U1036)&amp;"")</f>
        <v/>
      </c>
      <c r="M1036">
        <f>IF($U1036="","",IF(ISNUMBER(INDEX(상세표[근무일자],$U1036)),TEXT(INDEX(상세표[근무일자],$U1036),"yyyy-mm-dd"),INDEX(상세표[근무일자],$U1036)&amp;""))</f>
        <v/>
      </c>
      <c r="N1036">
        <f>IF($U1036="","",IF(ISNUMBER(INDEX(상세표[시작],$U1036)),TEXT(INDEX(상세표[시작],$U1036),"yyyy-mm-dd hh:mm"),INDEX(상세표[시작],$U1036)&amp;""))</f>
        <v/>
      </c>
      <c r="O1036">
        <f>IF($U1036="","",IF(ISNUMBER(INDEX(상세표[종료],$U1036)),TEXT(INDEX(상세표[종료],$U1036),"yyyy-mm-dd hh:mm"),INDEX(상세표[종료],$U1036)&amp;""))</f>
        <v/>
      </c>
      <c r="P1036">
        <f>IF($U1036="","",INDEX(상세표[06~07시],$U1036))</f>
        <v/>
      </c>
      <c r="Q1036">
        <f>IF($U1036="","",INDEX(상세표[07~18시],$U1036))</f>
        <v/>
      </c>
      <c r="R1036">
        <f>IF($U1036="","",INDEX(상세표[18~22시],$U1036))</f>
        <v/>
      </c>
      <c r="S1036">
        <f>IF($U1036="","",INDEX(상세표[22~06시],$U1036))</f>
        <v/>
      </c>
      <c r="T1036">
        <f>IF($U1036="","",INDEX(상세표[기록 시간외],$U1036))</f>
        <v/>
      </c>
      <c r="U1036" s="4">
        <f>IFERROR(MATCH(1031,상세표[발송순번],0),"")</f>
        <v/>
      </c>
    </row>
    <row r="1037">
      <c r="J1037">
        <f>IF($U1037="","",INDEX(상세표[사번],$U1037)&amp;"")</f>
        <v/>
      </c>
      <c r="K1037">
        <f>IF($U1037="","",INDEX(상세표[성명],$U1037)&amp;"")</f>
        <v/>
      </c>
      <c r="L1037">
        <f>IF($U1037="","",INDEX(상세표[직위],$U1037)&amp;"")</f>
        <v/>
      </c>
      <c r="M1037">
        <f>IF($U1037="","",IF(ISNUMBER(INDEX(상세표[근무일자],$U1037)),TEXT(INDEX(상세표[근무일자],$U1037),"yyyy-mm-dd"),INDEX(상세표[근무일자],$U1037)&amp;""))</f>
        <v/>
      </c>
      <c r="N1037">
        <f>IF($U1037="","",IF(ISNUMBER(INDEX(상세표[시작],$U1037)),TEXT(INDEX(상세표[시작],$U1037),"yyyy-mm-dd hh:mm"),INDEX(상세표[시작],$U1037)&amp;""))</f>
        <v/>
      </c>
      <c r="O1037">
        <f>IF($U1037="","",IF(ISNUMBER(INDEX(상세표[종료],$U1037)),TEXT(INDEX(상세표[종료],$U1037),"yyyy-mm-dd hh:mm"),INDEX(상세표[종료],$U1037)&amp;""))</f>
        <v/>
      </c>
      <c r="P1037">
        <f>IF($U1037="","",INDEX(상세표[06~07시],$U1037))</f>
        <v/>
      </c>
      <c r="Q1037">
        <f>IF($U1037="","",INDEX(상세표[07~18시],$U1037))</f>
        <v/>
      </c>
      <c r="R1037">
        <f>IF($U1037="","",INDEX(상세표[18~22시],$U1037))</f>
        <v/>
      </c>
      <c r="S1037">
        <f>IF($U1037="","",INDEX(상세표[22~06시],$U1037))</f>
        <v/>
      </c>
      <c r="T1037">
        <f>IF($U1037="","",INDEX(상세표[기록 시간외],$U1037))</f>
        <v/>
      </c>
      <c r="U1037" s="4">
        <f>IFERROR(MATCH(1032,상세표[발송순번],0),"")</f>
        <v/>
      </c>
    </row>
    <row r="1038">
      <c r="J1038">
        <f>IF($U1038="","",INDEX(상세표[사번],$U1038)&amp;"")</f>
        <v/>
      </c>
      <c r="K1038">
        <f>IF($U1038="","",INDEX(상세표[성명],$U1038)&amp;"")</f>
        <v/>
      </c>
      <c r="L1038">
        <f>IF($U1038="","",INDEX(상세표[직위],$U1038)&amp;"")</f>
        <v/>
      </c>
      <c r="M1038">
        <f>IF($U1038="","",IF(ISNUMBER(INDEX(상세표[근무일자],$U1038)),TEXT(INDEX(상세표[근무일자],$U1038),"yyyy-mm-dd"),INDEX(상세표[근무일자],$U1038)&amp;""))</f>
        <v/>
      </c>
      <c r="N1038">
        <f>IF($U1038="","",IF(ISNUMBER(INDEX(상세표[시작],$U1038)),TEXT(INDEX(상세표[시작],$U1038),"yyyy-mm-dd hh:mm"),INDEX(상세표[시작],$U1038)&amp;""))</f>
        <v/>
      </c>
      <c r="O1038">
        <f>IF($U1038="","",IF(ISNUMBER(INDEX(상세표[종료],$U1038)),TEXT(INDEX(상세표[종료],$U1038),"yyyy-mm-dd hh:mm"),INDEX(상세표[종료],$U1038)&amp;""))</f>
        <v/>
      </c>
      <c r="P1038">
        <f>IF($U1038="","",INDEX(상세표[06~07시],$U1038))</f>
        <v/>
      </c>
      <c r="Q1038">
        <f>IF($U1038="","",INDEX(상세표[07~18시],$U1038))</f>
        <v/>
      </c>
      <c r="R1038">
        <f>IF($U1038="","",INDEX(상세표[18~22시],$U1038))</f>
        <v/>
      </c>
      <c r="S1038">
        <f>IF($U1038="","",INDEX(상세표[22~06시],$U1038))</f>
        <v/>
      </c>
      <c r="T1038">
        <f>IF($U1038="","",INDEX(상세표[기록 시간외],$U1038))</f>
        <v/>
      </c>
      <c r="U1038" s="4">
        <f>IFERROR(MATCH(1033,상세표[발송순번],0),"")</f>
        <v/>
      </c>
    </row>
    <row r="1039">
      <c r="J1039">
        <f>IF($U1039="","",INDEX(상세표[사번],$U1039)&amp;"")</f>
        <v/>
      </c>
      <c r="K1039">
        <f>IF($U1039="","",INDEX(상세표[성명],$U1039)&amp;"")</f>
        <v/>
      </c>
      <c r="L1039">
        <f>IF($U1039="","",INDEX(상세표[직위],$U1039)&amp;"")</f>
        <v/>
      </c>
      <c r="M1039">
        <f>IF($U1039="","",IF(ISNUMBER(INDEX(상세표[근무일자],$U1039)),TEXT(INDEX(상세표[근무일자],$U1039),"yyyy-mm-dd"),INDEX(상세표[근무일자],$U1039)&amp;""))</f>
        <v/>
      </c>
      <c r="N1039">
        <f>IF($U1039="","",IF(ISNUMBER(INDEX(상세표[시작],$U1039)),TEXT(INDEX(상세표[시작],$U1039),"yyyy-mm-dd hh:mm"),INDEX(상세표[시작],$U1039)&amp;""))</f>
        <v/>
      </c>
      <c r="O1039">
        <f>IF($U1039="","",IF(ISNUMBER(INDEX(상세표[종료],$U1039)),TEXT(INDEX(상세표[종료],$U1039),"yyyy-mm-dd hh:mm"),INDEX(상세표[종료],$U1039)&amp;""))</f>
        <v/>
      </c>
      <c r="P1039">
        <f>IF($U1039="","",INDEX(상세표[06~07시],$U1039))</f>
        <v/>
      </c>
      <c r="Q1039">
        <f>IF($U1039="","",INDEX(상세표[07~18시],$U1039))</f>
        <v/>
      </c>
      <c r="R1039">
        <f>IF($U1039="","",INDEX(상세표[18~22시],$U1039))</f>
        <v/>
      </c>
      <c r="S1039">
        <f>IF($U1039="","",INDEX(상세표[22~06시],$U1039))</f>
        <v/>
      </c>
      <c r="T1039">
        <f>IF($U1039="","",INDEX(상세표[기록 시간외],$U1039))</f>
        <v/>
      </c>
      <c r="U1039" s="4">
        <f>IFERROR(MATCH(1034,상세표[발송순번],0),"")</f>
        <v/>
      </c>
    </row>
    <row r="1040">
      <c r="J1040">
        <f>IF($U1040="","",INDEX(상세표[사번],$U1040)&amp;"")</f>
        <v/>
      </c>
      <c r="K1040">
        <f>IF($U1040="","",INDEX(상세표[성명],$U1040)&amp;"")</f>
        <v/>
      </c>
      <c r="L1040">
        <f>IF($U1040="","",INDEX(상세표[직위],$U1040)&amp;"")</f>
        <v/>
      </c>
      <c r="M1040">
        <f>IF($U1040="","",IF(ISNUMBER(INDEX(상세표[근무일자],$U1040)),TEXT(INDEX(상세표[근무일자],$U1040),"yyyy-mm-dd"),INDEX(상세표[근무일자],$U1040)&amp;""))</f>
        <v/>
      </c>
      <c r="N1040">
        <f>IF($U1040="","",IF(ISNUMBER(INDEX(상세표[시작],$U1040)),TEXT(INDEX(상세표[시작],$U1040),"yyyy-mm-dd hh:mm"),INDEX(상세표[시작],$U1040)&amp;""))</f>
        <v/>
      </c>
      <c r="O1040">
        <f>IF($U1040="","",IF(ISNUMBER(INDEX(상세표[종료],$U1040)),TEXT(INDEX(상세표[종료],$U1040),"yyyy-mm-dd hh:mm"),INDEX(상세표[종료],$U1040)&amp;""))</f>
        <v/>
      </c>
      <c r="P1040">
        <f>IF($U1040="","",INDEX(상세표[06~07시],$U1040))</f>
        <v/>
      </c>
      <c r="Q1040">
        <f>IF($U1040="","",INDEX(상세표[07~18시],$U1040))</f>
        <v/>
      </c>
      <c r="R1040">
        <f>IF($U1040="","",INDEX(상세표[18~22시],$U1040))</f>
        <v/>
      </c>
      <c r="S1040">
        <f>IF($U1040="","",INDEX(상세표[22~06시],$U1040))</f>
        <v/>
      </c>
      <c r="T1040">
        <f>IF($U1040="","",INDEX(상세표[기록 시간외],$U1040))</f>
        <v/>
      </c>
      <c r="U1040" s="4">
        <f>IFERROR(MATCH(1035,상세표[발송순번],0),"")</f>
        <v/>
      </c>
    </row>
    <row r="1041">
      <c r="J1041">
        <f>IF($U1041="","",INDEX(상세표[사번],$U1041)&amp;"")</f>
        <v/>
      </c>
      <c r="K1041">
        <f>IF($U1041="","",INDEX(상세표[성명],$U1041)&amp;"")</f>
        <v/>
      </c>
      <c r="L1041">
        <f>IF($U1041="","",INDEX(상세표[직위],$U1041)&amp;"")</f>
        <v/>
      </c>
      <c r="M1041">
        <f>IF($U1041="","",IF(ISNUMBER(INDEX(상세표[근무일자],$U1041)),TEXT(INDEX(상세표[근무일자],$U1041),"yyyy-mm-dd"),INDEX(상세표[근무일자],$U1041)&amp;""))</f>
        <v/>
      </c>
      <c r="N1041">
        <f>IF($U1041="","",IF(ISNUMBER(INDEX(상세표[시작],$U1041)),TEXT(INDEX(상세표[시작],$U1041),"yyyy-mm-dd hh:mm"),INDEX(상세표[시작],$U1041)&amp;""))</f>
        <v/>
      </c>
      <c r="O1041">
        <f>IF($U1041="","",IF(ISNUMBER(INDEX(상세표[종료],$U1041)),TEXT(INDEX(상세표[종료],$U1041),"yyyy-mm-dd hh:mm"),INDEX(상세표[종료],$U1041)&amp;""))</f>
        <v/>
      </c>
      <c r="P1041">
        <f>IF($U1041="","",INDEX(상세표[06~07시],$U1041))</f>
        <v/>
      </c>
      <c r="Q1041">
        <f>IF($U1041="","",INDEX(상세표[07~18시],$U1041))</f>
        <v/>
      </c>
      <c r="R1041">
        <f>IF($U1041="","",INDEX(상세표[18~22시],$U1041))</f>
        <v/>
      </c>
      <c r="S1041">
        <f>IF($U1041="","",INDEX(상세표[22~06시],$U1041))</f>
        <v/>
      </c>
      <c r="T1041">
        <f>IF($U1041="","",INDEX(상세표[기록 시간외],$U1041))</f>
        <v/>
      </c>
      <c r="U1041" s="4">
        <f>IFERROR(MATCH(1036,상세표[발송순번],0),"")</f>
        <v/>
      </c>
    </row>
    <row r="1042">
      <c r="J1042">
        <f>IF($U1042="","",INDEX(상세표[사번],$U1042)&amp;"")</f>
        <v/>
      </c>
      <c r="K1042">
        <f>IF($U1042="","",INDEX(상세표[성명],$U1042)&amp;"")</f>
        <v/>
      </c>
      <c r="L1042">
        <f>IF($U1042="","",INDEX(상세표[직위],$U1042)&amp;"")</f>
        <v/>
      </c>
      <c r="M1042">
        <f>IF($U1042="","",IF(ISNUMBER(INDEX(상세표[근무일자],$U1042)),TEXT(INDEX(상세표[근무일자],$U1042),"yyyy-mm-dd"),INDEX(상세표[근무일자],$U1042)&amp;""))</f>
        <v/>
      </c>
      <c r="N1042">
        <f>IF($U1042="","",IF(ISNUMBER(INDEX(상세표[시작],$U1042)),TEXT(INDEX(상세표[시작],$U1042),"yyyy-mm-dd hh:mm"),INDEX(상세표[시작],$U1042)&amp;""))</f>
        <v/>
      </c>
      <c r="O1042">
        <f>IF($U1042="","",IF(ISNUMBER(INDEX(상세표[종료],$U1042)),TEXT(INDEX(상세표[종료],$U1042),"yyyy-mm-dd hh:mm"),INDEX(상세표[종료],$U1042)&amp;""))</f>
        <v/>
      </c>
      <c r="P1042">
        <f>IF($U1042="","",INDEX(상세표[06~07시],$U1042))</f>
        <v/>
      </c>
      <c r="Q1042">
        <f>IF($U1042="","",INDEX(상세표[07~18시],$U1042))</f>
        <v/>
      </c>
      <c r="R1042">
        <f>IF($U1042="","",INDEX(상세표[18~22시],$U1042))</f>
        <v/>
      </c>
      <c r="S1042">
        <f>IF($U1042="","",INDEX(상세표[22~06시],$U1042))</f>
        <v/>
      </c>
      <c r="T1042">
        <f>IF($U1042="","",INDEX(상세표[기록 시간외],$U1042))</f>
        <v/>
      </c>
      <c r="U1042" s="4">
        <f>IFERROR(MATCH(1037,상세표[발송순번],0),"")</f>
        <v/>
      </c>
    </row>
    <row r="1043">
      <c r="J1043">
        <f>IF($U1043="","",INDEX(상세표[사번],$U1043)&amp;"")</f>
        <v/>
      </c>
      <c r="K1043">
        <f>IF($U1043="","",INDEX(상세표[성명],$U1043)&amp;"")</f>
        <v/>
      </c>
      <c r="L1043">
        <f>IF($U1043="","",INDEX(상세표[직위],$U1043)&amp;"")</f>
        <v/>
      </c>
      <c r="M1043">
        <f>IF($U1043="","",IF(ISNUMBER(INDEX(상세표[근무일자],$U1043)),TEXT(INDEX(상세표[근무일자],$U1043),"yyyy-mm-dd"),INDEX(상세표[근무일자],$U1043)&amp;""))</f>
        <v/>
      </c>
      <c r="N1043">
        <f>IF($U1043="","",IF(ISNUMBER(INDEX(상세표[시작],$U1043)),TEXT(INDEX(상세표[시작],$U1043),"yyyy-mm-dd hh:mm"),INDEX(상세표[시작],$U1043)&amp;""))</f>
        <v/>
      </c>
      <c r="O1043">
        <f>IF($U1043="","",IF(ISNUMBER(INDEX(상세표[종료],$U1043)),TEXT(INDEX(상세표[종료],$U1043),"yyyy-mm-dd hh:mm"),INDEX(상세표[종료],$U1043)&amp;""))</f>
        <v/>
      </c>
      <c r="P1043">
        <f>IF($U1043="","",INDEX(상세표[06~07시],$U1043))</f>
        <v/>
      </c>
      <c r="Q1043">
        <f>IF($U1043="","",INDEX(상세표[07~18시],$U1043))</f>
        <v/>
      </c>
      <c r="R1043">
        <f>IF($U1043="","",INDEX(상세표[18~22시],$U1043))</f>
        <v/>
      </c>
      <c r="S1043">
        <f>IF($U1043="","",INDEX(상세표[22~06시],$U1043))</f>
        <v/>
      </c>
      <c r="T1043">
        <f>IF($U1043="","",INDEX(상세표[기록 시간외],$U1043))</f>
        <v/>
      </c>
      <c r="U1043" s="4">
        <f>IFERROR(MATCH(1038,상세표[발송순번],0),"")</f>
        <v/>
      </c>
    </row>
    <row r="1044">
      <c r="J1044">
        <f>IF($U1044="","",INDEX(상세표[사번],$U1044)&amp;"")</f>
        <v/>
      </c>
      <c r="K1044">
        <f>IF($U1044="","",INDEX(상세표[성명],$U1044)&amp;"")</f>
        <v/>
      </c>
      <c r="L1044">
        <f>IF($U1044="","",INDEX(상세표[직위],$U1044)&amp;"")</f>
        <v/>
      </c>
      <c r="M1044">
        <f>IF($U1044="","",IF(ISNUMBER(INDEX(상세표[근무일자],$U1044)),TEXT(INDEX(상세표[근무일자],$U1044),"yyyy-mm-dd"),INDEX(상세표[근무일자],$U1044)&amp;""))</f>
        <v/>
      </c>
      <c r="N1044">
        <f>IF($U1044="","",IF(ISNUMBER(INDEX(상세표[시작],$U1044)),TEXT(INDEX(상세표[시작],$U1044),"yyyy-mm-dd hh:mm"),INDEX(상세표[시작],$U1044)&amp;""))</f>
        <v/>
      </c>
      <c r="O1044">
        <f>IF($U1044="","",IF(ISNUMBER(INDEX(상세표[종료],$U1044)),TEXT(INDEX(상세표[종료],$U1044),"yyyy-mm-dd hh:mm"),INDEX(상세표[종료],$U1044)&amp;""))</f>
        <v/>
      </c>
      <c r="P1044">
        <f>IF($U1044="","",INDEX(상세표[06~07시],$U1044))</f>
        <v/>
      </c>
      <c r="Q1044">
        <f>IF($U1044="","",INDEX(상세표[07~18시],$U1044))</f>
        <v/>
      </c>
      <c r="R1044">
        <f>IF($U1044="","",INDEX(상세표[18~22시],$U1044))</f>
        <v/>
      </c>
      <c r="S1044">
        <f>IF($U1044="","",INDEX(상세표[22~06시],$U1044))</f>
        <v/>
      </c>
      <c r="T1044">
        <f>IF($U1044="","",INDEX(상세표[기록 시간외],$U1044))</f>
        <v/>
      </c>
      <c r="U1044" s="4">
        <f>IFERROR(MATCH(1039,상세표[발송순번],0),"")</f>
        <v/>
      </c>
    </row>
    <row r="1045">
      <c r="J1045">
        <f>IF($U1045="","",INDEX(상세표[사번],$U1045)&amp;"")</f>
        <v/>
      </c>
      <c r="K1045">
        <f>IF($U1045="","",INDEX(상세표[성명],$U1045)&amp;"")</f>
        <v/>
      </c>
      <c r="L1045">
        <f>IF($U1045="","",INDEX(상세표[직위],$U1045)&amp;"")</f>
        <v/>
      </c>
      <c r="M1045">
        <f>IF($U1045="","",IF(ISNUMBER(INDEX(상세표[근무일자],$U1045)),TEXT(INDEX(상세표[근무일자],$U1045),"yyyy-mm-dd"),INDEX(상세표[근무일자],$U1045)&amp;""))</f>
        <v/>
      </c>
      <c r="N1045">
        <f>IF($U1045="","",IF(ISNUMBER(INDEX(상세표[시작],$U1045)),TEXT(INDEX(상세표[시작],$U1045),"yyyy-mm-dd hh:mm"),INDEX(상세표[시작],$U1045)&amp;""))</f>
        <v/>
      </c>
      <c r="O1045">
        <f>IF($U1045="","",IF(ISNUMBER(INDEX(상세표[종료],$U1045)),TEXT(INDEX(상세표[종료],$U1045),"yyyy-mm-dd hh:mm"),INDEX(상세표[종료],$U1045)&amp;""))</f>
        <v/>
      </c>
      <c r="P1045">
        <f>IF($U1045="","",INDEX(상세표[06~07시],$U1045))</f>
        <v/>
      </c>
      <c r="Q1045">
        <f>IF($U1045="","",INDEX(상세표[07~18시],$U1045))</f>
        <v/>
      </c>
      <c r="R1045">
        <f>IF($U1045="","",INDEX(상세표[18~22시],$U1045))</f>
        <v/>
      </c>
      <c r="S1045">
        <f>IF($U1045="","",INDEX(상세표[22~06시],$U1045))</f>
        <v/>
      </c>
      <c r="T1045">
        <f>IF($U1045="","",INDEX(상세표[기록 시간외],$U1045))</f>
        <v/>
      </c>
      <c r="U1045" s="4">
        <f>IFERROR(MATCH(1040,상세표[발송순번],0),"")</f>
        <v/>
      </c>
    </row>
    <row r="1046">
      <c r="J1046">
        <f>IF($U1046="","",INDEX(상세표[사번],$U1046)&amp;"")</f>
        <v/>
      </c>
      <c r="K1046">
        <f>IF($U1046="","",INDEX(상세표[성명],$U1046)&amp;"")</f>
        <v/>
      </c>
      <c r="L1046">
        <f>IF($U1046="","",INDEX(상세표[직위],$U1046)&amp;"")</f>
        <v/>
      </c>
      <c r="M1046">
        <f>IF($U1046="","",IF(ISNUMBER(INDEX(상세표[근무일자],$U1046)),TEXT(INDEX(상세표[근무일자],$U1046),"yyyy-mm-dd"),INDEX(상세표[근무일자],$U1046)&amp;""))</f>
        <v/>
      </c>
      <c r="N1046">
        <f>IF($U1046="","",IF(ISNUMBER(INDEX(상세표[시작],$U1046)),TEXT(INDEX(상세표[시작],$U1046),"yyyy-mm-dd hh:mm"),INDEX(상세표[시작],$U1046)&amp;""))</f>
        <v/>
      </c>
      <c r="O1046">
        <f>IF($U1046="","",IF(ISNUMBER(INDEX(상세표[종료],$U1046)),TEXT(INDEX(상세표[종료],$U1046),"yyyy-mm-dd hh:mm"),INDEX(상세표[종료],$U1046)&amp;""))</f>
        <v/>
      </c>
      <c r="P1046">
        <f>IF($U1046="","",INDEX(상세표[06~07시],$U1046))</f>
        <v/>
      </c>
      <c r="Q1046">
        <f>IF($U1046="","",INDEX(상세표[07~18시],$U1046))</f>
        <v/>
      </c>
      <c r="R1046">
        <f>IF($U1046="","",INDEX(상세표[18~22시],$U1046))</f>
        <v/>
      </c>
      <c r="S1046">
        <f>IF($U1046="","",INDEX(상세표[22~06시],$U1046))</f>
        <v/>
      </c>
      <c r="T1046">
        <f>IF($U1046="","",INDEX(상세표[기록 시간외],$U1046))</f>
        <v/>
      </c>
      <c r="U1046" s="4">
        <f>IFERROR(MATCH(1041,상세표[발송순번],0),"")</f>
        <v/>
      </c>
    </row>
    <row r="1047">
      <c r="J1047">
        <f>IF($U1047="","",INDEX(상세표[사번],$U1047)&amp;"")</f>
        <v/>
      </c>
      <c r="K1047">
        <f>IF($U1047="","",INDEX(상세표[성명],$U1047)&amp;"")</f>
        <v/>
      </c>
      <c r="L1047">
        <f>IF($U1047="","",INDEX(상세표[직위],$U1047)&amp;"")</f>
        <v/>
      </c>
      <c r="M1047">
        <f>IF($U1047="","",IF(ISNUMBER(INDEX(상세표[근무일자],$U1047)),TEXT(INDEX(상세표[근무일자],$U1047),"yyyy-mm-dd"),INDEX(상세표[근무일자],$U1047)&amp;""))</f>
        <v/>
      </c>
      <c r="N1047">
        <f>IF($U1047="","",IF(ISNUMBER(INDEX(상세표[시작],$U1047)),TEXT(INDEX(상세표[시작],$U1047),"yyyy-mm-dd hh:mm"),INDEX(상세표[시작],$U1047)&amp;""))</f>
        <v/>
      </c>
      <c r="O1047">
        <f>IF($U1047="","",IF(ISNUMBER(INDEX(상세표[종료],$U1047)),TEXT(INDEX(상세표[종료],$U1047),"yyyy-mm-dd hh:mm"),INDEX(상세표[종료],$U1047)&amp;""))</f>
        <v/>
      </c>
      <c r="P1047">
        <f>IF($U1047="","",INDEX(상세표[06~07시],$U1047))</f>
        <v/>
      </c>
      <c r="Q1047">
        <f>IF($U1047="","",INDEX(상세표[07~18시],$U1047))</f>
        <v/>
      </c>
      <c r="R1047">
        <f>IF($U1047="","",INDEX(상세표[18~22시],$U1047))</f>
        <v/>
      </c>
      <c r="S1047">
        <f>IF($U1047="","",INDEX(상세표[22~06시],$U1047))</f>
        <v/>
      </c>
      <c r="T1047">
        <f>IF($U1047="","",INDEX(상세표[기록 시간외],$U1047))</f>
        <v/>
      </c>
      <c r="U1047" s="4">
        <f>IFERROR(MATCH(1042,상세표[발송순번],0),"")</f>
        <v/>
      </c>
    </row>
    <row r="1048">
      <c r="J1048">
        <f>IF($U1048="","",INDEX(상세표[사번],$U1048)&amp;"")</f>
        <v/>
      </c>
      <c r="K1048">
        <f>IF($U1048="","",INDEX(상세표[성명],$U1048)&amp;"")</f>
        <v/>
      </c>
      <c r="L1048">
        <f>IF($U1048="","",INDEX(상세표[직위],$U1048)&amp;"")</f>
        <v/>
      </c>
      <c r="M1048">
        <f>IF($U1048="","",IF(ISNUMBER(INDEX(상세표[근무일자],$U1048)),TEXT(INDEX(상세표[근무일자],$U1048),"yyyy-mm-dd"),INDEX(상세표[근무일자],$U1048)&amp;""))</f>
        <v/>
      </c>
      <c r="N1048">
        <f>IF($U1048="","",IF(ISNUMBER(INDEX(상세표[시작],$U1048)),TEXT(INDEX(상세표[시작],$U1048),"yyyy-mm-dd hh:mm"),INDEX(상세표[시작],$U1048)&amp;""))</f>
        <v/>
      </c>
      <c r="O1048">
        <f>IF($U1048="","",IF(ISNUMBER(INDEX(상세표[종료],$U1048)),TEXT(INDEX(상세표[종료],$U1048),"yyyy-mm-dd hh:mm"),INDEX(상세표[종료],$U1048)&amp;""))</f>
        <v/>
      </c>
      <c r="P1048">
        <f>IF($U1048="","",INDEX(상세표[06~07시],$U1048))</f>
        <v/>
      </c>
      <c r="Q1048">
        <f>IF($U1048="","",INDEX(상세표[07~18시],$U1048))</f>
        <v/>
      </c>
      <c r="R1048">
        <f>IF($U1048="","",INDEX(상세표[18~22시],$U1048))</f>
        <v/>
      </c>
      <c r="S1048">
        <f>IF($U1048="","",INDEX(상세표[22~06시],$U1048))</f>
        <v/>
      </c>
      <c r="T1048">
        <f>IF($U1048="","",INDEX(상세표[기록 시간외],$U1048))</f>
        <v/>
      </c>
      <c r="U1048" s="4">
        <f>IFERROR(MATCH(1043,상세표[발송순번],0),"")</f>
        <v/>
      </c>
    </row>
    <row r="1049">
      <c r="J1049">
        <f>IF($U1049="","",INDEX(상세표[사번],$U1049)&amp;"")</f>
        <v/>
      </c>
      <c r="K1049">
        <f>IF($U1049="","",INDEX(상세표[성명],$U1049)&amp;"")</f>
        <v/>
      </c>
      <c r="L1049">
        <f>IF($U1049="","",INDEX(상세표[직위],$U1049)&amp;"")</f>
        <v/>
      </c>
      <c r="M1049">
        <f>IF($U1049="","",IF(ISNUMBER(INDEX(상세표[근무일자],$U1049)),TEXT(INDEX(상세표[근무일자],$U1049),"yyyy-mm-dd"),INDEX(상세표[근무일자],$U1049)&amp;""))</f>
        <v/>
      </c>
      <c r="N1049">
        <f>IF($U1049="","",IF(ISNUMBER(INDEX(상세표[시작],$U1049)),TEXT(INDEX(상세표[시작],$U1049),"yyyy-mm-dd hh:mm"),INDEX(상세표[시작],$U1049)&amp;""))</f>
        <v/>
      </c>
      <c r="O1049">
        <f>IF($U1049="","",IF(ISNUMBER(INDEX(상세표[종료],$U1049)),TEXT(INDEX(상세표[종료],$U1049),"yyyy-mm-dd hh:mm"),INDEX(상세표[종료],$U1049)&amp;""))</f>
        <v/>
      </c>
      <c r="P1049">
        <f>IF($U1049="","",INDEX(상세표[06~07시],$U1049))</f>
        <v/>
      </c>
      <c r="Q1049">
        <f>IF($U1049="","",INDEX(상세표[07~18시],$U1049))</f>
        <v/>
      </c>
      <c r="R1049">
        <f>IF($U1049="","",INDEX(상세표[18~22시],$U1049))</f>
        <v/>
      </c>
      <c r="S1049">
        <f>IF($U1049="","",INDEX(상세표[22~06시],$U1049))</f>
        <v/>
      </c>
      <c r="T1049">
        <f>IF($U1049="","",INDEX(상세표[기록 시간외],$U1049))</f>
        <v/>
      </c>
      <c r="U1049" s="4">
        <f>IFERROR(MATCH(1044,상세표[발송순번],0),"")</f>
        <v/>
      </c>
    </row>
    <row r="1050">
      <c r="J1050">
        <f>IF($U1050="","",INDEX(상세표[사번],$U1050)&amp;"")</f>
        <v/>
      </c>
      <c r="K1050">
        <f>IF($U1050="","",INDEX(상세표[성명],$U1050)&amp;"")</f>
        <v/>
      </c>
      <c r="L1050">
        <f>IF($U1050="","",INDEX(상세표[직위],$U1050)&amp;"")</f>
        <v/>
      </c>
      <c r="M1050">
        <f>IF($U1050="","",IF(ISNUMBER(INDEX(상세표[근무일자],$U1050)),TEXT(INDEX(상세표[근무일자],$U1050),"yyyy-mm-dd"),INDEX(상세표[근무일자],$U1050)&amp;""))</f>
        <v/>
      </c>
      <c r="N1050">
        <f>IF($U1050="","",IF(ISNUMBER(INDEX(상세표[시작],$U1050)),TEXT(INDEX(상세표[시작],$U1050),"yyyy-mm-dd hh:mm"),INDEX(상세표[시작],$U1050)&amp;""))</f>
        <v/>
      </c>
      <c r="O1050">
        <f>IF($U1050="","",IF(ISNUMBER(INDEX(상세표[종료],$U1050)),TEXT(INDEX(상세표[종료],$U1050),"yyyy-mm-dd hh:mm"),INDEX(상세표[종료],$U1050)&amp;""))</f>
        <v/>
      </c>
      <c r="P1050">
        <f>IF($U1050="","",INDEX(상세표[06~07시],$U1050))</f>
        <v/>
      </c>
      <c r="Q1050">
        <f>IF($U1050="","",INDEX(상세표[07~18시],$U1050))</f>
        <v/>
      </c>
      <c r="R1050">
        <f>IF($U1050="","",INDEX(상세표[18~22시],$U1050))</f>
        <v/>
      </c>
      <c r="S1050">
        <f>IF($U1050="","",INDEX(상세표[22~06시],$U1050))</f>
        <v/>
      </c>
      <c r="T1050">
        <f>IF($U1050="","",INDEX(상세표[기록 시간외],$U1050))</f>
        <v/>
      </c>
      <c r="U1050" s="4">
        <f>IFERROR(MATCH(1045,상세표[발송순번],0),"")</f>
        <v/>
      </c>
    </row>
    <row r="1051">
      <c r="J1051">
        <f>IF($U1051="","",INDEX(상세표[사번],$U1051)&amp;"")</f>
        <v/>
      </c>
      <c r="K1051">
        <f>IF($U1051="","",INDEX(상세표[성명],$U1051)&amp;"")</f>
        <v/>
      </c>
      <c r="L1051">
        <f>IF($U1051="","",INDEX(상세표[직위],$U1051)&amp;"")</f>
        <v/>
      </c>
      <c r="M1051">
        <f>IF($U1051="","",IF(ISNUMBER(INDEX(상세표[근무일자],$U1051)),TEXT(INDEX(상세표[근무일자],$U1051),"yyyy-mm-dd"),INDEX(상세표[근무일자],$U1051)&amp;""))</f>
        <v/>
      </c>
      <c r="N1051">
        <f>IF($U1051="","",IF(ISNUMBER(INDEX(상세표[시작],$U1051)),TEXT(INDEX(상세표[시작],$U1051),"yyyy-mm-dd hh:mm"),INDEX(상세표[시작],$U1051)&amp;""))</f>
        <v/>
      </c>
      <c r="O1051">
        <f>IF($U1051="","",IF(ISNUMBER(INDEX(상세표[종료],$U1051)),TEXT(INDEX(상세표[종료],$U1051),"yyyy-mm-dd hh:mm"),INDEX(상세표[종료],$U1051)&amp;""))</f>
        <v/>
      </c>
      <c r="P1051">
        <f>IF($U1051="","",INDEX(상세표[06~07시],$U1051))</f>
        <v/>
      </c>
      <c r="Q1051">
        <f>IF($U1051="","",INDEX(상세표[07~18시],$U1051))</f>
        <v/>
      </c>
      <c r="R1051">
        <f>IF($U1051="","",INDEX(상세표[18~22시],$U1051))</f>
        <v/>
      </c>
      <c r="S1051">
        <f>IF($U1051="","",INDEX(상세표[22~06시],$U1051))</f>
        <v/>
      </c>
      <c r="T1051">
        <f>IF($U1051="","",INDEX(상세표[기록 시간외],$U1051))</f>
        <v/>
      </c>
      <c r="U1051" s="4">
        <f>IFERROR(MATCH(1046,상세표[발송순번],0),"")</f>
        <v/>
      </c>
    </row>
    <row r="1052">
      <c r="J1052">
        <f>IF($U1052="","",INDEX(상세표[사번],$U1052)&amp;"")</f>
        <v/>
      </c>
      <c r="K1052">
        <f>IF($U1052="","",INDEX(상세표[성명],$U1052)&amp;"")</f>
        <v/>
      </c>
      <c r="L1052">
        <f>IF($U1052="","",INDEX(상세표[직위],$U1052)&amp;"")</f>
        <v/>
      </c>
      <c r="M1052">
        <f>IF($U1052="","",IF(ISNUMBER(INDEX(상세표[근무일자],$U1052)),TEXT(INDEX(상세표[근무일자],$U1052),"yyyy-mm-dd"),INDEX(상세표[근무일자],$U1052)&amp;""))</f>
        <v/>
      </c>
      <c r="N1052">
        <f>IF($U1052="","",IF(ISNUMBER(INDEX(상세표[시작],$U1052)),TEXT(INDEX(상세표[시작],$U1052),"yyyy-mm-dd hh:mm"),INDEX(상세표[시작],$U1052)&amp;""))</f>
        <v/>
      </c>
      <c r="O1052">
        <f>IF($U1052="","",IF(ISNUMBER(INDEX(상세표[종료],$U1052)),TEXT(INDEX(상세표[종료],$U1052),"yyyy-mm-dd hh:mm"),INDEX(상세표[종료],$U1052)&amp;""))</f>
        <v/>
      </c>
      <c r="P1052">
        <f>IF($U1052="","",INDEX(상세표[06~07시],$U1052))</f>
        <v/>
      </c>
      <c r="Q1052">
        <f>IF($U1052="","",INDEX(상세표[07~18시],$U1052))</f>
        <v/>
      </c>
      <c r="R1052">
        <f>IF($U1052="","",INDEX(상세표[18~22시],$U1052))</f>
        <v/>
      </c>
      <c r="S1052">
        <f>IF($U1052="","",INDEX(상세표[22~06시],$U1052))</f>
        <v/>
      </c>
      <c r="T1052">
        <f>IF($U1052="","",INDEX(상세표[기록 시간외],$U1052))</f>
        <v/>
      </c>
      <c r="U1052" s="4">
        <f>IFERROR(MATCH(1047,상세표[발송순번],0),"")</f>
        <v/>
      </c>
    </row>
    <row r="1053">
      <c r="J1053">
        <f>IF($U1053="","",INDEX(상세표[사번],$U1053)&amp;"")</f>
        <v/>
      </c>
      <c r="K1053">
        <f>IF($U1053="","",INDEX(상세표[성명],$U1053)&amp;"")</f>
        <v/>
      </c>
      <c r="L1053">
        <f>IF($U1053="","",INDEX(상세표[직위],$U1053)&amp;"")</f>
        <v/>
      </c>
      <c r="M1053">
        <f>IF($U1053="","",IF(ISNUMBER(INDEX(상세표[근무일자],$U1053)),TEXT(INDEX(상세표[근무일자],$U1053),"yyyy-mm-dd"),INDEX(상세표[근무일자],$U1053)&amp;""))</f>
        <v/>
      </c>
      <c r="N1053">
        <f>IF($U1053="","",IF(ISNUMBER(INDEX(상세표[시작],$U1053)),TEXT(INDEX(상세표[시작],$U1053),"yyyy-mm-dd hh:mm"),INDEX(상세표[시작],$U1053)&amp;""))</f>
        <v/>
      </c>
      <c r="O1053">
        <f>IF($U1053="","",IF(ISNUMBER(INDEX(상세표[종료],$U1053)),TEXT(INDEX(상세표[종료],$U1053),"yyyy-mm-dd hh:mm"),INDEX(상세표[종료],$U1053)&amp;""))</f>
        <v/>
      </c>
      <c r="P1053">
        <f>IF($U1053="","",INDEX(상세표[06~07시],$U1053))</f>
        <v/>
      </c>
      <c r="Q1053">
        <f>IF($U1053="","",INDEX(상세표[07~18시],$U1053))</f>
        <v/>
      </c>
      <c r="R1053">
        <f>IF($U1053="","",INDEX(상세표[18~22시],$U1053))</f>
        <v/>
      </c>
      <c r="S1053">
        <f>IF($U1053="","",INDEX(상세표[22~06시],$U1053))</f>
        <v/>
      </c>
      <c r="T1053">
        <f>IF($U1053="","",INDEX(상세표[기록 시간외],$U1053))</f>
        <v/>
      </c>
      <c r="U1053" s="4">
        <f>IFERROR(MATCH(1048,상세표[발송순번],0),"")</f>
        <v/>
      </c>
    </row>
    <row r="1054">
      <c r="J1054">
        <f>IF($U1054="","",INDEX(상세표[사번],$U1054)&amp;"")</f>
        <v/>
      </c>
      <c r="K1054">
        <f>IF($U1054="","",INDEX(상세표[성명],$U1054)&amp;"")</f>
        <v/>
      </c>
      <c r="L1054">
        <f>IF($U1054="","",INDEX(상세표[직위],$U1054)&amp;"")</f>
        <v/>
      </c>
      <c r="M1054">
        <f>IF($U1054="","",IF(ISNUMBER(INDEX(상세표[근무일자],$U1054)),TEXT(INDEX(상세표[근무일자],$U1054),"yyyy-mm-dd"),INDEX(상세표[근무일자],$U1054)&amp;""))</f>
        <v/>
      </c>
      <c r="N1054">
        <f>IF($U1054="","",IF(ISNUMBER(INDEX(상세표[시작],$U1054)),TEXT(INDEX(상세표[시작],$U1054),"yyyy-mm-dd hh:mm"),INDEX(상세표[시작],$U1054)&amp;""))</f>
        <v/>
      </c>
      <c r="O1054">
        <f>IF($U1054="","",IF(ISNUMBER(INDEX(상세표[종료],$U1054)),TEXT(INDEX(상세표[종료],$U1054),"yyyy-mm-dd hh:mm"),INDEX(상세표[종료],$U1054)&amp;""))</f>
        <v/>
      </c>
      <c r="P1054">
        <f>IF($U1054="","",INDEX(상세표[06~07시],$U1054))</f>
        <v/>
      </c>
      <c r="Q1054">
        <f>IF($U1054="","",INDEX(상세표[07~18시],$U1054))</f>
        <v/>
      </c>
      <c r="R1054">
        <f>IF($U1054="","",INDEX(상세표[18~22시],$U1054))</f>
        <v/>
      </c>
      <c r="S1054">
        <f>IF($U1054="","",INDEX(상세표[22~06시],$U1054))</f>
        <v/>
      </c>
      <c r="T1054">
        <f>IF($U1054="","",INDEX(상세표[기록 시간외],$U1054))</f>
        <v/>
      </c>
      <c r="U1054" s="4">
        <f>IFERROR(MATCH(1049,상세표[발송순번],0),"")</f>
        <v/>
      </c>
    </row>
    <row r="1055">
      <c r="J1055">
        <f>IF($U1055="","",INDEX(상세표[사번],$U1055)&amp;"")</f>
        <v/>
      </c>
      <c r="K1055">
        <f>IF($U1055="","",INDEX(상세표[성명],$U1055)&amp;"")</f>
        <v/>
      </c>
      <c r="L1055">
        <f>IF($U1055="","",INDEX(상세표[직위],$U1055)&amp;"")</f>
        <v/>
      </c>
      <c r="M1055">
        <f>IF($U1055="","",IF(ISNUMBER(INDEX(상세표[근무일자],$U1055)),TEXT(INDEX(상세표[근무일자],$U1055),"yyyy-mm-dd"),INDEX(상세표[근무일자],$U1055)&amp;""))</f>
        <v/>
      </c>
      <c r="N1055">
        <f>IF($U1055="","",IF(ISNUMBER(INDEX(상세표[시작],$U1055)),TEXT(INDEX(상세표[시작],$U1055),"yyyy-mm-dd hh:mm"),INDEX(상세표[시작],$U1055)&amp;""))</f>
        <v/>
      </c>
      <c r="O1055">
        <f>IF($U1055="","",IF(ISNUMBER(INDEX(상세표[종료],$U1055)),TEXT(INDEX(상세표[종료],$U1055),"yyyy-mm-dd hh:mm"),INDEX(상세표[종료],$U1055)&amp;""))</f>
        <v/>
      </c>
      <c r="P1055">
        <f>IF($U1055="","",INDEX(상세표[06~07시],$U1055))</f>
        <v/>
      </c>
      <c r="Q1055">
        <f>IF($U1055="","",INDEX(상세표[07~18시],$U1055))</f>
        <v/>
      </c>
      <c r="R1055">
        <f>IF($U1055="","",INDEX(상세표[18~22시],$U1055))</f>
        <v/>
      </c>
      <c r="S1055">
        <f>IF($U1055="","",INDEX(상세표[22~06시],$U1055))</f>
        <v/>
      </c>
      <c r="T1055">
        <f>IF($U1055="","",INDEX(상세표[기록 시간외],$U1055))</f>
        <v/>
      </c>
      <c r="U1055" s="4">
        <f>IFERROR(MATCH(1050,상세표[발송순번],0),"")</f>
        <v/>
      </c>
    </row>
    <row r="1056">
      <c r="J1056">
        <f>IF($U1056="","",INDEX(상세표[사번],$U1056)&amp;"")</f>
        <v/>
      </c>
      <c r="K1056">
        <f>IF($U1056="","",INDEX(상세표[성명],$U1056)&amp;"")</f>
        <v/>
      </c>
      <c r="L1056">
        <f>IF($U1056="","",INDEX(상세표[직위],$U1056)&amp;"")</f>
        <v/>
      </c>
      <c r="M1056">
        <f>IF($U1056="","",IF(ISNUMBER(INDEX(상세표[근무일자],$U1056)),TEXT(INDEX(상세표[근무일자],$U1056),"yyyy-mm-dd"),INDEX(상세표[근무일자],$U1056)&amp;""))</f>
        <v/>
      </c>
      <c r="N1056">
        <f>IF($U1056="","",IF(ISNUMBER(INDEX(상세표[시작],$U1056)),TEXT(INDEX(상세표[시작],$U1056),"yyyy-mm-dd hh:mm"),INDEX(상세표[시작],$U1056)&amp;""))</f>
        <v/>
      </c>
      <c r="O1056">
        <f>IF($U1056="","",IF(ISNUMBER(INDEX(상세표[종료],$U1056)),TEXT(INDEX(상세표[종료],$U1056),"yyyy-mm-dd hh:mm"),INDEX(상세표[종료],$U1056)&amp;""))</f>
        <v/>
      </c>
      <c r="P1056">
        <f>IF($U1056="","",INDEX(상세표[06~07시],$U1056))</f>
        <v/>
      </c>
      <c r="Q1056">
        <f>IF($U1056="","",INDEX(상세표[07~18시],$U1056))</f>
        <v/>
      </c>
      <c r="R1056">
        <f>IF($U1056="","",INDEX(상세표[18~22시],$U1056))</f>
        <v/>
      </c>
      <c r="S1056">
        <f>IF($U1056="","",INDEX(상세표[22~06시],$U1056))</f>
        <v/>
      </c>
      <c r="T1056">
        <f>IF($U1056="","",INDEX(상세표[기록 시간외],$U1056))</f>
        <v/>
      </c>
      <c r="U1056" s="4">
        <f>IFERROR(MATCH(1051,상세표[발송순번],0),"")</f>
        <v/>
      </c>
    </row>
    <row r="1057">
      <c r="J1057">
        <f>IF($U1057="","",INDEX(상세표[사번],$U1057)&amp;"")</f>
        <v/>
      </c>
      <c r="K1057">
        <f>IF($U1057="","",INDEX(상세표[성명],$U1057)&amp;"")</f>
        <v/>
      </c>
      <c r="L1057">
        <f>IF($U1057="","",INDEX(상세표[직위],$U1057)&amp;"")</f>
        <v/>
      </c>
      <c r="M1057">
        <f>IF($U1057="","",IF(ISNUMBER(INDEX(상세표[근무일자],$U1057)),TEXT(INDEX(상세표[근무일자],$U1057),"yyyy-mm-dd"),INDEX(상세표[근무일자],$U1057)&amp;""))</f>
        <v/>
      </c>
      <c r="N1057">
        <f>IF($U1057="","",IF(ISNUMBER(INDEX(상세표[시작],$U1057)),TEXT(INDEX(상세표[시작],$U1057),"yyyy-mm-dd hh:mm"),INDEX(상세표[시작],$U1057)&amp;""))</f>
        <v/>
      </c>
      <c r="O1057">
        <f>IF($U1057="","",IF(ISNUMBER(INDEX(상세표[종료],$U1057)),TEXT(INDEX(상세표[종료],$U1057),"yyyy-mm-dd hh:mm"),INDEX(상세표[종료],$U1057)&amp;""))</f>
        <v/>
      </c>
      <c r="P1057">
        <f>IF($U1057="","",INDEX(상세표[06~07시],$U1057))</f>
        <v/>
      </c>
      <c r="Q1057">
        <f>IF($U1057="","",INDEX(상세표[07~18시],$U1057))</f>
        <v/>
      </c>
      <c r="R1057">
        <f>IF($U1057="","",INDEX(상세표[18~22시],$U1057))</f>
        <v/>
      </c>
      <c r="S1057">
        <f>IF($U1057="","",INDEX(상세표[22~06시],$U1057))</f>
        <v/>
      </c>
      <c r="T1057">
        <f>IF($U1057="","",INDEX(상세표[기록 시간외],$U1057))</f>
        <v/>
      </c>
      <c r="U1057" s="4">
        <f>IFERROR(MATCH(1052,상세표[발송순번],0),"")</f>
        <v/>
      </c>
    </row>
    <row r="1058">
      <c r="J1058">
        <f>IF($U1058="","",INDEX(상세표[사번],$U1058)&amp;"")</f>
        <v/>
      </c>
      <c r="K1058">
        <f>IF($U1058="","",INDEX(상세표[성명],$U1058)&amp;"")</f>
        <v/>
      </c>
      <c r="L1058">
        <f>IF($U1058="","",INDEX(상세표[직위],$U1058)&amp;"")</f>
        <v/>
      </c>
      <c r="M1058">
        <f>IF($U1058="","",IF(ISNUMBER(INDEX(상세표[근무일자],$U1058)),TEXT(INDEX(상세표[근무일자],$U1058),"yyyy-mm-dd"),INDEX(상세표[근무일자],$U1058)&amp;""))</f>
        <v/>
      </c>
      <c r="N1058">
        <f>IF($U1058="","",IF(ISNUMBER(INDEX(상세표[시작],$U1058)),TEXT(INDEX(상세표[시작],$U1058),"yyyy-mm-dd hh:mm"),INDEX(상세표[시작],$U1058)&amp;""))</f>
        <v/>
      </c>
      <c r="O1058">
        <f>IF($U1058="","",IF(ISNUMBER(INDEX(상세표[종료],$U1058)),TEXT(INDEX(상세표[종료],$U1058),"yyyy-mm-dd hh:mm"),INDEX(상세표[종료],$U1058)&amp;""))</f>
        <v/>
      </c>
      <c r="P1058">
        <f>IF($U1058="","",INDEX(상세표[06~07시],$U1058))</f>
        <v/>
      </c>
      <c r="Q1058">
        <f>IF($U1058="","",INDEX(상세표[07~18시],$U1058))</f>
        <v/>
      </c>
      <c r="R1058">
        <f>IF($U1058="","",INDEX(상세표[18~22시],$U1058))</f>
        <v/>
      </c>
      <c r="S1058">
        <f>IF($U1058="","",INDEX(상세표[22~06시],$U1058))</f>
        <v/>
      </c>
      <c r="T1058">
        <f>IF($U1058="","",INDEX(상세표[기록 시간외],$U1058))</f>
        <v/>
      </c>
      <c r="U1058" s="4">
        <f>IFERROR(MATCH(1053,상세표[발송순번],0),"")</f>
        <v/>
      </c>
    </row>
    <row r="1059">
      <c r="J1059">
        <f>IF($U1059="","",INDEX(상세표[사번],$U1059)&amp;"")</f>
        <v/>
      </c>
      <c r="K1059">
        <f>IF($U1059="","",INDEX(상세표[성명],$U1059)&amp;"")</f>
        <v/>
      </c>
      <c r="L1059">
        <f>IF($U1059="","",INDEX(상세표[직위],$U1059)&amp;"")</f>
        <v/>
      </c>
      <c r="M1059">
        <f>IF($U1059="","",IF(ISNUMBER(INDEX(상세표[근무일자],$U1059)),TEXT(INDEX(상세표[근무일자],$U1059),"yyyy-mm-dd"),INDEX(상세표[근무일자],$U1059)&amp;""))</f>
        <v/>
      </c>
      <c r="N1059">
        <f>IF($U1059="","",IF(ISNUMBER(INDEX(상세표[시작],$U1059)),TEXT(INDEX(상세표[시작],$U1059),"yyyy-mm-dd hh:mm"),INDEX(상세표[시작],$U1059)&amp;""))</f>
        <v/>
      </c>
      <c r="O1059">
        <f>IF($U1059="","",IF(ISNUMBER(INDEX(상세표[종료],$U1059)),TEXT(INDEX(상세표[종료],$U1059),"yyyy-mm-dd hh:mm"),INDEX(상세표[종료],$U1059)&amp;""))</f>
        <v/>
      </c>
      <c r="P1059">
        <f>IF($U1059="","",INDEX(상세표[06~07시],$U1059))</f>
        <v/>
      </c>
      <c r="Q1059">
        <f>IF($U1059="","",INDEX(상세표[07~18시],$U1059))</f>
        <v/>
      </c>
      <c r="R1059">
        <f>IF($U1059="","",INDEX(상세표[18~22시],$U1059))</f>
        <v/>
      </c>
      <c r="S1059">
        <f>IF($U1059="","",INDEX(상세표[22~06시],$U1059))</f>
        <v/>
      </c>
      <c r="T1059">
        <f>IF($U1059="","",INDEX(상세표[기록 시간외],$U1059))</f>
        <v/>
      </c>
      <c r="U1059" s="4">
        <f>IFERROR(MATCH(1054,상세표[발송순번],0),"")</f>
        <v/>
      </c>
    </row>
    <row r="1060">
      <c r="J1060">
        <f>IF($U1060="","",INDEX(상세표[사번],$U1060)&amp;"")</f>
        <v/>
      </c>
      <c r="K1060">
        <f>IF($U1060="","",INDEX(상세표[성명],$U1060)&amp;"")</f>
        <v/>
      </c>
      <c r="L1060">
        <f>IF($U1060="","",INDEX(상세표[직위],$U1060)&amp;"")</f>
        <v/>
      </c>
      <c r="M1060">
        <f>IF($U1060="","",IF(ISNUMBER(INDEX(상세표[근무일자],$U1060)),TEXT(INDEX(상세표[근무일자],$U1060),"yyyy-mm-dd"),INDEX(상세표[근무일자],$U1060)&amp;""))</f>
        <v/>
      </c>
      <c r="N1060">
        <f>IF($U1060="","",IF(ISNUMBER(INDEX(상세표[시작],$U1060)),TEXT(INDEX(상세표[시작],$U1060),"yyyy-mm-dd hh:mm"),INDEX(상세표[시작],$U1060)&amp;""))</f>
        <v/>
      </c>
      <c r="O1060">
        <f>IF($U1060="","",IF(ISNUMBER(INDEX(상세표[종료],$U1060)),TEXT(INDEX(상세표[종료],$U1060),"yyyy-mm-dd hh:mm"),INDEX(상세표[종료],$U1060)&amp;""))</f>
        <v/>
      </c>
      <c r="P1060">
        <f>IF($U1060="","",INDEX(상세표[06~07시],$U1060))</f>
        <v/>
      </c>
      <c r="Q1060">
        <f>IF($U1060="","",INDEX(상세표[07~18시],$U1060))</f>
        <v/>
      </c>
      <c r="R1060">
        <f>IF($U1060="","",INDEX(상세표[18~22시],$U1060))</f>
        <v/>
      </c>
      <c r="S1060">
        <f>IF($U1060="","",INDEX(상세표[22~06시],$U1060))</f>
        <v/>
      </c>
      <c r="T1060">
        <f>IF($U1060="","",INDEX(상세표[기록 시간외],$U1060))</f>
        <v/>
      </c>
      <c r="U1060" s="4">
        <f>IFERROR(MATCH(1055,상세표[발송순번],0),"")</f>
        <v/>
      </c>
    </row>
    <row r="1061">
      <c r="J1061">
        <f>IF($U1061="","",INDEX(상세표[사번],$U1061)&amp;"")</f>
        <v/>
      </c>
      <c r="K1061">
        <f>IF($U1061="","",INDEX(상세표[성명],$U1061)&amp;"")</f>
        <v/>
      </c>
      <c r="L1061">
        <f>IF($U1061="","",INDEX(상세표[직위],$U1061)&amp;"")</f>
        <v/>
      </c>
      <c r="M1061">
        <f>IF($U1061="","",IF(ISNUMBER(INDEX(상세표[근무일자],$U1061)),TEXT(INDEX(상세표[근무일자],$U1061),"yyyy-mm-dd"),INDEX(상세표[근무일자],$U1061)&amp;""))</f>
        <v/>
      </c>
      <c r="N1061">
        <f>IF($U1061="","",IF(ISNUMBER(INDEX(상세표[시작],$U1061)),TEXT(INDEX(상세표[시작],$U1061),"yyyy-mm-dd hh:mm"),INDEX(상세표[시작],$U1061)&amp;""))</f>
        <v/>
      </c>
      <c r="O1061">
        <f>IF($U1061="","",IF(ISNUMBER(INDEX(상세표[종료],$U1061)),TEXT(INDEX(상세표[종료],$U1061),"yyyy-mm-dd hh:mm"),INDEX(상세표[종료],$U1061)&amp;""))</f>
        <v/>
      </c>
      <c r="P1061">
        <f>IF($U1061="","",INDEX(상세표[06~07시],$U1061))</f>
        <v/>
      </c>
      <c r="Q1061">
        <f>IF($U1061="","",INDEX(상세표[07~18시],$U1061))</f>
        <v/>
      </c>
      <c r="R1061">
        <f>IF($U1061="","",INDEX(상세표[18~22시],$U1061))</f>
        <v/>
      </c>
      <c r="S1061">
        <f>IF($U1061="","",INDEX(상세표[22~06시],$U1061))</f>
        <v/>
      </c>
      <c r="T1061">
        <f>IF($U1061="","",INDEX(상세표[기록 시간외],$U1061))</f>
        <v/>
      </c>
      <c r="U1061" s="4">
        <f>IFERROR(MATCH(1056,상세표[발송순번],0),"")</f>
        <v/>
      </c>
    </row>
    <row r="1062">
      <c r="J1062">
        <f>IF($U1062="","",INDEX(상세표[사번],$U1062)&amp;"")</f>
        <v/>
      </c>
      <c r="K1062">
        <f>IF($U1062="","",INDEX(상세표[성명],$U1062)&amp;"")</f>
        <v/>
      </c>
      <c r="L1062">
        <f>IF($U1062="","",INDEX(상세표[직위],$U1062)&amp;"")</f>
        <v/>
      </c>
      <c r="M1062">
        <f>IF($U1062="","",IF(ISNUMBER(INDEX(상세표[근무일자],$U1062)),TEXT(INDEX(상세표[근무일자],$U1062),"yyyy-mm-dd"),INDEX(상세표[근무일자],$U1062)&amp;""))</f>
        <v/>
      </c>
      <c r="N1062">
        <f>IF($U1062="","",IF(ISNUMBER(INDEX(상세표[시작],$U1062)),TEXT(INDEX(상세표[시작],$U1062),"yyyy-mm-dd hh:mm"),INDEX(상세표[시작],$U1062)&amp;""))</f>
        <v/>
      </c>
      <c r="O1062">
        <f>IF($U1062="","",IF(ISNUMBER(INDEX(상세표[종료],$U1062)),TEXT(INDEX(상세표[종료],$U1062),"yyyy-mm-dd hh:mm"),INDEX(상세표[종료],$U1062)&amp;""))</f>
        <v/>
      </c>
      <c r="P1062">
        <f>IF($U1062="","",INDEX(상세표[06~07시],$U1062))</f>
        <v/>
      </c>
      <c r="Q1062">
        <f>IF($U1062="","",INDEX(상세표[07~18시],$U1062))</f>
        <v/>
      </c>
      <c r="R1062">
        <f>IF($U1062="","",INDEX(상세표[18~22시],$U1062))</f>
        <v/>
      </c>
      <c r="S1062">
        <f>IF($U1062="","",INDEX(상세표[22~06시],$U1062))</f>
        <v/>
      </c>
      <c r="T1062">
        <f>IF($U1062="","",INDEX(상세표[기록 시간외],$U1062))</f>
        <v/>
      </c>
      <c r="U1062" s="4">
        <f>IFERROR(MATCH(1057,상세표[발송순번],0),"")</f>
        <v/>
      </c>
    </row>
    <row r="1063">
      <c r="J1063">
        <f>IF($U1063="","",INDEX(상세표[사번],$U1063)&amp;"")</f>
        <v/>
      </c>
      <c r="K1063">
        <f>IF($U1063="","",INDEX(상세표[성명],$U1063)&amp;"")</f>
        <v/>
      </c>
      <c r="L1063">
        <f>IF($U1063="","",INDEX(상세표[직위],$U1063)&amp;"")</f>
        <v/>
      </c>
      <c r="M1063">
        <f>IF($U1063="","",IF(ISNUMBER(INDEX(상세표[근무일자],$U1063)),TEXT(INDEX(상세표[근무일자],$U1063),"yyyy-mm-dd"),INDEX(상세표[근무일자],$U1063)&amp;""))</f>
        <v/>
      </c>
      <c r="N1063">
        <f>IF($U1063="","",IF(ISNUMBER(INDEX(상세표[시작],$U1063)),TEXT(INDEX(상세표[시작],$U1063),"yyyy-mm-dd hh:mm"),INDEX(상세표[시작],$U1063)&amp;""))</f>
        <v/>
      </c>
      <c r="O1063">
        <f>IF($U1063="","",IF(ISNUMBER(INDEX(상세표[종료],$U1063)),TEXT(INDEX(상세표[종료],$U1063),"yyyy-mm-dd hh:mm"),INDEX(상세표[종료],$U1063)&amp;""))</f>
        <v/>
      </c>
      <c r="P1063">
        <f>IF($U1063="","",INDEX(상세표[06~07시],$U1063))</f>
        <v/>
      </c>
      <c r="Q1063">
        <f>IF($U1063="","",INDEX(상세표[07~18시],$U1063))</f>
        <v/>
      </c>
      <c r="R1063">
        <f>IF($U1063="","",INDEX(상세표[18~22시],$U1063))</f>
        <v/>
      </c>
      <c r="S1063">
        <f>IF($U1063="","",INDEX(상세표[22~06시],$U1063))</f>
        <v/>
      </c>
      <c r="T1063">
        <f>IF($U1063="","",INDEX(상세표[기록 시간외],$U1063))</f>
        <v/>
      </c>
      <c r="U1063" s="4">
        <f>IFERROR(MATCH(1058,상세표[발송순번],0),"")</f>
        <v/>
      </c>
    </row>
    <row r="1064">
      <c r="J1064">
        <f>IF($U1064="","",INDEX(상세표[사번],$U1064)&amp;"")</f>
        <v/>
      </c>
      <c r="K1064">
        <f>IF($U1064="","",INDEX(상세표[성명],$U1064)&amp;"")</f>
        <v/>
      </c>
      <c r="L1064">
        <f>IF($U1064="","",INDEX(상세표[직위],$U1064)&amp;"")</f>
        <v/>
      </c>
      <c r="M1064">
        <f>IF($U1064="","",IF(ISNUMBER(INDEX(상세표[근무일자],$U1064)),TEXT(INDEX(상세표[근무일자],$U1064),"yyyy-mm-dd"),INDEX(상세표[근무일자],$U1064)&amp;""))</f>
        <v/>
      </c>
      <c r="N1064">
        <f>IF($U1064="","",IF(ISNUMBER(INDEX(상세표[시작],$U1064)),TEXT(INDEX(상세표[시작],$U1064),"yyyy-mm-dd hh:mm"),INDEX(상세표[시작],$U1064)&amp;""))</f>
        <v/>
      </c>
      <c r="O1064">
        <f>IF($U1064="","",IF(ISNUMBER(INDEX(상세표[종료],$U1064)),TEXT(INDEX(상세표[종료],$U1064),"yyyy-mm-dd hh:mm"),INDEX(상세표[종료],$U1064)&amp;""))</f>
        <v/>
      </c>
      <c r="P1064">
        <f>IF($U1064="","",INDEX(상세표[06~07시],$U1064))</f>
        <v/>
      </c>
      <c r="Q1064">
        <f>IF($U1064="","",INDEX(상세표[07~18시],$U1064))</f>
        <v/>
      </c>
      <c r="R1064">
        <f>IF($U1064="","",INDEX(상세표[18~22시],$U1064))</f>
        <v/>
      </c>
      <c r="S1064">
        <f>IF($U1064="","",INDEX(상세표[22~06시],$U1064))</f>
        <v/>
      </c>
      <c r="T1064">
        <f>IF($U1064="","",INDEX(상세표[기록 시간외],$U1064))</f>
        <v/>
      </c>
      <c r="U1064" s="4">
        <f>IFERROR(MATCH(1059,상세표[발송순번],0),"")</f>
        <v/>
      </c>
    </row>
    <row r="1065">
      <c r="J1065">
        <f>IF($U1065="","",INDEX(상세표[사번],$U1065)&amp;"")</f>
        <v/>
      </c>
      <c r="K1065">
        <f>IF($U1065="","",INDEX(상세표[성명],$U1065)&amp;"")</f>
        <v/>
      </c>
      <c r="L1065">
        <f>IF($U1065="","",INDEX(상세표[직위],$U1065)&amp;"")</f>
        <v/>
      </c>
      <c r="M1065">
        <f>IF($U1065="","",IF(ISNUMBER(INDEX(상세표[근무일자],$U1065)),TEXT(INDEX(상세표[근무일자],$U1065),"yyyy-mm-dd"),INDEX(상세표[근무일자],$U1065)&amp;""))</f>
        <v/>
      </c>
      <c r="N1065">
        <f>IF($U1065="","",IF(ISNUMBER(INDEX(상세표[시작],$U1065)),TEXT(INDEX(상세표[시작],$U1065),"yyyy-mm-dd hh:mm"),INDEX(상세표[시작],$U1065)&amp;""))</f>
        <v/>
      </c>
      <c r="O1065">
        <f>IF($U1065="","",IF(ISNUMBER(INDEX(상세표[종료],$U1065)),TEXT(INDEX(상세표[종료],$U1065),"yyyy-mm-dd hh:mm"),INDEX(상세표[종료],$U1065)&amp;""))</f>
        <v/>
      </c>
      <c r="P1065">
        <f>IF($U1065="","",INDEX(상세표[06~07시],$U1065))</f>
        <v/>
      </c>
      <c r="Q1065">
        <f>IF($U1065="","",INDEX(상세표[07~18시],$U1065))</f>
        <v/>
      </c>
      <c r="R1065">
        <f>IF($U1065="","",INDEX(상세표[18~22시],$U1065))</f>
        <v/>
      </c>
      <c r="S1065">
        <f>IF($U1065="","",INDEX(상세표[22~06시],$U1065))</f>
        <v/>
      </c>
      <c r="T1065">
        <f>IF($U1065="","",INDEX(상세표[기록 시간외],$U1065))</f>
        <v/>
      </c>
      <c r="U1065" s="4">
        <f>IFERROR(MATCH(1060,상세표[발송순번],0),"")</f>
        <v/>
      </c>
    </row>
    <row r="1066">
      <c r="J1066">
        <f>IF($U1066="","",INDEX(상세표[사번],$U1066)&amp;"")</f>
        <v/>
      </c>
      <c r="K1066">
        <f>IF($U1066="","",INDEX(상세표[성명],$U1066)&amp;"")</f>
        <v/>
      </c>
      <c r="L1066">
        <f>IF($U1066="","",INDEX(상세표[직위],$U1066)&amp;"")</f>
        <v/>
      </c>
      <c r="M1066">
        <f>IF($U1066="","",IF(ISNUMBER(INDEX(상세표[근무일자],$U1066)),TEXT(INDEX(상세표[근무일자],$U1066),"yyyy-mm-dd"),INDEX(상세표[근무일자],$U1066)&amp;""))</f>
        <v/>
      </c>
      <c r="N1066">
        <f>IF($U1066="","",IF(ISNUMBER(INDEX(상세표[시작],$U1066)),TEXT(INDEX(상세표[시작],$U1066),"yyyy-mm-dd hh:mm"),INDEX(상세표[시작],$U1066)&amp;""))</f>
        <v/>
      </c>
      <c r="O1066">
        <f>IF($U1066="","",IF(ISNUMBER(INDEX(상세표[종료],$U1066)),TEXT(INDEX(상세표[종료],$U1066),"yyyy-mm-dd hh:mm"),INDEX(상세표[종료],$U1066)&amp;""))</f>
        <v/>
      </c>
      <c r="P1066">
        <f>IF($U1066="","",INDEX(상세표[06~07시],$U1066))</f>
        <v/>
      </c>
      <c r="Q1066">
        <f>IF($U1066="","",INDEX(상세표[07~18시],$U1066))</f>
        <v/>
      </c>
      <c r="R1066">
        <f>IF($U1066="","",INDEX(상세표[18~22시],$U1066))</f>
        <v/>
      </c>
      <c r="S1066">
        <f>IF($U1066="","",INDEX(상세표[22~06시],$U1066))</f>
        <v/>
      </c>
      <c r="T1066">
        <f>IF($U1066="","",INDEX(상세표[기록 시간외],$U1066))</f>
        <v/>
      </c>
      <c r="U1066" s="4">
        <f>IFERROR(MATCH(1061,상세표[발송순번],0),"")</f>
        <v/>
      </c>
    </row>
    <row r="1067">
      <c r="J1067">
        <f>IF($U1067="","",INDEX(상세표[사번],$U1067)&amp;"")</f>
        <v/>
      </c>
      <c r="K1067">
        <f>IF($U1067="","",INDEX(상세표[성명],$U1067)&amp;"")</f>
        <v/>
      </c>
      <c r="L1067">
        <f>IF($U1067="","",INDEX(상세표[직위],$U1067)&amp;"")</f>
        <v/>
      </c>
      <c r="M1067">
        <f>IF($U1067="","",IF(ISNUMBER(INDEX(상세표[근무일자],$U1067)),TEXT(INDEX(상세표[근무일자],$U1067),"yyyy-mm-dd"),INDEX(상세표[근무일자],$U1067)&amp;""))</f>
        <v/>
      </c>
      <c r="N1067">
        <f>IF($U1067="","",IF(ISNUMBER(INDEX(상세표[시작],$U1067)),TEXT(INDEX(상세표[시작],$U1067),"yyyy-mm-dd hh:mm"),INDEX(상세표[시작],$U1067)&amp;""))</f>
        <v/>
      </c>
      <c r="O1067">
        <f>IF($U1067="","",IF(ISNUMBER(INDEX(상세표[종료],$U1067)),TEXT(INDEX(상세표[종료],$U1067),"yyyy-mm-dd hh:mm"),INDEX(상세표[종료],$U1067)&amp;""))</f>
        <v/>
      </c>
      <c r="P1067">
        <f>IF($U1067="","",INDEX(상세표[06~07시],$U1067))</f>
        <v/>
      </c>
      <c r="Q1067">
        <f>IF($U1067="","",INDEX(상세표[07~18시],$U1067))</f>
        <v/>
      </c>
      <c r="R1067">
        <f>IF($U1067="","",INDEX(상세표[18~22시],$U1067))</f>
        <v/>
      </c>
      <c r="S1067">
        <f>IF($U1067="","",INDEX(상세표[22~06시],$U1067))</f>
        <v/>
      </c>
      <c r="T1067">
        <f>IF($U1067="","",INDEX(상세표[기록 시간외],$U1067))</f>
        <v/>
      </c>
      <c r="U1067" s="4">
        <f>IFERROR(MATCH(1062,상세표[발송순번],0),"")</f>
        <v/>
      </c>
    </row>
    <row r="1068">
      <c r="J1068">
        <f>IF($U1068="","",INDEX(상세표[사번],$U1068)&amp;"")</f>
        <v/>
      </c>
      <c r="K1068">
        <f>IF($U1068="","",INDEX(상세표[성명],$U1068)&amp;"")</f>
        <v/>
      </c>
      <c r="L1068">
        <f>IF($U1068="","",INDEX(상세표[직위],$U1068)&amp;"")</f>
        <v/>
      </c>
      <c r="M1068">
        <f>IF($U1068="","",IF(ISNUMBER(INDEX(상세표[근무일자],$U1068)),TEXT(INDEX(상세표[근무일자],$U1068),"yyyy-mm-dd"),INDEX(상세표[근무일자],$U1068)&amp;""))</f>
        <v/>
      </c>
      <c r="N1068">
        <f>IF($U1068="","",IF(ISNUMBER(INDEX(상세표[시작],$U1068)),TEXT(INDEX(상세표[시작],$U1068),"yyyy-mm-dd hh:mm"),INDEX(상세표[시작],$U1068)&amp;""))</f>
        <v/>
      </c>
      <c r="O1068">
        <f>IF($U1068="","",IF(ISNUMBER(INDEX(상세표[종료],$U1068)),TEXT(INDEX(상세표[종료],$U1068),"yyyy-mm-dd hh:mm"),INDEX(상세표[종료],$U1068)&amp;""))</f>
        <v/>
      </c>
      <c r="P1068">
        <f>IF($U1068="","",INDEX(상세표[06~07시],$U1068))</f>
        <v/>
      </c>
      <c r="Q1068">
        <f>IF($U1068="","",INDEX(상세표[07~18시],$U1068))</f>
        <v/>
      </c>
      <c r="R1068">
        <f>IF($U1068="","",INDEX(상세표[18~22시],$U1068))</f>
        <v/>
      </c>
      <c r="S1068">
        <f>IF($U1068="","",INDEX(상세표[22~06시],$U1068))</f>
        <v/>
      </c>
      <c r="T1068">
        <f>IF($U1068="","",INDEX(상세표[기록 시간외],$U1068))</f>
        <v/>
      </c>
      <c r="U1068" s="4">
        <f>IFERROR(MATCH(1063,상세표[발송순번],0),"")</f>
        <v/>
      </c>
    </row>
    <row r="1069">
      <c r="J1069">
        <f>IF($U1069="","",INDEX(상세표[사번],$U1069)&amp;"")</f>
        <v/>
      </c>
      <c r="K1069">
        <f>IF($U1069="","",INDEX(상세표[성명],$U1069)&amp;"")</f>
        <v/>
      </c>
      <c r="L1069">
        <f>IF($U1069="","",INDEX(상세표[직위],$U1069)&amp;"")</f>
        <v/>
      </c>
      <c r="M1069">
        <f>IF($U1069="","",IF(ISNUMBER(INDEX(상세표[근무일자],$U1069)),TEXT(INDEX(상세표[근무일자],$U1069),"yyyy-mm-dd"),INDEX(상세표[근무일자],$U1069)&amp;""))</f>
        <v/>
      </c>
      <c r="N1069">
        <f>IF($U1069="","",IF(ISNUMBER(INDEX(상세표[시작],$U1069)),TEXT(INDEX(상세표[시작],$U1069),"yyyy-mm-dd hh:mm"),INDEX(상세표[시작],$U1069)&amp;""))</f>
        <v/>
      </c>
      <c r="O1069">
        <f>IF($U1069="","",IF(ISNUMBER(INDEX(상세표[종료],$U1069)),TEXT(INDEX(상세표[종료],$U1069),"yyyy-mm-dd hh:mm"),INDEX(상세표[종료],$U1069)&amp;""))</f>
        <v/>
      </c>
      <c r="P1069">
        <f>IF($U1069="","",INDEX(상세표[06~07시],$U1069))</f>
        <v/>
      </c>
      <c r="Q1069">
        <f>IF($U1069="","",INDEX(상세표[07~18시],$U1069))</f>
        <v/>
      </c>
      <c r="R1069">
        <f>IF($U1069="","",INDEX(상세표[18~22시],$U1069))</f>
        <v/>
      </c>
      <c r="S1069">
        <f>IF($U1069="","",INDEX(상세표[22~06시],$U1069))</f>
        <v/>
      </c>
      <c r="T1069">
        <f>IF($U1069="","",INDEX(상세표[기록 시간외],$U1069))</f>
        <v/>
      </c>
      <c r="U1069" s="4">
        <f>IFERROR(MATCH(1064,상세표[발송순번],0),"")</f>
        <v/>
      </c>
    </row>
    <row r="1070">
      <c r="J1070">
        <f>IF($U1070="","",INDEX(상세표[사번],$U1070)&amp;"")</f>
        <v/>
      </c>
      <c r="K1070">
        <f>IF($U1070="","",INDEX(상세표[성명],$U1070)&amp;"")</f>
        <v/>
      </c>
      <c r="L1070">
        <f>IF($U1070="","",INDEX(상세표[직위],$U1070)&amp;"")</f>
        <v/>
      </c>
      <c r="M1070">
        <f>IF($U1070="","",IF(ISNUMBER(INDEX(상세표[근무일자],$U1070)),TEXT(INDEX(상세표[근무일자],$U1070),"yyyy-mm-dd"),INDEX(상세표[근무일자],$U1070)&amp;""))</f>
        <v/>
      </c>
      <c r="N1070">
        <f>IF($U1070="","",IF(ISNUMBER(INDEX(상세표[시작],$U1070)),TEXT(INDEX(상세표[시작],$U1070),"yyyy-mm-dd hh:mm"),INDEX(상세표[시작],$U1070)&amp;""))</f>
        <v/>
      </c>
      <c r="O1070">
        <f>IF($U1070="","",IF(ISNUMBER(INDEX(상세표[종료],$U1070)),TEXT(INDEX(상세표[종료],$U1070),"yyyy-mm-dd hh:mm"),INDEX(상세표[종료],$U1070)&amp;""))</f>
        <v/>
      </c>
      <c r="P1070">
        <f>IF($U1070="","",INDEX(상세표[06~07시],$U1070))</f>
        <v/>
      </c>
      <c r="Q1070">
        <f>IF($U1070="","",INDEX(상세표[07~18시],$U1070))</f>
        <v/>
      </c>
      <c r="R1070">
        <f>IF($U1070="","",INDEX(상세표[18~22시],$U1070))</f>
        <v/>
      </c>
      <c r="S1070">
        <f>IF($U1070="","",INDEX(상세표[22~06시],$U1070))</f>
        <v/>
      </c>
      <c r="T1070">
        <f>IF($U1070="","",INDEX(상세표[기록 시간외],$U1070))</f>
        <v/>
      </c>
      <c r="U1070" s="4">
        <f>IFERROR(MATCH(1065,상세표[발송순번],0),"")</f>
        <v/>
      </c>
    </row>
    <row r="1071">
      <c r="J1071">
        <f>IF($U1071="","",INDEX(상세표[사번],$U1071)&amp;"")</f>
        <v/>
      </c>
      <c r="K1071">
        <f>IF($U1071="","",INDEX(상세표[성명],$U1071)&amp;"")</f>
        <v/>
      </c>
      <c r="L1071">
        <f>IF($U1071="","",INDEX(상세표[직위],$U1071)&amp;"")</f>
        <v/>
      </c>
      <c r="M1071">
        <f>IF($U1071="","",IF(ISNUMBER(INDEX(상세표[근무일자],$U1071)),TEXT(INDEX(상세표[근무일자],$U1071),"yyyy-mm-dd"),INDEX(상세표[근무일자],$U1071)&amp;""))</f>
        <v/>
      </c>
      <c r="N1071">
        <f>IF($U1071="","",IF(ISNUMBER(INDEX(상세표[시작],$U1071)),TEXT(INDEX(상세표[시작],$U1071),"yyyy-mm-dd hh:mm"),INDEX(상세표[시작],$U1071)&amp;""))</f>
        <v/>
      </c>
      <c r="O1071">
        <f>IF($U1071="","",IF(ISNUMBER(INDEX(상세표[종료],$U1071)),TEXT(INDEX(상세표[종료],$U1071),"yyyy-mm-dd hh:mm"),INDEX(상세표[종료],$U1071)&amp;""))</f>
        <v/>
      </c>
      <c r="P1071">
        <f>IF($U1071="","",INDEX(상세표[06~07시],$U1071))</f>
        <v/>
      </c>
      <c r="Q1071">
        <f>IF($U1071="","",INDEX(상세표[07~18시],$U1071))</f>
        <v/>
      </c>
      <c r="R1071">
        <f>IF($U1071="","",INDEX(상세표[18~22시],$U1071))</f>
        <v/>
      </c>
      <c r="S1071">
        <f>IF($U1071="","",INDEX(상세표[22~06시],$U1071))</f>
        <v/>
      </c>
      <c r="T1071">
        <f>IF($U1071="","",INDEX(상세표[기록 시간외],$U1071))</f>
        <v/>
      </c>
      <c r="U1071" s="4">
        <f>IFERROR(MATCH(1066,상세표[발송순번],0),"")</f>
        <v/>
      </c>
    </row>
    <row r="1072">
      <c r="J1072">
        <f>IF($U1072="","",INDEX(상세표[사번],$U1072)&amp;"")</f>
        <v/>
      </c>
      <c r="K1072">
        <f>IF($U1072="","",INDEX(상세표[성명],$U1072)&amp;"")</f>
        <v/>
      </c>
      <c r="L1072">
        <f>IF($U1072="","",INDEX(상세표[직위],$U1072)&amp;"")</f>
        <v/>
      </c>
      <c r="M1072">
        <f>IF($U1072="","",IF(ISNUMBER(INDEX(상세표[근무일자],$U1072)),TEXT(INDEX(상세표[근무일자],$U1072),"yyyy-mm-dd"),INDEX(상세표[근무일자],$U1072)&amp;""))</f>
        <v/>
      </c>
      <c r="N1072">
        <f>IF($U1072="","",IF(ISNUMBER(INDEX(상세표[시작],$U1072)),TEXT(INDEX(상세표[시작],$U1072),"yyyy-mm-dd hh:mm"),INDEX(상세표[시작],$U1072)&amp;""))</f>
        <v/>
      </c>
      <c r="O1072">
        <f>IF($U1072="","",IF(ISNUMBER(INDEX(상세표[종료],$U1072)),TEXT(INDEX(상세표[종료],$U1072),"yyyy-mm-dd hh:mm"),INDEX(상세표[종료],$U1072)&amp;""))</f>
        <v/>
      </c>
      <c r="P1072">
        <f>IF($U1072="","",INDEX(상세표[06~07시],$U1072))</f>
        <v/>
      </c>
      <c r="Q1072">
        <f>IF($U1072="","",INDEX(상세표[07~18시],$U1072))</f>
        <v/>
      </c>
      <c r="R1072">
        <f>IF($U1072="","",INDEX(상세표[18~22시],$U1072))</f>
        <v/>
      </c>
      <c r="S1072">
        <f>IF($U1072="","",INDEX(상세표[22~06시],$U1072))</f>
        <v/>
      </c>
      <c r="T1072">
        <f>IF($U1072="","",INDEX(상세표[기록 시간외],$U1072))</f>
        <v/>
      </c>
      <c r="U1072" s="4">
        <f>IFERROR(MATCH(1067,상세표[발송순번],0),"")</f>
        <v/>
      </c>
    </row>
    <row r="1073">
      <c r="J1073">
        <f>IF($U1073="","",INDEX(상세표[사번],$U1073)&amp;"")</f>
        <v/>
      </c>
      <c r="K1073">
        <f>IF($U1073="","",INDEX(상세표[성명],$U1073)&amp;"")</f>
        <v/>
      </c>
      <c r="L1073">
        <f>IF($U1073="","",INDEX(상세표[직위],$U1073)&amp;"")</f>
        <v/>
      </c>
      <c r="M1073">
        <f>IF($U1073="","",IF(ISNUMBER(INDEX(상세표[근무일자],$U1073)),TEXT(INDEX(상세표[근무일자],$U1073),"yyyy-mm-dd"),INDEX(상세표[근무일자],$U1073)&amp;""))</f>
        <v/>
      </c>
      <c r="N1073">
        <f>IF($U1073="","",IF(ISNUMBER(INDEX(상세표[시작],$U1073)),TEXT(INDEX(상세표[시작],$U1073),"yyyy-mm-dd hh:mm"),INDEX(상세표[시작],$U1073)&amp;""))</f>
        <v/>
      </c>
      <c r="O1073">
        <f>IF($U1073="","",IF(ISNUMBER(INDEX(상세표[종료],$U1073)),TEXT(INDEX(상세표[종료],$U1073),"yyyy-mm-dd hh:mm"),INDEX(상세표[종료],$U1073)&amp;""))</f>
        <v/>
      </c>
      <c r="P1073">
        <f>IF($U1073="","",INDEX(상세표[06~07시],$U1073))</f>
        <v/>
      </c>
      <c r="Q1073">
        <f>IF($U1073="","",INDEX(상세표[07~18시],$U1073))</f>
        <v/>
      </c>
      <c r="R1073">
        <f>IF($U1073="","",INDEX(상세표[18~22시],$U1073))</f>
        <v/>
      </c>
      <c r="S1073">
        <f>IF($U1073="","",INDEX(상세표[22~06시],$U1073))</f>
        <v/>
      </c>
      <c r="T1073">
        <f>IF($U1073="","",INDEX(상세표[기록 시간외],$U1073))</f>
        <v/>
      </c>
      <c r="U1073" s="4">
        <f>IFERROR(MATCH(1068,상세표[발송순번],0),"")</f>
        <v/>
      </c>
    </row>
    <row r="1074">
      <c r="J1074">
        <f>IF($U1074="","",INDEX(상세표[사번],$U1074)&amp;"")</f>
        <v/>
      </c>
      <c r="K1074">
        <f>IF($U1074="","",INDEX(상세표[성명],$U1074)&amp;"")</f>
        <v/>
      </c>
      <c r="L1074">
        <f>IF($U1074="","",INDEX(상세표[직위],$U1074)&amp;"")</f>
        <v/>
      </c>
      <c r="M1074">
        <f>IF($U1074="","",IF(ISNUMBER(INDEX(상세표[근무일자],$U1074)),TEXT(INDEX(상세표[근무일자],$U1074),"yyyy-mm-dd"),INDEX(상세표[근무일자],$U1074)&amp;""))</f>
        <v/>
      </c>
      <c r="N1074">
        <f>IF($U1074="","",IF(ISNUMBER(INDEX(상세표[시작],$U1074)),TEXT(INDEX(상세표[시작],$U1074),"yyyy-mm-dd hh:mm"),INDEX(상세표[시작],$U1074)&amp;""))</f>
        <v/>
      </c>
      <c r="O1074">
        <f>IF($U1074="","",IF(ISNUMBER(INDEX(상세표[종료],$U1074)),TEXT(INDEX(상세표[종료],$U1074),"yyyy-mm-dd hh:mm"),INDEX(상세표[종료],$U1074)&amp;""))</f>
        <v/>
      </c>
      <c r="P1074">
        <f>IF($U1074="","",INDEX(상세표[06~07시],$U1074))</f>
        <v/>
      </c>
      <c r="Q1074">
        <f>IF($U1074="","",INDEX(상세표[07~18시],$U1074))</f>
        <v/>
      </c>
      <c r="R1074">
        <f>IF($U1074="","",INDEX(상세표[18~22시],$U1074))</f>
        <v/>
      </c>
      <c r="S1074">
        <f>IF($U1074="","",INDEX(상세표[22~06시],$U1074))</f>
        <v/>
      </c>
      <c r="T1074">
        <f>IF($U1074="","",INDEX(상세표[기록 시간외],$U1074))</f>
        <v/>
      </c>
      <c r="U1074" s="4">
        <f>IFERROR(MATCH(1069,상세표[발송순번],0),"")</f>
        <v/>
      </c>
    </row>
    <row r="1075">
      <c r="J1075">
        <f>IF($U1075="","",INDEX(상세표[사번],$U1075)&amp;"")</f>
        <v/>
      </c>
      <c r="K1075">
        <f>IF($U1075="","",INDEX(상세표[성명],$U1075)&amp;"")</f>
        <v/>
      </c>
      <c r="L1075">
        <f>IF($U1075="","",INDEX(상세표[직위],$U1075)&amp;"")</f>
        <v/>
      </c>
      <c r="M1075">
        <f>IF($U1075="","",IF(ISNUMBER(INDEX(상세표[근무일자],$U1075)),TEXT(INDEX(상세표[근무일자],$U1075),"yyyy-mm-dd"),INDEX(상세표[근무일자],$U1075)&amp;""))</f>
        <v/>
      </c>
      <c r="N1075">
        <f>IF($U1075="","",IF(ISNUMBER(INDEX(상세표[시작],$U1075)),TEXT(INDEX(상세표[시작],$U1075),"yyyy-mm-dd hh:mm"),INDEX(상세표[시작],$U1075)&amp;""))</f>
        <v/>
      </c>
      <c r="O1075">
        <f>IF($U1075="","",IF(ISNUMBER(INDEX(상세표[종료],$U1075)),TEXT(INDEX(상세표[종료],$U1075),"yyyy-mm-dd hh:mm"),INDEX(상세표[종료],$U1075)&amp;""))</f>
        <v/>
      </c>
      <c r="P1075">
        <f>IF($U1075="","",INDEX(상세표[06~07시],$U1075))</f>
        <v/>
      </c>
      <c r="Q1075">
        <f>IF($U1075="","",INDEX(상세표[07~18시],$U1075))</f>
        <v/>
      </c>
      <c r="R1075">
        <f>IF($U1075="","",INDEX(상세표[18~22시],$U1075))</f>
        <v/>
      </c>
      <c r="S1075">
        <f>IF($U1075="","",INDEX(상세표[22~06시],$U1075))</f>
        <v/>
      </c>
      <c r="T1075">
        <f>IF($U1075="","",INDEX(상세표[기록 시간외],$U1075))</f>
        <v/>
      </c>
      <c r="U1075" s="4">
        <f>IFERROR(MATCH(1070,상세표[발송순번],0),"")</f>
        <v/>
      </c>
    </row>
    <row r="1076">
      <c r="J1076">
        <f>IF($U1076="","",INDEX(상세표[사번],$U1076)&amp;"")</f>
        <v/>
      </c>
      <c r="K1076">
        <f>IF($U1076="","",INDEX(상세표[성명],$U1076)&amp;"")</f>
        <v/>
      </c>
      <c r="L1076">
        <f>IF($U1076="","",INDEX(상세표[직위],$U1076)&amp;"")</f>
        <v/>
      </c>
      <c r="M1076">
        <f>IF($U1076="","",IF(ISNUMBER(INDEX(상세표[근무일자],$U1076)),TEXT(INDEX(상세표[근무일자],$U1076),"yyyy-mm-dd"),INDEX(상세표[근무일자],$U1076)&amp;""))</f>
        <v/>
      </c>
      <c r="N1076">
        <f>IF($U1076="","",IF(ISNUMBER(INDEX(상세표[시작],$U1076)),TEXT(INDEX(상세표[시작],$U1076),"yyyy-mm-dd hh:mm"),INDEX(상세표[시작],$U1076)&amp;""))</f>
        <v/>
      </c>
      <c r="O1076">
        <f>IF($U1076="","",IF(ISNUMBER(INDEX(상세표[종료],$U1076)),TEXT(INDEX(상세표[종료],$U1076),"yyyy-mm-dd hh:mm"),INDEX(상세표[종료],$U1076)&amp;""))</f>
        <v/>
      </c>
      <c r="P1076">
        <f>IF($U1076="","",INDEX(상세표[06~07시],$U1076))</f>
        <v/>
      </c>
      <c r="Q1076">
        <f>IF($U1076="","",INDEX(상세표[07~18시],$U1076))</f>
        <v/>
      </c>
      <c r="R1076">
        <f>IF($U1076="","",INDEX(상세표[18~22시],$U1076))</f>
        <v/>
      </c>
      <c r="S1076">
        <f>IF($U1076="","",INDEX(상세표[22~06시],$U1076))</f>
        <v/>
      </c>
      <c r="T1076">
        <f>IF($U1076="","",INDEX(상세표[기록 시간외],$U1076))</f>
        <v/>
      </c>
      <c r="U1076" s="4">
        <f>IFERROR(MATCH(1071,상세표[발송순번],0),"")</f>
        <v/>
      </c>
    </row>
    <row r="1077">
      <c r="J1077">
        <f>IF($U1077="","",INDEX(상세표[사번],$U1077)&amp;"")</f>
        <v/>
      </c>
      <c r="K1077">
        <f>IF($U1077="","",INDEX(상세표[성명],$U1077)&amp;"")</f>
        <v/>
      </c>
      <c r="L1077">
        <f>IF($U1077="","",INDEX(상세표[직위],$U1077)&amp;"")</f>
        <v/>
      </c>
      <c r="M1077">
        <f>IF($U1077="","",IF(ISNUMBER(INDEX(상세표[근무일자],$U1077)),TEXT(INDEX(상세표[근무일자],$U1077),"yyyy-mm-dd"),INDEX(상세표[근무일자],$U1077)&amp;""))</f>
        <v/>
      </c>
      <c r="N1077">
        <f>IF($U1077="","",IF(ISNUMBER(INDEX(상세표[시작],$U1077)),TEXT(INDEX(상세표[시작],$U1077),"yyyy-mm-dd hh:mm"),INDEX(상세표[시작],$U1077)&amp;""))</f>
        <v/>
      </c>
      <c r="O1077">
        <f>IF($U1077="","",IF(ISNUMBER(INDEX(상세표[종료],$U1077)),TEXT(INDEX(상세표[종료],$U1077),"yyyy-mm-dd hh:mm"),INDEX(상세표[종료],$U1077)&amp;""))</f>
        <v/>
      </c>
      <c r="P1077">
        <f>IF($U1077="","",INDEX(상세표[06~07시],$U1077))</f>
        <v/>
      </c>
      <c r="Q1077">
        <f>IF($U1077="","",INDEX(상세표[07~18시],$U1077))</f>
        <v/>
      </c>
      <c r="R1077">
        <f>IF($U1077="","",INDEX(상세표[18~22시],$U1077))</f>
        <v/>
      </c>
      <c r="S1077">
        <f>IF($U1077="","",INDEX(상세표[22~06시],$U1077))</f>
        <v/>
      </c>
      <c r="T1077">
        <f>IF($U1077="","",INDEX(상세표[기록 시간외],$U1077))</f>
        <v/>
      </c>
      <c r="U1077" s="4">
        <f>IFERROR(MATCH(1072,상세표[발송순번],0),"")</f>
        <v/>
      </c>
    </row>
    <row r="1078">
      <c r="J1078">
        <f>IF($U1078="","",INDEX(상세표[사번],$U1078)&amp;"")</f>
        <v/>
      </c>
      <c r="K1078">
        <f>IF($U1078="","",INDEX(상세표[성명],$U1078)&amp;"")</f>
        <v/>
      </c>
      <c r="L1078">
        <f>IF($U1078="","",INDEX(상세표[직위],$U1078)&amp;"")</f>
        <v/>
      </c>
      <c r="M1078">
        <f>IF($U1078="","",IF(ISNUMBER(INDEX(상세표[근무일자],$U1078)),TEXT(INDEX(상세표[근무일자],$U1078),"yyyy-mm-dd"),INDEX(상세표[근무일자],$U1078)&amp;""))</f>
        <v/>
      </c>
      <c r="N1078">
        <f>IF($U1078="","",IF(ISNUMBER(INDEX(상세표[시작],$U1078)),TEXT(INDEX(상세표[시작],$U1078),"yyyy-mm-dd hh:mm"),INDEX(상세표[시작],$U1078)&amp;""))</f>
        <v/>
      </c>
      <c r="O1078">
        <f>IF($U1078="","",IF(ISNUMBER(INDEX(상세표[종료],$U1078)),TEXT(INDEX(상세표[종료],$U1078),"yyyy-mm-dd hh:mm"),INDEX(상세표[종료],$U1078)&amp;""))</f>
        <v/>
      </c>
      <c r="P1078">
        <f>IF($U1078="","",INDEX(상세표[06~07시],$U1078))</f>
        <v/>
      </c>
      <c r="Q1078">
        <f>IF($U1078="","",INDEX(상세표[07~18시],$U1078))</f>
        <v/>
      </c>
      <c r="R1078">
        <f>IF($U1078="","",INDEX(상세표[18~22시],$U1078))</f>
        <v/>
      </c>
      <c r="S1078">
        <f>IF($U1078="","",INDEX(상세표[22~06시],$U1078))</f>
        <v/>
      </c>
      <c r="T1078">
        <f>IF($U1078="","",INDEX(상세표[기록 시간외],$U1078))</f>
        <v/>
      </c>
      <c r="U1078" s="4">
        <f>IFERROR(MATCH(1073,상세표[발송순번],0),"")</f>
        <v/>
      </c>
    </row>
    <row r="1079">
      <c r="J1079">
        <f>IF($U1079="","",INDEX(상세표[사번],$U1079)&amp;"")</f>
        <v/>
      </c>
      <c r="K1079">
        <f>IF($U1079="","",INDEX(상세표[성명],$U1079)&amp;"")</f>
        <v/>
      </c>
      <c r="L1079">
        <f>IF($U1079="","",INDEX(상세표[직위],$U1079)&amp;"")</f>
        <v/>
      </c>
      <c r="M1079">
        <f>IF($U1079="","",IF(ISNUMBER(INDEX(상세표[근무일자],$U1079)),TEXT(INDEX(상세표[근무일자],$U1079),"yyyy-mm-dd"),INDEX(상세표[근무일자],$U1079)&amp;""))</f>
        <v/>
      </c>
      <c r="N1079">
        <f>IF($U1079="","",IF(ISNUMBER(INDEX(상세표[시작],$U1079)),TEXT(INDEX(상세표[시작],$U1079),"yyyy-mm-dd hh:mm"),INDEX(상세표[시작],$U1079)&amp;""))</f>
        <v/>
      </c>
      <c r="O1079">
        <f>IF($U1079="","",IF(ISNUMBER(INDEX(상세표[종료],$U1079)),TEXT(INDEX(상세표[종료],$U1079),"yyyy-mm-dd hh:mm"),INDEX(상세표[종료],$U1079)&amp;""))</f>
        <v/>
      </c>
      <c r="P1079">
        <f>IF($U1079="","",INDEX(상세표[06~07시],$U1079))</f>
        <v/>
      </c>
      <c r="Q1079">
        <f>IF($U1079="","",INDEX(상세표[07~18시],$U1079))</f>
        <v/>
      </c>
      <c r="R1079">
        <f>IF($U1079="","",INDEX(상세표[18~22시],$U1079))</f>
        <v/>
      </c>
      <c r="S1079">
        <f>IF($U1079="","",INDEX(상세표[22~06시],$U1079))</f>
        <v/>
      </c>
      <c r="T1079">
        <f>IF($U1079="","",INDEX(상세표[기록 시간외],$U1079))</f>
        <v/>
      </c>
      <c r="U1079" s="4">
        <f>IFERROR(MATCH(1074,상세표[발송순번],0),"")</f>
        <v/>
      </c>
    </row>
    <row r="1080">
      <c r="J1080">
        <f>IF($U1080="","",INDEX(상세표[사번],$U1080)&amp;"")</f>
        <v/>
      </c>
      <c r="K1080">
        <f>IF($U1080="","",INDEX(상세표[성명],$U1080)&amp;"")</f>
        <v/>
      </c>
      <c r="L1080">
        <f>IF($U1080="","",INDEX(상세표[직위],$U1080)&amp;"")</f>
        <v/>
      </c>
      <c r="M1080">
        <f>IF($U1080="","",IF(ISNUMBER(INDEX(상세표[근무일자],$U1080)),TEXT(INDEX(상세표[근무일자],$U1080),"yyyy-mm-dd"),INDEX(상세표[근무일자],$U1080)&amp;""))</f>
        <v/>
      </c>
      <c r="N1080">
        <f>IF($U1080="","",IF(ISNUMBER(INDEX(상세표[시작],$U1080)),TEXT(INDEX(상세표[시작],$U1080),"yyyy-mm-dd hh:mm"),INDEX(상세표[시작],$U1080)&amp;""))</f>
        <v/>
      </c>
      <c r="O1080">
        <f>IF($U1080="","",IF(ISNUMBER(INDEX(상세표[종료],$U1080)),TEXT(INDEX(상세표[종료],$U1080),"yyyy-mm-dd hh:mm"),INDEX(상세표[종료],$U1080)&amp;""))</f>
        <v/>
      </c>
      <c r="P1080">
        <f>IF($U1080="","",INDEX(상세표[06~07시],$U1080))</f>
        <v/>
      </c>
      <c r="Q1080">
        <f>IF($U1080="","",INDEX(상세표[07~18시],$U1080))</f>
        <v/>
      </c>
      <c r="R1080">
        <f>IF($U1080="","",INDEX(상세표[18~22시],$U1080))</f>
        <v/>
      </c>
      <c r="S1080">
        <f>IF($U1080="","",INDEX(상세표[22~06시],$U1080))</f>
        <v/>
      </c>
      <c r="T1080">
        <f>IF($U1080="","",INDEX(상세표[기록 시간외],$U1080))</f>
        <v/>
      </c>
      <c r="U1080" s="4">
        <f>IFERROR(MATCH(1075,상세표[발송순번],0),"")</f>
        <v/>
      </c>
    </row>
    <row r="1081">
      <c r="J1081">
        <f>IF($U1081="","",INDEX(상세표[사번],$U1081)&amp;"")</f>
        <v/>
      </c>
      <c r="K1081">
        <f>IF($U1081="","",INDEX(상세표[성명],$U1081)&amp;"")</f>
        <v/>
      </c>
      <c r="L1081">
        <f>IF($U1081="","",INDEX(상세표[직위],$U1081)&amp;"")</f>
        <v/>
      </c>
      <c r="M1081">
        <f>IF($U1081="","",IF(ISNUMBER(INDEX(상세표[근무일자],$U1081)),TEXT(INDEX(상세표[근무일자],$U1081),"yyyy-mm-dd"),INDEX(상세표[근무일자],$U1081)&amp;""))</f>
        <v/>
      </c>
      <c r="N1081">
        <f>IF($U1081="","",IF(ISNUMBER(INDEX(상세표[시작],$U1081)),TEXT(INDEX(상세표[시작],$U1081),"yyyy-mm-dd hh:mm"),INDEX(상세표[시작],$U1081)&amp;""))</f>
        <v/>
      </c>
      <c r="O1081">
        <f>IF($U1081="","",IF(ISNUMBER(INDEX(상세표[종료],$U1081)),TEXT(INDEX(상세표[종료],$U1081),"yyyy-mm-dd hh:mm"),INDEX(상세표[종료],$U1081)&amp;""))</f>
        <v/>
      </c>
      <c r="P1081">
        <f>IF($U1081="","",INDEX(상세표[06~07시],$U1081))</f>
        <v/>
      </c>
      <c r="Q1081">
        <f>IF($U1081="","",INDEX(상세표[07~18시],$U1081))</f>
        <v/>
      </c>
      <c r="R1081">
        <f>IF($U1081="","",INDEX(상세표[18~22시],$U1081))</f>
        <v/>
      </c>
      <c r="S1081">
        <f>IF($U1081="","",INDEX(상세표[22~06시],$U1081))</f>
        <v/>
      </c>
      <c r="T1081">
        <f>IF($U1081="","",INDEX(상세표[기록 시간외],$U1081))</f>
        <v/>
      </c>
      <c r="U1081" s="4">
        <f>IFERROR(MATCH(1076,상세표[발송순번],0),"")</f>
        <v/>
      </c>
    </row>
    <row r="1082">
      <c r="J1082">
        <f>IF($U1082="","",INDEX(상세표[사번],$U1082)&amp;"")</f>
        <v/>
      </c>
      <c r="K1082">
        <f>IF($U1082="","",INDEX(상세표[성명],$U1082)&amp;"")</f>
        <v/>
      </c>
      <c r="L1082">
        <f>IF($U1082="","",INDEX(상세표[직위],$U1082)&amp;"")</f>
        <v/>
      </c>
      <c r="M1082">
        <f>IF($U1082="","",IF(ISNUMBER(INDEX(상세표[근무일자],$U1082)),TEXT(INDEX(상세표[근무일자],$U1082),"yyyy-mm-dd"),INDEX(상세표[근무일자],$U1082)&amp;""))</f>
        <v/>
      </c>
      <c r="N1082">
        <f>IF($U1082="","",IF(ISNUMBER(INDEX(상세표[시작],$U1082)),TEXT(INDEX(상세표[시작],$U1082),"yyyy-mm-dd hh:mm"),INDEX(상세표[시작],$U1082)&amp;""))</f>
        <v/>
      </c>
      <c r="O1082">
        <f>IF($U1082="","",IF(ISNUMBER(INDEX(상세표[종료],$U1082)),TEXT(INDEX(상세표[종료],$U1082),"yyyy-mm-dd hh:mm"),INDEX(상세표[종료],$U1082)&amp;""))</f>
        <v/>
      </c>
      <c r="P1082">
        <f>IF($U1082="","",INDEX(상세표[06~07시],$U1082))</f>
        <v/>
      </c>
      <c r="Q1082">
        <f>IF($U1082="","",INDEX(상세표[07~18시],$U1082))</f>
        <v/>
      </c>
      <c r="R1082">
        <f>IF($U1082="","",INDEX(상세표[18~22시],$U1082))</f>
        <v/>
      </c>
      <c r="S1082">
        <f>IF($U1082="","",INDEX(상세표[22~06시],$U1082))</f>
        <v/>
      </c>
      <c r="T1082">
        <f>IF($U1082="","",INDEX(상세표[기록 시간외],$U1082))</f>
        <v/>
      </c>
      <c r="U1082" s="4">
        <f>IFERROR(MATCH(1077,상세표[발송순번],0),"")</f>
        <v/>
      </c>
    </row>
    <row r="1083">
      <c r="J1083">
        <f>IF($U1083="","",INDEX(상세표[사번],$U1083)&amp;"")</f>
        <v/>
      </c>
      <c r="K1083">
        <f>IF($U1083="","",INDEX(상세표[성명],$U1083)&amp;"")</f>
        <v/>
      </c>
      <c r="L1083">
        <f>IF($U1083="","",INDEX(상세표[직위],$U1083)&amp;"")</f>
        <v/>
      </c>
      <c r="M1083">
        <f>IF($U1083="","",IF(ISNUMBER(INDEX(상세표[근무일자],$U1083)),TEXT(INDEX(상세표[근무일자],$U1083),"yyyy-mm-dd"),INDEX(상세표[근무일자],$U1083)&amp;""))</f>
        <v/>
      </c>
      <c r="N1083">
        <f>IF($U1083="","",IF(ISNUMBER(INDEX(상세표[시작],$U1083)),TEXT(INDEX(상세표[시작],$U1083),"yyyy-mm-dd hh:mm"),INDEX(상세표[시작],$U1083)&amp;""))</f>
        <v/>
      </c>
      <c r="O1083">
        <f>IF($U1083="","",IF(ISNUMBER(INDEX(상세표[종료],$U1083)),TEXT(INDEX(상세표[종료],$U1083),"yyyy-mm-dd hh:mm"),INDEX(상세표[종료],$U1083)&amp;""))</f>
        <v/>
      </c>
      <c r="P1083">
        <f>IF($U1083="","",INDEX(상세표[06~07시],$U1083))</f>
        <v/>
      </c>
      <c r="Q1083">
        <f>IF($U1083="","",INDEX(상세표[07~18시],$U1083))</f>
        <v/>
      </c>
      <c r="R1083">
        <f>IF($U1083="","",INDEX(상세표[18~22시],$U1083))</f>
        <v/>
      </c>
      <c r="S1083">
        <f>IF($U1083="","",INDEX(상세표[22~06시],$U1083))</f>
        <v/>
      </c>
      <c r="T1083">
        <f>IF($U1083="","",INDEX(상세표[기록 시간외],$U1083))</f>
        <v/>
      </c>
      <c r="U1083" s="4">
        <f>IFERROR(MATCH(1078,상세표[발송순번],0),"")</f>
        <v/>
      </c>
    </row>
    <row r="1084">
      <c r="J1084">
        <f>IF($U1084="","",INDEX(상세표[사번],$U1084)&amp;"")</f>
        <v/>
      </c>
      <c r="K1084">
        <f>IF($U1084="","",INDEX(상세표[성명],$U1084)&amp;"")</f>
        <v/>
      </c>
      <c r="L1084">
        <f>IF($U1084="","",INDEX(상세표[직위],$U1084)&amp;"")</f>
        <v/>
      </c>
      <c r="M1084">
        <f>IF($U1084="","",IF(ISNUMBER(INDEX(상세표[근무일자],$U1084)),TEXT(INDEX(상세표[근무일자],$U1084),"yyyy-mm-dd"),INDEX(상세표[근무일자],$U1084)&amp;""))</f>
        <v/>
      </c>
      <c r="N1084">
        <f>IF($U1084="","",IF(ISNUMBER(INDEX(상세표[시작],$U1084)),TEXT(INDEX(상세표[시작],$U1084),"yyyy-mm-dd hh:mm"),INDEX(상세표[시작],$U1084)&amp;""))</f>
        <v/>
      </c>
      <c r="O1084">
        <f>IF($U1084="","",IF(ISNUMBER(INDEX(상세표[종료],$U1084)),TEXT(INDEX(상세표[종료],$U1084),"yyyy-mm-dd hh:mm"),INDEX(상세표[종료],$U1084)&amp;""))</f>
        <v/>
      </c>
      <c r="P1084">
        <f>IF($U1084="","",INDEX(상세표[06~07시],$U1084))</f>
        <v/>
      </c>
      <c r="Q1084">
        <f>IF($U1084="","",INDEX(상세표[07~18시],$U1084))</f>
        <v/>
      </c>
      <c r="R1084">
        <f>IF($U1084="","",INDEX(상세표[18~22시],$U1084))</f>
        <v/>
      </c>
      <c r="S1084">
        <f>IF($U1084="","",INDEX(상세표[22~06시],$U1084))</f>
        <v/>
      </c>
      <c r="T1084">
        <f>IF($U1084="","",INDEX(상세표[기록 시간외],$U1084))</f>
        <v/>
      </c>
      <c r="U1084" s="4">
        <f>IFERROR(MATCH(1079,상세표[발송순번],0),"")</f>
        <v/>
      </c>
    </row>
    <row r="1085">
      <c r="J1085">
        <f>IF($U1085="","",INDEX(상세표[사번],$U1085)&amp;"")</f>
        <v/>
      </c>
      <c r="K1085">
        <f>IF($U1085="","",INDEX(상세표[성명],$U1085)&amp;"")</f>
        <v/>
      </c>
      <c r="L1085">
        <f>IF($U1085="","",INDEX(상세표[직위],$U1085)&amp;"")</f>
        <v/>
      </c>
      <c r="M1085">
        <f>IF($U1085="","",IF(ISNUMBER(INDEX(상세표[근무일자],$U1085)),TEXT(INDEX(상세표[근무일자],$U1085),"yyyy-mm-dd"),INDEX(상세표[근무일자],$U1085)&amp;""))</f>
        <v/>
      </c>
      <c r="N1085">
        <f>IF($U1085="","",IF(ISNUMBER(INDEX(상세표[시작],$U1085)),TEXT(INDEX(상세표[시작],$U1085),"yyyy-mm-dd hh:mm"),INDEX(상세표[시작],$U1085)&amp;""))</f>
        <v/>
      </c>
      <c r="O1085">
        <f>IF($U1085="","",IF(ISNUMBER(INDEX(상세표[종료],$U1085)),TEXT(INDEX(상세표[종료],$U1085),"yyyy-mm-dd hh:mm"),INDEX(상세표[종료],$U1085)&amp;""))</f>
        <v/>
      </c>
      <c r="P1085">
        <f>IF($U1085="","",INDEX(상세표[06~07시],$U1085))</f>
        <v/>
      </c>
      <c r="Q1085">
        <f>IF($U1085="","",INDEX(상세표[07~18시],$U1085))</f>
        <v/>
      </c>
      <c r="R1085">
        <f>IF($U1085="","",INDEX(상세표[18~22시],$U1085))</f>
        <v/>
      </c>
      <c r="S1085">
        <f>IF($U1085="","",INDEX(상세표[22~06시],$U1085))</f>
        <v/>
      </c>
      <c r="T1085">
        <f>IF($U1085="","",INDEX(상세표[기록 시간외],$U1085))</f>
        <v/>
      </c>
      <c r="U1085" s="4">
        <f>IFERROR(MATCH(1080,상세표[발송순번],0),"")</f>
        <v/>
      </c>
    </row>
    <row r="1086">
      <c r="J1086">
        <f>IF($U1086="","",INDEX(상세표[사번],$U1086)&amp;"")</f>
        <v/>
      </c>
      <c r="K1086">
        <f>IF($U1086="","",INDEX(상세표[성명],$U1086)&amp;"")</f>
        <v/>
      </c>
      <c r="L1086">
        <f>IF($U1086="","",INDEX(상세표[직위],$U1086)&amp;"")</f>
        <v/>
      </c>
      <c r="M1086">
        <f>IF($U1086="","",IF(ISNUMBER(INDEX(상세표[근무일자],$U1086)),TEXT(INDEX(상세표[근무일자],$U1086),"yyyy-mm-dd"),INDEX(상세표[근무일자],$U1086)&amp;""))</f>
        <v/>
      </c>
      <c r="N1086">
        <f>IF($U1086="","",IF(ISNUMBER(INDEX(상세표[시작],$U1086)),TEXT(INDEX(상세표[시작],$U1086),"yyyy-mm-dd hh:mm"),INDEX(상세표[시작],$U1086)&amp;""))</f>
        <v/>
      </c>
      <c r="O1086">
        <f>IF($U1086="","",IF(ISNUMBER(INDEX(상세표[종료],$U1086)),TEXT(INDEX(상세표[종료],$U1086),"yyyy-mm-dd hh:mm"),INDEX(상세표[종료],$U1086)&amp;""))</f>
        <v/>
      </c>
      <c r="P1086">
        <f>IF($U1086="","",INDEX(상세표[06~07시],$U1086))</f>
        <v/>
      </c>
      <c r="Q1086">
        <f>IF($U1086="","",INDEX(상세표[07~18시],$U1086))</f>
        <v/>
      </c>
      <c r="R1086">
        <f>IF($U1086="","",INDEX(상세표[18~22시],$U1086))</f>
        <v/>
      </c>
      <c r="S1086">
        <f>IF($U1086="","",INDEX(상세표[22~06시],$U1086))</f>
        <v/>
      </c>
      <c r="T1086">
        <f>IF($U1086="","",INDEX(상세표[기록 시간외],$U1086))</f>
        <v/>
      </c>
      <c r="U1086" s="4">
        <f>IFERROR(MATCH(1081,상세표[발송순번],0),"")</f>
        <v/>
      </c>
    </row>
    <row r="1087">
      <c r="J1087">
        <f>IF($U1087="","",INDEX(상세표[사번],$U1087)&amp;"")</f>
        <v/>
      </c>
      <c r="K1087">
        <f>IF($U1087="","",INDEX(상세표[성명],$U1087)&amp;"")</f>
        <v/>
      </c>
      <c r="L1087">
        <f>IF($U1087="","",INDEX(상세표[직위],$U1087)&amp;"")</f>
        <v/>
      </c>
      <c r="M1087">
        <f>IF($U1087="","",IF(ISNUMBER(INDEX(상세표[근무일자],$U1087)),TEXT(INDEX(상세표[근무일자],$U1087),"yyyy-mm-dd"),INDEX(상세표[근무일자],$U1087)&amp;""))</f>
        <v/>
      </c>
      <c r="N1087">
        <f>IF($U1087="","",IF(ISNUMBER(INDEX(상세표[시작],$U1087)),TEXT(INDEX(상세표[시작],$U1087),"yyyy-mm-dd hh:mm"),INDEX(상세표[시작],$U1087)&amp;""))</f>
        <v/>
      </c>
      <c r="O1087">
        <f>IF($U1087="","",IF(ISNUMBER(INDEX(상세표[종료],$U1087)),TEXT(INDEX(상세표[종료],$U1087),"yyyy-mm-dd hh:mm"),INDEX(상세표[종료],$U1087)&amp;""))</f>
        <v/>
      </c>
      <c r="P1087">
        <f>IF($U1087="","",INDEX(상세표[06~07시],$U1087))</f>
        <v/>
      </c>
      <c r="Q1087">
        <f>IF($U1087="","",INDEX(상세표[07~18시],$U1087))</f>
        <v/>
      </c>
      <c r="R1087">
        <f>IF($U1087="","",INDEX(상세표[18~22시],$U1087))</f>
        <v/>
      </c>
      <c r="S1087">
        <f>IF($U1087="","",INDEX(상세표[22~06시],$U1087))</f>
        <v/>
      </c>
      <c r="T1087">
        <f>IF($U1087="","",INDEX(상세표[기록 시간외],$U1087))</f>
        <v/>
      </c>
      <c r="U1087" s="4">
        <f>IFERROR(MATCH(1082,상세표[발송순번],0),"")</f>
        <v/>
      </c>
    </row>
    <row r="1088">
      <c r="J1088">
        <f>IF($U1088="","",INDEX(상세표[사번],$U1088)&amp;"")</f>
        <v/>
      </c>
      <c r="K1088">
        <f>IF($U1088="","",INDEX(상세표[성명],$U1088)&amp;"")</f>
        <v/>
      </c>
      <c r="L1088">
        <f>IF($U1088="","",INDEX(상세표[직위],$U1088)&amp;"")</f>
        <v/>
      </c>
      <c r="M1088">
        <f>IF($U1088="","",IF(ISNUMBER(INDEX(상세표[근무일자],$U1088)),TEXT(INDEX(상세표[근무일자],$U1088),"yyyy-mm-dd"),INDEX(상세표[근무일자],$U1088)&amp;""))</f>
        <v/>
      </c>
      <c r="N1088">
        <f>IF($U1088="","",IF(ISNUMBER(INDEX(상세표[시작],$U1088)),TEXT(INDEX(상세표[시작],$U1088),"yyyy-mm-dd hh:mm"),INDEX(상세표[시작],$U1088)&amp;""))</f>
        <v/>
      </c>
      <c r="O1088">
        <f>IF($U1088="","",IF(ISNUMBER(INDEX(상세표[종료],$U1088)),TEXT(INDEX(상세표[종료],$U1088),"yyyy-mm-dd hh:mm"),INDEX(상세표[종료],$U1088)&amp;""))</f>
        <v/>
      </c>
      <c r="P1088">
        <f>IF($U1088="","",INDEX(상세표[06~07시],$U1088))</f>
        <v/>
      </c>
      <c r="Q1088">
        <f>IF($U1088="","",INDEX(상세표[07~18시],$U1088))</f>
        <v/>
      </c>
      <c r="R1088">
        <f>IF($U1088="","",INDEX(상세표[18~22시],$U1088))</f>
        <v/>
      </c>
      <c r="S1088">
        <f>IF($U1088="","",INDEX(상세표[22~06시],$U1088))</f>
        <v/>
      </c>
      <c r="T1088">
        <f>IF($U1088="","",INDEX(상세표[기록 시간외],$U1088))</f>
        <v/>
      </c>
      <c r="U1088" s="4">
        <f>IFERROR(MATCH(1083,상세표[발송순번],0),"")</f>
        <v/>
      </c>
    </row>
    <row r="1089">
      <c r="J1089">
        <f>IF($U1089="","",INDEX(상세표[사번],$U1089)&amp;"")</f>
        <v/>
      </c>
      <c r="K1089">
        <f>IF($U1089="","",INDEX(상세표[성명],$U1089)&amp;"")</f>
        <v/>
      </c>
      <c r="L1089">
        <f>IF($U1089="","",INDEX(상세표[직위],$U1089)&amp;"")</f>
        <v/>
      </c>
      <c r="M1089">
        <f>IF($U1089="","",IF(ISNUMBER(INDEX(상세표[근무일자],$U1089)),TEXT(INDEX(상세표[근무일자],$U1089),"yyyy-mm-dd"),INDEX(상세표[근무일자],$U1089)&amp;""))</f>
        <v/>
      </c>
      <c r="N1089">
        <f>IF($U1089="","",IF(ISNUMBER(INDEX(상세표[시작],$U1089)),TEXT(INDEX(상세표[시작],$U1089),"yyyy-mm-dd hh:mm"),INDEX(상세표[시작],$U1089)&amp;""))</f>
        <v/>
      </c>
      <c r="O1089">
        <f>IF($U1089="","",IF(ISNUMBER(INDEX(상세표[종료],$U1089)),TEXT(INDEX(상세표[종료],$U1089),"yyyy-mm-dd hh:mm"),INDEX(상세표[종료],$U1089)&amp;""))</f>
        <v/>
      </c>
      <c r="P1089">
        <f>IF($U1089="","",INDEX(상세표[06~07시],$U1089))</f>
        <v/>
      </c>
      <c r="Q1089">
        <f>IF($U1089="","",INDEX(상세표[07~18시],$U1089))</f>
        <v/>
      </c>
      <c r="R1089">
        <f>IF($U1089="","",INDEX(상세표[18~22시],$U1089))</f>
        <v/>
      </c>
      <c r="S1089">
        <f>IF($U1089="","",INDEX(상세표[22~06시],$U1089))</f>
        <v/>
      </c>
      <c r="T1089">
        <f>IF($U1089="","",INDEX(상세표[기록 시간외],$U1089))</f>
        <v/>
      </c>
      <c r="U1089" s="4">
        <f>IFERROR(MATCH(1084,상세표[발송순번],0),"")</f>
        <v/>
      </c>
    </row>
    <row r="1090">
      <c r="J1090">
        <f>IF($U1090="","",INDEX(상세표[사번],$U1090)&amp;"")</f>
        <v/>
      </c>
      <c r="K1090">
        <f>IF($U1090="","",INDEX(상세표[성명],$U1090)&amp;"")</f>
        <v/>
      </c>
      <c r="L1090">
        <f>IF($U1090="","",INDEX(상세표[직위],$U1090)&amp;"")</f>
        <v/>
      </c>
      <c r="M1090">
        <f>IF($U1090="","",IF(ISNUMBER(INDEX(상세표[근무일자],$U1090)),TEXT(INDEX(상세표[근무일자],$U1090),"yyyy-mm-dd"),INDEX(상세표[근무일자],$U1090)&amp;""))</f>
        <v/>
      </c>
      <c r="N1090">
        <f>IF($U1090="","",IF(ISNUMBER(INDEX(상세표[시작],$U1090)),TEXT(INDEX(상세표[시작],$U1090),"yyyy-mm-dd hh:mm"),INDEX(상세표[시작],$U1090)&amp;""))</f>
        <v/>
      </c>
      <c r="O1090">
        <f>IF($U1090="","",IF(ISNUMBER(INDEX(상세표[종료],$U1090)),TEXT(INDEX(상세표[종료],$U1090),"yyyy-mm-dd hh:mm"),INDEX(상세표[종료],$U1090)&amp;""))</f>
        <v/>
      </c>
      <c r="P1090">
        <f>IF($U1090="","",INDEX(상세표[06~07시],$U1090))</f>
        <v/>
      </c>
      <c r="Q1090">
        <f>IF($U1090="","",INDEX(상세표[07~18시],$U1090))</f>
        <v/>
      </c>
      <c r="R1090">
        <f>IF($U1090="","",INDEX(상세표[18~22시],$U1090))</f>
        <v/>
      </c>
      <c r="S1090">
        <f>IF($U1090="","",INDEX(상세표[22~06시],$U1090))</f>
        <v/>
      </c>
      <c r="T1090">
        <f>IF($U1090="","",INDEX(상세표[기록 시간외],$U1090))</f>
        <v/>
      </c>
      <c r="U1090" s="4">
        <f>IFERROR(MATCH(1085,상세표[발송순번],0),"")</f>
        <v/>
      </c>
    </row>
    <row r="1091">
      <c r="J1091">
        <f>IF($U1091="","",INDEX(상세표[사번],$U1091)&amp;"")</f>
        <v/>
      </c>
      <c r="K1091">
        <f>IF($U1091="","",INDEX(상세표[성명],$U1091)&amp;"")</f>
        <v/>
      </c>
      <c r="L1091">
        <f>IF($U1091="","",INDEX(상세표[직위],$U1091)&amp;"")</f>
        <v/>
      </c>
      <c r="M1091">
        <f>IF($U1091="","",IF(ISNUMBER(INDEX(상세표[근무일자],$U1091)),TEXT(INDEX(상세표[근무일자],$U1091),"yyyy-mm-dd"),INDEX(상세표[근무일자],$U1091)&amp;""))</f>
        <v/>
      </c>
      <c r="N1091">
        <f>IF($U1091="","",IF(ISNUMBER(INDEX(상세표[시작],$U1091)),TEXT(INDEX(상세표[시작],$U1091),"yyyy-mm-dd hh:mm"),INDEX(상세표[시작],$U1091)&amp;""))</f>
        <v/>
      </c>
      <c r="O1091">
        <f>IF($U1091="","",IF(ISNUMBER(INDEX(상세표[종료],$U1091)),TEXT(INDEX(상세표[종료],$U1091),"yyyy-mm-dd hh:mm"),INDEX(상세표[종료],$U1091)&amp;""))</f>
        <v/>
      </c>
      <c r="P1091">
        <f>IF($U1091="","",INDEX(상세표[06~07시],$U1091))</f>
        <v/>
      </c>
      <c r="Q1091">
        <f>IF($U1091="","",INDEX(상세표[07~18시],$U1091))</f>
        <v/>
      </c>
      <c r="R1091">
        <f>IF($U1091="","",INDEX(상세표[18~22시],$U1091))</f>
        <v/>
      </c>
      <c r="S1091">
        <f>IF($U1091="","",INDEX(상세표[22~06시],$U1091))</f>
        <v/>
      </c>
      <c r="T1091">
        <f>IF($U1091="","",INDEX(상세표[기록 시간외],$U1091))</f>
        <v/>
      </c>
      <c r="U1091" s="4">
        <f>IFERROR(MATCH(1086,상세표[발송순번],0),"")</f>
        <v/>
      </c>
    </row>
    <row r="1092">
      <c r="J1092">
        <f>IF($U1092="","",INDEX(상세표[사번],$U1092)&amp;"")</f>
        <v/>
      </c>
      <c r="K1092">
        <f>IF($U1092="","",INDEX(상세표[성명],$U1092)&amp;"")</f>
        <v/>
      </c>
      <c r="L1092">
        <f>IF($U1092="","",INDEX(상세표[직위],$U1092)&amp;"")</f>
        <v/>
      </c>
      <c r="M1092">
        <f>IF($U1092="","",IF(ISNUMBER(INDEX(상세표[근무일자],$U1092)),TEXT(INDEX(상세표[근무일자],$U1092),"yyyy-mm-dd"),INDEX(상세표[근무일자],$U1092)&amp;""))</f>
        <v/>
      </c>
      <c r="N1092">
        <f>IF($U1092="","",IF(ISNUMBER(INDEX(상세표[시작],$U1092)),TEXT(INDEX(상세표[시작],$U1092),"yyyy-mm-dd hh:mm"),INDEX(상세표[시작],$U1092)&amp;""))</f>
        <v/>
      </c>
      <c r="O1092">
        <f>IF($U1092="","",IF(ISNUMBER(INDEX(상세표[종료],$U1092)),TEXT(INDEX(상세표[종료],$U1092),"yyyy-mm-dd hh:mm"),INDEX(상세표[종료],$U1092)&amp;""))</f>
        <v/>
      </c>
      <c r="P1092">
        <f>IF($U1092="","",INDEX(상세표[06~07시],$U1092))</f>
        <v/>
      </c>
      <c r="Q1092">
        <f>IF($U1092="","",INDEX(상세표[07~18시],$U1092))</f>
        <v/>
      </c>
      <c r="R1092">
        <f>IF($U1092="","",INDEX(상세표[18~22시],$U1092))</f>
        <v/>
      </c>
      <c r="S1092">
        <f>IF($U1092="","",INDEX(상세표[22~06시],$U1092))</f>
        <v/>
      </c>
      <c r="T1092">
        <f>IF($U1092="","",INDEX(상세표[기록 시간외],$U1092))</f>
        <v/>
      </c>
      <c r="U1092" s="4">
        <f>IFERROR(MATCH(1087,상세표[발송순번],0),"")</f>
        <v/>
      </c>
    </row>
    <row r="1093">
      <c r="J1093">
        <f>IF($U1093="","",INDEX(상세표[사번],$U1093)&amp;"")</f>
        <v/>
      </c>
      <c r="K1093">
        <f>IF($U1093="","",INDEX(상세표[성명],$U1093)&amp;"")</f>
        <v/>
      </c>
      <c r="L1093">
        <f>IF($U1093="","",INDEX(상세표[직위],$U1093)&amp;"")</f>
        <v/>
      </c>
      <c r="M1093">
        <f>IF($U1093="","",IF(ISNUMBER(INDEX(상세표[근무일자],$U1093)),TEXT(INDEX(상세표[근무일자],$U1093),"yyyy-mm-dd"),INDEX(상세표[근무일자],$U1093)&amp;""))</f>
        <v/>
      </c>
      <c r="N1093">
        <f>IF($U1093="","",IF(ISNUMBER(INDEX(상세표[시작],$U1093)),TEXT(INDEX(상세표[시작],$U1093),"yyyy-mm-dd hh:mm"),INDEX(상세표[시작],$U1093)&amp;""))</f>
        <v/>
      </c>
      <c r="O1093">
        <f>IF($U1093="","",IF(ISNUMBER(INDEX(상세표[종료],$U1093)),TEXT(INDEX(상세표[종료],$U1093),"yyyy-mm-dd hh:mm"),INDEX(상세표[종료],$U1093)&amp;""))</f>
        <v/>
      </c>
      <c r="P1093">
        <f>IF($U1093="","",INDEX(상세표[06~07시],$U1093))</f>
        <v/>
      </c>
      <c r="Q1093">
        <f>IF($U1093="","",INDEX(상세표[07~18시],$U1093))</f>
        <v/>
      </c>
      <c r="R1093">
        <f>IF($U1093="","",INDEX(상세표[18~22시],$U1093))</f>
        <v/>
      </c>
      <c r="S1093">
        <f>IF($U1093="","",INDEX(상세표[22~06시],$U1093))</f>
        <v/>
      </c>
      <c r="T1093">
        <f>IF($U1093="","",INDEX(상세표[기록 시간외],$U1093))</f>
        <v/>
      </c>
      <c r="U1093" s="4">
        <f>IFERROR(MATCH(1088,상세표[발송순번],0),"")</f>
        <v/>
      </c>
    </row>
    <row r="1094">
      <c r="J1094">
        <f>IF($U1094="","",INDEX(상세표[사번],$U1094)&amp;"")</f>
        <v/>
      </c>
      <c r="K1094">
        <f>IF($U1094="","",INDEX(상세표[성명],$U1094)&amp;"")</f>
        <v/>
      </c>
      <c r="L1094">
        <f>IF($U1094="","",INDEX(상세표[직위],$U1094)&amp;"")</f>
        <v/>
      </c>
      <c r="M1094">
        <f>IF($U1094="","",IF(ISNUMBER(INDEX(상세표[근무일자],$U1094)),TEXT(INDEX(상세표[근무일자],$U1094),"yyyy-mm-dd"),INDEX(상세표[근무일자],$U1094)&amp;""))</f>
        <v/>
      </c>
      <c r="N1094">
        <f>IF($U1094="","",IF(ISNUMBER(INDEX(상세표[시작],$U1094)),TEXT(INDEX(상세표[시작],$U1094),"yyyy-mm-dd hh:mm"),INDEX(상세표[시작],$U1094)&amp;""))</f>
        <v/>
      </c>
      <c r="O1094">
        <f>IF($U1094="","",IF(ISNUMBER(INDEX(상세표[종료],$U1094)),TEXT(INDEX(상세표[종료],$U1094),"yyyy-mm-dd hh:mm"),INDEX(상세표[종료],$U1094)&amp;""))</f>
        <v/>
      </c>
      <c r="P1094">
        <f>IF($U1094="","",INDEX(상세표[06~07시],$U1094))</f>
        <v/>
      </c>
      <c r="Q1094">
        <f>IF($U1094="","",INDEX(상세표[07~18시],$U1094))</f>
        <v/>
      </c>
      <c r="R1094">
        <f>IF($U1094="","",INDEX(상세표[18~22시],$U1094))</f>
        <v/>
      </c>
      <c r="S1094">
        <f>IF($U1094="","",INDEX(상세표[22~06시],$U1094))</f>
        <v/>
      </c>
      <c r="T1094">
        <f>IF($U1094="","",INDEX(상세표[기록 시간외],$U1094))</f>
        <v/>
      </c>
      <c r="U1094" s="4">
        <f>IFERROR(MATCH(1089,상세표[발송순번],0),"")</f>
        <v/>
      </c>
    </row>
    <row r="1095">
      <c r="J1095">
        <f>IF($U1095="","",INDEX(상세표[사번],$U1095)&amp;"")</f>
        <v/>
      </c>
      <c r="K1095">
        <f>IF($U1095="","",INDEX(상세표[성명],$U1095)&amp;"")</f>
        <v/>
      </c>
      <c r="L1095">
        <f>IF($U1095="","",INDEX(상세표[직위],$U1095)&amp;"")</f>
        <v/>
      </c>
      <c r="M1095">
        <f>IF($U1095="","",IF(ISNUMBER(INDEX(상세표[근무일자],$U1095)),TEXT(INDEX(상세표[근무일자],$U1095),"yyyy-mm-dd"),INDEX(상세표[근무일자],$U1095)&amp;""))</f>
        <v/>
      </c>
      <c r="N1095">
        <f>IF($U1095="","",IF(ISNUMBER(INDEX(상세표[시작],$U1095)),TEXT(INDEX(상세표[시작],$U1095),"yyyy-mm-dd hh:mm"),INDEX(상세표[시작],$U1095)&amp;""))</f>
        <v/>
      </c>
      <c r="O1095">
        <f>IF($U1095="","",IF(ISNUMBER(INDEX(상세표[종료],$U1095)),TEXT(INDEX(상세표[종료],$U1095),"yyyy-mm-dd hh:mm"),INDEX(상세표[종료],$U1095)&amp;""))</f>
        <v/>
      </c>
      <c r="P1095">
        <f>IF($U1095="","",INDEX(상세표[06~07시],$U1095))</f>
        <v/>
      </c>
      <c r="Q1095">
        <f>IF($U1095="","",INDEX(상세표[07~18시],$U1095))</f>
        <v/>
      </c>
      <c r="R1095">
        <f>IF($U1095="","",INDEX(상세표[18~22시],$U1095))</f>
        <v/>
      </c>
      <c r="S1095">
        <f>IF($U1095="","",INDEX(상세표[22~06시],$U1095))</f>
        <v/>
      </c>
      <c r="T1095">
        <f>IF($U1095="","",INDEX(상세표[기록 시간외],$U1095))</f>
        <v/>
      </c>
      <c r="U1095" s="4">
        <f>IFERROR(MATCH(1090,상세표[발송순번],0),"")</f>
        <v/>
      </c>
    </row>
    <row r="1096">
      <c r="J1096">
        <f>IF($U1096="","",INDEX(상세표[사번],$U1096)&amp;"")</f>
        <v/>
      </c>
      <c r="K1096">
        <f>IF($U1096="","",INDEX(상세표[성명],$U1096)&amp;"")</f>
        <v/>
      </c>
      <c r="L1096">
        <f>IF($U1096="","",INDEX(상세표[직위],$U1096)&amp;"")</f>
        <v/>
      </c>
      <c r="M1096">
        <f>IF($U1096="","",IF(ISNUMBER(INDEX(상세표[근무일자],$U1096)),TEXT(INDEX(상세표[근무일자],$U1096),"yyyy-mm-dd"),INDEX(상세표[근무일자],$U1096)&amp;""))</f>
        <v/>
      </c>
      <c r="N1096">
        <f>IF($U1096="","",IF(ISNUMBER(INDEX(상세표[시작],$U1096)),TEXT(INDEX(상세표[시작],$U1096),"yyyy-mm-dd hh:mm"),INDEX(상세표[시작],$U1096)&amp;""))</f>
        <v/>
      </c>
      <c r="O1096">
        <f>IF($U1096="","",IF(ISNUMBER(INDEX(상세표[종료],$U1096)),TEXT(INDEX(상세표[종료],$U1096),"yyyy-mm-dd hh:mm"),INDEX(상세표[종료],$U1096)&amp;""))</f>
        <v/>
      </c>
      <c r="P1096">
        <f>IF($U1096="","",INDEX(상세표[06~07시],$U1096))</f>
        <v/>
      </c>
      <c r="Q1096">
        <f>IF($U1096="","",INDEX(상세표[07~18시],$U1096))</f>
        <v/>
      </c>
      <c r="R1096">
        <f>IF($U1096="","",INDEX(상세표[18~22시],$U1096))</f>
        <v/>
      </c>
      <c r="S1096">
        <f>IF($U1096="","",INDEX(상세표[22~06시],$U1096))</f>
        <v/>
      </c>
      <c r="T1096">
        <f>IF($U1096="","",INDEX(상세표[기록 시간외],$U1096))</f>
        <v/>
      </c>
      <c r="U1096" s="4">
        <f>IFERROR(MATCH(1091,상세표[발송순번],0),"")</f>
        <v/>
      </c>
    </row>
    <row r="1097">
      <c r="J1097">
        <f>IF($U1097="","",INDEX(상세표[사번],$U1097)&amp;"")</f>
        <v/>
      </c>
      <c r="K1097">
        <f>IF($U1097="","",INDEX(상세표[성명],$U1097)&amp;"")</f>
        <v/>
      </c>
      <c r="L1097">
        <f>IF($U1097="","",INDEX(상세표[직위],$U1097)&amp;"")</f>
        <v/>
      </c>
      <c r="M1097">
        <f>IF($U1097="","",IF(ISNUMBER(INDEX(상세표[근무일자],$U1097)),TEXT(INDEX(상세표[근무일자],$U1097),"yyyy-mm-dd"),INDEX(상세표[근무일자],$U1097)&amp;""))</f>
        <v/>
      </c>
      <c r="N1097">
        <f>IF($U1097="","",IF(ISNUMBER(INDEX(상세표[시작],$U1097)),TEXT(INDEX(상세표[시작],$U1097),"yyyy-mm-dd hh:mm"),INDEX(상세표[시작],$U1097)&amp;""))</f>
        <v/>
      </c>
      <c r="O1097">
        <f>IF($U1097="","",IF(ISNUMBER(INDEX(상세표[종료],$U1097)),TEXT(INDEX(상세표[종료],$U1097),"yyyy-mm-dd hh:mm"),INDEX(상세표[종료],$U1097)&amp;""))</f>
        <v/>
      </c>
      <c r="P1097">
        <f>IF($U1097="","",INDEX(상세표[06~07시],$U1097))</f>
        <v/>
      </c>
      <c r="Q1097">
        <f>IF($U1097="","",INDEX(상세표[07~18시],$U1097))</f>
        <v/>
      </c>
      <c r="R1097">
        <f>IF($U1097="","",INDEX(상세표[18~22시],$U1097))</f>
        <v/>
      </c>
      <c r="S1097">
        <f>IF($U1097="","",INDEX(상세표[22~06시],$U1097))</f>
        <v/>
      </c>
      <c r="T1097">
        <f>IF($U1097="","",INDEX(상세표[기록 시간외],$U1097))</f>
        <v/>
      </c>
      <c r="U1097" s="4">
        <f>IFERROR(MATCH(1092,상세표[발송순번],0),"")</f>
        <v/>
      </c>
    </row>
    <row r="1098">
      <c r="J1098">
        <f>IF($U1098="","",INDEX(상세표[사번],$U1098)&amp;"")</f>
        <v/>
      </c>
      <c r="K1098">
        <f>IF($U1098="","",INDEX(상세표[성명],$U1098)&amp;"")</f>
        <v/>
      </c>
      <c r="L1098">
        <f>IF($U1098="","",INDEX(상세표[직위],$U1098)&amp;"")</f>
        <v/>
      </c>
      <c r="M1098">
        <f>IF($U1098="","",IF(ISNUMBER(INDEX(상세표[근무일자],$U1098)),TEXT(INDEX(상세표[근무일자],$U1098),"yyyy-mm-dd"),INDEX(상세표[근무일자],$U1098)&amp;""))</f>
        <v/>
      </c>
      <c r="N1098">
        <f>IF($U1098="","",IF(ISNUMBER(INDEX(상세표[시작],$U1098)),TEXT(INDEX(상세표[시작],$U1098),"yyyy-mm-dd hh:mm"),INDEX(상세표[시작],$U1098)&amp;""))</f>
        <v/>
      </c>
      <c r="O1098">
        <f>IF($U1098="","",IF(ISNUMBER(INDEX(상세표[종료],$U1098)),TEXT(INDEX(상세표[종료],$U1098),"yyyy-mm-dd hh:mm"),INDEX(상세표[종료],$U1098)&amp;""))</f>
        <v/>
      </c>
      <c r="P1098">
        <f>IF($U1098="","",INDEX(상세표[06~07시],$U1098))</f>
        <v/>
      </c>
      <c r="Q1098">
        <f>IF($U1098="","",INDEX(상세표[07~18시],$U1098))</f>
        <v/>
      </c>
      <c r="R1098">
        <f>IF($U1098="","",INDEX(상세표[18~22시],$U1098))</f>
        <v/>
      </c>
      <c r="S1098">
        <f>IF($U1098="","",INDEX(상세표[22~06시],$U1098))</f>
        <v/>
      </c>
      <c r="T1098">
        <f>IF($U1098="","",INDEX(상세표[기록 시간외],$U1098))</f>
        <v/>
      </c>
      <c r="U1098" s="4">
        <f>IFERROR(MATCH(1093,상세표[발송순번],0),"")</f>
        <v/>
      </c>
    </row>
    <row r="1099">
      <c r="J1099">
        <f>IF($U1099="","",INDEX(상세표[사번],$U1099)&amp;"")</f>
        <v/>
      </c>
      <c r="K1099">
        <f>IF($U1099="","",INDEX(상세표[성명],$U1099)&amp;"")</f>
        <v/>
      </c>
      <c r="L1099">
        <f>IF($U1099="","",INDEX(상세표[직위],$U1099)&amp;"")</f>
        <v/>
      </c>
      <c r="M1099">
        <f>IF($U1099="","",IF(ISNUMBER(INDEX(상세표[근무일자],$U1099)),TEXT(INDEX(상세표[근무일자],$U1099),"yyyy-mm-dd"),INDEX(상세표[근무일자],$U1099)&amp;""))</f>
        <v/>
      </c>
      <c r="N1099">
        <f>IF($U1099="","",IF(ISNUMBER(INDEX(상세표[시작],$U1099)),TEXT(INDEX(상세표[시작],$U1099),"yyyy-mm-dd hh:mm"),INDEX(상세표[시작],$U1099)&amp;""))</f>
        <v/>
      </c>
      <c r="O1099">
        <f>IF($U1099="","",IF(ISNUMBER(INDEX(상세표[종료],$U1099)),TEXT(INDEX(상세표[종료],$U1099),"yyyy-mm-dd hh:mm"),INDEX(상세표[종료],$U1099)&amp;""))</f>
        <v/>
      </c>
      <c r="P1099">
        <f>IF($U1099="","",INDEX(상세표[06~07시],$U1099))</f>
        <v/>
      </c>
      <c r="Q1099">
        <f>IF($U1099="","",INDEX(상세표[07~18시],$U1099))</f>
        <v/>
      </c>
      <c r="R1099">
        <f>IF($U1099="","",INDEX(상세표[18~22시],$U1099))</f>
        <v/>
      </c>
      <c r="S1099">
        <f>IF($U1099="","",INDEX(상세표[22~06시],$U1099))</f>
        <v/>
      </c>
      <c r="T1099">
        <f>IF($U1099="","",INDEX(상세표[기록 시간외],$U1099))</f>
        <v/>
      </c>
      <c r="U1099" s="4">
        <f>IFERROR(MATCH(1094,상세표[발송순번],0),"")</f>
        <v/>
      </c>
    </row>
    <row r="1100">
      <c r="J1100">
        <f>IF($U1100="","",INDEX(상세표[사번],$U1100)&amp;"")</f>
        <v/>
      </c>
      <c r="K1100">
        <f>IF($U1100="","",INDEX(상세표[성명],$U1100)&amp;"")</f>
        <v/>
      </c>
      <c r="L1100">
        <f>IF($U1100="","",INDEX(상세표[직위],$U1100)&amp;"")</f>
        <v/>
      </c>
      <c r="M1100">
        <f>IF($U1100="","",IF(ISNUMBER(INDEX(상세표[근무일자],$U1100)),TEXT(INDEX(상세표[근무일자],$U1100),"yyyy-mm-dd"),INDEX(상세표[근무일자],$U1100)&amp;""))</f>
        <v/>
      </c>
      <c r="N1100">
        <f>IF($U1100="","",IF(ISNUMBER(INDEX(상세표[시작],$U1100)),TEXT(INDEX(상세표[시작],$U1100),"yyyy-mm-dd hh:mm"),INDEX(상세표[시작],$U1100)&amp;""))</f>
        <v/>
      </c>
      <c r="O1100">
        <f>IF($U1100="","",IF(ISNUMBER(INDEX(상세표[종료],$U1100)),TEXT(INDEX(상세표[종료],$U1100),"yyyy-mm-dd hh:mm"),INDEX(상세표[종료],$U1100)&amp;""))</f>
        <v/>
      </c>
      <c r="P1100">
        <f>IF($U1100="","",INDEX(상세표[06~07시],$U1100))</f>
        <v/>
      </c>
      <c r="Q1100">
        <f>IF($U1100="","",INDEX(상세표[07~18시],$U1100))</f>
        <v/>
      </c>
      <c r="R1100">
        <f>IF($U1100="","",INDEX(상세표[18~22시],$U1100))</f>
        <v/>
      </c>
      <c r="S1100">
        <f>IF($U1100="","",INDEX(상세표[22~06시],$U1100))</f>
        <v/>
      </c>
      <c r="T1100">
        <f>IF($U1100="","",INDEX(상세표[기록 시간외],$U1100))</f>
        <v/>
      </c>
      <c r="U1100" s="4">
        <f>IFERROR(MATCH(1095,상세표[발송순번],0),"")</f>
        <v/>
      </c>
    </row>
    <row r="1101">
      <c r="J1101">
        <f>IF($U1101="","",INDEX(상세표[사번],$U1101)&amp;"")</f>
        <v/>
      </c>
      <c r="K1101">
        <f>IF($U1101="","",INDEX(상세표[성명],$U1101)&amp;"")</f>
        <v/>
      </c>
      <c r="L1101">
        <f>IF($U1101="","",INDEX(상세표[직위],$U1101)&amp;"")</f>
        <v/>
      </c>
      <c r="M1101">
        <f>IF($U1101="","",IF(ISNUMBER(INDEX(상세표[근무일자],$U1101)),TEXT(INDEX(상세표[근무일자],$U1101),"yyyy-mm-dd"),INDEX(상세표[근무일자],$U1101)&amp;""))</f>
        <v/>
      </c>
      <c r="N1101">
        <f>IF($U1101="","",IF(ISNUMBER(INDEX(상세표[시작],$U1101)),TEXT(INDEX(상세표[시작],$U1101),"yyyy-mm-dd hh:mm"),INDEX(상세표[시작],$U1101)&amp;""))</f>
        <v/>
      </c>
      <c r="O1101">
        <f>IF($U1101="","",IF(ISNUMBER(INDEX(상세표[종료],$U1101)),TEXT(INDEX(상세표[종료],$U1101),"yyyy-mm-dd hh:mm"),INDEX(상세표[종료],$U1101)&amp;""))</f>
        <v/>
      </c>
      <c r="P1101">
        <f>IF($U1101="","",INDEX(상세표[06~07시],$U1101))</f>
        <v/>
      </c>
      <c r="Q1101">
        <f>IF($U1101="","",INDEX(상세표[07~18시],$U1101))</f>
        <v/>
      </c>
      <c r="R1101">
        <f>IF($U1101="","",INDEX(상세표[18~22시],$U1101))</f>
        <v/>
      </c>
      <c r="S1101">
        <f>IF($U1101="","",INDEX(상세표[22~06시],$U1101))</f>
        <v/>
      </c>
      <c r="T1101">
        <f>IF($U1101="","",INDEX(상세표[기록 시간외],$U1101))</f>
        <v/>
      </c>
      <c r="U1101" s="4">
        <f>IFERROR(MATCH(1096,상세표[발송순번],0),"")</f>
        <v/>
      </c>
    </row>
    <row r="1102">
      <c r="J1102">
        <f>IF($U1102="","",INDEX(상세표[사번],$U1102)&amp;"")</f>
        <v/>
      </c>
      <c r="K1102">
        <f>IF($U1102="","",INDEX(상세표[성명],$U1102)&amp;"")</f>
        <v/>
      </c>
      <c r="L1102">
        <f>IF($U1102="","",INDEX(상세표[직위],$U1102)&amp;"")</f>
        <v/>
      </c>
      <c r="M1102">
        <f>IF($U1102="","",IF(ISNUMBER(INDEX(상세표[근무일자],$U1102)),TEXT(INDEX(상세표[근무일자],$U1102),"yyyy-mm-dd"),INDEX(상세표[근무일자],$U1102)&amp;""))</f>
        <v/>
      </c>
      <c r="N1102">
        <f>IF($U1102="","",IF(ISNUMBER(INDEX(상세표[시작],$U1102)),TEXT(INDEX(상세표[시작],$U1102),"yyyy-mm-dd hh:mm"),INDEX(상세표[시작],$U1102)&amp;""))</f>
        <v/>
      </c>
      <c r="O1102">
        <f>IF($U1102="","",IF(ISNUMBER(INDEX(상세표[종료],$U1102)),TEXT(INDEX(상세표[종료],$U1102),"yyyy-mm-dd hh:mm"),INDEX(상세표[종료],$U1102)&amp;""))</f>
        <v/>
      </c>
      <c r="P1102">
        <f>IF($U1102="","",INDEX(상세표[06~07시],$U1102))</f>
        <v/>
      </c>
      <c r="Q1102">
        <f>IF($U1102="","",INDEX(상세표[07~18시],$U1102))</f>
        <v/>
      </c>
      <c r="R1102">
        <f>IF($U1102="","",INDEX(상세표[18~22시],$U1102))</f>
        <v/>
      </c>
      <c r="S1102">
        <f>IF($U1102="","",INDEX(상세표[22~06시],$U1102))</f>
        <v/>
      </c>
      <c r="T1102">
        <f>IF($U1102="","",INDEX(상세표[기록 시간외],$U1102))</f>
        <v/>
      </c>
      <c r="U1102" s="4">
        <f>IFERROR(MATCH(1097,상세표[발송순번],0),"")</f>
        <v/>
      </c>
    </row>
    <row r="1103">
      <c r="J1103">
        <f>IF($U1103="","",INDEX(상세표[사번],$U1103)&amp;"")</f>
        <v/>
      </c>
      <c r="K1103">
        <f>IF($U1103="","",INDEX(상세표[성명],$U1103)&amp;"")</f>
        <v/>
      </c>
      <c r="L1103">
        <f>IF($U1103="","",INDEX(상세표[직위],$U1103)&amp;"")</f>
        <v/>
      </c>
      <c r="M1103">
        <f>IF($U1103="","",IF(ISNUMBER(INDEX(상세표[근무일자],$U1103)),TEXT(INDEX(상세표[근무일자],$U1103),"yyyy-mm-dd"),INDEX(상세표[근무일자],$U1103)&amp;""))</f>
        <v/>
      </c>
      <c r="N1103">
        <f>IF($U1103="","",IF(ISNUMBER(INDEX(상세표[시작],$U1103)),TEXT(INDEX(상세표[시작],$U1103),"yyyy-mm-dd hh:mm"),INDEX(상세표[시작],$U1103)&amp;""))</f>
        <v/>
      </c>
      <c r="O1103">
        <f>IF($U1103="","",IF(ISNUMBER(INDEX(상세표[종료],$U1103)),TEXT(INDEX(상세표[종료],$U1103),"yyyy-mm-dd hh:mm"),INDEX(상세표[종료],$U1103)&amp;""))</f>
        <v/>
      </c>
      <c r="P1103">
        <f>IF($U1103="","",INDEX(상세표[06~07시],$U1103))</f>
        <v/>
      </c>
      <c r="Q1103">
        <f>IF($U1103="","",INDEX(상세표[07~18시],$U1103))</f>
        <v/>
      </c>
      <c r="R1103">
        <f>IF($U1103="","",INDEX(상세표[18~22시],$U1103))</f>
        <v/>
      </c>
      <c r="S1103">
        <f>IF($U1103="","",INDEX(상세표[22~06시],$U1103))</f>
        <v/>
      </c>
      <c r="T1103">
        <f>IF($U1103="","",INDEX(상세표[기록 시간외],$U1103))</f>
        <v/>
      </c>
      <c r="U1103" s="4">
        <f>IFERROR(MATCH(1098,상세표[발송순번],0),"")</f>
        <v/>
      </c>
    </row>
    <row r="1104">
      <c r="J1104">
        <f>IF($U1104="","",INDEX(상세표[사번],$U1104)&amp;"")</f>
        <v/>
      </c>
      <c r="K1104">
        <f>IF($U1104="","",INDEX(상세표[성명],$U1104)&amp;"")</f>
        <v/>
      </c>
      <c r="L1104">
        <f>IF($U1104="","",INDEX(상세표[직위],$U1104)&amp;"")</f>
        <v/>
      </c>
      <c r="M1104">
        <f>IF($U1104="","",IF(ISNUMBER(INDEX(상세표[근무일자],$U1104)),TEXT(INDEX(상세표[근무일자],$U1104),"yyyy-mm-dd"),INDEX(상세표[근무일자],$U1104)&amp;""))</f>
        <v/>
      </c>
      <c r="N1104">
        <f>IF($U1104="","",IF(ISNUMBER(INDEX(상세표[시작],$U1104)),TEXT(INDEX(상세표[시작],$U1104),"yyyy-mm-dd hh:mm"),INDEX(상세표[시작],$U1104)&amp;""))</f>
        <v/>
      </c>
      <c r="O1104">
        <f>IF($U1104="","",IF(ISNUMBER(INDEX(상세표[종료],$U1104)),TEXT(INDEX(상세표[종료],$U1104),"yyyy-mm-dd hh:mm"),INDEX(상세표[종료],$U1104)&amp;""))</f>
        <v/>
      </c>
      <c r="P1104">
        <f>IF($U1104="","",INDEX(상세표[06~07시],$U1104))</f>
        <v/>
      </c>
      <c r="Q1104">
        <f>IF($U1104="","",INDEX(상세표[07~18시],$U1104))</f>
        <v/>
      </c>
      <c r="R1104">
        <f>IF($U1104="","",INDEX(상세표[18~22시],$U1104))</f>
        <v/>
      </c>
      <c r="S1104">
        <f>IF($U1104="","",INDEX(상세표[22~06시],$U1104))</f>
        <v/>
      </c>
      <c r="T1104">
        <f>IF($U1104="","",INDEX(상세표[기록 시간외],$U1104))</f>
        <v/>
      </c>
      <c r="U1104" s="4">
        <f>IFERROR(MATCH(1099,상세표[발송순번],0),"")</f>
        <v/>
      </c>
    </row>
    <row r="1105">
      <c r="J1105">
        <f>IF($U1105="","",INDEX(상세표[사번],$U1105)&amp;"")</f>
        <v/>
      </c>
      <c r="K1105">
        <f>IF($U1105="","",INDEX(상세표[성명],$U1105)&amp;"")</f>
        <v/>
      </c>
      <c r="L1105">
        <f>IF($U1105="","",INDEX(상세표[직위],$U1105)&amp;"")</f>
        <v/>
      </c>
      <c r="M1105">
        <f>IF($U1105="","",IF(ISNUMBER(INDEX(상세표[근무일자],$U1105)),TEXT(INDEX(상세표[근무일자],$U1105),"yyyy-mm-dd"),INDEX(상세표[근무일자],$U1105)&amp;""))</f>
        <v/>
      </c>
      <c r="N1105">
        <f>IF($U1105="","",IF(ISNUMBER(INDEX(상세표[시작],$U1105)),TEXT(INDEX(상세표[시작],$U1105),"yyyy-mm-dd hh:mm"),INDEX(상세표[시작],$U1105)&amp;""))</f>
        <v/>
      </c>
      <c r="O1105">
        <f>IF($U1105="","",IF(ISNUMBER(INDEX(상세표[종료],$U1105)),TEXT(INDEX(상세표[종료],$U1105),"yyyy-mm-dd hh:mm"),INDEX(상세표[종료],$U1105)&amp;""))</f>
        <v/>
      </c>
      <c r="P1105">
        <f>IF($U1105="","",INDEX(상세표[06~07시],$U1105))</f>
        <v/>
      </c>
      <c r="Q1105">
        <f>IF($U1105="","",INDEX(상세표[07~18시],$U1105))</f>
        <v/>
      </c>
      <c r="R1105">
        <f>IF($U1105="","",INDEX(상세표[18~22시],$U1105))</f>
        <v/>
      </c>
      <c r="S1105">
        <f>IF($U1105="","",INDEX(상세표[22~06시],$U1105))</f>
        <v/>
      </c>
      <c r="T1105">
        <f>IF($U1105="","",INDEX(상세표[기록 시간외],$U1105))</f>
        <v/>
      </c>
      <c r="U1105" s="4">
        <f>IFERROR(MATCH(1100,상세표[발송순번],0),"")</f>
        <v/>
      </c>
    </row>
    <row r="1106">
      <c r="J1106">
        <f>IF($U1106="","",INDEX(상세표[사번],$U1106)&amp;"")</f>
        <v/>
      </c>
      <c r="K1106">
        <f>IF($U1106="","",INDEX(상세표[성명],$U1106)&amp;"")</f>
        <v/>
      </c>
      <c r="L1106">
        <f>IF($U1106="","",INDEX(상세표[직위],$U1106)&amp;"")</f>
        <v/>
      </c>
      <c r="M1106">
        <f>IF($U1106="","",IF(ISNUMBER(INDEX(상세표[근무일자],$U1106)),TEXT(INDEX(상세표[근무일자],$U1106),"yyyy-mm-dd"),INDEX(상세표[근무일자],$U1106)&amp;""))</f>
        <v/>
      </c>
      <c r="N1106">
        <f>IF($U1106="","",IF(ISNUMBER(INDEX(상세표[시작],$U1106)),TEXT(INDEX(상세표[시작],$U1106),"yyyy-mm-dd hh:mm"),INDEX(상세표[시작],$U1106)&amp;""))</f>
        <v/>
      </c>
      <c r="O1106">
        <f>IF($U1106="","",IF(ISNUMBER(INDEX(상세표[종료],$U1106)),TEXT(INDEX(상세표[종료],$U1106),"yyyy-mm-dd hh:mm"),INDEX(상세표[종료],$U1106)&amp;""))</f>
        <v/>
      </c>
      <c r="P1106">
        <f>IF($U1106="","",INDEX(상세표[06~07시],$U1106))</f>
        <v/>
      </c>
      <c r="Q1106">
        <f>IF($U1106="","",INDEX(상세표[07~18시],$U1106))</f>
        <v/>
      </c>
      <c r="R1106">
        <f>IF($U1106="","",INDEX(상세표[18~22시],$U1106))</f>
        <v/>
      </c>
      <c r="S1106">
        <f>IF($U1106="","",INDEX(상세표[22~06시],$U1106))</f>
        <v/>
      </c>
      <c r="T1106">
        <f>IF($U1106="","",INDEX(상세표[기록 시간외],$U1106))</f>
        <v/>
      </c>
      <c r="U1106" s="4">
        <f>IFERROR(MATCH(1101,상세표[발송순번],0),"")</f>
        <v/>
      </c>
    </row>
    <row r="1107">
      <c r="J1107">
        <f>IF($U1107="","",INDEX(상세표[사번],$U1107)&amp;"")</f>
        <v/>
      </c>
      <c r="K1107">
        <f>IF($U1107="","",INDEX(상세표[성명],$U1107)&amp;"")</f>
        <v/>
      </c>
      <c r="L1107">
        <f>IF($U1107="","",INDEX(상세표[직위],$U1107)&amp;"")</f>
        <v/>
      </c>
      <c r="M1107">
        <f>IF($U1107="","",IF(ISNUMBER(INDEX(상세표[근무일자],$U1107)),TEXT(INDEX(상세표[근무일자],$U1107),"yyyy-mm-dd"),INDEX(상세표[근무일자],$U1107)&amp;""))</f>
        <v/>
      </c>
      <c r="N1107">
        <f>IF($U1107="","",IF(ISNUMBER(INDEX(상세표[시작],$U1107)),TEXT(INDEX(상세표[시작],$U1107),"yyyy-mm-dd hh:mm"),INDEX(상세표[시작],$U1107)&amp;""))</f>
        <v/>
      </c>
      <c r="O1107">
        <f>IF($U1107="","",IF(ISNUMBER(INDEX(상세표[종료],$U1107)),TEXT(INDEX(상세표[종료],$U1107),"yyyy-mm-dd hh:mm"),INDEX(상세표[종료],$U1107)&amp;""))</f>
        <v/>
      </c>
      <c r="P1107">
        <f>IF($U1107="","",INDEX(상세표[06~07시],$U1107))</f>
        <v/>
      </c>
      <c r="Q1107">
        <f>IF($U1107="","",INDEX(상세표[07~18시],$U1107))</f>
        <v/>
      </c>
      <c r="R1107">
        <f>IF($U1107="","",INDEX(상세표[18~22시],$U1107))</f>
        <v/>
      </c>
      <c r="S1107">
        <f>IF($U1107="","",INDEX(상세표[22~06시],$U1107))</f>
        <v/>
      </c>
      <c r="T1107">
        <f>IF($U1107="","",INDEX(상세표[기록 시간외],$U1107))</f>
        <v/>
      </c>
      <c r="U1107" s="4">
        <f>IFERROR(MATCH(1102,상세표[발송순번],0),"")</f>
        <v/>
      </c>
    </row>
    <row r="1108">
      <c r="J1108">
        <f>IF($U1108="","",INDEX(상세표[사번],$U1108)&amp;"")</f>
        <v/>
      </c>
      <c r="K1108">
        <f>IF($U1108="","",INDEX(상세표[성명],$U1108)&amp;"")</f>
        <v/>
      </c>
      <c r="L1108">
        <f>IF($U1108="","",INDEX(상세표[직위],$U1108)&amp;"")</f>
        <v/>
      </c>
      <c r="M1108">
        <f>IF($U1108="","",IF(ISNUMBER(INDEX(상세표[근무일자],$U1108)),TEXT(INDEX(상세표[근무일자],$U1108),"yyyy-mm-dd"),INDEX(상세표[근무일자],$U1108)&amp;""))</f>
        <v/>
      </c>
      <c r="N1108">
        <f>IF($U1108="","",IF(ISNUMBER(INDEX(상세표[시작],$U1108)),TEXT(INDEX(상세표[시작],$U1108),"yyyy-mm-dd hh:mm"),INDEX(상세표[시작],$U1108)&amp;""))</f>
        <v/>
      </c>
      <c r="O1108">
        <f>IF($U1108="","",IF(ISNUMBER(INDEX(상세표[종료],$U1108)),TEXT(INDEX(상세표[종료],$U1108),"yyyy-mm-dd hh:mm"),INDEX(상세표[종료],$U1108)&amp;""))</f>
        <v/>
      </c>
      <c r="P1108">
        <f>IF($U1108="","",INDEX(상세표[06~07시],$U1108))</f>
        <v/>
      </c>
      <c r="Q1108">
        <f>IF($U1108="","",INDEX(상세표[07~18시],$U1108))</f>
        <v/>
      </c>
      <c r="R1108">
        <f>IF($U1108="","",INDEX(상세표[18~22시],$U1108))</f>
        <v/>
      </c>
      <c r="S1108">
        <f>IF($U1108="","",INDEX(상세표[22~06시],$U1108))</f>
        <v/>
      </c>
      <c r="T1108">
        <f>IF($U1108="","",INDEX(상세표[기록 시간외],$U1108))</f>
        <v/>
      </c>
      <c r="U1108" s="4">
        <f>IFERROR(MATCH(1103,상세표[발송순번],0),"")</f>
        <v/>
      </c>
    </row>
    <row r="1109">
      <c r="J1109">
        <f>IF($U1109="","",INDEX(상세표[사번],$U1109)&amp;"")</f>
        <v/>
      </c>
      <c r="K1109">
        <f>IF($U1109="","",INDEX(상세표[성명],$U1109)&amp;"")</f>
        <v/>
      </c>
      <c r="L1109">
        <f>IF($U1109="","",INDEX(상세표[직위],$U1109)&amp;"")</f>
        <v/>
      </c>
      <c r="M1109">
        <f>IF($U1109="","",IF(ISNUMBER(INDEX(상세표[근무일자],$U1109)),TEXT(INDEX(상세표[근무일자],$U1109),"yyyy-mm-dd"),INDEX(상세표[근무일자],$U1109)&amp;""))</f>
        <v/>
      </c>
      <c r="N1109">
        <f>IF($U1109="","",IF(ISNUMBER(INDEX(상세표[시작],$U1109)),TEXT(INDEX(상세표[시작],$U1109),"yyyy-mm-dd hh:mm"),INDEX(상세표[시작],$U1109)&amp;""))</f>
        <v/>
      </c>
      <c r="O1109">
        <f>IF($U1109="","",IF(ISNUMBER(INDEX(상세표[종료],$U1109)),TEXT(INDEX(상세표[종료],$U1109),"yyyy-mm-dd hh:mm"),INDEX(상세표[종료],$U1109)&amp;""))</f>
        <v/>
      </c>
      <c r="P1109">
        <f>IF($U1109="","",INDEX(상세표[06~07시],$U1109))</f>
        <v/>
      </c>
      <c r="Q1109">
        <f>IF($U1109="","",INDEX(상세표[07~18시],$U1109))</f>
        <v/>
      </c>
      <c r="R1109">
        <f>IF($U1109="","",INDEX(상세표[18~22시],$U1109))</f>
        <v/>
      </c>
      <c r="S1109">
        <f>IF($U1109="","",INDEX(상세표[22~06시],$U1109))</f>
        <v/>
      </c>
      <c r="T1109">
        <f>IF($U1109="","",INDEX(상세표[기록 시간외],$U1109))</f>
        <v/>
      </c>
      <c r="U1109" s="4">
        <f>IFERROR(MATCH(1104,상세표[발송순번],0),"")</f>
        <v/>
      </c>
    </row>
    <row r="1110">
      <c r="J1110">
        <f>IF($U1110="","",INDEX(상세표[사번],$U1110)&amp;"")</f>
        <v/>
      </c>
      <c r="K1110">
        <f>IF($U1110="","",INDEX(상세표[성명],$U1110)&amp;"")</f>
        <v/>
      </c>
      <c r="L1110">
        <f>IF($U1110="","",INDEX(상세표[직위],$U1110)&amp;"")</f>
        <v/>
      </c>
      <c r="M1110">
        <f>IF($U1110="","",IF(ISNUMBER(INDEX(상세표[근무일자],$U1110)),TEXT(INDEX(상세표[근무일자],$U1110),"yyyy-mm-dd"),INDEX(상세표[근무일자],$U1110)&amp;""))</f>
        <v/>
      </c>
      <c r="N1110">
        <f>IF($U1110="","",IF(ISNUMBER(INDEX(상세표[시작],$U1110)),TEXT(INDEX(상세표[시작],$U1110),"yyyy-mm-dd hh:mm"),INDEX(상세표[시작],$U1110)&amp;""))</f>
        <v/>
      </c>
      <c r="O1110">
        <f>IF($U1110="","",IF(ISNUMBER(INDEX(상세표[종료],$U1110)),TEXT(INDEX(상세표[종료],$U1110),"yyyy-mm-dd hh:mm"),INDEX(상세표[종료],$U1110)&amp;""))</f>
        <v/>
      </c>
      <c r="P1110">
        <f>IF($U1110="","",INDEX(상세표[06~07시],$U1110))</f>
        <v/>
      </c>
      <c r="Q1110">
        <f>IF($U1110="","",INDEX(상세표[07~18시],$U1110))</f>
        <v/>
      </c>
      <c r="R1110">
        <f>IF($U1110="","",INDEX(상세표[18~22시],$U1110))</f>
        <v/>
      </c>
      <c r="S1110">
        <f>IF($U1110="","",INDEX(상세표[22~06시],$U1110))</f>
        <v/>
      </c>
      <c r="T1110">
        <f>IF($U1110="","",INDEX(상세표[기록 시간외],$U1110))</f>
        <v/>
      </c>
      <c r="U1110" s="4">
        <f>IFERROR(MATCH(1105,상세표[발송순번],0),"")</f>
        <v/>
      </c>
    </row>
    <row r="1111">
      <c r="J1111">
        <f>IF($U1111="","",INDEX(상세표[사번],$U1111)&amp;"")</f>
        <v/>
      </c>
      <c r="K1111">
        <f>IF($U1111="","",INDEX(상세표[성명],$U1111)&amp;"")</f>
        <v/>
      </c>
      <c r="L1111">
        <f>IF($U1111="","",INDEX(상세표[직위],$U1111)&amp;"")</f>
        <v/>
      </c>
      <c r="M1111">
        <f>IF($U1111="","",IF(ISNUMBER(INDEX(상세표[근무일자],$U1111)),TEXT(INDEX(상세표[근무일자],$U1111),"yyyy-mm-dd"),INDEX(상세표[근무일자],$U1111)&amp;""))</f>
        <v/>
      </c>
      <c r="N1111">
        <f>IF($U1111="","",IF(ISNUMBER(INDEX(상세표[시작],$U1111)),TEXT(INDEX(상세표[시작],$U1111),"yyyy-mm-dd hh:mm"),INDEX(상세표[시작],$U1111)&amp;""))</f>
        <v/>
      </c>
      <c r="O1111">
        <f>IF($U1111="","",IF(ISNUMBER(INDEX(상세표[종료],$U1111)),TEXT(INDEX(상세표[종료],$U1111),"yyyy-mm-dd hh:mm"),INDEX(상세표[종료],$U1111)&amp;""))</f>
        <v/>
      </c>
      <c r="P1111">
        <f>IF($U1111="","",INDEX(상세표[06~07시],$U1111))</f>
        <v/>
      </c>
      <c r="Q1111">
        <f>IF($U1111="","",INDEX(상세표[07~18시],$U1111))</f>
        <v/>
      </c>
      <c r="R1111">
        <f>IF($U1111="","",INDEX(상세표[18~22시],$U1111))</f>
        <v/>
      </c>
      <c r="S1111">
        <f>IF($U1111="","",INDEX(상세표[22~06시],$U1111))</f>
        <v/>
      </c>
      <c r="T1111">
        <f>IF($U1111="","",INDEX(상세표[기록 시간외],$U1111))</f>
        <v/>
      </c>
      <c r="U1111" s="4">
        <f>IFERROR(MATCH(1106,상세표[발송순번],0),"")</f>
        <v/>
      </c>
    </row>
    <row r="1112">
      <c r="J1112">
        <f>IF($U1112="","",INDEX(상세표[사번],$U1112)&amp;"")</f>
        <v/>
      </c>
      <c r="K1112">
        <f>IF($U1112="","",INDEX(상세표[성명],$U1112)&amp;"")</f>
        <v/>
      </c>
      <c r="L1112">
        <f>IF($U1112="","",INDEX(상세표[직위],$U1112)&amp;"")</f>
        <v/>
      </c>
      <c r="M1112">
        <f>IF($U1112="","",IF(ISNUMBER(INDEX(상세표[근무일자],$U1112)),TEXT(INDEX(상세표[근무일자],$U1112),"yyyy-mm-dd"),INDEX(상세표[근무일자],$U1112)&amp;""))</f>
        <v/>
      </c>
      <c r="N1112">
        <f>IF($U1112="","",IF(ISNUMBER(INDEX(상세표[시작],$U1112)),TEXT(INDEX(상세표[시작],$U1112),"yyyy-mm-dd hh:mm"),INDEX(상세표[시작],$U1112)&amp;""))</f>
        <v/>
      </c>
      <c r="O1112">
        <f>IF($U1112="","",IF(ISNUMBER(INDEX(상세표[종료],$U1112)),TEXT(INDEX(상세표[종료],$U1112),"yyyy-mm-dd hh:mm"),INDEX(상세표[종료],$U1112)&amp;""))</f>
        <v/>
      </c>
      <c r="P1112">
        <f>IF($U1112="","",INDEX(상세표[06~07시],$U1112))</f>
        <v/>
      </c>
      <c r="Q1112">
        <f>IF($U1112="","",INDEX(상세표[07~18시],$U1112))</f>
        <v/>
      </c>
      <c r="R1112">
        <f>IF($U1112="","",INDEX(상세표[18~22시],$U1112))</f>
        <v/>
      </c>
      <c r="S1112">
        <f>IF($U1112="","",INDEX(상세표[22~06시],$U1112))</f>
        <v/>
      </c>
      <c r="T1112">
        <f>IF($U1112="","",INDEX(상세표[기록 시간외],$U1112))</f>
        <v/>
      </c>
      <c r="U1112" s="4">
        <f>IFERROR(MATCH(1107,상세표[발송순번],0),"")</f>
        <v/>
      </c>
    </row>
    <row r="1113">
      <c r="J1113">
        <f>IF($U1113="","",INDEX(상세표[사번],$U1113)&amp;"")</f>
        <v/>
      </c>
      <c r="K1113">
        <f>IF($U1113="","",INDEX(상세표[성명],$U1113)&amp;"")</f>
        <v/>
      </c>
      <c r="L1113">
        <f>IF($U1113="","",INDEX(상세표[직위],$U1113)&amp;"")</f>
        <v/>
      </c>
      <c r="M1113">
        <f>IF($U1113="","",IF(ISNUMBER(INDEX(상세표[근무일자],$U1113)),TEXT(INDEX(상세표[근무일자],$U1113),"yyyy-mm-dd"),INDEX(상세표[근무일자],$U1113)&amp;""))</f>
        <v/>
      </c>
      <c r="N1113">
        <f>IF($U1113="","",IF(ISNUMBER(INDEX(상세표[시작],$U1113)),TEXT(INDEX(상세표[시작],$U1113),"yyyy-mm-dd hh:mm"),INDEX(상세표[시작],$U1113)&amp;""))</f>
        <v/>
      </c>
      <c r="O1113">
        <f>IF($U1113="","",IF(ISNUMBER(INDEX(상세표[종료],$U1113)),TEXT(INDEX(상세표[종료],$U1113),"yyyy-mm-dd hh:mm"),INDEX(상세표[종료],$U1113)&amp;""))</f>
        <v/>
      </c>
      <c r="P1113">
        <f>IF($U1113="","",INDEX(상세표[06~07시],$U1113))</f>
        <v/>
      </c>
      <c r="Q1113">
        <f>IF($U1113="","",INDEX(상세표[07~18시],$U1113))</f>
        <v/>
      </c>
      <c r="R1113">
        <f>IF($U1113="","",INDEX(상세표[18~22시],$U1113))</f>
        <v/>
      </c>
      <c r="S1113">
        <f>IF($U1113="","",INDEX(상세표[22~06시],$U1113))</f>
        <v/>
      </c>
      <c r="T1113">
        <f>IF($U1113="","",INDEX(상세표[기록 시간외],$U1113))</f>
        <v/>
      </c>
      <c r="U1113" s="4">
        <f>IFERROR(MATCH(1108,상세표[발송순번],0),"")</f>
        <v/>
      </c>
    </row>
    <row r="1114">
      <c r="J1114">
        <f>IF($U1114="","",INDEX(상세표[사번],$U1114)&amp;"")</f>
        <v/>
      </c>
      <c r="K1114">
        <f>IF($U1114="","",INDEX(상세표[성명],$U1114)&amp;"")</f>
        <v/>
      </c>
      <c r="L1114">
        <f>IF($U1114="","",INDEX(상세표[직위],$U1114)&amp;"")</f>
        <v/>
      </c>
      <c r="M1114">
        <f>IF($U1114="","",IF(ISNUMBER(INDEX(상세표[근무일자],$U1114)),TEXT(INDEX(상세표[근무일자],$U1114),"yyyy-mm-dd"),INDEX(상세표[근무일자],$U1114)&amp;""))</f>
        <v/>
      </c>
      <c r="N1114">
        <f>IF($U1114="","",IF(ISNUMBER(INDEX(상세표[시작],$U1114)),TEXT(INDEX(상세표[시작],$U1114),"yyyy-mm-dd hh:mm"),INDEX(상세표[시작],$U1114)&amp;""))</f>
        <v/>
      </c>
      <c r="O1114">
        <f>IF($U1114="","",IF(ISNUMBER(INDEX(상세표[종료],$U1114)),TEXT(INDEX(상세표[종료],$U1114),"yyyy-mm-dd hh:mm"),INDEX(상세표[종료],$U1114)&amp;""))</f>
        <v/>
      </c>
      <c r="P1114">
        <f>IF($U1114="","",INDEX(상세표[06~07시],$U1114))</f>
        <v/>
      </c>
      <c r="Q1114">
        <f>IF($U1114="","",INDEX(상세표[07~18시],$U1114))</f>
        <v/>
      </c>
      <c r="R1114">
        <f>IF($U1114="","",INDEX(상세표[18~22시],$U1114))</f>
        <v/>
      </c>
      <c r="S1114">
        <f>IF($U1114="","",INDEX(상세표[22~06시],$U1114))</f>
        <v/>
      </c>
      <c r="T1114">
        <f>IF($U1114="","",INDEX(상세표[기록 시간외],$U1114))</f>
        <v/>
      </c>
      <c r="U1114" s="4">
        <f>IFERROR(MATCH(1109,상세표[발송순번],0),"")</f>
        <v/>
      </c>
    </row>
    <row r="1115">
      <c r="J1115">
        <f>IF($U1115="","",INDEX(상세표[사번],$U1115)&amp;"")</f>
        <v/>
      </c>
      <c r="K1115">
        <f>IF($U1115="","",INDEX(상세표[성명],$U1115)&amp;"")</f>
        <v/>
      </c>
      <c r="L1115">
        <f>IF($U1115="","",INDEX(상세표[직위],$U1115)&amp;"")</f>
        <v/>
      </c>
      <c r="M1115">
        <f>IF($U1115="","",IF(ISNUMBER(INDEX(상세표[근무일자],$U1115)),TEXT(INDEX(상세표[근무일자],$U1115),"yyyy-mm-dd"),INDEX(상세표[근무일자],$U1115)&amp;""))</f>
        <v/>
      </c>
      <c r="N1115">
        <f>IF($U1115="","",IF(ISNUMBER(INDEX(상세표[시작],$U1115)),TEXT(INDEX(상세표[시작],$U1115),"yyyy-mm-dd hh:mm"),INDEX(상세표[시작],$U1115)&amp;""))</f>
        <v/>
      </c>
      <c r="O1115">
        <f>IF($U1115="","",IF(ISNUMBER(INDEX(상세표[종료],$U1115)),TEXT(INDEX(상세표[종료],$U1115),"yyyy-mm-dd hh:mm"),INDEX(상세표[종료],$U1115)&amp;""))</f>
        <v/>
      </c>
      <c r="P1115">
        <f>IF($U1115="","",INDEX(상세표[06~07시],$U1115))</f>
        <v/>
      </c>
      <c r="Q1115">
        <f>IF($U1115="","",INDEX(상세표[07~18시],$U1115))</f>
        <v/>
      </c>
      <c r="R1115">
        <f>IF($U1115="","",INDEX(상세표[18~22시],$U1115))</f>
        <v/>
      </c>
      <c r="S1115">
        <f>IF($U1115="","",INDEX(상세표[22~06시],$U1115))</f>
        <v/>
      </c>
      <c r="T1115">
        <f>IF($U1115="","",INDEX(상세표[기록 시간외],$U1115))</f>
        <v/>
      </c>
      <c r="U1115" s="4">
        <f>IFERROR(MATCH(1110,상세표[발송순번],0),"")</f>
        <v/>
      </c>
    </row>
    <row r="1116">
      <c r="J1116">
        <f>IF($U1116="","",INDEX(상세표[사번],$U1116)&amp;"")</f>
        <v/>
      </c>
      <c r="K1116">
        <f>IF($U1116="","",INDEX(상세표[성명],$U1116)&amp;"")</f>
        <v/>
      </c>
      <c r="L1116">
        <f>IF($U1116="","",INDEX(상세표[직위],$U1116)&amp;"")</f>
        <v/>
      </c>
      <c r="M1116">
        <f>IF($U1116="","",IF(ISNUMBER(INDEX(상세표[근무일자],$U1116)),TEXT(INDEX(상세표[근무일자],$U1116),"yyyy-mm-dd"),INDEX(상세표[근무일자],$U1116)&amp;""))</f>
        <v/>
      </c>
      <c r="N1116">
        <f>IF($U1116="","",IF(ISNUMBER(INDEX(상세표[시작],$U1116)),TEXT(INDEX(상세표[시작],$U1116),"yyyy-mm-dd hh:mm"),INDEX(상세표[시작],$U1116)&amp;""))</f>
        <v/>
      </c>
      <c r="O1116">
        <f>IF($U1116="","",IF(ISNUMBER(INDEX(상세표[종료],$U1116)),TEXT(INDEX(상세표[종료],$U1116),"yyyy-mm-dd hh:mm"),INDEX(상세표[종료],$U1116)&amp;""))</f>
        <v/>
      </c>
      <c r="P1116">
        <f>IF($U1116="","",INDEX(상세표[06~07시],$U1116))</f>
        <v/>
      </c>
      <c r="Q1116">
        <f>IF($U1116="","",INDEX(상세표[07~18시],$U1116))</f>
        <v/>
      </c>
      <c r="R1116">
        <f>IF($U1116="","",INDEX(상세표[18~22시],$U1116))</f>
        <v/>
      </c>
      <c r="S1116">
        <f>IF($U1116="","",INDEX(상세표[22~06시],$U1116))</f>
        <v/>
      </c>
      <c r="T1116">
        <f>IF($U1116="","",INDEX(상세표[기록 시간외],$U1116))</f>
        <v/>
      </c>
      <c r="U1116" s="4">
        <f>IFERROR(MATCH(1111,상세표[발송순번],0),"")</f>
        <v/>
      </c>
    </row>
    <row r="1117">
      <c r="J1117">
        <f>IF($U1117="","",INDEX(상세표[사번],$U1117)&amp;"")</f>
        <v/>
      </c>
      <c r="K1117">
        <f>IF($U1117="","",INDEX(상세표[성명],$U1117)&amp;"")</f>
        <v/>
      </c>
      <c r="L1117">
        <f>IF($U1117="","",INDEX(상세표[직위],$U1117)&amp;"")</f>
        <v/>
      </c>
      <c r="M1117">
        <f>IF($U1117="","",IF(ISNUMBER(INDEX(상세표[근무일자],$U1117)),TEXT(INDEX(상세표[근무일자],$U1117),"yyyy-mm-dd"),INDEX(상세표[근무일자],$U1117)&amp;""))</f>
        <v/>
      </c>
      <c r="N1117">
        <f>IF($U1117="","",IF(ISNUMBER(INDEX(상세표[시작],$U1117)),TEXT(INDEX(상세표[시작],$U1117),"yyyy-mm-dd hh:mm"),INDEX(상세표[시작],$U1117)&amp;""))</f>
        <v/>
      </c>
      <c r="O1117">
        <f>IF($U1117="","",IF(ISNUMBER(INDEX(상세표[종료],$U1117)),TEXT(INDEX(상세표[종료],$U1117),"yyyy-mm-dd hh:mm"),INDEX(상세표[종료],$U1117)&amp;""))</f>
        <v/>
      </c>
      <c r="P1117">
        <f>IF($U1117="","",INDEX(상세표[06~07시],$U1117))</f>
        <v/>
      </c>
      <c r="Q1117">
        <f>IF($U1117="","",INDEX(상세표[07~18시],$U1117))</f>
        <v/>
      </c>
      <c r="R1117">
        <f>IF($U1117="","",INDEX(상세표[18~22시],$U1117))</f>
        <v/>
      </c>
      <c r="S1117">
        <f>IF($U1117="","",INDEX(상세표[22~06시],$U1117))</f>
        <v/>
      </c>
      <c r="T1117">
        <f>IF($U1117="","",INDEX(상세표[기록 시간외],$U1117))</f>
        <v/>
      </c>
      <c r="U1117" s="4">
        <f>IFERROR(MATCH(1112,상세표[발송순번],0),"")</f>
        <v/>
      </c>
    </row>
    <row r="1118">
      <c r="J1118">
        <f>IF($U1118="","",INDEX(상세표[사번],$U1118)&amp;"")</f>
        <v/>
      </c>
      <c r="K1118">
        <f>IF($U1118="","",INDEX(상세표[성명],$U1118)&amp;"")</f>
        <v/>
      </c>
      <c r="L1118">
        <f>IF($U1118="","",INDEX(상세표[직위],$U1118)&amp;"")</f>
        <v/>
      </c>
      <c r="M1118">
        <f>IF($U1118="","",IF(ISNUMBER(INDEX(상세표[근무일자],$U1118)),TEXT(INDEX(상세표[근무일자],$U1118),"yyyy-mm-dd"),INDEX(상세표[근무일자],$U1118)&amp;""))</f>
        <v/>
      </c>
      <c r="N1118">
        <f>IF($U1118="","",IF(ISNUMBER(INDEX(상세표[시작],$U1118)),TEXT(INDEX(상세표[시작],$U1118),"yyyy-mm-dd hh:mm"),INDEX(상세표[시작],$U1118)&amp;""))</f>
        <v/>
      </c>
      <c r="O1118">
        <f>IF($U1118="","",IF(ISNUMBER(INDEX(상세표[종료],$U1118)),TEXT(INDEX(상세표[종료],$U1118),"yyyy-mm-dd hh:mm"),INDEX(상세표[종료],$U1118)&amp;""))</f>
        <v/>
      </c>
      <c r="P1118">
        <f>IF($U1118="","",INDEX(상세표[06~07시],$U1118))</f>
        <v/>
      </c>
      <c r="Q1118">
        <f>IF($U1118="","",INDEX(상세표[07~18시],$U1118))</f>
        <v/>
      </c>
      <c r="R1118">
        <f>IF($U1118="","",INDEX(상세표[18~22시],$U1118))</f>
        <v/>
      </c>
      <c r="S1118">
        <f>IF($U1118="","",INDEX(상세표[22~06시],$U1118))</f>
        <v/>
      </c>
      <c r="T1118">
        <f>IF($U1118="","",INDEX(상세표[기록 시간외],$U1118))</f>
        <v/>
      </c>
      <c r="U1118" s="4">
        <f>IFERROR(MATCH(1113,상세표[발송순번],0),"")</f>
        <v/>
      </c>
    </row>
    <row r="1119">
      <c r="J1119">
        <f>IF($U1119="","",INDEX(상세표[사번],$U1119)&amp;"")</f>
        <v/>
      </c>
      <c r="K1119">
        <f>IF($U1119="","",INDEX(상세표[성명],$U1119)&amp;"")</f>
        <v/>
      </c>
      <c r="L1119">
        <f>IF($U1119="","",INDEX(상세표[직위],$U1119)&amp;"")</f>
        <v/>
      </c>
      <c r="M1119">
        <f>IF($U1119="","",IF(ISNUMBER(INDEX(상세표[근무일자],$U1119)),TEXT(INDEX(상세표[근무일자],$U1119),"yyyy-mm-dd"),INDEX(상세표[근무일자],$U1119)&amp;""))</f>
        <v/>
      </c>
      <c r="N1119">
        <f>IF($U1119="","",IF(ISNUMBER(INDEX(상세표[시작],$U1119)),TEXT(INDEX(상세표[시작],$U1119),"yyyy-mm-dd hh:mm"),INDEX(상세표[시작],$U1119)&amp;""))</f>
        <v/>
      </c>
      <c r="O1119">
        <f>IF($U1119="","",IF(ISNUMBER(INDEX(상세표[종료],$U1119)),TEXT(INDEX(상세표[종료],$U1119),"yyyy-mm-dd hh:mm"),INDEX(상세표[종료],$U1119)&amp;""))</f>
        <v/>
      </c>
      <c r="P1119">
        <f>IF($U1119="","",INDEX(상세표[06~07시],$U1119))</f>
        <v/>
      </c>
      <c r="Q1119">
        <f>IF($U1119="","",INDEX(상세표[07~18시],$U1119))</f>
        <v/>
      </c>
      <c r="R1119">
        <f>IF($U1119="","",INDEX(상세표[18~22시],$U1119))</f>
        <v/>
      </c>
      <c r="S1119">
        <f>IF($U1119="","",INDEX(상세표[22~06시],$U1119))</f>
        <v/>
      </c>
      <c r="T1119">
        <f>IF($U1119="","",INDEX(상세표[기록 시간외],$U1119))</f>
        <v/>
      </c>
      <c r="U1119" s="4">
        <f>IFERROR(MATCH(1114,상세표[발송순번],0),"")</f>
        <v/>
      </c>
    </row>
    <row r="1120">
      <c r="J1120">
        <f>IF($U1120="","",INDEX(상세표[사번],$U1120)&amp;"")</f>
        <v/>
      </c>
      <c r="K1120">
        <f>IF($U1120="","",INDEX(상세표[성명],$U1120)&amp;"")</f>
        <v/>
      </c>
      <c r="L1120">
        <f>IF($U1120="","",INDEX(상세표[직위],$U1120)&amp;"")</f>
        <v/>
      </c>
      <c r="M1120">
        <f>IF($U1120="","",IF(ISNUMBER(INDEX(상세표[근무일자],$U1120)),TEXT(INDEX(상세표[근무일자],$U1120),"yyyy-mm-dd"),INDEX(상세표[근무일자],$U1120)&amp;""))</f>
        <v/>
      </c>
      <c r="N1120">
        <f>IF($U1120="","",IF(ISNUMBER(INDEX(상세표[시작],$U1120)),TEXT(INDEX(상세표[시작],$U1120),"yyyy-mm-dd hh:mm"),INDEX(상세표[시작],$U1120)&amp;""))</f>
        <v/>
      </c>
      <c r="O1120">
        <f>IF($U1120="","",IF(ISNUMBER(INDEX(상세표[종료],$U1120)),TEXT(INDEX(상세표[종료],$U1120),"yyyy-mm-dd hh:mm"),INDEX(상세표[종료],$U1120)&amp;""))</f>
        <v/>
      </c>
      <c r="P1120">
        <f>IF($U1120="","",INDEX(상세표[06~07시],$U1120))</f>
        <v/>
      </c>
      <c r="Q1120">
        <f>IF($U1120="","",INDEX(상세표[07~18시],$U1120))</f>
        <v/>
      </c>
      <c r="R1120">
        <f>IF($U1120="","",INDEX(상세표[18~22시],$U1120))</f>
        <v/>
      </c>
      <c r="S1120">
        <f>IF($U1120="","",INDEX(상세표[22~06시],$U1120))</f>
        <v/>
      </c>
      <c r="T1120">
        <f>IF($U1120="","",INDEX(상세표[기록 시간외],$U1120))</f>
        <v/>
      </c>
      <c r="U1120" s="4">
        <f>IFERROR(MATCH(1115,상세표[발송순번],0),"")</f>
        <v/>
      </c>
    </row>
    <row r="1121">
      <c r="J1121">
        <f>IF($U1121="","",INDEX(상세표[사번],$U1121)&amp;"")</f>
        <v/>
      </c>
      <c r="K1121">
        <f>IF($U1121="","",INDEX(상세표[성명],$U1121)&amp;"")</f>
        <v/>
      </c>
      <c r="L1121">
        <f>IF($U1121="","",INDEX(상세표[직위],$U1121)&amp;"")</f>
        <v/>
      </c>
      <c r="M1121">
        <f>IF($U1121="","",IF(ISNUMBER(INDEX(상세표[근무일자],$U1121)),TEXT(INDEX(상세표[근무일자],$U1121),"yyyy-mm-dd"),INDEX(상세표[근무일자],$U1121)&amp;""))</f>
        <v/>
      </c>
      <c r="N1121">
        <f>IF($U1121="","",IF(ISNUMBER(INDEX(상세표[시작],$U1121)),TEXT(INDEX(상세표[시작],$U1121),"yyyy-mm-dd hh:mm"),INDEX(상세표[시작],$U1121)&amp;""))</f>
        <v/>
      </c>
      <c r="O1121">
        <f>IF($U1121="","",IF(ISNUMBER(INDEX(상세표[종료],$U1121)),TEXT(INDEX(상세표[종료],$U1121),"yyyy-mm-dd hh:mm"),INDEX(상세표[종료],$U1121)&amp;""))</f>
        <v/>
      </c>
      <c r="P1121">
        <f>IF($U1121="","",INDEX(상세표[06~07시],$U1121))</f>
        <v/>
      </c>
      <c r="Q1121">
        <f>IF($U1121="","",INDEX(상세표[07~18시],$U1121))</f>
        <v/>
      </c>
      <c r="R1121">
        <f>IF($U1121="","",INDEX(상세표[18~22시],$U1121))</f>
        <v/>
      </c>
      <c r="S1121">
        <f>IF($U1121="","",INDEX(상세표[22~06시],$U1121))</f>
        <v/>
      </c>
      <c r="T1121">
        <f>IF($U1121="","",INDEX(상세표[기록 시간외],$U1121))</f>
        <v/>
      </c>
      <c r="U1121" s="4">
        <f>IFERROR(MATCH(1116,상세표[발송순번],0),"")</f>
        <v/>
      </c>
    </row>
    <row r="1122">
      <c r="J1122">
        <f>IF($U1122="","",INDEX(상세표[사번],$U1122)&amp;"")</f>
        <v/>
      </c>
      <c r="K1122">
        <f>IF($U1122="","",INDEX(상세표[성명],$U1122)&amp;"")</f>
        <v/>
      </c>
      <c r="L1122">
        <f>IF($U1122="","",INDEX(상세표[직위],$U1122)&amp;"")</f>
        <v/>
      </c>
      <c r="M1122">
        <f>IF($U1122="","",IF(ISNUMBER(INDEX(상세표[근무일자],$U1122)),TEXT(INDEX(상세표[근무일자],$U1122),"yyyy-mm-dd"),INDEX(상세표[근무일자],$U1122)&amp;""))</f>
        <v/>
      </c>
      <c r="N1122">
        <f>IF($U1122="","",IF(ISNUMBER(INDEX(상세표[시작],$U1122)),TEXT(INDEX(상세표[시작],$U1122),"yyyy-mm-dd hh:mm"),INDEX(상세표[시작],$U1122)&amp;""))</f>
        <v/>
      </c>
      <c r="O1122">
        <f>IF($U1122="","",IF(ISNUMBER(INDEX(상세표[종료],$U1122)),TEXT(INDEX(상세표[종료],$U1122),"yyyy-mm-dd hh:mm"),INDEX(상세표[종료],$U1122)&amp;""))</f>
        <v/>
      </c>
      <c r="P1122">
        <f>IF($U1122="","",INDEX(상세표[06~07시],$U1122))</f>
        <v/>
      </c>
      <c r="Q1122">
        <f>IF($U1122="","",INDEX(상세표[07~18시],$U1122))</f>
        <v/>
      </c>
      <c r="R1122">
        <f>IF($U1122="","",INDEX(상세표[18~22시],$U1122))</f>
        <v/>
      </c>
      <c r="S1122">
        <f>IF($U1122="","",INDEX(상세표[22~06시],$U1122))</f>
        <v/>
      </c>
      <c r="T1122">
        <f>IF($U1122="","",INDEX(상세표[기록 시간외],$U1122))</f>
        <v/>
      </c>
      <c r="U1122" s="4">
        <f>IFERROR(MATCH(1117,상세표[발송순번],0),"")</f>
        <v/>
      </c>
    </row>
    <row r="1123">
      <c r="J1123">
        <f>IF($U1123="","",INDEX(상세표[사번],$U1123)&amp;"")</f>
        <v/>
      </c>
      <c r="K1123">
        <f>IF($U1123="","",INDEX(상세표[성명],$U1123)&amp;"")</f>
        <v/>
      </c>
      <c r="L1123">
        <f>IF($U1123="","",INDEX(상세표[직위],$U1123)&amp;"")</f>
        <v/>
      </c>
      <c r="M1123">
        <f>IF($U1123="","",IF(ISNUMBER(INDEX(상세표[근무일자],$U1123)),TEXT(INDEX(상세표[근무일자],$U1123),"yyyy-mm-dd"),INDEX(상세표[근무일자],$U1123)&amp;""))</f>
        <v/>
      </c>
      <c r="N1123">
        <f>IF($U1123="","",IF(ISNUMBER(INDEX(상세표[시작],$U1123)),TEXT(INDEX(상세표[시작],$U1123),"yyyy-mm-dd hh:mm"),INDEX(상세표[시작],$U1123)&amp;""))</f>
        <v/>
      </c>
      <c r="O1123">
        <f>IF($U1123="","",IF(ISNUMBER(INDEX(상세표[종료],$U1123)),TEXT(INDEX(상세표[종료],$U1123),"yyyy-mm-dd hh:mm"),INDEX(상세표[종료],$U1123)&amp;""))</f>
        <v/>
      </c>
      <c r="P1123">
        <f>IF($U1123="","",INDEX(상세표[06~07시],$U1123))</f>
        <v/>
      </c>
      <c r="Q1123">
        <f>IF($U1123="","",INDEX(상세표[07~18시],$U1123))</f>
        <v/>
      </c>
      <c r="R1123">
        <f>IF($U1123="","",INDEX(상세표[18~22시],$U1123))</f>
        <v/>
      </c>
      <c r="S1123">
        <f>IF($U1123="","",INDEX(상세표[22~06시],$U1123))</f>
        <v/>
      </c>
      <c r="T1123">
        <f>IF($U1123="","",INDEX(상세표[기록 시간외],$U1123))</f>
        <v/>
      </c>
      <c r="U1123" s="4">
        <f>IFERROR(MATCH(1118,상세표[발송순번],0),"")</f>
        <v/>
      </c>
    </row>
    <row r="1124">
      <c r="J1124">
        <f>IF($U1124="","",INDEX(상세표[사번],$U1124)&amp;"")</f>
        <v/>
      </c>
      <c r="K1124">
        <f>IF($U1124="","",INDEX(상세표[성명],$U1124)&amp;"")</f>
        <v/>
      </c>
      <c r="L1124">
        <f>IF($U1124="","",INDEX(상세표[직위],$U1124)&amp;"")</f>
        <v/>
      </c>
      <c r="M1124">
        <f>IF($U1124="","",IF(ISNUMBER(INDEX(상세표[근무일자],$U1124)),TEXT(INDEX(상세표[근무일자],$U1124),"yyyy-mm-dd"),INDEX(상세표[근무일자],$U1124)&amp;""))</f>
        <v/>
      </c>
      <c r="N1124">
        <f>IF($U1124="","",IF(ISNUMBER(INDEX(상세표[시작],$U1124)),TEXT(INDEX(상세표[시작],$U1124),"yyyy-mm-dd hh:mm"),INDEX(상세표[시작],$U1124)&amp;""))</f>
        <v/>
      </c>
      <c r="O1124">
        <f>IF($U1124="","",IF(ISNUMBER(INDEX(상세표[종료],$U1124)),TEXT(INDEX(상세표[종료],$U1124),"yyyy-mm-dd hh:mm"),INDEX(상세표[종료],$U1124)&amp;""))</f>
        <v/>
      </c>
      <c r="P1124">
        <f>IF($U1124="","",INDEX(상세표[06~07시],$U1124))</f>
        <v/>
      </c>
      <c r="Q1124">
        <f>IF($U1124="","",INDEX(상세표[07~18시],$U1124))</f>
        <v/>
      </c>
      <c r="R1124">
        <f>IF($U1124="","",INDEX(상세표[18~22시],$U1124))</f>
        <v/>
      </c>
      <c r="S1124">
        <f>IF($U1124="","",INDEX(상세표[22~06시],$U1124))</f>
        <v/>
      </c>
      <c r="T1124">
        <f>IF($U1124="","",INDEX(상세표[기록 시간외],$U1124))</f>
        <v/>
      </c>
      <c r="U1124" s="4">
        <f>IFERROR(MATCH(1119,상세표[발송순번],0),"")</f>
        <v/>
      </c>
    </row>
    <row r="1125">
      <c r="J1125">
        <f>IF($U1125="","",INDEX(상세표[사번],$U1125)&amp;"")</f>
        <v/>
      </c>
      <c r="K1125">
        <f>IF($U1125="","",INDEX(상세표[성명],$U1125)&amp;"")</f>
        <v/>
      </c>
      <c r="L1125">
        <f>IF($U1125="","",INDEX(상세표[직위],$U1125)&amp;"")</f>
        <v/>
      </c>
      <c r="M1125">
        <f>IF($U1125="","",IF(ISNUMBER(INDEX(상세표[근무일자],$U1125)),TEXT(INDEX(상세표[근무일자],$U1125),"yyyy-mm-dd"),INDEX(상세표[근무일자],$U1125)&amp;""))</f>
        <v/>
      </c>
      <c r="N1125">
        <f>IF($U1125="","",IF(ISNUMBER(INDEX(상세표[시작],$U1125)),TEXT(INDEX(상세표[시작],$U1125),"yyyy-mm-dd hh:mm"),INDEX(상세표[시작],$U1125)&amp;""))</f>
        <v/>
      </c>
      <c r="O1125">
        <f>IF($U1125="","",IF(ISNUMBER(INDEX(상세표[종료],$U1125)),TEXT(INDEX(상세표[종료],$U1125),"yyyy-mm-dd hh:mm"),INDEX(상세표[종료],$U1125)&amp;""))</f>
        <v/>
      </c>
      <c r="P1125">
        <f>IF($U1125="","",INDEX(상세표[06~07시],$U1125))</f>
        <v/>
      </c>
      <c r="Q1125">
        <f>IF($U1125="","",INDEX(상세표[07~18시],$U1125))</f>
        <v/>
      </c>
      <c r="R1125">
        <f>IF($U1125="","",INDEX(상세표[18~22시],$U1125))</f>
        <v/>
      </c>
      <c r="S1125">
        <f>IF($U1125="","",INDEX(상세표[22~06시],$U1125))</f>
        <v/>
      </c>
      <c r="T1125">
        <f>IF($U1125="","",INDEX(상세표[기록 시간외],$U1125))</f>
        <v/>
      </c>
      <c r="U1125" s="4">
        <f>IFERROR(MATCH(1120,상세표[발송순번],0),"")</f>
        <v/>
      </c>
    </row>
    <row r="1126">
      <c r="J1126">
        <f>IF($U1126="","",INDEX(상세표[사번],$U1126)&amp;"")</f>
        <v/>
      </c>
      <c r="K1126">
        <f>IF($U1126="","",INDEX(상세표[성명],$U1126)&amp;"")</f>
        <v/>
      </c>
      <c r="L1126">
        <f>IF($U1126="","",INDEX(상세표[직위],$U1126)&amp;"")</f>
        <v/>
      </c>
      <c r="M1126">
        <f>IF($U1126="","",IF(ISNUMBER(INDEX(상세표[근무일자],$U1126)),TEXT(INDEX(상세표[근무일자],$U1126),"yyyy-mm-dd"),INDEX(상세표[근무일자],$U1126)&amp;""))</f>
        <v/>
      </c>
      <c r="N1126">
        <f>IF($U1126="","",IF(ISNUMBER(INDEX(상세표[시작],$U1126)),TEXT(INDEX(상세표[시작],$U1126),"yyyy-mm-dd hh:mm"),INDEX(상세표[시작],$U1126)&amp;""))</f>
        <v/>
      </c>
      <c r="O1126">
        <f>IF($U1126="","",IF(ISNUMBER(INDEX(상세표[종료],$U1126)),TEXT(INDEX(상세표[종료],$U1126),"yyyy-mm-dd hh:mm"),INDEX(상세표[종료],$U1126)&amp;""))</f>
        <v/>
      </c>
      <c r="P1126">
        <f>IF($U1126="","",INDEX(상세표[06~07시],$U1126))</f>
        <v/>
      </c>
      <c r="Q1126">
        <f>IF($U1126="","",INDEX(상세표[07~18시],$U1126))</f>
        <v/>
      </c>
      <c r="R1126">
        <f>IF($U1126="","",INDEX(상세표[18~22시],$U1126))</f>
        <v/>
      </c>
      <c r="S1126">
        <f>IF($U1126="","",INDEX(상세표[22~06시],$U1126))</f>
        <v/>
      </c>
      <c r="T1126">
        <f>IF($U1126="","",INDEX(상세표[기록 시간외],$U1126))</f>
        <v/>
      </c>
      <c r="U1126" s="4">
        <f>IFERROR(MATCH(1121,상세표[발송순번],0),"")</f>
        <v/>
      </c>
    </row>
    <row r="1127">
      <c r="J1127">
        <f>IF($U1127="","",INDEX(상세표[사번],$U1127)&amp;"")</f>
        <v/>
      </c>
      <c r="K1127">
        <f>IF($U1127="","",INDEX(상세표[성명],$U1127)&amp;"")</f>
        <v/>
      </c>
      <c r="L1127">
        <f>IF($U1127="","",INDEX(상세표[직위],$U1127)&amp;"")</f>
        <v/>
      </c>
      <c r="M1127">
        <f>IF($U1127="","",IF(ISNUMBER(INDEX(상세표[근무일자],$U1127)),TEXT(INDEX(상세표[근무일자],$U1127),"yyyy-mm-dd"),INDEX(상세표[근무일자],$U1127)&amp;""))</f>
        <v/>
      </c>
      <c r="N1127">
        <f>IF($U1127="","",IF(ISNUMBER(INDEX(상세표[시작],$U1127)),TEXT(INDEX(상세표[시작],$U1127),"yyyy-mm-dd hh:mm"),INDEX(상세표[시작],$U1127)&amp;""))</f>
        <v/>
      </c>
      <c r="O1127">
        <f>IF($U1127="","",IF(ISNUMBER(INDEX(상세표[종료],$U1127)),TEXT(INDEX(상세표[종료],$U1127),"yyyy-mm-dd hh:mm"),INDEX(상세표[종료],$U1127)&amp;""))</f>
        <v/>
      </c>
      <c r="P1127">
        <f>IF($U1127="","",INDEX(상세표[06~07시],$U1127))</f>
        <v/>
      </c>
      <c r="Q1127">
        <f>IF($U1127="","",INDEX(상세표[07~18시],$U1127))</f>
        <v/>
      </c>
      <c r="R1127">
        <f>IF($U1127="","",INDEX(상세표[18~22시],$U1127))</f>
        <v/>
      </c>
      <c r="S1127">
        <f>IF($U1127="","",INDEX(상세표[22~06시],$U1127))</f>
        <v/>
      </c>
      <c r="T1127">
        <f>IF($U1127="","",INDEX(상세표[기록 시간외],$U1127))</f>
        <v/>
      </c>
      <c r="U1127" s="4">
        <f>IFERROR(MATCH(1122,상세표[발송순번],0),"")</f>
        <v/>
      </c>
    </row>
    <row r="1128">
      <c r="J1128">
        <f>IF($U1128="","",INDEX(상세표[사번],$U1128)&amp;"")</f>
        <v/>
      </c>
      <c r="K1128">
        <f>IF($U1128="","",INDEX(상세표[성명],$U1128)&amp;"")</f>
        <v/>
      </c>
      <c r="L1128">
        <f>IF($U1128="","",INDEX(상세표[직위],$U1128)&amp;"")</f>
        <v/>
      </c>
      <c r="M1128">
        <f>IF($U1128="","",IF(ISNUMBER(INDEX(상세표[근무일자],$U1128)),TEXT(INDEX(상세표[근무일자],$U1128),"yyyy-mm-dd"),INDEX(상세표[근무일자],$U1128)&amp;""))</f>
        <v/>
      </c>
      <c r="N1128">
        <f>IF($U1128="","",IF(ISNUMBER(INDEX(상세표[시작],$U1128)),TEXT(INDEX(상세표[시작],$U1128),"yyyy-mm-dd hh:mm"),INDEX(상세표[시작],$U1128)&amp;""))</f>
        <v/>
      </c>
      <c r="O1128">
        <f>IF($U1128="","",IF(ISNUMBER(INDEX(상세표[종료],$U1128)),TEXT(INDEX(상세표[종료],$U1128),"yyyy-mm-dd hh:mm"),INDEX(상세표[종료],$U1128)&amp;""))</f>
        <v/>
      </c>
      <c r="P1128">
        <f>IF($U1128="","",INDEX(상세표[06~07시],$U1128))</f>
        <v/>
      </c>
      <c r="Q1128">
        <f>IF($U1128="","",INDEX(상세표[07~18시],$U1128))</f>
        <v/>
      </c>
      <c r="R1128">
        <f>IF($U1128="","",INDEX(상세표[18~22시],$U1128))</f>
        <v/>
      </c>
      <c r="S1128">
        <f>IF($U1128="","",INDEX(상세표[22~06시],$U1128))</f>
        <v/>
      </c>
      <c r="T1128">
        <f>IF($U1128="","",INDEX(상세표[기록 시간외],$U1128))</f>
        <v/>
      </c>
      <c r="U1128" s="4">
        <f>IFERROR(MATCH(1123,상세표[발송순번],0),"")</f>
        <v/>
      </c>
    </row>
    <row r="1129">
      <c r="J1129">
        <f>IF($U1129="","",INDEX(상세표[사번],$U1129)&amp;"")</f>
        <v/>
      </c>
      <c r="K1129">
        <f>IF($U1129="","",INDEX(상세표[성명],$U1129)&amp;"")</f>
        <v/>
      </c>
      <c r="L1129">
        <f>IF($U1129="","",INDEX(상세표[직위],$U1129)&amp;"")</f>
        <v/>
      </c>
      <c r="M1129">
        <f>IF($U1129="","",IF(ISNUMBER(INDEX(상세표[근무일자],$U1129)),TEXT(INDEX(상세표[근무일자],$U1129),"yyyy-mm-dd"),INDEX(상세표[근무일자],$U1129)&amp;""))</f>
        <v/>
      </c>
      <c r="N1129">
        <f>IF($U1129="","",IF(ISNUMBER(INDEX(상세표[시작],$U1129)),TEXT(INDEX(상세표[시작],$U1129),"yyyy-mm-dd hh:mm"),INDEX(상세표[시작],$U1129)&amp;""))</f>
        <v/>
      </c>
      <c r="O1129">
        <f>IF($U1129="","",IF(ISNUMBER(INDEX(상세표[종료],$U1129)),TEXT(INDEX(상세표[종료],$U1129),"yyyy-mm-dd hh:mm"),INDEX(상세표[종료],$U1129)&amp;""))</f>
        <v/>
      </c>
      <c r="P1129">
        <f>IF($U1129="","",INDEX(상세표[06~07시],$U1129))</f>
        <v/>
      </c>
      <c r="Q1129">
        <f>IF($U1129="","",INDEX(상세표[07~18시],$U1129))</f>
        <v/>
      </c>
      <c r="R1129">
        <f>IF($U1129="","",INDEX(상세표[18~22시],$U1129))</f>
        <v/>
      </c>
      <c r="S1129">
        <f>IF($U1129="","",INDEX(상세표[22~06시],$U1129))</f>
        <v/>
      </c>
      <c r="T1129">
        <f>IF($U1129="","",INDEX(상세표[기록 시간외],$U1129))</f>
        <v/>
      </c>
      <c r="U1129" s="4">
        <f>IFERROR(MATCH(1124,상세표[발송순번],0),"")</f>
        <v/>
      </c>
    </row>
    <row r="1130">
      <c r="J1130">
        <f>IF($U1130="","",INDEX(상세표[사번],$U1130)&amp;"")</f>
        <v/>
      </c>
      <c r="K1130">
        <f>IF($U1130="","",INDEX(상세표[성명],$U1130)&amp;"")</f>
        <v/>
      </c>
      <c r="L1130">
        <f>IF($U1130="","",INDEX(상세표[직위],$U1130)&amp;"")</f>
        <v/>
      </c>
      <c r="M1130">
        <f>IF($U1130="","",IF(ISNUMBER(INDEX(상세표[근무일자],$U1130)),TEXT(INDEX(상세표[근무일자],$U1130),"yyyy-mm-dd"),INDEX(상세표[근무일자],$U1130)&amp;""))</f>
        <v/>
      </c>
      <c r="N1130">
        <f>IF($U1130="","",IF(ISNUMBER(INDEX(상세표[시작],$U1130)),TEXT(INDEX(상세표[시작],$U1130),"yyyy-mm-dd hh:mm"),INDEX(상세표[시작],$U1130)&amp;""))</f>
        <v/>
      </c>
      <c r="O1130">
        <f>IF($U1130="","",IF(ISNUMBER(INDEX(상세표[종료],$U1130)),TEXT(INDEX(상세표[종료],$U1130),"yyyy-mm-dd hh:mm"),INDEX(상세표[종료],$U1130)&amp;""))</f>
        <v/>
      </c>
      <c r="P1130">
        <f>IF($U1130="","",INDEX(상세표[06~07시],$U1130))</f>
        <v/>
      </c>
      <c r="Q1130">
        <f>IF($U1130="","",INDEX(상세표[07~18시],$U1130))</f>
        <v/>
      </c>
      <c r="R1130">
        <f>IF($U1130="","",INDEX(상세표[18~22시],$U1130))</f>
        <v/>
      </c>
      <c r="S1130">
        <f>IF($U1130="","",INDEX(상세표[22~06시],$U1130))</f>
        <v/>
      </c>
      <c r="T1130">
        <f>IF($U1130="","",INDEX(상세표[기록 시간외],$U1130))</f>
        <v/>
      </c>
      <c r="U1130" s="4">
        <f>IFERROR(MATCH(1125,상세표[발송순번],0),"")</f>
        <v/>
      </c>
    </row>
    <row r="1131">
      <c r="J1131">
        <f>IF($U1131="","",INDEX(상세표[사번],$U1131)&amp;"")</f>
        <v/>
      </c>
      <c r="K1131">
        <f>IF($U1131="","",INDEX(상세표[성명],$U1131)&amp;"")</f>
        <v/>
      </c>
      <c r="L1131">
        <f>IF($U1131="","",INDEX(상세표[직위],$U1131)&amp;"")</f>
        <v/>
      </c>
      <c r="M1131">
        <f>IF($U1131="","",IF(ISNUMBER(INDEX(상세표[근무일자],$U1131)),TEXT(INDEX(상세표[근무일자],$U1131),"yyyy-mm-dd"),INDEX(상세표[근무일자],$U1131)&amp;""))</f>
        <v/>
      </c>
      <c r="N1131">
        <f>IF($U1131="","",IF(ISNUMBER(INDEX(상세표[시작],$U1131)),TEXT(INDEX(상세표[시작],$U1131),"yyyy-mm-dd hh:mm"),INDEX(상세표[시작],$U1131)&amp;""))</f>
        <v/>
      </c>
      <c r="O1131">
        <f>IF($U1131="","",IF(ISNUMBER(INDEX(상세표[종료],$U1131)),TEXT(INDEX(상세표[종료],$U1131),"yyyy-mm-dd hh:mm"),INDEX(상세표[종료],$U1131)&amp;""))</f>
        <v/>
      </c>
      <c r="P1131">
        <f>IF($U1131="","",INDEX(상세표[06~07시],$U1131))</f>
        <v/>
      </c>
      <c r="Q1131">
        <f>IF($U1131="","",INDEX(상세표[07~18시],$U1131))</f>
        <v/>
      </c>
      <c r="R1131">
        <f>IF($U1131="","",INDEX(상세표[18~22시],$U1131))</f>
        <v/>
      </c>
      <c r="S1131">
        <f>IF($U1131="","",INDEX(상세표[22~06시],$U1131))</f>
        <v/>
      </c>
      <c r="T1131">
        <f>IF($U1131="","",INDEX(상세표[기록 시간외],$U1131))</f>
        <v/>
      </c>
      <c r="U1131" s="4">
        <f>IFERROR(MATCH(1126,상세표[발송순번],0),"")</f>
        <v/>
      </c>
    </row>
    <row r="1132">
      <c r="J1132">
        <f>IF($U1132="","",INDEX(상세표[사번],$U1132)&amp;"")</f>
        <v/>
      </c>
      <c r="K1132">
        <f>IF($U1132="","",INDEX(상세표[성명],$U1132)&amp;"")</f>
        <v/>
      </c>
      <c r="L1132">
        <f>IF($U1132="","",INDEX(상세표[직위],$U1132)&amp;"")</f>
        <v/>
      </c>
      <c r="M1132">
        <f>IF($U1132="","",IF(ISNUMBER(INDEX(상세표[근무일자],$U1132)),TEXT(INDEX(상세표[근무일자],$U1132),"yyyy-mm-dd"),INDEX(상세표[근무일자],$U1132)&amp;""))</f>
        <v/>
      </c>
      <c r="N1132">
        <f>IF($U1132="","",IF(ISNUMBER(INDEX(상세표[시작],$U1132)),TEXT(INDEX(상세표[시작],$U1132),"yyyy-mm-dd hh:mm"),INDEX(상세표[시작],$U1132)&amp;""))</f>
        <v/>
      </c>
      <c r="O1132">
        <f>IF($U1132="","",IF(ISNUMBER(INDEX(상세표[종료],$U1132)),TEXT(INDEX(상세표[종료],$U1132),"yyyy-mm-dd hh:mm"),INDEX(상세표[종료],$U1132)&amp;""))</f>
        <v/>
      </c>
      <c r="P1132">
        <f>IF($U1132="","",INDEX(상세표[06~07시],$U1132))</f>
        <v/>
      </c>
      <c r="Q1132">
        <f>IF($U1132="","",INDEX(상세표[07~18시],$U1132))</f>
        <v/>
      </c>
      <c r="R1132">
        <f>IF($U1132="","",INDEX(상세표[18~22시],$U1132))</f>
        <v/>
      </c>
      <c r="S1132">
        <f>IF($U1132="","",INDEX(상세표[22~06시],$U1132))</f>
        <v/>
      </c>
      <c r="T1132">
        <f>IF($U1132="","",INDEX(상세표[기록 시간외],$U1132))</f>
        <v/>
      </c>
      <c r="U1132" s="4">
        <f>IFERROR(MATCH(1127,상세표[발송순번],0),"")</f>
        <v/>
      </c>
    </row>
    <row r="1133">
      <c r="J1133">
        <f>IF($U1133="","",INDEX(상세표[사번],$U1133)&amp;"")</f>
        <v/>
      </c>
      <c r="K1133">
        <f>IF($U1133="","",INDEX(상세표[성명],$U1133)&amp;"")</f>
        <v/>
      </c>
      <c r="L1133">
        <f>IF($U1133="","",INDEX(상세표[직위],$U1133)&amp;"")</f>
        <v/>
      </c>
      <c r="M1133">
        <f>IF($U1133="","",IF(ISNUMBER(INDEX(상세표[근무일자],$U1133)),TEXT(INDEX(상세표[근무일자],$U1133),"yyyy-mm-dd"),INDEX(상세표[근무일자],$U1133)&amp;""))</f>
        <v/>
      </c>
      <c r="N1133">
        <f>IF($U1133="","",IF(ISNUMBER(INDEX(상세표[시작],$U1133)),TEXT(INDEX(상세표[시작],$U1133),"yyyy-mm-dd hh:mm"),INDEX(상세표[시작],$U1133)&amp;""))</f>
        <v/>
      </c>
      <c r="O1133">
        <f>IF($U1133="","",IF(ISNUMBER(INDEX(상세표[종료],$U1133)),TEXT(INDEX(상세표[종료],$U1133),"yyyy-mm-dd hh:mm"),INDEX(상세표[종료],$U1133)&amp;""))</f>
        <v/>
      </c>
      <c r="P1133">
        <f>IF($U1133="","",INDEX(상세표[06~07시],$U1133))</f>
        <v/>
      </c>
      <c r="Q1133">
        <f>IF($U1133="","",INDEX(상세표[07~18시],$U1133))</f>
        <v/>
      </c>
      <c r="R1133">
        <f>IF($U1133="","",INDEX(상세표[18~22시],$U1133))</f>
        <v/>
      </c>
      <c r="S1133">
        <f>IF($U1133="","",INDEX(상세표[22~06시],$U1133))</f>
        <v/>
      </c>
      <c r="T1133">
        <f>IF($U1133="","",INDEX(상세표[기록 시간외],$U1133))</f>
        <v/>
      </c>
      <c r="U1133" s="4">
        <f>IFERROR(MATCH(1128,상세표[발송순번],0),"")</f>
        <v/>
      </c>
    </row>
    <row r="1134">
      <c r="J1134">
        <f>IF($U1134="","",INDEX(상세표[사번],$U1134)&amp;"")</f>
        <v/>
      </c>
      <c r="K1134">
        <f>IF($U1134="","",INDEX(상세표[성명],$U1134)&amp;"")</f>
        <v/>
      </c>
      <c r="L1134">
        <f>IF($U1134="","",INDEX(상세표[직위],$U1134)&amp;"")</f>
        <v/>
      </c>
      <c r="M1134">
        <f>IF($U1134="","",IF(ISNUMBER(INDEX(상세표[근무일자],$U1134)),TEXT(INDEX(상세표[근무일자],$U1134),"yyyy-mm-dd"),INDEX(상세표[근무일자],$U1134)&amp;""))</f>
        <v/>
      </c>
      <c r="N1134">
        <f>IF($U1134="","",IF(ISNUMBER(INDEX(상세표[시작],$U1134)),TEXT(INDEX(상세표[시작],$U1134),"yyyy-mm-dd hh:mm"),INDEX(상세표[시작],$U1134)&amp;""))</f>
        <v/>
      </c>
      <c r="O1134">
        <f>IF($U1134="","",IF(ISNUMBER(INDEX(상세표[종료],$U1134)),TEXT(INDEX(상세표[종료],$U1134),"yyyy-mm-dd hh:mm"),INDEX(상세표[종료],$U1134)&amp;""))</f>
        <v/>
      </c>
      <c r="P1134">
        <f>IF($U1134="","",INDEX(상세표[06~07시],$U1134))</f>
        <v/>
      </c>
      <c r="Q1134">
        <f>IF($U1134="","",INDEX(상세표[07~18시],$U1134))</f>
        <v/>
      </c>
      <c r="R1134">
        <f>IF($U1134="","",INDEX(상세표[18~22시],$U1134))</f>
        <v/>
      </c>
      <c r="S1134">
        <f>IF($U1134="","",INDEX(상세표[22~06시],$U1134))</f>
        <v/>
      </c>
      <c r="T1134">
        <f>IF($U1134="","",INDEX(상세표[기록 시간외],$U1134))</f>
        <v/>
      </c>
      <c r="U1134" s="4">
        <f>IFERROR(MATCH(1129,상세표[발송순번],0),"")</f>
        <v/>
      </c>
    </row>
    <row r="1135">
      <c r="J1135">
        <f>IF($U1135="","",INDEX(상세표[사번],$U1135)&amp;"")</f>
        <v/>
      </c>
      <c r="K1135">
        <f>IF($U1135="","",INDEX(상세표[성명],$U1135)&amp;"")</f>
        <v/>
      </c>
      <c r="L1135">
        <f>IF($U1135="","",INDEX(상세표[직위],$U1135)&amp;"")</f>
        <v/>
      </c>
      <c r="M1135">
        <f>IF($U1135="","",IF(ISNUMBER(INDEX(상세표[근무일자],$U1135)),TEXT(INDEX(상세표[근무일자],$U1135),"yyyy-mm-dd"),INDEX(상세표[근무일자],$U1135)&amp;""))</f>
        <v/>
      </c>
      <c r="N1135">
        <f>IF($U1135="","",IF(ISNUMBER(INDEX(상세표[시작],$U1135)),TEXT(INDEX(상세표[시작],$U1135),"yyyy-mm-dd hh:mm"),INDEX(상세표[시작],$U1135)&amp;""))</f>
        <v/>
      </c>
      <c r="O1135">
        <f>IF($U1135="","",IF(ISNUMBER(INDEX(상세표[종료],$U1135)),TEXT(INDEX(상세표[종료],$U1135),"yyyy-mm-dd hh:mm"),INDEX(상세표[종료],$U1135)&amp;""))</f>
        <v/>
      </c>
      <c r="P1135">
        <f>IF($U1135="","",INDEX(상세표[06~07시],$U1135))</f>
        <v/>
      </c>
      <c r="Q1135">
        <f>IF($U1135="","",INDEX(상세표[07~18시],$U1135))</f>
        <v/>
      </c>
      <c r="R1135">
        <f>IF($U1135="","",INDEX(상세표[18~22시],$U1135))</f>
        <v/>
      </c>
      <c r="S1135">
        <f>IF($U1135="","",INDEX(상세표[22~06시],$U1135))</f>
        <v/>
      </c>
      <c r="T1135">
        <f>IF($U1135="","",INDEX(상세표[기록 시간외],$U1135))</f>
        <v/>
      </c>
      <c r="U1135" s="4">
        <f>IFERROR(MATCH(1130,상세표[발송순번],0),"")</f>
        <v/>
      </c>
    </row>
    <row r="1136">
      <c r="J1136">
        <f>IF($U1136="","",INDEX(상세표[사번],$U1136)&amp;"")</f>
        <v/>
      </c>
      <c r="K1136">
        <f>IF($U1136="","",INDEX(상세표[성명],$U1136)&amp;"")</f>
        <v/>
      </c>
      <c r="L1136">
        <f>IF($U1136="","",INDEX(상세표[직위],$U1136)&amp;"")</f>
        <v/>
      </c>
      <c r="M1136">
        <f>IF($U1136="","",IF(ISNUMBER(INDEX(상세표[근무일자],$U1136)),TEXT(INDEX(상세표[근무일자],$U1136),"yyyy-mm-dd"),INDEX(상세표[근무일자],$U1136)&amp;""))</f>
        <v/>
      </c>
      <c r="N1136">
        <f>IF($U1136="","",IF(ISNUMBER(INDEX(상세표[시작],$U1136)),TEXT(INDEX(상세표[시작],$U1136),"yyyy-mm-dd hh:mm"),INDEX(상세표[시작],$U1136)&amp;""))</f>
        <v/>
      </c>
      <c r="O1136">
        <f>IF($U1136="","",IF(ISNUMBER(INDEX(상세표[종료],$U1136)),TEXT(INDEX(상세표[종료],$U1136),"yyyy-mm-dd hh:mm"),INDEX(상세표[종료],$U1136)&amp;""))</f>
        <v/>
      </c>
      <c r="P1136">
        <f>IF($U1136="","",INDEX(상세표[06~07시],$U1136))</f>
        <v/>
      </c>
      <c r="Q1136">
        <f>IF($U1136="","",INDEX(상세표[07~18시],$U1136))</f>
        <v/>
      </c>
      <c r="R1136">
        <f>IF($U1136="","",INDEX(상세표[18~22시],$U1136))</f>
        <v/>
      </c>
      <c r="S1136">
        <f>IF($U1136="","",INDEX(상세표[22~06시],$U1136))</f>
        <v/>
      </c>
      <c r="T1136">
        <f>IF($U1136="","",INDEX(상세표[기록 시간외],$U1136))</f>
        <v/>
      </c>
      <c r="U1136" s="4">
        <f>IFERROR(MATCH(1131,상세표[발송순번],0),"")</f>
        <v/>
      </c>
    </row>
    <row r="1137">
      <c r="J1137">
        <f>IF($U1137="","",INDEX(상세표[사번],$U1137)&amp;"")</f>
        <v/>
      </c>
      <c r="K1137">
        <f>IF($U1137="","",INDEX(상세표[성명],$U1137)&amp;"")</f>
        <v/>
      </c>
      <c r="L1137">
        <f>IF($U1137="","",INDEX(상세표[직위],$U1137)&amp;"")</f>
        <v/>
      </c>
      <c r="M1137">
        <f>IF($U1137="","",IF(ISNUMBER(INDEX(상세표[근무일자],$U1137)),TEXT(INDEX(상세표[근무일자],$U1137),"yyyy-mm-dd"),INDEX(상세표[근무일자],$U1137)&amp;""))</f>
        <v/>
      </c>
      <c r="N1137">
        <f>IF($U1137="","",IF(ISNUMBER(INDEX(상세표[시작],$U1137)),TEXT(INDEX(상세표[시작],$U1137),"yyyy-mm-dd hh:mm"),INDEX(상세표[시작],$U1137)&amp;""))</f>
        <v/>
      </c>
      <c r="O1137">
        <f>IF($U1137="","",IF(ISNUMBER(INDEX(상세표[종료],$U1137)),TEXT(INDEX(상세표[종료],$U1137),"yyyy-mm-dd hh:mm"),INDEX(상세표[종료],$U1137)&amp;""))</f>
        <v/>
      </c>
      <c r="P1137">
        <f>IF($U1137="","",INDEX(상세표[06~07시],$U1137))</f>
        <v/>
      </c>
      <c r="Q1137">
        <f>IF($U1137="","",INDEX(상세표[07~18시],$U1137))</f>
        <v/>
      </c>
      <c r="R1137">
        <f>IF($U1137="","",INDEX(상세표[18~22시],$U1137))</f>
        <v/>
      </c>
      <c r="S1137">
        <f>IF($U1137="","",INDEX(상세표[22~06시],$U1137))</f>
        <v/>
      </c>
      <c r="T1137">
        <f>IF($U1137="","",INDEX(상세표[기록 시간외],$U1137))</f>
        <v/>
      </c>
      <c r="U1137" s="4">
        <f>IFERROR(MATCH(1132,상세표[발송순번],0),"")</f>
        <v/>
      </c>
    </row>
    <row r="1138">
      <c r="J1138">
        <f>IF($U1138="","",INDEX(상세표[사번],$U1138)&amp;"")</f>
        <v/>
      </c>
      <c r="K1138">
        <f>IF($U1138="","",INDEX(상세표[성명],$U1138)&amp;"")</f>
        <v/>
      </c>
      <c r="L1138">
        <f>IF($U1138="","",INDEX(상세표[직위],$U1138)&amp;"")</f>
        <v/>
      </c>
      <c r="M1138">
        <f>IF($U1138="","",IF(ISNUMBER(INDEX(상세표[근무일자],$U1138)),TEXT(INDEX(상세표[근무일자],$U1138),"yyyy-mm-dd"),INDEX(상세표[근무일자],$U1138)&amp;""))</f>
        <v/>
      </c>
      <c r="N1138">
        <f>IF($U1138="","",IF(ISNUMBER(INDEX(상세표[시작],$U1138)),TEXT(INDEX(상세표[시작],$U1138),"yyyy-mm-dd hh:mm"),INDEX(상세표[시작],$U1138)&amp;""))</f>
        <v/>
      </c>
      <c r="O1138">
        <f>IF($U1138="","",IF(ISNUMBER(INDEX(상세표[종료],$U1138)),TEXT(INDEX(상세표[종료],$U1138),"yyyy-mm-dd hh:mm"),INDEX(상세표[종료],$U1138)&amp;""))</f>
        <v/>
      </c>
      <c r="P1138">
        <f>IF($U1138="","",INDEX(상세표[06~07시],$U1138))</f>
        <v/>
      </c>
      <c r="Q1138">
        <f>IF($U1138="","",INDEX(상세표[07~18시],$U1138))</f>
        <v/>
      </c>
      <c r="R1138">
        <f>IF($U1138="","",INDEX(상세표[18~22시],$U1138))</f>
        <v/>
      </c>
      <c r="S1138">
        <f>IF($U1138="","",INDEX(상세표[22~06시],$U1138))</f>
        <v/>
      </c>
      <c r="T1138">
        <f>IF($U1138="","",INDEX(상세표[기록 시간외],$U1138))</f>
        <v/>
      </c>
      <c r="U1138" s="4">
        <f>IFERROR(MATCH(1133,상세표[발송순번],0),"")</f>
        <v/>
      </c>
    </row>
    <row r="1139">
      <c r="J1139">
        <f>IF($U1139="","",INDEX(상세표[사번],$U1139)&amp;"")</f>
        <v/>
      </c>
      <c r="K1139">
        <f>IF($U1139="","",INDEX(상세표[성명],$U1139)&amp;"")</f>
        <v/>
      </c>
      <c r="L1139">
        <f>IF($U1139="","",INDEX(상세표[직위],$U1139)&amp;"")</f>
        <v/>
      </c>
      <c r="M1139">
        <f>IF($U1139="","",IF(ISNUMBER(INDEX(상세표[근무일자],$U1139)),TEXT(INDEX(상세표[근무일자],$U1139),"yyyy-mm-dd"),INDEX(상세표[근무일자],$U1139)&amp;""))</f>
        <v/>
      </c>
      <c r="N1139">
        <f>IF($U1139="","",IF(ISNUMBER(INDEX(상세표[시작],$U1139)),TEXT(INDEX(상세표[시작],$U1139),"yyyy-mm-dd hh:mm"),INDEX(상세표[시작],$U1139)&amp;""))</f>
        <v/>
      </c>
      <c r="O1139">
        <f>IF($U1139="","",IF(ISNUMBER(INDEX(상세표[종료],$U1139)),TEXT(INDEX(상세표[종료],$U1139),"yyyy-mm-dd hh:mm"),INDEX(상세표[종료],$U1139)&amp;""))</f>
        <v/>
      </c>
      <c r="P1139">
        <f>IF($U1139="","",INDEX(상세표[06~07시],$U1139))</f>
        <v/>
      </c>
      <c r="Q1139">
        <f>IF($U1139="","",INDEX(상세표[07~18시],$U1139))</f>
        <v/>
      </c>
      <c r="R1139">
        <f>IF($U1139="","",INDEX(상세표[18~22시],$U1139))</f>
        <v/>
      </c>
      <c r="S1139">
        <f>IF($U1139="","",INDEX(상세표[22~06시],$U1139))</f>
        <v/>
      </c>
      <c r="T1139">
        <f>IF($U1139="","",INDEX(상세표[기록 시간외],$U1139))</f>
        <v/>
      </c>
      <c r="U1139" s="4">
        <f>IFERROR(MATCH(1134,상세표[발송순번],0),"")</f>
        <v/>
      </c>
    </row>
    <row r="1140">
      <c r="J1140">
        <f>IF($U1140="","",INDEX(상세표[사번],$U1140)&amp;"")</f>
        <v/>
      </c>
      <c r="K1140">
        <f>IF($U1140="","",INDEX(상세표[성명],$U1140)&amp;"")</f>
        <v/>
      </c>
      <c r="L1140">
        <f>IF($U1140="","",INDEX(상세표[직위],$U1140)&amp;"")</f>
        <v/>
      </c>
      <c r="M1140">
        <f>IF($U1140="","",IF(ISNUMBER(INDEX(상세표[근무일자],$U1140)),TEXT(INDEX(상세표[근무일자],$U1140),"yyyy-mm-dd"),INDEX(상세표[근무일자],$U1140)&amp;""))</f>
        <v/>
      </c>
      <c r="N1140">
        <f>IF($U1140="","",IF(ISNUMBER(INDEX(상세표[시작],$U1140)),TEXT(INDEX(상세표[시작],$U1140),"yyyy-mm-dd hh:mm"),INDEX(상세표[시작],$U1140)&amp;""))</f>
        <v/>
      </c>
      <c r="O1140">
        <f>IF($U1140="","",IF(ISNUMBER(INDEX(상세표[종료],$U1140)),TEXT(INDEX(상세표[종료],$U1140),"yyyy-mm-dd hh:mm"),INDEX(상세표[종료],$U1140)&amp;""))</f>
        <v/>
      </c>
      <c r="P1140">
        <f>IF($U1140="","",INDEX(상세표[06~07시],$U1140))</f>
        <v/>
      </c>
      <c r="Q1140">
        <f>IF($U1140="","",INDEX(상세표[07~18시],$U1140))</f>
        <v/>
      </c>
      <c r="R1140">
        <f>IF($U1140="","",INDEX(상세표[18~22시],$U1140))</f>
        <v/>
      </c>
      <c r="S1140">
        <f>IF($U1140="","",INDEX(상세표[22~06시],$U1140))</f>
        <v/>
      </c>
      <c r="T1140">
        <f>IF($U1140="","",INDEX(상세표[기록 시간외],$U1140))</f>
        <v/>
      </c>
      <c r="U1140" s="4">
        <f>IFERROR(MATCH(1135,상세표[발송순번],0),"")</f>
        <v/>
      </c>
    </row>
    <row r="1141">
      <c r="J1141">
        <f>IF($U1141="","",INDEX(상세표[사번],$U1141)&amp;"")</f>
        <v/>
      </c>
      <c r="K1141">
        <f>IF($U1141="","",INDEX(상세표[성명],$U1141)&amp;"")</f>
        <v/>
      </c>
      <c r="L1141">
        <f>IF($U1141="","",INDEX(상세표[직위],$U1141)&amp;"")</f>
        <v/>
      </c>
      <c r="M1141">
        <f>IF($U1141="","",IF(ISNUMBER(INDEX(상세표[근무일자],$U1141)),TEXT(INDEX(상세표[근무일자],$U1141),"yyyy-mm-dd"),INDEX(상세표[근무일자],$U1141)&amp;""))</f>
        <v/>
      </c>
      <c r="N1141">
        <f>IF($U1141="","",IF(ISNUMBER(INDEX(상세표[시작],$U1141)),TEXT(INDEX(상세표[시작],$U1141),"yyyy-mm-dd hh:mm"),INDEX(상세표[시작],$U1141)&amp;""))</f>
        <v/>
      </c>
      <c r="O1141">
        <f>IF($U1141="","",IF(ISNUMBER(INDEX(상세표[종료],$U1141)),TEXT(INDEX(상세표[종료],$U1141),"yyyy-mm-dd hh:mm"),INDEX(상세표[종료],$U1141)&amp;""))</f>
        <v/>
      </c>
      <c r="P1141">
        <f>IF($U1141="","",INDEX(상세표[06~07시],$U1141))</f>
        <v/>
      </c>
      <c r="Q1141">
        <f>IF($U1141="","",INDEX(상세표[07~18시],$U1141))</f>
        <v/>
      </c>
      <c r="R1141">
        <f>IF($U1141="","",INDEX(상세표[18~22시],$U1141))</f>
        <v/>
      </c>
      <c r="S1141">
        <f>IF($U1141="","",INDEX(상세표[22~06시],$U1141))</f>
        <v/>
      </c>
      <c r="T1141">
        <f>IF($U1141="","",INDEX(상세표[기록 시간외],$U1141))</f>
        <v/>
      </c>
      <c r="U1141" s="4">
        <f>IFERROR(MATCH(1136,상세표[발송순번],0),"")</f>
        <v/>
      </c>
    </row>
    <row r="1142">
      <c r="J1142">
        <f>IF($U1142="","",INDEX(상세표[사번],$U1142)&amp;"")</f>
        <v/>
      </c>
      <c r="K1142">
        <f>IF($U1142="","",INDEX(상세표[성명],$U1142)&amp;"")</f>
        <v/>
      </c>
      <c r="L1142">
        <f>IF($U1142="","",INDEX(상세표[직위],$U1142)&amp;"")</f>
        <v/>
      </c>
      <c r="M1142">
        <f>IF($U1142="","",IF(ISNUMBER(INDEX(상세표[근무일자],$U1142)),TEXT(INDEX(상세표[근무일자],$U1142),"yyyy-mm-dd"),INDEX(상세표[근무일자],$U1142)&amp;""))</f>
        <v/>
      </c>
      <c r="N1142">
        <f>IF($U1142="","",IF(ISNUMBER(INDEX(상세표[시작],$U1142)),TEXT(INDEX(상세표[시작],$U1142),"yyyy-mm-dd hh:mm"),INDEX(상세표[시작],$U1142)&amp;""))</f>
        <v/>
      </c>
      <c r="O1142">
        <f>IF($U1142="","",IF(ISNUMBER(INDEX(상세표[종료],$U1142)),TEXT(INDEX(상세표[종료],$U1142),"yyyy-mm-dd hh:mm"),INDEX(상세표[종료],$U1142)&amp;""))</f>
        <v/>
      </c>
      <c r="P1142">
        <f>IF($U1142="","",INDEX(상세표[06~07시],$U1142))</f>
        <v/>
      </c>
      <c r="Q1142">
        <f>IF($U1142="","",INDEX(상세표[07~18시],$U1142))</f>
        <v/>
      </c>
      <c r="R1142">
        <f>IF($U1142="","",INDEX(상세표[18~22시],$U1142))</f>
        <v/>
      </c>
      <c r="S1142">
        <f>IF($U1142="","",INDEX(상세표[22~06시],$U1142))</f>
        <v/>
      </c>
      <c r="T1142">
        <f>IF($U1142="","",INDEX(상세표[기록 시간외],$U1142))</f>
        <v/>
      </c>
      <c r="U1142" s="4">
        <f>IFERROR(MATCH(1137,상세표[발송순번],0),"")</f>
        <v/>
      </c>
    </row>
    <row r="1143">
      <c r="J1143">
        <f>IF($U1143="","",INDEX(상세표[사번],$U1143)&amp;"")</f>
        <v/>
      </c>
      <c r="K1143">
        <f>IF($U1143="","",INDEX(상세표[성명],$U1143)&amp;"")</f>
        <v/>
      </c>
      <c r="L1143">
        <f>IF($U1143="","",INDEX(상세표[직위],$U1143)&amp;"")</f>
        <v/>
      </c>
      <c r="M1143">
        <f>IF($U1143="","",IF(ISNUMBER(INDEX(상세표[근무일자],$U1143)),TEXT(INDEX(상세표[근무일자],$U1143),"yyyy-mm-dd"),INDEX(상세표[근무일자],$U1143)&amp;""))</f>
        <v/>
      </c>
      <c r="N1143">
        <f>IF($U1143="","",IF(ISNUMBER(INDEX(상세표[시작],$U1143)),TEXT(INDEX(상세표[시작],$U1143),"yyyy-mm-dd hh:mm"),INDEX(상세표[시작],$U1143)&amp;""))</f>
        <v/>
      </c>
      <c r="O1143">
        <f>IF($U1143="","",IF(ISNUMBER(INDEX(상세표[종료],$U1143)),TEXT(INDEX(상세표[종료],$U1143),"yyyy-mm-dd hh:mm"),INDEX(상세표[종료],$U1143)&amp;""))</f>
        <v/>
      </c>
      <c r="P1143">
        <f>IF($U1143="","",INDEX(상세표[06~07시],$U1143))</f>
        <v/>
      </c>
      <c r="Q1143">
        <f>IF($U1143="","",INDEX(상세표[07~18시],$U1143))</f>
        <v/>
      </c>
      <c r="R1143">
        <f>IF($U1143="","",INDEX(상세표[18~22시],$U1143))</f>
        <v/>
      </c>
      <c r="S1143">
        <f>IF($U1143="","",INDEX(상세표[22~06시],$U1143))</f>
        <v/>
      </c>
      <c r="T1143">
        <f>IF($U1143="","",INDEX(상세표[기록 시간외],$U1143))</f>
        <v/>
      </c>
      <c r="U1143" s="4">
        <f>IFERROR(MATCH(1138,상세표[발송순번],0),"")</f>
        <v/>
      </c>
    </row>
    <row r="1144">
      <c r="J1144">
        <f>IF($U1144="","",INDEX(상세표[사번],$U1144)&amp;"")</f>
        <v/>
      </c>
      <c r="K1144">
        <f>IF($U1144="","",INDEX(상세표[성명],$U1144)&amp;"")</f>
        <v/>
      </c>
      <c r="L1144">
        <f>IF($U1144="","",INDEX(상세표[직위],$U1144)&amp;"")</f>
        <v/>
      </c>
      <c r="M1144">
        <f>IF($U1144="","",IF(ISNUMBER(INDEX(상세표[근무일자],$U1144)),TEXT(INDEX(상세표[근무일자],$U1144),"yyyy-mm-dd"),INDEX(상세표[근무일자],$U1144)&amp;""))</f>
        <v/>
      </c>
      <c r="N1144">
        <f>IF($U1144="","",IF(ISNUMBER(INDEX(상세표[시작],$U1144)),TEXT(INDEX(상세표[시작],$U1144),"yyyy-mm-dd hh:mm"),INDEX(상세표[시작],$U1144)&amp;""))</f>
        <v/>
      </c>
      <c r="O1144">
        <f>IF($U1144="","",IF(ISNUMBER(INDEX(상세표[종료],$U1144)),TEXT(INDEX(상세표[종료],$U1144),"yyyy-mm-dd hh:mm"),INDEX(상세표[종료],$U1144)&amp;""))</f>
        <v/>
      </c>
      <c r="P1144">
        <f>IF($U1144="","",INDEX(상세표[06~07시],$U1144))</f>
        <v/>
      </c>
      <c r="Q1144">
        <f>IF($U1144="","",INDEX(상세표[07~18시],$U1144))</f>
        <v/>
      </c>
      <c r="R1144">
        <f>IF($U1144="","",INDEX(상세표[18~22시],$U1144))</f>
        <v/>
      </c>
      <c r="S1144">
        <f>IF($U1144="","",INDEX(상세표[22~06시],$U1144))</f>
        <v/>
      </c>
      <c r="T1144">
        <f>IF($U1144="","",INDEX(상세표[기록 시간외],$U1144))</f>
        <v/>
      </c>
      <c r="U1144" s="4">
        <f>IFERROR(MATCH(1139,상세표[발송순번],0),"")</f>
        <v/>
      </c>
    </row>
    <row r="1145">
      <c r="J1145">
        <f>IF($U1145="","",INDEX(상세표[사번],$U1145)&amp;"")</f>
        <v/>
      </c>
      <c r="K1145">
        <f>IF($U1145="","",INDEX(상세표[성명],$U1145)&amp;"")</f>
        <v/>
      </c>
      <c r="L1145">
        <f>IF($U1145="","",INDEX(상세표[직위],$U1145)&amp;"")</f>
        <v/>
      </c>
      <c r="M1145">
        <f>IF($U1145="","",IF(ISNUMBER(INDEX(상세표[근무일자],$U1145)),TEXT(INDEX(상세표[근무일자],$U1145),"yyyy-mm-dd"),INDEX(상세표[근무일자],$U1145)&amp;""))</f>
        <v/>
      </c>
      <c r="N1145">
        <f>IF($U1145="","",IF(ISNUMBER(INDEX(상세표[시작],$U1145)),TEXT(INDEX(상세표[시작],$U1145),"yyyy-mm-dd hh:mm"),INDEX(상세표[시작],$U1145)&amp;""))</f>
        <v/>
      </c>
      <c r="O1145">
        <f>IF($U1145="","",IF(ISNUMBER(INDEX(상세표[종료],$U1145)),TEXT(INDEX(상세표[종료],$U1145),"yyyy-mm-dd hh:mm"),INDEX(상세표[종료],$U1145)&amp;""))</f>
        <v/>
      </c>
      <c r="P1145">
        <f>IF($U1145="","",INDEX(상세표[06~07시],$U1145))</f>
        <v/>
      </c>
      <c r="Q1145">
        <f>IF($U1145="","",INDEX(상세표[07~18시],$U1145))</f>
        <v/>
      </c>
      <c r="R1145">
        <f>IF($U1145="","",INDEX(상세표[18~22시],$U1145))</f>
        <v/>
      </c>
      <c r="S1145">
        <f>IF($U1145="","",INDEX(상세표[22~06시],$U1145))</f>
        <v/>
      </c>
      <c r="T1145">
        <f>IF($U1145="","",INDEX(상세표[기록 시간외],$U1145))</f>
        <v/>
      </c>
      <c r="U1145" s="4">
        <f>IFERROR(MATCH(1140,상세표[발송순번],0),"")</f>
        <v/>
      </c>
    </row>
    <row r="1146">
      <c r="J1146">
        <f>IF($U1146="","",INDEX(상세표[사번],$U1146)&amp;"")</f>
        <v/>
      </c>
      <c r="K1146">
        <f>IF($U1146="","",INDEX(상세표[성명],$U1146)&amp;"")</f>
        <v/>
      </c>
      <c r="L1146">
        <f>IF($U1146="","",INDEX(상세표[직위],$U1146)&amp;"")</f>
        <v/>
      </c>
      <c r="M1146">
        <f>IF($U1146="","",IF(ISNUMBER(INDEX(상세표[근무일자],$U1146)),TEXT(INDEX(상세표[근무일자],$U1146),"yyyy-mm-dd"),INDEX(상세표[근무일자],$U1146)&amp;""))</f>
        <v/>
      </c>
      <c r="N1146">
        <f>IF($U1146="","",IF(ISNUMBER(INDEX(상세표[시작],$U1146)),TEXT(INDEX(상세표[시작],$U1146),"yyyy-mm-dd hh:mm"),INDEX(상세표[시작],$U1146)&amp;""))</f>
        <v/>
      </c>
      <c r="O1146">
        <f>IF($U1146="","",IF(ISNUMBER(INDEX(상세표[종료],$U1146)),TEXT(INDEX(상세표[종료],$U1146),"yyyy-mm-dd hh:mm"),INDEX(상세표[종료],$U1146)&amp;""))</f>
        <v/>
      </c>
      <c r="P1146">
        <f>IF($U1146="","",INDEX(상세표[06~07시],$U1146))</f>
        <v/>
      </c>
      <c r="Q1146">
        <f>IF($U1146="","",INDEX(상세표[07~18시],$U1146))</f>
        <v/>
      </c>
      <c r="R1146">
        <f>IF($U1146="","",INDEX(상세표[18~22시],$U1146))</f>
        <v/>
      </c>
      <c r="S1146">
        <f>IF($U1146="","",INDEX(상세표[22~06시],$U1146))</f>
        <v/>
      </c>
      <c r="T1146">
        <f>IF($U1146="","",INDEX(상세표[기록 시간외],$U1146))</f>
        <v/>
      </c>
      <c r="U1146" s="4">
        <f>IFERROR(MATCH(1141,상세표[발송순번],0),"")</f>
        <v/>
      </c>
    </row>
    <row r="1147">
      <c r="J1147">
        <f>IF($U1147="","",INDEX(상세표[사번],$U1147)&amp;"")</f>
        <v/>
      </c>
      <c r="K1147">
        <f>IF($U1147="","",INDEX(상세표[성명],$U1147)&amp;"")</f>
        <v/>
      </c>
      <c r="L1147">
        <f>IF($U1147="","",INDEX(상세표[직위],$U1147)&amp;"")</f>
        <v/>
      </c>
      <c r="M1147">
        <f>IF($U1147="","",IF(ISNUMBER(INDEX(상세표[근무일자],$U1147)),TEXT(INDEX(상세표[근무일자],$U1147),"yyyy-mm-dd"),INDEX(상세표[근무일자],$U1147)&amp;""))</f>
        <v/>
      </c>
      <c r="N1147">
        <f>IF($U1147="","",IF(ISNUMBER(INDEX(상세표[시작],$U1147)),TEXT(INDEX(상세표[시작],$U1147),"yyyy-mm-dd hh:mm"),INDEX(상세표[시작],$U1147)&amp;""))</f>
        <v/>
      </c>
      <c r="O1147">
        <f>IF($U1147="","",IF(ISNUMBER(INDEX(상세표[종료],$U1147)),TEXT(INDEX(상세표[종료],$U1147),"yyyy-mm-dd hh:mm"),INDEX(상세표[종료],$U1147)&amp;""))</f>
        <v/>
      </c>
      <c r="P1147">
        <f>IF($U1147="","",INDEX(상세표[06~07시],$U1147))</f>
        <v/>
      </c>
      <c r="Q1147">
        <f>IF($U1147="","",INDEX(상세표[07~18시],$U1147))</f>
        <v/>
      </c>
      <c r="R1147">
        <f>IF($U1147="","",INDEX(상세표[18~22시],$U1147))</f>
        <v/>
      </c>
      <c r="S1147">
        <f>IF($U1147="","",INDEX(상세표[22~06시],$U1147))</f>
        <v/>
      </c>
      <c r="T1147">
        <f>IF($U1147="","",INDEX(상세표[기록 시간외],$U1147))</f>
        <v/>
      </c>
      <c r="U1147" s="4">
        <f>IFERROR(MATCH(1142,상세표[발송순번],0),"")</f>
        <v/>
      </c>
    </row>
    <row r="1148">
      <c r="J1148">
        <f>IF($U1148="","",INDEX(상세표[사번],$U1148)&amp;"")</f>
        <v/>
      </c>
      <c r="K1148">
        <f>IF($U1148="","",INDEX(상세표[성명],$U1148)&amp;"")</f>
        <v/>
      </c>
      <c r="L1148">
        <f>IF($U1148="","",INDEX(상세표[직위],$U1148)&amp;"")</f>
        <v/>
      </c>
      <c r="M1148">
        <f>IF($U1148="","",IF(ISNUMBER(INDEX(상세표[근무일자],$U1148)),TEXT(INDEX(상세표[근무일자],$U1148),"yyyy-mm-dd"),INDEX(상세표[근무일자],$U1148)&amp;""))</f>
        <v/>
      </c>
      <c r="N1148">
        <f>IF($U1148="","",IF(ISNUMBER(INDEX(상세표[시작],$U1148)),TEXT(INDEX(상세표[시작],$U1148),"yyyy-mm-dd hh:mm"),INDEX(상세표[시작],$U1148)&amp;""))</f>
        <v/>
      </c>
      <c r="O1148">
        <f>IF($U1148="","",IF(ISNUMBER(INDEX(상세표[종료],$U1148)),TEXT(INDEX(상세표[종료],$U1148),"yyyy-mm-dd hh:mm"),INDEX(상세표[종료],$U1148)&amp;""))</f>
        <v/>
      </c>
      <c r="P1148">
        <f>IF($U1148="","",INDEX(상세표[06~07시],$U1148))</f>
        <v/>
      </c>
      <c r="Q1148">
        <f>IF($U1148="","",INDEX(상세표[07~18시],$U1148))</f>
        <v/>
      </c>
      <c r="R1148">
        <f>IF($U1148="","",INDEX(상세표[18~22시],$U1148))</f>
        <v/>
      </c>
      <c r="S1148">
        <f>IF($U1148="","",INDEX(상세표[22~06시],$U1148))</f>
        <v/>
      </c>
      <c r="T1148">
        <f>IF($U1148="","",INDEX(상세표[기록 시간외],$U1148))</f>
        <v/>
      </c>
      <c r="U1148" s="4">
        <f>IFERROR(MATCH(1143,상세표[발송순번],0),"")</f>
        <v/>
      </c>
    </row>
    <row r="1149">
      <c r="J1149">
        <f>IF($U1149="","",INDEX(상세표[사번],$U1149)&amp;"")</f>
        <v/>
      </c>
      <c r="K1149">
        <f>IF($U1149="","",INDEX(상세표[성명],$U1149)&amp;"")</f>
        <v/>
      </c>
      <c r="L1149">
        <f>IF($U1149="","",INDEX(상세표[직위],$U1149)&amp;"")</f>
        <v/>
      </c>
      <c r="M1149">
        <f>IF($U1149="","",IF(ISNUMBER(INDEX(상세표[근무일자],$U1149)),TEXT(INDEX(상세표[근무일자],$U1149),"yyyy-mm-dd"),INDEX(상세표[근무일자],$U1149)&amp;""))</f>
        <v/>
      </c>
      <c r="N1149">
        <f>IF($U1149="","",IF(ISNUMBER(INDEX(상세표[시작],$U1149)),TEXT(INDEX(상세표[시작],$U1149),"yyyy-mm-dd hh:mm"),INDEX(상세표[시작],$U1149)&amp;""))</f>
        <v/>
      </c>
      <c r="O1149">
        <f>IF($U1149="","",IF(ISNUMBER(INDEX(상세표[종료],$U1149)),TEXT(INDEX(상세표[종료],$U1149),"yyyy-mm-dd hh:mm"),INDEX(상세표[종료],$U1149)&amp;""))</f>
        <v/>
      </c>
      <c r="P1149">
        <f>IF($U1149="","",INDEX(상세표[06~07시],$U1149))</f>
        <v/>
      </c>
      <c r="Q1149">
        <f>IF($U1149="","",INDEX(상세표[07~18시],$U1149))</f>
        <v/>
      </c>
      <c r="R1149">
        <f>IF($U1149="","",INDEX(상세표[18~22시],$U1149))</f>
        <v/>
      </c>
      <c r="S1149">
        <f>IF($U1149="","",INDEX(상세표[22~06시],$U1149))</f>
        <v/>
      </c>
      <c r="T1149">
        <f>IF($U1149="","",INDEX(상세표[기록 시간외],$U1149))</f>
        <v/>
      </c>
      <c r="U1149" s="4">
        <f>IFERROR(MATCH(1144,상세표[발송순번],0),"")</f>
        <v/>
      </c>
    </row>
    <row r="1150">
      <c r="J1150">
        <f>IF($U1150="","",INDEX(상세표[사번],$U1150)&amp;"")</f>
        <v/>
      </c>
      <c r="K1150">
        <f>IF($U1150="","",INDEX(상세표[성명],$U1150)&amp;"")</f>
        <v/>
      </c>
      <c r="L1150">
        <f>IF($U1150="","",INDEX(상세표[직위],$U1150)&amp;"")</f>
        <v/>
      </c>
      <c r="M1150">
        <f>IF($U1150="","",IF(ISNUMBER(INDEX(상세표[근무일자],$U1150)),TEXT(INDEX(상세표[근무일자],$U1150),"yyyy-mm-dd"),INDEX(상세표[근무일자],$U1150)&amp;""))</f>
        <v/>
      </c>
      <c r="N1150">
        <f>IF($U1150="","",IF(ISNUMBER(INDEX(상세표[시작],$U1150)),TEXT(INDEX(상세표[시작],$U1150),"yyyy-mm-dd hh:mm"),INDEX(상세표[시작],$U1150)&amp;""))</f>
        <v/>
      </c>
      <c r="O1150">
        <f>IF($U1150="","",IF(ISNUMBER(INDEX(상세표[종료],$U1150)),TEXT(INDEX(상세표[종료],$U1150),"yyyy-mm-dd hh:mm"),INDEX(상세표[종료],$U1150)&amp;""))</f>
        <v/>
      </c>
      <c r="P1150">
        <f>IF($U1150="","",INDEX(상세표[06~07시],$U1150))</f>
        <v/>
      </c>
      <c r="Q1150">
        <f>IF($U1150="","",INDEX(상세표[07~18시],$U1150))</f>
        <v/>
      </c>
      <c r="R1150">
        <f>IF($U1150="","",INDEX(상세표[18~22시],$U1150))</f>
        <v/>
      </c>
      <c r="S1150">
        <f>IF($U1150="","",INDEX(상세표[22~06시],$U1150))</f>
        <v/>
      </c>
      <c r="T1150">
        <f>IF($U1150="","",INDEX(상세표[기록 시간외],$U1150))</f>
        <v/>
      </c>
      <c r="U1150" s="4">
        <f>IFERROR(MATCH(1145,상세표[발송순번],0),"")</f>
        <v/>
      </c>
    </row>
    <row r="1151">
      <c r="J1151">
        <f>IF($U1151="","",INDEX(상세표[사번],$U1151)&amp;"")</f>
        <v/>
      </c>
      <c r="K1151">
        <f>IF($U1151="","",INDEX(상세표[성명],$U1151)&amp;"")</f>
        <v/>
      </c>
      <c r="L1151">
        <f>IF($U1151="","",INDEX(상세표[직위],$U1151)&amp;"")</f>
        <v/>
      </c>
      <c r="M1151">
        <f>IF($U1151="","",IF(ISNUMBER(INDEX(상세표[근무일자],$U1151)),TEXT(INDEX(상세표[근무일자],$U1151),"yyyy-mm-dd"),INDEX(상세표[근무일자],$U1151)&amp;""))</f>
        <v/>
      </c>
      <c r="N1151">
        <f>IF($U1151="","",IF(ISNUMBER(INDEX(상세표[시작],$U1151)),TEXT(INDEX(상세표[시작],$U1151),"yyyy-mm-dd hh:mm"),INDEX(상세표[시작],$U1151)&amp;""))</f>
        <v/>
      </c>
      <c r="O1151">
        <f>IF($U1151="","",IF(ISNUMBER(INDEX(상세표[종료],$U1151)),TEXT(INDEX(상세표[종료],$U1151),"yyyy-mm-dd hh:mm"),INDEX(상세표[종료],$U1151)&amp;""))</f>
        <v/>
      </c>
      <c r="P1151">
        <f>IF($U1151="","",INDEX(상세표[06~07시],$U1151))</f>
        <v/>
      </c>
      <c r="Q1151">
        <f>IF($U1151="","",INDEX(상세표[07~18시],$U1151))</f>
        <v/>
      </c>
      <c r="R1151">
        <f>IF($U1151="","",INDEX(상세표[18~22시],$U1151))</f>
        <v/>
      </c>
      <c r="S1151">
        <f>IF($U1151="","",INDEX(상세표[22~06시],$U1151))</f>
        <v/>
      </c>
      <c r="T1151">
        <f>IF($U1151="","",INDEX(상세표[기록 시간외],$U1151))</f>
        <v/>
      </c>
      <c r="U1151" s="4">
        <f>IFERROR(MATCH(1146,상세표[발송순번],0),"")</f>
        <v/>
      </c>
    </row>
    <row r="1152">
      <c r="J1152">
        <f>IF($U1152="","",INDEX(상세표[사번],$U1152)&amp;"")</f>
        <v/>
      </c>
      <c r="K1152">
        <f>IF($U1152="","",INDEX(상세표[성명],$U1152)&amp;"")</f>
        <v/>
      </c>
      <c r="L1152">
        <f>IF($U1152="","",INDEX(상세표[직위],$U1152)&amp;"")</f>
        <v/>
      </c>
      <c r="M1152">
        <f>IF($U1152="","",IF(ISNUMBER(INDEX(상세표[근무일자],$U1152)),TEXT(INDEX(상세표[근무일자],$U1152),"yyyy-mm-dd"),INDEX(상세표[근무일자],$U1152)&amp;""))</f>
        <v/>
      </c>
      <c r="N1152">
        <f>IF($U1152="","",IF(ISNUMBER(INDEX(상세표[시작],$U1152)),TEXT(INDEX(상세표[시작],$U1152),"yyyy-mm-dd hh:mm"),INDEX(상세표[시작],$U1152)&amp;""))</f>
        <v/>
      </c>
      <c r="O1152">
        <f>IF($U1152="","",IF(ISNUMBER(INDEX(상세표[종료],$U1152)),TEXT(INDEX(상세표[종료],$U1152),"yyyy-mm-dd hh:mm"),INDEX(상세표[종료],$U1152)&amp;""))</f>
        <v/>
      </c>
      <c r="P1152">
        <f>IF($U1152="","",INDEX(상세표[06~07시],$U1152))</f>
        <v/>
      </c>
      <c r="Q1152">
        <f>IF($U1152="","",INDEX(상세표[07~18시],$U1152))</f>
        <v/>
      </c>
      <c r="R1152">
        <f>IF($U1152="","",INDEX(상세표[18~22시],$U1152))</f>
        <v/>
      </c>
      <c r="S1152">
        <f>IF($U1152="","",INDEX(상세표[22~06시],$U1152))</f>
        <v/>
      </c>
      <c r="T1152">
        <f>IF($U1152="","",INDEX(상세표[기록 시간외],$U1152))</f>
        <v/>
      </c>
      <c r="U1152" s="4">
        <f>IFERROR(MATCH(1147,상세표[발송순번],0),"")</f>
        <v/>
      </c>
    </row>
    <row r="1153">
      <c r="J1153">
        <f>IF($U1153="","",INDEX(상세표[사번],$U1153)&amp;"")</f>
        <v/>
      </c>
      <c r="K1153">
        <f>IF($U1153="","",INDEX(상세표[성명],$U1153)&amp;"")</f>
        <v/>
      </c>
      <c r="L1153">
        <f>IF($U1153="","",INDEX(상세표[직위],$U1153)&amp;"")</f>
        <v/>
      </c>
      <c r="M1153">
        <f>IF($U1153="","",IF(ISNUMBER(INDEX(상세표[근무일자],$U1153)),TEXT(INDEX(상세표[근무일자],$U1153),"yyyy-mm-dd"),INDEX(상세표[근무일자],$U1153)&amp;""))</f>
        <v/>
      </c>
      <c r="N1153">
        <f>IF($U1153="","",IF(ISNUMBER(INDEX(상세표[시작],$U1153)),TEXT(INDEX(상세표[시작],$U1153),"yyyy-mm-dd hh:mm"),INDEX(상세표[시작],$U1153)&amp;""))</f>
        <v/>
      </c>
      <c r="O1153">
        <f>IF($U1153="","",IF(ISNUMBER(INDEX(상세표[종료],$U1153)),TEXT(INDEX(상세표[종료],$U1153),"yyyy-mm-dd hh:mm"),INDEX(상세표[종료],$U1153)&amp;""))</f>
        <v/>
      </c>
      <c r="P1153">
        <f>IF($U1153="","",INDEX(상세표[06~07시],$U1153))</f>
        <v/>
      </c>
      <c r="Q1153">
        <f>IF($U1153="","",INDEX(상세표[07~18시],$U1153))</f>
        <v/>
      </c>
      <c r="R1153">
        <f>IF($U1153="","",INDEX(상세표[18~22시],$U1153))</f>
        <v/>
      </c>
      <c r="S1153">
        <f>IF($U1153="","",INDEX(상세표[22~06시],$U1153))</f>
        <v/>
      </c>
      <c r="T1153">
        <f>IF($U1153="","",INDEX(상세표[기록 시간외],$U1153))</f>
        <v/>
      </c>
      <c r="U1153" s="4">
        <f>IFERROR(MATCH(1148,상세표[발송순번],0),"")</f>
        <v/>
      </c>
    </row>
    <row r="1154">
      <c r="J1154">
        <f>IF($U1154="","",INDEX(상세표[사번],$U1154)&amp;"")</f>
        <v/>
      </c>
      <c r="K1154">
        <f>IF($U1154="","",INDEX(상세표[성명],$U1154)&amp;"")</f>
        <v/>
      </c>
      <c r="L1154">
        <f>IF($U1154="","",INDEX(상세표[직위],$U1154)&amp;"")</f>
        <v/>
      </c>
      <c r="M1154">
        <f>IF($U1154="","",IF(ISNUMBER(INDEX(상세표[근무일자],$U1154)),TEXT(INDEX(상세표[근무일자],$U1154),"yyyy-mm-dd"),INDEX(상세표[근무일자],$U1154)&amp;""))</f>
        <v/>
      </c>
      <c r="N1154">
        <f>IF($U1154="","",IF(ISNUMBER(INDEX(상세표[시작],$U1154)),TEXT(INDEX(상세표[시작],$U1154),"yyyy-mm-dd hh:mm"),INDEX(상세표[시작],$U1154)&amp;""))</f>
        <v/>
      </c>
      <c r="O1154">
        <f>IF($U1154="","",IF(ISNUMBER(INDEX(상세표[종료],$U1154)),TEXT(INDEX(상세표[종료],$U1154),"yyyy-mm-dd hh:mm"),INDEX(상세표[종료],$U1154)&amp;""))</f>
        <v/>
      </c>
      <c r="P1154">
        <f>IF($U1154="","",INDEX(상세표[06~07시],$U1154))</f>
        <v/>
      </c>
      <c r="Q1154">
        <f>IF($U1154="","",INDEX(상세표[07~18시],$U1154))</f>
        <v/>
      </c>
      <c r="R1154">
        <f>IF($U1154="","",INDEX(상세표[18~22시],$U1154))</f>
        <v/>
      </c>
      <c r="S1154">
        <f>IF($U1154="","",INDEX(상세표[22~06시],$U1154))</f>
        <v/>
      </c>
      <c r="T1154">
        <f>IF($U1154="","",INDEX(상세표[기록 시간외],$U1154))</f>
        <v/>
      </c>
      <c r="U1154" s="4">
        <f>IFERROR(MATCH(1149,상세표[발송순번],0),"")</f>
        <v/>
      </c>
    </row>
    <row r="1155">
      <c r="J1155">
        <f>IF($U1155="","",INDEX(상세표[사번],$U1155)&amp;"")</f>
        <v/>
      </c>
      <c r="K1155">
        <f>IF($U1155="","",INDEX(상세표[성명],$U1155)&amp;"")</f>
        <v/>
      </c>
      <c r="L1155">
        <f>IF($U1155="","",INDEX(상세표[직위],$U1155)&amp;"")</f>
        <v/>
      </c>
      <c r="M1155">
        <f>IF($U1155="","",IF(ISNUMBER(INDEX(상세표[근무일자],$U1155)),TEXT(INDEX(상세표[근무일자],$U1155),"yyyy-mm-dd"),INDEX(상세표[근무일자],$U1155)&amp;""))</f>
        <v/>
      </c>
      <c r="N1155">
        <f>IF($U1155="","",IF(ISNUMBER(INDEX(상세표[시작],$U1155)),TEXT(INDEX(상세표[시작],$U1155),"yyyy-mm-dd hh:mm"),INDEX(상세표[시작],$U1155)&amp;""))</f>
        <v/>
      </c>
      <c r="O1155">
        <f>IF($U1155="","",IF(ISNUMBER(INDEX(상세표[종료],$U1155)),TEXT(INDEX(상세표[종료],$U1155),"yyyy-mm-dd hh:mm"),INDEX(상세표[종료],$U1155)&amp;""))</f>
        <v/>
      </c>
      <c r="P1155">
        <f>IF($U1155="","",INDEX(상세표[06~07시],$U1155))</f>
        <v/>
      </c>
      <c r="Q1155">
        <f>IF($U1155="","",INDEX(상세표[07~18시],$U1155))</f>
        <v/>
      </c>
      <c r="R1155">
        <f>IF($U1155="","",INDEX(상세표[18~22시],$U1155))</f>
        <v/>
      </c>
      <c r="S1155">
        <f>IF($U1155="","",INDEX(상세표[22~06시],$U1155))</f>
        <v/>
      </c>
      <c r="T1155">
        <f>IF($U1155="","",INDEX(상세표[기록 시간외],$U1155))</f>
        <v/>
      </c>
      <c r="U1155" s="4">
        <f>IFERROR(MATCH(1150,상세표[발송순번],0),"")</f>
        <v/>
      </c>
    </row>
    <row r="1156">
      <c r="J1156">
        <f>IF($U1156="","",INDEX(상세표[사번],$U1156)&amp;"")</f>
        <v/>
      </c>
      <c r="K1156">
        <f>IF($U1156="","",INDEX(상세표[성명],$U1156)&amp;"")</f>
        <v/>
      </c>
      <c r="L1156">
        <f>IF($U1156="","",INDEX(상세표[직위],$U1156)&amp;"")</f>
        <v/>
      </c>
      <c r="M1156">
        <f>IF($U1156="","",IF(ISNUMBER(INDEX(상세표[근무일자],$U1156)),TEXT(INDEX(상세표[근무일자],$U1156),"yyyy-mm-dd"),INDEX(상세표[근무일자],$U1156)&amp;""))</f>
        <v/>
      </c>
      <c r="N1156">
        <f>IF($U1156="","",IF(ISNUMBER(INDEX(상세표[시작],$U1156)),TEXT(INDEX(상세표[시작],$U1156),"yyyy-mm-dd hh:mm"),INDEX(상세표[시작],$U1156)&amp;""))</f>
        <v/>
      </c>
      <c r="O1156">
        <f>IF($U1156="","",IF(ISNUMBER(INDEX(상세표[종료],$U1156)),TEXT(INDEX(상세표[종료],$U1156),"yyyy-mm-dd hh:mm"),INDEX(상세표[종료],$U1156)&amp;""))</f>
        <v/>
      </c>
      <c r="P1156">
        <f>IF($U1156="","",INDEX(상세표[06~07시],$U1156))</f>
        <v/>
      </c>
      <c r="Q1156">
        <f>IF($U1156="","",INDEX(상세표[07~18시],$U1156))</f>
        <v/>
      </c>
      <c r="R1156">
        <f>IF($U1156="","",INDEX(상세표[18~22시],$U1156))</f>
        <v/>
      </c>
      <c r="S1156">
        <f>IF($U1156="","",INDEX(상세표[22~06시],$U1156))</f>
        <v/>
      </c>
      <c r="T1156">
        <f>IF($U1156="","",INDEX(상세표[기록 시간외],$U1156))</f>
        <v/>
      </c>
      <c r="U1156" s="4">
        <f>IFERROR(MATCH(1151,상세표[발송순번],0),"")</f>
        <v/>
      </c>
    </row>
    <row r="1157">
      <c r="J1157">
        <f>IF($U1157="","",INDEX(상세표[사번],$U1157)&amp;"")</f>
        <v/>
      </c>
      <c r="K1157">
        <f>IF($U1157="","",INDEX(상세표[성명],$U1157)&amp;"")</f>
        <v/>
      </c>
      <c r="L1157">
        <f>IF($U1157="","",INDEX(상세표[직위],$U1157)&amp;"")</f>
        <v/>
      </c>
      <c r="M1157">
        <f>IF($U1157="","",IF(ISNUMBER(INDEX(상세표[근무일자],$U1157)),TEXT(INDEX(상세표[근무일자],$U1157),"yyyy-mm-dd"),INDEX(상세표[근무일자],$U1157)&amp;""))</f>
        <v/>
      </c>
      <c r="N1157">
        <f>IF($U1157="","",IF(ISNUMBER(INDEX(상세표[시작],$U1157)),TEXT(INDEX(상세표[시작],$U1157),"yyyy-mm-dd hh:mm"),INDEX(상세표[시작],$U1157)&amp;""))</f>
        <v/>
      </c>
      <c r="O1157">
        <f>IF($U1157="","",IF(ISNUMBER(INDEX(상세표[종료],$U1157)),TEXT(INDEX(상세표[종료],$U1157),"yyyy-mm-dd hh:mm"),INDEX(상세표[종료],$U1157)&amp;""))</f>
        <v/>
      </c>
      <c r="P1157">
        <f>IF($U1157="","",INDEX(상세표[06~07시],$U1157))</f>
        <v/>
      </c>
      <c r="Q1157">
        <f>IF($U1157="","",INDEX(상세표[07~18시],$U1157))</f>
        <v/>
      </c>
      <c r="R1157">
        <f>IF($U1157="","",INDEX(상세표[18~22시],$U1157))</f>
        <v/>
      </c>
      <c r="S1157">
        <f>IF($U1157="","",INDEX(상세표[22~06시],$U1157))</f>
        <v/>
      </c>
      <c r="T1157">
        <f>IF($U1157="","",INDEX(상세표[기록 시간외],$U1157))</f>
        <v/>
      </c>
      <c r="U1157" s="4">
        <f>IFERROR(MATCH(1152,상세표[발송순번],0),"")</f>
        <v/>
      </c>
    </row>
    <row r="1158">
      <c r="J1158">
        <f>IF($U1158="","",INDEX(상세표[사번],$U1158)&amp;"")</f>
        <v/>
      </c>
      <c r="K1158">
        <f>IF($U1158="","",INDEX(상세표[성명],$U1158)&amp;"")</f>
        <v/>
      </c>
      <c r="L1158">
        <f>IF($U1158="","",INDEX(상세표[직위],$U1158)&amp;"")</f>
        <v/>
      </c>
      <c r="M1158">
        <f>IF($U1158="","",IF(ISNUMBER(INDEX(상세표[근무일자],$U1158)),TEXT(INDEX(상세표[근무일자],$U1158),"yyyy-mm-dd"),INDEX(상세표[근무일자],$U1158)&amp;""))</f>
        <v/>
      </c>
      <c r="N1158">
        <f>IF($U1158="","",IF(ISNUMBER(INDEX(상세표[시작],$U1158)),TEXT(INDEX(상세표[시작],$U1158),"yyyy-mm-dd hh:mm"),INDEX(상세표[시작],$U1158)&amp;""))</f>
        <v/>
      </c>
      <c r="O1158">
        <f>IF($U1158="","",IF(ISNUMBER(INDEX(상세표[종료],$U1158)),TEXT(INDEX(상세표[종료],$U1158),"yyyy-mm-dd hh:mm"),INDEX(상세표[종료],$U1158)&amp;""))</f>
        <v/>
      </c>
      <c r="P1158">
        <f>IF($U1158="","",INDEX(상세표[06~07시],$U1158))</f>
        <v/>
      </c>
      <c r="Q1158">
        <f>IF($U1158="","",INDEX(상세표[07~18시],$U1158))</f>
        <v/>
      </c>
      <c r="R1158">
        <f>IF($U1158="","",INDEX(상세표[18~22시],$U1158))</f>
        <v/>
      </c>
      <c r="S1158">
        <f>IF($U1158="","",INDEX(상세표[22~06시],$U1158))</f>
        <v/>
      </c>
      <c r="T1158">
        <f>IF($U1158="","",INDEX(상세표[기록 시간외],$U1158))</f>
        <v/>
      </c>
      <c r="U1158" s="4">
        <f>IFERROR(MATCH(1153,상세표[발송순번],0),"")</f>
        <v/>
      </c>
    </row>
    <row r="1159">
      <c r="J1159">
        <f>IF($U1159="","",INDEX(상세표[사번],$U1159)&amp;"")</f>
        <v/>
      </c>
      <c r="K1159">
        <f>IF($U1159="","",INDEX(상세표[성명],$U1159)&amp;"")</f>
        <v/>
      </c>
      <c r="L1159">
        <f>IF($U1159="","",INDEX(상세표[직위],$U1159)&amp;"")</f>
        <v/>
      </c>
      <c r="M1159">
        <f>IF($U1159="","",IF(ISNUMBER(INDEX(상세표[근무일자],$U1159)),TEXT(INDEX(상세표[근무일자],$U1159),"yyyy-mm-dd"),INDEX(상세표[근무일자],$U1159)&amp;""))</f>
        <v/>
      </c>
      <c r="N1159">
        <f>IF($U1159="","",IF(ISNUMBER(INDEX(상세표[시작],$U1159)),TEXT(INDEX(상세표[시작],$U1159),"yyyy-mm-dd hh:mm"),INDEX(상세표[시작],$U1159)&amp;""))</f>
        <v/>
      </c>
      <c r="O1159">
        <f>IF($U1159="","",IF(ISNUMBER(INDEX(상세표[종료],$U1159)),TEXT(INDEX(상세표[종료],$U1159),"yyyy-mm-dd hh:mm"),INDEX(상세표[종료],$U1159)&amp;""))</f>
        <v/>
      </c>
      <c r="P1159">
        <f>IF($U1159="","",INDEX(상세표[06~07시],$U1159))</f>
        <v/>
      </c>
      <c r="Q1159">
        <f>IF($U1159="","",INDEX(상세표[07~18시],$U1159))</f>
        <v/>
      </c>
      <c r="R1159">
        <f>IF($U1159="","",INDEX(상세표[18~22시],$U1159))</f>
        <v/>
      </c>
      <c r="S1159">
        <f>IF($U1159="","",INDEX(상세표[22~06시],$U1159))</f>
        <v/>
      </c>
      <c r="T1159">
        <f>IF($U1159="","",INDEX(상세표[기록 시간외],$U1159))</f>
        <v/>
      </c>
      <c r="U1159" s="4">
        <f>IFERROR(MATCH(1154,상세표[발송순번],0),"")</f>
        <v/>
      </c>
    </row>
    <row r="1160">
      <c r="J1160">
        <f>IF($U1160="","",INDEX(상세표[사번],$U1160)&amp;"")</f>
        <v/>
      </c>
      <c r="K1160">
        <f>IF($U1160="","",INDEX(상세표[성명],$U1160)&amp;"")</f>
        <v/>
      </c>
      <c r="L1160">
        <f>IF($U1160="","",INDEX(상세표[직위],$U1160)&amp;"")</f>
        <v/>
      </c>
      <c r="M1160">
        <f>IF($U1160="","",IF(ISNUMBER(INDEX(상세표[근무일자],$U1160)),TEXT(INDEX(상세표[근무일자],$U1160),"yyyy-mm-dd"),INDEX(상세표[근무일자],$U1160)&amp;""))</f>
        <v/>
      </c>
      <c r="N1160">
        <f>IF($U1160="","",IF(ISNUMBER(INDEX(상세표[시작],$U1160)),TEXT(INDEX(상세표[시작],$U1160),"yyyy-mm-dd hh:mm"),INDEX(상세표[시작],$U1160)&amp;""))</f>
        <v/>
      </c>
      <c r="O1160">
        <f>IF($U1160="","",IF(ISNUMBER(INDEX(상세표[종료],$U1160)),TEXT(INDEX(상세표[종료],$U1160),"yyyy-mm-dd hh:mm"),INDEX(상세표[종료],$U1160)&amp;""))</f>
        <v/>
      </c>
      <c r="P1160">
        <f>IF($U1160="","",INDEX(상세표[06~07시],$U1160))</f>
        <v/>
      </c>
      <c r="Q1160">
        <f>IF($U1160="","",INDEX(상세표[07~18시],$U1160))</f>
        <v/>
      </c>
      <c r="R1160">
        <f>IF($U1160="","",INDEX(상세표[18~22시],$U1160))</f>
        <v/>
      </c>
      <c r="S1160">
        <f>IF($U1160="","",INDEX(상세표[22~06시],$U1160))</f>
        <v/>
      </c>
      <c r="T1160">
        <f>IF($U1160="","",INDEX(상세표[기록 시간외],$U1160))</f>
        <v/>
      </c>
      <c r="U1160" s="4">
        <f>IFERROR(MATCH(1155,상세표[발송순번],0),"")</f>
        <v/>
      </c>
    </row>
    <row r="1161">
      <c r="J1161">
        <f>IF($U1161="","",INDEX(상세표[사번],$U1161)&amp;"")</f>
        <v/>
      </c>
      <c r="K1161">
        <f>IF($U1161="","",INDEX(상세표[성명],$U1161)&amp;"")</f>
        <v/>
      </c>
      <c r="L1161">
        <f>IF($U1161="","",INDEX(상세표[직위],$U1161)&amp;"")</f>
        <v/>
      </c>
      <c r="M1161">
        <f>IF($U1161="","",IF(ISNUMBER(INDEX(상세표[근무일자],$U1161)),TEXT(INDEX(상세표[근무일자],$U1161),"yyyy-mm-dd"),INDEX(상세표[근무일자],$U1161)&amp;""))</f>
        <v/>
      </c>
      <c r="N1161">
        <f>IF($U1161="","",IF(ISNUMBER(INDEX(상세표[시작],$U1161)),TEXT(INDEX(상세표[시작],$U1161),"yyyy-mm-dd hh:mm"),INDEX(상세표[시작],$U1161)&amp;""))</f>
        <v/>
      </c>
      <c r="O1161">
        <f>IF($U1161="","",IF(ISNUMBER(INDEX(상세표[종료],$U1161)),TEXT(INDEX(상세표[종료],$U1161),"yyyy-mm-dd hh:mm"),INDEX(상세표[종료],$U1161)&amp;""))</f>
        <v/>
      </c>
      <c r="P1161">
        <f>IF($U1161="","",INDEX(상세표[06~07시],$U1161))</f>
        <v/>
      </c>
      <c r="Q1161">
        <f>IF($U1161="","",INDEX(상세표[07~18시],$U1161))</f>
        <v/>
      </c>
      <c r="R1161">
        <f>IF($U1161="","",INDEX(상세표[18~22시],$U1161))</f>
        <v/>
      </c>
      <c r="S1161">
        <f>IF($U1161="","",INDEX(상세표[22~06시],$U1161))</f>
        <v/>
      </c>
      <c r="T1161">
        <f>IF($U1161="","",INDEX(상세표[기록 시간외],$U1161))</f>
        <v/>
      </c>
      <c r="U1161" s="4">
        <f>IFERROR(MATCH(1156,상세표[발송순번],0),"")</f>
        <v/>
      </c>
    </row>
    <row r="1162">
      <c r="J1162">
        <f>IF($U1162="","",INDEX(상세표[사번],$U1162)&amp;"")</f>
        <v/>
      </c>
      <c r="K1162">
        <f>IF($U1162="","",INDEX(상세표[성명],$U1162)&amp;"")</f>
        <v/>
      </c>
      <c r="L1162">
        <f>IF($U1162="","",INDEX(상세표[직위],$U1162)&amp;"")</f>
        <v/>
      </c>
      <c r="M1162">
        <f>IF($U1162="","",IF(ISNUMBER(INDEX(상세표[근무일자],$U1162)),TEXT(INDEX(상세표[근무일자],$U1162),"yyyy-mm-dd"),INDEX(상세표[근무일자],$U1162)&amp;""))</f>
        <v/>
      </c>
      <c r="N1162">
        <f>IF($U1162="","",IF(ISNUMBER(INDEX(상세표[시작],$U1162)),TEXT(INDEX(상세표[시작],$U1162),"yyyy-mm-dd hh:mm"),INDEX(상세표[시작],$U1162)&amp;""))</f>
        <v/>
      </c>
      <c r="O1162">
        <f>IF($U1162="","",IF(ISNUMBER(INDEX(상세표[종료],$U1162)),TEXT(INDEX(상세표[종료],$U1162),"yyyy-mm-dd hh:mm"),INDEX(상세표[종료],$U1162)&amp;""))</f>
        <v/>
      </c>
      <c r="P1162">
        <f>IF($U1162="","",INDEX(상세표[06~07시],$U1162))</f>
        <v/>
      </c>
      <c r="Q1162">
        <f>IF($U1162="","",INDEX(상세표[07~18시],$U1162))</f>
        <v/>
      </c>
      <c r="R1162">
        <f>IF($U1162="","",INDEX(상세표[18~22시],$U1162))</f>
        <v/>
      </c>
      <c r="S1162">
        <f>IF($U1162="","",INDEX(상세표[22~06시],$U1162))</f>
        <v/>
      </c>
      <c r="T1162">
        <f>IF($U1162="","",INDEX(상세표[기록 시간외],$U1162))</f>
        <v/>
      </c>
      <c r="U1162" s="4">
        <f>IFERROR(MATCH(1157,상세표[발송순번],0),"")</f>
        <v/>
      </c>
    </row>
    <row r="1163">
      <c r="J1163">
        <f>IF($U1163="","",INDEX(상세표[사번],$U1163)&amp;"")</f>
        <v/>
      </c>
      <c r="K1163">
        <f>IF($U1163="","",INDEX(상세표[성명],$U1163)&amp;"")</f>
        <v/>
      </c>
      <c r="L1163">
        <f>IF($U1163="","",INDEX(상세표[직위],$U1163)&amp;"")</f>
        <v/>
      </c>
      <c r="M1163">
        <f>IF($U1163="","",IF(ISNUMBER(INDEX(상세표[근무일자],$U1163)),TEXT(INDEX(상세표[근무일자],$U1163),"yyyy-mm-dd"),INDEX(상세표[근무일자],$U1163)&amp;""))</f>
        <v/>
      </c>
      <c r="N1163">
        <f>IF($U1163="","",IF(ISNUMBER(INDEX(상세표[시작],$U1163)),TEXT(INDEX(상세표[시작],$U1163),"yyyy-mm-dd hh:mm"),INDEX(상세표[시작],$U1163)&amp;""))</f>
        <v/>
      </c>
      <c r="O1163">
        <f>IF($U1163="","",IF(ISNUMBER(INDEX(상세표[종료],$U1163)),TEXT(INDEX(상세표[종료],$U1163),"yyyy-mm-dd hh:mm"),INDEX(상세표[종료],$U1163)&amp;""))</f>
        <v/>
      </c>
      <c r="P1163">
        <f>IF($U1163="","",INDEX(상세표[06~07시],$U1163))</f>
        <v/>
      </c>
      <c r="Q1163">
        <f>IF($U1163="","",INDEX(상세표[07~18시],$U1163))</f>
        <v/>
      </c>
      <c r="R1163">
        <f>IF($U1163="","",INDEX(상세표[18~22시],$U1163))</f>
        <v/>
      </c>
      <c r="S1163">
        <f>IF($U1163="","",INDEX(상세표[22~06시],$U1163))</f>
        <v/>
      </c>
      <c r="T1163">
        <f>IF($U1163="","",INDEX(상세표[기록 시간외],$U1163))</f>
        <v/>
      </c>
      <c r="U1163" s="4">
        <f>IFERROR(MATCH(1158,상세표[발송순번],0),"")</f>
        <v/>
      </c>
    </row>
    <row r="1164">
      <c r="J1164">
        <f>IF($U1164="","",INDEX(상세표[사번],$U1164)&amp;"")</f>
        <v/>
      </c>
      <c r="K1164">
        <f>IF($U1164="","",INDEX(상세표[성명],$U1164)&amp;"")</f>
        <v/>
      </c>
      <c r="L1164">
        <f>IF($U1164="","",INDEX(상세표[직위],$U1164)&amp;"")</f>
        <v/>
      </c>
      <c r="M1164">
        <f>IF($U1164="","",IF(ISNUMBER(INDEX(상세표[근무일자],$U1164)),TEXT(INDEX(상세표[근무일자],$U1164),"yyyy-mm-dd"),INDEX(상세표[근무일자],$U1164)&amp;""))</f>
        <v/>
      </c>
      <c r="N1164">
        <f>IF($U1164="","",IF(ISNUMBER(INDEX(상세표[시작],$U1164)),TEXT(INDEX(상세표[시작],$U1164),"yyyy-mm-dd hh:mm"),INDEX(상세표[시작],$U1164)&amp;""))</f>
        <v/>
      </c>
      <c r="O1164">
        <f>IF($U1164="","",IF(ISNUMBER(INDEX(상세표[종료],$U1164)),TEXT(INDEX(상세표[종료],$U1164),"yyyy-mm-dd hh:mm"),INDEX(상세표[종료],$U1164)&amp;""))</f>
        <v/>
      </c>
      <c r="P1164">
        <f>IF($U1164="","",INDEX(상세표[06~07시],$U1164))</f>
        <v/>
      </c>
      <c r="Q1164">
        <f>IF($U1164="","",INDEX(상세표[07~18시],$U1164))</f>
        <v/>
      </c>
      <c r="R1164">
        <f>IF($U1164="","",INDEX(상세표[18~22시],$U1164))</f>
        <v/>
      </c>
      <c r="S1164">
        <f>IF($U1164="","",INDEX(상세표[22~06시],$U1164))</f>
        <v/>
      </c>
      <c r="T1164">
        <f>IF($U1164="","",INDEX(상세표[기록 시간외],$U1164))</f>
        <v/>
      </c>
      <c r="U1164" s="4">
        <f>IFERROR(MATCH(1159,상세표[발송순번],0),"")</f>
        <v/>
      </c>
    </row>
    <row r="1165">
      <c r="J1165">
        <f>IF($U1165="","",INDEX(상세표[사번],$U1165)&amp;"")</f>
        <v/>
      </c>
      <c r="K1165">
        <f>IF($U1165="","",INDEX(상세표[성명],$U1165)&amp;"")</f>
        <v/>
      </c>
      <c r="L1165">
        <f>IF($U1165="","",INDEX(상세표[직위],$U1165)&amp;"")</f>
        <v/>
      </c>
      <c r="M1165">
        <f>IF($U1165="","",IF(ISNUMBER(INDEX(상세표[근무일자],$U1165)),TEXT(INDEX(상세표[근무일자],$U1165),"yyyy-mm-dd"),INDEX(상세표[근무일자],$U1165)&amp;""))</f>
        <v/>
      </c>
      <c r="N1165">
        <f>IF($U1165="","",IF(ISNUMBER(INDEX(상세표[시작],$U1165)),TEXT(INDEX(상세표[시작],$U1165),"yyyy-mm-dd hh:mm"),INDEX(상세표[시작],$U1165)&amp;""))</f>
        <v/>
      </c>
      <c r="O1165">
        <f>IF($U1165="","",IF(ISNUMBER(INDEX(상세표[종료],$U1165)),TEXT(INDEX(상세표[종료],$U1165),"yyyy-mm-dd hh:mm"),INDEX(상세표[종료],$U1165)&amp;""))</f>
        <v/>
      </c>
      <c r="P1165">
        <f>IF($U1165="","",INDEX(상세표[06~07시],$U1165))</f>
        <v/>
      </c>
      <c r="Q1165">
        <f>IF($U1165="","",INDEX(상세표[07~18시],$U1165))</f>
        <v/>
      </c>
      <c r="R1165">
        <f>IF($U1165="","",INDEX(상세표[18~22시],$U1165))</f>
        <v/>
      </c>
      <c r="S1165">
        <f>IF($U1165="","",INDEX(상세표[22~06시],$U1165))</f>
        <v/>
      </c>
      <c r="T1165">
        <f>IF($U1165="","",INDEX(상세표[기록 시간외],$U1165))</f>
        <v/>
      </c>
      <c r="U1165" s="4">
        <f>IFERROR(MATCH(1160,상세표[발송순번],0),"")</f>
        <v/>
      </c>
    </row>
    <row r="1166">
      <c r="J1166">
        <f>IF($U1166="","",INDEX(상세표[사번],$U1166)&amp;"")</f>
        <v/>
      </c>
      <c r="K1166">
        <f>IF($U1166="","",INDEX(상세표[성명],$U1166)&amp;"")</f>
        <v/>
      </c>
      <c r="L1166">
        <f>IF($U1166="","",INDEX(상세표[직위],$U1166)&amp;"")</f>
        <v/>
      </c>
      <c r="M1166">
        <f>IF($U1166="","",IF(ISNUMBER(INDEX(상세표[근무일자],$U1166)),TEXT(INDEX(상세표[근무일자],$U1166),"yyyy-mm-dd"),INDEX(상세표[근무일자],$U1166)&amp;""))</f>
        <v/>
      </c>
      <c r="N1166">
        <f>IF($U1166="","",IF(ISNUMBER(INDEX(상세표[시작],$U1166)),TEXT(INDEX(상세표[시작],$U1166),"yyyy-mm-dd hh:mm"),INDEX(상세표[시작],$U1166)&amp;""))</f>
        <v/>
      </c>
      <c r="O1166">
        <f>IF($U1166="","",IF(ISNUMBER(INDEX(상세표[종료],$U1166)),TEXT(INDEX(상세표[종료],$U1166),"yyyy-mm-dd hh:mm"),INDEX(상세표[종료],$U1166)&amp;""))</f>
        <v/>
      </c>
      <c r="P1166">
        <f>IF($U1166="","",INDEX(상세표[06~07시],$U1166))</f>
        <v/>
      </c>
      <c r="Q1166">
        <f>IF($U1166="","",INDEX(상세표[07~18시],$U1166))</f>
        <v/>
      </c>
      <c r="R1166">
        <f>IF($U1166="","",INDEX(상세표[18~22시],$U1166))</f>
        <v/>
      </c>
      <c r="S1166">
        <f>IF($U1166="","",INDEX(상세표[22~06시],$U1166))</f>
        <v/>
      </c>
      <c r="T1166">
        <f>IF($U1166="","",INDEX(상세표[기록 시간외],$U1166))</f>
        <v/>
      </c>
      <c r="U1166" s="4">
        <f>IFERROR(MATCH(1161,상세표[발송순번],0),"")</f>
        <v/>
      </c>
    </row>
    <row r="1167">
      <c r="J1167">
        <f>IF($U1167="","",INDEX(상세표[사번],$U1167)&amp;"")</f>
        <v/>
      </c>
      <c r="K1167">
        <f>IF($U1167="","",INDEX(상세표[성명],$U1167)&amp;"")</f>
        <v/>
      </c>
      <c r="L1167">
        <f>IF($U1167="","",INDEX(상세표[직위],$U1167)&amp;"")</f>
        <v/>
      </c>
      <c r="M1167">
        <f>IF($U1167="","",IF(ISNUMBER(INDEX(상세표[근무일자],$U1167)),TEXT(INDEX(상세표[근무일자],$U1167),"yyyy-mm-dd"),INDEX(상세표[근무일자],$U1167)&amp;""))</f>
        <v/>
      </c>
      <c r="N1167">
        <f>IF($U1167="","",IF(ISNUMBER(INDEX(상세표[시작],$U1167)),TEXT(INDEX(상세표[시작],$U1167),"yyyy-mm-dd hh:mm"),INDEX(상세표[시작],$U1167)&amp;""))</f>
        <v/>
      </c>
      <c r="O1167">
        <f>IF($U1167="","",IF(ISNUMBER(INDEX(상세표[종료],$U1167)),TEXT(INDEX(상세표[종료],$U1167),"yyyy-mm-dd hh:mm"),INDEX(상세표[종료],$U1167)&amp;""))</f>
        <v/>
      </c>
      <c r="P1167">
        <f>IF($U1167="","",INDEX(상세표[06~07시],$U1167))</f>
        <v/>
      </c>
      <c r="Q1167">
        <f>IF($U1167="","",INDEX(상세표[07~18시],$U1167))</f>
        <v/>
      </c>
      <c r="R1167">
        <f>IF($U1167="","",INDEX(상세표[18~22시],$U1167))</f>
        <v/>
      </c>
      <c r="S1167">
        <f>IF($U1167="","",INDEX(상세표[22~06시],$U1167))</f>
        <v/>
      </c>
      <c r="T1167">
        <f>IF($U1167="","",INDEX(상세표[기록 시간외],$U1167))</f>
        <v/>
      </c>
      <c r="U1167" s="4">
        <f>IFERROR(MATCH(1162,상세표[발송순번],0),"")</f>
        <v/>
      </c>
    </row>
    <row r="1168">
      <c r="J1168">
        <f>IF($U1168="","",INDEX(상세표[사번],$U1168)&amp;"")</f>
        <v/>
      </c>
      <c r="K1168">
        <f>IF($U1168="","",INDEX(상세표[성명],$U1168)&amp;"")</f>
        <v/>
      </c>
      <c r="L1168">
        <f>IF($U1168="","",INDEX(상세표[직위],$U1168)&amp;"")</f>
        <v/>
      </c>
      <c r="M1168">
        <f>IF($U1168="","",IF(ISNUMBER(INDEX(상세표[근무일자],$U1168)),TEXT(INDEX(상세표[근무일자],$U1168),"yyyy-mm-dd"),INDEX(상세표[근무일자],$U1168)&amp;""))</f>
        <v/>
      </c>
      <c r="N1168">
        <f>IF($U1168="","",IF(ISNUMBER(INDEX(상세표[시작],$U1168)),TEXT(INDEX(상세표[시작],$U1168),"yyyy-mm-dd hh:mm"),INDEX(상세표[시작],$U1168)&amp;""))</f>
        <v/>
      </c>
      <c r="O1168">
        <f>IF($U1168="","",IF(ISNUMBER(INDEX(상세표[종료],$U1168)),TEXT(INDEX(상세표[종료],$U1168),"yyyy-mm-dd hh:mm"),INDEX(상세표[종료],$U1168)&amp;""))</f>
        <v/>
      </c>
      <c r="P1168">
        <f>IF($U1168="","",INDEX(상세표[06~07시],$U1168))</f>
        <v/>
      </c>
      <c r="Q1168">
        <f>IF($U1168="","",INDEX(상세표[07~18시],$U1168))</f>
        <v/>
      </c>
      <c r="R1168">
        <f>IF($U1168="","",INDEX(상세표[18~22시],$U1168))</f>
        <v/>
      </c>
      <c r="S1168">
        <f>IF($U1168="","",INDEX(상세표[22~06시],$U1168))</f>
        <v/>
      </c>
      <c r="T1168">
        <f>IF($U1168="","",INDEX(상세표[기록 시간외],$U1168))</f>
        <v/>
      </c>
      <c r="U1168" s="4">
        <f>IFERROR(MATCH(1163,상세표[발송순번],0),"")</f>
        <v/>
      </c>
    </row>
    <row r="1169">
      <c r="J1169">
        <f>IF($U1169="","",INDEX(상세표[사번],$U1169)&amp;"")</f>
        <v/>
      </c>
      <c r="K1169">
        <f>IF($U1169="","",INDEX(상세표[성명],$U1169)&amp;"")</f>
        <v/>
      </c>
      <c r="L1169">
        <f>IF($U1169="","",INDEX(상세표[직위],$U1169)&amp;"")</f>
        <v/>
      </c>
      <c r="M1169">
        <f>IF($U1169="","",IF(ISNUMBER(INDEX(상세표[근무일자],$U1169)),TEXT(INDEX(상세표[근무일자],$U1169),"yyyy-mm-dd"),INDEX(상세표[근무일자],$U1169)&amp;""))</f>
        <v/>
      </c>
      <c r="N1169">
        <f>IF($U1169="","",IF(ISNUMBER(INDEX(상세표[시작],$U1169)),TEXT(INDEX(상세표[시작],$U1169),"yyyy-mm-dd hh:mm"),INDEX(상세표[시작],$U1169)&amp;""))</f>
        <v/>
      </c>
      <c r="O1169">
        <f>IF($U1169="","",IF(ISNUMBER(INDEX(상세표[종료],$U1169)),TEXT(INDEX(상세표[종료],$U1169),"yyyy-mm-dd hh:mm"),INDEX(상세표[종료],$U1169)&amp;""))</f>
        <v/>
      </c>
      <c r="P1169">
        <f>IF($U1169="","",INDEX(상세표[06~07시],$U1169))</f>
        <v/>
      </c>
      <c r="Q1169">
        <f>IF($U1169="","",INDEX(상세표[07~18시],$U1169))</f>
        <v/>
      </c>
      <c r="R1169">
        <f>IF($U1169="","",INDEX(상세표[18~22시],$U1169))</f>
        <v/>
      </c>
      <c r="S1169">
        <f>IF($U1169="","",INDEX(상세표[22~06시],$U1169))</f>
        <v/>
      </c>
      <c r="T1169">
        <f>IF($U1169="","",INDEX(상세표[기록 시간외],$U1169))</f>
        <v/>
      </c>
      <c r="U1169" s="4">
        <f>IFERROR(MATCH(1164,상세표[발송순번],0),"")</f>
        <v/>
      </c>
    </row>
    <row r="1170">
      <c r="J1170">
        <f>IF($U1170="","",INDEX(상세표[사번],$U1170)&amp;"")</f>
        <v/>
      </c>
      <c r="K1170">
        <f>IF($U1170="","",INDEX(상세표[성명],$U1170)&amp;"")</f>
        <v/>
      </c>
      <c r="L1170">
        <f>IF($U1170="","",INDEX(상세표[직위],$U1170)&amp;"")</f>
        <v/>
      </c>
      <c r="M1170">
        <f>IF($U1170="","",IF(ISNUMBER(INDEX(상세표[근무일자],$U1170)),TEXT(INDEX(상세표[근무일자],$U1170),"yyyy-mm-dd"),INDEX(상세표[근무일자],$U1170)&amp;""))</f>
        <v/>
      </c>
      <c r="N1170">
        <f>IF($U1170="","",IF(ISNUMBER(INDEX(상세표[시작],$U1170)),TEXT(INDEX(상세표[시작],$U1170),"yyyy-mm-dd hh:mm"),INDEX(상세표[시작],$U1170)&amp;""))</f>
        <v/>
      </c>
      <c r="O1170">
        <f>IF($U1170="","",IF(ISNUMBER(INDEX(상세표[종료],$U1170)),TEXT(INDEX(상세표[종료],$U1170),"yyyy-mm-dd hh:mm"),INDEX(상세표[종료],$U1170)&amp;""))</f>
        <v/>
      </c>
      <c r="P1170">
        <f>IF($U1170="","",INDEX(상세표[06~07시],$U1170))</f>
        <v/>
      </c>
      <c r="Q1170">
        <f>IF($U1170="","",INDEX(상세표[07~18시],$U1170))</f>
        <v/>
      </c>
      <c r="R1170">
        <f>IF($U1170="","",INDEX(상세표[18~22시],$U1170))</f>
        <v/>
      </c>
      <c r="S1170">
        <f>IF($U1170="","",INDEX(상세표[22~06시],$U1170))</f>
        <v/>
      </c>
      <c r="T1170">
        <f>IF($U1170="","",INDEX(상세표[기록 시간외],$U1170))</f>
        <v/>
      </c>
      <c r="U1170" s="4">
        <f>IFERROR(MATCH(1165,상세표[발송순번],0),"")</f>
        <v/>
      </c>
    </row>
    <row r="1171">
      <c r="J1171">
        <f>IF($U1171="","",INDEX(상세표[사번],$U1171)&amp;"")</f>
        <v/>
      </c>
      <c r="K1171">
        <f>IF($U1171="","",INDEX(상세표[성명],$U1171)&amp;"")</f>
        <v/>
      </c>
      <c r="L1171">
        <f>IF($U1171="","",INDEX(상세표[직위],$U1171)&amp;"")</f>
        <v/>
      </c>
      <c r="M1171">
        <f>IF($U1171="","",IF(ISNUMBER(INDEX(상세표[근무일자],$U1171)),TEXT(INDEX(상세표[근무일자],$U1171),"yyyy-mm-dd"),INDEX(상세표[근무일자],$U1171)&amp;""))</f>
        <v/>
      </c>
      <c r="N1171">
        <f>IF($U1171="","",IF(ISNUMBER(INDEX(상세표[시작],$U1171)),TEXT(INDEX(상세표[시작],$U1171),"yyyy-mm-dd hh:mm"),INDEX(상세표[시작],$U1171)&amp;""))</f>
        <v/>
      </c>
      <c r="O1171">
        <f>IF($U1171="","",IF(ISNUMBER(INDEX(상세표[종료],$U1171)),TEXT(INDEX(상세표[종료],$U1171),"yyyy-mm-dd hh:mm"),INDEX(상세표[종료],$U1171)&amp;""))</f>
        <v/>
      </c>
      <c r="P1171">
        <f>IF($U1171="","",INDEX(상세표[06~07시],$U1171))</f>
        <v/>
      </c>
      <c r="Q1171">
        <f>IF($U1171="","",INDEX(상세표[07~18시],$U1171))</f>
        <v/>
      </c>
      <c r="R1171">
        <f>IF($U1171="","",INDEX(상세표[18~22시],$U1171))</f>
        <v/>
      </c>
      <c r="S1171">
        <f>IF($U1171="","",INDEX(상세표[22~06시],$U1171))</f>
        <v/>
      </c>
      <c r="T1171">
        <f>IF($U1171="","",INDEX(상세표[기록 시간외],$U1171))</f>
        <v/>
      </c>
      <c r="U1171" s="4">
        <f>IFERROR(MATCH(1166,상세표[발송순번],0),"")</f>
        <v/>
      </c>
    </row>
    <row r="1172">
      <c r="J1172">
        <f>IF($U1172="","",INDEX(상세표[사번],$U1172)&amp;"")</f>
        <v/>
      </c>
      <c r="K1172">
        <f>IF($U1172="","",INDEX(상세표[성명],$U1172)&amp;"")</f>
        <v/>
      </c>
      <c r="L1172">
        <f>IF($U1172="","",INDEX(상세표[직위],$U1172)&amp;"")</f>
        <v/>
      </c>
      <c r="M1172">
        <f>IF($U1172="","",IF(ISNUMBER(INDEX(상세표[근무일자],$U1172)),TEXT(INDEX(상세표[근무일자],$U1172),"yyyy-mm-dd"),INDEX(상세표[근무일자],$U1172)&amp;""))</f>
        <v/>
      </c>
      <c r="N1172">
        <f>IF($U1172="","",IF(ISNUMBER(INDEX(상세표[시작],$U1172)),TEXT(INDEX(상세표[시작],$U1172),"yyyy-mm-dd hh:mm"),INDEX(상세표[시작],$U1172)&amp;""))</f>
        <v/>
      </c>
      <c r="O1172">
        <f>IF($U1172="","",IF(ISNUMBER(INDEX(상세표[종료],$U1172)),TEXT(INDEX(상세표[종료],$U1172),"yyyy-mm-dd hh:mm"),INDEX(상세표[종료],$U1172)&amp;""))</f>
        <v/>
      </c>
      <c r="P1172">
        <f>IF($U1172="","",INDEX(상세표[06~07시],$U1172))</f>
        <v/>
      </c>
      <c r="Q1172">
        <f>IF($U1172="","",INDEX(상세표[07~18시],$U1172))</f>
        <v/>
      </c>
      <c r="R1172">
        <f>IF($U1172="","",INDEX(상세표[18~22시],$U1172))</f>
        <v/>
      </c>
      <c r="S1172">
        <f>IF($U1172="","",INDEX(상세표[22~06시],$U1172))</f>
        <v/>
      </c>
      <c r="T1172">
        <f>IF($U1172="","",INDEX(상세표[기록 시간외],$U1172))</f>
        <v/>
      </c>
      <c r="U1172" s="4">
        <f>IFERROR(MATCH(1167,상세표[발송순번],0),"")</f>
        <v/>
      </c>
    </row>
    <row r="1173">
      <c r="J1173">
        <f>IF($U1173="","",INDEX(상세표[사번],$U1173)&amp;"")</f>
        <v/>
      </c>
      <c r="K1173">
        <f>IF($U1173="","",INDEX(상세표[성명],$U1173)&amp;"")</f>
        <v/>
      </c>
      <c r="L1173">
        <f>IF($U1173="","",INDEX(상세표[직위],$U1173)&amp;"")</f>
        <v/>
      </c>
      <c r="M1173">
        <f>IF($U1173="","",IF(ISNUMBER(INDEX(상세표[근무일자],$U1173)),TEXT(INDEX(상세표[근무일자],$U1173),"yyyy-mm-dd"),INDEX(상세표[근무일자],$U1173)&amp;""))</f>
        <v/>
      </c>
      <c r="N1173">
        <f>IF($U1173="","",IF(ISNUMBER(INDEX(상세표[시작],$U1173)),TEXT(INDEX(상세표[시작],$U1173),"yyyy-mm-dd hh:mm"),INDEX(상세표[시작],$U1173)&amp;""))</f>
        <v/>
      </c>
      <c r="O1173">
        <f>IF($U1173="","",IF(ISNUMBER(INDEX(상세표[종료],$U1173)),TEXT(INDEX(상세표[종료],$U1173),"yyyy-mm-dd hh:mm"),INDEX(상세표[종료],$U1173)&amp;""))</f>
        <v/>
      </c>
      <c r="P1173">
        <f>IF($U1173="","",INDEX(상세표[06~07시],$U1173))</f>
        <v/>
      </c>
      <c r="Q1173">
        <f>IF($U1173="","",INDEX(상세표[07~18시],$U1173))</f>
        <v/>
      </c>
      <c r="R1173">
        <f>IF($U1173="","",INDEX(상세표[18~22시],$U1173))</f>
        <v/>
      </c>
      <c r="S1173">
        <f>IF($U1173="","",INDEX(상세표[22~06시],$U1173))</f>
        <v/>
      </c>
      <c r="T1173">
        <f>IF($U1173="","",INDEX(상세표[기록 시간외],$U1173))</f>
        <v/>
      </c>
      <c r="U1173" s="4">
        <f>IFERROR(MATCH(1168,상세표[발송순번],0),"")</f>
        <v/>
      </c>
    </row>
    <row r="1174">
      <c r="J1174">
        <f>IF($U1174="","",INDEX(상세표[사번],$U1174)&amp;"")</f>
        <v/>
      </c>
      <c r="K1174">
        <f>IF($U1174="","",INDEX(상세표[성명],$U1174)&amp;"")</f>
        <v/>
      </c>
      <c r="L1174">
        <f>IF($U1174="","",INDEX(상세표[직위],$U1174)&amp;"")</f>
        <v/>
      </c>
      <c r="M1174">
        <f>IF($U1174="","",IF(ISNUMBER(INDEX(상세표[근무일자],$U1174)),TEXT(INDEX(상세표[근무일자],$U1174),"yyyy-mm-dd"),INDEX(상세표[근무일자],$U1174)&amp;""))</f>
        <v/>
      </c>
      <c r="N1174">
        <f>IF($U1174="","",IF(ISNUMBER(INDEX(상세표[시작],$U1174)),TEXT(INDEX(상세표[시작],$U1174),"yyyy-mm-dd hh:mm"),INDEX(상세표[시작],$U1174)&amp;""))</f>
        <v/>
      </c>
      <c r="O1174">
        <f>IF($U1174="","",IF(ISNUMBER(INDEX(상세표[종료],$U1174)),TEXT(INDEX(상세표[종료],$U1174),"yyyy-mm-dd hh:mm"),INDEX(상세표[종료],$U1174)&amp;""))</f>
        <v/>
      </c>
      <c r="P1174">
        <f>IF($U1174="","",INDEX(상세표[06~07시],$U1174))</f>
        <v/>
      </c>
      <c r="Q1174">
        <f>IF($U1174="","",INDEX(상세표[07~18시],$U1174))</f>
        <v/>
      </c>
      <c r="R1174">
        <f>IF($U1174="","",INDEX(상세표[18~22시],$U1174))</f>
        <v/>
      </c>
      <c r="S1174">
        <f>IF($U1174="","",INDEX(상세표[22~06시],$U1174))</f>
        <v/>
      </c>
      <c r="T1174">
        <f>IF($U1174="","",INDEX(상세표[기록 시간외],$U1174))</f>
        <v/>
      </c>
      <c r="U1174" s="4">
        <f>IFERROR(MATCH(1169,상세표[발송순번],0),"")</f>
        <v/>
      </c>
    </row>
    <row r="1175">
      <c r="J1175">
        <f>IF($U1175="","",INDEX(상세표[사번],$U1175)&amp;"")</f>
        <v/>
      </c>
      <c r="K1175">
        <f>IF($U1175="","",INDEX(상세표[성명],$U1175)&amp;"")</f>
        <v/>
      </c>
      <c r="L1175">
        <f>IF($U1175="","",INDEX(상세표[직위],$U1175)&amp;"")</f>
        <v/>
      </c>
      <c r="M1175">
        <f>IF($U1175="","",IF(ISNUMBER(INDEX(상세표[근무일자],$U1175)),TEXT(INDEX(상세표[근무일자],$U1175),"yyyy-mm-dd"),INDEX(상세표[근무일자],$U1175)&amp;""))</f>
        <v/>
      </c>
      <c r="N1175">
        <f>IF($U1175="","",IF(ISNUMBER(INDEX(상세표[시작],$U1175)),TEXT(INDEX(상세표[시작],$U1175),"yyyy-mm-dd hh:mm"),INDEX(상세표[시작],$U1175)&amp;""))</f>
        <v/>
      </c>
      <c r="O1175">
        <f>IF($U1175="","",IF(ISNUMBER(INDEX(상세표[종료],$U1175)),TEXT(INDEX(상세표[종료],$U1175),"yyyy-mm-dd hh:mm"),INDEX(상세표[종료],$U1175)&amp;""))</f>
        <v/>
      </c>
      <c r="P1175">
        <f>IF($U1175="","",INDEX(상세표[06~07시],$U1175))</f>
        <v/>
      </c>
      <c r="Q1175">
        <f>IF($U1175="","",INDEX(상세표[07~18시],$U1175))</f>
        <v/>
      </c>
      <c r="R1175">
        <f>IF($U1175="","",INDEX(상세표[18~22시],$U1175))</f>
        <v/>
      </c>
      <c r="S1175">
        <f>IF($U1175="","",INDEX(상세표[22~06시],$U1175))</f>
        <v/>
      </c>
      <c r="T1175">
        <f>IF($U1175="","",INDEX(상세표[기록 시간외],$U1175))</f>
        <v/>
      </c>
      <c r="U1175" s="4">
        <f>IFERROR(MATCH(1170,상세표[발송순번],0),"")</f>
        <v/>
      </c>
    </row>
    <row r="1176">
      <c r="J1176">
        <f>IF($U1176="","",INDEX(상세표[사번],$U1176)&amp;"")</f>
        <v/>
      </c>
      <c r="K1176">
        <f>IF($U1176="","",INDEX(상세표[성명],$U1176)&amp;"")</f>
        <v/>
      </c>
      <c r="L1176">
        <f>IF($U1176="","",INDEX(상세표[직위],$U1176)&amp;"")</f>
        <v/>
      </c>
      <c r="M1176">
        <f>IF($U1176="","",IF(ISNUMBER(INDEX(상세표[근무일자],$U1176)),TEXT(INDEX(상세표[근무일자],$U1176),"yyyy-mm-dd"),INDEX(상세표[근무일자],$U1176)&amp;""))</f>
        <v/>
      </c>
      <c r="N1176">
        <f>IF($U1176="","",IF(ISNUMBER(INDEX(상세표[시작],$U1176)),TEXT(INDEX(상세표[시작],$U1176),"yyyy-mm-dd hh:mm"),INDEX(상세표[시작],$U1176)&amp;""))</f>
        <v/>
      </c>
      <c r="O1176">
        <f>IF($U1176="","",IF(ISNUMBER(INDEX(상세표[종료],$U1176)),TEXT(INDEX(상세표[종료],$U1176),"yyyy-mm-dd hh:mm"),INDEX(상세표[종료],$U1176)&amp;""))</f>
        <v/>
      </c>
      <c r="P1176">
        <f>IF($U1176="","",INDEX(상세표[06~07시],$U1176))</f>
        <v/>
      </c>
      <c r="Q1176">
        <f>IF($U1176="","",INDEX(상세표[07~18시],$U1176))</f>
        <v/>
      </c>
      <c r="R1176">
        <f>IF($U1176="","",INDEX(상세표[18~22시],$U1176))</f>
        <v/>
      </c>
      <c r="S1176">
        <f>IF($U1176="","",INDEX(상세표[22~06시],$U1176))</f>
        <v/>
      </c>
      <c r="T1176">
        <f>IF($U1176="","",INDEX(상세표[기록 시간외],$U1176))</f>
        <v/>
      </c>
      <c r="U1176" s="4">
        <f>IFERROR(MATCH(1171,상세표[발송순번],0),"")</f>
        <v/>
      </c>
    </row>
    <row r="1177">
      <c r="J1177">
        <f>IF($U1177="","",INDEX(상세표[사번],$U1177)&amp;"")</f>
        <v/>
      </c>
      <c r="K1177">
        <f>IF($U1177="","",INDEX(상세표[성명],$U1177)&amp;"")</f>
        <v/>
      </c>
      <c r="L1177">
        <f>IF($U1177="","",INDEX(상세표[직위],$U1177)&amp;"")</f>
        <v/>
      </c>
      <c r="M1177">
        <f>IF($U1177="","",IF(ISNUMBER(INDEX(상세표[근무일자],$U1177)),TEXT(INDEX(상세표[근무일자],$U1177),"yyyy-mm-dd"),INDEX(상세표[근무일자],$U1177)&amp;""))</f>
        <v/>
      </c>
      <c r="N1177">
        <f>IF($U1177="","",IF(ISNUMBER(INDEX(상세표[시작],$U1177)),TEXT(INDEX(상세표[시작],$U1177),"yyyy-mm-dd hh:mm"),INDEX(상세표[시작],$U1177)&amp;""))</f>
        <v/>
      </c>
      <c r="O1177">
        <f>IF($U1177="","",IF(ISNUMBER(INDEX(상세표[종료],$U1177)),TEXT(INDEX(상세표[종료],$U1177),"yyyy-mm-dd hh:mm"),INDEX(상세표[종료],$U1177)&amp;""))</f>
        <v/>
      </c>
      <c r="P1177">
        <f>IF($U1177="","",INDEX(상세표[06~07시],$U1177))</f>
        <v/>
      </c>
      <c r="Q1177">
        <f>IF($U1177="","",INDEX(상세표[07~18시],$U1177))</f>
        <v/>
      </c>
      <c r="R1177">
        <f>IF($U1177="","",INDEX(상세표[18~22시],$U1177))</f>
        <v/>
      </c>
      <c r="S1177">
        <f>IF($U1177="","",INDEX(상세표[22~06시],$U1177))</f>
        <v/>
      </c>
      <c r="T1177">
        <f>IF($U1177="","",INDEX(상세표[기록 시간외],$U1177))</f>
        <v/>
      </c>
      <c r="U1177" s="4">
        <f>IFERROR(MATCH(1172,상세표[발송순번],0),"")</f>
        <v/>
      </c>
    </row>
    <row r="1178">
      <c r="J1178">
        <f>IF($U1178="","",INDEX(상세표[사번],$U1178)&amp;"")</f>
        <v/>
      </c>
      <c r="K1178">
        <f>IF($U1178="","",INDEX(상세표[성명],$U1178)&amp;"")</f>
        <v/>
      </c>
      <c r="L1178">
        <f>IF($U1178="","",INDEX(상세표[직위],$U1178)&amp;"")</f>
        <v/>
      </c>
      <c r="M1178">
        <f>IF($U1178="","",IF(ISNUMBER(INDEX(상세표[근무일자],$U1178)),TEXT(INDEX(상세표[근무일자],$U1178),"yyyy-mm-dd"),INDEX(상세표[근무일자],$U1178)&amp;""))</f>
        <v/>
      </c>
      <c r="N1178">
        <f>IF($U1178="","",IF(ISNUMBER(INDEX(상세표[시작],$U1178)),TEXT(INDEX(상세표[시작],$U1178),"yyyy-mm-dd hh:mm"),INDEX(상세표[시작],$U1178)&amp;""))</f>
        <v/>
      </c>
      <c r="O1178">
        <f>IF($U1178="","",IF(ISNUMBER(INDEX(상세표[종료],$U1178)),TEXT(INDEX(상세표[종료],$U1178),"yyyy-mm-dd hh:mm"),INDEX(상세표[종료],$U1178)&amp;""))</f>
        <v/>
      </c>
      <c r="P1178">
        <f>IF($U1178="","",INDEX(상세표[06~07시],$U1178))</f>
        <v/>
      </c>
      <c r="Q1178">
        <f>IF($U1178="","",INDEX(상세표[07~18시],$U1178))</f>
        <v/>
      </c>
      <c r="R1178">
        <f>IF($U1178="","",INDEX(상세표[18~22시],$U1178))</f>
        <v/>
      </c>
      <c r="S1178">
        <f>IF($U1178="","",INDEX(상세표[22~06시],$U1178))</f>
        <v/>
      </c>
      <c r="T1178">
        <f>IF($U1178="","",INDEX(상세표[기록 시간외],$U1178))</f>
        <v/>
      </c>
      <c r="U1178" s="4">
        <f>IFERROR(MATCH(1173,상세표[발송순번],0),"")</f>
        <v/>
      </c>
    </row>
    <row r="1179">
      <c r="J1179">
        <f>IF($U1179="","",INDEX(상세표[사번],$U1179)&amp;"")</f>
        <v/>
      </c>
      <c r="K1179">
        <f>IF($U1179="","",INDEX(상세표[성명],$U1179)&amp;"")</f>
        <v/>
      </c>
      <c r="L1179">
        <f>IF($U1179="","",INDEX(상세표[직위],$U1179)&amp;"")</f>
        <v/>
      </c>
      <c r="M1179">
        <f>IF($U1179="","",IF(ISNUMBER(INDEX(상세표[근무일자],$U1179)),TEXT(INDEX(상세표[근무일자],$U1179),"yyyy-mm-dd"),INDEX(상세표[근무일자],$U1179)&amp;""))</f>
        <v/>
      </c>
      <c r="N1179">
        <f>IF($U1179="","",IF(ISNUMBER(INDEX(상세표[시작],$U1179)),TEXT(INDEX(상세표[시작],$U1179),"yyyy-mm-dd hh:mm"),INDEX(상세표[시작],$U1179)&amp;""))</f>
        <v/>
      </c>
      <c r="O1179">
        <f>IF($U1179="","",IF(ISNUMBER(INDEX(상세표[종료],$U1179)),TEXT(INDEX(상세표[종료],$U1179),"yyyy-mm-dd hh:mm"),INDEX(상세표[종료],$U1179)&amp;""))</f>
        <v/>
      </c>
      <c r="P1179">
        <f>IF($U1179="","",INDEX(상세표[06~07시],$U1179))</f>
        <v/>
      </c>
      <c r="Q1179">
        <f>IF($U1179="","",INDEX(상세표[07~18시],$U1179))</f>
        <v/>
      </c>
      <c r="R1179">
        <f>IF($U1179="","",INDEX(상세표[18~22시],$U1179))</f>
        <v/>
      </c>
      <c r="S1179">
        <f>IF($U1179="","",INDEX(상세표[22~06시],$U1179))</f>
        <v/>
      </c>
      <c r="T1179">
        <f>IF($U1179="","",INDEX(상세표[기록 시간외],$U1179))</f>
        <v/>
      </c>
      <c r="U1179" s="4">
        <f>IFERROR(MATCH(1174,상세표[발송순번],0),"")</f>
        <v/>
      </c>
    </row>
    <row r="1180">
      <c r="J1180">
        <f>IF($U1180="","",INDEX(상세표[사번],$U1180)&amp;"")</f>
        <v/>
      </c>
      <c r="K1180">
        <f>IF($U1180="","",INDEX(상세표[성명],$U1180)&amp;"")</f>
        <v/>
      </c>
      <c r="L1180">
        <f>IF($U1180="","",INDEX(상세표[직위],$U1180)&amp;"")</f>
        <v/>
      </c>
      <c r="M1180">
        <f>IF($U1180="","",IF(ISNUMBER(INDEX(상세표[근무일자],$U1180)),TEXT(INDEX(상세표[근무일자],$U1180),"yyyy-mm-dd"),INDEX(상세표[근무일자],$U1180)&amp;""))</f>
        <v/>
      </c>
      <c r="N1180">
        <f>IF($U1180="","",IF(ISNUMBER(INDEX(상세표[시작],$U1180)),TEXT(INDEX(상세표[시작],$U1180),"yyyy-mm-dd hh:mm"),INDEX(상세표[시작],$U1180)&amp;""))</f>
        <v/>
      </c>
      <c r="O1180">
        <f>IF($U1180="","",IF(ISNUMBER(INDEX(상세표[종료],$U1180)),TEXT(INDEX(상세표[종료],$U1180),"yyyy-mm-dd hh:mm"),INDEX(상세표[종료],$U1180)&amp;""))</f>
        <v/>
      </c>
      <c r="P1180">
        <f>IF($U1180="","",INDEX(상세표[06~07시],$U1180))</f>
        <v/>
      </c>
      <c r="Q1180">
        <f>IF($U1180="","",INDEX(상세표[07~18시],$U1180))</f>
        <v/>
      </c>
      <c r="R1180">
        <f>IF($U1180="","",INDEX(상세표[18~22시],$U1180))</f>
        <v/>
      </c>
      <c r="S1180">
        <f>IF($U1180="","",INDEX(상세표[22~06시],$U1180))</f>
        <v/>
      </c>
      <c r="T1180">
        <f>IF($U1180="","",INDEX(상세표[기록 시간외],$U1180))</f>
        <v/>
      </c>
      <c r="U1180" s="4">
        <f>IFERROR(MATCH(1175,상세표[발송순번],0),"")</f>
        <v/>
      </c>
    </row>
    <row r="1181">
      <c r="J1181">
        <f>IF($U1181="","",INDEX(상세표[사번],$U1181)&amp;"")</f>
        <v/>
      </c>
      <c r="K1181">
        <f>IF($U1181="","",INDEX(상세표[성명],$U1181)&amp;"")</f>
        <v/>
      </c>
      <c r="L1181">
        <f>IF($U1181="","",INDEX(상세표[직위],$U1181)&amp;"")</f>
        <v/>
      </c>
      <c r="M1181">
        <f>IF($U1181="","",IF(ISNUMBER(INDEX(상세표[근무일자],$U1181)),TEXT(INDEX(상세표[근무일자],$U1181),"yyyy-mm-dd"),INDEX(상세표[근무일자],$U1181)&amp;""))</f>
        <v/>
      </c>
      <c r="N1181">
        <f>IF($U1181="","",IF(ISNUMBER(INDEX(상세표[시작],$U1181)),TEXT(INDEX(상세표[시작],$U1181),"yyyy-mm-dd hh:mm"),INDEX(상세표[시작],$U1181)&amp;""))</f>
        <v/>
      </c>
      <c r="O1181">
        <f>IF($U1181="","",IF(ISNUMBER(INDEX(상세표[종료],$U1181)),TEXT(INDEX(상세표[종료],$U1181),"yyyy-mm-dd hh:mm"),INDEX(상세표[종료],$U1181)&amp;""))</f>
        <v/>
      </c>
      <c r="P1181">
        <f>IF($U1181="","",INDEX(상세표[06~07시],$U1181))</f>
        <v/>
      </c>
      <c r="Q1181">
        <f>IF($U1181="","",INDEX(상세표[07~18시],$U1181))</f>
        <v/>
      </c>
      <c r="R1181">
        <f>IF($U1181="","",INDEX(상세표[18~22시],$U1181))</f>
        <v/>
      </c>
      <c r="S1181">
        <f>IF($U1181="","",INDEX(상세표[22~06시],$U1181))</f>
        <v/>
      </c>
      <c r="T1181">
        <f>IF($U1181="","",INDEX(상세표[기록 시간외],$U1181))</f>
        <v/>
      </c>
      <c r="U1181" s="4">
        <f>IFERROR(MATCH(1176,상세표[발송순번],0),"")</f>
        <v/>
      </c>
    </row>
    <row r="1182">
      <c r="J1182">
        <f>IF($U1182="","",INDEX(상세표[사번],$U1182)&amp;"")</f>
        <v/>
      </c>
      <c r="K1182">
        <f>IF($U1182="","",INDEX(상세표[성명],$U1182)&amp;"")</f>
        <v/>
      </c>
      <c r="L1182">
        <f>IF($U1182="","",INDEX(상세표[직위],$U1182)&amp;"")</f>
        <v/>
      </c>
      <c r="M1182">
        <f>IF($U1182="","",IF(ISNUMBER(INDEX(상세표[근무일자],$U1182)),TEXT(INDEX(상세표[근무일자],$U1182),"yyyy-mm-dd"),INDEX(상세표[근무일자],$U1182)&amp;""))</f>
        <v/>
      </c>
      <c r="N1182">
        <f>IF($U1182="","",IF(ISNUMBER(INDEX(상세표[시작],$U1182)),TEXT(INDEX(상세표[시작],$U1182),"yyyy-mm-dd hh:mm"),INDEX(상세표[시작],$U1182)&amp;""))</f>
        <v/>
      </c>
      <c r="O1182">
        <f>IF($U1182="","",IF(ISNUMBER(INDEX(상세표[종료],$U1182)),TEXT(INDEX(상세표[종료],$U1182),"yyyy-mm-dd hh:mm"),INDEX(상세표[종료],$U1182)&amp;""))</f>
        <v/>
      </c>
      <c r="P1182">
        <f>IF($U1182="","",INDEX(상세표[06~07시],$U1182))</f>
        <v/>
      </c>
      <c r="Q1182">
        <f>IF($U1182="","",INDEX(상세표[07~18시],$U1182))</f>
        <v/>
      </c>
      <c r="R1182">
        <f>IF($U1182="","",INDEX(상세표[18~22시],$U1182))</f>
        <v/>
      </c>
      <c r="S1182">
        <f>IF($U1182="","",INDEX(상세표[22~06시],$U1182))</f>
        <v/>
      </c>
      <c r="T1182">
        <f>IF($U1182="","",INDEX(상세표[기록 시간외],$U1182))</f>
        <v/>
      </c>
      <c r="U1182" s="4">
        <f>IFERROR(MATCH(1177,상세표[발송순번],0),"")</f>
        <v/>
      </c>
    </row>
    <row r="1183">
      <c r="J1183">
        <f>IF($U1183="","",INDEX(상세표[사번],$U1183)&amp;"")</f>
        <v/>
      </c>
      <c r="K1183">
        <f>IF($U1183="","",INDEX(상세표[성명],$U1183)&amp;"")</f>
        <v/>
      </c>
      <c r="L1183">
        <f>IF($U1183="","",INDEX(상세표[직위],$U1183)&amp;"")</f>
        <v/>
      </c>
      <c r="M1183">
        <f>IF($U1183="","",IF(ISNUMBER(INDEX(상세표[근무일자],$U1183)),TEXT(INDEX(상세표[근무일자],$U1183),"yyyy-mm-dd"),INDEX(상세표[근무일자],$U1183)&amp;""))</f>
        <v/>
      </c>
      <c r="N1183">
        <f>IF($U1183="","",IF(ISNUMBER(INDEX(상세표[시작],$U1183)),TEXT(INDEX(상세표[시작],$U1183),"yyyy-mm-dd hh:mm"),INDEX(상세표[시작],$U1183)&amp;""))</f>
        <v/>
      </c>
      <c r="O1183">
        <f>IF($U1183="","",IF(ISNUMBER(INDEX(상세표[종료],$U1183)),TEXT(INDEX(상세표[종료],$U1183),"yyyy-mm-dd hh:mm"),INDEX(상세표[종료],$U1183)&amp;""))</f>
        <v/>
      </c>
      <c r="P1183">
        <f>IF($U1183="","",INDEX(상세표[06~07시],$U1183))</f>
        <v/>
      </c>
      <c r="Q1183">
        <f>IF($U1183="","",INDEX(상세표[07~18시],$U1183))</f>
        <v/>
      </c>
      <c r="R1183">
        <f>IF($U1183="","",INDEX(상세표[18~22시],$U1183))</f>
        <v/>
      </c>
      <c r="S1183">
        <f>IF($U1183="","",INDEX(상세표[22~06시],$U1183))</f>
        <v/>
      </c>
      <c r="T1183">
        <f>IF($U1183="","",INDEX(상세표[기록 시간외],$U1183))</f>
        <v/>
      </c>
      <c r="U1183" s="4">
        <f>IFERROR(MATCH(1178,상세표[발송순번],0),"")</f>
        <v/>
      </c>
    </row>
    <row r="1184">
      <c r="J1184">
        <f>IF($U1184="","",INDEX(상세표[사번],$U1184)&amp;"")</f>
        <v/>
      </c>
      <c r="K1184">
        <f>IF($U1184="","",INDEX(상세표[성명],$U1184)&amp;"")</f>
        <v/>
      </c>
      <c r="L1184">
        <f>IF($U1184="","",INDEX(상세표[직위],$U1184)&amp;"")</f>
        <v/>
      </c>
      <c r="M1184">
        <f>IF($U1184="","",IF(ISNUMBER(INDEX(상세표[근무일자],$U1184)),TEXT(INDEX(상세표[근무일자],$U1184),"yyyy-mm-dd"),INDEX(상세표[근무일자],$U1184)&amp;""))</f>
        <v/>
      </c>
      <c r="N1184">
        <f>IF($U1184="","",IF(ISNUMBER(INDEX(상세표[시작],$U1184)),TEXT(INDEX(상세표[시작],$U1184),"yyyy-mm-dd hh:mm"),INDEX(상세표[시작],$U1184)&amp;""))</f>
        <v/>
      </c>
      <c r="O1184">
        <f>IF($U1184="","",IF(ISNUMBER(INDEX(상세표[종료],$U1184)),TEXT(INDEX(상세표[종료],$U1184),"yyyy-mm-dd hh:mm"),INDEX(상세표[종료],$U1184)&amp;""))</f>
        <v/>
      </c>
      <c r="P1184">
        <f>IF($U1184="","",INDEX(상세표[06~07시],$U1184))</f>
        <v/>
      </c>
      <c r="Q1184">
        <f>IF($U1184="","",INDEX(상세표[07~18시],$U1184))</f>
        <v/>
      </c>
      <c r="R1184">
        <f>IF($U1184="","",INDEX(상세표[18~22시],$U1184))</f>
        <v/>
      </c>
      <c r="S1184">
        <f>IF($U1184="","",INDEX(상세표[22~06시],$U1184))</f>
        <v/>
      </c>
      <c r="T1184">
        <f>IF($U1184="","",INDEX(상세표[기록 시간외],$U1184))</f>
        <v/>
      </c>
      <c r="U1184" s="4">
        <f>IFERROR(MATCH(1179,상세표[발송순번],0),"")</f>
        <v/>
      </c>
    </row>
    <row r="1185">
      <c r="J1185">
        <f>IF($U1185="","",INDEX(상세표[사번],$U1185)&amp;"")</f>
        <v/>
      </c>
      <c r="K1185">
        <f>IF($U1185="","",INDEX(상세표[성명],$U1185)&amp;"")</f>
        <v/>
      </c>
      <c r="L1185">
        <f>IF($U1185="","",INDEX(상세표[직위],$U1185)&amp;"")</f>
        <v/>
      </c>
      <c r="M1185">
        <f>IF($U1185="","",IF(ISNUMBER(INDEX(상세표[근무일자],$U1185)),TEXT(INDEX(상세표[근무일자],$U1185),"yyyy-mm-dd"),INDEX(상세표[근무일자],$U1185)&amp;""))</f>
        <v/>
      </c>
      <c r="N1185">
        <f>IF($U1185="","",IF(ISNUMBER(INDEX(상세표[시작],$U1185)),TEXT(INDEX(상세표[시작],$U1185),"yyyy-mm-dd hh:mm"),INDEX(상세표[시작],$U1185)&amp;""))</f>
        <v/>
      </c>
      <c r="O1185">
        <f>IF($U1185="","",IF(ISNUMBER(INDEX(상세표[종료],$U1185)),TEXT(INDEX(상세표[종료],$U1185),"yyyy-mm-dd hh:mm"),INDEX(상세표[종료],$U1185)&amp;""))</f>
        <v/>
      </c>
      <c r="P1185">
        <f>IF($U1185="","",INDEX(상세표[06~07시],$U1185))</f>
        <v/>
      </c>
      <c r="Q1185">
        <f>IF($U1185="","",INDEX(상세표[07~18시],$U1185))</f>
        <v/>
      </c>
      <c r="R1185">
        <f>IF($U1185="","",INDEX(상세표[18~22시],$U1185))</f>
        <v/>
      </c>
      <c r="S1185">
        <f>IF($U1185="","",INDEX(상세표[22~06시],$U1185))</f>
        <v/>
      </c>
      <c r="T1185">
        <f>IF($U1185="","",INDEX(상세표[기록 시간외],$U1185))</f>
        <v/>
      </c>
      <c r="U1185" s="4">
        <f>IFERROR(MATCH(1180,상세표[발송순번],0),"")</f>
        <v/>
      </c>
    </row>
    <row r="1186">
      <c r="J1186">
        <f>IF($U1186="","",INDEX(상세표[사번],$U1186)&amp;"")</f>
        <v/>
      </c>
      <c r="K1186">
        <f>IF($U1186="","",INDEX(상세표[성명],$U1186)&amp;"")</f>
        <v/>
      </c>
      <c r="L1186">
        <f>IF($U1186="","",INDEX(상세표[직위],$U1186)&amp;"")</f>
        <v/>
      </c>
      <c r="M1186">
        <f>IF($U1186="","",IF(ISNUMBER(INDEX(상세표[근무일자],$U1186)),TEXT(INDEX(상세표[근무일자],$U1186),"yyyy-mm-dd"),INDEX(상세표[근무일자],$U1186)&amp;""))</f>
        <v/>
      </c>
      <c r="N1186">
        <f>IF($U1186="","",IF(ISNUMBER(INDEX(상세표[시작],$U1186)),TEXT(INDEX(상세표[시작],$U1186),"yyyy-mm-dd hh:mm"),INDEX(상세표[시작],$U1186)&amp;""))</f>
        <v/>
      </c>
      <c r="O1186">
        <f>IF($U1186="","",IF(ISNUMBER(INDEX(상세표[종료],$U1186)),TEXT(INDEX(상세표[종료],$U1186),"yyyy-mm-dd hh:mm"),INDEX(상세표[종료],$U1186)&amp;""))</f>
        <v/>
      </c>
      <c r="P1186">
        <f>IF($U1186="","",INDEX(상세표[06~07시],$U1186))</f>
        <v/>
      </c>
      <c r="Q1186">
        <f>IF($U1186="","",INDEX(상세표[07~18시],$U1186))</f>
        <v/>
      </c>
      <c r="R1186">
        <f>IF($U1186="","",INDEX(상세표[18~22시],$U1186))</f>
        <v/>
      </c>
      <c r="S1186">
        <f>IF($U1186="","",INDEX(상세표[22~06시],$U1186))</f>
        <v/>
      </c>
      <c r="T1186">
        <f>IF($U1186="","",INDEX(상세표[기록 시간외],$U1186))</f>
        <v/>
      </c>
      <c r="U1186" s="4">
        <f>IFERROR(MATCH(1181,상세표[발송순번],0),"")</f>
        <v/>
      </c>
    </row>
    <row r="1187">
      <c r="J1187">
        <f>IF($U1187="","",INDEX(상세표[사번],$U1187)&amp;"")</f>
        <v/>
      </c>
      <c r="K1187">
        <f>IF($U1187="","",INDEX(상세표[성명],$U1187)&amp;"")</f>
        <v/>
      </c>
      <c r="L1187">
        <f>IF($U1187="","",INDEX(상세표[직위],$U1187)&amp;"")</f>
        <v/>
      </c>
      <c r="M1187">
        <f>IF($U1187="","",IF(ISNUMBER(INDEX(상세표[근무일자],$U1187)),TEXT(INDEX(상세표[근무일자],$U1187),"yyyy-mm-dd"),INDEX(상세표[근무일자],$U1187)&amp;""))</f>
        <v/>
      </c>
      <c r="N1187">
        <f>IF($U1187="","",IF(ISNUMBER(INDEX(상세표[시작],$U1187)),TEXT(INDEX(상세표[시작],$U1187),"yyyy-mm-dd hh:mm"),INDEX(상세표[시작],$U1187)&amp;""))</f>
        <v/>
      </c>
      <c r="O1187">
        <f>IF($U1187="","",IF(ISNUMBER(INDEX(상세표[종료],$U1187)),TEXT(INDEX(상세표[종료],$U1187),"yyyy-mm-dd hh:mm"),INDEX(상세표[종료],$U1187)&amp;""))</f>
        <v/>
      </c>
      <c r="P1187">
        <f>IF($U1187="","",INDEX(상세표[06~07시],$U1187))</f>
        <v/>
      </c>
      <c r="Q1187">
        <f>IF($U1187="","",INDEX(상세표[07~18시],$U1187))</f>
        <v/>
      </c>
      <c r="R1187">
        <f>IF($U1187="","",INDEX(상세표[18~22시],$U1187))</f>
        <v/>
      </c>
      <c r="S1187">
        <f>IF($U1187="","",INDEX(상세표[22~06시],$U1187))</f>
        <v/>
      </c>
      <c r="T1187">
        <f>IF($U1187="","",INDEX(상세표[기록 시간외],$U1187))</f>
        <v/>
      </c>
      <c r="U1187" s="4">
        <f>IFERROR(MATCH(1182,상세표[발송순번],0),"")</f>
        <v/>
      </c>
    </row>
    <row r="1188">
      <c r="J1188">
        <f>IF($U1188="","",INDEX(상세표[사번],$U1188)&amp;"")</f>
        <v/>
      </c>
      <c r="K1188">
        <f>IF($U1188="","",INDEX(상세표[성명],$U1188)&amp;"")</f>
        <v/>
      </c>
      <c r="L1188">
        <f>IF($U1188="","",INDEX(상세표[직위],$U1188)&amp;"")</f>
        <v/>
      </c>
      <c r="M1188">
        <f>IF($U1188="","",IF(ISNUMBER(INDEX(상세표[근무일자],$U1188)),TEXT(INDEX(상세표[근무일자],$U1188),"yyyy-mm-dd"),INDEX(상세표[근무일자],$U1188)&amp;""))</f>
        <v/>
      </c>
      <c r="N1188">
        <f>IF($U1188="","",IF(ISNUMBER(INDEX(상세표[시작],$U1188)),TEXT(INDEX(상세표[시작],$U1188),"yyyy-mm-dd hh:mm"),INDEX(상세표[시작],$U1188)&amp;""))</f>
        <v/>
      </c>
      <c r="O1188">
        <f>IF($U1188="","",IF(ISNUMBER(INDEX(상세표[종료],$U1188)),TEXT(INDEX(상세표[종료],$U1188),"yyyy-mm-dd hh:mm"),INDEX(상세표[종료],$U1188)&amp;""))</f>
        <v/>
      </c>
      <c r="P1188">
        <f>IF($U1188="","",INDEX(상세표[06~07시],$U1188))</f>
        <v/>
      </c>
      <c r="Q1188">
        <f>IF($U1188="","",INDEX(상세표[07~18시],$U1188))</f>
        <v/>
      </c>
      <c r="R1188">
        <f>IF($U1188="","",INDEX(상세표[18~22시],$U1188))</f>
        <v/>
      </c>
      <c r="S1188">
        <f>IF($U1188="","",INDEX(상세표[22~06시],$U1188))</f>
        <v/>
      </c>
      <c r="T1188">
        <f>IF($U1188="","",INDEX(상세표[기록 시간외],$U1188))</f>
        <v/>
      </c>
      <c r="U1188" s="4">
        <f>IFERROR(MATCH(1183,상세표[발송순번],0),"")</f>
        <v/>
      </c>
    </row>
    <row r="1189">
      <c r="J1189">
        <f>IF($U1189="","",INDEX(상세표[사번],$U1189)&amp;"")</f>
        <v/>
      </c>
      <c r="K1189">
        <f>IF($U1189="","",INDEX(상세표[성명],$U1189)&amp;"")</f>
        <v/>
      </c>
      <c r="L1189">
        <f>IF($U1189="","",INDEX(상세표[직위],$U1189)&amp;"")</f>
        <v/>
      </c>
      <c r="M1189">
        <f>IF($U1189="","",IF(ISNUMBER(INDEX(상세표[근무일자],$U1189)),TEXT(INDEX(상세표[근무일자],$U1189),"yyyy-mm-dd"),INDEX(상세표[근무일자],$U1189)&amp;""))</f>
        <v/>
      </c>
      <c r="N1189">
        <f>IF($U1189="","",IF(ISNUMBER(INDEX(상세표[시작],$U1189)),TEXT(INDEX(상세표[시작],$U1189),"yyyy-mm-dd hh:mm"),INDEX(상세표[시작],$U1189)&amp;""))</f>
        <v/>
      </c>
      <c r="O1189">
        <f>IF($U1189="","",IF(ISNUMBER(INDEX(상세표[종료],$U1189)),TEXT(INDEX(상세표[종료],$U1189),"yyyy-mm-dd hh:mm"),INDEX(상세표[종료],$U1189)&amp;""))</f>
        <v/>
      </c>
      <c r="P1189">
        <f>IF($U1189="","",INDEX(상세표[06~07시],$U1189))</f>
        <v/>
      </c>
      <c r="Q1189">
        <f>IF($U1189="","",INDEX(상세표[07~18시],$U1189))</f>
        <v/>
      </c>
      <c r="R1189">
        <f>IF($U1189="","",INDEX(상세표[18~22시],$U1189))</f>
        <v/>
      </c>
      <c r="S1189">
        <f>IF($U1189="","",INDEX(상세표[22~06시],$U1189))</f>
        <v/>
      </c>
      <c r="T1189">
        <f>IF($U1189="","",INDEX(상세표[기록 시간외],$U1189))</f>
        <v/>
      </c>
      <c r="U1189" s="4">
        <f>IFERROR(MATCH(1184,상세표[발송순번],0),"")</f>
        <v/>
      </c>
    </row>
    <row r="1190">
      <c r="J1190">
        <f>IF($U1190="","",INDEX(상세표[사번],$U1190)&amp;"")</f>
        <v/>
      </c>
      <c r="K1190">
        <f>IF($U1190="","",INDEX(상세표[성명],$U1190)&amp;"")</f>
        <v/>
      </c>
      <c r="L1190">
        <f>IF($U1190="","",INDEX(상세표[직위],$U1190)&amp;"")</f>
        <v/>
      </c>
      <c r="M1190">
        <f>IF($U1190="","",IF(ISNUMBER(INDEX(상세표[근무일자],$U1190)),TEXT(INDEX(상세표[근무일자],$U1190),"yyyy-mm-dd"),INDEX(상세표[근무일자],$U1190)&amp;""))</f>
        <v/>
      </c>
      <c r="N1190">
        <f>IF($U1190="","",IF(ISNUMBER(INDEX(상세표[시작],$U1190)),TEXT(INDEX(상세표[시작],$U1190),"yyyy-mm-dd hh:mm"),INDEX(상세표[시작],$U1190)&amp;""))</f>
        <v/>
      </c>
      <c r="O1190">
        <f>IF($U1190="","",IF(ISNUMBER(INDEX(상세표[종료],$U1190)),TEXT(INDEX(상세표[종료],$U1190),"yyyy-mm-dd hh:mm"),INDEX(상세표[종료],$U1190)&amp;""))</f>
        <v/>
      </c>
      <c r="P1190">
        <f>IF($U1190="","",INDEX(상세표[06~07시],$U1190))</f>
        <v/>
      </c>
      <c r="Q1190">
        <f>IF($U1190="","",INDEX(상세표[07~18시],$U1190))</f>
        <v/>
      </c>
      <c r="R1190">
        <f>IF($U1190="","",INDEX(상세표[18~22시],$U1190))</f>
        <v/>
      </c>
      <c r="S1190">
        <f>IF($U1190="","",INDEX(상세표[22~06시],$U1190))</f>
        <v/>
      </c>
      <c r="T1190">
        <f>IF($U1190="","",INDEX(상세표[기록 시간외],$U1190))</f>
        <v/>
      </c>
      <c r="U1190" s="4">
        <f>IFERROR(MATCH(1185,상세표[발송순번],0),"")</f>
        <v/>
      </c>
    </row>
    <row r="1191">
      <c r="J1191">
        <f>IF($U1191="","",INDEX(상세표[사번],$U1191)&amp;"")</f>
        <v/>
      </c>
      <c r="K1191">
        <f>IF($U1191="","",INDEX(상세표[성명],$U1191)&amp;"")</f>
        <v/>
      </c>
      <c r="L1191">
        <f>IF($U1191="","",INDEX(상세표[직위],$U1191)&amp;"")</f>
        <v/>
      </c>
      <c r="M1191">
        <f>IF($U1191="","",IF(ISNUMBER(INDEX(상세표[근무일자],$U1191)),TEXT(INDEX(상세표[근무일자],$U1191),"yyyy-mm-dd"),INDEX(상세표[근무일자],$U1191)&amp;""))</f>
        <v/>
      </c>
      <c r="N1191">
        <f>IF($U1191="","",IF(ISNUMBER(INDEX(상세표[시작],$U1191)),TEXT(INDEX(상세표[시작],$U1191),"yyyy-mm-dd hh:mm"),INDEX(상세표[시작],$U1191)&amp;""))</f>
        <v/>
      </c>
      <c r="O1191">
        <f>IF($U1191="","",IF(ISNUMBER(INDEX(상세표[종료],$U1191)),TEXT(INDEX(상세표[종료],$U1191),"yyyy-mm-dd hh:mm"),INDEX(상세표[종료],$U1191)&amp;""))</f>
        <v/>
      </c>
      <c r="P1191">
        <f>IF($U1191="","",INDEX(상세표[06~07시],$U1191))</f>
        <v/>
      </c>
      <c r="Q1191">
        <f>IF($U1191="","",INDEX(상세표[07~18시],$U1191))</f>
        <v/>
      </c>
      <c r="R1191">
        <f>IF($U1191="","",INDEX(상세표[18~22시],$U1191))</f>
        <v/>
      </c>
      <c r="S1191">
        <f>IF($U1191="","",INDEX(상세표[22~06시],$U1191))</f>
        <v/>
      </c>
      <c r="T1191">
        <f>IF($U1191="","",INDEX(상세표[기록 시간외],$U1191))</f>
        <v/>
      </c>
      <c r="U1191" s="4">
        <f>IFERROR(MATCH(1186,상세표[발송순번],0),"")</f>
        <v/>
      </c>
    </row>
    <row r="1192">
      <c r="J1192">
        <f>IF($U1192="","",INDEX(상세표[사번],$U1192)&amp;"")</f>
        <v/>
      </c>
      <c r="K1192">
        <f>IF($U1192="","",INDEX(상세표[성명],$U1192)&amp;"")</f>
        <v/>
      </c>
      <c r="L1192">
        <f>IF($U1192="","",INDEX(상세표[직위],$U1192)&amp;"")</f>
        <v/>
      </c>
      <c r="M1192">
        <f>IF($U1192="","",IF(ISNUMBER(INDEX(상세표[근무일자],$U1192)),TEXT(INDEX(상세표[근무일자],$U1192),"yyyy-mm-dd"),INDEX(상세표[근무일자],$U1192)&amp;""))</f>
        <v/>
      </c>
      <c r="N1192">
        <f>IF($U1192="","",IF(ISNUMBER(INDEX(상세표[시작],$U1192)),TEXT(INDEX(상세표[시작],$U1192),"yyyy-mm-dd hh:mm"),INDEX(상세표[시작],$U1192)&amp;""))</f>
        <v/>
      </c>
      <c r="O1192">
        <f>IF($U1192="","",IF(ISNUMBER(INDEX(상세표[종료],$U1192)),TEXT(INDEX(상세표[종료],$U1192),"yyyy-mm-dd hh:mm"),INDEX(상세표[종료],$U1192)&amp;""))</f>
        <v/>
      </c>
      <c r="P1192">
        <f>IF($U1192="","",INDEX(상세표[06~07시],$U1192))</f>
        <v/>
      </c>
      <c r="Q1192">
        <f>IF($U1192="","",INDEX(상세표[07~18시],$U1192))</f>
        <v/>
      </c>
      <c r="R1192">
        <f>IF($U1192="","",INDEX(상세표[18~22시],$U1192))</f>
        <v/>
      </c>
      <c r="S1192">
        <f>IF($U1192="","",INDEX(상세표[22~06시],$U1192))</f>
        <v/>
      </c>
      <c r="T1192">
        <f>IF($U1192="","",INDEX(상세표[기록 시간외],$U1192))</f>
        <v/>
      </c>
      <c r="U1192" s="4">
        <f>IFERROR(MATCH(1187,상세표[발송순번],0),"")</f>
        <v/>
      </c>
    </row>
    <row r="1193">
      <c r="J1193">
        <f>IF($U1193="","",INDEX(상세표[사번],$U1193)&amp;"")</f>
        <v/>
      </c>
      <c r="K1193">
        <f>IF($U1193="","",INDEX(상세표[성명],$U1193)&amp;"")</f>
        <v/>
      </c>
      <c r="L1193">
        <f>IF($U1193="","",INDEX(상세표[직위],$U1193)&amp;"")</f>
        <v/>
      </c>
      <c r="M1193">
        <f>IF($U1193="","",IF(ISNUMBER(INDEX(상세표[근무일자],$U1193)),TEXT(INDEX(상세표[근무일자],$U1193),"yyyy-mm-dd"),INDEX(상세표[근무일자],$U1193)&amp;""))</f>
        <v/>
      </c>
      <c r="N1193">
        <f>IF($U1193="","",IF(ISNUMBER(INDEX(상세표[시작],$U1193)),TEXT(INDEX(상세표[시작],$U1193),"yyyy-mm-dd hh:mm"),INDEX(상세표[시작],$U1193)&amp;""))</f>
        <v/>
      </c>
      <c r="O1193">
        <f>IF($U1193="","",IF(ISNUMBER(INDEX(상세표[종료],$U1193)),TEXT(INDEX(상세표[종료],$U1193),"yyyy-mm-dd hh:mm"),INDEX(상세표[종료],$U1193)&amp;""))</f>
        <v/>
      </c>
      <c r="P1193">
        <f>IF($U1193="","",INDEX(상세표[06~07시],$U1193))</f>
        <v/>
      </c>
      <c r="Q1193">
        <f>IF($U1193="","",INDEX(상세표[07~18시],$U1193))</f>
        <v/>
      </c>
      <c r="R1193">
        <f>IF($U1193="","",INDEX(상세표[18~22시],$U1193))</f>
        <v/>
      </c>
      <c r="S1193">
        <f>IF($U1193="","",INDEX(상세표[22~06시],$U1193))</f>
        <v/>
      </c>
      <c r="T1193">
        <f>IF($U1193="","",INDEX(상세표[기록 시간외],$U1193))</f>
        <v/>
      </c>
      <c r="U1193" s="4">
        <f>IFERROR(MATCH(1188,상세표[발송순번],0),"")</f>
        <v/>
      </c>
    </row>
    <row r="1194">
      <c r="J1194">
        <f>IF($U1194="","",INDEX(상세표[사번],$U1194)&amp;"")</f>
        <v/>
      </c>
      <c r="K1194">
        <f>IF($U1194="","",INDEX(상세표[성명],$U1194)&amp;"")</f>
        <v/>
      </c>
      <c r="L1194">
        <f>IF($U1194="","",INDEX(상세표[직위],$U1194)&amp;"")</f>
        <v/>
      </c>
      <c r="M1194">
        <f>IF($U1194="","",IF(ISNUMBER(INDEX(상세표[근무일자],$U1194)),TEXT(INDEX(상세표[근무일자],$U1194),"yyyy-mm-dd"),INDEX(상세표[근무일자],$U1194)&amp;""))</f>
        <v/>
      </c>
      <c r="N1194">
        <f>IF($U1194="","",IF(ISNUMBER(INDEX(상세표[시작],$U1194)),TEXT(INDEX(상세표[시작],$U1194),"yyyy-mm-dd hh:mm"),INDEX(상세표[시작],$U1194)&amp;""))</f>
        <v/>
      </c>
      <c r="O1194">
        <f>IF($U1194="","",IF(ISNUMBER(INDEX(상세표[종료],$U1194)),TEXT(INDEX(상세표[종료],$U1194),"yyyy-mm-dd hh:mm"),INDEX(상세표[종료],$U1194)&amp;""))</f>
        <v/>
      </c>
      <c r="P1194">
        <f>IF($U1194="","",INDEX(상세표[06~07시],$U1194))</f>
        <v/>
      </c>
      <c r="Q1194">
        <f>IF($U1194="","",INDEX(상세표[07~18시],$U1194))</f>
        <v/>
      </c>
      <c r="R1194">
        <f>IF($U1194="","",INDEX(상세표[18~22시],$U1194))</f>
        <v/>
      </c>
      <c r="S1194">
        <f>IF($U1194="","",INDEX(상세표[22~06시],$U1194))</f>
        <v/>
      </c>
      <c r="T1194">
        <f>IF($U1194="","",INDEX(상세표[기록 시간외],$U1194))</f>
        <v/>
      </c>
      <c r="U1194" s="4">
        <f>IFERROR(MATCH(1189,상세표[발송순번],0),"")</f>
        <v/>
      </c>
    </row>
    <row r="1195">
      <c r="J1195">
        <f>IF($U1195="","",INDEX(상세표[사번],$U1195)&amp;"")</f>
        <v/>
      </c>
      <c r="K1195">
        <f>IF($U1195="","",INDEX(상세표[성명],$U1195)&amp;"")</f>
        <v/>
      </c>
      <c r="L1195">
        <f>IF($U1195="","",INDEX(상세표[직위],$U1195)&amp;"")</f>
        <v/>
      </c>
      <c r="M1195">
        <f>IF($U1195="","",IF(ISNUMBER(INDEX(상세표[근무일자],$U1195)),TEXT(INDEX(상세표[근무일자],$U1195),"yyyy-mm-dd"),INDEX(상세표[근무일자],$U1195)&amp;""))</f>
        <v/>
      </c>
      <c r="N1195">
        <f>IF($U1195="","",IF(ISNUMBER(INDEX(상세표[시작],$U1195)),TEXT(INDEX(상세표[시작],$U1195),"yyyy-mm-dd hh:mm"),INDEX(상세표[시작],$U1195)&amp;""))</f>
        <v/>
      </c>
      <c r="O1195">
        <f>IF($U1195="","",IF(ISNUMBER(INDEX(상세표[종료],$U1195)),TEXT(INDEX(상세표[종료],$U1195),"yyyy-mm-dd hh:mm"),INDEX(상세표[종료],$U1195)&amp;""))</f>
        <v/>
      </c>
      <c r="P1195">
        <f>IF($U1195="","",INDEX(상세표[06~07시],$U1195))</f>
        <v/>
      </c>
      <c r="Q1195">
        <f>IF($U1195="","",INDEX(상세표[07~18시],$U1195))</f>
        <v/>
      </c>
      <c r="R1195">
        <f>IF($U1195="","",INDEX(상세표[18~22시],$U1195))</f>
        <v/>
      </c>
      <c r="S1195">
        <f>IF($U1195="","",INDEX(상세표[22~06시],$U1195))</f>
        <v/>
      </c>
      <c r="T1195">
        <f>IF($U1195="","",INDEX(상세표[기록 시간외],$U1195))</f>
        <v/>
      </c>
      <c r="U1195" s="4">
        <f>IFERROR(MATCH(1190,상세표[발송순번],0),"")</f>
        <v/>
      </c>
    </row>
    <row r="1196">
      <c r="J1196">
        <f>IF($U1196="","",INDEX(상세표[사번],$U1196)&amp;"")</f>
        <v/>
      </c>
      <c r="K1196">
        <f>IF($U1196="","",INDEX(상세표[성명],$U1196)&amp;"")</f>
        <v/>
      </c>
      <c r="L1196">
        <f>IF($U1196="","",INDEX(상세표[직위],$U1196)&amp;"")</f>
        <v/>
      </c>
      <c r="M1196">
        <f>IF($U1196="","",IF(ISNUMBER(INDEX(상세표[근무일자],$U1196)),TEXT(INDEX(상세표[근무일자],$U1196),"yyyy-mm-dd"),INDEX(상세표[근무일자],$U1196)&amp;""))</f>
        <v/>
      </c>
      <c r="N1196">
        <f>IF($U1196="","",IF(ISNUMBER(INDEX(상세표[시작],$U1196)),TEXT(INDEX(상세표[시작],$U1196),"yyyy-mm-dd hh:mm"),INDEX(상세표[시작],$U1196)&amp;""))</f>
        <v/>
      </c>
      <c r="O1196">
        <f>IF($U1196="","",IF(ISNUMBER(INDEX(상세표[종료],$U1196)),TEXT(INDEX(상세표[종료],$U1196),"yyyy-mm-dd hh:mm"),INDEX(상세표[종료],$U1196)&amp;""))</f>
        <v/>
      </c>
      <c r="P1196">
        <f>IF($U1196="","",INDEX(상세표[06~07시],$U1196))</f>
        <v/>
      </c>
      <c r="Q1196">
        <f>IF($U1196="","",INDEX(상세표[07~18시],$U1196))</f>
        <v/>
      </c>
      <c r="R1196">
        <f>IF($U1196="","",INDEX(상세표[18~22시],$U1196))</f>
        <v/>
      </c>
      <c r="S1196">
        <f>IF($U1196="","",INDEX(상세표[22~06시],$U1196))</f>
        <v/>
      </c>
      <c r="T1196">
        <f>IF($U1196="","",INDEX(상세표[기록 시간외],$U1196))</f>
        <v/>
      </c>
      <c r="U1196" s="4">
        <f>IFERROR(MATCH(1191,상세표[발송순번],0),"")</f>
        <v/>
      </c>
    </row>
    <row r="1197">
      <c r="J1197">
        <f>IF($U1197="","",INDEX(상세표[사번],$U1197)&amp;"")</f>
        <v/>
      </c>
      <c r="K1197">
        <f>IF($U1197="","",INDEX(상세표[성명],$U1197)&amp;"")</f>
        <v/>
      </c>
      <c r="L1197">
        <f>IF($U1197="","",INDEX(상세표[직위],$U1197)&amp;"")</f>
        <v/>
      </c>
      <c r="M1197">
        <f>IF($U1197="","",IF(ISNUMBER(INDEX(상세표[근무일자],$U1197)),TEXT(INDEX(상세표[근무일자],$U1197),"yyyy-mm-dd"),INDEX(상세표[근무일자],$U1197)&amp;""))</f>
        <v/>
      </c>
      <c r="N1197">
        <f>IF($U1197="","",IF(ISNUMBER(INDEX(상세표[시작],$U1197)),TEXT(INDEX(상세표[시작],$U1197),"yyyy-mm-dd hh:mm"),INDEX(상세표[시작],$U1197)&amp;""))</f>
        <v/>
      </c>
      <c r="O1197">
        <f>IF($U1197="","",IF(ISNUMBER(INDEX(상세표[종료],$U1197)),TEXT(INDEX(상세표[종료],$U1197),"yyyy-mm-dd hh:mm"),INDEX(상세표[종료],$U1197)&amp;""))</f>
        <v/>
      </c>
      <c r="P1197">
        <f>IF($U1197="","",INDEX(상세표[06~07시],$U1197))</f>
        <v/>
      </c>
      <c r="Q1197">
        <f>IF($U1197="","",INDEX(상세표[07~18시],$U1197))</f>
        <v/>
      </c>
      <c r="R1197">
        <f>IF($U1197="","",INDEX(상세표[18~22시],$U1197))</f>
        <v/>
      </c>
      <c r="S1197">
        <f>IF($U1197="","",INDEX(상세표[22~06시],$U1197))</f>
        <v/>
      </c>
      <c r="T1197">
        <f>IF($U1197="","",INDEX(상세표[기록 시간외],$U1197))</f>
        <v/>
      </c>
      <c r="U1197" s="4">
        <f>IFERROR(MATCH(1192,상세표[발송순번],0),"")</f>
        <v/>
      </c>
    </row>
    <row r="1198">
      <c r="J1198">
        <f>IF($U1198="","",INDEX(상세표[사번],$U1198)&amp;"")</f>
        <v/>
      </c>
      <c r="K1198">
        <f>IF($U1198="","",INDEX(상세표[성명],$U1198)&amp;"")</f>
        <v/>
      </c>
      <c r="L1198">
        <f>IF($U1198="","",INDEX(상세표[직위],$U1198)&amp;"")</f>
        <v/>
      </c>
      <c r="M1198">
        <f>IF($U1198="","",IF(ISNUMBER(INDEX(상세표[근무일자],$U1198)),TEXT(INDEX(상세표[근무일자],$U1198),"yyyy-mm-dd"),INDEX(상세표[근무일자],$U1198)&amp;""))</f>
        <v/>
      </c>
      <c r="N1198">
        <f>IF($U1198="","",IF(ISNUMBER(INDEX(상세표[시작],$U1198)),TEXT(INDEX(상세표[시작],$U1198),"yyyy-mm-dd hh:mm"),INDEX(상세표[시작],$U1198)&amp;""))</f>
        <v/>
      </c>
      <c r="O1198">
        <f>IF($U1198="","",IF(ISNUMBER(INDEX(상세표[종료],$U1198)),TEXT(INDEX(상세표[종료],$U1198),"yyyy-mm-dd hh:mm"),INDEX(상세표[종료],$U1198)&amp;""))</f>
        <v/>
      </c>
      <c r="P1198">
        <f>IF($U1198="","",INDEX(상세표[06~07시],$U1198))</f>
        <v/>
      </c>
      <c r="Q1198">
        <f>IF($U1198="","",INDEX(상세표[07~18시],$U1198))</f>
        <v/>
      </c>
      <c r="R1198">
        <f>IF($U1198="","",INDEX(상세표[18~22시],$U1198))</f>
        <v/>
      </c>
      <c r="S1198">
        <f>IF($U1198="","",INDEX(상세표[22~06시],$U1198))</f>
        <v/>
      </c>
      <c r="T1198">
        <f>IF($U1198="","",INDEX(상세표[기록 시간외],$U1198))</f>
        <v/>
      </c>
      <c r="U1198" s="4">
        <f>IFERROR(MATCH(1193,상세표[발송순번],0),"")</f>
        <v/>
      </c>
    </row>
    <row r="1199">
      <c r="J1199">
        <f>IF($U1199="","",INDEX(상세표[사번],$U1199)&amp;"")</f>
        <v/>
      </c>
      <c r="K1199">
        <f>IF($U1199="","",INDEX(상세표[성명],$U1199)&amp;"")</f>
        <v/>
      </c>
      <c r="L1199">
        <f>IF($U1199="","",INDEX(상세표[직위],$U1199)&amp;"")</f>
        <v/>
      </c>
      <c r="M1199">
        <f>IF($U1199="","",IF(ISNUMBER(INDEX(상세표[근무일자],$U1199)),TEXT(INDEX(상세표[근무일자],$U1199),"yyyy-mm-dd"),INDEX(상세표[근무일자],$U1199)&amp;""))</f>
        <v/>
      </c>
      <c r="N1199">
        <f>IF($U1199="","",IF(ISNUMBER(INDEX(상세표[시작],$U1199)),TEXT(INDEX(상세표[시작],$U1199),"yyyy-mm-dd hh:mm"),INDEX(상세표[시작],$U1199)&amp;""))</f>
        <v/>
      </c>
      <c r="O1199">
        <f>IF($U1199="","",IF(ISNUMBER(INDEX(상세표[종료],$U1199)),TEXT(INDEX(상세표[종료],$U1199),"yyyy-mm-dd hh:mm"),INDEX(상세표[종료],$U1199)&amp;""))</f>
        <v/>
      </c>
      <c r="P1199">
        <f>IF($U1199="","",INDEX(상세표[06~07시],$U1199))</f>
        <v/>
      </c>
      <c r="Q1199">
        <f>IF($U1199="","",INDEX(상세표[07~18시],$U1199))</f>
        <v/>
      </c>
      <c r="R1199">
        <f>IF($U1199="","",INDEX(상세표[18~22시],$U1199))</f>
        <v/>
      </c>
      <c r="S1199">
        <f>IF($U1199="","",INDEX(상세표[22~06시],$U1199))</f>
        <v/>
      </c>
      <c r="T1199">
        <f>IF($U1199="","",INDEX(상세표[기록 시간외],$U1199))</f>
        <v/>
      </c>
      <c r="U1199" s="4">
        <f>IFERROR(MATCH(1194,상세표[발송순번],0),"")</f>
        <v/>
      </c>
    </row>
    <row r="1200">
      <c r="J1200">
        <f>IF($U1200="","",INDEX(상세표[사번],$U1200)&amp;"")</f>
        <v/>
      </c>
      <c r="K1200">
        <f>IF($U1200="","",INDEX(상세표[성명],$U1200)&amp;"")</f>
        <v/>
      </c>
      <c r="L1200">
        <f>IF($U1200="","",INDEX(상세표[직위],$U1200)&amp;"")</f>
        <v/>
      </c>
      <c r="M1200">
        <f>IF($U1200="","",IF(ISNUMBER(INDEX(상세표[근무일자],$U1200)),TEXT(INDEX(상세표[근무일자],$U1200),"yyyy-mm-dd"),INDEX(상세표[근무일자],$U1200)&amp;""))</f>
        <v/>
      </c>
      <c r="N1200">
        <f>IF($U1200="","",IF(ISNUMBER(INDEX(상세표[시작],$U1200)),TEXT(INDEX(상세표[시작],$U1200),"yyyy-mm-dd hh:mm"),INDEX(상세표[시작],$U1200)&amp;""))</f>
        <v/>
      </c>
      <c r="O1200">
        <f>IF($U1200="","",IF(ISNUMBER(INDEX(상세표[종료],$U1200)),TEXT(INDEX(상세표[종료],$U1200),"yyyy-mm-dd hh:mm"),INDEX(상세표[종료],$U1200)&amp;""))</f>
        <v/>
      </c>
      <c r="P1200">
        <f>IF($U1200="","",INDEX(상세표[06~07시],$U1200))</f>
        <v/>
      </c>
      <c r="Q1200">
        <f>IF($U1200="","",INDEX(상세표[07~18시],$U1200))</f>
        <v/>
      </c>
      <c r="R1200">
        <f>IF($U1200="","",INDEX(상세표[18~22시],$U1200))</f>
        <v/>
      </c>
      <c r="S1200">
        <f>IF($U1200="","",INDEX(상세표[22~06시],$U1200))</f>
        <v/>
      </c>
      <c r="T1200">
        <f>IF($U1200="","",INDEX(상세표[기록 시간외],$U1200))</f>
        <v/>
      </c>
      <c r="U1200" s="4">
        <f>IFERROR(MATCH(1195,상세표[발송순번],0),"")</f>
        <v/>
      </c>
    </row>
    <row r="1201">
      <c r="J1201">
        <f>IF($U1201="","",INDEX(상세표[사번],$U1201)&amp;"")</f>
        <v/>
      </c>
      <c r="K1201">
        <f>IF($U1201="","",INDEX(상세표[성명],$U1201)&amp;"")</f>
        <v/>
      </c>
      <c r="L1201">
        <f>IF($U1201="","",INDEX(상세표[직위],$U1201)&amp;"")</f>
        <v/>
      </c>
      <c r="M1201">
        <f>IF($U1201="","",IF(ISNUMBER(INDEX(상세표[근무일자],$U1201)),TEXT(INDEX(상세표[근무일자],$U1201),"yyyy-mm-dd"),INDEX(상세표[근무일자],$U1201)&amp;""))</f>
        <v/>
      </c>
      <c r="N1201">
        <f>IF($U1201="","",IF(ISNUMBER(INDEX(상세표[시작],$U1201)),TEXT(INDEX(상세표[시작],$U1201),"yyyy-mm-dd hh:mm"),INDEX(상세표[시작],$U1201)&amp;""))</f>
        <v/>
      </c>
      <c r="O1201">
        <f>IF($U1201="","",IF(ISNUMBER(INDEX(상세표[종료],$U1201)),TEXT(INDEX(상세표[종료],$U1201),"yyyy-mm-dd hh:mm"),INDEX(상세표[종료],$U1201)&amp;""))</f>
        <v/>
      </c>
      <c r="P1201">
        <f>IF($U1201="","",INDEX(상세표[06~07시],$U1201))</f>
        <v/>
      </c>
      <c r="Q1201">
        <f>IF($U1201="","",INDEX(상세표[07~18시],$U1201))</f>
        <v/>
      </c>
      <c r="R1201">
        <f>IF($U1201="","",INDEX(상세표[18~22시],$U1201))</f>
        <v/>
      </c>
      <c r="S1201">
        <f>IF($U1201="","",INDEX(상세표[22~06시],$U1201))</f>
        <v/>
      </c>
      <c r="T1201">
        <f>IF($U1201="","",INDEX(상세표[기록 시간외],$U1201))</f>
        <v/>
      </c>
      <c r="U1201" s="4">
        <f>IFERROR(MATCH(1196,상세표[발송순번],0),"")</f>
        <v/>
      </c>
    </row>
    <row r="1202">
      <c r="J1202">
        <f>IF($U1202="","",INDEX(상세표[사번],$U1202)&amp;"")</f>
        <v/>
      </c>
      <c r="K1202">
        <f>IF($U1202="","",INDEX(상세표[성명],$U1202)&amp;"")</f>
        <v/>
      </c>
      <c r="L1202">
        <f>IF($U1202="","",INDEX(상세표[직위],$U1202)&amp;"")</f>
        <v/>
      </c>
      <c r="M1202">
        <f>IF($U1202="","",IF(ISNUMBER(INDEX(상세표[근무일자],$U1202)),TEXT(INDEX(상세표[근무일자],$U1202),"yyyy-mm-dd"),INDEX(상세표[근무일자],$U1202)&amp;""))</f>
        <v/>
      </c>
      <c r="N1202">
        <f>IF($U1202="","",IF(ISNUMBER(INDEX(상세표[시작],$U1202)),TEXT(INDEX(상세표[시작],$U1202),"yyyy-mm-dd hh:mm"),INDEX(상세표[시작],$U1202)&amp;""))</f>
        <v/>
      </c>
      <c r="O1202">
        <f>IF($U1202="","",IF(ISNUMBER(INDEX(상세표[종료],$U1202)),TEXT(INDEX(상세표[종료],$U1202),"yyyy-mm-dd hh:mm"),INDEX(상세표[종료],$U1202)&amp;""))</f>
        <v/>
      </c>
      <c r="P1202">
        <f>IF($U1202="","",INDEX(상세표[06~07시],$U1202))</f>
        <v/>
      </c>
      <c r="Q1202">
        <f>IF($U1202="","",INDEX(상세표[07~18시],$U1202))</f>
        <v/>
      </c>
      <c r="R1202">
        <f>IF($U1202="","",INDEX(상세표[18~22시],$U1202))</f>
        <v/>
      </c>
      <c r="S1202">
        <f>IF($U1202="","",INDEX(상세표[22~06시],$U1202))</f>
        <v/>
      </c>
      <c r="T1202">
        <f>IF($U1202="","",INDEX(상세표[기록 시간외],$U1202))</f>
        <v/>
      </c>
      <c r="U1202" s="4">
        <f>IFERROR(MATCH(1197,상세표[발송순번],0),"")</f>
        <v/>
      </c>
    </row>
    <row r="1203">
      <c r="J1203">
        <f>IF($U1203="","",INDEX(상세표[사번],$U1203)&amp;"")</f>
        <v/>
      </c>
      <c r="K1203">
        <f>IF($U1203="","",INDEX(상세표[성명],$U1203)&amp;"")</f>
        <v/>
      </c>
      <c r="L1203">
        <f>IF($U1203="","",INDEX(상세표[직위],$U1203)&amp;"")</f>
        <v/>
      </c>
      <c r="M1203">
        <f>IF($U1203="","",IF(ISNUMBER(INDEX(상세표[근무일자],$U1203)),TEXT(INDEX(상세표[근무일자],$U1203),"yyyy-mm-dd"),INDEX(상세표[근무일자],$U1203)&amp;""))</f>
        <v/>
      </c>
      <c r="N1203">
        <f>IF($U1203="","",IF(ISNUMBER(INDEX(상세표[시작],$U1203)),TEXT(INDEX(상세표[시작],$U1203),"yyyy-mm-dd hh:mm"),INDEX(상세표[시작],$U1203)&amp;""))</f>
        <v/>
      </c>
      <c r="O1203">
        <f>IF($U1203="","",IF(ISNUMBER(INDEX(상세표[종료],$U1203)),TEXT(INDEX(상세표[종료],$U1203),"yyyy-mm-dd hh:mm"),INDEX(상세표[종료],$U1203)&amp;""))</f>
        <v/>
      </c>
      <c r="P1203">
        <f>IF($U1203="","",INDEX(상세표[06~07시],$U1203))</f>
        <v/>
      </c>
      <c r="Q1203">
        <f>IF($U1203="","",INDEX(상세표[07~18시],$U1203))</f>
        <v/>
      </c>
      <c r="R1203">
        <f>IF($U1203="","",INDEX(상세표[18~22시],$U1203))</f>
        <v/>
      </c>
      <c r="S1203">
        <f>IF($U1203="","",INDEX(상세표[22~06시],$U1203))</f>
        <v/>
      </c>
      <c r="T1203">
        <f>IF($U1203="","",INDEX(상세표[기록 시간외],$U1203))</f>
        <v/>
      </c>
      <c r="U1203" s="4">
        <f>IFERROR(MATCH(1198,상세표[발송순번],0),"")</f>
        <v/>
      </c>
    </row>
    <row r="1204">
      <c r="J1204">
        <f>IF($U1204="","",INDEX(상세표[사번],$U1204)&amp;"")</f>
        <v/>
      </c>
      <c r="K1204">
        <f>IF($U1204="","",INDEX(상세표[성명],$U1204)&amp;"")</f>
        <v/>
      </c>
      <c r="L1204">
        <f>IF($U1204="","",INDEX(상세표[직위],$U1204)&amp;"")</f>
        <v/>
      </c>
      <c r="M1204">
        <f>IF($U1204="","",IF(ISNUMBER(INDEX(상세표[근무일자],$U1204)),TEXT(INDEX(상세표[근무일자],$U1204),"yyyy-mm-dd"),INDEX(상세표[근무일자],$U1204)&amp;""))</f>
        <v/>
      </c>
      <c r="N1204">
        <f>IF($U1204="","",IF(ISNUMBER(INDEX(상세표[시작],$U1204)),TEXT(INDEX(상세표[시작],$U1204),"yyyy-mm-dd hh:mm"),INDEX(상세표[시작],$U1204)&amp;""))</f>
        <v/>
      </c>
      <c r="O1204">
        <f>IF($U1204="","",IF(ISNUMBER(INDEX(상세표[종료],$U1204)),TEXT(INDEX(상세표[종료],$U1204),"yyyy-mm-dd hh:mm"),INDEX(상세표[종료],$U1204)&amp;""))</f>
        <v/>
      </c>
      <c r="P1204">
        <f>IF($U1204="","",INDEX(상세표[06~07시],$U1204))</f>
        <v/>
      </c>
      <c r="Q1204">
        <f>IF($U1204="","",INDEX(상세표[07~18시],$U1204))</f>
        <v/>
      </c>
      <c r="R1204">
        <f>IF($U1204="","",INDEX(상세표[18~22시],$U1204))</f>
        <v/>
      </c>
      <c r="S1204">
        <f>IF($U1204="","",INDEX(상세표[22~06시],$U1204))</f>
        <v/>
      </c>
      <c r="T1204">
        <f>IF($U1204="","",INDEX(상세표[기록 시간외],$U1204))</f>
        <v/>
      </c>
      <c r="U1204" s="4">
        <f>IFERROR(MATCH(1199,상세표[발송순번],0),"")</f>
        <v/>
      </c>
    </row>
    <row r="1205">
      <c r="J1205">
        <f>IF($U1205="","",INDEX(상세표[사번],$U1205)&amp;"")</f>
        <v/>
      </c>
      <c r="K1205">
        <f>IF($U1205="","",INDEX(상세표[성명],$U1205)&amp;"")</f>
        <v/>
      </c>
      <c r="L1205">
        <f>IF($U1205="","",INDEX(상세표[직위],$U1205)&amp;"")</f>
        <v/>
      </c>
      <c r="M1205">
        <f>IF($U1205="","",IF(ISNUMBER(INDEX(상세표[근무일자],$U1205)),TEXT(INDEX(상세표[근무일자],$U1205),"yyyy-mm-dd"),INDEX(상세표[근무일자],$U1205)&amp;""))</f>
        <v/>
      </c>
      <c r="N1205">
        <f>IF($U1205="","",IF(ISNUMBER(INDEX(상세표[시작],$U1205)),TEXT(INDEX(상세표[시작],$U1205),"yyyy-mm-dd hh:mm"),INDEX(상세표[시작],$U1205)&amp;""))</f>
        <v/>
      </c>
      <c r="O1205">
        <f>IF($U1205="","",IF(ISNUMBER(INDEX(상세표[종료],$U1205)),TEXT(INDEX(상세표[종료],$U1205),"yyyy-mm-dd hh:mm"),INDEX(상세표[종료],$U1205)&amp;""))</f>
        <v/>
      </c>
      <c r="P1205">
        <f>IF($U1205="","",INDEX(상세표[06~07시],$U1205))</f>
        <v/>
      </c>
      <c r="Q1205">
        <f>IF($U1205="","",INDEX(상세표[07~18시],$U1205))</f>
        <v/>
      </c>
      <c r="R1205">
        <f>IF($U1205="","",INDEX(상세표[18~22시],$U1205))</f>
        <v/>
      </c>
      <c r="S1205">
        <f>IF($U1205="","",INDEX(상세표[22~06시],$U1205))</f>
        <v/>
      </c>
      <c r="T1205">
        <f>IF($U1205="","",INDEX(상세표[기록 시간외],$U1205))</f>
        <v/>
      </c>
      <c r="U1205" s="4">
        <f>IFERROR(MATCH(1200,상세표[발송순번],0),"")</f>
        <v/>
      </c>
    </row>
    <row r="1206">
      <c r="J1206">
        <f>IF($U1206="","",INDEX(상세표[사번],$U1206)&amp;"")</f>
        <v/>
      </c>
      <c r="K1206">
        <f>IF($U1206="","",INDEX(상세표[성명],$U1206)&amp;"")</f>
        <v/>
      </c>
      <c r="L1206">
        <f>IF($U1206="","",INDEX(상세표[직위],$U1206)&amp;"")</f>
        <v/>
      </c>
      <c r="M1206">
        <f>IF($U1206="","",IF(ISNUMBER(INDEX(상세표[근무일자],$U1206)),TEXT(INDEX(상세표[근무일자],$U1206),"yyyy-mm-dd"),INDEX(상세표[근무일자],$U1206)&amp;""))</f>
        <v/>
      </c>
      <c r="N1206">
        <f>IF($U1206="","",IF(ISNUMBER(INDEX(상세표[시작],$U1206)),TEXT(INDEX(상세표[시작],$U1206),"yyyy-mm-dd hh:mm"),INDEX(상세표[시작],$U1206)&amp;""))</f>
        <v/>
      </c>
      <c r="O1206">
        <f>IF($U1206="","",IF(ISNUMBER(INDEX(상세표[종료],$U1206)),TEXT(INDEX(상세표[종료],$U1206),"yyyy-mm-dd hh:mm"),INDEX(상세표[종료],$U1206)&amp;""))</f>
        <v/>
      </c>
      <c r="P1206">
        <f>IF($U1206="","",INDEX(상세표[06~07시],$U1206))</f>
        <v/>
      </c>
      <c r="Q1206">
        <f>IF($U1206="","",INDEX(상세표[07~18시],$U1206))</f>
        <v/>
      </c>
      <c r="R1206">
        <f>IF($U1206="","",INDEX(상세표[18~22시],$U1206))</f>
        <v/>
      </c>
      <c r="S1206">
        <f>IF($U1206="","",INDEX(상세표[22~06시],$U1206))</f>
        <v/>
      </c>
      <c r="T1206">
        <f>IF($U1206="","",INDEX(상세표[기록 시간외],$U1206))</f>
        <v/>
      </c>
      <c r="U1206" s="4">
        <f>IFERROR(MATCH(1201,상세표[발송순번],0),"")</f>
        <v/>
      </c>
    </row>
    <row r="1207">
      <c r="J1207">
        <f>IF($U1207="","",INDEX(상세표[사번],$U1207)&amp;"")</f>
        <v/>
      </c>
      <c r="K1207">
        <f>IF($U1207="","",INDEX(상세표[성명],$U1207)&amp;"")</f>
        <v/>
      </c>
      <c r="L1207">
        <f>IF($U1207="","",INDEX(상세표[직위],$U1207)&amp;"")</f>
        <v/>
      </c>
      <c r="M1207">
        <f>IF($U1207="","",IF(ISNUMBER(INDEX(상세표[근무일자],$U1207)),TEXT(INDEX(상세표[근무일자],$U1207),"yyyy-mm-dd"),INDEX(상세표[근무일자],$U1207)&amp;""))</f>
        <v/>
      </c>
      <c r="N1207">
        <f>IF($U1207="","",IF(ISNUMBER(INDEX(상세표[시작],$U1207)),TEXT(INDEX(상세표[시작],$U1207),"yyyy-mm-dd hh:mm"),INDEX(상세표[시작],$U1207)&amp;""))</f>
        <v/>
      </c>
      <c r="O1207">
        <f>IF($U1207="","",IF(ISNUMBER(INDEX(상세표[종료],$U1207)),TEXT(INDEX(상세표[종료],$U1207),"yyyy-mm-dd hh:mm"),INDEX(상세표[종료],$U1207)&amp;""))</f>
        <v/>
      </c>
      <c r="P1207">
        <f>IF($U1207="","",INDEX(상세표[06~07시],$U1207))</f>
        <v/>
      </c>
      <c r="Q1207">
        <f>IF($U1207="","",INDEX(상세표[07~18시],$U1207))</f>
        <v/>
      </c>
      <c r="R1207">
        <f>IF($U1207="","",INDEX(상세표[18~22시],$U1207))</f>
        <v/>
      </c>
      <c r="S1207">
        <f>IF($U1207="","",INDEX(상세표[22~06시],$U1207))</f>
        <v/>
      </c>
      <c r="T1207">
        <f>IF($U1207="","",INDEX(상세표[기록 시간외],$U1207))</f>
        <v/>
      </c>
      <c r="U1207" s="4">
        <f>IFERROR(MATCH(1202,상세표[발송순번],0),"")</f>
        <v/>
      </c>
    </row>
    <row r="1208">
      <c r="J1208">
        <f>IF($U1208="","",INDEX(상세표[사번],$U1208)&amp;"")</f>
        <v/>
      </c>
      <c r="K1208">
        <f>IF($U1208="","",INDEX(상세표[성명],$U1208)&amp;"")</f>
        <v/>
      </c>
      <c r="L1208">
        <f>IF($U1208="","",INDEX(상세표[직위],$U1208)&amp;"")</f>
        <v/>
      </c>
      <c r="M1208">
        <f>IF($U1208="","",IF(ISNUMBER(INDEX(상세표[근무일자],$U1208)),TEXT(INDEX(상세표[근무일자],$U1208),"yyyy-mm-dd"),INDEX(상세표[근무일자],$U1208)&amp;""))</f>
        <v/>
      </c>
      <c r="N1208">
        <f>IF($U1208="","",IF(ISNUMBER(INDEX(상세표[시작],$U1208)),TEXT(INDEX(상세표[시작],$U1208),"yyyy-mm-dd hh:mm"),INDEX(상세표[시작],$U1208)&amp;""))</f>
        <v/>
      </c>
      <c r="O1208">
        <f>IF($U1208="","",IF(ISNUMBER(INDEX(상세표[종료],$U1208)),TEXT(INDEX(상세표[종료],$U1208),"yyyy-mm-dd hh:mm"),INDEX(상세표[종료],$U1208)&amp;""))</f>
        <v/>
      </c>
      <c r="P1208">
        <f>IF($U1208="","",INDEX(상세표[06~07시],$U1208))</f>
        <v/>
      </c>
      <c r="Q1208">
        <f>IF($U1208="","",INDEX(상세표[07~18시],$U1208))</f>
        <v/>
      </c>
      <c r="R1208">
        <f>IF($U1208="","",INDEX(상세표[18~22시],$U1208))</f>
        <v/>
      </c>
      <c r="S1208">
        <f>IF($U1208="","",INDEX(상세표[22~06시],$U1208))</f>
        <v/>
      </c>
      <c r="T1208">
        <f>IF($U1208="","",INDEX(상세표[기록 시간외],$U1208))</f>
        <v/>
      </c>
      <c r="U1208" s="4">
        <f>IFERROR(MATCH(1203,상세표[발송순번],0),"")</f>
        <v/>
      </c>
    </row>
    <row r="1209">
      <c r="J1209">
        <f>IF($U1209="","",INDEX(상세표[사번],$U1209)&amp;"")</f>
        <v/>
      </c>
      <c r="K1209">
        <f>IF($U1209="","",INDEX(상세표[성명],$U1209)&amp;"")</f>
        <v/>
      </c>
      <c r="L1209">
        <f>IF($U1209="","",INDEX(상세표[직위],$U1209)&amp;"")</f>
        <v/>
      </c>
      <c r="M1209">
        <f>IF($U1209="","",IF(ISNUMBER(INDEX(상세표[근무일자],$U1209)),TEXT(INDEX(상세표[근무일자],$U1209),"yyyy-mm-dd"),INDEX(상세표[근무일자],$U1209)&amp;""))</f>
        <v/>
      </c>
      <c r="N1209">
        <f>IF($U1209="","",IF(ISNUMBER(INDEX(상세표[시작],$U1209)),TEXT(INDEX(상세표[시작],$U1209),"yyyy-mm-dd hh:mm"),INDEX(상세표[시작],$U1209)&amp;""))</f>
        <v/>
      </c>
      <c r="O1209">
        <f>IF($U1209="","",IF(ISNUMBER(INDEX(상세표[종료],$U1209)),TEXT(INDEX(상세표[종료],$U1209),"yyyy-mm-dd hh:mm"),INDEX(상세표[종료],$U1209)&amp;""))</f>
        <v/>
      </c>
      <c r="P1209">
        <f>IF($U1209="","",INDEX(상세표[06~07시],$U1209))</f>
        <v/>
      </c>
      <c r="Q1209">
        <f>IF($U1209="","",INDEX(상세표[07~18시],$U1209))</f>
        <v/>
      </c>
      <c r="R1209">
        <f>IF($U1209="","",INDEX(상세표[18~22시],$U1209))</f>
        <v/>
      </c>
      <c r="S1209">
        <f>IF($U1209="","",INDEX(상세표[22~06시],$U1209))</f>
        <v/>
      </c>
      <c r="T1209">
        <f>IF($U1209="","",INDEX(상세표[기록 시간외],$U1209))</f>
        <v/>
      </c>
      <c r="U1209" s="4">
        <f>IFERROR(MATCH(1204,상세표[발송순번],0),"")</f>
        <v/>
      </c>
    </row>
    <row r="1210">
      <c r="J1210">
        <f>IF($U1210="","",INDEX(상세표[사번],$U1210)&amp;"")</f>
        <v/>
      </c>
      <c r="K1210">
        <f>IF($U1210="","",INDEX(상세표[성명],$U1210)&amp;"")</f>
        <v/>
      </c>
      <c r="L1210">
        <f>IF($U1210="","",INDEX(상세표[직위],$U1210)&amp;"")</f>
        <v/>
      </c>
      <c r="M1210">
        <f>IF($U1210="","",IF(ISNUMBER(INDEX(상세표[근무일자],$U1210)),TEXT(INDEX(상세표[근무일자],$U1210),"yyyy-mm-dd"),INDEX(상세표[근무일자],$U1210)&amp;""))</f>
        <v/>
      </c>
      <c r="N1210">
        <f>IF($U1210="","",IF(ISNUMBER(INDEX(상세표[시작],$U1210)),TEXT(INDEX(상세표[시작],$U1210),"yyyy-mm-dd hh:mm"),INDEX(상세표[시작],$U1210)&amp;""))</f>
        <v/>
      </c>
      <c r="O1210">
        <f>IF($U1210="","",IF(ISNUMBER(INDEX(상세표[종료],$U1210)),TEXT(INDEX(상세표[종료],$U1210),"yyyy-mm-dd hh:mm"),INDEX(상세표[종료],$U1210)&amp;""))</f>
        <v/>
      </c>
      <c r="P1210">
        <f>IF($U1210="","",INDEX(상세표[06~07시],$U1210))</f>
        <v/>
      </c>
      <c r="Q1210">
        <f>IF($U1210="","",INDEX(상세표[07~18시],$U1210))</f>
        <v/>
      </c>
      <c r="R1210">
        <f>IF($U1210="","",INDEX(상세표[18~22시],$U1210))</f>
        <v/>
      </c>
      <c r="S1210">
        <f>IF($U1210="","",INDEX(상세표[22~06시],$U1210))</f>
        <v/>
      </c>
      <c r="T1210">
        <f>IF($U1210="","",INDEX(상세표[기록 시간외],$U1210))</f>
        <v/>
      </c>
      <c r="U1210" s="4">
        <f>IFERROR(MATCH(1205,상세표[발송순번],0),"")</f>
        <v/>
      </c>
    </row>
    <row r="1211">
      <c r="J1211">
        <f>IF($U1211="","",INDEX(상세표[사번],$U1211)&amp;"")</f>
        <v/>
      </c>
      <c r="K1211">
        <f>IF($U1211="","",INDEX(상세표[성명],$U1211)&amp;"")</f>
        <v/>
      </c>
      <c r="L1211">
        <f>IF($U1211="","",INDEX(상세표[직위],$U1211)&amp;"")</f>
        <v/>
      </c>
      <c r="M1211">
        <f>IF($U1211="","",IF(ISNUMBER(INDEX(상세표[근무일자],$U1211)),TEXT(INDEX(상세표[근무일자],$U1211),"yyyy-mm-dd"),INDEX(상세표[근무일자],$U1211)&amp;""))</f>
        <v/>
      </c>
      <c r="N1211">
        <f>IF($U1211="","",IF(ISNUMBER(INDEX(상세표[시작],$U1211)),TEXT(INDEX(상세표[시작],$U1211),"yyyy-mm-dd hh:mm"),INDEX(상세표[시작],$U1211)&amp;""))</f>
        <v/>
      </c>
      <c r="O1211">
        <f>IF($U1211="","",IF(ISNUMBER(INDEX(상세표[종료],$U1211)),TEXT(INDEX(상세표[종료],$U1211),"yyyy-mm-dd hh:mm"),INDEX(상세표[종료],$U1211)&amp;""))</f>
        <v/>
      </c>
      <c r="P1211">
        <f>IF($U1211="","",INDEX(상세표[06~07시],$U1211))</f>
        <v/>
      </c>
      <c r="Q1211">
        <f>IF($U1211="","",INDEX(상세표[07~18시],$U1211))</f>
        <v/>
      </c>
      <c r="R1211">
        <f>IF($U1211="","",INDEX(상세표[18~22시],$U1211))</f>
        <v/>
      </c>
      <c r="S1211">
        <f>IF($U1211="","",INDEX(상세표[22~06시],$U1211))</f>
        <v/>
      </c>
      <c r="T1211">
        <f>IF($U1211="","",INDEX(상세표[기록 시간외],$U1211))</f>
        <v/>
      </c>
      <c r="U1211" s="4">
        <f>IFERROR(MATCH(1206,상세표[발송순번],0),"")</f>
        <v/>
      </c>
    </row>
    <row r="1212">
      <c r="J1212">
        <f>IF($U1212="","",INDEX(상세표[사번],$U1212)&amp;"")</f>
        <v/>
      </c>
      <c r="K1212">
        <f>IF($U1212="","",INDEX(상세표[성명],$U1212)&amp;"")</f>
        <v/>
      </c>
      <c r="L1212">
        <f>IF($U1212="","",INDEX(상세표[직위],$U1212)&amp;"")</f>
        <v/>
      </c>
      <c r="M1212">
        <f>IF($U1212="","",IF(ISNUMBER(INDEX(상세표[근무일자],$U1212)),TEXT(INDEX(상세표[근무일자],$U1212),"yyyy-mm-dd"),INDEX(상세표[근무일자],$U1212)&amp;""))</f>
        <v/>
      </c>
      <c r="N1212">
        <f>IF($U1212="","",IF(ISNUMBER(INDEX(상세표[시작],$U1212)),TEXT(INDEX(상세표[시작],$U1212),"yyyy-mm-dd hh:mm"),INDEX(상세표[시작],$U1212)&amp;""))</f>
        <v/>
      </c>
      <c r="O1212">
        <f>IF($U1212="","",IF(ISNUMBER(INDEX(상세표[종료],$U1212)),TEXT(INDEX(상세표[종료],$U1212),"yyyy-mm-dd hh:mm"),INDEX(상세표[종료],$U1212)&amp;""))</f>
        <v/>
      </c>
      <c r="P1212">
        <f>IF($U1212="","",INDEX(상세표[06~07시],$U1212))</f>
        <v/>
      </c>
      <c r="Q1212">
        <f>IF($U1212="","",INDEX(상세표[07~18시],$U1212))</f>
        <v/>
      </c>
      <c r="R1212">
        <f>IF($U1212="","",INDEX(상세표[18~22시],$U1212))</f>
        <v/>
      </c>
      <c r="S1212">
        <f>IF($U1212="","",INDEX(상세표[22~06시],$U1212))</f>
        <v/>
      </c>
      <c r="T1212">
        <f>IF($U1212="","",INDEX(상세표[기록 시간외],$U1212))</f>
        <v/>
      </c>
      <c r="U1212" s="4">
        <f>IFERROR(MATCH(1207,상세표[발송순번],0),"")</f>
        <v/>
      </c>
    </row>
    <row r="1213">
      <c r="J1213">
        <f>IF($U1213="","",INDEX(상세표[사번],$U1213)&amp;"")</f>
        <v/>
      </c>
      <c r="K1213">
        <f>IF($U1213="","",INDEX(상세표[성명],$U1213)&amp;"")</f>
        <v/>
      </c>
      <c r="L1213">
        <f>IF($U1213="","",INDEX(상세표[직위],$U1213)&amp;"")</f>
        <v/>
      </c>
      <c r="M1213">
        <f>IF($U1213="","",IF(ISNUMBER(INDEX(상세표[근무일자],$U1213)),TEXT(INDEX(상세표[근무일자],$U1213),"yyyy-mm-dd"),INDEX(상세표[근무일자],$U1213)&amp;""))</f>
        <v/>
      </c>
      <c r="N1213">
        <f>IF($U1213="","",IF(ISNUMBER(INDEX(상세표[시작],$U1213)),TEXT(INDEX(상세표[시작],$U1213),"yyyy-mm-dd hh:mm"),INDEX(상세표[시작],$U1213)&amp;""))</f>
        <v/>
      </c>
      <c r="O1213">
        <f>IF($U1213="","",IF(ISNUMBER(INDEX(상세표[종료],$U1213)),TEXT(INDEX(상세표[종료],$U1213),"yyyy-mm-dd hh:mm"),INDEX(상세표[종료],$U1213)&amp;""))</f>
        <v/>
      </c>
      <c r="P1213">
        <f>IF($U1213="","",INDEX(상세표[06~07시],$U1213))</f>
        <v/>
      </c>
      <c r="Q1213">
        <f>IF($U1213="","",INDEX(상세표[07~18시],$U1213))</f>
        <v/>
      </c>
      <c r="R1213">
        <f>IF($U1213="","",INDEX(상세표[18~22시],$U1213))</f>
        <v/>
      </c>
      <c r="S1213">
        <f>IF($U1213="","",INDEX(상세표[22~06시],$U1213))</f>
        <v/>
      </c>
      <c r="T1213">
        <f>IF($U1213="","",INDEX(상세표[기록 시간외],$U1213))</f>
        <v/>
      </c>
      <c r="U1213" s="4">
        <f>IFERROR(MATCH(1208,상세표[발송순번],0),"")</f>
        <v/>
      </c>
    </row>
    <row r="1214">
      <c r="J1214">
        <f>IF($U1214="","",INDEX(상세표[사번],$U1214)&amp;"")</f>
        <v/>
      </c>
      <c r="K1214">
        <f>IF($U1214="","",INDEX(상세표[성명],$U1214)&amp;"")</f>
        <v/>
      </c>
      <c r="L1214">
        <f>IF($U1214="","",INDEX(상세표[직위],$U1214)&amp;"")</f>
        <v/>
      </c>
      <c r="M1214">
        <f>IF($U1214="","",IF(ISNUMBER(INDEX(상세표[근무일자],$U1214)),TEXT(INDEX(상세표[근무일자],$U1214),"yyyy-mm-dd"),INDEX(상세표[근무일자],$U1214)&amp;""))</f>
        <v/>
      </c>
      <c r="N1214">
        <f>IF($U1214="","",IF(ISNUMBER(INDEX(상세표[시작],$U1214)),TEXT(INDEX(상세표[시작],$U1214),"yyyy-mm-dd hh:mm"),INDEX(상세표[시작],$U1214)&amp;""))</f>
        <v/>
      </c>
      <c r="O1214">
        <f>IF($U1214="","",IF(ISNUMBER(INDEX(상세표[종료],$U1214)),TEXT(INDEX(상세표[종료],$U1214),"yyyy-mm-dd hh:mm"),INDEX(상세표[종료],$U1214)&amp;""))</f>
        <v/>
      </c>
      <c r="P1214">
        <f>IF($U1214="","",INDEX(상세표[06~07시],$U1214))</f>
        <v/>
      </c>
      <c r="Q1214">
        <f>IF($U1214="","",INDEX(상세표[07~18시],$U1214))</f>
        <v/>
      </c>
      <c r="R1214">
        <f>IF($U1214="","",INDEX(상세표[18~22시],$U1214))</f>
        <v/>
      </c>
      <c r="S1214">
        <f>IF($U1214="","",INDEX(상세표[22~06시],$U1214))</f>
        <v/>
      </c>
      <c r="T1214">
        <f>IF($U1214="","",INDEX(상세표[기록 시간외],$U1214))</f>
        <v/>
      </c>
      <c r="U1214" s="4">
        <f>IFERROR(MATCH(1209,상세표[발송순번],0),"")</f>
        <v/>
      </c>
    </row>
    <row r="1215">
      <c r="J1215">
        <f>IF($U1215="","",INDEX(상세표[사번],$U1215)&amp;"")</f>
        <v/>
      </c>
      <c r="K1215">
        <f>IF($U1215="","",INDEX(상세표[성명],$U1215)&amp;"")</f>
        <v/>
      </c>
      <c r="L1215">
        <f>IF($U1215="","",INDEX(상세표[직위],$U1215)&amp;"")</f>
        <v/>
      </c>
      <c r="M1215">
        <f>IF($U1215="","",IF(ISNUMBER(INDEX(상세표[근무일자],$U1215)),TEXT(INDEX(상세표[근무일자],$U1215),"yyyy-mm-dd"),INDEX(상세표[근무일자],$U1215)&amp;""))</f>
        <v/>
      </c>
      <c r="N1215">
        <f>IF($U1215="","",IF(ISNUMBER(INDEX(상세표[시작],$U1215)),TEXT(INDEX(상세표[시작],$U1215),"yyyy-mm-dd hh:mm"),INDEX(상세표[시작],$U1215)&amp;""))</f>
        <v/>
      </c>
      <c r="O1215">
        <f>IF($U1215="","",IF(ISNUMBER(INDEX(상세표[종료],$U1215)),TEXT(INDEX(상세표[종료],$U1215),"yyyy-mm-dd hh:mm"),INDEX(상세표[종료],$U1215)&amp;""))</f>
        <v/>
      </c>
      <c r="P1215">
        <f>IF($U1215="","",INDEX(상세표[06~07시],$U1215))</f>
        <v/>
      </c>
      <c r="Q1215">
        <f>IF($U1215="","",INDEX(상세표[07~18시],$U1215))</f>
        <v/>
      </c>
      <c r="R1215">
        <f>IF($U1215="","",INDEX(상세표[18~22시],$U1215))</f>
        <v/>
      </c>
      <c r="S1215">
        <f>IF($U1215="","",INDEX(상세표[22~06시],$U1215))</f>
        <v/>
      </c>
      <c r="T1215">
        <f>IF($U1215="","",INDEX(상세표[기록 시간외],$U1215))</f>
        <v/>
      </c>
      <c r="U1215" s="4">
        <f>IFERROR(MATCH(1210,상세표[발송순번],0),"")</f>
        <v/>
      </c>
    </row>
    <row r="1216">
      <c r="J1216">
        <f>IF($U1216="","",INDEX(상세표[사번],$U1216)&amp;"")</f>
        <v/>
      </c>
      <c r="K1216">
        <f>IF($U1216="","",INDEX(상세표[성명],$U1216)&amp;"")</f>
        <v/>
      </c>
      <c r="L1216">
        <f>IF($U1216="","",INDEX(상세표[직위],$U1216)&amp;"")</f>
        <v/>
      </c>
      <c r="M1216">
        <f>IF($U1216="","",IF(ISNUMBER(INDEX(상세표[근무일자],$U1216)),TEXT(INDEX(상세표[근무일자],$U1216),"yyyy-mm-dd"),INDEX(상세표[근무일자],$U1216)&amp;""))</f>
        <v/>
      </c>
      <c r="N1216">
        <f>IF($U1216="","",IF(ISNUMBER(INDEX(상세표[시작],$U1216)),TEXT(INDEX(상세표[시작],$U1216),"yyyy-mm-dd hh:mm"),INDEX(상세표[시작],$U1216)&amp;""))</f>
        <v/>
      </c>
      <c r="O1216">
        <f>IF($U1216="","",IF(ISNUMBER(INDEX(상세표[종료],$U1216)),TEXT(INDEX(상세표[종료],$U1216),"yyyy-mm-dd hh:mm"),INDEX(상세표[종료],$U1216)&amp;""))</f>
        <v/>
      </c>
      <c r="P1216">
        <f>IF($U1216="","",INDEX(상세표[06~07시],$U1216))</f>
        <v/>
      </c>
      <c r="Q1216">
        <f>IF($U1216="","",INDEX(상세표[07~18시],$U1216))</f>
        <v/>
      </c>
      <c r="R1216">
        <f>IF($U1216="","",INDEX(상세표[18~22시],$U1216))</f>
        <v/>
      </c>
      <c r="S1216">
        <f>IF($U1216="","",INDEX(상세표[22~06시],$U1216))</f>
        <v/>
      </c>
      <c r="T1216">
        <f>IF($U1216="","",INDEX(상세표[기록 시간외],$U1216))</f>
        <v/>
      </c>
      <c r="U1216" s="4">
        <f>IFERROR(MATCH(1211,상세표[발송순번],0),"")</f>
        <v/>
      </c>
    </row>
    <row r="1217">
      <c r="J1217">
        <f>IF($U1217="","",INDEX(상세표[사번],$U1217)&amp;"")</f>
        <v/>
      </c>
      <c r="K1217">
        <f>IF($U1217="","",INDEX(상세표[성명],$U1217)&amp;"")</f>
        <v/>
      </c>
      <c r="L1217">
        <f>IF($U1217="","",INDEX(상세표[직위],$U1217)&amp;"")</f>
        <v/>
      </c>
      <c r="M1217">
        <f>IF($U1217="","",IF(ISNUMBER(INDEX(상세표[근무일자],$U1217)),TEXT(INDEX(상세표[근무일자],$U1217),"yyyy-mm-dd"),INDEX(상세표[근무일자],$U1217)&amp;""))</f>
        <v/>
      </c>
      <c r="N1217">
        <f>IF($U1217="","",IF(ISNUMBER(INDEX(상세표[시작],$U1217)),TEXT(INDEX(상세표[시작],$U1217),"yyyy-mm-dd hh:mm"),INDEX(상세표[시작],$U1217)&amp;""))</f>
        <v/>
      </c>
      <c r="O1217">
        <f>IF($U1217="","",IF(ISNUMBER(INDEX(상세표[종료],$U1217)),TEXT(INDEX(상세표[종료],$U1217),"yyyy-mm-dd hh:mm"),INDEX(상세표[종료],$U1217)&amp;""))</f>
        <v/>
      </c>
      <c r="P1217">
        <f>IF($U1217="","",INDEX(상세표[06~07시],$U1217))</f>
        <v/>
      </c>
      <c r="Q1217">
        <f>IF($U1217="","",INDEX(상세표[07~18시],$U1217))</f>
        <v/>
      </c>
      <c r="R1217">
        <f>IF($U1217="","",INDEX(상세표[18~22시],$U1217))</f>
        <v/>
      </c>
      <c r="S1217">
        <f>IF($U1217="","",INDEX(상세표[22~06시],$U1217))</f>
        <v/>
      </c>
      <c r="T1217">
        <f>IF($U1217="","",INDEX(상세표[기록 시간외],$U1217))</f>
        <v/>
      </c>
      <c r="U1217" s="4">
        <f>IFERROR(MATCH(1212,상세표[발송순번],0),"")</f>
        <v/>
      </c>
    </row>
    <row r="1218">
      <c r="J1218">
        <f>IF($U1218="","",INDEX(상세표[사번],$U1218)&amp;"")</f>
        <v/>
      </c>
      <c r="K1218">
        <f>IF($U1218="","",INDEX(상세표[성명],$U1218)&amp;"")</f>
        <v/>
      </c>
      <c r="L1218">
        <f>IF($U1218="","",INDEX(상세표[직위],$U1218)&amp;"")</f>
        <v/>
      </c>
      <c r="M1218">
        <f>IF($U1218="","",IF(ISNUMBER(INDEX(상세표[근무일자],$U1218)),TEXT(INDEX(상세표[근무일자],$U1218),"yyyy-mm-dd"),INDEX(상세표[근무일자],$U1218)&amp;""))</f>
        <v/>
      </c>
      <c r="N1218">
        <f>IF($U1218="","",IF(ISNUMBER(INDEX(상세표[시작],$U1218)),TEXT(INDEX(상세표[시작],$U1218),"yyyy-mm-dd hh:mm"),INDEX(상세표[시작],$U1218)&amp;""))</f>
        <v/>
      </c>
      <c r="O1218">
        <f>IF($U1218="","",IF(ISNUMBER(INDEX(상세표[종료],$U1218)),TEXT(INDEX(상세표[종료],$U1218),"yyyy-mm-dd hh:mm"),INDEX(상세표[종료],$U1218)&amp;""))</f>
        <v/>
      </c>
      <c r="P1218">
        <f>IF($U1218="","",INDEX(상세표[06~07시],$U1218))</f>
        <v/>
      </c>
      <c r="Q1218">
        <f>IF($U1218="","",INDEX(상세표[07~18시],$U1218))</f>
        <v/>
      </c>
      <c r="R1218">
        <f>IF($U1218="","",INDEX(상세표[18~22시],$U1218))</f>
        <v/>
      </c>
      <c r="S1218">
        <f>IF($U1218="","",INDEX(상세표[22~06시],$U1218))</f>
        <v/>
      </c>
      <c r="T1218">
        <f>IF($U1218="","",INDEX(상세표[기록 시간외],$U1218))</f>
        <v/>
      </c>
      <c r="U1218" s="4">
        <f>IFERROR(MATCH(1213,상세표[발송순번],0),"")</f>
        <v/>
      </c>
    </row>
    <row r="1219">
      <c r="J1219">
        <f>IF($U1219="","",INDEX(상세표[사번],$U1219)&amp;"")</f>
        <v/>
      </c>
      <c r="K1219">
        <f>IF($U1219="","",INDEX(상세표[성명],$U1219)&amp;"")</f>
        <v/>
      </c>
      <c r="L1219">
        <f>IF($U1219="","",INDEX(상세표[직위],$U1219)&amp;"")</f>
        <v/>
      </c>
      <c r="M1219">
        <f>IF($U1219="","",IF(ISNUMBER(INDEX(상세표[근무일자],$U1219)),TEXT(INDEX(상세표[근무일자],$U1219),"yyyy-mm-dd"),INDEX(상세표[근무일자],$U1219)&amp;""))</f>
        <v/>
      </c>
      <c r="N1219">
        <f>IF($U1219="","",IF(ISNUMBER(INDEX(상세표[시작],$U1219)),TEXT(INDEX(상세표[시작],$U1219),"yyyy-mm-dd hh:mm"),INDEX(상세표[시작],$U1219)&amp;""))</f>
        <v/>
      </c>
      <c r="O1219">
        <f>IF($U1219="","",IF(ISNUMBER(INDEX(상세표[종료],$U1219)),TEXT(INDEX(상세표[종료],$U1219),"yyyy-mm-dd hh:mm"),INDEX(상세표[종료],$U1219)&amp;""))</f>
        <v/>
      </c>
      <c r="P1219">
        <f>IF($U1219="","",INDEX(상세표[06~07시],$U1219))</f>
        <v/>
      </c>
      <c r="Q1219">
        <f>IF($U1219="","",INDEX(상세표[07~18시],$U1219))</f>
        <v/>
      </c>
      <c r="R1219">
        <f>IF($U1219="","",INDEX(상세표[18~22시],$U1219))</f>
        <v/>
      </c>
      <c r="S1219">
        <f>IF($U1219="","",INDEX(상세표[22~06시],$U1219))</f>
        <v/>
      </c>
      <c r="T1219">
        <f>IF($U1219="","",INDEX(상세표[기록 시간외],$U1219))</f>
        <v/>
      </c>
      <c r="U1219" s="4">
        <f>IFERROR(MATCH(1214,상세표[발송순번],0),"")</f>
        <v/>
      </c>
    </row>
    <row r="1220">
      <c r="J1220">
        <f>IF($U1220="","",INDEX(상세표[사번],$U1220)&amp;"")</f>
        <v/>
      </c>
      <c r="K1220">
        <f>IF($U1220="","",INDEX(상세표[성명],$U1220)&amp;"")</f>
        <v/>
      </c>
      <c r="L1220">
        <f>IF($U1220="","",INDEX(상세표[직위],$U1220)&amp;"")</f>
        <v/>
      </c>
      <c r="M1220">
        <f>IF($U1220="","",IF(ISNUMBER(INDEX(상세표[근무일자],$U1220)),TEXT(INDEX(상세표[근무일자],$U1220),"yyyy-mm-dd"),INDEX(상세표[근무일자],$U1220)&amp;""))</f>
        <v/>
      </c>
      <c r="N1220">
        <f>IF($U1220="","",IF(ISNUMBER(INDEX(상세표[시작],$U1220)),TEXT(INDEX(상세표[시작],$U1220),"yyyy-mm-dd hh:mm"),INDEX(상세표[시작],$U1220)&amp;""))</f>
        <v/>
      </c>
      <c r="O1220">
        <f>IF($U1220="","",IF(ISNUMBER(INDEX(상세표[종료],$U1220)),TEXT(INDEX(상세표[종료],$U1220),"yyyy-mm-dd hh:mm"),INDEX(상세표[종료],$U1220)&amp;""))</f>
        <v/>
      </c>
      <c r="P1220">
        <f>IF($U1220="","",INDEX(상세표[06~07시],$U1220))</f>
        <v/>
      </c>
      <c r="Q1220">
        <f>IF($U1220="","",INDEX(상세표[07~18시],$U1220))</f>
        <v/>
      </c>
      <c r="R1220">
        <f>IF($U1220="","",INDEX(상세표[18~22시],$U1220))</f>
        <v/>
      </c>
      <c r="S1220">
        <f>IF($U1220="","",INDEX(상세표[22~06시],$U1220))</f>
        <v/>
      </c>
      <c r="T1220">
        <f>IF($U1220="","",INDEX(상세표[기록 시간외],$U1220))</f>
        <v/>
      </c>
      <c r="U1220" s="4">
        <f>IFERROR(MATCH(1215,상세표[발송순번],0),"")</f>
        <v/>
      </c>
    </row>
    <row r="1221">
      <c r="J1221">
        <f>IF($U1221="","",INDEX(상세표[사번],$U1221)&amp;"")</f>
        <v/>
      </c>
      <c r="K1221">
        <f>IF($U1221="","",INDEX(상세표[성명],$U1221)&amp;"")</f>
        <v/>
      </c>
      <c r="L1221">
        <f>IF($U1221="","",INDEX(상세표[직위],$U1221)&amp;"")</f>
        <v/>
      </c>
      <c r="M1221">
        <f>IF($U1221="","",IF(ISNUMBER(INDEX(상세표[근무일자],$U1221)),TEXT(INDEX(상세표[근무일자],$U1221),"yyyy-mm-dd"),INDEX(상세표[근무일자],$U1221)&amp;""))</f>
        <v/>
      </c>
      <c r="N1221">
        <f>IF($U1221="","",IF(ISNUMBER(INDEX(상세표[시작],$U1221)),TEXT(INDEX(상세표[시작],$U1221),"yyyy-mm-dd hh:mm"),INDEX(상세표[시작],$U1221)&amp;""))</f>
        <v/>
      </c>
      <c r="O1221">
        <f>IF($U1221="","",IF(ISNUMBER(INDEX(상세표[종료],$U1221)),TEXT(INDEX(상세표[종료],$U1221),"yyyy-mm-dd hh:mm"),INDEX(상세표[종료],$U1221)&amp;""))</f>
        <v/>
      </c>
      <c r="P1221">
        <f>IF($U1221="","",INDEX(상세표[06~07시],$U1221))</f>
        <v/>
      </c>
      <c r="Q1221">
        <f>IF($U1221="","",INDEX(상세표[07~18시],$U1221))</f>
        <v/>
      </c>
      <c r="R1221">
        <f>IF($U1221="","",INDEX(상세표[18~22시],$U1221))</f>
        <v/>
      </c>
      <c r="S1221">
        <f>IF($U1221="","",INDEX(상세표[22~06시],$U1221))</f>
        <v/>
      </c>
      <c r="T1221">
        <f>IF($U1221="","",INDEX(상세표[기록 시간외],$U1221))</f>
        <v/>
      </c>
      <c r="U1221" s="4">
        <f>IFERROR(MATCH(1216,상세표[발송순번],0),"")</f>
        <v/>
      </c>
    </row>
    <row r="1222">
      <c r="J1222">
        <f>IF($U1222="","",INDEX(상세표[사번],$U1222)&amp;"")</f>
        <v/>
      </c>
      <c r="K1222">
        <f>IF($U1222="","",INDEX(상세표[성명],$U1222)&amp;"")</f>
        <v/>
      </c>
      <c r="L1222">
        <f>IF($U1222="","",INDEX(상세표[직위],$U1222)&amp;"")</f>
        <v/>
      </c>
      <c r="M1222">
        <f>IF($U1222="","",IF(ISNUMBER(INDEX(상세표[근무일자],$U1222)),TEXT(INDEX(상세표[근무일자],$U1222),"yyyy-mm-dd"),INDEX(상세표[근무일자],$U1222)&amp;""))</f>
        <v/>
      </c>
      <c r="N1222">
        <f>IF($U1222="","",IF(ISNUMBER(INDEX(상세표[시작],$U1222)),TEXT(INDEX(상세표[시작],$U1222),"yyyy-mm-dd hh:mm"),INDEX(상세표[시작],$U1222)&amp;""))</f>
        <v/>
      </c>
      <c r="O1222">
        <f>IF($U1222="","",IF(ISNUMBER(INDEX(상세표[종료],$U1222)),TEXT(INDEX(상세표[종료],$U1222),"yyyy-mm-dd hh:mm"),INDEX(상세표[종료],$U1222)&amp;""))</f>
        <v/>
      </c>
      <c r="P1222">
        <f>IF($U1222="","",INDEX(상세표[06~07시],$U1222))</f>
        <v/>
      </c>
      <c r="Q1222">
        <f>IF($U1222="","",INDEX(상세표[07~18시],$U1222))</f>
        <v/>
      </c>
      <c r="R1222">
        <f>IF($U1222="","",INDEX(상세표[18~22시],$U1222))</f>
        <v/>
      </c>
      <c r="S1222">
        <f>IF($U1222="","",INDEX(상세표[22~06시],$U1222))</f>
        <v/>
      </c>
      <c r="T1222">
        <f>IF($U1222="","",INDEX(상세표[기록 시간외],$U1222))</f>
        <v/>
      </c>
      <c r="U1222" s="4">
        <f>IFERROR(MATCH(1217,상세표[발송순번],0),"")</f>
        <v/>
      </c>
    </row>
    <row r="1223">
      <c r="J1223">
        <f>IF($U1223="","",INDEX(상세표[사번],$U1223)&amp;"")</f>
        <v/>
      </c>
      <c r="K1223">
        <f>IF($U1223="","",INDEX(상세표[성명],$U1223)&amp;"")</f>
        <v/>
      </c>
      <c r="L1223">
        <f>IF($U1223="","",INDEX(상세표[직위],$U1223)&amp;"")</f>
        <v/>
      </c>
      <c r="M1223">
        <f>IF($U1223="","",IF(ISNUMBER(INDEX(상세표[근무일자],$U1223)),TEXT(INDEX(상세표[근무일자],$U1223),"yyyy-mm-dd"),INDEX(상세표[근무일자],$U1223)&amp;""))</f>
        <v/>
      </c>
      <c r="N1223">
        <f>IF($U1223="","",IF(ISNUMBER(INDEX(상세표[시작],$U1223)),TEXT(INDEX(상세표[시작],$U1223),"yyyy-mm-dd hh:mm"),INDEX(상세표[시작],$U1223)&amp;""))</f>
        <v/>
      </c>
      <c r="O1223">
        <f>IF($U1223="","",IF(ISNUMBER(INDEX(상세표[종료],$U1223)),TEXT(INDEX(상세표[종료],$U1223),"yyyy-mm-dd hh:mm"),INDEX(상세표[종료],$U1223)&amp;""))</f>
        <v/>
      </c>
      <c r="P1223">
        <f>IF($U1223="","",INDEX(상세표[06~07시],$U1223))</f>
        <v/>
      </c>
      <c r="Q1223">
        <f>IF($U1223="","",INDEX(상세표[07~18시],$U1223))</f>
        <v/>
      </c>
      <c r="R1223">
        <f>IF($U1223="","",INDEX(상세표[18~22시],$U1223))</f>
        <v/>
      </c>
      <c r="S1223">
        <f>IF($U1223="","",INDEX(상세표[22~06시],$U1223))</f>
        <v/>
      </c>
      <c r="T1223">
        <f>IF($U1223="","",INDEX(상세표[기록 시간외],$U1223))</f>
        <v/>
      </c>
      <c r="U1223" s="4">
        <f>IFERROR(MATCH(1218,상세표[발송순번],0),"")</f>
        <v/>
      </c>
    </row>
    <row r="1224">
      <c r="J1224">
        <f>IF($U1224="","",INDEX(상세표[사번],$U1224)&amp;"")</f>
        <v/>
      </c>
      <c r="K1224">
        <f>IF($U1224="","",INDEX(상세표[성명],$U1224)&amp;"")</f>
        <v/>
      </c>
      <c r="L1224">
        <f>IF($U1224="","",INDEX(상세표[직위],$U1224)&amp;"")</f>
        <v/>
      </c>
      <c r="M1224">
        <f>IF($U1224="","",IF(ISNUMBER(INDEX(상세표[근무일자],$U1224)),TEXT(INDEX(상세표[근무일자],$U1224),"yyyy-mm-dd"),INDEX(상세표[근무일자],$U1224)&amp;""))</f>
        <v/>
      </c>
      <c r="N1224">
        <f>IF($U1224="","",IF(ISNUMBER(INDEX(상세표[시작],$U1224)),TEXT(INDEX(상세표[시작],$U1224),"yyyy-mm-dd hh:mm"),INDEX(상세표[시작],$U1224)&amp;""))</f>
        <v/>
      </c>
      <c r="O1224">
        <f>IF($U1224="","",IF(ISNUMBER(INDEX(상세표[종료],$U1224)),TEXT(INDEX(상세표[종료],$U1224),"yyyy-mm-dd hh:mm"),INDEX(상세표[종료],$U1224)&amp;""))</f>
        <v/>
      </c>
      <c r="P1224">
        <f>IF($U1224="","",INDEX(상세표[06~07시],$U1224))</f>
        <v/>
      </c>
      <c r="Q1224">
        <f>IF($U1224="","",INDEX(상세표[07~18시],$U1224))</f>
        <v/>
      </c>
      <c r="R1224">
        <f>IF($U1224="","",INDEX(상세표[18~22시],$U1224))</f>
        <v/>
      </c>
      <c r="S1224">
        <f>IF($U1224="","",INDEX(상세표[22~06시],$U1224))</f>
        <v/>
      </c>
      <c r="T1224">
        <f>IF($U1224="","",INDEX(상세표[기록 시간외],$U1224))</f>
        <v/>
      </c>
      <c r="U1224" s="4">
        <f>IFERROR(MATCH(1219,상세표[발송순번],0),"")</f>
        <v/>
      </c>
    </row>
    <row r="1225">
      <c r="J1225">
        <f>IF($U1225="","",INDEX(상세표[사번],$U1225)&amp;"")</f>
        <v/>
      </c>
      <c r="K1225">
        <f>IF($U1225="","",INDEX(상세표[성명],$U1225)&amp;"")</f>
        <v/>
      </c>
      <c r="L1225">
        <f>IF($U1225="","",INDEX(상세표[직위],$U1225)&amp;"")</f>
        <v/>
      </c>
      <c r="M1225">
        <f>IF($U1225="","",IF(ISNUMBER(INDEX(상세표[근무일자],$U1225)),TEXT(INDEX(상세표[근무일자],$U1225),"yyyy-mm-dd"),INDEX(상세표[근무일자],$U1225)&amp;""))</f>
        <v/>
      </c>
      <c r="N1225">
        <f>IF($U1225="","",IF(ISNUMBER(INDEX(상세표[시작],$U1225)),TEXT(INDEX(상세표[시작],$U1225),"yyyy-mm-dd hh:mm"),INDEX(상세표[시작],$U1225)&amp;""))</f>
        <v/>
      </c>
      <c r="O1225">
        <f>IF($U1225="","",IF(ISNUMBER(INDEX(상세표[종료],$U1225)),TEXT(INDEX(상세표[종료],$U1225),"yyyy-mm-dd hh:mm"),INDEX(상세표[종료],$U1225)&amp;""))</f>
        <v/>
      </c>
      <c r="P1225">
        <f>IF($U1225="","",INDEX(상세표[06~07시],$U1225))</f>
        <v/>
      </c>
      <c r="Q1225">
        <f>IF($U1225="","",INDEX(상세표[07~18시],$U1225))</f>
        <v/>
      </c>
      <c r="R1225">
        <f>IF($U1225="","",INDEX(상세표[18~22시],$U1225))</f>
        <v/>
      </c>
      <c r="S1225">
        <f>IF($U1225="","",INDEX(상세표[22~06시],$U1225))</f>
        <v/>
      </c>
      <c r="T1225">
        <f>IF($U1225="","",INDEX(상세표[기록 시간외],$U1225))</f>
        <v/>
      </c>
      <c r="U1225" s="4">
        <f>IFERROR(MATCH(1220,상세표[발송순번],0),"")</f>
        <v/>
      </c>
    </row>
    <row r="1226">
      <c r="J1226">
        <f>IF($U1226="","",INDEX(상세표[사번],$U1226)&amp;"")</f>
        <v/>
      </c>
      <c r="K1226">
        <f>IF($U1226="","",INDEX(상세표[성명],$U1226)&amp;"")</f>
        <v/>
      </c>
      <c r="L1226">
        <f>IF($U1226="","",INDEX(상세표[직위],$U1226)&amp;"")</f>
        <v/>
      </c>
      <c r="M1226">
        <f>IF($U1226="","",IF(ISNUMBER(INDEX(상세표[근무일자],$U1226)),TEXT(INDEX(상세표[근무일자],$U1226),"yyyy-mm-dd"),INDEX(상세표[근무일자],$U1226)&amp;""))</f>
        <v/>
      </c>
      <c r="N1226">
        <f>IF($U1226="","",IF(ISNUMBER(INDEX(상세표[시작],$U1226)),TEXT(INDEX(상세표[시작],$U1226),"yyyy-mm-dd hh:mm"),INDEX(상세표[시작],$U1226)&amp;""))</f>
        <v/>
      </c>
      <c r="O1226">
        <f>IF($U1226="","",IF(ISNUMBER(INDEX(상세표[종료],$U1226)),TEXT(INDEX(상세표[종료],$U1226),"yyyy-mm-dd hh:mm"),INDEX(상세표[종료],$U1226)&amp;""))</f>
        <v/>
      </c>
      <c r="P1226">
        <f>IF($U1226="","",INDEX(상세표[06~07시],$U1226))</f>
        <v/>
      </c>
      <c r="Q1226">
        <f>IF($U1226="","",INDEX(상세표[07~18시],$U1226))</f>
        <v/>
      </c>
      <c r="R1226">
        <f>IF($U1226="","",INDEX(상세표[18~22시],$U1226))</f>
        <v/>
      </c>
      <c r="S1226">
        <f>IF($U1226="","",INDEX(상세표[22~06시],$U1226))</f>
        <v/>
      </c>
      <c r="T1226">
        <f>IF($U1226="","",INDEX(상세표[기록 시간외],$U1226))</f>
        <v/>
      </c>
      <c r="U1226" s="4">
        <f>IFERROR(MATCH(1221,상세표[발송순번],0),"")</f>
        <v/>
      </c>
    </row>
    <row r="1227">
      <c r="J1227">
        <f>IF($U1227="","",INDEX(상세표[사번],$U1227)&amp;"")</f>
        <v/>
      </c>
      <c r="K1227">
        <f>IF($U1227="","",INDEX(상세표[성명],$U1227)&amp;"")</f>
        <v/>
      </c>
      <c r="L1227">
        <f>IF($U1227="","",INDEX(상세표[직위],$U1227)&amp;"")</f>
        <v/>
      </c>
      <c r="M1227">
        <f>IF($U1227="","",IF(ISNUMBER(INDEX(상세표[근무일자],$U1227)),TEXT(INDEX(상세표[근무일자],$U1227),"yyyy-mm-dd"),INDEX(상세표[근무일자],$U1227)&amp;""))</f>
        <v/>
      </c>
      <c r="N1227">
        <f>IF($U1227="","",IF(ISNUMBER(INDEX(상세표[시작],$U1227)),TEXT(INDEX(상세표[시작],$U1227),"yyyy-mm-dd hh:mm"),INDEX(상세표[시작],$U1227)&amp;""))</f>
        <v/>
      </c>
      <c r="O1227">
        <f>IF($U1227="","",IF(ISNUMBER(INDEX(상세표[종료],$U1227)),TEXT(INDEX(상세표[종료],$U1227),"yyyy-mm-dd hh:mm"),INDEX(상세표[종료],$U1227)&amp;""))</f>
        <v/>
      </c>
      <c r="P1227">
        <f>IF($U1227="","",INDEX(상세표[06~07시],$U1227))</f>
        <v/>
      </c>
      <c r="Q1227">
        <f>IF($U1227="","",INDEX(상세표[07~18시],$U1227))</f>
        <v/>
      </c>
      <c r="R1227">
        <f>IF($U1227="","",INDEX(상세표[18~22시],$U1227))</f>
        <v/>
      </c>
      <c r="S1227">
        <f>IF($U1227="","",INDEX(상세표[22~06시],$U1227))</f>
        <v/>
      </c>
      <c r="T1227">
        <f>IF($U1227="","",INDEX(상세표[기록 시간외],$U1227))</f>
        <v/>
      </c>
      <c r="U1227" s="4">
        <f>IFERROR(MATCH(1222,상세표[발송순번],0),"")</f>
        <v/>
      </c>
    </row>
    <row r="1228">
      <c r="J1228">
        <f>IF($U1228="","",INDEX(상세표[사번],$U1228)&amp;"")</f>
        <v/>
      </c>
      <c r="K1228">
        <f>IF($U1228="","",INDEX(상세표[성명],$U1228)&amp;"")</f>
        <v/>
      </c>
      <c r="L1228">
        <f>IF($U1228="","",INDEX(상세표[직위],$U1228)&amp;"")</f>
        <v/>
      </c>
      <c r="M1228">
        <f>IF($U1228="","",IF(ISNUMBER(INDEX(상세표[근무일자],$U1228)),TEXT(INDEX(상세표[근무일자],$U1228),"yyyy-mm-dd"),INDEX(상세표[근무일자],$U1228)&amp;""))</f>
        <v/>
      </c>
      <c r="N1228">
        <f>IF($U1228="","",IF(ISNUMBER(INDEX(상세표[시작],$U1228)),TEXT(INDEX(상세표[시작],$U1228),"yyyy-mm-dd hh:mm"),INDEX(상세표[시작],$U1228)&amp;""))</f>
        <v/>
      </c>
      <c r="O1228">
        <f>IF($U1228="","",IF(ISNUMBER(INDEX(상세표[종료],$U1228)),TEXT(INDEX(상세표[종료],$U1228),"yyyy-mm-dd hh:mm"),INDEX(상세표[종료],$U1228)&amp;""))</f>
        <v/>
      </c>
      <c r="P1228">
        <f>IF($U1228="","",INDEX(상세표[06~07시],$U1228))</f>
        <v/>
      </c>
      <c r="Q1228">
        <f>IF($U1228="","",INDEX(상세표[07~18시],$U1228))</f>
        <v/>
      </c>
      <c r="R1228">
        <f>IF($U1228="","",INDEX(상세표[18~22시],$U1228))</f>
        <v/>
      </c>
      <c r="S1228">
        <f>IF($U1228="","",INDEX(상세표[22~06시],$U1228))</f>
        <v/>
      </c>
      <c r="T1228">
        <f>IF($U1228="","",INDEX(상세표[기록 시간외],$U1228))</f>
        <v/>
      </c>
      <c r="U1228" s="4">
        <f>IFERROR(MATCH(1223,상세표[발송순번],0),"")</f>
        <v/>
      </c>
    </row>
    <row r="1229">
      <c r="J1229">
        <f>IF($U1229="","",INDEX(상세표[사번],$U1229)&amp;"")</f>
        <v/>
      </c>
      <c r="K1229">
        <f>IF($U1229="","",INDEX(상세표[성명],$U1229)&amp;"")</f>
        <v/>
      </c>
      <c r="L1229">
        <f>IF($U1229="","",INDEX(상세표[직위],$U1229)&amp;"")</f>
        <v/>
      </c>
      <c r="M1229">
        <f>IF($U1229="","",IF(ISNUMBER(INDEX(상세표[근무일자],$U1229)),TEXT(INDEX(상세표[근무일자],$U1229),"yyyy-mm-dd"),INDEX(상세표[근무일자],$U1229)&amp;""))</f>
        <v/>
      </c>
      <c r="N1229">
        <f>IF($U1229="","",IF(ISNUMBER(INDEX(상세표[시작],$U1229)),TEXT(INDEX(상세표[시작],$U1229),"yyyy-mm-dd hh:mm"),INDEX(상세표[시작],$U1229)&amp;""))</f>
        <v/>
      </c>
      <c r="O1229">
        <f>IF($U1229="","",IF(ISNUMBER(INDEX(상세표[종료],$U1229)),TEXT(INDEX(상세표[종료],$U1229),"yyyy-mm-dd hh:mm"),INDEX(상세표[종료],$U1229)&amp;""))</f>
        <v/>
      </c>
      <c r="P1229">
        <f>IF($U1229="","",INDEX(상세표[06~07시],$U1229))</f>
        <v/>
      </c>
      <c r="Q1229">
        <f>IF($U1229="","",INDEX(상세표[07~18시],$U1229))</f>
        <v/>
      </c>
      <c r="R1229">
        <f>IF($U1229="","",INDEX(상세표[18~22시],$U1229))</f>
        <v/>
      </c>
      <c r="S1229">
        <f>IF($U1229="","",INDEX(상세표[22~06시],$U1229))</f>
        <v/>
      </c>
      <c r="T1229">
        <f>IF($U1229="","",INDEX(상세표[기록 시간외],$U1229))</f>
        <v/>
      </c>
      <c r="U1229" s="4">
        <f>IFERROR(MATCH(1224,상세표[발송순번],0),"")</f>
        <v/>
      </c>
    </row>
    <row r="1230">
      <c r="J1230">
        <f>IF($U1230="","",INDEX(상세표[사번],$U1230)&amp;"")</f>
        <v/>
      </c>
      <c r="K1230">
        <f>IF($U1230="","",INDEX(상세표[성명],$U1230)&amp;"")</f>
        <v/>
      </c>
      <c r="L1230">
        <f>IF($U1230="","",INDEX(상세표[직위],$U1230)&amp;"")</f>
        <v/>
      </c>
      <c r="M1230">
        <f>IF($U1230="","",IF(ISNUMBER(INDEX(상세표[근무일자],$U1230)),TEXT(INDEX(상세표[근무일자],$U1230),"yyyy-mm-dd"),INDEX(상세표[근무일자],$U1230)&amp;""))</f>
        <v/>
      </c>
      <c r="N1230">
        <f>IF($U1230="","",IF(ISNUMBER(INDEX(상세표[시작],$U1230)),TEXT(INDEX(상세표[시작],$U1230),"yyyy-mm-dd hh:mm"),INDEX(상세표[시작],$U1230)&amp;""))</f>
        <v/>
      </c>
      <c r="O1230">
        <f>IF($U1230="","",IF(ISNUMBER(INDEX(상세표[종료],$U1230)),TEXT(INDEX(상세표[종료],$U1230),"yyyy-mm-dd hh:mm"),INDEX(상세표[종료],$U1230)&amp;""))</f>
        <v/>
      </c>
      <c r="P1230">
        <f>IF($U1230="","",INDEX(상세표[06~07시],$U1230))</f>
        <v/>
      </c>
      <c r="Q1230">
        <f>IF($U1230="","",INDEX(상세표[07~18시],$U1230))</f>
        <v/>
      </c>
      <c r="R1230">
        <f>IF($U1230="","",INDEX(상세표[18~22시],$U1230))</f>
        <v/>
      </c>
      <c r="S1230">
        <f>IF($U1230="","",INDEX(상세표[22~06시],$U1230))</f>
        <v/>
      </c>
      <c r="T1230">
        <f>IF($U1230="","",INDEX(상세표[기록 시간외],$U1230))</f>
        <v/>
      </c>
      <c r="U1230" s="4">
        <f>IFERROR(MATCH(1225,상세표[발송순번],0),"")</f>
        <v/>
      </c>
    </row>
    <row r="1231">
      <c r="J1231">
        <f>IF($U1231="","",INDEX(상세표[사번],$U1231)&amp;"")</f>
        <v/>
      </c>
      <c r="K1231">
        <f>IF($U1231="","",INDEX(상세표[성명],$U1231)&amp;"")</f>
        <v/>
      </c>
      <c r="L1231">
        <f>IF($U1231="","",INDEX(상세표[직위],$U1231)&amp;"")</f>
        <v/>
      </c>
      <c r="M1231">
        <f>IF($U1231="","",IF(ISNUMBER(INDEX(상세표[근무일자],$U1231)),TEXT(INDEX(상세표[근무일자],$U1231),"yyyy-mm-dd"),INDEX(상세표[근무일자],$U1231)&amp;""))</f>
        <v/>
      </c>
      <c r="N1231">
        <f>IF($U1231="","",IF(ISNUMBER(INDEX(상세표[시작],$U1231)),TEXT(INDEX(상세표[시작],$U1231),"yyyy-mm-dd hh:mm"),INDEX(상세표[시작],$U1231)&amp;""))</f>
        <v/>
      </c>
      <c r="O1231">
        <f>IF($U1231="","",IF(ISNUMBER(INDEX(상세표[종료],$U1231)),TEXT(INDEX(상세표[종료],$U1231),"yyyy-mm-dd hh:mm"),INDEX(상세표[종료],$U1231)&amp;""))</f>
        <v/>
      </c>
      <c r="P1231">
        <f>IF($U1231="","",INDEX(상세표[06~07시],$U1231))</f>
        <v/>
      </c>
      <c r="Q1231">
        <f>IF($U1231="","",INDEX(상세표[07~18시],$U1231))</f>
        <v/>
      </c>
      <c r="R1231">
        <f>IF($U1231="","",INDEX(상세표[18~22시],$U1231))</f>
        <v/>
      </c>
      <c r="S1231">
        <f>IF($U1231="","",INDEX(상세표[22~06시],$U1231))</f>
        <v/>
      </c>
      <c r="T1231">
        <f>IF($U1231="","",INDEX(상세표[기록 시간외],$U1231))</f>
        <v/>
      </c>
      <c r="U1231" s="4">
        <f>IFERROR(MATCH(1226,상세표[발송순번],0),"")</f>
        <v/>
      </c>
    </row>
    <row r="1232">
      <c r="J1232">
        <f>IF($U1232="","",INDEX(상세표[사번],$U1232)&amp;"")</f>
        <v/>
      </c>
      <c r="K1232">
        <f>IF($U1232="","",INDEX(상세표[성명],$U1232)&amp;"")</f>
        <v/>
      </c>
      <c r="L1232">
        <f>IF($U1232="","",INDEX(상세표[직위],$U1232)&amp;"")</f>
        <v/>
      </c>
      <c r="M1232">
        <f>IF($U1232="","",IF(ISNUMBER(INDEX(상세표[근무일자],$U1232)),TEXT(INDEX(상세표[근무일자],$U1232),"yyyy-mm-dd"),INDEX(상세표[근무일자],$U1232)&amp;""))</f>
        <v/>
      </c>
      <c r="N1232">
        <f>IF($U1232="","",IF(ISNUMBER(INDEX(상세표[시작],$U1232)),TEXT(INDEX(상세표[시작],$U1232),"yyyy-mm-dd hh:mm"),INDEX(상세표[시작],$U1232)&amp;""))</f>
        <v/>
      </c>
      <c r="O1232">
        <f>IF($U1232="","",IF(ISNUMBER(INDEX(상세표[종료],$U1232)),TEXT(INDEX(상세표[종료],$U1232),"yyyy-mm-dd hh:mm"),INDEX(상세표[종료],$U1232)&amp;""))</f>
        <v/>
      </c>
      <c r="P1232">
        <f>IF($U1232="","",INDEX(상세표[06~07시],$U1232))</f>
        <v/>
      </c>
      <c r="Q1232">
        <f>IF($U1232="","",INDEX(상세표[07~18시],$U1232))</f>
        <v/>
      </c>
      <c r="R1232">
        <f>IF($U1232="","",INDEX(상세표[18~22시],$U1232))</f>
        <v/>
      </c>
      <c r="S1232">
        <f>IF($U1232="","",INDEX(상세표[22~06시],$U1232))</f>
        <v/>
      </c>
      <c r="T1232">
        <f>IF($U1232="","",INDEX(상세표[기록 시간외],$U1232))</f>
        <v/>
      </c>
      <c r="U1232" s="4">
        <f>IFERROR(MATCH(1227,상세표[발송순번],0),"")</f>
        <v/>
      </c>
    </row>
    <row r="1233">
      <c r="J1233">
        <f>IF($U1233="","",INDEX(상세표[사번],$U1233)&amp;"")</f>
        <v/>
      </c>
      <c r="K1233">
        <f>IF($U1233="","",INDEX(상세표[성명],$U1233)&amp;"")</f>
        <v/>
      </c>
      <c r="L1233">
        <f>IF($U1233="","",INDEX(상세표[직위],$U1233)&amp;"")</f>
        <v/>
      </c>
      <c r="M1233">
        <f>IF($U1233="","",IF(ISNUMBER(INDEX(상세표[근무일자],$U1233)),TEXT(INDEX(상세표[근무일자],$U1233),"yyyy-mm-dd"),INDEX(상세표[근무일자],$U1233)&amp;""))</f>
        <v/>
      </c>
      <c r="N1233">
        <f>IF($U1233="","",IF(ISNUMBER(INDEX(상세표[시작],$U1233)),TEXT(INDEX(상세표[시작],$U1233),"yyyy-mm-dd hh:mm"),INDEX(상세표[시작],$U1233)&amp;""))</f>
        <v/>
      </c>
      <c r="O1233">
        <f>IF($U1233="","",IF(ISNUMBER(INDEX(상세표[종료],$U1233)),TEXT(INDEX(상세표[종료],$U1233),"yyyy-mm-dd hh:mm"),INDEX(상세표[종료],$U1233)&amp;""))</f>
        <v/>
      </c>
      <c r="P1233">
        <f>IF($U1233="","",INDEX(상세표[06~07시],$U1233))</f>
        <v/>
      </c>
      <c r="Q1233">
        <f>IF($U1233="","",INDEX(상세표[07~18시],$U1233))</f>
        <v/>
      </c>
      <c r="R1233">
        <f>IF($U1233="","",INDEX(상세표[18~22시],$U1233))</f>
        <v/>
      </c>
      <c r="S1233">
        <f>IF($U1233="","",INDEX(상세표[22~06시],$U1233))</f>
        <v/>
      </c>
      <c r="T1233">
        <f>IF($U1233="","",INDEX(상세표[기록 시간외],$U1233))</f>
        <v/>
      </c>
      <c r="U1233" s="4">
        <f>IFERROR(MATCH(1228,상세표[발송순번],0),"")</f>
        <v/>
      </c>
    </row>
    <row r="1234">
      <c r="J1234">
        <f>IF($U1234="","",INDEX(상세표[사번],$U1234)&amp;"")</f>
        <v/>
      </c>
      <c r="K1234">
        <f>IF($U1234="","",INDEX(상세표[성명],$U1234)&amp;"")</f>
        <v/>
      </c>
      <c r="L1234">
        <f>IF($U1234="","",INDEX(상세표[직위],$U1234)&amp;"")</f>
        <v/>
      </c>
      <c r="M1234">
        <f>IF($U1234="","",IF(ISNUMBER(INDEX(상세표[근무일자],$U1234)),TEXT(INDEX(상세표[근무일자],$U1234),"yyyy-mm-dd"),INDEX(상세표[근무일자],$U1234)&amp;""))</f>
        <v/>
      </c>
      <c r="N1234">
        <f>IF($U1234="","",IF(ISNUMBER(INDEX(상세표[시작],$U1234)),TEXT(INDEX(상세표[시작],$U1234),"yyyy-mm-dd hh:mm"),INDEX(상세표[시작],$U1234)&amp;""))</f>
        <v/>
      </c>
      <c r="O1234">
        <f>IF($U1234="","",IF(ISNUMBER(INDEX(상세표[종료],$U1234)),TEXT(INDEX(상세표[종료],$U1234),"yyyy-mm-dd hh:mm"),INDEX(상세표[종료],$U1234)&amp;""))</f>
        <v/>
      </c>
      <c r="P1234">
        <f>IF($U1234="","",INDEX(상세표[06~07시],$U1234))</f>
        <v/>
      </c>
      <c r="Q1234">
        <f>IF($U1234="","",INDEX(상세표[07~18시],$U1234))</f>
        <v/>
      </c>
      <c r="R1234">
        <f>IF($U1234="","",INDEX(상세표[18~22시],$U1234))</f>
        <v/>
      </c>
      <c r="S1234">
        <f>IF($U1234="","",INDEX(상세표[22~06시],$U1234))</f>
        <v/>
      </c>
      <c r="T1234">
        <f>IF($U1234="","",INDEX(상세표[기록 시간외],$U1234))</f>
        <v/>
      </c>
      <c r="U1234" s="4">
        <f>IFERROR(MATCH(1229,상세표[발송순번],0),"")</f>
        <v/>
      </c>
    </row>
    <row r="1235">
      <c r="J1235">
        <f>IF($U1235="","",INDEX(상세표[사번],$U1235)&amp;"")</f>
        <v/>
      </c>
      <c r="K1235">
        <f>IF($U1235="","",INDEX(상세표[성명],$U1235)&amp;"")</f>
        <v/>
      </c>
      <c r="L1235">
        <f>IF($U1235="","",INDEX(상세표[직위],$U1235)&amp;"")</f>
        <v/>
      </c>
      <c r="M1235">
        <f>IF($U1235="","",IF(ISNUMBER(INDEX(상세표[근무일자],$U1235)),TEXT(INDEX(상세표[근무일자],$U1235),"yyyy-mm-dd"),INDEX(상세표[근무일자],$U1235)&amp;""))</f>
        <v/>
      </c>
      <c r="N1235">
        <f>IF($U1235="","",IF(ISNUMBER(INDEX(상세표[시작],$U1235)),TEXT(INDEX(상세표[시작],$U1235),"yyyy-mm-dd hh:mm"),INDEX(상세표[시작],$U1235)&amp;""))</f>
        <v/>
      </c>
      <c r="O1235">
        <f>IF($U1235="","",IF(ISNUMBER(INDEX(상세표[종료],$U1235)),TEXT(INDEX(상세표[종료],$U1235),"yyyy-mm-dd hh:mm"),INDEX(상세표[종료],$U1235)&amp;""))</f>
        <v/>
      </c>
      <c r="P1235">
        <f>IF($U1235="","",INDEX(상세표[06~07시],$U1235))</f>
        <v/>
      </c>
      <c r="Q1235">
        <f>IF($U1235="","",INDEX(상세표[07~18시],$U1235))</f>
        <v/>
      </c>
      <c r="R1235">
        <f>IF($U1235="","",INDEX(상세표[18~22시],$U1235))</f>
        <v/>
      </c>
      <c r="S1235">
        <f>IF($U1235="","",INDEX(상세표[22~06시],$U1235))</f>
        <v/>
      </c>
      <c r="T1235">
        <f>IF($U1235="","",INDEX(상세표[기록 시간외],$U1235))</f>
        <v/>
      </c>
      <c r="U1235" s="4">
        <f>IFERROR(MATCH(1230,상세표[발송순번],0),"")</f>
        <v/>
      </c>
    </row>
    <row r="1236">
      <c r="J1236">
        <f>IF($U1236="","",INDEX(상세표[사번],$U1236)&amp;"")</f>
        <v/>
      </c>
      <c r="K1236">
        <f>IF($U1236="","",INDEX(상세표[성명],$U1236)&amp;"")</f>
        <v/>
      </c>
      <c r="L1236">
        <f>IF($U1236="","",INDEX(상세표[직위],$U1236)&amp;"")</f>
        <v/>
      </c>
      <c r="M1236">
        <f>IF($U1236="","",IF(ISNUMBER(INDEX(상세표[근무일자],$U1236)),TEXT(INDEX(상세표[근무일자],$U1236),"yyyy-mm-dd"),INDEX(상세표[근무일자],$U1236)&amp;""))</f>
        <v/>
      </c>
      <c r="N1236">
        <f>IF($U1236="","",IF(ISNUMBER(INDEX(상세표[시작],$U1236)),TEXT(INDEX(상세표[시작],$U1236),"yyyy-mm-dd hh:mm"),INDEX(상세표[시작],$U1236)&amp;""))</f>
        <v/>
      </c>
      <c r="O1236">
        <f>IF($U1236="","",IF(ISNUMBER(INDEX(상세표[종료],$U1236)),TEXT(INDEX(상세표[종료],$U1236),"yyyy-mm-dd hh:mm"),INDEX(상세표[종료],$U1236)&amp;""))</f>
        <v/>
      </c>
      <c r="P1236">
        <f>IF($U1236="","",INDEX(상세표[06~07시],$U1236))</f>
        <v/>
      </c>
      <c r="Q1236">
        <f>IF($U1236="","",INDEX(상세표[07~18시],$U1236))</f>
        <v/>
      </c>
      <c r="R1236">
        <f>IF($U1236="","",INDEX(상세표[18~22시],$U1236))</f>
        <v/>
      </c>
      <c r="S1236">
        <f>IF($U1236="","",INDEX(상세표[22~06시],$U1236))</f>
        <v/>
      </c>
      <c r="T1236">
        <f>IF($U1236="","",INDEX(상세표[기록 시간외],$U1236))</f>
        <v/>
      </c>
      <c r="U1236" s="4">
        <f>IFERROR(MATCH(1231,상세표[발송순번],0),"")</f>
        <v/>
      </c>
    </row>
    <row r="1237">
      <c r="J1237">
        <f>IF($U1237="","",INDEX(상세표[사번],$U1237)&amp;"")</f>
        <v/>
      </c>
      <c r="K1237">
        <f>IF($U1237="","",INDEX(상세표[성명],$U1237)&amp;"")</f>
        <v/>
      </c>
      <c r="L1237">
        <f>IF($U1237="","",INDEX(상세표[직위],$U1237)&amp;"")</f>
        <v/>
      </c>
      <c r="M1237">
        <f>IF($U1237="","",IF(ISNUMBER(INDEX(상세표[근무일자],$U1237)),TEXT(INDEX(상세표[근무일자],$U1237),"yyyy-mm-dd"),INDEX(상세표[근무일자],$U1237)&amp;""))</f>
        <v/>
      </c>
      <c r="N1237">
        <f>IF($U1237="","",IF(ISNUMBER(INDEX(상세표[시작],$U1237)),TEXT(INDEX(상세표[시작],$U1237),"yyyy-mm-dd hh:mm"),INDEX(상세표[시작],$U1237)&amp;""))</f>
        <v/>
      </c>
      <c r="O1237">
        <f>IF($U1237="","",IF(ISNUMBER(INDEX(상세표[종료],$U1237)),TEXT(INDEX(상세표[종료],$U1237),"yyyy-mm-dd hh:mm"),INDEX(상세표[종료],$U1237)&amp;""))</f>
        <v/>
      </c>
      <c r="P1237">
        <f>IF($U1237="","",INDEX(상세표[06~07시],$U1237))</f>
        <v/>
      </c>
      <c r="Q1237">
        <f>IF($U1237="","",INDEX(상세표[07~18시],$U1237))</f>
        <v/>
      </c>
      <c r="R1237">
        <f>IF($U1237="","",INDEX(상세표[18~22시],$U1237))</f>
        <v/>
      </c>
      <c r="S1237">
        <f>IF($U1237="","",INDEX(상세표[22~06시],$U1237))</f>
        <v/>
      </c>
      <c r="T1237">
        <f>IF($U1237="","",INDEX(상세표[기록 시간외],$U1237))</f>
        <v/>
      </c>
      <c r="U1237" s="4">
        <f>IFERROR(MATCH(1232,상세표[발송순번],0),"")</f>
        <v/>
      </c>
    </row>
    <row r="1238">
      <c r="J1238">
        <f>IF($U1238="","",INDEX(상세표[사번],$U1238)&amp;"")</f>
        <v/>
      </c>
      <c r="K1238">
        <f>IF($U1238="","",INDEX(상세표[성명],$U1238)&amp;"")</f>
        <v/>
      </c>
      <c r="L1238">
        <f>IF($U1238="","",INDEX(상세표[직위],$U1238)&amp;"")</f>
        <v/>
      </c>
      <c r="M1238">
        <f>IF($U1238="","",IF(ISNUMBER(INDEX(상세표[근무일자],$U1238)),TEXT(INDEX(상세표[근무일자],$U1238),"yyyy-mm-dd"),INDEX(상세표[근무일자],$U1238)&amp;""))</f>
        <v/>
      </c>
      <c r="N1238">
        <f>IF($U1238="","",IF(ISNUMBER(INDEX(상세표[시작],$U1238)),TEXT(INDEX(상세표[시작],$U1238),"yyyy-mm-dd hh:mm"),INDEX(상세표[시작],$U1238)&amp;""))</f>
        <v/>
      </c>
      <c r="O1238">
        <f>IF($U1238="","",IF(ISNUMBER(INDEX(상세표[종료],$U1238)),TEXT(INDEX(상세표[종료],$U1238),"yyyy-mm-dd hh:mm"),INDEX(상세표[종료],$U1238)&amp;""))</f>
        <v/>
      </c>
      <c r="P1238">
        <f>IF($U1238="","",INDEX(상세표[06~07시],$U1238))</f>
        <v/>
      </c>
      <c r="Q1238">
        <f>IF($U1238="","",INDEX(상세표[07~18시],$U1238))</f>
        <v/>
      </c>
      <c r="R1238">
        <f>IF($U1238="","",INDEX(상세표[18~22시],$U1238))</f>
        <v/>
      </c>
      <c r="S1238">
        <f>IF($U1238="","",INDEX(상세표[22~06시],$U1238))</f>
        <v/>
      </c>
      <c r="T1238">
        <f>IF($U1238="","",INDEX(상세표[기록 시간외],$U1238))</f>
        <v/>
      </c>
      <c r="U1238" s="4">
        <f>IFERROR(MATCH(1233,상세표[발송순번],0),"")</f>
        <v/>
      </c>
    </row>
    <row r="1239">
      <c r="J1239">
        <f>IF($U1239="","",INDEX(상세표[사번],$U1239)&amp;"")</f>
        <v/>
      </c>
      <c r="K1239">
        <f>IF($U1239="","",INDEX(상세표[성명],$U1239)&amp;"")</f>
        <v/>
      </c>
      <c r="L1239">
        <f>IF($U1239="","",INDEX(상세표[직위],$U1239)&amp;"")</f>
        <v/>
      </c>
      <c r="M1239">
        <f>IF($U1239="","",IF(ISNUMBER(INDEX(상세표[근무일자],$U1239)),TEXT(INDEX(상세표[근무일자],$U1239),"yyyy-mm-dd"),INDEX(상세표[근무일자],$U1239)&amp;""))</f>
        <v/>
      </c>
      <c r="N1239">
        <f>IF($U1239="","",IF(ISNUMBER(INDEX(상세표[시작],$U1239)),TEXT(INDEX(상세표[시작],$U1239),"yyyy-mm-dd hh:mm"),INDEX(상세표[시작],$U1239)&amp;""))</f>
        <v/>
      </c>
      <c r="O1239">
        <f>IF($U1239="","",IF(ISNUMBER(INDEX(상세표[종료],$U1239)),TEXT(INDEX(상세표[종료],$U1239),"yyyy-mm-dd hh:mm"),INDEX(상세표[종료],$U1239)&amp;""))</f>
        <v/>
      </c>
      <c r="P1239">
        <f>IF($U1239="","",INDEX(상세표[06~07시],$U1239))</f>
        <v/>
      </c>
      <c r="Q1239">
        <f>IF($U1239="","",INDEX(상세표[07~18시],$U1239))</f>
        <v/>
      </c>
      <c r="R1239">
        <f>IF($U1239="","",INDEX(상세표[18~22시],$U1239))</f>
        <v/>
      </c>
      <c r="S1239">
        <f>IF($U1239="","",INDEX(상세표[22~06시],$U1239))</f>
        <v/>
      </c>
      <c r="T1239">
        <f>IF($U1239="","",INDEX(상세표[기록 시간외],$U1239))</f>
        <v/>
      </c>
      <c r="U1239" s="4">
        <f>IFERROR(MATCH(1234,상세표[발송순번],0),"")</f>
        <v/>
      </c>
    </row>
    <row r="1240">
      <c r="J1240">
        <f>IF($U1240="","",INDEX(상세표[사번],$U1240)&amp;"")</f>
        <v/>
      </c>
      <c r="K1240">
        <f>IF($U1240="","",INDEX(상세표[성명],$U1240)&amp;"")</f>
        <v/>
      </c>
      <c r="L1240">
        <f>IF($U1240="","",INDEX(상세표[직위],$U1240)&amp;"")</f>
        <v/>
      </c>
      <c r="M1240">
        <f>IF($U1240="","",IF(ISNUMBER(INDEX(상세표[근무일자],$U1240)),TEXT(INDEX(상세표[근무일자],$U1240),"yyyy-mm-dd"),INDEX(상세표[근무일자],$U1240)&amp;""))</f>
        <v/>
      </c>
      <c r="N1240">
        <f>IF($U1240="","",IF(ISNUMBER(INDEX(상세표[시작],$U1240)),TEXT(INDEX(상세표[시작],$U1240),"yyyy-mm-dd hh:mm"),INDEX(상세표[시작],$U1240)&amp;""))</f>
        <v/>
      </c>
      <c r="O1240">
        <f>IF($U1240="","",IF(ISNUMBER(INDEX(상세표[종료],$U1240)),TEXT(INDEX(상세표[종료],$U1240),"yyyy-mm-dd hh:mm"),INDEX(상세표[종료],$U1240)&amp;""))</f>
        <v/>
      </c>
      <c r="P1240">
        <f>IF($U1240="","",INDEX(상세표[06~07시],$U1240))</f>
        <v/>
      </c>
      <c r="Q1240">
        <f>IF($U1240="","",INDEX(상세표[07~18시],$U1240))</f>
        <v/>
      </c>
      <c r="R1240">
        <f>IF($U1240="","",INDEX(상세표[18~22시],$U1240))</f>
        <v/>
      </c>
      <c r="S1240">
        <f>IF($U1240="","",INDEX(상세표[22~06시],$U1240))</f>
        <v/>
      </c>
      <c r="T1240">
        <f>IF($U1240="","",INDEX(상세표[기록 시간외],$U1240))</f>
        <v/>
      </c>
      <c r="U1240" s="4">
        <f>IFERROR(MATCH(1235,상세표[발송순번],0),"")</f>
        <v/>
      </c>
    </row>
    <row r="1241">
      <c r="J1241">
        <f>IF($U1241="","",INDEX(상세표[사번],$U1241)&amp;"")</f>
        <v/>
      </c>
      <c r="K1241">
        <f>IF($U1241="","",INDEX(상세표[성명],$U1241)&amp;"")</f>
        <v/>
      </c>
      <c r="L1241">
        <f>IF($U1241="","",INDEX(상세표[직위],$U1241)&amp;"")</f>
        <v/>
      </c>
      <c r="M1241">
        <f>IF($U1241="","",IF(ISNUMBER(INDEX(상세표[근무일자],$U1241)),TEXT(INDEX(상세표[근무일자],$U1241),"yyyy-mm-dd"),INDEX(상세표[근무일자],$U1241)&amp;""))</f>
        <v/>
      </c>
      <c r="N1241">
        <f>IF($U1241="","",IF(ISNUMBER(INDEX(상세표[시작],$U1241)),TEXT(INDEX(상세표[시작],$U1241),"yyyy-mm-dd hh:mm"),INDEX(상세표[시작],$U1241)&amp;""))</f>
        <v/>
      </c>
      <c r="O1241">
        <f>IF($U1241="","",IF(ISNUMBER(INDEX(상세표[종료],$U1241)),TEXT(INDEX(상세표[종료],$U1241),"yyyy-mm-dd hh:mm"),INDEX(상세표[종료],$U1241)&amp;""))</f>
        <v/>
      </c>
      <c r="P1241">
        <f>IF($U1241="","",INDEX(상세표[06~07시],$U1241))</f>
        <v/>
      </c>
      <c r="Q1241">
        <f>IF($U1241="","",INDEX(상세표[07~18시],$U1241))</f>
        <v/>
      </c>
      <c r="R1241">
        <f>IF($U1241="","",INDEX(상세표[18~22시],$U1241))</f>
        <v/>
      </c>
      <c r="S1241">
        <f>IF($U1241="","",INDEX(상세표[22~06시],$U1241))</f>
        <v/>
      </c>
      <c r="T1241">
        <f>IF($U1241="","",INDEX(상세표[기록 시간외],$U1241))</f>
        <v/>
      </c>
      <c r="U1241" s="4">
        <f>IFERROR(MATCH(1236,상세표[발송순번],0),"")</f>
        <v/>
      </c>
    </row>
    <row r="1242">
      <c r="J1242">
        <f>IF($U1242="","",INDEX(상세표[사번],$U1242)&amp;"")</f>
        <v/>
      </c>
      <c r="K1242">
        <f>IF($U1242="","",INDEX(상세표[성명],$U1242)&amp;"")</f>
        <v/>
      </c>
      <c r="L1242">
        <f>IF($U1242="","",INDEX(상세표[직위],$U1242)&amp;"")</f>
        <v/>
      </c>
      <c r="M1242">
        <f>IF($U1242="","",IF(ISNUMBER(INDEX(상세표[근무일자],$U1242)),TEXT(INDEX(상세표[근무일자],$U1242),"yyyy-mm-dd"),INDEX(상세표[근무일자],$U1242)&amp;""))</f>
        <v/>
      </c>
      <c r="N1242">
        <f>IF($U1242="","",IF(ISNUMBER(INDEX(상세표[시작],$U1242)),TEXT(INDEX(상세표[시작],$U1242),"yyyy-mm-dd hh:mm"),INDEX(상세표[시작],$U1242)&amp;""))</f>
        <v/>
      </c>
      <c r="O1242">
        <f>IF($U1242="","",IF(ISNUMBER(INDEX(상세표[종료],$U1242)),TEXT(INDEX(상세표[종료],$U1242),"yyyy-mm-dd hh:mm"),INDEX(상세표[종료],$U1242)&amp;""))</f>
        <v/>
      </c>
      <c r="P1242">
        <f>IF($U1242="","",INDEX(상세표[06~07시],$U1242))</f>
        <v/>
      </c>
      <c r="Q1242">
        <f>IF($U1242="","",INDEX(상세표[07~18시],$U1242))</f>
        <v/>
      </c>
      <c r="R1242">
        <f>IF($U1242="","",INDEX(상세표[18~22시],$U1242))</f>
        <v/>
      </c>
      <c r="S1242">
        <f>IF($U1242="","",INDEX(상세표[22~06시],$U1242))</f>
        <v/>
      </c>
      <c r="T1242">
        <f>IF($U1242="","",INDEX(상세표[기록 시간외],$U1242))</f>
        <v/>
      </c>
      <c r="U1242" s="4">
        <f>IFERROR(MATCH(1237,상세표[발송순번],0),"")</f>
        <v/>
      </c>
    </row>
    <row r="1243">
      <c r="J1243">
        <f>IF($U1243="","",INDEX(상세표[사번],$U1243)&amp;"")</f>
        <v/>
      </c>
      <c r="K1243">
        <f>IF($U1243="","",INDEX(상세표[성명],$U1243)&amp;"")</f>
        <v/>
      </c>
      <c r="L1243">
        <f>IF($U1243="","",INDEX(상세표[직위],$U1243)&amp;"")</f>
        <v/>
      </c>
      <c r="M1243">
        <f>IF($U1243="","",IF(ISNUMBER(INDEX(상세표[근무일자],$U1243)),TEXT(INDEX(상세표[근무일자],$U1243),"yyyy-mm-dd"),INDEX(상세표[근무일자],$U1243)&amp;""))</f>
        <v/>
      </c>
      <c r="N1243">
        <f>IF($U1243="","",IF(ISNUMBER(INDEX(상세표[시작],$U1243)),TEXT(INDEX(상세표[시작],$U1243),"yyyy-mm-dd hh:mm"),INDEX(상세표[시작],$U1243)&amp;""))</f>
        <v/>
      </c>
      <c r="O1243">
        <f>IF($U1243="","",IF(ISNUMBER(INDEX(상세표[종료],$U1243)),TEXT(INDEX(상세표[종료],$U1243),"yyyy-mm-dd hh:mm"),INDEX(상세표[종료],$U1243)&amp;""))</f>
        <v/>
      </c>
      <c r="P1243">
        <f>IF($U1243="","",INDEX(상세표[06~07시],$U1243))</f>
        <v/>
      </c>
      <c r="Q1243">
        <f>IF($U1243="","",INDEX(상세표[07~18시],$U1243))</f>
        <v/>
      </c>
      <c r="R1243">
        <f>IF($U1243="","",INDEX(상세표[18~22시],$U1243))</f>
        <v/>
      </c>
      <c r="S1243">
        <f>IF($U1243="","",INDEX(상세표[22~06시],$U1243))</f>
        <v/>
      </c>
      <c r="T1243">
        <f>IF($U1243="","",INDEX(상세표[기록 시간외],$U1243))</f>
        <v/>
      </c>
      <c r="U1243" s="4">
        <f>IFERROR(MATCH(1238,상세표[발송순번],0),"")</f>
        <v/>
      </c>
    </row>
    <row r="1244">
      <c r="J1244">
        <f>IF($U1244="","",INDEX(상세표[사번],$U1244)&amp;"")</f>
        <v/>
      </c>
      <c r="K1244">
        <f>IF($U1244="","",INDEX(상세표[성명],$U1244)&amp;"")</f>
        <v/>
      </c>
      <c r="L1244">
        <f>IF($U1244="","",INDEX(상세표[직위],$U1244)&amp;"")</f>
        <v/>
      </c>
      <c r="M1244">
        <f>IF($U1244="","",IF(ISNUMBER(INDEX(상세표[근무일자],$U1244)),TEXT(INDEX(상세표[근무일자],$U1244),"yyyy-mm-dd"),INDEX(상세표[근무일자],$U1244)&amp;""))</f>
        <v/>
      </c>
      <c r="N1244">
        <f>IF($U1244="","",IF(ISNUMBER(INDEX(상세표[시작],$U1244)),TEXT(INDEX(상세표[시작],$U1244),"yyyy-mm-dd hh:mm"),INDEX(상세표[시작],$U1244)&amp;""))</f>
        <v/>
      </c>
      <c r="O1244">
        <f>IF($U1244="","",IF(ISNUMBER(INDEX(상세표[종료],$U1244)),TEXT(INDEX(상세표[종료],$U1244),"yyyy-mm-dd hh:mm"),INDEX(상세표[종료],$U1244)&amp;""))</f>
        <v/>
      </c>
      <c r="P1244">
        <f>IF($U1244="","",INDEX(상세표[06~07시],$U1244))</f>
        <v/>
      </c>
      <c r="Q1244">
        <f>IF($U1244="","",INDEX(상세표[07~18시],$U1244))</f>
        <v/>
      </c>
      <c r="R1244">
        <f>IF($U1244="","",INDEX(상세표[18~22시],$U1244))</f>
        <v/>
      </c>
      <c r="S1244">
        <f>IF($U1244="","",INDEX(상세표[22~06시],$U1244))</f>
        <v/>
      </c>
      <c r="T1244">
        <f>IF($U1244="","",INDEX(상세표[기록 시간외],$U1244))</f>
        <v/>
      </c>
      <c r="U1244" s="4">
        <f>IFERROR(MATCH(1239,상세표[발송순번],0),"")</f>
        <v/>
      </c>
    </row>
    <row r="1245">
      <c r="J1245">
        <f>IF($U1245="","",INDEX(상세표[사번],$U1245)&amp;"")</f>
        <v/>
      </c>
      <c r="K1245">
        <f>IF($U1245="","",INDEX(상세표[성명],$U1245)&amp;"")</f>
        <v/>
      </c>
      <c r="L1245">
        <f>IF($U1245="","",INDEX(상세표[직위],$U1245)&amp;"")</f>
        <v/>
      </c>
      <c r="M1245">
        <f>IF($U1245="","",IF(ISNUMBER(INDEX(상세표[근무일자],$U1245)),TEXT(INDEX(상세표[근무일자],$U1245),"yyyy-mm-dd"),INDEX(상세표[근무일자],$U1245)&amp;""))</f>
        <v/>
      </c>
      <c r="N1245">
        <f>IF($U1245="","",IF(ISNUMBER(INDEX(상세표[시작],$U1245)),TEXT(INDEX(상세표[시작],$U1245),"yyyy-mm-dd hh:mm"),INDEX(상세표[시작],$U1245)&amp;""))</f>
        <v/>
      </c>
      <c r="O1245">
        <f>IF($U1245="","",IF(ISNUMBER(INDEX(상세표[종료],$U1245)),TEXT(INDEX(상세표[종료],$U1245),"yyyy-mm-dd hh:mm"),INDEX(상세표[종료],$U1245)&amp;""))</f>
        <v/>
      </c>
      <c r="P1245">
        <f>IF($U1245="","",INDEX(상세표[06~07시],$U1245))</f>
        <v/>
      </c>
      <c r="Q1245">
        <f>IF($U1245="","",INDEX(상세표[07~18시],$U1245))</f>
        <v/>
      </c>
      <c r="R1245">
        <f>IF($U1245="","",INDEX(상세표[18~22시],$U1245))</f>
        <v/>
      </c>
      <c r="S1245">
        <f>IF($U1245="","",INDEX(상세표[22~06시],$U1245))</f>
        <v/>
      </c>
      <c r="T1245">
        <f>IF($U1245="","",INDEX(상세표[기록 시간외],$U1245))</f>
        <v/>
      </c>
      <c r="U1245" s="4">
        <f>IFERROR(MATCH(1240,상세표[발송순번],0),"")</f>
        <v/>
      </c>
    </row>
    <row r="1246">
      <c r="J1246">
        <f>IF($U1246="","",INDEX(상세표[사번],$U1246)&amp;"")</f>
        <v/>
      </c>
      <c r="K1246">
        <f>IF($U1246="","",INDEX(상세표[성명],$U1246)&amp;"")</f>
        <v/>
      </c>
      <c r="L1246">
        <f>IF($U1246="","",INDEX(상세표[직위],$U1246)&amp;"")</f>
        <v/>
      </c>
      <c r="M1246">
        <f>IF($U1246="","",IF(ISNUMBER(INDEX(상세표[근무일자],$U1246)),TEXT(INDEX(상세표[근무일자],$U1246),"yyyy-mm-dd"),INDEX(상세표[근무일자],$U1246)&amp;""))</f>
        <v/>
      </c>
      <c r="N1246">
        <f>IF($U1246="","",IF(ISNUMBER(INDEX(상세표[시작],$U1246)),TEXT(INDEX(상세표[시작],$U1246),"yyyy-mm-dd hh:mm"),INDEX(상세표[시작],$U1246)&amp;""))</f>
        <v/>
      </c>
      <c r="O1246">
        <f>IF($U1246="","",IF(ISNUMBER(INDEX(상세표[종료],$U1246)),TEXT(INDEX(상세표[종료],$U1246),"yyyy-mm-dd hh:mm"),INDEX(상세표[종료],$U1246)&amp;""))</f>
        <v/>
      </c>
      <c r="P1246">
        <f>IF($U1246="","",INDEX(상세표[06~07시],$U1246))</f>
        <v/>
      </c>
      <c r="Q1246">
        <f>IF($U1246="","",INDEX(상세표[07~18시],$U1246))</f>
        <v/>
      </c>
      <c r="R1246">
        <f>IF($U1246="","",INDEX(상세표[18~22시],$U1246))</f>
        <v/>
      </c>
      <c r="S1246">
        <f>IF($U1246="","",INDEX(상세표[22~06시],$U1246))</f>
        <v/>
      </c>
      <c r="T1246">
        <f>IF($U1246="","",INDEX(상세표[기록 시간외],$U1246))</f>
        <v/>
      </c>
      <c r="U1246" s="4">
        <f>IFERROR(MATCH(1241,상세표[발송순번],0),"")</f>
        <v/>
      </c>
    </row>
    <row r="1247">
      <c r="J1247">
        <f>IF($U1247="","",INDEX(상세표[사번],$U1247)&amp;"")</f>
        <v/>
      </c>
      <c r="K1247">
        <f>IF($U1247="","",INDEX(상세표[성명],$U1247)&amp;"")</f>
        <v/>
      </c>
      <c r="L1247">
        <f>IF($U1247="","",INDEX(상세표[직위],$U1247)&amp;"")</f>
        <v/>
      </c>
      <c r="M1247">
        <f>IF($U1247="","",IF(ISNUMBER(INDEX(상세표[근무일자],$U1247)),TEXT(INDEX(상세표[근무일자],$U1247),"yyyy-mm-dd"),INDEX(상세표[근무일자],$U1247)&amp;""))</f>
        <v/>
      </c>
      <c r="N1247">
        <f>IF($U1247="","",IF(ISNUMBER(INDEX(상세표[시작],$U1247)),TEXT(INDEX(상세표[시작],$U1247),"yyyy-mm-dd hh:mm"),INDEX(상세표[시작],$U1247)&amp;""))</f>
        <v/>
      </c>
      <c r="O1247">
        <f>IF($U1247="","",IF(ISNUMBER(INDEX(상세표[종료],$U1247)),TEXT(INDEX(상세표[종료],$U1247),"yyyy-mm-dd hh:mm"),INDEX(상세표[종료],$U1247)&amp;""))</f>
        <v/>
      </c>
      <c r="P1247">
        <f>IF($U1247="","",INDEX(상세표[06~07시],$U1247))</f>
        <v/>
      </c>
      <c r="Q1247">
        <f>IF($U1247="","",INDEX(상세표[07~18시],$U1247))</f>
        <v/>
      </c>
      <c r="R1247">
        <f>IF($U1247="","",INDEX(상세표[18~22시],$U1247))</f>
        <v/>
      </c>
      <c r="S1247">
        <f>IF($U1247="","",INDEX(상세표[22~06시],$U1247))</f>
        <v/>
      </c>
      <c r="T1247">
        <f>IF($U1247="","",INDEX(상세표[기록 시간외],$U1247))</f>
        <v/>
      </c>
      <c r="U1247" s="4">
        <f>IFERROR(MATCH(1242,상세표[발송순번],0),"")</f>
        <v/>
      </c>
    </row>
    <row r="1248">
      <c r="J1248">
        <f>IF($U1248="","",INDEX(상세표[사번],$U1248)&amp;"")</f>
        <v/>
      </c>
      <c r="K1248">
        <f>IF($U1248="","",INDEX(상세표[성명],$U1248)&amp;"")</f>
        <v/>
      </c>
      <c r="L1248">
        <f>IF($U1248="","",INDEX(상세표[직위],$U1248)&amp;"")</f>
        <v/>
      </c>
      <c r="M1248">
        <f>IF($U1248="","",IF(ISNUMBER(INDEX(상세표[근무일자],$U1248)),TEXT(INDEX(상세표[근무일자],$U1248),"yyyy-mm-dd"),INDEX(상세표[근무일자],$U1248)&amp;""))</f>
        <v/>
      </c>
      <c r="N1248">
        <f>IF($U1248="","",IF(ISNUMBER(INDEX(상세표[시작],$U1248)),TEXT(INDEX(상세표[시작],$U1248),"yyyy-mm-dd hh:mm"),INDEX(상세표[시작],$U1248)&amp;""))</f>
        <v/>
      </c>
      <c r="O1248">
        <f>IF($U1248="","",IF(ISNUMBER(INDEX(상세표[종료],$U1248)),TEXT(INDEX(상세표[종료],$U1248),"yyyy-mm-dd hh:mm"),INDEX(상세표[종료],$U1248)&amp;""))</f>
        <v/>
      </c>
      <c r="P1248">
        <f>IF($U1248="","",INDEX(상세표[06~07시],$U1248))</f>
        <v/>
      </c>
      <c r="Q1248">
        <f>IF($U1248="","",INDEX(상세표[07~18시],$U1248))</f>
        <v/>
      </c>
      <c r="R1248">
        <f>IF($U1248="","",INDEX(상세표[18~22시],$U1248))</f>
        <v/>
      </c>
      <c r="S1248">
        <f>IF($U1248="","",INDEX(상세표[22~06시],$U1248))</f>
        <v/>
      </c>
      <c r="T1248">
        <f>IF($U1248="","",INDEX(상세표[기록 시간외],$U1248))</f>
        <v/>
      </c>
      <c r="U1248" s="4">
        <f>IFERROR(MATCH(1243,상세표[발송순번],0),"")</f>
        <v/>
      </c>
    </row>
    <row r="1249">
      <c r="J1249">
        <f>IF($U1249="","",INDEX(상세표[사번],$U1249)&amp;"")</f>
        <v/>
      </c>
      <c r="K1249">
        <f>IF($U1249="","",INDEX(상세표[성명],$U1249)&amp;"")</f>
        <v/>
      </c>
      <c r="L1249">
        <f>IF($U1249="","",INDEX(상세표[직위],$U1249)&amp;"")</f>
        <v/>
      </c>
      <c r="M1249">
        <f>IF($U1249="","",IF(ISNUMBER(INDEX(상세표[근무일자],$U1249)),TEXT(INDEX(상세표[근무일자],$U1249),"yyyy-mm-dd"),INDEX(상세표[근무일자],$U1249)&amp;""))</f>
        <v/>
      </c>
      <c r="N1249">
        <f>IF($U1249="","",IF(ISNUMBER(INDEX(상세표[시작],$U1249)),TEXT(INDEX(상세표[시작],$U1249),"yyyy-mm-dd hh:mm"),INDEX(상세표[시작],$U1249)&amp;""))</f>
        <v/>
      </c>
      <c r="O1249">
        <f>IF($U1249="","",IF(ISNUMBER(INDEX(상세표[종료],$U1249)),TEXT(INDEX(상세표[종료],$U1249),"yyyy-mm-dd hh:mm"),INDEX(상세표[종료],$U1249)&amp;""))</f>
        <v/>
      </c>
      <c r="P1249">
        <f>IF($U1249="","",INDEX(상세표[06~07시],$U1249))</f>
        <v/>
      </c>
      <c r="Q1249">
        <f>IF($U1249="","",INDEX(상세표[07~18시],$U1249))</f>
        <v/>
      </c>
      <c r="R1249">
        <f>IF($U1249="","",INDEX(상세표[18~22시],$U1249))</f>
        <v/>
      </c>
      <c r="S1249">
        <f>IF($U1249="","",INDEX(상세표[22~06시],$U1249))</f>
        <v/>
      </c>
      <c r="T1249">
        <f>IF($U1249="","",INDEX(상세표[기록 시간외],$U1249))</f>
        <v/>
      </c>
      <c r="U1249" s="4">
        <f>IFERROR(MATCH(1244,상세표[발송순번],0),"")</f>
        <v/>
      </c>
    </row>
    <row r="1250">
      <c r="J1250">
        <f>IF($U1250="","",INDEX(상세표[사번],$U1250)&amp;"")</f>
        <v/>
      </c>
      <c r="K1250">
        <f>IF($U1250="","",INDEX(상세표[성명],$U1250)&amp;"")</f>
        <v/>
      </c>
      <c r="L1250">
        <f>IF($U1250="","",INDEX(상세표[직위],$U1250)&amp;"")</f>
        <v/>
      </c>
      <c r="M1250">
        <f>IF($U1250="","",IF(ISNUMBER(INDEX(상세표[근무일자],$U1250)),TEXT(INDEX(상세표[근무일자],$U1250),"yyyy-mm-dd"),INDEX(상세표[근무일자],$U1250)&amp;""))</f>
        <v/>
      </c>
      <c r="N1250">
        <f>IF($U1250="","",IF(ISNUMBER(INDEX(상세표[시작],$U1250)),TEXT(INDEX(상세표[시작],$U1250),"yyyy-mm-dd hh:mm"),INDEX(상세표[시작],$U1250)&amp;""))</f>
        <v/>
      </c>
      <c r="O1250">
        <f>IF($U1250="","",IF(ISNUMBER(INDEX(상세표[종료],$U1250)),TEXT(INDEX(상세표[종료],$U1250),"yyyy-mm-dd hh:mm"),INDEX(상세표[종료],$U1250)&amp;""))</f>
        <v/>
      </c>
      <c r="P1250">
        <f>IF($U1250="","",INDEX(상세표[06~07시],$U1250))</f>
        <v/>
      </c>
      <c r="Q1250">
        <f>IF($U1250="","",INDEX(상세표[07~18시],$U1250))</f>
        <v/>
      </c>
      <c r="R1250">
        <f>IF($U1250="","",INDEX(상세표[18~22시],$U1250))</f>
        <v/>
      </c>
      <c r="S1250">
        <f>IF($U1250="","",INDEX(상세표[22~06시],$U1250))</f>
        <v/>
      </c>
      <c r="T1250">
        <f>IF($U1250="","",INDEX(상세표[기록 시간외],$U1250))</f>
        <v/>
      </c>
      <c r="U1250" s="4">
        <f>IFERROR(MATCH(1245,상세표[발송순번],0),"")</f>
        <v/>
      </c>
    </row>
    <row r="1251">
      <c r="J1251">
        <f>IF($U1251="","",INDEX(상세표[사번],$U1251)&amp;"")</f>
        <v/>
      </c>
      <c r="K1251">
        <f>IF($U1251="","",INDEX(상세표[성명],$U1251)&amp;"")</f>
        <v/>
      </c>
      <c r="L1251">
        <f>IF($U1251="","",INDEX(상세표[직위],$U1251)&amp;"")</f>
        <v/>
      </c>
      <c r="M1251">
        <f>IF($U1251="","",IF(ISNUMBER(INDEX(상세표[근무일자],$U1251)),TEXT(INDEX(상세표[근무일자],$U1251),"yyyy-mm-dd"),INDEX(상세표[근무일자],$U1251)&amp;""))</f>
        <v/>
      </c>
      <c r="N1251">
        <f>IF($U1251="","",IF(ISNUMBER(INDEX(상세표[시작],$U1251)),TEXT(INDEX(상세표[시작],$U1251),"yyyy-mm-dd hh:mm"),INDEX(상세표[시작],$U1251)&amp;""))</f>
        <v/>
      </c>
      <c r="O1251">
        <f>IF($U1251="","",IF(ISNUMBER(INDEX(상세표[종료],$U1251)),TEXT(INDEX(상세표[종료],$U1251),"yyyy-mm-dd hh:mm"),INDEX(상세표[종료],$U1251)&amp;""))</f>
        <v/>
      </c>
      <c r="P1251">
        <f>IF($U1251="","",INDEX(상세표[06~07시],$U1251))</f>
        <v/>
      </c>
      <c r="Q1251">
        <f>IF($U1251="","",INDEX(상세표[07~18시],$U1251))</f>
        <v/>
      </c>
      <c r="R1251">
        <f>IF($U1251="","",INDEX(상세표[18~22시],$U1251))</f>
        <v/>
      </c>
      <c r="S1251">
        <f>IF($U1251="","",INDEX(상세표[22~06시],$U1251))</f>
        <v/>
      </c>
      <c r="T1251">
        <f>IF($U1251="","",INDEX(상세표[기록 시간외],$U1251))</f>
        <v/>
      </c>
      <c r="U1251" s="4">
        <f>IFERROR(MATCH(1246,상세표[발송순번],0),"")</f>
        <v/>
      </c>
    </row>
    <row r="1252">
      <c r="J1252">
        <f>IF($U1252="","",INDEX(상세표[사번],$U1252)&amp;"")</f>
        <v/>
      </c>
      <c r="K1252">
        <f>IF($U1252="","",INDEX(상세표[성명],$U1252)&amp;"")</f>
        <v/>
      </c>
      <c r="L1252">
        <f>IF($U1252="","",INDEX(상세표[직위],$U1252)&amp;"")</f>
        <v/>
      </c>
      <c r="M1252">
        <f>IF($U1252="","",IF(ISNUMBER(INDEX(상세표[근무일자],$U1252)),TEXT(INDEX(상세표[근무일자],$U1252),"yyyy-mm-dd"),INDEX(상세표[근무일자],$U1252)&amp;""))</f>
        <v/>
      </c>
      <c r="N1252">
        <f>IF($U1252="","",IF(ISNUMBER(INDEX(상세표[시작],$U1252)),TEXT(INDEX(상세표[시작],$U1252),"yyyy-mm-dd hh:mm"),INDEX(상세표[시작],$U1252)&amp;""))</f>
        <v/>
      </c>
      <c r="O1252">
        <f>IF($U1252="","",IF(ISNUMBER(INDEX(상세표[종료],$U1252)),TEXT(INDEX(상세표[종료],$U1252),"yyyy-mm-dd hh:mm"),INDEX(상세표[종료],$U1252)&amp;""))</f>
        <v/>
      </c>
      <c r="P1252">
        <f>IF($U1252="","",INDEX(상세표[06~07시],$U1252))</f>
        <v/>
      </c>
      <c r="Q1252">
        <f>IF($U1252="","",INDEX(상세표[07~18시],$U1252))</f>
        <v/>
      </c>
      <c r="R1252">
        <f>IF($U1252="","",INDEX(상세표[18~22시],$U1252))</f>
        <v/>
      </c>
      <c r="S1252">
        <f>IF($U1252="","",INDEX(상세표[22~06시],$U1252))</f>
        <v/>
      </c>
      <c r="T1252">
        <f>IF($U1252="","",INDEX(상세표[기록 시간외],$U1252))</f>
        <v/>
      </c>
      <c r="U1252" s="4">
        <f>IFERROR(MATCH(1247,상세표[발송순번],0),"")</f>
        <v/>
      </c>
    </row>
    <row r="1253">
      <c r="J1253">
        <f>IF($U1253="","",INDEX(상세표[사번],$U1253)&amp;"")</f>
        <v/>
      </c>
      <c r="K1253">
        <f>IF($U1253="","",INDEX(상세표[성명],$U1253)&amp;"")</f>
        <v/>
      </c>
      <c r="L1253">
        <f>IF($U1253="","",INDEX(상세표[직위],$U1253)&amp;"")</f>
        <v/>
      </c>
      <c r="M1253">
        <f>IF($U1253="","",IF(ISNUMBER(INDEX(상세표[근무일자],$U1253)),TEXT(INDEX(상세표[근무일자],$U1253),"yyyy-mm-dd"),INDEX(상세표[근무일자],$U1253)&amp;""))</f>
        <v/>
      </c>
      <c r="N1253">
        <f>IF($U1253="","",IF(ISNUMBER(INDEX(상세표[시작],$U1253)),TEXT(INDEX(상세표[시작],$U1253),"yyyy-mm-dd hh:mm"),INDEX(상세표[시작],$U1253)&amp;""))</f>
        <v/>
      </c>
      <c r="O1253">
        <f>IF($U1253="","",IF(ISNUMBER(INDEX(상세표[종료],$U1253)),TEXT(INDEX(상세표[종료],$U1253),"yyyy-mm-dd hh:mm"),INDEX(상세표[종료],$U1253)&amp;""))</f>
        <v/>
      </c>
      <c r="P1253">
        <f>IF($U1253="","",INDEX(상세표[06~07시],$U1253))</f>
        <v/>
      </c>
      <c r="Q1253">
        <f>IF($U1253="","",INDEX(상세표[07~18시],$U1253))</f>
        <v/>
      </c>
      <c r="R1253">
        <f>IF($U1253="","",INDEX(상세표[18~22시],$U1253))</f>
        <v/>
      </c>
      <c r="S1253">
        <f>IF($U1253="","",INDEX(상세표[22~06시],$U1253))</f>
        <v/>
      </c>
      <c r="T1253">
        <f>IF($U1253="","",INDEX(상세표[기록 시간외],$U1253))</f>
        <v/>
      </c>
      <c r="U1253" s="4">
        <f>IFERROR(MATCH(1248,상세표[발송순번],0),"")</f>
        <v/>
      </c>
    </row>
    <row r="1254">
      <c r="J1254">
        <f>IF($U1254="","",INDEX(상세표[사번],$U1254)&amp;"")</f>
        <v/>
      </c>
      <c r="K1254">
        <f>IF($U1254="","",INDEX(상세표[성명],$U1254)&amp;"")</f>
        <v/>
      </c>
      <c r="L1254">
        <f>IF($U1254="","",INDEX(상세표[직위],$U1254)&amp;"")</f>
        <v/>
      </c>
      <c r="M1254">
        <f>IF($U1254="","",IF(ISNUMBER(INDEX(상세표[근무일자],$U1254)),TEXT(INDEX(상세표[근무일자],$U1254),"yyyy-mm-dd"),INDEX(상세표[근무일자],$U1254)&amp;""))</f>
        <v/>
      </c>
      <c r="N1254">
        <f>IF($U1254="","",IF(ISNUMBER(INDEX(상세표[시작],$U1254)),TEXT(INDEX(상세표[시작],$U1254),"yyyy-mm-dd hh:mm"),INDEX(상세표[시작],$U1254)&amp;""))</f>
        <v/>
      </c>
      <c r="O1254">
        <f>IF($U1254="","",IF(ISNUMBER(INDEX(상세표[종료],$U1254)),TEXT(INDEX(상세표[종료],$U1254),"yyyy-mm-dd hh:mm"),INDEX(상세표[종료],$U1254)&amp;""))</f>
        <v/>
      </c>
      <c r="P1254">
        <f>IF($U1254="","",INDEX(상세표[06~07시],$U1254))</f>
        <v/>
      </c>
      <c r="Q1254">
        <f>IF($U1254="","",INDEX(상세표[07~18시],$U1254))</f>
        <v/>
      </c>
      <c r="R1254">
        <f>IF($U1254="","",INDEX(상세표[18~22시],$U1254))</f>
        <v/>
      </c>
      <c r="S1254">
        <f>IF($U1254="","",INDEX(상세표[22~06시],$U1254))</f>
        <v/>
      </c>
      <c r="T1254">
        <f>IF($U1254="","",INDEX(상세표[기록 시간외],$U1254))</f>
        <v/>
      </c>
      <c r="U1254" s="4">
        <f>IFERROR(MATCH(1249,상세표[발송순번],0),"")</f>
        <v/>
      </c>
    </row>
    <row r="1255">
      <c r="J1255">
        <f>IF($U1255="","",INDEX(상세표[사번],$U1255)&amp;"")</f>
        <v/>
      </c>
      <c r="K1255">
        <f>IF($U1255="","",INDEX(상세표[성명],$U1255)&amp;"")</f>
        <v/>
      </c>
      <c r="L1255">
        <f>IF($U1255="","",INDEX(상세표[직위],$U1255)&amp;"")</f>
        <v/>
      </c>
      <c r="M1255">
        <f>IF($U1255="","",IF(ISNUMBER(INDEX(상세표[근무일자],$U1255)),TEXT(INDEX(상세표[근무일자],$U1255),"yyyy-mm-dd"),INDEX(상세표[근무일자],$U1255)&amp;""))</f>
        <v/>
      </c>
      <c r="N1255">
        <f>IF($U1255="","",IF(ISNUMBER(INDEX(상세표[시작],$U1255)),TEXT(INDEX(상세표[시작],$U1255),"yyyy-mm-dd hh:mm"),INDEX(상세표[시작],$U1255)&amp;""))</f>
        <v/>
      </c>
      <c r="O1255">
        <f>IF($U1255="","",IF(ISNUMBER(INDEX(상세표[종료],$U1255)),TEXT(INDEX(상세표[종료],$U1255),"yyyy-mm-dd hh:mm"),INDEX(상세표[종료],$U1255)&amp;""))</f>
        <v/>
      </c>
      <c r="P1255">
        <f>IF($U1255="","",INDEX(상세표[06~07시],$U1255))</f>
        <v/>
      </c>
      <c r="Q1255">
        <f>IF($U1255="","",INDEX(상세표[07~18시],$U1255))</f>
        <v/>
      </c>
      <c r="R1255">
        <f>IF($U1255="","",INDEX(상세표[18~22시],$U1255))</f>
        <v/>
      </c>
      <c r="S1255">
        <f>IF($U1255="","",INDEX(상세표[22~06시],$U1255))</f>
        <v/>
      </c>
      <c r="T1255">
        <f>IF($U1255="","",INDEX(상세표[기록 시간외],$U1255))</f>
        <v/>
      </c>
      <c r="U1255" s="4">
        <f>IFERROR(MATCH(1250,상세표[발송순번],0),"")</f>
        <v/>
      </c>
    </row>
    <row r="1256">
      <c r="J1256">
        <f>IF($U1256="","",INDEX(상세표[사번],$U1256)&amp;"")</f>
        <v/>
      </c>
      <c r="K1256">
        <f>IF($U1256="","",INDEX(상세표[성명],$U1256)&amp;"")</f>
        <v/>
      </c>
      <c r="L1256">
        <f>IF($U1256="","",INDEX(상세표[직위],$U1256)&amp;"")</f>
        <v/>
      </c>
      <c r="M1256">
        <f>IF($U1256="","",IF(ISNUMBER(INDEX(상세표[근무일자],$U1256)),TEXT(INDEX(상세표[근무일자],$U1256),"yyyy-mm-dd"),INDEX(상세표[근무일자],$U1256)&amp;""))</f>
        <v/>
      </c>
      <c r="N1256">
        <f>IF($U1256="","",IF(ISNUMBER(INDEX(상세표[시작],$U1256)),TEXT(INDEX(상세표[시작],$U1256),"yyyy-mm-dd hh:mm"),INDEX(상세표[시작],$U1256)&amp;""))</f>
        <v/>
      </c>
      <c r="O1256">
        <f>IF($U1256="","",IF(ISNUMBER(INDEX(상세표[종료],$U1256)),TEXT(INDEX(상세표[종료],$U1256),"yyyy-mm-dd hh:mm"),INDEX(상세표[종료],$U1256)&amp;""))</f>
        <v/>
      </c>
      <c r="P1256">
        <f>IF($U1256="","",INDEX(상세표[06~07시],$U1256))</f>
        <v/>
      </c>
      <c r="Q1256">
        <f>IF($U1256="","",INDEX(상세표[07~18시],$U1256))</f>
        <v/>
      </c>
      <c r="R1256">
        <f>IF($U1256="","",INDEX(상세표[18~22시],$U1256))</f>
        <v/>
      </c>
      <c r="S1256">
        <f>IF($U1256="","",INDEX(상세표[22~06시],$U1256))</f>
        <v/>
      </c>
      <c r="T1256">
        <f>IF($U1256="","",INDEX(상세표[기록 시간외],$U1256))</f>
        <v/>
      </c>
      <c r="U1256" s="4">
        <f>IFERROR(MATCH(1251,상세표[발송순번],0),"")</f>
        <v/>
      </c>
    </row>
    <row r="1257">
      <c r="J1257">
        <f>IF($U1257="","",INDEX(상세표[사번],$U1257)&amp;"")</f>
        <v/>
      </c>
      <c r="K1257">
        <f>IF($U1257="","",INDEX(상세표[성명],$U1257)&amp;"")</f>
        <v/>
      </c>
      <c r="L1257">
        <f>IF($U1257="","",INDEX(상세표[직위],$U1257)&amp;"")</f>
        <v/>
      </c>
      <c r="M1257">
        <f>IF($U1257="","",IF(ISNUMBER(INDEX(상세표[근무일자],$U1257)),TEXT(INDEX(상세표[근무일자],$U1257),"yyyy-mm-dd"),INDEX(상세표[근무일자],$U1257)&amp;""))</f>
        <v/>
      </c>
      <c r="N1257">
        <f>IF($U1257="","",IF(ISNUMBER(INDEX(상세표[시작],$U1257)),TEXT(INDEX(상세표[시작],$U1257),"yyyy-mm-dd hh:mm"),INDEX(상세표[시작],$U1257)&amp;""))</f>
        <v/>
      </c>
      <c r="O1257">
        <f>IF($U1257="","",IF(ISNUMBER(INDEX(상세표[종료],$U1257)),TEXT(INDEX(상세표[종료],$U1257),"yyyy-mm-dd hh:mm"),INDEX(상세표[종료],$U1257)&amp;""))</f>
        <v/>
      </c>
      <c r="P1257">
        <f>IF($U1257="","",INDEX(상세표[06~07시],$U1257))</f>
        <v/>
      </c>
      <c r="Q1257">
        <f>IF($U1257="","",INDEX(상세표[07~18시],$U1257))</f>
        <v/>
      </c>
      <c r="R1257">
        <f>IF($U1257="","",INDEX(상세표[18~22시],$U1257))</f>
        <v/>
      </c>
      <c r="S1257">
        <f>IF($U1257="","",INDEX(상세표[22~06시],$U1257))</f>
        <v/>
      </c>
      <c r="T1257">
        <f>IF($U1257="","",INDEX(상세표[기록 시간외],$U1257))</f>
        <v/>
      </c>
      <c r="U1257" s="4">
        <f>IFERROR(MATCH(1252,상세표[발송순번],0),"")</f>
        <v/>
      </c>
    </row>
    <row r="1258">
      <c r="J1258">
        <f>IF($U1258="","",INDEX(상세표[사번],$U1258)&amp;"")</f>
        <v/>
      </c>
      <c r="K1258">
        <f>IF($U1258="","",INDEX(상세표[성명],$U1258)&amp;"")</f>
        <v/>
      </c>
      <c r="L1258">
        <f>IF($U1258="","",INDEX(상세표[직위],$U1258)&amp;"")</f>
        <v/>
      </c>
      <c r="M1258">
        <f>IF($U1258="","",IF(ISNUMBER(INDEX(상세표[근무일자],$U1258)),TEXT(INDEX(상세표[근무일자],$U1258),"yyyy-mm-dd"),INDEX(상세표[근무일자],$U1258)&amp;""))</f>
        <v/>
      </c>
      <c r="N1258">
        <f>IF($U1258="","",IF(ISNUMBER(INDEX(상세표[시작],$U1258)),TEXT(INDEX(상세표[시작],$U1258),"yyyy-mm-dd hh:mm"),INDEX(상세표[시작],$U1258)&amp;""))</f>
        <v/>
      </c>
      <c r="O1258">
        <f>IF($U1258="","",IF(ISNUMBER(INDEX(상세표[종료],$U1258)),TEXT(INDEX(상세표[종료],$U1258),"yyyy-mm-dd hh:mm"),INDEX(상세표[종료],$U1258)&amp;""))</f>
        <v/>
      </c>
      <c r="P1258">
        <f>IF($U1258="","",INDEX(상세표[06~07시],$U1258))</f>
        <v/>
      </c>
      <c r="Q1258">
        <f>IF($U1258="","",INDEX(상세표[07~18시],$U1258))</f>
        <v/>
      </c>
      <c r="R1258">
        <f>IF($U1258="","",INDEX(상세표[18~22시],$U1258))</f>
        <v/>
      </c>
      <c r="S1258">
        <f>IF($U1258="","",INDEX(상세표[22~06시],$U1258))</f>
        <v/>
      </c>
      <c r="T1258">
        <f>IF($U1258="","",INDEX(상세표[기록 시간외],$U1258))</f>
        <v/>
      </c>
      <c r="U1258" s="4">
        <f>IFERROR(MATCH(1253,상세표[발송순번],0),"")</f>
        <v/>
      </c>
    </row>
    <row r="1259">
      <c r="J1259">
        <f>IF($U1259="","",INDEX(상세표[사번],$U1259)&amp;"")</f>
        <v/>
      </c>
      <c r="K1259">
        <f>IF($U1259="","",INDEX(상세표[성명],$U1259)&amp;"")</f>
        <v/>
      </c>
      <c r="L1259">
        <f>IF($U1259="","",INDEX(상세표[직위],$U1259)&amp;"")</f>
        <v/>
      </c>
      <c r="M1259">
        <f>IF($U1259="","",IF(ISNUMBER(INDEX(상세표[근무일자],$U1259)),TEXT(INDEX(상세표[근무일자],$U1259),"yyyy-mm-dd"),INDEX(상세표[근무일자],$U1259)&amp;""))</f>
        <v/>
      </c>
      <c r="N1259">
        <f>IF($U1259="","",IF(ISNUMBER(INDEX(상세표[시작],$U1259)),TEXT(INDEX(상세표[시작],$U1259),"yyyy-mm-dd hh:mm"),INDEX(상세표[시작],$U1259)&amp;""))</f>
        <v/>
      </c>
      <c r="O1259">
        <f>IF($U1259="","",IF(ISNUMBER(INDEX(상세표[종료],$U1259)),TEXT(INDEX(상세표[종료],$U1259),"yyyy-mm-dd hh:mm"),INDEX(상세표[종료],$U1259)&amp;""))</f>
        <v/>
      </c>
      <c r="P1259">
        <f>IF($U1259="","",INDEX(상세표[06~07시],$U1259))</f>
        <v/>
      </c>
      <c r="Q1259">
        <f>IF($U1259="","",INDEX(상세표[07~18시],$U1259))</f>
        <v/>
      </c>
      <c r="R1259">
        <f>IF($U1259="","",INDEX(상세표[18~22시],$U1259))</f>
        <v/>
      </c>
      <c r="S1259">
        <f>IF($U1259="","",INDEX(상세표[22~06시],$U1259))</f>
        <v/>
      </c>
      <c r="T1259">
        <f>IF($U1259="","",INDEX(상세표[기록 시간외],$U1259))</f>
        <v/>
      </c>
      <c r="U1259" s="4">
        <f>IFERROR(MATCH(1254,상세표[발송순번],0),"")</f>
        <v/>
      </c>
    </row>
    <row r="1260">
      <c r="J1260">
        <f>IF($U1260="","",INDEX(상세표[사번],$U1260)&amp;"")</f>
        <v/>
      </c>
      <c r="K1260">
        <f>IF($U1260="","",INDEX(상세표[성명],$U1260)&amp;"")</f>
        <v/>
      </c>
      <c r="L1260">
        <f>IF($U1260="","",INDEX(상세표[직위],$U1260)&amp;"")</f>
        <v/>
      </c>
      <c r="M1260">
        <f>IF($U1260="","",IF(ISNUMBER(INDEX(상세표[근무일자],$U1260)),TEXT(INDEX(상세표[근무일자],$U1260),"yyyy-mm-dd"),INDEX(상세표[근무일자],$U1260)&amp;""))</f>
        <v/>
      </c>
      <c r="N1260">
        <f>IF($U1260="","",IF(ISNUMBER(INDEX(상세표[시작],$U1260)),TEXT(INDEX(상세표[시작],$U1260),"yyyy-mm-dd hh:mm"),INDEX(상세표[시작],$U1260)&amp;""))</f>
        <v/>
      </c>
      <c r="O1260">
        <f>IF($U1260="","",IF(ISNUMBER(INDEX(상세표[종료],$U1260)),TEXT(INDEX(상세표[종료],$U1260),"yyyy-mm-dd hh:mm"),INDEX(상세표[종료],$U1260)&amp;""))</f>
        <v/>
      </c>
      <c r="P1260">
        <f>IF($U1260="","",INDEX(상세표[06~07시],$U1260))</f>
        <v/>
      </c>
      <c r="Q1260">
        <f>IF($U1260="","",INDEX(상세표[07~18시],$U1260))</f>
        <v/>
      </c>
      <c r="R1260">
        <f>IF($U1260="","",INDEX(상세표[18~22시],$U1260))</f>
        <v/>
      </c>
      <c r="S1260">
        <f>IF($U1260="","",INDEX(상세표[22~06시],$U1260))</f>
        <v/>
      </c>
      <c r="T1260">
        <f>IF($U1260="","",INDEX(상세표[기록 시간외],$U1260))</f>
        <v/>
      </c>
      <c r="U1260" s="4">
        <f>IFERROR(MATCH(1255,상세표[발송순번],0),"")</f>
        <v/>
      </c>
    </row>
    <row r="1261">
      <c r="J1261">
        <f>IF($U1261="","",INDEX(상세표[사번],$U1261)&amp;"")</f>
        <v/>
      </c>
      <c r="K1261">
        <f>IF($U1261="","",INDEX(상세표[성명],$U1261)&amp;"")</f>
        <v/>
      </c>
      <c r="L1261">
        <f>IF($U1261="","",INDEX(상세표[직위],$U1261)&amp;"")</f>
        <v/>
      </c>
      <c r="M1261">
        <f>IF($U1261="","",IF(ISNUMBER(INDEX(상세표[근무일자],$U1261)),TEXT(INDEX(상세표[근무일자],$U1261),"yyyy-mm-dd"),INDEX(상세표[근무일자],$U1261)&amp;""))</f>
        <v/>
      </c>
      <c r="N1261">
        <f>IF($U1261="","",IF(ISNUMBER(INDEX(상세표[시작],$U1261)),TEXT(INDEX(상세표[시작],$U1261),"yyyy-mm-dd hh:mm"),INDEX(상세표[시작],$U1261)&amp;""))</f>
        <v/>
      </c>
      <c r="O1261">
        <f>IF($U1261="","",IF(ISNUMBER(INDEX(상세표[종료],$U1261)),TEXT(INDEX(상세표[종료],$U1261),"yyyy-mm-dd hh:mm"),INDEX(상세표[종료],$U1261)&amp;""))</f>
        <v/>
      </c>
      <c r="P1261">
        <f>IF($U1261="","",INDEX(상세표[06~07시],$U1261))</f>
        <v/>
      </c>
      <c r="Q1261">
        <f>IF($U1261="","",INDEX(상세표[07~18시],$U1261))</f>
        <v/>
      </c>
      <c r="R1261">
        <f>IF($U1261="","",INDEX(상세표[18~22시],$U1261))</f>
        <v/>
      </c>
      <c r="S1261">
        <f>IF($U1261="","",INDEX(상세표[22~06시],$U1261))</f>
        <v/>
      </c>
      <c r="T1261">
        <f>IF($U1261="","",INDEX(상세표[기록 시간외],$U1261))</f>
        <v/>
      </c>
      <c r="U1261" s="4">
        <f>IFERROR(MATCH(1256,상세표[발송순번],0),"")</f>
        <v/>
      </c>
    </row>
    <row r="1262">
      <c r="J1262">
        <f>IF($U1262="","",INDEX(상세표[사번],$U1262)&amp;"")</f>
        <v/>
      </c>
      <c r="K1262">
        <f>IF($U1262="","",INDEX(상세표[성명],$U1262)&amp;"")</f>
        <v/>
      </c>
      <c r="L1262">
        <f>IF($U1262="","",INDEX(상세표[직위],$U1262)&amp;"")</f>
        <v/>
      </c>
      <c r="M1262">
        <f>IF($U1262="","",IF(ISNUMBER(INDEX(상세표[근무일자],$U1262)),TEXT(INDEX(상세표[근무일자],$U1262),"yyyy-mm-dd"),INDEX(상세표[근무일자],$U1262)&amp;""))</f>
        <v/>
      </c>
      <c r="N1262">
        <f>IF($U1262="","",IF(ISNUMBER(INDEX(상세표[시작],$U1262)),TEXT(INDEX(상세표[시작],$U1262),"yyyy-mm-dd hh:mm"),INDEX(상세표[시작],$U1262)&amp;""))</f>
        <v/>
      </c>
      <c r="O1262">
        <f>IF($U1262="","",IF(ISNUMBER(INDEX(상세표[종료],$U1262)),TEXT(INDEX(상세표[종료],$U1262),"yyyy-mm-dd hh:mm"),INDEX(상세표[종료],$U1262)&amp;""))</f>
        <v/>
      </c>
      <c r="P1262">
        <f>IF($U1262="","",INDEX(상세표[06~07시],$U1262))</f>
        <v/>
      </c>
      <c r="Q1262">
        <f>IF($U1262="","",INDEX(상세표[07~18시],$U1262))</f>
        <v/>
      </c>
      <c r="R1262">
        <f>IF($U1262="","",INDEX(상세표[18~22시],$U1262))</f>
        <v/>
      </c>
      <c r="S1262">
        <f>IF($U1262="","",INDEX(상세표[22~06시],$U1262))</f>
        <v/>
      </c>
      <c r="T1262">
        <f>IF($U1262="","",INDEX(상세표[기록 시간외],$U1262))</f>
        <v/>
      </c>
      <c r="U1262" s="4">
        <f>IFERROR(MATCH(1257,상세표[발송순번],0),"")</f>
        <v/>
      </c>
    </row>
    <row r="1263">
      <c r="J1263">
        <f>IF($U1263="","",INDEX(상세표[사번],$U1263)&amp;"")</f>
        <v/>
      </c>
      <c r="K1263">
        <f>IF($U1263="","",INDEX(상세표[성명],$U1263)&amp;"")</f>
        <v/>
      </c>
      <c r="L1263">
        <f>IF($U1263="","",INDEX(상세표[직위],$U1263)&amp;"")</f>
        <v/>
      </c>
      <c r="M1263">
        <f>IF($U1263="","",IF(ISNUMBER(INDEX(상세표[근무일자],$U1263)),TEXT(INDEX(상세표[근무일자],$U1263),"yyyy-mm-dd"),INDEX(상세표[근무일자],$U1263)&amp;""))</f>
        <v/>
      </c>
      <c r="N1263">
        <f>IF($U1263="","",IF(ISNUMBER(INDEX(상세표[시작],$U1263)),TEXT(INDEX(상세표[시작],$U1263),"yyyy-mm-dd hh:mm"),INDEX(상세표[시작],$U1263)&amp;""))</f>
        <v/>
      </c>
      <c r="O1263">
        <f>IF($U1263="","",IF(ISNUMBER(INDEX(상세표[종료],$U1263)),TEXT(INDEX(상세표[종료],$U1263),"yyyy-mm-dd hh:mm"),INDEX(상세표[종료],$U1263)&amp;""))</f>
        <v/>
      </c>
      <c r="P1263">
        <f>IF($U1263="","",INDEX(상세표[06~07시],$U1263))</f>
        <v/>
      </c>
      <c r="Q1263">
        <f>IF($U1263="","",INDEX(상세표[07~18시],$U1263))</f>
        <v/>
      </c>
      <c r="R1263">
        <f>IF($U1263="","",INDEX(상세표[18~22시],$U1263))</f>
        <v/>
      </c>
      <c r="S1263">
        <f>IF($U1263="","",INDEX(상세표[22~06시],$U1263))</f>
        <v/>
      </c>
      <c r="T1263">
        <f>IF($U1263="","",INDEX(상세표[기록 시간외],$U1263))</f>
        <v/>
      </c>
      <c r="U1263" s="4">
        <f>IFERROR(MATCH(1258,상세표[발송순번],0),"")</f>
        <v/>
      </c>
    </row>
    <row r="1264">
      <c r="J1264">
        <f>IF($U1264="","",INDEX(상세표[사번],$U1264)&amp;"")</f>
        <v/>
      </c>
      <c r="K1264">
        <f>IF($U1264="","",INDEX(상세표[성명],$U1264)&amp;"")</f>
        <v/>
      </c>
      <c r="L1264">
        <f>IF($U1264="","",INDEX(상세표[직위],$U1264)&amp;"")</f>
        <v/>
      </c>
      <c r="M1264">
        <f>IF($U1264="","",IF(ISNUMBER(INDEX(상세표[근무일자],$U1264)),TEXT(INDEX(상세표[근무일자],$U1264),"yyyy-mm-dd"),INDEX(상세표[근무일자],$U1264)&amp;""))</f>
        <v/>
      </c>
      <c r="N1264">
        <f>IF($U1264="","",IF(ISNUMBER(INDEX(상세표[시작],$U1264)),TEXT(INDEX(상세표[시작],$U1264),"yyyy-mm-dd hh:mm"),INDEX(상세표[시작],$U1264)&amp;""))</f>
        <v/>
      </c>
      <c r="O1264">
        <f>IF($U1264="","",IF(ISNUMBER(INDEX(상세표[종료],$U1264)),TEXT(INDEX(상세표[종료],$U1264),"yyyy-mm-dd hh:mm"),INDEX(상세표[종료],$U1264)&amp;""))</f>
        <v/>
      </c>
      <c r="P1264">
        <f>IF($U1264="","",INDEX(상세표[06~07시],$U1264))</f>
        <v/>
      </c>
      <c r="Q1264">
        <f>IF($U1264="","",INDEX(상세표[07~18시],$U1264))</f>
        <v/>
      </c>
      <c r="R1264">
        <f>IF($U1264="","",INDEX(상세표[18~22시],$U1264))</f>
        <v/>
      </c>
      <c r="S1264">
        <f>IF($U1264="","",INDEX(상세표[22~06시],$U1264))</f>
        <v/>
      </c>
      <c r="T1264">
        <f>IF($U1264="","",INDEX(상세표[기록 시간외],$U1264))</f>
        <v/>
      </c>
      <c r="U1264" s="4">
        <f>IFERROR(MATCH(1259,상세표[발송순번],0),"")</f>
        <v/>
      </c>
    </row>
    <row r="1265">
      <c r="J1265">
        <f>IF($U1265="","",INDEX(상세표[사번],$U1265)&amp;"")</f>
        <v/>
      </c>
      <c r="K1265">
        <f>IF($U1265="","",INDEX(상세표[성명],$U1265)&amp;"")</f>
        <v/>
      </c>
      <c r="L1265">
        <f>IF($U1265="","",INDEX(상세표[직위],$U1265)&amp;"")</f>
        <v/>
      </c>
      <c r="M1265">
        <f>IF($U1265="","",IF(ISNUMBER(INDEX(상세표[근무일자],$U1265)),TEXT(INDEX(상세표[근무일자],$U1265),"yyyy-mm-dd"),INDEX(상세표[근무일자],$U1265)&amp;""))</f>
        <v/>
      </c>
      <c r="N1265">
        <f>IF($U1265="","",IF(ISNUMBER(INDEX(상세표[시작],$U1265)),TEXT(INDEX(상세표[시작],$U1265),"yyyy-mm-dd hh:mm"),INDEX(상세표[시작],$U1265)&amp;""))</f>
        <v/>
      </c>
      <c r="O1265">
        <f>IF($U1265="","",IF(ISNUMBER(INDEX(상세표[종료],$U1265)),TEXT(INDEX(상세표[종료],$U1265),"yyyy-mm-dd hh:mm"),INDEX(상세표[종료],$U1265)&amp;""))</f>
        <v/>
      </c>
      <c r="P1265">
        <f>IF($U1265="","",INDEX(상세표[06~07시],$U1265))</f>
        <v/>
      </c>
      <c r="Q1265">
        <f>IF($U1265="","",INDEX(상세표[07~18시],$U1265))</f>
        <v/>
      </c>
      <c r="R1265">
        <f>IF($U1265="","",INDEX(상세표[18~22시],$U1265))</f>
        <v/>
      </c>
      <c r="S1265">
        <f>IF($U1265="","",INDEX(상세표[22~06시],$U1265))</f>
        <v/>
      </c>
      <c r="T1265">
        <f>IF($U1265="","",INDEX(상세표[기록 시간외],$U1265))</f>
        <v/>
      </c>
      <c r="U1265" s="4">
        <f>IFERROR(MATCH(1260,상세표[발송순번],0),"")</f>
        <v/>
      </c>
    </row>
    <row r="1266">
      <c r="J1266">
        <f>IF($U1266="","",INDEX(상세표[사번],$U1266)&amp;"")</f>
        <v/>
      </c>
      <c r="K1266">
        <f>IF($U1266="","",INDEX(상세표[성명],$U1266)&amp;"")</f>
        <v/>
      </c>
      <c r="L1266">
        <f>IF($U1266="","",INDEX(상세표[직위],$U1266)&amp;"")</f>
        <v/>
      </c>
      <c r="M1266">
        <f>IF($U1266="","",IF(ISNUMBER(INDEX(상세표[근무일자],$U1266)),TEXT(INDEX(상세표[근무일자],$U1266),"yyyy-mm-dd"),INDEX(상세표[근무일자],$U1266)&amp;""))</f>
        <v/>
      </c>
      <c r="N1266">
        <f>IF($U1266="","",IF(ISNUMBER(INDEX(상세표[시작],$U1266)),TEXT(INDEX(상세표[시작],$U1266),"yyyy-mm-dd hh:mm"),INDEX(상세표[시작],$U1266)&amp;""))</f>
        <v/>
      </c>
      <c r="O1266">
        <f>IF($U1266="","",IF(ISNUMBER(INDEX(상세표[종료],$U1266)),TEXT(INDEX(상세표[종료],$U1266),"yyyy-mm-dd hh:mm"),INDEX(상세표[종료],$U1266)&amp;""))</f>
        <v/>
      </c>
      <c r="P1266">
        <f>IF($U1266="","",INDEX(상세표[06~07시],$U1266))</f>
        <v/>
      </c>
      <c r="Q1266">
        <f>IF($U1266="","",INDEX(상세표[07~18시],$U1266))</f>
        <v/>
      </c>
      <c r="R1266">
        <f>IF($U1266="","",INDEX(상세표[18~22시],$U1266))</f>
        <v/>
      </c>
      <c r="S1266">
        <f>IF($U1266="","",INDEX(상세표[22~06시],$U1266))</f>
        <v/>
      </c>
      <c r="T1266">
        <f>IF($U1266="","",INDEX(상세표[기록 시간외],$U1266))</f>
        <v/>
      </c>
      <c r="U1266" s="4">
        <f>IFERROR(MATCH(1261,상세표[발송순번],0),"")</f>
        <v/>
      </c>
    </row>
    <row r="1267">
      <c r="J1267">
        <f>IF($U1267="","",INDEX(상세표[사번],$U1267)&amp;"")</f>
        <v/>
      </c>
      <c r="K1267">
        <f>IF($U1267="","",INDEX(상세표[성명],$U1267)&amp;"")</f>
        <v/>
      </c>
      <c r="L1267">
        <f>IF($U1267="","",INDEX(상세표[직위],$U1267)&amp;"")</f>
        <v/>
      </c>
      <c r="M1267">
        <f>IF($U1267="","",IF(ISNUMBER(INDEX(상세표[근무일자],$U1267)),TEXT(INDEX(상세표[근무일자],$U1267),"yyyy-mm-dd"),INDEX(상세표[근무일자],$U1267)&amp;""))</f>
        <v/>
      </c>
      <c r="N1267">
        <f>IF($U1267="","",IF(ISNUMBER(INDEX(상세표[시작],$U1267)),TEXT(INDEX(상세표[시작],$U1267),"yyyy-mm-dd hh:mm"),INDEX(상세표[시작],$U1267)&amp;""))</f>
        <v/>
      </c>
      <c r="O1267">
        <f>IF($U1267="","",IF(ISNUMBER(INDEX(상세표[종료],$U1267)),TEXT(INDEX(상세표[종료],$U1267),"yyyy-mm-dd hh:mm"),INDEX(상세표[종료],$U1267)&amp;""))</f>
        <v/>
      </c>
      <c r="P1267">
        <f>IF($U1267="","",INDEX(상세표[06~07시],$U1267))</f>
        <v/>
      </c>
      <c r="Q1267">
        <f>IF($U1267="","",INDEX(상세표[07~18시],$U1267))</f>
        <v/>
      </c>
      <c r="R1267">
        <f>IF($U1267="","",INDEX(상세표[18~22시],$U1267))</f>
        <v/>
      </c>
      <c r="S1267">
        <f>IF($U1267="","",INDEX(상세표[22~06시],$U1267))</f>
        <v/>
      </c>
      <c r="T1267">
        <f>IF($U1267="","",INDEX(상세표[기록 시간외],$U1267))</f>
        <v/>
      </c>
      <c r="U1267" s="4">
        <f>IFERROR(MATCH(1262,상세표[발송순번],0),"")</f>
        <v/>
      </c>
    </row>
    <row r="1268">
      <c r="J1268">
        <f>IF($U1268="","",INDEX(상세표[사번],$U1268)&amp;"")</f>
        <v/>
      </c>
      <c r="K1268">
        <f>IF($U1268="","",INDEX(상세표[성명],$U1268)&amp;"")</f>
        <v/>
      </c>
      <c r="L1268">
        <f>IF($U1268="","",INDEX(상세표[직위],$U1268)&amp;"")</f>
        <v/>
      </c>
      <c r="M1268">
        <f>IF($U1268="","",IF(ISNUMBER(INDEX(상세표[근무일자],$U1268)),TEXT(INDEX(상세표[근무일자],$U1268),"yyyy-mm-dd"),INDEX(상세표[근무일자],$U1268)&amp;""))</f>
        <v/>
      </c>
      <c r="N1268">
        <f>IF($U1268="","",IF(ISNUMBER(INDEX(상세표[시작],$U1268)),TEXT(INDEX(상세표[시작],$U1268),"yyyy-mm-dd hh:mm"),INDEX(상세표[시작],$U1268)&amp;""))</f>
        <v/>
      </c>
      <c r="O1268">
        <f>IF($U1268="","",IF(ISNUMBER(INDEX(상세표[종료],$U1268)),TEXT(INDEX(상세표[종료],$U1268),"yyyy-mm-dd hh:mm"),INDEX(상세표[종료],$U1268)&amp;""))</f>
        <v/>
      </c>
      <c r="P1268">
        <f>IF($U1268="","",INDEX(상세표[06~07시],$U1268))</f>
        <v/>
      </c>
      <c r="Q1268">
        <f>IF($U1268="","",INDEX(상세표[07~18시],$U1268))</f>
        <v/>
      </c>
      <c r="R1268">
        <f>IF($U1268="","",INDEX(상세표[18~22시],$U1268))</f>
        <v/>
      </c>
      <c r="S1268">
        <f>IF($U1268="","",INDEX(상세표[22~06시],$U1268))</f>
        <v/>
      </c>
      <c r="T1268">
        <f>IF($U1268="","",INDEX(상세표[기록 시간외],$U1268))</f>
        <v/>
      </c>
      <c r="U1268" s="4">
        <f>IFERROR(MATCH(1263,상세표[발송순번],0),"")</f>
        <v/>
      </c>
    </row>
    <row r="1269">
      <c r="J1269">
        <f>IF($U1269="","",INDEX(상세표[사번],$U1269)&amp;"")</f>
        <v/>
      </c>
      <c r="K1269">
        <f>IF($U1269="","",INDEX(상세표[성명],$U1269)&amp;"")</f>
        <v/>
      </c>
      <c r="L1269">
        <f>IF($U1269="","",INDEX(상세표[직위],$U1269)&amp;"")</f>
        <v/>
      </c>
      <c r="M1269">
        <f>IF($U1269="","",IF(ISNUMBER(INDEX(상세표[근무일자],$U1269)),TEXT(INDEX(상세표[근무일자],$U1269),"yyyy-mm-dd"),INDEX(상세표[근무일자],$U1269)&amp;""))</f>
        <v/>
      </c>
      <c r="N1269">
        <f>IF($U1269="","",IF(ISNUMBER(INDEX(상세표[시작],$U1269)),TEXT(INDEX(상세표[시작],$U1269),"yyyy-mm-dd hh:mm"),INDEX(상세표[시작],$U1269)&amp;""))</f>
        <v/>
      </c>
      <c r="O1269">
        <f>IF($U1269="","",IF(ISNUMBER(INDEX(상세표[종료],$U1269)),TEXT(INDEX(상세표[종료],$U1269),"yyyy-mm-dd hh:mm"),INDEX(상세표[종료],$U1269)&amp;""))</f>
        <v/>
      </c>
      <c r="P1269">
        <f>IF($U1269="","",INDEX(상세표[06~07시],$U1269))</f>
        <v/>
      </c>
      <c r="Q1269">
        <f>IF($U1269="","",INDEX(상세표[07~18시],$U1269))</f>
        <v/>
      </c>
      <c r="R1269">
        <f>IF($U1269="","",INDEX(상세표[18~22시],$U1269))</f>
        <v/>
      </c>
      <c r="S1269">
        <f>IF($U1269="","",INDEX(상세표[22~06시],$U1269))</f>
        <v/>
      </c>
      <c r="T1269">
        <f>IF($U1269="","",INDEX(상세표[기록 시간외],$U1269))</f>
        <v/>
      </c>
      <c r="U1269" s="4">
        <f>IFERROR(MATCH(1264,상세표[발송순번],0),"")</f>
        <v/>
      </c>
    </row>
    <row r="1270">
      <c r="J1270">
        <f>IF($U1270="","",INDEX(상세표[사번],$U1270)&amp;"")</f>
        <v/>
      </c>
      <c r="K1270">
        <f>IF($U1270="","",INDEX(상세표[성명],$U1270)&amp;"")</f>
        <v/>
      </c>
      <c r="L1270">
        <f>IF($U1270="","",INDEX(상세표[직위],$U1270)&amp;"")</f>
        <v/>
      </c>
      <c r="M1270">
        <f>IF($U1270="","",IF(ISNUMBER(INDEX(상세표[근무일자],$U1270)),TEXT(INDEX(상세표[근무일자],$U1270),"yyyy-mm-dd"),INDEX(상세표[근무일자],$U1270)&amp;""))</f>
        <v/>
      </c>
      <c r="N1270">
        <f>IF($U1270="","",IF(ISNUMBER(INDEX(상세표[시작],$U1270)),TEXT(INDEX(상세표[시작],$U1270),"yyyy-mm-dd hh:mm"),INDEX(상세표[시작],$U1270)&amp;""))</f>
        <v/>
      </c>
      <c r="O1270">
        <f>IF($U1270="","",IF(ISNUMBER(INDEX(상세표[종료],$U1270)),TEXT(INDEX(상세표[종료],$U1270),"yyyy-mm-dd hh:mm"),INDEX(상세표[종료],$U1270)&amp;""))</f>
        <v/>
      </c>
      <c r="P1270">
        <f>IF($U1270="","",INDEX(상세표[06~07시],$U1270))</f>
        <v/>
      </c>
      <c r="Q1270">
        <f>IF($U1270="","",INDEX(상세표[07~18시],$U1270))</f>
        <v/>
      </c>
      <c r="R1270">
        <f>IF($U1270="","",INDEX(상세표[18~22시],$U1270))</f>
        <v/>
      </c>
      <c r="S1270">
        <f>IF($U1270="","",INDEX(상세표[22~06시],$U1270))</f>
        <v/>
      </c>
      <c r="T1270">
        <f>IF($U1270="","",INDEX(상세표[기록 시간외],$U1270))</f>
        <v/>
      </c>
      <c r="U1270" s="4">
        <f>IFERROR(MATCH(1265,상세표[발송순번],0),"")</f>
        <v/>
      </c>
    </row>
    <row r="1271">
      <c r="J1271">
        <f>IF($U1271="","",INDEX(상세표[사번],$U1271)&amp;"")</f>
        <v/>
      </c>
      <c r="K1271">
        <f>IF($U1271="","",INDEX(상세표[성명],$U1271)&amp;"")</f>
        <v/>
      </c>
      <c r="L1271">
        <f>IF($U1271="","",INDEX(상세표[직위],$U1271)&amp;"")</f>
        <v/>
      </c>
      <c r="M1271">
        <f>IF($U1271="","",IF(ISNUMBER(INDEX(상세표[근무일자],$U1271)),TEXT(INDEX(상세표[근무일자],$U1271),"yyyy-mm-dd"),INDEX(상세표[근무일자],$U1271)&amp;""))</f>
        <v/>
      </c>
      <c r="N1271">
        <f>IF($U1271="","",IF(ISNUMBER(INDEX(상세표[시작],$U1271)),TEXT(INDEX(상세표[시작],$U1271),"yyyy-mm-dd hh:mm"),INDEX(상세표[시작],$U1271)&amp;""))</f>
        <v/>
      </c>
      <c r="O1271">
        <f>IF($U1271="","",IF(ISNUMBER(INDEX(상세표[종료],$U1271)),TEXT(INDEX(상세표[종료],$U1271),"yyyy-mm-dd hh:mm"),INDEX(상세표[종료],$U1271)&amp;""))</f>
        <v/>
      </c>
      <c r="P1271">
        <f>IF($U1271="","",INDEX(상세표[06~07시],$U1271))</f>
        <v/>
      </c>
      <c r="Q1271">
        <f>IF($U1271="","",INDEX(상세표[07~18시],$U1271))</f>
        <v/>
      </c>
      <c r="R1271">
        <f>IF($U1271="","",INDEX(상세표[18~22시],$U1271))</f>
        <v/>
      </c>
      <c r="S1271">
        <f>IF($U1271="","",INDEX(상세표[22~06시],$U1271))</f>
        <v/>
      </c>
      <c r="T1271">
        <f>IF($U1271="","",INDEX(상세표[기록 시간외],$U1271))</f>
        <v/>
      </c>
      <c r="U1271" s="4">
        <f>IFERROR(MATCH(1266,상세표[발송순번],0),"")</f>
        <v/>
      </c>
    </row>
    <row r="1272">
      <c r="J1272">
        <f>IF($U1272="","",INDEX(상세표[사번],$U1272)&amp;"")</f>
        <v/>
      </c>
      <c r="K1272">
        <f>IF($U1272="","",INDEX(상세표[성명],$U1272)&amp;"")</f>
        <v/>
      </c>
      <c r="L1272">
        <f>IF($U1272="","",INDEX(상세표[직위],$U1272)&amp;"")</f>
        <v/>
      </c>
      <c r="M1272">
        <f>IF($U1272="","",IF(ISNUMBER(INDEX(상세표[근무일자],$U1272)),TEXT(INDEX(상세표[근무일자],$U1272),"yyyy-mm-dd"),INDEX(상세표[근무일자],$U1272)&amp;""))</f>
        <v/>
      </c>
      <c r="N1272">
        <f>IF($U1272="","",IF(ISNUMBER(INDEX(상세표[시작],$U1272)),TEXT(INDEX(상세표[시작],$U1272),"yyyy-mm-dd hh:mm"),INDEX(상세표[시작],$U1272)&amp;""))</f>
        <v/>
      </c>
      <c r="O1272">
        <f>IF($U1272="","",IF(ISNUMBER(INDEX(상세표[종료],$U1272)),TEXT(INDEX(상세표[종료],$U1272),"yyyy-mm-dd hh:mm"),INDEX(상세표[종료],$U1272)&amp;""))</f>
        <v/>
      </c>
      <c r="P1272">
        <f>IF($U1272="","",INDEX(상세표[06~07시],$U1272))</f>
        <v/>
      </c>
      <c r="Q1272">
        <f>IF($U1272="","",INDEX(상세표[07~18시],$U1272))</f>
        <v/>
      </c>
      <c r="R1272">
        <f>IF($U1272="","",INDEX(상세표[18~22시],$U1272))</f>
        <v/>
      </c>
      <c r="S1272">
        <f>IF($U1272="","",INDEX(상세표[22~06시],$U1272))</f>
        <v/>
      </c>
      <c r="T1272">
        <f>IF($U1272="","",INDEX(상세표[기록 시간외],$U1272))</f>
        <v/>
      </c>
      <c r="U1272" s="4">
        <f>IFERROR(MATCH(1267,상세표[발송순번],0),"")</f>
        <v/>
      </c>
    </row>
    <row r="1273">
      <c r="J1273">
        <f>IF($U1273="","",INDEX(상세표[사번],$U1273)&amp;"")</f>
        <v/>
      </c>
      <c r="K1273">
        <f>IF($U1273="","",INDEX(상세표[성명],$U1273)&amp;"")</f>
        <v/>
      </c>
      <c r="L1273">
        <f>IF($U1273="","",INDEX(상세표[직위],$U1273)&amp;"")</f>
        <v/>
      </c>
      <c r="M1273">
        <f>IF($U1273="","",IF(ISNUMBER(INDEX(상세표[근무일자],$U1273)),TEXT(INDEX(상세표[근무일자],$U1273),"yyyy-mm-dd"),INDEX(상세표[근무일자],$U1273)&amp;""))</f>
        <v/>
      </c>
      <c r="N1273">
        <f>IF($U1273="","",IF(ISNUMBER(INDEX(상세표[시작],$U1273)),TEXT(INDEX(상세표[시작],$U1273),"yyyy-mm-dd hh:mm"),INDEX(상세표[시작],$U1273)&amp;""))</f>
        <v/>
      </c>
      <c r="O1273">
        <f>IF($U1273="","",IF(ISNUMBER(INDEX(상세표[종료],$U1273)),TEXT(INDEX(상세표[종료],$U1273),"yyyy-mm-dd hh:mm"),INDEX(상세표[종료],$U1273)&amp;""))</f>
        <v/>
      </c>
      <c r="P1273">
        <f>IF($U1273="","",INDEX(상세표[06~07시],$U1273))</f>
        <v/>
      </c>
      <c r="Q1273">
        <f>IF($U1273="","",INDEX(상세표[07~18시],$U1273))</f>
        <v/>
      </c>
      <c r="R1273">
        <f>IF($U1273="","",INDEX(상세표[18~22시],$U1273))</f>
        <v/>
      </c>
      <c r="S1273">
        <f>IF($U1273="","",INDEX(상세표[22~06시],$U1273))</f>
        <v/>
      </c>
      <c r="T1273">
        <f>IF($U1273="","",INDEX(상세표[기록 시간외],$U1273))</f>
        <v/>
      </c>
      <c r="U1273" s="4">
        <f>IFERROR(MATCH(1268,상세표[발송순번],0),"")</f>
        <v/>
      </c>
    </row>
    <row r="1274">
      <c r="J1274">
        <f>IF($U1274="","",INDEX(상세표[사번],$U1274)&amp;"")</f>
        <v/>
      </c>
      <c r="K1274">
        <f>IF($U1274="","",INDEX(상세표[성명],$U1274)&amp;"")</f>
        <v/>
      </c>
      <c r="L1274">
        <f>IF($U1274="","",INDEX(상세표[직위],$U1274)&amp;"")</f>
        <v/>
      </c>
      <c r="M1274">
        <f>IF($U1274="","",IF(ISNUMBER(INDEX(상세표[근무일자],$U1274)),TEXT(INDEX(상세표[근무일자],$U1274),"yyyy-mm-dd"),INDEX(상세표[근무일자],$U1274)&amp;""))</f>
        <v/>
      </c>
      <c r="N1274">
        <f>IF($U1274="","",IF(ISNUMBER(INDEX(상세표[시작],$U1274)),TEXT(INDEX(상세표[시작],$U1274),"yyyy-mm-dd hh:mm"),INDEX(상세표[시작],$U1274)&amp;""))</f>
        <v/>
      </c>
      <c r="O1274">
        <f>IF($U1274="","",IF(ISNUMBER(INDEX(상세표[종료],$U1274)),TEXT(INDEX(상세표[종료],$U1274),"yyyy-mm-dd hh:mm"),INDEX(상세표[종료],$U1274)&amp;""))</f>
        <v/>
      </c>
      <c r="P1274">
        <f>IF($U1274="","",INDEX(상세표[06~07시],$U1274))</f>
        <v/>
      </c>
      <c r="Q1274">
        <f>IF($U1274="","",INDEX(상세표[07~18시],$U1274))</f>
        <v/>
      </c>
      <c r="R1274">
        <f>IF($U1274="","",INDEX(상세표[18~22시],$U1274))</f>
        <v/>
      </c>
      <c r="S1274">
        <f>IF($U1274="","",INDEX(상세표[22~06시],$U1274))</f>
        <v/>
      </c>
      <c r="T1274">
        <f>IF($U1274="","",INDEX(상세표[기록 시간외],$U1274))</f>
        <v/>
      </c>
      <c r="U1274" s="4">
        <f>IFERROR(MATCH(1269,상세표[발송순번],0),"")</f>
        <v/>
      </c>
    </row>
    <row r="1275">
      <c r="J1275">
        <f>IF($U1275="","",INDEX(상세표[사번],$U1275)&amp;"")</f>
        <v/>
      </c>
      <c r="K1275">
        <f>IF($U1275="","",INDEX(상세표[성명],$U1275)&amp;"")</f>
        <v/>
      </c>
      <c r="L1275">
        <f>IF($U1275="","",INDEX(상세표[직위],$U1275)&amp;"")</f>
        <v/>
      </c>
      <c r="M1275">
        <f>IF($U1275="","",IF(ISNUMBER(INDEX(상세표[근무일자],$U1275)),TEXT(INDEX(상세표[근무일자],$U1275),"yyyy-mm-dd"),INDEX(상세표[근무일자],$U1275)&amp;""))</f>
        <v/>
      </c>
      <c r="N1275">
        <f>IF($U1275="","",IF(ISNUMBER(INDEX(상세표[시작],$U1275)),TEXT(INDEX(상세표[시작],$U1275),"yyyy-mm-dd hh:mm"),INDEX(상세표[시작],$U1275)&amp;""))</f>
        <v/>
      </c>
      <c r="O1275">
        <f>IF($U1275="","",IF(ISNUMBER(INDEX(상세표[종료],$U1275)),TEXT(INDEX(상세표[종료],$U1275),"yyyy-mm-dd hh:mm"),INDEX(상세표[종료],$U1275)&amp;""))</f>
        <v/>
      </c>
      <c r="P1275">
        <f>IF($U1275="","",INDEX(상세표[06~07시],$U1275))</f>
        <v/>
      </c>
      <c r="Q1275">
        <f>IF($U1275="","",INDEX(상세표[07~18시],$U1275))</f>
        <v/>
      </c>
      <c r="R1275">
        <f>IF($U1275="","",INDEX(상세표[18~22시],$U1275))</f>
        <v/>
      </c>
      <c r="S1275">
        <f>IF($U1275="","",INDEX(상세표[22~06시],$U1275))</f>
        <v/>
      </c>
      <c r="T1275">
        <f>IF($U1275="","",INDEX(상세표[기록 시간외],$U1275))</f>
        <v/>
      </c>
      <c r="U1275" s="4">
        <f>IFERROR(MATCH(1270,상세표[발송순번],0),"")</f>
        <v/>
      </c>
    </row>
    <row r="1276">
      <c r="J1276">
        <f>IF($U1276="","",INDEX(상세표[사번],$U1276)&amp;"")</f>
        <v/>
      </c>
      <c r="K1276">
        <f>IF($U1276="","",INDEX(상세표[성명],$U1276)&amp;"")</f>
        <v/>
      </c>
      <c r="L1276">
        <f>IF($U1276="","",INDEX(상세표[직위],$U1276)&amp;"")</f>
        <v/>
      </c>
      <c r="M1276">
        <f>IF($U1276="","",IF(ISNUMBER(INDEX(상세표[근무일자],$U1276)),TEXT(INDEX(상세표[근무일자],$U1276),"yyyy-mm-dd"),INDEX(상세표[근무일자],$U1276)&amp;""))</f>
        <v/>
      </c>
      <c r="N1276">
        <f>IF($U1276="","",IF(ISNUMBER(INDEX(상세표[시작],$U1276)),TEXT(INDEX(상세표[시작],$U1276),"yyyy-mm-dd hh:mm"),INDEX(상세표[시작],$U1276)&amp;""))</f>
        <v/>
      </c>
      <c r="O1276">
        <f>IF($U1276="","",IF(ISNUMBER(INDEX(상세표[종료],$U1276)),TEXT(INDEX(상세표[종료],$U1276),"yyyy-mm-dd hh:mm"),INDEX(상세표[종료],$U1276)&amp;""))</f>
        <v/>
      </c>
      <c r="P1276">
        <f>IF($U1276="","",INDEX(상세표[06~07시],$U1276))</f>
        <v/>
      </c>
      <c r="Q1276">
        <f>IF($U1276="","",INDEX(상세표[07~18시],$U1276))</f>
        <v/>
      </c>
      <c r="R1276">
        <f>IF($U1276="","",INDEX(상세표[18~22시],$U1276))</f>
        <v/>
      </c>
      <c r="S1276">
        <f>IF($U1276="","",INDEX(상세표[22~06시],$U1276))</f>
        <v/>
      </c>
      <c r="T1276">
        <f>IF($U1276="","",INDEX(상세표[기록 시간외],$U1276))</f>
        <v/>
      </c>
      <c r="U1276" s="4">
        <f>IFERROR(MATCH(1271,상세표[발송순번],0),"")</f>
        <v/>
      </c>
    </row>
    <row r="1277">
      <c r="J1277">
        <f>IF($U1277="","",INDEX(상세표[사번],$U1277)&amp;"")</f>
        <v/>
      </c>
      <c r="K1277">
        <f>IF($U1277="","",INDEX(상세표[성명],$U1277)&amp;"")</f>
        <v/>
      </c>
      <c r="L1277">
        <f>IF($U1277="","",INDEX(상세표[직위],$U1277)&amp;"")</f>
        <v/>
      </c>
      <c r="M1277">
        <f>IF($U1277="","",IF(ISNUMBER(INDEX(상세표[근무일자],$U1277)),TEXT(INDEX(상세표[근무일자],$U1277),"yyyy-mm-dd"),INDEX(상세표[근무일자],$U1277)&amp;""))</f>
        <v/>
      </c>
      <c r="N1277">
        <f>IF($U1277="","",IF(ISNUMBER(INDEX(상세표[시작],$U1277)),TEXT(INDEX(상세표[시작],$U1277),"yyyy-mm-dd hh:mm"),INDEX(상세표[시작],$U1277)&amp;""))</f>
        <v/>
      </c>
      <c r="O1277">
        <f>IF($U1277="","",IF(ISNUMBER(INDEX(상세표[종료],$U1277)),TEXT(INDEX(상세표[종료],$U1277),"yyyy-mm-dd hh:mm"),INDEX(상세표[종료],$U1277)&amp;""))</f>
        <v/>
      </c>
      <c r="P1277">
        <f>IF($U1277="","",INDEX(상세표[06~07시],$U1277))</f>
        <v/>
      </c>
      <c r="Q1277">
        <f>IF($U1277="","",INDEX(상세표[07~18시],$U1277))</f>
        <v/>
      </c>
      <c r="R1277">
        <f>IF($U1277="","",INDEX(상세표[18~22시],$U1277))</f>
        <v/>
      </c>
      <c r="S1277">
        <f>IF($U1277="","",INDEX(상세표[22~06시],$U1277))</f>
        <v/>
      </c>
      <c r="T1277">
        <f>IF($U1277="","",INDEX(상세표[기록 시간외],$U1277))</f>
        <v/>
      </c>
      <c r="U1277" s="4">
        <f>IFERROR(MATCH(1272,상세표[발송순번],0),"")</f>
        <v/>
      </c>
    </row>
    <row r="1278">
      <c r="J1278">
        <f>IF($U1278="","",INDEX(상세표[사번],$U1278)&amp;"")</f>
        <v/>
      </c>
      <c r="K1278">
        <f>IF($U1278="","",INDEX(상세표[성명],$U1278)&amp;"")</f>
        <v/>
      </c>
      <c r="L1278">
        <f>IF($U1278="","",INDEX(상세표[직위],$U1278)&amp;"")</f>
        <v/>
      </c>
      <c r="M1278">
        <f>IF($U1278="","",IF(ISNUMBER(INDEX(상세표[근무일자],$U1278)),TEXT(INDEX(상세표[근무일자],$U1278),"yyyy-mm-dd"),INDEX(상세표[근무일자],$U1278)&amp;""))</f>
        <v/>
      </c>
      <c r="N1278">
        <f>IF($U1278="","",IF(ISNUMBER(INDEX(상세표[시작],$U1278)),TEXT(INDEX(상세표[시작],$U1278),"yyyy-mm-dd hh:mm"),INDEX(상세표[시작],$U1278)&amp;""))</f>
        <v/>
      </c>
      <c r="O1278">
        <f>IF($U1278="","",IF(ISNUMBER(INDEX(상세표[종료],$U1278)),TEXT(INDEX(상세표[종료],$U1278),"yyyy-mm-dd hh:mm"),INDEX(상세표[종료],$U1278)&amp;""))</f>
        <v/>
      </c>
      <c r="P1278">
        <f>IF($U1278="","",INDEX(상세표[06~07시],$U1278))</f>
        <v/>
      </c>
      <c r="Q1278">
        <f>IF($U1278="","",INDEX(상세표[07~18시],$U1278))</f>
        <v/>
      </c>
      <c r="R1278">
        <f>IF($U1278="","",INDEX(상세표[18~22시],$U1278))</f>
        <v/>
      </c>
      <c r="S1278">
        <f>IF($U1278="","",INDEX(상세표[22~06시],$U1278))</f>
        <v/>
      </c>
      <c r="T1278">
        <f>IF($U1278="","",INDEX(상세표[기록 시간외],$U1278))</f>
        <v/>
      </c>
      <c r="U1278" s="4">
        <f>IFERROR(MATCH(1273,상세표[발송순번],0),"")</f>
        <v/>
      </c>
    </row>
    <row r="1279">
      <c r="J1279">
        <f>IF($U1279="","",INDEX(상세표[사번],$U1279)&amp;"")</f>
        <v/>
      </c>
      <c r="K1279">
        <f>IF($U1279="","",INDEX(상세표[성명],$U1279)&amp;"")</f>
        <v/>
      </c>
      <c r="L1279">
        <f>IF($U1279="","",INDEX(상세표[직위],$U1279)&amp;"")</f>
        <v/>
      </c>
      <c r="M1279">
        <f>IF($U1279="","",IF(ISNUMBER(INDEX(상세표[근무일자],$U1279)),TEXT(INDEX(상세표[근무일자],$U1279),"yyyy-mm-dd"),INDEX(상세표[근무일자],$U1279)&amp;""))</f>
        <v/>
      </c>
      <c r="N1279">
        <f>IF($U1279="","",IF(ISNUMBER(INDEX(상세표[시작],$U1279)),TEXT(INDEX(상세표[시작],$U1279),"yyyy-mm-dd hh:mm"),INDEX(상세표[시작],$U1279)&amp;""))</f>
        <v/>
      </c>
      <c r="O1279">
        <f>IF($U1279="","",IF(ISNUMBER(INDEX(상세표[종료],$U1279)),TEXT(INDEX(상세표[종료],$U1279),"yyyy-mm-dd hh:mm"),INDEX(상세표[종료],$U1279)&amp;""))</f>
        <v/>
      </c>
      <c r="P1279">
        <f>IF($U1279="","",INDEX(상세표[06~07시],$U1279))</f>
        <v/>
      </c>
      <c r="Q1279">
        <f>IF($U1279="","",INDEX(상세표[07~18시],$U1279))</f>
        <v/>
      </c>
      <c r="R1279">
        <f>IF($U1279="","",INDEX(상세표[18~22시],$U1279))</f>
        <v/>
      </c>
      <c r="S1279">
        <f>IF($U1279="","",INDEX(상세표[22~06시],$U1279))</f>
        <v/>
      </c>
      <c r="T1279">
        <f>IF($U1279="","",INDEX(상세표[기록 시간외],$U1279))</f>
        <v/>
      </c>
      <c r="U1279" s="4">
        <f>IFERROR(MATCH(1274,상세표[발송순번],0),"")</f>
        <v/>
      </c>
    </row>
    <row r="1280">
      <c r="J1280">
        <f>IF($U1280="","",INDEX(상세표[사번],$U1280)&amp;"")</f>
        <v/>
      </c>
      <c r="K1280">
        <f>IF($U1280="","",INDEX(상세표[성명],$U1280)&amp;"")</f>
        <v/>
      </c>
      <c r="L1280">
        <f>IF($U1280="","",INDEX(상세표[직위],$U1280)&amp;"")</f>
        <v/>
      </c>
      <c r="M1280">
        <f>IF($U1280="","",IF(ISNUMBER(INDEX(상세표[근무일자],$U1280)),TEXT(INDEX(상세표[근무일자],$U1280),"yyyy-mm-dd"),INDEX(상세표[근무일자],$U1280)&amp;""))</f>
        <v/>
      </c>
      <c r="N1280">
        <f>IF($U1280="","",IF(ISNUMBER(INDEX(상세표[시작],$U1280)),TEXT(INDEX(상세표[시작],$U1280),"yyyy-mm-dd hh:mm"),INDEX(상세표[시작],$U1280)&amp;""))</f>
        <v/>
      </c>
      <c r="O1280">
        <f>IF($U1280="","",IF(ISNUMBER(INDEX(상세표[종료],$U1280)),TEXT(INDEX(상세표[종료],$U1280),"yyyy-mm-dd hh:mm"),INDEX(상세표[종료],$U1280)&amp;""))</f>
        <v/>
      </c>
      <c r="P1280">
        <f>IF($U1280="","",INDEX(상세표[06~07시],$U1280))</f>
        <v/>
      </c>
      <c r="Q1280">
        <f>IF($U1280="","",INDEX(상세표[07~18시],$U1280))</f>
        <v/>
      </c>
      <c r="R1280">
        <f>IF($U1280="","",INDEX(상세표[18~22시],$U1280))</f>
        <v/>
      </c>
      <c r="S1280">
        <f>IF($U1280="","",INDEX(상세표[22~06시],$U1280))</f>
        <v/>
      </c>
      <c r="T1280">
        <f>IF($U1280="","",INDEX(상세표[기록 시간외],$U1280))</f>
        <v/>
      </c>
      <c r="U1280" s="4">
        <f>IFERROR(MATCH(1275,상세표[발송순번],0),"")</f>
        <v/>
      </c>
    </row>
    <row r="1281">
      <c r="J1281">
        <f>IF($U1281="","",INDEX(상세표[사번],$U1281)&amp;"")</f>
        <v/>
      </c>
      <c r="K1281">
        <f>IF($U1281="","",INDEX(상세표[성명],$U1281)&amp;"")</f>
        <v/>
      </c>
      <c r="L1281">
        <f>IF($U1281="","",INDEX(상세표[직위],$U1281)&amp;"")</f>
        <v/>
      </c>
      <c r="M1281">
        <f>IF($U1281="","",IF(ISNUMBER(INDEX(상세표[근무일자],$U1281)),TEXT(INDEX(상세표[근무일자],$U1281),"yyyy-mm-dd"),INDEX(상세표[근무일자],$U1281)&amp;""))</f>
        <v/>
      </c>
      <c r="N1281">
        <f>IF($U1281="","",IF(ISNUMBER(INDEX(상세표[시작],$U1281)),TEXT(INDEX(상세표[시작],$U1281),"yyyy-mm-dd hh:mm"),INDEX(상세표[시작],$U1281)&amp;""))</f>
        <v/>
      </c>
      <c r="O1281">
        <f>IF($U1281="","",IF(ISNUMBER(INDEX(상세표[종료],$U1281)),TEXT(INDEX(상세표[종료],$U1281),"yyyy-mm-dd hh:mm"),INDEX(상세표[종료],$U1281)&amp;""))</f>
        <v/>
      </c>
      <c r="P1281">
        <f>IF($U1281="","",INDEX(상세표[06~07시],$U1281))</f>
        <v/>
      </c>
      <c r="Q1281">
        <f>IF($U1281="","",INDEX(상세표[07~18시],$U1281))</f>
        <v/>
      </c>
      <c r="R1281">
        <f>IF($U1281="","",INDEX(상세표[18~22시],$U1281))</f>
        <v/>
      </c>
      <c r="S1281">
        <f>IF($U1281="","",INDEX(상세표[22~06시],$U1281))</f>
        <v/>
      </c>
      <c r="T1281">
        <f>IF($U1281="","",INDEX(상세표[기록 시간외],$U1281))</f>
        <v/>
      </c>
      <c r="U1281" s="4">
        <f>IFERROR(MATCH(1276,상세표[발송순번],0),"")</f>
        <v/>
      </c>
    </row>
    <row r="1282">
      <c r="J1282">
        <f>IF($U1282="","",INDEX(상세표[사번],$U1282)&amp;"")</f>
        <v/>
      </c>
      <c r="K1282">
        <f>IF($U1282="","",INDEX(상세표[성명],$U1282)&amp;"")</f>
        <v/>
      </c>
      <c r="L1282">
        <f>IF($U1282="","",INDEX(상세표[직위],$U1282)&amp;"")</f>
        <v/>
      </c>
      <c r="M1282">
        <f>IF($U1282="","",IF(ISNUMBER(INDEX(상세표[근무일자],$U1282)),TEXT(INDEX(상세표[근무일자],$U1282),"yyyy-mm-dd"),INDEX(상세표[근무일자],$U1282)&amp;""))</f>
        <v/>
      </c>
      <c r="N1282">
        <f>IF($U1282="","",IF(ISNUMBER(INDEX(상세표[시작],$U1282)),TEXT(INDEX(상세표[시작],$U1282),"yyyy-mm-dd hh:mm"),INDEX(상세표[시작],$U1282)&amp;""))</f>
        <v/>
      </c>
      <c r="O1282">
        <f>IF($U1282="","",IF(ISNUMBER(INDEX(상세표[종료],$U1282)),TEXT(INDEX(상세표[종료],$U1282),"yyyy-mm-dd hh:mm"),INDEX(상세표[종료],$U1282)&amp;""))</f>
        <v/>
      </c>
      <c r="P1282">
        <f>IF($U1282="","",INDEX(상세표[06~07시],$U1282))</f>
        <v/>
      </c>
      <c r="Q1282">
        <f>IF($U1282="","",INDEX(상세표[07~18시],$U1282))</f>
        <v/>
      </c>
      <c r="R1282">
        <f>IF($U1282="","",INDEX(상세표[18~22시],$U1282))</f>
        <v/>
      </c>
      <c r="S1282">
        <f>IF($U1282="","",INDEX(상세표[22~06시],$U1282))</f>
        <v/>
      </c>
      <c r="T1282">
        <f>IF($U1282="","",INDEX(상세표[기록 시간외],$U1282))</f>
        <v/>
      </c>
      <c r="U1282" s="4">
        <f>IFERROR(MATCH(1277,상세표[발송순번],0),"")</f>
        <v/>
      </c>
    </row>
    <row r="1283">
      <c r="J1283">
        <f>IF($U1283="","",INDEX(상세표[사번],$U1283)&amp;"")</f>
        <v/>
      </c>
      <c r="K1283">
        <f>IF($U1283="","",INDEX(상세표[성명],$U1283)&amp;"")</f>
        <v/>
      </c>
      <c r="L1283">
        <f>IF($U1283="","",INDEX(상세표[직위],$U1283)&amp;"")</f>
        <v/>
      </c>
      <c r="M1283">
        <f>IF($U1283="","",IF(ISNUMBER(INDEX(상세표[근무일자],$U1283)),TEXT(INDEX(상세표[근무일자],$U1283),"yyyy-mm-dd"),INDEX(상세표[근무일자],$U1283)&amp;""))</f>
        <v/>
      </c>
      <c r="N1283">
        <f>IF($U1283="","",IF(ISNUMBER(INDEX(상세표[시작],$U1283)),TEXT(INDEX(상세표[시작],$U1283),"yyyy-mm-dd hh:mm"),INDEX(상세표[시작],$U1283)&amp;""))</f>
        <v/>
      </c>
      <c r="O1283">
        <f>IF($U1283="","",IF(ISNUMBER(INDEX(상세표[종료],$U1283)),TEXT(INDEX(상세표[종료],$U1283),"yyyy-mm-dd hh:mm"),INDEX(상세표[종료],$U1283)&amp;""))</f>
        <v/>
      </c>
      <c r="P1283">
        <f>IF($U1283="","",INDEX(상세표[06~07시],$U1283))</f>
        <v/>
      </c>
      <c r="Q1283">
        <f>IF($U1283="","",INDEX(상세표[07~18시],$U1283))</f>
        <v/>
      </c>
      <c r="R1283">
        <f>IF($U1283="","",INDEX(상세표[18~22시],$U1283))</f>
        <v/>
      </c>
      <c r="S1283">
        <f>IF($U1283="","",INDEX(상세표[22~06시],$U1283))</f>
        <v/>
      </c>
      <c r="T1283">
        <f>IF($U1283="","",INDEX(상세표[기록 시간외],$U1283))</f>
        <v/>
      </c>
      <c r="U1283" s="4">
        <f>IFERROR(MATCH(1278,상세표[발송순번],0),"")</f>
        <v/>
      </c>
    </row>
    <row r="1284">
      <c r="J1284">
        <f>IF($U1284="","",INDEX(상세표[사번],$U1284)&amp;"")</f>
        <v/>
      </c>
      <c r="K1284">
        <f>IF($U1284="","",INDEX(상세표[성명],$U1284)&amp;"")</f>
        <v/>
      </c>
      <c r="L1284">
        <f>IF($U1284="","",INDEX(상세표[직위],$U1284)&amp;"")</f>
        <v/>
      </c>
      <c r="M1284">
        <f>IF($U1284="","",IF(ISNUMBER(INDEX(상세표[근무일자],$U1284)),TEXT(INDEX(상세표[근무일자],$U1284),"yyyy-mm-dd"),INDEX(상세표[근무일자],$U1284)&amp;""))</f>
        <v/>
      </c>
      <c r="N1284">
        <f>IF($U1284="","",IF(ISNUMBER(INDEX(상세표[시작],$U1284)),TEXT(INDEX(상세표[시작],$U1284),"yyyy-mm-dd hh:mm"),INDEX(상세표[시작],$U1284)&amp;""))</f>
        <v/>
      </c>
      <c r="O1284">
        <f>IF($U1284="","",IF(ISNUMBER(INDEX(상세표[종료],$U1284)),TEXT(INDEX(상세표[종료],$U1284),"yyyy-mm-dd hh:mm"),INDEX(상세표[종료],$U1284)&amp;""))</f>
        <v/>
      </c>
      <c r="P1284">
        <f>IF($U1284="","",INDEX(상세표[06~07시],$U1284))</f>
        <v/>
      </c>
      <c r="Q1284">
        <f>IF($U1284="","",INDEX(상세표[07~18시],$U1284))</f>
        <v/>
      </c>
      <c r="R1284">
        <f>IF($U1284="","",INDEX(상세표[18~22시],$U1284))</f>
        <v/>
      </c>
      <c r="S1284">
        <f>IF($U1284="","",INDEX(상세표[22~06시],$U1284))</f>
        <v/>
      </c>
      <c r="T1284">
        <f>IF($U1284="","",INDEX(상세표[기록 시간외],$U1284))</f>
        <v/>
      </c>
      <c r="U1284" s="4">
        <f>IFERROR(MATCH(1279,상세표[발송순번],0),"")</f>
        <v/>
      </c>
    </row>
    <row r="1285">
      <c r="J1285">
        <f>IF($U1285="","",INDEX(상세표[사번],$U1285)&amp;"")</f>
        <v/>
      </c>
      <c r="K1285">
        <f>IF($U1285="","",INDEX(상세표[성명],$U1285)&amp;"")</f>
        <v/>
      </c>
      <c r="L1285">
        <f>IF($U1285="","",INDEX(상세표[직위],$U1285)&amp;"")</f>
        <v/>
      </c>
      <c r="M1285">
        <f>IF($U1285="","",IF(ISNUMBER(INDEX(상세표[근무일자],$U1285)),TEXT(INDEX(상세표[근무일자],$U1285),"yyyy-mm-dd"),INDEX(상세표[근무일자],$U1285)&amp;""))</f>
        <v/>
      </c>
      <c r="N1285">
        <f>IF($U1285="","",IF(ISNUMBER(INDEX(상세표[시작],$U1285)),TEXT(INDEX(상세표[시작],$U1285),"yyyy-mm-dd hh:mm"),INDEX(상세표[시작],$U1285)&amp;""))</f>
        <v/>
      </c>
      <c r="O1285">
        <f>IF($U1285="","",IF(ISNUMBER(INDEX(상세표[종료],$U1285)),TEXT(INDEX(상세표[종료],$U1285),"yyyy-mm-dd hh:mm"),INDEX(상세표[종료],$U1285)&amp;""))</f>
        <v/>
      </c>
      <c r="P1285">
        <f>IF($U1285="","",INDEX(상세표[06~07시],$U1285))</f>
        <v/>
      </c>
      <c r="Q1285">
        <f>IF($U1285="","",INDEX(상세표[07~18시],$U1285))</f>
        <v/>
      </c>
      <c r="R1285">
        <f>IF($U1285="","",INDEX(상세표[18~22시],$U1285))</f>
        <v/>
      </c>
      <c r="S1285">
        <f>IF($U1285="","",INDEX(상세표[22~06시],$U1285))</f>
        <v/>
      </c>
      <c r="T1285">
        <f>IF($U1285="","",INDEX(상세표[기록 시간외],$U1285))</f>
        <v/>
      </c>
      <c r="U1285" s="4">
        <f>IFERROR(MATCH(1280,상세표[발송순번],0),"")</f>
        <v/>
      </c>
    </row>
    <row r="1286">
      <c r="J1286">
        <f>IF($U1286="","",INDEX(상세표[사번],$U1286)&amp;"")</f>
        <v/>
      </c>
      <c r="K1286">
        <f>IF($U1286="","",INDEX(상세표[성명],$U1286)&amp;"")</f>
        <v/>
      </c>
      <c r="L1286">
        <f>IF($U1286="","",INDEX(상세표[직위],$U1286)&amp;"")</f>
        <v/>
      </c>
      <c r="M1286">
        <f>IF($U1286="","",IF(ISNUMBER(INDEX(상세표[근무일자],$U1286)),TEXT(INDEX(상세표[근무일자],$U1286),"yyyy-mm-dd"),INDEX(상세표[근무일자],$U1286)&amp;""))</f>
        <v/>
      </c>
      <c r="N1286">
        <f>IF($U1286="","",IF(ISNUMBER(INDEX(상세표[시작],$U1286)),TEXT(INDEX(상세표[시작],$U1286),"yyyy-mm-dd hh:mm"),INDEX(상세표[시작],$U1286)&amp;""))</f>
        <v/>
      </c>
      <c r="O1286">
        <f>IF($U1286="","",IF(ISNUMBER(INDEX(상세표[종료],$U1286)),TEXT(INDEX(상세표[종료],$U1286),"yyyy-mm-dd hh:mm"),INDEX(상세표[종료],$U1286)&amp;""))</f>
        <v/>
      </c>
      <c r="P1286">
        <f>IF($U1286="","",INDEX(상세표[06~07시],$U1286))</f>
        <v/>
      </c>
      <c r="Q1286">
        <f>IF($U1286="","",INDEX(상세표[07~18시],$U1286))</f>
        <v/>
      </c>
      <c r="R1286">
        <f>IF($U1286="","",INDEX(상세표[18~22시],$U1286))</f>
        <v/>
      </c>
      <c r="S1286">
        <f>IF($U1286="","",INDEX(상세표[22~06시],$U1286))</f>
        <v/>
      </c>
      <c r="T1286">
        <f>IF($U1286="","",INDEX(상세표[기록 시간외],$U1286))</f>
        <v/>
      </c>
      <c r="U1286" s="4">
        <f>IFERROR(MATCH(1281,상세표[발송순번],0),"")</f>
        <v/>
      </c>
    </row>
    <row r="1287">
      <c r="J1287">
        <f>IF($U1287="","",INDEX(상세표[사번],$U1287)&amp;"")</f>
        <v/>
      </c>
      <c r="K1287">
        <f>IF($U1287="","",INDEX(상세표[성명],$U1287)&amp;"")</f>
        <v/>
      </c>
      <c r="L1287">
        <f>IF($U1287="","",INDEX(상세표[직위],$U1287)&amp;"")</f>
        <v/>
      </c>
      <c r="M1287">
        <f>IF($U1287="","",IF(ISNUMBER(INDEX(상세표[근무일자],$U1287)),TEXT(INDEX(상세표[근무일자],$U1287),"yyyy-mm-dd"),INDEX(상세표[근무일자],$U1287)&amp;""))</f>
        <v/>
      </c>
      <c r="N1287">
        <f>IF($U1287="","",IF(ISNUMBER(INDEX(상세표[시작],$U1287)),TEXT(INDEX(상세표[시작],$U1287),"yyyy-mm-dd hh:mm"),INDEX(상세표[시작],$U1287)&amp;""))</f>
        <v/>
      </c>
      <c r="O1287">
        <f>IF($U1287="","",IF(ISNUMBER(INDEX(상세표[종료],$U1287)),TEXT(INDEX(상세표[종료],$U1287),"yyyy-mm-dd hh:mm"),INDEX(상세표[종료],$U1287)&amp;""))</f>
        <v/>
      </c>
      <c r="P1287">
        <f>IF($U1287="","",INDEX(상세표[06~07시],$U1287))</f>
        <v/>
      </c>
      <c r="Q1287">
        <f>IF($U1287="","",INDEX(상세표[07~18시],$U1287))</f>
        <v/>
      </c>
      <c r="R1287">
        <f>IF($U1287="","",INDEX(상세표[18~22시],$U1287))</f>
        <v/>
      </c>
      <c r="S1287">
        <f>IF($U1287="","",INDEX(상세표[22~06시],$U1287))</f>
        <v/>
      </c>
      <c r="T1287">
        <f>IF($U1287="","",INDEX(상세표[기록 시간외],$U1287))</f>
        <v/>
      </c>
      <c r="U1287" s="4">
        <f>IFERROR(MATCH(1282,상세표[발송순번],0),"")</f>
        <v/>
      </c>
    </row>
    <row r="1288">
      <c r="J1288">
        <f>IF($U1288="","",INDEX(상세표[사번],$U1288)&amp;"")</f>
        <v/>
      </c>
      <c r="K1288">
        <f>IF($U1288="","",INDEX(상세표[성명],$U1288)&amp;"")</f>
        <v/>
      </c>
      <c r="L1288">
        <f>IF($U1288="","",INDEX(상세표[직위],$U1288)&amp;"")</f>
        <v/>
      </c>
      <c r="M1288">
        <f>IF($U1288="","",IF(ISNUMBER(INDEX(상세표[근무일자],$U1288)),TEXT(INDEX(상세표[근무일자],$U1288),"yyyy-mm-dd"),INDEX(상세표[근무일자],$U1288)&amp;""))</f>
        <v/>
      </c>
      <c r="N1288">
        <f>IF($U1288="","",IF(ISNUMBER(INDEX(상세표[시작],$U1288)),TEXT(INDEX(상세표[시작],$U1288),"yyyy-mm-dd hh:mm"),INDEX(상세표[시작],$U1288)&amp;""))</f>
        <v/>
      </c>
      <c r="O1288">
        <f>IF($U1288="","",IF(ISNUMBER(INDEX(상세표[종료],$U1288)),TEXT(INDEX(상세표[종료],$U1288),"yyyy-mm-dd hh:mm"),INDEX(상세표[종료],$U1288)&amp;""))</f>
        <v/>
      </c>
      <c r="P1288">
        <f>IF($U1288="","",INDEX(상세표[06~07시],$U1288))</f>
        <v/>
      </c>
      <c r="Q1288">
        <f>IF($U1288="","",INDEX(상세표[07~18시],$U1288))</f>
        <v/>
      </c>
      <c r="R1288">
        <f>IF($U1288="","",INDEX(상세표[18~22시],$U1288))</f>
        <v/>
      </c>
      <c r="S1288">
        <f>IF($U1288="","",INDEX(상세표[22~06시],$U1288))</f>
        <v/>
      </c>
      <c r="T1288">
        <f>IF($U1288="","",INDEX(상세표[기록 시간외],$U1288))</f>
        <v/>
      </c>
      <c r="U1288" s="4">
        <f>IFERROR(MATCH(1283,상세표[발송순번],0),"")</f>
        <v/>
      </c>
    </row>
    <row r="1289">
      <c r="J1289">
        <f>IF($U1289="","",INDEX(상세표[사번],$U1289)&amp;"")</f>
        <v/>
      </c>
      <c r="K1289">
        <f>IF($U1289="","",INDEX(상세표[성명],$U1289)&amp;"")</f>
        <v/>
      </c>
      <c r="L1289">
        <f>IF($U1289="","",INDEX(상세표[직위],$U1289)&amp;"")</f>
        <v/>
      </c>
      <c r="M1289">
        <f>IF($U1289="","",IF(ISNUMBER(INDEX(상세표[근무일자],$U1289)),TEXT(INDEX(상세표[근무일자],$U1289),"yyyy-mm-dd"),INDEX(상세표[근무일자],$U1289)&amp;""))</f>
        <v/>
      </c>
      <c r="N1289">
        <f>IF($U1289="","",IF(ISNUMBER(INDEX(상세표[시작],$U1289)),TEXT(INDEX(상세표[시작],$U1289),"yyyy-mm-dd hh:mm"),INDEX(상세표[시작],$U1289)&amp;""))</f>
        <v/>
      </c>
      <c r="O1289">
        <f>IF($U1289="","",IF(ISNUMBER(INDEX(상세표[종료],$U1289)),TEXT(INDEX(상세표[종료],$U1289),"yyyy-mm-dd hh:mm"),INDEX(상세표[종료],$U1289)&amp;""))</f>
        <v/>
      </c>
      <c r="P1289">
        <f>IF($U1289="","",INDEX(상세표[06~07시],$U1289))</f>
        <v/>
      </c>
      <c r="Q1289">
        <f>IF($U1289="","",INDEX(상세표[07~18시],$U1289))</f>
        <v/>
      </c>
      <c r="R1289">
        <f>IF($U1289="","",INDEX(상세표[18~22시],$U1289))</f>
        <v/>
      </c>
      <c r="S1289">
        <f>IF($U1289="","",INDEX(상세표[22~06시],$U1289))</f>
        <v/>
      </c>
      <c r="T1289">
        <f>IF($U1289="","",INDEX(상세표[기록 시간외],$U1289))</f>
        <v/>
      </c>
      <c r="U1289" s="4">
        <f>IFERROR(MATCH(1284,상세표[발송순번],0),"")</f>
        <v/>
      </c>
    </row>
    <row r="1290">
      <c r="J1290">
        <f>IF($U1290="","",INDEX(상세표[사번],$U1290)&amp;"")</f>
        <v/>
      </c>
      <c r="K1290">
        <f>IF($U1290="","",INDEX(상세표[성명],$U1290)&amp;"")</f>
        <v/>
      </c>
      <c r="L1290">
        <f>IF($U1290="","",INDEX(상세표[직위],$U1290)&amp;"")</f>
        <v/>
      </c>
      <c r="M1290">
        <f>IF($U1290="","",IF(ISNUMBER(INDEX(상세표[근무일자],$U1290)),TEXT(INDEX(상세표[근무일자],$U1290),"yyyy-mm-dd"),INDEX(상세표[근무일자],$U1290)&amp;""))</f>
        <v/>
      </c>
      <c r="N1290">
        <f>IF($U1290="","",IF(ISNUMBER(INDEX(상세표[시작],$U1290)),TEXT(INDEX(상세표[시작],$U1290),"yyyy-mm-dd hh:mm"),INDEX(상세표[시작],$U1290)&amp;""))</f>
        <v/>
      </c>
      <c r="O1290">
        <f>IF($U1290="","",IF(ISNUMBER(INDEX(상세표[종료],$U1290)),TEXT(INDEX(상세표[종료],$U1290),"yyyy-mm-dd hh:mm"),INDEX(상세표[종료],$U1290)&amp;""))</f>
        <v/>
      </c>
      <c r="P1290">
        <f>IF($U1290="","",INDEX(상세표[06~07시],$U1290))</f>
        <v/>
      </c>
      <c r="Q1290">
        <f>IF($U1290="","",INDEX(상세표[07~18시],$U1290))</f>
        <v/>
      </c>
      <c r="R1290">
        <f>IF($U1290="","",INDEX(상세표[18~22시],$U1290))</f>
        <v/>
      </c>
      <c r="S1290">
        <f>IF($U1290="","",INDEX(상세표[22~06시],$U1290))</f>
        <v/>
      </c>
      <c r="T1290">
        <f>IF($U1290="","",INDEX(상세표[기록 시간외],$U1290))</f>
        <v/>
      </c>
      <c r="U1290" s="4">
        <f>IFERROR(MATCH(1285,상세표[발송순번],0),"")</f>
        <v/>
      </c>
    </row>
    <row r="1291">
      <c r="J1291">
        <f>IF($U1291="","",INDEX(상세표[사번],$U1291)&amp;"")</f>
        <v/>
      </c>
      <c r="K1291">
        <f>IF($U1291="","",INDEX(상세표[성명],$U1291)&amp;"")</f>
        <v/>
      </c>
      <c r="L1291">
        <f>IF($U1291="","",INDEX(상세표[직위],$U1291)&amp;"")</f>
        <v/>
      </c>
      <c r="M1291">
        <f>IF($U1291="","",IF(ISNUMBER(INDEX(상세표[근무일자],$U1291)),TEXT(INDEX(상세표[근무일자],$U1291),"yyyy-mm-dd"),INDEX(상세표[근무일자],$U1291)&amp;""))</f>
        <v/>
      </c>
      <c r="N1291">
        <f>IF($U1291="","",IF(ISNUMBER(INDEX(상세표[시작],$U1291)),TEXT(INDEX(상세표[시작],$U1291),"yyyy-mm-dd hh:mm"),INDEX(상세표[시작],$U1291)&amp;""))</f>
        <v/>
      </c>
      <c r="O1291">
        <f>IF($U1291="","",IF(ISNUMBER(INDEX(상세표[종료],$U1291)),TEXT(INDEX(상세표[종료],$U1291),"yyyy-mm-dd hh:mm"),INDEX(상세표[종료],$U1291)&amp;""))</f>
        <v/>
      </c>
      <c r="P1291">
        <f>IF($U1291="","",INDEX(상세표[06~07시],$U1291))</f>
        <v/>
      </c>
      <c r="Q1291">
        <f>IF($U1291="","",INDEX(상세표[07~18시],$U1291))</f>
        <v/>
      </c>
      <c r="R1291">
        <f>IF($U1291="","",INDEX(상세표[18~22시],$U1291))</f>
        <v/>
      </c>
      <c r="S1291">
        <f>IF($U1291="","",INDEX(상세표[22~06시],$U1291))</f>
        <v/>
      </c>
      <c r="T1291">
        <f>IF($U1291="","",INDEX(상세표[기록 시간외],$U1291))</f>
        <v/>
      </c>
      <c r="U1291" s="4">
        <f>IFERROR(MATCH(1286,상세표[발송순번],0),"")</f>
        <v/>
      </c>
    </row>
    <row r="1292">
      <c r="J1292">
        <f>IF($U1292="","",INDEX(상세표[사번],$U1292)&amp;"")</f>
        <v/>
      </c>
      <c r="K1292">
        <f>IF($U1292="","",INDEX(상세표[성명],$U1292)&amp;"")</f>
        <v/>
      </c>
      <c r="L1292">
        <f>IF($U1292="","",INDEX(상세표[직위],$U1292)&amp;"")</f>
        <v/>
      </c>
      <c r="M1292">
        <f>IF($U1292="","",IF(ISNUMBER(INDEX(상세표[근무일자],$U1292)),TEXT(INDEX(상세표[근무일자],$U1292),"yyyy-mm-dd"),INDEX(상세표[근무일자],$U1292)&amp;""))</f>
        <v/>
      </c>
      <c r="N1292">
        <f>IF($U1292="","",IF(ISNUMBER(INDEX(상세표[시작],$U1292)),TEXT(INDEX(상세표[시작],$U1292),"yyyy-mm-dd hh:mm"),INDEX(상세표[시작],$U1292)&amp;""))</f>
        <v/>
      </c>
      <c r="O1292">
        <f>IF($U1292="","",IF(ISNUMBER(INDEX(상세표[종료],$U1292)),TEXT(INDEX(상세표[종료],$U1292),"yyyy-mm-dd hh:mm"),INDEX(상세표[종료],$U1292)&amp;""))</f>
        <v/>
      </c>
      <c r="P1292">
        <f>IF($U1292="","",INDEX(상세표[06~07시],$U1292))</f>
        <v/>
      </c>
      <c r="Q1292">
        <f>IF($U1292="","",INDEX(상세표[07~18시],$U1292))</f>
        <v/>
      </c>
      <c r="R1292">
        <f>IF($U1292="","",INDEX(상세표[18~22시],$U1292))</f>
        <v/>
      </c>
      <c r="S1292">
        <f>IF($U1292="","",INDEX(상세표[22~06시],$U1292))</f>
        <v/>
      </c>
      <c r="T1292">
        <f>IF($U1292="","",INDEX(상세표[기록 시간외],$U1292))</f>
        <v/>
      </c>
      <c r="U1292" s="4">
        <f>IFERROR(MATCH(1287,상세표[발송순번],0),"")</f>
        <v/>
      </c>
    </row>
    <row r="1293">
      <c r="J1293">
        <f>IF($U1293="","",INDEX(상세표[사번],$U1293)&amp;"")</f>
        <v/>
      </c>
      <c r="K1293">
        <f>IF($U1293="","",INDEX(상세표[성명],$U1293)&amp;"")</f>
        <v/>
      </c>
      <c r="L1293">
        <f>IF($U1293="","",INDEX(상세표[직위],$U1293)&amp;"")</f>
        <v/>
      </c>
      <c r="M1293">
        <f>IF($U1293="","",IF(ISNUMBER(INDEX(상세표[근무일자],$U1293)),TEXT(INDEX(상세표[근무일자],$U1293),"yyyy-mm-dd"),INDEX(상세표[근무일자],$U1293)&amp;""))</f>
        <v/>
      </c>
      <c r="N1293">
        <f>IF($U1293="","",IF(ISNUMBER(INDEX(상세표[시작],$U1293)),TEXT(INDEX(상세표[시작],$U1293),"yyyy-mm-dd hh:mm"),INDEX(상세표[시작],$U1293)&amp;""))</f>
        <v/>
      </c>
      <c r="O1293">
        <f>IF($U1293="","",IF(ISNUMBER(INDEX(상세표[종료],$U1293)),TEXT(INDEX(상세표[종료],$U1293),"yyyy-mm-dd hh:mm"),INDEX(상세표[종료],$U1293)&amp;""))</f>
        <v/>
      </c>
      <c r="P1293">
        <f>IF($U1293="","",INDEX(상세표[06~07시],$U1293))</f>
        <v/>
      </c>
      <c r="Q1293">
        <f>IF($U1293="","",INDEX(상세표[07~18시],$U1293))</f>
        <v/>
      </c>
      <c r="R1293">
        <f>IF($U1293="","",INDEX(상세표[18~22시],$U1293))</f>
        <v/>
      </c>
      <c r="S1293">
        <f>IF($U1293="","",INDEX(상세표[22~06시],$U1293))</f>
        <v/>
      </c>
      <c r="T1293">
        <f>IF($U1293="","",INDEX(상세표[기록 시간외],$U1293))</f>
        <v/>
      </c>
      <c r="U1293" s="4">
        <f>IFERROR(MATCH(1288,상세표[발송순번],0),"")</f>
        <v/>
      </c>
    </row>
    <row r="1294">
      <c r="J1294">
        <f>IF($U1294="","",INDEX(상세표[사번],$U1294)&amp;"")</f>
        <v/>
      </c>
      <c r="K1294">
        <f>IF($U1294="","",INDEX(상세표[성명],$U1294)&amp;"")</f>
        <v/>
      </c>
      <c r="L1294">
        <f>IF($U1294="","",INDEX(상세표[직위],$U1294)&amp;"")</f>
        <v/>
      </c>
      <c r="M1294">
        <f>IF($U1294="","",IF(ISNUMBER(INDEX(상세표[근무일자],$U1294)),TEXT(INDEX(상세표[근무일자],$U1294),"yyyy-mm-dd"),INDEX(상세표[근무일자],$U1294)&amp;""))</f>
        <v/>
      </c>
      <c r="N1294">
        <f>IF($U1294="","",IF(ISNUMBER(INDEX(상세표[시작],$U1294)),TEXT(INDEX(상세표[시작],$U1294),"yyyy-mm-dd hh:mm"),INDEX(상세표[시작],$U1294)&amp;""))</f>
        <v/>
      </c>
      <c r="O1294">
        <f>IF($U1294="","",IF(ISNUMBER(INDEX(상세표[종료],$U1294)),TEXT(INDEX(상세표[종료],$U1294),"yyyy-mm-dd hh:mm"),INDEX(상세표[종료],$U1294)&amp;""))</f>
        <v/>
      </c>
      <c r="P1294">
        <f>IF($U1294="","",INDEX(상세표[06~07시],$U1294))</f>
        <v/>
      </c>
      <c r="Q1294">
        <f>IF($U1294="","",INDEX(상세표[07~18시],$U1294))</f>
        <v/>
      </c>
      <c r="R1294">
        <f>IF($U1294="","",INDEX(상세표[18~22시],$U1294))</f>
        <v/>
      </c>
      <c r="S1294">
        <f>IF($U1294="","",INDEX(상세표[22~06시],$U1294))</f>
        <v/>
      </c>
      <c r="T1294">
        <f>IF($U1294="","",INDEX(상세표[기록 시간외],$U1294))</f>
        <v/>
      </c>
      <c r="U1294" s="4">
        <f>IFERROR(MATCH(1289,상세표[발송순번],0),"")</f>
        <v/>
      </c>
    </row>
    <row r="1295">
      <c r="J1295">
        <f>IF($U1295="","",INDEX(상세표[사번],$U1295)&amp;"")</f>
        <v/>
      </c>
      <c r="K1295">
        <f>IF($U1295="","",INDEX(상세표[성명],$U1295)&amp;"")</f>
        <v/>
      </c>
      <c r="L1295">
        <f>IF($U1295="","",INDEX(상세표[직위],$U1295)&amp;"")</f>
        <v/>
      </c>
      <c r="M1295">
        <f>IF($U1295="","",IF(ISNUMBER(INDEX(상세표[근무일자],$U1295)),TEXT(INDEX(상세표[근무일자],$U1295),"yyyy-mm-dd"),INDEX(상세표[근무일자],$U1295)&amp;""))</f>
        <v/>
      </c>
      <c r="N1295">
        <f>IF($U1295="","",IF(ISNUMBER(INDEX(상세표[시작],$U1295)),TEXT(INDEX(상세표[시작],$U1295),"yyyy-mm-dd hh:mm"),INDEX(상세표[시작],$U1295)&amp;""))</f>
        <v/>
      </c>
      <c r="O1295">
        <f>IF($U1295="","",IF(ISNUMBER(INDEX(상세표[종료],$U1295)),TEXT(INDEX(상세표[종료],$U1295),"yyyy-mm-dd hh:mm"),INDEX(상세표[종료],$U1295)&amp;""))</f>
        <v/>
      </c>
      <c r="P1295">
        <f>IF($U1295="","",INDEX(상세표[06~07시],$U1295))</f>
        <v/>
      </c>
      <c r="Q1295">
        <f>IF($U1295="","",INDEX(상세표[07~18시],$U1295))</f>
        <v/>
      </c>
      <c r="R1295">
        <f>IF($U1295="","",INDEX(상세표[18~22시],$U1295))</f>
        <v/>
      </c>
      <c r="S1295">
        <f>IF($U1295="","",INDEX(상세표[22~06시],$U1295))</f>
        <v/>
      </c>
      <c r="T1295">
        <f>IF($U1295="","",INDEX(상세표[기록 시간외],$U1295))</f>
        <v/>
      </c>
      <c r="U1295" s="4">
        <f>IFERROR(MATCH(1290,상세표[발송순번],0),"")</f>
        <v/>
      </c>
    </row>
    <row r="1296">
      <c r="J1296">
        <f>IF($U1296="","",INDEX(상세표[사번],$U1296)&amp;"")</f>
        <v/>
      </c>
      <c r="K1296">
        <f>IF($U1296="","",INDEX(상세표[성명],$U1296)&amp;"")</f>
        <v/>
      </c>
      <c r="L1296">
        <f>IF($U1296="","",INDEX(상세표[직위],$U1296)&amp;"")</f>
        <v/>
      </c>
      <c r="M1296">
        <f>IF($U1296="","",IF(ISNUMBER(INDEX(상세표[근무일자],$U1296)),TEXT(INDEX(상세표[근무일자],$U1296),"yyyy-mm-dd"),INDEX(상세표[근무일자],$U1296)&amp;""))</f>
        <v/>
      </c>
      <c r="N1296">
        <f>IF($U1296="","",IF(ISNUMBER(INDEX(상세표[시작],$U1296)),TEXT(INDEX(상세표[시작],$U1296),"yyyy-mm-dd hh:mm"),INDEX(상세표[시작],$U1296)&amp;""))</f>
        <v/>
      </c>
      <c r="O1296">
        <f>IF($U1296="","",IF(ISNUMBER(INDEX(상세표[종료],$U1296)),TEXT(INDEX(상세표[종료],$U1296),"yyyy-mm-dd hh:mm"),INDEX(상세표[종료],$U1296)&amp;""))</f>
        <v/>
      </c>
      <c r="P1296">
        <f>IF($U1296="","",INDEX(상세표[06~07시],$U1296))</f>
        <v/>
      </c>
      <c r="Q1296">
        <f>IF($U1296="","",INDEX(상세표[07~18시],$U1296))</f>
        <v/>
      </c>
      <c r="R1296">
        <f>IF($U1296="","",INDEX(상세표[18~22시],$U1296))</f>
        <v/>
      </c>
      <c r="S1296">
        <f>IF($U1296="","",INDEX(상세표[22~06시],$U1296))</f>
        <v/>
      </c>
      <c r="T1296">
        <f>IF($U1296="","",INDEX(상세표[기록 시간외],$U1296))</f>
        <v/>
      </c>
      <c r="U1296" s="4">
        <f>IFERROR(MATCH(1291,상세표[발송순번],0),"")</f>
        <v/>
      </c>
    </row>
    <row r="1297">
      <c r="J1297">
        <f>IF($U1297="","",INDEX(상세표[사번],$U1297)&amp;"")</f>
        <v/>
      </c>
      <c r="K1297">
        <f>IF($U1297="","",INDEX(상세표[성명],$U1297)&amp;"")</f>
        <v/>
      </c>
      <c r="L1297">
        <f>IF($U1297="","",INDEX(상세표[직위],$U1297)&amp;"")</f>
        <v/>
      </c>
      <c r="M1297">
        <f>IF($U1297="","",IF(ISNUMBER(INDEX(상세표[근무일자],$U1297)),TEXT(INDEX(상세표[근무일자],$U1297),"yyyy-mm-dd"),INDEX(상세표[근무일자],$U1297)&amp;""))</f>
        <v/>
      </c>
      <c r="N1297">
        <f>IF($U1297="","",IF(ISNUMBER(INDEX(상세표[시작],$U1297)),TEXT(INDEX(상세표[시작],$U1297),"yyyy-mm-dd hh:mm"),INDEX(상세표[시작],$U1297)&amp;""))</f>
        <v/>
      </c>
      <c r="O1297">
        <f>IF($U1297="","",IF(ISNUMBER(INDEX(상세표[종료],$U1297)),TEXT(INDEX(상세표[종료],$U1297),"yyyy-mm-dd hh:mm"),INDEX(상세표[종료],$U1297)&amp;""))</f>
        <v/>
      </c>
      <c r="P1297">
        <f>IF($U1297="","",INDEX(상세표[06~07시],$U1297))</f>
        <v/>
      </c>
      <c r="Q1297">
        <f>IF($U1297="","",INDEX(상세표[07~18시],$U1297))</f>
        <v/>
      </c>
      <c r="R1297">
        <f>IF($U1297="","",INDEX(상세표[18~22시],$U1297))</f>
        <v/>
      </c>
      <c r="S1297">
        <f>IF($U1297="","",INDEX(상세표[22~06시],$U1297))</f>
        <v/>
      </c>
      <c r="T1297">
        <f>IF($U1297="","",INDEX(상세표[기록 시간외],$U1297))</f>
        <v/>
      </c>
      <c r="U1297" s="4">
        <f>IFERROR(MATCH(1292,상세표[발송순번],0),"")</f>
        <v/>
      </c>
    </row>
    <row r="1298">
      <c r="J1298">
        <f>IF($U1298="","",INDEX(상세표[사번],$U1298)&amp;"")</f>
        <v/>
      </c>
      <c r="K1298">
        <f>IF($U1298="","",INDEX(상세표[성명],$U1298)&amp;"")</f>
        <v/>
      </c>
      <c r="L1298">
        <f>IF($U1298="","",INDEX(상세표[직위],$U1298)&amp;"")</f>
        <v/>
      </c>
      <c r="M1298">
        <f>IF($U1298="","",IF(ISNUMBER(INDEX(상세표[근무일자],$U1298)),TEXT(INDEX(상세표[근무일자],$U1298),"yyyy-mm-dd"),INDEX(상세표[근무일자],$U1298)&amp;""))</f>
        <v/>
      </c>
      <c r="N1298">
        <f>IF($U1298="","",IF(ISNUMBER(INDEX(상세표[시작],$U1298)),TEXT(INDEX(상세표[시작],$U1298),"yyyy-mm-dd hh:mm"),INDEX(상세표[시작],$U1298)&amp;""))</f>
        <v/>
      </c>
      <c r="O1298">
        <f>IF($U1298="","",IF(ISNUMBER(INDEX(상세표[종료],$U1298)),TEXT(INDEX(상세표[종료],$U1298),"yyyy-mm-dd hh:mm"),INDEX(상세표[종료],$U1298)&amp;""))</f>
        <v/>
      </c>
      <c r="P1298">
        <f>IF($U1298="","",INDEX(상세표[06~07시],$U1298))</f>
        <v/>
      </c>
      <c r="Q1298">
        <f>IF($U1298="","",INDEX(상세표[07~18시],$U1298))</f>
        <v/>
      </c>
      <c r="R1298">
        <f>IF($U1298="","",INDEX(상세표[18~22시],$U1298))</f>
        <v/>
      </c>
      <c r="S1298">
        <f>IF($U1298="","",INDEX(상세표[22~06시],$U1298))</f>
        <v/>
      </c>
      <c r="T1298">
        <f>IF($U1298="","",INDEX(상세표[기록 시간외],$U1298))</f>
        <v/>
      </c>
      <c r="U1298" s="4">
        <f>IFERROR(MATCH(1293,상세표[발송순번],0),"")</f>
        <v/>
      </c>
    </row>
    <row r="1299">
      <c r="J1299">
        <f>IF($U1299="","",INDEX(상세표[사번],$U1299)&amp;"")</f>
        <v/>
      </c>
      <c r="K1299">
        <f>IF($U1299="","",INDEX(상세표[성명],$U1299)&amp;"")</f>
        <v/>
      </c>
      <c r="L1299">
        <f>IF($U1299="","",INDEX(상세표[직위],$U1299)&amp;"")</f>
        <v/>
      </c>
      <c r="M1299">
        <f>IF($U1299="","",IF(ISNUMBER(INDEX(상세표[근무일자],$U1299)),TEXT(INDEX(상세표[근무일자],$U1299),"yyyy-mm-dd"),INDEX(상세표[근무일자],$U1299)&amp;""))</f>
        <v/>
      </c>
      <c r="N1299">
        <f>IF($U1299="","",IF(ISNUMBER(INDEX(상세표[시작],$U1299)),TEXT(INDEX(상세표[시작],$U1299),"yyyy-mm-dd hh:mm"),INDEX(상세표[시작],$U1299)&amp;""))</f>
        <v/>
      </c>
      <c r="O1299">
        <f>IF($U1299="","",IF(ISNUMBER(INDEX(상세표[종료],$U1299)),TEXT(INDEX(상세표[종료],$U1299),"yyyy-mm-dd hh:mm"),INDEX(상세표[종료],$U1299)&amp;""))</f>
        <v/>
      </c>
      <c r="P1299">
        <f>IF($U1299="","",INDEX(상세표[06~07시],$U1299))</f>
        <v/>
      </c>
      <c r="Q1299">
        <f>IF($U1299="","",INDEX(상세표[07~18시],$U1299))</f>
        <v/>
      </c>
      <c r="R1299">
        <f>IF($U1299="","",INDEX(상세표[18~22시],$U1299))</f>
        <v/>
      </c>
      <c r="S1299">
        <f>IF($U1299="","",INDEX(상세표[22~06시],$U1299))</f>
        <v/>
      </c>
      <c r="T1299">
        <f>IF($U1299="","",INDEX(상세표[기록 시간외],$U1299))</f>
        <v/>
      </c>
      <c r="U1299" s="4">
        <f>IFERROR(MATCH(1294,상세표[발송순번],0),"")</f>
        <v/>
      </c>
    </row>
    <row r="1300">
      <c r="J1300">
        <f>IF($U1300="","",INDEX(상세표[사번],$U1300)&amp;"")</f>
        <v/>
      </c>
      <c r="K1300">
        <f>IF($U1300="","",INDEX(상세표[성명],$U1300)&amp;"")</f>
        <v/>
      </c>
      <c r="L1300">
        <f>IF($U1300="","",INDEX(상세표[직위],$U1300)&amp;"")</f>
        <v/>
      </c>
      <c r="M1300">
        <f>IF($U1300="","",IF(ISNUMBER(INDEX(상세표[근무일자],$U1300)),TEXT(INDEX(상세표[근무일자],$U1300),"yyyy-mm-dd"),INDEX(상세표[근무일자],$U1300)&amp;""))</f>
        <v/>
      </c>
      <c r="N1300">
        <f>IF($U1300="","",IF(ISNUMBER(INDEX(상세표[시작],$U1300)),TEXT(INDEX(상세표[시작],$U1300),"yyyy-mm-dd hh:mm"),INDEX(상세표[시작],$U1300)&amp;""))</f>
        <v/>
      </c>
      <c r="O1300">
        <f>IF($U1300="","",IF(ISNUMBER(INDEX(상세표[종료],$U1300)),TEXT(INDEX(상세표[종료],$U1300),"yyyy-mm-dd hh:mm"),INDEX(상세표[종료],$U1300)&amp;""))</f>
        <v/>
      </c>
      <c r="P1300">
        <f>IF($U1300="","",INDEX(상세표[06~07시],$U1300))</f>
        <v/>
      </c>
      <c r="Q1300">
        <f>IF($U1300="","",INDEX(상세표[07~18시],$U1300))</f>
        <v/>
      </c>
      <c r="R1300">
        <f>IF($U1300="","",INDEX(상세표[18~22시],$U1300))</f>
        <v/>
      </c>
      <c r="S1300">
        <f>IF($U1300="","",INDEX(상세표[22~06시],$U1300))</f>
        <v/>
      </c>
      <c r="T1300">
        <f>IF($U1300="","",INDEX(상세표[기록 시간외],$U1300))</f>
        <v/>
      </c>
      <c r="U1300" s="4">
        <f>IFERROR(MATCH(1295,상세표[발송순번],0),"")</f>
        <v/>
      </c>
    </row>
    <row r="1301">
      <c r="J1301">
        <f>IF($U1301="","",INDEX(상세표[사번],$U1301)&amp;"")</f>
        <v/>
      </c>
      <c r="K1301">
        <f>IF($U1301="","",INDEX(상세표[성명],$U1301)&amp;"")</f>
        <v/>
      </c>
      <c r="L1301">
        <f>IF($U1301="","",INDEX(상세표[직위],$U1301)&amp;"")</f>
        <v/>
      </c>
      <c r="M1301">
        <f>IF($U1301="","",IF(ISNUMBER(INDEX(상세표[근무일자],$U1301)),TEXT(INDEX(상세표[근무일자],$U1301),"yyyy-mm-dd"),INDEX(상세표[근무일자],$U1301)&amp;""))</f>
        <v/>
      </c>
      <c r="N1301">
        <f>IF($U1301="","",IF(ISNUMBER(INDEX(상세표[시작],$U1301)),TEXT(INDEX(상세표[시작],$U1301),"yyyy-mm-dd hh:mm"),INDEX(상세표[시작],$U1301)&amp;""))</f>
        <v/>
      </c>
      <c r="O1301">
        <f>IF($U1301="","",IF(ISNUMBER(INDEX(상세표[종료],$U1301)),TEXT(INDEX(상세표[종료],$U1301),"yyyy-mm-dd hh:mm"),INDEX(상세표[종료],$U1301)&amp;""))</f>
        <v/>
      </c>
      <c r="P1301">
        <f>IF($U1301="","",INDEX(상세표[06~07시],$U1301))</f>
        <v/>
      </c>
      <c r="Q1301">
        <f>IF($U1301="","",INDEX(상세표[07~18시],$U1301))</f>
        <v/>
      </c>
      <c r="R1301">
        <f>IF($U1301="","",INDEX(상세표[18~22시],$U1301))</f>
        <v/>
      </c>
      <c r="S1301">
        <f>IF($U1301="","",INDEX(상세표[22~06시],$U1301))</f>
        <v/>
      </c>
      <c r="T1301">
        <f>IF($U1301="","",INDEX(상세표[기록 시간외],$U1301))</f>
        <v/>
      </c>
      <c r="U1301" s="4">
        <f>IFERROR(MATCH(1296,상세표[발송순번],0),"")</f>
        <v/>
      </c>
    </row>
    <row r="1302">
      <c r="J1302">
        <f>IF($U1302="","",INDEX(상세표[사번],$U1302)&amp;"")</f>
        <v/>
      </c>
      <c r="K1302">
        <f>IF($U1302="","",INDEX(상세표[성명],$U1302)&amp;"")</f>
        <v/>
      </c>
      <c r="L1302">
        <f>IF($U1302="","",INDEX(상세표[직위],$U1302)&amp;"")</f>
        <v/>
      </c>
      <c r="M1302">
        <f>IF($U1302="","",IF(ISNUMBER(INDEX(상세표[근무일자],$U1302)),TEXT(INDEX(상세표[근무일자],$U1302),"yyyy-mm-dd"),INDEX(상세표[근무일자],$U1302)&amp;""))</f>
        <v/>
      </c>
      <c r="N1302">
        <f>IF($U1302="","",IF(ISNUMBER(INDEX(상세표[시작],$U1302)),TEXT(INDEX(상세표[시작],$U1302),"yyyy-mm-dd hh:mm"),INDEX(상세표[시작],$U1302)&amp;""))</f>
        <v/>
      </c>
      <c r="O1302">
        <f>IF($U1302="","",IF(ISNUMBER(INDEX(상세표[종료],$U1302)),TEXT(INDEX(상세표[종료],$U1302),"yyyy-mm-dd hh:mm"),INDEX(상세표[종료],$U1302)&amp;""))</f>
        <v/>
      </c>
      <c r="P1302">
        <f>IF($U1302="","",INDEX(상세표[06~07시],$U1302))</f>
        <v/>
      </c>
      <c r="Q1302">
        <f>IF($U1302="","",INDEX(상세표[07~18시],$U1302))</f>
        <v/>
      </c>
      <c r="R1302">
        <f>IF($U1302="","",INDEX(상세표[18~22시],$U1302))</f>
        <v/>
      </c>
      <c r="S1302">
        <f>IF($U1302="","",INDEX(상세표[22~06시],$U1302))</f>
        <v/>
      </c>
      <c r="T1302">
        <f>IF($U1302="","",INDEX(상세표[기록 시간외],$U1302))</f>
        <v/>
      </c>
      <c r="U1302" s="4">
        <f>IFERROR(MATCH(1297,상세표[발송순번],0),"")</f>
        <v/>
      </c>
    </row>
    <row r="1303">
      <c r="J1303">
        <f>IF($U1303="","",INDEX(상세표[사번],$U1303)&amp;"")</f>
        <v/>
      </c>
      <c r="K1303">
        <f>IF($U1303="","",INDEX(상세표[성명],$U1303)&amp;"")</f>
        <v/>
      </c>
      <c r="L1303">
        <f>IF($U1303="","",INDEX(상세표[직위],$U1303)&amp;"")</f>
        <v/>
      </c>
      <c r="M1303">
        <f>IF($U1303="","",IF(ISNUMBER(INDEX(상세표[근무일자],$U1303)),TEXT(INDEX(상세표[근무일자],$U1303),"yyyy-mm-dd"),INDEX(상세표[근무일자],$U1303)&amp;""))</f>
        <v/>
      </c>
      <c r="N1303">
        <f>IF($U1303="","",IF(ISNUMBER(INDEX(상세표[시작],$U1303)),TEXT(INDEX(상세표[시작],$U1303),"yyyy-mm-dd hh:mm"),INDEX(상세표[시작],$U1303)&amp;""))</f>
        <v/>
      </c>
      <c r="O1303">
        <f>IF($U1303="","",IF(ISNUMBER(INDEX(상세표[종료],$U1303)),TEXT(INDEX(상세표[종료],$U1303),"yyyy-mm-dd hh:mm"),INDEX(상세표[종료],$U1303)&amp;""))</f>
        <v/>
      </c>
      <c r="P1303">
        <f>IF($U1303="","",INDEX(상세표[06~07시],$U1303))</f>
        <v/>
      </c>
      <c r="Q1303">
        <f>IF($U1303="","",INDEX(상세표[07~18시],$U1303))</f>
        <v/>
      </c>
      <c r="R1303">
        <f>IF($U1303="","",INDEX(상세표[18~22시],$U1303))</f>
        <v/>
      </c>
      <c r="S1303">
        <f>IF($U1303="","",INDEX(상세표[22~06시],$U1303))</f>
        <v/>
      </c>
      <c r="T1303">
        <f>IF($U1303="","",INDEX(상세표[기록 시간외],$U1303))</f>
        <v/>
      </c>
      <c r="U1303" s="4">
        <f>IFERROR(MATCH(1298,상세표[발송순번],0),"")</f>
        <v/>
      </c>
    </row>
    <row r="1304">
      <c r="J1304">
        <f>IF($U1304="","",INDEX(상세표[사번],$U1304)&amp;"")</f>
        <v/>
      </c>
      <c r="K1304">
        <f>IF($U1304="","",INDEX(상세표[성명],$U1304)&amp;"")</f>
        <v/>
      </c>
      <c r="L1304">
        <f>IF($U1304="","",INDEX(상세표[직위],$U1304)&amp;"")</f>
        <v/>
      </c>
      <c r="M1304">
        <f>IF($U1304="","",IF(ISNUMBER(INDEX(상세표[근무일자],$U1304)),TEXT(INDEX(상세표[근무일자],$U1304),"yyyy-mm-dd"),INDEX(상세표[근무일자],$U1304)&amp;""))</f>
        <v/>
      </c>
      <c r="N1304">
        <f>IF($U1304="","",IF(ISNUMBER(INDEX(상세표[시작],$U1304)),TEXT(INDEX(상세표[시작],$U1304),"yyyy-mm-dd hh:mm"),INDEX(상세표[시작],$U1304)&amp;""))</f>
        <v/>
      </c>
      <c r="O1304">
        <f>IF($U1304="","",IF(ISNUMBER(INDEX(상세표[종료],$U1304)),TEXT(INDEX(상세표[종료],$U1304),"yyyy-mm-dd hh:mm"),INDEX(상세표[종료],$U1304)&amp;""))</f>
        <v/>
      </c>
      <c r="P1304">
        <f>IF($U1304="","",INDEX(상세표[06~07시],$U1304))</f>
        <v/>
      </c>
      <c r="Q1304">
        <f>IF($U1304="","",INDEX(상세표[07~18시],$U1304))</f>
        <v/>
      </c>
      <c r="R1304">
        <f>IF($U1304="","",INDEX(상세표[18~22시],$U1304))</f>
        <v/>
      </c>
      <c r="S1304">
        <f>IF($U1304="","",INDEX(상세표[22~06시],$U1304))</f>
        <v/>
      </c>
      <c r="T1304">
        <f>IF($U1304="","",INDEX(상세표[기록 시간외],$U1304))</f>
        <v/>
      </c>
      <c r="U1304" s="4">
        <f>IFERROR(MATCH(1299,상세표[발송순번],0),"")</f>
        <v/>
      </c>
    </row>
    <row r="1305">
      <c r="J1305">
        <f>IF($U1305="","",INDEX(상세표[사번],$U1305)&amp;"")</f>
        <v/>
      </c>
      <c r="K1305">
        <f>IF($U1305="","",INDEX(상세표[성명],$U1305)&amp;"")</f>
        <v/>
      </c>
      <c r="L1305">
        <f>IF($U1305="","",INDEX(상세표[직위],$U1305)&amp;"")</f>
        <v/>
      </c>
      <c r="M1305">
        <f>IF($U1305="","",IF(ISNUMBER(INDEX(상세표[근무일자],$U1305)),TEXT(INDEX(상세표[근무일자],$U1305),"yyyy-mm-dd"),INDEX(상세표[근무일자],$U1305)&amp;""))</f>
        <v/>
      </c>
      <c r="N1305">
        <f>IF($U1305="","",IF(ISNUMBER(INDEX(상세표[시작],$U1305)),TEXT(INDEX(상세표[시작],$U1305),"yyyy-mm-dd hh:mm"),INDEX(상세표[시작],$U1305)&amp;""))</f>
        <v/>
      </c>
      <c r="O1305">
        <f>IF($U1305="","",IF(ISNUMBER(INDEX(상세표[종료],$U1305)),TEXT(INDEX(상세표[종료],$U1305),"yyyy-mm-dd hh:mm"),INDEX(상세표[종료],$U1305)&amp;""))</f>
        <v/>
      </c>
      <c r="P1305">
        <f>IF($U1305="","",INDEX(상세표[06~07시],$U1305))</f>
        <v/>
      </c>
      <c r="Q1305">
        <f>IF($U1305="","",INDEX(상세표[07~18시],$U1305))</f>
        <v/>
      </c>
      <c r="R1305">
        <f>IF($U1305="","",INDEX(상세표[18~22시],$U1305))</f>
        <v/>
      </c>
      <c r="S1305">
        <f>IF($U1305="","",INDEX(상세표[22~06시],$U1305))</f>
        <v/>
      </c>
      <c r="T1305">
        <f>IF($U1305="","",INDEX(상세표[기록 시간외],$U1305))</f>
        <v/>
      </c>
      <c r="U1305" s="4">
        <f>IFERROR(MATCH(1300,상세표[발송순번],0),"")</f>
        <v/>
      </c>
    </row>
    <row r="1306">
      <c r="J1306">
        <f>IF($U1306="","",INDEX(상세표[사번],$U1306)&amp;"")</f>
        <v/>
      </c>
      <c r="K1306">
        <f>IF($U1306="","",INDEX(상세표[성명],$U1306)&amp;"")</f>
        <v/>
      </c>
      <c r="L1306">
        <f>IF($U1306="","",INDEX(상세표[직위],$U1306)&amp;"")</f>
        <v/>
      </c>
      <c r="M1306">
        <f>IF($U1306="","",IF(ISNUMBER(INDEX(상세표[근무일자],$U1306)),TEXT(INDEX(상세표[근무일자],$U1306),"yyyy-mm-dd"),INDEX(상세표[근무일자],$U1306)&amp;""))</f>
        <v/>
      </c>
      <c r="N1306">
        <f>IF($U1306="","",IF(ISNUMBER(INDEX(상세표[시작],$U1306)),TEXT(INDEX(상세표[시작],$U1306),"yyyy-mm-dd hh:mm"),INDEX(상세표[시작],$U1306)&amp;""))</f>
        <v/>
      </c>
      <c r="O1306">
        <f>IF($U1306="","",IF(ISNUMBER(INDEX(상세표[종료],$U1306)),TEXT(INDEX(상세표[종료],$U1306),"yyyy-mm-dd hh:mm"),INDEX(상세표[종료],$U1306)&amp;""))</f>
        <v/>
      </c>
      <c r="P1306">
        <f>IF($U1306="","",INDEX(상세표[06~07시],$U1306))</f>
        <v/>
      </c>
      <c r="Q1306">
        <f>IF($U1306="","",INDEX(상세표[07~18시],$U1306))</f>
        <v/>
      </c>
      <c r="R1306">
        <f>IF($U1306="","",INDEX(상세표[18~22시],$U1306))</f>
        <v/>
      </c>
      <c r="S1306">
        <f>IF($U1306="","",INDEX(상세표[22~06시],$U1306))</f>
        <v/>
      </c>
      <c r="T1306">
        <f>IF($U1306="","",INDEX(상세표[기록 시간외],$U1306))</f>
        <v/>
      </c>
      <c r="U1306" s="4">
        <f>IFERROR(MATCH(1301,상세표[발송순번],0),"")</f>
        <v/>
      </c>
    </row>
    <row r="1307">
      <c r="J1307">
        <f>IF($U1307="","",INDEX(상세표[사번],$U1307)&amp;"")</f>
        <v/>
      </c>
      <c r="K1307">
        <f>IF($U1307="","",INDEX(상세표[성명],$U1307)&amp;"")</f>
        <v/>
      </c>
      <c r="L1307">
        <f>IF($U1307="","",INDEX(상세표[직위],$U1307)&amp;"")</f>
        <v/>
      </c>
      <c r="M1307">
        <f>IF($U1307="","",IF(ISNUMBER(INDEX(상세표[근무일자],$U1307)),TEXT(INDEX(상세표[근무일자],$U1307),"yyyy-mm-dd"),INDEX(상세표[근무일자],$U1307)&amp;""))</f>
        <v/>
      </c>
      <c r="N1307">
        <f>IF($U1307="","",IF(ISNUMBER(INDEX(상세표[시작],$U1307)),TEXT(INDEX(상세표[시작],$U1307),"yyyy-mm-dd hh:mm"),INDEX(상세표[시작],$U1307)&amp;""))</f>
        <v/>
      </c>
      <c r="O1307">
        <f>IF($U1307="","",IF(ISNUMBER(INDEX(상세표[종료],$U1307)),TEXT(INDEX(상세표[종료],$U1307),"yyyy-mm-dd hh:mm"),INDEX(상세표[종료],$U1307)&amp;""))</f>
        <v/>
      </c>
      <c r="P1307">
        <f>IF($U1307="","",INDEX(상세표[06~07시],$U1307))</f>
        <v/>
      </c>
      <c r="Q1307">
        <f>IF($U1307="","",INDEX(상세표[07~18시],$U1307))</f>
        <v/>
      </c>
      <c r="R1307">
        <f>IF($U1307="","",INDEX(상세표[18~22시],$U1307))</f>
        <v/>
      </c>
      <c r="S1307">
        <f>IF($U1307="","",INDEX(상세표[22~06시],$U1307))</f>
        <v/>
      </c>
      <c r="T1307">
        <f>IF($U1307="","",INDEX(상세표[기록 시간외],$U1307))</f>
        <v/>
      </c>
      <c r="U1307" s="4">
        <f>IFERROR(MATCH(1302,상세표[발송순번],0),"")</f>
        <v/>
      </c>
    </row>
    <row r="1308">
      <c r="J1308">
        <f>IF($U1308="","",INDEX(상세표[사번],$U1308)&amp;"")</f>
        <v/>
      </c>
      <c r="K1308">
        <f>IF($U1308="","",INDEX(상세표[성명],$U1308)&amp;"")</f>
        <v/>
      </c>
      <c r="L1308">
        <f>IF($U1308="","",INDEX(상세표[직위],$U1308)&amp;"")</f>
        <v/>
      </c>
      <c r="M1308">
        <f>IF($U1308="","",IF(ISNUMBER(INDEX(상세표[근무일자],$U1308)),TEXT(INDEX(상세표[근무일자],$U1308),"yyyy-mm-dd"),INDEX(상세표[근무일자],$U1308)&amp;""))</f>
        <v/>
      </c>
      <c r="N1308">
        <f>IF($U1308="","",IF(ISNUMBER(INDEX(상세표[시작],$U1308)),TEXT(INDEX(상세표[시작],$U1308),"yyyy-mm-dd hh:mm"),INDEX(상세표[시작],$U1308)&amp;""))</f>
        <v/>
      </c>
      <c r="O1308">
        <f>IF($U1308="","",IF(ISNUMBER(INDEX(상세표[종료],$U1308)),TEXT(INDEX(상세표[종료],$U1308),"yyyy-mm-dd hh:mm"),INDEX(상세표[종료],$U1308)&amp;""))</f>
        <v/>
      </c>
      <c r="P1308">
        <f>IF($U1308="","",INDEX(상세표[06~07시],$U1308))</f>
        <v/>
      </c>
      <c r="Q1308">
        <f>IF($U1308="","",INDEX(상세표[07~18시],$U1308))</f>
        <v/>
      </c>
      <c r="R1308">
        <f>IF($U1308="","",INDEX(상세표[18~22시],$U1308))</f>
        <v/>
      </c>
      <c r="S1308">
        <f>IF($U1308="","",INDEX(상세표[22~06시],$U1308))</f>
        <v/>
      </c>
      <c r="T1308">
        <f>IF($U1308="","",INDEX(상세표[기록 시간외],$U1308))</f>
        <v/>
      </c>
      <c r="U1308" s="4">
        <f>IFERROR(MATCH(1303,상세표[발송순번],0),"")</f>
        <v/>
      </c>
    </row>
    <row r="1309">
      <c r="J1309">
        <f>IF($U1309="","",INDEX(상세표[사번],$U1309)&amp;"")</f>
        <v/>
      </c>
      <c r="K1309">
        <f>IF($U1309="","",INDEX(상세표[성명],$U1309)&amp;"")</f>
        <v/>
      </c>
      <c r="L1309">
        <f>IF($U1309="","",INDEX(상세표[직위],$U1309)&amp;"")</f>
        <v/>
      </c>
      <c r="M1309">
        <f>IF($U1309="","",IF(ISNUMBER(INDEX(상세표[근무일자],$U1309)),TEXT(INDEX(상세표[근무일자],$U1309),"yyyy-mm-dd"),INDEX(상세표[근무일자],$U1309)&amp;""))</f>
        <v/>
      </c>
      <c r="N1309">
        <f>IF($U1309="","",IF(ISNUMBER(INDEX(상세표[시작],$U1309)),TEXT(INDEX(상세표[시작],$U1309),"yyyy-mm-dd hh:mm"),INDEX(상세표[시작],$U1309)&amp;""))</f>
        <v/>
      </c>
      <c r="O1309">
        <f>IF($U1309="","",IF(ISNUMBER(INDEX(상세표[종료],$U1309)),TEXT(INDEX(상세표[종료],$U1309),"yyyy-mm-dd hh:mm"),INDEX(상세표[종료],$U1309)&amp;""))</f>
        <v/>
      </c>
      <c r="P1309">
        <f>IF($U1309="","",INDEX(상세표[06~07시],$U1309))</f>
        <v/>
      </c>
      <c r="Q1309">
        <f>IF($U1309="","",INDEX(상세표[07~18시],$U1309))</f>
        <v/>
      </c>
      <c r="R1309">
        <f>IF($U1309="","",INDEX(상세표[18~22시],$U1309))</f>
        <v/>
      </c>
      <c r="S1309">
        <f>IF($U1309="","",INDEX(상세표[22~06시],$U1309))</f>
        <v/>
      </c>
      <c r="T1309">
        <f>IF($U1309="","",INDEX(상세표[기록 시간외],$U1309))</f>
        <v/>
      </c>
      <c r="U1309" s="4">
        <f>IFERROR(MATCH(1304,상세표[발송순번],0),"")</f>
        <v/>
      </c>
    </row>
    <row r="1310">
      <c r="J1310">
        <f>IF($U1310="","",INDEX(상세표[사번],$U1310)&amp;"")</f>
        <v/>
      </c>
      <c r="K1310">
        <f>IF($U1310="","",INDEX(상세표[성명],$U1310)&amp;"")</f>
        <v/>
      </c>
      <c r="L1310">
        <f>IF($U1310="","",INDEX(상세표[직위],$U1310)&amp;"")</f>
        <v/>
      </c>
      <c r="M1310">
        <f>IF($U1310="","",IF(ISNUMBER(INDEX(상세표[근무일자],$U1310)),TEXT(INDEX(상세표[근무일자],$U1310),"yyyy-mm-dd"),INDEX(상세표[근무일자],$U1310)&amp;""))</f>
        <v/>
      </c>
      <c r="N1310">
        <f>IF($U1310="","",IF(ISNUMBER(INDEX(상세표[시작],$U1310)),TEXT(INDEX(상세표[시작],$U1310),"yyyy-mm-dd hh:mm"),INDEX(상세표[시작],$U1310)&amp;""))</f>
        <v/>
      </c>
      <c r="O1310">
        <f>IF($U1310="","",IF(ISNUMBER(INDEX(상세표[종료],$U1310)),TEXT(INDEX(상세표[종료],$U1310),"yyyy-mm-dd hh:mm"),INDEX(상세표[종료],$U1310)&amp;""))</f>
        <v/>
      </c>
      <c r="P1310">
        <f>IF($U1310="","",INDEX(상세표[06~07시],$U1310))</f>
        <v/>
      </c>
      <c r="Q1310">
        <f>IF($U1310="","",INDEX(상세표[07~18시],$U1310))</f>
        <v/>
      </c>
      <c r="R1310">
        <f>IF($U1310="","",INDEX(상세표[18~22시],$U1310))</f>
        <v/>
      </c>
      <c r="S1310">
        <f>IF($U1310="","",INDEX(상세표[22~06시],$U1310))</f>
        <v/>
      </c>
      <c r="T1310">
        <f>IF($U1310="","",INDEX(상세표[기록 시간외],$U1310))</f>
        <v/>
      </c>
      <c r="U1310" s="4">
        <f>IFERROR(MATCH(1305,상세표[발송순번],0),"")</f>
        <v/>
      </c>
    </row>
    <row r="1311">
      <c r="J1311">
        <f>IF($U1311="","",INDEX(상세표[사번],$U1311)&amp;"")</f>
        <v/>
      </c>
      <c r="K1311">
        <f>IF($U1311="","",INDEX(상세표[성명],$U1311)&amp;"")</f>
        <v/>
      </c>
      <c r="L1311">
        <f>IF($U1311="","",INDEX(상세표[직위],$U1311)&amp;"")</f>
        <v/>
      </c>
      <c r="M1311">
        <f>IF($U1311="","",IF(ISNUMBER(INDEX(상세표[근무일자],$U1311)),TEXT(INDEX(상세표[근무일자],$U1311),"yyyy-mm-dd"),INDEX(상세표[근무일자],$U1311)&amp;""))</f>
        <v/>
      </c>
      <c r="N1311">
        <f>IF($U1311="","",IF(ISNUMBER(INDEX(상세표[시작],$U1311)),TEXT(INDEX(상세표[시작],$U1311),"yyyy-mm-dd hh:mm"),INDEX(상세표[시작],$U1311)&amp;""))</f>
        <v/>
      </c>
      <c r="O1311">
        <f>IF($U1311="","",IF(ISNUMBER(INDEX(상세표[종료],$U1311)),TEXT(INDEX(상세표[종료],$U1311),"yyyy-mm-dd hh:mm"),INDEX(상세표[종료],$U1311)&amp;""))</f>
        <v/>
      </c>
      <c r="P1311">
        <f>IF($U1311="","",INDEX(상세표[06~07시],$U1311))</f>
        <v/>
      </c>
      <c r="Q1311">
        <f>IF($U1311="","",INDEX(상세표[07~18시],$U1311))</f>
        <v/>
      </c>
      <c r="R1311">
        <f>IF($U1311="","",INDEX(상세표[18~22시],$U1311))</f>
        <v/>
      </c>
      <c r="S1311">
        <f>IF($U1311="","",INDEX(상세표[22~06시],$U1311))</f>
        <v/>
      </c>
      <c r="T1311">
        <f>IF($U1311="","",INDEX(상세표[기록 시간외],$U1311))</f>
        <v/>
      </c>
      <c r="U1311" s="4">
        <f>IFERROR(MATCH(1306,상세표[발송순번],0),"")</f>
        <v/>
      </c>
    </row>
    <row r="1312">
      <c r="J1312">
        <f>IF($U1312="","",INDEX(상세표[사번],$U1312)&amp;"")</f>
        <v/>
      </c>
      <c r="K1312">
        <f>IF($U1312="","",INDEX(상세표[성명],$U1312)&amp;"")</f>
        <v/>
      </c>
      <c r="L1312">
        <f>IF($U1312="","",INDEX(상세표[직위],$U1312)&amp;"")</f>
        <v/>
      </c>
      <c r="M1312">
        <f>IF($U1312="","",IF(ISNUMBER(INDEX(상세표[근무일자],$U1312)),TEXT(INDEX(상세표[근무일자],$U1312),"yyyy-mm-dd"),INDEX(상세표[근무일자],$U1312)&amp;""))</f>
        <v/>
      </c>
      <c r="N1312">
        <f>IF($U1312="","",IF(ISNUMBER(INDEX(상세표[시작],$U1312)),TEXT(INDEX(상세표[시작],$U1312),"yyyy-mm-dd hh:mm"),INDEX(상세표[시작],$U1312)&amp;""))</f>
        <v/>
      </c>
      <c r="O1312">
        <f>IF($U1312="","",IF(ISNUMBER(INDEX(상세표[종료],$U1312)),TEXT(INDEX(상세표[종료],$U1312),"yyyy-mm-dd hh:mm"),INDEX(상세표[종료],$U1312)&amp;""))</f>
        <v/>
      </c>
      <c r="P1312">
        <f>IF($U1312="","",INDEX(상세표[06~07시],$U1312))</f>
        <v/>
      </c>
      <c r="Q1312">
        <f>IF($U1312="","",INDEX(상세표[07~18시],$U1312))</f>
        <v/>
      </c>
      <c r="R1312">
        <f>IF($U1312="","",INDEX(상세표[18~22시],$U1312))</f>
        <v/>
      </c>
      <c r="S1312">
        <f>IF($U1312="","",INDEX(상세표[22~06시],$U1312))</f>
        <v/>
      </c>
      <c r="T1312">
        <f>IF($U1312="","",INDEX(상세표[기록 시간외],$U1312))</f>
        <v/>
      </c>
      <c r="U1312" s="4">
        <f>IFERROR(MATCH(1307,상세표[발송순번],0),"")</f>
        <v/>
      </c>
    </row>
    <row r="1313">
      <c r="J1313">
        <f>IF($U1313="","",INDEX(상세표[사번],$U1313)&amp;"")</f>
        <v/>
      </c>
      <c r="K1313">
        <f>IF($U1313="","",INDEX(상세표[성명],$U1313)&amp;"")</f>
        <v/>
      </c>
      <c r="L1313">
        <f>IF($U1313="","",INDEX(상세표[직위],$U1313)&amp;"")</f>
        <v/>
      </c>
      <c r="M1313">
        <f>IF($U1313="","",IF(ISNUMBER(INDEX(상세표[근무일자],$U1313)),TEXT(INDEX(상세표[근무일자],$U1313),"yyyy-mm-dd"),INDEX(상세표[근무일자],$U1313)&amp;""))</f>
        <v/>
      </c>
      <c r="N1313">
        <f>IF($U1313="","",IF(ISNUMBER(INDEX(상세표[시작],$U1313)),TEXT(INDEX(상세표[시작],$U1313),"yyyy-mm-dd hh:mm"),INDEX(상세표[시작],$U1313)&amp;""))</f>
        <v/>
      </c>
      <c r="O1313">
        <f>IF($U1313="","",IF(ISNUMBER(INDEX(상세표[종료],$U1313)),TEXT(INDEX(상세표[종료],$U1313),"yyyy-mm-dd hh:mm"),INDEX(상세표[종료],$U1313)&amp;""))</f>
        <v/>
      </c>
      <c r="P1313">
        <f>IF($U1313="","",INDEX(상세표[06~07시],$U1313))</f>
        <v/>
      </c>
      <c r="Q1313">
        <f>IF($U1313="","",INDEX(상세표[07~18시],$U1313))</f>
        <v/>
      </c>
      <c r="R1313">
        <f>IF($U1313="","",INDEX(상세표[18~22시],$U1313))</f>
        <v/>
      </c>
      <c r="S1313">
        <f>IF($U1313="","",INDEX(상세표[22~06시],$U1313))</f>
        <v/>
      </c>
      <c r="T1313">
        <f>IF($U1313="","",INDEX(상세표[기록 시간외],$U1313))</f>
        <v/>
      </c>
      <c r="U1313" s="4">
        <f>IFERROR(MATCH(1308,상세표[발송순번],0),"")</f>
        <v/>
      </c>
    </row>
    <row r="1314">
      <c r="J1314">
        <f>IF($U1314="","",INDEX(상세표[사번],$U1314)&amp;"")</f>
        <v/>
      </c>
      <c r="K1314">
        <f>IF($U1314="","",INDEX(상세표[성명],$U1314)&amp;"")</f>
        <v/>
      </c>
      <c r="L1314">
        <f>IF($U1314="","",INDEX(상세표[직위],$U1314)&amp;"")</f>
        <v/>
      </c>
      <c r="M1314">
        <f>IF($U1314="","",IF(ISNUMBER(INDEX(상세표[근무일자],$U1314)),TEXT(INDEX(상세표[근무일자],$U1314),"yyyy-mm-dd"),INDEX(상세표[근무일자],$U1314)&amp;""))</f>
        <v/>
      </c>
      <c r="N1314">
        <f>IF($U1314="","",IF(ISNUMBER(INDEX(상세표[시작],$U1314)),TEXT(INDEX(상세표[시작],$U1314),"yyyy-mm-dd hh:mm"),INDEX(상세표[시작],$U1314)&amp;""))</f>
        <v/>
      </c>
      <c r="O1314">
        <f>IF($U1314="","",IF(ISNUMBER(INDEX(상세표[종료],$U1314)),TEXT(INDEX(상세표[종료],$U1314),"yyyy-mm-dd hh:mm"),INDEX(상세표[종료],$U1314)&amp;""))</f>
        <v/>
      </c>
      <c r="P1314">
        <f>IF($U1314="","",INDEX(상세표[06~07시],$U1314))</f>
        <v/>
      </c>
      <c r="Q1314">
        <f>IF($U1314="","",INDEX(상세표[07~18시],$U1314))</f>
        <v/>
      </c>
      <c r="R1314">
        <f>IF($U1314="","",INDEX(상세표[18~22시],$U1314))</f>
        <v/>
      </c>
      <c r="S1314">
        <f>IF($U1314="","",INDEX(상세표[22~06시],$U1314))</f>
        <v/>
      </c>
      <c r="T1314">
        <f>IF($U1314="","",INDEX(상세표[기록 시간외],$U1314))</f>
        <v/>
      </c>
      <c r="U1314" s="4">
        <f>IFERROR(MATCH(1309,상세표[발송순번],0),"")</f>
        <v/>
      </c>
    </row>
    <row r="1315">
      <c r="J1315">
        <f>IF($U1315="","",INDEX(상세표[사번],$U1315)&amp;"")</f>
        <v/>
      </c>
      <c r="K1315">
        <f>IF($U1315="","",INDEX(상세표[성명],$U1315)&amp;"")</f>
        <v/>
      </c>
      <c r="L1315">
        <f>IF($U1315="","",INDEX(상세표[직위],$U1315)&amp;"")</f>
        <v/>
      </c>
      <c r="M1315">
        <f>IF($U1315="","",IF(ISNUMBER(INDEX(상세표[근무일자],$U1315)),TEXT(INDEX(상세표[근무일자],$U1315),"yyyy-mm-dd"),INDEX(상세표[근무일자],$U1315)&amp;""))</f>
        <v/>
      </c>
      <c r="N1315">
        <f>IF($U1315="","",IF(ISNUMBER(INDEX(상세표[시작],$U1315)),TEXT(INDEX(상세표[시작],$U1315),"yyyy-mm-dd hh:mm"),INDEX(상세표[시작],$U1315)&amp;""))</f>
        <v/>
      </c>
      <c r="O1315">
        <f>IF($U1315="","",IF(ISNUMBER(INDEX(상세표[종료],$U1315)),TEXT(INDEX(상세표[종료],$U1315),"yyyy-mm-dd hh:mm"),INDEX(상세표[종료],$U1315)&amp;""))</f>
        <v/>
      </c>
      <c r="P1315">
        <f>IF($U1315="","",INDEX(상세표[06~07시],$U1315))</f>
        <v/>
      </c>
      <c r="Q1315">
        <f>IF($U1315="","",INDEX(상세표[07~18시],$U1315))</f>
        <v/>
      </c>
      <c r="R1315">
        <f>IF($U1315="","",INDEX(상세표[18~22시],$U1315))</f>
        <v/>
      </c>
      <c r="S1315">
        <f>IF($U1315="","",INDEX(상세표[22~06시],$U1315))</f>
        <v/>
      </c>
      <c r="T1315">
        <f>IF($U1315="","",INDEX(상세표[기록 시간외],$U1315))</f>
        <v/>
      </c>
      <c r="U1315" s="4">
        <f>IFERROR(MATCH(1310,상세표[발송순번],0),"")</f>
        <v/>
      </c>
    </row>
    <row r="1316">
      <c r="J1316">
        <f>IF($U1316="","",INDEX(상세표[사번],$U1316)&amp;"")</f>
        <v/>
      </c>
      <c r="K1316">
        <f>IF($U1316="","",INDEX(상세표[성명],$U1316)&amp;"")</f>
        <v/>
      </c>
      <c r="L1316">
        <f>IF($U1316="","",INDEX(상세표[직위],$U1316)&amp;"")</f>
        <v/>
      </c>
      <c r="M1316">
        <f>IF($U1316="","",IF(ISNUMBER(INDEX(상세표[근무일자],$U1316)),TEXT(INDEX(상세표[근무일자],$U1316),"yyyy-mm-dd"),INDEX(상세표[근무일자],$U1316)&amp;""))</f>
        <v/>
      </c>
      <c r="N1316">
        <f>IF($U1316="","",IF(ISNUMBER(INDEX(상세표[시작],$U1316)),TEXT(INDEX(상세표[시작],$U1316),"yyyy-mm-dd hh:mm"),INDEX(상세표[시작],$U1316)&amp;""))</f>
        <v/>
      </c>
      <c r="O1316">
        <f>IF($U1316="","",IF(ISNUMBER(INDEX(상세표[종료],$U1316)),TEXT(INDEX(상세표[종료],$U1316),"yyyy-mm-dd hh:mm"),INDEX(상세표[종료],$U1316)&amp;""))</f>
        <v/>
      </c>
      <c r="P1316">
        <f>IF($U1316="","",INDEX(상세표[06~07시],$U1316))</f>
        <v/>
      </c>
      <c r="Q1316">
        <f>IF($U1316="","",INDEX(상세표[07~18시],$U1316))</f>
        <v/>
      </c>
      <c r="R1316">
        <f>IF($U1316="","",INDEX(상세표[18~22시],$U1316))</f>
        <v/>
      </c>
      <c r="S1316">
        <f>IF($U1316="","",INDEX(상세표[22~06시],$U1316))</f>
        <v/>
      </c>
      <c r="T1316">
        <f>IF($U1316="","",INDEX(상세표[기록 시간외],$U1316))</f>
        <v/>
      </c>
      <c r="U1316" s="4">
        <f>IFERROR(MATCH(1311,상세표[발송순번],0),"")</f>
        <v/>
      </c>
    </row>
    <row r="1317">
      <c r="J1317">
        <f>IF($U1317="","",INDEX(상세표[사번],$U1317)&amp;"")</f>
        <v/>
      </c>
      <c r="K1317">
        <f>IF($U1317="","",INDEX(상세표[성명],$U1317)&amp;"")</f>
        <v/>
      </c>
      <c r="L1317">
        <f>IF($U1317="","",INDEX(상세표[직위],$U1317)&amp;"")</f>
        <v/>
      </c>
      <c r="M1317">
        <f>IF($U1317="","",IF(ISNUMBER(INDEX(상세표[근무일자],$U1317)),TEXT(INDEX(상세표[근무일자],$U1317),"yyyy-mm-dd"),INDEX(상세표[근무일자],$U1317)&amp;""))</f>
        <v/>
      </c>
      <c r="N1317">
        <f>IF($U1317="","",IF(ISNUMBER(INDEX(상세표[시작],$U1317)),TEXT(INDEX(상세표[시작],$U1317),"yyyy-mm-dd hh:mm"),INDEX(상세표[시작],$U1317)&amp;""))</f>
        <v/>
      </c>
      <c r="O1317">
        <f>IF($U1317="","",IF(ISNUMBER(INDEX(상세표[종료],$U1317)),TEXT(INDEX(상세표[종료],$U1317),"yyyy-mm-dd hh:mm"),INDEX(상세표[종료],$U1317)&amp;""))</f>
        <v/>
      </c>
      <c r="P1317">
        <f>IF($U1317="","",INDEX(상세표[06~07시],$U1317))</f>
        <v/>
      </c>
      <c r="Q1317">
        <f>IF($U1317="","",INDEX(상세표[07~18시],$U1317))</f>
        <v/>
      </c>
      <c r="R1317">
        <f>IF($U1317="","",INDEX(상세표[18~22시],$U1317))</f>
        <v/>
      </c>
      <c r="S1317">
        <f>IF($U1317="","",INDEX(상세표[22~06시],$U1317))</f>
        <v/>
      </c>
      <c r="T1317">
        <f>IF($U1317="","",INDEX(상세표[기록 시간외],$U1317))</f>
        <v/>
      </c>
      <c r="U1317" s="4">
        <f>IFERROR(MATCH(1312,상세표[발송순번],0),"")</f>
        <v/>
      </c>
    </row>
    <row r="1318">
      <c r="J1318">
        <f>IF($U1318="","",INDEX(상세표[사번],$U1318)&amp;"")</f>
        <v/>
      </c>
      <c r="K1318">
        <f>IF($U1318="","",INDEX(상세표[성명],$U1318)&amp;"")</f>
        <v/>
      </c>
      <c r="L1318">
        <f>IF($U1318="","",INDEX(상세표[직위],$U1318)&amp;"")</f>
        <v/>
      </c>
      <c r="M1318">
        <f>IF($U1318="","",IF(ISNUMBER(INDEX(상세표[근무일자],$U1318)),TEXT(INDEX(상세표[근무일자],$U1318),"yyyy-mm-dd"),INDEX(상세표[근무일자],$U1318)&amp;""))</f>
        <v/>
      </c>
      <c r="N1318">
        <f>IF($U1318="","",IF(ISNUMBER(INDEX(상세표[시작],$U1318)),TEXT(INDEX(상세표[시작],$U1318),"yyyy-mm-dd hh:mm"),INDEX(상세표[시작],$U1318)&amp;""))</f>
        <v/>
      </c>
      <c r="O1318">
        <f>IF($U1318="","",IF(ISNUMBER(INDEX(상세표[종료],$U1318)),TEXT(INDEX(상세표[종료],$U1318),"yyyy-mm-dd hh:mm"),INDEX(상세표[종료],$U1318)&amp;""))</f>
        <v/>
      </c>
      <c r="P1318">
        <f>IF($U1318="","",INDEX(상세표[06~07시],$U1318))</f>
        <v/>
      </c>
      <c r="Q1318">
        <f>IF($U1318="","",INDEX(상세표[07~18시],$U1318))</f>
        <v/>
      </c>
      <c r="R1318">
        <f>IF($U1318="","",INDEX(상세표[18~22시],$U1318))</f>
        <v/>
      </c>
      <c r="S1318">
        <f>IF($U1318="","",INDEX(상세표[22~06시],$U1318))</f>
        <v/>
      </c>
      <c r="T1318">
        <f>IF($U1318="","",INDEX(상세표[기록 시간외],$U1318))</f>
        <v/>
      </c>
      <c r="U1318" s="4">
        <f>IFERROR(MATCH(1313,상세표[발송순번],0),"")</f>
        <v/>
      </c>
    </row>
    <row r="1319">
      <c r="J1319">
        <f>IF($U1319="","",INDEX(상세표[사번],$U1319)&amp;"")</f>
        <v/>
      </c>
      <c r="K1319">
        <f>IF($U1319="","",INDEX(상세표[성명],$U1319)&amp;"")</f>
        <v/>
      </c>
      <c r="L1319">
        <f>IF($U1319="","",INDEX(상세표[직위],$U1319)&amp;"")</f>
        <v/>
      </c>
      <c r="M1319">
        <f>IF($U1319="","",IF(ISNUMBER(INDEX(상세표[근무일자],$U1319)),TEXT(INDEX(상세표[근무일자],$U1319),"yyyy-mm-dd"),INDEX(상세표[근무일자],$U1319)&amp;""))</f>
        <v/>
      </c>
      <c r="N1319">
        <f>IF($U1319="","",IF(ISNUMBER(INDEX(상세표[시작],$U1319)),TEXT(INDEX(상세표[시작],$U1319),"yyyy-mm-dd hh:mm"),INDEX(상세표[시작],$U1319)&amp;""))</f>
        <v/>
      </c>
      <c r="O1319">
        <f>IF($U1319="","",IF(ISNUMBER(INDEX(상세표[종료],$U1319)),TEXT(INDEX(상세표[종료],$U1319),"yyyy-mm-dd hh:mm"),INDEX(상세표[종료],$U1319)&amp;""))</f>
        <v/>
      </c>
      <c r="P1319">
        <f>IF($U1319="","",INDEX(상세표[06~07시],$U1319))</f>
        <v/>
      </c>
      <c r="Q1319">
        <f>IF($U1319="","",INDEX(상세표[07~18시],$U1319))</f>
        <v/>
      </c>
      <c r="R1319">
        <f>IF($U1319="","",INDEX(상세표[18~22시],$U1319))</f>
        <v/>
      </c>
      <c r="S1319">
        <f>IF($U1319="","",INDEX(상세표[22~06시],$U1319))</f>
        <v/>
      </c>
      <c r="T1319">
        <f>IF($U1319="","",INDEX(상세표[기록 시간외],$U1319))</f>
        <v/>
      </c>
      <c r="U1319" s="4">
        <f>IFERROR(MATCH(1314,상세표[발송순번],0),"")</f>
        <v/>
      </c>
    </row>
    <row r="1320">
      <c r="J1320">
        <f>IF($U1320="","",INDEX(상세표[사번],$U1320)&amp;"")</f>
        <v/>
      </c>
      <c r="K1320">
        <f>IF($U1320="","",INDEX(상세표[성명],$U1320)&amp;"")</f>
        <v/>
      </c>
      <c r="L1320">
        <f>IF($U1320="","",INDEX(상세표[직위],$U1320)&amp;"")</f>
        <v/>
      </c>
      <c r="M1320">
        <f>IF($U1320="","",IF(ISNUMBER(INDEX(상세표[근무일자],$U1320)),TEXT(INDEX(상세표[근무일자],$U1320),"yyyy-mm-dd"),INDEX(상세표[근무일자],$U1320)&amp;""))</f>
        <v/>
      </c>
      <c r="N1320">
        <f>IF($U1320="","",IF(ISNUMBER(INDEX(상세표[시작],$U1320)),TEXT(INDEX(상세표[시작],$U1320),"yyyy-mm-dd hh:mm"),INDEX(상세표[시작],$U1320)&amp;""))</f>
        <v/>
      </c>
      <c r="O1320">
        <f>IF($U1320="","",IF(ISNUMBER(INDEX(상세표[종료],$U1320)),TEXT(INDEX(상세표[종료],$U1320),"yyyy-mm-dd hh:mm"),INDEX(상세표[종료],$U1320)&amp;""))</f>
        <v/>
      </c>
      <c r="P1320">
        <f>IF($U1320="","",INDEX(상세표[06~07시],$U1320))</f>
        <v/>
      </c>
      <c r="Q1320">
        <f>IF($U1320="","",INDEX(상세표[07~18시],$U1320))</f>
        <v/>
      </c>
      <c r="R1320">
        <f>IF($U1320="","",INDEX(상세표[18~22시],$U1320))</f>
        <v/>
      </c>
      <c r="S1320">
        <f>IF($U1320="","",INDEX(상세표[22~06시],$U1320))</f>
        <v/>
      </c>
      <c r="T1320">
        <f>IF($U1320="","",INDEX(상세표[기록 시간외],$U1320))</f>
        <v/>
      </c>
      <c r="U1320" s="4">
        <f>IFERROR(MATCH(1315,상세표[발송순번],0),"")</f>
        <v/>
      </c>
    </row>
    <row r="1321">
      <c r="J1321">
        <f>IF($U1321="","",INDEX(상세표[사번],$U1321)&amp;"")</f>
        <v/>
      </c>
      <c r="K1321">
        <f>IF($U1321="","",INDEX(상세표[성명],$U1321)&amp;"")</f>
        <v/>
      </c>
      <c r="L1321">
        <f>IF($U1321="","",INDEX(상세표[직위],$U1321)&amp;"")</f>
        <v/>
      </c>
      <c r="M1321">
        <f>IF($U1321="","",IF(ISNUMBER(INDEX(상세표[근무일자],$U1321)),TEXT(INDEX(상세표[근무일자],$U1321),"yyyy-mm-dd"),INDEX(상세표[근무일자],$U1321)&amp;""))</f>
        <v/>
      </c>
      <c r="N1321">
        <f>IF($U1321="","",IF(ISNUMBER(INDEX(상세표[시작],$U1321)),TEXT(INDEX(상세표[시작],$U1321),"yyyy-mm-dd hh:mm"),INDEX(상세표[시작],$U1321)&amp;""))</f>
        <v/>
      </c>
      <c r="O1321">
        <f>IF($U1321="","",IF(ISNUMBER(INDEX(상세표[종료],$U1321)),TEXT(INDEX(상세표[종료],$U1321),"yyyy-mm-dd hh:mm"),INDEX(상세표[종료],$U1321)&amp;""))</f>
        <v/>
      </c>
      <c r="P1321">
        <f>IF($U1321="","",INDEX(상세표[06~07시],$U1321))</f>
        <v/>
      </c>
      <c r="Q1321">
        <f>IF($U1321="","",INDEX(상세표[07~18시],$U1321))</f>
        <v/>
      </c>
      <c r="R1321">
        <f>IF($U1321="","",INDEX(상세표[18~22시],$U1321))</f>
        <v/>
      </c>
      <c r="S1321">
        <f>IF($U1321="","",INDEX(상세표[22~06시],$U1321))</f>
        <v/>
      </c>
      <c r="T1321">
        <f>IF($U1321="","",INDEX(상세표[기록 시간외],$U1321))</f>
        <v/>
      </c>
      <c r="U1321" s="4">
        <f>IFERROR(MATCH(1316,상세표[발송순번],0),"")</f>
        <v/>
      </c>
    </row>
    <row r="1322">
      <c r="J1322">
        <f>IF($U1322="","",INDEX(상세표[사번],$U1322)&amp;"")</f>
        <v/>
      </c>
      <c r="K1322">
        <f>IF($U1322="","",INDEX(상세표[성명],$U1322)&amp;"")</f>
        <v/>
      </c>
      <c r="L1322">
        <f>IF($U1322="","",INDEX(상세표[직위],$U1322)&amp;"")</f>
        <v/>
      </c>
      <c r="M1322">
        <f>IF($U1322="","",IF(ISNUMBER(INDEX(상세표[근무일자],$U1322)),TEXT(INDEX(상세표[근무일자],$U1322),"yyyy-mm-dd"),INDEX(상세표[근무일자],$U1322)&amp;""))</f>
        <v/>
      </c>
      <c r="N1322">
        <f>IF($U1322="","",IF(ISNUMBER(INDEX(상세표[시작],$U1322)),TEXT(INDEX(상세표[시작],$U1322),"yyyy-mm-dd hh:mm"),INDEX(상세표[시작],$U1322)&amp;""))</f>
        <v/>
      </c>
      <c r="O1322">
        <f>IF($U1322="","",IF(ISNUMBER(INDEX(상세표[종료],$U1322)),TEXT(INDEX(상세표[종료],$U1322),"yyyy-mm-dd hh:mm"),INDEX(상세표[종료],$U1322)&amp;""))</f>
        <v/>
      </c>
      <c r="P1322">
        <f>IF($U1322="","",INDEX(상세표[06~07시],$U1322))</f>
        <v/>
      </c>
      <c r="Q1322">
        <f>IF($U1322="","",INDEX(상세표[07~18시],$U1322))</f>
        <v/>
      </c>
      <c r="R1322">
        <f>IF($U1322="","",INDEX(상세표[18~22시],$U1322))</f>
        <v/>
      </c>
      <c r="S1322">
        <f>IF($U1322="","",INDEX(상세표[22~06시],$U1322))</f>
        <v/>
      </c>
      <c r="T1322">
        <f>IF($U1322="","",INDEX(상세표[기록 시간외],$U1322))</f>
        <v/>
      </c>
      <c r="U1322" s="4">
        <f>IFERROR(MATCH(1317,상세표[발송순번],0),"")</f>
        <v/>
      </c>
    </row>
    <row r="1323">
      <c r="J1323">
        <f>IF($U1323="","",INDEX(상세표[사번],$U1323)&amp;"")</f>
        <v/>
      </c>
      <c r="K1323">
        <f>IF($U1323="","",INDEX(상세표[성명],$U1323)&amp;"")</f>
        <v/>
      </c>
      <c r="L1323">
        <f>IF($U1323="","",INDEX(상세표[직위],$U1323)&amp;"")</f>
        <v/>
      </c>
      <c r="M1323">
        <f>IF($U1323="","",IF(ISNUMBER(INDEX(상세표[근무일자],$U1323)),TEXT(INDEX(상세표[근무일자],$U1323),"yyyy-mm-dd"),INDEX(상세표[근무일자],$U1323)&amp;""))</f>
        <v/>
      </c>
      <c r="N1323">
        <f>IF($U1323="","",IF(ISNUMBER(INDEX(상세표[시작],$U1323)),TEXT(INDEX(상세표[시작],$U1323),"yyyy-mm-dd hh:mm"),INDEX(상세표[시작],$U1323)&amp;""))</f>
        <v/>
      </c>
      <c r="O1323">
        <f>IF($U1323="","",IF(ISNUMBER(INDEX(상세표[종료],$U1323)),TEXT(INDEX(상세표[종료],$U1323),"yyyy-mm-dd hh:mm"),INDEX(상세표[종료],$U1323)&amp;""))</f>
        <v/>
      </c>
      <c r="P1323">
        <f>IF($U1323="","",INDEX(상세표[06~07시],$U1323))</f>
        <v/>
      </c>
      <c r="Q1323">
        <f>IF($U1323="","",INDEX(상세표[07~18시],$U1323))</f>
        <v/>
      </c>
      <c r="R1323">
        <f>IF($U1323="","",INDEX(상세표[18~22시],$U1323))</f>
        <v/>
      </c>
      <c r="S1323">
        <f>IF($U1323="","",INDEX(상세표[22~06시],$U1323))</f>
        <v/>
      </c>
      <c r="T1323">
        <f>IF($U1323="","",INDEX(상세표[기록 시간외],$U1323))</f>
        <v/>
      </c>
      <c r="U1323" s="4">
        <f>IFERROR(MATCH(1318,상세표[발송순번],0),"")</f>
        <v/>
      </c>
    </row>
    <row r="1324">
      <c r="J1324">
        <f>IF($U1324="","",INDEX(상세표[사번],$U1324)&amp;"")</f>
        <v/>
      </c>
      <c r="K1324">
        <f>IF($U1324="","",INDEX(상세표[성명],$U1324)&amp;"")</f>
        <v/>
      </c>
      <c r="L1324">
        <f>IF($U1324="","",INDEX(상세표[직위],$U1324)&amp;"")</f>
        <v/>
      </c>
      <c r="M1324">
        <f>IF($U1324="","",IF(ISNUMBER(INDEX(상세표[근무일자],$U1324)),TEXT(INDEX(상세표[근무일자],$U1324),"yyyy-mm-dd"),INDEX(상세표[근무일자],$U1324)&amp;""))</f>
        <v/>
      </c>
      <c r="N1324">
        <f>IF($U1324="","",IF(ISNUMBER(INDEX(상세표[시작],$U1324)),TEXT(INDEX(상세표[시작],$U1324),"yyyy-mm-dd hh:mm"),INDEX(상세표[시작],$U1324)&amp;""))</f>
        <v/>
      </c>
      <c r="O1324">
        <f>IF($U1324="","",IF(ISNUMBER(INDEX(상세표[종료],$U1324)),TEXT(INDEX(상세표[종료],$U1324),"yyyy-mm-dd hh:mm"),INDEX(상세표[종료],$U1324)&amp;""))</f>
        <v/>
      </c>
      <c r="P1324">
        <f>IF($U1324="","",INDEX(상세표[06~07시],$U1324))</f>
        <v/>
      </c>
      <c r="Q1324">
        <f>IF($U1324="","",INDEX(상세표[07~18시],$U1324))</f>
        <v/>
      </c>
      <c r="R1324">
        <f>IF($U1324="","",INDEX(상세표[18~22시],$U1324))</f>
        <v/>
      </c>
      <c r="S1324">
        <f>IF($U1324="","",INDEX(상세표[22~06시],$U1324))</f>
        <v/>
      </c>
      <c r="T1324">
        <f>IF($U1324="","",INDEX(상세표[기록 시간외],$U1324))</f>
        <v/>
      </c>
      <c r="U1324" s="4">
        <f>IFERROR(MATCH(1319,상세표[발송순번],0),"")</f>
        <v/>
      </c>
    </row>
    <row r="1325">
      <c r="J1325">
        <f>IF($U1325="","",INDEX(상세표[사번],$U1325)&amp;"")</f>
        <v/>
      </c>
      <c r="K1325">
        <f>IF($U1325="","",INDEX(상세표[성명],$U1325)&amp;"")</f>
        <v/>
      </c>
      <c r="L1325">
        <f>IF($U1325="","",INDEX(상세표[직위],$U1325)&amp;"")</f>
        <v/>
      </c>
      <c r="M1325">
        <f>IF($U1325="","",IF(ISNUMBER(INDEX(상세표[근무일자],$U1325)),TEXT(INDEX(상세표[근무일자],$U1325),"yyyy-mm-dd"),INDEX(상세표[근무일자],$U1325)&amp;""))</f>
        <v/>
      </c>
      <c r="N1325">
        <f>IF($U1325="","",IF(ISNUMBER(INDEX(상세표[시작],$U1325)),TEXT(INDEX(상세표[시작],$U1325),"yyyy-mm-dd hh:mm"),INDEX(상세표[시작],$U1325)&amp;""))</f>
        <v/>
      </c>
      <c r="O1325">
        <f>IF($U1325="","",IF(ISNUMBER(INDEX(상세표[종료],$U1325)),TEXT(INDEX(상세표[종료],$U1325),"yyyy-mm-dd hh:mm"),INDEX(상세표[종료],$U1325)&amp;""))</f>
        <v/>
      </c>
      <c r="P1325">
        <f>IF($U1325="","",INDEX(상세표[06~07시],$U1325))</f>
        <v/>
      </c>
      <c r="Q1325">
        <f>IF($U1325="","",INDEX(상세표[07~18시],$U1325))</f>
        <v/>
      </c>
      <c r="R1325">
        <f>IF($U1325="","",INDEX(상세표[18~22시],$U1325))</f>
        <v/>
      </c>
      <c r="S1325">
        <f>IF($U1325="","",INDEX(상세표[22~06시],$U1325))</f>
        <v/>
      </c>
      <c r="T1325">
        <f>IF($U1325="","",INDEX(상세표[기록 시간외],$U1325))</f>
        <v/>
      </c>
      <c r="U1325" s="4">
        <f>IFERROR(MATCH(1320,상세표[발송순번],0),"")</f>
        <v/>
      </c>
    </row>
    <row r="1326">
      <c r="J1326">
        <f>IF($U1326="","",INDEX(상세표[사번],$U1326)&amp;"")</f>
        <v/>
      </c>
      <c r="K1326">
        <f>IF($U1326="","",INDEX(상세표[성명],$U1326)&amp;"")</f>
        <v/>
      </c>
      <c r="L1326">
        <f>IF($U1326="","",INDEX(상세표[직위],$U1326)&amp;"")</f>
        <v/>
      </c>
      <c r="M1326">
        <f>IF($U1326="","",IF(ISNUMBER(INDEX(상세표[근무일자],$U1326)),TEXT(INDEX(상세표[근무일자],$U1326),"yyyy-mm-dd"),INDEX(상세표[근무일자],$U1326)&amp;""))</f>
        <v/>
      </c>
      <c r="N1326">
        <f>IF($U1326="","",IF(ISNUMBER(INDEX(상세표[시작],$U1326)),TEXT(INDEX(상세표[시작],$U1326),"yyyy-mm-dd hh:mm"),INDEX(상세표[시작],$U1326)&amp;""))</f>
        <v/>
      </c>
      <c r="O1326">
        <f>IF($U1326="","",IF(ISNUMBER(INDEX(상세표[종료],$U1326)),TEXT(INDEX(상세표[종료],$U1326),"yyyy-mm-dd hh:mm"),INDEX(상세표[종료],$U1326)&amp;""))</f>
        <v/>
      </c>
      <c r="P1326">
        <f>IF($U1326="","",INDEX(상세표[06~07시],$U1326))</f>
        <v/>
      </c>
      <c r="Q1326">
        <f>IF($U1326="","",INDEX(상세표[07~18시],$U1326))</f>
        <v/>
      </c>
      <c r="R1326">
        <f>IF($U1326="","",INDEX(상세표[18~22시],$U1326))</f>
        <v/>
      </c>
      <c r="S1326">
        <f>IF($U1326="","",INDEX(상세표[22~06시],$U1326))</f>
        <v/>
      </c>
      <c r="T1326">
        <f>IF($U1326="","",INDEX(상세표[기록 시간외],$U1326))</f>
        <v/>
      </c>
      <c r="U1326" s="4">
        <f>IFERROR(MATCH(1321,상세표[발송순번],0),"")</f>
        <v/>
      </c>
    </row>
    <row r="1327">
      <c r="J1327">
        <f>IF($U1327="","",INDEX(상세표[사번],$U1327)&amp;"")</f>
        <v/>
      </c>
      <c r="K1327">
        <f>IF($U1327="","",INDEX(상세표[성명],$U1327)&amp;"")</f>
        <v/>
      </c>
      <c r="L1327">
        <f>IF($U1327="","",INDEX(상세표[직위],$U1327)&amp;"")</f>
        <v/>
      </c>
      <c r="M1327">
        <f>IF($U1327="","",IF(ISNUMBER(INDEX(상세표[근무일자],$U1327)),TEXT(INDEX(상세표[근무일자],$U1327),"yyyy-mm-dd"),INDEX(상세표[근무일자],$U1327)&amp;""))</f>
        <v/>
      </c>
      <c r="N1327">
        <f>IF($U1327="","",IF(ISNUMBER(INDEX(상세표[시작],$U1327)),TEXT(INDEX(상세표[시작],$U1327),"yyyy-mm-dd hh:mm"),INDEX(상세표[시작],$U1327)&amp;""))</f>
        <v/>
      </c>
      <c r="O1327">
        <f>IF($U1327="","",IF(ISNUMBER(INDEX(상세표[종료],$U1327)),TEXT(INDEX(상세표[종료],$U1327),"yyyy-mm-dd hh:mm"),INDEX(상세표[종료],$U1327)&amp;""))</f>
        <v/>
      </c>
      <c r="P1327">
        <f>IF($U1327="","",INDEX(상세표[06~07시],$U1327))</f>
        <v/>
      </c>
      <c r="Q1327">
        <f>IF($U1327="","",INDEX(상세표[07~18시],$U1327))</f>
        <v/>
      </c>
      <c r="R1327">
        <f>IF($U1327="","",INDEX(상세표[18~22시],$U1327))</f>
        <v/>
      </c>
      <c r="S1327">
        <f>IF($U1327="","",INDEX(상세표[22~06시],$U1327))</f>
        <v/>
      </c>
      <c r="T1327">
        <f>IF($U1327="","",INDEX(상세표[기록 시간외],$U1327))</f>
        <v/>
      </c>
      <c r="U1327" s="4">
        <f>IFERROR(MATCH(1322,상세표[발송순번],0),"")</f>
        <v/>
      </c>
    </row>
    <row r="1328">
      <c r="J1328">
        <f>IF($U1328="","",INDEX(상세표[사번],$U1328)&amp;"")</f>
        <v/>
      </c>
      <c r="K1328">
        <f>IF($U1328="","",INDEX(상세표[성명],$U1328)&amp;"")</f>
        <v/>
      </c>
      <c r="L1328">
        <f>IF($U1328="","",INDEX(상세표[직위],$U1328)&amp;"")</f>
        <v/>
      </c>
      <c r="M1328">
        <f>IF($U1328="","",IF(ISNUMBER(INDEX(상세표[근무일자],$U1328)),TEXT(INDEX(상세표[근무일자],$U1328),"yyyy-mm-dd"),INDEX(상세표[근무일자],$U1328)&amp;""))</f>
        <v/>
      </c>
      <c r="N1328">
        <f>IF($U1328="","",IF(ISNUMBER(INDEX(상세표[시작],$U1328)),TEXT(INDEX(상세표[시작],$U1328),"yyyy-mm-dd hh:mm"),INDEX(상세표[시작],$U1328)&amp;""))</f>
        <v/>
      </c>
      <c r="O1328">
        <f>IF($U1328="","",IF(ISNUMBER(INDEX(상세표[종료],$U1328)),TEXT(INDEX(상세표[종료],$U1328),"yyyy-mm-dd hh:mm"),INDEX(상세표[종료],$U1328)&amp;""))</f>
        <v/>
      </c>
      <c r="P1328">
        <f>IF($U1328="","",INDEX(상세표[06~07시],$U1328))</f>
        <v/>
      </c>
      <c r="Q1328">
        <f>IF($U1328="","",INDEX(상세표[07~18시],$U1328))</f>
        <v/>
      </c>
      <c r="R1328">
        <f>IF($U1328="","",INDEX(상세표[18~22시],$U1328))</f>
        <v/>
      </c>
      <c r="S1328">
        <f>IF($U1328="","",INDEX(상세표[22~06시],$U1328))</f>
        <v/>
      </c>
      <c r="T1328">
        <f>IF($U1328="","",INDEX(상세표[기록 시간외],$U1328))</f>
        <v/>
      </c>
      <c r="U1328" s="4">
        <f>IFERROR(MATCH(1323,상세표[발송순번],0),"")</f>
        <v/>
      </c>
    </row>
    <row r="1329">
      <c r="J1329">
        <f>IF($U1329="","",INDEX(상세표[사번],$U1329)&amp;"")</f>
        <v/>
      </c>
      <c r="K1329">
        <f>IF($U1329="","",INDEX(상세표[성명],$U1329)&amp;"")</f>
        <v/>
      </c>
      <c r="L1329">
        <f>IF($U1329="","",INDEX(상세표[직위],$U1329)&amp;"")</f>
        <v/>
      </c>
      <c r="M1329">
        <f>IF($U1329="","",IF(ISNUMBER(INDEX(상세표[근무일자],$U1329)),TEXT(INDEX(상세표[근무일자],$U1329),"yyyy-mm-dd"),INDEX(상세표[근무일자],$U1329)&amp;""))</f>
        <v/>
      </c>
      <c r="N1329">
        <f>IF($U1329="","",IF(ISNUMBER(INDEX(상세표[시작],$U1329)),TEXT(INDEX(상세표[시작],$U1329),"yyyy-mm-dd hh:mm"),INDEX(상세표[시작],$U1329)&amp;""))</f>
        <v/>
      </c>
      <c r="O1329">
        <f>IF($U1329="","",IF(ISNUMBER(INDEX(상세표[종료],$U1329)),TEXT(INDEX(상세표[종료],$U1329),"yyyy-mm-dd hh:mm"),INDEX(상세표[종료],$U1329)&amp;""))</f>
        <v/>
      </c>
      <c r="P1329">
        <f>IF($U1329="","",INDEX(상세표[06~07시],$U1329))</f>
        <v/>
      </c>
      <c r="Q1329">
        <f>IF($U1329="","",INDEX(상세표[07~18시],$U1329))</f>
        <v/>
      </c>
      <c r="R1329">
        <f>IF($U1329="","",INDEX(상세표[18~22시],$U1329))</f>
        <v/>
      </c>
      <c r="S1329">
        <f>IF($U1329="","",INDEX(상세표[22~06시],$U1329))</f>
        <v/>
      </c>
      <c r="T1329">
        <f>IF($U1329="","",INDEX(상세표[기록 시간외],$U1329))</f>
        <v/>
      </c>
      <c r="U1329" s="4">
        <f>IFERROR(MATCH(1324,상세표[발송순번],0),"")</f>
        <v/>
      </c>
    </row>
    <row r="1330">
      <c r="J1330">
        <f>IF($U1330="","",INDEX(상세표[사번],$U1330)&amp;"")</f>
        <v/>
      </c>
      <c r="K1330">
        <f>IF($U1330="","",INDEX(상세표[성명],$U1330)&amp;"")</f>
        <v/>
      </c>
      <c r="L1330">
        <f>IF($U1330="","",INDEX(상세표[직위],$U1330)&amp;"")</f>
        <v/>
      </c>
      <c r="M1330">
        <f>IF($U1330="","",IF(ISNUMBER(INDEX(상세표[근무일자],$U1330)),TEXT(INDEX(상세표[근무일자],$U1330),"yyyy-mm-dd"),INDEX(상세표[근무일자],$U1330)&amp;""))</f>
        <v/>
      </c>
      <c r="N1330">
        <f>IF($U1330="","",IF(ISNUMBER(INDEX(상세표[시작],$U1330)),TEXT(INDEX(상세표[시작],$U1330),"yyyy-mm-dd hh:mm"),INDEX(상세표[시작],$U1330)&amp;""))</f>
        <v/>
      </c>
      <c r="O1330">
        <f>IF($U1330="","",IF(ISNUMBER(INDEX(상세표[종료],$U1330)),TEXT(INDEX(상세표[종료],$U1330),"yyyy-mm-dd hh:mm"),INDEX(상세표[종료],$U1330)&amp;""))</f>
        <v/>
      </c>
      <c r="P1330">
        <f>IF($U1330="","",INDEX(상세표[06~07시],$U1330))</f>
        <v/>
      </c>
      <c r="Q1330">
        <f>IF($U1330="","",INDEX(상세표[07~18시],$U1330))</f>
        <v/>
      </c>
      <c r="R1330">
        <f>IF($U1330="","",INDEX(상세표[18~22시],$U1330))</f>
        <v/>
      </c>
      <c r="S1330">
        <f>IF($U1330="","",INDEX(상세표[22~06시],$U1330))</f>
        <v/>
      </c>
      <c r="T1330">
        <f>IF($U1330="","",INDEX(상세표[기록 시간외],$U1330))</f>
        <v/>
      </c>
      <c r="U1330" s="4">
        <f>IFERROR(MATCH(1325,상세표[발송순번],0),"")</f>
        <v/>
      </c>
    </row>
    <row r="1331">
      <c r="J1331">
        <f>IF($U1331="","",INDEX(상세표[사번],$U1331)&amp;"")</f>
        <v/>
      </c>
      <c r="K1331">
        <f>IF($U1331="","",INDEX(상세표[성명],$U1331)&amp;"")</f>
        <v/>
      </c>
      <c r="L1331">
        <f>IF($U1331="","",INDEX(상세표[직위],$U1331)&amp;"")</f>
        <v/>
      </c>
      <c r="M1331">
        <f>IF($U1331="","",IF(ISNUMBER(INDEX(상세표[근무일자],$U1331)),TEXT(INDEX(상세표[근무일자],$U1331),"yyyy-mm-dd"),INDEX(상세표[근무일자],$U1331)&amp;""))</f>
        <v/>
      </c>
      <c r="N1331">
        <f>IF($U1331="","",IF(ISNUMBER(INDEX(상세표[시작],$U1331)),TEXT(INDEX(상세표[시작],$U1331),"yyyy-mm-dd hh:mm"),INDEX(상세표[시작],$U1331)&amp;""))</f>
        <v/>
      </c>
      <c r="O1331">
        <f>IF($U1331="","",IF(ISNUMBER(INDEX(상세표[종료],$U1331)),TEXT(INDEX(상세표[종료],$U1331),"yyyy-mm-dd hh:mm"),INDEX(상세표[종료],$U1331)&amp;""))</f>
        <v/>
      </c>
      <c r="P1331">
        <f>IF($U1331="","",INDEX(상세표[06~07시],$U1331))</f>
        <v/>
      </c>
      <c r="Q1331">
        <f>IF($U1331="","",INDEX(상세표[07~18시],$U1331))</f>
        <v/>
      </c>
      <c r="R1331">
        <f>IF($U1331="","",INDEX(상세표[18~22시],$U1331))</f>
        <v/>
      </c>
      <c r="S1331">
        <f>IF($U1331="","",INDEX(상세표[22~06시],$U1331))</f>
        <v/>
      </c>
      <c r="T1331">
        <f>IF($U1331="","",INDEX(상세표[기록 시간외],$U1331))</f>
        <v/>
      </c>
      <c r="U1331" s="4">
        <f>IFERROR(MATCH(1326,상세표[발송순번],0),"")</f>
        <v/>
      </c>
    </row>
    <row r="1332">
      <c r="J1332">
        <f>IF($U1332="","",INDEX(상세표[사번],$U1332)&amp;"")</f>
        <v/>
      </c>
      <c r="K1332">
        <f>IF($U1332="","",INDEX(상세표[성명],$U1332)&amp;"")</f>
        <v/>
      </c>
      <c r="L1332">
        <f>IF($U1332="","",INDEX(상세표[직위],$U1332)&amp;"")</f>
        <v/>
      </c>
      <c r="M1332">
        <f>IF($U1332="","",IF(ISNUMBER(INDEX(상세표[근무일자],$U1332)),TEXT(INDEX(상세표[근무일자],$U1332),"yyyy-mm-dd"),INDEX(상세표[근무일자],$U1332)&amp;""))</f>
        <v/>
      </c>
      <c r="N1332">
        <f>IF($U1332="","",IF(ISNUMBER(INDEX(상세표[시작],$U1332)),TEXT(INDEX(상세표[시작],$U1332),"yyyy-mm-dd hh:mm"),INDEX(상세표[시작],$U1332)&amp;""))</f>
        <v/>
      </c>
      <c r="O1332">
        <f>IF($U1332="","",IF(ISNUMBER(INDEX(상세표[종료],$U1332)),TEXT(INDEX(상세표[종료],$U1332),"yyyy-mm-dd hh:mm"),INDEX(상세표[종료],$U1332)&amp;""))</f>
        <v/>
      </c>
      <c r="P1332">
        <f>IF($U1332="","",INDEX(상세표[06~07시],$U1332))</f>
        <v/>
      </c>
      <c r="Q1332">
        <f>IF($U1332="","",INDEX(상세표[07~18시],$U1332))</f>
        <v/>
      </c>
      <c r="R1332">
        <f>IF($U1332="","",INDEX(상세표[18~22시],$U1332))</f>
        <v/>
      </c>
      <c r="S1332">
        <f>IF($U1332="","",INDEX(상세표[22~06시],$U1332))</f>
        <v/>
      </c>
      <c r="T1332">
        <f>IF($U1332="","",INDEX(상세표[기록 시간외],$U1332))</f>
        <v/>
      </c>
      <c r="U1332" s="4">
        <f>IFERROR(MATCH(1327,상세표[발송순번],0),"")</f>
        <v/>
      </c>
    </row>
    <row r="1333">
      <c r="J1333">
        <f>IF($U1333="","",INDEX(상세표[사번],$U1333)&amp;"")</f>
        <v/>
      </c>
      <c r="K1333">
        <f>IF($U1333="","",INDEX(상세표[성명],$U1333)&amp;"")</f>
        <v/>
      </c>
      <c r="L1333">
        <f>IF($U1333="","",INDEX(상세표[직위],$U1333)&amp;"")</f>
        <v/>
      </c>
      <c r="M1333">
        <f>IF($U1333="","",IF(ISNUMBER(INDEX(상세표[근무일자],$U1333)),TEXT(INDEX(상세표[근무일자],$U1333),"yyyy-mm-dd"),INDEX(상세표[근무일자],$U1333)&amp;""))</f>
        <v/>
      </c>
      <c r="N1333">
        <f>IF($U1333="","",IF(ISNUMBER(INDEX(상세표[시작],$U1333)),TEXT(INDEX(상세표[시작],$U1333),"yyyy-mm-dd hh:mm"),INDEX(상세표[시작],$U1333)&amp;""))</f>
        <v/>
      </c>
      <c r="O1333">
        <f>IF($U1333="","",IF(ISNUMBER(INDEX(상세표[종료],$U1333)),TEXT(INDEX(상세표[종료],$U1333),"yyyy-mm-dd hh:mm"),INDEX(상세표[종료],$U1333)&amp;""))</f>
        <v/>
      </c>
      <c r="P1333">
        <f>IF($U1333="","",INDEX(상세표[06~07시],$U1333))</f>
        <v/>
      </c>
      <c r="Q1333">
        <f>IF($U1333="","",INDEX(상세표[07~18시],$U1333))</f>
        <v/>
      </c>
      <c r="R1333">
        <f>IF($U1333="","",INDEX(상세표[18~22시],$U1333))</f>
        <v/>
      </c>
      <c r="S1333">
        <f>IF($U1333="","",INDEX(상세표[22~06시],$U1333))</f>
        <v/>
      </c>
      <c r="T1333">
        <f>IF($U1333="","",INDEX(상세표[기록 시간외],$U1333))</f>
        <v/>
      </c>
      <c r="U1333" s="4">
        <f>IFERROR(MATCH(1328,상세표[발송순번],0),"")</f>
        <v/>
      </c>
    </row>
    <row r="1334">
      <c r="J1334">
        <f>IF($U1334="","",INDEX(상세표[사번],$U1334)&amp;"")</f>
        <v/>
      </c>
      <c r="K1334">
        <f>IF($U1334="","",INDEX(상세표[성명],$U1334)&amp;"")</f>
        <v/>
      </c>
      <c r="L1334">
        <f>IF($U1334="","",INDEX(상세표[직위],$U1334)&amp;"")</f>
        <v/>
      </c>
      <c r="M1334">
        <f>IF($U1334="","",IF(ISNUMBER(INDEX(상세표[근무일자],$U1334)),TEXT(INDEX(상세표[근무일자],$U1334),"yyyy-mm-dd"),INDEX(상세표[근무일자],$U1334)&amp;""))</f>
        <v/>
      </c>
      <c r="N1334">
        <f>IF($U1334="","",IF(ISNUMBER(INDEX(상세표[시작],$U1334)),TEXT(INDEX(상세표[시작],$U1334),"yyyy-mm-dd hh:mm"),INDEX(상세표[시작],$U1334)&amp;""))</f>
        <v/>
      </c>
      <c r="O1334">
        <f>IF($U1334="","",IF(ISNUMBER(INDEX(상세표[종료],$U1334)),TEXT(INDEX(상세표[종료],$U1334),"yyyy-mm-dd hh:mm"),INDEX(상세표[종료],$U1334)&amp;""))</f>
        <v/>
      </c>
      <c r="P1334">
        <f>IF($U1334="","",INDEX(상세표[06~07시],$U1334))</f>
        <v/>
      </c>
      <c r="Q1334">
        <f>IF($U1334="","",INDEX(상세표[07~18시],$U1334))</f>
        <v/>
      </c>
      <c r="R1334">
        <f>IF($U1334="","",INDEX(상세표[18~22시],$U1334))</f>
        <v/>
      </c>
      <c r="S1334">
        <f>IF($U1334="","",INDEX(상세표[22~06시],$U1334))</f>
        <v/>
      </c>
      <c r="T1334">
        <f>IF($U1334="","",INDEX(상세표[기록 시간외],$U1334))</f>
        <v/>
      </c>
      <c r="U1334" s="4">
        <f>IFERROR(MATCH(1329,상세표[발송순번],0),"")</f>
        <v/>
      </c>
    </row>
    <row r="1335">
      <c r="J1335">
        <f>IF($U1335="","",INDEX(상세표[사번],$U1335)&amp;"")</f>
        <v/>
      </c>
      <c r="K1335">
        <f>IF($U1335="","",INDEX(상세표[성명],$U1335)&amp;"")</f>
        <v/>
      </c>
      <c r="L1335">
        <f>IF($U1335="","",INDEX(상세표[직위],$U1335)&amp;"")</f>
        <v/>
      </c>
      <c r="M1335">
        <f>IF($U1335="","",IF(ISNUMBER(INDEX(상세표[근무일자],$U1335)),TEXT(INDEX(상세표[근무일자],$U1335),"yyyy-mm-dd"),INDEX(상세표[근무일자],$U1335)&amp;""))</f>
        <v/>
      </c>
      <c r="N1335">
        <f>IF($U1335="","",IF(ISNUMBER(INDEX(상세표[시작],$U1335)),TEXT(INDEX(상세표[시작],$U1335),"yyyy-mm-dd hh:mm"),INDEX(상세표[시작],$U1335)&amp;""))</f>
        <v/>
      </c>
      <c r="O1335">
        <f>IF($U1335="","",IF(ISNUMBER(INDEX(상세표[종료],$U1335)),TEXT(INDEX(상세표[종료],$U1335),"yyyy-mm-dd hh:mm"),INDEX(상세표[종료],$U1335)&amp;""))</f>
        <v/>
      </c>
      <c r="P1335">
        <f>IF($U1335="","",INDEX(상세표[06~07시],$U1335))</f>
        <v/>
      </c>
      <c r="Q1335">
        <f>IF($U1335="","",INDEX(상세표[07~18시],$U1335))</f>
        <v/>
      </c>
      <c r="R1335">
        <f>IF($U1335="","",INDEX(상세표[18~22시],$U1335))</f>
        <v/>
      </c>
      <c r="S1335">
        <f>IF($U1335="","",INDEX(상세표[22~06시],$U1335))</f>
        <v/>
      </c>
      <c r="T1335">
        <f>IF($U1335="","",INDEX(상세표[기록 시간외],$U1335))</f>
        <v/>
      </c>
      <c r="U1335" s="4">
        <f>IFERROR(MATCH(1330,상세표[발송순번],0),"")</f>
        <v/>
      </c>
    </row>
    <row r="1336">
      <c r="J1336">
        <f>IF($U1336="","",INDEX(상세표[사번],$U1336)&amp;"")</f>
        <v/>
      </c>
      <c r="K1336">
        <f>IF($U1336="","",INDEX(상세표[성명],$U1336)&amp;"")</f>
        <v/>
      </c>
      <c r="L1336">
        <f>IF($U1336="","",INDEX(상세표[직위],$U1336)&amp;"")</f>
        <v/>
      </c>
      <c r="M1336">
        <f>IF($U1336="","",IF(ISNUMBER(INDEX(상세표[근무일자],$U1336)),TEXT(INDEX(상세표[근무일자],$U1336),"yyyy-mm-dd"),INDEX(상세표[근무일자],$U1336)&amp;""))</f>
        <v/>
      </c>
      <c r="N1336">
        <f>IF($U1336="","",IF(ISNUMBER(INDEX(상세표[시작],$U1336)),TEXT(INDEX(상세표[시작],$U1336),"yyyy-mm-dd hh:mm"),INDEX(상세표[시작],$U1336)&amp;""))</f>
        <v/>
      </c>
      <c r="O1336">
        <f>IF($U1336="","",IF(ISNUMBER(INDEX(상세표[종료],$U1336)),TEXT(INDEX(상세표[종료],$U1336),"yyyy-mm-dd hh:mm"),INDEX(상세표[종료],$U1336)&amp;""))</f>
        <v/>
      </c>
      <c r="P1336">
        <f>IF($U1336="","",INDEX(상세표[06~07시],$U1336))</f>
        <v/>
      </c>
      <c r="Q1336">
        <f>IF($U1336="","",INDEX(상세표[07~18시],$U1336))</f>
        <v/>
      </c>
      <c r="R1336">
        <f>IF($U1336="","",INDEX(상세표[18~22시],$U1336))</f>
        <v/>
      </c>
      <c r="S1336">
        <f>IF($U1336="","",INDEX(상세표[22~06시],$U1336))</f>
        <v/>
      </c>
      <c r="T1336">
        <f>IF($U1336="","",INDEX(상세표[기록 시간외],$U1336))</f>
        <v/>
      </c>
      <c r="U1336" s="4">
        <f>IFERROR(MATCH(1331,상세표[발송순번],0),"")</f>
        <v/>
      </c>
    </row>
    <row r="1337">
      <c r="J1337">
        <f>IF($U1337="","",INDEX(상세표[사번],$U1337)&amp;"")</f>
        <v/>
      </c>
      <c r="K1337">
        <f>IF($U1337="","",INDEX(상세표[성명],$U1337)&amp;"")</f>
        <v/>
      </c>
      <c r="L1337">
        <f>IF($U1337="","",INDEX(상세표[직위],$U1337)&amp;"")</f>
        <v/>
      </c>
      <c r="M1337">
        <f>IF($U1337="","",IF(ISNUMBER(INDEX(상세표[근무일자],$U1337)),TEXT(INDEX(상세표[근무일자],$U1337),"yyyy-mm-dd"),INDEX(상세표[근무일자],$U1337)&amp;""))</f>
        <v/>
      </c>
      <c r="N1337">
        <f>IF($U1337="","",IF(ISNUMBER(INDEX(상세표[시작],$U1337)),TEXT(INDEX(상세표[시작],$U1337),"yyyy-mm-dd hh:mm"),INDEX(상세표[시작],$U1337)&amp;""))</f>
        <v/>
      </c>
      <c r="O1337">
        <f>IF($U1337="","",IF(ISNUMBER(INDEX(상세표[종료],$U1337)),TEXT(INDEX(상세표[종료],$U1337),"yyyy-mm-dd hh:mm"),INDEX(상세표[종료],$U1337)&amp;""))</f>
        <v/>
      </c>
      <c r="P1337">
        <f>IF($U1337="","",INDEX(상세표[06~07시],$U1337))</f>
        <v/>
      </c>
      <c r="Q1337">
        <f>IF($U1337="","",INDEX(상세표[07~18시],$U1337))</f>
        <v/>
      </c>
      <c r="R1337">
        <f>IF($U1337="","",INDEX(상세표[18~22시],$U1337))</f>
        <v/>
      </c>
      <c r="S1337">
        <f>IF($U1337="","",INDEX(상세표[22~06시],$U1337))</f>
        <v/>
      </c>
      <c r="T1337">
        <f>IF($U1337="","",INDEX(상세표[기록 시간외],$U1337))</f>
        <v/>
      </c>
      <c r="U1337" s="4">
        <f>IFERROR(MATCH(1332,상세표[발송순번],0),"")</f>
        <v/>
      </c>
    </row>
    <row r="1338">
      <c r="J1338">
        <f>IF($U1338="","",INDEX(상세표[사번],$U1338)&amp;"")</f>
        <v/>
      </c>
      <c r="K1338">
        <f>IF($U1338="","",INDEX(상세표[성명],$U1338)&amp;"")</f>
        <v/>
      </c>
      <c r="L1338">
        <f>IF($U1338="","",INDEX(상세표[직위],$U1338)&amp;"")</f>
        <v/>
      </c>
      <c r="M1338">
        <f>IF($U1338="","",IF(ISNUMBER(INDEX(상세표[근무일자],$U1338)),TEXT(INDEX(상세표[근무일자],$U1338),"yyyy-mm-dd"),INDEX(상세표[근무일자],$U1338)&amp;""))</f>
        <v/>
      </c>
      <c r="N1338">
        <f>IF($U1338="","",IF(ISNUMBER(INDEX(상세표[시작],$U1338)),TEXT(INDEX(상세표[시작],$U1338),"yyyy-mm-dd hh:mm"),INDEX(상세표[시작],$U1338)&amp;""))</f>
        <v/>
      </c>
      <c r="O1338">
        <f>IF($U1338="","",IF(ISNUMBER(INDEX(상세표[종료],$U1338)),TEXT(INDEX(상세표[종료],$U1338),"yyyy-mm-dd hh:mm"),INDEX(상세표[종료],$U1338)&amp;""))</f>
        <v/>
      </c>
      <c r="P1338">
        <f>IF($U1338="","",INDEX(상세표[06~07시],$U1338))</f>
        <v/>
      </c>
      <c r="Q1338">
        <f>IF($U1338="","",INDEX(상세표[07~18시],$U1338))</f>
        <v/>
      </c>
      <c r="R1338">
        <f>IF($U1338="","",INDEX(상세표[18~22시],$U1338))</f>
        <v/>
      </c>
      <c r="S1338">
        <f>IF($U1338="","",INDEX(상세표[22~06시],$U1338))</f>
        <v/>
      </c>
      <c r="T1338">
        <f>IF($U1338="","",INDEX(상세표[기록 시간외],$U1338))</f>
        <v/>
      </c>
      <c r="U1338" s="4">
        <f>IFERROR(MATCH(1333,상세표[발송순번],0),"")</f>
        <v/>
      </c>
    </row>
    <row r="1339">
      <c r="J1339">
        <f>IF($U1339="","",INDEX(상세표[사번],$U1339)&amp;"")</f>
        <v/>
      </c>
      <c r="K1339">
        <f>IF($U1339="","",INDEX(상세표[성명],$U1339)&amp;"")</f>
        <v/>
      </c>
      <c r="L1339">
        <f>IF($U1339="","",INDEX(상세표[직위],$U1339)&amp;"")</f>
        <v/>
      </c>
      <c r="M1339">
        <f>IF($U1339="","",IF(ISNUMBER(INDEX(상세표[근무일자],$U1339)),TEXT(INDEX(상세표[근무일자],$U1339),"yyyy-mm-dd"),INDEX(상세표[근무일자],$U1339)&amp;""))</f>
        <v/>
      </c>
      <c r="N1339">
        <f>IF($U1339="","",IF(ISNUMBER(INDEX(상세표[시작],$U1339)),TEXT(INDEX(상세표[시작],$U1339),"yyyy-mm-dd hh:mm"),INDEX(상세표[시작],$U1339)&amp;""))</f>
        <v/>
      </c>
      <c r="O1339">
        <f>IF($U1339="","",IF(ISNUMBER(INDEX(상세표[종료],$U1339)),TEXT(INDEX(상세표[종료],$U1339),"yyyy-mm-dd hh:mm"),INDEX(상세표[종료],$U1339)&amp;""))</f>
        <v/>
      </c>
      <c r="P1339">
        <f>IF($U1339="","",INDEX(상세표[06~07시],$U1339))</f>
        <v/>
      </c>
      <c r="Q1339">
        <f>IF($U1339="","",INDEX(상세표[07~18시],$U1339))</f>
        <v/>
      </c>
      <c r="R1339">
        <f>IF($U1339="","",INDEX(상세표[18~22시],$U1339))</f>
        <v/>
      </c>
      <c r="S1339">
        <f>IF($U1339="","",INDEX(상세표[22~06시],$U1339))</f>
        <v/>
      </c>
      <c r="T1339">
        <f>IF($U1339="","",INDEX(상세표[기록 시간외],$U1339))</f>
        <v/>
      </c>
      <c r="U1339" s="4">
        <f>IFERROR(MATCH(1334,상세표[발송순번],0),"")</f>
        <v/>
      </c>
    </row>
    <row r="1340">
      <c r="J1340">
        <f>IF($U1340="","",INDEX(상세표[사번],$U1340)&amp;"")</f>
        <v/>
      </c>
      <c r="K1340">
        <f>IF($U1340="","",INDEX(상세표[성명],$U1340)&amp;"")</f>
        <v/>
      </c>
      <c r="L1340">
        <f>IF($U1340="","",INDEX(상세표[직위],$U1340)&amp;"")</f>
        <v/>
      </c>
      <c r="M1340">
        <f>IF($U1340="","",IF(ISNUMBER(INDEX(상세표[근무일자],$U1340)),TEXT(INDEX(상세표[근무일자],$U1340),"yyyy-mm-dd"),INDEX(상세표[근무일자],$U1340)&amp;""))</f>
        <v/>
      </c>
      <c r="N1340">
        <f>IF($U1340="","",IF(ISNUMBER(INDEX(상세표[시작],$U1340)),TEXT(INDEX(상세표[시작],$U1340),"yyyy-mm-dd hh:mm"),INDEX(상세표[시작],$U1340)&amp;""))</f>
        <v/>
      </c>
      <c r="O1340">
        <f>IF($U1340="","",IF(ISNUMBER(INDEX(상세표[종료],$U1340)),TEXT(INDEX(상세표[종료],$U1340),"yyyy-mm-dd hh:mm"),INDEX(상세표[종료],$U1340)&amp;""))</f>
        <v/>
      </c>
      <c r="P1340">
        <f>IF($U1340="","",INDEX(상세표[06~07시],$U1340))</f>
        <v/>
      </c>
      <c r="Q1340">
        <f>IF($U1340="","",INDEX(상세표[07~18시],$U1340))</f>
        <v/>
      </c>
      <c r="R1340">
        <f>IF($U1340="","",INDEX(상세표[18~22시],$U1340))</f>
        <v/>
      </c>
      <c r="S1340">
        <f>IF($U1340="","",INDEX(상세표[22~06시],$U1340))</f>
        <v/>
      </c>
      <c r="T1340">
        <f>IF($U1340="","",INDEX(상세표[기록 시간외],$U1340))</f>
        <v/>
      </c>
      <c r="U1340" s="4">
        <f>IFERROR(MATCH(1335,상세표[발송순번],0),"")</f>
        <v/>
      </c>
    </row>
    <row r="1341">
      <c r="J1341">
        <f>IF($U1341="","",INDEX(상세표[사번],$U1341)&amp;"")</f>
        <v/>
      </c>
      <c r="K1341">
        <f>IF($U1341="","",INDEX(상세표[성명],$U1341)&amp;"")</f>
        <v/>
      </c>
      <c r="L1341">
        <f>IF($U1341="","",INDEX(상세표[직위],$U1341)&amp;"")</f>
        <v/>
      </c>
      <c r="M1341">
        <f>IF($U1341="","",IF(ISNUMBER(INDEX(상세표[근무일자],$U1341)),TEXT(INDEX(상세표[근무일자],$U1341),"yyyy-mm-dd"),INDEX(상세표[근무일자],$U1341)&amp;""))</f>
        <v/>
      </c>
      <c r="N1341">
        <f>IF($U1341="","",IF(ISNUMBER(INDEX(상세표[시작],$U1341)),TEXT(INDEX(상세표[시작],$U1341),"yyyy-mm-dd hh:mm"),INDEX(상세표[시작],$U1341)&amp;""))</f>
        <v/>
      </c>
      <c r="O1341">
        <f>IF($U1341="","",IF(ISNUMBER(INDEX(상세표[종료],$U1341)),TEXT(INDEX(상세표[종료],$U1341),"yyyy-mm-dd hh:mm"),INDEX(상세표[종료],$U1341)&amp;""))</f>
        <v/>
      </c>
      <c r="P1341">
        <f>IF($U1341="","",INDEX(상세표[06~07시],$U1341))</f>
        <v/>
      </c>
      <c r="Q1341">
        <f>IF($U1341="","",INDEX(상세표[07~18시],$U1341))</f>
        <v/>
      </c>
      <c r="R1341">
        <f>IF($U1341="","",INDEX(상세표[18~22시],$U1341))</f>
        <v/>
      </c>
      <c r="S1341">
        <f>IF($U1341="","",INDEX(상세표[22~06시],$U1341))</f>
        <v/>
      </c>
      <c r="T1341">
        <f>IF($U1341="","",INDEX(상세표[기록 시간외],$U1341))</f>
        <v/>
      </c>
      <c r="U1341" s="4">
        <f>IFERROR(MATCH(1336,상세표[발송순번],0),"")</f>
        <v/>
      </c>
    </row>
    <row r="1342">
      <c r="J1342">
        <f>IF($U1342="","",INDEX(상세표[사번],$U1342)&amp;"")</f>
        <v/>
      </c>
      <c r="K1342">
        <f>IF($U1342="","",INDEX(상세표[성명],$U1342)&amp;"")</f>
        <v/>
      </c>
      <c r="L1342">
        <f>IF($U1342="","",INDEX(상세표[직위],$U1342)&amp;"")</f>
        <v/>
      </c>
      <c r="M1342">
        <f>IF($U1342="","",IF(ISNUMBER(INDEX(상세표[근무일자],$U1342)),TEXT(INDEX(상세표[근무일자],$U1342),"yyyy-mm-dd"),INDEX(상세표[근무일자],$U1342)&amp;""))</f>
        <v/>
      </c>
      <c r="N1342">
        <f>IF($U1342="","",IF(ISNUMBER(INDEX(상세표[시작],$U1342)),TEXT(INDEX(상세표[시작],$U1342),"yyyy-mm-dd hh:mm"),INDEX(상세표[시작],$U1342)&amp;""))</f>
        <v/>
      </c>
      <c r="O1342">
        <f>IF($U1342="","",IF(ISNUMBER(INDEX(상세표[종료],$U1342)),TEXT(INDEX(상세표[종료],$U1342),"yyyy-mm-dd hh:mm"),INDEX(상세표[종료],$U1342)&amp;""))</f>
        <v/>
      </c>
      <c r="P1342">
        <f>IF($U1342="","",INDEX(상세표[06~07시],$U1342))</f>
        <v/>
      </c>
      <c r="Q1342">
        <f>IF($U1342="","",INDEX(상세표[07~18시],$U1342))</f>
        <v/>
      </c>
      <c r="R1342">
        <f>IF($U1342="","",INDEX(상세표[18~22시],$U1342))</f>
        <v/>
      </c>
      <c r="S1342">
        <f>IF($U1342="","",INDEX(상세표[22~06시],$U1342))</f>
        <v/>
      </c>
      <c r="T1342">
        <f>IF($U1342="","",INDEX(상세표[기록 시간외],$U1342))</f>
        <v/>
      </c>
      <c r="U1342" s="4">
        <f>IFERROR(MATCH(1337,상세표[발송순번],0),"")</f>
        <v/>
      </c>
    </row>
    <row r="1343">
      <c r="J1343">
        <f>IF($U1343="","",INDEX(상세표[사번],$U1343)&amp;"")</f>
        <v/>
      </c>
      <c r="K1343">
        <f>IF($U1343="","",INDEX(상세표[성명],$U1343)&amp;"")</f>
        <v/>
      </c>
      <c r="L1343">
        <f>IF($U1343="","",INDEX(상세표[직위],$U1343)&amp;"")</f>
        <v/>
      </c>
      <c r="M1343">
        <f>IF($U1343="","",IF(ISNUMBER(INDEX(상세표[근무일자],$U1343)),TEXT(INDEX(상세표[근무일자],$U1343),"yyyy-mm-dd"),INDEX(상세표[근무일자],$U1343)&amp;""))</f>
        <v/>
      </c>
      <c r="N1343">
        <f>IF($U1343="","",IF(ISNUMBER(INDEX(상세표[시작],$U1343)),TEXT(INDEX(상세표[시작],$U1343),"yyyy-mm-dd hh:mm"),INDEX(상세표[시작],$U1343)&amp;""))</f>
        <v/>
      </c>
      <c r="O1343">
        <f>IF($U1343="","",IF(ISNUMBER(INDEX(상세표[종료],$U1343)),TEXT(INDEX(상세표[종료],$U1343),"yyyy-mm-dd hh:mm"),INDEX(상세표[종료],$U1343)&amp;""))</f>
        <v/>
      </c>
      <c r="P1343">
        <f>IF($U1343="","",INDEX(상세표[06~07시],$U1343))</f>
        <v/>
      </c>
      <c r="Q1343">
        <f>IF($U1343="","",INDEX(상세표[07~18시],$U1343))</f>
        <v/>
      </c>
      <c r="R1343">
        <f>IF($U1343="","",INDEX(상세표[18~22시],$U1343))</f>
        <v/>
      </c>
      <c r="S1343">
        <f>IF($U1343="","",INDEX(상세표[22~06시],$U1343))</f>
        <v/>
      </c>
      <c r="T1343">
        <f>IF($U1343="","",INDEX(상세표[기록 시간외],$U1343))</f>
        <v/>
      </c>
      <c r="U1343" s="4">
        <f>IFERROR(MATCH(1338,상세표[발송순번],0),"")</f>
        <v/>
      </c>
    </row>
    <row r="1344">
      <c r="J1344">
        <f>IF($U1344="","",INDEX(상세표[사번],$U1344)&amp;"")</f>
        <v/>
      </c>
      <c r="K1344">
        <f>IF($U1344="","",INDEX(상세표[성명],$U1344)&amp;"")</f>
        <v/>
      </c>
      <c r="L1344">
        <f>IF($U1344="","",INDEX(상세표[직위],$U1344)&amp;"")</f>
        <v/>
      </c>
      <c r="M1344">
        <f>IF($U1344="","",IF(ISNUMBER(INDEX(상세표[근무일자],$U1344)),TEXT(INDEX(상세표[근무일자],$U1344),"yyyy-mm-dd"),INDEX(상세표[근무일자],$U1344)&amp;""))</f>
        <v/>
      </c>
      <c r="N1344">
        <f>IF($U1344="","",IF(ISNUMBER(INDEX(상세표[시작],$U1344)),TEXT(INDEX(상세표[시작],$U1344),"yyyy-mm-dd hh:mm"),INDEX(상세표[시작],$U1344)&amp;""))</f>
        <v/>
      </c>
      <c r="O1344">
        <f>IF($U1344="","",IF(ISNUMBER(INDEX(상세표[종료],$U1344)),TEXT(INDEX(상세표[종료],$U1344),"yyyy-mm-dd hh:mm"),INDEX(상세표[종료],$U1344)&amp;""))</f>
        <v/>
      </c>
      <c r="P1344">
        <f>IF($U1344="","",INDEX(상세표[06~07시],$U1344))</f>
        <v/>
      </c>
      <c r="Q1344">
        <f>IF($U1344="","",INDEX(상세표[07~18시],$U1344))</f>
        <v/>
      </c>
      <c r="R1344">
        <f>IF($U1344="","",INDEX(상세표[18~22시],$U1344))</f>
        <v/>
      </c>
      <c r="S1344">
        <f>IF($U1344="","",INDEX(상세표[22~06시],$U1344))</f>
        <v/>
      </c>
      <c r="T1344">
        <f>IF($U1344="","",INDEX(상세표[기록 시간외],$U1344))</f>
        <v/>
      </c>
      <c r="U1344" s="4">
        <f>IFERROR(MATCH(1339,상세표[발송순번],0),"")</f>
        <v/>
      </c>
    </row>
    <row r="1345">
      <c r="J1345">
        <f>IF($U1345="","",INDEX(상세표[사번],$U1345)&amp;"")</f>
        <v/>
      </c>
      <c r="K1345">
        <f>IF($U1345="","",INDEX(상세표[성명],$U1345)&amp;"")</f>
        <v/>
      </c>
      <c r="L1345">
        <f>IF($U1345="","",INDEX(상세표[직위],$U1345)&amp;"")</f>
        <v/>
      </c>
      <c r="M1345">
        <f>IF($U1345="","",IF(ISNUMBER(INDEX(상세표[근무일자],$U1345)),TEXT(INDEX(상세표[근무일자],$U1345),"yyyy-mm-dd"),INDEX(상세표[근무일자],$U1345)&amp;""))</f>
        <v/>
      </c>
      <c r="N1345">
        <f>IF($U1345="","",IF(ISNUMBER(INDEX(상세표[시작],$U1345)),TEXT(INDEX(상세표[시작],$U1345),"yyyy-mm-dd hh:mm"),INDEX(상세표[시작],$U1345)&amp;""))</f>
        <v/>
      </c>
      <c r="O1345">
        <f>IF($U1345="","",IF(ISNUMBER(INDEX(상세표[종료],$U1345)),TEXT(INDEX(상세표[종료],$U1345),"yyyy-mm-dd hh:mm"),INDEX(상세표[종료],$U1345)&amp;""))</f>
        <v/>
      </c>
      <c r="P1345">
        <f>IF($U1345="","",INDEX(상세표[06~07시],$U1345))</f>
        <v/>
      </c>
      <c r="Q1345">
        <f>IF($U1345="","",INDEX(상세표[07~18시],$U1345))</f>
        <v/>
      </c>
      <c r="R1345">
        <f>IF($U1345="","",INDEX(상세표[18~22시],$U1345))</f>
        <v/>
      </c>
      <c r="S1345">
        <f>IF($U1345="","",INDEX(상세표[22~06시],$U1345))</f>
        <v/>
      </c>
      <c r="T1345">
        <f>IF($U1345="","",INDEX(상세표[기록 시간외],$U1345))</f>
        <v/>
      </c>
      <c r="U1345" s="4">
        <f>IFERROR(MATCH(1340,상세표[발송순번],0),"")</f>
        <v/>
      </c>
    </row>
    <row r="1346">
      <c r="J1346">
        <f>IF($U1346="","",INDEX(상세표[사번],$U1346)&amp;"")</f>
        <v/>
      </c>
      <c r="K1346">
        <f>IF($U1346="","",INDEX(상세표[성명],$U1346)&amp;"")</f>
        <v/>
      </c>
      <c r="L1346">
        <f>IF($U1346="","",INDEX(상세표[직위],$U1346)&amp;"")</f>
        <v/>
      </c>
      <c r="M1346">
        <f>IF($U1346="","",IF(ISNUMBER(INDEX(상세표[근무일자],$U1346)),TEXT(INDEX(상세표[근무일자],$U1346),"yyyy-mm-dd"),INDEX(상세표[근무일자],$U1346)&amp;""))</f>
        <v/>
      </c>
      <c r="N1346">
        <f>IF($U1346="","",IF(ISNUMBER(INDEX(상세표[시작],$U1346)),TEXT(INDEX(상세표[시작],$U1346),"yyyy-mm-dd hh:mm"),INDEX(상세표[시작],$U1346)&amp;""))</f>
        <v/>
      </c>
      <c r="O1346">
        <f>IF($U1346="","",IF(ISNUMBER(INDEX(상세표[종료],$U1346)),TEXT(INDEX(상세표[종료],$U1346),"yyyy-mm-dd hh:mm"),INDEX(상세표[종료],$U1346)&amp;""))</f>
        <v/>
      </c>
      <c r="P1346">
        <f>IF($U1346="","",INDEX(상세표[06~07시],$U1346))</f>
        <v/>
      </c>
      <c r="Q1346">
        <f>IF($U1346="","",INDEX(상세표[07~18시],$U1346))</f>
        <v/>
      </c>
      <c r="R1346">
        <f>IF($U1346="","",INDEX(상세표[18~22시],$U1346))</f>
        <v/>
      </c>
      <c r="S1346">
        <f>IF($U1346="","",INDEX(상세표[22~06시],$U1346))</f>
        <v/>
      </c>
      <c r="T1346">
        <f>IF($U1346="","",INDEX(상세표[기록 시간외],$U1346))</f>
        <v/>
      </c>
      <c r="U1346" s="4">
        <f>IFERROR(MATCH(1341,상세표[발송순번],0),"")</f>
        <v/>
      </c>
    </row>
    <row r="1347">
      <c r="J1347">
        <f>IF($U1347="","",INDEX(상세표[사번],$U1347)&amp;"")</f>
        <v/>
      </c>
      <c r="K1347">
        <f>IF($U1347="","",INDEX(상세표[성명],$U1347)&amp;"")</f>
        <v/>
      </c>
      <c r="L1347">
        <f>IF($U1347="","",INDEX(상세표[직위],$U1347)&amp;"")</f>
        <v/>
      </c>
      <c r="M1347">
        <f>IF($U1347="","",IF(ISNUMBER(INDEX(상세표[근무일자],$U1347)),TEXT(INDEX(상세표[근무일자],$U1347),"yyyy-mm-dd"),INDEX(상세표[근무일자],$U1347)&amp;""))</f>
        <v/>
      </c>
      <c r="N1347">
        <f>IF($U1347="","",IF(ISNUMBER(INDEX(상세표[시작],$U1347)),TEXT(INDEX(상세표[시작],$U1347),"yyyy-mm-dd hh:mm"),INDEX(상세표[시작],$U1347)&amp;""))</f>
        <v/>
      </c>
      <c r="O1347">
        <f>IF($U1347="","",IF(ISNUMBER(INDEX(상세표[종료],$U1347)),TEXT(INDEX(상세표[종료],$U1347),"yyyy-mm-dd hh:mm"),INDEX(상세표[종료],$U1347)&amp;""))</f>
        <v/>
      </c>
      <c r="P1347">
        <f>IF($U1347="","",INDEX(상세표[06~07시],$U1347))</f>
        <v/>
      </c>
      <c r="Q1347">
        <f>IF($U1347="","",INDEX(상세표[07~18시],$U1347))</f>
        <v/>
      </c>
      <c r="R1347">
        <f>IF($U1347="","",INDEX(상세표[18~22시],$U1347))</f>
        <v/>
      </c>
      <c r="S1347">
        <f>IF($U1347="","",INDEX(상세표[22~06시],$U1347))</f>
        <v/>
      </c>
      <c r="T1347">
        <f>IF($U1347="","",INDEX(상세표[기록 시간외],$U1347))</f>
        <v/>
      </c>
      <c r="U1347" s="4">
        <f>IFERROR(MATCH(1342,상세표[발송순번],0),"")</f>
        <v/>
      </c>
    </row>
    <row r="1348">
      <c r="J1348">
        <f>IF($U1348="","",INDEX(상세표[사번],$U1348)&amp;"")</f>
        <v/>
      </c>
      <c r="K1348">
        <f>IF($U1348="","",INDEX(상세표[성명],$U1348)&amp;"")</f>
        <v/>
      </c>
      <c r="L1348">
        <f>IF($U1348="","",INDEX(상세표[직위],$U1348)&amp;"")</f>
        <v/>
      </c>
      <c r="M1348">
        <f>IF($U1348="","",IF(ISNUMBER(INDEX(상세표[근무일자],$U1348)),TEXT(INDEX(상세표[근무일자],$U1348),"yyyy-mm-dd"),INDEX(상세표[근무일자],$U1348)&amp;""))</f>
        <v/>
      </c>
      <c r="N1348">
        <f>IF($U1348="","",IF(ISNUMBER(INDEX(상세표[시작],$U1348)),TEXT(INDEX(상세표[시작],$U1348),"yyyy-mm-dd hh:mm"),INDEX(상세표[시작],$U1348)&amp;""))</f>
        <v/>
      </c>
      <c r="O1348">
        <f>IF($U1348="","",IF(ISNUMBER(INDEX(상세표[종료],$U1348)),TEXT(INDEX(상세표[종료],$U1348),"yyyy-mm-dd hh:mm"),INDEX(상세표[종료],$U1348)&amp;""))</f>
        <v/>
      </c>
      <c r="P1348">
        <f>IF($U1348="","",INDEX(상세표[06~07시],$U1348))</f>
        <v/>
      </c>
      <c r="Q1348">
        <f>IF($U1348="","",INDEX(상세표[07~18시],$U1348))</f>
        <v/>
      </c>
      <c r="R1348">
        <f>IF($U1348="","",INDEX(상세표[18~22시],$U1348))</f>
        <v/>
      </c>
      <c r="S1348">
        <f>IF($U1348="","",INDEX(상세표[22~06시],$U1348))</f>
        <v/>
      </c>
      <c r="T1348">
        <f>IF($U1348="","",INDEX(상세표[기록 시간외],$U1348))</f>
        <v/>
      </c>
      <c r="U1348" s="4">
        <f>IFERROR(MATCH(1343,상세표[발송순번],0),"")</f>
        <v/>
      </c>
    </row>
    <row r="1349">
      <c r="J1349">
        <f>IF($U1349="","",INDEX(상세표[사번],$U1349)&amp;"")</f>
        <v/>
      </c>
      <c r="K1349">
        <f>IF($U1349="","",INDEX(상세표[성명],$U1349)&amp;"")</f>
        <v/>
      </c>
      <c r="L1349">
        <f>IF($U1349="","",INDEX(상세표[직위],$U1349)&amp;"")</f>
        <v/>
      </c>
      <c r="M1349">
        <f>IF($U1349="","",IF(ISNUMBER(INDEX(상세표[근무일자],$U1349)),TEXT(INDEX(상세표[근무일자],$U1349),"yyyy-mm-dd"),INDEX(상세표[근무일자],$U1349)&amp;""))</f>
        <v/>
      </c>
      <c r="N1349">
        <f>IF($U1349="","",IF(ISNUMBER(INDEX(상세표[시작],$U1349)),TEXT(INDEX(상세표[시작],$U1349),"yyyy-mm-dd hh:mm"),INDEX(상세표[시작],$U1349)&amp;""))</f>
        <v/>
      </c>
      <c r="O1349">
        <f>IF($U1349="","",IF(ISNUMBER(INDEX(상세표[종료],$U1349)),TEXT(INDEX(상세표[종료],$U1349),"yyyy-mm-dd hh:mm"),INDEX(상세표[종료],$U1349)&amp;""))</f>
        <v/>
      </c>
      <c r="P1349">
        <f>IF($U1349="","",INDEX(상세표[06~07시],$U1349))</f>
        <v/>
      </c>
      <c r="Q1349">
        <f>IF($U1349="","",INDEX(상세표[07~18시],$U1349))</f>
        <v/>
      </c>
      <c r="R1349">
        <f>IF($U1349="","",INDEX(상세표[18~22시],$U1349))</f>
        <v/>
      </c>
      <c r="S1349">
        <f>IF($U1349="","",INDEX(상세표[22~06시],$U1349))</f>
        <v/>
      </c>
      <c r="T1349">
        <f>IF($U1349="","",INDEX(상세표[기록 시간외],$U1349))</f>
        <v/>
      </c>
      <c r="U1349" s="4">
        <f>IFERROR(MATCH(1344,상세표[발송순번],0),"")</f>
        <v/>
      </c>
    </row>
    <row r="1350">
      <c r="J1350">
        <f>IF($U1350="","",INDEX(상세표[사번],$U1350)&amp;"")</f>
        <v/>
      </c>
      <c r="K1350">
        <f>IF($U1350="","",INDEX(상세표[성명],$U1350)&amp;"")</f>
        <v/>
      </c>
      <c r="L1350">
        <f>IF($U1350="","",INDEX(상세표[직위],$U1350)&amp;"")</f>
        <v/>
      </c>
      <c r="M1350">
        <f>IF($U1350="","",IF(ISNUMBER(INDEX(상세표[근무일자],$U1350)),TEXT(INDEX(상세표[근무일자],$U1350),"yyyy-mm-dd"),INDEX(상세표[근무일자],$U1350)&amp;""))</f>
        <v/>
      </c>
      <c r="N1350">
        <f>IF($U1350="","",IF(ISNUMBER(INDEX(상세표[시작],$U1350)),TEXT(INDEX(상세표[시작],$U1350),"yyyy-mm-dd hh:mm"),INDEX(상세표[시작],$U1350)&amp;""))</f>
        <v/>
      </c>
      <c r="O1350">
        <f>IF($U1350="","",IF(ISNUMBER(INDEX(상세표[종료],$U1350)),TEXT(INDEX(상세표[종료],$U1350),"yyyy-mm-dd hh:mm"),INDEX(상세표[종료],$U1350)&amp;""))</f>
        <v/>
      </c>
      <c r="P1350">
        <f>IF($U1350="","",INDEX(상세표[06~07시],$U1350))</f>
        <v/>
      </c>
      <c r="Q1350">
        <f>IF($U1350="","",INDEX(상세표[07~18시],$U1350))</f>
        <v/>
      </c>
      <c r="R1350">
        <f>IF($U1350="","",INDEX(상세표[18~22시],$U1350))</f>
        <v/>
      </c>
      <c r="S1350">
        <f>IF($U1350="","",INDEX(상세표[22~06시],$U1350))</f>
        <v/>
      </c>
      <c r="T1350">
        <f>IF($U1350="","",INDEX(상세표[기록 시간외],$U1350))</f>
        <v/>
      </c>
      <c r="U1350" s="4">
        <f>IFERROR(MATCH(1345,상세표[발송순번],0),"")</f>
        <v/>
      </c>
    </row>
    <row r="1351">
      <c r="J1351">
        <f>IF($U1351="","",INDEX(상세표[사번],$U1351)&amp;"")</f>
        <v/>
      </c>
      <c r="K1351">
        <f>IF($U1351="","",INDEX(상세표[성명],$U1351)&amp;"")</f>
        <v/>
      </c>
      <c r="L1351">
        <f>IF($U1351="","",INDEX(상세표[직위],$U1351)&amp;"")</f>
        <v/>
      </c>
      <c r="M1351">
        <f>IF($U1351="","",IF(ISNUMBER(INDEX(상세표[근무일자],$U1351)),TEXT(INDEX(상세표[근무일자],$U1351),"yyyy-mm-dd"),INDEX(상세표[근무일자],$U1351)&amp;""))</f>
        <v/>
      </c>
      <c r="N1351">
        <f>IF($U1351="","",IF(ISNUMBER(INDEX(상세표[시작],$U1351)),TEXT(INDEX(상세표[시작],$U1351),"yyyy-mm-dd hh:mm"),INDEX(상세표[시작],$U1351)&amp;""))</f>
        <v/>
      </c>
      <c r="O1351">
        <f>IF($U1351="","",IF(ISNUMBER(INDEX(상세표[종료],$U1351)),TEXT(INDEX(상세표[종료],$U1351),"yyyy-mm-dd hh:mm"),INDEX(상세표[종료],$U1351)&amp;""))</f>
        <v/>
      </c>
      <c r="P1351">
        <f>IF($U1351="","",INDEX(상세표[06~07시],$U1351))</f>
        <v/>
      </c>
      <c r="Q1351">
        <f>IF($U1351="","",INDEX(상세표[07~18시],$U1351))</f>
        <v/>
      </c>
      <c r="R1351">
        <f>IF($U1351="","",INDEX(상세표[18~22시],$U1351))</f>
        <v/>
      </c>
      <c r="S1351">
        <f>IF($U1351="","",INDEX(상세표[22~06시],$U1351))</f>
        <v/>
      </c>
      <c r="T1351">
        <f>IF($U1351="","",INDEX(상세표[기록 시간외],$U1351))</f>
        <v/>
      </c>
      <c r="U1351" s="4">
        <f>IFERROR(MATCH(1346,상세표[발송순번],0),"")</f>
        <v/>
      </c>
    </row>
    <row r="1352">
      <c r="J1352">
        <f>IF($U1352="","",INDEX(상세표[사번],$U1352)&amp;"")</f>
        <v/>
      </c>
      <c r="K1352">
        <f>IF($U1352="","",INDEX(상세표[성명],$U1352)&amp;"")</f>
        <v/>
      </c>
      <c r="L1352">
        <f>IF($U1352="","",INDEX(상세표[직위],$U1352)&amp;"")</f>
        <v/>
      </c>
      <c r="M1352">
        <f>IF($U1352="","",IF(ISNUMBER(INDEX(상세표[근무일자],$U1352)),TEXT(INDEX(상세표[근무일자],$U1352),"yyyy-mm-dd"),INDEX(상세표[근무일자],$U1352)&amp;""))</f>
        <v/>
      </c>
      <c r="N1352">
        <f>IF($U1352="","",IF(ISNUMBER(INDEX(상세표[시작],$U1352)),TEXT(INDEX(상세표[시작],$U1352),"yyyy-mm-dd hh:mm"),INDEX(상세표[시작],$U1352)&amp;""))</f>
        <v/>
      </c>
      <c r="O1352">
        <f>IF($U1352="","",IF(ISNUMBER(INDEX(상세표[종료],$U1352)),TEXT(INDEX(상세표[종료],$U1352),"yyyy-mm-dd hh:mm"),INDEX(상세표[종료],$U1352)&amp;""))</f>
        <v/>
      </c>
      <c r="P1352">
        <f>IF($U1352="","",INDEX(상세표[06~07시],$U1352))</f>
        <v/>
      </c>
      <c r="Q1352">
        <f>IF($U1352="","",INDEX(상세표[07~18시],$U1352))</f>
        <v/>
      </c>
      <c r="R1352">
        <f>IF($U1352="","",INDEX(상세표[18~22시],$U1352))</f>
        <v/>
      </c>
      <c r="S1352">
        <f>IF($U1352="","",INDEX(상세표[22~06시],$U1352))</f>
        <v/>
      </c>
      <c r="T1352">
        <f>IF($U1352="","",INDEX(상세표[기록 시간외],$U1352))</f>
        <v/>
      </c>
      <c r="U1352" s="4">
        <f>IFERROR(MATCH(1347,상세표[발송순번],0),"")</f>
        <v/>
      </c>
    </row>
    <row r="1353">
      <c r="J1353">
        <f>IF($U1353="","",INDEX(상세표[사번],$U1353)&amp;"")</f>
        <v/>
      </c>
      <c r="K1353">
        <f>IF($U1353="","",INDEX(상세표[성명],$U1353)&amp;"")</f>
        <v/>
      </c>
      <c r="L1353">
        <f>IF($U1353="","",INDEX(상세표[직위],$U1353)&amp;"")</f>
        <v/>
      </c>
      <c r="M1353">
        <f>IF($U1353="","",IF(ISNUMBER(INDEX(상세표[근무일자],$U1353)),TEXT(INDEX(상세표[근무일자],$U1353),"yyyy-mm-dd"),INDEX(상세표[근무일자],$U1353)&amp;""))</f>
        <v/>
      </c>
      <c r="N1353">
        <f>IF($U1353="","",IF(ISNUMBER(INDEX(상세표[시작],$U1353)),TEXT(INDEX(상세표[시작],$U1353),"yyyy-mm-dd hh:mm"),INDEX(상세표[시작],$U1353)&amp;""))</f>
        <v/>
      </c>
      <c r="O1353">
        <f>IF($U1353="","",IF(ISNUMBER(INDEX(상세표[종료],$U1353)),TEXT(INDEX(상세표[종료],$U1353),"yyyy-mm-dd hh:mm"),INDEX(상세표[종료],$U1353)&amp;""))</f>
        <v/>
      </c>
      <c r="P1353">
        <f>IF($U1353="","",INDEX(상세표[06~07시],$U1353))</f>
        <v/>
      </c>
      <c r="Q1353">
        <f>IF($U1353="","",INDEX(상세표[07~18시],$U1353))</f>
        <v/>
      </c>
      <c r="R1353">
        <f>IF($U1353="","",INDEX(상세표[18~22시],$U1353))</f>
        <v/>
      </c>
      <c r="S1353">
        <f>IF($U1353="","",INDEX(상세표[22~06시],$U1353))</f>
        <v/>
      </c>
      <c r="T1353">
        <f>IF($U1353="","",INDEX(상세표[기록 시간외],$U1353))</f>
        <v/>
      </c>
      <c r="U1353" s="4">
        <f>IFERROR(MATCH(1348,상세표[발송순번],0),"")</f>
        <v/>
      </c>
    </row>
    <row r="1354">
      <c r="J1354">
        <f>IF($U1354="","",INDEX(상세표[사번],$U1354)&amp;"")</f>
        <v/>
      </c>
      <c r="K1354">
        <f>IF($U1354="","",INDEX(상세표[성명],$U1354)&amp;"")</f>
        <v/>
      </c>
      <c r="L1354">
        <f>IF($U1354="","",INDEX(상세표[직위],$U1354)&amp;"")</f>
        <v/>
      </c>
      <c r="M1354">
        <f>IF($U1354="","",IF(ISNUMBER(INDEX(상세표[근무일자],$U1354)),TEXT(INDEX(상세표[근무일자],$U1354),"yyyy-mm-dd"),INDEX(상세표[근무일자],$U1354)&amp;""))</f>
        <v/>
      </c>
      <c r="N1354">
        <f>IF($U1354="","",IF(ISNUMBER(INDEX(상세표[시작],$U1354)),TEXT(INDEX(상세표[시작],$U1354),"yyyy-mm-dd hh:mm"),INDEX(상세표[시작],$U1354)&amp;""))</f>
        <v/>
      </c>
      <c r="O1354">
        <f>IF($U1354="","",IF(ISNUMBER(INDEX(상세표[종료],$U1354)),TEXT(INDEX(상세표[종료],$U1354),"yyyy-mm-dd hh:mm"),INDEX(상세표[종료],$U1354)&amp;""))</f>
        <v/>
      </c>
      <c r="P1354">
        <f>IF($U1354="","",INDEX(상세표[06~07시],$U1354))</f>
        <v/>
      </c>
      <c r="Q1354">
        <f>IF($U1354="","",INDEX(상세표[07~18시],$U1354))</f>
        <v/>
      </c>
      <c r="R1354">
        <f>IF($U1354="","",INDEX(상세표[18~22시],$U1354))</f>
        <v/>
      </c>
      <c r="S1354">
        <f>IF($U1354="","",INDEX(상세표[22~06시],$U1354))</f>
        <v/>
      </c>
      <c r="T1354">
        <f>IF($U1354="","",INDEX(상세표[기록 시간외],$U1354))</f>
        <v/>
      </c>
      <c r="U1354" s="4">
        <f>IFERROR(MATCH(1349,상세표[발송순번],0),"")</f>
        <v/>
      </c>
    </row>
    <row r="1355">
      <c r="J1355">
        <f>IF($U1355="","",INDEX(상세표[사번],$U1355)&amp;"")</f>
        <v/>
      </c>
      <c r="K1355">
        <f>IF($U1355="","",INDEX(상세표[성명],$U1355)&amp;"")</f>
        <v/>
      </c>
      <c r="L1355">
        <f>IF($U1355="","",INDEX(상세표[직위],$U1355)&amp;"")</f>
        <v/>
      </c>
      <c r="M1355">
        <f>IF($U1355="","",IF(ISNUMBER(INDEX(상세표[근무일자],$U1355)),TEXT(INDEX(상세표[근무일자],$U1355),"yyyy-mm-dd"),INDEX(상세표[근무일자],$U1355)&amp;""))</f>
        <v/>
      </c>
      <c r="N1355">
        <f>IF($U1355="","",IF(ISNUMBER(INDEX(상세표[시작],$U1355)),TEXT(INDEX(상세표[시작],$U1355),"yyyy-mm-dd hh:mm"),INDEX(상세표[시작],$U1355)&amp;""))</f>
        <v/>
      </c>
      <c r="O1355">
        <f>IF($U1355="","",IF(ISNUMBER(INDEX(상세표[종료],$U1355)),TEXT(INDEX(상세표[종료],$U1355),"yyyy-mm-dd hh:mm"),INDEX(상세표[종료],$U1355)&amp;""))</f>
        <v/>
      </c>
      <c r="P1355">
        <f>IF($U1355="","",INDEX(상세표[06~07시],$U1355))</f>
        <v/>
      </c>
      <c r="Q1355">
        <f>IF($U1355="","",INDEX(상세표[07~18시],$U1355))</f>
        <v/>
      </c>
      <c r="R1355">
        <f>IF($U1355="","",INDEX(상세표[18~22시],$U1355))</f>
        <v/>
      </c>
      <c r="S1355">
        <f>IF($U1355="","",INDEX(상세표[22~06시],$U1355))</f>
        <v/>
      </c>
      <c r="T1355">
        <f>IF($U1355="","",INDEX(상세표[기록 시간외],$U1355))</f>
        <v/>
      </c>
      <c r="U1355" s="4">
        <f>IFERROR(MATCH(1350,상세표[발송순번],0),"")</f>
        <v/>
      </c>
    </row>
    <row r="1356">
      <c r="J1356">
        <f>IF($U1356="","",INDEX(상세표[사번],$U1356)&amp;"")</f>
        <v/>
      </c>
      <c r="K1356">
        <f>IF($U1356="","",INDEX(상세표[성명],$U1356)&amp;"")</f>
        <v/>
      </c>
      <c r="L1356">
        <f>IF($U1356="","",INDEX(상세표[직위],$U1356)&amp;"")</f>
        <v/>
      </c>
      <c r="M1356">
        <f>IF($U1356="","",IF(ISNUMBER(INDEX(상세표[근무일자],$U1356)),TEXT(INDEX(상세표[근무일자],$U1356),"yyyy-mm-dd"),INDEX(상세표[근무일자],$U1356)&amp;""))</f>
        <v/>
      </c>
      <c r="N1356">
        <f>IF($U1356="","",IF(ISNUMBER(INDEX(상세표[시작],$U1356)),TEXT(INDEX(상세표[시작],$U1356),"yyyy-mm-dd hh:mm"),INDEX(상세표[시작],$U1356)&amp;""))</f>
        <v/>
      </c>
      <c r="O1356">
        <f>IF($U1356="","",IF(ISNUMBER(INDEX(상세표[종료],$U1356)),TEXT(INDEX(상세표[종료],$U1356),"yyyy-mm-dd hh:mm"),INDEX(상세표[종료],$U1356)&amp;""))</f>
        <v/>
      </c>
      <c r="P1356">
        <f>IF($U1356="","",INDEX(상세표[06~07시],$U1356))</f>
        <v/>
      </c>
      <c r="Q1356">
        <f>IF($U1356="","",INDEX(상세표[07~18시],$U1356))</f>
        <v/>
      </c>
      <c r="R1356">
        <f>IF($U1356="","",INDEX(상세표[18~22시],$U1356))</f>
        <v/>
      </c>
      <c r="S1356">
        <f>IF($U1356="","",INDEX(상세표[22~06시],$U1356))</f>
        <v/>
      </c>
      <c r="T1356">
        <f>IF($U1356="","",INDEX(상세표[기록 시간외],$U1356))</f>
        <v/>
      </c>
      <c r="U1356" s="4">
        <f>IFERROR(MATCH(1351,상세표[발송순번],0),"")</f>
        <v/>
      </c>
    </row>
    <row r="1357">
      <c r="J1357">
        <f>IF($U1357="","",INDEX(상세표[사번],$U1357)&amp;"")</f>
        <v/>
      </c>
      <c r="K1357">
        <f>IF($U1357="","",INDEX(상세표[성명],$U1357)&amp;"")</f>
        <v/>
      </c>
      <c r="L1357">
        <f>IF($U1357="","",INDEX(상세표[직위],$U1357)&amp;"")</f>
        <v/>
      </c>
      <c r="M1357">
        <f>IF($U1357="","",IF(ISNUMBER(INDEX(상세표[근무일자],$U1357)),TEXT(INDEX(상세표[근무일자],$U1357),"yyyy-mm-dd"),INDEX(상세표[근무일자],$U1357)&amp;""))</f>
        <v/>
      </c>
      <c r="N1357">
        <f>IF($U1357="","",IF(ISNUMBER(INDEX(상세표[시작],$U1357)),TEXT(INDEX(상세표[시작],$U1357),"yyyy-mm-dd hh:mm"),INDEX(상세표[시작],$U1357)&amp;""))</f>
        <v/>
      </c>
      <c r="O1357">
        <f>IF($U1357="","",IF(ISNUMBER(INDEX(상세표[종료],$U1357)),TEXT(INDEX(상세표[종료],$U1357),"yyyy-mm-dd hh:mm"),INDEX(상세표[종료],$U1357)&amp;""))</f>
        <v/>
      </c>
      <c r="P1357">
        <f>IF($U1357="","",INDEX(상세표[06~07시],$U1357))</f>
        <v/>
      </c>
      <c r="Q1357">
        <f>IF($U1357="","",INDEX(상세표[07~18시],$U1357))</f>
        <v/>
      </c>
      <c r="R1357">
        <f>IF($U1357="","",INDEX(상세표[18~22시],$U1357))</f>
        <v/>
      </c>
      <c r="S1357">
        <f>IF($U1357="","",INDEX(상세표[22~06시],$U1357))</f>
        <v/>
      </c>
      <c r="T1357">
        <f>IF($U1357="","",INDEX(상세표[기록 시간외],$U1357))</f>
        <v/>
      </c>
      <c r="U1357" s="4">
        <f>IFERROR(MATCH(1352,상세표[발송순번],0),"")</f>
        <v/>
      </c>
    </row>
    <row r="1358">
      <c r="J1358">
        <f>IF($U1358="","",INDEX(상세표[사번],$U1358)&amp;"")</f>
        <v/>
      </c>
      <c r="K1358">
        <f>IF($U1358="","",INDEX(상세표[성명],$U1358)&amp;"")</f>
        <v/>
      </c>
      <c r="L1358">
        <f>IF($U1358="","",INDEX(상세표[직위],$U1358)&amp;"")</f>
        <v/>
      </c>
      <c r="M1358">
        <f>IF($U1358="","",IF(ISNUMBER(INDEX(상세표[근무일자],$U1358)),TEXT(INDEX(상세표[근무일자],$U1358),"yyyy-mm-dd"),INDEX(상세표[근무일자],$U1358)&amp;""))</f>
        <v/>
      </c>
      <c r="N1358">
        <f>IF($U1358="","",IF(ISNUMBER(INDEX(상세표[시작],$U1358)),TEXT(INDEX(상세표[시작],$U1358),"yyyy-mm-dd hh:mm"),INDEX(상세표[시작],$U1358)&amp;""))</f>
        <v/>
      </c>
      <c r="O1358">
        <f>IF($U1358="","",IF(ISNUMBER(INDEX(상세표[종료],$U1358)),TEXT(INDEX(상세표[종료],$U1358),"yyyy-mm-dd hh:mm"),INDEX(상세표[종료],$U1358)&amp;""))</f>
        <v/>
      </c>
      <c r="P1358">
        <f>IF($U1358="","",INDEX(상세표[06~07시],$U1358))</f>
        <v/>
      </c>
      <c r="Q1358">
        <f>IF($U1358="","",INDEX(상세표[07~18시],$U1358))</f>
        <v/>
      </c>
      <c r="R1358">
        <f>IF($U1358="","",INDEX(상세표[18~22시],$U1358))</f>
        <v/>
      </c>
      <c r="S1358">
        <f>IF($U1358="","",INDEX(상세표[22~06시],$U1358))</f>
        <v/>
      </c>
      <c r="T1358">
        <f>IF($U1358="","",INDEX(상세표[기록 시간외],$U1358))</f>
        <v/>
      </c>
      <c r="U1358" s="4">
        <f>IFERROR(MATCH(1353,상세표[발송순번],0),"")</f>
        <v/>
      </c>
    </row>
    <row r="1359">
      <c r="J1359">
        <f>IF($U1359="","",INDEX(상세표[사번],$U1359)&amp;"")</f>
        <v/>
      </c>
      <c r="K1359">
        <f>IF($U1359="","",INDEX(상세표[성명],$U1359)&amp;"")</f>
        <v/>
      </c>
      <c r="L1359">
        <f>IF($U1359="","",INDEX(상세표[직위],$U1359)&amp;"")</f>
        <v/>
      </c>
      <c r="M1359">
        <f>IF($U1359="","",IF(ISNUMBER(INDEX(상세표[근무일자],$U1359)),TEXT(INDEX(상세표[근무일자],$U1359),"yyyy-mm-dd"),INDEX(상세표[근무일자],$U1359)&amp;""))</f>
        <v/>
      </c>
      <c r="N1359">
        <f>IF($U1359="","",IF(ISNUMBER(INDEX(상세표[시작],$U1359)),TEXT(INDEX(상세표[시작],$U1359),"yyyy-mm-dd hh:mm"),INDEX(상세표[시작],$U1359)&amp;""))</f>
        <v/>
      </c>
      <c r="O1359">
        <f>IF($U1359="","",IF(ISNUMBER(INDEX(상세표[종료],$U1359)),TEXT(INDEX(상세표[종료],$U1359),"yyyy-mm-dd hh:mm"),INDEX(상세표[종료],$U1359)&amp;""))</f>
        <v/>
      </c>
      <c r="P1359">
        <f>IF($U1359="","",INDEX(상세표[06~07시],$U1359))</f>
        <v/>
      </c>
      <c r="Q1359">
        <f>IF($U1359="","",INDEX(상세표[07~18시],$U1359))</f>
        <v/>
      </c>
      <c r="R1359">
        <f>IF($U1359="","",INDEX(상세표[18~22시],$U1359))</f>
        <v/>
      </c>
      <c r="S1359">
        <f>IF($U1359="","",INDEX(상세표[22~06시],$U1359))</f>
        <v/>
      </c>
      <c r="T1359">
        <f>IF($U1359="","",INDEX(상세표[기록 시간외],$U1359))</f>
        <v/>
      </c>
      <c r="U1359" s="4">
        <f>IFERROR(MATCH(1354,상세표[발송순번],0),"")</f>
        <v/>
      </c>
    </row>
    <row r="1360">
      <c r="J1360">
        <f>IF($U1360="","",INDEX(상세표[사번],$U1360)&amp;"")</f>
        <v/>
      </c>
      <c r="K1360">
        <f>IF($U1360="","",INDEX(상세표[성명],$U1360)&amp;"")</f>
        <v/>
      </c>
      <c r="L1360">
        <f>IF($U1360="","",INDEX(상세표[직위],$U1360)&amp;"")</f>
        <v/>
      </c>
      <c r="M1360">
        <f>IF($U1360="","",IF(ISNUMBER(INDEX(상세표[근무일자],$U1360)),TEXT(INDEX(상세표[근무일자],$U1360),"yyyy-mm-dd"),INDEX(상세표[근무일자],$U1360)&amp;""))</f>
        <v/>
      </c>
      <c r="N1360">
        <f>IF($U1360="","",IF(ISNUMBER(INDEX(상세표[시작],$U1360)),TEXT(INDEX(상세표[시작],$U1360),"yyyy-mm-dd hh:mm"),INDEX(상세표[시작],$U1360)&amp;""))</f>
        <v/>
      </c>
      <c r="O1360">
        <f>IF($U1360="","",IF(ISNUMBER(INDEX(상세표[종료],$U1360)),TEXT(INDEX(상세표[종료],$U1360),"yyyy-mm-dd hh:mm"),INDEX(상세표[종료],$U1360)&amp;""))</f>
        <v/>
      </c>
      <c r="P1360">
        <f>IF($U1360="","",INDEX(상세표[06~07시],$U1360))</f>
        <v/>
      </c>
      <c r="Q1360">
        <f>IF($U1360="","",INDEX(상세표[07~18시],$U1360))</f>
        <v/>
      </c>
      <c r="R1360">
        <f>IF($U1360="","",INDEX(상세표[18~22시],$U1360))</f>
        <v/>
      </c>
      <c r="S1360">
        <f>IF($U1360="","",INDEX(상세표[22~06시],$U1360))</f>
        <v/>
      </c>
      <c r="T1360">
        <f>IF($U1360="","",INDEX(상세표[기록 시간외],$U1360))</f>
        <v/>
      </c>
      <c r="U1360" s="4">
        <f>IFERROR(MATCH(1355,상세표[발송순번],0),"")</f>
        <v/>
      </c>
    </row>
    <row r="1361">
      <c r="J1361">
        <f>IF($U1361="","",INDEX(상세표[사번],$U1361)&amp;"")</f>
        <v/>
      </c>
      <c r="K1361">
        <f>IF($U1361="","",INDEX(상세표[성명],$U1361)&amp;"")</f>
        <v/>
      </c>
      <c r="L1361">
        <f>IF($U1361="","",INDEX(상세표[직위],$U1361)&amp;"")</f>
        <v/>
      </c>
      <c r="M1361">
        <f>IF($U1361="","",IF(ISNUMBER(INDEX(상세표[근무일자],$U1361)),TEXT(INDEX(상세표[근무일자],$U1361),"yyyy-mm-dd"),INDEX(상세표[근무일자],$U1361)&amp;""))</f>
        <v/>
      </c>
      <c r="N1361">
        <f>IF($U1361="","",IF(ISNUMBER(INDEX(상세표[시작],$U1361)),TEXT(INDEX(상세표[시작],$U1361),"yyyy-mm-dd hh:mm"),INDEX(상세표[시작],$U1361)&amp;""))</f>
        <v/>
      </c>
      <c r="O1361">
        <f>IF($U1361="","",IF(ISNUMBER(INDEX(상세표[종료],$U1361)),TEXT(INDEX(상세표[종료],$U1361),"yyyy-mm-dd hh:mm"),INDEX(상세표[종료],$U1361)&amp;""))</f>
        <v/>
      </c>
      <c r="P1361">
        <f>IF($U1361="","",INDEX(상세표[06~07시],$U1361))</f>
        <v/>
      </c>
      <c r="Q1361">
        <f>IF($U1361="","",INDEX(상세표[07~18시],$U1361))</f>
        <v/>
      </c>
      <c r="R1361">
        <f>IF($U1361="","",INDEX(상세표[18~22시],$U1361))</f>
        <v/>
      </c>
      <c r="S1361">
        <f>IF($U1361="","",INDEX(상세표[22~06시],$U1361))</f>
        <v/>
      </c>
      <c r="T1361">
        <f>IF($U1361="","",INDEX(상세표[기록 시간외],$U1361))</f>
        <v/>
      </c>
      <c r="U1361" s="4">
        <f>IFERROR(MATCH(1356,상세표[발송순번],0),"")</f>
        <v/>
      </c>
    </row>
    <row r="1362">
      <c r="J1362">
        <f>IF($U1362="","",INDEX(상세표[사번],$U1362)&amp;"")</f>
        <v/>
      </c>
      <c r="K1362">
        <f>IF($U1362="","",INDEX(상세표[성명],$U1362)&amp;"")</f>
        <v/>
      </c>
      <c r="L1362">
        <f>IF($U1362="","",INDEX(상세표[직위],$U1362)&amp;"")</f>
        <v/>
      </c>
      <c r="M1362">
        <f>IF($U1362="","",IF(ISNUMBER(INDEX(상세표[근무일자],$U1362)),TEXT(INDEX(상세표[근무일자],$U1362),"yyyy-mm-dd"),INDEX(상세표[근무일자],$U1362)&amp;""))</f>
        <v/>
      </c>
      <c r="N1362">
        <f>IF($U1362="","",IF(ISNUMBER(INDEX(상세표[시작],$U1362)),TEXT(INDEX(상세표[시작],$U1362),"yyyy-mm-dd hh:mm"),INDEX(상세표[시작],$U1362)&amp;""))</f>
        <v/>
      </c>
      <c r="O1362">
        <f>IF($U1362="","",IF(ISNUMBER(INDEX(상세표[종료],$U1362)),TEXT(INDEX(상세표[종료],$U1362),"yyyy-mm-dd hh:mm"),INDEX(상세표[종료],$U1362)&amp;""))</f>
        <v/>
      </c>
      <c r="P1362">
        <f>IF($U1362="","",INDEX(상세표[06~07시],$U1362))</f>
        <v/>
      </c>
      <c r="Q1362">
        <f>IF($U1362="","",INDEX(상세표[07~18시],$U1362))</f>
        <v/>
      </c>
      <c r="R1362">
        <f>IF($U1362="","",INDEX(상세표[18~22시],$U1362))</f>
        <v/>
      </c>
      <c r="S1362">
        <f>IF($U1362="","",INDEX(상세표[22~06시],$U1362))</f>
        <v/>
      </c>
      <c r="T1362">
        <f>IF($U1362="","",INDEX(상세표[기록 시간외],$U1362))</f>
        <v/>
      </c>
      <c r="U1362" s="4">
        <f>IFERROR(MATCH(1357,상세표[발송순번],0),"")</f>
        <v/>
      </c>
    </row>
    <row r="1363">
      <c r="J1363">
        <f>IF($U1363="","",INDEX(상세표[사번],$U1363)&amp;"")</f>
        <v/>
      </c>
      <c r="K1363">
        <f>IF($U1363="","",INDEX(상세표[성명],$U1363)&amp;"")</f>
        <v/>
      </c>
      <c r="L1363">
        <f>IF($U1363="","",INDEX(상세표[직위],$U1363)&amp;"")</f>
        <v/>
      </c>
      <c r="M1363">
        <f>IF($U1363="","",IF(ISNUMBER(INDEX(상세표[근무일자],$U1363)),TEXT(INDEX(상세표[근무일자],$U1363),"yyyy-mm-dd"),INDEX(상세표[근무일자],$U1363)&amp;""))</f>
        <v/>
      </c>
      <c r="N1363">
        <f>IF($U1363="","",IF(ISNUMBER(INDEX(상세표[시작],$U1363)),TEXT(INDEX(상세표[시작],$U1363),"yyyy-mm-dd hh:mm"),INDEX(상세표[시작],$U1363)&amp;""))</f>
        <v/>
      </c>
      <c r="O1363">
        <f>IF($U1363="","",IF(ISNUMBER(INDEX(상세표[종료],$U1363)),TEXT(INDEX(상세표[종료],$U1363),"yyyy-mm-dd hh:mm"),INDEX(상세표[종료],$U1363)&amp;""))</f>
        <v/>
      </c>
      <c r="P1363">
        <f>IF($U1363="","",INDEX(상세표[06~07시],$U1363))</f>
        <v/>
      </c>
      <c r="Q1363">
        <f>IF($U1363="","",INDEX(상세표[07~18시],$U1363))</f>
        <v/>
      </c>
      <c r="R1363">
        <f>IF($U1363="","",INDEX(상세표[18~22시],$U1363))</f>
        <v/>
      </c>
      <c r="S1363">
        <f>IF($U1363="","",INDEX(상세표[22~06시],$U1363))</f>
        <v/>
      </c>
      <c r="T1363">
        <f>IF($U1363="","",INDEX(상세표[기록 시간외],$U1363))</f>
        <v/>
      </c>
      <c r="U1363" s="4">
        <f>IFERROR(MATCH(1358,상세표[발송순번],0),"")</f>
        <v/>
      </c>
    </row>
    <row r="1364">
      <c r="J1364">
        <f>IF($U1364="","",INDEX(상세표[사번],$U1364)&amp;"")</f>
        <v/>
      </c>
      <c r="K1364">
        <f>IF($U1364="","",INDEX(상세표[성명],$U1364)&amp;"")</f>
        <v/>
      </c>
      <c r="L1364">
        <f>IF($U1364="","",INDEX(상세표[직위],$U1364)&amp;"")</f>
        <v/>
      </c>
      <c r="M1364">
        <f>IF($U1364="","",IF(ISNUMBER(INDEX(상세표[근무일자],$U1364)),TEXT(INDEX(상세표[근무일자],$U1364),"yyyy-mm-dd"),INDEX(상세표[근무일자],$U1364)&amp;""))</f>
        <v/>
      </c>
      <c r="N1364">
        <f>IF($U1364="","",IF(ISNUMBER(INDEX(상세표[시작],$U1364)),TEXT(INDEX(상세표[시작],$U1364),"yyyy-mm-dd hh:mm"),INDEX(상세표[시작],$U1364)&amp;""))</f>
        <v/>
      </c>
      <c r="O1364">
        <f>IF($U1364="","",IF(ISNUMBER(INDEX(상세표[종료],$U1364)),TEXT(INDEX(상세표[종료],$U1364),"yyyy-mm-dd hh:mm"),INDEX(상세표[종료],$U1364)&amp;""))</f>
        <v/>
      </c>
      <c r="P1364">
        <f>IF($U1364="","",INDEX(상세표[06~07시],$U1364))</f>
        <v/>
      </c>
      <c r="Q1364">
        <f>IF($U1364="","",INDEX(상세표[07~18시],$U1364))</f>
        <v/>
      </c>
      <c r="R1364">
        <f>IF($U1364="","",INDEX(상세표[18~22시],$U1364))</f>
        <v/>
      </c>
      <c r="S1364">
        <f>IF($U1364="","",INDEX(상세표[22~06시],$U1364))</f>
        <v/>
      </c>
      <c r="T1364">
        <f>IF($U1364="","",INDEX(상세표[기록 시간외],$U1364))</f>
        <v/>
      </c>
      <c r="U1364" s="4">
        <f>IFERROR(MATCH(1359,상세표[발송순번],0),"")</f>
        <v/>
      </c>
    </row>
    <row r="1365">
      <c r="J1365">
        <f>IF($U1365="","",INDEX(상세표[사번],$U1365)&amp;"")</f>
        <v/>
      </c>
      <c r="K1365">
        <f>IF($U1365="","",INDEX(상세표[성명],$U1365)&amp;"")</f>
        <v/>
      </c>
      <c r="L1365">
        <f>IF($U1365="","",INDEX(상세표[직위],$U1365)&amp;"")</f>
        <v/>
      </c>
      <c r="M1365">
        <f>IF($U1365="","",IF(ISNUMBER(INDEX(상세표[근무일자],$U1365)),TEXT(INDEX(상세표[근무일자],$U1365),"yyyy-mm-dd"),INDEX(상세표[근무일자],$U1365)&amp;""))</f>
        <v/>
      </c>
      <c r="N1365">
        <f>IF($U1365="","",IF(ISNUMBER(INDEX(상세표[시작],$U1365)),TEXT(INDEX(상세표[시작],$U1365),"yyyy-mm-dd hh:mm"),INDEX(상세표[시작],$U1365)&amp;""))</f>
        <v/>
      </c>
      <c r="O1365">
        <f>IF($U1365="","",IF(ISNUMBER(INDEX(상세표[종료],$U1365)),TEXT(INDEX(상세표[종료],$U1365),"yyyy-mm-dd hh:mm"),INDEX(상세표[종료],$U1365)&amp;""))</f>
        <v/>
      </c>
      <c r="P1365">
        <f>IF($U1365="","",INDEX(상세표[06~07시],$U1365))</f>
        <v/>
      </c>
      <c r="Q1365">
        <f>IF($U1365="","",INDEX(상세표[07~18시],$U1365))</f>
        <v/>
      </c>
      <c r="R1365">
        <f>IF($U1365="","",INDEX(상세표[18~22시],$U1365))</f>
        <v/>
      </c>
      <c r="S1365">
        <f>IF($U1365="","",INDEX(상세표[22~06시],$U1365))</f>
        <v/>
      </c>
      <c r="T1365">
        <f>IF($U1365="","",INDEX(상세표[기록 시간외],$U1365))</f>
        <v/>
      </c>
      <c r="U1365" s="4">
        <f>IFERROR(MATCH(1360,상세표[발송순번],0),"")</f>
        <v/>
      </c>
    </row>
    <row r="1366">
      <c r="J1366">
        <f>IF($U1366="","",INDEX(상세표[사번],$U1366)&amp;"")</f>
        <v/>
      </c>
      <c r="K1366">
        <f>IF($U1366="","",INDEX(상세표[성명],$U1366)&amp;"")</f>
        <v/>
      </c>
      <c r="L1366">
        <f>IF($U1366="","",INDEX(상세표[직위],$U1366)&amp;"")</f>
        <v/>
      </c>
      <c r="M1366">
        <f>IF($U1366="","",IF(ISNUMBER(INDEX(상세표[근무일자],$U1366)),TEXT(INDEX(상세표[근무일자],$U1366),"yyyy-mm-dd"),INDEX(상세표[근무일자],$U1366)&amp;""))</f>
        <v/>
      </c>
      <c r="N1366">
        <f>IF($U1366="","",IF(ISNUMBER(INDEX(상세표[시작],$U1366)),TEXT(INDEX(상세표[시작],$U1366),"yyyy-mm-dd hh:mm"),INDEX(상세표[시작],$U1366)&amp;""))</f>
        <v/>
      </c>
      <c r="O1366">
        <f>IF($U1366="","",IF(ISNUMBER(INDEX(상세표[종료],$U1366)),TEXT(INDEX(상세표[종료],$U1366),"yyyy-mm-dd hh:mm"),INDEX(상세표[종료],$U1366)&amp;""))</f>
        <v/>
      </c>
      <c r="P1366">
        <f>IF($U1366="","",INDEX(상세표[06~07시],$U1366))</f>
        <v/>
      </c>
      <c r="Q1366">
        <f>IF($U1366="","",INDEX(상세표[07~18시],$U1366))</f>
        <v/>
      </c>
      <c r="R1366">
        <f>IF($U1366="","",INDEX(상세표[18~22시],$U1366))</f>
        <v/>
      </c>
      <c r="S1366">
        <f>IF($U1366="","",INDEX(상세표[22~06시],$U1366))</f>
        <v/>
      </c>
      <c r="T1366">
        <f>IF($U1366="","",INDEX(상세표[기록 시간외],$U1366))</f>
        <v/>
      </c>
      <c r="U1366" s="4">
        <f>IFERROR(MATCH(1361,상세표[발송순번],0),"")</f>
        <v/>
      </c>
    </row>
    <row r="1367">
      <c r="J1367">
        <f>IF($U1367="","",INDEX(상세표[사번],$U1367)&amp;"")</f>
        <v/>
      </c>
      <c r="K1367">
        <f>IF($U1367="","",INDEX(상세표[성명],$U1367)&amp;"")</f>
        <v/>
      </c>
      <c r="L1367">
        <f>IF($U1367="","",INDEX(상세표[직위],$U1367)&amp;"")</f>
        <v/>
      </c>
      <c r="M1367">
        <f>IF($U1367="","",IF(ISNUMBER(INDEX(상세표[근무일자],$U1367)),TEXT(INDEX(상세표[근무일자],$U1367),"yyyy-mm-dd"),INDEX(상세표[근무일자],$U1367)&amp;""))</f>
        <v/>
      </c>
      <c r="N1367">
        <f>IF($U1367="","",IF(ISNUMBER(INDEX(상세표[시작],$U1367)),TEXT(INDEX(상세표[시작],$U1367),"yyyy-mm-dd hh:mm"),INDEX(상세표[시작],$U1367)&amp;""))</f>
        <v/>
      </c>
      <c r="O1367">
        <f>IF($U1367="","",IF(ISNUMBER(INDEX(상세표[종료],$U1367)),TEXT(INDEX(상세표[종료],$U1367),"yyyy-mm-dd hh:mm"),INDEX(상세표[종료],$U1367)&amp;""))</f>
        <v/>
      </c>
      <c r="P1367">
        <f>IF($U1367="","",INDEX(상세표[06~07시],$U1367))</f>
        <v/>
      </c>
      <c r="Q1367">
        <f>IF($U1367="","",INDEX(상세표[07~18시],$U1367))</f>
        <v/>
      </c>
      <c r="R1367">
        <f>IF($U1367="","",INDEX(상세표[18~22시],$U1367))</f>
        <v/>
      </c>
      <c r="S1367">
        <f>IF($U1367="","",INDEX(상세표[22~06시],$U1367))</f>
        <v/>
      </c>
      <c r="T1367">
        <f>IF($U1367="","",INDEX(상세표[기록 시간외],$U1367))</f>
        <v/>
      </c>
      <c r="U1367" s="4">
        <f>IFERROR(MATCH(1362,상세표[발송순번],0),"")</f>
        <v/>
      </c>
    </row>
    <row r="1368">
      <c r="J1368">
        <f>IF($U1368="","",INDEX(상세표[사번],$U1368)&amp;"")</f>
        <v/>
      </c>
      <c r="K1368">
        <f>IF($U1368="","",INDEX(상세표[성명],$U1368)&amp;"")</f>
        <v/>
      </c>
      <c r="L1368">
        <f>IF($U1368="","",INDEX(상세표[직위],$U1368)&amp;"")</f>
        <v/>
      </c>
      <c r="M1368">
        <f>IF($U1368="","",IF(ISNUMBER(INDEX(상세표[근무일자],$U1368)),TEXT(INDEX(상세표[근무일자],$U1368),"yyyy-mm-dd"),INDEX(상세표[근무일자],$U1368)&amp;""))</f>
        <v/>
      </c>
      <c r="N1368">
        <f>IF($U1368="","",IF(ISNUMBER(INDEX(상세표[시작],$U1368)),TEXT(INDEX(상세표[시작],$U1368),"yyyy-mm-dd hh:mm"),INDEX(상세표[시작],$U1368)&amp;""))</f>
        <v/>
      </c>
      <c r="O1368">
        <f>IF($U1368="","",IF(ISNUMBER(INDEX(상세표[종료],$U1368)),TEXT(INDEX(상세표[종료],$U1368),"yyyy-mm-dd hh:mm"),INDEX(상세표[종료],$U1368)&amp;""))</f>
        <v/>
      </c>
      <c r="P1368">
        <f>IF($U1368="","",INDEX(상세표[06~07시],$U1368))</f>
        <v/>
      </c>
      <c r="Q1368">
        <f>IF($U1368="","",INDEX(상세표[07~18시],$U1368))</f>
        <v/>
      </c>
      <c r="R1368">
        <f>IF($U1368="","",INDEX(상세표[18~22시],$U1368))</f>
        <v/>
      </c>
      <c r="S1368">
        <f>IF($U1368="","",INDEX(상세표[22~06시],$U1368))</f>
        <v/>
      </c>
      <c r="T1368">
        <f>IF($U1368="","",INDEX(상세표[기록 시간외],$U1368))</f>
        <v/>
      </c>
      <c r="U1368" s="4">
        <f>IFERROR(MATCH(1363,상세표[발송순번],0),"")</f>
        <v/>
      </c>
    </row>
    <row r="1369">
      <c r="J1369">
        <f>IF($U1369="","",INDEX(상세표[사번],$U1369)&amp;"")</f>
        <v/>
      </c>
      <c r="K1369">
        <f>IF($U1369="","",INDEX(상세표[성명],$U1369)&amp;"")</f>
        <v/>
      </c>
      <c r="L1369">
        <f>IF($U1369="","",INDEX(상세표[직위],$U1369)&amp;"")</f>
        <v/>
      </c>
      <c r="M1369">
        <f>IF($U1369="","",IF(ISNUMBER(INDEX(상세표[근무일자],$U1369)),TEXT(INDEX(상세표[근무일자],$U1369),"yyyy-mm-dd"),INDEX(상세표[근무일자],$U1369)&amp;""))</f>
        <v/>
      </c>
      <c r="N1369">
        <f>IF($U1369="","",IF(ISNUMBER(INDEX(상세표[시작],$U1369)),TEXT(INDEX(상세표[시작],$U1369),"yyyy-mm-dd hh:mm"),INDEX(상세표[시작],$U1369)&amp;""))</f>
        <v/>
      </c>
      <c r="O1369">
        <f>IF($U1369="","",IF(ISNUMBER(INDEX(상세표[종료],$U1369)),TEXT(INDEX(상세표[종료],$U1369),"yyyy-mm-dd hh:mm"),INDEX(상세표[종료],$U1369)&amp;""))</f>
        <v/>
      </c>
      <c r="P1369">
        <f>IF($U1369="","",INDEX(상세표[06~07시],$U1369))</f>
        <v/>
      </c>
      <c r="Q1369">
        <f>IF($U1369="","",INDEX(상세표[07~18시],$U1369))</f>
        <v/>
      </c>
      <c r="R1369">
        <f>IF($U1369="","",INDEX(상세표[18~22시],$U1369))</f>
        <v/>
      </c>
      <c r="S1369">
        <f>IF($U1369="","",INDEX(상세표[22~06시],$U1369))</f>
        <v/>
      </c>
      <c r="T1369">
        <f>IF($U1369="","",INDEX(상세표[기록 시간외],$U1369))</f>
        <v/>
      </c>
      <c r="U1369" s="4">
        <f>IFERROR(MATCH(1364,상세표[발송순번],0),"")</f>
        <v/>
      </c>
    </row>
    <row r="1370">
      <c r="J1370">
        <f>IF($U1370="","",INDEX(상세표[사번],$U1370)&amp;"")</f>
        <v/>
      </c>
      <c r="K1370">
        <f>IF($U1370="","",INDEX(상세표[성명],$U1370)&amp;"")</f>
        <v/>
      </c>
      <c r="L1370">
        <f>IF($U1370="","",INDEX(상세표[직위],$U1370)&amp;"")</f>
        <v/>
      </c>
      <c r="M1370">
        <f>IF($U1370="","",IF(ISNUMBER(INDEX(상세표[근무일자],$U1370)),TEXT(INDEX(상세표[근무일자],$U1370),"yyyy-mm-dd"),INDEX(상세표[근무일자],$U1370)&amp;""))</f>
        <v/>
      </c>
      <c r="N1370">
        <f>IF($U1370="","",IF(ISNUMBER(INDEX(상세표[시작],$U1370)),TEXT(INDEX(상세표[시작],$U1370),"yyyy-mm-dd hh:mm"),INDEX(상세표[시작],$U1370)&amp;""))</f>
        <v/>
      </c>
      <c r="O1370">
        <f>IF($U1370="","",IF(ISNUMBER(INDEX(상세표[종료],$U1370)),TEXT(INDEX(상세표[종료],$U1370),"yyyy-mm-dd hh:mm"),INDEX(상세표[종료],$U1370)&amp;""))</f>
        <v/>
      </c>
      <c r="P1370">
        <f>IF($U1370="","",INDEX(상세표[06~07시],$U1370))</f>
        <v/>
      </c>
      <c r="Q1370">
        <f>IF($U1370="","",INDEX(상세표[07~18시],$U1370))</f>
        <v/>
      </c>
      <c r="R1370">
        <f>IF($U1370="","",INDEX(상세표[18~22시],$U1370))</f>
        <v/>
      </c>
      <c r="S1370">
        <f>IF($U1370="","",INDEX(상세표[22~06시],$U1370))</f>
        <v/>
      </c>
      <c r="T1370">
        <f>IF($U1370="","",INDEX(상세표[기록 시간외],$U1370))</f>
        <v/>
      </c>
      <c r="U1370" s="4">
        <f>IFERROR(MATCH(1365,상세표[발송순번],0),"")</f>
        <v/>
      </c>
    </row>
    <row r="1371">
      <c r="J1371">
        <f>IF($U1371="","",INDEX(상세표[사번],$U1371)&amp;"")</f>
        <v/>
      </c>
      <c r="K1371">
        <f>IF($U1371="","",INDEX(상세표[성명],$U1371)&amp;"")</f>
        <v/>
      </c>
      <c r="L1371">
        <f>IF($U1371="","",INDEX(상세표[직위],$U1371)&amp;"")</f>
        <v/>
      </c>
      <c r="M1371">
        <f>IF($U1371="","",IF(ISNUMBER(INDEX(상세표[근무일자],$U1371)),TEXT(INDEX(상세표[근무일자],$U1371),"yyyy-mm-dd"),INDEX(상세표[근무일자],$U1371)&amp;""))</f>
        <v/>
      </c>
      <c r="N1371">
        <f>IF($U1371="","",IF(ISNUMBER(INDEX(상세표[시작],$U1371)),TEXT(INDEX(상세표[시작],$U1371),"yyyy-mm-dd hh:mm"),INDEX(상세표[시작],$U1371)&amp;""))</f>
        <v/>
      </c>
      <c r="O1371">
        <f>IF($U1371="","",IF(ISNUMBER(INDEX(상세표[종료],$U1371)),TEXT(INDEX(상세표[종료],$U1371),"yyyy-mm-dd hh:mm"),INDEX(상세표[종료],$U1371)&amp;""))</f>
        <v/>
      </c>
      <c r="P1371">
        <f>IF($U1371="","",INDEX(상세표[06~07시],$U1371))</f>
        <v/>
      </c>
      <c r="Q1371">
        <f>IF($U1371="","",INDEX(상세표[07~18시],$U1371))</f>
        <v/>
      </c>
      <c r="R1371">
        <f>IF($U1371="","",INDEX(상세표[18~22시],$U1371))</f>
        <v/>
      </c>
      <c r="S1371">
        <f>IF($U1371="","",INDEX(상세표[22~06시],$U1371))</f>
        <v/>
      </c>
      <c r="T1371">
        <f>IF($U1371="","",INDEX(상세표[기록 시간외],$U1371))</f>
        <v/>
      </c>
      <c r="U1371" s="4">
        <f>IFERROR(MATCH(1366,상세표[발송순번],0),"")</f>
        <v/>
      </c>
    </row>
    <row r="1372">
      <c r="J1372">
        <f>IF($U1372="","",INDEX(상세표[사번],$U1372)&amp;"")</f>
        <v/>
      </c>
      <c r="K1372">
        <f>IF($U1372="","",INDEX(상세표[성명],$U1372)&amp;"")</f>
        <v/>
      </c>
      <c r="L1372">
        <f>IF($U1372="","",INDEX(상세표[직위],$U1372)&amp;"")</f>
        <v/>
      </c>
      <c r="M1372">
        <f>IF($U1372="","",IF(ISNUMBER(INDEX(상세표[근무일자],$U1372)),TEXT(INDEX(상세표[근무일자],$U1372),"yyyy-mm-dd"),INDEX(상세표[근무일자],$U1372)&amp;""))</f>
        <v/>
      </c>
      <c r="N1372">
        <f>IF($U1372="","",IF(ISNUMBER(INDEX(상세표[시작],$U1372)),TEXT(INDEX(상세표[시작],$U1372),"yyyy-mm-dd hh:mm"),INDEX(상세표[시작],$U1372)&amp;""))</f>
        <v/>
      </c>
      <c r="O1372">
        <f>IF($U1372="","",IF(ISNUMBER(INDEX(상세표[종료],$U1372)),TEXT(INDEX(상세표[종료],$U1372),"yyyy-mm-dd hh:mm"),INDEX(상세표[종료],$U1372)&amp;""))</f>
        <v/>
      </c>
      <c r="P1372">
        <f>IF($U1372="","",INDEX(상세표[06~07시],$U1372))</f>
        <v/>
      </c>
      <c r="Q1372">
        <f>IF($U1372="","",INDEX(상세표[07~18시],$U1372))</f>
        <v/>
      </c>
      <c r="R1372">
        <f>IF($U1372="","",INDEX(상세표[18~22시],$U1372))</f>
        <v/>
      </c>
      <c r="S1372">
        <f>IF($U1372="","",INDEX(상세표[22~06시],$U1372))</f>
        <v/>
      </c>
      <c r="T1372">
        <f>IF($U1372="","",INDEX(상세표[기록 시간외],$U1372))</f>
        <v/>
      </c>
      <c r="U1372" s="4">
        <f>IFERROR(MATCH(1367,상세표[발송순번],0),"")</f>
        <v/>
      </c>
    </row>
    <row r="1373">
      <c r="J1373">
        <f>IF($U1373="","",INDEX(상세표[사번],$U1373)&amp;"")</f>
        <v/>
      </c>
      <c r="K1373">
        <f>IF($U1373="","",INDEX(상세표[성명],$U1373)&amp;"")</f>
        <v/>
      </c>
      <c r="L1373">
        <f>IF($U1373="","",INDEX(상세표[직위],$U1373)&amp;"")</f>
        <v/>
      </c>
      <c r="M1373">
        <f>IF($U1373="","",IF(ISNUMBER(INDEX(상세표[근무일자],$U1373)),TEXT(INDEX(상세표[근무일자],$U1373),"yyyy-mm-dd"),INDEX(상세표[근무일자],$U1373)&amp;""))</f>
        <v/>
      </c>
      <c r="N1373">
        <f>IF($U1373="","",IF(ISNUMBER(INDEX(상세표[시작],$U1373)),TEXT(INDEX(상세표[시작],$U1373),"yyyy-mm-dd hh:mm"),INDEX(상세표[시작],$U1373)&amp;""))</f>
        <v/>
      </c>
      <c r="O1373">
        <f>IF($U1373="","",IF(ISNUMBER(INDEX(상세표[종료],$U1373)),TEXT(INDEX(상세표[종료],$U1373),"yyyy-mm-dd hh:mm"),INDEX(상세표[종료],$U1373)&amp;""))</f>
        <v/>
      </c>
      <c r="P1373">
        <f>IF($U1373="","",INDEX(상세표[06~07시],$U1373))</f>
        <v/>
      </c>
      <c r="Q1373">
        <f>IF($U1373="","",INDEX(상세표[07~18시],$U1373))</f>
        <v/>
      </c>
      <c r="R1373">
        <f>IF($U1373="","",INDEX(상세표[18~22시],$U1373))</f>
        <v/>
      </c>
      <c r="S1373">
        <f>IF($U1373="","",INDEX(상세표[22~06시],$U1373))</f>
        <v/>
      </c>
      <c r="T1373">
        <f>IF($U1373="","",INDEX(상세표[기록 시간외],$U1373))</f>
        <v/>
      </c>
      <c r="U1373" s="4">
        <f>IFERROR(MATCH(1368,상세표[발송순번],0),"")</f>
        <v/>
      </c>
    </row>
    <row r="1374">
      <c r="J1374">
        <f>IF($U1374="","",INDEX(상세표[사번],$U1374)&amp;"")</f>
        <v/>
      </c>
      <c r="K1374">
        <f>IF($U1374="","",INDEX(상세표[성명],$U1374)&amp;"")</f>
        <v/>
      </c>
      <c r="L1374">
        <f>IF($U1374="","",INDEX(상세표[직위],$U1374)&amp;"")</f>
        <v/>
      </c>
      <c r="M1374">
        <f>IF($U1374="","",IF(ISNUMBER(INDEX(상세표[근무일자],$U1374)),TEXT(INDEX(상세표[근무일자],$U1374),"yyyy-mm-dd"),INDEX(상세표[근무일자],$U1374)&amp;""))</f>
        <v/>
      </c>
      <c r="N1374">
        <f>IF($U1374="","",IF(ISNUMBER(INDEX(상세표[시작],$U1374)),TEXT(INDEX(상세표[시작],$U1374),"yyyy-mm-dd hh:mm"),INDEX(상세표[시작],$U1374)&amp;""))</f>
        <v/>
      </c>
      <c r="O1374">
        <f>IF($U1374="","",IF(ISNUMBER(INDEX(상세표[종료],$U1374)),TEXT(INDEX(상세표[종료],$U1374),"yyyy-mm-dd hh:mm"),INDEX(상세표[종료],$U1374)&amp;""))</f>
        <v/>
      </c>
      <c r="P1374">
        <f>IF($U1374="","",INDEX(상세표[06~07시],$U1374))</f>
        <v/>
      </c>
      <c r="Q1374">
        <f>IF($U1374="","",INDEX(상세표[07~18시],$U1374))</f>
        <v/>
      </c>
      <c r="R1374">
        <f>IF($U1374="","",INDEX(상세표[18~22시],$U1374))</f>
        <v/>
      </c>
      <c r="S1374">
        <f>IF($U1374="","",INDEX(상세표[22~06시],$U1374))</f>
        <v/>
      </c>
      <c r="T1374">
        <f>IF($U1374="","",INDEX(상세표[기록 시간외],$U1374))</f>
        <v/>
      </c>
      <c r="U1374" s="4">
        <f>IFERROR(MATCH(1369,상세표[발송순번],0),"")</f>
        <v/>
      </c>
    </row>
    <row r="1375">
      <c r="J1375">
        <f>IF($U1375="","",INDEX(상세표[사번],$U1375)&amp;"")</f>
        <v/>
      </c>
      <c r="K1375">
        <f>IF($U1375="","",INDEX(상세표[성명],$U1375)&amp;"")</f>
        <v/>
      </c>
      <c r="L1375">
        <f>IF($U1375="","",INDEX(상세표[직위],$U1375)&amp;"")</f>
        <v/>
      </c>
      <c r="M1375">
        <f>IF($U1375="","",IF(ISNUMBER(INDEX(상세표[근무일자],$U1375)),TEXT(INDEX(상세표[근무일자],$U1375),"yyyy-mm-dd"),INDEX(상세표[근무일자],$U1375)&amp;""))</f>
        <v/>
      </c>
      <c r="N1375">
        <f>IF($U1375="","",IF(ISNUMBER(INDEX(상세표[시작],$U1375)),TEXT(INDEX(상세표[시작],$U1375),"yyyy-mm-dd hh:mm"),INDEX(상세표[시작],$U1375)&amp;""))</f>
        <v/>
      </c>
      <c r="O1375">
        <f>IF($U1375="","",IF(ISNUMBER(INDEX(상세표[종료],$U1375)),TEXT(INDEX(상세표[종료],$U1375),"yyyy-mm-dd hh:mm"),INDEX(상세표[종료],$U1375)&amp;""))</f>
        <v/>
      </c>
      <c r="P1375">
        <f>IF($U1375="","",INDEX(상세표[06~07시],$U1375))</f>
        <v/>
      </c>
      <c r="Q1375">
        <f>IF($U1375="","",INDEX(상세표[07~18시],$U1375))</f>
        <v/>
      </c>
      <c r="R1375">
        <f>IF($U1375="","",INDEX(상세표[18~22시],$U1375))</f>
        <v/>
      </c>
      <c r="S1375">
        <f>IF($U1375="","",INDEX(상세표[22~06시],$U1375))</f>
        <v/>
      </c>
      <c r="T1375">
        <f>IF($U1375="","",INDEX(상세표[기록 시간외],$U1375))</f>
        <v/>
      </c>
      <c r="U1375" s="4">
        <f>IFERROR(MATCH(1370,상세표[발송순번],0),"")</f>
        <v/>
      </c>
    </row>
    <row r="1376">
      <c r="J1376">
        <f>IF($U1376="","",INDEX(상세표[사번],$U1376)&amp;"")</f>
        <v/>
      </c>
      <c r="K1376">
        <f>IF($U1376="","",INDEX(상세표[성명],$U1376)&amp;"")</f>
        <v/>
      </c>
      <c r="L1376">
        <f>IF($U1376="","",INDEX(상세표[직위],$U1376)&amp;"")</f>
        <v/>
      </c>
      <c r="M1376">
        <f>IF($U1376="","",IF(ISNUMBER(INDEX(상세표[근무일자],$U1376)),TEXT(INDEX(상세표[근무일자],$U1376),"yyyy-mm-dd"),INDEX(상세표[근무일자],$U1376)&amp;""))</f>
        <v/>
      </c>
      <c r="N1376">
        <f>IF($U1376="","",IF(ISNUMBER(INDEX(상세표[시작],$U1376)),TEXT(INDEX(상세표[시작],$U1376),"yyyy-mm-dd hh:mm"),INDEX(상세표[시작],$U1376)&amp;""))</f>
        <v/>
      </c>
      <c r="O1376">
        <f>IF($U1376="","",IF(ISNUMBER(INDEX(상세표[종료],$U1376)),TEXT(INDEX(상세표[종료],$U1376),"yyyy-mm-dd hh:mm"),INDEX(상세표[종료],$U1376)&amp;""))</f>
        <v/>
      </c>
      <c r="P1376">
        <f>IF($U1376="","",INDEX(상세표[06~07시],$U1376))</f>
        <v/>
      </c>
      <c r="Q1376">
        <f>IF($U1376="","",INDEX(상세표[07~18시],$U1376))</f>
        <v/>
      </c>
      <c r="R1376">
        <f>IF($U1376="","",INDEX(상세표[18~22시],$U1376))</f>
        <v/>
      </c>
      <c r="S1376">
        <f>IF($U1376="","",INDEX(상세표[22~06시],$U1376))</f>
        <v/>
      </c>
      <c r="T1376">
        <f>IF($U1376="","",INDEX(상세표[기록 시간외],$U1376))</f>
        <v/>
      </c>
      <c r="U1376" s="4">
        <f>IFERROR(MATCH(1371,상세표[발송순번],0),"")</f>
        <v/>
      </c>
    </row>
    <row r="1377">
      <c r="J1377">
        <f>IF($U1377="","",INDEX(상세표[사번],$U1377)&amp;"")</f>
        <v/>
      </c>
      <c r="K1377">
        <f>IF($U1377="","",INDEX(상세표[성명],$U1377)&amp;"")</f>
        <v/>
      </c>
      <c r="L1377">
        <f>IF($U1377="","",INDEX(상세표[직위],$U1377)&amp;"")</f>
        <v/>
      </c>
      <c r="M1377">
        <f>IF($U1377="","",IF(ISNUMBER(INDEX(상세표[근무일자],$U1377)),TEXT(INDEX(상세표[근무일자],$U1377),"yyyy-mm-dd"),INDEX(상세표[근무일자],$U1377)&amp;""))</f>
        <v/>
      </c>
      <c r="N1377">
        <f>IF($U1377="","",IF(ISNUMBER(INDEX(상세표[시작],$U1377)),TEXT(INDEX(상세표[시작],$U1377),"yyyy-mm-dd hh:mm"),INDEX(상세표[시작],$U1377)&amp;""))</f>
        <v/>
      </c>
      <c r="O1377">
        <f>IF($U1377="","",IF(ISNUMBER(INDEX(상세표[종료],$U1377)),TEXT(INDEX(상세표[종료],$U1377),"yyyy-mm-dd hh:mm"),INDEX(상세표[종료],$U1377)&amp;""))</f>
        <v/>
      </c>
      <c r="P1377">
        <f>IF($U1377="","",INDEX(상세표[06~07시],$U1377))</f>
        <v/>
      </c>
      <c r="Q1377">
        <f>IF($U1377="","",INDEX(상세표[07~18시],$U1377))</f>
        <v/>
      </c>
      <c r="R1377">
        <f>IF($U1377="","",INDEX(상세표[18~22시],$U1377))</f>
        <v/>
      </c>
      <c r="S1377">
        <f>IF($U1377="","",INDEX(상세표[22~06시],$U1377))</f>
        <v/>
      </c>
      <c r="T1377">
        <f>IF($U1377="","",INDEX(상세표[기록 시간외],$U1377))</f>
        <v/>
      </c>
      <c r="U1377" s="4">
        <f>IFERROR(MATCH(1372,상세표[발송순번],0),"")</f>
        <v/>
      </c>
    </row>
    <row r="1378">
      <c r="J1378">
        <f>IF($U1378="","",INDEX(상세표[사번],$U1378)&amp;"")</f>
        <v/>
      </c>
      <c r="K1378">
        <f>IF($U1378="","",INDEX(상세표[성명],$U1378)&amp;"")</f>
        <v/>
      </c>
      <c r="L1378">
        <f>IF($U1378="","",INDEX(상세표[직위],$U1378)&amp;"")</f>
        <v/>
      </c>
      <c r="M1378">
        <f>IF($U1378="","",IF(ISNUMBER(INDEX(상세표[근무일자],$U1378)),TEXT(INDEX(상세표[근무일자],$U1378),"yyyy-mm-dd"),INDEX(상세표[근무일자],$U1378)&amp;""))</f>
        <v/>
      </c>
      <c r="N1378">
        <f>IF($U1378="","",IF(ISNUMBER(INDEX(상세표[시작],$U1378)),TEXT(INDEX(상세표[시작],$U1378),"yyyy-mm-dd hh:mm"),INDEX(상세표[시작],$U1378)&amp;""))</f>
        <v/>
      </c>
      <c r="O1378">
        <f>IF($U1378="","",IF(ISNUMBER(INDEX(상세표[종료],$U1378)),TEXT(INDEX(상세표[종료],$U1378),"yyyy-mm-dd hh:mm"),INDEX(상세표[종료],$U1378)&amp;""))</f>
        <v/>
      </c>
      <c r="P1378">
        <f>IF($U1378="","",INDEX(상세표[06~07시],$U1378))</f>
        <v/>
      </c>
      <c r="Q1378">
        <f>IF($U1378="","",INDEX(상세표[07~18시],$U1378))</f>
        <v/>
      </c>
      <c r="R1378">
        <f>IF($U1378="","",INDEX(상세표[18~22시],$U1378))</f>
        <v/>
      </c>
      <c r="S1378">
        <f>IF($U1378="","",INDEX(상세표[22~06시],$U1378))</f>
        <v/>
      </c>
      <c r="T1378">
        <f>IF($U1378="","",INDEX(상세표[기록 시간외],$U1378))</f>
        <v/>
      </c>
      <c r="U1378" s="4">
        <f>IFERROR(MATCH(1373,상세표[발송순번],0),"")</f>
        <v/>
      </c>
    </row>
    <row r="1379">
      <c r="J1379">
        <f>IF($U1379="","",INDEX(상세표[사번],$U1379)&amp;"")</f>
        <v/>
      </c>
      <c r="K1379">
        <f>IF($U1379="","",INDEX(상세표[성명],$U1379)&amp;"")</f>
        <v/>
      </c>
      <c r="L1379">
        <f>IF($U1379="","",INDEX(상세표[직위],$U1379)&amp;"")</f>
        <v/>
      </c>
      <c r="M1379">
        <f>IF($U1379="","",IF(ISNUMBER(INDEX(상세표[근무일자],$U1379)),TEXT(INDEX(상세표[근무일자],$U1379),"yyyy-mm-dd"),INDEX(상세표[근무일자],$U1379)&amp;""))</f>
        <v/>
      </c>
      <c r="N1379">
        <f>IF($U1379="","",IF(ISNUMBER(INDEX(상세표[시작],$U1379)),TEXT(INDEX(상세표[시작],$U1379),"yyyy-mm-dd hh:mm"),INDEX(상세표[시작],$U1379)&amp;""))</f>
        <v/>
      </c>
      <c r="O1379">
        <f>IF($U1379="","",IF(ISNUMBER(INDEX(상세표[종료],$U1379)),TEXT(INDEX(상세표[종료],$U1379),"yyyy-mm-dd hh:mm"),INDEX(상세표[종료],$U1379)&amp;""))</f>
        <v/>
      </c>
      <c r="P1379">
        <f>IF($U1379="","",INDEX(상세표[06~07시],$U1379))</f>
        <v/>
      </c>
      <c r="Q1379">
        <f>IF($U1379="","",INDEX(상세표[07~18시],$U1379))</f>
        <v/>
      </c>
      <c r="R1379">
        <f>IF($U1379="","",INDEX(상세표[18~22시],$U1379))</f>
        <v/>
      </c>
      <c r="S1379">
        <f>IF($U1379="","",INDEX(상세표[22~06시],$U1379))</f>
        <v/>
      </c>
      <c r="T1379">
        <f>IF($U1379="","",INDEX(상세표[기록 시간외],$U1379))</f>
        <v/>
      </c>
      <c r="U1379" s="4">
        <f>IFERROR(MATCH(1374,상세표[발송순번],0),"")</f>
        <v/>
      </c>
    </row>
    <row r="1380">
      <c r="J1380">
        <f>IF($U1380="","",INDEX(상세표[사번],$U1380)&amp;"")</f>
        <v/>
      </c>
      <c r="K1380">
        <f>IF($U1380="","",INDEX(상세표[성명],$U1380)&amp;"")</f>
        <v/>
      </c>
      <c r="L1380">
        <f>IF($U1380="","",INDEX(상세표[직위],$U1380)&amp;"")</f>
        <v/>
      </c>
      <c r="M1380">
        <f>IF($U1380="","",IF(ISNUMBER(INDEX(상세표[근무일자],$U1380)),TEXT(INDEX(상세표[근무일자],$U1380),"yyyy-mm-dd"),INDEX(상세표[근무일자],$U1380)&amp;""))</f>
        <v/>
      </c>
      <c r="N1380">
        <f>IF($U1380="","",IF(ISNUMBER(INDEX(상세표[시작],$U1380)),TEXT(INDEX(상세표[시작],$U1380),"yyyy-mm-dd hh:mm"),INDEX(상세표[시작],$U1380)&amp;""))</f>
        <v/>
      </c>
      <c r="O1380">
        <f>IF($U1380="","",IF(ISNUMBER(INDEX(상세표[종료],$U1380)),TEXT(INDEX(상세표[종료],$U1380),"yyyy-mm-dd hh:mm"),INDEX(상세표[종료],$U1380)&amp;""))</f>
        <v/>
      </c>
      <c r="P1380">
        <f>IF($U1380="","",INDEX(상세표[06~07시],$U1380))</f>
        <v/>
      </c>
      <c r="Q1380">
        <f>IF($U1380="","",INDEX(상세표[07~18시],$U1380))</f>
        <v/>
      </c>
      <c r="R1380">
        <f>IF($U1380="","",INDEX(상세표[18~22시],$U1380))</f>
        <v/>
      </c>
      <c r="S1380">
        <f>IF($U1380="","",INDEX(상세표[22~06시],$U1380))</f>
        <v/>
      </c>
      <c r="T1380">
        <f>IF($U1380="","",INDEX(상세표[기록 시간외],$U1380))</f>
        <v/>
      </c>
      <c r="U1380" s="4">
        <f>IFERROR(MATCH(1375,상세표[발송순번],0),"")</f>
        <v/>
      </c>
    </row>
    <row r="1381">
      <c r="J1381">
        <f>IF($U1381="","",INDEX(상세표[사번],$U1381)&amp;"")</f>
        <v/>
      </c>
      <c r="K1381">
        <f>IF($U1381="","",INDEX(상세표[성명],$U1381)&amp;"")</f>
        <v/>
      </c>
      <c r="L1381">
        <f>IF($U1381="","",INDEX(상세표[직위],$U1381)&amp;"")</f>
        <v/>
      </c>
      <c r="M1381">
        <f>IF($U1381="","",IF(ISNUMBER(INDEX(상세표[근무일자],$U1381)),TEXT(INDEX(상세표[근무일자],$U1381),"yyyy-mm-dd"),INDEX(상세표[근무일자],$U1381)&amp;""))</f>
        <v/>
      </c>
      <c r="N1381">
        <f>IF($U1381="","",IF(ISNUMBER(INDEX(상세표[시작],$U1381)),TEXT(INDEX(상세표[시작],$U1381),"yyyy-mm-dd hh:mm"),INDEX(상세표[시작],$U1381)&amp;""))</f>
        <v/>
      </c>
      <c r="O1381">
        <f>IF($U1381="","",IF(ISNUMBER(INDEX(상세표[종료],$U1381)),TEXT(INDEX(상세표[종료],$U1381),"yyyy-mm-dd hh:mm"),INDEX(상세표[종료],$U1381)&amp;""))</f>
        <v/>
      </c>
      <c r="P1381">
        <f>IF($U1381="","",INDEX(상세표[06~07시],$U1381))</f>
        <v/>
      </c>
      <c r="Q1381">
        <f>IF($U1381="","",INDEX(상세표[07~18시],$U1381))</f>
        <v/>
      </c>
      <c r="R1381">
        <f>IF($U1381="","",INDEX(상세표[18~22시],$U1381))</f>
        <v/>
      </c>
      <c r="S1381">
        <f>IF($U1381="","",INDEX(상세표[22~06시],$U1381))</f>
        <v/>
      </c>
      <c r="T1381">
        <f>IF($U1381="","",INDEX(상세표[기록 시간외],$U1381))</f>
        <v/>
      </c>
      <c r="U1381" s="4">
        <f>IFERROR(MATCH(1376,상세표[발송순번],0),"")</f>
        <v/>
      </c>
    </row>
    <row r="1382">
      <c r="J1382">
        <f>IF($U1382="","",INDEX(상세표[사번],$U1382)&amp;"")</f>
        <v/>
      </c>
      <c r="K1382">
        <f>IF($U1382="","",INDEX(상세표[성명],$U1382)&amp;"")</f>
        <v/>
      </c>
      <c r="L1382">
        <f>IF($U1382="","",INDEX(상세표[직위],$U1382)&amp;"")</f>
        <v/>
      </c>
      <c r="M1382">
        <f>IF($U1382="","",IF(ISNUMBER(INDEX(상세표[근무일자],$U1382)),TEXT(INDEX(상세표[근무일자],$U1382),"yyyy-mm-dd"),INDEX(상세표[근무일자],$U1382)&amp;""))</f>
        <v/>
      </c>
      <c r="N1382">
        <f>IF($U1382="","",IF(ISNUMBER(INDEX(상세표[시작],$U1382)),TEXT(INDEX(상세표[시작],$U1382),"yyyy-mm-dd hh:mm"),INDEX(상세표[시작],$U1382)&amp;""))</f>
        <v/>
      </c>
      <c r="O1382">
        <f>IF($U1382="","",IF(ISNUMBER(INDEX(상세표[종료],$U1382)),TEXT(INDEX(상세표[종료],$U1382),"yyyy-mm-dd hh:mm"),INDEX(상세표[종료],$U1382)&amp;""))</f>
        <v/>
      </c>
      <c r="P1382">
        <f>IF($U1382="","",INDEX(상세표[06~07시],$U1382))</f>
        <v/>
      </c>
      <c r="Q1382">
        <f>IF($U1382="","",INDEX(상세표[07~18시],$U1382))</f>
        <v/>
      </c>
      <c r="R1382">
        <f>IF($U1382="","",INDEX(상세표[18~22시],$U1382))</f>
        <v/>
      </c>
      <c r="S1382">
        <f>IF($U1382="","",INDEX(상세표[22~06시],$U1382))</f>
        <v/>
      </c>
      <c r="T1382">
        <f>IF($U1382="","",INDEX(상세표[기록 시간외],$U1382))</f>
        <v/>
      </c>
      <c r="U1382" s="4">
        <f>IFERROR(MATCH(1377,상세표[발송순번],0),"")</f>
        <v/>
      </c>
    </row>
    <row r="1383">
      <c r="J1383">
        <f>IF($U1383="","",INDEX(상세표[사번],$U1383)&amp;"")</f>
        <v/>
      </c>
      <c r="K1383">
        <f>IF($U1383="","",INDEX(상세표[성명],$U1383)&amp;"")</f>
        <v/>
      </c>
      <c r="L1383">
        <f>IF($U1383="","",INDEX(상세표[직위],$U1383)&amp;"")</f>
        <v/>
      </c>
      <c r="M1383">
        <f>IF($U1383="","",IF(ISNUMBER(INDEX(상세표[근무일자],$U1383)),TEXT(INDEX(상세표[근무일자],$U1383),"yyyy-mm-dd"),INDEX(상세표[근무일자],$U1383)&amp;""))</f>
        <v/>
      </c>
      <c r="N1383">
        <f>IF($U1383="","",IF(ISNUMBER(INDEX(상세표[시작],$U1383)),TEXT(INDEX(상세표[시작],$U1383),"yyyy-mm-dd hh:mm"),INDEX(상세표[시작],$U1383)&amp;""))</f>
        <v/>
      </c>
      <c r="O1383">
        <f>IF($U1383="","",IF(ISNUMBER(INDEX(상세표[종료],$U1383)),TEXT(INDEX(상세표[종료],$U1383),"yyyy-mm-dd hh:mm"),INDEX(상세표[종료],$U1383)&amp;""))</f>
        <v/>
      </c>
      <c r="P1383">
        <f>IF($U1383="","",INDEX(상세표[06~07시],$U1383))</f>
        <v/>
      </c>
      <c r="Q1383">
        <f>IF($U1383="","",INDEX(상세표[07~18시],$U1383))</f>
        <v/>
      </c>
      <c r="R1383">
        <f>IF($U1383="","",INDEX(상세표[18~22시],$U1383))</f>
        <v/>
      </c>
      <c r="S1383">
        <f>IF($U1383="","",INDEX(상세표[22~06시],$U1383))</f>
        <v/>
      </c>
      <c r="T1383">
        <f>IF($U1383="","",INDEX(상세표[기록 시간외],$U1383))</f>
        <v/>
      </c>
      <c r="U1383" s="4">
        <f>IFERROR(MATCH(1378,상세표[발송순번],0),"")</f>
        <v/>
      </c>
    </row>
    <row r="1384">
      <c r="J1384">
        <f>IF($U1384="","",INDEX(상세표[사번],$U1384)&amp;"")</f>
        <v/>
      </c>
      <c r="K1384">
        <f>IF($U1384="","",INDEX(상세표[성명],$U1384)&amp;"")</f>
        <v/>
      </c>
      <c r="L1384">
        <f>IF($U1384="","",INDEX(상세표[직위],$U1384)&amp;"")</f>
        <v/>
      </c>
      <c r="M1384">
        <f>IF($U1384="","",IF(ISNUMBER(INDEX(상세표[근무일자],$U1384)),TEXT(INDEX(상세표[근무일자],$U1384),"yyyy-mm-dd"),INDEX(상세표[근무일자],$U1384)&amp;""))</f>
        <v/>
      </c>
      <c r="N1384">
        <f>IF($U1384="","",IF(ISNUMBER(INDEX(상세표[시작],$U1384)),TEXT(INDEX(상세표[시작],$U1384),"yyyy-mm-dd hh:mm"),INDEX(상세표[시작],$U1384)&amp;""))</f>
        <v/>
      </c>
      <c r="O1384">
        <f>IF($U1384="","",IF(ISNUMBER(INDEX(상세표[종료],$U1384)),TEXT(INDEX(상세표[종료],$U1384),"yyyy-mm-dd hh:mm"),INDEX(상세표[종료],$U1384)&amp;""))</f>
        <v/>
      </c>
      <c r="P1384">
        <f>IF($U1384="","",INDEX(상세표[06~07시],$U1384))</f>
        <v/>
      </c>
      <c r="Q1384">
        <f>IF($U1384="","",INDEX(상세표[07~18시],$U1384))</f>
        <v/>
      </c>
      <c r="R1384">
        <f>IF($U1384="","",INDEX(상세표[18~22시],$U1384))</f>
        <v/>
      </c>
      <c r="S1384">
        <f>IF($U1384="","",INDEX(상세표[22~06시],$U1384))</f>
        <v/>
      </c>
      <c r="T1384">
        <f>IF($U1384="","",INDEX(상세표[기록 시간외],$U1384))</f>
        <v/>
      </c>
      <c r="U1384" s="4">
        <f>IFERROR(MATCH(1379,상세표[발송순번],0),"")</f>
        <v/>
      </c>
    </row>
    <row r="1385">
      <c r="J1385">
        <f>IF($U1385="","",INDEX(상세표[사번],$U1385)&amp;"")</f>
        <v/>
      </c>
      <c r="K1385">
        <f>IF($U1385="","",INDEX(상세표[성명],$U1385)&amp;"")</f>
        <v/>
      </c>
      <c r="L1385">
        <f>IF($U1385="","",INDEX(상세표[직위],$U1385)&amp;"")</f>
        <v/>
      </c>
      <c r="M1385">
        <f>IF($U1385="","",IF(ISNUMBER(INDEX(상세표[근무일자],$U1385)),TEXT(INDEX(상세표[근무일자],$U1385),"yyyy-mm-dd"),INDEX(상세표[근무일자],$U1385)&amp;""))</f>
        <v/>
      </c>
      <c r="N1385">
        <f>IF($U1385="","",IF(ISNUMBER(INDEX(상세표[시작],$U1385)),TEXT(INDEX(상세표[시작],$U1385),"yyyy-mm-dd hh:mm"),INDEX(상세표[시작],$U1385)&amp;""))</f>
        <v/>
      </c>
      <c r="O1385">
        <f>IF($U1385="","",IF(ISNUMBER(INDEX(상세표[종료],$U1385)),TEXT(INDEX(상세표[종료],$U1385),"yyyy-mm-dd hh:mm"),INDEX(상세표[종료],$U1385)&amp;""))</f>
        <v/>
      </c>
      <c r="P1385">
        <f>IF($U1385="","",INDEX(상세표[06~07시],$U1385))</f>
        <v/>
      </c>
      <c r="Q1385">
        <f>IF($U1385="","",INDEX(상세표[07~18시],$U1385))</f>
        <v/>
      </c>
      <c r="R1385">
        <f>IF($U1385="","",INDEX(상세표[18~22시],$U1385))</f>
        <v/>
      </c>
      <c r="S1385">
        <f>IF($U1385="","",INDEX(상세표[22~06시],$U1385))</f>
        <v/>
      </c>
      <c r="T1385">
        <f>IF($U1385="","",INDEX(상세표[기록 시간외],$U1385))</f>
        <v/>
      </c>
      <c r="U1385" s="4">
        <f>IFERROR(MATCH(1380,상세표[발송순번],0),"")</f>
        <v/>
      </c>
    </row>
    <row r="1386">
      <c r="J1386">
        <f>IF($U1386="","",INDEX(상세표[사번],$U1386)&amp;"")</f>
        <v/>
      </c>
      <c r="K1386">
        <f>IF($U1386="","",INDEX(상세표[성명],$U1386)&amp;"")</f>
        <v/>
      </c>
      <c r="L1386">
        <f>IF($U1386="","",INDEX(상세표[직위],$U1386)&amp;"")</f>
        <v/>
      </c>
      <c r="M1386">
        <f>IF($U1386="","",IF(ISNUMBER(INDEX(상세표[근무일자],$U1386)),TEXT(INDEX(상세표[근무일자],$U1386),"yyyy-mm-dd"),INDEX(상세표[근무일자],$U1386)&amp;""))</f>
        <v/>
      </c>
      <c r="N1386">
        <f>IF($U1386="","",IF(ISNUMBER(INDEX(상세표[시작],$U1386)),TEXT(INDEX(상세표[시작],$U1386),"yyyy-mm-dd hh:mm"),INDEX(상세표[시작],$U1386)&amp;""))</f>
        <v/>
      </c>
      <c r="O1386">
        <f>IF($U1386="","",IF(ISNUMBER(INDEX(상세표[종료],$U1386)),TEXT(INDEX(상세표[종료],$U1386),"yyyy-mm-dd hh:mm"),INDEX(상세표[종료],$U1386)&amp;""))</f>
        <v/>
      </c>
      <c r="P1386">
        <f>IF($U1386="","",INDEX(상세표[06~07시],$U1386))</f>
        <v/>
      </c>
      <c r="Q1386">
        <f>IF($U1386="","",INDEX(상세표[07~18시],$U1386))</f>
        <v/>
      </c>
      <c r="R1386">
        <f>IF($U1386="","",INDEX(상세표[18~22시],$U1386))</f>
        <v/>
      </c>
      <c r="S1386">
        <f>IF($U1386="","",INDEX(상세표[22~06시],$U1386))</f>
        <v/>
      </c>
      <c r="T1386">
        <f>IF($U1386="","",INDEX(상세표[기록 시간외],$U1386))</f>
        <v/>
      </c>
      <c r="U1386" s="4">
        <f>IFERROR(MATCH(1381,상세표[발송순번],0),"")</f>
        <v/>
      </c>
    </row>
    <row r="1387">
      <c r="J1387">
        <f>IF($U1387="","",INDEX(상세표[사번],$U1387)&amp;"")</f>
        <v/>
      </c>
      <c r="K1387">
        <f>IF($U1387="","",INDEX(상세표[성명],$U1387)&amp;"")</f>
        <v/>
      </c>
      <c r="L1387">
        <f>IF($U1387="","",INDEX(상세표[직위],$U1387)&amp;"")</f>
        <v/>
      </c>
      <c r="M1387">
        <f>IF($U1387="","",IF(ISNUMBER(INDEX(상세표[근무일자],$U1387)),TEXT(INDEX(상세표[근무일자],$U1387),"yyyy-mm-dd"),INDEX(상세표[근무일자],$U1387)&amp;""))</f>
        <v/>
      </c>
      <c r="N1387">
        <f>IF($U1387="","",IF(ISNUMBER(INDEX(상세표[시작],$U1387)),TEXT(INDEX(상세표[시작],$U1387),"yyyy-mm-dd hh:mm"),INDEX(상세표[시작],$U1387)&amp;""))</f>
        <v/>
      </c>
      <c r="O1387">
        <f>IF($U1387="","",IF(ISNUMBER(INDEX(상세표[종료],$U1387)),TEXT(INDEX(상세표[종료],$U1387),"yyyy-mm-dd hh:mm"),INDEX(상세표[종료],$U1387)&amp;""))</f>
        <v/>
      </c>
      <c r="P1387">
        <f>IF($U1387="","",INDEX(상세표[06~07시],$U1387))</f>
        <v/>
      </c>
      <c r="Q1387">
        <f>IF($U1387="","",INDEX(상세표[07~18시],$U1387))</f>
        <v/>
      </c>
      <c r="R1387">
        <f>IF($U1387="","",INDEX(상세표[18~22시],$U1387))</f>
        <v/>
      </c>
      <c r="S1387">
        <f>IF($U1387="","",INDEX(상세표[22~06시],$U1387))</f>
        <v/>
      </c>
      <c r="T1387">
        <f>IF($U1387="","",INDEX(상세표[기록 시간외],$U1387))</f>
        <v/>
      </c>
      <c r="U1387" s="4">
        <f>IFERROR(MATCH(1382,상세표[발송순번],0),"")</f>
        <v/>
      </c>
    </row>
    <row r="1388">
      <c r="J1388">
        <f>IF($U1388="","",INDEX(상세표[사번],$U1388)&amp;"")</f>
        <v/>
      </c>
      <c r="K1388">
        <f>IF($U1388="","",INDEX(상세표[성명],$U1388)&amp;"")</f>
        <v/>
      </c>
      <c r="L1388">
        <f>IF($U1388="","",INDEX(상세표[직위],$U1388)&amp;"")</f>
        <v/>
      </c>
      <c r="M1388">
        <f>IF($U1388="","",IF(ISNUMBER(INDEX(상세표[근무일자],$U1388)),TEXT(INDEX(상세표[근무일자],$U1388),"yyyy-mm-dd"),INDEX(상세표[근무일자],$U1388)&amp;""))</f>
        <v/>
      </c>
      <c r="N1388">
        <f>IF($U1388="","",IF(ISNUMBER(INDEX(상세표[시작],$U1388)),TEXT(INDEX(상세표[시작],$U1388),"yyyy-mm-dd hh:mm"),INDEX(상세표[시작],$U1388)&amp;""))</f>
        <v/>
      </c>
      <c r="O1388">
        <f>IF($U1388="","",IF(ISNUMBER(INDEX(상세표[종료],$U1388)),TEXT(INDEX(상세표[종료],$U1388),"yyyy-mm-dd hh:mm"),INDEX(상세표[종료],$U1388)&amp;""))</f>
        <v/>
      </c>
      <c r="P1388">
        <f>IF($U1388="","",INDEX(상세표[06~07시],$U1388))</f>
        <v/>
      </c>
      <c r="Q1388">
        <f>IF($U1388="","",INDEX(상세표[07~18시],$U1388))</f>
        <v/>
      </c>
      <c r="R1388">
        <f>IF($U1388="","",INDEX(상세표[18~22시],$U1388))</f>
        <v/>
      </c>
      <c r="S1388">
        <f>IF($U1388="","",INDEX(상세표[22~06시],$U1388))</f>
        <v/>
      </c>
      <c r="T1388">
        <f>IF($U1388="","",INDEX(상세표[기록 시간외],$U1388))</f>
        <v/>
      </c>
      <c r="U1388" s="4">
        <f>IFERROR(MATCH(1383,상세표[발송순번],0),"")</f>
        <v/>
      </c>
    </row>
    <row r="1389">
      <c r="J1389">
        <f>IF($U1389="","",INDEX(상세표[사번],$U1389)&amp;"")</f>
        <v/>
      </c>
      <c r="K1389">
        <f>IF($U1389="","",INDEX(상세표[성명],$U1389)&amp;"")</f>
        <v/>
      </c>
      <c r="L1389">
        <f>IF($U1389="","",INDEX(상세표[직위],$U1389)&amp;"")</f>
        <v/>
      </c>
      <c r="M1389">
        <f>IF($U1389="","",IF(ISNUMBER(INDEX(상세표[근무일자],$U1389)),TEXT(INDEX(상세표[근무일자],$U1389),"yyyy-mm-dd"),INDEX(상세표[근무일자],$U1389)&amp;""))</f>
        <v/>
      </c>
      <c r="N1389">
        <f>IF($U1389="","",IF(ISNUMBER(INDEX(상세표[시작],$U1389)),TEXT(INDEX(상세표[시작],$U1389),"yyyy-mm-dd hh:mm"),INDEX(상세표[시작],$U1389)&amp;""))</f>
        <v/>
      </c>
      <c r="O1389">
        <f>IF($U1389="","",IF(ISNUMBER(INDEX(상세표[종료],$U1389)),TEXT(INDEX(상세표[종료],$U1389),"yyyy-mm-dd hh:mm"),INDEX(상세표[종료],$U1389)&amp;""))</f>
        <v/>
      </c>
      <c r="P1389">
        <f>IF($U1389="","",INDEX(상세표[06~07시],$U1389))</f>
        <v/>
      </c>
      <c r="Q1389">
        <f>IF($U1389="","",INDEX(상세표[07~18시],$U1389))</f>
        <v/>
      </c>
      <c r="R1389">
        <f>IF($U1389="","",INDEX(상세표[18~22시],$U1389))</f>
        <v/>
      </c>
      <c r="S1389">
        <f>IF($U1389="","",INDEX(상세표[22~06시],$U1389))</f>
        <v/>
      </c>
      <c r="T1389">
        <f>IF($U1389="","",INDEX(상세표[기록 시간외],$U1389))</f>
        <v/>
      </c>
      <c r="U1389" s="4">
        <f>IFERROR(MATCH(1384,상세표[발송순번],0),"")</f>
        <v/>
      </c>
    </row>
    <row r="1390">
      <c r="J1390">
        <f>IF($U1390="","",INDEX(상세표[사번],$U1390)&amp;"")</f>
        <v/>
      </c>
      <c r="K1390">
        <f>IF($U1390="","",INDEX(상세표[성명],$U1390)&amp;"")</f>
        <v/>
      </c>
      <c r="L1390">
        <f>IF($U1390="","",INDEX(상세표[직위],$U1390)&amp;"")</f>
        <v/>
      </c>
      <c r="M1390">
        <f>IF($U1390="","",IF(ISNUMBER(INDEX(상세표[근무일자],$U1390)),TEXT(INDEX(상세표[근무일자],$U1390),"yyyy-mm-dd"),INDEX(상세표[근무일자],$U1390)&amp;""))</f>
        <v/>
      </c>
      <c r="N1390">
        <f>IF($U1390="","",IF(ISNUMBER(INDEX(상세표[시작],$U1390)),TEXT(INDEX(상세표[시작],$U1390),"yyyy-mm-dd hh:mm"),INDEX(상세표[시작],$U1390)&amp;""))</f>
        <v/>
      </c>
      <c r="O1390">
        <f>IF($U1390="","",IF(ISNUMBER(INDEX(상세표[종료],$U1390)),TEXT(INDEX(상세표[종료],$U1390),"yyyy-mm-dd hh:mm"),INDEX(상세표[종료],$U1390)&amp;""))</f>
        <v/>
      </c>
      <c r="P1390">
        <f>IF($U1390="","",INDEX(상세표[06~07시],$U1390))</f>
        <v/>
      </c>
      <c r="Q1390">
        <f>IF($U1390="","",INDEX(상세표[07~18시],$U1390))</f>
        <v/>
      </c>
      <c r="R1390">
        <f>IF($U1390="","",INDEX(상세표[18~22시],$U1390))</f>
        <v/>
      </c>
      <c r="S1390">
        <f>IF($U1390="","",INDEX(상세표[22~06시],$U1390))</f>
        <v/>
      </c>
      <c r="T1390">
        <f>IF($U1390="","",INDEX(상세표[기록 시간외],$U1390))</f>
        <v/>
      </c>
      <c r="U1390" s="4">
        <f>IFERROR(MATCH(1385,상세표[발송순번],0),"")</f>
        <v/>
      </c>
    </row>
    <row r="1391">
      <c r="J1391">
        <f>IF($U1391="","",INDEX(상세표[사번],$U1391)&amp;"")</f>
        <v/>
      </c>
      <c r="K1391">
        <f>IF($U1391="","",INDEX(상세표[성명],$U1391)&amp;"")</f>
        <v/>
      </c>
      <c r="L1391">
        <f>IF($U1391="","",INDEX(상세표[직위],$U1391)&amp;"")</f>
        <v/>
      </c>
      <c r="M1391">
        <f>IF($U1391="","",IF(ISNUMBER(INDEX(상세표[근무일자],$U1391)),TEXT(INDEX(상세표[근무일자],$U1391),"yyyy-mm-dd"),INDEX(상세표[근무일자],$U1391)&amp;""))</f>
        <v/>
      </c>
      <c r="N1391">
        <f>IF($U1391="","",IF(ISNUMBER(INDEX(상세표[시작],$U1391)),TEXT(INDEX(상세표[시작],$U1391),"yyyy-mm-dd hh:mm"),INDEX(상세표[시작],$U1391)&amp;""))</f>
        <v/>
      </c>
      <c r="O1391">
        <f>IF($U1391="","",IF(ISNUMBER(INDEX(상세표[종료],$U1391)),TEXT(INDEX(상세표[종료],$U1391),"yyyy-mm-dd hh:mm"),INDEX(상세표[종료],$U1391)&amp;""))</f>
        <v/>
      </c>
      <c r="P1391">
        <f>IF($U1391="","",INDEX(상세표[06~07시],$U1391))</f>
        <v/>
      </c>
      <c r="Q1391">
        <f>IF($U1391="","",INDEX(상세표[07~18시],$U1391))</f>
        <v/>
      </c>
      <c r="R1391">
        <f>IF($U1391="","",INDEX(상세표[18~22시],$U1391))</f>
        <v/>
      </c>
      <c r="S1391">
        <f>IF($U1391="","",INDEX(상세표[22~06시],$U1391))</f>
        <v/>
      </c>
      <c r="T1391">
        <f>IF($U1391="","",INDEX(상세표[기록 시간외],$U1391))</f>
        <v/>
      </c>
      <c r="U1391" s="4">
        <f>IFERROR(MATCH(1386,상세표[발송순번],0),"")</f>
        <v/>
      </c>
    </row>
    <row r="1392">
      <c r="J1392">
        <f>IF($U1392="","",INDEX(상세표[사번],$U1392)&amp;"")</f>
        <v/>
      </c>
      <c r="K1392">
        <f>IF($U1392="","",INDEX(상세표[성명],$U1392)&amp;"")</f>
        <v/>
      </c>
      <c r="L1392">
        <f>IF($U1392="","",INDEX(상세표[직위],$U1392)&amp;"")</f>
        <v/>
      </c>
      <c r="M1392">
        <f>IF($U1392="","",IF(ISNUMBER(INDEX(상세표[근무일자],$U1392)),TEXT(INDEX(상세표[근무일자],$U1392),"yyyy-mm-dd"),INDEX(상세표[근무일자],$U1392)&amp;""))</f>
        <v/>
      </c>
      <c r="N1392">
        <f>IF($U1392="","",IF(ISNUMBER(INDEX(상세표[시작],$U1392)),TEXT(INDEX(상세표[시작],$U1392),"yyyy-mm-dd hh:mm"),INDEX(상세표[시작],$U1392)&amp;""))</f>
        <v/>
      </c>
      <c r="O1392">
        <f>IF($U1392="","",IF(ISNUMBER(INDEX(상세표[종료],$U1392)),TEXT(INDEX(상세표[종료],$U1392),"yyyy-mm-dd hh:mm"),INDEX(상세표[종료],$U1392)&amp;""))</f>
        <v/>
      </c>
      <c r="P1392">
        <f>IF($U1392="","",INDEX(상세표[06~07시],$U1392))</f>
        <v/>
      </c>
      <c r="Q1392">
        <f>IF($U1392="","",INDEX(상세표[07~18시],$U1392))</f>
        <v/>
      </c>
      <c r="R1392">
        <f>IF($U1392="","",INDEX(상세표[18~22시],$U1392))</f>
        <v/>
      </c>
      <c r="S1392">
        <f>IF($U1392="","",INDEX(상세표[22~06시],$U1392))</f>
        <v/>
      </c>
      <c r="T1392">
        <f>IF($U1392="","",INDEX(상세표[기록 시간외],$U1392))</f>
        <v/>
      </c>
      <c r="U1392" s="4">
        <f>IFERROR(MATCH(1387,상세표[발송순번],0),"")</f>
        <v/>
      </c>
    </row>
    <row r="1393">
      <c r="J1393">
        <f>IF($U1393="","",INDEX(상세표[사번],$U1393)&amp;"")</f>
        <v/>
      </c>
      <c r="K1393">
        <f>IF($U1393="","",INDEX(상세표[성명],$U1393)&amp;"")</f>
        <v/>
      </c>
      <c r="L1393">
        <f>IF($U1393="","",INDEX(상세표[직위],$U1393)&amp;"")</f>
        <v/>
      </c>
      <c r="M1393">
        <f>IF($U1393="","",IF(ISNUMBER(INDEX(상세표[근무일자],$U1393)),TEXT(INDEX(상세표[근무일자],$U1393),"yyyy-mm-dd"),INDEX(상세표[근무일자],$U1393)&amp;""))</f>
        <v/>
      </c>
      <c r="N1393">
        <f>IF($U1393="","",IF(ISNUMBER(INDEX(상세표[시작],$U1393)),TEXT(INDEX(상세표[시작],$U1393),"yyyy-mm-dd hh:mm"),INDEX(상세표[시작],$U1393)&amp;""))</f>
        <v/>
      </c>
      <c r="O1393">
        <f>IF($U1393="","",IF(ISNUMBER(INDEX(상세표[종료],$U1393)),TEXT(INDEX(상세표[종료],$U1393),"yyyy-mm-dd hh:mm"),INDEX(상세표[종료],$U1393)&amp;""))</f>
        <v/>
      </c>
      <c r="P1393">
        <f>IF($U1393="","",INDEX(상세표[06~07시],$U1393))</f>
        <v/>
      </c>
      <c r="Q1393">
        <f>IF($U1393="","",INDEX(상세표[07~18시],$U1393))</f>
        <v/>
      </c>
      <c r="R1393">
        <f>IF($U1393="","",INDEX(상세표[18~22시],$U1393))</f>
        <v/>
      </c>
      <c r="S1393">
        <f>IF($U1393="","",INDEX(상세표[22~06시],$U1393))</f>
        <v/>
      </c>
      <c r="T1393">
        <f>IF($U1393="","",INDEX(상세표[기록 시간외],$U1393))</f>
        <v/>
      </c>
      <c r="U1393" s="4">
        <f>IFERROR(MATCH(1388,상세표[발송순번],0),"")</f>
        <v/>
      </c>
    </row>
    <row r="1394">
      <c r="J1394">
        <f>IF($U1394="","",INDEX(상세표[사번],$U1394)&amp;"")</f>
        <v/>
      </c>
      <c r="K1394">
        <f>IF($U1394="","",INDEX(상세표[성명],$U1394)&amp;"")</f>
        <v/>
      </c>
      <c r="L1394">
        <f>IF($U1394="","",INDEX(상세표[직위],$U1394)&amp;"")</f>
        <v/>
      </c>
      <c r="M1394">
        <f>IF($U1394="","",IF(ISNUMBER(INDEX(상세표[근무일자],$U1394)),TEXT(INDEX(상세표[근무일자],$U1394),"yyyy-mm-dd"),INDEX(상세표[근무일자],$U1394)&amp;""))</f>
        <v/>
      </c>
      <c r="N1394">
        <f>IF($U1394="","",IF(ISNUMBER(INDEX(상세표[시작],$U1394)),TEXT(INDEX(상세표[시작],$U1394),"yyyy-mm-dd hh:mm"),INDEX(상세표[시작],$U1394)&amp;""))</f>
        <v/>
      </c>
      <c r="O1394">
        <f>IF($U1394="","",IF(ISNUMBER(INDEX(상세표[종료],$U1394)),TEXT(INDEX(상세표[종료],$U1394),"yyyy-mm-dd hh:mm"),INDEX(상세표[종료],$U1394)&amp;""))</f>
        <v/>
      </c>
      <c r="P1394">
        <f>IF($U1394="","",INDEX(상세표[06~07시],$U1394))</f>
        <v/>
      </c>
      <c r="Q1394">
        <f>IF($U1394="","",INDEX(상세표[07~18시],$U1394))</f>
        <v/>
      </c>
      <c r="R1394">
        <f>IF($U1394="","",INDEX(상세표[18~22시],$U1394))</f>
        <v/>
      </c>
      <c r="S1394">
        <f>IF($U1394="","",INDEX(상세표[22~06시],$U1394))</f>
        <v/>
      </c>
      <c r="T1394">
        <f>IF($U1394="","",INDEX(상세표[기록 시간외],$U1394))</f>
        <v/>
      </c>
      <c r="U1394" s="4">
        <f>IFERROR(MATCH(1389,상세표[발송순번],0),"")</f>
        <v/>
      </c>
    </row>
    <row r="1395">
      <c r="J1395">
        <f>IF($U1395="","",INDEX(상세표[사번],$U1395)&amp;"")</f>
        <v/>
      </c>
      <c r="K1395">
        <f>IF($U1395="","",INDEX(상세표[성명],$U1395)&amp;"")</f>
        <v/>
      </c>
      <c r="L1395">
        <f>IF($U1395="","",INDEX(상세표[직위],$U1395)&amp;"")</f>
        <v/>
      </c>
      <c r="M1395">
        <f>IF($U1395="","",IF(ISNUMBER(INDEX(상세표[근무일자],$U1395)),TEXT(INDEX(상세표[근무일자],$U1395),"yyyy-mm-dd"),INDEX(상세표[근무일자],$U1395)&amp;""))</f>
        <v/>
      </c>
      <c r="N1395">
        <f>IF($U1395="","",IF(ISNUMBER(INDEX(상세표[시작],$U1395)),TEXT(INDEX(상세표[시작],$U1395),"yyyy-mm-dd hh:mm"),INDEX(상세표[시작],$U1395)&amp;""))</f>
        <v/>
      </c>
      <c r="O1395">
        <f>IF($U1395="","",IF(ISNUMBER(INDEX(상세표[종료],$U1395)),TEXT(INDEX(상세표[종료],$U1395),"yyyy-mm-dd hh:mm"),INDEX(상세표[종료],$U1395)&amp;""))</f>
        <v/>
      </c>
      <c r="P1395">
        <f>IF($U1395="","",INDEX(상세표[06~07시],$U1395))</f>
        <v/>
      </c>
      <c r="Q1395">
        <f>IF($U1395="","",INDEX(상세표[07~18시],$U1395))</f>
        <v/>
      </c>
      <c r="R1395">
        <f>IF($U1395="","",INDEX(상세표[18~22시],$U1395))</f>
        <v/>
      </c>
      <c r="S1395">
        <f>IF($U1395="","",INDEX(상세표[22~06시],$U1395))</f>
        <v/>
      </c>
      <c r="T1395">
        <f>IF($U1395="","",INDEX(상세표[기록 시간외],$U1395))</f>
        <v/>
      </c>
      <c r="U1395" s="4">
        <f>IFERROR(MATCH(1390,상세표[발송순번],0),"")</f>
        <v/>
      </c>
    </row>
    <row r="1396">
      <c r="J1396">
        <f>IF($U1396="","",INDEX(상세표[사번],$U1396)&amp;"")</f>
        <v/>
      </c>
      <c r="K1396">
        <f>IF($U1396="","",INDEX(상세표[성명],$U1396)&amp;"")</f>
        <v/>
      </c>
      <c r="L1396">
        <f>IF($U1396="","",INDEX(상세표[직위],$U1396)&amp;"")</f>
        <v/>
      </c>
      <c r="M1396">
        <f>IF($U1396="","",IF(ISNUMBER(INDEX(상세표[근무일자],$U1396)),TEXT(INDEX(상세표[근무일자],$U1396),"yyyy-mm-dd"),INDEX(상세표[근무일자],$U1396)&amp;""))</f>
        <v/>
      </c>
      <c r="N1396">
        <f>IF($U1396="","",IF(ISNUMBER(INDEX(상세표[시작],$U1396)),TEXT(INDEX(상세표[시작],$U1396),"yyyy-mm-dd hh:mm"),INDEX(상세표[시작],$U1396)&amp;""))</f>
        <v/>
      </c>
      <c r="O1396">
        <f>IF($U1396="","",IF(ISNUMBER(INDEX(상세표[종료],$U1396)),TEXT(INDEX(상세표[종료],$U1396),"yyyy-mm-dd hh:mm"),INDEX(상세표[종료],$U1396)&amp;""))</f>
        <v/>
      </c>
      <c r="P1396">
        <f>IF($U1396="","",INDEX(상세표[06~07시],$U1396))</f>
        <v/>
      </c>
      <c r="Q1396">
        <f>IF($U1396="","",INDEX(상세표[07~18시],$U1396))</f>
        <v/>
      </c>
      <c r="R1396">
        <f>IF($U1396="","",INDEX(상세표[18~22시],$U1396))</f>
        <v/>
      </c>
      <c r="S1396">
        <f>IF($U1396="","",INDEX(상세표[22~06시],$U1396))</f>
        <v/>
      </c>
      <c r="T1396">
        <f>IF($U1396="","",INDEX(상세표[기록 시간외],$U1396))</f>
        <v/>
      </c>
      <c r="U1396" s="4">
        <f>IFERROR(MATCH(1391,상세표[발송순번],0),"")</f>
        <v/>
      </c>
    </row>
    <row r="1397">
      <c r="J1397">
        <f>IF($U1397="","",INDEX(상세표[사번],$U1397)&amp;"")</f>
        <v/>
      </c>
      <c r="K1397">
        <f>IF($U1397="","",INDEX(상세표[성명],$U1397)&amp;"")</f>
        <v/>
      </c>
      <c r="L1397">
        <f>IF($U1397="","",INDEX(상세표[직위],$U1397)&amp;"")</f>
        <v/>
      </c>
      <c r="M1397">
        <f>IF($U1397="","",IF(ISNUMBER(INDEX(상세표[근무일자],$U1397)),TEXT(INDEX(상세표[근무일자],$U1397),"yyyy-mm-dd"),INDEX(상세표[근무일자],$U1397)&amp;""))</f>
        <v/>
      </c>
      <c r="N1397">
        <f>IF($U1397="","",IF(ISNUMBER(INDEX(상세표[시작],$U1397)),TEXT(INDEX(상세표[시작],$U1397),"yyyy-mm-dd hh:mm"),INDEX(상세표[시작],$U1397)&amp;""))</f>
        <v/>
      </c>
      <c r="O1397">
        <f>IF($U1397="","",IF(ISNUMBER(INDEX(상세표[종료],$U1397)),TEXT(INDEX(상세표[종료],$U1397),"yyyy-mm-dd hh:mm"),INDEX(상세표[종료],$U1397)&amp;""))</f>
        <v/>
      </c>
      <c r="P1397">
        <f>IF($U1397="","",INDEX(상세표[06~07시],$U1397))</f>
        <v/>
      </c>
      <c r="Q1397">
        <f>IF($U1397="","",INDEX(상세표[07~18시],$U1397))</f>
        <v/>
      </c>
      <c r="R1397">
        <f>IF($U1397="","",INDEX(상세표[18~22시],$U1397))</f>
        <v/>
      </c>
      <c r="S1397">
        <f>IF($U1397="","",INDEX(상세표[22~06시],$U1397))</f>
        <v/>
      </c>
      <c r="T1397">
        <f>IF($U1397="","",INDEX(상세표[기록 시간외],$U1397))</f>
        <v/>
      </c>
      <c r="U1397" s="4">
        <f>IFERROR(MATCH(1392,상세표[발송순번],0),"")</f>
        <v/>
      </c>
    </row>
    <row r="1398">
      <c r="J1398">
        <f>IF($U1398="","",INDEX(상세표[사번],$U1398)&amp;"")</f>
        <v/>
      </c>
      <c r="K1398">
        <f>IF($U1398="","",INDEX(상세표[성명],$U1398)&amp;"")</f>
        <v/>
      </c>
      <c r="L1398">
        <f>IF($U1398="","",INDEX(상세표[직위],$U1398)&amp;"")</f>
        <v/>
      </c>
      <c r="M1398">
        <f>IF($U1398="","",IF(ISNUMBER(INDEX(상세표[근무일자],$U1398)),TEXT(INDEX(상세표[근무일자],$U1398),"yyyy-mm-dd"),INDEX(상세표[근무일자],$U1398)&amp;""))</f>
        <v/>
      </c>
      <c r="N1398">
        <f>IF($U1398="","",IF(ISNUMBER(INDEX(상세표[시작],$U1398)),TEXT(INDEX(상세표[시작],$U1398),"yyyy-mm-dd hh:mm"),INDEX(상세표[시작],$U1398)&amp;""))</f>
        <v/>
      </c>
      <c r="O1398">
        <f>IF($U1398="","",IF(ISNUMBER(INDEX(상세표[종료],$U1398)),TEXT(INDEX(상세표[종료],$U1398),"yyyy-mm-dd hh:mm"),INDEX(상세표[종료],$U1398)&amp;""))</f>
        <v/>
      </c>
      <c r="P1398">
        <f>IF($U1398="","",INDEX(상세표[06~07시],$U1398))</f>
        <v/>
      </c>
      <c r="Q1398">
        <f>IF($U1398="","",INDEX(상세표[07~18시],$U1398))</f>
        <v/>
      </c>
      <c r="R1398">
        <f>IF($U1398="","",INDEX(상세표[18~22시],$U1398))</f>
        <v/>
      </c>
      <c r="S1398">
        <f>IF($U1398="","",INDEX(상세표[22~06시],$U1398))</f>
        <v/>
      </c>
      <c r="T1398">
        <f>IF($U1398="","",INDEX(상세표[기록 시간외],$U1398))</f>
        <v/>
      </c>
      <c r="U1398" s="4">
        <f>IFERROR(MATCH(1393,상세표[발송순번],0),"")</f>
        <v/>
      </c>
    </row>
    <row r="1399">
      <c r="J1399">
        <f>IF($U1399="","",INDEX(상세표[사번],$U1399)&amp;"")</f>
        <v/>
      </c>
      <c r="K1399">
        <f>IF($U1399="","",INDEX(상세표[성명],$U1399)&amp;"")</f>
        <v/>
      </c>
      <c r="L1399">
        <f>IF($U1399="","",INDEX(상세표[직위],$U1399)&amp;"")</f>
        <v/>
      </c>
      <c r="M1399">
        <f>IF($U1399="","",IF(ISNUMBER(INDEX(상세표[근무일자],$U1399)),TEXT(INDEX(상세표[근무일자],$U1399),"yyyy-mm-dd"),INDEX(상세표[근무일자],$U1399)&amp;""))</f>
        <v/>
      </c>
      <c r="N1399">
        <f>IF($U1399="","",IF(ISNUMBER(INDEX(상세표[시작],$U1399)),TEXT(INDEX(상세표[시작],$U1399),"yyyy-mm-dd hh:mm"),INDEX(상세표[시작],$U1399)&amp;""))</f>
        <v/>
      </c>
      <c r="O1399">
        <f>IF($U1399="","",IF(ISNUMBER(INDEX(상세표[종료],$U1399)),TEXT(INDEX(상세표[종료],$U1399),"yyyy-mm-dd hh:mm"),INDEX(상세표[종료],$U1399)&amp;""))</f>
        <v/>
      </c>
      <c r="P1399">
        <f>IF($U1399="","",INDEX(상세표[06~07시],$U1399))</f>
        <v/>
      </c>
      <c r="Q1399">
        <f>IF($U1399="","",INDEX(상세표[07~18시],$U1399))</f>
        <v/>
      </c>
      <c r="R1399">
        <f>IF($U1399="","",INDEX(상세표[18~22시],$U1399))</f>
        <v/>
      </c>
      <c r="S1399">
        <f>IF($U1399="","",INDEX(상세표[22~06시],$U1399))</f>
        <v/>
      </c>
      <c r="T1399">
        <f>IF($U1399="","",INDEX(상세표[기록 시간외],$U1399))</f>
        <v/>
      </c>
      <c r="U1399" s="4">
        <f>IFERROR(MATCH(1394,상세표[발송순번],0),"")</f>
        <v/>
      </c>
    </row>
    <row r="1400">
      <c r="J1400">
        <f>IF($U1400="","",INDEX(상세표[사번],$U1400)&amp;"")</f>
        <v/>
      </c>
      <c r="K1400">
        <f>IF($U1400="","",INDEX(상세표[성명],$U1400)&amp;"")</f>
        <v/>
      </c>
      <c r="L1400">
        <f>IF($U1400="","",INDEX(상세표[직위],$U1400)&amp;"")</f>
        <v/>
      </c>
      <c r="M1400">
        <f>IF($U1400="","",IF(ISNUMBER(INDEX(상세표[근무일자],$U1400)),TEXT(INDEX(상세표[근무일자],$U1400),"yyyy-mm-dd"),INDEX(상세표[근무일자],$U1400)&amp;""))</f>
        <v/>
      </c>
      <c r="N1400">
        <f>IF($U1400="","",IF(ISNUMBER(INDEX(상세표[시작],$U1400)),TEXT(INDEX(상세표[시작],$U1400),"yyyy-mm-dd hh:mm"),INDEX(상세표[시작],$U1400)&amp;""))</f>
        <v/>
      </c>
      <c r="O1400">
        <f>IF($U1400="","",IF(ISNUMBER(INDEX(상세표[종료],$U1400)),TEXT(INDEX(상세표[종료],$U1400),"yyyy-mm-dd hh:mm"),INDEX(상세표[종료],$U1400)&amp;""))</f>
        <v/>
      </c>
      <c r="P1400">
        <f>IF($U1400="","",INDEX(상세표[06~07시],$U1400))</f>
        <v/>
      </c>
      <c r="Q1400">
        <f>IF($U1400="","",INDEX(상세표[07~18시],$U1400))</f>
        <v/>
      </c>
      <c r="R1400">
        <f>IF($U1400="","",INDEX(상세표[18~22시],$U1400))</f>
        <v/>
      </c>
      <c r="S1400">
        <f>IF($U1400="","",INDEX(상세표[22~06시],$U1400))</f>
        <v/>
      </c>
      <c r="T1400">
        <f>IF($U1400="","",INDEX(상세표[기록 시간외],$U1400))</f>
        <v/>
      </c>
      <c r="U1400" s="4">
        <f>IFERROR(MATCH(1395,상세표[발송순번],0),"")</f>
        <v/>
      </c>
    </row>
    <row r="1401">
      <c r="J1401">
        <f>IF($U1401="","",INDEX(상세표[사번],$U1401)&amp;"")</f>
        <v/>
      </c>
      <c r="K1401">
        <f>IF($U1401="","",INDEX(상세표[성명],$U1401)&amp;"")</f>
        <v/>
      </c>
      <c r="L1401">
        <f>IF($U1401="","",INDEX(상세표[직위],$U1401)&amp;"")</f>
        <v/>
      </c>
      <c r="M1401">
        <f>IF($U1401="","",IF(ISNUMBER(INDEX(상세표[근무일자],$U1401)),TEXT(INDEX(상세표[근무일자],$U1401),"yyyy-mm-dd"),INDEX(상세표[근무일자],$U1401)&amp;""))</f>
        <v/>
      </c>
      <c r="N1401">
        <f>IF($U1401="","",IF(ISNUMBER(INDEX(상세표[시작],$U1401)),TEXT(INDEX(상세표[시작],$U1401),"yyyy-mm-dd hh:mm"),INDEX(상세표[시작],$U1401)&amp;""))</f>
        <v/>
      </c>
      <c r="O1401">
        <f>IF($U1401="","",IF(ISNUMBER(INDEX(상세표[종료],$U1401)),TEXT(INDEX(상세표[종료],$U1401),"yyyy-mm-dd hh:mm"),INDEX(상세표[종료],$U1401)&amp;""))</f>
        <v/>
      </c>
      <c r="P1401">
        <f>IF($U1401="","",INDEX(상세표[06~07시],$U1401))</f>
        <v/>
      </c>
      <c r="Q1401">
        <f>IF($U1401="","",INDEX(상세표[07~18시],$U1401))</f>
        <v/>
      </c>
      <c r="R1401">
        <f>IF($U1401="","",INDEX(상세표[18~22시],$U1401))</f>
        <v/>
      </c>
      <c r="S1401">
        <f>IF($U1401="","",INDEX(상세표[22~06시],$U1401))</f>
        <v/>
      </c>
      <c r="T1401">
        <f>IF($U1401="","",INDEX(상세표[기록 시간외],$U1401))</f>
        <v/>
      </c>
      <c r="U1401" s="4">
        <f>IFERROR(MATCH(1396,상세표[발송순번],0),"")</f>
        <v/>
      </c>
    </row>
    <row r="1402">
      <c r="J1402">
        <f>IF($U1402="","",INDEX(상세표[사번],$U1402)&amp;"")</f>
        <v/>
      </c>
      <c r="K1402">
        <f>IF($U1402="","",INDEX(상세표[성명],$U1402)&amp;"")</f>
        <v/>
      </c>
      <c r="L1402">
        <f>IF($U1402="","",INDEX(상세표[직위],$U1402)&amp;"")</f>
        <v/>
      </c>
      <c r="M1402">
        <f>IF($U1402="","",IF(ISNUMBER(INDEX(상세표[근무일자],$U1402)),TEXT(INDEX(상세표[근무일자],$U1402),"yyyy-mm-dd"),INDEX(상세표[근무일자],$U1402)&amp;""))</f>
        <v/>
      </c>
      <c r="N1402">
        <f>IF($U1402="","",IF(ISNUMBER(INDEX(상세표[시작],$U1402)),TEXT(INDEX(상세표[시작],$U1402),"yyyy-mm-dd hh:mm"),INDEX(상세표[시작],$U1402)&amp;""))</f>
        <v/>
      </c>
      <c r="O1402">
        <f>IF($U1402="","",IF(ISNUMBER(INDEX(상세표[종료],$U1402)),TEXT(INDEX(상세표[종료],$U1402),"yyyy-mm-dd hh:mm"),INDEX(상세표[종료],$U1402)&amp;""))</f>
        <v/>
      </c>
      <c r="P1402">
        <f>IF($U1402="","",INDEX(상세표[06~07시],$U1402))</f>
        <v/>
      </c>
      <c r="Q1402">
        <f>IF($U1402="","",INDEX(상세표[07~18시],$U1402))</f>
        <v/>
      </c>
      <c r="R1402">
        <f>IF($U1402="","",INDEX(상세표[18~22시],$U1402))</f>
        <v/>
      </c>
      <c r="S1402">
        <f>IF($U1402="","",INDEX(상세표[22~06시],$U1402))</f>
        <v/>
      </c>
      <c r="T1402">
        <f>IF($U1402="","",INDEX(상세표[기록 시간외],$U1402))</f>
        <v/>
      </c>
      <c r="U1402" s="4">
        <f>IFERROR(MATCH(1397,상세표[발송순번],0),"")</f>
        <v/>
      </c>
    </row>
    <row r="1403">
      <c r="J1403">
        <f>IF($U1403="","",INDEX(상세표[사번],$U1403)&amp;"")</f>
        <v/>
      </c>
      <c r="K1403">
        <f>IF($U1403="","",INDEX(상세표[성명],$U1403)&amp;"")</f>
        <v/>
      </c>
      <c r="L1403">
        <f>IF($U1403="","",INDEX(상세표[직위],$U1403)&amp;"")</f>
        <v/>
      </c>
      <c r="M1403">
        <f>IF($U1403="","",IF(ISNUMBER(INDEX(상세표[근무일자],$U1403)),TEXT(INDEX(상세표[근무일자],$U1403),"yyyy-mm-dd"),INDEX(상세표[근무일자],$U1403)&amp;""))</f>
        <v/>
      </c>
      <c r="N1403">
        <f>IF($U1403="","",IF(ISNUMBER(INDEX(상세표[시작],$U1403)),TEXT(INDEX(상세표[시작],$U1403),"yyyy-mm-dd hh:mm"),INDEX(상세표[시작],$U1403)&amp;""))</f>
        <v/>
      </c>
      <c r="O1403">
        <f>IF($U1403="","",IF(ISNUMBER(INDEX(상세표[종료],$U1403)),TEXT(INDEX(상세표[종료],$U1403),"yyyy-mm-dd hh:mm"),INDEX(상세표[종료],$U1403)&amp;""))</f>
        <v/>
      </c>
      <c r="P1403">
        <f>IF($U1403="","",INDEX(상세표[06~07시],$U1403))</f>
        <v/>
      </c>
      <c r="Q1403">
        <f>IF($U1403="","",INDEX(상세표[07~18시],$U1403))</f>
        <v/>
      </c>
      <c r="R1403">
        <f>IF($U1403="","",INDEX(상세표[18~22시],$U1403))</f>
        <v/>
      </c>
      <c r="S1403">
        <f>IF($U1403="","",INDEX(상세표[22~06시],$U1403))</f>
        <v/>
      </c>
      <c r="T1403">
        <f>IF($U1403="","",INDEX(상세표[기록 시간외],$U1403))</f>
        <v/>
      </c>
      <c r="U1403" s="4">
        <f>IFERROR(MATCH(1398,상세표[발송순번],0),"")</f>
        <v/>
      </c>
    </row>
    <row r="1404">
      <c r="J1404">
        <f>IF($U1404="","",INDEX(상세표[사번],$U1404)&amp;"")</f>
        <v/>
      </c>
      <c r="K1404">
        <f>IF($U1404="","",INDEX(상세표[성명],$U1404)&amp;"")</f>
        <v/>
      </c>
      <c r="L1404">
        <f>IF($U1404="","",INDEX(상세표[직위],$U1404)&amp;"")</f>
        <v/>
      </c>
      <c r="M1404">
        <f>IF($U1404="","",IF(ISNUMBER(INDEX(상세표[근무일자],$U1404)),TEXT(INDEX(상세표[근무일자],$U1404),"yyyy-mm-dd"),INDEX(상세표[근무일자],$U1404)&amp;""))</f>
        <v/>
      </c>
      <c r="N1404">
        <f>IF($U1404="","",IF(ISNUMBER(INDEX(상세표[시작],$U1404)),TEXT(INDEX(상세표[시작],$U1404),"yyyy-mm-dd hh:mm"),INDEX(상세표[시작],$U1404)&amp;""))</f>
        <v/>
      </c>
      <c r="O1404">
        <f>IF($U1404="","",IF(ISNUMBER(INDEX(상세표[종료],$U1404)),TEXT(INDEX(상세표[종료],$U1404),"yyyy-mm-dd hh:mm"),INDEX(상세표[종료],$U1404)&amp;""))</f>
        <v/>
      </c>
      <c r="P1404">
        <f>IF($U1404="","",INDEX(상세표[06~07시],$U1404))</f>
        <v/>
      </c>
      <c r="Q1404">
        <f>IF($U1404="","",INDEX(상세표[07~18시],$U1404))</f>
        <v/>
      </c>
      <c r="R1404">
        <f>IF($U1404="","",INDEX(상세표[18~22시],$U1404))</f>
        <v/>
      </c>
      <c r="S1404">
        <f>IF($U1404="","",INDEX(상세표[22~06시],$U1404))</f>
        <v/>
      </c>
      <c r="T1404">
        <f>IF($U1404="","",INDEX(상세표[기록 시간외],$U1404))</f>
        <v/>
      </c>
      <c r="U1404" s="4">
        <f>IFERROR(MATCH(1399,상세표[발송순번],0),"")</f>
        <v/>
      </c>
    </row>
    <row r="1405">
      <c r="J1405">
        <f>IF($U1405="","",INDEX(상세표[사번],$U1405)&amp;"")</f>
        <v/>
      </c>
      <c r="K1405">
        <f>IF($U1405="","",INDEX(상세표[성명],$U1405)&amp;"")</f>
        <v/>
      </c>
      <c r="L1405">
        <f>IF($U1405="","",INDEX(상세표[직위],$U1405)&amp;"")</f>
        <v/>
      </c>
      <c r="M1405">
        <f>IF($U1405="","",IF(ISNUMBER(INDEX(상세표[근무일자],$U1405)),TEXT(INDEX(상세표[근무일자],$U1405),"yyyy-mm-dd"),INDEX(상세표[근무일자],$U1405)&amp;""))</f>
        <v/>
      </c>
      <c r="N1405">
        <f>IF($U1405="","",IF(ISNUMBER(INDEX(상세표[시작],$U1405)),TEXT(INDEX(상세표[시작],$U1405),"yyyy-mm-dd hh:mm"),INDEX(상세표[시작],$U1405)&amp;""))</f>
        <v/>
      </c>
      <c r="O1405">
        <f>IF($U1405="","",IF(ISNUMBER(INDEX(상세표[종료],$U1405)),TEXT(INDEX(상세표[종료],$U1405),"yyyy-mm-dd hh:mm"),INDEX(상세표[종료],$U1405)&amp;""))</f>
        <v/>
      </c>
      <c r="P1405">
        <f>IF($U1405="","",INDEX(상세표[06~07시],$U1405))</f>
        <v/>
      </c>
      <c r="Q1405">
        <f>IF($U1405="","",INDEX(상세표[07~18시],$U1405))</f>
        <v/>
      </c>
      <c r="R1405">
        <f>IF($U1405="","",INDEX(상세표[18~22시],$U1405))</f>
        <v/>
      </c>
      <c r="S1405">
        <f>IF($U1405="","",INDEX(상세표[22~06시],$U1405))</f>
        <v/>
      </c>
      <c r="T1405">
        <f>IF($U1405="","",INDEX(상세표[기록 시간외],$U1405))</f>
        <v/>
      </c>
      <c r="U1405" s="4">
        <f>IFERROR(MATCH(1400,상세표[발송순번],0),"")</f>
        <v/>
      </c>
    </row>
    <row r="1406">
      <c r="J1406">
        <f>IF($U1406="","",INDEX(상세표[사번],$U1406)&amp;"")</f>
        <v/>
      </c>
      <c r="K1406">
        <f>IF($U1406="","",INDEX(상세표[성명],$U1406)&amp;"")</f>
        <v/>
      </c>
      <c r="L1406">
        <f>IF($U1406="","",INDEX(상세표[직위],$U1406)&amp;"")</f>
        <v/>
      </c>
      <c r="M1406">
        <f>IF($U1406="","",IF(ISNUMBER(INDEX(상세표[근무일자],$U1406)),TEXT(INDEX(상세표[근무일자],$U1406),"yyyy-mm-dd"),INDEX(상세표[근무일자],$U1406)&amp;""))</f>
        <v/>
      </c>
      <c r="N1406">
        <f>IF($U1406="","",IF(ISNUMBER(INDEX(상세표[시작],$U1406)),TEXT(INDEX(상세표[시작],$U1406),"yyyy-mm-dd hh:mm"),INDEX(상세표[시작],$U1406)&amp;""))</f>
        <v/>
      </c>
      <c r="O1406">
        <f>IF($U1406="","",IF(ISNUMBER(INDEX(상세표[종료],$U1406)),TEXT(INDEX(상세표[종료],$U1406),"yyyy-mm-dd hh:mm"),INDEX(상세표[종료],$U1406)&amp;""))</f>
        <v/>
      </c>
      <c r="P1406">
        <f>IF($U1406="","",INDEX(상세표[06~07시],$U1406))</f>
        <v/>
      </c>
      <c r="Q1406">
        <f>IF($U1406="","",INDEX(상세표[07~18시],$U1406))</f>
        <v/>
      </c>
      <c r="R1406">
        <f>IF($U1406="","",INDEX(상세표[18~22시],$U1406))</f>
        <v/>
      </c>
      <c r="S1406">
        <f>IF($U1406="","",INDEX(상세표[22~06시],$U1406))</f>
        <v/>
      </c>
      <c r="T1406">
        <f>IF($U1406="","",INDEX(상세표[기록 시간외],$U1406))</f>
        <v/>
      </c>
      <c r="U1406" s="4">
        <f>IFERROR(MATCH(1401,상세표[발송순번],0),"")</f>
        <v/>
      </c>
    </row>
    <row r="1407">
      <c r="J1407">
        <f>IF($U1407="","",INDEX(상세표[사번],$U1407)&amp;"")</f>
        <v/>
      </c>
      <c r="K1407">
        <f>IF($U1407="","",INDEX(상세표[성명],$U1407)&amp;"")</f>
        <v/>
      </c>
      <c r="L1407">
        <f>IF($U1407="","",INDEX(상세표[직위],$U1407)&amp;"")</f>
        <v/>
      </c>
      <c r="M1407">
        <f>IF($U1407="","",IF(ISNUMBER(INDEX(상세표[근무일자],$U1407)),TEXT(INDEX(상세표[근무일자],$U1407),"yyyy-mm-dd"),INDEX(상세표[근무일자],$U1407)&amp;""))</f>
        <v/>
      </c>
      <c r="N1407">
        <f>IF($U1407="","",IF(ISNUMBER(INDEX(상세표[시작],$U1407)),TEXT(INDEX(상세표[시작],$U1407),"yyyy-mm-dd hh:mm"),INDEX(상세표[시작],$U1407)&amp;""))</f>
        <v/>
      </c>
      <c r="O1407">
        <f>IF($U1407="","",IF(ISNUMBER(INDEX(상세표[종료],$U1407)),TEXT(INDEX(상세표[종료],$U1407),"yyyy-mm-dd hh:mm"),INDEX(상세표[종료],$U1407)&amp;""))</f>
        <v/>
      </c>
      <c r="P1407">
        <f>IF($U1407="","",INDEX(상세표[06~07시],$U1407))</f>
        <v/>
      </c>
      <c r="Q1407">
        <f>IF($U1407="","",INDEX(상세표[07~18시],$U1407))</f>
        <v/>
      </c>
      <c r="R1407">
        <f>IF($U1407="","",INDEX(상세표[18~22시],$U1407))</f>
        <v/>
      </c>
      <c r="S1407">
        <f>IF($U1407="","",INDEX(상세표[22~06시],$U1407))</f>
        <v/>
      </c>
      <c r="T1407">
        <f>IF($U1407="","",INDEX(상세표[기록 시간외],$U1407))</f>
        <v/>
      </c>
      <c r="U1407" s="4">
        <f>IFERROR(MATCH(1402,상세표[발송순번],0),"")</f>
        <v/>
      </c>
    </row>
    <row r="1408">
      <c r="J1408">
        <f>IF($U1408="","",INDEX(상세표[사번],$U1408)&amp;"")</f>
        <v/>
      </c>
      <c r="K1408">
        <f>IF($U1408="","",INDEX(상세표[성명],$U1408)&amp;"")</f>
        <v/>
      </c>
      <c r="L1408">
        <f>IF($U1408="","",INDEX(상세표[직위],$U1408)&amp;"")</f>
        <v/>
      </c>
      <c r="M1408">
        <f>IF($U1408="","",IF(ISNUMBER(INDEX(상세표[근무일자],$U1408)),TEXT(INDEX(상세표[근무일자],$U1408),"yyyy-mm-dd"),INDEX(상세표[근무일자],$U1408)&amp;""))</f>
        <v/>
      </c>
      <c r="N1408">
        <f>IF($U1408="","",IF(ISNUMBER(INDEX(상세표[시작],$U1408)),TEXT(INDEX(상세표[시작],$U1408),"yyyy-mm-dd hh:mm"),INDEX(상세표[시작],$U1408)&amp;""))</f>
        <v/>
      </c>
      <c r="O1408">
        <f>IF($U1408="","",IF(ISNUMBER(INDEX(상세표[종료],$U1408)),TEXT(INDEX(상세표[종료],$U1408),"yyyy-mm-dd hh:mm"),INDEX(상세표[종료],$U1408)&amp;""))</f>
        <v/>
      </c>
      <c r="P1408">
        <f>IF($U1408="","",INDEX(상세표[06~07시],$U1408))</f>
        <v/>
      </c>
      <c r="Q1408">
        <f>IF($U1408="","",INDEX(상세표[07~18시],$U1408))</f>
        <v/>
      </c>
      <c r="R1408">
        <f>IF($U1408="","",INDEX(상세표[18~22시],$U1408))</f>
        <v/>
      </c>
      <c r="S1408">
        <f>IF($U1408="","",INDEX(상세표[22~06시],$U1408))</f>
        <v/>
      </c>
      <c r="T1408">
        <f>IF($U1408="","",INDEX(상세표[기록 시간외],$U1408))</f>
        <v/>
      </c>
      <c r="U1408" s="4">
        <f>IFERROR(MATCH(1403,상세표[발송순번],0),"")</f>
        <v/>
      </c>
    </row>
    <row r="1409">
      <c r="J1409">
        <f>IF($U1409="","",INDEX(상세표[사번],$U1409)&amp;"")</f>
        <v/>
      </c>
      <c r="K1409">
        <f>IF($U1409="","",INDEX(상세표[성명],$U1409)&amp;"")</f>
        <v/>
      </c>
      <c r="L1409">
        <f>IF($U1409="","",INDEX(상세표[직위],$U1409)&amp;"")</f>
        <v/>
      </c>
      <c r="M1409">
        <f>IF($U1409="","",IF(ISNUMBER(INDEX(상세표[근무일자],$U1409)),TEXT(INDEX(상세표[근무일자],$U1409),"yyyy-mm-dd"),INDEX(상세표[근무일자],$U1409)&amp;""))</f>
        <v/>
      </c>
      <c r="N1409">
        <f>IF($U1409="","",IF(ISNUMBER(INDEX(상세표[시작],$U1409)),TEXT(INDEX(상세표[시작],$U1409),"yyyy-mm-dd hh:mm"),INDEX(상세표[시작],$U1409)&amp;""))</f>
        <v/>
      </c>
      <c r="O1409">
        <f>IF($U1409="","",IF(ISNUMBER(INDEX(상세표[종료],$U1409)),TEXT(INDEX(상세표[종료],$U1409),"yyyy-mm-dd hh:mm"),INDEX(상세표[종료],$U1409)&amp;""))</f>
        <v/>
      </c>
      <c r="P1409">
        <f>IF($U1409="","",INDEX(상세표[06~07시],$U1409))</f>
        <v/>
      </c>
      <c r="Q1409">
        <f>IF($U1409="","",INDEX(상세표[07~18시],$U1409))</f>
        <v/>
      </c>
      <c r="R1409">
        <f>IF($U1409="","",INDEX(상세표[18~22시],$U1409))</f>
        <v/>
      </c>
      <c r="S1409">
        <f>IF($U1409="","",INDEX(상세표[22~06시],$U1409))</f>
        <v/>
      </c>
      <c r="T1409">
        <f>IF($U1409="","",INDEX(상세표[기록 시간외],$U1409))</f>
        <v/>
      </c>
      <c r="U1409" s="4">
        <f>IFERROR(MATCH(1404,상세표[발송순번],0),"")</f>
        <v/>
      </c>
    </row>
    <row r="1410">
      <c r="J1410">
        <f>IF($U1410="","",INDEX(상세표[사번],$U1410)&amp;"")</f>
        <v/>
      </c>
      <c r="K1410">
        <f>IF($U1410="","",INDEX(상세표[성명],$U1410)&amp;"")</f>
        <v/>
      </c>
      <c r="L1410">
        <f>IF($U1410="","",INDEX(상세표[직위],$U1410)&amp;"")</f>
        <v/>
      </c>
      <c r="M1410">
        <f>IF($U1410="","",IF(ISNUMBER(INDEX(상세표[근무일자],$U1410)),TEXT(INDEX(상세표[근무일자],$U1410),"yyyy-mm-dd"),INDEX(상세표[근무일자],$U1410)&amp;""))</f>
        <v/>
      </c>
      <c r="N1410">
        <f>IF($U1410="","",IF(ISNUMBER(INDEX(상세표[시작],$U1410)),TEXT(INDEX(상세표[시작],$U1410),"yyyy-mm-dd hh:mm"),INDEX(상세표[시작],$U1410)&amp;""))</f>
        <v/>
      </c>
      <c r="O1410">
        <f>IF($U1410="","",IF(ISNUMBER(INDEX(상세표[종료],$U1410)),TEXT(INDEX(상세표[종료],$U1410),"yyyy-mm-dd hh:mm"),INDEX(상세표[종료],$U1410)&amp;""))</f>
        <v/>
      </c>
      <c r="P1410">
        <f>IF($U1410="","",INDEX(상세표[06~07시],$U1410))</f>
        <v/>
      </c>
      <c r="Q1410">
        <f>IF($U1410="","",INDEX(상세표[07~18시],$U1410))</f>
        <v/>
      </c>
      <c r="R1410">
        <f>IF($U1410="","",INDEX(상세표[18~22시],$U1410))</f>
        <v/>
      </c>
      <c r="S1410">
        <f>IF($U1410="","",INDEX(상세표[22~06시],$U1410))</f>
        <v/>
      </c>
      <c r="T1410">
        <f>IF($U1410="","",INDEX(상세표[기록 시간외],$U1410))</f>
        <v/>
      </c>
      <c r="U1410" s="4">
        <f>IFERROR(MATCH(1405,상세표[발송순번],0),"")</f>
        <v/>
      </c>
    </row>
    <row r="1411">
      <c r="J1411">
        <f>IF($U1411="","",INDEX(상세표[사번],$U1411)&amp;"")</f>
        <v/>
      </c>
      <c r="K1411">
        <f>IF($U1411="","",INDEX(상세표[성명],$U1411)&amp;"")</f>
        <v/>
      </c>
      <c r="L1411">
        <f>IF($U1411="","",INDEX(상세표[직위],$U1411)&amp;"")</f>
        <v/>
      </c>
      <c r="M1411">
        <f>IF($U1411="","",IF(ISNUMBER(INDEX(상세표[근무일자],$U1411)),TEXT(INDEX(상세표[근무일자],$U1411),"yyyy-mm-dd"),INDEX(상세표[근무일자],$U1411)&amp;""))</f>
        <v/>
      </c>
      <c r="N1411">
        <f>IF($U1411="","",IF(ISNUMBER(INDEX(상세표[시작],$U1411)),TEXT(INDEX(상세표[시작],$U1411),"yyyy-mm-dd hh:mm"),INDEX(상세표[시작],$U1411)&amp;""))</f>
        <v/>
      </c>
      <c r="O1411">
        <f>IF($U1411="","",IF(ISNUMBER(INDEX(상세표[종료],$U1411)),TEXT(INDEX(상세표[종료],$U1411),"yyyy-mm-dd hh:mm"),INDEX(상세표[종료],$U1411)&amp;""))</f>
        <v/>
      </c>
      <c r="P1411">
        <f>IF($U1411="","",INDEX(상세표[06~07시],$U1411))</f>
        <v/>
      </c>
      <c r="Q1411">
        <f>IF($U1411="","",INDEX(상세표[07~18시],$U1411))</f>
        <v/>
      </c>
      <c r="R1411">
        <f>IF($U1411="","",INDEX(상세표[18~22시],$U1411))</f>
        <v/>
      </c>
      <c r="S1411">
        <f>IF($U1411="","",INDEX(상세표[22~06시],$U1411))</f>
        <v/>
      </c>
      <c r="T1411">
        <f>IF($U1411="","",INDEX(상세표[기록 시간외],$U1411))</f>
        <v/>
      </c>
      <c r="U1411" s="4">
        <f>IFERROR(MATCH(1406,상세표[발송순번],0),"")</f>
        <v/>
      </c>
    </row>
    <row r="1412">
      <c r="J1412">
        <f>IF($U1412="","",INDEX(상세표[사번],$U1412)&amp;"")</f>
        <v/>
      </c>
      <c r="K1412">
        <f>IF($U1412="","",INDEX(상세표[성명],$U1412)&amp;"")</f>
        <v/>
      </c>
      <c r="L1412">
        <f>IF($U1412="","",INDEX(상세표[직위],$U1412)&amp;"")</f>
        <v/>
      </c>
      <c r="M1412">
        <f>IF($U1412="","",IF(ISNUMBER(INDEX(상세표[근무일자],$U1412)),TEXT(INDEX(상세표[근무일자],$U1412),"yyyy-mm-dd"),INDEX(상세표[근무일자],$U1412)&amp;""))</f>
        <v/>
      </c>
      <c r="N1412">
        <f>IF($U1412="","",IF(ISNUMBER(INDEX(상세표[시작],$U1412)),TEXT(INDEX(상세표[시작],$U1412),"yyyy-mm-dd hh:mm"),INDEX(상세표[시작],$U1412)&amp;""))</f>
        <v/>
      </c>
      <c r="O1412">
        <f>IF($U1412="","",IF(ISNUMBER(INDEX(상세표[종료],$U1412)),TEXT(INDEX(상세표[종료],$U1412),"yyyy-mm-dd hh:mm"),INDEX(상세표[종료],$U1412)&amp;""))</f>
        <v/>
      </c>
      <c r="P1412">
        <f>IF($U1412="","",INDEX(상세표[06~07시],$U1412))</f>
        <v/>
      </c>
      <c r="Q1412">
        <f>IF($U1412="","",INDEX(상세표[07~18시],$U1412))</f>
        <v/>
      </c>
      <c r="R1412">
        <f>IF($U1412="","",INDEX(상세표[18~22시],$U1412))</f>
        <v/>
      </c>
      <c r="S1412">
        <f>IF($U1412="","",INDEX(상세표[22~06시],$U1412))</f>
        <v/>
      </c>
      <c r="T1412">
        <f>IF($U1412="","",INDEX(상세표[기록 시간외],$U1412))</f>
        <v/>
      </c>
      <c r="U1412" s="4">
        <f>IFERROR(MATCH(1407,상세표[발송순번],0),"")</f>
        <v/>
      </c>
    </row>
    <row r="1413">
      <c r="J1413">
        <f>IF($U1413="","",INDEX(상세표[사번],$U1413)&amp;"")</f>
        <v/>
      </c>
      <c r="K1413">
        <f>IF($U1413="","",INDEX(상세표[성명],$U1413)&amp;"")</f>
        <v/>
      </c>
      <c r="L1413">
        <f>IF($U1413="","",INDEX(상세표[직위],$U1413)&amp;"")</f>
        <v/>
      </c>
      <c r="M1413">
        <f>IF($U1413="","",IF(ISNUMBER(INDEX(상세표[근무일자],$U1413)),TEXT(INDEX(상세표[근무일자],$U1413),"yyyy-mm-dd"),INDEX(상세표[근무일자],$U1413)&amp;""))</f>
        <v/>
      </c>
      <c r="N1413">
        <f>IF($U1413="","",IF(ISNUMBER(INDEX(상세표[시작],$U1413)),TEXT(INDEX(상세표[시작],$U1413),"yyyy-mm-dd hh:mm"),INDEX(상세표[시작],$U1413)&amp;""))</f>
        <v/>
      </c>
      <c r="O1413">
        <f>IF($U1413="","",IF(ISNUMBER(INDEX(상세표[종료],$U1413)),TEXT(INDEX(상세표[종료],$U1413),"yyyy-mm-dd hh:mm"),INDEX(상세표[종료],$U1413)&amp;""))</f>
        <v/>
      </c>
      <c r="P1413">
        <f>IF($U1413="","",INDEX(상세표[06~07시],$U1413))</f>
        <v/>
      </c>
      <c r="Q1413">
        <f>IF($U1413="","",INDEX(상세표[07~18시],$U1413))</f>
        <v/>
      </c>
      <c r="R1413">
        <f>IF($U1413="","",INDEX(상세표[18~22시],$U1413))</f>
        <v/>
      </c>
      <c r="S1413">
        <f>IF($U1413="","",INDEX(상세표[22~06시],$U1413))</f>
        <v/>
      </c>
      <c r="T1413">
        <f>IF($U1413="","",INDEX(상세표[기록 시간외],$U1413))</f>
        <v/>
      </c>
      <c r="U1413" s="4">
        <f>IFERROR(MATCH(1408,상세표[발송순번],0),"")</f>
        <v/>
      </c>
    </row>
    <row r="1414">
      <c r="J1414">
        <f>IF($U1414="","",INDEX(상세표[사번],$U1414)&amp;"")</f>
        <v/>
      </c>
      <c r="K1414">
        <f>IF($U1414="","",INDEX(상세표[성명],$U1414)&amp;"")</f>
        <v/>
      </c>
      <c r="L1414">
        <f>IF($U1414="","",INDEX(상세표[직위],$U1414)&amp;"")</f>
        <v/>
      </c>
      <c r="M1414">
        <f>IF($U1414="","",IF(ISNUMBER(INDEX(상세표[근무일자],$U1414)),TEXT(INDEX(상세표[근무일자],$U1414),"yyyy-mm-dd"),INDEX(상세표[근무일자],$U1414)&amp;""))</f>
        <v/>
      </c>
      <c r="N1414">
        <f>IF($U1414="","",IF(ISNUMBER(INDEX(상세표[시작],$U1414)),TEXT(INDEX(상세표[시작],$U1414),"yyyy-mm-dd hh:mm"),INDEX(상세표[시작],$U1414)&amp;""))</f>
        <v/>
      </c>
      <c r="O1414">
        <f>IF($U1414="","",IF(ISNUMBER(INDEX(상세표[종료],$U1414)),TEXT(INDEX(상세표[종료],$U1414),"yyyy-mm-dd hh:mm"),INDEX(상세표[종료],$U1414)&amp;""))</f>
        <v/>
      </c>
      <c r="P1414">
        <f>IF($U1414="","",INDEX(상세표[06~07시],$U1414))</f>
        <v/>
      </c>
      <c r="Q1414">
        <f>IF($U1414="","",INDEX(상세표[07~18시],$U1414))</f>
        <v/>
      </c>
      <c r="R1414">
        <f>IF($U1414="","",INDEX(상세표[18~22시],$U1414))</f>
        <v/>
      </c>
      <c r="S1414">
        <f>IF($U1414="","",INDEX(상세표[22~06시],$U1414))</f>
        <v/>
      </c>
      <c r="T1414">
        <f>IF($U1414="","",INDEX(상세표[기록 시간외],$U1414))</f>
        <v/>
      </c>
      <c r="U1414" s="4">
        <f>IFERROR(MATCH(1409,상세표[발송순번],0),"")</f>
        <v/>
      </c>
    </row>
    <row r="1415">
      <c r="J1415">
        <f>IF($U1415="","",INDEX(상세표[사번],$U1415)&amp;"")</f>
        <v/>
      </c>
      <c r="K1415">
        <f>IF($U1415="","",INDEX(상세표[성명],$U1415)&amp;"")</f>
        <v/>
      </c>
      <c r="L1415">
        <f>IF($U1415="","",INDEX(상세표[직위],$U1415)&amp;"")</f>
        <v/>
      </c>
      <c r="M1415">
        <f>IF($U1415="","",IF(ISNUMBER(INDEX(상세표[근무일자],$U1415)),TEXT(INDEX(상세표[근무일자],$U1415),"yyyy-mm-dd"),INDEX(상세표[근무일자],$U1415)&amp;""))</f>
        <v/>
      </c>
      <c r="N1415">
        <f>IF($U1415="","",IF(ISNUMBER(INDEX(상세표[시작],$U1415)),TEXT(INDEX(상세표[시작],$U1415),"yyyy-mm-dd hh:mm"),INDEX(상세표[시작],$U1415)&amp;""))</f>
        <v/>
      </c>
      <c r="O1415">
        <f>IF($U1415="","",IF(ISNUMBER(INDEX(상세표[종료],$U1415)),TEXT(INDEX(상세표[종료],$U1415),"yyyy-mm-dd hh:mm"),INDEX(상세표[종료],$U1415)&amp;""))</f>
        <v/>
      </c>
      <c r="P1415">
        <f>IF($U1415="","",INDEX(상세표[06~07시],$U1415))</f>
        <v/>
      </c>
      <c r="Q1415">
        <f>IF($U1415="","",INDEX(상세표[07~18시],$U1415))</f>
        <v/>
      </c>
      <c r="R1415">
        <f>IF($U1415="","",INDEX(상세표[18~22시],$U1415))</f>
        <v/>
      </c>
      <c r="S1415">
        <f>IF($U1415="","",INDEX(상세표[22~06시],$U1415))</f>
        <v/>
      </c>
      <c r="T1415">
        <f>IF($U1415="","",INDEX(상세표[기록 시간외],$U1415))</f>
        <v/>
      </c>
      <c r="U1415" s="4">
        <f>IFERROR(MATCH(1410,상세표[발송순번],0),"")</f>
        <v/>
      </c>
    </row>
    <row r="1416">
      <c r="J1416">
        <f>IF($U1416="","",INDEX(상세표[사번],$U1416)&amp;"")</f>
        <v/>
      </c>
      <c r="K1416">
        <f>IF($U1416="","",INDEX(상세표[성명],$U1416)&amp;"")</f>
        <v/>
      </c>
      <c r="L1416">
        <f>IF($U1416="","",INDEX(상세표[직위],$U1416)&amp;"")</f>
        <v/>
      </c>
      <c r="M1416">
        <f>IF($U1416="","",IF(ISNUMBER(INDEX(상세표[근무일자],$U1416)),TEXT(INDEX(상세표[근무일자],$U1416),"yyyy-mm-dd"),INDEX(상세표[근무일자],$U1416)&amp;""))</f>
        <v/>
      </c>
      <c r="N1416">
        <f>IF($U1416="","",IF(ISNUMBER(INDEX(상세표[시작],$U1416)),TEXT(INDEX(상세표[시작],$U1416),"yyyy-mm-dd hh:mm"),INDEX(상세표[시작],$U1416)&amp;""))</f>
        <v/>
      </c>
      <c r="O1416">
        <f>IF($U1416="","",IF(ISNUMBER(INDEX(상세표[종료],$U1416)),TEXT(INDEX(상세표[종료],$U1416),"yyyy-mm-dd hh:mm"),INDEX(상세표[종료],$U1416)&amp;""))</f>
        <v/>
      </c>
      <c r="P1416">
        <f>IF($U1416="","",INDEX(상세표[06~07시],$U1416))</f>
        <v/>
      </c>
      <c r="Q1416">
        <f>IF($U1416="","",INDEX(상세표[07~18시],$U1416))</f>
        <v/>
      </c>
      <c r="R1416">
        <f>IF($U1416="","",INDEX(상세표[18~22시],$U1416))</f>
        <v/>
      </c>
      <c r="S1416">
        <f>IF($U1416="","",INDEX(상세표[22~06시],$U1416))</f>
        <v/>
      </c>
      <c r="T1416">
        <f>IF($U1416="","",INDEX(상세표[기록 시간외],$U1416))</f>
        <v/>
      </c>
      <c r="U1416" s="4">
        <f>IFERROR(MATCH(1411,상세표[발송순번],0),"")</f>
        <v/>
      </c>
    </row>
    <row r="1417">
      <c r="J1417">
        <f>IF($U1417="","",INDEX(상세표[사번],$U1417)&amp;"")</f>
        <v/>
      </c>
      <c r="K1417">
        <f>IF($U1417="","",INDEX(상세표[성명],$U1417)&amp;"")</f>
        <v/>
      </c>
      <c r="L1417">
        <f>IF($U1417="","",INDEX(상세표[직위],$U1417)&amp;"")</f>
        <v/>
      </c>
      <c r="M1417">
        <f>IF($U1417="","",IF(ISNUMBER(INDEX(상세표[근무일자],$U1417)),TEXT(INDEX(상세표[근무일자],$U1417),"yyyy-mm-dd"),INDEX(상세표[근무일자],$U1417)&amp;""))</f>
        <v/>
      </c>
      <c r="N1417">
        <f>IF($U1417="","",IF(ISNUMBER(INDEX(상세표[시작],$U1417)),TEXT(INDEX(상세표[시작],$U1417),"yyyy-mm-dd hh:mm"),INDEX(상세표[시작],$U1417)&amp;""))</f>
        <v/>
      </c>
      <c r="O1417">
        <f>IF($U1417="","",IF(ISNUMBER(INDEX(상세표[종료],$U1417)),TEXT(INDEX(상세표[종료],$U1417),"yyyy-mm-dd hh:mm"),INDEX(상세표[종료],$U1417)&amp;""))</f>
        <v/>
      </c>
      <c r="P1417">
        <f>IF($U1417="","",INDEX(상세표[06~07시],$U1417))</f>
        <v/>
      </c>
      <c r="Q1417">
        <f>IF($U1417="","",INDEX(상세표[07~18시],$U1417))</f>
        <v/>
      </c>
      <c r="R1417">
        <f>IF($U1417="","",INDEX(상세표[18~22시],$U1417))</f>
        <v/>
      </c>
      <c r="S1417">
        <f>IF($U1417="","",INDEX(상세표[22~06시],$U1417))</f>
        <v/>
      </c>
      <c r="T1417">
        <f>IF($U1417="","",INDEX(상세표[기록 시간외],$U1417))</f>
        <v/>
      </c>
      <c r="U1417" s="4">
        <f>IFERROR(MATCH(1412,상세표[발송순번],0),"")</f>
        <v/>
      </c>
    </row>
    <row r="1418">
      <c r="J1418">
        <f>IF($U1418="","",INDEX(상세표[사번],$U1418)&amp;"")</f>
        <v/>
      </c>
      <c r="K1418">
        <f>IF($U1418="","",INDEX(상세표[성명],$U1418)&amp;"")</f>
        <v/>
      </c>
      <c r="L1418">
        <f>IF($U1418="","",INDEX(상세표[직위],$U1418)&amp;"")</f>
        <v/>
      </c>
      <c r="M1418">
        <f>IF($U1418="","",IF(ISNUMBER(INDEX(상세표[근무일자],$U1418)),TEXT(INDEX(상세표[근무일자],$U1418),"yyyy-mm-dd"),INDEX(상세표[근무일자],$U1418)&amp;""))</f>
        <v/>
      </c>
      <c r="N1418">
        <f>IF($U1418="","",IF(ISNUMBER(INDEX(상세표[시작],$U1418)),TEXT(INDEX(상세표[시작],$U1418),"yyyy-mm-dd hh:mm"),INDEX(상세표[시작],$U1418)&amp;""))</f>
        <v/>
      </c>
      <c r="O1418">
        <f>IF($U1418="","",IF(ISNUMBER(INDEX(상세표[종료],$U1418)),TEXT(INDEX(상세표[종료],$U1418),"yyyy-mm-dd hh:mm"),INDEX(상세표[종료],$U1418)&amp;""))</f>
        <v/>
      </c>
      <c r="P1418">
        <f>IF($U1418="","",INDEX(상세표[06~07시],$U1418))</f>
        <v/>
      </c>
      <c r="Q1418">
        <f>IF($U1418="","",INDEX(상세표[07~18시],$U1418))</f>
        <v/>
      </c>
      <c r="R1418">
        <f>IF($U1418="","",INDEX(상세표[18~22시],$U1418))</f>
        <v/>
      </c>
      <c r="S1418">
        <f>IF($U1418="","",INDEX(상세표[22~06시],$U1418))</f>
        <v/>
      </c>
      <c r="T1418">
        <f>IF($U1418="","",INDEX(상세표[기록 시간외],$U1418))</f>
        <v/>
      </c>
      <c r="U1418" s="4">
        <f>IFERROR(MATCH(1413,상세표[발송순번],0),"")</f>
        <v/>
      </c>
    </row>
    <row r="1419">
      <c r="J1419">
        <f>IF($U1419="","",INDEX(상세표[사번],$U1419)&amp;"")</f>
        <v/>
      </c>
      <c r="K1419">
        <f>IF($U1419="","",INDEX(상세표[성명],$U1419)&amp;"")</f>
        <v/>
      </c>
      <c r="L1419">
        <f>IF($U1419="","",INDEX(상세표[직위],$U1419)&amp;"")</f>
        <v/>
      </c>
      <c r="M1419">
        <f>IF($U1419="","",IF(ISNUMBER(INDEX(상세표[근무일자],$U1419)),TEXT(INDEX(상세표[근무일자],$U1419),"yyyy-mm-dd"),INDEX(상세표[근무일자],$U1419)&amp;""))</f>
        <v/>
      </c>
      <c r="N1419">
        <f>IF($U1419="","",IF(ISNUMBER(INDEX(상세표[시작],$U1419)),TEXT(INDEX(상세표[시작],$U1419),"yyyy-mm-dd hh:mm"),INDEX(상세표[시작],$U1419)&amp;""))</f>
        <v/>
      </c>
      <c r="O1419">
        <f>IF($U1419="","",IF(ISNUMBER(INDEX(상세표[종료],$U1419)),TEXT(INDEX(상세표[종료],$U1419),"yyyy-mm-dd hh:mm"),INDEX(상세표[종료],$U1419)&amp;""))</f>
        <v/>
      </c>
      <c r="P1419">
        <f>IF($U1419="","",INDEX(상세표[06~07시],$U1419))</f>
        <v/>
      </c>
      <c r="Q1419">
        <f>IF($U1419="","",INDEX(상세표[07~18시],$U1419))</f>
        <v/>
      </c>
      <c r="R1419">
        <f>IF($U1419="","",INDEX(상세표[18~22시],$U1419))</f>
        <v/>
      </c>
      <c r="S1419">
        <f>IF($U1419="","",INDEX(상세표[22~06시],$U1419))</f>
        <v/>
      </c>
      <c r="T1419">
        <f>IF($U1419="","",INDEX(상세표[기록 시간외],$U1419))</f>
        <v/>
      </c>
      <c r="U1419" s="4">
        <f>IFERROR(MATCH(1414,상세표[발송순번],0),"")</f>
        <v/>
      </c>
    </row>
    <row r="1420">
      <c r="J1420">
        <f>IF($U1420="","",INDEX(상세표[사번],$U1420)&amp;"")</f>
        <v/>
      </c>
      <c r="K1420">
        <f>IF($U1420="","",INDEX(상세표[성명],$U1420)&amp;"")</f>
        <v/>
      </c>
      <c r="L1420">
        <f>IF($U1420="","",INDEX(상세표[직위],$U1420)&amp;"")</f>
        <v/>
      </c>
      <c r="M1420">
        <f>IF($U1420="","",IF(ISNUMBER(INDEX(상세표[근무일자],$U1420)),TEXT(INDEX(상세표[근무일자],$U1420),"yyyy-mm-dd"),INDEX(상세표[근무일자],$U1420)&amp;""))</f>
        <v/>
      </c>
      <c r="N1420">
        <f>IF($U1420="","",IF(ISNUMBER(INDEX(상세표[시작],$U1420)),TEXT(INDEX(상세표[시작],$U1420),"yyyy-mm-dd hh:mm"),INDEX(상세표[시작],$U1420)&amp;""))</f>
        <v/>
      </c>
      <c r="O1420">
        <f>IF($U1420="","",IF(ISNUMBER(INDEX(상세표[종료],$U1420)),TEXT(INDEX(상세표[종료],$U1420),"yyyy-mm-dd hh:mm"),INDEX(상세표[종료],$U1420)&amp;""))</f>
        <v/>
      </c>
      <c r="P1420">
        <f>IF($U1420="","",INDEX(상세표[06~07시],$U1420))</f>
        <v/>
      </c>
      <c r="Q1420">
        <f>IF($U1420="","",INDEX(상세표[07~18시],$U1420))</f>
        <v/>
      </c>
      <c r="R1420">
        <f>IF($U1420="","",INDEX(상세표[18~22시],$U1420))</f>
        <v/>
      </c>
      <c r="S1420">
        <f>IF($U1420="","",INDEX(상세표[22~06시],$U1420))</f>
        <v/>
      </c>
      <c r="T1420">
        <f>IF($U1420="","",INDEX(상세표[기록 시간외],$U1420))</f>
        <v/>
      </c>
      <c r="U1420" s="4">
        <f>IFERROR(MATCH(1415,상세표[발송순번],0),"")</f>
        <v/>
      </c>
    </row>
    <row r="1421">
      <c r="J1421">
        <f>IF($U1421="","",INDEX(상세표[사번],$U1421)&amp;"")</f>
        <v/>
      </c>
      <c r="K1421">
        <f>IF($U1421="","",INDEX(상세표[성명],$U1421)&amp;"")</f>
        <v/>
      </c>
      <c r="L1421">
        <f>IF($U1421="","",INDEX(상세표[직위],$U1421)&amp;"")</f>
        <v/>
      </c>
      <c r="M1421">
        <f>IF($U1421="","",IF(ISNUMBER(INDEX(상세표[근무일자],$U1421)),TEXT(INDEX(상세표[근무일자],$U1421),"yyyy-mm-dd"),INDEX(상세표[근무일자],$U1421)&amp;""))</f>
        <v/>
      </c>
      <c r="N1421">
        <f>IF($U1421="","",IF(ISNUMBER(INDEX(상세표[시작],$U1421)),TEXT(INDEX(상세표[시작],$U1421),"yyyy-mm-dd hh:mm"),INDEX(상세표[시작],$U1421)&amp;""))</f>
        <v/>
      </c>
      <c r="O1421">
        <f>IF($U1421="","",IF(ISNUMBER(INDEX(상세표[종료],$U1421)),TEXT(INDEX(상세표[종료],$U1421),"yyyy-mm-dd hh:mm"),INDEX(상세표[종료],$U1421)&amp;""))</f>
        <v/>
      </c>
      <c r="P1421">
        <f>IF($U1421="","",INDEX(상세표[06~07시],$U1421))</f>
        <v/>
      </c>
      <c r="Q1421">
        <f>IF($U1421="","",INDEX(상세표[07~18시],$U1421))</f>
        <v/>
      </c>
      <c r="R1421">
        <f>IF($U1421="","",INDEX(상세표[18~22시],$U1421))</f>
        <v/>
      </c>
      <c r="S1421">
        <f>IF($U1421="","",INDEX(상세표[22~06시],$U1421))</f>
        <v/>
      </c>
      <c r="T1421">
        <f>IF($U1421="","",INDEX(상세표[기록 시간외],$U1421))</f>
        <v/>
      </c>
      <c r="U1421" s="4">
        <f>IFERROR(MATCH(1416,상세표[발송순번],0),"")</f>
        <v/>
      </c>
    </row>
    <row r="1422">
      <c r="J1422">
        <f>IF($U1422="","",INDEX(상세표[사번],$U1422)&amp;"")</f>
        <v/>
      </c>
      <c r="K1422">
        <f>IF($U1422="","",INDEX(상세표[성명],$U1422)&amp;"")</f>
        <v/>
      </c>
      <c r="L1422">
        <f>IF($U1422="","",INDEX(상세표[직위],$U1422)&amp;"")</f>
        <v/>
      </c>
      <c r="M1422">
        <f>IF($U1422="","",IF(ISNUMBER(INDEX(상세표[근무일자],$U1422)),TEXT(INDEX(상세표[근무일자],$U1422),"yyyy-mm-dd"),INDEX(상세표[근무일자],$U1422)&amp;""))</f>
        <v/>
      </c>
      <c r="N1422">
        <f>IF($U1422="","",IF(ISNUMBER(INDEX(상세표[시작],$U1422)),TEXT(INDEX(상세표[시작],$U1422),"yyyy-mm-dd hh:mm"),INDEX(상세표[시작],$U1422)&amp;""))</f>
        <v/>
      </c>
      <c r="O1422">
        <f>IF($U1422="","",IF(ISNUMBER(INDEX(상세표[종료],$U1422)),TEXT(INDEX(상세표[종료],$U1422),"yyyy-mm-dd hh:mm"),INDEX(상세표[종료],$U1422)&amp;""))</f>
        <v/>
      </c>
      <c r="P1422">
        <f>IF($U1422="","",INDEX(상세표[06~07시],$U1422))</f>
        <v/>
      </c>
      <c r="Q1422">
        <f>IF($U1422="","",INDEX(상세표[07~18시],$U1422))</f>
        <v/>
      </c>
      <c r="R1422">
        <f>IF($U1422="","",INDEX(상세표[18~22시],$U1422))</f>
        <v/>
      </c>
      <c r="S1422">
        <f>IF($U1422="","",INDEX(상세표[22~06시],$U1422))</f>
        <v/>
      </c>
      <c r="T1422">
        <f>IF($U1422="","",INDEX(상세표[기록 시간외],$U1422))</f>
        <v/>
      </c>
      <c r="U1422" s="4">
        <f>IFERROR(MATCH(1417,상세표[발송순번],0),"")</f>
        <v/>
      </c>
    </row>
    <row r="1423">
      <c r="J1423">
        <f>IF($U1423="","",INDEX(상세표[사번],$U1423)&amp;"")</f>
        <v/>
      </c>
      <c r="K1423">
        <f>IF($U1423="","",INDEX(상세표[성명],$U1423)&amp;"")</f>
        <v/>
      </c>
      <c r="L1423">
        <f>IF($U1423="","",INDEX(상세표[직위],$U1423)&amp;"")</f>
        <v/>
      </c>
      <c r="M1423">
        <f>IF($U1423="","",IF(ISNUMBER(INDEX(상세표[근무일자],$U1423)),TEXT(INDEX(상세표[근무일자],$U1423),"yyyy-mm-dd"),INDEX(상세표[근무일자],$U1423)&amp;""))</f>
        <v/>
      </c>
      <c r="N1423">
        <f>IF($U1423="","",IF(ISNUMBER(INDEX(상세표[시작],$U1423)),TEXT(INDEX(상세표[시작],$U1423),"yyyy-mm-dd hh:mm"),INDEX(상세표[시작],$U1423)&amp;""))</f>
        <v/>
      </c>
      <c r="O1423">
        <f>IF($U1423="","",IF(ISNUMBER(INDEX(상세표[종료],$U1423)),TEXT(INDEX(상세표[종료],$U1423),"yyyy-mm-dd hh:mm"),INDEX(상세표[종료],$U1423)&amp;""))</f>
        <v/>
      </c>
      <c r="P1423">
        <f>IF($U1423="","",INDEX(상세표[06~07시],$U1423))</f>
        <v/>
      </c>
      <c r="Q1423">
        <f>IF($U1423="","",INDEX(상세표[07~18시],$U1423))</f>
        <v/>
      </c>
      <c r="R1423">
        <f>IF($U1423="","",INDEX(상세표[18~22시],$U1423))</f>
        <v/>
      </c>
      <c r="S1423">
        <f>IF($U1423="","",INDEX(상세표[22~06시],$U1423))</f>
        <v/>
      </c>
      <c r="T1423">
        <f>IF($U1423="","",INDEX(상세표[기록 시간외],$U1423))</f>
        <v/>
      </c>
      <c r="U1423" s="4">
        <f>IFERROR(MATCH(1418,상세표[발송순번],0),"")</f>
        <v/>
      </c>
    </row>
    <row r="1424">
      <c r="J1424">
        <f>IF($U1424="","",INDEX(상세표[사번],$U1424)&amp;"")</f>
        <v/>
      </c>
      <c r="K1424">
        <f>IF($U1424="","",INDEX(상세표[성명],$U1424)&amp;"")</f>
        <v/>
      </c>
      <c r="L1424">
        <f>IF($U1424="","",INDEX(상세표[직위],$U1424)&amp;"")</f>
        <v/>
      </c>
      <c r="M1424">
        <f>IF($U1424="","",IF(ISNUMBER(INDEX(상세표[근무일자],$U1424)),TEXT(INDEX(상세표[근무일자],$U1424),"yyyy-mm-dd"),INDEX(상세표[근무일자],$U1424)&amp;""))</f>
        <v/>
      </c>
      <c r="N1424">
        <f>IF($U1424="","",IF(ISNUMBER(INDEX(상세표[시작],$U1424)),TEXT(INDEX(상세표[시작],$U1424),"yyyy-mm-dd hh:mm"),INDEX(상세표[시작],$U1424)&amp;""))</f>
        <v/>
      </c>
      <c r="O1424">
        <f>IF($U1424="","",IF(ISNUMBER(INDEX(상세표[종료],$U1424)),TEXT(INDEX(상세표[종료],$U1424),"yyyy-mm-dd hh:mm"),INDEX(상세표[종료],$U1424)&amp;""))</f>
        <v/>
      </c>
      <c r="P1424">
        <f>IF($U1424="","",INDEX(상세표[06~07시],$U1424))</f>
        <v/>
      </c>
      <c r="Q1424">
        <f>IF($U1424="","",INDEX(상세표[07~18시],$U1424))</f>
        <v/>
      </c>
      <c r="R1424">
        <f>IF($U1424="","",INDEX(상세표[18~22시],$U1424))</f>
        <v/>
      </c>
      <c r="S1424">
        <f>IF($U1424="","",INDEX(상세표[22~06시],$U1424))</f>
        <v/>
      </c>
      <c r="T1424">
        <f>IF($U1424="","",INDEX(상세표[기록 시간외],$U1424))</f>
        <v/>
      </c>
      <c r="U1424" s="4">
        <f>IFERROR(MATCH(1419,상세표[발송순번],0),"")</f>
        <v/>
      </c>
    </row>
    <row r="1425">
      <c r="J1425">
        <f>IF($U1425="","",INDEX(상세표[사번],$U1425)&amp;"")</f>
        <v/>
      </c>
      <c r="K1425">
        <f>IF($U1425="","",INDEX(상세표[성명],$U1425)&amp;"")</f>
        <v/>
      </c>
      <c r="L1425">
        <f>IF($U1425="","",INDEX(상세표[직위],$U1425)&amp;"")</f>
        <v/>
      </c>
      <c r="M1425">
        <f>IF($U1425="","",IF(ISNUMBER(INDEX(상세표[근무일자],$U1425)),TEXT(INDEX(상세표[근무일자],$U1425),"yyyy-mm-dd"),INDEX(상세표[근무일자],$U1425)&amp;""))</f>
        <v/>
      </c>
      <c r="N1425">
        <f>IF($U1425="","",IF(ISNUMBER(INDEX(상세표[시작],$U1425)),TEXT(INDEX(상세표[시작],$U1425),"yyyy-mm-dd hh:mm"),INDEX(상세표[시작],$U1425)&amp;""))</f>
        <v/>
      </c>
      <c r="O1425">
        <f>IF($U1425="","",IF(ISNUMBER(INDEX(상세표[종료],$U1425)),TEXT(INDEX(상세표[종료],$U1425),"yyyy-mm-dd hh:mm"),INDEX(상세표[종료],$U1425)&amp;""))</f>
        <v/>
      </c>
      <c r="P1425">
        <f>IF($U1425="","",INDEX(상세표[06~07시],$U1425))</f>
        <v/>
      </c>
      <c r="Q1425">
        <f>IF($U1425="","",INDEX(상세표[07~18시],$U1425))</f>
        <v/>
      </c>
      <c r="R1425">
        <f>IF($U1425="","",INDEX(상세표[18~22시],$U1425))</f>
        <v/>
      </c>
      <c r="S1425">
        <f>IF($U1425="","",INDEX(상세표[22~06시],$U1425))</f>
        <v/>
      </c>
      <c r="T1425">
        <f>IF($U1425="","",INDEX(상세표[기록 시간외],$U1425))</f>
        <v/>
      </c>
      <c r="U1425" s="4">
        <f>IFERROR(MATCH(1420,상세표[발송순번],0),"")</f>
        <v/>
      </c>
    </row>
    <row r="1426">
      <c r="J1426">
        <f>IF($U1426="","",INDEX(상세표[사번],$U1426)&amp;"")</f>
        <v/>
      </c>
      <c r="K1426">
        <f>IF($U1426="","",INDEX(상세표[성명],$U1426)&amp;"")</f>
        <v/>
      </c>
      <c r="L1426">
        <f>IF($U1426="","",INDEX(상세표[직위],$U1426)&amp;"")</f>
        <v/>
      </c>
      <c r="M1426">
        <f>IF($U1426="","",IF(ISNUMBER(INDEX(상세표[근무일자],$U1426)),TEXT(INDEX(상세표[근무일자],$U1426),"yyyy-mm-dd"),INDEX(상세표[근무일자],$U1426)&amp;""))</f>
        <v/>
      </c>
      <c r="N1426">
        <f>IF($U1426="","",IF(ISNUMBER(INDEX(상세표[시작],$U1426)),TEXT(INDEX(상세표[시작],$U1426),"yyyy-mm-dd hh:mm"),INDEX(상세표[시작],$U1426)&amp;""))</f>
        <v/>
      </c>
      <c r="O1426">
        <f>IF($U1426="","",IF(ISNUMBER(INDEX(상세표[종료],$U1426)),TEXT(INDEX(상세표[종료],$U1426),"yyyy-mm-dd hh:mm"),INDEX(상세표[종료],$U1426)&amp;""))</f>
        <v/>
      </c>
      <c r="P1426">
        <f>IF($U1426="","",INDEX(상세표[06~07시],$U1426))</f>
        <v/>
      </c>
      <c r="Q1426">
        <f>IF($U1426="","",INDEX(상세표[07~18시],$U1426))</f>
        <v/>
      </c>
      <c r="R1426">
        <f>IF($U1426="","",INDEX(상세표[18~22시],$U1426))</f>
        <v/>
      </c>
      <c r="S1426">
        <f>IF($U1426="","",INDEX(상세표[22~06시],$U1426))</f>
        <v/>
      </c>
      <c r="T1426">
        <f>IF($U1426="","",INDEX(상세표[기록 시간외],$U1426))</f>
        <v/>
      </c>
      <c r="U1426" s="4">
        <f>IFERROR(MATCH(1421,상세표[발송순번],0),"")</f>
        <v/>
      </c>
    </row>
    <row r="1427">
      <c r="J1427">
        <f>IF($U1427="","",INDEX(상세표[사번],$U1427)&amp;"")</f>
        <v/>
      </c>
      <c r="K1427">
        <f>IF($U1427="","",INDEX(상세표[성명],$U1427)&amp;"")</f>
        <v/>
      </c>
      <c r="L1427">
        <f>IF($U1427="","",INDEX(상세표[직위],$U1427)&amp;"")</f>
        <v/>
      </c>
      <c r="M1427">
        <f>IF($U1427="","",IF(ISNUMBER(INDEX(상세표[근무일자],$U1427)),TEXT(INDEX(상세표[근무일자],$U1427),"yyyy-mm-dd"),INDEX(상세표[근무일자],$U1427)&amp;""))</f>
        <v/>
      </c>
      <c r="N1427">
        <f>IF($U1427="","",IF(ISNUMBER(INDEX(상세표[시작],$U1427)),TEXT(INDEX(상세표[시작],$U1427),"yyyy-mm-dd hh:mm"),INDEX(상세표[시작],$U1427)&amp;""))</f>
        <v/>
      </c>
      <c r="O1427">
        <f>IF($U1427="","",IF(ISNUMBER(INDEX(상세표[종료],$U1427)),TEXT(INDEX(상세표[종료],$U1427),"yyyy-mm-dd hh:mm"),INDEX(상세표[종료],$U1427)&amp;""))</f>
        <v/>
      </c>
      <c r="P1427">
        <f>IF($U1427="","",INDEX(상세표[06~07시],$U1427))</f>
        <v/>
      </c>
      <c r="Q1427">
        <f>IF($U1427="","",INDEX(상세표[07~18시],$U1427))</f>
        <v/>
      </c>
      <c r="R1427">
        <f>IF($U1427="","",INDEX(상세표[18~22시],$U1427))</f>
        <v/>
      </c>
      <c r="S1427">
        <f>IF($U1427="","",INDEX(상세표[22~06시],$U1427))</f>
        <v/>
      </c>
      <c r="T1427">
        <f>IF($U1427="","",INDEX(상세표[기록 시간외],$U1427))</f>
        <v/>
      </c>
      <c r="U1427" s="4">
        <f>IFERROR(MATCH(1422,상세표[발송순번],0),"")</f>
        <v/>
      </c>
    </row>
    <row r="1428">
      <c r="J1428">
        <f>IF($U1428="","",INDEX(상세표[사번],$U1428)&amp;"")</f>
        <v/>
      </c>
      <c r="K1428">
        <f>IF($U1428="","",INDEX(상세표[성명],$U1428)&amp;"")</f>
        <v/>
      </c>
      <c r="L1428">
        <f>IF($U1428="","",INDEX(상세표[직위],$U1428)&amp;"")</f>
        <v/>
      </c>
      <c r="M1428">
        <f>IF($U1428="","",IF(ISNUMBER(INDEX(상세표[근무일자],$U1428)),TEXT(INDEX(상세표[근무일자],$U1428),"yyyy-mm-dd"),INDEX(상세표[근무일자],$U1428)&amp;""))</f>
        <v/>
      </c>
      <c r="N1428">
        <f>IF($U1428="","",IF(ISNUMBER(INDEX(상세표[시작],$U1428)),TEXT(INDEX(상세표[시작],$U1428),"yyyy-mm-dd hh:mm"),INDEX(상세표[시작],$U1428)&amp;""))</f>
        <v/>
      </c>
      <c r="O1428">
        <f>IF($U1428="","",IF(ISNUMBER(INDEX(상세표[종료],$U1428)),TEXT(INDEX(상세표[종료],$U1428),"yyyy-mm-dd hh:mm"),INDEX(상세표[종료],$U1428)&amp;""))</f>
        <v/>
      </c>
      <c r="P1428">
        <f>IF($U1428="","",INDEX(상세표[06~07시],$U1428))</f>
        <v/>
      </c>
      <c r="Q1428">
        <f>IF($U1428="","",INDEX(상세표[07~18시],$U1428))</f>
        <v/>
      </c>
      <c r="R1428">
        <f>IF($U1428="","",INDEX(상세표[18~22시],$U1428))</f>
        <v/>
      </c>
      <c r="S1428">
        <f>IF($U1428="","",INDEX(상세표[22~06시],$U1428))</f>
        <v/>
      </c>
      <c r="T1428">
        <f>IF($U1428="","",INDEX(상세표[기록 시간외],$U1428))</f>
        <v/>
      </c>
      <c r="U1428" s="4">
        <f>IFERROR(MATCH(1423,상세표[발송순번],0),"")</f>
        <v/>
      </c>
    </row>
    <row r="1429">
      <c r="J1429">
        <f>IF($U1429="","",INDEX(상세표[사번],$U1429)&amp;"")</f>
        <v/>
      </c>
      <c r="K1429">
        <f>IF($U1429="","",INDEX(상세표[성명],$U1429)&amp;"")</f>
        <v/>
      </c>
      <c r="L1429">
        <f>IF($U1429="","",INDEX(상세표[직위],$U1429)&amp;"")</f>
        <v/>
      </c>
      <c r="M1429">
        <f>IF($U1429="","",IF(ISNUMBER(INDEX(상세표[근무일자],$U1429)),TEXT(INDEX(상세표[근무일자],$U1429),"yyyy-mm-dd"),INDEX(상세표[근무일자],$U1429)&amp;""))</f>
        <v/>
      </c>
      <c r="N1429">
        <f>IF($U1429="","",IF(ISNUMBER(INDEX(상세표[시작],$U1429)),TEXT(INDEX(상세표[시작],$U1429),"yyyy-mm-dd hh:mm"),INDEX(상세표[시작],$U1429)&amp;""))</f>
        <v/>
      </c>
      <c r="O1429">
        <f>IF($U1429="","",IF(ISNUMBER(INDEX(상세표[종료],$U1429)),TEXT(INDEX(상세표[종료],$U1429),"yyyy-mm-dd hh:mm"),INDEX(상세표[종료],$U1429)&amp;""))</f>
        <v/>
      </c>
      <c r="P1429">
        <f>IF($U1429="","",INDEX(상세표[06~07시],$U1429))</f>
        <v/>
      </c>
      <c r="Q1429">
        <f>IF($U1429="","",INDEX(상세표[07~18시],$U1429))</f>
        <v/>
      </c>
      <c r="R1429">
        <f>IF($U1429="","",INDEX(상세표[18~22시],$U1429))</f>
        <v/>
      </c>
      <c r="S1429">
        <f>IF($U1429="","",INDEX(상세표[22~06시],$U1429))</f>
        <v/>
      </c>
      <c r="T1429">
        <f>IF($U1429="","",INDEX(상세표[기록 시간외],$U1429))</f>
        <v/>
      </c>
      <c r="U1429" s="4">
        <f>IFERROR(MATCH(1424,상세표[발송순번],0),"")</f>
        <v/>
      </c>
    </row>
    <row r="1430">
      <c r="J1430">
        <f>IF($U1430="","",INDEX(상세표[사번],$U1430)&amp;"")</f>
        <v/>
      </c>
      <c r="K1430">
        <f>IF($U1430="","",INDEX(상세표[성명],$U1430)&amp;"")</f>
        <v/>
      </c>
      <c r="L1430">
        <f>IF($U1430="","",INDEX(상세표[직위],$U1430)&amp;"")</f>
        <v/>
      </c>
      <c r="M1430">
        <f>IF($U1430="","",IF(ISNUMBER(INDEX(상세표[근무일자],$U1430)),TEXT(INDEX(상세표[근무일자],$U1430),"yyyy-mm-dd"),INDEX(상세표[근무일자],$U1430)&amp;""))</f>
        <v/>
      </c>
      <c r="N1430">
        <f>IF($U1430="","",IF(ISNUMBER(INDEX(상세표[시작],$U1430)),TEXT(INDEX(상세표[시작],$U1430),"yyyy-mm-dd hh:mm"),INDEX(상세표[시작],$U1430)&amp;""))</f>
        <v/>
      </c>
      <c r="O1430">
        <f>IF($U1430="","",IF(ISNUMBER(INDEX(상세표[종료],$U1430)),TEXT(INDEX(상세표[종료],$U1430),"yyyy-mm-dd hh:mm"),INDEX(상세표[종료],$U1430)&amp;""))</f>
        <v/>
      </c>
      <c r="P1430">
        <f>IF($U1430="","",INDEX(상세표[06~07시],$U1430))</f>
        <v/>
      </c>
      <c r="Q1430">
        <f>IF($U1430="","",INDEX(상세표[07~18시],$U1430))</f>
        <v/>
      </c>
      <c r="R1430">
        <f>IF($U1430="","",INDEX(상세표[18~22시],$U1430))</f>
        <v/>
      </c>
      <c r="S1430">
        <f>IF($U1430="","",INDEX(상세표[22~06시],$U1430))</f>
        <v/>
      </c>
      <c r="T1430">
        <f>IF($U1430="","",INDEX(상세표[기록 시간외],$U1430))</f>
        <v/>
      </c>
      <c r="U1430" s="4">
        <f>IFERROR(MATCH(1425,상세표[발송순번],0),"")</f>
        <v/>
      </c>
    </row>
    <row r="1431">
      <c r="J1431">
        <f>IF($U1431="","",INDEX(상세표[사번],$U1431)&amp;"")</f>
        <v/>
      </c>
      <c r="K1431">
        <f>IF($U1431="","",INDEX(상세표[성명],$U1431)&amp;"")</f>
        <v/>
      </c>
      <c r="L1431">
        <f>IF($U1431="","",INDEX(상세표[직위],$U1431)&amp;"")</f>
        <v/>
      </c>
      <c r="M1431">
        <f>IF($U1431="","",IF(ISNUMBER(INDEX(상세표[근무일자],$U1431)),TEXT(INDEX(상세표[근무일자],$U1431),"yyyy-mm-dd"),INDEX(상세표[근무일자],$U1431)&amp;""))</f>
        <v/>
      </c>
      <c r="N1431">
        <f>IF($U1431="","",IF(ISNUMBER(INDEX(상세표[시작],$U1431)),TEXT(INDEX(상세표[시작],$U1431),"yyyy-mm-dd hh:mm"),INDEX(상세표[시작],$U1431)&amp;""))</f>
        <v/>
      </c>
      <c r="O1431">
        <f>IF($U1431="","",IF(ISNUMBER(INDEX(상세표[종료],$U1431)),TEXT(INDEX(상세표[종료],$U1431),"yyyy-mm-dd hh:mm"),INDEX(상세표[종료],$U1431)&amp;""))</f>
        <v/>
      </c>
      <c r="P1431">
        <f>IF($U1431="","",INDEX(상세표[06~07시],$U1431))</f>
        <v/>
      </c>
      <c r="Q1431">
        <f>IF($U1431="","",INDEX(상세표[07~18시],$U1431))</f>
        <v/>
      </c>
      <c r="R1431">
        <f>IF($U1431="","",INDEX(상세표[18~22시],$U1431))</f>
        <v/>
      </c>
      <c r="S1431">
        <f>IF($U1431="","",INDEX(상세표[22~06시],$U1431))</f>
        <v/>
      </c>
      <c r="T1431">
        <f>IF($U1431="","",INDEX(상세표[기록 시간외],$U1431))</f>
        <v/>
      </c>
      <c r="U1431" s="4">
        <f>IFERROR(MATCH(1426,상세표[발송순번],0),"")</f>
        <v/>
      </c>
    </row>
    <row r="1432">
      <c r="J1432">
        <f>IF($U1432="","",INDEX(상세표[사번],$U1432)&amp;"")</f>
        <v/>
      </c>
      <c r="K1432">
        <f>IF($U1432="","",INDEX(상세표[성명],$U1432)&amp;"")</f>
        <v/>
      </c>
      <c r="L1432">
        <f>IF($U1432="","",INDEX(상세표[직위],$U1432)&amp;"")</f>
        <v/>
      </c>
      <c r="M1432">
        <f>IF($U1432="","",IF(ISNUMBER(INDEX(상세표[근무일자],$U1432)),TEXT(INDEX(상세표[근무일자],$U1432),"yyyy-mm-dd"),INDEX(상세표[근무일자],$U1432)&amp;""))</f>
        <v/>
      </c>
      <c r="N1432">
        <f>IF($U1432="","",IF(ISNUMBER(INDEX(상세표[시작],$U1432)),TEXT(INDEX(상세표[시작],$U1432),"yyyy-mm-dd hh:mm"),INDEX(상세표[시작],$U1432)&amp;""))</f>
        <v/>
      </c>
      <c r="O1432">
        <f>IF($U1432="","",IF(ISNUMBER(INDEX(상세표[종료],$U1432)),TEXT(INDEX(상세표[종료],$U1432),"yyyy-mm-dd hh:mm"),INDEX(상세표[종료],$U1432)&amp;""))</f>
        <v/>
      </c>
      <c r="P1432">
        <f>IF($U1432="","",INDEX(상세표[06~07시],$U1432))</f>
        <v/>
      </c>
      <c r="Q1432">
        <f>IF($U1432="","",INDEX(상세표[07~18시],$U1432))</f>
        <v/>
      </c>
      <c r="R1432">
        <f>IF($U1432="","",INDEX(상세표[18~22시],$U1432))</f>
        <v/>
      </c>
      <c r="S1432">
        <f>IF($U1432="","",INDEX(상세표[22~06시],$U1432))</f>
        <v/>
      </c>
      <c r="T1432">
        <f>IF($U1432="","",INDEX(상세표[기록 시간외],$U1432))</f>
        <v/>
      </c>
      <c r="U1432" s="4">
        <f>IFERROR(MATCH(1427,상세표[발송순번],0),"")</f>
        <v/>
      </c>
    </row>
    <row r="1433">
      <c r="J1433">
        <f>IF($U1433="","",INDEX(상세표[사번],$U1433)&amp;"")</f>
        <v/>
      </c>
      <c r="K1433">
        <f>IF($U1433="","",INDEX(상세표[성명],$U1433)&amp;"")</f>
        <v/>
      </c>
      <c r="L1433">
        <f>IF($U1433="","",INDEX(상세표[직위],$U1433)&amp;"")</f>
        <v/>
      </c>
      <c r="M1433">
        <f>IF($U1433="","",IF(ISNUMBER(INDEX(상세표[근무일자],$U1433)),TEXT(INDEX(상세표[근무일자],$U1433),"yyyy-mm-dd"),INDEX(상세표[근무일자],$U1433)&amp;""))</f>
        <v/>
      </c>
      <c r="N1433">
        <f>IF($U1433="","",IF(ISNUMBER(INDEX(상세표[시작],$U1433)),TEXT(INDEX(상세표[시작],$U1433),"yyyy-mm-dd hh:mm"),INDEX(상세표[시작],$U1433)&amp;""))</f>
        <v/>
      </c>
      <c r="O1433">
        <f>IF($U1433="","",IF(ISNUMBER(INDEX(상세표[종료],$U1433)),TEXT(INDEX(상세표[종료],$U1433),"yyyy-mm-dd hh:mm"),INDEX(상세표[종료],$U1433)&amp;""))</f>
        <v/>
      </c>
      <c r="P1433">
        <f>IF($U1433="","",INDEX(상세표[06~07시],$U1433))</f>
        <v/>
      </c>
      <c r="Q1433">
        <f>IF($U1433="","",INDEX(상세표[07~18시],$U1433))</f>
        <v/>
      </c>
      <c r="R1433">
        <f>IF($U1433="","",INDEX(상세표[18~22시],$U1433))</f>
        <v/>
      </c>
      <c r="S1433">
        <f>IF($U1433="","",INDEX(상세표[22~06시],$U1433))</f>
        <v/>
      </c>
      <c r="T1433">
        <f>IF($U1433="","",INDEX(상세표[기록 시간외],$U1433))</f>
        <v/>
      </c>
      <c r="U1433" s="4">
        <f>IFERROR(MATCH(1428,상세표[발송순번],0),"")</f>
        <v/>
      </c>
    </row>
    <row r="1434">
      <c r="J1434">
        <f>IF($U1434="","",INDEX(상세표[사번],$U1434)&amp;"")</f>
        <v/>
      </c>
      <c r="K1434">
        <f>IF($U1434="","",INDEX(상세표[성명],$U1434)&amp;"")</f>
        <v/>
      </c>
      <c r="L1434">
        <f>IF($U1434="","",INDEX(상세표[직위],$U1434)&amp;"")</f>
        <v/>
      </c>
      <c r="M1434">
        <f>IF($U1434="","",IF(ISNUMBER(INDEX(상세표[근무일자],$U1434)),TEXT(INDEX(상세표[근무일자],$U1434),"yyyy-mm-dd"),INDEX(상세표[근무일자],$U1434)&amp;""))</f>
        <v/>
      </c>
      <c r="N1434">
        <f>IF($U1434="","",IF(ISNUMBER(INDEX(상세표[시작],$U1434)),TEXT(INDEX(상세표[시작],$U1434),"yyyy-mm-dd hh:mm"),INDEX(상세표[시작],$U1434)&amp;""))</f>
        <v/>
      </c>
      <c r="O1434">
        <f>IF($U1434="","",IF(ISNUMBER(INDEX(상세표[종료],$U1434)),TEXT(INDEX(상세표[종료],$U1434),"yyyy-mm-dd hh:mm"),INDEX(상세표[종료],$U1434)&amp;""))</f>
        <v/>
      </c>
      <c r="P1434">
        <f>IF($U1434="","",INDEX(상세표[06~07시],$U1434))</f>
        <v/>
      </c>
      <c r="Q1434">
        <f>IF($U1434="","",INDEX(상세표[07~18시],$U1434))</f>
        <v/>
      </c>
      <c r="R1434">
        <f>IF($U1434="","",INDEX(상세표[18~22시],$U1434))</f>
        <v/>
      </c>
      <c r="S1434">
        <f>IF($U1434="","",INDEX(상세표[22~06시],$U1434))</f>
        <v/>
      </c>
      <c r="T1434">
        <f>IF($U1434="","",INDEX(상세표[기록 시간외],$U1434))</f>
        <v/>
      </c>
      <c r="U1434" s="4">
        <f>IFERROR(MATCH(1429,상세표[발송순번],0),"")</f>
        <v/>
      </c>
    </row>
    <row r="1435">
      <c r="J1435">
        <f>IF($U1435="","",INDEX(상세표[사번],$U1435)&amp;"")</f>
        <v/>
      </c>
      <c r="K1435">
        <f>IF($U1435="","",INDEX(상세표[성명],$U1435)&amp;"")</f>
        <v/>
      </c>
      <c r="L1435">
        <f>IF($U1435="","",INDEX(상세표[직위],$U1435)&amp;"")</f>
        <v/>
      </c>
      <c r="M1435">
        <f>IF($U1435="","",IF(ISNUMBER(INDEX(상세표[근무일자],$U1435)),TEXT(INDEX(상세표[근무일자],$U1435),"yyyy-mm-dd"),INDEX(상세표[근무일자],$U1435)&amp;""))</f>
        <v/>
      </c>
      <c r="N1435">
        <f>IF($U1435="","",IF(ISNUMBER(INDEX(상세표[시작],$U1435)),TEXT(INDEX(상세표[시작],$U1435),"yyyy-mm-dd hh:mm"),INDEX(상세표[시작],$U1435)&amp;""))</f>
        <v/>
      </c>
      <c r="O1435">
        <f>IF($U1435="","",IF(ISNUMBER(INDEX(상세표[종료],$U1435)),TEXT(INDEX(상세표[종료],$U1435),"yyyy-mm-dd hh:mm"),INDEX(상세표[종료],$U1435)&amp;""))</f>
        <v/>
      </c>
      <c r="P1435">
        <f>IF($U1435="","",INDEX(상세표[06~07시],$U1435))</f>
        <v/>
      </c>
      <c r="Q1435">
        <f>IF($U1435="","",INDEX(상세표[07~18시],$U1435))</f>
        <v/>
      </c>
      <c r="R1435">
        <f>IF($U1435="","",INDEX(상세표[18~22시],$U1435))</f>
        <v/>
      </c>
      <c r="S1435">
        <f>IF($U1435="","",INDEX(상세표[22~06시],$U1435))</f>
        <v/>
      </c>
      <c r="T1435">
        <f>IF($U1435="","",INDEX(상세표[기록 시간외],$U1435))</f>
        <v/>
      </c>
      <c r="U1435" s="4">
        <f>IFERROR(MATCH(1430,상세표[발송순번],0),"")</f>
        <v/>
      </c>
    </row>
    <row r="1436">
      <c r="J1436">
        <f>IF($U1436="","",INDEX(상세표[사번],$U1436)&amp;"")</f>
        <v/>
      </c>
      <c r="K1436">
        <f>IF($U1436="","",INDEX(상세표[성명],$U1436)&amp;"")</f>
        <v/>
      </c>
      <c r="L1436">
        <f>IF($U1436="","",INDEX(상세표[직위],$U1436)&amp;"")</f>
        <v/>
      </c>
      <c r="M1436">
        <f>IF($U1436="","",IF(ISNUMBER(INDEX(상세표[근무일자],$U1436)),TEXT(INDEX(상세표[근무일자],$U1436),"yyyy-mm-dd"),INDEX(상세표[근무일자],$U1436)&amp;""))</f>
        <v/>
      </c>
      <c r="N1436">
        <f>IF($U1436="","",IF(ISNUMBER(INDEX(상세표[시작],$U1436)),TEXT(INDEX(상세표[시작],$U1436),"yyyy-mm-dd hh:mm"),INDEX(상세표[시작],$U1436)&amp;""))</f>
        <v/>
      </c>
      <c r="O1436">
        <f>IF($U1436="","",IF(ISNUMBER(INDEX(상세표[종료],$U1436)),TEXT(INDEX(상세표[종료],$U1436),"yyyy-mm-dd hh:mm"),INDEX(상세표[종료],$U1436)&amp;""))</f>
        <v/>
      </c>
      <c r="P1436">
        <f>IF($U1436="","",INDEX(상세표[06~07시],$U1436))</f>
        <v/>
      </c>
      <c r="Q1436">
        <f>IF($U1436="","",INDEX(상세표[07~18시],$U1436))</f>
        <v/>
      </c>
      <c r="R1436">
        <f>IF($U1436="","",INDEX(상세표[18~22시],$U1436))</f>
        <v/>
      </c>
      <c r="S1436">
        <f>IF($U1436="","",INDEX(상세표[22~06시],$U1436))</f>
        <v/>
      </c>
      <c r="T1436">
        <f>IF($U1436="","",INDEX(상세표[기록 시간외],$U1436))</f>
        <v/>
      </c>
      <c r="U1436" s="4">
        <f>IFERROR(MATCH(1431,상세표[발송순번],0),"")</f>
        <v/>
      </c>
    </row>
    <row r="1437">
      <c r="J1437">
        <f>IF($U1437="","",INDEX(상세표[사번],$U1437)&amp;"")</f>
        <v/>
      </c>
      <c r="K1437">
        <f>IF($U1437="","",INDEX(상세표[성명],$U1437)&amp;"")</f>
        <v/>
      </c>
      <c r="L1437">
        <f>IF($U1437="","",INDEX(상세표[직위],$U1437)&amp;"")</f>
        <v/>
      </c>
      <c r="M1437">
        <f>IF($U1437="","",IF(ISNUMBER(INDEX(상세표[근무일자],$U1437)),TEXT(INDEX(상세표[근무일자],$U1437),"yyyy-mm-dd"),INDEX(상세표[근무일자],$U1437)&amp;""))</f>
        <v/>
      </c>
      <c r="N1437">
        <f>IF($U1437="","",IF(ISNUMBER(INDEX(상세표[시작],$U1437)),TEXT(INDEX(상세표[시작],$U1437),"yyyy-mm-dd hh:mm"),INDEX(상세표[시작],$U1437)&amp;""))</f>
        <v/>
      </c>
      <c r="O1437">
        <f>IF($U1437="","",IF(ISNUMBER(INDEX(상세표[종료],$U1437)),TEXT(INDEX(상세표[종료],$U1437),"yyyy-mm-dd hh:mm"),INDEX(상세표[종료],$U1437)&amp;""))</f>
        <v/>
      </c>
      <c r="P1437">
        <f>IF($U1437="","",INDEX(상세표[06~07시],$U1437))</f>
        <v/>
      </c>
      <c r="Q1437">
        <f>IF($U1437="","",INDEX(상세표[07~18시],$U1437))</f>
        <v/>
      </c>
      <c r="R1437">
        <f>IF($U1437="","",INDEX(상세표[18~22시],$U1437))</f>
        <v/>
      </c>
      <c r="S1437">
        <f>IF($U1437="","",INDEX(상세표[22~06시],$U1437))</f>
        <v/>
      </c>
      <c r="T1437">
        <f>IF($U1437="","",INDEX(상세표[기록 시간외],$U1437))</f>
        <v/>
      </c>
      <c r="U1437" s="4">
        <f>IFERROR(MATCH(1432,상세표[발송순번],0),"")</f>
        <v/>
      </c>
    </row>
    <row r="1438">
      <c r="J1438">
        <f>IF($U1438="","",INDEX(상세표[사번],$U1438)&amp;"")</f>
        <v/>
      </c>
      <c r="K1438">
        <f>IF($U1438="","",INDEX(상세표[성명],$U1438)&amp;"")</f>
        <v/>
      </c>
      <c r="L1438">
        <f>IF($U1438="","",INDEX(상세표[직위],$U1438)&amp;"")</f>
        <v/>
      </c>
      <c r="M1438">
        <f>IF($U1438="","",IF(ISNUMBER(INDEX(상세표[근무일자],$U1438)),TEXT(INDEX(상세표[근무일자],$U1438),"yyyy-mm-dd"),INDEX(상세표[근무일자],$U1438)&amp;""))</f>
        <v/>
      </c>
      <c r="N1438">
        <f>IF($U1438="","",IF(ISNUMBER(INDEX(상세표[시작],$U1438)),TEXT(INDEX(상세표[시작],$U1438),"yyyy-mm-dd hh:mm"),INDEX(상세표[시작],$U1438)&amp;""))</f>
        <v/>
      </c>
      <c r="O1438">
        <f>IF($U1438="","",IF(ISNUMBER(INDEX(상세표[종료],$U1438)),TEXT(INDEX(상세표[종료],$U1438),"yyyy-mm-dd hh:mm"),INDEX(상세표[종료],$U1438)&amp;""))</f>
        <v/>
      </c>
      <c r="P1438">
        <f>IF($U1438="","",INDEX(상세표[06~07시],$U1438))</f>
        <v/>
      </c>
      <c r="Q1438">
        <f>IF($U1438="","",INDEX(상세표[07~18시],$U1438))</f>
        <v/>
      </c>
      <c r="R1438">
        <f>IF($U1438="","",INDEX(상세표[18~22시],$U1438))</f>
        <v/>
      </c>
      <c r="S1438">
        <f>IF($U1438="","",INDEX(상세표[22~06시],$U1438))</f>
        <v/>
      </c>
      <c r="T1438">
        <f>IF($U1438="","",INDEX(상세표[기록 시간외],$U1438))</f>
        <v/>
      </c>
      <c r="U1438" s="4">
        <f>IFERROR(MATCH(1433,상세표[발송순번],0),"")</f>
        <v/>
      </c>
    </row>
    <row r="1439">
      <c r="J1439">
        <f>IF($U1439="","",INDEX(상세표[사번],$U1439)&amp;"")</f>
        <v/>
      </c>
      <c r="K1439">
        <f>IF($U1439="","",INDEX(상세표[성명],$U1439)&amp;"")</f>
        <v/>
      </c>
      <c r="L1439">
        <f>IF($U1439="","",INDEX(상세표[직위],$U1439)&amp;"")</f>
        <v/>
      </c>
      <c r="M1439">
        <f>IF($U1439="","",IF(ISNUMBER(INDEX(상세표[근무일자],$U1439)),TEXT(INDEX(상세표[근무일자],$U1439),"yyyy-mm-dd"),INDEX(상세표[근무일자],$U1439)&amp;""))</f>
        <v/>
      </c>
      <c r="N1439">
        <f>IF($U1439="","",IF(ISNUMBER(INDEX(상세표[시작],$U1439)),TEXT(INDEX(상세표[시작],$U1439),"yyyy-mm-dd hh:mm"),INDEX(상세표[시작],$U1439)&amp;""))</f>
        <v/>
      </c>
      <c r="O1439">
        <f>IF($U1439="","",IF(ISNUMBER(INDEX(상세표[종료],$U1439)),TEXT(INDEX(상세표[종료],$U1439),"yyyy-mm-dd hh:mm"),INDEX(상세표[종료],$U1439)&amp;""))</f>
        <v/>
      </c>
      <c r="P1439">
        <f>IF($U1439="","",INDEX(상세표[06~07시],$U1439))</f>
        <v/>
      </c>
      <c r="Q1439">
        <f>IF($U1439="","",INDEX(상세표[07~18시],$U1439))</f>
        <v/>
      </c>
      <c r="R1439">
        <f>IF($U1439="","",INDEX(상세표[18~22시],$U1439))</f>
        <v/>
      </c>
      <c r="S1439">
        <f>IF($U1439="","",INDEX(상세표[22~06시],$U1439))</f>
        <v/>
      </c>
      <c r="T1439">
        <f>IF($U1439="","",INDEX(상세표[기록 시간외],$U1439))</f>
        <v/>
      </c>
      <c r="U1439" s="4">
        <f>IFERROR(MATCH(1434,상세표[발송순번],0),"")</f>
        <v/>
      </c>
    </row>
    <row r="1440">
      <c r="J1440">
        <f>IF($U1440="","",INDEX(상세표[사번],$U1440)&amp;"")</f>
        <v/>
      </c>
      <c r="K1440">
        <f>IF($U1440="","",INDEX(상세표[성명],$U1440)&amp;"")</f>
        <v/>
      </c>
      <c r="L1440">
        <f>IF($U1440="","",INDEX(상세표[직위],$U1440)&amp;"")</f>
        <v/>
      </c>
      <c r="M1440">
        <f>IF($U1440="","",IF(ISNUMBER(INDEX(상세표[근무일자],$U1440)),TEXT(INDEX(상세표[근무일자],$U1440),"yyyy-mm-dd"),INDEX(상세표[근무일자],$U1440)&amp;""))</f>
        <v/>
      </c>
      <c r="N1440">
        <f>IF($U1440="","",IF(ISNUMBER(INDEX(상세표[시작],$U1440)),TEXT(INDEX(상세표[시작],$U1440),"yyyy-mm-dd hh:mm"),INDEX(상세표[시작],$U1440)&amp;""))</f>
        <v/>
      </c>
      <c r="O1440">
        <f>IF($U1440="","",IF(ISNUMBER(INDEX(상세표[종료],$U1440)),TEXT(INDEX(상세표[종료],$U1440),"yyyy-mm-dd hh:mm"),INDEX(상세표[종료],$U1440)&amp;""))</f>
        <v/>
      </c>
      <c r="P1440">
        <f>IF($U1440="","",INDEX(상세표[06~07시],$U1440))</f>
        <v/>
      </c>
      <c r="Q1440">
        <f>IF($U1440="","",INDEX(상세표[07~18시],$U1440))</f>
        <v/>
      </c>
      <c r="R1440">
        <f>IF($U1440="","",INDEX(상세표[18~22시],$U1440))</f>
        <v/>
      </c>
      <c r="S1440">
        <f>IF($U1440="","",INDEX(상세표[22~06시],$U1440))</f>
        <v/>
      </c>
      <c r="T1440">
        <f>IF($U1440="","",INDEX(상세표[기록 시간외],$U1440))</f>
        <v/>
      </c>
      <c r="U1440" s="4">
        <f>IFERROR(MATCH(1435,상세표[발송순번],0),"")</f>
        <v/>
      </c>
    </row>
    <row r="1441">
      <c r="J1441">
        <f>IF($U1441="","",INDEX(상세표[사번],$U1441)&amp;"")</f>
        <v/>
      </c>
      <c r="K1441">
        <f>IF($U1441="","",INDEX(상세표[성명],$U1441)&amp;"")</f>
        <v/>
      </c>
      <c r="L1441">
        <f>IF($U1441="","",INDEX(상세표[직위],$U1441)&amp;"")</f>
        <v/>
      </c>
      <c r="M1441">
        <f>IF($U1441="","",IF(ISNUMBER(INDEX(상세표[근무일자],$U1441)),TEXT(INDEX(상세표[근무일자],$U1441),"yyyy-mm-dd"),INDEX(상세표[근무일자],$U1441)&amp;""))</f>
        <v/>
      </c>
      <c r="N1441">
        <f>IF($U1441="","",IF(ISNUMBER(INDEX(상세표[시작],$U1441)),TEXT(INDEX(상세표[시작],$U1441),"yyyy-mm-dd hh:mm"),INDEX(상세표[시작],$U1441)&amp;""))</f>
        <v/>
      </c>
      <c r="O1441">
        <f>IF($U1441="","",IF(ISNUMBER(INDEX(상세표[종료],$U1441)),TEXT(INDEX(상세표[종료],$U1441),"yyyy-mm-dd hh:mm"),INDEX(상세표[종료],$U1441)&amp;""))</f>
        <v/>
      </c>
      <c r="P1441">
        <f>IF($U1441="","",INDEX(상세표[06~07시],$U1441))</f>
        <v/>
      </c>
      <c r="Q1441">
        <f>IF($U1441="","",INDEX(상세표[07~18시],$U1441))</f>
        <v/>
      </c>
      <c r="R1441">
        <f>IF($U1441="","",INDEX(상세표[18~22시],$U1441))</f>
        <v/>
      </c>
      <c r="S1441">
        <f>IF($U1441="","",INDEX(상세표[22~06시],$U1441))</f>
        <v/>
      </c>
      <c r="T1441">
        <f>IF($U1441="","",INDEX(상세표[기록 시간외],$U1441))</f>
        <v/>
      </c>
      <c r="U1441" s="4">
        <f>IFERROR(MATCH(1436,상세표[발송순번],0),"")</f>
        <v/>
      </c>
    </row>
    <row r="1442">
      <c r="J1442">
        <f>IF($U1442="","",INDEX(상세표[사번],$U1442)&amp;"")</f>
        <v/>
      </c>
      <c r="K1442">
        <f>IF($U1442="","",INDEX(상세표[성명],$U1442)&amp;"")</f>
        <v/>
      </c>
      <c r="L1442">
        <f>IF($U1442="","",INDEX(상세표[직위],$U1442)&amp;"")</f>
        <v/>
      </c>
      <c r="M1442">
        <f>IF($U1442="","",IF(ISNUMBER(INDEX(상세표[근무일자],$U1442)),TEXT(INDEX(상세표[근무일자],$U1442),"yyyy-mm-dd"),INDEX(상세표[근무일자],$U1442)&amp;""))</f>
        <v/>
      </c>
      <c r="N1442">
        <f>IF($U1442="","",IF(ISNUMBER(INDEX(상세표[시작],$U1442)),TEXT(INDEX(상세표[시작],$U1442),"yyyy-mm-dd hh:mm"),INDEX(상세표[시작],$U1442)&amp;""))</f>
        <v/>
      </c>
      <c r="O1442">
        <f>IF($U1442="","",IF(ISNUMBER(INDEX(상세표[종료],$U1442)),TEXT(INDEX(상세표[종료],$U1442),"yyyy-mm-dd hh:mm"),INDEX(상세표[종료],$U1442)&amp;""))</f>
        <v/>
      </c>
      <c r="P1442">
        <f>IF($U1442="","",INDEX(상세표[06~07시],$U1442))</f>
        <v/>
      </c>
      <c r="Q1442">
        <f>IF($U1442="","",INDEX(상세표[07~18시],$U1442))</f>
        <v/>
      </c>
      <c r="R1442">
        <f>IF($U1442="","",INDEX(상세표[18~22시],$U1442))</f>
        <v/>
      </c>
      <c r="S1442">
        <f>IF($U1442="","",INDEX(상세표[22~06시],$U1442))</f>
        <v/>
      </c>
      <c r="T1442">
        <f>IF($U1442="","",INDEX(상세표[기록 시간외],$U1442))</f>
        <v/>
      </c>
      <c r="U1442" s="4">
        <f>IFERROR(MATCH(1437,상세표[발송순번],0),"")</f>
        <v/>
      </c>
    </row>
    <row r="1443">
      <c r="J1443">
        <f>IF($U1443="","",INDEX(상세표[사번],$U1443)&amp;"")</f>
        <v/>
      </c>
      <c r="K1443">
        <f>IF($U1443="","",INDEX(상세표[성명],$U1443)&amp;"")</f>
        <v/>
      </c>
      <c r="L1443">
        <f>IF($U1443="","",INDEX(상세표[직위],$U1443)&amp;"")</f>
        <v/>
      </c>
      <c r="M1443">
        <f>IF($U1443="","",IF(ISNUMBER(INDEX(상세표[근무일자],$U1443)),TEXT(INDEX(상세표[근무일자],$U1443),"yyyy-mm-dd"),INDEX(상세표[근무일자],$U1443)&amp;""))</f>
        <v/>
      </c>
      <c r="N1443">
        <f>IF($U1443="","",IF(ISNUMBER(INDEX(상세표[시작],$U1443)),TEXT(INDEX(상세표[시작],$U1443),"yyyy-mm-dd hh:mm"),INDEX(상세표[시작],$U1443)&amp;""))</f>
        <v/>
      </c>
      <c r="O1443">
        <f>IF($U1443="","",IF(ISNUMBER(INDEX(상세표[종료],$U1443)),TEXT(INDEX(상세표[종료],$U1443),"yyyy-mm-dd hh:mm"),INDEX(상세표[종료],$U1443)&amp;""))</f>
        <v/>
      </c>
      <c r="P1443">
        <f>IF($U1443="","",INDEX(상세표[06~07시],$U1443))</f>
        <v/>
      </c>
      <c r="Q1443">
        <f>IF($U1443="","",INDEX(상세표[07~18시],$U1443))</f>
        <v/>
      </c>
      <c r="R1443">
        <f>IF($U1443="","",INDEX(상세표[18~22시],$U1443))</f>
        <v/>
      </c>
      <c r="S1443">
        <f>IF($U1443="","",INDEX(상세표[22~06시],$U1443))</f>
        <v/>
      </c>
      <c r="T1443">
        <f>IF($U1443="","",INDEX(상세표[기록 시간외],$U1443))</f>
        <v/>
      </c>
      <c r="U1443" s="4">
        <f>IFERROR(MATCH(1438,상세표[발송순번],0),"")</f>
        <v/>
      </c>
    </row>
    <row r="1444">
      <c r="J1444">
        <f>IF($U1444="","",INDEX(상세표[사번],$U1444)&amp;"")</f>
        <v/>
      </c>
      <c r="K1444">
        <f>IF($U1444="","",INDEX(상세표[성명],$U1444)&amp;"")</f>
        <v/>
      </c>
      <c r="L1444">
        <f>IF($U1444="","",INDEX(상세표[직위],$U1444)&amp;"")</f>
        <v/>
      </c>
      <c r="M1444">
        <f>IF($U1444="","",IF(ISNUMBER(INDEX(상세표[근무일자],$U1444)),TEXT(INDEX(상세표[근무일자],$U1444),"yyyy-mm-dd"),INDEX(상세표[근무일자],$U1444)&amp;""))</f>
        <v/>
      </c>
      <c r="N1444">
        <f>IF($U1444="","",IF(ISNUMBER(INDEX(상세표[시작],$U1444)),TEXT(INDEX(상세표[시작],$U1444),"yyyy-mm-dd hh:mm"),INDEX(상세표[시작],$U1444)&amp;""))</f>
        <v/>
      </c>
      <c r="O1444">
        <f>IF($U1444="","",IF(ISNUMBER(INDEX(상세표[종료],$U1444)),TEXT(INDEX(상세표[종료],$U1444),"yyyy-mm-dd hh:mm"),INDEX(상세표[종료],$U1444)&amp;""))</f>
        <v/>
      </c>
      <c r="P1444">
        <f>IF($U1444="","",INDEX(상세표[06~07시],$U1444))</f>
        <v/>
      </c>
      <c r="Q1444">
        <f>IF($U1444="","",INDEX(상세표[07~18시],$U1444))</f>
        <v/>
      </c>
      <c r="R1444">
        <f>IF($U1444="","",INDEX(상세표[18~22시],$U1444))</f>
        <v/>
      </c>
      <c r="S1444">
        <f>IF($U1444="","",INDEX(상세표[22~06시],$U1444))</f>
        <v/>
      </c>
      <c r="T1444">
        <f>IF($U1444="","",INDEX(상세표[기록 시간외],$U1444))</f>
        <v/>
      </c>
      <c r="U1444" s="4">
        <f>IFERROR(MATCH(1439,상세표[발송순번],0),"")</f>
        <v/>
      </c>
    </row>
    <row r="1445">
      <c r="J1445">
        <f>IF($U1445="","",INDEX(상세표[사번],$U1445)&amp;"")</f>
        <v/>
      </c>
      <c r="K1445">
        <f>IF($U1445="","",INDEX(상세표[성명],$U1445)&amp;"")</f>
        <v/>
      </c>
      <c r="L1445">
        <f>IF($U1445="","",INDEX(상세표[직위],$U1445)&amp;"")</f>
        <v/>
      </c>
      <c r="M1445">
        <f>IF($U1445="","",IF(ISNUMBER(INDEX(상세표[근무일자],$U1445)),TEXT(INDEX(상세표[근무일자],$U1445),"yyyy-mm-dd"),INDEX(상세표[근무일자],$U1445)&amp;""))</f>
        <v/>
      </c>
      <c r="N1445">
        <f>IF($U1445="","",IF(ISNUMBER(INDEX(상세표[시작],$U1445)),TEXT(INDEX(상세표[시작],$U1445),"yyyy-mm-dd hh:mm"),INDEX(상세표[시작],$U1445)&amp;""))</f>
        <v/>
      </c>
      <c r="O1445">
        <f>IF($U1445="","",IF(ISNUMBER(INDEX(상세표[종료],$U1445)),TEXT(INDEX(상세표[종료],$U1445),"yyyy-mm-dd hh:mm"),INDEX(상세표[종료],$U1445)&amp;""))</f>
        <v/>
      </c>
      <c r="P1445">
        <f>IF($U1445="","",INDEX(상세표[06~07시],$U1445))</f>
        <v/>
      </c>
      <c r="Q1445">
        <f>IF($U1445="","",INDEX(상세표[07~18시],$U1445))</f>
        <v/>
      </c>
      <c r="R1445">
        <f>IF($U1445="","",INDEX(상세표[18~22시],$U1445))</f>
        <v/>
      </c>
      <c r="S1445">
        <f>IF($U1445="","",INDEX(상세표[22~06시],$U1445))</f>
        <v/>
      </c>
      <c r="T1445">
        <f>IF($U1445="","",INDEX(상세표[기록 시간외],$U1445))</f>
        <v/>
      </c>
      <c r="U1445" s="4">
        <f>IFERROR(MATCH(1440,상세표[발송순번],0),"")</f>
        <v/>
      </c>
    </row>
    <row r="1446">
      <c r="J1446">
        <f>IF($U1446="","",INDEX(상세표[사번],$U1446)&amp;"")</f>
        <v/>
      </c>
      <c r="K1446">
        <f>IF($U1446="","",INDEX(상세표[성명],$U1446)&amp;"")</f>
        <v/>
      </c>
      <c r="L1446">
        <f>IF($U1446="","",INDEX(상세표[직위],$U1446)&amp;"")</f>
        <v/>
      </c>
      <c r="M1446">
        <f>IF($U1446="","",IF(ISNUMBER(INDEX(상세표[근무일자],$U1446)),TEXT(INDEX(상세표[근무일자],$U1446),"yyyy-mm-dd"),INDEX(상세표[근무일자],$U1446)&amp;""))</f>
        <v/>
      </c>
      <c r="N1446">
        <f>IF($U1446="","",IF(ISNUMBER(INDEX(상세표[시작],$U1446)),TEXT(INDEX(상세표[시작],$U1446),"yyyy-mm-dd hh:mm"),INDEX(상세표[시작],$U1446)&amp;""))</f>
        <v/>
      </c>
      <c r="O1446">
        <f>IF($U1446="","",IF(ISNUMBER(INDEX(상세표[종료],$U1446)),TEXT(INDEX(상세표[종료],$U1446),"yyyy-mm-dd hh:mm"),INDEX(상세표[종료],$U1446)&amp;""))</f>
        <v/>
      </c>
      <c r="P1446">
        <f>IF($U1446="","",INDEX(상세표[06~07시],$U1446))</f>
        <v/>
      </c>
      <c r="Q1446">
        <f>IF($U1446="","",INDEX(상세표[07~18시],$U1446))</f>
        <v/>
      </c>
      <c r="R1446">
        <f>IF($U1446="","",INDEX(상세표[18~22시],$U1446))</f>
        <v/>
      </c>
      <c r="S1446">
        <f>IF($U1446="","",INDEX(상세표[22~06시],$U1446))</f>
        <v/>
      </c>
      <c r="T1446">
        <f>IF($U1446="","",INDEX(상세표[기록 시간외],$U1446))</f>
        <v/>
      </c>
      <c r="U1446" s="4">
        <f>IFERROR(MATCH(1441,상세표[발송순번],0),"")</f>
        <v/>
      </c>
    </row>
    <row r="1447">
      <c r="J1447">
        <f>IF($U1447="","",INDEX(상세표[사번],$U1447)&amp;"")</f>
        <v/>
      </c>
      <c r="K1447">
        <f>IF($U1447="","",INDEX(상세표[성명],$U1447)&amp;"")</f>
        <v/>
      </c>
      <c r="L1447">
        <f>IF($U1447="","",INDEX(상세표[직위],$U1447)&amp;"")</f>
        <v/>
      </c>
      <c r="M1447">
        <f>IF($U1447="","",IF(ISNUMBER(INDEX(상세표[근무일자],$U1447)),TEXT(INDEX(상세표[근무일자],$U1447),"yyyy-mm-dd"),INDEX(상세표[근무일자],$U1447)&amp;""))</f>
        <v/>
      </c>
      <c r="N1447">
        <f>IF($U1447="","",IF(ISNUMBER(INDEX(상세표[시작],$U1447)),TEXT(INDEX(상세표[시작],$U1447),"yyyy-mm-dd hh:mm"),INDEX(상세표[시작],$U1447)&amp;""))</f>
        <v/>
      </c>
      <c r="O1447">
        <f>IF($U1447="","",IF(ISNUMBER(INDEX(상세표[종료],$U1447)),TEXT(INDEX(상세표[종료],$U1447),"yyyy-mm-dd hh:mm"),INDEX(상세표[종료],$U1447)&amp;""))</f>
        <v/>
      </c>
      <c r="P1447">
        <f>IF($U1447="","",INDEX(상세표[06~07시],$U1447))</f>
        <v/>
      </c>
      <c r="Q1447">
        <f>IF($U1447="","",INDEX(상세표[07~18시],$U1447))</f>
        <v/>
      </c>
      <c r="R1447">
        <f>IF($U1447="","",INDEX(상세표[18~22시],$U1447))</f>
        <v/>
      </c>
      <c r="S1447">
        <f>IF($U1447="","",INDEX(상세표[22~06시],$U1447))</f>
        <v/>
      </c>
      <c r="T1447">
        <f>IF($U1447="","",INDEX(상세표[기록 시간외],$U1447))</f>
        <v/>
      </c>
      <c r="U1447" s="4">
        <f>IFERROR(MATCH(1442,상세표[발송순번],0),"")</f>
        <v/>
      </c>
    </row>
    <row r="1448">
      <c r="J1448">
        <f>IF($U1448="","",INDEX(상세표[사번],$U1448)&amp;"")</f>
        <v/>
      </c>
      <c r="K1448">
        <f>IF($U1448="","",INDEX(상세표[성명],$U1448)&amp;"")</f>
        <v/>
      </c>
      <c r="L1448">
        <f>IF($U1448="","",INDEX(상세표[직위],$U1448)&amp;"")</f>
        <v/>
      </c>
      <c r="M1448">
        <f>IF($U1448="","",IF(ISNUMBER(INDEX(상세표[근무일자],$U1448)),TEXT(INDEX(상세표[근무일자],$U1448),"yyyy-mm-dd"),INDEX(상세표[근무일자],$U1448)&amp;""))</f>
        <v/>
      </c>
      <c r="N1448">
        <f>IF($U1448="","",IF(ISNUMBER(INDEX(상세표[시작],$U1448)),TEXT(INDEX(상세표[시작],$U1448),"yyyy-mm-dd hh:mm"),INDEX(상세표[시작],$U1448)&amp;""))</f>
        <v/>
      </c>
      <c r="O1448">
        <f>IF($U1448="","",IF(ISNUMBER(INDEX(상세표[종료],$U1448)),TEXT(INDEX(상세표[종료],$U1448),"yyyy-mm-dd hh:mm"),INDEX(상세표[종료],$U1448)&amp;""))</f>
        <v/>
      </c>
      <c r="P1448">
        <f>IF($U1448="","",INDEX(상세표[06~07시],$U1448))</f>
        <v/>
      </c>
      <c r="Q1448">
        <f>IF($U1448="","",INDEX(상세표[07~18시],$U1448))</f>
        <v/>
      </c>
      <c r="R1448">
        <f>IF($U1448="","",INDEX(상세표[18~22시],$U1448))</f>
        <v/>
      </c>
      <c r="S1448">
        <f>IF($U1448="","",INDEX(상세표[22~06시],$U1448))</f>
        <v/>
      </c>
      <c r="T1448">
        <f>IF($U1448="","",INDEX(상세표[기록 시간외],$U1448))</f>
        <v/>
      </c>
      <c r="U1448" s="4">
        <f>IFERROR(MATCH(1443,상세표[발송순번],0),"")</f>
        <v/>
      </c>
    </row>
    <row r="1449">
      <c r="J1449">
        <f>IF($U1449="","",INDEX(상세표[사번],$U1449)&amp;"")</f>
        <v/>
      </c>
      <c r="K1449">
        <f>IF($U1449="","",INDEX(상세표[성명],$U1449)&amp;"")</f>
        <v/>
      </c>
      <c r="L1449">
        <f>IF($U1449="","",INDEX(상세표[직위],$U1449)&amp;"")</f>
        <v/>
      </c>
      <c r="M1449">
        <f>IF($U1449="","",IF(ISNUMBER(INDEX(상세표[근무일자],$U1449)),TEXT(INDEX(상세표[근무일자],$U1449),"yyyy-mm-dd"),INDEX(상세표[근무일자],$U1449)&amp;""))</f>
        <v/>
      </c>
      <c r="N1449">
        <f>IF($U1449="","",IF(ISNUMBER(INDEX(상세표[시작],$U1449)),TEXT(INDEX(상세표[시작],$U1449),"yyyy-mm-dd hh:mm"),INDEX(상세표[시작],$U1449)&amp;""))</f>
        <v/>
      </c>
      <c r="O1449">
        <f>IF($U1449="","",IF(ISNUMBER(INDEX(상세표[종료],$U1449)),TEXT(INDEX(상세표[종료],$U1449),"yyyy-mm-dd hh:mm"),INDEX(상세표[종료],$U1449)&amp;""))</f>
        <v/>
      </c>
      <c r="P1449">
        <f>IF($U1449="","",INDEX(상세표[06~07시],$U1449))</f>
        <v/>
      </c>
      <c r="Q1449">
        <f>IF($U1449="","",INDEX(상세표[07~18시],$U1449))</f>
        <v/>
      </c>
      <c r="R1449">
        <f>IF($U1449="","",INDEX(상세표[18~22시],$U1449))</f>
        <v/>
      </c>
      <c r="S1449">
        <f>IF($U1449="","",INDEX(상세표[22~06시],$U1449))</f>
        <v/>
      </c>
      <c r="T1449">
        <f>IF($U1449="","",INDEX(상세표[기록 시간외],$U1449))</f>
        <v/>
      </c>
      <c r="U1449" s="4">
        <f>IFERROR(MATCH(1444,상세표[발송순번],0),"")</f>
        <v/>
      </c>
    </row>
    <row r="1450">
      <c r="J1450">
        <f>IF($U1450="","",INDEX(상세표[사번],$U1450)&amp;"")</f>
        <v/>
      </c>
      <c r="K1450">
        <f>IF($U1450="","",INDEX(상세표[성명],$U1450)&amp;"")</f>
        <v/>
      </c>
      <c r="L1450">
        <f>IF($U1450="","",INDEX(상세표[직위],$U1450)&amp;"")</f>
        <v/>
      </c>
      <c r="M1450">
        <f>IF($U1450="","",IF(ISNUMBER(INDEX(상세표[근무일자],$U1450)),TEXT(INDEX(상세표[근무일자],$U1450),"yyyy-mm-dd"),INDEX(상세표[근무일자],$U1450)&amp;""))</f>
        <v/>
      </c>
      <c r="N1450">
        <f>IF($U1450="","",IF(ISNUMBER(INDEX(상세표[시작],$U1450)),TEXT(INDEX(상세표[시작],$U1450),"yyyy-mm-dd hh:mm"),INDEX(상세표[시작],$U1450)&amp;""))</f>
        <v/>
      </c>
      <c r="O1450">
        <f>IF($U1450="","",IF(ISNUMBER(INDEX(상세표[종료],$U1450)),TEXT(INDEX(상세표[종료],$U1450),"yyyy-mm-dd hh:mm"),INDEX(상세표[종료],$U1450)&amp;""))</f>
        <v/>
      </c>
      <c r="P1450">
        <f>IF($U1450="","",INDEX(상세표[06~07시],$U1450))</f>
        <v/>
      </c>
      <c r="Q1450">
        <f>IF($U1450="","",INDEX(상세표[07~18시],$U1450))</f>
        <v/>
      </c>
      <c r="R1450">
        <f>IF($U1450="","",INDEX(상세표[18~22시],$U1450))</f>
        <v/>
      </c>
      <c r="S1450">
        <f>IF($U1450="","",INDEX(상세표[22~06시],$U1450))</f>
        <v/>
      </c>
      <c r="T1450">
        <f>IF($U1450="","",INDEX(상세표[기록 시간외],$U1450))</f>
        <v/>
      </c>
      <c r="U1450" s="4">
        <f>IFERROR(MATCH(1445,상세표[발송순번],0),"")</f>
        <v/>
      </c>
    </row>
    <row r="1451">
      <c r="J1451">
        <f>IF($U1451="","",INDEX(상세표[사번],$U1451)&amp;"")</f>
        <v/>
      </c>
      <c r="K1451">
        <f>IF($U1451="","",INDEX(상세표[성명],$U1451)&amp;"")</f>
        <v/>
      </c>
      <c r="L1451">
        <f>IF($U1451="","",INDEX(상세표[직위],$U1451)&amp;"")</f>
        <v/>
      </c>
      <c r="M1451">
        <f>IF($U1451="","",IF(ISNUMBER(INDEX(상세표[근무일자],$U1451)),TEXT(INDEX(상세표[근무일자],$U1451),"yyyy-mm-dd"),INDEX(상세표[근무일자],$U1451)&amp;""))</f>
        <v/>
      </c>
      <c r="N1451">
        <f>IF($U1451="","",IF(ISNUMBER(INDEX(상세표[시작],$U1451)),TEXT(INDEX(상세표[시작],$U1451),"yyyy-mm-dd hh:mm"),INDEX(상세표[시작],$U1451)&amp;""))</f>
        <v/>
      </c>
      <c r="O1451">
        <f>IF($U1451="","",IF(ISNUMBER(INDEX(상세표[종료],$U1451)),TEXT(INDEX(상세표[종료],$U1451),"yyyy-mm-dd hh:mm"),INDEX(상세표[종료],$U1451)&amp;""))</f>
        <v/>
      </c>
      <c r="P1451">
        <f>IF($U1451="","",INDEX(상세표[06~07시],$U1451))</f>
        <v/>
      </c>
      <c r="Q1451">
        <f>IF($U1451="","",INDEX(상세표[07~18시],$U1451))</f>
        <v/>
      </c>
      <c r="R1451">
        <f>IF($U1451="","",INDEX(상세표[18~22시],$U1451))</f>
        <v/>
      </c>
      <c r="S1451">
        <f>IF($U1451="","",INDEX(상세표[22~06시],$U1451))</f>
        <v/>
      </c>
      <c r="T1451">
        <f>IF($U1451="","",INDEX(상세표[기록 시간외],$U1451))</f>
        <v/>
      </c>
      <c r="U1451" s="4">
        <f>IFERROR(MATCH(1446,상세표[발송순번],0),"")</f>
        <v/>
      </c>
    </row>
    <row r="1452">
      <c r="J1452">
        <f>IF($U1452="","",INDEX(상세표[사번],$U1452)&amp;"")</f>
        <v/>
      </c>
      <c r="K1452">
        <f>IF($U1452="","",INDEX(상세표[성명],$U1452)&amp;"")</f>
        <v/>
      </c>
      <c r="L1452">
        <f>IF($U1452="","",INDEX(상세표[직위],$U1452)&amp;"")</f>
        <v/>
      </c>
      <c r="M1452">
        <f>IF($U1452="","",IF(ISNUMBER(INDEX(상세표[근무일자],$U1452)),TEXT(INDEX(상세표[근무일자],$U1452),"yyyy-mm-dd"),INDEX(상세표[근무일자],$U1452)&amp;""))</f>
        <v/>
      </c>
      <c r="N1452">
        <f>IF($U1452="","",IF(ISNUMBER(INDEX(상세표[시작],$U1452)),TEXT(INDEX(상세표[시작],$U1452),"yyyy-mm-dd hh:mm"),INDEX(상세표[시작],$U1452)&amp;""))</f>
        <v/>
      </c>
      <c r="O1452">
        <f>IF($U1452="","",IF(ISNUMBER(INDEX(상세표[종료],$U1452)),TEXT(INDEX(상세표[종료],$U1452),"yyyy-mm-dd hh:mm"),INDEX(상세표[종료],$U1452)&amp;""))</f>
        <v/>
      </c>
      <c r="P1452">
        <f>IF($U1452="","",INDEX(상세표[06~07시],$U1452))</f>
        <v/>
      </c>
      <c r="Q1452">
        <f>IF($U1452="","",INDEX(상세표[07~18시],$U1452))</f>
        <v/>
      </c>
      <c r="R1452">
        <f>IF($U1452="","",INDEX(상세표[18~22시],$U1452))</f>
        <v/>
      </c>
      <c r="S1452">
        <f>IF($U1452="","",INDEX(상세표[22~06시],$U1452))</f>
        <v/>
      </c>
      <c r="T1452">
        <f>IF($U1452="","",INDEX(상세표[기록 시간외],$U1452))</f>
        <v/>
      </c>
      <c r="U1452" s="4">
        <f>IFERROR(MATCH(1447,상세표[발송순번],0),"")</f>
        <v/>
      </c>
    </row>
    <row r="1453">
      <c r="J1453">
        <f>IF($U1453="","",INDEX(상세표[사번],$U1453)&amp;"")</f>
        <v/>
      </c>
      <c r="K1453">
        <f>IF($U1453="","",INDEX(상세표[성명],$U1453)&amp;"")</f>
        <v/>
      </c>
      <c r="L1453">
        <f>IF($U1453="","",INDEX(상세표[직위],$U1453)&amp;"")</f>
        <v/>
      </c>
      <c r="M1453">
        <f>IF($U1453="","",IF(ISNUMBER(INDEX(상세표[근무일자],$U1453)),TEXT(INDEX(상세표[근무일자],$U1453),"yyyy-mm-dd"),INDEX(상세표[근무일자],$U1453)&amp;""))</f>
        <v/>
      </c>
      <c r="N1453">
        <f>IF($U1453="","",IF(ISNUMBER(INDEX(상세표[시작],$U1453)),TEXT(INDEX(상세표[시작],$U1453),"yyyy-mm-dd hh:mm"),INDEX(상세표[시작],$U1453)&amp;""))</f>
        <v/>
      </c>
      <c r="O1453">
        <f>IF($U1453="","",IF(ISNUMBER(INDEX(상세표[종료],$U1453)),TEXT(INDEX(상세표[종료],$U1453),"yyyy-mm-dd hh:mm"),INDEX(상세표[종료],$U1453)&amp;""))</f>
        <v/>
      </c>
      <c r="P1453">
        <f>IF($U1453="","",INDEX(상세표[06~07시],$U1453))</f>
        <v/>
      </c>
      <c r="Q1453">
        <f>IF($U1453="","",INDEX(상세표[07~18시],$U1453))</f>
        <v/>
      </c>
      <c r="R1453">
        <f>IF($U1453="","",INDEX(상세표[18~22시],$U1453))</f>
        <v/>
      </c>
      <c r="S1453">
        <f>IF($U1453="","",INDEX(상세표[22~06시],$U1453))</f>
        <v/>
      </c>
      <c r="T1453">
        <f>IF($U1453="","",INDEX(상세표[기록 시간외],$U1453))</f>
        <v/>
      </c>
      <c r="U1453" s="4">
        <f>IFERROR(MATCH(1448,상세표[발송순번],0),"")</f>
        <v/>
      </c>
    </row>
    <row r="1454">
      <c r="J1454">
        <f>IF($U1454="","",INDEX(상세표[사번],$U1454)&amp;"")</f>
        <v/>
      </c>
      <c r="K1454">
        <f>IF($U1454="","",INDEX(상세표[성명],$U1454)&amp;"")</f>
        <v/>
      </c>
      <c r="L1454">
        <f>IF($U1454="","",INDEX(상세표[직위],$U1454)&amp;"")</f>
        <v/>
      </c>
      <c r="M1454">
        <f>IF($U1454="","",IF(ISNUMBER(INDEX(상세표[근무일자],$U1454)),TEXT(INDEX(상세표[근무일자],$U1454),"yyyy-mm-dd"),INDEX(상세표[근무일자],$U1454)&amp;""))</f>
        <v/>
      </c>
      <c r="N1454">
        <f>IF($U1454="","",IF(ISNUMBER(INDEX(상세표[시작],$U1454)),TEXT(INDEX(상세표[시작],$U1454),"yyyy-mm-dd hh:mm"),INDEX(상세표[시작],$U1454)&amp;""))</f>
        <v/>
      </c>
      <c r="O1454">
        <f>IF($U1454="","",IF(ISNUMBER(INDEX(상세표[종료],$U1454)),TEXT(INDEX(상세표[종료],$U1454),"yyyy-mm-dd hh:mm"),INDEX(상세표[종료],$U1454)&amp;""))</f>
        <v/>
      </c>
      <c r="P1454">
        <f>IF($U1454="","",INDEX(상세표[06~07시],$U1454))</f>
        <v/>
      </c>
      <c r="Q1454">
        <f>IF($U1454="","",INDEX(상세표[07~18시],$U1454))</f>
        <v/>
      </c>
      <c r="R1454">
        <f>IF($U1454="","",INDEX(상세표[18~22시],$U1454))</f>
        <v/>
      </c>
      <c r="S1454">
        <f>IF($U1454="","",INDEX(상세표[22~06시],$U1454))</f>
        <v/>
      </c>
      <c r="T1454">
        <f>IF($U1454="","",INDEX(상세표[기록 시간외],$U1454))</f>
        <v/>
      </c>
      <c r="U1454" s="4">
        <f>IFERROR(MATCH(1449,상세표[발송순번],0),"")</f>
        <v/>
      </c>
    </row>
    <row r="1455">
      <c r="J1455">
        <f>IF($U1455="","",INDEX(상세표[사번],$U1455)&amp;"")</f>
        <v/>
      </c>
      <c r="K1455">
        <f>IF($U1455="","",INDEX(상세표[성명],$U1455)&amp;"")</f>
        <v/>
      </c>
      <c r="L1455">
        <f>IF($U1455="","",INDEX(상세표[직위],$U1455)&amp;"")</f>
        <v/>
      </c>
      <c r="M1455">
        <f>IF($U1455="","",IF(ISNUMBER(INDEX(상세표[근무일자],$U1455)),TEXT(INDEX(상세표[근무일자],$U1455),"yyyy-mm-dd"),INDEX(상세표[근무일자],$U1455)&amp;""))</f>
        <v/>
      </c>
      <c r="N1455">
        <f>IF($U1455="","",IF(ISNUMBER(INDEX(상세표[시작],$U1455)),TEXT(INDEX(상세표[시작],$U1455),"yyyy-mm-dd hh:mm"),INDEX(상세표[시작],$U1455)&amp;""))</f>
        <v/>
      </c>
      <c r="O1455">
        <f>IF($U1455="","",IF(ISNUMBER(INDEX(상세표[종료],$U1455)),TEXT(INDEX(상세표[종료],$U1455),"yyyy-mm-dd hh:mm"),INDEX(상세표[종료],$U1455)&amp;""))</f>
        <v/>
      </c>
      <c r="P1455">
        <f>IF($U1455="","",INDEX(상세표[06~07시],$U1455))</f>
        <v/>
      </c>
      <c r="Q1455">
        <f>IF($U1455="","",INDEX(상세표[07~18시],$U1455))</f>
        <v/>
      </c>
      <c r="R1455">
        <f>IF($U1455="","",INDEX(상세표[18~22시],$U1455))</f>
        <v/>
      </c>
      <c r="S1455">
        <f>IF($U1455="","",INDEX(상세표[22~06시],$U1455))</f>
        <v/>
      </c>
      <c r="T1455">
        <f>IF($U1455="","",INDEX(상세표[기록 시간외],$U1455))</f>
        <v/>
      </c>
      <c r="U1455" s="4">
        <f>IFERROR(MATCH(1450,상세표[발송순번],0),"")</f>
        <v/>
      </c>
    </row>
    <row r="1456">
      <c r="J1456">
        <f>IF($U1456="","",INDEX(상세표[사번],$U1456)&amp;"")</f>
        <v/>
      </c>
      <c r="K1456">
        <f>IF($U1456="","",INDEX(상세표[성명],$U1456)&amp;"")</f>
        <v/>
      </c>
      <c r="L1456">
        <f>IF($U1456="","",INDEX(상세표[직위],$U1456)&amp;"")</f>
        <v/>
      </c>
      <c r="M1456">
        <f>IF($U1456="","",IF(ISNUMBER(INDEX(상세표[근무일자],$U1456)),TEXT(INDEX(상세표[근무일자],$U1456),"yyyy-mm-dd"),INDEX(상세표[근무일자],$U1456)&amp;""))</f>
        <v/>
      </c>
      <c r="N1456">
        <f>IF($U1456="","",IF(ISNUMBER(INDEX(상세표[시작],$U1456)),TEXT(INDEX(상세표[시작],$U1456),"yyyy-mm-dd hh:mm"),INDEX(상세표[시작],$U1456)&amp;""))</f>
        <v/>
      </c>
      <c r="O1456">
        <f>IF($U1456="","",IF(ISNUMBER(INDEX(상세표[종료],$U1456)),TEXT(INDEX(상세표[종료],$U1456),"yyyy-mm-dd hh:mm"),INDEX(상세표[종료],$U1456)&amp;""))</f>
        <v/>
      </c>
      <c r="P1456">
        <f>IF($U1456="","",INDEX(상세표[06~07시],$U1456))</f>
        <v/>
      </c>
      <c r="Q1456">
        <f>IF($U1456="","",INDEX(상세표[07~18시],$U1456))</f>
        <v/>
      </c>
      <c r="R1456">
        <f>IF($U1456="","",INDEX(상세표[18~22시],$U1456))</f>
        <v/>
      </c>
      <c r="S1456">
        <f>IF($U1456="","",INDEX(상세표[22~06시],$U1456))</f>
        <v/>
      </c>
      <c r="T1456">
        <f>IF($U1456="","",INDEX(상세표[기록 시간외],$U1456))</f>
        <v/>
      </c>
      <c r="U1456" s="4">
        <f>IFERROR(MATCH(1451,상세표[발송순번],0),"")</f>
        <v/>
      </c>
    </row>
    <row r="1457">
      <c r="J1457">
        <f>IF($U1457="","",INDEX(상세표[사번],$U1457)&amp;"")</f>
        <v/>
      </c>
      <c r="K1457">
        <f>IF($U1457="","",INDEX(상세표[성명],$U1457)&amp;"")</f>
        <v/>
      </c>
      <c r="L1457">
        <f>IF($U1457="","",INDEX(상세표[직위],$U1457)&amp;"")</f>
        <v/>
      </c>
      <c r="M1457">
        <f>IF($U1457="","",IF(ISNUMBER(INDEX(상세표[근무일자],$U1457)),TEXT(INDEX(상세표[근무일자],$U1457),"yyyy-mm-dd"),INDEX(상세표[근무일자],$U1457)&amp;""))</f>
        <v/>
      </c>
      <c r="N1457">
        <f>IF($U1457="","",IF(ISNUMBER(INDEX(상세표[시작],$U1457)),TEXT(INDEX(상세표[시작],$U1457),"yyyy-mm-dd hh:mm"),INDEX(상세표[시작],$U1457)&amp;""))</f>
        <v/>
      </c>
      <c r="O1457">
        <f>IF($U1457="","",IF(ISNUMBER(INDEX(상세표[종료],$U1457)),TEXT(INDEX(상세표[종료],$U1457),"yyyy-mm-dd hh:mm"),INDEX(상세표[종료],$U1457)&amp;""))</f>
        <v/>
      </c>
      <c r="P1457">
        <f>IF($U1457="","",INDEX(상세표[06~07시],$U1457))</f>
        <v/>
      </c>
      <c r="Q1457">
        <f>IF($U1457="","",INDEX(상세표[07~18시],$U1457))</f>
        <v/>
      </c>
      <c r="R1457">
        <f>IF($U1457="","",INDEX(상세표[18~22시],$U1457))</f>
        <v/>
      </c>
      <c r="S1457">
        <f>IF($U1457="","",INDEX(상세표[22~06시],$U1457))</f>
        <v/>
      </c>
      <c r="T1457">
        <f>IF($U1457="","",INDEX(상세표[기록 시간외],$U1457))</f>
        <v/>
      </c>
      <c r="U1457" s="4">
        <f>IFERROR(MATCH(1452,상세표[발송순번],0),"")</f>
        <v/>
      </c>
    </row>
    <row r="1458">
      <c r="J1458">
        <f>IF($U1458="","",INDEX(상세표[사번],$U1458)&amp;"")</f>
        <v/>
      </c>
      <c r="K1458">
        <f>IF($U1458="","",INDEX(상세표[성명],$U1458)&amp;"")</f>
        <v/>
      </c>
      <c r="L1458">
        <f>IF($U1458="","",INDEX(상세표[직위],$U1458)&amp;"")</f>
        <v/>
      </c>
      <c r="M1458">
        <f>IF($U1458="","",IF(ISNUMBER(INDEX(상세표[근무일자],$U1458)),TEXT(INDEX(상세표[근무일자],$U1458),"yyyy-mm-dd"),INDEX(상세표[근무일자],$U1458)&amp;""))</f>
        <v/>
      </c>
      <c r="N1458">
        <f>IF($U1458="","",IF(ISNUMBER(INDEX(상세표[시작],$U1458)),TEXT(INDEX(상세표[시작],$U1458),"yyyy-mm-dd hh:mm"),INDEX(상세표[시작],$U1458)&amp;""))</f>
        <v/>
      </c>
      <c r="O1458">
        <f>IF($U1458="","",IF(ISNUMBER(INDEX(상세표[종료],$U1458)),TEXT(INDEX(상세표[종료],$U1458),"yyyy-mm-dd hh:mm"),INDEX(상세표[종료],$U1458)&amp;""))</f>
        <v/>
      </c>
      <c r="P1458">
        <f>IF($U1458="","",INDEX(상세표[06~07시],$U1458))</f>
        <v/>
      </c>
      <c r="Q1458">
        <f>IF($U1458="","",INDEX(상세표[07~18시],$U1458))</f>
        <v/>
      </c>
      <c r="R1458">
        <f>IF($U1458="","",INDEX(상세표[18~22시],$U1458))</f>
        <v/>
      </c>
      <c r="S1458">
        <f>IF($U1458="","",INDEX(상세표[22~06시],$U1458))</f>
        <v/>
      </c>
      <c r="T1458">
        <f>IF($U1458="","",INDEX(상세표[기록 시간외],$U1458))</f>
        <v/>
      </c>
      <c r="U1458" s="4">
        <f>IFERROR(MATCH(1453,상세표[발송순번],0),"")</f>
        <v/>
      </c>
    </row>
    <row r="1459">
      <c r="J1459">
        <f>IF($U1459="","",INDEX(상세표[사번],$U1459)&amp;"")</f>
        <v/>
      </c>
      <c r="K1459">
        <f>IF($U1459="","",INDEX(상세표[성명],$U1459)&amp;"")</f>
        <v/>
      </c>
      <c r="L1459">
        <f>IF($U1459="","",INDEX(상세표[직위],$U1459)&amp;"")</f>
        <v/>
      </c>
      <c r="M1459">
        <f>IF($U1459="","",IF(ISNUMBER(INDEX(상세표[근무일자],$U1459)),TEXT(INDEX(상세표[근무일자],$U1459),"yyyy-mm-dd"),INDEX(상세표[근무일자],$U1459)&amp;""))</f>
        <v/>
      </c>
      <c r="N1459">
        <f>IF($U1459="","",IF(ISNUMBER(INDEX(상세표[시작],$U1459)),TEXT(INDEX(상세표[시작],$U1459),"yyyy-mm-dd hh:mm"),INDEX(상세표[시작],$U1459)&amp;""))</f>
        <v/>
      </c>
      <c r="O1459">
        <f>IF($U1459="","",IF(ISNUMBER(INDEX(상세표[종료],$U1459)),TEXT(INDEX(상세표[종료],$U1459),"yyyy-mm-dd hh:mm"),INDEX(상세표[종료],$U1459)&amp;""))</f>
        <v/>
      </c>
      <c r="P1459">
        <f>IF($U1459="","",INDEX(상세표[06~07시],$U1459))</f>
        <v/>
      </c>
      <c r="Q1459">
        <f>IF($U1459="","",INDEX(상세표[07~18시],$U1459))</f>
        <v/>
      </c>
      <c r="R1459">
        <f>IF($U1459="","",INDEX(상세표[18~22시],$U1459))</f>
        <v/>
      </c>
      <c r="S1459">
        <f>IF($U1459="","",INDEX(상세표[22~06시],$U1459))</f>
        <v/>
      </c>
      <c r="T1459">
        <f>IF($U1459="","",INDEX(상세표[기록 시간외],$U1459))</f>
        <v/>
      </c>
      <c r="U1459" s="4">
        <f>IFERROR(MATCH(1454,상세표[발송순번],0),"")</f>
        <v/>
      </c>
    </row>
    <row r="1460">
      <c r="J1460">
        <f>IF($U1460="","",INDEX(상세표[사번],$U1460)&amp;"")</f>
        <v/>
      </c>
      <c r="K1460">
        <f>IF($U1460="","",INDEX(상세표[성명],$U1460)&amp;"")</f>
        <v/>
      </c>
      <c r="L1460">
        <f>IF($U1460="","",INDEX(상세표[직위],$U1460)&amp;"")</f>
        <v/>
      </c>
      <c r="M1460">
        <f>IF($U1460="","",IF(ISNUMBER(INDEX(상세표[근무일자],$U1460)),TEXT(INDEX(상세표[근무일자],$U1460),"yyyy-mm-dd"),INDEX(상세표[근무일자],$U1460)&amp;""))</f>
        <v/>
      </c>
      <c r="N1460">
        <f>IF($U1460="","",IF(ISNUMBER(INDEX(상세표[시작],$U1460)),TEXT(INDEX(상세표[시작],$U1460),"yyyy-mm-dd hh:mm"),INDEX(상세표[시작],$U1460)&amp;""))</f>
        <v/>
      </c>
      <c r="O1460">
        <f>IF($U1460="","",IF(ISNUMBER(INDEX(상세표[종료],$U1460)),TEXT(INDEX(상세표[종료],$U1460),"yyyy-mm-dd hh:mm"),INDEX(상세표[종료],$U1460)&amp;""))</f>
        <v/>
      </c>
      <c r="P1460">
        <f>IF($U1460="","",INDEX(상세표[06~07시],$U1460))</f>
        <v/>
      </c>
      <c r="Q1460">
        <f>IF($U1460="","",INDEX(상세표[07~18시],$U1460))</f>
        <v/>
      </c>
      <c r="R1460">
        <f>IF($U1460="","",INDEX(상세표[18~22시],$U1460))</f>
        <v/>
      </c>
      <c r="S1460">
        <f>IF($U1460="","",INDEX(상세표[22~06시],$U1460))</f>
        <v/>
      </c>
      <c r="T1460">
        <f>IF($U1460="","",INDEX(상세표[기록 시간외],$U1460))</f>
        <v/>
      </c>
      <c r="U1460" s="4">
        <f>IFERROR(MATCH(1455,상세표[발송순번],0),"")</f>
        <v/>
      </c>
    </row>
    <row r="1461">
      <c r="J1461">
        <f>IF($U1461="","",INDEX(상세표[사번],$U1461)&amp;"")</f>
        <v/>
      </c>
      <c r="K1461">
        <f>IF($U1461="","",INDEX(상세표[성명],$U1461)&amp;"")</f>
        <v/>
      </c>
      <c r="L1461">
        <f>IF($U1461="","",INDEX(상세표[직위],$U1461)&amp;"")</f>
        <v/>
      </c>
      <c r="M1461">
        <f>IF($U1461="","",IF(ISNUMBER(INDEX(상세표[근무일자],$U1461)),TEXT(INDEX(상세표[근무일자],$U1461),"yyyy-mm-dd"),INDEX(상세표[근무일자],$U1461)&amp;""))</f>
        <v/>
      </c>
      <c r="N1461">
        <f>IF($U1461="","",IF(ISNUMBER(INDEX(상세표[시작],$U1461)),TEXT(INDEX(상세표[시작],$U1461),"yyyy-mm-dd hh:mm"),INDEX(상세표[시작],$U1461)&amp;""))</f>
        <v/>
      </c>
      <c r="O1461">
        <f>IF($U1461="","",IF(ISNUMBER(INDEX(상세표[종료],$U1461)),TEXT(INDEX(상세표[종료],$U1461),"yyyy-mm-dd hh:mm"),INDEX(상세표[종료],$U1461)&amp;""))</f>
        <v/>
      </c>
      <c r="P1461">
        <f>IF($U1461="","",INDEX(상세표[06~07시],$U1461))</f>
        <v/>
      </c>
      <c r="Q1461">
        <f>IF($U1461="","",INDEX(상세표[07~18시],$U1461))</f>
        <v/>
      </c>
      <c r="R1461">
        <f>IF($U1461="","",INDEX(상세표[18~22시],$U1461))</f>
        <v/>
      </c>
      <c r="S1461">
        <f>IF($U1461="","",INDEX(상세표[22~06시],$U1461))</f>
        <v/>
      </c>
      <c r="T1461">
        <f>IF($U1461="","",INDEX(상세표[기록 시간외],$U1461))</f>
        <v/>
      </c>
      <c r="U1461" s="4">
        <f>IFERROR(MATCH(1456,상세표[발송순번],0),"")</f>
        <v/>
      </c>
    </row>
    <row r="1462">
      <c r="J1462">
        <f>IF($U1462="","",INDEX(상세표[사번],$U1462)&amp;"")</f>
        <v/>
      </c>
      <c r="K1462">
        <f>IF($U1462="","",INDEX(상세표[성명],$U1462)&amp;"")</f>
        <v/>
      </c>
      <c r="L1462">
        <f>IF($U1462="","",INDEX(상세표[직위],$U1462)&amp;"")</f>
        <v/>
      </c>
      <c r="M1462">
        <f>IF($U1462="","",IF(ISNUMBER(INDEX(상세표[근무일자],$U1462)),TEXT(INDEX(상세표[근무일자],$U1462),"yyyy-mm-dd"),INDEX(상세표[근무일자],$U1462)&amp;""))</f>
        <v/>
      </c>
      <c r="N1462">
        <f>IF($U1462="","",IF(ISNUMBER(INDEX(상세표[시작],$U1462)),TEXT(INDEX(상세표[시작],$U1462),"yyyy-mm-dd hh:mm"),INDEX(상세표[시작],$U1462)&amp;""))</f>
        <v/>
      </c>
      <c r="O1462">
        <f>IF($U1462="","",IF(ISNUMBER(INDEX(상세표[종료],$U1462)),TEXT(INDEX(상세표[종료],$U1462),"yyyy-mm-dd hh:mm"),INDEX(상세표[종료],$U1462)&amp;""))</f>
        <v/>
      </c>
      <c r="P1462">
        <f>IF($U1462="","",INDEX(상세표[06~07시],$U1462))</f>
        <v/>
      </c>
      <c r="Q1462">
        <f>IF($U1462="","",INDEX(상세표[07~18시],$U1462))</f>
        <v/>
      </c>
      <c r="R1462">
        <f>IF($U1462="","",INDEX(상세표[18~22시],$U1462))</f>
        <v/>
      </c>
      <c r="S1462">
        <f>IF($U1462="","",INDEX(상세표[22~06시],$U1462))</f>
        <v/>
      </c>
      <c r="T1462">
        <f>IF($U1462="","",INDEX(상세표[기록 시간외],$U1462))</f>
        <v/>
      </c>
      <c r="U1462" s="4">
        <f>IFERROR(MATCH(1457,상세표[발송순번],0),"")</f>
        <v/>
      </c>
    </row>
    <row r="1463">
      <c r="J1463">
        <f>IF($U1463="","",INDEX(상세표[사번],$U1463)&amp;"")</f>
        <v/>
      </c>
      <c r="K1463">
        <f>IF($U1463="","",INDEX(상세표[성명],$U1463)&amp;"")</f>
        <v/>
      </c>
      <c r="L1463">
        <f>IF($U1463="","",INDEX(상세표[직위],$U1463)&amp;"")</f>
        <v/>
      </c>
      <c r="M1463">
        <f>IF($U1463="","",IF(ISNUMBER(INDEX(상세표[근무일자],$U1463)),TEXT(INDEX(상세표[근무일자],$U1463),"yyyy-mm-dd"),INDEX(상세표[근무일자],$U1463)&amp;""))</f>
        <v/>
      </c>
      <c r="N1463">
        <f>IF($U1463="","",IF(ISNUMBER(INDEX(상세표[시작],$U1463)),TEXT(INDEX(상세표[시작],$U1463),"yyyy-mm-dd hh:mm"),INDEX(상세표[시작],$U1463)&amp;""))</f>
        <v/>
      </c>
      <c r="O1463">
        <f>IF($U1463="","",IF(ISNUMBER(INDEX(상세표[종료],$U1463)),TEXT(INDEX(상세표[종료],$U1463),"yyyy-mm-dd hh:mm"),INDEX(상세표[종료],$U1463)&amp;""))</f>
        <v/>
      </c>
      <c r="P1463">
        <f>IF($U1463="","",INDEX(상세표[06~07시],$U1463))</f>
        <v/>
      </c>
      <c r="Q1463">
        <f>IF($U1463="","",INDEX(상세표[07~18시],$U1463))</f>
        <v/>
      </c>
      <c r="R1463">
        <f>IF($U1463="","",INDEX(상세표[18~22시],$U1463))</f>
        <v/>
      </c>
      <c r="S1463">
        <f>IF($U1463="","",INDEX(상세표[22~06시],$U1463))</f>
        <v/>
      </c>
      <c r="T1463">
        <f>IF($U1463="","",INDEX(상세표[기록 시간외],$U1463))</f>
        <v/>
      </c>
      <c r="U1463" s="4">
        <f>IFERROR(MATCH(1458,상세표[발송순번],0),"")</f>
        <v/>
      </c>
    </row>
    <row r="1464">
      <c r="J1464">
        <f>IF($U1464="","",INDEX(상세표[사번],$U1464)&amp;"")</f>
        <v/>
      </c>
      <c r="K1464">
        <f>IF($U1464="","",INDEX(상세표[성명],$U1464)&amp;"")</f>
        <v/>
      </c>
      <c r="L1464">
        <f>IF($U1464="","",INDEX(상세표[직위],$U1464)&amp;"")</f>
        <v/>
      </c>
      <c r="M1464">
        <f>IF($U1464="","",IF(ISNUMBER(INDEX(상세표[근무일자],$U1464)),TEXT(INDEX(상세표[근무일자],$U1464),"yyyy-mm-dd"),INDEX(상세표[근무일자],$U1464)&amp;""))</f>
        <v/>
      </c>
      <c r="N1464">
        <f>IF($U1464="","",IF(ISNUMBER(INDEX(상세표[시작],$U1464)),TEXT(INDEX(상세표[시작],$U1464),"yyyy-mm-dd hh:mm"),INDEX(상세표[시작],$U1464)&amp;""))</f>
        <v/>
      </c>
      <c r="O1464">
        <f>IF($U1464="","",IF(ISNUMBER(INDEX(상세표[종료],$U1464)),TEXT(INDEX(상세표[종료],$U1464),"yyyy-mm-dd hh:mm"),INDEX(상세표[종료],$U1464)&amp;""))</f>
        <v/>
      </c>
      <c r="P1464">
        <f>IF($U1464="","",INDEX(상세표[06~07시],$U1464))</f>
        <v/>
      </c>
      <c r="Q1464">
        <f>IF($U1464="","",INDEX(상세표[07~18시],$U1464))</f>
        <v/>
      </c>
      <c r="R1464">
        <f>IF($U1464="","",INDEX(상세표[18~22시],$U1464))</f>
        <v/>
      </c>
      <c r="S1464">
        <f>IF($U1464="","",INDEX(상세표[22~06시],$U1464))</f>
        <v/>
      </c>
      <c r="T1464">
        <f>IF($U1464="","",INDEX(상세표[기록 시간외],$U1464))</f>
        <v/>
      </c>
      <c r="U1464" s="4">
        <f>IFERROR(MATCH(1459,상세표[발송순번],0),"")</f>
        <v/>
      </c>
    </row>
    <row r="1465">
      <c r="J1465">
        <f>IF($U1465="","",INDEX(상세표[사번],$U1465)&amp;"")</f>
        <v/>
      </c>
      <c r="K1465">
        <f>IF($U1465="","",INDEX(상세표[성명],$U1465)&amp;"")</f>
        <v/>
      </c>
      <c r="L1465">
        <f>IF($U1465="","",INDEX(상세표[직위],$U1465)&amp;"")</f>
        <v/>
      </c>
      <c r="M1465">
        <f>IF($U1465="","",IF(ISNUMBER(INDEX(상세표[근무일자],$U1465)),TEXT(INDEX(상세표[근무일자],$U1465),"yyyy-mm-dd"),INDEX(상세표[근무일자],$U1465)&amp;""))</f>
        <v/>
      </c>
      <c r="N1465">
        <f>IF($U1465="","",IF(ISNUMBER(INDEX(상세표[시작],$U1465)),TEXT(INDEX(상세표[시작],$U1465),"yyyy-mm-dd hh:mm"),INDEX(상세표[시작],$U1465)&amp;""))</f>
        <v/>
      </c>
      <c r="O1465">
        <f>IF($U1465="","",IF(ISNUMBER(INDEX(상세표[종료],$U1465)),TEXT(INDEX(상세표[종료],$U1465),"yyyy-mm-dd hh:mm"),INDEX(상세표[종료],$U1465)&amp;""))</f>
        <v/>
      </c>
      <c r="P1465">
        <f>IF($U1465="","",INDEX(상세표[06~07시],$U1465))</f>
        <v/>
      </c>
      <c r="Q1465">
        <f>IF($U1465="","",INDEX(상세표[07~18시],$U1465))</f>
        <v/>
      </c>
      <c r="R1465">
        <f>IF($U1465="","",INDEX(상세표[18~22시],$U1465))</f>
        <v/>
      </c>
      <c r="S1465">
        <f>IF($U1465="","",INDEX(상세표[22~06시],$U1465))</f>
        <v/>
      </c>
      <c r="T1465">
        <f>IF($U1465="","",INDEX(상세표[기록 시간외],$U1465))</f>
        <v/>
      </c>
      <c r="U1465" s="4">
        <f>IFERROR(MATCH(1460,상세표[발송순번],0),"")</f>
        <v/>
      </c>
    </row>
    <row r="1466">
      <c r="J1466">
        <f>IF($U1466="","",INDEX(상세표[사번],$U1466)&amp;"")</f>
        <v/>
      </c>
      <c r="K1466">
        <f>IF($U1466="","",INDEX(상세표[성명],$U1466)&amp;"")</f>
        <v/>
      </c>
      <c r="L1466">
        <f>IF($U1466="","",INDEX(상세표[직위],$U1466)&amp;"")</f>
        <v/>
      </c>
      <c r="M1466">
        <f>IF($U1466="","",IF(ISNUMBER(INDEX(상세표[근무일자],$U1466)),TEXT(INDEX(상세표[근무일자],$U1466),"yyyy-mm-dd"),INDEX(상세표[근무일자],$U1466)&amp;""))</f>
        <v/>
      </c>
      <c r="N1466">
        <f>IF($U1466="","",IF(ISNUMBER(INDEX(상세표[시작],$U1466)),TEXT(INDEX(상세표[시작],$U1466),"yyyy-mm-dd hh:mm"),INDEX(상세표[시작],$U1466)&amp;""))</f>
        <v/>
      </c>
      <c r="O1466">
        <f>IF($U1466="","",IF(ISNUMBER(INDEX(상세표[종료],$U1466)),TEXT(INDEX(상세표[종료],$U1466),"yyyy-mm-dd hh:mm"),INDEX(상세표[종료],$U1466)&amp;""))</f>
        <v/>
      </c>
      <c r="P1466">
        <f>IF($U1466="","",INDEX(상세표[06~07시],$U1466))</f>
        <v/>
      </c>
      <c r="Q1466">
        <f>IF($U1466="","",INDEX(상세표[07~18시],$U1466))</f>
        <v/>
      </c>
      <c r="R1466">
        <f>IF($U1466="","",INDEX(상세표[18~22시],$U1466))</f>
        <v/>
      </c>
      <c r="S1466">
        <f>IF($U1466="","",INDEX(상세표[22~06시],$U1466))</f>
        <v/>
      </c>
      <c r="T1466">
        <f>IF($U1466="","",INDEX(상세표[기록 시간외],$U1466))</f>
        <v/>
      </c>
      <c r="U1466" s="4">
        <f>IFERROR(MATCH(1461,상세표[발송순번],0),"")</f>
        <v/>
      </c>
    </row>
    <row r="1467">
      <c r="J1467">
        <f>IF($U1467="","",INDEX(상세표[사번],$U1467)&amp;"")</f>
        <v/>
      </c>
      <c r="K1467">
        <f>IF($U1467="","",INDEX(상세표[성명],$U1467)&amp;"")</f>
        <v/>
      </c>
      <c r="L1467">
        <f>IF($U1467="","",INDEX(상세표[직위],$U1467)&amp;"")</f>
        <v/>
      </c>
      <c r="M1467">
        <f>IF($U1467="","",IF(ISNUMBER(INDEX(상세표[근무일자],$U1467)),TEXT(INDEX(상세표[근무일자],$U1467),"yyyy-mm-dd"),INDEX(상세표[근무일자],$U1467)&amp;""))</f>
        <v/>
      </c>
      <c r="N1467">
        <f>IF($U1467="","",IF(ISNUMBER(INDEX(상세표[시작],$U1467)),TEXT(INDEX(상세표[시작],$U1467),"yyyy-mm-dd hh:mm"),INDEX(상세표[시작],$U1467)&amp;""))</f>
        <v/>
      </c>
      <c r="O1467">
        <f>IF($U1467="","",IF(ISNUMBER(INDEX(상세표[종료],$U1467)),TEXT(INDEX(상세표[종료],$U1467),"yyyy-mm-dd hh:mm"),INDEX(상세표[종료],$U1467)&amp;""))</f>
        <v/>
      </c>
      <c r="P1467">
        <f>IF($U1467="","",INDEX(상세표[06~07시],$U1467))</f>
        <v/>
      </c>
      <c r="Q1467">
        <f>IF($U1467="","",INDEX(상세표[07~18시],$U1467))</f>
        <v/>
      </c>
      <c r="R1467">
        <f>IF($U1467="","",INDEX(상세표[18~22시],$U1467))</f>
        <v/>
      </c>
      <c r="S1467">
        <f>IF($U1467="","",INDEX(상세표[22~06시],$U1467))</f>
        <v/>
      </c>
      <c r="T1467">
        <f>IF($U1467="","",INDEX(상세표[기록 시간외],$U1467))</f>
        <v/>
      </c>
      <c r="U1467" s="4">
        <f>IFERROR(MATCH(1462,상세표[발송순번],0),"")</f>
        <v/>
      </c>
    </row>
    <row r="1468">
      <c r="J1468">
        <f>IF($U1468="","",INDEX(상세표[사번],$U1468)&amp;"")</f>
        <v/>
      </c>
      <c r="K1468">
        <f>IF($U1468="","",INDEX(상세표[성명],$U1468)&amp;"")</f>
        <v/>
      </c>
      <c r="L1468">
        <f>IF($U1468="","",INDEX(상세표[직위],$U1468)&amp;"")</f>
        <v/>
      </c>
      <c r="M1468">
        <f>IF($U1468="","",IF(ISNUMBER(INDEX(상세표[근무일자],$U1468)),TEXT(INDEX(상세표[근무일자],$U1468),"yyyy-mm-dd"),INDEX(상세표[근무일자],$U1468)&amp;""))</f>
        <v/>
      </c>
      <c r="N1468">
        <f>IF($U1468="","",IF(ISNUMBER(INDEX(상세표[시작],$U1468)),TEXT(INDEX(상세표[시작],$U1468),"yyyy-mm-dd hh:mm"),INDEX(상세표[시작],$U1468)&amp;""))</f>
        <v/>
      </c>
      <c r="O1468">
        <f>IF($U1468="","",IF(ISNUMBER(INDEX(상세표[종료],$U1468)),TEXT(INDEX(상세표[종료],$U1468),"yyyy-mm-dd hh:mm"),INDEX(상세표[종료],$U1468)&amp;""))</f>
        <v/>
      </c>
      <c r="P1468">
        <f>IF($U1468="","",INDEX(상세표[06~07시],$U1468))</f>
        <v/>
      </c>
      <c r="Q1468">
        <f>IF($U1468="","",INDEX(상세표[07~18시],$U1468))</f>
        <v/>
      </c>
      <c r="R1468">
        <f>IF($U1468="","",INDEX(상세표[18~22시],$U1468))</f>
        <v/>
      </c>
      <c r="S1468">
        <f>IF($U1468="","",INDEX(상세표[22~06시],$U1468))</f>
        <v/>
      </c>
      <c r="T1468">
        <f>IF($U1468="","",INDEX(상세표[기록 시간외],$U1468))</f>
        <v/>
      </c>
      <c r="U1468" s="4">
        <f>IFERROR(MATCH(1463,상세표[발송순번],0),"")</f>
        <v/>
      </c>
    </row>
    <row r="1469">
      <c r="J1469">
        <f>IF($U1469="","",INDEX(상세표[사번],$U1469)&amp;"")</f>
        <v/>
      </c>
      <c r="K1469">
        <f>IF($U1469="","",INDEX(상세표[성명],$U1469)&amp;"")</f>
        <v/>
      </c>
      <c r="L1469">
        <f>IF($U1469="","",INDEX(상세표[직위],$U1469)&amp;"")</f>
        <v/>
      </c>
      <c r="M1469">
        <f>IF($U1469="","",IF(ISNUMBER(INDEX(상세표[근무일자],$U1469)),TEXT(INDEX(상세표[근무일자],$U1469),"yyyy-mm-dd"),INDEX(상세표[근무일자],$U1469)&amp;""))</f>
        <v/>
      </c>
      <c r="N1469">
        <f>IF($U1469="","",IF(ISNUMBER(INDEX(상세표[시작],$U1469)),TEXT(INDEX(상세표[시작],$U1469),"yyyy-mm-dd hh:mm"),INDEX(상세표[시작],$U1469)&amp;""))</f>
        <v/>
      </c>
      <c r="O1469">
        <f>IF($U1469="","",IF(ISNUMBER(INDEX(상세표[종료],$U1469)),TEXT(INDEX(상세표[종료],$U1469),"yyyy-mm-dd hh:mm"),INDEX(상세표[종료],$U1469)&amp;""))</f>
        <v/>
      </c>
      <c r="P1469">
        <f>IF($U1469="","",INDEX(상세표[06~07시],$U1469))</f>
        <v/>
      </c>
      <c r="Q1469">
        <f>IF($U1469="","",INDEX(상세표[07~18시],$U1469))</f>
        <v/>
      </c>
      <c r="R1469">
        <f>IF($U1469="","",INDEX(상세표[18~22시],$U1469))</f>
        <v/>
      </c>
      <c r="S1469">
        <f>IF($U1469="","",INDEX(상세표[22~06시],$U1469))</f>
        <v/>
      </c>
      <c r="T1469">
        <f>IF($U1469="","",INDEX(상세표[기록 시간외],$U1469))</f>
        <v/>
      </c>
      <c r="U1469" s="4">
        <f>IFERROR(MATCH(1464,상세표[발송순번],0),"")</f>
        <v/>
      </c>
    </row>
    <row r="1470">
      <c r="J1470">
        <f>IF($U1470="","",INDEX(상세표[사번],$U1470)&amp;"")</f>
        <v/>
      </c>
      <c r="K1470">
        <f>IF($U1470="","",INDEX(상세표[성명],$U1470)&amp;"")</f>
        <v/>
      </c>
      <c r="L1470">
        <f>IF($U1470="","",INDEX(상세표[직위],$U1470)&amp;"")</f>
        <v/>
      </c>
      <c r="M1470">
        <f>IF($U1470="","",IF(ISNUMBER(INDEX(상세표[근무일자],$U1470)),TEXT(INDEX(상세표[근무일자],$U1470),"yyyy-mm-dd"),INDEX(상세표[근무일자],$U1470)&amp;""))</f>
        <v/>
      </c>
      <c r="N1470">
        <f>IF($U1470="","",IF(ISNUMBER(INDEX(상세표[시작],$U1470)),TEXT(INDEX(상세표[시작],$U1470),"yyyy-mm-dd hh:mm"),INDEX(상세표[시작],$U1470)&amp;""))</f>
        <v/>
      </c>
      <c r="O1470">
        <f>IF($U1470="","",IF(ISNUMBER(INDEX(상세표[종료],$U1470)),TEXT(INDEX(상세표[종료],$U1470),"yyyy-mm-dd hh:mm"),INDEX(상세표[종료],$U1470)&amp;""))</f>
        <v/>
      </c>
      <c r="P1470">
        <f>IF($U1470="","",INDEX(상세표[06~07시],$U1470))</f>
        <v/>
      </c>
      <c r="Q1470">
        <f>IF($U1470="","",INDEX(상세표[07~18시],$U1470))</f>
        <v/>
      </c>
      <c r="R1470">
        <f>IF($U1470="","",INDEX(상세표[18~22시],$U1470))</f>
        <v/>
      </c>
      <c r="S1470">
        <f>IF($U1470="","",INDEX(상세표[22~06시],$U1470))</f>
        <v/>
      </c>
      <c r="T1470">
        <f>IF($U1470="","",INDEX(상세표[기록 시간외],$U1470))</f>
        <v/>
      </c>
      <c r="U1470" s="4">
        <f>IFERROR(MATCH(1465,상세표[발송순번],0),"")</f>
        <v/>
      </c>
    </row>
    <row r="1471">
      <c r="J1471">
        <f>IF($U1471="","",INDEX(상세표[사번],$U1471)&amp;"")</f>
        <v/>
      </c>
      <c r="K1471">
        <f>IF($U1471="","",INDEX(상세표[성명],$U1471)&amp;"")</f>
        <v/>
      </c>
      <c r="L1471">
        <f>IF($U1471="","",INDEX(상세표[직위],$U1471)&amp;"")</f>
        <v/>
      </c>
      <c r="M1471">
        <f>IF($U1471="","",IF(ISNUMBER(INDEX(상세표[근무일자],$U1471)),TEXT(INDEX(상세표[근무일자],$U1471),"yyyy-mm-dd"),INDEX(상세표[근무일자],$U1471)&amp;""))</f>
        <v/>
      </c>
      <c r="N1471">
        <f>IF($U1471="","",IF(ISNUMBER(INDEX(상세표[시작],$U1471)),TEXT(INDEX(상세표[시작],$U1471),"yyyy-mm-dd hh:mm"),INDEX(상세표[시작],$U1471)&amp;""))</f>
        <v/>
      </c>
      <c r="O1471">
        <f>IF($U1471="","",IF(ISNUMBER(INDEX(상세표[종료],$U1471)),TEXT(INDEX(상세표[종료],$U1471),"yyyy-mm-dd hh:mm"),INDEX(상세표[종료],$U1471)&amp;""))</f>
        <v/>
      </c>
      <c r="P1471">
        <f>IF($U1471="","",INDEX(상세표[06~07시],$U1471))</f>
        <v/>
      </c>
      <c r="Q1471">
        <f>IF($U1471="","",INDEX(상세표[07~18시],$U1471))</f>
        <v/>
      </c>
      <c r="R1471">
        <f>IF($U1471="","",INDEX(상세표[18~22시],$U1471))</f>
        <v/>
      </c>
      <c r="S1471">
        <f>IF($U1471="","",INDEX(상세표[22~06시],$U1471))</f>
        <v/>
      </c>
      <c r="T1471">
        <f>IF($U1471="","",INDEX(상세표[기록 시간외],$U1471))</f>
        <v/>
      </c>
      <c r="U1471" s="4">
        <f>IFERROR(MATCH(1466,상세표[발송순번],0),"")</f>
        <v/>
      </c>
    </row>
    <row r="1472">
      <c r="J1472">
        <f>IF($U1472="","",INDEX(상세표[사번],$U1472)&amp;"")</f>
        <v/>
      </c>
      <c r="K1472">
        <f>IF($U1472="","",INDEX(상세표[성명],$U1472)&amp;"")</f>
        <v/>
      </c>
      <c r="L1472">
        <f>IF($U1472="","",INDEX(상세표[직위],$U1472)&amp;"")</f>
        <v/>
      </c>
      <c r="M1472">
        <f>IF($U1472="","",IF(ISNUMBER(INDEX(상세표[근무일자],$U1472)),TEXT(INDEX(상세표[근무일자],$U1472),"yyyy-mm-dd"),INDEX(상세표[근무일자],$U1472)&amp;""))</f>
        <v/>
      </c>
      <c r="N1472">
        <f>IF($U1472="","",IF(ISNUMBER(INDEX(상세표[시작],$U1472)),TEXT(INDEX(상세표[시작],$U1472),"yyyy-mm-dd hh:mm"),INDEX(상세표[시작],$U1472)&amp;""))</f>
        <v/>
      </c>
      <c r="O1472">
        <f>IF($U1472="","",IF(ISNUMBER(INDEX(상세표[종료],$U1472)),TEXT(INDEX(상세표[종료],$U1472),"yyyy-mm-dd hh:mm"),INDEX(상세표[종료],$U1472)&amp;""))</f>
        <v/>
      </c>
      <c r="P1472">
        <f>IF($U1472="","",INDEX(상세표[06~07시],$U1472))</f>
        <v/>
      </c>
      <c r="Q1472">
        <f>IF($U1472="","",INDEX(상세표[07~18시],$U1472))</f>
        <v/>
      </c>
      <c r="R1472">
        <f>IF($U1472="","",INDEX(상세표[18~22시],$U1472))</f>
        <v/>
      </c>
      <c r="S1472">
        <f>IF($U1472="","",INDEX(상세표[22~06시],$U1472))</f>
        <v/>
      </c>
      <c r="T1472">
        <f>IF($U1472="","",INDEX(상세표[기록 시간외],$U1472))</f>
        <v/>
      </c>
      <c r="U1472" s="4">
        <f>IFERROR(MATCH(1467,상세표[발송순번],0),"")</f>
        <v/>
      </c>
    </row>
    <row r="1473">
      <c r="J1473">
        <f>IF($U1473="","",INDEX(상세표[사번],$U1473)&amp;"")</f>
        <v/>
      </c>
      <c r="K1473">
        <f>IF($U1473="","",INDEX(상세표[성명],$U1473)&amp;"")</f>
        <v/>
      </c>
      <c r="L1473">
        <f>IF($U1473="","",INDEX(상세표[직위],$U1473)&amp;"")</f>
        <v/>
      </c>
      <c r="M1473">
        <f>IF($U1473="","",IF(ISNUMBER(INDEX(상세표[근무일자],$U1473)),TEXT(INDEX(상세표[근무일자],$U1473),"yyyy-mm-dd"),INDEX(상세표[근무일자],$U1473)&amp;""))</f>
        <v/>
      </c>
      <c r="N1473">
        <f>IF($U1473="","",IF(ISNUMBER(INDEX(상세표[시작],$U1473)),TEXT(INDEX(상세표[시작],$U1473),"yyyy-mm-dd hh:mm"),INDEX(상세표[시작],$U1473)&amp;""))</f>
        <v/>
      </c>
      <c r="O1473">
        <f>IF($U1473="","",IF(ISNUMBER(INDEX(상세표[종료],$U1473)),TEXT(INDEX(상세표[종료],$U1473),"yyyy-mm-dd hh:mm"),INDEX(상세표[종료],$U1473)&amp;""))</f>
        <v/>
      </c>
      <c r="P1473">
        <f>IF($U1473="","",INDEX(상세표[06~07시],$U1473))</f>
        <v/>
      </c>
      <c r="Q1473">
        <f>IF($U1473="","",INDEX(상세표[07~18시],$U1473))</f>
        <v/>
      </c>
      <c r="R1473">
        <f>IF($U1473="","",INDEX(상세표[18~22시],$U1473))</f>
        <v/>
      </c>
      <c r="S1473">
        <f>IF($U1473="","",INDEX(상세표[22~06시],$U1473))</f>
        <v/>
      </c>
      <c r="T1473">
        <f>IF($U1473="","",INDEX(상세표[기록 시간외],$U1473))</f>
        <v/>
      </c>
      <c r="U1473" s="4">
        <f>IFERROR(MATCH(1468,상세표[발송순번],0),"")</f>
        <v/>
      </c>
    </row>
    <row r="1474">
      <c r="J1474">
        <f>IF($U1474="","",INDEX(상세표[사번],$U1474)&amp;"")</f>
        <v/>
      </c>
      <c r="K1474">
        <f>IF($U1474="","",INDEX(상세표[성명],$U1474)&amp;"")</f>
        <v/>
      </c>
      <c r="L1474">
        <f>IF($U1474="","",INDEX(상세표[직위],$U1474)&amp;"")</f>
        <v/>
      </c>
      <c r="M1474">
        <f>IF($U1474="","",IF(ISNUMBER(INDEX(상세표[근무일자],$U1474)),TEXT(INDEX(상세표[근무일자],$U1474),"yyyy-mm-dd"),INDEX(상세표[근무일자],$U1474)&amp;""))</f>
        <v/>
      </c>
      <c r="N1474">
        <f>IF($U1474="","",IF(ISNUMBER(INDEX(상세표[시작],$U1474)),TEXT(INDEX(상세표[시작],$U1474),"yyyy-mm-dd hh:mm"),INDEX(상세표[시작],$U1474)&amp;""))</f>
        <v/>
      </c>
      <c r="O1474">
        <f>IF($U1474="","",IF(ISNUMBER(INDEX(상세표[종료],$U1474)),TEXT(INDEX(상세표[종료],$U1474),"yyyy-mm-dd hh:mm"),INDEX(상세표[종료],$U1474)&amp;""))</f>
        <v/>
      </c>
      <c r="P1474">
        <f>IF($U1474="","",INDEX(상세표[06~07시],$U1474))</f>
        <v/>
      </c>
      <c r="Q1474">
        <f>IF($U1474="","",INDEX(상세표[07~18시],$U1474))</f>
        <v/>
      </c>
      <c r="R1474">
        <f>IF($U1474="","",INDEX(상세표[18~22시],$U1474))</f>
        <v/>
      </c>
      <c r="S1474">
        <f>IF($U1474="","",INDEX(상세표[22~06시],$U1474))</f>
        <v/>
      </c>
      <c r="T1474">
        <f>IF($U1474="","",INDEX(상세표[기록 시간외],$U1474))</f>
        <v/>
      </c>
      <c r="U1474" s="4">
        <f>IFERROR(MATCH(1469,상세표[발송순번],0),"")</f>
        <v/>
      </c>
    </row>
    <row r="1475">
      <c r="J1475">
        <f>IF($U1475="","",INDEX(상세표[사번],$U1475)&amp;"")</f>
        <v/>
      </c>
      <c r="K1475">
        <f>IF($U1475="","",INDEX(상세표[성명],$U1475)&amp;"")</f>
        <v/>
      </c>
      <c r="L1475">
        <f>IF($U1475="","",INDEX(상세표[직위],$U1475)&amp;"")</f>
        <v/>
      </c>
      <c r="M1475">
        <f>IF($U1475="","",IF(ISNUMBER(INDEX(상세표[근무일자],$U1475)),TEXT(INDEX(상세표[근무일자],$U1475),"yyyy-mm-dd"),INDEX(상세표[근무일자],$U1475)&amp;""))</f>
        <v/>
      </c>
      <c r="N1475">
        <f>IF($U1475="","",IF(ISNUMBER(INDEX(상세표[시작],$U1475)),TEXT(INDEX(상세표[시작],$U1475),"yyyy-mm-dd hh:mm"),INDEX(상세표[시작],$U1475)&amp;""))</f>
        <v/>
      </c>
      <c r="O1475">
        <f>IF($U1475="","",IF(ISNUMBER(INDEX(상세표[종료],$U1475)),TEXT(INDEX(상세표[종료],$U1475),"yyyy-mm-dd hh:mm"),INDEX(상세표[종료],$U1475)&amp;""))</f>
        <v/>
      </c>
      <c r="P1475">
        <f>IF($U1475="","",INDEX(상세표[06~07시],$U1475))</f>
        <v/>
      </c>
      <c r="Q1475">
        <f>IF($U1475="","",INDEX(상세표[07~18시],$U1475))</f>
        <v/>
      </c>
      <c r="R1475">
        <f>IF($U1475="","",INDEX(상세표[18~22시],$U1475))</f>
        <v/>
      </c>
      <c r="S1475">
        <f>IF($U1475="","",INDEX(상세표[22~06시],$U1475))</f>
        <v/>
      </c>
      <c r="T1475">
        <f>IF($U1475="","",INDEX(상세표[기록 시간외],$U1475))</f>
        <v/>
      </c>
      <c r="U1475" s="4">
        <f>IFERROR(MATCH(1470,상세표[발송순번],0),"")</f>
        <v/>
      </c>
    </row>
    <row r="1476">
      <c r="J1476">
        <f>IF($U1476="","",INDEX(상세표[사번],$U1476)&amp;"")</f>
        <v/>
      </c>
      <c r="K1476">
        <f>IF($U1476="","",INDEX(상세표[성명],$U1476)&amp;"")</f>
        <v/>
      </c>
      <c r="L1476">
        <f>IF($U1476="","",INDEX(상세표[직위],$U1476)&amp;"")</f>
        <v/>
      </c>
      <c r="M1476">
        <f>IF($U1476="","",IF(ISNUMBER(INDEX(상세표[근무일자],$U1476)),TEXT(INDEX(상세표[근무일자],$U1476),"yyyy-mm-dd"),INDEX(상세표[근무일자],$U1476)&amp;""))</f>
        <v/>
      </c>
      <c r="N1476">
        <f>IF($U1476="","",IF(ISNUMBER(INDEX(상세표[시작],$U1476)),TEXT(INDEX(상세표[시작],$U1476),"yyyy-mm-dd hh:mm"),INDEX(상세표[시작],$U1476)&amp;""))</f>
        <v/>
      </c>
      <c r="O1476">
        <f>IF($U1476="","",IF(ISNUMBER(INDEX(상세표[종료],$U1476)),TEXT(INDEX(상세표[종료],$U1476),"yyyy-mm-dd hh:mm"),INDEX(상세표[종료],$U1476)&amp;""))</f>
        <v/>
      </c>
      <c r="P1476">
        <f>IF($U1476="","",INDEX(상세표[06~07시],$U1476))</f>
        <v/>
      </c>
      <c r="Q1476">
        <f>IF($U1476="","",INDEX(상세표[07~18시],$U1476))</f>
        <v/>
      </c>
      <c r="R1476">
        <f>IF($U1476="","",INDEX(상세표[18~22시],$U1476))</f>
        <v/>
      </c>
      <c r="S1476">
        <f>IF($U1476="","",INDEX(상세표[22~06시],$U1476))</f>
        <v/>
      </c>
      <c r="T1476">
        <f>IF($U1476="","",INDEX(상세표[기록 시간외],$U1476))</f>
        <v/>
      </c>
      <c r="U1476" s="4">
        <f>IFERROR(MATCH(1471,상세표[발송순번],0),"")</f>
        <v/>
      </c>
    </row>
    <row r="1477">
      <c r="J1477">
        <f>IF($U1477="","",INDEX(상세표[사번],$U1477)&amp;"")</f>
        <v/>
      </c>
      <c r="K1477">
        <f>IF($U1477="","",INDEX(상세표[성명],$U1477)&amp;"")</f>
        <v/>
      </c>
      <c r="L1477">
        <f>IF($U1477="","",INDEX(상세표[직위],$U1477)&amp;"")</f>
        <v/>
      </c>
      <c r="M1477">
        <f>IF($U1477="","",IF(ISNUMBER(INDEX(상세표[근무일자],$U1477)),TEXT(INDEX(상세표[근무일자],$U1477),"yyyy-mm-dd"),INDEX(상세표[근무일자],$U1477)&amp;""))</f>
        <v/>
      </c>
      <c r="N1477">
        <f>IF($U1477="","",IF(ISNUMBER(INDEX(상세표[시작],$U1477)),TEXT(INDEX(상세표[시작],$U1477),"yyyy-mm-dd hh:mm"),INDEX(상세표[시작],$U1477)&amp;""))</f>
        <v/>
      </c>
      <c r="O1477">
        <f>IF($U1477="","",IF(ISNUMBER(INDEX(상세표[종료],$U1477)),TEXT(INDEX(상세표[종료],$U1477),"yyyy-mm-dd hh:mm"),INDEX(상세표[종료],$U1477)&amp;""))</f>
        <v/>
      </c>
      <c r="P1477">
        <f>IF($U1477="","",INDEX(상세표[06~07시],$U1477))</f>
        <v/>
      </c>
      <c r="Q1477">
        <f>IF($U1477="","",INDEX(상세표[07~18시],$U1477))</f>
        <v/>
      </c>
      <c r="R1477">
        <f>IF($U1477="","",INDEX(상세표[18~22시],$U1477))</f>
        <v/>
      </c>
      <c r="S1477">
        <f>IF($U1477="","",INDEX(상세표[22~06시],$U1477))</f>
        <v/>
      </c>
      <c r="T1477">
        <f>IF($U1477="","",INDEX(상세표[기록 시간외],$U1477))</f>
        <v/>
      </c>
      <c r="U1477" s="4">
        <f>IFERROR(MATCH(1472,상세표[발송순번],0),"")</f>
        <v/>
      </c>
    </row>
    <row r="1478">
      <c r="J1478">
        <f>IF($U1478="","",INDEX(상세표[사번],$U1478)&amp;"")</f>
        <v/>
      </c>
      <c r="K1478">
        <f>IF($U1478="","",INDEX(상세표[성명],$U1478)&amp;"")</f>
        <v/>
      </c>
      <c r="L1478">
        <f>IF($U1478="","",INDEX(상세표[직위],$U1478)&amp;"")</f>
        <v/>
      </c>
      <c r="M1478">
        <f>IF($U1478="","",IF(ISNUMBER(INDEX(상세표[근무일자],$U1478)),TEXT(INDEX(상세표[근무일자],$U1478),"yyyy-mm-dd"),INDEX(상세표[근무일자],$U1478)&amp;""))</f>
        <v/>
      </c>
      <c r="N1478">
        <f>IF($U1478="","",IF(ISNUMBER(INDEX(상세표[시작],$U1478)),TEXT(INDEX(상세표[시작],$U1478),"yyyy-mm-dd hh:mm"),INDEX(상세표[시작],$U1478)&amp;""))</f>
        <v/>
      </c>
      <c r="O1478">
        <f>IF($U1478="","",IF(ISNUMBER(INDEX(상세표[종료],$U1478)),TEXT(INDEX(상세표[종료],$U1478),"yyyy-mm-dd hh:mm"),INDEX(상세표[종료],$U1478)&amp;""))</f>
        <v/>
      </c>
      <c r="P1478">
        <f>IF($U1478="","",INDEX(상세표[06~07시],$U1478))</f>
        <v/>
      </c>
      <c r="Q1478">
        <f>IF($U1478="","",INDEX(상세표[07~18시],$U1478))</f>
        <v/>
      </c>
      <c r="R1478">
        <f>IF($U1478="","",INDEX(상세표[18~22시],$U1478))</f>
        <v/>
      </c>
      <c r="S1478">
        <f>IF($U1478="","",INDEX(상세표[22~06시],$U1478))</f>
        <v/>
      </c>
      <c r="T1478">
        <f>IF($U1478="","",INDEX(상세표[기록 시간외],$U1478))</f>
        <v/>
      </c>
      <c r="U1478" s="4">
        <f>IFERROR(MATCH(1473,상세표[발송순번],0),"")</f>
        <v/>
      </c>
    </row>
    <row r="1479">
      <c r="J1479">
        <f>IF($U1479="","",INDEX(상세표[사번],$U1479)&amp;"")</f>
        <v/>
      </c>
      <c r="K1479">
        <f>IF($U1479="","",INDEX(상세표[성명],$U1479)&amp;"")</f>
        <v/>
      </c>
      <c r="L1479">
        <f>IF($U1479="","",INDEX(상세표[직위],$U1479)&amp;"")</f>
        <v/>
      </c>
      <c r="M1479">
        <f>IF($U1479="","",IF(ISNUMBER(INDEX(상세표[근무일자],$U1479)),TEXT(INDEX(상세표[근무일자],$U1479),"yyyy-mm-dd"),INDEX(상세표[근무일자],$U1479)&amp;""))</f>
        <v/>
      </c>
      <c r="N1479">
        <f>IF($U1479="","",IF(ISNUMBER(INDEX(상세표[시작],$U1479)),TEXT(INDEX(상세표[시작],$U1479),"yyyy-mm-dd hh:mm"),INDEX(상세표[시작],$U1479)&amp;""))</f>
        <v/>
      </c>
      <c r="O1479">
        <f>IF($U1479="","",IF(ISNUMBER(INDEX(상세표[종료],$U1479)),TEXT(INDEX(상세표[종료],$U1479),"yyyy-mm-dd hh:mm"),INDEX(상세표[종료],$U1479)&amp;""))</f>
        <v/>
      </c>
      <c r="P1479">
        <f>IF($U1479="","",INDEX(상세표[06~07시],$U1479))</f>
        <v/>
      </c>
      <c r="Q1479">
        <f>IF($U1479="","",INDEX(상세표[07~18시],$U1479))</f>
        <v/>
      </c>
      <c r="R1479">
        <f>IF($U1479="","",INDEX(상세표[18~22시],$U1479))</f>
        <v/>
      </c>
      <c r="S1479">
        <f>IF($U1479="","",INDEX(상세표[22~06시],$U1479))</f>
        <v/>
      </c>
      <c r="T1479">
        <f>IF($U1479="","",INDEX(상세표[기록 시간외],$U1479))</f>
        <v/>
      </c>
      <c r="U1479" s="4">
        <f>IFERROR(MATCH(1474,상세표[발송순번],0),"")</f>
        <v/>
      </c>
    </row>
    <row r="1480">
      <c r="J1480">
        <f>IF($U1480="","",INDEX(상세표[사번],$U1480)&amp;"")</f>
        <v/>
      </c>
      <c r="K1480">
        <f>IF($U1480="","",INDEX(상세표[성명],$U1480)&amp;"")</f>
        <v/>
      </c>
      <c r="L1480">
        <f>IF($U1480="","",INDEX(상세표[직위],$U1480)&amp;"")</f>
        <v/>
      </c>
      <c r="M1480">
        <f>IF($U1480="","",IF(ISNUMBER(INDEX(상세표[근무일자],$U1480)),TEXT(INDEX(상세표[근무일자],$U1480),"yyyy-mm-dd"),INDEX(상세표[근무일자],$U1480)&amp;""))</f>
        <v/>
      </c>
      <c r="N1480">
        <f>IF($U1480="","",IF(ISNUMBER(INDEX(상세표[시작],$U1480)),TEXT(INDEX(상세표[시작],$U1480),"yyyy-mm-dd hh:mm"),INDEX(상세표[시작],$U1480)&amp;""))</f>
        <v/>
      </c>
      <c r="O1480">
        <f>IF($U1480="","",IF(ISNUMBER(INDEX(상세표[종료],$U1480)),TEXT(INDEX(상세표[종료],$U1480),"yyyy-mm-dd hh:mm"),INDEX(상세표[종료],$U1480)&amp;""))</f>
        <v/>
      </c>
      <c r="P1480">
        <f>IF($U1480="","",INDEX(상세표[06~07시],$U1480))</f>
        <v/>
      </c>
      <c r="Q1480">
        <f>IF($U1480="","",INDEX(상세표[07~18시],$U1480))</f>
        <v/>
      </c>
      <c r="R1480">
        <f>IF($U1480="","",INDEX(상세표[18~22시],$U1480))</f>
        <v/>
      </c>
      <c r="S1480">
        <f>IF($U1480="","",INDEX(상세표[22~06시],$U1480))</f>
        <v/>
      </c>
      <c r="T1480">
        <f>IF($U1480="","",INDEX(상세표[기록 시간외],$U1480))</f>
        <v/>
      </c>
      <c r="U1480" s="4">
        <f>IFERROR(MATCH(1475,상세표[발송순번],0),"")</f>
        <v/>
      </c>
    </row>
    <row r="1481">
      <c r="J1481">
        <f>IF($U1481="","",INDEX(상세표[사번],$U1481)&amp;"")</f>
        <v/>
      </c>
      <c r="K1481">
        <f>IF($U1481="","",INDEX(상세표[성명],$U1481)&amp;"")</f>
        <v/>
      </c>
      <c r="L1481">
        <f>IF($U1481="","",INDEX(상세표[직위],$U1481)&amp;"")</f>
        <v/>
      </c>
      <c r="M1481">
        <f>IF($U1481="","",IF(ISNUMBER(INDEX(상세표[근무일자],$U1481)),TEXT(INDEX(상세표[근무일자],$U1481),"yyyy-mm-dd"),INDEX(상세표[근무일자],$U1481)&amp;""))</f>
        <v/>
      </c>
      <c r="N1481">
        <f>IF($U1481="","",IF(ISNUMBER(INDEX(상세표[시작],$U1481)),TEXT(INDEX(상세표[시작],$U1481),"yyyy-mm-dd hh:mm"),INDEX(상세표[시작],$U1481)&amp;""))</f>
        <v/>
      </c>
      <c r="O1481">
        <f>IF($U1481="","",IF(ISNUMBER(INDEX(상세표[종료],$U1481)),TEXT(INDEX(상세표[종료],$U1481),"yyyy-mm-dd hh:mm"),INDEX(상세표[종료],$U1481)&amp;""))</f>
        <v/>
      </c>
      <c r="P1481">
        <f>IF($U1481="","",INDEX(상세표[06~07시],$U1481))</f>
        <v/>
      </c>
      <c r="Q1481">
        <f>IF($U1481="","",INDEX(상세표[07~18시],$U1481))</f>
        <v/>
      </c>
      <c r="R1481">
        <f>IF($U1481="","",INDEX(상세표[18~22시],$U1481))</f>
        <v/>
      </c>
      <c r="S1481">
        <f>IF($U1481="","",INDEX(상세표[22~06시],$U1481))</f>
        <v/>
      </c>
      <c r="T1481">
        <f>IF($U1481="","",INDEX(상세표[기록 시간외],$U1481))</f>
        <v/>
      </c>
      <c r="U1481" s="4">
        <f>IFERROR(MATCH(1476,상세표[발송순번],0),"")</f>
        <v/>
      </c>
    </row>
    <row r="1482">
      <c r="J1482">
        <f>IF($U1482="","",INDEX(상세표[사번],$U1482)&amp;"")</f>
        <v/>
      </c>
      <c r="K1482">
        <f>IF($U1482="","",INDEX(상세표[성명],$U1482)&amp;"")</f>
        <v/>
      </c>
      <c r="L1482">
        <f>IF($U1482="","",INDEX(상세표[직위],$U1482)&amp;"")</f>
        <v/>
      </c>
      <c r="M1482">
        <f>IF($U1482="","",IF(ISNUMBER(INDEX(상세표[근무일자],$U1482)),TEXT(INDEX(상세표[근무일자],$U1482),"yyyy-mm-dd"),INDEX(상세표[근무일자],$U1482)&amp;""))</f>
        <v/>
      </c>
      <c r="N1482">
        <f>IF($U1482="","",IF(ISNUMBER(INDEX(상세표[시작],$U1482)),TEXT(INDEX(상세표[시작],$U1482),"yyyy-mm-dd hh:mm"),INDEX(상세표[시작],$U1482)&amp;""))</f>
        <v/>
      </c>
      <c r="O1482">
        <f>IF($U1482="","",IF(ISNUMBER(INDEX(상세표[종료],$U1482)),TEXT(INDEX(상세표[종료],$U1482),"yyyy-mm-dd hh:mm"),INDEX(상세표[종료],$U1482)&amp;""))</f>
        <v/>
      </c>
      <c r="P1482">
        <f>IF($U1482="","",INDEX(상세표[06~07시],$U1482))</f>
        <v/>
      </c>
      <c r="Q1482">
        <f>IF($U1482="","",INDEX(상세표[07~18시],$U1482))</f>
        <v/>
      </c>
      <c r="R1482">
        <f>IF($U1482="","",INDEX(상세표[18~22시],$U1482))</f>
        <v/>
      </c>
      <c r="S1482">
        <f>IF($U1482="","",INDEX(상세표[22~06시],$U1482))</f>
        <v/>
      </c>
      <c r="T1482">
        <f>IF($U1482="","",INDEX(상세표[기록 시간외],$U1482))</f>
        <v/>
      </c>
      <c r="U1482" s="4">
        <f>IFERROR(MATCH(1477,상세표[발송순번],0),"")</f>
        <v/>
      </c>
    </row>
    <row r="1483">
      <c r="J1483">
        <f>IF($U1483="","",INDEX(상세표[사번],$U1483)&amp;"")</f>
        <v/>
      </c>
      <c r="K1483">
        <f>IF($U1483="","",INDEX(상세표[성명],$U1483)&amp;"")</f>
        <v/>
      </c>
      <c r="L1483">
        <f>IF($U1483="","",INDEX(상세표[직위],$U1483)&amp;"")</f>
        <v/>
      </c>
      <c r="M1483">
        <f>IF($U1483="","",IF(ISNUMBER(INDEX(상세표[근무일자],$U1483)),TEXT(INDEX(상세표[근무일자],$U1483),"yyyy-mm-dd"),INDEX(상세표[근무일자],$U1483)&amp;""))</f>
        <v/>
      </c>
      <c r="N1483">
        <f>IF($U1483="","",IF(ISNUMBER(INDEX(상세표[시작],$U1483)),TEXT(INDEX(상세표[시작],$U1483),"yyyy-mm-dd hh:mm"),INDEX(상세표[시작],$U1483)&amp;""))</f>
        <v/>
      </c>
      <c r="O1483">
        <f>IF($U1483="","",IF(ISNUMBER(INDEX(상세표[종료],$U1483)),TEXT(INDEX(상세표[종료],$U1483),"yyyy-mm-dd hh:mm"),INDEX(상세표[종료],$U1483)&amp;""))</f>
        <v/>
      </c>
      <c r="P1483">
        <f>IF($U1483="","",INDEX(상세표[06~07시],$U1483))</f>
        <v/>
      </c>
      <c r="Q1483">
        <f>IF($U1483="","",INDEX(상세표[07~18시],$U1483))</f>
        <v/>
      </c>
      <c r="R1483">
        <f>IF($U1483="","",INDEX(상세표[18~22시],$U1483))</f>
        <v/>
      </c>
      <c r="S1483">
        <f>IF($U1483="","",INDEX(상세표[22~06시],$U1483))</f>
        <v/>
      </c>
      <c r="T1483">
        <f>IF($U1483="","",INDEX(상세표[기록 시간외],$U1483))</f>
        <v/>
      </c>
      <c r="U1483" s="4">
        <f>IFERROR(MATCH(1478,상세표[발송순번],0),"")</f>
        <v/>
      </c>
    </row>
    <row r="1484">
      <c r="J1484">
        <f>IF($U1484="","",INDEX(상세표[사번],$U1484)&amp;"")</f>
        <v/>
      </c>
      <c r="K1484">
        <f>IF($U1484="","",INDEX(상세표[성명],$U1484)&amp;"")</f>
        <v/>
      </c>
      <c r="L1484">
        <f>IF($U1484="","",INDEX(상세표[직위],$U1484)&amp;"")</f>
        <v/>
      </c>
      <c r="M1484">
        <f>IF($U1484="","",IF(ISNUMBER(INDEX(상세표[근무일자],$U1484)),TEXT(INDEX(상세표[근무일자],$U1484),"yyyy-mm-dd"),INDEX(상세표[근무일자],$U1484)&amp;""))</f>
        <v/>
      </c>
      <c r="N1484">
        <f>IF($U1484="","",IF(ISNUMBER(INDEX(상세표[시작],$U1484)),TEXT(INDEX(상세표[시작],$U1484),"yyyy-mm-dd hh:mm"),INDEX(상세표[시작],$U1484)&amp;""))</f>
        <v/>
      </c>
      <c r="O1484">
        <f>IF($U1484="","",IF(ISNUMBER(INDEX(상세표[종료],$U1484)),TEXT(INDEX(상세표[종료],$U1484),"yyyy-mm-dd hh:mm"),INDEX(상세표[종료],$U1484)&amp;""))</f>
        <v/>
      </c>
      <c r="P1484">
        <f>IF($U1484="","",INDEX(상세표[06~07시],$U1484))</f>
        <v/>
      </c>
      <c r="Q1484">
        <f>IF($U1484="","",INDEX(상세표[07~18시],$U1484))</f>
        <v/>
      </c>
      <c r="R1484">
        <f>IF($U1484="","",INDEX(상세표[18~22시],$U1484))</f>
        <v/>
      </c>
      <c r="S1484">
        <f>IF($U1484="","",INDEX(상세표[22~06시],$U1484))</f>
        <v/>
      </c>
      <c r="T1484">
        <f>IF($U1484="","",INDEX(상세표[기록 시간외],$U1484))</f>
        <v/>
      </c>
      <c r="U1484" s="4">
        <f>IFERROR(MATCH(1479,상세표[발송순번],0),"")</f>
        <v/>
      </c>
    </row>
    <row r="1485">
      <c r="J1485">
        <f>IF($U1485="","",INDEX(상세표[사번],$U1485)&amp;"")</f>
        <v/>
      </c>
      <c r="K1485">
        <f>IF($U1485="","",INDEX(상세표[성명],$U1485)&amp;"")</f>
        <v/>
      </c>
      <c r="L1485">
        <f>IF($U1485="","",INDEX(상세표[직위],$U1485)&amp;"")</f>
        <v/>
      </c>
      <c r="M1485">
        <f>IF($U1485="","",IF(ISNUMBER(INDEX(상세표[근무일자],$U1485)),TEXT(INDEX(상세표[근무일자],$U1485),"yyyy-mm-dd"),INDEX(상세표[근무일자],$U1485)&amp;""))</f>
        <v/>
      </c>
      <c r="N1485">
        <f>IF($U1485="","",IF(ISNUMBER(INDEX(상세표[시작],$U1485)),TEXT(INDEX(상세표[시작],$U1485),"yyyy-mm-dd hh:mm"),INDEX(상세표[시작],$U1485)&amp;""))</f>
        <v/>
      </c>
      <c r="O1485">
        <f>IF($U1485="","",IF(ISNUMBER(INDEX(상세표[종료],$U1485)),TEXT(INDEX(상세표[종료],$U1485),"yyyy-mm-dd hh:mm"),INDEX(상세표[종료],$U1485)&amp;""))</f>
        <v/>
      </c>
      <c r="P1485">
        <f>IF($U1485="","",INDEX(상세표[06~07시],$U1485))</f>
        <v/>
      </c>
      <c r="Q1485">
        <f>IF($U1485="","",INDEX(상세표[07~18시],$U1485))</f>
        <v/>
      </c>
      <c r="R1485">
        <f>IF($U1485="","",INDEX(상세표[18~22시],$U1485))</f>
        <v/>
      </c>
      <c r="S1485">
        <f>IF($U1485="","",INDEX(상세표[22~06시],$U1485))</f>
        <v/>
      </c>
      <c r="T1485">
        <f>IF($U1485="","",INDEX(상세표[기록 시간외],$U1485))</f>
        <v/>
      </c>
      <c r="U1485" s="4">
        <f>IFERROR(MATCH(1480,상세표[발송순번],0),"")</f>
        <v/>
      </c>
    </row>
    <row r="1486">
      <c r="J1486">
        <f>IF($U1486="","",INDEX(상세표[사번],$U1486)&amp;"")</f>
        <v/>
      </c>
      <c r="K1486">
        <f>IF($U1486="","",INDEX(상세표[성명],$U1486)&amp;"")</f>
        <v/>
      </c>
      <c r="L1486">
        <f>IF($U1486="","",INDEX(상세표[직위],$U1486)&amp;"")</f>
        <v/>
      </c>
      <c r="M1486">
        <f>IF($U1486="","",IF(ISNUMBER(INDEX(상세표[근무일자],$U1486)),TEXT(INDEX(상세표[근무일자],$U1486),"yyyy-mm-dd"),INDEX(상세표[근무일자],$U1486)&amp;""))</f>
        <v/>
      </c>
      <c r="N1486">
        <f>IF($U1486="","",IF(ISNUMBER(INDEX(상세표[시작],$U1486)),TEXT(INDEX(상세표[시작],$U1486),"yyyy-mm-dd hh:mm"),INDEX(상세표[시작],$U1486)&amp;""))</f>
        <v/>
      </c>
      <c r="O1486">
        <f>IF($U1486="","",IF(ISNUMBER(INDEX(상세표[종료],$U1486)),TEXT(INDEX(상세표[종료],$U1486),"yyyy-mm-dd hh:mm"),INDEX(상세표[종료],$U1486)&amp;""))</f>
        <v/>
      </c>
      <c r="P1486">
        <f>IF($U1486="","",INDEX(상세표[06~07시],$U1486))</f>
        <v/>
      </c>
      <c r="Q1486">
        <f>IF($U1486="","",INDEX(상세표[07~18시],$U1486))</f>
        <v/>
      </c>
      <c r="R1486">
        <f>IF($U1486="","",INDEX(상세표[18~22시],$U1486))</f>
        <v/>
      </c>
      <c r="S1486">
        <f>IF($U1486="","",INDEX(상세표[22~06시],$U1486))</f>
        <v/>
      </c>
      <c r="T1486">
        <f>IF($U1486="","",INDEX(상세표[기록 시간외],$U1486))</f>
        <v/>
      </c>
      <c r="U1486" s="4">
        <f>IFERROR(MATCH(1481,상세표[발송순번],0),"")</f>
        <v/>
      </c>
    </row>
    <row r="1487">
      <c r="J1487">
        <f>IF($U1487="","",INDEX(상세표[사번],$U1487)&amp;"")</f>
        <v/>
      </c>
      <c r="K1487">
        <f>IF($U1487="","",INDEX(상세표[성명],$U1487)&amp;"")</f>
        <v/>
      </c>
      <c r="L1487">
        <f>IF($U1487="","",INDEX(상세표[직위],$U1487)&amp;"")</f>
        <v/>
      </c>
      <c r="M1487">
        <f>IF($U1487="","",IF(ISNUMBER(INDEX(상세표[근무일자],$U1487)),TEXT(INDEX(상세표[근무일자],$U1487),"yyyy-mm-dd"),INDEX(상세표[근무일자],$U1487)&amp;""))</f>
        <v/>
      </c>
      <c r="N1487">
        <f>IF($U1487="","",IF(ISNUMBER(INDEX(상세표[시작],$U1487)),TEXT(INDEX(상세표[시작],$U1487),"yyyy-mm-dd hh:mm"),INDEX(상세표[시작],$U1487)&amp;""))</f>
        <v/>
      </c>
      <c r="O1487">
        <f>IF($U1487="","",IF(ISNUMBER(INDEX(상세표[종료],$U1487)),TEXT(INDEX(상세표[종료],$U1487),"yyyy-mm-dd hh:mm"),INDEX(상세표[종료],$U1487)&amp;""))</f>
        <v/>
      </c>
      <c r="P1487">
        <f>IF($U1487="","",INDEX(상세표[06~07시],$U1487))</f>
        <v/>
      </c>
      <c r="Q1487">
        <f>IF($U1487="","",INDEX(상세표[07~18시],$U1487))</f>
        <v/>
      </c>
      <c r="R1487">
        <f>IF($U1487="","",INDEX(상세표[18~22시],$U1487))</f>
        <v/>
      </c>
      <c r="S1487">
        <f>IF($U1487="","",INDEX(상세표[22~06시],$U1487))</f>
        <v/>
      </c>
      <c r="T1487">
        <f>IF($U1487="","",INDEX(상세표[기록 시간외],$U1487))</f>
        <v/>
      </c>
      <c r="U1487" s="4">
        <f>IFERROR(MATCH(1482,상세표[발송순번],0),"")</f>
        <v/>
      </c>
    </row>
    <row r="1488">
      <c r="J1488">
        <f>IF($U1488="","",INDEX(상세표[사번],$U1488)&amp;"")</f>
        <v/>
      </c>
      <c r="K1488">
        <f>IF($U1488="","",INDEX(상세표[성명],$U1488)&amp;"")</f>
        <v/>
      </c>
      <c r="L1488">
        <f>IF($U1488="","",INDEX(상세표[직위],$U1488)&amp;"")</f>
        <v/>
      </c>
      <c r="M1488">
        <f>IF($U1488="","",IF(ISNUMBER(INDEX(상세표[근무일자],$U1488)),TEXT(INDEX(상세표[근무일자],$U1488),"yyyy-mm-dd"),INDEX(상세표[근무일자],$U1488)&amp;""))</f>
        <v/>
      </c>
      <c r="N1488">
        <f>IF($U1488="","",IF(ISNUMBER(INDEX(상세표[시작],$U1488)),TEXT(INDEX(상세표[시작],$U1488),"yyyy-mm-dd hh:mm"),INDEX(상세표[시작],$U1488)&amp;""))</f>
        <v/>
      </c>
      <c r="O1488">
        <f>IF($U1488="","",IF(ISNUMBER(INDEX(상세표[종료],$U1488)),TEXT(INDEX(상세표[종료],$U1488),"yyyy-mm-dd hh:mm"),INDEX(상세표[종료],$U1488)&amp;""))</f>
        <v/>
      </c>
      <c r="P1488">
        <f>IF($U1488="","",INDEX(상세표[06~07시],$U1488))</f>
        <v/>
      </c>
      <c r="Q1488">
        <f>IF($U1488="","",INDEX(상세표[07~18시],$U1488))</f>
        <v/>
      </c>
      <c r="R1488">
        <f>IF($U1488="","",INDEX(상세표[18~22시],$U1488))</f>
        <v/>
      </c>
      <c r="S1488">
        <f>IF($U1488="","",INDEX(상세표[22~06시],$U1488))</f>
        <v/>
      </c>
      <c r="T1488">
        <f>IF($U1488="","",INDEX(상세표[기록 시간외],$U1488))</f>
        <v/>
      </c>
      <c r="U1488" s="4">
        <f>IFERROR(MATCH(1483,상세표[발송순번],0),"")</f>
        <v/>
      </c>
    </row>
    <row r="1489">
      <c r="J1489">
        <f>IF($U1489="","",INDEX(상세표[사번],$U1489)&amp;"")</f>
        <v/>
      </c>
      <c r="K1489">
        <f>IF($U1489="","",INDEX(상세표[성명],$U1489)&amp;"")</f>
        <v/>
      </c>
      <c r="L1489">
        <f>IF($U1489="","",INDEX(상세표[직위],$U1489)&amp;"")</f>
        <v/>
      </c>
      <c r="M1489">
        <f>IF($U1489="","",IF(ISNUMBER(INDEX(상세표[근무일자],$U1489)),TEXT(INDEX(상세표[근무일자],$U1489),"yyyy-mm-dd"),INDEX(상세표[근무일자],$U1489)&amp;""))</f>
        <v/>
      </c>
      <c r="N1489">
        <f>IF($U1489="","",IF(ISNUMBER(INDEX(상세표[시작],$U1489)),TEXT(INDEX(상세표[시작],$U1489),"yyyy-mm-dd hh:mm"),INDEX(상세표[시작],$U1489)&amp;""))</f>
        <v/>
      </c>
      <c r="O1489">
        <f>IF($U1489="","",IF(ISNUMBER(INDEX(상세표[종료],$U1489)),TEXT(INDEX(상세표[종료],$U1489),"yyyy-mm-dd hh:mm"),INDEX(상세표[종료],$U1489)&amp;""))</f>
        <v/>
      </c>
      <c r="P1489">
        <f>IF($U1489="","",INDEX(상세표[06~07시],$U1489))</f>
        <v/>
      </c>
      <c r="Q1489">
        <f>IF($U1489="","",INDEX(상세표[07~18시],$U1489))</f>
        <v/>
      </c>
      <c r="R1489">
        <f>IF($U1489="","",INDEX(상세표[18~22시],$U1489))</f>
        <v/>
      </c>
      <c r="S1489">
        <f>IF($U1489="","",INDEX(상세표[22~06시],$U1489))</f>
        <v/>
      </c>
      <c r="T1489">
        <f>IF($U1489="","",INDEX(상세표[기록 시간외],$U1489))</f>
        <v/>
      </c>
      <c r="U1489" s="4">
        <f>IFERROR(MATCH(1484,상세표[발송순번],0),"")</f>
        <v/>
      </c>
    </row>
    <row r="1490">
      <c r="J1490">
        <f>IF($U1490="","",INDEX(상세표[사번],$U1490)&amp;"")</f>
        <v/>
      </c>
      <c r="K1490">
        <f>IF($U1490="","",INDEX(상세표[성명],$U1490)&amp;"")</f>
        <v/>
      </c>
      <c r="L1490">
        <f>IF($U1490="","",INDEX(상세표[직위],$U1490)&amp;"")</f>
        <v/>
      </c>
      <c r="M1490">
        <f>IF($U1490="","",IF(ISNUMBER(INDEX(상세표[근무일자],$U1490)),TEXT(INDEX(상세표[근무일자],$U1490),"yyyy-mm-dd"),INDEX(상세표[근무일자],$U1490)&amp;""))</f>
        <v/>
      </c>
      <c r="N1490">
        <f>IF($U1490="","",IF(ISNUMBER(INDEX(상세표[시작],$U1490)),TEXT(INDEX(상세표[시작],$U1490),"yyyy-mm-dd hh:mm"),INDEX(상세표[시작],$U1490)&amp;""))</f>
        <v/>
      </c>
      <c r="O1490">
        <f>IF($U1490="","",IF(ISNUMBER(INDEX(상세표[종료],$U1490)),TEXT(INDEX(상세표[종료],$U1490),"yyyy-mm-dd hh:mm"),INDEX(상세표[종료],$U1490)&amp;""))</f>
        <v/>
      </c>
      <c r="P1490">
        <f>IF($U1490="","",INDEX(상세표[06~07시],$U1490))</f>
        <v/>
      </c>
      <c r="Q1490">
        <f>IF($U1490="","",INDEX(상세표[07~18시],$U1490))</f>
        <v/>
      </c>
      <c r="R1490">
        <f>IF($U1490="","",INDEX(상세표[18~22시],$U1490))</f>
        <v/>
      </c>
      <c r="S1490">
        <f>IF($U1490="","",INDEX(상세표[22~06시],$U1490))</f>
        <v/>
      </c>
      <c r="T1490">
        <f>IF($U1490="","",INDEX(상세표[기록 시간외],$U1490))</f>
        <v/>
      </c>
      <c r="U1490" s="4">
        <f>IFERROR(MATCH(1485,상세표[발송순번],0),"")</f>
        <v/>
      </c>
    </row>
    <row r="1491">
      <c r="J1491">
        <f>IF($U1491="","",INDEX(상세표[사번],$U1491)&amp;"")</f>
        <v/>
      </c>
      <c r="K1491">
        <f>IF($U1491="","",INDEX(상세표[성명],$U1491)&amp;"")</f>
        <v/>
      </c>
      <c r="L1491">
        <f>IF($U1491="","",INDEX(상세표[직위],$U1491)&amp;"")</f>
        <v/>
      </c>
      <c r="M1491">
        <f>IF($U1491="","",IF(ISNUMBER(INDEX(상세표[근무일자],$U1491)),TEXT(INDEX(상세표[근무일자],$U1491),"yyyy-mm-dd"),INDEX(상세표[근무일자],$U1491)&amp;""))</f>
        <v/>
      </c>
      <c r="N1491">
        <f>IF($U1491="","",IF(ISNUMBER(INDEX(상세표[시작],$U1491)),TEXT(INDEX(상세표[시작],$U1491),"yyyy-mm-dd hh:mm"),INDEX(상세표[시작],$U1491)&amp;""))</f>
        <v/>
      </c>
      <c r="O1491">
        <f>IF($U1491="","",IF(ISNUMBER(INDEX(상세표[종료],$U1491)),TEXT(INDEX(상세표[종료],$U1491),"yyyy-mm-dd hh:mm"),INDEX(상세표[종료],$U1491)&amp;""))</f>
        <v/>
      </c>
      <c r="P1491">
        <f>IF($U1491="","",INDEX(상세표[06~07시],$U1491))</f>
        <v/>
      </c>
      <c r="Q1491">
        <f>IF($U1491="","",INDEX(상세표[07~18시],$U1491))</f>
        <v/>
      </c>
      <c r="R1491">
        <f>IF($U1491="","",INDEX(상세표[18~22시],$U1491))</f>
        <v/>
      </c>
      <c r="S1491">
        <f>IF($U1491="","",INDEX(상세표[22~06시],$U1491))</f>
        <v/>
      </c>
      <c r="T1491">
        <f>IF($U1491="","",INDEX(상세표[기록 시간외],$U1491))</f>
        <v/>
      </c>
      <c r="U1491" s="4">
        <f>IFERROR(MATCH(1486,상세표[발송순번],0),"")</f>
        <v/>
      </c>
    </row>
    <row r="1492">
      <c r="J1492">
        <f>IF($U1492="","",INDEX(상세표[사번],$U1492)&amp;"")</f>
        <v/>
      </c>
      <c r="K1492">
        <f>IF($U1492="","",INDEX(상세표[성명],$U1492)&amp;"")</f>
        <v/>
      </c>
      <c r="L1492">
        <f>IF($U1492="","",INDEX(상세표[직위],$U1492)&amp;"")</f>
        <v/>
      </c>
      <c r="M1492">
        <f>IF($U1492="","",IF(ISNUMBER(INDEX(상세표[근무일자],$U1492)),TEXT(INDEX(상세표[근무일자],$U1492),"yyyy-mm-dd"),INDEX(상세표[근무일자],$U1492)&amp;""))</f>
        <v/>
      </c>
      <c r="N1492">
        <f>IF($U1492="","",IF(ISNUMBER(INDEX(상세표[시작],$U1492)),TEXT(INDEX(상세표[시작],$U1492),"yyyy-mm-dd hh:mm"),INDEX(상세표[시작],$U1492)&amp;""))</f>
        <v/>
      </c>
      <c r="O1492">
        <f>IF($U1492="","",IF(ISNUMBER(INDEX(상세표[종료],$U1492)),TEXT(INDEX(상세표[종료],$U1492),"yyyy-mm-dd hh:mm"),INDEX(상세표[종료],$U1492)&amp;""))</f>
        <v/>
      </c>
      <c r="P1492">
        <f>IF($U1492="","",INDEX(상세표[06~07시],$U1492))</f>
        <v/>
      </c>
      <c r="Q1492">
        <f>IF($U1492="","",INDEX(상세표[07~18시],$U1492))</f>
        <v/>
      </c>
      <c r="R1492">
        <f>IF($U1492="","",INDEX(상세표[18~22시],$U1492))</f>
        <v/>
      </c>
      <c r="S1492">
        <f>IF($U1492="","",INDEX(상세표[22~06시],$U1492))</f>
        <v/>
      </c>
      <c r="T1492">
        <f>IF($U1492="","",INDEX(상세표[기록 시간외],$U1492))</f>
        <v/>
      </c>
      <c r="U1492" s="4">
        <f>IFERROR(MATCH(1487,상세표[발송순번],0),"")</f>
        <v/>
      </c>
    </row>
    <row r="1493">
      <c r="J1493">
        <f>IF($U1493="","",INDEX(상세표[사번],$U1493)&amp;"")</f>
        <v/>
      </c>
      <c r="K1493">
        <f>IF($U1493="","",INDEX(상세표[성명],$U1493)&amp;"")</f>
        <v/>
      </c>
      <c r="L1493">
        <f>IF($U1493="","",INDEX(상세표[직위],$U1493)&amp;"")</f>
        <v/>
      </c>
      <c r="M1493">
        <f>IF($U1493="","",IF(ISNUMBER(INDEX(상세표[근무일자],$U1493)),TEXT(INDEX(상세표[근무일자],$U1493),"yyyy-mm-dd"),INDEX(상세표[근무일자],$U1493)&amp;""))</f>
        <v/>
      </c>
      <c r="N1493">
        <f>IF($U1493="","",IF(ISNUMBER(INDEX(상세표[시작],$U1493)),TEXT(INDEX(상세표[시작],$U1493),"yyyy-mm-dd hh:mm"),INDEX(상세표[시작],$U1493)&amp;""))</f>
        <v/>
      </c>
      <c r="O1493">
        <f>IF($U1493="","",IF(ISNUMBER(INDEX(상세표[종료],$U1493)),TEXT(INDEX(상세표[종료],$U1493),"yyyy-mm-dd hh:mm"),INDEX(상세표[종료],$U1493)&amp;""))</f>
        <v/>
      </c>
      <c r="P1493">
        <f>IF($U1493="","",INDEX(상세표[06~07시],$U1493))</f>
        <v/>
      </c>
      <c r="Q1493">
        <f>IF($U1493="","",INDEX(상세표[07~18시],$U1493))</f>
        <v/>
      </c>
      <c r="R1493">
        <f>IF($U1493="","",INDEX(상세표[18~22시],$U1493))</f>
        <v/>
      </c>
      <c r="S1493">
        <f>IF($U1493="","",INDEX(상세표[22~06시],$U1493))</f>
        <v/>
      </c>
      <c r="T1493">
        <f>IF($U1493="","",INDEX(상세표[기록 시간외],$U1493))</f>
        <v/>
      </c>
      <c r="U1493" s="4">
        <f>IFERROR(MATCH(1488,상세표[발송순번],0),"")</f>
        <v/>
      </c>
    </row>
    <row r="1494">
      <c r="J1494">
        <f>IF($U1494="","",INDEX(상세표[사번],$U1494)&amp;"")</f>
        <v/>
      </c>
      <c r="K1494">
        <f>IF($U1494="","",INDEX(상세표[성명],$U1494)&amp;"")</f>
        <v/>
      </c>
      <c r="L1494">
        <f>IF($U1494="","",INDEX(상세표[직위],$U1494)&amp;"")</f>
        <v/>
      </c>
      <c r="M1494">
        <f>IF($U1494="","",IF(ISNUMBER(INDEX(상세표[근무일자],$U1494)),TEXT(INDEX(상세표[근무일자],$U1494),"yyyy-mm-dd"),INDEX(상세표[근무일자],$U1494)&amp;""))</f>
        <v/>
      </c>
      <c r="N1494">
        <f>IF($U1494="","",IF(ISNUMBER(INDEX(상세표[시작],$U1494)),TEXT(INDEX(상세표[시작],$U1494),"yyyy-mm-dd hh:mm"),INDEX(상세표[시작],$U1494)&amp;""))</f>
        <v/>
      </c>
      <c r="O1494">
        <f>IF($U1494="","",IF(ISNUMBER(INDEX(상세표[종료],$U1494)),TEXT(INDEX(상세표[종료],$U1494),"yyyy-mm-dd hh:mm"),INDEX(상세표[종료],$U1494)&amp;""))</f>
        <v/>
      </c>
      <c r="P1494">
        <f>IF($U1494="","",INDEX(상세표[06~07시],$U1494))</f>
        <v/>
      </c>
      <c r="Q1494">
        <f>IF($U1494="","",INDEX(상세표[07~18시],$U1494))</f>
        <v/>
      </c>
      <c r="R1494">
        <f>IF($U1494="","",INDEX(상세표[18~22시],$U1494))</f>
        <v/>
      </c>
      <c r="S1494">
        <f>IF($U1494="","",INDEX(상세표[22~06시],$U1494))</f>
        <v/>
      </c>
      <c r="T1494">
        <f>IF($U1494="","",INDEX(상세표[기록 시간외],$U1494))</f>
        <v/>
      </c>
      <c r="U1494" s="4">
        <f>IFERROR(MATCH(1489,상세표[발송순번],0),"")</f>
        <v/>
      </c>
    </row>
    <row r="1495">
      <c r="J1495">
        <f>IF($U1495="","",INDEX(상세표[사번],$U1495)&amp;"")</f>
        <v/>
      </c>
      <c r="K1495">
        <f>IF($U1495="","",INDEX(상세표[성명],$U1495)&amp;"")</f>
        <v/>
      </c>
      <c r="L1495">
        <f>IF($U1495="","",INDEX(상세표[직위],$U1495)&amp;"")</f>
        <v/>
      </c>
      <c r="M1495">
        <f>IF($U1495="","",IF(ISNUMBER(INDEX(상세표[근무일자],$U1495)),TEXT(INDEX(상세표[근무일자],$U1495),"yyyy-mm-dd"),INDEX(상세표[근무일자],$U1495)&amp;""))</f>
        <v/>
      </c>
      <c r="N1495">
        <f>IF($U1495="","",IF(ISNUMBER(INDEX(상세표[시작],$U1495)),TEXT(INDEX(상세표[시작],$U1495),"yyyy-mm-dd hh:mm"),INDEX(상세표[시작],$U1495)&amp;""))</f>
        <v/>
      </c>
      <c r="O1495">
        <f>IF($U1495="","",IF(ISNUMBER(INDEX(상세표[종료],$U1495)),TEXT(INDEX(상세표[종료],$U1495),"yyyy-mm-dd hh:mm"),INDEX(상세표[종료],$U1495)&amp;""))</f>
        <v/>
      </c>
      <c r="P1495">
        <f>IF($U1495="","",INDEX(상세표[06~07시],$U1495))</f>
        <v/>
      </c>
      <c r="Q1495">
        <f>IF($U1495="","",INDEX(상세표[07~18시],$U1495))</f>
        <v/>
      </c>
      <c r="R1495">
        <f>IF($U1495="","",INDEX(상세표[18~22시],$U1495))</f>
        <v/>
      </c>
      <c r="S1495">
        <f>IF($U1495="","",INDEX(상세표[22~06시],$U1495))</f>
        <v/>
      </c>
      <c r="T1495">
        <f>IF($U1495="","",INDEX(상세표[기록 시간외],$U1495))</f>
        <v/>
      </c>
      <c r="U1495" s="4">
        <f>IFERROR(MATCH(1490,상세표[발송순번],0),"")</f>
        <v/>
      </c>
    </row>
    <row r="1496">
      <c r="J1496">
        <f>IF($U1496="","",INDEX(상세표[사번],$U1496)&amp;"")</f>
        <v/>
      </c>
      <c r="K1496">
        <f>IF($U1496="","",INDEX(상세표[성명],$U1496)&amp;"")</f>
        <v/>
      </c>
      <c r="L1496">
        <f>IF($U1496="","",INDEX(상세표[직위],$U1496)&amp;"")</f>
        <v/>
      </c>
      <c r="M1496">
        <f>IF($U1496="","",IF(ISNUMBER(INDEX(상세표[근무일자],$U1496)),TEXT(INDEX(상세표[근무일자],$U1496),"yyyy-mm-dd"),INDEX(상세표[근무일자],$U1496)&amp;""))</f>
        <v/>
      </c>
      <c r="N1496">
        <f>IF($U1496="","",IF(ISNUMBER(INDEX(상세표[시작],$U1496)),TEXT(INDEX(상세표[시작],$U1496),"yyyy-mm-dd hh:mm"),INDEX(상세표[시작],$U1496)&amp;""))</f>
        <v/>
      </c>
      <c r="O1496">
        <f>IF($U1496="","",IF(ISNUMBER(INDEX(상세표[종료],$U1496)),TEXT(INDEX(상세표[종료],$U1496),"yyyy-mm-dd hh:mm"),INDEX(상세표[종료],$U1496)&amp;""))</f>
        <v/>
      </c>
      <c r="P1496">
        <f>IF($U1496="","",INDEX(상세표[06~07시],$U1496))</f>
        <v/>
      </c>
      <c r="Q1496">
        <f>IF($U1496="","",INDEX(상세표[07~18시],$U1496))</f>
        <v/>
      </c>
      <c r="R1496">
        <f>IF($U1496="","",INDEX(상세표[18~22시],$U1496))</f>
        <v/>
      </c>
      <c r="S1496">
        <f>IF($U1496="","",INDEX(상세표[22~06시],$U1496))</f>
        <v/>
      </c>
      <c r="T1496">
        <f>IF($U1496="","",INDEX(상세표[기록 시간외],$U1496))</f>
        <v/>
      </c>
      <c r="U1496" s="4">
        <f>IFERROR(MATCH(1491,상세표[발송순번],0),"")</f>
        <v/>
      </c>
    </row>
    <row r="1497">
      <c r="J1497">
        <f>IF($U1497="","",INDEX(상세표[사번],$U1497)&amp;"")</f>
        <v/>
      </c>
      <c r="K1497">
        <f>IF($U1497="","",INDEX(상세표[성명],$U1497)&amp;"")</f>
        <v/>
      </c>
      <c r="L1497">
        <f>IF($U1497="","",INDEX(상세표[직위],$U1497)&amp;"")</f>
        <v/>
      </c>
      <c r="M1497">
        <f>IF($U1497="","",IF(ISNUMBER(INDEX(상세표[근무일자],$U1497)),TEXT(INDEX(상세표[근무일자],$U1497),"yyyy-mm-dd"),INDEX(상세표[근무일자],$U1497)&amp;""))</f>
        <v/>
      </c>
      <c r="N1497">
        <f>IF($U1497="","",IF(ISNUMBER(INDEX(상세표[시작],$U1497)),TEXT(INDEX(상세표[시작],$U1497),"yyyy-mm-dd hh:mm"),INDEX(상세표[시작],$U1497)&amp;""))</f>
        <v/>
      </c>
      <c r="O1497">
        <f>IF($U1497="","",IF(ISNUMBER(INDEX(상세표[종료],$U1497)),TEXT(INDEX(상세표[종료],$U1497),"yyyy-mm-dd hh:mm"),INDEX(상세표[종료],$U1497)&amp;""))</f>
        <v/>
      </c>
      <c r="P1497">
        <f>IF($U1497="","",INDEX(상세표[06~07시],$U1497))</f>
        <v/>
      </c>
      <c r="Q1497">
        <f>IF($U1497="","",INDEX(상세표[07~18시],$U1497))</f>
        <v/>
      </c>
      <c r="R1497">
        <f>IF($U1497="","",INDEX(상세표[18~22시],$U1497))</f>
        <v/>
      </c>
      <c r="S1497">
        <f>IF($U1497="","",INDEX(상세표[22~06시],$U1497))</f>
        <v/>
      </c>
      <c r="T1497">
        <f>IF($U1497="","",INDEX(상세표[기록 시간외],$U1497))</f>
        <v/>
      </c>
      <c r="U1497" s="4">
        <f>IFERROR(MATCH(1492,상세표[발송순번],0),"")</f>
        <v/>
      </c>
    </row>
    <row r="1498">
      <c r="J1498">
        <f>IF($U1498="","",INDEX(상세표[사번],$U1498)&amp;"")</f>
        <v/>
      </c>
      <c r="K1498">
        <f>IF($U1498="","",INDEX(상세표[성명],$U1498)&amp;"")</f>
        <v/>
      </c>
      <c r="L1498">
        <f>IF($U1498="","",INDEX(상세표[직위],$U1498)&amp;"")</f>
        <v/>
      </c>
      <c r="M1498">
        <f>IF($U1498="","",IF(ISNUMBER(INDEX(상세표[근무일자],$U1498)),TEXT(INDEX(상세표[근무일자],$U1498),"yyyy-mm-dd"),INDEX(상세표[근무일자],$U1498)&amp;""))</f>
        <v/>
      </c>
      <c r="N1498">
        <f>IF($U1498="","",IF(ISNUMBER(INDEX(상세표[시작],$U1498)),TEXT(INDEX(상세표[시작],$U1498),"yyyy-mm-dd hh:mm"),INDEX(상세표[시작],$U1498)&amp;""))</f>
        <v/>
      </c>
      <c r="O1498">
        <f>IF($U1498="","",IF(ISNUMBER(INDEX(상세표[종료],$U1498)),TEXT(INDEX(상세표[종료],$U1498),"yyyy-mm-dd hh:mm"),INDEX(상세표[종료],$U1498)&amp;""))</f>
        <v/>
      </c>
      <c r="P1498">
        <f>IF($U1498="","",INDEX(상세표[06~07시],$U1498))</f>
        <v/>
      </c>
      <c r="Q1498">
        <f>IF($U1498="","",INDEX(상세표[07~18시],$U1498))</f>
        <v/>
      </c>
      <c r="R1498">
        <f>IF($U1498="","",INDEX(상세표[18~22시],$U1498))</f>
        <v/>
      </c>
      <c r="S1498">
        <f>IF($U1498="","",INDEX(상세표[22~06시],$U1498))</f>
        <v/>
      </c>
      <c r="T1498">
        <f>IF($U1498="","",INDEX(상세표[기록 시간외],$U1498))</f>
        <v/>
      </c>
      <c r="U1498" s="4">
        <f>IFERROR(MATCH(1493,상세표[발송순번],0),"")</f>
        <v/>
      </c>
    </row>
    <row r="1499">
      <c r="J1499">
        <f>IF($U1499="","",INDEX(상세표[사번],$U1499)&amp;"")</f>
        <v/>
      </c>
      <c r="K1499">
        <f>IF($U1499="","",INDEX(상세표[성명],$U1499)&amp;"")</f>
        <v/>
      </c>
      <c r="L1499">
        <f>IF($U1499="","",INDEX(상세표[직위],$U1499)&amp;"")</f>
        <v/>
      </c>
      <c r="M1499">
        <f>IF($U1499="","",IF(ISNUMBER(INDEX(상세표[근무일자],$U1499)),TEXT(INDEX(상세표[근무일자],$U1499),"yyyy-mm-dd"),INDEX(상세표[근무일자],$U1499)&amp;""))</f>
        <v/>
      </c>
      <c r="N1499">
        <f>IF($U1499="","",IF(ISNUMBER(INDEX(상세표[시작],$U1499)),TEXT(INDEX(상세표[시작],$U1499),"yyyy-mm-dd hh:mm"),INDEX(상세표[시작],$U1499)&amp;""))</f>
        <v/>
      </c>
      <c r="O1499">
        <f>IF($U1499="","",IF(ISNUMBER(INDEX(상세표[종료],$U1499)),TEXT(INDEX(상세표[종료],$U1499),"yyyy-mm-dd hh:mm"),INDEX(상세표[종료],$U1499)&amp;""))</f>
        <v/>
      </c>
      <c r="P1499">
        <f>IF($U1499="","",INDEX(상세표[06~07시],$U1499))</f>
        <v/>
      </c>
      <c r="Q1499">
        <f>IF($U1499="","",INDEX(상세표[07~18시],$U1499))</f>
        <v/>
      </c>
      <c r="R1499">
        <f>IF($U1499="","",INDEX(상세표[18~22시],$U1499))</f>
        <v/>
      </c>
      <c r="S1499">
        <f>IF($U1499="","",INDEX(상세표[22~06시],$U1499))</f>
        <v/>
      </c>
      <c r="T1499">
        <f>IF($U1499="","",INDEX(상세표[기록 시간외],$U1499))</f>
        <v/>
      </c>
      <c r="U1499" s="4">
        <f>IFERROR(MATCH(1494,상세표[발송순번],0),"")</f>
        <v/>
      </c>
    </row>
    <row r="1500">
      <c r="J1500">
        <f>IF($U1500="","",INDEX(상세표[사번],$U1500)&amp;"")</f>
        <v/>
      </c>
      <c r="K1500">
        <f>IF($U1500="","",INDEX(상세표[성명],$U1500)&amp;"")</f>
        <v/>
      </c>
      <c r="L1500">
        <f>IF($U1500="","",INDEX(상세표[직위],$U1500)&amp;"")</f>
        <v/>
      </c>
      <c r="M1500">
        <f>IF($U1500="","",IF(ISNUMBER(INDEX(상세표[근무일자],$U1500)),TEXT(INDEX(상세표[근무일자],$U1500),"yyyy-mm-dd"),INDEX(상세표[근무일자],$U1500)&amp;""))</f>
        <v/>
      </c>
      <c r="N1500">
        <f>IF($U1500="","",IF(ISNUMBER(INDEX(상세표[시작],$U1500)),TEXT(INDEX(상세표[시작],$U1500),"yyyy-mm-dd hh:mm"),INDEX(상세표[시작],$U1500)&amp;""))</f>
        <v/>
      </c>
      <c r="O1500">
        <f>IF($U1500="","",IF(ISNUMBER(INDEX(상세표[종료],$U1500)),TEXT(INDEX(상세표[종료],$U1500),"yyyy-mm-dd hh:mm"),INDEX(상세표[종료],$U1500)&amp;""))</f>
        <v/>
      </c>
      <c r="P1500">
        <f>IF($U1500="","",INDEX(상세표[06~07시],$U1500))</f>
        <v/>
      </c>
      <c r="Q1500">
        <f>IF($U1500="","",INDEX(상세표[07~18시],$U1500))</f>
        <v/>
      </c>
      <c r="R1500">
        <f>IF($U1500="","",INDEX(상세표[18~22시],$U1500))</f>
        <v/>
      </c>
      <c r="S1500">
        <f>IF($U1500="","",INDEX(상세표[22~06시],$U1500))</f>
        <v/>
      </c>
      <c r="T1500">
        <f>IF($U1500="","",INDEX(상세표[기록 시간외],$U1500))</f>
        <v/>
      </c>
      <c r="U1500" s="4">
        <f>IFERROR(MATCH(1495,상세표[발송순번],0),"")</f>
        <v/>
      </c>
    </row>
    <row r="1501">
      <c r="J1501">
        <f>IF($U1501="","",INDEX(상세표[사번],$U1501)&amp;"")</f>
        <v/>
      </c>
      <c r="K1501">
        <f>IF($U1501="","",INDEX(상세표[성명],$U1501)&amp;"")</f>
        <v/>
      </c>
      <c r="L1501">
        <f>IF($U1501="","",INDEX(상세표[직위],$U1501)&amp;"")</f>
        <v/>
      </c>
      <c r="M1501">
        <f>IF($U1501="","",IF(ISNUMBER(INDEX(상세표[근무일자],$U1501)),TEXT(INDEX(상세표[근무일자],$U1501),"yyyy-mm-dd"),INDEX(상세표[근무일자],$U1501)&amp;""))</f>
        <v/>
      </c>
      <c r="N1501">
        <f>IF($U1501="","",IF(ISNUMBER(INDEX(상세표[시작],$U1501)),TEXT(INDEX(상세표[시작],$U1501),"yyyy-mm-dd hh:mm"),INDEX(상세표[시작],$U1501)&amp;""))</f>
        <v/>
      </c>
      <c r="O1501">
        <f>IF($U1501="","",IF(ISNUMBER(INDEX(상세표[종료],$U1501)),TEXT(INDEX(상세표[종료],$U1501),"yyyy-mm-dd hh:mm"),INDEX(상세표[종료],$U1501)&amp;""))</f>
        <v/>
      </c>
      <c r="P1501">
        <f>IF($U1501="","",INDEX(상세표[06~07시],$U1501))</f>
        <v/>
      </c>
      <c r="Q1501">
        <f>IF($U1501="","",INDEX(상세표[07~18시],$U1501))</f>
        <v/>
      </c>
      <c r="R1501">
        <f>IF($U1501="","",INDEX(상세표[18~22시],$U1501))</f>
        <v/>
      </c>
      <c r="S1501">
        <f>IF($U1501="","",INDEX(상세표[22~06시],$U1501))</f>
        <v/>
      </c>
      <c r="T1501">
        <f>IF($U1501="","",INDEX(상세표[기록 시간외],$U1501))</f>
        <v/>
      </c>
      <c r="U1501" s="4">
        <f>IFERROR(MATCH(1496,상세표[발송순번],0),"")</f>
        <v/>
      </c>
    </row>
    <row r="1502">
      <c r="J1502">
        <f>IF($U1502="","",INDEX(상세표[사번],$U1502)&amp;"")</f>
        <v/>
      </c>
      <c r="K1502">
        <f>IF($U1502="","",INDEX(상세표[성명],$U1502)&amp;"")</f>
        <v/>
      </c>
      <c r="L1502">
        <f>IF($U1502="","",INDEX(상세표[직위],$U1502)&amp;"")</f>
        <v/>
      </c>
      <c r="M1502">
        <f>IF($U1502="","",IF(ISNUMBER(INDEX(상세표[근무일자],$U1502)),TEXT(INDEX(상세표[근무일자],$U1502),"yyyy-mm-dd"),INDEX(상세표[근무일자],$U1502)&amp;""))</f>
        <v/>
      </c>
      <c r="N1502">
        <f>IF($U1502="","",IF(ISNUMBER(INDEX(상세표[시작],$U1502)),TEXT(INDEX(상세표[시작],$U1502),"yyyy-mm-dd hh:mm"),INDEX(상세표[시작],$U1502)&amp;""))</f>
        <v/>
      </c>
      <c r="O1502">
        <f>IF($U1502="","",IF(ISNUMBER(INDEX(상세표[종료],$U1502)),TEXT(INDEX(상세표[종료],$U1502),"yyyy-mm-dd hh:mm"),INDEX(상세표[종료],$U1502)&amp;""))</f>
        <v/>
      </c>
      <c r="P1502">
        <f>IF($U1502="","",INDEX(상세표[06~07시],$U1502))</f>
        <v/>
      </c>
      <c r="Q1502">
        <f>IF($U1502="","",INDEX(상세표[07~18시],$U1502))</f>
        <v/>
      </c>
      <c r="R1502">
        <f>IF($U1502="","",INDEX(상세표[18~22시],$U1502))</f>
        <v/>
      </c>
      <c r="S1502">
        <f>IF($U1502="","",INDEX(상세표[22~06시],$U1502))</f>
        <v/>
      </c>
      <c r="T1502">
        <f>IF($U1502="","",INDEX(상세표[기록 시간외],$U1502))</f>
        <v/>
      </c>
      <c r="U1502" s="4">
        <f>IFERROR(MATCH(1497,상세표[발송순번],0),"")</f>
        <v/>
      </c>
    </row>
    <row r="1503">
      <c r="J1503">
        <f>IF($U1503="","",INDEX(상세표[사번],$U1503)&amp;"")</f>
        <v/>
      </c>
      <c r="K1503">
        <f>IF($U1503="","",INDEX(상세표[성명],$U1503)&amp;"")</f>
        <v/>
      </c>
      <c r="L1503">
        <f>IF($U1503="","",INDEX(상세표[직위],$U1503)&amp;"")</f>
        <v/>
      </c>
      <c r="M1503">
        <f>IF($U1503="","",IF(ISNUMBER(INDEX(상세표[근무일자],$U1503)),TEXT(INDEX(상세표[근무일자],$U1503),"yyyy-mm-dd"),INDEX(상세표[근무일자],$U1503)&amp;""))</f>
        <v/>
      </c>
      <c r="N1503">
        <f>IF($U1503="","",IF(ISNUMBER(INDEX(상세표[시작],$U1503)),TEXT(INDEX(상세표[시작],$U1503),"yyyy-mm-dd hh:mm"),INDEX(상세표[시작],$U1503)&amp;""))</f>
        <v/>
      </c>
      <c r="O1503">
        <f>IF($U1503="","",IF(ISNUMBER(INDEX(상세표[종료],$U1503)),TEXT(INDEX(상세표[종료],$U1503),"yyyy-mm-dd hh:mm"),INDEX(상세표[종료],$U1503)&amp;""))</f>
        <v/>
      </c>
      <c r="P1503">
        <f>IF($U1503="","",INDEX(상세표[06~07시],$U1503))</f>
        <v/>
      </c>
      <c r="Q1503">
        <f>IF($U1503="","",INDEX(상세표[07~18시],$U1503))</f>
        <v/>
      </c>
      <c r="R1503">
        <f>IF($U1503="","",INDEX(상세표[18~22시],$U1503))</f>
        <v/>
      </c>
      <c r="S1503">
        <f>IF($U1503="","",INDEX(상세표[22~06시],$U1503))</f>
        <v/>
      </c>
      <c r="T1503">
        <f>IF($U1503="","",INDEX(상세표[기록 시간외],$U1503))</f>
        <v/>
      </c>
      <c r="U1503" s="4">
        <f>IFERROR(MATCH(1498,상세표[발송순번],0),"")</f>
        <v/>
      </c>
    </row>
    <row r="1504">
      <c r="J1504">
        <f>IF($U1504="","",INDEX(상세표[사번],$U1504)&amp;"")</f>
        <v/>
      </c>
      <c r="K1504">
        <f>IF($U1504="","",INDEX(상세표[성명],$U1504)&amp;"")</f>
        <v/>
      </c>
      <c r="L1504">
        <f>IF($U1504="","",INDEX(상세표[직위],$U1504)&amp;"")</f>
        <v/>
      </c>
      <c r="M1504">
        <f>IF($U1504="","",IF(ISNUMBER(INDEX(상세표[근무일자],$U1504)),TEXT(INDEX(상세표[근무일자],$U1504),"yyyy-mm-dd"),INDEX(상세표[근무일자],$U1504)&amp;""))</f>
        <v/>
      </c>
      <c r="N1504">
        <f>IF($U1504="","",IF(ISNUMBER(INDEX(상세표[시작],$U1504)),TEXT(INDEX(상세표[시작],$U1504),"yyyy-mm-dd hh:mm"),INDEX(상세표[시작],$U1504)&amp;""))</f>
        <v/>
      </c>
      <c r="O1504">
        <f>IF($U1504="","",IF(ISNUMBER(INDEX(상세표[종료],$U1504)),TEXT(INDEX(상세표[종료],$U1504),"yyyy-mm-dd hh:mm"),INDEX(상세표[종료],$U1504)&amp;""))</f>
        <v/>
      </c>
      <c r="P1504">
        <f>IF($U1504="","",INDEX(상세표[06~07시],$U1504))</f>
        <v/>
      </c>
      <c r="Q1504">
        <f>IF($U1504="","",INDEX(상세표[07~18시],$U1504))</f>
        <v/>
      </c>
      <c r="R1504">
        <f>IF($U1504="","",INDEX(상세표[18~22시],$U1504))</f>
        <v/>
      </c>
      <c r="S1504">
        <f>IF($U1504="","",INDEX(상세표[22~06시],$U1504))</f>
        <v/>
      </c>
      <c r="T1504">
        <f>IF($U1504="","",INDEX(상세표[기록 시간외],$U1504))</f>
        <v/>
      </c>
      <c r="U1504" s="4">
        <f>IFERROR(MATCH(1499,상세표[발송순번],0),"")</f>
        <v/>
      </c>
    </row>
    <row r="1505">
      <c r="J1505">
        <f>IF($U1505="","",INDEX(상세표[사번],$U1505)&amp;"")</f>
        <v/>
      </c>
      <c r="K1505">
        <f>IF($U1505="","",INDEX(상세표[성명],$U1505)&amp;"")</f>
        <v/>
      </c>
      <c r="L1505">
        <f>IF($U1505="","",INDEX(상세표[직위],$U1505)&amp;"")</f>
        <v/>
      </c>
      <c r="M1505">
        <f>IF($U1505="","",IF(ISNUMBER(INDEX(상세표[근무일자],$U1505)),TEXT(INDEX(상세표[근무일자],$U1505),"yyyy-mm-dd"),INDEX(상세표[근무일자],$U1505)&amp;""))</f>
        <v/>
      </c>
      <c r="N1505">
        <f>IF($U1505="","",IF(ISNUMBER(INDEX(상세표[시작],$U1505)),TEXT(INDEX(상세표[시작],$U1505),"yyyy-mm-dd hh:mm"),INDEX(상세표[시작],$U1505)&amp;""))</f>
        <v/>
      </c>
      <c r="O1505">
        <f>IF($U1505="","",IF(ISNUMBER(INDEX(상세표[종료],$U1505)),TEXT(INDEX(상세표[종료],$U1505),"yyyy-mm-dd hh:mm"),INDEX(상세표[종료],$U1505)&amp;""))</f>
        <v/>
      </c>
      <c r="P1505">
        <f>IF($U1505="","",INDEX(상세표[06~07시],$U1505))</f>
        <v/>
      </c>
      <c r="Q1505">
        <f>IF($U1505="","",INDEX(상세표[07~18시],$U1505))</f>
        <v/>
      </c>
      <c r="R1505">
        <f>IF($U1505="","",INDEX(상세표[18~22시],$U1505))</f>
        <v/>
      </c>
      <c r="S1505">
        <f>IF($U1505="","",INDEX(상세표[22~06시],$U1505))</f>
        <v/>
      </c>
      <c r="T1505">
        <f>IF($U1505="","",INDEX(상세표[기록 시간외],$U1505))</f>
        <v/>
      </c>
      <c r="U1505" s="4">
        <f>IFERROR(MATCH(1500,상세표[발송순번],0),"")</f>
        <v/>
      </c>
    </row>
    <row r="1506">
      <c r="J1506">
        <f>IF($U1506="","",INDEX(상세표[사번],$U1506)&amp;"")</f>
        <v/>
      </c>
      <c r="K1506">
        <f>IF($U1506="","",INDEX(상세표[성명],$U1506)&amp;"")</f>
        <v/>
      </c>
      <c r="L1506">
        <f>IF($U1506="","",INDEX(상세표[직위],$U1506)&amp;"")</f>
        <v/>
      </c>
      <c r="M1506">
        <f>IF($U1506="","",IF(ISNUMBER(INDEX(상세표[근무일자],$U1506)),TEXT(INDEX(상세표[근무일자],$U1506),"yyyy-mm-dd"),INDEX(상세표[근무일자],$U1506)&amp;""))</f>
        <v/>
      </c>
      <c r="N1506">
        <f>IF($U1506="","",IF(ISNUMBER(INDEX(상세표[시작],$U1506)),TEXT(INDEX(상세표[시작],$U1506),"yyyy-mm-dd hh:mm"),INDEX(상세표[시작],$U1506)&amp;""))</f>
        <v/>
      </c>
      <c r="O1506">
        <f>IF($U1506="","",IF(ISNUMBER(INDEX(상세표[종료],$U1506)),TEXT(INDEX(상세표[종료],$U1506),"yyyy-mm-dd hh:mm"),INDEX(상세표[종료],$U1506)&amp;""))</f>
        <v/>
      </c>
      <c r="P1506">
        <f>IF($U1506="","",INDEX(상세표[06~07시],$U1506))</f>
        <v/>
      </c>
      <c r="Q1506">
        <f>IF($U1506="","",INDEX(상세표[07~18시],$U1506))</f>
        <v/>
      </c>
      <c r="R1506">
        <f>IF($U1506="","",INDEX(상세표[18~22시],$U1506))</f>
        <v/>
      </c>
      <c r="S1506">
        <f>IF($U1506="","",INDEX(상세표[22~06시],$U1506))</f>
        <v/>
      </c>
      <c r="T1506">
        <f>IF($U1506="","",INDEX(상세표[기록 시간외],$U1506))</f>
        <v/>
      </c>
      <c r="U1506" s="4">
        <f>IFERROR(MATCH(1501,상세표[발송순번],0),"")</f>
        <v/>
      </c>
    </row>
    <row r="1507">
      <c r="J1507">
        <f>IF($U1507="","",INDEX(상세표[사번],$U1507)&amp;"")</f>
        <v/>
      </c>
      <c r="K1507">
        <f>IF($U1507="","",INDEX(상세표[성명],$U1507)&amp;"")</f>
        <v/>
      </c>
      <c r="L1507">
        <f>IF($U1507="","",INDEX(상세표[직위],$U1507)&amp;"")</f>
        <v/>
      </c>
      <c r="M1507">
        <f>IF($U1507="","",IF(ISNUMBER(INDEX(상세표[근무일자],$U1507)),TEXT(INDEX(상세표[근무일자],$U1507),"yyyy-mm-dd"),INDEX(상세표[근무일자],$U1507)&amp;""))</f>
        <v/>
      </c>
      <c r="N1507">
        <f>IF($U1507="","",IF(ISNUMBER(INDEX(상세표[시작],$U1507)),TEXT(INDEX(상세표[시작],$U1507),"yyyy-mm-dd hh:mm"),INDEX(상세표[시작],$U1507)&amp;""))</f>
        <v/>
      </c>
      <c r="O1507">
        <f>IF($U1507="","",IF(ISNUMBER(INDEX(상세표[종료],$U1507)),TEXT(INDEX(상세표[종료],$U1507),"yyyy-mm-dd hh:mm"),INDEX(상세표[종료],$U1507)&amp;""))</f>
        <v/>
      </c>
      <c r="P1507">
        <f>IF($U1507="","",INDEX(상세표[06~07시],$U1507))</f>
        <v/>
      </c>
      <c r="Q1507">
        <f>IF($U1507="","",INDEX(상세표[07~18시],$U1507))</f>
        <v/>
      </c>
      <c r="R1507">
        <f>IF($U1507="","",INDEX(상세표[18~22시],$U1507))</f>
        <v/>
      </c>
      <c r="S1507">
        <f>IF($U1507="","",INDEX(상세표[22~06시],$U1507))</f>
        <v/>
      </c>
      <c r="T1507">
        <f>IF($U1507="","",INDEX(상세표[기록 시간외],$U1507))</f>
        <v/>
      </c>
      <c r="U1507" s="4">
        <f>IFERROR(MATCH(1502,상세표[발송순번],0),"")</f>
        <v/>
      </c>
    </row>
    <row r="1508">
      <c r="J1508">
        <f>IF($U1508="","",INDEX(상세표[사번],$U1508)&amp;"")</f>
        <v/>
      </c>
      <c r="K1508">
        <f>IF($U1508="","",INDEX(상세표[성명],$U1508)&amp;"")</f>
        <v/>
      </c>
      <c r="L1508">
        <f>IF($U1508="","",INDEX(상세표[직위],$U1508)&amp;"")</f>
        <v/>
      </c>
      <c r="M1508">
        <f>IF($U1508="","",IF(ISNUMBER(INDEX(상세표[근무일자],$U1508)),TEXT(INDEX(상세표[근무일자],$U1508),"yyyy-mm-dd"),INDEX(상세표[근무일자],$U1508)&amp;""))</f>
        <v/>
      </c>
      <c r="N1508">
        <f>IF($U1508="","",IF(ISNUMBER(INDEX(상세표[시작],$U1508)),TEXT(INDEX(상세표[시작],$U1508),"yyyy-mm-dd hh:mm"),INDEX(상세표[시작],$U1508)&amp;""))</f>
        <v/>
      </c>
      <c r="O1508">
        <f>IF($U1508="","",IF(ISNUMBER(INDEX(상세표[종료],$U1508)),TEXT(INDEX(상세표[종료],$U1508),"yyyy-mm-dd hh:mm"),INDEX(상세표[종료],$U1508)&amp;""))</f>
        <v/>
      </c>
      <c r="P1508">
        <f>IF($U1508="","",INDEX(상세표[06~07시],$U1508))</f>
        <v/>
      </c>
      <c r="Q1508">
        <f>IF($U1508="","",INDEX(상세표[07~18시],$U1508))</f>
        <v/>
      </c>
      <c r="R1508">
        <f>IF($U1508="","",INDEX(상세표[18~22시],$U1508))</f>
        <v/>
      </c>
      <c r="S1508">
        <f>IF($U1508="","",INDEX(상세표[22~06시],$U1508))</f>
        <v/>
      </c>
      <c r="T1508">
        <f>IF($U1508="","",INDEX(상세표[기록 시간외],$U1508))</f>
        <v/>
      </c>
      <c r="U1508" s="4">
        <f>IFERROR(MATCH(1503,상세표[발송순번],0),"")</f>
        <v/>
      </c>
    </row>
    <row r="1509">
      <c r="J1509">
        <f>IF($U1509="","",INDEX(상세표[사번],$U1509)&amp;"")</f>
        <v/>
      </c>
      <c r="K1509">
        <f>IF($U1509="","",INDEX(상세표[성명],$U1509)&amp;"")</f>
        <v/>
      </c>
      <c r="L1509">
        <f>IF($U1509="","",INDEX(상세표[직위],$U1509)&amp;"")</f>
        <v/>
      </c>
      <c r="M1509">
        <f>IF($U1509="","",IF(ISNUMBER(INDEX(상세표[근무일자],$U1509)),TEXT(INDEX(상세표[근무일자],$U1509),"yyyy-mm-dd"),INDEX(상세표[근무일자],$U1509)&amp;""))</f>
        <v/>
      </c>
      <c r="N1509">
        <f>IF($U1509="","",IF(ISNUMBER(INDEX(상세표[시작],$U1509)),TEXT(INDEX(상세표[시작],$U1509),"yyyy-mm-dd hh:mm"),INDEX(상세표[시작],$U1509)&amp;""))</f>
        <v/>
      </c>
      <c r="O1509">
        <f>IF($U1509="","",IF(ISNUMBER(INDEX(상세표[종료],$U1509)),TEXT(INDEX(상세표[종료],$U1509),"yyyy-mm-dd hh:mm"),INDEX(상세표[종료],$U1509)&amp;""))</f>
        <v/>
      </c>
      <c r="P1509">
        <f>IF($U1509="","",INDEX(상세표[06~07시],$U1509))</f>
        <v/>
      </c>
      <c r="Q1509">
        <f>IF($U1509="","",INDEX(상세표[07~18시],$U1509))</f>
        <v/>
      </c>
      <c r="R1509">
        <f>IF($U1509="","",INDEX(상세표[18~22시],$U1509))</f>
        <v/>
      </c>
      <c r="S1509">
        <f>IF($U1509="","",INDEX(상세표[22~06시],$U1509))</f>
        <v/>
      </c>
      <c r="T1509">
        <f>IF($U1509="","",INDEX(상세표[기록 시간외],$U1509))</f>
        <v/>
      </c>
      <c r="U1509" s="4">
        <f>IFERROR(MATCH(1504,상세표[발송순번],0),"")</f>
        <v/>
      </c>
    </row>
    <row r="1510">
      <c r="J1510">
        <f>IF($U1510="","",INDEX(상세표[사번],$U1510)&amp;"")</f>
        <v/>
      </c>
      <c r="K1510">
        <f>IF($U1510="","",INDEX(상세표[성명],$U1510)&amp;"")</f>
        <v/>
      </c>
      <c r="L1510">
        <f>IF($U1510="","",INDEX(상세표[직위],$U1510)&amp;"")</f>
        <v/>
      </c>
      <c r="M1510">
        <f>IF($U1510="","",IF(ISNUMBER(INDEX(상세표[근무일자],$U1510)),TEXT(INDEX(상세표[근무일자],$U1510),"yyyy-mm-dd"),INDEX(상세표[근무일자],$U1510)&amp;""))</f>
        <v/>
      </c>
      <c r="N1510">
        <f>IF($U1510="","",IF(ISNUMBER(INDEX(상세표[시작],$U1510)),TEXT(INDEX(상세표[시작],$U1510),"yyyy-mm-dd hh:mm"),INDEX(상세표[시작],$U1510)&amp;""))</f>
        <v/>
      </c>
      <c r="O1510">
        <f>IF($U1510="","",IF(ISNUMBER(INDEX(상세표[종료],$U1510)),TEXT(INDEX(상세표[종료],$U1510),"yyyy-mm-dd hh:mm"),INDEX(상세표[종료],$U1510)&amp;""))</f>
        <v/>
      </c>
      <c r="P1510">
        <f>IF($U1510="","",INDEX(상세표[06~07시],$U1510))</f>
        <v/>
      </c>
      <c r="Q1510">
        <f>IF($U1510="","",INDEX(상세표[07~18시],$U1510))</f>
        <v/>
      </c>
      <c r="R1510">
        <f>IF($U1510="","",INDEX(상세표[18~22시],$U1510))</f>
        <v/>
      </c>
      <c r="S1510">
        <f>IF($U1510="","",INDEX(상세표[22~06시],$U1510))</f>
        <v/>
      </c>
      <c r="T1510">
        <f>IF($U1510="","",INDEX(상세표[기록 시간외],$U1510))</f>
        <v/>
      </c>
      <c r="U1510" s="4">
        <f>IFERROR(MATCH(1505,상세표[발송순번],0),"")</f>
        <v/>
      </c>
    </row>
    <row r="1511">
      <c r="J1511">
        <f>IF($U1511="","",INDEX(상세표[사번],$U1511)&amp;"")</f>
        <v/>
      </c>
      <c r="K1511">
        <f>IF($U1511="","",INDEX(상세표[성명],$U1511)&amp;"")</f>
        <v/>
      </c>
      <c r="L1511">
        <f>IF($U1511="","",INDEX(상세표[직위],$U1511)&amp;"")</f>
        <v/>
      </c>
      <c r="M1511">
        <f>IF($U1511="","",IF(ISNUMBER(INDEX(상세표[근무일자],$U1511)),TEXT(INDEX(상세표[근무일자],$U1511),"yyyy-mm-dd"),INDEX(상세표[근무일자],$U1511)&amp;""))</f>
        <v/>
      </c>
      <c r="N1511">
        <f>IF($U1511="","",IF(ISNUMBER(INDEX(상세표[시작],$U1511)),TEXT(INDEX(상세표[시작],$U1511),"yyyy-mm-dd hh:mm"),INDEX(상세표[시작],$U1511)&amp;""))</f>
        <v/>
      </c>
      <c r="O1511">
        <f>IF($U1511="","",IF(ISNUMBER(INDEX(상세표[종료],$U1511)),TEXT(INDEX(상세표[종료],$U1511),"yyyy-mm-dd hh:mm"),INDEX(상세표[종료],$U1511)&amp;""))</f>
        <v/>
      </c>
      <c r="P1511">
        <f>IF($U1511="","",INDEX(상세표[06~07시],$U1511))</f>
        <v/>
      </c>
      <c r="Q1511">
        <f>IF($U1511="","",INDEX(상세표[07~18시],$U1511))</f>
        <v/>
      </c>
      <c r="R1511">
        <f>IF($U1511="","",INDEX(상세표[18~22시],$U1511))</f>
        <v/>
      </c>
      <c r="S1511">
        <f>IF($U1511="","",INDEX(상세표[22~06시],$U1511))</f>
        <v/>
      </c>
      <c r="T1511">
        <f>IF($U1511="","",INDEX(상세표[기록 시간외],$U1511))</f>
        <v/>
      </c>
      <c r="U1511" s="4">
        <f>IFERROR(MATCH(1506,상세표[발송순번],0),"")</f>
        <v/>
      </c>
    </row>
    <row r="1512">
      <c r="J1512">
        <f>IF($U1512="","",INDEX(상세표[사번],$U1512)&amp;"")</f>
        <v/>
      </c>
      <c r="K1512">
        <f>IF($U1512="","",INDEX(상세표[성명],$U1512)&amp;"")</f>
        <v/>
      </c>
      <c r="L1512">
        <f>IF($U1512="","",INDEX(상세표[직위],$U1512)&amp;"")</f>
        <v/>
      </c>
      <c r="M1512">
        <f>IF($U1512="","",IF(ISNUMBER(INDEX(상세표[근무일자],$U1512)),TEXT(INDEX(상세표[근무일자],$U1512),"yyyy-mm-dd"),INDEX(상세표[근무일자],$U1512)&amp;""))</f>
        <v/>
      </c>
      <c r="N1512">
        <f>IF($U1512="","",IF(ISNUMBER(INDEX(상세표[시작],$U1512)),TEXT(INDEX(상세표[시작],$U1512),"yyyy-mm-dd hh:mm"),INDEX(상세표[시작],$U1512)&amp;""))</f>
        <v/>
      </c>
      <c r="O1512">
        <f>IF($U1512="","",IF(ISNUMBER(INDEX(상세표[종료],$U1512)),TEXT(INDEX(상세표[종료],$U1512),"yyyy-mm-dd hh:mm"),INDEX(상세표[종료],$U1512)&amp;""))</f>
        <v/>
      </c>
      <c r="P1512">
        <f>IF($U1512="","",INDEX(상세표[06~07시],$U1512))</f>
        <v/>
      </c>
      <c r="Q1512">
        <f>IF($U1512="","",INDEX(상세표[07~18시],$U1512))</f>
        <v/>
      </c>
      <c r="R1512">
        <f>IF($U1512="","",INDEX(상세표[18~22시],$U1512))</f>
        <v/>
      </c>
      <c r="S1512">
        <f>IF($U1512="","",INDEX(상세표[22~06시],$U1512))</f>
        <v/>
      </c>
      <c r="T1512">
        <f>IF($U1512="","",INDEX(상세표[기록 시간외],$U1512))</f>
        <v/>
      </c>
      <c r="U1512" s="4">
        <f>IFERROR(MATCH(1507,상세표[발송순번],0),"")</f>
        <v/>
      </c>
    </row>
    <row r="1513">
      <c r="J1513">
        <f>IF($U1513="","",INDEX(상세표[사번],$U1513)&amp;"")</f>
        <v/>
      </c>
      <c r="K1513">
        <f>IF($U1513="","",INDEX(상세표[성명],$U1513)&amp;"")</f>
        <v/>
      </c>
      <c r="L1513">
        <f>IF($U1513="","",INDEX(상세표[직위],$U1513)&amp;"")</f>
        <v/>
      </c>
      <c r="M1513">
        <f>IF($U1513="","",IF(ISNUMBER(INDEX(상세표[근무일자],$U1513)),TEXT(INDEX(상세표[근무일자],$U1513),"yyyy-mm-dd"),INDEX(상세표[근무일자],$U1513)&amp;""))</f>
        <v/>
      </c>
      <c r="N1513">
        <f>IF($U1513="","",IF(ISNUMBER(INDEX(상세표[시작],$U1513)),TEXT(INDEX(상세표[시작],$U1513),"yyyy-mm-dd hh:mm"),INDEX(상세표[시작],$U1513)&amp;""))</f>
        <v/>
      </c>
      <c r="O1513">
        <f>IF($U1513="","",IF(ISNUMBER(INDEX(상세표[종료],$U1513)),TEXT(INDEX(상세표[종료],$U1513),"yyyy-mm-dd hh:mm"),INDEX(상세표[종료],$U1513)&amp;""))</f>
        <v/>
      </c>
      <c r="P1513">
        <f>IF($U1513="","",INDEX(상세표[06~07시],$U1513))</f>
        <v/>
      </c>
      <c r="Q1513">
        <f>IF($U1513="","",INDEX(상세표[07~18시],$U1513))</f>
        <v/>
      </c>
      <c r="R1513">
        <f>IF($U1513="","",INDEX(상세표[18~22시],$U1513))</f>
        <v/>
      </c>
      <c r="S1513">
        <f>IF($U1513="","",INDEX(상세표[22~06시],$U1513))</f>
        <v/>
      </c>
      <c r="T1513">
        <f>IF($U1513="","",INDEX(상세표[기록 시간외],$U1513))</f>
        <v/>
      </c>
      <c r="U1513" s="4">
        <f>IFERROR(MATCH(1508,상세표[발송순번],0),"")</f>
        <v/>
      </c>
    </row>
    <row r="1514">
      <c r="J1514">
        <f>IF($U1514="","",INDEX(상세표[사번],$U1514)&amp;"")</f>
        <v/>
      </c>
      <c r="K1514">
        <f>IF($U1514="","",INDEX(상세표[성명],$U1514)&amp;"")</f>
        <v/>
      </c>
      <c r="L1514">
        <f>IF($U1514="","",INDEX(상세표[직위],$U1514)&amp;"")</f>
        <v/>
      </c>
      <c r="M1514">
        <f>IF($U1514="","",IF(ISNUMBER(INDEX(상세표[근무일자],$U1514)),TEXT(INDEX(상세표[근무일자],$U1514),"yyyy-mm-dd"),INDEX(상세표[근무일자],$U1514)&amp;""))</f>
        <v/>
      </c>
      <c r="N1514">
        <f>IF($U1514="","",IF(ISNUMBER(INDEX(상세표[시작],$U1514)),TEXT(INDEX(상세표[시작],$U1514),"yyyy-mm-dd hh:mm"),INDEX(상세표[시작],$U1514)&amp;""))</f>
        <v/>
      </c>
      <c r="O1514">
        <f>IF($U1514="","",IF(ISNUMBER(INDEX(상세표[종료],$U1514)),TEXT(INDEX(상세표[종료],$U1514),"yyyy-mm-dd hh:mm"),INDEX(상세표[종료],$U1514)&amp;""))</f>
        <v/>
      </c>
      <c r="P1514">
        <f>IF($U1514="","",INDEX(상세표[06~07시],$U1514))</f>
        <v/>
      </c>
      <c r="Q1514">
        <f>IF($U1514="","",INDEX(상세표[07~18시],$U1514))</f>
        <v/>
      </c>
      <c r="R1514">
        <f>IF($U1514="","",INDEX(상세표[18~22시],$U1514))</f>
        <v/>
      </c>
      <c r="S1514">
        <f>IF($U1514="","",INDEX(상세표[22~06시],$U1514))</f>
        <v/>
      </c>
      <c r="T1514">
        <f>IF($U1514="","",INDEX(상세표[기록 시간외],$U1514))</f>
        <v/>
      </c>
      <c r="U1514" s="4">
        <f>IFERROR(MATCH(1509,상세표[발송순번],0),"")</f>
        <v/>
      </c>
    </row>
    <row r="1515">
      <c r="J1515">
        <f>IF($U1515="","",INDEX(상세표[사번],$U1515)&amp;"")</f>
        <v/>
      </c>
      <c r="K1515">
        <f>IF($U1515="","",INDEX(상세표[성명],$U1515)&amp;"")</f>
        <v/>
      </c>
      <c r="L1515">
        <f>IF($U1515="","",INDEX(상세표[직위],$U1515)&amp;"")</f>
        <v/>
      </c>
      <c r="M1515">
        <f>IF($U1515="","",IF(ISNUMBER(INDEX(상세표[근무일자],$U1515)),TEXT(INDEX(상세표[근무일자],$U1515),"yyyy-mm-dd"),INDEX(상세표[근무일자],$U1515)&amp;""))</f>
        <v/>
      </c>
      <c r="N1515">
        <f>IF($U1515="","",IF(ISNUMBER(INDEX(상세표[시작],$U1515)),TEXT(INDEX(상세표[시작],$U1515),"yyyy-mm-dd hh:mm"),INDEX(상세표[시작],$U1515)&amp;""))</f>
        <v/>
      </c>
      <c r="O1515">
        <f>IF($U1515="","",IF(ISNUMBER(INDEX(상세표[종료],$U1515)),TEXT(INDEX(상세표[종료],$U1515),"yyyy-mm-dd hh:mm"),INDEX(상세표[종료],$U1515)&amp;""))</f>
        <v/>
      </c>
      <c r="P1515">
        <f>IF($U1515="","",INDEX(상세표[06~07시],$U1515))</f>
        <v/>
      </c>
      <c r="Q1515">
        <f>IF($U1515="","",INDEX(상세표[07~18시],$U1515))</f>
        <v/>
      </c>
      <c r="R1515">
        <f>IF($U1515="","",INDEX(상세표[18~22시],$U1515))</f>
        <v/>
      </c>
      <c r="S1515">
        <f>IF($U1515="","",INDEX(상세표[22~06시],$U1515))</f>
        <v/>
      </c>
      <c r="T1515">
        <f>IF($U1515="","",INDEX(상세표[기록 시간외],$U1515))</f>
        <v/>
      </c>
      <c r="U1515" s="4">
        <f>IFERROR(MATCH(1510,상세표[발송순번],0),"")</f>
        <v/>
      </c>
    </row>
    <row r="1516">
      <c r="J1516">
        <f>IF($U1516="","",INDEX(상세표[사번],$U1516)&amp;"")</f>
        <v/>
      </c>
      <c r="K1516">
        <f>IF($U1516="","",INDEX(상세표[성명],$U1516)&amp;"")</f>
        <v/>
      </c>
      <c r="L1516">
        <f>IF($U1516="","",INDEX(상세표[직위],$U1516)&amp;"")</f>
        <v/>
      </c>
      <c r="M1516">
        <f>IF($U1516="","",IF(ISNUMBER(INDEX(상세표[근무일자],$U1516)),TEXT(INDEX(상세표[근무일자],$U1516),"yyyy-mm-dd"),INDEX(상세표[근무일자],$U1516)&amp;""))</f>
        <v/>
      </c>
      <c r="N1516">
        <f>IF($U1516="","",IF(ISNUMBER(INDEX(상세표[시작],$U1516)),TEXT(INDEX(상세표[시작],$U1516),"yyyy-mm-dd hh:mm"),INDEX(상세표[시작],$U1516)&amp;""))</f>
        <v/>
      </c>
      <c r="O1516">
        <f>IF($U1516="","",IF(ISNUMBER(INDEX(상세표[종료],$U1516)),TEXT(INDEX(상세표[종료],$U1516),"yyyy-mm-dd hh:mm"),INDEX(상세표[종료],$U1516)&amp;""))</f>
        <v/>
      </c>
      <c r="P1516">
        <f>IF($U1516="","",INDEX(상세표[06~07시],$U1516))</f>
        <v/>
      </c>
      <c r="Q1516">
        <f>IF($U1516="","",INDEX(상세표[07~18시],$U1516))</f>
        <v/>
      </c>
      <c r="R1516">
        <f>IF($U1516="","",INDEX(상세표[18~22시],$U1516))</f>
        <v/>
      </c>
      <c r="S1516">
        <f>IF($U1516="","",INDEX(상세표[22~06시],$U1516))</f>
        <v/>
      </c>
      <c r="T1516">
        <f>IF($U1516="","",INDEX(상세표[기록 시간외],$U1516))</f>
        <v/>
      </c>
      <c r="U1516" s="4">
        <f>IFERROR(MATCH(1511,상세표[발송순번],0),"")</f>
        <v/>
      </c>
    </row>
    <row r="1517">
      <c r="J1517">
        <f>IF($U1517="","",INDEX(상세표[사번],$U1517)&amp;"")</f>
        <v/>
      </c>
      <c r="K1517">
        <f>IF($U1517="","",INDEX(상세표[성명],$U1517)&amp;"")</f>
        <v/>
      </c>
      <c r="L1517">
        <f>IF($U1517="","",INDEX(상세표[직위],$U1517)&amp;"")</f>
        <v/>
      </c>
      <c r="M1517">
        <f>IF($U1517="","",IF(ISNUMBER(INDEX(상세표[근무일자],$U1517)),TEXT(INDEX(상세표[근무일자],$U1517),"yyyy-mm-dd"),INDEX(상세표[근무일자],$U1517)&amp;""))</f>
        <v/>
      </c>
      <c r="N1517">
        <f>IF($U1517="","",IF(ISNUMBER(INDEX(상세표[시작],$U1517)),TEXT(INDEX(상세표[시작],$U1517),"yyyy-mm-dd hh:mm"),INDEX(상세표[시작],$U1517)&amp;""))</f>
        <v/>
      </c>
      <c r="O1517">
        <f>IF($U1517="","",IF(ISNUMBER(INDEX(상세표[종료],$U1517)),TEXT(INDEX(상세표[종료],$U1517),"yyyy-mm-dd hh:mm"),INDEX(상세표[종료],$U1517)&amp;""))</f>
        <v/>
      </c>
      <c r="P1517">
        <f>IF($U1517="","",INDEX(상세표[06~07시],$U1517))</f>
        <v/>
      </c>
      <c r="Q1517">
        <f>IF($U1517="","",INDEX(상세표[07~18시],$U1517))</f>
        <v/>
      </c>
      <c r="R1517">
        <f>IF($U1517="","",INDEX(상세표[18~22시],$U1517))</f>
        <v/>
      </c>
      <c r="S1517">
        <f>IF($U1517="","",INDEX(상세표[22~06시],$U1517))</f>
        <v/>
      </c>
      <c r="T1517">
        <f>IF($U1517="","",INDEX(상세표[기록 시간외],$U1517))</f>
        <v/>
      </c>
      <c r="U1517" s="4">
        <f>IFERROR(MATCH(1512,상세표[발송순번],0),"")</f>
        <v/>
      </c>
    </row>
    <row r="1518">
      <c r="J1518">
        <f>IF($U1518="","",INDEX(상세표[사번],$U1518)&amp;"")</f>
        <v/>
      </c>
      <c r="K1518">
        <f>IF($U1518="","",INDEX(상세표[성명],$U1518)&amp;"")</f>
        <v/>
      </c>
      <c r="L1518">
        <f>IF($U1518="","",INDEX(상세표[직위],$U1518)&amp;"")</f>
        <v/>
      </c>
      <c r="M1518">
        <f>IF($U1518="","",IF(ISNUMBER(INDEX(상세표[근무일자],$U1518)),TEXT(INDEX(상세표[근무일자],$U1518),"yyyy-mm-dd"),INDEX(상세표[근무일자],$U1518)&amp;""))</f>
        <v/>
      </c>
      <c r="N1518">
        <f>IF($U1518="","",IF(ISNUMBER(INDEX(상세표[시작],$U1518)),TEXT(INDEX(상세표[시작],$U1518),"yyyy-mm-dd hh:mm"),INDEX(상세표[시작],$U1518)&amp;""))</f>
        <v/>
      </c>
      <c r="O1518">
        <f>IF($U1518="","",IF(ISNUMBER(INDEX(상세표[종료],$U1518)),TEXT(INDEX(상세표[종료],$U1518),"yyyy-mm-dd hh:mm"),INDEX(상세표[종료],$U1518)&amp;""))</f>
        <v/>
      </c>
      <c r="P1518">
        <f>IF($U1518="","",INDEX(상세표[06~07시],$U1518))</f>
        <v/>
      </c>
      <c r="Q1518">
        <f>IF($U1518="","",INDEX(상세표[07~18시],$U1518))</f>
        <v/>
      </c>
      <c r="R1518">
        <f>IF($U1518="","",INDEX(상세표[18~22시],$U1518))</f>
        <v/>
      </c>
      <c r="S1518">
        <f>IF($U1518="","",INDEX(상세표[22~06시],$U1518))</f>
        <v/>
      </c>
      <c r="T1518">
        <f>IF($U1518="","",INDEX(상세표[기록 시간외],$U1518))</f>
        <v/>
      </c>
      <c r="U1518" s="4">
        <f>IFERROR(MATCH(1513,상세표[발송순번],0),"")</f>
        <v/>
      </c>
    </row>
    <row r="1519">
      <c r="J1519">
        <f>IF($U1519="","",INDEX(상세표[사번],$U1519)&amp;"")</f>
        <v/>
      </c>
      <c r="K1519">
        <f>IF($U1519="","",INDEX(상세표[성명],$U1519)&amp;"")</f>
        <v/>
      </c>
      <c r="L1519">
        <f>IF($U1519="","",INDEX(상세표[직위],$U1519)&amp;"")</f>
        <v/>
      </c>
      <c r="M1519">
        <f>IF($U1519="","",IF(ISNUMBER(INDEX(상세표[근무일자],$U1519)),TEXT(INDEX(상세표[근무일자],$U1519),"yyyy-mm-dd"),INDEX(상세표[근무일자],$U1519)&amp;""))</f>
        <v/>
      </c>
      <c r="N1519">
        <f>IF($U1519="","",IF(ISNUMBER(INDEX(상세표[시작],$U1519)),TEXT(INDEX(상세표[시작],$U1519),"yyyy-mm-dd hh:mm"),INDEX(상세표[시작],$U1519)&amp;""))</f>
        <v/>
      </c>
      <c r="O1519">
        <f>IF($U1519="","",IF(ISNUMBER(INDEX(상세표[종료],$U1519)),TEXT(INDEX(상세표[종료],$U1519),"yyyy-mm-dd hh:mm"),INDEX(상세표[종료],$U1519)&amp;""))</f>
        <v/>
      </c>
      <c r="P1519">
        <f>IF($U1519="","",INDEX(상세표[06~07시],$U1519))</f>
        <v/>
      </c>
      <c r="Q1519">
        <f>IF($U1519="","",INDEX(상세표[07~18시],$U1519))</f>
        <v/>
      </c>
      <c r="R1519">
        <f>IF($U1519="","",INDEX(상세표[18~22시],$U1519))</f>
        <v/>
      </c>
      <c r="S1519">
        <f>IF($U1519="","",INDEX(상세표[22~06시],$U1519))</f>
        <v/>
      </c>
      <c r="T1519">
        <f>IF($U1519="","",INDEX(상세표[기록 시간외],$U1519))</f>
        <v/>
      </c>
      <c r="U1519" s="4">
        <f>IFERROR(MATCH(1514,상세표[발송순번],0),"")</f>
        <v/>
      </c>
    </row>
    <row r="1520">
      <c r="J1520">
        <f>IF($U1520="","",INDEX(상세표[사번],$U1520)&amp;"")</f>
        <v/>
      </c>
      <c r="K1520">
        <f>IF($U1520="","",INDEX(상세표[성명],$U1520)&amp;"")</f>
        <v/>
      </c>
      <c r="L1520">
        <f>IF($U1520="","",INDEX(상세표[직위],$U1520)&amp;"")</f>
        <v/>
      </c>
      <c r="M1520">
        <f>IF($U1520="","",IF(ISNUMBER(INDEX(상세표[근무일자],$U1520)),TEXT(INDEX(상세표[근무일자],$U1520),"yyyy-mm-dd"),INDEX(상세표[근무일자],$U1520)&amp;""))</f>
        <v/>
      </c>
      <c r="N1520">
        <f>IF($U1520="","",IF(ISNUMBER(INDEX(상세표[시작],$U1520)),TEXT(INDEX(상세표[시작],$U1520),"yyyy-mm-dd hh:mm"),INDEX(상세표[시작],$U1520)&amp;""))</f>
        <v/>
      </c>
      <c r="O1520">
        <f>IF($U1520="","",IF(ISNUMBER(INDEX(상세표[종료],$U1520)),TEXT(INDEX(상세표[종료],$U1520),"yyyy-mm-dd hh:mm"),INDEX(상세표[종료],$U1520)&amp;""))</f>
        <v/>
      </c>
      <c r="P1520">
        <f>IF($U1520="","",INDEX(상세표[06~07시],$U1520))</f>
        <v/>
      </c>
      <c r="Q1520">
        <f>IF($U1520="","",INDEX(상세표[07~18시],$U1520))</f>
        <v/>
      </c>
      <c r="R1520">
        <f>IF($U1520="","",INDEX(상세표[18~22시],$U1520))</f>
        <v/>
      </c>
      <c r="S1520">
        <f>IF($U1520="","",INDEX(상세표[22~06시],$U1520))</f>
        <v/>
      </c>
      <c r="T1520">
        <f>IF($U1520="","",INDEX(상세표[기록 시간외],$U1520))</f>
        <v/>
      </c>
      <c r="U1520" s="4">
        <f>IFERROR(MATCH(1515,상세표[발송순번],0),"")</f>
        <v/>
      </c>
    </row>
    <row r="1521">
      <c r="J1521">
        <f>IF($U1521="","",INDEX(상세표[사번],$U1521)&amp;"")</f>
        <v/>
      </c>
      <c r="K1521">
        <f>IF($U1521="","",INDEX(상세표[성명],$U1521)&amp;"")</f>
        <v/>
      </c>
      <c r="L1521">
        <f>IF($U1521="","",INDEX(상세표[직위],$U1521)&amp;"")</f>
        <v/>
      </c>
      <c r="M1521">
        <f>IF($U1521="","",IF(ISNUMBER(INDEX(상세표[근무일자],$U1521)),TEXT(INDEX(상세표[근무일자],$U1521),"yyyy-mm-dd"),INDEX(상세표[근무일자],$U1521)&amp;""))</f>
        <v/>
      </c>
      <c r="N1521">
        <f>IF($U1521="","",IF(ISNUMBER(INDEX(상세표[시작],$U1521)),TEXT(INDEX(상세표[시작],$U1521),"yyyy-mm-dd hh:mm"),INDEX(상세표[시작],$U1521)&amp;""))</f>
        <v/>
      </c>
      <c r="O1521">
        <f>IF($U1521="","",IF(ISNUMBER(INDEX(상세표[종료],$U1521)),TEXT(INDEX(상세표[종료],$U1521),"yyyy-mm-dd hh:mm"),INDEX(상세표[종료],$U1521)&amp;""))</f>
        <v/>
      </c>
      <c r="P1521">
        <f>IF($U1521="","",INDEX(상세표[06~07시],$U1521))</f>
        <v/>
      </c>
      <c r="Q1521">
        <f>IF($U1521="","",INDEX(상세표[07~18시],$U1521))</f>
        <v/>
      </c>
      <c r="R1521">
        <f>IF($U1521="","",INDEX(상세표[18~22시],$U1521))</f>
        <v/>
      </c>
      <c r="S1521">
        <f>IF($U1521="","",INDEX(상세표[22~06시],$U1521))</f>
        <v/>
      </c>
      <c r="T1521">
        <f>IF($U1521="","",INDEX(상세표[기록 시간외],$U1521))</f>
        <v/>
      </c>
      <c r="U1521" s="4">
        <f>IFERROR(MATCH(1516,상세표[발송순번],0),"")</f>
        <v/>
      </c>
    </row>
    <row r="1522">
      <c r="J1522">
        <f>IF($U1522="","",INDEX(상세표[사번],$U1522)&amp;"")</f>
        <v/>
      </c>
      <c r="K1522">
        <f>IF($U1522="","",INDEX(상세표[성명],$U1522)&amp;"")</f>
        <v/>
      </c>
      <c r="L1522">
        <f>IF($U1522="","",INDEX(상세표[직위],$U1522)&amp;"")</f>
        <v/>
      </c>
      <c r="M1522">
        <f>IF($U1522="","",IF(ISNUMBER(INDEX(상세표[근무일자],$U1522)),TEXT(INDEX(상세표[근무일자],$U1522),"yyyy-mm-dd"),INDEX(상세표[근무일자],$U1522)&amp;""))</f>
        <v/>
      </c>
      <c r="N1522">
        <f>IF($U1522="","",IF(ISNUMBER(INDEX(상세표[시작],$U1522)),TEXT(INDEX(상세표[시작],$U1522),"yyyy-mm-dd hh:mm"),INDEX(상세표[시작],$U1522)&amp;""))</f>
        <v/>
      </c>
      <c r="O1522">
        <f>IF($U1522="","",IF(ISNUMBER(INDEX(상세표[종료],$U1522)),TEXT(INDEX(상세표[종료],$U1522),"yyyy-mm-dd hh:mm"),INDEX(상세표[종료],$U1522)&amp;""))</f>
        <v/>
      </c>
      <c r="P1522">
        <f>IF($U1522="","",INDEX(상세표[06~07시],$U1522))</f>
        <v/>
      </c>
      <c r="Q1522">
        <f>IF($U1522="","",INDEX(상세표[07~18시],$U1522))</f>
        <v/>
      </c>
      <c r="R1522">
        <f>IF($U1522="","",INDEX(상세표[18~22시],$U1522))</f>
        <v/>
      </c>
      <c r="S1522">
        <f>IF($U1522="","",INDEX(상세표[22~06시],$U1522))</f>
        <v/>
      </c>
      <c r="T1522">
        <f>IF($U1522="","",INDEX(상세표[기록 시간외],$U1522))</f>
        <v/>
      </c>
      <c r="U1522" s="4">
        <f>IFERROR(MATCH(1517,상세표[발송순번],0),"")</f>
        <v/>
      </c>
    </row>
    <row r="1523">
      <c r="J1523">
        <f>IF($U1523="","",INDEX(상세표[사번],$U1523)&amp;"")</f>
        <v/>
      </c>
      <c r="K1523">
        <f>IF($U1523="","",INDEX(상세표[성명],$U1523)&amp;"")</f>
        <v/>
      </c>
      <c r="L1523">
        <f>IF($U1523="","",INDEX(상세표[직위],$U1523)&amp;"")</f>
        <v/>
      </c>
      <c r="M1523">
        <f>IF($U1523="","",IF(ISNUMBER(INDEX(상세표[근무일자],$U1523)),TEXT(INDEX(상세표[근무일자],$U1523),"yyyy-mm-dd"),INDEX(상세표[근무일자],$U1523)&amp;""))</f>
        <v/>
      </c>
      <c r="N1523">
        <f>IF($U1523="","",IF(ISNUMBER(INDEX(상세표[시작],$U1523)),TEXT(INDEX(상세표[시작],$U1523),"yyyy-mm-dd hh:mm"),INDEX(상세표[시작],$U1523)&amp;""))</f>
        <v/>
      </c>
      <c r="O1523">
        <f>IF($U1523="","",IF(ISNUMBER(INDEX(상세표[종료],$U1523)),TEXT(INDEX(상세표[종료],$U1523),"yyyy-mm-dd hh:mm"),INDEX(상세표[종료],$U1523)&amp;""))</f>
        <v/>
      </c>
      <c r="P1523">
        <f>IF($U1523="","",INDEX(상세표[06~07시],$U1523))</f>
        <v/>
      </c>
      <c r="Q1523">
        <f>IF($U1523="","",INDEX(상세표[07~18시],$U1523))</f>
        <v/>
      </c>
      <c r="R1523">
        <f>IF($U1523="","",INDEX(상세표[18~22시],$U1523))</f>
        <v/>
      </c>
      <c r="S1523">
        <f>IF($U1523="","",INDEX(상세표[22~06시],$U1523))</f>
        <v/>
      </c>
      <c r="T1523">
        <f>IF($U1523="","",INDEX(상세표[기록 시간외],$U1523))</f>
        <v/>
      </c>
      <c r="U1523" s="4">
        <f>IFERROR(MATCH(1518,상세표[발송순번],0),"")</f>
        <v/>
      </c>
    </row>
    <row r="1524">
      <c r="J1524">
        <f>IF($U1524="","",INDEX(상세표[사번],$U1524)&amp;"")</f>
        <v/>
      </c>
      <c r="K1524">
        <f>IF($U1524="","",INDEX(상세표[성명],$U1524)&amp;"")</f>
        <v/>
      </c>
      <c r="L1524">
        <f>IF($U1524="","",INDEX(상세표[직위],$U1524)&amp;"")</f>
        <v/>
      </c>
      <c r="M1524">
        <f>IF($U1524="","",IF(ISNUMBER(INDEX(상세표[근무일자],$U1524)),TEXT(INDEX(상세표[근무일자],$U1524),"yyyy-mm-dd"),INDEX(상세표[근무일자],$U1524)&amp;""))</f>
        <v/>
      </c>
      <c r="N1524">
        <f>IF($U1524="","",IF(ISNUMBER(INDEX(상세표[시작],$U1524)),TEXT(INDEX(상세표[시작],$U1524),"yyyy-mm-dd hh:mm"),INDEX(상세표[시작],$U1524)&amp;""))</f>
        <v/>
      </c>
      <c r="O1524">
        <f>IF($U1524="","",IF(ISNUMBER(INDEX(상세표[종료],$U1524)),TEXT(INDEX(상세표[종료],$U1524),"yyyy-mm-dd hh:mm"),INDEX(상세표[종료],$U1524)&amp;""))</f>
        <v/>
      </c>
      <c r="P1524">
        <f>IF($U1524="","",INDEX(상세표[06~07시],$U1524))</f>
        <v/>
      </c>
      <c r="Q1524">
        <f>IF($U1524="","",INDEX(상세표[07~18시],$U1524))</f>
        <v/>
      </c>
      <c r="R1524">
        <f>IF($U1524="","",INDEX(상세표[18~22시],$U1524))</f>
        <v/>
      </c>
      <c r="S1524">
        <f>IF($U1524="","",INDEX(상세표[22~06시],$U1524))</f>
        <v/>
      </c>
      <c r="T1524">
        <f>IF($U1524="","",INDEX(상세표[기록 시간외],$U1524))</f>
        <v/>
      </c>
      <c r="U1524" s="4">
        <f>IFERROR(MATCH(1519,상세표[발송순번],0),"")</f>
        <v/>
      </c>
    </row>
    <row r="1525">
      <c r="J1525">
        <f>IF($U1525="","",INDEX(상세표[사번],$U1525)&amp;"")</f>
        <v/>
      </c>
      <c r="K1525">
        <f>IF($U1525="","",INDEX(상세표[성명],$U1525)&amp;"")</f>
        <v/>
      </c>
      <c r="L1525">
        <f>IF($U1525="","",INDEX(상세표[직위],$U1525)&amp;"")</f>
        <v/>
      </c>
      <c r="M1525">
        <f>IF($U1525="","",IF(ISNUMBER(INDEX(상세표[근무일자],$U1525)),TEXT(INDEX(상세표[근무일자],$U1525),"yyyy-mm-dd"),INDEX(상세표[근무일자],$U1525)&amp;""))</f>
        <v/>
      </c>
      <c r="N1525">
        <f>IF($U1525="","",IF(ISNUMBER(INDEX(상세표[시작],$U1525)),TEXT(INDEX(상세표[시작],$U1525),"yyyy-mm-dd hh:mm"),INDEX(상세표[시작],$U1525)&amp;""))</f>
        <v/>
      </c>
      <c r="O1525">
        <f>IF($U1525="","",IF(ISNUMBER(INDEX(상세표[종료],$U1525)),TEXT(INDEX(상세표[종료],$U1525),"yyyy-mm-dd hh:mm"),INDEX(상세표[종료],$U1525)&amp;""))</f>
        <v/>
      </c>
      <c r="P1525">
        <f>IF($U1525="","",INDEX(상세표[06~07시],$U1525))</f>
        <v/>
      </c>
      <c r="Q1525">
        <f>IF($U1525="","",INDEX(상세표[07~18시],$U1525))</f>
        <v/>
      </c>
      <c r="R1525">
        <f>IF($U1525="","",INDEX(상세표[18~22시],$U1525))</f>
        <v/>
      </c>
      <c r="S1525">
        <f>IF($U1525="","",INDEX(상세표[22~06시],$U1525))</f>
        <v/>
      </c>
      <c r="T1525">
        <f>IF($U1525="","",INDEX(상세표[기록 시간외],$U1525))</f>
        <v/>
      </c>
      <c r="U1525" s="4">
        <f>IFERROR(MATCH(1520,상세표[발송순번],0),"")</f>
        <v/>
      </c>
    </row>
    <row r="1526">
      <c r="J1526">
        <f>IF($U1526="","",INDEX(상세표[사번],$U1526)&amp;"")</f>
        <v/>
      </c>
      <c r="K1526">
        <f>IF($U1526="","",INDEX(상세표[성명],$U1526)&amp;"")</f>
        <v/>
      </c>
      <c r="L1526">
        <f>IF($U1526="","",INDEX(상세표[직위],$U1526)&amp;"")</f>
        <v/>
      </c>
      <c r="M1526">
        <f>IF($U1526="","",IF(ISNUMBER(INDEX(상세표[근무일자],$U1526)),TEXT(INDEX(상세표[근무일자],$U1526),"yyyy-mm-dd"),INDEX(상세표[근무일자],$U1526)&amp;""))</f>
        <v/>
      </c>
      <c r="N1526">
        <f>IF($U1526="","",IF(ISNUMBER(INDEX(상세표[시작],$U1526)),TEXT(INDEX(상세표[시작],$U1526),"yyyy-mm-dd hh:mm"),INDEX(상세표[시작],$U1526)&amp;""))</f>
        <v/>
      </c>
      <c r="O1526">
        <f>IF($U1526="","",IF(ISNUMBER(INDEX(상세표[종료],$U1526)),TEXT(INDEX(상세표[종료],$U1526),"yyyy-mm-dd hh:mm"),INDEX(상세표[종료],$U1526)&amp;""))</f>
        <v/>
      </c>
      <c r="P1526">
        <f>IF($U1526="","",INDEX(상세표[06~07시],$U1526))</f>
        <v/>
      </c>
      <c r="Q1526">
        <f>IF($U1526="","",INDEX(상세표[07~18시],$U1526))</f>
        <v/>
      </c>
      <c r="R1526">
        <f>IF($U1526="","",INDEX(상세표[18~22시],$U1526))</f>
        <v/>
      </c>
      <c r="S1526">
        <f>IF($U1526="","",INDEX(상세표[22~06시],$U1526))</f>
        <v/>
      </c>
      <c r="T1526">
        <f>IF($U1526="","",INDEX(상세표[기록 시간외],$U1526))</f>
        <v/>
      </c>
      <c r="U1526" s="4">
        <f>IFERROR(MATCH(1521,상세표[발송순번],0),"")</f>
        <v/>
      </c>
    </row>
    <row r="1527">
      <c r="J1527">
        <f>IF($U1527="","",INDEX(상세표[사번],$U1527)&amp;"")</f>
        <v/>
      </c>
      <c r="K1527">
        <f>IF($U1527="","",INDEX(상세표[성명],$U1527)&amp;"")</f>
        <v/>
      </c>
      <c r="L1527">
        <f>IF($U1527="","",INDEX(상세표[직위],$U1527)&amp;"")</f>
        <v/>
      </c>
      <c r="M1527">
        <f>IF($U1527="","",IF(ISNUMBER(INDEX(상세표[근무일자],$U1527)),TEXT(INDEX(상세표[근무일자],$U1527),"yyyy-mm-dd"),INDEX(상세표[근무일자],$U1527)&amp;""))</f>
        <v/>
      </c>
      <c r="N1527">
        <f>IF($U1527="","",IF(ISNUMBER(INDEX(상세표[시작],$U1527)),TEXT(INDEX(상세표[시작],$U1527),"yyyy-mm-dd hh:mm"),INDEX(상세표[시작],$U1527)&amp;""))</f>
        <v/>
      </c>
      <c r="O1527">
        <f>IF($U1527="","",IF(ISNUMBER(INDEX(상세표[종료],$U1527)),TEXT(INDEX(상세표[종료],$U1527),"yyyy-mm-dd hh:mm"),INDEX(상세표[종료],$U1527)&amp;""))</f>
        <v/>
      </c>
      <c r="P1527">
        <f>IF($U1527="","",INDEX(상세표[06~07시],$U1527))</f>
        <v/>
      </c>
      <c r="Q1527">
        <f>IF($U1527="","",INDEX(상세표[07~18시],$U1527))</f>
        <v/>
      </c>
      <c r="R1527">
        <f>IF($U1527="","",INDEX(상세표[18~22시],$U1527))</f>
        <v/>
      </c>
      <c r="S1527">
        <f>IF($U1527="","",INDEX(상세표[22~06시],$U1527))</f>
        <v/>
      </c>
      <c r="T1527">
        <f>IF($U1527="","",INDEX(상세표[기록 시간외],$U1527))</f>
        <v/>
      </c>
      <c r="U1527" s="4">
        <f>IFERROR(MATCH(1522,상세표[발송순번],0),"")</f>
        <v/>
      </c>
    </row>
    <row r="1528">
      <c r="J1528">
        <f>IF($U1528="","",INDEX(상세표[사번],$U1528)&amp;"")</f>
        <v/>
      </c>
      <c r="K1528">
        <f>IF($U1528="","",INDEX(상세표[성명],$U1528)&amp;"")</f>
        <v/>
      </c>
      <c r="L1528">
        <f>IF($U1528="","",INDEX(상세표[직위],$U1528)&amp;"")</f>
        <v/>
      </c>
      <c r="M1528">
        <f>IF($U1528="","",IF(ISNUMBER(INDEX(상세표[근무일자],$U1528)),TEXT(INDEX(상세표[근무일자],$U1528),"yyyy-mm-dd"),INDEX(상세표[근무일자],$U1528)&amp;""))</f>
        <v/>
      </c>
      <c r="N1528">
        <f>IF($U1528="","",IF(ISNUMBER(INDEX(상세표[시작],$U1528)),TEXT(INDEX(상세표[시작],$U1528),"yyyy-mm-dd hh:mm"),INDEX(상세표[시작],$U1528)&amp;""))</f>
        <v/>
      </c>
      <c r="O1528">
        <f>IF($U1528="","",IF(ISNUMBER(INDEX(상세표[종료],$U1528)),TEXT(INDEX(상세표[종료],$U1528),"yyyy-mm-dd hh:mm"),INDEX(상세표[종료],$U1528)&amp;""))</f>
        <v/>
      </c>
      <c r="P1528">
        <f>IF($U1528="","",INDEX(상세표[06~07시],$U1528))</f>
        <v/>
      </c>
      <c r="Q1528">
        <f>IF($U1528="","",INDEX(상세표[07~18시],$U1528))</f>
        <v/>
      </c>
      <c r="R1528">
        <f>IF($U1528="","",INDEX(상세표[18~22시],$U1528))</f>
        <v/>
      </c>
      <c r="S1528">
        <f>IF($U1528="","",INDEX(상세표[22~06시],$U1528))</f>
        <v/>
      </c>
      <c r="T1528">
        <f>IF($U1528="","",INDEX(상세표[기록 시간외],$U1528))</f>
        <v/>
      </c>
      <c r="U1528" s="4">
        <f>IFERROR(MATCH(1523,상세표[발송순번],0),"")</f>
        <v/>
      </c>
    </row>
    <row r="1529">
      <c r="J1529">
        <f>IF($U1529="","",INDEX(상세표[사번],$U1529)&amp;"")</f>
        <v/>
      </c>
      <c r="K1529">
        <f>IF($U1529="","",INDEX(상세표[성명],$U1529)&amp;"")</f>
        <v/>
      </c>
      <c r="L1529">
        <f>IF($U1529="","",INDEX(상세표[직위],$U1529)&amp;"")</f>
        <v/>
      </c>
      <c r="M1529">
        <f>IF($U1529="","",IF(ISNUMBER(INDEX(상세표[근무일자],$U1529)),TEXT(INDEX(상세표[근무일자],$U1529),"yyyy-mm-dd"),INDEX(상세표[근무일자],$U1529)&amp;""))</f>
        <v/>
      </c>
      <c r="N1529">
        <f>IF($U1529="","",IF(ISNUMBER(INDEX(상세표[시작],$U1529)),TEXT(INDEX(상세표[시작],$U1529),"yyyy-mm-dd hh:mm"),INDEX(상세표[시작],$U1529)&amp;""))</f>
        <v/>
      </c>
      <c r="O1529">
        <f>IF($U1529="","",IF(ISNUMBER(INDEX(상세표[종료],$U1529)),TEXT(INDEX(상세표[종료],$U1529),"yyyy-mm-dd hh:mm"),INDEX(상세표[종료],$U1529)&amp;""))</f>
        <v/>
      </c>
      <c r="P1529">
        <f>IF($U1529="","",INDEX(상세표[06~07시],$U1529))</f>
        <v/>
      </c>
      <c r="Q1529">
        <f>IF($U1529="","",INDEX(상세표[07~18시],$U1529))</f>
        <v/>
      </c>
      <c r="R1529">
        <f>IF($U1529="","",INDEX(상세표[18~22시],$U1529))</f>
        <v/>
      </c>
      <c r="S1529">
        <f>IF($U1529="","",INDEX(상세표[22~06시],$U1529))</f>
        <v/>
      </c>
      <c r="T1529">
        <f>IF($U1529="","",INDEX(상세표[기록 시간외],$U1529))</f>
        <v/>
      </c>
      <c r="U1529" s="4">
        <f>IFERROR(MATCH(1524,상세표[발송순번],0),"")</f>
        <v/>
      </c>
    </row>
    <row r="1530">
      <c r="J1530">
        <f>IF($U1530="","",INDEX(상세표[사번],$U1530)&amp;"")</f>
        <v/>
      </c>
      <c r="K1530">
        <f>IF($U1530="","",INDEX(상세표[성명],$U1530)&amp;"")</f>
        <v/>
      </c>
      <c r="L1530">
        <f>IF($U1530="","",INDEX(상세표[직위],$U1530)&amp;"")</f>
        <v/>
      </c>
      <c r="M1530">
        <f>IF($U1530="","",IF(ISNUMBER(INDEX(상세표[근무일자],$U1530)),TEXT(INDEX(상세표[근무일자],$U1530),"yyyy-mm-dd"),INDEX(상세표[근무일자],$U1530)&amp;""))</f>
        <v/>
      </c>
      <c r="N1530">
        <f>IF($U1530="","",IF(ISNUMBER(INDEX(상세표[시작],$U1530)),TEXT(INDEX(상세표[시작],$U1530),"yyyy-mm-dd hh:mm"),INDEX(상세표[시작],$U1530)&amp;""))</f>
        <v/>
      </c>
      <c r="O1530">
        <f>IF($U1530="","",IF(ISNUMBER(INDEX(상세표[종료],$U1530)),TEXT(INDEX(상세표[종료],$U1530),"yyyy-mm-dd hh:mm"),INDEX(상세표[종료],$U1530)&amp;""))</f>
        <v/>
      </c>
      <c r="P1530">
        <f>IF($U1530="","",INDEX(상세표[06~07시],$U1530))</f>
        <v/>
      </c>
      <c r="Q1530">
        <f>IF($U1530="","",INDEX(상세표[07~18시],$U1530))</f>
        <v/>
      </c>
      <c r="R1530">
        <f>IF($U1530="","",INDEX(상세표[18~22시],$U1530))</f>
        <v/>
      </c>
      <c r="S1530">
        <f>IF($U1530="","",INDEX(상세표[22~06시],$U1530))</f>
        <v/>
      </c>
      <c r="T1530">
        <f>IF($U1530="","",INDEX(상세표[기록 시간외],$U1530))</f>
        <v/>
      </c>
      <c r="U1530" s="4">
        <f>IFERROR(MATCH(1525,상세표[발송순번],0),"")</f>
        <v/>
      </c>
    </row>
    <row r="1531">
      <c r="J1531">
        <f>IF($U1531="","",INDEX(상세표[사번],$U1531)&amp;"")</f>
        <v/>
      </c>
      <c r="K1531">
        <f>IF($U1531="","",INDEX(상세표[성명],$U1531)&amp;"")</f>
        <v/>
      </c>
      <c r="L1531">
        <f>IF($U1531="","",INDEX(상세표[직위],$U1531)&amp;"")</f>
        <v/>
      </c>
      <c r="M1531">
        <f>IF($U1531="","",IF(ISNUMBER(INDEX(상세표[근무일자],$U1531)),TEXT(INDEX(상세표[근무일자],$U1531),"yyyy-mm-dd"),INDEX(상세표[근무일자],$U1531)&amp;""))</f>
        <v/>
      </c>
      <c r="N1531">
        <f>IF($U1531="","",IF(ISNUMBER(INDEX(상세표[시작],$U1531)),TEXT(INDEX(상세표[시작],$U1531),"yyyy-mm-dd hh:mm"),INDEX(상세표[시작],$U1531)&amp;""))</f>
        <v/>
      </c>
      <c r="O1531">
        <f>IF($U1531="","",IF(ISNUMBER(INDEX(상세표[종료],$U1531)),TEXT(INDEX(상세표[종료],$U1531),"yyyy-mm-dd hh:mm"),INDEX(상세표[종료],$U1531)&amp;""))</f>
        <v/>
      </c>
      <c r="P1531">
        <f>IF($U1531="","",INDEX(상세표[06~07시],$U1531))</f>
        <v/>
      </c>
      <c r="Q1531">
        <f>IF($U1531="","",INDEX(상세표[07~18시],$U1531))</f>
        <v/>
      </c>
      <c r="R1531">
        <f>IF($U1531="","",INDEX(상세표[18~22시],$U1531))</f>
        <v/>
      </c>
      <c r="S1531">
        <f>IF($U1531="","",INDEX(상세표[22~06시],$U1531))</f>
        <v/>
      </c>
      <c r="T1531">
        <f>IF($U1531="","",INDEX(상세표[기록 시간외],$U1531))</f>
        <v/>
      </c>
      <c r="U1531" s="4">
        <f>IFERROR(MATCH(1526,상세표[발송순번],0),"")</f>
        <v/>
      </c>
    </row>
    <row r="1532">
      <c r="J1532">
        <f>IF($U1532="","",INDEX(상세표[사번],$U1532)&amp;"")</f>
        <v/>
      </c>
      <c r="K1532">
        <f>IF($U1532="","",INDEX(상세표[성명],$U1532)&amp;"")</f>
        <v/>
      </c>
      <c r="L1532">
        <f>IF($U1532="","",INDEX(상세표[직위],$U1532)&amp;"")</f>
        <v/>
      </c>
      <c r="M1532">
        <f>IF($U1532="","",IF(ISNUMBER(INDEX(상세표[근무일자],$U1532)),TEXT(INDEX(상세표[근무일자],$U1532),"yyyy-mm-dd"),INDEX(상세표[근무일자],$U1532)&amp;""))</f>
        <v/>
      </c>
      <c r="N1532">
        <f>IF($U1532="","",IF(ISNUMBER(INDEX(상세표[시작],$U1532)),TEXT(INDEX(상세표[시작],$U1532),"yyyy-mm-dd hh:mm"),INDEX(상세표[시작],$U1532)&amp;""))</f>
        <v/>
      </c>
      <c r="O1532">
        <f>IF($U1532="","",IF(ISNUMBER(INDEX(상세표[종료],$U1532)),TEXT(INDEX(상세표[종료],$U1532),"yyyy-mm-dd hh:mm"),INDEX(상세표[종료],$U1532)&amp;""))</f>
        <v/>
      </c>
      <c r="P1532">
        <f>IF($U1532="","",INDEX(상세표[06~07시],$U1532))</f>
        <v/>
      </c>
      <c r="Q1532">
        <f>IF($U1532="","",INDEX(상세표[07~18시],$U1532))</f>
        <v/>
      </c>
      <c r="R1532">
        <f>IF($U1532="","",INDEX(상세표[18~22시],$U1532))</f>
        <v/>
      </c>
      <c r="S1532">
        <f>IF($U1532="","",INDEX(상세표[22~06시],$U1532))</f>
        <v/>
      </c>
      <c r="T1532">
        <f>IF($U1532="","",INDEX(상세표[기록 시간외],$U1532))</f>
        <v/>
      </c>
      <c r="U1532" s="4">
        <f>IFERROR(MATCH(1527,상세표[발송순번],0),"")</f>
        <v/>
      </c>
    </row>
    <row r="1533">
      <c r="J1533">
        <f>IF($U1533="","",INDEX(상세표[사번],$U1533)&amp;"")</f>
        <v/>
      </c>
      <c r="K1533">
        <f>IF($U1533="","",INDEX(상세표[성명],$U1533)&amp;"")</f>
        <v/>
      </c>
      <c r="L1533">
        <f>IF($U1533="","",INDEX(상세표[직위],$U1533)&amp;"")</f>
        <v/>
      </c>
      <c r="M1533">
        <f>IF($U1533="","",IF(ISNUMBER(INDEX(상세표[근무일자],$U1533)),TEXT(INDEX(상세표[근무일자],$U1533),"yyyy-mm-dd"),INDEX(상세표[근무일자],$U1533)&amp;""))</f>
        <v/>
      </c>
      <c r="N1533">
        <f>IF($U1533="","",IF(ISNUMBER(INDEX(상세표[시작],$U1533)),TEXT(INDEX(상세표[시작],$U1533),"yyyy-mm-dd hh:mm"),INDEX(상세표[시작],$U1533)&amp;""))</f>
        <v/>
      </c>
      <c r="O1533">
        <f>IF($U1533="","",IF(ISNUMBER(INDEX(상세표[종료],$U1533)),TEXT(INDEX(상세표[종료],$U1533),"yyyy-mm-dd hh:mm"),INDEX(상세표[종료],$U1533)&amp;""))</f>
        <v/>
      </c>
      <c r="P1533">
        <f>IF($U1533="","",INDEX(상세표[06~07시],$U1533))</f>
        <v/>
      </c>
      <c r="Q1533">
        <f>IF($U1533="","",INDEX(상세표[07~18시],$U1533))</f>
        <v/>
      </c>
      <c r="R1533">
        <f>IF($U1533="","",INDEX(상세표[18~22시],$U1533))</f>
        <v/>
      </c>
      <c r="S1533">
        <f>IF($U1533="","",INDEX(상세표[22~06시],$U1533))</f>
        <v/>
      </c>
      <c r="T1533">
        <f>IF($U1533="","",INDEX(상세표[기록 시간외],$U1533))</f>
        <v/>
      </c>
      <c r="U1533" s="4">
        <f>IFERROR(MATCH(1528,상세표[발송순번],0),"")</f>
        <v/>
      </c>
    </row>
    <row r="1534">
      <c r="J1534">
        <f>IF($U1534="","",INDEX(상세표[사번],$U1534)&amp;"")</f>
        <v/>
      </c>
      <c r="K1534">
        <f>IF($U1534="","",INDEX(상세표[성명],$U1534)&amp;"")</f>
        <v/>
      </c>
      <c r="L1534">
        <f>IF($U1534="","",INDEX(상세표[직위],$U1534)&amp;"")</f>
        <v/>
      </c>
      <c r="M1534">
        <f>IF($U1534="","",IF(ISNUMBER(INDEX(상세표[근무일자],$U1534)),TEXT(INDEX(상세표[근무일자],$U1534),"yyyy-mm-dd"),INDEX(상세표[근무일자],$U1534)&amp;""))</f>
        <v/>
      </c>
      <c r="N1534">
        <f>IF($U1534="","",IF(ISNUMBER(INDEX(상세표[시작],$U1534)),TEXT(INDEX(상세표[시작],$U1534),"yyyy-mm-dd hh:mm"),INDEX(상세표[시작],$U1534)&amp;""))</f>
        <v/>
      </c>
      <c r="O1534">
        <f>IF($U1534="","",IF(ISNUMBER(INDEX(상세표[종료],$U1534)),TEXT(INDEX(상세표[종료],$U1534),"yyyy-mm-dd hh:mm"),INDEX(상세표[종료],$U1534)&amp;""))</f>
        <v/>
      </c>
      <c r="P1534">
        <f>IF($U1534="","",INDEX(상세표[06~07시],$U1534))</f>
        <v/>
      </c>
      <c r="Q1534">
        <f>IF($U1534="","",INDEX(상세표[07~18시],$U1534))</f>
        <v/>
      </c>
      <c r="R1534">
        <f>IF($U1534="","",INDEX(상세표[18~22시],$U1534))</f>
        <v/>
      </c>
      <c r="S1534">
        <f>IF($U1534="","",INDEX(상세표[22~06시],$U1534))</f>
        <v/>
      </c>
      <c r="T1534">
        <f>IF($U1534="","",INDEX(상세표[기록 시간외],$U1534))</f>
        <v/>
      </c>
      <c r="U1534" s="4">
        <f>IFERROR(MATCH(1529,상세표[발송순번],0),"")</f>
        <v/>
      </c>
    </row>
    <row r="1535">
      <c r="J1535">
        <f>IF($U1535="","",INDEX(상세표[사번],$U1535)&amp;"")</f>
        <v/>
      </c>
      <c r="K1535">
        <f>IF($U1535="","",INDEX(상세표[성명],$U1535)&amp;"")</f>
        <v/>
      </c>
      <c r="L1535">
        <f>IF($U1535="","",INDEX(상세표[직위],$U1535)&amp;"")</f>
        <v/>
      </c>
      <c r="M1535">
        <f>IF($U1535="","",IF(ISNUMBER(INDEX(상세표[근무일자],$U1535)),TEXT(INDEX(상세표[근무일자],$U1535),"yyyy-mm-dd"),INDEX(상세표[근무일자],$U1535)&amp;""))</f>
        <v/>
      </c>
      <c r="N1535">
        <f>IF($U1535="","",IF(ISNUMBER(INDEX(상세표[시작],$U1535)),TEXT(INDEX(상세표[시작],$U1535),"yyyy-mm-dd hh:mm"),INDEX(상세표[시작],$U1535)&amp;""))</f>
        <v/>
      </c>
      <c r="O1535">
        <f>IF($U1535="","",IF(ISNUMBER(INDEX(상세표[종료],$U1535)),TEXT(INDEX(상세표[종료],$U1535),"yyyy-mm-dd hh:mm"),INDEX(상세표[종료],$U1535)&amp;""))</f>
        <v/>
      </c>
      <c r="P1535">
        <f>IF($U1535="","",INDEX(상세표[06~07시],$U1535))</f>
        <v/>
      </c>
      <c r="Q1535">
        <f>IF($U1535="","",INDEX(상세표[07~18시],$U1535))</f>
        <v/>
      </c>
      <c r="R1535">
        <f>IF($U1535="","",INDEX(상세표[18~22시],$U1535))</f>
        <v/>
      </c>
      <c r="S1535">
        <f>IF($U1535="","",INDEX(상세표[22~06시],$U1535))</f>
        <v/>
      </c>
      <c r="T1535">
        <f>IF($U1535="","",INDEX(상세표[기록 시간외],$U1535))</f>
        <v/>
      </c>
      <c r="U1535" s="4">
        <f>IFERROR(MATCH(1530,상세표[발송순번],0),"")</f>
        <v/>
      </c>
    </row>
    <row r="1536">
      <c r="J1536">
        <f>IF($U1536="","",INDEX(상세표[사번],$U1536)&amp;"")</f>
        <v/>
      </c>
      <c r="K1536">
        <f>IF($U1536="","",INDEX(상세표[성명],$U1536)&amp;"")</f>
        <v/>
      </c>
      <c r="L1536">
        <f>IF($U1536="","",INDEX(상세표[직위],$U1536)&amp;"")</f>
        <v/>
      </c>
      <c r="M1536">
        <f>IF($U1536="","",IF(ISNUMBER(INDEX(상세표[근무일자],$U1536)),TEXT(INDEX(상세표[근무일자],$U1536),"yyyy-mm-dd"),INDEX(상세표[근무일자],$U1536)&amp;""))</f>
        <v/>
      </c>
      <c r="N1536">
        <f>IF($U1536="","",IF(ISNUMBER(INDEX(상세표[시작],$U1536)),TEXT(INDEX(상세표[시작],$U1536),"yyyy-mm-dd hh:mm"),INDEX(상세표[시작],$U1536)&amp;""))</f>
        <v/>
      </c>
      <c r="O1536">
        <f>IF($U1536="","",IF(ISNUMBER(INDEX(상세표[종료],$U1536)),TEXT(INDEX(상세표[종료],$U1536),"yyyy-mm-dd hh:mm"),INDEX(상세표[종료],$U1536)&amp;""))</f>
        <v/>
      </c>
      <c r="P1536">
        <f>IF($U1536="","",INDEX(상세표[06~07시],$U1536))</f>
        <v/>
      </c>
      <c r="Q1536">
        <f>IF($U1536="","",INDEX(상세표[07~18시],$U1536))</f>
        <v/>
      </c>
      <c r="R1536">
        <f>IF($U1536="","",INDEX(상세표[18~22시],$U1536))</f>
        <v/>
      </c>
      <c r="S1536">
        <f>IF($U1536="","",INDEX(상세표[22~06시],$U1536))</f>
        <v/>
      </c>
      <c r="T1536">
        <f>IF($U1536="","",INDEX(상세표[기록 시간외],$U1536))</f>
        <v/>
      </c>
      <c r="U1536" s="4">
        <f>IFERROR(MATCH(1531,상세표[발송순번],0),"")</f>
        <v/>
      </c>
    </row>
    <row r="1537">
      <c r="J1537">
        <f>IF($U1537="","",INDEX(상세표[사번],$U1537)&amp;"")</f>
        <v/>
      </c>
      <c r="K1537">
        <f>IF($U1537="","",INDEX(상세표[성명],$U1537)&amp;"")</f>
        <v/>
      </c>
      <c r="L1537">
        <f>IF($U1537="","",INDEX(상세표[직위],$U1537)&amp;"")</f>
        <v/>
      </c>
      <c r="M1537">
        <f>IF($U1537="","",IF(ISNUMBER(INDEX(상세표[근무일자],$U1537)),TEXT(INDEX(상세표[근무일자],$U1537),"yyyy-mm-dd"),INDEX(상세표[근무일자],$U1537)&amp;""))</f>
        <v/>
      </c>
      <c r="N1537">
        <f>IF($U1537="","",IF(ISNUMBER(INDEX(상세표[시작],$U1537)),TEXT(INDEX(상세표[시작],$U1537),"yyyy-mm-dd hh:mm"),INDEX(상세표[시작],$U1537)&amp;""))</f>
        <v/>
      </c>
      <c r="O1537">
        <f>IF($U1537="","",IF(ISNUMBER(INDEX(상세표[종료],$U1537)),TEXT(INDEX(상세표[종료],$U1537),"yyyy-mm-dd hh:mm"),INDEX(상세표[종료],$U1537)&amp;""))</f>
        <v/>
      </c>
      <c r="P1537">
        <f>IF($U1537="","",INDEX(상세표[06~07시],$U1537))</f>
        <v/>
      </c>
      <c r="Q1537">
        <f>IF($U1537="","",INDEX(상세표[07~18시],$U1537))</f>
        <v/>
      </c>
      <c r="R1537">
        <f>IF($U1537="","",INDEX(상세표[18~22시],$U1537))</f>
        <v/>
      </c>
      <c r="S1537">
        <f>IF($U1537="","",INDEX(상세표[22~06시],$U1537))</f>
        <v/>
      </c>
      <c r="T1537">
        <f>IF($U1537="","",INDEX(상세표[기록 시간외],$U1537))</f>
        <v/>
      </c>
      <c r="U1537" s="4">
        <f>IFERROR(MATCH(1532,상세표[발송순번],0),"")</f>
        <v/>
      </c>
    </row>
    <row r="1538">
      <c r="J1538">
        <f>IF($U1538="","",INDEX(상세표[사번],$U1538)&amp;"")</f>
        <v/>
      </c>
      <c r="K1538">
        <f>IF($U1538="","",INDEX(상세표[성명],$U1538)&amp;"")</f>
        <v/>
      </c>
      <c r="L1538">
        <f>IF($U1538="","",INDEX(상세표[직위],$U1538)&amp;"")</f>
        <v/>
      </c>
      <c r="M1538">
        <f>IF($U1538="","",IF(ISNUMBER(INDEX(상세표[근무일자],$U1538)),TEXT(INDEX(상세표[근무일자],$U1538),"yyyy-mm-dd"),INDEX(상세표[근무일자],$U1538)&amp;""))</f>
        <v/>
      </c>
      <c r="N1538">
        <f>IF($U1538="","",IF(ISNUMBER(INDEX(상세표[시작],$U1538)),TEXT(INDEX(상세표[시작],$U1538),"yyyy-mm-dd hh:mm"),INDEX(상세표[시작],$U1538)&amp;""))</f>
        <v/>
      </c>
      <c r="O1538">
        <f>IF($U1538="","",IF(ISNUMBER(INDEX(상세표[종료],$U1538)),TEXT(INDEX(상세표[종료],$U1538),"yyyy-mm-dd hh:mm"),INDEX(상세표[종료],$U1538)&amp;""))</f>
        <v/>
      </c>
      <c r="P1538">
        <f>IF($U1538="","",INDEX(상세표[06~07시],$U1538))</f>
        <v/>
      </c>
      <c r="Q1538">
        <f>IF($U1538="","",INDEX(상세표[07~18시],$U1538))</f>
        <v/>
      </c>
      <c r="R1538">
        <f>IF($U1538="","",INDEX(상세표[18~22시],$U1538))</f>
        <v/>
      </c>
      <c r="S1538">
        <f>IF($U1538="","",INDEX(상세표[22~06시],$U1538))</f>
        <v/>
      </c>
      <c r="T1538">
        <f>IF($U1538="","",INDEX(상세표[기록 시간외],$U1538))</f>
        <v/>
      </c>
      <c r="U1538" s="4">
        <f>IFERROR(MATCH(1533,상세표[발송순번],0),"")</f>
        <v/>
      </c>
    </row>
    <row r="1539">
      <c r="J1539">
        <f>IF($U1539="","",INDEX(상세표[사번],$U1539)&amp;"")</f>
        <v/>
      </c>
      <c r="K1539">
        <f>IF($U1539="","",INDEX(상세표[성명],$U1539)&amp;"")</f>
        <v/>
      </c>
      <c r="L1539">
        <f>IF($U1539="","",INDEX(상세표[직위],$U1539)&amp;"")</f>
        <v/>
      </c>
      <c r="M1539">
        <f>IF($U1539="","",IF(ISNUMBER(INDEX(상세표[근무일자],$U1539)),TEXT(INDEX(상세표[근무일자],$U1539),"yyyy-mm-dd"),INDEX(상세표[근무일자],$U1539)&amp;""))</f>
        <v/>
      </c>
      <c r="N1539">
        <f>IF($U1539="","",IF(ISNUMBER(INDEX(상세표[시작],$U1539)),TEXT(INDEX(상세표[시작],$U1539),"yyyy-mm-dd hh:mm"),INDEX(상세표[시작],$U1539)&amp;""))</f>
        <v/>
      </c>
      <c r="O1539">
        <f>IF($U1539="","",IF(ISNUMBER(INDEX(상세표[종료],$U1539)),TEXT(INDEX(상세표[종료],$U1539),"yyyy-mm-dd hh:mm"),INDEX(상세표[종료],$U1539)&amp;""))</f>
        <v/>
      </c>
      <c r="P1539">
        <f>IF($U1539="","",INDEX(상세표[06~07시],$U1539))</f>
        <v/>
      </c>
      <c r="Q1539">
        <f>IF($U1539="","",INDEX(상세표[07~18시],$U1539))</f>
        <v/>
      </c>
      <c r="R1539">
        <f>IF($U1539="","",INDEX(상세표[18~22시],$U1539))</f>
        <v/>
      </c>
      <c r="S1539">
        <f>IF($U1539="","",INDEX(상세표[22~06시],$U1539))</f>
        <v/>
      </c>
      <c r="T1539">
        <f>IF($U1539="","",INDEX(상세표[기록 시간외],$U1539))</f>
        <v/>
      </c>
      <c r="U1539" s="4">
        <f>IFERROR(MATCH(1534,상세표[발송순번],0),"")</f>
        <v/>
      </c>
    </row>
    <row r="1540">
      <c r="J1540">
        <f>IF($U1540="","",INDEX(상세표[사번],$U1540)&amp;"")</f>
        <v/>
      </c>
      <c r="K1540">
        <f>IF($U1540="","",INDEX(상세표[성명],$U1540)&amp;"")</f>
        <v/>
      </c>
      <c r="L1540">
        <f>IF($U1540="","",INDEX(상세표[직위],$U1540)&amp;"")</f>
        <v/>
      </c>
      <c r="M1540">
        <f>IF($U1540="","",IF(ISNUMBER(INDEX(상세표[근무일자],$U1540)),TEXT(INDEX(상세표[근무일자],$U1540),"yyyy-mm-dd"),INDEX(상세표[근무일자],$U1540)&amp;""))</f>
        <v/>
      </c>
      <c r="N1540">
        <f>IF($U1540="","",IF(ISNUMBER(INDEX(상세표[시작],$U1540)),TEXT(INDEX(상세표[시작],$U1540),"yyyy-mm-dd hh:mm"),INDEX(상세표[시작],$U1540)&amp;""))</f>
        <v/>
      </c>
      <c r="O1540">
        <f>IF($U1540="","",IF(ISNUMBER(INDEX(상세표[종료],$U1540)),TEXT(INDEX(상세표[종료],$U1540),"yyyy-mm-dd hh:mm"),INDEX(상세표[종료],$U1540)&amp;""))</f>
        <v/>
      </c>
      <c r="P1540">
        <f>IF($U1540="","",INDEX(상세표[06~07시],$U1540))</f>
        <v/>
      </c>
      <c r="Q1540">
        <f>IF($U1540="","",INDEX(상세표[07~18시],$U1540))</f>
        <v/>
      </c>
      <c r="R1540">
        <f>IF($U1540="","",INDEX(상세표[18~22시],$U1540))</f>
        <v/>
      </c>
      <c r="S1540">
        <f>IF($U1540="","",INDEX(상세표[22~06시],$U1540))</f>
        <v/>
      </c>
      <c r="T1540">
        <f>IF($U1540="","",INDEX(상세표[기록 시간외],$U1540))</f>
        <v/>
      </c>
      <c r="U1540" s="4">
        <f>IFERROR(MATCH(1535,상세표[발송순번],0),"")</f>
        <v/>
      </c>
    </row>
    <row r="1541">
      <c r="J1541">
        <f>IF($U1541="","",INDEX(상세표[사번],$U1541)&amp;"")</f>
        <v/>
      </c>
      <c r="K1541">
        <f>IF($U1541="","",INDEX(상세표[성명],$U1541)&amp;"")</f>
        <v/>
      </c>
      <c r="L1541">
        <f>IF($U1541="","",INDEX(상세표[직위],$U1541)&amp;"")</f>
        <v/>
      </c>
      <c r="M1541">
        <f>IF($U1541="","",IF(ISNUMBER(INDEX(상세표[근무일자],$U1541)),TEXT(INDEX(상세표[근무일자],$U1541),"yyyy-mm-dd"),INDEX(상세표[근무일자],$U1541)&amp;""))</f>
        <v/>
      </c>
      <c r="N1541">
        <f>IF($U1541="","",IF(ISNUMBER(INDEX(상세표[시작],$U1541)),TEXT(INDEX(상세표[시작],$U1541),"yyyy-mm-dd hh:mm"),INDEX(상세표[시작],$U1541)&amp;""))</f>
        <v/>
      </c>
      <c r="O1541">
        <f>IF($U1541="","",IF(ISNUMBER(INDEX(상세표[종료],$U1541)),TEXT(INDEX(상세표[종료],$U1541),"yyyy-mm-dd hh:mm"),INDEX(상세표[종료],$U1541)&amp;""))</f>
        <v/>
      </c>
      <c r="P1541">
        <f>IF($U1541="","",INDEX(상세표[06~07시],$U1541))</f>
        <v/>
      </c>
      <c r="Q1541">
        <f>IF($U1541="","",INDEX(상세표[07~18시],$U1541))</f>
        <v/>
      </c>
      <c r="R1541">
        <f>IF($U1541="","",INDEX(상세표[18~22시],$U1541))</f>
        <v/>
      </c>
      <c r="S1541">
        <f>IF($U1541="","",INDEX(상세표[22~06시],$U1541))</f>
        <v/>
      </c>
      <c r="T1541">
        <f>IF($U1541="","",INDEX(상세표[기록 시간외],$U1541))</f>
        <v/>
      </c>
      <c r="U1541" s="4">
        <f>IFERROR(MATCH(1536,상세표[발송순번],0),"")</f>
        <v/>
      </c>
    </row>
    <row r="1542">
      <c r="J1542">
        <f>IF($U1542="","",INDEX(상세표[사번],$U1542)&amp;"")</f>
        <v/>
      </c>
      <c r="K1542">
        <f>IF($U1542="","",INDEX(상세표[성명],$U1542)&amp;"")</f>
        <v/>
      </c>
      <c r="L1542">
        <f>IF($U1542="","",INDEX(상세표[직위],$U1542)&amp;"")</f>
        <v/>
      </c>
      <c r="M1542">
        <f>IF($U1542="","",IF(ISNUMBER(INDEX(상세표[근무일자],$U1542)),TEXT(INDEX(상세표[근무일자],$U1542),"yyyy-mm-dd"),INDEX(상세표[근무일자],$U1542)&amp;""))</f>
        <v/>
      </c>
      <c r="N1542">
        <f>IF($U1542="","",IF(ISNUMBER(INDEX(상세표[시작],$U1542)),TEXT(INDEX(상세표[시작],$U1542),"yyyy-mm-dd hh:mm"),INDEX(상세표[시작],$U1542)&amp;""))</f>
        <v/>
      </c>
      <c r="O1542">
        <f>IF($U1542="","",IF(ISNUMBER(INDEX(상세표[종료],$U1542)),TEXT(INDEX(상세표[종료],$U1542),"yyyy-mm-dd hh:mm"),INDEX(상세표[종료],$U1542)&amp;""))</f>
        <v/>
      </c>
      <c r="P1542">
        <f>IF($U1542="","",INDEX(상세표[06~07시],$U1542))</f>
        <v/>
      </c>
      <c r="Q1542">
        <f>IF($U1542="","",INDEX(상세표[07~18시],$U1542))</f>
        <v/>
      </c>
      <c r="R1542">
        <f>IF($U1542="","",INDEX(상세표[18~22시],$U1542))</f>
        <v/>
      </c>
      <c r="S1542">
        <f>IF($U1542="","",INDEX(상세표[22~06시],$U1542))</f>
        <v/>
      </c>
      <c r="T1542">
        <f>IF($U1542="","",INDEX(상세표[기록 시간외],$U1542))</f>
        <v/>
      </c>
      <c r="U1542" s="4">
        <f>IFERROR(MATCH(1537,상세표[발송순번],0),"")</f>
        <v/>
      </c>
    </row>
    <row r="1543">
      <c r="J1543">
        <f>IF($U1543="","",INDEX(상세표[사번],$U1543)&amp;"")</f>
        <v/>
      </c>
      <c r="K1543">
        <f>IF($U1543="","",INDEX(상세표[성명],$U1543)&amp;"")</f>
        <v/>
      </c>
      <c r="L1543">
        <f>IF($U1543="","",INDEX(상세표[직위],$U1543)&amp;"")</f>
        <v/>
      </c>
      <c r="M1543">
        <f>IF($U1543="","",IF(ISNUMBER(INDEX(상세표[근무일자],$U1543)),TEXT(INDEX(상세표[근무일자],$U1543),"yyyy-mm-dd"),INDEX(상세표[근무일자],$U1543)&amp;""))</f>
        <v/>
      </c>
      <c r="N1543">
        <f>IF($U1543="","",IF(ISNUMBER(INDEX(상세표[시작],$U1543)),TEXT(INDEX(상세표[시작],$U1543),"yyyy-mm-dd hh:mm"),INDEX(상세표[시작],$U1543)&amp;""))</f>
        <v/>
      </c>
      <c r="O1543">
        <f>IF($U1543="","",IF(ISNUMBER(INDEX(상세표[종료],$U1543)),TEXT(INDEX(상세표[종료],$U1543),"yyyy-mm-dd hh:mm"),INDEX(상세표[종료],$U1543)&amp;""))</f>
        <v/>
      </c>
      <c r="P1543">
        <f>IF($U1543="","",INDEX(상세표[06~07시],$U1543))</f>
        <v/>
      </c>
      <c r="Q1543">
        <f>IF($U1543="","",INDEX(상세표[07~18시],$U1543))</f>
        <v/>
      </c>
      <c r="R1543">
        <f>IF($U1543="","",INDEX(상세표[18~22시],$U1543))</f>
        <v/>
      </c>
      <c r="S1543">
        <f>IF($U1543="","",INDEX(상세표[22~06시],$U1543))</f>
        <v/>
      </c>
      <c r="T1543">
        <f>IF($U1543="","",INDEX(상세표[기록 시간외],$U1543))</f>
        <v/>
      </c>
      <c r="U1543" s="4">
        <f>IFERROR(MATCH(1538,상세표[발송순번],0),"")</f>
        <v/>
      </c>
    </row>
    <row r="1544">
      <c r="J1544">
        <f>IF($U1544="","",INDEX(상세표[사번],$U1544)&amp;"")</f>
        <v/>
      </c>
      <c r="K1544">
        <f>IF($U1544="","",INDEX(상세표[성명],$U1544)&amp;"")</f>
        <v/>
      </c>
      <c r="L1544">
        <f>IF($U1544="","",INDEX(상세표[직위],$U1544)&amp;"")</f>
        <v/>
      </c>
      <c r="M1544">
        <f>IF($U1544="","",IF(ISNUMBER(INDEX(상세표[근무일자],$U1544)),TEXT(INDEX(상세표[근무일자],$U1544),"yyyy-mm-dd"),INDEX(상세표[근무일자],$U1544)&amp;""))</f>
        <v/>
      </c>
      <c r="N1544">
        <f>IF($U1544="","",IF(ISNUMBER(INDEX(상세표[시작],$U1544)),TEXT(INDEX(상세표[시작],$U1544),"yyyy-mm-dd hh:mm"),INDEX(상세표[시작],$U1544)&amp;""))</f>
        <v/>
      </c>
      <c r="O1544">
        <f>IF($U1544="","",IF(ISNUMBER(INDEX(상세표[종료],$U1544)),TEXT(INDEX(상세표[종료],$U1544),"yyyy-mm-dd hh:mm"),INDEX(상세표[종료],$U1544)&amp;""))</f>
        <v/>
      </c>
      <c r="P1544">
        <f>IF($U1544="","",INDEX(상세표[06~07시],$U1544))</f>
        <v/>
      </c>
      <c r="Q1544">
        <f>IF($U1544="","",INDEX(상세표[07~18시],$U1544))</f>
        <v/>
      </c>
      <c r="R1544">
        <f>IF($U1544="","",INDEX(상세표[18~22시],$U1544))</f>
        <v/>
      </c>
      <c r="S1544">
        <f>IF($U1544="","",INDEX(상세표[22~06시],$U1544))</f>
        <v/>
      </c>
      <c r="T1544">
        <f>IF($U1544="","",INDEX(상세표[기록 시간외],$U1544))</f>
        <v/>
      </c>
      <c r="U1544" s="4">
        <f>IFERROR(MATCH(1539,상세표[발송순번],0),"")</f>
        <v/>
      </c>
    </row>
    <row r="1545">
      <c r="J1545">
        <f>IF($U1545="","",INDEX(상세표[사번],$U1545)&amp;"")</f>
        <v/>
      </c>
      <c r="K1545">
        <f>IF($U1545="","",INDEX(상세표[성명],$U1545)&amp;"")</f>
        <v/>
      </c>
      <c r="L1545">
        <f>IF($U1545="","",INDEX(상세표[직위],$U1545)&amp;"")</f>
        <v/>
      </c>
      <c r="M1545">
        <f>IF($U1545="","",IF(ISNUMBER(INDEX(상세표[근무일자],$U1545)),TEXT(INDEX(상세표[근무일자],$U1545),"yyyy-mm-dd"),INDEX(상세표[근무일자],$U1545)&amp;""))</f>
        <v/>
      </c>
      <c r="N1545">
        <f>IF($U1545="","",IF(ISNUMBER(INDEX(상세표[시작],$U1545)),TEXT(INDEX(상세표[시작],$U1545),"yyyy-mm-dd hh:mm"),INDEX(상세표[시작],$U1545)&amp;""))</f>
        <v/>
      </c>
      <c r="O1545">
        <f>IF($U1545="","",IF(ISNUMBER(INDEX(상세표[종료],$U1545)),TEXT(INDEX(상세표[종료],$U1545),"yyyy-mm-dd hh:mm"),INDEX(상세표[종료],$U1545)&amp;""))</f>
        <v/>
      </c>
      <c r="P1545">
        <f>IF($U1545="","",INDEX(상세표[06~07시],$U1545))</f>
        <v/>
      </c>
      <c r="Q1545">
        <f>IF($U1545="","",INDEX(상세표[07~18시],$U1545))</f>
        <v/>
      </c>
      <c r="R1545">
        <f>IF($U1545="","",INDEX(상세표[18~22시],$U1545))</f>
        <v/>
      </c>
      <c r="S1545">
        <f>IF($U1545="","",INDEX(상세표[22~06시],$U1545))</f>
        <v/>
      </c>
      <c r="T1545">
        <f>IF($U1545="","",INDEX(상세표[기록 시간외],$U1545))</f>
        <v/>
      </c>
      <c r="U1545" s="4">
        <f>IFERROR(MATCH(1540,상세표[발송순번],0),"")</f>
        <v/>
      </c>
    </row>
    <row r="1546">
      <c r="J1546">
        <f>IF($U1546="","",INDEX(상세표[사번],$U1546)&amp;"")</f>
        <v/>
      </c>
      <c r="K1546">
        <f>IF($U1546="","",INDEX(상세표[성명],$U1546)&amp;"")</f>
        <v/>
      </c>
      <c r="L1546">
        <f>IF($U1546="","",INDEX(상세표[직위],$U1546)&amp;"")</f>
        <v/>
      </c>
      <c r="M1546">
        <f>IF($U1546="","",IF(ISNUMBER(INDEX(상세표[근무일자],$U1546)),TEXT(INDEX(상세표[근무일자],$U1546),"yyyy-mm-dd"),INDEX(상세표[근무일자],$U1546)&amp;""))</f>
        <v/>
      </c>
      <c r="N1546">
        <f>IF($U1546="","",IF(ISNUMBER(INDEX(상세표[시작],$U1546)),TEXT(INDEX(상세표[시작],$U1546),"yyyy-mm-dd hh:mm"),INDEX(상세표[시작],$U1546)&amp;""))</f>
        <v/>
      </c>
      <c r="O1546">
        <f>IF($U1546="","",IF(ISNUMBER(INDEX(상세표[종료],$U1546)),TEXT(INDEX(상세표[종료],$U1546),"yyyy-mm-dd hh:mm"),INDEX(상세표[종료],$U1546)&amp;""))</f>
        <v/>
      </c>
      <c r="P1546">
        <f>IF($U1546="","",INDEX(상세표[06~07시],$U1546))</f>
        <v/>
      </c>
      <c r="Q1546">
        <f>IF($U1546="","",INDEX(상세표[07~18시],$U1546))</f>
        <v/>
      </c>
      <c r="R1546">
        <f>IF($U1546="","",INDEX(상세표[18~22시],$U1546))</f>
        <v/>
      </c>
      <c r="S1546">
        <f>IF($U1546="","",INDEX(상세표[22~06시],$U1546))</f>
        <v/>
      </c>
      <c r="T1546">
        <f>IF($U1546="","",INDEX(상세표[기록 시간외],$U1546))</f>
        <v/>
      </c>
      <c r="U1546" s="4">
        <f>IFERROR(MATCH(1541,상세표[발송순번],0),"")</f>
        <v/>
      </c>
    </row>
    <row r="1547">
      <c r="J1547">
        <f>IF($U1547="","",INDEX(상세표[사번],$U1547)&amp;"")</f>
        <v/>
      </c>
      <c r="K1547">
        <f>IF($U1547="","",INDEX(상세표[성명],$U1547)&amp;"")</f>
        <v/>
      </c>
      <c r="L1547">
        <f>IF($U1547="","",INDEX(상세표[직위],$U1547)&amp;"")</f>
        <v/>
      </c>
      <c r="M1547">
        <f>IF($U1547="","",IF(ISNUMBER(INDEX(상세표[근무일자],$U1547)),TEXT(INDEX(상세표[근무일자],$U1547),"yyyy-mm-dd"),INDEX(상세표[근무일자],$U1547)&amp;""))</f>
        <v/>
      </c>
      <c r="N1547">
        <f>IF($U1547="","",IF(ISNUMBER(INDEX(상세표[시작],$U1547)),TEXT(INDEX(상세표[시작],$U1547),"yyyy-mm-dd hh:mm"),INDEX(상세표[시작],$U1547)&amp;""))</f>
        <v/>
      </c>
      <c r="O1547">
        <f>IF($U1547="","",IF(ISNUMBER(INDEX(상세표[종료],$U1547)),TEXT(INDEX(상세표[종료],$U1547),"yyyy-mm-dd hh:mm"),INDEX(상세표[종료],$U1547)&amp;""))</f>
        <v/>
      </c>
      <c r="P1547">
        <f>IF($U1547="","",INDEX(상세표[06~07시],$U1547))</f>
        <v/>
      </c>
      <c r="Q1547">
        <f>IF($U1547="","",INDEX(상세표[07~18시],$U1547))</f>
        <v/>
      </c>
      <c r="R1547">
        <f>IF($U1547="","",INDEX(상세표[18~22시],$U1547))</f>
        <v/>
      </c>
      <c r="S1547">
        <f>IF($U1547="","",INDEX(상세표[22~06시],$U1547))</f>
        <v/>
      </c>
      <c r="T1547">
        <f>IF($U1547="","",INDEX(상세표[기록 시간외],$U1547))</f>
        <v/>
      </c>
      <c r="U1547" s="4">
        <f>IFERROR(MATCH(1542,상세표[발송순번],0),"")</f>
        <v/>
      </c>
    </row>
    <row r="1548">
      <c r="J1548">
        <f>IF($U1548="","",INDEX(상세표[사번],$U1548)&amp;"")</f>
        <v/>
      </c>
      <c r="K1548">
        <f>IF($U1548="","",INDEX(상세표[성명],$U1548)&amp;"")</f>
        <v/>
      </c>
      <c r="L1548">
        <f>IF($U1548="","",INDEX(상세표[직위],$U1548)&amp;"")</f>
        <v/>
      </c>
      <c r="M1548">
        <f>IF($U1548="","",IF(ISNUMBER(INDEX(상세표[근무일자],$U1548)),TEXT(INDEX(상세표[근무일자],$U1548),"yyyy-mm-dd"),INDEX(상세표[근무일자],$U1548)&amp;""))</f>
        <v/>
      </c>
      <c r="N1548">
        <f>IF($U1548="","",IF(ISNUMBER(INDEX(상세표[시작],$U1548)),TEXT(INDEX(상세표[시작],$U1548),"yyyy-mm-dd hh:mm"),INDEX(상세표[시작],$U1548)&amp;""))</f>
        <v/>
      </c>
      <c r="O1548">
        <f>IF($U1548="","",IF(ISNUMBER(INDEX(상세표[종료],$U1548)),TEXT(INDEX(상세표[종료],$U1548),"yyyy-mm-dd hh:mm"),INDEX(상세표[종료],$U1548)&amp;""))</f>
        <v/>
      </c>
      <c r="P1548">
        <f>IF($U1548="","",INDEX(상세표[06~07시],$U1548))</f>
        <v/>
      </c>
      <c r="Q1548">
        <f>IF($U1548="","",INDEX(상세표[07~18시],$U1548))</f>
        <v/>
      </c>
      <c r="R1548">
        <f>IF($U1548="","",INDEX(상세표[18~22시],$U1548))</f>
        <v/>
      </c>
      <c r="S1548">
        <f>IF($U1548="","",INDEX(상세표[22~06시],$U1548))</f>
        <v/>
      </c>
      <c r="T1548">
        <f>IF($U1548="","",INDEX(상세표[기록 시간외],$U1548))</f>
        <v/>
      </c>
      <c r="U1548" s="4">
        <f>IFERROR(MATCH(1543,상세표[발송순번],0),"")</f>
        <v/>
      </c>
    </row>
    <row r="1549">
      <c r="J1549">
        <f>IF($U1549="","",INDEX(상세표[사번],$U1549)&amp;"")</f>
        <v/>
      </c>
      <c r="K1549">
        <f>IF($U1549="","",INDEX(상세표[성명],$U1549)&amp;"")</f>
        <v/>
      </c>
      <c r="L1549">
        <f>IF($U1549="","",INDEX(상세표[직위],$U1549)&amp;"")</f>
        <v/>
      </c>
      <c r="M1549">
        <f>IF($U1549="","",IF(ISNUMBER(INDEX(상세표[근무일자],$U1549)),TEXT(INDEX(상세표[근무일자],$U1549),"yyyy-mm-dd"),INDEX(상세표[근무일자],$U1549)&amp;""))</f>
        <v/>
      </c>
      <c r="N1549">
        <f>IF($U1549="","",IF(ISNUMBER(INDEX(상세표[시작],$U1549)),TEXT(INDEX(상세표[시작],$U1549),"yyyy-mm-dd hh:mm"),INDEX(상세표[시작],$U1549)&amp;""))</f>
        <v/>
      </c>
      <c r="O1549">
        <f>IF($U1549="","",IF(ISNUMBER(INDEX(상세표[종료],$U1549)),TEXT(INDEX(상세표[종료],$U1549),"yyyy-mm-dd hh:mm"),INDEX(상세표[종료],$U1549)&amp;""))</f>
        <v/>
      </c>
      <c r="P1549">
        <f>IF($U1549="","",INDEX(상세표[06~07시],$U1549))</f>
        <v/>
      </c>
      <c r="Q1549">
        <f>IF($U1549="","",INDEX(상세표[07~18시],$U1549))</f>
        <v/>
      </c>
      <c r="R1549">
        <f>IF($U1549="","",INDEX(상세표[18~22시],$U1549))</f>
        <v/>
      </c>
      <c r="S1549">
        <f>IF($U1549="","",INDEX(상세표[22~06시],$U1549))</f>
        <v/>
      </c>
      <c r="T1549">
        <f>IF($U1549="","",INDEX(상세표[기록 시간외],$U1549))</f>
        <v/>
      </c>
      <c r="U1549" s="4">
        <f>IFERROR(MATCH(1544,상세표[발송순번],0),"")</f>
        <v/>
      </c>
    </row>
    <row r="1550">
      <c r="J1550">
        <f>IF($U1550="","",INDEX(상세표[사번],$U1550)&amp;"")</f>
        <v/>
      </c>
      <c r="K1550">
        <f>IF($U1550="","",INDEX(상세표[성명],$U1550)&amp;"")</f>
        <v/>
      </c>
      <c r="L1550">
        <f>IF($U1550="","",INDEX(상세표[직위],$U1550)&amp;"")</f>
        <v/>
      </c>
      <c r="M1550">
        <f>IF($U1550="","",IF(ISNUMBER(INDEX(상세표[근무일자],$U1550)),TEXT(INDEX(상세표[근무일자],$U1550),"yyyy-mm-dd"),INDEX(상세표[근무일자],$U1550)&amp;""))</f>
        <v/>
      </c>
      <c r="N1550">
        <f>IF($U1550="","",IF(ISNUMBER(INDEX(상세표[시작],$U1550)),TEXT(INDEX(상세표[시작],$U1550),"yyyy-mm-dd hh:mm"),INDEX(상세표[시작],$U1550)&amp;""))</f>
        <v/>
      </c>
      <c r="O1550">
        <f>IF($U1550="","",IF(ISNUMBER(INDEX(상세표[종료],$U1550)),TEXT(INDEX(상세표[종료],$U1550),"yyyy-mm-dd hh:mm"),INDEX(상세표[종료],$U1550)&amp;""))</f>
        <v/>
      </c>
      <c r="P1550">
        <f>IF($U1550="","",INDEX(상세표[06~07시],$U1550))</f>
        <v/>
      </c>
      <c r="Q1550">
        <f>IF($U1550="","",INDEX(상세표[07~18시],$U1550))</f>
        <v/>
      </c>
      <c r="R1550">
        <f>IF($U1550="","",INDEX(상세표[18~22시],$U1550))</f>
        <v/>
      </c>
      <c r="S1550">
        <f>IF($U1550="","",INDEX(상세표[22~06시],$U1550))</f>
        <v/>
      </c>
      <c r="T1550">
        <f>IF($U1550="","",INDEX(상세표[기록 시간외],$U1550))</f>
        <v/>
      </c>
      <c r="U1550" s="4">
        <f>IFERROR(MATCH(1545,상세표[발송순번],0),"")</f>
        <v/>
      </c>
    </row>
    <row r="1551">
      <c r="J1551">
        <f>IF($U1551="","",INDEX(상세표[사번],$U1551)&amp;"")</f>
        <v/>
      </c>
      <c r="K1551">
        <f>IF($U1551="","",INDEX(상세표[성명],$U1551)&amp;"")</f>
        <v/>
      </c>
      <c r="L1551">
        <f>IF($U1551="","",INDEX(상세표[직위],$U1551)&amp;"")</f>
        <v/>
      </c>
      <c r="M1551">
        <f>IF($U1551="","",IF(ISNUMBER(INDEX(상세표[근무일자],$U1551)),TEXT(INDEX(상세표[근무일자],$U1551),"yyyy-mm-dd"),INDEX(상세표[근무일자],$U1551)&amp;""))</f>
        <v/>
      </c>
      <c r="N1551">
        <f>IF($U1551="","",IF(ISNUMBER(INDEX(상세표[시작],$U1551)),TEXT(INDEX(상세표[시작],$U1551),"yyyy-mm-dd hh:mm"),INDEX(상세표[시작],$U1551)&amp;""))</f>
        <v/>
      </c>
      <c r="O1551">
        <f>IF($U1551="","",IF(ISNUMBER(INDEX(상세표[종료],$U1551)),TEXT(INDEX(상세표[종료],$U1551),"yyyy-mm-dd hh:mm"),INDEX(상세표[종료],$U1551)&amp;""))</f>
        <v/>
      </c>
      <c r="P1551">
        <f>IF($U1551="","",INDEX(상세표[06~07시],$U1551))</f>
        <v/>
      </c>
      <c r="Q1551">
        <f>IF($U1551="","",INDEX(상세표[07~18시],$U1551))</f>
        <v/>
      </c>
      <c r="R1551">
        <f>IF($U1551="","",INDEX(상세표[18~22시],$U1551))</f>
        <v/>
      </c>
      <c r="S1551">
        <f>IF($U1551="","",INDEX(상세표[22~06시],$U1551))</f>
        <v/>
      </c>
      <c r="T1551">
        <f>IF($U1551="","",INDEX(상세표[기록 시간외],$U1551))</f>
        <v/>
      </c>
      <c r="U1551" s="4">
        <f>IFERROR(MATCH(1546,상세표[발송순번],0),"")</f>
        <v/>
      </c>
    </row>
    <row r="1552">
      <c r="J1552">
        <f>IF($U1552="","",INDEX(상세표[사번],$U1552)&amp;"")</f>
        <v/>
      </c>
      <c r="K1552">
        <f>IF($U1552="","",INDEX(상세표[성명],$U1552)&amp;"")</f>
        <v/>
      </c>
      <c r="L1552">
        <f>IF($U1552="","",INDEX(상세표[직위],$U1552)&amp;"")</f>
        <v/>
      </c>
      <c r="M1552">
        <f>IF($U1552="","",IF(ISNUMBER(INDEX(상세표[근무일자],$U1552)),TEXT(INDEX(상세표[근무일자],$U1552),"yyyy-mm-dd"),INDEX(상세표[근무일자],$U1552)&amp;""))</f>
        <v/>
      </c>
      <c r="N1552">
        <f>IF($U1552="","",IF(ISNUMBER(INDEX(상세표[시작],$U1552)),TEXT(INDEX(상세표[시작],$U1552),"yyyy-mm-dd hh:mm"),INDEX(상세표[시작],$U1552)&amp;""))</f>
        <v/>
      </c>
      <c r="O1552">
        <f>IF($U1552="","",IF(ISNUMBER(INDEX(상세표[종료],$U1552)),TEXT(INDEX(상세표[종료],$U1552),"yyyy-mm-dd hh:mm"),INDEX(상세표[종료],$U1552)&amp;""))</f>
        <v/>
      </c>
      <c r="P1552">
        <f>IF($U1552="","",INDEX(상세표[06~07시],$U1552))</f>
        <v/>
      </c>
      <c r="Q1552">
        <f>IF($U1552="","",INDEX(상세표[07~18시],$U1552))</f>
        <v/>
      </c>
      <c r="R1552">
        <f>IF($U1552="","",INDEX(상세표[18~22시],$U1552))</f>
        <v/>
      </c>
      <c r="S1552">
        <f>IF($U1552="","",INDEX(상세표[22~06시],$U1552))</f>
        <v/>
      </c>
      <c r="T1552">
        <f>IF($U1552="","",INDEX(상세표[기록 시간외],$U1552))</f>
        <v/>
      </c>
      <c r="U1552" s="4">
        <f>IFERROR(MATCH(1547,상세표[발송순번],0),"")</f>
        <v/>
      </c>
    </row>
    <row r="1553">
      <c r="J1553">
        <f>IF($U1553="","",INDEX(상세표[사번],$U1553)&amp;"")</f>
        <v/>
      </c>
      <c r="K1553">
        <f>IF($U1553="","",INDEX(상세표[성명],$U1553)&amp;"")</f>
        <v/>
      </c>
      <c r="L1553">
        <f>IF($U1553="","",INDEX(상세표[직위],$U1553)&amp;"")</f>
        <v/>
      </c>
      <c r="M1553">
        <f>IF($U1553="","",IF(ISNUMBER(INDEX(상세표[근무일자],$U1553)),TEXT(INDEX(상세표[근무일자],$U1553),"yyyy-mm-dd"),INDEX(상세표[근무일자],$U1553)&amp;""))</f>
        <v/>
      </c>
      <c r="N1553">
        <f>IF($U1553="","",IF(ISNUMBER(INDEX(상세표[시작],$U1553)),TEXT(INDEX(상세표[시작],$U1553),"yyyy-mm-dd hh:mm"),INDEX(상세표[시작],$U1553)&amp;""))</f>
        <v/>
      </c>
      <c r="O1553">
        <f>IF($U1553="","",IF(ISNUMBER(INDEX(상세표[종료],$U1553)),TEXT(INDEX(상세표[종료],$U1553),"yyyy-mm-dd hh:mm"),INDEX(상세표[종료],$U1553)&amp;""))</f>
        <v/>
      </c>
      <c r="P1553">
        <f>IF($U1553="","",INDEX(상세표[06~07시],$U1553))</f>
        <v/>
      </c>
      <c r="Q1553">
        <f>IF($U1553="","",INDEX(상세표[07~18시],$U1553))</f>
        <v/>
      </c>
      <c r="R1553">
        <f>IF($U1553="","",INDEX(상세표[18~22시],$U1553))</f>
        <v/>
      </c>
      <c r="S1553">
        <f>IF($U1553="","",INDEX(상세표[22~06시],$U1553))</f>
        <v/>
      </c>
      <c r="T1553">
        <f>IF($U1553="","",INDEX(상세표[기록 시간외],$U1553))</f>
        <v/>
      </c>
      <c r="U1553" s="4">
        <f>IFERROR(MATCH(1548,상세표[발송순번],0),"")</f>
        <v/>
      </c>
    </row>
    <row r="1554">
      <c r="J1554">
        <f>IF($U1554="","",INDEX(상세표[사번],$U1554)&amp;"")</f>
        <v/>
      </c>
      <c r="K1554">
        <f>IF($U1554="","",INDEX(상세표[성명],$U1554)&amp;"")</f>
        <v/>
      </c>
      <c r="L1554">
        <f>IF($U1554="","",INDEX(상세표[직위],$U1554)&amp;"")</f>
        <v/>
      </c>
      <c r="M1554">
        <f>IF($U1554="","",IF(ISNUMBER(INDEX(상세표[근무일자],$U1554)),TEXT(INDEX(상세표[근무일자],$U1554),"yyyy-mm-dd"),INDEX(상세표[근무일자],$U1554)&amp;""))</f>
        <v/>
      </c>
      <c r="N1554">
        <f>IF($U1554="","",IF(ISNUMBER(INDEX(상세표[시작],$U1554)),TEXT(INDEX(상세표[시작],$U1554),"yyyy-mm-dd hh:mm"),INDEX(상세표[시작],$U1554)&amp;""))</f>
        <v/>
      </c>
      <c r="O1554">
        <f>IF($U1554="","",IF(ISNUMBER(INDEX(상세표[종료],$U1554)),TEXT(INDEX(상세표[종료],$U1554),"yyyy-mm-dd hh:mm"),INDEX(상세표[종료],$U1554)&amp;""))</f>
        <v/>
      </c>
      <c r="P1554">
        <f>IF($U1554="","",INDEX(상세표[06~07시],$U1554))</f>
        <v/>
      </c>
      <c r="Q1554">
        <f>IF($U1554="","",INDEX(상세표[07~18시],$U1554))</f>
        <v/>
      </c>
      <c r="R1554">
        <f>IF($U1554="","",INDEX(상세표[18~22시],$U1554))</f>
        <v/>
      </c>
      <c r="S1554">
        <f>IF($U1554="","",INDEX(상세표[22~06시],$U1554))</f>
        <v/>
      </c>
      <c r="T1554">
        <f>IF($U1554="","",INDEX(상세표[기록 시간외],$U1554))</f>
        <v/>
      </c>
      <c r="U1554" s="4">
        <f>IFERROR(MATCH(1549,상세표[발송순번],0),"")</f>
        <v/>
      </c>
    </row>
    <row r="1555">
      <c r="J1555">
        <f>IF($U1555="","",INDEX(상세표[사번],$U1555)&amp;"")</f>
        <v/>
      </c>
      <c r="K1555">
        <f>IF($U1555="","",INDEX(상세표[성명],$U1555)&amp;"")</f>
        <v/>
      </c>
      <c r="L1555">
        <f>IF($U1555="","",INDEX(상세표[직위],$U1555)&amp;"")</f>
        <v/>
      </c>
      <c r="M1555">
        <f>IF($U1555="","",IF(ISNUMBER(INDEX(상세표[근무일자],$U1555)),TEXT(INDEX(상세표[근무일자],$U1555),"yyyy-mm-dd"),INDEX(상세표[근무일자],$U1555)&amp;""))</f>
        <v/>
      </c>
      <c r="N1555">
        <f>IF($U1555="","",IF(ISNUMBER(INDEX(상세표[시작],$U1555)),TEXT(INDEX(상세표[시작],$U1555),"yyyy-mm-dd hh:mm"),INDEX(상세표[시작],$U1555)&amp;""))</f>
        <v/>
      </c>
      <c r="O1555">
        <f>IF($U1555="","",IF(ISNUMBER(INDEX(상세표[종료],$U1555)),TEXT(INDEX(상세표[종료],$U1555),"yyyy-mm-dd hh:mm"),INDEX(상세표[종료],$U1555)&amp;""))</f>
        <v/>
      </c>
      <c r="P1555">
        <f>IF($U1555="","",INDEX(상세표[06~07시],$U1555))</f>
        <v/>
      </c>
      <c r="Q1555">
        <f>IF($U1555="","",INDEX(상세표[07~18시],$U1555))</f>
        <v/>
      </c>
      <c r="R1555">
        <f>IF($U1555="","",INDEX(상세표[18~22시],$U1555))</f>
        <v/>
      </c>
      <c r="S1555">
        <f>IF($U1555="","",INDEX(상세표[22~06시],$U1555))</f>
        <v/>
      </c>
      <c r="T1555">
        <f>IF($U1555="","",INDEX(상세표[기록 시간외],$U1555))</f>
        <v/>
      </c>
      <c r="U1555" s="4">
        <f>IFERROR(MATCH(1550,상세표[발송순번],0),"")</f>
        <v/>
      </c>
    </row>
    <row r="1556">
      <c r="J1556">
        <f>IF($U1556="","",INDEX(상세표[사번],$U1556)&amp;"")</f>
        <v/>
      </c>
      <c r="K1556">
        <f>IF($U1556="","",INDEX(상세표[성명],$U1556)&amp;"")</f>
        <v/>
      </c>
      <c r="L1556">
        <f>IF($U1556="","",INDEX(상세표[직위],$U1556)&amp;"")</f>
        <v/>
      </c>
      <c r="M1556">
        <f>IF($U1556="","",IF(ISNUMBER(INDEX(상세표[근무일자],$U1556)),TEXT(INDEX(상세표[근무일자],$U1556),"yyyy-mm-dd"),INDEX(상세표[근무일자],$U1556)&amp;""))</f>
        <v/>
      </c>
      <c r="N1556">
        <f>IF($U1556="","",IF(ISNUMBER(INDEX(상세표[시작],$U1556)),TEXT(INDEX(상세표[시작],$U1556),"yyyy-mm-dd hh:mm"),INDEX(상세표[시작],$U1556)&amp;""))</f>
        <v/>
      </c>
      <c r="O1556">
        <f>IF($U1556="","",IF(ISNUMBER(INDEX(상세표[종료],$U1556)),TEXT(INDEX(상세표[종료],$U1556),"yyyy-mm-dd hh:mm"),INDEX(상세표[종료],$U1556)&amp;""))</f>
        <v/>
      </c>
      <c r="P1556">
        <f>IF($U1556="","",INDEX(상세표[06~07시],$U1556))</f>
        <v/>
      </c>
      <c r="Q1556">
        <f>IF($U1556="","",INDEX(상세표[07~18시],$U1556))</f>
        <v/>
      </c>
      <c r="R1556">
        <f>IF($U1556="","",INDEX(상세표[18~22시],$U1556))</f>
        <v/>
      </c>
      <c r="S1556">
        <f>IF($U1556="","",INDEX(상세표[22~06시],$U1556))</f>
        <v/>
      </c>
      <c r="T1556">
        <f>IF($U1556="","",INDEX(상세표[기록 시간외],$U1556))</f>
        <v/>
      </c>
      <c r="U1556" s="4">
        <f>IFERROR(MATCH(1551,상세표[발송순번],0),"")</f>
        <v/>
      </c>
    </row>
    <row r="1557">
      <c r="J1557">
        <f>IF($U1557="","",INDEX(상세표[사번],$U1557)&amp;"")</f>
        <v/>
      </c>
      <c r="K1557">
        <f>IF($U1557="","",INDEX(상세표[성명],$U1557)&amp;"")</f>
        <v/>
      </c>
      <c r="L1557">
        <f>IF($U1557="","",INDEX(상세표[직위],$U1557)&amp;"")</f>
        <v/>
      </c>
      <c r="M1557">
        <f>IF($U1557="","",IF(ISNUMBER(INDEX(상세표[근무일자],$U1557)),TEXT(INDEX(상세표[근무일자],$U1557),"yyyy-mm-dd"),INDEX(상세표[근무일자],$U1557)&amp;""))</f>
        <v/>
      </c>
      <c r="N1557">
        <f>IF($U1557="","",IF(ISNUMBER(INDEX(상세표[시작],$U1557)),TEXT(INDEX(상세표[시작],$U1557),"yyyy-mm-dd hh:mm"),INDEX(상세표[시작],$U1557)&amp;""))</f>
        <v/>
      </c>
      <c r="O1557">
        <f>IF($U1557="","",IF(ISNUMBER(INDEX(상세표[종료],$U1557)),TEXT(INDEX(상세표[종료],$U1557),"yyyy-mm-dd hh:mm"),INDEX(상세표[종료],$U1557)&amp;""))</f>
        <v/>
      </c>
      <c r="P1557">
        <f>IF($U1557="","",INDEX(상세표[06~07시],$U1557))</f>
        <v/>
      </c>
      <c r="Q1557">
        <f>IF($U1557="","",INDEX(상세표[07~18시],$U1557))</f>
        <v/>
      </c>
      <c r="R1557">
        <f>IF($U1557="","",INDEX(상세표[18~22시],$U1557))</f>
        <v/>
      </c>
      <c r="S1557">
        <f>IF($U1557="","",INDEX(상세표[22~06시],$U1557))</f>
        <v/>
      </c>
      <c r="T1557">
        <f>IF($U1557="","",INDEX(상세표[기록 시간외],$U1557))</f>
        <v/>
      </c>
      <c r="U1557" s="4">
        <f>IFERROR(MATCH(1552,상세표[발송순번],0),"")</f>
        <v/>
      </c>
    </row>
    <row r="1558">
      <c r="J1558">
        <f>IF($U1558="","",INDEX(상세표[사번],$U1558)&amp;"")</f>
        <v/>
      </c>
      <c r="K1558">
        <f>IF($U1558="","",INDEX(상세표[성명],$U1558)&amp;"")</f>
        <v/>
      </c>
      <c r="L1558">
        <f>IF($U1558="","",INDEX(상세표[직위],$U1558)&amp;"")</f>
        <v/>
      </c>
      <c r="M1558">
        <f>IF($U1558="","",IF(ISNUMBER(INDEX(상세표[근무일자],$U1558)),TEXT(INDEX(상세표[근무일자],$U1558),"yyyy-mm-dd"),INDEX(상세표[근무일자],$U1558)&amp;""))</f>
        <v/>
      </c>
      <c r="N1558">
        <f>IF($U1558="","",IF(ISNUMBER(INDEX(상세표[시작],$U1558)),TEXT(INDEX(상세표[시작],$U1558),"yyyy-mm-dd hh:mm"),INDEX(상세표[시작],$U1558)&amp;""))</f>
        <v/>
      </c>
      <c r="O1558">
        <f>IF($U1558="","",IF(ISNUMBER(INDEX(상세표[종료],$U1558)),TEXT(INDEX(상세표[종료],$U1558),"yyyy-mm-dd hh:mm"),INDEX(상세표[종료],$U1558)&amp;""))</f>
        <v/>
      </c>
      <c r="P1558">
        <f>IF($U1558="","",INDEX(상세표[06~07시],$U1558))</f>
        <v/>
      </c>
      <c r="Q1558">
        <f>IF($U1558="","",INDEX(상세표[07~18시],$U1558))</f>
        <v/>
      </c>
      <c r="R1558">
        <f>IF($U1558="","",INDEX(상세표[18~22시],$U1558))</f>
        <v/>
      </c>
      <c r="S1558">
        <f>IF($U1558="","",INDEX(상세표[22~06시],$U1558))</f>
        <v/>
      </c>
      <c r="T1558">
        <f>IF($U1558="","",INDEX(상세표[기록 시간외],$U1558))</f>
        <v/>
      </c>
      <c r="U1558" s="4">
        <f>IFERROR(MATCH(1553,상세표[발송순번],0),"")</f>
        <v/>
      </c>
    </row>
    <row r="1559">
      <c r="J1559">
        <f>IF($U1559="","",INDEX(상세표[사번],$U1559)&amp;"")</f>
        <v/>
      </c>
      <c r="K1559">
        <f>IF($U1559="","",INDEX(상세표[성명],$U1559)&amp;"")</f>
        <v/>
      </c>
      <c r="L1559">
        <f>IF($U1559="","",INDEX(상세표[직위],$U1559)&amp;"")</f>
        <v/>
      </c>
      <c r="M1559">
        <f>IF($U1559="","",IF(ISNUMBER(INDEX(상세표[근무일자],$U1559)),TEXT(INDEX(상세표[근무일자],$U1559),"yyyy-mm-dd"),INDEX(상세표[근무일자],$U1559)&amp;""))</f>
        <v/>
      </c>
      <c r="N1559">
        <f>IF($U1559="","",IF(ISNUMBER(INDEX(상세표[시작],$U1559)),TEXT(INDEX(상세표[시작],$U1559),"yyyy-mm-dd hh:mm"),INDEX(상세표[시작],$U1559)&amp;""))</f>
        <v/>
      </c>
      <c r="O1559">
        <f>IF($U1559="","",IF(ISNUMBER(INDEX(상세표[종료],$U1559)),TEXT(INDEX(상세표[종료],$U1559),"yyyy-mm-dd hh:mm"),INDEX(상세표[종료],$U1559)&amp;""))</f>
        <v/>
      </c>
      <c r="P1559">
        <f>IF($U1559="","",INDEX(상세표[06~07시],$U1559))</f>
        <v/>
      </c>
      <c r="Q1559">
        <f>IF($U1559="","",INDEX(상세표[07~18시],$U1559))</f>
        <v/>
      </c>
      <c r="R1559">
        <f>IF($U1559="","",INDEX(상세표[18~22시],$U1559))</f>
        <v/>
      </c>
      <c r="S1559">
        <f>IF($U1559="","",INDEX(상세표[22~06시],$U1559))</f>
        <v/>
      </c>
      <c r="T1559">
        <f>IF($U1559="","",INDEX(상세표[기록 시간외],$U1559))</f>
        <v/>
      </c>
      <c r="U1559" s="4">
        <f>IFERROR(MATCH(1554,상세표[발송순번],0),"")</f>
        <v/>
      </c>
    </row>
    <row r="1560">
      <c r="J1560">
        <f>IF($U1560="","",INDEX(상세표[사번],$U1560)&amp;"")</f>
        <v/>
      </c>
      <c r="K1560">
        <f>IF($U1560="","",INDEX(상세표[성명],$U1560)&amp;"")</f>
        <v/>
      </c>
      <c r="L1560">
        <f>IF($U1560="","",INDEX(상세표[직위],$U1560)&amp;"")</f>
        <v/>
      </c>
      <c r="M1560">
        <f>IF($U1560="","",IF(ISNUMBER(INDEX(상세표[근무일자],$U1560)),TEXT(INDEX(상세표[근무일자],$U1560),"yyyy-mm-dd"),INDEX(상세표[근무일자],$U1560)&amp;""))</f>
        <v/>
      </c>
      <c r="N1560">
        <f>IF($U1560="","",IF(ISNUMBER(INDEX(상세표[시작],$U1560)),TEXT(INDEX(상세표[시작],$U1560),"yyyy-mm-dd hh:mm"),INDEX(상세표[시작],$U1560)&amp;""))</f>
        <v/>
      </c>
      <c r="O1560">
        <f>IF($U1560="","",IF(ISNUMBER(INDEX(상세표[종료],$U1560)),TEXT(INDEX(상세표[종료],$U1560),"yyyy-mm-dd hh:mm"),INDEX(상세표[종료],$U1560)&amp;""))</f>
        <v/>
      </c>
      <c r="P1560">
        <f>IF($U1560="","",INDEX(상세표[06~07시],$U1560))</f>
        <v/>
      </c>
      <c r="Q1560">
        <f>IF($U1560="","",INDEX(상세표[07~18시],$U1560))</f>
        <v/>
      </c>
      <c r="R1560">
        <f>IF($U1560="","",INDEX(상세표[18~22시],$U1560))</f>
        <v/>
      </c>
      <c r="S1560">
        <f>IF($U1560="","",INDEX(상세표[22~06시],$U1560))</f>
        <v/>
      </c>
      <c r="T1560">
        <f>IF($U1560="","",INDEX(상세표[기록 시간외],$U1560))</f>
        <v/>
      </c>
      <c r="U1560" s="4">
        <f>IFERROR(MATCH(1555,상세표[발송순번],0),"")</f>
        <v/>
      </c>
    </row>
    <row r="1561">
      <c r="J1561">
        <f>IF($U1561="","",INDEX(상세표[사번],$U1561)&amp;"")</f>
        <v/>
      </c>
      <c r="K1561">
        <f>IF($U1561="","",INDEX(상세표[성명],$U1561)&amp;"")</f>
        <v/>
      </c>
      <c r="L1561">
        <f>IF($U1561="","",INDEX(상세표[직위],$U1561)&amp;"")</f>
        <v/>
      </c>
      <c r="M1561">
        <f>IF($U1561="","",IF(ISNUMBER(INDEX(상세표[근무일자],$U1561)),TEXT(INDEX(상세표[근무일자],$U1561),"yyyy-mm-dd"),INDEX(상세표[근무일자],$U1561)&amp;""))</f>
        <v/>
      </c>
      <c r="N1561">
        <f>IF($U1561="","",IF(ISNUMBER(INDEX(상세표[시작],$U1561)),TEXT(INDEX(상세표[시작],$U1561),"yyyy-mm-dd hh:mm"),INDEX(상세표[시작],$U1561)&amp;""))</f>
        <v/>
      </c>
      <c r="O1561">
        <f>IF($U1561="","",IF(ISNUMBER(INDEX(상세표[종료],$U1561)),TEXT(INDEX(상세표[종료],$U1561),"yyyy-mm-dd hh:mm"),INDEX(상세표[종료],$U1561)&amp;""))</f>
        <v/>
      </c>
      <c r="P1561">
        <f>IF($U1561="","",INDEX(상세표[06~07시],$U1561))</f>
        <v/>
      </c>
      <c r="Q1561">
        <f>IF($U1561="","",INDEX(상세표[07~18시],$U1561))</f>
        <v/>
      </c>
      <c r="R1561">
        <f>IF($U1561="","",INDEX(상세표[18~22시],$U1561))</f>
        <v/>
      </c>
      <c r="S1561">
        <f>IF($U1561="","",INDEX(상세표[22~06시],$U1561))</f>
        <v/>
      </c>
      <c r="T1561">
        <f>IF($U1561="","",INDEX(상세표[기록 시간외],$U1561))</f>
        <v/>
      </c>
      <c r="U1561" s="4">
        <f>IFERROR(MATCH(1556,상세표[발송순번],0),"")</f>
        <v/>
      </c>
    </row>
    <row r="1562">
      <c r="J1562">
        <f>IF($U1562="","",INDEX(상세표[사번],$U1562)&amp;"")</f>
        <v/>
      </c>
      <c r="K1562">
        <f>IF($U1562="","",INDEX(상세표[성명],$U1562)&amp;"")</f>
        <v/>
      </c>
      <c r="L1562">
        <f>IF($U1562="","",INDEX(상세표[직위],$U1562)&amp;"")</f>
        <v/>
      </c>
      <c r="M1562">
        <f>IF($U1562="","",IF(ISNUMBER(INDEX(상세표[근무일자],$U1562)),TEXT(INDEX(상세표[근무일자],$U1562),"yyyy-mm-dd"),INDEX(상세표[근무일자],$U1562)&amp;""))</f>
        <v/>
      </c>
      <c r="N1562">
        <f>IF($U1562="","",IF(ISNUMBER(INDEX(상세표[시작],$U1562)),TEXT(INDEX(상세표[시작],$U1562),"yyyy-mm-dd hh:mm"),INDEX(상세표[시작],$U1562)&amp;""))</f>
        <v/>
      </c>
      <c r="O1562">
        <f>IF($U1562="","",IF(ISNUMBER(INDEX(상세표[종료],$U1562)),TEXT(INDEX(상세표[종료],$U1562),"yyyy-mm-dd hh:mm"),INDEX(상세표[종료],$U1562)&amp;""))</f>
        <v/>
      </c>
      <c r="P1562">
        <f>IF($U1562="","",INDEX(상세표[06~07시],$U1562))</f>
        <v/>
      </c>
      <c r="Q1562">
        <f>IF($U1562="","",INDEX(상세표[07~18시],$U1562))</f>
        <v/>
      </c>
      <c r="R1562">
        <f>IF($U1562="","",INDEX(상세표[18~22시],$U1562))</f>
        <v/>
      </c>
      <c r="S1562">
        <f>IF($U1562="","",INDEX(상세표[22~06시],$U1562))</f>
        <v/>
      </c>
      <c r="T1562">
        <f>IF($U1562="","",INDEX(상세표[기록 시간외],$U1562))</f>
        <v/>
      </c>
      <c r="U1562" s="4">
        <f>IFERROR(MATCH(1557,상세표[발송순번],0),"")</f>
        <v/>
      </c>
    </row>
    <row r="1563">
      <c r="J1563">
        <f>IF($U1563="","",INDEX(상세표[사번],$U1563)&amp;"")</f>
        <v/>
      </c>
      <c r="K1563">
        <f>IF($U1563="","",INDEX(상세표[성명],$U1563)&amp;"")</f>
        <v/>
      </c>
      <c r="L1563">
        <f>IF($U1563="","",INDEX(상세표[직위],$U1563)&amp;"")</f>
        <v/>
      </c>
      <c r="M1563">
        <f>IF($U1563="","",IF(ISNUMBER(INDEX(상세표[근무일자],$U1563)),TEXT(INDEX(상세표[근무일자],$U1563),"yyyy-mm-dd"),INDEX(상세표[근무일자],$U1563)&amp;""))</f>
        <v/>
      </c>
      <c r="N1563">
        <f>IF($U1563="","",IF(ISNUMBER(INDEX(상세표[시작],$U1563)),TEXT(INDEX(상세표[시작],$U1563),"yyyy-mm-dd hh:mm"),INDEX(상세표[시작],$U1563)&amp;""))</f>
        <v/>
      </c>
      <c r="O1563">
        <f>IF($U1563="","",IF(ISNUMBER(INDEX(상세표[종료],$U1563)),TEXT(INDEX(상세표[종료],$U1563),"yyyy-mm-dd hh:mm"),INDEX(상세표[종료],$U1563)&amp;""))</f>
        <v/>
      </c>
      <c r="P1563">
        <f>IF($U1563="","",INDEX(상세표[06~07시],$U1563))</f>
        <v/>
      </c>
      <c r="Q1563">
        <f>IF($U1563="","",INDEX(상세표[07~18시],$U1563))</f>
        <v/>
      </c>
      <c r="R1563">
        <f>IF($U1563="","",INDEX(상세표[18~22시],$U1563))</f>
        <v/>
      </c>
      <c r="S1563">
        <f>IF($U1563="","",INDEX(상세표[22~06시],$U1563))</f>
        <v/>
      </c>
      <c r="T1563">
        <f>IF($U1563="","",INDEX(상세표[기록 시간외],$U1563))</f>
        <v/>
      </c>
      <c r="U1563" s="4">
        <f>IFERROR(MATCH(1558,상세표[발송순번],0),"")</f>
        <v/>
      </c>
    </row>
    <row r="1564">
      <c r="J1564">
        <f>IF($U1564="","",INDEX(상세표[사번],$U1564)&amp;"")</f>
        <v/>
      </c>
      <c r="K1564">
        <f>IF($U1564="","",INDEX(상세표[성명],$U1564)&amp;"")</f>
        <v/>
      </c>
      <c r="L1564">
        <f>IF($U1564="","",INDEX(상세표[직위],$U1564)&amp;"")</f>
        <v/>
      </c>
      <c r="M1564">
        <f>IF($U1564="","",IF(ISNUMBER(INDEX(상세표[근무일자],$U1564)),TEXT(INDEX(상세표[근무일자],$U1564),"yyyy-mm-dd"),INDEX(상세표[근무일자],$U1564)&amp;""))</f>
        <v/>
      </c>
      <c r="N1564">
        <f>IF($U1564="","",IF(ISNUMBER(INDEX(상세표[시작],$U1564)),TEXT(INDEX(상세표[시작],$U1564),"yyyy-mm-dd hh:mm"),INDEX(상세표[시작],$U1564)&amp;""))</f>
        <v/>
      </c>
      <c r="O1564">
        <f>IF($U1564="","",IF(ISNUMBER(INDEX(상세표[종료],$U1564)),TEXT(INDEX(상세표[종료],$U1564),"yyyy-mm-dd hh:mm"),INDEX(상세표[종료],$U1564)&amp;""))</f>
        <v/>
      </c>
      <c r="P1564">
        <f>IF($U1564="","",INDEX(상세표[06~07시],$U1564))</f>
        <v/>
      </c>
      <c r="Q1564">
        <f>IF($U1564="","",INDEX(상세표[07~18시],$U1564))</f>
        <v/>
      </c>
      <c r="R1564">
        <f>IF($U1564="","",INDEX(상세표[18~22시],$U1564))</f>
        <v/>
      </c>
      <c r="S1564">
        <f>IF($U1564="","",INDEX(상세표[22~06시],$U1564))</f>
        <v/>
      </c>
      <c r="T1564">
        <f>IF($U1564="","",INDEX(상세표[기록 시간외],$U1564))</f>
        <v/>
      </c>
      <c r="U1564" s="4">
        <f>IFERROR(MATCH(1559,상세표[발송순번],0),"")</f>
        <v/>
      </c>
    </row>
    <row r="1565">
      <c r="J1565">
        <f>IF($U1565="","",INDEX(상세표[사번],$U1565)&amp;"")</f>
        <v/>
      </c>
      <c r="K1565">
        <f>IF($U1565="","",INDEX(상세표[성명],$U1565)&amp;"")</f>
        <v/>
      </c>
      <c r="L1565">
        <f>IF($U1565="","",INDEX(상세표[직위],$U1565)&amp;"")</f>
        <v/>
      </c>
      <c r="M1565">
        <f>IF($U1565="","",IF(ISNUMBER(INDEX(상세표[근무일자],$U1565)),TEXT(INDEX(상세표[근무일자],$U1565),"yyyy-mm-dd"),INDEX(상세표[근무일자],$U1565)&amp;""))</f>
        <v/>
      </c>
      <c r="N1565">
        <f>IF($U1565="","",IF(ISNUMBER(INDEX(상세표[시작],$U1565)),TEXT(INDEX(상세표[시작],$U1565),"yyyy-mm-dd hh:mm"),INDEX(상세표[시작],$U1565)&amp;""))</f>
        <v/>
      </c>
      <c r="O1565">
        <f>IF($U1565="","",IF(ISNUMBER(INDEX(상세표[종료],$U1565)),TEXT(INDEX(상세표[종료],$U1565),"yyyy-mm-dd hh:mm"),INDEX(상세표[종료],$U1565)&amp;""))</f>
        <v/>
      </c>
      <c r="P1565">
        <f>IF($U1565="","",INDEX(상세표[06~07시],$U1565))</f>
        <v/>
      </c>
      <c r="Q1565">
        <f>IF($U1565="","",INDEX(상세표[07~18시],$U1565))</f>
        <v/>
      </c>
      <c r="R1565">
        <f>IF($U1565="","",INDEX(상세표[18~22시],$U1565))</f>
        <v/>
      </c>
      <c r="S1565">
        <f>IF($U1565="","",INDEX(상세표[22~06시],$U1565))</f>
        <v/>
      </c>
      <c r="T1565">
        <f>IF($U1565="","",INDEX(상세표[기록 시간외],$U1565))</f>
        <v/>
      </c>
      <c r="U1565" s="4">
        <f>IFERROR(MATCH(1560,상세표[발송순번],0),"")</f>
        <v/>
      </c>
    </row>
    <row r="1566">
      <c r="J1566">
        <f>IF($U1566="","",INDEX(상세표[사번],$U1566)&amp;"")</f>
        <v/>
      </c>
      <c r="K1566">
        <f>IF($U1566="","",INDEX(상세표[성명],$U1566)&amp;"")</f>
        <v/>
      </c>
      <c r="L1566">
        <f>IF($U1566="","",INDEX(상세표[직위],$U1566)&amp;"")</f>
        <v/>
      </c>
      <c r="M1566">
        <f>IF($U1566="","",IF(ISNUMBER(INDEX(상세표[근무일자],$U1566)),TEXT(INDEX(상세표[근무일자],$U1566),"yyyy-mm-dd"),INDEX(상세표[근무일자],$U1566)&amp;""))</f>
        <v/>
      </c>
      <c r="N1566">
        <f>IF($U1566="","",IF(ISNUMBER(INDEX(상세표[시작],$U1566)),TEXT(INDEX(상세표[시작],$U1566),"yyyy-mm-dd hh:mm"),INDEX(상세표[시작],$U1566)&amp;""))</f>
        <v/>
      </c>
      <c r="O1566">
        <f>IF($U1566="","",IF(ISNUMBER(INDEX(상세표[종료],$U1566)),TEXT(INDEX(상세표[종료],$U1566),"yyyy-mm-dd hh:mm"),INDEX(상세표[종료],$U1566)&amp;""))</f>
        <v/>
      </c>
      <c r="P1566">
        <f>IF($U1566="","",INDEX(상세표[06~07시],$U1566))</f>
        <v/>
      </c>
      <c r="Q1566">
        <f>IF($U1566="","",INDEX(상세표[07~18시],$U1566))</f>
        <v/>
      </c>
      <c r="R1566">
        <f>IF($U1566="","",INDEX(상세표[18~22시],$U1566))</f>
        <v/>
      </c>
      <c r="S1566">
        <f>IF($U1566="","",INDEX(상세표[22~06시],$U1566))</f>
        <v/>
      </c>
      <c r="T1566">
        <f>IF($U1566="","",INDEX(상세표[기록 시간외],$U1566))</f>
        <v/>
      </c>
      <c r="U1566" s="4">
        <f>IFERROR(MATCH(1561,상세표[발송순번],0),"")</f>
        <v/>
      </c>
    </row>
    <row r="1567">
      <c r="J1567">
        <f>IF($U1567="","",INDEX(상세표[사번],$U1567)&amp;"")</f>
        <v/>
      </c>
      <c r="K1567">
        <f>IF($U1567="","",INDEX(상세표[성명],$U1567)&amp;"")</f>
        <v/>
      </c>
      <c r="L1567">
        <f>IF($U1567="","",INDEX(상세표[직위],$U1567)&amp;"")</f>
        <v/>
      </c>
      <c r="M1567">
        <f>IF($U1567="","",IF(ISNUMBER(INDEX(상세표[근무일자],$U1567)),TEXT(INDEX(상세표[근무일자],$U1567),"yyyy-mm-dd"),INDEX(상세표[근무일자],$U1567)&amp;""))</f>
        <v/>
      </c>
      <c r="N1567">
        <f>IF($U1567="","",IF(ISNUMBER(INDEX(상세표[시작],$U1567)),TEXT(INDEX(상세표[시작],$U1567),"yyyy-mm-dd hh:mm"),INDEX(상세표[시작],$U1567)&amp;""))</f>
        <v/>
      </c>
      <c r="O1567">
        <f>IF($U1567="","",IF(ISNUMBER(INDEX(상세표[종료],$U1567)),TEXT(INDEX(상세표[종료],$U1567),"yyyy-mm-dd hh:mm"),INDEX(상세표[종료],$U1567)&amp;""))</f>
        <v/>
      </c>
      <c r="P1567">
        <f>IF($U1567="","",INDEX(상세표[06~07시],$U1567))</f>
        <v/>
      </c>
      <c r="Q1567">
        <f>IF($U1567="","",INDEX(상세표[07~18시],$U1567))</f>
        <v/>
      </c>
      <c r="R1567">
        <f>IF($U1567="","",INDEX(상세표[18~22시],$U1567))</f>
        <v/>
      </c>
      <c r="S1567">
        <f>IF($U1567="","",INDEX(상세표[22~06시],$U1567))</f>
        <v/>
      </c>
      <c r="T1567">
        <f>IF($U1567="","",INDEX(상세표[기록 시간외],$U1567))</f>
        <v/>
      </c>
      <c r="U1567" s="4">
        <f>IFERROR(MATCH(1562,상세표[발송순번],0),"")</f>
        <v/>
      </c>
    </row>
    <row r="1568">
      <c r="J1568">
        <f>IF($U1568="","",INDEX(상세표[사번],$U1568)&amp;"")</f>
        <v/>
      </c>
      <c r="K1568">
        <f>IF($U1568="","",INDEX(상세표[성명],$U1568)&amp;"")</f>
        <v/>
      </c>
      <c r="L1568">
        <f>IF($U1568="","",INDEX(상세표[직위],$U1568)&amp;"")</f>
        <v/>
      </c>
      <c r="M1568">
        <f>IF($U1568="","",IF(ISNUMBER(INDEX(상세표[근무일자],$U1568)),TEXT(INDEX(상세표[근무일자],$U1568),"yyyy-mm-dd"),INDEX(상세표[근무일자],$U1568)&amp;""))</f>
        <v/>
      </c>
      <c r="N1568">
        <f>IF($U1568="","",IF(ISNUMBER(INDEX(상세표[시작],$U1568)),TEXT(INDEX(상세표[시작],$U1568),"yyyy-mm-dd hh:mm"),INDEX(상세표[시작],$U1568)&amp;""))</f>
        <v/>
      </c>
      <c r="O1568">
        <f>IF($U1568="","",IF(ISNUMBER(INDEX(상세표[종료],$U1568)),TEXT(INDEX(상세표[종료],$U1568),"yyyy-mm-dd hh:mm"),INDEX(상세표[종료],$U1568)&amp;""))</f>
        <v/>
      </c>
      <c r="P1568">
        <f>IF($U1568="","",INDEX(상세표[06~07시],$U1568))</f>
        <v/>
      </c>
      <c r="Q1568">
        <f>IF($U1568="","",INDEX(상세표[07~18시],$U1568))</f>
        <v/>
      </c>
      <c r="R1568">
        <f>IF($U1568="","",INDEX(상세표[18~22시],$U1568))</f>
        <v/>
      </c>
      <c r="S1568">
        <f>IF($U1568="","",INDEX(상세표[22~06시],$U1568))</f>
        <v/>
      </c>
      <c r="T1568">
        <f>IF($U1568="","",INDEX(상세표[기록 시간외],$U1568))</f>
        <v/>
      </c>
      <c r="U1568" s="4">
        <f>IFERROR(MATCH(1563,상세표[발송순번],0),"")</f>
        <v/>
      </c>
    </row>
    <row r="1569">
      <c r="J1569">
        <f>IF($U1569="","",INDEX(상세표[사번],$U1569)&amp;"")</f>
        <v/>
      </c>
      <c r="K1569">
        <f>IF($U1569="","",INDEX(상세표[성명],$U1569)&amp;"")</f>
        <v/>
      </c>
      <c r="L1569">
        <f>IF($U1569="","",INDEX(상세표[직위],$U1569)&amp;"")</f>
        <v/>
      </c>
      <c r="M1569">
        <f>IF($U1569="","",IF(ISNUMBER(INDEX(상세표[근무일자],$U1569)),TEXT(INDEX(상세표[근무일자],$U1569),"yyyy-mm-dd"),INDEX(상세표[근무일자],$U1569)&amp;""))</f>
        <v/>
      </c>
      <c r="N1569">
        <f>IF($U1569="","",IF(ISNUMBER(INDEX(상세표[시작],$U1569)),TEXT(INDEX(상세표[시작],$U1569),"yyyy-mm-dd hh:mm"),INDEX(상세표[시작],$U1569)&amp;""))</f>
        <v/>
      </c>
      <c r="O1569">
        <f>IF($U1569="","",IF(ISNUMBER(INDEX(상세표[종료],$U1569)),TEXT(INDEX(상세표[종료],$U1569),"yyyy-mm-dd hh:mm"),INDEX(상세표[종료],$U1569)&amp;""))</f>
        <v/>
      </c>
      <c r="P1569">
        <f>IF($U1569="","",INDEX(상세표[06~07시],$U1569))</f>
        <v/>
      </c>
      <c r="Q1569">
        <f>IF($U1569="","",INDEX(상세표[07~18시],$U1569))</f>
        <v/>
      </c>
      <c r="R1569">
        <f>IF($U1569="","",INDEX(상세표[18~22시],$U1569))</f>
        <v/>
      </c>
      <c r="S1569">
        <f>IF($U1569="","",INDEX(상세표[22~06시],$U1569))</f>
        <v/>
      </c>
      <c r="T1569">
        <f>IF($U1569="","",INDEX(상세표[기록 시간외],$U1569))</f>
        <v/>
      </c>
      <c r="U1569" s="4">
        <f>IFERROR(MATCH(1564,상세표[발송순번],0),"")</f>
        <v/>
      </c>
    </row>
    <row r="1570">
      <c r="J1570">
        <f>IF($U1570="","",INDEX(상세표[사번],$U1570)&amp;"")</f>
        <v/>
      </c>
      <c r="K1570">
        <f>IF($U1570="","",INDEX(상세표[성명],$U1570)&amp;"")</f>
        <v/>
      </c>
      <c r="L1570">
        <f>IF($U1570="","",INDEX(상세표[직위],$U1570)&amp;"")</f>
        <v/>
      </c>
      <c r="M1570">
        <f>IF($U1570="","",IF(ISNUMBER(INDEX(상세표[근무일자],$U1570)),TEXT(INDEX(상세표[근무일자],$U1570),"yyyy-mm-dd"),INDEX(상세표[근무일자],$U1570)&amp;""))</f>
        <v/>
      </c>
      <c r="N1570">
        <f>IF($U1570="","",IF(ISNUMBER(INDEX(상세표[시작],$U1570)),TEXT(INDEX(상세표[시작],$U1570),"yyyy-mm-dd hh:mm"),INDEX(상세표[시작],$U1570)&amp;""))</f>
        <v/>
      </c>
      <c r="O1570">
        <f>IF($U1570="","",IF(ISNUMBER(INDEX(상세표[종료],$U1570)),TEXT(INDEX(상세표[종료],$U1570),"yyyy-mm-dd hh:mm"),INDEX(상세표[종료],$U1570)&amp;""))</f>
        <v/>
      </c>
      <c r="P1570">
        <f>IF($U1570="","",INDEX(상세표[06~07시],$U1570))</f>
        <v/>
      </c>
      <c r="Q1570">
        <f>IF($U1570="","",INDEX(상세표[07~18시],$U1570))</f>
        <v/>
      </c>
      <c r="R1570">
        <f>IF($U1570="","",INDEX(상세표[18~22시],$U1570))</f>
        <v/>
      </c>
      <c r="S1570">
        <f>IF($U1570="","",INDEX(상세표[22~06시],$U1570))</f>
        <v/>
      </c>
      <c r="T1570">
        <f>IF($U1570="","",INDEX(상세표[기록 시간외],$U1570))</f>
        <v/>
      </c>
      <c r="U1570" s="4">
        <f>IFERROR(MATCH(1565,상세표[발송순번],0),"")</f>
        <v/>
      </c>
    </row>
    <row r="1571">
      <c r="J1571">
        <f>IF($U1571="","",INDEX(상세표[사번],$U1571)&amp;"")</f>
        <v/>
      </c>
      <c r="K1571">
        <f>IF($U1571="","",INDEX(상세표[성명],$U1571)&amp;"")</f>
        <v/>
      </c>
      <c r="L1571">
        <f>IF($U1571="","",INDEX(상세표[직위],$U1571)&amp;"")</f>
        <v/>
      </c>
      <c r="M1571">
        <f>IF($U1571="","",IF(ISNUMBER(INDEX(상세표[근무일자],$U1571)),TEXT(INDEX(상세표[근무일자],$U1571),"yyyy-mm-dd"),INDEX(상세표[근무일자],$U1571)&amp;""))</f>
        <v/>
      </c>
      <c r="N1571">
        <f>IF($U1571="","",IF(ISNUMBER(INDEX(상세표[시작],$U1571)),TEXT(INDEX(상세표[시작],$U1571),"yyyy-mm-dd hh:mm"),INDEX(상세표[시작],$U1571)&amp;""))</f>
        <v/>
      </c>
      <c r="O1571">
        <f>IF($U1571="","",IF(ISNUMBER(INDEX(상세표[종료],$U1571)),TEXT(INDEX(상세표[종료],$U1571),"yyyy-mm-dd hh:mm"),INDEX(상세표[종료],$U1571)&amp;""))</f>
        <v/>
      </c>
      <c r="P1571">
        <f>IF($U1571="","",INDEX(상세표[06~07시],$U1571))</f>
        <v/>
      </c>
      <c r="Q1571">
        <f>IF($U1571="","",INDEX(상세표[07~18시],$U1571))</f>
        <v/>
      </c>
      <c r="R1571">
        <f>IF($U1571="","",INDEX(상세표[18~22시],$U1571))</f>
        <v/>
      </c>
      <c r="S1571">
        <f>IF($U1571="","",INDEX(상세표[22~06시],$U1571))</f>
        <v/>
      </c>
      <c r="T1571">
        <f>IF($U1571="","",INDEX(상세표[기록 시간외],$U1571))</f>
        <v/>
      </c>
      <c r="U1571" s="4">
        <f>IFERROR(MATCH(1566,상세표[발송순번],0),"")</f>
        <v/>
      </c>
    </row>
    <row r="1572">
      <c r="J1572">
        <f>IF($U1572="","",INDEX(상세표[사번],$U1572)&amp;"")</f>
        <v/>
      </c>
      <c r="K1572">
        <f>IF($U1572="","",INDEX(상세표[성명],$U1572)&amp;"")</f>
        <v/>
      </c>
      <c r="L1572">
        <f>IF($U1572="","",INDEX(상세표[직위],$U1572)&amp;"")</f>
        <v/>
      </c>
      <c r="M1572">
        <f>IF($U1572="","",IF(ISNUMBER(INDEX(상세표[근무일자],$U1572)),TEXT(INDEX(상세표[근무일자],$U1572),"yyyy-mm-dd"),INDEX(상세표[근무일자],$U1572)&amp;""))</f>
        <v/>
      </c>
      <c r="N1572">
        <f>IF($U1572="","",IF(ISNUMBER(INDEX(상세표[시작],$U1572)),TEXT(INDEX(상세표[시작],$U1572),"yyyy-mm-dd hh:mm"),INDEX(상세표[시작],$U1572)&amp;""))</f>
        <v/>
      </c>
      <c r="O1572">
        <f>IF($U1572="","",IF(ISNUMBER(INDEX(상세표[종료],$U1572)),TEXT(INDEX(상세표[종료],$U1572),"yyyy-mm-dd hh:mm"),INDEX(상세표[종료],$U1572)&amp;""))</f>
        <v/>
      </c>
      <c r="P1572">
        <f>IF($U1572="","",INDEX(상세표[06~07시],$U1572))</f>
        <v/>
      </c>
      <c r="Q1572">
        <f>IF($U1572="","",INDEX(상세표[07~18시],$U1572))</f>
        <v/>
      </c>
      <c r="R1572">
        <f>IF($U1572="","",INDEX(상세표[18~22시],$U1572))</f>
        <v/>
      </c>
      <c r="S1572">
        <f>IF($U1572="","",INDEX(상세표[22~06시],$U1572))</f>
        <v/>
      </c>
      <c r="T1572">
        <f>IF($U1572="","",INDEX(상세표[기록 시간외],$U1572))</f>
        <v/>
      </c>
      <c r="U1572" s="4">
        <f>IFERROR(MATCH(1567,상세표[발송순번],0),"")</f>
        <v/>
      </c>
    </row>
    <row r="1573">
      <c r="J1573">
        <f>IF($U1573="","",INDEX(상세표[사번],$U1573)&amp;"")</f>
        <v/>
      </c>
      <c r="K1573">
        <f>IF($U1573="","",INDEX(상세표[성명],$U1573)&amp;"")</f>
        <v/>
      </c>
      <c r="L1573">
        <f>IF($U1573="","",INDEX(상세표[직위],$U1573)&amp;"")</f>
        <v/>
      </c>
      <c r="M1573">
        <f>IF($U1573="","",IF(ISNUMBER(INDEX(상세표[근무일자],$U1573)),TEXT(INDEX(상세표[근무일자],$U1573),"yyyy-mm-dd"),INDEX(상세표[근무일자],$U1573)&amp;""))</f>
        <v/>
      </c>
      <c r="N1573">
        <f>IF($U1573="","",IF(ISNUMBER(INDEX(상세표[시작],$U1573)),TEXT(INDEX(상세표[시작],$U1573),"yyyy-mm-dd hh:mm"),INDEX(상세표[시작],$U1573)&amp;""))</f>
        <v/>
      </c>
      <c r="O1573">
        <f>IF($U1573="","",IF(ISNUMBER(INDEX(상세표[종료],$U1573)),TEXT(INDEX(상세표[종료],$U1573),"yyyy-mm-dd hh:mm"),INDEX(상세표[종료],$U1573)&amp;""))</f>
        <v/>
      </c>
      <c r="P1573">
        <f>IF($U1573="","",INDEX(상세표[06~07시],$U1573))</f>
        <v/>
      </c>
      <c r="Q1573">
        <f>IF($U1573="","",INDEX(상세표[07~18시],$U1573))</f>
        <v/>
      </c>
      <c r="R1573">
        <f>IF($U1573="","",INDEX(상세표[18~22시],$U1573))</f>
        <v/>
      </c>
      <c r="S1573">
        <f>IF($U1573="","",INDEX(상세표[22~06시],$U1573))</f>
        <v/>
      </c>
      <c r="T1573">
        <f>IF($U1573="","",INDEX(상세표[기록 시간외],$U1573))</f>
        <v/>
      </c>
      <c r="U1573" s="4">
        <f>IFERROR(MATCH(1568,상세표[발송순번],0),"")</f>
        <v/>
      </c>
    </row>
    <row r="1574">
      <c r="J1574">
        <f>IF($U1574="","",INDEX(상세표[사번],$U1574)&amp;"")</f>
        <v/>
      </c>
      <c r="K1574">
        <f>IF($U1574="","",INDEX(상세표[성명],$U1574)&amp;"")</f>
        <v/>
      </c>
      <c r="L1574">
        <f>IF($U1574="","",INDEX(상세표[직위],$U1574)&amp;"")</f>
        <v/>
      </c>
      <c r="M1574">
        <f>IF($U1574="","",IF(ISNUMBER(INDEX(상세표[근무일자],$U1574)),TEXT(INDEX(상세표[근무일자],$U1574),"yyyy-mm-dd"),INDEX(상세표[근무일자],$U1574)&amp;""))</f>
        <v/>
      </c>
      <c r="N1574">
        <f>IF($U1574="","",IF(ISNUMBER(INDEX(상세표[시작],$U1574)),TEXT(INDEX(상세표[시작],$U1574),"yyyy-mm-dd hh:mm"),INDEX(상세표[시작],$U1574)&amp;""))</f>
        <v/>
      </c>
      <c r="O1574">
        <f>IF($U1574="","",IF(ISNUMBER(INDEX(상세표[종료],$U1574)),TEXT(INDEX(상세표[종료],$U1574),"yyyy-mm-dd hh:mm"),INDEX(상세표[종료],$U1574)&amp;""))</f>
        <v/>
      </c>
      <c r="P1574">
        <f>IF($U1574="","",INDEX(상세표[06~07시],$U1574))</f>
        <v/>
      </c>
      <c r="Q1574">
        <f>IF($U1574="","",INDEX(상세표[07~18시],$U1574))</f>
        <v/>
      </c>
      <c r="R1574">
        <f>IF($U1574="","",INDEX(상세표[18~22시],$U1574))</f>
        <v/>
      </c>
      <c r="S1574">
        <f>IF($U1574="","",INDEX(상세표[22~06시],$U1574))</f>
        <v/>
      </c>
      <c r="T1574">
        <f>IF($U1574="","",INDEX(상세표[기록 시간외],$U1574))</f>
        <v/>
      </c>
      <c r="U1574" s="4">
        <f>IFERROR(MATCH(1569,상세표[발송순번],0),"")</f>
        <v/>
      </c>
    </row>
    <row r="1575">
      <c r="J1575">
        <f>IF($U1575="","",INDEX(상세표[사번],$U1575)&amp;"")</f>
        <v/>
      </c>
      <c r="K1575">
        <f>IF($U1575="","",INDEX(상세표[성명],$U1575)&amp;"")</f>
        <v/>
      </c>
      <c r="L1575">
        <f>IF($U1575="","",INDEX(상세표[직위],$U1575)&amp;"")</f>
        <v/>
      </c>
      <c r="M1575">
        <f>IF($U1575="","",IF(ISNUMBER(INDEX(상세표[근무일자],$U1575)),TEXT(INDEX(상세표[근무일자],$U1575),"yyyy-mm-dd"),INDEX(상세표[근무일자],$U1575)&amp;""))</f>
        <v/>
      </c>
      <c r="N1575">
        <f>IF($U1575="","",IF(ISNUMBER(INDEX(상세표[시작],$U1575)),TEXT(INDEX(상세표[시작],$U1575),"yyyy-mm-dd hh:mm"),INDEX(상세표[시작],$U1575)&amp;""))</f>
        <v/>
      </c>
      <c r="O1575">
        <f>IF($U1575="","",IF(ISNUMBER(INDEX(상세표[종료],$U1575)),TEXT(INDEX(상세표[종료],$U1575),"yyyy-mm-dd hh:mm"),INDEX(상세표[종료],$U1575)&amp;""))</f>
        <v/>
      </c>
      <c r="P1575">
        <f>IF($U1575="","",INDEX(상세표[06~07시],$U1575))</f>
        <v/>
      </c>
      <c r="Q1575">
        <f>IF($U1575="","",INDEX(상세표[07~18시],$U1575))</f>
        <v/>
      </c>
      <c r="R1575">
        <f>IF($U1575="","",INDEX(상세표[18~22시],$U1575))</f>
        <v/>
      </c>
      <c r="S1575">
        <f>IF($U1575="","",INDEX(상세표[22~06시],$U1575))</f>
        <v/>
      </c>
      <c r="T1575">
        <f>IF($U1575="","",INDEX(상세표[기록 시간외],$U1575))</f>
        <v/>
      </c>
      <c r="U1575" s="4">
        <f>IFERROR(MATCH(1570,상세표[발송순번],0),"")</f>
        <v/>
      </c>
    </row>
    <row r="1576">
      <c r="J1576">
        <f>IF($U1576="","",INDEX(상세표[사번],$U1576)&amp;"")</f>
        <v/>
      </c>
      <c r="K1576">
        <f>IF($U1576="","",INDEX(상세표[성명],$U1576)&amp;"")</f>
        <v/>
      </c>
      <c r="L1576">
        <f>IF($U1576="","",INDEX(상세표[직위],$U1576)&amp;"")</f>
        <v/>
      </c>
      <c r="M1576">
        <f>IF($U1576="","",IF(ISNUMBER(INDEX(상세표[근무일자],$U1576)),TEXT(INDEX(상세표[근무일자],$U1576),"yyyy-mm-dd"),INDEX(상세표[근무일자],$U1576)&amp;""))</f>
        <v/>
      </c>
      <c r="N1576">
        <f>IF($U1576="","",IF(ISNUMBER(INDEX(상세표[시작],$U1576)),TEXT(INDEX(상세표[시작],$U1576),"yyyy-mm-dd hh:mm"),INDEX(상세표[시작],$U1576)&amp;""))</f>
        <v/>
      </c>
      <c r="O1576">
        <f>IF($U1576="","",IF(ISNUMBER(INDEX(상세표[종료],$U1576)),TEXT(INDEX(상세표[종료],$U1576),"yyyy-mm-dd hh:mm"),INDEX(상세표[종료],$U1576)&amp;""))</f>
        <v/>
      </c>
      <c r="P1576">
        <f>IF($U1576="","",INDEX(상세표[06~07시],$U1576))</f>
        <v/>
      </c>
      <c r="Q1576">
        <f>IF($U1576="","",INDEX(상세표[07~18시],$U1576))</f>
        <v/>
      </c>
      <c r="R1576">
        <f>IF($U1576="","",INDEX(상세표[18~22시],$U1576))</f>
        <v/>
      </c>
      <c r="S1576">
        <f>IF($U1576="","",INDEX(상세표[22~06시],$U1576))</f>
        <v/>
      </c>
      <c r="T1576">
        <f>IF($U1576="","",INDEX(상세표[기록 시간외],$U1576))</f>
        <v/>
      </c>
      <c r="U1576" s="4">
        <f>IFERROR(MATCH(1571,상세표[발송순번],0),"")</f>
        <v/>
      </c>
    </row>
    <row r="1577">
      <c r="J1577">
        <f>IF($U1577="","",INDEX(상세표[사번],$U1577)&amp;"")</f>
        <v/>
      </c>
      <c r="K1577">
        <f>IF($U1577="","",INDEX(상세표[성명],$U1577)&amp;"")</f>
        <v/>
      </c>
      <c r="L1577">
        <f>IF($U1577="","",INDEX(상세표[직위],$U1577)&amp;"")</f>
        <v/>
      </c>
      <c r="M1577">
        <f>IF($U1577="","",IF(ISNUMBER(INDEX(상세표[근무일자],$U1577)),TEXT(INDEX(상세표[근무일자],$U1577),"yyyy-mm-dd"),INDEX(상세표[근무일자],$U1577)&amp;""))</f>
        <v/>
      </c>
      <c r="N1577">
        <f>IF($U1577="","",IF(ISNUMBER(INDEX(상세표[시작],$U1577)),TEXT(INDEX(상세표[시작],$U1577),"yyyy-mm-dd hh:mm"),INDEX(상세표[시작],$U1577)&amp;""))</f>
        <v/>
      </c>
      <c r="O1577">
        <f>IF($U1577="","",IF(ISNUMBER(INDEX(상세표[종료],$U1577)),TEXT(INDEX(상세표[종료],$U1577),"yyyy-mm-dd hh:mm"),INDEX(상세표[종료],$U1577)&amp;""))</f>
        <v/>
      </c>
      <c r="P1577">
        <f>IF($U1577="","",INDEX(상세표[06~07시],$U1577))</f>
        <v/>
      </c>
      <c r="Q1577">
        <f>IF($U1577="","",INDEX(상세표[07~18시],$U1577))</f>
        <v/>
      </c>
      <c r="R1577">
        <f>IF($U1577="","",INDEX(상세표[18~22시],$U1577))</f>
        <v/>
      </c>
      <c r="S1577">
        <f>IF($U1577="","",INDEX(상세표[22~06시],$U1577))</f>
        <v/>
      </c>
      <c r="T1577">
        <f>IF($U1577="","",INDEX(상세표[기록 시간외],$U1577))</f>
        <v/>
      </c>
      <c r="U1577" s="4">
        <f>IFERROR(MATCH(1572,상세표[발송순번],0),"")</f>
        <v/>
      </c>
    </row>
    <row r="1578">
      <c r="J1578">
        <f>IF($U1578="","",INDEX(상세표[사번],$U1578)&amp;"")</f>
        <v/>
      </c>
      <c r="K1578">
        <f>IF($U1578="","",INDEX(상세표[성명],$U1578)&amp;"")</f>
        <v/>
      </c>
      <c r="L1578">
        <f>IF($U1578="","",INDEX(상세표[직위],$U1578)&amp;"")</f>
        <v/>
      </c>
      <c r="M1578">
        <f>IF($U1578="","",IF(ISNUMBER(INDEX(상세표[근무일자],$U1578)),TEXT(INDEX(상세표[근무일자],$U1578),"yyyy-mm-dd"),INDEX(상세표[근무일자],$U1578)&amp;""))</f>
        <v/>
      </c>
      <c r="N1578">
        <f>IF($U1578="","",IF(ISNUMBER(INDEX(상세표[시작],$U1578)),TEXT(INDEX(상세표[시작],$U1578),"yyyy-mm-dd hh:mm"),INDEX(상세표[시작],$U1578)&amp;""))</f>
        <v/>
      </c>
      <c r="O1578">
        <f>IF($U1578="","",IF(ISNUMBER(INDEX(상세표[종료],$U1578)),TEXT(INDEX(상세표[종료],$U1578),"yyyy-mm-dd hh:mm"),INDEX(상세표[종료],$U1578)&amp;""))</f>
        <v/>
      </c>
      <c r="P1578">
        <f>IF($U1578="","",INDEX(상세표[06~07시],$U1578))</f>
        <v/>
      </c>
      <c r="Q1578">
        <f>IF($U1578="","",INDEX(상세표[07~18시],$U1578))</f>
        <v/>
      </c>
      <c r="R1578">
        <f>IF($U1578="","",INDEX(상세표[18~22시],$U1578))</f>
        <v/>
      </c>
      <c r="S1578">
        <f>IF($U1578="","",INDEX(상세표[22~06시],$U1578))</f>
        <v/>
      </c>
      <c r="T1578">
        <f>IF($U1578="","",INDEX(상세표[기록 시간외],$U1578))</f>
        <v/>
      </c>
      <c r="U1578" s="4">
        <f>IFERROR(MATCH(1573,상세표[발송순번],0),"")</f>
        <v/>
      </c>
    </row>
    <row r="1579">
      <c r="J1579">
        <f>IF($U1579="","",INDEX(상세표[사번],$U1579)&amp;"")</f>
        <v/>
      </c>
      <c r="K1579">
        <f>IF($U1579="","",INDEX(상세표[성명],$U1579)&amp;"")</f>
        <v/>
      </c>
      <c r="L1579">
        <f>IF($U1579="","",INDEX(상세표[직위],$U1579)&amp;"")</f>
        <v/>
      </c>
      <c r="M1579">
        <f>IF($U1579="","",IF(ISNUMBER(INDEX(상세표[근무일자],$U1579)),TEXT(INDEX(상세표[근무일자],$U1579),"yyyy-mm-dd"),INDEX(상세표[근무일자],$U1579)&amp;""))</f>
        <v/>
      </c>
      <c r="N1579">
        <f>IF($U1579="","",IF(ISNUMBER(INDEX(상세표[시작],$U1579)),TEXT(INDEX(상세표[시작],$U1579),"yyyy-mm-dd hh:mm"),INDEX(상세표[시작],$U1579)&amp;""))</f>
        <v/>
      </c>
      <c r="O1579">
        <f>IF($U1579="","",IF(ISNUMBER(INDEX(상세표[종료],$U1579)),TEXT(INDEX(상세표[종료],$U1579),"yyyy-mm-dd hh:mm"),INDEX(상세표[종료],$U1579)&amp;""))</f>
        <v/>
      </c>
      <c r="P1579">
        <f>IF($U1579="","",INDEX(상세표[06~07시],$U1579))</f>
        <v/>
      </c>
      <c r="Q1579">
        <f>IF($U1579="","",INDEX(상세표[07~18시],$U1579))</f>
        <v/>
      </c>
      <c r="R1579">
        <f>IF($U1579="","",INDEX(상세표[18~22시],$U1579))</f>
        <v/>
      </c>
      <c r="S1579">
        <f>IF($U1579="","",INDEX(상세표[22~06시],$U1579))</f>
        <v/>
      </c>
      <c r="T1579">
        <f>IF($U1579="","",INDEX(상세표[기록 시간외],$U1579))</f>
        <v/>
      </c>
      <c r="U1579" s="4">
        <f>IFERROR(MATCH(1574,상세표[발송순번],0),"")</f>
        <v/>
      </c>
    </row>
    <row r="1580">
      <c r="J1580">
        <f>IF($U1580="","",INDEX(상세표[사번],$U1580)&amp;"")</f>
        <v/>
      </c>
      <c r="K1580">
        <f>IF($U1580="","",INDEX(상세표[성명],$U1580)&amp;"")</f>
        <v/>
      </c>
      <c r="L1580">
        <f>IF($U1580="","",INDEX(상세표[직위],$U1580)&amp;"")</f>
        <v/>
      </c>
      <c r="M1580">
        <f>IF($U1580="","",IF(ISNUMBER(INDEX(상세표[근무일자],$U1580)),TEXT(INDEX(상세표[근무일자],$U1580),"yyyy-mm-dd"),INDEX(상세표[근무일자],$U1580)&amp;""))</f>
        <v/>
      </c>
      <c r="N1580">
        <f>IF($U1580="","",IF(ISNUMBER(INDEX(상세표[시작],$U1580)),TEXT(INDEX(상세표[시작],$U1580),"yyyy-mm-dd hh:mm"),INDEX(상세표[시작],$U1580)&amp;""))</f>
        <v/>
      </c>
      <c r="O1580">
        <f>IF($U1580="","",IF(ISNUMBER(INDEX(상세표[종료],$U1580)),TEXT(INDEX(상세표[종료],$U1580),"yyyy-mm-dd hh:mm"),INDEX(상세표[종료],$U1580)&amp;""))</f>
        <v/>
      </c>
      <c r="P1580">
        <f>IF($U1580="","",INDEX(상세표[06~07시],$U1580))</f>
        <v/>
      </c>
      <c r="Q1580">
        <f>IF($U1580="","",INDEX(상세표[07~18시],$U1580))</f>
        <v/>
      </c>
      <c r="R1580">
        <f>IF($U1580="","",INDEX(상세표[18~22시],$U1580))</f>
        <v/>
      </c>
      <c r="S1580">
        <f>IF($U1580="","",INDEX(상세표[22~06시],$U1580))</f>
        <v/>
      </c>
      <c r="T1580">
        <f>IF($U1580="","",INDEX(상세표[기록 시간외],$U1580))</f>
        <v/>
      </c>
      <c r="U1580" s="4">
        <f>IFERROR(MATCH(1575,상세표[발송순번],0),"")</f>
        <v/>
      </c>
    </row>
    <row r="1581">
      <c r="J1581">
        <f>IF($U1581="","",INDEX(상세표[사번],$U1581)&amp;"")</f>
        <v/>
      </c>
      <c r="K1581">
        <f>IF($U1581="","",INDEX(상세표[성명],$U1581)&amp;"")</f>
        <v/>
      </c>
      <c r="L1581">
        <f>IF($U1581="","",INDEX(상세표[직위],$U1581)&amp;"")</f>
        <v/>
      </c>
      <c r="M1581">
        <f>IF($U1581="","",IF(ISNUMBER(INDEX(상세표[근무일자],$U1581)),TEXT(INDEX(상세표[근무일자],$U1581),"yyyy-mm-dd"),INDEX(상세표[근무일자],$U1581)&amp;""))</f>
        <v/>
      </c>
      <c r="N1581">
        <f>IF($U1581="","",IF(ISNUMBER(INDEX(상세표[시작],$U1581)),TEXT(INDEX(상세표[시작],$U1581),"yyyy-mm-dd hh:mm"),INDEX(상세표[시작],$U1581)&amp;""))</f>
        <v/>
      </c>
      <c r="O1581">
        <f>IF($U1581="","",IF(ISNUMBER(INDEX(상세표[종료],$U1581)),TEXT(INDEX(상세표[종료],$U1581),"yyyy-mm-dd hh:mm"),INDEX(상세표[종료],$U1581)&amp;""))</f>
        <v/>
      </c>
      <c r="P1581">
        <f>IF($U1581="","",INDEX(상세표[06~07시],$U1581))</f>
        <v/>
      </c>
      <c r="Q1581">
        <f>IF($U1581="","",INDEX(상세표[07~18시],$U1581))</f>
        <v/>
      </c>
      <c r="R1581">
        <f>IF($U1581="","",INDEX(상세표[18~22시],$U1581))</f>
        <v/>
      </c>
      <c r="S1581">
        <f>IF($U1581="","",INDEX(상세표[22~06시],$U1581))</f>
        <v/>
      </c>
      <c r="T1581">
        <f>IF($U1581="","",INDEX(상세표[기록 시간외],$U1581))</f>
        <v/>
      </c>
      <c r="U1581" s="4">
        <f>IFERROR(MATCH(1576,상세표[발송순번],0),"")</f>
        <v/>
      </c>
    </row>
    <row r="1582">
      <c r="J1582">
        <f>IF($U1582="","",INDEX(상세표[사번],$U1582)&amp;"")</f>
        <v/>
      </c>
      <c r="K1582">
        <f>IF($U1582="","",INDEX(상세표[성명],$U1582)&amp;"")</f>
        <v/>
      </c>
      <c r="L1582">
        <f>IF($U1582="","",INDEX(상세표[직위],$U1582)&amp;"")</f>
        <v/>
      </c>
      <c r="M1582">
        <f>IF($U1582="","",IF(ISNUMBER(INDEX(상세표[근무일자],$U1582)),TEXT(INDEX(상세표[근무일자],$U1582),"yyyy-mm-dd"),INDEX(상세표[근무일자],$U1582)&amp;""))</f>
        <v/>
      </c>
      <c r="N1582">
        <f>IF($U1582="","",IF(ISNUMBER(INDEX(상세표[시작],$U1582)),TEXT(INDEX(상세표[시작],$U1582),"yyyy-mm-dd hh:mm"),INDEX(상세표[시작],$U1582)&amp;""))</f>
        <v/>
      </c>
      <c r="O1582">
        <f>IF($U1582="","",IF(ISNUMBER(INDEX(상세표[종료],$U1582)),TEXT(INDEX(상세표[종료],$U1582),"yyyy-mm-dd hh:mm"),INDEX(상세표[종료],$U1582)&amp;""))</f>
        <v/>
      </c>
      <c r="P1582">
        <f>IF($U1582="","",INDEX(상세표[06~07시],$U1582))</f>
        <v/>
      </c>
      <c r="Q1582">
        <f>IF($U1582="","",INDEX(상세표[07~18시],$U1582))</f>
        <v/>
      </c>
      <c r="R1582">
        <f>IF($U1582="","",INDEX(상세표[18~22시],$U1582))</f>
        <v/>
      </c>
      <c r="S1582">
        <f>IF($U1582="","",INDEX(상세표[22~06시],$U1582))</f>
        <v/>
      </c>
      <c r="T1582">
        <f>IF($U1582="","",INDEX(상세표[기록 시간외],$U1582))</f>
        <v/>
      </c>
      <c r="U1582" s="4">
        <f>IFERROR(MATCH(1577,상세표[발송순번],0),"")</f>
        <v/>
      </c>
    </row>
    <row r="1583">
      <c r="J1583">
        <f>IF($U1583="","",INDEX(상세표[사번],$U1583)&amp;"")</f>
        <v/>
      </c>
      <c r="K1583">
        <f>IF($U1583="","",INDEX(상세표[성명],$U1583)&amp;"")</f>
        <v/>
      </c>
      <c r="L1583">
        <f>IF($U1583="","",INDEX(상세표[직위],$U1583)&amp;"")</f>
        <v/>
      </c>
      <c r="M1583">
        <f>IF($U1583="","",IF(ISNUMBER(INDEX(상세표[근무일자],$U1583)),TEXT(INDEX(상세표[근무일자],$U1583),"yyyy-mm-dd"),INDEX(상세표[근무일자],$U1583)&amp;""))</f>
        <v/>
      </c>
      <c r="N1583">
        <f>IF($U1583="","",IF(ISNUMBER(INDEX(상세표[시작],$U1583)),TEXT(INDEX(상세표[시작],$U1583),"yyyy-mm-dd hh:mm"),INDEX(상세표[시작],$U1583)&amp;""))</f>
        <v/>
      </c>
      <c r="O1583">
        <f>IF($U1583="","",IF(ISNUMBER(INDEX(상세표[종료],$U1583)),TEXT(INDEX(상세표[종료],$U1583),"yyyy-mm-dd hh:mm"),INDEX(상세표[종료],$U1583)&amp;""))</f>
        <v/>
      </c>
      <c r="P1583">
        <f>IF($U1583="","",INDEX(상세표[06~07시],$U1583))</f>
        <v/>
      </c>
      <c r="Q1583">
        <f>IF($U1583="","",INDEX(상세표[07~18시],$U1583))</f>
        <v/>
      </c>
      <c r="R1583">
        <f>IF($U1583="","",INDEX(상세표[18~22시],$U1583))</f>
        <v/>
      </c>
      <c r="S1583">
        <f>IF($U1583="","",INDEX(상세표[22~06시],$U1583))</f>
        <v/>
      </c>
      <c r="T1583">
        <f>IF($U1583="","",INDEX(상세표[기록 시간외],$U1583))</f>
        <v/>
      </c>
      <c r="U1583" s="4">
        <f>IFERROR(MATCH(1578,상세표[발송순번],0),"")</f>
        <v/>
      </c>
    </row>
    <row r="1584">
      <c r="J1584">
        <f>IF($U1584="","",INDEX(상세표[사번],$U1584)&amp;"")</f>
        <v/>
      </c>
      <c r="K1584">
        <f>IF($U1584="","",INDEX(상세표[성명],$U1584)&amp;"")</f>
        <v/>
      </c>
      <c r="L1584">
        <f>IF($U1584="","",INDEX(상세표[직위],$U1584)&amp;"")</f>
        <v/>
      </c>
      <c r="M1584">
        <f>IF($U1584="","",IF(ISNUMBER(INDEX(상세표[근무일자],$U1584)),TEXT(INDEX(상세표[근무일자],$U1584),"yyyy-mm-dd"),INDEX(상세표[근무일자],$U1584)&amp;""))</f>
        <v/>
      </c>
      <c r="N1584">
        <f>IF($U1584="","",IF(ISNUMBER(INDEX(상세표[시작],$U1584)),TEXT(INDEX(상세표[시작],$U1584),"yyyy-mm-dd hh:mm"),INDEX(상세표[시작],$U1584)&amp;""))</f>
        <v/>
      </c>
      <c r="O1584">
        <f>IF($U1584="","",IF(ISNUMBER(INDEX(상세표[종료],$U1584)),TEXT(INDEX(상세표[종료],$U1584),"yyyy-mm-dd hh:mm"),INDEX(상세표[종료],$U1584)&amp;""))</f>
        <v/>
      </c>
      <c r="P1584">
        <f>IF($U1584="","",INDEX(상세표[06~07시],$U1584))</f>
        <v/>
      </c>
      <c r="Q1584">
        <f>IF($U1584="","",INDEX(상세표[07~18시],$U1584))</f>
        <v/>
      </c>
      <c r="R1584">
        <f>IF($U1584="","",INDEX(상세표[18~22시],$U1584))</f>
        <v/>
      </c>
      <c r="S1584">
        <f>IF($U1584="","",INDEX(상세표[22~06시],$U1584))</f>
        <v/>
      </c>
      <c r="T1584">
        <f>IF($U1584="","",INDEX(상세표[기록 시간외],$U1584))</f>
        <v/>
      </c>
      <c r="U1584" s="4">
        <f>IFERROR(MATCH(1579,상세표[발송순번],0),"")</f>
        <v/>
      </c>
    </row>
    <row r="1585">
      <c r="J1585">
        <f>IF($U1585="","",INDEX(상세표[사번],$U1585)&amp;"")</f>
        <v/>
      </c>
      <c r="K1585">
        <f>IF($U1585="","",INDEX(상세표[성명],$U1585)&amp;"")</f>
        <v/>
      </c>
      <c r="L1585">
        <f>IF($U1585="","",INDEX(상세표[직위],$U1585)&amp;"")</f>
        <v/>
      </c>
      <c r="M1585">
        <f>IF($U1585="","",IF(ISNUMBER(INDEX(상세표[근무일자],$U1585)),TEXT(INDEX(상세표[근무일자],$U1585),"yyyy-mm-dd"),INDEX(상세표[근무일자],$U1585)&amp;""))</f>
        <v/>
      </c>
      <c r="N1585">
        <f>IF($U1585="","",IF(ISNUMBER(INDEX(상세표[시작],$U1585)),TEXT(INDEX(상세표[시작],$U1585),"yyyy-mm-dd hh:mm"),INDEX(상세표[시작],$U1585)&amp;""))</f>
        <v/>
      </c>
      <c r="O1585">
        <f>IF($U1585="","",IF(ISNUMBER(INDEX(상세표[종료],$U1585)),TEXT(INDEX(상세표[종료],$U1585),"yyyy-mm-dd hh:mm"),INDEX(상세표[종료],$U1585)&amp;""))</f>
        <v/>
      </c>
      <c r="P1585">
        <f>IF($U1585="","",INDEX(상세표[06~07시],$U1585))</f>
        <v/>
      </c>
      <c r="Q1585">
        <f>IF($U1585="","",INDEX(상세표[07~18시],$U1585))</f>
        <v/>
      </c>
      <c r="R1585">
        <f>IF($U1585="","",INDEX(상세표[18~22시],$U1585))</f>
        <v/>
      </c>
      <c r="S1585">
        <f>IF($U1585="","",INDEX(상세표[22~06시],$U1585))</f>
        <v/>
      </c>
      <c r="T1585">
        <f>IF($U1585="","",INDEX(상세표[기록 시간외],$U1585))</f>
        <v/>
      </c>
      <c r="U1585" s="4">
        <f>IFERROR(MATCH(1580,상세표[발송순번],0),"")</f>
        <v/>
      </c>
    </row>
    <row r="1586">
      <c r="J1586">
        <f>IF($U1586="","",INDEX(상세표[사번],$U1586)&amp;"")</f>
        <v/>
      </c>
      <c r="K1586">
        <f>IF($U1586="","",INDEX(상세표[성명],$U1586)&amp;"")</f>
        <v/>
      </c>
      <c r="L1586">
        <f>IF($U1586="","",INDEX(상세표[직위],$U1586)&amp;"")</f>
        <v/>
      </c>
      <c r="M1586">
        <f>IF($U1586="","",IF(ISNUMBER(INDEX(상세표[근무일자],$U1586)),TEXT(INDEX(상세표[근무일자],$U1586),"yyyy-mm-dd"),INDEX(상세표[근무일자],$U1586)&amp;""))</f>
        <v/>
      </c>
      <c r="N1586">
        <f>IF($U1586="","",IF(ISNUMBER(INDEX(상세표[시작],$U1586)),TEXT(INDEX(상세표[시작],$U1586),"yyyy-mm-dd hh:mm"),INDEX(상세표[시작],$U1586)&amp;""))</f>
        <v/>
      </c>
      <c r="O1586">
        <f>IF($U1586="","",IF(ISNUMBER(INDEX(상세표[종료],$U1586)),TEXT(INDEX(상세표[종료],$U1586),"yyyy-mm-dd hh:mm"),INDEX(상세표[종료],$U1586)&amp;""))</f>
        <v/>
      </c>
      <c r="P1586">
        <f>IF($U1586="","",INDEX(상세표[06~07시],$U1586))</f>
        <v/>
      </c>
      <c r="Q1586">
        <f>IF($U1586="","",INDEX(상세표[07~18시],$U1586))</f>
        <v/>
      </c>
      <c r="R1586">
        <f>IF($U1586="","",INDEX(상세표[18~22시],$U1586))</f>
        <v/>
      </c>
      <c r="S1586">
        <f>IF($U1586="","",INDEX(상세표[22~06시],$U1586))</f>
        <v/>
      </c>
      <c r="T1586">
        <f>IF($U1586="","",INDEX(상세표[기록 시간외],$U1586))</f>
        <v/>
      </c>
      <c r="U1586" s="4">
        <f>IFERROR(MATCH(1581,상세표[발송순번],0),"")</f>
        <v/>
      </c>
    </row>
    <row r="1587">
      <c r="J1587">
        <f>IF($U1587="","",INDEX(상세표[사번],$U1587)&amp;"")</f>
        <v/>
      </c>
      <c r="K1587">
        <f>IF($U1587="","",INDEX(상세표[성명],$U1587)&amp;"")</f>
        <v/>
      </c>
      <c r="L1587">
        <f>IF($U1587="","",INDEX(상세표[직위],$U1587)&amp;"")</f>
        <v/>
      </c>
      <c r="M1587">
        <f>IF($U1587="","",IF(ISNUMBER(INDEX(상세표[근무일자],$U1587)),TEXT(INDEX(상세표[근무일자],$U1587),"yyyy-mm-dd"),INDEX(상세표[근무일자],$U1587)&amp;""))</f>
        <v/>
      </c>
      <c r="N1587">
        <f>IF($U1587="","",IF(ISNUMBER(INDEX(상세표[시작],$U1587)),TEXT(INDEX(상세표[시작],$U1587),"yyyy-mm-dd hh:mm"),INDEX(상세표[시작],$U1587)&amp;""))</f>
        <v/>
      </c>
      <c r="O1587">
        <f>IF($U1587="","",IF(ISNUMBER(INDEX(상세표[종료],$U1587)),TEXT(INDEX(상세표[종료],$U1587),"yyyy-mm-dd hh:mm"),INDEX(상세표[종료],$U1587)&amp;""))</f>
        <v/>
      </c>
      <c r="P1587">
        <f>IF($U1587="","",INDEX(상세표[06~07시],$U1587))</f>
        <v/>
      </c>
      <c r="Q1587">
        <f>IF($U1587="","",INDEX(상세표[07~18시],$U1587))</f>
        <v/>
      </c>
      <c r="R1587">
        <f>IF($U1587="","",INDEX(상세표[18~22시],$U1587))</f>
        <v/>
      </c>
      <c r="S1587">
        <f>IF($U1587="","",INDEX(상세표[22~06시],$U1587))</f>
        <v/>
      </c>
      <c r="T1587">
        <f>IF($U1587="","",INDEX(상세표[기록 시간외],$U1587))</f>
        <v/>
      </c>
      <c r="U1587" s="4">
        <f>IFERROR(MATCH(1582,상세표[발송순번],0),"")</f>
        <v/>
      </c>
    </row>
    <row r="1588">
      <c r="J1588">
        <f>IF($U1588="","",INDEX(상세표[사번],$U1588)&amp;"")</f>
        <v/>
      </c>
      <c r="K1588">
        <f>IF($U1588="","",INDEX(상세표[성명],$U1588)&amp;"")</f>
        <v/>
      </c>
      <c r="L1588">
        <f>IF($U1588="","",INDEX(상세표[직위],$U1588)&amp;"")</f>
        <v/>
      </c>
      <c r="M1588">
        <f>IF($U1588="","",IF(ISNUMBER(INDEX(상세표[근무일자],$U1588)),TEXT(INDEX(상세표[근무일자],$U1588),"yyyy-mm-dd"),INDEX(상세표[근무일자],$U1588)&amp;""))</f>
        <v/>
      </c>
      <c r="N1588">
        <f>IF($U1588="","",IF(ISNUMBER(INDEX(상세표[시작],$U1588)),TEXT(INDEX(상세표[시작],$U1588),"yyyy-mm-dd hh:mm"),INDEX(상세표[시작],$U1588)&amp;""))</f>
        <v/>
      </c>
      <c r="O1588">
        <f>IF($U1588="","",IF(ISNUMBER(INDEX(상세표[종료],$U1588)),TEXT(INDEX(상세표[종료],$U1588),"yyyy-mm-dd hh:mm"),INDEX(상세표[종료],$U1588)&amp;""))</f>
        <v/>
      </c>
      <c r="P1588">
        <f>IF($U1588="","",INDEX(상세표[06~07시],$U1588))</f>
        <v/>
      </c>
      <c r="Q1588">
        <f>IF($U1588="","",INDEX(상세표[07~18시],$U1588))</f>
        <v/>
      </c>
      <c r="R1588">
        <f>IF($U1588="","",INDEX(상세표[18~22시],$U1588))</f>
        <v/>
      </c>
      <c r="S1588">
        <f>IF($U1588="","",INDEX(상세표[22~06시],$U1588))</f>
        <v/>
      </c>
      <c r="T1588">
        <f>IF($U1588="","",INDEX(상세표[기록 시간외],$U1588))</f>
        <v/>
      </c>
      <c r="U1588" s="4">
        <f>IFERROR(MATCH(1583,상세표[발송순번],0),"")</f>
        <v/>
      </c>
    </row>
    <row r="1589">
      <c r="J1589">
        <f>IF($U1589="","",INDEX(상세표[사번],$U1589)&amp;"")</f>
        <v/>
      </c>
      <c r="K1589">
        <f>IF($U1589="","",INDEX(상세표[성명],$U1589)&amp;"")</f>
        <v/>
      </c>
      <c r="L1589">
        <f>IF($U1589="","",INDEX(상세표[직위],$U1589)&amp;"")</f>
        <v/>
      </c>
      <c r="M1589">
        <f>IF($U1589="","",IF(ISNUMBER(INDEX(상세표[근무일자],$U1589)),TEXT(INDEX(상세표[근무일자],$U1589),"yyyy-mm-dd"),INDEX(상세표[근무일자],$U1589)&amp;""))</f>
        <v/>
      </c>
      <c r="N1589">
        <f>IF($U1589="","",IF(ISNUMBER(INDEX(상세표[시작],$U1589)),TEXT(INDEX(상세표[시작],$U1589),"yyyy-mm-dd hh:mm"),INDEX(상세표[시작],$U1589)&amp;""))</f>
        <v/>
      </c>
      <c r="O1589">
        <f>IF($U1589="","",IF(ISNUMBER(INDEX(상세표[종료],$U1589)),TEXT(INDEX(상세표[종료],$U1589),"yyyy-mm-dd hh:mm"),INDEX(상세표[종료],$U1589)&amp;""))</f>
        <v/>
      </c>
      <c r="P1589">
        <f>IF($U1589="","",INDEX(상세표[06~07시],$U1589))</f>
        <v/>
      </c>
      <c r="Q1589">
        <f>IF($U1589="","",INDEX(상세표[07~18시],$U1589))</f>
        <v/>
      </c>
      <c r="R1589">
        <f>IF($U1589="","",INDEX(상세표[18~22시],$U1589))</f>
        <v/>
      </c>
      <c r="S1589">
        <f>IF($U1589="","",INDEX(상세표[22~06시],$U1589))</f>
        <v/>
      </c>
      <c r="T1589">
        <f>IF($U1589="","",INDEX(상세표[기록 시간외],$U1589))</f>
        <v/>
      </c>
      <c r="U1589" s="4">
        <f>IFERROR(MATCH(1584,상세표[발송순번],0),"")</f>
        <v/>
      </c>
    </row>
    <row r="1590">
      <c r="J1590">
        <f>IF($U1590="","",INDEX(상세표[사번],$U1590)&amp;"")</f>
        <v/>
      </c>
      <c r="K1590">
        <f>IF($U1590="","",INDEX(상세표[성명],$U1590)&amp;"")</f>
        <v/>
      </c>
      <c r="L1590">
        <f>IF($U1590="","",INDEX(상세표[직위],$U1590)&amp;"")</f>
        <v/>
      </c>
      <c r="M1590">
        <f>IF($U1590="","",IF(ISNUMBER(INDEX(상세표[근무일자],$U1590)),TEXT(INDEX(상세표[근무일자],$U1590),"yyyy-mm-dd"),INDEX(상세표[근무일자],$U1590)&amp;""))</f>
        <v/>
      </c>
      <c r="N1590">
        <f>IF($U1590="","",IF(ISNUMBER(INDEX(상세표[시작],$U1590)),TEXT(INDEX(상세표[시작],$U1590),"yyyy-mm-dd hh:mm"),INDEX(상세표[시작],$U1590)&amp;""))</f>
        <v/>
      </c>
      <c r="O1590">
        <f>IF($U1590="","",IF(ISNUMBER(INDEX(상세표[종료],$U1590)),TEXT(INDEX(상세표[종료],$U1590),"yyyy-mm-dd hh:mm"),INDEX(상세표[종료],$U1590)&amp;""))</f>
        <v/>
      </c>
      <c r="P1590">
        <f>IF($U1590="","",INDEX(상세표[06~07시],$U1590))</f>
        <v/>
      </c>
      <c r="Q1590">
        <f>IF($U1590="","",INDEX(상세표[07~18시],$U1590))</f>
        <v/>
      </c>
      <c r="R1590">
        <f>IF($U1590="","",INDEX(상세표[18~22시],$U1590))</f>
        <v/>
      </c>
      <c r="S1590">
        <f>IF($U1590="","",INDEX(상세표[22~06시],$U1590))</f>
        <v/>
      </c>
      <c r="T1590">
        <f>IF($U1590="","",INDEX(상세표[기록 시간외],$U1590))</f>
        <v/>
      </c>
      <c r="U1590" s="4">
        <f>IFERROR(MATCH(1585,상세표[발송순번],0),"")</f>
        <v/>
      </c>
    </row>
    <row r="1591">
      <c r="J1591">
        <f>IF($U1591="","",INDEX(상세표[사번],$U1591)&amp;"")</f>
        <v/>
      </c>
      <c r="K1591">
        <f>IF($U1591="","",INDEX(상세표[성명],$U1591)&amp;"")</f>
        <v/>
      </c>
      <c r="L1591">
        <f>IF($U1591="","",INDEX(상세표[직위],$U1591)&amp;"")</f>
        <v/>
      </c>
      <c r="M1591">
        <f>IF($U1591="","",IF(ISNUMBER(INDEX(상세표[근무일자],$U1591)),TEXT(INDEX(상세표[근무일자],$U1591),"yyyy-mm-dd"),INDEX(상세표[근무일자],$U1591)&amp;""))</f>
        <v/>
      </c>
      <c r="N1591">
        <f>IF($U1591="","",IF(ISNUMBER(INDEX(상세표[시작],$U1591)),TEXT(INDEX(상세표[시작],$U1591),"yyyy-mm-dd hh:mm"),INDEX(상세표[시작],$U1591)&amp;""))</f>
        <v/>
      </c>
      <c r="O1591">
        <f>IF($U1591="","",IF(ISNUMBER(INDEX(상세표[종료],$U1591)),TEXT(INDEX(상세표[종료],$U1591),"yyyy-mm-dd hh:mm"),INDEX(상세표[종료],$U1591)&amp;""))</f>
        <v/>
      </c>
      <c r="P1591">
        <f>IF($U1591="","",INDEX(상세표[06~07시],$U1591))</f>
        <v/>
      </c>
      <c r="Q1591">
        <f>IF($U1591="","",INDEX(상세표[07~18시],$U1591))</f>
        <v/>
      </c>
      <c r="R1591">
        <f>IF($U1591="","",INDEX(상세표[18~22시],$U1591))</f>
        <v/>
      </c>
      <c r="S1591">
        <f>IF($U1591="","",INDEX(상세표[22~06시],$U1591))</f>
        <v/>
      </c>
      <c r="T1591">
        <f>IF($U1591="","",INDEX(상세표[기록 시간외],$U1591))</f>
        <v/>
      </c>
      <c r="U1591" s="4">
        <f>IFERROR(MATCH(1586,상세표[발송순번],0),"")</f>
        <v/>
      </c>
    </row>
    <row r="1592">
      <c r="J1592">
        <f>IF($U1592="","",INDEX(상세표[사번],$U1592)&amp;"")</f>
        <v/>
      </c>
      <c r="K1592">
        <f>IF($U1592="","",INDEX(상세표[성명],$U1592)&amp;"")</f>
        <v/>
      </c>
      <c r="L1592">
        <f>IF($U1592="","",INDEX(상세표[직위],$U1592)&amp;"")</f>
        <v/>
      </c>
      <c r="M1592">
        <f>IF($U1592="","",IF(ISNUMBER(INDEX(상세표[근무일자],$U1592)),TEXT(INDEX(상세표[근무일자],$U1592),"yyyy-mm-dd"),INDEX(상세표[근무일자],$U1592)&amp;""))</f>
        <v/>
      </c>
      <c r="N1592">
        <f>IF($U1592="","",IF(ISNUMBER(INDEX(상세표[시작],$U1592)),TEXT(INDEX(상세표[시작],$U1592),"yyyy-mm-dd hh:mm"),INDEX(상세표[시작],$U1592)&amp;""))</f>
        <v/>
      </c>
      <c r="O1592">
        <f>IF($U1592="","",IF(ISNUMBER(INDEX(상세표[종료],$U1592)),TEXT(INDEX(상세표[종료],$U1592),"yyyy-mm-dd hh:mm"),INDEX(상세표[종료],$U1592)&amp;""))</f>
        <v/>
      </c>
      <c r="P1592">
        <f>IF($U1592="","",INDEX(상세표[06~07시],$U1592))</f>
        <v/>
      </c>
      <c r="Q1592">
        <f>IF($U1592="","",INDEX(상세표[07~18시],$U1592))</f>
        <v/>
      </c>
      <c r="R1592">
        <f>IF($U1592="","",INDEX(상세표[18~22시],$U1592))</f>
        <v/>
      </c>
      <c r="S1592">
        <f>IF($U1592="","",INDEX(상세표[22~06시],$U1592))</f>
        <v/>
      </c>
      <c r="T1592">
        <f>IF($U1592="","",INDEX(상세표[기록 시간외],$U1592))</f>
        <v/>
      </c>
      <c r="U1592" s="4">
        <f>IFERROR(MATCH(1587,상세표[발송순번],0),"")</f>
        <v/>
      </c>
    </row>
    <row r="1593">
      <c r="J1593">
        <f>IF($U1593="","",INDEX(상세표[사번],$U1593)&amp;"")</f>
        <v/>
      </c>
      <c r="K1593">
        <f>IF($U1593="","",INDEX(상세표[성명],$U1593)&amp;"")</f>
        <v/>
      </c>
      <c r="L1593">
        <f>IF($U1593="","",INDEX(상세표[직위],$U1593)&amp;"")</f>
        <v/>
      </c>
      <c r="M1593">
        <f>IF($U1593="","",IF(ISNUMBER(INDEX(상세표[근무일자],$U1593)),TEXT(INDEX(상세표[근무일자],$U1593),"yyyy-mm-dd"),INDEX(상세표[근무일자],$U1593)&amp;""))</f>
        <v/>
      </c>
      <c r="N1593">
        <f>IF($U1593="","",IF(ISNUMBER(INDEX(상세표[시작],$U1593)),TEXT(INDEX(상세표[시작],$U1593),"yyyy-mm-dd hh:mm"),INDEX(상세표[시작],$U1593)&amp;""))</f>
        <v/>
      </c>
      <c r="O1593">
        <f>IF($U1593="","",IF(ISNUMBER(INDEX(상세표[종료],$U1593)),TEXT(INDEX(상세표[종료],$U1593),"yyyy-mm-dd hh:mm"),INDEX(상세표[종료],$U1593)&amp;""))</f>
        <v/>
      </c>
      <c r="P1593">
        <f>IF($U1593="","",INDEX(상세표[06~07시],$U1593))</f>
        <v/>
      </c>
      <c r="Q1593">
        <f>IF($U1593="","",INDEX(상세표[07~18시],$U1593))</f>
        <v/>
      </c>
      <c r="R1593">
        <f>IF($U1593="","",INDEX(상세표[18~22시],$U1593))</f>
        <v/>
      </c>
      <c r="S1593">
        <f>IF($U1593="","",INDEX(상세표[22~06시],$U1593))</f>
        <v/>
      </c>
      <c r="T1593">
        <f>IF($U1593="","",INDEX(상세표[기록 시간외],$U1593))</f>
        <v/>
      </c>
      <c r="U1593" s="4">
        <f>IFERROR(MATCH(1588,상세표[발송순번],0),"")</f>
        <v/>
      </c>
    </row>
    <row r="1594">
      <c r="J1594">
        <f>IF($U1594="","",INDEX(상세표[사번],$U1594)&amp;"")</f>
        <v/>
      </c>
      <c r="K1594">
        <f>IF($U1594="","",INDEX(상세표[성명],$U1594)&amp;"")</f>
        <v/>
      </c>
      <c r="L1594">
        <f>IF($U1594="","",INDEX(상세표[직위],$U1594)&amp;"")</f>
        <v/>
      </c>
      <c r="M1594">
        <f>IF($U1594="","",IF(ISNUMBER(INDEX(상세표[근무일자],$U1594)),TEXT(INDEX(상세표[근무일자],$U1594),"yyyy-mm-dd"),INDEX(상세표[근무일자],$U1594)&amp;""))</f>
        <v/>
      </c>
      <c r="N1594">
        <f>IF($U1594="","",IF(ISNUMBER(INDEX(상세표[시작],$U1594)),TEXT(INDEX(상세표[시작],$U1594),"yyyy-mm-dd hh:mm"),INDEX(상세표[시작],$U1594)&amp;""))</f>
        <v/>
      </c>
      <c r="O1594">
        <f>IF($U1594="","",IF(ISNUMBER(INDEX(상세표[종료],$U1594)),TEXT(INDEX(상세표[종료],$U1594),"yyyy-mm-dd hh:mm"),INDEX(상세표[종료],$U1594)&amp;""))</f>
        <v/>
      </c>
      <c r="P1594">
        <f>IF($U1594="","",INDEX(상세표[06~07시],$U1594))</f>
        <v/>
      </c>
      <c r="Q1594">
        <f>IF($U1594="","",INDEX(상세표[07~18시],$U1594))</f>
        <v/>
      </c>
      <c r="R1594">
        <f>IF($U1594="","",INDEX(상세표[18~22시],$U1594))</f>
        <v/>
      </c>
      <c r="S1594">
        <f>IF($U1594="","",INDEX(상세표[22~06시],$U1594))</f>
        <v/>
      </c>
      <c r="T1594">
        <f>IF($U1594="","",INDEX(상세표[기록 시간외],$U1594))</f>
        <v/>
      </c>
      <c r="U1594" s="4">
        <f>IFERROR(MATCH(1589,상세표[발송순번],0),"")</f>
        <v/>
      </c>
    </row>
    <row r="1595">
      <c r="J1595">
        <f>IF($U1595="","",INDEX(상세표[사번],$U1595)&amp;"")</f>
        <v/>
      </c>
      <c r="K1595">
        <f>IF($U1595="","",INDEX(상세표[성명],$U1595)&amp;"")</f>
        <v/>
      </c>
      <c r="L1595">
        <f>IF($U1595="","",INDEX(상세표[직위],$U1595)&amp;"")</f>
        <v/>
      </c>
      <c r="M1595">
        <f>IF($U1595="","",IF(ISNUMBER(INDEX(상세표[근무일자],$U1595)),TEXT(INDEX(상세표[근무일자],$U1595),"yyyy-mm-dd"),INDEX(상세표[근무일자],$U1595)&amp;""))</f>
        <v/>
      </c>
      <c r="N1595">
        <f>IF($U1595="","",IF(ISNUMBER(INDEX(상세표[시작],$U1595)),TEXT(INDEX(상세표[시작],$U1595),"yyyy-mm-dd hh:mm"),INDEX(상세표[시작],$U1595)&amp;""))</f>
        <v/>
      </c>
      <c r="O1595">
        <f>IF($U1595="","",IF(ISNUMBER(INDEX(상세표[종료],$U1595)),TEXT(INDEX(상세표[종료],$U1595),"yyyy-mm-dd hh:mm"),INDEX(상세표[종료],$U1595)&amp;""))</f>
        <v/>
      </c>
      <c r="P1595">
        <f>IF($U1595="","",INDEX(상세표[06~07시],$U1595))</f>
        <v/>
      </c>
      <c r="Q1595">
        <f>IF($U1595="","",INDEX(상세표[07~18시],$U1595))</f>
        <v/>
      </c>
      <c r="R1595">
        <f>IF($U1595="","",INDEX(상세표[18~22시],$U1595))</f>
        <v/>
      </c>
      <c r="S1595">
        <f>IF($U1595="","",INDEX(상세표[22~06시],$U1595))</f>
        <v/>
      </c>
      <c r="T1595">
        <f>IF($U1595="","",INDEX(상세표[기록 시간외],$U1595))</f>
        <v/>
      </c>
      <c r="U1595" s="4">
        <f>IFERROR(MATCH(1590,상세표[발송순번],0),"")</f>
        <v/>
      </c>
    </row>
    <row r="1596">
      <c r="J1596">
        <f>IF($U1596="","",INDEX(상세표[사번],$U1596)&amp;"")</f>
        <v/>
      </c>
      <c r="K1596">
        <f>IF($U1596="","",INDEX(상세표[성명],$U1596)&amp;"")</f>
        <v/>
      </c>
      <c r="L1596">
        <f>IF($U1596="","",INDEX(상세표[직위],$U1596)&amp;"")</f>
        <v/>
      </c>
      <c r="M1596">
        <f>IF($U1596="","",IF(ISNUMBER(INDEX(상세표[근무일자],$U1596)),TEXT(INDEX(상세표[근무일자],$U1596),"yyyy-mm-dd"),INDEX(상세표[근무일자],$U1596)&amp;""))</f>
        <v/>
      </c>
      <c r="N1596">
        <f>IF($U1596="","",IF(ISNUMBER(INDEX(상세표[시작],$U1596)),TEXT(INDEX(상세표[시작],$U1596),"yyyy-mm-dd hh:mm"),INDEX(상세표[시작],$U1596)&amp;""))</f>
        <v/>
      </c>
      <c r="O1596">
        <f>IF($U1596="","",IF(ISNUMBER(INDEX(상세표[종료],$U1596)),TEXT(INDEX(상세표[종료],$U1596),"yyyy-mm-dd hh:mm"),INDEX(상세표[종료],$U1596)&amp;""))</f>
        <v/>
      </c>
      <c r="P1596">
        <f>IF($U1596="","",INDEX(상세표[06~07시],$U1596))</f>
        <v/>
      </c>
      <c r="Q1596">
        <f>IF($U1596="","",INDEX(상세표[07~18시],$U1596))</f>
        <v/>
      </c>
      <c r="R1596">
        <f>IF($U1596="","",INDEX(상세표[18~22시],$U1596))</f>
        <v/>
      </c>
      <c r="S1596">
        <f>IF($U1596="","",INDEX(상세표[22~06시],$U1596))</f>
        <v/>
      </c>
      <c r="T1596">
        <f>IF($U1596="","",INDEX(상세표[기록 시간외],$U1596))</f>
        <v/>
      </c>
      <c r="U1596" s="4">
        <f>IFERROR(MATCH(1591,상세표[발송순번],0),"")</f>
        <v/>
      </c>
    </row>
    <row r="1597">
      <c r="J1597">
        <f>IF($U1597="","",INDEX(상세표[사번],$U1597)&amp;"")</f>
        <v/>
      </c>
      <c r="K1597">
        <f>IF($U1597="","",INDEX(상세표[성명],$U1597)&amp;"")</f>
        <v/>
      </c>
      <c r="L1597">
        <f>IF($U1597="","",INDEX(상세표[직위],$U1597)&amp;"")</f>
        <v/>
      </c>
      <c r="M1597">
        <f>IF($U1597="","",IF(ISNUMBER(INDEX(상세표[근무일자],$U1597)),TEXT(INDEX(상세표[근무일자],$U1597),"yyyy-mm-dd"),INDEX(상세표[근무일자],$U1597)&amp;""))</f>
        <v/>
      </c>
      <c r="N1597">
        <f>IF($U1597="","",IF(ISNUMBER(INDEX(상세표[시작],$U1597)),TEXT(INDEX(상세표[시작],$U1597),"yyyy-mm-dd hh:mm"),INDEX(상세표[시작],$U1597)&amp;""))</f>
        <v/>
      </c>
      <c r="O1597">
        <f>IF($U1597="","",IF(ISNUMBER(INDEX(상세표[종료],$U1597)),TEXT(INDEX(상세표[종료],$U1597),"yyyy-mm-dd hh:mm"),INDEX(상세표[종료],$U1597)&amp;""))</f>
        <v/>
      </c>
      <c r="P1597">
        <f>IF($U1597="","",INDEX(상세표[06~07시],$U1597))</f>
        <v/>
      </c>
      <c r="Q1597">
        <f>IF($U1597="","",INDEX(상세표[07~18시],$U1597))</f>
        <v/>
      </c>
      <c r="R1597">
        <f>IF($U1597="","",INDEX(상세표[18~22시],$U1597))</f>
        <v/>
      </c>
      <c r="S1597">
        <f>IF($U1597="","",INDEX(상세표[22~06시],$U1597))</f>
        <v/>
      </c>
      <c r="T1597">
        <f>IF($U1597="","",INDEX(상세표[기록 시간외],$U1597))</f>
        <v/>
      </c>
      <c r="U1597" s="4">
        <f>IFERROR(MATCH(1592,상세표[발송순번],0),"")</f>
        <v/>
      </c>
    </row>
    <row r="1598">
      <c r="J1598">
        <f>IF($U1598="","",INDEX(상세표[사번],$U1598)&amp;"")</f>
        <v/>
      </c>
      <c r="K1598">
        <f>IF($U1598="","",INDEX(상세표[성명],$U1598)&amp;"")</f>
        <v/>
      </c>
      <c r="L1598">
        <f>IF($U1598="","",INDEX(상세표[직위],$U1598)&amp;"")</f>
        <v/>
      </c>
      <c r="M1598">
        <f>IF($U1598="","",IF(ISNUMBER(INDEX(상세표[근무일자],$U1598)),TEXT(INDEX(상세표[근무일자],$U1598),"yyyy-mm-dd"),INDEX(상세표[근무일자],$U1598)&amp;""))</f>
        <v/>
      </c>
      <c r="N1598">
        <f>IF($U1598="","",IF(ISNUMBER(INDEX(상세표[시작],$U1598)),TEXT(INDEX(상세표[시작],$U1598),"yyyy-mm-dd hh:mm"),INDEX(상세표[시작],$U1598)&amp;""))</f>
        <v/>
      </c>
      <c r="O1598">
        <f>IF($U1598="","",IF(ISNUMBER(INDEX(상세표[종료],$U1598)),TEXT(INDEX(상세표[종료],$U1598),"yyyy-mm-dd hh:mm"),INDEX(상세표[종료],$U1598)&amp;""))</f>
        <v/>
      </c>
      <c r="P1598">
        <f>IF($U1598="","",INDEX(상세표[06~07시],$U1598))</f>
        <v/>
      </c>
      <c r="Q1598">
        <f>IF($U1598="","",INDEX(상세표[07~18시],$U1598))</f>
        <v/>
      </c>
      <c r="R1598">
        <f>IF($U1598="","",INDEX(상세표[18~22시],$U1598))</f>
        <v/>
      </c>
      <c r="S1598">
        <f>IF($U1598="","",INDEX(상세표[22~06시],$U1598))</f>
        <v/>
      </c>
      <c r="T1598">
        <f>IF($U1598="","",INDEX(상세표[기록 시간외],$U1598))</f>
        <v/>
      </c>
      <c r="U1598" s="4">
        <f>IFERROR(MATCH(1593,상세표[발송순번],0),"")</f>
        <v/>
      </c>
    </row>
    <row r="1599">
      <c r="J1599">
        <f>IF($U1599="","",INDEX(상세표[사번],$U1599)&amp;"")</f>
        <v/>
      </c>
      <c r="K1599">
        <f>IF($U1599="","",INDEX(상세표[성명],$U1599)&amp;"")</f>
        <v/>
      </c>
      <c r="L1599">
        <f>IF($U1599="","",INDEX(상세표[직위],$U1599)&amp;"")</f>
        <v/>
      </c>
      <c r="M1599">
        <f>IF($U1599="","",IF(ISNUMBER(INDEX(상세표[근무일자],$U1599)),TEXT(INDEX(상세표[근무일자],$U1599),"yyyy-mm-dd"),INDEX(상세표[근무일자],$U1599)&amp;""))</f>
        <v/>
      </c>
      <c r="N1599">
        <f>IF($U1599="","",IF(ISNUMBER(INDEX(상세표[시작],$U1599)),TEXT(INDEX(상세표[시작],$U1599),"yyyy-mm-dd hh:mm"),INDEX(상세표[시작],$U1599)&amp;""))</f>
        <v/>
      </c>
      <c r="O1599">
        <f>IF($U1599="","",IF(ISNUMBER(INDEX(상세표[종료],$U1599)),TEXT(INDEX(상세표[종료],$U1599),"yyyy-mm-dd hh:mm"),INDEX(상세표[종료],$U1599)&amp;""))</f>
        <v/>
      </c>
      <c r="P1599">
        <f>IF($U1599="","",INDEX(상세표[06~07시],$U1599))</f>
        <v/>
      </c>
      <c r="Q1599">
        <f>IF($U1599="","",INDEX(상세표[07~18시],$U1599))</f>
        <v/>
      </c>
      <c r="R1599">
        <f>IF($U1599="","",INDEX(상세표[18~22시],$U1599))</f>
        <v/>
      </c>
      <c r="S1599">
        <f>IF($U1599="","",INDEX(상세표[22~06시],$U1599))</f>
        <v/>
      </c>
      <c r="T1599">
        <f>IF($U1599="","",INDEX(상세표[기록 시간외],$U1599))</f>
        <v/>
      </c>
      <c r="U1599" s="4">
        <f>IFERROR(MATCH(1594,상세표[발송순번],0),"")</f>
        <v/>
      </c>
    </row>
    <row r="1600">
      <c r="J1600">
        <f>IF($U1600="","",INDEX(상세표[사번],$U1600)&amp;"")</f>
        <v/>
      </c>
      <c r="K1600">
        <f>IF($U1600="","",INDEX(상세표[성명],$U1600)&amp;"")</f>
        <v/>
      </c>
      <c r="L1600">
        <f>IF($U1600="","",INDEX(상세표[직위],$U1600)&amp;"")</f>
        <v/>
      </c>
      <c r="M1600">
        <f>IF($U1600="","",IF(ISNUMBER(INDEX(상세표[근무일자],$U1600)),TEXT(INDEX(상세표[근무일자],$U1600),"yyyy-mm-dd"),INDEX(상세표[근무일자],$U1600)&amp;""))</f>
        <v/>
      </c>
      <c r="N1600">
        <f>IF($U1600="","",IF(ISNUMBER(INDEX(상세표[시작],$U1600)),TEXT(INDEX(상세표[시작],$U1600),"yyyy-mm-dd hh:mm"),INDEX(상세표[시작],$U1600)&amp;""))</f>
        <v/>
      </c>
      <c r="O1600">
        <f>IF($U1600="","",IF(ISNUMBER(INDEX(상세표[종료],$U1600)),TEXT(INDEX(상세표[종료],$U1600),"yyyy-mm-dd hh:mm"),INDEX(상세표[종료],$U1600)&amp;""))</f>
        <v/>
      </c>
      <c r="P1600">
        <f>IF($U1600="","",INDEX(상세표[06~07시],$U1600))</f>
        <v/>
      </c>
      <c r="Q1600">
        <f>IF($U1600="","",INDEX(상세표[07~18시],$U1600))</f>
        <v/>
      </c>
      <c r="R1600">
        <f>IF($U1600="","",INDEX(상세표[18~22시],$U1600))</f>
        <v/>
      </c>
      <c r="S1600">
        <f>IF($U1600="","",INDEX(상세표[22~06시],$U1600))</f>
        <v/>
      </c>
      <c r="T1600">
        <f>IF($U1600="","",INDEX(상세표[기록 시간외],$U1600))</f>
        <v/>
      </c>
      <c r="U1600" s="4">
        <f>IFERROR(MATCH(1595,상세표[발송순번],0),"")</f>
        <v/>
      </c>
    </row>
    <row r="1601">
      <c r="J1601">
        <f>IF($U1601="","",INDEX(상세표[사번],$U1601)&amp;"")</f>
        <v/>
      </c>
      <c r="K1601">
        <f>IF($U1601="","",INDEX(상세표[성명],$U1601)&amp;"")</f>
        <v/>
      </c>
      <c r="L1601">
        <f>IF($U1601="","",INDEX(상세표[직위],$U1601)&amp;"")</f>
        <v/>
      </c>
      <c r="M1601">
        <f>IF($U1601="","",IF(ISNUMBER(INDEX(상세표[근무일자],$U1601)),TEXT(INDEX(상세표[근무일자],$U1601),"yyyy-mm-dd"),INDEX(상세표[근무일자],$U1601)&amp;""))</f>
        <v/>
      </c>
      <c r="N1601">
        <f>IF($U1601="","",IF(ISNUMBER(INDEX(상세표[시작],$U1601)),TEXT(INDEX(상세표[시작],$U1601),"yyyy-mm-dd hh:mm"),INDEX(상세표[시작],$U1601)&amp;""))</f>
        <v/>
      </c>
      <c r="O1601">
        <f>IF($U1601="","",IF(ISNUMBER(INDEX(상세표[종료],$U1601)),TEXT(INDEX(상세표[종료],$U1601),"yyyy-mm-dd hh:mm"),INDEX(상세표[종료],$U1601)&amp;""))</f>
        <v/>
      </c>
      <c r="P1601">
        <f>IF($U1601="","",INDEX(상세표[06~07시],$U1601))</f>
        <v/>
      </c>
      <c r="Q1601">
        <f>IF($U1601="","",INDEX(상세표[07~18시],$U1601))</f>
        <v/>
      </c>
      <c r="R1601">
        <f>IF($U1601="","",INDEX(상세표[18~22시],$U1601))</f>
        <v/>
      </c>
      <c r="S1601">
        <f>IF($U1601="","",INDEX(상세표[22~06시],$U1601))</f>
        <v/>
      </c>
      <c r="T1601">
        <f>IF($U1601="","",INDEX(상세표[기록 시간외],$U1601))</f>
        <v/>
      </c>
      <c r="U1601" s="4">
        <f>IFERROR(MATCH(1596,상세표[발송순번],0),"")</f>
        <v/>
      </c>
    </row>
    <row r="1602">
      <c r="J1602">
        <f>IF($U1602="","",INDEX(상세표[사번],$U1602)&amp;"")</f>
        <v/>
      </c>
      <c r="K1602">
        <f>IF($U1602="","",INDEX(상세표[성명],$U1602)&amp;"")</f>
        <v/>
      </c>
      <c r="L1602">
        <f>IF($U1602="","",INDEX(상세표[직위],$U1602)&amp;"")</f>
        <v/>
      </c>
      <c r="M1602">
        <f>IF($U1602="","",IF(ISNUMBER(INDEX(상세표[근무일자],$U1602)),TEXT(INDEX(상세표[근무일자],$U1602),"yyyy-mm-dd"),INDEX(상세표[근무일자],$U1602)&amp;""))</f>
        <v/>
      </c>
      <c r="N1602">
        <f>IF($U1602="","",IF(ISNUMBER(INDEX(상세표[시작],$U1602)),TEXT(INDEX(상세표[시작],$U1602),"yyyy-mm-dd hh:mm"),INDEX(상세표[시작],$U1602)&amp;""))</f>
        <v/>
      </c>
      <c r="O1602">
        <f>IF($U1602="","",IF(ISNUMBER(INDEX(상세표[종료],$U1602)),TEXT(INDEX(상세표[종료],$U1602),"yyyy-mm-dd hh:mm"),INDEX(상세표[종료],$U1602)&amp;""))</f>
        <v/>
      </c>
      <c r="P1602">
        <f>IF($U1602="","",INDEX(상세표[06~07시],$U1602))</f>
        <v/>
      </c>
      <c r="Q1602">
        <f>IF($U1602="","",INDEX(상세표[07~18시],$U1602))</f>
        <v/>
      </c>
      <c r="R1602">
        <f>IF($U1602="","",INDEX(상세표[18~22시],$U1602))</f>
        <v/>
      </c>
      <c r="S1602">
        <f>IF($U1602="","",INDEX(상세표[22~06시],$U1602))</f>
        <v/>
      </c>
      <c r="T1602">
        <f>IF($U1602="","",INDEX(상세표[기록 시간외],$U1602))</f>
        <v/>
      </c>
      <c r="U1602" s="4">
        <f>IFERROR(MATCH(1597,상세표[발송순번],0),"")</f>
        <v/>
      </c>
    </row>
    <row r="1603">
      <c r="J1603">
        <f>IF($U1603="","",INDEX(상세표[사번],$U1603)&amp;"")</f>
        <v/>
      </c>
      <c r="K1603">
        <f>IF($U1603="","",INDEX(상세표[성명],$U1603)&amp;"")</f>
        <v/>
      </c>
      <c r="L1603">
        <f>IF($U1603="","",INDEX(상세표[직위],$U1603)&amp;"")</f>
        <v/>
      </c>
      <c r="M1603">
        <f>IF($U1603="","",IF(ISNUMBER(INDEX(상세표[근무일자],$U1603)),TEXT(INDEX(상세표[근무일자],$U1603),"yyyy-mm-dd"),INDEX(상세표[근무일자],$U1603)&amp;""))</f>
        <v/>
      </c>
      <c r="N1603">
        <f>IF($U1603="","",IF(ISNUMBER(INDEX(상세표[시작],$U1603)),TEXT(INDEX(상세표[시작],$U1603),"yyyy-mm-dd hh:mm"),INDEX(상세표[시작],$U1603)&amp;""))</f>
        <v/>
      </c>
      <c r="O1603">
        <f>IF($U1603="","",IF(ISNUMBER(INDEX(상세표[종료],$U1603)),TEXT(INDEX(상세표[종료],$U1603),"yyyy-mm-dd hh:mm"),INDEX(상세표[종료],$U1603)&amp;""))</f>
        <v/>
      </c>
      <c r="P1603">
        <f>IF($U1603="","",INDEX(상세표[06~07시],$U1603))</f>
        <v/>
      </c>
      <c r="Q1603">
        <f>IF($U1603="","",INDEX(상세표[07~18시],$U1603))</f>
        <v/>
      </c>
      <c r="R1603">
        <f>IF($U1603="","",INDEX(상세표[18~22시],$U1603))</f>
        <v/>
      </c>
      <c r="S1603">
        <f>IF($U1603="","",INDEX(상세표[22~06시],$U1603))</f>
        <v/>
      </c>
      <c r="T1603">
        <f>IF($U1603="","",INDEX(상세표[기록 시간외],$U1603))</f>
        <v/>
      </c>
      <c r="U1603" s="4">
        <f>IFERROR(MATCH(1598,상세표[발송순번],0),"")</f>
        <v/>
      </c>
    </row>
    <row r="1604">
      <c r="J1604">
        <f>IF($U1604="","",INDEX(상세표[사번],$U1604)&amp;"")</f>
        <v/>
      </c>
      <c r="K1604">
        <f>IF($U1604="","",INDEX(상세표[성명],$U1604)&amp;"")</f>
        <v/>
      </c>
      <c r="L1604">
        <f>IF($U1604="","",INDEX(상세표[직위],$U1604)&amp;"")</f>
        <v/>
      </c>
      <c r="M1604">
        <f>IF($U1604="","",IF(ISNUMBER(INDEX(상세표[근무일자],$U1604)),TEXT(INDEX(상세표[근무일자],$U1604),"yyyy-mm-dd"),INDEX(상세표[근무일자],$U1604)&amp;""))</f>
        <v/>
      </c>
      <c r="N1604">
        <f>IF($U1604="","",IF(ISNUMBER(INDEX(상세표[시작],$U1604)),TEXT(INDEX(상세표[시작],$U1604),"yyyy-mm-dd hh:mm"),INDEX(상세표[시작],$U1604)&amp;""))</f>
        <v/>
      </c>
      <c r="O1604">
        <f>IF($U1604="","",IF(ISNUMBER(INDEX(상세표[종료],$U1604)),TEXT(INDEX(상세표[종료],$U1604),"yyyy-mm-dd hh:mm"),INDEX(상세표[종료],$U1604)&amp;""))</f>
        <v/>
      </c>
      <c r="P1604">
        <f>IF($U1604="","",INDEX(상세표[06~07시],$U1604))</f>
        <v/>
      </c>
      <c r="Q1604">
        <f>IF($U1604="","",INDEX(상세표[07~18시],$U1604))</f>
        <v/>
      </c>
      <c r="R1604">
        <f>IF($U1604="","",INDEX(상세표[18~22시],$U1604))</f>
        <v/>
      </c>
      <c r="S1604">
        <f>IF($U1604="","",INDEX(상세표[22~06시],$U1604))</f>
        <v/>
      </c>
      <c r="T1604">
        <f>IF($U1604="","",INDEX(상세표[기록 시간외],$U1604))</f>
        <v/>
      </c>
      <c r="U1604" s="4">
        <f>IFERROR(MATCH(1599,상세표[발송순번],0),"")</f>
        <v/>
      </c>
    </row>
    <row r="1605">
      <c r="J1605">
        <f>IF($U1605="","",INDEX(상세표[사번],$U1605)&amp;"")</f>
        <v/>
      </c>
      <c r="K1605">
        <f>IF($U1605="","",INDEX(상세표[성명],$U1605)&amp;"")</f>
        <v/>
      </c>
      <c r="L1605">
        <f>IF($U1605="","",INDEX(상세표[직위],$U1605)&amp;"")</f>
        <v/>
      </c>
      <c r="M1605">
        <f>IF($U1605="","",IF(ISNUMBER(INDEX(상세표[근무일자],$U1605)),TEXT(INDEX(상세표[근무일자],$U1605),"yyyy-mm-dd"),INDEX(상세표[근무일자],$U1605)&amp;""))</f>
        <v/>
      </c>
      <c r="N1605">
        <f>IF($U1605="","",IF(ISNUMBER(INDEX(상세표[시작],$U1605)),TEXT(INDEX(상세표[시작],$U1605),"yyyy-mm-dd hh:mm"),INDEX(상세표[시작],$U1605)&amp;""))</f>
        <v/>
      </c>
      <c r="O1605">
        <f>IF($U1605="","",IF(ISNUMBER(INDEX(상세표[종료],$U1605)),TEXT(INDEX(상세표[종료],$U1605),"yyyy-mm-dd hh:mm"),INDEX(상세표[종료],$U1605)&amp;""))</f>
        <v/>
      </c>
      <c r="P1605">
        <f>IF($U1605="","",INDEX(상세표[06~07시],$U1605))</f>
        <v/>
      </c>
      <c r="Q1605">
        <f>IF($U1605="","",INDEX(상세표[07~18시],$U1605))</f>
        <v/>
      </c>
      <c r="R1605">
        <f>IF($U1605="","",INDEX(상세표[18~22시],$U1605))</f>
        <v/>
      </c>
      <c r="S1605">
        <f>IF($U1605="","",INDEX(상세표[22~06시],$U1605))</f>
        <v/>
      </c>
      <c r="T1605">
        <f>IF($U1605="","",INDEX(상세표[기록 시간외],$U1605))</f>
        <v/>
      </c>
      <c r="U1605" s="4">
        <f>IFERROR(MATCH(1600,상세표[발송순번],0),"")</f>
        <v/>
      </c>
    </row>
    <row r="1606">
      <c r="J1606">
        <f>IF($U1606="","",INDEX(상세표[사번],$U1606)&amp;"")</f>
        <v/>
      </c>
      <c r="K1606">
        <f>IF($U1606="","",INDEX(상세표[성명],$U1606)&amp;"")</f>
        <v/>
      </c>
      <c r="L1606">
        <f>IF($U1606="","",INDEX(상세표[직위],$U1606)&amp;"")</f>
        <v/>
      </c>
      <c r="M1606">
        <f>IF($U1606="","",IF(ISNUMBER(INDEX(상세표[근무일자],$U1606)),TEXT(INDEX(상세표[근무일자],$U1606),"yyyy-mm-dd"),INDEX(상세표[근무일자],$U1606)&amp;""))</f>
        <v/>
      </c>
      <c r="N1606">
        <f>IF($U1606="","",IF(ISNUMBER(INDEX(상세표[시작],$U1606)),TEXT(INDEX(상세표[시작],$U1606),"yyyy-mm-dd hh:mm"),INDEX(상세표[시작],$U1606)&amp;""))</f>
        <v/>
      </c>
      <c r="O1606">
        <f>IF($U1606="","",IF(ISNUMBER(INDEX(상세표[종료],$U1606)),TEXT(INDEX(상세표[종료],$U1606),"yyyy-mm-dd hh:mm"),INDEX(상세표[종료],$U1606)&amp;""))</f>
        <v/>
      </c>
      <c r="P1606">
        <f>IF($U1606="","",INDEX(상세표[06~07시],$U1606))</f>
        <v/>
      </c>
      <c r="Q1606">
        <f>IF($U1606="","",INDEX(상세표[07~18시],$U1606))</f>
        <v/>
      </c>
      <c r="R1606">
        <f>IF($U1606="","",INDEX(상세표[18~22시],$U1606))</f>
        <v/>
      </c>
      <c r="S1606">
        <f>IF($U1606="","",INDEX(상세표[22~06시],$U1606))</f>
        <v/>
      </c>
      <c r="T1606">
        <f>IF($U1606="","",INDEX(상세표[기록 시간외],$U1606))</f>
        <v/>
      </c>
      <c r="U1606" s="4">
        <f>IFERROR(MATCH(1601,상세표[발송순번],0),"")</f>
        <v/>
      </c>
    </row>
    <row r="1607">
      <c r="J1607">
        <f>IF($U1607="","",INDEX(상세표[사번],$U1607)&amp;"")</f>
        <v/>
      </c>
      <c r="K1607">
        <f>IF($U1607="","",INDEX(상세표[성명],$U1607)&amp;"")</f>
        <v/>
      </c>
      <c r="L1607">
        <f>IF($U1607="","",INDEX(상세표[직위],$U1607)&amp;"")</f>
        <v/>
      </c>
      <c r="M1607">
        <f>IF($U1607="","",IF(ISNUMBER(INDEX(상세표[근무일자],$U1607)),TEXT(INDEX(상세표[근무일자],$U1607),"yyyy-mm-dd"),INDEX(상세표[근무일자],$U1607)&amp;""))</f>
        <v/>
      </c>
      <c r="N1607">
        <f>IF($U1607="","",IF(ISNUMBER(INDEX(상세표[시작],$U1607)),TEXT(INDEX(상세표[시작],$U1607),"yyyy-mm-dd hh:mm"),INDEX(상세표[시작],$U1607)&amp;""))</f>
        <v/>
      </c>
      <c r="O1607">
        <f>IF($U1607="","",IF(ISNUMBER(INDEX(상세표[종료],$U1607)),TEXT(INDEX(상세표[종료],$U1607),"yyyy-mm-dd hh:mm"),INDEX(상세표[종료],$U1607)&amp;""))</f>
        <v/>
      </c>
      <c r="P1607">
        <f>IF($U1607="","",INDEX(상세표[06~07시],$U1607))</f>
        <v/>
      </c>
      <c r="Q1607">
        <f>IF($U1607="","",INDEX(상세표[07~18시],$U1607))</f>
        <v/>
      </c>
      <c r="R1607">
        <f>IF($U1607="","",INDEX(상세표[18~22시],$U1607))</f>
        <v/>
      </c>
      <c r="S1607">
        <f>IF($U1607="","",INDEX(상세표[22~06시],$U1607))</f>
        <v/>
      </c>
      <c r="T1607">
        <f>IF($U1607="","",INDEX(상세표[기록 시간외],$U1607))</f>
        <v/>
      </c>
      <c r="U1607" s="4">
        <f>IFERROR(MATCH(1602,상세표[발송순번],0),"")</f>
        <v/>
      </c>
    </row>
    <row r="1608">
      <c r="J1608">
        <f>IF($U1608="","",INDEX(상세표[사번],$U1608)&amp;"")</f>
        <v/>
      </c>
      <c r="K1608">
        <f>IF($U1608="","",INDEX(상세표[성명],$U1608)&amp;"")</f>
        <v/>
      </c>
      <c r="L1608">
        <f>IF($U1608="","",INDEX(상세표[직위],$U1608)&amp;"")</f>
        <v/>
      </c>
      <c r="M1608">
        <f>IF($U1608="","",IF(ISNUMBER(INDEX(상세표[근무일자],$U1608)),TEXT(INDEX(상세표[근무일자],$U1608),"yyyy-mm-dd"),INDEX(상세표[근무일자],$U1608)&amp;""))</f>
        <v/>
      </c>
      <c r="N1608">
        <f>IF($U1608="","",IF(ISNUMBER(INDEX(상세표[시작],$U1608)),TEXT(INDEX(상세표[시작],$U1608),"yyyy-mm-dd hh:mm"),INDEX(상세표[시작],$U1608)&amp;""))</f>
        <v/>
      </c>
      <c r="O1608">
        <f>IF($U1608="","",IF(ISNUMBER(INDEX(상세표[종료],$U1608)),TEXT(INDEX(상세표[종료],$U1608),"yyyy-mm-dd hh:mm"),INDEX(상세표[종료],$U1608)&amp;""))</f>
        <v/>
      </c>
      <c r="P1608">
        <f>IF($U1608="","",INDEX(상세표[06~07시],$U1608))</f>
        <v/>
      </c>
      <c r="Q1608">
        <f>IF($U1608="","",INDEX(상세표[07~18시],$U1608))</f>
        <v/>
      </c>
      <c r="R1608">
        <f>IF($U1608="","",INDEX(상세표[18~22시],$U1608))</f>
        <v/>
      </c>
      <c r="S1608">
        <f>IF($U1608="","",INDEX(상세표[22~06시],$U1608))</f>
        <v/>
      </c>
      <c r="T1608">
        <f>IF($U1608="","",INDEX(상세표[기록 시간외],$U1608))</f>
        <v/>
      </c>
      <c r="U1608" s="4">
        <f>IFERROR(MATCH(1603,상세표[발송순번],0),"")</f>
        <v/>
      </c>
    </row>
    <row r="1609">
      <c r="J1609">
        <f>IF($U1609="","",INDEX(상세표[사번],$U1609)&amp;"")</f>
        <v/>
      </c>
      <c r="K1609">
        <f>IF($U1609="","",INDEX(상세표[성명],$U1609)&amp;"")</f>
        <v/>
      </c>
      <c r="L1609">
        <f>IF($U1609="","",INDEX(상세표[직위],$U1609)&amp;"")</f>
        <v/>
      </c>
      <c r="M1609">
        <f>IF($U1609="","",IF(ISNUMBER(INDEX(상세표[근무일자],$U1609)),TEXT(INDEX(상세표[근무일자],$U1609),"yyyy-mm-dd"),INDEX(상세표[근무일자],$U1609)&amp;""))</f>
        <v/>
      </c>
      <c r="N1609">
        <f>IF($U1609="","",IF(ISNUMBER(INDEX(상세표[시작],$U1609)),TEXT(INDEX(상세표[시작],$U1609),"yyyy-mm-dd hh:mm"),INDEX(상세표[시작],$U1609)&amp;""))</f>
        <v/>
      </c>
      <c r="O1609">
        <f>IF($U1609="","",IF(ISNUMBER(INDEX(상세표[종료],$U1609)),TEXT(INDEX(상세표[종료],$U1609),"yyyy-mm-dd hh:mm"),INDEX(상세표[종료],$U1609)&amp;""))</f>
        <v/>
      </c>
      <c r="P1609">
        <f>IF($U1609="","",INDEX(상세표[06~07시],$U1609))</f>
        <v/>
      </c>
      <c r="Q1609">
        <f>IF($U1609="","",INDEX(상세표[07~18시],$U1609))</f>
        <v/>
      </c>
      <c r="R1609">
        <f>IF($U1609="","",INDEX(상세표[18~22시],$U1609))</f>
        <v/>
      </c>
      <c r="S1609">
        <f>IF($U1609="","",INDEX(상세표[22~06시],$U1609))</f>
        <v/>
      </c>
      <c r="T1609">
        <f>IF($U1609="","",INDEX(상세표[기록 시간외],$U1609))</f>
        <v/>
      </c>
      <c r="U1609" s="4">
        <f>IFERROR(MATCH(1604,상세표[발송순번],0),"")</f>
        <v/>
      </c>
    </row>
    <row r="1610">
      <c r="J1610">
        <f>IF($U1610="","",INDEX(상세표[사번],$U1610)&amp;"")</f>
        <v/>
      </c>
      <c r="K1610">
        <f>IF($U1610="","",INDEX(상세표[성명],$U1610)&amp;"")</f>
        <v/>
      </c>
      <c r="L1610">
        <f>IF($U1610="","",INDEX(상세표[직위],$U1610)&amp;"")</f>
        <v/>
      </c>
      <c r="M1610">
        <f>IF($U1610="","",IF(ISNUMBER(INDEX(상세표[근무일자],$U1610)),TEXT(INDEX(상세표[근무일자],$U1610),"yyyy-mm-dd"),INDEX(상세표[근무일자],$U1610)&amp;""))</f>
        <v/>
      </c>
      <c r="N1610">
        <f>IF($U1610="","",IF(ISNUMBER(INDEX(상세표[시작],$U1610)),TEXT(INDEX(상세표[시작],$U1610),"yyyy-mm-dd hh:mm"),INDEX(상세표[시작],$U1610)&amp;""))</f>
        <v/>
      </c>
      <c r="O1610">
        <f>IF($U1610="","",IF(ISNUMBER(INDEX(상세표[종료],$U1610)),TEXT(INDEX(상세표[종료],$U1610),"yyyy-mm-dd hh:mm"),INDEX(상세표[종료],$U1610)&amp;""))</f>
        <v/>
      </c>
      <c r="P1610">
        <f>IF($U1610="","",INDEX(상세표[06~07시],$U1610))</f>
        <v/>
      </c>
      <c r="Q1610">
        <f>IF($U1610="","",INDEX(상세표[07~18시],$U1610))</f>
        <v/>
      </c>
      <c r="R1610">
        <f>IF($U1610="","",INDEX(상세표[18~22시],$U1610))</f>
        <v/>
      </c>
      <c r="S1610">
        <f>IF($U1610="","",INDEX(상세표[22~06시],$U1610))</f>
        <v/>
      </c>
      <c r="T1610">
        <f>IF($U1610="","",INDEX(상세표[기록 시간외],$U1610))</f>
        <v/>
      </c>
      <c r="U1610" s="4">
        <f>IFERROR(MATCH(1605,상세표[발송순번],0),"")</f>
        <v/>
      </c>
    </row>
    <row r="1611">
      <c r="J1611">
        <f>IF($U1611="","",INDEX(상세표[사번],$U1611)&amp;"")</f>
        <v/>
      </c>
      <c r="K1611">
        <f>IF($U1611="","",INDEX(상세표[성명],$U1611)&amp;"")</f>
        <v/>
      </c>
      <c r="L1611">
        <f>IF($U1611="","",INDEX(상세표[직위],$U1611)&amp;"")</f>
        <v/>
      </c>
      <c r="M1611">
        <f>IF($U1611="","",IF(ISNUMBER(INDEX(상세표[근무일자],$U1611)),TEXT(INDEX(상세표[근무일자],$U1611),"yyyy-mm-dd"),INDEX(상세표[근무일자],$U1611)&amp;""))</f>
        <v/>
      </c>
      <c r="N1611">
        <f>IF($U1611="","",IF(ISNUMBER(INDEX(상세표[시작],$U1611)),TEXT(INDEX(상세표[시작],$U1611),"yyyy-mm-dd hh:mm"),INDEX(상세표[시작],$U1611)&amp;""))</f>
        <v/>
      </c>
      <c r="O1611">
        <f>IF($U1611="","",IF(ISNUMBER(INDEX(상세표[종료],$U1611)),TEXT(INDEX(상세표[종료],$U1611),"yyyy-mm-dd hh:mm"),INDEX(상세표[종료],$U1611)&amp;""))</f>
        <v/>
      </c>
      <c r="P1611">
        <f>IF($U1611="","",INDEX(상세표[06~07시],$U1611))</f>
        <v/>
      </c>
      <c r="Q1611">
        <f>IF($U1611="","",INDEX(상세표[07~18시],$U1611))</f>
        <v/>
      </c>
      <c r="R1611">
        <f>IF($U1611="","",INDEX(상세표[18~22시],$U1611))</f>
        <v/>
      </c>
      <c r="S1611">
        <f>IF($U1611="","",INDEX(상세표[22~06시],$U1611))</f>
        <v/>
      </c>
      <c r="T1611">
        <f>IF($U1611="","",INDEX(상세표[기록 시간외],$U1611))</f>
        <v/>
      </c>
      <c r="U1611" s="4">
        <f>IFERROR(MATCH(1606,상세표[발송순번],0),"")</f>
        <v/>
      </c>
    </row>
    <row r="1612">
      <c r="J1612">
        <f>IF($U1612="","",INDEX(상세표[사번],$U1612)&amp;"")</f>
        <v/>
      </c>
      <c r="K1612">
        <f>IF($U1612="","",INDEX(상세표[성명],$U1612)&amp;"")</f>
        <v/>
      </c>
      <c r="L1612">
        <f>IF($U1612="","",INDEX(상세표[직위],$U1612)&amp;"")</f>
        <v/>
      </c>
      <c r="M1612">
        <f>IF($U1612="","",IF(ISNUMBER(INDEX(상세표[근무일자],$U1612)),TEXT(INDEX(상세표[근무일자],$U1612),"yyyy-mm-dd"),INDEX(상세표[근무일자],$U1612)&amp;""))</f>
        <v/>
      </c>
      <c r="N1612">
        <f>IF($U1612="","",IF(ISNUMBER(INDEX(상세표[시작],$U1612)),TEXT(INDEX(상세표[시작],$U1612),"yyyy-mm-dd hh:mm"),INDEX(상세표[시작],$U1612)&amp;""))</f>
        <v/>
      </c>
      <c r="O1612">
        <f>IF($U1612="","",IF(ISNUMBER(INDEX(상세표[종료],$U1612)),TEXT(INDEX(상세표[종료],$U1612),"yyyy-mm-dd hh:mm"),INDEX(상세표[종료],$U1612)&amp;""))</f>
        <v/>
      </c>
      <c r="P1612">
        <f>IF($U1612="","",INDEX(상세표[06~07시],$U1612))</f>
        <v/>
      </c>
      <c r="Q1612">
        <f>IF($U1612="","",INDEX(상세표[07~18시],$U1612))</f>
        <v/>
      </c>
      <c r="R1612">
        <f>IF($U1612="","",INDEX(상세표[18~22시],$U1612))</f>
        <v/>
      </c>
      <c r="S1612">
        <f>IF($U1612="","",INDEX(상세표[22~06시],$U1612))</f>
        <v/>
      </c>
      <c r="T1612">
        <f>IF($U1612="","",INDEX(상세표[기록 시간외],$U1612))</f>
        <v/>
      </c>
      <c r="U1612" s="4">
        <f>IFERROR(MATCH(1607,상세표[발송순번],0),"")</f>
        <v/>
      </c>
    </row>
    <row r="1613">
      <c r="J1613">
        <f>IF($U1613="","",INDEX(상세표[사번],$U1613)&amp;"")</f>
        <v/>
      </c>
      <c r="K1613">
        <f>IF($U1613="","",INDEX(상세표[성명],$U1613)&amp;"")</f>
        <v/>
      </c>
      <c r="L1613">
        <f>IF($U1613="","",INDEX(상세표[직위],$U1613)&amp;"")</f>
        <v/>
      </c>
      <c r="M1613">
        <f>IF($U1613="","",IF(ISNUMBER(INDEX(상세표[근무일자],$U1613)),TEXT(INDEX(상세표[근무일자],$U1613),"yyyy-mm-dd"),INDEX(상세표[근무일자],$U1613)&amp;""))</f>
        <v/>
      </c>
      <c r="N1613">
        <f>IF($U1613="","",IF(ISNUMBER(INDEX(상세표[시작],$U1613)),TEXT(INDEX(상세표[시작],$U1613),"yyyy-mm-dd hh:mm"),INDEX(상세표[시작],$U1613)&amp;""))</f>
        <v/>
      </c>
      <c r="O1613">
        <f>IF($U1613="","",IF(ISNUMBER(INDEX(상세표[종료],$U1613)),TEXT(INDEX(상세표[종료],$U1613),"yyyy-mm-dd hh:mm"),INDEX(상세표[종료],$U1613)&amp;""))</f>
        <v/>
      </c>
      <c r="P1613">
        <f>IF($U1613="","",INDEX(상세표[06~07시],$U1613))</f>
        <v/>
      </c>
      <c r="Q1613">
        <f>IF($U1613="","",INDEX(상세표[07~18시],$U1613))</f>
        <v/>
      </c>
      <c r="R1613">
        <f>IF($U1613="","",INDEX(상세표[18~22시],$U1613))</f>
        <v/>
      </c>
      <c r="S1613">
        <f>IF($U1613="","",INDEX(상세표[22~06시],$U1613))</f>
        <v/>
      </c>
      <c r="T1613">
        <f>IF($U1613="","",INDEX(상세표[기록 시간외],$U1613))</f>
        <v/>
      </c>
      <c r="U1613" s="4">
        <f>IFERROR(MATCH(1608,상세표[발송순번],0),"")</f>
        <v/>
      </c>
    </row>
    <row r="1614">
      <c r="J1614">
        <f>IF($U1614="","",INDEX(상세표[사번],$U1614)&amp;"")</f>
        <v/>
      </c>
      <c r="K1614">
        <f>IF($U1614="","",INDEX(상세표[성명],$U1614)&amp;"")</f>
        <v/>
      </c>
      <c r="L1614">
        <f>IF($U1614="","",INDEX(상세표[직위],$U1614)&amp;"")</f>
        <v/>
      </c>
      <c r="M1614">
        <f>IF($U1614="","",IF(ISNUMBER(INDEX(상세표[근무일자],$U1614)),TEXT(INDEX(상세표[근무일자],$U1614),"yyyy-mm-dd"),INDEX(상세표[근무일자],$U1614)&amp;""))</f>
        <v/>
      </c>
      <c r="N1614">
        <f>IF($U1614="","",IF(ISNUMBER(INDEX(상세표[시작],$U1614)),TEXT(INDEX(상세표[시작],$U1614),"yyyy-mm-dd hh:mm"),INDEX(상세표[시작],$U1614)&amp;""))</f>
        <v/>
      </c>
      <c r="O1614">
        <f>IF($U1614="","",IF(ISNUMBER(INDEX(상세표[종료],$U1614)),TEXT(INDEX(상세표[종료],$U1614),"yyyy-mm-dd hh:mm"),INDEX(상세표[종료],$U1614)&amp;""))</f>
        <v/>
      </c>
      <c r="P1614">
        <f>IF($U1614="","",INDEX(상세표[06~07시],$U1614))</f>
        <v/>
      </c>
      <c r="Q1614">
        <f>IF($U1614="","",INDEX(상세표[07~18시],$U1614))</f>
        <v/>
      </c>
      <c r="R1614">
        <f>IF($U1614="","",INDEX(상세표[18~22시],$U1614))</f>
        <v/>
      </c>
      <c r="S1614">
        <f>IF($U1614="","",INDEX(상세표[22~06시],$U1614))</f>
        <v/>
      </c>
      <c r="T1614">
        <f>IF($U1614="","",INDEX(상세표[기록 시간외],$U1614))</f>
        <v/>
      </c>
      <c r="U1614" s="4">
        <f>IFERROR(MATCH(1609,상세표[발송순번],0),"")</f>
        <v/>
      </c>
    </row>
    <row r="1615">
      <c r="J1615">
        <f>IF($U1615="","",INDEX(상세표[사번],$U1615)&amp;"")</f>
        <v/>
      </c>
      <c r="K1615">
        <f>IF($U1615="","",INDEX(상세표[성명],$U1615)&amp;"")</f>
        <v/>
      </c>
      <c r="L1615">
        <f>IF($U1615="","",INDEX(상세표[직위],$U1615)&amp;"")</f>
        <v/>
      </c>
      <c r="M1615">
        <f>IF($U1615="","",IF(ISNUMBER(INDEX(상세표[근무일자],$U1615)),TEXT(INDEX(상세표[근무일자],$U1615),"yyyy-mm-dd"),INDEX(상세표[근무일자],$U1615)&amp;""))</f>
        <v/>
      </c>
      <c r="N1615">
        <f>IF($U1615="","",IF(ISNUMBER(INDEX(상세표[시작],$U1615)),TEXT(INDEX(상세표[시작],$U1615),"yyyy-mm-dd hh:mm"),INDEX(상세표[시작],$U1615)&amp;""))</f>
        <v/>
      </c>
      <c r="O1615">
        <f>IF($U1615="","",IF(ISNUMBER(INDEX(상세표[종료],$U1615)),TEXT(INDEX(상세표[종료],$U1615),"yyyy-mm-dd hh:mm"),INDEX(상세표[종료],$U1615)&amp;""))</f>
        <v/>
      </c>
      <c r="P1615">
        <f>IF($U1615="","",INDEX(상세표[06~07시],$U1615))</f>
        <v/>
      </c>
      <c r="Q1615">
        <f>IF($U1615="","",INDEX(상세표[07~18시],$U1615))</f>
        <v/>
      </c>
      <c r="R1615">
        <f>IF($U1615="","",INDEX(상세표[18~22시],$U1615))</f>
        <v/>
      </c>
      <c r="S1615">
        <f>IF($U1615="","",INDEX(상세표[22~06시],$U1615))</f>
        <v/>
      </c>
      <c r="T1615">
        <f>IF($U1615="","",INDEX(상세표[기록 시간외],$U1615))</f>
        <v/>
      </c>
      <c r="U1615" s="4">
        <f>IFERROR(MATCH(1610,상세표[발송순번],0),"")</f>
        <v/>
      </c>
    </row>
    <row r="1616">
      <c r="J1616">
        <f>IF($U1616="","",INDEX(상세표[사번],$U1616)&amp;"")</f>
        <v/>
      </c>
      <c r="K1616">
        <f>IF($U1616="","",INDEX(상세표[성명],$U1616)&amp;"")</f>
        <v/>
      </c>
      <c r="L1616">
        <f>IF($U1616="","",INDEX(상세표[직위],$U1616)&amp;"")</f>
        <v/>
      </c>
      <c r="M1616">
        <f>IF($U1616="","",IF(ISNUMBER(INDEX(상세표[근무일자],$U1616)),TEXT(INDEX(상세표[근무일자],$U1616),"yyyy-mm-dd"),INDEX(상세표[근무일자],$U1616)&amp;""))</f>
        <v/>
      </c>
      <c r="N1616">
        <f>IF($U1616="","",IF(ISNUMBER(INDEX(상세표[시작],$U1616)),TEXT(INDEX(상세표[시작],$U1616),"yyyy-mm-dd hh:mm"),INDEX(상세표[시작],$U1616)&amp;""))</f>
        <v/>
      </c>
      <c r="O1616">
        <f>IF($U1616="","",IF(ISNUMBER(INDEX(상세표[종료],$U1616)),TEXT(INDEX(상세표[종료],$U1616),"yyyy-mm-dd hh:mm"),INDEX(상세표[종료],$U1616)&amp;""))</f>
        <v/>
      </c>
      <c r="P1616">
        <f>IF($U1616="","",INDEX(상세표[06~07시],$U1616))</f>
        <v/>
      </c>
      <c r="Q1616">
        <f>IF($U1616="","",INDEX(상세표[07~18시],$U1616))</f>
        <v/>
      </c>
      <c r="R1616">
        <f>IF($U1616="","",INDEX(상세표[18~22시],$U1616))</f>
        <v/>
      </c>
      <c r="S1616">
        <f>IF($U1616="","",INDEX(상세표[22~06시],$U1616))</f>
        <v/>
      </c>
      <c r="T1616">
        <f>IF($U1616="","",INDEX(상세표[기록 시간외],$U1616))</f>
        <v/>
      </c>
      <c r="U1616" s="4">
        <f>IFERROR(MATCH(1611,상세표[발송순번],0),"")</f>
        <v/>
      </c>
    </row>
    <row r="1617">
      <c r="J1617">
        <f>IF($U1617="","",INDEX(상세표[사번],$U1617)&amp;"")</f>
        <v/>
      </c>
      <c r="K1617">
        <f>IF($U1617="","",INDEX(상세표[성명],$U1617)&amp;"")</f>
        <v/>
      </c>
      <c r="L1617">
        <f>IF($U1617="","",INDEX(상세표[직위],$U1617)&amp;"")</f>
        <v/>
      </c>
      <c r="M1617">
        <f>IF($U1617="","",IF(ISNUMBER(INDEX(상세표[근무일자],$U1617)),TEXT(INDEX(상세표[근무일자],$U1617),"yyyy-mm-dd"),INDEX(상세표[근무일자],$U1617)&amp;""))</f>
        <v/>
      </c>
      <c r="N1617">
        <f>IF($U1617="","",IF(ISNUMBER(INDEX(상세표[시작],$U1617)),TEXT(INDEX(상세표[시작],$U1617),"yyyy-mm-dd hh:mm"),INDEX(상세표[시작],$U1617)&amp;""))</f>
        <v/>
      </c>
      <c r="O1617">
        <f>IF($U1617="","",IF(ISNUMBER(INDEX(상세표[종료],$U1617)),TEXT(INDEX(상세표[종료],$U1617),"yyyy-mm-dd hh:mm"),INDEX(상세표[종료],$U1617)&amp;""))</f>
        <v/>
      </c>
      <c r="P1617">
        <f>IF($U1617="","",INDEX(상세표[06~07시],$U1617))</f>
        <v/>
      </c>
      <c r="Q1617">
        <f>IF($U1617="","",INDEX(상세표[07~18시],$U1617))</f>
        <v/>
      </c>
      <c r="R1617">
        <f>IF($U1617="","",INDEX(상세표[18~22시],$U1617))</f>
        <v/>
      </c>
      <c r="S1617">
        <f>IF($U1617="","",INDEX(상세표[22~06시],$U1617))</f>
        <v/>
      </c>
      <c r="T1617">
        <f>IF($U1617="","",INDEX(상세표[기록 시간외],$U1617))</f>
        <v/>
      </c>
      <c r="U1617" s="4">
        <f>IFERROR(MATCH(1612,상세표[발송순번],0),"")</f>
        <v/>
      </c>
    </row>
    <row r="1618">
      <c r="J1618">
        <f>IF($U1618="","",INDEX(상세표[사번],$U1618)&amp;"")</f>
        <v/>
      </c>
      <c r="K1618">
        <f>IF($U1618="","",INDEX(상세표[성명],$U1618)&amp;"")</f>
        <v/>
      </c>
      <c r="L1618">
        <f>IF($U1618="","",INDEX(상세표[직위],$U1618)&amp;"")</f>
        <v/>
      </c>
      <c r="M1618">
        <f>IF($U1618="","",IF(ISNUMBER(INDEX(상세표[근무일자],$U1618)),TEXT(INDEX(상세표[근무일자],$U1618),"yyyy-mm-dd"),INDEX(상세표[근무일자],$U1618)&amp;""))</f>
        <v/>
      </c>
      <c r="N1618">
        <f>IF($U1618="","",IF(ISNUMBER(INDEX(상세표[시작],$U1618)),TEXT(INDEX(상세표[시작],$U1618),"yyyy-mm-dd hh:mm"),INDEX(상세표[시작],$U1618)&amp;""))</f>
        <v/>
      </c>
      <c r="O1618">
        <f>IF($U1618="","",IF(ISNUMBER(INDEX(상세표[종료],$U1618)),TEXT(INDEX(상세표[종료],$U1618),"yyyy-mm-dd hh:mm"),INDEX(상세표[종료],$U1618)&amp;""))</f>
        <v/>
      </c>
      <c r="P1618">
        <f>IF($U1618="","",INDEX(상세표[06~07시],$U1618))</f>
        <v/>
      </c>
      <c r="Q1618">
        <f>IF($U1618="","",INDEX(상세표[07~18시],$U1618))</f>
        <v/>
      </c>
      <c r="R1618">
        <f>IF($U1618="","",INDEX(상세표[18~22시],$U1618))</f>
        <v/>
      </c>
      <c r="S1618">
        <f>IF($U1618="","",INDEX(상세표[22~06시],$U1618))</f>
        <v/>
      </c>
      <c r="T1618">
        <f>IF($U1618="","",INDEX(상세표[기록 시간외],$U1618))</f>
        <v/>
      </c>
      <c r="U1618" s="4">
        <f>IFERROR(MATCH(1613,상세표[발송순번],0),"")</f>
        <v/>
      </c>
    </row>
    <row r="1619">
      <c r="J1619">
        <f>IF($U1619="","",INDEX(상세표[사번],$U1619)&amp;"")</f>
        <v/>
      </c>
      <c r="K1619">
        <f>IF($U1619="","",INDEX(상세표[성명],$U1619)&amp;"")</f>
        <v/>
      </c>
      <c r="L1619">
        <f>IF($U1619="","",INDEX(상세표[직위],$U1619)&amp;"")</f>
        <v/>
      </c>
      <c r="M1619">
        <f>IF($U1619="","",IF(ISNUMBER(INDEX(상세표[근무일자],$U1619)),TEXT(INDEX(상세표[근무일자],$U1619),"yyyy-mm-dd"),INDEX(상세표[근무일자],$U1619)&amp;""))</f>
        <v/>
      </c>
      <c r="N1619">
        <f>IF($U1619="","",IF(ISNUMBER(INDEX(상세표[시작],$U1619)),TEXT(INDEX(상세표[시작],$U1619),"yyyy-mm-dd hh:mm"),INDEX(상세표[시작],$U1619)&amp;""))</f>
        <v/>
      </c>
      <c r="O1619">
        <f>IF($U1619="","",IF(ISNUMBER(INDEX(상세표[종료],$U1619)),TEXT(INDEX(상세표[종료],$U1619),"yyyy-mm-dd hh:mm"),INDEX(상세표[종료],$U1619)&amp;""))</f>
        <v/>
      </c>
      <c r="P1619">
        <f>IF($U1619="","",INDEX(상세표[06~07시],$U1619))</f>
        <v/>
      </c>
      <c r="Q1619">
        <f>IF($U1619="","",INDEX(상세표[07~18시],$U1619))</f>
        <v/>
      </c>
      <c r="R1619">
        <f>IF($U1619="","",INDEX(상세표[18~22시],$U1619))</f>
        <v/>
      </c>
      <c r="S1619">
        <f>IF($U1619="","",INDEX(상세표[22~06시],$U1619))</f>
        <v/>
      </c>
      <c r="T1619">
        <f>IF($U1619="","",INDEX(상세표[기록 시간외],$U1619))</f>
        <v/>
      </c>
      <c r="U1619" s="4">
        <f>IFERROR(MATCH(1614,상세표[발송순번],0),"")</f>
        <v/>
      </c>
    </row>
    <row r="1620">
      <c r="J1620">
        <f>IF($U1620="","",INDEX(상세표[사번],$U1620)&amp;"")</f>
        <v/>
      </c>
      <c r="K1620">
        <f>IF($U1620="","",INDEX(상세표[성명],$U1620)&amp;"")</f>
        <v/>
      </c>
      <c r="L1620">
        <f>IF($U1620="","",INDEX(상세표[직위],$U1620)&amp;"")</f>
        <v/>
      </c>
      <c r="M1620">
        <f>IF($U1620="","",IF(ISNUMBER(INDEX(상세표[근무일자],$U1620)),TEXT(INDEX(상세표[근무일자],$U1620),"yyyy-mm-dd"),INDEX(상세표[근무일자],$U1620)&amp;""))</f>
        <v/>
      </c>
      <c r="N1620">
        <f>IF($U1620="","",IF(ISNUMBER(INDEX(상세표[시작],$U1620)),TEXT(INDEX(상세표[시작],$U1620),"yyyy-mm-dd hh:mm"),INDEX(상세표[시작],$U1620)&amp;""))</f>
        <v/>
      </c>
      <c r="O1620">
        <f>IF($U1620="","",IF(ISNUMBER(INDEX(상세표[종료],$U1620)),TEXT(INDEX(상세표[종료],$U1620),"yyyy-mm-dd hh:mm"),INDEX(상세표[종료],$U1620)&amp;""))</f>
        <v/>
      </c>
      <c r="P1620">
        <f>IF($U1620="","",INDEX(상세표[06~07시],$U1620))</f>
        <v/>
      </c>
      <c r="Q1620">
        <f>IF($U1620="","",INDEX(상세표[07~18시],$U1620))</f>
        <v/>
      </c>
      <c r="R1620">
        <f>IF($U1620="","",INDEX(상세표[18~22시],$U1620))</f>
        <v/>
      </c>
      <c r="S1620">
        <f>IF($U1620="","",INDEX(상세표[22~06시],$U1620))</f>
        <v/>
      </c>
      <c r="T1620">
        <f>IF($U1620="","",INDEX(상세표[기록 시간외],$U1620))</f>
        <v/>
      </c>
      <c r="U1620" s="4">
        <f>IFERROR(MATCH(1615,상세표[발송순번],0),"")</f>
        <v/>
      </c>
    </row>
    <row r="1621">
      <c r="J1621">
        <f>IF($U1621="","",INDEX(상세표[사번],$U1621)&amp;"")</f>
        <v/>
      </c>
      <c r="K1621">
        <f>IF($U1621="","",INDEX(상세표[성명],$U1621)&amp;"")</f>
        <v/>
      </c>
      <c r="L1621">
        <f>IF($U1621="","",INDEX(상세표[직위],$U1621)&amp;"")</f>
        <v/>
      </c>
      <c r="M1621">
        <f>IF($U1621="","",IF(ISNUMBER(INDEX(상세표[근무일자],$U1621)),TEXT(INDEX(상세표[근무일자],$U1621),"yyyy-mm-dd"),INDEX(상세표[근무일자],$U1621)&amp;""))</f>
        <v/>
      </c>
      <c r="N1621">
        <f>IF($U1621="","",IF(ISNUMBER(INDEX(상세표[시작],$U1621)),TEXT(INDEX(상세표[시작],$U1621),"yyyy-mm-dd hh:mm"),INDEX(상세표[시작],$U1621)&amp;""))</f>
        <v/>
      </c>
      <c r="O1621">
        <f>IF($U1621="","",IF(ISNUMBER(INDEX(상세표[종료],$U1621)),TEXT(INDEX(상세표[종료],$U1621),"yyyy-mm-dd hh:mm"),INDEX(상세표[종료],$U1621)&amp;""))</f>
        <v/>
      </c>
      <c r="P1621">
        <f>IF($U1621="","",INDEX(상세표[06~07시],$U1621))</f>
        <v/>
      </c>
      <c r="Q1621">
        <f>IF($U1621="","",INDEX(상세표[07~18시],$U1621))</f>
        <v/>
      </c>
      <c r="R1621">
        <f>IF($U1621="","",INDEX(상세표[18~22시],$U1621))</f>
        <v/>
      </c>
      <c r="S1621">
        <f>IF($U1621="","",INDEX(상세표[22~06시],$U1621))</f>
        <v/>
      </c>
      <c r="T1621">
        <f>IF($U1621="","",INDEX(상세표[기록 시간외],$U1621))</f>
        <v/>
      </c>
      <c r="U1621" s="4">
        <f>IFERROR(MATCH(1616,상세표[발송순번],0),"")</f>
        <v/>
      </c>
    </row>
    <row r="1622">
      <c r="J1622">
        <f>IF($U1622="","",INDEX(상세표[사번],$U1622)&amp;"")</f>
        <v/>
      </c>
      <c r="K1622">
        <f>IF($U1622="","",INDEX(상세표[성명],$U1622)&amp;"")</f>
        <v/>
      </c>
      <c r="L1622">
        <f>IF($U1622="","",INDEX(상세표[직위],$U1622)&amp;"")</f>
        <v/>
      </c>
      <c r="M1622">
        <f>IF($U1622="","",IF(ISNUMBER(INDEX(상세표[근무일자],$U1622)),TEXT(INDEX(상세표[근무일자],$U1622),"yyyy-mm-dd"),INDEX(상세표[근무일자],$U1622)&amp;""))</f>
        <v/>
      </c>
      <c r="N1622">
        <f>IF($U1622="","",IF(ISNUMBER(INDEX(상세표[시작],$U1622)),TEXT(INDEX(상세표[시작],$U1622),"yyyy-mm-dd hh:mm"),INDEX(상세표[시작],$U1622)&amp;""))</f>
        <v/>
      </c>
      <c r="O1622">
        <f>IF($U1622="","",IF(ISNUMBER(INDEX(상세표[종료],$U1622)),TEXT(INDEX(상세표[종료],$U1622),"yyyy-mm-dd hh:mm"),INDEX(상세표[종료],$U1622)&amp;""))</f>
        <v/>
      </c>
      <c r="P1622">
        <f>IF($U1622="","",INDEX(상세표[06~07시],$U1622))</f>
        <v/>
      </c>
      <c r="Q1622">
        <f>IF($U1622="","",INDEX(상세표[07~18시],$U1622))</f>
        <v/>
      </c>
      <c r="R1622">
        <f>IF($U1622="","",INDEX(상세표[18~22시],$U1622))</f>
        <v/>
      </c>
      <c r="S1622">
        <f>IF($U1622="","",INDEX(상세표[22~06시],$U1622))</f>
        <v/>
      </c>
      <c r="T1622">
        <f>IF($U1622="","",INDEX(상세표[기록 시간외],$U1622))</f>
        <v/>
      </c>
      <c r="U1622" s="4">
        <f>IFERROR(MATCH(1617,상세표[발송순번],0),"")</f>
        <v/>
      </c>
    </row>
    <row r="1623">
      <c r="J1623">
        <f>IF($U1623="","",INDEX(상세표[사번],$U1623)&amp;"")</f>
        <v/>
      </c>
      <c r="K1623">
        <f>IF($U1623="","",INDEX(상세표[성명],$U1623)&amp;"")</f>
        <v/>
      </c>
      <c r="L1623">
        <f>IF($U1623="","",INDEX(상세표[직위],$U1623)&amp;"")</f>
        <v/>
      </c>
      <c r="M1623">
        <f>IF($U1623="","",IF(ISNUMBER(INDEX(상세표[근무일자],$U1623)),TEXT(INDEX(상세표[근무일자],$U1623),"yyyy-mm-dd"),INDEX(상세표[근무일자],$U1623)&amp;""))</f>
        <v/>
      </c>
      <c r="N1623">
        <f>IF($U1623="","",IF(ISNUMBER(INDEX(상세표[시작],$U1623)),TEXT(INDEX(상세표[시작],$U1623),"yyyy-mm-dd hh:mm"),INDEX(상세표[시작],$U1623)&amp;""))</f>
        <v/>
      </c>
      <c r="O1623">
        <f>IF($U1623="","",IF(ISNUMBER(INDEX(상세표[종료],$U1623)),TEXT(INDEX(상세표[종료],$U1623),"yyyy-mm-dd hh:mm"),INDEX(상세표[종료],$U1623)&amp;""))</f>
        <v/>
      </c>
      <c r="P1623">
        <f>IF($U1623="","",INDEX(상세표[06~07시],$U1623))</f>
        <v/>
      </c>
      <c r="Q1623">
        <f>IF($U1623="","",INDEX(상세표[07~18시],$U1623))</f>
        <v/>
      </c>
      <c r="R1623">
        <f>IF($U1623="","",INDEX(상세표[18~22시],$U1623))</f>
        <v/>
      </c>
      <c r="S1623">
        <f>IF($U1623="","",INDEX(상세표[22~06시],$U1623))</f>
        <v/>
      </c>
      <c r="T1623">
        <f>IF($U1623="","",INDEX(상세표[기록 시간외],$U1623))</f>
        <v/>
      </c>
      <c r="U1623" s="4">
        <f>IFERROR(MATCH(1618,상세표[발송순번],0),"")</f>
        <v/>
      </c>
    </row>
    <row r="1624">
      <c r="J1624">
        <f>IF($U1624="","",INDEX(상세표[사번],$U1624)&amp;"")</f>
        <v/>
      </c>
      <c r="K1624">
        <f>IF($U1624="","",INDEX(상세표[성명],$U1624)&amp;"")</f>
        <v/>
      </c>
      <c r="L1624">
        <f>IF($U1624="","",INDEX(상세표[직위],$U1624)&amp;"")</f>
        <v/>
      </c>
      <c r="M1624">
        <f>IF($U1624="","",IF(ISNUMBER(INDEX(상세표[근무일자],$U1624)),TEXT(INDEX(상세표[근무일자],$U1624),"yyyy-mm-dd"),INDEX(상세표[근무일자],$U1624)&amp;""))</f>
        <v/>
      </c>
      <c r="N1624">
        <f>IF($U1624="","",IF(ISNUMBER(INDEX(상세표[시작],$U1624)),TEXT(INDEX(상세표[시작],$U1624),"yyyy-mm-dd hh:mm"),INDEX(상세표[시작],$U1624)&amp;""))</f>
        <v/>
      </c>
      <c r="O1624">
        <f>IF($U1624="","",IF(ISNUMBER(INDEX(상세표[종료],$U1624)),TEXT(INDEX(상세표[종료],$U1624),"yyyy-mm-dd hh:mm"),INDEX(상세표[종료],$U1624)&amp;""))</f>
        <v/>
      </c>
      <c r="P1624">
        <f>IF($U1624="","",INDEX(상세표[06~07시],$U1624))</f>
        <v/>
      </c>
      <c r="Q1624">
        <f>IF($U1624="","",INDEX(상세표[07~18시],$U1624))</f>
        <v/>
      </c>
      <c r="R1624">
        <f>IF($U1624="","",INDEX(상세표[18~22시],$U1624))</f>
        <v/>
      </c>
      <c r="S1624">
        <f>IF($U1624="","",INDEX(상세표[22~06시],$U1624))</f>
        <v/>
      </c>
      <c r="T1624">
        <f>IF($U1624="","",INDEX(상세표[기록 시간외],$U1624))</f>
        <v/>
      </c>
      <c r="U1624" s="4">
        <f>IFERROR(MATCH(1619,상세표[발송순번],0),"")</f>
        <v/>
      </c>
    </row>
    <row r="1625">
      <c r="J1625">
        <f>IF($U1625="","",INDEX(상세표[사번],$U1625)&amp;"")</f>
        <v/>
      </c>
      <c r="K1625">
        <f>IF($U1625="","",INDEX(상세표[성명],$U1625)&amp;"")</f>
        <v/>
      </c>
      <c r="L1625">
        <f>IF($U1625="","",INDEX(상세표[직위],$U1625)&amp;"")</f>
        <v/>
      </c>
      <c r="M1625">
        <f>IF($U1625="","",IF(ISNUMBER(INDEX(상세표[근무일자],$U1625)),TEXT(INDEX(상세표[근무일자],$U1625),"yyyy-mm-dd"),INDEX(상세표[근무일자],$U1625)&amp;""))</f>
        <v/>
      </c>
      <c r="N1625">
        <f>IF($U1625="","",IF(ISNUMBER(INDEX(상세표[시작],$U1625)),TEXT(INDEX(상세표[시작],$U1625),"yyyy-mm-dd hh:mm"),INDEX(상세표[시작],$U1625)&amp;""))</f>
        <v/>
      </c>
      <c r="O1625">
        <f>IF($U1625="","",IF(ISNUMBER(INDEX(상세표[종료],$U1625)),TEXT(INDEX(상세표[종료],$U1625),"yyyy-mm-dd hh:mm"),INDEX(상세표[종료],$U1625)&amp;""))</f>
        <v/>
      </c>
      <c r="P1625">
        <f>IF($U1625="","",INDEX(상세표[06~07시],$U1625))</f>
        <v/>
      </c>
      <c r="Q1625">
        <f>IF($U1625="","",INDEX(상세표[07~18시],$U1625))</f>
        <v/>
      </c>
      <c r="R1625">
        <f>IF($U1625="","",INDEX(상세표[18~22시],$U1625))</f>
        <v/>
      </c>
      <c r="S1625">
        <f>IF($U1625="","",INDEX(상세표[22~06시],$U1625))</f>
        <v/>
      </c>
      <c r="T1625">
        <f>IF($U1625="","",INDEX(상세표[기록 시간외],$U1625))</f>
        <v/>
      </c>
      <c r="U1625" s="4">
        <f>IFERROR(MATCH(1620,상세표[발송순번],0),"")</f>
        <v/>
      </c>
    </row>
    <row r="1626">
      <c r="J1626">
        <f>IF($U1626="","",INDEX(상세표[사번],$U1626)&amp;"")</f>
        <v/>
      </c>
      <c r="K1626">
        <f>IF($U1626="","",INDEX(상세표[성명],$U1626)&amp;"")</f>
        <v/>
      </c>
      <c r="L1626">
        <f>IF($U1626="","",INDEX(상세표[직위],$U1626)&amp;"")</f>
        <v/>
      </c>
      <c r="M1626">
        <f>IF($U1626="","",IF(ISNUMBER(INDEX(상세표[근무일자],$U1626)),TEXT(INDEX(상세표[근무일자],$U1626),"yyyy-mm-dd"),INDEX(상세표[근무일자],$U1626)&amp;""))</f>
        <v/>
      </c>
      <c r="N1626">
        <f>IF($U1626="","",IF(ISNUMBER(INDEX(상세표[시작],$U1626)),TEXT(INDEX(상세표[시작],$U1626),"yyyy-mm-dd hh:mm"),INDEX(상세표[시작],$U1626)&amp;""))</f>
        <v/>
      </c>
      <c r="O1626">
        <f>IF($U1626="","",IF(ISNUMBER(INDEX(상세표[종료],$U1626)),TEXT(INDEX(상세표[종료],$U1626),"yyyy-mm-dd hh:mm"),INDEX(상세표[종료],$U1626)&amp;""))</f>
        <v/>
      </c>
      <c r="P1626">
        <f>IF($U1626="","",INDEX(상세표[06~07시],$U1626))</f>
        <v/>
      </c>
      <c r="Q1626">
        <f>IF($U1626="","",INDEX(상세표[07~18시],$U1626))</f>
        <v/>
      </c>
      <c r="R1626">
        <f>IF($U1626="","",INDEX(상세표[18~22시],$U1626))</f>
        <v/>
      </c>
      <c r="S1626">
        <f>IF($U1626="","",INDEX(상세표[22~06시],$U1626))</f>
        <v/>
      </c>
      <c r="T1626">
        <f>IF($U1626="","",INDEX(상세표[기록 시간외],$U1626))</f>
        <v/>
      </c>
      <c r="U1626" s="4">
        <f>IFERROR(MATCH(1621,상세표[발송순번],0),"")</f>
        <v/>
      </c>
    </row>
    <row r="1627">
      <c r="J1627">
        <f>IF($U1627="","",INDEX(상세표[사번],$U1627)&amp;"")</f>
        <v/>
      </c>
      <c r="K1627">
        <f>IF($U1627="","",INDEX(상세표[성명],$U1627)&amp;"")</f>
        <v/>
      </c>
      <c r="L1627">
        <f>IF($U1627="","",INDEX(상세표[직위],$U1627)&amp;"")</f>
        <v/>
      </c>
      <c r="M1627">
        <f>IF($U1627="","",IF(ISNUMBER(INDEX(상세표[근무일자],$U1627)),TEXT(INDEX(상세표[근무일자],$U1627),"yyyy-mm-dd"),INDEX(상세표[근무일자],$U1627)&amp;""))</f>
        <v/>
      </c>
      <c r="N1627">
        <f>IF($U1627="","",IF(ISNUMBER(INDEX(상세표[시작],$U1627)),TEXT(INDEX(상세표[시작],$U1627),"yyyy-mm-dd hh:mm"),INDEX(상세표[시작],$U1627)&amp;""))</f>
        <v/>
      </c>
      <c r="O1627">
        <f>IF($U1627="","",IF(ISNUMBER(INDEX(상세표[종료],$U1627)),TEXT(INDEX(상세표[종료],$U1627),"yyyy-mm-dd hh:mm"),INDEX(상세표[종료],$U1627)&amp;""))</f>
        <v/>
      </c>
      <c r="P1627">
        <f>IF($U1627="","",INDEX(상세표[06~07시],$U1627))</f>
        <v/>
      </c>
      <c r="Q1627">
        <f>IF($U1627="","",INDEX(상세표[07~18시],$U1627))</f>
        <v/>
      </c>
      <c r="R1627">
        <f>IF($U1627="","",INDEX(상세표[18~22시],$U1627))</f>
        <v/>
      </c>
      <c r="S1627">
        <f>IF($U1627="","",INDEX(상세표[22~06시],$U1627))</f>
        <v/>
      </c>
      <c r="T1627">
        <f>IF($U1627="","",INDEX(상세표[기록 시간외],$U1627))</f>
        <v/>
      </c>
      <c r="U1627" s="4">
        <f>IFERROR(MATCH(1622,상세표[발송순번],0),"")</f>
        <v/>
      </c>
    </row>
    <row r="1628">
      <c r="J1628">
        <f>IF($U1628="","",INDEX(상세표[사번],$U1628)&amp;"")</f>
        <v/>
      </c>
      <c r="K1628">
        <f>IF($U1628="","",INDEX(상세표[성명],$U1628)&amp;"")</f>
        <v/>
      </c>
      <c r="L1628">
        <f>IF($U1628="","",INDEX(상세표[직위],$U1628)&amp;"")</f>
        <v/>
      </c>
      <c r="M1628">
        <f>IF($U1628="","",IF(ISNUMBER(INDEX(상세표[근무일자],$U1628)),TEXT(INDEX(상세표[근무일자],$U1628),"yyyy-mm-dd"),INDEX(상세표[근무일자],$U1628)&amp;""))</f>
        <v/>
      </c>
      <c r="N1628">
        <f>IF($U1628="","",IF(ISNUMBER(INDEX(상세표[시작],$U1628)),TEXT(INDEX(상세표[시작],$U1628),"yyyy-mm-dd hh:mm"),INDEX(상세표[시작],$U1628)&amp;""))</f>
        <v/>
      </c>
      <c r="O1628">
        <f>IF($U1628="","",IF(ISNUMBER(INDEX(상세표[종료],$U1628)),TEXT(INDEX(상세표[종료],$U1628),"yyyy-mm-dd hh:mm"),INDEX(상세표[종료],$U1628)&amp;""))</f>
        <v/>
      </c>
      <c r="P1628">
        <f>IF($U1628="","",INDEX(상세표[06~07시],$U1628))</f>
        <v/>
      </c>
      <c r="Q1628">
        <f>IF($U1628="","",INDEX(상세표[07~18시],$U1628))</f>
        <v/>
      </c>
      <c r="R1628">
        <f>IF($U1628="","",INDEX(상세표[18~22시],$U1628))</f>
        <v/>
      </c>
      <c r="S1628">
        <f>IF($U1628="","",INDEX(상세표[22~06시],$U1628))</f>
        <v/>
      </c>
      <c r="T1628">
        <f>IF($U1628="","",INDEX(상세표[기록 시간외],$U1628))</f>
        <v/>
      </c>
      <c r="U1628" s="4">
        <f>IFERROR(MATCH(1623,상세표[발송순번],0),"")</f>
        <v/>
      </c>
    </row>
    <row r="1629">
      <c r="J1629">
        <f>IF($U1629="","",INDEX(상세표[사번],$U1629)&amp;"")</f>
        <v/>
      </c>
      <c r="K1629">
        <f>IF($U1629="","",INDEX(상세표[성명],$U1629)&amp;"")</f>
        <v/>
      </c>
      <c r="L1629">
        <f>IF($U1629="","",INDEX(상세표[직위],$U1629)&amp;"")</f>
        <v/>
      </c>
      <c r="M1629">
        <f>IF($U1629="","",IF(ISNUMBER(INDEX(상세표[근무일자],$U1629)),TEXT(INDEX(상세표[근무일자],$U1629),"yyyy-mm-dd"),INDEX(상세표[근무일자],$U1629)&amp;""))</f>
        <v/>
      </c>
      <c r="N1629">
        <f>IF($U1629="","",IF(ISNUMBER(INDEX(상세표[시작],$U1629)),TEXT(INDEX(상세표[시작],$U1629),"yyyy-mm-dd hh:mm"),INDEX(상세표[시작],$U1629)&amp;""))</f>
        <v/>
      </c>
      <c r="O1629">
        <f>IF($U1629="","",IF(ISNUMBER(INDEX(상세표[종료],$U1629)),TEXT(INDEX(상세표[종료],$U1629),"yyyy-mm-dd hh:mm"),INDEX(상세표[종료],$U1629)&amp;""))</f>
        <v/>
      </c>
      <c r="P1629">
        <f>IF($U1629="","",INDEX(상세표[06~07시],$U1629))</f>
        <v/>
      </c>
      <c r="Q1629">
        <f>IF($U1629="","",INDEX(상세표[07~18시],$U1629))</f>
        <v/>
      </c>
      <c r="R1629">
        <f>IF($U1629="","",INDEX(상세표[18~22시],$U1629))</f>
        <v/>
      </c>
      <c r="S1629">
        <f>IF($U1629="","",INDEX(상세표[22~06시],$U1629))</f>
        <v/>
      </c>
      <c r="T1629">
        <f>IF($U1629="","",INDEX(상세표[기록 시간외],$U1629))</f>
        <v/>
      </c>
      <c r="U1629" s="4">
        <f>IFERROR(MATCH(1624,상세표[발송순번],0),"")</f>
        <v/>
      </c>
    </row>
    <row r="1630">
      <c r="J1630">
        <f>IF($U1630="","",INDEX(상세표[사번],$U1630)&amp;"")</f>
        <v/>
      </c>
      <c r="K1630">
        <f>IF($U1630="","",INDEX(상세표[성명],$U1630)&amp;"")</f>
        <v/>
      </c>
      <c r="L1630">
        <f>IF($U1630="","",INDEX(상세표[직위],$U1630)&amp;"")</f>
        <v/>
      </c>
      <c r="M1630">
        <f>IF($U1630="","",IF(ISNUMBER(INDEX(상세표[근무일자],$U1630)),TEXT(INDEX(상세표[근무일자],$U1630),"yyyy-mm-dd"),INDEX(상세표[근무일자],$U1630)&amp;""))</f>
        <v/>
      </c>
      <c r="N1630">
        <f>IF($U1630="","",IF(ISNUMBER(INDEX(상세표[시작],$U1630)),TEXT(INDEX(상세표[시작],$U1630),"yyyy-mm-dd hh:mm"),INDEX(상세표[시작],$U1630)&amp;""))</f>
        <v/>
      </c>
      <c r="O1630">
        <f>IF($U1630="","",IF(ISNUMBER(INDEX(상세표[종료],$U1630)),TEXT(INDEX(상세표[종료],$U1630),"yyyy-mm-dd hh:mm"),INDEX(상세표[종료],$U1630)&amp;""))</f>
        <v/>
      </c>
      <c r="P1630">
        <f>IF($U1630="","",INDEX(상세표[06~07시],$U1630))</f>
        <v/>
      </c>
      <c r="Q1630">
        <f>IF($U1630="","",INDEX(상세표[07~18시],$U1630))</f>
        <v/>
      </c>
      <c r="R1630">
        <f>IF($U1630="","",INDEX(상세표[18~22시],$U1630))</f>
        <v/>
      </c>
      <c r="S1630">
        <f>IF($U1630="","",INDEX(상세표[22~06시],$U1630))</f>
        <v/>
      </c>
      <c r="T1630">
        <f>IF($U1630="","",INDEX(상세표[기록 시간외],$U1630))</f>
        <v/>
      </c>
      <c r="U1630" s="4">
        <f>IFERROR(MATCH(1625,상세표[발송순번],0),"")</f>
        <v/>
      </c>
    </row>
    <row r="1631">
      <c r="J1631">
        <f>IF($U1631="","",INDEX(상세표[사번],$U1631)&amp;"")</f>
        <v/>
      </c>
      <c r="K1631">
        <f>IF($U1631="","",INDEX(상세표[성명],$U1631)&amp;"")</f>
        <v/>
      </c>
      <c r="L1631">
        <f>IF($U1631="","",INDEX(상세표[직위],$U1631)&amp;"")</f>
        <v/>
      </c>
      <c r="M1631">
        <f>IF($U1631="","",IF(ISNUMBER(INDEX(상세표[근무일자],$U1631)),TEXT(INDEX(상세표[근무일자],$U1631),"yyyy-mm-dd"),INDEX(상세표[근무일자],$U1631)&amp;""))</f>
        <v/>
      </c>
      <c r="N1631">
        <f>IF($U1631="","",IF(ISNUMBER(INDEX(상세표[시작],$U1631)),TEXT(INDEX(상세표[시작],$U1631),"yyyy-mm-dd hh:mm"),INDEX(상세표[시작],$U1631)&amp;""))</f>
        <v/>
      </c>
      <c r="O1631">
        <f>IF($U1631="","",IF(ISNUMBER(INDEX(상세표[종료],$U1631)),TEXT(INDEX(상세표[종료],$U1631),"yyyy-mm-dd hh:mm"),INDEX(상세표[종료],$U1631)&amp;""))</f>
        <v/>
      </c>
      <c r="P1631">
        <f>IF($U1631="","",INDEX(상세표[06~07시],$U1631))</f>
        <v/>
      </c>
      <c r="Q1631">
        <f>IF($U1631="","",INDEX(상세표[07~18시],$U1631))</f>
        <v/>
      </c>
      <c r="R1631">
        <f>IF($U1631="","",INDEX(상세표[18~22시],$U1631))</f>
        <v/>
      </c>
      <c r="S1631">
        <f>IF($U1631="","",INDEX(상세표[22~06시],$U1631))</f>
        <v/>
      </c>
      <c r="T1631">
        <f>IF($U1631="","",INDEX(상세표[기록 시간외],$U1631))</f>
        <v/>
      </c>
      <c r="U1631" s="4">
        <f>IFERROR(MATCH(1626,상세표[발송순번],0),"")</f>
        <v/>
      </c>
    </row>
    <row r="1632">
      <c r="J1632">
        <f>IF($U1632="","",INDEX(상세표[사번],$U1632)&amp;"")</f>
        <v/>
      </c>
      <c r="K1632">
        <f>IF($U1632="","",INDEX(상세표[성명],$U1632)&amp;"")</f>
        <v/>
      </c>
      <c r="L1632">
        <f>IF($U1632="","",INDEX(상세표[직위],$U1632)&amp;"")</f>
        <v/>
      </c>
      <c r="M1632">
        <f>IF($U1632="","",IF(ISNUMBER(INDEX(상세표[근무일자],$U1632)),TEXT(INDEX(상세표[근무일자],$U1632),"yyyy-mm-dd"),INDEX(상세표[근무일자],$U1632)&amp;""))</f>
        <v/>
      </c>
      <c r="N1632">
        <f>IF($U1632="","",IF(ISNUMBER(INDEX(상세표[시작],$U1632)),TEXT(INDEX(상세표[시작],$U1632),"yyyy-mm-dd hh:mm"),INDEX(상세표[시작],$U1632)&amp;""))</f>
        <v/>
      </c>
      <c r="O1632">
        <f>IF($U1632="","",IF(ISNUMBER(INDEX(상세표[종료],$U1632)),TEXT(INDEX(상세표[종료],$U1632),"yyyy-mm-dd hh:mm"),INDEX(상세표[종료],$U1632)&amp;""))</f>
        <v/>
      </c>
      <c r="P1632">
        <f>IF($U1632="","",INDEX(상세표[06~07시],$U1632))</f>
        <v/>
      </c>
      <c r="Q1632">
        <f>IF($U1632="","",INDEX(상세표[07~18시],$U1632))</f>
        <v/>
      </c>
      <c r="R1632">
        <f>IF($U1632="","",INDEX(상세표[18~22시],$U1632))</f>
        <v/>
      </c>
      <c r="S1632">
        <f>IF($U1632="","",INDEX(상세표[22~06시],$U1632))</f>
        <v/>
      </c>
      <c r="T1632">
        <f>IF($U1632="","",INDEX(상세표[기록 시간외],$U1632))</f>
        <v/>
      </c>
      <c r="U1632" s="4">
        <f>IFERROR(MATCH(1627,상세표[발송순번],0),"")</f>
        <v/>
      </c>
    </row>
    <row r="1633">
      <c r="J1633">
        <f>IF($U1633="","",INDEX(상세표[사번],$U1633)&amp;"")</f>
        <v/>
      </c>
      <c r="K1633">
        <f>IF($U1633="","",INDEX(상세표[성명],$U1633)&amp;"")</f>
        <v/>
      </c>
      <c r="L1633">
        <f>IF($U1633="","",INDEX(상세표[직위],$U1633)&amp;"")</f>
        <v/>
      </c>
      <c r="M1633">
        <f>IF($U1633="","",IF(ISNUMBER(INDEX(상세표[근무일자],$U1633)),TEXT(INDEX(상세표[근무일자],$U1633),"yyyy-mm-dd"),INDEX(상세표[근무일자],$U1633)&amp;""))</f>
        <v/>
      </c>
      <c r="N1633">
        <f>IF($U1633="","",IF(ISNUMBER(INDEX(상세표[시작],$U1633)),TEXT(INDEX(상세표[시작],$U1633),"yyyy-mm-dd hh:mm"),INDEX(상세표[시작],$U1633)&amp;""))</f>
        <v/>
      </c>
      <c r="O1633">
        <f>IF($U1633="","",IF(ISNUMBER(INDEX(상세표[종료],$U1633)),TEXT(INDEX(상세표[종료],$U1633),"yyyy-mm-dd hh:mm"),INDEX(상세표[종료],$U1633)&amp;""))</f>
        <v/>
      </c>
      <c r="P1633">
        <f>IF($U1633="","",INDEX(상세표[06~07시],$U1633))</f>
        <v/>
      </c>
      <c r="Q1633">
        <f>IF($U1633="","",INDEX(상세표[07~18시],$U1633))</f>
        <v/>
      </c>
      <c r="R1633">
        <f>IF($U1633="","",INDEX(상세표[18~22시],$U1633))</f>
        <v/>
      </c>
      <c r="S1633">
        <f>IF($U1633="","",INDEX(상세표[22~06시],$U1633))</f>
        <v/>
      </c>
      <c r="T1633">
        <f>IF($U1633="","",INDEX(상세표[기록 시간외],$U1633))</f>
        <v/>
      </c>
      <c r="U1633" s="4">
        <f>IFERROR(MATCH(1628,상세표[발송순번],0),"")</f>
        <v/>
      </c>
    </row>
    <row r="1634">
      <c r="J1634">
        <f>IF($U1634="","",INDEX(상세표[사번],$U1634)&amp;"")</f>
        <v/>
      </c>
      <c r="K1634">
        <f>IF($U1634="","",INDEX(상세표[성명],$U1634)&amp;"")</f>
        <v/>
      </c>
      <c r="L1634">
        <f>IF($U1634="","",INDEX(상세표[직위],$U1634)&amp;"")</f>
        <v/>
      </c>
      <c r="M1634">
        <f>IF($U1634="","",IF(ISNUMBER(INDEX(상세표[근무일자],$U1634)),TEXT(INDEX(상세표[근무일자],$U1634),"yyyy-mm-dd"),INDEX(상세표[근무일자],$U1634)&amp;""))</f>
        <v/>
      </c>
      <c r="N1634">
        <f>IF($U1634="","",IF(ISNUMBER(INDEX(상세표[시작],$U1634)),TEXT(INDEX(상세표[시작],$U1634),"yyyy-mm-dd hh:mm"),INDEX(상세표[시작],$U1634)&amp;""))</f>
        <v/>
      </c>
      <c r="O1634">
        <f>IF($U1634="","",IF(ISNUMBER(INDEX(상세표[종료],$U1634)),TEXT(INDEX(상세표[종료],$U1634),"yyyy-mm-dd hh:mm"),INDEX(상세표[종료],$U1634)&amp;""))</f>
        <v/>
      </c>
      <c r="P1634">
        <f>IF($U1634="","",INDEX(상세표[06~07시],$U1634))</f>
        <v/>
      </c>
      <c r="Q1634">
        <f>IF($U1634="","",INDEX(상세표[07~18시],$U1634))</f>
        <v/>
      </c>
      <c r="R1634">
        <f>IF($U1634="","",INDEX(상세표[18~22시],$U1634))</f>
        <v/>
      </c>
      <c r="S1634">
        <f>IF($U1634="","",INDEX(상세표[22~06시],$U1634))</f>
        <v/>
      </c>
      <c r="T1634">
        <f>IF($U1634="","",INDEX(상세표[기록 시간외],$U1634))</f>
        <v/>
      </c>
      <c r="U1634" s="4">
        <f>IFERROR(MATCH(1629,상세표[발송순번],0),"")</f>
        <v/>
      </c>
    </row>
    <row r="1635">
      <c r="J1635">
        <f>IF($U1635="","",INDEX(상세표[사번],$U1635)&amp;"")</f>
        <v/>
      </c>
      <c r="K1635">
        <f>IF($U1635="","",INDEX(상세표[성명],$U1635)&amp;"")</f>
        <v/>
      </c>
      <c r="L1635">
        <f>IF($U1635="","",INDEX(상세표[직위],$U1635)&amp;"")</f>
        <v/>
      </c>
      <c r="M1635">
        <f>IF($U1635="","",IF(ISNUMBER(INDEX(상세표[근무일자],$U1635)),TEXT(INDEX(상세표[근무일자],$U1635),"yyyy-mm-dd"),INDEX(상세표[근무일자],$U1635)&amp;""))</f>
        <v/>
      </c>
      <c r="N1635">
        <f>IF($U1635="","",IF(ISNUMBER(INDEX(상세표[시작],$U1635)),TEXT(INDEX(상세표[시작],$U1635),"yyyy-mm-dd hh:mm"),INDEX(상세표[시작],$U1635)&amp;""))</f>
        <v/>
      </c>
      <c r="O1635">
        <f>IF($U1635="","",IF(ISNUMBER(INDEX(상세표[종료],$U1635)),TEXT(INDEX(상세표[종료],$U1635),"yyyy-mm-dd hh:mm"),INDEX(상세표[종료],$U1635)&amp;""))</f>
        <v/>
      </c>
      <c r="P1635">
        <f>IF($U1635="","",INDEX(상세표[06~07시],$U1635))</f>
        <v/>
      </c>
      <c r="Q1635">
        <f>IF($U1635="","",INDEX(상세표[07~18시],$U1635))</f>
        <v/>
      </c>
      <c r="R1635">
        <f>IF($U1635="","",INDEX(상세표[18~22시],$U1635))</f>
        <v/>
      </c>
      <c r="S1635">
        <f>IF($U1635="","",INDEX(상세표[22~06시],$U1635))</f>
        <v/>
      </c>
      <c r="T1635">
        <f>IF($U1635="","",INDEX(상세표[기록 시간외],$U1635))</f>
        <v/>
      </c>
      <c r="U1635" s="4">
        <f>IFERROR(MATCH(1630,상세표[발송순번],0),"")</f>
        <v/>
      </c>
    </row>
    <row r="1636">
      <c r="J1636">
        <f>IF($U1636="","",INDEX(상세표[사번],$U1636)&amp;"")</f>
        <v/>
      </c>
      <c r="K1636">
        <f>IF($U1636="","",INDEX(상세표[성명],$U1636)&amp;"")</f>
        <v/>
      </c>
      <c r="L1636">
        <f>IF($U1636="","",INDEX(상세표[직위],$U1636)&amp;"")</f>
        <v/>
      </c>
      <c r="M1636">
        <f>IF($U1636="","",IF(ISNUMBER(INDEX(상세표[근무일자],$U1636)),TEXT(INDEX(상세표[근무일자],$U1636),"yyyy-mm-dd"),INDEX(상세표[근무일자],$U1636)&amp;""))</f>
        <v/>
      </c>
      <c r="N1636">
        <f>IF($U1636="","",IF(ISNUMBER(INDEX(상세표[시작],$U1636)),TEXT(INDEX(상세표[시작],$U1636),"yyyy-mm-dd hh:mm"),INDEX(상세표[시작],$U1636)&amp;""))</f>
        <v/>
      </c>
      <c r="O1636">
        <f>IF($U1636="","",IF(ISNUMBER(INDEX(상세표[종료],$U1636)),TEXT(INDEX(상세표[종료],$U1636),"yyyy-mm-dd hh:mm"),INDEX(상세표[종료],$U1636)&amp;""))</f>
        <v/>
      </c>
      <c r="P1636">
        <f>IF($U1636="","",INDEX(상세표[06~07시],$U1636))</f>
        <v/>
      </c>
      <c r="Q1636">
        <f>IF($U1636="","",INDEX(상세표[07~18시],$U1636))</f>
        <v/>
      </c>
      <c r="R1636">
        <f>IF($U1636="","",INDEX(상세표[18~22시],$U1636))</f>
        <v/>
      </c>
      <c r="S1636">
        <f>IF($U1636="","",INDEX(상세표[22~06시],$U1636))</f>
        <v/>
      </c>
      <c r="T1636">
        <f>IF($U1636="","",INDEX(상세표[기록 시간외],$U1636))</f>
        <v/>
      </c>
      <c r="U1636" s="4">
        <f>IFERROR(MATCH(1631,상세표[발송순번],0),"")</f>
        <v/>
      </c>
    </row>
    <row r="1637">
      <c r="J1637">
        <f>IF($U1637="","",INDEX(상세표[사번],$U1637)&amp;"")</f>
        <v/>
      </c>
      <c r="K1637">
        <f>IF($U1637="","",INDEX(상세표[성명],$U1637)&amp;"")</f>
        <v/>
      </c>
      <c r="L1637">
        <f>IF($U1637="","",INDEX(상세표[직위],$U1637)&amp;"")</f>
        <v/>
      </c>
      <c r="M1637">
        <f>IF($U1637="","",IF(ISNUMBER(INDEX(상세표[근무일자],$U1637)),TEXT(INDEX(상세표[근무일자],$U1637),"yyyy-mm-dd"),INDEX(상세표[근무일자],$U1637)&amp;""))</f>
        <v/>
      </c>
      <c r="N1637">
        <f>IF($U1637="","",IF(ISNUMBER(INDEX(상세표[시작],$U1637)),TEXT(INDEX(상세표[시작],$U1637),"yyyy-mm-dd hh:mm"),INDEX(상세표[시작],$U1637)&amp;""))</f>
        <v/>
      </c>
      <c r="O1637">
        <f>IF($U1637="","",IF(ISNUMBER(INDEX(상세표[종료],$U1637)),TEXT(INDEX(상세표[종료],$U1637),"yyyy-mm-dd hh:mm"),INDEX(상세표[종료],$U1637)&amp;""))</f>
        <v/>
      </c>
      <c r="P1637">
        <f>IF($U1637="","",INDEX(상세표[06~07시],$U1637))</f>
        <v/>
      </c>
      <c r="Q1637">
        <f>IF($U1637="","",INDEX(상세표[07~18시],$U1637))</f>
        <v/>
      </c>
      <c r="R1637">
        <f>IF($U1637="","",INDEX(상세표[18~22시],$U1637))</f>
        <v/>
      </c>
      <c r="S1637">
        <f>IF($U1637="","",INDEX(상세표[22~06시],$U1637))</f>
        <v/>
      </c>
      <c r="T1637">
        <f>IF($U1637="","",INDEX(상세표[기록 시간외],$U1637))</f>
        <v/>
      </c>
      <c r="U1637" s="4">
        <f>IFERROR(MATCH(1632,상세표[발송순번],0),"")</f>
        <v/>
      </c>
    </row>
    <row r="1638">
      <c r="J1638">
        <f>IF($U1638="","",INDEX(상세표[사번],$U1638)&amp;"")</f>
        <v/>
      </c>
      <c r="K1638">
        <f>IF($U1638="","",INDEX(상세표[성명],$U1638)&amp;"")</f>
        <v/>
      </c>
      <c r="L1638">
        <f>IF($U1638="","",INDEX(상세표[직위],$U1638)&amp;"")</f>
        <v/>
      </c>
      <c r="M1638">
        <f>IF($U1638="","",IF(ISNUMBER(INDEX(상세표[근무일자],$U1638)),TEXT(INDEX(상세표[근무일자],$U1638),"yyyy-mm-dd"),INDEX(상세표[근무일자],$U1638)&amp;""))</f>
        <v/>
      </c>
      <c r="N1638">
        <f>IF($U1638="","",IF(ISNUMBER(INDEX(상세표[시작],$U1638)),TEXT(INDEX(상세표[시작],$U1638),"yyyy-mm-dd hh:mm"),INDEX(상세표[시작],$U1638)&amp;""))</f>
        <v/>
      </c>
      <c r="O1638">
        <f>IF($U1638="","",IF(ISNUMBER(INDEX(상세표[종료],$U1638)),TEXT(INDEX(상세표[종료],$U1638),"yyyy-mm-dd hh:mm"),INDEX(상세표[종료],$U1638)&amp;""))</f>
        <v/>
      </c>
      <c r="P1638">
        <f>IF($U1638="","",INDEX(상세표[06~07시],$U1638))</f>
        <v/>
      </c>
      <c r="Q1638">
        <f>IF($U1638="","",INDEX(상세표[07~18시],$U1638))</f>
        <v/>
      </c>
      <c r="R1638">
        <f>IF($U1638="","",INDEX(상세표[18~22시],$U1638))</f>
        <v/>
      </c>
      <c r="S1638">
        <f>IF($U1638="","",INDEX(상세표[22~06시],$U1638))</f>
        <v/>
      </c>
      <c r="T1638">
        <f>IF($U1638="","",INDEX(상세표[기록 시간외],$U1638))</f>
        <v/>
      </c>
      <c r="U1638" s="4">
        <f>IFERROR(MATCH(1633,상세표[발송순번],0),"")</f>
        <v/>
      </c>
    </row>
    <row r="1639">
      <c r="J1639">
        <f>IF($U1639="","",INDEX(상세표[사번],$U1639)&amp;"")</f>
        <v/>
      </c>
      <c r="K1639">
        <f>IF($U1639="","",INDEX(상세표[성명],$U1639)&amp;"")</f>
        <v/>
      </c>
      <c r="L1639">
        <f>IF($U1639="","",INDEX(상세표[직위],$U1639)&amp;"")</f>
        <v/>
      </c>
      <c r="M1639">
        <f>IF($U1639="","",IF(ISNUMBER(INDEX(상세표[근무일자],$U1639)),TEXT(INDEX(상세표[근무일자],$U1639),"yyyy-mm-dd"),INDEX(상세표[근무일자],$U1639)&amp;""))</f>
        <v/>
      </c>
      <c r="N1639">
        <f>IF($U1639="","",IF(ISNUMBER(INDEX(상세표[시작],$U1639)),TEXT(INDEX(상세표[시작],$U1639),"yyyy-mm-dd hh:mm"),INDEX(상세표[시작],$U1639)&amp;""))</f>
        <v/>
      </c>
      <c r="O1639">
        <f>IF($U1639="","",IF(ISNUMBER(INDEX(상세표[종료],$U1639)),TEXT(INDEX(상세표[종료],$U1639),"yyyy-mm-dd hh:mm"),INDEX(상세표[종료],$U1639)&amp;""))</f>
        <v/>
      </c>
      <c r="P1639">
        <f>IF($U1639="","",INDEX(상세표[06~07시],$U1639))</f>
        <v/>
      </c>
      <c r="Q1639">
        <f>IF($U1639="","",INDEX(상세표[07~18시],$U1639))</f>
        <v/>
      </c>
      <c r="R1639">
        <f>IF($U1639="","",INDEX(상세표[18~22시],$U1639))</f>
        <v/>
      </c>
      <c r="S1639">
        <f>IF($U1639="","",INDEX(상세표[22~06시],$U1639))</f>
        <v/>
      </c>
      <c r="T1639">
        <f>IF($U1639="","",INDEX(상세표[기록 시간외],$U1639))</f>
        <v/>
      </c>
      <c r="U1639" s="4">
        <f>IFERROR(MATCH(1634,상세표[발송순번],0),"")</f>
        <v/>
      </c>
    </row>
    <row r="1640">
      <c r="J1640">
        <f>IF($U1640="","",INDEX(상세표[사번],$U1640)&amp;"")</f>
        <v/>
      </c>
      <c r="K1640">
        <f>IF($U1640="","",INDEX(상세표[성명],$U1640)&amp;"")</f>
        <v/>
      </c>
      <c r="L1640">
        <f>IF($U1640="","",INDEX(상세표[직위],$U1640)&amp;"")</f>
        <v/>
      </c>
      <c r="M1640">
        <f>IF($U1640="","",IF(ISNUMBER(INDEX(상세표[근무일자],$U1640)),TEXT(INDEX(상세표[근무일자],$U1640),"yyyy-mm-dd"),INDEX(상세표[근무일자],$U1640)&amp;""))</f>
        <v/>
      </c>
      <c r="N1640">
        <f>IF($U1640="","",IF(ISNUMBER(INDEX(상세표[시작],$U1640)),TEXT(INDEX(상세표[시작],$U1640),"yyyy-mm-dd hh:mm"),INDEX(상세표[시작],$U1640)&amp;""))</f>
        <v/>
      </c>
      <c r="O1640">
        <f>IF($U1640="","",IF(ISNUMBER(INDEX(상세표[종료],$U1640)),TEXT(INDEX(상세표[종료],$U1640),"yyyy-mm-dd hh:mm"),INDEX(상세표[종료],$U1640)&amp;""))</f>
        <v/>
      </c>
      <c r="P1640">
        <f>IF($U1640="","",INDEX(상세표[06~07시],$U1640))</f>
        <v/>
      </c>
      <c r="Q1640">
        <f>IF($U1640="","",INDEX(상세표[07~18시],$U1640))</f>
        <v/>
      </c>
      <c r="R1640">
        <f>IF($U1640="","",INDEX(상세표[18~22시],$U1640))</f>
        <v/>
      </c>
      <c r="S1640">
        <f>IF($U1640="","",INDEX(상세표[22~06시],$U1640))</f>
        <v/>
      </c>
      <c r="T1640">
        <f>IF($U1640="","",INDEX(상세표[기록 시간외],$U1640))</f>
        <v/>
      </c>
      <c r="U1640" s="4">
        <f>IFERROR(MATCH(1635,상세표[발송순번],0),"")</f>
        <v/>
      </c>
    </row>
    <row r="1641">
      <c r="J1641">
        <f>IF($U1641="","",INDEX(상세표[사번],$U1641)&amp;"")</f>
        <v/>
      </c>
      <c r="K1641">
        <f>IF($U1641="","",INDEX(상세표[성명],$U1641)&amp;"")</f>
        <v/>
      </c>
      <c r="L1641">
        <f>IF($U1641="","",INDEX(상세표[직위],$U1641)&amp;"")</f>
        <v/>
      </c>
      <c r="M1641">
        <f>IF($U1641="","",IF(ISNUMBER(INDEX(상세표[근무일자],$U1641)),TEXT(INDEX(상세표[근무일자],$U1641),"yyyy-mm-dd"),INDEX(상세표[근무일자],$U1641)&amp;""))</f>
        <v/>
      </c>
      <c r="N1641">
        <f>IF($U1641="","",IF(ISNUMBER(INDEX(상세표[시작],$U1641)),TEXT(INDEX(상세표[시작],$U1641),"yyyy-mm-dd hh:mm"),INDEX(상세표[시작],$U1641)&amp;""))</f>
        <v/>
      </c>
      <c r="O1641">
        <f>IF($U1641="","",IF(ISNUMBER(INDEX(상세표[종료],$U1641)),TEXT(INDEX(상세표[종료],$U1641),"yyyy-mm-dd hh:mm"),INDEX(상세표[종료],$U1641)&amp;""))</f>
        <v/>
      </c>
      <c r="P1641">
        <f>IF($U1641="","",INDEX(상세표[06~07시],$U1641))</f>
        <v/>
      </c>
      <c r="Q1641">
        <f>IF($U1641="","",INDEX(상세표[07~18시],$U1641))</f>
        <v/>
      </c>
      <c r="R1641">
        <f>IF($U1641="","",INDEX(상세표[18~22시],$U1641))</f>
        <v/>
      </c>
      <c r="S1641">
        <f>IF($U1641="","",INDEX(상세표[22~06시],$U1641))</f>
        <v/>
      </c>
      <c r="T1641">
        <f>IF($U1641="","",INDEX(상세표[기록 시간외],$U1641))</f>
        <v/>
      </c>
      <c r="U1641" s="4">
        <f>IFERROR(MATCH(1636,상세표[발송순번],0),"")</f>
        <v/>
      </c>
    </row>
    <row r="1642">
      <c r="J1642">
        <f>IF($U1642="","",INDEX(상세표[사번],$U1642)&amp;"")</f>
        <v/>
      </c>
      <c r="K1642">
        <f>IF($U1642="","",INDEX(상세표[성명],$U1642)&amp;"")</f>
        <v/>
      </c>
      <c r="L1642">
        <f>IF($U1642="","",INDEX(상세표[직위],$U1642)&amp;"")</f>
        <v/>
      </c>
      <c r="M1642">
        <f>IF($U1642="","",IF(ISNUMBER(INDEX(상세표[근무일자],$U1642)),TEXT(INDEX(상세표[근무일자],$U1642),"yyyy-mm-dd"),INDEX(상세표[근무일자],$U1642)&amp;""))</f>
        <v/>
      </c>
      <c r="N1642">
        <f>IF($U1642="","",IF(ISNUMBER(INDEX(상세표[시작],$U1642)),TEXT(INDEX(상세표[시작],$U1642),"yyyy-mm-dd hh:mm"),INDEX(상세표[시작],$U1642)&amp;""))</f>
        <v/>
      </c>
      <c r="O1642">
        <f>IF($U1642="","",IF(ISNUMBER(INDEX(상세표[종료],$U1642)),TEXT(INDEX(상세표[종료],$U1642),"yyyy-mm-dd hh:mm"),INDEX(상세표[종료],$U1642)&amp;""))</f>
        <v/>
      </c>
      <c r="P1642">
        <f>IF($U1642="","",INDEX(상세표[06~07시],$U1642))</f>
        <v/>
      </c>
      <c r="Q1642">
        <f>IF($U1642="","",INDEX(상세표[07~18시],$U1642))</f>
        <v/>
      </c>
      <c r="R1642">
        <f>IF($U1642="","",INDEX(상세표[18~22시],$U1642))</f>
        <v/>
      </c>
      <c r="S1642">
        <f>IF($U1642="","",INDEX(상세표[22~06시],$U1642))</f>
        <v/>
      </c>
      <c r="T1642">
        <f>IF($U1642="","",INDEX(상세표[기록 시간외],$U1642))</f>
        <v/>
      </c>
      <c r="U1642" s="4">
        <f>IFERROR(MATCH(1637,상세표[발송순번],0),"")</f>
        <v/>
      </c>
    </row>
    <row r="1643">
      <c r="J1643">
        <f>IF($U1643="","",INDEX(상세표[사번],$U1643)&amp;"")</f>
        <v/>
      </c>
      <c r="K1643">
        <f>IF($U1643="","",INDEX(상세표[성명],$U1643)&amp;"")</f>
        <v/>
      </c>
      <c r="L1643">
        <f>IF($U1643="","",INDEX(상세표[직위],$U1643)&amp;"")</f>
        <v/>
      </c>
      <c r="M1643">
        <f>IF($U1643="","",IF(ISNUMBER(INDEX(상세표[근무일자],$U1643)),TEXT(INDEX(상세표[근무일자],$U1643),"yyyy-mm-dd"),INDEX(상세표[근무일자],$U1643)&amp;""))</f>
        <v/>
      </c>
      <c r="N1643">
        <f>IF($U1643="","",IF(ISNUMBER(INDEX(상세표[시작],$U1643)),TEXT(INDEX(상세표[시작],$U1643),"yyyy-mm-dd hh:mm"),INDEX(상세표[시작],$U1643)&amp;""))</f>
        <v/>
      </c>
      <c r="O1643">
        <f>IF($U1643="","",IF(ISNUMBER(INDEX(상세표[종료],$U1643)),TEXT(INDEX(상세표[종료],$U1643),"yyyy-mm-dd hh:mm"),INDEX(상세표[종료],$U1643)&amp;""))</f>
        <v/>
      </c>
      <c r="P1643">
        <f>IF($U1643="","",INDEX(상세표[06~07시],$U1643))</f>
        <v/>
      </c>
      <c r="Q1643">
        <f>IF($U1643="","",INDEX(상세표[07~18시],$U1643))</f>
        <v/>
      </c>
      <c r="R1643">
        <f>IF($U1643="","",INDEX(상세표[18~22시],$U1643))</f>
        <v/>
      </c>
      <c r="S1643">
        <f>IF($U1643="","",INDEX(상세표[22~06시],$U1643))</f>
        <v/>
      </c>
      <c r="T1643">
        <f>IF($U1643="","",INDEX(상세표[기록 시간외],$U1643))</f>
        <v/>
      </c>
      <c r="U1643" s="4">
        <f>IFERROR(MATCH(1638,상세표[발송순번],0),"")</f>
        <v/>
      </c>
    </row>
    <row r="1644">
      <c r="J1644">
        <f>IF($U1644="","",INDEX(상세표[사번],$U1644)&amp;"")</f>
        <v/>
      </c>
      <c r="K1644">
        <f>IF($U1644="","",INDEX(상세표[성명],$U1644)&amp;"")</f>
        <v/>
      </c>
      <c r="L1644">
        <f>IF($U1644="","",INDEX(상세표[직위],$U1644)&amp;"")</f>
        <v/>
      </c>
      <c r="M1644">
        <f>IF($U1644="","",IF(ISNUMBER(INDEX(상세표[근무일자],$U1644)),TEXT(INDEX(상세표[근무일자],$U1644),"yyyy-mm-dd"),INDEX(상세표[근무일자],$U1644)&amp;""))</f>
        <v/>
      </c>
      <c r="N1644">
        <f>IF($U1644="","",IF(ISNUMBER(INDEX(상세표[시작],$U1644)),TEXT(INDEX(상세표[시작],$U1644),"yyyy-mm-dd hh:mm"),INDEX(상세표[시작],$U1644)&amp;""))</f>
        <v/>
      </c>
      <c r="O1644">
        <f>IF($U1644="","",IF(ISNUMBER(INDEX(상세표[종료],$U1644)),TEXT(INDEX(상세표[종료],$U1644),"yyyy-mm-dd hh:mm"),INDEX(상세표[종료],$U1644)&amp;""))</f>
        <v/>
      </c>
      <c r="P1644">
        <f>IF($U1644="","",INDEX(상세표[06~07시],$U1644))</f>
        <v/>
      </c>
      <c r="Q1644">
        <f>IF($U1644="","",INDEX(상세표[07~18시],$U1644))</f>
        <v/>
      </c>
      <c r="R1644">
        <f>IF($U1644="","",INDEX(상세표[18~22시],$U1644))</f>
        <v/>
      </c>
      <c r="S1644">
        <f>IF($U1644="","",INDEX(상세표[22~06시],$U1644))</f>
        <v/>
      </c>
      <c r="T1644">
        <f>IF($U1644="","",INDEX(상세표[기록 시간외],$U1644))</f>
        <v/>
      </c>
      <c r="U1644" s="4">
        <f>IFERROR(MATCH(1639,상세표[발송순번],0),"")</f>
        <v/>
      </c>
    </row>
    <row r="1645">
      <c r="J1645">
        <f>IF($U1645="","",INDEX(상세표[사번],$U1645)&amp;"")</f>
        <v/>
      </c>
      <c r="K1645">
        <f>IF($U1645="","",INDEX(상세표[성명],$U1645)&amp;"")</f>
        <v/>
      </c>
      <c r="L1645">
        <f>IF($U1645="","",INDEX(상세표[직위],$U1645)&amp;"")</f>
        <v/>
      </c>
      <c r="M1645">
        <f>IF($U1645="","",IF(ISNUMBER(INDEX(상세표[근무일자],$U1645)),TEXT(INDEX(상세표[근무일자],$U1645),"yyyy-mm-dd"),INDEX(상세표[근무일자],$U1645)&amp;""))</f>
        <v/>
      </c>
      <c r="N1645">
        <f>IF($U1645="","",IF(ISNUMBER(INDEX(상세표[시작],$U1645)),TEXT(INDEX(상세표[시작],$U1645),"yyyy-mm-dd hh:mm"),INDEX(상세표[시작],$U1645)&amp;""))</f>
        <v/>
      </c>
      <c r="O1645">
        <f>IF($U1645="","",IF(ISNUMBER(INDEX(상세표[종료],$U1645)),TEXT(INDEX(상세표[종료],$U1645),"yyyy-mm-dd hh:mm"),INDEX(상세표[종료],$U1645)&amp;""))</f>
        <v/>
      </c>
      <c r="P1645">
        <f>IF($U1645="","",INDEX(상세표[06~07시],$U1645))</f>
        <v/>
      </c>
      <c r="Q1645">
        <f>IF($U1645="","",INDEX(상세표[07~18시],$U1645))</f>
        <v/>
      </c>
      <c r="R1645">
        <f>IF($U1645="","",INDEX(상세표[18~22시],$U1645))</f>
        <v/>
      </c>
      <c r="S1645">
        <f>IF($U1645="","",INDEX(상세표[22~06시],$U1645))</f>
        <v/>
      </c>
      <c r="T1645">
        <f>IF($U1645="","",INDEX(상세표[기록 시간외],$U1645))</f>
        <v/>
      </c>
      <c r="U1645" s="4">
        <f>IFERROR(MATCH(1640,상세표[발송순번],0),"")</f>
        <v/>
      </c>
    </row>
    <row r="1646">
      <c r="J1646">
        <f>IF($U1646="","",INDEX(상세표[사번],$U1646)&amp;"")</f>
        <v/>
      </c>
      <c r="K1646">
        <f>IF($U1646="","",INDEX(상세표[성명],$U1646)&amp;"")</f>
        <v/>
      </c>
      <c r="L1646">
        <f>IF($U1646="","",INDEX(상세표[직위],$U1646)&amp;"")</f>
        <v/>
      </c>
      <c r="M1646">
        <f>IF($U1646="","",IF(ISNUMBER(INDEX(상세표[근무일자],$U1646)),TEXT(INDEX(상세표[근무일자],$U1646),"yyyy-mm-dd"),INDEX(상세표[근무일자],$U1646)&amp;""))</f>
        <v/>
      </c>
      <c r="N1646">
        <f>IF($U1646="","",IF(ISNUMBER(INDEX(상세표[시작],$U1646)),TEXT(INDEX(상세표[시작],$U1646),"yyyy-mm-dd hh:mm"),INDEX(상세표[시작],$U1646)&amp;""))</f>
        <v/>
      </c>
      <c r="O1646">
        <f>IF($U1646="","",IF(ISNUMBER(INDEX(상세표[종료],$U1646)),TEXT(INDEX(상세표[종료],$U1646),"yyyy-mm-dd hh:mm"),INDEX(상세표[종료],$U1646)&amp;""))</f>
        <v/>
      </c>
      <c r="P1646">
        <f>IF($U1646="","",INDEX(상세표[06~07시],$U1646))</f>
        <v/>
      </c>
      <c r="Q1646">
        <f>IF($U1646="","",INDEX(상세표[07~18시],$U1646))</f>
        <v/>
      </c>
      <c r="R1646">
        <f>IF($U1646="","",INDEX(상세표[18~22시],$U1646))</f>
        <v/>
      </c>
      <c r="S1646">
        <f>IF($U1646="","",INDEX(상세표[22~06시],$U1646))</f>
        <v/>
      </c>
      <c r="T1646">
        <f>IF($U1646="","",INDEX(상세표[기록 시간외],$U1646))</f>
        <v/>
      </c>
      <c r="U1646" s="4">
        <f>IFERROR(MATCH(1641,상세표[발송순번],0),"")</f>
        <v/>
      </c>
    </row>
    <row r="1647">
      <c r="J1647">
        <f>IF($U1647="","",INDEX(상세표[사번],$U1647)&amp;"")</f>
        <v/>
      </c>
      <c r="K1647">
        <f>IF($U1647="","",INDEX(상세표[성명],$U1647)&amp;"")</f>
        <v/>
      </c>
      <c r="L1647">
        <f>IF($U1647="","",INDEX(상세표[직위],$U1647)&amp;"")</f>
        <v/>
      </c>
      <c r="M1647">
        <f>IF($U1647="","",IF(ISNUMBER(INDEX(상세표[근무일자],$U1647)),TEXT(INDEX(상세표[근무일자],$U1647),"yyyy-mm-dd"),INDEX(상세표[근무일자],$U1647)&amp;""))</f>
        <v/>
      </c>
      <c r="N1647">
        <f>IF($U1647="","",IF(ISNUMBER(INDEX(상세표[시작],$U1647)),TEXT(INDEX(상세표[시작],$U1647),"yyyy-mm-dd hh:mm"),INDEX(상세표[시작],$U1647)&amp;""))</f>
        <v/>
      </c>
      <c r="O1647">
        <f>IF($U1647="","",IF(ISNUMBER(INDEX(상세표[종료],$U1647)),TEXT(INDEX(상세표[종료],$U1647),"yyyy-mm-dd hh:mm"),INDEX(상세표[종료],$U1647)&amp;""))</f>
        <v/>
      </c>
      <c r="P1647">
        <f>IF($U1647="","",INDEX(상세표[06~07시],$U1647))</f>
        <v/>
      </c>
      <c r="Q1647">
        <f>IF($U1647="","",INDEX(상세표[07~18시],$U1647))</f>
        <v/>
      </c>
      <c r="R1647">
        <f>IF($U1647="","",INDEX(상세표[18~22시],$U1647))</f>
        <v/>
      </c>
      <c r="S1647">
        <f>IF($U1647="","",INDEX(상세표[22~06시],$U1647))</f>
        <v/>
      </c>
      <c r="T1647">
        <f>IF($U1647="","",INDEX(상세표[기록 시간외],$U1647))</f>
        <v/>
      </c>
      <c r="U1647" s="4">
        <f>IFERROR(MATCH(1642,상세표[발송순번],0),"")</f>
        <v/>
      </c>
    </row>
    <row r="1648">
      <c r="J1648">
        <f>IF($U1648="","",INDEX(상세표[사번],$U1648)&amp;"")</f>
        <v/>
      </c>
      <c r="K1648">
        <f>IF($U1648="","",INDEX(상세표[성명],$U1648)&amp;"")</f>
        <v/>
      </c>
      <c r="L1648">
        <f>IF($U1648="","",INDEX(상세표[직위],$U1648)&amp;"")</f>
        <v/>
      </c>
      <c r="M1648">
        <f>IF($U1648="","",IF(ISNUMBER(INDEX(상세표[근무일자],$U1648)),TEXT(INDEX(상세표[근무일자],$U1648),"yyyy-mm-dd"),INDEX(상세표[근무일자],$U1648)&amp;""))</f>
        <v/>
      </c>
      <c r="N1648">
        <f>IF($U1648="","",IF(ISNUMBER(INDEX(상세표[시작],$U1648)),TEXT(INDEX(상세표[시작],$U1648),"yyyy-mm-dd hh:mm"),INDEX(상세표[시작],$U1648)&amp;""))</f>
        <v/>
      </c>
      <c r="O1648">
        <f>IF($U1648="","",IF(ISNUMBER(INDEX(상세표[종료],$U1648)),TEXT(INDEX(상세표[종료],$U1648),"yyyy-mm-dd hh:mm"),INDEX(상세표[종료],$U1648)&amp;""))</f>
        <v/>
      </c>
      <c r="P1648">
        <f>IF($U1648="","",INDEX(상세표[06~07시],$U1648))</f>
        <v/>
      </c>
      <c r="Q1648">
        <f>IF($U1648="","",INDEX(상세표[07~18시],$U1648))</f>
        <v/>
      </c>
      <c r="R1648">
        <f>IF($U1648="","",INDEX(상세표[18~22시],$U1648))</f>
        <v/>
      </c>
      <c r="S1648">
        <f>IF($U1648="","",INDEX(상세표[22~06시],$U1648))</f>
        <v/>
      </c>
      <c r="T1648">
        <f>IF($U1648="","",INDEX(상세표[기록 시간외],$U1648))</f>
        <v/>
      </c>
      <c r="U1648" s="4">
        <f>IFERROR(MATCH(1643,상세표[발송순번],0),"")</f>
        <v/>
      </c>
    </row>
    <row r="1649">
      <c r="J1649">
        <f>IF($U1649="","",INDEX(상세표[사번],$U1649)&amp;"")</f>
        <v/>
      </c>
      <c r="K1649">
        <f>IF($U1649="","",INDEX(상세표[성명],$U1649)&amp;"")</f>
        <v/>
      </c>
      <c r="L1649">
        <f>IF($U1649="","",INDEX(상세표[직위],$U1649)&amp;"")</f>
        <v/>
      </c>
      <c r="M1649">
        <f>IF($U1649="","",IF(ISNUMBER(INDEX(상세표[근무일자],$U1649)),TEXT(INDEX(상세표[근무일자],$U1649),"yyyy-mm-dd"),INDEX(상세표[근무일자],$U1649)&amp;""))</f>
        <v/>
      </c>
      <c r="N1649">
        <f>IF($U1649="","",IF(ISNUMBER(INDEX(상세표[시작],$U1649)),TEXT(INDEX(상세표[시작],$U1649),"yyyy-mm-dd hh:mm"),INDEX(상세표[시작],$U1649)&amp;""))</f>
        <v/>
      </c>
      <c r="O1649">
        <f>IF($U1649="","",IF(ISNUMBER(INDEX(상세표[종료],$U1649)),TEXT(INDEX(상세표[종료],$U1649),"yyyy-mm-dd hh:mm"),INDEX(상세표[종료],$U1649)&amp;""))</f>
        <v/>
      </c>
      <c r="P1649">
        <f>IF($U1649="","",INDEX(상세표[06~07시],$U1649))</f>
        <v/>
      </c>
      <c r="Q1649">
        <f>IF($U1649="","",INDEX(상세표[07~18시],$U1649))</f>
        <v/>
      </c>
      <c r="R1649">
        <f>IF($U1649="","",INDEX(상세표[18~22시],$U1649))</f>
        <v/>
      </c>
      <c r="S1649">
        <f>IF($U1649="","",INDEX(상세표[22~06시],$U1649))</f>
        <v/>
      </c>
      <c r="T1649">
        <f>IF($U1649="","",INDEX(상세표[기록 시간외],$U1649))</f>
        <v/>
      </c>
      <c r="U1649" s="4">
        <f>IFERROR(MATCH(1644,상세표[발송순번],0),"")</f>
        <v/>
      </c>
    </row>
    <row r="1650">
      <c r="J1650">
        <f>IF($U1650="","",INDEX(상세표[사번],$U1650)&amp;"")</f>
        <v/>
      </c>
      <c r="K1650">
        <f>IF($U1650="","",INDEX(상세표[성명],$U1650)&amp;"")</f>
        <v/>
      </c>
      <c r="L1650">
        <f>IF($U1650="","",INDEX(상세표[직위],$U1650)&amp;"")</f>
        <v/>
      </c>
      <c r="M1650">
        <f>IF($U1650="","",IF(ISNUMBER(INDEX(상세표[근무일자],$U1650)),TEXT(INDEX(상세표[근무일자],$U1650),"yyyy-mm-dd"),INDEX(상세표[근무일자],$U1650)&amp;""))</f>
        <v/>
      </c>
      <c r="N1650">
        <f>IF($U1650="","",IF(ISNUMBER(INDEX(상세표[시작],$U1650)),TEXT(INDEX(상세표[시작],$U1650),"yyyy-mm-dd hh:mm"),INDEX(상세표[시작],$U1650)&amp;""))</f>
        <v/>
      </c>
      <c r="O1650">
        <f>IF($U1650="","",IF(ISNUMBER(INDEX(상세표[종료],$U1650)),TEXT(INDEX(상세표[종료],$U1650),"yyyy-mm-dd hh:mm"),INDEX(상세표[종료],$U1650)&amp;""))</f>
        <v/>
      </c>
      <c r="P1650">
        <f>IF($U1650="","",INDEX(상세표[06~07시],$U1650))</f>
        <v/>
      </c>
      <c r="Q1650">
        <f>IF($U1650="","",INDEX(상세표[07~18시],$U1650))</f>
        <v/>
      </c>
      <c r="R1650">
        <f>IF($U1650="","",INDEX(상세표[18~22시],$U1650))</f>
        <v/>
      </c>
      <c r="S1650">
        <f>IF($U1650="","",INDEX(상세표[22~06시],$U1650))</f>
        <v/>
      </c>
      <c r="T1650">
        <f>IF($U1650="","",INDEX(상세표[기록 시간외],$U1650))</f>
        <v/>
      </c>
      <c r="U1650" s="4">
        <f>IFERROR(MATCH(1645,상세표[발송순번],0),"")</f>
        <v/>
      </c>
    </row>
    <row r="1651">
      <c r="J1651">
        <f>IF($U1651="","",INDEX(상세표[사번],$U1651)&amp;"")</f>
        <v/>
      </c>
      <c r="K1651">
        <f>IF($U1651="","",INDEX(상세표[성명],$U1651)&amp;"")</f>
        <v/>
      </c>
      <c r="L1651">
        <f>IF($U1651="","",INDEX(상세표[직위],$U1651)&amp;"")</f>
        <v/>
      </c>
      <c r="M1651">
        <f>IF($U1651="","",IF(ISNUMBER(INDEX(상세표[근무일자],$U1651)),TEXT(INDEX(상세표[근무일자],$U1651),"yyyy-mm-dd"),INDEX(상세표[근무일자],$U1651)&amp;""))</f>
        <v/>
      </c>
      <c r="N1651">
        <f>IF($U1651="","",IF(ISNUMBER(INDEX(상세표[시작],$U1651)),TEXT(INDEX(상세표[시작],$U1651),"yyyy-mm-dd hh:mm"),INDEX(상세표[시작],$U1651)&amp;""))</f>
        <v/>
      </c>
      <c r="O1651">
        <f>IF($U1651="","",IF(ISNUMBER(INDEX(상세표[종료],$U1651)),TEXT(INDEX(상세표[종료],$U1651),"yyyy-mm-dd hh:mm"),INDEX(상세표[종료],$U1651)&amp;""))</f>
        <v/>
      </c>
      <c r="P1651">
        <f>IF($U1651="","",INDEX(상세표[06~07시],$U1651))</f>
        <v/>
      </c>
      <c r="Q1651">
        <f>IF($U1651="","",INDEX(상세표[07~18시],$U1651))</f>
        <v/>
      </c>
      <c r="R1651">
        <f>IF($U1651="","",INDEX(상세표[18~22시],$U1651))</f>
        <v/>
      </c>
      <c r="S1651">
        <f>IF($U1651="","",INDEX(상세표[22~06시],$U1651))</f>
        <v/>
      </c>
      <c r="T1651">
        <f>IF($U1651="","",INDEX(상세표[기록 시간외],$U1651))</f>
        <v/>
      </c>
      <c r="U1651" s="4">
        <f>IFERROR(MATCH(1646,상세표[발송순번],0),"")</f>
        <v/>
      </c>
    </row>
    <row r="1652">
      <c r="J1652">
        <f>IF($U1652="","",INDEX(상세표[사번],$U1652)&amp;"")</f>
        <v/>
      </c>
      <c r="K1652">
        <f>IF($U1652="","",INDEX(상세표[성명],$U1652)&amp;"")</f>
        <v/>
      </c>
      <c r="L1652">
        <f>IF($U1652="","",INDEX(상세표[직위],$U1652)&amp;"")</f>
        <v/>
      </c>
      <c r="M1652">
        <f>IF($U1652="","",IF(ISNUMBER(INDEX(상세표[근무일자],$U1652)),TEXT(INDEX(상세표[근무일자],$U1652),"yyyy-mm-dd"),INDEX(상세표[근무일자],$U1652)&amp;""))</f>
        <v/>
      </c>
      <c r="N1652">
        <f>IF($U1652="","",IF(ISNUMBER(INDEX(상세표[시작],$U1652)),TEXT(INDEX(상세표[시작],$U1652),"yyyy-mm-dd hh:mm"),INDEX(상세표[시작],$U1652)&amp;""))</f>
        <v/>
      </c>
      <c r="O1652">
        <f>IF($U1652="","",IF(ISNUMBER(INDEX(상세표[종료],$U1652)),TEXT(INDEX(상세표[종료],$U1652),"yyyy-mm-dd hh:mm"),INDEX(상세표[종료],$U1652)&amp;""))</f>
        <v/>
      </c>
      <c r="P1652">
        <f>IF($U1652="","",INDEX(상세표[06~07시],$U1652))</f>
        <v/>
      </c>
      <c r="Q1652">
        <f>IF($U1652="","",INDEX(상세표[07~18시],$U1652))</f>
        <v/>
      </c>
      <c r="R1652">
        <f>IF($U1652="","",INDEX(상세표[18~22시],$U1652))</f>
        <v/>
      </c>
      <c r="S1652">
        <f>IF($U1652="","",INDEX(상세표[22~06시],$U1652))</f>
        <v/>
      </c>
      <c r="T1652">
        <f>IF($U1652="","",INDEX(상세표[기록 시간외],$U1652))</f>
        <v/>
      </c>
      <c r="U1652" s="4">
        <f>IFERROR(MATCH(1647,상세표[발송순번],0),"")</f>
        <v/>
      </c>
    </row>
    <row r="1653">
      <c r="J1653">
        <f>IF($U1653="","",INDEX(상세표[사번],$U1653)&amp;"")</f>
        <v/>
      </c>
      <c r="K1653">
        <f>IF($U1653="","",INDEX(상세표[성명],$U1653)&amp;"")</f>
        <v/>
      </c>
      <c r="L1653">
        <f>IF($U1653="","",INDEX(상세표[직위],$U1653)&amp;"")</f>
        <v/>
      </c>
      <c r="M1653">
        <f>IF($U1653="","",IF(ISNUMBER(INDEX(상세표[근무일자],$U1653)),TEXT(INDEX(상세표[근무일자],$U1653),"yyyy-mm-dd"),INDEX(상세표[근무일자],$U1653)&amp;""))</f>
        <v/>
      </c>
      <c r="N1653">
        <f>IF($U1653="","",IF(ISNUMBER(INDEX(상세표[시작],$U1653)),TEXT(INDEX(상세표[시작],$U1653),"yyyy-mm-dd hh:mm"),INDEX(상세표[시작],$U1653)&amp;""))</f>
        <v/>
      </c>
      <c r="O1653">
        <f>IF($U1653="","",IF(ISNUMBER(INDEX(상세표[종료],$U1653)),TEXT(INDEX(상세표[종료],$U1653),"yyyy-mm-dd hh:mm"),INDEX(상세표[종료],$U1653)&amp;""))</f>
        <v/>
      </c>
      <c r="P1653">
        <f>IF($U1653="","",INDEX(상세표[06~07시],$U1653))</f>
        <v/>
      </c>
      <c r="Q1653">
        <f>IF($U1653="","",INDEX(상세표[07~18시],$U1653))</f>
        <v/>
      </c>
      <c r="R1653">
        <f>IF($U1653="","",INDEX(상세표[18~22시],$U1653))</f>
        <v/>
      </c>
      <c r="S1653">
        <f>IF($U1653="","",INDEX(상세표[22~06시],$U1653))</f>
        <v/>
      </c>
      <c r="T1653">
        <f>IF($U1653="","",INDEX(상세표[기록 시간외],$U1653))</f>
        <v/>
      </c>
      <c r="U1653" s="4">
        <f>IFERROR(MATCH(1648,상세표[발송순번],0),"")</f>
        <v/>
      </c>
    </row>
    <row r="1654">
      <c r="J1654">
        <f>IF($U1654="","",INDEX(상세표[사번],$U1654)&amp;"")</f>
        <v/>
      </c>
      <c r="K1654">
        <f>IF($U1654="","",INDEX(상세표[성명],$U1654)&amp;"")</f>
        <v/>
      </c>
      <c r="L1654">
        <f>IF($U1654="","",INDEX(상세표[직위],$U1654)&amp;"")</f>
        <v/>
      </c>
      <c r="M1654">
        <f>IF($U1654="","",IF(ISNUMBER(INDEX(상세표[근무일자],$U1654)),TEXT(INDEX(상세표[근무일자],$U1654),"yyyy-mm-dd"),INDEX(상세표[근무일자],$U1654)&amp;""))</f>
        <v/>
      </c>
      <c r="N1654">
        <f>IF($U1654="","",IF(ISNUMBER(INDEX(상세표[시작],$U1654)),TEXT(INDEX(상세표[시작],$U1654),"yyyy-mm-dd hh:mm"),INDEX(상세표[시작],$U1654)&amp;""))</f>
        <v/>
      </c>
      <c r="O1654">
        <f>IF($U1654="","",IF(ISNUMBER(INDEX(상세표[종료],$U1654)),TEXT(INDEX(상세표[종료],$U1654),"yyyy-mm-dd hh:mm"),INDEX(상세표[종료],$U1654)&amp;""))</f>
        <v/>
      </c>
      <c r="P1654">
        <f>IF($U1654="","",INDEX(상세표[06~07시],$U1654))</f>
        <v/>
      </c>
      <c r="Q1654">
        <f>IF($U1654="","",INDEX(상세표[07~18시],$U1654))</f>
        <v/>
      </c>
      <c r="R1654">
        <f>IF($U1654="","",INDEX(상세표[18~22시],$U1654))</f>
        <v/>
      </c>
      <c r="S1654">
        <f>IF($U1654="","",INDEX(상세표[22~06시],$U1654))</f>
        <v/>
      </c>
      <c r="T1654">
        <f>IF($U1654="","",INDEX(상세표[기록 시간외],$U1654))</f>
        <v/>
      </c>
      <c r="U1654" s="4">
        <f>IFERROR(MATCH(1649,상세표[발송순번],0),"")</f>
        <v/>
      </c>
    </row>
    <row r="1655">
      <c r="J1655">
        <f>IF($U1655="","",INDEX(상세표[사번],$U1655)&amp;"")</f>
        <v/>
      </c>
      <c r="K1655">
        <f>IF($U1655="","",INDEX(상세표[성명],$U1655)&amp;"")</f>
        <v/>
      </c>
      <c r="L1655">
        <f>IF($U1655="","",INDEX(상세표[직위],$U1655)&amp;"")</f>
        <v/>
      </c>
      <c r="M1655">
        <f>IF($U1655="","",IF(ISNUMBER(INDEX(상세표[근무일자],$U1655)),TEXT(INDEX(상세표[근무일자],$U1655),"yyyy-mm-dd"),INDEX(상세표[근무일자],$U1655)&amp;""))</f>
        <v/>
      </c>
      <c r="N1655">
        <f>IF($U1655="","",IF(ISNUMBER(INDEX(상세표[시작],$U1655)),TEXT(INDEX(상세표[시작],$U1655),"yyyy-mm-dd hh:mm"),INDEX(상세표[시작],$U1655)&amp;""))</f>
        <v/>
      </c>
      <c r="O1655">
        <f>IF($U1655="","",IF(ISNUMBER(INDEX(상세표[종료],$U1655)),TEXT(INDEX(상세표[종료],$U1655),"yyyy-mm-dd hh:mm"),INDEX(상세표[종료],$U1655)&amp;""))</f>
        <v/>
      </c>
      <c r="P1655">
        <f>IF($U1655="","",INDEX(상세표[06~07시],$U1655))</f>
        <v/>
      </c>
      <c r="Q1655">
        <f>IF($U1655="","",INDEX(상세표[07~18시],$U1655))</f>
        <v/>
      </c>
      <c r="R1655">
        <f>IF($U1655="","",INDEX(상세표[18~22시],$U1655))</f>
        <v/>
      </c>
      <c r="S1655">
        <f>IF($U1655="","",INDEX(상세표[22~06시],$U1655))</f>
        <v/>
      </c>
      <c r="T1655">
        <f>IF($U1655="","",INDEX(상세표[기록 시간외],$U1655))</f>
        <v/>
      </c>
      <c r="U1655" s="4">
        <f>IFERROR(MATCH(1650,상세표[발송순번],0),"")</f>
        <v/>
      </c>
    </row>
    <row r="1656">
      <c r="J1656">
        <f>IF($U1656="","",INDEX(상세표[사번],$U1656)&amp;"")</f>
        <v/>
      </c>
      <c r="K1656">
        <f>IF($U1656="","",INDEX(상세표[성명],$U1656)&amp;"")</f>
        <v/>
      </c>
      <c r="L1656">
        <f>IF($U1656="","",INDEX(상세표[직위],$U1656)&amp;"")</f>
        <v/>
      </c>
      <c r="M1656">
        <f>IF($U1656="","",IF(ISNUMBER(INDEX(상세표[근무일자],$U1656)),TEXT(INDEX(상세표[근무일자],$U1656),"yyyy-mm-dd"),INDEX(상세표[근무일자],$U1656)&amp;""))</f>
        <v/>
      </c>
      <c r="N1656">
        <f>IF($U1656="","",IF(ISNUMBER(INDEX(상세표[시작],$U1656)),TEXT(INDEX(상세표[시작],$U1656),"yyyy-mm-dd hh:mm"),INDEX(상세표[시작],$U1656)&amp;""))</f>
        <v/>
      </c>
      <c r="O1656">
        <f>IF($U1656="","",IF(ISNUMBER(INDEX(상세표[종료],$U1656)),TEXT(INDEX(상세표[종료],$U1656),"yyyy-mm-dd hh:mm"),INDEX(상세표[종료],$U1656)&amp;""))</f>
        <v/>
      </c>
      <c r="P1656">
        <f>IF($U1656="","",INDEX(상세표[06~07시],$U1656))</f>
        <v/>
      </c>
      <c r="Q1656">
        <f>IF($U1656="","",INDEX(상세표[07~18시],$U1656))</f>
        <v/>
      </c>
      <c r="R1656">
        <f>IF($U1656="","",INDEX(상세표[18~22시],$U1656))</f>
        <v/>
      </c>
      <c r="S1656">
        <f>IF($U1656="","",INDEX(상세표[22~06시],$U1656))</f>
        <v/>
      </c>
      <c r="T1656">
        <f>IF($U1656="","",INDEX(상세표[기록 시간외],$U1656))</f>
        <v/>
      </c>
      <c r="U1656" s="4">
        <f>IFERROR(MATCH(1651,상세표[발송순번],0),"")</f>
        <v/>
      </c>
    </row>
    <row r="1657">
      <c r="J1657">
        <f>IF($U1657="","",INDEX(상세표[사번],$U1657)&amp;"")</f>
        <v/>
      </c>
      <c r="K1657">
        <f>IF($U1657="","",INDEX(상세표[성명],$U1657)&amp;"")</f>
        <v/>
      </c>
      <c r="L1657">
        <f>IF($U1657="","",INDEX(상세표[직위],$U1657)&amp;"")</f>
        <v/>
      </c>
      <c r="M1657">
        <f>IF($U1657="","",IF(ISNUMBER(INDEX(상세표[근무일자],$U1657)),TEXT(INDEX(상세표[근무일자],$U1657),"yyyy-mm-dd"),INDEX(상세표[근무일자],$U1657)&amp;""))</f>
        <v/>
      </c>
      <c r="N1657">
        <f>IF($U1657="","",IF(ISNUMBER(INDEX(상세표[시작],$U1657)),TEXT(INDEX(상세표[시작],$U1657),"yyyy-mm-dd hh:mm"),INDEX(상세표[시작],$U1657)&amp;""))</f>
        <v/>
      </c>
      <c r="O1657">
        <f>IF($U1657="","",IF(ISNUMBER(INDEX(상세표[종료],$U1657)),TEXT(INDEX(상세표[종료],$U1657),"yyyy-mm-dd hh:mm"),INDEX(상세표[종료],$U1657)&amp;""))</f>
        <v/>
      </c>
      <c r="P1657">
        <f>IF($U1657="","",INDEX(상세표[06~07시],$U1657))</f>
        <v/>
      </c>
      <c r="Q1657">
        <f>IF($U1657="","",INDEX(상세표[07~18시],$U1657))</f>
        <v/>
      </c>
      <c r="R1657">
        <f>IF($U1657="","",INDEX(상세표[18~22시],$U1657))</f>
        <v/>
      </c>
      <c r="S1657">
        <f>IF($U1657="","",INDEX(상세표[22~06시],$U1657))</f>
        <v/>
      </c>
      <c r="T1657">
        <f>IF($U1657="","",INDEX(상세표[기록 시간외],$U1657))</f>
        <v/>
      </c>
      <c r="U1657" s="4">
        <f>IFERROR(MATCH(1652,상세표[발송순번],0),"")</f>
        <v/>
      </c>
    </row>
    <row r="1658">
      <c r="J1658">
        <f>IF($U1658="","",INDEX(상세표[사번],$U1658)&amp;"")</f>
        <v/>
      </c>
      <c r="K1658">
        <f>IF($U1658="","",INDEX(상세표[성명],$U1658)&amp;"")</f>
        <v/>
      </c>
      <c r="L1658">
        <f>IF($U1658="","",INDEX(상세표[직위],$U1658)&amp;"")</f>
        <v/>
      </c>
      <c r="M1658">
        <f>IF($U1658="","",IF(ISNUMBER(INDEX(상세표[근무일자],$U1658)),TEXT(INDEX(상세표[근무일자],$U1658),"yyyy-mm-dd"),INDEX(상세표[근무일자],$U1658)&amp;""))</f>
        <v/>
      </c>
      <c r="N1658">
        <f>IF($U1658="","",IF(ISNUMBER(INDEX(상세표[시작],$U1658)),TEXT(INDEX(상세표[시작],$U1658),"yyyy-mm-dd hh:mm"),INDEX(상세표[시작],$U1658)&amp;""))</f>
        <v/>
      </c>
      <c r="O1658">
        <f>IF($U1658="","",IF(ISNUMBER(INDEX(상세표[종료],$U1658)),TEXT(INDEX(상세표[종료],$U1658),"yyyy-mm-dd hh:mm"),INDEX(상세표[종료],$U1658)&amp;""))</f>
        <v/>
      </c>
      <c r="P1658">
        <f>IF($U1658="","",INDEX(상세표[06~07시],$U1658))</f>
        <v/>
      </c>
      <c r="Q1658">
        <f>IF($U1658="","",INDEX(상세표[07~18시],$U1658))</f>
        <v/>
      </c>
      <c r="R1658">
        <f>IF($U1658="","",INDEX(상세표[18~22시],$U1658))</f>
        <v/>
      </c>
      <c r="S1658">
        <f>IF($U1658="","",INDEX(상세표[22~06시],$U1658))</f>
        <v/>
      </c>
      <c r="T1658">
        <f>IF($U1658="","",INDEX(상세표[기록 시간외],$U1658))</f>
        <v/>
      </c>
      <c r="U1658" s="4">
        <f>IFERROR(MATCH(1653,상세표[발송순번],0),"")</f>
        <v/>
      </c>
    </row>
    <row r="1659">
      <c r="J1659">
        <f>IF($U1659="","",INDEX(상세표[사번],$U1659)&amp;"")</f>
        <v/>
      </c>
      <c r="K1659">
        <f>IF($U1659="","",INDEX(상세표[성명],$U1659)&amp;"")</f>
        <v/>
      </c>
      <c r="L1659">
        <f>IF($U1659="","",INDEX(상세표[직위],$U1659)&amp;"")</f>
        <v/>
      </c>
      <c r="M1659">
        <f>IF($U1659="","",IF(ISNUMBER(INDEX(상세표[근무일자],$U1659)),TEXT(INDEX(상세표[근무일자],$U1659),"yyyy-mm-dd"),INDEX(상세표[근무일자],$U1659)&amp;""))</f>
        <v/>
      </c>
      <c r="N1659">
        <f>IF($U1659="","",IF(ISNUMBER(INDEX(상세표[시작],$U1659)),TEXT(INDEX(상세표[시작],$U1659),"yyyy-mm-dd hh:mm"),INDEX(상세표[시작],$U1659)&amp;""))</f>
        <v/>
      </c>
      <c r="O1659">
        <f>IF($U1659="","",IF(ISNUMBER(INDEX(상세표[종료],$U1659)),TEXT(INDEX(상세표[종료],$U1659),"yyyy-mm-dd hh:mm"),INDEX(상세표[종료],$U1659)&amp;""))</f>
        <v/>
      </c>
      <c r="P1659">
        <f>IF($U1659="","",INDEX(상세표[06~07시],$U1659))</f>
        <v/>
      </c>
      <c r="Q1659">
        <f>IF($U1659="","",INDEX(상세표[07~18시],$U1659))</f>
        <v/>
      </c>
      <c r="R1659">
        <f>IF($U1659="","",INDEX(상세표[18~22시],$U1659))</f>
        <v/>
      </c>
      <c r="S1659">
        <f>IF($U1659="","",INDEX(상세표[22~06시],$U1659))</f>
        <v/>
      </c>
      <c r="T1659">
        <f>IF($U1659="","",INDEX(상세표[기록 시간외],$U1659))</f>
        <v/>
      </c>
      <c r="U1659" s="4">
        <f>IFERROR(MATCH(1654,상세표[발송순번],0),"")</f>
        <v/>
      </c>
    </row>
    <row r="1660">
      <c r="J1660">
        <f>IF($U1660="","",INDEX(상세표[사번],$U1660)&amp;"")</f>
        <v/>
      </c>
      <c r="K1660">
        <f>IF($U1660="","",INDEX(상세표[성명],$U1660)&amp;"")</f>
        <v/>
      </c>
      <c r="L1660">
        <f>IF($U1660="","",INDEX(상세표[직위],$U1660)&amp;"")</f>
        <v/>
      </c>
      <c r="M1660">
        <f>IF($U1660="","",IF(ISNUMBER(INDEX(상세표[근무일자],$U1660)),TEXT(INDEX(상세표[근무일자],$U1660),"yyyy-mm-dd"),INDEX(상세표[근무일자],$U1660)&amp;""))</f>
        <v/>
      </c>
      <c r="N1660">
        <f>IF($U1660="","",IF(ISNUMBER(INDEX(상세표[시작],$U1660)),TEXT(INDEX(상세표[시작],$U1660),"yyyy-mm-dd hh:mm"),INDEX(상세표[시작],$U1660)&amp;""))</f>
        <v/>
      </c>
      <c r="O1660">
        <f>IF($U1660="","",IF(ISNUMBER(INDEX(상세표[종료],$U1660)),TEXT(INDEX(상세표[종료],$U1660),"yyyy-mm-dd hh:mm"),INDEX(상세표[종료],$U1660)&amp;""))</f>
        <v/>
      </c>
      <c r="P1660">
        <f>IF($U1660="","",INDEX(상세표[06~07시],$U1660))</f>
        <v/>
      </c>
      <c r="Q1660">
        <f>IF($U1660="","",INDEX(상세표[07~18시],$U1660))</f>
        <v/>
      </c>
      <c r="R1660">
        <f>IF($U1660="","",INDEX(상세표[18~22시],$U1660))</f>
        <v/>
      </c>
      <c r="S1660">
        <f>IF($U1660="","",INDEX(상세표[22~06시],$U1660))</f>
        <v/>
      </c>
      <c r="T1660">
        <f>IF($U1660="","",INDEX(상세표[기록 시간외],$U1660))</f>
        <v/>
      </c>
      <c r="U1660" s="4">
        <f>IFERROR(MATCH(1655,상세표[발송순번],0),"")</f>
        <v/>
      </c>
    </row>
    <row r="1661">
      <c r="J1661">
        <f>IF($U1661="","",INDEX(상세표[사번],$U1661)&amp;"")</f>
        <v/>
      </c>
      <c r="K1661">
        <f>IF($U1661="","",INDEX(상세표[성명],$U1661)&amp;"")</f>
        <v/>
      </c>
      <c r="L1661">
        <f>IF($U1661="","",INDEX(상세표[직위],$U1661)&amp;"")</f>
        <v/>
      </c>
      <c r="M1661">
        <f>IF($U1661="","",IF(ISNUMBER(INDEX(상세표[근무일자],$U1661)),TEXT(INDEX(상세표[근무일자],$U1661),"yyyy-mm-dd"),INDEX(상세표[근무일자],$U1661)&amp;""))</f>
        <v/>
      </c>
      <c r="N1661">
        <f>IF($U1661="","",IF(ISNUMBER(INDEX(상세표[시작],$U1661)),TEXT(INDEX(상세표[시작],$U1661),"yyyy-mm-dd hh:mm"),INDEX(상세표[시작],$U1661)&amp;""))</f>
        <v/>
      </c>
      <c r="O1661">
        <f>IF($U1661="","",IF(ISNUMBER(INDEX(상세표[종료],$U1661)),TEXT(INDEX(상세표[종료],$U1661),"yyyy-mm-dd hh:mm"),INDEX(상세표[종료],$U1661)&amp;""))</f>
        <v/>
      </c>
      <c r="P1661">
        <f>IF($U1661="","",INDEX(상세표[06~07시],$U1661))</f>
        <v/>
      </c>
      <c r="Q1661">
        <f>IF($U1661="","",INDEX(상세표[07~18시],$U1661))</f>
        <v/>
      </c>
      <c r="R1661">
        <f>IF($U1661="","",INDEX(상세표[18~22시],$U1661))</f>
        <v/>
      </c>
      <c r="S1661">
        <f>IF($U1661="","",INDEX(상세표[22~06시],$U1661))</f>
        <v/>
      </c>
      <c r="T1661">
        <f>IF($U1661="","",INDEX(상세표[기록 시간외],$U1661))</f>
        <v/>
      </c>
      <c r="U1661" s="4">
        <f>IFERROR(MATCH(1656,상세표[발송순번],0),"")</f>
        <v/>
      </c>
    </row>
    <row r="1662">
      <c r="J1662">
        <f>IF($U1662="","",INDEX(상세표[사번],$U1662)&amp;"")</f>
        <v/>
      </c>
      <c r="K1662">
        <f>IF($U1662="","",INDEX(상세표[성명],$U1662)&amp;"")</f>
        <v/>
      </c>
      <c r="L1662">
        <f>IF($U1662="","",INDEX(상세표[직위],$U1662)&amp;"")</f>
        <v/>
      </c>
      <c r="M1662">
        <f>IF($U1662="","",IF(ISNUMBER(INDEX(상세표[근무일자],$U1662)),TEXT(INDEX(상세표[근무일자],$U1662),"yyyy-mm-dd"),INDEX(상세표[근무일자],$U1662)&amp;""))</f>
        <v/>
      </c>
      <c r="N1662">
        <f>IF($U1662="","",IF(ISNUMBER(INDEX(상세표[시작],$U1662)),TEXT(INDEX(상세표[시작],$U1662),"yyyy-mm-dd hh:mm"),INDEX(상세표[시작],$U1662)&amp;""))</f>
        <v/>
      </c>
      <c r="O1662">
        <f>IF($U1662="","",IF(ISNUMBER(INDEX(상세표[종료],$U1662)),TEXT(INDEX(상세표[종료],$U1662),"yyyy-mm-dd hh:mm"),INDEX(상세표[종료],$U1662)&amp;""))</f>
        <v/>
      </c>
      <c r="P1662">
        <f>IF($U1662="","",INDEX(상세표[06~07시],$U1662))</f>
        <v/>
      </c>
      <c r="Q1662">
        <f>IF($U1662="","",INDEX(상세표[07~18시],$U1662))</f>
        <v/>
      </c>
      <c r="R1662">
        <f>IF($U1662="","",INDEX(상세표[18~22시],$U1662))</f>
        <v/>
      </c>
      <c r="S1662">
        <f>IF($U1662="","",INDEX(상세표[22~06시],$U1662))</f>
        <v/>
      </c>
      <c r="T1662">
        <f>IF($U1662="","",INDEX(상세표[기록 시간외],$U1662))</f>
        <v/>
      </c>
      <c r="U1662" s="4">
        <f>IFERROR(MATCH(1657,상세표[발송순번],0),"")</f>
        <v/>
      </c>
    </row>
    <row r="1663">
      <c r="J1663">
        <f>IF($U1663="","",INDEX(상세표[사번],$U1663)&amp;"")</f>
        <v/>
      </c>
      <c r="K1663">
        <f>IF($U1663="","",INDEX(상세표[성명],$U1663)&amp;"")</f>
        <v/>
      </c>
      <c r="L1663">
        <f>IF($U1663="","",INDEX(상세표[직위],$U1663)&amp;"")</f>
        <v/>
      </c>
      <c r="M1663">
        <f>IF($U1663="","",IF(ISNUMBER(INDEX(상세표[근무일자],$U1663)),TEXT(INDEX(상세표[근무일자],$U1663),"yyyy-mm-dd"),INDEX(상세표[근무일자],$U1663)&amp;""))</f>
        <v/>
      </c>
      <c r="N1663">
        <f>IF($U1663="","",IF(ISNUMBER(INDEX(상세표[시작],$U1663)),TEXT(INDEX(상세표[시작],$U1663),"yyyy-mm-dd hh:mm"),INDEX(상세표[시작],$U1663)&amp;""))</f>
        <v/>
      </c>
      <c r="O1663">
        <f>IF($U1663="","",IF(ISNUMBER(INDEX(상세표[종료],$U1663)),TEXT(INDEX(상세표[종료],$U1663),"yyyy-mm-dd hh:mm"),INDEX(상세표[종료],$U1663)&amp;""))</f>
        <v/>
      </c>
      <c r="P1663">
        <f>IF($U1663="","",INDEX(상세표[06~07시],$U1663))</f>
        <v/>
      </c>
      <c r="Q1663">
        <f>IF($U1663="","",INDEX(상세표[07~18시],$U1663))</f>
        <v/>
      </c>
      <c r="R1663">
        <f>IF($U1663="","",INDEX(상세표[18~22시],$U1663))</f>
        <v/>
      </c>
      <c r="S1663">
        <f>IF($U1663="","",INDEX(상세표[22~06시],$U1663))</f>
        <v/>
      </c>
      <c r="T1663">
        <f>IF($U1663="","",INDEX(상세표[기록 시간외],$U1663))</f>
        <v/>
      </c>
      <c r="U1663" s="4">
        <f>IFERROR(MATCH(1658,상세표[발송순번],0),"")</f>
        <v/>
      </c>
    </row>
    <row r="1664">
      <c r="J1664">
        <f>IF($U1664="","",INDEX(상세표[사번],$U1664)&amp;"")</f>
        <v/>
      </c>
      <c r="K1664">
        <f>IF($U1664="","",INDEX(상세표[성명],$U1664)&amp;"")</f>
        <v/>
      </c>
      <c r="L1664">
        <f>IF($U1664="","",INDEX(상세표[직위],$U1664)&amp;"")</f>
        <v/>
      </c>
      <c r="M1664">
        <f>IF($U1664="","",IF(ISNUMBER(INDEX(상세표[근무일자],$U1664)),TEXT(INDEX(상세표[근무일자],$U1664),"yyyy-mm-dd"),INDEX(상세표[근무일자],$U1664)&amp;""))</f>
        <v/>
      </c>
      <c r="N1664">
        <f>IF($U1664="","",IF(ISNUMBER(INDEX(상세표[시작],$U1664)),TEXT(INDEX(상세표[시작],$U1664),"yyyy-mm-dd hh:mm"),INDEX(상세표[시작],$U1664)&amp;""))</f>
        <v/>
      </c>
      <c r="O1664">
        <f>IF($U1664="","",IF(ISNUMBER(INDEX(상세표[종료],$U1664)),TEXT(INDEX(상세표[종료],$U1664),"yyyy-mm-dd hh:mm"),INDEX(상세표[종료],$U1664)&amp;""))</f>
        <v/>
      </c>
      <c r="P1664">
        <f>IF($U1664="","",INDEX(상세표[06~07시],$U1664))</f>
        <v/>
      </c>
      <c r="Q1664">
        <f>IF($U1664="","",INDEX(상세표[07~18시],$U1664))</f>
        <v/>
      </c>
      <c r="R1664">
        <f>IF($U1664="","",INDEX(상세표[18~22시],$U1664))</f>
        <v/>
      </c>
      <c r="S1664">
        <f>IF($U1664="","",INDEX(상세표[22~06시],$U1664))</f>
        <v/>
      </c>
      <c r="T1664">
        <f>IF($U1664="","",INDEX(상세표[기록 시간외],$U1664))</f>
        <v/>
      </c>
      <c r="U1664" s="4">
        <f>IFERROR(MATCH(1659,상세표[발송순번],0),"")</f>
        <v/>
      </c>
    </row>
    <row r="1665">
      <c r="J1665">
        <f>IF($U1665="","",INDEX(상세표[사번],$U1665)&amp;"")</f>
        <v/>
      </c>
      <c r="K1665">
        <f>IF($U1665="","",INDEX(상세표[성명],$U1665)&amp;"")</f>
        <v/>
      </c>
      <c r="L1665">
        <f>IF($U1665="","",INDEX(상세표[직위],$U1665)&amp;"")</f>
        <v/>
      </c>
      <c r="M1665">
        <f>IF($U1665="","",IF(ISNUMBER(INDEX(상세표[근무일자],$U1665)),TEXT(INDEX(상세표[근무일자],$U1665),"yyyy-mm-dd"),INDEX(상세표[근무일자],$U1665)&amp;""))</f>
        <v/>
      </c>
      <c r="N1665">
        <f>IF($U1665="","",IF(ISNUMBER(INDEX(상세표[시작],$U1665)),TEXT(INDEX(상세표[시작],$U1665),"yyyy-mm-dd hh:mm"),INDEX(상세표[시작],$U1665)&amp;""))</f>
        <v/>
      </c>
      <c r="O1665">
        <f>IF($U1665="","",IF(ISNUMBER(INDEX(상세표[종료],$U1665)),TEXT(INDEX(상세표[종료],$U1665),"yyyy-mm-dd hh:mm"),INDEX(상세표[종료],$U1665)&amp;""))</f>
        <v/>
      </c>
      <c r="P1665">
        <f>IF($U1665="","",INDEX(상세표[06~07시],$U1665))</f>
        <v/>
      </c>
      <c r="Q1665">
        <f>IF($U1665="","",INDEX(상세표[07~18시],$U1665))</f>
        <v/>
      </c>
      <c r="R1665">
        <f>IF($U1665="","",INDEX(상세표[18~22시],$U1665))</f>
        <v/>
      </c>
      <c r="S1665">
        <f>IF($U1665="","",INDEX(상세표[22~06시],$U1665))</f>
        <v/>
      </c>
      <c r="T1665">
        <f>IF($U1665="","",INDEX(상세표[기록 시간외],$U1665))</f>
        <v/>
      </c>
      <c r="U1665" s="4">
        <f>IFERROR(MATCH(1660,상세표[발송순번],0),"")</f>
        <v/>
      </c>
    </row>
    <row r="1666">
      <c r="J1666">
        <f>IF($U1666="","",INDEX(상세표[사번],$U1666)&amp;"")</f>
        <v/>
      </c>
      <c r="K1666">
        <f>IF($U1666="","",INDEX(상세표[성명],$U1666)&amp;"")</f>
        <v/>
      </c>
      <c r="L1666">
        <f>IF($U1666="","",INDEX(상세표[직위],$U1666)&amp;"")</f>
        <v/>
      </c>
      <c r="M1666">
        <f>IF($U1666="","",IF(ISNUMBER(INDEX(상세표[근무일자],$U1666)),TEXT(INDEX(상세표[근무일자],$U1666),"yyyy-mm-dd"),INDEX(상세표[근무일자],$U1666)&amp;""))</f>
        <v/>
      </c>
      <c r="N1666">
        <f>IF($U1666="","",IF(ISNUMBER(INDEX(상세표[시작],$U1666)),TEXT(INDEX(상세표[시작],$U1666),"yyyy-mm-dd hh:mm"),INDEX(상세표[시작],$U1666)&amp;""))</f>
        <v/>
      </c>
      <c r="O1666">
        <f>IF($U1666="","",IF(ISNUMBER(INDEX(상세표[종료],$U1666)),TEXT(INDEX(상세표[종료],$U1666),"yyyy-mm-dd hh:mm"),INDEX(상세표[종료],$U1666)&amp;""))</f>
        <v/>
      </c>
      <c r="P1666">
        <f>IF($U1666="","",INDEX(상세표[06~07시],$U1666))</f>
        <v/>
      </c>
      <c r="Q1666">
        <f>IF($U1666="","",INDEX(상세표[07~18시],$U1666))</f>
        <v/>
      </c>
      <c r="R1666">
        <f>IF($U1666="","",INDEX(상세표[18~22시],$U1666))</f>
        <v/>
      </c>
      <c r="S1666">
        <f>IF($U1666="","",INDEX(상세표[22~06시],$U1666))</f>
        <v/>
      </c>
      <c r="T1666">
        <f>IF($U1666="","",INDEX(상세표[기록 시간외],$U1666))</f>
        <v/>
      </c>
      <c r="U1666" s="4">
        <f>IFERROR(MATCH(1661,상세표[발송순번],0),"")</f>
        <v/>
      </c>
    </row>
    <row r="1667">
      <c r="J1667">
        <f>IF($U1667="","",INDEX(상세표[사번],$U1667)&amp;"")</f>
        <v/>
      </c>
      <c r="K1667">
        <f>IF($U1667="","",INDEX(상세표[성명],$U1667)&amp;"")</f>
        <v/>
      </c>
      <c r="L1667">
        <f>IF($U1667="","",INDEX(상세표[직위],$U1667)&amp;"")</f>
        <v/>
      </c>
      <c r="M1667">
        <f>IF($U1667="","",IF(ISNUMBER(INDEX(상세표[근무일자],$U1667)),TEXT(INDEX(상세표[근무일자],$U1667),"yyyy-mm-dd"),INDEX(상세표[근무일자],$U1667)&amp;""))</f>
        <v/>
      </c>
      <c r="N1667">
        <f>IF($U1667="","",IF(ISNUMBER(INDEX(상세표[시작],$U1667)),TEXT(INDEX(상세표[시작],$U1667),"yyyy-mm-dd hh:mm"),INDEX(상세표[시작],$U1667)&amp;""))</f>
        <v/>
      </c>
      <c r="O1667">
        <f>IF($U1667="","",IF(ISNUMBER(INDEX(상세표[종료],$U1667)),TEXT(INDEX(상세표[종료],$U1667),"yyyy-mm-dd hh:mm"),INDEX(상세표[종료],$U1667)&amp;""))</f>
        <v/>
      </c>
      <c r="P1667">
        <f>IF($U1667="","",INDEX(상세표[06~07시],$U1667))</f>
        <v/>
      </c>
      <c r="Q1667">
        <f>IF($U1667="","",INDEX(상세표[07~18시],$U1667))</f>
        <v/>
      </c>
      <c r="R1667">
        <f>IF($U1667="","",INDEX(상세표[18~22시],$U1667))</f>
        <v/>
      </c>
      <c r="S1667">
        <f>IF($U1667="","",INDEX(상세표[22~06시],$U1667))</f>
        <v/>
      </c>
      <c r="T1667">
        <f>IF($U1667="","",INDEX(상세표[기록 시간외],$U1667))</f>
        <v/>
      </c>
      <c r="U1667" s="4">
        <f>IFERROR(MATCH(1662,상세표[발송순번],0),"")</f>
        <v/>
      </c>
    </row>
    <row r="1668">
      <c r="J1668">
        <f>IF($U1668="","",INDEX(상세표[사번],$U1668)&amp;"")</f>
        <v/>
      </c>
      <c r="K1668">
        <f>IF($U1668="","",INDEX(상세표[성명],$U1668)&amp;"")</f>
        <v/>
      </c>
      <c r="L1668">
        <f>IF($U1668="","",INDEX(상세표[직위],$U1668)&amp;"")</f>
        <v/>
      </c>
      <c r="M1668">
        <f>IF($U1668="","",IF(ISNUMBER(INDEX(상세표[근무일자],$U1668)),TEXT(INDEX(상세표[근무일자],$U1668),"yyyy-mm-dd"),INDEX(상세표[근무일자],$U1668)&amp;""))</f>
        <v/>
      </c>
      <c r="N1668">
        <f>IF($U1668="","",IF(ISNUMBER(INDEX(상세표[시작],$U1668)),TEXT(INDEX(상세표[시작],$U1668),"yyyy-mm-dd hh:mm"),INDEX(상세표[시작],$U1668)&amp;""))</f>
        <v/>
      </c>
      <c r="O1668">
        <f>IF($U1668="","",IF(ISNUMBER(INDEX(상세표[종료],$U1668)),TEXT(INDEX(상세표[종료],$U1668),"yyyy-mm-dd hh:mm"),INDEX(상세표[종료],$U1668)&amp;""))</f>
        <v/>
      </c>
      <c r="P1668">
        <f>IF($U1668="","",INDEX(상세표[06~07시],$U1668))</f>
        <v/>
      </c>
      <c r="Q1668">
        <f>IF($U1668="","",INDEX(상세표[07~18시],$U1668))</f>
        <v/>
      </c>
      <c r="R1668">
        <f>IF($U1668="","",INDEX(상세표[18~22시],$U1668))</f>
        <v/>
      </c>
      <c r="S1668">
        <f>IF($U1668="","",INDEX(상세표[22~06시],$U1668))</f>
        <v/>
      </c>
      <c r="T1668">
        <f>IF($U1668="","",INDEX(상세표[기록 시간외],$U1668))</f>
        <v/>
      </c>
      <c r="U1668" s="4">
        <f>IFERROR(MATCH(1663,상세표[발송순번],0),"")</f>
        <v/>
      </c>
    </row>
    <row r="1669">
      <c r="J1669">
        <f>IF($U1669="","",INDEX(상세표[사번],$U1669)&amp;"")</f>
        <v/>
      </c>
      <c r="K1669">
        <f>IF($U1669="","",INDEX(상세표[성명],$U1669)&amp;"")</f>
        <v/>
      </c>
      <c r="L1669">
        <f>IF($U1669="","",INDEX(상세표[직위],$U1669)&amp;"")</f>
        <v/>
      </c>
      <c r="M1669">
        <f>IF($U1669="","",IF(ISNUMBER(INDEX(상세표[근무일자],$U1669)),TEXT(INDEX(상세표[근무일자],$U1669),"yyyy-mm-dd"),INDEX(상세표[근무일자],$U1669)&amp;""))</f>
        <v/>
      </c>
      <c r="N1669">
        <f>IF($U1669="","",IF(ISNUMBER(INDEX(상세표[시작],$U1669)),TEXT(INDEX(상세표[시작],$U1669),"yyyy-mm-dd hh:mm"),INDEX(상세표[시작],$U1669)&amp;""))</f>
        <v/>
      </c>
      <c r="O1669">
        <f>IF($U1669="","",IF(ISNUMBER(INDEX(상세표[종료],$U1669)),TEXT(INDEX(상세표[종료],$U1669),"yyyy-mm-dd hh:mm"),INDEX(상세표[종료],$U1669)&amp;""))</f>
        <v/>
      </c>
      <c r="P1669">
        <f>IF($U1669="","",INDEX(상세표[06~07시],$U1669))</f>
        <v/>
      </c>
      <c r="Q1669">
        <f>IF($U1669="","",INDEX(상세표[07~18시],$U1669))</f>
        <v/>
      </c>
      <c r="R1669">
        <f>IF($U1669="","",INDEX(상세표[18~22시],$U1669))</f>
        <v/>
      </c>
      <c r="S1669">
        <f>IF($U1669="","",INDEX(상세표[22~06시],$U1669))</f>
        <v/>
      </c>
      <c r="T1669">
        <f>IF($U1669="","",INDEX(상세표[기록 시간외],$U1669))</f>
        <v/>
      </c>
      <c r="U1669" s="4">
        <f>IFERROR(MATCH(1664,상세표[발송순번],0),"")</f>
        <v/>
      </c>
    </row>
    <row r="1670">
      <c r="J1670">
        <f>IF($U1670="","",INDEX(상세표[사번],$U1670)&amp;"")</f>
        <v/>
      </c>
      <c r="K1670">
        <f>IF($U1670="","",INDEX(상세표[성명],$U1670)&amp;"")</f>
        <v/>
      </c>
      <c r="L1670">
        <f>IF($U1670="","",INDEX(상세표[직위],$U1670)&amp;"")</f>
        <v/>
      </c>
      <c r="M1670">
        <f>IF($U1670="","",IF(ISNUMBER(INDEX(상세표[근무일자],$U1670)),TEXT(INDEX(상세표[근무일자],$U1670),"yyyy-mm-dd"),INDEX(상세표[근무일자],$U1670)&amp;""))</f>
        <v/>
      </c>
      <c r="N1670">
        <f>IF($U1670="","",IF(ISNUMBER(INDEX(상세표[시작],$U1670)),TEXT(INDEX(상세표[시작],$U1670),"yyyy-mm-dd hh:mm"),INDEX(상세표[시작],$U1670)&amp;""))</f>
        <v/>
      </c>
      <c r="O1670">
        <f>IF($U1670="","",IF(ISNUMBER(INDEX(상세표[종료],$U1670)),TEXT(INDEX(상세표[종료],$U1670),"yyyy-mm-dd hh:mm"),INDEX(상세표[종료],$U1670)&amp;""))</f>
        <v/>
      </c>
      <c r="P1670">
        <f>IF($U1670="","",INDEX(상세표[06~07시],$U1670))</f>
        <v/>
      </c>
      <c r="Q1670">
        <f>IF($U1670="","",INDEX(상세표[07~18시],$U1670))</f>
        <v/>
      </c>
      <c r="R1670">
        <f>IF($U1670="","",INDEX(상세표[18~22시],$U1670))</f>
        <v/>
      </c>
      <c r="S1670">
        <f>IF($U1670="","",INDEX(상세표[22~06시],$U1670))</f>
        <v/>
      </c>
      <c r="T1670">
        <f>IF($U1670="","",INDEX(상세표[기록 시간외],$U1670))</f>
        <v/>
      </c>
      <c r="U1670" s="4">
        <f>IFERROR(MATCH(1665,상세표[발송순번],0),"")</f>
        <v/>
      </c>
    </row>
    <row r="1671">
      <c r="J1671">
        <f>IF($U1671="","",INDEX(상세표[사번],$U1671)&amp;"")</f>
        <v/>
      </c>
      <c r="K1671">
        <f>IF($U1671="","",INDEX(상세표[성명],$U1671)&amp;"")</f>
        <v/>
      </c>
      <c r="L1671">
        <f>IF($U1671="","",INDEX(상세표[직위],$U1671)&amp;"")</f>
        <v/>
      </c>
      <c r="M1671">
        <f>IF($U1671="","",IF(ISNUMBER(INDEX(상세표[근무일자],$U1671)),TEXT(INDEX(상세표[근무일자],$U1671),"yyyy-mm-dd"),INDEX(상세표[근무일자],$U1671)&amp;""))</f>
        <v/>
      </c>
      <c r="N1671">
        <f>IF($U1671="","",IF(ISNUMBER(INDEX(상세표[시작],$U1671)),TEXT(INDEX(상세표[시작],$U1671),"yyyy-mm-dd hh:mm"),INDEX(상세표[시작],$U1671)&amp;""))</f>
        <v/>
      </c>
      <c r="O1671">
        <f>IF($U1671="","",IF(ISNUMBER(INDEX(상세표[종료],$U1671)),TEXT(INDEX(상세표[종료],$U1671),"yyyy-mm-dd hh:mm"),INDEX(상세표[종료],$U1671)&amp;""))</f>
        <v/>
      </c>
      <c r="P1671">
        <f>IF($U1671="","",INDEX(상세표[06~07시],$U1671))</f>
        <v/>
      </c>
      <c r="Q1671">
        <f>IF($U1671="","",INDEX(상세표[07~18시],$U1671))</f>
        <v/>
      </c>
      <c r="R1671">
        <f>IF($U1671="","",INDEX(상세표[18~22시],$U1671))</f>
        <v/>
      </c>
      <c r="S1671">
        <f>IF($U1671="","",INDEX(상세표[22~06시],$U1671))</f>
        <v/>
      </c>
      <c r="T1671">
        <f>IF($U1671="","",INDEX(상세표[기록 시간외],$U1671))</f>
        <v/>
      </c>
      <c r="U1671" s="4">
        <f>IFERROR(MATCH(1666,상세표[발송순번],0),"")</f>
        <v/>
      </c>
    </row>
    <row r="1672">
      <c r="J1672">
        <f>IF($U1672="","",INDEX(상세표[사번],$U1672)&amp;"")</f>
        <v/>
      </c>
      <c r="K1672">
        <f>IF($U1672="","",INDEX(상세표[성명],$U1672)&amp;"")</f>
        <v/>
      </c>
      <c r="L1672">
        <f>IF($U1672="","",INDEX(상세표[직위],$U1672)&amp;"")</f>
        <v/>
      </c>
      <c r="M1672">
        <f>IF($U1672="","",IF(ISNUMBER(INDEX(상세표[근무일자],$U1672)),TEXT(INDEX(상세표[근무일자],$U1672),"yyyy-mm-dd"),INDEX(상세표[근무일자],$U1672)&amp;""))</f>
        <v/>
      </c>
      <c r="N1672">
        <f>IF($U1672="","",IF(ISNUMBER(INDEX(상세표[시작],$U1672)),TEXT(INDEX(상세표[시작],$U1672),"yyyy-mm-dd hh:mm"),INDEX(상세표[시작],$U1672)&amp;""))</f>
        <v/>
      </c>
      <c r="O1672">
        <f>IF($U1672="","",IF(ISNUMBER(INDEX(상세표[종료],$U1672)),TEXT(INDEX(상세표[종료],$U1672),"yyyy-mm-dd hh:mm"),INDEX(상세표[종료],$U1672)&amp;""))</f>
        <v/>
      </c>
      <c r="P1672">
        <f>IF($U1672="","",INDEX(상세표[06~07시],$U1672))</f>
        <v/>
      </c>
      <c r="Q1672">
        <f>IF($U1672="","",INDEX(상세표[07~18시],$U1672))</f>
        <v/>
      </c>
      <c r="R1672">
        <f>IF($U1672="","",INDEX(상세표[18~22시],$U1672))</f>
        <v/>
      </c>
      <c r="S1672">
        <f>IF($U1672="","",INDEX(상세표[22~06시],$U1672))</f>
        <v/>
      </c>
      <c r="T1672">
        <f>IF($U1672="","",INDEX(상세표[기록 시간외],$U1672))</f>
        <v/>
      </c>
      <c r="U1672" s="4">
        <f>IFERROR(MATCH(1667,상세표[발송순번],0),"")</f>
        <v/>
      </c>
    </row>
    <row r="1673">
      <c r="J1673">
        <f>IF($U1673="","",INDEX(상세표[사번],$U1673)&amp;"")</f>
        <v/>
      </c>
      <c r="K1673">
        <f>IF($U1673="","",INDEX(상세표[성명],$U1673)&amp;"")</f>
        <v/>
      </c>
      <c r="L1673">
        <f>IF($U1673="","",INDEX(상세표[직위],$U1673)&amp;"")</f>
        <v/>
      </c>
      <c r="M1673">
        <f>IF($U1673="","",IF(ISNUMBER(INDEX(상세표[근무일자],$U1673)),TEXT(INDEX(상세표[근무일자],$U1673),"yyyy-mm-dd"),INDEX(상세표[근무일자],$U1673)&amp;""))</f>
        <v/>
      </c>
      <c r="N1673">
        <f>IF($U1673="","",IF(ISNUMBER(INDEX(상세표[시작],$U1673)),TEXT(INDEX(상세표[시작],$U1673),"yyyy-mm-dd hh:mm"),INDEX(상세표[시작],$U1673)&amp;""))</f>
        <v/>
      </c>
      <c r="O1673">
        <f>IF($U1673="","",IF(ISNUMBER(INDEX(상세표[종료],$U1673)),TEXT(INDEX(상세표[종료],$U1673),"yyyy-mm-dd hh:mm"),INDEX(상세표[종료],$U1673)&amp;""))</f>
        <v/>
      </c>
      <c r="P1673">
        <f>IF($U1673="","",INDEX(상세표[06~07시],$U1673))</f>
        <v/>
      </c>
      <c r="Q1673">
        <f>IF($U1673="","",INDEX(상세표[07~18시],$U1673))</f>
        <v/>
      </c>
      <c r="R1673">
        <f>IF($U1673="","",INDEX(상세표[18~22시],$U1673))</f>
        <v/>
      </c>
      <c r="S1673">
        <f>IF($U1673="","",INDEX(상세표[22~06시],$U1673))</f>
        <v/>
      </c>
      <c r="T1673">
        <f>IF($U1673="","",INDEX(상세표[기록 시간외],$U1673))</f>
        <v/>
      </c>
      <c r="U1673" s="4">
        <f>IFERROR(MATCH(1668,상세표[발송순번],0),"")</f>
        <v/>
      </c>
    </row>
    <row r="1674">
      <c r="J1674">
        <f>IF($U1674="","",INDEX(상세표[사번],$U1674)&amp;"")</f>
        <v/>
      </c>
      <c r="K1674">
        <f>IF($U1674="","",INDEX(상세표[성명],$U1674)&amp;"")</f>
        <v/>
      </c>
      <c r="L1674">
        <f>IF($U1674="","",INDEX(상세표[직위],$U1674)&amp;"")</f>
        <v/>
      </c>
      <c r="M1674">
        <f>IF($U1674="","",IF(ISNUMBER(INDEX(상세표[근무일자],$U1674)),TEXT(INDEX(상세표[근무일자],$U1674),"yyyy-mm-dd"),INDEX(상세표[근무일자],$U1674)&amp;""))</f>
        <v/>
      </c>
      <c r="N1674">
        <f>IF($U1674="","",IF(ISNUMBER(INDEX(상세표[시작],$U1674)),TEXT(INDEX(상세표[시작],$U1674),"yyyy-mm-dd hh:mm"),INDEX(상세표[시작],$U1674)&amp;""))</f>
        <v/>
      </c>
      <c r="O1674">
        <f>IF($U1674="","",IF(ISNUMBER(INDEX(상세표[종료],$U1674)),TEXT(INDEX(상세표[종료],$U1674),"yyyy-mm-dd hh:mm"),INDEX(상세표[종료],$U1674)&amp;""))</f>
        <v/>
      </c>
      <c r="P1674">
        <f>IF($U1674="","",INDEX(상세표[06~07시],$U1674))</f>
        <v/>
      </c>
      <c r="Q1674">
        <f>IF($U1674="","",INDEX(상세표[07~18시],$U1674))</f>
        <v/>
      </c>
      <c r="R1674">
        <f>IF($U1674="","",INDEX(상세표[18~22시],$U1674))</f>
        <v/>
      </c>
      <c r="S1674">
        <f>IF($U1674="","",INDEX(상세표[22~06시],$U1674))</f>
        <v/>
      </c>
      <c r="T1674">
        <f>IF($U1674="","",INDEX(상세표[기록 시간외],$U1674))</f>
        <v/>
      </c>
      <c r="U1674" s="4">
        <f>IFERROR(MATCH(1669,상세표[발송순번],0),"")</f>
        <v/>
      </c>
    </row>
    <row r="1675">
      <c r="J1675">
        <f>IF($U1675="","",INDEX(상세표[사번],$U1675)&amp;"")</f>
        <v/>
      </c>
      <c r="K1675">
        <f>IF($U1675="","",INDEX(상세표[성명],$U1675)&amp;"")</f>
        <v/>
      </c>
      <c r="L1675">
        <f>IF($U1675="","",INDEX(상세표[직위],$U1675)&amp;"")</f>
        <v/>
      </c>
      <c r="M1675">
        <f>IF($U1675="","",IF(ISNUMBER(INDEX(상세표[근무일자],$U1675)),TEXT(INDEX(상세표[근무일자],$U1675),"yyyy-mm-dd"),INDEX(상세표[근무일자],$U1675)&amp;""))</f>
        <v/>
      </c>
      <c r="N1675">
        <f>IF($U1675="","",IF(ISNUMBER(INDEX(상세표[시작],$U1675)),TEXT(INDEX(상세표[시작],$U1675),"yyyy-mm-dd hh:mm"),INDEX(상세표[시작],$U1675)&amp;""))</f>
        <v/>
      </c>
      <c r="O1675">
        <f>IF($U1675="","",IF(ISNUMBER(INDEX(상세표[종료],$U1675)),TEXT(INDEX(상세표[종료],$U1675),"yyyy-mm-dd hh:mm"),INDEX(상세표[종료],$U1675)&amp;""))</f>
        <v/>
      </c>
      <c r="P1675">
        <f>IF($U1675="","",INDEX(상세표[06~07시],$U1675))</f>
        <v/>
      </c>
      <c r="Q1675">
        <f>IF($U1675="","",INDEX(상세표[07~18시],$U1675))</f>
        <v/>
      </c>
      <c r="R1675">
        <f>IF($U1675="","",INDEX(상세표[18~22시],$U1675))</f>
        <v/>
      </c>
      <c r="S1675">
        <f>IF($U1675="","",INDEX(상세표[22~06시],$U1675))</f>
        <v/>
      </c>
      <c r="T1675">
        <f>IF($U1675="","",INDEX(상세표[기록 시간외],$U1675))</f>
        <v/>
      </c>
      <c r="U1675" s="4">
        <f>IFERROR(MATCH(1670,상세표[발송순번],0),"")</f>
        <v/>
      </c>
    </row>
    <row r="1676">
      <c r="J1676">
        <f>IF($U1676="","",INDEX(상세표[사번],$U1676)&amp;"")</f>
        <v/>
      </c>
      <c r="K1676">
        <f>IF($U1676="","",INDEX(상세표[성명],$U1676)&amp;"")</f>
        <v/>
      </c>
      <c r="L1676">
        <f>IF($U1676="","",INDEX(상세표[직위],$U1676)&amp;"")</f>
        <v/>
      </c>
      <c r="M1676">
        <f>IF($U1676="","",IF(ISNUMBER(INDEX(상세표[근무일자],$U1676)),TEXT(INDEX(상세표[근무일자],$U1676),"yyyy-mm-dd"),INDEX(상세표[근무일자],$U1676)&amp;""))</f>
        <v/>
      </c>
      <c r="N1676">
        <f>IF($U1676="","",IF(ISNUMBER(INDEX(상세표[시작],$U1676)),TEXT(INDEX(상세표[시작],$U1676),"yyyy-mm-dd hh:mm"),INDEX(상세표[시작],$U1676)&amp;""))</f>
        <v/>
      </c>
      <c r="O1676">
        <f>IF($U1676="","",IF(ISNUMBER(INDEX(상세표[종료],$U1676)),TEXT(INDEX(상세표[종료],$U1676),"yyyy-mm-dd hh:mm"),INDEX(상세표[종료],$U1676)&amp;""))</f>
        <v/>
      </c>
      <c r="P1676">
        <f>IF($U1676="","",INDEX(상세표[06~07시],$U1676))</f>
        <v/>
      </c>
      <c r="Q1676">
        <f>IF($U1676="","",INDEX(상세표[07~18시],$U1676))</f>
        <v/>
      </c>
      <c r="R1676">
        <f>IF($U1676="","",INDEX(상세표[18~22시],$U1676))</f>
        <v/>
      </c>
      <c r="S1676">
        <f>IF($U1676="","",INDEX(상세표[22~06시],$U1676))</f>
        <v/>
      </c>
      <c r="T1676">
        <f>IF($U1676="","",INDEX(상세표[기록 시간외],$U1676))</f>
        <v/>
      </c>
      <c r="U1676" s="4">
        <f>IFERROR(MATCH(1671,상세표[발송순번],0),"")</f>
        <v/>
      </c>
    </row>
    <row r="1677">
      <c r="J1677">
        <f>IF($U1677="","",INDEX(상세표[사번],$U1677)&amp;"")</f>
        <v/>
      </c>
      <c r="K1677">
        <f>IF($U1677="","",INDEX(상세표[성명],$U1677)&amp;"")</f>
        <v/>
      </c>
      <c r="L1677">
        <f>IF($U1677="","",INDEX(상세표[직위],$U1677)&amp;"")</f>
        <v/>
      </c>
      <c r="M1677">
        <f>IF($U1677="","",IF(ISNUMBER(INDEX(상세표[근무일자],$U1677)),TEXT(INDEX(상세표[근무일자],$U1677),"yyyy-mm-dd"),INDEX(상세표[근무일자],$U1677)&amp;""))</f>
        <v/>
      </c>
      <c r="N1677">
        <f>IF($U1677="","",IF(ISNUMBER(INDEX(상세표[시작],$U1677)),TEXT(INDEX(상세표[시작],$U1677),"yyyy-mm-dd hh:mm"),INDEX(상세표[시작],$U1677)&amp;""))</f>
        <v/>
      </c>
      <c r="O1677">
        <f>IF($U1677="","",IF(ISNUMBER(INDEX(상세표[종료],$U1677)),TEXT(INDEX(상세표[종료],$U1677),"yyyy-mm-dd hh:mm"),INDEX(상세표[종료],$U1677)&amp;""))</f>
        <v/>
      </c>
      <c r="P1677">
        <f>IF($U1677="","",INDEX(상세표[06~07시],$U1677))</f>
        <v/>
      </c>
      <c r="Q1677">
        <f>IF($U1677="","",INDEX(상세표[07~18시],$U1677))</f>
        <v/>
      </c>
      <c r="R1677">
        <f>IF($U1677="","",INDEX(상세표[18~22시],$U1677))</f>
        <v/>
      </c>
      <c r="S1677">
        <f>IF($U1677="","",INDEX(상세표[22~06시],$U1677))</f>
        <v/>
      </c>
      <c r="T1677">
        <f>IF($U1677="","",INDEX(상세표[기록 시간외],$U1677))</f>
        <v/>
      </c>
      <c r="U1677" s="4">
        <f>IFERROR(MATCH(1672,상세표[발송순번],0),"")</f>
        <v/>
      </c>
    </row>
    <row r="1678">
      <c r="J1678">
        <f>IF($U1678="","",INDEX(상세표[사번],$U1678)&amp;"")</f>
        <v/>
      </c>
      <c r="K1678">
        <f>IF($U1678="","",INDEX(상세표[성명],$U1678)&amp;"")</f>
        <v/>
      </c>
      <c r="L1678">
        <f>IF($U1678="","",INDEX(상세표[직위],$U1678)&amp;"")</f>
        <v/>
      </c>
      <c r="M1678">
        <f>IF($U1678="","",IF(ISNUMBER(INDEX(상세표[근무일자],$U1678)),TEXT(INDEX(상세표[근무일자],$U1678),"yyyy-mm-dd"),INDEX(상세표[근무일자],$U1678)&amp;""))</f>
        <v/>
      </c>
      <c r="N1678">
        <f>IF($U1678="","",IF(ISNUMBER(INDEX(상세표[시작],$U1678)),TEXT(INDEX(상세표[시작],$U1678),"yyyy-mm-dd hh:mm"),INDEX(상세표[시작],$U1678)&amp;""))</f>
        <v/>
      </c>
      <c r="O1678">
        <f>IF($U1678="","",IF(ISNUMBER(INDEX(상세표[종료],$U1678)),TEXT(INDEX(상세표[종료],$U1678),"yyyy-mm-dd hh:mm"),INDEX(상세표[종료],$U1678)&amp;""))</f>
        <v/>
      </c>
      <c r="P1678">
        <f>IF($U1678="","",INDEX(상세표[06~07시],$U1678))</f>
        <v/>
      </c>
      <c r="Q1678">
        <f>IF($U1678="","",INDEX(상세표[07~18시],$U1678))</f>
        <v/>
      </c>
      <c r="R1678">
        <f>IF($U1678="","",INDEX(상세표[18~22시],$U1678))</f>
        <v/>
      </c>
      <c r="S1678">
        <f>IF($U1678="","",INDEX(상세표[22~06시],$U1678))</f>
        <v/>
      </c>
      <c r="T1678">
        <f>IF($U1678="","",INDEX(상세표[기록 시간외],$U1678))</f>
        <v/>
      </c>
      <c r="U1678" s="4">
        <f>IFERROR(MATCH(1673,상세표[발송순번],0),"")</f>
        <v/>
      </c>
    </row>
    <row r="1679">
      <c r="J1679">
        <f>IF($U1679="","",INDEX(상세표[사번],$U1679)&amp;"")</f>
        <v/>
      </c>
      <c r="K1679">
        <f>IF($U1679="","",INDEX(상세표[성명],$U1679)&amp;"")</f>
        <v/>
      </c>
      <c r="L1679">
        <f>IF($U1679="","",INDEX(상세표[직위],$U1679)&amp;"")</f>
        <v/>
      </c>
      <c r="M1679">
        <f>IF($U1679="","",IF(ISNUMBER(INDEX(상세표[근무일자],$U1679)),TEXT(INDEX(상세표[근무일자],$U1679),"yyyy-mm-dd"),INDEX(상세표[근무일자],$U1679)&amp;""))</f>
        <v/>
      </c>
      <c r="N1679">
        <f>IF($U1679="","",IF(ISNUMBER(INDEX(상세표[시작],$U1679)),TEXT(INDEX(상세표[시작],$U1679),"yyyy-mm-dd hh:mm"),INDEX(상세표[시작],$U1679)&amp;""))</f>
        <v/>
      </c>
      <c r="O1679">
        <f>IF($U1679="","",IF(ISNUMBER(INDEX(상세표[종료],$U1679)),TEXT(INDEX(상세표[종료],$U1679),"yyyy-mm-dd hh:mm"),INDEX(상세표[종료],$U1679)&amp;""))</f>
        <v/>
      </c>
      <c r="P1679">
        <f>IF($U1679="","",INDEX(상세표[06~07시],$U1679))</f>
        <v/>
      </c>
      <c r="Q1679">
        <f>IF($U1679="","",INDEX(상세표[07~18시],$U1679))</f>
        <v/>
      </c>
      <c r="R1679">
        <f>IF($U1679="","",INDEX(상세표[18~22시],$U1679))</f>
        <v/>
      </c>
      <c r="S1679">
        <f>IF($U1679="","",INDEX(상세표[22~06시],$U1679))</f>
        <v/>
      </c>
      <c r="T1679">
        <f>IF($U1679="","",INDEX(상세표[기록 시간외],$U1679))</f>
        <v/>
      </c>
      <c r="U1679" s="4">
        <f>IFERROR(MATCH(1674,상세표[발송순번],0),"")</f>
        <v/>
      </c>
    </row>
    <row r="1680">
      <c r="J1680">
        <f>IF($U1680="","",INDEX(상세표[사번],$U1680)&amp;"")</f>
        <v/>
      </c>
      <c r="K1680">
        <f>IF($U1680="","",INDEX(상세표[성명],$U1680)&amp;"")</f>
        <v/>
      </c>
      <c r="L1680">
        <f>IF($U1680="","",INDEX(상세표[직위],$U1680)&amp;"")</f>
        <v/>
      </c>
      <c r="M1680">
        <f>IF($U1680="","",IF(ISNUMBER(INDEX(상세표[근무일자],$U1680)),TEXT(INDEX(상세표[근무일자],$U1680),"yyyy-mm-dd"),INDEX(상세표[근무일자],$U1680)&amp;""))</f>
        <v/>
      </c>
      <c r="N1680">
        <f>IF($U1680="","",IF(ISNUMBER(INDEX(상세표[시작],$U1680)),TEXT(INDEX(상세표[시작],$U1680),"yyyy-mm-dd hh:mm"),INDEX(상세표[시작],$U1680)&amp;""))</f>
        <v/>
      </c>
      <c r="O1680">
        <f>IF($U1680="","",IF(ISNUMBER(INDEX(상세표[종료],$U1680)),TEXT(INDEX(상세표[종료],$U1680),"yyyy-mm-dd hh:mm"),INDEX(상세표[종료],$U1680)&amp;""))</f>
        <v/>
      </c>
      <c r="P1680">
        <f>IF($U1680="","",INDEX(상세표[06~07시],$U1680))</f>
        <v/>
      </c>
      <c r="Q1680">
        <f>IF($U1680="","",INDEX(상세표[07~18시],$U1680))</f>
        <v/>
      </c>
      <c r="R1680">
        <f>IF($U1680="","",INDEX(상세표[18~22시],$U1680))</f>
        <v/>
      </c>
      <c r="S1680">
        <f>IF($U1680="","",INDEX(상세표[22~06시],$U1680))</f>
        <v/>
      </c>
      <c r="T1680">
        <f>IF($U1680="","",INDEX(상세표[기록 시간외],$U1680))</f>
        <v/>
      </c>
      <c r="U1680" s="4">
        <f>IFERROR(MATCH(1675,상세표[발송순번],0),"")</f>
        <v/>
      </c>
    </row>
    <row r="1681">
      <c r="J1681">
        <f>IF($U1681="","",INDEX(상세표[사번],$U1681)&amp;"")</f>
        <v/>
      </c>
      <c r="K1681">
        <f>IF($U1681="","",INDEX(상세표[성명],$U1681)&amp;"")</f>
        <v/>
      </c>
      <c r="L1681">
        <f>IF($U1681="","",INDEX(상세표[직위],$U1681)&amp;"")</f>
        <v/>
      </c>
      <c r="M1681">
        <f>IF($U1681="","",IF(ISNUMBER(INDEX(상세표[근무일자],$U1681)),TEXT(INDEX(상세표[근무일자],$U1681),"yyyy-mm-dd"),INDEX(상세표[근무일자],$U1681)&amp;""))</f>
        <v/>
      </c>
      <c r="N1681">
        <f>IF($U1681="","",IF(ISNUMBER(INDEX(상세표[시작],$U1681)),TEXT(INDEX(상세표[시작],$U1681),"yyyy-mm-dd hh:mm"),INDEX(상세표[시작],$U1681)&amp;""))</f>
        <v/>
      </c>
      <c r="O1681">
        <f>IF($U1681="","",IF(ISNUMBER(INDEX(상세표[종료],$U1681)),TEXT(INDEX(상세표[종료],$U1681),"yyyy-mm-dd hh:mm"),INDEX(상세표[종료],$U1681)&amp;""))</f>
        <v/>
      </c>
      <c r="P1681">
        <f>IF($U1681="","",INDEX(상세표[06~07시],$U1681))</f>
        <v/>
      </c>
      <c r="Q1681">
        <f>IF($U1681="","",INDEX(상세표[07~18시],$U1681))</f>
        <v/>
      </c>
      <c r="R1681">
        <f>IF($U1681="","",INDEX(상세표[18~22시],$U1681))</f>
        <v/>
      </c>
      <c r="S1681">
        <f>IF($U1681="","",INDEX(상세표[22~06시],$U1681))</f>
        <v/>
      </c>
      <c r="T1681">
        <f>IF($U1681="","",INDEX(상세표[기록 시간외],$U1681))</f>
        <v/>
      </c>
      <c r="U1681" s="4">
        <f>IFERROR(MATCH(1676,상세표[발송순번],0),"")</f>
        <v/>
      </c>
    </row>
    <row r="1682">
      <c r="J1682">
        <f>IF($U1682="","",INDEX(상세표[사번],$U1682)&amp;"")</f>
        <v/>
      </c>
      <c r="K1682">
        <f>IF($U1682="","",INDEX(상세표[성명],$U1682)&amp;"")</f>
        <v/>
      </c>
      <c r="L1682">
        <f>IF($U1682="","",INDEX(상세표[직위],$U1682)&amp;"")</f>
        <v/>
      </c>
      <c r="M1682">
        <f>IF($U1682="","",IF(ISNUMBER(INDEX(상세표[근무일자],$U1682)),TEXT(INDEX(상세표[근무일자],$U1682),"yyyy-mm-dd"),INDEX(상세표[근무일자],$U1682)&amp;""))</f>
        <v/>
      </c>
      <c r="N1682">
        <f>IF($U1682="","",IF(ISNUMBER(INDEX(상세표[시작],$U1682)),TEXT(INDEX(상세표[시작],$U1682),"yyyy-mm-dd hh:mm"),INDEX(상세표[시작],$U1682)&amp;""))</f>
        <v/>
      </c>
      <c r="O1682">
        <f>IF($U1682="","",IF(ISNUMBER(INDEX(상세표[종료],$U1682)),TEXT(INDEX(상세표[종료],$U1682),"yyyy-mm-dd hh:mm"),INDEX(상세표[종료],$U1682)&amp;""))</f>
        <v/>
      </c>
      <c r="P1682">
        <f>IF($U1682="","",INDEX(상세표[06~07시],$U1682))</f>
        <v/>
      </c>
      <c r="Q1682">
        <f>IF($U1682="","",INDEX(상세표[07~18시],$U1682))</f>
        <v/>
      </c>
      <c r="R1682">
        <f>IF($U1682="","",INDEX(상세표[18~22시],$U1682))</f>
        <v/>
      </c>
      <c r="S1682">
        <f>IF($U1682="","",INDEX(상세표[22~06시],$U1682))</f>
        <v/>
      </c>
      <c r="T1682">
        <f>IF($U1682="","",INDEX(상세표[기록 시간외],$U1682))</f>
        <v/>
      </c>
      <c r="U1682" s="4">
        <f>IFERROR(MATCH(1677,상세표[발송순번],0),"")</f>
        <v/>
      </c>
    </row>
    <row r="1683">
      <c r="J1683">
        <f>IF($U1683="","",INDEX(상세표[사번],$U1683)&amp;"")</f>
        <v/>
      </c>
      <c r="K1683">
        <f>IF($U1683="","",INDEX(상세표[성명],$U1683)&amp;"")</f>
        <v/>
      </c>
      <c r="L1683">
        <f>IF($U1683="","",INDEX(상세표[직위],$U1683)&amp;"")</f>
        <v/>
      </c>
      <c r="M1683">
        <f>IF($U1683="","",IF(ISNUMBER(INDEX(상세표[근무일자],$U1683)),TEXT(INDEX(상세표[근무일자],$U1683),"yyyy-mm-dd"),INDEX(상세표[근무일자],$U1683)&amp;""))</f>
        <v/>
      </c>
      <c r="N1683">
        <f>IF($U1683="","",IF(ISNUMBER(INDEX(상세표[시작],$U1683)),TEXT(INDEX(상세표[시작],$U1683),"yyyy-mm-dd hh:mm"),INDEX(상세표[시작],$U1683)&amp;""))</f>
        <v/>
      </c>
      <c r="O1683">
        <f>IF($U1683="","",IF(ISNUMBER(INDEX(상세표[종료],$U1683)),TEXT(INDEX(상세표[종료],$U1683),"yyyy-mm-dd hh:mm"),INDEX(상세표[종료],$U1683)&amp;""))</f>
        <v/>
      </c>
      <c r="P1683">
        <f>IF($U1683="","",INDEX(상세표[06~07시],$U1683))</f>
        <v/>
      </c>
      <c r="Q1683">
        <f>IF($U1683="","",INDEX(상세표[07~18시],$U1683))</f>
        <v/>
      </c>
      <c r="R1683">
        <f>IF($U1683="","",INDEX(상세표[18~22시],$U1683))</f>
        <v/>
      </c>
      <c r="S1683">
        <f>IF($U1683="","",INDEX(상세표[22~06시],$U1683))</f>
        <v/>
      </c>
      <c r="T1683">
        <f>IF($U1683="","",INDEX(상세표[기록 시간외],$U1683))</f>
        <v/>
      </c>
      <c r="U1683" s="4">
        <f>IFERROR(MATCH(1678,상세표[발송순번],0),"")</f>
        <v/>
      </c>
    </row>
    <row r="1684">
      <c r="J1684">
        <f>IF($U1684="","",INDEX(상세표[사번],$U1684)&amp;"")</f>
        <v/>
      </c>
      <c r="K1684">
        <f>IF($U1684="","",INDEX(상세표[성명],$U1684)&amp;"")</f>
        <v/>
      </c>
      <c r="L1684">
        <f>IF($U1684="","",INDEX(상세표[직위],$U1684)&amp;"")</f>
        <v/>
      </c>
      <c r="M1684">
        <f>IF($U1684="","",IF(ISNUMBER(INDEX(상세표[근무일자],$U1684)),TEXT(INDEX(상세표[근무일자],$U1684),"yyyy-mm-dd"),INDEX(상세표[근무일자],$U1684)&amp;""))</f>
        <v/>
      </c>
      <c r="N1684">
        <f>IF($U1684="","",IF(ISNUMBER(INDEX(상세표[시작],$U1684)),TEXT(INDEX(상세표[시작],$U1684),"yyyy-mm-dd hh:mm"),INDEX(상세표[시작],$U1684)&amp;""))</f>
        <v/>
      </c>
      <c r="O1684">
        <f>IF($U1684="","",IF(ISNUMBER(INDEX(상세표[종료],$U1684)),TEXT(INDEX(상세표[종료],$U1684),"yyyy-mm-dd hh:mm"),INDEX(상세표[종료],$U1684)&amp;""))</f>
        <v/>
      </c>
      <c r="P1684">
        <f>IF($U1684="","",INDEX(상세표[06~07시],$U1684))</f>
        <v/>
      </c>
      <c r="Q1684">
        <f>IF($U1684="","",INDEX(상세표[07~18시],$U1684))</f>
        <v/>
      </c>
      <c r="R1684">
        <f>IF($U1684="","",INDEX(상세표[18~22시],$U1684))</f>
        <v/>
      </c>
      <c r="S1684">
        <f>IF($U1684="","",INDEX(상세표[22~06시],$U1684))</f>
        <v/>
      </c>
      <c r="T1684">
        <f>IF($U1684="","",INDEX(상세표[기록 시간외],$U1684))</f>
        <v/>
      </c>
      <c r="U1684" s="4">
        <f>IFERROR(MATCH(1679,상세표[발송순번],0),"")</f>
        <v/>
      </c>
    </row>
    <row r="1685">
      <c r="J1685">
        <f>IF($U1685="","",INDEX(상세표[사번],$U1685)&amp;"")</f>
        <v/>
      </c>
      <c r="K1685">
        <f>IF($U1685="","",INDEX(상세표[성명],$U1685)&amp;"")</f>
        <v/>
      </c>
      <c r="L1685">
        <f>IF($U1685="","",INDEX(상세표[직위],$U1685)&amp;"")</f>
        <v/>
      </c>
      <c r="M1685">
        <f>IF($U1685="","",IF(ISNUMBER(INDEX(상세표[근무일자],$U1685)),TEXT(INDEX(상세표[근무일자],$U1685),"yyyy-mm-dd"),INDEX(상세표[근무일자],$U1685)&amp;""))</f>
        <v/>
      </c>
      <c r="N1685">
        <f>IF($U1685="","",IF(ISNUMBER(INDEX(상세표[시작],$U1685)),TEXT(INDEX(상세표[시작],$U1685),"yyyy-mm-dd hh:mm"),INDEX(상세표[시작],$U1685)&amp;""))</f>
        <v/>
      </c>
      <c r="O1685">
        <f>IF($U1685="","",IF(ISNUMBER(INDEX(상세표[종료],$U1685)),TEXT(INDEX(상세표[종료],$U1685),"yyyy-mm-dd hh:mm"),INDEX(상세표[종료],$U1685)&amp;""))</f>
        <v/>
      </c>
      <c r="P1685">
        <f>IF($U1685="","",INDEX(상세표[06~07시],$U1685))</f>
        <v/>
      </c>
      <c r="Q1685">
        <f>IF($U1685="","",INDEX(상세표[07~18시],$U1685))</f>
        <v/>
      </c>
      <c r="R1685">
        <f>IF($U1685="","",INDEX(상세표[18~22시],$U1685))</f>
        <v/>
      </c>
      <c r="S1685">
        <f>IF($U1685="","",INDEX(상세표[22~06시],$U1685))</f>
        <v/>
      </c>
      <c r="T1685">
        <f>IF($U1685="","",INDEX(상세표[기록 시간외],$U1685))</f>
        <v/>
      </c>
      <c r="U1685" s="4">
        <f>IFERROR(MATCH(1680,상세표[발송순번],0),"")</f>
        <v/>
      </c>
    </row>
    <row r="1686">
      <c r="J1686">
        <f>IF($U1686="","",INDEX(상세표[사번],$U1686)&amp;"")</f>
        <v/>
      </c>
      <c r="K1686">
        <f>IF($U1686="","",INDEX(상세표[성명],$U1686)&amp;"")</f>
        <v/>
      </c>
      <c r="L1686">
        <f>IF($U1686="","",INDEX(상세표[직위],$U1686)&amp;"")</f>
        <v/>
      </c>
      <c r="M1686">
        <f>IF($U1686="","",IF(ISNUMBER(INDEX(상세표[근무일자],$U1686)),TEXT(INDEX(상세표[근무일자],$U1686),"yyyy-mm-dd"),INDEX(상세표[근무일자],$U1686)&amp;""))</f>
        <v/>
      </c>
      <c r="N1686">
        <f>IF($U1686="","",IF(ISNUMBER(INDEX(상세표[시작],$U1686)),TEXT(INDEX(상세표[시작],$U1686),"yyyy-mm-dd hh:mm"),INDEX(상세표[시작],$U1686)&amp;""))</f>
        <v/>
      </c>
      <c r="O1686">
        <f>IF($U1686="","",IF(ISNUMBER(INDEX(상세표[종료],$U1686)),TEXT(INDEX(상세표[종료],$U1686),"yyyy-mm-dd hh:mm"),INDEX(상세표[종료],$U1686)&amp;""))</f>
        <v/>
      </c>
      <c r="P1686">
        <f>IF($U1686="","",INDEX(상세표[06~07시],$U1686))</f>
        <v/>
      </c>
      <c r="Q1686">
        <f>IF($U1686="","",INDEX(상세표[07~18시],$U1686))</f>
        <v/>
      </c>
      <c r="R1686">
        <f>IF($U1686="","",INDEX(상세표[18~22시],$U1686))</f>
        <v/>
      </c>
      <c r="S1686">
        <f>IF($U1686="","",INDEX(상세표[22~06시],$U1686))</f>
        <v/>
      </c>
      <c r="T1686">
        <f>IF($U1686="","",INDEX(상세표[기록 시간외],$U1686))</f>
        <v/>
      </c>
      <c r="U1686" s="4">
        <f>IFERROR(MATCH(1681,상세표[발송순번],0),"")</f>
        <v/>
      </c>
    </row>
    <row r="1687">
      <c r="J1687">
        <f>IF($U1687="","",INDEX(상세표[사번],$U1687)&amp;"")</f>
        <v/>
      </c>
      <c r="K1687">
        <f>IF($U1687="","",INDEX(상세표[성명],$U1687)&amp;"")</f>
        <v/>
      </c>
      <c r="L1687">
        <f>IF($U1687="","",INDEX(상세표[직위],$U1687)&amp;"")</f>
        <v/>
      </c>
      <c r="M1687">
        <f>IF($U1687="","",IF(ISNUMBER(INDEX(상세표[근무일자],$U1687)),TEXT(INDEX(상세표[근무일자],$U1687),"yyyy-mm-dd"),INDEX(상세표[근무일자],$U1687)&amp;""))</f>
        <v/>
      </c>
      <c r="N1687">
        <f>IF($U1687="","",IF(ISNUMBER(INDEX(상세표[시작],$U1687)),TEXT(INDEX(상세표[시작],$U1687),"yyyy-mm-dd hh:mm"),INDEX(상세표[시작],$U1687)&amp;""))</f>
        <v/>
      </c>
      <c r="O1687">
        <f>IF($U1687="","",IF(ISNUMBER(INDEX(상세표[종료],$U1687)),TEXT(INDEX(상세표[종료],$U1687),"yyyy-mm-dd hh:mm"),INDEX(상세표[종료],$U1687)&amp;""))</f>
        <v/>
      </c>
      <c r="P1687">
        <f>IF($U1687="","",INDEX(상세표[06~07시],$U1687))</f>
        <v/>
      </c>
      <c r="Q1687">
        <f>IF($U1687="","",INDEX(상세표[07~18시],$U1687))</f>
        <v/>
      </c>
      <c r="R1687">
        <f>IF($U1687="","",INDEX(상세표[18~22시],$U1687))</f>
        <v/>
      </c>
      <c r="S1687">
        <f>IF($U1687="","",INDEX(상세표[22~06시],$U1687))</f>
        <v/>
      </c>
      <c r="T1687">
        <f>IF($U1687="","",INDEX(상세표[기록 시간외],$U1687))</f>
        <v/>
      </c>
      <c r="U1687" s="4">
        <f>IFERROR(MATCH(1682,상세표[발송순번],0),"")</f>
        <v/>
      </c>
    </row>
    <row r="1688">
      <c r="J1688">
        <f>IF($U1688="","",INDEX(상세표[사번],$U1688)&amp;"")</f>
        <v/>
      </c>
      <c r="K1688">
        <f>IF($U1688="","",INDEX(상세표[성명],$U1688)&amp;"")</f>
        <v/>
      </c>
      <c r="L1688">
        <f>IF($U1688="","",INDEX(상세표[직위],$U1688)&amp;"")</f>
        <v/>
      </c>
      <c r="M1688">
        <f>IF($U1688="","",IF(ISNUMBER(INDEX(상세표[근무일자],$U1688)),TEXT(INDEX(상세표[근무일자],$U1688),"yyyy-mm-dd"),INDEX(상세표[근무일자],$U1688)&amp;""))</f>
        <v/>
      </c>
      <c r="N1688">
        <f>IF($U1688="","",IF(ISNUMBER(INDEX(상세표[시작],$U1688)),TEXT(INDEX(상세표[시작],$U1688),"yyyy-mm-dd hh:mm"),INDEX(상세표[시작],$U1688)&amp;""))</f>
        <v/>
      </c>
      <c r="O1688">
        <f>IF($U1688="","",IF(ISNUMBER(INDEX(상세표[종료],$U1688)),TEXT(INDEX(상세표[종료],$U1688),"yyyy-mm-dd hh:mm"),INDEX(상세표[종료],$U1688)&amp;""))</f>
        <v/>
      </c>
      <c r="P1688">
        <f>IF($U1688="","",INDEX(상세표[06~07시],$U1688))</f>
        <v/>
      </c>
      <c r="Q1688">
        <f>IF($U1688="","",INDEX(상세표[07~18시],$U1688))</f>
        <v/>
      </c>
      <c r="R1688">
        <f>IF($U1688="","",INDEX(상세표[18~22시],$U1688))</f>
        <v/>
      </c>
      <c r="S1688">
        <f>IF($U1688="","",INDEX(상세표[22~06시],$U1688))</f>
        <v/>
      </c>
      <c r="T1688">
        <f>IF($U1688="","",INDEX(상세표[기록 시간외],$U1688))</f>
        <v/>
      </c>
      <c r="U1688" s="4">
        <f>IFERROR(MATCH(1683,상세표[발송순번],0),"")</f>
        <v/>
      </c>
    </row>
    <row r="1689">
      <c r="J1689">
        <f>IF($U1689="","",INDEX(상세표[사번],$U1689)&amp;"")</f>
        <v/>
      </c>
      <c r="K1689">
        <f>IF($U1689="","",INDEX(상세표[성명],$U1689)&amp;"")</f>
        <v/>
      </c>
      <c r="L1689">
        <f>IF($U1689="","",INDEX(상세표[직위],$U1689)&amp;"")</f>
        <v/>
      </c>
      <c r="M1689">
        <f>IF($U1689="","",IF(ISNUMBER(INDEX(상세표[근무일자],$U1689)),TEXT(INDEX(상세표[근무일자],$U1689),"yyyy-mm-dd"),INDEX(상세표[근무일자],$U1689)&amp;""))</f>
        <v/>
      </c>
      <c r="N1689">
        <f>IF($U1689="","",IF(ISNUMBER(INDEX(상세표[시작],$U1689)),TEXT(INDEX(상세표[시작],$U1689),"yyyy-mm-dd hh:mm"),INDEX(상세표[시작],$U1689)&amp;""))</f>
        <v/>
      </c>
      <c r="O1689">
        <f>IF($U1689="","",IF(ISNUMBER(INDEX(상세표[종료],$U1689)),TEXT(INDEX(상세표[종료],$U1689),"yyyy-mm-dd hh:mm"),INDEX(상세표[종료],$U1689)&amp;""))</f>
        <v/>
      </c>
      <c r="P1689">
        <f>IF($U1689="","",INDEX(상세표[06~07시],$U1689))</f>
        <v/>
      </c>
      <c r="Q1689">
        <f>IF($U1689="","",INDEX(상세표[07~18시],$U1689))</f>
        <v/>
      </c>
      <c r="R1689">
        <f>IF($U1689="","",INDEX(상세표[18~22시],$U1689))</f>
        <v/>
      </c>
      <c r="S1689">
        <f>IF($U1689="","",INDEX(상세표[22~06시],$U1689))</f>
        <v/>
      </c>
      <c r="T1689">
        <f>IF($U1689="","",INDEX(상세표[기록 시간외],$U1689))</f>
        <v/>
      </c>
      <c r="U1689" s="4">
        <f>IFERROR(MATCH(1684,상세표[발송순번],0),"")</f>
        <v/>
      </c>
    </row>
    <row r="1690">
      <c r="J1690">
        <f>IF($U1690="","",INDEX(상세표[사번],$U1690)&amp;"")</f>
        <v/>
      </c>
      <c r="K1690">
        <f>IF($U1690="","",INDEX(상세표[성명],$U1690)&amp;"")</f>
        <v/>
      </c>
      <c r="L1690">
        <f>IF($U1690="","",INDEX(상세표[직위],$U1690)&amp;"")</f>
        <v/>
      </c>
      <c r="M1690">
        <f>IF($U1690="","",IF(ISNUMBER(INDEX(상세표[근무일자],$U1690)),TEXT(INDEX(상세표[근무일자],$U1690),"yyyy-mm-dd"),INDEX(상세표[근무일자],$U1690)&amp;""))</f>
        <v/>
      </c>
      <c r="N1690">
        <f>IF($U1690="","",IF(ISNUMBER(INDEX(상세표[시작],$U1690)),TEXT(INDEX(상세표[시작],$U1690),"yyyy-mm-dd hh:mm"),INDEX(상세표[시작],$U1690)&amp;""))</f>
        <v/>
      </c>
      <c r="O1690">
        <f>IF($U1690="","",IF(ISNUMBER(INDEX(상세표[종료],$U1690)),TEXT(INDEX(상세표[종료],$U1690),"yyyy-mm-dd hh:mm"),INDEX(상세표[종료],$U1690)&amp;""))</f>
        <v/>
      </c>
      <c r="P1690">
        <f>IF($U1690="","",INDEX(상세표[06~07시],$U1690))</f>
        <v/>
      </c>
      <c r="Q1690">
        <f>IF($U1690="","",INDEX(상세표[07~18시],$U1690))</f>
        <v/>
      </c>
      <c r="R1690">
        <f>IF($U1690="","",INDEX(상세표[18~22시],$U1690))</f>
        <v/>
      </c>
      <c r="S1690">
        <f>IF($U1690="","",INDEX(상세표[22~06시],$U1690))</f>
        <v/>
      </c>
      <c r="T1690">
        <f>IF($U1690="","",INDEX(상세표[기록 시간외],$U1690))</f>
        <v/>
      </c>
      <c r="U1690" s="4">
        <f>IFERROR(MATCH(1685,상세표[발송순번],0),"")</f>
        <v/>
      </c>
    </row>
    <row r="1691">
      <c r="J1691">
        <f>IF($U1691="","",INDEX(상세표[사번],$U1691)&amp;"")</f>
        <v/>
      </c>
      <c r="K1691">
        <f>IF($U1691="","",INDEX(상세표[성명],$U1691)&amp;"")</f>
        <v/>
      </c>
      <c r="L1691">
        <f>IF($U1691="","",INDEX(상세표[직위],$U1691)&amp;"")</f>
        <v/>
      </c>
      <c r="M1691">
        <f>IF($U1691="","",IF(ISNUMBER(INDEX(상세표[근무일자],$U1691)),TEXT(INDEX(상세표[근무일자],$U1691),"yyyy-mm-dd"),INDEX(상세표[근무일자],$U1691)&amp;""))</f>
        <v/>
      </c>
      <c r="N1691">
        <f>IF($U1691="","",IF(ISNUMBER(INDEX(상세표[시작],$U1691)),TEXT(INDEX(상세표[시작],$U1691),"yyyy-mm-dd hh:mm"),INDEX(상세표[시작],$U1691)&amp;""))</f>
        <v/>
      </c>
      <c r="O1691">
        <f>IF($U1691="","",IF(ISNUMBER(INDEX(상세표[종료],$U1691)),TEXT(INDEX(상세표[종료],$U1691),"yyyy-mm-dd hh:mm"),INDEX(상세표[종료],$U1691)&amp;""))</f>
        <v/>
      </c>
      <c r="P1691">
        <f>IF($U1691="","",INDEX(상세표[06~07시],$U1691))</f>
        <v/>
      </c>
      <c r="Q1691">
        <f>IF($U1691="","",INDEX(상세표[07~18시],$U1691))</f>
        <v/>
      </c>
      <c r="R1691">
        <f>IF($U1691="","",INDEX(상세표[18~22시],$U1691))</f>
        <v/>
      </c>
      <c r="S1691">
        <f>IF($U1691="","",INDEX(상세표[22~06시],$U1691))</f>
        <v/>
      </c>
      <c r="T1691">
        <f>IF($U1691="","",INDEX(상세표[기록 시간외],$U1691))</f>
        <v/>
      </c>
      <c r="U1691" s="4">
        <f>IFERROR(MATCH(1686,상세표[발송순번],0),"")</f>
        <v/>
      </c>
    </row>
    <row r="1692">
      <c r="J1692">
        <f>IF($U1692="","",INDEX(상세표[사번],$U1692)&amp;"")</f>
        <v/>
      </c>
      <c r="K1692">
        <f>IF($U1692="","",INDEX(상세표[성명],$U1692)&amp;"")</f>
        <v/>
      </c>
      <c r="L1692">
        <f>IF($U1692="","",INDEX(상세표[직위],$U1692)&amp;"")</f>
        <v/>
      </c>
      <c r="M1692">
        <f>IF($U1692="","",IF(ISNUMBER(INDEX(상세표[근무일자],$U1692)),TEXT(INDEX(상세표[근무일자],$U1692),"yyyy-mm-dd"),INDEX(상세표[근무일자],$U1692)&amp;""))</f>
        <v/>
      </c>
      <c r="N1692">
        <f>IF($U1692="","",IF(ISNUMBER(INDEX(상세표[시작],$U1692)),TEXT(INDEX(상세표[시작],$U1692),"yyyy-mm-dd hh:mm"),INDEX(상세표[시작],$U1692)&amp;""))</f>
        <v/>
      </c>
      <c r="O1692">
        <f>IF($U1692="","",IF(ISNUMBER(INDEX(상세표[종료],$U1692)),TEXT(INDEX(상세표[종료],$U1692),"yyyy-mm-dd hh:mm"),INDEX(상세표[종료],$U1692)&amp;""))</f>
        <v/>
      </c>
      <c r="P1692">
        <f>IF($U1692="","",INDEX(상세표[06~07시],$U1692))</f>
        <v/>
      </c>
      <c r="Q1692">
        <f>IF($U1692="","",INDEX(상세표[07~18시],$U1692))</f>
        <v/>
      </c>
      <c r="R1692">
        <f>IF($U1692="","",INDEX(상세표[18~22시],$U1692))</f>
        <v/>
      </c>
      <c r="S1692">
        <f>IF($U1692="","",INDEX(상세표[22~06시],$U1692))</f>
        <v/>
      </c>
      <c r="T1692">
        <f>IF($U1692="","",INDEX(상세표[기록 시간외],$U1692))</f>
        <v/>
      </c>
      <c r="U1692" s="4">
        <f>IFERROR(MATCH(1687,상세표[발송순번],0),"")</f>
        <v/>
      </c>
    </row>
    <row r="1693">
      <c r="J1693">
        <f>IF($U1693="","",INDEX(상세표[사번],$U1693)&amp;"")</f>
        <v/>
      </c>
      <c r="K1693">
        <f>IF($U1693="","",INDEX(상세표[성명],$U1693)&amp;"")</f>
        <v/>
      </c>
      <c r="L1693">
        <f>IF($U1693="","",INDEX(상세표[직위],$U1693)&amp;"")</f>
        <v/>
      </c>
      <c r="M1693">
        <f>IF($U1693="","",IF(ISNUMBER(INDEX(상세표[근무일자],$U1693)),TEXT(INDEX(상세표[근무일자],$U1693),"yyyy-mm-dd"),INDEX(상세표[근무일자],$U1693)&amp;""))</f>
        <v/>
      </c>
      <c r="N1693">
        <f>IF($U1693="","",IF(ISNUMBER(INDEX(상세표[시작],$U1693)),TEXT(INDEX(상세표[시작],$U1693),"yyyy-mm-dd hh:mm"),INDEX(상세표[시작],$U1693)&amp;""))</f>
        <v/>
      </c>
      <c r="O1693">
        <f>IF($U1693="","",IF(ISNUMBER(INDEX(상세표[종료],$U1693)),TEXT(INDEX(상세표[종료],$U1693),"yyyy-mm-dd hh:mm"),INDEX(상세표[종료],$U1693)&amp;""))</f>
        <v/>
      </c>
      <c r="P1693">
        <f>IF($U1693="","",INDEX(상세표[06~07시],$U1693))</f>
        <v/>
      </c>
      <c r="Q1693">
        <f>IF($U1693="","",INDEX(상세표[07~18시],$U1693))</f>
        <v/>
      </c>
      <c r="R1693">
        <f>IF($U1693="","",INDEX(상세표[18~22시],$U1693))</f>
        <v/>
      </c>
      <c r="S1693">
        <f>IF($U1693="","",INDEX(상세표[22~06시],$U1693))</f>
        <v/>
      </c>
      <c r="T1693">
        <f>IF($U1693="","",INDEX(상세표[기록 시간외],$U1693))</f>
        <v/>
      </c>
      <c r="U1693" s="4">
        <f>IFERROR(MATCH(1688,상세표[발송순번],0),"")</f>
        <v/>
      </c>
    </row>
    <row r="1694">
      <c r="J1694">
        <f>IF($U1694="","",INDEX(상세표[사번],$U1694)&amp;"")</f>
        <v/>
      </c>
      <c r="K1694">
        <f>IF($U1694="","",INDEX(상세표[성명],$U1694)&amp;"")</f>
        <v/>
      </c>
      <c r="L1694">
        <f>IF($U1694="","",INDEX(상세표[직위],$U1694)&amp;"")</f>
        <v/>
      </c>
      <c r="M1694">
        <f>IF($U1694="","",IF(ISNUMBER(INDEX(상세표[근무일자],$U1694)),TEXT(INDEX(상세표[근무일자],$U1694),"yyyy-mm-dd"),INDEX(상세표[근무일자],$U1694)&amp;""))</f>
        <v/>
      </c>
      <c r="N1694">
        <f>IF($U1694="","",IF(ISNUMBER(INDEX(상세표[시작],$U1694)),TEXT(INDEX(상세표[시작],$U1694),"yyyy-mm-dd hh:mm"),INDEX(상세표[시작],$U1694)&amp;""))</f>
        <v/>
      </c>
      <c r="O1694">
        <f>IF($U1694="","",IF(ISNUMBER(INDEX(상세표[종료],$U1694)),TEXT(INDEX(상세표[종료],$U1694),"yyyy-mm-dd hh:mm"),INDEX(상세표[종료],$U1694)&amp;""))</f>
        <v/>
      </c>
      <c r="P1694">
        <f>IF($U1694="","",INDEX(상세표[06~07시],$U1694))</f>
        <v/>
      </c>
      <c r="Q1694">
        <f>IF($U1694="","",INDEX(상세표[07~18시],$U1694))</f>
        <v/>
      </c>
      <c r="R1694">
        <f>IF($U1694="","",INDEX(상세표[18~22시],$U1694))</f>
        <v/>
      </c>
      <c r="S1694">
        <f>IF($U1694="","",INDEX(상세표[22~06시],$U1694))</f>
        <v/>
      </c>
      <c r="T1694">
        <f>IF($U1694="","",INDEX(상세표[기록 시간외],$U1694))</f>
        <v/>
      </c>
      <c r="U1694" s="4">
        <f>IFERROR(MATCH(1689,상세표[발송순번],0),"")</f>
        <v/>
      </c>
    </row>
    <row r="1695">
      <c r="J1695">
        <f>IF($U1695="","",INDEX(상세표[사번],$U1695)&amp;"")</f>
        <v/>
      </c>
      <c r="K1695">
        <f>IF($U1695="","",INDEX(상세표[성명],$U1695)&amp;"")</f>
        <v/>
      </c>
      <c r="L1695">
        <f>IF($U1695="","",INDEX(상세표[직위],$U1695)&amp;"")</f>
        <v/>
      </c>
      <c r="M1695">
        <f>IF($U1695="","",IF(ISNUMBER(INDEX(상세표[근무일자],$U1695)),TEXT(INDEX(상세표[근무일자],$U1695),"yyyy-mm-dd"),INDEX(상세표[근무일자],$U1695)&amp;""))</f>
        <v/>
      </c>
      <c r="N1695">
        <f>IF($U1695="","",IF(ISNUMBER(INDEX(상세표[시작],$U1695)),TEXT(INDEX(상세표[시작],$U1695),"yyyy-mm-dd hh:mm"),INDEX(상세표[시작],$U1695)&amp;""))</f>
        <v/>
      </c>
      <c r="O1695">
        <f>IF($U1695="","",IF(ISNUMBER(INDEX(상세표[종료],$U1695)),TEXT(INDEX(상세표[종료],$U1695),"yyyy-mm-dd hh:mm"),INDEX(상세표[종료],$U1695)&amp;""))</f>
        <v/>
      </c>
      <c r="P1695">
        <f>IF($U1695="","",INDEX(상세표[06~07시],$U1695))</f>
        <v/>
      </c>
      <c r="Q1695">
        <f>IF($U1695="","",INDEX(상세표[07~18시],$U1695))</f>
        <v/>
      </c>
      <c r="R1695">
        <f>IF($U1695="","",INDEX(상세표[18~22시],$U1695))</f>
        <v/>
      </c>
      <c r="S1695">
        <f>IF($U1695="","",INDEX(상세표[22~06시],$U1695))</f>
        <v/>
      </c>
      <c r="T1695">
        <f>IF($U1695="","",INDEX(상세표[기록 시간외],$U1695))</f>
        <v/>
      </c>
      <c r="U1695" s="4">
        <f>IFERROR(MATCH(1690,상세표[발송순번],0),"")</f>
        <v/>
      </c>
    </row>
    <row r="1696">
      <c r="J1696">
        <f>IF($U1696="","",INDEX(상세표[사번],$U1696)&amp;"")</f>
        <v/>
      </c>
      <c r="K1696">
        <f>IF($U1696="","",INDEX(상세표[성명],$U1696)&amp;"")</f>
        <v/>
      </c>
      <c r="L1696">
        <f>IF($U1696="","",INDEX(상세표[직위],$U1696)&amp;"")</f>
        <v/>
      </c>
      <c r="M1696">
        <f>IF($U1696="","",IF(ISNUMBER(INDEX(상세표[근무일자],$U1696)),TEXT(INDEX(상세표[근무일자],$U1696),"yyyy-mm-dd"),INDEX(상세표[근무일자],$U1696)&amp;""))</f>
        <v/>
      </c>
      <c r="N1696">
        <f>IF($U1696="","",IF(ISNUMBER(INDEX(상세표[시작],$U1696)),TEXT(INDEX(상세표[시작],$U1696),"yyyy-mm-dd hh:mm"),INDEX(상세표[시작],$U1696)&amp;""))</f>
        <v/>
      </c>
      <c r="O1696">
        <f>IF($U1696="","",IF(ISNUMBER(INDEX(상세표[종료],$U1696)),TEXT(INDEX(상세표[종료],$U1696),"yyyy-mm-dd hh:mm"),INDEX(상세표[종료],$U1696)&amp;""))</f>
        <v/>
      </c>
      <c r="P1696">
        <f>IF($U1696="","",INDEX(상세표[06~07시],$U1696))</f>
        <v/>
      </c>
      <c r="Q1696">
        <f>IF($U1696="","",INDEX(상세표[07~18시],$U1696))</f>
        <v/>
      </c>
      <c r="R1696">
        <f>IF($U1696="","",INDEX(상세표[18~22시],$U1696))</f>
        <v/>
      </c>
      <c r="S1696">
        <f>IF($U1696="","",INDEX(상세표[22~06시],$U1696))</f>
        <v/>
      </c>
      <c r="T1696">
        <f>IF($U1696="","",INDEX(상세표[기록 시간외],$U1696))</f>
        <v/>
      </c>
      <c r="U1696" s="4">
        <f>IFERROR(MATCH(1691,상세표[발송순번],0),"")</f>
        <v/>
      </c>
    </row>
    <row r="1697">
      <c r="J1697">
        <f>IF($U1697="","",INDEX(상세표[사번],$U1697)&amp;"")</f>
        <v/>
      </c>
      <c r="K1697">
        <f>IF($U1697="","",INDEX(상세표[성명],$U1697)&amp;"")</f>
        <v/>
      </c>
      <c r="L1697">
        <f>IF($U1697="","",INDEX(상세표[직위],$U1697)&amp;"")</f>
        <v/>
      </c>
      <c r="M1697">
        <f>IF($U1697="","",IF(ISNUMBER(INDEX(상세표[근무일자],$U1697)),TEXT(INDEX(상세표[근무일자],$U1697),"yyyy-mm-dd"),INDEX(상세표[근무일자],$U1697)&amp;""))</f>
        <v/>
      </c>
      <c r="N1697">
        <f>IF($U1697="","",IF(ISNUMBER(INDEX(상세표[시작],$U1697)),TEXT(INDEX(상세표[시작],$U1697),"yyyy-mm-dd hh:mm"),INDEX(상세표[시작],$U1697)&amp;""))</f>
        <v/>
      </c>
      <c r="O1697">
        <f>IF($U1697="","",IF(ISNUMBER(INDEX(상세표[종료],$U1697)),TEXT(INDEX(상세표[종료],$U1697),"yyyy-mm-dd hh:mm"),INDEX(상세표[종료],$U1697)&amp;""))</f>
        <v/>
      </c>
      <c r="P1697">
        <f>IF($U1697="","",INDEX(상세표[06~07시],$U1697))</f>
        <v/>
      </c>
      <c r="Q1697">
        <f>IF($U1697="","",INDEX(상세표[07~18시],$U1697))</f>
        <v/>
      </c>
      <c r="R1697">
        <f>IF($U1697="","",INDEX(상세표[18~22시],$U1697))</f>
        <v/>
      </c>
      <c r="S1697">
        <f>IF($U1697="","",INDEX(상세표[22~06시],$U1697))</f>
        <v/>
      </c>
      <c r="T1697">
        <f>IF($U1697="","",INDEX(상세표[기록 시간외],$U1697))</f>
        <v/>
      </c>
      <c r="U1697" s="4">
        <f>IFERROR(MATCH(1692,상세표[발송순번],0),"")</f>
        <v/>
      </c>
    </row>
    <row r="1698">
      <c r="J1698">
        <f>IF($U1698="","",INDEX(상세표[사번],$U1698)&amp;"")</f>
        <v/>
      </c>
      <c r="K1698">
        <f>IF($U1698="","",INDEX(상세표[성명],$U1698)&amp;"")</f>
        <v/>
      </c>
      <c r="L1698">
        <f>IF($U1698="","",INDEX(상세표[직위],$U1698)&amp;"")</f>
        <v/>
      </c>
      <c r="M1698">
        <f>IF($U1698="","",IF(ISNUMBER(INDEX(상세표[근무일자],$U1698)),TEXT(INDEX(상세표[근무일자],$U1698),"yyyy-mm-dd"),INDEX(상세표[근무일자],$U1698)&amp;""))</f>
        <v/>
      </c>
      <c r="N1698">
        <f>IF($U1698="","",IF(ISNUMBER(INDEX(상세표[시작],$U1698)),TEXT(INDEX(상세표[시작],$U1698),"yyyy-mm-dd hh:mm"),INDEX(상세표[시작],$U1698)&amp;""))</f>
        <v/>
      </c>
      <c r="O1698">
        <f>IF($U1698="","",IF(ISNUMBER(INDEX(상세표[종료],$U1698)),TEXT(INDEX(상세표[종료],$U1698),"yyyy-mm-dd hh:mm"),INDEX(상세표[종료],$U1698)&amp;""))</f>
        <v/>
      </c>
      <c r="P1698">
        <f>IF($U1698="","",INDEX(상세표[06~07시],$U1698))</f>
        <v/>
      </c>
      <c r="Q1698">
        <f>IF($U1698="","",INDEX(상세표[07~18시],$U1698))</f>
        <v/>
      </c>
      <c r="R1698">
        <f>IF($U1698="","",INDEX(상세표[18~22시],$U1698))</f>
        <v/>
      </c>
      <c r="S1698">
        <f>IF($U1698="","",INDEX(상세표[22~06시],$U1698))</f>
        <v/>
      </c>
      <c r="T1698">
        <f>IF($U1698="","",INDEX(상세표[기록 시간외],$U1698))</f>
        <v/>
      </c>
      <c r="U1698" s="4">
        <f>IFERROR(MATCH(1693,상세표[발송순번],0),"")</f>
        <v/>
      </c>
    </row>
    <row r="1699">
      <c r="J1699">
        <f>IF($U1699="","",INDEX(상세표[사번],$U1699)&amp;"")</f>
        <v/>
      </c>
      <c r="K1699">
        <f>IF($U1699="","",INDEX(상세표[성명],$U1699)&amp;"")</f>
        <v/>
      </c>
      <c r="L1699">
        <f>IF($U1699="","",INDEX(상세표[직위],$U1699)&amp;"")</f>
        <v/>
      </c>
      <c r="M1699">
        <f>IF($U1699="","",IF(ISNUMBER(INDEX(상세표[근무일자],$U1699)),TEXT(INDEX(상세표[근무일자],$U1699),"yyyy-mm-dd"),INDEX(상세표[근무일자],$U1699)&amp;""))</f>
        <v/>
      </c>
      <c r="N1699">
        <f>IF($U1699="","",IF(ISNUMBER(INDEX(상세표[시작],$U1699)),TEXT(INDEX(상세표[시작],$U1699),"yyyy-mm-dd hh:mm"),INDEX(상세표[시작],$U1699)&amp;""))</f>
        <v/>
      </c>
      <c r="O1699">
        <f>IF($U1699="","",IF(ISNUMBER(INDEX(상세표[종료],$U1699)),TEXT(INDEX(상세표[종료],$U1699),"yyyy-mm-dd hh:mm"),INDEX(상세표[종료],$U1699)&amp;""))</f>
        <v/>
      </c>
      <c r="P1699">
        <f>IF($U1699="","",INDEX(상세표[06~07시],$U1699))</f>
        <v/>
      </c>
      <c r="Q1699">
        <f>IF($U1699="","",INDEX(상세표[07~18시],$U1699))</f>
        <v/>
      </c>
      <c r="R1699">
        <f>IF($U1699="","",INDEX(상세표[18~22시],$U1699))</f>
        <v/>
      </c>
      <c r="S1699">
        <f>IF($U1699="","",INDEX(상세표[22~06시],$U1699))</f>
        <v/>
      </c>
      <c r="T1699">
        <f>IF($U1699="","",INDEX(상세표[기록 시간외],$U1699))</f>
        <v/>
      </c>
      <c r="U1699" s="4">
        <f>IFERROR(MATCH(1694,상세표[발송순번],0),"")</f>
        <v/>
      </c>
    </row>
    <row r="1700">
      <c r="J1700">
        <f>IF($U1700="","",INDEX(상세표[사번],$U1700)&amp;"")</f>
        <v/>
      </c>
      <c r="K1700">
        <f>IF($U1700="","",INDEX(상세표[성명],$U1700)&amp;"")</f>
        <v/>
      </c>
      <c r="L1700">
        <f>IF($U1700="","",INDEX(상세표[직위],$U1700)&amp;"")</f>
        <v/>
      </c>
      <c r="M1700">
        <f>IF($U1700="","",IF(ISNUMBER(INDEX(상세표[근무일자],$U1700)),TEXT(INDEX(상세표[근무일자],$U1700),"yyyy-mm-dd"),INDEX(상세표[근무일자],$U1700)&amp;""))</f>
        <v/>
      </c>
      <c r="N1700">
        <f>IF($U1700="","",IF(ISNUMBER(INDEX(상세표[시작],$U1700)),TEXT(INDEX(상세표[시작],$U1700),"yyyy-mm-dd hh:mm"),INDEX(상세표[시작],$U1700)&amp;""))</f>
        <v/>
      </c>
      <c r="O1700">
        <f>IF($U1700="","",IF(ISNUMBER(INDEX(상세표[종료],$U1700)),TEXT(INDEX(상세표[종료],$U1700),"yyyy-mm-dd hh:mm"),INDEX(상세표[종료],$U1700)&amp;""))</f>
        <v/>
      </c>
      <c r="P1700">
        <f>IF($U1700="","",INDEX(상세표[06~07시],$U1700))</f>
        <v/>
      </c>
      <c r="Q1700">
        <f>IF($U1700="","",INDEX(상세표[07~18시],$U1700))</f>
        <v/>
      </c>
      <c r="R1700">
        <f>IF($U1700="","",INDEX(상세표[18~22시],$U1700))</f>
        <v/>
      </c>
      <c r="S1700">
        <f>IF($U1700="","",INDEX(상세표[22~06시],$U1700))</f>
        <v/>
      </c>
      <c r="T1700">
        <f>IF($U1700="","",INDEX(상세표[기록 시간외],$U1700))</f>
        <v/>
      </c>
      <c r="U1700" s="4">
        <f>IFERROR(MATCH(1695,상세표[발송순번],0),"")</f>
        <v/>
      </c>
    </row>
    <row r="1701">
      <c r="J1701">
        <f>IF($U1701="","",INDEX(상세표[사번],$U1701)&amp;"")</f>
        <v/>
      </c>
      <c r="K1701">
        <f>IF($U1701="","",INDEX(상세표[성명],$U1701)&amp;"")</f>
        <v/>
      </c>
      <c r="L1701">
        <f>IF($U1701="","",INDEX(상세표[직위],$U1701)&amp;"")</f>
        <v/>
      </c>
      <c r="M1701">
        <f>IF($U1701="","",IF(ISNUMBER(INDEX(상세표[근무일자],$U1701)),TEXT(INDEX(상세표[근무일자],$U1701),"yyyy-mm-dd"),INDEX(상세표[근무일자],$U1701)&amp;""))</f>
        <v/>
      </c>
      <c r="N1701">
        <f>IF($U1701="","",IF(ISNUMBER(INDEX(상세표[시작],$U1701)),TEXT(INDEX(상세표[시작],$U1701),"yyyy-mm-dd hh:mm"),INDEX(상세표[시작],$U1701)&amp;""))</f>
        <v/>
      </c>
      <c r="O1701">
        <f>IF($U1701="","",IF(ISNUMBER(INDEX(상세표[종료],$U1701)),TEXT(INDEX(상세표[종료],$U1701),"yyyy-mm-dd hh:mm"),INDEX(상세표[종료],$U1701)&amp;""))</f>
        <v/>
      </c>
      <c r="P1701">
        <f>IF($U1701="","",INDEX(상세표[06~07시],$U1701))</f>
        <v/>
      </c>
      <c r="Q1701">
        <f>IF($U1701="","",INDEX(상세표[07~18시],$U1701))</f>
        <v/>
      </c>
      <c r="R1701">
        <f>IF($U1701="","",INDEX(상세표[18~22시],$U1701))</f>
        <v/>
      </c>
      <c r="S1701">
        <f>IF($U1701="","",INDEX(상세표[22~06시],$U1701))</f>
        <v/>
      </c>
      <c r="T1701">
        <f>IF($U1701="","",INDEX(상세표[기록 시간외],$U1701))</f>
        <v/>
      </c>
      <c r="U1701" s="4">
        <f>IFERROR(MATCH(1696,상세표[발송순번],0),"")</f>
        <v/>
      </c>
    </row>
    <row r="1702">
      <c r="J1702">
        <f>IF($U1702="","",INDEX(상세표[사번],$U1702)&amp;"")</f>
        <v/>
      </c>
      <c r="K1702">
        <f>IF($U1702="","",INDEX(상세표[성명],$U1702)&amp;"")</f>
        <v/>
      </c>
      <c r="L1702">
        <f>IF($U1702="","",INDEX(상세표[직위],$U1702)&amp;"")</f>
        <v/>
      </c>
      <c r="M1702">
        <f>IF($U1702="","",IF(ISNUMBER(INDEX(상세표[근무일자],$U1702)),TEXT(INDEX(상세표[근무일자],$U1702),"yyyy-mm-dd"),INDEX(상세표[근무일자],$U1702)&amp;""))</f>
        <v/>
      </c>
      <c r="N1702">
        <f>IF($U1702="","",IF(ISNUMBER(INDEX(상세표[시작],$U1702)),TEXT(INDEX(상세표[시작],$U1702),"yyyy-mm-dd hh:mm"),INDEX(상세표[시작],$U1702)&amp;""))</f>
        <v/>
      </c>
      <c r="O1702">
        <f>IF($U1702="","",IF(ISNUMBER(INDEX(상세표[종료],$U1702)),TEXT(INDEX(상세표[종료],$U1702),"yyyy-mm-dd hh:mm"),INDEX(상세표[종료],$U1702)&amp;""))</f>
        <v/>
      </c>
      <c r="P1702">
        <f>IF($U1702="","",INDEX(상세표[06~07시],$U1702))</f>
        <v/>
      </c>
      <c r="Q1702">
        <f>IF($U1702="","",INDEX(상세표[07~18시],$U1702))</f>
        <v/>
      </c>
      <c r="R1702">
        <f>IF($U1702="","",INDEX(상세표[18~22시],$U1702))</f>
        <v/>
      </c>
      <c r="S1702">
        <f>IF($U1702="","",INDEX(상세표[22~06시],$U1702))</f>
        <v/>
      </c>
      <c r="T1702">
        <f>IF($U1702="","",INDEX(상세표[기록 시간외],$U1702))</f>
        <v/>
      </c>
      <c r="U1702" s="4">
        <f>IFERROR(MATCH(1697,상세표[발송순번],0),"")</f>
        <v/>
      </c>
    </row>
    <row r="1703">
      <c r="J1703">
        <f>IF($U1703="","",INDEX(상세표[사번],$U1703)&amp;"")</f>
        <v/>
      </c>
      <c r="K1703">
        <f>IF($U1703="","",INDEX(상세표[성명],$U1703)&amp;"")</f>
        <v/>
      </c>
      <c r="L1703">
        <f>IF($U1703="","",INDEX(상세표[직위],$U1703)&amp;"")</f>
        <v/>
      </c>
      <c r="M1703">
        <f>IF($U1703="","",IF(ISNUMBER(INDEX(상세표[근무일자],$U1703)),TEXT(INDEX(상세표[근무일자],$U1703),"yyyy-mm-dd"),INDEX(상세표[근무일자],$U1703)&amp;""))</f>
        <v/>
      </c>
      <c r="N1703">
        <f>IF($U1703="","",IF(ISNUMBER(INDEX(상세표[시작],$U1703)),TEXT(INDEX(상세표[시작],$U1703),"yyyy-mm-dd hh:mm"),INDEX(상세표[시작],$U1703)&amp;""))</f>
        <v/>
      </c>
      <c r="O1703">
        <f>IF($U1703="","",IF(ISNUMBER(INDEX(상세표[종료],$U1703)),TEXT(INDEX(상세표[종료],$U1703),"yyyy-mm-dd hh:mm"),INDEX(상세표[종료],$U1703)&amp;""))</f>
        <v/>
      </c>
      <c r="P1703">
        <f>IF($U1703="","",INDEX(상세표[06~07시],$U1703))</f>
        <v/>
      </c>
      <c r="Q1703">
        <f>IF($U1703="","",INDEX(상세표[07~18시],$U1703))</f>
        <v/>
      </c>
      <c r="R1703">
        <f>IF($U1703="","",INDEX(상세표[18~22시],$U1703))</f>
        <v/>
      </c>
      <c r="S1703">
        <f>IF($U1703="","",INDEX(상세표[22~06시],$U1703))</f>
        <v/>
      </c>
      <c r="T1703">
        <f>IF($U1703="","",INDEX(상세표[기록 시간외],$U1703))</f>
        <v/>
      </c>
      <c r="U1703" s="4">
        <f>IFERROR(MATCH(1698,상세표[발송순번],0),"")</f>
        <v/>
      </c>
    </row>
    <row r="1704">
      <c r="J1704">
        <f>IF($U1704="","",INDEX(상세표[사번],$U1704)&amp;"")</f>
        <v/>
      </c>
      <c r="K1704">
        <f>IF($U1704="","",INDEX(상세표[성명],$U1704)&amp;"")</f>
        <v/>
      </c>
      <c r="L1704">
        <f>IF($U1704="","",INDEX(상세표[직위],$U1704)&amp;"")</f>
        <v/>
      </c>
      <c r="M1704">
        <f>IF($U1704="","",IF(ISNUMBER(INDEX(상세표[근무일자],$U1704)),TEXT(INDEX(상세표[근무일자],$U1704),"yyyy-mm-dd"),INDEX(상세표[근무일자],$U1704)&amp;""))</f>
        <v/>
      </c>
      <c r="N1704">
        <f>IF($U1704="","",IF(ISNUMBER(INDEX(상세표[시작],$U1704)),TEXT(INDEX(상세표[시작],$U1704),"yyyy-mm-dd hh:mm"),INDEX(상세표[시작],$U1704)&amp;""))</f>
        <v/>
      </c>
      <c r="O1704">
        <f>IF($U1704="","",IF(ISNUMBER(INDEX(상세표[종료],$U1704)),TEXT(INDEX(상세표[종료],$U1704),"yyyy-mm-dd hh:mm"),INDEX(상세표[종료],$U1704)&amp;""))</f>
        <v/>
      </c>
      <c r="P1704">
        <f>IF($U1704="","",INDEX(상세표[06~07시],$U1704))</f>
        <v/>
      </c>
      <c r="Q1704">
        <f>IF($U1704="","",INDEX(상세표[07~18시],$U1704))</f>
        <v/>
      </c>
      <c r="R1704">
        <f>IF($U1704="","",INDEX(상세표[18~22시],$U1704))</f>
        <v/>
      </c>
      <c r="S1704">
        <f>IF($U1704="","",INDEX(상세표[22~06시],$U1704))</f>
        <v/>
      </c>
      <c r="T1704">
        <f>IF($U1704="","",INDEX(상세표[기록 시간외],$U1704))</f>
        <v/>
      </c>
      <c r="U1704" s="4">
        <f>IFERROR(MATCH(1699,상세표[발송순번],0),"")</f>
        <v/>
      </c>
    </row>
    <row r="1705">
      <c r="J1705">
        <f>IF($U1705="","",INDEX(상세표[사번],$U1705)&amp;"")</f>
        <v/>
      </c>
      <c r="K1705">
        <f>IF($U1705="","",INDEX(상세표[성명],$U1705)&amp;"")</f>
        <v/>
      </c>
      <c r="L1705">
        <f>IF($U1705="","",INDEX(상세표[직위],$U1705)&amp;"")</f>
        <v/>
      </c>
      <c r="M1705">
        <f>IF($U1705="","",IF(ISNUMBER(INDEX(상세표[근무일자],$U1705)),TEXT(INDEX(상세표[근무일자],$U1705),"yyyy-mm-dd"),INDEX(상세표[근무일자],$U1705)&amp;""))</f>
        <v/>
      </c>
      <c r="N1705">
        <f>IF($U1705="","",IF(ISNUMBER(INDEX(상세표[시작],$U1705)),TEXT(INDEX(상세표[시작],$U1705),"yyyy-mm-dd hh:mm"),INDEX(상세표[시작],$U1705)&amp;""))</f>
        <v/>
      </c>
      <c r="O1705">
        <f>IF($U1705="","",IF(ISNUMBER(INDEX(상세표[종료],$U1705)),TEXT(INDEX(상세표[종료],$U1705),"yyyy-mm-dd hh:mm"),INDEX(상세표[종료],$U1705)&amp;""))</f>
        <v/>
      </c>
      <c r="P1705">
        <f>IF($U1705="","",INDEX(상세표[06~07시],$U1705))</f>
        <v/>
      </c>
      <c r="Q1705">
        <f>IF($U1705="","",INDEX(상세표[07~18시],$U1705))</f>
        <v/>
      </c>
      <c r="R1705">
        <f>IF($U1705="","",INDEX(상세표[18~22시],$U1705))</f>
        <v/>
      </c>
      <c r="S1705">
        <f>IF($U1705="","",INDEX(상세표[22~06시],$U1705))</f>
        <v/>
      </c>
      <c r="T1705">
        <f>IF($U1705="","",INDEX(상세표[기록 시간외],$U1705))</f>
        <v/>
      </c>
      <c r="U1705" s="4">
        <f>IFERROR(MATCH(1700,상세표[발송순번],0),"")</f>
        <v/>
      </c>
    </row>
    <row r="1706">
      <c r="J1706">
        <f>IF($U1706="","",INDEX(상세표[사번],$U1706)&amp;"")</f>
        <v/>
      </c>
      <c r="K1706">
        <f>IF($U1706="","",INDEX(상세표[성명],$U1706)&amp;"")</f>
        <v/>
      </c>
      <c r="L1706">
        <f>IF($U1706="","",INDEX(상세표[직위],$U1706)&amp;"")</f>
        <v/>
      </c>
      <c r="M1706">
        <f>IF($U1706="","",IF(ISNUMBER(INDEX(상세표[근무일자],$U1706)),TEXT(INDEX(상세표[근무일자],$U1706),"yyyy-mm-dd"),INDEX(상세표[근무일자],$U1706)&amp;""))</f>
        <v/>
      </c>
      <c r="N1706">
        <f>IF($U1706="","",IF(ISNUMBER(INDEX(상세표[시작],$U1706)),TEXT(INDEX(상세표[시작],$U1706),"yyyy-mm-dd hh:mm"),INDEX(상세표[시작],$U1706)&amp;""))</f>
        <v/>
      </c>
      <c r="O1706">
        <f>IF($U1706="","",IF(ISNUMBER(INDEX(상세표[종료],$U1706)),TEXT(INDEX(상세표[종료],$U1706),"yyyy-mm-dd hh:mm"),INDEX(상세표[종료],$U1706)&amp;""))</f>
        <v/>
      </c>
      <c r="P1706">
        <f>IF($U1706="","",INDEX(상세표[06~07시],$U1706))</f>
        <v/>
      </c>
      <c r="Q1706">
        <f>IF($U1706="","",INDEX(상세표[07~18시],$U1706))</f>
        <v/>
      </c>
      <c r="R1706">
        <f>IF($U1706="","",INDEX(상세표[18~22시],$U1706))</f>
        <v/>
      </c>
      <c r="S1706">
        <f>IF($U1706="","",INDEX(상세표[22~06시],$U1706))</f>
        <v/>
      </c>
      <c r="T1706">
        <f>IF($U1706="","",INDEX(상세표[기록 시간외],$U1706))</f>
        <v/>
      </c>
      <c r="U1706" s="4">
        <f>IFERROR(MATCH(1701,상세표[발송순번],0),"")</f>
        <v/>
      </c>
    </row>
    <row r="1707">
      <c r="J1707">
        <f>IF($U1707="","",INDEX(상세표[사번],$U1707)&amp;"")</f>
        <v/>
      </c>
      <c r="K1707">
        <f>IF($U1707="","",INDEX(상세표[성명],$U1707)&amp;"")</f>
        <v/>
      </c>
      <c r="L1707">
        <f>IF($U1707="","",INDEX(상세표[직위],$U1707)&amp;"")</f>
        <v/>
      </c>
      <c r="M1707">
        <f>IF($U1707="","",IF(ISNUMBER(INDEX(상세표[근무일자],$U1707)),TEXT(INDEX(상세표[근무일자],$U1707),"yyyy-mm-dd"),INDEX(상세표[근무일자],$U1707)&amp;""))</f>
        <v/>
      </c>
      <c r="N1707">
        <f>IF($U1707="","",IF(ISNUMBER(INDEX(상세표[시작],$U1707)),TEXT(INDEX(상세표[시작],$U1707),"yyyy-mm-dd hh:mm"),INDEX(상세표[시작],$U1707)&amp;""))</f>
        <v/>
      </c>
      <c r="O1707">
        <f>IF($U1707="","",IF(ISNUMBER(INDEX(상세표[종료],$U1707)),TEXT(INDEX(상세표[종료],$U1707),"yyyy-mm-dd hh:mm"),INDEX(상세표[종료],$U1707)&amp;""))</f>
        <v/>
      </c>
      <c r="P1707">
        <f>IF($U1707="","",INDEX(상세표[06~07시],$U1707))</f>
        <v/>
      </c>
      <c r="Q1707">
        <f>IF($U1707="","",INDEX(상세표[07~18시],$U1707))</f>
        <v/>
      </c>
      <c r="R1707">
        <f>IF($U1707="","",INDEX(상세표[18~22시],$U1707))</f>
        <v/>
      </c>
      <c r="S1707">
        <f>IF($U1707="","",INDEX(상세표[22~06시],$U1707))</f>
        <v/>
      </c>
      <c r="T1707">
        <f>IF($U1707="","",INDEX(상세표[기록 시간외],$U1707))</f>
        <v/>
      </c>
      <c r="U1707" s="4">
        <f>IFERROR(MATCH(1702,상세표[발송순번],0),"")</f>
        <v/>
      </c>
    </row>
    <row r="1708">
      <c r="J1708">
        <f>IF($U1708="","",INDEX(상세표[사번],$U1708)&amp;"")</f>
        <v/>
      </c>
      <c r="K1708">
        <f>IF($U1708="","",INDEX(상세표[성명],$U1708)&amp;"")</f>
        <v/>
      </c>
      <c r="L1708">
        <f>IF($U1708="","",INDEX(상세표[직위],$U1708)&amp;"")</f>
        <v/>
      </c>
      <c r="M1708">
        <f>IF($U1708="","",IF(ISNUMBER(INDEX(상세표[근무일자],$U1708)),TEXT(INDEX(상세표[근무일자],$U1708),"yyyy-mm-dd"),INDEX(상세표[근무일자],$U1708)&amp;""))</f>
        <v/>
      </c>
      <c r="N1708">
        <f>IF($U1708="","",IF(ISNUMBER(INDEX(상세표[시작],$U1708)),TEXT(INDEX(상세표[시작],$U1708),"yyyy-mm-dd hh:mm"),INDEX(상세표[시작],$U1708)&amp;""))</f>
        <v/>
      </c>
      <c r="O1708">
        <f>IF($U1708="","",IF(ISNUMBER(INDEX(상세표[종료],$U1708)),TEXT(INDEX(상세표[종료],$U1708),"yyyy-mm-dd hh:mm"),INDEX(상세표[종료],$U1708)&amp;""))</f>
        <v/>
      </c>
      <c r="P1708">
        <f>IF($U1708="","",INDEX(상세표[06~07시],$U1708))</f>
        <v/>
      </c>
      <c r="Q1708">
        <f>IF($U1708="","",INDEX(상세표[07~18시],$U1708))</f>
        <v/>
      </c>
      <c r="R1708">
        <f>IF($U1708="","",INDEX(상세표[18~22시],$U1708))</f>
        <v/>
      </c>
      <c r="S1708">
        <f>IF($U1708="","",INDEX(상세표[22~06시],$U1708))</f>
        <v/>
      </c>
      <c r="T1708">
        <f>IF($U1708="","",INDEX(상세표[기록 시간외],$U1708))</f>
        <v/>
      </c>
      <c r="U1708" s="4">
        <f>IFERROR(MATCH(1703,상세표[발송순번],0),"")</f>
        <v/>
      </c>
    </row>
    <row r="1709">
      <c r="J1709">
        <f>IF($U1709="","",INDEX(상세표[사번],$U1709)&amp;"")</f>
        <v/>
      </c>
      <c r="K1709">
        <f>IF($U1709="","",INDEX(상세표[성명],$U1709)&amp;"")</f>
        <v/>
      </c>
      <c r="L1709">
        <f>IF($U1709="","",INDEX(상세표[직위],$U1709)&amp;"")</f>
        <v/>
      </c>
      <c r="M1709">
        <f>IF($U1709="","",IF(ISNUMBER(INDEX(상세표[근무일자],$U1709)),TEXT(INDEX(상세표[근무일자],$U1709),"yyyy-mm-dd"),INDEX(상세표[근무일자],$U1709)&amp;""))</f>
        <v/>
      </c>
      <c r="N1709">
        <f>IF($U1709="","",IF(ISNUMBER(INDEX(상세표[시작],$U1709)),TEXT(INDEX(상세표[시작],$U1709),"yyyy-mm-dd hh:mm"),INDEX(상세표[시작],$U1709)&amp;""))</f>
        <v/>
      </c>
      <c r="O1709">
        <f>IF($U1709="","",IF(ISNUMBER(INDEX(상세표[종료],$U1709)),TEXT(INDEX(상세표[종료],$U1709),"yyyy-mm-dd hh:mm"),INDEX(상세표[종료],$U1709)&amp;""))</f>
        <v/>
      </c>
      <c r="P1709">
        <f>IF($U1709="","",INDEX(상세표[06~07시],$U1709))</f>
        <v/>
      </c>
      <c r="Q1709">
        <f>IF($U1709="","",INDEX(상세표[07~18시],$U1709))</f>
        <v/>
      </c>
      <c r="R1709">
        <f>IF($U1709="","",INDEX(상세표[18~22시],$U1709))</f>
        <v/>
      </c>
      <c r="S1709">
        <f>IF($U1709="","",INDEX(상세표[22~06시],$U1709))</f>
        <v/>
      </c>
      <c r="T1709">
        <f>IF($U1709="","",INDEX(상세표[기록 시간외],$U1709))</f>
        <v/>
      </c>
      <c r="U1709" s="4">
        <f>IFERROR(MATCH(1704,상세표[발송순번],0),"")</f>
        <v/>
      </c>
    </row>
    <row r="1710">
      <c r="J1710">
        <f>IF($U1710="","",INDEX(상세표[사번],$U1710)&amp;"")</f>
        <v/>
      </c>
      <c r="K1710">
        <f>IF($U1710="","",INDEX(상세표[성명],$U1710)&amp;"")</f>
        <v/>
      </c>
      <c r="L1710">
        <f>IF($U1710="","",INDEX(상세표[직위],$U1710)&amp;"")</f>
        <v/>
      </c>
      <c r="M1710">
        <f>IF($U1710="","",IF(ISNUMBER(INDEX(상세표[근무일자],$U1710)),TEXT(INDEX(상세표[근무일자],$U1710),"yyyy-mm-dd"),INDEX(상세표[근무일자],$U1710)&amp;""))</f>
        <v/>
      </c>
      <c r="N1710">
        <f>IF($U1710="","",IF(ISNUMBER(INDEX(상세표[시작],$U1710)),TEXT(INDEX(상세표[시작],$U1710),"yyyy-mm-dd hh:mm"),INDEX(상세표[시작],$U1710)&amp;""))</f>
        <v/>
      </c>
      <c r="O1710">
        <f>IF($U1710="","",IF(ISNUMBER(INDEX(상세표[종료],$U1710)),TEXT(INDEX(상세표[종료],$U1710),"yyyy-mm-dd hh:mm"),INDEX(상세표[종료],$U1710)&amp;""))</f>
        <v/>
      </c>
      <c r="P1710">
        <f>IF($U1710="","",INDEX(상세표[06~07시],$U1710))</f>
        <v/>
      </c>
      <c r="Q1710">
        <f>IF($U1710="","",INDEX(상세표[07~18시],$U1710))</f>
        <v/>
      </c>
      <c r="R1710">
        <f>IF($U1710="","",INDEX(상세표[18~22시],$U1710))</f>
        <v/>
      </c>
      <c r="S1710">
        <f>IF($U1710="","",INDEX(상세표[22~06시],$U1710))</f>
        <v/>
      </c>
      <c r="T1710">
        <f>IF($U1710="","",INDEX(상세표[기록 시간외],$U1710))</f>
        <v/>
      </c>
      <c r="U1710" s="4">
        <f>IFERROR(MATCH(1705,상세표[발송순번],0),"")</f>
        <v/>
      </c>
    </row>
    <row r="1711">
      <c r="J1711">
        <f>IF($U1711="","",INDEX(상세표[사번],$U1711)&amp;"")</f>
        <v/>
      </c>
      <c r="K1711">
        <f>IF($U1711="","",INDEX(상세표[성명],$U1711)&amp;"")</f>
        <v/>
      </c>
      <c r="L1711">
        <f>IF($U1711="","",INDEX(상세표[직위],$U1711)&amp;"")</f>
        <v/>
      </c>
      <c r="M1711">
        <f>IF($U1711="","",IF(ISNUMBER(INDEX(상세표[근무일자],$U1711)),TEXT(INDEX(상세표[근무일자],$U1711),"yyyy-mm-dd"),INDEX(상세표[근무일자],$U1711)&amp;""))</f>
        <v/>
      </c>
      <c r="N1711">
        <f>IF($U1711="","",IF(ISNUMBER(INDEX(상세표[시작],$U1711)),TEXT(INDEX(상세표[시작],$U1711),"yyyy-mm-dd hh:mm"),INDEX(상세표[시작],$U1711)&amp;""))</f>
        <v/>
      </c>
      <c r="O1711">
        <f>IF($U1711="","",IF(ISNUMBER(INDEX(상세표[종료],$U1711)),TEXT(INDEX(상세표[종료],$U1711),"yyyy-mm-dd hh:mm"),INDEX(상세표[종료],$U1711)&amp;""))</f>
        <v/>
      </c>
      <c r="P1711">
        <f>IF($U1711="","",INDEX(상세표[06~07시],$U1711))</f>
        <v/>
      </c>
      <c r="Q1711">
        <f>IF($U1711="","",INDEX(상세표[07~18시],$U1711))</f>
        <v/>
      </c>
      <c r="R1711">
        <f>IF($U1711="","",INDEX(상세표[18~22시],$U1711))</f>
        <v/>
      </c>
      <c r="S1711">
        <f>IF($U1711="","",INDEX(상세표[22~06시],$U1711))</f>
        <v/>
      </c>
      <c r="T1711">
        <f>IF($U1711="","",INDEX(상세표[기록 시간외],$U1711))</f>
        <v/>
      </c>
      <c r="U1711" s="4">
        <f>IFERROR(MATCH(1706,상세표[발송순번],0),"")</f>
        <v/>
      </c>
    </row>
    <row r="1712">
      <c r="J1712">
        <f>IF($U1712="","",INDEX(상세표[사번],$U1712)&amp;"")</f>
        <v/>
      </c>
      <c r="K1712">
        <f>IF($U1712="","",INDEX(상세표[성명],$U1712)&amp;"")</f>
        <v/>
      </c>
      <c r="L1712">
        <f>IF($U1712="","",INDEX(상세표[직위],$U1712)&amp;"")</f>
        <v/>
      </c>
      <c r="M1712">
        <f>IF($U1712="","",IF(ISNUMBER(INDEX(상세표[근무일자],$U1712)),TEXT(INDEX(상세표[근무일자],$U1712),"yyyy-mm-dd"),INDEX(상세표[근무일자],$U1712)&amp;""))</f>
        <v/>
      </c>
      <c r="N1712">
        <f>IF($U1712="","",IF(ISNUMBER(INDEX(상세표[시작],$U1712)),TEXT(INDEX(상세표[시작],$U1712),"yyyy-mm-dd hh:mm"),INDEX(상세표[시작],$U1712)&amp;""))</f>
        <v/>
      </c>
      <c r="O1712">
        <f>IF($U1712="","",IF(ISNUMBER(INDEX(상세표[종료],$U1712)),TEXT(INDEX(상세표[종료],$U1712),"yyyy-mm-dd hh:mm"),INDEX(상세표[종료],$U1712)&amp;""))</f>
        <v/>
      </c>
      <c r="P1712">
        <f>IF($U1712="","",INDEX(상세표[06~07시],$U1712))</f>
        <v/>
      </c>
      <c r="Q1712">
        <f>IF($U1712="","",INDEX(상세표[07~18시],$U1712))</f>
        <v/>
      </c>
      <c r="R1712">
        <f>IF($U1712="","",INDEX(상세표[18~22시],$U1712))</f>
        <v/>
      </c>
      <c r="S1712">
        <f>IF($U1712="","",INDEX(상세표[22~06시],$U1712))</f>
        <v/>
      </c>
      <c r="T1712">
        <f>IF($U1712="","",INDEX(상세표[기록 시간외],$U1712))</f>
        <v/>
      </c>
      <c r="U1712" s="4">
        <f>IFERROR(MATCH(1707,상세표[발송순번],0),"")</f>
        <v/>
      </c>
    </row>
    <row r="1713">
      <c r="J1713">
        <f>IF($U1713="","",INDEX(상세표[사번],$U1713)&amp;"")</f>
        <v/>
      </c>
      <c r="K1713">
        <f>IF($U1713="","",INDEX(상세표[성명],$U1713)&amp;"")</f>
        <v/>
      </c>
      <c r="L1713">
        <f>IF($U1713="","",INDEX(상세표[직위],$U1713)&amp;"")</f>
        <v/>
      </c>
      <c r="M1713">
        <f>IF($U1713="","",IF(ISNUMBER(INDEX(상세표[근무일자],$U1713)),TEXT(INDEX(상세표[근무일자],$U1713),"yyyy-mm-dd"),INDEX(상세표[근무일자],$U1713)&amp;""))</f>
        <v/>
      </c>
      <c r="N1713">
        <f>IF($U1713="","",IF(ISNUMBER(INDEX(상세표[시작],$U1713)),TEXT(INDEX(상세표[시작],$U1713),"yyyy-mm-dd hh:mm"),INDEX(상세표[시작],$U1713)&amp;""))</f>
        <v/>
      </c>
      <c r="O1713">
        <f>IF($U1713="","",IF(ISNUMBER(INDEX(상세표[종료],$U1713)),TEXT(INDEX(상세표[종료],$U1713),"yyyy-mm-dd hh:mm"),INDEX(상세표[종료],$U1713)&amp;""))</f>
        <v/>
      </c>
      <c r="P1713">
        <f>IF($U1713="","",INDEX(상세표[06~07시],$U1713))</f>
        <v/>
      </c>
      <c r="Q1713">
        <f>IF($U1713="","",INDEX(상세표[07~18시],$U1713))</f>
        <v/>
      </c>
      <c r="R1713">
        <f>IF($U1713="","",INDEX(상세표[18~22시],$U1713))</f>
        <v/>
      </c>
      <c r="S1713">
        <f>IF($U1713="","",INDEX(상세표[22~06시],$U1713))</f>
        <v/>
      </c>
      <c r="T1713">
        <f>IF($U1713="","",INDEX(상세표[기록 시간외],$U1713))</f>
        <v/>
      </c>
      <c r="U1713" s="4">
        <f>IFERROR(MATCH(1708,상세표[발송순번],0),"")</f>
        <v/>
      </c>
    </row>
    <row r="1714">
      <c r="J1714">
        <f>IF($U1714="","",INDEX(상세표[사번],$U1714)&amp;"")</f>
        <v/>
      </c>
      <c r="K1714">
        <f>IF($U1714="","",INDEX(상세표[성명],$U1714)&amp;"")</f>
        <v/>
      </c>
      <c r="L1714">
        <f>IF($U1714="","",INDEX(상세표[직위],$U1714)&amp;"")</f>
        <v/>
      </c>
      <c r="M1714">
        <f>IF($U1714="","",IF(ISNUMBER(INDEX(상세표[근무일자],$U1714)),TEXT(INDEX(상세표[근무일자],$U1714),"yyyy-mm-dd"),INDEX(상세표[근무일자],$U1714)&amp;""))</f>
        <v/>
      </c>
      <c r="N1714">
        <f>IF($U1714="","",IF(ISNUMBER(INDEX(상세표[시작],$U1714)),TEXT(INDEX(상세표[시작],$U1714),"yyyy-mm-dd hh:mm"),INDEX(상세표[시작],$U1714)&amp;""))</f>
        <v/>
      </c>
      <c r="O1714">
        <f>IF($U1714="","",IF(ISNUMBER(INDEX(상세표[종료],$U1714)),TEXT(INDEX(상세표[종료],$U1714),"yyyy-mm-dd hh:mm"),INDEX(상세표[종료],$U1714)&amp;""))</f>
        <v/>
      </c>
      <c r="P1714">
        <f>IF($U1714="","",INDEX(상세표[06~07시],$U1714))</f>
        <v/>
      </c>
      <c r="Q1714">
        <f>IF($U1714="","",INDEX(상세표[07~18시],$U1714))</f>
        <v/>
      </c>
      <c r="R1714">
        <f>IF($U1714="","",INDEX(상세표[18~22시],$U1714))</f>
        <v/>
      </c>
      <c r="S1714">
        <f>IF($U1714="","",INDEX(상세표[22~06시],$U1714))</f>
        <v/>
      </c>
      <c r="T1714">
        <f>IF($U1714="","",INDEX(상세표[기록 시간외],$U1714))</f>
        <v/>
      </c>
      <c r="U1714" s="4">
        <f>IFERROR(MATCH(1709,상세표[발송순번],0),"")</f>
        <v/>
      </c>
    </row>
    <row r="1715">
      <c r="J1715">
        <f>IF($U1715="","",INDEX(상세표[사번],$U1715)&amp;"")</f>
        <v/>
      </c>
      <c r="K1715">
        <f>IF($U1715="","",INDEX(상세표[성명],$U1715)&amp;"")</f>
        <v/>
      </c>
      <c r="L1715">
        <f>IF($U1715="","",INDEX(상세표[직위],$U1715)&amp;"")</f>
        <v/>
      </c>
      <c r="M1715">
        <f>IF($U1715="","",IF(ISNUMBER(INDEX(상세표[근무일자],$U1715)),TEXT(INDEX(상세표[근무일자],$U1715),"yyyy-mm-dd"),INDEX(상세표[근무일자],$U1715)&amp;""))</f>
        <v/>
      </c>
      <c r="N1715">
        <f>IF($U1715="","",IF(ISNUMBER(INDEX(상세표[시작],$U1715)),TEXT(INDEX(상세표[시작],$U1715),"yyyy-mm-dd hh:mm"),INDEX(상세표[시작],$U1715)&amp;""))</f>
        <v/>
      </c>
      <c r="O1715">
        <f>IF($U1715="","",IF(ISNUMBER(INDEX(상세표[종료],$U1715)),TEXT(INDEX(상세표[종료],$U1715),"yyyy-mm-dd hh:mm"),INDEX(상세표[종료],$U1715)&amp;""))</f>
        <v/>
      </c>
      <c r="P1715">
        <f>IF($U1715="","",INDEX(상세표[06~07시],$U1715))</f>
        <v/>
      </c>
      <c r="Q1715">
        <f>IF($U1715="","",INDEX(상세표[07~18시],$U1715))</f>
        <v/>
      </c>
      <c r="R1715">
        <f>IF($U1715="","",INDEX(상세표[18~22시],$U1715))</f>
        <v/>
      </c>
      <c r="S1715">
        <f>IF($U1715="","",INDEX(상세표[22~06시],$U1715))</f>
        <v/>
      </c>
      <c r="T1715">
        <f>IF($U1715="","",INDEX(상세표[기록 시간외],$U1715))</f>
        <v/>
      </c>
      <c r="U1715" s="4">
        <f>IFERROR(MATCH(1710,상세표[발송순번],0),"")</f>
        <v/>
      </c>
    </row>
    <row r="1716">
      <c r="J1716">
        <f>IF($U1716="","",INDEX(상세표[사번],$U1716)&amp;"")</f>
        <v/>
      </c>
      <c r="K1716">
        <f>IF($U1716="","",INDEX(상세표[성명],$U1716)&amp;"")</f>
        <v/>
      </c>
      <c r="L1716">
        <f>IF($U1716="","",INDEX(상세표[직위],$U1716)&amp;"")</f>
        <v/>
      </c>
      <c r="M1716">
        <f>IF($U1716="","",IF(ISNUMBER(INDEX(상세표[근무일자],$U1716)),TEXT(INDEX(상세표[근무일자],$U1716),"yyyy-mm-dd"),INDEX(상세표[근무일자],$U1716)&amp;""))</f>
        <v/>
      </c>
      <c r="N1716">
        <f>IF($U1716="","",IF(ISNUMBER(INDEX(상세표[시작],$U1716)),TEXT(INDEX(상세표[시작],$U1716),"yyyy-mm-dd hh:mm"),INDEX(상세표[시작],$U1716)&amp;""))</f>
        <v/>
      </c>
      <c r="O1716">
        <f>IF($U1716="","",IF(ISNUMBER(INDEX(상세표[종료],$U1716)),TEXT(INDEX(상세표[종료],$U1716),"yyyy-mm-dd hh:mm"),INDEX(상세표[종료],$U1716)&amp;""))</f>
        <v/>
      </c>
      <c r="P1716">
        <f>IF($U1716="","",INDEX(상세표[06~07시],$U1716))</f>
        <v/>
      </c>
      <c r="Q1716">
        <f>IF($U1716="","",INDEX(상세표[07~18시],$U1716))</f>
        <v/>
      </c>
      <c r="R1716">
        <f>IF($U1716="","",INDEX(상세표[18~22시],$U1716))</f>
        <v/>
      </c>
      <c r="S1716">
        <f>IF($U1716="","",INDEX(상세표[22~06시],$U1716))</f>
        <v/>
      </c>
      <c r="T1716">
        <f>IF($U1716="","",INDEX(상세표[기록 시간외],$U1716))</f>
        <v/>
      </c>
      <c r="U1716" s="4">
        <f>IFERROR(MATCH(1711,상세표[발송순번],0),"")</f>
        <v/>
      </c>
    </row>
    <row r="1717">
      <c r="J1717">
        <f>IF($U1717="","",INDEX(상세표[사번],$U1717)&amp;"")</f>
        <v/>
      </c>
      <c r="K1717">
        <f>IF($U1717="","",INDEX(상세표[성명],$U1717)&amp;"")</f>
        <v/>
      </c>
      <c r="L1717">
        <f>IF($U1717="","",INDEX(상세표[직위],$U1717)&amp;"")</f>
        <v/>
      </c>
      <c r="M1717">
        <f>IF($U1717="","",IF(ISNUMBER(INDEX(상세표[근무일자],$U1717)),TEXT(INDEX(상세표[근무일자],$U1717),"yyyy-mm-dd"),INDEX(상세표[근무일자],$U1717)&amp;""))</f>
        <v/>
      </c>
      <c r="N1717">
        <f>IF($U1717="","",IF(ISNUMBER(INDEX(상세표[시작],$U1717)),TEXT(INDEX(상세표[시작],$U1717),"yyyy-mm-dd hh:mm"),INDEX(상세표[시작],$U1717)&amp;""))</f>
        <v/>
      </c>
      <c r="O1717">
        <f>IF($U1717="","",IF(ISNUMBER(INDEX(상세표[종료],$U1717)),TEXT(INDEX(상세표[종료],$U1717),"yyyy-mm-dd hh:mm"),INDEX(상세표[종료],$U1717)&amp;""))</f>
        <v/>
      </c>
      <c r="P1717">
        <f>IF($U1717="","",INDEX(상세표[06~07시],$U1717))</f>
        <v/>
      </c>
      <c r="Q1717">
        <f>IF($U1717="","",INDEX(상세표[07~18시],$U1717))</f>
        <v/>
      </c>
      <c r="R1717">
        <f>IF($U1717="","",INDEX(상세표[18~22시],$U1717))</f>
        <v/>
      </c>
      <c r="S1717">
        <f>IF($U1717="","",INDEX(상세표[22~06시],$U1717))</f>
        <v/>
      </c>
      <c r="T1717">
        <f>IF($U1717="","",INDEX(상세표[기록 시간외],$U1717))</f>
        <v/>
      </c>
      <c r="U1717" s="4">
        <f>IFERROR(MATCH(1712,상세표[발송순번],0),"")</f>
        <v/>
      </c>
    </row>
    <row r="1718">
      <c r="J1718">
        <f>IF($U1718="","",INDEX(상세표[사번],$U1718)&amp;"")</f>
        <v/>
      </c>
      <c r="K1718">
        <f>IF($U1718="","",INDEX(상세표[성명],$U1718)&amp;"")</f>
        <v/>
      </c>
      <c r="L1718">
        <f>IF($U1718="","",INDEX(상세표[직위],$U1718)&amp;"")</f>
        <v/>
      </c>
      <c r="M1718">
        <f>IF($U1718="","",IF(ISNUMBER(INDEX(상세표[근무일자],$U1718)),TEXT(INDEX(상세표[근무일자],$U1718),"yyyy-mm-dd"),INDEX(상세표[근무일자],$U1718)&amp;""))</f>
        <v/>
      </c>
      <c r="N1718">
        <f>IF($U1718="","",IF(ISNUMBER(INDEX(상세표[시작],$U1718)),TEXT(INDEX(상세표[시작],$U1718),"yyyy-mm-dd hh:mm"),INDEX(상세표[시작],$U1718)&amp;""))</f>
        <v/>
      </c>
      <c r="O1718">
        <f>IF($U1718="","",IF(ISNUMBER(INDEX(상세표[종료],$U1718)),TEXT(INDEX(상세표[종료],$U1718),"yyyy-mm-dd hh:mm"),INDEX(상세표[종료],$U1718)&amp;""))</f>
        <v/>
      </c>
      <c r="P1718">
        <f>IF($U1718="","",INDEX(상세표[06~07시],$U1718))</f>
        <v/>
      </c>
      <c r="Q1718">
        <f>IF($U1718="","",INDEX(상세표[07~18시],$U1718))</f>
        <v/>
      </c>
      <c r="R1718">
        <f>IF($U1718="","",INDEX(상세표[18~22시],$U1718))</f>
        <v/>
      </c>
      <c r="S1718">
        <f>IF($U1718="","",INDEX(상세표[22~06시],$U1718))</f>
        <v/>
      </c>
      <c r="T1718">
        <f>IF($U1718="","",INDEX(상세표[기록 시간외],$U1718))</f>
        <v/>
      </c>
      <c r="U1718" s="4">
        <f>IFERROR(MATCH(1713,상세표[발송순번],0),"")</f>
        <v/>
      </c>
    </row>
    <row r="1719">
      <c r="J1719">
        <f>IF($U1719="","",INDEX(상세표[사번],$U1719)&amp;"")</f>
        <v/>
      </c>
      <c r="K1719">
        <f>IF($U1719="","",INDEX(상세표[성명],$U1719)&amp;"")</f>
        <v/>
      </c>
      <c r="L1719">
        <f>IF($U1719="","",INDEX(상세표[직위],$U1719)&amp;"")</f>
        <v/>
      </c>
      <c r="M1719">
        <f>IF($U1719="","",IF(ISNUMBER(INDEX(상세표[근무일자],$U1719)),TEXT(INDEX(상세표[근무일자],$U1719),"yyyy-mm-dd"),INDEX(상세표[근무일자],$U1719)&amp;""))</f>
        <v/>
      </c>
      <c r="N1719">
        <f>IF($U1719="","",IF(ISNUMBER(INDEX(상세표[시작],$U1719)),TEXT(INDEX(상세표[시작],$U1719),"yyyy-mm-dd hh:mm"),INDEX(상세표[시작],$U1719)&amp;""))</f>
        <v/>
      </c>
      <c r="O1719">
        <f>IF($U1719="","",IF(ISNUMBER(INDEX(상세표[종료],$U1719)),TEXT(INDEX(상세표[종료],$U1719),"yyyy-mm-dd hh:mm"),INDEX(상세표[종료],$U1719)&amp;""))</f>
        <v/>
      </c>
      <c r="P1719">
        <f>IF($U1719="","",INDEX(상세표[06~07시],$U1719))</f>
        <v/>
      </c>
      <c r="Q1719">
        <f>IF($U1719="","",INDEX(상세표[07~18시],$U1719))</f>
        <v/>
      </c>
      <c r="R1719">
        <f>IF($U1719="","",INDEX(상세표[18~22시],$U1719))</f>
        <v/>
      </c>
      <c r="S1719">
        <f>IF($U1719="","",INDEX(상세표[22~06시],$U1719))</f>
        <v/>
      </c>
      <c r="T1719">
        <f>IF($U1719="","",INDEX(상세표[기록 시간외],$U1719))</f>
        <v/>
      </c>
      <c r="U1719" s="4">
        <f>IFERROR(MATCH(1714,상세표[발송순번],0),"")</f>
        <v/>
      </c>
    </row>
    <row r="1720">
      <c r="J1720">
        <f>IF($U1720="","",INDEX(상세표[사번],$U1720)&amp;"")</f>
        <v/>
      </c>
      <c r="K1720">
        <f>IF($U1720="","",INDEX(상세표[성명],$U1720)&amp;"")</f>
        <v/>
      </c>
      <c r="L1720">
        <f>IF($U1720="","",INDEX(상세표[직위],$U1720)&amp;"")</f>
        <v/>
      </c>
      <c r="M1720">
        <f>IF($U1720="","",IF(ISNUMBER(INDEX(상세표[근무일자],$U1720)),TEXT(INDEX(상세표[근무일자],$U1720),"yyyy-mm-dd"),INDEX(상세표[근무일자],$U1720)&amp;""))</f>
        <v/>
      </c>
      <c r="N1720">
        <f>IF($U1720="","",IF(ISNUMBER(INDEX(상세표[시작],$U1720)),TEXT(INDEX(상세표[시작],$U1720),"yyyy-mm-dd hh:mm"),INDEX(상세표[시작],$U1720)&amp;""))</f>
        <v/>
      </c>
      <c r="O1720">
        <f>IF($U1720="","",IF(ISNUMBER(INDEX(상세표[종료],$U1720)),TEXT(INDEX(상세표[종료],$U1720),"yyyy-mm-dd hh:mm"),INDEX(상세표[종료],$U1720)&amp;""))</f>
        <v/>
      </c>
      <c r="P1720">
        <f>IF($U1720="","",INDEX(상세표[06~07시],$U1720))</f>
        <v/>
      </c>
      <c r="Q1720">
        <f>IF($U1720="","",INDEX(상세표[07~18시],$U1720))</f>
        <v/>
      </c>
      <c r="R1720">
        <f>IF($U1720="","",INDEX(상세표[18~22시],$U1720))</f>
        <v/>
      </c>
      <c r="S1720">
        <f>IF($U1720="","",INDEX(상세표[22~06시],$U1720))</f>
        <v/>
      </c>
      <c r="T1720">
        <f>IF($U1720="","",INDEX(상세표[기록 시간외],$U1720))</f>
        <v/>
      </c>
      <c r="U1720" s="4">
        <f>IFERROR(MATCH(1715,상세표[발송순번],0),"")</f>
        <v/>
      </c>
    </row>
    <row r="1721">
      <c r="J1721">
        <f>IF($U1721="","",INDEX(상세표[사번],$U1721)&amp;"")</f>
        <v/>
      </c>
      <c r="K1721">
        <f>IF($U1721="","",INDEX(상세표[성명],$U1721)&amp;"")</f>
        <v/>
      </c>
      <c r="L1721">
        <f>IF($U1721="","",INDEX(상세표[직위],$U1721)&amp;"")</f>
        <v/>
      </c>
      <c r="M1721">
        <f>IF($U1721="","",IF(ISNUMBER(INDEX(상세표[근무일자],$U1721)),TEXT(INDEX(상세표[근무일자],$U1721),"yyyy-mm-dd"),INDEX(상세표[근무일자],$U1721)&amp;""))</f>
        <v/>
      </c>
      <c r="N1721">
        <f>IF($U1721="","",IF(ISNUMBER(INDEX(상세표[시작],$U1721)),TEXT(INDEX(상세표[시작],$U1721),"yyyy-mm-dd hh:mm"),INDEX(상세표[시작],$U1721)&amp;""))</f>
        <v/>
      </c>
      <c r="O1721">
        <f>IF($U1721="","",IF(ISNUMBER(INDEX(상세표[종료],$U1721)),TEXT(INDEX(상세표[종료],$U1721),"yyyy-mm-dd hh:mm"),INDEX(상세표[종료],$U1721)&amp;""))</f>
        <v/>
      </c>
      <c r="P1721">
        <f>IF($U1721="","",INDEX(상세표[06~07시],$U1721))</f>
        <v/>
      </c>
      <c r="Q1721">
        <f>IF($U1721="","",INDEX(상세표[07~18시],$U1721))</f>
        <v/>
      </c>
      <c r="R1721">
        <f>IF($U1721="","",INDEX(상세표[18~22시],$U1721))</f>
        <v/>
      </c>
      <c r="S1721">
        <f>IF($U1721="","",INDEX(상세표[22~06시],$U1721))</f>
        <v/>
      </c>
      <c r="T1721">
        <f>IF($U1721="","",INDEX(상세표[기록 시간외],$U1721))</f>
        <v/>
      </c>
      <c r="U1721" s="4">
        <f>IFERROR(MATCH(1716,상세표[발송순번],0),"")</f>
        <v/>
      </c>
    </row>
    <row r="1722">
      <c r="J1722">
        <f>IF($U1722="","",INDEX(상세표[사번],$U1722)&amp;"")</f>
        <v/>
      </c>
      <c r="K1722">
        <f>IF($U1722="","",INDEX(상세표[성명],$U1722)&amp;"")</f>
        <v/>
      </c>
      <c r="L1722">
        <f>IF($U1722="","",INDEX(상세표[직위],$U1722)&amp;"")</f>
        <v/>
      </c>
      <c r="M1722">
        <f>IF($U1722="","",IF(ISNUMBER(INDEX(상세표[근무일자],$U1722)),TEXT(INDEX(상세표[근무일자],$U1722),"yyyy-mm-dd"),INDEX(상세표[근무일자],$U1722)&amp;""))</f>
        <v/>
      </c>
      <c r="N1722">
        <f>IF($U1722="","",IF(ISNUMBER(INDEX(상세표[시작],$U1722)),TEXT(INDEX(상세표[시작],$U1722),"yyyy-mm-dd hh:mm"),INDEX(상세표[시작],$U1722)&amp;""))</f>
        <v/>
      </c>
      <c r="O1722">
        <f>IF($U1722="","",IF(ISNUMBER(INDEX(상세표[종료],$U1722)),TEXT(INDEX(상세표[종료],$U1722),"yyyy-mm-dd hh:mm"),INDEX(상세표[종료],$U1722)&amp;""))</f>
        <v/>
      </c>
      <c r="P1722">
        <f>IF($U1722="","",INDEX(상세표[06~07시],$U1722))</f>
        <v/>
      </c>
      <c r="Q1722">
        <f>IF($U1722="","",INDEX(상세표[07~18시],$U1722))</f>
        <v/>
      </c>
      <c r="R1722">
        <f>IF($U1722="","",INDEX(상세표[18~22시],$U1722))</f>
        <v/>
      </c>
      <c r="S1722">
        <f>IF($U1722="","",INDEX(상세표[22~06시],$U1722))</f>
        <v/>
      </c>
      <c r="T1722">
        <f>IF($U1722="","",INDEX(상세표[기록 시간외],$U1722))</f>
        <v/>
      </c>
      <c r="U1722" s="4">
        <f>IFERROR(MATCH(1717,상세표[발송순번],0),"")</f>
        <v/>
      </c>
    </row>
    <row r="1723">
      <c r="J1723">
        <f>IF($U1723="","",INDEX(상세표[사번],$U1723)&amp;"")</f>
        <v/>
      </c>
      <c r="K1723">
        <f>IF($U1723="","",INDEX(상세표[성명],$U1723)&amp;"")</f>
        <v/>
      </c>
      <c r="L1723">
        <f>IF($U1723="","",INDEX(상세표[직위],$U1723)&amp;"")</f>
        <v/>
      </c>
      <c r="M1723">
        <f>IF($U1723="","",IF(ISNUMBER(INDEX(상세표[근무일자],$U1723)),TEXT(INDEX(상세표[근무일자],$U1723),"yyyy-mm-dd"),INDEX(상세표[근무일자],$U1723)&amp;""))</f>
        <v/>
      </c>
      <c r="N1723">
        <f>IF($U1723="","",IF(ISNUMBER(INDEX(상세표[시작],$U1723)),TEXT(INDEX(상세표[시작],$U1723),"yyyy-mm-dd hh:mm"),INDEX(상세표[시작],$U1723)&amp;""))</f>
        <v/>
      </c>
      <c r="O1723">
        <f>IF($U1723="","",IF(ISNUMBER(INDEX(상세표[종료],$U1723)),TEXT(INDEX(상세표[종료],$U1723),"yyyy-mm-dd hh:mm"),INDEX(상세표[종료],$U1723)&amp;""))</f>
        <v/>
      </c>
      <c r="P1723">
        <f>IF($U1723="","",INDEX(상세표[06~07시],$U1723))</f>
        <v/>
      </c>
      <c r="Q1723">
        <f>IF($U1723="","",INDEX(상세표[07~18시],$U1723))</f>
        <v/>
      </c>
      <c r="R1723">
        <f>IF($U1723="","",INDEX(상세표[18~22시],$U1723))</f>
        <v/>
      </c>
      <c r="S1723">
        <f>IF($U1723="","",INDEX(상세표[22~06시],$U1723))</f>
        <v/>
      </c>
      <c r="T1723">
        <f>IF($U1723="","",INDEX(상세표[기록 시간외],$U1723))</f>
        <v/>
      </c>
      <c r="U1723" s="4">
        <f>IFERROR(MATCH(1718,상세표[발송순번],0),"")</f>
        <v/>
      </c>
    </row>
    <row r="1724">
      <c r="J1724">
        <f>IF($U1724="","",INDEX(상세표[사번],$U1724)&amp;"")</f>
        <v/>
      </c>
      <c r="K1724">
        <f>IF($U1724="","",INDEX(상세표[성명],$U1724)&amp;"")</f>
        <v/>
      </c>
      <c r="L1724">
        <f>IF($U1724="","",INDEX(상세표[직위],$U1724)&amp;"")</f>
        <v/>
      </c>
      <c r="M1724">
        <f>IF($U1724="","",IF(ISNUMBER(INDEX(상세표[근무일자],$U1724)),TEXT(INDEX(상세표[근무일자],$U1724),"yyyy-mm-dd"),INDEX(상세표[근무일자],$U1724)&amp;""))</f>
        <v/>
      </c>
      <c r="N1724">
        <f>IF($U1724="","",IF(ISNUMBER(INDEX(상세표[시작],$U1724)),TEXT(INDEX(상세표[시작],$U1724),"yyyy-mm-dd hh:mm"),INDEX(상세표[시작],$U1724)&amp;""))</f>
        <v/>
      </c>
      <c r="O1724">
        <f>IF($U1724="","",IF(ISNUMBER(INDEX(상세표[종료],$U1724)),TEXT(INDEX(상세표[종료],$U1724),"yyyy-mm-dd hh:mm"),INDEX(상세표[종료],$U1724)&amp;""))</f>
        <v/>
      </c>
      <c r="P1724">
        <f>IF($U1724="","",INDEX(상세표[06~07시],$U1724))</f>
        <v/>
      </c>
      <c r="Q1724">
        <f>IF($U1724="","",INDEX(상세표[07~18시],$U1724))</f>
        <v/>
      </c>
      <c r="R1724">
        <f>IF($U1724="","",INDEX(상세표[18~22시],$U1724))</f>
        <v/>
      </c>
      <c r="S1724">
        <f>IF($U1724="","",INDEX(상세표[22~06시],$U1724))</f>
        <v/>
      </c>
      <c r="T1724">
        <f>IF($U1724="","",INDEX(상세표[기록 시간외],$U1724))</f>
        <v/>
      </c>
      <c r="U1724" s="4">
        <f>IFERROR(MATCH(1719,상세표[발송순번],0),"")</f>
        <v/>
      </c>
    </row>
    <row r="1725">
      <c r="J1725">
        <f>IF($U1725="","",INDEX(상세표[사번],$U1725)&amp;"")</f>
        <v/>
      </c>
      <c r="K1725">
        <f>IF($U1725="","",INDEX(상세표[성명],$U1725)&amp;"")</f>
        <v/>
      </c>
      <c r="L1725">
        <f>IF($U1725="","",INDEX(상세표[직위],$U1725)&amp;"")</f>
        <v/>
      </c>
      <c r="M1725">
        <f>IF($U1725="","",IF(ISNUMBER(INDEX(상세표[근무일자],$U1725)),TEXT(INDEX(상세표[근무일자],$U1725),"yyyy-mm-dd"),INDEX(상세표[근무일자],$U1725)&amp;""))</f>
        <v/>
      </c>
      <c r="N1725">
        <f>IF($U1725="","",IF(ISNUMBER(INDEX(상세표[시작],$U1725)),TEXT(INDEX(상세표[시작],$U1725),"yyyy-mm-dd hh:mm"),INDEX(상세표[시작],$U1725)&amp;""))</f>
        <v/>
      </c>
      <c r="O1725">
        <f>IF($U1725="","",IF(ISNUMBER(INDEX(상세표[종료],$U1725)),TEXT(INDEX(상세표[종료],$U1725),"yyyy-mm-dd hh:mm"),INDEX(상세표[종료],$U1725)&amp;""))</f>
        <v/>
      </c>
      <c r="P1725">
        <f>IF($U1725="","",INDEX(상세표[06~07시],$U1725))</f>
        <v/>
      </c>
      <c r="Q1725">
        <f>IF($U1725="","",INDEX(상세표[07~18시],$U1725))</f>
        <v/>
      </c>
      <c r="R1725">
        <f>IF($U1725="","",INDEX(상세표[18~22시],$U1725))</f>
        <v/>
      </c>
      <c r="S1725">
        <f>IF($U1725="","",INDEX(상세표[22~06시],$U1725))</f>
        <v/>
      </c>
      <c r="T1725">
        <f>IF($U1725="","",INDEX(상세표[기록 시간외],$U1725))</f>
        <v/>
      </c>
      <c r="U1725" s="4">
        <f>IFERROR(MATCH(1720,상세표[발송순번],0),"")</f>
        <v/>
      </c>
    </row>
    <row r="1726">
      <c r="J1726">
        <f>IF($U1726="","",INDEX(상세표[사번],$U1726)&amp;"")</f>
        <v/>
      </c>
      <c r="K1726">
        <f>IF($U1726="","",INDEX(상세표[성명],$U1726)&amp;"")</f>
        <v/>
      </c>
      <c r="L1726">
        <f>IF($U1726="","",INDEX(상세표[직위],$U1726)&amp;"")</f>
        <v/>
      </c>
      <c r="M1726">
        <f>IF($U1726="","",IF(ISNUMBER(INDEX(상세표[근무일자],$U1726)),TEXT(INDEX(상세표[근무일자],$U1726),"yyyy-mm-dd"),INDEX(상세표[근무일자],$U1726)&amp;""))</f>
        <v/>
      </c>
      <c r="N1726">
        <f>IF($U1726="","",IF(ISNUMBER(INDEX(상세표[시작],$U1726)),TEXT(INDEX(상세표[시작],$U1726),"yyyy-mm-dd hh:mm"),INDEX(상세표[시작],$U1726)&amp;""))</f>
        <v/>
      </c>
      <c r="O1726">
        <f>IF($U1726="","",IF(ISNUMBER(INDEX(상세표[종료],$U1726)),TEXT(INDEX(상세표[종료],$U1726),"yyyy-mm-dd hh:mm"),INDEX(상세표[종료],$U1726)&amp;""))</f>
        <v/>
      </c>
      <c r="P1726">
        <f>IF($U1726="","",INDEX(상세표[06~07시],$U1726))</f>
        <v/>
      </c>
      <c r="Q1726">
        <f>IF($U1726="","",INDEX(상세표[07~18시],$U1726))</f>
        <v/>
      </c>
      <c r="R1726">
        <f>IF($U1726="","",INDEX(상세표[18~22시],$U1726))</f>
        <v/>
      </c>
      <c r="S1726">
        <f>IF($U1726="","",INDEX(상세표[22~06시],$U1726))</f>
        <v/>
      </c>
      <c r="T1726">
        <f>IF($U1726="","",INDEX(상세표[기록 시간외],$U1726))</f>
        <v/>
      </c>
      <c r="U1726" s="4">
        <f>IFERROR(MATCH(1721,상세표[발송순번],0),"")</f>
        <v/>
      </c>
    </row>
    <row r="1727">
      <c r="J1727">
        <f>IF($U1727="","",INDEX(상세표[사번],$U1727)&amp;"")</f>
        <v/>
      </c>
      <c r="K1727">
        <f>IF($U1727="","",INDEX(상세표[성명],$U1727)&amp;"")</f>
        <v/>
      </c>
      <c r="L1727">
        <f>IF($U1727="","",INDEX(상세표[직위],$U1727)&amp;"")</f>
        <v/>
      </c>
      <c r="M1727">
        <f>IF($U1727="","",IF(ISNUMBER(INDEX(상세표[근무일자],$U1727)),TEXT(INDEX(상세표[근무일자],$U1727),"yyyy-mm-dd"),INDEX(상세표[근무일자],$U1727)&amp;""))</f>
        <v/>
      </c>
      <c r="N1727">
        <f>IF($U1727="","",IF(ISNUMBER(INDEX(상세표[시작],$U1727)),TEXT(INDEX(상세표[시작],$U1727),"yyyy-mm-dd hh:mm"),INDEX(상세표[시작],$U1727)&amp;""))</f>
        <v/>
      </c>
      <c r="O1727">
        <f>IF($U1727="","",IF(ISNUMBER(INDEX(상세표[종료],$U1727)),TEXT(INDEX(상세표[종료],$U1727),"yyyy-mm-dd hh:mm"),INDEX(상세표[종료],$U1727)&amp;""))</f>
        <v/>
      </c>
      <c r="P1727">
        <f>IF($U1727="","",INDEX(상세표[06~07시],$U1727))</f>
        <v/>
      </c>
      <c r="Q1727">
        <f>IF($U1727="","",INDEX(상세표[07~18시],$U1727))</f>
        <v/>
      </c>
      <c r="R1727">
        <f>IF($U1727="","",INDEX(상세표[18~22시],$U1727))</f>
        <v/>
      </c>
      <c r="S1727">
        <f>IF($U1727="","",INDEX(상세표[22~06시],$U1727))</f>
        <v/>
      </c>
      <c r="T1727">
        <f>IF($U1727="","",INDEX(상세표[기록 시간외],$U1727))</f>
        <v/>
      </c>
      <c r="U1727" s="4">
        <f>IFERROR(MATCH(1722,상세표[발송순번],0),"")</f>
        <v/>
      </c>
    </row>
    <row r="1728">
      <c r="J1728">
        <f>IF($U1728="","",INDEX(상세표[사번],$U1728)&amp;"")</f>
        <v/>
      </c>
      <c r="K1728">
        <f>IF($U1728="","",INDEX(상세표[성명],$U1728)&amp;"")</f>
        <v/>
      </c>
      <c r="L1728">
        <f>IF($U1728="","",INDEX(상세표[직위],$U1728)&amp;"")</f>
        <v/>
      </c>
      <c r="M1728">
        <f>IF($U1728="","",IF(ISNUMBER(INDEX(상세표[근무일자],$U1728)),TEXT(INDEX(상세표[근무일자],$U1728),"yyyy-mm-dd"),INDEX(상세표[근무일자],$U1728)&amp;""))</f>
        <v/>
      </c>
      <c r="N1728">
        <f>IF($U1728="","",IF(ISNUMBER(INDEX(상세표[시작],$U1728)),TEXT(INDEX(상세표[시작],$U1728),"yyyy-mm-dd hh:mm"),INDEX(상세표[시작],$U1728)&amp;""))</f>
        <v/>
      </c>
      <c r="O1728">
        <f>IF($U1728="","",IF(ISNUMBER(INDEX(상세표[종료],$U1728)),TEXT(INDEX(상세표[종료],$U1728),"yyyy-mm-dd hh:mm"),INDEX(상세표[종료],$U1728)&amp;""))</f>
        <v/>
      </c>
      <c r="P1728">
        <f>IF($U1728="","",INDEX(상세표[06~07시],$U1728))</f>
        <v/>
      </c>
      <c r="Q1728">
        <f>IF($U1728="","",INDEX(상세표[07~18시],$U1728))</f>
        <v/>
      </c>
      <c r="R1728">
        <f>IF($U1728="","",INDEX(상세표[18~22시],$U1728))</f>
        <v/>
      </c>
      <c r="S1728">
        <f>IF($U1728="","",INDEX(상세표[22~06시],$U1728))</f>
        <v/>
      </c>
      <c r="T1728">
        <f>IF($U1728="","",INDEX(상세표[기록 시간외],$U1728))</f>
        <v/>
      </c>
      <c r="U1728" s="4">
        <f>IFERROR(MATCH(1723,상세표[발송순번],0),"")</f>
        <v/>
      </c>
    </row>
    <row r="1729">
      <c r="J1729">
        <f>IF($U1729="","",INDEX(상세표[사번],$U1729)&amp;"")</f>
        <v/>
      </c>
      <c r="K1729">
        <f>IF($U1729="","",INDEX(상세표[성명],$U1729)&amp;"")</f>
        <v/>
      </c>
      <c r="L1729">
        <f>IF($U1729="","",INDEX(상세표[직위],$U1729)&amp;"")</f>
        <v/>
      </c>
      <c r="M1729">
        <f>IF($U1729="","",IF(ISNUMBER(INDEX(상세표[근무일자],$U1729)),TEXT(INDEX(상세표[근무일자],$U1729),"yyyy-mm-dd"),INDEX(상세표[근무일자],$U1729)&amp;""))</f>
        <v/>
      </c>
      <c r="N1729">
        <f>IF($U1729="","",IF(ISNUMBER(INDEX(상세표[시작],$U1729)),TEXT(INDEX(상세표[시작],$U1729),"yyyy-mm-dd hh:mm"),INDEX(상세표[시작],$U1729)&amp;""))</f>
        <v/>
      </c>
      <c r="O1729">
        <f>IF($U1729="","",IF(ISNUMBER(INDEX(상세표[종료],$U1729)),TEXT(INDEX(상세표[종료],$U1729),"yyyy-mm-dd hh:mm"),INDEX(상세표[종료],$U1729)&amp;""))</f>
        <v/>
      </c>
      <c r="P1729">
        <f>IF($U1729="","",INDEX(상세표[06~07시],$U1729))</f>
        <v/>
      </c>
      <c r="Q1729">
        <f>IF($U1729="","",INDEX(상세표[07~18시],$U1729))</f>
        <v/>
      </c>
      <c r="R1729">
        <f>IF($U1729="","",INDEX(상세표[18~22시],$U1729))</f>
        <v/>
      </c>
      <c r="S1729">
        <f>IF($U1729="","",INDEX(상세표[22~06시],$U1729))</f>
        <v/>
      </c>
      <c r="T1729">
        <f>IF($U1729="","",INDEX(상세표[기록 시간외],$U1729))</f>
        <v/>
      </c>
      <c r="U1729" s="4">
        <f>IFERROR(MATCH(1724,상세표[발송순번],0),"")</f>
        <v/>
      </c>
    </row>
    <row r="1730">
      <c r="J1730">
        <f>IF($U1730="","",INDEX(상세표[사번],$U1730)&amp;"")</f>
        <v/>
      </c>
      <c r="K1730">
        <f>IF($U1730="","",INDEX(상세표[성명],$U1730)&amp;"")</f>
        <v/>
      </c>
      <c r="L1730">
        <f>IF($U1730="","",INDEX(상세표[직위],$U1730)&amp;"")</f>
        <v/>
      </c>
      <c r="M1730">
        <f>IF($U1730="","",IF(ISNUMBER(INDEX(상세표[근무일자],$U1730)),TEXT(INDEX(상세표[근무일자],$U1730),"yyyy-mm-dd"),INDEX(상세표[근무일자],$U1730)&amp;""))</f>
        <v/>
      </c>
      <c r="N1730">
        <f>IF($U1730="","",IF(ISNUMBER(INDEX(상세표[시작],$U1730)),TEXT(INDEX(상세표[시작],$U1730),"yyyy-mm-dd hh:mm"),INDEX(상세표[시작],$U1730)&amp;""))</f>
        <v/>
      </c>
      <c r="O1730">
        <f>IF($U1730="","",IF(ISNUMBER(INDEX(상세표[종료],$U1730)),TEXT(INDEX(상세표[종료],$U1730),"yyyy-mm-dd hh:mm"),INDEX(상세표[종료],$U1730)&amp;""))</f>
        <v/>
      </c>
      <c r="P1730">
        <f>IF($U1730="","",INDEX(상세표[06~07시],$U1730))</f>
        <v/>
      </c>
      <c r="Q1730">
        <f>IF($U1730="","",INDEX(상세표[07~18시],$U1730))</f>
        <v/>
      </c>
      <c r="R1730">
        <f>IF($U1730="","",INDEX(상세표[18~22시],$U1730))</f>
        <v/>
      </c>
      <c r="S1730">
        <f>IF($U1730="","",INDEX(상세표[22~06시],$U1730))</f>
        <v/>
      </c>
      <c r="T1730">
        <f>IF($U1730="","",INDEX(상세표[기록 시간외],$U1730))</f>
        <v/>
      </c>
      <c r="U1730" s="4">
        <f>IFERROR(MATCH(1725,상세표[발송순번],0),"")</f>
        <v/>
      </c>
    </row>
    <row r="1731">
      <c r="J1731">
        <f>IF($U1731="","",INDEX(상세표[사번],$U1731)&amp;"")</f>
        <v/>
      </c>
      <c r="K1731">
        <f>IF($U1731="","",INDEX(상세표[성명],$U1731)&amp;"")</f>
        <v/>
      </c>
      <c r="L1731">
        <f>IF($U1731="","",INDEX(상세표[직위],$U1731)&amp;"")</f>
        <v/>
      </c>
      <c r="M1731">
        <f>IF($U1731="","",IF(ISNUMBER(INDEX(상세표[근무일자],$U1731)),TEXT(INDEX(상세표[근무일자],$U1731),"yyyy-mm-dd"),INDEX(상세표[근무일자],$U1731)&amp;""))</f>
        <v/>
      </c>
      <c r="N1731">
        <f>IF($U1731="","",IF(ISNUMBER(INDEX(상세표[시작],$U1731)),TEXT(INDEX(상세표[시작],$U1731),"yyyy-mm-dd hh:mm"),INDEX(상세표[시작],$U1731)&amp;""))</f>
        <v/>
      </c>
      <c r="O1731">
        <f>IF($U1731="","",IF(ISNUMBER(INDEX(상세표[종료],$U1731)),TEXT(INDEX(상세표[종료],$U1731),"yyyy-mm-dd hh:mm"),INDEX(상세표[종료],$U1731)&amp;""))</f>
        <v/>
      </c>
      <c r="P1731">
        <f>IF($U1731="","",INDEX(상세표[06~07시],$U1731))</f>
        <v/>
      </c>
      <c r="Q1731">
        <f>IF($U1731="","",INDEX(상세표[07~18시],$U1731))</f>
        <v/>
      </c>
      <c r="R1731">
        <f>IF($U1731="","",INDEX(상세표[18~22시],$U1731))</f>
        <v/>
      </c>
      <c r="S1731">
        <f>IF($U1731="","",INDEX(상세표[22~06시],$U1731))</f>
        <v/>
      </c>
      <c r="T1731">
        <f>IF($U1731="","",INDEX(상세표[기록 시간외],$U1731))</f>
        <v/>
      </c>
      <c r="U1731" s="4">
        <f>IFERROR(MATCH(1726,상세표[발송순번],0),"")</f>
        <v/>
      </c>
    </row>
    <row r="1732">
      <c r="J1732">
        <f>IF($U1732="","",INDEX(상세표[사번],$U1732)&amp;"")</f>
        <v/>
      </c>
      <c r="K1732">
        <f>IF($U1732="","",INDEX(상세표[성명],$U1732)&amp;"")</f>
        <v/>
      </c>
      <c r="L1732">
        <f>IF($U1732="","",INDEX(상세표[직위],$U1732)&amp;"")</f>
        <v/>
      </c>
      <c r="M1732">
        <f>IF($U1732="","",IF(ISNUMBER(INDEX(상세표[근무일자],$U1732)),TEXT(INDEX(상세표[근무일자],$U1732),"yyyy-mm-dd"),INDEX(상세표[근무일자],$U1732)&amp;""))</f>
        <v/>
      </c>
      <c r="N1732">
        <f>IF($U1732="","",IF(ISNUMBER(INDEX(상세표[시작],$U1732)),TEXT(INDEX(상세표[시작],$U1732),"yyyy-mm-dd hh:mm"),INDEX(상세표[시작],$U1732)&amp;""))</f>
        <v/>
      </c>
      <c r="O1732">
        <f>IF($U1732="","",IF(ISNUMBER(INDEX(상세표[종료],$U1732)),TEXT(INDEX(상세표[종료],$U1732),"yyyy-mm-dd hh:mm"),INDEX(상세표[종료],$U1732)&amp;""))</f>
        <v/>
      </c>
      <c r="P1732">
        <f>IF($U1732="","",INDEX(상세표[06~07시],$U1732))</f>
        <v/>
      </c>
      <c r="Q1732">
        <f>IF($U1732="","",INDEX(상세표[07~18시],$U1732))</f>
        <v/>
      </c>
      <c r="R1732">
        <f>IF($U1732="","",INDEX(상세표[18~22시],$U1732))</f>
        <v/>
      </c>
      <c r="S1732">
        <f>IF($U1732="","",INDEX(상세표[22~06시],$U1732))</f>
        <v/>
      </c>
      <c r="T1732">
        <f>IF($U1732="","",INDEX(상세표[기록 시간외],$U1732))</f>
        <v/>
      </c>
      <c r="U1732" s="4">
        <f>IFERROR(MATCH(1727,상세표[발송순번],0),"")</f>
        <v/>
      </c>
    </row>
    <row r="1733">
      <c r="J1733">
        <f>IF($U1733="","",INDEX(상세표[사번],$U1733)&amp;"")</f>
        <v/>
      </c>
      <c r="K1733">
        <f>IF($U1733="","",INDEX(상세표[성명],$U1733)&amp;"")</f>
        <v/>
      </c>
      <c r="L1733">
        <f>IF($U1733="","",INDEX(상세표[직위],$U1733)&amp;"")</f>
        <v/>
      </c>
      <c r="M1733">
        <f>IF($U1733="","",IF(ISNUMBER(INDEX(상세표[근무일자],$U1733)),TEXT(INDEX(상세표[근무일자],$U1733),"yyyy-mm-dd"),INDEX(상세표[근무일자],$U1733)&amp;""))</f>
        <v/>
      </c>
      <c r="N1733">
        <f>IF($U1733="","",IF(ISNUMBER(INDEX(상세표[시작],$U1733)),TEXT(INDEX(상세표[시작],$U1733),"yyyy-mm-dd hh:mm"),INDEX(상세표[시작],$U1733)&amp;""))</f>
        <v/>
      </c>
      <c r="O1733">
        <f>IF($U1733="","",IF(ISNUMBER(INDEX(상세표[종료],$U1733)),TEXT(INDEX(상세표[종료],$U1733),"yyyy-mm-dd hh:mm"),INDEX(상세표[종료],$U1733)&amp;""))</f>
        <v/>
      </c>
      <c r="P1733">
        <f>IF($U1733="","",INDEX(상세표[06~07시],$U1733))</f>
        <v/>
      </c>
      <c r="Q1733">
        <f>IF($U1733="","",INDEX(상세표[07~18시],$U1733))</f>
        <v/>
      </c>
      <c r="R1733">
        <f>IF($U1733="","",INDEX(상세표[18~22시],$U1733))</f>
        <v/>
      </c>
      <c r="S1733">
        <f>IF($U1733="","",INDEX(상세표[22~06시],$U1733))</f>
        <v/>
      </c>
      <c r="T1733">
        <f>IF($U1733="","",INDEX(상세표[기록 시간외],$U1733))</f>
        <v/>
      </c>
      <c r="U1733" s="4">
        <f>IFERROR(MATCH(1728,상세표[발송순번],0),"")</f>
        <v/>
      </c>
    </row>
    <row r="1734">
      <c r="J1734">
        <f>IF($U1734="","",INDEX(상세표[사번],$U1734)&amp;"")</f>
        <v/>
      </c>
      <c r="K1734">
        <f>IF($U1734="","",INDEX(상세표[성명],$U1734)&amp;"")</f>
        <v/>
      </c>
      <c r="L1734">
        <f>IF($U1734="","",INDEX(상세표[직위],$U1734)&amp;"")</f>
        <v/>
      </c>
      <c r="M1734">
        <f>IF($U1734="","",IF(ISNUMBER(INDEX(상세표[근무일자],$U1734)),TEXT(INDEX(상세표[근무일자],$U1734),"yyyy-mm-dd"),INDEX(상세표[근무일자],$U1734)&amp;""))</f>
        <v/>
      </c>
      <c r="N1734">
        <f>IF($U1734="","",IF(ISNUMBER(INDEX(상세표[시작],$U1734)),TEXT(INDEX(상세표[시작],$U1734),"yyyy-mm-dd hh:mm"),INDEX(상세표[시작],$U1734)&amp;""))</f>
        <v/>
      </c>
      <c r="O1734">
        <f>IF($U1734="","",IF(ISNUMBER(INDEX(상세표[종료],$U1734)),TEXT(INDEX(상세표[종료],$U1734),"yyyy-mm-dd hh:mm"),INDEX(상세표[종료],$U1734)&amp;""))</f>
        <v/>
      </c>
      <c r="P1734">
        <f>IF($U1734="","",INDEX(상세표[06~07시],$U1734))</f>
        <v/>
      </c>
      <c r="Q1734">
        <f>IF($U1734="","",INDEX(상세표[07~18시],$U1734))</f>
        <v/>
      </c>
      <c r="R1734">
        <f>IF($U1734="","",INDEX(상세표[18~22시],$U1734))</f>
        <v/>
      </c>
      <c r="S1734">
        <f>IF($U1734="","",INDEX(상세표[22~06시],$U1734))</f>
        <v/>
      </c>
      <c r="T1734">
        <f>IF($U1734="","",INDEX(상세표[기록 시간외],$U1734))</f>
        <v/>
      </c>
      <c r="U1734" s="4">
        <f>IFERROR(MATCH(1729,상세표[발송순번],0),"")</f>
        <v/>
      </c>
    </row>
    <row r="1735">
      <c r="J1735">
        <f>IF($U1735="","",INDEX(상세표[사번],$U1735)&amp;"")</f>
        <v/>
      </c>
      <c r="K1735">
        <f>IF($U1735="","",INDEX(상세표[성명],$U1735)&amp;"")</f>
        <v/>
      </c>
      <c r="L1735">
        <f>IF($U1735="","",INDEX(상세표[직위],$U1735)&amp;"")</f>
        <v/>
      </c>
      <c r="M1735">
        <f>IF($U1735="","",IF(ISNUMBER(INDEX(상세표[근무일자],$U1735)),TEXT(INDEX(상세표[근무일자],$U1735),"yyyy-mm-dd"),INDEX(상세표[근무일자],$U1735)&amp;""))</f>
        <v/>
      </c>
      <c r="N1735">
        <f>IF($U1735="","",IF(ISNUMBER(INDEX(상세표[시작],$U1735)),TEXT(INDEX(상세표[시작],$U1735),"yyyy-mm-dd hh:mm"),INDEX(상세표[시작],$U1735)&amp;""))</f>
        <v/>
      </c>
      <c r="O1735">
        <f>IF($U1735="","",IF(ISNUMBER(INDEX(상세표[종료],$U1735)),TEXT(INDEX(상세표[종료],$U1735),"yyyy-mm-dd hh:mm"),INDEX(상세표[종료],$U1735)&amp;""))</f>
        <v/>
      </c>
      <c r="P1735">
        <f>IF($U1735="","",INDEX(상세표[06~07시],$U1735))</f>
        <v/>
      </c>
      <c r="Q1735">
        <f>IF($U1735="","",INDEX(상세표[07~18시],$U1735))</f>
        <v/>
      </c>
      <c r="R1735">
        <f>IF($U1735="","",INDEX(상세표[18~22시],$U1735))</f>
        <v/>
      </c>
      <c r="S1735">
        <f>IF($U1735="","",INDEX(상세표[22~06시],$U1735))</f>
        <v/>
      </c>
      <c r="T1735">
        <f>IF($U1735="","",INDEX(상세표[기록 시간외],$U1735))</f>
        <v/>
      </c>
      <c r="U1735" s="4">
        <f>IFERROR(MATCH(1730,상세표[발송순번],0),"")</f>
        <v/>
      </c>
    </row>
    <row r="1736">
      <c r="J1736">
        <f>IF($U1736="","",INDEX(상세표[사번],$U1736)&amp;"")</f>
        <v/>
      </c>
      <c r="K1736">
        <f>IF($U1736="","",INDEX(상세표[성명],$U1736)&amp;"")</f>
        <v/>
      </c>
      <c r="L1736">
        <f>IF($U1736="","",INDEX(상세표[직위],$U1736)&amp;"")</f>
        <v/>
      </c>
      <c r="M1736">
        <f>IF($U1736="","",IF(ISNUMBER(INDEX(상세표[근무일자],$U1736)),TEXT(INDEX(상세표[근무일자],$U1736),"yyyy-mm-dd"),INDEX(상세표[근무일자],$U1736)&amp;""))</f>
        <v/>
      </c>
      <c r="N1736">
        <f>IF($U1736="","",IF(ISNUMBER(INDEX(상세표[시작],$U1736)),TEXT(INDEX(상세표[시작],$U1736),"yyyy-mm-dd hh:mm"),INDEX(상세표[시작],$U1736)&amp;""))</f>
        <v/>
      </c>
      <c r="O1736">
        <f>IF($U1736="","",IF(ISNUMBER(INDEX(상세표[종료],$U1736)),TEXT(INDEX(상세표[종료],$U1736),"yyyy-mm-dd hh:mm"),INDEX(상세표[종료],$U1736)&amp;""))</f>
        <v/>
      </c>
      <c r="P1736">
        <f>IF($U1736="","",INDEX(상세표[06~07시],$U1736))</f>
        <v/>
      </c>
      <c r="Q1736">
        <f>IF($U1736="","",INDEX(상세표[07~18시],$U1736))</f>
        <v/>
      </c>
      <c r="R1736">
        <f>IF($U1736="","",INDEX(상세표[18~22시],$U1736))</f>
        <v/>
      </c>
      <c r="S1736">
        <f>IF($U1736="","",INDEX(상세표[22~06시],$U1736))</f>
        <v/>
      </c>
      <c r="T1736">
        <f>IF($U1736="","",INDEX(상세표[기록 시간외],$U1736))</f>
        <v/>
      </c>
      <c r="U1736" s="4">
        <f>IFERROR(MATCH(1731,상세표[발송순번],0),"")</f>
        <v/>
      </c>
    </row>
    <row r="1737">
      <c r="J1737">
        <f>IF($U1737="","",INDEX(상세표[사번],$U1737)&amp;"")</f>
        <v/>
      </c>
      <c r="K1737">
        <f>IF($U1737="","",INDEX(상세표[성명],$U1737)&amp;"")</f>
        <v/>
      </c>
      <c r="L1737">
        <f>IF($U1737="","",INDEX(상세표[직위],$U1737)&amp;"")</f>
        <v/>
      </c>
      <c r="M1737">
        <f>IF($U1737="","",IF(ISNUMBER(INDEX(상세표[근무일자],$U1737)),TEXT(INDEX(상세표[근무일자],$U1737),"yyyy-mm-dd"),INDEX(상세표[근무일자],$U1737)&amp;""))</f>
        <v/>
      </c>
      <c r="N1737">
        <f>IF($U1737="","",IF(ISNUMBER(INDEX(상세표[시작],$U1737)),TEXT(INDEX(상세표[시작],$U1737),"yyyy-mm-dd hh:mm"),INDEX(상세표[시작],$U1737)&amp;""))</f>
        <v/>
      </c>
      <c r="O1737">
        <f>IF($U1737="","",IF(ISNUMBER(INDEX(상세표[종료],$U1737)),TEXT(INDEX(상세표[종료],$U1737),"yyyy-mm-dd hh:mm"),INDEX(상세표[종료],$U1737)&amp;""))</f>
        <v/>
      </c>
      <c r="P1737">
        <f>IF($U1737="","",INDEX(상세표[06~07시],$U1737))</f>
        <v/>
      </c>
      <c r="Q1737">
        <f>IF($U1737="","",INDEX(상세표[07~18시],$U1737))</f>
        <v/>
      </c>
      <c r="R1737">
        <f>IF($U1737="","",INDEX(상세표[18~22시],$U1737))</f>
        <v/>
      </c>
      <c r="S1737">
        <f>IF($U1737="","",INDEX(상세표[22~06시],$U1737))</f>
        <v/>
      </c>
      <c r="T1737">
        <f>IF($U1737="","",INDEX(상세표[기록 시간외],$U1737))</f>
        <v/>
      </c>
      <c r="U1737" s="4">
        <f>IFERROR(MATCH(1732,상세표[발송순번],0),"")</f>
        <v/>
      </c>
    </row>
    <row r="1738">
      <c r="J1738">
        <f>IF($U1738="","",INDEX(상세표[사번],$U1738)&amp;"")</f>
        <v/>
      </c>
      <c r="K1738">
        <f>IF($U1738="","",INDEX(상세표[성명],$U1738)&amp;"")</f>
        <v/>
      </c>
      <c r="L1738">
        <f>IF($U1738="","",INDEX(상세표[직위],$U1738)&amp;"")</f>
        <v/>
      </c>
      <c r="M1738">
        <f>IF($U1738="","",IF(ISNUMBER(INDEX(상세표[근무일자],$U1738)),TEXT(INDEX(상세표[근무일자],$U1738),"yyyy-mm-dd"),INDEX(상세표[근무일자],$U1738)&amp;""))</f>
        <v/>
      </c>
      <c r="N1738">
        <f>IF($U1738="","",IF(ISNUMBER(INDEX(상세표[시작],$U1738)),TEXT(INDEX(상세표[시작],$U1738),"yyyy-mm-dd hh:mm"),INDEX(상세표[시작],$U1738)&amp;""))</f>
        <v/>
      </c>
      <c r="O1738">
        <f>IF($U1738="","",IF(ISNUMBER(INDEX(상세표[종료],$U1738)),TEXT(INDEX(상세표[종료],$U1738),"yyyy-mm-dd hh:mm"),INDEX(상세표[종료],$U1738)&amp;""))</f>
        <v/>
      </c>
      <c r="P1738">
        <f>IF($U1738="","",INDEX(상세표[06~07시],$U1738))</f>
        <v/>
      </c>
      <c r="Q1738">
        <f>IF($U1738="","",INDEX(상세표[07~18시],$U1738))</f>
        <v/>
      </c>
      <c r="R1738">
        <f>IF($U1738="","",INDEX(상세표[18~22시],$U1738))</f>
        <v/>
      </c>
      <c r="S1738">
        <f>IF($U1738="","",INDEX(상세표[22~06시],$U1738))</f>
        <v/>
      </c>
      <c r="T1738">
        <f>IF($U1738="","",INDEX(상세표[기록 시간외],$U1738))</f>
        <v/>
      </c>
      <c r="U1738" s="4">
        <f>IFERROR(MATCH(1733,상세표[발송순번],0),"")</f>
        <v/>
      </c>
    </row>
    <row r="1739">
      <c r="J1739">
        <f>IF($U1739="","",INDEX(상세표[사번],$U1739)&amp;"")</f>
        <v/>
      </c>
      <c r="K1739">
        <f>IF($U1739="","",INDEX(상세표[성명],$U1739)&amp;"")</f>
        <v/>
      </c>
      <c r="L1739">
        <f>IF($U1739="","",INDEX(상세표[직위],$U1739)&amp;"")</f>
        <v/>
      </c>
      <c r="M1739">
        <f>IF($U1739="","",IF(ISNUMBER(INDEX(상세표[근무일자],$U1739)),TEXT(INDEX(상세표[근무일자],$U1739),"yyyy-mm-dd"),INDEX(상세표[근무일자],$U1739)&amp;""))</f>
        <v/>
      </c>
      <c r="N1739">
        <f>IF($U1739="","",IF(ISNUMBER(INDEX(상세표[시작],$U1739)),TEXT(INDEX(상세표[시작],$U1739),"yyyy-mm-dd hh:mm"),INDEX(상세표[시작],$U1739)&amp;""))</f>
        <v/>
      </c>
      <c r="O1739">
        <f>IF($U1739="","",IF(ISNUMBER(INDEX(상세표[종료],$U1739)),TEXT(INDEX(상세표[종료],$U1739),"yyyy-mm-dd hh:mm"),INDEX(상세표[종료],$U1739)&amp;""))</f>
        <v/>
      </c>
      <c r="P1739">
        <f>IF($U1739="","",INDEX(상세표[06~07시],$U1739))</f>
        <v/>
      </c>
      <c r="Q1739">
        <f>IF($U1739="","",INDEX(상세표[07~18시],$U1739))</f>
        <v/>
      </c>
      <c r="R1739">
        <f>IF($U1739="","",INDEX(상세표[18~22시],$U1739))</f>
        <v/>
      </c>
      <c r="S1739">
        <f>IF($U1739="","",INDEX(상세표[22~06시],$U1739))</f>
        <v/>
      </c>
      <c r="T1739">
        <f>IF($U1739="","",INDEX(상세표[기록 시간외],$U1739))</f>
        <v/>
      </c>
      <c r="U1739" s="4">
        <f>IFERROR(MATCH(1734,상세표[발송순번],0),"")</f>
        <v/>
      </c>
    </row>
    <row r="1740">
      <c r="J1740">
        <f>IF($U1740="","",INDEX(상세표[사번],$U1740)&amp;"")</f>
        <v/>
      </c>
      <c r="K1740">
        <f>IF($U1740="","",INDEX(상세표[성명],$U1740)&amp;"")</f>
        <v/>
      </c>
      <c r="L1740">
        <f>IF($U1740="","",INDEX(상세표[직위],$U1740)&amp;"")</f>
        <v/>
      </c>
      <c r="M1740">
        <f>IF($U1740="","",IF(ISNUMBER(INDEX(상세표[근무일자],$U1740)),TEXT(INDEX(상세표[근무일자],$U1740),"yyyy-mm-dd"),INDEX(상세표[근무일자],$U1740)&amp;""))</f>
        <v/>
      </c>
      <c r="N1740">
        <f>IF($U1740="","",IF(ISNUMBER(INDEX(상세표[시작],$U1740)),TEXT(INDEX(상세표[시작],$U1740),"yyyy-mm-dd hh:mm"),INDEX(상세표[시작],$U1740)&amp;""))</f>
        <v/>
      </c>
      <c r="O1740">
        <f>IF($U1740="","",IF(ISNUMBER(INDEX(상세표[종료],$U1740)),TEXT(INDEX(상세표[종료],$U1740),"yyyy-mm-dd hh:mm"),INDEX(상세표[종료],$U1740)&amp;""))</f>
        <v/>
      </c>
      <c r="P1740">
        <f>IF($U1740="","",INDEX(상세표[06~07시],$U1740))</f>
        <v/>
      </c>
      <c r="Q1740">
        <f>IF($U1740="","",INDEX(상세표[07~18시],$U1740))</f>
        <v/>
      </c>
      <c r="R1740">
        <f>IF($U1740="","",INDEX(상세표[18~22시],$U1740))</f>
        <v/>
      </c>
      <c r="S1740">
        <f>IF($U1740="","",INDEX(상세표[22~06시],$U1740))</f>
        <v/>
      </c>
      <c r="T1740">
        <f>IF($U1740="","",INDEX(상세표[기록 시간외],$U1740))</f>
        <v/>
      </c>
      <c r="U1740" s="4">
        <f>IFERROR(MATCH(1735,상세표[발송순번],0),"")</f>
        <v/>
      </c>
    </row>
    <row r="1741">
      <c r="J1741">
        <f>IF($U1741="","",INDEX(상세표[사번],$U1741)&amp;"")</f>
        <v/>
      </c>
      <c r="K1741">
        <f>IF($U1741="","",INDEX(상세표[성명],$U1741)&amp;"")</f>
        <v/>
      </c>
      <c r="L1741">
        <f>IF($U1741="","",INDEX(상세표[직위],$U1741)&amp;"")</f>
        <v/>
      </c>
      <c r="M1741">
        <f>IF($U1741="","",IF(ISNUMBER(INDEX(상세표[근무일자],$U1741)),TEXT(INDEX(상세표[근무일자],$U1741),"yyyy-mm-dd"),INDEX(상세표[근무일자],$U1741)&amp;""))</f>
        <v/>
      </c>
      <c r="N1741">
        <f>IF($U1741="","",IF(ISNUMBER(INDEX(상세표[시작],$U1741)),TEXT(INDEX(상세표[시작],$U1741),"yyyy-mm-dd hh:mm"),INDEX(상세표[시작],$U1741)&amp;""))</f>
        <v/>
      </c>
      <c r="O1741">
        <f>IF($U1741="","",IF(ISNUMBER(INDEX(상세표[종료],$U1741)),TEXT(INDEX(상세표[종료],$U1741),"yyyy-mm-dd hh:mm"),INDEX(상세표[종료],$U1741)&amp;""))</f>
        <v/>
      </c>
      <c r="P1741">
        <f>IF($U1741="","",INDEX(상세표[06~07시],$U1741))</f>
        <v/>
      </c>
      <c r="Q1741">
        <f>IF($U1741="","",INDEX(상세표[07~18시],$U1741))</f>
        <v/>
      </c>
      <c r="R1741">
        <f>IF($U1741="","",INDEX(상세표[18~22시],$U1741))</f>
        <v/>
      </c>
      <c r="S1741">
        <f>IF($U1741="","",INDEX(상세표[22~06시],$U1741))</f>
        <v/>
      </c>
      <c r="T1741">
        <f>IF($U1741="","",INDEX(상세표[기록 시간외],$U1741))</f>
        <v/>
      </c>
      <c r="U1741" s="4">
        <f>IFERROR(MATCH(1736,상세표[발송순번],0),"")</f>
        <v/>
      </c>
    </row>
    <row r="1742">
      <c r="J1742">
        <f>IF($U1742="","",INDEX(상세표[사번],$U1742)&amp;"")</f>
        <v/>
      </c>
      <c r="K1742">
        <f>IF($U1742="","",INDEX(상세표[성명],$U1742)&amp;"")</f>
        <v/>
      </c>
      <c r="L1742">
        <f>IF($U1742="","",INDEX(상세표[직위],$U1742)&amp;"")</f>
        <v/>
      </c>
      <c r="M1742">
        <f>IF($U1742="","",IF(ISNUMBER(INDEX(상세표[근무일자],$U1742)),TEXT(INDEX(상세표[근무일자],$U1742),"yyyy-mm-dd"),INDEX(상세표[근무일자],$U1742)&amp;""))</f>
        <v/>
      </c>
      <c r="N1742">
        <f>IF($U1742="","",IF(ISNUMBER(INDEX(상세표[시작],$U1742)),TEXT(INDEX(상세표[시작],$U1742),"yyyy-mm-dd hh:mm"),INDEX(상세표[시작],$U1742)&amp;""))</f>
        <v/>
      </c>
      <c r="O1742">
        <f>IF($U1742="","",IF(ISNUMBER(INDEX(상세표[종료],$U1742)),TEXT(INDEX(상세표[종료],$U1742),"yyyy-mm-dd hh:mm"),INDEX(상세표[종료],$U1742)&amp;""))</f>
        <v/>
      </c>
      <c r="P1742">
        <f>IF($U1742="","",INDEX(상세표[06~07시],$U1742))</f>
        <v/>
      </c>
      <c r="Q1742">
        <f>IF($U1742="","",INDEX(상세표[07~18시],$U1742))</f>
        <v/>
      </c>
      <c r="R1742">
        <f>IF($U1742="","",INDEX(상세표[18~22시],$U1742))</f>
        <v/>
      </c>
      <c r="S1742">
        <f>IF($U1742="","",INDEX(상세표[22~06시],$U1742))</f>
        <v/>
      </c>
      <c r="T1742">
        <f>IF($U1742="","",INDEX(상세표[기록 시간외],$U1742))</f>
        <v/>
      </c>
      <c r="U1742" s="4">
        <f>IFERROR(MATCH(1737,상세표[발송순번],0),"")</f>
        <v/>
      </c>
    </row>
    <row r="1743">
      <c r="J1743">
        <f>IF($U1743="","",INDEX(상세표[사번],$U1743)&amp;"")</f>
        <v/>
      </c>
      <c r="K1743">
        <f>IF($U1743="","",INDEX(상세표[성명],$U1743)&amp;"")</f>
        <v/>
      </c>
      <c r="L1743">
        <f>IF($U1743="","",INDEX(상세표[직위],$U1743)&amp;"")</f>
        <v/>
      </c>
      <c r="M1743">
        <f>IF($U1743="","",IF(ISNUMBER(INDEX(상세표[근무일자],$U1743)),TEXT(INDEX(상세표[근무일자],$U1743),"yyyy-mm-dd"),INDEX(상세표[근무일자],$U1743)&amp;""))</f>
        <v/>
      </c>
      <c r="N1743">
        <f>IF($U1743="","",IF(ISNUMBER(INDEX(상세표[시작],$U1743)),TEXT(INDEX(상세표[시작],$U1743),"yyyy-mm-dd hh:mm"),INDEX(상세표[시작],$U1743)&amp;""))</f>
        <v/>
      </c>
      <c r="O1743">
        <f>IF($U1743="","",IF(ISNUMBER(INDEX(상세표[종료],$U1743)),TEXT(INDEX(상세표[종료],$U1743),"yyyy-mm-dd hh:mm"),INDEX(상세표[종료],$U1743)&amp;""))</f>
        <v/>
      </c>
      <c r="P1743">
        <f>IF($U1743="","",INDEX(상세표[06~07시],$U1743))</f>
        <v/>
      </c>
      <c r="Q1743">
        <f>IF($U1743="","",INDEX(상세표[07~18시],$U1743))</f>
        <v/>
      </c>
      <c r="R1743">
        <f>IF($U1743="","",INDEX(상세표[18~22시],$U1743))</f>
        <v/>
      </c>
      <c r="S1743">
        <f>IF($U1743="","",INDEX(상세표[22~06시],$U1743))</f>
        <v/>
      </c>
      <c r="T1743">
        <f>IF($U1743="","",INDEX(상세표[기록 시간외],$U1743))</f>
        <v/>
      </c>
      <c r="U1743" s="4">
        <f>IFERROR(MATCH(1738,상세표[발송순번],0),"")</f>
        <v/>
      </c>
    </row>
    <row r="1744">
      <c r="J1744">
        <f>IF($U1744="","",INDEX(상세표[사번],$U1744)&amp;"")</f>
        <v/>
      </c>
      <c r="K1744">
        <f>IF($U1744="","",INDEX(상세표[성명],$U1744)&amp;"")</f>
        <v/>
      </c>
      <c r="L1744">
        <f>IF($U1744="","",INDEX(상세표[직위],$U1744)&amp;"")</f>
        <v/>
      </c>
      <c r="M1744">
        <f>IF($U1744="","",IF(ISNUMBER(INDEX(상세표[근무일자],$U1744)),TEXT(INDEX(상세표[근무일자],$U1744),"yyyy-mm-dd"),INDEX(상세표[근무일자],$U1744)&amp;""))</f>
        <v/>
      </c>
      <c r="N1744">
        <f>IF($U1744="","",IF(ISNUMBER(INDEX(상세표[시작],$U1744)),TEXT(INDEX(상세표[시작],$U1744),"yyyy-mm-dd hh:mm"),INDEX(상세표[시작],$U1744)&amp;""))</f>
        <v/>
      </c>
      <c r="O1744">
        <f>IF($U1744="","",IF(ISNUMBER(INDEX(상세표[종료],$U1744)),TEXT(INDEX(상세표[종료],$U1744),"yyyy-mm-dd hh:mm"),INDEX(상세표[종료],$U1744)&amp;""))</f>
        <v/>
      </c>
      <c r="P1744">
        <f>IF($U1744="","",INDEX(상세표[06~07시],$U1744))</f>
        <v/>
      </c>
      <c r="Q1744">
        <f>IF($U1744="","",INDEX(상세표[07~18시],$U1744))</f>
        <v/>
      </c>
      <c r="R1744">
        <f>IF($U1744="","",INDEX(상세표[18~22시],$U1744))</f>
        <v/>
      </c>
      <c r="S1744">
        <f>IF($U1744="","",INDEX(상세표[22~06시],$U1744))</f>
        <v/>
      </c>
      <c r="T1744">
        <f>IF($U1744="","",INDEX(상세표[기록 시간외],$U1744))</f>
        <v/>
      </c>
      <c r="U1744" s="4">
        <f>IFERROR(MATCH(1739,상세표[발송순번],0),"")</f>
        <v/>
      </c>
    </row>
    <row r="1745">
      <c r="J1745">
        <f>IF($U1745="","",INDEX(상세표[사번],$U1745)&amp;"")</f>
        <v/>
      </c>
      <c r="K1745">
        <f>IF($U1745="","",INDEX(상세표[성명],$U1745)&amp;"")</f>
        <v/>
      </c>
      <c r="L1745">
        <f>IF($U1745="","",INDEX(상세표[직위],$U1745)&amp;"")</f>
        <v/>
      </c>
      <c r="M1745">
        <f>IF($U1745="","",IF(ISNUMBER(INDEX(상세표[근무일자],$U1745)),TEXT(INDEX(상세표[근무일자],$U1745),"yyyy-mm-dd"),INDEX(상세표[근무일자],$U1745)&amp;""))</f>
        <v/>
      </c>
      <c r="N1745">
        <f>IF($U1745="","",IF(ISNUMBER(INDEX(상세표[시작],$U1745)),TEXT(INDEX(상세표[시작],$U1745),"yyyy-mm-dd hh:mm"),INDEX(상세표[시작],$U1745)&amp;""))</f>
        <v/>
      </c>
      <c r="O1745">
        <f>IF($U1745="","",IF(ISNUMBER(INDEX(상세표[종료],$U1745)),TEXT(INDEX(상세표[종료],$U1745),"yyyy-mm-dd hh:mm"),INDEX(상세표[종료],$U1745)&amp;""))</f>
        <v/>
      </c>
      <c r="P1745">
        <f>IF($U1745="","",INDEX(상세표[06~07시],$U1745))</f>
        <v/>
      </c>
      <c r="Q1745">
        <f>IF($U1745="","",INDEX(상세표[07~18시],$U1745))</f>
        <v/>
      </c>
      <c r="R1745">
        <f>IF($U1745="","",INDEX(상세표[18~22시],$U1745))</f>
        <v/>
      </c>
      <c r="S1745">
        <f>IF($U1745="","",INDEX(상세표[22~06시],$U1745))</f>
        <v/>
      </c>
      <c r="T1745">
        <f>IF($U1745="","",INDEX(상세표[기록 시간외],$U1745))</f>
        <v/>
      </c>
      <c r="U1745" s="4">
        <f>IFERROR(MATCH(1740,상세표[발송순번],0),"")</f>
        <v/>
      </c>
    </row>
    <row r="1746">
      <c r="J1746">
        <f>IF($U1746="","",INDEX(상세표[사번],$U1746)&amp;"")</f>
        <v/>
      </c>
      <c r="K1746">
        <f>IF($U1746="","",INDEX(상세표[성명],$U1746)&amp;"")</f>
        <v/>
      </c>
      <c r="L1746">
        <f>IF($U1746="","",INDEX(상세표[직위],$U1746)&amp;"")</f>
        <v/>
      </c>
      <c r="M1746">
        <f>IF($U1746="","",IF(ISNUMBER(INDEX(상세표[근무일자],$U1746)),TEXT(INDEX(상세표[근무일자],$U1746),"yyyy-mm-dd"),INDEX(상세표[근무일자],$U1746)&amp;""))</f>
        <v/>
      </c>
      <c r="N1746">
        <f>IF($U1746="","",IF(ISNUMBER(INDEX(상세표[시작],$U1746)),TEXT(INDEX(상세표[시작],$U1746),"yyyy-mm-dd hh:mm"),INDEX(상세표[시작],$U1746)&amp;""))</f>
        <v/>
      </c>
      <c r="O1746">
        <f>IF($U1746="","",IF(ISNUMBER(INDEX(상세표[종료],$U1746)),TEXT(INDEX(상세표[종료],$U1746),"yyyy-mm-dd hh:mm"),INDEX(상세표[종료],$U1746)&amp;""))</f>
        <v/>
      </c>
      <c r="P1746">
        <f>IF($U1746="","",INDEX(상세표[06~07시],$U1746))</f>
        <v/>
      </c>
      <c r="Q1746">
        <f>IF($U1746="","",INDEX(상세표[07~18시],$U1746))</f>
        <v/>
      </c>
      <c r="R1746">
        <f>IF($U1746="","",INDEX(상세표[18~22시],$U1746))</f>
        <v/>
      </c>
      <c r="S1746">
        <f>IF($U1746="","",INDEX(상세표[22~06시],$U1746))</f>
        <v/>
      </c>
      <c r="T1746">
        <f>IF($U1746="","",INDEX(상세표[기록 시간외],$U1746))</f>
        <v/>
      </c>
      <c r="U1746" s="4">
        <f>IFERROR(MATCH(1741,상세표[발송순번],0),"")</f>
        <v/>
      </c>
    </row>
    <row r="1747">
      <c r="J1747">
        <f>IF($U1747="","",INDEX(상세표[사번],$U1747)&amp;"")</f>
        <v/>
      </c>
      <c r="K1747">
        <f>IF($U1747="","",INDEX(상세표[성명],$U1747)&amp;"")</f>
        <v/>
      </c>
      <c r="L1747">
        <f>IF($U1747="","",INDEX(상세표[직위],$U1747)&amp;"")</f>
        <v/>
      </c>
      <c r="M1747">
        <f>IF($U1747="","",IF(ISNUMBER(INDEX(상세표[근무일자],$U1747)),TEXT(INDEX(상세표[근무일자],$U1747),"yyyy-mm-dd"),INDEX(상세표[근무일자],$U1747)&amp;""))</f>
        <v/>
      </c>
      <c r="N1747">
        <f>IF($U1747="","",IF(ISNUMBER(INDEX(상세표[시작],$U1747)),TEXT(INDEX(상세표[시작],$U1747),"yyyy-mm-dd hh:mm"),INDEX(상세표[시작],$U1747)&amp;""))</f>
        <v/>
      </c>
      <c r="O1747">
        <f>IF($U1747="","",IF(ISNUMBER(INDEX(상세표[종료],$U1747)),TEXT(INDEX(상세표[종료],$U1747),"yyyy-mm-dd hh:mm"),INDEX(상세표[종료],$U1747)&amp;""))</f>
        <v/>
      </c>
      <c r="P1747">
        <f>IF($U1747="","",INDEX(상세표[06~07시],$U1747))</f>
        <v/>
      </c>
      <c r="Q1747">
        <f>IF($U1747="","",INDEX(상세표[07~18시],$U1747))</f>
        <v/>
      </c>
      <c r="R1747">
        <f>IF($U1747="","",INDEX(상세표[18~22시],$U1747))</f>
        <v/>
      </c>
      <c r="S1747">
        <f>IF($U1747="","",INDEX(상세표[22~06시],$U1747))</f>
        <v/>
      </c>
      <c r="T1747">
        <f>IF($U1747="","",INDEX(상세표[기록 시간외],$U1747))</f>
        <v/>
      </c>
      <c r="U1747" s="4">
        <f>IFERROR(MATCH(1742,상세표[발송순번],0),"")</f>
        <v/>
      </c>
    </row>
    <row r="1748">
      <c r="J1748">
        <f>IF($U1748="","",INDEX(상세표[사번],$U1748)&amp;"")</f>
        <v/>
      </c>
      <c r="K1748">
        <f>IF($U1748="","",INDEX(상세표[성명],$U1748)&amp;"")</f>
        <v/>
      </c>
      <c r="L1748">
        <f>IF($U1748="","",INDEX(상세표[직위],$U1748)&amp;"")</f>
        <v/>
      </c>
      <c r="M1748">
        <f>IF($U1748="","",IF(ISNUMBER(INDEX(상세표[근무일자],$U1748)),TEXT(INDEX(상세표[근무일자],$U1748),"yyyy-mm-dd"),INDEX(상세표[근무일자],$U1748)&amp;""))</f>
        <v/>
      </c>
      <c r="N1748">
        <f>IF($U1748="","",IF(ISNUMBER(INDEX(상세표[시작],$U1748)),TEXT(INDEX(상세표[시작],$U1748),"yyyy-mm-dd hh:mm"),INDEX(상세표[시작],$U1748)&amp;""))</f>
        <v/>
      </c>
      <c r="O1748">
        <f>IF($U1748="","",IF(ISNUMBER(INDEX(상세표[종료],$U1748)),TEXT(INDEX(상세표[종료],$U1748),"yyyy-mm-dd hh:mm"),INDEX(상세표[종료],$U1748)&amp;""))</f>
        <v/>
      </c>
      <c r="P1748">
        <f>IF($U1748="","",INDEX(상세표[06~07시],$U1748))</f>
        <v/>
      </c>
      <c r="Q1748">
        <f>IF($U1748="","",INDEX(상세표[07~18시],$U1748))</f>
        <v/>
      </c>
      <c r="R1748">
        <f>IF($U1748="","",INDEX(상세표[18~22시],$U1748))</f>
        <v/>
      </c>
      <c r="S1748">
        <f>IF($U1748="","",INDEX(상세표[22~06시],$U1748))</f>
        <v/>
      </c>
      <c r="T1748">
        <f>IF($U1748="","",INDEX(상세표[기록 시간외],$U1748))</f>
        <v/>
      </c>
      <c r="U1748" s="4">
        <f>IFERROR(MATCH(1743,상세표[발송순번],0),"")</f>
        <v/>
      </c>
    </row>
    <row r="1749">
      <c r="J1749">
        <f>IF($U1749="","",INDEX(상세표[사번],$U1749)&amp;"")</f>
        <v/>
      </c>
      <c r="K1749">
        <f>IF($U1749="","",INDEX(상세표[성명],$U1749)&amp;"")</f>
        <v/>
      </c>
      <c r="L1749">
        <f>IF($U1749="","",INDEX(상세표[직위],$U1749)&amp;"")</f>
        <v/>
      </c>
      <c r="M1749">
        <f>IF($U1749="","",IF(ISNUMBER(INDEX(상세표[근무일자],$U1749)),TEXT(INDEX(상세표[근무일자],$U1749),"yyyy-mm-dd"),INDEX(상세표[근무일자],$U1749)&amp;""))</f>
        <v/>
      </c>
      <c r="N1749">
        <f>IF($U1749="","",IF(ISNUMBER(INDEX(상세표[시작],$U1749)),TEXT(INDEX(상세표[시작],$U1749),"yyyy-mm-dd hh:mm"),INDEX(상세표[시작],$U1749)&amp;""))</f>
        <v/>
      </c>
      <c r="O1749">
        <f>IF($U1749="","",IF(ISNUMBER(INDEX(상세표[종료],$U1749)),TEXT(INDEX(상세표[종료],$U1749),"yyyy-mm-dd hh:mm"),INDEX(상세표[종료],$U1749)&amp;""))</f>
        <v/>
      </c>
      <c r="P1749">
        <f>IF($U1749="","",INDEX(상세표[06~07시],$U1749))</f>
        <v/>
      </c>
      <c r="Q1749">
        <f>IF($U1749="","",INDEX(상세표[07~18시],$U1749))</f>
        <v/>
      </c>
      <c r="R1749">
        <f>IF($U1749="","",INDEX(상세표[18~22시],$U1749))</f>
        <v/>
      </c>
      <c r="S1749">
        <f>IF($U1749="","",INDEX(상세표[22~06시],$U1749))</f>
        <v/>
      </c>
      <c r="T1749">
        <f>IF($U1749="","",INDEX(상세표[기록 시간외],$U1749))</f>
        <v/>
      </c>
      <c r="U1749" s="4">
        <f>IFERROR(MATCH(1744,상세표[발송순번],0),"")</f>
        <v/>
      </c>
    </row>
    <row r="1750">
      <c r="J1750">
        <f>IF($U1750="","",INDEX(상세표[사번],$U1750)&amp;"")</f>
        <v/>
      </c>
      <c r="K1750">
        <f>IF($U1750="","",INDEX(상세표[성명],$U1750)&amp;"")</f>
        <v/>
      </c>
      <c r="L1750">
        <f>IF($U1750="","",INDEX(상세표[직위],$U1750)&amp;"")</f>
        <v/>
      </c>
      <c r="M1750">
        <f>IF($U1750="","",IF(ISNUMBER(INDEX(상세표[근무일자],$U1750)),TEXT(INDEX(상세표[근무일자],$U1750),"yyyy-mm-dd"),INDEX(상세표[근무일자],$U1750)&amp;""))</f>
        <v/>
      </c>
      <c r="N1750">
        <f>IF($U1750="","",IF(ISNUMBER(INDEX(상세표[시작],$U1750)),TEXT(INDEX(상세표[시작],$U1750),"yyyy-mm-dd hh:mm"),INDEX(상세표[시작],$U1750)&amp;""))</f>
        <v/>
      </c>
      <c r="O1750">
        <f>IF($U1750="","",IF(ISNUMBER(INDEX(상세표[종료],$U1750)),TEXT(INDEX(상세표[종료],$U1750),"yyyy-mm-dd hh:mm"),INDEX(상세표[종료],$U1750)&amp;""))</f>
        <v/>
      </c>
      <c r="P1750">
        <f>IF($U1750="","",INDEX(상세표[06~07시],$U1750))</f>
        <v/>
      </c>
      <c r="Q1750">
        <f>IF($U1750="","",INDEX(상세표[07~18시],$U1750))</f>
        <v/>
      </c>
      <c r="R1750">
        <f>IF($U1750="","",INDEX(상세표[18~22시],$U1750))</f>
        <v/>
      </c>
      <c r="S1750">
        <f>IF($U1750="","",INDEX(상세표[22~06시],$U1750))</f>
        <v/>
      </c>
      <c r="T1750">
        <f>IF($U1750="","",INDEX(상세표[기록 시간외],$U1750))</f>
        <v/>
      </c>
      <c r="U1750" s="4">
        <f>IFERROR(MATCH(1745,상세표[발송순번],0),"")</f>
        <v/>
      </c>
    </row>
    <row r="1751">
      <c r="J1751">
        <f>IF($U1751="","",INDEX(상세표[사번],$U1751)&amp;"")</f>
        <v/>
      </c>
      <c r="K1751">
        <f>IF($U1751="","",INDEX(상세표[성명],$U1751)&amp;"")</f>
        <v/>
      </c>
      <c r="L1751">
        <f>IF($U1751="","",INDEX(상세표[직위],$U1751)&amp;"")</f>
        <v/>
      </c>
      <c r="M1751">
        <f>IF($U1751="","",IF(ISNUMBER(INDEX(상세표[근무일자],$U1751)),TEXT(INDEX(상세표[근무일자],$U1751),"yyyy-mm-dd"),INDEX(상세표[근무일자],$U1751)&amp;""))</f>
        <v/>
      </c>
      <c r="N1751">
        <f>IF($U1751="","",IF(ISNUMBER(INDEX(상세표[시작],$U1751)),TEXT(INDEX(상세표[시작],$U1751),"yyyy-mm-dd hh:mm"),INDEX(상세표[시작],$U1751)&amp;""))</f>
        <v/>
      </c>
      <c r="O1751">
        <f>IF($U1751="","",IF(ISNUMBER(INDEX(상세표[종료],$U1751)),TEXT(INDEX(상세표[종료],$U1751),"yyyy-mm-dd hh:mm"),INDEX(상세표[종료],$U1751)&amp;""))</f>
        <v/>
      </c>
      <c r="P1751">
        <f>IF($U1751="","",INDEX(상세표[06~07시],$U1751))</f>
        <v/>
      </c>
      <c r="Q1751">
        <f>IF($U1751="","",INDEX(상세표[07~18시],$U1751))</f>
        <v/>
      </c>
      <c r="R1751">
        <f>IF($U1751="","",INDEX(상세표[18~22시],$U1751))</f>
        <v/>
      </c>
      <c r="S1751">
        <f>IF($U1751="","",INDEX(상세표[22~06시],$U1751))</f>
        <v/>
      </c>
      <c r="T1751">
        <f>IF($U1751="","",INDEX(상세표[기록 시간외],$U1751))</f>
        <v/>
      </c>
      <c r="U1751" s="4">
        <f>IFERROR(MATCH(1746,상세표[발송순번],0),"")</f>
        <v/>
      </c>
    </row>
    <row r="1752">
      <c r="J1752">
        <f>IF($U1752="","",INDEX(상세표[사번],$U1752)&amp;"")</f>
        <v/>
      </c>
      <c r="K1752">
        <f>IF($U1752="","",INDEX(상세표[성명],$U1752)&amp;"")</f>
        <v/>
      </c>
      <c r="L1752">
        <f>IF($U1752="","",INDEX(상세표[직위],$U1752)&amp;"")</f>
        <v/>
      </c>
      <c r="M1752">
        <f>IF($U1752="","",IF(ISNUMBER(INDEX(상세표[근무일자],$U1752)),TEXT(INDEX(상세표[근무일자],$U1752),"yyyy-mm-dd"),INDEX(상세표[근무일자],$U1752)&amp;""))</f>
        <v/>
      </c>
      <c r="N1752">
        <f>IF($U1752="","",IF(ISNUMBER(INDEX(상세표[시작],$U1752)),TEXT(INDEX(상세표[시작],$U1752),"yyyy-mm-dd hh:mm"),INDEX(상세표[시작],$U1752)&amp;""))</f>
        <v/>
      </c>
      <c r="O1752">
        <f>IF($U1752="","",IF(ISNUMBER(INDEX(상세표[종료],$U1752)),TEXT(INDEX(상세표[종료],$U1752),"yyyy-mm-dd hh:mm"),INDEX(상세표[종료],$U1752)&amp;""))</f>
        <v/>
      </c>
      <c r="P1752">
        <f>IF($U1752="","",INDEX(상세표[06~07시],$U1752))</f>
        <v/>
      </c>
      <c r="Q1752">
        <f>IF($U1752="","",INDEX(상세표[07~18시],$U1752))</f>
        <v/>
      </c>
      <c r="R1752">
        <f>IF($U1752="","",INDEX(상세표[18~22시],$U1752))</f>
        <v/>
      </c>
      <c r="S1752">
        <f>IF($U1752="","",INDEX(상세표[22~06시],$U1752))</f>
        <v/>
      </c>
      <c r="T1752">
        <f>IF($U1752="","",INDEX(상세표[기록 시간외],$U1752))</f>
        <v/>
      </c>
      <c r="U1752" s="4">
        <f>IFERROR(MATCH(1747,상세표[발송순번],0),"")</f>
        <v/>
      </c>
    </row>
    <row r="1753">
      <c r="J1753">
        <f>IF($U1753="","",INDEX(상세표[사번],$U1753)&amp;"")</f>
        <v/>
      </c>
      <c r="K1753">
        <f>IF($U1753="","",INDEX(상세표[성명],$U1753)&amp;"")</f>
        <v/>
      </c>
      <c r="L1753">
        <f>IF($U1753="","",INDEX(상세표[직위],$U1753)&amp;"")</f>
        <v/>
      </c>
      <c r="M1753">
        <f>IF($U1753="","",IF(ISNUMBER(INDEX(상세표[근무일자],$U1753)),TEXT(INDEX(상세표[근무일자],$U1753),"yyyy-mm-dd"),INDEX(상세표[근무일자],$U1753)&amp;""))</f>
        <v/>
      </c>
      <c r="N1753">
        <f>IF($U1753="","",IF(ISNUMBER(INDEX(상세표[시작],$U1753)),TEXT(INDEX(상세표[시작],$U1753),"yyyy-mm-dd hh:mm"),INDEX(상세표[시작],$U1753)&amp;""))</f>
        <v/>
      </c>
      <c r="O1753">
        <f>IF($U1753="","",IF(ISNUMBER(INDEX(상세표[종료],$U1753)),TEXT(INDEX(상세표[종료],$U1753),"yyyy-mm-dd hh:mm"),INDEX(상세표[종료],$U1753)&amp;""))</f>
        <v/>
      </c>
      <c r="P1753">
        <f>IF($U1753="","",INDEX(상세표[06~07시],$U1753))</f>
        <v/>
      </c>
      <c r="Q1753">
        <f>IF($U1753="","",INDEX(상세표[07~18시],$U1753))</f>
        <v/>
      </c>
      <c r="R1753">
        <f>IF($U1753="","",INDEX(상세표[18~22시],$U1753))</f>
        <v/>
      </c>
      <c r="S1753">
        <f>IF($U1753="","",INDEX(상세표[22~06시],$U1753))</f>
        <v/>
      </c>
      <c r="T1753">
        <f>IF($U1753="","",INDEX(상세표[기록 시간외],$U1753))</f>
        <v/>
      </c>
      <c r="U1753" s="4">
        <f>IFERROR(MATCH(1748,상세표[발송순번],0),"")</f>
        <v/>
      </c>
    </row>
    <row r="1754">
      <c r="J1754">
        <f>IF($U1754="","",INDEX(상세표[사번],$U1754)&amp;"")</f>
        <v/>
      </c>
      <c r="K1754">
        <f>IF($U1754="","",INDEX(상세표[성명],$U1754)&amp;"")</f>
        <v/>
      </c>
      <c r="L1754">
        <f>IF($U1754="","",INDEX(상세표[직위],$U1754)&amp;"")</f>
        <v/>
      </c>
      <c r="M1754">
        <f>IF($U1754="","",IF(ISNUMBER(INDEX(상세표[근무일자],$U1754)),TEXT(INDEX(상세표[근무일자],$U1754),"yyyy-mm-dd"),INDEX(상세표[근무일자],$U1754)&amp;""))</f>
        <v/>
      </c>
      <c r="N1754">
        <f>IF($U1754="","",IF(ISNUMBER(INDEX(상세표[시작],$U1754)),TEXT(INDEX(상세표[시작],$U1754),"yyyy-mm-dd hh:mm"),INDEX(상세표[시작],$U1754)&amp;""))</f>
        <v/>
      </c>
      <c r="O1754">
        <f>IF($U1754="","",IF(ISNUMBER(INDEX(상세표[종료],$U1754)),TEXT(INDEX(상세표[종료],$U1754),"yyyy-mm-dd hh:mm"),INDEX(상세표[종료],$U1754)&amp;""))</f>
        <v/>
      </c>
      <c r="P1754">
        <f>IF($U1754="","",INDEX(상세표[06~07시],$U1754))</f>
        <v/>
      </c>
      <c r="Q1754">
        <f>IF($U1754="","",INDEX(상세표[07~18시],$U1754))</f>
        <v/>
      </c>
      <c r="R1754">
        <f>IF($U1754="","",INDEX(상세표[18~22시],$U1754))</f>
        <v/>
      </c>
      <c r="S1754">
        <f>IF($U1754="","",INDEX(상세표[22~06시],$U1754))</f>
        <v/>
      </c>
      <c r="T1754">
        <f>IF($U1754="","",INDEX(상세표[기록 시간외],$U1754))</f>
        <v/>
      </c>
      <c r="U1754" s="4">
        <f>IFERROR(MATCH(1749,상세표[발송순번],0),"")</f>
        <v/>
      </c>
    </row>
    <row r="1755">
      <c r="J1755">
        <f>IF($U1755="","",INDEX(상세표[사번],$U1755)&amp;"")</f>
        <v/>
      </c>
      <c r="K1755">
        <f>IF($U1755="","",INDEX(상세표[성명],$U1755)&amp;"")</f>
        <v/>
      </c>
      <c r="L1755">
        <f>IF($U1755="","",INDEX(상세표[직위],$U1755)&amp;"")</f>
        <v/>
      </c>
      <c r="M1755">
        <f>IF($U1755="","",IF(ISNUMBER(INDEX(상세표[근무일자],$U1755)),TEXT(INDEX(상세표[근무일자],$U1755),"yyyy-mm-dd"),INDEX(상세표[근무일자],$U1755)&amp;""))</f>
        <v/>
      </c>
      <c r="N1755">
        <f>IF($U1755="","",IF(ISNUMBER(INDEX(상세표[시작],$U1755)),TEXT(INDEX(상세표[시작],$U1755),"yyyy-mm-dd hh:mm"),INDEX(상세표[시작],$U1755)&amp;""))</f>
        <v/>
      </c>
      <c r="O1755">
        <f>IF($U1755="","",IF(ISNUMBER(INDEX(상세표[종료],$U1755)),TEXT(INDEX(상세표[종료],$U1755),"yyyy-mm-dd hh:mm"),INDEX(상세표[종료],$U1755)&amp;""))</f>
        <v/>
      </c>
      <c r="P1755">
        <f>IF($U1755="","",INDEX(상세표[06~07시],$U1755))</f>
        <v/>
      </c>
      <c r="Q1755">
        <f>IF($U1755="","",INDEX(상세표[07~18시],$U1755))</f>
        <v/>
      </c>
      <c r="R1755">
        <f>IF($U1755="","",INDEX(상세표[18~22시],$U1755))</f>
        <v/>
      </c>
      <c r="S1755">
        <f>IF($U1755="","",INDEX(상세표[22~06시],$U1755))</f>
        <v/>
      </c>
      <c r="T1755">
        <f>IF($U1755="","",INDEX(상세표[기록 시간외],$U1755))</f>
        <v/>
      </c>
      <c r="U1755" s="4">
        <f>IFERROR(MATCH(1750,상세표[발송순번],0),"")</f>
        <v/>
      </c>
    </row>
    <row r="1756">
      <c r="J1756">
        <f>IF($U1756="","",INDEX(상세표[사번],$U1756)&amp;"")</f>
        <v/>
      </c>
      <c r="K1756">
        <f>IF($U1756="","",INDEX(상세표[성명],$U1756)&amp;"")</f>
        <v/>
      </c>
      <c r="L1756">
        <f>IF($U1756="","",INDEX(상세표[직위],$U1756)&amp;"")</f>
        <v/>
      </c>
      <c r="M1756">
        <f>IF($U1756="","",IF(ISNUMBER(INDEX(상세표[근무일자],$U1756)),TEXT(INDEX(상세표[근무일자],$U1756),"yyyy-mm-dd"),INDEX(상세표[근무일자],$U1756)&amp;""))</f>
        <v/>
      </c>
      <c r="N1756">
        <f>IF($U1756="","",IF(ISNUMBER(INDEX(상세표[시작],$U1756)),TEXT(INDEX(상세표[시작],$U1756),"yyyy-mm-dd hh:mm"),INDEX(상세표[시작],$U1756)&amp;""))</f>
        <v/>
      </c>
      <c r="O1756">
        <f>IF($U1756="","",IF(ISNUMBER(INDEX(상세표[종료],$U1756)),TEXT(INDEX(상세표[종료],$U1756),"yyyy-mm-dd hh:mm"),INDEX(상세표[종료],$U1756)&amp;""))</f>
        <v/>
      </c>
      <c r="P1756">
        <f>IF($U1756="","",INDEX(상세표[06~07시],$U1756))</f>
        <v/>
      </c>
      <c r="Q1756">
        <f>IF($U1756="","",INDEX(상세표[07~18시],$U1756))</f>
        <v/>
      </c>
      <c r="R1756">
        <f>IF($U1756="","",INDEX(상세표[18~22시],$U1756))</f>
        <v/>
      </c>
      <c r="S1756">
        <f>IF($U1756="","",INDEX(상세표[22~06시],$U1756))</f>
        <v/>
      </c>
      <c r="T1756">
        <f>IF($U1756="","",INDEX(상세표[기록 시간외],$U1756))</f>
        <v/>
      </c>
      <c r="U1756" s="4">
        <f>IFERROR(MATCH(1751,상세표[발송순번],0),"")</f>
        <v/>
      </c>
    </row>
    <row r="1757">
      <c r="J1757">
        <f>IF($U1757="","",INDEX(상세표[사번],$U1757)&amp;"")</f>
        <v/>
      </c>
      <c r="K1757">
        <f>IF($U1757="","",INDEX(상세표[성명],$U1757)&amp;"")</f>
        <v/>
      </c>
      <c r="L1757">
        <f>IF($U1757="","",INDEX(상세표[직위],$U1757)&amp;"")</f>
        <v/>
      </c>
      <c r="M1757">
        <f>IF($U1757="","",IF(ISNUMBER(INDEX(상세표[근무일자],$U1757)),TEXT(INDEX(상세표[근무일자],$U1757),"yyyy-mm-dd"),INDEX(상세표[근무일자],$U1757)&amp;""))</f>
        <v/>
      </c>
      <c r="N1757">
        <f>IF($U1757="","",IF(ISNUMBER(INDEX(상세표[시작],$U1757)),TEXT(INDEX(상세표[시작],$U1757),"yyyy-mm-dd hh:mm"),INDEX(상세표[시작],$U1757)&amp;""))</f>
        <v/>
      </c>
      <c r="O1757">
        <f>IF($U1757="","",IF(ISNUMBER(INDEX(상세표[종료],$U1757)),TEXT(INDEX(상세표[종료],$U1757),"yyyy-mm-dd hh:mm"),INDEX(상세표[종료],$U1757)&amp;""))</f>
        <v/>
      </c>
      <c r="P1757">
        <f>IF($U1757="","",INDEX(상세표[06~07시],$U1757))</f>
        <v/>
      </c>
      <c r="Q1757">
        <f>IF($U1757="","",INDEX(상세표[07~18시],$U1757))</f>
        <v/>
      </c>
      <c r="R1757">
        <f>IF($U1757="","",INDEX(상세표[18~22시],$U1757))</f>
        <v/>
      </c>
      <c r="S1757">
        <f>IF($U1757="","",INDEX(상세표[22~06시],$U1757))</f>
        <v/>
      </c>
      <c r="T1757">
        <f>IF($U1757="","",INDEX(상세표[기록 시간외],$U1757))</f>
        <v/>
      </c>
      <c r="U1757" s="4">
        <f>IFERROR(MATCH(1752,상세표[발송순번],0),"")</f>
        <v/>
      </c>
    </row>
    <row r="1758">
      <c r="J1758">
        <f>IF($U1758="","",INDEX(상세표[사번],$U1758)&amp;"")</f>
        <v/>
      </c>
      <c r="K1758">
        <f>IF($U1758="","",INDEX(상세표[성명],$U1758)&amp;"")</f>
        <v/>
      </c>
      <c r="L1758">
        <f>IF($U1758="","",INDEX(상세표[직위],$U1758)&amp;"")</f>
        <v/>
      </c>
      <c r="M1758">
        <f>IF($U1758="","",IF(ISNUMBER(INDEX(상세표[근무일자],$U1758)),TEXT(INDEX(상세표[근무일자],$U1758),"yyyy-mm-dd"),INDEX(상세표[근무일자],$U1758)&amp;""))</f>
        <v/>
      </c>
      <c r="N1758">
        <f>IF($U1758="","",IF(ISNUMBER(INDEX(상세표[시작],$U1758)),TEXT(INDEX(상세표[시작],$U1758),"yyyy-mm-dd hh:mm"),INDEX(상세표[시작],$U1758)&amp;""))</f>
        <v/>
      </c>
      <c r="O1758">
        <f>IF($U1758="","",IF(ISNUMBER(INDEX(상세표[종료],$U1758)),TEXT(INDEX(상세표[종료],$U1758),"yyyy-mm-dd hh:mm"),INDEX(상세표[종료],$U1758)&amp;""))</f>
        <v/>
      </c>
      <c r="P1758">
        <f>IF($U1758="","",INDEX(상세표[06~07시],$U1758))</f>
        <v/>
      </c>
      <c r="Q1758">
        <f>IF($U1758="","",INDEX(상세표[07~18시],$U1758))</f>
        <v/>
      </c>
      <c r="R1758">
        <f>IF($U1758="","",INDEX(상세표[18~22시],$U1758))</f>
        <v/>
      </c>
      <c r="S1758">
        <f>IF($U1758="","",INDEX(상세표[22~06시],$U1758))</f>
        <v/>
      </c>
      <c r="T1758">
        <f>IF($U1758="","",INDEX(상세표[기록 시간외],$U1758))</f>
        <v/>
      </c>
      <c r="U1758" s="4">
        <f>IFERROR(MATCH(1753,상세표[발송순번],0),"")</f>
        <v/>
      </c>
    </row>
    <row r="1759">
      <c r="J1759">
        <f>IF($U1759="","",INDEX(상세표[사번],$U1759)&amp;"")</f>
        <v/>
      </c>
      <c r="K1759">
        <f>IF($U1759="","",INDEX(상세표[성명],$U1759)&amp;"")</f>
        <v/>
      </c>
      <c r="L1759">
        <f>IF($U1759="","",INDEX(상세표[직위],$U1759)&amp;"")</f>
        <v/>
      </c>
      <c r="M1759">
        <f>IF($U1759="","",IF(ISNUMBER(INDEX(상세표[근무일자],$U1759)),TEXT(INDEX(상세표[근무일자],$U1759),"yyyy-mm-dd"),INDEX(상세표[근무일자],$U1759)&amp;""))</f>
        <v/>
      </c>
      <c r="N1759">
        <f>IF($U1759="","",IF(ISNUMBER(INDEX(상세표[시작],$U1759)),TEXT(INDEX(상세표[시작],$U1759),"yyyy-mm-dd hh:mm"),INDEX(상세표[시작],$U1759)&amp;""))</f>
        <v/>
      </c>
      <c r="O1759">
        <f>IF($U1759="","",IF(ISNUMBER(INDEX(상세표[종료],$U1759)),TEXT(INDEX(상세표[종료],$U1759),"yyyy-mm-dd hh:mm"),INDEX(상세표[종료],$U1759)&amp;""))</f>
        <v/>
      </c>
      <c r="P1759">
        <f>IF($U1759="","",INDEX(상세표[06~07시],$U1759))</f>
        <v/>
      </c>
      <c r="Q1759">
        <f>IF($U1759="","",INDEX(상세표[07~18시],$U1759))</f>
        <v/>
      </c>
      <c r="R1759">
        <f>IF($U1759="","",INDEX(상세표[18~22시],$U1759))</f>
        <v/>
      </c>
      <c r="S1759">
        <f>IF($U1759="","",INDEX(상세표[22~06시],$U1759))</f>
        <v/>
      </c>
      <c r="T1759">
        <f>IF($U1759="","",INDEX(상세표[기록 시간외],$U1759))</f>
        <v/>
      </c>
      <c r="U1759" s="4">
        <f>IFERROR(MATCH(1754,상세표[발송순번],0),"")</f>
        <v/>
      </c>
    </row>
    <row r="1760">
      <c r="J1760">
        <f>IF($U1760="","",INDEX(상세표[사번],$U1760)&amp;"")</f>
        <v/>
      </c>
      <c r="K1760">
        <f>IF($U1760="","",INDEX(상세표[성명],$U1760)&amp;"")</f>
        <v/>
      </c>
      <c r="L1760">
        <f>IF($U1760="","",INDEX(상세표[직위],$U1760)&amp;"")</f>
        <v/>
      </c>
      <c r="M1760">
        <f>IF($U1760="","",IF(ISNUMBER(INDEX(상세표[근무일자],$U1760)),TEXT(INDEX(상세표[근무일자],$U1760),"yyyy-mm-dd"),INDEX(상세표[근무일자],$U1760)&amp;""))</f>
        <v/>
      </c>
      <c r="N1760">
        <f>IF($U1760="","",IF(ISNUMBER(INDEX(상세표[시작],$U1760)),TEXT(INDEX(상세표[시작],$U1760),"yyyy-mm-dd hh:mm"),INDEX(상세표[시작],$U1760)&amp;""))</f>
        <v/>
      </c>
      <c r="O1760">
        <f>IF($U1760="","",IF(ISNUMBER(INDEX(상세표[종료],$U1760)),TEXT(INDEX(상세표[종료],$U1760),"yyyy-mm-dd hh:mm"),INDEX(상세표[종료],$U1760)&amp;""))</f>
        <v/>
      </c>
      <c r="P1760">
        <f>IF($U1760="","",INDEX(상세표[06~07시],$U1760))</f>
        <v/>
      </c>
      <c r="Q1760">
        <f>IF($U1760="","",INDEX(상세표[07~18시],$U1760))</f>
        <v/>
      </c>
      <c r="R1760">
        <f>IF($U1760="","",INDEX(상세표[18~22시],$U1760))</f>
        <v/>
      </c>
      <c r="S1760">
        <f>IF($U1760="","",INDEX(상세표[22~06시],$U1760))</f>
        <v/>
      </c>
      <c r="T1760">
        <f>IF($U1760="","",INDEX(상세표[기록 시간외],$U1760))</f>
        <v/>
      </c>
      <c r="U1760" s="4">
        <f>IFERROR(MATCH(1755,상세표[발송순번],0),"")</f>
        <v/>
      </c>
    </row>
    <row r="1761">
      <c r="J1761">
        <f>IF($U1761="","",INDEX(상세표[사번],$U1761)&amp;"")</f>
        <v/>
      </c>
      <c r="K1761">
        <f>IF($U1761="","",INDEX(상세표[성명],$U1761)&amp;"")</f>
        <v/>
      </c>
      <c r="L1761">
        <f>IF($U1761="","",INDEX(상세표[직위],$U1761)&amp;"")</f>
        <v/>
      </c>
      <c r="M1761">
        <f>IF($U1761="","",IF(ISNUMBER(INDEX(상세표[근무일자],$U1761)),TEXT(INDEX(상세표[근무일자],$U1761),"yyyy-mm-dd"),INDEX(상세표[근무일자],$U1761)&amp;""))</f>
        <v/>
      </c>
      <c r="N1761">
        <f>IF($U1761="","",IF(ISNUMBER(INDEX(상세표[시작],$U1761)),TEXT(INDEX(상세표[시작],$U1761),"yyyy-mm-dd hh:mm"),INDEX(상세표[시작],$U1761)&amp;""))</f>
        <v/>
      </c>
      <c r="O1761">
        <f>IF($U1761="","",IF(ISNUMBER(INDEX(상세표[종료],$U1761)),TEXT(INDEX(상세표[종료],$U1761),"yyyy-mm-dd hh:mm"),INDEX(상세표[종료],$U1761)&amp;""))</f>
        <v/>
      </c>
      <c r="P1761">
        <f>IF($U1761="","",INDEX(상세표[06~07시],$U1761))</f>
        <v/>
      </c>
      <c r="Q1761">
        <f>IF($U1761="","",INDEX(상세표[07~18시],$U1761))</f>
        <v/>
      </c>
      <c r="R1761">
        <f>IF($U1761="","",INDEX(상세표[18~22시],$U1761))</f>
        <v/>
      </c>
      <c r="S1761">
        <f>IF($U1761="","",INDEX(상세표[22~06시],$U1761))</f>
        <v/>
      </c>
      <c r="T1761">
        <f>IF($U1761="","",INDEX(상세표[기록 시간외],$U1761))</f>
        <v/>
      </c>
      <c r="U1761" s="4">
        <f>IFERROR(MATCH(1756,상세표[발송순번],0),"")</f>
        <v/>
      </c>
    </row>
    <row r="1762">
      <c r="J1762">
        <f>IF($U1762="","",INDEX(상세표[사번],$U1762)&amp;"")</f>
        <v/>
      </c>
      <c r="K1762">
        <f>IF($U1762="","",INDEX(상세표[성명],$U1762)&amp;"")</f>
        <v/>
      </c>
      <c r="L1762">
        <f>IF($U1762="","",INDEX(상세표[직위],$U1762)&amp;"")</f>
        <v/>
      </c>
      <c r="M1762">
        <f>IF($U1762="","",IF(ISNUMBER(INDEX(상세표[근무일자],$U1762)),TEXT(INDEX(상세표[근무일자],$U1762),"yyyy-mm-dd"),INDEX(상세표[근무일자],$U1762)&amp;""))</f>
        <v/>
      </c>
      <c r="N1762">
        <f>IF($U1762="","",IF(ISNUMBER(INDEX(상세표[시작],$U1762)),TEXT(INDEX(상세표[시작],$U1762),"yyyy-mm-dd hh:mm"),INDEX(상세표[시작],$U1762)&amp;""))</f>
        <v/>
      </c>
      <c r="O1762">
        <f>IF($U1762="","",IF(ISNUMBER(INDEX(상세표[종료],$U1762)),TEXT(INDEX(상세표[종료],$U1762),"yyyy-mm-dd hh:mm"),INDEX(상세표[종료],$U1762)&amp;""))</f>
        <v/>
      </c>
      <c r="P1762">
        <f>IF($U1762="","",INDEX(상세표[06~07시],$U1762))</f>
        <v/>
      </c>
      <c r="Q1762">
        <f>IF($U1762="","",INDEX(상세표[07~18시],$U1762))</f>
        <v/>
      </c>
      <c r="R1762">
        <f>IF($U1762="","",INDEX(상세표[18~22시],$U1762))</f>
        <v/>
      </c>
      <c r="S1762">
        <f>IF($U1762="","",INDEX(상세표[22~06시],$U1762))</f>
        <v/>
      </c>
      <c r="T1762">
        <f>IF($U1762="","",INDEX(상세표[기록 시간외],$U1762))</f>
        <v/>
      </c>
      <c r="U1762" s="4">
        <f>IFERROR(MATCH(1757,상세표[발송순번],0),"")</f>
        <v/>
      </c>
    </row>
    <row r="1763">
      <c r="J1763">
        <f>IF($U1763="","",INDEX(상세표[사번],$U1763)&amp;"")</f>
        <v/>
      </c>
      <c r="K1763">
        <f>IF($U1763="","",INDEX(상세표[성명],$U1763)&amp;"")</f>
        <v/>
      </c>
      <c r="L1763">
        <f>IF($U1763="","",INDEX(상세표[직위],$U1763)&amp;"")</f>
        <v/>
      </c>
      <c r="M1763">
        <f>IF($U1763="","",IF(ISNUMBER(INDEX(상세표[근무일자],$U1763)),TEXT(INDEX(상세표[근무일자],$U1763),"yyyy-mm-dd"),INDEX(상세표[근무일자],$U1763)&amp;""))</f>
        <v/>
      </c>
      <c r="N1763">
        <f>IF($U1763="","",IF(ISNUMBER(INDEX(상세표[시작],$U1763)),TEXT(INDEX(상세표[시작],$U1763),"yyyy-mm-dd hh:mm"),INDEX(상세표[시작],$U1763)&amp;""))</f>
        <v/>
      </c>
      <c r="O1763">
        <f>IF($U1763="","",IF(ISNUMBER(INDEX(상세표[종료],$U1763)),TEXT(INDEX(상세표[종료],$U1763),"yyyy-mm-dd hh:mm"),INDEX(상세표[종료],$U1763)&amp;""))</f>
        <v/>
      </c>
      <c r="P1763">
        <f>IF($U1763="","",INDEX(상세표[06~07시],$U1763))</f>
        <v/>
      </c>
      <c r="Q1763">
        <f>IF($U1763="","",INDEX(상세표[07~18시],$U1763))</f>
        <v/>
      </c>
      <c r="R1763">
        <f>IF($U1763="","",INDEX(상세표[18~22시],$U1763))</f>
        <v/>
      </c>
      <c r="S1763">
        <f>IF($U1763="","",INDEX(상세표[22~06시],$U1763))</f>
        <v/>
      </c>
      <c r="T1763">
        <f>IF($U1763="","",INDEX(상세표[기록 시간외],$U1763))</f>
        <v/>
      </c>
      <c r="U1763" s="4">
        <f>IFERROR(MATCH(1758,상세표[발송순번],0),"")</f>
        <v/>
      </c>
    </row>
    <row r="1764">
      <c r="J1764">
        <f>IF($U1764="","",INDEX(상세표[사번],$U1764)&amp;"")</f>
        <v/>
      </c>
      <c r="K1764">
        <f>IF($U1764="","",INDEX(상세표[성명],$U1764)&amp;"")</f>
        <v/>
      </c>
      <c r="L1764">
        <f>IF($U1764="","",INDEX(상세표[직위],$U1764)&amp;"")</f>
        <v/>
      </c>
      <c r="M1764">
        <f>IF($U1764="","",IF(ISNUMBER(INDEX(상세표[근무일자],$U1764)),TEXT(INDEX(상세표[근무일자],$U1764),"yyyy-mm-dd"),INDEX(상세표[근무일자],$U1764)&amp;""))</f>
        <v/>
      </c>
      <c r="N1764">
        <f>IF($U1764="","",IF(ISNUMBER(INDEX(상세표[시작],$U1764)),TEXT(INDEX(상세표[시작],$U1764),"yyyy-mm-dd hh:mm"),INDEX(상세표[시작],$U1764)&amp;""))</f>
        <v/>
      </c>
      <c r="O1764">
        <f>IF($U1764="","",IF(ISNUMBER(INDEX(상세표[종료],$U1764)),TEXT(INDEX(상세표[종료],$U1764),"yyyy-mm-dd hh:mm"),INDEX(상세표[종료],$U1764)&amp;""))</f>
        <v/>
      </c>
      <c r="P1764">
        <f>IF($U1764="","",INDEX(상세표[06~07시],$U1764))</f>
        <v/>
      </c>
      <c r="Q1764">
        <f>IF($U1764="","",INDEX(상세표[07~18시],$U1764))</f>
        <v/>
      </c>
      <c r="R1764">
        <f>IF($U1764="","",INDEX(상세표[18~22시],$U1764))</f>
        <v/>
      </c>
      <c r="S1764">
        <f>IF($U1764="","",INDEX(상세표[22~06시],$U1764))</f>
        <v/>
      </c>
      <c r="T1764">
        <f>IF($U1764="","",INDEX(상세표[기록 시간외],$U1764))</f>
        <v/>
      </c>
      <c r="U1764" s="4">
        <f>IFERROR(MATCH(1759,상세표[발송순번],0),"")</f>
        <v/>
      </c>
    </row>
    <row r="1765">
      <c r="J1765">
        <f>IF($U1765="","",INDEX(상세표[사번],$U1765)&amp;"")</f>
        <v/>
      </c>
      <c r="K1765">
        <f>IF($U1765="","",INDEX(상세표[성명],$U1765)&amp;"")</f>
        <v/>
      </c>
      <c r="L1765">
        <f>IF($U1765="","",INDEX(상세표[직위],$U1765)&amp;"")</f>
        <v/>
      </c>
      <c r="M1765">
        <f>IF($U1765="","",IF(ISNUMBER(INDEX(상세표[근무일자],$U1765)),TEXT(INDEX(상세표[근무일자],$U1765),"yyyy-mm-dd"),INDEX(상세표[근무일자],$U1765)&amp;""))</f>
        <v/>
      </c>
      <c r="N1765">
        <f>IF($U1765="","",IF(ISNUMBER(INDEX(상세표[시작],$U1765)),TEXT(INDEX(상세표[시작],$U1765),"yyyy-mm-dd hh:mm"),INDEX(상세표[시작],$U1765)&amp;""))</f>
        <v/>
      </c>
      <c r="O1765">
        <f>IF($U1765="","",IF(ISNUMBER(INDEX(상세표[종료],$U1765)),TEXT(INDEX(상세표[종료],$U1765),"yyyy-mm-dd hh:mm"),INDEX(상세표[종료],$U1765)&amp;""))</f>
        <v/>
      </c>
      <c r="P1765">
        <f>IF($U1765="","",INDEX(상세표[06~07시],$U1765))</f>
        <v/>
      </c>
      <c r="Q1765">
        <f>IF($U1765="","",INDEX(상세표[07~18시],$U1765))</f>
        <v/>
      </c>
      <c r="R1765">
        <f>IF($U1765="","",INDEX(상세표[18~22시],$U1765))</f>
        <v/>
      </c>
      <c r="S1765">
        <f>IF($U1765="","",INDEX(상세표[22~06시],$U1765))</f>
        <v/>
      </c>
      <c r="T1765">
        <f>IF($U1765="","",INDEX(상세표[기록 시간외],$U1765))</f>
        <v/>
      </c>
      <c r="U1765" s="4">
        <f>IFERROR(MATCH(1760,상세표[발송순번],0),"")</f>
        <v/>
      </c>
    </row>
    <row r="1766">
      <c r="J1766">
        <f>IF($U1766="","",INDEX(상세표[사번],$U1766)&amp;"")</f>
        <v/>
      </c>
      <c r="K1766">
        <f>IF($U1766="","",INDEX(상세표[성명],$U1766)&amp;"")</f>
        <v/>
      </c>
      <c r="L1766">
        <f>IF($U1766="","",INDEX(상세표[직위],$U1766)&amp;"")</f>
        <v/>
      </c>
      <c r="M1766">
        <f>IF($U1766="","",IF(ISNUMBER(INDEX(상세표[근무일자],$U1766)),TEXT(INDEX(상세표[근무일자],$U1766),"yyyy-mm-dd"),INDEX(상세표[근무일자],$U1766)&amp;""))</f>
        <v/>
      </c>
      <c r="N1766">
        <f>IF($U1766="","",IF(ISNUMBER(INDEX(상세표[시작],$U1766)),TEXT(INDEX(상세표[시작],$U1766),"yyyy-mm-dd hh:mm"),INDEX(상세표[시작],$U1766)&amp;""))</f>
        <v/>
      </c>
      <c r="O1766">
        <f>IF($U1766="","",IF(ISNUMBER(INDEX(상세표[종료],$U1766)),TEXT(INDEX(상세표[종료],$U1766),"yyyy-mm-dd hh:mm"),INDEX(상세표[종료],$U1766)&amp;""))</f>
        <v/>
      </c>
      <c r="P1766">
        <f>IF($U1766="","",INDEX(상세표[06~07시],$U1766))</f>
        <v/>
      </c>
      <c r="Q1766">
        <f>IF($U1766="","",INDEX(상세표[07~18시],$U1766))</f>
        <v/>
      </c>
      <c r="R1766">
        <f>IF($U1766="","",INDEX(상세표[18~22시],$U1766))</f>
        <v/>
      </c>
      <c r="S1766">
        <f>IF($U1766="","",INDEX(상세표[22~06시],$U1766))</f>
        <v/>
      </c>
      <c r="T1766">
        <f>IF($U1766="","",INDEX(상세표[기록 시간외],$U1766))</f>
        <v/>
      </c>
      <c r="U1766" s="4">
        <f>IFERROR(MATCH(1761,상세표[발송순번],0),"")</f>
        <v/>
      </c>
    </row>
    <row r="1767">
      <c r="J1767">
        <f>IF($U1767="","",INDEX(상세표[사번],$U1767)&amp;"")</f>
        <v/>
      </c>
      <c r="K1767">
        <f>IF($U1767="","",INDEX(상세표[성명],$U1767)&amp;"")</f>
        <v/>
      </c>
      <c r="L1767">
        <f>IF($U1767="","",INDEX(상세표[직위],$U1767)&amp;"")</f>
        <v/>
      </c>
      <c r="M1767">
        <f>IF($U1767="","",IF(ISNUMBER(INDEX(상세표[근무일자],$U1767)),TEXT(INDEX(상세표[근무일자],$U1767),"yyyy-mm-dd"),INDEX(상세표[근무일자],$U1767)&amp;""))</f>
        <v/>
      </c>
      <c r="N1767">
        <f>IF($U1767="","",IF(ISNUMBER(INDEX(상세표[시작],$U1767)),TEXT(INDEX(상세표[시작],$U1767),"yyyy-mm-dd hh:mm"),INDEX(상세표[시작],$U1767)&amp;""))</f>
        <v/>
      </c>
      <c r="O1767">
        <f>IF($U1767="","",IF(ISNUMBER(INDEX(상세표[종료],$U1767)),TEXT(INDEX(상세표[종료],$U1767),"yyyy-mm-dd hh:mm"),INDEX(상세표[종료],$U1767)&amp;""))</f>
        <v/>
      </c>
      <c r="P1767">
        <f>IF($U1767="","",INDEX(상세표[06~07시],$U1767))</f>
        <v/>
      </c>
      <c r="Q1767">
        <f>IF($U1767="","",INDEX(상세표[07~18시],$U1767))</f>
        <v/>
      </c>
      <c r="R1767">
        <f>IF($U1767="","",INDEX(상세표[18~22시],$U1767))</f>
        <v/>
      </c>
      <c r="S1767">
        <f>IF($U1767="","",INDEX(상세표[22~06시],$U1767))</f>
        <v/>
      </c>
      <c r="T1767">
        <f>IF($U1767="","",INDEX(상세표[기록 시간외],$U1767))</f>
        <v/>
      </c>
      <c r="U1767" s="4">
        <f>IFERROR(MATCH(1762,상세표[발송순번],0),"")</f>
        <v/>
      </c>
    </row>
    <row r="1768">
      <c r="J1768">
        <f>IF($U1768="","",INDEX(상세표[사번],$U1768)&amp;"")</f>
        <v/>
      </c>
      <c r="K1768">
        <f>IF($U1768="","",INDEX(상세표[성명],$U1768)&amp;"")</f>
        <v/>
      </c>
      <c r="L1768">
        <f>IF($U1768="","",INDEX(상세표[직위],$U1768)&amp;"")</f>
        <v/>
      </c>
      <c r="M1768">
        <f>IF($U1768="","",IF(ISNUMBER(INDEX(상세표[근무일자],$U1768)),TEXT(INDEX(상세표[근무일자],$U1768),"yyyy-mm-dd"),INDEX(상세표[근무일자],$U1768)&amp;""))</f>
        <v/>
      </c>
      <c r="N1768">
        <f>IF($U1768="","",IF(ISNUMBER(INDEX(상세표[시작],$U1768)),TEXT(INDEX(상세표[시작],$U1768),"yyyy-mm-dd hh:mm"),INDEX(상세표[시작],$U1768)&amp;""))</f>
        <v/>
      </c>
      <c r="O1768">
        <f>IF($U1768="","",IF(ISNUMBER(INDEX(상세표[종료],$U1768)),TEXT(INDEX(상세표[종료],$U1768),"yyyy-mm-dd hh:mm"),INDEX(상세표[종료],$U1768)&amp;""))</f>
        <v/>
      </c>
      <c r="P1768">
        <f>IF($U1768="","",INDEX(상세표[06~07시],$U1768))</f>
        <v/>
      </c>
      <c r="Q1768">
        <f>IF($U1768="","",INDEX(상세표[07~18시],$U1768))</f>
        <v/>
      </c>
      <c r="R1768">
        <f>IF($U1768="","",INDEX(상세표[18~22시],$U1768))</f>
        <v/>
      </c>
      <c r="S1768">
        <f>IF($U1768="","",INDEX(상세표[22~06시],$U1768))</f>
        <v/>
      </c>
      <c r="T1768">
        <f>IF($U1768="","",INDEX(상세표[기록 시간외],$U1768))</f>
        <v/>
      </c>
      <c r="U1768" s="4">
        <f>IFERROR(MATCH(1763,상세표[발송순번],0),"")</f>
        <v/>
      </c>
    </row>
    <row r="1769">
      <c r="J1769">
        <f>IF($U1769="","",INDEX(상세표[사번],$U1769)&amp;"")</f>
        <v/>
      </c>
      <c r="K1769">
        <f>IF($U1769="","",INDEX(상세표[성명],$U1769)&amp;"")</f>
        <v/>
      </c>
      <c r="L1769">
        <f>IF($U1769="","",INDEX(상세표[직위],$U1769)&amp;"")</f>
        <v/>
      </c>
      <c r="M1769">
        <f>IF($U1769="","",IF(ISNUMBER(INDEX(상세표[근무일자],$U1769)),TEXT(INDEX(상세표[근무일자],$U1769),"yyyy-mm-dd"),INDEX(상세표[근무일자],$U1769)&amp;""))</f>
        <v/>
      </c>
      <c r="N1769">
        <f>IF($U1769="","",IF(ISNUMBER(INDEX(상세표[시작],$U1769)),TEXT(INDEX(상세표[시작],$U1769),"yyyy-mm-dd hh:mm"),INDEX(상세표[시작],$U1769)&amp;""))</f>
        <v/>
      </c>
      <c r="O1769">
        <f>IF($U1769="","",IF(ISNUMBER(INDEX(상세표[종료],$U1769)),TEXT(INDEX(상세표[종료],$U1769),"yyyy-mm-dd hh:mm"),INDEX(상세표[종료],$U1769)&amp;""))</f>
        <v/>
      </c>
      <c r="P1769">
        <f>IF($U1769="","",INDEX(상세표[06~07시],$U1769))</f>
        <v/>
      </c>
      <c r="Q1769">
        <f>IF($U1769="","",INDEX(상세표[07~18시],$U1769))</f>
        <v/>
      </c>
      <c r="R1769">
        <f>IF($U1769="","",INDEX(상세표[18~22시],$U1769))</f>
        <v/>
      </c>
      <c r="S1769">
        <f>IF($U1769="","",INDEX(상세표[22~06시],$U1769))</f>
        <v/>
      </c>
      <c r="T1769">
        <f>IF($U1769="","",INDEX(상세표[기록 시간외],$U1769))</f>
        <v/>
      </c>
      <c r="U1769" s="4">
        <f>IFERROR(MATCH(1764,상세표[발송순번],0),"")</f>
        <v/>
      </c>
    </row>
    <row r="1770">
      <c r="J1770">
        <f>IF($U1770="","",INDEX(상세표[사번],$U1770)&amp;"")</f>
        <v/>
      </c>
      <c r="K1770">
        <f>IF($U1770="","",INDEX(상세표[성명],$U1770)&amp;"")</f>
        <v/>
      </c>
      <c r="L1770">
        <f>IF($U1770="","",INDEX(상세표[직위],$U1770)&amp;"")</f>
        <v/>
      </c>
      <c r="M1770">
        <f>IF($U1770="","",IF(ISNUMBER(INDEX(상세표[근무일자],$U1770)),TEXT(INDEX(상세표[근무일자],$U1770),"yyyy-mm-dd"),INDEX(상세표[근무일자],$U1770)&amp;""))</f>
        <v/>
      </c>
      <c r="N1770">
        <f>IF($U1770="","",IF(ISNUMBER(INDEX(상세표[시작],$U1770)),TEXT(INDEX(상세표[시작],$U1770),"yyyy-mm-dd hh:mm"),INDEX(상세표[시작],$U1770)&amp;""))</f>
        <v/>
      </c>
      <c r="O1770">
        <f>IF($U1770="","",IF(ISNUMBER(INDEX(상세표[종료],$U1770)),TEXT(INDEX(상세표[종료],$U1770),"yyyy-mm-dd hh:mm"),INDEX(상세표[종료],$U1770)&amp;""))</f>
        <v/>
      </c>
      <c r="P1770">
        <f>IF($U1770="","",INDEX(상세표[06~07시],$U1770))</f>
        <v/>
      </c>
      <c r="Q1770">
        <f>IF($U1770="","",INDEX(상세표[07~18시],$U1770))</f>
        <v/>
      </c>
      <c r="R1770">
        <f>IF($U1770="","",INDEX(상세표[18~22시],$U1770))</f>
        <v/>
      </c>
      <c r="S1770">
        <f>IF($U1770="","",INDEX(상세표[22~06시],$U1770))</f>
        <v/>
      </c>
      <c r="T1770">
        <f>IF($U1770="","",INDEX(상세표[기록 시간외],$U1770))</f>
        <v/>
      </c>
      <c r="U1770" s="4">
        <f>IFERROR(MATCH(1765,상세표[발송순번],0),"")</f>
        <v/>
      </c>
    </row>
    <row r="1771">
      <c r="J1771">
        <f>IF($U1771="","",INDEX(상세표[사번],$U1771)&amp;"")</f>
        <v/>
      </c>
      <c r="K1771">
        <f>IF($U1771="","",INDEX(상세표[성명],$U1771)&amp;"")</f>
        <v/>
      </c>
      <c r="L1771">
        <f>IF($U1771="","",INDEX(상세표[직위],$U1771)&amp;"")</f>
        <v/>
      </c>
      <c r="M1771">
        <f>IF($U1771="","",IF(ISNUMBER(INDEX(상세표[근무일자],$U1771)),TEXT(INDEX(상세표[근무일자],$U1771),"yyyy-mm-dd"),INDEX(상세표[근무일자],$U1771)&amp;""))</f>
        <v/>
      </c>
      <c r="N1771">
        <f>IF($U1771="","",IF(ISNUMBER(INDEX(상세표[시작],$U1771)),TEXT(INDEX(상세표[시작],$U1771),"yyyy-mm-dd hh:mm"),INDEX(상세표[시작],$U1771)&amp;""))</f>
        <v/>
      </c>
      <c r="O1771">
        <f>IF($U1771="","",IF(ISNUMBER(INDEX(상세표[종료],$U1771)),TEXT(INDEX(상세표[종료],$U1771),"yyyy-mm-dd hh:mm"),INDEX(상세표[종료],$U1771)&amp;""))</f>
        <v/>
      </c>
      <c r="P1771">
        <f>IF($U1771="","",INDEX(상세표[06~07시],$U1771))</f>
        <v/>
      </c>
      <c r="Q1771">
        <f>IF($U1771="","",INDEX(상세표[07~18시],$U1771))</f>
        <v/>
      </c>
      <c r="R1771">
        <f>IF($U1771="","",INDEX(상세표[18~22시],$U1771))</f>
        <v/>
      </c>
      <c r="S1771">
        <f>IF($U1771="","",INDEX(상세표[22~06시],$U1771))</f>
        <v/>
      </c>
      <c r="T1771">
        <f>IF($U1771="","",INDEX(상세표[기록 시간외],$U1771))</f>
        <v/>
      </c>
      <c r="U1771" s="4">
        <f>IFERROR(MATCH(1766,상세표[발송순번],0),"")</f>
        <v/>
      </c>
    </row>
    <row r="1772">
      <c r="J1772">
        <f>IF($U1772="","",INDEX(상세표[사번],$U1772)&amp;"")</f>
        <v/>
      </c>
      <c r="K1772">
        <f>IF($U1772="","",INDEX(상세표[성명],$U1772)&amp;"")</f>
        <v/>
      </c>
      <c r="L1772">
        <f>IF($U1772="","",INDEX(상세표[직위],$U1772)&amp;"")</f>
        <v/>
      </c>
      <c r="M1772">
        <f>IF($U1772="","",IF(ISNUMBER(INDEX(상세표[근무일자],$U1772)),TEXT(INDEX(상세표[근무일자],$U1772),"yyyy-mm-dd"),INDEX(상세표[근무일자],$U1772)&amp;""))</f>
        <v/>
      </c>
      <c r="N1772">
        <f>IF($U1772="","",IF(ISNUMBER(INDEX(상세표[시작],$U1772)),TEXT(INDEX(상세표[시작],$U1772),"yyyy-mm-dd hh:mm"),INDEX(상세표[시작],$U1772)&amp;""))</f>
        <v/>
      </c>
      <c r="O1772">
        <f>IF($U1772="","",IF(ISNUMBER(INDEX(상세표[종료],$U1772)),TEXT(INDEX(상세표[종료],$U1772),"yyyy-mm-dd hh:mm"),INDEX(상세표[종료],$U1772)&amp;""))</f>
        <v/>
      </c>
      <c r="P1772">
        <f>IF($U1772="","",INDEX(상세표[06~07시],$U1772))</f>
        <v/>
      </c>
      <c r="Q1772">
        <f>IF($U1772="","",INDEX(상세표[07~18시],$U1772))</f>
        <v/>
      </c>
      <c r="R1772">
        <f>IF($U1772="","",INDEX(상세표[18~22시],$U1772))</f>
        <v/>
      </c>
      <c r="S1772">
        <f>IF($U1772="","",INDEX(상세표[22~06시],$U1772))</f>
        <v/>
      </c>
      <c r="T1772">
        <f>IF($U1772="","",INDEX(상세표[기록 시간외],$U1772))</f>
        <v/>
      </c>
      <c r="U1772" s="4">
        <f>IFERROR(MATCH(1767,상세표[발송순번],0),"")</f>
        <v/>
      </c>
    </row>
    <row r="1773">
      <c r="J1773">
        <f>IF($U1773="","",INDEX(상세표[사번],$U1773)&amp;"")</f>
        <v/>
      </c>
      <c r="K1773">
        <f>IF($U1773="","",INDEX(상세표[성명],$U1773)&amp;"")</f>
        <v/>
      </c>
      <c r="L1773">
        <f>IF($U1773="","",INDEX(상세표[직위],$U1773)&amp;"")</f>
        <v/>
      </c>
      <c r="M1773">
        <f>IF($U1773="","",IF(ISNUMBER(INDEX(상세표[근무일자],$U1773)),TEXT(INDEX(상세표[근무일자],$U1773),"yyyy-mm-dd"),INDEX(상세표[근무일자],$U1773)&amp;""))</f>
        <v/>
      </c>
      <c r="N1773">
        <f>IF($U1773="","",IF(ISNUMBER(INDEX(상세표[시작],$U1773)),TEXT(INDEX(상세표[시작],$U1773),"yyyy-mm-dd hh:mm"),INDEX(상세표[시작],$U1773)&amp;""))</f>
        <v/>
      </c>
      <c r="O1773">
        <f>IF($U1773="","",IF(ISNUMBER(INDEX(상세표[종료],$U1773)),TEXT(INDEX(상세표[종료],$U1773),"yyyy-mm-dd hh:mm"),INDEX(상세표[종료],$U1773)&amp;""))</f>
        <v/>
      </c>
      <c r="P1773">
        <f>IF($U1773="","",INDEX(상세표[06~07시],$U1773))</f>
        <v/>
      </c>
      <c r="Q1773">
        <f>IF($U1773="","",INDEX(상세표[07~18시],$U1773))</f>
        <v/>
      </c>
      <c r="R1773">
        <f>IF($U1773="","",INDEX(상세표[18~22시],$U1773))</f>
        <v/>
      </c>
      <c r="S1773">
        <f>IF($U1773="","",INDEX(상세표[22~06시],$U1773))</f>
        <v/>
      </c>
      <c r="T1773">
        <f>IF($U1773="","",INDEX(상세표[기록 시간외],$U1773))</f>
        <v/>
      </c>
      <c r="U1773" s="4">
        <f>IFERROR(MATCH(1768,상세표[발송순번],0),"")</f>
        <v/>
      </c>
    </row>
    <row r="1774">
      <c r="J1774">
        <f>IF($U1774="","",INDEX(상세표[사번],$U1774)&amp;"")</f>
        <v/>
      </c>
      <c r="K1774">
        <f>IF($U1774="","",INDEX(상세표[성명],$U1774)&amp;"")</f>
        <v/>
      </c>
      <c r="L1774">
        <f>IF($U1774="","",INDEX(상세표[직위],$U1774)&amp;"")</f>
        <v/>
      </c>
      <c r="M1774">
        <f>IF($U1774="","",IF(ISNUMBER(INDEX(상세표[근무일자],$U1774)),TEXT(INDEX(상세표[근무일자],$U1774),"yyyy-mm-dd"),INDEX(상세표[근무일자],$U1774)&amp;""))</f>
        <v/>
      </c>
      <c r="N1774">
        <f>IF($U1774="","",IF(ISNUMBER(INDEX(상세표[시작],$U1774)),TEXT(INDEX(상세표[시작],$U1774),"yyyy-mm-dd hh:mm"),INDEX(상세표[시작],$U1774)&amp;""))</f>
        <v/>
      </c>
      <c r="O1774">
        <f>IF($U1774="","",IF(ISNUMBER(INDEX(상세표[종료],$U1774)),TEXT(INDEX(상세표[종료],$U1774),"yyyy-mm-dd hh:mm"),INDEX(상세표[종료],$U1774)&amp;""))</f>
        <v/>
      </c>
      <c r="P1774">
        <f>IF($U1774="","",INDEX(상세표[06~07시],$U1774))</f>
        <v/>
      </c>
      <c r="Q1774">
        <f>IF($U1774="","",INDEX(상세표[07~18시],$U1774))</f>
        <v/>
      </c>
      <c r="R1774">
        <f>IF($U1774="","",INDEX(상세표[18~22시],$U1774))</f>
        <v/>
      </c>
      <c r="S1774">
        <f>IF($U1774="","",INDEX(상세표[22~06시],$U1774))</f>
        <v/>
      </c>
      <c r="T1774">
        <f>IF($U1774="","",INDEX(상세표[기록 시간외],$U1774))</f>
        <v/>
      </c>
      <c r="U1774" s="4">
        <f>IFERROR(MATCH(1769,상세표[발송순번],0),"")</f>
        <v/>
      </c>
    </row>
    <row r="1775">
      <c r="J1775">
        <f>IF($U1775="","",INDEX(상세표[사번],$U1775)&amp;"")</f>
        <v/>
      </c>
      <c r="K1775">
        <f>IF($U1775="","",INDEX(상세표[성명],$U1775)&amp;"")</f>
        <v/>
      </c>
      <c r="L1775">
        <f>IF($U1775="","",INDEX(상세표[직위],$U1775)&amp;"")</f>
        <v/>
      </c>
      <c r="M1775">
        <f>IF($U1775="","",IF(ISNUMBER(INDEX(상세표[근무일자],$U1775)),TEXT(INDEX(상세표[근무일자],$U1775),"yyyy-mm-dd"),INDEX(상세표[근무일자],$U1775)&amp;""))</f>
        <v/>
      </c>
      <c r="N1775">
        <f>IF($U1775="","",IF(ISNUMBER(INDEX(상세표[시작],$U1775)),TEXT(INDEX(상세표[시작],$U1775),"yyyy-mm-dd hh:mm"),INDEX(상세표[시작],$U1775)&amp;""))</f>
        <v/>
      </c>
      <c r="O1775">
        <f>IF($U1775="","",IF(ISNUMBER(INDEX(상세표[종료],$U1775)),TEXT(INDEX(상세표[종료],$U1775),"yyyy-mm-dd hh:mm"),INDEX(상세표[종료],$U1775)&amp;""))</f>
        <v/>
      </c>
      <c r="P1775">
        <f>IF($U1775="","",INDEX(상세표[06~07시],$U1775))</f>
        <v/>
      </c>
      <c r="Q1775">
        <f>IF($U1775="","",INDEX(상세표[07~18시],$U1775))</f>
        <v/>
      </c>
      <c r="R1775">
        <f>IF($U1775="","",INDEX(상세표[18~22시],$U1775))</f>
        <v/>
      </c>
      <c r="S1775">
        <f>IF($U1775="","",INDEX(상세표[22~06시],$U1775))</f>
        <v/>
      </c>
      <c r="T1775">
        <f>IF($U1775="","",INDEX(상세표[기록 시간외],$U1775))</f>
        <v/>
      </c>
      <c r="U1775" s="4">
        <f>IFERROR(MATCH(1770,상세표[발송순번],0),"")</f>
        <v/>
      </c>
    </row>
    <row r="1776">
      <c r="J1776">
        <f>IF($U1776="","",INDEX(상세표[사번],$U1776)&amp;"")</f>
        <v/>
      </c>
      <c r="K1776">
        <f>IF($U1776="","",INDEX(상세표[성명],$U1776)&amp;"")</f>
        <v/>
      </c>
      <c r="L1776">
        <f>IF($U1776="","",INDEX(상세표[직위],$U1776)&amp;"")</f>
        <v/>
      </c>
      <c r="M1776">
        <f>IF($U1776="","",IF(ISNUMBER(INDEX(상세표[근무일자],$U1776)),TEXT(INDEX(상세표[근무일자],$U1776),"yyyy-mm-dd"),INDEX(상세표[근무일자],$U1776)&amp;""))</f>
        <v/>
      </c>
      <c r="N1776">
        <f>IF($U1776="","",IF(ISNUMBER(INDEX(상세표[시작],$U1776)),TEXT(INDEX(상세표[시작],$U1776),"yyyy-mm-dd hh:mm"),INDEX(상세표[시작],$U1776)&amp;""))</f>
        <v/>
      </c>
      <c r="O1776">
        <f>IF($U1776="","",IF(ISNUMBER(INDEX(상세표[종료],$U1776)),TEXT(INDEX(상세표[종료],$U1776),"yyyy-mm-dd hh:mm"),INDEX(상세표[종료],$U1776)&amp;""))</f>
        <v/>
      </c>
      <c r="P1776">
        <f>IF($U1776="","",INDEX(상세표[06~07시],$U1776))</f>
        <v/>
      </c>
      <c r="Q1776">
        <f>IF($U1776="","",INDEX(상세표[07~18시],$U1776))</f>
        <v/>
      </c>
      <c r="R1776">
        <f>IF($U1776="","",INDEX(상세표[18~22시],$U1776))</f>
        <v/>
      </c>
      <c r="S1776">
        <f>IF($U1776="","",INDEX(상세표[22~06시],$U1776))</f>
        <v/>
      </c>
      <c r="T1776">
        <f>IF($U1776="","",INDEX(상세표[기록 시간외],$U1776))</f>
        <v/>
      </c>
      <c r="U1776" s="4">
        <f>IFERROR(MATCH(1771,상세표[발송순번],0),"")</f>
        <v/>
      </c>
    </row>
    <row r="1777">
      <c r="J1777">
        <f>IF($U1777="","",INDEX(상세표[사번],$U1777)&amp;"")</f>
        <v/>
      </c>
      <c r="K1777">
        <f>IF($U1777="","",INDEX(상세표[성명],$U1777)&amp;"")</f>
        <v/>
      </c>
      <c r="L1777">
        <f>IF($U1777="","",INDEX(상세표[직위],$U1777)&amp;"")</f>
        <v/>
      </c>
      <c r="M1777">
        <f>IF($U1777="","",IF(ISNUMBER(INDEX(상세표[근무일자],$U1777)),TEXT(INDEX(상세표[근무일자],$U1777),"yyyy-mm-dd"),INDEX(상세표[근무일자],$U1777)&amp;""))</f>
        <v/>
      </c>
      <c r="N1777">
        <f>IF($U1777="","",IF(ISNUMBER(INDEX(상세표[시작],$U1777)),TEXT(INDEX(상세표[시작],$U1777),"yyyy-mm-dd hh:mm"),INDEX(상세표[시작],$U1777)&amp;""))</f>
        <v/>
      </c>
      <c r="O1777">
        <f>IF($U1777="","",IF(ISNUMBER(INDEX(상세표[종료],$U1777)),TEXT(INDEX(상세표[종료],$U1777),"yyyy-mm-dd hh:mm"),INDEX(상세표[종료],$U1777)&amp;""))</f>
        <v/>
      </c>
      <c r="P1777">
        <f>IF($U1777="","",INDEX(상세표[06~07시],$U1777))</f>
        <v/>
      </c>
      <c r="Q1777">
        <f>IF($U1777="","",INDEX(상세표[07~18시],$U1777))</f>
        <v/>
      </c>
      <c r="R1777">
        <f>IF($U1777="","",INDEX(상세표[18~22시],$U1777))</f>
        <v/>
      </c>
      <c r="S1777">
        <f>IF($U1777="","",INDEX(상세표[22~06시],$U1777))</f>
        <v/>
      </c>
      <c r="T1777">
        <f>IF($U1777="","",INDEX(상세표[기록 시간외],$U1777))</f>
        <v/>
      </c>
      <c r="U1777" s="4">
        <f>IFERROR(MATCH(1772,상세표[발송순번],0),"")</f>
        <v/>
      </c>
    </row>
    <row r="1778">
      <c r="J1778">
        <f>IF($U1778="","",INDEX(상세표[사번],$U1778)&amp;"")</f>
        <v/>
      </c>
      <c r="K1778">
        <f>IF($U1778="","",INDEX(상세표[성명],$U1778)&amp;"")</f>
        <v/>
      </c>
      <c r="L1778">
        <f>IF($U1778="","",INDEX(상세표[직위],$U1778)&amp;"")</f>
        <v/>
      </c>
      <c r="M1778">
        <f>IF($U1778="","",IF(ISNUMBER(INDEX(상세표[근무일자],$U1778)),TEXT(INDEX(상세표[근무일자],$U1778),"yyyy-mm-dd"),INDEX(상세표[근무일자],$U1778)&amp;""))</f>
        <v/>
      </c>
      <c r="N1778">
        <f>IF($U1778="","",IF(ISNUMBER(INDEX(상세표[시작],$U1778)),TEXT(INDEX(상세표[시작],$U1778),"yyyy-mm-dd hh:mm"),INDEX(상세표[시작],$U1778)&amp;""))</f>
        <v/>
      </c>
      <c r="O1778">
        <f>IF($U1778="","",IF(ISNUMBER(INDEX(상세표[종료],$U1778)),TEXT(INDEX(상세표[종료],$U1778),"yyyy-mm-dd hh:mm"),INDEX(상세표[종료],$U1778)&amp;""))</f>
        <v/>
      </c>
      <c r="P1778">
        <f>IF($U1778="","",INDEX(상세표[06~07시],$U1778))</f>
        <v/>
      </c>
      <c r="Q1778">
        <f>IF($U1778="","",INDEX(상세표[07~18시],$U1778))</f>
        <v/>
      </c>
      <c r="R1778">
        <f>IF($U1778="","",INDEX(상세표[18~22시],$U1778))</f>
        <v/>
      </c>
      <c r="S1778">
        <f>IF($U1778="","",INDEX(상세표[22~06시],$U1778))</f>
        <v/>
      </c>
      <c r="T1778">
        <f>IF($U1778="","",INDEX(상세표[기록 시간외],$U1778))</f>
        <v/>
      </c>
      <c r="U1778" s="4">
        <f>IFERROR(MATCH(1773,상세표[발송순번],0),"")</f>
        <v/>
      </c>
    </row>
    <row r="1779">
      <c r="J1779">
        <f>IF($U1779="","",INDEX(상세표[사번],$U1779)&amp;"")</f>
        <v/>
      </c>
      <c r="K1779">
        <f>IF($U1779="","",INDEX(상세표[성명],$U1779)&amp;"")</f>
        <v/>
      </c>
      <c r="L1779">
        <f>IF($U1779="","",INDEX(상세표[직위],$U1779)&amp;"")</f>
        <v/>
      </c>
      <c r="M1779">
        <f>IF($U1779="","",IF(ISNUMBER(INDEX(상세표[근무일자],$U1779)),TEXT(INDEX(상세표[근무일자],$U1779),"yyyy-mm-dd"),INDEX(상세표[근무일자],$U1779)&amp;""))</f>
        <v/>
      </c>
      <c r="N1779">
        <f>IF($U1779="","",IF(ISNUMBER(INDEX(상세표[시작],$U1779)),TEXT(INDEX(상세표[시작],$U1779),"yyyy-mm-dd hh:mm"),INDEX(상세표[시작],$U1779)&amp;""))</f>
        <v/>
      </c>
      <c r="O1779">
        <f>IF($U1779="","",IF(ISNUMBER(INDEX(상세표[종료],$U1779)),TEXT(INDEX(상세표[종료],$U1779),"yyyy-mm-dd hh:mm"),INDEX(상세표[종료],$U1779)&amp;""))</f>
        <v/>
      </c>
      <c r="P1779">
        <f>IF($U1779="","",INDEX(상세표[06~07시],$U1779))</f>
        <v/>
      </c>
      <c r="Q1779">
        <f>IF($U1779="","",INDEX(상세표[07~18시],$U1779))</f>
        <v/>
      </c>
      <c r="R1779">
        <f>IF($U1779="","",INDEX(상세표[18~22시],$U1779))</f>
        <v/>
      </c>
      <c r="S1779">
        <f>IF($U1779="","",INDEX(상세표[22~06시],$U1779))</f>
        <v/>
      </c>
      <c r="T1779">
        <f>IF($U1779="","",INDEX(상세표[기록 시간외],$U1779))</f>
        <v/>
      </c>
      <c r="U1779" s="4">
        <f>IFERROR(MATCH(1774,상세표[발송순번],0),"")</f>
        <v/>
      </c>
    </row>
    <row r="1780">
      <c r="J1780">
        <f>IF($U1780="","",INDEX(상세표[사번],$U1780)&amp;"")</f>
        <v/>
      </c>
      <c r="K1780">
        <f>IF($U1780="","",INDEX(상세표[성명],$U1780)&amp;"")</f>
        <v/>
      </c>
      <c r="L1780">
        <f>IF($U1780="","",INDEX(상세표[직위],$U1780)&amp;"")</f>
        <v/>
      </c>
      <c r="M1780">
        <f>IF($U1780="","",IF(ISNUMBER(INDEX(상세표[근무일자],$U1780)),TEXT(INDEX(상세표[근무일자],$U1780),"yyyy-mm-dd"),INDEX(상세표[근무일자],$U1780)&amp;""))</f>
        <v/>
      </c>
      <c r="N1780">
        <f>IF($U1780="","",IF(ISNUMBER(INDEX(상세표[시작],$U1780)),TEXT(INDEX(상세표[시작],$U1780),"yyyy-mm-dd hh:mm"),INDEX(상세표[시작],$U1780)&amp;""))</f>
        <v/>
      </c>
      <c r="O1780">
        <f>IF($U1780="","",IF(ISNUMBER(INDEX(상세표[종료],$U1780)),TEXT(INDEX(상세표[종료],$U1780),"yyyy-mm-dd hh:mm"),INDEX(상세표[종료],$U1780)&amp;""))</f>
        <v/>
      </c>
      <c r="P1780">
        <f>IF($U1780="","",INDEX(상세표[06~07시],$U1780))</f>
        <v/>
      </c>
      <c r="Q1780">
        <f>IF($U1780="","",INDEX(상세표[07~18시],$U1780))</f>
        <v/>
      </c>
      <c r="R1780">
        <f>IF($U1780="","",INDEX(상세표[18~22시],$U1780))</f>
        <v/>
      </c>
      <c r="S1780">
        <f>IF($U1780="","",INDEX(상세표[22~06시],$U1780))</f>
        <v/>
      </c>
      <c r="T1780">
        <f>IF($U1780="","",INDEX(상세표[기록 시간외],$U1780))</f>
        <v/>
      </c>
      <c r="U1780" s="4">
        <f>IFERROR(MATCH(1775,상세표[발송순번],0),"")</f>
        <v/>
      </c>
    </row>
    <row r="1781">
      <c r="J1781">
        <f>IF($U1781="","",INDEX(상세표[사번],$U1781)&amp;"")</f>
        <v/>
      </c>
      <c r="K1781">
        <f>IF($U1781="","",INDEX(상세표[성명],$U1781)&amp;"")</f>
        <v/>
      </c>
      <c r="L1781">
        <f>IF($U1781="","",INDEX(상세표[직위],$U1781)&amp;"")</f>
        <v/>
      </c>
      <c r="M1781">
        <f>IF($U1781="","",IF(ISNUMBER(INDEX(상세표[근무일자],$U1781)),TEXT(INDEX(상세표[근무일자],$U1781),"yyyy-mm-dd"),INDEX(상세표[근무일자],$U1781)&amp;""))</f>
        <v/>
      </c>
      <c r="N1781">
        <f>IF($U1781="","",IF(ISNUMBER(INDEX(상세표[시작],$U1781)),TEXT(INDEX(상세표[시작],$U1781),"yyyy-mm-dd hh:mm"),INDEX(상세표[시작],$U1781)&amp;""))</f>
        <v/>
      </c>
      <c r="O1781">
        <f>IF($U1781="","",IF(ISNUMBER(INDEX(상세표[종료],$U1781)),TEXT(INDEX(상세표[종료],$U1781),"yyyy-mm-dd hh:mm"),INDEX(상세표[종료],$U1781)&amp;""))</f>
        <v/>
      </c>
      <c r="P1781">
        <f>IF($U1781="","",INDEX(상세표[06~07시],$U1781))</f>
        <v/>
      </c>
      <c r="Q1781">
        <f>IF($U1781="","",INDEX(상세표[07~18시],$U1781))</f>
        <v/>
      </c>
      <c r="R1781">
        <f>IF($U1781="","",INDEX(상세표[18~22시],$U1781))</f>
        <v/>
      </c>
      <c r="S1781">
        <f>IF($U1781="","",INDEX(상세표[22~06시],$U1781))</f>
        <v/>
      </c>
      <c r="T1781">
        <f>IF($U1781="","",INDEX(상세표[기록 시간외],$U1781))</f>
        <v/>
      </c>
      <c r="U1781" s="4">
        <f>IFERROR(MATCH(1776,상세표[발송순번],0),"")</f>
        <v/>
      </c>
    </row>
    <row r="1782">
      <c r="J1782">
        <f>IF($U1782="","",INDEX(상세표[사번],$U1782)&amp;"")</f>
        <v/>
      </c>
      <c r="K1782">
        <f>IF($U1782="","",INDEX(상세표[성명],$U1782)&amp;"")</f>
        <v/>
      </c>
      <c r="L1782">
        <f>IF($U1782="","",INDEX(상세표[직위],$U1782)&amp;"")</f>
        <v/>
      </c>
      <c r="M1782">
        <f>IF($U1782="","",IF(ISNUMBER(INDEX(상세표[근무일자],$U1782)),TEXT(INDEX(상세표[근무일자],$U1782),"yyyy-mm-dd"),INDEX(상세표[근무일자],$U1782)&amp;""))</f>
        <v/>
      </c>
      <c r="N1782">
        <f>IF($U1782="","",IF(ISNUMBER(INDEX(상세표[시작],$U1782)),TEXT(INDEX(상세표[시작],$U1782),"yyyy-mm-dd hh:mm"),INDEX(상세표[시작],$U1782)&amp;""))</f>
        <v/>
      </c>
      <c r="O1782">
        <f>IF($U1782="","",IF(ISNUMBER(INDEX(상세표[종료],$U1782)),TEXT(INDEX(상세표[종료],$U1782),"yyyy-mm-dd hh:mm"),INDEX(상세표[종료],$U1782)&amp;""))</f>
        <v/>
      </c>
      <c r="P1782">
        <f>IF($U1782="","",INDEX(상세표[06~07시],$U1782))</f>
        <v/>
      </c>
      <c r="Q1782">
        <f>IF($U1782="","",INDEX(상세표[07~18시],$U1782))</f>
        <v/>
      </c>
      <c r="R1782">
        <f>IF($U1782="","",INDEX(상세표[18~22시],$U1782))</f>
        <v/>
      </c>
      <c r="S1782">
        <f>IF($U1782="","",INDEX(상세표[22~06시],$U1782))</f>
        <v/>
      </c>
      <c r="T1782">
        <f>IF($U1782="","",INDEX(상세표[기록 시간외],$U1782))</f>
        <v/>
      </c>
      <c r="U1782" s="4">
        <f>IFERROR(MATCH(1777,상세표[발송순번],0),"")</f>
        <v/>
      </c>
    </row>
    <row r="1783">
      <c r="J1783">
        <f>IF($U1783="","",INDEX(상세표[사번],$U1783)&amp;"")</f>
        <v/>
      </c>
      <c r="K1783">
        <f>IF($U1783="","",INDEX(상세표[성명],$U1783)&amp;"")</f>
        <v/>
      </c>
      <c r="L1783">
        <f>IF($U1783="","",INDEX(상세표[직위],$U1783)&amp;"")</f>
        <v/>
      </c>
      <c r="M1783">
        <f>IF($U1783="","",IF(ISNUMBER(INDEX(상세표[근무일자],$U1783)),TEXT(INDEX(상세표[근무일자],$U1783),"yyyy-mm-dd"),INDEX(상세표[근무일자],$U1783)&amp;""))</f>
        <v/>
      </c>
      <c r="N1783">
        <f>IF($U1783="","",IF(ISNUMBER(INDEX(상세표[시작],$U1783)),TEXT(INDEX(상세표[시작],$U1783),"yyyy-mm-dd hh:mm"),INDEX(상세표[시작],$U1783)&amp;""))</f>
        <v/>
      </c>
      <c r="O1783">
        <f>IF($U1783="","",IF(ISNUMBER(INDEX(상세표[종료],$U1783)),TEXT(INDEX(상세표[종료],$U1783),"yyyy-mm-dd hh:mm"),INDEX(상세표[종료],$U1783)&amp;""))</f>
        <v/>
      </c>
      <c r="P1783">
        <f>IF($U1783="","",INDEX(상세표[06~07시],$U1783))</f>
        <v/>
      </c>
      <c r="Q1783">
        <f>IF($U1783="","",INDEX(상세표[07~18시],$U1783))</f>
        <v/>
      </c>
      <c r="R1783">
        <f>IF($U1783="","",INDEX(상세표[18~22시],$U1783))</f>
        <v/>
      </c>
      <c r="S1783">
        <f>IF($U1783="","",INDEX(상세표[22~06시],$U1783))</f>
        <v/>
      </c>
      <c r="T1783">
        <f>IF($U1783="","",INDEX(상세표[기록 시간외],$U1783))</f>
        <v/>
      </c>
      <c r="U1783" s="4">
        <f>IFERROR(MATCH(1778,상세표[발송순번],0),"")</f>
        <v/>
      </c>
    </row>
    <row r="1784">
      <c r="J1784">
        <f>IF($U1784="","",INDEX(상세표[사번],$U1784)&amp;"")</f>
        <v/>
      </c>
      <c r="K1784">
        <f>IF($U1784="","",INDEX(상세표[성명],$U1784)&amp;"")</f>
        <v/>
      </c>
      <c r="L1784">
        <f>IF($U1784="","",INDEX(상세표[직위],$U1784)&amp;"")</f>
        <v/>
      </c>
      <c r="M1784">
        <f>IF($U1784="","",IF(ISNUMBER(INDEX(상세표[근무일자],$U1784)),TEXT(INDEX(상세표[근무일자],$U1784),"yyyy-mm-dd"),INDEX(상세표[근무일자],$U1784)&amp;""))</f>
        <v/>
      </c>
      <c r="N1784">
        <f>IF($U1784="","",IF(ISNUMBER(INDEX(상세표[시작],$U1784)),TEXT(INDEX(상세표[시작],$U1784),"yyyy-mm-dd hh:mm"),INDEX(상세표[시작],$U1784)&amp;""))</f>
        <v/>
      </c>
      <c r="O1784">
        <f>IF($U1784="","",IF(ISNUMBER(INDEX(상세표[종료],$U1784)),TEXT(INDEX(상세표[종료],$U1784),"yyyy-mm-dd hh:mm"),INDEX(상세표[종료],$U1784)&amp;""))</f>
        <v/>
      </c>
      <c r="P1784">
        <f>IF($U1784="","",INDEX(상세표[06~07시],$U1784))</f>
        <v/>
      </c>
      <c r="Q1784">
        <f>IF($U1784="","",INDEX(상세표[07~18시],$U1784))</f>
        <v/>
      </c>
      <c r="R1784">
        <f>IF($U1784="","",INDEX(상세표[18~22시],$U1784))</f>
        <v/>
      </c>
      <c r="S1784">
        <f>IF($U1784="","",INDEX(상세표[22~06시],$U1784))</f>
        <v/>
      </c>
      <c r="T1784">
        <f>IF($U1784="","",INDEX(상세표[기록 시간외],$U1784))</f>
        <v/>
      </c>
      <c r="U1784" s="4">
        <f>IFERROR(MATCH(1779,상세표[발송순번],0),"")</f>
        <v/>
      </c>
    </row>
    <row r="1785">
      <c r="J1785">
        <f>IF($U1785="","",INDEX(상세표[사번],$U1785)&amp;"")</f>
        <v/>
      </c>
      <c r="K1785">
        <f>IF($U1785="","",INDEX(상세표[성명],$U1785)&amp;"")</f>
        <v/>
      </c>
      <c r="L1785">
        <f>IF($U1785="","",INDEX(상세표[직위],$U1785)&amp;"")</f>
        <v/>
      </c>
      <c r="M1785">
        <f>IF($U1785="","",IF(ISNUMBER(INDEX(상세표[근무일자],$U1785)),TEXT(INDEX(상세표[근무일자],$U1785),"yyyy-mm-dd"),INDEX(상세표[근무일자],$U1785)&amp;""))</f>
        <v/>
      </c>
      <c r="N1785">
        <f>IF($U1785="","",IF(ISNUMBER(INDEX(상세표[시작],$U1785)),TEXT(INDEX(상세표[시작],$U1785),"yyyy-mm-dd hh:mm"),INDEX(상세표[시작],$U1785)&amp;""))</f>
        <v/>
      </c>
      <c r="O1785">
        <f>IF($U1785="","",IF(ISNUMBER(INDEX(상세표[종료],$U1785)),TEXT(INDEX(상세표[종료],$U1785),"yyyy-mm-dd hh:mm"),INDEX(상세표[종료],$U1785)&amp;""))</f>
        <v/>
      </c>
      <c r="P1785">
        <f>IF($U1785="","",INDEX(상세표[06~07시],$U1785))</f>
        <v/>
      </c>
      <c r="Q1785">
        <f>IF($U1785="","",INDEX(상세표[07~18시],$U1785))</f>
        <v/>
      </c>
      <c r="R1785">
        <f>IF($U1785="","",INDEX(상세표[18~22시],$U1785))</f>
        <v/>
      </c>
      <c r="S1785">
        <f>IF($U1785="","",INDEX(상세표[22~06시],$U1785))</f>
        <v/>
      </c>
      <c r="T1785">
        <f>IF($U1785="","",INDEX(상세표[기록 시간외],$U1785))</f>
        <v/>
      </c>
      <c r="U1785" s="4">
        <f>IFERROR(MATCH(1780,상세표[발송순번],0),"")</f>
        <v/>
      </c>
    </row>
    <row r="1786">
      <c r="J1786">
        <f>IF($U1786="","",INDEX(상세표[사번],$U1786)&amp;"")</f>
        <v/>
      </c>
      <c r="K1786">
        <f>IF($U1786="","",INDEX(상세표[성명],$U1786)&amp;"")</f>
        <v/>
      </c>
      <c r="L1786">
        <f>IF($U1786="","",INDEX(상세표[직위],$U1786)&amp;"")</f>
        <v/>
      </c>
      <c r="M1786">
        <f>IF($U1786="","",IF(ISNUMBER(INDEX(상세표[근무일자],$U1786)),TEXT(INDEX(상세표[근무일자],$U1786),"yyyy-mm-dd"),INDEX(상세표[근무일자],$U1786)&amp;""))</f>
        <v/>
      </c>
      <c r="N1786">
        <f>IF($U1786="","",IF(ISNUMBER(INDEX(상세표[시작],$U1786)),TEXT(INDEX(상세표[시작],$U1786),"yyyy-mm-dd hh:mm"),INDEX(상세표[시작],$U1786)&amp;""))</f>
        <v/>
      </c>
      <c r="O1786">
        <f>IF($U1786="","",IF(ISNUMBER(INDEX(상세표[종료],$U1786)),TEXT(INDEX(상세표[종료],$U1786),"yyyy-mm-dd hh:mm"),INDEX(상세표[종료],$U1786)&amp;""))</f>
        <v/>
      </c>
      <c r="P1786">
        <f>IF($U1786="","",INDEX(상세표[06~07시],$U1786))</f>
        <v/>
      </c>
      <c r="Q1786">
        <f>IF($U1786="","",INDEX(상세표[07~18시],$U1786))</f>
        <v/>
      </c>
      <c r="R1786">
        <f>IF($U1786="","",INDEX(상세표[18~22시],$U1786))</f>
        <v/>
      </c>
      <c r="S1786">
        <f>IF($U1786="","",INDEX(상세표[22~06시],$U1786))</f>
        <v/>
      </c>
      <c r="T1786">
        <f>IF($U1786="","",INDEX(상세표[기록 시간외],$U1786))</f>
        <v/>
      </c>
      <c r="U1786" s="4">
        <f>IFERROR(MATCH(1781,상세표[발송순번],0),"")</f>
        <v/>
      </c>
    </row>
    <row r="1787">
      <c r="J1787">
        <f>IF($U1787="","",INDEX(상세표[사번],$U1787)&amp;"")</f>
        <v/>
      </c>
      <c r="K1787">
        <f>IF($U1787="","",INDEX(상세표[성명],$U1787)&amp;"")</f>
        <v/>
      </c>
      <c r="L1787">
        <f>IF($U1787="","",INDEX(상세표[직위],$U1787)&amp;"")</f>
        <v/>
      </c>
      <c r="M1787">
        <f>IF($U1787="","",IF(ISNUMBER(INDEX(상세표[근무일자],$U1787)),TEXT(INDEX(상세표[근무일자],$U1787),"yyyy-mm-dd"),INDEX(상세표[근무일자],$U1787)&amp;""))</f>
        <v/>
      </c>
      <c r="N1787">
        <f>IF($U1787="","",IF(ISNUMBER(INDEX(상세표[시작],$U1787)),TEXT(INDEX(상세표[시작],$U1787),"yyyy-mm-dd hh:mm"),INDEX(상세표[시작],$U1787)&amp;""))</f>
        <v/>
      </c>
      <c r="O1787">
        <f>IF($U1787="","",IF(ISNUMBER(INDEX(상세표[종료],$U1787)),TEXT(INDEX(상세표[종료],$U1787),"yyyy-mm-dd hh:mm"),INDEX(상세표[종료],$U1787)&amp;""))</f>
        <v/>
      </c>
      <c r="P1787">
        <f>IF($U1787="","",INDEX(상세표[06~07시],$U1787))</f>
        <v/>
      </c>
      <c r="Q1787">
        <f>IF($U1787="","",INDEX(상세표[07~18시],$U1787))</f>
        <v/>
      </c>
      <c r="R1787">
        <f>IF($U1787="","",INDEX(상세표[18~22시],$U1787))</f>
        <v/>
      </c>
      <c r="S1787">
        <f>IF($U1787="","",INDEX(상세표[22~06시],$U1787))</f>
        <v/>
      </c>
      <c r="T1787">
        <f>IF($U1787="","",INDEX(상세표[기록 시간외],$U1787))</f>
        <v/>
      </c>
      <c r="U1787" s="4">
        <f>IFERROR(MATCH(1782,상세표[발송순번],0),"")</f>
        <v/>
      </c>
    </row>
    <row r="1788">
      <c r="J1788">
        <f>IF($U1788="","",INDEX(상세표[사번],$U1788)&amp;"")</f>
        <v/>
      </c>
      <c r="K1788">
        <f>IF($U1788="","",INDEX(상세표[성명],$U1788)&amp;"")</f>
        <v/>
      </c>
      <c r="L1788">
        <f>IF($U1788="","",INDEX(상세표[직위],$U1788)&amp;"")</f>
        <v/>
      </c>
      <c r="M1788">
        <f>IF($U1788="","",IF(ISNUMBER(INDEX(상세표[근무일자],$U1788)),TEXT(INDEX(상세표[근무일자],$U1788),"yyyy-mm-dd"),INDEX(상세표[근무일자],$U1788)&amp;""))</f>
        <v/>
      </c>
      <c r="N1788">
        <f>IF($U1788="","",IF(ISNUMBER(INDEX(상세표[시작],$U1788)),TEXT(INDEX(상세표[시작],$U1788),"yyyy-mm-dd hh:mm"),INDEX(상세표[시작],$U1788)&amp;""))</f>
        <v/>
      </c>
      <c r="O1788">
        <f>IF($U1788="","",IF(ISNUMBER(INDEX(상세표[종료],$U1788)),TEXT(INDEX(상세표[종료],$U1788),"yyyy-mm-dd hh:mm"),INDEX(상세표[종료],$U1788)&amp;""))</f>
        <v/>
      </c>
      <c r="P1788">
        <f>IF($U1788="","",INDEX(상세표[06~07시],$U1788))</f>
        <v/>
      </c>
      <c r="Q1788">
        <f>IF($U1788="","",INDEX(상세표[07~18시],$U1788))</f>
        <v/>
      </c>
      <c r="R1788">
        <f>IF($U1788="","",INDEX(상세표[18~22시],$U1788))</f>
        <v/>
      </c>
      <c r="S1788">
        <f>IF($U1788="","",INDEX(상세표[22~06시],$U1788))</f>
        <v/>
      </c>
      <c r="T1788">
        <f>IF($U1788="","",INDEX(상세표[기록 시간외],$U1788))</f>
        <v/>
      </c>
      <c r="U1788" s="4">
        <f>IFERROR(MATCH(1783,상세표[발송순번],0),"")</f>
        <v/>
      </c>
    </row>
    <row r="1789">
      <c r="J1789">
        <f>IF($U1789="","",INDEX(상세표[사번],$U1789)&amp;"")</f>
        <v/>
      </c>
      <c r="K1789">
        <f>IF($U1789="","",INDEX(상세표[성명],$U1789)&amp;"")</f>
        <v/>
      </c>
      <c r="L1789">
        <f>IF($U1789="","",INDEX(상세표[직위],$U1789)&amp;"")</f>
        <v/>
      </c>
      <c r="M1789">
        <f>IF($U1789="","",IF(ISNUMBER(INDEX(상세표[근무일자],$U1789)),TEXT(INDEX(상세표[근무일자],$U1789),"yyyy-mm-dd"),INDEX(상세표[근무일자],$U1789)&amp;""))</f>
        <v/>
      </c>
      <c r="N1789">
        <f>IF($U1789="","",IF(ISNUMBER(INDEX(상세표[시작],$U1789)),TEXT(INDEX(상세표[시작],$U1789),"yyyy-mm-dd hh:mm"),INDEX(상세표[시작],$U1789)&amp;""))</f>
        <v/>
      </c>
      <c r="O1789">
        <f>IF($U1789="","",IF(ISNUMBER(INDEX(상세표[종료],$U1789)),TEXT(INDEX(상세표[종료],$U1789),"yyyy-mm-dd hh:mm"),INDEX(상세표[종료],$U1789)&amp;""))</f>
        <v/>
      </c>
      <c r="P1789">
        <f>IF($U1789="","",INDEX(상세표[06~07시],$U1789))</f>
        <v/>
      </c>
      <c r="Q1789">
        <f>IF($U1789="","",INDEX(상세표[07~18시],$U1789))</f>
        <v/>
      </c>
      <c r="R1789">
        <f>IF($U1789="","",INDEX(상세표[18~22시],$U1789))</f>
        <v/>
      </c>
      <c r="S1789">
        <f>IF($U1789="","",INDEX(상세표[22~06시],$U1789))</f>
        <v/>
      </c>
      <c r="T1789">
        <f>IF($U1789="","",INDEX(상세표[기록 시간외],$U1789))</f>
        <v/>
      </c>
      <c r="U1789" s="4">
        <f>IFERROR(MATCH(1784,상세표[발송순번],0),"")</f>
        <v/>
      </c>
    </row>
    <row r="1790">
      <c r="J1790">
        <f>IF($U1790="","",INDEX(상세표[사번],$U1790)&amp;"")</f>
        <v/>
      </c>
      <c r="K1790">
        <f>IF($U1790="","",INDEX(상세표[성명],$U1790)&amp;"")</f>
        <v/>
      </c>
      <c r="L1790">
        <f>IF($U1790="","",INDEX(상세표[직위],$U1790)&amp;"")</f>
        <v/>
      </c>
      <c r="M1790">
        <f>IF($U1790="","",IF(ISNUMBER(INDEX(상세표[근무일자],$U1790)),TEXT(INDEX(상세표[근무일자],$U1790),"yyyy-mm-dd"),INDEX(상세표[근무일자],$U1790)&amp;""))</f>
        <v/>
      </c>
      <c r="N1790">
        <f>IF($U1790="","",IF(ISNUMBER(INDEX(상세표[시작],$U1790)),TEXT(INDEX(상세표[시작],$U1790),"yyyy-mm-dd hh:mm"),INDEX(상세표[시작],$U1790)&amp;""))</f>
        <v/>
      </c>
      <c r="O1790">
        <f>IF($U1790="","",IF(ISNUMBER(INDEX(상세표[종료],$U1790)),TEXT(INDEX(상세표[종료],$U1790),"yyyy-mm-dd hh:mm"),INDEX(상세표[종료],$U1790)&amp;""))</f>
        <v/>
      </c>
      <c r="P1790">
        <f>IF($U1790="","",INDEX(상세표[06~07시],$U1790))</f>
        <v/>
      </c>
      <c r="Q1790">
        <f>IF($U1790="","",INDEX(상세표[07~18시],$U1790))</f>
        <v/>
      </c>
      <c r="R1790">
        <f>IF($U1790="","",INDEX(상세표[18~22시],$U1790))</f>
        <v/>
      </c>
      <c r="S1790">
        <f>IF($U1790="","",INDEX(상세표[22~06시],$U1790))</f>
        <v/>
      </c>
      <c r="T1790">
        <f>IF($U1790="","",INDEX(상세표[기록 시간외],$U1790))</f>
        <v/>
      </c>
      <c r="U1790" s="4">
        <f>IFERROR(MATCH(1785,상세표[발송순번],0),"")</f>
        <v/>
      </c>
    </row>
    <row r="1791">
      <c r="J1791">
        <f>IF($U1791="","",INDEX(상세표[사번],$U1791)&amp;"")</f>
        <v/>
      </c>
      <c r="K1791">
        <f>IF($U1791="","",INDEX(상세표[성명],$U1791)&amp;"")</f>
        <v/>
      </c>
      <c r="L1791">
        <f>IF($U1791="","",INDEX(상세표[직위],$U1791)&amp;"")</f>
        <v/>
      </c>
      <c r="M1791">
        <f>IF($U1791="","",IF(ISNUMBER(INDEX(상세표[근무일자],$U1791)),TEXT(INDEX(상세표[근무일자],$U1791),"yyyy-mm-dd"),INDEX(상세표[근무일자],$U1791)&amp;""))</f>
        <v/>
      </c>
      <c r="N1791">
        <f>IF($U1791="","",IF(ISNUMBER(INDEX(상세표[시작],$U1791)),TEXT(INDEX(상세표[시작],$U1791),"yyyy-mm-dd hh:mm"),INDEX(상세표[시작],$U1791)&amp;""))</f>
        <v/>
      </c>
      <c r="O1791">
        <f>IF($U1791="","",IF(ISNUMBER(INDEX(상세표[종료],$U1791)),TEXT(INDEX(상세표[종료],$U1791),"yyyy-mm-dd hh:mm"),INDEX(상세표[종료],$U1791)&amp;""))</f>
        <v/>
      </c>
      <c r="P1791">
        <f>IF($U1791="","",INDEX(상세표[06~07시],$U1791))</f>
        <v/>
      </c>
      <c r="Q1791">
        <f>IF($U1791="","",INDEX(상세표[07~18시],$U1791))</f>
        <v/>
      </c>
      <c r="R1791">
        <f>IF($U1791="","",INDEX(상세표[18~22시],$U1791))</f>
        <v/>
      </c>
      <c r="S1791">
        <f>IF($U1791="","",INDEX(상세표[22~06시],$U1791))</f>
        <v/>
      </c>
      <c r="T1791">
        <f>IF($U1791="","",INDEX(상세표[기록 시간외],$U1791))</f>
        <v/>
      </c>
      <c r="U1791" s="4">
        <f>IFERROR(MATCH(1786,상세표[발송순번],0),"")</f>
        <v/>
      </c>
    </row>
    <row r="1792">
      <c r="J1792">
        <f>IF($U1792="","",INDEX(상세표[사번],$U1792)&amp;"")</f>
        <v/>
      </c>
      <c r="K1792">
        <f>IF($U1792="","",INDEX(상세표[성명],$U1792)&amp;"")</f>
        <v/>
      </c>
      <c r="L1792">
        <f>IF($U1792="","",INDEX(상세표[직위],$U1792)&amp;"")</f>
        <v/>
      </c>
      <c r="M1792">
        <f>IF($U1792="","",IF(ISNUMBER(INDEX(상세표[근무일자],$U1792)),TEXT(INDEX(상세표[근무일자],$U1792),"yyyy-mm-dd"),INDEX(상세표[근무일자],$U1792)&amp;""))</f>
        <v/>
      </c>
      <c r="N1792">
        <f>IF($U1792="","",IF(ISNUMBER(INDEX(상세표[시작],$U1792)),TEXT(INDEX(상세표[시작],$U1792),"yyyy-mm-dd hh:mm"),INDEX(상세표[시작],$U1792)&amp;""))</f>
        <v/>
      </c>
      <c r="O1792">
        <f>IF($U1792="","",IF(ISNUMBER(INDEX(상세표[종료],$U1792)),TEXT(INDEX(상세표[종료],$U1792),"yyyy-mm-dd hh:mm"),INDEX(상세표[종료],$U1792)&amp;""))</f>
        <v/>
      </c>
      <c r="P1792">
        <f>IF($U1792="","",INDEX(상세표[06~07시],$U1792))</f>
        <v/>
      </c>
      <c r="Q1792">
        <f>IF($U1792="","",INDEX(상세표[07~18시],$U1792))</f>
        <v/>
      </c>
      <c r="R1792">
        <f>IF($U1792="","",INDEX(상세표[18~22시],$U1792))</f>
        <v/>
      </c>
      <c r="S1792">
        <f>IF($U1792="","",INDEX(상세표[22~06시],$U1792))</f>
        <v/>
      </c>
      <c r="T1792">
        <f>IF($U1792="","",INDEX(상세표[기록 시간외],$U1792))</f>
        <v/>
      </c>
      <c r="U1792" s="4">
        <f>IFERROR(MATCH(1787,상세표[발송순번],0),"")</f>
        <v/>
      </c>
    </row>
    <row r="1793">
      <c r="J1793">
        <f>IF($U1793="","",INDEX(상세표[사번],$U1793)&amp;"")</f>
        <v/>
      </c>
      <c r="K1793">
        <f>IF($U1793="","",INDEX(상세표[성명],$U1793)&amp;"")</f>
        <v/>
      </c>
      <c r="L1793">
        <f>IF($U1793="","",INDEX(상세표[직위],$U1793)&amp;"")</f>
        <v/>
      </c>
      <c r="M1793">
        <f>IF($U1793="","",IF(ISNUMBER(INDEX(상세표[근무일자],$U1793)),TEXT(INDEX(상세표[근무일자],$U1793),"yyyy-mm-dd"),INDEX(상세표[근무일자],$U1793)&amp;""))</f>
        <v/>
      </c>
      <c r="N1793">
        <f>IF($U1793="","",IF(ISNUMBER(INDEX(상세표[시작],$U1793)),TEXT(INDEX(상세표[시작],$U1793),"yyyy-mm-dd hh:mm"),INDEX(상세표[시작],$U1793)&amp;""))</f>
        <v/>
      </c>
      <c r="O1793">
        <f>IF($U1793="","",IF(ISNUMBER(INDEX(상세표[종료],$U1793)),TEXT(INDEX(상세표[종료],$U1793),"yyyy-mm-dd hh:mm"),INDEX(상세표[종료],$U1793)&amp;""))</f>
        <v/>
      </c>
      <c r="P1793">
        <f>IF($U1793="","",INDEX(상세표[06~07시],$U1793))</f>
        <v/>
      </c>
      <c r="Q1793">
        <f>IF($U1793="","",INDEX(상세표[07~18시],$U1793))</f>
        <v/>
      </c>
      <c r="R1793">
        <f>IF($U1793="","",INDEX(상세표[18~22시],$U1793))</f>
        <v/>
      </c>
      <c r="S1793">
        <f>IF($U1793="","",INDEX(상세표[22~06시],$U1793))</f>
        <v/>
      </c>
      <c r="T1793">
        <f>IF($U1793="","",INDEX(상세표[기록 시간외],$U1793))</f>
        <v/>
      </c>
      <c r="U1793" s="4">
        <f>IFERROR(MATCH(1788,상세표[발송순번],0),"")</f>
        <v/>
      </c>
    </row>
    <row r="1794">
      <c r="J1794">
        <f>IF($U1794="","",INDEX(상세표[사번],$U1794)&amp;"")</f>
        <v/>
      </c>
      <c r="K1794">
        <f>IF($U1794="","",INDEX(상세표[성명],$U1794)&amp;"")</f>
        <v/>
      </c>
      <c r="L1794">
        <f>IF($U1794="","",INDEX(상세표[직위],$U1794)&amp;"")</f>
        <v/>
      </c>
      <c r="M1794">
        <f>IF($U1794="","",IF(ISNUMBER(INDEX(상세표[근무일자],$U1794)),TEXT(INDEX(상세표[근무일자],$U1794),"yyyy-mm-dd"),INDEX(상세표[근무일자],$U1794)&amp;""))</f>
        <v/>
      </c>
      <c r="N1794">
        <f>IF($U1794="","",IF(ISNUMBER(INDEX(상세표[시작],$U1794)),TEXT(INDEX(상세표[시작],$U1794),"yyyy-mm-dd hh:mm"),INDEX(상세표[시작],$U1794)&amp;""))</f>
        <v/>
      </c>
      <c r="O1794">
        <f>IF($U1794="","",IF(ISNUMBER(INDEX(상세표[종료],$U1794)),TEXT(INDEX(상세표[종료],$U1794),"yyyy-mm-dd hh:mm"),INDEX(상세표[종료],$U1794)&amp;""))</f>
        <v/>
      </c>
      <c r="P1794">
        <f>IF($U1794="","",INDEX(상세표[06~07시],$U1794))</f>
        <v/>
      </c>
      <c r="Q1794">
        <f>IF($U1794="","",INDEX(상세표[07~18시],$U1794))</f>
        <v/>
      </c>
      <c r="R1794">
        <f>IF($U1794="","",INDEX(상세표[18~22시],$U1794))</f>
        <v/>
      </c>
      <c r="S1794">
        <f>IF($U1794="","",INDEX(상세표[22~06시],$U1794))</f>
        <v/>
      </c>
      <c r="T1794">
        <f>IF($U1794="","",INDEX(상세표[기록 시간외],$U1794))</f>
        <v/>
      </c>
      <c r="U1794" s="4">
        <f>IFERROR(MATCH(1789,상세표[발송순번],0),"")</f>
        <v/>
      </c>
    </row>
    <row r="1795">
      <c r="J1795">
        <f>IF($U1795="","",INDEX(상세표[사번],$U1795)&amp;"")</f>
        <v/>
      </c>
      <c r="K1795">
        <f>IF($U1795="","",INDEX(상세표[성명],$U1795)&amp;"")</f>
        <v/>
      </c>
      <c r="L1795">
        <f>IF($U1795="","",INDEX(상세표[직위],$U1795)&amp;"")</f>
        <v/>
      </c>
      <c r="M1795">
        <f>IF($U1795="","",IF(ISNUMBER(INDEX(상세표[근무일자],$U1795)),TEXT(INDEX(상세표[근무일자],$U1795),"yyyy-mm-dd"),INDEX(상세표[근무일자],$U1795)&amp;""))</f>
        <v/>
      </c>
      <c r="N1795">
        <f>IF($U1795="","",IF(ISNUMBER(INDEX(상세표[시작],$U1795)),TEXT(INDEX(상세표[시작],$U1795),"yyyy-mm-dd hh:mm"),INDEX(상세표[시작],$U1795)&amp;""))</f>
        <v/>
      </c>
      <c r="O1795">
        <f>IF($U1795="","",IF(ISNUMBER(INDEX(상세표[종료],$U1795)),TEXT(INDEX(상세표[종료],$U1795),"yyyy-mm-dd hh:mm"),INDEX(상세표[종료],$U1795)&amp;""))</f>
        <v/>
      </c>
      <c r="P1795">
        <f>IF($U1795="","",INDEX(상세표[06~07시],$U1795))</f>
        <v/>
      </c>
      <c r="Q1795">
        <f>IF($U1795="","",INDEX(상세표[07~18시],$U1795))</f>
        <v/>
      </c>
      <c r="R1795">
        <f>IF($U1795="","",INDEX(상세표[18~22시],$U1795))</f>
        <v/>
      </c>
      <c r="S1795">
        <f>IF($U1795="","",INDEX(상세표[22~06시],$U1795))</f>
        <v/>
      </c>
      <c r="T1795">
        <f>IF($U1795="","",INDEX(상세표[기록 시간외],$U1795))</f>
        <v/>
      </c>
      <c r="U1795" s="4">
        <f>IFERROR(MATCH(1790,상세표[발송순번],0),"")</f>
        <v/>
      </c>
    </row>
    <row r="1796">
      <c r="J1796">
        <f>IF($U1796="","",INDEX(상세표[사번],$U1796)&amp;"")</f>
        <v/>
      </c>
      <c r="K1796">
        <f>IF($U1796="","",INDEX(상세표[성명],$U1796)&amp;"")</f>
        <v/>
      </c>
      <c r="L1796">
        <f>IF($U1796="","",INDEX(상세표[직위],$U1796)&amp;"")</f>
        <v/>
      </c>
      <c r="M1796">
        <f>IF($U1796="","",IF(ISNUMBER(INDEX(상세표[근무일자],$U1796)),TEXT(INDEX(상세표[근무일자],$U1796),"yyyy-mm-dd"),INDEX(상세표[근무일자],$U1796)&amp;""))</f>
        <v/>
      </c>
      <c r="N1796">
        <f>IF($U1796="","",IF(ISNUMBER(INDEX(상세표[시작],$U1796)),TEXT(INDEX(상세표[시작],$U1796),"yyyy-mm-dd hh:mm"),INDEX(상세표[시작],$U1796)&amp;""))</f>
        <v/>
      </c>
      <c r="O1796">
        <f>IF($U1796="","",IF(ISNUMBER(INDEX(상세표[종료],$U1796)),TEXT(INDEX(상세표[종료],$U1796),"yyyy-mm-dd hh:mm"),INDEX(상세표[종료],$U1796)&amp;""))</f>
        <v/>
      </c>
      <c r="P1796">
        <f>IF($U1796="","",INDEX(상세표[06~07시],$U1796))</f>
        <v/>
      </c>
      <c r="Q1796">
        <f>IF($U1796="","",INDEX(상세표[07~18시],$U1796))</f>
        <v/>
      </c>
      <c r="R1796">
        <f>IF($U1796="","",INDEX(상세표[18~22시],$U1796))</f>
        <v/>
      </c>
      <c r="S1796">
        <f>IF($U1796="","",INDEX(상세표[22~06시],$U1796))</f>
        <v/>
      </c>
      <c r="T1796">
        <f>IF($U1796="","",INDEX(상세표[기록 시간외],$U1796))</f>
        <v/>
      </c>
      <c r="U1796" s="4">
        <f>IFERROR(MATCH(1791,상세표[발송순번],0),"")</f>
        <v/>
      </c>
    </row>
    <row r="1797">
      <c r="J1797">
        <f>IF($U1797="","",INDEX(상세표[사번],$U1797)&amp;"")</f>
        <v/>
      </c>
      <c r="K1797">
        <f>IF($U1797="","",INDEX(상세표[성명],$U1797)&amp;"")</f>
        <v/>
      </c>
      <c r="L1797">
        <f>IF($U1797="","",INDEX(상세표[직위],$U1797)&amp;"")</f>
        <v/>
      </c>
      <c r="M1797">
        <f>IF($U1797="","",IF(ISNUMBER(INDEX(상세표[근무일자],$U1797)),TEXT(INDEX(상세표[근무일자],$U1797),"yyyy-mm-dd"),INDEX(상세표[근무일자],$U1797)&amp;""))</f>
        <v/>
      </c>
      <c r="N1797">
        <f>IF($U1797="","",IF(ISNUMBER(INDEX(상세표[시작],$U1797)),TEXT(INDEX(상세표[시작],$U1797),"yyyy-mm-dd hh:mm"),INDEX(상세표[시작],$U1797)&amp;""))</f>
        <v/>
      </c>
      <c r="O1797">
        <f>IF($U1797="","",IF(ISNUMBER(INDEX(상세표[종료],$U1797)),TEXT(INDEX(상세표[종료],$U1797),"yyyy-mm-dd hh:mm"),INDEX(상세표[종료],$U1797)&amp;""))</f>
        <v/>
      </c>
      <c r="P1797">
        <f>IF($U1797="","",INDEX(상세표[06~07시],$U1797))</f>
        <v/>
      </c>
      <c r="Q1797">
        <f>IF($U1797="","",INDEX(상세표[07~18시],$U1797))</f>
        <v/>
      </c>
      <c r="R1797">
        <f>IF($U1797="","",INDEX(상세표[18~22시],$U1797))</f>
        <v/>
      </c>
      <c r="S1797">
        <f>IF($U1797="","",INDEX(상세표[22~06시],$U1797))</f>
        <v/>
      </c>
      <c r="T1797">
        <f>IF($U1797="","",INDEX(상세표[기록 시간외],$U1797))</f>
        <v/>
      </c>
      <c r="U1797" s="4">
        <f>IFERROR(MATCH(1792,상세표[발송순번],0),"")</f>
        <v/>
      </c>
    </row>
    <row r="1798">
      <c r="J1798">
        <f>IF($U1798="","",INDEX(상세표[사번],$U1798)&amp;"")</f>
        <v/>
      </c>
      <c r="K1798">
        <f>IF($U1798="","",INDEX(상세표[성명],$U1798)&amp;"")</f>
        <v/>
      </c>
      <c r="L1798">
        <f>IF($U1798="","",INDEX(상세표[직위],$U1798)&amp;"")</f>
        <v/>
      </c>
      <c r="M1798">
        <f>IF($U1798="","",IF(ISNUMBER(INDEX(상세표[근무일자],$U1798)),TEXT(INDEX(상세표[근무일자],$U1798),"yyyy-mm-dd"),INDEX(상세표[근무일자],$U1798)&amp;""))</f>
        <v/>
      </c>
      <c r="N1798">
        <f>IF($U1798="","",IF(ISNUMBER(INDEX(상세표[시작],$U1798)),TEXT(INDEX(상세표[시작],$U1798),"yyyy-mm-dd hh:mm"),INDEX(상세표[시작],$U1798)&amp;""))</f>
        <v/>
      </c>
      <c r="O1798">
        <f>IF($U1798="","",IF(ISNUMBER(INDEX(상세표[종료],$U1798)),TEXT(INDEX(상세표[종료],$U1798),"yyyy-mm-dd hh:mm"),INDEX(상세표[종료],$U1798)&amp;""))</f>
        <v/>
      </c>
      <c r="P1798">
        <f>IF($U1798="","",INDEX(상세표[06~07시],$U1798))</f>
        <v/>
      </c>
      <c r="Q1798">
        <f>IF($U1798="","",INDEX(상세표[07~18시],$U1798))</f>
        <v/>
      </c>
      <c r="R1798">
        <f>IF($U1798="","",INDEX(상세표[18~22시],$U1798))</f>
        <v/>
      </c>
      <c r="S1798">
        <f>IF($U1798="","",INDEX(상세표[22~06시],$U1798))</f>
        <v/>
      </c>
      <c r="T1798">
        <f>IF($U1798="","",INDEX(상세표[기록 시간외],$U1798))</f>
        <v/>
      </c>
      <c r="U1798" s="4">
        <f>IFERROR(MATCH(1793,상세표[발송순번],0),"")</f>
        <v/>
      </c>
    </row>
    <row r="1799">
      <c r="J1799">
        <f>IF($U1799="","",INDEX(상세표[사번],$U1799)&amp;"")</f>
        <v/>
      </c>
      <c r="K1799">
        <f>IF($U1799="","",INDEX(상세표[성명],$U1799)&amp;"")</f>
        <v/>
      </c>
      <c r="L1799">
        <f>IF($U1799="","",INDEX(상세표[직위],$U1799)&amp;"")</f>
        <v/>
      </c>
      <c r="M1799">
        <f>IF($U1799="","",IF(ISNUMBER(INDEX(상세표[근무일자],$U1799)),TEXT(INDEX(상세표[근무일자],$U1799),"yyyy-mm-dd"),INDEX(상세표[근무일자],$U1799)&amp;""))</f>
        <v/>
      </c>
      <c r="N1799">
        <f>IF($U1799="","",IF(ISNUMBER(INDEX(상세표[시작],$U1799)),TEXT(INDEX(상세표[시작],$U1799),"yyyy-mm-dd hh:mm"),INDEX(상세표[시작],$U1799)&amp;""))</f>
        <v/>
      </c>
      <c r="O1799">
        <f>IF($U1799="","",IF(ISNUMBER(INDEX(상세표[종료],$U1799)),TEXT(INDEX(상세표[종료],$U1799),"yyyy-mm-dd hh:mm"),INDEX(상세표[종료],$U1799)&amp;""))</f>
        <v/>
      </c>
      <c r="P1799">
        <f>IF($U1799="","",INDEX(상세표[06~07시],$U1799))</f>
        <v/>
      </c>
      <c r="Q1799">
        <f>IF($U1799="","",INDEX(상세표[07~18시],$U1799))</f>
        <v/>
      </c>
      <c r="R1799">
        <f>IF($U1799="","",INDEX(상세표[18~22시],$U1799))</f>
        <v/>
      </c>
      <c r="S1799">
        <f>IF($U1799="","",INDEX(상세표[22~06시],$U1799))</f>
        <v/>
      </c>
      <c r="T1799">
        <f>IF($U1799="","",INDEX(상세표[기록 시간외],$U1799))</f>
        <v/>
      </c>
      <c r="U1799" s="4">
        <f>IFERROR(MATCH(1794,상세표[발송순번],0),"")</f>
        <v/>
      </c>
    </row>
    <row r="1800">
      <c r="J1800">
        <f>IF($U1800="","",INDEX(상세표[사번],$U1800)&amp;"")</f>
        <v/>
      </c>
      <c r="K1800">
        <f>IF($U1800="","",INDEX(상세표[성명],$U1800)&amp;"")</f>
        <v/>
      </c>
      <c r="L1800">
        <f>IF($U1800="","",INDEX(상세표[직위],$U1800)&amp;"")</f>
        <v/>
      </c>
      <c r="M1800">
        <f>IF($U1800="","",IF(ISNUMBER(INDEX(상세표[근무일자],$U1800)),TEXT(INDEX(상세표[근무일자],$U1800),"yyyy-mm-dd"),INDEX(상세표[근무일자],$U1800)&amp;""))</f>
        <v/>
      </c>
      <c r="N1800">
        <f>IF($U1800="","",IF(ISNUMBER(INDEX(상세표[시작],$U1800)),TEXT(INDEX(상세표[시작],$U1800),"yyyy-mm-dd hh:mm"),INDEX(상세표[시작],$U1800)&amp;""))</f>
        <v/>
      </c>
      <c r="O1800">
        <f>IF($U1800="","",IF(ISNUMBER(INDEX(상세표[종료],$U1800)),TEXT(INDEX(상세표[종료],$U1800),"yyyy-mm-dd hh:mm"),INDEX(상세표[종료],$U1800)&amp;""))</f>
        <v/>
      </c>
      <c r="P1800">
        <f>IF($U1800="","",INDEX(상세표[06~07시],$U1800))</f>
        <v/>
      </c>
      <c r="Q1800">
        <f>IF($U1800="","",INDEX(상세표[07~18시],$U1800))</f>
        <v/>
      </c>
      <c r="R1800">
        <f>IF($U1800="","",INDEX(상세표[18~22시],$U1800))</f>
        <v/>
      </c>
      <c r="S1800">
        <f>IF($U1800="","",INDEX(상세표[22~06시],$U1800))</f>
        <v/>
      </c>
      <c r="T1800">
        <f>IF($U1800="","",INDEX(상세표[기록 시간외],$U1800))</f>
        <v/>
      </c>
      <c r="U1800" s="4">
        <f>IFERROR(MATCH(1795,상세표[발송순번],0),"")</f>
        <v/>
      </c>
    </row>
    <row r="1801">
      <c r="J1801">
        <f>IF($U1801="","",INDEX(상세표[사번],$U1801)&amp;"")</f>
        <v/>
      </c>
      <c r="K1801">
        <f>IF($U1801="","",INDEX(상세표[성명],$U1801)&amp;"")</f>
        <v/>
      </c>
      <c r="L1801">
        <f>IF($U1801="","",INDEX(상세표[직위],$U1801)&amp;"")</f>
        <v/>
      </c>
      <c r="M1801">
        <f>IF($U1801="","",IF(ISNUMBER(INDEX(상세표[근무일자],$U1801)),TEXT(INDEX(상세표[근무일자],$U1801),"yyyy-mm-dd"),INDEX(상세표[근무일자],$U1801)&amp;""))</f>
        <v/>
      </c>
      <c r="N1801">
        <f>IF($U1801="","",IF(ISNUMBER(INDEX(상세표[시작],$U1801)),TEXT(INDEX(상세표[시작],$U1801),"yyyy-mm-dd hh:mm"),INDEX(상세표[시작],$U1801)&amp;""))</f>
        <v/>
      </c>
      <c r="O1801">
        <f>IF($U1801="","",IF(ISNUMBER(INDEX(상세표[종료],$U1801)),TEXT(INDEX(상세표[종료],$U1801),"yyyy-mm-dd hh:mm"),INDEX(상세표[종료],$U1801)&amp;""))</f>
        <v/>
      </c>
      <c r="P1801">
        <f>IF($U1801="","",INDEX(상세표[06~07시],$U1801))</f>
        <v/>
      </c>
      <c r="Q1801">
        <f>IF($U1801="","",INDEX(상세표[07~18시],$U1801))</f>
        <v/>
      </c>
      <c r="R1801">
        <f>IF($U1801="","",INDEX(상세표[18~22시],$U1801))</f>
        <v/>
      </c>
      <c r="S1801">
        <f>IF($U1801="","",INDEX(상세표[22~06시],$U1801))</f>
        <v/>
      </c>
      <c r="T1801">
        <f>IF($U1801="","",INDEX(상세표[기록 시간외],$U1801))</f>
        <v/>
      </c>
      <c r="U1801" s="4">
        <f>IFERROR(MATCH(1796,상세표[발송순번],0),"")</f>
        <v/>
      </c>
    </row>
    <row r="1802">
      <c r="J1802">
        <f>IF($U1802="","",INDEX(상세표[사번],$U1802)&amp;"")</f>
        <v/>
      </c>
      <c r="K1802">
        <f>IF($U1802="","",INDEX(상세표[성명],$U1802)&amp;"")</f>
        <v/>
      </c>
      <c r="L1802">
        <f>IF($U1802="","",INDEX(상세표[직위],$U1802)&amp;"")</f>
        <v/>
      </c>
      <c r="M1802">
        <f>IF($U1802="","",IF(ISNUMBER(INDEX(상세표[근무일자],$U1802)),TEXT(INDEX(상세표[근무일자],$U1802),"yyyy-mm-dd"),INDEX(상세표[근무일자],$U1802)&amp;""))</f>
        <v/>
      </c>
      <c r="N1802">
        <f>IF($U1802="","",IF(ISNUMBER(INDEX(상세표[시작],$U1802)),TEXT(INDEX(상세표[시작],$U1802),"yyyy-mm-dd hh:mm"),INDEX(상세표[시작],$U1802)&amp;""))</f>
        <v/>
      </c>
      <c r="O1802">
        <f>IF($U1802="","",IF(ISNUMBER(INDEX(상세표[종료],$U1802)),TEXT(INDEX(상세표[종료],$U1802),"yyyy-mm-dd hh:mm"),INDEX(상세표[종료],$U1802)&amp;""))</f>
        <v/>
      </c>
      <c r="P1802">
        <f>IF($U1802="","",INDEX(상세표[06~07시],$U1802))</f>
        <v/>
      </c>
      <c r="Q1802">
        <f>IF($U1802="","",INDEX(상세표[07~18시],$U1802))</f>
        <v/>
      </c>
      <c r="R1802">
        <f>IF($U1802="","",INDEX(상세표[18~22시],$U1802))</f>
        <v/>
      </c>
      <c r="S1802">
        <f>IF($U1802="","",INDEX(상세표[22~06시],$U1802))</f>
        <v/>
      </c>
      <c r="T1802">
        <f>IF($U1802="","",INDEX(상세표[기록 시간외],$U1802))</f>
        <v/>
      </c>
      <c r="U1802" s="4">
        <f>IFERROR(MATCH(1797,상세표[발송순번],0),"")</f>
        <v/>
      </c>
    </row>
    <row r="1803">
      <c r="J1803">
        <f>IF($U1803="","",INDEX(상세표[사번],$U1803)&amp;"")</f>
        <v/>
      </c>
      <c r="K1803">
        <f>IF($U1803="","",INDEX(상세표[성명],$U1803)&amp;"")</f>
        <v/>
      </c>
      <c r="L1803">
        <f>IF($U1803="","",INDEX(상세표[직위],$U1803)&amp;"")</f>
        <v/>
      </c>
      <c r="M1803">
        <f>IF($U1803="","",IF(ISNUMBER(INDEX(상세표[근무일자],$U1803)),TEXT(INDEX(상세표[근무일자],$U1803),"yyyy-mm-dd"),INDEX(상세표[근무일자],$U1803)&amp;""))</f>
        <v/>
      </c>
      <c r="N1803">
        <f>IF($U1803="","",IF(ISNUMBER(INDEX(상세표[시작],$U1803)),TEXT(INDEX(상세표[시작],$U1803),"yyyy-mm-dd hh:mm"),INDEX(상세표[시작],$U1803)&amp;""))</f>
        <v/>
      </c>
      <c r="O1803">
        <f>IF($U1803="","",IF(ISNUMBER(INDEX(상세표[종료],$U1803)),TEXT(INDEX(상세표[종료],$U1803),"yyyy-mm-dd hh:mm"),INDEX(상세표[종료],$U1803)&amp;""))</f>
        <v/>
      </c>
      <c r="P1803">
        <f>IF($U1803="","",INDEX(상세표[06~07시],$U1803))</f>
        <v/>
      </c>
      <c r="Q1803">
        <f>IF($U1803="","",INDEX(상세표[07~18시],$U1803))</f>
        <v/>
      </c>
      <c r="R1803">
        <f>IF($U1803="","",INDEX(상세표[18~22시],$U1803))</f>
        <v/>
      </c>
      <c r="S1803">
        <f>IF($U1803="","",INDEX(상세표[22~06시],$U1803))</f>
        <v/>
      </c>
      <c r="T1803">
        <f>IF($U1803="","",INDEX(상세표[기록 시간외],$U1803))</f>
        <v/>
      </c>
      <c r="U1803" s="4">
        <f>IFERROR(MATCH(1798,상세표[발송순번],0),"")</f>
        <v/>
      </c>
    </row>
    <row r="1804">
      <c r="J1804">
        <f>IF($U1804="","",INDEX(상세표[사번],$U1804)&amp;"")</f>
        <v/>
      </c>
      <c r="K1804">
        <f>IF($U1804="","",INDEX(상세표[성명],$U1804)&amp;"")</f>
        <v/>
      </c>
      <c r="L1804">
        <f>IF($U1804="","",INDEX(상세표[직위],$U1804)&amp;"")</f>
        <v/>
      </c>
      <c r="M1804">
        <f>IF($U1804="","",IF(ISNUMBER(INDEX(상세표[근무일자],$U1804)),TEXT(INDEX(상세표[근무일자],$U1804),"yyyy-mm-dd"),INDEX(상세표[근무일자],$U1804)&amp;""))</f>
        <v/>
      </c>
      <c r="N1804">
        <f>IF($U1804="","",IF(ISNUMBER(INDEX(상세표[시작],$U1804)),TEXT(INDEX(상세표[시작],$U1804),"yyyy-mm-dd hh:mm"),INDEX(상세표[시작],$U1804)&amp;""))</f>
        <v/>
      </c>
      <c r="O1804">
        <f>IF($U1804="","",IF(ISNUMBER(INDEX(상세표[종료],$U1804)),TEXT(INDEX(상세표[종료],$U1804),"yyyy-mm-dd hh:mm"),INDEX(상세표[종료],$U1804)&amp;""))</f>
        <v/>
      </c>
      <c r="P1804">
        <f>IF($U1804="","",INDEX(상세표[06~07시],$U1804))</f>
        <v/>
      </c>
      <c r="Q1804">
        <f>IF($U1804="","",INDEX(상세표[07~18시],$U1804))</f>
        <v/>
      </c>
      <c r="R1804">
        <f>IF($U1804="","",INDEX(상세표[18~22시],$U1804))</f>
        <v/>
      </c>
      <c r="S1804">
        <f>IF($U1804="","",INDEX(상세표[22~06시],$U1804))</f>
        <v/>
      </c>
      <c r="T1804">
        <f>IF($U1804="","",INDEX(상세표[기록 시간외],$U1804))</f>
        <v/>
      </c>
      <c r="U1804" s="4">
        <f>IFERROR(MATCH(1799,상세표[발송순번],0),"")</f>
        <v/>
      </c>
    </row>
    <row r="1805">
      <c r="J1805">
        <f>IF($U1805="","",INDEX(상세표[사번],$U1805)&amp;"")</f>
        <v/>
      </c>
      <c r="K1805">
        <f>IF($U1805="","",INDEX(상세표[성명],$U1805)&amp;"")</f>
        <v/>
      </c>
      <c r="L1805">
        <f>IF($U1805="","",INDEX(상세표[직위],$U1805)&amp;"")</f>
        <v/>
      </c>
      <c r="M1805">
        <f>IF($U1805="","",IF(ISNUMBER(INDEX(상세표[근무일자],$U1805)),TEXT(INDEX(상세표[근무일자],$U1805),"yyyy-mm-dd"),INDEX(상세표[근무일자],$U1805)&amp;""))</f>
        <v/>
      </c>
      <c r="N1805">
        <f>IF($U1805="","",IF(ISNUMBER(INDEX(상세표[시작],$U1805)),TEXT(INDEX(상세표[시작],$U1805),"yyyy-mm-dd hh:mm"),INDEX(상세표[시작],$U1805)&amp;""))</f>
        <v/>
      </c>
      <c r="O1805">
        <f>IF($U1805="","",IF(ISNUMBER(INDEX(상세표[종료],$U1805)),TEXT(INDEX(상세표[종료],$U1805),"yyyy-mm-dd hh:mm"),INDEX(상세표[종료],$U1805)&amp;""))</f>
        <v/>
      </c>
      <c r="P1805">
        <f>IF($U1805="","",INDEX(상세표[06~07시],$U1805))</f>
        <v/>
      </c>
      <c r="Q1805">
        <f>IF($U1805="","",INDEX(상세표[07~18시],$U1805))</f>
        <v/>
      </c>
      <c r="R1805">
        <f>IF($U1805="","",INDEX(상세표[18~22시],$U1805))</f>
        <v/>
      </c>
      <c r="S1805">
        <f>IF($U1805="","",INDEX(상세표[22~06시],$U1805))</f>
        <v/>
      </c>
      <c r="T1805">
        <f>IF($U1805="","",INDEX(상세표[기록 시간외],$U1805))</f>
        <v/>
      </c>
      <c r="U1805" s="4">
        <f>IFERROR(MATCH(1800,상세표[발송순번],0),"")</f>
        <v/>
      </c>
    </row>
    <row r="1806">
      <c r="J1806">
        <f>IF($U1806="","",INDEX(상세표[사번],$U1806)&amp;"")</f>
        <v/>
      </c>
      <c r="K1806">
        <f>IF($U1806="","",INDEX(상세표[성명],$U1806)&amp;"")</f>
        <v/>
      </c>
      <c r="L1806">
        <f>IF($U1806="","",INDEX(상세표[직위],$U1806)&amp;"")</f>
        <v/>
      </c>
      <c r="M1806">
        <f>IF($U1806="","",IF(ISNUMBER(INDEX(상세표[근무일자],$U1806)),TEXT(INDEX(상세표[근무일자],$U1806),"yyyy-mm-dd"),INDEX(상세표[근무일자],$U1806)&amp;""))</f>
        <v/>
      </c>
      <c r="N1806">
        <f>IF($U1806="","",IF(ISNUMBER(INDEX(상세표[시작],$U1806)),TEXT(INDEX(상세표[시작],$U1806),"yyyy-mm-dd hh:mm"),INDEX(상세표[시작],$U1806)&amp;""))</f>
        <v/>
      </c>
      <c r="O1806">
        <f>IF($U1806="","",IF(ISNUMBER(INDEX(상세표[종료],$U1806)),TEXT(INDEX(상세표[종료],$U1806),"yyyy-mm-dd hh:mm"),INDEX(상세표[종료],$U1806)&amp;""))</f>
        <v/>
      </c>
      <c r="P1806">
        <f>IF($U1806="","",INDEX(상세표[06~07시],$U1806))</f>
        <v/>
      </c>
      <c r="Q1806">
        <f>IF($U1806="","",INDEX(상세표[07~18시],$U1806))</f>
        <v/>
      </c>
      <c r="R1806">
        <f>IF($U1806="","",INDEX(상세표[18~22시],$U1806))</f>
        <v/>
      </c>
      <c r="S1806">
        <f>IF($U1806="","",INDEX(상세표[22~06시],$U1806))</f>
        <v/>
      </c>
      <c r="T1806">
        <f>IF($U1806="","",INDEX(상세표[기록 시간외],$U1806))</f>
        <v/>
      </c>
      <c r="U1806" s="4">
        <f>IFERROR(MATCH(1801,상세표[발송순번],0),"")</f>
        <v/>
      </c>
    </row>
    <row r="1807">
      <c r="J1807">
        <f>IF($U1807="","",INDEX(상세표[사번],$U1807)&amp;"")</f>
        <v/>
      </c>
      <c r="K1807">
        <f>IF($U1807="","",INDEX(상세표[성명],$U1807)&amp;"")</f>
        <v/>
      </c>
      <c r="L1807">
        <f>IF($U1807="","",INDEX(상세표[직위],$U1807)&amp;"")</f>
        <v/>
      </c>
      <c r="M1807">
        <f>IF($U1807="","",IF(ISNUMBER(INDEX(상세표[근무일자],$U1807)),TEXT(INDEX(상세표[근무일자],$U1807),"yyyy-mm-dd"),INDEX(상세표[근무일자],$U1807)&amp;""))</f>
        <v/>
      </c>
      <c r="N1807">
        <f>IF($U1807="","",IF(ISNUMBER(INDEX(상세표[시작],$U1807)),TEXT(INDEX(상세표[시작],$U1807),"yyyy-mm-dd hh:mm"),INDEX(상세표[시작],$U1807)&amp;""))</f>
        <v/>
      </c>
      <c r="O1807">
        <f>IF($U1807="","",IF(ISNUMBER(INDEX(상세표[종료],$U1807)),TEXT(INDEX(상세표[종료],$U1807),"yyyy-mm-dd hh:mm"),INDEX(상세표[종료],$U1807)&amp;""))</f>
        <v/>
      </c>
      <c r="P1807">
        <f>IF($U1807="","",INDEX(상세표[06~07시],$U1807))</f>
        <v/>
      </c>
      <c r="Q1807">
        <f>IF($U1807="","",INDEX(상세표[07~18시],$U1807))</f>
        <v/>
      </c>
      <c r="R1807">
        <f>IF($U1807="","",INDEX(상세표[18~22시],$U1807))</f>
        <v/>
      </c>
      <c r="S1807">
        <f>IF($U1807="","",INDEX(상세표[22~06시],$U1807))</f>
        <v/>
      </c>
      <c r="T1807">
        <f>IF($U1807="","",INDEX(상세표[기록 시간외],$U1807))</f>
        <v/>
      </c>
      <c r="U1807" s="4">
        <f>IFERROR(MATCH(1802,상세표[발송순번],0),"")</f>
        <v/>
      </c>
    </row>
    <row r="1808">
      <c r="J1808">
        <f>IF($U1808="","",INDEX(상세표[사번],$U1808)&amp;"")</f>
        <v/>
      </c>
      <c r="K1808">
        <f>IF($U1808="","",INDEX(상세표[성명],$U1808)&amp;"")</f>
        <v/>
      </c>
      <c r="L1808">
        <f>IF($U1808="","",INDEX(상세표[직위],$U1808)&amp;"")</f>
        <v/>
      </c>
      <c r="M1808">
        <f>IF($U1808="","",IF(ISNUMBER(INDEX(상세표[근무일자],$U1808)),TEXT(INDEX(상세표[근무일자],$U1808),"yyyy-mm-dd"),INDEX(상세표[근무일자],$U1808)&amp;""))</f>
        <v/>
      </c>
      <c r="N1808">
        <f>IF($U1808="","",IF(ISNUMBER(INDEX(상세표[시작],$U1808)),TEXT(INDEX(상세표[시작],$U1808),"yyyy-mm-dd hh:mm"),INDEX(상세표[시작],$U1808)&amp;""))</f>
        <v/>
      </c>
      <c r="O1808">
        <f>IF($U1808="","",IF(ISNUMBER(INDEX(상세표[종료],$U1808)),TEXT(INDEX(상세표[종료],$U1808),"yyyy-mm-dd hh:mm"),INDEX(상세표[종료],$U1808)&amp;""))</f>
        <v/>
      </c>
      <c r="P1808">
        <f>IF($U1808="","",INDEX(상세표[06~07시],$U1808))</f>
        <v/>
      </c>
      <c r="Q1808">
        <f>IF($U1808="","",INDEX(상세표[07~18시],$U1808))</f>
        <v/>
      </c>
      <c r="R1808">
        <f>IF($U1808="","",INDEX(상세표[18~22시],$U1808))</f>
        <v/>
      </c>
      <c r="S1808">
        <f>IF($U1808="","",INDEX(상세표[22~06시],$U1808))</f>
        <v/>
      </c>
      <c r="T1808">
        <f>IF($U1808="","",INDEX(상세표[기록 시간외],$U1808))</f>
        <v/>
      </c>
      <c r="U1808" s="4">
        <f>IFERROR(MATCH(1803,상세표[발송순번],0),"")</f>
        <v/>
      </c>
    </row>
    <row r="1809">
      <c r="J1809">
        <f>IF($U1809="","",INDEX(상세표[사번],$U1809)&amp;"")</f>
        <v/>
      </c>
      <c r="K1809">
        <f>IF($U1809="","",INDEX(상세표[성명],$U1809)&amp;"")</f>
        <v/>
      </c>
      <c r="L1809">
        <f>IF($U1809="","",INDEX(상세표[직위],$U1809)&amp;"")</f>
        <v/>
      </c>
      <c r="M1809">
        <f>IF($U1809="","",IF(ISNUMBER(INDEX(상세표[근무일자],$U1809)),TEXT(INDEX(상세표[근무일자],$U1809),"yyyy-mm-dd"),INDEX(상세표[근무일자],$U1809)&amp;""))</f>
        <v/>
      </c>
      <c r="N1809">
        <f>IF($U1809="","",IF(ISNUMBER(INDEX(상세표[시작],$U1809)),TEXT(INDEX(상세표[시작],$U1809),"yyyy-mm-dd hh:mm"),INDEX(상세표[시작],$U1809)&amp;""))</f>
        <v/>
      </c>
      <c r="O1809">
        <f>IF($U1809="","",IF(ISNUMBER(INDEX(상세표[종료],$U1809)),TEXT(INDEX(상세표[종료],$U1809),"yyyy-mm-dd hh:mm"),INDEX(상세표[종료],$U1809)&amp;""))</f>
        <v/>
      </c>
      <c r="P1809">
        <f>IF($U1809="","",INDEX(상세표[06~07시],$U1809))</f>
        <v/>
      </c>
      <c r="Q1809">
        <f>IF($U1809="","",INDEX(상세표[07~18시],$U1809))</f>
        <v/>
      </c>
      <c r="R1809">
        <f>IF($U1809="","",INDEX(상세표[18~22시],$U1809))</f>
        <v/>
      </c>
      <c r="S1809">
        <f>IF($U1809="","",INDEX(상세표[22~06시],$U1809))</f>
        <v/>
      </c>
      <c r="T1809">
        <f>IF($U1809="","",INDEX(상세표[기록 시간외],$U1809))</f>
        <v/>
      </c>
      <c r="U1809" s="4">
        <f>IFERROR(MATCH(1804,상세표[발송순번],0),"")</f>
        <v/>
      </c>
    </row>
    <row r="1810">
      <c r="J1810">
        <f>IF($U1810="","",INDEX(상세표[사번],$U1810)&amp;"")</f>
        <v/>
      </c>
      <c r="K1810">
        <f>IF($U1810="","",INDEX(상세표[성명],$U1810)&amp;"")</f>
        <v/>
      </c>
      <c r="L1810">
        <f>IF($U1810="","",INDEX(상세표[직위],$U1810)&amp;"")</f>
        <v/>
      </c>
      <c r="M1810">
        <f>IF($U1810="","",IF(ISNUMBER(INDEX(상세표[근무일자],$U1810)),TEXT(INDEX(상세표[근무일자],$U1810),"yyyy-mm-dd"),INDEX(상세표[근무일자],$U1810)&amp;""))</f>
        <v/>
      </c>
      <c r="N1810">
        <f>IF($U1810="","",IF(ISNUMBER(INDEX(상세표[시작],$U1810)),TEXT(INDEX(상세표[시작],$U1810),"yyyy-mm-dd hh:mm"),INDEX(상세표[시작],$U1810)&amp;""))</f>
        <v/>
      </c>
      <c r="O1810">
        <f>IF($U1810="","",IF(ISNUMBER(INDEX(상세표[종료],$U1810)),TEXT(INDEX(상세표[종료],$U1810),"yyyy-mm-dd hh:mm"),INDEX(상세표[종료],$U1810)&amp;""))</f>
        <v/>
      </c>
      <c r="P1810">
        <f>IF($U1810="","",INDEX(상세표[06~07시],$U1810))</f>
        <v/>
      </c>
      <c r="Q1810">
        <f>IF($U1810="","",INDEX(상세표[07~18시],$U1810))</f>
        <v/>
      </c>
      <c r="R1810">
        <f>IF($U1810="","",INDEX(상세표[18~22시],$U1810))</f>
        <v/>
      </c>
      <c r="S1810">
        <f>IF($U1810="","",INDEX(상세표[22~06시],$U1810))</f>
        <v/>
      </c>
      <c r="T1810">
        <f>IF($U1810="","",INDEX(상세표[기록 시간외],$U1810))</f>
        <v/>
      </c>
      <c r="U1810" s="4">
        <f>IFERROR(MATCH(1805,상세표[발송순번],0),"")</f>
        <v/>
      </c>
    </row>
    <row r="1811">
      <c r="J1811">
        <f>IF($U1811="","",INDEX(상세표[사번],$U1811)&amp;"")</f>
        <v/>
      </c>
      <c r="K1811">
        <f>IF($U1811="","",INDEX(상세표[성명],$U1811)&amp;"")</f>
        <v/>
      </c>
      <c r="L1811">
        <f>IF($U1811="","",INDEX(상세표[직위],$U1811)&amp;"")</f>
        <v/>
      </c>
      <c r="M1811">
        <f>IF($U1811="","",IF(ISNUMBER(INDEX(상세표[근무일자],$U1811)),TEXT(INDEX(상세표[근무일자],$U1811),"yyyy-mm-dd"),INDEX(상세표[근무일자],$U1811)&amp;""))</f>
        <v/>
      </c>
      <c r="N1811">
        <f>IF($U1811="","",IF(ISNUMBER(INDEX(상세표[시작],$U1811)),TEXT(INDEX(상세표[시작],$U1811),"yyyy-mm-dd hh:mm"),INDEX(상세표[시작],$U1811)&amp;""))</f>
        <v/>
      </c>
      <c r="O1811">
        <f>IF($U1811="","",IF(ISNUMBER(INDEX(상세표[종료],$U1811)),TEXT(INDEX(상세표[종료],$U1811),"yyyy-mm-dd hh:mm"),INDEX(상세표[종료],$U1811)&amp;""))</f>
        <v/>
      </c>
      <c r="P1811">
        <f>IF($U1811="","",INDEX(상세표[06~07시],$U1811))</f>
        <v/>
      </c>
      <c r="Q1811">
        <f>IF($U1811="","",INDEX(상세표[07~18시],$U1811))</f>
        <v/>
      </c>
      <c r="R1811">
        <f>IF($U1811="","",INDEX(상세표[18~22시],$U1811))</f>
        <v/>
      </c>
      <c r="S1811">
        <f>IF($U1811="","",INDEX(상세표[22~06시],$U1811))</f>
        <v/>
      </c>
      <c r="T1811">
        <f>IF($U1811="","",INDEX(상세표[기록 시간외],$U1811))</f>
        <v/>
      </c>
      <c r="U1811" s="4">
        <f>IFERROR(MATCH(1806,상세표[발송순번],0),"")</f>
        <v/>
      </c>
    </row>
    <row r="1812">
      <c r="J1812">
        <f>IF($U1812="","",INDEX(상세표[사번],$U1812)&amp;"")</f>
        <v/>
      </c>
      <c r="K1812">
        <f>IF($U1812="","",INDEX(상세표[성명],$U1812)&amp;"")</f>
        <v/>
      </c>
      <c r="L1812">
        <f>IF($U1812="","",INDEX(상세표[직위],$U1812)&amp;"")</f>
        <v/>
      </c>
      <c r="M1812">
        <f>IF($U1812="","",IF(ISNUMBER(INDEX(상세표[근무일자],$U1812)),TEXT(INDEX(상세표[근무일자],$U1812),"yyyy-mm-dd"),INDEX(상세표[근무일자],$U1812)&amp;""))</f>
        <v/>
      </c>
      <c r="N1812">
        <f>IF($U1812="","",IF(ISNUMBER(INDEX(상세표[시작],$U1812)),TEXT(INDEX(상세표[시작],$U1812),"yyyy-mm-dd hh:mm"),INDEX(상세표[시작],$U1812)&amp;""))</f>
        <v/>
      </c>
      <c r="O1812">
        <f>IF($U1812="","",IF(ISNUMBER(INDEX(상세표[종료],$U1812)),TEXT(INDEX(상세표[종료],$U1812),"yyyy-mm-dd hh:mm"),INDEX(상세표[종료],$U1812)&amp;""))</f>
        <v/>
      </c>
      <c r="P1812">
        <f>IF($U1812="","",INDEX(상세표[06~07시],$U1812))</f>
        <v/>
      </c>
      <c r="Q1812">
        <f>IF($U1812="","",INDEX(상세표[07~18시],$U1812))</f>
        <v/>
      </c>
      <c r="R1812">
        <f>IF($U1812="","",INDEX(상세표[18~22시],$U1812))</f>
        <v/>
      </c>
      <c r="S1812">
        <f>IF($U1812="","",INDEX(상세표[22~06시],$U1812))</f>
        <v/>
      </c>
      <c r="T1812">
        <f>IF($U1812="","",INDEX(상세표[기록 시간외],$U1812))</f>
        <v/>
      </c>
      <c r="U1812" s="4">
        <f>IFERROR(MATCH(1807,상세표[발송순번],0),"")</f>
        <v/>
      </c>
    </row>
    <row r="1813">
      <c r="J1813">
        <f>IF($U1813="","",INDEX(상세표[사번],$U1813)&amp;"")</f>
        <v/>
      </c>
      <c r="K1813">
        <f>IF($U1813="","",INDEX(상세표[성명],$U1813)&amp;"")</f>
        <v/>
      </c>
      <c r="L1813">
        <f>IF($U1813="","",INDEX(상세표[직위],$U1813)&amp;"")</f>
        <v/>
      </c>
      <c r="M1813">
        <f>IF($U1813="","",IF(ISNUMBER(INDEX(상세표[근무일자],$U1813)),TEXT(INDEX(상세표[근무일자],$U1813),"yyyy-mm-dd"),INDEX(상세표[근무일자],$U1813)&amp;""))</f>
        <v/>
      </c>
      <c r="N1813">
        <f>IF($U1813="","",IF(ISNUMBER(INDEX(상세표[시작],$U1813)),TEXT(INDEX(상세표[시작],$U1813),"yyyy-mm-dd hh:mm"),INDEX(상세표[시작],$U1813)&amp;""))</f>
        <v/>
      </c>
      <c r="O1813">
        <f>IF($U1813="","",IF(ISNUMBER(INDEX(상세표[종료],$U1813)),TEXT(INDEX(상세표[종료],$U1813),"yyyy-mm-dd hh:mm"),INDEX(상세표[종료],$U1813)&amp;""))</f>
        <v/>
      </c>
      <c r="P1813">
        <f>IF($U1813="","",INDEX(상세표[06~07시],$U1813))</f>
        <v/>
      </c>
      <c r="Q1813">
        <f>IF($U1813="","",INDEX(상세표[07~18시],$U1813))</f>
        <v/>
      </c>
      <c r="R1813">
        <f>IF($U1813="","",INDEX(상세표[18~22시],$U1813))</f>
        <v/>
      </c>
      <c r="S1813">
        <f>IF($U1813="","",INDEX(상세표[22~06시],$U1813))</f>
        <v/>
      </c>
      <c r="T1813">
        <f>IF($U1813="","",INDEX(상세표[기록 시간외],$U1813))</f>
        <v/>
      </c>
      <c r="U1813" s="4">
        <f>IFERROR(MATCH(1808,상세표[발송순번],0),"")</f>
        <v/>
      </c>
    </row>
    <row r="1814">
      <c r="J1814">
        <f>IF($U1814="","",INDEX(상세표[사번],$U1814)&amp;"")</f>
        <v/>
      </c>
      <c r="K1814">
        <f>IF($U1814="","",INDEX(상세표[성명],$U1814)&amp;"")</f>
        <v/>
      </c>
      <c r="L1814">
        <f>IF($U1814="","",INDEX(상세표[직위],$U1814)&amp;"")</f>
        <v/>
      </c>
      <c r="M1814">
        <f>IF($U1814="","",IF(ISNUMBER(INDEX(상세표[근무일자],$U1814)),TEXT(INDEX(상세표[근무일자],$U1814),"yyyy-mm-dd"),INDEX(상세표[근무일자],$U1814)&amp;""))</f>
        <v/>
      </c>
      <c r="N1814">
        <f>IF($U1814="","",IF(ISNUMBER(INDEX(상세표[시작],$U1814)),TEXT(INDEX(상세표[시작],$U1814),"yyyy-mm-dd hh:mm"),INDEX(상세표[시작],$U1814)&amp;""))</f>
        <v/>
      </c>
      <c r="O1814">
        <f>IF($U1814="","",IF(ISNUMBER(INDEX(상세표[종료],$U1814)),TEXT(INDEX(상세표[종료],$U1814),"yyyy-mm-dd hh:mm"),INDEX(상세표[종료],$U1814)&amp;""))</f>
        <v/>
      </c>
      <c r="P1814">
        <f>IF($U1814="","",INDEX(상세표[06~07시],$U1814))</f>
        <v/>
      </c>
      <c r="Q1814">
        <f>IF($U1814="","",INDEX(상세표[07~18시],$U1814))</f>
        <v/>
      </c>
      <c r="R1814">
        <f>IF($U1814="","",INDEX(상세표[18~22시],$U1814))</f>
        <v/>
      </c>
      <c r="S1814">
        <f>IF($U1814="","",INDEX(상세표[22~06시],$U1814))</f>
        <v/>
      </c>
      <c r="T1814">
        <f>IF($U1814="","",INDEX(상세표[기록 시간외],$U1814))</f>
        <v/>
      </c>
      <c r="U1814" s="4">
        <f>IFERROR(MATCH(1809,상세표[발송순번],0),"")</f>
        <v/>
      </c>
    </row>
    <row r="1815">
      <c r="J1815">
        <f>IF($U1815="","",INDEX(상세표[사번],$U1815)&amp;"")</f>
        <v/>
      </c>
      <c r="K1815">
        <f>IF($U1815="","",INDEX(상세표[성명],$U1815)&amp;"")</f>
        <v/>
      </c>
      <c r="L1815">
        <f>IF($U1815="","",INDEX(상세표[직위],$U1815)&amp;"")</f>
        <v/>
      </c>
      <c r="M1815">
        <f>IF($U1815="","",IF(ISNUMBER(INDEX(상세표[근무일자],$U1815)),TEXT(INDEX(상세표[근무일자],$U1815),"yyyy-mm-dd"),INDEX(상세표[근무일자],$U1815)&amp;""))</f>
        <v/>
      </c>
      <c r="N1815">
        <f>IF($U1815="","",IF(ISNUMBER(INDEX(상세표[시작],$U1815)),TEXT(INDEX(상세표[시작],$U1815),"yyyy-mm-dd hh:mm"),INDEX(상세표[시작],$U1815)&amp;""))</f>
        <v/>
      </c>
      <c r="O1815">
        <f>IF($U1815="","",IF(ISNUMBER(INDEX(상세표[종료],$U1815)),TEXT(INDEX(상세표[종료],$U1815),"yyyy-mm-dd hh:mm"),INDEX(상세표[종료],$U1815)&amp;""))</f>
        <v/>
      </c>
      <c r="P1815">
        <f>IF($U1815="","",INDEX(상세표[06~07시],$U1815))</f>
        <v/>
      </c>
      <c r="Q1815">
        <f>IF($U1815="","",INDEX(상세표[07~18시],$U1815))</f>
        <v/>
      </c>
      <c r="R1815">
        <f>IF($U1815="","",INDEX(상세표[18~22시],$U1815))</f>
        <v/>
      </c>
      <c r="S1815">
        <f>IF($U1815="","",INDEX(상세표[22~06시],$U1815))</f>
        <v/>
      </c>
      <c r="T1815">
        <f>IF($U1815="","",INDEX(상세표[기록 시간외],$U1815))</f>
        <v/>
      </c>
      <c r="U1815" s="4">
        <f>IFERROR(MATCH(1810,상세표[발송순번],0),"")</f>
        <v/>
      </c>
    </row>
    <row r="1816">
      <c r="J1816">
        <f>IF($U1816="","",INDEX(상세표[사번],$U1816)&amp;"")</f>
        <v/>
      </c>
      <c r="K1816">
        <f>IF($U1816="","",INDEX(상세표[성명],$U1816)&amp;"")</f>
        <v/>
      </c>
      <c r="L1816">
        <f>IF($U1816="","",INDEX(상세표[직위],$U1816)&amp;"")</f>
        <v/>
      </c>
      <c r="M1816">
        <f>IF($U1816="","",IF(ISNUMBER(INDEX(상세표[근무일자],$U1816)),TEXT(INDEX(상세표[근무일자],$U1816),"yyyy-mm-dd"),INDEX(상세표[근무일자],$U1816)&amp;""))</f>
        <v/>
      </c>
      <c r="N1816">
        <f>IF($U1816="","",IF(ISNUMBER(INDEX(상세표[시작],$U1816)),TEXT(INDEX(상세표[시작],$U1816),"yyyy-mm-dd hh:mm"),INDEX(상세표[시작],$U1816)&amp;""))</f>
        <v/>
      </c>
      <c r="O1816">
        <f>IF($U1816="","",IF(ISNUMBER(INDEX(상세표[종료],$U1816)),TEXT(INDEX(상세표[종료],$U1816),"yyyy-mm-dd hh:mm"),INDEX(상세표[종료],$U1816)&amp;""))</f>
        <v/>
      </c>
      <c r="P1816">
        <f>IF($U1816="","",INDEX(상세표[06~07시],$U1816))</f>
        <v/>
      </c>
      <c r="Q1816">
        <f>IF($U1816="","",INDEX(상세표[07~18시],$U1816))</f>
        <v/>
      </c>
      <c r="R1816">
        <f>IF($U1816="","",INDEX(상세표[18~22시],$U1816))</f>
        <v/>
      </c>
      <c r="S1816">
        <f>IF($U1816="","",INDEX(상세표[22~06시],$U1816))</f>
        <v/>
      </c>
      <c r="T1816">
        <f>IF($U1816="","",INDEX(상세표[기록 시간외],$U1816))</f>
        <v/>
      </c>
      <c r="U1816" s="4">
        <f>IFERROR(MATCH(1811,상세표[발송순번],0),"")</f>
        <v/>
      </c>
    </row>
    <row r="1817">
      <c r="J1817">
        <f>IF($U1817="","",INDEX(상세표[사번],$U1817)&amp;"")</f>
        <v/>
      </c>
      <c r="K1817">
        <f>IF($U1817="","",INDEX(상세표[성명],$U1817)&amp;"")</f>
        <v/>
      </c>
      <c r="L1817">
        <f>IF($U1817="","",INDEX(상세표[직위],$U1817)&amp;"")</f>
        <v/>
      </c>
      <c r="M1817">
        <f>IF($U1817="","",IF(ISNUMBER(INDEX(상세표[근무일자],$U1817)),TEXT(INDEX(상세표[근무일자],$U1817),"yyyy-mm-dd"),INDEX(상세표[근무일자],$U1817)&amp;""))</f>
        <v/>
      </c>
      <c r="N1817">
        <f>IF($U1817="","",IF(ISNUMBER(INDEX(상세표[시작],$U1817)),TEXT(INDEX(상세표[시작],$U1817),"yyyy-mm-dd hh:mm"),INDEX(상세표[시작],$U1817)&amp;""))</f>
        <v/>
      </c>
      <c r="O1817">
        <f>IF($U1817="","",IF(ISNUMBER(INDEX(상세표[종료],$U1817)),TEXT(INDEX(상세표[종료],$U1817),"yyyy-mm-dd hh:mm"),INDEX(상세표[종료],$U1817)&amp;""))</f>
        <v/>
      </c>
      <c r="P1817">
        <f>IF($U1817="","",INDEX(상세표[06~07시],$U1817))</f>
        <v/>
      </c>
      <c r="Q1817">
        <f>IF($U1817="","",INDEX(상세표[07~18시],$U1817))</f>
        <v/>
      </c>
      <c r="R1817">
        <f>IF($U1817="","",INDEX(상세표[18~22시],$U1817))</f>
        <v/>
      </c>
      <c r="S1817">
        <f>IF($U1817="","",INDEX(상세표[22~06시],$U1817))</f>
        <v/>
      </c>
      <c r="T1817">
        <f>IF($U1817="","",INDEX(상세표[기록 시간외],$U1817))</f>
        <v/>
      </c>
      <c r="U1817" s="4">
        <f>IFERROR(MATCH(1812,상세표[발송순번],0),"")</f>
        <v/>
      </c>
    </row>
    <row r="1818">
      <c r="J1818">
        <f>IF($U1818="","",INDEX(상세표[사번],$U1818)&amp;"")</f>
        <v/>
      </c>
      <c r="K1818">
        <f>IF($U1818="","",INDEX(상세표[성명],$U1818)&amp;"")</f>
        <v/>
      </c>
      <c r="L1818">
        <f>IF($U1818="","",INDEX(상세표[직위],$U1818)&amp;"")</f>
        <v/>
      </c>
      <c r="M1818">
        <f>IF($U1818="","",IF(ISNUMBER(INDEX(상세표[근무일자],$U1818)),TEXT(INDEX(상세표[근무일자],$U1818),"yyyy-mm-dd"),INDEX(상세표[근무일자],$U1818)&amp;""))</f>
        <v/>
      </c>
      <c r="N1818">
        <f>IF($U1818="","",IF(ISNUMBER(INDEX(상세표[시작],$U1818)),TEXT(INDEX(상세표[시작],$U1818),"yyyy-mm-dd hh:mm"),INDEX(상세표[시작],$U1818)&amp;""))</f>
        <v/>
      </c>
      <c r="O1818">
        <f>IF($U1818="","",IF(ISNUMBER(INDEX(상세표[종료],$U1818)),TEXT(INDEX(상세표[종료],$U1818),"yyyy-mm-dd hh:mm"),INDEX(상세표[종료],$U1818)&amp;""))</f>
        <v/>
      </c>
      <c r="P1818">
        <f>IF($U1818="","",INDEX(상세표[06~07시],$U1818))</f>
        <v/>
      </c>
      <c r="Q1818">
        <f>IF($U1818="","",INDEX(상세표[07~18시],$U1818))</f>
        <v/>
      </c>
      <c r="R1818">
        <f>IF($U1818="","",INDEX(상세표[18~22시],$U1818))</f>
        <v/>
      </c>
      <c r="S1818">
        <f>IF($U1818="","",INDEX(상세표[22~06시],$U1818))</f>
        <v/>
      </c>
      <c r="T1818">
        <f>IF($U1818="","",INDEX(상세표[기록 시간외],$U1818))</f>
        <v/>
      </c>
      <c r="U1818" s="4">
        <f>IFERROR(MATCH(1813,상세표[발송순번],0),"")</f>
        <v/>
      </c>
    </row>
    <row r="1819">
      <c r="J1819">
        <f>IF($U1819="","",INDEX(상세표[사번],$U1819)&amp;"")</f>
        <v/>
      </c>
      <c r="K1819">
        <f>IF($U1819="","",INDEX(상세표[성명],$U1819)&amp;"")</f>
        <v/>
      </c>
      <c r="L1819">
        <f>IF($U1819="","",INDEX(상세표[직위],$U1819)&amp;"")</f>
        <v/>
      </c>
      <c r="M1819">
        <f>IF($U1819="","",IF(ISNUMBER(INDEX(상세표[근무일자],$U1819)),TEXT(INDEX(상세표[근무일자],$U1819),"yyyy-mm-dd"),INDEX(상세표[근무일자],$U1819)&amp;""))</f>
        <v/>
      </c>
      <c r="N1819">
        <f>IF($U1819="","",IF(ISNUMBER(INDEX(상세표[시작],$U1819)),TEXT(INDEX(상세표[시작],$U1819),"yyyy-mm-dd hh:mm"),INDEX(상세표[시작],$U1819)&amp;""))</f>
        <v/>
      </c>
      <c r="O1819">
        <f>IF($U1819="","",IF(ISNUMBER(INDEX(상세표[종료],$U1819)),TEXT(INDEX(상세표[종료],$U1819),"yyyy-mm-dd hh:mm"),INDEX(상세표[종료],$U1819)&amp;""))</f>
        <v/>
      </c>
      <c r="P1819">
        <f>IF($U1819="","",INDEX(상세표[06~07시],$U1819))</f>
        <v/>
      </c>
      <c r="Q1819">
        <f>IF($U1819="","",INDEX(상세표[07~18시],$U1819))</f>
        <v/>
      </c>
      <c r="R1819">
        <f>IF($U1819="","",INDEX(상세표[18~22시],$U1819))</f>
        <v/>
      </c>
      <c r="S1819">
        <f>IF($U1819="","",INDEX(상세표[22~06시],$U1819))</f>
        <v/>
      </c>
      <c r="T1819">
        <f>IF($U1819="","",INDEX(상세표[기록 시간외],$U1819))</f>
        <v/>
      </c>
      <c r="U1819" s="4">
        <f>IFERROR(MATCH(1814,상세표[발송순번],0),"")</f>
        <v/>
      </c>
    </row>
    <row r="1820">
      <c r="J1820">
        <f>IF($U1820="","",INDEX(상세표[사번],$U1820)&amp;"")</f>
        <v/>
      </c>
      <c r="K1820">
        <f>IF($U1820="","",INDEX(상세표[성명],$U1820)&amp;"")</f>
        <v/>
      </c>
      <c r="L1820">
        <f>IF($U1820="","",INDEX(상세표[직위],$U1820)&amp;"")</f>
        <v/>
      </c>
      <c r="M1820">
        <f>IF($U1820="","",IF(ISNUMBER(INDEX(상세표[근무일자],$U1820)),TEXT(INDEX(상세표[근무일자],$U1820),"yyyy-mm-dd"),INDEX(상세표[근무일자],$U1820)&amp;""))</f>
        <v/>
      </c>
      <c r="N1820">
        <f>IF($U1820="","",IF(ISNUMBER(INDEX(상세표[시작],$U1820)),TEXT(INDEX(상세표[시작],$U1820),"yyyy-mm-dd hh:mm"),INDEX(상세표[시작],$U1820)&amp;""))</f>
        <v/>
      </c>
      <c r="O1820">
        <f>IF($U1820="","",IF(ISNUMBER(INDEX(상세표[종료],$U1820)),TEXT(INDEX(상세표[종료],$U1820),"yyyy-mm-dd hh:mm"),INDEX(상세표[종료],$U1820)&amp;""))</f>
        <v/>
      </c>
      <c r="P1820">
        <f>IF($U1820="","",INDEX(상세표[06~07시],$U1820))</f>
        <v/>
      </c>
      <c r="Q1820">
        <f>IF($U1820="","",INDEX(상세표[07~18시],$U1820))</f>
        <v/>
      </c>
      <c r="R1820">
        <f>IF($U1820="","",INDEX(상세표[18~22시],$U1820))</f>
        <v/>
      </c>
      <c r="S1820">
        <f>IF($U1820="","",INDEX(상세표[22~06시],$U1820))</f>
        <v/>
      </c>
      <c r="T1820">
        <f>IF($U1820="","",INDEX(상세표[기록 시간외],$U1820))</f>
        <v/>
      </c>
      <c r="U1820" s="4">
        <f>IFERROR(MATCH(1815,상세표[발송순번],0),"")</f>
        <v/>
      </c>
    </row>
    <row r="1821">
      <c r="J1821">
        <f>IF($U1821="","",INDEX(상세표[사번],$U1821)&amp;"")</f>
        <v/>
      </c>
      <c r="K1821">
        <f>IF($U1821="","",INDEX(상세표[성명],$U1821)&amp;"")</f>
        <v/>
      </c>
      <c r="L1821">
        <f>IF($U1821="","",INDEX(상세표[직위],$U1821)&amp;"")</f>
        <v/>
      </c>
      <c r="M1821">
        <f>IF($U1821="","",IF(ISNUMBER(INDEX(상세표[근무일자],$U1821)),TEXT(INDEX(상세표[근무일자],$U1821),"yyyy-mm-dd"),INDEX(상세표[근무일자],$U1821)&amp;""))</f>
        <v/>
      </c>
      <c r="N1821">
        <f>IF($U1821="","",IF(ISNUMBER(INDEX(상세표[시작],$U1821)),TEXT(INDEX(상세표[시작],$U1821),"yyyy-mm-dd hh:mm"),INDEX(상세표[시작],$U1821)&amp;""))</f>
        <v/>
      </c>
      <c r="O1821">
        <f>IF($U1821="","",IF(ISNUMBER(INDEX(상세표[종료],$U1821)),TEXT(INDEX(상세표[종료],$U1821),"yyyy-mm-dd hh:mm"),INDEX(상세표[종료],$U1821)&amp;""))</f>
        <v/>
      </c>
      <c r="P1821">
        <f>IF($U1821="","",INDEX(상세표[06~07시],$U1821))</f>
        <v/>
      </c>
      <c r="Q1821">
        <f>IF($U1821="","",INDEX(상세표[07~18시],$U1821))</f>
        <v/>
      </c>
      <c r="R1821">
        <f>IF($U1821="","",INDEX(상세표[18~22시],$U1821))</f>
        <v/>
      </c>
      <c r="S1821">
        <f>IF($U1821="","",INDEX(상세표[22~06시],$U1821))</f>
        <v/>
      </c>
      <c r="T1821">
        <f>IF($U1821="","",INDEX(상세표[기록 시간외],$U1821))</f>
        <v/>
      </c>
      <c r="U1821" s="4">
        <f>IFERROR(MATCH(1816,상세표[발송순번],0),"")</f>
        <v/>
      </c>
    </row>
    <row r="1822">
      <c r="J1822">
        <f>IF($U1822="","",INDEX(상세표[사번],$U1822)&amp;"")</f>
        <v/>
      </c>
      <c r="K1822">
        <f>IF($U1822="","",INDEX(상세표[성명],$U1822)&amp;"")</f>
        <v/>
      </c>
      <c r="L1822">
        <f>IF($U1822="","",INDEX(상세표[직위],$U1822)&amp;"")</f>
        <v/>
      </c>
      <c r="M1822">
        <f>IF($U1822="","",IF(ISNUMBER(INDEX(상세표[근무일자],$U1822)),TEXT(INDEX(상세표[근무일자],$U1822),"yyyy-mm-dd"),INDEX(상세표[근무일자],$U1822)&amp;""))</f>
        <v/>
      </c>
      <c r="N1822">
        <f>IF($U1822="","",IF(ISNUMBER(INDEX(상세표[시작],$U1822)),TEXT(INDEX(상세표[시작],$U1822),"yyyy-mm-dd hh:mm"),INDEX(상세표[시작],$U1822)&amp;""))</f>
        <v/>
      </c>
      <c r="O1822">
        <f>IF($U1822="","",IF(ISNUMBER(INDEX(상세표[종료],$U1822)),TEXT(INDEX(상세표[종료],$U1822),"yyyy-mm-dd hh:mm"),INDEX(상세표[종료],$U1822)&amp;""))</f>
        <v/>
      </c>
      <c r="P1822">
        <f>IF($U1822="","",INDEX(상세표[06~07시],$U1822))</f>
        <v/>
      </c>
      <c r="Q1822">
        <f>IF($U1822="","",INDEX(상세표[07~18시],$U1822))</f>
        <v/>
      </c>
      <c r="R1822">
        <f>IF($U1822="","",INDEX(상세표[18~22시],$U1822))</f>
        <v/>
      </c>
      <c r="S1822">
        <f>IF($U1822="","",INDEX(상세표[22~06시],$U1822))</f>
        <v/>
      </c>
      <c r="T1822">
        <f>IF($U1822="","",INDEX(상세표[기록 시간외],$U1822))</f>
        <v/>
      </c>
      <c r="U1822" s="4">
        <f>IFERROR(MATCH(1817,상세표[발송순번],0),"")</f>
        <v/>
      </c>
    </row>
    <row r="1823">
      <c r="J1823">
        <f>IF($U1823="","",INDEX(상세표[사번],$U1823)&amp;"")</f>
        <v/>
      </c>
      <c r="K1823">
        <f>IF($U1823="","",INDEX(상세표[성명],$U1823)&amp;"")</f>
        <v/>
      </c>
      <c r="L1823">
        <f>IF($U1823="","",INDEX(상세표[직위],$U1823)&amp;"")</f>
        <v/>
      </c>
      <c r="M1823">
        <f>IF($U1823="","",IF(ISNUMBER(INDEX(상세표[근무일자],$U1823)),TEXT(INDEX(상세표[근무일자],$U1823),"yyyy-mm-dd"),INDEX(상세표[근무일자],$U1823)&amp;""))</f>
        <v/>
      </c>
      <c r="N1823">
        <f>IF($U1823="","",IF(ISNUMBER(INDEX(상세표[시작],$U1823)),TEXT(INDEX(상세표[시작],$U1823),"yyyy-mm-dd hh:mm"),INDEX(상세표[시작],$U1823)&amp;""))</f>
        <v/>
      </c>
      <c r="O1823">
        <f>IF($U1823="","",IF(ISNUMBER(INDEX(상세표[종료],$U1823)),TEXT(INDEX(상세표[종료],$U1823),"yyyy-mm-dd hh:mm"),INDEX(상세표[종료],$U1823)&amp;""))</f>
        <v/>
      </c>
      <c r="P1823">
        <f>IF($U1823="","",INDEX(상세표[06~07시],$U1823))</f>
        <v/>
      </c>
      <c r="Q1823">
        <f>IF($U1823="","",INDEX(상세표[07~18시],$U1823))</f>
        <v/>
      </c>
      <c r="R1823">
        <f>IF($U1823="","",INDEX(상세표[18~22시],$U1823))</f>
        <v/>
      </c>
      <c r="S1823">
        <f>IF($U1823="","",INDEX(상세표[22~06시],$U1823))</f>
        <v/>
      </c>
      <c r="T1823">
        <f>IF($U1823="","",INDEX(상세표[기록 시간외],$U1823))</f>
        <v/>
      </c>
      <c r="U1823" s="4">
        <f>IFERROR(MATCH(1818,상세표[발송순번],0),"")</f>
        <v/>
      </c>
    </row>
    <row r="1824">
      <c r="J1824">
        <f>IF($U1824="","",INDEX(상세표[사번],$U1824)&amp;"")</f>
        <v/>
      </c>
      <c r="K1824">
        <f>IF($U1824="","",INDEX(상세표[성명],$U1824)&amp;"")</f>
        <v/>
      </c>
      <c r="L1824">
        <f>IF($U1824="","",INDEX(상세표[직위],$U1824)&amp;"")</f>
        <v/>
      </c>
      <c r="M1824">
        <f>IF($U1824="","",IF(ISNUMBER(INDEX(상세표[근무일자],$U1824)),TEXT(INDEX(상세표[근무일자],$U1824),"yyyy-mm-dd"),INDEX(상세표[근무일자],$U1824)&amp;""))</f>
        <v/>
      </c>
      <c r="N1824">
        <f>IF($U1824="","",IF(ISNUMBER(INDEX(상세표[시작],$U1824)),TEXT(INDEX(상세표[시작],$U1824),"yyyy-mm-dd hh:mm"),INDEX(상세표[시작],$U1824)&amp;""))</f>
        <v/>
      </c>
      <c r="O1824">
        <f>IF($U1824="","",IF(ISNUMBER(INDEX(상세표[종료],$U1824)),TEXT(INDEX(상세표[종료],$U1824),"yyyy-mm-dd hh:mm"),INDEX(상세표[종료],$U1824)&amp;""))</f>
        <v/>
      </c>
      <c r="P1824">
        <f>IF($U1824="","",INDEX(상세표[06~07시],$U1824))</f>
        <v/>
      </c>
      <c r="Q1824">
        <f>IF($U1824="","",INDEX(상세표[07~18시],$U1824))</f>
        <v/>
      </c>
      <c r="R1824">
        <f>IF($U1824="","",INDEX(상세표[18~22시],$U1824))</f>
        <v/>
      </c>
      <c r="S1824">
        <f>IF($U1824="","",INDEX(상세표[22~06시],$U1824))</f>
        <v/>
      </c>
      <c r="T1824">
        <f>IF($U1824="","",INDEX(상세표[기록 시간외],$U1824))</f>
        <v/>
      </c>
      <c r="U1824" s="4">
        <f>IFERROR(MATCH(1819,상세표[발송순번],0),"")</f>
        <v/>
      </c>
    </row>
    <row r="1825">
      <c r="J1825">
        <f>IF($U1825="","",INDEX(상세표[사번],$U1825)&amp;"")</f>
        <v/>
      </c>
      <c r="K1825">
        <f>IF($U1825="","",INDEX(상세표[성명],$U1825)&amp;"")</f>
        <v/>
      </c>
      <c r="L1825">
        <f>IF($U1825="","",INDEX(상세표[직위],$U1825)&amp;"")</f>
        <v/>
      </c>
      <c r="M1825">
        <f>IF($U1825="","",IF(ISNUMBER(INDEX(상세표[근무일자],$U1825)),TEXT(INDEX(상세표[근무일자],$U1825),"yyyy-mm-dd"),INDEX(상세표[근무일자],$U1825)&amp;""))</f>
        <v/>
      </c>
      <c r="N1825">
        <f>IF($U1825="","",IF(ISNUMBER(INDEX(상세표[시작],$U1825)),TEXT(INDEX(상세표[시작],$U1825),"yyyy-mm-dd hh:mm"),INDEX(상세표[시작],$U1825)&amp;""))</f>
        <v/>
      </c>
      <c r="O1825">
        <f>IF($U1825="","",IF(ISNUMBER(INDEX(상세표[종료],$U1825)),TEXT(INDEX(상세표[종료],$U1825),"yyyy-mm-dd hh:mm"),INDEX(상세표[종료],$U1825)&amp;""))</f>
        <v/>
      </c>
      <c r="P1825">
        <f>IF($U1825="","",INDEX(상세표[06~07시],$U1825))</f>
        <v/>
      </c>
      <c r="Q1825">
        <f>IF($U1825="","",INDEX(상세표[07~18시],$U1825))</f>
        <v/>
      </c>
      <c r="R1825">
        <f>IF($U1825="","",INDEX(상세표[18~22시],$U1825))</f>
        <v/>
      </c>
      <c r="S1825">
        <f>IF($U1825="","",INDEX(상세표[22~06시],$U1825))</f>
        <v/>
      </c>
      <c r="T1825">
        <f>IF($U1825="","",INDEX(상세표[기록 시간외],$U1825))</f>
        <v/>
      </c>
      <c r="U1825" s="4">
        <f>IFERROR(MATCH(1820,상세표[발송순번],0),"")</f>
        <v/>
      </c>
    </row>
    <row r="1826">
      <c r="J1826">
        <f>IF($U1826="","",INDEX(상세표[사번],$U1826)&amp;"")</f>
        <v/>
      </c>
      <c r="K1826">
        <f>IF($U1826="","",INDEX(상세표[성명],$U1826)&amp;"")</f>
        <v/>
      </c>
      <c r="L1826">
        <f>IF($U1826="","",INDEX(상세표[직위],$U1826)&amp;"")</f>
        <v/>
      </c>
      <c r="M1826">
        <f>IF($U1826="","",IF(ISNUMBER(INDEX(상세표[근무일자],$U1826)),TEXT(INDEX(상세표[근무일자],$U1826),"yyyy-mm-dd"),INDEX(상세표[근무일자],$U1826)&amp;""))</f>
        <v/>
      </c>
      <c r="N1826">
        <f>IF($U1826="","",IF(ISNUMBER(INDEX(상세표[시작],$U1826)),TEXT(INDEX(상세표[시작],$U1826),"yyyy-mm-dd hh:mm"),INDEX(상세표[시작],$U1826)&amp;""))</f>
        <v/>
      </c>
      <c r="O1826">
        <f>IF($U1826="","",IF(ISNUMBER(INDEX(상세표[종료],$U1826)),TEXT(INDEX(상세표[종료],$U1826),"yyyy-mm-dd hh:mm"),INDEX(상세표[종료],$U1826)&amp;""))</f>
        <v/>
      </c>
      <c r="P1826">
        <f>IF($U1826="","",INDEX(상세표[06~07시],$U1826))</f>
        <v/>
      </c>
      <c r="Q1826">
        <f>IF($U1826="","",INDEX(상세표[07~18시],$U1826))</f>
        <v/>
      </c>
      <c r="R1826">
        <f>IF($U1826="","",INDEX(상세표[18~22시],$U1826))</f>
        <v/>
      </c>
      <c r="S1826">
        <f>IF($U1826="","",INDEX(상세표[22~06시],$U1826))</f>
        <v/>
      </c>
      <c r="T1826">
        <f>IF($U1826="","",INDEX(상세표[기록 시간외],$U1826))</f>
        <v/>
      </c>
      <c r="U1826" s="4">
        <f>IFERROR(MATCH(1821,상세표[발송순번],0),"")</f>
        <v/>
      </c>
    </row>
    <row r="1827">
      <c r="J1827">
        <f>IF($U1827="","",INDEX(상세표[사번],$U1827)&amp;"")</f>
        <v/>
      </c>
      <c r="K1827">
        <f>IF($U1827="","",INDEX(상세표[성명],$U1827)&amp;"")</f>
        <v/>
      </c>
      <c r="L1827">
        <f>IF($U1827="","",INDEX(상세표[직위],$U1827)&amp;"")</f>
        <v/>
      </c>
      <c r="M1827">
        <f>IF($U1827="","",IF(ISNUMBER(INDEX(상세표[근무일자],$U1827)),TEXT(INDEX(상세표[근무일자],$U1827),"yyyy-mm-dd"),INDEX(상세표[근무일자],$U1827)&amp;""))</f>
        <v/>
      </c>
      <c r="N1827">
        <f>IF($U1827="","",IF(ISNUMBER(INDEX(상세표[시작],$U1827)),TEXT(INDEX(상세표[시작],$U1827),"yyyy-mm-dd hh:mm"),INDEX(상세표[시작],$U1827)&amp;""))</f>
        <v/>
      </c>
      <c r="O1827">
        <f>IF($U1827="","",IF(ISNUMBER(INDEX(상세표[종료],$U1827)),TEXT(INDEX(상세표[종료],$U1827),"yyyy-mm-dd hh:mm"),INDEX(상세표[종료],$U1827)&amp;""))</f>
        <v/>
      </c>
      <c r="P1827">
        <f>IF($U1827="","",INDEX(상세표[06~07시],$U1827))</f>
        <v/>
      </c>
      <c r="Q1827">
        <f>IF($U1827="","",INDEX(상세표[07~18시],$U1827))</f>
        <v/>
      </c>
      <c r="R1827">
        <f>IF($U1827="","",INDEX(상세표[18~22시],$U1827))</f>
        <v/>
      </c>
      <c r="S1827">
        <f>IF($U1827="","",INDEX(상세표[22~06시],$U1827))</f>
        <v/>
      </c>
      <c r="T1827">
        <f>IF($U1827="","",INDEX(상세표[기록 시간외],$U1827))</f>
        <v/>
      </c>
      <c r="U1827" s="4">
        <f>IFERROR(MATCH(1822,상세표[발송순번],0),"")</f>
        <v/>
      </c>
    </row>
    <row r="1828">
      <c r="J1828">
        <f>IF($U1828="","",INDEX(상세표[사번],$U1828)&amp;"")</f>
        <v/>
      </c>
      <c r="K1828">
        <f>IF($U1828="","",INDEX(상세표[성명],$U1828)&amp;"")</f>
        <v/>
      </c>
      <c r="L1828">
        <f>IF($U1828="","",INDEX(상세표[직위],$U1828)&amp;"")</f>
        <v/>
      </c>
      <c r="M1828">
        <f>IF($U1828="","",IF(ISNUMBER(INDEX(상세표[근무일자],$U1828)),TEXT(INDEX(상세표[근무일자],$U1828),"yyyy-mm-dd"),INDEX(상세표[근무일자],$U1828)&amp;""))</f>
        <v/>
      </c>
      <c r="N1828">
        <f>IF($U1828="","",IF(ISNUMBER(INDEX(상세표[시작],$U1828)),TEXT(INDEX(상세표[시작],$U1828),"yyyy-mm-dd hh:mm"),INDEX(상세표[시작],$U1828)&amp;""))</f>
        <v/>
      </c>
      <c r="O1828">
        <f>IF($U1828="","",IF(ISNUMBER(INDEX(상세표[종료],$U1828)),TEXT(INDEX(상세표[종료],$U1828),"yyyy-mm-dd hh:mm"),INDEX(상세표[종료],$U1828)&amp;""))</f>
        <v/>
      </c>
      <c r="P1828">
        <f>IF($U1828="","",INDEX(상세표[06~07시],$U1828))</f>
        <v/>
      </c>
      <c r="Q1828">
        <f>IF($U1828="","",INDEX(상세표[07~18시],$U1828))</f>
        <v/>
      </c>
      <c r="R1828">
        <f>IF($U1828="","",INDEX(상세표[18~22시],$U1828))</f>
        <v/>
      </c>
      <c r="S1828">
        <f>IF($U1828="","",INDEX(상세표[22~06시],$U1828))</f>
        <v/>
      </c>
      <c r="T1828">
        <f>IF($U1828="","",INDEX(상세표[기록 시간외],$U1828))</f>
        <v/>
      </c>
      <c r="U1828" s="4">
        <f>IFERROR(MATCH(1823,상세표[발송순번],0),"")</f>
        <v/>
      </c>
    </row>
    <row r="1829">
      <c r="J1829">
        <f>IF($U1829="","",INDEX(상세표[사번],$U1829)&amp;"")</f>
        <v/>
      </c>
      <c r="K1829">
        <f>IF($U1829="","",INDEX(상세표[성명],$U1829)&amp;"")</f>
        <v/>
      </c>
      <c r="L1829">
        <f>IF($U1829="","",INDEX(상세표[직위],$U1829)&amp;"")</f>
        <v/>
      </c>
      <c r="M1829">
        <f>IF($U1829="","",IF(ISNUMBER(INDEX(상세표[근무일자],$U1829)),TEXT(INDEX(상세표[근무일자],$U1829),"yyyy-mm-dd"),INDEX(상세표[근무일자],$U1829)&amp;""))</f>
        <v/>
      </c>
      <c r="N1829">
        <f>IF($U1829="","",IF(ISNUMBER(INDEX(상세표[시작],$U1829)),TEXT(INDEX(상세표[시작],$U1829),"yyyy-mm-dd hh:mm"),INDEX(상세표[시작],$U1829)&amp;""))</f>
        <v/>
      </c>
      <c r="O1829">
        <f>IF($U1829="","",IF(ISNUMBER(INDEX(상세표[종료],$U1829)),TEXT(INDEX(상세표[종료],$U1829),"yyyy-mm-dd hh:mm"),INDEX(상세표[종료],$U1829)&amp;""))</f>
        <v/>
      </c>
      <c r="P1829">
        <f>IF($U1829="","",INDEX(상세표[06~07시],$U1829))</f>
        <v/>
      </c>
      <c r="Q1829">
        <f>IF($U1829="","",INDEX(상세표[07~18시],$U1829))</f>
        <v/>
      </c>
      <c r="R1829">
        <f>IF($U1829="","",INDEX(상세표[18~22시],$U1829))</f>
        <v/>
      </c>
      <c r="S1829">
        <f>IF($U1829="","",INDEX(상세표[22~06시],$U1829))</f>
        <v/>
      </c>
      <c r="T1829">
        <f>IF($U1829="","",INDEX(상세표[기록 시간외],$U1829))</f>
        <v/>
      </c>
      <c r="U1829" s="4">
        <f>IFERROR(MATCH(1824,상세표[발송순번],0),"")</f>
        <v/>
      </c>
    </row>
    <row r="1830">
      <c r="J1830">
        <f>IF($U1830="","",INDEX(상세표[사번],$U1830)&amp;"")</f>
        <v/>
      </c>
      <c r="K1830">
        <f>IF($U1830="","",INDEX(상세표[성명],$U1830)&amp;"")</f>
        <v/>
      </c>
      <c r="L1830">
        <f>IF($U1830="","",INDEX(상세표[직위],$U1830)&amp;"")</f>
        <v/>
      </c>
      <c r="M1830">
        <f>IF($U1830="","",IF(ISNUMBER(INDEX(상세표[근무일자],$U1830)),TEXT(INDEX(상세표[근무일자],$U1830),"yyyy-mm-dd"),INDEX(상세표[근무일자],$U1830)&amp;""))</f>
        <v/>
      </c>
      <c r="N1830">
        <f>IF($U1830="","",IF(ISNUMBER(INDEX(상세표[시작],$U1830)),TEXT(INDEX(상세표[시작],$U1830),"yyyy-mm-dd hh:mm"),INDEX(상세표[시작],$U1830)&amp;""))</f>
        <v/>
      </c>
      <c r="O1830">
        <f>IF($U1830="","",IF(ISNUMBER(INDEX(상세표[종료],$U1830)),TEXT(INDEX(상세표[종료],$U1830),"yyyy-mm-dd hh:mm"),INDEX(상세표[종료],$U1830)&amp;""))</f>
        <v/>
      </c>
      <c r="P1830">
        <f>IF($U1830="","",INDEX(상세표[06~07시],$U1830))</f>
        <v/>
      </c>
      <c r="Q1830">
        <f>IF($U1830="","",INDEX(상세표[07~18시],$U1830))</f>
        <v/>
      </c>
      <c r="R1830">
        <f>IF($U1830="","",INDEX(상세표[18~22시],$U1830))</f>
        <v/>
      </c>
      <c r="S1830">
        <f>IF($U1830="","",INDEX(상세표[22~06시],$U1830))</f>
        <v/>
      </c>
      <c r="T1830">
        <f>IF($U1830="","",INDEX(상세표[기록 시간외],$U1830))</f>
        <v/>
      </c>
      <c r="U1830" s="4">
        <f>IFERROR(MATCH(1825,상세표[발송순번],0),"")</f>
        <v/>
      </c>
    </row>
    <row r="1831">
      <c r="J1831">
        <f>IF($U1831="","",INDEX(상세표[사번],$U1831)&amp;"")</f>
        <v/>
      </c>
      <c r="K1831">
        <f>IF($U1831="","",INDEX(상세표[성명],$U1831)&amp;"")</f>
        <v/>
      </c>
      <c r="L1831">
        <f>IF($U1831="","",INDEX(상세표[직위],$U1831)&amp;"")</f>
        <v/>
      </c>
      <c r="M1831">
        <f>IF($U1831="","",IF(ISNUMBER(INDEX(상세표[근무일자],$U1831)),TEXT(INDEX(상세표[근무일자],$U1831),"yyyy-mm-dd"),INDEX(상세표[근무일자],$U1831)&amp;""))</f>
        <v/>
      </c>
      <c r="N1831">
        <f>IF($U1831="","",IF(ISNUMBER(INDEX(상세표[시작],$U1831)),TEXT(INDEX(상세표[시작],$U1831),"yyyy-mm-dd hh:mm"),INDEX(상세표[시작],$U1831)&amp;""))</f>
        <v/>
      </c>
      <c r="O1831">
        <f>IF($U1831="","",IF(ISNUMBER(INDEX(상세표[종료],$U1831)),TEXT(INDEX(상세표[종료],$U1831),"yyyy-mm-dd hh:mm"),INDEX(상세표[종료],$U1831)&amp;""))</f>
        <v/>
      </c>
      <c r="P1831">
        <f>IF($U1831="","",INDEX(상세표[06~07시],$U1831))</f>
        <v/>
      </c>
      <c r="Q1831">
        <f>IF($U1831="","",INDEX(상세표[07~18시],$U1831))</f>
        <v/>
      </c>
      <c r="R1831">
        <f>IF($U1831="","",INDEX(상세표[18~22시],$U1831))</f>
        <v/>
      </c>
      <c r="S1831">
        <f>IF($U1831="","",INDEX(상세표[22~06시],$U1831))</f>
        <v/>
      </c>
      <c r="T1831">
        <f>IF($U1831="","",INDEX(상세표[기록 시간외],$U1831))</f>
        <v/>
      </c>
      <c r="U1831" s="4">
        <f>IFERROR(MATCH(1826,상세표[발송순번],0),"")</f>
        <v/>
      </c>
    </row>
    <row r="1832">
      <c r="J1832">
        <f>IF($U1832="","",INDEX(상세표[사번],$U1832)&amp;"")</f>
        <v/>
      </c>
      <c r="K1832">
        <f>IF($U1832="","",INDEX(상세표[성명],$U1832)&amp;"")</f>
        <v/>
      </c>
      <c r="L1832">
        <f>IF($U1832="","",INDEX(상세표[직위],$U1832)&amp;"")</f>
        <v/>
      </c>
      <c r="M1832">
        <f>IF($U1832="","",IF(ISNUMBER(INDEX(상세표[근무일자],$U1832)),TEXT(INDEX(상세표[근무일자],$U1832),"yyyy-mm-dd"),INDEX(상세표[근무일자],$U1832)&amp;""))</f>
        <v/>
      </c>
      <c r="N1832">
        <f>IF($U1832="","",IF(ISNUMBER(INDEX(상세표[시작],$U1832)),TEXT(INDEX(상세표[시작],$U1832),"yyyy-mm-dd hh:mm"),INDEX(상세표[시작],$U1832)&amp;""))</f>
        <v/>
      </c>
      <c r="O1832">
        <f>IF($U1832="","",IF(ISNUMBER(INDEX(상세표[종료],$U1832)),TEXT(INDEX(상세표[종료],$U1832),"yyyy-mm-dd hh:mm"),INDEX(상세표[종료],$U1832)&amp;""))</f>
        <v/>
      </c>
      <c r="P1832">
        <f>IF($U1832="","",INDEX(상세표[06~07시],$U1832))</f>
        <v/>
      </c>
      <c r="Q1832">
        <f>IF($U1832="","",INDEX(상세표[07~18시],$U1832))</f>
        <v/>
      </c>
      <c r="R1832">
        <f>IF($U1832="","",INDEX(상세표[18~22시],$U1832))</f>
        <v/>
      </c>
      <c r="S1832">
        <f>IF($U1832="","",INDEX(상세표[22~06시],$U1832))</f>
        <v/>
      </c>
      <c r="T1832">
        <f>IF($U1832="","",INDEX(상세표[기록 시간외],$U1832))</f>
        <v/>
      </c>
      <c r="U1832" s="4">
        <f>IFERROR(MATCH(1827,상세표[발송순번],0),"")</f>
        <v/>
      </c>
    </row>
    <row r="1833">
      <c r="J1833">
        <f>IF($U1833="","",INDEX(상세표[사번],$U1833)&amp;"")</f>
        <v/>
      </c>
      <c r="K1833">
        <f>IF($U1833="","",INDEX(상세표[성명],$U1833)&amp;"")</f>
        <v/>
      </c>
      <c r="L1833">
        <f>IF($U1833="","",INDEX(상세표[직위],$U1833)&amp;"")</f>
        <v/>
      </c>
      <c r="M1833">
        <f>IF($U1833="","",IF(ISNUMBER(INDEX(상세표[근무일자],$U1833)),TEXT(INDEX(상세표[근무일자],$U1833),"yyyy-mm-dd"),INDEX(상세표[근무일자],$U1833)&amp;""))</f>
        <v/>
      </c>
      <c r="N1833">
        <f>IF($U1833="","",IF(ISNUMBER(INDEX(상세표[시작],$U1833)),TEXT(INDEX(상세표[시작],$U1833),"yyyy-mm-dd hh:mm"),INDEX(상세표[시작],$U1833)&amp;""))</f>
        <v/>
      </c>
      <c r="O1833">
        <f>IF($U1833="","",IF(ISNUMBER(INDEX(상세표[종료],$U1833)),TEXT(INDEX(상세표[종료],$U1833),"yyyy-mm-dd hh:mm"),INDEX(상세표[종료],$U1833)&amp;""))</f>
        <v/>
      </c>
      <c r="P1833">
        <f>IF($U1833="","",INDEX(상세표[06~07시],$U1833))</f>
        <v/>
      </c>
      <c r="Q1833">
        <f>IF($U1833="","",INDEX(상세표[07~18시],$U1833))</f>
        <v/>
      </c>
      <c r="R1833">
        <f>IF($U1833="","",INDEX(상세표[18~22시],$U1833))</f>
        <v/>
      </c>
      <c r="S1833">
        <f>IF($U1833="","",INDEX(상세표[22~06시],$U1833))</f>
        <v/>
      </c>
      <c r="T1833">
        <f>IF($U1833="","",INDEX(상세표[기록 시간외],$U1833))</f>
        <v/>
      </c>
      <c r="U1833" s="4">
        <f>IFERROR(MATCH(1828,상세표[발송순번],0),"")</f>
        <v/>
      </c>
    </row>
    <row r="1834">
      <c r="J1834">
        <f>IF($U1834="","",INDEX(상세표[사번],$U1834)&amp;"")</f>
        <v/>
      </c>
      <c r="K1834">
        <f>IF($U1834="","",INDEX(상세표[성명],$U1834)&amp;"")</f>
        <v/>
      </c>
      <c r="L1834">
        <f>IF($U1834="","",INDEX(상세표[직위],$U1834)&amp;"")</f>
        <v/>
      </c>
      <c r="M1834">
        <f>IF($U1834="","",IF(ISNUMBER(INDEX(상세표[근무일자],$U1834)),TEXT(INDEX(상세표[근무일자],$U1834),"yyyy-mm-dd"),INDEX(상세표[근무일자],$U1834)&amp;""))</f>
        <v/>
      </c>
      <c r="N1834">
        <f>IF($U1834="","",IF(ISNUMBER(INDEX(상세표[시작],$U1834)),TEXT(INDEX(상세표[시작],$U1834),"yyyy-mm-dd hh:mm"),INDEX(상세표[시작],$U1834)&amp;""))</f>
        <v/>
      </c>
      <c r="O1834">
        <f>IF($U1834="","",IF(ISNUMBER(INDEX(상세표[종료],$U1834)),TEXT(INDEX(상세표[종료],$U1834),"yyyy-mm-dd hh:mm"),INDEX(상세표[종료],$U1834)&amp;""))</f>
        <v/>
      </c>
      <c r="P1834">
        <f>IF($U1834="","",INDEX(상세표[06~07시],$U1834))</f>
        <v/>
      </c>
      <c r="Q1834">
        <f>IF($U1834="","",INDEX(상세표[07~18시],$U1834))</f>
        <v/>
      </c>
      <c r="R1834">
        <f>IF($U1834="","",INDEX(상세표[18~22시],$U1834))</f>
        <v/>
      </c>
      <c r="S1834">
        <f>IF($U1834="","",INDEX(상세표[22~06시],$U1834))</f>
        <v/>
      </c>
      <c r="T1834">
        <f>IF($U1834="","",INDEX(상세표[기록 시간외],$U1834))</f>
        <v/>
      </c>
      <c r="U1834" s="4">
        <f>IFERROR(MATCH(1829,상세표[발송순번],0),"")</f>
        <v/>
      </c>
    </row>
    <row r="1835">
      <c r="J1835">
        <f>IF($U1835="","",INDEX(상세표[사번],$U1835)&amp;"")</f>
        <v/>
      </c>
      <c r="K1835">
        <f>IF($U1835="","",INDEX(상세표[성명],$U1835)&amp;"")</f>
        <v/>
      </c>
      <c r="L1835">
        <f>IF($U1835="","",INDEX(상세표[직위],$U1835)&amp;"")</f>
        <v/>
      </c>
      <c r="M1835">
        <f>IF($U1835="","",IF(ISNUMBER(INDEX(상세표[근무일자],$U1835)),TEXT(INDEX(상세표[근무일자],$U1835),"yyyy-mm-dd"),INDEX(상세표[근무일자],$U1835)&amp;""))</f>
        <v/>
      </c>
      <c r="N1835">
        <f>IF($U1835="","",IF(ISNUMBER(INDEX(상세표[시작],$U1835)),TEXT(INDEX(상세표[시작],$U1835),"yyyy-mm-dd hh:mm"),INDEX(상세표[시작],$U1835)&amp;""))</f>
        <v/>
      </c>
      <c r="O1835">
        <f>IF($U1835="","",IF(ISNUMBER(INDEX(상세표[종료],$U1835)),TEXT(INDEX(상세표[종료],$U1835),"yyyy-mm-dd hh:mm"),INDEX(상세표[종료],$U1835)&amp;""))</f>
        <v/>
      </c>
      <c r="P1835">
        <f>IF($U1835="","",INDEX(상세표[06~07시],$U1835))</f>
        <v/>
      </c>
      <c r="Q1835">
        <f>IF($U1835="","",INDEX(상세표[07~18시],$U1835))</f>
        <v/>
      </c>
      <c r="R1835">
        <f>IF($U1835="","",INDEX(상세표[18~22시],$U1835))</f>
        <v/>
      </c>
      <c r="S1835">
        <f>IF($U1835="","",INDEX(상세표[22~06시],$U1835))</f>
        <v/>
      </c>
      <c r="T1835">
        <f>IF($U1835="","",INDEX(상세표[기록 시간외],$U1835))</f>
        <v/>
      </c>
      <c r="U1835" s="4">
        <f>IFERROR(MATCH(1830,상세표[발송순번],0),"")</f>
        <v/>
      </c>
    </row>
    <row r="1836">
      <c r="J1836">
        <f>IF($U1836="","",INDEX(상세표[사번],$U1836)&amp;"")</f>
        <v/>
      </c>
      <c r="K1836">
        <f>IF($U1836="","",INDEX(상세표[성명],$U1836)&amp;"")</f>
        <v/>
      </c>
      <c r="L1836">
        <f>IF($U1836="","",INDEX(상세표[직위],$U1836)&amp;"")</f>
        <v/>
      </c>
      <c r="M1836">
        <f>IF($U1836="","",IF(ISNUMBER(INDEX(상세표[근무일자],$U1836)),TEXT(INDEX(상세표[근무일자],$U1836),"yyyy-mm-dd"),INDEX(상세표[근무일자],$U1836)&amp;""))</f>
        <v/>
      </c>
      <c r="N1836">
        <f>IF($U1836="","",IF(ISNUMBER(INDEX(상세표[시작],$U1836)),TEXT(INDEX(상세표[시작],$U1836),"yyyy-mm-dd hh:mm"),INDEX(상세표[시작],$U1836)&amp;""))</f>
        <v/>
      </c>
      <c r="O1836">
        <f>IF($U1836="","",IF(ISNUMBER(INDEX(상세표[종료],$U1836)),TEXT(INDEX(상세표[종료],$U1836),"yyyy-mm-dd hh:mm"),INDEX(상세표[종료],$U1836)&amp;""))</f>
        <v/>
      </c>
      <c r="P1836">
        <f>IF($U1836="","",INDEX(상세표[06~07시],$U1836))</f>
        <v/>
      </c>
      <c r="Q1836">
        <f>IF($U1836="","",INDEX(상세표[07~18시],$U1836))</f>
        <v/>
      </c>
      <c r="R1836">
        <f>IF($U1836="","",INDEX(상세표[18~22시],$U1836))</f>
        <v/>
      </c>
      <c r="S1836">
        <f>IF($U1836="","",INDEX(상세표[22~06시],$U1836))</f>
        <v/>
      </c>
      <c r="T1836">
        <f>IF($U1836="","",INDEX(상세표[기록 시간외],$U1836))</f>
        <v/>
      </c>
      <c r="U1836" s="4">
        <f>IFERROR(MATCH(1831,상세표[발송순번],0),"")</f>
        <v/>
      </c>
    </row>
    <row r="1837">
      <c r="J1837">
        <f>IF($U1837="","",INDEX(상세표[사번],$U1837)&amp;"")</f>
        <v/>
      </c>
      <c r="K1837">
        <f>IF($U1837="","",INDEX(상세표[성명],$U1837)&amp;"")</f>
        <v/>
      </c>
      <c r="L1837">
        <f>IF($U1837="","",INDEX(상세표[직위],$U1837)&amp;"")</f>
        <v/>
      </c>
      <c r="M1837">
        <f>IF($U1837="","",IF(ISNUMBER(INDEX(상세표[근무일자],$U1837)),TEXT(INDEX(상세표[근무일자],$U1837),"yyyy-mm-dd"),INDEX(상세표[근무일자],$U1837)&amp;""))</f>
        <v/>
      </c>
      <c r="N1837">
        <f>IF($U1837="","",IF(ISNUMBER(INDEX(상세표[시작],$U1837)),TEXT(INDEX(상세표[시작],$U1837),"yyyy-mm-dd hh:mm"),INDEX(상세표[시작],$U1837)&amp;""))</f>
        <v/>
      </c>
      <c r="O1837">
        <f>IF($U1837="","",IF(ISNUMBER(INDEX(상세표[종료],$U1837)),TEXT(INDEX(상세표[종료],$U1837),"yyyy-mm-dd hh:mm"),INDEX(상세표[종료],$U1837)&amp;""))</f>
        <v/>
      </c>
      <c r="P1837">
        <f>IF($U1837="","",INDEX(상세표[06~07시],$U1837))</f>
        <v/>
      </c>
      <c r="Q1837">
        <f>IF($U1837="","",INDEX(상세표[07~18시],$U1837))</f>
        <v/>
      </c>
      <c r="R1837">
        <f>IF($U1837="","",INDEX(상세표[18~22시],$U1837))</f>
        <v/>
      </c>
      <c r="S1837">
        <f>IF($U1837="","",INDEX(상세표[22~06시],$U1837))</f>
        <v/>
      </c>
      <c r="T1837">
        <f>IF($U1837="","",INDEX(상세표[기록 시간외],$U1837))</f>
        <v/>
      </c>
      <c r="U1837" s="4">
        <f>IFERROR(MATCH(1832,상세표[발송순번],0),"")</f>
        <v/>
      </c>
    </row>
    <row r="1838">
      <c r="J1838">
        <f>IF($U1838="","",INDEX(상세표[사번],$U1838)&amp;"")</f>
        <v/>
      </c>
      <c r="K1838">
        <f>IF($U1838="","",INDEX(상세표[성명],$U1838)&amp;"")</f>
        <v/>
      </c>
      <c r="L1838">
        <f>IF($U1838="","",INDEX(상세표[직위],$U1838)&amp;"")</f>
        <v/>
      </c>
      <c r="M1838">
        <f>IF($U1838="","",IF(ISNUMBER(INDEX(상세표[근무일자],$U1838)),TEXT(INDEX(상세표[근무일자],$U1838),"yyyy-mm-dd"),INDEX(상세표[근무일자],$U1838)&amp;""))</f>
        <v/>
      </c>
      <c r="N1838">
        <f>IF($U1838="","",IF(ISNUMBER(INDEX(상세표[시작],$U1838)),TEXT(INDEX(상세표[시작],$U1838),"yyyy-mm-dd hh:mm"),INDEX(상세표[시작],$U1838)&amp;""))</f>
        <v/>
      </c>
      <c r="O1838">
        <f>IF($U1838="","",IF(ISNUMBER(INDEX(상세표[종료],$U1838)),TEXT(INDEX(상세표[종료],$U1838),"yyyy-mm-dd hh:mm"),INDEX(상세표[종료],$U1838)&amp;""))</f>
        <v/>
      </c>
      <c r="P1838">
        <f>IF($U1838="","",INDEX(상세표[06~07시],$U1838))</f>
        <v/>
      </c>
      <c r="Q1838">
        <f>IF($U1838="","",INDEX(상세표[07~18시],$U1838))</f>
        <v/>
      </c>
      <c r="R1838">
        <f>IF($U1838="","",INDEX(상세표[18~22시],$U1838))</f>
        <v/>
      </c>
      <c r="S1838">
        <f>IF($U1838="","",INDEX(상세표[22~06시],$U1838))</f>
        <v/>
      </c>
      <c r="T1838">
        <f>IF($U1838="","",INDEX(상세표[기록 시간외],$U1838))</f>
        <v/>
      </c>
      <c r="U1838" s="4">
        <f>IFERROR(MATCH(1833,상세표[발송순번],0),"")</f>
        <v/>
      </c>
    </row>
    <row r="1839">
      <c r="J1839">
        <f>IF($U1839="","",INDEX(상세표[사번],$U1839)&amp;"")</f>
        <v/>
      </c>
      <c r="K1839">
        <f>IF($U1839="","",INDEX(상세표[성명],$U1839)&amp;"")</f>
        <v/>
      </c>
      <c r="L1839">
        <f>IF($U1839="","",INDEX(상세표[직위],$U1839)&amp;"")</f>
        <v/>
      </c>
      <c r="M1839">
        <f>IF($U1839="","",IF(ISNUMBER(INDEX(상세표[근무일자],$U1839)),TEXT(INDEX(상세표[근무일자],$U1839),"yyyy-mm-dd"),INDEX(상세표[근무일자],$U1839)&amp;""))</f>
        <v/>
      </c>
      <c r="N1839">
        <f>IF($U1839="","",IF(ISNUMBER(INDEX(상세표[시작],$U1839)),TEXT(INDEX(상세표[시작],$U1839),"yyyy-mm-dd hh:mm"),INDEX(상세표[시작],$U1839)&amp;""))</f>
        <v/>
      </c>
      <c r="O1839">
        <f>IF($U1839="","",IF(ISNUMBER(INDEX(상세표[종료],$U1839)),TEXT(INDEX(상세표[종료],$U1839),"yyyy-mm-dd hh:mm"),INDEX(상세표[종료],$U1839)&amp;""))</f>
        <v/>
      </c>
      <c r="P1839">
        <f>IF($U1839="","",INDEX(상세표[06~07시],$U1839))</f>
        <v/>
      </c>
      <c r="Q1839">
        <f>IF($U1839="","",INDEX(상세표[07~18시],$U1839))</f>
        <v/>
      </c>
      <c r="R1839">
        <f>IF($U1839="","",INDEX(상세표[18~22시],$U1839))</f>
        <v/>
      </c>
      <c r="S1839">
        <f>IF($U1839="","",INDEX(상세표[22~06시],$U1839))</f>
        <v/>
      </c>
      <c r="T1839">
        <f>IF($U1839="","",INDEX(상세표[기록 시간외],$U1839))</f>
        <v/>
      </c>
      <c r="U1839" s="4">
        <f>IFERROR(MATCH(1834,상세표[발송순번],0),"")</f>
        <v/>
      </c>
    </row>
    <row r="1840">
      <c r="J1840">
        <f>IF($U1840="","",INDEX(상세표[사번],$U1840)&amp;"")</f>
        <v/>
      </c>
      <c r="K1840">
        <f>IF($U1840="","",INDEX(상세표[성명],$U1840)&amp;"")</f>
        <v/>
      </c>
      <c r="L1840">
        <f>IF($U1840="","",INDEX(상세표[직위],$U1840)&amp;"")</f>
        <v/>
      </c>
      <c r="M1840">
        <f>IF($U1840="","",IF(ISNUMBER(INDEX(상세표[근무일자],$U1840)),TEXT(INDEX(상세표[근무일자],$U1840),"yyyy-mm-dd"),INDEX(상세표[근무일자],$U1840)&amp;""))</f>
        <v/>
      </c>
      <c r="N1840">
        <f>IF($U1840="","",IF(ISNUMBER(INDEX(상세표[시작],$U1840)),TEXT(INDEX(상세표[시작],$U1840),"yyyy-mm-dd hh:mm"),INDEX(상세표[시작],$U1840)&amp;""))</f>
        <v/>
      </c>
      <c r="O1840">
        <f>IF($U1840="","",IF(ISNUMBER(INDEX(상세표[종료],$U1840)),TEXT(INDEX(상세표[종료],$U1840),"yyyy-mm-dd hh:mm"),INDEX(상세표[종료],$U1840)&amp;""))</f>
        <v/>
      </c>
      <c r="P1840">
        <f>IF($U1840="","",INDEX(상세표[06~07시],$U1840))</f>
        <v/>
      </c>
      <c r="Q1840">
        <f>IF($U1840="","",INDEX(상세표[07~18시],$U1840))</f>
        <v/>
      </c>
      <c r="R1840">
        <f>IF($U1840="","",INDEX(상세표[18~22시],$U1840))</f>
        <v/>
      </c>
      <c r="S1840">
        <f>IF($U1840="","",INDEX(상세표[22~06시],$U1840))</f>
        <v/>
      </c>
      <c r="T1840">
        <f>IF($U1840="","",INDEX(상세표[기록 시간외],$U1840))</f>
        <v/>
      </c>
      <c r="U1840" s="4">
        <f>IFERROR(MATCH(1835,상세표[발송순번],0),"")</f>
        <v/>
      </c>
    </row>
    <row r="1841">
      <c r="J1841">
        <f>IF($U1841="","",INDEX(상세표[사번],$U1841)&amp;"")</f>
        <v/>
      </c>
      <c r="K1841">
        <f>IF($U1841="","",INDEX(상세표[성명],$U1841)&amp;"")</f>
        <v/>
      </c>
      <c r="L1841">
        <f>IF($U1841="","",INDEX(상세표[직위],$U1841)&amp;"")</f>
        <v/>
      </c>
      <c r="M1841">
        <f>IF($U1841="","",IF(ISNUMBER(INDEX(상세표[근무일자],$U1841)),TEXT(INDEX(상세표[근무일자],$U1841),"yyyy-mm-dd"),INDEX(상세표[근무일자],$U1841)&amp;""))</f>
        <v/>
      </c>
      <c r="N1841">
        <f>IF($U1841="","",IF(ISNUMBER(INDEX(상세표[시작],$U1841)),TEXT(INDEX(상세표[시작],$U1841),"yyyy-mm-dd hh:mm"),INDEX(상세표[시작],$U1841)&amp;""))</f>
        <v/>
      </c>
      <c r="O1841">
        <f>IF($U1841="","",IF(ISNUMBER(INDEX(상세표[종료],$U1841)),TEXT(INDEX(상세표[종료],$U1841),"yyyy-mm-dd hh:mm"),INDEX(상세표[종료],$U1841)&amp;""))</f>
        <v/>
      </c>
      <c r="P1841">
        <f>IF($U1841="","",INDEX(상세표[06~07시],$U1841))</f>
        <v/>
      </c>
      <c r="Q1841">
        <f>IF($U1841="","",INDEX(상세표[07~18시],$U1841))</f>
        <v/>
      </c>
      <c r="R1841">
        <f>IF($U1841="","",INDEX(상세표[18~22시],$U1841))</f>
        <v/>
      </c>
      <c r="S1841">
        <f>IF($U1841="","",INDEX(상세표[22~06시],$U1841))</f>
        <v/>
      </c>
      <c r="T1841">
        <f>IF($U1841="","",INDEX(상세표[기록 시간외],$U1841))</f>
        <v/>
      </c>
      <c r="U1841" s="4">
        <f>IFERROR(MATCH(1836,상세표[발송순번],0),"")</f>
        <v/>
      </c>
    </row>
    <row r="1842">
      <c r="J1842">
        <f>IF($U1842="","",INDEX(상세표[사번],$U1842)&amp;"")</f>
        <v/>
      </c>
      <c r="K1842">
        <f>IF($U1842="","",INDEX(상세표[성명],$U1842)&amp;"")</f>
        <v/>
      </c>
      <c r="L1842">
        <f>IF($U1842="","",INDEX(상세표[직위],$U1842)&amp;"")</f>
        <v/>
      </c>
      <c r="M1842">
        <f>IF($U1842="","",IF(ISNUMBER(INDEX(상세표[근무일자],$U1842)),TEXT(INDEX(상세표[근무일자],$U1842),"yyyy-mm-dd"),INDEX(상세표[근무일자],$U1842)&amp;""))</f>
        <v/>
      </c>
      <c r="N1842">
        <f>IF($U1842="","",IF(ISNUMBER(INDEX(상세표[시작],$U1842)),TEXT(INDEX(상세표[시작],$U1842),"yyyy-mm-dd hh:mm"),INDEX(상세표[시작],$U1842)&amp;""))</f>
        <v/>
      </c>
      <c r="O1842">
        <f>IF($U1842="","",IF(ISNUMBER(INDEX(상세표[종료],$U1842)),TEXT(INDEX(상세표[종료],$U1842),"yyyy-mm-dd hh:mm"),INDEX(상세표[종료],$U1842)&amp;""))</f>
        <v/>
      </c>
      <c r="P1842">
        <f>IF($U1842="","",INDEX(상세표[06~07시],$U1842))</f>
        <v/>
      </c>
      <c r="Q1842">
        <f>IF($U1842="","",INDEX(상세표[07~18시],$U1842))</f>
        <v/>
      </c>
      <c r="R1842">
        <f>IF($U1842="","",INDEX(상세표[18~22시],$U1842))</f>
        <v/>
      </c>
      <c r="S1842">
        <f>IF($U1842="","",INDEX(상세표[22~06시],$U1842))</f>
        <v/>
      </c>
      <c r="T1842">
        <f>IF($U1842="","",INDEX(상세표[기록 시간외],$U1842))</f>
        <v/>
      </c>
      <c r="U1842" s="4">
        <f>IFERROR(MATCH(1837,상세표[발송순번],0),"")</f>
        <v/>
      </c>
    </row>
    <row r="1843">
      <c r="J1843">
        <f>IF($U1843="","",INDEX(상세표[사번],$U1843)&amp;"")</f>
        <v/>
      </c>
      <c r="K1843">
        <f>IF($U1843="","",INDEX(상세표[성명],$U1843)&amp;"")</f>
        <v/>
      </c>
      <c r="L1843">
        <f>IF($U1843="","",INDEX(상세표[직위],$U1843)&amp;"")</f>
        <v/>
      </c>
      <c r="M1843">
        <f>IF($U1843="","",IF(ISNUMBER(INDEX(상세표[근무일자],$U1843)),TEXT(INDEX(상세표[근무일자],$U1843),"yyyy-mm-dd"),INDEX(상세표[근무일자],$U1843)&amp;""))</f>
        <v/>
      </c>
      <c r="N1843">
        <f>IF($U1843="","",IF(ISNUMBER(INDEX(상세표[시작],$U1843)),TEXT(INDEX(상세표[시작],$U1843),"yyyy-mm-dd hh:mm"),INDEX(상세표[시작],$U1843)&amp;""))</f>
        <v/>
      </c>
      <c r="O1843">
        <f>IF($U1843="","",IF(ISNUMBER(INDEX(상세표[종료],$U1843)),TEXT(INDEX(상세표[종료],$U1843),"yyyy-mm-dd hh:mm"),INDEX(상세표[종료],$U1843)&amp;""))</f>
        <v/>
      </c>
      <c r="P1843">
        <f>IF($U1843="","",INDEX(상세표[06~07시],$U1843))</f>
        <v/>
      </c>
      <c r="Q1843">
        <f>IF($U1843="","",INDEX(상세표[07~18시],$U1843))</f>
        <v/>
      </c>
      <c r="R1843">
        <f>IF($U1843="","",INDEX(상세표[18~22시],$U1843))</f>
        <v/>
      </c>
      <c r="S1843">
        <f>IF($U1843="","",INDEX(상세표[22~06시],$U1843))</f>
        <v/>
      </c>
      <c r="T1843">
        <f>IF($U1843="","",INDEX(상세표[기록 시간외],$U1843))</f>
        <v/>
      </c>
      <c r="U1843" s="4">
        <f>IFERROR(MATCH(1838,상세표[발송순번],0),"")</f>
        <v/>
      </c>
    </row>
    <row r="1844">
      <c r="J1844">
        <f>IF($U1844="","",INDEX(상세표[사번],$U1844)&amp;"")</f>
        <v/>
      </c>
      <c r="K1844">
        <f>IF($U1844="","",INDEX(상세표[성명],$U1844)&amp;"")</f>
        <v/>
      </c>
      <c r="L1844">
        <f>IF($U1844="","",INDEX(상세표[직위],$U1844)&amp;"")</f>
        <v/>
      </c>
      <c r="M1844">
        <f>IF($U1844="","",IF(ISNUMBER(INDEX(상세표[근무일자],$U1844)),TEXT(INDEX(상세표[근무일자],$U1844),"yyyy-mm-dd"),INDEX(상세표[근무일자],$U1844)&amp;""))</f>
        <v/>
      </c>
      <c r="N1844">
        <f>IF($U1844="","",IF(ISNUMBER(INDEX(상세표[시작],$U1844)),TEXT(INDEX(상세표[시작],$U1844),"yyyy-mm-dd hh:mm"),INDEX(상세표[시작],$U1844)&amp;""))</f>
        <v/>
      </c>
      <c r="O1844">
        <f>IF($U1844="","",IF(ISNUMBER(INDEX(상세표[종료],$U1844)),TEXT(INDEX(상세표[종료],$U1844),"yyyy-mm-dd hh:mm"),INDEX(상세표[종료],$U1844)&amp;""))</f>
        <v/>
      </c>
      <c r="P1844">
        <f>IF($U1844="","",INDEX(상세표[06~07시],$U1844))</f>
        <v/>
      </c>
      <c r="Q1844">
        <f>IF($U1844="","",INDEX(상세표[07~18시],$U1844))</f>
        <v/>
      </c>
      <c r="R1844">
        <f>IF($U1844="","",INDEX(상세표[18~22시],$U1844))</f>
        <v/>
      </c>
      <c r="S1844">
        <f>IF($U1844="","",INDEX(상세표[22~06시],$U1844))</f>
        <v/>
      </c>
      <c r="T1844">
        <f>IF($U1844="","",INDEX(상세표[기록 시간외],$U1844))</f>
        <v/>
      </c>
      <c r="U1844" s="4">
        <f>IFERROR(MATCH(1839,상세표[발송순번],0),"")</f>
        <v/>
      </c>
    </row>
    <row r="1845">
      <c r="J1845">
        <f>IF($U1845="","",INDEX(상세표[사번],$U1845)&amp;"")</f>
        <v/>
      </c>
      <c r="K1845">
        <f>IF($U1845="","",INDEX(상세표[성명],$U1845)&amp;"")</f>
        <v/>
      </c>
      <c r="L1845">
        <f>IF($U1845="","",INDEX(상세표[직위],$U1845)&amp;"")</f>
        <v/>
      </c>
      <c r="M1845">
        <f>IF($U1845="","",IF(ISNUMBER(INDEX(상세표[근무일자],$U1845)),TEXT(INDEX(상세표[근무일자],$U1845),"yyyy-mm-dd"),INDEX(상세표[근무일자],$U1845)&amp;""))</f>
        <v/>
      </c>
      <c r="N1845">
        <f>IF($U1845="","",IF(ISNUMBER(INDEX(상세표[시작],$U1845)),TEXT(INDEX(상세표[시작],$U1845),"yyyy-mm-dd hh:mm"),INDEX(상세표[시작],$U1845)&amp;""))</f>
        <v/>
      </c>
      <c r="O1845">
        <f>IF($U1845="","",IF(ISNUMBER(INDEX(상세표[종료],$U1845)),TEXT(INDEX(상세표[종료],$U1845),"yyyy-mm-dd hh:mm"),INDEX(상세표[종료],$U1845)&amp;""))</f>
        <v/>
      </c>
      <c r="P1845">
        <f>IF($U1845="","",INDEX(상세표[06~07시],$U1845))</f>
        <v/>
      </c>
      <c r="Q1845">
        <f>IF($U1845="","",INDEX(상세표[07~18시],$U1845))</f>
        <v/>
      </c>
      <c r="R1845">
        <f>IF($U1845="","",INDEX(상세표[18~22시],$U1845))</f>
        <v/>
      </c>
      <c r="S1845">
        <f>IF($U1845="","",INDEX(상세표[22~06시],$U1845))</f>
        <v/>
      </c>
      <c r="T1845">
        <f>IF($U1845="","",INDEX(상세표[기록 시간외],$U1845))</f>
        <v/>
      </c>
      <c r="U1845" s="4">
        <f>IFERROR(MATCH(1840,상세표[발송순번],0),"")</f>
        <v/>
      </c>
    </row>
    <row r="1846">
      <c r="J1846">
        <f>IF($U1846="","",INDEX(상세표[사번],$U1846)&amp;"")</f>
        <v/>
      </c>
      <c r="K1846">
        <f>IF($U1846="","",INDEX(상세표[성명],$U1846)&amp;"")</f>
        <v/>
      </c>
      <c r="L1846">
        <f>IF($U1846="","",INDEX(상세표[직위],$U1846)&amp;"")</f>
        <v/>
      </c>
      <c r="M1846">
        <f>IF($U1846="","",IF(ISNUMBER(INDEX(상세표[근무일자],$U1846)),TEXT(INDEX(상세표[근무일자],$U1846),"yyyy-mm-dd"),INDEX(상세표[근무일자],$U1846)&amp;""))</f>
        <v/>
      </c>
      <c r="N1846">
        <f>IF($U1846="","",IF(ISNUMBER(INDEX(상세표[시작],$U1846)),TEXT(INDEX(상세표[시작],$U1846),"yyyy-mm-dd hh:mm"),INDEX(상세표[시작],$U1846)&amp;""))</f>
        <v/>
      </c>
      <c r="O1846">
        <f>IF($U1846="","",IF(ISNUMBER(INDEX(상세표[종료],$U1846)),TEXT(INDEX(상세표[종료],$U1846),"yyyy-mm-dd hh:mm"),INDEX(상세표[종료],$U1846)&amp;""))</f>
        <v/>
      </c>
      <c r="P1846">
        <f>IF($U1846="","",INDEX(상세표[06~07시],$U1846))</f>
        <v/>
      </c>
      <c r="Q1846">
        <f>IF($U1846="","",INDEX(상세표[07~18시],$U1846))</f>
        <v/>
      </c>
      <c r="R1846">
        <f>IF($U1846="","",INDEX(상세표[18~22시],$U1846))</f>
        <v/>
      </c>
      <c r="S1846">
        <f>IF($U1846="","",INDEX(상세표[22~06시],$U1846))</f>
        <v/>
      </c>
      <c r="T1846">
        <f>IF($U1846="","",INDEX(상세표[기록 시간외],$U1846))</f>
        <v/>
      </c>
      <c r="U1846" s="4">
        <f>IFERROR(MATCH(1841,상세표[발송순번],0),"")</f>
        <v/>
      </c>
    </row>
    <row r="1847">
      <c r="J1847">
        <f>IF($U1847="","",INDEX(상세표[사번],$U1847)&amp;"")</f>
        <v/>
      </c>
      <c r="K1847">
        <f>IF($U1847="","",INDEX(상세표[성명],$U1847)&amp;"")</f>
        <v/>
      </c>
      <c r="L1847">
        <f>IF($U1847="","",INDEX(상세표[직위],$U1847)&amp;"")</f>
        <v/>
      </c>
      <c r="M1847">
        <f>IF($U1847="","",IF(ISNUMBER(INDEX(상세표[근무일자],$U1847)),TEXT(INDEX(상세표[근무일자],$U1847),"yyyy-mm-dd"),INDEX(상세표[근무일자],$U1847)&amp;""))</f>
        <v/>
      </c>
      <c r="N1847">
        <f>IF($U1847="","",IF(ISNUMBER(INDEX(상세표[시작],$U1847)),TEXT(INDEX(상세표[시작],$U1847),"yyyy-mm-dd hh:mm"),INDEX(상세표[시작],$U1847)&amp;""))</f>
        <v/>
      </c>
      <c r="O1847">
        <f>IF($U1847="","",IF(ISNUMBER(INDEX(상세표[종료],$U1847)),TEXT(INDEX(상세표[종료],$U1847),"yyyy-mm-dd hh:mm"),INDEX(상세표[종료],$U1847)&amp;""))</f>
        <v/>
      </c>
      <c r="P1847">
        <f>IF($U1847="","",INDEX(상세표[06~07시],$U1847))</f>
        <v/>
      </c>
      <c r="Q1847">
        <f>IF($U1847="","",INDEX(상세표[07~18시],$U1847))</f>
        <v/>
      </c>
      <c r="R1847">
        <f>IF($U1847="","",INDEX(상세표[18~22시],$U1847))</f>
        <v/>
      </c>
      <c r="S1847">
        <f>IF($U1847="","",INDEX(상세표[22~06시],$U1847))</f>
        <v/>
      </c>
      <c r="T1847">
        <f>IF($U1847="","",INDEX(상세표[기록 시간외],$U1847))</f>
        <v/>
      </c>
      <c r="U1847" s="4">
        <f>IFERROR(MATCH(1842,상세표[발송순번],0),"")</f>
        <v/>
      </c>
    </row>
    <row r="1848">
      <c r="J1848">
        <f>IF($U1848="","",INDEX(상세표[사번],$U1848)&amp;"")</f>
        <v/>
      </c>
      <c r="K1848">
        <f>IF($U1848="","",INDEX(상세표[성명],$U1848)&amp;"")</f>
        <v/>
      </c>
      <c r="L1848">
        <f>IF($U1848="","",INDEX(상세표[직위],$U1848)&amp;"")</f>
        <v/>
      </c>
      <c r="M1848">
        <f>IF($U1848="","",IF(ISNUMBER(INDEX(상세표[근무일자],$U1848)),TEXT(INDEX(상세표[근무일자],$U1848),"yyyy-mm-dd"),INDEX(상세표[근무일자],$U1848)&amp;""))</f>
        <v/>
      </c>
      <c r="N1848">
        <f>IF($U1848="","",IF(ISNUMBER(INDEX(상세표[시작],$U1848)),TEXT(INDEX(상세표[시작],$U1848),"yyyy-mm-dd hh:mm"),INDEX(상세표[시작],$U1848)&amp;""))</f>
        <v/>
      </c>
      <c r="O1848">
        <f>IF($U1848="","",IF(ISNUMBER(INDEX(상세표[종료],$U1848)),TEXT(INDEX(상세표[종료],$U1848),"yyyy-mm-dd hh:mm"),INDEX(상세표[종료],$U1848)&amp;""))</f>
        <v/>
      </c>
      <c r="P1848">
        <f>IF($U1848="","",INDEX(상세표[06~07시],$U1848))</f>
        <v/>
      </c>
      <c r="Q1848">
        <f>IF($U1848="","",INDEX(상세표[07~18시],$U1848))</f>
        <v/>
      </c>
      <c r="R1848">
        <f>IF($U1848="","",INDEX(상세표[18~22시],$U1848))</f>
        <v/>
      </c>
      <c r="S1848">
        <f>IF($U1848="","",INDEX(상세표[22~06시],$U1848))</f>
        <v/>
      </c>
      <c r="T1848">
        <f>IF($U1848="","",INDEX(상세표[기록 시간외],$U1848))</f>
        <v/>
      </c>
      <c r="U1848" s="4">
        <f>IFERROR(MATCH(1843,상세표[발송순번],0),"")</f>
        <v/>
      </c>
    </row>
    <row r="1849">
      <c r="J1849">
        <f>IF($U1849="","",INDEX(상세표[사번],$U1849)&amp;"")</f>
        <v/>
      </c>
      <c r="K1849">
        <f>IF($U1849="","",INDEX(상세표[성명],$U1849)&amp;"")</f>
        <v/>
      </c>
      <c r="L1849">
        <f>IF($U1849="","",INDEX(상세표[직위],$U1849)&amp;"")</f>
        <v/>
      </c>
      <c r="M1849">
        <f>IF($U1849="","",IF(ISNUMBER(INDEX(상세표[근무일자],$U1849)),TEXT(INDEX(상세표[근무일자],$U1849),"yyyy-mm-dd"),INDEX(상세표[근무일자],$U1849)&amp;""))</f>
        <v/>
      </c>
      <c r="N1849">
        <f>IF($U1849="","",IF(ISNUMBER(INDEX(상세표[시작],$U1849)),TEXT(INDEX(상세표[시작],$U1849),"yyyy-mm-dd hh:mm"),INDEX(상세표[시작],$U1849)&amp;""))</f>
        <v/>
      </c>
      <c r="O1849">
        <f>IF($U1849="","",IF(ISNUMBER(INDEX(상세표[종료],$U1849)),TEXT(INDEX(상세표[종료],$U1849),"yyyy-mm-dd hh:mm"),INDEX(상세표[종료],$U1849)&amp;""))</f>
        <v/>
      </c>
      <c r="P1849">
        <f>IF($U1849="","",INDEX(상세표[06~07시],$U1849))</f>
        <v/>
      </c>
      <c r="Q1849">
        <f>IF($U1849="","",INDEX(상세표[07~18시],$U1849))</f>
        <v/>
      </c>
      <c r="R1849">
        <f>IF($U1849="","",INDEX(상세표[18~22시],$U1849))</f>
        <v/>
      </c>
      <c r="S1849">
        <f>IF($U1849="","",INDEX(상세표[22~06시],$U1849))</f>
        <v/>
      </c>
      <c r="T1849">
        <f>IF($U1849="","",INDEX(상세표[기록 시간외],$U1849))</f>
        <v/>
      </c>
      <c r="U1849" s="4">
        <f>IFERROR(MATCH(1844,상세표[발송순번],0),"")</f>
        <v/>
      </c>
    </row>
    <row r="1850">
      <c r="J1850">
        <f>IF($U1850="","",INDEX(상세표[사번],$U1850)&amp;"")</f>
        <v/>
      </c>
      <c r="K1850">
        <f>IF($U1850="","",INDEX(상세표[성명],$U1850)&amp;"")</f>
        <v/>
      </c>
      <c r="L1850">
        <f>IF($U1850="","",INDEX(상세표[직위],$U1850)&amp;"")</f>
        <v/>
      </c>
      <c r="M1850">
        <f>IF($U1850="","",IF(ISNUMBER(INDEX(상세표[근무일자],$U1850)),TEXT(INDEX(상세표[근무일자],$U1850),"yyyy-mm-dd"),INDEX(상세표[근무일자],$U1850)&amp;""))</f>
        <v/>
      </c>
      <c r="N1850">
        <f>IF($U1850="","",IF(ISNUMBER(INDEX(상세표[시작],$U1850)),TEXT(INDEX(상세표[시작],$U1850),"yyyy-mm-dd hh:mm"),INDEX(상세표[시작],$U1850)&amp;""))</f>
        <v/>
      </c>
      <c r="O1850">
        <f>IF($U1850="","",IF(ISNUMBER(INDEX(상세표[종료],$U1850)),TEXT(INDEX(상세표[종료],$U1850),"yyyy-mm-dd hh:mm"),INDEX(상세표[종료],$U1850)&amp;""))</f>
        <v/>
      </c>
      <c r="P1850">
        <f>IF($U1850="","",INDEX(상세표[06~07시],$U1850))</f>
        <v/>
      </c>
      <c r="Q1850">
        <f>IF($U1850="","",INDEX(상세표[07~18시],$U1850))</f>
        <v/>
      </c>
      <c r="R1850">
        <f>IF($U1850="","",INDEX(상세표[18~22시],$U1850))</f>
        <v/>
      </c>
      <c r="S1850">
        <f>IF($U1850="","",INDEX(상세표[22~06시],$U1850))</f>
        <v/>
      </c>
      <c r="T1850">
        <f>IF($U1850="","",INDEX(상세표[기록 시간외],$U1850))</f>
        <v/>
      </c>
      <c r="U1850" s="4">
        <f>IFERROR(MATCH(1845,상세표[발송순번],0),"")</f>
        <v/>
      </c>
    </row>
    <row r="1851">
      <c r="J1851">
        <f>IF($U1851="","",INDEX(상세표[사번],$U1851)&amp;"")</f>
        <v/>
      </c>
      <c r="K1851">
        <f>IF($U1851="","",INDEX(상세표[성명],$U1851)&amp;"")</f>
        <v/>
      </c>
      <c r="L1851">
        <f>IF($U1851="","",INDEX(상세표[직위],$U1851)&amp;"")</f>
        <v/>
      </c>
      <c r="M1851">
        <f>IF($U1851="","",IF(ISNUMBER(INDEX(상세표[근무일자],$U1851)),TEXT(INDEX(상세표[근무일자],$U1851),"yyyy-mm-dd"),INDEX(상세표[근무일자],$U1851)&amp;""))</f>
        <v/>
      </c>
      <c r="N1851">
        <f>IF($U1851="","",IF(ISNUMBER(INDEX(상세표[시작],$U1851)),TEXT(INDEX(상세표[시작],$U1851),"yyyy-mm-dd hh:mm"),INDEX(상세표[시작],$U1851)&amp;""))</f>
        <v/>
      </c>
      <c r="O1851">
        <f>IF($U1851="","",IF(ISNUMBER(INDEX(상세표[종료],$U1851)),TEXT(INDEX(상세표[종료],$U1851),"yyyy-mm-dd hh:mm"),INDEX(상세표[종료],$U1851)&amp;""))</f>
        <v/>
      </c>
      <c r="P1851">
        <f>IF($U1851="","",INDEX(상세표[06~07시],$U1851))</f>
        <v/>
      </c>
      <c r="Q1851">
        <f>IF($U1851="","",INDEX(상세표[07~18시],$U1851))</f>
        <v/>
      </c>
      <c r="R1851">
        <f>IF($U1851="","",INDEX(상세표[18~22시],$U1851))</f>
        <v/>
      </c>
      <c r="S1851">
        <f>IF($U1851="","",INDEX(상세표[22~06시],$U1851))</f>
        <v/>
      </c>
      <c r="T1851">
        <f>IF($U1851="","",INDEX(상세표[기록 시간외],$U1851))</f>
        <v/>
      </c>
      <c r="U1851" s="4">
        <f>IFERROR(MATCH(1846,상세표[발송순번],0),"")</f>
        <v/>
      </c>
    </row>
    <row r="1852">
      <c r="J1852">
        <f>IF($U1852="","",INDEX(상세표[사번],$U1852)&amp;"")</f>
        <v/>
      </c>
      <c r="K1852">
        <f>IF($U1852="","",INDEX(상세표[성명],$U1852)&amp;"")</f>
        <v/>
      </c>
      <c r="L1852">
        <f>IF($U1852="","",INDEX(상세표[직위],$U1852)&amp;"")</f>
        <v/>
      </c>
      <c r="M1852">
        <f>IF($U1852="","",IF(ISNUMBER(INDEX(상세표[근무일자],$U1852)),TEXT(INDEX(상세표[근무일자],$U1852),"yyyy-mm-dd"),INDEX(상세표[근무일자],$U1852)&amp;""))</f>
        <v/>
      </c>
      <c r="N1852">
        <f>IF($U1852="","",IF(ISNUMBER(INDEX(상세표[시작],$U1852)),TEXT(INDEX(상세표[시작],$U1852),"yyyy-mm-dd hh:mm"),INDEX(상세표[시작],$U1852)&amp;""))</f>
        <v/>
      </c>
      <c r="O1852">
        <f>IF($U1852="","",IF(ISNUMBER(INDEX(상세표[종료],$U1852)),TEXT(INDEX(상세표[종료],$U1852),"yyyy-mm-dd hh:mm"),INDEX(상세표[종료],$U1852)&amp;""))</f>
        <v/>
      </c>
      <c r="P1852">
        <f>IF($U1852="","",INDEX(상세표[06~07시],$U1852))</f>
        <v/>
      </c>
      <c r="Q1852">
        <f>IF($U1852="","",INDEX(상세표[07~18시],$U1852))</f>
        <v/>
      </c>
      <c r="R1852">
        <f>IF($U1852="","",INDEX(상세표[18~22시],$U1852))</f>
        <v/>
      </c>
      <c r="S1852">
        <f>IF($U1852="","",INDEX(상세표[22~06시],$U1852))</f>
        <v/>
      </c>
      <c r="T1852">
        <f>IF($U1852="","",INDEX(상세표[기록 시간외],$U1852))</f>
        <v/>
      </c>
      <c r="U1852" s="4">
        <f>IFERROR(MATCH(1847,상세표[발송순번],0),"")</f>
        <v/>
      </c>
    </row>
    <row r="1853">
      <c r="J1853">
        <f>IF($U1853="","",INDEX(상세표[사번],$U1853)&amp;"")</f>
        <v/>
      </c>
      <c r="K1853">
        <f>IF($U1853="","",INDEX(상세표[성명],$U1853)&amp;"")</f>
        <v/>
      </c>
      <c r="L1853">
        <f>IF($U1853="","",INDEX(상세표[직위],$U1853)&amp;"")</f>
        <v/>
      </c>
      <c r="M1853">
        <f>IF($U1853="","",IF(ISNUMBER(INDEX(상세표[근무일자],$U1853)),TEXT(INDEX(상세표[근무일자],$U1853),"yyyy-mm-dd"),INDEX(상세표[근무일자],$U1853)&amp;""))</f>
        <v/>
      </c>
      <c r="N1853">
        <f>IF($U1853="","",IF(ISNUMBER(INDEX(상세표[시작],$U1853)),TEXT(INDEX(상세표[시작],$U1853),"yyyy-mm-dd hh:mm"),INDEX(상세표[시작],$U1853)&amp;""))</f>
        <v/>
      </c>
      <c r="O1853">
        <f>IF($U1853="","",IF(ISNUMBER(INDEX(상세표[종료],$U1853)),TEXT(INDEX(상세표[종료],$U1853),"yyyy-mm-dd hh:mm"),INDEX(상세표[종료],$U1853)&amp;""))</f>
        <v/>
      </c>
      <c r="P1853">
        <f>IF($U1853="","",INDEX(상세표[06~07시],$U1853))</f>
        <v/>
      </c>
      <c r="Q1853">
        <f>IF($U1853="","",INDEX(상세표[07~18시],$U1853))</f>
        <v/>
      </c>
      <c r="R1853">
        <f>IF($U1853="","",INDEX(상세표[18~22시],$U1853))</f>
        <v/>
      </c>
      <c r="S1853">
        <f>IF($U1853="","",INDEX(상세표[22~06시],$U1853))</f>
        <v/>
      </c>
      <c r="T1853">
        <f>IF($U1853="","",INDEX(상세표[기록 시간외],$U1853))</f>
        <v/>
      </c>
      <c r="U1853" s="4">
        <f>IFERROR(MATCH(1848,상세표[발송순번],0),"")</f>
        <v/>
      </c>
    </row>
    <row r="1854">
      <c r="J1854">
        <f>IF($U1854="","",INDEX(상세표[사번],$U1854)&amp;"")</f>
        <v/>
      </c>
      <c r="K1854">
        <f>IF($U1854="","",INDEX(상세표[성명],$U1854)&amp;"")</f>
        <v/>
      </c>
      <c r="L1854">
        <f>IF($U1854="","",INDEX(상세표[직위],$U1854)&amp;"")</f>
        <v/>
      </c>
      <c r="M1854">
        <f>IF($U1854="","",IF(ISNUMBER(INDEX(상세표[근무일자],$U1854)),TEXT(INDEX(상세표[근무일자],$U1854),"yyyy-mm-dd"),INDEX(상세표[근무일자],$U1854)&amp;""))</f>
        <v/>
      </c>
      <c r="N1854">
        <f>IF($U1854="","",IF(ISNUMBER(INDEX(상세표[시작],$U1854)),TEXT(INDEX(상세표[시작],$U1854),"yyyy-mm-dd hh:mm"),INDEX(상세표[시작],$U1854)&amp;""))</f>
        <v/>
      </c>
      <c r="O1854">
        <f>IF($U1854="","",IF(ISNUMBER(INDEX(상세표[종료],$U1854)),TEXT(INDEX(상세표[종료],$U1854),"yyyy-mm-dd hh:mm"),INDEX(상세표[종료],$U1854)&amp;""))</f>
        <v/>
      </c>
      <c r="P1854">
        <f>IF($U1854="","",INDEX(상세표[06~07시],$U1854))</f>
        <v/>
      </c>
      <c r="Q1854">
        <f>IF($U1854="","",INDEX(상세표[07~18시],$U1854))</f>
        <v/>
      </c>
      <c r="R1854">
        <f>IF($U1854="","",INDEX(상세표[18~22시],$U1854))</f>
        <v/>
      </c>
      <c r="S1854">
        <f>IF($U1854="","",INDEX(상세표[22~06시],$U1854))</f>
        <v/>
      </c>
      <c r="T1854">
        <f>IF($U1854="","",INDEX(상세표[기록 시간외],$U1854))</f>
        <v/>
      </c>
      <c r="U1854" s="4">
        <f>IFERROR(MATCH(1849,상세표[발송순번],0),"")</f>
        <v/>
      </c>
    </row>
    <row r="1855">
      <c r="J1855">
        <f>IF($U1855="","",INDEX(상세표[사번],$U1855)&amp;"")</f>
        <v/>
      </c>
      <c r="K1855">
        <f>IF($U1855="","",INDEX(상세표[성명],$U1855)&amp;"")</f>
        <v/>
      </c>
      <c r="L1855">
        <f>IF($U1855="","",INDEX(상세표[직위],$U1855)&amp;"")</f>
        <v/>
      </c>
      <c r="M1855">
        <f>IF($U1855="","",IF(ISNUMBER(INDEX(상세표[근무일자],$U1855)),TEXT(INDEX(상세표[근무일자],$U1855),"yyyy-mm-dd"),INDEX(상세표[근무일자],$U1855)&amp;""))</f>
        <v/>
      </c>
      <c r="N1855">
        <f>IF($U1855="","",IF(ISNUMBER(INDEX(상세표[시작],$U1855)),TEXT(INDEX(상세표[시작],$U1855),"yyyy-mm-dd hh:mm"),INDEX(상세표[시작],$U1855)&amp;""))</f>
        <v/>
      </c>
      <c r="O1855">
        <f>IF($U1855="","",IF(ISNUMBER(INDEX(상세표[종료],$U1855)),TEXT(INDEX(상세표[종료],$U1855),"yyyy-mm-dd hh:mm"),INDEX(상세표[종료],$U1855)&amp;""))</f>
        <v/>
      </c>
      <c r="P1855">
        <f>IF($U1855="","",INDEX(상세표[06~07시],$U1855))</f>
        <v/>
      </c>
      <c r="Q1855">
        <f>IF($U1855="","",INDEX(상세표[07~18시],$U1855))</f>
        <v/>
      </c>
      <c r="R1855">
        <f>IF($U1855="","",INDEX(상세표[18~22시],$U1855))</f>
        <v/>
      </c>
      <c r="S1855">
        <f>IF($U1855="","",INDEX(상세표[22~06시],$U1855))</f>
        <v/>
      </c>
      <c r="T1855">
        <f>IF($U1855="","",INDEX(상세표[기록 시간외],$U1855))</f>
        <v/>
      </c>
      <c r="U1855" s="4">
        <f>IFERROR(MATCH(1850,상세표[발송순번],0),"")</f>
        <v/>
      </c>
    </row>
    <row r="1856">
      <c r="J1856">
        <f>IF($U1856="","",INDEX(상세표[사번],$U1856)&amp;"")</f>
        <v/>
      </c>
      <c r="K1856">
        <f>IF($U1856="","",INDEX(상세표[성명],$U1856)&amp;"")</f>
        <v/>
      </c>
      <c r="L1856">
        <f>IF($U1856="","",INDEX(상세표[직위],$U1856)&amp;"")</f>
        <v/>
      </c>
      <c r="M1856">
        <f>IF($U1856="","",IF(ISNUMBER(INDEX(상세표[근무일자],$U1856)),TEXT(INDEX(상세표[근무일자],$U1856),"yyyy-mm-dd"),INDEX(상세표[근무일자],$U1856)&amp;""))</f>
        <v/>
      </c>
      <c r="N1856">
        <f>IF($U1856="","",IF(ISNUMBER(INDEX(상세표[시작],$U1856)),TEXT(INDEX(상세표[시작],$U1856),"yyyy-mm-dd hh:mm"),INDEX(상세표[시작],$U1856)&amp;""))</f>
        <v/>
      </c>
      <c r="O1856">
        <f>IF($U1856="","",IF(ISNUMBER(INDEX(상세표[종료],$U1856)),TEXT(INDEX(상세표[종료],$U1856),"yyyy-mm-dd hh:mm"),INDEX(상세표[종료],$U1856)&amp;""))</f>
        <v/>
      </c>
      <c r="P1856">
        <f>IF($U1856="","",INDEX(상세표[06~07시],$U1856))</f>
        <v/>
      </c>
      <c r="Q1856">
        <f>IF($U1856="","",INDEX(상세표[07~18시],$U1856))</f>
        <v/>
      </c>
      <c r="R1856">
        <f>IF($U1856="","",INDEX(상세표[18~22시],$U1856))</f>
        <v/>
      </c>
      <c r="S1856">
        <f>IF($U1856="","",INDEX(상세표[22~06시],$U1856))</f>
        <v/>
      </c>
      <c r="T1856">
        <f>IF($U1856="","",INDEX(상세표[기록 시간외],$U1856))</f>
        <v/>
      </c>
      <c r="U1856" s="4">
        <f>IFERROR(MATCH(1851,상세표[발송순번],0),"")</f>
        <v/>
      </c>
    </row>
    <row r="1857">
      <c r="J1857">
        <f>IF($U1857="","",INDEX(상세표[사번],$U1857)&amp;"")</f>
        <v/>
      </c>
      <c r="K1857">
        <f>IF($U1857="","",INDEX(상세표[성명],$U1857)&amp;"")</f>
        <v/>
      </c>
      <c r="L1857">
        <f>IF($U1857="","",INDEX(상세표[직위],$U1857)&amp;"")</f>
        <v/>
      </c>
      <c r="M1857">
        <f>IF($U1857="","",IF(ISNUMBER(INDEX(상세표[근무일자],$U1857)),TEXT(INDEX(상세표[근무일자],$U1857),"yyyy-mm-dd"),INDEX(상세표[근무일자],$U1857)&amp;""))</f>
        <v/>
      </c>
      <c r="N1857">
        <f>IF($U1857="","",IF(ISNUMBER(INDEX(상세표[시작],$U1857)),TEXT(INDEX(상세표[시작],$U1857),"yyyy-mm-dd hh:mm"),INDEX(상세표[시작],$U1857)&amp;""))</f>
        <v/>
      </c>
      <c r="O1857">
        <f>IF($U1857="","",IF(ISNUMBER(INDEX(상세표[종료],$U1857)),TEXT(INDEX(상세표[종료],$U1857),"yyyy-mm-dd hh:mm"),INDEX(상세표[종료],$U1857)&amp;""))</f>
        <v/>
      </c>
      <c r="P1857">
        <f>IF($U1857="","",INDEX(상세표[06~07시],$U1857))</f>
        <v/>
      </c>
      <c r="Q1857">
        <f>IF($U1857="","",INDEX(상세표[07~18시],$U1857))</f>
        <v/>
      </c>
      <c r="R1857">
        <f>IF($U1857="","",INDEX(상세표[18~22시],$U1857))</f>
        <v/>
      </c>
      <c r="S1857">
        <f>IF($U1857="","",INDEX(상세표[22~06시],$U1857))</f>
        <v/>
      </c>
      <c r="T1857">
        <f>IF($U1857="","",INDEX(상세표[기록 시간외],$U1857))</f>
        <v/>
      </c>
      <c r="U1857" s="4">
        <f>IFERROR(MATCH(1852,상세표[발송순번],0),"")</f>
        <v/>
      </c>
    </row>
    <row r="1858">
      <c r="J1858">
        <f>IF($U1858="","",INDEX(상세표[사번],$U1858)&amp;"")</f>
        <v/>
      </c>
      <c r="K1858">
        <f>IF($U1858="","",INDEX(상세표[성명],$U1858)&amp;"")</f>
        <v/>
      </c>
      <c r="L1858">
        <f>IF($U1858="","",INDEX(상세표[직위],$U1858)&amp;"")</f>
        <v/>
      </c>
      <c r="M1858">
        <f>IF($U1858="","",IF(ISNUMBER(INDEX(상세표[근무일자],$U1858)),TEXT(INDEX(상세표[근무일자],$U1858),"yyyy-mm-dd"),INDEX(상세표[근무일자],$U1858)&amp;""))</f>
        <v/>
      </c>
      <c r="N1858">
        <f>IF($U1858="","",IF(ISNUMBER(INDEX(상세표[시작],$U1858)),TEXT(INDEX(상세표[시작],$U1858),"yyyy-mm-dd hh:mm"),INDEX(상세표[시작],$U1858)&amp;""))</f>
        <v/>
      </c>
      <c r="O1858">
        <f>IF($U1858="","",IF(ISNUMBER(INDEX(상세표[종료],$U1858)),TEXT(INDEX(상세표[종료],$U1858),"yyyy-mm-dd hh:mm"),INDEX(상세표[종료],$U1858)&amp;""))</f>
        <v/>
      </c>
      <c r="P1858">
        <f>IF($U1858="","",INDEX(상세표[06~07시],$U1858))</f>
        <v/>
      </c>
      <c r="Q1858">
        <f>IF($U1858="","",INDEX(상세표[07~18시],$U1858))</f>
        <v/>
      </c>
      <c r="R1858">
        <f>IF($U1858="","",INDEX(상세표[18~22시],$U1858))</f>
        <v/>
      </c>
      <c r="S1858">
        <f>IF($U1858="","",INDEX(상세표[22~06시],$U1858))</f>
        <v/>
      </c>
      <c r="T1858">
        <f>IF($U1858="","",INDEX(상세표[기록 시간외],$U1858))</f>
        <v/>
      </c>
      <c r="U1858" s="4">
        <f>IFERROR(MATCH(1853,상세표[발송순번],0),"")</f>
        <v/>
      </c>
    </row>
    <row r="1859">
      <c r="J1859">
        <f>IF($U1859="","",INDEX(상세표[사번],$U1859)&amp;"")</f>
        <v/>
      </c>
      <c r="K1859">
        <f>IF($U1859="","",INDEX(상세표[성명],$U1859)&amp;"")</f>
        <v/>
      </c>
      <c r="L1859">
        <f>IF($U1859="","",INDEX(상세표[직위],$U1859)&amp;"")</f>
        <v/>
      </c>
      <c r="M1859">
        <f>IF($U1859="","",IF(ISNUMBER(INDEX(상세표[근무일자],$U1859)),TEXT(INDEX(상세표[근무일자],$U1859),"yyyy-mm-dd"),INDEX(상세표[근무일자],$U1859)&amp;""))</f>
        <v/>
      </c>
      <c r="N1859">
        <f>IF($U1859="","",IF(ISNUMBER(INDEX(상세표[시작],$U1859)),TEXT(INDEX(상세표[시작],$U1859),"yyyy-mm-dd hh:mm"),INDEX(상세표[시작],$U1859)&amp;""))</f>
        <v/>
      </c>
      <c r="O1859">
        <f>IF($U1859="","",IF(ISNUMBER(INDEX(상세표[종료],$U1859)),TEXT(INDEX(상세표[종료],$U1859),"yyyy-mm-dd hh:mm"),INDEX(상세표[종료],$U1859)&amp;""))</f>
        <v/>
      </c>
      <c r="P1859">
        <f>IF($U1859="","",INDEX(상세표[06~07시],$U1859))</f>
        <v/>
      </c>
      <c r="Q1859">
        <f>IF($U1859="","",INDEX(상세표[07~18시],$U1859))</f>
        <v/>
      </c>
      <c r="R1859">
        <f>IF($U1859="","",INDEX(상세표[18~22시],$U1859))</f>
        <v/>
      </c>
      <c r="S1859">
        <f>IF($U1859="","",INDEX(상세표[22~06시],$U1859))</f>
        <v/>
      </c>
      <c r="T1859">
        <f>IF($U1859="","",INDEX(상세표[기록 시간외],$U1859))</f>
        <v/>
      </c>
      <c r="U1859" s="4">
        <f>IFERROR(MATCH(1854,상세표[발송순번],0),"")</f>
        <v/>
      </c>
    </row>
    <row r="1860">
      <c r="J1860">
        <f>IF($U1860="","",INDEX(상세표[사번],$U1860)&amp;"")</f>
        <v/>
      </c>
      <c r="K1860">
        <f>IF($U1860="","",INDEX(상세표[성명],$U1860)&amp;"")</f>
        <v/>
      </c>
      <c r="L1860">
        <f>IF($U1860="","",INDEX(상세표[직위],$U1860)&amp;"")</f>
        <v/>
      </c>
      <c r="M1860">
        <f>IF($U1860="","",IF(ISNUMBER(INDEX(상세표[근무일자],$U1860)),TEXT(INDEX(상세표[근무일자],$U1860),"yyyy-mm-dd"),INDEX(상세표[근무일자],$U1860)&amp;""))</f>
        <v/>
      </c>
      <c r="N1860">
        <f>IF($U1860="","",IF(ISNUMBER(INDEX(상세표[시작],$U1860)),TEXT(INDEX(상세표[시작],$U1860),"yyyy-mm-dd hh:mm"),INDEX(상세표[시작],$U1860)&amp;""))</f>
        <v/>
      </c>
      <c r="O1860">
        <f>IF($U1860="","",IF(ISNUMBER(INDEX(상세표[종료],$U1860)),TEXT(INDEX(상세표[종료],$U1860),"yyyy-mm-dd hh:mm"),INDEX(상세표[종료],$U1860)&amp;""))</f>
        <v/>
      </c>
      <c r="P1860">
        <f>IF($U1860="","",INDEX(상세표[06~07시],$U1860))</f>
        <v/>
      </c>
      <c r="Q1860">
        <f>IF($U1860="","",INDEX(상세표[07~18시],$U1860))</f>
        <v/>
      </c>
      <c r="R1860">
        <f>IF($U1860="","",INDEX(상세표[18~22시],$U1860))</f>
        <v/>
      </c>
      <c r="S1860">
        <f>IF($U1860="","",INDEX(상세표[22~06시],$U1860))</f>
        <v/>
      </c>
      <c r="T1860">
        <f>IF($U1860="","",INDEX(상세표[기록 시간외],$U1860))</f>
        <v/>
      </c>
      <c r="U1860" s="4">
        <f>IFERROR(MATCH(1855,상세표[발송순번],0),"")</f>
        <v/>
      </c>
    </row>
    <row r="1861">
      <c r="J1861">
        <f>IF($U1861="","",INDEX(상세표[사번],$U1861)&amp;"")</f>
        <v/>
      </c>
      <c r="K1861">
        <f>IF($U1861="","",INDEX(상세표[성명],$U1861)&amp;"")</f>
        <v/>
      </c>
      <c r="L1861">
        <f>IF($U1861="","",INDEX(상세표[직위],$U1861)&amp;"")</f>
        <v/>
      </c>
      <c r="M1861">
        <f>IF($U1861="","",IF(ISNUMBER(INDEX(상세표[근무일자],$U1861)),TEXT(INDEX(상세표[근무일자],$U1861),"yyyy-mm-dd"),INDEX(상세표[근무일자],$U1861)&amp;""))</f>
        <v/>
      </c>
      <c r="N1861">
        <f>IF($U1861="","",IF(ISNUMBER(INDEX(상세표[시작],$U1861)),TEXT(INDEX(상세표[시작],$U1861),"yyyy-mm-dd hh:mm"),INDEX(상세표[시작],$U1861)&amp;""))</f>
        <v/>
      </c>
      <c r="O1861">
        <f>IF($U1861="","",IF(ISNUMBER(INDEX(상세표[종료],$U1861)),TEXT(INDEX(상세표[종료],$U1861),"yyyy-mm-dd hh:mm"),INDEX(상세표[종료],$U1861)&amp;""))</f>
        <v/>
      </c>
      <c r="P1861">
        <f>IF($U1861="","",INDEX(상세표[06~07시],$U1861))</f>
        <v/>
      </c>
      <c r="Q1861">
        <f>IF($U1861="","",INDEX(상세표[07~18시],$U1861))</f>
        <v/>
      </c>
      <c r="R1861">
        <f>IF($U1861="","",INDEX(상세표[18~22시],$U1861))</f>
        <v/>
      </c>
      <c r="S1861">
        <f>IF($U1861="","",INDEX(상세표[22~06시],$U1861))</f>
        <v/>
      </c>
      <c r="T1861">
        <f>IF($U1861="","",INDEX(상세표[기록 시간외],$U1861))</f>
        <v/>
      </c>
      <c r="U1861" s="4">
        <f>IFERROR(MATCH(1856,상세표[발송순번],0),"")</f>
        <v/>
      </c>
    </row>
    <row r="1862">
      <c r="J1862">
        <f>IF($U1862="","",INDEX(상세표[사번],$U1862)&amp;"")</f>
        <v/>
      </c>
      <c r="K1862">
        <f>IF($U1862="","",INDEX(상세표[성명],$U1862)&amp;"")</f>
        <v/>
      </c>
      <c r="L1862">
        <f>IF($U1862="","",INDEX(상세표[직위],$U1862)&amp;"")</f>
        <v/>
      </c>
      <c r="M1862">
        <f>IF($U1862="","",IF(ISNUMBER(INDEX(상세표[근무일자],$U1862)),TEXT(INDEX(상세표[근무일자],$U1862),"yyyy-mm-dd"),INDEX(상세표[근무일자],$U1862)&amp;""))</f>
        <v/>
      </c>
      <c r="N1862">
        <f>IF($U1862="","",IF(ISNUMBER(INDEX(상세표[시작],$U1862)),TEXT(INDEX(상세표[시작],$U1862),"yyyy-mm-dd hh:mm"),INDEX(상세표[시작],$U1862)&amp;""))</f>
        <v/>
      </c>
      <c r="O1862">
        <f>IF($U1862="","",IF(ISNUMBER(INDEX(상세표[종료],$U1862)),TEXT(INDEX(상세표[종료],$U1862),"yyyy-mm-dd hh:mm"),INDEX(상세표[종료],$U1862)&amp;""))</f>
        <v/>
      </c>
      <c r="P1862">
        <f>IF($U1862="","",INDEX(상세표[06~07시],$U1862))</f>
        <v/>
      </c>
      <c r="Q1862">
        <f>IF($U1862="","",INDEX(상세표[07~18시],$U1862))</f>
        <v/>
      </c>
      <c r="R1862">
        <f>IF($U1862="","",INDEX(상세표[18~22시],$U1862))</f>
        <v/>
      </c>
      <c r="S1862">
        <f>IF($U1862="","",INDEX(상세표[22~06시],$U1862))</f>
        <v/>
      </c>
      <c r="T1862">
        <f>IF($U1862="","",INDEX(상세표[기록 시간외],$U1862))</f>
        <v/>
      </c>
      <c r="U1862" s="4">
        <f>IFERROR(MATCH(1857,상세표[발송순번],0),"")</f>
        <v/>
      </c>
    </row>
    <row r="1863">
      <c r="J1863">
        <f>IF($U1863="","",INDEX(상세표[사번],$U1863)&amp;"")</f>
        <v/>
      </c>
      <c r="K1863">
        <f>IF($U1863="","",INDEX(상세표[성명],$U1863)&amp;"")</f>
        <v/>
      </c>
      <c r="L1863">
        <f>IF($U1863="","",INDEX(상세표[직위],$U1863)&amp;"")</f>
        <v/>
      </c>
      <c r="M1863">
        <f>IF($U1863="","",IF(ISNUMBER(INDEX(상세표[근무일자],$U1863)),TEXT(INDEX(상세표[근무일자],$U1863),"yyyy-mm-dd"),INDEX(상세표[근무일자],$U1863)&amp;""))</f>
        <v/>
      </c>
      <c r="N1863">
        <f>IF($U1863="","",IF(ISNUMBER(INDEX(상세표[시작],$U1863)),TEXT(INDEX(상세표[시작],$U1863),"yyyy-mm-dd hh:mm"),INDEX(상세표[시작],$U1863)&amp;""))</f>
        <v/>
      </c>
      <c r="O1863">
        <f>IF($U1863="","",IF(ISNUMBER(INDEX(상세표[종료],$U1863)),TEXT(INDEX(상세표[종료],$U1863),"yyyy-mm-dd hh:mm"),INDEX(상세표[종료],$U1863)&amp;""))</f>
        <v/>
      </c>
      <c r="P1863">
        <f>IF($U1863="","",INDEX(상세표[06~07시],$U1863))</f>
        <v/>
      </c>
      <c r="Q1863">
        <f>IF($U1863="","",INDEX(상세표[07~18시],$U1863))</f>
        <v/>
      </c>
      <c r="R1863">
        <f>IF($U1863="","",INDEX(상세표[18~22시],$U1863))</f>
        <v/>
      </c>
      <c r="S1863">
        <f>IF($U1863="","",INDEX(상세표[22~06시],$U1863))</f>
        <v/>
      </c>
      <c r="T1863">
        <f>IF($U1863="","",INDEX(상세표[기록 시간외],$U1863))</f>
        <v/>
      </c>
      <c r="U1863" s="4">
        <f>IFERROR(MATCH(1858,상세표[발송순번],0),"")</f>
        <v/>
      </c>
    </row>
    <row r="1864">
      <c r="J1864">
        <f>IF($U1864="","",INDEX(상세표[사번],$U1864)&amp;"")</f>
        <v/>
      </c>
      <c r="K1864">
        <f>IF($U1864="","",INDEX(상세표[성명],$U1864)&amp;"")</f>
        <v/>
      </c>
      <c r="L1864">
        <f>IF($U1864="","",INDEX(상세표[직위],$U1864)&amp;"")</f>
        <v/>
      </c>
      <c r="M1864">
        <f>IF($U1864="","",IF(ISNUMBER(INDEX(상세표[근무일자],$U1864)),TEXT(INDEX(상세표[근무일자],$U1864),"yyyy-mm-dd"),INDEX(상세표[근무일자],$U1864)&amp;""))</f>
        <v/>
      </c>
      <c r="N1864">
        <f>IF($U1864="","",IF(ISNUMBER(INDEX(상세표[시작],$U1864)),TEXT(INDEX(상세표[시작],$U1864),"yyyy-mm-dd hh:mm"),INDEX(상세표[시작],$U1864)&amp;""))</f>
        <v/>
      </c>
      <c r="O1864">
        <f>IF($U1864="","",IF(ISNUMBER(INDEX(상세표[종료],$U1864)),TEXT(INDEX(상세표[종료],$U1864),"yyyy-mm-dd hh:mm"),INDEX(상세표[종료],$U1864)&amp;""))</f>
        <v/>
      </c>
      <c r="P1864">
        <f>IF($U1864="","",INDEX(상세표[06~07시],$U1864))</f>
        <v/>
      </c>
      <c r="Q1864">
        <f>IF($U1864="","",INDEX(상세표[07~18시],$U1864))</f>
        <v/>
      </c>
      <c r="R1864">
        <f>IF($U1864="","",INDEX(상세표[18~22시],$U1864))</f>
        <v/>
      </c>
      <c r="S1864">
        <f>IF($U1864="","",INDEX(상세표[22~06시],$U1864))</f>
        <v/>
      </c>
      <c r="T1864">
        <f>IF($U1864="","",INDEX(상세표[기록 시간외],$U1864))</f>
        <v/>
      </c>
      <c r="U1864" s="4">
        <f>IFERROR(MATCH(1859,상세표[발송순번],0),"")</f>
        <v/>
      </c>
    </row>
    <row r="1865">
      <c r="J1865">
        <f>IF($U1865="","",INDEX(상세표[사번],$U1865)&amp;"")</f>
        <v/>
      </c>
      <c r="K1865">
        <f>IF($U1865="","",INDEX(상세표[성명],$U1865)&amp;"")</f>
        <v/>
      </c>
      <c r="L1865">
        <f>IF($U1865="","",INDEX(상세표[직위],$U1865)&amp;"")</f>
        <v/>
      </c>
      <c r="M1865">
        <f>IF($U1865="","",IF(ISNUMBER(INDEX(상세표[근무일자],$U1865)),TEXT(INDEX(상세표[근무일자],$U1865),"yyyy-mm-dd"),INDEX(상세표[근무일자],$U1865)&amp;""))</f>
        <v/>
      </c>
      <c r="N1865">
        <f>IF($U1865="","",IF(ISNUMBER(INDEX(상세표[시작],$U1865)),TEXT(INDEX(상세표[시작],$U1865),"yyyy-mm-dd hh:mm"),INDEX(상세표[시작],$U1865)&amp;""))</f>
        <v/>
      </c>
      <c r="O1865">
        <f>IF($U1865="","",IF(ISNUMBER(INDEX(상세표[종료],$U1865)),TEXT(INDEX(상세표[종료],$U1865),"yyyy-mm-dd hh:mm"),INDEX(상세표[종료],$U1865)&amp;""))</f>
        <v/>
      </c>
      <c r="P1865">
        <f>IF($U1865="","",INDEX(상세표[06~07시],$U1865))</f>
        <v/>
      </c>
      <c r="Q1865">
        <f>IF($U1865="","",INDEX(상세표[07~18시],$U1865))</f>
        <v/>
      </c>
      <c r="R1865">
        <f>IF($U1865="","",INDEX(상세표[18~22시],$U1865))</f>
        <v/>
      </c>
      <c r="S1865">
        <f>IF($U1865="","",INDEX(상세표[22~06시],$U1865))</f>
        <v/>
      </c>
      <c r="T1865">
        <f>IF($U1865="","",INDEX(상세표[기록 시간외],$U1865))</f>
        <v/>
      </c>
      <c r="U1865" s="4">
        <f>IFERROR(MATCH(1860,상세표[발송순번],0),"")</f>
        <v/>
      </c>
    </row>
    <row r="1866">
      <c r="J1866">
        <f>IF($U1866="","",INDEX(상세표[사번],$U1866)&amp;"")</f>
        <v/>
      </c>
      <c r="K1866">
        <f>IF($U1866="","",INDEX(상세표[성명],$U1866)&amp;"")</f>
        <v/>
      </c>
      <c r="L1866">
        <f>IF($U1866="","",INDEX(상세표[직위],$U1866)&amp;"")</f>
        <v/>
      </c>
      <c r="M1866">
        <f>IF($U1866="","",IF(ISNUMBER(INDEX(상세표[근무일자],$U1866)),TEXT(INDEX(상세표[근무일자],$U1866),"yyyy-mm-dd"),INDEX(상세표[근무일자],$U1866)&amp;""))</f>
        <v/>
      </c>
      <c r="N1866">
        <f>IF($U1866="","",IF(ISNUMBER(INDEX(상세표[시작],$U1866)),TEXT(INDEX(상세표[시작],$U1866),"yyyy-mm-dd hh:mm"),INDEX(상세표[시작],$U1866)&amp;""))</f>
        <v/>
      </c>
      <c r="O1866">
        <f>IF($U1866="","",IF(ISNUMBER(INDEX(상세표[종료],$U1866)),TEXT(INDEX(상세표[종료],$U1866),"yyyy-mm-dd hh:mm"),INDEX(상세표[종료],$U1866)&amp;""))</f>
        <v/>
      </c>
      <c r="P1866">
        <f>IF($U1866="","",INDEX(상세표[06~07시],$U1866))</f>
        <v/>
      </c>
      <c r="Q1866">
        <f>IF($U1866="","",INDEX(상세표[07~18시],$U1866))</f>
        <v/>
      </c>
      <c r="R1866">
        <f>IF($U1866="","",INDEX(상세표[18~22시],$U1866))</f>
        <v/>
      </c>
      <c r="S1866">
        <f>IF($U1866="","",INDEX(상세표[22~06시],$U1866))</f>
        <v/>
      </c>
      <c r="T1866">
        <f>IF($U1866="","",INDEX(상세표[기록 시간외],$U1866))</f>
        <v/>
      </c>
      <c r="U1866" s="4">
        <f>IFERROR(MATCH(1861,상세표[발송순번],0),"")</f>
        <v/>
      </c>
    </row>
    <row r="1867">
      <c r="J1867">
        <f>IF($U1867="","",INDEX(상세표[사번],$U1867)&amp;"")</f>
        <v/>
      </c>
      <c r="K1867">
        <f>IF($U1867="","",INDEX(상세표[성명],$U1867)&amp;"")</f>
        <v/>
      </c>
      <c r="L1867">
        <f>IF($U1867="","",INDEX(상세표[직위],$U1867)&amp;"")</f>
        <v/>
      </c>
      <c r="M1867">
        <f>IF($U1867="","",IF(ISNUMBER(INDEX(상세표[근무일자],$U1867)),TEXT(INDEX(상세표[근무일자],$U1867),"yyyy-mm-dd"),INDEX(상세표[근무일자],$U1867)&amp;""))</f>
        <v/>
      </c>
      <c r="N1867">
        <f>IF($U1867="","",IF(ISNUMBER(INDEX(상세표[시작],$U1867)),TEXT(INDEX(상세표[시작],$U1867),"yyyy-mm-dd hh:mm"),INDEX(상세표[시작],$U1867)&amp;""))</f>
        <v/>
      </c>
      <c r="O1867">
        <f>IF($U1867="","",IF(ISNUMBER(INDEX(상세표[종료],$U1867)),TEXT(INDEX(상세표[종료],$U1867),"yyyy-mm-dd hh:mm"),INDEX(상세표[종료],$U1867)&amp;""))</f>
        <v/>
      </c>
      <c r="P1867">
        <f>IF($U1867="","",INDEX(상세표[06~07시],$U1867))</f>
        <v/>
      </c>
      <c r="Q1867">
        <f>IF($U1867="","",INDEX(상세표[07~18시],$U1867))</f>
        <v/>
      </c>
      <c r="R1867">
        <f>IF($U1867="","",INDEX(상세표[18~22시],$U1867))</f>
        <v/>
      </c>
      <c r="S1867">
        <f>IF($U1867="","",INDEX(상세표[22~06시],$U1867))</f>
        <v/>
      </c>
      <c r="T1867">
        <f>IF($U1867="","",INDEX(상세표[기록 시간외],$U1867))</f>
        <v/>
      </c>
      <c r="U1867" s="4">
        <f>IFERROR(MATCH(1862,상세표[발송순번],0),"")</f>
        <v/>
      </c>
    </row>
    <row r="1868">
      <c r="J1868">
        <f>IF($U1868="","",INDEX(상세표[사번],$U1868)&amp;"")</f>
        <v/>
      </c>
      <c r="K1868">
        <f>IF($U1868="","",INDEX(상세표[성명],$U1868)&amp;"")</f>
        <v/>
      </c>
      <c r="L1868">
        <f>IF($U1868="","",INDEX(상세표[직위],$U1868)&amp;"")</f>
        <v/>
      </c>
      <c r="M1868">
        <f>IF($U1868="","",IF(ISNUMBER(INDEX(상세표[근무일자],$U1868)),TEXT(INDEX(상세표[근무일자],$U1868),"yyyy-mm-dd"),INDEX(상세표[근무일자],$U1868)&amp;""))</f>
        <v/>
      </c>
      <c r="N1868">
        <f>IF($U1868="","",IF(ISNUMBER(INDEX(상세표[시작],$U1868)),TEXT(INDEX(상세표[시작],$U1868),"yyyy-mm-dd hh:mm"),INDEX(상세표[시작],$U1868)&amp;""))</f>
        <v/>
      </c>
      <c r="O1868">
        <f>IF($U1868="","",IF(ISNUMBER(INDEX(상세표[종료],$U1868)),TEXT(INDEX(상세표[종료],$U1868),"yyyy-mm-dd hh:mm"),INDEX(상세표[종료],$U1868)&amp;""))</f>
        <v/>
      </c>
      <c r="P1868">
        <f>IF($U1868="","",INDEX(상세표[06~07시],$U1868))</f>
        <v/>
      </c>
      <c r="Q1868">
        <f>IF($U1868="","",INDEX(상세표[07~18시],$U1868))</f>
        <v/>
      </c>
      <c r="R1868">
        <f>IF($U1868="","",INDEX(상세표[18~22시],$U1868))</f>
        <v/>
      </c>
      <c r="S1868">
        <f>IF($U1868="","",INDEX(상세표[22~06시],$U1868))</f>
        <v/>
      </c>
      <c r="T1868">
        <f>IF($U1868="","",INDEX(상세표[기록 시간외],$U1868))</f>
        <v/>
      </c>
      <c r="U1868" s="4">
        <f>IFERROR(MATCH(1863,상세표[발송순번],0),"")</f>
        <v/>
      </c>
    </row>
    <row r="1869">
      <c r="J1869">
        <f>IF($U1869="","",INDEX(상세표[사번],$U1869)&amp;"")</f>
        <v/>
      </c>
      <c r="K1869">
        <f>IF($U1869="","",INDEX(상세표[성명],$U1869)&amp;"")</f>
        <v/>
      </c>
      <c r="L1869">
        <f>IF($U1869="","",INDEX(상세표[직위],$U1869)&amp;"")</f>
        <v/>
      </c>
      <c r="M1869">
        <f>IF($U1869="","",IF(ISNUMBER(INDEX(상세표[근무일자],$U1869)),TEXT(INDEX(상세표[근무일자],$U1869),"yyyy-mm-dd"),INDEX(상세표[근무일자],$U1869)&amp;""))</f>
        <v/>
      </c>
      <c r="N1869">
        <f>IF($U1869="","",IF(ISNUMBER(INDEX(상세표[시작],$U1869)),TEXT(INDEX(상세표[시작],$U1869),"yyyy-mm-dd hh:mm"),INDEX(상세표[시작],$U1869)&amp;""))</f>
        <v/>
      </c>
      <c r="O1869">
        <f>IF($U1869="","",IF(ISNUMBER(INDEX(상세표[종료],$U1869)),TEXT(INDEX(상세표[종료],$U1869),"yyyy-mm-dd hh:mm"),INDEX(상세표[종료],$U1869)&amp;""))</f>
        <v/>
      </c>
      <c r="P1869">
        <f>IF($U1869="","",INDEX(상세표[06~07시],$U1869))</f>
        <v/>
      </c>
      <c r="Q1869">
        <f>IF($U1869="","",INDEX(상세표[07~18시],$U1869))</f>
        <v/>
      </c>
      <c r="R1869">
        <f>IF($U1869="","",INDEX(상세표[18~22시],$U1869))</f>
        <v/>
      </c>
      <c r="S1869">
        <f>IF($U1869="","",INDEX(상세표[22~06시],$U1869))</f>
        <v/>
      </c>
      <c r="T1869">
        <f>IF($U1869="","",INDEX(상세표[기록 시간외],$U1869))</f>
        <v/>
      </c>
      <c r="U1869" s="4">
        <f>IFERROR(MATCH(1864,상세표[발송순번],0),"")</f>
        <v/>
      </c>
    </row>
    <row r="1870">
      <c r="J1870">
        <f>IF($U1870="","",INDEX(상세표[사번],$U1870)&amp;"")</f>
        <v/>
      </c>
      <c r="K1870">
        <f>IF($U1870="","",INDEX(상세표[성명],$U1870)&amp;"")</f>
        <v/>
      </c>
      <c r="L1870">
        <f>IF($U1870="","",INDEX(상세표[직위],$U1870)&amp;"")</f>
        <v/>
      </c>
      <c r="M1870">
        <f>IF($U1870="","",IF(ISNUMBER(INDEX(상세표[근무일자],$U1870)),TEXT(INDEX(상세표[근무일자],$U1870),"yyyy-mm-dd"),INDEX(상세표[근무일자],$U1870)&amp;""))</f>
        <v/>
      </c>
      <c r="N1870">
        <f>IF($U1870="","",IF(ISNUMBER(INDEX(상세표[시작],$U1870)),TEXT(INDEX(상세표[시작],$U1870),"yyyy-mm-dd hh:mm"),INDEX(상세표[시작],$U1870)&amp;""))</f>
        <v/>
      </c>
      <c r="O1870">
        <f>IF($U1870="","",IF(ISNUMBER(INDEX(상세표[종료],$U1870)),TEXT(INDEX(상세표[종료],$U1870),"yyyy-mm-dd hh:mm"),INDEX(상세표[종료],$U1870)&amp;""))</f>
        <v/>
      </c>
      <c r="P1870">
        <f>IF($U1870="","",INDEX(상세표[06~07시],$U1870))</f>
        <v/>
      </c>
      <c r="Q1870">
        <f>IF($U1870="","",INDEX(상세표[07~18시],$U1870))</f>
        <v/>
      </c>
      <c r="R1870">
        <f>IF($U1870="","",INDEX(상세표[18~22시],$U1870))</f>
        <v/>
      </c>
      <c r="S1870">
        <f>IF($U1870="","",INDEX(상세표[22~06시],$U1870))</f>
        <v/>
      </c>
      <c r="T1870">
        <f>IF($U1870="","",INDEX(상세표[기록 시간외],$U1870))</f>
        <v/>
      </c>
      <c r="U1870" s="4">
        <f>IFERROR(MATCH(1865,상세표[발송순번],0),"")</f>
        <v/>
      </c>
    </row>
    <row r="1871">
      <c r="J1871">
        <f>IF($U1871="","",INDEX(상세표[사번],$U1871)&amp;"")</f>
        <v/>
      </c>
      <c r="K1871">
        <f>IF($U1871="","",INDEX(상세표[성명],$U1871)&amp;"")</f>
        <v/>
      </c>
      <c r="L1871">
        <f>IF($U1871="","",INDEX(상세표[직위],$U1871)&amp;"")</f>
        <v/>
      </c>
      <c r="M1871">
        <f>IF($U1871="","",IF(ISNUMBER(INDEX(상세표[근무일자],$U1871)),TEXT(INDEX(상세표[근무일자],$U1871),"yyyy-mm-dd"),INDEX(상세표[근무일자],$U1871)&amp;""))</f>
        <v/>
      </c>
      <c r="N1871">
        <f>IF($U1871="","",IF(ISNUMBER(INDEX(상세표[시작],$U1871)),TEXT(INDEX(상세표[시작],$U1871),"yyyy-mm-dd hh:mm"),INDEX(상세표[시작],$U1871)&amp;""))</f>
        <v/>
      </c>
      <c r="O1871">
        <f>IF($U1871="","",IF(ISNUMBER(INDEX(상세표[종료],$U1871)),TEXT(INDEX(상세표[종료],$U1871),"yyyy-mm-dd hh:mm"),INDEX(상세표[종료],$U1871)&amp;""))</f>
        <v/>
      </c>
      <c r="P1871">
        <f>IF($U1871="","",INDEX(상세표[06~07시],$U1871))</f>
        <v/>
      </c>
      <c r="Q1871">
        <f>IF($U1871="","",INDEX(상세표[07~18시],$U1871))</f>
        <v/>
      </c>
      <c r="R1871">
        <f>IF($U1871="","",INDEX(상세표[18~22시],$U1871))</f>
        <v/>
      </c>
      <c r="S1871">
        <f>IF($U1871="","",INDEX(상세표[22~06시],$U1871))</f>
        <v/>
      </c>
      <c r="T1871">
        <f>IF($U1871="","",INDEX(상세표[기록 시간외],$U1871))</f>
        <v/>
      </c>
      <c r="U1871" s="4">
        <f>IFERROR(MATCH(1866,상세표[발송순번],0),"")</f>
        <v/>
      </c>
    </row>
    <row r="1872">
      <c r="J1872">
        <f>IF($U1872="","",INDEX(상세표[사번],$U1872)&amp;"")</f>
        <v/>
      </c>
      <c r="K1872">
        <f>IF($U1872="","",INDEX(상세표[성명],$U1872)&amp;"")</f>
        <v/>
      </c>
      <c r="L1872">
        <f>IF($U1872="","",INDEX(상세표[직위],$U1872)&amp;"")</f>
        <v/>
      </c>
      <c r="M1872">
        <f>IF($U1872="","",IF(ISNUMBER(INDEX(상세표[근무일자],$U1872)),TEXT(INDEX(상세표[근무일자],$U1872),"yyyy-mm-dd"),INDEX(상세표[근무일자],$U1872)&amp;""))</f>
        <v/>
      </c>
      <c r="N1872">
        <f>IF($U1872="","",IF(ISNUMBER(INDEX(상세표[시작],$U1872)),TEXT(INDEX(상세표[시작],$U1872),"yyyy-mm-dd hh:mm"),INDEX(상세표[시작],$U1872)&amp;""))</f>
        <v/>
      </c>
      <c r="O1872">
        <f>IF($U1872="","",IF(ISNUMBER(INDEX(상세표[종료],$U1872)),TEXT(INDEX(상세표[종료],$U1872),"yyyy-mm-dd hh:mm"),INDEX(상세표[종료],$U1872)&amp;""))</f>
        <v/>
      </c>
      <c r="P1872">
        <f>IF($U1872="","",INDEX(상세표[06~07시],$U1872))</f>
        <v/>
      </c>
      <c r="Q1872">
        <f>IF($U1872="","",INDEX(상세표[07~18시],$U1872))</f>
        <v/>
      </c>
      <c r="R1872">
        <f>IF($U1872="","",INDEX(상세표[18~22시],$U1872))</f>
        <v/>
      </c>
      <c r="S1872">
        <f>IF($U1872="","",INDEX(상세표[22~06시],$U1872))</f>
        <v/>
      </c>
      <c r="T1872">
        <f>IF($U1872="","",INDEX(상세표[기록 시간외],$U1872))</f>
        <v/>
      </c>
      <c r="U1872" s="4">
        <f>IFERROR(MATCH(1867,상세표[발송순번],0),"")</f>
        <v/>
      </c>
    </row>
    <row r="1873">
      <c r="J1873">
        <f>IF($U1873="","",INDEX(상세표[사번],$U1873)&amp;"")</f>
        <v/>
      </c>
      <c r="K1873">
        <f>IF($U1873="","",INDEX(상세표[성명],$U1873)&amp;"")</f>
        <v/>
      </c>
      <c r="L1873">
        <f>IF($U1873="","",INDEX(상세표[직위],$U1873)&amp;"")</f>
        <v/>
      </c>
      <c r="M1873">
        <f>IF($U1873="","",IF(ISNUMBER(INDEX(상세표[근무일자],$U1873)),TEXT(INDEX(상세표[근무일자],$U1873),"yyyy-mm-dd"),INDEX(상세표[근무일자],$U1873)&amp;""))</f>
        <v/>
      </c>
      <c r="N1873">
        <f>IF($U1873="","",IF(ISNUMBER(INDEX(상세표[시작],$U1873)),TEXT(INDEX(상세표[시작],$U1873),"yyyy-mm-dd hh:mm"),INDEX(상세표[시작],$U1873)&amp;""))</f>
        <v/>
      </c>
      <c r="O1873">
        <f>IF($U1873="","",IF(ISNUMBER(INDEX(상세표[종료],$U1873)),TEXT(INDEX(상세표[종료],$U1873),"yyyy-mm-dd hh:mm"),INDEX(상세표[종료],$U1873)&amp;""))</f>
        <v/>
      </c>
      <c r="P1873">
        <f>IF($U1873="","",INDEX(상세표[06~07시],$U1873))</f>
        <v/>
      </c>
      <c r="Q1873">
        <f>IF($U1873="","",INDEX(상세표[07~18시],$U1873))</f>
        <v/>
      </c>
      <c r="R1873">
        <f>IF($U1873="","",INDEX(상세표[18~22시],$U1873))</f>
        <v/>
      </c>
      <c r="S1873">
        <f>IF($U1873="","",INDEX(상세표[22~06시],$U1873))</f>
        <v/>
      </c>
      <c r="T1873">
        <f>IF($U1873="","",INDEX(상세표[기록 시간외],$U1873))</f>
        <v/>
      </c>
      <c r="U1873" s="4">
        <f>IFERROR(MATCH(1868,상세표[발송순번],0),"")</f>
        <v/>
      </c>
    </row>
    <row r="1874">
      <c r="J1874">
        <f>IF($U1874="","",INDEX(상세표[사번],$U1874)&amp;"")</f>
        <v/>
      </c>
      <c r="K1874">
        <f>IF($U1874="","",INDEX(상세표[성명],$U1874)&amp;"")</f>
        <v/>
      </c>
      <c r="L1874">
        <f>IF($U1874="","",INDEX(상세표[직위],$U1874)&amp;"")</f>
        <v/>
      </c>
      <c r="M1874">
        <f>IF($U1874="","",IF(ISNUMBER(INDEX(상세표[근무일자],$U1874)),TEXT(INDEX(상세표[근무일자],$U1874),"yyyy-mm-dd"),INDEX(상세표[근무일자],$U1874)&amp;""))</f>
        <v/>
      </c>
      <c r="N1874">
        <f>IF($U1874="","",IF(ISNUMBER(INDEX(상세표[시작],$U1874)),TEXT(INDEX(상세표[시작],$U1874),"yyyy-mm-dd hh:mm"),INDEX(상세표[시작],$U1874)&amp;""))</f>
        <v/>
      </c>
      <c r="O1874">
        <f>IF($U1874="","",IF(ISNUMBER(INDEX(상세표[종료],$U1874)),TEXT(INDEX(상세표[종료],$U1874),"yyyy-mm-dd hh:mm"),INDEX(상세표[종료],$U1874)&amp;""))</f>
        <v/>
      </c>
      <c r="P1874">
        <f>IF($U1874="","",INDEX(상세표[06~07시],$U1874))</f>
        <v/>
      </c>
      <c r="Q1874">
        <f>IF($U1874="","",INDEX(상세표[07~18시],$U1874))</f>
        <v/>
      </c>
      <c r="R1874">
        <f>IF($U1874="","",INDEX(상세표[18~22시],$U1874))</f>
        <v/>
      </c>
      <c r="S1874">
        <f>IF($U1874="","",INDEX(상세표[22~06시],$U1874))</f>
        <v/>
      </c>
      <c r="T1874">
        <f>IF($U1874="","",INDEX(상세표[기록 시간외],$U1874))</f>
        <v/>
      </c>
      <c r="U1874" s="4">
        <f>IFERROR(MATCH(1869,상세표[발송순번],0),"")</f>
        <v/>
      </c>
    </row>
    <row r="1875">
      <c r="J1875">
        <f>IF($U1875="","",INDEX(상세표[사번],$U1875)&amp;"")</f>
        <v/>
      </c>
      <c r="K1875">
        <f>IF($U1875="","",INDEX(상세표[성명],$U1875)&amp;"")</f>
        <v/>
      </c>
      <c r="L1875">
        <f>IF($U1875="","",INDEX(상세표[직위],$U1875)&amp;"")</f>
        <v/>
      </c>
      <c r="M1875">
        <f>IF($U1875="","",IF(ISNUMBER(INDEX(상세표[근무일자],$U1875)),TEXT(INDEX(상세표[근무일자],$U1875),"yyyy-mm-dd"),INDEX(상세표[근무일자],$U1875)&amp;""))</f>
        <v/>
      </c>
      <c r="N1875">
        <f>IF($U1875="","",IF(ISNUMBER(INDEX(상세표[시작],$U1875)),TEXT(INDEX(상세표[시작],$U1875),"yyyy-mm-dd hh:mm"),INDEX(상세표[시작],$U1875)&amp;""))</f>
        <v/>
      </c>
      <c r="O1875">
        <f>IF($U1875="","",IF(ISNUMBER(INDEX(상세표[종료],$U1875)),TEXT(INDEX(상세표[종료],$U1875),"yyyy-mm-dd hh:mm"),INDEX(상세표[종료],$U1875)&amp;""))</f>
        <v/>
      </c>
      <c r="P1875">
        <f>IF($U1875="","",INDEX(상세표[06~07시],$U1875))</f>
        <v/>
      </c>
      <c r="Q1875">
        <f>IF($U1875="","",INDEX(상세표[07~18시],$U1875))</f>
        <v/>
      </c>
      <c r="R1875">
        <f>IF($U1875="","",INDEX(상세표[18~22시],$U1875))</f>
        <v/>
      </c>
      <c r="S1875">
        <f>IF($U1875="","",INDEX(상세표[22~06시],$U1875))</f>
        <v/>
      </c>
      <c r="T1875">
        <f>IF($U1875="","",INDEX(상세표[기록 시간외],$U1875))</f>
        <v/>
      </c>
      <c r="U1875" s="4">
        <f>IFERROR(MATCH(1870,상세표[발송순번],0),"")</f>
        <v/>
      </c>
    </row>
    <row r="1876">
      <c r="J1876">
        <f>IF($U1876="","",INDEX(상세표[사번],$U1876)&amp;"")</f>
        <v/>
      </c>
      <c r="K1876">
        <f>IF($U1876="","",INDEX(상세표[성명],$U1876)&amp;"")</f>
        <v/>
      </c>
      <c r="L1876">
        <f>IF($U1876="","",INDEX(상세표[직위],$U1876)&amp;"")</f>
        <v/>
      </c>
      <c r="M1876">
        <f>IF($U1876="","",IF(ISNUMBER(INDEX(상세표[근무일자],$U1876)),TEXT(INDEX(상세표[근무일자],$U1876),"yyyy-mm-dd"),INDEX(상세표[근무일자],$U1876)&amp;""))</f>
        <v/>
      </c>
      <c r="N1876">
        <f>IF($U1876="","",IF(ISNUMBER(INDEX(상세표[시작],$U1876)),TEXT(INDEX(상세표[시작],$U1876),"yyyy-mm-dd hh:mm"),INDEX(상세표[시작],$U1876)&amp;""))</f>
        <v/>
      </c>
      <c r="O1876">
        <f>IF($U1876="","",IF(ISNUMBER(INDEX(상세표[종료],$U1876)),TEXT(INDEX(상세표[종료],$U1876),"yyyy-mm-dd hh:mm"),INDEX(상세표[종료],$U1876)&amp;""))</f>
        <v/>
      </c>
      <c r="P1876">
        <f>IF($U1876="","",INDEX(상세표[06~07시],$U1876))</f>
        <v/>
      </c>
      <c r="Q1876">
        <f>IF($U1876="","",INDEX(상세표[07~18시],$U1876))</f>
        <v/>
      </c>
      <c r="R1876">
        <f>IF($U1876="","",INDEX(상세표[18~22시],$U1876))</f>
        <v/>
      </c>
      <c r="S1876">
        <f>IF($U1876="","",INDEX(상세표[22~06시],$U1876))</f>
        <v/>
      </c>
      <c r="T1876">
        <f>IF($U1876="","",INDEX(상세표[기록 시간외],$U1876))</f>
        <v/>
      </c>
      <c r="U1876" s="4">
        <f>IFERROR(MATCH(1871,상세표[발송순번],0),"")</f>
        <v/>
      </c>
    </row>
    <row r="1877">
      <c r="J1877">
        <f>IF($U1877="","",INDEX(상세표[사번],$U1877)&amp;"")</f>
        <v/>
      </c>
      <c r="K1877">
        <f>IF($U1877="","",INDEX(상세표[성명],$U1877)&amp;"")</f>
        <v/>
      </c>
      <c r="L1877">
        <f>IF($U1877="","",INDEX(상세표[직위],$U1877)&amp;"")</f>
        <v/>
      </c>
      <c r="M1877">
        <f>IF($U1877="","",IF(ISNUMBER(INDEX(상세표[근무일자],$U1877)),TEXT(INDEX(상세표[근무일자],$U1877),"yyyy-mm-dd"),INDEX(상세표[근무일자],$U1877)&amp;""))</f>
        <v/>
      </c>
      <c r="N1877">
        <f>IF($U1877="","",IF(ISNUMBER(INDEX(상세표[시작],$U1877)),TEXT(INDEX(상세표[시작],$U1877),"yyyy-mm-dd hh:mm"),INDEX(상세표[시작],$U1877)&amp;""))</f>
        <v/>
      </c>
      <c r="O1877">
        <f>IF($U1877="","",IF(ISNUMBER(INDEX(상세표[종료],$U1877)),TEXT(INDEX(상세표[종료],$U1877),"yyyy-mm-dd hh:mm"),INDEX(상세표[종료],$U1877)&amp;""))</f>
        <v/>
      </c>
      <c r="P1877">
        <f>IF($U1877="","",INDEX(상세표[06~07시],$U1877))</f>
        <v/>
      </c>
      <c r="Q1877">
        <f>IF($U1877="","",INDEX(상세표[07~18시],$U1877))</f>
        <v/>
      </c>
      <c r="R1877">
        <f>IF($U1877="","",INDEX(상세표[18~22시],$U1877))</f>
        <v/>
      </c>
      <c r="S1877">
        <f>IF($U1877="","",INDEX(상세표[22~06시],$U1877))</f>
        <v/>
      </c>
      <c r="T1877">
        <f>IF($U1877="","",INDEX(상세표[기록 시간외],$U1877))</f>
        <v/>
      </c>
      <c r="U1877" s="4">
        <f>IFERROR(MATCH(1872,상세표[발송순번],0),"")</f>
        <v/>
      </c>
    </row>
    <row r="1878">
      <c r="J1878">
        <f>IF($U1878="","",INDEX(상세표[사번],$U1878)&amp;"")</f>
        <v/>
      </c>
      <c r="K1878">
        <f>IF($U1878="","",INDEX(상세표[성명],$U1878)&amp;"")</f>
        <v/>
      </c>
      <c r="L1878">
        <f>IF($U1878="","",INDEX(상세표[직위],$U1878)&amp;"")</f>
        <v/>
      </c>
      <c r="M1878">
        <f>IF($U1878="","",IF(ISNUMBER(INDEX(상세표[근무일자],$U1878)),TEXT(INDEX(상세표[근무일자],$U1878),"yyyy-mm-dd"),INDEX(상세표[근무일자],$U1878)&amp;""))</f>
        <v/>
      </c>
      <c r="N1878">
        <f>IF($U1878="","",IF(ISNUMBER(INDEX(상세표[시작],$U1878)),TEXT(INDEX(상세표[시작],$U1878),"yyyy-mm-dd hh:mm"),INDEX(상세표[시작],$U1878)&amp;""))</f>
        <v/>
      </c>
      <c r="O1878">
        <f>IF($U1878="","",IF(ISNUMBER(INDEX(상세표[종료],$U1878)),TEXT(INDEX(상세표[종료],$U1878),"yyyy-mm-dd hh:mm"),INDEX(상세표[종료],$U1878)&amp;""))</f>
        <v/>
      </c>
      <c r="P1878">
        <f>IF($U1878="","",INDEX(상세표[06~07시],$U1878))</f>
        <v/>
      </c>
      <c r="Q1878">
        <f>IF($U1878="","",INDEX(상세표[07~18시],$U1878))</f>
        <v/>
      </c>
      <c r="R1878">
        <f>IF($U1878="","",INDEX(상세표[18~22시],$U1878))</f>
        <v/>
      </c>
      <c r="S1878">
        <f>IF($U1878="","",INDEX(상세표[22~06시],$U1878))</f>
        <v/>
      </c>
      <c r="T1878">
        <f>IF($U1878="","",INDEX(상세표[기록 시간외],$U1878))</f>
        <v/>
      </c>
      <c r="U1878" s="4">
        <f>IFERROR(MATCH(1873,상세표[발송순번],0),"")</f>
        <v/>
      </c>
    </row>
    <row r="1879">
      <c r="J1879">
        <f>IF($U1879="","",INDEX(상세표[사번],$U1879)&amp;"")</f>
        <v/>
      </c>
      <c r="K1879">
        <f>IF($U1879="","",INDEX(상세표[성명],$U1879)&amp;"")</f>
        <v/>
      </c>
      <c r="L1879">
        <f>IF($U1879="","",INDEX(상세표[직위],$U1879)&amp;"")</f>
        <v/>
      </c>
      <c r="M1879">
        <f>IF($U1879="","",IF(ISNUMBER(INDEX(상세표[근무일자],$U1879)),TEXT(INDEX(상세표[근무일자],$U1879),"yyyy-mm-dd"),INDEX(상세표[근무일자],$U1879)&amp;""))</f>
        <v/>
      </c>
      <c r="N1879">
        <f>IF($U1879="","",IF(ISNUMBER(INDEX(상세표[시작],$U1879)),TEXT(INDEX(상세표[시작],$U1879),"yyyy-mm-dd hh:mm"),INDEX(상세표[시작],$U1879)&amp;""))</f>
        <v/>
      </c>
      <c r="O1879">
        <f>IF($U1879="","",IF(ISNUMBER(INDEX(상세표[종료],$U1879)),TEXT(INDEX(상세표[종료],$U1879),"yyyy-mm-dd hh:mm"),INDEX(상세표[종료],$U1879)&amp;""))</f>
        <v/>
      </c>
      <c r="P1879">
        <f>IF($U1879="","",INDEX(상세표[06~07시],$U1879))</f>
        <v/>
      </c>
      <c r="Q1879">
        <f>IF($U1879="","",INDEX(상세표[07~18시],$U1879))</f>
        <v/>
      </c>
      <c r="R1879">
        <f>IF($U1879="","",INDEX(상세표[18~22시],$U1879))</f>
        <v/>
      </c>
      <c r="S1879">
        <f>IF($U1879="","",INDEX(상세표[22~06시],$U1879))</f>
        <v/>
      </c>
      <c r="T1879">
        <f>IF($U1879="","",INDEX(상세표[기록 시간외],$U1879))</f>
        <v/>
      </c>
      <c r="U1879" s="4">
        <f>IFERROR(MATCH(1874,상세표[발송순번],0),"")</f>
        <v/>
      </c>
    </row>
    <row r="1880">
      <c r="J1880">
        <f>IF($U1880="","",INDEX(상세표[사번],$U1880)&amp;"")</f>
        <v/>
      </c>
      <c r="K1880">
        <f>IF($U1880="","",INDEX(상세표[성명],$U1880)&amp;"")</f>
        <v/>
      </c>
      <c r="L1880">
        <f>IF($U1880="","",INDEX(상세표[직위],$U1880)&amp;"")</f>
        <v/>
      </c>
      <c r="M1880">
        <f>IF($U1880="","",IF(ISNUMBER(INDEX(상세표[근무일자],$U1880)),TEXT(INDEX(상세표[근무일자],$U1880),"yyyy-mm-dd"),INDEX(상세표[근무일자],$U1880)&amp;""))</f>
        <v/>
      </c>
      <c r="N1880">
        <f>IF($U1880="","",IF(ISNUMBER(INDEX(상세표[시작],$U1880)),TEXT(INDEX(상세표[시작],$U1880),"yyyy-mm-dd hh:mm"),INDEX(상세표[시작],$U1880)&amp;""))</f>
        <v/>
      </c>
      <c r="O1880">
        <f>IF($U1880="","",IF(ISNUMBER(INDEX(상세표[종료],$U1880)),TEXT(INDEX(상세표[종료],$U1880),"yyyy-mm-dd hh:mm"),INDEX(상세표[종료],$U1880)&amp;""))</f>
        <v/>
      </c>
      <c r="P1880">
        <f>IF($U1880="","",INDEX(상세표[06~07시],$U1880))</f>
        <v/>
      </c>
      <c r="Q1880">
        <f>IF($U1880="","",INDEX(상세표[07~18시],$U1880))</f>
        <v/>
      </c>
      <c r="R1880">
        <f>IF($U1880="","",INDEX(상세표[18~22시],$U1880))</f>
        <v/>
      </c>
      <c r="S1880">
        <f>IF($U1880="","",INDEX(상세표[22~06시],$U1880))</f>
        <v/>
      </c>
      <c r="T1880">
        <f>IF($U1880="","",INDEX(상세표[기록 시간외],$U1880))</f>
        <v/>
      </c>
      <c r="U1880" s="4">
        <f>IFERROR(MATCH(1875,상세표[발송순번],0),"")</f>
        <v/>
      </c>
    </row>
    <row r="1881">
      <c r="J1881">
        <f>IF($U1881="","",INDEX(상세표[사번],$U1881)&amp;"")</f>
        <v/>
      </c>
      <c r="K1881">
        <f>IF($U1881="","",INDEX(상세표[성명],$U1881)&amp;"")</f>
        <v/>
      </c>
      <c r="L1881">
        <f>IF($U1881="","",INDEX(상세표[직위],$U1881)&amp;"")</f>
        <v/>
      </c>
      <c r="M1881">
        <f>IF($U1881="","",IF(ISNUMBER(INDEX(상세표[근무일자],$U1881)),TEXT(INDEX(상세표[근무일자],$U1881),"yyyy-mm-dd"),INDEX(상세표[근무일자],$U1881)&amp;""))</f>
        <v/>
      </c>
      <c r="N1881">
        <f>IF($U1881="","",IF(ISNUMBER(INDEX(상세표[시작],$U1881)),TEXT(INDEX(상세표[시작],$U1881),"yyyy-mm-dd hh:mm"),INDEX(상세표[시작],$U1881)&amp;""))</f>
        <v/>
      </c>
      <c r="O1881">
        <f>IF($U1881="","",IF(ISNUMBER(INDEX(상세표[종료],$U1881)),TEXT(INDEX(상세표[종료],$U1881),"yyyy-mm-dd hh:mm"),INDEX(상세표[종료],$U1881)&amp;""))</f>
        <v/>
      </c>
      <c r="P1881">
        <f>IF($U1881="","",INDEX(상세표[06~07시],$U1881))</f>
        <v/>
      </c>
      <c r="Q1881">
        <f>IF($U1881="","",INDEX(상세표[07~18시],$U1881))</f>
        <v/>
      </c>
      <c r="R1881">
        <f>IF($U1881="","",INDEX(상세표[18~22시],$U1881))</f>
        <v/>
      </c>
      <c r="S1881">
        <f>IF($U1881="","",INDEX(상세표[22~06시],$U1881))</f>
        <v/>
      </c>
      <c r="T1881">
        <f>IF($U1881="","",INDEX(상세표[기록 시간외],$U1881))</f>
        <v/>
      </c>
      <c r="U1881" s="4">
        <f>IFERROR(MATCH(1876,상세표[발송순번],0),"")</f>
        <v/>
      </c>
    </row>
    <row r="1882">
      <c r="J1882">
        <f>IF($U1882="","",INDEX(상세표[사번],$U1882)&amp;"")</f>
        <v/>
      </c>
      <c r="K1882">
        <f>IF($U1882="","",INDEX(상세표[성명],$U1882)&amp;"")</f>
        <v/>
      </c>
      <c r="L1882">
        <f>IF($U1882="","",INDEX(상세표[직위],$U1882)&amp;"")</f>
        <v/>
      </c>
      <c r="M1882">
        <f>IF($U1882="","",IF(ISNUMBER(INDEX(상세표[근무일자],$U1882)),TEXT(INDEX(상세표[근무일자],$U1882),"yyyy-mm-dd"),INDEX(상세표[근무일자],$U1882)&amp;""))</f>
        <v/>
      </c>
      <c r="N1882">
        <f>IF($U1882="","",IF(ISNUMBER(INDEX(상세표[시작],$U1882)),TEXT(INDEX(상세표[시작],$U1882),"yyyy-mm-dd hh:mm"),INDEX(상세표[시작],$U1882)&amp;""))</f>
        <v/>
      </c>
      <c r="O1882">
        <f>IF($U1882="","",IF(ISNUMBER(INDEX(상세표[종료],$U1882)),TEXT(INDEX(상세표[종료],$U1882),"yyyy-mm-dd hh:mm"),INDEX(상세표[종료],$U1882)&amp;""))</f>
        <v/>
      </c>
      <c r="P1882">
        <f>IF($U1882="","",INDEX(상세표[06~07시],$U1882))</f>
        <v/>
      </c>
      <c r="Q1882">
        <f>IF($U1882="","",INDEX(상세표[07~18시],$U1882))</f>
        <v/>
      </c>
      <c r="R1882">
        <f>IF($U1882="","",INDEX(상세표[18~22시],$U1882))</f>
        <v/>
      </c>
      <c r="S1882">
        <f>IF($U1882="","",INDEX(상세표[22~06시],$U1882))</f>
        <v/>
      </c>
      <c r="T1882">
        <f>IF($U1882="","",INDEX(상세표[기록 시간외],$U1882))</f>
        <v/>
      </c>
      <c r="U1882" s="4">
        <f>IFERROR(MATCH(1877,상세표[발송순번],0),"")</f>
        <v/>
      </c>
    </row>
    <row r="1883">
      <c r="J1883">
        <f>IF($U1883="","",INDEX(상세표[사번],$U1883)&amp;"")</f>
        <v/>
      </c>
      <c r="K1883">
        <f>IF($U1883="","",INDEX(상세표[성명],$U1883)&amp;"")</f>
        <v/>
      </c>
      <c r="L1883">
        <f>IF($U1883="","",INDEX(상세표[직위],$U1883)&amp;"")</f>
        <v/>
      </c>
      <c r="M1883">
        <f>IF($U1883="","",IF(ISNUMBER(INDEX(상세표[근무일자],$U1883)),TEXT(INDEX(상세표[근무일자],$U1883),"yyyy-mm-dd"),INDEX(상세표[근무일자],$U1883)&amp;""))</f>
        <v/>
      </c>
      <c r="N1883">
        <f>IF($U1883="","",IF(ISNUMBER(INDEX(상세표[시작],$U1883)),TEXT(INDEX(상세표[시작],$U1883),"yyyy-mm-dd hh:mm"),INDEX(상세표[시작],$U1883)&amp;""))</f>
        <v/>
      </c>
      <c r="O1883">
        <f>IF($U1883="","",IF(ISNUMBER(INDEX(상세표[종료],$U1883)),TEXT(INDEX(상세표[종료],$U1883),"yyyy-mm-dd hh:mm"),INDEX(상세표[종료],$U1883)&amp;""))</f>
        <v/>
      </c>
      <c r="P1883">
        <f>IF($U1883="","",INDEX(상세표[06~07시],$U1883))</f>
        <v/>
      </c>
      <c r="Q1883">
        <f>IF($U1883="","",INDEX(상세표[07~18시],$U1883))</f>
        <v/>
      </c>
      <c r="R1883">
        <f>IF($U1883="","",INDEX(상세표[18~22시],$U1883))</f>
        <v/>
      </c>
      <c r="S1883">
        <f>IF($U1883="","",INDEX(상세표[22~06시],$U1883))</f>
        <v/>
      </c>
      <c r="T1883">
        <f>IF($U1883="","",INDEX(상세표[기록 시간외],$U1883))</f>
        <v/>
      </c>
      <c r="U1883" s="4">
        <f>IFERROR(MATCH(1878,상세표[발송순번],0),"")</f>
        <v/>
      </c>
    </row>
    <row r="1884">
      <c r="J1884">
        <f>IF($U1884="","",INDEX(상세표[사번],$U1884)&amp;"")</f>
        <v/>
      </c>
      <c r="K1884">
        <f>IF($U1884="","",INDEX(상세표[성명],$U1884)&amp;"")</f>
        <v/>
      </c>
      <c r="L1884">
        <f>IF($U1884="","",INDEX(상세표[직위],$U1884)&amp;"")</f>
        <v/>
      </c>
      <c r="M1884">
        <f>IF($U1884="","",IF(ISNUMBER(INDEX(상세표[근무일자],$U1884)),TEXT(INDEX(상세표[근무일자],$U1884),"yyyy-mm-dd"),INDEX(상세표[근무일자],$U1884)&amp;""))</f>
        <v/>
      </c>
      <c r="N1884">
        <f>IF($U1884="","",IF(ISNUMBER(INDEX(상세표[시작],$U1884)),TEXT(INDEX(상세표[시작],$U1884),"yyyy-mm-dd hh:mm"),INDEX(상세표[시작],$U1884)&amp;""))</f>
        <v/>
      </c>
      <c r="O1884">
        <f>IF($U1884="","",IF(ISNUMBER(INDEX(상세표[종료],$U1884)),TEXT(INDEX(상세표[종료],$U1884),"yyyy-mm-dd hh:mm"),INDEX(상세표[종료],$U1884)&amp;""))</f>
        <v/>
      </c>
      <c r="P1884">
        <f>IF($U1884="","",INDEX(상세표[06~07시],$U1884))</f>
        <v/>
      </c>
      <c r="Q1884">
        <f>IF($U1884="","",INDEX(상세표[07~18시],$U1884))</f>
        <v/>
      </c>
      <c r="R1884">
        <f>IF($U1884="","",INDEX(상세표[18~22시],$U1884))</f>
        <v/>
      </c>
      <c r="S1884">
        <f>IF($U1884="","",INDEX(상세표[22~06시],$U1884))</f>
        <v/>
      </c>
      <c r="T1884">
        <f>IF($U1884="","",INDEX(상세표[기록 시간외],$U1884))</f>
        <v/>
      </c>
      <c r="U1884" s="4">
        <f>IFERROR(MATCH(1879,상세표[발송순번],0),"")</f>
        <v/>
      </c>
    </row>
    <row r="1885">
      <c r="J1885">
        <f>IF($U1885="","",INDEX(상세표[사번],$U1885)&amp;"")</f>
        <v/>
      </c>
      <c r="K1885">
        <f>IF($U1885="","",INDEX(상세표[성명],$U1885)&amp;"")</f>
        <v/>
      </c>
      <c r="L1885">
        <f>IF($U1885="","",INDEX(상세표[직위],$U1885)&amp;"")</f>
        <v/>
      </c>
      <c r="M1885">
        <f>IF($U1885="","",IF(ISNUMBER(INDEX(상세표[근무일자],$U1885)),TEXT(INDEX(상세표[근무일자],$U1885),"yyyy-mm-dd"),INDEX(상세표[근무일자],$U1885)&amp;""))</f>
        <v/>
      </c>
      <c r="N1885">
        <f>IF($U1885="","",IF(ISNUMBER(INDEX(상세표[시작],$U1885)),TEXT(INDEX(상세표[시작],$U1885),"yyyy-mm-dd hh:mm"),INDEX(상세표[시작],$U1885)&amp;""))</f>
        <v/>
      </c>
      <c r="O1885">
        <f>IF($U1885="","",IF(ISNUMBER(INDEX(상세표[종료],$U1885)),TEXT(INDEX(상세표[종료],$U1885),"yyyy-mm-dd hh:mm"),INDEX(상세표[종료],$U1885)&amp;""))</f>
        <v/>
      </c>
      <c r="P1885">
        <f>IF($U1885="","",INDEX(상세표[06~07시],$U1885))</f>
        <v/>
      </c>
      <c r="Q1885">
        <f>IF($U1885="","",INDEX(상세표[07~18시],$U1885))</f>
        <v/>
      </c>
      <c r="R1885">
        <f>IF($U1885="","",INDEX(상세표[18~22시],$U1885))</f>
        <v/>
      </c>
      <c r="S1885">
        <f>IF($U1885="","",INDEX(상세표[22~06시],$U1885))</f>
        <v/>
      </c>
      <c r="T1885">
        <f>IF($U1885="","",INDEX(상세표[기록 시간외],$U1885))</f>
        <v/>
      </c>
      <c r="U1885" s="4">
        <f>IFERROR(MATCH(1880,상세표[발송순번],0),"")</f>
        <v/>
      </c>
    </row>
    <row r="1886">
      <c r="J1886">
        <f>IF($U1886="","",INDEX(상세표[사번],$U1886)&amp;"")</f>
        <v/>
      </c>
      <c r="K1886">
        <f>IF($U1886="","",INDEX(상세표[성명],$U1886)&amp;"")</f>
        <v/>
      </c>
      <c r="L1886">
        <f>IF($U1886="","",INDEX(상세표[직위],$U1886)&amp;"")</f>
        <v/>
      </c>
      <c r="M1886">
        <f>IF($U1886="","",IF(ISNUMBER(INDEX(상세표[근무일자],$U1886)),TEXT(INDEX(상세표[근무일자],$U1886),"yyyy-mm-dd"),INDEX(상세표[근무일자],$U1886)&amp;""))</f>
        <v/>
      </c>
      <c r="N1886">
        <f>IF($U1886="","",IF(ISNUMBER(INDEX(상세표[시작],$U1886)),TEXT(INDEX(상세표[시작],$U1886),"yyyy-mm-dd hh:mm"),INDEX(상세표[시작],$U1886)&amp;""))</f>
        <v/>
      </c>
      <c r="O1886">
        <f>IF($U1886="","",IF(ISNUMBER(INDEX(상세표[종료],$U1886)),TEXT(INDEX(상세표[종료],$U1886),"yyyy-mm-dd hh:mm"),INDEX(상세표[종료],$U1886)&amp;""))</f>
        <v/>
      </c>
      <c r="P1886">
        <f>IF($U1886="","",INDEX(상세표[06~07시],$U1886))</f>
        <v/>
      </c>
      <c r="Q1886">
        <f>IF($U1886="","",INDEX(상세표[07~18시],$U1886))</f>
        <v/>
      </c>
      <c r="R1886">
        <f>IF($U1886="","",INDEX(상세표[18~22시],$U1886))</f>
        <v/>
      </c>
      <c r="S1886">
        <f>IF($U1886="","",INDEX(상세표[22~06시],$U1886))</f>
        <v/>
      </c>
      <c r="T1886">
        <f>IF($U1886="","",INDEX(상세표[기록 시간외],$U1886))</f>
        <v/>
      </c>
      <c r="U1886" s="4">
        <f>IFERROR(MATCH(1881,상세표[발송순번],0),"")</f>
        <v/>
      </c>
    </row>
    <row r="1887">
      <c r="J1887">
        <f>IF($U1887="","",INDEX(상세표[사번],$U1887)&amp;"")</f>
        <v/>
      </c>
      <c r="K1887">
        <f>IF($U1887="","",INDEX(상세표[성명],$U1887)&amp;"")</f>
        <v/>
      </c>
      <c r="L1887">
        <f>IF($U1887="","",INDEX(상세표[직위],$U1887)&amp;"")</f>
        <v/>
      </c>
      <c r="M1887">
        <f>IF($U1887="","",IF(ISNUMBER(INDEX(상세표[근무일자],$U1887)),TEXT(INDEX(상세표[근무일자],$U1887),"yyyy-mm-dd"),INDEX(상세표[근무일자],$U1887)&amp;""))</f>
        <v/>
      </c>
      <c r="N1887">
        <f>IF($U1887="","",IF(ISNUMBER(INDEX(상세표[시작],$U1887)),TEXT(INDEX(상세표[시작],$U1887),"yyyy-mm-dd hh:mm"),INDEX(상세표[시작],$U1887)&amp;""))</f>
        <v/>
      </c>
      <c r="O1887">
        <f>IF($U1887="","",IF(ISNUMBER(INDEX(상세표[종료],$U1887)),TEXT(INDEX(상세표[종료],$U1887),"yyyy-mm-dd hh:mm"),INDEX(상세표[종료],$U1887)&amp;""))</f>
        <v/>
      </c>
      <c r="P1887">
        <f>IF($U1887="","",INDEX(상세표[06~07시],$U1887))</f>
        <v/>
      </c>
      <c r="Q1887">
        <f>IF($U1887="","",INDEX(상세표[07~18시],$U1887))</f>
        <v/>
      </c>
      <c r="R1887">
        <f>IF($U1887="","",INDEX(상세표[18~22시],$U1887))</f>
        <v/>
      </c>
      <c r="S1887">
        <f>IF($U1887="","",INDEX(상세표[22~06시],$U1887))</f>
        <v/>
      </c>
      <c r="T1887">
        <f>IF($U1887="","",INDEX(상세표[기록 시간외],$U1887))</f>
        <v/>
      </c>
      <c r="U1887" s="4">
        <f>IFERROR(MATCH(1882,상세표[발송순번],0),"")</f>
        <v/>
      </c>
    </row>
    <row r="1888">
      <c r="J1888">
        <f>IF($U1888="","",INDEX(상세표[사번],$U1888)&amp;"")</f>
        <v/>
      </c>
      <c r="K1888">
        <f>IF($U1888="","",INDEX(상세표[성명],$U1888)&amp;"")</f>
        <v/>
      </c>
      <c r="L1888">
        <f>IF($U1888="","",INDEX(상세표[직위],$U1888)&amp;"")</f>
        <v/>
      </c>
      <c r="M1888">
        <f>IF($U1888="","",IF(ISNUMBER(INDEX(상세표[근무일자],$U1888)),TEXT(INDEX(상세표[근무일자],$U1888),"yyyy-mm-dd"),INDEX(상세표[근무일자],$U1888)&amp;""))</f>
        <v/>
      </c>
      <c r="N1888">
        <f>IF($U1888="","",IF(ISNUMBER(INDEX(상세표[시작],$U1888)),TEXT(INDEX(상세표[시작],$U1888),"yyyy-mm-dd hh:mm"),INDEX(상세표[시작],$U1888)&amp;""))</f>
        <v/>
      </c>
      <c r="O1888">
        <f>IF($U1888="","",IF(ISNUMBER(INDEX(상세표[종료],$U1888)),TEXT(INDEX(상세표[종료],$U1888),"yyyy-mm-dd hh:mm"),INDEX(상세표[종료],$U1888)&amp;""))</f>
        <v/>
      </c>
      <c r="P1888">
        <f>IF($U1888="","",INDEX(상세표[06~07시],$U1888))</f>
        <v/>
      </c>
      <c r="Q1888">
        <f>IF($U1888="","",INDEX(상세표[07~18시],$U1888))</f>
        <v/>
      </c>
      <c r="R1888">
        <f>IF($U1888="","",INDEX(상세표[18~22시],$U1888))</f>
        <v/>
      </c>
      <c r="S1888">
        <f>IF($U1888="","",INDEX(상세표[22~06시],$U1888))</f>
        <v/>
      </c>
      <c r="T1888">
        <f>IF($U1888="","",INDEX(상세표[기록 시간외],$U1888))</f>
        <v/>
      </c>
      <c r="U1888" s="4">
        <f>IFERROR(MATCH(1883,상세표[발송순번],0),"")</f>
        <v/>
      </c>
    </row>
    <row r="1889">
      <c r="J1889">
        <f>IF($U1889="","",INDEX(상세표[사번],$U1889)&amp;"")</f>
        <v/>
      </c>
      <c r="K1889">
        <f>IF($U1889="","",INDEX(상세표[성명],$U1889)&amp;"")</f>
        <v/>
      </c>
      <c r="L1889">
        <f>IF($U1889="","",INDEX(상세표[직위],$U1889)&amp;"")</f>
        <v/>
      </c>
      <c r="M1889">
        <f>IF($U1889="","",IF(ISNUMBER(INDEX(상세표[근무일자],$U1889)),TEXT(INDEX(상세표[근무일자],$U1889),"yyyy-mm-dd"),INDEX(상세표[근무일자],$U1889)&amp;""))</f>
        <v/>
      </c>
      <c r="N1889">
        <f>IF($U1889="","",IF(ISNUMBER(INDEX(상세표[시작],$U1889)),TEXT(INDEX(상세표[시작],$U1889),"yyyy-mm-dd hh:mm"),INDEX(상세표[시작],$U1889)&amp;""))</f>
        <v/>
      </c>
      <c r="O1889">
        <f>IF($U1889="","",IF(ISNUMBER(INDEX(상세표[종료],$U1889)),TEXT(INDEX(상세표[종료],$U1889),"yyyy-mm-dd hh:mm"),INDEX(상세표[종료],$U1889)&amp;""))</f>
        <v/>
      </c>
      <c r="P1889">
        <f>IF($U1889="","",INDEX(상세표[06~07시],$U1889))</f>
        <v/>
      </c>
      <c r="Q1889">
        <f>IF($U1889="","",INDEX(상세표[07~18시],$U1889))</f>
        <v/>
      </c>
      <c r="R1889">
        <f>IF($U1889="","",INDEX(상세표[18~22시],$U1889))</f>
        <v/>
      </c>
      <c r="S1889">
        <f>IF($U1889="","",INDEX(상세표[22~06시],$U1889))</f>
        <v/>
      </c>
      <c r="T1889">
        <f>IF($U1889="","",INDEX(상세표[기록 시간외],$U1889))</f>
        <v/>
      </c>
      <c r="U1889" s="4">
        <f>IFERROR(MATCH(1884,상세표[발송순번],0),"")</f>
        <v/>
      </c>
    </row>
    <row r="1890">
      <c r="J1890">
        <f>IF($U1890="","",INDEX(상세표[사번],$U1890)&amp;"")</f>
        <v/>
      </c>
      <c r="K1890">
        <f>IF($U1890="","",INDEX(상세표[성명],$U1890)&amp;"")</f>
        <v/>
      </c>
      <c r="L1890">
        <f>IF($U1890="","",INDEX(상세표[직위],$U1890)&amp;"")</f>
        <v/>
      </c>
      <c r="M1890">
        <f>IF($U1890="","",IF(ISNUMBER(INDEX(상세표[근무일자],$U1890)),TEXT(INDEX(상세표[근무일자],$U1890),"yyyy-mm-dd"),INDEX(상세표[근무일자],$U1890)&amp;""))</f>
        <v/>
      </c>
      <c r="N1890">
        <f>IF($U1890="","",IF(ISNUMBER(INDEX(상세표[시작],$U1890)),TEXT(INDEX(상세표[시작],$U1890),"yyyy-mm-dd hh:mm"),INDEX(상세표[시작],$U1890)&amp;""))</f>
        <v/>
      </c>
      <c r="O1890">
        <f>IF($U1890="","",IF(ISNUMBER(INDEX(상세표[종료],$U1890)),TEXT(INDEX(상세표[종료],$U1890),"yyyy-mm-dd hh:mm"),INDEX(상세표[종료],$U1890)&amp;""))</f>
        <v/>
      </c>
      <c r="P1890">
        <f>IF($U1890="","",INDEX(상세표[06~07시],$U1890))</f>
        <v/>
      </c>
      <c r="Q1890">
        <f>IF($U1890="","",INDEX(상세표[07~18시],$U1890))</f>
        <v/>
      </c>
      <c r="R1890">
        <f>IF($U1890="","",INDEX(상세표[18~22시],$U1890))</f>
        <v/>
      </c>
      <c r="S1890">
        <f>IF($U1890="","",INDEX(상세표[22~06시],$U1890))</f>
        <v/>
      </c>
      <c r="T1890">
        <f>IF($U1890="","",INDEX(상세표[기록 시간외],$U1890))</f>
        <v/>
      </c>
      <c r="U1890" s="4">
        <f>IFERROR(MATCH(1885,상세표[발송순번],0),"")</f>
        <v/>
      </c>
    </row>
    <row r="1891">
      <c r="J1891">
        <f>IF($U1891="","",INDEX(상세표[사번],$U1891)&amp;"")</f>
        <v/>
      </c>
      <c r="K1891">
        <f>IF($U1891="","",INDEX(상세표[성명],$U1891)&amp;"")</f>
        <v/>
      </c>
      <c r="L1891">
        <f>IF($U1891="","",INDEX(상세표[직위],$U1891)&amp;"")</f>
        <v/>
      </c>
      <c r="M1891">
        <f>IF($U1891="","",IF(ISNUMBER(INDEX(상세표[근무일자],$U1891)),TEXT(INDEX(상세표[근무일자],$U1891),"yyyy-mm-dd"),INDEX(상세표[근무일자],$U1891)&amp;""))</f>
        <v/>
      </c>
      <c r="N1891">
        <f>IF($U1891="","",IF(ISNUMBER(INDEX(상세표[시작],$U1891)),TEXT(INDEX(상세표[시작],$U1891),"yyyy-mm-dd hh:mm"),INDEX(상세표[시작],$U1891)&amp;""))</f>
        <v/>
      </c>
      <c r="O1891">
        <f>IF($U1891="","",IF(ISNUMBER(INDEX(상세표[종료],$U1891)),TEXT(INDEX(상세표[종료],$U1891),"yyyy-mm-dd hh:mm"),INDEX(상세표[종료],$U1891)&amp;""))</f>
        <v/>
      </c>
      <c r="P1891">
        <f>IF($U1891="","",INDEX(상세표[06~07시],$U1891))</f>
        <v/>
      </c>
      <c r="Q1891">
        <f>IF($U1891="","",INDEX(상세표[07~18시],$U1891))</f>
        <v/>
      </c>
      <c r="R1891">
        <f>IF($U1891="","",INDEX(상세표[18~22시],$U1891))</f>
        <v/>
      </c>
      <c r="S1891">
        <f>IF($U1891="","",INDEX(상세표[22~06시],$U1891))</f>
        <v/>
      </c>
      <c r="T1891">
        <f>IF($U1891="","",INDEX(상세표[기록 시간외],$U1891))</f>
        <v/>
      </c>
      <c r="U1891" s="4">
        <f>IFERROR(MATCH(1886,상세표[발송순번],0),"")</f>
        <v/>
      </c>
    </row>
    <row r="1892">
      <c r="J1892">
        <f>IF($U1892="","",INDEX(상세표[사번],$U1892)&amp;"")</f>
        <v/>
      </c>
      <c r="K1892">
        <f>IF($U1892="","",INDEX(상세표[성명],$U1892)&amp;"")</f>
        <v/>
      </c>
      <c r="L1892">
        <f>IF($U1892="","",INDEX(상세표[직위],$U1892)&amp;"")</f>
        <v/>
      </c>
      <c r="M1892">
        <f>IF($U1892="","",IF(ISNUMBER(INDEX(상세표[근무일자],$U1892)),TEXT(INDEX(상세표[근무일자],$U1892),"yyyy-mm-dd"),INDEX(상세표[근무일자],$U1892)&amp;""))</f>
        <v/>
      </c>
      <c r="N1892">
        <f>IF($U1892="","",IF(ISNUMBER(INDEX(상세표[시작],$U1892)),TEXT(INDEX(상세표[시작],$U1892),"yyyy-mm-dd hh:mm"),INDEX(상세표[시작],$U1892)&amp;""))</f>
        <v/>
      </c>
      <c r="O1892">
        <f>IF($U1892="","",IF(ISNUMBER(INDEX(상세표[종료],$U1892)),TEXT(INDEX(상세표[종료],$U1892),"yyyy-mm-dd hh:mm"),INDEX(상세표[종료],$U1892)&amp;""))</f>
        <v/>
      </c>
      <c r="P1892">
        <f>IF($U1892="","",INDEX(상세표[06~07시],$U1892))</f>
        <v/>
      </c>
      <c r="Q1892">
        <f>IF($U1892="","",INDEX(상세표[07~18시],$U1892))</f>
        <v/>
      </c>
      <c r="R1892">
        <f>IF($U1892="","",INDEX(상세표[18~22시],$U1892))</f>
        <v/>
      </c>
      <c r="S1892">
        <f>IF($U1892="","",INDEX(상세표[22~06시],$U1892))</f>
        <v/>
      </c>
      <c r="T1892">
        <f>IF($U1892="","",INDEX(상세표[기록 시간외],$U1892))</f>
        <v/>
      </c>
      <c r="U1892" s="4">
        <f>IFERROR(MATCH(1887,상세표[발송순번],0),"")</f>
        <v/>
      </c>
    </row>
    <row r="1893">
      <c r="J1893">
        <f>IF($U1893="","",INDEX(상세표[사번],$U1893)&amp;"")</f>
        <v/>
      </c>
      <c r="K1893">
        <f>IF($U1893="","",INDEX(상세표[성명],$U1893)&amp;"")</f>
        <v/>
      </c>
      <c r="L1893">
        <f>IF($U1893="","",INDEX(상세표[직위],$U1893)&amp;"")</f>
        <v/>
      </c>
      <c r="M1893">
        <f>IF($U1893="","",IF(ISNUMBER(INDEX(상세표[근무일자],$U1893)),TEXT(INDEX(상세표[근무일자],$U1893),"yyyy-mm-dd"),INDEX(상세표[근무일자],$U1893)&amp;""))</f>
        <v/>
      </c>
      <c r="N1893">
        <f>IF($U1893="","",IF(ISNUMBER(INDEX(상세표[시작],$U1893)),TEXT(INDEX(상세표[시작],$U1893),"yyyy-mm-dd hh:mm"),INDEX(상세표[시작],$U1893)&amp;""))</f>
        <v/>
      </c>
      <c r="O1893">
        <f>IF($U1893="","",IF(ISNUMBER(INDEX(상세표[종료],$U1893)),TEXT(INDEX(상세표[종료],$U1893),"yyyy-mm-dd hh:mm"),INDEX(상세표[종료],$U1893)&amp;""))</f>
        <v/>
      </c>
      <c r="P1893">
        <f>IF($U1893="","",INDEX(상세표[06~07시],$U1893))</f>
        <v/>
      </c>
      <c r="Q1893">
        <f>IF($U1893="","",INDEX(상세표[07~18시],$U1893))</f>
        <v/>
      </c>
      <c r="R1893">
        <f>IF($U1893="","",INDEX(상세표[18~22시],$U1893))</f>
        <v/>
      </c>
      <c r="S1893">
        <f>IF($U1893="","",INDEX(상세표[22~06시],$U1893))</f>
        <v/>
      </c>
      <c r="T1893">
        <f>IF($U1893="","",INDEX(상세표[기록 시간외],$U1893))</f>
        <v/>
      </c>
      <c r="U1893" s="4">
        <f>IFERROR(MATCH(1888,상세표[발송순번],0),"")</f>
        <v/>
      </c>
    </row>
    <row r="1894">
      <c r="J1894">
        <f>IF($U1894="","",INDEX(상세표[사번],$U1894)&amp;"")</f>
        <v/>
      </c>
      <c r="K1894">
        <f>IF($U1894="","",INDEX(상세표[성명],$U1894)&amp;"")</f>
        <v/>
      </c>
      <c r="L1894">
        <f>IF($U1894="","",INDEX(상세표[직위],$U1894)&amp;"")</f>
        <v/>
      </c>
      <c r="M1894">
        <f>IF($U1894="","",IF(ISNUMBER(INDEX(상세표[근무일자],$U1894)),TEXT(INDEX(상세표[근무일자],$U1894),"yyyy-mm-dd"),INDEX(상세표[근무일자],$U1894)&amp;""))</f>
        <v/>
      </c>
      <c r="N1894">
        <f>IF($U1894="","",IF(ISNUMBER(INDEX(상세표[시작],$U1894)),TEXT(INDEX(상세표[시작],$U1894),"yyyy-mm-dd hh:mm"),INDEX(상세표[시작],$U1894)&amp;""))</f>
        <v/>
      </c>
      <c r="O1894">
        <f>IF($U1894="","",IF(ISNUMBER(INDEX(상세표[종료],$U1894)),TEXT(INDEX(상세표[종료],$U1894),"yyyy-mm-dd hh:mm"),INDEX(상세표[종료],$U1894)&amp;""))</f>
        <v/>
      </c>
      <c r="P1894">
        <f>IF($U1894="","",INDEX(상세표[06~07시],$U1894))</f>
        <v/>
      </c>
      <c r="Q1894">
        <f>IF($U1894="","",INDEX(상세표[07~18시],$U1894))</f>
        <v/>
      </c>
      <c r="R1894">
        <f>IF($U1894="","",INDEX(상세표[18~22시],$U1894))</f>
        <v/>
      </c>
      <c r="S1894">
        <f>IF($U1894="","",INDEX(상세표[22~06시],$U1894))</f>
        <v/>
      </c>
      <c r="T1894">
        <f>IF($U1894="","",INDEX(상세표[기록 시간외],$U1894))</f>
        <v/>
      </c>
      <c r="U1894" s="4">
        <f>IFERROR(MATCH(1889,상세표[발송순번],0),"")</f>
        <v/>
      </c>
    </row>
    <row r="1895">
      <c r="J1895">
        <f>IF($U1895="","",INDEX(상세표[사번],$U1895)&amp;"")</f>
        <v/>
      </c>
      <c r="K1895">
        <f>IF($U1895="","",INDEX(상세표[성명],$U1895)&amp;"")</f>
        <v/>
      </c>
      <c r="L1895">
        <f>IF($U1895="","",INDEX(상세표[직위],$U1895)&amp;"")</f>
        <v/>
      </c>
      <c r="M1895">
        <f>IF($U1895="","",IF(ISNUMBER(INDEX(상세표[근무일자],$U1895)),TEXT(INDEX(상세표[근무일자],$U1895),"yyyy-mm-dd"),INDEX(상세표[근무일자],$U1895)&amp;""))</f>
        <v/>
      </c>
      <c r="N1895">
        <f>IF($U1895="","",IF(ISNUMBER(INDEX(상세표[시작],$U1895)),TEXT(INDEX(상세표[시작],$U1895),"yyyy-mm-dd hh:mm"),INDEX(상세표[시작],$U1895)&amp;""))</f>
        <v/>
      </c>
      <c r="O1895">
        <f>IF($U1895="","",IF(ISNUMBER(INDEX(상세표[종료],$U1895)),TEXT(INDEX(상세표[종료],$U1895),"yyyy-mm-dd hh:mm"),INDEX(상세표[종료],$U1895)&amp;""))</f>
        <v/>
      </c>
      <c r="P1895">
        <f>IF($U1895="","",INDEX(상세표[06~07시],$U1895))</f>
        <v/>
      </c>
      <c r="Q1895">
        <f>IF($U1895="","",INDEX(상세표[07~18시],$U1895))</f>
        <v/>
      </c>
      <c r="R1895">
        <f>IF($U1895="","",INDEX(상세표[18~22시],$U1895))</f>
        <v/>
      </c>
      <c r="S1895">
        <f>IF($U1895="","",INDEX(상세표[22~06시],$U1895))</f>
        <v/>
      </c>
      <c r="T1895">
        <f>IF($U1895="","",INDEX(상세표[기록 시간외],$U1895))</f>
        <v/>
      </c>
      <c r="U1895" s="4">
        <f>IFERROR(MATCH(1890,상세표[발송순번],0),"")</f>
        <v/>
      </c>
    </row>
    <row r="1896">
      <c r="J1896">
        <f>IF($U1896="","",INDEX(상세표[사번],$U1896)&amp;"")</f>
        <v/>
      </c>
      <c r="K1896">
        <f>IF($U1896="","",INDEX(상세표[성명],$U1896)&amp;"")</f>
        <v/>
      </c>
      <c r="L1896">
        <f>IF($U1896="","",INDEX(상세표[직위],$U1896)&amp;"")</f>
        <v/>
      </c>
      <c r="M1896">
        <f>IF($U1896="","",IF(ISNUMBER(INDEX(상세표[근무일자],$U1896)),TEXT(INDEX(상세표[근무일자],$U1896),"yyyy-mm-dd"),INDEX(상세표[근무일자],$U1896)&amp;""))</f>
        <v/>
      </c>
      <c r="N1896">
        <f>IF($U1896="","",IF(ISNUMBER(INDEX(상세표[시작],$U1896)),TEXT(INDEX(상세표[시작],$U1896),"yyyy-mm-dd hh:mm"),INDEX(상세표[시작],$U1896)&amp;""))</f>
        <v/>
      </c>
      <c r="O1896">
        <f>IF($U1896="","",IF(ISNUMBER(INDEX(상세표[종료],$U1896)),TEXT(INDEX(상세표[종료],$U1896),"yyyy-mm-dd hh:mm"),INDEX(상세표[종료],$U1896)&amp;""))</f>
        <v/>
      </c>
      <c r="P1896">
        <f>IF($U1896="","",INDEX(상세표[06~07시],$U1896))</f>
        <v/>
      </c>
      <c r="Q1896">
        <f>IF($U1896="","",INDEX(상세표[07~18시],$U1896))</f>
        <v/>
      </c>
      <c r="R1896">
        <f>IF($U1896="","",INDEX(상세표[18~22시],$U1896))</f>
        <v/>
      </c>
      <c r="S1896">
        <f>IF($U1896="","",INDEX(상세표[22~06시],$U1896))</f>
        <v/>
      </c>
      <c r="T1896">
        <f>IF($U1896="","",INDEX(상세표[기록 시간외],$U1896))</f>
        <v/>
      </c>
      <c r="U1896" s="4">
        <f>IFERROR(MATCH(1891,상세표[발송순번],0),"")</f>
        <v/>
      </c>
    </row>
    <row r="1897">
      <c r="J1897">
        <f>IF($U1897="","",INDEX(상세표[사번],$U1897)&amp;"")</f>
        <v/>
      </c>
      <c r="K1897">
        <f>IF($U1897="","",INDEX(상세표[성명],$U1897)&amp;"")</f>
        <v/>
      </c>
      <c r="L1897">
        <f>IF($U1897="","",INDEX(상세표[직위],$U1897)&amp;"")</f>
        <v/>
      </c>
      <c r="M1897">
        <f>IF($U1897="","",IF(ISNUMBER(INDEX(상세표[근무일자],$U1897)),TEXT(INDEX(상세표[근무일자],$U1897),"yyyy-mm-dd"),INDEX(상세표[근무일자],$U1897)&amp;""))</f>
        <v/>
      </c>
      <c r="N1897">
        <f>IF($U1897="","",IF(ISNUMBER(INDEX(상세표[시작],$U1897)),TEXT(INDEX(상세표[시작],$U1897),"yyyy-mm-dd hh:mm"),INDEX(상세표[시작],$U1897)&amp;""))</f>
        <v/>
      </c>
      <c r="O1897">
        <f>IF($U1897="","",IF(ISNUMBER(INDEX(상세표[종료],$U1897)),TEXT(INDEX(상세표[종료],$U1897),"yyyy-mm-dd hh:mm"),INDEX(상세표[종료],$U1897)&amp;""))</f>
        <v/>
      </c>
      <c r="P1897">
        <f>IF($U1897="","",INDEX(상세표[06~07시],$U1897))</f>
        <v/>
      </c>
      <c r="Q1897">
        <f>IF($U1897="","",INDEX(상세표[07~18시],$U1897))</f>
        <v/>
      </c>
      <c r="R1897">
        <f>IF($U1897="","",INDEX(상세표[18~22시],$U1897))</f>
        <v/>
      </c>
      <c r="S1897">
        <f>IF($U1897="","",INDEX(상세표[22~06시],$U1897))</f>
        <v/>
      </c>
      <c r="T1897">
        <f>IF($U1897="","",INDEX(상세표[기록 시간외],$U1897))</f>
        <v/>
      </c>
      <c r="U1897" s="4">
        <f>IFERROR(MATCH(1892,상세표[발송순번],0),"")</f>
        <v/>
      </c>
    </row>
    <row r="1898">
      <c r="J1898">
        <f>IF($U1898="","",INDEX(상세표[사번],$U1898)&amp;"")</f>
        <v/>
      </c>
      <c r="K1898">
        <f>IF($U1898="","",INDEX(상세표[성명],$U1898)&amp;"")</f>
        <v/>
      </c>
      <c r="L1898">
        <f>IF($U1898="","",INDEX(상세표[직위],$U1898)&amp;"")</f>
        <v/>
      </c>
      <c r="M1898">
        <f>IF($U1898="","",IF(ISNUMBER(INDEX(상세표[근무일자],$U1898)),TEXT(INDEX(상세표[근무일자],$U1898),"yyyy-mm-dd"),INDEX(상세표[근무일자],$U1898)&amp;""))</f>
        <v/>
      </c>
      <c r="N1898">
        <f>IF($U1898="","",IF(ISNUMBER(INDEX(상세표[시작],$U1898)),TEXT(INDEX(상세표[시작],$U1898),"yyyy-mm-dd hh:mm"),INDEX(상세표[시작],$U1898)&amp;""))</f>
        <v/>
      </c>
      <c r="O1898">
        <f>IF($U1898="","",IF(ISNUMBER(INDEX(상세표[종료],$U1898)),TEXT(INDEX(상세표[종료],$U1898),"yyyy-mm-dd hh:mm"),INDEX(상세표[종료],$U1898)&amp;""))</f>
        <v/>
      </c>
      <c r="P1898">
        <f>IF($U1898="","",INDEX(상세표[06~07시],$U1898))</f>
        <v/>
      </c>
      <c r="Q1898">
        <f>IF($U1898="","",INDEX(상세표[07~18시],$U1898))</f>
        <v/>
      </c>
      <c r="R1898">
        <f>IF($U1898="","",INDEX(상세표[18~22시],$U1898))</f>
        <v/>
      </c>
      <c r="S1898">
        <f>IF($U1898="","",INDEX(상세표[22~06시],$U1898))</f>
        <v/>
      </c>
      <c r="T1898">
        <f>IF($U1898="","",INDEX(상세표[기록 시간외],$U1898))</f>
        <v/>
      </c>
      <c r="U1898" s="4">
        <f>IFERROR(MATCH(1893,상세표[발송순번],0),"")</f>
        <v/>
      </c>
    </row>
    <row r="1899">
      <c r="J1899">
        <f>IF($U1899="","",INDEX(상세표[사번],$U1899)&amp;"")</f>
        <v/>
      </c>
      <c r="K1899">
        <f>IF($U1899="","",INDEX(상세표[성명],$U1899)&amp;"")</f>
        <v/>
      </c>
      <c r="L1899">
        <f>IF($U1899="","",INDEX(상세표[직위],$U1899)&amp;"")</f>
        <v/>
      </c>
      <c r="M1899">
        <f>IF($U1899="","",IF(ISNUMBER(INDEX(상세표[근무일자],$U1899)),TEXT(INDEX(상세표[근무일자],$U1899),"yyyy-mm-dd"),INDEX(상세표[근무일자],$U1899)&amp;""))</f>
        <v/>
      </c>
      <c r="N1899">
        <f>IF($U1899="","",IF(ISNUMBER(INDEX(상세표[시작],$U1899)),TEXT(INDEX(상세표[시작],$U1899),"yyyy-mm-dd hh:mm"),INDEX(상세표[시작],$U1899)&amp;""))</f>
        <v/>
      </c>
      <c r="O1899">
        <f>IF($U1899="","",IF(ISNUMBER(INDEX(상세표[종료],$U1899)),TEXT(INDEX(상세표[종료],$U1899),"yyyy-mm-dd hh:mm"),INDEX(상세표[종료],$U1899)&amp;""))</f>
        <v/>
      </c>
      <c r="P1899">
        <f>IF($U1899="","",INDEX(상세표[06~07시],$U1899))</f>
        <v/>
      </c>
      <c r="Q1899">
        <f>IF($U1899="","",INDEX(상세표[07~18시],$U1899))</f>
        <v/>
      </c>
      <c r="R1899">
        <f>IF($U1899="","",INDEX(상세표[18~22시],$U1899))</f>
        <v/>
      </c>
      <c r="S1899">
        <f>IF($U1899="","",INDEX(상세표[22~06시],$U1899))</f>
        <v/>
      </c>
      <c r="T1899">
        <f>IF($U1899="","",INDEX(상세표[기록 시간외],$U1899))</f>
        <v/>
      </c>
      <c r="U1899" s="4">
        <f>IFERROR(MATCH(1894,상세표[발송순번],0),"")</f>
        <v/>
      </c>
    </row>
    <row r="1900">
      <c r="J1900">
        <f>IF($U1900="","",INDEX(상세표[사번],$U1900)&amp;"")</f>
        <v/>
      </c>
      <c r="K1900">
        <f>IF($U1900="","",INDEX(상세표[성명],$U1900)&amp;"")</f>
        <v/>
      </c>
      <c r="L1900">
        <f>IF($U1900="","",INDEX(상세표[직위],$U1900)&amp;"")</f>
        <v/>
      </c>
      <c r="M1900">
        <f>IF($U1900="","",IF(ISNUMBER(INDEX(상세표[근무일자],$U1900)),TEXT(INDEX(상세표[근무일자],$U1900),"yyyy-mm-dd"),INDEX(상세표[근무일자],$U1900)&amp;""))</f>
        <v/>
      </c>
      <c r="N1900">
        <f>IF($U1900="","",IF(ISNUMBER(INDEX(상세표[시작],$U1900)),TEXT(INDEX(상세표[시작],$U1900),"yyyy-mm-dd hh:mm"),INDEX(상세표[시작],$U1900)&amp;""))</f>
        <v/>
      </c>
      <c r="O1900">
        <f>IF($U1900="","",IF(ISNUMBER(INDEX(상세표[종료],$U1900)),TEXT(INDEX(상세표[종료],$U1900),"yyyy-mm-dd hh:mm"),INDEX(상세표[종료],$U1900)&amp;""))</f>
        <v/>
      </c>
      <c r="P1900">
        <f>IF($U1900="","",INDEX(상세표[06~07시],$U1900))</f>
        <v/>
      </c>
      <c r="Q1900">
        <f>IF($U1900="","",INDEX(상세표[07~18시],$U1900))</f>
        <v/>
      </c>
      <c r="R1900">
        <f>IF($U1900="","",INDEX(상세표[18~22시],$U1900))</f>
        <v/>
      </c>
      <c r="S1900">
        <f>IF($U1900="","",INDEX(상세표[22~06시],$U1900))</f>
        <v/>
      </c>
      <c r="T1900">
        <f>IF($U1900="","",INDEX(상세표[기록 시간외],$U1900))</f>
        <v/>
      </c>
      <c r="U1900" s="4">
        <f>IFERROR(MATCH(1895,상세표[발송순번],0),"")</f>
        <v/>
      </c>
    </row>
    <row r="1901">
      <c r="J1901">
        <f>IF($U1901="","",INDEX(상세표[사번],$U1901)&amp;"")</f>
        <v/>
      </c>
      <c r="K1901">
        <f>IF($U1901="","",INDEX(상세표[성명],$U1901)&amp;"")</f>
        <v/>
      </c>
      <c r="L1901">
        <f>IF($U1901="","",INDEX(상세표[직위],$U1901)&amp;"")</f>
        <v/>
      </c>
      <c r="M1901">
        <f>IF($U1901="","",IF(ISNUMBER(INDEX(상세표[근무일자],$U1901)),TEXT(INDEX(상세표[근무일자],$U1901),"yyyy-mm-dd"),INDEX(상세표[근무일자],$U1901)&amp;""))</f>
        <v/>
      </c>
      <c r="N1901">
        <f>IF($U1901="","",IF(ISNUMBER(INDEX(상세표[시작],$U1901)),TEXT(INDEX(상세표[시작],$U1901),"yyyy-mm-dd hh:mm"),INDEX(상세표[시작],$U1901)&amp;""))</f>
        <v/>
      </c>
      <c r="O1901">
        <f>IF($U1901="","",IF(ISNUMBER(INDEX(상세표[종료],$U1901)),TEXT(INDEX(상세표[종료],$U1901),"yyyy-mm-dd hh:mm"),INDEX(상세표[종료],$U1901)&amp;""))</f>
        <v/>
      </c>
      <c r="P1901">
        <f>IF($U1901="","",INDEX(상세표[06~07시],$U1901))</f>
        <v/>
      </c>
      <c r="Q1901">
        <f>IF($U1901="","",INDEX(상세표[07~18시],$U1901))</f>
        <v/>
      </c>
      <c r="R1901">
        <f>IF($U1901="","",INDEX(상세표[18~22시],$U1901))</f>
        <v/>
      </c>
      <c r="S1901">
        <f>IF($U1901="","",INDEX(상세표[22~06시],$U1901))</f>
        <v/>
      </c>
      <c r="T1901">
        <f>IF($U1901="","",INDEX(상세표[기록 시간외],$U1901))</f>
        <v/>
      </c>
      <c r="U1901" s="4">
        <f>IFERROR(MATCH(1896,상세표[발송순번],0),"")</f>
        <v/>
      </c>
    </row>
    <row r="1902">
      <c r="J1902">
        <f>IF($U1902="","",INDEX(상세표[사번],$U1902)&amp;"")</f>
        <v/>
      </c>
      <c r="K1902">
        <f>IF($U1902="","",INDEX(상세표[성명],$U1902)&amp;"")</f>
        <v/>
      </c>
      <c r="L1902">
        <f>IF($U1902="","",INDEX(상세표[직위],$U1902)&amp;"")</f>
        <v/>
      </c>
      <c r="M1902">
        <f>IF($U1902="","",IF(ISNUMBER(INDEX(상세표[근무일자],$U1902)),TEXT(INDEX(상세표[근무일자],$U1902),"yyyy-mm-dd"),INDEX(상세표[근무일자],$U1902)&amp;""))</f>
        <v/>
      </c>
      <c r="N1902">
        <f>IF($U1902="","",IF(ISNUMBER(INDEX(상세표[시작],$U1902)),TEXT(INDEX(상세표[시작],$U1902),"yyyy-mm-dd hh:mm"),INDEX(상세표[시작],$U1902)&amp;""))</f>
        <v/>
      </c>
      <c r="O1902">
        <f>IF($U1902="","",IF(ISNUMBER(INDEX(상세표[종료],$U1902)),TEXT(INDEX(상세표[종료],$U1902),"yyyy-mm-dd hh:mm"),INDEX(상세표[종료],$U1902)&amp;""))</f>
        <v/>
      </c>
      <c r="P1902">
        <f>IF($U1902="","",INDEX(상세표[06~07시],$U1902))</f>
        <v/>
      </c>
      <c r="Q1902">
        <f>IF($U1902="","",INDEX(상세표[07~18시],$U1902))</f>
        <v/>
      </c>
      <c r="R1902">
        <f>IF($U1902="","",INDEX(상세표[18~22시],$U1902))</f>
        <v/>
      </c>
      <c r="S1902">
        <f>IF($U1902="","",INDEX(상세표[22~06시],$U1902))</f>
        <v/>
      </c>
      <c r="T1902">
        <f>IF($U1902="","",INDEX(상세표[기록 시간외],$U1902))</f>
        <v/>
      </c>
      <c r="U1902" s="4">
        <f>IFERROR(MATCH(1897,상세표[발송순번],0),"")</f>
        <v/>
      </c>
    </row>
    <row r="1903">
      <c r="J1903">
        <f>IF($U1903="","",INDEX(상세표[사번],$U1903)&amp;"")</f>
        <v/>
      </c>
      <c r="K1903">
        <f>IF($U1903="","",INDEX(상세표[성명],$U1903)&amp;"")</f>
        <v/>
      </c>
      <c r="L1903">
        <f>IF($U1903="","",INDEX(상세표[직위],$U1903)&amp;"")</f>
        <v/>
      </c>
      <c r="M1903">
        <f>IF($U1903="","",IF(ISNUMBER(INDEX(상세표[근무일자],$U1903)),TEXT(INDEX(상세표[근무일자],$U1903),"yyyy-mm-dd"),INDEX(상세표[근무일자],$U1903)&amp;""))</f>
        <v/>
      </c>
      <c r="N1903">
        <f>IF($U1903="","",IF(ISNUMBER(INDEX(상세표[시작],$U1903)),TEXT(INDEX(상세표[시작],$U1903),"yyyy-mm-dd hh:mm"),INDEX(상세표[시작],$U1903)&amp;""))</f>
        <v/>
      </c>
      <c r="O1903">
        <f>IF($U1903="","",IF(ISNUMBER(INDEX(상세표[종료],$U1903)),TEXT(INDEX(상세표[종료],$U1903),"yyyy-mm-dd hh:mm"),INDEX(상세표[종료],$U1903)&amp;""))</f>
        <v/>
      </c>
      <c r="P1903">
        <f>IF($U1903="","",INDEX(상세표[06~07시],$U1903))</f>
        <v/>
      </c>
      <c r="Q1903">
        <f>IF($U1903="","",INDEX(상세표[07~18시],$U1903))</f>
        <v/>
      </c>
      <c r="R1903">
        <f>IF($U1903="","",INDEX(상세표[18~22시],$U1903))</f>
        <v/>
      </c>
      <c r="S1903">
        <f>IF($U1903="","",INDEX(상세표[22~06시],$U1903))</f>
        <v/>
      </c>
      <c r="T1903">
        <f>IF($U1903="","",INDEX(상세표[기록 시간외],$U1903))</f>
        <v/>
      </c>
      <c r="U1903" s="4">
        <f>IFERROR(MATCH(1898,상세표[발송순번],0),"")</f>
        <v/>
      </c>
    </row>
    <row r="1904">
      <c r="J1904">
        <f>IF($U1904="","",INDEX(상세표[사번],$U1904)&amp;"")</f>
        <v/>
      </c>
      <c r="K1904">
        <f>IF($U1904="","",INDEX(상세표[성명],$U1904)&amp;"")</f>
        <v/>
      </c>
      <c r="L1904">
        <f>IF($U1904="","",INDEX(상세표[직위],$U1904)&amp;"")</f>
        <v/>
      </c>
      <c r="M1904">
        <f>IF($U1904="","",IF(ISNUMBER(INDEX(상세표[근무일자],$U1904)),TEXT(INDEX(상세표[근무일자],$U1904),"yyyy-mm-dd"),INDEX(상세표[근무일자],$U1904)&amp;""))</f>
        <v/>
      </c>
      <c r="N1904">
        <f>IF($U1904="","",IF(ISNUMBER(INDEX(상세표[시작],$U1904)),TEXT(INDEX(상세표[시작],$U1904),"yyyy-mm-dd hh:mm"),INDEX(상세표[시작],$U1904)&amp;""))</f>
        <v/>
      </c>
      <c r="O1904">
        <f>IF($U1904="","",IF(ISNUMBER(INDEX(상세표[종료],$U1904)),TEXT(INDEX(상세표[종료],$U1904),"yyyy-mm-dd hh:mm"),INDEX(상세표[종료],$U1904)&amp;""))</f>
        <v/>
      </c>
      <c r="P1904">
        <f>IF($U1904="","",INDEX(상세표[06~07시],$U1904))</f>
        <v/>
      </c>
      <c r="Q1904">
        <f>IF($U1904="","",INDEX(상세표[07~18시],$U1904))</f>
        <v/>
      </c>
      <c r="R1904">
        <f>IF($U1904="","",INDEX(상세표[18~22시],$U1904))</f>
        <v/>
      </c>
      <c r="S1904">
        <f>IF($U1904="","",INDEX(상세표[22~06시],$U1904))</f>
        <v/>
      </c>
      <c r="T1904">
        <f>IF($U1904="","",INDEX(상세표[기록 시간외],$U1904))</f>
        <v/>
      </c>
      <c r="U1904" s="4">
        <f>IFERROR(MATCH(1899,상세표[발송순번],0),"")</f>
        <v/>
      </c>
    </row>
    <row r="1905">
      <c r="J1905">
        <f>IF($U1905="","",INDEX(상세표[사번],$U1905)&amp;"")</f>
        <v/>
      </c>
      <c r="K1905">
        <f>IF($U1905="","",INDEX(상세표[성명],$U1905)&amp;"")</f>
        <v/>
      </c>
      <c r="L1905">
        <f>IF($U1905="","",INDEX(상세표[직위],$U1905)&amp;"")</f>
        <v/>
      </c>
      <c r="M1905">
        <f>IF($U1905="","",IF(ISNUMBER(INDEX(상세표[근무일자],$U1905)),TEXT(INDEX(상세표[근무일자],$U1905),"yyyy-mm-dd"),INDEX(상세표[근무일자],$U1905)&amp;""))</f>
        <v/>
      </c>
      <c r="N1905">
        <f>IF($U1905="","",IF(ISNUMBER(INDEX(상세표[시작],$U1905)),TEXT(INDEX(상세표[시작],$U1905),"yyyy-mm-dd hh:mm"),INDEX(상세표[시작],$U1905)&amp;""))</f>
        <v/>
      </c>
      <c r="O1905">
        <f>IF($U1905="","",IF(ISNUMBER(INDEX(상세표[종료],$U1905)),TEXT(INDEX(상세표[종료],$U1905),"yyyy-mm-dd hh:mm"),INDEX(상세표[종료],$U1905)&amp;""))</f>
        <v/>
      </c>
      <c r="P1905">
        <f>IF($U1905="","",INDEX(상세표[06~07시],$U1905))</f>
        <v/>
      </c>
      <c r="Q1905">
        <f>IF($U1905="","",INDEX(상세표[07~18시],$U1905))</f>
        <v/>
      </c>
      <c r="R1905">
        <f>IF($U1905="","",INDEX(상세표[18~22시],$U1905))</f>
        <v/>
      </c>
      <c r="S1905">
        <f>IF($U1905="","",INDEX(상세표[22~06시],$U1905))</f>
        <v/>
      </c>
      <c r="T1905">
        <f>IF($U1905="","",INDEX(상세표[기록 시간외],$U1905))</f>
        <v/>
      </c>
      <c r="U1905" s="4">
        <f>IFERROR(MATCH(1900,상세표[발송순번],0),"")</f>
        <v/>
      </c>
    </row>
    <row r="1906">
      <c r="J1906">
        <f>IF($U1906="","",INDEX(상세표[사번],$U1906)&amp;"")</f>
        <v/>
      </c>
      <c r="K1906">
        <f>IF($U1906="","",INDEX(상세표[성명],$U1906)&amp;"")</f>
        <v/>
      </c>
      <c r="L1906">
        <f>IF($U1906="","",INDEX(상세표[직위],$U1906)&amp;"")</f>
        <v/>
      </c>
      <c r="M1906">
        <f>IF($U1906="","",IF(ISNUMBER(INDEX(상세표[근무일자],$U1906)),TEXT(INDEX(상세표[근무일자],$U1906),"yyyy-mm-dd"),INDEX(상세표[근무일자],$U1906)&amp;""))</f>
        <v/>
      </c>
      <c r="N1906">
        <f>IF($U1906="","",IF(ISNUMBER(INDEX(상세표[시작],$U1906)),TEXT(INDEX(상세표[시작],$U1906),"yyyy-mm-dd hh:mm"),INDEX(상세표[시작],$U1906)&amp;""))</f>
        <v/>
      </c>
      <c r="O1906">
        <f>IF($U1906="","",IF(ISNUMBER(INDEX(상세표[종료],$U1906)),TEXT(INDEX(상세표[종료],$U1906),"yyyy-mm-dd hh:mm"),INDEX(상세표[종료],$U1906)&amp;""))</f>
        <v/>
      </c>
      <c r="P1906">
        <f>IF($U1906="","",INDEX(상세표[06~07시],$U1906))</f>
        <v/>
      </c>
      <c r="Q1906">
        <f>IF($U1906="","",INDEX(상세표[07~18시],$U1906))</f>
        <v/>
      </c>
      <c r="R1906">
        <f>IF($U1906="","",INDEX(상세표[18~22시],$U1906))</f>
        <v/>
      </c>
      <c r="S1906">
        <f>IF($U1906="","",INDEX(상세표[22~06시],$U1906))</f>
        <v/>
      </c>
      <c r="T1906">
        <f>IF($U1906="","",INDEX(상세표[기록 시간외],$U1906))</f>
        <v/>
      </c>
      <c r="U1906" s="4">
        <f>IFERROR(MATCH(1901,상세표[발송순번],0),"")</f>
        <v/>
      </c>
    </row>
    <row r="1907">
      <c r="J1907">
        <f>IF($U1907="","",INDEX(상세표[사번],$U1907)&amp;"")</f>
        <v/>
      </c>
      <c r="K1907">
        <f>IF($U1907="","",INDEX(상세표[성명],$U1907)&amp;"")</f>
        <v/>
      </c>
      <c r="L1907">
        <f>IF($U1907="","",INDEX(상세표[직위],$U1907)&amp;"")</f>
        <v/>
      </c>
      <c r="M1907">
        <f>IF($U1907="","",IF(ISNUMBER(INDEX(상세표[근무일자],$U1907)),TEXT(INDEX(상세표[근무일자],$U1907),"yyyy-mm-dd"),INDEX(상세표[근무일자],$U1907)&amp;""))</f>
        <v/>
      </c>
      <c r="N1907">
        <f>IF($U1907="","",IF(ISNUMBER(INDEX(상세표[시작],$U1907)),TEXT(INDEX(상세표[시작],$U1907),"yyyy-mm-dd hh:mm"),INDEX(상세표[시작],$U1907)&amp;""))</f>
        <v/>
      </c>
      <c r="O1907">
        <f>IF($U1907="","",IF(ISNUMBER(INDEX(상세표[종료],$U1907)),TEXT(INDEX(상세표[종료],$U1907),"yyyy-mm-dd hh:mm"),INDEX(상세표[종료],$U1907)&amp;""))</f>
        <v/>
      </c>
      <c r="P1907">
        <f>IF($U1907="","",INDEX(상세표[06~07시],$U1907))</f>
        <v/>
      </c>
      <c r="Q1907">
        <f>IF($U1907="","",INDEX(상세표[07~18시],$U1907))</f>
        <v/>
      </c>
      <c r="R1907">
        <f>IF($U1907="","",INDEX(상세표[18~22시],$U1907))</f>
        <v/>
      </c>
      <c r="S1907">
        <f>IF($U1907="","",INDEX(상세표[22~06시],$U1907))</f>
        <v/>
      </c>
      <c r="T1907">
        <f>IF($U1907="","",INDEX(상세표[기록 시간외],$U1907))</f>
        <v/>
      </c>
      <c r="U1907" s="4">
        <f>IFERROR(MATCH(1902,상세표[발송순번],0),"")</f>
        <v/>
      </c>
    </row>
    <row r="1908">
      <c r="J1908">
        <f>IF($U1908="","",INDEX(상세표[사번],$U1908)&amp;"")</f>
        <v/>
      </c>
      <c r="K1908">
        <f>IF($U1908="","",INDEX(상세표[성명],$U1908)&amp;"")</f>
        <v/>
      </c>
      <c r="L1908">
        <f>IF($U1908="","",INDEX(상세표[직위],$U1908)&amp;"")</f>
        <v/>
      </c>
      <c r="M1908">
        <f>IF($U1908="","",IF(ISNUMBER(INDEX(상세표[근무일자],$U1908)),TEXT(INDEX(상세표[근무일자],$U1908),"yyyy-mm-dd"),INDEX(상세표[근무일자],$U1908)&amp;""))</f>
        <v/>
      </c>
      <c r="N1908">
        <f>IF($U1908="","",IF(ISNUMBER(INDEX(상세표[시작],$U1908)),TEXT(INDEX(상세표[시작],$U1908),"yyyy-mm-dd hh:mm"),INDEX(상세표[시작],$U1908)&amp;""))</f>
        <v/>
      </c>
      <c r="O1908">
        <f>IF($U1908="","",IF(ISNUMBER(INDEX(상세표[종료],$U1908)),TEXT(INDEX(상세표[종료],$U1908),"yyyy-mm-dd hh:mm"),INDEX(상세표[종료],$U1908)&amp;""))</f>
        <v/>
      </c>
      <c r="P1908">
        <f>IF($U1908="","",INDEX(상세표[06~07시],$U1908))</f>
        <v/>
      </c>
      <c r="Q1908">
        <f>IF($U1908="","",INDEX(상세표[07~18시],$U1908))</f>
        <v/>
      </c>
      <c r="R1908">
        <f>IF($U1908="","",INDEX(상세표[18~22시],$U1908))</f>
        <v/>
      </c>
      <c r="S1908">
        <f>IF($U1908="","",INDEX(상세표[22~06시],$U1908))</f>
        <v/>
      </c>
      <c r="T1908">
        <f>IF($U1908="","",INDEX(상세표[기록 시간외],$U1908))</f>
        <v/>
      </c>
      <c r="U1908" s="4">
        <f>IFERROR(MATCH(1903,상세표[발송순번],0),"")</f>
        <v/>
      </c>
    </row>
    <row r="1909">
      <c r="J1909">
        <f>IF($U1909="","",INDEX(상세표[사번],$U1909)&amp;"")</f>
        <v/>
      </c>
      <c r="K1909">
        <f>IF($U1909="","",INDEX(상세표[성명],$U1909)&amp;"")</f>
        <v/>
      </c>
      <c r="L1909">
        <f>IF($U1909="","",INDEX(상세표[직위],$U1909)&amp;"")</f>
        <v/>
      </c>
      <c r="M1909">
        <f>IF($U1909="","",IF(ISNUMBER(INDEX(상세표[근무일자],$U1909)),TEXT(INDEX(상세표[근무일자],$U1909),"yyyy-mm-dd"),INDEX(상세표[근무일자],$U1909)&amp;""))</f>
        <v/>
      </c>
      <c r="N1909">
        <f>IF($U1909="","",IF(ISNUMBER(INDEX(상세표[시작],$U1909)),TEXT(INDEX(상세표[시작],$U1909),"yyyy-mm-dd hh:mm"),INDEX(상세표[시작],$U1909)&amp;""))</f>
        <v/>
      </c>
      <c r="O1909">
        <f>IF($U1909="","",IF(ISNUMBER(INDEX(상세표[종료],$U1909)),TEXT(INDEX(상세표[종료],$U1909),"yyyy-mm-dd hh:mm"),INDEX(상세표[종료],$U1909)&amp;""))</f>
        <v/>
      </c>
      <c r="P1909">
        <f>IF($U1909="","",INDEX(상세표[06~07시],$U1909))</f>
        <v/>
      </c>
      <c r="Q1909">
        <f>IF($U1909="","",INDEX(상세표[07~18시],$U1909))</f>
        <v/>
      </c>
      <c r="R1909">
        <f>IF($U1909="","",INDEX(상세표[18~22시],$U1909))</f>
        <v/>
      </c>
      <c r="S1909">
        <f>IF($U1909="","",INDEX(상세표[22~06시],$U1909))</f>
        <v/>
      </c>
      <c r="T1909">
        <f>IF($U1909="","",INDEX(상세표[기록 시간외],$U1909))</f>
        <v/>
      </c>
      <c r="U1909" s="4">
        <f>IFERROR(MATCH(1904,상세표[발송순번],0),"")</f>
        <v/>
      </c>
    </row>
    <row r="1910">
      <c r="J1910">
        <f>IF($U1910="","",INDEX(상세표[사번],$U1910)&amp;"")</f>
        <v/>
      </c>
      <c r="K1910">
        <f>IF($U1910="","",INDEX(상세표[성명],$U1910)&amp;"")</f>
        <v/>
      </c>
      <c r="L1910">
        <f>IF($U1910="","",INDEX(상세표[직위],$U1910)&amp;"")</f>
        <v/>
      </c>
      <c r="M1910">
        <f>IF($U1910="","",IF(ISNUMBER(INDEX(상세표[근무일자],$U1910)),TEXT(INDEX(상세표[근무일자],$U1910),"yyyy-mm-dd"),INDEX(상세표[근무일자],$U1910)&amp;""))</f>
        <v/>
      </c>
      <c r="N1910">
        <f>IF($U1910="","",IF(ISNUMBER(INDEX(상세표[시작],$U1910)),TEXT(INDEX(상세표[시작],$U1910),"yyyy-mm-dd hh:mm"),INDEX(상세표[시작],$U1910)&amp;""))</f>
        <v/>
      </c>
      <c r="O1910">
        <f>IF($U1910="","",IF(ISNUMBER(INDEX(상세표[종료],$U1910)),TEXT(INDEX(상세표[종료],$U1910),"yyyy-mm-dd hh:mm"),INDEX(상세표[종료],$U1910)&amp;""))</f>
        <v/>
      </c>
      <c r="P1910">
        <f>IF($U1910="","",INDEX(상세표[06~07시],$U1910))</f>
        <v/>
      </c>
      <c r="Q1910">
        <f>IF($U1910="","",INDEX(상세표[07~18시],$U1910))</f>
        <v/>
      </c>
      <c r="R1910">
        <f>IF($U1910="","",INDEX(상세표[18~22시],$U1910))</f>
        <v/>
      </c>
      <c r="S1910">
        <f>IF($U1910="","",INDEX(상세표[22~06시],$U1910))</f>
        <v/>
      </c>
      <c r="T1910">
        <f>IF($U1910="","",INDEX(상세표[기록 시간외],$U1910))</f>
        <v/>
      </c>
      <c r="U1910" s="4">
        <f>IFERROR(MATCH(1905,상세표[발송순번],0),"")</f>
        <v/>
      </c>
    </row>
    <row r="1911">
      <c r="J1911">
        <f>IF($U1911="","",INDEX(상세표[사번],$U1911)&amp;"")</f>
        <v/>
      </c>
      <c r="K1911">
        <f>IF($U1911="","",INDEX(상세표[성명],$U1911)&amp;"")</f>
        <v/>
      </c>
      <c r="L1911">
        <f>IF($U1911="","",INDEX(상세표[직위],$U1911)&amp;"")</f>
        <v/>
      </c>
      <c r="M1911">
        <f>IF($U1911="","",IF(ISNUMBER(INDEX(상세표[근무일자],$U1911)),TEXT(INDEX(상세표[근무일자],$U1911),"yyyy-mm-dd"),INDEX(상세표[근무일자],$U1911)&amp;""))</f>
        <v/>
      </c>
      <c r="N1911">
        <f>IF($U1911="","",IF(ISNUMBER(INDEX(상세표[시작],$U1911)),TEXT(INDEX(상세표[시작],$U1911),"yyyy-mm-dd hh:mm"),INDEX(상세표[시작],$U1911)&amp;""))</f>
        <v/>
      </c>
      <c r="O1911">
        <f>IF($U1911="","",IF(ISNUMBER(INDEX(상세표[종료],$U1911)),TEXT(INDEX(상세표[종료],$U1911),"yyyy-mm-dd hh:mm"),INDEX(상세표[종료],$U1911)&amp;""))</f>
        <v/>
      </c>
      <c r="P1911">
        <f>IF($U1911="","",INDEX(상세표[06~07시],$U1911))</f>
        <v/>
      </c>
      <c r="Q1911">
        <f>IF($U1911="","",INDEX(상세표[07~18시],$U1911))</f>
        <v/>
      </c>
      <c r="R1911">
        <f>IF($U1911="","",INDEX(상세표[18~22시],$U1911))</f>
        <v/>
      </c>
      <c r="S1911">
        <f>IF($U1911="","",INDEX(상세표[22~06시],$U1911))</f>
        <v/>
      </c>
      <c r="T1911">
        <f>IF($U1911="","",INDEX(상세표[기록 시간외],$U1911))</f>
        <v/>
      </c>
      <c r="U1911" s="4">
        <f>IFERROR(MATCH(1906,상세표[발송순번],0),"")</f>
        <v/>
      </c>
    </row>
    <row r="1912">
      <c r="J1912">
        <f>IF($U1912="","",INDEX(상세표[사번],$U1912)&amp;"")</f>
        <v/>
      </c>
      <c r="K1912">
        <f>IF($U1912="","",INDEX(상세표[성명],$U1912)&amp;"")</f>
        <v/>
      </c>
      <c r="L1912">
        <f>IF($U1912="","",INDEX(상세표[직위],$U1912)&amp;"")</f>
        <v/>
      </c>
      <c r="M1912">
        <f>IF($U1912="","",IF(ISNUMBER(INDEX(상세표[근무일자],$U1912)),TEXT(INDEX(상세표[근무일자],$U1912),"yyyy-mm-dd"),INDEX(상세표[근무일자],$U1912)&amp;""))</f>
        <v/>
      </c>
      <c r="N1912">
        <f>IF($U1912="","",IF(ISNUMBER(INDEX(상세표[시작],$U1912)),TEXT(INDEX(상세표[시작],$U1912),"yyyy-mm-dd hh:mm"),INDEX(상세표[시작],$U1912)&amp;""))</f>
        <v/>
      </c>
      <c r="O1912">
        <f>IF($U1912="","",IF(ISNUMBER(INDEX(상세표[종료],$U1912)),TEXT(INDEX(상세표[종료],$U1912),"yyyy-mm-dd hh:mm"),INDEX(상세표[종료],$U1912)&amp;""))</f>
        <v/>
      </c>
      <c r="P1912">
        <f>IF($U1912="","",INDEX(상세표[06~07시],$U1912))</f>
        <v/>
      </c>
      <c r="Q1912">
        <f>IF($U1912="","",INDEX(상세표[07~18시],$U1912))</f>
        <v/>
      </c>
      <c r="R1912">
        <f>IF($U1912="","",INDEX(상세표[18~22시],$U1912))</f>
        <v/>
      </c>
      <c r="S1912">
        <f>IF($U1912="","",INDEX(상세표[22~06시],$U1912))</f>
        <v/>
      </c>
      <c r="T1912">
        <f>IF($U1912="","",INDEX(상세표[기록 시간외],$U1912))</f>
        <v/>
      </c>
      <c r="U1912" s="4">
        <f>IFERROR(MATCH(1907,상세표[발송순번],0),"")</f>
        <v/>
      </c>
    </row>
    <row r="1913">
      <c r="J1913">
        <f>IF($U1913="","",INDEX(상세표[사번],$U1913)&amp;"")</f>
        <v/>
      </c>
      <c r="K1913">
        <f>IF($U1913="","",INDEX(상세표[성명],$U1913)&amp;"")</f>
        <v/>
      </c>
      <c r="L1913">
        <f>IF($U1913="","",INDEX(상세표[직위],$U1913)&amp;"")</f>
        <v/>
      </c>
      <c r="M1913">
        <f>IF($U1913="","",IF(ISNUMBER(INDEX(상세표[근무일자],$U1913)),TEXT(INDEX(상세표[근무일자],$U1913),"yyyy-mm-dd"),INDEX(상세표[근무일자],$U1913)&amp;""))</f>
        <v/>
      </c>
      <c r="N1913">
        <f>IF($U1913="","",IF(ISNUMBER(INDEX(상세표[시작],$U1913)),TEXT(INDEX(상세표[시작],$U1913),"yyyy-mm-dd hh:mm"),INDEX(상세표[시작],$U1913)&amp;""))</f>
        <v/>
      </c>
      <c r="O1913">
        <f>IF($U1913="","",IF(ISNUMBER(INDEX(상세표[종료],$U1913)),TEXT(INDEX(상세표[종료],$U1913),"yyyy-mm-dd hh:mm"),INDEX(상세표[종료],$U1913)&amp;""))</f>
        <v/>
      </c>
      <c r="P1913">
        <f>IF($U1913="","",INDEX(상세표[06~07시],$U1913))</f>
        <v/>
      </c>
      <c r="Q1913">
        <f>IF($U1913="","",INDEX(상세표[07~18시],$U1913))</f>
        <v/>
      </c>
      <c r="R1913">
        <f>IF($U1913="","",INDEX(상세표[18~22시],$U1913))</f>
        <v/>
      </c>
      <c r="S1913">
        <f>IF($U1913="","",INDEX(상세표[22~06시],$U1913))</f>
        <v/>
      </c>
      <c r="T1913">
        <f>IF($U1913="","",INDEX(상세표[기록 시간외],$U1913))</f>
        <v/>
      </c>
      <c r="U1913" s="4">
        <f>IFERROR(MATCH(1908,상세표[발송순번],0),"")</f>
        <v/>
      </c>
    </row>
    <row r="1914">
      <c r="J1914">
        <f>IF($U1914="","",INDEX(상세표[사번],$U1914)&amp;"")</f>
        <v/>
      </c>
      <c r="K1914">
        <f>IF($U1914="","",INDEX(상세표[성명],$U1914)&amp;"")</f>
        <v/>
      </c>
      <c r="L1914">
        <f>IF($U1914="","",INDEX(상세표[직위],$U1914)&amp;"")</f>
        <v/>
      </c>
      <c r="M1914">
        <f>IF($U1914="","",IF(ISNUMBER(INDEX(상세표[근무일자],$U1914)),TEXT(INDEX(상세표[근무일자],$U1914),"yyyy-mm-dd"),INDEX(상세표[근무일자],$U1914)&amp;""))</f>
        <v/>
      </c>
      <c r="N1914">
        <f>IF($U1914="","",IF(ISNUMBER(INDEX(상세표[시작],$U1914)),TEXT(INDEX(상세표[시작],$U1914),"yyyy-mm-dd hh:mm"),INDEX(상세표[시작],$U1914)&amp;""))</f>
        <v/>
      </c>
      <c r="O1914">
        <f>IF($U1914="","",IF(ISNUMBER(INDEX(상세표[종료],$U1914)),TEXT(INDEX(상세표[종료],$U1914),"yyyy-mm-dd hh:mm"),INDEX(상세표[종료],$U1914)&amp;""))</f>
        <v/>
      </c>
      <c r="P1914">
        <f>IF($U1914="","",INDEX(상세표[06~07시],$U1914))</f>
        <v/>
      </c>
      <c r="Q1914">
        <f>IF($U1914="","",INDEX(상세표[07~18시],$U1914))</f>
        <v/>
      </c>
      <c r="R1914">
        <f>IF($U1914="","",INDEX(상세표[18~22시],$U1914))</f>
        <v/>
      </c>
      <c r="S1914">
        <f>IF($U1914="","",INDEX(상세표[22~06시],$U1914))</f>
        <v/>
      </c>
      <c r="T1914">
        <f>IF($U1914="","",INDEX(상세표[기록 시간외],$U1914))</f>
        <v/>
      </c>
      <c r="U1914" s="4">
        <f>IFERROR(MATCH(1909,상세표[발송순번],0),"")</f>
        <v/>
      </c>
    </row>
    <row r="1915">
      <c r="J1915">
        <f>IF($U1915="","",INDEX(상세표[사번],$U1915)&amp;"")</f>
        <v/>
      </c>
      <c r="K1915">
        <f>IF($U1915="","",INDEX(상세표[성명],$U1915)&amp;"")</f>
        <v/>
      </c>
      <c r="L1915">
        <f>IF($U1915="","",INDEX(상세표[직위],$U1915)&amp;"")</f>
        <v/>
      </c>
      <c r="M1915">
        <f>IF($U1915="","",IF(ISNUMBER(INDEX(상세표[근무일자],$U1915)),TEXT(INDEX(상세표[근무일자],$U1915),"yyyy-mm-dd"),INDEX(상세표[근무일자],$U1915)&amp;""))</f>
        <v/>
      </c>
      <c r="N1915">
        <f>IF($U1915="","",IF(ISNUMBER(INDEX(상세표[시작],$U1915)),TEXT(INDEX(상세표[시작],$U1915),"yyyy-mm-dd hh:mm"),INDEX(상세표[시작],$U1915)&amp;""))</f>
        <v/>
      </c>
      <c r="O1915">
        <f>IF($U1915="","",IF(ISNUMBER(INDEX(상세표[종료],$U1915)),TEXT(INDEX(상세표[종료],$U1915),"yyyy-mm-dd hh:mm"),INDEX(상세표[종료],$U1915)&amp;""))</f>
        <v/>
      </c>
      <c r="P1915">
        <f>IF($U1915="","",INDEX(상세표[06~07시],$U1915))</f>
        <v/>
      </c>
      <c r="Q1915">
        <f>IF($U1915="","",INDEX(상세표[07~18시],$U1915))</f>
        <v/>
      </c>
      <c r="R1915">
        <f>IF($U1915="","",INDEX(상세표[18~22시],$U1915))</f>
        <v/>
      </c>
      <c r="S1915">
        <f>IF($U1915="","",INDEX(상세표[22~06시],$U1915))</f>
        <v/>
      </c>
      <c r="T1915">
        <f>IF($U1915="","",INDEX(상세표[기록 시간외],$U1915))</f>
        <v/>
      </c>
      <c r="U1915" s="4">
        <f>IFERROR(MATCH(1910,상세표[발송순번],0),"")</f>
        <v/>
      </c>
    </row>
    <row r="1916">
      <c r="J1916">
        <f>IF($U1916="","",INDEX(상세표[사번],$U1916)&amp;"")</f>
        <v/>
      </c>
      <c r="K1916">
        <f>IF($U1916="","",INDEX(상세표[성명],$U1916)&amp;"")</f>
        <v/>
      </c>
      <c r="L1916">
        <f>IF($U1916="","",INDEX(상세표[직위],$U1916)&amp;"")</f>
        <v/>
      </c>
      <c r="M1916">
        <f>IF($U1916="","",IF(ISNUMBER(INDEX(상세표[근무일자],$U1916)),TEXT(INDEX(상세표[근무일자],$U1916),"yyyy-mm-dd"),INDEX(상세표[근무일자],$U1916)&amp;""))</f>
        <v/>
      </c>
      <c r="N1916">
        <f>IF($U1916="","",IF(ISNUMBER(INDEX(상세표[시작],$U1916)),TEXT(INDEX(상세표[시작],$U1916),"yyyy-mm-dd hh:mm"),INDEX(상세표[시작],$U1916)&amp;""))</f>
        <v/>
      </c>
      <c r="O1916">
        <f>IF($U1916="","",IF(ISNUMBER(INDEX(상세표[종료],$U1916)),TEXT(INDEX(상세표[종료],$U1916),"yyyy-mm-dd hh:mm"),INDEX(상세표[종료],$U1916)&amp;""))</f>
        <v/>
      </c>
      <c r="P1916">
        <f>IF($U1916="","",INDEX(상세표[06~07시],$U1916))</f>
        <v/>
      </c>
      <c r="Q1916">
        <f>IF($U1916="","",INDEX(상세표[07~18시],$U1916))</f>
        <v/>
      </c>
      <c r="R1916">
        <f>IF($U1916="","",INDEX(상세표[18~22시],$U1916))</f>
        <v/>
      </c>
      <c r="S1916">
        <f>IF($U1916="","",INDEX(상세표[22~06시],$U1916))</f>
        <v/>
      </c>
      <c r="T1916">
        <f>IF($U1916="","",INDEX(상세표[기록 시간외],$U1916))</f>
        <v/>
      </c>
      <c r="U1916" s="4">
        <f>IFERROR(MATCH(1911,상세표[발송순번],0),"")</f>
        <v/>
      </c>
    </row>
    <row r="1917">
      <c r="J1917">
        <f>IF($U1917="","",INDEX(상세표[사번],$U1917)&amp;"")</f>
        <v/>
      </c>
      <c r="K1917">
        <f>IF($U1917="","",INDEX(상세표[성명],$U1917)&amp;"")</f>
        <v/>
      </c>
      <c r="L1917">
        <f>IF($U1917="","",INDEX(상세표[직위],$U1917)&amp;"")</f>
        <v/>
      </c>
      <c r="M1917">
        <f>IF($U1917="","",IF(ISNUMBER(INDEX(상세표[근무일자],$U1917)),TEXT(INDEX(상세표[근무일자],$U1917),"yyyy-mm-dd"),INDEX(상세표[근무일자],$U1917)&amp;""))</f>
        <v/>
      </c>
      <c r="N1917">
        <f>IF($U1917="","",IF(ISNUMBER(INDEX(상세표[시작],$U1917)),TEXT(INDEX(상세표[시작],$U1917),"yyyy-mm-dd hh:mm"),INDEX(상세표[시작],$U1917)&amp;""))</f>
        <v/>
      </c>
      <c r="O1917">
        <f>IF($U1917="","",IF(ISNUMBER(INDEX(상세표[종료],$U1917)),TEXT(INDEX(상세표[종료],$U1917),"yyyy-mm-dd hh:mm"),INDEX(상세표[종료],$U1917)&amp;""))</f>
        <v/>
      </c>
      <c r="P1917">
        <f>IF($U1917="","",INDEX(상세표[06~07시],$U1917))</f>
        <v/>
      </c>
      <c r="Q1917">
        <f>IF($U1917="","",INDEX(상세표[07~18시],$U1917))</f>
        <v/>
      </c>
      <c r="R1917">
        <f>IF($U1917="","",INDEX(상세표[18~22시],$U1917))</f>
        <v/>
      </c>
      <c r="S1917">
        <f>IF($U1917="","",INDEX(상세표[22~06시],$U1917))</f>
        <v/>
      </c>
      <c r="T1917">
        <f>IF($U1917="","",INDEX(상세표[기록 시간외],$U1917))</f>
        <v/>
      </c>
      <c r="U1917" s="4">
        <f>IFERROR(MATCH(1912,상세표[발송순번],0),"")</f>
        <v/>
      </c>
    </row>
    <row r="1918">
      <c r="J1918">
        <f>IF($U1918="","",INDEX(상세표[사번],$U1918)&amp;"")</f>
        <v/>
      </c>
      <c r="K1918">
        <f>IF($U1918="","",INDEX(상세표[성명],$U1918)&amp;"")</f>
        <v/>
      </c>
      <c r="L1918">
        <f>IF($U1918="","",INDEX(상세표[직위],$U1918)&amp;"")</f>
        <v/>
      </c>
      <c r="M1918">
        <f>IF($U1918="","",IF(ISNUMBER(INDEX(상세표[근무일자],$U1918)),TEXT(INDEX(상세표[근무일자],$U1918),"yyyy-mm-dd"),INDEX(상세표[근무일자],$U1918)&amp;""))</f>
        <v/>
      </c>
      <c r="N1918">
        <f>IF($U1918="","",IF(ISNUMBER(INDEX(상세표[시작],$U1918)),TEXT(INDEX(상세표[시작],$U1918),"yyyy-mm-dd hh:mm"),INDEX(상세표[시작],$U1918)&amp;""))</f>
        <v/>
      </c>
      <c r="O1918">
        <f>IF($U1918="","",IF(ISNUMBER(INDEX(상세표[종료],$U1918)),TEXT(INDEX(상세표[종료],$U1918),"yyyy-mm-dd hh:mm"),INDEX(상세표[종료],$U1918)&amp;""))</f>
        <v/>
      </c>
      <c r="P1918">
        <f>IF($U1918="","",INDEX(상세표[06~07시],$U1918))</f>
        <v/>
      </c>
      <c r="Q1918">
        <f>IF($U1918="","",INDEX(상세표[07~18시],$U1918))</f>
        <v/>
      </c>
      <c r="R1918">
        <f>IF($U1918="","",INDEX(상세표[18~22시],$U1918))</f>
        <v/>
      </c>
      <c r="S1918">
        <f>IF($U1918="","",INDEX(상세표[22~06시],$U1918))</f>
        <v/>
      </c>
      <c r="T1918">
        <f>IF($U1918="","",INDEX(상세표[기록 시간외],$U1918))</f>
        <v/>
      </c>
      <c r="U1918" s="4">
        <f>IFERROR(MATCH(1913,상세표[발송순번],0),"")</f>
        <v/>
      </c>
    </row>
    <row r="1919">
      <c r="J1919">
        <f>IF($U1919="","",INDEX(상세표[사번],$U1919)&amp;"")</f>
        <v/>
      </c>
      <c r="K1919">
        <f>IF($U1919="","",INDEX(상세표[성명],$U1919)&amp;"")</f>
        <v/>
      </c>
      <c r="L1919">
        <f>IF($U1919="","",INDEX(상세표[직위],$U1919)&amp;"")</f>
        <v/>
      </c>
      <c r="M1919">
        <f>IF($U1919="","",IF(ISNUMBER(INDEX(상세표[근무일자],$U1919)),TEXT(INDEX(상세표[근무일자],$U1919),"yyyy-mm-dd"),INDEX(상세표[근무일자],$U1919)&amp;""))</f>
        <v/>
      </c>
      <c r="N1919">
        <f>IF($U1919="","",IF(ISNUMBER(INDEX(상세표[시작],$U1919)),TEXT(INDEX(상세표[시작],$U1919),"yyyy-mm-dd hh:mm"),INDEX(상세표[시작],$U1919)&amp;""))</f>
        <v/>
      </c>
      <c r="O1919">
        <f>IF($U1919="","",IF(ISNUMBER(INDEX(상세표[종료],$U1919)),TEXT(INDEX(상세표[종료],$U1919),"yyyy-mm-dd hh:mm"),INDEX(상세표[종료],$U1919)&amp;""))</f>
        <v/>
      </c>
      <c r="P1919">
        <f>IF($U1919="","",INDEX(상세표[06~07시],$U1919))</f>
        <v/>
      </c>
      <c r="Q1919">
        <f>IF($U1919="","",INDEX(상세표[07~18시],$U1919))</f>
        <v/>
      </c>
      <c r="R1919">
        <f>IF($U1919="","",INDEX(상세표[18~22시],$U1919))</f>
        <v/>
      </c>
      <c r="S1919">
        <f>IF($U1919="","",INDEX(상세표[22~06시],$U1919))</f>
        <v/>
      </c>
      <c r="T1919">
        <f>IF($U1919="","",INDEX(상세표[기록 시간외],$U1919))</f>
        <v/>
      </c>
      <c r="U1919" s="4">
        <f>IFERROR(MATCH(1914,상세표[발송순번],0),"")</f>
        <v/>
      </c>
    </row>
    <row r="1920">
      <c r="J1920">
        <f>IF($U1920="","",INDEX(상세표[사번],$U1920)&amp;"")</f>
        <v/>
      </c>
      <c r="K1920">
        <f>IF($U1920="","",INDEX(상세표[성명],$U1920)&amp;"")</f>
        <v/>
      </c>
      <c r="L1920">
        <f>IF($U1920="","",INDEX(상세표[직위],$U1920)&amp;"")</f>
        <v/>
      </c>
      <c r="M1920">
        <f>IF($U1920="","",IF(ISNUMBER(INDEX(상세표[근무일자],$U1920)),TEXT(INDEX(상세표[근무일자],$U1920),"yyyy-mm-dd"),INDEX(상세표[근무일자],$U1920)&amp;""))</f>
        <v/>
      </c>
      <c r="N1920">
        <f>IF($U1920="","",IF(ISNUMBER(INDEX(상세표[시작],$U1920)),TEXT(INDEX(상세표[시작],$U1920),"yyyy-mm-dd hh:mm"),INDEX(상세표[시작],$U1920)&amp;""))</f>
        <v/>
      </c>
      <c r="O1920">
        <f>IF($U1920="","",IF(ISNUMBER(INDEX(상세표[종료],$U1920)),TEXT(INDEX(상세표[종료],$U1920),"yyyy-mm-dd hh:mm"),INDEX(상세표[종료],$U1920)&amp;""))</f>
        <v/>
      </c>
      <c r="P1920">
        <f>IF($U1920="","",INDEX(상세표[06~07시],$U1920))</f>
        <v/>
      </c>
      <c r="Q1920">
        <f>IF($U1920="","",INDEX(상세표[07~18시],$U1920))</f>
        <v/>
      </c>
      <c r="R1920">
        <f>IF($U1920="","",INDEX(상세표[18~22시],$U1920))</f>
        <v/>
      </c>
      <c r="S1920">
        <f>IF($U1920="","",INDEX(상세표[22~06시],$U1920))</f>
        <v/>
      </c>
      <c r="T1920">
        <f>IF($U1920="","",INDEX(상세표[기록 시간외],$U1920))</f>
        <v/>
      </c>
      <c r="U1920" s="4">
        <f>IFERROR(MATCH(1915,상세표[발송순번],0),"")</f>
        <v/>
      </c>
    </row>
    <row r="1921">
      <c r="J1921">
        <f>IF($U1921="","",INDEX(상세표[사번],$U1921)&amp;"")</f>
        <v/>
      </c>
      <c r="K1921">
        <f>IF($U1921="","",INDEX(상세표[성명],$U1921)&amp;"")</f>
        <v/>
      </c>
      <c r="L1921">
        <f>IF($U1921="","",INDEX(상세표[직위],$U1921)&amp;"")</f>
        <v/>
      </c>
      <c r="M1921">
        <f>IF($U1921="","",IF(ISNUMBER(INDEX(상세표[근무일자],$U1921)),TEXT(INDEX(상세표[근무일자],$U1921),"yyyy-mm-dd"),INDEX(상세표[근무일자],$U1921)&amp;""))</f>
        <v/>
      </c>
      <c r="N1921">
        <f>IF($U1921="","",IF(ISNUMBER(INDEX(상세표[시작],$U1921)),TEXT(INDEX(상세표[시작],$U1921),"yyyy-mm-dd hh:mm"),INDEX(상세표[시작],$U1921)&amp;""))</f>
        <v/>
      </c>
      <c r="O1921">
        <f>IF($U1921="","",IF(ISNUMBER(INDEX(상세표[종료],$U1921)),TEXT(INDEX(상세표[종료],$U1921),"yyyy-mm-dd hh:mm"),INDEX(상세표[종료],$U1921)&amp;""))</f>
        <v/>
      </c>
      <c r="P1921">
        <f>IF($U1921="","",INDEX(상세표[06~07시],$U1921))</f>
        <v/>
      </c>
      <c r="Q1921">
        <f>IF($U1921="","",INDEX(상세표[07~18시],$U1921))</f>
        <v/>
      </c>
      <c r="R1921">
        <f>IF($U1921="","",INDEX(상세표[18~22시],$U1921))</f>
        <v/>
      </c>
      <c r="S1921">
        <f>IF($U1921="","",INDEX(상세표[22~06시],$U1921))</f>
        <v/>
      </c>
      <c r="T1921">
        <f>IF($U1921="","",INDEX(상세표[기록 시간외],$U1921))</f>
        <v/>
      </c>
      <c r="U1921" s="4">
        <f>IFERROR(MATCH(1916,상세표[발송순번],0),"")</f>
        <v/>
      </c>
    </row>
    <row r="1922">
      <c r="J1922">
        <f>IF($U1922="","",INDEX(상세표[사번],$U1922)&amp;"")</f>
        <v/>
      </c>
      <c r="K1922">
        <f>IF($U1922="","",INDEX(상세표[성명],$U1922)&amp;"")</f>
        <v/>
      </c>
      <c r="L1922">
        <f>IF($U1922="","",INDEX(상세표[직위],$U1922)&amp;"")</f>
        <v/>
      </c>
      <c r="M1922">
        <f>IF($U1922="","",IF(ISNUMBER(INDEX(상세표[근무일자],$U1922)),TEXT(INDEX(상세표[근무일자],$U1922),"yyyy-mm-dd"),INDEX(상세표[근무일자],$U1922)&amp;""))</f>
        <v/>
      </c>
      <c r="N1922">
        <f>IF($U1922="","",IF(ISNUMBER(INDEX(상세표[시작],$U1922)),TEXT(INDEX(상세표[시작],$U1922),"yyyy-mm-dd hh:mm"),INDEX(상세표[시작],$U1922)&amp;""))</f>
        <v/>
      </c>
      <c r="O1922">
        <f>IF($U1922="","",IF(ISNUMBER(INDEX(상세표[종료],$U1922)),TEXT(INDEX(상세표[종료],$U1922),"yyyy-mm-dd hh:mm"),INDEX(상세표[종료],$U1922)&amp;""))</f>
        <v/>
      </c>
      <c r="P1922">
        <f>IF($U1922="","",INDEX(상세표[06~07시],$U1922))</f>
        <v/>
      </c>
      <c r="Q1922">
        <f>IF($U1922="","",INDEX(상세표[07~18시],$U1922))</f>
        <v/>
      </c>
      <c r="R1922">
        <f>IF($U1922="","",INDEX(상세표[18~22시],$U1922))</f>
        <v/>
      </c>
      <c r="S1922">
        <f>IF($U1922="","",INDEX(상세표[22~06시],$U1922))</f>
        <v/>
      </c>
      <c r="T1922">
        <f>IF($U1922="","",INDEX(상세표[기록 시간외],$U1922))</f>
        <v/>
      </c>
      <c r="U1922" s="4">
        <f>IFERROR(MATCH(1917,상세표[발송순번],0),"")</f>
        <v/>
      </c>
    </row>
    <row r="1923">
      <c r="J1923">
        <f>IF($U1923="","",INDEX(상세표[사번],$U1923)&amp;"")</f>
        <v/>
      </c>
      <c r="K1923">
        <f>IF($U1923="","",INDEX(상세표[성명],$U1923)&amp;"")</f>
        <v/>
      </c>
      <c r="L1923">
        <f>IF($U1923="","",INDEX(상세표[직위],$U1923)&amp;"")</f>
        <v/>
      </c>
      <c r="M1923">
        <f>IF($U1923="","",IF(ISNUMBER(INDEX(상세표[근무일자],$U1923)),TEXT(INDEX(상세표[근무일자],$U1923),"yyyy-mm-dd"),INDEX(상세표[근무일자],$U1923)&amp;""))</f>
        <v/>
      </c>
      <c r="N1923">
        <f>IF($U1923="","",IF(ISNUMBER(INDEX(상세표[시작],$U1923)),TEXT(INDEX(상세표[시작],$U1923),"yyyy-mm-dd hh:mm"),INDEX(상세표[시작],$U1923)&amp;""))</f>
        <v/>
      </c>
      <c r="O1923">
        <f>IF($U1923="","",IF(ISNUMBER(INDEX(상세표[종료],$U1923)),TEXT(INDEX(상세표[종료],$U1923),"yyyy-mm-dd hh:mm"),INDEX(상세표[종료],$U1923)&amp;""))</f>
        <v/>
      </c>
      <c r="P1923">
        <f>IF($U1923="","",INDEX(상세표[06~07시],$U1923))</f>
        <v/>
      </c>
      <c r="Q1923">
        <f>IF($U1923="","",INDEX(상세표[07~18시],$U1923))</f>
        <v/>
      </c>
      <c r="R1923">
        <f>IF($U1923="","",INDEX(상세표[18~22시],$U1923))</f>
        <v/>
      </c>
      <c r="S1923">
        <f>IF($U1923="","",INDEX(상세표[22~06시],$U1923))</f>
        <v/>
      </c>
      <c r="T1923">
        <f>IF($U1923="","",INDEX(상세표[기록 시간외],$U1923))</f>
        <v/>
      </c>
      <c r="U1923" s="4">
        <f>IFERROR(MATCH(1918,상세표[발송순번],0),"")</f>
        <v/>
      </c>
    </row>
    <row r="1924">
      <c r="J1924">
        <f>IF($U1924="","",INDEX(상세표[사번],$U1924)&amp;"")</f>
        <v/>
      </c>
      <c r="K1924">
        <f>IF($U1924="","",INDEX(상세표[성명],$U1924)&amp;"")</f>
        <v/>
      </c>
      <c r="L1924">
        <f>IF($U1924="","",INDEX(상세표[직위],$U1924)&amp;"")</f>
        <v/>
      </c>
      <c r="M1924">
        <f>IF($U1924="","",IF(ISNUMBER(INDEX(상세표[근무일자],$U1924)),TEXT(INDEX(상세표[근무일자],$U1924),"yyyy-mm-dd"),INDEX(상세표[근무일자],$U1924)&amp;""))</f>
        <v/>
      </c>
      <c r="N1924">
        <f>IF($U1924="","",IF(ISNUMBER(INDEX(상세표[시작],$U1924)),TEXT(INDEX(상세표[시작],$U1924),"yyyy-mm-dd hh:mm"),INDEX(상세표[시작],$U1924)&amp;""))</f>
        <v/>
      </c>
      <c r="O1924">
        <f>IF($U1924="","",IF(ISNUMBER(INDEX(상세표[종료],$U1924)),TEXT(INDEX(상세표[종료],$U1924),"yyyy-mm-dd hh:mm"),INDEX(상세표[종료],$U1924)&amp;""))</f>
        <v/>
      </c>
      <c r="P1924">
        <f>IF($U1924="","",INDEX(상세표[06~07시],$U1924))</f>
        <v/>
      </c>
      <c r="Q1924">
        <f>IF($U1924="","",INDEX(상세표[07~18시],$U1924))</f>
        <v/>
      </c>
      <c r="R1924">
        <f>IF($U1924="","",INDEX(상세표[18~22시],$U1924))</f>
        <v/>
      </c>
      <c r="S1924">
        <f>IF($U1924="","",INDEX(상세표[22~06시],$U1924))</f>
        <v/>
      </c>
      <c r="T1924">
        <f>IF($U1924="","",INDEX(상세표[기록 시간외],$U1924))</f>
        <v/>
      </c>
      <c r="U1924" s="4">
        <f>IFERROR(MATCH(1919,상세표[발송순번],0),"")</f>
        <v/>
      </c>
    </row>
    <row r="1925">
      <c r="J1925">
        <f>IF($U1925="","",INDEX(상세표[사번],$U1925)&amp;"")</f>
        <v/>
      </c>
      <c r="K1925">
        <f>IF($U1925="","",INDEX(상세표[성명],$U1925)&amp;"")</f>
        <v/>
      </c>
      <c r="L1925">
        <f>IF($U1925="","",INDEX(상세표[직위],$U1925)&amp;"")</f>
        <v/>
      </c>
      <c r="M1925">
        <f>IF($U1925="","",IF(ISNUMBER(INDEX(상세표[근무일자],$U1925)),TEXT(INDEX(상세표[근무일자],$U1925),"yyyy-mm-dd"),INDEX(상세표[근무일자],$U1925)&amp;""))</f>
        <v/>
      </c>
      <c r="N1925">
        <f>IF($U1925="","",IF(ISNUMBER(INDEX(상세표[시작],$U1925)),TEXT(INDEX(상세표[시작],$U1925),"yyyy-mm-dd hh:mm"),INDEX(상세표[시작],$U1925)&amp;""))</f>
        <v/>
      </c>
      <c r="O1925">
        <f>IF($U1925="","",IF(ISNUMBER(INDEX(상세표[종료],$U1925)),TEXT(INDEX(상세표[종료],$U1925),"yyyy-mm-dd hh:mm"),INDEX(상세표[종료],$U1925)&amp;""))</f>
        <v/>
      </c>
      <c r="P1925">
        <f>IF($U1925="","",INDEX(상세표[06~07시],$U1925))</f>
        <v/>
      </c>
      <c r="Q1925">
        <f>IF($U1925="","",INDEX(상세표[07~18시],$U1925))</f>
        <v/>
      </c>
      <c r="R1925">
        <f>IF($U1925="","",INDEX(상세표[18~22시],$U1925))</f>
        <v/>
      </c>
      <c r="S1925">
        <f>IF($U1925="","",INDEX(상세표[22~06시],$U1925))</f>
        <v/>
      </c>
      <c r="T1925">
        <f>IF($U1925="","",INDEX(상세표[기록 시간외],$U1925))</f>
        <v/>
      </c>
      <c r="U1925" s="4">
        <f>IFERROR(MATCH(1920,상세표[발송순번],0),"")</f>
        <v/>
      </c>
    </row>
    <row r="1926">
      <c r="J1926">
        <f>IF($U1926="","",INDEX(상세표[사번],$U1926)&amp;"")</f>
        <v/>
      </c>
      <c r="K1926">
        <f>IF($U1926="","",INDEX(상세표[성명],$U1926)&amp;"")</f>
        <v/>
      </c>
      <c r="L1926">
        <f>IF($U1926="","",INDEX(상세표[직위],$U1926)&amp;"")</f>
        <v/>
      </c>
      <c r="M1926">
        <f>IF($U1926="","",IF(ISNUMBER(INDEX(상세표[근무일자],$U1926)),TEXT(INDEX(상세표[근무일자],$U1926),"yyyy-mm-dd"),INDEX(상세표[근무일자],$U1926)&amp;""))</f>
        <v/>
      </c>
      <c r="N1926">
        <f>IF($U1926="","",IF(ISNUMBER(INDEX(상세표[시작],$U1926)),TEXT(INDEX(상세표[시작],$U1926),"yyyy-mm-dd hh:mm"),INDEX(상세표[시작],$U1926)&amp;""))</f>
        <v/>
      </c>
      <c r="O1926">
        <f>IF($U1926="","",IF(ISNUMBER(INDEX(상세표[종료],$U1926)),TEXT(INDEX(상세표[종료],$U1926),"yyyy-mm-dd hh:mm"),INDEX(상세표[종료],$U1926)&amp;""))</f>
        <v/>
      </c>
      <c r="P1926">
        <f>IF($U1926="","",INDEX(상세표[06~07시],$U1926))</f>
        <v/>
      </c>
      <c r="Q1926">
        <f>IF($U1926="","",INDEX(상세표[07~18시],$U1926))</f>
        <v/>
      </c>
      <c r="R1926">
        <f>IF($U1926="","",INDEX(상세표[18~22시],$U1926))</f>
        <v/>
      </c>
      <c r="S1926">
        <f>IF($U1926="","",INDEX(상세표[22~06시],$U1926))</f>
        <v/>
      </c>
      <c r="T1926">
        <f>IF($U1926="","",INDEX(상세표[기록 시간외],$U1926))</f>
        <v/>
      </c>
      <c r="U1926" s="4">
        <f>IFERROR(MATCH(1921,상세표[발송순번],0),"")</f>
        <v/>
      </c>
    </row>
    <row r="1927">
      <c r="J1927">
        <f>IF($U1927="","",INDEX(상세표[사번],$U1927)&amp;"")</f>
        <v/>
      </c>
      <c r="K1927">
        <f>IF($U1927="","",INDEX(상세표[성명],$U1927)&amp;"")</f>
        <v/>
      </c>
      <c r="L1927">
        <f>IF($U1927="","",INDEX(상세표[직위],$U1927)&amp;"")</f>
        <v/>
      </c>
      <c r="M1927">
        <f>IF($U1927="","",IF(ISNUMBER(INDEX(상세표[근무일자],$U1927)),TEXT(INDEX(상세표[근무일자],$U1927),"yyyy-mm-dd"),INDEX(상세표[근무일자],$U1927)&amp;""))</f>
        <v/>
      </c>
      <c r="N1927">
        <f>IF($U1927="","",IF(ISNUMBER(INDEX(상세표[시작],$U1927)),TEXT(INDEX(상세표[시작],$U1927),"yyyy-mm-dd hh:mm"),INDEX(상세표[시작],$U1927)&amp;""))</f>
        <v/>
      </c>
      <c r="O1927">
        <f>IF($U1927="","",IF(ISNUMBER(INDEX(상세표[종료],$U1927)),TEXT(INDEX(상세표[종료],$U1927),"yyyy-mm-dd hh:mm"),INDEX(상세표[종료],$U1927)&amp;""))</f>
        <v/>
      </c>
      <c r="P1927">
        <f>IF($U1927="","",INDEX(상세표[06~07시],$U1927))</f>
        <v/>
      </c>
      <c r="Q1927">
        <f>IF($U1927="","",INDEX(상세표[07~18시],$U1927))</f>
        <v/>
      </c>
      <c r="R1927">
        <f>IF($U1927="","",INDEX(상세표[18~22시],$U1927))</f>
        <v/>
      </c>
      <c r="S1927">
        <f>IF($U1927="","",INDEX(상세표[22~06시],$U1927))</f>
        <v/>
      </c>
      <c r="T1927">
        <f>IF($U1927="","",INDEX(상세표[기록 시간외],$U1927))</f>
        <v/>
      </c>
      <c r="U1927" s="4">
        <f>IFERROR(MATCH(1922,상세표[발송순번],0),"")</f>
        <v/>
      </c>
    </row>
    <row r="1928">
      <c r="J1928">
        <f>IF($U1928="","",INDEX(상세표[사번],$U1928)&amp;"")</f>
        <v/>
      </c>
      <c r="K1928">
        <f>IF($U1928="","",INDEX(상세표[성명],$U1928)&amp;"")</f>
        <v/>
      </c>
      <c r="L1928">
        <f>IF($U1928="","",INDEX(상세표[직위],$U1928)&amp;"")</f>
        <v/>
      </c>
      <c r="M1928">
        <f>IF($U1928="","",IF(ISNUMBER(INDEX(상세표[근무일자],$U1928)),TEXT(INDEX(상세표[근무일자],$U1928),"yyyy-mm-dd"),INDEX(상세표[근무일자],$U1928)&amp;""))</f>
        <v/>
      </c>
      <c r="N1928">
        <f>IF($U1928="","",IF(ISNUMBER(INDEX(상세표[시작],$U1928)),TEXT(INDEX(상세표[시작],$U1928),"yyyy-mm-dd hh:mm"),INDEX(상세표[시작],$U1928)&amp;""))</f>
        <v/>
      </c>
      <c r="O1928">
        <f>IF($U1928="","",IF(ISNUMBER(INDEX(상세표[종료],$U1928)),TEXT(INDEX(상세표[종료],$U1928),"yyyy-mm-dd hh:mm"),INDEX(상세표[종료],$U1928)&amp;""))</f>
        <v/>
      </c>
      <c r="P1928">
        <f>IF($U1928="","",INDEX(상세표[06~07시],$U1928))</f>
        <v/>
      </c>
      <c r="Q1928">
        <f>IF($U1928="","",INDEX(상세표[07~18시],$U1928))</f>
        <v/>
      </c>
      <c r="R1928">
        <f>IF($U1928="","",INDEX(상세표[18~22시],$U1928))</f>
        <v/>
      </c>
      <c r="S1928">
        <f>IF($U1928="","",INDEX(상세표[22~06시],$U1928))</f>
        <v/>
      </c>
      <c r="T1928">
        <f>IF($U1928="","",INDEX(상세표[기록 시간외],$U1928))</f>
        <v/>
      </c>
      <c r="U1928" s="4">
        <f>IFERROR(MATCH(1923,상세표[발송순번],0),"")</f>
        <v/>
      </c>
    </row>
    <row r="1929">
      <c r="J1929">
        <f>IF($U1929="","",INDEX(상세표[사번],$U1929)&amp;"")</f>
        <v/>
      </c>
      <c r="K1929">
        <f>IF($U1929="","",INDEX(상세표[성명],$U1929)&amp;"")</f>
        <v/>
      </c>
      <c r="L1929">
        <f>IF($U1929="","",INDEX(상세표[직위],$U1929)&amp;"")</f>
        <v/>
      </c>
      <c r="M1929">
        <f>IF($U1929="","",IF(ISNUMBER(INDEX(상세표[근무일자],$U1929)),TEXT(INDEX(상세표[근무일자],$U1929),"yyyy-mm-dd"),INDEX(상세표[근무일자],$U1929)&amp;""))</f>
        <v/>
      </c>
      <c r="N1929">
        <f>IF($U1929="","",IF(ISNUMBER(INDEX(상세표[시작],$U1929)),TEXT(INDEX(상세표[시작],$U1929),"yyyy-mm-dd hh:mm"),INDEX(상세표[시작],$U1929)&amp;""))</f>
        <v/>
      </c>
      <c r="O1929">
        <f>IF($U1929="","",IF(ISNUMBER(INDEX(상세표[종료],$U1929)),TEXT(INDEX(상세표[종료],$U1929),"yyyy-mm-dd hh:mm"),INDEX(상세표[종료],$U1929)&amp;""))</f>
        <v/>
      </c>
      <c r="P1929">
        <f>IF($U1929="","",INDEX(상세표[06~07시],$U1929))</f>
        <v/>
      </c>
      <c r="Q1929">
        <f>IF($U1929="","",INDEX(상세표[07~18시],$U1929))</f>
        <v/>
      </c>
      <c r="R1929">
        <f>IF($U1929="","",INDEX(상세표[18~22시],$U1929))</f>
        <v/>
      </c>
      <c r="S1929">
        <f>IF($U1929="","",INDEX(상세표[22~06시],$U1929))</f>
        <v/>
      </c>
      <c r="T1929">
        <f>IF($U1929="","",INDEX(상세표[기록 시간외],$U1929))</f>
        <v/>
      </c>
      <c r="U1929" s="4">
        <f>IFERROR(MATCH(1924,상세표[발송순번],0),"")</f>
        <v/>
      </c>
    </row>
    <row r="1930">
      <c r="J1930">
        <f>IF($U1930="","",INDEX(상세표[사번],$U1930)&amp;"")</f>
        <v/>
      </c>
      <c r="K1930">
        <f>IF($U1930="","",INDEX(상세표[성명],$U1930)&amp;"")</f>
        <v/>
      </c>
      <c r="L1930">
        <f>IF($U1930="","",INDEX(상세표[직위],$U1930)&amp;"")</f>
        <v/>
      </c>
      <c r="M1930">
        <f>IF($U1930="","",IF(ISNUMBER(INDEX(상세표[근무일자],$U1930)),TEXT(INDEX(상세표[근무일자],$U1930),"yyyy-mm-dd"),INDEX(상세표[근무일자],$U1930)&amp;""))</f>
        <v/>
      </c>
      <c r="N1930">
        <f>IF($U1930="","",IF(ISNUMBER(INDEX(상세표[시작],$U1930)),TEXT(INDEX(상세표[시작],$U1930),"yyyy-mm-dd hh:mm"),INDEX(상세표[시작],$U1930)&amp;""))</f>
        <v/>
      </c>
      <c r="O1930">
        <f>IF($U1930="","",IF(ISNUMBER(INDEX(상세표[종료],$U1930)),TEXT(INDEX(상세표[종료],$U1930),"yyyy-mm-dd hh:mm"),INDEX(상세표[종료],$U1930)&amp;""))</f>
        <v/>
      </c>
      <c r="P1930">
        <f>IF($U1930="","",INDEX(상세표[06~07시],$U1930))</f>
        <v/>
      </c>
      <c r="Q1930">
        <f>IF($U1930="","",INDEX(상세표[07~18시],$U1930))</f>
        <v/>
      </c>
      <c r="R1930">
        <f>IF($U1930="","",INDEX(상세표[18~22시],$U1930))</f>
        <v/>
      </c>
      <c r="S1930">
        <f>IF($U1930="","",INDEX(상세표[22~06시],$U1930))</f>
        <v/>
      </c>
      <c r="T1930">
        <f>IF($U1930="","",INDEX(상세표[기록 시간외],$U1930))</f>
        <v/>
      </c>
      <c r="U1930" s="4">
        <f>IFERROR(MATCH(1925,상세표[발송순번],0),"")</f>
        <v/>
      </c>
    </row>
    <row r="1931">
      <c r="J1931">
        <f>IF($U1931="","",INDEX(상세표[사번],$U1931)&amp;"")</f>
        <v/>
      </c>
      <c r="K1931">
        <f>IF($U1931="","",INDEX(상세표[성명],$U1931)&amp;"")</f>
        <v/>
      </c>
      <c r="L1931">
        <f>IF($U1931="","",INDEX(상세표[직위],$U1931)&amp;"")</f>
        <v/>
      </c>
      <c r="M1931">
        <f>IF($U1931="","",IF(ISNUMBER(INDEX(상세표[근무일자],$U1931)),TEXT(INDEX(상세표[근무일자],$U1931),"yyyy-mm-dd"),INDEX(상세표[근무일자],$U1931)&amp;""))</f>
        <v/>
      </c>
      <c r="N1931">
        <f>IF($U1931="","",IF(ISNUMBER(INDEX(상세표[시작],$U1931)),TEXT(INDEX(상세표[시작],$U1931),"yyyy-mm-dd hh:mm"),INDEX(상세표[시작],$U1931)&amp;""))</f>
        <v/>
      </c>
      <c r="O1931">
        <f>IF($U1931="","",IF(ISNUMBER(INDEX(상세표[종료],$U1931)),TEXT(INDEX(상세표[종료],$U1931),"yyyy-mm-dd hh:mm"),INDEX(상세표[종료],$U1931)&amp;""))</f>
        <v/>
      </c>
      <c r="P1931">
        <f>IF($U1931="","",INDEX(상세표[06~07시],$U1931))</f>
        <v/>
      </c>
      <c r="Q1931">
        <f>IF($U1931="","",INDEX(상세표[07~18시],$U1931))</f>
        <v/>
      </c>
      <c r="R1931">
        <f>IF($U1931="","",INDEX(상세표[18~22시],$U1931))</f>
        <v/>
      </c>
      <c r="S1931">
        <f>IF($U1931="","",INDEX(상세표[22~06시],$U1931))</f>
        <v/>
      </c>
      <c r="T1931">
        <f>IF($U1931="","",INDEX(상세표[기록 시간외],$U1931))</f>
        <v/>
      </c>
      <c r="U1931" s="4">
        <f>IFERROR(MATCH(1926,상세표[발송순번],0),"")</f>
        <v/>
      </c>
    </row>
    <row r="1932">
      <c r="J1932">
        <f>IF($U1932="","",INDEX(상세표[사번],$U1932)&amp;"")</f>
        <v/>
      </c>
      <c r="K1932">
        <f>IF($U1932="","",INDEX(상세표[성명],$U1932)&amp;"")</f>
        <v/>
      </c>
      <c r="L1932">
        <f>IF($U1932="","",INDEX(상세표[직위],$U1932)&amp;"")</f>
        <v/>
      </c>
      <c r="M1932">
        <f>IF($U1932="","",IF(ISNUMBER(INDEX(상세표[근무일자],$U1932)),TEXT(INDEX(상세표[근무일자],$U1932),"yyyy-mm-dd"),INDEX(상세표[근무일자],$U1932)&amp;""))</f>
        <v/>
      </c>
      <c r="N1932">
        <f>IF($U1932="","",IF(ISNUMBER(INDEX(상세표[시작],$U1932)),TEXT(INDEX(상세표[시작],$U1932),"yyyy-mm-dd hh:mm"),INDEX(상세표[시작],$U1932)&amp;""))</f>
        <v/>
      </c>
      <c r="O1932">
        <f>IF($U1932="","",IF(ISNUMBER(INDEX(상세표[종료],$U1932)),TEXT(INDEX(상세표[종료],$U1932),"yyyy-mm-dd hh:mm"),INDEX(상세표[종료],$U1932)&amp;""))</f>
        <v/>
      </c>
      <c r="P1932">
        <f>IF($U1932="","",INDEX(상세표[06~07시],$U1932))</f>
        <v/>
      </c>
      <c r="Q1932">
        <f>IF($U1932="","",INDEX(상세표[07~18시],$U1932))</f>
        <v/>
      </c>
      <c r="R1932">
        <f>IF($U1932="","",INDEX(상세표[18~22시],$U1932))</f>
        <v/>
      </c>
      <c r="S1932">
        <f>IF($U1932="","",INDEX(상세표[22~06시],$U1932))</f>
        <v/>
      </c>
      <c r="T1932">
        <f>IF($U1932="","",INDEX(상세표[기록 시간외],$U1932))</f>
        <v/>
      </c>
      <c r="U1932" s="4">
        <f>IFERROR(MATCH(1927,상세표[발송순번],0),"")</f>
        <v/>
      </c>
    </row>
    <row r="1933">
      <c r="J1933">
        <f>IF($U1933="","",INDEX(상세표[사번],$U1933)&amp;"")</f>
        <v/>
      </c>
      <c r="K1933">
        <f>IF($U1933="","",INDEX(상세표[성명],$U1933)&amp;"")</f>
        <v/>
      </c>
      <c r="L1933">
        <f>IF($U1933="","",INDEX(상세표[직위],$U1933)&amp;"")</f>
        <v/>
      </c>
      <c r="M1933">
        <f>IF($U1933="","",IF(ISNUMBER(INDEX(상세표[근무일자],$U1933)),TEXT(INDEX(상세표[근무일자],$U1933),"yyyy-mm-dd"),INDEX(상세표[근무일자],$U1933)&amp;""))</f>
        <v/>
      </c>
      <c r="N1933">
        <f>IF($U1933="","",IF(ISNUMBER(INDEX(상세표[시작],$U1933)),TEXT(INDEX(상세표[시작],$U1933),"yyyy-mm-dd hh:mm"),INDEX(상세표[시작],$U1933)&amp;""))</f>
        <v/>
      </c>
      <c r="O1933">
        <f>IF($U1933="","",IF(ISNUMBER(INDEX(상세표[종료],$U1933)),TEXT(INDEX(상세표[종료],$U1933),"yyyy-mm-dd hh:mm"),INDEX(상세표[종료],$U1933)&amp;""))</f>
        <v/>
      </c>
      <c r="P1933">
        <f>IF($U1933="","",INDEX(상세표[06~07시],$U1933))</f>
        <v/>
      </c>
      <c r="Q1933">
        <f>IF($U1933="","",INDEX(상세표[07~18시],$U1933))</f>
        <v/>
      </c>
      <c r="R1933">
        <f>IF($U1933="","",INDEX(상세표[18~22시],$U1933))</f>
        <v/>
      </c>
      <c r="S1933">
        <f>IF($U1933="","",INDEX(상세표[22~06시],$U1933))</f>
        <v/>
      </c>
      <c r="T1933">
        <f>IF($U1933="","",INDEX(상세표[기록 시간외],$U1933))</f>
        <v/>
      </c>
      <c r="U1933" s="4">
        <f>IFERROR(MATCH(1928,상세표[발송순번],0),"")</f>
        <v/>
      </c>
    </row>
    <row r="1934">
      <c r="J1934">
        <f>IF($U1934="","",INDEX(상세표[사번],$U1934)&amp;"")</f>
        <v/>
      </c>
      <c r="K1934">
        <f>IF($U1934="","",INDEX(상세표[성명],$U1934)&amp;"")</f>
        <v/>
      </c>
      <c r="L1934">
        <f>IF($U1934="","",INDEX(상세표[직위],$U1934)&amp;"")</f>
        <v/>
      </c>
      <c r="M1934">
        <f>IF($U1934="","",IF(ISNUMBER(INDEX(상세표[근무일자],$U1934)),TEXT(INDEX(상세표[근무일자],$U1934),"yyyy-mm-dd"),INDEX(상세표[근무일자],$U1934)&amp;""))</f>
        <v/>
      </c>
      <c r="N1934">
        <f>IF($U1934="","",IF(ISNUMBER(INDEX(상세표[시작],$U1934)),TEXT(INDEX(상세표[시작],$U1934),"yyyy-mm-dd hh:mm"),INDEX(상세표[시작],$U1934)&amp;""))</f>
        <v/>
      </c>
      <c r="O1934">
        <f>IF($U1934="","",IF(ISNUMBER(INDEX(상세표[종료],$U1934)),TEXT(INDEX(상세표[종료],$U1934),"yyyy-mm-dd hh:mm"),INDEX(상세표[종료],$U1934)&amp;""))</f>
        <v/>
      </c>
      <c r="P1934">
        <f>IF($U1934="","",INDEX(상세표[06~07시],$U1934))</f>
        <v/>
      </c>
      <c r="Q1934">
        <f>IF($U1934="","",INDEX(상세표[07~18시],$U1934))</f>
        <v/>
      </c>
      <c r="R1934">
        <f>IF($U1934="","",INDEX(상세표[18~22시],$U1934))</f>
        <v/>
      </c>
      <c r="S1934">
        <f>IF($U1934="","",INDEX(상세표[22~06시],$U1934))</f>
        <v/>
      </c>
      <c r="T1934">
        <f>IF($U1934="","",INDEX(상세표[기록 시간외],$U1934))</f>
        <v/>
      </c>
      <c r="U1934" s="4">
        <f>IFERROR(MATCH(1929,상세표[발송순번],0),"")</f>
        <v/>
      </c>
    </row>
    <row r="1935">
      <c r="J1935">
        <f>IF($U1935="","",INDEX(상세표[사번],$U1935)&amp;"")</f>
        <v/>
      </c>
      <c r="K1935">
        <f>IF($U1935="","",INDEX(상세표[성명],$U1935)&amp;"")</f>
        <v/>
      </c>
      <c r="L1935">
        <f>IF($U1935="","",INDEX(상세표[직위],$U1935)&amp;"")</f>
        <v/>
      </c>
      <c r="M1935">
        <f>IF($U1935="","",IF(ISNUMBER(INDEX(상세표[근무일자],$U1935)),TEXT(INDEX(상세표[근무일자],$U1935),"yyyy-mm-dd"),INDEX(상세표[근무일자],$U1935)&amp;""))</f>
        <v/>
      </c>
      <c r="N1935">
        <f>IF($U1935="","",IF(ISNUMBER(INDEX(상세표[시작],$U1935)),TEXT(INDEX(상세표[시작],$U1935),"yyyy-mm-dd hh:mm"),INDEX(상세표[시작],$U1935)&amp;""))</f>
        <v/>
      </c>
      <c r="O1935">
        <f>IF($U1935="","",IF(ISNUMBER(INDEX(상세표[종료],$U1935)),TEXT(INDEX(상세표[종료],$U1935),"yyyy-mm-dd hh:mm"),INDEX(상세표[종료],$U1935)&amp;""))</f>
        <v/>
      </c>
      <c r="P1935">
        <f>IF($U1935="","",INDEX(상세표[06~07시],$U1935))</f>
        <v/>
      </c>
      <c r="Q1935">
        <f>IF($U1935="","",INDEX(상세표[07~18시],$U1935))</f>
        <v/>
      </c>
      <c r="R1935">
        <f>IF($U1935="","",INDEX(상세표[18~22시],$U1935))</f>
        <v/>
      </c>
      <c r="S1935">
        <f>IF($U1935="","",INDEX(상세표[22~06시],$U1935))</f>
        <v/>
      </c>
      <c r="T1935">
        <f>IF($U1935="","",INDEX(상세표[기록 시간외],$U1935))</f>
        <v/>
      </c>
      <c r="U1935" s="4">
        <f>IFERROR(MATCH(1930,상세표[발송순번],0),"")</f>
        <v/>
      </c>
    </row>
    <row r="1936">
      <c r="J1936">
        <f>IF($U1936="","",INDEX(상세표[사번],$U1936)&amp;"")</f>
        <v/>
      </c>
      <c r="K1936">
        <f>IF($U1936="","",INDEX(상세표[성명],$U1936)&amp;"")</f>
        <v/>
      </c>
      <c r="L1936">
        <f>IF($U1936="","",INDEX(상세표[직위],$U1936)&amp;"")</f>
        <v/>
      </c>
      <c r="M1936">
        <f>IF($U1936="","",IF(ISNUMBER(INDEX(상세표[근무일자],$U1936)),TEXT(INDEX(상세표[근무일자],$U1936),"yyyy-mm-dd"),INDEX(상세표[근무일자],$U1936)&amp;""))</f>
        <v/>
      </c>
      <c r="N1936">
        <f>IF($U1936="","",IF(ISNUMBER(INDEX(상세표[시작],$U1936)),TEXT(INDEX(상세표[시작],$U1936),"yyyy-mm-dd hh:mm"),INDEX(상세표[시작],$U1936)&amp;""))</f>
        <v/>
      </c>
      <c r="O1936">
        <f>IF($U1936="","",IF(ISNUMBER(INDEX(상세표[종료],$U1936)),TEXT(INDEX(상세표[종료],$U1936),"yyyy-mm-dd hh:mm"),INDEX(상세표[종료],$U1936)&amp;""))</f>
        <v/>
      </c>
      <c r="P1936">
        <f>IF($U1936="","",INDEX(상세표[06~07시],$U1936))</f>
        <v/>
      </c>
      <c r="Q1936">
        <f>IF($U1936="","",INDEX(상세표[07~18시],$U1936))</f>
        <v/>
      </c>
      <c r="R1936">
        <f>IF($U1936="","",INDEX(상세표[18~22시],$U1936))</f>
        <v/>
      </c>
      <c r="S1936">
        <f>IF($U1936="","",INDEX(상세표[22~06시],$U1936))</f>
        <v/>
      </c>
      <c r="T1936">
        <f>IF($U1936="","",INDEX(상세표[기록 시간외],$U1936))</f>
        <v/>
      </c>
      <c r="U1936" s="4">
        <f>IFERROR(MATCH(1931,상세표[발송순번],0),"")</f>
        <v/>
      </c>
    </row>
    <row r="1937">
      <c r="J1937">
        <f>IF($U1937="","",INDEX(상세표[사번],$U1937)&amp;"")</f>
        <v/>
      </c>
      <c r="K1937">
        <f>IF($U1937="","",INDEX(상세표[성명],$U1937)&amp;"")</f>
        <v/>
      </c>
      <c r="L1937">
        <f>IF($U1937="","",INDEX(상세표[직위],$U1937)&amp;"")</f>
        <v/>
      </c>
      <c r="M1937">
        <f>IF($U1937="","",IF(ISNUMBER(INDEX(상세표[근무일자],$U1937)),TEXT(INDEX(상세표[근무일자],$U1937),"yyyy-mm-dd"),INDEX(상세표[근무일자],$U1937)&amp;""))</f>
        <v/>
      </c>
      <c r="N1937">
        <f>IF($U1937="","",IF(ISNUMBER(INDEX(상세표[시작],$U1937)),TEXT(INDEX(상세표[시작],$U1937),"yyyy-mm-dd hh:mm"),INDEX(상세표[시작],$U1937)&amp;""))</f>
        <v/>
      </c>
      <c r="O1937">
        <f>IF($U1937="","",IF(ISNUMBER(INDEX(상세표[종료],$U1937)),TEXT(INDEX(상세표[종료],$U1937),"yyyy-mm-dd hh:mm"),INDEX(상세표[종료],$U1937)&amp;""))</f>
        <v/>
      </c>
      <c r="P1937">
        <f>IF($U1937="","",INDEX(상세표[06~07시],$U1937))</f>
        <v/>
      </c>
      <c r="Q1937">
        <f>IF($U1937="","",INDEX(상세표[07~18시],$U1937))</f>
        <v/>
      </c>
      <c r="R1937">
        <f>IF($U1937="","",INDEX(상세표[18~22시],$U1937))</f>
        <v/>
      </c>
      <c r="S1937">
        <f>IF($U1937="","",INDEX(상세표[22~06시],$U1937))</f>
        <v/>
      </c>
      <c r="T1937">
        <f>IF($U1937="","",INDEX(상세표[기록 시간외],$U1937))</f>
        <v/>
      </c>
      <c r="U1937" s="4">
        <f>IFERROR(MATCH(1932,상세표[발송순번],0),"")</f>
        <v/>
      </c>
    </row>
    <row r="1938">
      <c r="J1938">
        <f>IF($U1938="","",INDEX(상세표[사번],$U1938)&amp;"")</f>
        <v/>
      </c>
      <c r="K1938">
        <f>IF($U1938="","",INDEX(상세표[성명],$U1938)&amp;"")</f>
        <v/>
      </c>
      <c r="L1938">
        <f>IF($U1938="","",INDEX(상세표[직위],$U1938)&amp;"")</f>
        <v/>
      </c>
      <c r="M1938">
        <f>IF($U1938="","",IF(ISNUMBER(INDEX(상세표[근무일자],$U1938)),TEXT(INDEX(상세표[근무일자],$U1938),"yyyy-mm-dd"),INDEX(상세표[근무일자],$U1938)&amp;""))</f>
        <v/>
      </c>
      <c r="N1938">
        <f>IF($U1938="","",IF(ISNUMBER(INDEX(상세표[시작],$U1938)),TEXT(INDEX(상세표[시작],$U1938),"yyyy-mm-dd hh:mm"),INDEX(상세표[시작],$U1938)&amp;""))</f>
        <v/>
      </c>
      <c r="O1938">
        <f>IF($U1938="","",IF(ISNUMBER(INDEX(상세표[종료],$U1938)),TEXT(INDEX(상세표[종료],$U1938),"yyyy-mm-dd hh:mm"),INDEX(상세표[종료],$U1938)&amp;""))</f>
        <v/>
      </c>
      <c r="P1938">
        <f>IF($U1938="","",INDEX(상세표[06~07시],$U1938))</f>
        <v/>
      </c>
      <c r="Q1938">
        <f>IF($U1938="","",INDEX(상세표[07~18시],$U1938))</f>
        <v/>
      </c>
      <c r="R1938">
        <f>IF($U1938="","",INDEX(상세표[18~22시],$U1938))</f>
        <v/>
      </c>
      <c r="S1938">
        <f>IF($U1938="","",INDEX(상세표[22~06시],$U1938))</f>
        <v/>
      </c>
      <c r="T1938">
        <f>IF($U1938="","",INDEX(상세표[기록 시간외],$U1938))</f>
        <v/>
      </c>
      <c r="U1938" s="4">
        <f>IFERROR(MATCH(1933,상세표[발송순번],0),"")</f>
        <v/>
      </c>
    </row>
    <row r="1939">
      <c r="J1939">
        <f>IF($U1939="","",INDEX(상세표[사번],$U1939)&amp;"")</f>
        <v/>
      </c>
      <c r="K1939">
        <f>IF($U1939="","",INDEX(상세표[성명],$U1939)&amp;"")</f>
        <v/>
      </c>
      <c r="L1939">
        <f>IF($U1939="","",INDEX(상세표[직위],$U1939)&amp;"")</f>
        <v/>
      </c>
      <c r="M1939">
        <f>IF($U1939="","",IF(ISNUMBER(INDEX(상세표[근무일자],$U1939)),TEXT(INDEX(상세표[근무일자],$U1939),"yyyy-mm-dd"),INDEX(상세표[근무일자],$U1939)&amp;""))</f>
        <v/>
      </c>
      <c r="N1939">
        <f>IF($U1939="","",IF(ISNUMBER(INDEX(상세표[시작],$U1939)),TEXT(INDEX(상세표[시작],$U1939),"yyyy-mm-dd hh:mm"),INDEX(상세표[시작],$U1939)&amp;""))</f>
        <v/>
      </c>
      <c r="O1939">
        <f>IF($U1939="","",IF(ISNUMBER(INDEX(상세표[종료],$U1939)),TEXT(INDEX(상세표[종료],$U1939),"yyyy-mm-dd hh:mm"),INDEX(상세표[종료],$U1939)&amp;""))</f>
        <v/>
      </c>
      <c r="P1939">
        <f>IF($U1939="","",INDEX(상세표[06~07시],$U1939))</f>
        <v/>
      </c>
      <c r="Q1939">
        <f>IF($U1939="","",INDEX(상세표[07~18시],$U1939))</f>
        <v/>
      </c>
      <c r="R1939">
        <f>IF($U1939="","",INDEX(상세표[18~22시],$U1939))</f>
        <v/>
      </c>
      <c r="S1939">
        <f>IF($U1939="","",INDEX(상세표[22~06시],$U1939))</f>
        <v/>
      </c>
      <c r="T1939">
        <f>IF($U1939="","",INDEX(상세표[기록 시간외],$U1939))</f>
        <v/>
      </c>
      <c r="U1939" s="4">
        <f>IFERROR(MATCH(1934,상세표[발송순번],0),"")</f>
        <v/>
      </c>
    </row>
    <row r="1940">
      <c r="J1940">
        <f>IF($U1940="","",INDEX(상세표[사번],$U1940)&amp;"")</f>
        <v/>
      </c>
      <c r="K1940">
        <f>IF($U1940="","",INDEX(상세표[성명],$U1940)&amp;"")</f>
        <v/>
      </c>
      <c r="L1940">
        <f>IF($U1940="","",INDEX(상세표[직위],$U1940)&amp;"")</f>
        <v/>
      </c>
      <c r="M1940">
        <f>IF($U1940="","",IF(ISNUMBER(INDEX(상세표[근무일자],$U1940)),TEXT(INDEX(상세표[근무일자],$U1940),"yyyy-mm-dd"),INDEX(상세표[근무일자],$U1940)&amp;""))</f>
        <v/>
      </c>
      <c r="N1940">
        <f>IF($U1940="","",IF(ISNUMBER(INDEX(상세표[시작],$U1940)),TEXT(INDEX(상세표[시작],$U1940),"yyyy-mm-dd hh:mm"),INDEX(상세표[시작],$U1940)&amp;""))</f>
        <v/>
      </c>
      <c r="O1940">
        <f>IF($U1940="","",IF(ISNUMBER(INDEX(상세표[종료],$U1940)),TEXT(INDEX(상세표[종료],$U1940),"yyyy-mm-dd hh:mm"),INDEX(상세표[종료],$U1940)&amp;""))</f>
        <v/>
      </c>
      <c r="P1940">
        <f>IF($U1940="","",INDEX(상세표[06~07시],$U1940))</f>
        <v/>
      </c>
      <c r="Q1940">
        <f>IF($U1940="","",INDEX(상세표[07~18시],$U1940))</f>
        <v/>
      </c>
      <c r="R1940">
        <f>IF($U1940="","",INDEX(상세표[18~22시],$U1940))</f>
        <v/>
      </c>
      <c r="S1940">
        <f>IF($U1940="","",INDEX(상세표[22~06시],$U1940))</f>
        <v/>
      </c>
      <c r="T1940">
        <f>IF($U1940="","",INDEX(상세표[기록 시간외],$U1940))</f>
        <v/>
      </c>
      <c r="U1940" s="4">
        <f>IFERROR(MATCH(1935,상세표[발송순번],0),"")</f>
        <v/>
      </c>
    </row>
    <row r="1941">
      <c r="J1941">
        <f>IF($U1941="","",INDEX(상세표[사번],$U1941)&amp;"")</f>
        <v/>
      </c>
      <c r="K1941">
        <f>IF($U1941="","",INDEX(상세표[성명],$U1941)&amp;"")</f>
        <v/>
      </c>
      <c r="L1941">
        <f>IF($U1941="","",INDEX(상세표[직위],$U1941)&amp;"")</f>
        <v/>
      </c>
      <c r="M1941">
        <f>IF($U1941="","",IF(ISNUMBER(INDEX(상세표[근무일자],$U1941)),TEXT(INDEX(상세표[근무일자],$U1941),"yyyy-mm-dd"),INDEX(상세표[근무일자],$U1941)&amp;""))</f>
        <v/>
      </c>
      <c r="N1941">
        <f>IF($U1941="","",IF(ISNUMBER(INDEX(상세표[시작],$U1941)),TEXT(INDEX(상세표[시작],$U1941),"yyyy-mm-dd hh:mm"),INDEX(상세표[시작],$U1941)&amp;""))</f>
        <v/>
      </c>
      <c r="O1941">
        <f>IF($U1941="","",IF(ISNUMBER(INDEX(상세표[종료],$U1941)),TEXT(INDEX(상세표[종료],$U1941),"yyyy-mm-dd hh:mm"),INDEX(상세표[종료],$U1941)&amp;""))</f>
        <v/>
      </c>
      <c r="P1941">
        <f>IF($U1941="","",INDEX(상세표[06~07시],$U1941))</f>
        <v/>
      </c>
      <c r="Q1941">
        <f>IF($U1941="","",INDEX(상세표[07~18시],$U1941))</f>
        <v/>
      </c>
      <c r="R1941">
        <f>IF($U1941="","",INDEX(상세표[18~22시],$U1941))</f>
        <v/>
      </c>
      <c r="S1941">
        <f>IF($U1941="","",INDEX(상세표[22~06시],$U1941))</f>
        <v/>
      </c>
      <c r="T1941">
        <f>IF($U1941="","",INDEX(상세표[기록 시간외],$U1941))</f>
        <v/>
      </c>
      <c r="U1941" s="4">
        <f>IFERROR(MATCH(1936,상세표[발송순번],0),"")</f>
        <v/>
      </c>
    </row>
    <row r="1942">
      <c r="J1942">
        <f>IF($U1942="","",INDEX(상세표[사번],$U1942)&amp;"")</f>
        <v/>
      </c>
      <c r="K1942">
        <f>IF($U1942="","",INDEX(상세표[성명],$U1942)&amp;"")</f>
        <v/>
      </c>
      <c r="L1942">
        <f>IF($U1942="","",INDEX(상세표[직위],$U1942)&amp;"")</f>
        <v/>
      </c>
      <c r="M1942">
        <f>IF($U1942="","",IF(ISNUMBER(INDEX(상세표[근무일자],$U1942)),TEXT(INDEX(상세표[근무일자],$U1942),"yyyy-mm-dd"),INDEX(상세표[근무일자],$U1942)&amp;""))</f>
        <v/>
      </c>
      <c r="N1942">
        <f>IF($U1942="","",IF(ISNUMBER(INDEX(상세표[시작],$U1942)),TEXT(INDEX(상세표[시작],$U1942),"yyyy-mm-dd hh:mm"),INDEX(상세표[시작],$U1942)&amp;""))</f>
        <v/>
      </c>
      <c r="O1942">
        <f>IF($U1942="","",IF(ISNUMBER(INDEX(상세표[종료],$U1942)),TEXT(INDEX(상세표[종료],$U1942),"yyyy-mm-dd hh:mm"),INDEX(상세표[종료],$U1942)&amp;""))</f>
        <v/>
      </c>
      <c r="P1942">
        <f>IF($U1942="","",INDEX(상세표[06~07시],$U1942))</f>
        <v/>
      </c>
      <c r="Q1942">
        <f>IF($U1942="","",INDEX(상세표[07~18시],$U1942))</f>
        <v/>
      </c>
      <c r="R1942">
        <f>IF($U1942="","",INDEX(상세표[18~22시],$U1942))</f>
        <v/>
      </c>
      <c r="S1942">
        <f>IF($U1942="","",INDEX(상세표[22~06시],$U1942))</f>
        <v/>
      </c>
      <c r="T1942">
        <f>IF($U1942="","",INDEX(상세표[기록 시간외],$U1942))</f>
        <v/>
      </c>
      <c r="U1942" s="4">
        <f>IFERROR(MATCH(1937,상세표[발송순번],0),"")</f>
        <v/>
      </c>
    </row>
    <row r="1943">
      <c r="J1943">
        <f>IF($U1943="","",INDEX(상세표[사번],$U1943)&amp;"")</f>
        <v/>
      </c>
      <c r="K1943">
        <f>IF($U1943="","",INDEX(상세표[성명],$U1943)&amp;"")</f>
        <v/>
      </c>
      <c r="L1943">
        <f>IF($U1943="","",INDEX(상세표[직위],$U1943)&amp;"")</f>
        <v/>
      </c>
      <c r="M1943">
        <f>IF($U1943="","",IF(ISNUMBER(INDEX(상세표[근무일자],$U1943)),TEXT(INDEX(상세표[근무일자],$U1943),"yyyy-mm-dd"),INDEX(상세표[근무일자],$U1943)&amp;""))</f>
        <v/>
      </c>
      <c r="N1943">
        <f>IF($U1943="","",IF(ISNUMBER(INDEX(상세표[시작],$U1943)),TEXT(INDEX(상세표[시작],$U1943),"yyyy-mm-dd hh:mm"),INDEX(상세표[시작],$U1943)&amp;""))</f>
        <v/>
      </c>
      <c r="O1943">
        <f>IF($U1943="","",IF(ISNUMBER(INDEX(상세표[종료],$U1943)),TEXT(INDEX(상세표[종료],$U1943),"yyyy-mm-dd hh:mm"),INDEX(상세표[종료],$U1943)&amp;""))</f>
        <v/>
      </c>
      <c r="P1943">
        <f>IF($U1943="","",INDEX(상세표[06~07시],$U1943))</f>
        <v/>
      </c>
      <c r="Q1943">
        <f>IF($U1943="","",INDEX(상세표[07~18시],$U1943))</f>
        <v/>
      </c>
      <c r="R1943">
        <f>IF($U1943="","",INDEX(상세표[18~22시],$U1943))</f>
        <v/>
      </c>
      <c r="S1943">
        <f>IF($U1943="","",INDEX(상세표[22~06시],$U1943))</f>
        <v/>
      </c>
      <c r="T1943">
        <f>IF($U1943="","",INDEX(상세표[기록 시간외],$U1943))</f>
        <v/>
      </c>
      <c r="U1943" s="4">
        <f>IFERROR(MATCH(1938,상세표[발송순번],0),"")</f>
        <v/>
      </c>
    </row>
    <row r="1944">
      <c r="J1944">
        <f>IF($U1944="","",INDEX(상세표[사번],$U1944)&amp;"")</f>
        <v/>
      </c>
      <c r="K1944">
        <f>IF($U1944="","",INDEX(상세표[성명],$U1944)&amp;"")</f>
        <v/>
      </c>
      <c r="L1944">
        <f>IF($U1944="","",INDEX(상세표[직위],$U1944)&amp;"")</f>
        <v/>
      </c>
      <c r="M1944">
        <f>IF($U1944="","",IF(ISNUMBER(INDEX(상세표[근무일자],$U1944)),TEXT(INDEX(상세표[근무일자],$U1944),"yyyy-mm-dd"),INDEX(상세표[근무일자],$U1944)&amp;""))</f>
        <v/>
      </c>
      <c r="N1944">
        <f>IF($U1944="","",IF(ISNUMBER(INDEX(상세표[시작],$U1944)),TEXT(INDEX(상세표[시작],$U1944),"yyyy-mm-dd hh:mm"),INDEX(상세표[시작],$U1944)&amp;""))</f>
        <v/>
      </c>
      <c r="O1944">
        <f>IF($U1944="","",IF(ISNUMBER(INDEX(상세표[종료],$U1944)),TEXT(INDEX(상세표[종료],$U1944),"yyyy-mm-dd hh:mm"),INDEX(상세표[종료],$U1944)&amp;""))</f>
        <v/>
      </c>
      <c r="P1944">
        <f>IF($U1944="","",INDEX(상세표[06~07시],$U1944))</f>
        <v/>
      </c>
      <c r="Q1944">
        <f>IF($U1944="","",INDEX(상세표[07~18시],$U1944))</f>
        <v/>
      </c>
      <c r="R1944">
        <f>IF($U1944="","",INDEX(상세표[18~22시],$U1944))</f>
        <v/>
      </c>
      <c r="S1944">
        <f>IF($U1944="","",INDEX(상세표[22~06시],$U1944))</f>
        <v/>
      </c>
      <c r="T1944">
        <f>IF($U1944="","",INDEX(상세표[기록 시간외],$U1944))</f>
        <v/>
      </c>
      <c r="U1944" s="4">
        <f>IFERROR(MATCH(1939,상세표[발송순번],0),"")</f>
        <v/>
      </c>
    </row>
    <row r="1945">
      <c r="J1945">
        <f>IF($U1945="","",INDEX(상세표[사번],$U1945)&amp;"")</f>
        <v/>
      </c>
      <c r="K1945">
        <f>IF($U1945="","",INDEX(상세표[성명],$U1945)&amp;"")</f>
        <v/>
      </c>
      <c r="L1945">
        <f>IF($U1945="","",INDEX(상세표[직위],$U1945)&amp;"")</f>
        <v/>
      </c>
      <c r="M1945">
        <f>IF($U1945="","",IF(ISNUMBER(INDEX(상세표[근무일자],$U1945)),TEXT(INDEX(상세표[근무일자],$U1945),"yyyy-mm-dd"),INDEX(상세표[근무일자],$U1945)&amp;""))</f>
        <v/>
      </c>
      <c r="N1945">
        <f>IF($U1945="","",IF(ISNUMBER(INDEX(상세표[시작],$U1945)),TEXT(INDEX(상세표[시작],$U1945),"yyyy-mm-dd hh:mm"),INDEX(상세표[시작],$U1945)&amp;""))</f>
        <v/>
      </c>
      <c r="O1945">
        <f>IF($U1945="","",IF(ISNUMBER(INDEX(상세표[종료],$U1945)),TEXT(INDEX(상세표[종료],$U1945),"yyyy-mm-dd hh:mm"),INDEX(상세표[종료],$U1945)&amp;""))</f>
        <v/>
      </c>
      <c r="P1945">
        <f>IF($U1945="","",INDEX(상세표[06~07시],$U1945))</f>
        <v/>
      </c>
      <c r="Q1945">
        <f>IF($U1945="","",INDEX(상세표[07~18시],$U1945))</f>
        <v/>
      </c>
      <c r="R1945">
        <f>IF($U1945="","",INDEX(상세표[18~22시],$U1945))</f>
        <v/>
      </c>
      <c r="S1945">
        <f>IF($U1945="","",INDEX(상세표[22~06시],$U1945))</f>
        <v/>
      </c>
      <c r="T1945">
        <f>IF($U1945="","",INDEX(상세표[기록 시간외],$U1945))</f>
        <v/>
      </c>
      <c r="U1945" s="4">
        <f>IFERROR(MATCH(1940,상세표[발송순번],0),"")</f>
        <v/>
      </c>
    </row>
    <row r="1946">
      <c r="J1946">
        <f>IF($U1946="","",INDEX(상세표[사번],$U1946)&amp;"")</f>
        <v/>
      </c>
      <c r="K1946">
        <f>IF($U1946="","",INDEX(상세표[성명],$U1946)&amp;"")</f>
        <v/>
      </c>
      <c r="L1946">
        <f>IF($U1946="","",INDEX(상세표[직위],$U1946)&amp;"")</f>
        <v/>
      </c>
      <c r="M1946">
        <f>IF($U1946="","",IF(ISNUMBER(INDEX(상세표[근무일자],$U1946)),TEXT(INDEX(상세표[근무일자],$U1946),"yyyy-mm-dd"),INDEX(상세표[근무일자],$U1946)&amp;""))</f>
        <v/>
      </c>
      <c r="N1946">
        <f>IF($U1946="","",IF(ISNUMBER(INDEX(상세표[시작],$U1946)),TEXT(INDEX(상세표[시작],$U1946),"yyyy-mm-dd hh:mm"),INDEX(상세표[시작],$U1946)&amp;""))</f>
        <v/>
      </c>
      <c r="O1946">
        <f>IF($U1946="","",IF(ISNUMBER(INDEX(상세표[종료],$U1946)),TEXT(INDEX(상세표[종료],$U1946),"yyyy-mm-dd hh:mm"),INDEX(상세표[종료],$U1946)&amp;""))</f>
        <v/>
      </c>
      <c r="P1946">
        <f>IF($U1946="","",INDEX(상세표[06~07시],$U1946))</f>
        <v/>
      </c>
      <c r="Q1946">
        <f>IF($U1946="","",INDEX(상세표[07~18시],$U1946))</f>
        <v/>
      </c>
      <c r="R1946">
        <f>IF($U1946="","",INDEX(상세표[18~22시],$U1946))</f>
        <v/>
      </c>
      <c r="S1946">
        <f>IF($U1946="","",INDEX(상세표[22~06시],$U1946))</f>
        <v/>
      </c>
      <c r="T1946">
        <f>IF($U1946="","",INDEX(상세표[기록 시간외],$U1946))</f>
        <v/>
      </c>
      <c r="U1946" s="4">
        <f>IFERROR(MATCH(1941,상세표[발송순번],0),"")</f>
        <v/>
      </c>
    </row>
    <row r="1947">
      <c r="J1947">
        <f>IF($U1947="","",INDEX(상세표[사번],$U1947)&amp;"")</f>
        <v/>
      </c>
      <c r="K1947">
        <f>IF($U1947="","",INDEX(상세표[성명],$U1947)&amp;"")</f>
        <v/>
      </c>
      <c r="L1947">
        <f>IF($U1947="","",INDEX(상세표[직위],$U1947)&amp;"")</f>
        <v/>
      </c>
      <c r="M1947">
        <f>IF($U1947="","",IF(ISNUMBER(INDEX(상세표[근무일자],$U1947)),TEXT(INDEX(상세표[근무일자],$U1947),"yyyy-mm-dd"),INDEX(상세표[근무일자],$U1947)&amp;""))</f>
        <v/>
      </c>
      <c r="N1947">
        <f>IF($U1947="","",IF(ISNUMBER(INDEX(상세표[시작],$U1947)),TEXT(INDEX(상세표[시작],$U1947),"yyyy-mm-dd hh:mm"),INDEX(상세표[시작],$U1947)&amp;""))</f>
        <v/>
      </c>
      <c r="O1947">
        <f>IF($U1947="","",IF(ISNUMBER(INDEX(상세표[종료],$U1947)),TEXT(INDEX(상세표[종료],$U1947),"yyyy-mm-dd hh:mm"),INDEX(상세표[종료],$U1947)&amp;""))</f>
        <v/>
      </c>
      <c r="P1947">
        <f>IF($U1947="","",INDEX(상세표[06~07시],$U1947))</f>
        <v/>
      </c>
      <c r="Q1947">
        <f>IF($U1947="","",INDEX(상세표[07~18시],$U1947))</f>
        <v/>
      </c>
      <c r="R1947">
        <f>IF($U1947="","",INDEX(상세표[18~22시],$U1947))</f>
        <v/>
      </c>
      <c r="S1947">
        <f>IF($U1947="","",INDEX(상세표[22~06시],$U1947))</f>
        <v/>
      </c>
      <c r="T1947">
        <f>IF($U1947="","",INDEX(상세표[기록 시간외],$U1947))</f>
        <v/>
      </c>
      <c r="U1947" s="4">
        <f>IFERROR(MATCH(1942,상세표[발송순번],0),"")</f>
        <v/>
      </c>
    </row>
    <row r="1948">
      <c r="J1948">
        <f>IF($U1948="","",INDEX(상세표[사번],$U1948)&amp;"")</f>
        <v/>
      </c>
      <c r="K1948">
        <f>IF($U1948="","",INDEX(상세표[성명],$U1948)&amp;"")</f>
        <v/>
      </c>
      <c r="L1948">
        <f>IF($U1948="","",INDEX(상세표[직위],$U1948)&amp;"")</f>
        <v/>
      </c>
      <c r="M1948">
        <f>IF($U1948="","",IF(ISNUMBER(INDEX(상세표[근무일자],$U1948)),TEXT(INDEX(상세표[근무일자],$U1948),"yyyy-mm-dd"),INDEX(상세표[근무일자],$U1948)&amp;""))</f>
        <v/>
      </c>
      <c r="N1948">
        <f>IF($U1948="","",IF(ISNUMBER(INDEX(상세표[시작],$U1948)),TEXT(INDEX(상세표[시작],$U1948),"yyyy-mm-dd hh:mm"),INDEX(상세표[시작],$U1948)&amp;""))</f>
        <v/>
      </c>
      <c r="O1948">
        <f>IF($U1948="","",IF(ISNUMBER(INDEX(상세표[종료],$U1948)),TEXT(INDEX(상세표[종료],$U1948),"yyyy-mm-dd hh:mm"),INDEX(상세표[종료],$U1948)&amp;""))</f>
        <v/>
      </c>
      <c r="P1948">
        <f>IF($U1948="","",INDEX(상세표[06~07시],$U1948))</f>
        <v/>
      </c>
      <c r="Q1948">
        <f>IF($U1948="","",INDEX(상세표[07~18시],$U1948))</f>
        <v/>
      </c>
      <c r="R1948">
        <f>IF($U1948="","",INDEX(상세표[18~22시],$U1948))</f>
        <v/>
      </c>
      <c r="S1948">
        <f>IF($U1948="","",INDEX(상세표[22~06시],$U1948))</f>
        <v/>
      </c>
      <c r="T1948">
        <f>IF($U1948="","",INDEX(상세표[기록 시간외],$U1948))</f>
        <v/>
      </c>
      <c r="U1948" s="4">
        <f>IFERROR(MATCH(1943,상세표[발송순번],0),"")</f>
        <v/>
      </c>
    </row>
    <row r="1949">
      <c r="J1949">
        <f>IF($U1949="","",INDEX(상세표[사번],$U1949)&amp;"")</f>
        <v/>
      </c>
      <c r="K1949">
        <f>IF($U1949="","",INDEX(상세표[성명],$U1949)&amp;"")</f>
        <v/>
      </c>
      <c r="L1949">
        <f>IF($U1949="","",INDEX(상세표[직위],$U1949)&amp;"")</f>
        <v/>
      </c>
      <c r="M1949">
        <f>IF($U1949="","",IF(ISNUMBER(INDEX(상세표[근무일자],$U1949)),TEXT(INDEX(상세표[근무일자],$U1949),"yyyy-mm-dd"),INDEX(상세표[근무일자],$U1949)&amp;""))</f>
        <v/>
      </c>
      <c r="N1949">
        <f>IF($U1949="","",IF(ISNUMBER(INDEX(상세표[시작],$U1949)),TEXT(INDEX(상세표[시작],$U1949),"yyyy-mm-dd hh:mm"),INDEX(상세표[시작],$U1949)&amp;""))</f>
        <v/>
      </c>
      <c r="O1949">
        <f>IF($U1949="","",IF(ISNUMBER(INDEX(상세표[종료],$U1949)),TEXT(INDEX(상세표[종료],$U1949),"yyyy-mm-dd hh:mm"),INDEX(상세표[종료],$U1949)&amp;""))</f>
        <v/>
      </c>
      <c r="P1949">
        <f>IF($U1949="","",INDEX(상세표[06~07시],$U1949))</f>
        <v/>
      </c>
      <c r="Q1949">
        <f>IF($U1949="","",INDEX(상세표[07~18시],$U1949))</f>
        <v/>
      </c>
      <c r="R1949">
        <f>IF($U1949="","",INDEX(상세표[18~22시],$U1949))</f>
        <v/>
      </c>
      <c r="S1949">
        <f>IF($U1949="","",INDEX(상세표[22~06시],$U1949))</f>
        <v/>
      </c>
      <c r="T1949">
        <f>IF($U1949="","",INDEX(상세표[기록 시간외],$U1949))</f>
        <v/>
      </c>
      <c r="U1949" s="4">
        <f>IFERROR(MATCH(1944,상세표[발송순번],0),"")</f>
        <v/>
      </c>
    </row>
    <row r="1950">
      <c r="J1950">
        <f>IF($U1950="","",INDEX(상세표[사번],$U1950)&amp;"")</f>
        <v/>
      </c>
      <c r="K1950">
        <f>IF($U1950="","",INDEX(상세표[성명],$U1950)&amp;"")</f>
        <v/>
      </c>
      <c r="L1950">
        <f>IF($U1950="","",INDEX(상세표[직위],$U1950)&amp;"")</f>
        <v/>
      </c>
      <c r="M1950">
        <f>IF($U1950="","",IF(ISNUMBER(INDEX(상세표[근무일자],$U1950)),TEXT(INDEX(상세표[근무일자],$U1950),"yyyy-mm-dd"),INDEX(상세표[근무일자],$U1950)&amp;""))</f>
        <v/>
      </c>
      <c r="N1950">
        <f>IF($U1950="","",IF(ISNUMBER(INDEX(상세표[시작],$U1950)),TEXT(INDEX(상세표[시작],$U1950),"yyyy-mm-dd hh:mm"),INDEX(상세표[시작],$U1950)&amp;""))</f>
        <v/>
      </c>
      <c r="O1950">
        <f>IF($U1950="","",IF(ISNUMBER(INDEX(상세표[종료],$U1950)),TEXT(INDEX(상세표[종료],$U1950),"yyyy-mm-dd hh:mm"),INDEX(상세표[종료],$U1950)&amp;""))</f>
        <v/>
      </c>
      <c r="P1950">
        <f>IF($U1950="","",INDEX(상세표[06~07시],$U1950))</f>
        <v/>
      </c>
      <c r="Q1950">
        <f>IF($U1950="","",INDEX(상세표[07~18시],$U1950))</f>
        <v/>
      </c>
      <c r="R1950">
        <f>IF($U1950="","",INDEX(상세표[18~22시],$U1950))</f>
        <v/>
      </c>
      <c r="S1950">
        <f>IF($U1950="","",INDEX(상세표[22~06시],$U1950))</f>
        <v/>
      </c>
      <c r="T1950">
        <f>IF($U1950="","",INDEX(상세표[기록 시간외],$U1950))</f>
        <v/>
      </c>
      <c r="U1950" s="4">
        <f>IFERROR(MATCH(1945,상세표[발송순번],0),"")</f>
        <v/>
      </c>
    </row>
    <row r="1951">
      <c r="J1951">
        <f>IF($U1951="","",INDEX(상세표[사번],$U1951)&amp;"")</f>
        <v/>
      </c>
      <c r="K1951">
        <f>IF($U1951="","",INDEX(상세표[성명],$U1951)&amp;"")</f>
        <v/>
      </c>
      <c r="L1951">
        <f>IF($U1951="","",INDEX(상세표[직위],$U1951)&amp;"")</f>
        <v/>
      </c>
      <c r="M1951">
        <f>IF($U1951="","",IF(ISNUMBER(INDEX(상세표[근무일자],$U1951)),TEXT(INDEX(상세표[근무일자],$U1951),"yyyy-mm-dd"),INDEX(상세표[근무일자],$U1951)&amp;""))</f>
        <v/>
      </c>
      <c r="N1951">
        <f>IF($U1951="","",IF(ISNUMBER(INDEX(상세표[시작],$U1951)),TEXT(INDEX(상세표[시작],$U1951),"yyyy-mm-dd hh:mm"),INDEX(상세표[시작],$U1951)&amp;""))</f>
        <v/>
      </c>
      <c r="O1951">
        <f>IF($U1951="","",IF(ISNUMBER(INDEX(상세표[종료],$U1951)),TEXT(INDEX(상세표[종료],$U1951),"yyyy-mm-dd hh:mm"),INDEX(상세표[종료],$U1951)&amp;""))</f>
        <v/>
      </c>
      <c r="P1951">
        <f>IF($U1951="","",INDEX(상세표[06~07시],$U1951))</f>
        <v/>
      </c>
      <c r="Q1951">
        <f>IF($U1951="","",INDEX(상세표[07~18시],$U1951))</f>
        <v/>
      </c>
      <c r="R1951">
        <f>IF($U1951="","",INDEX(상세표[18~22시],$U1951))</f>
        <v/>
      </c>
      <c r="S1951">
        <f>IF($U1951="","",INDEX(상세표[22~06시],$U1951))</f>
        <v/>
      </c>
      <c r="T1951">
        <f>IF($U1951="","",INDEX(상세표[기록 시간외],$U1951))</f>
        <v/>
      </c>
      <c r="U1951" s="4">
        <f>IFERROR(MATCH(1946,상세표[발송순번],0),"")</f>
        <v/>
      </c>
    </row>
    <row r="1952">
      <c r="J1952">
        <f>IF($U1952="","",INDEX(상세표[사번],$U1952)&amp;"")</f>
        <v/>
      </c>
      <c r="K1952">
        <f>IF($U1952="","",INDEX(상세표[성명],$U1952)&amp;"")</f>
        <v/>
      </c>
      <c r="L1952">
        <f>IF($U1952="","",INDEX(상세표[직위],$U1952)&amp;"")</f>
        <v/>
      </c>
      <c r="M1952">
        <f>IF($U1952="","",IF(ISNUMBER(INDEX(상세표[근무일자],$U1952)),TEXT(INDEX(상세표[근무일자],$U1952),"yyyy-mm-dd"),INDEX(상세표[근무일자],$U1952)&amp;""))</f>
        <v/>
      </c>
      <c r="N1952">
        <f>IF($U1952="","",IF(ISNUMBER(INDEX(상세표[시작],$U1952)),TEXT(INDEX(상세표[시작],$U1952),"yyyy-mm-dd hh:mm"),INDEX(상세표[시작],$U1952)&amp;""))</f>
        <v/>
      </c>
      <c r="O1952">
        <f>IF($U1952="","",IF(ISNUMBER(INDEX(상세표[종료],$U1952)),TEXT(INDEX(상세표[종료],$U1952),"yyyy-mm-dd hh:mm"),INDEX(상세표[종료],$U1952)&amp;""))</f>
        <v/>
      </c>
      <c r="P1952">
        <f>IF($U1952="","",INDEX(상세표[06~07시],$U1952))</f>
        <v/>
      </c>
      <c r="Q1952">
        <f>IF($U1952="","",INDEX(상세표[07~18시],$U1952))</f>
        <v/>
      </c>
      <c r="R1952">
        <f>IF($U1952="","",INDEX(상세표[18~22시],$U1952))</f>
        <v/>
      </c>
      <c r="S1952">
        <f>IF($U1952="","",INDEX(상세표[22~06시],$U1952))</f>
        <v/>
      </c>
      <c r="T1952">
        <f>IF($U1952="","",INDEX(상세표[기록 시간외],$U1952))</f>
        <v/>
      </c>
      <c r="U1952" s="4">
        <f>IFERROR(MATCH(1947,상세표[발송순번],0),"")</f>
        <v/>
      </c>
    </row>
    <row r="1953">
      <c r="J1953">
        <f>IF($U1953="","",INDEX(상세표[사번],$U1953)&amp;"")</f>
        <v/>
      </c>
      <c r="K1953">
        <f>IF($U1953="","",INDEX(상세표[성명],$U1953)&amp;"")</f>
        <v/>
      </c>
      <c r="L1953">
        <f>IF($U1953="","",INDEX(상세표[직위],$U1953)&amp;"")</f>
        <v/>
      </c>
      <c r="M1953">
        <f>IF($U1953="","",IF(ISNUMBER(INDEX(상세표[근무일자],$U1953)),TEXT(INDEX(상세표[근무일자],$U1953),"yyyy-mm-dd"),INDEX(상세표[근무일자],$U1953)&amp;""))</f>
        <v/>
      </c>
      <c r="N1953">
        <f>IF($U1953="","",IF(ISNUMBER(INDEX(상세표[시작],$U1953)),TEXT(INDEX(상세표[시작],$U1953),"yyyy-mm-dd hh:mm"),INDEX(상세표[시작],$U1953)&amp;""))</f>
        <v/>
      </c>
      <c r="O1953">
        <f>IF($U1953="","",IF(ISNUMBER(INDEX(상세표[종료],$U1953)),TEXT(INDEX(상세표[종료],$U1953),"yyyy-mm-dd hh:mm"),INDEX(상세표[종료],$U1953)&amp;""))</f>
        <v/>
      </c>
      <c r="P1953">
        <f>IF($U1953="","",INDEX(상세표[06~07시],$U1953))</f>
        <v/>
      </c>
      <c r="Q1953">
        <f>IF($U1953="","",INDEX(상세표[07~18시],$U1953))</f>
        <v/>
      </c>
      <c r="R1953">
        <f>IF($U1953="","",INDEX(상세표[18~22시],$U1953))</f>
        <v/>
      </c>
      <c r="S1953">
        <f>IF($U1953="","",INDEX(상세표[22~06시],$U1953))</f>
        <v/>
      </c>
      <c r="T1953">
        <f>IF($U1953="","",INDEX(상세표[기록 시간외],$U1953))</f>
        <v/>
      </c>
      <c r="U1953" s="4">
        <f>IFERROR(MATCH(1948,상세표[발송순번],0),"")</f>
        <v/>
      </c>
    </row>
    <row r="1954">
      <c r="J1954">
        <f>IF($U1954="","",INDEX(상세표[사번],$U1954)&amp;"")</f>
        <v/>
      </c>
      <c r="K1954">
        <f>IF($U1954="","",INDEX(상세표[성명],$U1954)&amp;"")</f>
        <v/>
      </c>
      <c r="L1954">
        <f>IF($U1954="","",INDEX(상세표[직위],$U1954)&amp;"")</f>
        <v/>
      </c>
      <c r="M1954">
        <f>IF($U1954="","",IF(ISNUMBER(INDEX(상세표[근무일자],$U1954)),TEXT(INDEX(상세표[근무일자],$U1954),"yyyy-mm-dd"),INDEX(상세표[근무일자],$U1954)&amp;""))</f>
        <v/>
      </c>
      <c r="N1954">
        <f>IF($U1954="","",IF(ISNUMBER(INDEX(상세표[시작],$U1954)),TEXT(INDEX(상세표[시작],$U1954),"yyyy-mm-dd hh:mm"),INDEX(상세표[시작],$U1954)&amp;""))</f>
        <v/>
      </c>
      <c r="O1954">
        <f>IF($U1954="","",IF(ISNUMBER(INDEX(상세표[종료],$U1954)),TEXT(INDEX(상세표[종료],$U1954),"yyyy-mm-dd hh:mm"),INDEX(상세표[종료],$U1954)&amp;""))</f>
        <v/>
      </c>
      <c r="P1954">
        <f>IF($U1954="","",INDEX(상세표[06~07시],$U1954))</f>
        <v/>
      </c>
      <c r="Q1954">
        <f>IF($U1954="","",INDEX(상세표[07~18시],$U1954))</f>
        <v/>
      </c>
      <c r="R1954">
        <f>IF($U1954="","",INDEX(상세표[18~22시],$U1954))</f>
        <v/>
      </c>
      <c r="S1954">
        <f>IF($U1954="","",INDEX(상세표[22~06시],$U1954))</f>
        <v/>
      </c>
      <c r="T1954">
        <f>IF($U1954="","",INDEX(상세표[기록 시간외],$U1954))</f>
        <v/>
      </c>
      <c r="U1954" s="4">
        <f>IFERROR(MATCH(1949,상세표[발송순번],0),"")</f>
        <v/>
      </c>
    </row>
    <row r="1955">
      <c r="J1955">
        <f>IF($U1955="","",INDEX(상세표[사번],$U1955)&amp;"")</f>
        <v/>
      </c>
      <c r="K1955">
        <f>IF($U1955="","",INDEX(상세표[성명],$U1955)&amp;"")</f>
        <v/>
      </c>
      <c r="L1955">
        <f>IF($U1955="","",INDEX(상세표[직위],$U1955)&amp;"")</f>
        <v/>
      </c>
      <c r="M1955">
        <f>IF($U1955="","",IF(ISNUMBER(INDEX(상세표[근무일자],$U1955)),TEXT(INDEX(상세표[근무일자],$U1955),"yyyy-mm-dd"),INDEX(상세표[근무일자],$U1955)&amp;""))</f>
        <v/>
      </c>
      <c r="N1955">
        <f>IF($U1955="","",IF(ISNUMBER(INDEX(상세표[시작],$U1955)),TEXT(INDEX(상세표[시작],$U1955),"yyyy-mm-dd hh:mm"),INDEX(상세표[시작],$U1955)&amp;""))</f>
        <v/>
      </c>
      <c r="O1955">
        <f>IF($U1955="","",IF(ISNUMBER(INDEX(상세표[종료],$U1955)),TEXT(INDEX(상세표[종료],$U1955),"yyyy-mm-dd hh:mm"),INDEX(상세표[종료],$U1955)&amp;""))</f>
        <v/>
      </c>
      <c r="P1955">
        <f>IF($U1955="","",INDEX(상세표[06~07시],$U1955))</f>
        <v/>
      </c>
      <c r="Q1955">
        <f>IF($U1955="","",INDEX(상세표[07~18시],$U1955))</f>
        <v/>
      </c>
      <c r="R1955">
        <f>IF($U1955="","",INDEX(상세표[18~22시],$U1955))</f>
        <v/>
      </c>
      <c r="S1955">
        <f>IF($U1955="","",INDEX(상세표[22~06시],$U1955))</f>
        <v/>
      </c>
      <c r="T1955">
        <f>IF($U1955="","",INDEX(상세표[기록 시간외],$U1955))</f>
        <v/>
      </c>
      <c r="U1955" s="4">
        <f>IFERROR(MATCH(1950,상세표[발송순번],0),"")</f>
        <v/>
      </c>
    </row>
    <row r="1956">
      <c r="J1956">
        <f>IF($U1956="","",INDEX(상세표[사번],$U1956)&amp;"")</f>
        <v/>
      </c>
      <c r="K1956">
        <f>IF($U1956="","",INDEX(상세표[성명],$U1956)&amp;"")</f>
        <v/>
      </c>
      <c r="L1956">
        <f>IF($U1956="","",INDEX(상세표[직위],$U1956)&amp;"")</f>
        <v/>
      </c>
      <c r="M1956">
        <f>IF($U1956="","",IF(ISNUMBER(INDEX(상세표[근무일자],$U1956)),TEXT(INDEX(상세표[근무일자],$U1956),"yyyy-mm-dd"),INDEX(상세표[근무일자],$U1956)&amp;""))</f>
        <v/>
      </c>
      <c r="N1956">
        <f>IF($U1956="","",IF(ISNUMBER(INDEX(상세표[시작],$U1956)),TEXT(INDEX(상세표[시작],$U1956),"yyyy-mm-dd hh:mm"),INDEX(상세표[시작],$U1956)&amp;""))</f>
        <v/>
      </c>
      <c r="O1956">
        <f>IF($U1956="","",IF(ISNUMBER(INDEX(상세표[종료],$U1956)),TEXT(INDEX(상세표[종료],$U1956),"yyyy-mm-dd hh:mm"),INDEX(상세표[종료],$U1956)&amp;""))</f>
        <v/>
      </c>
      <c r="P1956">
        <f>IF($U1956="","",INDEX(상세표[06~07시],$U1956))</f>
        <v/>
      </c>
      <c r="Q1956">
        <f>IF($U1956="","",INDEX(상세표[07~18시],$U1956))</f>
        <v/>
      </c>
      <c r="R1956">
        <f>IF($U1956="","",INDEX(상세표[18~22시],$U1956))</f>
        <v/>
      </c>
      <c r="S1956">
        <f>IF($U1956="","",INDEX(상세표[22~06시],$U1956))</f>
        <v/>
      </c>
      <c r="T1956">
        <f>IF($U1956="","",INDEX(상세표[기록 시간외],$U1956))</f>
        <v/>
      </c>
      <c r="U1956" s="4">
        <f>IFERROR(MATCH(1951,상세표[발송순번],0),"")</f>
        <v/>
      </c>
    </row>
    <row r="1957">
      <c r="J1957">
        <f>IF($U1957="","",INDEX(상세표[사번],$U1957)&amp;"")</f>
        <v/>
      </c>
      <c r="K1957">
        <f>IF($U1957="","",INDEX(상세표[성명],$U1957)&amp;"")</f>
        <v/>
      </c>
      <c r="L1957">
        <f>IF($U1957="","",INDEX(상세표[직위],$U1957)&amp;"")</f>
        <v/>
      </c>
      <c r="M1957">
        <f>IF($U1957="","",IF(ISNUMBER(INDEX(상세표[근무일자],$U1957)),TEXT(INDEX(상세표[근무일자],$U1957),"yyyy-mm-dd"),INDEX(상세표[근무일자],$U1957)&amp;""))</f>
        <v/>
      </c>
      <c r="N1957">
        <f>IF($U1957="","",IF(ISNUMBER(INDEX(상세표[시작],$U1957)),TEXT(INDEX(상세표[시작],$U1957),"yyyy-mm-dd hh:mm"),INDEX(상세표[시작],$U1957)&amp;""))</f>
        <v/>
      </c>
      <c r="O1957">
        <f>IF($U1957="","",IF(ISNUMBER(INDEX(상세표[종료],$U1957)),TEXT(INDEX(상세표[종료],$U1957),"yyyy-mm-dd hh:mm"),INDEX(상세표[종료],$U1957)&amp;""))</f>
        <v/>
      </c>
      <c r="P1957">
        <f>IF($U1957="","",INDEX(상세표[06~07시],$U1957))</f>
        <v/>
      </c>
      <c r="Q1957">
        <f>IF($U1957="","",INDEX(상세표[07~18시],$U1957))</f>
        <v/>
      </c>
      <c r="R1957">
        <f>IF($U1957="","",INDEX(상세표[18~22시],$U1957))</f>
        <v/>
      </c>
      <c r="S1957">
        <f>IF($U1957="","",INDEX(상세표[22~06시],$U1957))</f>
        <v/>
      </c>
      <c r="T1957">
        <f>IF($U1957="","",INDEX(상세표[기록 시간외],$U1957))</f>
        <v/>
      </c>
      <c r="U1957" s="4">
        <f>IFERROR(MATCH(1952,상세표[발송순번],0),"")</f>
        <v/>
      </c>
    </row>
    <row r="1958">
      <c r="J1958">
        <f>IF($U1958="","",INDEX(상세표[사번],$U1958)&amp;"")</f>
        <v/>
      </c>
      <c r="K1958">
        <f>IF($U1958="","",INDEX(상세표[성명],$U1958)&amp;"")</f>
        <v/>
      </c>
      <c r="L1958">
        <f>IF($U1958="","",INDEX(상세표[직위],$U1958)&amp;"")</f>
        <v/>
      </c>
      <c r="M1958">
        <f>IF($U1958="","",IF(ISNUMBER(INDEX(상세표[근무일자],$U1958)),TEXT(INDEX(상세표[근무일자],$U1958),"yyyy-mm-dd"),INDEX(상세표[근무일자],$U1958)&amp;""))</f>
        <v/>
      </c>
      <c r="N1958">
        <f>IF($U1958="","",IF(ISNUMBER(INDEX(상세표[시작],$U1958)),TEXT(INDEX(상세표[시작],$U1958),"yyyy-mm-dd hh:mm"),INDEX(상세표[시작],$U1958)&amp;""))</f>
        <v/>
      </c>
      <c r="O1958">
        <f>IF($U1958="","",IF(ISNUMBER(INDEX(상세표[종료],$U1958)),TEXT(INDEX(상세표[종료],$U1958),"yyyy-mm-dd hh:mm"),INDEX(상세표[종료],$U1958)&amp;""))</f>
        <v/>
      </c>
      <c r="P1958">
        <f>IF($U1958="","",INDEX(상세표[06~07시],$U1958))</f>
        <v/>
      </c>
      <c r="Q1958">
        <f>IF($U1958="","",INDEX(상세표[07~18시],$U1958))</f>
        <v/>
      </c>
      <c r="R1958">
        <f>IF($U1958="","",INDEX(상세표[18~22시],$U1958))</f>
        <v/>
      </c>
      <c r="S1958">
        <f>IF($U1958="","",INDEX(상세표[22~06시],$U1958))</f>
        <v/>
      </c>
      <c r="T1958">
        <f>IF($U1958="","",INDEX(상세표[기록 시간외],$U1958))</f>
        <v/>
      </c>
      <c r="U1958" s="4">
        <f>IFERROR(MATCH(1953,상세표[발송순번],0),"")</f>
        <v/>
      </c>
    </row>
    <row r="1959">
      <c r="J1959">
        <f>IF($U1959="","",INDEX(상세표[사번],$U1959)&amp;"")</f>
        <v/>
      </c>
      <c r="K1959">
        <f>IF($U1959="","",INDEX(상세표[성명],$U1959)&amp;"")</f>
        <v/>
      </c>
      <c r="L1959">
        <f>IF($U1959="","",INDEX(상세표[직위],$U1959)&amp;"")</f>
        <v/>
      </c>
      <c r="M1959">
        <f>IF($U1959="","",IF(ISNUMBER(INDEX(상세표[근무일자],$U1959)),TEXT(INDEX(상세표[근무일자],$U1959),"yyyy-mm-dd"),INDEX(상세표[근무일자],$U1959)&amp;""))</f>
        <v/>
      </c>
      <c r="N1959">
        <f>IF($U1959="","",IF(ISNUMBER(INDEX(상세표[시작],$U1959)),TEXT(INDEX(상세표[시작],$U1959),"yyyy-mm-dd hh:mm"),INDEX(상세표[시작],$U1959)&amp;""))</f>
        <v/>
      </c>
      <c r="O1959">
        <f>IF($U1959="","",IF(ISNUMBER(INDEX(상세표[종료],$U1959)),TEXT(INDEX(상세표[종료],$U1959),"yyyy-mm-dd hh:mm"),INDEX(상세표[종료],$U1959)&amp;""))</f>
        <v/>
      </c>
      <c r="P1959">
        <f>IF($U1959="","",INDEX(상세표[06~07시],$U1959))</f>
        <v/>
      </c>
      <c r="Q1959">
        <f>IF($U1959="","",INDEX(상세표[07~18시],$U1959))</f>
        <v/>
      </c>
      <c r="R1959">
        <f>IF($U1959="","",INDEX(상세표[18~22시],$U1959))</f>
        <v/>
      </c>
      <c r="S1959">
        <f>IF($U1959="","",INDEX(상세표[22~06시],$U1959))</f>
        <v/>
      </c>
      <c r="T1959">
        <f>IF($U1959="","",INDEX(상세표[기록 시간외],$U1959))</f>
        <v/>
      </c>
      <c r="U1959" s="4">
        <f>IFERROR(MATCH(1954,상세표[발송순번],0),"")</f>
        <v/>
      </c>
    </row>
    <row r="1960">
      <c r="J1960">
        <f>IF($U1960="","",INDEX(상세표[사번],$U1960)&amp;"")</f>
        <v/>
      </c>
      <c r="K1960">
        <f>IF($U1960="","",INDEX(상세표[성명],$U1960)&amp;"")</f>
        <v/>
      </c>
      <c r="L1960">
        <f>IF($U1960="","",INDEX(상세표[직위],$U1960)&amp;"")</f>
        <v/>
      </c>
      <c r="M1960">
        <f>IF($U1960="","",IF(ISNUMBER(INDEX(상세표[근무일자],$U1960)),TEXT(INDEX(상세표[근무일자],$U1960),"yyyy-mm-dd"),INDEX(상세표[근무일자],$U1960)&amp;""))</f>
        <v/>
      </c>
      <c r="N1960">
        <f>IF($U1960="","",IF(ISNUMBER(INDEX(상세표[시작],$U1960)),TEXT(INDEX(상세표[시작],$U1960),"yyyy-mm-dd hh:mm"),INDEX(상세표[시작],$U1960)&amp;""))</f>
        <v/>
      </c>
      <c r="O1960">
        <f>IF($U1960="","",IF(ISNUMBER(INDEX(상세표[종료],$U1960)),TEXT(INDEX(상세표[종료],$U1960),"yyyy-mm-dd hh:mm"),INDEX(상세표[종료],$U1960)&amp;""))</f>
        <v/>
      </c>
      <c r="P1960">
        <f>IF($U1960="","",INDEX(상세표[06~07시],$U1960))</f>
        <v/>
      </c>
      <c r="Q1960">
        <f>IF($U1960="","",INDEX(상세표[07~18시],$U1960))</f>
        <v/>
      </c>
      <c r="R1960">
        <f>IF($U1960="","",INDEX(상세표[18~22시],$U1960))</f>
        <v/>
      </c>
      <c r="S1960">
        <f>IF($U1960="","",INDEX(상세표[22~06시],$U1960))</f>
        <v/>
      </c>
      <c r="T1960">
        <f>IF($U1960="","",INDEX(상세표[기록 시간외],$U1960))</f>
        <v/>
      </c>
      <c r="U1960" s="4">
        <f>IFERROR(MATCH(1955,상세표[발송순번],0),"")</f>
        <v/>
      </c>
    </row>
    <row r="1961">
      <c r="J1961">
        <f>IF($U1961="","",INDEX(상세표[사번],$U1961)&amp;"")</f>
        <v/>
      </c>
      <c r="K1961">
        <f>IF($U1961="","",INDEX(상세표[성명],$U1961)&amp;"")</f>
        <v/>
      </c>
      <c r="L1961">
        <f>IF($U1961="","",INDEX(상세표[직위],$U1961)&amp;"")</f>
        <v/>
      </c>
      <c r="M1961">
        <f>IF($U1961="","",IF(ISNUMBER(INDEX(상세표[근무일자],$U1961)),TEXT(INDEX(상세표[근무일자],$U1961),"yyyy-mm-dd"),INDEX(상세표[근무일자],$U1961)&amp;""))</f>
        <v/>
      </c>
      <c r="N1961">
        <f>IF($U1961="","",IF(ISNUMBER(INDEX(상세표[시작],$U1961)),TEXT(INDEX(상세표[시작],$U1961),"yyyy-mm-dd hh:mm"),INDEX(상세표[시작],$U1961)&amp;""))</f>
        <v/>
      </c>
      <c r="O1961">
        <f>IF($U1961="","",IF(ISNUMBER(INDEX(상세표[종료],$U1961)),TEXT(INDEX(상세표[종료],$U1961),"yyyy-mm-dd hh:mm"),INDEX(상세표[종료],$U1961)&amp;""))</f>
        <v/>
      </c>
      <c r="P1961">
        <f>IF($U1961="","",INDEX(상세표[06~07시],$U1961))</f>
        <v/>
      </c>
      <c r="Q1961">
        <f>IF($U1961="","",INDEX(상세표[07~18시],$U1961))</f>
        <v/>
      </c>
      <c r="R1961">
        <f>IF($U1961="","",INDEX(상세표[18~22시],$U1961))</f>
        <v/>
      </c>
      <c r="S1961">
        <f>IF($U1961="","",INDEX(상세표[22~06시],$U1961))</f>
        <v/>
      </c>
      <c r="T1961">
        <f>IF($U1961="","",INDEX(상세표[기록 시간외],$U1961))</f>
        <v/>
      </c>
      <c r="U1961" s="4">
        <f>IFERROR(MATCH(1956,상세표[발송순번],0),"")</f>
        <v/>
      </c>
    </row>
    <row r="1962">
      <c r="J1962">
        <f>IF($U1962="","",INDEX(상세표[사번],$U1962)&amp;"")</f>
        <v/>
      </c>
      <c r="K1962">
        <f>IF($U1962="","",INDEX(상세표[성명],$U1962)&amp;"")</f>
        <v/>
      </c>
      <c r="L1962">
        <f>IF($U1962="","",INDEX(상세표[직위],$U1962)&amp;"")</f>
        <v/>
      </c>
      <c r="M1962">
        <f>IF($U1962="","",IF(ISNUMBER(INDEX(상세표[근무일자],$U1962)),TEXT(INDEX(상세표[근무일자],$U1962),"yyyy-mm-dd"),INDEX(상세표[근무일자],$U1962)&amp;""))</f>
        <v/>
      </c>
      <c r="N1962">
        <f>IF($U1962="","",IF(ISNUMBER(INDEX(상세표[시작],$U1962)),TEXT(INDEX(상세표[시작],$U1962),"yyyy-mm-dd hh:mm"),INDEX(상세표[시작],$U1962)&amp;""))</f>
        <v/>
      </c>
      <c r="O1962">
        <f>IF($U1962="","",IF(ISNUMBER(INDEX(상세표[종료],$U1962)),TEXT(INDEX(상세표[종료],$U1962),"yyyy-mm-dd hh:mm"),INDEX(상세표[종료],$U1962)&amp;""))</f>
        <v/>
      </c>
      <c r="P1962">
        <f>IF($U1962="","",INDEX(상세표[06~07시],$U1962))</f>
        <v/>
      </c>
      <c r="Q1962">
        <f>IF($U1962="","",INDEX(상세표[07~18시],$U1962))</f>
        <v/>
      </c>
      <c r="R1962">
        <f>IF($U1962="","",INDEX(상세표[18~22시],$U1962))</f>
        <v/>
      </c>
      <c r="S1962">
        <f>IF($U1962="","",INDEX(상세표[22~06시],$U1962))</f>
        <v/>
      </c>
      <c r="T1962">
        <f>IF($U1962="","",INDEX(상세표[기록 시간외],$U1962))</f>
        <v/>
      </c>
      <c r="U1962" s="4">
        <f>IFERROR(MATCH(1957,상세표[발송순번],0),"")</f>
        <v/>
      </c>
    </row>
    <row r="1963">
      <c r="J1963">
        <f>IF($U1963="","",INDEX(상세표[사번],$U1963)&amp;"")</f>
        <v/>
      </c>
      <c r="K1963">
        <f>IF($U1963="","",INDEX(상세표[성명],$U1963)&amp;"")</f>
        <v/>
      </c>
      <c r="L1963">
        <f>IF($U1963="","",INDEX(상세표[직위],$U1963)&amp;"")</f>
        <v/>
      </c>
      <c r="M1963">
        <f>IF($U1963="","",IF(ISNUMBER(INDEX(상세표[근무일자],$U1963)),TEXT(INDEX(상세표[근무일자],$U1963),"yyyy-mm-dd"),INDEX(상세표[근무일자],$U1963)&amp;""))</f>
        <v/>
      </c>
      <c r="N1963">
        <f>IF($U1963="","",IF(ISNUMBER(INDEX(상세표[시작],$U1963)),TEXT(INDEX(상세표[시작],$U1963),"yyyy-mm-dd hh:mm"),INDEX(상세표[시작],$U1963)&amp;""))</f>
        <v/>
      </c>
      <c r="O1963">
        <f>IF($U1963="","",IF(ISNUMBER(INDEX(상세표[종료],$U1963)),TEXT(INDEX(상세표[종료],$U1963),"yyyy-mm-dd hh:mm"),INDEX(상세표[종료],$U1963)&amp;""))</f>
        <v/>
      </c>
      <c r="P1963">
        <f>IF($U1963="","",INDEX(상세표[06~07시],$U1963))</f>
        <v/>
      </c>
      <c r="Q1963">
        <f>IF($U1963="","",INDEX(상세표[07~18시],$U1963))</f>
        <v/>
      </c>
      <c r="R1963">
        <f>IF($U1963="","",INDEX(상세표[18~22시],$U1963))</f>
        <v/>
      </c>
      <c r="S1963">
        <f>IF($U1963="","",INDEX(상세표[22~06시],$U1963))</f>
        <v/>
      </c>
      <c r="T1963">
        <f>IF($U1963="","",INDEX(상세표[기록 시간외],$U1963))</f>
        <v/>
      </c>
      <c r="U1963" s="4">
        <f>IFERROR(MATCH(1958,상세표[발송순번],0),"")</f>
        <v/>
      </c>
    </row>
    <row r="1964">
      <c r="J1964">
        <f>IF($U1964="","",INDEX(상세표[사번],$U1964)&amp;"")</f>
        <v/>
      </c>
      <c r="K1964">
        <f>IF($U1964="","",INDEX(상세표[성명],$U1964)&amp;"")</f>
        <v/>
      </c>
      <c r="L1964">
        <f>IF($U1964="","",INDEX(상세표[직위],$U1964)&amp;"")</f>
        <v/>
      </c>
      <c r="M1964">
        <f>IF($U1964="","",IF(ISNUMBER(INDEX(상세표[근무일자],$U1964)),TEXT(INDEX(상세표[근무일자],$U1964),"yyyy-mm-dd"),INDEX(상세표[근무일자],$U1964)&amp;""))</f>
        <v/>
      </c>
      <c r="N1964">
        <f>IF($U1964="","",IF(ISNUMBER(INDEX(상세표[시작],$U1964)),TEXT(INDEX(상세표[시작],$U1964),"yyyy-mm-dd hh:mm"),INDEX(상세표[시작],$U1964)&amp;""))</f>
        <v/>
      </c>
      <c r="O1964">
        <f>IF($U1964="","",IF(ISNUMBER(INDEX(상세표[종료],$U1964)),TEXT(INDEX(상세표[종료],$U1964),"yyyy-mm-dd hh:mm"),INDEX(상세표[종료],$U1964)&amp;""))</f>
        <v/>
      </c>
      <c r="P1964">
        <f>IF($U1964="","",INDEX(상세표[06~07시],$U1964))</f>
        <v/>
      </c>
      <c r="Q1964">
        <f>IF($U1964="","",INDEX(상세표[07~18시],$U1964))</f>
        <v/>
      </c>
      <c r="R1964">
        <f>IF($U1964="","",INDEX(상세표[18~22시],$U1964))</f>
        <v/>
      </c>
      <c r="S1964">
        <f>IF($U1964="","",INDEX(상세표[22~06시],$U1964))</f>
        <v/>
      </c>
      <c r="T1964">
        <f>IF($U1964="","",INDEX(상세표[기록 시간외],$U1964))</f>
        <v/>
      </c>
      <c r="U1964" s="4">
        <f>IFERROR(MATCH(1959,상세표[발송순번],0),"")</f>
        <v/>
      </c>
    </row>
    <row r="1965">
      <c r="J1965">
        <f>IF($U1965="","",INDEX(상세표[사번],$U1965)&amp;"")</f>
        <v/>
      </c>
      <c r="K1965">
        <f>IF($U1965="","",INDEX(상세표[성명],$U1965)&amp;"")</f>
        <v/>
      </c>
      <c r="L1965">
        <f>IF($U1965="","",INDEX(상세표[직위],$U1965)&amp;"")</f>
        <v/>
      </c>
      <c r="M1965">
        <f>IF($U1965="","",IF(ISNUMBER(INDEX(상세표[근무일자],$U1965)),TEXT(INDEX(상세표[근무일자],$U1965),"yyyy-mm-dd"),INDEX(상세표[근무일자],$U1965)&amp;""))</f>
        <v/>
      </c>
      <c r="N1965">
        <f>IF($U1965="","",IF(ISNUMBER(INDEX(상세표[시작],$U1965)),TEXT(INDEX(상세표[시작],$U1965),"yyyy-mm-dd hh:mm"),INDEX(상세표[시작],$U1965)&amp;""))</f>
        <v/>
      </c>
      <c r="O1965">
        <f>IF($U1965="","",IF(ISNUMBER(INDEX(상세표[종료],$U1965)),TEXT(INDEX(상세표[종료],$U1965),"yyyy-mm-dd hh:mm"),INDEX(상세표[종료],$U1965)&amp;""))</f>
        <v/>
      </c>
      <c r="P1965">
        <f>IF($U1965="","",INDEX(상세표[06~07시],$U1965))</f>
        <v/>
      </c>
      <c r="Q1965">
        <f>IF($U1965="","",INDEX(상세표[07~18시],$U1965))</f>
        <v/>
      </c>
      <c r="R1965">
        <f>IF($U1965="","",INDEX(상세표[18~22시],$U1965))</f>
        <v/>
      </c>
      <c r="S1965">
        <f>IF($U1965="","",INDEX(상세표[22~06시],$U1965))</f>
        <v/>
      </c>
      <c r="T1965">
        <f>IF($U1965="","",INDEX(상세표[기록 시간외],$U1965))</f>
        <v/>
      </c>
      <c r="U1965" s="4">
        <f>IFERROR(MATCH(1960,상세표[발송순번],0),"")</f>
        <v/>
      </c>
    </row>
    <row r="1966">
      <c r="J1966">
        <f>IF($U1966="","",INDEX(상세표[사번],$U1966)&amp;"")</f>
        <v/>
      </c>
      <c r="K1966">
        <f>IF($U1966="","",INDEX(상세표[성명],$U1966)&amp;"")</f>
        <v/>
      </c>
      <c r="L1966">
        <f>IF($U1966="","",INDEX(상세표[직위],$U1966)&amp;"")</f>
        <v/>
      </c>
      <c r="M1966">
        <f>IF($U1966="","",IF(ISNUMBER(INDEX(상세표[근무일자],$U1966)),TEXT(INDEX(상세표[근무일자],$U1966),"yyyy-mm-dd"),INDEX(상세표[근무일자],$U1966)&amp;""))</f>
        <v/>
      </c>
      <c r="N1966">
        <f>IF($U1966="","",IF(ISNUMBER(INDEX(상세표[시작],$U1966)),TEXT(INDEX(상세표[시작],$U1966),"yyyy-mm-dd hh:mm"),INDEX(상세표[시작],$U1966)&amp;""))</f>
        <v/>
      </c>
      <c r="O1966">
        <f>IF($U1966="","",IF(ISNUMBER(INDEX(상세표[종료],$U1966)),TEXT(INDEX(상세표[종료],$U1966),"yyyy-mm-dd hh:mm"),INDEX(상세표[종료],$U1966)&amp;""))</f>
        <v/>
      </c>
      <c r="P1966">
        <f>IF($U1966="","",INDEX(상세표[06~07시],$U1966))</f>
        <v/>
      </c>
      <c r="Q1966">
        <f>IF($U1966="","",INDEX(상세표[07~18시],$U1966))</f>
        <v/>
      </c>
      <c r="R1966">
        <f>IF($U1966="","",INDEX(상세표[18~22시],$U1966))</f>
        <v/>
      </c>
      <c r="S1966">
        <f>IF($U1966="","",INDEX(상세표[22~06시],$U1966))</f>
        <v/>
      </c>
      <c r="T1966">
        <f>IF($U1966="","",INDEX(상세표[기록 시간외],$U1966))</f>
        <v/>
      </c>
      <c r="U1966" s="4">
        <f>IFERROR(MATCH(1961,상세표[발송순번],0),"")</f>
        <v/>
      </c>
    </row>
    <row r="1967">
      <c r="J1967">
        <f>IF($U1967="","",INDEX(상세표[사번],$U1967)&amp;"")</f>
        <v/>
      </c>
      <c r="K1967">
        <f>IF($U1967="","",INDEX(상세표[성명],$U1967)&amp;"")</f>
        <v/>
      </c>
      <c r="L1967">
        <f>IF($U1967="","",INDEX(상세표[직위],$U1967)&amp;"")</f>
        <v/>
      </c>
      <c r="M1967">
        <f>IF($U1967="","",IF(ISNUMBER(INDEX(상세표[근무일자],$U1967)),TEXT(INDEX(상세표[근무일자],$U1967),"yyyy-mm-dd"),INDEX(상세표[근무일자],$U1967)&amp;""))</f>
        <v/>
      </c>
      <c r="N1967">
        <f>IF($U1967="","",IF(ISNUMBER(INDEX(상세표[시작],$U1967)),TEXT(INDEX(상세표[시작],$U1967),"yyyy-mm-dd hh:mm"),INDEX(상세표[시작],$U1967)&amp;""))</f>
        <v/>
      </c>
      <c r="O1967">
        <f>IF($U1967="","",IF(ISNUMBER(INDEX(상세표[종료],$U1967)),TEXT(INDEX(상세표[종료],$U1967),"yyyy-mm-dd hh:mm"),INDEX(상세표[종료],$U1967)&amp;""))</f>
        <v/>
      </c>
      <c r="P1967">
        <f>IF($U1967="","",INDEX(상세표[06~07시],$U1967))</f>
        <v/>
      </c>
      <c r="Q1967">
        <f>IF($U1967="","",INDEX(상세표[07~18시],$U1967))</f>
        <v/>
      </c>
      <c r="R1967">
        <f>IF($U1967="","",INDEX(상세표[18~22시],$U1967))</f>
        <v/>
      </c>
      <c r="S1967">
        <f>IF($U1967="","",INDEX(상세표[22~06시],$U1967))</f>
        <v/>
      </c>
      <c r="T1967">
        <f>IF($U1967="","",INDEX(상세표[기록 시간외],$U1967))</f>
        <v/>
      </c>
      <c r="U1967" s="4">
        <f>IFERROR(MATCH(1962,상세표[발송순번],0),"")</f>
        <v/>
      </c>
    </row>
    <row r="1968">
      <c r="J1968">
        <f>IF($U1968="","",INDEX(상세표[사번],$U1968)&amp;"")</f>
        <v/>
      </c>
      <c r="K1968">
        <f>IF($U1968="","",INDEX(상세표[성명],$U1968)&amp;"")</f>
        <v/>
      </c>
      <c r="L1968">
        <f>IF($U1968="","",INDEX(상세표[직위],$U1968)&amp;"")</f>
        <v/>
      </c>
      <c r="M1968">
        <f>IF($U1968="","",IF(ISNUMBER(INDEX(상세표[근무일자],$U1968)),TEXT(INDEX(상세표[근무일자],$U1968),"yyyy-mm-dd"),INDEX(상세표[근무일자],$U1968)&amp;""))</f>
        <v/>
      </c>
      <c r="N1968">
        <f>IF($U1968="","",IF(ISNUMBER(INDEX(상세표[시작],$U1968)),TEXT(INDEX(상세표[시작],$U1968),"yyyy-mm-dd hh:mm"),INDEX(상세표[시작],$U1968)&amp;""))</f>
        <v/>
      </c>
      <c r="O1968">
        <f>IF($U1968="","",IF(ISNUMBER(INDEX(상세표[종료],$U1968)),TEXT(INDEX(상세표[종료],$U1968),"yyyy-mm-dd hh:mm"),INDEX(상세표[종료],$U1968)&amp;""))</f>
        <v/>
      </c>
      <c r="P1968">
        <f>IF($U1968="","",INDEX(상세표[06~07시],$U1968))</f>
        <v/>
      </c>
      <c r="Q1968">
        <f>IF($U1968="","",INDEX(상세표[07~18시],$U1968))</f>
        <v/>
      </c>
      <c r="R1968">
        <f>IF($U1968="","",INDEX(상세표[18~22시],$U1968))</f>
        <v/>
      </c>
      <c r="S1968">
        <f>IF($U1968="","",INDEX(상세표[22~06시],$U1968))</f>
        <v/>
      </c>
      <c r="T1968">
        <f>IF($U1968="","",INDEX(상세표[기록 시간외],$U1968))</f>
        <v/>
      </c>
      <c r="U1968" s="4">
        <f>IFERROR(MATCH(1963,상세표[발송순번],0),"")</f>
        <v/>
      </c>
    </row>
    <row r="1969">
      <c r="J1969">
        <f>IF($U1969="","",INDEX(상세표[사번],$U1969)&amp;"")</f>
        <v/>
      </c>
      <c r="K1969">
        <f>IF($U1969="","",INDEX(상세표[성명],$U1969)&amp;"")</f>
        <v/>
      </c>
      <c r="L1969">
        <f>IF($U1969="","",INDEX(상세표[직위],$U1969)&amp;"")</f>
        <v/>
      </c>
      <c r="M1969">
        <f>IF($U1969="","",IF(ISNUMBER(INDEX(상세표[근무일자],$U1969)),TEXT(INDEX(상세표[근무일자],$U1969),"yyyy-mm-dd"),INDEX(상세표[근무일자],$U1969)&amp;""))</f>
        <v/>
      </c>
      <c r="N1969">
        <f>IF($U1969="","",IF(ISNUMBER(INDEX(상세표[시작],$U1969)),TEXT(INDEX(상세표[시작],$U1969),"yyyy-mm-dd hh:mm"),INDEX(상세표[시작],$U1969)&amp;""))</f>
        <v/>
      </c>
      <c r="O1969">
        <f>IF($U1969="","",IF(ISNUMBER(INDEX(상세표[종료],$U1969)),TEXT(INDEX(상세표[종료],$U1969),"yyyy-mm-dd hh:mm"),INDEX(상세표[종료],$U1969)&amp;""))</f>
        <v/>
      </c>
      <c r="P1969">
        <f>IF($U1969="","",INDEX(상세표[06~07시],$U1969))</f>
        <v/>
      </c>
      <c r="Q1969">
        <f>IF($U1969="","",INDEX(상세표[07~18시],$U1969))</f>
        <v/>
      </c>
      <c r="R1969">
        <f>IF($U1969="","",INDEX(상세표[18~22시],$U1969))</f>
        <v/>
      </c>
      <c r="S1969">
        <f>IF($U1969="","",INDEX(상세표[22~06시],$U1969))</f>
        <v/>
      </c>
      <c r="T1969">
        <f>IF($U1969="","",INDEX(상세표[기록 시간외],$U1969))</f>
        <v/>
      </c>
      <c r="U1969" s="4">
        <f>IFERROR(MATCH(1964,상세표[발송순번],0),"")</f>
        <v/>
      </c>
    </row>
    <row r="1970">
      <c r="J1970">
        <f>IF($U1970="","",INDEX(상세표[사번],$U1970)&amp;"")</f>
        <v/>
      </c>
      <c r="K1970">
        <f>IF($U1970="","",INDEX(상세표[성명],$U1970)&amp;"")</f>
        <v/>
      </c>
      <c r="L1970">
        <f>IF($U1970="","",INDEX(상세표[직위],$U1970)&amp;"")</f>
        <v/>
      </c>
      <c r="M1970">
        <f>IF($U1970="","",IF(ISNUMBER(INDEX(상세표[근무일자],$U1970)),TEXT(INDEX(상세표[근무일자],$U1970),"yyyy-mm-dd"),INDEX(상세표[근무일자],$U1970)&amp;""))</f>
        <v/>
      </c>
      <c r="N1970">
        <f>IF($U1970="","",IF(ISNUMBER(INDEX(상세표[시작],$U1970)),TEXT(INDEX(상세표[시작],$U1970),"yyyy-mm-dd hh:mm"),INDEX(상세표[시작],$U1970)&amp;""))</f>
        <v/>
      </c>
      <c r="O1970">
        <f>IF($U1970="","",IF(ISNUMBER(INDEX(상세표[종료],$U1970)),TEXT(INDEX(상세표[종료],$U1970),"yyyy-mm-dd hh:mm"),INDEX(상세표[종료],$U1970)&amp;""))</f>
        <v/>
      </c>
      <c r="P1970">
        <f>IF($U1970="","",INDEX(상세표[06~07시],$U1970))</f>
        <v/>
      </c>
      <c r="Q1970">
        <f>IF($U1970="","",INDEX(상세표[07~18시],$U1970))</f>
        <v/>
      </c>
      <c r="R1970">
        <f>IF($U1970="","",INDEX(상세표[18~22시],$U1970))</f>
        <v/>
      </c>
      <c r="S1970">
        <f>IF($U1970="","",INDEX(상세표[22~06시],$U1970))</f>
        <v/>
      </c>
      <c r="T1970">
        <f>IF($U1970="","",INDEX(상세표[기록 시간외],$U1970))</f>
        <v/>
      </c>
      <c r="U1970" s="4">
        <f>IFERROR(MATCH(1965,상세표[발송순번],0),"")</f>
        <v/>
      </c>
    </row>
    <row r="1971">
      <c r="J1971">
        <f>IF($U1971="","",INDEX(상세표[사번],$U1971)&amp;"")</f>
        <v/>
      </c>
      <c r="K1971">
        <f>IF($U1971="","",INDEX(상세표[성명],$U1971)&amp;"")</f>
        <v/>
      </c>
      <c r="L1971">
        <f>IF($U1971="","",INDEX(상세표[직위],$U1971)&amp;"")</f>
        <v/>
      </c>
      <c r="M1971">
        <f>IF($U1971="","",IF(ISNUMBER(INDEX(상세표[근무일자],$U1971)),TEXT(INDEX(상세표[근무일자],$U1971),"yyyy-mm-dd"),INDEX(상세표[근무일자],$U1971)&amp;""))</f>
        <v/>
      </c>
      <c r="N1971">
        <f>IF($U1971="","",IF(ISNUMBER(INDEX(상세표[시작],$U1971)),TEXT(INDEX(상세표[시작],$U1971),"yyyy-mm-dd hh:mm"),INDEX(상세표[시작],$U1971)&amp;""))</f>
        <v/>
      </c>
      <c r="O1971">
        <f>IF($U1971="","",IF(ISNUMBER(INDEX(상세표[종료],$U1971)),TEXT(INDEX(상세표[종료],$U1971),"yyyy-mm-dd hh:mm"),INDEX(상세표[종료],$U1971)&amp;""))</f>
        <v/>
      </c>
      <c r="P1971">
        <f>IF($U1971="","",INDEX(상세표[06~07시],$U1971))</f>
        <v/>
      </c>
      <c r="Q1971">
        <f>IF($U1971="","",INDEX(상세표[07~18시],$U1971))</f>
        <v/>
      </c>
      <c r="R1971">
        <f>IF($U1971="","",INDEX(상세표[18~22시],$U1971))</f>
        <v/>
      </c>
      <c r="S1971">
        <f>IF($U1971="","",INDEX(상세표[22~06시],$U1971))</f>
        <v/>
      </c>
      <c r="T1971">
        <f>IF($U1971="","",INDEX(상세표[기록 시간외],$U1971))</f>
        <v/>
      </c>
      <c r="U1971" s="4">
        <f>IFERROR(MATCH(1966,상세표[발송순번],0),"")</f>
        <v/>
      </c>
    </row>
    <row r="1972">
      <c r="J1972">
        <f>IF($U1972="","",INDEX(상세표[사번],$U1972)&amp;"")</f>
        <v/>
      </c>
      <c r="K1972">
        <f>IF($U1972="","",INDEX(상세표[성명],$U1972)&amp;"")</f>
        <v/>
      </c>
      <c r="L1972">
        <f>IF($U1972="","",INDEX(상세표[직위],$U1972)&amp;"")</f>
        <v/>
      </c>
      <c r="M1972">
        <f>IF($U1972="","",IF(ISNUMBER(INDEX(상세표[근무일자],$U1972)),TEXT(INDEX(상세표[근무일자],$U1972),"yyyy-mm-dd"),INDEX(상세표[근무일자],$U1972)&amp;""))</f>
        <v/>
      </c>
      <c r="N1972">
        <f>IF($U1972="","",IF(ISNUMBER(INDEX(상세표[시작],$U1972)),TEXT(INDEX(상세표[시작],$U1972),"yyyy-mm-dd hh:mm"),INDEX(상세표[시작],$U1972)&amp;""))</f>
        <v/>
      </c>
      <c r="O1972">
        <f>IF($U1972="","",IF(ISNUMBER(INDEX(상세표[종료],$U1972)),TEXT(INDEX(상세표[종료],$U1972),"yyyy-mm-dd hh:mm"),INDEX(상세표[종료],$U1972)&amp;""))</f>
        <v/>
      </c>
      <c r="P1972">
        <f>IF($U1972="","",INDEX(상세표[06~07시],$U1972))</f>
        <v/>
      </c>
      <c r="Q1972">
        <f>IF($U1972="","",INDEX(상세표[07~18시],$U1972))</f>
        <v/>
      </c>
      <c r="R1972">
        <f>IF($U1972="","",INDEX(상세표[18~22시],$U1972))</f>
        <v/>
      </c>
      <c r="S1972">
        <f>IF($U1972="","",INDEX(상세표[22~06시],$U1972))</f>
        <v/>
      </c>
      <c r="T1972">
        <f>IF($U1972="","",INDEX(상세표[기록 시간외],$U1972))</f>
        <v/>
      </c>
      <c r="U1972" s="4">
        <f>IFERROR(MATCH(1967,상세표[발송순번],0),"")</f>
        <v/>
      </c>
    </row>
    <row r="1973">
      <c r="J1973">
        <f>IF($U1973="","",INDEX(상세표[사번],$U1973)&amp;"")</f>
        <v/>
      </c>
      <c r="K1973">
        <f>IF($U1973="","",INDEX(상세표[성명],$U1973)&amp;"")</f>
        <v/>
      </c>
      <c r="L1973">
        <f>IF($U1973="","",INDEX(상세표[직위],$U1973)&amp;"")</f>
        <v/>
      </c>
      <c r="M1973">
        <f>IF($U1973="","",IF(ISNUMBER(INDEX(상세표[근무일자],$U1973)),TEXT(INDEX(상세표[근무일자],$U1973),"yyyy-mm-dd"),INDEX(상세표[근무일자],$U1973)&amp;""))</f>
        <v/>
      </c>
      <c r="N1973">
        <f>IF($U1973="","",IF(ISNUMBER(INDEX(상세표[시작],$U1973)),TEXT(INDEX(상세표[시작],$U1973),"yyyy-mm-dd hh:mm"),INDEX(상세표[시작],$U1973)&amp;""))</f>
        <v/>
      </c>
      <c r="O1973">
        <f>IF($U1973="","",IF(ISNUMBER(INDEX(상세표[종료],$U1973)),TEXT(INDEX(상세표[종료],$U1973),"yyyy-mm-dd hh:mm"),INDEX(상세표[종료],$U1973)&amp;""))</f>
        <v/>
      </c>
      <c r="P1973">
        <f>IF($U1973="","",INDEX(상세표[06~07시],$U1973))</f>
        <v/>
      </c>
      <c r="Q1973">
        <f>IF($U1973="","",INDEX(상세표[07~18시],$U1973))</f>
        <v/>
      </c>
      <c r="R1973">
        <f>IF($U1973="","",INDEX(상세표[18~22시],$U1973))</f>
        <v/>
      </c>
      <c r="S1973">
        <f>IF($U1973="","",INDEX(상세표[22~06시],$U1973))</f>
        <v/>
      </c>
      <c r="T1973">
        <f>IF($U1973="","",INDEX(상세표[기록 시간외],$U1973))</f>
        <v/>
      </c>
      <c r="U1973" s="4">
        <f>IFERROR(MATCH(1968,상세표[발송순번],0),"")</f>
        <v/>
      </c>
    </row>
    <row r="1974">
      <c r="J1974">
        <f>IF($U1974="","",INDEX(상세표[사번],$U1974)&amp;"")</f>
        <v/>
      </c>
      <c r="K1974">
        <f>IF($U1974="","",INDEX(상세표[성명],$U1974)&amp;"")</f>
        <v/>
      </c>
      <c r="L1974">
        <f>IF($U1974="","",INDEX(상세표[직위],$U1974)&amp;"")</f>
        <v/>
      </c>
      <c r="M1974">
        <f>IF($U1974="","",IF(ISNUMBER(INDEX(상세표[근무일자],$U1974)),TEXT(INDEX(상세표[근무일자],$U1974),"yyyy-mm-dd"),INDEX(상세표[근무일자],$U1974)&amp;""))</f>
        <v/>
      </c>
      <c r="N1974">
        <f>IF($U1974="","",IF(ISNUMBER(INDEX(상세표[시작],$U1974)),TEXT(INDEX(상세표[시작],$U1974),"yyyy-mm-dd hh:mm"),INDEX(상세표[시작],$U1974)&amp;""))</f>
        <v/>
      </c>
      <c r="O1974">
        <f>IF($U1974="","",IF(ISNUMBER(INDEX(상세표[종료],$U1974)),TEXT(INDEX(상세표[종료],$U1974),"yyyy-mm-dd hh:mm"),INDEX(상세표[종료],$U1974)&amp;""))</f>
        <v/>
      </c>
      <c r="P1974">
        <f>IF($U1974="","",INDEX(상세표[06~07시],$U1974))</f>
        <v/>
      </c>
      <c r="Q1974">
        <f>IF($U1974="","",INDEX(상세표[07~18시],$U1974))</f>
        <v/>
      </c>
      <c r="R1974">
        <f>IF($U1974="","",INDEX(상세표[18~22시],$U1974))</f>
        <v/>
      </c>
      <c r="S1974">
        <f>IF($U1974="","",INDEX(상세표[22~06시],$U1974))</f>
        <v/>
      </c>
      <c r="T1974">
        <f>IF($U1974="","",INDEX(상세표[기록 시간외],$U1974))</f>
        <v/>
      </c>
      <c r="U1974" s="4">
        <f>IFERROR(MATCH(1969,상세표[발송순번],0),"")</f>
        <v/>
      </c>
    </row>
    <row r="1975">
      <c r="J1975">
        <f>IF($U1975="","",INDEX(상세표[사번],$U1975)&amp;"")</f>
        <v/>
      </c>
      <c r="K1975">
        <f>IF($U1975="","",INDEX(상세표[성명],$U1975)&amp;"")</f>
        <v/>
      </c>
      <c r="L1975">
        <f>IF($U1975="","",INDEX(상세표[직위],$U1975)&amp;"")</f>
        <v/>
      </c>
      <c r="M1975">
        <f>IF($U1975="","",IF(ISNUMBER(INDEX(상세표[근무일자],$U1975)),TEXT(INDEX(상세표[근무일자],$U1975),"yyyy-mm-dd"),INDEX(상세표[근무일자],$U1975)&amp;""))</f>
        <v/>
      </c>
      <c r="N1975">
        <f>IF($U1975="","",IF(ISNUMBER(INDEX(상세표[시작],$U1975)),TEXT(INDEX(상세표[시작],$U1975),"yyyy-mm-dd hh:mm"),INDEX(상세표[시작],$U1975)&amp;""))</f>
        <v/>
      </c>
      <c r="O1975">
        <f>IF($U1975="","",IF(ISNUMBER(INDEX(상세표[종료],$U1975)),TEXT(INDEX(상세표[종료],$U1975),"yyyy-mm-dd hh:mm"),INDEX(상세표[종료],$U1975)&amp;""))</f>
        <v/>
      </c>
      <c r="P1975">
        <f>IF($U1975="","",INDEX(상세표[06~07시],$U1975))</f>
        <v/>
      </c>
      <c r="Q1975">
        <f>IF($U1975="","",INDEX(상세표[07~18시],$U1975))</f>
        <v/>
      </c>
      <c r="R1975">
        <f>IF($U1975="","",INDEX(상세표[18~22시],$U1975))</f>
        <v/>
      </c>
      <c r="S1975">
        <f>IF($U1975="","",INDEX(상세표[22~06시],$U1975))</f>
        <v/>
      </c>
      <c r="T1975">
        <f>IF($U1975="","",INDEX(상세표[기록 시간외],$U1975))</f>
        <v/>
      </c>
      <c r="U1975" s="4">
        <f>IFERROR(MATCH(1970,상세표[발송순번],0),"")</f>
        <v/>
      </c>
    </row>
    <row r="1976">
      <c r="J1976">
        <f>IF($U1976="","",INDEX(상세표[사번],$U1976)&amp;"")</f>
        <v/>
      </c>
      <c r="K1976">
        <f>IF($U1976="","",INDEX(상세표[성명],$U1976)&amp;"")</f>
        <v/>
      </c>
      <c r="L1976">
        <f>IF($U1976="","",INDEX(상세표[직위],$U1976)&amp;"")</f>
        <v/>
      </c>
      <c r="M1976">
        <f>IF($U1976="","",IF(ISNUMBER(INDEX(상세표[근무일자],$U1976)),TEXT(INDEX(상세표[근무일자],$U1976),"yyyy-mm-dd"),INDEX(상세표[근무일자],$U1976)&amp;""))</f>
        <v/>
      </c>
      <c r="N1976">
        <f>IF($U1976="","",IF(ISNUMBER(INDEX(상세표[시작],$U1976)),TEXT(INDEX(상세표[시작],$U1976),"yyyy-mm-dd hh:mm"),INDEX(상세표[시작],$U1976)&amp;""))</f>
        <v/>
      </c>
      <c r="O1976">
        <f>IF($U1976="","",IF(ISNUMBER(INDEX(상세표[종료],$U1976)),TEXT(INDEX(상세표[종료],$U1976),"yyyy-mm-dd hh:mm"),INDEX(상세표[종료],$U1976)&amp;""))</f>
        <v/>
      </c>
      <c r="P1976">
        <f>IF($U1976="","",INDEX(상세표[06~07시],$U1976))</f>
        <v/>
      </c>
      <c r="Q1976">
        <f>IF($U1976="","",INDEX(상세표[07~18시],$U1976))</f>
        <v/>
      </c>
      <c r="R1976">
        <f>IF($U1976="","",INDEX(상세표[18~22시],$U1976))</f>
        <v/>
      </c>
      <c r="S1976">
        <f>IF($U1976="","",INDEX(상세표[22~06시],$U1976))</f>
        <v/>
      </c>
      <c r="T1976">
        <f>IF($U1976="","",INDEX(상세표[기록 시간외],$U1976))</f>
        <v/>
      </c>
      <c r="U1976" s="4">
        <f>IFERROR(MATCH(1971,상세표[발송순번],0),"")</f>
        <v/>
      </c>
    </row>
    <row r="1977">
      <c r="J1977">
        <f>IF($U1977="","",INDEX(상세표[사번],$U1977)&amp;"")</f>
        <v/>
      </c>
      <c r="K1977">
        <f>IF($U1977="","",INDEX(상세표[성명],$U1977)&amp;"")</f>
        <v/>
      </c>
      <c r="L1977">
        <f>IF($U1977="","",INDEX(상세표[직위],$U1977)&amp;"")</f>
        <v/>
      </c>
      <c r="M1977">
        <f>IF($U1977="","",IF(ISNUMBER(INDEX(상세표[근무일자],$U1977)),TEXT(INDEX(상세표[근무일자],$U1977),"yyyy-mm-dd"),INDEX(상세표[근무일자],$U1977)&amp;""))</f>
        <v/>
      </c>
      <c r="N1977">
        <f>IF($U1977="","",IF(ISNUMBER(INDEX(상세표[시작],$U1977)),TEXT(INDEX(상세표[시작],$U1977),"yyyy-mm-dd hh:mm"),INDEX(상세표[시작],$U1977)&amp;""))</f>
        <v/>
      </c>
      <c r="O1977">
        <f>IF($U1977="","",IF(ISNUMBER(INDEX(상세표[종료],$U1977)),TEXT(INDEX(상세표[종료],$U1977),"yyyy-mm-dd hh:mm"),INDEX(상세표[종료],$U1977)&amp;""))</f>
        <v/>
      </c>
      <c r="P1977">
        <f>IF($U1977="","",INDEX(상세표[06~07시],$U1977))</f>
        <v/>
      </c>
      <c r="Q1977">
        <f>IF($U1977="","",INDEX(상세표[07~18시],$U1977))</f>
        <v/>
      </c>
      <c r="R1977">
        <f>IF($U1977="","",INDEX(상세표[18~22시],$U1977))</f>
        <v/>
      </c>
      <c r="S1977">
        <f>IF($U1977="","",INDEX(상세표[22~06시],$U1977))</f>
        <v/>
      </c>
      <c r="T1977">
        <f>IF($U1977="","",INDEX(상세표[기록 시간외],$U1977))</f>
        <v/>
      </c>
      <c r="U1977" s="4">
        <f>IFERROR(MATCH(1972,상세표[발송순번],0),"")</f>
        <v/>
      </c>
    </row>
    <row r="1978">
      <c r="J1978">
        <f>IF($U1978="","",INDEX(상세표[사번],$U1978)&amp;"")</f>
        <v/>
      </c>
      <c r="K1978">
        <f>IF($U1978="","",INDEX(상세표[성명],$U1978)&amp;"")</f>
        <v/>
      </c>
      <c r="L1978">
        <f>IF($U1978="","",INDEX(상세표[직위],$U1978)&amp;"")</f>
        <v/>
      </c>
      <c r="M1978">
        <f>IF($U1978="","",IF(ISNUMBER(INDEX(상세표[근무일자],$U1978)),TEXT(INDEX(상세표[근무일자],$U1978),"yyyy-mm-dd"),INDEX(상세표[근무일자],$U1978)&amp;""))</f>
        <v/>
      </c>
      <c r="N1978">
        <f>IF($U1978="","",IF(ISNUMBER(INDEX(상세표[시작],$U1978)),TEXT(INDEX(상세표[시작],$U1978),"yyyy-mm-dd hh:mm"),INDEX(상세표[시작],$U1978)&amp;""))</f>
        <v/>
      </c>
      <c r="O1978">
        <f>IF($U1978="","",IF(ISNUMBER(INDEX(상세표[종료],$U1978)),TEXT(INDEX(상세표[종료],$U1978),"yyyy-mm-dd hh:mm"),INDEX(상세표[종료],$U1978)&amp;""))</f>
        <v/>
      </c>
      <c r="P1978">
        <f>IF($U1978="","",INDEX(상세표[06~07시],$U1978))</f>
        <v/>
      </c>
      <c r="Q1978">
        <f>IF($U1978="","",INDEX(상세표[07~18시],$U1978))</f>
        <v/>
      </c>
      <c r="R1978">
        <f>IF($U1978="","",INDEX(상세표[18~22시],$U1978))</f>
        <v/>
      </c>
      <c r="S1978">
        <f>IF($U1978="","",INDEX(상세표[22~06시],$U1978))</f>
        <v/>
      </c>
      <c r="T1978">
        <f>IF($U1978="","",INDEX(상세표[기록 시간외],$U1978))</f>
        <v/>
      </c>
      <c r="U1978" s="4">
        <f>IFERROR(MATCH(1973,상세표[발송순번],0),"")</f>
        <v/>
      </c>
    </row>
    <row r="1979">
      <c r="J1979">
        <f>IF($U1979="","",INDEX(상세표[사번],$U1979)&amp;"")</f>
        <v/>
      </c>
      <c r="K1979">
        <f>IF($U1979="","",INDEX(상세표[성명],$U1979)&amp;"")</f>
        <v/>
      </c>
      <c r="L1979">
        <f>IF($U1979="","",INDEX(상세표[직위],$U1979)&amp;"")</f>
        <v/>
      </c>
      <c r="M1979">
        <f>IF($U1979="","",IF(ISNUMBER(INDEX(상세표[근무일자],$U1979)),TEXT(INDEX(상세표[근무일자],$U1979),"yyyy-mm-dd"),INDEX(상세표[근무일자],$U1979)&amp;""))</f>
        <v/>
      </c>
      <c r="N1979">
        <f>IF($U1979="","",IF(ISNUMBER(INDEX(상세표[시작],$U1979)),TEXT(INDEX(상세표[시작],$U1979),"yyyy-mm-dd hh:mm"),INDEX(상세표[시작],$U1979)&amp;""))</f>
        <v/>
      </c>
      <c r="O1979">
        <f>IF($U1979="","",IF(ISNUMBER(INDEX(상세표[종료],$U1979)),TEXT(INDEX(상세표[종료],$U1979),"yyyy-mm-dd hh:mm"),INDEX(상세표[종료],$U1979)&amp;""))</f>
        <v/>
      </c>
      <c r="P1979">
        <f>IF($U1979="","",INDEX(상세표[06~07시],$U1979))</f>
        <v/>
      </c>
      <c r="Q1979">
        <f>IF($U1979="","",INDEX(상세표[07~18시],$U1979))</f>
        <v/>
      </c>
      <c r="R1979">
        <f>IF($U1979="","",INDEX(상세표[18~22시],$U1979))</f>
        <v/>
      </c>
      <c r="S1979">
        <f>IF($U1979="","",INDEX(상세표[22~06시],$U1979))</f>
        <v/>
      </c>
      <c r="T1979">
        <f>IF($U1979="","",INDEX(상세표[기록 시간외],$U1979))</f>
        <v/>
      </c>
      <c r="U1979" s="4">
        <f>IFERROR(MATCH(1974,상세표[발송순번],0),"")</f>
        <v/>
      </c>
    </row>
    <row r="1980">
      <c r="J1980">
        <f>IF($U1980="","",INDEX(상세표[사번],$U1980)&amp;"")</f>
        <v/>
      </c>
      <c r="K1980">
        <f>IF($U1980="","",INDEX(상세표[성명],$U1980)&amp;"")</f>
        <v/>
      </c>
      <c r="L1980">
        <f>IF($U1980="","",INDEX(상세표[직위],$U1980)&amp;"")</f>
        <v/>
      </c>
      <c r="M1980">
        <f>IF($U1980="","",IF(ISNUMBER(INDEX(상세표[근무일자],$U1980)),TEXT(INDEX(상세표[근무일자],$U1980),"yyyy-mm-dd"),INDEX(상세표[근무일자],$U1980)&amp;""))</f>
        <v/>
      </c>
      <c r="N1980">
        <f>IF($U1980="","",IF(ISNUMBER(INDEX(상세표[시작],$U1980)),TEXT(INDEX(상세표[시작],$U1980),"yyyy-mm-dd hh:mm"),INDEX(상세표[시작],$U1980)&amp;""))</f>
        <v/>
      </c>
      <c r="O1980">
        <f>IF($U1980="","",IF(ISNUMBER(INDEX(상세표[종료],$U1980)),TEXT(INDEX(상세표[종료],$U1980),"yyyy-mm-dd hh:mm"),INDEX(상세표[종료],$U1980)&amp;""))</f>
        <v/>
      </c>
      <c r="P1980">
        <f>IF($U1980="","",INDEX(상세표[06~07시],$U1980))</f>
        <v/>
      </c>
      <c r="Q1980">
        <f>IF($U1980="","",INDEX(상세표[07~18시],$U1980))</f>
        <v/>
      </c>
      <c r="R1980">
        <f>IF($U1980="","",INDEX(상세표[18~22시],$U1980))</f>
        <v/>
      </c>
      <c r="S1980">
        <f>IF($U1980="","",INDEX(상세표[22~06시],$U1980))</f>
        <v/>
      </c>
      <c r="T1980">
        <f>IF($U1980="","",INDEX(상세표[기록 시간외],$U1980))</f>
        <v/>
      </c>
      <c r="U1980" s="4">
        <f>IFERROR(MATCH(1975,상세표[발송순번],0),"")</f>
        <v/>
      </c>
    </row>
    <row r="1981">
      <c r="J1981">
        <f>IF($U1981="","",INDEX(상세표[사번],$U1981)&amp;"")</f>
        <v/>
      </c>
      <c r="K1981">
        <f>IF($U1981="","",INDEX(상세표[성명],$U1981)&amp;"")</f>
        <v/>
      </c>
      <c r="L1981">
        <f>IF($U1981="","",INDEX(상세표[직위],$U1981)&amp;"")</f>
        <v/>
      </c>
      <c r="M1981">
        <f>IF($U1981="","",IF(ISNUMBER(INDEX(상세표[근무일자],$U1981)),TEXT(INDEX(상세표[근무일자],$U1981),"yyyy-mm-dd"),INDEX(상세표[근무일자],$U1981)&amp;""))</f>
        <v/>
      </c>
      <c r="N1981">
        <f>IF($U1981="","",IF(ISNUMBER(INDEX(상세표[시작],$U1981)),TEXT(INDEX(상세표[시작],$U1981),"yyyy-mm-dd hh:mm"),INDEX(상세표[시작],$U1981)&amp;""))</f>
        <v/>
      </c>
      <c r="O1981">
        <f>IF($U1981="","",IF(ISNUMBER(INDEX(상세표[종료],$U1981)),TEXT(INDEX(상세표[종료],$U1981),"yyyy-mm-dd hh:mm"),INDEX(상세표[종료],$U1981)&amp;""))</f>
        <v/>
      </c>
      <c r="P1981">
        <f>IF($U1981="","",INDEX(상세표[06~07시],$U1981))</f>
        <v/>
      </c>
      <c r="Q1981">
        <f>IF($U1981="","",INDEX(상세표[07~18시],$U1981))</f>
        <v/>
      </c>
      <c r="R1981">
        <f>IF($U1981="","",INDEX(상세표[18~22시],$U1981))</f>
        <v/>
      </c>
      <c r="S1981">
        <f>IF($U1981="","",INDEX(상세표[22~06시],$U1981))</f>
        <v/>
      </c>
      <c r="T1981">
        <f>IF($U1981="","",INDEX(상세표[기록 시간외],$U1981))</f>
        <v/>
      </c>
      <c r="U1981" s="4">
        <f>IFERROR(MATCH(1976,상세표[발송순번],0),"")</f>
        <v/>
      </c>
    </row>
    <row r="1982">
      <c r="J1982">
        <f>IF($U1982="","",INDEX(상세표[사번],$U1982)&amp;"")</f>
        <v/>
      </c>
      <c r="K1982">
        <f>IF($U1982="","",INDEX(상세표[성명],$U1982)&amp;"")</f>
        <v/>
      </c>
      <c r="L1982">
        <f>IF($U1982="","",INDEX(상세표[직위],$U1982)&amp;"")</f>
        <v/>
      </c>
      <c r="M1982">
        <f>IF($U1982="","",IF(ISNUMBER(INDEX(상세표[근무일자],$U1982)),TEXT(INDEX(상세표[근무일자],$U1982),"yyyy-mm-dd"),INDEX(상세표[근무일자],$U1982)&amp;""))</f>
        <v/>
      </c>
      <c r="N1982">
        <f>IF($U1982="","",IF(ISNUMBER(INDEX(상세표[시작],$U1982)),TEXT(INDEX(상세표[시작],$U1982),"yyyy-mm-dd hh:mm"),INDEX(상세표[시작],$U1982)&amp;""))</f>
        <v/>
      </c>
      <c r="O1982">
        <f>IF($U1982="","",IF(ISNUMBER(INDEX(상세표[종료],$U1982)),TEXT(INDEX(상세표[종료],$U1982),"yyyy-mm-dd hh:mm"),INDEX(상세표[종료],$U1982)&amp;""))</f>
        <v/>
      </c>
      <c r="P1982">
        <f>IF($U1982="","",INDEX(상세표[06~07시],$U1982))</f>
        <v/>
      </c>
      <c r="Q1982">
        <f>IF($U1982="","",INDEX(상세표[07~18시],$U1982))</f>
        <v/>
      </c>
      <c r="R1982">
        <f>IF($U1982="","",INDEX(상세표[18~22시],$U1982))</f>
        <v/>
      </c>
      <c r="S1982">
        <f>IF($U1982="","",INDEX(상세표[22~06시],$U1982))</f>
        <v/>
      </c>
      <c r="T1982">
        <f>IF($U1982="","",INDEX(상세표[기록 시간외],$U1982))</f>
        <v/>
      </c>
      <c r="U1982" s="4">
        <f>IFERROR(MATCH(1977,상세표[발송순번],0),"")</f>
        <v/>
      </c>
    </row>
    <row r="1983">
      <c r="J1983">
        <f>IF($U1983="","",INDEX(상세표[사번],$U1983)&amp;"")</f>
        <v/>
      </c>
      <c r="K1983">
        <f>IF($U1983="","",INDEX(상세표[성명],$U1983)&amp;"")</f>
        <v/>
      </c>
      <c r="L1983">
        <f>IF($U1983="","",INDEX(상세표[직위],$U1983)&amp;"")</f>
        <v/>
      </c>
      <c r="M1983">
        <f>IF($U1983="","",IF(ISNUMBER(INDEX(상세표[근무일자],$U1983)),TEXT(INDEX(상세표[근무일자],$U1983),"yyyy-mm-dd"),INDEX(상세표[근무일자],$U1983)&amp;""))</f>
        <v/>
      </c>
      <c r="N1983">
        <f>IF($U1983="","",IF(ISNUMBER(INDEX(상세표[시작],$U1983)),TEXT(INDEX(상세표[시작],$U1983),"yyyy-mm-dd hh:mm"),INDEX(상세표[시작],$U1983)&amp;""))</f>
        <v/>
      </c>
      <c r="O1983">
        <f>IF($U1983="","",IF(ISNUMBER(INDEX(상세표[종료],$U1983)),TEXT(INDEX(상세표[종료],$U1983),"yyyy-mm-dd hh:mm"),INDEX(상세표[종료],$U1983)&amp;""))</f>
        <v/>
      </c>
      <c r="P1983">
        <f>IF($U1983="","",INDEX(상세표[06~07시],$U1983))</f>
        <v/>
      </c>
      <c r="Q1983">
        <f>IF($U1983="","",INDEX(상세표[07~18시],$U1983))</f>
        <v/>
      </c>
      <c r="R1983">
        <f>IF($U1983="","",INDEX(상세표[18~22시],$U1983))</f>
        <v/>
      </c>
      <c r="S1983">
        <f>IF($U1983="","",INDEX(상세표[22~06시],$U1983))</f>
        <v/>
      </c>
      <c r="T1983">
        <f>IF($U1983="","",INDEX(상세표[기록 시간외],$U1983))</f>
        <v/>
      </c>
      <c r="U1983" s="4">
        <f>IFERROR(MATCH(1978,상세표[발송순번],0),"")</f>
        <v/>
      </c>
    </row>
    <row r="1984">
      <c r="J1984">
        <f>IF($U1984="","",INDEX(상세표[사번],$U1984)&amp;"")</f>
        <v/>
      </c>
      <c r="K1984">
        <f>IF($U1984="","",INDEX(상세표[성명],$U1984)&amp;"")</f>
        <v/>
      </c>
      <c r="L1984">
        <f>IF($U1984="","",INDEX(상세표[직위],$U1984)&amp;"")</f>
        <v/>
      </c>
      <c r="M1984">
        <f>IF($U1984="","",IF(ISNUMBER(INDEX(상세표[근무일자],$U1984)),TEXT(INDEX(상세표[근무일자],$U1984),"yyyy-mm-dd"),INDEX(상세표[근무일자],$U1984)&amp;""))</f>
        <v/>
      </c>
      <c r="N1984">
        <f>IF($U1984="","",IF(ISNUMBER(INDEX(상세표[시작],$U1984)),TEXT(INDEX(상세표[시작],$U1984),"yyyy-mm-dd hh:mm"),INDEX(상세표[시작],$U1984)&amp;""))</f>
        <v/>
      </c>
      <c r="O1984">
        <f>IF($U1984="","",IF(ISNUMBER(INDEX(상세표[종료],$U1984)),TEXT(INDEX(상세표[종료],$U1984),"yyyy-mm-dd hh:mm"),INDEX(상세표[종료],$U1984)&amp;""))</f>
        <v/>
      </c>
      <c r="P1984">
        <f>IF($U1984="","",INDEX(상세표[06~07시],$U1984))</f>
        <v/>
      </c>
      <c r="Q1984">
        <f>IF($U1984="","",INDEX(상세표[07~18시],$U1984))</f>
        <v/>
      </c>
      <c r="R1984">
        <f>IF($U1984="","",INDEX(상세표[18~22시],$U1984))</f>
        <v/>
      </c>
      <c r="S1984">
        <f>IF($U1984="","",INDEX(상세표[22~06시],$U1984))</f>
        <v/>
      </c>
      <c r="T1984">
        <f>IF($U1984="","",INDEX(상세표[기록 시간외],$U1984))</f>
        <v/>
      </c>
      <c r="U1984" s="4">
        <f>IFERROR(MATCH(1979,상세표[발송순번],0),"")</f>
        <v/>
      </c>
    </row>
    <row r="1985">
      <c r="J1985">
        <f>IF($U1985="","",INDEX(상세표[사번],$U1985)&amp;"")</f>
        <v/>
      </c>
      <c r="K1985">
        <f>IF($U1985="","",INDEX(상세표[성명],$U1985)&amp;"")</f>
        <v/>
      </c>
      <c r="L1985">
        <f>IF($U1985="","",INDEX(상세표[직위],$U1985)&amp;"")</f>
        <v/>
      </c>
      <c r="M1985">
        <f>IF($U1985="","",IF(ISNUMBER(INDEX(상세표[근무일자],$U1985)),TEXT(INDEX(상세표[근무일자],$U1985),"yyyy-mm-dd"),INDEX(상세표[근무일자],$U1985)&amp;""))</f>
        <v/>
      </c>
      <c r="N1985">
        <f>IF($U1985="","",IF(ISNUMBER(INDEX(상세표[시작],$U1985)),TEXT(INDEX(상세표[시작],$U1985),"yyyy-mm-dd hh:mm"),INDEX(상세표[시작],$U1985)&amp;""))</f>
        <v/>
      </c>
      <c r="O1985">
        <f>IF($U1985="","",IF(ISNUMBER(INDEX(상세표[종료],$U1985)),TEXT(INDEX(상세표[종료],$U1985),"yyyy-mm-dd hh:mm"),INDEX(상세표[종료],$U1985)&amp;""))</f>
        <v/>
      </c>
      <c r="P1985">
        <f>IF($U1985="","",INDEX(상세표[06~07시],$U1985))</f>
        <v/>
      </c>
      <c r="Q1985">
        <f>IF($U1985="","",INDEX(상세표[07~18시],$U1985))</f>
        <v/>
      </c>
      <c r="R1985">
        <f>IF($U1985="","",INDEX(상세표[18~22시],$U1985))</f>
        <v/>
      </c>
      <c r="S1985">
        <f>IF($U1985="","",INDEX(상세표[22~06시],$U1985))</f>
        <v/>
      </c>
      <c r="T1985">
        <f>IF($U1985="","",INDEX(상세표[기록 시간외],$U1985))</f>
        <v/>
      </c>
      <c r="U1985" s="4">
        <f>IFERROR(MATCH(1980,상세표[발송순번],0),"")</f>
        <v/>
      </c>
    </row>
    <row r="1986">
      <c r="J1986">
        <f>IF($U1986="","",INDEX(상세표[사번],$U1986)&amp;"")</f>
        <v/>
      </c>
      <c r="K1986">
        <f>IF($U1986="","",INDEX(상세표[성명],$U1986)&amp;"")</f>
        <v/>
      </c>
      <c r="L1986">
        <f>IF($U1986="","",INDEX(상세표[직위],$U1986)&amp;"")</f>
        <v/>
      </c>
      <c r="M1986">
        <f>IF($U1986="","",IF(ISNUMBER(INDEX(상세표[근무일자],$U1986)),TEXT(INDEX(상세표[근무일자],$U1986),"yyyy-mm-dd"),INDEX(상세표[근무일자],$U1986)&amp;""))</f>
        <v/>
      </c>
      <c r="N1986">
        <f>IF($U1986="","",IF(ISNUMBER(INDEX(상세표[시작],$U1986)),TEXT(INDEX(상세표[시작],$U1986),"yyyy-mm-dd hh:mm"),INDEX(상세표[시작],$U1986)&amp;""))</f>
        <v/>
      </c>
      <c r="O1986">
        <f>IF($U1986="","",IF(ISNUMBER(INDEX(상세표[종료],$U1986)),TEXT(INDEX(상세표[종료],$U1986),"yyyy-mm-dd hh:mm"),INDEX(상세표[종료],$U1986)&amp;""))</f>
        <v/>
      </c>
      <c r="P1986">
        <f>IF($U1986="","",INDEX(상세표[06~07시],$U1986))</f>
        <v/>
      </c>
      <c r="Q1986">
        <f>IF($U1986="","",INDEX(상세표[07~18시],$U1986))</f>
        <v/>
      </c>
      <c r="R1986">
        <f>IF($U1986="","",INDEX(상세표[18~22시],$U1986))</f>
        <v/>
      </c>
      <c r="S1986">
        <f>IF($U1986="","",INDEX(상세표[22~06시],$U1986))</f>
        <v/>
      </c>
      <c r="T1986">
        <f>IF($U1986="","",INDEX(상세표[기록 시간외],$U1986))</f>
        <v/>
      </c>
      <c r="U1986" s="4">
        <f>IFERROR(MATCH(1981,상세표[발송순번],0),"")</f>
        <v/>
      </c>
    </row>
    <row r="1987">
      <c r="J1987">
        <f>IF($U1987="","",INDEX(상세표[사번],$U1987)&amp;"")</f>
        <v/>
      </c>
      <c r="K1987">
        <f>IF($U1987="","",INDEX(상세표[성명],$U1987)&amp;"")</f>
        <v/>
      </c>
      <c r="L1987">
        <f>IF($U1987="","",INDEX(상세표[직위],$U1987)&amp;"")</f>
        <v/>
      </c>
      <c r="M1987">
        <f>IF($U1987="","",IF(ISNUMBER(INDEX(상세표[근무일자],$U1987)),TEXT(INDEX(상세표[근무일자],$U1987),"yyyy-mm-dd"),INDEX(상세표[근무일자],$U1987)&amp;""))</f>
        <v/>
      </c>
      <c r="N1987">
        <f>IF($U1987="","",IF(ISNUMBER(INDEX(상세표[시작],$U1987)),TEXT(INDEX(상세표[시작],$U1987),"yyyy-mm-dd hh:mm"),INDEX(상세표[시작],$U1987)&amp;""))</f>
        <v/>
      </c>
      <c r="O1987">
        <f>IF($U1987="","",IF(ISNUMBER(INDEX(상세표[종료],$U1987)),TEXT(INDEX(상세표[종료],$U1987),"yyyy-mm-dd hh:mm"),INDEX(상세표[종료],$U1987)&amp;""))</f>
        <v/>
      </c>
      <c r="P1987">
        <f>IF($U1987="","",INDEX(상세표[06~07시],$U1987))</f>
        <v/>
      </c>
      <c r="Q1987">
        <f>IF($U1987="","",INDEX(상세표[07~18시],$U1987))</f>
        <v/>
      </c>
      <c r="R1987">
        <f>IF($U1987="","",INDEX(상세표[18~22시],$U1987))</f>
        <v/>
      </c>
      <c r="S1987">
        <f>IF($U1987="","",INDEX(상세표[22~06시],$U1987))</f>
        <v/>
      </c>
      <c r="T1987">
        <f>IF($U1987="","",INDEX(상세표[기록 시간외],$U1987))</f>
        <v/>
      </c>
      <c r="U1987" s="4">
        <f>IFERROR(MATCH(1982,상세표[발송순번],0),"")</f>
        <v/>
      </c>
    </row>
    <row r="1988">
      <c r="J1988">
        <f>IF($U1988="","",INDEX(상세표[사번],$U1988)&amp;"")</f>
        <v/>
      </c>
      <c r="K1988">
        <f>IF($U1988="","",INDEX(상세표[성명],$U1988)&amp;"")</f>
        <v/>
      </c>
      <c r="L1988">
        <f>IF($U1988="","",INDEX(상세표[직위],$U1988)&amp;"")</f>
        <v/>
      </c>
      <c r="M1988">
        <f>IF($U1988="","",IF(ISNUMBER(INDEX(상세표[근무일자],$U1988)),TEXT(INDEX(상세표[근무일자],$U1988),"yyyy-mm-dd"),INDEX(상세표[근무일자],$U1988)&amp;""))</f>
        <v/>
      </c>
      <c r="N1988">
        <f>IF($U1988="","",IF(ISNUMBER(INDEX(상세표[시작],$U1988)),TEXT(INDEX(상세표[시작],$U1988),"yyyy-mm-dd hh:mm"),INDEX(상세표[시작],$U1988)&amp;""))</f>
        <v/>
      </c>
      <c r="O1988">
        <f>IF($U1988="","",IF(ISNUMBER(INDEX(상세표[종료],$U1988)),TEXT(INDEX(상세표[종료],$U1988),"yyyy-mm-dd hh:mm"),INDEX(상세표[종료],$U1988)&amp;""))</f>
        <v/>
      </c>
      <c r="P1988">
        <f>IF($U1988="","",INDEX(상세표[06~07시],$U1988))</f>
        <v/>
      </c>
      <c r="Q1988">
        <f>IF($U1988="","",INDEX(상세표[07~18시],$U1988))</f>
        <v/>
      </c>
      <c r="R1988">
        <f>IF($U1988="","",INDEX(상세표[18~22시],$U1988))</f>
        <v/>
      </c>
      <c r="S1988">
        <f>IF($U1988="","",INDEX(상세표[22~06시],$U1988))</f>
        <v/>
      </c>
      <c r="T1988">
        <f>IF($U1988="","",INDEX(상세표[기록 시간외],$U1988))</f>
        <v/>
      </c>
      <c r="U1988" s="4">
        <f>IFERROR(MATCH(1983,상세표[발송순번],0),"")</f>
        <v/>
      </c>
    </row>
    <row r="1989">
      <c r="J1989">
        <f>IF($U1989="","",INDEX(상세표[사번],$U1989)&amp;"")</f>
        <v/>
      </c>
      <c r="K1989">
        <f>IF($U1989="","",INDEX(상세표[성명],$U1989)&amp;"")</f>
        <v/>
      </c>
      <c r="L1989">
        <f>IF($U1989="","",INDEX(상세표[직위],$U1989)&amp;"")</f>
        <v/>
      </c>
      <c r="M1989">
        <f>IF($U1989="","",IF(ISNUMBER(INDEX(상세표[근무일자],$U1989)),TEXT(INDEX(상세표[근무일자],$U1989),"yyyy-mm-dd"),INDEX(상세표[근무일자],$U1989)&amp;""))</f>
        <v/>
      </c>
      <c r="N1989">
        <f>IF($U1989="","",IF(ISNUMBER(INDEX(상세표[시작],$U1989)),TEXT(INDEX(상세표[시작],$U1989),"yyyy-mm-dd hh:mm"),INDEX(상세표[시작],$U1989)&amp;""))</f>
        <v/>
      </c>
      <c r="O1989">
        <f>IF($U1989="","",IF(ISNUMBER(INDEX(상세표[종료],$U1989)),TEXT(INDEX(상세표[종료],$U1989),"yyyy-mm-dd hh:mm"),INDEX(상세표[종료],$U1989)&amp;""))</f>
        <v/>
      </c>
      <c r="P1989">
        <f>IF($U1989="","",INDEX(상세표[06~07시],$U1989))</f>
        <v/>
      </c>
      <c r="Q1989">
        <f>IF($U1989="","",INDEX(상세표[07~18시],$U1989))</f>
        <v/>
      </c>
      <c r="R1989">
        <f>IF($U1989="","",INDEX(상세표[18~22시],$U1989))</f>
        <v/>
      </c>
      <c r="S1989">
        <f>IF($U1989="","",INDEX(상세표[22~06시],$U1989))</f>
        <v/>
      </c>
      <c r="T1989">
        <f>IF($U1989="","",INDEX(상세표[기록 시간외],$U1989))</f>
        <v/>
      </c>
      <c r="U1989" s="4">
        <f>IFERROR(MATCH(1984,상세표[발송순번],0),"")</f>
        <v/>
      </c>
    </row>
    <row r="1990">
      <c r="J1990">
        <f>IF($U1990="","",INDEX(상세표[사번],$U1990)&amp;"")</f>
        <v/>
      </c>
      <c r="K1990">
        <f>IF($U1990="","",INDEX(상세표[성명],$U1990)&amp;"")</f>
        <v/>
      </c>
      <c r="L1990">
        <f>IF($U1990="","",INDEX(상세표[직위],$U1990)&amp;"")</f>
        <v/>
      </c>
      <c r="M1990">
        <f>IF($U1990="","",IF(ISNUMBER(INDEX(상세표[근무일자],$U1990)),TEXT(INDEX(상세표[근무일자],$U1990),"yyyy-mm-dd"),INDEX(상세표[근무일자],$U1990)&amp;""))</f>
        <v/>
      </c>
      <c r="N1990">
        <f>IF($U1990="","",IF(ISNUMBER(INDEX(상세표[시작],$U1990)),TEXT(INDEX(상세표[시작],$U1990),"yyyy-mm-dd hh:mm"),INDEX(상세표[시작],$U1990)&amp;""))</f>
        <v/>
      </c>
      <c r="O1990">
        <f>IF($U1990="","",IF(ISNUMBER(INDEX(상세표[종료],$U1990)),TEXT(INDEX(상세표[종료],$U1990),"yyyy-mm-dd hh:mm"),INDEX(상세표[종료],$U1990)&amp;""))</f>
        <v/>
      </c>
      <c r="P1990">
        <f>IF($U1990="","",INDEX(상세표[06~07시],$U1990))</f>
        <v/>
      </c>
      <c r="Q1990">
        <f>IF($U1990="","",INDEX(상세표[07~18시],$U1990))</f>
        <v/>
      </c>
      <c r="R1990">
        <f>IF($U1990="","",INDEX(상세표[18~22시],$U1990))</f>
        <v/>
      </c>
      <c r="S1990">
        <f>IF($U1990="","",INDEX(상세표[22~06시],$U1990))</f>
        <v/>
      </c>
      <c r="T1990">
        <f>IF($U1990="","",INDEX(상세표[기록 시간외],$U1990))</f>
        <v/>
      </c>
      <c r="U1990" s="4">
        <f>IFERROR(MATCH(1985,상세표[발송순번],0),"")</f>
        <v/>
      </c>
    </row>
    <row r="1991">
      <c r="J1991">
        <f>IF($U1991="","",INDEX(상세표[사번],$U1991)&amp;"")</f>
        <v/>
      </c>
      <c r="K1991">
        <f>IF($U1991="","",INDEX(상세표[성명],$U1991)&amp;"")</f>
        <v/>
      </c>
      <c r="L1991">
        <f>IF($U1991="","",INDEX(상세표[직위],$U1991)&amp;"")</f>
        <v/>
      </c>
      <c r="M1991">
        <f>IF($U1991="","",IF(ISNUMBER(INDEX(상세표[근무일자],$U1991)),TEXT(INDEX(상세표[근무일자],$U1991),"yyyy-mm-dd"),INDEX(상세표[근무일자],$U1991)&amp;""))</f>
        <v/>
      </c>
      <c r="N1991">
        <f>IF($U1991="","",IF(ISNUMBER(INDEX(상세표[시작],$U1991)),TEXT(INDEX(상세표[시작],$U1991),"yyyy-mm-dd hh:mm"),INDEX(상세표[시작],$U1991)&amp;""))</f>
        <v/>
      </c>
      <c r="O1991">
        <f>IF($U1991="","",IF(ISNUMBER(INDEX(상세표[종료],$U1991)),TEXT(INDEX(상세표[종료],$U1991),"yyyy-mm-dd hh:mm"),INDEX(상세표[종료],$U1991)&amp;""))</f>
        <v/>
      </c>
      <c r="P1991">
        <f>IF($U1991="","",INDEX(상세표[06~07시],$U1991))</f>
        <v/>
      </c>
      <c r="Q1991">
        <f>IF($U1991="","",INDEX(상세표[07~18시],$U1991))</f>
        <v/>
      </c>
      <c r="R1991">
        <f>IF($U1991="","",INDEX(상세표[18~22시],$U1991))</f>
        <v/>
      </c>
      <c r="S1991">
        <f>IF($U1991="","",INDEX(상세표[22~06시],$U1991))</f>
        <v/>
      </c>
      <c r="T1991">
        <f>IF($U1991="","",INDEX(상세표[기록 시간외],$U1991))</f>
        <v/>
      </c>
      <c r="U1991" s="4">
        <f>IFERROR(MATCH(1986,상세표[발송순번],0),"")</f>
        <v/>
      </c>
    </row>
    <row r="1992">
      <c r="J1992">
        <f>IF($U1992="","",INDEX(상세표[사번],$U1992)&amp;"")</f>
        <v/>
      </c>
      <c r="K1992">
        <f>IF($U1992="","",INDEX(상세표[성명],$U1992)&amp;"")</f>
        <v/>
      </c>
      <c r="L1992">
        <f>IF($U1992="","",INDEX(상세표[직위],$U1992)&amp;"")</f>
        <v/>
      </c>
      <c r="M1992">
        <f>IF($U1992="","",IF(ISNUMBER(INDEX(상세표[근무일자],$U1992)),TEXT(INDEX(상세표[근무일자],$U1992),"yyyy-mm-dd"),INDEX(상세표[근무일자],$U1992)&amp;""))</f>
        <v/>
      </c>
      <c r="N1992">
        <f>IF($U1992="","",IF(ISNUMBER(INDEX(상세표[시작],$U1992)),TEXT(INDEX(상세표[시작],$U1992),"yyyy-mm-dd hh:mm"),INDEX(상세표[시작],$U1992)&amp;""))</f>
        <v/>
      </c>
      <c r="O1992">
        <f>IF($U1992="","",IF(ISNUMBER(INDEX(상세표[종료],$U1992)),TEXT(INDEX(상세표[종료],$U1992),"yyyy-mm-dd hh:mm"),INDEX(상세표[종료],$U1992)&amp;""))</f>
        <v/>
      </c>
      <c r="P1992">
        <f>IF($U1992="","",INDEX(상세표[06~07시],$U1992))</f>
        <v/>
      </c>
      <c r="Q1992">
        <f>IF($U1992="","",INDEX(상세표[07~18시],$U1992))</f>
        <v/>
      </c>
      <c r="R1992">
        <f>IF($U1992="","",INDEX(상세표[18~22시],$U1992))</f>
        <v/>
      </c>
      <c r="S1992">
        <f>IF($U1992="","",INDEX(상세표[22~06시],$U1992))</f>
        <v/>
      </c>
      <c r="T1992">
        <f>IF($U1992="","",INDEX(상세표[기록 시간외],$U1992))</f>
        <v/>
      </c>
      <c r="U1992" s="4">
        <f>IFERROR(MATCH(1987,상세표[발송순번],0),"")</f>
        <v/>
      </c>
    </row>
    <row r="1993">
      <c r="J1993">
        <f>IF($U1993="","",INDEX(상세표[사번],$U1993)&amp;"")</f>
        <v/>
      </c>
      <c r="K1993">
        <f>IF($U1993="","",INDEX(상세표[성명],$U1993)&amp;"")</f>
        <v/>
      </c>
      <c r="L1993">
        <f>IF($U1993="","",INDEX(상세표[직위],$U1993)&amp;"")</f>
        <v/>
      </c>
      <c r="M1993">
        <f>IF($U1993="","",IF(ISNUMBER(INDEX(상세표[근무일자],$U1993)),TEXT(INDEX(상세표[근무일자],$U1993),"yyyy-mm-dd"),INDEX(상세표[근무일자],$U1993)&amp;""))</f>
        <v/>
      </c>
      <c r="N1993">
        <f>IF($U1993="","",IF(ISNUMBER(INDEX(상세표[시작],$U1993)),TEXT(INDEX(상세표[시작],$U1993),"yyyy-mm-dd hh:mm"),INDEX(상세표[시작],$U1993)&amp;""))</f>
        <v/>
      </c>
      <c r="O1993">
        <f>IF($U1993="","",IF(ISNUMBER(INDEX(상세표[종료],$U1993)),TEXT(INDEX(상세표[종료],$U1993),"yyyy-mm-dd hh:mm"),INDEX(상세표[종료],$U1993)&amp;""))</f>
        <v/>
      </c>
      <c r="P1993">
        <f>IF($U1993="","",INDEX(상세표[06~07시],$U1993))</f>
        <v/>
      </c>
      <c r="Q1993">
        <f>IF($U1993="","",INDEX(상세표[07~18시],$U1993))</f>
        <v/>
      </c>
      <c r="R1993">
        <f>IF($U1993="","",INDEX(상세표[18~22시],$U1993))</f>
        <v/>
      </c>
      <c r="S1993">
        <f>IF($U1993="","",INDEX(상세표[22~06시],$U1993))</f>
        <v/>
      </c>
      <c r="T1993">
        <f>IF($U1993="","",INDEX(상세표[기록 시간외],$U1993))</f>
        <v/>
      </c>
      <c r="U1993" s="4">
        <f>IFERROR(MATCH(1988,상세표[발송순번],0),"")</f>
        <v/>
      </c>
    </row>
    <row r="1994">
      <c r="J1994">
        <f>IF($U1994="","",INDEX(상세표[사번],$U1994)&amp;"")</f>
        <v/>
      </c>
      <c r="K1994">
        <f>IF($U1994="","",INDEX(상세표[성명],$U1994)&amp;"")</f>
        <v/>
      </c>
      <c r="L1994">
        <f>IF($U1994="","",INDEX(상세표[직위],$U1994)&amp;"")</f>
        <v/>
      </c>
      <c r="M1994">
        <f>IF($U1994="","",IF(ISNUMBER(INDEX(상세표[근무일자],$U1994)),TEXT(INDEX(상세표[근무일자],$U1994),"yyyy-mm-dd"),INDEX(상세표[근무일자],$U1994)&amp;""))</f>
        <v/>
      </c>
      <c r="N1994">
        <f>IF($U1994="","",IF(ISNUMBER(INDEX(상세표[시작],$U1994)),TEXT(INDEX(상세표[시작],$U1994),"yyyy-mm-dd hh:mm"),INDEX(상세표[시작],$U1994)&amp;""))</f>
        <v/>
      </c>
      <c r="O1994">
        <f>IF($U1994="","",IF(ISNUMBER(INDEX(상세표[종료],$U1994)),TEXT(INDEX(상세표[종료],$U1994),"yyyy-mm-dd hh:mm"),INDEX(상세표[종료],$U1994)&amp;""))</f>
        <v/>
      </c>
      <c r="P1994">
        <f>IF($U1994="","",INDEX(상세표[06~07시],$U1994))</f>
        <v/>
      </c>
      <c r="Q1994">
        <f>IF($U1994="","",INDEX(상세표[07~18시],$U1994))</f>
        <v/>
      </c>
      <c r="R1994">
        <f>IF($U1994="","",INDEX(상세표[18~22시],$U1994))</f>
        <v/>
      </c>
      <c r="S1994">
        <f>IF($U1994="","",INDEX(상세표[22~06시],$U1994))</f>
        <v/>
      </c>
      <c r="T1994">
        <f>IF($U1994="","",INDEX(상세표[기록 시간외],$U1994))</f>
        <v/>
      </c>
      <c r="U1994" s="4">
        <f>IFERROR(MATCH(1989,상세표[발송순번],0),"")</f>
        <v/>
      </c>
    </row>
    <row r="1995">
      <c r="J1995">
        <f>IF($U1995="","",INDEX(상세표[사번],$U1995)&amp;"")</f>
        <v/>
      </c>
      <c r="K1995">
        <f>IF($U1995="","",INDEX(상세표[성명],$U1995)&amp;"")</f>
        <v/>
      </c>
      <c r="L1995">
        <f>IF($U1995="","",INDEX(상세표[직위],$U1995)&amp;"")</f>
        <v/>
      </c>
      <c r="M1995">
        <f>IF($U1995="","",IF(ISNUMBER(INDEX(상세표[근무일자],$U1995)),TEXT(INDEX(상세표[근무일자],$U1995),"yyyy-mm-dd"),INDEX(상세표[근무일자],$U1995)&amp;""))</f>
        <v/>
      </c>
      <c r="N1995">
        <f>IF($U1995="","",IF(ISNUMBER(INDEX(상세표[시작],$U1995)),TEXT(INDEX(상세표[시작],$U1995),"yyyy-mm-dd hh:mm"),INDEX(상세표[시작],$U1995)&amp;""))</f>
        <v/>
      </c>
      <c r="O1995">
        <f>IF($U1995="","",IF(ISNUMBER(INDEX(상세표[종료],$U1995)),TEXT(INDEX(상세표[종료],$U1995),"yyyy-mm-dd hh:mm"),INDEX(상세표[종료],$U1995)&amp;""))</f>
        <v/>
      </c>
      <c r="P1995">
        <f>IF($U1995="","",INDEX(상세표[06~07시],$U1995))</f>
        <v/>
      </c>
      <c r="Q1995">
        <f>IF($U1995="","",INDEX(상세표[07~18시],$U1995))</f>
        <v/>
      </c>
      <c r="R1995">
        <f>IF($U1995="","",INDEX(상세표[18~22시],$U1995))</f>
        <v/>
      </c>
      <c r="S1995">
        <f>IF($U1995="","",INDEX(상세표[22~06시],$U1995))</f>
        <v/>
      </c>
      <c r="T1995">
        <f>IF($U1995="","",INDEX(상세표[기록 시간외],$U1995))</f>
        <v/>
      </c>
      <c r="U1995" s="4">
        <f>IFERROR(MATCH(1990,상세표[발송순번],0),"")</f>
        <v/>
      </c>
    </row>
    <row r="1996">
      <c r="J1996">
        <f>IF($U1996="","",INDEX(상세표[사번],$U1996)&amp;"")</f>
        <v/>
      </c>
      <c r="K1996">
        <f>IF($U1996="","",INDEX(상세표[성명],$U1996)&amp;"")</f>
        <v/>
      </c>
      <c r="L1996">
        <f>IF($U1996="","",INDEX(상세표[직위],$U1996)&amp;"")</f>
        <v/>
      </c>
      <c r="M1996">
        <f>IF($U1996="","",IF(ISNUMBER(INDEX(상세표[근무일자],$U1996)),TEXT(INDEX(상세표[근무일자],$U1996),"yyyy-mm-dd"),INDEX(상세표[근무일자],$U1996)&amp;""))</f>
        <v/>
      </c>
      <c r="N1996">
        <f>IF($U1996="","",IF(ISNUMBER(INDEX(상세표[시작],$U1996)),TEXT(INDEX(상세표[시작],$U1996),"yyyy-mm-dd hh:mm"),INDEX(상세표[시작],$U1996)&amp;""))</f>
        <v/>
      </c>
      <c r="O1996">
        <f>IF($U1996="","",IF(ISNUMBER(INDEX(상세표[종료],$U1996)),TEXT(INDEX(상세표[종료],$U1996),"yyyy-mm-dd hh:mm"),INDEX(상세표[종료],$U1996)&amp;""))</f>
        <v/>
      </c>
      <c r="P1996">
        <f>IF($U1996="","",INDEX(상세표[06~07시],$U1996))</f>
        <v/>
      </c>
      <c r="Q1996">
        <f>IF($U1996="","",INDEX(상세표[07~18시],$U1996))</f>
        <v/>
      </c>
      <c r="R1996">
        <f>IF($U1996="","",INDEX(상세표[18~22시],$U1996))</f>
        <v/>
      </c>
      <c r="S1996">
        <f>IF($U1996="","",INDEX(상세표[22~06시],$U1996))</f>
        <v/>
      </c>
      <c r="T1996">
        <f>IF($U1996="","",INDEX(상세표[기록 시간외],$U1996))</f>
        <v/>
      </c>
      <c r="U1996" s="4">
        <f>IFERROR(MATCH(1991,상세표[발송순번],0),"")</f>
        <v/>
      </c>
    </row>
    <row r="1997">
      <c r="J1997">
        <f>IF($U1997="","",INDEX(상세표[사번],$U1997)&amp;"")</f>
        <v/>
      </c>
      <c r="K1997">
        <f>IF($U1997="","",INDEX(상세표[성명],$U1997)&amp;"")</f>
        <v/>
      </c>
      <c r="L1997">
        <f>IF($U1997="","",INDEX(상세표[직위],$U1997)&amp;"")</f>
        <v/>
      </c>
      <c r="M1997">
        <f>IF($U1997="","",IF(ISNUMBER(INDEX(상세표[근무일자],$U1997)),TEXT(INDEX(상세표[근무일자],$U1997),"yyyy-mm-dd"),INDEX(상세표[근무일자],$U1997)&amp;""))</f>
        <v/>
      </c>
      <c r="N1997">
        <f>IF($U1997="","",IF(ISNUMBER(INDEX(상세표[시작],$U1997)),TEXT(INDEX(상세표[시작],$U1997),"yyyy-mm-dd hh:mm"),INDEX(상세표[시작],$U1997)&amp;""))</f>
        <v/>
      </c>
      <c r="O1997">
        <f>IF($U1997="","",IF(ISNUMBER(INDEX(상세표[종료],$U1997)),TEXT(INDEX(상세표[종료],$U1997),"yyyy-mm-dd hh:mm"),INDEX(상세표[종료],$U1997)&amp;""))</f>
        <v/>
      </c>
      <c r="P1997">
        <f>IF($U1997="","",INDEX(상세표[06~07시],$U1997))</f>
        <v/>
      </c>
      <c r="Q1997">
        <f>IF($U1997="","",INDEX(상세표[07~18시],$U1997))</f>
        <v/>
      </c>
      <c r="R1997">
        <f>IF($U1997="","",INDEX(상세표[18~22시],$U1997))</f>
        <v/>
      </c>
      <c r="S1997">
        <f>IF($U1997="","",INDEX(상세표[22~06시],$U1997))</f>
        <v/>
      </c>
      <c r="T1997">
        <f>IF($U1997="","",INDEX(상세표[기록 시간외],$U1997))</f>
        <v/>
      </c>
      <c r="U1997" s="4">
        <f>IFERROR(MATCH(1992,상세표[발송순번],0),"")</f>
        <v/>
      </c>
    </row>
    <row r="1998">
      <c r="J1998">
        <f>IF($U1998="","",INDEX(상세표[사번],$U1998)&amp;"")</f>
        <v/>
      </c>
      <c r="K1998">
        <f>IF($U1998="","",INDEX(상세표[성명],$U1998)&amp;"")</f>
        <v/>
      </c>
      <c r="L1998">
        <f>IF($U1998="","",INDEX(상세표[직위],$U1998)&amp;"")</f>
        <v/>
      </c>
      <c r="M1998">
        <f>IF($U1998="","",IF(ISNUMBER(INDEX(상세표[근무일자],$U1998)),TEXT(INDEX(상세표[근무일자],$U1998),"yyyy-mm-dd"),INDEX(상세표[근무일자],$U1998)&amp;""))</f>
        <v/>
      </c>
      <c r="N1998">
        <f>IF($U1998="","",IF(ISNUMBER(INDEX(상세표[시작],$U1998)),TEXT(INDEX(상세표[시작],$U1998),"yyyy-mm-dd hh:mm"),INDEX(상세표[시작],$U1998)&amp;""))</f>
        <v/>
      </c>
      <c r="O1998">
        <f>IF($U1998="","",IF(ISNUMBER(INDEX(상세표[종료],$U1998)),TEXT(INDEX(상세표[종료],$U1998),"yyyy-mm-dd hh:mm"),INDEX(상세표[종료],$U1998)&amp;""))</f>
        <v/>
      </c>
      <c r="P1998">
        <f>IF($U1998="","",INDEX(상세표[06~07시],$U1998))</f>
        <v/>
      </c>
      <c r="Q1998">
        <f>IF($U1998="","",INDEX(상세표[07~18시],$U1998))</f>
        <v/>
      </c>
      <c r="R1998">
        <f>IF($U1998="","",INDEX(상세표[18~22시],$U1998))</f>
        <v/>
      </c>
      <c r="S1998">
        <f>IF($U1998="","",INDEX(상세표[22~06시],$U1998))</f>
        <v/>
      </c>
      <c r="T1998">
        <f>IF($U1998="","",INDEX(상세표[기록 시간외],$U1998))</f>
        <v/>
      </c>
      <c r="U1998" s="4">
        <f>IFERROR(MATCH(1993,상세표[발송순번],0),"")</f>
        <v/>
      </c>
    </row>
    <row r="1999">
      <c r="J1999">
        <f>IF($U1999="","",INDEX(상세표[사번],$U1999)&amp;"")</f>
        <v/>
      </c>
      <c r="K1999">
        <f>IF($U1999="","",INDEX(상세표[성명],$U1999)&amp;"")</f>
        <v/>
      </c>
      <c r="L1999">
        <f>IF($U1999="","",INDEX(상세표[직위],$U1999)&amp;"")</f>
        <v/>
      </c>
      <c r="M1999">
        <f>IF($U1999="","",IF(ISNUMBER(INDEX(상세표[근무일자],$U1999)),TEXT(INDEX(상세표[근무일자],$U1999),"yyyy-mm-dd"),INDEX(상세표[근무일자],$U1999)&amp;""))</f>
        <v/>
      </c>
      <c r="N1999">
        <f>IF($U1999="","",IF(ISNUMBER(INDEX(상세표[시작],$U1999)),TEXT(INDEX(상세표[시작],$U1999),"yyyy-mm-dd hh:mm"),INDEX(상세표[시작],$U1999)&amp;""))</f>
        <v/>
      </c>
      <c r="O1999">
        <f>IF($U1999="","",IF(ISNUMBER(INDEX(상세표[종료],$U1999)),TEXT(INDEX(상세표[종료],$U1999),"yyyy-mm-dd hh:mm"),INDEX(상세표[종료],$U1999)&amp;""))</f>
        <v/>
      </c>
      <c r="P1999">
        <f>IF($U1999="","",INDEX(상세표[06~07시],$U1999))</f>
        <v/>
      </c>
      <c r="Q1999">
        <f>IF($U1999="","",INDEX(상세표[07~18시],$U1999))</f>
        <v/>
      </c>
      <c r="R1999">
        <f>IF($U1999="","",INDEX(상세표[18~22시],$U1999))</f>
        <v/>
      </c>
      <c r="S1999">
        <f>IF($U1999="","",INDEX(상세표[22~06시],$U1999))</f>
        <v/>
      </c>
      <c r="T1999">
        <f>IF($U1999="","",INDEX(상세표[기록 시간외],$U1999))</f>
        <v/>
      </c>
      <c r="U1999" s="4">
        <f>IFERROR(MATCH(1994,상세표[발송순번],0),"")</f>
        <v/>
      </c>
    </row>
    <row r="2000">
      <c r="J2000">
        <f>IF($U2000="","",INDEX(상세표[사번],$U2000)&amp;"")</f>
        <v/>
      </c>
      <c r="K2000">
        <f>IF($U2000="","",INDEX(상세표[성명],$U2000)&amp;"")</f>
        <v/>
      </c>
      <c r="L2000">
        <f>IF($U2000="","",INDEX(상세표[직위],$U2000)&amp;"")</f>
        <v/>
      </c>
      <c r="M2000">
        <f>IF($U2000="","",IF(ISNUMBER(INDEX(상세표[근무일자],$U2000)),TEXT(INDEX(상세표[근무일자],$U2000),"yyyy-mm-dd"),INDEX(상세표[근무일자],$U2000)&amp;""))</f>
        <v/>
      </c>
      <c r="N2000">
        <f>IF($U2000="","",IF(ISNUMBER(INDEX(상세표[시작],$U2000)),TEXT(INDEX(상세표[시작],$U2000),"yyyy-mm-dd hh:mm"),INDEX(상세표[시작],$U2000)&amp;""))</f>
        <v/>
      </c>
      <c r="O2000">
        <f>IF($U2000="","",IF(ISNUMBER(INDEX(상세표[종료],$U2000)),TEXT(INDEX(상세표[종료],$U2000),"yyyy-mm-dd hh:mm"),INDEX(상세표[종료],$U2000)&amp;""))</f>
        <v/>
      </c>
      <c r="P2000">
        <f>IF($U2000="","",INDEX(상세표[06~07시],$U2000))</f>
        <v/>
      </c>
      <c r="Q2000">
        <f>IF($U2000="","",INDEX(상세표[07~18시],$U2000))</f>
        <v/>
      </c>
      <c r="R2000">
        <f>IF($U2000="","",INDEX(상세표[18~22시],$U2000))</f>
        <v/>
      </c>
      <c r="S2000">
        <f>IF($U2000="","",INDEX(상세표[22~06시],$U2000))</f>
        <v/>
      </c>
      <c r="T2000">
        <f>IF($U2000="","",INDEX(상세표[기록 시간외],$U2000))</f>
        <v/>
      </c>
      <c r="U2000" s="4">
        <f>IFERROR(MATCH(1995,상세표[발송순번],0),"")</f>
        <v/>
      </c>
    </row>
    <row r="2001">
      <c r="J2001">
        <f>IF($U2001="","",INDEX(상세표[사번],$U2001)&amp;"")</f>
        <v/>
      </c>
      <c r="K2001">
        <f>IF($U2001="","",INDEX(상세표[성명],$U2001)&amp;"")</f>
        <v/>
      </c>
      <c r="L2001">
        <f>IF($U2001="","",INDEX(상세표[직위],$U2001)&amp;"")</f>
        <v/>
      </c>
      <c r="M2001">
        <f>IF($U2001="","",IF(ISNUMBER(INDEX(상세표[근무일자],$U2001)),TEXT(INDEX(상세표[근무일자],$U2001),"yyyy-mm-dd"),INDEX(상세표[근무일자],$U2001)&amp;""))</f>
        <v/>
      </c>
      <c r="N2001">
        <f>IF($U2001="","",IF(ISNUMBER(INDEX(상세표[시작],$U2001)),TEXT(INDEX(상세표[시작],$U2001),"yyyy-mm-dd hh:mm"),INDEX(상세표[시작],$U2001)&amp;""))</f>
        <v/>
      </c>
      <c r="O2001">
        <f>IF($U2001="","",IF(ISNUMBER(INDEX(상세표[종료],$U2001)),TEXT(INDEX(상세표[종료],$U2001),"yyyy-mm-dd hh:mm"),INDEX(상세표[종료],$U2001)&amp;""))</f>
        <v/>
      </c>
      <c r="P2001">
        <f>IF($U2001="","",INDEX(상세표[06~07시],$U2001))</f>
        <v/>
      </c>
      <c r="Q2001">
        <f>IF($U2001="","",INDEX(상세표[07~18시],$U2001))</f>
        <v/>
      </c>
      <c r="R2001">
        <f>IF($U2001="","",INDEX(상세표[18~22시],$U2001))</f>
        <v/>
      </c>
      <c r="S2001">
        <f>IF($U2001="","",INDEX(상세표[22~06시],$U2001))</f>
        <v/>
      </c>
      <c r="T2001">
        <f>IF($U2001="","",INDEX(상세표[기록 시간외],$U2001))</f>
        <v/>
      </c>
      <c r="U2001" s="4">
        <f>IFERROR(MATCH(1996,상세표[발송순번],0),"")</f>
        <v/>
      </c>
    </row>
    <row r="2002">
      <c r="J2002">
        <f>IF($U2002="","",INDEX(상세표[사번],$U2002)&amp;"")</f>
        <v/>
      </c>
      <c r="K2002">
        <f>IF($U2002="","",INDEX(상세표[성명],$U2002)&amp;"")</f>
        <v/>
      </c>
      <c r="L2002">
        <f>IF($U2002="","",INDEX(상세표[직위],$U2002)&amp;"")</f>
        <v/>
      </c>
      <c r="M2002">
        <f>IF($U2002="","",IF(ISNUMBER(INDEX(상세표[근무일자],$U2002)),TEXT(INDEX(상세표[근무일자],$U2002),"yyyy-mm-dd"),INDEX(상세표[근무일자],$U2002)&amp;""))</f>
        <v/>
      </c>
      <c r="N2002">
        <f>IF($U2002="","",IF(ISNUMBER(INDEX(상세표[시작],$U2002)),TEXT(INDEX(상세표[시작],$U2002),"yyyy-mm-dd hh:mm"),INDEX(상세표[시작],$U2002)&amp;""))</f>
        <v/>
      </c>
      <c r="O2002">
        <f>IF($U2002="","",IF(ISNUMBER(INDEX(상세표[종료],$U2002)),TEXT(INDEX(상세표[종료],$U2002),"yyyy-mm-dd hh:mm"),INDEX(상세표[종료],$U2002)&amp;""))</f>
        <v/>
      </c>
      <c r="P2002">
        <f>IF($U2002="","",INDEX(상세표[06~07시],$U2002))</f>
        <v/>
      </c>
      <c r="Q2002">
        <f>IF($U2002="","",INDEX(상세표[07~18시],$U2002))</f>
        <v/>
      </c>
      <c r="R2002">
        <f>IF($U2002="","",INDEX(상세표[18~22시],$U2002))</f>
        <v/>
      </c>
      <c r="S2002">
        <f>IF($U2002="","",INDEX(상세표[22~06시],$U2002))</f>
        <v/>
      </c>
      <c r="T2002">
        <f>IF($U2002="","",INDEX(상세표[기록 시간외],$U2002))</f>
        <v/>
      </c>
      <c r="U2002" s="4">
        <f>IFERROR(MATCH(1997,상세표[발송순번],0),"")</f>
        <v/>
      </c>
    </row>
    <row r="2003">
      <c r="J2003">
        <f>IF($U2003="","",INDEX(상세표[사번],$U2003)&amp;"")</f>
        <v/>
      </c>
      <c r="K2003">
        <f>IF($U2003="","",INDEX(상세표[성명],$U2003)&amp;"")</f>
        <v/>
      </c>
      <c r="L2003">
        <f>IF($U2003="","",INDEX(상세표[직위],$U2003)&amp;"")</f>
        <v/>
      </c>
      <c r="M2003">
        <f>IF($U2003="","",IF(ISNUMBER(INDEX(상세표[근무일자],$U2003)),TEXT(INDEX(상세표[근무일자],$U2003),"yyyy-mm-dd"),INDEX(상세표[근무일자],$U2003)&amp;""))</f>
        <v/>
      </c>
      <c r="N2003">
        <f>IF($U2003="","",IF(ISNUMBER(INDEX(상세표[시작],$U2003)),TEXT(INDEX(상세표[시작],$U2003),"yyyy-mm-dd hh:mm"),INDEX(상세표[시작],$U2003)&amp;""))</f>
        <v/>
      </c>
      <c r="O2003">
        <f>IF($U2003="","",IF(ISNUMBER(INDEX(상세표[종료],$U2003)),TEXT(INDEX(상세표[종료],$U2003),"yyyy-mm-dd hh:mm"),INDEX(상세표[종료],$U2003)&amp;""))</f>
        <v/>
      </c>
      <c r="P2003">
        <f>IF($U2003="","",INDEX(상세표[06~07시],$U2003))</f>
        <v/>
      </c>
      <c r="Q2003">
        <f>IF($U2003="","",INDEX(상세표[07~18시],$U2003))</f>
        <v/>
      </c>
      <c r="R2003">
        <f>IF($U2003="","",INDEX(상세표[18~22시],$U2003))</f>
        <v/>
      </c>
      <c r="S2003">
        <f>IF($U2003="","",INDEX(상세표[22~06시],$U2003))</f>
        <v/>
      </c>
      <c r="T2003">
        <f>IF($U2003="","",INDEX(상세표[기록 시간외],$U2003))</f>
        <v/>
      </c>
      <c r="U2003" s="4">
        <f>IFERROR(MATCH(1998,상세표[발송순번],0),"")</f>
        <v/>
      </c>
    </row>
    <row r="2004">
      <c r="J2004">
        <f>IF($U2004="","",INDEX(상세표[사번],$U2004)&amp;"")</f>
        <v/>
      </c>
      <c r="K2004">
        <f>IF($U2004="","",INDEX(상세표[성명],$U2004)&amp;"")</f>
        <v/>
      </c>
      <c r="L2004">
        <f>IF($U2004="","",INDEX(상세표[직위],$U2004)&amp;"")</f>
        <v/>
      </c>
      <c r="M2004">
        <f>IF($U2004="","",IF(ISNUMBER(INDEX(상세표[근무일자],$U2004)),TEXT(INDEX(상세표[근무일자],$U2004),"yyyy-mm-dd"),INDEX(상세표[근무일자],$U2004)&amp;""))</f>
        <v/>
      </c>
      <c r="N2004">
        <f>IF($U2004="","",IF(ISNUMBER(INDEX(상세표[시작],$U2004)),TEXT(INDEX(상세표[시작],$U2004),"yyyy-mm-dd hh:mm"),INDEX(상세표[시작],$U2004)&amp;""))</f>
        <v/>
      </c>
      <c r="O2004">
        <f>IF($U2004="","",IF(ISNUMBER(INDEX(상세표[종료],$U2004)),TEXT(INDEX(상세표[종료],$U2004),"yyyy-mm-dd hh:mm"),INDEX(상세표[종료],$U2004)&amp;""))</f>
        <v/>
      </c>
      <c r="P2004">
        <f>IF($U2004="","",INDEX(상세표[06~07시],$U2004))</f>
        <v/>
      </c>
      <c r="Q2004">
        <f>IF($U2004="","",INDEX(상세표[07~18시],$U2004))</f>
        <v/>
      </c>
      <c r="R2004">
        <f>IF($U2004="","",INDEX(상세표[18~22시],$U2004))</f>
        <v/>
      </c>
      <c r="S2004">
        <f>IF($U2004="","",INDEX(상세표[22~06시],$U2004))</f>
        <v/>
      </c>
      <c r="T2004">
        <f>IF($U2004="","",INDEX(상세표[기록 시간외],$U2004))</f>
        <v/>
      </c>
      <c r="U2004" s="4">
        <f>IFERROR(MATCH(1999,상세표[발송순번],0),"")</f>
        <v/>
      </c>
    </row>
    <row r="2005">
      <c r="J2005">
        <f>IF($U2005="","",INDEX(상세표[사번],$U2005)&amp;"")</f>
        <v/>
      </c>
      <c r="K2005">
        <f>IF($U2005="","",INDEX(상세표[성명],$U2005)&amp;"")</f>
        <v/>
      </c>
      <c r="L2005">
        <f>IF($U2005="","",INDEX(상세표[직위],$U2005)&amp;"")</f>
        <v/>
      </c>
      <c r="M2005">
        <f>IF($U2005="","",IF(ISNUMBER(INDEX(상세표[근무일자],$U2005)),TEXT(INDEX(상세표[근무일자],$U2005),"yyyy-mm-dd"),INDEX(상세표[근무일자],$U2005)&amp;""))</f>
        <v/>
      </c>
      <c r="N2005">
        <f>IF($U2005="","",IF(ISNUMBER(INDEX(상세표[시작],$U2005)),TEXT(INDEX(상세표[시작],$U2005),"yyyy-mm-dd hh:mm"),INDEX(상세표[시작],$U2005)&amp;""))</f>
        <v/>
      </c>
      <c r="O2005">
        <f>IF($U2005="","",IF(ISNUMBER(INDEX(상세표[종료],$U2005)),TEXT(INDEX(상세표[종료],$U2005),"yyyy-mm-dd hh:mm"),INDEX(상세표[종료],$U2005)&amp;""))</f>
        <v/>
      </c>
      <c r="P2005">
        <f>IF($U2005="","",INDEX(상세표[06~07시],$U2005))</f>
        <v/>
      </c>
      <c r="Q2005">
        <f>IF($U2005="","",INDEX(상세표[07~18시],$U2005))</f>
        <v/>
      </c>
      <c r="R2005">
        <f>IF($U2005="","",INDEX(상세표[18~22시],$U2005))</f>
        <v/>
      </c>
      <c r="S2005">
        <f>IF($U2005="","",INDEX(상세표[22~06시],$U2005))</f>
        <v/>
      </c>
      <c r="T2005">
        <f>IF($U2005="","",INDEX(상세표[기록 시간외],$U2005))</f>
        <v/>
      </c>
      <c r="U2005" s="4">
        <f>IFERROR(MATCH(2000,상세표[발송순번],0),"")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" customWidth="1" min="3" max="3"/>
    <col width="14" customWidth="1" min="4" max="4"/>
    <col width="3" customWidth="1" min="5" max="5"/>
    <col width="14" customWidth="1" min="6" max="6"/>
  </cols>
  <sheetData>
    <row r="1">
      <c r="A1" s="5" t="inlineStr">
        <is>
          <t>설정값 (노란 칸만 수정)</t>
        </is>
      </c>
      <c r="B1" s="5" t="inlineStr">
        <is>
          <t>값</t>
        </is>
      </c>
    </row>
    <row r="2">
      <c r="A2" s="21" t="inlineStr">
        <is>
          <t>연속으로 볼 최대 공백(분)</t>
        </is>
      </c>
      <c r="B2" s="22" t="n">
        <v>0</v>
      </c>
    </row>
    <row r="3">
      <c r="A3" s="4" t="inlineStr">
        <is>
          <t>※ 0이면 앞 근무의 종료 시각과 다음 근무의 시작 시각이 같을 때만 이어진 근무로 봅니다. 예: 10 → 10분 이내 공백도 연속.</t>
        </is>
      </c>
    </row>
    <row r="4">
      <c r="A4" s="21" t="inlineStr">
        <is>
          <t>대상월(급여 처리할 달, 1일)</t>
        </is>
      </c>
      <c r="B4" s="23">
        <f>DATE(YEAR(TODAY()),MONTH(TODAY())-1,1)</f>
        <v/>
      </c>
    </row>
    <row r="5">
      <c r="A5" s="3" t="inlineStr">
        <is>
          <t>공휴일 (주말·휴일 포함 여부 판단에 사용 — 표 아래에 계속 추가, 2027년은 확정 후 추가)</t>
        </is>
      </c>
      <c r="D5" s="3" t="inlineStr">
        <is>
          <t>구리와 오가면 '익월초 급여 반영'으로 표시할 기관</t>
        </is>
      </c>
      <c r="F5" s="3" t="inlineStr">
        <is>
          <t>병원 목록 (입력_월별근무지 드롭다운)</t>
        </is>
      </c>
    </row>
    <row r="6">
      <c r="A6" s="5" t="inlineStr">
        <is>
          <t>날짜</t>
        </is>
      </c>
      <c r="B6" s="5" t="inlineStr">
        <is>
          <t>이름</t>
        </is>
      </c>
      <c r="D6" s="5" t="inlineStr">
        <is>
          <t>기관</t>
        </is>
      </c>
      <c r="F6" s="5" t="inlineStr">
        <is>
          <t>병원</t>
        </is>
      </c>
    </row>
    <row r="7">
      <c r="A7" s="24" t="n">
        <v>46023</v>
      </c>
      <c r="B7" s="7" t="inlineStr">
        <is>
          <t>신정</t>
        </is>
      </c>
      <c r="D7" s="7" t="inlineStr">
        <is>
          <t>인천병원</t>
        </is>
      </c>
      <c r="F7" s="7" t="inlineStr">
        <is>
          <t>서울병원</t>
        </is>
      </c>
    </row>
    <row r="8">
      <c r="A8" s="24" t="n">
        <v>46069</v>
      </c>
      <c r="B8" s="7" t="inlineStr">
        <is>
          <t>설날 연휴</t>
        </is>
      </c>
      <c r="D8" s="7" t="inlineStr">
        <is>
          <t>오산병원</t>
        </is>
      </c>
      <c r="F8" s="7" t="inlineStr">
        <is>
          <t>인천병원</t>
        </is>
      </c>
    </row>
    <row r="9">
      <c r="A9" s="24" t="n">
        <v>46070</v>
      </c>
      <c r="B9" s="7" t="inlineStr">
        <is>
          <t>설날</t>
        </is>
      </c>
      <c r="D9" s="7" t="inlineStr">
        <is>
          <t>창원병원</t>
        </is>
      </c>
      <c r="F9" s="7" t="inlineStr">
        <is>
          <t>구리병원</t>
        </is>
      </c>
    </row>
    <row r="10">
      <c r="A10" s="24" t="n">
        <v>46071</v>
      </c>
      <c r="B10" s="7" t="inlineStr">
        <is>
          <t>설날 연휴</t>
        </is>
      </c>
      <c r="D10" s="7" t="inlineStr">
        <is>
          <t>제주병원</t>
        </is>
      </c>
      <c r="F10" s="7" t="inlineStr">
        <is>
          <t>창원병원</t>
        </is>
      </c>
    </row>
    <row r="11">
      <c r="A11" s="24" t="n">
        <v>46082</v>
      </c>
      <c r="B11" s="7" t="inlineStr">
        <is>
          <t>삼일절</t>
        </is>
      </c>
      <c r="F11" s="7" t="inlineStr">
        <is>
          <t>제주병원</t>
        </is>
      </c>
    </row>
    <row r="12">
      <c r="A12" s="24" t="n">
        <v>46083</v>
      </c>
      <c r="B12" s="7" t="inlineStr">
        <is>
          <t>대체공휴일(삼일절)</t>
        </is>
      </c>
      <c r="F12" s="7" t="inlineStr">
        <is>
          <t>오산병원</t>
        </is>
      </c>
    </row>
    <row r="13">
      <c r="A13" s="24" t="n">
        <v>46147</v>
      </c>
      <c r="B13" s="7" t="inlineStr">
        <is>
          <t>어린이날</t>
        </is>
      </c>
    </row>
    <row r="14">
      <c r="A14" s="24" t="n">
        <v>46166</v>
      </c>
      <c r="B14" s="7" t="inlineStr">
        <is>
          <t>부처님오신날</t>
        </is>
      </c>
    </row>
    <row r="15">
      <c r="A15" s="24" t="n">
        <v>46167</v>
      </c>
      <c r="B15" s="7" t="inlineStr">
        <is>
          <t>대체공휴일(부처님오신날)</t>
        </is>
      </c>
    </row>
    <row r="16">
      <c r="A16" s="24" t="n">
        <v>46176</v>
      </c>
      <c r="B16" s="7" t="inlineStr">
        <is>
          <t>전국동시지방선거</t>
        </is>
      </c>
    </row>
    <row r="17">
      <c r="A17" s="24" t="n">
        <v>46179</v>
      </c>
      <c r="B17" s="7" t="inlineStr">
        <is>
          <t>현충일</t>
        </is>
      </c>
    </row>
    <row r="18">
      <c r="A18" s="24" t="n">
        <v>46249</v>
      </c>
      <c r="B18" s="7" t="inlineStr">
        <is>
          <t>광복절</t>
        </is>
      </c>
    </row>
    <row r="19">
      <c r="A19" s="24" t="n">
        <v>46251</v>
      </c>
      <c r="B19" s="7" t="inlineStr">
        <is>
          <t>대체공휴일(광복절)</t>
        </is>
      </c>
    </row>
    <row r="20">
      <c r="A20" s="24" t="n">
        <v>46289</v>
      </c>
      <c r="B20" s="7" t="inlineStr">
        <is>
          <t>추석 연휴</t>
        </is>
      </c>
    </row>
    <row r="21">
      <c r="A21" s="24" t="n">
        <v>46290</v>
      </c>
      <c r="B21" s="7" t="inlineStr">
        <is>
          <t>추석</t>
        </is>
      </c>
    </row>
    <row r="22">
      <c r="A22" s="24" t="n">
        <v>46291</v>
      </c>
      <c r="B22" s="7" t="inlineStr">
        <is>
          <t>추석 연휴</t>
        </is>
      </c>
    </row>
    <row r="23">
      <c r="A23" s="24" t="n">
        <v>46298</v>
      </c>
      <c r="B23" s="7" t="inlineStr">
        <is>
          <t>개천절</t>
        </is>
      </c>
    </row>
    <row r="24">
      <c r="A24" s="24" t="n">
        <v>46300</v>
      </c>
      <c r="B24" s="7" t="inlineStr">
        <is>
          <t>대체공휴일(개천절)</t>
        </is>
      </c>
    </row>
    <row r="25">
      <c r="A25" s="24" t="n">
        <v>46304</v>
      </c>
      <c r="B25" s="7" t="inlineStr">
        <is>
          <t>한글날</t>
        </is>
      </c>
    </row>
    <row r="26">
      <c r="A26" s="24" t="n">
        <v>46381</v>
      </c>
      <c r="B26" s="7" t="inlineStr">
        <is>
          <t>성탄절</t>
        </is>
      </c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2026-10-08T10:32:54Z</dcterms:created>
  <dcterms:modified xmlns:dcterms="http://purl.org/dc/terms/" xmlns:xsi="http://www.w3.org/2001/XMLSchema-instance" xsi:type="dcterms:W3CDTF">2026-10-08T10:32:57Z</dcterms:modified>
</cp:coreProperties>
</file>